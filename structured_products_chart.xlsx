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 sheetId="1" state="visible" r:id="rId1"/>
    <sheet xmlns:r="http://schemas.openxmlformats.org/officeDocument/2006/relationships" name="Inputs" sheetId="2" state="visible" r:id="rId2"/>
    <sheet xmlns:r="http://schemas.openxmlformats.org/officeDocument/2006/relationships" name="Data" sheetId="3" state="visible" r:id="rId3"/>
    <sheet xmlns:r="http://schemas.openxmlformats.org/officeDocument/2006/relationships" name="Calc" sheetId="4" state="visible" r:id="rId4"/>
    <sheet xmlns:r="http://schemas.openxmlformats.org/officeDocument/2006/relationships" name="Chart" sheetId="5" state="visible" r:id="rId5"/>
    <sheet xmlns:r="http://schemas.openxmlformats.org/officeDocument/2006/relationships" name="Formulas" sheetId="6" state="visible" r:id="rId6"/>
  </sheets>
  <definedNames>
    <definedName name="_xlnm.Print_Area" localSheetId="4">'Chart'!$A$1:$R$38</definedName>
  </definedNames>
  <calcPr calcId="124519" fullCalcOnLoad="1"/>
</workbook>
</file>

<file path=xl/styles.xml><?xml version="1.0" encoding="utf-8"?>
<styleSheet xmlns="http://schemas.openxmlformats.org/spreadsheetml/2006/main">
  <numFmts count="3">
    <numFmt numFmtId="164" formatCode="dd-mmm-yy"/>
    <numFmt numFmtId="165" formatCode="0.0%"/>
    <numFmt numFmtId="166" formatCode="#,##0.0000"/>
  </numFmts>
  <fonts count="35">
    <font>
      <name val="Calibri"/>
      <family val="2"/>
      <color theme="1"/>
      <sz val="11"/>
      <scheme val="minor"/>
    </font>
    <font>
      <name val="Arial"/>
      <b val="1"/>
      <color rgb="00FFFFFF"/>
      <sz val="14"/>
    </font>
    <font>
      <name val="Arial"/>
      <i val="1"/>
      <color rgb="005D6D7E"/>
      <sz val="9"/>
    </font>
    <font>
      <name val="Arial"/>
      <b val="1"/>
      <color rgb="00FFFFFF"/>
      <sz val="10"/>
    </font>
    <font>
      <name val="Arial"/>
      <b val="1"/>
      <color rgb="0000915A"/>
      <sz val="10"/>
    </font>
    <font>
      <name val="Arial"/>
      <b val="1"/>
      <color rgb="001F1F1F"/>
      <sz val="10"/>
    </font>
    <font>
      <name val="Arial"/>
      <color rgb="001F1F1F"/>
      <sz val="10"/>
    </font>
    <font>
      <name val="Arial"/>
      <i val="1"/>
      <color rgb="008C9BA5"/>
      <sz val="8"/>
    </font>
    <font>
      <name val="Arial"/>
      <b val="1"/>
      <color rgb="00FFFFFF"/>
      <sz val="9"/>
    </font>
    <font>
      <name val="Arial"/>
      <color rgb="000000FF"/>
      <sz val="10"/>
    </font>
    <font>
      <name val="Arial"/>
      <sz val="10"/>
    </font>
    <font>
      <name val="Arial"/>
      <color rgb="00B0B8BE"/>
      <sz val="8"/>
    </font>
    <font>
      <name val="Arial"/>
      <b val="1"/>
      <color rgb="000F2B46"/>
      <sz val="10"/>
    </font>
    <font>
      <name val="Arial"/>
      <b val="1"/>
      <color rgb="008C9BA5"/>
      <sz val="10"/>
    </font>
    <font>
      <name val="Arial"/>
      <b val="1"/>
      <color rgb="00C8A45C"/>
      <sz val="10"/>
    </font>
    <font>
      <name val="Arial"/>
      <b val="1"/>
      <color rgb="005B8FA8"/>
      <sz val="10"/>
    </font>
    <font>
      <name val="Arial"/>
      <i val="1"/>
      <color rgb="00B0B8BE"/>
      <sz val="8"/>
    </font>
    <font>
      <name val="Arial"/>
      <b val="1"/>
      <color rgb="00C0392B"/>
      <sz val="10"/>
    </font>
    <font>
      <name val="Arial"/>
      <i val="1"/>
      <color rgb="00C0392B"/>
      <sz val="9"/>
    </font>
    <font>
      <name val="Arial"/>
      <b val="1"/>
      <color rgb="006B4E9B"/>
      <sz val="10"/>
    </font>
    <font>
      <name val="Arial"/>
      <b val="1"/>
      <color rgb="007F8C8D"/>
      <sz val="10"/>
    </font>
    <font>
      <name val="Arial"/>
      <color rgb="008C9BA5"/>
      <sz val="8"/>
    </font>
    <font>
      <name val="Arial"/>
      <i val="1"/>
      <color rgb="008C9BA5"/>
      <sz val="9"/>
    </font>
    <font>
      <name val="Arial"/>
      <color rgb="008C9BA5"/>
      <sz val="9"/>
    </font>
    <font>
      <name val="Arial"/>
      <b val="1"/>
      <color rgb="00008000"/>
      <sz val="10"/>
    </font>
    <font>
      <name val="Arial"/>
      <i val="1"/>
      <color rgb="00008000"/>
      <sz val="9"/>
    </font>
    <font>
      <name val="Arial"/>
      <color rgb="005D6D7E"/>
      <sz val="9"/>
    </font>
    <font>
      <name val="Arial"/>
      <color rgb="00FF0000"/>
      <sz val="10"/>
    </font>
    <font>
      <name val="Arial"/>
      <b val="1"/>
      <color rgb="001F1F1F"/>
      <sz val="9"/>
    </font>
    <font>
      <name val="Arial"/>
      <b val="1"/>
      <sz val="10"/>
    </font>
    <font>
      <name val="Arial"/>
      <b val="1"/>
      <color rgb="00FFFFFF"/>
      <sz val="11"/>
    </font>
    <font>
      <name val="Arial"/>
      <color rgb="005D6D7E"/>
      <sz val="8"/>
    </font>
    <font>
      <name val="Arial"/>
      <i val="1"/>
      <color rgb="008C9BA5"/>
      <sz val="7"/>
    </font>
    <font>
      <name val="Consolas"/>
      <color rgb="00C0392B"/>
      <sz val="9"/>
    </font>
    <font>
      <name val="Arial"/>
      <i val="1"/>
      <color rgb="001F1F1F"/>
      <sz val="9"/>
    </font>
  </fonts>
  <fills count="9">
    <fill>
      <patternFill/>
    </fill>
    <fill>
      <patternFill patternType="gray125"/>
    </fill>
    <fill>
      <patternFill patternType="solid">
        <fgColor rgb="0000915A"/>
      </patternFill>
    </fill>
    <fill>
      <patternFill patternType="solid">
        <fgColor rgb="000F2B46"/>
      </patternFill>
    </fill>
    <fill>
      <patternFill patternType="solid">
        <fgColor rgb="005D6D7E"/>
      </patternFill>
    </fill>
    <fill>
      <patternFill patternType="solid">
        <fgColor rgb="00FFF6D5"/>
      </patternFill>
    </fill>
    <fill>
      <patternFill patternType="solid">
        <fgColor rgb="008C9BA5"/>
      </patternFill>
    </fill>
    <fill>
      <patternFill patternType="solid">
        <fgColor rgb="00C8A45C"/>
      </patternFill>
    </fill>
    <fill>
      <patternFill patternType="solid">
        <fgColor rgb="005B8FA8"/>
      </patternFill>
    </fill>
  </fills>
  <borders count="7">
    <border>
      <left/>
      <right/>
      <top/>
      <bottom/>
      <diagonal/>
    </border>
    <border>
      <left style="thin">
        <color rgb="00D6DBDF"/>
      </left>
      <right style="thin">
        <color rgb="00D6DBDF"/>
      </right>
      <top style="thin">
        <color rgb="00D6DBDF"/>
      </top>
      <bottom style="thin">
        <color rgb="00D6DBDF"/>
      </bottom>
    </border>
    <border>
      <left/>
      <right/>
      <top style="thin">
        <color rgb="00D6DBDF"/>
      </top>
      <bottom/>
      <diagonal/>
    </border>
    <border>
      <left/>
      <right style="thin">
        <color rgb="00D6DBDF"/>
      </right>
      <top style="thin">
        <color rgb="00D6DBDF"/>
      </top>
      <bottom/>
      <diagonal/>
    </border>
    <border>
      <left/>
      <right/>
      <top style="thin">
        <color rgb="00D6DBDF"/>
      </top>
      <bottom style="thin">
        <color rgb="00D6DBDF"/>
      </bottom>
      <diagonal/>
    </border>
    <border>
      <left/>
      <right style="thin">
        <color rgb="00D6DBDF"/>
      </right>
      <top style="thin">
        <color rgb="00D6DBDF"/>
      </top>
      <bottom style="thin">
        <color rgb="00D6DBDF"/>
      </bottom>
      <diagonal/>
    </border>
    <border/>
  </borders>
  <cellStyleXfs count="1">
    <xf numFmtId="0" fontId="0" fillId="0" borderId="0"/>
  </cellStyleXfs>
  <cellXfs count="64">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3" borderId="0" applyAlignment="1" pivotButton="0" quotePrefix="0" xfId="0">
      <alignment vertical="center" indent="1"/>
    </xf>
    <xf numFmtId="0" fontId="4" fillId="0" borderId="0" applyAlignment="1" pivotButton="0" quotePrefix="0" xfId="0">
      <alignment horizontal="center" vertical="top"/>
    </xf>
    <xf numFmtId="0" fontId="5" fillId="0" borderId="0" applyAlignment="1" pivotButton="0" quotePrefix="0" xfId="0">
      <alignment vertical="center"/>
    </xf>
    <xf numFmtId="0" fontId="6" fillId="0" borderId="0" applyAlignment="1" pivotButton="0" quotePrefix="0" xfId="0">
      <alignment vertical="top" wrapText="1"/>
    </xf>
    <xf numFmtId="0" fontId="7" fillId="0" borderId="0" applyAlignment="1" pivotButton="0" quotePrefix="0" xfId="0">
      <alignment vertical="center"/>
    </xf>
    <xf numFmtId="0" fontId="8" fillId="4" borderId="1" applyAlignment="1" pivotButton="0" quotePrefix="0" xfId="0">
      <alignment horizontal="center" vertical="center" wrapText="1"/>
    </xf>
    <xf numFmtId="0" fontId="16" fillId="0" borderId="0" applyAlignment="1" pivotButton="0" quotePrefix="0" xfId="0">
      <alignment vertical="center"/>
    </xf>
    <xf numFmtId="0" fontId="4" fillId="0" borderId="0" applyAlignment="1" pivotButton="0" quotePrefix="0" xfId="0">
      <alignment horizontal="center"/>
    </xf>
    <xf numFmtId="0" fontId="9" fillId="5" borderId="1" applyAlignment="1" pivotButton="0" quotePrefix="0" xfId="0">
      <alignment horizontal="left" vertical="center" indent="1"/>
    </xf>
    <xf numFmtId="3" fontId="10" fillId="0" borderId="1" applyAlignment="1" pivotButton="0" quotePrefix="0" xfId="0">
      <alignment horizontal="center" vertical="center"/>
    </xf>
    <xf numFmtId="164" fontId="10" fillId="0" borderId="1" applyAlignment="1" pivotButton="0" quotePrefix="0" xfId="0">
      <alignment horizontal="center" vertical="center"/>
    </xf>
    <xf numFmtId="165" fontId="10" fillId="0" borderId="1" applyAlignment="1" pivotButton="0" quotePrefix="0" xfId="0">
      <alignment horizontal="center" vertical="center"/>
    </xf>
    <xf numFmtId="0" fontId="10" fillId="0" borderId="1" applyAlignment="1" pivotButton="0" quotePrefix="0" xfId="0">
      <alignment horizontal="left" vertical="center" indent="1"/>
    </xf>
    <xf numFmtId="0" fontId="11" fillId="0" borderId="0" pivotButton="0" quotePrefix="0" xfId="0"/>
    <xf numFmtId="0" fontId="12" fillId="0" borderId="0" applyAlignment="1" pivotButton="0" quotePrefix="0" xfId="0">
      <alignment horizontal="center"/>
    </xf>
    <xf numFmtId="0" fontId="13" fillId="0"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center"/>
    </xf>
    <xf numFmtId="164" fontId="9" fillId="5" borderId="1" applyAlignment="1" pivotButton="0" quotePrefix="0" xfId="0">
      <alignment horizontal="left" vertical="center" indent="1"/>
    </xf>
    <xf numFmtId="0" fontId="2" fillId="0" borderId="0" applyAlignment="1" pivotButton="0" quotePrefix="0" xfId="0">
      <alignment vertical="center"/>
    </xf>
    <xf numFmtId="164" fontId="17" fillId="0" borderId="1" applyAlignment="1" pivotButton="0" quotePrefix="0" xfId="0">
      <alignment horizontal="center" vertical="center"/>
    </xf>
    <xf numFmtId="0" fontId="18" fillId="0" borderId="0" applyAlignment="1" pivotButton="0" quotePrefix="0" xfId="0">
      <alignment vertical="center"/>
    </xf>
    <xf numFmtId="0" fontId="9" fillId="5" borderId="1" applyAlignment="1" pivotButton="0" quotePrefix="0" xfId="0">
      <alignment horizontal="center" vertical="center"/>
    </xf>
    <xf numFmtId="165" fontId="9" fillId="5" borderId="1" applyAlignment="1" pivotButton="0" quotePrefix="0" xfId="0">
      <alignment horizontal="center" vertical="center"/>
    </xf>
    <xf numFmtId="4" fontId="10" fillId="0" borderId="1" applyAlignment="1" pivotButton="0" quotePrefix="0" xfId="0">
      <alignment horizontal="center" vertical="center"/>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14" fillId="0" borderId="1" applyAlignment="1" pivotButton="0" quotePrefix="0" xfId="0">
      <alignment horizontal="center" vertical="center"/>
    </xf>
    <xf numFmtId="0" fontId="17" fillId="0" borderId="1" applyAlignment="1" pivotButton="0" quotePrefix="0" xfId="0">
      <alignment horizontal="center" vertical="center"/>
    </xf>
    <xf numFmtId="0" fontId="19" fillId="0" borderId="1" applyAlignment="1" pivotButton="0" quotePrefix="0" xfId="0">
      <alignment horizontal="center" vertical="center"/>
    </xf>
    <xf numFmtId="0" fontId="20" fillId="0" borderId="1" applyAlignment="1" pivotButton="0" quotePrefix="0" xfId="0">
      <alignment horizontal="center" vertical="center"/>
    </xf>
    <xf numFmtId="0" fontId="0" fillId="0" borderId="4" pivotButton="0" quotePrefix="0" xfId="0"/>
    <xf numFmtId="0" fontId="0" fillId="0" borderId="5" pivotButton="0" quotePrefix="0" xfId="0"/>
    <xf numFmtId="0" fontId="21" fillId="0" borderId="0" pivotButton="0" quotePrefix="0" xfId="0"/>
    <xf numFmtId="0" fontId="22" fillId="0" borderId="0" applyAlignment="1" pivotButton="0" quotePrefix="0" xfId="0">
      <alignment vertical="center"/>
    </xf>
    <xf numFmtId="3" fontId="23" fillId="0" borderId="0" pivotButton="0" quotePrefix="0" xfId="0"/>
    <xf numFmtId="0" fontId="23" fillId="0" borderId="0" pivotButton="0" quotePrefix="0" xfId="0"/>
    <xf numFmtId="0" fontId="22" fillId="0" borderId="6" applyAlignment="1" pivotButton="0" quotePrefix="0" xfId="0">
      <alignment horizontal="left" vertical="center"/>
    </xf>
    <xf numFmtId="0" fontId="3" fillId="2" borderId="0" applyAlignment="1" pivotButton="0" quotePrefix="0" xfId="0">
      <alignment horizontal="center" vertical="center"/>
    </xf>
    <xf numFmtId="0" fontId="3" fillId="3"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24" fillId="0" borderId="0" applyAlignment="1" pivotButton="0" quotePrefix="0" xfId="0">
      <alignment horizontal="center"/>
    </xf>
    <xf numFmtId="0" fontId="25" fillId="0" borderId="0" applyAlignment="1" pivotButton="0" quotePrefix="0" xfId="0">
      <alignment horizontal="center"/>
    </xf>
    <xf numFmtId="0" fontId="26" fillId="0" borderId="0" applyAlignment="1" pivotButton="0" quotePrefix="0" xfId="0">
      <alignment horizontal="center"/>
    </xf>
    <xf numFmtId="0" fontId="2" fillId="0" borderId="0" pivotButton="0" quotePrefix="0" xfId="0"/>
    <xf numFmtId="0" fontId="27" fillId="0" borderId="0" pivotButton="0" quotePrefix="0" xfId="0"/>
    <xf numFmtId="0" fontId="28" fillId="0" borderId="0" applyAlignment="1" pivotButton="0" quotePrefix="0" xfId="0">
      <alignment vertical="center"/>
    </xf>
    <xf numFmtId="0" fontId="10" fillId="0" borderId="0" pivotButton="0" quotePrefix="0" xfId="0"/>
    <xf numFmtId="166" fontId="29" fillId="0" borderId="0" pivotButton="0" quotePrefix="0" xfId="0"/>
    <xf numFmtId="4" fontId="0" fillId="0" borderId="0" pivotButton="0" quotePrefix="0" xfId="0"/>
    <xf numFmtId="164" fontId="0" fillId="0" borderId="0" pivotButton="0" quotePrefix="0" xfId="0"/>
    <xf numFmtId="166" fontId="0" fillId="0" borderId="0" pivotButton="0" quotePrefix="0" xfId="0"/>
    <xf numFmtId="0" fontId="30" fillId="2" borderId="0" applyAlignment="1" pivotButton="0" quotePrefix="0" xfId="0">
      <alignment vertical="center" indent="1"/>
    </xf>
    <xf numFmtId="0" fontId="16" fillId="0" borderId="0" applyAlignment="1" pivotButton="0" quotePrefix="0" xfId="0">
      <alignment vertical="center" indent="1"/>
    </xf>
    <xf numFmtId="0" fontId="31" fillId="0" borderId="0" applyAlignment="1" pivotButton="0" quotePrefix="0" xfId="0">
      <alignment vertical="center" wrapText="1" indent="1"/>
    </xf>
    <xf numFmtId="0" fontId="32" fillId="0" borderId="0" applyAlignment="1" pivotButton="0" quotePrefix="0" xfId="0">
      <alignment vertical="top" wrapText="1" indent="1"/>
    </xf>
    <xf numFmtId="0" fontId="33" fillId="0" borderId="0" applyAlignment="1" pivotButton="0" quotePrefix="0" xfId="0">
      <alignment vertical="top" wrapText="1"/>
    </xf>
    <xf numFmtId="0" fontId="34" fillId="0"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strRef>
          <f>Inputs!$C$37</f>
          <strCache>
            <ptCount val="1"/>
            <pt idx="0">
              <v>EURO STOXX 50 vs S&amp;P 500 - historical performance
Daily closing prices, rebased to 100 at the initial fixing date</v>
            </pt>
          </strCache>
        </strRef>
      </tx>
      <overlay val="0"/>
      <txPr>
        <a:bodyPr xmlns:a="http://schemas.openxmlformats.org/drawingml/2006/main"/>
        <a:p xmlns:a="http://schemas.openxmlformats.org/drawingml/2006/main">
          <a:pPr>
            <a:defRPr sz="1300" b="1">
              <a:solidFill>
                <a:srgbClr val="1F1F1F"/>
              </a:solidFill>
              <a:latin typeface="Arial"/>
            </a:defRPr>
          </a:pPr>
          <a:r>
            <a:t/>
          </a:r>
          <a:endParaRPr sz="1300" b="1">
            <a:solidFill>
              <a:srgbClr val="1F1F1F"/>
            </a:solidFill>
            <a:latin typeface="Arial"/>
          </a:endParaRPr>
        </a:p>
      </txPr>
    </title>
    <plotArea>
      <lineChart>
        <grouping val="standard"/>
        <ser>
          <idx val="0"/>
          <order val="0"/>
          <tx>
            <strRef>
              <f>Inputs!$J$6</f>
              <strCache>
                <ptCount val="1"/>
                <pt idx="0">
                  <v>EURO STOXX 50</v>
                </pt>
              </strCache>
            </strRef>
          </tx>
          <spPr>
            <a:ln xmlns:a="http://schemas.openxmlformats.org/drawingml/2006/main" w="28575">
              <a:solidFill>
                <a:srgbClr val="00915A"/>
              </a:solidFill>
              <a:prstDash val="solid"/>
            </a:ln>
          </spPr>
          <marker>
            <symbol val="none"/>
            <spPr>
              <a:ln xmlns:a="http://schemas.openxmlformats.org/drawingml/2006/main">
                <a:prstDash val="solid"/>
              </a:ln>
            </spPr>
          </marker>
          <cat>
            <numRef>
              <f>'Calc'!$A$11:$A$2610</f>
            </numRef>
          </cat>
          <val>
            <numRef>
              <f>'Calc'!$I$11:$I$2610</f>
            </numRef>
          </val>
          <smooth val="0"/>
        </ser>
        <ser>
          <idx val="1"/>
          <order val="1"/>
          <tx>
            <strRef>
              <f>Inputs!$J$7</f>
              <strCache>
                <ptCount val="1"/>
                <pt idx="0">
                  <v>S&amp;P 500</v>
                </pt>
              </strCache>
            </strRef>
          </tx>
          <spPr>
            <a:ln xmlns:a="http://schemas.openxmlformats.org/drawingml/2006/main" w="28575">
              <a:solidFill>
                <a:srgbClr val="0F2B46"/>
              </a:solidFill>
              <a:prstDash val="solid"/>
            </a:ln>
          </spPr>
          <marker>
            <symbol val="none"/>
            <spPr>
              <a:ln xmlns:a="http://schemas.openxmlformats.org/drawingml/2006/main">
                <a:prstDash val="solid"/>
              </a:ln>
            </spPr>
          </marker>
          <cat>
            <numRef>
              <f>'Calc'!$A$11:$A$2610</f>
            </numRef>
          </cat>
          <val>
            <numRef>
              <f>'Calc'!$J$11:$J$2610</f>
            </numRef>
          </val>
          <smooth val="0"/>
        </ser>
        <ser>
          <idx val="2"/>
          <order val="2"/>
          <tx>
            <strRef>
              <f>Inputs!$J$8</f>
              <strCache>
                <ptCount val="1"/>
                <pt idx="0">
                  <v>(unused)</v>
                </pt>
              </strCache>
            </strRef>
          </tx>
          <spPr>
            <a:ln xmlns:a="http://schemas.openxmlformats.org/drawingml/2006/main" w="28575">
              <a:solidFill>
                <a:srgbClr val="8C9BA5"/>
              </a:solidFill>
              <a:prstDash val="solid"/>
            </a:ln>
          </spPr>
          <marker>
            <symbol val="none"/>
            <spPr>
              <a:ln xmlns:a="http://schemas.openxmlformats.org/drawingml/2006/main">
                <a:prstDash val="solid"/>
              </a:ln>
            </spPr>
          </marker>
          <cat>
            <numRef>
              <f>'Calc'!$A$11:$A$2610</f>
            </numRef>
          </cat>
          <val>
            <numRef>
              <f>'Calc'!$K$11:$K$2610</f>
            </numRef>
          </val>
          <smooth val="0"/>
        </ser>
        <ser>
          <idx val="3"/>
          <order val="3"/>
          <tx>
            <strRef>
              <f>Inputs!$J$9</f>
              <strCache>
                <ptCount val="1"/>
                <pt idx="0">
                  <v>(unused)</v>
                </pt>
              </strCache>
            </strRef>
          </tx>
          <spPr>
            <a:ln xmlns:a="http://schemas.openxmlformats.org/drawingml/2006/main" w="28575">
              <a:solidFill>
                <a:srgbClr val="C8A45C"/>
              </a:solidFill>
              <a:prstDash val="solid"/>
            </a:ln>
          </spPr>
          <marker>
            <symbol val="none"/>
            <spPr>
              <a:ln xmlns:a="http://schemas.openxmlformats.org/drawingml/2006/main">
                <a:prstDash val="solid"/>
              </a:ln>
            </spPr>
          </marker>
          <cat>
            <numRef>
              <f>'Calc'!$A$11:$A$2610</f>
            </numRef>
          </cat>
          <val>
            <numRef>
              <f>'Calc'!$L$11:$L$2610</f>
            </numRef>
          </val>
          <smooth val="0"/>
        </ser>
        <ser>
          <idx val="4"/>
          <order val="4"/>
          <tx>
            <strRef>
              <f>Inputs!$J$10</f>
              <strCache>
                <ptCount val="1"/>
                <pt idx="0">
                  <v>(unused)</v>
                </pt>
              </strCache>
            </strRef>
          </tx>
          <spPr>
            <a:ln xmlns:a="http://schemas.openxmlformats.org/drawingml/2006/main" w="28575">
              <a:solidFill>
                <a:srgbClr val="5B8FA8"/>
              </a:solidFill>
              <a:prstDash val="solid"/>
            </a:ln>
          </spPr>
          <marker>
            <symbol val="none"/>
            <spPr>
              <a:ln xmlns:a="http://schemas.openxmlformats.org/drawingml/2006/main">
                <a:prstDash val="solid"/>
              </a:ln>
            </spPr>
          </marker>
          <cat>
            <numRef>
              <f>'Calc'!$A$11:$A$2610</f>
            </numRef>
          </cat>
          <val>
            <numRef>
              <f>'Calc'!$M$11:$M$2610</f>
            </numRef>
          </val>
          <smooth val="0"/>
        </ser>
        <ser>
          <idx val="5"/>
          <order val="5"/>
          <tx>
            <strRef>
              <f>Inputs!$J$19</f>
              <strCache>
                <ptCount val="1"/>
                <pt idx="0">
                  <v>(unused)</v>
                </pt>
              </strCache>
            </strRef>
          </tx>
          <spPr>
            <a:ln xmlns:a="http://schemas.openxmlformats.org/drawingml/2006/main" w="31750">
              <a:solidFill>
                <a:srgbClr val="E0651A"/>
              </a:solidFill>
              <a:prstDash val="solid"/>
            </a:ln>
          </spPr>
          <marker>
            <symbol val="none"/>
            <spPr>
              <a:ln xmlns:a="http://schemas.openxmlformats.org/drawingml/2006/main">
                <a:prstDash val="solid"/>
              </a:ln>
            </spPr>
          </marker>
          <cat>
            <numRef>
              <f>'Calc'!$A$11:$A$2610</f>
            </numRef>
          </cat>
          <val>
            <numRef>
              <f>'Calc'!$N$11:$N$2610</f>
            </numRef>
          </val>
          <smooth val="0"/>
        </ser>
        <ser>
          <idx val="6"/>
          <order val="6"/>
          <tx>
            <strRef>
              <f>Inputs!$J$24</f>
              <strCache>
                <ptCount val="1"/>
                <pt idx="0">
                  <v>(unused)</v>
                </pt>
              </strCache>
            </strRef>
          </tx>
          <spPr>
            <a:ln xmlns:a="http://schemas.openxmlformats.org/drawingml/2006/main" w="15875">
              <a:solidFill>
                <a:srgbClr val="1F1F1F"/>
              </a:solidFill>
              <a:prstDash val="dash"/>
            </a:ln>
          </spPr>
          <marker>
            <symbol val="none"/>
            <spPr>
              <a:ln xmlns:a="http://schemas.openxmlformats.org/drawingml/2006/main">
                <a:prstDash val="solid"/>
              </a:ln>
            </spPr>
          </marker>
          <cat>
            <numRef>
              <f>'Calc'!$A$11:$A$2610</f>
            </numRef>
          </cat>
          <val>
            <numRef>
              <f>'Calc'!$O$11:$O$2610</f>
            </numRef>
          </val>
          <smooth val="0"/>
        </ser>
        <ser>
          <idx val="7"/>
          <order val="7"/>
          <tx>
            <strRef>
              <f>Inputs!$J$25</f>
              <strCache>
                <ptCount val="1"/>
                <pt idx="0">
                  <v>Autocall trigger 100%</v>
                </pt>
              </strCache>
            </strRef>
          </tx>
          <spPr>
            <a:ln xmlns:a="http://schemas.openxmlformats.org/drawingml/2006/main" w="15875">
              <a:solidFill>
                <a:srgbClr val="00915A"/>
              </a:solidFill>
              <a:prstDash val="dash"/>
            </a:ln>
          </spPr>
          <marker>
            <symbol val="none"/>
            <spPr>
              <a:ln xmlns:a="http://schemas.openxmlformats.org/drawingml/2006/main">
                <a:prstDash val="solid"/>
              </a:ln>
            </spPr>
          </marker>
          <cat>
            <numRef>
              <f>'Calc'!$A$11:$A$2610</f>
            </numRef>
          </cat>
          <val>
            <numRef>
              <f>'Calc'!$P$11:$P$2610</f>
            </numRef>
          </val>
          <smooth val="0"/>
        </ser>
        <ser>
          <idx val="8"/>
          <order val="8"/>
          <tx>
            <strRef>
              <f>Inputs!$J$26</f>
              <strCache>
                <ptCount val="1"/>
                <pt idx="0">
                  <v>Coupon barrier 70%</v>
                </pt>
              </strCache>
            </strRef>
          </tx>
          <spPr>
            <a:ln xmlns:a="http://schemas.openxmlformats.org/drawingml/2006/main" w="15875">
              <a:solidFill>
                <a:srgbClr val="C8A45C"/>
              </a:solidFill>
              <a:prstDash val="dash"/>
            </a:ln>
          </spPr>
          <marker>
            <symbol val="none"/>
            <spPr>
              <a:ln xmlns:a="http://schemas.openxmlformats.org/drawingml/2006/main">
                <a:prstDash val="solid"/>
              </a:ln>
            </spPr>
          </marker>
          <cat>
            <numRef>
              <f>'Calc'!$A$11:$A$2610</f>
            </numRef>
          </cat>
          <val>
            <numRef>
              <f>'Calc'!$Q$11:$Q$2610</f>
            </numRef>
          </val>
          <smooth val="0"/>
        </ser>
        <ser>
          <idx val="9"/>
          <order val="9"/>
          <tx>
            <strRef>
              <f>Inputs!$J$27</f>
              <strCache>
                <ptCount val="1"/>
                <pt idx="0">
                  <v>Capital barrier 60%</v>
                </pt>
              </strCache>
            </strRef>
          </tx>
          <spPr>
            <a:ln xmlns:a="http://schemas.openxmlformats.org/drawingml/2006/main" w="15875">
              <a:solidFill>
                <a:srgbClr val="C0392B"/>
              </a:solidFill>
              <a:prstDash val="dash"/>
            </a:ln>
          </spPr>
          <marker>
            <symbol val="none"/>
            <spPr>
              <a:ln xmlns:a="http://schemas.openxmlformats.org/drawingml/2006/main">
                <a:prstDash val="solid"/>
              </a:ln>
            </spPr>
          </marker>
          <cat>
            <numRef>
              <f>'Calc'!$A$11:$A$2610</f>
            </numRef>
          </cat>
          <val>
            <numRef>
              <f>'Calc'!$R$11:$R$2610</f>
            </numRef>
          </val>
          <smooth val="0"/>
        </ser>
        <ser>
          <idx val="10"/>
          <order val="10"/>
          <tx>
            <strRef>
              <f>Inputs!$J$28</f>
              <strCache>
                <ptCount val="1"/>
                <pt idx="0">
                  <v>(unused)</v>
                </pt>
              </strCache>
            </strRef>
          </tx>
          <spPr>
            <a:ln xmlns:a="http://schemas.openxmlformats.org/drawingml/2006/main" w="15875">
              <a:solidFill>
                <a:srgbClr val="6B4E9B"/>
              </a:solidFill>
              <a:prstDash val="dash"/>
            </a:ln>
          </spPr>
          <marker>
            <symbol val="none"/>
            <spPr>
              <a:ln xmlns:a="http://schemas.openxmlformats.org/drawingml/2006/main">
                <a:prstDash val="solid"/>
              </a:ln>
            </spPr>
          </marker>
          <cat>
            <numRef>
              <f>'Calc'!$A$11:$A$2610</f>
            </numRef>
          </cat>
          <val>
            <numRef>
              <f>'Calc'!$S$11:$S$2610</f>
            </numRef>
          </val>
          <smooth val="0"/>
        </ser>
        <ser>
          <idx val="11"/>
          <order val="11"/>
          <tx>
            <strRef>
              <f>Inputs!$J$29</f>
              <strCache>
                <ptCount val="1"/>
                <pt idx="0">
                  <v>(unused)</v>
                </pt>
              </strCache>
            </strRef>
          </tx>
          <spPr>
            <a:ln xmlns:a="http://schemas.openxmlformats.org/drawingml/2006/main" w="15875">
              <a:solidFill>
                <a:srgbClr val="7F8C8D"/>
              </a:solidFill>
              <a:prstDash val="dash"/>
            </a:ln>
          </spPr>
          <marker>
            <symbol val="none"/>
            <spPr>
              <a:ln xmlns:a="http://schemas.openxmlformats.org/drawingml/2006/main">
                <a:prstDash val="solid"/>
              </a:ln>
            </spPr>
          </marker>
          <cat>
            <numRef>
              <f>'Calc'!$A$11:$A$2610</f>
            </numRef>
          </cat>
          <val>
            <numRef>
              <f>'Calc'!$T$11:$T$2610</f>
            </numRef>
          </val>
          <smooth val="0"/>
        </ser>
        <axId val="10"/>
        <axId val="100"/>
      </lineChart>
      <dateAx>
        <axId val="10"/>
        <scaling>
          <orientation val="minMax"/>
        </scaling>
        <delete val="0"/>
        <axPos val="l"/>
        <numFmt formatCode="mmm-yy" sourceLinked="0"/>
        <majorTickMark val="none"/>
        <minorTickMark val="none"/>
        <spPr>
          <a:ln xmlns:a="http://schemas.openxmlformats.org/drawingml/2006/main" w="9525">
            <a:solidFill>
              <a:srgbClr val="BFC9D0"/>
            </a:solidFill>
            <a:prstDash val="solid"/>
          </a:ln>
        </spPr>
        <txPr>
          <a:bodyPr xmlns:a="http://schemas.openxmlformats.org/drawingml/2006/main"/>
          <a:p xmlns:a="http://schemas.openxmlformats.org/drawingml/2006/main">
            <a:pPr>
              <a:defRPr sz="900">
                <a:solidFill>
                  <a:srgbClr val="5D6D7E"/>
                </a:solidFill>
                <a:latin typeface="Arial"/>
              </a:defRPr>
            </a:pPr>
            <a:r>
              <a:t/>
            </a:r>
            <a:endParaRPr sz="900">
              <a:solidFill>
                <a:srgbClr val="5D6D7E"/>
              </a:solidFill>
              <a:latin typeface="Arial"/>
            </a:endParaRPr>
          </a:p>
        </txPr>
        <crossAx val="100"/>
      </dateAx>
      <valAx>
        <axId val="100"/>
        <scaling>
          <orientation val="minMax"/>
        </scaling>
        <delete val="0"/>
        <axPos val="l"/>
        <majorGridlines>
          <spPr>
            <a:ln xmlns:a="http://schemas.openxmlformats.org/drawingml/2006/main" w="9525">
              <a:solidFill>
                <a:srgbClr val="E6EAED"/>
              </a:solidFill>
              <a:prstDash val="solid"/>
            </a:ln>
          </spPr>
        </majorGridlines>
        <title>
          <tx>
            <strRef>
              <f>Inputs!$C$38</f>
              <strCache>
                <ptCount val="1"/>
                <pt idx="0">
                  <v>Performance rebased to 100</v>
                </pt>
              </strCache>
            </strRef>
          </tx>
          <overlay val="0"/>
          <txPr>
            <a:bodyPr xmlns:a="http://schemas.openxmlformats.org/drawingml/2006/main"/>
            <a:p xmlns:a="http://schemas.openxmlformats.org/drawingml/2006/main">
              <a:pPr>
                <a:defRPr sz="900" b="0">
                  <a:solidFill>
                    <a:srgbClr val="5D6D7E"/>
                  </a:solidFill>
                  <a:latin typeface="Arial"/>
                </a:defRPr>
              </a:pPr>
              <a:r>
                <a:t/>
              </a:r>
              <a:endParaRPr sz="900" b="0">
                <a:solidFill>
                  <a:srgbClr val="5D6D7E"/>
                </a:solidFill>
                <a:latin typeface="Arial"/>
              </a:endParaRPr>
            </a:p>
          </txPr>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5D6D7E"/>
                </a:solidFill>
                <a:latin typeface="Arial"/>
              </a:defRPr>
            </a:pPr>
            <a:r>
              <a:t/>
            </a:r>
            <a:endParaRPr sz="900">
              <a:solidFill>
                <a:srgbClr val="5D6D7E"/>
              </a:solidFill>
              <a:latin typeface="Arial"/>
            </a:endParaRPr>
          </a:p>
        </txPr>
        <crossAx val="10"/>
      </valAx>
      <spPr>
        <a:ln xmlns:a="http://schemas.openxmlformats.org/drawingml/2006/main">
          <a:noFill/>
          <a:prstDash val="solid"/>
        </a:ln>
      </spPr>
    </plotArea>
    <legend>
      <legendPos val="b"/>
      <overlay val="0"/>
      <txPr>
        <a:bodyPr xmlns:a="http://schemas.openxmlformats.org/drawingml/2006/main"/>
        <a:p xmlns:a="http://schemas.openxmlformats.org/drawingml/2006/main">
          <a:pPr>
            <a:defRPr sz="900">
              <a:solidFill>
                <a:srgbClr val="1F1F1F"/>
              </a:solidFill>
              <a:latin typeface="Arial"/>
            </a:defRPr>
          </a:pPr>
          <a:r>
            <a:t/>
          </a:r>
          <a:endParaRPr sz="900">
            <a:solidFill>
              <a:srgbClr val="1F1F1F"/>
            </a:solidFill>
            <a:latin typeface="Arial"/>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4</row>
      <rowOff>0</rowOff>
    </from>
    <ext cx="9900000" cy="48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6"/>
  <sheetViews>
    <sheetView showGridLines="0" zoomScale="100" workbookViewId="0">
      <selection activeCell="A1" sqref="A1"/>
    </sheetView>
  </sheetViews>
  <sheetFormatPr baseColWidth="8" defaultRowHeight="15"/>
  <cols>
    <col width="4" customWidth="1" min="1" max="1"/>
    <col width="22" customWidth="1" min="2" max="2"/>
    <col width="95"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ht="30" customHeight="1">
      <c r="A1" s="1" t="inlineStr">
        <is>
          <t>STRUCTURED PRODUCTS  —  UNDERLYING PERFORMANCE CHART</t>
        </is>
      </c>
    </row>
    <row r="2" ht="16" customHeight="1">
      <c r="A2" s="2" t="inlineStr">
        <is>
          <t>Reuters / LSEG feed  ·  client-ready graphic  ·  internal tool</t>
        </is>
      </c>
    </row>
    <row r="5" ht="18" customHeight="1">
      <c r="A5" s="3" t="inlineStr">
        <is>
          <t xml:space="preserve">   HOW TO USE  —  4 STEPS</t>
        </is>
      </c>
    </row>
    <row r="6" ht="30" customHeight="1">
      <c r="A6" s="4" t="inlineStr">
        <is>
          <t>1</t>
        </is>
      </c>
      <c r="B6" s="5" t="inlineStr">
        <is>
          <t>Go to  'Inputs'</t>
        </is>
      </c>
      <c r="C6" s="6" t="inlineStr">
        <is>
          <t>Type your Reuters RIC codes (e.g. .STOXX50E, .SPX, BNPP.PA), the display name for the legend, and the start / end dates. Yellow cells = the only cells you ever type in.</t>
        </is>
      </c>
    </row>
    <row r="7" ht="30" customHeight="1">
      <c r="A7" s="4" t="inlineStr">
        <is>
          <t>2</t>
        </is>
      </c>
      <c r="B7" s="5" t="inlineStr">
        <is>
          <t>Refresh Reuters</t>
        </is>
      </c>
      <c r="C7" s="6" t="inlineStr">
        <is>
          <t>In the LSEG / Refinitiv ribbon click 'Refresh All' (or Ctrl+Alt+F9). The 'Data' sheet pulls the daily closing prices for every ticker.</t>
        </is>
      </c>
    </row>
    <row r="8" ht="30" customHeight="1">
      <c r="A8" s="4" t="inlineStr">
        <is>
          <t>3</t>
        </is>
      </c>
      <c r="B8" s="5" t="inlineStr">
        <is>
          <t>Set the levels</t>
        </is>
      </c>
      <c r="C8" s="6" t="inlineStr">
        <is>
          <t>Still on 'Inputs': switch each product level ON/OFF (Strike, Autocall trigger, Coupon barrier, Capital barrier, plus 2 free lines), give it a label and a % of the initial fixing. They are drawn as dashed lines on the chart.</t>
        </is>
      </c>
    </row>
    <row r="9" ht="30" customHeight="1">
      <c r="A9" s="4" t="inlineStr">
        <is>
          <t>4</t>
        </is>
      </c>
      <c r="B9" s="5" t="inlineStr">
        <is>
          <t>Go to  'Chart'</t>
        </is>
      </c>
      <c r="C9" s="6" t="inlineStr">
        <is>
          <t>That is the client deliverable. Change the title / subtitle / footnote on 'Inputs' and the chart updates. Right-click the chart &gt; Copy, then paste into PowerPoint or Outlook as a picture. Or Ctrl+P &gt; the sheet is already set to print one landscape page / PDF.</t>
        </is>
      </c>
    </row>
    <row r="11" ht="18" customHeight="1">
      <c r="A11" s="3" t="inlineStr">
        <is>
          <t xml:space="preserve">   WHAT MAKES THE DATA COHERENT</t>
        </is>
      </c>
    </row>
    <row r="12" ht="30" customHeight="1">
      <c r="A12" s="4" t="inlineStr">
        <is>
          <t>•</t>
        </is>
      </c>
      <c r="B12" s="5" t="inlineStr">
        <is>
          <t>One single calendar</t>
        </is>
      </c>
      <c r="C12" s="6" t="inlineStr">
        <is>
          <t>Every ticker is mapped onto ONE common date axis (all weekdays between your start and end date). No ticker can shift the chart left or right, whatever holiday calendar it trades on.</t>
        </is>
      </c>
    </row>
    <row r="13" ht="30" customHeight="1">
      <c r="A13" s="4" t="inlineStr">
        <is>
          <t>•</t>
        </is>
      </c>
      <c r="B13" s="5" t="inlineStr">
        <is>
          <t>No holes</t>
        </is>
      </c>
      <c r="C13" s="6" t="inlineStr">
        <is>
          <t>If a ticker did not trade on a given day (local holiday, suspension), the previous closing price is carried forward. The line stays continuous instead of collapsing to zero.</t>
        </is>
      </c>
    </row>
    <row r="14" ht="30" customHeight="1">
      <c r="A14" s="4" t="inlineStr">
        <is>
          <t>•</t>
        </is>
      </c>
      <c r="B14" s="5" t="inlineStr">
        <is>
          <t>Same base</t>
        </is>
      </c>
      <c r="C14" s="6" t="inlineStr">
        <is>
          <t>All tickers are rebased to 100 at the SAME initial fixing date, so a 5-underlying worst-of is directly comparable. Switch to absolute prices on 'Inputs' if you only chart one underlying.</t>
        </is>
      </c>
    </row>
    <row r="15" ht="30" customHeight="1">
      <c r="A15" s="4" t="inlineStr">
        <is>
          <t>•</t>
        </is>
      </c>
      <c r="B15" s="5" t="inlineStr">
        <is>
          <t>Quality panel</t>
        </is>
      </c>
      <c r="C15" s="6" t="inlineStr">
        <is>
          <t>'Inputs' shows, per ticker: number of points, first / last date available, and the % of days carried forward. It also tells you the earliest date common to all your tickers — never start a chart before it.</t>
        </is>
      </c>
    </row>
    <row r="17" ht="18" customHeight="1">
      <c r="A17" s="3" t="inlineStr">
        <is>
          <t xml:space="preserve">   THE SHEETS</t>
        </is>
      </c>
    </row>
    <row r="18" ht="16" customHeight="1">
      <c r="A18" s="4" t="inlineStr">
        <is>
          <t>Inputs</t>
        </is>
      </c>
      <c r="B18" s="5" t="inlineStr">
        <is>
          <t>You work here</t>
        </is>
      </c>
      <c r="C18" s="6" t="inlineStr">
        <is>
          <t>Tickers, period, scale, product levels, chart texts, data-quality panel.</t>
        </is>
      </c>
    </row>
    <row r="19" ht="16" customHeight="1">
      <c r="A19" s="4" t="inlineStr">
        <is>
          <t>Chart</t>
        </is>
      </c>
      <c r="B19" s="5" t="inlineStr">
        <is>
          <t>Client deliverable</t>
        </is>
      </c>
      <c r="C19" s="6" t="inlineStr">
        <is>
          <t>The graphic only. Nothing to edit here.</t>
        </is>
      </c>
    </row>
    <row r="20" ht="16" customHeight="1">
      <c r="A20" s="4" t="inlineStr">
        <is>
          <t>Data</t>
        </is>
      </c>
      <c r="B20" s="5" t="inlineStr">
        <is>
          <t>Reuters feed</t>
        </is>
      </c>
      <c r="C20" s="6" t="inlineStr">
        <is>
          <t>One block of Reuters formulas per ticker (date + close). Raw output, do not reformat.</t>
        </is>
      </c>
    </row>
    <row r="21" ht="16" customHeight="1">
      <c r="A21" s="4" t="inlineStr">
        <is>
          <t>Calc</t>
        </is>
      </c>
      <c r="B21" s="5" t="inlineStr">
        <is>
          <t>Engine</t>
        </is>
      </c>
      <c r="C21" s="6" t="inlineStr">
        <is>
          <t>Common date axis, aligned prices, rebasing, level lines. Do not touch.</t>
        </is>
      </c>
    </row>
    <row r="22" ht="30" customHeight="1">
      <c r="A22" s="4" t="inlineStr">
        <is>
          <t>Formulas</t>
        </is>
      </c>
      <c r="B22" s="5" t="inlineStr">
        <is>
          <t>Reference</t>
        </is>
      </c>
      <c r="C22" s="6" t="inlineStr">
        <is>
          <t>The exact Reuters/LSEG formulas used, alternatives (RHistory, total return, weekly/monthly) and troubleshooting.</t>
        </is>
      </c>
    </row>
    <row r="24" ht="18" customHeight="1">
      <c r="A24" s="3" t="inlineStr">
        <is>
          <t xml:space="preserve">   FINE-TUNING THE GRAPHIC</t>
        </is>
      </c>
    </row>
    <row r="25" ht="30" customHeight="1">
      <c r="A25" s="4" t="inlineStr">
        <is>
          <t>•</t>
        </is>
      </c>
      <c r="B25" s="5" t="inlineStr">
        <is>
          <t>Unused legend entries</t>
        </is>
      </c>
      <c r="C25" s="6" t="inlineStr">
        <is>
          <t>Slots you did not fill appear in the legend as (unused). Click the legend once, click that entry once more, press Delete. It removes the label, not the series - clearing a RIC later brings it back.</t>
        </is>
      </c>
    </row>
    <row r="26" ht="30" customHeight="1">
      <c r="A26" s="4" t="inlineStr">
        <is>
          <t>•</t>
        </is>
      </c>
      <c r="B26" s="5" t="inlineStr">
        <is>
          <t>Vertical scale</t>
        </is>
      </c>
      <c r="C26" s="6" t="inlineStr">
        <is>
          <t>Excel picks the scale automatically. To tighten or widen it, right-click the vertical axis &gt; Format Axis &gt; set Minimum / Maximum. Keeping the capital barrier visible is usually the constraint.</t>
        </is>
      </c>
    </row>
    <row r="27" ht="30" customHeight="1">
      <c r="A27" s="4" t="inlineStr">
        <is>
          <t>•</t>
        </is>
      </c>
      <c r="B27" s="5" t="inlineStr">
        <is>
          <t>Date labels</t>
        </is>
      </c>
      <c r="C27" s="6" t="inlineStr">
        <is>
          <t>Right-click the date axis &gt; Format Axis &gt; Units to switch between months, quarters and years if the labels crowd.</t>
        </is>
      </c>
    </row>
    <row r="28" ht="30" customHeight="1">
      <c r="A28" s="4" t="inlineStr">
        <is>
          <t>•</t>
        </is>
      </c>
      <c r="B28" s="5" t="inlineStr">
        <is>
          <t>Colours</t>
        </is>
      </c>
      <c r="C28" s="6" t="inlineStr">
        <is>
          <t>Click a line once, then Format &gt; Shape Outline. The palette was chosen so the four barrier lines stay distinguishable in black and white.</t>
        </is>
      </c>
    </row>
    <row r="29" ht="16" customHeight="1">
      <c r="A29" s="4" t="inlineStr">
        <is>
          <t>•</t>
        </is>
      </c>
      <c r="B29" s="5" t="inlineStr">
        <is>
          <t>Size</t>
        </is>
      </c>
      <c r="C29" s="6" t="inlineStr">
        <is>
          <t>Drag the chart corner. It is anchored to cell B5 and prints on one landscape page as it is.</t>
        </is>
      </c>
    </row>
    <row r="31" ht="18" customHeight="1">
      <c r="A31" s="3" t="inlineStr">
        <is>
          <t xml:space="preserve">   IMPORTANT</t>
        </is>
      </c>
    </row>
    <row r="32" ht="30" customHeight="1">
      <c r="A32" s="4" t="inlineStr">
        <is>
          <t>!</t>
        </is>
      </c>
      <c r="B32" s="5" t="inlineStr">
        <is>
          <t>Data shows NAME errors</t>
        </is>
      </c>
      <c r="C32" s="6" t="inlineStr">
        <is>
          <t>Means the LSEG/Refinitiv Excel add-in is not loaded on this machine. File &gt; Options &gt; Add-ins &gt; enable it, then Refresh All. See the 'Formulas' sheet.</t>
        </is>
      </c>
    </row>
    <row r="33" ht="30" customHeight="1">
      <c r="A33" s="4" t="inlineStr">
        <is>
          <t>!</t>
        </is>
      </c>
      <c r="B33" s="5" t="inlineStr">
        <is>
          <t>Manual override</t>
        </is>
      </c>
      <c r="C33" s="6" t="inlineStr">
        <is>
          <t>No add-in? You can paste Date / Close straight into the Data blocks (column 1 = date, column 2 = close). Everything downstream keeps working.</t>
        </is>
      </c>
    </row>
    <row r="34" ht="30" customHeight="1">
      <c r="A34" s="4" t="inlineStr">
        <is>
          <t>!</t>
        </is>
      </c>
      <c r="B34" s="5" t="inlineStr">
        <is>
          <t>Before sending</t>
        </is>
      </c>
      <c r="C34" s="6" t="inlineStr">
        <is>
          <t>Check the quality panel is green, check the footnote and the disclaimer, and remove any unused legend entry (click it once, press Delete).</t>
        </is>
      </c>
    </row>
    <row r="36">
      <c r="B36" s="7" t="inlineStr">
        <is>
          <t>Internal tool. Data source: LSEG / Refinitiv (Reuters). Not a research report.</t>
        </is>
      </c>
    </row>
  </sheetData>
  <mergeCells count="7">
    <mergeCell ref="A1:J1"/>
    <mergeCell ref="A11:C11"/>
    <mergeCell ref="A5:C5"/>
    <mergeCell ref="A31:C31"/>
    <mergeCell ref="A17:C17"/>
    <mergeCell ref="A2:J2"/>
    <mergeCell ref="A24:C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26" customWidth="1" min="2" max="2"/>
    <col width="22" customWidth="1" min="3" max="3"/>
    <col width="16" customWidth="1" min="4" max="4"/>
    <col width="16" customWidth="1" min="5" max="5"/>
    <col width="14" customWidth="1" min="6" max="6"/>
    <col width="16" customWidth="1" min="7" max="7"/>
    <col width="30"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ht="30" customHeight="1">
      <c r="A1" s="1" t="inlineStr">
        <is>
          <t>INPUTS  —  CONTROL PANEL</t>
        </is>
      </c>
    </row>
    <row r="2" ht="16" customHeight="1">
      <c r="A2" s="2" t="inlineStr">
        <is>
          <t>Type only in the yellow cells.  Blue text = your input.  Black = calculated.</t>
        </is>
      </c>
    </row>
    <row r="4" ht="18" customHeight="1">
      <c r="A4" s="3" t="inlineStr">
        <is>
          <t xml:space="preserve">   1.  UNDERLYINGS   (leave a Reuters code blank to disable the slot)</t>
        </is>
      </c>
    </row>
    <row r="5" ht="28" customHeight="1">
      <c r="B5" s="8" t="inlineStr">
        <is>
          <t>Reuters code (RIC)</t>
        </is>
      </c>
      <c r="C5" s="8" t="inlineStr">
        <is>
          <t>Name shown in legend</t>
        </is>
      </c>
      <c r="D5" s="8" t="inlineStr">
        <is>
          <t>Points loaded</t>
        </is>
      </c>
      <c r="E5" s="8" t="inlineStr">
        <is>
          <t>First date</t>
        </is>
      </c>
      <c r="F5" s="8" t="inlineStr">
        <is>
          <t>Last date</t>
        </is>
      </c>
      <c r="G5" s="8" t="inlineStr">
        <is>
          <t>% days carried fwd</t>
        </is>
      </c>
      <c r="H5" s="8" t="inlineStr">
        <is>
          <t>Status</t>
        </is>
      </c>
      <c r="J5" s="9" t="inlineStr">
        <is>
          <t>legend text</t>
        </is>
      </c>
    </row>
    <row r="6">
      <c r="A6" s="10" t="inlineStr">
        <is>
          <t>1</t>
        </is>
      </c>
      <c r="B6" s="11" t="inlineStr">
        <is>
          <t>.STOXX50E</t>
        </is>
      </c>
      <c r="C6" s="11" t="inlineStr">
        <is>
          <t>EURO STOXX 50</t>
        </is>
      </c>
      <c r="D6" s="12">
        <f>IF($B6="","",COUNT(Data!$A$10:$A$3209))</f>
        <v/>
      </c>
      <c r="E6" s="13">
        <f>IF($D6="","",IF($D6=0,"",INT(MIN(Data!$A$10:$A$3209))))</f>
        <v/>
      </c>
      <c r="F6" s="13">
        <f>IF($D6="","",IF($D6=0,"",INT(MAX(Data!$A$10:$A$3209))))</f>
        <v/>
      </c>
      <c r="G6" s="14">
        <f>IF($B6="","",IF(SUM(Calc!$B$11:$B$2610)=0,"",1-SUM(Calc!$AD$11:$AD$2610)/SUM(Calc!$B$11:$B$2610)))</f>
        <v/>
      </c>
      <c r="H6" s="15">
        <f>IF($B6="","not used",IF($D6=0,"NO DATA - check the RIC, then Refresh All",IF($E6&gt;$C$14,"HISTORY STARTS "&amp;TEXT($E6,"dd-mmm-yy")&amp;" - move the start date",IF($F6&lt;$C$15-7,"STALE - last quote "&amp;TEXT($F6,"dd-mmm-yy"),IF($G6&gt;0.15,"OK - but many carried days","OK")))))</f>
        <v/>
      </c>
      <c r="J6" s="16">
        <f>IF($B6="","(unused)",IF($C6="",$B6,$C6))</f>
        <v/>
      </c>
    </row>
    <row r="7">
      <c r="A7" s="17" t="inlineStr">
        <is>
          <t>2</t>
        </is>
      </c>
      <c r="B7" s="11" t="inlineStr">
        <is>
          <t>.SPX</t>
        </is>
      </c>
      <c r="C7" s="11" t="inlineStr">
        <is>
          <t>S&amp;P 500</t>
        </is>
      </c>
      <c r="D7" s="12">
        <f>IF($B7="","",COUNT(Data!$E$10:$E$3209))</f>
        <v/>
      </c>
      <c r="E7" s="13">
        <f>IF($D7="","",IF($D7=0,"",INT(MIN(Data!$E$10:$E$3209))))</f>
        <v/>
      </c>
      <c r="F7" s="13">
        <f>IF($D7="","",IF($D7=0,"",INT(MAX(Data!$E$10:$E$3209))))</f>
        <v/>
      </c>
      <c r="G7" s="14">
        <f>IF($B7="","",IF(SUM(Calc!$B$11:$B$2610)=0,"",1-SUM(Calc!$AE$11:$AE$2610)/SUM(Calc!$B$11:$B$2610)))</f>
        <v/>
      </c>
      <c r="H7" s="15">
        <f>IF($B7="","not used",IF($D7=0,"NO DATA - check the RIC, then Refresh All",IF($E7&gt;$C$14,"HISTORY STARTS "&amp;TEXT($E7,"dd-mmm-yy")&amp;" - move the start date",IF($F7&lt;$C$15-7,"STALE - last quote "&amp;TEXT($F7,"dd-mmm-yy"),IF($G7&gt;0.15,"OK - but many carried days","OK")))))</f>
        <v/>
      </c>
      <c r="J7" s="16">
        <f>IF($B7="","(unused)",IF($C7="",$B7,$C7))</f>
        <v/>
      </c>
    </row>
    <row r="8">
      <c r="A8" s="18" t="inlineStr">
        <is>
          <t>3</t>
        </is>
      </c>
      <c r="B8" s="11" t="inlineStr"/>
      <c r="C8" s="11" t="inlineStr"/>
      <c r="D8" s="12">
        <f>IF($B8="","",COUNT(Data!$I$10:$I$3209))</f>
        <v/>
      </c>
      <c r="E8" s="13">
        <f>IF($D8="","",IF($D8=0,"",INT(MIN(Data!$I$10:$I$3209))))</f>
        <v/>
      </c>
      <c r="F8" s="13">
        <f>IF($D8="","",IF($D8=0,"",INT(MAX(Data!$I$10:$I$3209))))</f>
        <v/>
      </c>
      <c r="G8" s="14">
        <f>IF($B8="","",IF(SUM(Calc!$B$11:$B$2610)=0,"",1-SUM(Calc!$AF$11:$AF$2610)/SUM(Calc!$B$11:$B$2610)))</f>
        <v/>
      </c>
      <c r="H8" s="15">
        <f>IF($B8="","not used",IF($D8=0,"NO DATA - check the RIC, then Refresh All",IF($E8&gt;$C$14,"HISTORY STARTS "&amp;TEXT($E8,"dd-mmm-yy")&amp;" - move the start date",IF($F8&lt;$C$15-7,"STALE - last quote "&amp;TEXT($F8,"dd-mmm-yy"),IF($G8&gt;0.15,"OK - but many carried days","OK")))))</f>
        <v/>
      </c>
      <c r="J8" s="16">
        <f>IF($B8="","(unused)",IF($C8="",$B8,$C8))</f>
        <v/>
      </c>
    </row>
    <row r="9">
      <c r="A9" s="19" t="inlineStr">
        <is>
          <t>4</t>
        </is>
      </c>
      <c r="B9" s="11" t="inlineStr"/>
      <c r="C9" s="11" t="inlineStr"/>
      <c r="D9" s="12">
        <f>IF($B9="","",COUNT(Data!$M$10:$M$3209))</f>
        <v/>
      </c>
      <c r="E9" s="13">
        <f>IF($D9="","",IF($D9=0,"",INT(MIN(Data!$M$10:$M$3209))))</f>
        <v/>
      </c>
      <c r="F9" s="13">
        <f>IF($D9="","",IF($D9=0,"",INT(MAX(Data!$M$10:$M$3209))))</f>
        <v/>
      </c>
      <c r="G9" s="14">
        <f>IF($B9="","",IF(SUM(Calc!$B$11:$B$2610)=0,"",1-SUM(Calc!$AG$11:$AG$2610)/SUM(Calc!$B$11:$B$2610)))</f>
        <v/>
      </c>
      <c r="H9" s="15">
        <f>IF($B9="","not used",IF($D9=0,"NO DATA - check the RIC, then Refresh All",IF($E9&gt;$C$14,"HISTORY STARTS "&amp;TEXT($E9,"dd-mmm-yy")&amp;" - move the start date",IF($F9&lt;$C$15-7,"STALE - last quote "&amp;TEXT($F9,"dd-mmm-yy"),IF($G9&gt;0.15,"OK - but many carried days","OK")))))</f>
        <v/>
      </c>
      <c r="J9" s="16">
        <f>IF($B9="","(unused)",IF($C9="",$B9,$C9))</f>
        <v/>
      </c>
    </row>
    <row r="10">
      <c r="A10" s="20" t="inlineStr">
        <is>
          <t>5</t>
        </is>
      </c>
      <c r="B10" s="11" t="inlineStr"/>
      <c r="C10" s="11" t="inlineStr"/>
      <c r="D10" s="12">
        <f>IF($B10="","",COUNT(Data!$Q$10:$Q$3209))</f>
        <v/>
      </c>
      <c r="E10" s="13">
        <f>IF($D10="","",IF($D10=0,"",INT(MIN(Data!$Q$10:$Q$3209))))</f>
        <v/>
      </c>
      <c r="F10" s="13">
        <f>IF($D10="","",IF($D10=0,"",INT(MAX(Data!$Q$10:$Q$3209))))</f>
        <v/>
      </c>
      <c r="G10" s="14">
        <f>IF($B10="","",IF(SUM(Calc!$B$11:$B$2610)=0,"",1-SUM(Calc!$AH$11:$AH$2610)/SUM(Calc!$B$11:$B$2610)))</f>
        <v/>
      </c>
      <c r="H10" s="15">
        <f>IF($B10="","not used",IF($D10=0,"NO DATA - check the RIC, then Refresh All",IF($E10&gt;$C$14,"HISTORY STARTS "&amp;TEXT($E10,"dd-mmm-yy")&amp;" - move the start date",IF($F10&lt;$C$15-7,"STALE - last quote "&amp;TEXT($F10,"dd-mmm-yy"),IF($G10&gt;0.15,"OK - but many carried days","OK")))))</f>
        <v/>
      </c>
      <c r="J10" s="16">
        <f>IF($B10="","(unused)",IF($C10="",$B10,$C10))</f>
        <v/>
      </c>
    </row>
    <row r="12" ht="18" customHeight="1">
      <c r="A12" s="3" t="inlineStr">
        <is>
          <t xml:space="preserve">   2.  PERIOD  &amp;  SCALE</t>
        </is>
      </c>
    </row>
    <row r="14">
      <c r="B14" s="5" t="inlineStr">
        <is>
          <t>Start date</t>
        </is>
      </c>
      <c r="C14" s="21">
        <f>EDATE(TODAY(),-36)</f>
        <v/>
      </c>
      <c r="D14" s="22" t="inlineStr">
        <is>
          <t>First date on the chart</t>
        </is>
      </c>
    </row>
    <row r="15">
      <c r="B15" s="5" t="inlineStr">
        <is>
          <t>End date</t>
        </is>
      </c>
      <c r="C15" s="21">
        <f>TODAY()</f>
        <v/>
      </c>
      <c r="D15" s="22" t="inlineStr">
        <is>
          <t>Last date on the chart</t>
        </is>
      </c>
    </row>
    <row r="16">
      <c r="B16" s="5" t="inlineStr">
        <is>
          <t>Initial fixing date</t>
        </is>
      </c>
      <c r="C16" s="21">
        <f>$C$14</f>
        <v/>
      </c>
      <c r="D16" s="22" t="inlineStr">
        <is>
          <t>Strike date of the product: every underlying = 100 here</t>
        </is>
      </c>
    </row>
    <row r="17">
      <c r="B17" s="5" t="inlineStr">
        <is>
          <t>Scale</t>
        </is>
      </c>
      <c r="C17" s="11" t="inlineStr">
        <is>
          <t>Rebased to 100</t>
        </is>
      </c>
      <c r="D17" s="22" t="inlineStr">
        <is>
          <t>Rebased to 100 = compare several underlyings.   Absolute price = one underlying only.</t>
        </is>
      </c>
    </row>
    <row r="18">
      <c r="B18" s="5" t="inlineStr">
        <is>
          <t>Show worst-of line</t>
        </is>
      </c>
      <c r="C18" s="11" t="inlineStr">
        <is>
          <t>No</t>
        </is>
      </c>
      <c r="D18" s="22" t="inlineStr">
        <is>
          <t>Adds the minimum of all active underlyings - the worst-of used in the payoff</t>
        </is>
      </c>
    </row>
    <row r="19">
      <c r="B19" s="5" t="inlineStr">
        <is>
          <t>Worst-of legend name</t>
        </is>
      </c>
      <c r="C19" s="11" t="inlineStr">
        <is>
          <t>Worst-of basket</t>
        </is>
      </c>
      <c r="D19" s="22" t="inlineStr">
        <is>
          <t>Text shown in the legend for that line</t>
        </is>
      </c>
      <c r="J19" s="16">
        <f>IF($C$18&lt;&gt;"Yes","(unused)",IF($C$19="","Worst-of",$C$19))</f>
        <v/>
      </c>
    </row>
    <row r="20">
      <c r="B20" s="5" t="inlineStr">
        <is>
          <t>Earliest date common to all</t>
        </is>
      </c>
      <c r="C20" s="23">
        <f>IF(COUNT($E$6:$E$10)=0,"",MAX($E$6:$E$10))</f>
        <v/>
      </c>
      <c r="D20" s="24" t="inlineStr">
        <is>
          <t>Never set the start date before this: a shorter history would be rebased on a missing price.</t>
        </is>
      </c>
    </row>
    <row r="22" ht="18" customHeight="1">
      <c r="A22" s="3" t="inlineStr">
        <is>
          <t xml:space="preserve">   3.  PRODUCT LEVELS   (drawn as dashed lines on the chart)</t>
        </is>
      </c>
    </row>
    <row r="23" ht="28" customHeight="1">
      <c r="B23" s="8" t="inlineStr">
        <is>
          <t>Show?</t>
        </is>
      </c>
      <c r="C23" s="8" t="inlineStr">
        <is>
          <t>Label on the chart</t>
        </is>
      </c>
      <c r="D23" s="8" t="inlineStr">
        <is>
          <t>% of initial</t>
        </is>
      </c>
      <c r="E23" s="8" t="inlineStr">
        <is>
          <t>Plotted at</t>
        </is>
      </c>
      <c r="F23" s="8" t="inlineStr">
        <is>
          <t>Line colour</t>
        </is>
      </c>
      <c r="H23" s="8" t="inlineStr">
        <is>
          <t>Typical use</t>
        </is>
      </c>
      <c r="J23" s="9" t="inlineStr">
        <is>
          <t>legend text</t>
        </is>
      </c>
    </row>
    <row r="24">
      <c r="B24" s="25" t="inlineStr">
        <is>
          <t>No</t>
        </is>
      </c>
      <c r="C24" s="11" t="inlineStr">
        <is>
          <t>Initial level 100%</t>
        </is>
      </c>
      <c r="D24" s="26" t="n">
        <v>1</v>
      </c>
      <c r="E24" s="27">
        <f>IF($B24&lt;&gt;"Yes","",$D24*$C$35)</f>
        <v/>
      </c>
      <c r="F24" s="28" t="inlineStr">
        <is>
          <t>Black</t>
        </is>
      </c>
      <c r="H24" s="22" t="inlineStr">
        <is>
          <t>Strike / initial fixing - redundant if the autocall sits at 100%</t>
        </is>
      </c>
      <c r="J24" s="16">
        <f>IF($B24&lt;&gt;"Yes","(unused)",IF($C24="","Level "&amp;ROW()-23,$C24))</f>
        <v/>
      </c>
    </row>
    <row r="25">
      <c r="B25" s="25" t="inlineStr">
        <is>
          <t>Yes</t>
        </is>
      </c>
      <c r="C25" s="11" t="inlineStr">
        <is>
          <t>Autocall trigger 100%</t>
        </is>
      </c>
      <c r="D25" s="26" t="n">
        <v>1</v>
      </c>
      <c r="E25" s="27">
        <f>IF($B25&lt;&gt;"Yes","",$D25*$C$35)</f>
        <v/>
      </c>
      <c r="F25" s="29" t="inlineStr">
        <is>
          <t>Green</t>
        </is>
      </c>
      <c r="H25" s="22" t="inlineStr">
        <is>
          <t>Early redemption barrier, observed on the recall dates</t>
        </is>
      </c>
      <c r="J25" s="16">
        <f>IF($B25&lt;&gt;"Yes","(unused)",IF($C25="","Level "&amp;ROW()-23,$C25))</f>
        <v/>
      </c>
    </row>
    <row r="26">
      <c r="B26" s="25" t="inlineStr">
        <is>
          <t>Yes</t>
        </is>
      </c>
      <c r="C26" s="11" t="inlineStr">
        <is>
          <t>Coupon barrier 70%</t>
        </is>
      </c>
      <c r="D26" s="26" t="n">
        <v>0.7</v>
      </c>
      <c r="E26" s="27">
        <f>IF($B26&lt;&gt;"Yes","",$D26*$C$35)</f>
        <v/>
      </c>
      <c r="F26" s="30" t="inlineStr">
        <is>
          <t>Gold</t>
        </is>
      </c>
      <c r="H26" s="22" t="inlineStr">
        <is>
          <t>Memory / conditional coupon barrier</t>
        </is>
      </c>
      <c r="J26" s="16">
        <f>IF($B26&lt;&gt;"Yes","(unused)",IF($C26="","Level "&amp;ROW()-23,$C26))</f>
        <v/>
      </c>
    </row>
    <row r="27">
      <c r="B27" s="25" t="inlineStr">
        <is>
          <t>Yes</t>
        </is>
      </c>
      <c r="C27" s="11" t="inlineStr">
        <is>
          <t>Capital barrier 60%</t>
        </is>
      </c>
      <c r="D27" s="26" t="n">
        <v>0.6</v>
      </c>
      <c r="E27" s="27">
        <f>IF($B27&lt;&gt;"Yes","",$D27*$C$35)</f>
        <v/>
      </c>
      <c r="F27" s="31" t="inlineStr">
        <is>
          <t>Red</t>
        </is>
      </c>
      <c r="H27" s="22" t="inlineStr">
        <is>
          <t>European or American knock-in on capital</t>
        </is>
      </c>
      <c r="J27" s="16">
        <f>IF($B27&lt;&gt;"Yes","(unused)",IF($C27="","Level "&amp;ROW()-23,$C27))</f>
        <v/>
      </c>
    </row>
    <row r="28">
      <c r="B28" s="25" t="inlineStr">
        <is>
          <t>No</t>
        </is>
      </c>
      <c r="C28" s="11" t="inlineStr">
        <is>
          <t>Custom level 1</t>
        </is>
      </c>
      <c r="D28" s="26" t="n">
        <v>0.8</v>
      </c>
      <c r="E28" s="27">
        <f>IF($B28&lt;&gt;"Yes","",$D28*$C$35)</f>
        <v/>
      </c>
      <c r="F28" s="32" t="inlineStr">
        <is>
          <t>Purple</t>
        </is>
      </c>
      <c r="H28" s="22" t="inlineStr">
        <is>
          <t>Step-down, cap, protection floor, entry level...</t>
        </is>
      </c>
      <c r="J28" s="16">
        <f>IF($B28&lt;&gt;"Yes","(unused)",IF($C28="","Level "&amp;ROW()-23,$C28))</f>
        <v/>
      </c>
    </row>
    <row r="29">
      <c r="B29" s="25" t="inlineStr">
        <is>
          <t>No</t>
        </is>
      </c>
      <c r="C29" s="11" t="inlineStr">
        <is>
          <t>Custom level 2</t>
        </is>
      </c>
      <c r="D29" s="26" t="n">
        <v>1.2</v>
      </c>
      <c r="E29" s="27">
        <f>IF($B29&lt;&gt;"Yes","",$D29*$C$35)</f>
        <v/>
      </c>
      <c r="F29" s="33" t="inlineStr">
        <is>
          <t>Grey</t>
        </is>
      </c>
      <c r="H29" s="22" t="inlineStr">
        <is>
          <t>Free line</t>
        </is>
      </c>
      <c r="J29" s="16">
        <f>IF($B29&lt;&gt;"Yes","(unused)",IF($C29="","Level "&amp;ROW()-23,$C29))</f>
        <v/>
      </c>
    </row>
    <row r="31" ht="18" customHeight="1">
      <c r="A31" s="3" t="inlineStr">
        <is>
          <t xml:space="preserve">   4.  CHART TEXTS</t>
        </is>
      </c>
    </row>
    <row r="32">
      <c r="B32" s="5" t="inlineStr">
        <is>
          <t>Chart title</t>
        </is>
      </c>
      <c r="C32" s="11" t="inlineStr">
        <is>
          <t>EURO STOXX 50 vs S&amp;P 500 - historical performance</t>
        </is>
      </c>
      <c r="D32" s="34" t="n"/>
      <c r="E32" s="34" t="n"/>
      <c r="F32" s="34" t="n"/>
      <c r="G32" s="34" t="n"/>
      <c r="H32" s="35" t="n"/>
    </row>
    <row r="33">
      <c r="B33" s="5" t="inlineStr">
        <is>
          <t>Subtitle</t>
        </is>
      </c>
      <c r="C33" s="11" t="inlineStr">
        <is>
          <t>Daily closing prices, rebased to 100 at the initial fixing date</t>
        </is>
      </c>
      <c r="D33" s="34" t="n"/>
      <c r="E33" s="34" t="n"/>
      <c r="F33" s="34" t="n"/>
      <c r="G33" s="34" t="n"/>
      <c r="H33" s="35" t="n"/>
    </row>
    <row r="34">
      <c r="B34" s="5" t="inlineStr">
        <is>
          <t>Footnote / source</t>
        </is>
      </c>
      <c r="C34" s="11">
        <f>"Source: LSEG / Refinitiv - daily closing prices, "&amp;TEXT($C$14,"dd mmm yyyy")&amp;" to "&amp;TEXT($C$15,"dd mmm yyyy")&amp;". Past performance is not a reliable indicator of future performance."</f>
        <v/>
      </c>
      <c r="D34" s="34" t="n"/>
      <c r="E34" s="34" t="n"/>
      <c r="F34" s="34" t="n"/>
      <c r="G34" s="34" t="n"/>
      <c r="H34" s="35" t="n"/>
    </row>
    <row r="35">
      <c r="B35" s="5" t="inlineStr">
        <is>
          <t>Chart base value</t>
        </is>
      </c>
      <c r="C35" s="27">
        <f>IF($C$17="Rebased to 100",100,IF(N(Calc!$C$8)=0,100,Calc!$C$8))</f>
        <v/>
      </c>
      <c r="D35" s="22" t="inlineStr">
        <is>
          <t>100 when rebased, otherwise the initial price of underlying 1. The levels above are a % of this.</t>
        </is>
      </c>
    </row>
    <row r="37">
      <c r="B37" s="7" t="inlineStr">
        <is>
          <t>Full title fed to the chart</t>
        </is>
      </c>
      <c r="C37" s="36">
        <f>$C$32&amp;CHAR(10)&amp;$C$33</f>
        <v/>
      </c>
    </row>
    <row r="38">
      <c r="B38" s="7" t="inlineStr">
        <is>
          <t>Y-axis title fed to the chart</t>
        </is>
      </c>
      <c r="C38" s="36">
        <f>IF($C$17="Rebased to 100","Performance rebased to 100","Price level")</f>
        <v/>
      </c>
    </row>
    <row r="40">
      <c r="B40" s="37" t="inlineStr">
        <is>
          <t>Points plotted</t>
        </is>
      </c>
      <c r="C40" s="38">
        <f>SUM(Calc!$B$11:$B$2610)</f>
        <v/>
      </c>
    </row>
    <row r="41">
      <c r="B41" s="37" t="inlineStr">
        <is>
          <t>Maximum available</t>
        </is>
      </c>
      <c r="C41" s="39" t="n">
        <v>2600</v>
      </c>
      <c r="D41" s="40">
        <f>IF($C$40&gt;=$C$41,"PERIOD TOO LONG - the chart stops after "&amp;$C$41&amp;" weekdays (about 10 years). Shorten the period.","About 10 years of weekdays - period fits.")</f>
        <v/>
      </c>
    </row>
  </sheetData>
  <mergeCells count="10">
    <mergeCell ref="A12:H12"/>
    <mergeCell ref="A4:H4"/>
    <mergeCell ref="C32:H32"/>
    <mergeCell ref="C33:H33"/>
    <mergeCell ref="A2:H2"/>
    <mergeCell ref="C34:H34"/>
    <mergeCell ref="D41:H41"/>
    <mergeCell ref="A1:H1"/>
    <mergeCell ref="A31:H31"/>
    <mergeCell ref="A22:H22"/>
  </mergeCells>
  <dataValidations count="2">
    <dataValidation sqref="C17" showDropDown="0" showInputMessage="0" showErrorMessage="0" allowBlank="0" type="list">
      <formula1>"Rebased to 100,Absolute price"</formula1>
    </dataValidation>
    <dataValidation sqref="B24 B25 B26 B27 B28 B29 C18"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
  <sheetViews>
    <sheetView showGridLines="1" zoomScale="100" workbookViewId="0">
      <selection activeCell="A1" sqref="A1"/>
    </sheetView>
  </sheetViews>
  <sheetFormatPr baseColWidth="8" defaultRowHeight="15"/>
  <cols>
    <col width="12" customWidth="1" min="1" max="1"/>
    <col width="12" customWidth="1" min="2" max="2"/>
    <col width="11" customWidth="1" min="3" max="3"/>
    <col width="11" customWidth="1" min="4" max="4"/>
    <col width="12" customWidth="1" min="5" max="5"/>
    <col width="12" customWidth="1" min="6" max="6"/>
    <col width="11" customWidth="1" min="7" max="7"/>
    <col width="11" customWidth="1" min="8" max="8"/>
    <col width="12" customWidth="1" min="9" max="9"/>
    <col width="12" customWidth="1" min="10" max="10"/>
    <col width="11" customWidth="1" min="11" max="11"/>
    <col width="11" customWidth="1" min="12" max="12"/>
    <col width="12" customWidth="1" min="13" max="13"/>
    <col width="12" customWidth="1" min="14" max="14"/>
    <col width="11" customWidth="1" min="15" max="15"/>
    <col width="11"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ht="30" customHeight="1">
      <c r="A1" s="1" t="inlineStr">
        <is>
          <t>DATA  —  REUTERS / LSEG FEED</t>
        </is>
      </c>
    </row>
    <row r="2" ht="16" customHeight="1">
      <c r="A2" s="2" t="inlineStr">
        <is>
          <t>Raw output of the add-in. Column 1 = date, column 2 = closing price. Do not insert rows or columns.</t>
        </is>
      </c>
    </row>
    <row r="4">
      <c r="A4" s="41" t="inlineStr">
        <is>
          <t>UNDERLYING 1</t>
        </is>
      </c>
      <c r="E4" s="42" t="inlineStr">
        <is>
          <t>UNDERLYING 2</t>
        </is>
      </c>
      <c r="I4" s="43" t="inlineStr">
        <is>
          <t>UNDERLYING 3</t>
        </is>
      </c>
      <c r="M4" s="44" t="inlineStr">
        <is>
          <t>UNDERLYING 4</t>
        </is>
      </c>
      <c r="Q4" s="45" t="inlineStr">
        <is>
          <t>UNDERLYING 5</t>
        </is>
      </c>
    </row>
    <row r="5">
      <c r="A5" s="46">
        <f>Inputs!$B$6</f>
        <v/>
      </c>
      <c r="E5" s="46">
        <f>Inputs!$B$7</f>
        <v/>
      </c>
      <c r="I5" s="46">
        <f>Inputs!$B$8</f>
        <v/>
      </c>
      <c r="M5" s="46">
        <f>Inputs!$B$9</f>
        <v/>
      </c>
      <c r="Q5" s="46">
        <f>Inputs!$B$10</f>
        <v/>
      </c>
    </row>
    <row r="6">
      <c r="A6" s="47">
        <f>Inputs!$C$6</f>
        <v/>
      </c>
      <c r="E6" s="47">
        <f>Inputs!$C$7</f>
        <v/>
      </c>
      <c r="I6" s="47">
        <f>Inputs!$C$8</f>
        <v/>
      </c>
      <c r="M6" s="47">
        <f>Inputs!$C$9</f>
        <v/>
      </c>
      <c r="Q6" s="47">
        <f>Inputs!$C$10</f>
        <v/>
      </c>
    </row>
    <row r="8">
      <c r="A8" s="48">
        <f>IF(Inputs!$B$6="","slot not used",COUNT(A10:A3209)&amp;" points")</f>
        <v/>
      </c>
      <c r="E8" s="48">
        <f>IF(Inputs!$B$7="","slot not used",COUNT(E10:E3209)&amp;" points")</f>
        <v/>
      </c>
      <c r="I8" s="48">
        <f>IF(Inputs!$B$8="","slot not used",COUNT(I10:I3209)&amp;" points")</f>
        <v/>
      </c>
      <c r="M8" s="48">
        <f>IF(Inputs!$B$9="","slot not used",COUNT(M10:M3209)&amp;" points")</f>
        <v/>
      </c>
      <c r="Q8" s="48">
        <f>IF(Inputs!$B$10="","slot not used",COUNT(Q10:Q3209)&amp;" points")</f>
        <v/>
      </c>
    </row>
    <row r="9">
      <c r="A9" s="49" t="inlineStr">
        <is>
          <t>↓ Reuters formulas below (red). Refresh with the LSEG ribbon &gt; Refresh All, or Ctrl+Alt+F9.</t>
        </is>
      </c>
    </row>
    <row r="10">
      <c r="A10" s="50">
        <f>IF(Inputs!$B$6="","",@TR(Inputs!$B$6,"TR.PriceClose.date;TR.PriceClose","SDate="&amp;TEXT(Inputs!$C$14,"yyyy-mm-dd")&amp;" EDate="&amp;TEXT(Inputs!$C$15,"yyyy-mm-dd")&amp;" Frq=D CH=Fd RH=IN Null=Skip"))</f>
        <v/>
      </c>
      <c r="E10" s="50">
        <f>IF(Inputs!$B$7="","",@TR(Inputs!$B$7,"TR.PriceClose.date;TR.PriceClose","SDate="&amp;TEXT(Inputs!$C$14,"yyyy-mm-dd")&amp;" EDate="&amp;TEXT(Inputs!$C$15,"yyyy-mm-dd")&amp;" Frq=D CH=Fd RH=IN Null=Skip"))</f>
        <v/>
      </c>
      <c r="I10" s="50">
        <f>IF(Inputs!$B$8="","",@TR(Inputs!$B$8,"TR.PriceClose.date;TR.PriceClose","SDate="&amp;TEXT(Inputs!$C$14,"yyyy-mm-dd")&amp;" EDate="&amp;TEXT(Inputs!$C$15,"yyyy-mm-dd")&amp;" Frq=D CH=Fd RH=IN Null=Skip"))</f>
        <v/>
      </c>
      <c r="M10" s="50">
        <f>IF(Inputs!$B$9="","",@TR(Inputs!$B$9,"TR.PriceClose.date;TR.PriceClose","SDate="&amp;TEXT(Inputs!$C$14,"yyyy-mm-dd")&amp;" EDate="&amp;TEXT(Inputs!$C$15,"yyyy-mm-dd")&amp;" Frq=D CH=Fd RH=IN Null=Skip"))</f>
        <v/>
      </c>
      <c r="Q10" s="50">
        <f>IF(Inputs!$B$10="","",@TR(Inputs!$B$10,"TR.PriceClose.date;TR.PriceClose","SDate="&amp;TEXT(Inputs!$C$14,"yyyy-mm-dd")&amp;" EDate="&amp;TEXT(Inputs!$C$15,"yyyy-mm-dd")&amp;" Frq=D CH=Fd RH=IN Null=Skip"))</f>
        <v/>
      </c>
    </row>
  </sheetData>
  <mergeCells count="22">
    <mergeCell ref="I6:J6"/>
    <mergeCell ref="E5:F5"/>
    <mergeCell ref="M5:N5"/>
    <mergeCell ref="E8:F8"/>
    <mergeCell ref="A6:B6"/>
    <mergeCell ref="Q8:R8"/>
    <mergeCell ref="A1:T1"/>
    <mergeCell ref="E4:F4"/>
    <mergeCell ref="Q5:R5"/>
    <mergeCell ref="Q4:R4"/>
    <mergeCell ref="E6:F6"/>
    <mergeCell ref="M6:N6"/>
    <mergeCell ref="Q6:R6"/>
    <mergeCell ref="A5:B5"/>
    <mergeCell ref="I5:J5"/>
    <mergeCell ref="A2:T2"/>
    <mergeCell ref="I8:J8"/>
    <mergeCell ref="A8:B8"/>
    <mergeCell ref="M8:N8"/>
    <mergeCell ref="A4:B4"/>
    <mergeCell ref="I4:J4"/>
    <mergeCell ref="M4:N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10"/>
  <sheetViews>
    <sheetView showGridLines="1" zoomScale="100" workbookViewId="0">
      <pane xSplit="2" ySplit="10" topLeftCell="C11"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1" customWidth="1" min="14" max="14"/>
    <col width="10" customWidth="1" min="15" max="15"/>
    <col width="10" customWidth="1" min="16" max="16"/>
    <col width="10" customWidth="1" min="17" max="17"/>
    <col width="10" customWidth="1" min="18" max="18"/>
    <col width="10" customWidth="1" min="19" max="19"/>
    <col width="10"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7" customWidth="1" min="30" max="30"/>
    <col width="7" customWidth="1" min="31" max="31"/>
    <col width="7" customWidth="1" min="32" max="32"/>
    <col width="7" customWidth="1" min="33" max="33"/>
    <col width="7" customWidth="1" min="34" max="34"/>
    <col width="11" customWidth="1" min="35" max="35"/>
    <col width="11" customWidth="1" min="36" max="36"/>
    <col width="11" customWidth="1" min="37" max="37"/>
    <col width="11" customWidth="1" min="38" max="38"/>
    <col width="11" customWidth="1" min="39" max="39"/>
  </cols>
  <sheetData>
    <row r="1" ht="30" customHeight="1">
      <c r="A1" s="1" t="inlineStr">
        <is>
          <t>CALC  —  ENGINE   (do not edit)</t>
        </is>
      </c>
    </row>
    <row r="2" ht="16" customHeight="1">
      <c r="A2" s="2" t="inlineStr">
        <is>
          <t>Common weekday calendar · alignment of every ticker on it · carry-forward · rebasing · level lines.</t>
        </is>
      </c>
    </row>
    <row r="7">
      <c r="A7" s="51" t="inlineStr">
        <is>
          <t>Fixing row</t>
        </is>
      </c>
      <c r="B7" s="52">
        <f>MAX(1,MIN(IFERROR(MATCH(Inputs!$C$16,$A$11:$A$2610,1),1),MAX(1,SUM($B$11:$B$2610))))</f>
        <v/>
      </c>
    </row>
    <row r="8">
      <c r="A8" s="51" t="inlineStr">
        <is>
          <t>Initial px</t>
        </is>
      </c>
      <c r="C8" s="53">
        <f>IF(Inputs!$B$6="","",IFERROR(INDEX($C$11:$C$2610,$B$7),""))</f>
        <v/>
      </c>
      <c r="D8" s="53">
        <f>IF(Inputs!$B$7="","",IFERROR(INDEX($D$11:$D$2610,$B$7),""))</f>
        <v/>
      </c>
      <c r="E8" s="53">
        <f>IF(Inputs!$B$8="","",IFERROR(INDEX($E$11:$E$2610,$B$7),""))</f>
        <v/>
      </c>
      <c r="F8" s="53">
        <f>IF(Inputs!$B$9="","",IFERROR(INDEX($F$11:$F$2610,$B$7),""))</f>
        <v/>
      </c>
      <c r="G8" s="53">
        <f>IF(Inputs!$B$10="","",IFERROR(INDEX($G$11:$G$2610,$B$7),""))</f>
        <v/>
      </c>
    </row>
    <row r="9">
      <c r="A9" s="51" t="inlineStr">
        <is>
          <t>Base</t>
        </is>
      </c>
      <c r="B9" s="54">
        <f>Inputs!$C$35</f>
        <v/>
      </c>
    </row>
    <row r="10" ht="26" customHeight="1">
      <c r="A10" s="8" t="inlineStr">
        <is>
          <t>Date (common axis)</t>
        </is>
      </c>
      <c r="B10" s="8" t="inlineStr">
        <is>
          <t>Used?</t>
        </is>
      </c>
      <c r="C10" s="8" t="inlineStr">
        <is>
          <t>Px 1</t>
        </is>
      </c>
      <c r="D10" s="8" t="inlineStr">
        <is>
          <t>Px 2</t>
        </is>
      </c>
      <c r="E10" s="8" t="inlineStr">
        <is>
          <t>Px 3</t>
        </is>
      </c>
      <c r="F10" s="8" t="inlineStr">
        <is>
          <t>Px 4</t>
        </is>
      </c>
      <c r="G10" s="8" t="inlineStr">
        <is>
          <t>Px 5</t>
        </is>
      </c>
      <c r="I10" s="8" t="inlineStr">
        <is>
          <t>PLOT 1</t>
        </is>
      </c>
      <c r="J10" s="8" t="inlineStr">
        <is>
          <t>PLOT 2</t>
        </is>
      </c>
      <c r="K10" s="8" t="inlineStr">
        <is>
          <t>PLOT 3</t>
        </is>
      </c>
      <c r="L10" s="8" t="inlineStr">
        <is>
          <t>PLOT 4</t>
        </is>
      </c>
      <c r="M10" s="8" t="inlineStr">
        <is>
          <t>PLOT 5</t>
        </is>
      </c>
      <c r="N10" s="8" t="inlineStr">
        <is>
          <t>WORST-OF</t>
        </is>
      </c>
      <c r="O10" s="8" t="inlineStr">
        <is>
          <t>LEVEL 1</t>
        </is>
      </c>
      <c r="P10" s="8" t="inlineStr">
        <is>
          <t>LEVEL 2</t>
        </is>
      </c>
      <c r="Q10" s="8" t="inlineStr">
        <is>
          <t>LEVEL 3</t>
        </is>
      </c>
      <c r="R10" s="8" t="inlineStr">
        <is>
          <t>LEVEL 4</t>
        </is>
      </c>
      <c r="S10" s="8" t="inlineStr">
        <is>
          <t>LEVEL 5</t>
        </is>
      </c>
      <c r="T10" s="8" t="inlineStr">
        <is>
          <t>LEVEL 6</t>
        </is>
      </c>
      <c r="AD10" s="8" t="inlineStr">
        <is>
          <t>hit 1</t>
        </is>
      </c>
      <c r="AE10" s="8" t="inlineStr">
        <is>
          <t>hit 2</t>
        </is>
      </c>
      <c r="AF10" s="8" t="inlineStr">
        <is>
          <t>hit 3</t>
        </is>
      </c>
      <c r="AG10" s="8" t="inlineStr">
        <is>
          <t>hit 4</t>
        </is>
      </c>
      <c r="AH10" s="8" t="inlineStr">
        <is>
          <t>hit 5</t>
        </is>
      </c>
    </row>
    <row r="11">
      <c r="A11" s="55">
        <f>IF(WEEKDAY(Inputs!$C$14,2)&gt;5,Inputs!$C$14+8-WEEKDAY(Inputs!$C$14,2),Inputs!$C$14)</f>
        <v/>
      </c>
      <c r="B11" t="n">
        <v>1</v>
      </c>
      <c r="C11" s="56">
        <f>IF($B11=0,"",IF(Inputs!$B$6="","",IF($AD11=0,"",SUMIFS(Data!$B$10:$B$3209,Data!$A$10:$A$3209,"&gt;="&amp;$A11,Data!$A$10:$A$3209,"&lt;"&amp;$A11+1)/$AD11)))</f>
        <v/>
      </c>
      <c r="D11" s="56">
        <f>IF($B11=0,"",IF(Inputs!$B$7="","",IF($AE11=0,"",SUMIFS(Data!$F$10:$F$3209,Data!$E$10:$E$3209,"&gt;="&amp;$A11,Data!$E$10:$E$3209,"&lt;"&amp;$A11+1)/$AE11)))</f>
        <v/>
      </c>
      <c r="E11" s="56">
        <f>IF($B11=0,"",IF(Inputs!$B$8="","",IF($AF11=0,"",SUMIFS(Data!$J$10:$J$3209,Data!$I$10:$I$3209,"&gt;="&amp;$A11,Data!$I$10:$I$3209,"&lt;"&amp;$A11+1)/$AF11)))</f>
        <v/>
      </c>
      <c r="F11" s="56">
        <f>IF($B11=0,"",IF(Inputs!$B$9="","",IF($AG11=0,"",SUMIFS(Data!$N$10:$N$3209,Data!$M$10:$M$3209,"&gt;="&amp;$A11,Data!$M$10:$M$3209,"&lt;"&amp;$A11+1)/$AG11)))</f>
        <v/>
      </c>
      <c r="G11" s="56">
        <f>IF($B11=0,"",IF(Inputs!$B$10="","",IF($AH11=0,"",SUMIFS(Data!$R$10:$R$3209,Data!$Q$10:$Q$3209,"&gt;="&amp;$A11,Data!$Q$10:$Q$3209,"&lt;"&amp;$A11+1)/$AH11)))</f>
        <v/>
      </c>
      <c r="I11" s="54">
        <f>IF($B11=0,NA(),IF($C11="",NA(),IF(C$8="",NA(),IF(N(C$8)=0,NA(),IF(Inputs!$C$17="Rebased to 100",$C11/C$8*100,$C11)))))</f>
        <v/>
      </c>
      <c r="J11" s="54">
        <f>IF($B11=0,NA(),IF($D11="",NA(),IF(D$8="",NA(),IF(N(D$8)=0,NA(),IF(Inputs!$C$17="Rebased to 100",$D11/D$8*100,$D11)))))</f>
        <v/>
      </c>
      <c r="K11" s="54">
        <f>IF($B11=0,NA(),IF($E11="",NA(),IF(E$8="",NA(),IF(N(E$8)=0,NA(),IF(Inputs!$C$17="Rebased to 100",$E11/E$8*100,$E11)))))</f>
        <v/>
      </c>
      <c r="L11" s="54">
        <f>IF($B11=0,NA(),IF($F11="",NA(),IF(F$8="",NA(),IF(N(F$8)=0,NA(),IF(Inputs!$C$17="Rebased to 100",$F11/F$8*100,$F11)))))</f>
        <v/>
      </c>
      <c r="M11" s="54">
        <f>IF($B11=0,NA(),IF($G11="",NA(),IF(G$8="",NA(),IF(N(G$8)=0,NA(),IF(Inputs!$C$17="Rebased to 100",$G11/G$8*100,$G11)))))</f>
        <v/>
      </c>
      <c r="N11" s="54">
        <f>IF($B11=0,NA(),IF(Inputs!$C$18&lt;&gt;"Yes",NA(),IF(COUNT(I11,J11,K11,L11,M11)=0,NA(),MIN(I11,J11,K11,L11,M11))))</f>
        <v/>
      </c>
      <c r="O11" s="54">
        <f>IF($B11=0,NA(),IF(Inputs!$B$24&lt;&gt;"Yes",NA(),Inputs!$D$24*Inputs!$C$35))</f>
        <v/>
      </c>
      <c r="P11" s="54">
        <f>IF($B11=0,NA(),IF(Inputs!$B$25&lt;&gt;"Yes",NA(),Inputs!$D$25*Inputs!$C$35))</f>
        <v/>
      </c>
      <c r="Q11" s="54">
        <f>IF($B11=0,NA(),IF(Inputs!$B$26&lt;&gt;"Yes",NA(),Inputs!$D$26*Inputs!$C$35))</f>
        <v/>
      </c>
      <c r="R11" s="54">
        <f>IF($B11=0,NA(),IF(Inputs!$B$27&lt;&gt;"Yes",NA(),Inputs!$D$27*Inputs!$C$35))</f>
        <v/>
      </c>
      <c r="S11" s="54">
        <f>IF($B11=0,NA(),IF(Inputs!$B$28&lt;&gt;"Yes",NA(),Inputs!$D$28*Inputs!$C$35))</f>
        <v/>
      </c>
      <c r="T11" s="54">
        <f>IF($B11=0,NA(),IF(Inputs!$B$29&lt;&gt;"Yes",NA(),Inputs!$D$29*Inputs!$C$35))</f>
        <v/>
      </c>
      <c r="AD11">
        <f>IF($B11=0,0,IF(Inputs!$B$6="",0,COUNTIFS(Data!$A$10:$A$3209,"&gt;="&amp;$A11,Data!$A$10:$A$3209,"&lt;"&amp;$A11+1)))</f>
        <v/>
      </c>
      <c r="AE11">
        <f>IF($B11=0,0,IF(Inputs!$B$7="",0,COUNTIFS(Data!$E$10:$E$3209,"&gt;="&amp;$A11,Data!$E$10:$E$3209,"&lt;"&amp;$A11+1)))</f>
        <v/>
      </c>
      <c r="AF11">
        <f>IF($B11=0,0,IF(Inputs!$B$8="",0,COUNTIFS(Data!$I$10:$I$3209,"&gt;="&amp;$A11,Data!$I$10:$I$3209,"&lt;"&amp;$A11+1)))</f>
        <v/>
      </c>
      <c r="AG11">
        <f>IF($B11=0,0,IF(Inputs!$B$9="",0,COUNTIFS(Data!$M$10:$M$3209,"&gt;="&amp;$A11,Data!$M$10:$M$3209,"&lt;"&amp;$A11+1)))</f>
        <v/>
      </c>
      <c r="AH11">
        <f>IF($B11=0,0,IF(Inputs!$B$10="",0,COUNTIFS(Data!$Q$10:$Q$3209,"&gt;="&amp;$A11,Data!$Q$10:$Q$3209,"&lt;"&amp;$A11+1)))</f>
        <v/>
      </c>
    </row>
    <row r="12">
      <c r="A12" s="55">
        <f>MIN(Inputs!$C$15,$A11+IF(WEEKDAY($A11,2)=5,3,1))</f>
        <v/>
      </c>
      <c r="B12">
        <f>IF($A12&gt;$A11,1,0)</f>
        <v/>
      </c>
      <c r="C12" s="56">
        <f>IF($B12=0,"",IF(Inputs!$B$6="","",IF($AD12=0,C11,SUMIFS(Data!$B$10:$B$3209,Data!$A$10:$A$3209,"&gt;="&amp;$A12,Data!$A$10:$A$3209,"&lt;"&amp;$A12+1)/$AD12)))</f>
        <v/>
      </c>
      <c r="D12" s="56">
        <f>IF($B12=0,"",IF(Inputs!$B$7="","",IF($AE12=0,D11,SUMIFS(Data!$F$10:$F$3209,Data!$E$10:$E$3209,"&gt;="&amp;$A12,Data!$E$10:$E$3209,"&lt;"&amp;$A12+1)/$AE12)))</f>
        <v/>
      </c>
      <c r="E12" s="56">
        <f>IF($B12=0,"",IF(Inputs!$B$8="","",IF($AF12=0,E11,SUMIFS(Data!$J$10:$J$3209,Data!$I$10:$I$3209,"&gt;="&amp;$A12,Data!$I$10:$I$3209,"&lt;"&amp;$A12+1)/$AF12)))</f>
        <v/>
      </c>
      <c r="F12" s="56">
        <f>IF($B12=0,"",IF(Inputs!$B$9="","",IF($AG12=0,F11,SUMIFS(Data!$N$10:$N$3209,Data!$M$10:$M$3209,"&gt;="&amp;$A12,Data!$M$10:$M$3209,"&lt;"&amp;$A12+1)/$AG12)))</f>
        <v/>
      </c>
      <c r="G12" s="56">
        <f>IF($B12=0,"",IF(Inputs!$B$10="","",IF($AH12=0,G11,SUMIFS(Data!$R$10:$R$3209,Data!$Q$10:$Q$3209,"&gt;="&amp;$A12,Data!$Q$10:$Q$3209,"&lt;"&amp;$A12+1)/$AH12)))</f>
        <v/>
      </c>
      <c r="I12" s="54">
        <f>IF($B12=0,NA(),IF($C12="",NA(),IF(C$8="",NA(),IF(N(C$8)=0,NA(),IF(Inputs!$C$17="Rebased to 100",$C12/C$8*100,$C12)))))</f>
        <v/>
      </c>
      <c r="J12" s="54">
        <f>IF($B12=0,NA(),IF($D12="",NA(),IF(D$8="",NA(),IF(N(D$8)=0,NA(),IF(Inputs!$C$17="Rebased to 100",$D12/D$8*100,$D12)))))</f>
        <v/>
      </c>
      <c r="K12" s="54">
        <f>IF($B12=0,NA(),IF($E12="",NA(),IF(E$8="",NA(),IF(N(E$8)=0,NA(),IF(Inputs!$C$17="Rebased to 100",$E12/E$8*100,$E12)))))</f>
        <v/>
      </c>
      <c r="L12" s="54">
        <f>IF($B12=0,NA(),IF($F12="",NA(),IF(F$8="",NA(),IF(N(F$8)=0,NA(),IF(Inputs!$C$17="Rebased to 100",$F12/F$8*100,$F12)))))</f>
        <v/>
      </c>
      <c r="M12" s="54">
        <f>IF($B12=0,NA(),IF($G12="",NA(),IF(G$8="",NA(),IF(N(G$8)=0,NA(),IF(Inputs!$C$17="Rebased to 100",$G12/G$8*100,$G12)))))</f>
        <v/>
      </c>
      <c r="N12" s="54">
        <f>IF($B12=0,NA(),IF(Inputs!$C$18&lt;&gt;"Yes",NA(),IF(COUNT(I12,J12,K12,L12,M12)=0,NA(),MIN(I12,J12,K12,L12,M12))))</f>
        <v/>
      </c>
      <c r="O12" s="54">
        <f>IF($B12=0,NA(),IF(Inputs!$B$24&lt;&gt;"Yes",NA(),Inputs!$D$24*Inputs!$C$35))</f>
        <v/>
      </c>
      <c r="P12" s="54">
        <f>IF($B12=0,NA(),IF(Inputs!$B$25&lt;&gt;"Yes",NA(),Inputs!$D$25*Inputs!$C$35))</f>
        <v/>
      </c>
      <c r="Q12" s="54">
        <f>IF($B12=0,NA(),IF(Inputs!$B$26&lt;&gt;"Yes",NA(),Inputs!$D$26*Inputs!$C$35))</f>
        <v/>
      </c>
      <c r="R12" s="54">
        <f>IF($B12=0,NA(),IF(Inputs!$B$27&lt;&gt;"Yes",NA(),Inputs!$D$27*Inputs!$C$35))</f>
        <v/>
      </c>
      <c r="S12" s="54">
        <f>IF($B12=0,NA(),IF(Inputs!$B$28&lt;&gt;"Yes",NA(),Inputs!$D$28*Inputs!$C$35))</f>
        <v/>
      </c>
      <c r="T12" s="54">
        <f>IF($B12=0,NA(),IF(Inputs!$B$29&lt;&gt;"Yes",NA(),Inputs!$D$29*Inputs!$C$35))</f>
        <v/>
      </c>
      <c r="AD12">
        <f>IF($B12=0,0,IF(Inputs!$B$6="",0,COUNTIFS(Data!$A$10:$A$3209,"&gt;="&amp;$A12,Data!$A$10:$A$3209,"&lt;"&amp;$A12+1)))</f>
        <v/>
      </c>
      <c r="AE12">
        <f>IF($B12=0,0,IF(Inputs!$B$7="",0,COUNTIFS(Data!$E$10:$E$3209,"&gt;="&amp;$A12,Data!$E$10:$E$3209,"&lt;"&amp;$A12+1)))</f>
        <v/>
      </c>
      <c r="AF12">
        <f>IF($B12=0,0,IF(Inputs!$B$8="",0,COUNTIFS(Data!$I$10:$I$3209,"&gt;="&amp;$A12,Data!$I$10:$I$3209,"&lt;"&amp;$A12+1)))</f>
        <v/>
      </c>
      <c r="AG12">
        <f>IF($B12=0,0,IF(Inputs!$B$9="",0,COUNTIFS(Data!$M$10:$M$3209,"&gt;="&amp;$A12,Data!$M$10:$M$3209,"&lt;"&amp;$A12+1)))</f>
        <v/>
      </c>
      <c r="AH12">
        <f>IF($B12=0,0,IF(Inputs!$B$10="",0,COUNTIFS(Data!$Q$10:$Q$3209,"&gt;="&amp;$A12,Data!$Q$10:$Q$3209,"&lt;"&amp;$A12+1)))</f>
        <v/>
      </c>
    </row>
    <row r="13">
      <c r="A13" s="55">
        <f>MIN(Inputs!$C$15,$A12+IF(WEEKDAY($A12,2)=5,3,1))</f>
        <v/>
      </c>
      <c r="B13">
        <f>IF($A13&gt;$A12,1,0)</f>
        <v/>
      </c>
      <c r="C13" s="56">
        <f>IF($B13=0,"",IF(Inputs!$B$6="","",IF($AD13=0,C12,SUMIFS(Data!$B$10:$B$3209,Data!$A$10:$A$3209,"&gt;="&amp;$A13,Data!$A$10:$A$3209,"&lt;"&amp;$A13+1)/$AD13)))</f>
        <v/>
      </c>
      <c r="D13" s="56">
        <f>IF($B13=0,"",IF(Inputs!$B$7="","",IF($AE13=0,D12,SUMIFS(Data!$F$10:$F$3209,Data!$E$10:$E$3209,"&gt;="&amp;$A13,Data!$E$10:$E$3209,"&lt;"&amp;$A13+1)/$AE13)))</f>
        <v/>
      </c>
      <c r="E13" s="56">
        <f>IF($B13=0,"",IF(Inputs!$B$8="","",IF($AF13=0,E12,SUMIFS(Data!$J$10:$J$3209,Data!$I$10:$I$3209,"&gt;="&amp;$A13,Data!$I$10:$I$3209,"&lt;"&amp;$A13+1)/$AF13)))</f>
        <v/>
      </c>
      <c r="F13" s="56">
        <f>IF($B13=0,"",IF(Inputs!$B$9="","",IF($AG13=0,F12,SUMIFS(Data!$N$10:$N$3209,Data!$M$10:$M$3209,"&gt;="&amp;$A13,Data!$M$10:$M$3209,"&lt;"&amp;$A13+1)/$AG13)))</f>
        <v/>
      </c>
      <c r="G13" s="56">
        <f>IF($B13=0,"",IF(Inputs!$B$10="","",IF($AH13=0,G12,SUMIFS(Data!$R$10:$R$3209,Data!$Q$10:$Q$3209,"&gt;="&amp;$A13,Data!$Q$10:$Q$3209,"&lt;"&amp;$A13+1)/$AH13)))</f>
        <v/>
      </c>
      <c r="I13" s="54">
        <f>IF($B13=0,NA(),IF($C13="",NA(),IF(C$8="",NA(),IF(N(C$8)=0,NA(),IF(Inputs!$C$17="Rebased to 100",$C13/C$8*100,$C13)))))</f>
        <v/>
      </c>
      <c r="J13" s="54">
        <f>IF($B13=0,NA(),IF($D13="",NA(),IF(D$8="",NA(),IF(N(D$8)=0,NA(),IF(Inputs!$C$17="Rebased to 100",$D13/D$8*100,$D13)))))</f>
        <v/>
      </c>
      <c r="K13" s="54">
        <f>IF($B13=0,NA(),IF($E13="",NA(),IF(E$8="",NA(),IF(N(E$8)=0,NA(),IF(Inputs!$C$17="Rebased to 100",$E13/E$8*100,$E13)))))</f>
        <v/>
      </c>
      <c r="L13" s="54">
        <f>IF($B13=0,NA(),IF($F13="",NA(),IF(F$8="",NA(),IF(N(F$8)=0,NA(),IF(Inputs!$C$17="Rebased to 100",$F13/F$8*100,$F13)))))</f>
        <v/>
      </c>
      <c r="M13" s="54">
        <f>IF($B13=0,NA(),IF($G13="",NA(),IF(G$8="",NA(),IF(N(G$8)=0,NA(),IF(Inputs!$C$17="Rebased to 100",$G13/G$8*100,$G13)))))</f>
        <v/>
      </c>
      <c r="N13" s="54">
        <f>IF($B13=0,NA(),IF(Inputs!$C$18&lt;&gt;"Yes",NA(),IF(COUNT(I13,J13,K13,L13,M13)=0,NA(),MIN(I13,J13,K13,L13,M13))))</f>
        <v/>
      </c>
      <c r="O13" s="54">
        <f>IF($B13=0,NA(),IF(Inputs!$B$24&lt;&gt;"Yes",NA(),Inputs!$D$24*Inputs!$C$35))</f>
        <v/>
      </c>
      <c r="P13" s="54">
        <f>IF($B13=0,NA(),IF(Inputs!$B$25&lt;&gt;"Yes",NA(),Inputs!$D$25*Inputs!$C$35))</f>
        <v/>
      </c>
      <c r="Q13" s="54">
        <f>IF($B13=0,NA(),IF(Inputs!$B$26&lt;&gt;"Yes",NA(),Inputs!$D$26*Inputs!$C$35))</f>
        <v/>
      </c>
      <c r="R13" s="54">
        <f>IF($B13=0,NA(),IF(Inputs!$B$27&lt;&gt;"Yes",NA(),Inputs!$D$27*Inputs!$C$35))</f>
        <v/>
      </c>
      <c r="S13" s="54">
        <f>IF($B13=0,NA(),IF(Inputs!$B$28&lt;&gt;"Yes",NA(),Inputs!$D$28*Inputs!$C$35))</f>
        <v/>
      </c>
      <c r="T13" s="54">
        <f>IF($B13=0,NA(),IF(Inputs!$B$29&lt;&gt;"Yes",NA(),Inputs!$D$29*Inputs!$C$35))</f>
        <v/>
      </c>
      <c r="AD13">
        <f>IF($B13=0,0,IF(Inputs!$B$6="",0,COUNTIFS(Data!$A$10:$A$3209,"&gt;="&amp;$A13,Data!$A$10:$A$3209,"&lt;"&amp;$A13+1)))</f>
        <v/>
      </c>
      <c r="AE13">
        <f>IF($B13=0,0,IF(Inputs!$B$7="",0,COUNTIFS(Data!$E$10:$E$3209,"&gt;="&amp;$A13,Data!$E$10:$E$3209,"&lt;"&amp;$A13+1)))</f>
        <v/>
      </c>
      <c r="AF13">
        <f>IF($B13=0,0,IF(Inputs!$B$8="",0,COUNTIFS(Data!$I$10:$I$3209,"&gt;="&amp;$A13,Data!$I$10:$I$3209,"&lt;"&amp;$A13+1)))</f>
        <v/>
      </c>
      <c r="AG13">
        <f>IF($B13=0,0,IF(Inputs!$B$9="",0,COUNTIFS(Data!$M$10:$M$3209,"&gt;="&amp;$A13,Data!$M$10:$M$3209,"&lt;"&amp;$A13+1)))</f>
        <v/>
      </c>
      <c r="AH13">
        <f>IF($B13=0,0,IF(Inputs!$B$10="",0,COUNTIFS(Data!$Q$10:$Q$3209,"&gt;="&amp;$A13,Data!$Q$10:$Q$3209,"&lt;"&amp;$A13+1)))</f>
        <v/>
      </c>
    </row>
    <row r="14">
      <c r="A14" s="55">
        <f>MIN(Inputs!$C$15,$A13+IF(WEEKDAY($A13,2)=5,3,1))</f>
        <v/>
      </c>
      <c r="B14">
        <f>IF($A14&gt;$A13,1,0)</f>
        <v/>
      </c>
      <c r="C14" s="56">
        <f>IF($B14=0,"",IF(Inputs!$B$6="","",IF($AD14=0,C13,SUMIFS(Data!$B$10:$B$3209,Data!$A$10:$A$3209,"&gt;="&amp;$A14,Data!$A$10:$A$3209,"&lt;"&amp;$A14+1)/$AD14)))</f>
        <v/>
      </c>
      <c r="D14" s="56">
        <f>IF($B14=0,"",IF(Inputs!$B$7="","",IF($AE14=0,D13,SUMIFS(Data!$F$10:$F$3209,Data!$E$10:$E$3209,"&gt;="&amp;$A14,Data!$E$10:$E$3209,"&lt;"&amp;$A14+1)/$AE14)))</f>
        <v/>
      </c>
      <c r="E14" s="56">
        <f>IF($B14=0,"",IF(Inputs!$B$8="","",IF($AF14=0,E13,SUMIFS(Data!$J$10:$J$3209,Data!$I$10:$I$3209,"&gt;="&amp;$A14,Data!$I$10:$I$3209,"&lt;"&amp;$A14+1)/$AF14)))</f>
        <v/>
      </c>
      <c r="F14" s="56">
        <f>IF($B14=0,"",IF(Inputs!$B$9="","",IF($AG14=0,F13,SUMIFS(Data!$N$10:$N$3209,Data!$M$10:$M$3209,"&gt;="&amp;$A14,Data!$M$10:$M$3209,"&lt;"&amp;$A14+1)/$AG14)))</f>
        <v/>
      </c>
      <c r="G14" s="56">
        <f>IF($B14=0,"",IF(Inputs!$B$10="","",IF($AH14=0,G13,SUMIFS(Data!$R$10:$R$3209,Data!$Q$10:$Q$3209,"&gt;="&amp;$A14,Data!$Q$10:$Q$3209,"&lt;"&amp;$A14+1)/$AH14)))</f>
        <v/>
      </c>
      <c r="I14" s="54">
        <f>IF($B14=0,NA(),IF($C14="",NA(),IF(C$8="",NA(),IF(N(C$8)=0,NA(),IF(Inputs!$C$17="Rebased to 100",$C14/C$8*100,$C14)))))</f>
        <v/>
      </c>
      <c r="J14" s="54">
        <f>IF($B14=0,NA(),IF($D14="",NA(),IF(D$8="",NA(),IF(N(D$8)=0,NA(),IF(Inputs!$C$17="Rebased to 100",$D14/D$8*100,$D14)))))</f>
        <v/>
      </c>
      <c r="K14" s="54">
        <f>IF($B14=0,NA(),IF($E14="",NA(),IF(E$8="",NA(),IF(N(E$8)=0,NA(),IF(Inputs!$C$17="Rebased to 100",$E14/E$8*100,$E14)))))</f>
        <v/>
      </c>
      <c r="L14" s="54">
        <f>IF($B14=0,NA(),IF($F14="",NA(),IF(F$8="",NA(),IF(N(F$8)=0,NA(),IF(Inputs!$C$17="Rebased to 100",$F14/F$8*100,$F14)))))</f>
        <v/>
      </c>
      <c r="M14" s="54">
        <f>IF($B14=0,NA(),IF($G14="",NA(),IF(G$8="",NA(),IF(N(G$8)=0,NA(),IF(Inputs!$C$17="Rebased to 100",$G14/G$8*100,$G14)))))</f>
        <v/>
      </c>
      <c r="N14" s="54">
        <f>IF($B14=0,NA(),IF(Inputs!$C$18&lt;&gt;"Yes",NA(),IF(COUNT(I14,J14,K14,L14,M14)=0,NA(),MIN(I14,J14,K14,L14,M14))))</f>
        <v/>
      </c>
      <c r="O14" s="54">
        <f>IF($B14=0,NA(),IF(Inputs!$B$24&lt;&gt;"Yes",NA(),Inputs!$D$24*Inputs!$C$35))</f>
        <v/>
      </c>
      <c r="P14" s="54">
        <f>IF($B14=0,NA(),IF(Inputs!$B$25&lt;&gt;"Yes",NA(),Inputs!$D$25*Inputs!$C$35))</f>
        <v/>
      </c>
      <c r="Q14" s="54">
        <f>IF($B14=0,NA(),IF(Inputs!$B$26&lt;&gt;"Yes",NA(),Inputs!$D$26*Inputs!$C$35))</f>
        <v/>
      </c>
      <c r="R14" s="54">
        <f>IF($B14=0,NA(),IF(Inputs!$B$27&lt;&gt;"Yes",NA(),Inputs!$D$27*Inputs!$C$35))</f>
        <v/>
      </c>
      <c r="S14" s="54">
        <f>IF($B14=0,NA(),IF(Inputs!$B$28&lt;&gt;"Yes",NA(),Inputs!$D$28*Inputs!$C$35))</f>
        <v/>
      </c>
      <c r="T14" s="54">
        <f>IF($B14=0,NA(),IF(Inputs!$B$29&lt;&gt;"Yes",NA(),Inputs!$D$29*Inputs!$C$35))</f>
        <v/>
      </c>
      <c r="AD14">
        <f>IF($B14=0,0,IF(Inputs!$B$6="",0,COUNTIFS(Data!$A$10:$A$3209,"&gt;="&amp;$A14,Data!$A$10:$A$3209,"&lt;"&amp;$A14+1)))</f>
        <v/>
      </c>
      <c r="AE14">
        <f>IF($B14=0,0,IF(Inputs!$B$7="",0,COUNTIFS(Data!$E$10:$E$3209,"&gt;="&amp;$A14,Data!$E$10:$E$3209,"&lt;"&amp;$A14+1)))</f>
        <v/>
      </c>
      <c r="AF14">
        <f>IF($B14=0,0,IF(Inputs!$B$8="",0,COUNTIFS(Data!$I$10:$I$3209,"&gt;="&amp;$A14,Data!$I$10:$I$3209,"&lt;"&amp;$A14+1)))</f>
        <v/>
      </c>
      <c r="AG14">
        <f>IF($B14=0,0,IF(Inputs!$B$9="",0,COUNTIFS(Data!$M$10:$M$3209,"&gt;="&amp;$A14,Data!$M$10:$M$3209,"&lt;"&amp;$A14+1)))</f>
        <v/>
      </c>
      <c r="AH14">
        <f>IF($B14=0,0,IF(Inputs!$B$10="",0,COUNTIFS(Data!$Q$10:$Q$3209,"&gt;="&amp;$A14,Data!$Q$10:$Q$3209,"&lt;"&amp;$A14+1)))</f>
        <v/>
      </c>
    </row>
    <row r="15">
      <c r="A15" s="55">
        <f>MIN(Inputs!$C$15,$A14+IF(WEEKDAY($A14,2)=5,3,1))</f>
        <v/>
      </c>
      <c r="B15">
        <f>IF($A15&gt;$A14,1,0)</f>
        <v/>
      </c>
      <c r="C15" s="56">
        <f>IF($B15=0,"",IF(Inputs!$B$6="","",IF($AD15=0,C14,SUMIFS(Data!$B$10:$B$3209,Data!$A$10:$A$3209,"&gt;="&amp;$A15,Data!$A$10:$A$3209,"&lt;"&amp;$A15+1)/$AD15)))</f>
        <v/>
      </c>
      <c r="D15" s="56">
        <f>IF($B15=0,"",IF(Inputs!$B$7="","",IF($AE15=0,D14,SUMIFS(Data!$F$10:$F$3209,Data!$E$10:$E$3209,"&gt;="&amp;$A15,Data!$E$10:$E$3209,"&lt;"&amp;$A15+1)/$AE15)))</f>
        <v/>
      </c>
      <c r="E15" s="56">
        <f>IF($B15=0,"",IF(Inputs!$B$8="","",IF($AF15=0,E14,SUMIFS(Data!$J$10:$J$3209,Data!$I$10:$I$3209,"&gt;="&amp;$A15,Data!$I$10:$I$3209,"&lt;"&amp;$A15+1)/$AF15)))</f>
        <v/>
      </c>
      <c r="F15" s="56">
        <f>IF($B15=0,"",IF(Inputs!$B$9="","",IF($AG15=0,F14,SUMIFS(Data!$N$10:$N$3209,Data!$M$10:$M$3209,"&gt;="&amp;$A15,Data!$M$10:$M$3209,"&lt;"&amp;$A15+1)/$AG15)))</f>
        <v/>
      </c>
      <c r="G15" s="56">
        <f>IF($B15=0,"",IF(Inputs!$B$10="","",IF($AH15=0,G14,SUMIFS(Data!$R$10:$R$3209,Data!$Q$10:$Q$3209,"&gt;="&amp;$A15,Data!$Q$10:$Q$3209,"&lt;"&amp;$A15+1)/$AH15)))</f>
        <v/>
      </c>
      <c r="I15" s="54">
        <f>IF($B15=0,NA(),IF($C15="",NA(),IF(C$8="",NA(),IF(N(C$8)=0,NA(),IF(Inputs!$C$17="Rebased to 100",$C15/C$8*100,$C15)))))</f>
        <v/>
      </c>
      <c r="J15" s="54">
        <f>IF($B15=0,NA(),IF($D15="",NA(),IF(D$8="",NA(),IF(N(D$8)=0,NA(),IF(Inputs!$C$17="Rebased to 100",$D15/D$8*100,$D15)))))</f>
        <v/>
      </c>
      <c r="K15" s="54">
        <f>IF($B15=0,NA(),IF($E15="",NA(),IF(E$8="",NA(),IF(N(E$8)=0,NA(),IF(Inputs!$C$17="Rebased to 100",$E15/E$8*100,$E15)))))</f>
        <v/>
      </c>
      <c r="L15" s="54">
        <f>IF($B15=0,NA(),IF($F15="",NA(),IF(F$8="",NA(),IF(N(F$8)=0,NA(),IF(Inputs!$C$17="Rebased to 100",$F15/F$8*100,$F15)))))</f>
        <v/>
      </c>
      <c r="M15" s="54">
        <f>IF($B15=0,NA(),IF($G15="",NA(),IF(G$8="",NA(),IF(N(G$8)=0,NA(),IF(Inputs!$C$17="Rebased to 100",$G15/G$8*100,$G15)))))</f>
        <v/>
      </c>
      <c r="N15" s="54">
        <f>IF($B15=0,NA(),IF(Inputs!$C$18&lt;&gt;"Yes",NA(),IF(COUNT(I15,J15,K15,L15,M15)=0,NA(),MIN(I15,J15,K15,L15,M15))))</f>
        <v/>
      </c>
      <c r="O15" s="54">
        <f>IF($B15=0,NA(),IF(Inputs!$B$24&lt;&gt;"Yes",NA(),Inputs!$D$24*Inputs!$C$35))</f>
        <v/>
      </c>
      <c r="P15" s="54">
        <f>IF($B15=0,NA(),IF(Inputs!$B$25&lt;&gt;"Yes",NA(),Inputs!$D$25*Inputs!$C$35))</f>
        <v/>
      </c>
      <c r="Q15" s="54">
        <f>IF($B15=0,NA(),IF(Inputs!$B$26&lt;&gt;"Yes",NA(),Inputs!$D$26*Inputs!$C$35))</f>
        <v/>
      </c>
      <c r="R15" s="54">
        <f>IF($B15=0,NA(),IF(Inputs!$B$27&lt;&gt;"Yes",NA(),Inputs!$D$27*Inputs!$C$35))</f>
        <v/>
      </c>
      <c r="S15" s="54">
        <f>IF($B15=0,NA(),IF(Inputs!$B$28&lt;&gt;"Yes",NA(),Inputs!$D$28*Inputs!$C$35))</f>
        <v/>
      </c>
      <c r="T15" s="54">
        <f>IF($B15=0,NA(),IF(Inputs!$B$29&lt;&gt;"Yes",NA(),Inputs!$D$29*Inputs!$C$35))</f>
        <v/>
      </c>
      <c r="AD15">
        <f>IF($B15=0,0,IF(Inputs!$B$6="",0,COUNTIFS(Data!$A$10:$A$3209,"&gt;="&amp;$A15,Data!$A$10:$A$3209,"&lt;"&amp;$A15+1)))</f>
        <v/>
      </c>
      <c r="AE15">
        <f>IF($B15=0,0,IF(Inputs!$B$7="",0,COUNTIFS(Data!$E$10:$E$3209,"&gt;="&amp;$A15,Data!$E$10:$E$3209,"&lt;"&amp;$A15+1)))</f>
        <v/>
      </c>
      <c r="AF15">
        <f>IF($B15=0,0,IF(Inputs!$B$8="",0,COUNTIFS(Data!$I$10:$I$3209,"&gt;="&amp;$A15,Data!$I$10:$I$3209,"&lt;"&amp;$A15+1)))</f>
        <v/>
      </c>
      <c r="AG15">
        <f>IF($B15=0,0,IF(Inputs!$B$9="",0,COUNTIFS(Data!$M$10:$M$3209,"&gt;="&amp;$A15,Data!$M$10:$M$3209,"&lt;"&amp;$A15+1)))</f>
        <v/>
      </c>
      <c r="AH15">
        <f>IF($B15=0,0,IF(Inputs!$B$10="",0,COUNTIFS(Data!$Q$10:$Q$3209,"&gt;="&amp;$A15,Data!$Q$10:$Q$3209,"&lt;"&amp;$A15+1)))</f>
        <v/>
      </c>
    </row>
    <row r="16">
      <c r="A16" s="55">
        <f>MIN(Inputs!$C$15,$A15+IF(WEEKDAY($A15,2)=5,3,1))</f>
        <v/>
      </c>
      <c r="B16">
        <f>IF($A16&gt;$A15,1,0)</f>
        <v/>
      </c>
      <c r="C16" s="56">
        <f>IF($B16=0,"",IF(Inputs!$B$6="","",IF($AD16=0,C15,SUMIFS(Data!$B$10:$B$3209,Data!$A$10:$A$3209,"&gt;="&amp;$A16,Data!$A$10:$A$3209,"&lt;"&amp;$A16+1)/$AD16)))</f>
        <v/>
      </c>
      <c r="D16" s="56">
        <f>IF($B16=0,"",IF(Inputs!$B$7="","",IF($AE16=0,D15,SUMIFS(Data!$F$10:$F$3209,Data!$E$10:$E$3209,"&gt;="&amp;$A16,Data!$E$10:$E$3209,"&lt;"&amp;$A16+1)/$AE16)))</f>
        <v/>
      </c>
      <c r="E16" s="56">
        <f>IF($B16=0,"",IF(Inputs!$B$8="","",IF($AF16=0,E15,SUMIFS(Data!$J$10:$J$3209,Data!$I$10:$I$3209,"&gt;="&amp;$A16,Data!$I$10:$I$3209,"&lt;"&amp;$A16+1)/$AF16)))</f>
        <v/>
      </c>
      <c r="F16" s="56">
        <f>IF($B16=0,"",IF(Inputs!$B$9="","",IF($AG16=0,F15,SUMIFS(Data!$N$10:$N$3209,Data!$M$10:$M$3209,"&gt;="&amp;$A16,Data!$M$10:$M$3209,"&lt;"&amp;$A16+1)/$AG16)))</f>
        <v/>
      </c>
      <c r="G16" s="56">
        <f>IF($B16=0,"",IF(Inputs!$B$10="","",IF($AH16=0,G15,SUMIFS(Data!$R$10:$R$3209,Data!$Q$10:$Q$3209,"&gt;="&amp;$A16,Data!$Q$10:$Q$3209,"&lt;"&amp;$A16+1)/$AH16)))</f>
        <v/>
      </c>
      <c r="I16" s="54">
        <f>IF($B16=0,NA(),IF($C16="",NA(),IF(C$8="",NA(),IF(N(C$8)=0,NA(),IF(Inputs!$C$17="Rebased to 100",$C16/C$8*100,$C16)))))</f>
        <v/>
      </c>
      <c r="J16" s="54">
        <f>IF($B16=0,NA(),IF($D16="",NA(),IF(D$8="",NA(),IF(N(D$8)=0,NA(),IF(Inputs!$C$17="Rebased to 100",$D16/D$8*100,$D16)))))</f>
        <v/>
      </c>
      <c r="K16" s="54">
        <f>IF($B16=0,NA(),IF($E16="",NA(),IF(E$8="",NA(),IF(N(E$8)=0,NA(),IF(Inputs!$C$17="Rebased to 100",$E16/E$8*100,$E16)))))</f>
        <v/>
      </c>
      <c r="L16" s="54">
        <f>IF($B16=0,NA(),IF($F16="",NA(),IF(F$8="",NA(),IF(N(F$8)=0,NA(),IF(Inputs!$C$17="Rebased to 100",$F16/F$8*100,$F16)))))</f>
        <v/>
      </c>
      <c r="M16" s="54">
        <f>IF($B16=0,NA(),IF($G16="",NA(),IF(G$8="",NA(),IF(N(G$8)=0,NA(),IF(Inputs!$C$17="Rebased to 100",$G16/G$8*100,$G16)))))</f>
        <v/>
      </c>
      <c r="N16" s="54">
        <f>IF($B16=0,NA(),IF(Inputs!$C$18&lt;&gt;"Yes",NA(),IF(COUNT(I16,J16,K16,L16,M16)=0,NA(),MIN(I16,J16,K16,L16,M16))))</f>
        <v/>
      </c>
      <c r="O16" s="54">
        <f>IF($B16=0,NA(),IF(Inputs!$B$24&lt;&gt;"Yes",NA(),Inputs!$D$24*Inputs!$C$35))</f>
        <v/>
      </c>
      <c r="P16" s="54">
        <f>IF($B16=0,NA(),IF(Inputs!$B$25&lt;&gt;"Yes",NA(),Inputs!$D$25*Inputs!$C$35))</f>
        <v/>
      </c>
      <c r="Q16" s="54">
        <f>IF($B16=0,NA(),IF(Inputs!$B$26&lt;&gt;"Yes",NA(),Inputs!$D$26*Inputs!$C$35))</f>
        <v/>
      </c>
      <c r="R16" s="54">
        <f>IF($B16=0,NA(),IF(Inputs!$B$27&lt;&gt;"Yes",NA(),Inputs!$D$27*Inputs!$C$35))</f>
        <v/>
      </c>
      <c r="S16" s="54">
        <f>IF($B16=0,NA(),IF(Inputs!$B$28&lt;&gt;"Yes",NA(),Inputs!$D$28*Inputs!$C$35))</f>
        <v/>
      </c>
      <c r="T16" s="54">
        <f>IF($B16=0,NA(),IF(Inputs!$B$29&lt;&gt;"Yes",NA(),Inputs!$D$29*Inputs!$C$35))</f>
        <v/>
      </c>
      <c r="AD16">
        <f>IF($B16=0,0,IF(Inputs!$B$6="",0,COUNTIFS(Data!$A$10:$A$3209,"&gt;="&amp;$A16,Data!$A$10:$A$3209,"&lt;"&amp;$A16+1)))</f>
        <v/>
      </c>
      <c r="AE16">
        <f>IF($B16=0,0,IF(Inputs!$B$7="",0,COUNTIFS(Data!$E$10:$E$3209,"&gt;="&amp;$A16,Data!$E$10:$E$3209,"&lt;"&amp;$A16+1)))</f>
        <v/>
      </c>
      <c r="AF16">
        <f>IF($B16=0,0,IF(Inputs!$B$8="",0,COUNTIFS(Data!$I$10:$I$3209,"&gt;="&amp;$A16,Data!$I$10:$I$3209,"&lt;"&amp;$A16+1)))</f>
        <v/>
      </c>
      <c r="AG16">
        <f>IF($B16=0,0,IF(Inputs!$B$9="",0,COUNTIFS(Data!$M$10:$M$3209,"&gt;="&amp;$A16,Data!$M$10:$M$3209,"&lt;"&amp;$A16+1)))</f>
        <v/>
      </c>
      <c r="AH16">
        <f>IF($B16=0,0,IF(Inputs!$B$10="",0,COUNTIFS(Data!$Q$10:$Q$3209,"&gt;="&amp;$A16,Data!$Q$10:$Q$3209,"&lt;"&amp;$A16+1)))</f>
        <v/>
      </c>
    </row>
    <row r="17">
      <c r="A17" s="55">
        <f>MIN(Inputs!$C$15,$A16+IF(WEEKDAY($A16,2)=5,3,1))</f>
        <v/>
      </c>
      <c r="B17">
        <f>IF($A17&gt;$A16,1,0)</f>
        <v/>
      </c>
      <c r="C17" s="56">
        <f>IF($B17=0,"",IF(Inputs!$B$6="","",IF($AD17=0,C16,SUMIFS(Data!$B$10:$B$3209,Data!$A$10:$A$3209,"&gt;="&amp;$A17,Data!$A$10:$A$3209,"&lt;"&amp;$A17+1)/$AD17)))</f>
        <v/>
      </c>
      <c r="D17" s="56">
        <f>IF($B17=0,"",IF(Inputs!$B$7="","",IF($AE17=0,D16,SUMIFS(Data!$F$10:$F$3209,Data!$E$10:$E$3209,"&gt;="&amp;$A17,Data!$E$10:$E$3209,"&lt;"&amp;$A17+1)/$AE17)))</f>
        <v/>
      </c>
      <c r="E17" s="56">
        <f>IF($B17=0,"",IF(Inputs!$B$8="","",IF($AF17=0,E16,SUMIFS(Data!$J$10:$J$3209,Data!$I$10:$I$3209,"&gt;="&amp;$A17,Data!$I$10:$I$3209,"&lt;"&amp;$A17+1)/$AF17)))</f>
        <v/>
      </c>
      <c r="F17" s="56">
        <f>IF($B17=0,"",IF(Inputs!$B$9="","",IF($AG17=0,F16,SUMIFS(Data!$N$10:$N$3209,Data!$M$10:$M$3209,"&gt;="&amp;$A17,Data!$M$10:$M$3209,"&lt;"&amp;$A17+1)/$AG17)))</f>
        <v/>
      </c>
      <c r="G17" s="56">
        <f>IF($B17=0,"",IF(Inputs!$B$10="","",IF($AH17=0,G16,SUMIFS(Data!$R$10:$R$3209,Data!$Q$10:$Q$3209,"&gt;="&amp;$A17,Data!$Q$10:$Q$3209,"&lt;"&amp;$A17+1)/$AH17)))</f>
        <v/>
      </c>
      <c r="I17" s="54">
        <f>IF($B17=0,NA(),IF($C17="",NA(),IF(C$8="",NA(),IF(N(C$8)=0,NA(),IF(Inputs!$C$17="Rebased to 100",$C17/C$8*100,$C17)))))</f>
        <v/>
      </c>
      <c r="J17" s="54">
        <f>IF($B17=0,NA(),IF($D17="",NA(),IF(D$8="",NA(),IF(N(D$8)=0,NA(),IF(Inputs!$C$17="Rebased to 100",$D17/D$8*100,$D17)))))</f>
        <v/>
      </c>
      <c r="K17" s="54">
        <f>IF($B17=0,NA(),IF($E17="",NA(),IF(E$8="",NA(),IF(N(E$8)=0,NA(),IF(Inputs!$C$17="Rebased to 100",$E17/E$8*100,$E17)))))</f>
        <v/>
      </c>
      <c r="L17" s="54">
        <f>IF($B17=0,NA(),IF($F17="",NA(),IF(F$8="",NA(),IF(N(F$8)=0,NA(),IF(Inputs!$C$17="Rebased to 100",$F17/F$8*100,$F17)))))</f>
        <v/>
      </c>
      <c r="M17" s="54">
        <f>IF($B17=0,NA(),IF($G17="",NA(),IF(G$8="",NA(),IF(N(G$8)=0,NA(),IF(Inputs!$C$17="Rebased to 100",$G17/G$8*100,$G17)))))</f>
        <v/>
      </c>
      <c r="N17" s="54">
        <f>IF($B17=0,NA(),IF(Inputs!$C$18&lt;&gt;"Yes",NA(),IF(COUNT(I17,J17,K17,L17,M17)=0,NA(),MIN(I17,J17,K17,L17,M17))))</f>
        <v/>
      </c>
      <c r="O17" s="54">
        <f>IF($B17=0,NA(),IF(Inputs!$B$24&lt;&gt;"Yes",NA(),Inputs!$D$24*Inputs!$C$35))</f>
        <v/>
      </c>
      <c r="P17" s="54">
        <f>IF($B17=0,NA(),IF(Inputs!$B$25&lt;&gt;"Yes",NA(),Inputs!$D$25*Inputs!$C$35))</f>
        <v/>
      </c>
      <c r="Q17" s="54">
        <f>IF($B17=0,NA(),IF(Inputs!$B$26&lt;&gt;"Yes",NA(),Inputs!$D$26*Inputs!$C$35))</f>
        <v/>
      </c>
      <c r="R17" s="54">
        <f>IF($B17=0,NA(),IF(Inputs!$B$27&lt;&gt;"Yes",NA(),Inputs!$D$27*Inputs!$C$35))</f>
        <v/>
      </c>
      <c r="S17" s="54">
        <f>IF($B17=0,NA(),IF(Inputs!$B$28&lt;&gt;"Yes",NA(),Inputs!$D$28*Inputs!$C$35))</f>
        <v/>
      </c>
      <c r="T17" s="54">
        <f>IF($B17=0,NA(),IF(Inputs!$B$29&lt;&gt;"Yes",NA(),Inputs!$D$29*Inputs!$C$35))</f>
        <v/>
      </c>
      <c r="AD17">
        <f>IF($B17=0,0,IF(Inputs!$B$6="",0,COUNTIFS(Data!$A$10:$A$3209,"&gt;="&amp;$A17,Data!$A$10:$A$3209,"&lt;"&amp;$A17+1)))</f>
        <v/>
      </c>
      <c r="AE17">
        <f>IF($B17=0,0,IF(Inputs!$B$7="",0,COUNTIFS(Data!$E$10:$E$3209,"&gt;="&amp;$A17,Data!$E$10:$E$3209,"&lt;"&amp;$A17+1)))</f>
        <v/>
      </c>
      <c r="AF17">
        <f>IF($B17=0,0,IF(Inputs!$B$8="",0,COUNTIFS(Data!$I$10:$I$3209,"&gt;="&amp;$A17,Data!$I$10:$I$3209,"&lt;"&amp;$A17+1)))</f>
        <v/>
      </c>
      <c r="AG17">
        <f>IF($B17=0,0,IF(Inputs!$B$9="",0,COUNTIFS(Data!$M$10:$M$3209,"&gt;="&amp;$A17,Data!$M$10:$M$3209,"&lt;"&amp;$A17+1)))</f>
        <v/>
      </c>
      <c r="AH17">
        <f>IF($B17=0,0,IF(Inputs!$B$10="",0,COUNTIFS(Data!$Q$10:$Q$3209,"&gt;="&amp;$A17,Data!$Q$10:$Q$3209,"&lt;"&amp;$A17+1)))</f>
        <v/>
      </c>
    </row>
    <row r="18">
      <c r="A18" s="55">
        <f>MIN(Inputs!$C$15,$A17+IF(WEEKDAY($A17,2)=5,3,1))</f>
        <v/>
      </c>
      <c r="B18">
        <f>IF($A18&gt;$A17,1,0)</f>
        <v/>
      </c>
      <c r="C18" s="56">
        <f>IF($B18=0,"",IF(Inputs!$B$6="","",IF($AD18=0,C17,SUMIFS(Data!$B$10:$B$3209,Data!$A$10:$A$3209,"&gt;="&amp;$A18,Data!$A$10:$A$3209,"&lt;"&amp;$A18+1)/$AD18)))</f>
        <v/>
      </c>
      <c r="D18" s="56">
        <f>IF($B18=0,"",IF(Inputs!$B$7="","",IF($AE18=0,D17,SUMIFS(Data!$F$10:$F$3209,Data!$E$10:$E$3209,"&gt;="&amp;$A18,Data!$E$10:$E$3209,"&lt;"&amp;$A18+1)/$AE18)))</f>
        <v/>
      </c>
      <c r="E18" s="56">
        <f>IF($B18=0,"",IF(Inputs!$B$8="","",IF($AF18=0,E17,SUMIFS(Data!$J$10:$J$3209,Data!$I$10:$I$3209,"&gt;="&amp;$A18,Data!$I$10:$I$3209,"&lt;"&amp;$A18+1)/$AF18)))</f>
        <v/>
      </c>
      <c r="F18" s="56">
        <f>IF($B18=0,"",IF(Inputs!$B$9="","",IF($AG18=0,F17,SUMIFS(Data!$N$10:$N$3209,Data!$M$10:$M$3209,"&gt;="&amp;$A18,Data!$M$10:$M$3209,"&lt;"&amp;$A18+1)/$AG18)))</f>
        <v/>
      </c>
      <c r="G18" s="56">
        <f>IF($B18=0,"",IF(Inputs!$B$10="","",IF($AH18=0,G17,SUMIFS(Data!$R$10:$R$3209,Data!$Q$10:$Q$3209,"&gt;="&amp;$A18,Data!$Q$10:$Q$3209,"&lt;"&amp;$A18+1)/$AH18)))</f>
        <v/>
      </c>
      <c r="I18" s="54">
        <f>IF($B18=0,NA(),IF($C18="",NA(),IF(C$8="",NA(),IF(N(C$8)=0,NA(),IF(Inputs!$C$17="Rebased to 100",$C18/C$8*100,$C18)))))</f>
        <v/>
      </c>
      <c r="J18" s="54">
        <f>IF($B18=0,NA(),IF($D18="",NA(),IF(D$8="",NA(),IF(N(D$8)=0,NA(),IF(Inputs!$C$17="Rebased to 100",$D18/D$8*100,$D18)))))</f>
        <v/>
      </c>
      <c r="K18" s="54">
        <f>IF($B18=0,NA(),IF($E18="",NA(),IF(E$8="",NA(),IF(N(E$8)=0,NA(),IF(Inputs!$C$17="Rebased to 100",$E18/E$8*100,$E18)))))</f>
        <v/>
      </c>
      <c r="L18" s="54">
        <f>IF($B18=0,NA(),IF($F18="",NA(),IF(F$8="",NA(),IF(N(F$8)=0,NA(),IF(Inputs!$C$17="Rebased to 100",$F18/F$8*100,$F18)))))</f>
        <v/>
      </c>
      <c r="M18" s="54">
        <f>IF($B18=0,NA(),IF($G18="",NA(),IF(G$8="",NA(),IF(N(G$8)=0,NA(),IF(Inputs!$C$17="Rebased to 100",$G18/G$8*100,$G18)))))</f>
        <v/>
      </c>
      <c r="N18" s="54">
        <f>IF($B18=0,NA(),IF(Inputs!$C$18&lt;&gt;"Yes",NA(),IF(COUNT(I18,J18,K18,L18,M18)=0,NA(),MIN(I18,J18,K18,L18,M18))))</f>
        <v/>
      </c>
      <c r="O18" s="54">
        <f>IF($B18=0,NA(),IF(Inputs!$B$24&lt;&gt;"Yes",NA(),Inputs!$D$24*Inputs!$C$35))</f>
        <v/>
      </c>
      <c r="P18" s="54">
        <f>IF($B18=0,NA(),IF(Inputs!$B$25&lt;&gt;"Yes",NA(),Inputs!$D$25*Inputs!$C$35))</f>
        <v/>
      </c>
      <c r="Q18" s="54">
        <f>IF($B18=0,NA(),IF(Inputs!$B$26&lt;&gt;"Yes",NA(),Inputs!$D$26*Inputs!$C$35))</f>
        <v/>
      </c>
      <c r="R18" s="54">
        <f>IF($B18=0,NA(),IF(Inputs!$B$27&lt;&gt;"Yes",NA(),Inputs!$D$27*Inputs!$C$35))</f>
        <v/>
      </c>
      <c r="S18" s="54">
        <f>IF($B18=0,NA(),IF(Inputs!$B$28&lt;&gt;"Yes",NA(),Inputs!$D$28*Inputs!$C$35))</f>
        <v/>
      </c>
      <c r="T18" s="54">
        <f>IF($B18=0,NA(),IF(Inputs!$B$29&lt;&gt;"Yes",NA(),Inputs!$D$29*Inputs!$C$35))</f>
        <v/>
      </c>
      <c r="AD18">
        <f>IF($B18=0,0,IF(Inputs!$B$6="",0,COUNTIFS(Data!$A$10:$A$3209,"&gt;="&amp;$A18,Data!$A$10:$A$3209,"&lt;"&amp;$A18+1)))</f>
        <v/>
      </c>
      <c r="AE18">
        <f>IF($B18=0,0,IF(Inputs!$B$7="",0,COUNTIFS(Data!$E$10:$E$3209,"&gt;="&amp;$A18,Data!$E$10:$E$3209,"&lt;"&amp;$A18+1)))</f>
        <v/>
      </c>
      <c r="AF18">
        <f>IF($B18=0,0,IF(Inputs!$B$8="",0,COUNTIFS(Data!$I$10:$I$3209,"&gt;="&amp;$A18,Data!$I$10:$I$3209,"&lt;"&amp;$A18+1)))</f>
        <v/>
      </c>
      <c r="AG18">
        <f>IF($B18=0,0,IF(Inputs!$B$9="",0,COUNTIFS(Data!$M$10:$M$3209,"&gt;="&amp;$A18,Data!$M$10:$M$3209,"&lt;"&amp;$A18+1)))</f>
        <v/>
      </c>
      <c r="AH18">
        <f>IF($B18=0,0,IF(Inputs!$B$10="",0,COUNTIFS(Data!$Q$10:$Q$3209,"&gt;="&amp;$A18,Data!$Q$10:$Q$3209,"&lt;"&amp;$A18+1)))</f>
        <v/>
      </c>
    </row>
    <row r="19">
      <c r="A19" s="55">
        <f>MIN(Inputs!$C$15,$A18+IF(WEEKDAY($A18,2)=5,3,1))</f>
        <v/>
      </c>
      <c r="B19">
        <f>IF($A19&gt;$A18,1,0)</f>
        <v/>
      </c>
      <c r="C19" s="56">
        <f>IF($B19=0,"",IF(Inputs!$B$6="","",IF($AD19=0,C18,SUMIFS(Data!$B$10:$B$3209,Data!$A$10:$A$3209,"&gt;="&amp;$A19,Data!$A$10:$A$3209,"&lt;"&amp;$A19+1)/$AD19)))</f>
        <v/>
      </c>
      <c r="D19" s="56">
        <f>IF($B19=0,"",IF(Inputs!$B$7="","",IF($AE19=0,D18,SUMIFS(Data!$F$10:$F$3209,Data!$E$10:$E$3209,"&gt;="&amp;$A19,Data!$E$10:$E$3209,"&lt;"&amp;$A19+1)/$AE19)))</f>
        <v/>
      </c>
      <c r="E19" s="56">
        <f>IF($B19=0,"",IF(Inputs!$B$8="","",IF($AF19=0,E18,SUMIFS(Data!$J$10:$J$3209,Data!$I$10:$I$3209,"&gt;="&amp;$A19,Data!$I$10:$I$3209,"&lt;"&amp;$A19+1)/$AF19)))</f>
        <v/>
      </c>
      <c r="F19" s="56">
        <f>IF($B19=0,"",IF(Inputs!$B$9="","",IF($AG19=0,F18,SUMIFS(Data!$N$10:$N$3209,Data!$M$10:$M$3209,"&gt;="&amp;$A19,Data!$M$10:$M$3209,"&lt;"&amp;$A19+1)/$AG19)))</f>
        <v/>
      </c>
      <c r="G19" s="56">
        <f>IF($B19=0,"",IF(Inputs!$B$10="","",IF($AH19=0,G18,SUMIFS(Data!$R$10:$R$3209,Data!$Q$10:$Q$3209,"&gt;="&amp;$A19,Data!$Q$10:$Q$3209,"&lt;"&amp;$A19+1)/$AH19)))</f>
        <v/>
      </c>
      <c r="I19" s="54">
        <f>IF($B19=0,NA(),IF($C19="",NA(),IF(C$8="",NA(),IF(N(C$8)=0,NA(),IF(Inputs!$C$17="Rebased to 100",$C19/C$8*100,$C19)))))</f>
        <v/>
      </c>
      <c r="J19" s="54">
        <f>IF($B19=0,NA(),IF($D19="",NA(),IF(D$8="",NA(),IF(N(D$8)=0,NA(),IF(Inputs!$C$17="Rebased to 100",$D19/D$8*100,$D19)))))</f>
        <v/>
      </c>
      <c r="K19" s="54">
        <f>IF($B19=0,NA(),IF($E19="",NA(),IF(E$8="",NA(),IF(N(E$8)=0,NA(),IF(Inputs!$C$17="Rebased to 100",$E19/E$8*100,$E19)))))</f>
        <v/>
      </c>
      <c r="L19" s="54">
        <f>IF($B19=0,NA(),IF($F19="",NA(),IF(F$8="",NA(),IF(N(F$8)=0,NA(),IF(Inputs!$C$17="Rebased to 100",$F19/F$8*100,$F19)))))</f>
        <v/>
      </c>
      <c r="M19" s="54">
        <f>IF($B19=0,NA(),IF($G19="",NA(),IF(G$8="",NA(),IF(N(G$8)=0,NA(),IF(Inputs!$C$17="Rebased to 100",$G19/G$8*100,$G19)))))</f>
        <v/>
      </c>
      <c r="N19" s="54">
        <f>IF($B19=0,NA(),IF(Inputs!$C$18&lt;&gt;"Yes",NA(),IF(COUNT(I19,J19,K19,L19,M19)=0,NA(),MIN(I19,J19,K19,L19,M19))))</f>
        <v/>
      </c>
      <c r="O19" s="54">
        <f>IF($B19=0,NA(),IF(Inputs!$B$24&lt;&gt;"Yes",NA(),Inputs!$D$24*Inputs!$C$35))</f>
        <v/>
      </c>
      <c r="P19" s="54">
        <f>IF($B19=0,NA(),IF(Inputs!$B$25&lt;&gt;"Yes",NA(),Inputs!$D$25*Inputs!$C$35))</f>
        <v/>
      </c>
      <c r="Q19" s="54">
        <f>IF($B19=0,NA(),IF(Inputs!$B$26&lt;&gt;"Yes",NA(),Inputs!$D$26*Inputs!$C$35))</f>
        <v/>
      </c>
      <c r="R19" s="54">
        <f>IF($B19=0,NA(),IF(Inputs!$B$27&lt;&gt;"Yes",NA(),Inputs!$D$27*Inputs!$C$35))</f>
        <v/>
      </c>
      <c r="S19" s="54">
        <f>IF($B19=0,NA(),IF(Inputs!$B$28&lt;&gt;"Yes",NA(),Inputs!$D$28*Inputs!$C$35))</f>
        <v/>
      </c>
      <c r="T19" s="54">
        <f>IF($B19=0,NA(),IF(Inputs!$B$29&lt;&gt;"Yes",NA(),Inputs!$D$29*Inputs!$C$35))</f>
        <v/>
      </c>
      <c r="AD19">
        <f>IF($B19=0,0,IF(Inputs!$B$6="",0,COUNTIFS(Data!$A$10:$A$3209,"&gt;="&amp;$A19,Data!$A$10:$A$3209,"&lt;"&amp;$A19+1)))</f>
        <v/>
      </c>
      <c r="AE19">
        <f>IF($B19=0,0,IF(Inputs!$B$7="",0,COUNTIFS(Data!$E$10:$E$3209,"&gt;="&amp;$A19,Data!$E$10:$E$3209,"&lt;"&amp;$A19+1)))</f>
        <v/>
      </c>
      <c r="AF19">
        <f>IF($B19=0,0,IF(Inputs!$B$8="",0,COUNTIFS(Data!$I$10:$I$3209,"&gt;="&amp;$A19,Data!$I$10:$I$3209,"&lt;"&amp;$A19+1)))</f>
        <v/>
      </c>
      <c r="AG19">
        <f>IF($B19=0,0,IF(Inputs!$B$9="",0,COUNTIFS(Data!$M$10:$M$3209,"&gt;="&amp;$A19,Data!$M$10:$M$3209,"&lt;"&amp;$A19+1)))</f>
        <v/>
      </c>
      <c r="AH19">
        <f>IF($B19=0,0,IF(Inputs!$B$10="",0,COUNTIFS(Data!$Q$10:$Q$3209,"&gt;="&amp;$A19,Data!$Q$10:$Q$3209,"&lt;"&amp;$A19+1)))</f>
        <v/>
      </c>
    </row>
    <row r="20">
      <c r="A20" s="55">
        <f>MIN(Inputs!$C$15,$A19+IF(WEEKDAY($A19,2)=5,3,1))</f>
        <v/>
      </c>
      <c r="B20">
        <f>IF($A20&gt;$A19,1,0)</f>
        <v/>
      </c>
      <c r="C20" s="56">
        <f>IF($B20=0,"",IF(Inputs!$B$6="","",IF($AD20=0,C19,SUMIFS(Data!$B$10:$B$3209,Data!$A$10:$A$3209,"&gt;="&amp;$A20,Data!$A$10:$A$3209,"&lt;"&amp;$A20+1)/$AD20)))</f>
        <v/>
      </c>
      <c r="D20" s="56">
        <f>IF($B20=0,"",IF(Inputs!$B$7="","",IF($AE20=0,D19,SUMIFS(Data!$F$10:$F$3209,Data!$E$10:$E$3209,"&gt;="&amp;$A20,Data!$E$10:$E$3209,"&lt;"&amp;$A20+1)/$AE20)))</f>
        <v/>
      </c>
      <c r="E20" s="56">
        <f>IF($B20=0,"",IF(Inputs!$B$8="","",IF($AF20=0,E19,SUMIFS(Data!$J$10:$J$3209,Data!$I$10:$I$3209,"&gt;="&amp;$A20,Data!$I$10:$I$3209,"&lt;"&amp;$A20+1)/$AF20)))</f>
        <v/>
      </c>
      <c r="F20" s="56">
        <f>IF($B20=0,"",IF(Inputs!$B$9="","",IF($AG20=0,F19,SUMIFS(Data!$N$10:$N$3209,Data!$M$10:$M$3209,"&gt;="&amp;$A20,Data!$M$10:$M$3209,"&lt;"&amp;$A20+1)/$AG20)))</f>
        <v/>
      </c>
      <c r="G20" s="56">
        <f>IF($B20=0,"",IF(Inputs!$B$10="","",IF($AH20=0,G19,SUMIFS(Data!$R$10:$R$3209,Data!$Q$10:$Q$3209,"&gt;="&amp;$A20,Data!$Q$10:$Q$3209,"&lt;"&amp;$A20+1)/$AH20)))</f>
        <v/>
      </c>
      <c r="I20" s="54">
        <f>IF($B20=0,NA(),IF($C20="",NA(),IF(C$8="",NA(),IF(N(C$8)=0,NA(),IF(Inputs!$C$17="Rebased to 100",$C20/C$8*100,$C20)))))</f>
        <v/>
      </c>
      <c r="J20" s="54">
        <f>IF($B20=0,NA(),IF($D20="",NA(),IF(D$8="",NA(),IF(N(D$8)=0,NA(),IF(Inputs!$C$17="Rebased to 100",$D20/D$8*100,$D20)))))</f>
        <v/>
      </c>
      <c r="K20" s="54">
        <f>IF($B20=0,NA(),IF($E20="",NA(),IF(E$8="",NA(),IF(N(E$8)=0,NA(),IF(Inputs!$C$17="Rebased to 100",$E20/E$8*100,$E20)))))</f>
        <v/>
      </c>
      <c r="L20" s="54">
        <f>IF($B20=0,NA(),IF($F20="",NA(),IF(F$8="",NA(),IF(N(F$8)=0,NA(),IF(Inputs!$C$17="Rebased to 100",$F20/F$8*100,$F20)))))</f>
        <v/>
      </c>
      <c r="M20" s="54">
        <f>IF($B20=0,NA(),IF($G20="",NA(),IF(G$8="",NA(),IF(N(G$8)=0,NA(),IF(Inputs!$C$17="Rebased to 100",$G20/G$8*100,$G20)))))</f>
        <v/>
      </c>
      <c r="N20" s="54">
        <f>IF($B20=0,NA(),IF(Inputs!$C$18&lt;&gt;"Yes",NA(),IF(COUNT(I20,J20,K20,L20,M20)=0,NA(),MIN(I20,J20,K20,L20,M20))))</f>
        <v/>
      </c>
      <c r="O20" s="54">
        <f>IF($B20=0,NA(),IF(Inputs!$B$24&lt;&gt;"Yes",NA(),Inputs!$D$24*Inputs!$C$35))</f>
        <v/>
      </c>
      <c r="P20" s="54">
        <f>IF($B20=0,NA(),IF(Inputs!$B$25&lt;&gt;"Yes",NA(),Inputs!$D$25*Inputs!$C$35))</f>
        <v/>
      </c>
      <c r="Q20" s="54">
        <f>IF($B20=0,NA(),IF(Inputs!$B$26&lt;&gt;"Yes",NA(),Inputs!$D$26*Inputs!$C$35))</f>
        <v/>
      </c>
      <c r="R20" s="54">
        <f>IF($B20=0,NA(),IF(Inputs!$B$27&lt;&gt;"Yes",NA(),Inputs!$D$27*Inputs!$C$35))</f>
        <v/>
      </c>
      <c r="S20" s="54">
        <f>IF($B20=0,NA(),IF(Inputs!$B$28&lt;&gt;"Yes",NA(),Inputs!$D$28*Inputs!$C$35))</f>
        <v/>
      </c>
      <c r="T20" s="54">
        <f>IF($B20=0,NA(),IF(Inputs!$B$29&lt;&gt;"Yes",NA(),Inputs!$D$29*Inputs!$C$35))</f>
        <v/>
      </c>
      <c r="AD20">
        <f>IF($B20=0,0,IF(Inputs!$B$6="",0,COUNTIFS(Data!$A$10:$A$3209,"&gt;="&amp;$A20,Data!$A$10:$A$3209,"&lt;"&amp;$A20+1)))</f>
        <v/>
      </c>
      <c r="AE20">
        <f>IF($B20=0,0,IF(Inputs!$B$7="",0,COUNTIFS(Data!$E$10:$E$3209,"&gt;="&amp;$A20,Data!$E$10:$E$3209,"&lt;"&amp;$A20+1)))</f>
        <v/>
      </c>
      <c r="AF20">
        <f>IF($B20=0,0,IF(Inputs!$B$8="",0,COUNTIFS(Data!$I$10:$I$3209,"&gt;="&amp;$A20,Data!$I$10:$I$3209,"&lt;"&amp;$A20+1)))</f>
        <v/>
      </c>
      <c r="AG20">
        <f>IF($B20=0,0,IF(Inputs!$B$9="",0,COUNTIFS(Data!$M$10:$M$3209,"&gt;="&amp;$A20,Data!$M$10:$M$3209,"&lt;"&amp;$A20+1)))</f>
        <v/>
      </c>
      <c r="AH20">
        <f>IF($B20=0,0,IF(Inputs!$B$10="",0,COUNTIFS(Data!$Q$10:$Q$3209,"&gt;="&amp;$A20,Data!$Q$10:$Q$3209,"&lt;"&amp;$A20+1)))</f>
        <v/>
      </c>
    </row>
    <row r="21">
      <c r="A21" s="55">
        <f>MIN(Inputs!$C$15,$A20+IF(WEEKDAY($A20,2)=5,3,1))</f>
        <v/>
      </c>
      <c r="B21">
        <f>IF($A21&gt;$A20,1,0)</f>
        <v/>
      </c>
      <c r="C21" s="56">
        <f>IF($B21=0,"",IF(Inputs!$B$6="","",IF($AD21=0,C20,SUMIFS(Data!$B$10:$B$3209,Data!$A$10:$A$3209,"&gt;="&amp;$A21,Data!$A$10:$A$3209,"&lt;"&amp;$A21+1)/$AD21)))</f>
        <v/>
      </c>
      <c r="D21" s="56">
        <f>IF($B21=0,"",IF(Inputs!$B$7="","",IF($AE21=0,D20,SUMIFS(Data!$F$10:$F$3209,Data!$E$10:$E$3209,"&gt;="&amp;$A21,Data!$E$10:$E$3209,"&lt;"&amp;$A21+1)/$AE21)))</f>
        <v/>
      </c>
      <c r="E21" s="56">
        <f>IF($B21=0,"",IF(Inputs!$B$8="","",IF($AF21=0,E20,SUMIFS(Data!$J$10:$J$3209,Data!$I$10:$I$3209,"&gt;="&amp;$A21,Data!$I$10:$I$3209,"&lt;"&amp;$A21+1)/$AF21)))</f>
        <v/>
      </c>
      <c r="F21" s="56">
        <f>IF($B21=0,"",IF(Inputs!$B$9="","",IF($AG21=0,F20,SUMIFS(Data!$N$10:$N$3209,Data!$M$10:$M$3209,"&gt;="&amp;$A21,Data!$M$10:$M$3209,"&lt;"&amp;$A21+1)/$AG21)))</f>
        <v/>
      </c>
      <c r="G21" s="56">
        <f>IF($B21=0,"",IF(Inputs!$B$10="","",IF($AH21=0,G20,SUMIFS(Data!$R$10:$R$3209,Data!$Q$10:$Q$3209,"&gt;="&amp;$A21,Data!$Q$10:$Q$3209,"&lt;"&amp;$A21+1)/$AH21)))</f>
        <v/>
      </c>
      <c r="I21" s="54">
        <f>IF($B21=0,NA(),IF($C21="",NA(),IF(C$8="",NA(),IF(N(C$8)=0,NA(),IF(Inputs!$C$17="Rebased to 100",$C21/C$8*100,$C21)))))</f>
        <v/>
      </c>
      <c r="J21" s="54">
        <f>IF($B21=0,NA(),IF($D21="",NA(),IF(D$8="",NA(),IF(N(D$8)=0,NA(),IF(Inputs!$C$17="Rebased to 100",$D21/D$8*100,$D21)))))</f>
        <v/>
      </c>
      <c r="K21" s="54">
        <f>IF($B21=0,NA(),IF($E21="",NA(),IF(E$8="",NA(),IF(N(E$8)=0,NA(),IF(Inputs!$C$17="Rebased to 100",$E21/E$8*100,$E21)))))</f>
        <v/>
      </c>
      <c r="L21" s="54">
        <f>IF($B21=0,NA(),IF($F21="",NA(),IF(F$8="",NA(),IF(N(F$8)=0,NA(),IF(Inputs!$C$17="Rebased to 100",$F21/F$8*100,$F21)))))</f>
        <v/>
      </c>
      <c r="M21" s="54">
        <f>IF($B21=0,NA(),IF($G21="",NA(),IF(G$8="",NA(),IF(N(G$8)=0,NA(),IF(Inputs!$C$17="Rebased to 100",$G21/G$8*100,$G21)))))</f>
        <v/>
      </c>
      <c r="N21" s="54">
        <f>IF($B21=0,NA(),IF(Inputs!$C$18&lt;&gt;"Yes",NA(),IF(COUNT(I21,J21,K21,L21,M21)=0,NA(),MIN(I21,J21,K21,L21,M21))))</f>
        <v/>
      </c>
      <c r="O21" s="54">
        <f>IF($B21=0,NA(),IF(Inputs!$B$24&lt;&gt;"Yes",NA(),Inputs!$D$24*Inputs!$C$35))</f>
        <v/>
      </c>
      <c r="P21" s="54">
        <f>IF($B21=0,NA(),IF(Inputs!$B$25&lt;&gt;"Yes",NA(),Inputs!$D$25*Inputs!$C$35))</f>
        <v/>
      </c>
      <c r="Q21" s="54">
        <f>IF($B21=0,NA(),IF(Inputs!$B$26&lt;&gt;"Yes",NA(),Inputs!$D$26*Inputs!$C$35))</f>
        <v/>
      </c>
      <c r="R21" s="54">
        <f>IF($B21=0,NA(),IF(Inputs!$B$27&lt;&gt;"Yes",NA(),Inputs!$D$27*Inputs!$C$35))</f>
        <v/>
      </c>
      <c r="S21" s="54">
        <f>IF($B21=0,NA(),IF(Inputs!$B$28&lt;&gt;"Yes",NA(),Inputs!$D$28*Inputs!$C$35))</f>
        <v/>
      </c>
      <c r="T21" s="54">
        <f>IF($B21=0,NA(),IF(Inputs!$B$29&lt;&gt;"Yes",NA(),Inputs!$D$29*Inputs!$C$35))</f>
        <v/>
      </c>
      <c r="AD21">
        <f>IF($B21=0,0,IF(Inputs!$B$6="",0,COUNTIFS(Data!$A$10:$A$3209,"&gt;="&amp;$A21,Data!$A$10:$A$3209,"&lt;"&amp;$A21+1)))</f>
        <v/>
      </c>
      <c r="AE21">
        <f>IF($B21=0,0,IF(Inputs!$B$7="",0,COUNTIFS(Data!$E$10:$E$3209,"&gt;="&amp;$A21,Data!$E$10:$E$3209,"&lt;"&amp;$A21+1)))</f>
        <v/>
      </c>
      <c r="AF21">
        <f>IF($B21=0,0,IF(Inputs!$B$8="",0,COUNTIFS(Data!$I$10:$I$3209,"&gt;="&amp;$A21,Data!$I$10:$I$3209,"&lt;"&amp;$A21+1)))</f>
        <v/>
      </c>
      <c r="AG21">
        <f>IF($B21=0,0,IF(Inputs!$B$9="",0,COUNTIFS(Data!$M$10:$M$3209,"&gt;="&amp;$A21,Data!$M$10:$M$3209,"&lt;"&amp;$A21+1)))</f>
        <v/>
      </c>
      <c r="AH21">
        <f>IF($B21=0,0,IF(Inputs!$B$10="",0,COUNTIFS(Data!$Q$10:$Q$3209,"&gt;="&amp;$A21,Data!$Q$10:$Q$3209,"&lt;"&amp;$A21+1)))</f>
        <v/>
      </c>
    </row>
    <row r="22">
      <c r="A22" s="55">
        <f>MIN(Inputs!$C$15,$A21+IF(WEEKDAY($A21,2)=5,3,1))</f>
        <v/>
      </c>
      <c r="B22">
        <f>IF($A22&gt;$A21,1,0)</f>
        <v/>
      </c>
      <c r="C22" s="56">
        <f>IF($B22=0,"",IF(Inputs!$B$6="","",IF($AD22=0,C21,SUMIFS(Data!$B$10:$B$3209,Data!$A$10:$A$3209,"&gt;="&amp;$A22,Data!$A$10:$A$3209,"&lt;"&amp;$A22+1)/$AD22)))</f>
        <v/>
      </c>
      <c r="D22" s="56">
        <f>IF($B22=0,"",IF(Inputs!$B$7="","",IF($AE22=0,D21,SUMIFS(Data!$F$10:$F$3209,Data!$E$10:$E$3209,"&gt;="&amp;$A22,Data!$E$10:$E$3209,"&lt;"&amp;$A22+1)/$AE22)))</f>
        <v/>
      </c>
      <c r="E22" s="56">
        <f>IF($B22=0,"",IF(Inputs!$B$8="","",IF($AF22=0,E21,SUMIFS(Data!$J$10:$J$3209,Data!$I$10:$I$3209,"&gt;="&amp;$A22,Data!$I$10:$I$3209,"&lt;"&amp;$A22+1)/$AF22)))</f>
        <v/>
      </c>
      <c r="F22" s="56">
        <f>IF($B22=0,"",IF(Inputs!$B$9="","",IF($AG22=0,F21,SUMIFS(Data!$N$10:$N$3209,Data!$M$10:$M$3209,"&gt;="&amp;$A22,Data!$M$10:$M$3209,"&lt;"&amp;$A22+1)/$AG22)))</f>
        <v/>
      </c>
      <c r="G22" s="56">
        <f>IF($B22=0,"",IF(Inputs!$B$10="","",IF($AH22=0,G21,SUMIFS(Data!$R$10:$R$3209,Data!$Q$10:$Q$3209,"&gt;="&amp;$A22,Data!$Q$10:$Q$3209,"&lt;"&amp;$A22+1)/$AH22)))</f>
        <v/>
      </c>
      <c r="I22" s="54">
        <f>IF($B22=0,NA(),IF($C22="",NA(),IF(C$8="",NA(),IF(N(C$8)=0,NA(),IF(Inputs!$C$17="Rebased to 100",$C22/C$8*100,$C22)))))</f>
        <v/>
      </c>
      <c r="J22" s="54">
        <f>IF($B22=0,NA(),IF($D22="",NA(),IF(D$8="",NA(),IF(N(D$8)=0,NA(),IF(Inputs!$C$17="Rebased to 100",$D22/D$8*100,$D22)))))</f>
        <v/>
      </c>
      <c r="K22" s="54">
        <f>IF($B22=0,NA(),IF($E22="",NA(),IF(E$8="",NA(),IF(N(E$8)=0,NA(),IF(Inputs!$C$17="Rebased to 100",$E22/E$8*100,$E22)))))</f>
        <v/>
      </c>
      <c r="L22" s="54">
        <f>IF($B22=0,NA(),IF($F22="",NA(),IF(F$8="",NA(),IF(N(F$8)=0,NA(),IF(Inputs!$C$17="Rebased to 100",$F22/F$8*100,$F22)))))</f>
        <v/>
      </c>
      <c r="M22" s="54">
        <f>IF($B22=0,NA(),IF($G22="",NA(),IF(G$8="",NA(),IF(N(G$8)=0,NA(),IF(Inputs!$C$17="Rebased to 100",$G22/G$8*100,$G22)))))</f>
        <v/>
      </c>
      <c r="N22" s="54">
        <f>IF($B22=0,NA(),IF(Inputs!$C$18&lt;&gt;"Yes",NA(),IF(COUNT(I22,J22,K22,L22,M22)=0,NA(),MIN(I22,J22,K22,L22,M22))))</f>
        <v/>
      </c>
      <c r="O22" s="54">
        <f>IF($B22=0,NA(),IF(Inputs!$B$24&lt;&gt;"Yes",NA(),Inputs!$D$24*Inputs!$C$35))</f>
        <v/>
      </c>
      <c r="P22" s="54">
        <f>IF($B22=0,NA(),IF(Inputs!$B$25&lt;&gt;"Yes",NA(),Inputs!$D$25*Inputs!$C$35))</f>
        <v/>
      </c>
      <c r="Q22" s="54">
        <f>IF($B22=0,NA(),IF(Inputs!$B$26&lt;&gt;"Yes",NA(),Inputs!$D$26*Inputs!$C$35))</f>
        <v/>
      </c>
      <c r="R22" s="54">
        <f>IF($B22=0,NA(),IF(Inputs!$B$27&lt;&gt;"Yes",NA(),Inputs!$D$27*Inputs!$C$35))</f>
        <v/>
      </c>
      <c r="S22" s="54">
        <f>IF($B22=0,NA(),IF(Inputs!$B$28&lt;&gt;"Yes",NA(),Inputs!$D$28*Inputs!$C$35))</f>
        <v/>
      </c>
      <c r="T22" s="54">
        <f>IF($B22=0,NA(),IF(Inputs!$B$29&lt;&gt;"Yes",NA(),Inputs!$D$29*Inputs!$C$35))</f>
        <v/>
      </c>
      <c r="AD22">
        <f>IF($B22=0,0,IF(Inputs!$B$6="",0,COUNTIFS(Data!$A$10:$A$3209,"&gt;="&amp;$A22,Data!$A$10:$A$3209,"&lt;"&amp;$A22+1)))</f>
        <v/>
      </c>
      <c r="AE22">
        <f>IF($B22=0,0,IF(Inputs!$B$7="",0,COUNTIFS(Data!$E$10:$E$3209,"&gt;="&amp;$A22,Data!$E$10:$E$3209,"&lt;"&amp;$A22+1)))</f>
        <v/>
      </c>
      <c r="AF22">
        <f>IF($B22=0,0,IF(Inputs!$B$8="",0,COUNTIFS(Data!$I$10:$I$3209,"&gt;="&amp;$A22,Data!$I$10:$I$3209,"&lt;"&amp;$A22+1)))</f>
        <v/>
      </c>
      <c r="AG22">
        <f>IF($B22=0,0,IF(Inputs!$B$9="",0,COUNTIFS(Data!$M$10:$M$3209,"&gt;="&amp;$A22,Data!$M$10:$M$3209,"&lt;"&amp;$A22+1)))</f>
        <v/>
      </c>
      <c r="AH22">
        <f>IF($B22=0,0,IF(Inputs!$B$10="",0,COUNTIFS(Data!$Q$10:$Q$3209,"&gt;="&amp;$A22,Data!$Q$10:$Q$3209,"&lt;"&amp;$A22+1)))</f>
        <v/>
      </c>
    </row>
    <row r="23">
      <c r="A23" s="55">
        <f>MIN(Inputs!$C$15,$A22+IF(WEEKDAY($A22,2)=5,3,1))</f>
        <v/>
      </c>
      <c r="B23">
        <f>IF($A23&gt;$A22,1,0)</f>
        <v/>
      </c>
      <c r="C23" s="56">
        <f>IF($B23=0,"",IF(Inputs!$B$6="","",IF($AD23=0,C22,SUMIFS(Data!$B$10:$B$3209,Data!$A$10:$A$3209,"&gt;="&amp;$A23,Data!$A$10:$A$3209,"&lt;"&amp;$A23+1)/$AD23)))</f>
        <v/>
      </c>
      <c r="D23" s="56">
        <f>IF($B23=0,"",IF(Inputs!$B$7="","",IF($AE23=0,D22,SUMIFS(Data!$F$10:$F$3209,Data!$E$10:$E$3209,"&gt;="&amp;$A23,Data!$E$10:$E$3209,"&lt;"&amp;$A23+1)/$AE23)))</f>
        <v/>
      </c>
      <c r="E23" s="56">
        <f>IF($B23=0,"",IF(Inputs!$B$8="","",IF($AF23=0,E22,SUMIFS(Data!$J$10:$J$3209,Data!$I$10:$I$3209,"&gt;="&amp;$A23,Data!$I$10:$I$3209,"&lt;"&amp;$A23+1)/$AF23)))</f>
        <v/>
      </c>
      <c r="F23" s="56">
        <f>IF($B23=0,"",IF(Inputs!$B$9="","",IF($AG23=0,F22,SUMIFS(Data!$N$10:$N$3209,Data!$M$10:$M$3209,"&gt;="&amp;$A23,Data!$M$10:$M$3209,"&lt;"&amp;$A23+1)/$AG23)))</f>
        <v/>
      </c>
      <c r="G23" s="56">
        <f>IF($B23=0,"",IF(Inputs!$B$10="","",IF($AH23=0,G22,SUMIFS(Data!$R$10:$R$3209,Data!$Q$10:$Q$3209,"&gt;="&amp;$A23,Data!$Q$10:$Q$3209,"&lt;"&amp;$A23+1)/$AH23)))</f>
        <v/>
      </c>
      <c r="I23" s="54">
        <f>IF($B23=0,NA(),IF($C23="",NA(),IF(C$8="",NA(),IF(N(C$8)=0,NA(),IF(Inputs!$C$17="Rebased to 100",$C23/C$8*100,$C23)))))</f>
        <v/>
      </c>
      <c r="J23" s="54">
        <f>IF($B23=0,NA(),IF($D23="",NA(),IF(D$8="",NA(),IF(N(D$8)=0,NA(),IF(Inputs!$C$17="Rebased to 100",$D23/D$8*100,$D23)))))</f>
        <v/>
      </c>
      <c r="K23" s="54">
        <f>IF($B23=0,NA(),IF($E23="",NA(),IF(E$8="",NA(),IF(N(E$8)=0,NA(),IF(Inputs!$C$17="Rebased to 100",$E23/E$8*100,$E23)))))</f>
        <v/>
      </c>
      <c r="L23" s="54">
        <f>IF($B23=0,NA(),IF($F23="",NA(),IF(F$8="",NA(),IF(N(F$8)=0,NA(),IF(Inputs!$C$17="Rebased to 100",$F23/F$8*100,$F23)))))</f>
        <v/>
      </c>
      <c r="M23" s="54">
        <f>IF($B23=0,NA(),IF($G23="",NA(),IF(G$8="",NA(),IF(N(G$8)=0,NA(),IF(Inputs!$C$17="Rebased to 100",$G23/G$8*100,$G23)))))</f>
        <v/>
      </c>
      <c r="N23" s="54">
        <f>IF($B23=0,NA(),IF(Inputs!$C$18&lt;&gt;"Yes",NA(),IF(COUNT(I23,J23,K23,L23,M23)=0,NA(),MIN(I23,J23,K23,L23,M23))))</f>
        <v/>
      </c>
      <c r="O23" s="54">
        <f>IF($B23=0,NA(),IF(Inputs!$B$24&lt;&gt;"Yes",NA(),Inputs!$D$24*Inputs!$C$35))</f>
        <v/>
      </c>
      <c r="P23" s="54">
        <f>IF($B23=0,NA(),IF(Inputs!$B$25&lt;&gt;"Yes",NA(),Inputs!$D$25*Inputs!$C$35))</f>
        <v/>
      </c>
      <c r="Q23" s="54">
        <f>IF($B23=0,NA(),IF(Inputs!$B$26&lt;&gt;"Yes",NA(),Inputs!$D$26*Inputs!$C$35))</f>
        <v/>
      </c>
      <c r="R23" s="54">
        <f>IF($B23=0,NA(),IF(Inputs!$B$27&lt;&gt;"Yes",NA(),Inputs!$D$27*Inputs!$C$35))</f>
        <v/>
      </c>
      <c r="S23" s="54">
        <f>IF($B23=0,NA(),IF(Inputs!$B$28&lt;&gt;"Yes",NA(),Inputs!$D$28*Inputs!$C$35))</f>
        <v/>
      </c>
      <c r="T23" s="54">
        <f>IF($B23=0,NA(),IF(Inputs!$B$29&lt;&gt;"Yes",NA(),Inputs!$D$29*Inputs!$C$35))</f>
        <v/>
      </c>
      <c r="AD23">
        <f>IF($B23=0,0,IF(Inputs!$B$6="",0,COUNTIFS(Data!$A$10:$A$3209,"&gt;="&amp;$A23,Data!$A$10:$A$3209,"&lt;"&amp;$A23+1)))</f>
        <v/>
      </c>
      <c r="AE23">
        <f>IF($B23=0,0,IF(Inputs!$B$7="",0,COUNTIFS(Data!$E$10:$E$3209,"&gt;="&amp;$A23,Data!$E$10:$E$3209,"&lt;"&amp;$A23+1)))</f>
        <v/>
      </c>
      <c r="AF23">
        <f>IF($B23=0,0,IF(Inputs!$B$8="",0,COUNTIFS(Data!$I$10:$I$3209,"&gt;="&amp;$A23,Data!$I$10:$I$3209,"&lt;"&amp;$A23+1)))</f>
        <v/>
      </c>
      <c r="AG23">
        <f>IF($B23=0,0,IF(Inputs!$B$9="",0,COUNTIFS(Data!$M$10:$M$3209,"&gt;="&amp;$A23,Data!$M$10:$M$3209,"&lt;"&amp;$A23+1)))</f>
        <v/>
      </c>
      <c r="AH23">
        <f>IF($B23=0,0,IF(Inputs!$B$10="",0,COUNTIFS(Data!$Q$10:$Q$3209,"&gt;="&amp;$A23,Data!$Q$10:$Q$3209,"&lt;"&amp;$A23+1)))</f>
        <v/>
      </c>
    </row>
    <row r="24">
      <c r="A24" s="55">
        <f>MIN(Inputs!$C$15,$A23+IF(WEEKDAY($A23,2)=5,3,1))</f>
        <v/>
      </c>
      <c r="B24">
        <f>IF($A24&gt;$A23,1,0)</f>
        <v/>
      </c>
      <c r="C24" s="56">
        <f>IF($B24=0,"",IF(Inputs!$B$6="","",IF($AD24=0,C23,SUMIFS(Data!$B$10:$B$3209,Data!$A$10:$A$3209,"&gt;="&amp;$A24,Data!$A$10:$A$3209,"&lt;"&amp;$A24+1)/$AD24)))</f>
        <v/>
      </c>
      <c r="D24" s="56">
        <f>IF($B24=0,"",IF(Inputs!$B$7="","",IF($AE24=0,D23,SUMIFS(Data!$F$10:$F$3209,Data!$E$10:$E$3209,"&gt;="&amp;$A24,Data!$E$10:$E$3209,"&lt;"&amp;$A24+1)/$AE24)))</f>
        <v/>
      </c>
      <c r="E24" s="56">
        <f>IF($B24=0,"",IF(Inputs!$B$8="","",IF($AF24=0,E23,SUMIFS(Data!$J$10:$J$3209,Data!$I$10:$I$3209,"&gt;="&amp;$A24,Data!$I$10:$I$3209,"&lt;"&amp;$A24+1)/$AF24)))</f>
        <v/>
      </c>
      <c r="F24" s="56">
        <f>IF($B24=0,"",IF(Inputs!$B$9="","",IF($AG24=0,F23,SUMIFS(Data!$N$10:$N$3209,Data!$M$10:$M$3209,"&gt;="&amp;$A24,Data!$M$10:$M$3209,"&lt;"&amp;$A24+1)/$AG24)))</f>
        <v/>
      </c>
      <c r="G24" s="56">
        <f>IF($B24=0,"",IF(Inputs!$B$10="","",IF($AH24=0,G23,SUMIFS(Data!$R$10:$R$3209,Data!$Q$10:$Q$3209,"&gt;="&amp;$A24,Data!$Q$10:$Q$3209,"&lt;"&amp;$A24+1)/$AH24)))</f>
        <v/>
      </c>
      <c r="I24" s="54">
        <f>IF($B24=0,NA(),IF($C24="",NA(),IF(C$8="",NA(),IF(N(C$8)=0,NA(),IF(Inputs!$C$17="Rebased to 100",$C24/C$8*100,$C24)))))</f>
        <v/>
      </c>
      <c r="J24" s="54">
        <f>IF($B24=0,NA(),IF($D24="",NA(),IF(D$8="",NA(),IF(N(D$8)=0,NA(),IF(Inputs!$C$17="Rebased to 100",$D24/D$8*100,$D24)))))</f>
        <v/>
      </c>
      <c r="K24" s="54">
        <f>IF($B24=0,NA(),IF($E24="",NA(),IF(E$8="",NA(),IF(N(E$8)=0,NA(),IF(Inputs!$C$17="Rebased to 100",$E24/E$8*100,$E24)))))</f>
        <v/>
      </c>
      <c r="L24" s="54">
        <f>IF($B24=0,NA(),IF($F24="",NA(),IF(F$8="",NA(),IF(N(F$8)=0,NA(),IF(Inputs!$C$17="Rebased to 100",$F24/F$8*100,$F24)))))</f>
        <v/>
      </c>
      <c r="M24" s="54">
        <f>IF($B24=0,NA(),IF($G24="",NA(),IF(G$8="",NA(),IF(N(G$8)=0,NA(),IF(Inputs!$C$17="Rebased to 100",$G24/G$8*100,$G24)))))</f>
        <v/>
      </c>
      <c r="N24" s="54">
        <f>IF($B24=0,NA(),IF(Inputs!$C$18&lt;&gt;"Yes",NA(),IF(COUNT(I24,J24,K24,L24,M24)=0,NA(),MIN(I24,J24,K24,L24,M24))))</f>
        <v/>
      </c>
      <c r="O24" s="54">
        <f>IF($B24=0,NA(),IF(Inputs!$B$24&lt;&gt;"Yes",NA(),Inputs!$D$24*Inputs!$C$35))</f>
        <v/>
      </c>
      <c r="P24" s="54">
        <f>IF($B24=0,NA(),IF(Inputs!$B$25&lt;&gt;"Yes",NA(),Inputs!$D$25*Inputs!$C$35))</f>
        <v/>
      </c>
      <c r="Q24" s="54">
        <f>IF($B24=0,NA(),IF(Inputs!$B$26&lt;&gt;"Yes",NA(),Inputs!$D$26*Inputs!$C$35))</f>
        <v/>
      </c>
      <c r="R24" s="54">
        <f>IF($B24=0,NA(),IF(Inputs!$B$27&lt;&gt;"Yes",NA(),Inputs!$D$27*Inputs!$C$35))</f>
        <v/>
      </c>
      <c r="S24" s="54">
        <f>IF($B24=0,NA(),IF(Inputs!$B$28&lt;&gt;"Yes",NA(),Inputs!$D$28*Inputs!$C$35))</f>
        <v/>
      </c>
      <c r="T24" s="54">
        <f>IF($B24=0,NA(),IF(Inputs!$B$29&lt;&gt;"Yes",NA(),Inputs!$D$29*Inputs!$C$35))</f>
        <v/>
      </c>
      <c r="AD24">
        <f>IF($B24=0,0,IF(Inputs!$B$6="",0,COUNTIFS(Data!$A$10:$A$3209,"&gt;="&amp;$A24,Data!$A$10:$A$3209,"&lt;"&amp;$A24+1)))</f>
        <v/>
      </c>
      <c r="AE24">
        <f>IF($B24=0,0,IF(Inputs!$B$7="",0,COUNTIFS(Data!$E$10:$E$3209,"&gt;="&amp;$A24,Data!$E$10:$E$3209,"&lt;"&amp;$A24+1)))</f>
        <v/>
      </c>
      <c r="AF24">
        <f>IF($B24=0,0,IF(Inputs!$B$8="",0,COUNTIFS(Data!$I$10:$I$3209,"&gt;="&amp;$A24,Data!$I$10:$I$3209,"&lt;"&amp;$A24+1)))</f>
        <v/>
      </c>
      <c r="AG24">
        <f>IF($B24=0,0,IF(Inputs!$B$9="",0,COUNTIFS(Data!$M$10:$M$3209,"&gt;="&amp;$A24,Data!$M$10:$M$3209,"&lt;"&amp;$A24+1)))</f>
        <v/>
      </c>
      <c r="AH24">
        <f>IF($B24=0,0,IF(Inputs!$B$10="",0,COUNTIFS(Data!$Q$10:$Q$3209,"&gt;="&amp;$A24,Data!$Q$10:$Q$3209,"&lt;"&amp;$A24+1)))</f>
        <v/>
      </c>
    </row>
    <row r="25">
      <c r="A25" s="55">
        <f>MIN(Inputs!$C$15,$A24+IF(WEEKDAY($A24,2)=5,3,1))</f>
        <v/>
      </c>
      <c r="B25">
        <f>IF($A25&gt;$A24,1,0)</f>
        <v/>
      </c>
      <c r="C25" s="56">
        <f>IF($B25=0,"",IF(Inputs!$B$6="","",IF($AD25=0,C24,SUMIFS(Data!$B$10:$B$3209,Data!$A$10:$A$3209,"&gt;="&amp;$A25,Data!$A$10:$A$3209,"&lt;"&amp;$A25+1)/$AD25)))</f>
        <v/>
      </c>
      <c r="D25" s="56">
        <f>IF($B25=0,"",IF(Inputs!$B$7="","",IF($AE25=0,D24,SUMIFS(Data!$F$10:$F$3209,Data!$E$10:$E$3209,"&gt;="&amp;$A25,Data!$E$10:$E$3209,"&lt;"&amp;$A25+1)/$AE25)))</f>
        <v/>
      </c>
      <c r="E25" s="56">
        <f>IF($B25=0,"",IF(Inputs!$B$8="","",IF($AF25=0,E24,SUMIFS(Data!$J$10:$J$3209,Data!$I$10:$I$3209,"&gt;="&amp;$A25,Data!$I$10:$I$3209,"&lt;"&amp;$A25+1)/$AF25)))</f>
        <v/>
      </c>
      <c r="F25" s="56">
        <f>IF($B25=0,"",IF(Inputs!$B$9="","",IF($AG25=0,F24,SUMIFS(Data!$N$10:$N$3209,Data!$M$10:$M$3209,"&gt;="&amp;$A25,Data!$M$10:$M$3209,"&lt;"&amp;$A25+1)/$AG25)))</f>
        <v/>
      </c>
      <c r="G25" s="56">
        <f>IF($B25=0,"",IF(Inputs!$B$10="","",IF($AH25=0,G24,SUMIFS(Data!$R$10:$R$3209,Data!$Q$10:$Q$3209,"&gt;="&amp;$A25,Data!$Q$10:$Q$3209,"&lt;"&amp;$A25+1)/$AH25)))</f>
        <v/>
      </c>
      <c r="I25" s="54">
        <f>IF($B25=0,NA(),IF($C25="",NA(),IF(C$8="",NA(),IF(N(C$8)=0,NA(),IF(Inputs!$C$17="Rebased to 100",$C25/C$8*100,$C25)))))</f>
        <v/>
      </c>
      <c r="J25" s="54">
        <f>IF($B25=0,NA(),IF($D25="",NA(),IF(D$8="",NA(),IF(N(D$8)=0,NA(),IF(Inputs!$C$17="Rebased to 100",$D25/D$8*100,$D25)))))</f>
        <v/>
      </c>
      <c r="K25" s="54">
        <f>IF($B25=0,NA(),IF($E25="",NA(),IF(E$8="",NA(),IF(N(E$8)=0,NA(),IF(Inputs!$C$17="Rebased to 100",$E25/E$8*100,$E25)))))</f>
        <v/>
      </c>
      <c r="L25" s="54">
        <f>IF($B25=0,NA(),IF($F25="",NA(),IF(F$8="",NA(),IF(N(F$8)=0,NA(),IF(Inputs!$C$17="Rebased to 100",$F25/F$8*100,$F25)))))</f>
        <v/>
      </c>
      <c r="M25" s="54">
        <f>IF($B25=0,NA(),IF($G25="",NA(),IF(G$8="",NA(),IF(N(G$8)=0,NA(),IF(Inputs!$C$17="Rebased to 100",$G25/G$8*100,$G25)))))</f>
        <v/>
      </c>
      <c r="N25" s="54">
        <f>IF($B25=0,NA(),IF(Inputs!$C$18&lt;&gt;"Yes",NA(),IF(COUNT(I25,J25,K25,L25,M25)=0,NA(),MIN(I25,J25,K25,L25,M25))))</f>
        <v/>
      </c>
      <c r="O25" s="54">
        <f>IF($B25=0,NA(),IF(Inputs!$B$24&lt;&gt;"Yes",NA(),Inputs!$D$24*Inputs!$C$35))</f>
        <v/>
      </c>
      <c r="P25" s="54">
        <f>IF($B25=0,NA(),IF(Inputs!$B$25&lt;&gt;"Yes",NA(),Inputs!$D$25*Inputs!$C$35))</f>
        <v/>
      </c>
      <c r="Q25" s="54">
        <f>IF($B25=0,NA(),IF(Inputs!$B$26&lt;&gt;"Yes",NA(),Inputs!$D$26*Inputs!$C$35))</f>
        <v/>
      </c>
      <c r="R25" s="54">
        <f>IF($B25=0,NA(),IF(Inputs!$B$27&lt;&gt;"Yes",NA(),Inputs!$D$27*Inputs!$C$35))</f>
        <v/>
      </c>
      <c r="S25" s="54">
        <f>IF($B25=0,NA(),IF(Inputs!$B$28&lt;&gt;"Yes",NA(),Inputs!$D$28*Inputs!$C$35))</f>
        <v/>
      </c>
      <c r="T25" s="54">
        <f>IF($B25=0,NA(),IF(Inputs!$B$29&lt;&gt;"Yes",NA(),Inputs!$D$29*Inputs!$C$35))</f>
        <v/>
      </c>
      <c r="AD25">
        <f>IF($B25=0,0,IF(Inputs!$B$6="",0,COUNTIFS(Data!$A$10:$A$3209,"&gt;="&amp;$A25,Data!$A$10:$A$3209,"&lt;"&amp;$A25+1)))</f>
        <v/>
      </c>
      <c r="AE25">
        <f>IF($B25=0,0,IF(Inputs!$B$7="",0,COUNTIFS(Data!$E$10:$E$3209,"&gt;="&amp;$A25,Data!$E$10:$E$3209,"&lt;"&amp;$A25+1)))</f>
        <v/>
      </c>
      <c r="AF25">
        <f>IF($B25=0,0,IF(Inputs!$B$8="",0,COUNTIFS(Data!$I$10:$I$3209,"&gt;="&amp;$A25,Data!$I$10:$I$3209,"&lt;"&amp;$A25+1)))</f>
        <v/>
      </c>
      <c r="AG25">
        <f>IF($B25=0,0,IF(Inputs!$B$9="",0,COUNTIFS(Data!$M$10:$M$3209,"&gt;="&amp;$A25,Data!$M$10:$M$3209,"&lt;"&amp;$A25+1)))</f>
        <v/>
      </c>
      <c r="AH25">
        <f>IF($B25=0,0,IF(Inputs!$B$10="",0,COUNTIFS(Data!$Q$10:$Q$3209,"&gt;="&amp;$A25,Data!$Q$10:$Q$3209,"&lt;"&amp;$A25+1)))</f>
        <v/>
      </c>
    </row>
    <row r="26">
      <c r="A26" s="55">
        <f>MIN(Inputs!$C$15,$A25+IF(WEEKDAY($A25,2)=5,3,1))</f>
        <v/>
      </c>
      <c r="B26">
        <f>IF($A26&gt;$A25,1,0)</f>
        <v/>
      </c>
      <c r="C26" s="56">
        <f>IF($B26=0,"",IF(Inputs!$B$6="","",IF($AD26=0,C25,SUMIFS(Data!$B$10:$B$3209,Data!$A$10:$A$3209,"&gt;="&amp;$A26,Data!$A$10:$A$3209,"&lt;"&amp;$A26+1)/$AD26)))</f>
        <v/>
      </c>
      <c r="D26" s="56">
        <f>IF($B26=0,"",IF(Inputs!$B$7="","",IF($AE26=0,D25,SUMIFS(Data!$F$10:$F$3209,Data!$E$10:$E$3209,"&gt;="&amp;$A26,Data!$E$10:$E$3209,"&lt;"&amp;$A26+1)/$AE26)))</f>
        <v/>
      </c>
      <c r="E26" s="56">
        <f>IF($B26=0,"",IF(Inputs!$B$8="","",IF($AF26=0,E25,SUMIFS(Data!$J$10:$J$3209,Data!$I$10:$I$3209,"&gt;="&amp;$A26,Data!$I$10:$I$3209,"&lt;"&amp;$A26+1)/$AF26)))</f>
        <v/>
      </c>
      <c r="F26" s="56">
        <f>IF($B26=0,"",IF(Inputs!$B$9="","",IF($AG26=0,F25,SUMIFS(Data!$N$10:$N$3209,Data!$M$10:$M$3209,"&gt;="&amp;$A26,Data!$M$10:$M$3209,"&lt;"&amp;$A26+1)/$AG26)))</f>
        <v/>
      </c>
      <c r="G26" s="56">
        <f>IF($B26=0,"",IF(Inputs!$B$10="","",IF($AH26=0,G25,SUMIFS(Data!$R$10:$R$3209,Data!$Q$10:$Q$3209,"&gt;="&amp;$A26,Data!$Q$10:$Q$3209,"&lt;"&amp;$A26+1)/$AH26)))</f>
        <v/>
      </c>
      <c r="I26" s="54">
        <f>IF($B26=0,NA(),IF($C26="",NA(),IF(C$8="",NA(),IF(N(C$8)=0,NA(),IF(Inputs!$C$17="Rebased to 100",$C26/C$8*100,$C26)))))</f>
        <v/>
      </c>
      <c r="J26" s="54">
        <f>IF($B26=0,NA(),IF($D26="",NA(),IF(D$8="",NA(),IF(N(D$8)=0,NA(),IF(Inputs!$C$17="Rebased to 100",$D26/D$8*100,$D26)))))</f>
        <v/>
      </c>
      <c r="K26" s="54">
        <f>IF($B26=0,NA(),IF($E26="",NA(),IF(E$8="",NA(),IF(N(E$8)=0,NA(),IF(Inputs!$C$17="Rebased to 100",$E26/E$8*100,$E26)))))</f>
        <v/>
      </c>
      <c r="L26" s="54">
        <f>IF($B26=0,NA(),IF($F26="",NA(),IF(F$8="",NA(),IF(N(F$8)=0,NA(),IF(Inputs!$C$17="Rebased to 100",$F26/F$8*100,$F26)))))</f>
        <v/>
      </c>
      <c r="M26" s="54">
        <f>IF($B26=0,NA(),IF($G26="",NA(),IF(G$8="",NA(),IF(N(G$8)=0,NA(),IF(Inputs!$C$17="Rebased to 100",$G26/G$8*100,$G26)))))</f>
        <v/>
      </c>
      <c r="N26" s="54">
        <f>IF($B26=0,NA(),IF(Inputs!$C$18&lt;&gt;"Yes",NA(),IF(COUNT(I26,J26,K26,L26,M26)=0,NA(),MIN(I26,J26,K26,L26,M26))))</f>
        <v/>
      </c>
      <c r="O26" s="54">
        <f>IF($B26=0,NA(),IF(Inputs!$B$24&lt;&gt;"Yes",NA(),Inputs!$D$24*Inputs!$C$35))</f>
        <v/>
      </c>
      <c r="P26" s="54">
        <f>IF($B26=0,NA(),IF(Inputs!$B$25&lt;&gt;"Yes",NA(),Inputs!$D$25*Inputs!$C$35))</f>
        <v/>
      </c>
      <c r="Q26" s="54">
        <f>IF($B26=0,NA(),IF(Inputs!$B$26&lt;&gt;"Yes",NA(),Inputs!$D$26*Inputs!$C$35))</f>
        <v/>
      </c>
      <c r="R26" s="54">
        <f>IF($B26=0,NA(),IF(Inputs!$B$27&lt;&gt;"Yes",NA(),Inputs!$D$27*Inputs!$C$35))</f>
        <v/>
      </c>
      <c r="S26" s="54">
        <f>IF($B26=0,NA(),IF(Inputs!$B$28&lt;&gt;"Yes",NA(),Inputs!$D$28*Inputs!$C$35))</f>
        <v/>
      </c>
      <c r="T26" s="54">
        <f>IF($B26=0,NA(),IF(Inputs!$B$29&lt;&gt;"Yes",NA(),Inputs!$D$29*Inputs!$C$35))</f>
        <v/>
      </c>
      <c r="AD26">
        <f>IF($B26=0,0,IF(Inputs!$B$6="",0,COUNTIFS(Data!$A$10:$A$3209,"&gt;="&amp;$A26,Data!$A$10:$A$3209,"&lt;"&amp;$A26+1)))</f>
        <v/>
      </c>
      <c r="AE26">
        <f>IF($B26=0,0,IF(Inputs!$B$7="",0,COUNTIFS(Data!$E$10:$E$3209,"&gt;="&amp;$A26,Data!$E$10:$E$3209,"&lt;"&amp;$A26+1)))</f>
        <v/>
      </c>
      <c r="AF26">
        <f>IF($B26=0,0,IF(Inputs!$B$8="",0,COUNTIFS(Data!$I$10:$I$3209,"&gt;="&amp;$A26,Data!$I$10:$I$3209,"&lt;"&amp;$A26+1)))</f>
        <v/>
      </c>
      <c r="AG26">
        <f>IF($B26=0,0,IF(Inputs!$B$9="",0,COUNTIFS(Data!$M$10:$M$3209,"&gt;="&amp;$A26,Data!$M$10:$M$3209,"&lt;"&amp;$A26+1)))</f>
        <v/>
      </c>
      <c r="AH26">
        <f>IF($B26=0,0,IF(Inputs!$B$10="",0,COUNTIFS(Data!$Q$10:$Q$3209,"&gt;="&amp;$A26,Data!$Q$10:$Q$3209,"&lt;"&amp;$A26+1)))</f>
        <v/>
      </c>
    </row>
    <row r="27">
      <c r="A27" s="55">
        <f>MIN(Inputs!$C$15,$A26+IF(WEEKDAY($A26,2)=5,3,1))</f>
        <v/>
      </c>
      <c r="B27">
        <f>IF($A27&gt;$A26,1,0)</f>
        <v/>
      </c>
      <c r="C27" s="56">
        <f>IF($B27=0,"",IF(Inputs!$B$6="","",IF($AD27=0,C26,SUMIFS(Data!$B$10:$B$3209,Data!$A$10:$A$3209,"&gt;="&amp;$A27,Data!$A$10:$A$3209,"&lt;"&amp;$A27+1)/$AD27)))</f>
        <v/>
      </c>
      <c r="D27" s="56">
        <f>IF($B27=0,"",IF(Inputs!$B$7="","",IF($AE27=0,D26,SUMIFS(Data!$F$10:$F$3209,Data!$E$10:$E$3209,"&gt;="&amp;$A27,Data!$E$10:$E$3209,"&lt;"&amp;$A27+1)/$AE27)))</f>
        <v/>
      </c>
      <c r="E27" s="56">
        <f>IF($B27=0,"",IF(Inputs!$B$8="","",IF($AF27=0,E26,SUMIFS(Data!$J$10:$J$3209,Data!$I$10:$I$3209,"&gt;="&amp;$A27,Data!$I$10:$I$3209,"&lt;"&amp;$A27+1)/$AF27)))</f>
        <v/>
      </c>
      <c r="F27" s="56">
        <f>IF($B27=0,"",IF(Inputs!$B$9="","",IF($AG27=0,F26,SUMIFS(Data!$N$10:$N$3209,Data!$M$10:$M$3209,"&gt;="&amp;$A27,Data!$M$10:$M$3209,"&lt;"&amp;$A27+1)/$AG27)))</f>
        <v/>
      </c>
      <c r="G27" s="56">
        <f>IF($B27=0,"",IF(Inputs!$B$10="","",IF($AH27=0,G26,SUMIFS(Data!$R$10:$R$3209,Data!$Q$10:$Q$3209,"&gt;="&amp;$A27,Data!$Q$10:$Q$3209,"&lt;"&amp;$A27+1)/$AH27)))</f>
        <v/>
      </c>
      <c r="I27" s="54">
        <f>IF($B27=0,NA(),IF($C27="",NA(),IF(C$8="",NA(),IF(N(C$8)=0,NA(),IF(Inputs!$C$17="Rebased to 100",$C27/C$8*100,$C27)))))</f>
        <v/>
      </c>
      <c r="J27" s="54">
        <f>IF($B27=0,NA(),IF($D27="",NA(),IF(D$8="",NA(),IF(N(D$8)=0,NA(),IF(Inputs!$C$17="Rebased to 100",$D27/D$8*100,$D27)))))</f>
        <v/>
      </c>
      <c r="K27" s="54">
        <f>IF($B27=0,NA(),IF($E27="",NA(),IF(E$8="",NA(),IF(N(E$8)=0,NA(),IF(Inputs!$C$17="Rebased to 100",$E27/E$8*100,$E27)))))</f>
        <v/>
      </c>
      <c r="L27" s="54">
        <f>IF($B27=0,NA(),IF($F27="",NA(),IF(F$8="",NA(),IF(N(F$8)=0,NA(),IF(Inputs!$C$17="Rebased to 100",$F27/F$8*100,$F27)))))</f>
        <v/>
      </c>
      <c r="M27" s="54">
        <f>IF($B27=0,NA(),IF($G27="",NA(),IF(G$8="",NA(),IF(N(G$8)=0,NA(),IF(Inputs!$C$17="Rebased to 100",$G27/G$8*100,$G27)))))</f>
        <v/>
      </c>
      <c r="N27" s="54">
        <f>IF($B27=0,NA(),IF(Inputs!$C$18&lt;&gt;"Yes",NA(),IF(COUNT(I27,J27,K27,L27,M27)=0,NA(),MIN(I27,J27,K27,L27,M27))))</f>
        <v/>
      </c>
      <c r="O27" s="54">
        <f>IF($B27=0,NA(),IF(Inputs!$B$24&lt;&gt;"Yes",NA(),Inputs!$D$24*Inputs!$C$35))</f>
        <v/>
      </c>
      <c r="P27" s="54">
        <f>IF($B27=0,NA(),IF(Inputs!$B$25&lt;&gt;"Yes",NA(),Inputs!$D$25*Inputs!$C$35))</f>
        <v/>
      </c>
      <c r="Q27" s="54">
        <f>IF($B27=0,NA(),IF(Inputs!$B$26&lt;&gt;"Yes",NA(),Inputs!$D$26*Inputs!$C$35))</f>
        <v/>
      </c>
      <c r="R27" s="54">
        <f>IF($B27=0,NA(),IF(Inputs!$B$27&lt;&gt;"Yes",NA(),Inputs!$D$27*Inputs!$C$35))</f>
        <v/>
      </c>
      <c r="S27" s="54">
        <f>IF($B27=0,NA(),IF(Inputs!$B$28&lt;&gt;"Yes",NA(),Inputs!$D$28*Inputs!$C$35))</f>
        <v/>
      </c>
      <c r="T27" s="54">
        <f>IF($B27=0,NA(),IF(Inputs!$B$29&lt;&gt;"Yes",NA(),Inputs!$D$29*Inputs!$C$35))</f>
        <v/>
      </c>
      <c r="AD27">
        <f>IF($B27=0,0,IF(Inputs!$B$6="",0,COUNTIFS(Data!$A$10:$A$3209,"&gt;="&amp;$A27,Data!$A$10:$A$3209,"&lt;"&amp;$A27+1)))</f>
        <v/>
      </c>
      <c r="AE27">
        <f>IF($B27=0,0,IF(Inputs!$B$7="",0,COUNTIFS(Data!$E$10:$E$3209,"&gt;="&amp;$A27,Data!$E$10:$E$3209,"&lt;"&amp;$A27+1)))</f>
        <v/>
      </c>
      <c r="AF27">
        <f>IF($B27=0,0,IF(Inputs!$B$8="",0,COUNTIFS(Data!$I$10:$I$3209,"&gt;="&amp;$A27,Data!$I$10:$I$3209,"&lt;"&amp;$A27+1)))</f>
        <v/>
      </c>
      <c r="AG27">
        <f>IF($B27=0,0,IF(Inputs!$B$9="",0,COUNTIFS(Data!$M$10:$M$3209,"&gt;="&amp;$A27,Data!$M$10:$M$3209,"&lt;"&amp;$A27+1)))</f>
        <v/>
      </c>
      <c r="AH27">
        <f>IF($B27=0,0,IF(Inputs!$B$10="",0,COUNTIFS(Data!$Q$10:$Q$3209,"&gt;="&amp;$A27,Data!$Q$10:$Q$3209,"&lt;"&amp;$A27+1)))</f>
        <v/>
      </c>
    </row>
    <row r="28">
      <c r="A28" s="55">
        <f>MIN(Inputs!$C$15,$A27+IF(WEEKDAY($A27,2)=5,3,1))</f>
        <v/>
      </c>
      <c r="B28">
        <f>IF($A28&gt;$A27,1,0)</f>
        <v/>
      </c>
      <c r="C28" s="56">
        <f>IF($B28=0,"",IF(Inputs!$B$6="","",IF($AD28=0,C27,SUMIFS(Data!$B$10:$B$3209,Data!$A$10:$A$3209,"&gt;="&amp;$A28,Data!$A$10:$A$3209,"&lt;"&amp;$A28+1)/$AD28)))</f>
        <v/>
      </c>
      <c r="D28" s="56">
        <f>IF($B28=0,"",IF(Inputs!$B$7="","",IF($AE28=0,D27,SUMIFS(Data!$F$10:$F$3209,Data!$E$10:$E$3209,"&gt;="&amp;$A28,Data!$E$10:$E$3209,"&lt;"&amp;$A28+1)/$AE28)))</f>
        <v/>
      </c>
      <c r="E28" s="56">
        <f>IF($B28=0,"",IF(Inputs!$B$8="","",IF($AF28=0,E27,SUMIFS(Data!$J$10:$J$3209,Data!$I$10:$I$3209,"&gt;="&amp;$A28,Data!$I$10:$I$3209,"&lt;"&amp;$A28+1)/$AF28)))</f>
        <v/>
      </c>
      <c r="F28" s="56">
        <f>IF($B28=0,"",IF(Inputs!$B$9="","",IF($AG28=0,F27,SUMIFS(Data!$N$10:$N$3209,Data!$M$10:$M$3209,"&gt;="&amp;$A28,Data!$M$10:$M$3209,"&lt;"&amp;$A28+1)/$AG28)))</f>
        <v/>
      </c>
      <c r="G28" s="56">
        <f>IF($B28=0,"",IF(Inputs!$B$10="","",IF($AH28=0,G27,SUMIFS(Data!$R$10:$R$3209,Data!$Q$10:$Q$3209,"&gt;="&amp;$A28,Data!$Q$10:$Q$3209,"&lt;"&amp;$A28+1)/$AH28)))</f>
        <v/>
      </c>
      <c r="I28" s="54">
        <f>IF($B28=0,NA(),IF($C28="",NA(),IF(C$8="",NA(),IF(N(C$8)=0,NA(),IF(Inputs!$C$17="Rebased to 100",$C28/C$8*100,$C28)))))</f>
        <v/>
      </c>
      <c r="J28" s="54">
        <f>IF($B28=0,NA(),IF($D28="",NA(),IF(D$8="",NA(),IF(N(D$8)=0,NA(),IF(Inputs!$C$17="Rebased to 100",$D28/D$8*100,$D28)))))</f>
        <v/>
      </c>
      <c r="K28" s="54">
        <f>IF($B28=0,NA(),IF($E28="",NA(),IF(E$8="",NA(),IF(N(E$8)=0,NA(),IF(Inputs!$C$17="Rebased to 100",$E28/E$8*100,$E28)))))</f>
        <v/>
      </c>
      <c r="L28" s="54">
        <f>IF($B28=0,NA(),IF($F28="",NA(),IF(F$8="",NA(),IF(N(F$8)=0,NA(),IF(Inputs!$C$17="Rebased to 100",$F28/F$8*100,$F28)))))</f>
        <v/>
      </c>
      <c r="M28" s="54">
        <f>IF($B28=0,NA(),IF($G28="",NA(),IF(G$8="",NA(),IF(N(G$8)=0,NA(),IF(Inputs!$C$17="Rebased to 100",$G28/G$8*100,$G28)))))</f>
        <v/>
      </c>
      <c r="N28" s="54">
        <f>IF($B28=0,NA(),IF(Inputs!$C$18&lt;&gt;"Yes",NA(),IF(COUNT(I28,J28,K28,L28,M28)=0,NA(),MIN(I28,J28,K28,L28,M28))))</f>
        <v/>
      </c>
      <c r="O28" s="54">
        <f>IF($B28=0,NA(),IF(Inputs!$B$24&lt;&gt;"Yes",NA(),Inputs!$D$24*Inputs!$C$35))</f>
        <v/>
      </c>
      <c r="P28" s="54">
        <f>IF($B28=0,NA(),IF(Inputs!$B$25&lt;&gt;"Yes",NA(),Inputs!$D$25*Inputs!$C$35))</f>
        <v/>
      </c>
      <c r="Q28" s="54">
        <f>IF($B28=0,NA(),IF(Inputs!$B$26&lt;&gt;"Yes",NA(),Inputs!$D$26*Inputs!$C$35))</f>
        <v/>
      </c>
      <c r="R28" s="54">
        <f>IF($B28=0,NA(),IF(Inputs!$B$27&lt;&gt;"Yes",NA(),Inputs!$D$27*Inputs!$C$35))</f>
        <v/>
      </c>
      <c r="S28" s="54">
        <f>IF($B28=0,NA(),IF(Inputs!$B$28&lt;&gt;"Yes",NA(),Inputs!$D$28*Inputs!$C$35))</f>
        <v/>
      </c>
      <c r="T28" s="54">
        <f>IF($B28=0,NA(),IF(Inputs!$B$29&lt;&gt;"Yes",NA(),Inputs!$D$29*Inputs!$C$35))</f>
        <v/>
      </c>
      <c r="AD28">
        <f>IF($B28=0,0,IF(Inputs!$B$6="",0,COUNTIFS(Data!$A$10:$A$3209,"&gt;="&amp;$A28,Data!$A$10:$A$3209,"&lt;"&amp;$A28+1)))</f>
        <v/>
      </c>
      <c r="AE28">
        <f>IF($B28=0,0,IF(Inputs!$B$7="",0,COUNTIFS(Data!$E$10:$E$3209,"&gt;="&amp;$A28,Data!$E$10:$E$3209,"&lt;"&amp;$A28+1)))</f>
        <v/>
      </c>
      <c r="AF28">
        <f>IF($B28=0,0,IF(Inputs!$B$8="",0,COUNTIFS(Data!$I$10:$I$3209,"&gt;="&amp;$A28,Data!$I$10:$I$3209,"&lt;"&amp;$A28+1)))</f>
        <v/>
      </c>
      <c r="AG28">
        <f>IF($B28=0,0,IF(Inputs!$B$9="",0,COUNTIFS(Data!$M$10:$M$3209,"&gt;="&amp;$A28,Data!$M$10:$M$3209,"&lt;"&amp;$A28+1)))</f>
        <v/>
      </c>
      <c r="AH28">
        <f>IF($B28=0,0,IF(Inputs!$B$10="",0,COUNTIFS(Data!$Q$10:$Q$3209,"&gt;="&amp;$A28,Data!$Q$10:$Q$3209,"&lt;"&amp;$A28+1)))</f>
        <v/>
      </c>
    </row>
    <row r="29">
      <c r="A29" s="55">
        <f>MIN(Inputs!$C$15,$A28+IF(WEEKDAY($A28,2)=5,3,1))</f>
        <v/>
      </c>
      <c r="B29">
        <f>IF($A29&gt;$A28,1,0)</f>
        <v/>
      </c>
      <c r="C29" s="56">
        <f>IF($B29=0,"",IF(Inputs!$B$6="","",IF($AD29=0,C28,SUMIFS(Data!$B$10:$B$3209,Data!$A$10:$A$3209,"&gt;="&amp;$A29,Data!$A$10:$A$3209,"&lt;"&amp;$A29+1)/$AD29)))</f>
        <v/>
      </c>
      <c r="D29" s="56">
        <f>IF($B29=0,"",IF(Inputs!$B$7="","",IF($AE29=0,D28,SUMIFS(Data!$F$10:$F$3209,Data!$E$10:$E$3209,"&gt;="&amp;$A29,Data!$E$10:$E$3209,"&lt;"&amp;$A29+1)/$AE29)))</f>
        <v/>
      </c>
      <c r="E29" s="56">
        <f>IF($B29=0,"",IF(Inputs!$B$8="","",IF($AF29=0,E28,SUMIFS(Data!$J$10:$J$3209,Data!$I$10:$I$3209,"&gt;="&amp;$A29,Data!$I$10:$I$3209,"&lt;"&amp;$A29+1)/$AF29)))</f>
        <v/>
      </c>
      <c r="F29" s="56">
        <f>IF($B29=0,"",IF(Inputs!$B$9="","",IF($AG29=0,F28,SUMIFS(Data!$N$10:$N$3209,Data!$M$10:$M$3209,"&gt;="&amp;$A29,Data!$M$10:$M$3209,"&lt;"&amp;$A29+1)/$AG29)))</f>
        <v/>
      </c>
      <c r="G29" s="56">
        <f>IF($B29=0,"",IF(Inputs!$B$10="","",IF($AH29=0,G28,SUMIFS(Data!$R$10:$R$3209,Data!$Q$10:$Q$3209,"&gt;="&amp;$A29,Data!$Q$10:$Q$3209,"&lt;"&amp;$A29+1)/$AH29)))</f>
        <v/>
      </c>
      <c r="I29" s="54">
        <f>IF($B29=0,NA(),IF($C29="",NA(),IF(C$8="",NA(),IF(N(C$8)=0,NA(),IF(Inputs!$C$17="Rebased to 100",$C29/C$8*100,$C29)))))</f>
        <v/>
      </c>
      <c r="J29" s="54">
        <f>IF($B29=0,NA(),IF($D29="",NA(),IF(D$8="",NA(),IF(N(D$8)=0,NA(),IF(Inputs!$C$17="Rebased to 100",$D29/D$8*100,$D29)))))</f>
        <v/>
      </c>
      <c r="K29" s="54">
        <f>IF($B29=0,NA(),IF($E29="",NA(),IF(E$8="",NA(),IF(N(E$8)=0,NA(),IF(Inputs!$C$17="Rebased to 100",$E29/E$8*100,$E29)))))</f>
        <v/>
      </c>
      <c r="L29" s="54">
        <f>IF($B29=0,NA(),IF($F29="",NA(),IF(F$8="",NA(),IF(N(F$8)=0,NA(),IF(Inputs!$C$17="Rebased to 100",$F29/F$8*100,$F29)))))</f>
        <v/>
      </c>
      <c r="M29" s="54">
        <f>IF($B29=0,NA(),IF($G29="",NA(),IF(G$8="",NA(),IF(N(G$8)=0,NA(),IF(Inputs!$C$17="Rebased to 100",$G29/G$8*100,$G29)))))</f>
        <v/>
      </c>
      <c r="N29" s="54">
        <f>IF($B29=0,NA(),IF(Inputs!$C$18&lt;&gt;"Yes",NA(),IF(COUNT(I29,J29,K29,L29,M29)=0,NA(),MIN(I29,J29,K29,L29,M29))))</f>
        <v/>
      </c>
      <c r="O29" s="54">
        <f>IF($B29=0,NA(),IF(Inputs!$B$24&lt;&gt;"Yes",NA(),Inputs!$D$24*Inputs!$C$35))</f>
        <v/>
      </c>
      <c r="P29" s="54">
        <f>IF($B29=0,NA(),IF(Inputs!$B$25&lt;&gt;"Yes",NA(),Inputs!$D$25*Inputs!$C$35))</f>
        <v/>
      </c>
      <c r="Q29" s="54">
        <f>IF($B29=0,NA(),IF(Inputs!$B$26&lt;&gt;"Yes",NA(),Inputs!$D$26*Inputs!$C$35))</f>
        <v/>
      </c>
      <c r="R29" s="54">
        <f>IF($B29=0,NA(),IF(Inputs!$B$27&lt;&gt;"Yes",NA(),Inputs!$D$27*Inputs!$C$35))</f>
        <v/>
      </c>
      <c r="S29" s="54">
        <f>IF($B29=0,NA(),IF(Inputs!$B$28&lt;&gt;"Yes",NA(),Inputs!$D$28*Inputs!$C$35))</f>
        <v/>
      </c>
      <c r="T29" s="54">
        <f>IF($B29=0,NA(),IF(Inputs!$B$29&lt;&gt;"Yes",NA(),Inputs!$D$29*Inputs!$C$35))</f>
        <v/>
      </c>
      <c r="AD29">
        <f>IF($B29=0,0,IF(Inputs!$B$6="",0,COUNTIFS(Data!$A$10:$A$3209,"&gt;="&amp;$A29,Data!$A$10:$A$3209,"&lt;"&amp;$A29+1)))</f>
        <v/>
      </c>
      <c r="AE29">
        <f>IF($B29=0,0,IF(Inputs!$B$7="",0,COUNTIFS(Data!$E$10:$E$3209,"&gt;="&amp;$A29,Data!$E$10:$E$3209,"&lt;"&amp;$A29+1)))</f>
        <v/>
      </c>
      <c r="AF29">
        <f>IF($B29=0,0,IF(Inputs!$B$8="",0,COUNTIFS(Data!$I$10:$I$3209,"&gt;="&amp;$A29,Data!$I$10:$I$3209,"&lt;"&amp;$A29+1)))</f>
        <v/>
      </c>
      <c r="AG29">
        <f>IF($B29=0,0,IF(Inputs!$B$9="",0,COUNTIFS(Data!$M$10:$M$3209,"&gt;="&amp;$A29,Data!$M$10:$M$3209,"&lt;"&amp;$A29+1)))</f>
        <v/>
      </c>
      <c r="AH29">
        <f>IF($B29=0,0,IF(Inputs!$B$10="",0,COUNTIFS(Data!$Q$10:$Q$3209,"&gt;="&amp;$A29,Data!$Q$10:$Q$3209,"&lt;"&amp;$A29+1)))</f>
        <v/>
      </c>
    </row>
    <row r="30">
      <c r="A30" s="55">
        <f>MIN(Inputs!$C$15,$A29+IF(WEEKDAY($A29,2)=5,3,1))</f>
        <v/>
      </c>
      <c r="B30">
        <f>IF($A30&gt;$A29,1,0)</f>
        <v/>
      </c>
      <c r="C30" s="56">
        <f>IF($B30=0,"",IF(Inputs!$B$6="","",IF($AD30=0,C29,SUMIFS(Data!$B$10:$B$3209,Data!$A$10:$A$3209,"&gt;="&amp;$A30,Data!$A$10:$A$3209,"&lt;"&amp;$A30+1)/$AD30)))</f>
        <v/>
      </c>
      <c r="D30" s="56">
        <f>IF($B30=0,"",IF(Inputs!$B$7="","",IF($AE30=0,D29,SUMIFS(Data!$F$10:$F$3209,Data!$E$10:$E$3209,"&gt;="&amp;$A30,Data!$E$10:$E$3209,"&lt;"&amp;$A30+1)/$AE30)))</f>
        <v/>
      </c>
      <c r="E30" s="56">
        <f>IF($B30=0,"",IF(Inputs!$B$8="","",IF($AF30=0,E29,SUMIFS(Data!$J$10:$J$3209,Data!$I$10:$I$3209,"&gt;="&amp;$A30,Data!$I$10:$I$3209,"&lt;"&amp;$A30+1)/$AF30)))</f>
        <v/>
      </c>
      <c r="F30" s="56">
        <f>IF($B30=0,"",IF(Inputs!$B$9="","",IF($AG30=0,F29,SUMIFS(Data!$N$10:$N$3209,Data!$M$10:$M$3209,"&gt;="&amp;$A30,Data!$M$10:$M$3209,"&lt;"&amp;$A30+1)/$AG30)))</f>
        <v/>
      </c>
      <c r="G30" s="56">
        <f>IF($B30=0,"",IF(Inputs!$B$10="","",IF($AH30=0,G29,SUMIFS(Data!$R$10:$R$3209,Data!$Q$10:$Q$3209,"&gt;="&amp;$A30,Data!$Q$10:$Q$3209,"&lt;"&amp;$A30+1)/$AH30)))</f>
        <v/>
      </c>
      <c r="I30" s="54">
        <f>IF($B30=0,NA(),IF($C30="",NA(),IF(C$8="",NA(),IF(N(C$8)=0,NA(),IF(Inputs!$C$17="Rebased to 100",$C30/C$8*100,$C30)))))</f>
        <v/>
      </c>
      <c r="J30" s="54">
        <f>IF($B30=0,NA(),IF($D30="",NA(),IF(D$8="",NA(),IF(N(D$8)=0,NA(),IF(Inputs!$C$17="Rebased to 100",$D30/D$8*100,$D30)))))</f>
        <v/>
      </c>
      <c r="K30" s="54">
        <f>IF($B30=0,NA(),IF($E30="",NA(),IF(E$8="",NA(),IF(N(E$8)=0,NA(),IF(Inputs!$C$17="Rebased to 100",$E30/E$8*100,$E30)))))</f>
        <v/>
      </c>
      <c r="L30" s="54">
        <f>IF($B30=0,NA(),IF($F30="",NA(),IF(F$8="",NA(),IF(N(F$8)=0,NA(),IF(Inputs!$C$17="Rebased to 100",$F30/F$8*100,$F30)))))</f>
        <v/>
      </c>
      <c r="M30" s="54">
        <f>IF($B30=0,NA(),IF($G30="",NA(),IF(G$8="",NA(),IF(N(G$8)=0,NA(),IF(Inputs!$C$17="Rebased to 100",$G30/G$8*100,$G30)))))</f>
        <v/>
      </c>
      <c r="N30" s="54">
        <f>IF($B30=0,NA(),IF(Inputs!$C$18&lt;&gt;"Yes",NA(),IF(COUNT(I30,J30,K30,L30,M30)=0,NA(),MIN(I30,J30,K30,L30,M30))))</f>
        <v/>
      </c>
      <c r="O30" s="54">
        <f>IF($B30=0,NA(),IF(Inputs!$B$24&lt;&gt;"Yes",NA(),Inputs!$D$24*Inputs!$C$35))</f>
        <v/>
      </c>
      <c r="P30" s="54">
        <f>IF($B30=0,NA(),IF(Inputs!$B$25&lt;&gt;"Yes",NA(),Inputs!$D$25*Inputs!$C$35))</f>
        <v/>
      </c>
      <c r="Q30" s="54">
        <f>IF($B30=0,NA(),IF(Inputs!$B$26&lt;&gt;"Yes",NA(),Inputs!$D$26*Inputs!$C$35))</f>
        <v/>
      </c>
      <c r="R30" s="54">
        <f>IF($B30=0,NA(),IF(Inputs!$B$27&lt;&gt;"Yes",NA(),Inputs!$D$27*Inputs!$C$35))</f>
        <v/>
      </c>
      <c r="S30" s="54">
        <f>IF($B30=0,NA(),IF(Inputs!$B$28&lt;&gt;"Yes",NA(),Inputs!$D$28*Inputs!$C$35))</f>
        <v/>
      </c>
      <c r="T30" s="54">
        <f>IF($B30=0,NA(),IF(Inputs!$B$29&lt;&gt;"Yes",NA(),Inputs!$D$29*Inputs!$C$35))</f>
        <v/>
      </c>
      <c r="AD30">
        <f>IF($B30=0,0,IF(Inputs!$B$6="",0,COUNTIFS(Data!$A$10:$A$3209,"&gt;="&amp;$A30,Data!$A$10:$A$3209,"&lt;"&amp;$A30+1)))</f>
        <v/>
      </c>
      <c r="AE30">
        <f>IF($B30=0,0,IF(Inputs!$B$7="",0,COUNTIFS(Data!$E$10:$E$3209,"&gt;="&amp;$A30,Data!$E$10:$E$3209,"&lt;"&amp;$A30+1)))</f>
        <v/>
      </c>
      <c r="AF30">
        <f>IF($B30=0,0,IF(Inputs!$B$8="",0,COUNTIFS(Data!$I$10:$I$3209,"&gt;="&amp;$A30,Data!$I$10:$I$3209,"&lt;"&amp;$A30+1)))</f>
        <v/>
      </c>
      <c r="AG30">
        <f>IF($B30=0,0,IF(Inputs!$B$9="",0,COUNTIFS(Data!$M$10:$M$3209,"&gt;="&amp;$A30,Data!$M$10:$M$3209,"&lt;"&amp;$A30+1)))</f>
        <v/>
      </c>
      <c r="AH30">
        <f>IF($B30=0,0,IF(Inputs!$B$10="",0,COUNTIFS(Data!$Q$10:$Q$3209,"&gt;="&amp;$A30,Data!$Q$10:$Q$3209,"&lt;"&amp;$A30+1)))</f>
        <v/>
      </c>
    </row>
    <row r="31">
      <c r="A31" s="55">
        <f>MIN(Inputs!$C$15,$A30+IF(WEEKDAY($A30,2)=5,3,1))</f>
        <v/>
      </c>
      <c r="B31">
        <f>IF($A31&gt;$A30,1,0)</f>
        <v/>
      </c>
      <c r="C31" s="56">
        <f>IF($B31=0,"",IF(Inputs!$B$6="","",IF($AD31=0,C30,SUMIFS(Data!$B$10:$B$3209,Data!$A$10:$A$3209,"&gt;="&amp;$A31,Data!$A$10:$A$3209,"&lt;"&amp;$A31+1)/$AD31)))</f>
        <v/>
      </c>
      <c r="D31" s="56">
        <f>IF($B31=0,"",IF(Inputs!$B$7="","",IF($AE31=0,D30,SUMIFS(Data!$F$10:$F$3209,Data!$E$10:$E$3209,"&gt;="&amp;$A31,Data!$E$10:$E$3209,"&lt;"&amp;$A31+1)/$AE31)))</f>
        <v/>
      </c>
      <c r="E31" s="56">
        <f>IF($B31=0,"",IF(Inputs!$B$8="","",IF($AF31=0,E30,SUMIFS(Data!$J$10:$J$3209,Data!$I$10:$I$3209,"&gt;="&amp;$A31,Data!$I$10:$I$3209,"&lt;"&amp;$A31+1)/$AF31)))</f>
        <v/>
      </c>
      <c r="F31" s="56">
        <f>IF($B31=0,"",IF(Inputs!$B$9="","",IF($AG31=0,F30,SUMIFS(Data!$N$10:$N$3209,Data!$M$10:$M$3209,"&gt;="&amp;$A31,Data!$M$10:$M$3209,"&lt;"&amp;$A31+1)/$AG31)))</f>
        <v/>
      </c>
      <c r="G31" s="56">
        <f>IF($B31=0,"",IF(Inputs!$B$10="","",IF($AH31=0,G30,SUMIFS(Data!$R$10:$R$3209,Data!$Q$10:$Q$3209,"&gt;="&amp;$A31,Data!$Q$10:$Q$3209,"&lt;"&amp;$A31+1)/$AH31)))</f>
        <v/>
      </c>
      <c r="I31" s="54">
        <f>IF($B31=0,NA(),IF($C31="",NA(),IF(C$8="",NA(),IF(N(C$8)=0,NA(),IF(Inputs!$C$17="Rebased to 100",$C31/C$8*100,$C31)))))</f>
        <v/>
      </c>
      <c r="J31" s="54">
        <f>IF($B31=0,NA(),IF($D31="",NA(),IF(D$8="",NA(),IF(N(D$8)=0,NA(),IF(Inputs!$C$17="Rebased to 100",$D31/D$8*100,$D31)))))</f>
        <v/>
      </c>
      <c r="K31" s="54">
        <f>IF($B31=0,NA(),IF($E31="",NA(),IF(E$8="",NA(),IF(N(E$8)=0,NA(),IF(Inputs!$C$17="Rebased to 100",$E31/E$8*100,$E31)))))</f>
        <v/>
      </c>
      <c r="L31" s="54">
        <f>IF($B31=0,NA(),IF($F31="",NA(),IF(F$8="",NA(),IF(N(F$8)=0,NA(),IF(Inputs!$C$17="Rebased to 100",$F31/F$8*100,$F31)))))</f>
        <v/>
      </c>
      <c r="M31" s="54">
        <f>IF($B31=0,NA(),IF($G31="",NA(),IF(G$8="",NA(),IF(N(G$8)=0,NA(),IF(Inputs!$C$17="Rebased to 100",$G31/G$8*100,$G31)))))</f>
        <v/>
      </c>
      <c r="N31" s="54">
        <f>IF($B31=0,NA(),IF(Inputs!$C$18&lt;&gt;"Yes",NA(),IF(COUNT(I31,J31,K31,L31,M31)=0,NA(),MIN(I31,J31,K31,L31,M31))))</f>
        <v/>
      </c>
      <c r="O31" s="54">
        <f>IF($B31=0,NA(),IF(Inputs!$B$24&lt;&gt;"Yes",NA(),Inputs!$D$24*Inputs!$C$35))</f>
        <v/>
      </c>
      <c r="P31" s="54">
        <f>IF($B31=0,NA(),IF(Inputs!$B$25&lt;&gt;"Yes",NA(),Inputs!$D$25*Inputs!$C$35))</f>
        <v/>
      </c>
      <c r="Q31" s="54">
        <f>IF($B31=0,NA(),IF(Inputs!$B$26&lt;&gt;"Yes",NA(),Inputs!$D$26*Inputs!$C$35))</f>
        <v/>
      </c>
      <c r="R31" s="54">
        <f>IF($B31=0,NA(),IF(Inputs!$B$27&lt;&gt;"Yes",NA(),Inputs!$D$27*Inputs!$C$35))</f>
        <v/>
      </c>
      <c r="S31" s="54">
        <f>IF($B31=0,NA(),IF(Inputs!$B$28&lt;&gt;"Yes",NA(),Inputs!$D$28*Inputs!$C$35))</f>
        <v/>
      </c>
      <c r="T31" s="54">
        <f>IF($B31=0,NA(),IF(Inputs!$B$29&lt;&gt;"Yes",NA(),Inputs!$D$29*Inputs!$C$35))</f>
        <v/>
      </c>
      <c r="AD31">
        <f>IF($B31=0,0,IF(Inputs!$B$6="",0,COUNTIFS(Data!$A$10:$A$3209,"&gt;="&amp;$A31,Data!$A$10:$A$3209,"&lt;"&amp;$A31+1)))</f>
        <v/>
      </c>
      <c r="AE31">
        <f>IF($B31=0,0,IF(Inputs!$B$7="",0,COUNTIFS(Data!$E$10:$E$3209,"&gt;="&amp;$A31,Data!$E$10:$E$3209,"&lt;"&amp;$A31+1)))</f>
        <v/>
      </c>
      <c r="AF31">
        <f>IF($B31=0,0,IF(Inputs!$B$8="",0,COUNTIFS(Data!$I$10:$I$3209,"&gt;="&amp;$A31,Data!$I$10:$I$3209,"&lt;"&amp;$A31+1)))</f>
        <v/>
      </c>
      <c r="AG31">
        <f>IF($B31=0,0,IF(Inputs!$B$9="",0,COUNTIFS(Data!$M$10:$M$3209,"&gt;="&amp;$A31,Data!$M$10:$M$3209,"&lt;"&amp;$A31+1)))</f>
        <v/>
      </c>
      <c r="AH31">
        <f>IF($B31=0,0,IF(Inputs!$B$10="",0,COUNTIFS(Data!$Q$10:$Q$3209,"&gt;="&amp;$A31,Data!$Q$10:$Q$3209,"&lt;"&amp;$A31+1)))</f>
        <v/>
      </c>
    </row>
    <row r="32">
      <c r="A32" s="55">
        <f>MIN(Inputs!$C$15,$A31+IF(WEEKDAY($A31,2)=5,3,1))</f>
        <v/>
      </c>
      <c r="B32">
        <f>IF($A32&gt;$A31,1,0)</f>
        <v/>
      </c>
      <c r="C32" s="56">
        <f>IF($B32=0,"",IF(Inputs!$B$6="","",IF($AD32=0,C31,SUMIFS(Data!$B$10:$B$3209,Data!$A$10:$A$3209,"&gt;="&amp;$A32,Data!$A$10:$A$3209,"&lt;"&amp;$A32+1)/$AD32)))</f>
        <v/>
      </c>
      <c r="D32" s="56">
        <f>IF($B32=0,"",IF(Inputs!$B$7="","",IF($AE32=0,D31,SUMIFS(Data!$F$10:$F$3209,Data!$E$10:$E$3209,"&gt;="&amp;$A32,Data!$E$10:$E$3209,"&lt;"&amp;$A32+1)/$AE32)))</f>
        <v/>
      </c>
      <c r="E32" s="56">
        <f>IF($B32=0,"",IF(Inputs!$B$8="","",IF($AF32=0,E31,SUMIFS(Data!$J$10:$J$3209,Data!$I$10:$I$3209,"&gt;="&amp;$A32,Data!$I$10:$I$3209,"&lt;"&amp;$A32+1)/$AF32)))</f>
        <v/>
      </c>
      <c r="F32" s="56">
        <f>IF($B32=0,"",IF(Inputs!$B$9="","",IF($AG32=0,F31,SUMIFS(Data!$N$10:$N$3209,Data!$M$10:$M$3209,"&gt;="&amp;$A32,Data!$M$10:$M$3209,"&lt;"&amp;$A32+1)/$AG32)))</f>
        <v/>
      </c>
      <c r="G32" s="56">
        <f>IF($B32=0,"",IF(Inputs!$B$10="","",IF($AH32=0,G31,SUMIFS(Data!$R$10:$R$3209,Data!$Q$10:$Q$3209,"&gt;="&amp;$A32,Data!$Q$10:$Q$3209,"&lt;"&amp;$A32+1)/$AH32)))</f>
        <v/>
      </c>
      <c r="I32" s="54">
        <f>IF($B32=0,NA(),IF($C32="",NA(),IF(C$8="",NA(),IF(N(C$8)=0,NA(),IF(Inputs!$C$17="Rebased to 100",$C32/C$8*100,$C32)))))</f>
        <v/>
      </c>
      <c r="J32" s="54">
        <f>IF($B32=0,NA(),IF($D32="",NA(),IF(D$8="",NA(),IF(N(D$8)=0,NA(),IF(Inputs!$C$17="Rebased to 100",$D32/D$8*100,$D32)))))</f>
        <v/>
      </c>
      <c r="K32" s="54">
        <f>IF($B32=0,NA(),IF($E32="",NA(),IF(E$8="",NA(),IF(N(E$8)=0,NA(),IF(Inputs!$C$17="Rebased to 100",$E32/E$8*100,$E32)))))</f>
        <v/>
      </c>
      <c r="L32" s="54">
        <f>IF($B32=0,NA(),IF($F32="",NA(),IF(F$8="",NA(),IF(N(F$8)=0,NA(),IF(Inputs!$C$17="Rebased to 100",$F32/F$8*100,$F32)))))</f>
        <v/>
      </c>
      <c r="M32" s="54">
        <f>IF($B32=0,NA(),IF($G32="",NA(),IF(G$8="",NA(),IF(N(G$8)=0,NA(),IF(Inputs!$C$17="Rebased to 100",$G32/G$8*100,$G32)))))</f>
        <v/>
      </c>
      <c r="N32" s="54">
        <f>IF($B32=0,NA(),IF(Inputs!$C$18&lt;&gt;"Yes",NA(),IF(COUNT(I32,J32,K32,L32,M32)=0,NA(),MIN(I32,J32,K32,L32,M32))))</f>
        <v/>
      </c>
      <c r="O32" s="54">
        <f>IF($B32=0,NA(),IF(Inputs!$B$24&lt;&gt;"Yes",NA(),Inputs!$D$24*Inputs!$C$35))</f>
        <v/>
      </c>
      <c r="P32" s="54">
        <f>IF($B32=0,NA(),IF(Inputs!$B$25&lt;&gt;"Yes",NA(),Inputs!$D$25*Inputs!$C$35))</f>
        <v/>
      </c>
      <c r="Q32" s="54">
        <f>IF($B32=0,NA(),IF(Inputs!$B$26&lt;&gt;"Yes",NA(),Inputs!$D$26*Inputs!$C$35))</f>
        <v/>
      </c>
      <c r="R32" s="54">
        <f>IF($B32=0,NA(),IF(Inputs!$B$27&lt;&gt;"Yes",NA(),Inputs!$D$27*Inputs!$C$35))</f>
        <v/>
      </c>
      <c r="S32" s="54">
        <f>IF($B32=0,NA(),IF(Inputs!$B$28&lt;&gt;"Yes",NA(),Inputs!$D$28*Inputs!$C$35))</f>
        <v/>
      </c>
      <c r="T32" s="54">
        <f>IF($B32=0,NA(),IF(Inputs!$B$29&lt;&gt;"Yes",NA(),Inputs!$D$29*Inputs!$C$35))</f>
        <v/>
      </c>
      <c r="AD32">
        <f>IF($B32=0,0,IF(Inputs!$B$6="",0,COUNTIFS(Data!$A$10:$A$3209,"&gt;="&amp;$A32,Data!$A$10:$A$3209,"&lt;"&amp;$A32+1)))</f>
        <v/>
      </c>
      <c r="AE32">
        <f>IF($B32=0,0,IF(Inputs!$B$7="",0,COUNTIFS(Data!$E$10:$E$3209,"&gt;="&amp;$A32,Data!$E$10:$E$3209,"&lt;"&amp;$A32+1)))</f>
        <v/>
      </c>
      <c r="AF32">
        <f>IF($B32=0,0,IF(Inputs!$B$8="",0,COUNTIFS(Data!$I$10:$I$3209,"&gt;="&amp;$A32,Data!$I$10:$I$3209,"&lt;"&amp;$A32+1)))</f>
        <v/>
      </c>
      <c r="AG32">
        <f>IF($B32=0,0,IF(Inputs!$B$9="",0,COUNTIFS(Data!$M$10:$M$3209,"&gt;="&amp;$A32,Data!$M$10:$M$3209,"&lt;"&amp;$A32+1)))</f>
        <v/>
      </c>
      <c r="AH32">
        <f>IF($B32=0,0,IF(Inputs!$B$10="",0,COUNTIFS(Data!$Q$10:$Q$3209,"&gt;="&amp;$A32,Data!$Q$10:$Q$3209,"&lt;"&amp;$A32+1)))</f>
        <v/>
      </c>
    </row>
    <row r="33">
      <c r="A33" s="55">
        <f>MIN(Inputs!$C$15,$A32+IF(WEEKDAY($A32,2)=5,3,1))</f>
        <v/>
      </c>
      <c r="B33">
        <f>IF($A33&gt;$A32,1,0)</f>
        <v/>
      </c>
      <c r="C33" s="56">
        <f>IF($B33=0,"",IF(Inputs!$B$6="","",IF($AD33=0,C32,SUMIFS(Data!$B$10:$B$3209,Data!$A$10:$A$3209,"&gt;="&amp;$A33,Data!$A$10:$A$3209,"&lt;"&amp;$A33+1)/$AD33)))</f>
        <v/>
      </c>
      <c r="D33" s="56">
        <f>IF($B33=0,"",IF(Inputs!$B$7="","",IF($AE33=0,D32,SUMIFS(Data!$F$10:$F$3209,Data!$E$10:$E$3209,"&gt;="&amp;$A33,Data!$E$10:$E$3209,"&lt;"&amp;$A33+1)/$AE33)))</f>
        <v/>
      </c>
      <c r="E33" s="56">
        <f>IF($B33=0,"",IF(Inputs!$B$8="","",IF($AF33=0,E32,SUMIFS(Data!$J$10:$J$3209,Data!$I$10:$I$3209,"&gt;="&amp;$A33,Data!$I$10:$I$3209,"&lt;"&amp;$A33+1)/$AF33)))</f>
        <v/>
      </c>
      <c r="F33" s="56">
        <f>IF($B33=0,"",IF(Inputs!$B$9="","",IF($AG33=0,F32,SUMIFS(Data!$N$10:$N$3209,Data!$M$10:$M$3209,"&gt;="&amp;$A33,Data!$M$10:$M$3209,"&lt;"&amp;$A33+1)/$AG33)))</f>
        <v/>
      </c>
      <c r="G33" s="56">
        <f>IF($B33=0,"",IF(Inputs!$B$10="","",IF($AH33=0,G32,SUMIFS(Data!$R$10:$R$3209,Data!$Q$10:$Q$3209,"&gt;="&amp;$A33,Data!$Q$10:$Q$3209,"&lt;"&amp;$A33+1)/$AH33)))</f>
        <v/>
      </c>
      <c r="I33" s="54">
        <f>IF($B33=0,NA(),IF($C33="",NA(),IF(C$8="",NA(),IF(N(C$8)=0,NA(),IF(Inputs!$C$17="Rebased to 100",$C33/C$8*100,$C33)))))</f>
        <v/>
      </c>
      <c r="J33" s="54">
        <f>IF($B33=0,NA(),IF($D33="",NA(),IF(D$8="",NA(),IF(N(D$8)=0,NA(),IF(Inputs!$C$17="Rebased to 100",$D33/D$8*100,$D33)))))</f>
        <v/>
      </c>
      <c r="K33" s="54">
        <f>IF($B33=0,NA(),IF($E33="",NA(),IF(E$8="",NA(),IF(N(E$8)=0,NA(),IF(Inputs!$C$17="Rebased to 100",$E33/E$8*100,$E33)))))</f>
        <v/>
      </c>
      <c r="L33" s="54">
        <f>IF($B33=0,NA(),IF($F33="",NA(),IF(F$8="",NA(),IF(N(F$8)=0,NA(),IF(Inputs!$C$17="Rebased to 100",$F33/F$8*100,$F33)))))</f>
        <v/>
      </c>
      <c r="M33" s="54">
        <f>IF($B33=0,NA(),IF($G33="",NA(),IF(G$8="",NA(),IF(N(G$8)=0,NA(),IF(Inputs!$C$17="Rebased to 100",$G33/G$8*100,$G33)))))</f>
        <v/>
      </c>
      <c r="N33" s="54">
        <f>IF($B33=0,NA(),IF(Inputs!$C$18&lt;&gt;"Yes",NA(),IF(COUNT(I33,J33,K33,L33,M33)=0,NA(),MIN(I33,J33,K33,L33,M33))))</f>
        <v/>
      </c>
      <c r="O33" s="54">
        <f>IF($B33=0,NA(),IF(Inputs!$B$24&lt;&gt;"Yes",NA(),Inputs!$D$24*Inputs!$C$35))</f>
        <v/>
      </c>
      <c r="P33" s="54">
        <f>IF($B33=0,NA(),IF(Inputs!$B$25&lt;&gt;"Yes",NA(),Inputs!$D$25*Inputs!$C$35))</f>
        <v/>
      </c>
      <c r="Q33" s="54">
        <f>IF($B33=0,NA(),IF(Inputs!$B$26&lt;&gt;"Yes",NA(),Inputs!$D$26*Inputs!$C$35))</f>
        <v/>
      </c>
      <c r="R33" s="54">
        <f>IF($B33=0,NA(),IF(Inputs!$B$27&lt;&gt;"Yes",NA(),Inputs!$D$27*Inputs!$C$35))</f>
        <v/>
      </c>
      <c r="S33" s="54">
        <f>IF($B33=0,NA(),IF(Inputs!$B$28&lt;&gt;"Yes",NA(),Inputs!$D$28*Inputs!$C$35))</f>
        <v/>
      </c>
      <c r="T33" s="54">
        <f>IF($B33=0,NA(),IF(Inputs!$B$29&lt;&gt;"Yes",NA(),Inputs!$D$29*Inputs!$C$35))</f>
        <v/>
      </c>
      <c r="AD33">
        <f>IF($B33=0,0,IF(Inputs!$B$6="",0,COUNTIFS(Data!$A$10:$A$3209,"&gt;="&amp;$A33,Data!$A$10:$A$3209,"&lt;"&amp;$A33+1)))</f>
        <v/>
      </c>
      <c r="AE33">
        <f>IF($B33=0,0,IF(Inputs!$B$7="",0,COUNTIFS(Data!$E$10:$E$3209,"&gt;="&amp;$A33,Data!$E$10:$E$3209,"&lt;"&amp;$A33+1)))</f>
        <v/>
      </c>
      <c r="AF33">
        <f>IF($B33=0,0,IF(Inputs!$B$8="",0,COUNTIFS(Data!$I$10:$I$3209,"&gt;="&amp;$A33,Data!$I$10:$I$3209,"&lt;"&amp;$A33+1)))</f>
        <v/>
      </c>
      <c r="AG33">
        <f>IF($B33=0,0,IF(Inputs!$B$9="",0,COUNTIFS(Data!$M$10:$M$3209,"&gt;="&amp;$A33,Data!$M$10:$M$3209,"&lt;"&amp;$A33+1)))</f>
        <v/>
      </c>
      <c r="AH33">
        <f>IF($B33=0,0,IF(Inputs!$B$10="",0,COUNTIFS(Data!$Q$10:$Q$3209,"&gt;="&amp;$A33,Data!$Q$10:$Q$3209,"&lt;"&amp;$A33+1)))</f>
        <v/>
      </c>
    </row>
    <row r="34">
      <c r="A34" s="55">
        <f>MIN(Inputs!$C$15,$A33+IF(WEEKDAY($A33,2)=5,3,1))</f>
        <v/>
      </c>
      <c r="B34">
        <f>IF($A34&gt;$A33,1,0)</f>
        <v/>
      </c>
      <c r="C34" s="56">
        <f>IF($B34=0,"",IF(Inputs!$B$6="","",IF($AD34=0,C33,SUMIFS(Data!$B$10:$B$3209,Data!$A$10:$A$3209,"&gt;="&amp;$A34,Data!$A$10:$A$3209,"&lt;"&amp;$A34+1)/$AD34)))</f>
        <v/>
      </c>
      <c r="D34" s="56">
        <f>IF($B34=0,"",IF(Inputs!$B$7="","",IF($AE34=0,D33,SUMIFS(Data!$F$10:$F$3209,Data!$E$10:$E$3209,"&gt;="&amp;$A34,Data!$E$10:$E$3209,"&lt;"&amp;$A34+1)/$AE34)))</f>
        <v/>
      </c>
      <c r="E34" s="56">
        <f>IF($B34=0,"",IF(Inputs!$B$8="","",IF($AF34=0,E33,SUMIFS(Data!$J$10:$J$3209,Data!$I$10:$I$3209,"&gt;="&amp;$A34,Data!$I$10:$I$3209,"&lt;"&amp;$A34+1)/$AF34)))</f>
        <v/>
      </c>
      <c r="F34" s="56">
        <f>IF($B34=0,"",IF(Inputs!$B$9="","",IF($AG34=0,F33,SUMIFS(Data!$N$10:$N$3209,Data!$M$10:$M$3209,"&gt;="&amp;$A34,Data!$M$10:$M$3209,"&lt;"&amp;$A34+1)/$AG34)))</f>
        <v/>
      </c>
      <c r="G34" s="56">
        <f>IF($B34=0,"",IF(Inputs!$B$10="","",IF($AH34=0,G33,SUMIFS(Data!$R$10:$R$3209,Data!$Q$10:$Q$3209,"&gt;="&amp;$A34,Data!$Q$10:$Q$3209,"&lt;"&amp;$A34+1)/$AH34)))</f>
        <v/>
      </c>
      <c r="I34" s="54">
        <f>IF($B34=0,NA(),IF($C34="",NA(),IF(C$8="",NA(),IF(N(C$8)=0,NA(),IF(Inputs!$C$17="Rebased to 100",$C34/C$8*100,$C34)))))</f>
        <v/>
      </c>
      <c r="J34" s="54">
        <f>IF($B34=0,NA(),IF($D34="",NA(),IF(D$8="",NA(),IF(N(D$8)=0,NA(),IF(Inputs!$C$17="Rebased to 100",$D34/D$8*100,$D34)))))</f>
        <v/>
      </c>
      <c r="K34" s="54">
        <f>IF($B34=0,NA(),IF($E34="",NA(),IF(E$8="",NA(),IF(N(E$8)=0,NA(),IF(Inputs!$C$17="Rebased to 100",$E34/E$8*100,$E34)))))</f>
        <v/>
      </c>
      <c r="L34" s="54">
        <f>IF($B34=0,NA(),IF($F34="",NA(),IF(F$8="",NA(),IF(N(F$8)=0,NA(),IF(Inputs!$C$17="Rebased to 100",$F34/F$8*100,$F34)))))</f>
        <v/>
      </c>
      <c r="M34" s="54">
        <f>IF($B34=0,NA(),IF($G34="",NA(),IF(G$8="",NA(),IF(N(G$8)=0,NA(),IF(Inputs!$C$17="Rebased to 100",$G34/G$8*100,$G34)))))</f>
        <v/>
      </c>
      <c r="N34" s="54">
        <f>IF($B34=0,NA(),IF(Inputs!$C$18&lt;&gt;"Yes",NA(),IF(COUNT(I34,J34,K34,L34,M34)=0,NA(),MIN(I34,J34,K34,L34,M34))))</f>
        <v/>
      </c>
      <c r="O34" s="54">
        <f>IF($B34=0,NA(),IF(Inputs!$B$24&lt;&gt;"Yes",NA(),Inputs!$D$24*Inputs!$C$35))</f>
        <v/>
      </c>
      <c r="P34" s="54">
        <f>IF($B34=0,NA(),IF(Inputs!$B$25&lt;&gt;"Yes",NA(),Inputs!$D$25*Inputs!$C$35))</f>
        <v/>
      </c>
      <c r="Q34" s="54">
        <f>IF($B34=0,NA(),IF(Inputs!$B$26&lt;&gt;"Yes",NA(),Inputs!$D$26*Inputs!$C$35))</f>
        <v/>
      </c>
      <c r="R34" s="54">
        <f>IF($B34=0,NA(),IF(Inputs!$B$27&lt;&gt;"Yes",NA(),Inputs!$D$27*Inputs!$C$35))</f>
        <v/>
      </c>
      <c r="S34" s="54">
        <f>IF($B34=0,NA(),IF(Inputs!$B$28&lt;&gt;"Yes",NA(),Inputs!$D$28*Inputs!$C$35))</f>
        <v/>
      </c>
      <c r="T34" s="54">
        <f>IF($B34=0,NA(),IF(Inputs!$B$29&lt;&gt;"Yes",NA(),Inputs!$D$29*Inputs!$C$35))</f>
        <v/>
      </c>
      <c r="AD34">
        <f>IF($B34=0,0,IF(Inputs!$B$6="",0,COUNTIFS(Data!$A$10:$A$3209,"&gt;="&amp;$A34,Data!$A$10:$A$3209,"&lt;"&amp;$A34+1)))</f>
        <v/>
      </c>
      <c r="AE34">
        <f>IF($B34=0,0,IF(Inputs!$B$7="",0,COUNTIFS(Data!$E$10:$E$3209,"&gt;="&amp;$A34,Data!$E$10:$E$3209,"&lt;"&amp;$A34+1)))</f>
        <v/>
      </c>
      <c r="AF34">
        <f>IF($B34=0,0,IF(Inputs!$B$8="",0,COUNTIFS(Data!$I$10:$I$3209,"&gt;="&amp;$A34,Data!$I$10:$I$3209,"&lt;"&amp;$A34+1)))</f>
        <v/>
      </c>
      <c r="AG34">
        <f>IF($B34=0,0,IF(Inputs!$B$9="",0,COUNTIFS(Data!$M$10:$M$3209,"&gt;="&amp;$A34,Data!$M$10:$M$3209,"&lt;"&amp;$A34+1)))</f>
        <v/>
      </c>
      <c r="AH34">
        <f>IF($B34=0,0,IF(Inputs!$B$10="",0,COUNTIFS(Data!$Q$10:$Q$3209,"&gt;="&amp;$A34,Data!$Q$10:$Q$3209,"&lt;"&amp;$A34+1)))</f>
        <v/>
      </c>
    </row>
    <row r="35">
      <c r="A35" s="55">
        <f>MIN(Inputs!$C$15,$A34+IF(WEEKDAY($A34,2)=5,3,1))</f>
        <v/>
      </c>
      <c r="B35">
        <f>IF($A35&gt;$A34,1,0)</f>
        <v/>
      </c>
      <c r="C35" s="56">
        <f>IF($B35=0,"",IF(Inputs!$B$6="","",IF($AD35=0,C34,SUMIFS(Data!$B$10:$B$3209,Data!$A$10:$A$3209,"&gt;="&amp;$A35,Data!$A$10:$A$3209,"&lt;"&amp;$A35+1)/$AD35)))</f>
        <v/>
      </c>
      <c r="D35" s="56">
        <f>IF($B35=0,"",IF(Inputs!$B$7="","",IF($AE35=0,D34,SUMIFS(Data!$F$10:$F$3209,Data!$E$10:$E$3209,"&gt;="&amp;$A35,Data!$E$10:$E$3209,"&lt;"&amp;$A35+1)/$AE35)))</f>
        <v/>
      </c>
      <c r="E35" s="56">
        <f>IF($B35=0,"",IF(Inputs!$B$8="","",IF($AF35=0,E34,SUMIFS(Data!$J$10:$J$3209,Data!$I$10:$I$3209,"&gt;="&amp;$A35,Data!$I$10:$I$3209,"&lt;"&amp;$A35+1)/$AF35)))</f>
        <v/>
      </c>
      <c r="F35" s="56">
        <f>IF($B35=0,"",IF(Inputs!$B$9="","",IF($AG35=0,F34,SUMIFS(Data!$N$10:$N$3209,Data!$M$10:$M$3209,"&gt;="&amp;$A35,Data!$M$10:$M$3209,"&lt;"&amp;$A35+1)/$AG35)))</f>
        <v/>
      </c>
      <c r="G35" s="56">
        <f>IF($B35=0,"",IF(Inputs!$B$10="","",IF($AH35=0,G34,SUMIFS(Data!$R$10:$R$3209,Data!$Q$10:$Q$3209,"&gt;="&amp;$A35,Data!$Q$10:$Q$3209,"&lt;"&amp;$A35+1)/$AH35)))</f>
        <v/>
      </c>
      <c r="I35" s="54">
        <f>IF($B35=0,NA(),IF($C35="",NA(),IF(C$8="",NA(),IF(N(C$8)=0,NA(),IF(Inputs!$C$17="Rebased to 100",$C35/C$8*100,$C35)))))</f>
        <v/>
      </c>
      <c r="J35" s="54">
        <f>IF($B35=0,NA(),IF($D35="",NA(),IF(D$8="",NA(),IF(N(D$8)=0,NA(),IF(Inputs!$C$17="Rebased to 100",$D35/D$8*100,$D35)))))</f>
        <v/>
      </c>
      <c r="K35" s="54">
        <f>IF($B35=0,NA(),IF($E35="",NA(),IF(E$8="",NA(),IF(N(E$8)=0,NA(),IF(Inputs!$C$17="Rebased to 100",$E35/E$8*100,$E35)))))</f>
        <v/>
      </c>
      <c r="L35" s="54">
        <f>IF($B35=0,NA(),IF($F35="",NA(),IF(F$8="",NA(),IF(N(F$8)=0,NA(),IF(Inputs!$C$17="Rebased to 100",$F35/F$8*100,$F35)))))</f>
        <v/>
      </c>
      <c r="M35" s="54">
        <f>IF($B35=0,NA(),IF($G35="",NA(),IF(G$8="",NA(),IF(N(G$8)=0,NA(),IF(Inputs!$C$17="Rebased to 100",$G35/G$8*100,$G35)))))</f>
        <v/>
      </c>
      <c r="N35" s="54">
        <f>IF($B35=0,NA(),IF(Inputs!$C$18&lt;&gt;"Yes",NA(),IF(COUNT(I35,J35,K35,L35,M35)=0,NA(),MIN(I35,J35,K35,L35,M35))))</f>
        <v/>
      </c>
      <c r="O35" s="54">
        <f>IF($B35=0,NA(),IF(Inputs!$B$24&lt;&gt;"Yes",NA(),Inputs!$D$24*Inputs!$C$35))</f>
        <v/>
      </c>
      <c r="P35" s="54">
        <f>IF($B35=0,NA(),IF(Inputs!$B$25&lt;&gt;"Yes",NA(),Inputs!$D$25*Inputs!$C$35))</f>
        <v/>
      </c>
      <c r="Q35" s="54">
        <f>IF($B35=0,NA(),IF(Inputs!$B$26&lt;&gt;"Yes",NA(),Inputs!$D$26*Inputs!$C$35))</f>
        <v/>
      </c>
      <c r="R35" s="54">
        <f>IF($B35=0,NA(),IF(Inputs!$B$27&lt;&gt;"Yes",NA(),Inputs!$D$27*Inputs!$C$35))</f>
        <v/>
      </c>
      <c r="S35" s="54">
        <f>IF($B35=0,NA(),IF(Inputs!$B$28&lt;&gt;"Yes",NA(),Inputs!$D$28*Inputs!$C$35))</f>
        <v/>
      </c>
      <c r="T35" s="54">
        <f>IF($B35=0,NA(),IF(Inputs!$B$29&lt;&gt;"Yes",NA(),Inputs!$D$29*Inputs!$C$35))</f>
        <v/>
      </c>
      <c r="AD35">
        <f>IF($B35=0,0,IF(Inputs!$B$6="",0,COUNTIFS(Data!$A$10:$A$3209,"&gt;="&amp;$A35,Data!$A$10:$A$3209,"&lt;"&amp;$A35+1)))</f>
        <v/>
      </c>
      <c r="AE35">
        <f>IF($B35=0,0,IF(Inputs!$B$7="",0,COUNTIFS(Data!$E$10:$E$3209,"&gt;="&amp;$A35,Data!$E$10:$E$3209,"&lt;"&amp;$A35+1)))</f>
        <v/>
      </c>
      <c r="AF35">
        <f>IF($B35=0,0,IF(Inputs!$B$8="",0,COUNTIFS(Data!$I$10:$I$3209,"&gt;="&amp;$A35,Data!$I$10:$I$3209,"&lt;"&amp;$A35+1)))</f>
        <v/>
      </c>
      <c r="AG35">
        <f>IF($B35=0,0,IF(Inputs!$B$9="",0,COUNTIFS(Data!$M$10:$M$3209,"&gt;="&amp;$A35,Data!$M$10:$M$3209,"&lt;"&amp;$A35+1)))</f>
        <v/>
      </c>
      <c r="AH35">
        <f>IF($B35=0,0,IF(Inputs!$B$10="",0,COUNTIFS(Data!$Q$10:$Q$3209,"&gt;="&amp;$A35,Data!$Q$10:$Q$3209,"&lt;"&amp;$A35+1)))</f>
        <v/>
      </c>
    </row>
    <row r="36">
      <c r="A36" s="55">
        <f>MIN(Inputs!$C$15,$A35+IF(WEEKDAY($A35,2)=5,3,1))</f>
        <v/>
      </c>
      <c r="B36">
        <f>IF($A36&gt;$A35,1,0)</f>
        <v/>
      </c>
      <c r="C36" s="56">
        <f>IF($B36=0,"",IF(Inputs!$B$6="","",IF($AD36=0,C35,SUMIFS(Data!$B$10:$B$3209,Data!$A$10:$A$3209,"&gt;="&amp;$A36,Data!$A$10:$A$3209,"&lt;"&amp;$A36+1)/$AD36)))</f>
        <v/>
      </c>
      <c r="D36" s="56">
        <f>IF($B36=0,"",IF(Inputs!$B$7="","",IF($AE36=0,D35,SUMIFS(Data!$F$10:$F$3209,Data!$E$10:$E$3209,"&gt;="&amp;$A36,Data!$E$10:$E$3209,"&lt;"&amp;$A36+1)/$AE36)))</f>
        <v/>
      </c>
      <c r="E36" s="56">
        <f>IF($B36=0,"",IF(Inputs!$B$8="","",IF($AF36=0,E35,SUMIFS(Data!$J$10:$J$3209,Data!$I$10:$I$3209,"&gt;="&amp;$A36,Data!$I$10:$I$3209,"&lt;"&amp;$A36+1)/$AF36)))</f>
        <v/>
      </c>
      <c r="F36" s="56">
        <f>IF($B36=0,"",IF(Inputs!$B$9="","",IF($AG36=0,F35,SUMIFS(Data!$N$10:$N$3209,Data!$M$10:$M$3209,"&gt;="&amp;$A36,Data!$M$10:$M$3209,"&lt;"&amp;$A36+1)/$AG36)))</f>
        <v/>
      </c>
      <c r="G36" s="56">
        <f>IF($B36=0,"",IF(Inputs!$B$10="","",IF($AH36=0,G35,SUMIFS(Data!$R$10:$R$3209,Data!$Q$10:$Q$3209,"&gt;="&amp;$A36,Data!$Q$10:$Q$3209,"&lt;"&amp;$A36+1)/$AH36)))</f>
        <v/>
      </c>
      <c r="I36" s="54">
        <f>IF($B36=0,NA(),IF($C36="",NA(),IF(C$8="",NA(),IF(N(C$8)=0,NA(),IF(Inputs!$C$17="Rebased to 100",$C36/C$8*100,$C36)))))</f>
        <v/>
      </c>
      <c r="J36" s="54">
        <f>IF($B36=0,NA(),IF($D36="",NA(),IF(D$8="",NA(),IF(N(D$8)=0,NA(),IF(Inputs!$C$17="Rebased to 100",$D36/D$8*100,$D36)))))</f>
        <v/>
      </c>
      <c r="K36" s="54">
        <f>IF($B36=0,NA(),IF($E36="",NA(),IF(E$8="",NA(),IF(N(E$8)=0,NA(),IF(Inputs!$C$17="Rebased to 100",$E36/E$8*100,$E36)))))</f>
        <v/>
      </c>
      <c r="L36" s="54">
        <f>IF($B36=0,NA(),IF($F36="",NA(),IF(F$8="",NA(),IF(N(F$8)=0,NA(),IF(Inputs!$C$17="Rebased to 100",$F36/F$8*100,$F36)))))</f>
        <v/>
      </c>
      <c r="M36" s="54">
        <f>IF($B36=0,NA(),IF($G36="",NA(),IF(G$8="",NA(),IF(N(G$8)=0,NA(),IF(Inputs!$C$17="Rebased to 100",$G36/G$8*100,$G36)))))</f>
        <v/>
      </c>
      <c r="N36" s="54">
        <f>IF($B36=0,NA(),IF(Inputs!$C$18&lt;&gt;"Yes",NA(),IF(COUNT(I36,J36,K36,L36,M36)=0,NA(),MIN(I36,J36,K36,L36,M36))))</f>
        <v/>
      </c>
      <c r="O36" s="54">
        <f>IF($B36=0,NA(),IF(Inputs!$B$24&lt;&gt;"Yes",NA(),Inputs!$D$24*Inputs!$C$35))</f>
        <v/>
      </c>
      <c r="P36" s="54">
        <f>IF($B36=0,NA(),IF(Inputs!$B$25&lt;&gt;"Yes",NA(),Inputs!$D$25*Inputs!$C$35))</f>
        <v/>
      </c>
      <c r="Q36" s="54">
        <f>IF($B36=0,NA(),IF(Inputs!$B$26&lt;&gt;"Yes",NA(),Inputs!$D$26*Inputs!$C$35))</f>
        <v/>
      </c>
      <c r="R36" s="54">
        <f>IF($B36=0,NA(),IF(Inputs!$B$27&lt;&gt;"Yes",NA(),Inputs!$D$27*Inputs!$C$35))</f>
        <v/>
      </c>
      <c r="S36" s="54">
        <f>IF($B36=0,NA(),IF(Inputs!$B$28&lt;&gt;"Yes",NA(),Inputs!$D$28*Inputs!$C$35))</f>
        <v/>
      </c>
      <c r="T36" s="54">
        <f>IF($B36=0,NA(),IF(Inputs!$B$29&lt;&gt;"Yes",NA(),Inputs!$D$29*Inputs!$C$35))</f>
        <v/>
      </c>
      <c r="AD36">
        <f>IF($B36=0,0,IF(Inputs!$B$6="",0,COUNTIFS(Data!$A$10:$A$3209,"&gt;="&amp;$A36,Data!$A$10:$A$3209,"&lt;"&amp;$A36+1)))</f>
        <v/>
      </c>
      <c r="AE36">
        <f>IF($B36=0,0,IF(Inputs!$B$7="",0,COUNTIFS(Data!$E$10:$E$3209,"&gt;="&amp;$A36,Data!$E$10:$E$3209,"&lt;"&amp;$A36+1)))</f>
        <v/>
      </c>
      <c r="AF36">
        <f>IF($B36=0,0,IF(Inputs!$B$8="",0,COUNTIFS(Data!$I$10:$I$3209,"&gt;="&amp;$A36,Data!$I$10:$I$3209,"&lt;"&amp;$A36+1)))</f>
        <v/>
      </c>
      <c r="AG36">
        <f>IF($B36=0,0,IF(Inputs!$B$9="",0,COUNTIFS(Data!$M$10:$M$3209,"&gt;="&amp;$A36,Data!$M$10:$M$3209,"&lt;"&amp;$A36+1)))</f>
        <v/>
      </c>
      <c r="AH36">
        <f>IF($B36=0,0,IF(Inputs!$B$10="",0,COUNTIFS(Data!$Q$10:$Q$3209,"&gt;="&amp;$A36,Data!$Q$10:$Q$3209,"&lt;"&amp;$A36+1)))</f>
        <v/>
      </c>
    </row>
    <row r="37">
      <c r="A37" s="55">
        <f>MIN(Inputs!$C$15,$A36+IF(WEEKDAY($A36,2)=5,3,1))</f>
        <v/>
      </c>
      <c r="B37">
        <f>IF($A37&gt;$A36,1,0)</f>
        <v/>
      </c>
      <c r="C37" s="56">
        <f>IF($B37=0,"",IF(Inputs!$B$6="","",IF($AD37=0,C36,SUMIFS(Data!$B$10:$B$3209,Data!$A$10:$A$3209,"&gt;="&amp;$A37,Data!$A$10:$A$3209,"&lt;"&amp;$A37+1)/$AD37)))</f>
        <v/>
      </c>
      <c r="D37" s="56">
        <f>IF($B37=0,"",IF(Inputs!$B$7="","",IF($AE37=0,D36,SUMIFS(Data!$F$10:$F$3209,Data!$E$10:$E$3209,"&gt;="&amp;$A37,Data!$E$10:$E$3209,"&lt;"&amp;$A37+1)/$AE37)))</f>
        <v/>
      </c>
      <c r="E37" s="56">
        <f>IF($B37=0,"",IF(Inputs!$B$8="","",IF($AF37=0,E36,SUMIFS(Data!$J$10:$J$3209,Data!$I$10:$I$3209,"&gt;="&amp;$A37,Data!$I$10:$I$3209,"&lt;"&amp;$A37+1)/$AF37)))</f>
        <v/>
      </c>
      <c r="F37" s="56">
        <f>IF($B37=0,"",IF(Inputs!$B$9="","",IF($AG37=0,F36,SUMIFS(Data!$N$10:$N$3209,Data!$M$10:$M$3209,"&gt;="&amp;$A37,Data!$M$10:$M$3209,"&lt;"&amp;$A37+1)/$AG37)))</f>
        <v/>
      </c>
      <c r="G37" s="56">
        <f>IF($B37=0,"",IF(Inputs!$B$10="","",IF($AH37=0,G36,SUMIFS(Data!$R$10:$R$3209,Data!$Q$10:$Q$3209,"&gt;="&amp;$A37,Data!$Q$10:$Q$3209,"&lt;"&amp;$A37+1)/$AH37)))</f>
        <v/>
      </c>
      <c r="I37" s="54">
        <f>IF($B37=0,NA(),IF($C37="",NA(),IF(C$8="",NA(),IF(N(C$8)=0,NA(),IF(Inputs!$C$17="Rebased to 100",$C37/C$8*100,$C37)))))</f>
        <v/>
      </c>
      <c r="J37" s="54">
        <f>IF($B37=0,NA(),IF($D37="",NA(),IF(D$8="",NA(),IF(N(D$8)=0,NA(),IF(Inputs!$C$17="Rebased to 100",$D37/D$8*100,$D37)))))</f>
        <v/>
      </c>
      <c r="K37" s="54">
        <f>IF($B37=0,NA(),IF($E37="",NA(),IF(E$8="",NA(),IF(N(E$8)=0,NA(),IF(Inputs!$C$17="Rebased to 100",$E37/E$8*100,$E37)))))</f>
        <v/>
      </c>
      <c r="L37" s="54">
        <f>IF($B37=0,NA(),IF($F37="",NA(),IF(F$8="",NA(),IF(N(F$8)=0,NA(),IF(Inputs!$C$17="Rebased to 100",$F37/F$8*100,$F37)))))</f>
        <v/>
      </c>
      <c r="M37" s="54">
        <f>IF($B37=0,NA(),IF($G37="",NA(),IF(G$8="",NA(),IF(N(G$8)=0,NA(),IF(Inputs!$C$17="Rebased to 100",$G37/G$8*100,$G37)))))</f>
        <v/>
      </c>
      <c r="N37" s="54">
        <f>IF($B37=0,NA(),IF(Inputs!$C$18&lt;&gt;"Yes",NA(),IF(COUNT(I37,J37,K37,L37,M37)=0,NA(),MIN(I37,J37,K37,L37,M37))))</f>
        <v/>
      </c>
      <c r="O37" s="54">
        <f>IF($B37=0,NA(),IF(Inputs!$B$24&lt;&gt;"Yes",NA(),Inputs!$D$24*Inputs!$C$35))</f>
        <v/>
      </c>
      <c r="P37" s="54">
        <f>IF($B37=0,NA(),IF(Inputs!$B$25&lt;&gt;"Yes",NA(),Inputs!$D$25*Inputs!$C$35))</f>
        <v/>
      </c>
      <c r="Q37" s="54">
        <f>IF($B37=0,NA(),IF(Inputs!$B$26&lt;&gt;"Yes",NA(),Inputs!$D$26*Inputs!$C$35))</f>
        <v/>
      </c>
      <c r="R37" s="54">
        <f>IF($B37=0,NA(),IF(Inputs!$B$27&lt;&gt;"Yes",NA(),Inputs!$D$27*Inputs!$C$35))</f>
        <v/>
      </c>
      <c r="S37" s="54">
        <f>IF($B37=0,NA(),IF(Inputs!$B$28&lt;&gt;"Yes",NA(),Inputs!$D$28*Inputs!$C$35))</f>
        <v/>
      </c>
      <c r="T37" s="54">
        <f>IF($B37=0,NA(),IF(Inputs!$B$29&lt;&gt;"Yes",NA(),Inputs!$D$29*Inputs!$C$35))</f>
        <v/>
      </c>
      <c r="AD37">
        <f>IF($B37=0,0,IF(Inputs!$B$6="",0,COUNTIFS(Data!$A$10:$A$3209,"&gt;="&amp;$A37,Data!$A$10:$A$3209,"&lt;"&amp;$A37+1)))</f>
        <v/>
      </c>
      <c r="AE37">
        <f>IF($B37=0,0,IF(Inputs!$B$7="",0,COUNTIFS(Data!$E$10:$E$3209,"&gt;="&amp;$A37,Data!$E$10:$E$3209,"&lt;"&amp;$A37+1)))</f>
        <v/>
      </c>
      <c r="AF37">
        <f>IF($B37=0,0,IF(Inputs!$B$8="",0,COUNTIFS(Data!$I$10:$I$3209,"&gt;="&amp;$A37,Data!$I$10:$I$3209,"&lt;"&amp;$A37+1)))</f>
        <v/>
      </c>
      <c r="AG37">
        <f>IF($B37=0,0,IF(Inputs!$B$9="",0,COUNTIFS(Data!$M$10:$M$3209,"&gt;="&amp;$A37,Data!$M$10:$M$3209,"&lt;"&amp;$A37+1)))</f>
        <v/>
      </c>
      <c r="AH37">
        <f>IF($B37=0,0,IF(Inputs!$B$10="",0,COUNTIFS(Data!$Q$10:$Q$3209,"&gt;="&amp;$A37,Data!$Q$10:$Q$3209,"&lt;"&amp;$A37+1)))</f>
        <v/>
      </c>
    </row>
    <row r="38">
      <c r="A38" s="55">
        <f>MIN(Inputs!$C$15,$A37+IF(WEEKDAY($A37,2)=5,3,1))</f>
        <v/>
      </c>
      <c r="B38">
        <f>IF($A38&gt;$A37,1,0)</f>
        <v/>
      </c>
      <c r="C38" s="56">
        <f>IF($B38=0,"",IF(Inputs!$B$6="","",IF($AD38=0,C37,SUMIFS(Data!$B$10:$B$3209,Data!$A$10:$A$3209,"&gt;="&amp;$A38,Data!$A$10:$A$3209,"&lt;"&amp;$A38+1)/$AD38)))</f>
        <v/>
      </c>
      <c r="D38" s="56">
        <f>IF($B38=0,"",IF(Inputs!$B$7="","",IF($AE38=0,D37,SUMIFS(Data!$F$10:$F$3209,Data!$E$10:$E$3209,"&gt;="&amp;$A38,Data!$E$10:$E$3209,"&lt;"&amp;$A38+1)/$AE38)))</f>
        <v/>
      </c>
      <c r="E38" s="56">
        <f>IF($B38=0,"",IF(Inputs!$B$8="","",IF($AF38=0,E37,SUMIFS(Data!$J$10:$J$3209,Data!$I$10:$I$3209,"&gt;="&amp;$A38,Data!$I$10:$I$3209,"&lt;"&amp;$A38+1)/$AF38)))</f>
        <v/>
      </c>
      <c r="F38" s="56">
        <f>IF($B38=0,"",IF(Inputs!$B$9="","",IF($AG38=0,F37,SUMIFS(Data!$N$10:$N$3209,Data!$M$10:$M$3209,"&gt;="&amp;$A38,Data!$M$10:$M$3209,"&lt;"&amp;$A38+1)/$AG38)))</f>
        <v/>
      </c>
      <c r="G38" s="56">
        <f>IF($B38=0,"",IF(Inputs!$B$10="","",IF($AH38=0,G37,SUMIFS(Data!$R$10:$R$3209,Data!$Q$10:$Q$3209,"&gt;="&amp;$A38,Data!$Q$10:$Q$3209,"&lt;"&amp;$A38+1)/$AH38)))</f>
        <v/>
      </c>
      <c r="I38" s="54">
        <f>IF($B38=0,NA(),IF($C38="",NA(),IF(C$8="",NA(),IF(N(C$8)=0,NA(),IF(Inputs!$C$17="Rebased to 100",$C38/C$8*100,$C38)))))</f>
        <v/>
      </c>
      <c r="J38" s="54">
        <f>IF($B38=0,NA(),IF($D38="",NA(),IF(D$8="",NA(),IF(N(D$8)=0,NA(),IF(Inputs!$C$17="Rebased to 100",$D38/D$8*100,$D38)))))</f>
        <v/>
      </c>
      <c r="K38" s="54">
        <f>IF($B38=0,NA(),IF($E38="",NA(),IF(E$8="",NA(),IF(N(E$8)=0,NA(),IF(Inputs!$C$17="Rebased to 100",$E38/E$8*100,$E38)))))</f>
        <v/>
      </c>
      <c r="L38" s="54">
        <f>IF($B38=0,NA(),IF($F38="",NA(),IF(F$8="",NA(),IF(N(F$8)=0,NA(),IF(Inputs!$C$17="Rebased to 100",$F38/F$8*100,$F38)))))</f>
        <v/>
      </c>
      <c r="M38" s="54">
        <f>IF($B38=0,NA(),IF($G38="",NA(),IF(G$8="",NA(),IF(N(G$8)=0,NA(),IF(Inputs!$C$17="Rebased to 100",$G38/G$8*100,$G38)))))</f>
        <v/>
      </c>
      <c r="N38" s="54">
        <f>IF($B38=0,NA(),IF(Inputs!$C$18&lt;&gt;"Yes",NA(),IF(COUNT(I38,J38,K38,L38,M38)=0,NA(),MIN(I38,J38,K38,L38,M38))))</f>
        <v/>
      </c>
      <c r="O38" s="54">
        <f>IF($B38=0,NA(),IF(Inputs!$B$24&lt;&gt;"Yes",NA(),Inputs!$D$24*Inputs!$C$35))</f>
        <v/>
      </c>
      <c r="P38" s="54">
        <f>IF($B38=0,NA(),IF(Inputs!$B$25&lt;&gt;"Yes",NA(),Inputs!$D$25*Inputs!$C$35))</f>
        <v/>
      </c>
      <c r="Q38" s="54">
        <f>IF($B38=0,NA(),IF(Inputs!$B$26&lt;&gt;"Yes",NA(),Inputs!$D$26*Inputs!$C$35))</f>
        <v/>
      </c>
      <c r="R38" s="54">
        <f>IF($B38=0,NA(),IF(Inputs!$B$27&lt;&gt;"Yes",NA(),Inputs!$D$27*Inputs!$C$35))</f>
        <v/>
      </c>
      <c r="S38" s="54">
        <f>IF($B38=0,NA(),IF(Inputs!$B$28&lt;&gt;"Yes",NA(),Inputs!$D$28*Inputs!$C$35))</f>
        <v/>
      </c>
      <c r="T38" s="54">
        <f>IF($B38=0,NA(),IF(Inputs!$B$29&lt;&gt;"Yes",NA(),Inputs!$D$29*Inputs!$C$35))</f>
        <v/>
      </c>
      <c r="AD38">
        <f>IF($B38=0,0,IF(Inputs!$B$6="",0,COUNTIFS(Data!$A$10:$A$3209,"&gt;="&amp;$A38,Data!$A$10:$A$3209,"&lt;"&amp;$A38+1)))</f>
        <v/>
      </c>
      <c r="AE38">
        <f>IF($B38=0,0,IF(Inputs!$B$7="",0,COUNTIFS(Data!$E$10:$E$3209,"&gt;="&amp;$A38,Data!$E$10:$E$3209,"&lt;"&amp;$A38+1)))</f>
        <v/>
      </c>
      <c r="AF38">
        <f>IF($B38=0,0,IF(Inputs!$B$8="",0,COUNTIFS(Data!$I$10:$I$3209,"&gt;="&amp;$A38,Data!$I$10:$I$3209,"&lt;"&amp;$A38+1)))</f>
        <v/>
      </c>
      <c r="AG38">
        <f>IF($B38=0,0,IF(Inputs!$B$9="",0,COUNTIFS(Data!$M$10:$M$3209,"&gt;="&amp;$A38,Data!$M$10:$M$3209,"&lt;"&amp;$A38+1)))</f>
        <v/>
      </c>
      <c r="AH38">
        <f>IF($B38=0,0,IF(Inputs!$B$10="",0,COUNTIFS(Data!$Q$10:$Q$3209,"&gt;="&amp;$A38,Data!$Q$10:$Q$3209,"&lt;"&amp;$A38+1)))</f>
        <v/>
      </c>
    </row>
    <row r="39">
      <c r="A39" s="55">
        <f>MIN(Inputs!$C$15,$A38+IF(WEEKDAY($A38,2)=5,3,1))</f>
        <v/>
      </c>
      <c r="B39">
        <f>IF($A39&gt;$A38,1,0)</f>
        <v/>
      </c>
      <c r="C39" s="56">
        <f>IF($B39=0,"",IF(Inputs!$B$6="","",IF($AD39=0,C38,SUMIFS(Data!$B$10:$B$3209,Data!$A$10:$A$3209,"&gt;="&amp;$A39,Data!$A$10:$A$3209,"&lt;"&amp;$A39+1)/$AD39)))</f>
        <v/>
      </c>
      <c r="D39" s="56">
        <f>IF($B39=0,"",IF(Inputs!$B$7="","",IF($AE39=0,D38,SUMIFS(Data!$F$10:$F$3209,Data!$E$10:$E$3209,"&gt;="&amp;$A39,Data!$E$10:$E$3209,"&lt;"&amp;$A39+1)/$AE39)))</f>
        <v/>
      </c>
      <c r="E39" s="56">
        <f>IF($B39=0,"",IF(Inputs!$B$8="","",IF($AF39=0,E38,SUMIFS(Data!$J$10:$J$3209,Data!$I$10:$I$3209,"&gt;="&amp;$A39,Data!$I$10:$I$3209,"&lt;"&amp;$A39+1)/$AF39)))</f>
        <v/>
      </c>
      <c r="F39" s="56">
        <f>IF($B39=0,"",IF(Inputs!$B$9="","",IF($AG39=0,F38,SUMIFS(Data!$N$10:$N$3209,Data!$M$10:$M$3209,"&gt;="&amp;$A39,Data!$M$10:$M$3209,"&lt;"&amp;$A39+1)/$AG39)))</f>
        <v/>
      </c>
      <c r="G39" s="56">
        <f>IF($B39=0,"",IF(Inputs!$B$10="","",IF($AH39=0,G38,SUMIFS(Data!$R$10:$R$3209,Data!$Q$10:$Q$3209,"&gt;="&amp;$A39,Data!$Q$10:$Q$3209,"&lt;"&amp;$A39+1)/$AH39)))</f>
        <v/>
      </c>
      <c r="I39" s="54">
        <f>IF($B39=0,NA(),IF($C39="",NA(),IF(C$8="",NA(),IF(N(C$8)=0,NA(),IF(Inputs!$C$17="Rebased to 100",$C39/C$8*100,$C39)))))</f>
        <v/>
      </c>
      <c r="J39" s="54">
        <f>IF($B39=0,NA(),IF($D39="",NA(),IF(D$8="",NA(),IF(N(D$8)=0,NA(),IF(Inputs!$C$17="Rebased to 100",$D39/D$8*100,$D39)))))</f>
        <v/>
      </c>
      <c r="K39" s="54">
        <f>IF($B39=0,NA(),IF($E39="",NA(),IF(E$8="",NA(),IF(N(E$8)=0,NA(),IF(Inputs!$C$17="Rebased to 100",$E39/E$8*100,$E39)))))</f>
        <v/>
      </c>
      <c r="L39" s="54">
        <f>IF($B39=0,NA(),IF($F39="",NA(),IF(F$8="",NA(),IF(N(F$8)=0,NA(),IF(Inputs!$C$17="Rebased to 100",$F39/F$8*100,$F39)))))</f>
        <v/>
      </c>
      <c r="M39" s="54">
        <f>IF($B39=0,NA(),IF($G39="",NA(),IF(G$8="",NA(),IF(N(G$8)=0,NA(),IF(Inputs!$C$17="Rebased to 100",$G39/G$8*100,$G39)))))</f>
        <v/>
      </c>
      <c r="N39" s="54">
        <f>IF($B39=0,NA(),IF(Inputs!$C$18&lt;&gt;"Yes",NA(),IF(COUNT(I39,J39,K39,L39,M39)=0,NA(),MIN(I39,J39,K39,L39,M39))))</f>
        <v/>
      </c>
      <c r="O39" s="54">
        <f>IF($B39=0,NA(),IF(Inputs!$B$24&lt;&gt;"Yes",NA(),Inputs!$D$24*Inputs!$C$35))</f>
        <v/>
      </c>
      <c r="P39" s="54">
        <f>IF($B39=0,NA(),IF(Inputs!$B$25&lt;&gt;"Yes",NA(),Inputs!$D$25*Inputs!$C$35))</f>
        <v/>
      </c>
      <c r="Q39" s="54">
        <f>IF($B39=0,NA(),IF(Inputs!$B$26&lt;&gt;"Yes",NA(),Inputs!$D$26*Inputs!$C$35))</f>
        <v/>
      </c>
      <c r="R39" s="54">
        <f>IF($B39=0,NA(),IF(Inputs!$B$27&lt;&gt;"Yes",NA(),Inputs!$D$27*Inputs!$C$35))</f>
        <v/>
      </c>
      <c r="S39" s="54">
        <f>IF($B39=0,NA(),IF(Inputs!$B$28&lt;&gt;"Yes",NA(),Inputs!$D$28*Inputs!$C$35))</f>
        <v/>
      </c>
      <c r="T39" s="54">
        <f>IF($B39=0,NA(),IF(Inputs!$B$29&lt;&gt;"Yes",NA(),Inputs!$D$29*Inputs!$C$35))</f>
        <v/>
      </c>
      <c r="AD39">
        <f>IF($B39=0,0,IF(Inputs!$B$6="",0,COUNTIFS(Data!$A$10:$A$3209,"&gt;="&amp;$A39,Data!$A$10:$A$3209,"&lt;"&amp;$A39+1)))</f>
        <v/>
      </c>
      <c r="AE39">
        <f>IF($B39=0,0,IF(Inputs!$B$7="",0,COUNTIFS(Data!$E$10:$E$3209,"&gt;="&amp;$A39,Data!$E$10:$E$3209,"&lt;"&amp;$A39+1)))</f>
        <v/>
      </c>
      <c r="AF39">
        <f>IF($B39=0,0,IF(Inputs!$B$8="",0,COUNTIFS(Data!$I$10:$I$3209,"&gt;="&amp;$A39,Data!$I$10:$I$3209,"&lt;"&amp;$A39+1)))</f>
        <v/>
      </c>
      <c r="AG39">
        <f>IF($B39=0,0,IF(Inputs!$B$9="",0,COUNTIFS(Data!$M$10:$M$3209,"&gt;="&amp;$A39,Data!$M$10:$M$3209,"&lt;"&amp;$A39+1)))</f>
        <v/>
      </c>
      <c r="AH39">
        <f>IF($B39=0,0,IF(Inputs!$B$10="",0,COUNTIFS(Data!$Q$10:$Q$3209,"&gt;="&amp;$A39,Data!$Q$10:$Q$3209,"&lt;"&amp;$A39+1)))</f>
        <v/>
      </c>
    </row>
    <row r="40">
      <c r="A40" s="55">
        <f>MIN(Inputs!$C$15,$A39+IF(WEEKDAY($A39,2)=5,3,1))</f>
        <v/>
      </c>
      <c r="B40">
        <f>IF($A40&gt;$A39,1,0)</f>
        <v/>
      </c>
      <c r="C40" s="56">
        <f>IF($B40=0,"",IF(Inputs!$B$6="","",IF($AD40=0,C39,SUMIFS(Data!$B$10:$B$3209,Data!$A$10:$A$3209,"&gt;="&amp;$A40,Data!$A$10:$A$3209,"&lt;"&amp;$A40+1)/$AD40)))</f>
        <v/>
      </c>
      <c r="D40" s="56">
        <f>IF($B40=0,"",IF(Inputs!$B$7="","",IF($AE40=0,D39,SUMIFS(Data!$F$10:$F$3209,Data!$E$10:$E$3209,"&gt;="&amp;$A40,Data!$E$10:$E$3209,"&lt;"&amp;$A40+1)/$AE40)))</f>
        <v/>
      </c>
      <c r="E40" s="56">
        <f>IF($B40=0,"",IF(Inputs!$B$8="","",IF($AF40=0,E39,SUMIFS(Data!$J$10:$J$3209,Data!$I$10:$I$3209,"&gt;="&amp;$A40,Data!$I$10:$I$3209,"&lt;"&amp;$A40+1)/$AF40)))</f>
        <v/>
      </c>
      <c r="F40" s="56">
        <f>IF($B40=0,"",IF(Inputs!$B$9="","",IF($AG40=0,F39,SUMIFS(Data!$N$10:$N$3209,Data!$M$10:$M$3209,"&gt;="&amp;$A40,Data!$M$10:$M$3209,"&lt;"&amp;$A40+1)/$AG40)))</f>
        <v/>
      </c>
      <c r="G40" s="56">
        <f>IF($B40=0,"",IF(Inputs!$B$10="","",IF($AH40=0,G39,SUMIFS(Data!$R$10:$R$3209,Data!$Q$10:$Q$3209,"&gt;="&amp;$A40,Data!$Q$10:$Q$3209,"&lt;"&amp;$A40+1)/$AH40)))</f>
        <v/>
      </c>
      <c r="I40" s="54">
        <f>IF($B40=0,NA(),IF($C40="",NA(),IF(C$8="",NA(),IF(N(C$8)=0,NA(),IF(Inputs!$C$17="Rebased to 100",$C40/C$8*100,$C40)))))</f>
        <v/>
      </c>
      <c r="J40" s="54">
        <f>IF($B40=0,NA(),IF($D40="",NA(),IF(D$8="",NA(),IF(N(D$8)=0,NA(),IF(Inputs!$C$17="Rebased to 100",$D40/D$8*100,$D40)))))</f>
        <v/>
      </c>
      <c r="K40" s="54">
        <f>IF($B40=0,NA(),IF($E40="",NA(),IF(E$8="",NA(),IF(N(E$8)=0,NA(),IF(Inputs!$C$17="Rebased to 100",$E40/E$8*100,$E40)))))</f>
        <v/>
      </c>
      <c r="L40" s="54">
        <f>IF($B40=0,NA(),IF($F40="",NA(),IF(F$8="",NA(),IF(N(F$8)=0,NA(),IF(Inputs!$C$17="Rebased to 100",$F40/F$8*100,$F40)))))</f>
        <v/>
      </c>
      <c r="M40" s="54">
        <f>IF($B40=0,NA(),IF($G40="",NA(),IF(G$8="",NA(),IF(N(G$8)=0,NA(),IF(Inputs!$C$17="Rebased to 100",$G40/G$8*100,$G40)))))</f>
        <v/>
      </c>
      <c r="N40" s="54">
        <f>IF($B40=0,NA(),IF(Inputs!$C$18&lt;&gt;"Yes",NA(),IF(COUNT(I40,J40,K40,L40,M40)=0,NA(),MIN(I40,J40,K40,L40,M40))))</f>
        <v/>
      </c>
      <c r="O40" s="54">
        <f>IF($B40=0,NA(),IF(Inputs!$B$24&lt;&gt;"Yes",NA(),Inputs!$D$24*Inputs!$C$35))</f>
        <v/>
      </c>
      <c r="P40" s="54">
        <f>IF($B40=0,NA(),IF(Inputs!$B$25&lt;&gt;"Yes",NA(),Inputs!$D$25*Inputs!$C$35))</f>
        <v/>
      </c>
      <c r="Q40" s="54">
        <f>IF($B40=0,NA(),IF(Inputs!$B$26&lt;&gt;"Yes",NA(),Inputs!$D$26*Inputs!$C$35))</f>
        <v/>
      </c>
      <c r="R40" s="54">
        <f>IF($B40=0,NA(),IF(Inputs!$B$27&lt;&gt;"Yes",NA(),Inputs!$D$27*Inputs!$C$35))</f>
        <v/>
      </c>
      <c r="S40" s="54">
        <f>IF($B40=0,NA(),IF(Inputs!$B$28&lt;&gt;"Yes",NA(),Inputs!$D$28*Inputs!$C$35))</f>
        <v/>
      </c>
      <c r="T40" s="54">
        <f>IF($B40=0,NA(),IF(Inputs!$B$29&lt;&gt;"Yes",NA(),Inputs!$D$29*Inputs!$C$35))</f>
        <v/>
      </c>
      <c r="AD40">
        <f>IF($B40=0,0,IF(Inputs!$B$6="",0,COUNTIFS(Data!$A$10:$A$3209,"&gt;="&amp;$A40,Data!$A$10:$A$3209,"&lt;"&amp;$A40+1)))</f>
        <v/>
      </c>
      <c r="AE40">
        <f>IF($B40=0,0,IF(Inputs!$B$7="",0,COUNTIFS(Data!$E$10:$E$3209,"&gt;="&amp;$A40,Data!$E$10:$E$3209,"&lt;"&amp;$A40+1)))</f>
        <v/>
      </c>
      <c r="AF40">
        <f>IF($B40=0,0,IF(Inputs!$B$8="",0,COUNTIFS(Data!$I$10:$I$3209,"&gt;="&amp;$A40,Data!$I$10:$I$3209,"&lt;"&amp;$A40+1)))</f>
        <v/>
      </c>
      <c r="AG40">
        <f>IF($B40=0,0,IF(Inputs!$B$9="",0,COUNTIFS(Data!$M$10:$M$3209,"&gt;="&amp;$A40,Data!$M$10:$M$3209,"&lt;"&amp;$A40+1)))</f>
        <v/>
      </c>
      <c r="AH40">
        <f>IF($B40=0,0,IF(Inputs!$B$10="",0,COUNTIFS(Data!$Q$10:$Q$3209,"&gt;="&amp;$A40,Data!$Q$10:$Q$3209,"&lt;"&amp;$A40+1)))</f>
        <v/>
      </c>
    </row>
    <row r="41">
      <c r="A41" s="55">
        <f>MIN(Inputs!$C$15,$A40+IF(WEEKDAY($A40,2)=5,3,1))</f>
        <v/>
      </c>
      <c r="B41">
        <f>IF($A41&gt;$A40,1,0)</f>
        <v/>
      </c>
      <c r="C41" s="56">
        <f>IF($B41=0,"",IF(Inputs!$B$6="","",IF($AD41=0,C40,SUMIFS(Data!$B$10:$B$3209,Data!$A$10:$A$3209,"&gt;="&amp;$A41,Data!$A$10:$A$3209,"&lt;"&amp;$A41+1)/$AD41)))</f>
        <v/>
      </c>
      <c r="D41" s="56">
        <f>IF($B41=0,"",IF(Inputs!$B$7="","",IF($AE41=0,D40,SUMIFS(Data!$F$10:$F$3209,Data!$E$10:$E$3209,"&gt;="&amp;$A41,Data!$E$10:$E$3209,"&lt;"&amp;$A41+1)/$AE41)))</f>
        <v/>
      </c>
      <c r="E41" s="56">
        <f>IF($B41=0,"",IF(Inputs!$B$8="","",IF($AF41=0,E40,SUMIFS(Data!$J$10:$J$3209,Data!$I$10:$I$3209,"&gt;="&amp;$A41,Data!$I$10:$I$3209,"&lt;"&amp;$A41+1)/$AF41)))</f>
        <v/>
      </c>
      <c r="F41" s="56">
        <f>IF($B41=0,"",IF(Inputs!$B$9="","",IF($AG41=0,F40,SUMIFS(Data!$N$10:$N$3209,Data!$M$10:$M$3209,"&gt;="&amp;$A41,Data!$M$10:$M$3209,"&lt;"&amp;$A41+1)/$AG41)))</f>
        <v/>
      </c>
      <c r="G41" s="56">
        <f>IF($B41=0,"",IF(Inputs!$B$10="","",IF($AH41=0,G40,SUMIFS(Data!$R$10:$R$3209,Data!$Q$10:$Q$3209,"&gt;="&amp;$A41,Data!$Q$10:$Q$3209,"&lt;"&amp;$A41+1)/$AH41)))</f>
        <v/>
      </c>
      <c r="I41" s="54">
        <f>IF($B41=0,NA(),IF($C41="",NA(),IF(C$8="",NA(),IF(N(C$8)=0,NA(),IF(Inputs!$C$17="Rebased to 100",$C41/C$8*100,$C41)))))</f>
        <v/>
      </c>
      <c r="J41" s="54">
        <f>IF($B41=0,NA(),IF($D41="",NA(),IF(D$8="",NA(),IF(N(D$8)=0,NA(),IF(Inputs!$C$17="Rebased to 100",$D41/D$8*100,$D41)))))</f>
        <v/>
      </c>
      <c r="K41" s="54">
        <f>IF($B41=0,NA(),IF($E41="",NA(),IF(E$8="",NA(),IF(N(E$8)=0,NA(),IF(Inputs!$C$17="Rebased to 100",$E41/E$8*100,$E41)))))</f>
        <v/>
      </c>
      <c r="L41" s="54">
        <f>IF($B41=0,NA(),IF($F41="",NA(),IF(F$8="",NA(),IF(N(F$8)=0,NA(),IF(Inputs!$C$17="Rebased to 100",$F41/F$8*100,$F41)))))</f>
        <v/>
      </c>
      <c r="M41" s="54">
        <f>IF($B41=0,NA(),IF($G41="",NA(),IF(G$8="",NA(),IF(N(G$8)=0,NA(),IF(Inputs!$C$17="Rebased to 100",$G41/G$8*100,$G41)))))</f>
        <v/>
      </c>
      <c r="N41" s="54">
        <f>IF($B41=0,NA(),IF(Inputs!$C$18&lt;&gt;"Yes",NA(),IF(COUNT(I41,J41,K41,L41,M41)=0,NA(),MIN(I41,J41,K41,L41,M41))))</f>
        <v/>
      </c>
      <c r="O41" s="54">
        <f>IF($B41=0,NA(),IF(Inputs!$B$24&lt;&gt;"Yes",NA(),Inputs!$D$24*Inputs!$C$35))</f>
        <v/>
      </c>
      <c r="P41" s="54">
        <f>IF($B41=0,NA(),IF(Inputs!$B$25&lt;&gt;"Yes",NA(),Inputs!$D$25*Inputs!$C$35))</f>
        <v/>
      </c>
      <c r="Q41" s="54">
        <f>IF($B41=0,NA(),IF(Inputs!$B$26&lt;&gt;"Yes",NA(),Inputs!$D$26*Inputs!$C$35))</f>
        <v/>
      </c>
      <c r="R41" s="54">
        <f>IF($B41=0,NA(),IF(Inputs!$B$27&lt;&gt;"Yes",NA(),Inputs!$D$27*Inputs!$C$35))</f>
        <v/>
      </c>
      <c r="S41" s="54">
        <f>IF($B41=0,NA(),IF(Inputs!$B$28&lt;&gt;"Yes",NA(),Inputs!$D$28*Inputs!$C$35))</f>
        <v/>
      </c>
      <c r="T41" s="54">
        <f>IF($B41=0,NA(),IF(Inputs!$B$29&lt;&gt;"Yes",NA(),Inputs!$D$29*Inputs!$C$35))</f>
        <v/>
      </c>
      <c r="AD41">
        <f>IF($B41=0,0,IF(Inputs!$B$6="",0,COUNTIFS(Data!$A$10:$A$3209,"&gt;="&amp;$A41,Data!$A$10:$A$3209,"&lt;"&amp;$A41+1)))</f>
        <v/>
      </c>
      <c r="AE41">
        <f>IF($B41=0,0,IF(Inputs!$B$7="",0,COUNTIFS(Data!$E$10:$E$3209,"&gt;="&amp;$A41,Data!$E$10:$E$3209,"&lt;"&amp;$A41+1)))</f>
        <v/>
      </c>
      <c r="AF41">
        <f>IF($B41=0,0,IF(Inputs!$B$8="",0,COUNTIFS(Data!$I$10:$I$3209,"&gt;="&amp;$A41,Data!$I$10:$I$3209,"&lt;"&amp;$A41+1)))</f>
        <v/>
      </c>
      <c r="AG41">
        <f>IF($B41=0,0,IF(Inputs!$B$9="",0,COUNTIFS(Data!$M$10:$M$3209,"&gt;="&amp;$A41,Data!$M$10:$M$3209,"&lt;"&amp;$A41+1)))</f>
        <v/>
      </c>
      <c r="AH41">
        <f>IF($B41=0,0,IF(Inputs!$B$10="",0,COUNTIFS(Data!$Q$10:$Q$3209,"&gt;="&amp;$A41,Data!$Q$10:$Q$3209,"&lt;"&amp;$A41+1)))</f>
        <v/>
      </c>
    </row>
    <row r="42">
      <c r="A42" s="55">
        <f>MIN(Inputs!$C$15,$A41+IF(WEEKDAY($A41,2)=5,3,1))</f>
        <v/>
      </c>
      <c r="B42">
        <f>IF($A42&gt;$A41,1,0)</f>
        <v/>
      </c>
      <c r="C42" s="56">
        <f>IF($B42=0,"",IF(Inputs!$B$6="","",IF($AD42=0,C41,SUMIFS(Data!$B$10:$B$3209,Data!$A$10:$A$3209,"&gt;="&amp;$A42,Data!$A$10:$A$3209,"&lt;"&amp;$A42+1)/$AD42)))</f>
        <v/>
      </c>
      <c r="D42" s="56">
        <f>IF($B42=0,"",IF(Inputs!$B$7="","",IF($AE42=0,D41,SUMIFS(Data!$F$10:$F$3209,Data!$E$10:$E$3209,"&gt;="&amp;$A42,Data!$E$10:$E$3209,"&lt;"&amp;$A42+1)/$AE42)))</f>
        <v/>
      </c>
      <c r="E42" s="56">
        <f>IF($B42=0,"",IF(Inputs!$B$8="","",IF($AF42=0,E41,SUMIFS(Data!$J$10:$J$3209,Data!$I$10:$I$3209,"&gt;="&amp;$A42,Data!$I$10:$I$3209,"&lt;"&amp;$A42+1)/$AF42)))</f>
        <v/>
      </c>
      <c r="F42" s="56">
        <f>IF($B42=0,"",IF(Inputs!$B$9="","",IF($AG42=0,F41,SUMIFS(Data!$N$10:$N$3209,Data!$M$10:$M$3209,"&gt;="&amp;$A42,Data!$M$10:$M$3209,"&lt;"&amp;$A42+1)/$AG42)))</f>
        <v/>
      </c>
      <c r="G42" s="56">
        <f>IF($B42=0,"",IF(Inputs!$B$10="","",IF($AH42=0,G41,SUMIFS(Data!$R$10:$R$3209,Data!$Q$10:$Q$3209,"&gt;="&amp;$A42,Data!$Q$10:$Q$3209,"&lt;"&amp;$A42+1)/$AH42)))</f>
        <v/>
      </c>
      <c r="I42" s="54">
        <f>IF($B42=0,NA(),IF($C42="",NA(),IF(C$8="",NA(),IF(N(C$8)=0,NA(),IF(Inputs!$C$17="Rebased to 100",$C42/C$8*100,$C42)))))</f>
        <v/>
      </c>
      <c r="J42" s="54">
        <f>IF($B42=0,NA(),IF($D42="",NA(),IF(D$8="",NA(),IF(N(D$8)=0,NA(),IF(Inputs!$C$17="Rebased to 100",$D42/D$8*100,$D42)))))</f>
        <v/>
      </c>
      <c r="K42" s="54">
        <f>IF($B42=0,NA(),IF($E42="",NA(),IF(E$8="",NA(),IF(N(E$8)=0,NA(),IF(Inputs!$C$17="Rebased to 100",$E42/E$8*100,$E42)))))</f>
        <v/>
      </c>
      <c r="L42" s="54">
        <f>IF($B42=0,NA(),IF($F42="",NA(),IF(F$8="",NA(),IF(N(F$8)=0,NA(),IF(Inputs!$C$17="Rebased to 100",$F42/F$8*100,$F42)))))</f>
        <v/>
      </c>
      <c r="M42" s="54">
        <f>IF($B42=0,NA(),IF($G42="",NA(),IF(G$8="",NA(),IF(N(G$8)=0,NA(),IF(Inputs!$C$17="Rebased to 100",$G42/G$8*100,$G42)))))</f>
        <v/>
      </c>
      <c r="N42" s="54">
        <f>IF($B42=0,NA(),IF(Inputs!$C$18&lt;&gt;"Yes",NA(),IF(COUNT(I42,J42,K42,L42,M42)=0,NA(),MIN(I42,J42,K42,L42,M42))))</f>
        <v/>
      </c>
      <c r="O42" s="54">
        <f>IF($B42=0,NA(),IF(Inputs!$B$24&lt;&gt;"Yes",NA(),Inputs!$D$24*Inputs!$C$35))</f>
        <v/>
      </c>
      <c r="P42" s="54">
        <f>IF($B42=0,NA(),IF(Inputs!$B$25&lt;&gt;"Yes",NA(),Inputs!$D$25*Inputs!$C$35))</f>
        <v/>
      </c>
      <c r="Q42" s="54">
        <f>IF($B42=0,NA(),IF(Inputs!$B$26&lt;&gt;"Yes",NA(),Inputs!$D$26*Inputs!$C$35))</f>
        <v/>
      </c>
      <c r="R42" s="54">
        <f>IF($B42=0,NA(),IF(Inputs!$B$27&lt;&gt;"Yes",NA(),Inputs!$D$27*Inputs!$C$35))</f>
        <v/>
      </c>
      <c r="S42" s="54">
        <f>IF($B42=0,NA(),IF(Inputs!$B$28&lt;&gt;"Yes",NA(),Inputs!$D$28*Inputs!$C$35))</f>
        <v/>
      </c>
      <c r="T42" s="54">
        <f>IF($B42=0,NA(),IF(Inputs!$B$29&lt;&gt;"Yes",NA(),Inputs!$D$29*Inputs!$C$35))</f>
        <v/>
      </c>
      <c r="AD42">
        <f>IF($B42=0,0,IF(Inputs!$B$6="",0,COUNTIFS(Data!$A$10:$A$3209,"&gt;="&amp;$A42,Data!$A$10:$A$3209,"&lt;"&amp;$A42+1)))</f>
        <v/>
      </c>
      <c r="AE42">
        <f>IF($B42=0,0,IF(Inputs!$B$7="",0,COUNTIFS(Data!$E$10:$E$3209,"&gt;="&amp;$A42,Data!$E$10:$E$3209,"&lt;"&amp;$A42+1)))</f>
        <v/>
      </c>
      <c r="AF42">
        <f>IF($B42=0,0,IF(Inputs!$B$8="",0,COUNTIFS(Data!$I$10:$I$3209,"&gt;="&amp;$A42,Data!$I$10:$I$3209,"&lt;"&amp;$A42+1)))</f>
        <v/>
      </c>
      <c r="AG42">
        <f>IF($B42=0,0,IF(Inputs!$B$9="",0,COUNTIFS(Data!$M$10:$M$3209,"&gt;="&amp;$A42,Data!$M$10:$M$3209,"&lt;"&amp;$A42+1)))</f>
        <v/>
      </c>
      <c r="AH42">
        <f>IF($B42=0,0,IF(Inputs!$B$10="",0,COUNTIFS(Data!$Q$10:$Q$3209,"&gt;="&amp;$A42,Data!$Q$10:$Q$3209,"&lt;"&amp;$A42+1)))</f>
        <v/>
      </c>
    </row>
    <row r="43">
      <c r="A43" s="55">
        <f>MIN(Inputs!$C$15,$A42+IF(WEEKDAY($A42,2)=5,3,1))</f>
        <v/>
      </c>
      <c r="B43">
        <f>IF($A43&gt;$A42,1,0)</f>
        <v/>
      </c>
      <c r="C43" s="56">
        <f>IF($B43=0,"",IF(Inputs!$B$6="","",IF($AD43=0,C42,SUMIFS(Data!$B$10:$B$3209,Data!$A$10:$A$3209,"&gt;="&amp;$A43,Data!$A$10:$A$3209,"&lt;"&amp;$A43+1)/$AD43)))</f>
        <v/>
      </c>
      <c r="D43" s="56">
        <f>IF($B43=0,"",IF(Inputs!$B$7="","",IF($AE43=0,D42,SUMIFS(Data!$F$10:$F$3209,Data!$E$10:$E$3209,"&gt;="&amp;$A43,Data!$E$10:$E$3209,"&lt;"&amp;$A43+1)/$AE43)))</f>
        <v/>
      </c>
      <c r="E43" s="56">
        <f>IF($B43=0,"",IF(Inputs!$B$8="","",IF($AF43=0,E42,SUMIFS(Data!$J$10:$J$3209,Data!$I$10:$I$3209,"&gt;="&amp;$A43,Data!$I$10:$I$3209,"&lt;"&amp;$A43+1)/$AF43)))</f>
        <v/>
      </c>
      <c r="F43" s="56">
        <f>IF($B43=0,"",IF(Inputs!$B$9="","",IF($AG43=0,F42,SUMIFS(Data!$N$10:$N$3209,Data!$M$10:$M$3209,"&gt;="&amp;$A43,Data!$M$10:$M$3209,"&lt;"&amp;$A43+1)/$AG43)))</f>
        <v/>
      </c>
      <c r="G43" s="56">
        <f>IF($B43=0,"",IF(Inputs!$B$10="","",IF($AH43=0,G42,SUMIFS(Data!$R$10:$R$3209,Data!$Q$10:$Q$3209,"&gt;="&amp;$A43,Data!$Q$10:$Q$3209,"&lt;"&amp;$A43+1)/$AH43)))</f>
        <v/>
      </c>
      <c r="I43" s="54">
        <f>IF($B43=0,NA(),IF($C43="",NA(),IF(C$8="",NA(),IF(N(C$8)=0,NA(),IF(Inputs!$C$17="Rebased to 100",$C43/C$8*100,$C43)))))</f>
        <v/>
      </c>
      <c r="J43" s="54">
        <f>IF($B43=0,NA(),IF($D43="",NA(),IF(D$8="",NA(),IF(N(D$8)=0,NA(),IF(Inputs!$C$17="Rebased to 100",$D43/D$8*100,$D43)))))</f>
        <v/>
      </c>
      <c r="K43" s="54">
        <f>IF($B43=0,NA(),IF($E43="",NA(),IF(E$8="",NA(),IF(N(E$8)=0,NA(),IF(Inputs!$C$17="Rebased to 100",$E43/E$8*100,$E43)))))</f>
        <v/>
      </c>
      <c r="L43" s="54">
        <f>IF($B43=0,NA(),IF($F43="",NA(),IF(F$8="",NA(),IF(N(F$8)=0,NA(),IF(Inputs!$C$17="Rebased to 100",$F43/F$8*100,$F43)))))</f>
        <v/>
      </c>
      <c r="M43" s="54">
        <f>IF($B43=0,NA(),IF($G43="",NA(),IF(G$8="",NA(),IF(N(G$8)=0,NA(),IF(Inputs!$C$17="Rebased to 100",$G43/G$8*100,$G43)))))</f>
        <v/>
      </c>
      <c r="N43" s="54">
        <f>IF($B43=0,NA(),IF(Inputs!$C$18&lt;&gt;"Yes",NA(),IF(COUNT(I43,J43,K43,L43,M43)=0,NA(),MIN(I43,J43,K43,L43,M43))))</f>
        <v/>
      </c>
      <c r="O43" s="54">
        <f>IF($B43=0,NA(),IF(Inputs!$B$24&lt;&gt;"Yes",NA(),Inputs!$D$24*Inputs!$C$35))</f>
        <v/>
      </c>
      <c r="P43" s="54">
        <f>IF($B43=0,NA(),IF(Inputs!$B$25&lt;&gt;"Yes",NA(),Inputs!$D$25*Inputs!$C$35))</f>
        <v/>
      </c>
      <c r="Q43" s="54">
        <f>IF($B43=0,NA(),IF(Inputs!$B$26&lt;&gt;"Yes",NA(),Inputs!$D$26*Inputs!$C$35))</f>
        <v/>
      </c>
      <c r="R43" s="54">
        <f>IF($B43=0,NA(),IF(Inputs!$B$27&lt;&gt;"Yes",NA(),Inputs!$D$27*Inputs!$C$35))</f>
        <v/>
      </c>
      <c r="S43" s="54">
        <f>IF($B43=0,NA(),IF(Inputs!$B$28&lt;&gt;"Yes",NA(),Inputs!$D$28*Inputs!$C$35))</f>
        <v/>
      </c>
      <c r="T43" s="54">
        <f>IF($B43=0,NA(),IF(Inputs!$B$29&lt;&gt;"Yes",NA(),Inputs!$D$29*Inputs!$C$35))</f>
        <v/>
      </c>
      <c r="AD43">
        <f>IF($B43=0,0,IF(Inputs!$B$6="",0,COUNTIFS(Data!$A$10:$A$3209,"&gt;="&amp;$A43,Data!$A$10:$A$3209,"&lt;"&amp;$A43+1)))</f>
        <v/>
      </c>
      <c r="AE43">
        <f>IF($B43=0,0,IF(Inputs!$B$7="",0,COUNTIFS(Data!$E$10:$E$3209,"&gt;="&amp;$A43,Data!$E$10:$E$3209,"&lt;"&amp;$A43+1)))</f>
        <v/>
      </c>
      <c r="AF43">
        <f>IF($B43=0,0,IF(Inputs!$B$8="",0,COUNTIFS(Data!$I$10:$I$3209,"&gt;="&amp;$A43,Data!$I$10:$I$3209,"&lt;"&amp;$A43+1)))</f>
        <v/>
      </c>
      <c r="AG43">
        <f>IF($B43=0,0,IF(Inputs!$B$9="",0,COUNTIFS(Data!$M$10:$M$3209,"&gt;="&amp;$A43,Data!$M$10:$M$3209,"&lt;"&amp;$A43+1)))</f>
        <v/>
      </c>
      <c r="AH43">
        <f>IF($B43=0,0,IF(Inputs!$B$10="",0,COUNTIFS(Data!$Q$10:$Q$3209,"&gt;="&amp;$A43,Data!$Q$10:$Q$3209,"&lt;"&amp;$A43+1)))</f>
        <v/>
      </c>
    </row>
    <row r="44">
      <c r="A44" s="55">
        <f>MIN(Inputs!$C$15,$A43+IF(WEEKDAY($A43,2)=5,3,1))</f>
        <v/>
      </c>
      <c r="B44">
        <f>IF($A44&gt;$A43,1,0)</f>
        <v/>
      </c>
      <c r="C44" s="56">
        <f>IF($B44=0,"",IF(Inputs!$B$6="","",IF($AD44=0,C43,SUMIFS(Data!$B$10:$B$3209,Data!$A$10:$A$3209,"&gt;="&amp;$A44,Data!$A$10:$A$3209,"&lt;"&amp;$A44+1)/$AD44)))</f>
        <v/>
      </c>
      <c r="D44" s="56">
        <f>IF($B44=0,"",IF(Inputs!$B$7="","",IF($AE44=0,D43,SUMIFS(Data!$F$10:$F$3209,Data!$E$10:$E$3209,"&gt;="&amp;$A44,Data!$E$10:$E$3209,"&lt;"&amp;$A44+1)/$AE44)))</f>
        <v/>
      </c>
      <c r="E44" s="56">
        <f>IF($B44=0,"",IF(Inputs!$B$8="","",IF($AF44=0,E43,SUMIFS(Data!$J$10:$J$3209,Data!$I$10:$I$3209,"&gt;="&amp;$A44,Data!$I$10:$I$3209,"&lt;"&amp;$A44+1)/$AF44)))</f>
        <v/>
      </c>
      <c r="F44" s="56">
        <f>IF($B44=0,"",IF(Inputs!$B$9="","",IF($AG44=0,F43,SUMIFS(Data!$N$10:$N$3209,Data!$M$10:$M$3209,"&gt;="&amp;$A44,Data!$M$10:$M$3209,"&lt;"&amp;$A44+1)/$AG44)))</f>
        <v/>
      </c>
      <c r="G44" s="56">
        <f>IF($B44=0,"",IF(Inputs!$B$10="","",IF($AH44=0,G43,SUMIFS(Data!$R$10:$R$3209,Data!$Q$10:$Q$3209,"&gt;="&amp;$A44,Data!$Q$10:$Q$3209,"&lt;"&amp;$A44+1)/$AH44)))</f>
        <v/>
      </c>
      <c r="I44" s="54">
        <f>IF($B44=0,NA(),IF($C44="",NA(),IF(C$8="",NA(),IF(N(C$8)=0,NA(),IF(Inputs!$C$17="Rebased to 100",$C44/C$8*100,$C44)))))</f>
        <v/>
      </c>
      <c r="J44" s="54">
        <f>IF($B44=0,NA(),IF($D44="",NA(),IF(D$8="",NA(),IF(N(D$8)=0,NA(),IF(Inputs!$C$17="Rebased to 100",$D44/D$8*100,$D44)))))</f>
        <v/>
      </c>
      <c r="K44" s="54">
        <f>IF($B44=0,NA(),IF($E44="",NA(),IF(E$8="",NA(),IF(N(E$8)=0,NA(),IF(Inputs!$C$17="Rebased to 100",$E44/E$8*100,$E44)))))</f>
        <v/>
      </c>
      <c r="L44" s="54">
        <f>IF($B44=0,NA(),IF($F44="",NA(),IF(F$8="",NA(),IF(N(F$8)=0,NA(),IF(Inputs!$C$17="Rebased to 100",$F44/F$8*100,$F44)))))</f>
        <v/>
      </c>
      <c r="M44" s="54">
        <f>IF($B44=0,NA(),IF($G44="",NA(),IF(G$8="",NA(),IF(N(G$8)=0,NA(),IF(Inputs!$C$17="Rebased to 100",$G44/G$8*100,$G44)))))</f>
        <v/>
      </c>
      <c r="N44" s="54">
        <f>IF($B44=0,NA(),IF(Inputs!$C$18&lt;&gt;"Yes",NA(),IF(COUNT(I44,J44,K44,L44,M44)=0,NA(),MIN(I44,J44,K44,L44,M44))))</f>
        <v/>
      </c>
      <c r="O44" s="54">
        <f>IF($B44=0,NA(),IF(Inputs!$B$24&lt;&gt;"Yes",NA(),Inputs!$D$24*Inputs!$C$35))</f>
        <v/>
      </c>
      <c r="P44" s="54">
        <f>IF($B44=0,NA(),IF(Inputs!$B$25&lt;&gt;"Yes",NA(),Inputs!$D$25*Inputs!$C$35))</f>
        <v/>
      </c>
      <c r="Q44" s="54">
        <f>IF($B44=0,NA(),IF(Inputs!$B$26&lt;&gt;"Yes",NA(),Inputs!$D$26*Inputs!$C$35))</f>
        <v/>
      </c>
      <c r="R44" s="54">
        <f>IF($B44=0,NA(),IF(Inputs!$B$27&lt;&gt;"Yes",NA(),Inputs!$D$27*Inputs!$C$35))</f>
        <v/>
      </c>
      <c r="S44" s="54">
        <f>IF($B44=0,NA(),IF(Inputs!$B$28&lt;&gt;"Yes",NA(),Inputs!$D$28*Inputs!$C$35))</f>
        <v/>
      </c>
      <c r="T44" s="54">
        <f>IF($B44=0,NA(),IF(Inputs!$B$29&lt;&gt;"Yes",NA(),Inputs!$D$29*Inputs!$C$35))</f>
        <v/>
      </c>
      <c r="AD44">
        <f>IF($B44=0,0,IF(Inputs!$B$6="",0,COUNTIFS(Data!$A$10:$A$3209,"&gt;="&amp;$A44,Data!$A$10:$A$3209,"&lt;"&amp;$A44+1)))</f>
        <v/>
      </c>
      <c r="AE44">
        <f>IF($B44=0,0,IF(Inputs!$B$7="",0,COUNTIFS(Data!$E$10:$E$3209,"&gt;="&amp;$A44,Data!$E$10:$E$3209,"&lt;"&amp;$A44+1)))</f>
        <v/>
      </c>
      <c r="AF44">
        <f>IF($B44=0,0,IF(Inputs!$B$8="",0,COUNTIFS(Data!$I$10:$I$3209,"&gt;="&amp;$A44,Data!$I$10:$I$3209,"&lt;"&amp;$A44+1)))</f>
        <v/>
      </c>
      <c r="AG44">
        <f>IF($B44=0,0,IF(Inputs!$B$9="",0,COUNTIFS(Data!$M$10:$M$3209,"&gt;="&amp;$A44,Data!$M$10:$M$3209,"&lt;"&amp;$A44+1)))</f>
        <v/>
      </c>
      <c r="AH44">
        <f>IF($B44=0,0,IF(Inputs!$B$10="",0,COUNTIFS(Data!$Q$10:$Q$3209,"&gt;="&amp;$A44,Data!$Q$10:$Q$3209,"&lt;"&amp;$A44+1)))</f>
        <v/>
      </c>
    </row>
    <row r="45">
      <c r="A45" s="55">
        <f>MIN(Inputs!$C$15,$A44+IF(WEEKDAY($A44,2)=5,3,1))</f>
        <v/>
      </c>
      <c r="B45">
        <f>IF($A45&gt;$A44,1,0)</f>
        <v/>
      </c>
      <c r="C45" s="56">
        <f>IF($B45=0,"",IF(Inputs!$B$6="","",IF($AD45=0,C44,SUMIFS(Data!$B$10:$B$3209,Data!$A$10:$A$3209,"&gt;="&amp;$A45,Data!$A$10:$A$3209,"&lt;"&amp;$A45+1)/$AD45)))</f>
        <v/>
      </c>
      <c r="D45" s="56">
        <f>IF($B45=0,"",IF(Inputs!$B$7="","",IF($AE45=0,D44,SUMIFS(Data!$F$10:$F$3209,Data!$E$10:$E$3209,"&gt;="&amp;$A45,Data!$E$10:$E$3209,"&lt;"&amp;$A45+1)/$AE45)))</f>
        <v/>
      </c>
      <c r="E45" s="56">
        <f>IF($B45=0,"",IF(Inputs!$B$8="","",IF($AF45=0,E44,SUMIFS(Data!$J$10:$J$3209,Data!$I$10:$I$3209,"&gt;="&amp;$A45,Data!$I$10:$I$3209,"&lt;"&amp;$A45+1)/$AF45)))</f>
        <v/>
      </c>
      <c r="F45" s="56">
        <f>IF($B45=0,"",IF(Inputs!$B$9="","",IF($AG45=0,F44,SUMIFS(Data!$N$10:$N$3209,Data!$M$10:$M$3209,"&gt;="&amp;$A45,Data!$M$10:$M$3209,"&lt;"&amp;$A45+1)/$AG45)))</f>
        <v/>
      </c>
      <c r="G45" s="56">
        <f>IF($B45=0,"",IF(Inputs!$B$10="","",IF($AH45=0,G44,SUMIFS(Data!$R$10:$R$3209,Data!$Q$10:$Q$3209,"&gt;="&amp;$A45,Data!$Q$10:$Q$3209,"&lt;"&amp;$A45+1)/$AH45)))</f>
        <v/>
      </c>
      <c r="I45" s="54">
        <f>IF($B45=0,NA(),IF($C45="",NA(),IF(C$8="",NA(),IF(N(C$8)=0,NA(),IF(Inputs!$C$17="Rebased to 100",$C45/C$8*100,$C45)))))</f>
        <v/>
      </c>
      <c r="J45" s="54">
        <f>IF($B45=0,NA(),IF($D45="",NA(),IF(D$8="",NA(),IF(N(D$8)=0,NA(),IF(Inputs!$C$17="Rebased to 100",$D45/D$8*100,$D45)))))</f>
        <v/>
      </c>
      <c r="K45" s="54">
        <f>IF($B45=0,NA(),IF($E45="",NA(),IF(E$8="",NA(),IF(N(E$8)=0,NA(),IF(Inputs!$C$17="Rebased to 100",$E45/E$8*100,$E45)))))</f>
        <v/>
      </c>
      <c r="L45" s="54">
        <f>IF($B45=0,NA(),IF($F45="",NA(),IF(F$8="",NA(),IF(N(F$8)=0,NA(),IF(Inputs!$C$17="Rebased to 100",$F45/F$8*100,$F45)))))</f>
        <v/>
      </c>
      <c r="M45" s="54">
        <f>IF($B45=0,NA(),IF($G45="",NA(),IF(G$8="",NA(),IF(N(G$8)=0,NA(),IF(Inputs!$C$17="Rebased to 100",$G45/G$8*100,$G45)))))</f>
        <v/>
      </c>
      <c r="N45" s="54">
        <f>IF($B45=0,NA(),IF(Inputs!$C$18&lt;&gt;"Yes",NA(),IF(COUNT(I45,J45,K45,L45,M45)=0,NA(),MIN(I45,J45,K45,L45,M45))))</f>
        <v/>
      </c>
      <c r="O45" s="54">
        <f>IF($B45=0,NA(),IF(Inputs!$B$24&lt;&gt;"Yes",NA(),Inputs!$D$24*Inputs!$C$35))</f>
        <v/>
      </c>
      <c r="P45" s="54">
        <f>IF($B45=0,NA(),IF(Inputs!$B$25&lt;&gt;"Yes",NA(),Inputs!$D$25*Inputs!$C$35))</f>
        <v/>
      </c>
      <c r="Q45" s="54">
        <f>IF($B45=0,NA(),IF(Inputs!$B$26&lt;&gt;"Yes",NA(),Inputs!$D$26*Inputs!$C$35))</f>
        <v/>
      </c>
      <c r="R45" s="54">
        <f>IF($B45=0,NA(),IF(Inputs!$B$27&lt;&gt;"Yes",NA(),Inputs!$D$27*Inputs!$C$35))</f>
        <v/>
      </c>
      <c r="S45" s="54">
        <f>IF($B45=0,NA(),IF(Inputs!$B$28&lt;&gt;"Yes",NA(),Inputs!$D$28*Inputs!$C$35))</f>
        <v/>
      </c>
      <c r="T45" s="54">
        <f>IF($B45=0,NA(),IF(Inputs!$B$29&lt;&gt;"Yes",NA(),Inputs!$D$29*Inputs!$C$35))</f>
        <v/>
      </c>
      <c r="AD45">
        <f>IF($B45=0,0,IF(Inputs!$B$6="",0,COUNTIFS(Data!$A$10:$A$3209,"&gt;="&amp;$A45,Data!$A$10:$A$3209,"&lt;"&amp;$A45+1)))</f>
        <v/>
      </c>
      <c r="AE45">
        <f>IF($B45=0,0,IF(Inputs!$B$7="",0,COUNTIFS(Data!$E$10:$E$3209,"&gt;="&amp;$A45,Data!$E$10:$E$3209,"&lt;"&amp;$A45+1)))</f>
        <v/>
      </c>
      <c r="AF45">
        <f>IF($B45=0,0,IF(Inputs!$B$8="",0,COUNTIFS(Data!$I$10:$I$3209,"&gt;="&amp;$A45,Data!$I$10:$I$3209,"&lt;"&amp;$A45+1)))</f>
        <v/>
      </c>
      <c r="AG45">
        <f>IF($B45=0,0,IF(Inputs!$B$9="",0,COUNTIFS(Data!$M$10:$M$3209,"&gt;="&amp;$A45,Data!$M$10:$M$3209,"&lt;"&amp;$A45+1)))</f>
        <v/>
      </c>
      <c r="AH45">
        <f>IF($B45=0,0,IF(Inputs!$B$10="",0,COUNTIFS(Data!$Q$10:$Q$3209,"&gt;="&amp;$A45,Data!$Q$10:$Q$3209,"&lt;"&amp;$A45+1)))</f>
        <v/>
      </c>
    </row>
    <row r="46">
      <c r="A46" s="55">
        <f>MIN(Inputs!$C$15,$A45+IF(WEEKDAY($A45,2)=5,3,1))</f>
        <v/>
      </c>
      <c r="B46">
        <f>IF($A46&gt;$A45,1,0)</f>
        <v/>
      </c>
      <c r="C46" s="56">
        <f>IF($B46=0,"",IF(Inputs!$B$6="","",IF($AD46=0,C45,SUMIFS(Data!$B$10:$B$3209,Data!$A$10:$A$3209,"&gt;="&amp;$A46,Data!$A$10:$A$3209,"&lt;"&amp;$A46+1)/$AD46)))</f>
        <v/>
      </c>
      <c r="D46" s="56">
        <f>IF($B46=0,"",IF(Inputs!$B$7="","",IF($AE46=0,D45,SUMIFS(Data!$F$10:$F$3209,Data!$E$10:$E$3209,"&gt;="&amp;$A46,Data!$E$10:$E$3209,"&lt;"&amp;$A46+1)/$AE46)))</f>
        <v/>
      </c>
      <c r="E46" s="56">
        <f>IF($B46=0,"",IF(Inputs!$B$8="","",IF($AF46=0,E45,SUMIFS(Data!$J$10:$J$3209,Data!$I$10:$I$3209,"&gt;="&amp;$A46,Data!$I$10:$I$3209,"&lt;"&amp;$A46+1)/$AF46)))</f>
        <v/>
      </c>
      <c r="F46" s="56">
        <f>IF($B46=0,"",IF(Inputs!$B$9="","",IF($AG46=0,F45,SUMIFS(Data!$N$10:$N$3209,Data!$M$10:$M$3209,"&gt;="&amp;$A46,Data!$M$10:$M$3209,"&lt;"&amp;$A46+1)/$AG46)))</f>
        <v/>
      </c>
      <c r="G46" s="56">
        <f>IF($B46=0,"",IF(Inputs!$B$10="","",IF($AH46=0,G45,SUMIFS(Data!$R$10:$R$3209,Data!$Q$10:$Q$3209,"&gt;="&amp;$A46,Data!$Q$10:$Q$3209,"&lt;"&amp;$A46+1)/$AH46)))</f>
        <v/>
      </c>
      <c r="I46" s="54">
        <f>IF($B46=0,NA(),IF($C46="",NA(),IF(C$8="",NA(),IF(N(C$8)=0,NA(),IF(Inputs!$C$17="Rebased to 100",$C46/C$8*100,$C46)))))</f>
        <v/>
      </c>
      <c r="J46" s="54">
        <f>IF($B46=0,NA(),IF($D46="",NA(),IF(D$8="",NA(),IF(N(D$8)=0,NA(),IF(Inputs!$C$17="Rebased to 100",$D46/D$8*100,$D46)))))</f>
        <v/>
      </c>
      <c r="K46" s="54">
        <f>IF($B46=0,NA(),IF($E46="",NA(),IF(E$8="",NA(),IF(N(E$8)=0,NA(),IF(Inputs!$C$17="Rebased to 100",$E46/E$8*100,$E46)))))</f>
        <v/>
      </c>
      <c r="L46" s="54">
        <f>IF($B46=0,NA(),IF($F46="",NA(),IF(F$8="",NA(),IF(N(F$8)=0,NA(),IF(Inputs!$C$17="Rebased to 100",$F46/F$8*100,$F46)))))</f>
        <v/>
      </c>
      <c r="M46" s="54">
        <f>IF($B46=0,NA(),IF($G46="",NA(),IF(G$8="",NA(),IF(N(G$8)=0,NA(),IF(Inputs!$C$17="Rebased to 100",$G46/G$8*100,$G46)))))</f>
        <v/>
      </c>
      <c r="N46" s="54">
        <f>IF($B46=0,NA(),IF(Inputs!$C$18&lt;&gt;"Yes",NA(),IF(COUNT(I46,J46,K46,L46,M46)=0,NA(),MIN(I46,J46,K46,L46,M46))))</f>
        <v/>
      </c>
      <c r="O46" s="54">
        <f>IF($B46=0,NA(),IF(Inputs!$B$24&lt;&gt;"Yes",NA(),Inputs!$D$24*Inputs!$C$35))</f>
        <v/>
      </c>
      <c r="P46" s="54">
        <f>IF($B46=0,NA(),IF(Inputs!$B$25&lt;&gt;"Yes",NA(),Inputs!$D$25*Inputs!$C$35))</f>
        <v/>
      </c>
      <c r="Q46" s="54">
        <f>IF($B46=0,NA(),IF(Inputs!$B$26&lt;&gt;"Yes",NA(),Inputs!$D$26*Inputs!$C$35))</f>
        <v/>
      </c>
      <c r="R46" s="54">
        <f>IF($B46=0,NA(),IF(Inputs!$B$27&lt;&gt;"Yes",NA(),Inputs!$D$27*Inputs!$C$35))</f>
        <v/>
      </c>
      <c r="S46" s="54">
        <f>IF($B46=0,NA(),IF(Inputs!$B$28&lt;&gt;"Yes",NA(),Inputs!$D$28*Inputs!$C$35))</f>
        <v/>
      </c>
      <c r="T46" s="54">
        <f>IF($B46=0,NA(),IF(Inputs!$B$29&lt;&gt;"Yes",NA(),Inputs!$D$29*Inputs!$C$35))</f>
        <v/>
      </c>
      <c r="AD46">
        <f>IF($B46=0,0,IF(Inputs!$B$6="",0,COUNTIFS(Data!$A$10:$A$3209,"&gt;="&amp;$A46,Data!$A$10:$A$3209,"&lt;"&amp;$A46+1)))</f>
        <v/>
      </c>
      <c r="AE46">
        <f>IF($B46=0,0,IF(Inputs!$B$7="",0,COUNTIFS(Data!$E$10:$E$3209,"&gt;="&amp;$A46,Data!$E$10:$E$3209,"&lt;"&amp;$A46+1)))</f>
        <v/>
      </c>
      <c r="AF46">
        <f>IF($B46=0,0,IF(Inputs!$B$8="",0,COUNTIFS(Data!$I$10:$I$3209,"&gt;="&amp;$A46,Data!$I$10:$I$3209,"&lt;"&amp;$A46+1)))</f>
        <v/>
      </c>
      <c r="AG46">
        <f>IF($B46=0,0,IF(Inputs!$B$9="",0,COUNTIFS(Data!$M$10:$M$3209,"&gt;="&amp;$A46,Data!$M$10:$M$3209,"&lt;"&amp;$A46+1)))</f>
        <v/>
      </c>
      <c r="AH46">
        <f>IF($B46=0,0,IF(Inputs!$B$10="",0,COUNTIFS(Data!$Q$10:$Q$3209,"&gt;="&amp;$A46,Data!$Q$10:$Q$3209,"&lt;"&amp;$A46+1)))</f>
        <v/>
      </c>
    </row>
    <row r="47">
      <c r="A47" s="55">
        <f>MIN(Inputs!$C$15,$A46+IF(WEEKDAY($A46,2)=5,3,1))</f>
        <v/>
      </c>
      <c r="B47">
        <f>IF($A47&gt;$A46,1,0)</f>
        <v/>
      </c>
      <c r="C47" s="56">
        <f>IF($B47=0,"",IF(Inputs!$B$6="","",IF($AD47=0,C46,SUMIFS(Data!$B$10:$B$3209,Data!$A$10:$A$3209,"&gt;="&amp;$A47,Data!$A$10:$A$3209,"&lt;"&amp;$A47+1)/$AD47)))</f>
        <v/>
      </c>
      <c r="D47" s="56">
        <f>IF($B47=0,"",IF(Inputs!$B$7="","",IF($AE47=0,D46,SUMIFS(Data!$F$10:$F$3209,Data!$E$10:$E$3209,"&gt;="&amp;$A47,Data!$E$10:$E$3209,"&lt;"&amp;$A47+1)/$AE47)))</f>
        <v/>
      </c>
      <c r="E47" s="56">
        <f>IF($B47=0,"",IF(Inputs!$B$8="","",IF($AF47=0,E46,SUMIFS(Data!$J$10:$J$3209,Data!$I$10:$I$3209,"&gt;="&amp;$A47,Data!$I$10:$I$3209,"&lt;"&amp;$A47+1)/$AF47)))</f>
        <v/>
      </c>
      <c r="F47" s="56">
        <f>IF($B47=0,"",IF(Inputs!$B$9="","",IF($AG47=0,F46,SUMIFS(Data!$N$10:$N$3209,Data!$M$10:$M$3209,"&gt;="&amp;$A47,Data!$M$10:$M$3209,"&lt;"&amp;$A47+1)/$AG47)))</f>
        <v/>
      </c>
      <c r="G47" s="56">
        <f>IF($B47=0,"",IF(Inputs!$B$10="","",IF($AH47=0,G46,SUMIFS(Data!$R$10:$R$3209,Data!$Q$10:$Q$3209,"&gt;="&amp;$A47,Data!$Q$10:$Q$3209,"&lt;"&amp;$A47+1)/$AH47)))</f>
        <v/>
      </c>
      <c r="I47" s="54">
        <f>IF($B47=0,NA(),IF($C47="",NA(),IF(C$8="",NA(),IF(N(C$8)=0,NA(),IF(Inputs!$C$17="Rebased to 100",$C47/C$8*100,$C47)))))</f>
        <v/>
      </c>
      <c r="J47" s="54">
        <f>IF($B47=0,NA(),IF($D47="",NA(),IF(D$8="",NA(),IF(N(D$8)=0,NA(),IF(Inputs!$C$17="Rebased to 100",$D47/D$8*100,$D47)))))</f>
        <v/>
      </c>
      <c r="K47" s="54">
        <f>IF($B47=0,NA(),IF($E47="",NA(),IF(E$8="",NA(),IF(N(E$8)=0,NA(),IF(Inputs!$C$17="Rebased to 100",$E47/E$8*100,$E47)))))</f>
        <v/>
      </c>
      <c r="L47" s="54">
        <f>IF($B47=0,NA(),IF($F47="",NA(),IF(F$8="",NA(),IF(N(F$8)=0,NA(),IF(Inputs!$C$17="Rebased to 100",$F47/F$8*100,$F47)))))</f>
        <v/>
      </c>
      <c r="M47" s="54">
        <f>IF($B47=0,NA(),IF($G47="",NA(),IF(G$8="",NA(),IF(N(G$8)=0,NA(),IF(Inputs!$C$17="Rebased to 100",$G47/G$8*100,$G47)))))</f>
        <v/>
      </c>
      <c r="N47" s="54">
        <f>IF($B47=0,NA(),IF(Inputs!$C$18&lt;&gt;"Yes",NA(),IF(COUNT(I47,J47,K47,L47,M47)=0,NA(),MIN(I47,J47,K47,L47,M47))))</f>
        <v/>
      </c>
      <c r="O47" s="54">
        <f>IF($B47=0,NA(),IF(Inputs!$B$24&lt;&gt;"Yes",NA(),Inputs!$D$24*Inputs!$C$35))</f>
        <v/>
      </c>
      <c r="P47" s="54">
        <f>IF($B47=0,NA(),IF(Inputs!$B$25&lt;&gt;"Yes",NA(),Inputs!$D$25*Inputs!$C$35))</f>
        <v/>
      </c>
      <c r="Q47" s="54">
        <f>IF($B47=0,NA(),IF(Inputs!$B$26&lt;&gt;"Yes",NA(),Inputs!$D$26*Inputs!$C$35))</f>
        <v/>
      </c>
      <c r="R47" s="54">
        <f>IF($B47=0,NA(),IF(Inputs!$B$27&lt;&gt;"Yes",NA(),Inputs!$D$27*Inputs!$C$35))</f>
        <v/>
      </c>
      <c r="S47" s="54">
        <f>IF($B47=0,NA(),IF(Inputs!$B$28&lt;&gt;"Yes",NA(),Inputs!$D$28*Inputs!$C$35))</f>
        <v/>
      </c>
      <c r="T47" s="54">
        <f>IF($B47=0,NA(),IF(Inputs!$B$29&lt;&gt;"Yes",NA(),Inputs!$D$29*Inputs!$C$35))</f>
        <v/>
      </c>
      <c r="AD47">
        <f>IF($B47=0,0,IF(Inputs!$B$6="",0,COUNTIFS(Data!$A$10:$A$3209,"&gt;="&amp;$A47,Data!$A$10:$A$3209,"&lt;"&amp;$A47+1)))</f>
        <v/>
      </c>
      <c r="AE47">
        <f>IF($B47=0,0,IF(Inputs!$B$7="",0,COUNTIFS(Data!$E$10:$E$3209,"&gt;="&amp;$A47,Data!$E$10:$E$3209,"&lt;"&amp;$A47+1)))</f>
        <v/>
      </c>
      <c r="AF47">
        <f>IF($B47=0,0,IF(Inputs!$B$8="",0,COUNTIFS(Data!$I$10:$I$3209,"&gt;="&amp;$A47,Data!$I$10:$I$3209,"&lt;"&amp;$A47+1)))</f>
        <v/>
      </c>
      <c r="AG47">
        <f>IF($B47=0,0,IF(Inputs!$B$9="",0,COUNTIFS(Data!$M$10:$M$3209,"&gt;="&amp;$A47,Data!$M$10:$M$3209,"&lt;"&amp;$A47+1)))</f>
        <v/>
      </c>
      <c r="AH47">
        <f>IF($B47=0,0,IF(Inputs!$B$10="",0,COUNTIFS(Data!$Q$10:$Q$3209,"&gt;="&amp;$A47,Data!$Q$10:$Q$3209,"&lt;"&amp;$A47+1)))</f>
        <v/>
      </c>
    </row>
    <row r="48">
      <c r="A48" s="55">
        <f>MIN(Inputs!$C$15,$A47+IF(WEEKDAY($A47,2)=5,3,1))</f>
        <v/>
      </c>
      <c r="B48">
        <f>IF($A48&gt;$A47,1,0)</f>
        <v/>
      </c>
      <c r="C48" s="56">
        <f>IF($B48=0,"",IF(Inputs!$B$6="","",IF($AD48=0,C47,SUMIFS(Data!$B$10:$B$3209,Data!$A$10:$A$3209,"&gt;="&amp;$A48,Data!$A$10:$A$3209,"&lt;"&amp;$A48+1)/$AD48)))</f>
        <v/>
      </c>
      <c r="D48" s="56">
        <f>IF($B48=0,"",IF(Inputs!$B$7="","",IF($AE48=0,D47,SUMIFS(Data!$F$10:$F$3209,Data!$E$10:$E$3209,"&gt;="&amp;$A48,Data!$E$10:$E$3209,"&lt;"&amp;$A48+1)/$AE48)))</f>
        <v/>
      </c>
      <c r="E48" s="56">
        <f>IF($B48=0,"",IF(Inputs!$B$8="","",IF($AF48=0,E47,SUMIFS(Data!$J$10:$J$3209,Data!$I$10:$I$3209,"&gt;="&amp;$A48,Data!$I$10:$I$3209,"&lt;"&amp;$A48+1)/$AF48)))</f>
        <v/>
      </c>
      <c r="F48" s="56">
        <f>IF($B48=0,"",IF(Inputs!$B$9="","",IF($AG48=0,F47,SUMIFS(Data!$N$10:$N$3209,Data!$M$10:$M$3209,"&gt;="&amp;$A48,Data!$M$10:$M$3209,"&lt;"&amp;$A48+1)/$AG48)))</f>
        <v/>
      </c>
      <c r="G48" s="56">
        <f>IF($B48=0,"",IF(Inputs!$B$10="","",IF($AH48=0,G47,SUMIFS(Data!$R$10:$R$3209,Data!$Q$10:$Q$3209,"&gt;="&amp;$A48,Data!$Q$10:$Q$3209,"&lt;"&amp;$A48+1)/$AH48)))</f>
        <v/>
      </c>
      <c r="I48" s="54">
        <f>IF($B48=0,NA(),IF($C48="",NA(),IF(C$8="",NA(),IF(N(C$8)=0,NA(),IF(Inputs!$C$17="Rebased to 100",$C48/C$8*100,$C48)))))</f>
        <v/>
      </c>
      <c r="J48" s="54">
        <f>IF($B48=0,NA(),IF($D48="",NA(),IF(D$8="",NA(),IF(N(D$8)=0,NA(),IF(Inputs!$C$17="Rebased to 100",$D48/D$8*100,$D48)))))</f>
        <v/>
      </c>
      <c r="K48" s="54">
        <f>IF($B48=0,NA(),IF($E48="",NA(),IF(E$8="",NA(),IF(N(E$8)=0,NA(),IF(Inputs!$C$17="Rebased to 100",$E48/E$8*100,$E48)))))</f>
        <v/>
      </c>
      <c r="L48" s="54">
        <f>IF($B48=0,NA(),IF($F48="",NA(),IF(F$8="",NA(),IF(N(F$8)=0,NA(),IF(Inputs!$C$17="Rebased to 100",$F48/F$8*100,$F48)))))</f>
        <v/>
      </c>
      <c r="M48" s="54">
        <f>IF($B48=0,NA(),IF($G48="",NA(),IF(G$8="",NA(),IF(N(G$8)=0,NA(),IF(Inputs!$C$17="Rebased to 100",$G48/G$8*100,$G48)))))</f>
        <v/>
      </c>
      <c r="N48" s="54">
        <f>IF($B48=0,NA(),IF(Inputs!$C$18&lt;&gt;"Yes",NA(),IF(COUNT(I48,J48,K48,L48,M48)=0,NA(),MIN(I48,J48,K48,L48,M48))))</f>
        <v/>
      </c>
      <c r="O48" s="54">
        <f>IF($B48=0,NA(),IF(Inputs!$B$24&lt;&gt;"Yes",NA(),Inputs!$D$24*Inputs!$C$35))</f>
        <v/>
      </c>
      <c r="P48" s="54">
        <f>IF($B48=0,NA(),IF(Inputs!$B$25&lt;&gt;"Yes",NA(),Inputs!$D$25*Inputs!$C$35))</f>
        <v/>
      </c>
      <c r="Q48" s="54">
        <f>IF($B48=0,NA(),IF(Inputs!$B$26&lt;&gt;"Yes",NA(),Inputs!$D$26*Inputs!$C$35))</f>
        <v/>
      </c>
      <c r="R48" s="54">
        <f>IF($B48=0,NA(),IF(Inputs!$B$27&lt;&gt;"Yes",NA(),Inputs!$D$27*Inputs!$C$35))</f>
        <v/>
      </c>
      <c r="S48" s="54">
        <f>IF($B48=0,NA(),IF(Inputs!$B$28&lt;&gt;"Yes",NA(),Inputs!$D$28*Inputs!$C$35))</f>
        <v/>
      </c>
      <c r="T48" s="54">
        <f>IF($B48=0,NA(),IF(Inputs!$B$29&lt;&gt;"Yes",NA(),Inputs!$D$29*Inputs!$C$35))</f>
        <v/>
      </c>
      <c r="AD48">
        <f>IF($B48=0,0,IF(Inputs!$B$6="",0,COUNTIFS(Data!$A$10:$A$3209,"&gt;="&amp;$A48,Data!$A$10:$A$3209,"&lt;"&amp;$A48+1)))</f>
        <v/>
      </c>
      <c r="AE48">
        <f>IF($B48=0,0,IF(Inputs!$B$7="",0,COUNTIFS(Data!$E$10:$E$3209,"&gt;="&amp;$A48,Data!$E$10:$E$3209,"&lt;"&amp;$A48+1)))</f>
        <v/>
      </c>
      <c r="AF48">
        <f>IF($B48=0,0,IF(Inputs!$B$8="",0,COUNTIFS(Data!$I$10:$I$3209,"&gt;="&amp;$A48,Data!$I$10:$I$3209,"&lt;"&amp;$A48+1)))</f>
        <v/>
      </c>
      <c r="AG48">
        <f>IF($B48=0,0,IF(Inputs!$B$9="",0,COUNTIFS(Data!$M$10:$M$3209,"&gt;="&amp;$A48,Data!$M$10:$M$3209,"&lt;"&amp;$A48+1)))</f>
        <v/>
      </c>
      <c r="AH48">
        <f>IF($B48=0,0,IF(Inputs!$B$10="",0,COUNTIFS(Data!$Q$10:$Q$3209,"&gt;="&amp;$A48,Data!$Q$10:$Q$3209,"&lt;"&amp;$A48+1)))</f>
        <v/>
      </c>
    </row>
    <row r="49">
      <c r="A49" s="55">
        <f>MIN(Inputs!$C$15,$A48+IF(WEEKDAY($A48,2)=5,3,1))</f>
        <v/>
      </c>
      <c r="B49">
        <f>IF($A49&gt;$A48,1,0)</f>
        <v/>
      </c>
      <c r="C49" s="56">
        <f>IF($B49=0,"",IF(Inputs!$B$6="","",IF($AD49=0,C48,SUMIFS(Data!$B$10:$B$3209,Data!$A$10:$A$3209,"&gt;="&amp;$A49,Data!$A$10:$A$3209,"&lt;"&amp;$A49+1)/$AD49)))</f>
        <v/>
      </c>
      <c r="D49" s="56">
        <f>IF($B49=0,"",IF(Inputs!$B$7="","",IF($AE49=0,D48,SUMIFS(Data!$F$10:$F$3209,Data!$E$10:$E$3209,"&gt;="&amp;$A49,Data!$E$10:$E$3209,"&lt;"&amp;$A49+1)/$AE49)))</f>
        <v/>
      </c>
      <c r="E49" s="56">
        <f>IF($B49=0,"",IF(Inputs!$B$8="","",IF($AF49=0,E48,SUMIFS(Data!$J$10:$J$3209,Data!$I$10:$I$3209,"&gt;="&amp;$A49,Data!$I$10:$I$3209,"&lt;"&amp;$A49+1)/$AF49)))</f>
        <v/>
      </c>
      <c r="F49" s="56">
        <f>IF($B49=0,"",IF(Inputs!$B$9="","",IF($AG49=0,F48,SUMIFS(Data!$N$10:$N$3209,Data!$M$10:$M$3209,"&gt;="&amp;$A49,Data!$M$10:$M$3209,"&lt;"&amp;$A49+1)/$AG49)))</f>
        <v/>
      </c>
      <c r="G49" s="56">
        <f>IF($B49=0,"",IF(Inputs!$B$10="","",IF($AH49=0,G48,SUMIFS(Data!$R$10:$R$3209,Data!$Q$10:$Q$3209,"&gt;="&amp;$A49,Data!$Q$10:$Q$3209,"&lt;"&amp;$A49+1)/$AH49)))</f>
        <v/>
      </c>
      <c r="I49" s="54">
        <f>IF($B49=0,NA(),IF($C49="",NA(),IF(C$8="",NA(),IF(N(C$8)=0,NA(),IF(Inputs!$C$17="Rebased to 100",$C49/C$8*100,$C49)))))</f>
        <v/>
      </c>
      <c r="J49" s="54">
        <f>IF($B49=0,NA(),IF($D49="",NA(),IF(D$8="",NA(),IF(N(D$8)=0,NA(),IF(Inputs!$C$17="Rebased to 100",$D49/D$8*100,$D49)))))</f>
        <v/>
      </c>
      <c r="K49" s="54">
        <f>IF($B49=0,NA(),IF($E49="",NA(),IF(E$8="",NA(),IF(N(E$8)=0,NA(),IF(Inputs!$C$17="Rebased to 100",$E49/E$8*100,$E49)))))</f>
        <v/>
      </c>
      <c r="L49" s="54">
        <f>IF($B49=0,NA(),IF($F49="",NA(),IF(F$8="",NA(),IF(N(F$8)=0,NA(),IF(Inputs!$C$17="Rebased to 100",$F49/F$8*100,$F49)))))</f>
        <v/>
      </c>
      <c r="M49" s="54">
        <f>IF($B49=0,NA(),IF($G49="",NA(),IF(G$8="",NA(),IF(N(G$8)=0,NA(),IF(Inputs!$C$17="Rebased to 100",$G49/G$8*100,$G49)))))</f>
        <v/>
      </c>
      <c r="N49" s="54">
        <f>IF($B49=0,NA(),IF(Inputs!$C$18&lt;&gt;"Yes",NA(),IF(COUNT(I49,J49,K49,L49,M49)=0,NA(),MIN(I49,J49,K49,L49,M49))))</f>
        <v/>
      </c>
      <c r="O49" s="54">
        <f>IF($B49=0,NA(),IF(Inputs!$B$24&lt;&gt;"Yes",NA(),Inputs!$D$24*Inputs!$C$35))</f>
        <v/>
      </c>
      <c r="P49" s="54">
        <f>IF($B49=0,NA(),IF(Inputs!$B$25&lt;&gt;"Yes",NA(),Inputs!$D$25*Inputs!$C$35))</f>
        <v/>
      </c>
      <c r="Q49" s="54">
        <f>IF($B49=0,NA(),IF(Inputs!$B$26&lt;&gt;"Yes",NA(),Inputs!$D$26*Inputs!$C$35))</f>
        <v/>
      </c>
      <c r="R49" s="54">
        <f>IF($B49=0,NA(),IF(Inputs!$B$27&lt;&gt;"Yes",NA(),Inputs!$D$27*Inputs!$C$35))</f>
        <v/>
      </c>
      <c r="S49" s="54">
        <f>IF($B49=0,NA(),IF(Inputs!$B$28&lt;&gt;"Yes",NA(),Inputs!$D$28*Inputs!$C$35))</f>
        <v/>
      </c>
      <c r="T49" s="54">
        <f>IF($B49=0,NA(),IF(Inputs!$B$29&lt;&gt;"Yes",NA(),Inputs!$D$29*Inputs!$C$35))</f>
        <v/>
      </c>
      <c r="AD49">
        <f>IF($B49=0,0,IF(Inputs!$B$6="",0,COUNTIFS(Data!$A$10:$A$3209,"&gt;="&amp;$A49,Data!$A$10:$A$3209,"&lt;"&amp;$A49+1)))</f>
        <v/>
      </c>
      <c r="AE49">
        <f>IF($B49=0,0,IF(Inputs!$B$7="",0,COUNTIFS(Data!$E$10:$E$3209,"&gt;="&amp;$A49,Data!$E$10:$E$3209,"&lt;"&amp;$A49+1)))</f>
        <v/>
      </c>
      <c r="AF49">
        <f>IF($B49=0,0,IF(Inputs!$B$8="",0,COUNTIFS(Data!$I$10:$I$3209,"&gt;="&amp;$A49,Data!$I$10:$I$3209,"&lt;"&amp;$A49+1)))</f>
        <v/>
      </c>
      <c r="AG49">
        <f>IF($B49=0,0,IF(Inputs!$B$9="",0,COUNTIFS(Data!$M$10:$M$3209,"&gt;="&amp;$A49,Data!$M$10:$M$3209,"&lt;"&amp;$A49+1)))</f>
        <v/>
      </c>
      <c r="AH49">
        <f>IF($B49=0,0,IF(Inputs!$B$10="",0,COUNTIFS(Data!$Q$10:$Q$3209,"&gt;="&amp;$A49,Data!$Q$10:$Q$3209,"&lt;"&amp;$A49+1)))</f>
        <v/>
      </c>
    </row>
    <row r="50">
      <c r="A50" s="55">
        <f>MIN(Inputs!$C$15,$A49+IF(WEEKDAY($A49,2)=5,3,1))</f>
        <v/>
      </c>
      <c r="B50">
        <f>IF($A50&gt;$A49,1,0)</f>
        <v/>
      </c>
      <c r="C50" s="56">
        <f>IF($B50=0,"",IF(Inputs!$B$6="","",IF($AD50=0,C49,SUMIFS(Data!$B$10:$B$3209,Data!$A$10:$A$3209,"&gt;="&amp;$A50,Data!$A$10:$A$3209,"&lt;"&amp;$A50+1)/$AD50)))</f>
        <v/>
      </c>
      <c r="D50" s="56">
        <f>IF($B50=0,"",IF(Inputs!$B$7="","",IF($AE50=0,D49,SUMIFS(Data!$F$10:$F$3209,Data!$E$10:$E$3209,"&gt;="&amp;$A50,Data!$E$10:$E$3209,"&lt;"&amp;$A50+1)/$AE50)))</f>
        <v/>
      </c>
      <c r="E50" s="56">
        <f>IF($B50=0,"",IF(Inputs!$B$8="","",IF($AF50=0,E49,SUMIFS(Data!$J$10:$J$3209,Data!$I$10:$I$3209,"&gt;="&amp;$A50,Data!$I$10:$I$3209,"&lt;"&amp;$A50+1)/$AF50)))</f>
        <v/>
      </c>
      <c r="F50" s="56">
        <f>IF($B50=0,"",IF(Inputs!$B$9="","",IF($AG50=0,F49,SUMIFS(Data!$N$10:$N$3209,Data!$M$10:$M$3209,"&gt;="&amp;$A50,Data!$M$10:$M$3209,"&lt;"&amp;$A50+1)/$AG50)))</f>
        <v/>
      </c>
      <c r="G50" s="56">
        <f>IF($B50=0,"",IF(Inputs!$B$10="","",IF($AH50=0,G49,SUMIFS(Data!$R$10:$R$3209,Data!$Q$10:$Q$3209,"&gt;="&amp;$A50,Data!$Q$10:$Q$3209,"&lt;"&amp;$A50+1)/$AH50)))</f>
        <v/>
      </c>
      <c r="I50" s="54">
        <f>IF($B50=0,NA(),IF($C50="",NA(),IF(C$8="",NA(),IF(N(C$8)=0,NA(),IF(Inputs!$C$17="Rebased to 100",$C50/C$8*100,$C50)))))</f>
        <v/>
      </c>
      <c r="J50" s="54">
        <f>IF($B50=0,NA(),IF($D50="",NA(),IF(D$8="",NA(),IF(N(D$8)=0,NA(),IF(Inputs!$C$17="Rebased to 100",$D50/D$8*100,$D50)))))</f>
        <v/>
      </c>
      <c r="K50" s="54">
        <f>IF($B50=0,NA(),IF($E50="",NA(),IF(E$8="",NA(),IF(N(E$8)=0,NA(),IF(Inputs!$C$17="Rebased to 100",$E50/E$8*100,$E50)))))</f>
        <v/>
      </c>
      <c r="L50" s="54">
        <f>IF($B50=0,NA(),IF($F50="",NA(),IF(F$8="",NA(),IF(N(F$8)=0,NA(),IF(Inputs!$C$17="Rebased to 100",$F50/F$8*100,$F50)))))</f>
        <v/>
      </c>
      <c r="M50" s="54">
        <f>IF($B50=0,NA(),IF($G50="",NA(),IF(G$8="",NA(),IF(N(G$8)=0,NA(),IF(Inputs!$C$17="Rebased to 100",$G50/G$8*100,$G50)))))</f>
        <v/>
      </c>
      <c r="N50" s="54">
        <f>IF($B50=0,NA(),IF(Inputs!$C$18&lt;&gt;"Yes",NA(),IF(COUNT(I50,J50,K50,L50,M50)=0,NA(),MIN(I50,J50,K50,L50,M50))))</f>
        <v/>
      </c>
      <c r="O50" s="54">
        <f>IF($B50=0,NA(),IF(Inputs!$B$24&lt;&gt;"Yes",NA(),Inputs!$D$24*Inputs!$C$35))</f>
        <v/>
      </c>
      <c r="P50" s="54">
        <f>IF($B50=0,NA(),IF(Inputs!$B$25&lt;&gt;"Yes",NA(),Inputs!$D$25*Inputs!$C$35))</f>
        <v/>
      </c>
      <c r="Q50" s="54">
        <f>IF($B50=0,NA(),IF(Inputs!$B$26&lt;&gt;"Yes",NA(),Inputs!$D$26*Inputs!$C$35))</f>
        <v/>
      </c>
      <c r="R50" s="54">
        <f>IF($B50=0,NA(),IF(Inputs!$B$27&lt;&gt;"Yes",NA(),Inputs!$D$27*Inputs!$C$35))</f>
        <v/>
      </c>
      <c r="S50" s="54">
        <f>IF($B50=0,NA(),IF(Inputs!$B$28&lt;&gt;"Yes",NA(),Inputs!$D$28*Inputs!$C$35))</f>
        <v/>
      </c>
      <c r="T50" s="54">
        <f>IF($B50=0,NA(),IF(Inputs!$B$29&lt;&gt;"Yes",NA(),Inputs!$D$29*Inputs!$C$35))</f>
        <v/>
      </c>
      <c r="AD50">
        <f>IF($B50=0,0,IF(Inputs!$B$6="",0,COUNTIFS(Data!$A$10:$A$3209,"&gt;="&amp;$A50,Data!$A$10:$A$3209,"&lt;"&amp;$A50+1)))</f>
        <v/>
      </c>
      <c r="AE50">
        <f>IF($B50=0,0,IF(Inputs!$B$7="",0,COUNTIFS(Data!$E$10:$E$3209,"&gt;="&amp;$A50,Data!$E$10:$E$3209,"&lt;"&amp;$A50+1)))</f>
        <v/>
      </c>
      <c r="AF50">
        <f>IF($B50=0,0,IF(Inputs!$B$8="",0,COUNTIFS(Data!$I$10:$I$3209,"&gt;="&amp;$A50,Data!$I$10:$I$3209,"&lt;"&amp;$A50+1)))</f>
        <v/>
      </c>
      <c r="AG50">
        <f>IF($B50=0,0,IF(Inputs!$B$9="",0,COUNTIFS(Data!$M$10:$M$3209,"&gt;="&amp;$A50,Data!$M$10:$M$3209,"&lt;"&amp;$A50+1)))</f>
        <v/>
      </c>
      <c r="AH50">
        <f>IF($B50=0,0,IF(Inputs!$B$10="",0,COUNTIFS(Data!$Q$10:$Q$3209,"&gt;="&amp;$A50,Data!$Q$10:$Q$3209,"&lt;"&amp;$A50+1)))</f>
        <v/>
      </c>
    </row>
    <row r="51">
      <c r="A51" s="55">
        <f>MIN(Inputs!$C$15,$A50+IF(WEEKDAY($A50,2)=5,3,1))</f>
        <v/>
      </c>
      <c r="B51">
        <f>IF($A51&gt;$A50,1,0)</f>
        <v/>
      </c>
      <c r="C51" s="56">
        <f>IF($B51=0,"",IF(Inputs!$B$6="","",IF($AD51=0,C50,SUMIFS(Data!$B$10:$B$3209,Data!$A$10:$A$3209,"&gt;="&amp;$A51,Data!$A$10:$A$3209,"&lt;"&amp;$A51+1)/$AD51)))</f>
        <v/>
      </c>
      <c r="D51" s="56">
        <f>IF($B51=0,"",IF(Inputs!$B$7="","",IF($AE51=0,D50,SUMIFS(Data!$F$10:$F$3209,Data!$E$10:$E$3209,"&gt;="&amp;$A51,Data!$E$10:$E$3209,"&lt;"&amp;$A51+1)/$AE51)))</f>
        <v/>
      </c>
      <c r="E51" s="56">
        <f>IF($B51=0,"",IF(Inputs!$B$8="","",IF($AF51=0,E50,SUMIFS(Data!$J$10:$J$3209,Data!$I$10:$I$3209,"&gt;="&amp;$A51,Data!$I$10:$I$3209,"&lt;"&amp;$A51+1)/$AF51)))</f>
        <v/>
      </c>
      <c r="F51" s="56">
        <f>IF($B51=0,"",IF(Inputs!$B$9="","",IF($AG51=0,F50,SUMIFS(Data!$N$10:$N$3209,Data!$M$10:$M$3209,"&gt;="&amp;$A51,Data!$M$10:$M$3209,"&lt;"&amp;$A51+1)/$AG51)))</f>
        <v/>
      </c>
      <c r="G51" s="56">
        <f>IF($B51=0,"",IF(Inputs!$B$10="","",IF($AH51=0,G50,SUMIFS(Data!$R$10:$R$3209,Data!$Q$10:$Q$3209,"&gt;="&amp;$A51,Data!$Q$10:$Q$3209,"&lt;"&amp;$A51+1)/$AH51)))</f>
        <v/>
      </c>
      <c r="I51" s="54">
        <f>IF($B51=0,NA(),IF($C51="",NA(),IF(C$8="",NA(),IF(N(C$8)=0,NA(),IF(Inputs!$C$17="Rebased to 100",$C51/C$8*100,$C51)))))</f>
        <v/>
      </c>
      <c r="J51" s="54">
        <f>IF($B51=0,NA(),IF($D51="",NA(),IF(D$8="",NA(),IF(N(D$8)=0,NA(),IF(Inputs!$C$17="Rebased to 100",$D51/D$8*100,$D51)))))</f>
        <v/>
      </c>
      <c r="K51" s="54">
        <f>IF($B51=0,NA(),IF($E51="",NA(),IF(E$8="",NA(),IF(N(E$8)=0,NA(),IF(Inputs!$C$17="Rebased to 100",$E51/E$8*100,$E51)))))</f>
        <v/>
      </c>
      <c r="L51" s="54">
        <f>IF($B51=0,NA(),IF($F51="",NA(),IF(F$8="",NA(),IF(N(F$8)=0,NA(),IF(Inputs!$C$17="Rebased to 100",$F51/F$8*100,$F51)))))</f>
        <v/>
      </c>
      <c r="M51" s="54">
        <f>IF($B51=0,NA(),IF($G51="",NA(),IF(G$8="",NA(),IF(N(G$8)=0,NA(),IF(Inputs!$C$17="Rebased to 100",$G51/G$8*100,$G51)))))</f>
        <v/>
      </c>
      <c r="N51" s="54">
        <f>IF($B51=0,NA(),IF(Inputs!$C$18&lt;&gt;"Yes",NA(),IF(COUNT(I51,J51,K51,L51,M51)=0,NA(),MIN(I51,J51,K51,L51,M51))))</f>
        <v/>
      </c>
      <c r="O51" s="54">
        <f>IF($B51=0,NA(),IF(Inputs!$B$24&lt;&gt;"Yes",NA(),Inputs!$D$24*Inputs!$C$35))</f>
        <v/>
      </c>
      <c r="P51" s="54">
        <f>IF($B51=0,NA(),IF(Inputs!$B$25&lt;&gt;"Yes",NA(),Inputs!$D$25*Inputs!$C$35))</f>
        <v/>
      </c>
      <c r="Q51" s="54">
        <f>IF($B51=0,NA(),IF(Inputs!$B$26&lt;&gt;"Yes",NA(),Inputs!$D$26*Inputs!$C$35))</f>
        <v/>
      </c>
      <c r="R51" s="54">
        <f>IF($B51=0,NA(),IF(Inputs!$B$27&lt;&gt;"Yes",NA(),Inputs!$D$27*Inputs!$C$35))</f>
        <v/>
      </c>
      <c r="S51" s="54">
        <f>IF($B51=0,NA(),IF(Inputs!$B$28&lt;&gt;"Yes",NA(),Inputs!$D$28*Inputs!$C$35))</f>
        <v/>
      </c>
      <c r="T51" s="54">
        <f>IF($B51=0,NA(),IF(Inputs!$B$29&lt;&gt;"Yes",NA(),Inputs!$D$29*Inputs!$C$35))</f>
        <v/>
      </c>
      <c r="AD51">
        <f>IF($B51=0,0,IF(Inputs!$B$6="",0,COUNTIFS(Data!$A$10:$A$3209,"&gt;="&amp;$A51,Data!$A$10:$A$3209,"&lt;"&amp;$A51+1)))</f>
        <v/>
      </c>
      <c r="AE51">
        <f>IF($B51=0,0,IF(Inputs!$B$7="",0,COUNTIFS(Data!$E$10:$E$3209,"&gt;="&amp;$A51,Data!$E$10:$E$3209,"&lt;"&amp;$A51+1)))</f>
        <v/>
      </c>
      <c r="AF51">
        <f>IF($B51=0,0,IF(Inputs!$B$8="",0,COUNTIFS(Data!$I$10:$I$3209,"&gt;="&amp;$A51,Data!$I$10:$I$3209,"&lt;"&amp;$A51+1)))</f>
        <v/>
      </c>
      <c r="AG51">
        <f>IF($B51=0,0,IF(Inputs!$B$9="",0,COUNTIFS(Data!$M$10:$M$3209,"&gt;="&amp;$A51,Data!$M$10:$M$3209,"&lt;"&amp;$A51+1)))</f>
        <v/>
      </c>
      <c r="AH51">
        <f>IF($B51=0,0,IF(Inputs!$B$10="",0,COUNTIFS(Data!$Q$10:$Q$3209,"&gt;="&amp;$A51,Data!$Q$10:$Q$3209,"&lt;"&amp;$A51+1)))</f>
        <v/>
      </c>
    </row>
    <row r="52">
      <c r="A52" s="55">
        <f>MIN(Inputs!$C$15,$A51+IF(WEEKDAY($A51,2)=5,3,1))</f>
        <v/>
      </c>
      <c r="B52">
        <f>IF($A52&gt;$A51,1,0)</f>
        <v/>
      </c>
      <c r="C52" s="56">
        <f>IF($B52=0,"",IF(Inputs!$B$6="","",IF($AD52=0,C51,SUMIFS(Data!$B$10:$B$3209,Data!$A$10:$A$3209,"&gt;="&amp;$A52,Data!$A$10:$A$3209,"&lt;"&amp;$A52+1)/$AD52)))</f>
        <v/>
      </c>
      <c r="D52" s="56">
        <f>IF($B52=0,"",IF(Inputs!$B$7="","",IF($AE52=0,D51,SUMIFS(Data!$F$10:$F$3209,Data!$E$10:$E$3209,"&gt;="&amp;$A52,Data!$E$10:$E$3209,"&lt;"&amp;$A52+1)/$AE52)))</f>
        <v/>
      </c>
      <c r="E52" s="56">
        <f>IF($B52=0,"",IF(Inputs!$B$8="","",IF($AF52=0,E51,SUMIFS(Data!$J$10:$J$3209,Data!$I$10:$I$3209,"&gt;="&amp;$A52,Data!$I$10:$I$3209,"&lt;"&amp;$A52+1)/$AF52)))</f>
        <v/>
      </c>
      <c r="F52" s="56">
        <f>IF($B52=0,"",IF(Inputs!$B$9="","",IF($AG52=0,F51,SUMIFS(Data!$N$10:$N$3209,Data!$M$10:$M$3209,"&gt;="&amp;$A52,Data!$M$10:$M$3209,"&lt;"&amp;$A52+1)/$AG52)))</f>
        <v/>
      </c>
      <c r="G52" s="56">
        <f>IF($B52=0,"",IF(Inputs!$B$10="","",IF($AH52=0,G51,SUMIFS(Data!$R$10:$R$3209,Data!$Q$10:$Q$3209,"&gt;="&amp;$A52,Data!$Q$10:$Q$3209,"&lt;"&amp;$A52+1)/$AH52)))</f>
        <v/>
      </c>
      <c r="I52" s="54">
        <f>IF($B52=0,NA(),IF($C52="",NA(),IF(C$8="",NA(),IF(N(C$8)=0,NA(),IF(Inputs!$C$17="Rebased to 100",$C52/C$8*100,$C52)))))</f>
        <v/>
      </c>
      <c r="J52" s="54">
        <f>IF($B52=0,NA(),IF($D52="",NA(),IF(D$8="",NA(),IF(N(D$8)=0,NA(),IF(Inputs!$C$17="Rebased to 100",$D52/D$8*100,$D52)))))</f>
        <v/>
      </c>
      <c r="K52" s="54">
        <f>IF($B52=0,NA(),IF($E52="",NA(),IF(E$8="",NA(),IF(N(E$8)=0,NA(),IF(Inputs!$C$17="Rebased to 100",$E52/E$8*100,$E52)))))</f>
        <v/>
      </c>
      <c r="L52" s="54">
        <f>IF($B52=0,NA(),IF($F52="",NA(),IF(F$8="",NA(),IF(N(F$8)=0,NA(),IF(Inputs!$C$17="Rebased to 100",$F52/F$8*100,$F52)))))</f>
        <v/>
      </c>
      <c r="M52" s="54">
        <f>IF($B52=0,NA(),IF($G52="",NA(),IF(G$8="",NA(),IF(N(G$8)=0,NA(),IF(Inputs!$C$17="Rebased to 100",$G52/G$8*100,$G52)))))</f>
        <v/>
      </c>
      <c r="N52" s="54">
        <f>IF($B52=0,NA(),IF(Inputs!$C$18&lt;&gt;"Yes",NA(),IF(COUNT(I52,J52,K52,L52,M52)=0,NA(),MIN(I52,J52,K52,L52,M52))))</f>
        <v/>
      </c>
      <c r="O52" s="54">
        <f>IF($B52=0,NA(),IF(Inputs!$B$24&lt;&gt;"Yes",NA(),Inputs!$D$24*Inputs!$C$35))</f>
        <v/>
      </c>
      <c r="P52" s="54">
        <f>IF($B52=0,NA(),IF(Inputs!$B$25&lt;&gt;"Yes",NA(),Inputs!$D$25*Inputs!$C$35))</f>
        <v/>
      </c>
      <c r="Q52" s="54">
        <f>IF($B52=0,NA(),IF(Inputs!$B$26&lt;&gt;"Yes",NA(),Inputs!$D$26*Inputs!$C$35))</f>
        <v/>
      </c>
      <c r="R52" s="54">
        <f>IF($B52=0,NA(),IF(Inputs!$B$27&lt;&gt;"Yes",NA(),Inputs!$D$27*Inputs!$C$35))</f>
        <v/>
      </c>
      <c r="S52" s="54">
        <f>IF($B52=0,NA(),IF(Inputs!$B$28&lt;&gt;"Yes",NA(),Inputs!$D$28*Inputs!$C$35))</f>
        <v/>
      </c>
      <c r="T52" s="54">
        <f>IF($B52=0,NA(),IF(Inputs!$B$29&lt;&gt;"Yes",NA(),Inputs!$D$29*Inputs!$C$35))</f>
        <v/>
      </c>
      <c r="AD52">
        <f>IF($B52=0,0,IF(Inputs!$B$6="",0,COUNTIFS(Data!$A$10:$A$3209,"&gt;="&amp;$A52,Data!$A$10:$A$3209,"&lt;"&amp;$A52+1)))</f>
        <v/>
      </c>
      <c r="AE52">
        <f>IF($B52=0,0,IF(Inputs!$B$7="",0,COUNTIFS(Data!$E$10:$E$3209,"&gt;="&amp;$A52,Data!$E$10:$E$3209,"&lt;"&amp;$A52+1)))</f>
        <v/>
      </c>
      <c r="AF52">
        <f>IF($B52=0,0,IF(Inputs!$B$8="",0,COUNTIFS(Data!$I$10:$I$3209,"&gt;="&amp;$A52,Data!$I$10:$I$3209,"&lt;"&amp;$A52+1)))</f>
        <v/>
      </c>
      <c r="AG52">
        <f>IF($B52=0,0,IF(Inputs!$B$9="",0,COUNTIFS(Data!$M$10:$M$3209,"&gt;="&amp;$A52,Data!$M$10:$M$3209,"&lt;"&amp;$A52+1)))</f>
        <v/>
      </c>
      <c r="AH52">
        <f>IF($B52=0,0,IF(Inputs!$B$10="",0,COUNTIFS(Data!$Q$10:$Q$3209,"&gt;="&amp;$A52,Data!$Q$10:$Q$3209,"&lt;"&amp;$A52+1)))</f>
        <v/>
      </c>
    </row>
    <row r="53">
      <c r="A53" s="55">
        <f>MIN(Inputs!$C$15,$A52+IF(WEEKDAY($A52,2)=5,3,1))</f>
        <v/>
      </c>
      <c r="B53">
        <f>IF($A53&gt;$A52,1,0)</f>
        <v/>
      </c>
      <c r="C53" s="56">
        <f>IF($B53=0,"",IF(Inputs!$B$6="","",IF($AD53=0,C52,SUMIFS(Data!$B$10:$B$3209,Data!$A$10:$A$3209,"&gt;="&amp;$A53,Data!$A$10:$A$3209,"&lt;"&amp;$A53+1)/$AD53)))</f>
        <v/>
      </c>
      <c r="D53" s="56">
        <f>IF($B53=0,"",IF(Inputs!$B$7="","",IF($AE53=0,D52,SUMIFS(Data!$F$10:$F$3209,Data!$E$10:$E$3209,"&gt;="&amp;$A53,Data!$E$10:$E$3209,"&lt;"&amp;$A53+1)/$AE53)))</f>
        <v/>
      </c>
      <c r="E53" s="56">
        <f>IF($B53=0,"",IF(Inputs!$B$8="","",IF($AF53=0,E52,SUMIFS(Data!$J$10:$J$3209,Data!$I$10:$I$3209,"&gt;="&amp;$A53,Data!$I$10:$I$3209,"&lt;"&amp;$A53+1)/$AF53)))</f>
        <v/>
      </c>
      <c r="F53" s="56">
        <f>IF($B53=0,"",IF(Inputs!$B$9="","",IF($AG53=0,F52,SUMIFS(Data!$N$10:$N$3209,Data!$M$10:$M$3209,"&gt;="&amp;$A53,Data!$M$10:$M$3209,"&lt;"&amp;$A53+1)/$AG53)))</f>
        <v/>
      </c>
      <c r="G53" s="56">
        <f>IF($B53=0,"",IF(Inputs!$B$10="","",IF($AH53=0,G52,SUMIFS(Data!$R$10:$R$3209,Data!$Q$10:$Q$3209,"&gt;="&amp;$A53,Data!$Q$10:$Q$3209,"&lt;"&amp;$A53+1)/$AH53)))</f>
        <v/>
      </c>
      <c r="I53" s="54">
        <f>IF($B53=0,NA(),IF($C53="",NA(),IF(C$8="",NA(),IF(N(C$8)=0,NA(),IF(Inputs!$C$17="Rebased to 100",$C53/C$8*100,$C53)))))</f>
        <v/>
      </c>
      <c r="J53" s="54">
        <f>IF($B53=0,NA(),IF($D53="",NA(),IF(D$8="",NA(),IF(N(D$8)=0,NA(),IF(Inputs!$C$17="Rebased to 100",$D53/D$8*100,$D53)))))</f>
        <v/>
      </c>
      <c r="K53" s="54">
        <f>IF($B53=0,NA(),IF($E53="",NA(),IF(E$8="",NA(),IF(N(E$8)=0,NA(),IF(Inputs!$C$17="Rebased to 100",$E53/E$8*100,$E53)))))</f>
        <v/>
      </c>
      <c r="L53" s="54">
        <f>IF($B53=0,NA(),IF($F53="",NA(),IF(F$8="",NA(),IF(N(F$8)=0,NA(),IF(Inputs!$C$17="Rebased to 100",$F53/F$8*100,$F53)))))</f>
        <v/>
      </c>
      <c r="M53" s="54">
        <f>IF($B53=0,NA(),IF($G53="",NA(),IF(G$8="",NA(),IF(N(G$8)=0,NA(),IF(Inputs!$C$17="Rebased to 100",$G53/G$8*100,$G53)))))</f>
        <v/>
      </c>
      <c r="N53" s="54">
        <f>IF($B53=0,NA(),IF(Inputs!$C$18&lt;&gt;"Yes",NA(),IF(COUNT(I53,J53,K53,L53,M53)=0,NA(),MIN(I53,J53,K53,L53,M53))))</f>
        <v/>
      </c>
      <c r="O53" s="54">
        <f>IF($B53=0,NA(),IF(Inputs!$B$24&lt;&gt;"Yes",NA(),Inputs!$D$24*Inputs!$C$35))</f>
        <v/>
      </c>
      <c r="P53" s="54">
        <f>IF($B53=0,NA(),IF(Inputs!$B$25&lt;&gt;"Yes",NA(),Inputs!$D$25*Inputs!$C$35))</f>
        <v/>
      </c>
      <c r="Q53" s="54">
        <f>IF($B53=0,NA(),IF(Inputs!$B$26&lt;&gt;"Yes",NA(),Inputs!$D$26*Inputs!$C$35))</f>
        <v/>
      </c>
      <c r="R53" s="54">
        <f>IF($B53=0,NA(),IF(Inputs!$B$27&lt;&gt;"Yes",NA(),Inputs!$D$27*Inputs!$C$35))</f>
        <v/>
      </c>
      <c r="S53" s="54">
        <f>IF($B53=0,NA(),IF(Inputs!$B$28&lt;&gt;"Yes",NA(),Inputs!$D$28*Inputs!$C$35))</f>
        <v/>
      </c>
      <c r="T53" s="54">
        <f>IF($B53=0,NA(),IF(Inputs!$B$29&lt;&gt;"Yes",NA(),Inputs!$D$29*Inputs!$C$35))</f>
        <v/>
      </c>
      <c r="AD53">
        <f>IF($B53=0,0,IF(Inputs!$B$6="",0,COUNTIFS(Data!$A$10:$A$3209,"&gt;="&amp;$A53,Data!$A$10:$A$3209,"&lt;"&amp;$A53+1)))</f>
        <v/>
      </c>
      <c r="AE53">
        <f>IF($B53=0,0,IF(Inputs!$B$7="",0,COUNTIFS(Data!$E$10:$E$3209,"&gt;="&amp;$A53,Data!$E$10:$E$3209,"&lt;"&amp;$A53+1)))</f>
        <v/>
      </c>
      <c r="AF53">
        <f>IF($B53=0,0,IF(Inputs!$B$8="",0,COUNTIFS(Data!$I$10:$I$3209,"&gt;="&amp;$A53,Data!$I$10:$I$3209,"&lt;"&amp;$A53+1)))</f>
        <v/>
      </c>
      <c r="AG53">
        <f>IF($B53=0,0,IF(Inputs!$B$9="",0,COUNTIFS(Data!$M$10:$M$3209,"&gt;="&amp;$A53,Data!$M$10:$M$3209,"&lt;"&amp;$A53+1)))</f>
        <v/>
      </c>
      <c r="AH53">
        <f>IF($B53=0,0,IF(Inputs!$B$10="",0,COUNTIFS(Data!$Q$10:$Q$3209,"&gt;="&amp;$A53,Data!$Q$10:$Q$3209,"&lt;"&amp;$A53+1)))</f>
        <v/>
      </c>
    </row>
    <row r="54">
      <c r="A54" s="55">
        <f>MIN(Inputs!$C$15,$A53+IF(WEEKDAY($A53,2)=5,3,1))</f>
        <v/>
      </c>
      <c r="B54">
        <f>IF($A54&gt;$A53,1,0)</f>
        <v/>
      </c>
      <c r="C54" s="56">
        <f>IF($B54=0,"",IF(Inputs!$B$6="","",IF($AD54=0,C53,SUMIFS(Data!$B$10:$B$3209,Data!$A$10:$A$3209,"&gt;="&amp;$A54,Data!$A$10:$A$3209,"&lt;"&amp;$A54+1)/$AD54)))</f>
        <v/>
      </c>
      <c r="D54" s="56">
        <f>IF($B54=0,"",IF(Inputs!$B$7="","",IF($AE54=0,D53,SUMIFS(Data!$F$10:$F$3209,Data!$E$10:$E$3209,"&gt;="&amp;$A54,Data!$E$10:$E$3209,"&lt;"&amp;$A54+1)/$AE54)))</f>
        <v/>
      </c>
      <c r="E54" s="56">
        <f>IF($B54=0,"",IF(Inputs!$B$8="","",IF($AF54=0,E53,SUMIFS(Data!$J$10:$J$3209,Data!$I$10:$I$3209,"&gt;="&amp;$A54,Data!$I$10:$I$3209,"&lt;"&amp;$A54+1)/$AF54)))</f>
        <v/>
      </c>
      <c r="F54" s="56">
        <f>IF($B54=0,"",IF(Inputs!$B$9="","",IF($AG54=0,F53,SUMIFS(Data!$N$10:$N$3209,Data!$M$10:$M$3209,"&gt;="&amp;$A54,Data!$M$10:$M$3209,"&lt;"&amp;$A54+1)/$AG54)))</f>
        <v/>
      </c>
      <c r="G54" s="56">
        <f>IF($B54=0,"",IF(Inputs!$B$10="","",IF($AH54=0,G53,SUMIFS(Data!$R$10:$R$3209,Data!$Q$10:$Q$3209,"&gt;="&amp;$A54,Data!$Q$10:$Q$3209,"&lt;"&amp;$A54+1)/$AH54)))</f>
        <v/>
      </c>
      <c r="I54" s="54">
        <f>IF($B54=0,NA(),IF($C54="",NA(),IF(C$8="",NA(),IF(N(C$8)=0,NA(),IF(Inputs!$C$17="Rebased to 100",$C54/C$8*100,$C54)))))</f>
        <v/>
      </c>
      <c r="J54" s="54">
        <f>IF($B54=0,NA(),IF($D54="",NA(),IF(D$8="",NA(),IF(N(D$8)=0,NA(),IF(Inputs!$C$17="Rebased to 100",$D54/D$8*100,$D54)))))</f>
        <v/>
      </c>
      <c r="K54" s="54">
        <f>IF($B54=0,NA(),IF($E54="",NA(),IF(E$8="",NA(),IF(N(E$8)=0,NA(),IF(Inputs!$C$17="Rebased to 100",$E54/E$8*100,$E54)))))</f>
        <v/>
      </c>
      <c r="L54" s="54">
        <f>IF($B54=0,NA(),IF($F54="",NA(),IF(F$8="",NA(),IF(N(F$8)=0,NA(),IF(Inputs!$C$17="Rebased to 100",$F54/F$8*100,$F54)))))</f>
        <v/>
      </c>
      <c r="M54" s="54">
        <f>IF($B54=0,NA(),IF($G54="",NA(),IF(G$8="",NA(),IF(N(G$8)=0,NA(),IF(Inputs!$C$17="Rebased to 100",$G54/G$8*100,$G54)))))</f>
        <v/>
      </c>
      <c r="N54" s="54">
        <f>IF($B54=0,NA(),IF(Inputs!$C$18&lt;&gt;"Yes",NA(),IF(COUNT(I54,J54,K54,L54,M54)=0,NA(),MIN(I54,J54,K54,L54,M54))))</f>
        <v/>
      </c>
      <c r="O54" s="54">
        <f>IF($B54=0,NA(),IF(Inputs!$B$24&lt;&gt;"Yes",NA(),Inputs!$D$24*Inputs!$C$35))</f>
        <v/>
      </c>
      <c r="P54" s="54">
        <f>IF($B54=0,NA(),IF(Inputs!$B$25&lt;&gt;"Yes",NA(),Inputs!$D$25*Inputs!$C$35))</f>
        <v/>
      </c>
      <c r="Q54" s="54">
        <f>IF($B54=0,NA(),IF(Inputs!$B$26&lt;&gt;"Yes",NA(),Inputs!$D$26*Inputs!$C$35))</f>
        <v/>
      </c>
      <c r="R54" s="54">
        <f>IF($B54=0,NA(),IF(Inputs!$B$27&lt;&gt;"Yes",NA(),Inputs!$D$27*Inputs!$C$35))</f>
        <v/>
      </c>
      <c r="S54" s="54">
        <f>IF($B54=0,NA(),IF(Inputs!$B$28&lt;&gt;"Yes",NA(),Inputs!$D$28*Inputs!$C$35))</f>
        <v/>
      </c>
      <c r="T54" s="54">
        <f>IF($B54=0,NA(),IF(Inputs!$B$29&lt;&gt;"Yes",NA(),Inputs!$D$29*Inputs!$C$35))</f>
        <v/>
      </c>
      <c r="AD54">
        <f>IF($B54=0,0,IF(Inputs!$B$6="",0,COUNTIFS(Data!$A$10:$A$3209,"&gt;="&amp;$A54,Data!$A$10:$A$3209,"&lt;"&amp;$A54+1)))</f>
        <v/>
      </c>
      <c r="AE54">
        <f>IF($B54=0,0,IF(Inputs!$B$7="",0,COUNTIFS(Data!$E$10:$E$3209,"&gt;="&amp;$A54,Data!$E$10:$E$3209,"&lt;"&amp;$A54+1)))</f>
        <v/>
      </c>
      <c r="AF54">
        <f>IF($B54=0,0,IF(Inputs!$B$8="",0,COUNTIFS(Data!$I$10:$I$3209,"&gt;="&amp;$A54,Data!$I$10:$I$3209,"&lt;"&amp;$A54+1)))</f>
        <v/>
      </c>
      <c r="AG54">
        <f>IF($B54=0,0,IF(Inputs!$B$9="",0,COUNTIFS(Data!$M$10:$M$3209,"&gt;="&amp;$A54,Data!$M$10:$M$3209,"&lt;"&amp;$A54+1)))</f>
        <v/>
      </c>
      <c r="AH54">
        <f>IF($B54=0,0,IF(Inputs!$B$10="",0,COUNTIFS(Data!$Q$10:$Q$3209,"&gt;="&amp;$A54,Data!$Q$10:$Q$3209,"&lt;"&amp;$A54+1)))</f>
        <v/>
      </c>
    </row>
    <row r="55">
      <c r="A55" s="55">
        <f>MIN(Inputs!$C$15,$A54+IF(WEEKDAY($A54,2)=5,3,1))</f>
        <v/>
      </c>
      <c r="B55">
        <f>IF($A55&gt;$A54,1,0)</f>
        <v/>
      </c>
      <c r="C55" s="56">
        <f>IF($B55=0,"",IF(Inputs!$B$6="","",IF($AD55=0,C54,SUMIFS(Data!$B$10:$B$3209,Data!$A$10:$A$3209,"&gt;="&amp;$A55,Data!$A$10:$A$3209,"&lt;"&amp;$A55+1)/$AD55)))</f>
        <v/>
      </c>
      <c r="D55" s="56">
        <f>IF($B55=0,"",IF(Inputs!$B$7="","",IF($AE55=0,D54,SUMIFS(Data!$F$10:$F$3209,Data!$E$10:$E$3209,"&gt;="&amp;$A55,Data!$E$10:$E$3209,"&lt;"&amp;$A55+1)/$AE55)))</f>
        <v/>
      </c>
      <c r="E55" s="56">
        <f>IF($B55=0,"",IF(Inputs!$B$8="","",IF($AF55=0,E54,SUMIFS(Data!$J$10:$J$3209,Data!$I$10:$I$3209,"&gt;="&amp;$A55,Data!$I$10:$I$3209,"&lt;"&amp;$A55+1)/$AF55)))</f>
        <v/>
      </c>
      <c r="F55" s="56">
        <f>IF($B55=0,"",IF(Inputs!$B$9="","",IF($AG55=0,F54,SUMIFS(Data!$N$10:$N$3209,Data!$M$10:$M$3209,"&gt;="&amp;$A55,Data!$M$10:$M$3209,"&lt;"&amp;$A55+1)/$AG55)))</f>
        <v/>
      </c>
      <c r="G55" s="56">
        <f>IF($B55=0,"",IF(Inputs!$B$10="","",IF($AH55=0,G54,SUMIFS(Data!$R$10:$R$3209,Data!$Q$10:$Q$3209,"&gt;="&amp;$A55,Data!$Q$10:$Q$3209,"&lt;"&amp;$A55+1)/$AH55)))</f>
        <v/>
      </c>
      <c r="I55" s="54">
        <f>IF($B55=0,NA(),IF($C55="",NA(),IF(C$8="",NA(),IF(N(C$8)=0,NA(),IF(Inputs!$C$17="Rebased to 100",$C55/C$8*100,$C55)))))</f>
        <v/>
      </c>
      <c r="J55" s="54">
        <f>IF($B55=0,NA(),IF($D55="",NA(),IF(D$8="",NA(),IF(N(D$8)=0,NA(),IF(Inputs!$C$17="Rebased to 100",$D55/D$8*100,$D55)))))</f>
        <v/>
      </c>
      <c r="K55" s="54">
        <f>IF($B55=0,NA(),IF($E55="",NA(),IF(E$8="",NA(),IF(N(E$8)=0,NA(),IF(Inputs!$C$17="Rebased to 100",$E55/E$8*100,$E55)))))</f>
        <v/>
      </c>
      <c r="L55" s="54">
        <f>IF($B55=0,NA(),IF($F55="",NA(),IF(F$8="",NA(),IF(N(F$8)=0,NA(),IF(Inputs!$C$17="Rebased to 100",$F55/F$8*100,$F55)))))</f>
        <v/>
      </c>
      <c r="M55" s="54">
        <f>IF($B55=0,NA(),IF($G55="",NA(),IF(G$8="",NA(),IF(N(G$8)=0,NA(),IF(Inputs!$C$17="Rebased to 100",$G55/G$8*100,$G55)))))</f>
        <v/>
      </c>
      <c r="N55" s="54">
        <f>IF($B55=0,NA(),IF(Inputs!$C$18&lt;&gt;"Yes",NA(),IF(COUNT(I55,J55,K55,L55,M55)=0,NA(),MIN(I55,J55,K55,L55,M55))))</f>
        <v/>
      </c>
      <c r="O55" s="54">
        <f>IF($B55=0,NA(),IF(Inputs!$B$24&lt;&gt;"Yes",NA(),Inputs!$D$24*Inputs!$C$35))</f>
        <v/>
      </c>
      <c r="P55" s="54">
        <f>IF($B55=0,NA(),IF(Inputs!$B$25&lt;&gt;"Yes",NA(),Inputs!$D$25*Inputs!$C$35))</f>
        <v/>
      </c>
      <c r="Q55" s="54">
        <f>IF($B55=0,NA(),IF(Inputs!$B$26&lt;&gt;"Yes",NA(),Inputs!$D$26*Inputs!$C$35))</f>
        <v/>
      </c>
      <c r="R55" s="54">
        <f>IF($B55=0,NA(),IF(Inputs!$B$27&lt;&gt;"Yes",NA(),Inputs!$D$27*Inputs!$C$35))</f>
        <v/>
      </c>
      <c r="S55" s="54">
        <f>IF($B55=0,NA(),IF(Inputs!$B$28&lt;&gt;"Yes",NA(),Inputs!$D$28*Inputs!$C$35))</f>
        <v/>
      </c>
      <c r="T55" s="54">
        <f>IF($B55=0,NA(),IF(Inputs!$B$29&lt;&gt;"Yes",NA(),Inputs!$D$29*Inputs!$C$35))</f>
        <v/>
      </c>
      <c r="AD55">
        <f>IF($B55=0,0,IF(Inputs!$B$6="",0,COUNTIFS(Data!$A$10:$A$3209,"&gt;="&amp;$A55,Data!$A$10:$A$3209,"&lt;"&amp;$A55+1)))</f>
        <v/>
      </c>
      <c r="AE55">
        <f>IF($B55=0,0,IF(Inputs!$B$7="",0,COUNTIFS(Data!$E$10:$E$3209,"&gt;="&amp;$A55,Data!$E$10:$E$3209,"&lt;"&amp;$A55+1)))</f>
        <v/>
      </c>
      <c r="AF55">
        <f>IF($B55=0,0,IF(Inputs!$B$8="",0,COUNTIFS(Data!$I$10:$I$3209,"&gt;="&amp;$A55,Data!$I$10:$I$3209,"&lt;"&amp;$A55+1)))</f>
        <v/>
      </c>
      <c r="AG55">
        <f>IF($B55=0,0,IF(Inputs!$B$9="",0,COUNTIFS(Data!$M$10:$M$3209,"&gt;="&amp;$A55,Data!$M$10:$M$3209,"&lt;"&amp;$A55+1)))</f>
        <v/>
      </c>
      <c r="AH55">
        <f>IF($B55=0,0,IF(Inputs!$B$10="",0,COUNTIFS(Data!$Q$10:$Q$3209,"&gt;="&amp;$A55,Data!$Q$10:$Q$3209,"&lt;"&amp;$A55+1)))</f>
        <v/>
      </c>
    </row>
    <row r="56">
      <c r="A56" s="55">
        <f>MIN(Inputs!$C$15,$A55+IF(WEEKDAY($A55,2)=5,3,1))</f>
        <v/>
      </c>
      <c r="B56">
        <f>IF($A56&gt;$A55,1,0)</f>
        <v/>
      </c>
      <c r="C56" s="56">
        <f>IF($B56=0,"",IF(Inputs!$B$6="","",IF($AD56=0,C55,SUMIFS(Data!$B$10:$B$3209,Data!$A$10:$A$3209,"&gt;="&amp;$A56,Data!$A$10:$A$3209,"&lt;"&amp;$A56+1)/$AD56)))</f>
        <v/>
      </c>
      <c r="D56" s="56">
        <f>IF($B56=0,"",IF(Inputs!$B$7="","",IF($AE56=0,D55,SUMIFS(Data!$F$10:$F$3209,Data!$E$10:$E$3209,"&gt;="&amp;$A56,Data!$E$10:$E$3209,"&lt;"&amp;$A56+1)/$AE56)))</f>
        <v/>
      </c>
      <c r="E56" s="56">
        <f>IF($B56=0,"",IF(Inputs!$B$8="","",IF($AF56=0,E55,SUMIFS(Data!$J$10:$J$3209,Data!$I$10:$I$3209,"&gt;="&amp;$A56,Data!$I$10:$I$3209,"&lt;"&amp;$A56+1)/$AF56)))</f>
        <v/>
      </c>
      <c r="F56" s="56">
        <f>IF($B56=0,"",IF(Inputs!$B$9="","",IF($AG56=0,F55,SUMIFS(Data!$N$10:$N$3209,Data!$M$10:$M$3209,"&gt;="&amp;$A56,Data!$M$10:$M$3209,"&lt;"&amp;$A56+1)/$AG56)))</f>
        <v/>
      </c>
      <c r="G56" s="56">
        <f>IF($B56=0,"",IF(Inputs!$B$10="","",IF($AH56=0,G55,SUMIFS(Data!$R$10:$R$3209,Data!$Q$10:$Q$3209,"&gt;="&amp;$A56,Data!$Q$10:$Q$3209,"&lt;"&amp;$A56+1)/$AH56)))</f>
        <v/>
      </c>
      <c r="I56" s="54">
        <f>IF($B56=0,NA(),IF($C56="",NA(),IF(C$8="",NA(),IF(N(C$8)=0,NA(),IF(Inputs!$C$17="Rebased to 100",$C56/C$8*100,$C56)))))</f>
        <v/>
      </c>
      <c r="J56" s="54">
        <f>IF($B56=0,NA(),IF($D56="",NA(),IF(D$8="",NA(),IF(N(D$8)=0,NA(),IF(Inputs!$C$17="Rebased to 100",$D56/D$8*100,$D56)))))</f>
        <v/>
      </c>
      <c r="K56" s="54">
        <f>IF($B56=0,NA(),IF($E56="",NA(),IF(E$8="",NA(),IF(N(E$8)=0,NA(),IF(Inputs!$C$17="Rebased to 100",$E56/E$8*100,$E56)))))</f>
        <v/>
      </c>
      <c r="L56" s="54">
        <f>IF($B56=0,NA(),IF($F56="",NA(),IF(F$8="",NA(),IF(N(F$8)=0,NA(),IF(Inputs!$C$17="Rebased to 100",$F56/F$8*100,$F56)))))</f>
        <v/>
      </c>
      <c r="M56" s="54">
        <f>IF($B56=0,NA(),IF($G56="",NA(),IF(G$8="",NA(),IF(N(G$8)=0,NA(),IF(Inputs!$C$17="Rebased to 100",$G56/G$8*100,$G56)))))</f>
        <v/>
      </c>
      <c r="N56" s="54">
        <f>IF($B56=0,NA(),IF(Inputs!$C$18&lt;&gt;"Yes",NA(),IF(COUNT(I56,J56,K56,L56,M56)=0,NA(),MIN(I56,J56,K56,L56,M56))))</f>
        <v/>
      </c>
      <c r="O56" s="54">
        <f>IF($B56=0,NA(),IF(Inputs!$B$24&lt;&gt;"Yes",NA(),Inputs!$D$24*Inputs!$C$35))</f>
        <v/>
      </c>
      <c r="P56" s="54">
        <f>IF($B56=0,NA(),IF(Inputs!$B$25&lt;&gt;"Yes",NA(),Inputs!$D$25*Inputs!$C$35))</f>
        <v/>
      </c>
      <c r="Q56" s="54">
        <f>IF($B56=0,NA(),IF(Inputs!$B$26&lt;&gt;"Yes",NA(),Inputs!$D$26*Inputs!$C$35))</f>
        <v/>
      </c>
      <c r="R56" s="54">
        <f>IF($B56=0,NA(),IF(Inputs!$B$27&lt;&gt;"Yes",NA(),Inputs!$D$27*Inputs!$C$35))</f>
        <v/>
      </c>
      <c r="S56" s="54">
        <f>IF($B56=0,NA(),IF(Inputs!$B$28&lt;&gt;"Yes",NA(),Inputs!$D$28*Inputs!$C$35))</f>
        <v/>
      </c>
      <c r="T56" s="54">
        <f>IF($B56=0,NA(),IF(Inputs!$B$29&lt;&gt;"Yes",NA(),Inputs!$D$29*Inputs!$C$35))</f>
        <v/>
      </c>
      <c r="AD56">
        <f>IF($B56=0,0,IF(Inputs!$B$6="",0,COUNTIFS(Data!$A$10:$A$3209,"&gt;="&amp;$A56,Data!$A$10:$A$3209,"&lt;"&amp;$A56+1)))</f>
        <v/>
      </c>
      <c r="AE56">
        <f>IF($B56=0,0,IF(Inputs!$B$7="",0,COUNTIFS(Data!$E$10:$E$3209,"&gt;="&amp;$A56,Data!$E$10:$E$3209,"&lt;"&amp;$A56+1)))</f>
        <v/>
      </c>
      <c r="AF56">
        <f>IF($B56=0,0,IF(Inputs!$B$8="",0,COUNTIFS(Data!$I$10:$I$3209,"&gt;="&amp;$A56,Data!$I$10:$I$3209,"&lt;"&amp;$A56+1)))</f>
        <v/>
      </c>
      <c r="AG56">
        <f>IF($B56=0,0,IF(Inputs!$B$9="",0,COUNTIFS(Data!$M$10:$M$3209,"&gt;="&amp;$A56,Data!$M$10:$M$3209,"&lt;"&amp;$A56+1)))</f>
        <v/>
      </c>
      <c r="AH56">
        <f>IF($B56=0,0,IF(Inputs!$B$10="",0,COUNTIFS(Data!$Q$10:$Q$3209,"&gt;="&amp;$A56,Data!$Q$10:$Q$3209,"&lt;"&amp;$A56+1)))</f>
        <v/>
      </c>
    </row>
    <row r="57">
      <c r="A57" s="55">
        <f>MIN(Inputs!$C$15,$A56+IF(WEEKDAY($A56,2)=5,3,1))</f>
        <v/>
      </c>
      <c r="B57">
        <f>IF($A57&gt;$A56,1,0)</f>
        <v/>
      </c>
      <c r="C57" s="56">
        <f>IF($B57=0,"",IF(Inputs!$B$6="","",IF($AD57=0,C56,SUMIFS(Data!$B$10:$B$3209,Data!$A$10:$A$3209,"&gt;="&amp;$A57,Data!$A$10:$A$3209,"&lt;"&amp;$A57+1)/$AD57)))</f>
        <v/>
      </c>
      <c r="D57" s="56">
        <f>IF($B57=0,"",IF(Inputs!$B$7="","",IF($AE57=0,D56,SUMIFS(Data!$F$10:$F$3209,Data!$E$10:$E$3209,"&gt;="&amp;$A57,Data!$E$10:$E$3209,"&lt;"&amp;$A57+1)/$AE57)))</f>
        <v/>
      </c>
      <c r="E57" s="56">
        <f>IF($B57=0,"",IF(Inputs!$B$8="","",IF($AF57=0,E56,SUMIFS(Data!$J$10:$J$3209,Data!$I$10:$I$3209,"&gt;="&amp;$A57,Data!$I$10:$I$3209,"&lt;"&amp;$A57+1)/$AF57)))</f>
        <v/>
      </c>
      <c r="F57" s="56">
        <f>IF($B57=0,"",IF(Inputs!$B$9="","",IF($AG57=0,F56,SUMIFS(Data!$N$10:$N$3209,Data!$M$10:$M$3209,"&gt;="&amp;$A57,Data!$M$10:$M$3209,"&lt;"&amp;$A57+1)/$AG57)))</f>
        <v/>
      </c>
      <c r="G57" s="56">
        <f>IF($B57=0,"",IF(Inputs!$B$10="","",IF($AH57=0,G56,SUMIFS(Data!$R$10:$R$3209,Data!$Q$10:$Q$3209,"&gt;="&amp;$A57,Data!$Q$10:$Q$3209,"&lt;"&amp;$A57+1)/$AH57)))</f>
        <v/>
      </c>
      <c r="I57" s="54">
        <f>IF($B57=0,NA(),IF($C57="",NA(),IF(C$8="",NA(),IF(N(C$8)=0,NA(),IF(Inputs!$C$17="Rebased to 100",$C57/C$8*100,$C57)))))</f>
        <v/>
      </c>
      <c r="J57" s="54">
        <f>IF($B57=0,NA(),IF($D57="",NA(),IF(D$8="",NA(),IF(N(D$8)=0,NA(),IF(Inputs!$C$17="Rebased to 100",$D57/D$8*100,$D57)))))</f>
        <v/>
      </c>
      <c r="K57" s="54">
        <f>IF($B57=0,NA(),IF($E57="",NA(),IF(E$8="",NA(),IF(N(E$8)=0,NA(),IF(Inputs!$C$17="Rebased to 100",$E57/E$8*100,$E57)))))</f>
        <v/>
      </c>
      <c r="L57" s="54">
        <f>IF($B57=0,NA(),IF($F57="",NA(),IF(F$8="",NA(),IF(N(F$8)=0,NA(),IF(Inputs!$C$17="Rebased to 100",$F57/F$8*100,$F57)))))</f>
        <v/>
      </c>
      <c r="M57" s="54">
        <f>IF($B57=0,NA(),IF($G57="",NA(),IF(G$8="",NA(),IF(N(G$8)=0,NA(),IF(Inputs!$C$17="Rebased to 100",$G57/G$8*100,$G57)))))</f>
        <v/>
      </c>
      <c r="N57" s="54">
        <f>IF($B57=0,NA(),IF(Inputs!$C$18&lt;&gt;"Yes",NA(),IF(COUNT(I57,J57,K57,L57,M57)=0,NA(),MIN(I57,J57,K57,L57,M57))))</f>
        <v/>
      </c>
      <c r="O57" s="54">
        <f>IF($B57=0,NA(),IF(Inputs!$B$24&lt;&gt;"Yes",NA(),Inputs!$D$24*Inputs!$C$35))</f>
        <v/>
      </c>
      <c r="P57" s="54">
        <f>IF($B57=0,NA(),IF(Inputs!$B$25&lt;&gt;"Yes",NA(),Inputs!$D$25*Inputs!$C$35))</f>
        <v/>
      </c>
      <c r="Q57" s="54">
        <f>IF($B57=0,NA(),IF(Inputs!$B$26&lt;&gt;"Yes",NA(),Inputs!$D$26*Inputs!$C$35))</f>
        <v/>
      </c>
      <c r="R57" s="54">
        <f>IF($B57=0,NA(),IF(Inputs!$B$27&lt;&gt;"Yes",NA(),Inputs!$D$27*Inputs!$C$35))</f>
        <v/>
      </c>
      <c r="S57" s="54">
        <f>IF($B57=0,NA(),IF(Inputs!$B$28&lt;&gt;"Yes",NA(),Inputs!$D$28*Inputs!$C$35))</f>
        <v/>
      </c>
      <c r="T57" s="54">
        <f>IF($B57=0,NA(),IF(Inputs!$B$29&lt;&gt;"Yes",NA(),Inputs!$D$29*Inputs!$C$35))</f>
        <v/>
      </c>
      <c r="AD57">
        <f>IF($B57=0,0,IF(Inputs!$B$6="",0,COUNTIFS(Data!$A$10:$A$3209,"&gt;="&amp;$A57,Data!$A$10:$A$3209,"&lt;"&amp;$A57+1)))</f>
        <v/>
      </c>
      <c r="AE57">
        <f>IF($B57=0,0,IF(Inputs!$B$7="",0,COUNTIFS(Data!$E$10:$E$3209,"&gt;="&amp;$A57,Data!$E$10:$E$3209,"&lt;"&amp;$A57+1)))</f>
        <v/>
      </c>
      <c r="AF57">
        <f>IF($B57=0,0,IF(Inputs!$B$8="",0,COUNTIFS(Data!$I$10:$I$3209,"&gt;="&amp;$A57,Data!$I$10:$I$3209,"&lt;"&amp;$A57+1)))</f>
        <v/>
      </c>
      <c r="AG57">
        <f>IF($B57=0,0,IF(Inputs!$B$9="",0,COUNTIFS(Data!$M$10:$M$3209,"&gt;="&amp;$A57,Data!$M$10:$M$3209,"&lt;"&amp;$A57+1)))</f>
        <v/>
      </c>
      <c r="AH57">
        <f>IF($B57=0,0,IF(Inputs!$B$10="",0,COUNTIFS(Data!$Q$10:$Q$3209,"&gt;="&amp;$A57,Data!$Q$10:$Q$3209,"&lt;"&amp;$A57+1)))</f>
        <v/>
      </c>
    </row>
    <row r="58">
      <c r="A58" s="55">
        <f>MIN(Inputs!$C$15,$A57+IF(WEEKDAY($A57,2)=5,3,1))</f>
        <v/>
      </c>
      <c r="B58">
        <f>IF($A58&gt;$A57,1,0)</f>
        <v/>
      </c>
      <c r="C58" s="56">
        <f>IF($B58=0,"",IF(Inputs!$B$6="","",IF($AD58=0,C57,SUMIFS(Data!$B$10:$B$3209,Data!$A$10:$A$3209,"&gt;="&amp;$A58,Data!$A$10:$A$3209,"&lt;"&amp;$A58+1)/$AD58)))</f>
        <v/>
      </c>
      <c r="D58" s="56">
        <f>IF($B58=0,"",IF(Inputs!$B$7="","",IF($AE58=0,D57,SUMIFS(Data!$F$10:$F$3209,Data!$E$10:$E$3209,"&gt;="&amp;$A58,Data!$E$10:$E$3209,"&lt;"&amp;$A58+1)/$AE58)))</f>
        <v/>
      </c>
      <c r="E58" s="56">
        <f>IF($B58=0,"",IF(Inputs!$B$8="","",IF($AF58=0,E57,SUMIFS(Data!$J$10:$J$3209,Data!$I$10:$I$3209,"&gt;="&amp;$A58,Data!$I$10:$I$3209,"&lt;"&amp;$A58+1)/$AF58)))</f>
        <v/>
      </c>
      <c r="F58" s="56">
        <f>IF($B58=0,"",IF(Inputs!$B$9="","",IF($AG58=0,F57,SUMIFS(Data!$N$10:$N$3209,Data!$M$10:$M$3209,"&gt;="&amp;$A58,Data!$M$10:$M$3209,"&lt;"&amp;$A58+1)/$AG58)))</f>
        <v/>
      </c>
      <c r="G58" s="56">
        <f>IF($B58=0,"",IF(Inputs!$B$10="","",IF($AH58=0,G57,SUMIFS(Data!$R$10:$R$3209,Data!$Q$10:$Q$3209,"&gt;="&amp;$A58,Data!$Q$10:$Q$3209,"&lt;"&amp;$A58+1)/$AH58)))</f>
        <v/>
      </c>
      <c r="I58" s="54">
        <f>IF($B58=0,NA(),IF($C58="",NA(),IF(C$8="",NA(),IF(N(C$8)=0,NA(),IF(Inputs!$C$17="Rebased to 100",$C58/C$8*100,$C58)))))</f>
        <v/>
      </c>
      <c r="J58" s="54">
        <f>IF($B58=0,NA(),IF($D58="",NA(),IF(D$8="",NA(),IF(N(D$8)=0,NA(),IF(Inputs!$C$17="Rebased to 100",$D58/D$8*100,$D58)))))</f>
        <v/>
      </c>
      <c r="K58" s="54">
        <f>IF($B58=0,NA(),IF($E58="",NA(),IF(E$8="",NA(),IF(N(E$8)=0,NA(),IF(Inputs!$C$17="Rebased to 100",$E58/E$8*100,$E58)))))</f>
        <v/>
      </c>
      <c r="L58" s="54">
        <f>IF($B58=0,NA(),IF($F58="",NA(),IF(F$8="",NA(),IF(N(F$8)=0,NA(),IF(Inputs!$C$17="Rebased to 100",$F58/F$8*100,$F58)))))</f>
        <v/>
      </c>
      <c r="M58" s="54">
        <f>IF($B58=0,NA(),IF($G58="",NA(),IF(G$8="",NA(),IF(N(G$8)=0,NA(),IF(Inputs!$C$17="Rebased to 100",$G58/G$8*100,$G58)))))</f>
        <v/>
      </c>
      <c r="N58" s="54">
        <f>IF($B58=0,NA(),IF(Inputs!$C$18&lt;&gt;"Yes",NA(),IF(COUNT(I58,J58,K58,L58,M58)=0,NA(),MIN(I58,J58,K58,L58,M58))))</f>
        <v/>
      </c>
      <c r="O58" s="54">
        <f>IF($B58=0,NA(),IF(Inputs!$B$24&lt;&gt;"Yes",NA(),Inputs!$D$24*Inputs!$C$35))</f>
        <v/>
      </c>
      <c r="P58" s="54">
        <f>IF($B58=0,NA(),IF(Inputs!$B$25&lt;&gt;"Yes",NA(),Inputs!$D$25*Inputs!$C$35))</f>
        <v/>
      </c>
      <c r="Q58" s="54">
        <f>IF($B58=0,NA(),IF(Inputs!$B$26&lt;&gt;"Yes",NA(),Inputs!$D$26*Inputs!$C$35))</f>
        <v/>
      </c>
      <c r="R58" s="54">
        <f>IF($B58=0,NA(),IF(Inputs!$B$27&lt;&gt;"Yes",NA(),Inputs!$D$27*Inputs!$C$35))</f>
        <v/>
      </c>
      <c r="S58" s="54">
        <f>IF($B58=0,NA(),IF(Inputs!$B$28&lt;&gt;"Yes",NA(),Inputs!$D$28*Inputs!$C$35))</f>
        <v/>
      </c>
      <c r="T58" s="54">
        <f>IF($B58=0,NA(),IF(Inputs!$B$29&lt;&gt;"Yes",NA(),Inputs!$D$29*Inputs!$C$35))</f>
        <v/>
      </c>
      <c r="AD58">
        <f>IF($B58=0,0,IF(Inputs!$B$6="",0,COUNTIFS(Data!$A$10:$A$3209,"&gt;="&amp;$A58,Data!$A$10:$A$3209,"&lt;"&amp;$A58+1)))</f>
        <v/>
      </c>
      <c r="AE58">
        <f>IF($B58=0,0,IF(Inputs!$B$7="",0,COUNTIFS(Data!$E$10:$E$3209,"&gt;="&amp;$A58,Data!$E$10:$E$3209,"&lt;"&amp;$A58+1)))</f>
        <v/>
      </c>
      <c r="AF58">
        <f>IF($B58=0,0,IF(Inputs!$B$8="",0,COUNTIFS(Data!$I$10:$I$3209,"&gt;="&amp;$A58,Data!$I$10:$I$3209,"&lt;"&amp;$A58+1)))</f>
        <v/>
      </c>
      <c r="AG58">
        <f>IF($B58=0,0,IF(Inputs!$B$9="",0,COUNTIFS(Data!$M$10:$M$3209,"&gt;="&amp;$A58,Data!$M$10:$M$3209,"&lt;"&amp;$A58+1)))</f>
        <v/>
      </c>
      <c r="AH58">
        <f>IF($B58=0,0,IF(Inputs!$B$10="",0,COUNTIFS(Data!$Q$10:$Q$3209,"&gt;="&amp;$A58,Data!$Q$10:$Q$3209,"&lt;"&amp;$A58+1)))</f>
        <v/>
      </c>
    </row>
    <row r="59">
      <c r="A59" s="55">
        <f>MIN(Inputs!$C$15,$A58+IF(WEEKDAY($A58,2)=5,3,1))</f>
        <v/>
      </c>
      <c r="B59">
        <f>IF($A59&gt;$A58,1,0)</f>
        <v/>
      </c>
      <c r="C59" s="56">
        <f>IF($B59=0,"",IF(Inputs!$B$6="","",IF($AD59=0,C58,SUMIFS(Data!$B$10:$B$3209,Data!$A$10:$A$3209,"&gt;="&amp;$A59,Data!$A$10:$A$3209,"&lt;"&amp;$A59+1)/$AD59)))</f>
        <v/>
      </c>
      <c r="D59" s="56">
        <f>IF($B59=0,"",IF(Inputs!$B$7="","",IF($AE59=0,D58,SUMIFS(Data!$F$10:$F$3209,Data!$E$10:$E$3209,"&gt;="&amp;$A59,Data!$E$10:$E$3209,"&lt;"&amp;$A59+1)/$AE59)))</f>
        <v/>
      </c>
      <c r="E59" s="56">
        <f>IF($B59=0,"",IF(Inputs!$B$8="","",IF($AF59=0,E58,SUMIFS(Data!$J$10:$J$3209,Data!$I$10:$I$3209,"&gt;="&amp;$A59,Data!$I$10:$I$3209,"&lt;"&amp;$A59+1)/$AF59)))</f>
        <v/>
      </c>
      <c r="F59" s="56">
        <f>IF($B59=0,"",IF(Inputs!$B$9="","",IF($AG59=0,F58,SUMIFS(Data!$N$10:$N$3209,Data!$M$10:$M$3209,"&gt;="&amp;$A59,Data!$M$10:$M$3209,"&lt;"&amp;$A59+1)/$AG59)))</f>
        <v/>
      </c>
      <c r="G59" s="56">
        <f>IF($B59=0,"",IF(Inputs!$B$10="","",IF($AH59=0,G58,SUMIFS(Data!$R$10:$R$3209,Data!$Q$10:$Q$3209,"&gt;="&amp;$A59,Data!$Q$10:$Q$3209,"&lt;"&amp;$A59+1)/$AH59)))</f>
        <v/>
      </c>
      <c r="I59" s="54">
        <f>IF($B59=0,NA(),IF($C59="",NA(),IF(C$8="",NA(),IF(N(C$8)=0,NA(),IF(Inputs!$C$17="Rebased to 100",$C59/C$8*100,$C59)))))</f>
        <v/>
      </c>
      <c r="J59" s="54">
        <f>IF($B59=0,NA(),IF($D59="",NA(),IF(D$8="",NA(),IF(N(D$8)=0,NA(),IF(Inputs!$C$17="Rebased to 100",$D59/D$8*100,$D59)))))</f>
        <v/>
      </c>
      <c r="K59" s="54">
        <f>IF($B59=0,NA(),IF($E59="",NA(),IF(E$8="",NA(),IF(N(E$8)=0,NA(),IF(Inputs!$C$17="Rebased to 100",$E59/E$8*100,$E59)))))</f>
        <v/>
      </c>
      <c r="L59" s="54">
        <f>IF($B59=0,NA(),IF($F59="",NA(),IF(F$8="",NA(),IF(N(F$8)=0,NA(),IF(Inputs!$C$17="Rebased to 100",$F59/F$8*100,$F59)))))</f>
        <v/>
      </c>
      <c r="M59" s="54">
        <f>IF($B59=0,NA(),IF($G59="",NA(),IF(G$8="",NA(),IF(N(G$8)=0,NA(),IF(Inputs!$C$17="Rebased to 100",$G59/G$8*100,$G59)))))</f>
        <v/>
      </c>
      <c r="N59" s="54">
        <f>IF($B59=0,NA(),IF(Inputs!$C$18&lt;&gt;"Yes",NA(),IF(COUNT(I59,J59,K59,L59,M59)=0,NA(),MIN(I59,J59,K59,L59,M59))))</f>
        <v/>
      </c>
      <c r="O59" s="54">
        <f>IF($B59=0,NA(),IF(Inputs!$B$24&lt;&gt;"Yes",NA(),Inputs!$D$24*Inputs!$C$35))</f>
        <v/>
      </c>
      <c r="P59" s="54">
        <f>IF($B59=0,NA(),IF(Inputs!$B$25&lt;&gt;"Yes",NA(),Inputs!$D$25*Inputs!$C$35))</f>
        <v/>
      </c>
      <c r="Q59" s="54">
        <f>IF($B59=0,NA(),IF(Inputs!$B$26&lt;&gt;"Yes",NA(),Inputs!$D$26*Inputs!$C$35))</f>
        <v/>
      </c>
      <c r="R59" s="54">
        <f>IF($B59=0,NA(),IF(Inputs!$B$27&lt;&gt;"Yes",NA(),Inputs!$D$27*Inputs!$C$35))</f>
        <v/>
      </c>
      <c r="S59" s="54">
        <f>IF($B59=0,NA(),IF(Inputs!$B$28&lt;&gt;"Yes",NA(),Inputs!$D$28*Inputs!$C$35))</f>
        <v/>
      </c>
      <c r="T59" s="54">
        <f>IF($B59=0,NA(),IF(Inputs!$B$29&lt;&gt;"Yes",NA(),Inputs!$D$29*Inputs!$C$35))</f>
        <v/>
      </c>
      <c r="AD59">
        <f>IF($B59=0,0,IF(Inputs!$B$6="",0,COUNTIFS(Data!$A$10:$A$3209,"&gt;="&amp;$A59,Data!$A$10:$A$3209,"&lt;"&amp;$A59+1)))</f>
        <v/>
      </c>
      <c r="AE59">
        <f>IF($B59=0,0,IF(Inputs!$B$7="",0,COUNTIFS(Data!$E$10:$E$3209,"&gt;="&amp;$A59,Data!$E$10:$E$3209,"&lt;"&amp;$A59+1)))</f>
        <v/>
      </c>
      <c r="AF59">
        <f>IF($B59=0,0,IF(Inputs!$B$8="",0,COUNTIFS(Data!$I$10:$I$3209,"&gt;="&amp;$A59,Data!$I$10:$I$3209,"&lt;"&amp;$A59+1)))</f>
        <v/>
      </c>
      <c r="AG59">
        <f>IF($B59=0,0,IF(Inputs!$B$9="",0,COUNTIFS(Data!$M$10:$M$3209,"&gt;="&amp;$A59,Data!$M$10:$M$3209,"&lt;"&amp;$A59+1)))</f>
        <v/>
      </c>
      <c r="AH59">
        <f>IF($B59=0,0,IF(Inputs!$B$10="",0,COUNTIFS(Data!$Q$10:$Q$3209,"&gt;="&amp;$A59,Data!$Q$10:$Q$3209,"&lt;"&amp;$A59+1)))</f>
        <v/>
      </c>
    </row>
    <row r="60">
      <c r="A60" s="55">
        <f>MIN(Inputs!$C$15,$A59+IF(WEEKDAY($A59,2)=5,3,1))</f>
        <v/>
      </c>
      <c r="B60">
        <f>IF($A60&gt;$A59,1,0)</f>
        <v/>
      </c>
      <c r="C60" s="56">
        <f>IF($B60=0,"",IF(Inputs!$B$6="","",IF($AD60=0,C59,SUMIFS(Data!$B$10:$B$3209,Data!$A$10:$A$3209,"&gt;="&amp;$A60,Data!$A$10:$A$3209,"&lt;"&amp;$A60+1)/$AD60)))</f>
        <v/>
      </c>
      <c r="D60" s="56">
        <f>IF($B60=0,"",IF(Inputs!$B$7="","",IF($AE60=0,D59,SUMIFS(Data!$F$10:$F$3209,Data!$E$10:$E$3209,"&gt;="&amp;$A60,Data!$E$10:$E$3209,"&lt;"&amp;$A60+1)/$AE60)))</f>
        <v/>
      </c>
      <c r="E60" s="56">
        <f>IF($B60=0,"",IF(Inputs!$B$8="","",IF($AF60=0,E59,SUMIFS(Data!$J$10:$J$3209,Data!$I$10:$I$3209,"&gt;="&amp;$A60,Data!$I$10:$I$3209,"&lt;"&amp;$A60+1)/$AF60)))</f>
        <v/>
      </c>
      <c r="F60" s="56">
        <f>IF($B60=0,"",IF(Inputs!$B$9="","",IF($AG60=0,F59,SUMIFS(Data!$N$10:$N$3209,Data!$M$10:$M$3209,"&gt;="&amp;$A60,Data!$M$10:$M$3209,"&lt;"&amp;$A60+1)/$AG60)))</f>
        <v/>
      </c>
      <c r="G60" s="56">
        <f>IF($B60=0,"",IF(Inputs!$B$10="","",IF($AH60=0,G59,SUMIFS(Data!$R$10:$R$3209,Data!$Q$10:$Q$3209,"&gt;="&amp;$A60,Data!$Q$10:$Q$3209,"&lt;"&amp;$A60+1)/$AH60)))</f>
        <v/>
      </c>
      <c r="I60" s="54">
        <f>IF($B60=0,NA(),IF($C60="",NA(),IF(C$8="",NA(),IF(N(C$8)=0,NA(),IF(Inputs!$C$17="Rebased to 100",$C60/C$8*100,$C60)))))</f>
        <v/>
      </c>
      <c r="J60" s="54">
        <f>IF($B60=0,NA(),IF($D60="",NA(),IF(D$8="",NA(),IF(N(D$8)=0,NA(),IF(Inputs!$C$17="Rebased to 100",$D60/D$8*100,$D60)))))</f>
        <v/>
      </c>
      <c r="K60" s="54">
        <f>IF($B60=0,NA(),IF($E60="",NA(),IF(E$8="",NA(),IF(N(E$8)=0,NA(),IF(Inputs!$C$17="Rebased to 100",$E60/E$8*100,$E60)))))</f>
        <v/>
      </c>
      <c r="L60" s="54">
        <f>IF($B60=0,NA(),IF($F60="",NA(),IF(F$8="",NA(),IF(N(F$8)=0,NA(),IF(Inputs!$C$17="Rebased to 100",$F60/F$8*100,$F60)))))</f>
        <v/>
      </c>
      <c r="M60" s="54">
        <f>IF($B60=0,NA(),IF($G60="",NA(),IF(G$8="",NA(),IF(N(G$8)=0,NA(),IF(Inputs!$C$17="Rebased to 100",$G60/G$8*100,$G60)))))</f>
        <v/>
      </c>
      <c r="N60" s="54">
        <f>IF($B60=0,NA(),IF(Inputs!$C$18&lt;&gt;"Yes",NA(),IF(COUNT(I60,J60,K60,L60,M60)=0,NA(),MIN(I60,J60,K60,L60,M60))))</f>
        <v/>
      </c>
      <c r="O60" s="54">
        <f>IF($B60=0,NA(),IF(Inputs!$B$24&lt;&gt;"Yes",NA(),Inputs!$D$24*Inputs!$C$35))</f>
        <v/>
      </c>
      <c r="P60" s="54">
        <f>IF($B60=0,NA(),IF(Inputs!$B$25&lt;&gt;"Yes",NA(),Inputs!$D$25*Inputs!$C$35))</f>
        <v/>
      </c>
      <c r="Q60" s="54">
        <f>IF($B60=0,NA(),IF(Inputs!$B$26&lt;&gt;"Yes",NA(),Inputs!$D$26*Inputs!$C$35))</f>
        <v/>
      </c>
      <c r="R60" s="54">
        <f>IF($B60=0,NA(),IF(Inputs!$B$27&lt;&gt;"Yes",NA(),Inputs!$D$27*Inputs!$C$35))</f>
        <v/>
      </c>
      <c r="S60" s="54">
        <f>IF($B60=0,NA(),IF(Inputs!$B$28&lt;&gt;"Yes",NA(),Inputs!$D$28*Inputs!$C$35))</f>
        <v/>
      </c>
      <c r="T60" s="54">
        <f>IF($B60=0,NA(),IF(Inputs!$B$29&lt;&gt;"Yes",NA(),Inputs!$D$29*Inputs!$C$35))</f>
        <v/>
      </c>
      <c r="AD60">
        <f>IF($B60=0,0,IF(Inputs!$B$6="",0,COUNTIFS(Data!$A$10:$A$3209,"&gt;="&amp;$A60,Data!$A$10:$A$3209,"&lt;"&amp;$A60+1)))</f>
        <v/>
      </c>
      <c r="AE60">
        <f>IF($B60=0,0,IF(Inputs!$B$7="",0,COUNTIFS(Data!$E$10:$E$3209,"&gt;="&amp;$A60,Data!$E$10:$E$3209,"&lt;"&amp;$A60+1)))</f>
        <v/>
      </c>
      <c r="AF60">
        <f>IF($B60=0,0,IF(Inputs!$B$8="",0,COUNTIFS(Data!$I$10:$I$3209,"&gt;="&amp;$A60,Data!$I$10:$I$3209,"&lt;"&amp;$A60+1)))</f>
        <v/>
      </c>
      <c r="AG60">
        <f>IF($B60=0,0,IF(Inputs!$B$9="",0,COUNTIFS(Data!$M$10:$M$3209,"&gt;="&amp;$A60,Data!$M$10:$M$3209,"&lt;"&amp;$A60+1)))</f>
        <v/>
      </c>
      <c r="AH60">
        <f>IF($B60=0,0,IF(Inputs!$B$10="",0,COUNTIFS(Data!$Q$10:$Q$3209,"&gt;="&amp;$A60,Data!$Q$10:$Q$3209,"&lt;"&amp;$A60+1)))</f>
        <v/>
      </c>
    </row>
    <row r="61">
      <c r="A61" s="55">
        <f>MIN(Inputs!$C$15,$A60+IF(WEEKDAY($A60,2)=5,3,1))</f>
        <v/>
      </c>
      <c r="B61">
        <f>IF($A61&gt;$A60,1,0)</f>
        <v/>
      </c>
      <c r="C61" s="56">
        <f>IF($B61=0,"",IF(Inputs!$B$6="","",IF($AD61=0,C60,SUMIFS(Data!$B$10:$B$3209,Data!$A$10:$A$3209,"&gt;="&amp;$A61,Data!$A$10:$A$3209,"&lt;"&amp;$A61+1)/$AD61)))</f>
        <v/>
      </c>
      <c r="D61" s="56">
        <f>IF($B61=0,"",IF(Inputs!$B$7="","",IF($AE61=0,D60,SUMIFS(Data!$F$10:$F$3209,Data!$E$10:$E$3209,"&gt;="&amp;$A61,Data!$E$10:$E$3209,"&lt;"&amp;$A61+1)/$AE61)))</f>
        <v/>
      </c>
      <c r="E61" s="56">
        <f>IF($B61=0,"",IF(Inputs!$B$8="","",IF($AF61=0,E60,SUMIFS(Data!$J$10:$J$3209,Data!$I$10:$I$3209,"&gt;="&amp;$A61,Data!$I$10:$I$3209,"&lt;"&amp;$A61+1)/$AF61)))</f>
        <v/>
      </c>
      <c r="F61" s="56">
        <f>IF($B61=0,"",IF(Inputs!$B$9="","",IF($AG61=0,F60,SUMIFS(Data!$N$10:$N$3209,Data!$M$10:$M$3209,"&gt;="&amp;$A61,Data!$M$10:$M$3209,"&lt;"&amp;$A61+1)/$AG61)))</f>
        <v/>
      </c>
      <c r="G61" s="56">
        <f>IF($B61=0,"",IF(Inputs!$B$10="","",IF($AH61=0,G60,SUMIFS(Data!$R$10:$R$3209,Data!$Q$10:$Q$3209,"&gt;="&amp;$A61,Data!$Q$10:$Q$3209,"&lt;"&amp;$A61+1)/$AH61)))</f>
        <v/>
      </c>
      <c r="I61" s="54">
        <f>IF($B61=0,NA(),IF($C61="",NA(),IF(C$8="",NA(),IF(N(C$8)=0,NA(),IF(Inputs!$C$17="Rebased to 100",$C61/C$8*100,$C61)))))</f>
        <v/>
      </c>
      <c r="J61" s="54">
        <f>IF($B61=0,NA(),IF($D61="",NA(),IF(D$8="",NA(),IF(N(D$8)=0,NA(),IF(Inputs!$C$17="Rebased to 100",$D61/D$8*100,$D61)))))</f>
        <v/>
      </c>
      <c r="K61" s="54">
        <f>IF($B61=0,NA(),IF($E61="",NA(),IF(E$8="",NA(),IF(N(E$8)=0,NA(),IF(Inputs!$C$17="Rebased to 100",$E61/E$8*100,$E61)))))</f>
        <v/>
      </c>
      <c r="L61" s="54">
        <f>IF($B61=0,NA(),IF($F61="",NA(),IF(F$8="",NA(),IF(N(F$8)=0,NA(),IF(Inputs!$C$17="Rebased to 100",$F61/F$8*100,$F61)))))</f>
        <v/>
      </c>
      <c r="M61" s="54">
        <f>IF($B61=0,NA(),IF($G61="",NA(),IF(G$8="",NA(),IF(N(G$8)=0,NA(),IF(Inputs!$C$17="Rebased to 100",$G61/G$8*100,$G61)))))</f>
        <v/>
      </c>
      <c r="N61" s="54">
        <f>IF($B61=0,NA(),IF(Inputs!$C$18&lt;&gt;"Yes",NA(),IF(COUNT(I61,J61,K61,L61,M61)=0,NA(),MIN(I61,J61,K61,L61,M61))))</f>
        <v/>
      </c>
      <c r="O61" s="54">
        <f>IF($B61=0,NA(),IF(Inputs!$B$24&lt;&gt;"Yes",NA(),Inputs!$D$24*Inputs!$C$35))</f>
        <v/>
      </c>
      <c r="P61" s="54">
        <f>IF($B61=0,NA(),IF(Inputs!$B$25&lt;&gt;"Yes",NA(),Inputs!$D$25*Inputs!$C$35))</f>
        <v/>
      </c>
      <c r="Q61" s="54">
        <f>IF($B61=0,NA(),IF(Inputs!$B$26&lt;&gt;"Yes",NA(),Inputs!$D$26*Inputs!$C$35))</f>
        <v/>
      </c>
      <c r="R61" s="54">
        <f>IF($B61=0,NA(),IF(Inputs!$B$27&lt;&gt;"Yes",NA(),Inputs!$D$27*Inputs!$C$35))</f>
        <v/>
      </c>
      <c r="S61" s="54">
        <f>IF($B61=0,NA(),IF(Inputs!$B$28&lt;&gt;"Yes",NA(),Inputs!$D$28*Inputs!$C$35))</f>
        <v/>
      </c>
      <c r="T61" s="54">
        <f>IF($B61=0,NA(),IF(Inputs!$B$29&lt;&gt;"Yes",NA(),Inputs!$D$29*Inputs!$C$35))</f>
        <v/>
      </c>
      <c r="AD61">
        <f>IF($B61=0,0,IF(Inputs!$B$6="",0,COUNTIFS(Data!$A$10:$A$3209,"&gt;="&amp;$A61,Data!$A$10:$A$3209,"&lt;"&amp;$A61+1)))</f>
        <v/>
      </c>
      <c r="AE61">
        <f>IF($B61=0,0,IF(Inputs!$B$7="",0,COUNTIFS(Data!$E$10:$E$3209,"&gt;="&amp;$A61,Data!$E$10:$E$3209,"&lt;"&amp;$A61+1)))</f>
        <v/>
      </c>
      <c r="AF61">
        <f>IF($B61=0,0,IF(Inputs!$B$8="",0,COUNTIFS(Data!$I$10:$I$3209,"&gt;="&amp;$A61,Data!$I$10:$I$3209,"&lt;"&amp;$A61+1)))</f>
        <v/>
      </c>
      <c r="AG61">
        <f>IF($B61=0,0,IF(Inputs!$B$9="",0,COUNTIFS(Data!$M$10:$M$3209,"&gt;="&amp;$A61,Data!$M$10:$M$3209,"&lt;"&amp;$A61+1)))</f>
        <v/>
      </c>
      <c r="AH61">
        <f>IF($B61=0,0,IF(Inputs!$B$10="",0,COUNTIFS(Data!$Q$10:$Q$3209,"&gt;="&amp;$A61,Data!$Q$10:$Q$3209,"&lt;"&amp;$A61+1)))</f>
        <v/>
      </c>
    </row>
    <row r="62">
      <c r="A62" s="55">
        <f>MIN(Inputs!$C$15,$A61+IF(WEEKDAY($A61,2)=5,3,1))</f>
        <v/>
      </c>
      <c r="B62">
        <f>IF($A62&gt;$A61,1,0)</f>
        <v/>
      </c>
      <c r="C62" s="56">
        <f>IF($B62=0,"",IF(Inputs!$B$6="","",IF($AD62=0,C61,SUMIFS(Data!$B$10:$B$3209,Data!$A$10:$A$3209,"&gt;="&amp;$A62,Data!$A$10:$A$3209,"&lt;"&amp;$A62+1)/$AD62)))</f>
        <v/>
      </c>
      <c r="D62" s="56">
        <f>IF($B62=0,"",IF(Inputs!$B$7="","",IF($AE62=0,D61,SUMIFS(Data!$F$10:$F$3209,Data!$E$10:$E$3209,"&gt;="&amp;$A62,Data!$E$10:$E$3209,"&lt;"&amp;$A62+1)/$AE62)))</f>
        <v/>
      </c>
      <c r="E62" s="56">
        <f>IF($B62=0,"",IF(Inputs!$B$8="","",IF($AF62=0,E61,SUMIFS(Data!$J$10:$J$3209,Data!$I$10:$I$3209,"&gt;="&amp;$A62,Data!$I$10:$I$3209,"&lt;"&amp;$A62+1)/$AF62)))</f>
        <v/>
      </c>
      <c r="F62" s="56">
        <f>IF($B62=0,"",IF(Inputs!$B$9="","",IF($AG62=0,F61,SUMIFS(Data!$N$10:$N$3209,Data!$M$10:$M$3209,"&gt;="&amp;$A62,Data!$M$10:$M$3209,"&lt;"&amp;$A62+1)/$AG62)))</f>
        <v/>
      </c>
      <c r="G62" s="56">
        <f>IF($B62=0,"",IF(Inputs!$B$10="","",IF($AH62=0,G61,SUMIFS(Data!$R$10:$R$3209,Data!$Q$10:$Q$3209,"&gt;="&amp;$A62,Data!$Q$10:$Q$3209,"&lt;"&amp;$A62+1)/$AH62)))</f>
        <v/>
      </c>
      <c r="I62" s="54">
        <f>IF($B62=0,NA(),IF($C62="",NA(),IF(C$8="",NA(),IF(N(C$8)=0,NA(),IF(Inputs!$C$17="Rebased to 100",$C62/C$8*100,$C62)))))</f>
        <v/>
      </c>
      <c r="J62" s="54">
        <f>IF($B62=0,NA(),IF($D62="",NA(),IF(D$8="",NA(),IF(N(D$8)=0,NA(),IF(Inputs!$C$17="Rebased to 100",$D62/D$8*100,$D62)))))</f>
        <v/>
      </c>
      <c r="K62" s="54">
        <f>IF($B62=0,NA(),IF($E62="",NA(),IF(E$8="",NA(),IF(N(E$8)=0,NA(),IF(Inputs!$C$17="Rebased to 100",$E62/E$8*100,$E62)))))</f>
        <v/>
      </c>
      <c r="L62" s="54">
        <f>IF($B62=0,NA(),IF($F62="",NA(),IF(F$8="",NA(),IF(N(F$8)=0,NA(),IF(Inputs!$C$17="Rebased to 100",$F62/F$8*100,$F62)))))</f>
        <v/>
      </c>
      <c r="M62" s="54">
        <f>IF($B62=0,NA(),IF($G62="",NA(),IF(G$8="",NA(),IF(N(G$8)=0,NA(),IF(Inputs!$C$17="Rebased to 100",$G62/G$8*100,$G62)))))</f>
        <v/>
      </c>
      <c r="N62" s="54">
        <f>IF($B62=0,NA(),IF(Inputs!$C$18&lt;&gt;"Yes",NA(),IF(COUNT(I62,J62,K62,L62,M62)=0,NA(),MIN(I62,J62,K62,L62,M62))))</f>
        <v/>
      </c>
      <c r="O62" s="54">
        <f>IF($B62=0,NA(),IF(Inputs!$B$24&lt;&gt;"Yes",NA(),Inputs!$D$24*Inputs!$C$35))</f>
        <v/>
      </c>
      <c r="P62" s="54">
        <f>IF($B62=0,NA(),IF(Inputs!$B$25&lt;&gt;"Yes",NA(),Inputs!$D$25*Inputs!$C$35))</f>
        <v/>
      </c>
      <c r="Q62" s="54">
        <f>IF($B62=0,NA(),IF(Inputs!$B$26&lt;&gt;"Yes",NA(),Inputs!$D$26*Inputs!$C$35))</f>
        <v/>
      </c>
      <c r="R62" s="54">
        <f>IF($B62=0,NA(),IF(Inputs!$B$27&lt;&gt;"Yes",NA(),Inputs!$D$27*Inputs!$C$35))</f>
        <v/>
      </c>
      <c r="S62" s="54">
        <f>IF($B62=0,NA(),IF(Inputs!$B$28&lt;&gt;"Yes",NA(),Inputs!$D$28*Inputs!$C$35))</f>
        <v/>
      </c>
      <c r="T62" s="54">
        <f>IF($B62=0,NA(),IF(Inputs!$B$29&lt;&gt;"Yes",NA(),Inputs!$D$29*Inputs!$C$35))</f>
        <v/>
      </c>
      <c r="AD62">
        <f>IF($B62=0,0,IF(Inputs!$B$6="",0,COUNTIFS(Data!$A$10:$A$3209,"&gt;="&amp;$A62,Data!$A$10:$A$3209,"&lt;"&amp;$A62+1)))</f>
        <v/>
      </c>
      <c r="AE62">
        <f>IF($B62=0,0,IF(Inputs!$B$7="",0,COUNTIFS(Data!$E$10:$E$3209,"&gt;="&amp;$A62,Data!$E$10:$E$3209,"&lt;"&amp;$A62+1)))</f>
        <v/>
      </c>
      <c r="AF62">
        <f>IF($B62=0,0,IF(Inputs!$B$8="",0,COUNTIFS(Data!$I$10:$I$3209,"&gt;="&amp;$A62,Data!$I$10:$I$3209,"&lt;"&amp;$A62+1)))</f>
        <v/>
      </c>
      <c r="AG62">
        <f>IF($B62=0,0,IF(Inputs!$B$9="",0,COUNTIFS(Data!$M$10:$M$3209,"&gt;="&amp;$A62,Data!$M$10:$M$3209,"&lt;"&amp;$A62+1)))</f>
        <v/>
      </c>
      <c r="AH62">
        <f>IF($B62=0,0,IF(Inputs!$B$10="",0,COUNTIFS(Data!$Q$10:$Q$3209,"&gt;="&amp;$A62,Data!$Q$10:$Q$3209,"&lt;"&amp;$A62+1)))</f>
        <v/>
      </c>
    </row>
    <row r="63">
      <c r="A63" s="55">
        <f>MIN(Inputs!$C$15,$A62+IF(WEEKDAY($A62,2)=5,3,1))</f>
        <v/>
      </c>
      <c r="B63">
        <f>IF($A63&gt;$A62,1,0)</f>
        <v/>
      </c>
      <c r="C63" s="56">
        <f>IF($B63=0,"",IF(Inputs!$B$6="","",IF($AD63=0,C62,SUMIFS(Data!$B$10:$B$3209,Data!$A$10:$A$3209,"&gt;="&amp;$A63,Data!$A$10:$A$3209,"&lt;"&amp;$A63+1)/$AD63)))</f>
        <v/>
      </c>
      <c r="D63" s="56">
        <f>IF($B63=0,"",IF(Inputs!$B$7="","",IF($AE63=0,D62,SUMIFS(Data!$F$10:$F$3209,Data!$E$10:$E$3209,"&gt;="&amp;$A63,Data!$E$10:$E$3209,"&lt;"&amp;$A63+1)/$AE63)))</f>
        <v/>
      </c>
      <c r="E63" s="56">
        <f>IF($B63=0,"",IF(Inputs!$B$8="","",IF($AF63=0,E62,SUMIFS(Data!$J$10:$J$3209,Data!$I$10:$I$3209,"&gt;="&amp;$A63,Data!$I$10:$I$3209,"&lt;"&amp;$A63+1)/$AF63)))</f>
        <v/>
      </c>
      <c r="F63" s="56">
        <f>IF($B63=0,"",IF(Inputs!$B$9="","",IF($AG63=0,F62,SUMIFS(Data!$N$10:$N$3209,Data!$M$10:$M$3209,"&gt;="&amp;$A63,Data!$M$10:$M$3209,"&lt;"&amp;$A63+1)/$AG63)))</f>
        <v/>
      </c>
      <c r="G63" s="56">
        <f>IF($B63=0,"",IF(Inputs!$B$10="","",IF($AH63=0,G62,SUMIFS(Data!$R$10:$R$3209,Data!$Q$10:$Q$3209,"&gt;="&amp;$A63,Data!$Q$10:$Q$3209,"&lt;"&amp;$A63+1)/$AH63)))</f>
        <v/>
      </c>
      <c r="I63" s="54">
        <f>IF($B63=0,NA(),IF($C63="",NA(),IF(C$8="",NA(),IF(N(C$8)=0,NA(),IF(Inputs!$C$17="Rebased to 100",$C63/C$8*100,$C63)))))</f>
        <v/>
      </c>
      <c r="J63" s="54">
        <f>IF($B63=0,NA(),IF($D63="",NA(),IF(D$8="",NA(),IF(N(D$8)=0,NA(),IF(Inputs!$C$17="Rebased to 100",$D63/D$8*100,$D63)))))</f>
        <v/>
      </c>
      <c r="K63" s="54">
        <f>IF($B63=0,NA(),IF($E63="",NA(),IF(E$8="",NA(),IF(N(E$8)=0,NA(),IF(Inputs!$C$17="Rebased to 100",$E63/E$8*100,$E63)))))</f>
        <v/>
      </c>
      <c r="L63" s="54">
        <f>IF($B63=0,NA(),IF($F63="",NA(),IF(F$8="",NA(),IF(N(F$8)=0,NA(),IF(Inputs!$C$17="Rebased to 100",$F63/F$8*100,$F63)))))</f>
        <v/>
      </c>
      <c r="M63" s="54">
        <f>IF($B63=0,NA(),IF($G63="",NA(),IF(G$8="",NA(),IF(N(G$8)=0,NA(),IF(Inputs!$C$17="Rebased to 100",$G63/G$8*100,$G63)))))</f>
        <v/>
      </c>
      <c r="N63" s="54">
        <f>IF($B63=0,NA(),IF(Inputs!$C$18&lt;&gt;"Yes",NA(),IF(COUNT(I63,J63,K63,L63,M63)=0,NA(),MIN(I63,J63,K63,L63,M63))))</f>
        <v/>
      </c>
      <c r="O63" s="54">
        <f>IF($B63=0,NA(),IF(Inputs!$B$24&lt;&gt;"Yes",NA(),Inputs!$D$24*Inputs!$C$35))</f>
        <v/>
      </c>
      <c r="P63" s="54">
        <f>IF($B63=0,NA(),IF(Inputs!$B$25&lt;&gt;"Yes",NA(),Inputs!$D$25*Inputs!$C$35))</f>
        <v/>
      </c>
      <c r="Q63" s="54">
        <f>IF($B63=0,NA(),IF(Inputs!$B$26&lt;&gt;"Yes",NA(),Inputs!$D$26*Inputs!$C$35))</f>
        <v/>
      </c>
      <c r="R63" s="54">
        <f>IF($B63=0,NA(),IF(Inputs!$B$27&lt;&gt;"Yes",NA(),Inputs!$D$27*Inputs!$C$35))</f>
        <v/>
      </c>
      <c r="S63" s="54">
        <f>IF($B63=0,NA(),IF(Inputs!$B$28&lt;&gt;"Yes",NA(),Inputs!$D$28*Inputs!$C$35))</f>
        <v/>
      </c>
      <c r="T63" s="54">
        <f>IF($B63=0,NA(),IF(Inputs!$B$29&lt;&gt;"Yes",NA(),Inputs!$D$29*Inputs!$C$35))</f>
        <v/>
      </c>
      <c r="AD63">
        <f>IF($B63=0,0,IF(Inputs!$B$6="",0,COUNTIFS(Data!$A$10:$A$3209,"&gt;="&amp;$A63,Data!$A$10:$A$3209,"&lt;"&amp;$A63+1)))</f>
        <v/>
      </c>
      <c r="AE63">
        <f>IF($B63=0,0,IF(Inputs!$B$7="",0,COUNTIFS(Data!$E$10:$E$3209,"&gt;="&amp;$A63,Data!$E$10:$E$3209,"&lt;"&amp;$A63+1)))</f>
        <v/>
      </c>
      <c r="AF63">
        <f>IF($B63=0,0,IF(Inputs!$B$8="",0,COUNTIFS(Data!$I$10:$I$3209,"&gt;="&amp;$A63,Data!$I$10:$I$3209,"&lt;"&amp;$A63+1)))</f>
        <v/>
      </c>
      <c r="AG63">
        <f>IF($B63=0,0,IF(Inputs!$B$9="",0,COUNTIFS(Data!$M$10:$M$3209,"&gt;="&amp;$A63,Data!$M$10:$M$3209,"&lt;"&amp;$A63+1)))</f>
        <v/>
      </c>
      <c r="AH63">
        <f>IF($B63=0,0,IF(Inputs!$B$10="",0,COUNTIFS(Data!$Q$10:$Q$3209,"&gt;="&amp;$A63,Data!$Q$10:$Q$3209,"&lt;"&amp;$A63+1)))</f>
        <v/>
      </c>
    </row>
    <row r="64">
      <c r="A64" s="55">
        <f>MIN(Inputs!$C$15,$A63+IF(WEEKDAY($A63,2)=5,3,1))</f>
        <v/>
      </c>
      <c r="B64">
        <f>IF($A64&gt;$A63,1,0)</f>
        <v/>
      </c>
      <c r="C64" s="56">
        <f>IF($B64=0,"",IF(Inputs!$B$6="","",IF($AD64=0,C63,SUMIFS(Data!$B$10:$B$3209,Data!$A$10:$A$3209,"&gt;="&amp;$A64,Data!$A$10:$A$3209,"&lt;"&amp;$A64+1)/$AD64)))</f>
        <v/>
      </c>
      <c r="D64" s="56">
        <f>IF($B64=0,"",IF(Inputs!$B$7="","",IF($AE64=0,D63,SUMIFS(Data!$F$10:$F$3209,Data!$E$10:$E$3209,"&gt;="&amp;$A64,Data!$E$10:$E$3209,"&lt;"&amp;$A64+1)/$AE64)))</f>
        <v/>
      </c>
      <c r="E64" s="56">
        <f>IF($B64=0,"",IF(Inputs!$B$8="","",IF($AF64=0,E63,SUMIFS(Data!$J$10:$J$3209,Data!$I$10:$I$3209,"&gt;="&amp;$A64,Data!$I$10:$I$3209,"&lt;"&amp;$A64+1)/$AF64)))</f>
        <v/>
      </c>
      <c r="F64" s="56">
        <f>IF($B64=0,"",IF(Inputs!$B$9="","",IF($AG64=0,F63,SUMIFS(Data!$N$10:$N$3209,Data!$M$10:$M$3209,"&gt;="&amp;$A64,Data!$M$10:$M$3209,"&lt;"&amp;$A64+1)/$AG64)))</f>
        <v/>
      </c>
      <c r="G64" s="56">
        <f>IF($B64=0,"",IF(Inputs!$B$10="","",IF($AH64=0,G63,SUMIFS(Data!$R$10:$R$3209,Data!$Q$10:$Q$3209,"&gt;="&amp;$A64,Data!$Q$10:$Q$3209,"&lt;"&amp;$A64+1)/$AH64)))</f>
        <v/>
      </c>
      <c r="I64" s="54">
        <f>IF($B64=0,NA(),IF($C64="",NA(),IF(C$8="",NA(),IF(N(C$8)=0,NA(),IF(Inputs!$C$17="Rebased to 100",$C64/C$8*100,$C64)))))</f>
        <v/>
      </c>
      <c r="J64" s="54">
        <f>IF($B64=0,NA(),IF($D64="",NA(),IF(D$8="",NA(),IF(N(D$8)=0,NA(),IF(Inputs!$C$17="Rebased to 100",$D64/D$8*100,$D64)))))</f>
        <v/>
      </c>
      <c r="K64" s="54">
        <f>IF($B64=0,NA(),IF($E64="",NA(),IF(E$8="",NA(),IF(N(E$8)=0,NA(),IF(Inputs!$C$17="Rebased to 100",$E64/E$8*100,$E64)))))</f>
        <v/>
      </c>
      <c r="L64" s="54">
        <f>IF($B64=0,NA(),IF($F64="",NA(),IF(F$8="",NA(),IF(N(F$8)=0,NA(),IF(Inputs!$C$17="Rebased to 100",$F64/F$8*100,$F64)))))</f>
        <v/>
      </c>
      <c r="M64" s="54">
        <f>IF($B64=0,NA(),IF($G64="",NA(),IF(G$8="",NA(),IF(N(G$8)=0,NA(),IF(Inputs!$C$17="Rebased to 100",$G64/G$8*100,$G64)))))</f>
        <v/>
      </c>
      <c r="N64" s="54">
        <f>IF($B64=0,NA(),IF(Inputs!$C$18&lt;&gt;"Yes",NA(),IF(COUNT(I64,J64,K64,L64,M64)=0,NA(),MIN(I64,J64,K64,L64,M64))))</f>
        <v/>
      </c>
      <c r="O64" s="54">
        <f>IF($B64=0,NA(),IF(Inputs!$B$24&lt;&gt;"Yes",NA(),Inputs!$D$24*Inputs!$C$35))</f>
        <v/>
      </c>
      <c r="P64" s="54">
        <f>IF($B64=0,NA(),IF(Inputs!$B$25&lt;&gt;"Yes",NA(),Inputs!$D$25*Inputs!$C$35))</f>
        <v/>
      </c>
      <c r="Q64" s="54">
        <f>IF($B64=0,NA(),IF(Inputs!$B$26&lt;&gt;"Yes",NA(),Inputs!$D$26*Inputs!$C$35))</f>
        <v/>
      </c>
      <c r="R64" s="54">
        <f>IF($B64=0,NA(),IF(Inputs!$B$27&lt;&gt;"Yes",NA(),Inputs!$D$27*Inputs!$C$35))</f>
        <v/>
      </c>
      <c r="S64" s="54">
        <f>IF($B64=0,NA(),IF(Inputs!$B$28&lt;&gt;"Yes",NA(),Inputs!$D$28*Inputs!$C$35))</f>
        <v/>
      </c>
      <c r="T64" s="54">
        <f>IF($B64=0,NA(),IF(Inputs!$B$29&lt;&gt;"Yes",NA(),Inputs!$D$29*Inputs!$C$35))</f>
        <v/>
      </c>
      <c r="AD64">
        <f>IF($B64=0,0,IF(Inputs!$B$6="",0,COUNTIFS(Data!$A$10:$A$3209,"&gt;="&amp;$A64,Data!$A$10:$A$3209,"&lt;"&amp;$A64+1)))</f>
        <v/>
      </c>
      <c r="AE64">
        <f>IF($B64=0,0,IF(Inputs!$B$7="",0,COUNTIFS(Data!$E$10:$E$3209,"&gt;="&amp;$A64,Data!$E$10:$E$3209,"&lt;"&amp;$A64+1)))</f>
        <v/>
      </c>
      <c r="AF64">
        <f>IF($B64=0,0,IF(Inputs!$B$8="",0,COUNTIFS(Data!$I$10:$I$3209,"&gt;="&amp;$A64,Data!$I$10:$I$3209,"&lt;"&amp;$A64+1)))</f>
        <v/>
      </c>
      <c r="AG64">
        <f>IF($B64=0,0,IF(Inputs!$B$9="",0,COUNTIFS(Data!$M$10:$M$3209,"&gt;="&amp;$A64,Data!$M$10:$M$3209,"&lt;"&amp;$A64+1)))</f>
        <v/>
      </c>
      <c r="AH64">
        <f>IF($B64=0,0,IF(Inputs!$B$10="",0,COUNTIFS(Data!$Q$10:$Q$3209,"&gt;="&amp;$A64,Data!$Q$10:$Q$3209,"&lt;"&amp;$A64+1)))</f>
        <v/>
      </c>
    </row>
    <row r="65">
      <c r="A65" s="55">
        <f>MIN(Inputs!$C$15,$A64+IF(WEEKDAY($A64,2)=5,3,1))</f>
        <v/>
      </c>
      <c r="B65">
        <f>IF($A65&gt;$A64,1,0)</f>
        <v/>
      </c>
      <c r="C65" s="56">
        <f>IF($B65=0,"",IF(Inputs!$B$6="","",IF($AD65=0,C64,SUMIFS(Data!$B$10:$B$3209,Data!$A$10:$A$3209,"&gt;="&amp;$A65,Data!$A$10:$A$3209,"&lt;"&amp;$A65+1)/$AD65)))</f>
        <v/>
      </c>
      <c r="D65" s="56">
        <f>IF($B65=0,"",IF(Inputs!$B$7="","",IF($AE65=0,D64,SUMIFS(Data!$F$10:$F$3209,Data!$E$10:$E$3209,"&gt;="&amp;$A65,Data!$E$10:$E$3209,"&lt;"&amp;$A65+1)/$AE65)))</f>
        <v/>
      </c>
      <c r="E65" s="56">
        <f>IF($B65=0,"",IF(Inputs!$B$8="","",IF($AF65=0,E64,SUMIFS(Data!$J$10:$J$3209,Data!$I$10:$I$3209,"&gt;="&amp;$A65,Data!$I$10:$I$3209,"&lt;"&amp;$A65+1)/$AF65)))</f>
        <v/>
      </c>
      <c r="F65" s="56">
        <f>IF($B65=0,"",IF(Inputs!$B$9="","",IF($AG65=0,F64,SUMIFS(Data!$N$10:$N$3209,Data!$M$10:$M$3209,"&gt;="&amp;$A65,Data!$M$10:$M$3209,"&lt;"&amp;$A65+1)/$AG65)))</f>
        <v/>
      </c>
      <c r="G65" s="56">
        <f>IF($B65=0,"",IF(Inputs!$B$10="","",IF($AH65=0,G64,SUMIFS(Data!$R$10:$R$3209,Data!$Q$10:$Q$3209,"&gt;="&amp;$A65,Data!$Q$10:$Q$3209,"&lt;"&amp;$A65+1)/$AH65)))</f>
        <v/>
      </c>
      <c r="I65" s="54">
        <f>IF($B65=0,NA(),IF($C65="",NA(),IF(C$8="",NA(),IF(N(C$8)=0,NA(),IF(Inputs!$C$17="Rebased to 100",$C65/C$8*100,$C65)))))</f>
        <v/>
      </c>
      <c r="J65" s="54">
        <f>IF($B65=0,NA(),IF($D65="",NA(),IF(D$8="",NA(),IF(N(D$8)=0,NA(),IF(Inputs!$C$17="Rebased to 100",$D65/D$8*100,$D65)))))</f>
        <v/>
      </c>
      <c r="K65" s="54">
        <f>IF($B65=0,NA(),IF($E65="",NA(),IF(E$8="",NA(),IF(N(E$8)=0,NA(),IF(Inputs!$C$17="Rebased to 100",$E65/E$8*100,$E65)))))</f>
        <v/>
      </c>
      <c r="L65" s="54">
        <f>IF($B65=0,NA(),IF($F65="",NA(),IF(F$8="",NA(),IF(N(F$8)=0,NA(),IF(Inputs!$C$17="Rebased to 100",$F65/F$8*100,$F65)))))</f>
        <v/>
      </c>
      <c r="M65" s="54">
        <f>IF($B65=0,NA(),IF($G65="",NA(),IF(G$8="",NA(),IF(N(G$8)=0,NA(),IF(Inputs!$C$17="Rebased to 100",$G65/G$8*100,$G65)))))</f>
        <v/>
      </c>
      <c r="N65" s="54">
        <f>IF($B65=0,NA(),IF(Inputs!$C$18&lt;&gt;"Yes",NA(),IF(COUNT(I65,J65,K65,L65,M65)=0,NA(),MIN(I65,J65,K65,L65,M65))))</f>
        <v/>
      </c>
      <c r="O65" s="54">
        <f>IF($B65=0,NA(),IF(Inputs!$B$24&lt;&gt;"Yes",NA(),Inputs!$D$24*Inputs!$C$35))</f>
        <v/>
      </c>
      <c r="P65" s="54">
        <f>IF($B65=0,NA(),IF(Inputs!$B$25&lt;&gt;"Yes",NA(),Inputs!$D$25*Inputs!$C$35))</f>
        <v/>
      </c>
      <c r="Q65" s="54">
        <f>IF($B65=0,NA(),IF(Inputs!$B$26&lt;&gt;"Yes",NA(),Inputs!$D$26*Inputs!$C$35))</f>
        <v/>
      </c>
      <c r="R65" s="54">
        <f>IF($B65=0,NA(),IF(Inputs!$B$27&lt;&gt;"Yes",NA(),Inputs!$D$27*Inputs!$C$35))</f>
        <v/>
      </c>
      <c r="S65" s="54">
        <f>IF($B65=0,NA(),IF(Inputs!$B$28&lt;&gt;"Yes",NA(),Inputs!$D$28*Inputs!$C$35))</f>
        <v/>
      </c>
      <c r="T65" s="54">
        <f>IF($B65=0,NA(),IF(Inputs!$B$29&lt;&gt;"Yes",NA(),Inputs!$D$29*Inputs!$C$35))</f>
        <v/>
      </c>
      <c r="AD65">
        <f>IF($B65=0,0,IF(Inputs!$B$6="",0,COUNTIFS(Data!$A$10:$A$3209,"&gt;="&amp;$A65,Data!$A$10:$A$3209,"&lt;"&amp;$A65+1)))</f>
        <v/>
      </c>
      <c r="AE65">
        <f>IF($B65=0,0,IF(Inputs!$B$7="",0,COUNTIFS(Data!$E$10:$E$3209,"&gt;="&amp;$A65,Data!$E$10:$E$3209,"&lt;"&amp;$A65+1)))</f>
        <v/>
      </c>
      <c r="AF65">
        <f>IF($B65=0,0,IF(Inputs!$B$8="",0,COUNTIFS(Data!$I$10:$I$3209,"&gt;="&amp;$A65,Data!$I$10:$I$3209,"&lt;"&amp;$A65+1)))</f>
        <v/>
      </c>
      <c r="AG65">
        <f>IF($B65=0,0,IF(Inputs!$B$9="",0,COUNTIFS(Data!$M$10:$M$3209,"&gt;="&amp;$A65,Data!$M$10:$M$3209,"&lt;"&amp;$A65+1)))</f>
        <v/>
      </c>
      <c r="AH65">
        <f>IF($B65=0,0,IF(Inputs!$B$10="",0,COUNTIFS(Data!$Q$10:$Q$3209,"&gt;="&amp;$A65,Data!$Q$10:$Q$3209,"&lt;"&amp;$A65+1)))</f>
        <v/>
      </c>
    </row>
    <row r="66">
      <c r="A66" s="55">
        <f>MIN(Inputs!$C$15,$A65+IF(WEEKDAY($A65,2)=5,3,1))</f>
        <v/>
      </c>
      <c r="B66">
        <f>IF($A66&gt;$A65,1,0)</f>
        <v/>
      </c>
      <c r="C66" s="56">
        <f>IF($B66=0,"",IF(Inputs!$B$6="","",IF($AD66=0,C65,SUMIFS(Data!$B$10:$B$3209,Data!$A$10:$A$3209,"&gt;="&amp;$A66,Data!$A$10:$A$3209,"&lt;"&amp;$A66+1)/$AD66)))</f>
        <v/>
      </c>
      <c r="D66" s="56">
        <f>IF($B66=0,"",IF(Inputs!$B$7="","",IF($AE66=0,D65,SUMIFS(Data!$F$10:$F$3209,Data!$E$10:$E$3209,"&gt;="&amp;$A66,Data!$E$10:$E$3209,"&lt;"&amp;$A66+1)/$AE66)))</f>
        <v/>
      </c>
      <c r="E66" s="56">
        <f>IF($B66=0,"",IF(Inputs!$B$8="","",IF($AF66=0,E65,SUMIFS(Data!$J$10:$J$3209,Data!$I$10:$I$3209,"&gt;="&amp;$A66,Data!$I$10:$I$3209,"&lt;"&amp;$A66+1)/$AF66)))</f>
        <v/>
      </c>
      <c r="F66" s="56">
        <f>IF($B66=0,"",IF(Inputs!$B$9="","",IF($AG66=0,F65,SUMIFS(Data!$N$10:$N$3209,Data!$M$10:$M$3209,"&gt;="&amp;$A66,Data!$M$10:$M$3209,"&lt;"&amp;$A66+1)/$AG66)))</f>
        <v/>
      </c>
      <c r="G66" s="56">
        <f>IF($B66=0,"",IF(Inputs!$B$10="","",IF($AH66=0,G65,SUMIFS(Data!$R$10:$R$3209,Data!$Q$10:$Q$3209,"&gt;="&amp;$A66,Data!$Q$10:$Q$3209,"&lt;"&amp;$A66+1)/$AH66)))</f>
        <v/>
      </c>
      <c r="I66" s="54">
        <f>IF($B66=0,NA(),IF($C66="",NA(),IF(C$8="",NA(),IF(N(C$8)=0,NA(),IF(Inputs!$C$17="Rebased to 100",$C66/C$8*100,$C66)))))</f>
        <v/>
      </c>
      <c r="J66" s="54">
        <f>IF($B66=0,NA(),IF($D66="",NA(),IF(D$8="",NA(),IF(N(D$8)=0,NA(),IF(Inputs!$C$17="Rebased to 100",$D66/D$8*100,$D66)))))</f>
        <v/>
      </c>
      <c r="K66" s="54">
        <f>IF($B66=0,NA(),IF($E66="",NA(),IF(E$8="",NA(),IF(N(E$8)=0,NA(),IF(Inputs!$C$17="Rebased to 100",$E66/E$8*100,$E66)))))</f>
        <v/>
      </c>
      <c r="L66" s="54">
        <f>IF($B66=0,NA(),IF($F66="",NA(),IF(F$8="",NA(),IF(N(F$8)=0,NA(),IF(Inputs!$C$17="Rebased to 100",$F66/F$8*100,$F66)))))</f>
        <v/>
      </c>
      <c r="M66" s="54">
        <f>IF($B66=0,NA(),IF($G66="",NA(),IF(G$8="",NA(),IF(N(G$8)=0,NA(),IF(Inputs!$C$17="Rebased to 100",$G66/G$8*100,$G66)))))</f>
        <v/>
      </c>
      <c r="N66" s="54">
        <f>IF($B66=0,NA(),IF(Inputs!$C$18&lt;&gt;"Yes",NA(),IF(COUNT(I66,J66,K66,L66,M66)=0,NA(),MIN(I66,J66,K66,L66,M66))))</f>
        <v/>
      </c>
      <c r="O66" s="54">
        <f>IF($B66=0,NA(),IF(Inputs!$B$24&lt;&gt;"Yes",NA(),Inputs!$D$24*Inputs!$C$35))</f>
        <v/>
      </c>
      <c r="P66" s="54">
        <f>IF($B66=0,NA(),IF(Inputs!$B$25&lt;&gt;"Yes",NA(),Inputs!$D$25*Inputs!$C$35))</f>
        <v/>
      </c>
      <c r="Q66" s="54">
        <f>IF($B66=0,NA(),IF(Inputs!$B$26&lt;&gt;"Yes",NA(),Inputs!$D$26*Inputs!$C$35))</f>
        <v/>
      </c>
      <c r="R66" s="54">
        <f>IF($B66=0,NA(),IF(Inputs!$B$27&lt;&gt;"Yes",NA(),Inputs!$D$27*Inputs!$C$35))</f>
        <v/>
      </c>
      <c r="S66" s="54">
        <f>IF($B66=0,NA(),IF(Inputs!$B$28&lt;&gt;"Yes",NA(),Inputs!$D$28*Inputs!$C$35))</f>
        <v/>
      </c>
      <c r="T66" s="54">
        <f>IF($B66=0,NA(),IF(Inputs!$B$29&lt;&gt;"Yes",NA(),Inputs!$D$29*Inputs!$C$35))</f>
        <v/>
      </c>
      <c r="AD66">
        <f>IF($B66=0,0,IF(Inputs!$B$6="",0,COUNTIFS(Data!$A$10:$A$3209,"&gt;="&amp;$A66,Data!$A$10:$A$3209,"&lt;"&amp;$A66+1)))</f>
        <v/>
      </c>
      <c r="AE66">
        <f>IF($B66=0,0,IF(Inputs!$B$7="",0,COUNTIFS(Data!$E$10:$E$3209,"&gt;="&amp;$A66,Data!$E$10:$E$3209,"&lt;"&amp;$A66+1)))</f>
        <v/>
      </c>
      <c r="AF66">
        <f>IF($B66=0,0,IF(Inputs!$B$8="",0,COUNTIFS(Data!$I$10:$I$3209,"&gt;="&amp;$A66,Data!$I$10:$I$3209,"&lt;"&amp;$A66+1)))</f>
        <v/>
      </c>
      <c r="AG66">
        <f>IF($B66=0,0,IF(Inputs!$B$9="",0,COUNTIFS(Data!$M$10:$M$3209,"&gt;="&amp;$A66,Data!$M$10:$M$3209,"&lt;"&amp;$A66+1)))</f>
        <v/>
      </c>
      <c r="AH66">
        <f>IF($B66=0,0,IF(Inputs!$B$10="",0,COUNTIFS(Data!$Q$10:$Q$3209,"&gt;="&amp;$A66,Data!$Q$10:$Q$3209,"&lt;"&amp;$A66+1)))</f>
        <v/>
      </c>
    </row>
    <row r="67">
      <c r="A67" s="55">
        <f>MIN(Inputs!$C$15,$A66+IF(WEEKDAY($A66,2)=5,3,1))</f>
        <v/>
      </c>
      <c r="B67">
        <f>IF($A67&gt;$A66,1,0)</f>
        <v/>
      </c>
      <c r="C67" s="56">
        <f>IF($B67=0,"",IF(Inputs!$B$6="","",IF($AD67=0,C66,SUMIFS(Data!$B$10:$B$3209,Data!$A$10:$A$3209,"&gt;="&amp;$A67,Data!$A$10:$A$3209,"&lt;"&amp;$A67+1)/$AD67)))</f>
        <v/>
      </c>
      <c r="D67" s="56">
        <f>IF($B67=0,"",IF(Inputs!$B$7="","",IF($AE67=0,D66,SUMIFS(Data!$F$10:$F$3209,Data!$E$10:$E$3209,"&gt;="&amp;$A67,Data!$E$10:$E$3209,"&lt;"&amp;$A67+1)/$AE67)))</f>
        <v/>
      </c>
      <c r="E67" s="56">
        <f>IF($B67=0,"",IF(Inputs!$B$8="","",IF($AF67=0,E66,SUMIFS(Data!$J$10:$J$3209,Data!$I$10:$I$3209,"&gt;="&amp;$A67,Data!$I$10:$I$3209,"&lt;"&amp;$A67+1)/$AF67)))</f>
        <v/>
      </c>
      <c r="F67" s="56">
        <f>IF($B67=0,"",IF(Inputs!$B$9="","",IF($AG67=0,F66,SUMIFS(Data!$N$10:$N$3209,Data!$M$10:$M$3209,"&gt;="&amp;$A67,Data!$M$10:$M$3209,"&lt;"&amp;$A67+1)/$AG67)))</f>
        <v/>
      </c>
      <c r="G67" s="56">
        <f>IF($B67=0,"",IF(Inputs!$B$10="","",IF($AH67=0,G66,SUMIFS(Data!$R$10:$R$3209,Data!$Q$10:$Q$3209,"&gt;="&amp;$A67,Data!$Q$10:$Q$3209,"&lt;"&amp;$A67+1)/$AH67)))</f>
        <v/>
      </c>
      <c r="I67" s="54">
        <f>IF($B67=0,NA(),IF($C67="",NA(),IF(C$8="",NA(),IF(N(C$8)=0,NA(),IF(Inputs!$C$17="Rebased to 100",$C67/C$8*100,$C67)))))</f>
        <v/>
      </c>
      <c r="J67" s="54">
        <f>IF($B67=0,NA(),IF($D67="",NA(),IF(D$8="",NA(),IF(N(D$8)=0,NA(),IF(Inputs!$C$17="Rebased to 100",$D67/D$8*100,$D67)))))</f>
        <v/>
      </c>
      <c r="K67" s="54">
        <f>IF($B67=0,NA(),IF($E67="",NA(),IF(E$8="",NA(),IF(N(E$8)=0,NA(),IF(Inputs!$C$17="Rebased to 100",$E67/E$8*100,$E67)))))</f>
        <v/>
      </c>
      <c r="L67" s="54">
        <f>IF($B67=0,NA(),IF($F67="",NA(),IF(F$8="",NA(),IF(N(F$8)=0,NA(),IF(Inputs!$C$17="Rebased to 100",$F67/F$8*100,$F67)))))</f>
        <v/>
      </c>
      <c r="M67" s="54">
        <f>IF($B67=0,NA(),IF($G67="",NA(),IF(G$8="",NA(),IF(N(G$8)=0,NA(),IF(Inputs!$C$17="Rebased to 100",$G67/G$8*100,$G67)))))</f>
        <v/>
      </c>
      <c r="N67" s="54">
        <f>IF($B67=0,NA(),IF(Inputs!$C$18&lt;&gt;"Yes",NA(),IF(COUNT(I67,J67,K67,L67,M67)=0,NA(),MIN(I67,J67,K67,L67,M67))))</f>
        <v/>
      </c>
      <c r="O67" s="54">
        <f>IF($B67=0,NA(),IF(Inputs!$B$24&lt;&gt;"Yes",NA(),Inputs!$D$24*Inputs!$C$35))</f>
        <v/>
      </c>
      <c r="P67" s="54">
        <f>IF($B67=0,NA(),IF(Inputs!$B$25&lt;&gt;"Yes",NA(),Inputs!$D$25*Inputs!$C$35))</f>
        <v/>
      </c>
      <c r="Q67" s="54">
        <f>IF($B67=0,NA(),IF(Inputs!$B$26&lt;&gt;"Yes",NA(),Inputs!$D$26*Inputs!$C$35))</f>
        <v/>
      </c>
      <c r="R67" s="54">
        <f>IF($B67=0,NA(),IF(Inputs!$B$27&lt;&gt;"Yes",NA(),Inputs!$D$27*Inputs!$C$35))</f>
        <v/>
      </c>
      <c r="S67" s="54">
        <f>IF($B67=0,NA(),IF(Inputs!$B$28&lt;&gt;"Yes",NA(),Inputs!$D$28*Inputs!$C$35))</f>
        <v/>
      </c>
      <c r="T67" s="54">
        <f>IF($B67=0,NA(),IF(Inputs!$B$29&lt;&gt;"Yes",NA(),Inputs!$D$29*Inputs!$C$35))</f>
        <v/>
      </c>
      <c r="AD67">
        <f>IF($B67=0,0,IF(Inputs!$B$6="",0,COUNTIFS(Data!$A$10:$A$3209,"&gt;="&amp;$A67,Data!$A$10:$A$3209,"&lt;"&amp;$A67+1)))</f>
        <v/>
      </c>
      <c r="AE67">
        <f>IF($B67=0,0,IF(Inputs!$B$7="",0,COUNTIFS(Data!$E$10:$E$3209,"&gt;="&amp;$A67,Data!$E$10:$E$3209,"&lt;"&amp;$A67+1)))</f>
        <v/>
      </c>
      <c r="AF67">
        <f>IF($B67=0,0,IF(Inputs!$B$8="",0,COUNTIFS(Data!$I$10:$I$3209,"&gt;="&amp;$A67,Data!$I$10:$I$3209,"&lt;"&amp;$A67+1)))</f>
        <v/>
      </c>
      <c r="AG67">
        <f>IF($B67=0,0,IF(Inputs!$B$9="",0,COUNTIFS(Data!$M$10:$M$3209,"&gt;="&amp;$A67,Data!$M$10:$M$3209,"&lt;"&amp;$A67+1)))</f>
        <v/>
      </c>
      <c r="AH67">
        <f>IF($B67=0,0,IF(Inputs!$B$10="",0,COUNTIFS(Data!$Q$10:$Q$3209,"&gt;="&amp;$A67,Data!$Q$10:$Q$3209,"&lt;"&amp;$A67+1)))</f>
        <v/>
      </c>
    </row>
    <row r="68">
      <c r="A68" s="55">
        <f>MIN(Inputs!$C$15,$A67+IF(WEEKDAY($A67,2)=5,3,1))</f>
        <v/>
      </c>
      <c r="B68">
        <f>IF($A68&gt;$A67,1,0)</f>
        <v/>
      </c>
      <c r="C68" s="56">
        <f>IF($B68=0,"",IF(Inputs!$B$6="","",IF($AD68=0,C67,SUMIFS(Data!$B$10:$B$3209,Data!$A$10:$A$3209,"&gt;="&amp;$A68,Data!$A$10:$A$3209,"&lt;"&amp;$A68+1)/$AD68)))</f>
        <v/>
      </c>
      <c r="D68" s="56">
        <f>IF($B68=0,"",IF(Inputs!$B$7="","",IF($AE68=0,D67,SUMIFS(Data!$F$10:$F$3209,Data!$E$10:$E$3209,"&gt;="&amp;$A68,Data!$E$10:$E$3209,"&lt;"&amp;$A68+1)/$AE68)))</f>
        <v/>
      </c>
      <c r="E68" s="56">
        <f>IF($B68=0,"",IF(Inputs!$B$8="","",IF($AF68=0,E67,SUMIFS(Data!$J$10:$J$3209,Data!$I$10:$I$3209,"&gt;="&amp;$A68,Data!$I$10:$I$3209,"&lt;"&amp;$A68+1)/$AF68)))</f>
        <v/>
      </c>
      <c r="F68" s="56">
        <f>IF($B68=0,"",IF(Inputs!$B$9="","",IF($AG68=0,F67,SUMIFS(Data!$N$10:$N$3209,Data!$M$10:$M$3209,"&gt;="&amp;$A68,Data!$M$10:$M$3209,"&lt;"&amp;$A68+1)/$AG68)))</f>
        <v/>
      </c>
      <c r="G68" s="56">
        <f>IF($B68=0,"",IF(Inputs!$B$10="","",IF($AH68=0,G67,SUMIFS(Data!$R$10:$R$3209,Data!$Q$10:$Q$3209,"&gt;="&amp;$A68,Data!$Q$10:$Q$3209,"&lt;"&amp;$A68+1)/$AH68)))</f>
        <v/>
      </c>
      <c r="I68" s="54">
        <f>IF($B68=0,NA(),IF($C68="",NA(),IF(C$8="",NA(),IF(N(C$8)=0,NA(),IF(Inputs!$C$17="Rebased to 100",$C68/C$8*100,$C68)))))</f>
        <v/>
      </c>
      <c r="J68" s="54">
        <f>IF($B68=0,NA(),IF($D68="",NA(),IF(D$8="",NA(),IF(N(D$8)=0,NA(),IF(Inputs!$C$17="Rebased to 100",$D68/D$8*100,$D68)))))</f>
        <v/>
      </c>
      <c r="K68" s="54">
        <f>IF($B68=0,NA(),IF($E68="",NA(),IF(E$8="",NA(),IF(N(E$8)=0,NA(),IF(Inputs!$C$17="Rebased to 100",$E68/E$8*100,$E68)))))</f>
        <v/>
      </c>
      <c r="L68" s="54">
        <f>IF($B68=0,NA(),IF($F68="",NA(),IF(F$8="",NA(),IF(N(F$8)=0,NA(),IF(Inputs!$C$17="Rebased to 100",$F68/F$8*100,$F68)))))</f>
        <v/>
      </c>
      <c r="M68" s="54">
        <f>IF($B68=0,NA(),IF($G68="",NA(),IF(G$8="",NA(),IF(N(G$8)=0,NA(),IF(Inputs!$C$17="Rebased to 100",$G68/G$8*100,$G68)))))</f>
        <v/>
      </c>
      <c r="N68" s="54">
        <f>IF($B68=0,NA(),IF(Inputs!$C$18&lt;&gt;"Yes",NA(),IF(COUNT(I68,J68,K68,L68,M68)=0,NA(),MIN(I68,J68,K68,L68,M68))))</f>
        <v/>
      </c>
      <c r="O68" s="54">
        <f>IF($B68=0,NA(),IF(Inputs!$B$24&lt;&gt;"Yes",NA(),Inputs!$D$24*Inputs!$C$35))</f>
        <v/>
      </c>
      <c r="P68" s="54">
        <f>IF($B68=0,NA(),IF(Inputs!$B$25&lt;&gt;"Yes",NA(),Inputs!$D$25*Inputs!$C$35))</f>
        <v/>
      </c>
      <c r="Q68" s="54">
        <f>IF($B68=0,NA(),IF(Inputs!$B$26&lt;&gt;"Yes",NA(),Inputs!$D$26*Inputs!$C$35))</f>
        <v/>
      </c>
      <c r="R68" s="54">
        <f>IF($B68=0,NA(),IF(Inputs!$B$27&lt;&gt;"Yes",NA(),Inputs!$D$27*Inputs!$C$35))</f>
        <v/>
      </c>
      <c r="S68" s="54">
        <f>IF($B68=0,NA(),IF(Inputs!$B$28&lt;&gt;"Yes",NA(),Inputs!$D$28*Inputs!$C$35))</f>
        <v/>
      </c>
      <c r="T68" s="54">
        <f>IF($B68=0,NA(),IF(Inputs!$B$29&lt;&gt;"Yes",NA(),Inputs!$D$29*Inputs!$C$35))</f>
        <v/>
      </c>
      <c r="AD68">
        <f>IF($B68=0,0,IF(Inputs!$B$6="",0,COUNTIFS(Data!$A$10:$A$3209,"&gt;="&amp;$A68,Data!$A$10:$A$3209,"&lt;"&amp;$A68+1)))</f>
        <v/>
      </c>
      <c r="AE68">
        <f>IF($B68=0,0,IF(Inputs!$B$7="",0,COUNTIFS(Data!$E$10:$E$3209,"&gt;="&amp;$A68,Data!$E$10:$E$3209,"&lt;"&amp;$A68+1)))</f>
        <v/>
      </c>
      <c r="AF68">
        <f>IF($B68=0,0,IF(Inputs!$B$8="",0,COUNTIFS(Data!$I$10:$I$3209,"&gt;="&amp;$A68,Data!$I$10:$I$3209,"&lt;"&amp;$A68+1)))</f>
        <v/>
      </c>
      <c r="AG68">
        <f>IF($B68=0,0,IF(Inputs!$B$9="",0,COUNTIFS(Data!$M$10:$M$3209,"&gt;="&amp;$A68,Data!$M$10:$M$3209,"&lt;"&amp;$A68+1)))</f>
        <v/>
      </c>
      <c r="AH68">
        <f>IF($B68=0,0,IF(Inputs!$B$10="",0,COUNTIFS(Data!$Q$10:$Q$3209,"&gt;="&amp;$A68,Data!$Q$10:$Q$3209,"&lt;"&amp;$A68+1)))</f>
        <v/>
      </c>
    </row>
    <row r="69">
      <c r="A69" s="55">
        <f>MIN(Inputs!$C$15,$A68+IF(WEEKDAY($A68,2)=5,3,1))</f>
        <v/>
      </c>
      <c r="B69">
        <f>IF($A69&gt;$A68,1,0)</f>
        <v/>
      </c>
      <c r="C69" s="56">
        <f>IF($B69=0,"",IF(Inputs!$B$6="","",IF($AD69=0,C68,SUMIFS(Data!$B$10:$B$3209,Data!$A$10:$A$3209,"&gt;="&amp;$A69,Data!$A$10:$A$3209,"&lt;"&amp;$A69+1)/$AD69)))</f>
        <v/>
      </c>
      <c r="D69" s="56">
        <f>IF($B69=0,"",IF(Inputs!$B$7="","",IF($AE69=0,D68,SUMIFS(Data!$F$10:$F$3209,Data!$E$10:$E$3209,"&gt;="&amp;$A69,Data!$E$10:$E$3209,"&lt;"&amp;$A69+1)/$AE69)))</f>
        <v/>
      </c>
      <c r="E69" s="56">
        <f>IF($B69=0,"",IF(Inputs!$B$8="","",IF($AF69=0,E68,SUMIFS(Data!$J$10:$J$3209,Data!$I$10:$I$3209,"&gt;="&amp;$A69,Data!$I$10:$I$3209,"&lt;"&amp;$A69+1)/$AF69)))</f>
        <v/>
      </c>
      <c r="F69" s="56">
        <f>IF($B69=0,"",IF(Inputs!$B$9="","",IF($AG69=0,F68,SUMIFS(Data!$N$10:$N$3209,Data!$M$10:$M$3209,"&gt;="&amp;$A69,Data!$M$10:$M$3209,"&lt;"&amp;$A69+1)/$AG69)))</f>
        <v/>
      </c>
      <c r="G69" s="56">
        <f>IF($B69=0,"",IF(Inputs!$B$10="","",IF($AH69=0,G68,SUMIFS(Data!$R$10:$R$3209,Data!$Q$10:$Q$3209,"&gt;="&amp;$A69,Data!$Q$10:$Q$3209,"&lt;"&amp;$A69+1)/$AH69)))</f>
        <v/>
      </c>
      <c r="I69" s="54">
        <f>IF($B69=0,NA(),IF($C69="",NA(),IF(C$8="",NA(),IF(N(C$8)=0,NA(),IF(Inputs!$C$17="Rebased to 100",$C69/C$8*100,$C69)))))</f>
        <v/>
      </c>
      <c r="J69" s="54">
        <f>IF($B69=0,NA(),IF($D69="",NA(),IF(D$8="",NA(),IF(N(D$8)=0,NA(),IF(Inputs!$C$17="Rebased to 100",$D69/D$8*100,$D69)))))</f>
        <v/>
      </c>
      <c r="K69" s="54">
        <f>IF($B69=0,NA(),IF($E69="",NA(),IF(E$8="",NA(),IF(N(E$8)=0,NA(),IF(Inputs!$C$17="Rebased to 100",$E69/E$8*100,$E69)))))</f>
        <v/>
      </c>
      <c r="L69" s="54">
        <f>IF($B69=0,NA(),IF($F69="",NA(),IF(F$8="",NA(),IF(N(F$8)=0,NA(),IF(Inputs!$C$17="Rebased to 100",$F69/F$8*100,$F69)))))</f>
        <v/>
      </c>
      <c r="M69" s="54">
        <f>IF($B69=0,NA(),IF($G69="",NA(),IF(G$8="",NA(),IF(N(G$8)=0,NA(),IF(Inputs!$C$17="Rebased to 100",$G69/G$8*100,$G69)))))</f>
        <v/>
      </c>
      <c r="N69" s="54">
        <f>IF($B69=0,NA(),IF(Inputs!$C$18&lt;&gt;"Yes",NA(),IF(COUNT(I69,J69,K69,L69,M69)=0,NA(),MIN(I69,J69,K69,L69,M69))))</f>
        <v/>
      </c>
      <c r="O69" s="54">
        <f>IF($B69=0,NA(),IF(Inputs!$B$24&lt;&gt;"Yes",NA(),Inputs!$D$24*Inputs!$C$35))</f>
        <v/>
      </c>
      <c r="P69" s="54">
        <f>IF($B69=0,NA(),IF(Inputs!$B$25&lt;&gt;"Yes",NA(),Inputs!$D$25*Inputs!$C$35))</f>
        <v/>
      </c>
      <c r="Q69" s="54">
        <f>IF($B69=0,NA(),IF(Inputs!$B$26&lt;&gt;"Yes",NA(),Inputs!$D$26*Inputs!$C$35))</f>
        <v/>
      </c>
      <c r="R69" s="54">
        <f>IF($B69=0,NA(),IF(Inputs!$B$27&lt;&gt;"Yes",NA(),Inputs!$D$27*Inputs!$C$35))</f>
        <v/>
      </c>
      <c r="S69" s="54">
        <f>IF($B69=0,NA(),IF(Inputs!$B$28&lt;&gt;"Yes",NA(),Inputs!$D$28*Inputs!$C$35))</f>
        <v/>
      </c>
      <c r="T69" s="54">
        <f>IF($B69=0,NA(),IF(Inputs!$B$29&lt;&gt;"Yes",NA(),Inputs!$D$29*Inputs!$C$35))</f>
        <v/>
      </c>
      <c r="AD69">
        <f>IF($B69=0,0,IF(Inputs!$B$6="",0,COUNTIFS(Data!$A$10:$A$3209,"&gt;="&amp;$A69,Data!$A$10:$A$3209,"&lt;"&amp;$A69+1)))</f>
        <v/>
      </c>
      <c r="AE69">
        <f>IF($B69=0,0,IF(Inputs!$B$7="",0,COUNTIFS(Data!$E$10:$E$3209,"&gt;="&amp;$A69,Data!$E$10:$E$3209,"&lt;"&amp;$A69+1)))</f>
        <v/>
      </c>
      <c r="AF69">
        <f>IF($B69=0,0,IF(Inputs!$B$8="",0,COUNTIFS(Data!$I$10:$I$3209,"&gt;="&amp;$A69,Data!$I$10:$I$3209,"&lt;"&amp;$A69+1)))</f>
        <v/>
      </c>
      <c r="AG69">
        <f>IF($B69=0,0,IF(Inputs!$B$9="",0,COUNTIFS(Data!$M$10:$M$3209,"&gt;="&amp;$A69,Data!$M$10:$M$3209,"&lt;"&amp;$A69+1)))</f>
        <v/>
      </c>
      <c r="AH69">
        <f>IF($B69=0,0,IF(Inputs!$B$10="",0,COUNTIFS(Data!$Q$10:$Q$3209,"&gt;="&amp;$A69,Data!$Q$10:$Q$3209,"&lt;"&amp;$A69+1)))</f>
        <v/>
      </c>
    </row>
    <row r="70">
      <c r="A70" s="55">
        <f>MIN(Inputs!$C$15,$A69+IF(WEEKDAY($A69,2)=5,3,1))</f>
        <v/>
      </c>
      <c r="B70">
        <f>IF($A70&gt;$A69,1,0)</f>
        <v/>
      </c>
      <c r="C70" s="56">
        <f>IF($B70=0,"",IF(Inputs!$B$6="","",IF($AD70=0,C69,SUMIFS(Data!$B$10:$B$3209,Data!$A$10:$A$3209,"&gt;="&amp;$A70,Data!$A$10:$A$3209,"&lt;"&amp;$A70+1)/$AD70)))</f>
        <v/>
      </c>
      <c r="D70" s="56">
        <f>IF($B70=0,"",IF(Inputs!$B$7="","",IF($AE70=0,D69,SUMIFS(Data!$F$10:$F$3209,Data!$E$10:$E$3209,"&gt;="&amp;$A70,Data!$E$10:$E$3209,"&lt;"&amp;$A70+1)/$AE70)))</f>
        <v/>
      </c>
      <c r="E70" s="56">
        <f>IF($B70=0,"",IF(Inputs!$B$8="","",IF($AF70=0,E69,SUMIFS(Data!$J$10:$J$3209,Data!$I$10:$I$3209,"&gt;="&amp;$A70,Data!$I$10:$I$3209,"&lt;"&amp;$A70+1)/$AF70)))</f>
        <v/>
      </c>
      <c r="F70" s="56">
        <f>IF($B70=0,"",IF(Inputs!$B$9="","",IF($AG70=0,F69,SUMIFS(Data!$N$10:$N$3209,Data!$M$10:$M$3209,"&gt;="&amp;$A70,Data!$M$10:$M$3209,"&lt;"&amp;$A70+1)/$AG70)))</f>
        <v/>
      </c>
      <c r="G70" s="56">
        <f>IF($B70=0,"",IF(Inputs!$B$10="","",IF($AH70=0,G69,SUMIFS(Data!$R$10:$R$3209,Data!$Q$10:$Q$3209,"&gt;="&amp;$A70,Data!$Q$10:$Q$3209,"&lt;"&amp;$A70+1)/$AH70)))</f>
        <v/>
      </c>
      <c r="I70" s="54">
        <f>IF($B70=0,NA(),IF($C70="",NA(),IF(C$8="",NA(),IF(N(C$8)=0,NA(),IF(Inputs!$C$17="Rebased to 100",$C70/C$8*100,$C70)))))</f>
        <v/>
      </c>
      <c r="J70" s="54">
        <f>IF($B70=0,NA(),IF($D70="",NA(),IF(D$8="",NA(),IF(N(D$8)=0,NA(),IF(Inputs!$C$17="Rebased to 100",$D70/D$8*100,$D70)))))</f>
        <v/>
      </c>
      <c r="K70" s="54">
        <f>IF($B70=0,NA(),IF($E70="",NA(),IF(E$8="",NA(),IF(N(E$8)=0,NA(),IF(Inputs!$C$17="Rebased to 100",$E70/E$8*100,$E70)))))</f>
        <v/>
      </c>
      <c r="L70" s="54">
        <f>IF($B70=0,NA(),IF($F70="",NA(),IF(F$8="",NA(),IF(N(F$8)=0,NA(),IF(Inputs!$C$17="Rebased to 100",$F70/F$8*100,$F70)))))</f>
        <v/>
      </c>
      <c r="M70" s="54">
        <f>IF($B70=0,NA(),IF($G70="",NA(),IF(G$8="",NA(),IF(N(G$8)=0,NA(),IF(Inputs!$C$17="Rebased to 100",$G70/G$8*100,$G70)))))</f>
        <v/>
      </c>
      <c r="N70" s="54">
        <f>IF($B70=0,NA(),IF(Inputs!$C$18&lt;&gt;"Yes",NA(),IF(COUNT(I70,J70,K70,L70,M70)=0,NA(),MIN(I70,J70,K70,L70,M70))))</f>
        <v/>
      </c>
      <c r="O70" s="54">
        <f>IF($B70=0,NA(),IF(Inputs!$B$24&lt;&gt;"Yes",NA(),Inputs!$D$24*Inputs!$C$35))</f>
        <v/>
      </c>
      <c r="P70" s="54">
        <f>IF($B70=0,NA(),IF(Inputs!$B$25&lt;&gt;"Yes",NA(),Inputs!$D$25*Inputs!$C$35))</f>
        <v/>
      </c>
      <c r="Q70" s="54">
        <f>IF($B70=0,NA(),IF(Inputs!$B$26&lt;&gt;"Yes",NA(),Inputs!$D$26*Inputs!$C$35))</f>
        <v/>
      </c>
      <c r="R70" s="54">
        <f>IF($B70=0,NA(),IF(Inputs!$B$27&lt;&gt;"Yes",NA(),Inputs!$D$27*Inputs!$C$35))</f>
        <v/>
      </c>
      <c r="S70" s="54">
        <f>IF($B70=0,NA(),IF(Inputs!$B$28&lt;&gt;"Yes",NA(),Inputs!$D$28*Inputs!$C$35))</f>
        <v/>
      </c>
      <c r="T70" s="54">
        <f>IF($B70=0,NA(),IF(Inputs!$B$29&lt;&gt;"Yes",NA(),Inputs!$D$29*Inputs!$C$35))</f>
        <v/>
      </c>
      <c r="AD70">
        <f>IF($B70=0,0,IF(Inputs!$B$6="",0,COUNTIFS(Data!$A$10:$A$3209,"&gt;="&amp;$A70,Data!$A$10:$A$3209,"&lt;"&amp;$A70+1)))</f>
        <v/>
      </c>
      <c r="AE70">
        <f>IF($B70=0,0,IF(Inputs!$B$7="",0,COUNTIFS(Data!$E$10:$E$3209,"&gt;="&amp;$A70,Data!$E$10:$E$3209,"&lt;"&amp;$A70+1)))</f>
        <v/>
      </c>
      <c r="AF70">
        <f>IF($B70=0,0,IF(Inputs!$B$8="",0,COUNTIFS(Data!$I$10:$I$3209,"&gt;="&amp;$A70,Data!$I$10:$I$3209,"&lt;"&amp;$A70+1)))</f>
        <v/>
      </c>
      <c r="AG70">
        <f>IF($B70=0,0,IF(Inputs!$B$9="",0,COUNTIFS(Data!$M$10:$M$3209,"&gt;="&amp;$A70,Data!$M$10:$M$3209,"&lt;"&amp;$A70+1)))</f>
        <v/>
      </c>
      <c r="AH70">
        <f>IF($B70=0,0,IF(Inputs!$B$10="",0,COUNTIFS(Data!$Q$10:$Q$3209,"&gt;="&amp;$A70,Data!$Q$10:$Q$3209,"&lt;"&amp;$A70+1)))</f>
        <v/>
      </c>
    </row>
    <row r="71">
      <c r="A71" s="55">
        <f>MIN(Inputs!$C$15,$A70+IF(WEEKDAY($A70,2)=5,3,1))</f>
        <v/>
      </c>
      <c r="B71">
        <f>IF($A71&gt;$A70,1,0)</f>
        <v/>
      </c>
      <c r="C71" s="56">
        <f>IF($B71=0,"",IF(Inputs!$B$6="","",IF($AD71=0,C70,SUMIFS(Data!$B$10:$B$3209,Data!$A$10:$A$3209,"&gt;="&amp;$A71,Data!$A$10:$A$3209,"&lt;"&amp;$A71+1)/$AD71)))</f>
        <v/>
      </c>
      <c r="D71" s="56">
        <f>IF($B71=0,"",IF(Inputs!$B$7="","",IF($AE71=0,D70,SUMIFS(Data!$F$10:$F$3209,Data!$E$10:$E$3209,"&gt;="&amp;$A71,Data!$E$10:$E$3209,"&lt;"&amp;$A71+1)/$AE71)))</f>
        <v/>
      </c>
      <c r="E71" s="56">
        <f>IF($B71=0,"",IF(Inputs!$B$8="","",IF($AF71=0,E70,SUMIFS(Data!$J$10:$J$3209,Data!$I$10:$I$3209,"&gt;="&amp;$A71,Data!$I$10:$I$3209,"&lt;"&amp;$A71+1)/$AF71)))</f>
        <v/>
      </c>
      <c r="F71" s="56">
        <f>IF($B71=0,"",IF(Inputs!$B$9="","",IF($AG71=0,F70,SUMIFS(Data!$N$10:$N$3209,Data!$M$10:$M$3209,"&gt;="&amp;$A71,Data!$M$10:$M$3209,"&lt;"&amp;$A71+1)/$AG71)))</f>
        <v/>
      </c>
      <c r="G71" s="56">
        <f>IF($B71=0,"",IF(Inputs!$B$10="","",IF($AH71=0,G70,SUMIFS(Data!$R$10:$R$3209,Data!$Q$10:$Q$3209,"&gt;="&amp;$A71,Data!$Q$10:$Q$3209,"&lt;"&amp;$A71+1)/$AH71)))</f>
        <v/>
      </c>
      <c r="I71" s="54">
        <f>IF($B71=0,NA(),IF($C71="",NA(),IF(C$8="",NA(),IF(N(C$8)=0,NA(),IF(Inputs!$C$17="Rebased to 100",$C71/C$8*100,$C71)))))</f>
        <v/>
      </c>
      <c r="J71" s="54">
        <f>IF($B71=0,NA(),IF($D71="",NA(),IF(D$8="",NA(),IF(N(D$8)=0,NA(),IF(Inputs!$C$17="Rebased to 100",$D71/D$8*100,$D71)))))</f>
        <v/>
      </c>
      <c r="K71" s="54">
        <f>IF($B71=0,NA(),IF($E71="",NA(),IF(E$8="",NA(),IF(N(E$8)=0,NA(),IF(Inputs!$C$17="Rebased to 100",$E71/E$8*100,$E71)))))</f>
        <v/>
      </c>
      <c r="L71" s="54">
        <f>IF($B71=0,NA(),IF($F71="",NA(),IF(F$8="",NA(),IF(N(F$8)=0,NA(),IF(Inputs!$C$17="Rebased to 100",$F71/F$8*100,$F71)))))</f>
        <v/>
      </c>
      <c r="M71" s="54">
        <f>IF($B71=0,NA(),IF($G71="",NA(),IF(G$8="",NA(),IF(N(G$8)=0,NA(),IF(Inputs!$C$17="Rebased to 100",$G71/G$8*100,$G71)))))</f>
        <v/>
      </c>
      <c r="N71" s="54">
        <f>IF($B71=0,NA(),IF(Inputs!$C$18&lt;&gt;"Yes",NA(),IF(COUNT(I71,J71,K71,L71,M71)=0,NA(),MIN(I71,J71,K71,L71,M71))))</f>
        <v/>
      </c>
      <c r="O71" s="54">
        <f>IF($B71=0,NA(),IF(Inputs!$B$24&lt;&gt;"Yes",NA(),Inputs!$D$24*Inputs!$C$35))</f>
        <v/>
      </c>
      <c r="P71" s="54">
        <f>IF($B71=0,NA(),IF(Inputs!$B$25&lt;&gt;"Yes",NA(),Inputs!$D$25*Inputs!$C$35))</f>
        <v/>
      </c>
      <c r="Q71" s="54">
        <f>IF($B71=0,NA(),IF(Inputs!$B$26&lt;&gt;"Yes",NA(),Inputs!$D$26*Inputs!$C$35))</f>
        <v/>
      </c>
      <c r="R71" s="54">
        <f>IF($B71=0,NA(),IF(Inputs!$B$27&lt;&gt;"Yes",NA(),Inputs!$D$27*Inputs!$C$35))</f>
        <v/>
      </c>
      <c r="S71" s="54">
        <f>IF($B71=0,NA(),IF(Inputs!$B$28&lt;&gt;"Yes",NA(),Inputs!$D$28*Inputs!$C$35))</f>
        <v/>
      </c>
      <c r="T71" s="54">
        <f>IF($B71=0,NA(),IF(Inputs!$B$29&lt;&gt;"Yes",NA(),Inputs!$D$29*Inputs!$C$35))</f>
        <v/>
      </c>
      <c r="AD71">
        <f>IF($B71=0,0,IF(Inputs!$B$6="",0,COUNTIFS(Data!$A$10:$A$3209,"&gt;="&amp;$A71,Data!$A$10:$A$3209,"&lt;"&amp;$A71+1)))</f>
        <v/>
      </c>
      <c r="AE71">
        <f>IF($B71=0,0,IF(Inputs!$B$7="",0,COUNTIFS(Data!$E$10:$E$3209,"&gt;="&amp;$A71,Data!$E$10:$E$3209,"&lt;"&amp;$A71+1)))</f>
        <v/>
      </c>
      <c r="AF71">
        <f>IF($B71=0,0,IF(Inputs!$B$8="",0,COUNTIFS(Data!$I$10:$I$3209,"&gt;="&amp;$A71,Data!$I$10:$I$3209,"&lt;"&amp;$A71+1)))</f>
        <v/>
      </c>
      <c r="AG71">
        <f>IF($B71=0,0,IF(Inputs!$B$9="",0,COUNTIFS(Data!$M$10:$M$3209,"&gt;="&amp;$A71,Data!$M$10:$M$3209,"&lt;"&amp;$A71+1)))</f>
        <v/>
      </c>
      <c r="AH71">
        <f>IF($B71=0,0,IF(Inputs!$B$10="",0,COUNTIFS(Data!$Q$10:$Q$3209,"&gt;="&amp;$A71,Data!$Q$10:$Q$3209,"&lt;"&amp;$A71+1)))</f>
        <v/>
      </c>
    </row>
    <row r="72">
      <c r="A72" s="55">
        <f>MIN(Inputs!$C$15,$A71+IF(WEEKDAY($A71,2)=5,3,1))</f>
        <v/>
      </c>
      <c r="B72">
        <f>IF($A72&gt;$A71,1,0)</f>
        <v/>
      </c>
      <c r="C72" s="56">
        <f>IF($B72=0,"",IF(Inputs!$B$6="","",IF($AD72=0,C71,SUMIFS(Data!$B$10:$B$3209,Data!$A$10:$A$3209,"&gt;="&amp;$A72,Data!$A$10:$A$3209,"&lt;"&amp;$A72+1)/$AD72)))</f>
        <v/>
      </c>
      <c r="D72" s="56">
        <f>IF($B72=0,"",IF(Inputs!$B$7="","",IF($AE72=0,D71,SUMIFS(Data!$F$10:$F$3209,Data!$E$10:$E$3209,"&gt;="&amp;$A72,Data!$E$10:$E$3209,"&lt;"&amp;$A72+1)/$AE72)))</f>
        <v/>
      </c>
      <c r="E72" s="56">
        <f>IF($B72=0,"",IF(Inputs!$B$8="","",IF($AF72=0,E71,SUMIFS(Data!$J$10:$J$3209,Data!$I$10:$I$3209,"&gt;="&amp;$A72,Data!$I$10:$I$3209,"&lt;"&amp;$A72+1)/$AF72)))</f>
        <v/>
      </c>
      <c r="F72" s="56">
        <f>IF($B72=0,"",IF(Inputs!$B$9="","",IF($AG72=0,F71,SUMIFS(Data!$N$10:$N$3209,Data!$M$10:$M$3209,"&gt;="&amp;$A72,Data!$M$10:$M$3209,"&lt;"&amp;$A72+1)/$AG72)))</f>
        <v/>
      </c>
      <c r="G72" s="56">
        <f>IF($B72=0,"",IF(Inputs!$B$10="","",IF($AH72=0,G71,SUMIFS(Data!$R$10:$R$3209,Data!$Q$10:$Q$3209,"&gt;="&amp;$A72,Data!$Q$10:$Q$3209,"&lt;"&amp;$A72+1)/$AH72)))</f>
        <v/>
      </c>
      <c r="I72" s="54">
        <f>IF($B72=0,NA(),IF($C72="",NA(),IF(C$8="",NA(),IF(N(C$8)=0,NA(),IF(Inputs!$C$17="Rebased to 100",$C72/C$8*100,$C72)))))</f>
        <v/>
      </c>
      <c r="J72" s="54">
        <f>IF($B72=0,NA(),IF($D72="",NA(),IF(D$8="",NA(),IF(N(D$8)=0,NA(),IF(Inputs!$C$17="Rebased to 100",$D72/D$8*100,$D72)))))</f>
        <v/>
      </c>
      <c r="K72" s="54">
        <f>IF($B72=0,NA(),IF($E72="",NA(),IF(E$8="",NA(),IF(N(E$8)=0,NA(),IF(Inputs!$C$17="Rebased to 100",$E72/E$8*100,$E72)))))</f>
        <v/>
      </c>
      <c r="L72" s="54">
        <f>IF($B72=0,NA(),IF($F72="",NA(),IF(F$8="",NA(),IF(N(F$8)=0,NA(),IF(Inputs!$C$17="Rebased to 100",$F72/F$8*100,$F72)))))</f>
        <v/>
      </c>
      <c r="M72" s="54">
        <f>IF($B72=0,NA(),IF($G72="",NA(),IF(G$8="",NA(),IF(N(G$8)=0,NA(),IF(Inputs!$C$17="Rebased to 100",$G72/G$8*100,$G72)))))</f>
        <v/>
      </c>
      <c r="N72" s="54">
        <f>IF($B72=0,NA(),IF(Inputs!$C$18&lt;&gt;"Yes",NA(),IF(COUNT(I72,J72,K72,L72,M72)=0,NA(),MIN(I72,J72,K72,L72,M72))))</f>
        <v/>
      </c>
      <c r="O72" s="54">
        <f>IF($B72=0,NA(),IF(Inputs!$B$24&lt;&gt;"Yes",NA(),Inputs!$D$24*Inputs!$C$35))</f>
        <v/>
      </c>
      <c r="P72" s="54">
        <f>IF($B72=0,NA(),IF(Inputs!$B$25&lt;&gt;"Yes",NA(),Inputs!$D$25*Inputs!$C$35))</f>
        <v/>
      </c>
      <c r="Q72" s="54">
        <f>IF($B72=0,NA(),IF(Inputs!$B$26&lt;&gt;"Yes",NA(),Inputs!$D$26*Inputs!$C$35))</f>
        <v/>
      </c>
      <c r="R72" s="54">
        <f>IF($B72=0,NA(),IF(Inputs!$B$27&lt;&gt;"Yes",NA(),Inputs!$D$27*Inputs!$C$35))</f>
        <v/>
      </c>
      <c r="S72" s="54">
        <f>IF($B72=0,NA(),IF(Inputs!$B$28&lt;&gt;"Yes",NA(),Inputs!$D$28*Inputs!$C$35))</f>
        <v/>
      </c>
      <c r="T72" s="54">
        <f>IF($B72=0,NA(),IF(Inputs!$B$29&lt;&gt;"Yes",NA(),Inputs!$D$29*Inputs!$C$35))</f>
        <v/>
      </c>
      <c r="AD72">
        <f>IF($B72=0,0,IF(Inputs!$B$6="",0,COUNTIFS(Data!$A$10:$A$3209,"&gt;="&amp;$A72,Data!$A$10:$A$3209,"&lt;"&amp;$A72+1)))</f>
        <v/>
      </c>
      <c r="AE72">
        <f>IF($B72=0,0,IF(Inputs!$B$7="",0,COUNTIFS(Data!$E$10:$E$3209,"&gt;="&amp;$A72,Data!$E$10:$E$3209,"&lt;"&amp;$A72+1)))</f>
        <v/>
      </c>
      <c r="AF72">
        <f>IF($B72=0,0,IF(Inputs!$B$8="",0,COUNTIFS(Data!$I$10:$I$3209,"&gt;="&amp;$A72,Data!$I$10:$I$3209,"&lt;"&amp;$A72+1)))</f>
        <v/>
      </c>
      <c r="AG72">
        <f>IF($B72=0,0,IF(Inputs!$B$9="",0,COUNTIFS(Data!$M$10:$M$3209,"&gt;="&amp;$A72,Data!$M$10:$M$3209,"&lt;"&amp;$A72+1)))</f>
        <v/>
      </c>
      <c r="AH72">
        <f>IF($B72=0,0,IF(Inputs!$B$10="",0,COUNTIFS(Data!$Q$10:$Q$3209,"&gt;="&amp;$A72,Data!$Q$10:$Q$3209,"&lt;"&amp;$A72+1)))</f>
        <v/>
      </c>
    </row>
    <row r="73">
      <c r="A73" s="55">
        <f>MIN(Inputs!$C$15,$A72+IF(WEEKDAY($A72,2)=5,3,1))</f>
        <v/>
      </c>
      <c r="B73">
        <f>IF($A73&gt;$A72,1,0)</f>
        <v/>
      </c>
      <c r="C73" s="56">
        <f>IF($B73=0,"",IF(Inputs!$B$6="","",IF($AD73=0,C72,SUMIFS(Data!$B$10:$B$3209,Data!$A$10:$A$3209,"&gt;="&amp;$A73,Data!$A$10:$A$3209,"&lt;"&amp;$A73+1)/$AD73)))</f>
        <v/>
      </c>
      <c r="D73" s="56">
        <f>IF($B73=0,"",IF(Inputs!$B$7="","",IF($AE73=0,D72,SUMIFS(Data!$F$10:$F$3209,Data!$E$10:$E$3209,"&gt;="&amp;$A73,Data!$E$10:$E$3209,"&lt;"&amp;$A73+1)/$AE73)))</f>
        <v/>
      </c>
      <c r="E73" s="56">
        <f>IF($B73=0,"",IF(Inputs!$B$8="","",IF($AF73=0,E72,SUMIFS(Data!$J$10:$J$3209,Data!$I$10:$I$3209,"&gt;="&amp;$A73,Data!$I$10:$I$3209,"&lt;"&amp;$A73+1)/$AF73)))</f>
        <v/>
      </c>
      <c r="F73" s="56">
        <f>IF($B73=0,"",IF(Inputs!$B$9="","",IF($AG73=0,F72,SUMIFS(Data!$N$10:$N$3209,Data!$M$10:$M$3209,"&gt;="&amp;$A73,Data!$M$10:$M$3209,"&lt;"&amp;$A73+1)/$AG73)))</f>
        <v/>
      </c>
      <c r="G73" s="56">
        <f>IF($B73=0,"",IF(Inputs!$B$10="","",IF($AH73=0,G72,SUMIFS(Data!$R$10:$R$3209,Data!$Q$10:$Q$3209,"&gt;="&amp;$A73,Data!$Q$10:$Q$3209,"&lt;"&amp;$A73+1)/$AH73)))</f>
        <v/>
      </c>
      <c r="I73" s="54">
        <f>IF($B73=0,NA(),IF($C73="",NA(),IF(C$8="",NA(),IF(N(C$8)=0,NA(),IF(Inputs!$C$17="Rebased to 100",$C73/C$8*100,$C73)))))</f>
        <v/>
      </c>
      <c r="J73" s="54">
        <f>IF($B73=0,NA(),IF($D73="",NA(),IF(D$8="",NA(),IF(N(D$8)=0,NA(),IF(Inputs!$C$17="Rebased to 100",$D73/D$8*100,$D73)))))</f>
        <v/>
      </c>
      <c r="K73" s="54">
        <f>IF($B73=0,NA(),IF($E73="",NA(),IF(E$8="",NA(),IF(N(E$8)=0,NA(),IF(Inputs!$C$17="Rebased to 100",$E73/E$8*100,$E73)))))</f>
        <v/>
      </c>
      <c r="L73" s="54">
        <f>IF($B73=0,NA(),IF($F73="",NA(),IF(F$8="",NA(),IF(N(F$8)=0,NA(),IF(Inputs!$C$17="Rebased to 100",$F73/F$8*100,$F73)))))</f>
        <v/>
      </c>
      <c r="M73" s="54">
        <f>IF($B73=0,NA(),IF($G73="",NA(),IF(G$8="",NA(),IF(N(G$8)=0,NA(),IF(Inputs!$C$17="Rebased to 100",$G73/G$8*100,$G73)))))</f>
        <v/>
      </c>
      <c r="N73" s="54">
        <f>IF($B73=0,NA(),IF(Inputs!$C$18&lt;&gt;"Yes",NA(),IF(COUNT(I73,J73,K73,L73,M73)=0,NA(),MIN(I73,J73,K73,L73,M73))))</f>
        <v/>
      </c>
      <c r="O73" s="54">
        <f>IF($B73=0,NA(),IF(Inputs!$B$24&lt;&gt;"Yes",NA(),Inputs!$D$24*Inputs!$C$35))</f>
        <v/>
      </c>
      <c r="P73" s="54">
        <f>IF($B73=0,NA(),IF(Inputs!$B$25&lt;&gt;"Yes",NA(),Inputs!$D$25*Inputs!$C$35))</f>
        <v/>
      </c>
      <c r="Q73" s="54">
        <f>IF($B73=0,NA(),IF(Inputs!$B$26&lt;&gt;"Yes",NA(),Inputs!$D$26*Inputs!$C$35))</f>
        <v/>
      </c>
      <c r="R73" s="54">
        <f>IF($B73=0,NA(),IF(Inputs!$B$27&lt;&gt;"Yes",NA(),Inputs!$D$27*Inputs!$C$35))</f>
        <v/>
      </c>
      <c r="S73" s="54">
        <f>IF($B73=0,NA(),IF(Inputs!$B$28&lt;&gt;"Yes",NA(),Inputs!$D$28*Inputs!$C$35))</f>
        <v/>
      </c>
      <c r="T73" s="54">
        <f>IF($B73=0,NA(),IF(Inputs!$B$29&lt;&gt;"Yes",NA(),Inputs!$D$29*Inputs!$C$35))</f>
        <v/>
      </c>
      <c r="AD73">
        <f>IF($B73=0,0,IF(Inputs!$B$6="",0,COUNTIFS(Data!$A$10:$A$3209,"&gt;="&amp;$A73,Data!$A$10:$A$3209,"&lt;"&amp;$A73+1)))</f>
        <v/>
      </c>
      <c r="AE73">
        <f>IF($B73=0,0,IF(Inputs!$B$7="",0,COUNTIFS(Data!$E$10:$E$3209,"&gt;="&amp;$A73,Data!$E$10:$E$3209,"&lt;"&amp;$A73+1)))</f>
        <v/>
      </c>
      <c r="AF73">
        <f>IF($B73=0,0,IF(Inputs!$B$8="",0,COUNTIFS(Data!$I$10:$I$3209,"&gt;="&amp;$A73,Data!$I$10:$I$3209,"&lt;"&amp;$A73+1)))</f>
        <v/>
      </c>
      <c r="AG73">
        <f>IF($B73=0,0,IF(Inputs!$B$9="",0,COUNTIFS(Data!$M$10:$M$3209,"&gt;="&amp;$A73,Data!$M$10:$M$3209,"&lt;"&amp;$A73+1)))</f>
        <v/>
      </c>
      <c r="AH73">
        <f>IF($B73=0,0,IF(Inputs!$B$10="",0,COUNTIFS(Data!$Q$10:$Q$3209,"&gt;="&amp;$A73,Data!$Q$10:$Q$3209,"&lt;"&amp;$A73+1)))</f>
        <v/>
      </c>
    </row>
    <row r="74">
      <c r="A74" s="55">
        <f>MIN(Inputs!$C$15,$A73+IF(WEEKDAY($A73,2)=5,3,1))</f>
        <v/>
      </c>
      <c r="B74">
        <f>IF($A74&gt;$A73,1,0)</f>
        <v/>
      </c>
      <c r="C74" s="56">
        <f>IF($B74=0,"",IF(Inputs!$B$6="","",IF($AD74=0,C73,SUMIFS(Data!$B$10:$B$3209,Data!$A$10:$A$3209,"&gt;="&amp;$A74,Data!$A$10:$A$3209,"&lt;"&amp;$A74+1)/$AD74)))</f>
        <v/>
      </c>
      <c r="D74" s="56">
        <f>IF($B74=0,"",IF(Inputs!$B$7="","",IF($AE74=0,D73,SUMIFS(Data!$F$10:$F$3209,Data!$E$10:$E$3209,"&gt;="&amp;$A74,Data!$E$10:$E$3209,"&lt;"&amp;$A74+1)/$AE74)))</f>
        <v/>
      </c>
      <c r="E74" s="56">
        <f>IF($B74=0,"",IF(Inputs!$B$8="","",IF($AF74=0,E73,SUMIFS(Data!$J$10:$J$3209,Data!$I$10:$I$3209,"&gt;="&amp;$A74,Data!$I$10:$I$3209,"&lt;"&amp;$A74+1)/$AF74)))</f>
        <v/>
      </c>
      <c r="F74" s="56">
        <f>IF($B74=0,"",IF(Inputs!$B$9="","",IF($AG74=0,F73,SUMIFS(Data!$N$10:$N$3209,Data!$M$10:$M$3209,"&gt;="&amp;$A74,Data!$M$10:$M$3209,"&lt;"&amp;$A74+1)/$AG74)))</f>
        <v/>
      </c>
      <c r="G74" s="56">
        <f>IF($B74=0,"",IF(Inputs!$B$10="","",IF($AH74=0,G73,SUMIFS(Data!$R$10:$R$3209,Data!$Q$10:$Q$3209,"&gt;="&amp;$A74,Data!$Q$10:$Q$3209,"&lt;"&amp;$A74+1)/$AH74)))</f>
        <v/>
      </c>
      <c r="I74" s="54">
        <f>IF($B74=0,NA(),IF($C74="",NA(),IF(C$8="",NA(),IF(N(C$8)=0,NA(),IF(Inputs!$C$17="Rebased to 100",$C74/C$8*100,$C74)))))</f>
        <v/>
      </c>
      <c r="J74" s="54">
        <f>IF($B74=0,NA(),IF($D74="",NA(),IF(D$8="",NA(),IF(N(D$8)=0,NA(),IF(Inputs!$C$17="Rebased to 100",$D74/D$8*100,$D74)))))</f>
        <v/>
      </c>
      <c r="K74" s="54">
        <f>IF($B74=0,NA(),IF($E74="",NA(),IF(E$8="",NA(),IF(N(E$8)=0,NA(),IF(Inputs!$C$17="Rebased to 100",$E74/E$8*100,$E74)))))</f>
        <v/>
      </c>
      <c r="L74" s="54">
        <f>IF($B74=0,NA(),IF($F74="",NA(),IF(F$8="",NA(),IF(N(F$8)=0,NA(),IF(Inputs!$C$17="Rebased to 100",$F74/F$8*100,$F74)))))</f>
        <v/>
      </c>
      <c r="M74" s="54">
        <f>IF($B74=0,NA(),IF($G74="",NA(),IF(G$8="",NA(),IF(N(G$8)=0,NA(),IF(Inputs!$C$17="Rebased to 100",$G74/G$8*100,$G74)))))</f>
        <v/>
      </c>
      <c r="N74" s="54">
        <f>IF($B74=0,NA(),IF(Inputs!$C$18&lt;&gt;"Yes",NA(),IF(COUNT(I74,J74,K74,L74,M74)=0,NA(),MIN(I74,J74,K74,L74,M74))))</f>
        <v/>
      </c>
      <c r="O74" s="54">
        <f>IF($B74=0,NA(),IF(Inputs!$B$24&lt;&gt;"Yes",NA(),Inputs!$D$24*Inputs!$C$35))</f>
        <v/>
      </c>
      <c r="P74" s="54">
        <f>IF($B74=0,NA(),IF(Inputs!$B$25&lt;&gt;"Yes",NA(),Inputs!$D$25*Inputs!$C$35))</f>
        <v/>
      </c>
      <c r="Q74" s="54">
        <f>IF($B74=0,NA(),IF(Inputs!$B$26&lt;&gt;"Yes",NA(),Inputs!$D$26*Inputs!$C$35))</f>
        <v/>
      </c>
      <c r="R74" s="54">
        <f>IF($B74=0,NA(),IF(Inputs!$B$27&lt;&gt;"Yes",NA(),Inputs!$D$27*Inputs!$C$35))</f>
        <v/>
      </c>
      <c r="S74" s="54">
        <f>IF($B74=0,NA(),IF(Inputs!$B$28&lt;&gt;"Yes",NA(),Inputs!$D$28*Inputs!$C$35))</f>
        <v/>
      </c>
      <c r="T74" s="54">
        <f>IF($B74=0,NA(),IF(Inputs!$B$29&lt;&gt;"Yes",NA(),Inputs!$D$29*Inputs!$C$35))</f>
        <v/>
      </c>
      <c r="AD74">
        <f>IF($B74=0,0,IF(Inputs!$B$6="",0,COUNTIFS(Data!$A$10:$A$3209,"&gt;="&amp;$A74,Data!$A$10:$A$3209,"&lt;"&amp;$A74+1)))</f>
        <v/>
      </c>
      <c r="AE74">
        <f>IF($B74=0,0,IF(Inputs!$B$7="",0,COUNTIFS(Data!$E$10:$E$3209,"&gt;="&amp;$A74,Data!$E$10:$E$3209,"&lt;"&amp;$A74+1)))</f>
        <v/>
      </c>
      <c r="AF74">
        <f>IF($B74=0,0,IF(Inputs!$B$8="",0,COUNTIFS(Data!$I$10:$I$3209,"&gt;="&amp;$A74,Data!$I$10:$I$3209,"&lt;"&amp;$A74+1)))</f>
        <v/>
      </c>
      <c r="AG74">
        <f>IF($B74=0,0,IF(Inputs!$B$9="",0,COUNTIFS(Data!$M$10:$M$3209,"&gt;="&amp;$A74,Data!$M$10:$M$3209,"&lt;"&amp;$A74+1)))</f>
        <v/>
      </c>
      <c r="AH74">
        <f>IF($B74=0,0,IF(Inputs!$B$10="",0,COUNTIFS(Data!$Q$10:$Q$3209,"&gt;="&amp;$A74,Data!$Q$10:$Q$3209,"&lt;"&amp;$A74+1)))</f>
        <v/>
      </c>
    </row>
    <row r="75">
      <c r="A75" s="55">
        <f>MIN(Inputs!$C$15,$A74+IF(WEEKDAY($A74,2)=5,3,1))</f>
        <v/>
      </c>
      <c r="B75">
        <f>IF($A75&gt;$A74,1,0)</f>
        <v/>
      </c>
      <c r="C75" s="56">
        <f>IF($B75=0,"",IF(Inputs!$B$6="","",IF($AD75=0,C74,SUMIFS(Data!$B$10:$B$3209,Data!$A$10:$A$3209,"&gt;="&amp;$A75,Data!$A$10:$A$3209,"&lt;"&amp;$A75+1)/$AD75)))</f>
        <v/>
      </c>
      <c r="D75" s="56">
        <f>IF($B75=0,"",IF(Inputs!$B$7="","",IF($AE75=0,D74,SUMIFS(Data!$F$10:$F$3209,Data!$E$10:$E$3209,"&gt;="&amp;$A75,Data!$E$10:$E$3209,"&lt;"&amp;$A75+1)/$AE75)))</f>
        <v/>
      </c>
      <c r="E75" s="56">
        <f>IF($B75=0,"",IF(Inputs!$B$8="","",IF($AF75=0,E74,SUMIFS(Data!$J$10:$J$3209,Data!$I$10:$I$3209,"&gt;="&amp;$A75,Data!$I$10:$I$3209,"&lt;"&amp;$A75+1)/$AF75)))</f>
        <v/>
      </c>
      <c r="F75" s="56">
        <f>IF($B75=0,"",IF(Inputs!$B$9="","",IF($AG75=0,F74,SUMIFS(Data!$N$10:$N$3209,Data!$M$10:$M$3209,"&gt;="&amp;$A75,Data!$M$10:$M$3209,"&lt;"&amp;$A75+1)/$AG75)))</f>
        <v/>
      </c>
      <c r="G75" s="56">
        <f>IF($B75=0,"",IF(Inputs!$B$10="","",IF($AH75=0,G74,SUMIFS(Data!$R$10:$R$3209,Data!$Q$10:$Q$3209,"&gt;="&amp;$A75,Data!$Q$10:$Q$3209,"&lt;"&amp;$A75+1)/$AH75)))</f>
        <v/>
      </c>
      <c r="I75" s="54">
        <f>IF($B75=0,NA(),IF($C75="",NA(),IF(C$8="",NA(),IF(N(C$8)=0,NA(),IF(Inputs!$C$17="Rebased to 100",$C75/C$8*100,$C75)))))</f>
        <v/>
      </c>
      <c r="J75" s="54">
        <f>IF($B75=0,NA(),IF($D75="",NA(),IF(D$8="",NA(),IF(N(D$8)=0,NA(),IF(Inputs!$C$17="Rebased to 100",$D75/D$8*100,$D75)))))</f>
        <v/>
      </c>
      <c r="K75" s="54">
        <f>IF($B75=0,NA(),IF($E75="",NA(),IF(E$8="",NA(),IF(N(E$8)=0,NA(),IF(Inputs!$C$17="Rebased to 100",$E75/E$8*100,$E75)))))</f>
        <v/>
      </c>
      <c r="L75" s="54">
        <f>IF($B75=0,NA(),IF($F75="",NA(),IF(F$8="",NA(),IF(N(F$8)=0,NA(),IF(Inputs!$C$17="Rebased to 100",$F75/F$8*100,$F75)))))</f>
        <v/>
      </c>
      <c r="M75" s="54">
        <f>IF($B75=0,NA(),IF($G75="",NA(),IF(G$8="",NA(),IF(N(G$8)=0,NA(),IF(Inputs!$C$17="Rebased to 100",$G75/G$8*100,$G75)))))</f>
        <v/>
      </c>
      <c r="N75" s="54">
        <f>IF($B75=0,NA(),IF(Inputs!$C$18&lt;&gt;"Yes",NA(),IF(COUNT(I75,J75,K75,L75,M75)=0,NA(),MIN(I75,J75,K75,L75,M75))))</f>
        <v/>
      </c>
      <c r="O75" s="54">
        <f>IF($B75=0,NA(),IF(Inputs!$B$24&lt;&gt;"Yes",NA(),Inputs!$D$24*Inputs!$C$35))</f>
        <v/>
      </c>
      <c r="P75" s="54">
        <f>IF($B75=0,NA(),IF(Inputs!$B$25&lt;&gt;"Yes",NA(),Inputs!$D$25*Inputs!$C$35))</f>
        <v/>
      </c>
      <c r="Q75" s="54">
        <f>IF($B75=0,NA(),IF(Inputs!$B$26&lt;&gt;"Yes",NA(),Inputs!$D$26*Inputs!$C$35))</f>
        <v/>
      </c>
      <c r="R75" s="54">
        <f>IF($B75=0,NA(),IF(Inputs!$B$27&lt;&gt;"Yes",NA(),Inputs!$D$27*Inputs!$C$35))</f>
        <v/>
      </c>
      <c r="S75" s="54">
        <f>IF($B75=0,NA(),IF(Inputs!$B$28&lt;&gt;"Yes",NA(),Inputs!$D$28*Inputs!$C$35))</f>
        <v/>
      </c>
      <c r="T75" s="54">
        <f>IF($B75=0,NA(),IF(Inputs!$B$29&lt;&gt;"Yes",NA(),Inputs!$D$29*Inputs!$C$35))</f>
        <v/>
      </c>
      <c r="AD75">
        <f>IF($B75=0,0,IF(Inputs!$B$6="",0,COUNTIFS(Data!$A$10:$A$3209,"&gt;="&amp;$A75,Data!$A$10:$A$3209,"&lt;"&amp;$A75+1)))</f>
        <v/>
      </c>
      <c r="AE75">
        <f>IF($B75=0,0,IF(Inputs!$B$7="",0,COUNTIFS(Data!$E$10:$E$3209,"&gt;="&amp;$A75,Data!$E$10:$E$3209,"&lt;"&amp;$A75+1)))</f>
        <v/>
      </c>
      <c r="AF75">
        <f>IF($B75=0,0,IF(Inputs!$B$8="",0,COUNTIFS(Data!$I$10:$I$3209,"&gt;="&amp;$A75,Data!$I$10:$I$3209,"&lt;"&amp;$A75+1)))</f>
        <v/>
      </c>
      <c r="AG75">
        <f>IF($B75=0,0,IF(Inputs!$B$9="",0,COUNTIFS(Data!$M$10:$M$3209,"&gt;="&amp;$A75,Data!$M$10:$M$3209,"&lt;"&amp;$A75+1)))</f>
        <v/>
      </c>
      <c r="AH75">
        <f>IF($B75=0,0,IF(Inputs!$B$10="",0,COUNTIFS(Data!$Q$10:$Q$3209,"&gt;="&amp;$A75,Data!$Q$10:$Q$3209,"&lt;"&amp;$A75+1)))</f>
        <v/>
      </c>
    </row>
    <row r="76">
      <c r="A76" s="55">
        <f>MIN(Inputs!$C$15,$A75+IF(WEEKDAY($A75,2)=5,3,1))</f>
        <v/>
      </c>
      <c r="B76">
        <f>IF($A76&gt;$A75,1,0)</f>
        <v/>
      </c>
      <c r="C76" s="56">
        <f>IF($B76=0,"",IF(Inputs!$B$6="","",IF($AD76=0,C75,SUMIFS(Data!$B$10:$B$3209,Data!$A$10:$A$3209,"&gt;="&amp;$A76,Data!$A$10:$A$3209,"&lt;"&amp;$A76+1)/$AD76)))</f>
        <v/>
      </c>
      <c r="D76" s="56">
        <f>IF($B76=0,"",IF(Inputs!$B$7="","",IF($AE76=0,D75,SUMIFS(Data!$F$10:$F$3209,Data!$E$10:$E$3209,"&gt;="&amp;$A76,Data!$E$10:$E$3209,"&lt;"&amp;$A76+1)/$AE76)))</f>
        <v/>
      </c>
      <c r="E76" s="56">
        <f>IF($B76=0,"",IF(Inputs!$B$8="","",IF($AF76=0,E75,SUMIFS(Data!$J$10:$J$3209,Data!$I$10:$I$3209,"&gt;="&amp;$A76,Data!$I$10:$I$3209,"&lt;"&amp;$A76+1)/$AF76)))</f>
        <v/>
      </c>
      <c r="F76" s="56">
        <f>IF($B76=0,"",IF(Inputs!$B$9="","",IF($AG76=0,F75,SUMIFS(Data!$N$10:$N$3209,Data!$M$10:$M$3209,"&gt;="&amp;$A76,Data!$M$10:$M$3209,"&lt;"&amp;$A76+1)/$AG76)))</f>
        <v/>
      </c>
      <c r="G76" s="56">
        <f>IF($B76=0,"",IF(Inputs!$B$10="","",IF($AH76=0,G75,SUMIFS(Data!$R$10:$R$3209,Data!$Q$10:$Q$3209,"&gt;="&amp;$A76,Data!$Q$10:$Q$3209,"&lt;"&amp;$A76+1)/$AH76)))</f>
        <v/>
      </c>
      <c r="I76" s="54">
        <f>IF($B76=0,NA(),IF($C76="",NA(),IF(C$8="",NA(),IF(N(C$8)=0,NA(),IF(Inputs!$C$17="Rebased to 100",$C76/C$8*100,$C76)))))</f>
        <v/>
      </c>
      <c r="J76" s="54">
        <f>IF($B76=0,NA(),IF($D76="",NA(),IF(D$8="",NA(),IF(N(D$8)=0,NA(),IF(Inputs!$C$17="Rebased to 100",$D76/D$8*100,$D76)))))</f>
        <v/>
      </c>
      <c r="K76" s="54">
        <f>IF($B76=0,NA(),IF($E76="",NA(),IF(E$8="",NA(),IF(N(E$8)=0,NA(),IF(Inputs!$C$17="Rebased to 100",$E76/E$8*100,$E76)))))</f>
        <v/>
      </c>
      <c r="L76" s="54">
        <f>IF($B76=0,NA(),IF($F76="",NA(),IF(F$8="",NA(),IF(N(F$8)=0,NA(),IF(Inputs!$C$17="Rebased to 100",$F76/F$8*100,$F76)))))</f>
        <v/>
      </c>
      <c r="M76" s="54">
        <f>IF($B76=0,NA(),IF($G76="",NA(),IF(G$8="",NA(),IF(N(G$8)=0,NA(),IF(Inputs!$C$17="Rebased to 100",$G76/G$8*100,$G76)))))</f>
        <v/>
      </c>
      <c r="N76" s="54">
        <f>IF($B76=0,NA(),IF(Inputs!$C$18&lt;&gt;"Yes",NA(),IF(COUNT(I76,J76,K76,L76,M76)=0,NA(),MIN(I76,J76,K76,L76,M76))))</f>
        <v/>
      </c>
      <c r="O76" s="54">
        <f>IF($B76=0,NA(),IF(Inputs!$B$24&lt;&gt;"Yes",NA(),Inputs!$D$24*Inputs!$C$35))</f>
        <v/>
      </c>
      <c r="P76" s="54">
        <f>IF($B76=0,NA(),IF(Inputs!$B$25&lt;&gt;"Yes",NA(),Inputs!$D$25*Inputs!$C$35))</f>
        <v/>
      </c>
      <c r="Q76" s="54">
        <f>IF($B76=0,NA(),IF(Inputs!$B$26&lt;&gt;"Yes",NA(),Inputs!$D$26*Inputs!$C$35))</f>
        <v/>
      </c>
      <c r="R76" s="54">
        <f>IF($B76=0,NA(),IF(Inputs!$B$27&lt;&gt;"Yes",NA(),Inputs!$D$27*Inputs!$C$35))</f>
        <v/>
      </c>
      <c r="S76" s="54">
        <f>IF($B76=0,NA(),IF(Inputs!$B$28&lt;&gt;"Yes",NA(),Inputs!$D$28*Inputs!$C$35))</f>
        <v/>
      </c>
      <c r="T76" s="54">
        <f>IF($B76=0,NA(),IF(Inputs!$B$29&lt;&gt;"Yes",NA(),Inputs!$D$29*Inputs!$C$35))</f>
        <v/>
      </c>
      <c r="AD76">
        <f>IF($B76=0,0,IF(Inputs!$B$6="",0,COUNTIFS(Data!$A$10:$A$3209,"&gt;="&amp;$A76,Data!$A$10:$A$3209,"&lt;"&amp;$A76+1)))</f>
        <v/>
      </c>
      <c r="AE76">
        <f>IF($B76=0,0,IF(Inputs!$B$7="",0,COUNTIFS(Data!$E$10:$E$3209,"&gt;="&amp;$A76,Data!$E$10:$E$3209,"&lt;"&amp;$A76+1)))</f>
        <v/>
      </c>
      <c r="AF76">
        <f>IF($B76=0,0,IF(Inputs!$B$8="",0,COUNTIFS(Data!$I$10:$I$3209,"&gt;="&amp;$A76,Data!$I$10:$I$3209,"&lt;"&amp;$A76+1)))</f>
        <v/>
      </c>
      <c r="AG76">
        <f>IF($B76=0,0,IF(Inputs!$B$9="",0,COUNTIFS(Data!$M$10:$M$3209,"&gt;="&amp;$A76,Data!$M$10:$M$3209,"&lt;"&amp;$A76+1)))</f>
        <v/>
      </c>
      <c r="AH76">
        <f>IF($B76=0,0,IF(Inputs!$B$10="",0,COUNTIFS(Data!$Q$10:$Q$3209,"&gt;="&amp;$A76,Data!$Q$10:$Q$3209,"&lt;"&amp;$A76+1)))</f>
        <v/>
      </c>
    </row>
    <row r="77">
      <c r="A77" s="55">
        <f>MIN(Inputs!$C$15,$A76+IF(WEEKDAY($A76,2)=5,3,1))</f>
        <v/>
      </c>
      <c r="B77">
        <f>IF($A77&gt;$A76,1,0)</f>
        <v/>
      </c>
      <c r="C77" s="56">
        <f>IF($B77=0,"",IF(Inputs!$B$6="","",IF($AD77=0,C76,SUMIFS(Data!$B$10:$B$3209,Data!$A$10:$A$3209,"&gt;="&amp;$A77,Data!$A$10:$A$3209,"&lt;"&amp;$A77+1)/$AD77)))</f>
        <v/>
      </c>
      <c r="D77" s="56">
        <f>IF($B77=0,"",IF(Inputs!$B$7="","",IF($AE77=0,D76,SUMIFS(Data!$F$10:$F$3209,Data!$E$10:$E$3209,"&gt;="&amp;$A77,Data!$E$10:$E$3209,"&lt;"&amp;$A77+1)/$AE77)))</f>
        <v/>
      </c>
      <c r="E77" s="56">
        <f>IF($B77=0,"",IF(Inputs!$B$8="","",IF($AF77=0,E76,SUMIFS(Data!$J$10:$J$3209,Data!$I$10:$I$3209,"&gt;="&amp;$A77,Data!$I$10:$I$3209,"&lt;"&amp;$A77+1)/$AF77)))</f>
        <v/>
      </c>
      <c r="F77" s="56">
        <f>IF($B77=0,"",IF(Inputs!$B$9="","",IF($AG77=0,F76,SUMIFS(Data!$N$10:$N$3209,Data!$M$10:$M$3209,"&gt;="&amp;$A77,Data!$M$10:$M$3209,"&lt;"&amp;$A77+1)/$AG77)))</f>
        <v/>
      </c>
      <c r="G77" s="56">
        <f>IF($B77=0,"",IF(Inputs!$B$10="","",IF($AH77=0,G76,SUMIFS(Data!$R$10:$R$3209,Data!$Q$10:$Q$3209,"&gt;="&amp;$A77,Data!$Q$10:$Q$3209,"&lt;"&amp;$A77+1)/$AH77)))</f>
        <v/>
      </c>
      <c r="I77" s="54">
        <f>IF($B77=0,NA(),IF($C77="",NA(),IF(C$8="",NA(),IF(N(C$8)=0,NA(),IF(Inputs!$C$17="Rebased to 100",$C77/C$8*100,$C77)))))</f>
        <v/>
      </c>
      <c r="J77" s="54">
        <f>IF($B77=0,NA(),IF($D77="",NA(),IF(D$8="",NA(),IF(N(D$8)=0,NA(),IF(Inputs!$C$17="Rebased to 100",$D77/D$8*100,$D77)))))</f>
        <v/>
      </c>
      <c r="K77" s="54">
        <f>IF($B77=0,NA(),IF($E77="",NA(),IF(E$8="",NA(),IF(N(E$8)=0,NA(),IF(Inputs!$C$17="Rebased to 100",$E77/E$8*100,$E77)))))</f>
        <v/>
      </c>
      <c r="L77" s="54">
        <f>IF($B77=0,NA(),IF($F77="",NA(),IF(F$8="",NA(),IF(N(F$8)=0,NA(),IF(Inputs!$C$17="Rebased to 100",$F77/F$8*100,$F77)))))</f>
        <v/>
      </c>
      <c r="M77" s="54">
        <f>IF($B77=0,NA(),IF($G77="",NA(),IF(G$8="",NA(),IF(N(G$8)=0,NA(),IF(Inputs!$C$17="Rebased to 100",$G77/G$8*100,$G77)))))</f>
        <v/>
      </c>
      <c r="N77" s="54">
        <f>IF($B77=0,NA(),IF(Inputs!$C$18&lt;&gt;"Yes",NA(),IF(COUNT(I77,J77,K77,L77,M77)=0,NA(),MIN(I77,J77,K77,L77,M77))))</f>
        <v/>
      </c>
      <c r="O77" s="54">
        <f>IF($B77=0,NA(),IF(Inputs!$B$24&lt;&gt;"Yes",NA(),Inputs!$D$24*Inputs!$C$35))</f>
        <v/>
      </c>
      <c r="P77" s="54">
        <f>IF($B77=0,NA(),IF(Inputs!$B$25&lt;&gt;"Yes",NA(),Inputs!$D$25*Inputs!$C$35))</f>
        <v/>
      </c>
      <c r="Q77" s="54">
        <f>IF($B77=0,NA(),IF(Inputs!$B$26&lt;&gt;"Yes",NA(),Inputs!$D$26*Inputs!$C$35))</f>
        <v/>
      </c>
      <c r="R77" s="54">
        <f>IF($B77=0,NA(),IF(Inputs!$B$27&lt;&gt;"Yes",NA(),Inputs!$D$27*Inputs!$C$35))</f>
        <v/>
      </c>
      <c r="S77" s="54">
        <f>IF($B77=0,NA(),IF(Inputs!$B$28&lt;&gt;"Yes",NA(),Inputs!$D$28*Inputs!$C$35))</f>
        <v/>
      </c>
      <c r="T77" s="54">
        <f>IF($B77=0,NA(),IF(Inputs!$B$29&lt;&gt;"Yes",NA(),Inputs!$D$29*Inputs!$C$35))</f>
        <v/>
      </c>
      <c r="AD77">
        <f>IF($B77=0,0,IF(Inputs!$B$6="",0,COUNTIFS(Data!$A$10:$A$3209,"&gt;="&amp;$A77,Data!$A$10:$A$3209,"&lt;"&amp;$A77+1)))</f>
        <v/>
      </c>
      <c r="AE77">
        <f>IF($B77=0,0,IF(Inputs!$B$7="",0,COUNTIFS(Data!$E$10:$E$3209,"&gt;="&amp;$A77,Data!$E$10:$E$3209,"&lt;"&amp;$A77+1)))</f>
        <v/>
      </c>
      <c r="AF77">
        <f>IF($B77=0,0,IF(Inputs!$B$8="",0,COUNTIFS(Data!$I$10:$I$3209,"&gt;="&amp;$A77,Data!$I$10:$I$3209,"&lt;"&amp;$A77+1)))</f>
        <v/>
      </c>
      <c r="AG77">
        <f>IF($B77=0,0,IF(Inputs!$B$9="",0,COUNTIFS(Data!$M$10:$M$3209,"&gt;="&amp;$A77,Data!$M$10:$M$3209,"&lt;"&amp;$A77+1)))</f>
        <v/>
      </c>
      <c r="AH77">
        <f>IF($B77=0,0,IF(Inputs!$B$10="",0,COUNTIFS(Data!$Q$10:$Q$3209,"&gt;="&amp;$A77,Data!$Q$10:$Q$3209,"&lt;"&amp;$A77+1)))</f>
        <v/>
      </c>
    </row>
    <row r="78">
      <c r="A78" s="55">
        <f>MIN(Inputs!$C$15,$A77+IF(WEEKDAY($A77,2)=5,3,1))</f>
        <v/>
      </c>
      <c r="B78">
        <f>IF($A78&gt;$A77,1,0)</f>
        <v/>
      </c>
      <c r="C78" s="56">
        <f>IF($B78=0,"",IF(Inputs!$B$6="","",IF($AD78=0,C77,SUMIFS(Data!$B$10:$B$3209,Data!$A$10:$A$3209,"&gt;="&amp;$A78,Data!$A$10:$A$3209,"&lt;"&amp;$A78+1)/$AD78)))</f>
        <v/>
      </c>
      <c r="D78" s="56">
        <f>IF($B78=0,"",IF(Inputs!$B$7="","",IF($AE78=0,D77,SUMIFS(Data!$F$10:$F$3209,Data!$E$10:$E$3209,"&gt;="&amp;$A78,Data!$E$10:$E$3209,"&lt;"&amp;$A78+1)/$AE78)))</f>
        <v/>
      </c>
      <c r="E78" s="56">
        <f>IF($B78=0,"",IF(Inputs!$B$8="","",IF($AF78=0,E77,SUMIFS(Data!$J$10:$J$3209,Data!$I$10:$I$3209,"&gt;="&amp;$A78,Data!$I$10:$I$3209,"&lt;"&amp;$A78+1)/$AF78)))</f>
        <v/>
      </c>
      <c r="F78" s="56">
        <f>IF($B78=0,"",IF(Inputs!$B$9="","",IF($AG78=0,F77,SUMIFS(Data!$N$10:$N$3209,Data!$M$10:$M$3209,"&gt;="&amp;$A78,Data!$M$10:$M$3209,"&lt;"&amp;$A78+1)/$AG78)))</f>
        <v/>
      </c>
      <c r="G78" s="56">
        <f>IF($B78=0,"",IF(Inputs!$B$10="","",IF($AH78=0,G77,SUMIFS(Data!$R$10:$R$3209,Data!$Q$10:$Q$3209,"&gt;="&amp;$A78,Data!$Q$10:$Q$3209,"&lt;"&amp;$A78+1)/$AH78)))</f>
        <v/>
      </c>
      <c r="I78" s="54">
        <f>IF($B78=0,NA(),IF($C78="",NA(),IF(C$8="",NA(),IF(N(C$8)=0,NA(),IF(Inputs!$C$17="Rebased to 100",$C78/C$8*100,$C78)))))</f>
        <v/>
      </c>
      <c r="J78" s="54">
        <f>IF($B78=0,NA(),IF($D78="",NA(),IF(D$8="",NA(),IF(N(D$8)=0,NA(),IF(Inputs!$C$17="Rebased to 100",$D78/D$8*100,$D78)))))</f>
        <v/>
      </c>
      <c r="K78" s="54">
        <f>IF($B78=0,NA(),IF($E78="",NA(),IF(E$8="",NA(),IF(N(E$8)=0,NA(),IF(Inputs!$C$17="Rebased to 100",$E78/E$8*100,$E78)))))</f>
        <v/>
      </c>
      <c r="L78" s="54">
        <f>IF($B78=0,NA(),IF($F78="",NA(),IF(F$8="",NA(),IF(N(F$8)=0,NA(),IF(Inputs!$C$17="Rebased to 100",$F78/F$8*100,$F78)))))</f>
        <v/>
      </c>
      <c r="M78" s="54">
        <f>IF($B78=0,NA(),IF($G78="",NA(),IF(G$8="",NA(),IF(N(G$8)=0,NA(),IF(Inputs!$C$17="Rebased to 100",$G78/G$8*100,$G78)))))</f>
        <v/>
      </c>
      <c r="N78" s="54">
        <f>IF($B78=0,NA(),IF(Inputs!$C$18&lt;&gt;"Yes",NA(),IF(COUNT(I78,J78,K78,L78,M78)=0,NA(),MIN(I78,J78,K78,L78,M78))))</f>
        <v/>
      </c>
      <c r="O78" s="54">
        <f>IF($B78=0,NA(),IF(Inputs!$B$24&lt;&gt;"Yes",NA(),Inputs!$D$24*Inputs!$C$35))</f>
        <v/>
      </c>
      <c r="P78" s="54">
        <f>IF($B78=0,NA(),IF(Inputs!$B$25&lt;&gt;"Yes",NA(),Inputs!$D$25*Inputs!$C$35))</f>
        <v/>
      </c>
      <c r="Q78" s="54">
        <f>IF($B78=0,NA(),IF(Inputs!$B$26&lt;&gt;"Yes",NA(),Inputs!$D$26*Inputs!$C$35))</f>
        <v/>
      </c>
      <c r="R78" s="54">
        <f>IF($B78=0,NA(),IF(Inputs!$B$27&lt;&gt;"Yes",NA(),Inputs!$D$27*Inputs!$C$35))</f>
        <v/>
      </c>
      <c r="S78" s="54">
        <f>IF($B78=0,NA(),IF(Inputs!$B$28&lt;&gt;"Yes",NA(),Inputs!$D$28*Inputs!$C$35))</f>
        <v/>
      </c>
      <c r="T78" s="54">
        <f>IF($B78=0,NA(),IF(Inputs!$B$29&lt;&gt;"Yes",NA(),Inputs!$D$29*Inputs!$C$35))</f>
        <v/>
      </c>
      <c r="AD78">
        <f>IF($B78=0,0,IF(Inputs!$B$6="",0,COUNTIFS(Data!$A$10:$A$3209,"&gt;="&amp;$A78,Data!$A$10:$A$3209,"&lt;"&amp;$A78+1)))</f>
        <v/>
      </c>
      <c r="AE78">
        <f>IF($B78=0,0,IF(Inputs!$B$7="",0,COUNTIFS(Data!$E$10:$E$3209,"&gt;="&amp;$A78,Data!$E$10:$E$3209,"&lt;"&amp;$A78+1)))</f>
        <v/>
      </c>
      <c r="AF78">
        <f>IF($B78=0,0,IF(Inputs!$B$8="",0,COUNTIFS(Data!$I$10:$I$3209,"&gt;="&amp;$A78,Data!$I$10:$I$3209,"&lt;"&amp;$A78+1)))</f>
        <v/>
      </c>
      <c r="AG78">
        <f>IF($B78=0,0,IF(Inputs!$B$9="",0,COUNTIFS(Data!$M$10:$M$3209,"&gt;="&amp;$A78,Data!$M$10:$M$3209,"&lt;"&amp;$A78+1)))</f>
        <v/>
      </c>
      <c r="AH78">
        <f>IF($B78=0,0,IF(Inputs!$B$10="",0,COUNTIFS(Data!$Q$10:$Q$3209,"&gt;="&amp;$A78,Data!$Q$10:$Q$3209,"&lt;"&amp;$A78+1)))</f>
        <v/>
      </c>
    </row>
    <row r="79">
      <c r="A79" s="55">
        <f>MIN(Inputs!$C$15,$A78+IF(WEEKDAY($A78,2)=5,3,1))</f>
        <v/>
      </c>
      <c r="B79">
        <f>IF($A79&gt;$A78,1,0)</f>
        <v/>
      </c>
      <c r="C79" s="56">
        <f>IF($B79=0,"",IF(Inputs!$B$6="","",IF($AD79=0,C78,SUMIFS(Data!$B$10:$B$3209,Data!$A$10:$A$3209,"&gt;="&amp;$A79,Data!$A$10:$A$3209,"&lt;"&amp;$A79+1)/$AD79)))</f>
        <v/>
      </c>
      <c r="D79" s="56">
        <f>IF($B79=0,"",IF(Inputs!$B$7="","",IF($AE79=0,D78,SUMIFS(Data!$F$10:$F$3209,Data!$E$10:$E$3209,"&gt;="&amp;$A79,Data!$E$10:$E$3209,"&lt;"&amp;$A79+1)/$AE79)))</f>
        <v/>
      </c>
      <c r="E79" s="56">
        <f>IF($B79=0,"",IF(Inputs!$B$8="","",IF($AF79=0,E78,SUMIFS(Data!$J$10:$J$3209,Data!$I$10:$I$3209,"&gt;="&amp;$A79,Data!$I$10:$I$3209,"&lt;"&amp;$A79+1)/$AF79)))</f>
        <v/>
      </c>
      <c r="F79" s="56">
        <f>IF($B79=0,"",IF(Inputs!$B$9="","",IF($AG79=0,F78,SUMIFS(Data!$N$10:$N$3209,Data!$M$10:$M$3209,"&gt;="&amp;$A79,Data!$M$10:$M$3209,"&lt;"&amp;$A79+1)/$AG79)))</f>
        <v/>
      </c>
      <c r="G79" s="56">
        <f>IF($B79=0,"",IF(Inputs!$B$10="","",IF($AH79=0,G78,SUMIFS(Data!$R$10:$R$3209,Data!$Q$10:$Q$3209,"&gt;="&amp;$A79,Data!$Q$10:$Q$3209,"&lt;"&amp;$A79+1)/$AH79)))</f>
        <v/>
      </c>
      <c r="I79" s="54">
        <f>IF($B79=0,NA(),IF($C79="",NA(),IF(C$8="",NA(),IF(N(C$8)=0,NA(),IF(Inputs!$C$17="Rebased to 100",$C79/C$8*100,$C79)))))</f>
        <v/>
      </c>
      <c r="J79" s="54">
        <f>IF($B79=0,NA(),IF($D79="",NA(),IF(D$8="",NA(),IF(N(D$8)=0,NA(),IF(Inputs!$C$17="Rebased to 100",$D79/D$8*100,$D79)))))</f>
        <v/>
      </c>
      <c r="K79" s="54">
        <f>IF($B79=0,NA(),IF($E79="",NA(),IF(E$8="",NA(),IF(N(E$8)=0,NA(),IF(Inputs!$C$17="Rebased to 100",$E79/E$8*100,$E79)))))</f>
        <v/>
      </c>
      <c r="L79" s="54">
        <f>IF($B79=0,NA(),IF($F79="",NA(),IF(F$8="",NA(),IF(N(F$8)=0,NA(),IF(Inputs!$C$17="Rebased to 100",$F79/F$8*100,$F79)))))</f>
        <v/>
      </c>
      <c r="M79" s="54">
        <f>IF($B79=0,NA(),IF($G79="",NA(),IF(G$8="",NA(),IF(N(G$8)=0,NA(),IF(Inputs!$C$17="Rebased to 100",$G79/G$8*100,$G79)))))</f>
        <v/>
      </c>
      <c r="N79" s="54">
        <f>IF($B79=0,NA(),IF(Inputs!$C$18&lt;&gt;"Yes",NA(),IF(COUNT(I79,J79,K79,L79,M79)=0,NA(),MIN(I79,J79,K79,L79,M79))))</f>
        <v/>
      </c>
      <c r="O79" s="54">
        <f>IF($B79=0,NA(),IF(Inputs!$B$24&lt;&gt;"Yes",NA(),Inputs!$D$24*Inputs!$C$35))</f>
        <v/>
      </c>
      <c r="P79" s="54">
        <f>IF($B79=0,NA(),IF(Inputs!$B$25&lt;&gt;"Yes",NA(),Inputs!$D$25*Inputs!$C$35))</f>
        <v/>
      </c>
      <c r="Q79" s="54">
        <f>IF($B79=0,NA(),IF(Inputs!$B$26&lt;&gt;"Yes",NA(),Inputs!$D$26*Inputs!$C$35))</f>
        <v/>
      </c>
      <c r="R79" s="54">
        <f>IF($B79=0,NA(),IF(Inputs!$B$27&lt;&gt;"Yes",NA(),Inputs!$D$27*Inputs!$C$35))</f>
        <v/>
      </c>
      <c r="S79" s="54">
        <f>IF($B79=0,NA(),IF(Inputs!$B$28&lt;&gt;"Yes",NA(),Inputs!$D$28*Inputs!$C$35))</f>
        <v/>
      </c>
      <c r="T79" s="54">
        <f>IF($B79=0,NA(),IF(Inputs!$B$29&lt;&gt;"Yes",NA(),Inputs!$D$29*Inputs!$C$35))</f>
        <v/>
      </c>
      <c r="AD79">
        <f>IF($B79=0,0,IF(Inputs!$B$6="",0,COUNTIFS(Data!$A$10:$A$3209,"&gt;="&amp;$A79,Data!$A$10:$A$3209,"&lt;"&amp;$A79+1)))</f>
        <v/>
      </c>
      <c r="AE79">
        <f>IF($B79=0,0,IF(Inputs!$B$7="",0,COUNTIFS(Data!$E$10:$E$3209,"&gt;="&amp;$A79,Data!$E$10:$E$3209,"&lt;"&amp;$A79+1)))</f>
        <v/>
      </c>
      <c r="AF79">
        <f>IF($B79=0,0,IF(Inputs!$B$8="",0,COUNTIFS(Data!$I$10:$I$3209,"&gt;="&amp;$A79,Data!$I$10:$I$3209,"&lt;"&amp;$A79+1)))</f>
        <v/>
      </c>
      <c r="AG79">
        <f>IF($B79=0,0,IF(Inputs!$B$9="",0,COUNTIFS(Data!$M$10:$M$3209,"&gt;="&amp;$A79,Data!$M$10:$M$3209,"&lt;"&amp;$A79+1)))</f>
        <v/>
      </c>
      <c r="AH79">
        <f>IF($B79=0,0,IF(Inputs!$B$10="",0,COUNTIFS(Data!$Q$10:$Q$3209,"&gt;="&amp;$A79,Data!$Q$10:$Q$3209,"&lt;"&amp;$A79+1)))</f>
        <v/>
      </c>
    </row>
    <row r="80">
      <c r="A80" s="55">
        <f>MIN(Inputs!$C$15,$A79+IF(WEEKDAY($A79,2)=5,3,1))</f>
        <v/>
      </c>
      <c r="B80">
        <f>IF($A80&gt;$A79,1,0)</f>
        <v/>
      </c>
      <c r="C80" s="56">
        <f>IF($B80=0,"",IF(Inputs!$B$6="","",IF($AD80=0,C79,SUMIFS(Data!$B$10:$B$3209,Data!$A$10:$A$3209,"&gt;="&amp;$A80,Data!$A$10:$A$3209,"&lt;"&amp;$A80+1)/$AD80)))</f>
        <v/>
      </c>
      <c r="D80" s="56">
        <f>IF($B80=0,"",IF(Inputs!$B$7="","",IF($AE80=0,D79,SUMIFS(Data!$F$10:$F$3209,Data!$E$10:$E$3209,"&gt;="&amp;$A80,Data!$E$10:$E$3209,"&lt;"&amp;$A80+1)/$AE80)))</f>
        <v/>
      </c>
      <c r="E80" s="56">
        <f>IF($B80=0,"",IF(Inputs!$B$8="","",IF($AF80=0,E79,SUMIFS(Data!$J$10:$J$3209,Data!$I$10:$I$3209,"&gt;="&amp;$A80,Data!$I$10:$I$3209,"&lt;"&amp;$A80+1)/$AF80)))</f>
        <v/>
      </c>
      <c r="F80" s="56">
        <f>IF($B80=0,"",IF(Inputs!$B$9="","",IF($AG80=0,F79,SUMIFS(Data!$N$10:$N$3209,Data!$M$10:$M$3209,"&gt;="&amp;$A80,Data!$M$10:$M$3209,"&lt;"&amp;$A80+1)/$AG80)))</f>
        <v/>
      </c>
      <c r="G80" s="56">
        <f>IF($B80=0,"",IF(Inputs!$B$10="","",IF($AH80=0,G79,SUMIFS(Data!$R$10:$R$3209,Data!$Q$10:$Q$3209,"&gt;="&amp;$A80,Data!$Q$10:$Q$3209,"&lt;"&amp;$A80+1)/$AH80)))</f>
        <v/>
      </c>
      <c r="I80" s="54">
        <f>IF($B80=0,NA(),IF($C80="",NA(),IF(C$8="",NA(),IF(N(C$8)=0,NA(),IF(Inputs!$C$17="Rebased to 100",$C80/C$8*100,$C80)))))</f>
        <v/>
      </c>
      <c r="J80" s="54">
        <f>IF($B80=0,NA(),IF($D80="",NA(),IF(D$8="",NA(),IF(N(D$8)=0,NA(),IF(Inputs!$C$17="Rebased to 100",$D80/D$8*100,$D80)))))</f>
        <v/>
      </c>
      <c r="K80" s="54">
        <f>IF($B80=0,NA(),IF($E80="",NA(),IF(E$8="",NA(),IF(N(E$8)=0,NA(),IF(Inputs!$C$17="Rebased to 100",$E80/E$8*100,$E80)))))</f>
        <v/>
      </c>
      <c r="L80" s="54">
        <f>IF($B80=0,NA(),IF($F80="",NA(),IF(F$8="",NA(),IF(N(F$8)=0,NA(),IF(Inputs!$C$17="Rebased to 100",$F80/F$8*100,$F80)))))</f>
        <v/>
      </c>
      <c r="M80" s="54">
        <f>IF($B80=0,NA(),IF($G80="",NA(),IF(G$8="",NA(),IF(N(G$8)=0,NA(),IF(Inputs!$C$17="Rebased to 100",$G80/G$8*100,$G80)))))</f>
        <v/>
      </c>
      <c r="N80" s="54">
        <f>IF($B80=0,NA(),IF(Inputs!$C$18&lt;&gt;"Yes",NA(),IF(COUNT(I80,J80,K80,L80,M80)=0,NA(),MIN(I80,J80,K80,L80,M80))))</f>
        <v/>
      </c>
      <c r="O80" s="54">
        <f>IF($B80=0,NA(),IF(Inputs!$B$24&lt;&gt;"Yes",NA(),Inputs!$D$24*Inputs!$C$35))</f>
        <v/>
      </c>
      <c r="P80" s="54">
        <f>IF($B80=0,NA(),IF(Inputs!$B$25&lt;&gt;"Yes",NA(),Inputs!$D$25*Inputs!$C$35))</f>
        <v/>
      </c>
      <c r="Q80" s="54">
        <f>IF($B80=0,NA(),IF(Inputs!$B$26&lt;&gt;"Yes",NA(),Inputs!$D$26*Inputs!$C$35))</f>
        <v/>
      </c>
      <c r="R80" s="54">
        <f>IF($B80=0,NA(),IF(Inputs!$B$27&lt;&gt;"Yes",NA(),Inputs!$D$27*Inputs!$C$35))</f>
        <v/>
      </c>
      <c r="S80" s="54">
        <f>IF($B80=0,NA(),IF(Inputs!$B$28&lt;&gt;"Yes",NA(),Inputs!$D$28*Inputs!$C$35))</f>
        <v/>
      </c>
      <c r="T80" s="54">
        <f>IF($B80=0,NA(),IF(Inputs!$B$29&lt;&gt;"Yes",NA(),Inputs!$D$29*Inputs!$C$35))</f>
        <v/>
      </c>
      <c r="AD80">
        <f>IF($B80=0,0,IF(Inputs!$B$6="",0,COUNTIFS(Data!$A$10:$A$3209,"&gt;="&amp;$A80,Data!$A$10:$A$3209,"&lt;"&amp;$A80+1)))</f>
        <v/>
      </c>
      <c r="AE80">
        <f>IF($B80=0,0,IF(Inputs!$B$7="",0,COUNTIFS(Data!$E$10:$E$3209,"&gt;="&amp;$A80,Data!$E$10:$E$3209,"&lt;"&amp;$A80+1)))</f>
        <v/>
      </c>
      <c r="AF80">
        <f>IF($B80=0,0,IF(Inputs!$B$8="",0,COUNTIFS(Data!$I$10:$I$3209,"&gt;="&amp;$A80,Data!$I$10:$I$3209,"&lt;"&amp;$A80+1)))</f>
        <v/>
      </c>
      <c r="AG80">
        <f>IF($B80=0,0,IF(Inputs!$B$9="",0,COUNTIFS(Data!$M$10:$M$3209,"&gt;="&amp;$A80,Data!$M$10:$M$3209,"&lt;"&amp;$A80+1)))</f>
        <v/>
      </c>
      <c r="AH80">
        <f>IF($B80=0,0,IF(Inputs!$B$10="",0,COUNTIFS(Data!$Q$10:$Q$3209,"&gt;="&amp;$A80,Data!$Q$10:$Q$3209,"&lt;"&amp;$A80+1)))</f>
        <v/>
      </c>
    </row>
    <row r="81">
      <c r="A81" s="55">
        <f>MIN(Inputs!$C$15,$A80+IF(WEEKDAY($A80,2)=5,3,1))</f>
        <v/>
      </c>
      <c r="B81">
        <f>IF($A81&gt;$A80,1,0)</f>
        <v/>
      </c>
      <c r="C81" s="56">
        <f>IF($B81=0,"",IF(Inputs!$B$6="","",IF($AD81=0,C80,SUMIFS(Data!$B$10:$B$3209,Data!$A$10:$A$3209,"&gt;="&amp;$A81,Data!$A$10:$A$3209,"&lt;"&amp;$A81+1)/$AD81)))</f>
        <v/>
      </c>
      <c r="D81" s="56">
        <f>IF($B81=0,"",IF(Inputs!$B$7="","",IF($AE81=0,D80,SUMIFS(Data!$F$10:$F$3209,Data!$E$10:$E$3209,"&gt;="&amp;$A81,Data!$E$10:$E$3209,"&lt;"&amp;$A81+1)/$AE81)))</f>
        <v/>
      </c>
      <c r="E81" s="56">
        <f>IF($B81=0,"",IF(Inputs!$B$8="","",IF($AF81=0,E80,SUMIFS(Data!$J$10:$J$3209,Data!$I$10:$I$3209,"&gt;="&amp;$A81,Data!$I$10:$I$3209,"&lt;"&amp;$A81+1)/$AF81)))</f>
        <v/>
      </c>
      <c r="F81" s="56">
        <f>IF($B81=0,"",IF(Inputs!$B$9="","",IF($AG81=0,F80,SUMIFS(Data!$N$10:$N$3209,Data!$M$10:$M$3209,"&gt;="&amp;$A81,Data!$M$10:$M$3209,"&lt;"&amp;$A81+1)/$AG81)))</f>
        <v/>
      </c>
      <c r="G81" s="56">
        <f>IF($B81=0,"",IF(Inputs!$B$10="","",IF($AH81=0,G80,SUMIFS(Data!$R$10:$R$3209,Data!$Q$10:$Q$3209,"&gt;="&amp;$A81,Data!$Q$10:$Q$3209,"&lt;"&amp;$A81+1)/$AH81)))</f>
        <v/>
      </c>
      <c r="I81" s="54">
        <f>IF($B81=0,NA(),IF($C81="",NA(),IF(C$8="",NA(),IF(N(C$8)=0,NA(),IF(Inputs!$C$17="Rebased to 100",$C81/C$8*100,$C81)))))</f>
        <v/>
      </c>
      <c r="J81" s="54">
        <f>IF($B81=0,NA(),IF($D81="",NA(),IF(D$8="",NA(),IF(N(D$8)=0,NA(),IF(Inputs!$C$17="Rebased to 100",$D81/D$8*100,$D81)))))</f>
        <v/>
      </c>
      <c r="K81" s="54">
        <f>IF($B81=0,NA(),IF($E81="",NA(),IF(E$8="",NA(),IF(N(E$8)=0,NA(),IF(Inputs!$C$17="Rebased to 100",$E81/E$8*100,$E81)))))</f>
        <v/>
      </c>
      <c r="L81" s="54">
        <f>IF($B81=0,NA(),IF($F81="",NA(),IF(F$8="",NA(),IF(N(F$8)=0,NA(),IF(Inputs!$C$17="Rebased to 100",$F81/F$8*100,$F81)))))</f>
        <v/>
      </c>
      <c r="M81" s="54">
        <f>IF($B81=0,NA(),IF($G81="",NA(),IF(G$8="",NA(),IF(N(G$8)=0,NA(),IF(Inputs!$C$17="Rebased to 100",$G81/G$8*100,$G81)))))</f>
        <v/>
      </c>
      <c r="N81" s="54">
        <f>IF($B81=0,NA(),IF(Inputs!$C$18&lt;&gt;"Yes",NA(),IF(COUNT(I81,J81,K81,L81,M81)=0,NA(),MIN(I81,J81,K81,L81,M81))))</f>
        <v/>
      </c>
      <c r="O81" s="54">
        <f>IF($B81=0,NA(),IF(Inputs!$B$24&lt;&gt;"Yes",NA(),Inputs!$D$24*Inputs!$C$35))</f>
        <v/>
      </c>
      <c r="P81" s="54">
        <f>IF($B81=0,NA(),IF(Inputs!$B$25&lt;&gt;"Yes",NA(),Inputs!$D$25*Inputs!$C$35))</f>
        <v/>
      </c>
      <c r="Q81" s="54">
        <f>IF($B81=0,NA(),IF(Inputs!$B$26&lt;&gt;"Yes",NA(),Inputs!$D$26*Inputs!$C$35))</f>
        <v/>
      </c>
      <c r="R81" s="54">
        <f>IF($B81=0,NA(),IF(Inputs!$B$27&lt;&gt;"Yes",NA(),Inputs!$D$27*Inputs!$C$35))</f>
        <v/>
      </c>
      <c r="S81" s="54">
        <f>IF($B81=0,NA(),IF(Inputs!$B$28&lt;&gt;"Yes",NA(),Inputs!$D$28*Inputs!$C$35))</f>
        <v/>
      </c>
      <c r="T81" s="54">
        <f>IF($B81=0,NA(),IF(Inputs!$B$29&lt;&gt;"Yes",NA(),Inputs!$D$29*Inputs!$C$35))</f>
        <v/>
      </c>
      <c r="AD81">
        <f>IF($B81=0,0,IF(Inputs!$B$6="",0,COUNTIFS(Data!$A$10:$A$3209,"&gt;="&amp;$A81,Data!$A$10:$A$3209,"&lt;"&amp;$A81+1)))</f>
        <v/>
      </c>
      <c r="AE81">
        <f>IF($B81=0,0,IF(Inputs!$B$7="",0,COUNTIFS(Data!$E$10:$E$3209,"&gt;="&amp;$A81,Data!$E$10:$E$3209,"&lt;"&amp;$A81+1)))</f>
        <v/>
      </c>
      <c r="AF81">
        <f>IF($B81=0,0,IF(Inputs!$B$8="",0,COUNTIFS(Data!$I$10:$I$3209,"&gt;="&amp;$A81,Data!$I$10:$I$3209,"&lt;"&amp;$A81+1)))</f>
        <v/>
      </c>
      <c r="AG81">
        <f>IF($B81=0,0,IF(Inputs!$B$9="",0,COUNTIFS(Data!$M$10:$M$3209,"&gt;="&amp;$A81,Data!$M$10:$M$3209,"&lt;"&amp;$A81+1)))</f>
        <v/>
      </c>
      <c r="AH81">
        <f>IF($B81=0,0,IF(Inputs!$B$10="",0,COUNTIFS(Data!$Q$10:$Q$3209,"&gt;="&amp;$A81,Data!$Q$10:$Q$3209,"&lt;"&amp;$A81+1)))</f>
        <v/>
      </c>
    </row>
    <row r="82">
      <c r="A82" s="55">
        <f>MIN(Inputs!$C$15,$A81+IF(WEEKDAY($A81,2)=5,3,1))</f>
        <v/>
      </c>
      <c r="B82">
        <f>IF($A82&gt;$A81,1,0)</f>
        <v/>
      </c>
      <c r="C82" s="56">
        <f>IF($B82=0,"",IF(Inputs!$B$6="","",IF($AD82=0,C81,SUMIFS(Data!$B$10:$B$3209,Data!$A$10:$A$3209,"&gt;="&amp;$A82,Data!$A$10:$A$3209,"&lt;"&amp;$A82+1)/$AD82)))</f>
        <v/>
      </c>
      <c r="D82" s="56">
        <f>IF($B82=0,"",IF(Inputs!$B$7="","",IF($AE82=0,D81,SUMIFS(Data!$F$10:$F$3209,Data!$E$10:$E$3209,"&gt;="&amp;$A82,Data!$E$10:$E$3209,"&lt;"&amp;$A82+1)/$AE82)))</f>
        <v/>
      </c>
      <c r="E82" s="56">
        <f>IF($B82=0,"",IF(Inputs!$B$8="","",IF($AF82=0,E81,SUMIFS(Data!$J$10:$J$3209,Data!$I$10:$I$3209,"&gt;="&amp;$A82,Data!$I$10:$I$3209,"&lt;"&amp;$A82+1)/$AF82)))</f>
        <v/>
      </c>
      <c r="F82" s="56">
        <f>IF($B82=0,"",IF(Inputs!$B$9="","",IF($AG82=0,F81,SUMIFS(Data!$N$10:$N$3209,Data!$M$10:$M$3209,"&gt;="&amp;$A82,Data!$M$10:$M$3209,"&lt;"&amp;$A82+1)/$AG82)))</f>
        <v/>
      </c>
      <c r="G82" s="56">
        <f>IF($B82=0,"",IF(Inputs!$B$10="","",IF($AH82=0,G81,SUMIFS(Data!$R$10:$R$3209,Data!$Q$10:$Q$3209,"&gt;="&amp;$A82,Data!$Q$10:$Q$3209,"&lt;"&amp;$A82+1)/$AH82)))</f>
        <v/>
      </c>
      <c r="I82" s="54">
        <f>IF($B82=0,NA(),IF($C82="",NA(),IF(C$8="",NA(),IF(N(C$8)=0,NA(),IF(Inputs!$C$17="Rebased to 100",$C82/C$8*100,$C82)))))</f>
        <v/>
      </c>
      <c r="J82" s="54">
        <f>IF($B82=0,NA(),IF($D82="",NA(),IF(D$8="",NA(),IF(N(D$8)=0,NA(),IF(Inputs!$C$17="Rebased to 100",$D82/D$8*100,$D82)))))</f>
        <v/>
      </c>
      <c r="K82" s="54">
        <f>IF($B82=0,NA(),IF($E82="",NA(),IF(E$8="",NA(),IF(N(E$8)=0,NA(),IF(Inputs!$C$17="Rebased to 100",$E82/E$8*100,$E82)))))</f>
        <v/>
      </c>
      <c r="L82" s="54">
        <f>IF($B82=0,NA(),IF($F82="",NA(),IF(F$8="",NA(),IF(N(F$8)=0,NA(),IF(Inputs!$C$17="Rebased to 100",$F82/F$8*100,$F82)))))</f>
        <v/>
      </c>
      <c r="M82" s="54">
        <f>IF($B82=0,NA(),IF($G82="",NA(),IF(G$8="",NA(),IF(N(G$8)=0,NA(),IF(Inputs!$C$17="Rebased to 100",$G82/G$8*100,$G82)))))</f>
        <v/>
      </c>
      <c r="N82" s="54">
        <f>IF($B82=0,NA(),IF(Inputs!$C$18&lt;&gt;"Yes",NA(),IF(COUNT(I82,J82,K82,L82,M82)=0,NA(),MIN(I82,J82,K82,L82,M82))))</f>
        <v/>
      </c>
      <c r="O82" s="54">
        <f>IF($B82=0,NA(),IF(Inputs!$B$24&lt;&gt;"Yes",NA(),Inputs!$D$24*Inputs!$C$35))</f>
        <v/>
      </c>
      <c r="P82" s="54">
        <f>IF($B82=0,NA(),IF(Inputs!$B$25&lt;&gt;"Yes",NA(),Inputs!$D$25*Inputs!$C$35))</f>
        <v/>
      </c>
      <c r="Q82" s="54">
        <f>IF($B82=0,NA(),IF(Inputs!$B$26&lt;&gt;"Yes",NA(),Inputs!$D$26*Inputs!$C$35))</f>
        <v/>
      </c>
      <c r="R82" s="54">
        <f>IF($B82=0,NA(),IF(Inputs!$B$27&lt;&gt;"Yes",NA(),Inputs!$D$27*Inputs!$C$35))</f>
        <v/>
      </c>
      <c r="S82" s="54">
        <f>IF($B82=0,NA(),IF(Inputs!$B$28&lt;&gt;"Yes",NA(),Inputs!$D$28*Inputs!$C$35))</f>
        <v/>
      </c>
      <c r="T82" s="54">
        <f>IF($B82=0,NA(),IF(Inputs!$B$29&lt;&gt;"Yes",NA(),Inputs!$D$29*Inputs!$C$35))</f>
        <v/>
      </c>
      <c r="AD82">
        <f>IF($B82=0,0,IF(Inputs!$B$6="",0,COUNTIFS(Data!$A$10:$A$3209,"&gt;="&amp;$A82,Data!$A$10:$A$3209,"&lt;"&amp;$A82+1)))</f>
        <v/>
      </c>
      <c r="AE82">
        <f>IF($B82=0,0,IF(Inputs!$B$7="",0,COUNTIFS(Data!$E$10:$E$3209,"&gt;="&amp;$A82,Data!$E$10:$E$3209,"&lt;"&amp;$A82+1)))</f>
        <v/>
      </c>
      <c r="AF82">
        <f>IF($B82=0,0,IF(Inputs!$B$8="",0,COUNTIFS(Data!$I$10:$I$3209,"&gt;="&amp;$A82,Data!$I$10:$I$3209,"&lt;"&amp;$A82+1)))</f>
        <v/>
      </c>
      <c r="AG82">
        <f>IF($B82=0,0,IF(Inputs!$B$9="",0,COUNTIFS(Data!$M$10:$M$3209,"&gt;="&amp;$A82,Data!$M$10:$M$3209,"&lt;"&amp;$A82+1)))</f>
        <v/>
      </c>
      <c r="AH82">
        <f>IF($B82=0,0,IF(Inputs!$B$10="",0,COUNTIFS(Data!$Q$10:$Q$3209,"&gt;="&amp;$A82,Data!$Q$10:$Q$3209,"&lt;"&amp;$A82+1)))</f>
        <v/>
      </c>
    </row>
    <row r="83">
      <c r="A83" s="55">
        <f>MIN(Inputs!$C$15,$A82+IF(WEEKDAY($A82,2)=5,3,1))</f>
        <v/>
      </c>
      <c r="B83">
        <f>IF($A83&gt;$A82,1,0)</f>
        <v/>
      </c>
      <c r="C83" s="56">
        <f>IF($B83=0,"",IF(Inputs!$B$6="","",IF($AD83=0,C82,SUMIFS(Data!$B$10:$B$3209,Data!$A$10:$A$3209,"&gt;="&amp;$A83,Data!$A$10:$A$3209,"&lt;"&amp;$A83+1)/$AD83)))</f>
        <v/>
      </c>
      <c r="D83" s="56">
        <f>IF($B83=0,"",IF(Inputs!$B$7="","",IF($AE83=0,D82,SUMIFS(Data!$F$10:$F$3209,Data!$E$10:$E$3209,"&gt;="&amp;$A83,Data!$E$10:$E$3209,"&lt;"&amp;$A83+1)/$AE83)))</f>
        <v/>
      </c>
      <c r="E83" s="56">
        <f>IF($B83=0,"",IF(Inputs!$B$8="","",IF($AF83=0,E82,SUMIFS(Data!$J$10:$J$3209,Data!$I$10:$I$3209,"&gt;="&amp;$A83,Data!$I$10:$I$3209,"&lt;"&amp;$A83+1)/$AF83)))</f>
        <v/>
      </c>
      <c r="F83" s="56">
        <f>IF($B83=0,"",IF(Inputs!$B$9="","",IF($AG83=0,F82,SUMIFS(Data!$N$10:$N$3209,Data!$M$10:$M$3209,"&gt;="&amp;$A83,Data!$M$10:$M$3209,"&lt;"&amp;$A83+1)/$AG83)))</f>
        <v/>
      </c>
      <c r="G83" s="56">
        <f>IF($B83=0,"",IF(Inputs!$B$10="","",IF($AH83=0,G82,SUMIFS(Data!$R$10:$R$3209,Data!$Q$10:$Q$3209,"&gt;="&amp;$A83,Data!$Q$10:$Q$3209,"&lt;"&amp;$A83+1)/$AH83)))</f>
        <v/>
      </c>
      <c r="I83" s="54">
        <f>IF($B83=0,NA(),IF($C83="",NA(),IF(C$8="",NA(),IF(N(C$8)=0,NA(),IF(Inputs!$C$17="Rebased to 100",$C83/C$8*100,$C83)))))</f>
        <v/>
      </c>
      <c r="J83" s="54">
        <f>IF($B83=0,NA(),IF($D83="",NA(),IF(D$8="",NA(),IF(N(D$8)=0,NA(),IF(Inputs!$C$17="Rebased to 100",$D83/D$8*100,$D83)))))</f>
        <v/>
      </c>
      <c r="K83" s="54">
        <f>IF($B83=0,NA(),IF($E83="",NA(),IF(E$8="",NA(),IF(N(E$8)=0,NA(),IF(Inputs!$C$17="Rebased to 100",$E83/E$8*100,$E83)))))</f>
        <v/>
      </c>
      <c r="L83" s="54">
        <f>IF($B83=0,NA(),IF($F83="",NA(),IF(F$8="",NA(),IF(N(F$8)=0,NA(),IF(Inputs!$C$17="Rebased to 100",$F83/F$8*100,$F83)))))</f>
        <v/>
      </c>
      <c r="M83" s="54">
        <f>IF($B83=0,NA(),IF($G83="",NA(),IF(G$8="",NA(),IF(N(G$8)=0,NA(),IF(Inputs!$C$17="Rebased to 100",$G83/G$8*100,$G83)))))</f>
        <v/>
      </c>
      <c r="N83" s="54">
        <f>IF($B83=0,NA(),IF(Inputs!$C$18&lt;&gt;"Yes",NA(),IF(COUNT(I83,J83,K83,L83,M83)=0,NA(),MIN(I83,J83,K83,L83,M83))))</f>
        <v/>
      </c>
      <c r="O83" s="54">
        <f>IF($B83=0,NA(),IF(Inputs!$B$24&lt;&gt;"Yes",NA(),Inputs!$D$24*Inputs!$C$35))</f>
        <v/>
      </c>
      <c r="P83" s="54">
        <f>IF($B83=0,NA(),IF(Inputs!$B$25&lt;&gt;"Yes",NA(),Inputs!$D$25*Inputs!$C$35))</f>
        <v/>
      </c>
      <c r="Q83" s="54">
        <f>IF($B83=0,NA(),IF(Inputs!$B$26&lt;&gt;"Yes",NA(),Inputs!$D$26*Inputs!$C$35))</f>
        <v/>
      </c>
      <c r="R83" s="54">
        <f>IF($B83=0,NA(),IF(Inputs!$B$27&lt;&gt;"Yes",NA(),Inputs!$D$27*Inputs!$C$35))</f>
        <v/>
      </c>
      <c r="S83" s="54">
        <f>IF($B83=0,NA(),IF(Inputs!$B$28&lt;&gt;"Yes",NA(),Inputs!$D$28*Inputs!$C$35))</f>
        <v/>
      </c>
      <c r="T83" s="54">
        <f>IF($B83=0,NA(),IF(Inputs!$B$29&lt;&gt;"Yes",NA(),Inputs!$D$29*Inputs!$C$35))</f>
        <v/>
      </c>
      <c r="AD83">
        <f>IF($B83=0,0,IF(Inputs!$B$6="",0,COUNTIFS(Data!$A$10:$A$3209,"&gt;="&amp;$A83,Data!$A$10:$A$3209,"&lt;"&amp;$A83+1)))</f>
        <v/>
      </c>
      <c r="AE83">
        <f>IF($B83=0,0,IF(Inputs!$B$7="",0,COUNTIFS(Data!$E$10:$E$3209,"&gt;="&amp;$A83,Data!$E$10:$E$3209,"&lt;"&amp;$A83+1)))</f>
        <v/>
      </c>
      <c r="AF83">
        <f>IF($B83=0,0,IF(Inputs!$B$8="",0,COUNTIFS(Data!$I$10:$I$3209,"&gt;="&amp;$A83,Data!$I$10:$I$3209,"&lt;"&amp;$A83+1)))</f>
        <v/>
      </c>
      <c r="AG83">
        <f>IF($B83=0,0,IF(Inputs!$B$9="",0,COUNTIFS(Data!$M$10:$M$3209,"&gt;="&amp;$A83,Data!$M$10:$M$3209,"&lt;"&amp;$A83+1)))</f>
        <v/>
      </c>
      <c r="AH83">
        <f>IF($B83=0,0,IF(Inputs!$B$10="",0,COUNTIFS(Data!$Q$10:$Q$3209,"&gt;="&amp;$A83,Data!$Q$10:$Q$3209,"&lt;"&amp;$A83+1)))</f>
        <v/>
      </c>
    </row>
    <row r="84">
      <c r="A84" s="55">
        <f>MIN(Inputs!$C$15,$A83+IF(WEEKDAY($A83,2)=5,3,1))</f>
        <v/>
      </c>
      <c r="B84">
        <f>IF($A84&gt;$A83,1,0)</f>
        <v/>
      </c>
      <c r="C84" s="56">
        <f>IF($B84=0,"",IF(Inputs!$B$6="","",IF($AD84=0,C83,SUMIFS(Data!$B$10:$B$3209,Data!$A$10:$A$3209,"&gt;="&amp;$A84,Data!$A$10:$A$3209,"&lt;"&amp;$A84+1)/$AD84)))</f>
        <v/>
      </c>
      <c r="D84" s="56">
        <f>IF($B84=0,"",IF(Inputs!$B$7="","",IF($AE84=0,D83,SUMIFS(Data!$F$10:$F$3209,Data!$E$10:$E$3209,"&gt;="&amp;$A84,Data!$E$10:$E$3209,"&lt;"&amp;$A84+1)/$AE84)))</f>
        <v/>
      </c>
      <c r="E84" s="56">
        <f>IF($B84=0,"",IF(Inputs!$B$8="","",IF($AF84=0,E83,SUMIFS(Data!$J$10:$J$3209,Data!$I$10:$I$3209,"&gt;="&amp;$A84,Data!$I$10:$I$3209,"&lt;"&amp;$A84+1)/$AF84)))</f>
        <v/>
      </c>
      <c r="F84" s="56">
        <f>IF($B84=0,"",IF(Inputs!$B$9="","",IF($AG84=0,F83,SUMIFS(Data!$N$10:$N$3209,Data!$M$10:$M$3209,"&gt;="&amp;$A84,Data!$M$10:$M$3209,"&lt;"&amp;$A84+1)/$AG84)))</f>
        <v/>
      </c>
      <c r="G84" s="56">
        <f>IF($B84=0,"",IF(Inputs!$B$10="","",IF($AH84=0,G83,SUMIFS(Data!$R$10:$R$3209,Data!$Q$10:$Q$3209,"&gt;="&amp;$A84,Data!$Q$10:$Q$3209,"&lt;"&amp;$A84+1)/$AH84)))</f>
        <v/>
      </c>
      <c r="I84" s="54">
        <f>IF($B84=0,NA(),IF($C84="",NA(),IF(C$8="",NA(),IF(N(C$8)=0,NA(),IF(Inputs!$C$17="Rebased to 100",$C84/C$8*100,$C84)))))</f>
        <v/>
      </c>
      <c r="J84" s="54">
        <f>IF($B84=0,NA(),IF($D84="",NA(),IF(D$8="",NA(),IF(N(D$8)=0,NA(),IF(Inputs!$C$17="Rebased to 100",$D84/D$8*100,$D84)))))</f>
        <v/>
      </c>
      <c r="K84" s="54">
        <f>IF($B84=0,NA(),IF($E84="",NA(),IF(E$8="",NA(),IF(N(E$8)=0,NA(),IF(Inputs!$C$17="Rebased to 100",$E84/E$8*100,$E84)))))</f>
        <v/>
      </c>
      <c r="L84" s="54">
        <f>IF($B84=0,NA(),IF($F84="",NA(),IF(F$8="",NA(),IF(N(F$8)=0,NA(),IF(Inputs!$C$17="Rebased to 100",$F84/F$8*100,$F84)))))</f>
        <v/>
      </c>
      <c r="M84" s="54">
        <f>IF($B84=0,NA(),IF($G84="",NA(),IF(G$8="",NA(),IF(N(G$8)=0,NA(),IF(Inputs!$C$17="Rebased to 100",$G84/G$8*100,$G84)))))</f>
        <v/>
      </c>
      <c r="N84" s="54">
        <f>IF($B84=0,NA(),IF(Inputs!$C$18&lt;&gt;"Yes",NA(),IF(COUNT(I84,J84,K84,L84,M84)=0,NA(),MIN(I84,J84,K84,L84,M84))))</f>
        <v/>
      </c>
      <c r="O84" s="54">
        <f>IF($B84=0,NA(),IF(Inputs!$B$24&lt;&gt;"Yes",NA(),Inputs!$D$24*Inputs!$C$35))</f>
        <v/>
      </c>
      <c r="P84" s="54">
        <f>IF($B84=0,NA(),IF(Inputs!$B$25&lt;&gt;"Yes",NA(),Inputs!$D$25*Inputs!$C$35))</f>
        <v/>
      </c>
      <c r="Q84" s="54">
        <f>IF($B84=0,NA(),IF(Inputs!$B$26&lt;&gt;"Yes",NA(),Inputs!$D$26*Inputs!$C$35))</f>
        <v/>
      </c>
      <c r="R84" s="54">
        <f>IF($B84=0,NA(),IF(Inputs!$B$27&lt;&gt;"Yes",NA(),Inputs!$D$27*Inputs!$C$35))</f>
        <v/>
      </c>
      <c r="S84" s="54">
        <f>IF($B84=0,NA(),IF(Inputs!$B$28&lt;&gt;"Yes",NA(),Inputs!$D$28*Inputs!$C$35))</f>
        <v/>
      </c>
      <c r="T84" s="54">
        <f>IF($B84=0,NA(),IF(Inputs!$B$29&lt;&gt;"Yes",NA(),Inputs!$D$29*Inputs!$C$35))</f>
        <v/>
      </c>
      <c r="AD84">
        <f>IF($B84=0,0,IF(Inputs!$B$6="",0,COUNTIFS(Data!$A$10:$A$3209,"&gt;="&amp;$A84,Data!$A$10:$A$3209,"&lt;"&amp;$A84+1)))</f>
        <v/>
      </c>
      <c r="AE84">
        <f>IF($B84=0,0,IF(Inputs!$B$7="",0,COUNTIFS(Data!$E$10:$E$3209,"&gt;="&amp;$A84,Data!$E$10:$E$3209,"&lt;"&amp;$A84+1)))</f>
        <v/>
      </c>
      <c r="AF84">
        <f>IF($B84=0,0,IF(Inputs!$B$8="",0,COUNTIFS(Data!$I$10:$I$3209,"&gt;="&amp;$A84,Data!$I$10:$I$3209,"&lt;"&amp;$A84+1)))</f>
        <v/>
      </c>
      <c r="AG84">
        <f>IF($B84=0,0,IF(Inputs!$B$9="",0,COUNTIFS(Data!$M$10:$M$3209,"&gt;="&amp;$A84,Data!$M$10:$M$3209,"&lt;"&amp;$A84+1)))</f>
        <v/>
      </c>
      <c r="AH84">
        <f>IF($B84=0,0,IF(Inputs!$B$10="",0,COUNTIFS(Data!$Q$10:$Q$3209,"&gt;="&amp;$A84,Data!$Q$10:$Q$3209,"&lt;"&amp;$A84+1)))</f>
        <v/>
      </c>
    </row>
    <row r="85">
      <c r="A85" s="55">
        <f>MIN(Inputs!$C$15,$A84+IF(WEEKDAY($A84,2)=5,3,1))</f>
        <v/>
      </c>
      <c r="B85">
        <f>IF($A85&gt;$A84,1,0)</f>
        <v/>
      </c>
      <c r="C85" s="56">
        <f>IF($B85=0,"",IF(Inputs!$B$6="","",IF($AD85=0,C84,SUMIFS(Data!$B$10:$B$3209,Data!$A$10:$A$3209,"&gt;="&amp;$A85,Data!$A$10:$A$3209,"&lt;"&amp;$A85+1)/$AD85)))</f>
        <v/>
      </c>
      <c r="D85" s="56">
        <f>IF($B85=0,"",IF(Inputs!$B$7="","",IF($AE85=0,D84,SUMIFS(Data!$F$10:$F$3209,Data!$E$10:$E$3209,"&gt;="&amp;$A85,Data!$E$10:$E$3209,"&lt;"&amp;$A85+1)/$AE85)))</f>
        <v/>
      </c>
      <c r="E85" s="56">
        <f>IF($B85=0,"",IF(Inputs!$B$8="","",IF($AF85=0,E84,SUMIFS(Data!$J$10:$J$3209,Data!$I$10:$I$3209,"&gt;="&amp;$A85,Data!$I$10:$I$3209,"&lt;"&amp;$A85+1)/$AF85)))</f>
        <v/>
      </c>
      <c r="F85" s="56">
        <f>IF($B85=0,"",IF(Inputs!$B$9="","",IF($AG85=0,F84,SUMIFS(Data!$N$10:$N$3209,Data!$M$10:$M$3209,"&gt;="&amp;$A85,Data!$M$10:$M$3209,"&lt;"&amp;$A85+1)/$AG85)))</f>
        <v/>
      </c>
      <c r="G85" s="56">
        <f>IF($B85=0,"",IF(Inputs!$B$10="","",IF($AH85=0,G84,SUMIFS(Data!$R$10:$R$3209,Data!$Q$10:$Q$3209,"&gt;="&amp;$A85,Data!$Q$10:$Q$3209,"&lt;"&amp;$A85+1)/$AH85)))</f>
        <v/>
      </c>
      <c r="I85" s="54">
        <f>IF($B85=0,NA(),IF($C85="",NA(),IF(C$8="",NA(),IF(N(C$8)=0,NA(),IF(Inputs!$C$17="Rebased to 100",$C85/C$8*100,$C85)))))</f>
        <v/>
      </c>
      <c r="J85" s="54">
        <f>IF($B85=0,NA(),IF($D85="",NA(),IF(D$8="",NA(),IF(N(D$8)=0,NA(),IF(Inputs!$C$17="Rebased to 100",$D85/D$8*100,$D85)))))</f>
        <v/>
      </c>
      <c r="K85" s="54">
        <f>IF($B85=0,NA(),IF($E85="",NA(),IF(E$8="",NA(),IF(N(E$8)=0,NA(),IF(Inputs!$C$17="Rebased to 100",$E85/E$8*100,$E85)))))</f>
        <v/>
      </c>
      <c r="L85" s="54">
        <f>IF($B85=0,NA(),IF($F85="",NA(),IF(F$8="",NA(),IF(N(F$8)=0,NA(),IF(Inputs!$C$17="Rebased to 100",$F85/F$8*100,$F85)))))</f>
        <v/>
      </c>
      <c r="M85" s="54">
        <f>IF($B85=0,NA(),IF($G85="",NA(),IF(G$8="",NA(),IF(N(G$8)=0,NA(),IF(Inputs!$C$17="Rebased to 100",$G85/G$8*100,$G85)))))</f>
        <v/>
      </c>
      <c r="N85" s="54">
        <f>IF($B85=0,NA(),IF(Inputs!$C$18&lt;&gt;"Yes",NA(),IF(COUNT(I85,J85,K85,L85,M85)=0,NA(),MIN(I85,J85,K85,L85,M85))))</f>
        <v/>
      </c>
      <c r="O85" s="54">
        <f>IF($B85=0,NA(),IF(Inputs!$B$24&lt;&gt;"Yes",NA(),Inputs!$D$24*Inputs!$C$35))</f>
        <v/>
      </c>
      <c r="P85" s="54">
        <f>IF($B85=0,NA(),IF(Inputs!$B$25&lt;&gt;"Yes",NA(),Inputs!$D$25*Inputs!$C$35))</f>
        <v/>
      </c>
      <c r="Q85" s="54">
        <f>IF($B85=0,NA(),IF(Inputs!$B$26&lt;&gt;"Yes",NA(),Inputs!$D$26*Inputs!$C$35))</f>
        <v/>
      </c>
      <c r="R85" s="54">
        <f>IF($B85=0,NA(),IF(Inputs!$B$27&lt;&gt;"Yes",NA(),Inputs!$D$27*Inputs!$C$35))</f>
        <v/>
      </c>
      <c r="S85" s="54">
        <f>IF($B85=0,NA(),IF(Inputs!$B$28&lt;&gt;"Yes",NA(),Inputs!$D$28*Inputs!$C$35))</f>
        <v/>
      </c>
      <c r="T85" s="54">
        <f>IF($B85=0,NA(),IF(Inputs!$B$29&lt;&gt;"Yes",NA(),Inputs!$D$29*Inputs!$C$35))</f>
        <v/>
      </c>
      <c r="AD85">
        <f>IF($B85=0,0,IF(Inputs!$B$6="",0,COUNTIFS(Data!$A$10:$A$3209,"&gt;="&amp;$A85,Data!$A$10:$A$3209,"&lt;"&amp;$A85+1)))</f>
        <v/>
      </c>
      <c r="AE85">
        <f>IF($B85=0,0,IF(Inputs!$B$7="",0,COUNTIFS(Data!$E$10:$E$3209,"&gt;="&amp;$A85,Data!$E$10:$E$3209,"&lt;"&amp;$A85+1)))</f>
        <v/>
      </c>
      <c r="AF85">
        <f>IF($B85=0,0,IF(Inputs!$B$8="",0,COUNTIFS(Data!$I$10:$I$3209,"&gt;="&amp;$A85,Data!$I$10:$I$3209,"&lt;"&amp;$A85+1)))</f>
        <v/>
      </c>
      <c r="AG85">
        <f>IF($B85=0,0,IF(Inputs!$B$9="",0,COUNTIFS(Data!$M$10:$M$3209,"&gt;="&amp;$A85,Data!$M$10:$M$3209,"&lt;"&amp;$A85+1)))</f>
        <v/>
      </c>
      <c r="AH85">
        <f>IF($B85=0,0,IF(Inputs!$B$10="",0,COUNTIFS(Data!$Q$10:$Q$3209,"&gt;="&amp;$A85,Data!$Q$10:$Q$3209,"&lt;"&amp;$A85+1)))</f>
        <v/>
      </c>
    </row>
    <row r="86">
      <c r="A86" s="55">
        <f>MIN(Inputs!$C$15,$A85+IF(WEEKDAY($A85,2)=5,3,1))</f>
        <v/>
      </c>
      <c r="B86">
        <f>IF($A86&gt;$A85,1,0)</f>
        <v/>
      </c>
      <c r="C86" s="56">
        <f>IF($B86=0,"",IF(Inputs!$B$6="","",IF($AD86=0,C85,SUMIFS(Data!$B$10:$B$3209,Data!$A$10:$A$3209,"&gt;="&amp;$A86,Data!$A$10:$A$3209,"&lt;"&amp;$A86+1)/$AD86)))</f>
        <v/>
      </c>
      <c r="D86" s="56">
        <f>IF($B86=0,"",IF(Inputs!$B$7="","",IF($AE86=0,D85,SUMIFS(Data!$F$10:$F$3209,Data!$E$10:$E$3209,"&gt;="&amp;$A86,Data!$E$10:$E$3209,"&lt;"&amp;$A86+1)/$AE86)))</f>
        <v/>
      </c>
      <c r="E86" s="56">
        <f>IF($B86=0,"",IF(Inputs!$B$8="","",IF($AF86=0,E85,SUMIFS(Data!$J$10:$J$3209,Data!$I$10:$I$3209,"&gt;="&amp;$A86,Data!$I$10:$I$3209,"&lt;"&amp;$A86+1)/$AF86)))</f>
        <v/>
      </c>
      <c r="F86" s="56">
        <f>IF($B86=0,"",IF(Inputs!$B$9="","",IF($AG86=0,F85,SUMIFS(Data!$N$10:$N$3209,Data!$M$10:$M$3209,"&gt;="&amp;$A86,Data!$M$10:$M$3209,"&lt;"&amp;$A86+1)/$AG86)))</f>
        <v/>
      </c>
      <c r="G86" s="56">
        <f>IF($B86=0,"",IF(Inputs!$B$10="","",IF($AH86=0,G85,SUMIFS(Data!$R$10:$R$3209,Data!$Q$10:$Q$3209,"&gt;="&amp;$A86,Data!$Q$10:$Q$3209,"&lt;"&amp;$A86+1)/$AH86)))</f>
        <v/>
      </c>
      <c r="I86" s="54">
        <f>IF($B86=0,NA(),IF($C86="",NA(),IF(C$8="",NA(),IF(N(C$8)=0,NA(),IF(Inputs!$C$17="Rebased to 100",$C86/C$8*100,$C86)))))</f>
        <v/>
      </c>
      <c r="J86" s="54">
        <f>IF($B86=0,NA(),IF($D86="",NA(),IF(D$8="",NA(),IF(N(D$8)=0,NA(),IF(Inputs!$C$17="Rebased to 100",$D86/D$8*100,$D86)))))</f>
        <v/>
      </c>
      <c r="K86" s="54">
        <f>IF($B86=0,NA(),IF($E86="",NA(),IF(E$8="",NA(),IF(N(E$8)=0,NA(),IF(Inputs!$C$17="Rebased to 100",$E86/E$8*100,$E86)))))</f>
        <v/>
      </c>
      <c r="L86" s="54">
        <f>IF($B86=0,NA(),IF($F86="",NA(),IF(F$8="",NA(),IF(N(F$8)=0,NA(),IF(Inputs!$C$17="Rebased to 100",$F86/F$8*100,$F86)))))</f>
        <v/>
      </c>
      <c r="M86" s="54">
        <f>IF($B86=0,NA(),IF($G86="",NA(),IF(G$8="",NA(),IF(N(G$8)=0,NA(),IF(Inputs!$C$17="Rebased to 100",$G86/G$8*100,$G86)))))</f>
        <v/>
      </c>
      <c r="N86" s="54">
        <f>IF($B86=0,NA(),IF(Inputs!$C$18&lt;&gt;"Yes",NA(),IF(COUNT(I86,J86,K86,L86,M86)=0,NA(),MIN(I86,J86,K86,L86,M86))))</f>
        <v/>
      </c>
      <c r="O86" s="54">
        <f>IF($B86=0,NA(),IF(Inputs!$B$24&lt;&gt;"Yes",NA(),Inputs!$D$24*Inputs!$C$35))</f>
        <v/>
      </c>
      <c r="P86" s="54">
        <f>IF($B86=0,NA(),IF(Inputs!$B$25&lt;&gt;"Yes",NA(),Inputs!$D$25*Inputs!$C$35))</f>
        <v/>
      </c>
      <c r="Q86" s="54">
        <f>IF($B86=0,NA(),IF(Inputs!$B$26&lt;&gt;"Yes",NA(),Inputs!$D$26*Inputs!$C$35))</f>
        <v/>
      </c>
      <c r="R86" s="54">
        <f>IF($B86=0,NA(),IF(Inputs!$B$27&lt;&gt;"Yes",NA(),Inputs!$D$27*Inputs!$C$35))</f>
        <v/>
      </c>
      <c r="S86" s="54">
        <f>IF($B86=0,NA(),IF(Inputs!$B$28&lt;&gt;"Yes",NA(),Inputs!$D$28*Inputs!$C$35))</f>
        <v/>
      </c>
      <c r="T86" s="54">
        <f>IF($B86=0,NA(),IF(Inputs!$B$29&lt;&gt;"Yes",NA(),Inputs!$D$29*Inputs!$C$35))</f>
        <v/>
      </c>
      <c r="AD86">
        <f>IF($B86=0,0,IF(Inputs!$B$6="",0,COUNTIFS(Data!$A$10:$A$3209,"&gt;="&amp;$A86,Data!$A$10:$A$3209,"&lt;"&amp;$A86+1)))</f>
        <v/>
      </c>
      <c r="AE86">
        <f>IF($B86=0,0,IF(Inputs!$B$7="",0,COUNTIFS(Data!$E$10:$E$3209,"&gt;="&amp;$A86,Data!$E$10:$E$3209,"&lt;"&amp;$A86+1)))</f>
        <v/>
      </c>
      <c r="AF86">
        <f>IF($B86=0,0,IF(Inputs!$B$8="",0,COUNTIFS(Data!$I$10:$I$3209,"&gt;="&amp;$A86,Data!$I$10:$I$3209,"&lt;"&amp;$A86+1)))</f>
        <v/>
      </c>
      <c r="AG86">
        <f>IF($B86=0,0,IF(Inputs!$B$9="",0,COUNTIFS(Data!$M$10:$M$3209,"&gt;="&amp;$A86,Data!$M$10:$M$3209,"&lt;"&amp;$A86+1)))</f>
        <v/>
      </c>
      <c r="AH86">
        <f>IF($B86=0,0,IF(Inputs!$B$10="",0,COUNTIFS(Data!$Q$10:$Q$3209,"&gt;="&amp;$A86,Data!$Q$10:$Q$3209,"&lt;"&amp;$A86+1)))</f>
        <v/>
      </c>
    </row>
    <row r="87">
      <c r="A87" s="55">
        <f>MIN(Inputs!$C$15,$A86+IF(WEEKDAY($A86,2)=5,3,1))</f>
        <v/>
      </c>
      <c r="B87">
        <f>IF($A87&gt;$A86,1,0)</f>
        <v/>
      </c>
      <c r="C87" s="56">
        <f>IF($B87=0,"",IF(Inputs!$B$6="","",IF($AD87=0,C86,SUMIFS(Data!$B$10:$B$3209,Data!$A$10:$A$3209,"&gt;="&amp;$A87,Data!$A$10:$A$3209,"&lt;"&amp;$A87+1)/$AD87)))</f>
        <v/>
      </c>
      <c r="D87" s="56">
        <f>IF($B87=0,"",IF(Inputs!$B$7="","",IF($AE87=0,D86,SUMIFS(Data!$F$10:$F$3209,Data!$E$10:$E$3209,"&gt;="&amp;$A87,Data!$E$10:$E$3209,"&lt;"&amp;$A87+1)/$AE87)))</f>
        <v/>
      </c>
      <c r="E87" s="56">
        <f>IF($B87=0,"",IF(Inputs!$B$8="","",IF($AF87=0,E86,SUMIFS(Data!$J$10:$J$3209,Data!$I$10:$I$3209,"&gt;="&amp;$A87,Data!$I$10:$I$3209,"&lt;"&amp;$A87+1)/$AF87)))</f>
        <v/>
      </c>
      <c r="F87" s="56">
        <f>IF($B87=0,"",IF(Inputs!$B$9="","",IF($AG87=0,F86,SUMIFS(Data!$N$10:$N$3209,Data!$M$10:$M$3209,"&gt;="&amp;$A87,Data!$M$10:$M$3209,"&lt;"&amp;$A87+1)/$AG87)))</f>
        <v/>
      </c>
      <c r="G87" s="56">
        <f>IF($B87=0,"",IF(Inputs!$B$10="","",IF($AH87=0,G86,SUMIFS(Data!$R$10:$R$3209,Data!$Q$10:$Q$3209,"&gt;="&amp;$A87,Data!$Q$10:$Q$3209,"&lt;"&amp;$A87+1)/$AH87)))</f>
        <v/>
      </c>
      <c r="I87" s="54">
        <f>IF($B87=0,NA(),IF($C87="",NA(),IF(C$8="",NA(),IF(N(C$8)=0,NA(),IF(Inputs!$C$17="Rebased to 100",$C87/C$8*100,$C87)))))</f>
        <v/>
      </c>
      <c r="J87" s="54">
        <f>IF($B87=0,NA(),IF($D87="",NA(),IF(D$8="",NA(),IF(N(D$8)=0,NA(),IF(Inputs!$C$17="Rebased to 100",$D87/D$8*100,$D87)))))</f>
        <v/>
      </c>
      <c r="K87" s="54">
        <f>IF($B87=0,NA(),IF($E87="",NA(),IF(E$8="",NA(),IF(N(E$8)=0,NA(),IF(Inputs!$C$17="Rebased to 100",$E87/E$8*100,$E87)))))</f>
        <v/>
      </c>
      <c r="L87" s="54">
        <f>IF($B87=0,NA(),IF($F87="",NA(),IF(F$8="",NA(),IF(N(F$8)=0,NA(),IF(Inputs!$C$17="Rebased to 100",$F87/F$8*100,$F87)))))</f>
        <v/>
      </c>
      <c r="M87" s="54">
        <f>IF($B87=0,NA(),IF($G87="",NA(),IF(G$8="",NA(),IF(N(G$8)=0,NA(),IF(Inputs!$C$17="Rebased to 100",$G87/G$8*100,$G87)))))</f>
        <v/>
      </c>
      <c r="N87" s="54">
        <f>IF($B87=0,NA(),IF(Inputs!$C$18&lt;&gt;"Yes",NA(),IF(COUNT(I87,J87,K87,L87,M87)=0,NA(),MIN(I87,J87,K87,L87,M87))))</f>
        <v/>
      </c>
      <c r="O87" s="54">
        <f>IF($B87=0,NA(),IF(Inputs!$B$24&lt;&gt;"Yes",NA(),Inputs!$D$24*Inputs!$C$35))</f>
        <v/>
      </c>
      <c r="P87" s="54">
        <f>IF($B87=0,NA(),IF(Inputs!$B$25&lt;&gt;"Yes",NA(),Inputs!$D$25*Inputs!$C$35))</f>
        <v/>
      </c>
      <c r="Q87" s="54">
        <f>IF($B87=0,NA(),IF(Inputs!$B$26&lt;&gt;"Yes",NA(),Inputs!$D$26*Inputs!$C$35))</f>
        <v/>
      </c>
      <c r="R87" s="54">
        <f>IF($B87=0,NA(),IF(Inputs!$B$27&lt;&gt;"Yes",NA(),Inputs!$D$27*Inputs!$C$35))</f>
        <v/>
      </c>
      <c r="S87" s="54">
        <f>IF($B87=0,NA(),IF(Inputs!$B$28&lt;&gt;"Yes",NA(),Inputs!$D$28*Inputs!$C$35))</f>
        <v/>
      </c>
      <c r="T87" s="54">
        <f>IF($B87=0,NA(),IF(Inputs!$B$29&lt;&gt;"Yes",NA(),Inputs!$D$29*Inputs!$C$35))</f>
        <v/>
      </c>
      <c r="AD87">
        <f>IF($B87=0,0,IF(Inputs!$B$6="",0,COUNTIFS(Data!$A$10:$A$3209,"&gt;="&amp;$A87,Data!$A$10:$A$3209,"&lt;"&amp;$A87+1)))</f>
        <v/>
      </c>
      <c r="AE87">
        <f>IF($B87=0,0,IF(Inputs!$B$7="",0,COUNTIFS(Data!$E$10:$E$3209,"&gt;="&amp;$A87,Data!$E$10:$E$3209,"&lt;"&amp;$A87+1)))</f>
        <v/>
      </c>
      <c r="AF87">
        <f>IF($B87=0,0,IF(Inputs!$B$8="",0,COUNTIFS(Data!$I$10:$I$3209,"&gt;="&amp;$A87,Data!$I$10:$I$3209,"&lt;"&amp;$A87+1)))</f>
        <v/>
      </c>
      <c r="AG87">
        <f>IF($B87=0,0,IF(Inputs!$B$9="",0,COUNTIFS(Data!$M$10:$M$3209,"&gt;="&amp;$A87,Data!$M$10:$M$3209,"&lt;"&amp;$A87+1)))</f>
        <v/>
      </c>
      <c r="AH87">
        <f>IF($B87=0,0,IF(Inputs!$B$10="",0,COUNTIFS(Data!$Q$10:$Q$3209,"&gt;="&amp;$A87,Data!$Q$10:$Q$3209,"&lt;"&amp;$A87+1)))</f>
        <v/>
      </c>
    </row>
    <row r="88">
      <c r="A88" s="55">
        <f>MIN(Inputs!$C$15,$A87+IF(WEEKDAY($A87,2)=5,3,1))</f>
        <v/>
      </c>
      <c r="B88">
        <f>IF($A88&gt;$A87,1,0)</f>
        <v/>
      </c>
      <c r="C88" s="56">
        <f>IF($B88=0,"",IF(Inputs!$B$6="","",IF($AD88=0,C87,SUMIFS(Data!$B$10:$B$3209,Data!$A$10:$A$3209,"&gt;="&amp;$A88,Data!$A$10:$A$3209,"&lt;"&amp;$A88+1)/$AD88)))</f>
        <v/>
      </c>
      <c r="D88" s="56">
        <f>IF($B88=0,"",IF(Inputs!$B$7="","",IF($AE88=0,D87,SUMIFS(Data!$F$10:$F$3209,Data!$E$10:$E$3209,"&gt;="&amp;$A88,Data!$E$10:$E$3209,"&lt;"&amp;$A88+1)/$AE88)))</f>
        <v/>
      </c>
      <c r="E88" s="56">
        <f>IF($B88=0,"",IF(Inputs!$B$8="","",IF($AF88=0,E87,SUMIFS(Data!$J$10:$J$3209,Data!$I$10:$I$3209,"&gt;="&amp;$A88,Data!$I$10:$I$3209,"&lt;"&amp;$A88+1)/$AF88)))</f>
        <v/>
      </c>
      <c r="F88" s="56">
        <f>IF($B88=0,"",IF(Inputs!$B$9="","",IF($AG88=0,F87,SUMIFS(Data!$N$10:$N$3209,Data!$M$10:$M$3209,"&gt;="&amp;$A88,Data!$M$10:$M$3209,"&lt;"&amp;$A88+1)/$AG88)))</f>
        <v/>
      </c>
      <c r="G88" s="56">
        <f>IF($B88=0,"",IF(Inputs!$B$10="","",IF($AH88=0,G87,SUMIFS(Data!$R$10:$R$3209,Data!$Q$10:$Q$3209,"&gt;="&amp;$A88,Data!$Q$10:$Q$3209,"&lt;"&amp;$A88+1)/$AH88)))</f>
        <v/>
      </c>
      <c r="I88" s="54">
        <f>IF($B88=0,NA(),IF($C88="",NA(),IF(C$8="",NA(),IF(N(C$8)=0,NA(),IF(Inputs!$C$17="Rebased to 100",$C88/C$8*100,$C88)))))</f>
        <v/>
      </c>
      <c r="J88" s="54">
        <f>IF($B88=0,NA(),IF($D88="",NA(),IF(D$8="",NA(),IF(N(D$8)=0,NA(),IF(Inputs!$C$17="Rebased to 100",$D88/D$8*100,$D88)))))</f>
        <v/>
      </c>
      <c r="K88" s="54">
        <f>IF($B88=0,NA(),IF($E88="",NA(),IF(E$8="",NA(),IF(N(E$8)=0,NA(),IF(Inputs!$C$17="Rebased to 100",$E88/E$8*100,$E88)))))</f>
        <v/>
      </c>
      <c r="L88" s="54">
        <f>IF($B88=0,NA(),IF($F88="",NA(),IF(F$8="",NA(),IF(N(F$8)=0,NA(),IF(Inputs!$C$17="Rebased to 100",$F88/F$8*100,$F88)))))</f>
        <v/>
      </c>
      <c r="M88" s="54">
        <f>IF($B88=0,NA(),IF($G88="",NA(),IF(G$8="",NA(),IF(N(G$8)=0,NA(),IF(Inputs!$C$17="Rebased to 100",$G88/G$8*100,$G88)))))</f>
        <v/>
      </c>
      <c r="N88" s="54">
        <f>IF($B88=0,NA(),IF(Inputs!$C$18&lt;&gt;"Yes",NA(),IF(COUNT(I88,J88,K88,L88,M88)=0,NA(),MIN(I88,J88,K88,L88,M88))))</f>
        <v/>
      </c>
      <c r="O88" s="54">
        <f>IF($B88=0,NA(),IF(Inputs!$B$24&lt;&gt;"Yes",NA(),Inputs!$D$24*Inputs!$C$35))</f>
        <v/>
      </c>
      <c r="P88" s="54">
        <f>IF($B88=0,NA(),IF(Inputs!$B$25&lt;&gt;"Yes",NA(),Inputs!$D$25*Inputs!$C$35))</f>
        <v/>
      </c>
      <c r="Q88" s="54">
        <f>IF($B88=0,NA(),IF(Inputs!$B$26&lt;&gt;"Yes",NA(),Inputs!$D$26*Inputs!$C$35))</f>
        <v/>
      </c>
      <c r="R88" s="54">
        <f>IF($B88=0,NA(),IF(Inputs!$B$27&lt;&gt;"Yes",NA(),Inputs!$D$27*Inputs!$C$35))</f>
        <v/>
      </c>
      <c r="S88" s="54">
        <f>IF($B88=0,NA(),IF(Inputs!$B$28&lt;&gt;"Yes",NA(),Inputs!$D$28*Inputs!$C$35))</f>
        <v/>
      </c>
      <c r="T88" s="54">
        <f>IF($B88=0,NA(),IF(Inputs!$B$29&lt;&gt;"Yes",NA(),Inputs!$D$29*Inputs!$C$35))</f>
        <v/>
      </c>
      <c r="AD88">
        <f>IF($B88=0,0,IF(Inputs!$B$6="",0,COUNTIFS(Data!$A$10:$A$3209,"&gt;="&amp;$A88,Data!$A$10:$A$3209,"&lt;"&amp;$A88+1)))</f>
        <v/>
      </c>
      <c r="AE88">
        <f>IF($B88=0,0,IF(Inputs!$B$7="",0,COUNTIFS(Data!$E$10:$E$3209,"&gt;="&amp;$A88,Data!$E$10:$E$3209,"&lt;"&amp;$A88+1)))</f>
        <v/>
      </c>
      <c r="AF88">
        <f>IF($B88=0,0,IF(Inputs!$B$8="",0,COUNTIFS(Data!$I$10:$I$3209,"&gt;="&amp;$A88,Data!$I$10:$I$3209,"&lt;"&amp;$A88+1)))</f>
        <v/>
      </c>
      <c r="AG88">
        <f>IF($B88=0,0,IF(Inputs!$B$9="",0,COUNTIFS(Data!$M$10:$M$3209,"&gt;="&amp;$A88,Data!$M$10:$M$3209,"&lt;"&amp;$A88+1)))</f>
        <v/>
      </c>
      <c r="AH88">
        <f>IF($B88=0,0,IF(Inputs!$B$10="",0,COUNTIFS(Data!$Q$10:$Q$3209,"&gt;="&amp;$A88,Data!$Q$10:$Q$3209,"&lt;"&amp;$A88+1)))</f>
        <v/>
      </c>
    </row>
    <row r="89">
      <c r="A89" s="55">
        <f>MIN(Inputs!$C$15,$A88+IF(WEEKDAY($A88,2)=5,3,1))</f>
        <v/>
      </c>
      <c r="B89">
        <f>IF($A89&gt;$A88,1,0)</f>
        <v/>
      </c>
      <c r="C89" s="56">
        <f>IF($B89=0,"",IF(Inputs!$B$6="","",IF($AD89=0,C88,SUMIFS(Data!$B$10:$B$3209,Data!$A$10:$A$3209,"&gt;="&amp;$A89,Data!$A$10:$A$3209,"&lt;"&amp;$A89+1)/$AD89)))</f>
        <v/>
      </c>
      <c r="D89" s="56">
        <f>IF($B89=0,"",IF(Inputs!$B$7="","",IF($AE89=0,D88,SUMIFS(Data!$F$10:$F$3209,Data!$E$10:$E$3209,"&gt;="&amp;$A89,Data!$E$10:$E$3209,"&lt;"&amp;$A89+1)/$AE89)))</f>
        <v/>
      </c>
      <c r="E89" s="56">
        <f>IF($B89=0,"",IF(Inputs!$B$8="","",IF($AF89=0,E88,SUMIFS(Data!$J$10:$J$3209,Data!$I$10:$I$3209,"&gt;="&amp;$A89,Data!$I$10:$I$3209,"&lt;"&amp;$A89+1)/$AF89)))</f>
        <v/>
      </c>
      <c r="F89" s="56">
        <f>IF($B89=0,"",IF(Inputs!$B$9="","",IF($AG89=0,F88,SUMIFS(Data!$N$10:$N$3209,Data!$M$10:$M$3209,"&gt;="&amp;$A89,Data!$M$10:$M$3209,"&lt;"&amp;$A89+1)/$AG89)))</f>
        <v/>
      </c>
      <c r="G89" s="56">
        <f>IF($B89=0,"",IF(Inputs!$B$10="","",IF($AH89=0,G88,SUMIFS(Data!$R$10:$R$3209,Data!$Q$10:$Q$3209,"&gt;="&amp;$A89,Data!$Q$10:$Q$3209,"&lt;"&amp;$A89+1)/$AH89)))</f>
        <v/>
      </c>
      <c r="I89" s="54">
        <f>IF($B89=0,NA(),IF($C89="",NA(),IF(C$8="",NA(),IF(N(C$8)=0,NA(),IF(Inputs!$C$17="Rebased to 100",$C89/C$8*100,$C89)))))</f>
        <v/>
      </c>
      <c r="J89" s="54">
        <f>IF($B89=0,NA(),IF($D89="",NA(),IF(D$8="",NA(),IF(N(D$8)=0,NA(),IF(Inputs!$C$17="Rebased to 100",$D89/D$8*100,$D89)))))</f>
        <v/>
      </c>
      <c r="K89" s="54">
        <f>IF($B89=0,NA(),IF($E89="",NA(),IF(E$8="",NA(),IF(N(E$8)=0,NA(),IF(Inputs!$C$17="Rebased to 100",$E89/E$8*100,$E89)))))</f>
        <v/>
      </c>
      <c r="L89" s="54">
        <f>IF($B89=0,NA(),IF($F89="",NA(),IF(F$8="",NA(),IF(N(F$8)=0,NA(),IF(Inputs!$C$17="Rebased to 100",$F89/F$8*100,$F89)))))</f>
        <v/>
      </c>
      <c r="M89" s="54">
        <f>IF($B89=0,NA(),IF($G89="",NA(),IF(G$8="",NA(),IF(N(G$8)=0,NA(),IF(Inputs!$C$17="Rebased to 100",$G89/G$8*100,$G89)))))</f>
        <v/>
      </c>
      <c r="N89" s="54">
        <f>IF($B89=0,NA(),IF(Inputs!$C$18&lt;&gt;"Yes",NA(),IF(COUNT(I89,J89,K89,L89,M89)=0,NA(),MIN(I89,J89,K89,L89,M89))))</f>
        <v/>
      </c>
      <c r="O89" s="54">
        <f>IF($B89=0,NA(),IF(Inputs!$B$24&lt;&gt;"Yes",NA(),Inputs!$D$24*Inputs!$C$35))</f>
        <v/>
      </c>
      <c r="P89" s="54">
        <f>IF($B89=0,NA(),IF(Inputs!$B$25&lt;&gt;"Yes",NA(),Inputs!$D$25*Inputs!$C$35))</f>
        <v/>
      </c>
      <c r="Q89" s="54">
        <f>IF($B89=0,NA(),IF(Inputs!$B$26&lt;&gt;"Yes",NA(),Inputs!$D$26*Inputs!$C$35))</f>
        <v/>
      </c>
      <c r="R89" s="54">
        <f>IF($B89=0,NA(),IF(Inputs!$B$27&lt;&gt;"Yes",NA(),Inputs!$D$27*Inputs!$C$35))</f>
        <v/>
      </c>
      <c r="S89" s="54">
        <f>IF($B89=0,NA(),IF(Inputs!$B$28&lt;&gt;"Yes",NA(),Inputs!$D$28*Inputs!$C$35))</f>
        <v/>
      </c>
      <c r="T89" s="54">
        <f>IF($B89=0,NA(),IF(Inputs!$B$29&lt;&gt;"Yes",NA(),Inputs!$D$29*Inputs!$C$35))</f>
        <v/>
      </c>
      <c r="AD89">
        <f>IF($B89=0,0,IF(Inputs!$B$6="",0,COUNTIFS(Data!$A$10:$A$3209,"&gt;="&amp;$A89,Data!$A$10:$A$3209,"&lt;"&amp;$A89+1)))</f>
        <v/>
      </c>
      <c r="AE89">
        <f>IF($B89=0,0,IF(Inputs!$B$7="",0,COUNTIFS(Data!$E$10:$E$3209,"&gt;="&amp;$A89,Data!$E$10:$E$3209,"&lt;"&amp;$A89+1)))</f>
        <v/>
      </c>
      <c r="AF89">
        <f>IF($B89=0,0,IF(Inputs!$B$8="",0,COUNTIFS(Data!$I$10:$I$3209,"&gt;="&amp;$A89,Data!$I$10:$I$3209,"&lt;"&amp;$A89+1)))</f>
        <v/>
      </c>
      <c r="AG89">
        <f>IF($B89=0,0,IF(Inputs!$B$9="",0,COUNTIFS(Data!$M$10:$M$3209,"&gt;="&amp;$A89,Data!$M$10:$M$3209,"&lt;"&amp;$A89+1)))</f>
        <v/>
      </c>
      <c r="AH89">
        <f>IF($B89=0,0,IF(Inputs!$B$10="",0,COUNTIFS(Data!$Q$10:$Q$3209,"&gt;="&amp;$A89,Data!$Q$10:$Q$3209,"&lt;"&amp;$A89+1)))</f>
        <v/>
      </c>
    </row>
    <row r="90">
      <c r="A90" s="55">
        <f>MIN(Inputs!$C$15,$A89+IF(WEEKDAY($A89,2)=5,3,1))</f>
        <v/>
      </c>
      <c r="B90">
        <f>IF($A90&gt;$A89,1,0)</f>
        <v/>
      </c>
      <c r="C90" s="56">
        <f>IF($B90=0,"",IF(Inputs!$B$6="","",IF($AD90=0,C89,SUMIFS(Data!$B$10:$B$3209,Data!$A$10:$A$3209,"&gt;="&amp;$A90,Data!$A$10:$A$3209,"&lt;"&amp;$A90+1)/$AD90)))</f>
        <v/>
      </c>
      <c r="D90" s="56">
        <f>IF($B90=0,"",IF(Inputs!$B$7="","",IF($AE90=0,D89,SUMIFS(Data!$F$10:$F$3209,Data!$E$10:$E$3209,"&gt;="&amp;$A90,Data!$E$10:$E$3209,"&lt;"&amp;$A90+1)/$AE90)))</f>
        <v/>
      </c>
      <c r="E90" s="56">
        <f>IF($B90=0,"",IF(Inputs!$B$8="","",IF($AF90=0,E89,SUMIFS(Data!$J$10:$J$3209,Data!$I$10:$I$3209,"&gt;="&amp;$A90,Data!$I$10:$I$3209,"&lt;"&amp;$A90+1)/$AF90)))</f>
        <v/>
      </c>
      <c r="F90" s="56">
        <f>IF($B90=0,"",IF(Inputs!$B$9="","",IF($AG90=0,F89,SUMIFS(Data!$N$10:$N$3209,Data!$M$10:$M$3209,"&gt;="&amp;$A90,Data!$M$10:$M$3209,"&lt;"&amp;$A90+1)/$AG90)))</f>
        <v/>
      </c>
      <c r="G90" s="56">
        <f>IF($B90=0,"",IF(Inputs!$B$10="","",IF($AH90=0,G89,SUMIFS(Data!$R$10:$R$3209,Data!$Q$10:$Q$3209,"&gt;="&amp;$A90,Data!$Q$10:$Q$3209,"&lt;"&amp;$A90+1)/$AH90)))</f>
        <v/>
      </c>
      <c r="I90" s="54">
        <f>IF($B90=0,NA(),IF($C90="",NA(),IF(C$8="",NA(),IF(N(C$8)=0,NA(),IF(Inputs!$C$17="Rebased to 100",$C90/C$8*100,$C90)))))</f>
        <v/>
      </c>
      <c r="J90" s="54">
        <f>IF($B90=0,NA(),IF($D90="",NA(),IF(D$8="",NA(),IF(N(D$8)=0,NA(),IF(Inputs!$C$17="Rebased to 100",$D90/D$8*100,$D90)))))</f>
        <v/>
      </c>
      <c r="K90" s="54">
        <f>IF($B90=0,NA(),IF($E90="",NA(),IF(E$8="",NA(),IF(N(E$8)=0,NA(),IF(Inputs!$C$17="Rebased to 100",$E90/E$8*100,$E90)))))</f>
        <v/>
      </c>
      <c r="L90" s="54">
        <f>IF($B90=0,NA(),IF($F90="",NA(),IF(F$8="",NA(),IF(N(F$8)=0,NA(),IF(Inputs!$C$17="Rebased to 100",$F90/F$8*100,$F90)))))</f>
        <v/>
      </c>
      <c r="M90" s="54">
        <f>IF($B90=0,NA(),IF($G90="",NA(),IF(G$8="",NA(),IF(N(G$8)=0,NA(),IF(Inputs!$C$17="Rebased to 100",$G90/G$8*100,$G90)))))</f>
        <v/>
      </c>
      <c r="N90" s="54">
        <f>IF($B90=0,NA(),IF(Inputs!$C$18&lt;&gt;"Yes",NA(),IF(COUNT(I90,J90,K90,L90,M90)=0,NA(),MIN(I90,J90,K90,L90,M90))))</f>
        <v/>
      </c>
      <c r="O90" s="54">
        <f>IF($B90=0,NA(),IF(Inputs!$B$24&lt;&gt;"Yes",NA(),Inputs!$D$24*Inputs!$C$35))</f>
        <v/>
      </c>
      <c r="P90" s="54">
        <f>IF($B90=0,NA(),IF(Inputs!$B$25&lt;&gt;"Yes",NA(),Inputs!$D$25*Inputs!$C$35))</f>
        <v/>
      </c>
      <c r="Q90" s="54">
        <f>IF($B90=0,NA(),IF(Inputs!$B$26&lt;&gt;"Yes",NA(),Inputs!$D$26*Inputs!$C$35))</f>
        <v/>
      </c>
      <c r="R90" s="54">
        <f>IF($B90=0,NA(),IF(Inputs!$B$27&lt;&gt;"Yes",NA(),Inputs!$D$27*Inputs!$C$35))</f>
        <v/>
      </c>
      <c r="S90" s="54">
        <f>IF($B90=0,NA(),IF(Inputs!$B$28&lt;&gt;"Yes",NA(),Inputs!$D$28*Inputs!$C$35))</f>
        <v/>
      </c>
      <c r="T90" s="54">
        <f>IF($B90=0,NA(),IF(Inputs!$B$29&lt;&gt;"Yes",NA(),Inputs!$D$29*Inputs!$C$35))</f>
        <v/>
      </c>
      <c r="AD90">
        <f>IF($B90=0,0,IF(Inputs!$B$6="",0,COUNTIFS(Data!$A$10:$A$3209,"&gt;="&amp;$A90,Data!$A$10:$A$3209,"&lt;"&amp;$A90+1)))</f>
        <v/>
      </c>
      <c r="AE90">
        <f>IF($B90=0,0,IF(Inputs!$B$7="",0,COUNTIFS(Data!$E$10:$E$3209,"&gt;="&amp;$A90,Data!$E$10:$E$3209,"&lt;"&amp;$A90+1)))</f>
        <v/>
      </c>
      <c r="AF90">
        <f>IF($B90=0,0,IF(Inputs!$B$8="",0,COUNTIFS(Data!$I$10:$I$3209,"&gt;="&amp;$A90,Data!$I$10:$I$3209,"&lt;"&amp;$A90+1)))</f>
        <v/>
      </c>
      <c r="AG90">
        <f>IF($B90=0,0,IF(Inputs!$B$9="",0,COUNTIFS(Data!$M$10:$M$3209,"&gt;="&amp;$A90,Data!$M$10:$M$3209,"&lt;"&amp;$A90+1)))</f>
        <v/>
      </c>
      <c r="AH90">
        <f>IF($B90=0,0,IF(Inputs!$B$10="",0,COUNTIFS(Data!$Q$10:$Q$3209,"&gt;="&amp;$A90,Data!$Q$10:$Q$3209,"&lt;"&amp;$A90+1)))</f>
        <v/>
      </c>
    </row>
    <row r="91">
      <c r="A91" s="55">
        <f>MIN(Inputs!$C$15,$A90+IF(WEEKDAY($A90,2)=5,3,1))</f>
        <v/>
      </c>
      <c r="B91">
        <f>IF($A91&gt;$A90,1,0)</f>
        <v/>
      </c>
      <c r="C91" s="56">
        <f>IF($B91=0,"",IF(Inputs!$B$6="","",IF($AD91=0,C90,SUMIFS(Data!$B$10:$B$3209,Data!$A$10:$A$3209,"&gt;="&amp;$A91,Data!$A$10:$A$3209,"&lt;"&amp;$A91+1)/$AD91)))</f>
        <v/>
      </c>
      <c r="D91" s="56">
        <f>IF($B91=0,"",IF(Inputs!$B$7="","",IF($AE91=0,D90,SUMIFS(Data!$F$10:$F$3209,Data!$E$10:$E$3209,"&gt;="&amp;$A91,Data!$E$10:$E$3209,"&lt;"&amp;$A91+1)/$AE91)))</f>
        <v/>
      </c>
      <c r="E91" s="56">
        <f>IF($B91=0,"",IF(Inputs!$B$8="","",IF($AF91=0,E90,SUMIFS(Data!$J$10:$J$3209,Data!$I$10:$I$3209,"&gt;="&amp;$A91,Data!$I$10:$I$3209,"&lt;"&amp;$A91+1)/$AF91)))</f>
        <v/>
      </c>
      <c r="F91" s="56">
        <f>IF($B91=0,"",IF(Inputs!$B$9="","",IF($AG91=0,F90,SUMIFS(Data!$N$10:$N$3209,Data!$M$10:$M$3209,"&gt;="&amp;$A91,Data!$M$10:$M$3209,"&lt;"&amp;$A91+1)/$AG91)))</f>
        <v/>
      </c>
      <c r="G91" s="56">
        <f>IF($B91=0,"",IF(Inputs!$B$10="","",IF($AH91=0,G90,SUMIFS(Data!$R$10:$R$3209,Data!$Q$10:$Q$3209,"&gt;="&amp;$A91,Data!$Q$10:$Q$3209,"&lt;"&amp;$A91+1)/$AH91)))</f>
        <v/>
      </c>
      <c r="I91" s="54">
        <f>IF($B91=0,NA(),IF($C91="",NA(),IF(C$8="",NA(),IF(N(C$8)=0,NA(),IF(Inputs!$C$17="Rebased to 100",$C91/C$8*100,$C91)))))</f>
        <v/>
      </c>
      <c r="J91" s="54">
        <f>IF($B91=0,NA(),IF($D91="",NA(),IF(D$8="",NA(),IF(N(D$8)=0,NA(),IF(Inputs!$C$17="Rebased to 100",$D91/D$8*100,$D91)))))</f>
        <v/>
      </c>
      <c r="K91" s="54">
        <f>IF($B91=0,NA(),IF($E91="",NA(),IF(E$8="",NA(),IF(N(E$8)=0,NA(),IF(Inputs!$C$17="Rebased to 100",$E91/E$8*100,$E91)))))</f>
        <v/>
      </c>
      <c r="L91" s="54">
        <f>IF($B91=0,NA(),IF($F91="",NA(),IF(F$8="",NA(),IF(N(F$8)=0,NA(),IF(Inputs!$C$17="Rebased to 100",$F91/F$8*100,$F91)))))</f>
        <v/>
      </c>
      <c r="M91" s="54">
        <f>IF($B91=0,NA(),IF($G91="",NA(),IF(G$8="",NA(),IF(N(G$8)=0,NA(),IF(Inputs!$C$17="Rebased to 100",$G91/G$8*100,$G91)))))</f>
        <v/>
      </c>
      <c r="N91" s="54">
        <f>IF($B91=0,NA(),IF(Inputs!$C$18&lt;&gt;"Yes",NA(),IF(COUNT(I91,J91,K91,L91,M91)=0,NA(),MIN(I91,J91,K91,L91,M91))))</f>
        <v/>
      </c>
      <c r="O91" s="54">
        <f>IF($B91=0,NA(),IF(Inputs!$B$24&lt;&gt;"Yes",NA(),Inputs!$D$24*Inputs!$C$35))</f>
        <v/>
      </c>
      <c r="P91" s="54">
        <f>IF($B91=0,NA(),IF(Inputs!$B$25&lt;&gt;"Yes",NA(),Inputs!$D$25*Inputs!$C$35))</f>
        <v/>
      </c>
      <c r="Q91" s="54">
        <f>IF($B91=0,NA(),IF(Inputs!$B$26&lt;&gt;"Yes",NA(),Inputs!$D$26*Inputs!$C$35))</f>
        <v/>
      </c>
      <c r="R91" s="54">
        <f>IF($B91=0,NA(),IF(Inputs!$B$27&lt;&gt;"Yes",NA(),Inputs!$D$27*Inputs!$C$35))</f>
        <v/>
      </c>
      <c r="S91" s="54">
        <f>IF($B91=0,NA(),IF(Inputs!$B$28&lt;&gt;"Yes",NA(),Inputs!$D$28*Inputs!$C$35))</f>
        <v/>
      </c>
      <c r="T91" s="54">
        <f>IF($B91=0,NA(),IF(Inputs!$B$29&lt;&gt;"Yes",NA(),Inputs!$D$29*Inputs!$C$35))</f>
        <v/>
      </c>
      <c r="AD91">
        <f>IF($B91=0,0,IF(Inputs!$B$6="",0,COUNTIFS(Data!$A$10:$A$3209,"&gt;="&amp;$A91,Data!$A$10:$A$3209,"&lt;"&amp;$A91+1)))</f>
        <v/>
      </c>
      <c r="AE91">
        <f>IF($B91=0,0,IF(Inputs!$B$7="",0,COUNTIFS(Data!$E$10:$E$3209,"&gt;="&amp;$A91,Data!$E$10:$E$3209,"&lt;"&amp;$A91+1)))</f>
        <v/>
      </c>
      <c r="AF91">
        <f>IF($B91=0,0,IF(Inputs!$B$8="",0,COUNTIFS(Data!$I$10:$I$3209,"&gt;="&amp;$A91,Data!$I$10:$I$3209,"&lt;"&amp;$A91+1)))</f>
        <v/>
      </c>
      <c r="AG91">
        <f>IF($B91=0,0,IF(Inputs!$B$9="",0,COUNTIFS(Data!$M$10:$M$3209,"&gt;="&amp;$A91,Data!$M$10:$M$3209,"&lt;"&amp;$A91+1)))</f>
        <v/>
      </c>
      <c r="AH91">
        <f>IF($B91=0,0,IF(Inputs!$B$10="",0,COUNTIFS(Data!$Q$10:$Q$3209,"&gt;="&amp;$A91,Data!$Q$10:$Q$3209,"&lt;"&amp;$A91+1)))</f>
        <v/>
      </c>
    </row>
    <row r="92">
      <c r="A92" s="55">
        <f>MIN(Inputs!$C$15,$A91+IF(WEEKDAY($A91,2)=5,3,1))</f>
        <v/>
      </c>
      <c r="B92">
        <f>IF($A92&gt;$A91,1,0)</f>
        <v/>
      </c>
      <c r="C92" s="56">
        <f>IF($B92=0,"",IF(Inputs!$B$6="","",IF($AD92=0,C91,SUMIFS(Data!$B$10:$B$3209,Data!$A$10:$A$3209,"&gt;="&amp;$A92,Data!$A$10:$A$3209,"&lt;"&amp;$A92+1)/$AD92)))</f>
        <v/>
      </c>
      <c r="D92" s="56">
        <f>IF($B92=0,"",IF(Inputs!$B$7="","",IF($AE92=0,D91,SUMIFS(Data!$F$10:$F$3209,Data!$E$10:$E$3209,"&gt;="&amp;$A92,Data!$E$10:$E$3209,"&lt;"&amp;$A92+1)/$AE92)))</f>
        <v/>
      </c>
      <c r="E92" s="56">
        <f>IF($B92=0,"",IF(Inputs!$B$8="","",IF($AF92=0,E91,SUMIFS(Data!$J$10:$J$3209,Data!$I$10:$I$3209,"&gt;="&amp;$A92,Data!$I$10:$I$3209,"&lt;"&amp;$A92+1)/$AF92)))</f>
        <v/>
      </c>
      <c r="F92" s="56">
        <f>IF($B92=0,"",IF(Inputs!$B$9="","",IF($AG92=0,F91,SUMIFS(Data!$N$10:$N$3209,Data!$M$10:$M$3209,"&gt;="&amp;$A92,Data!$M$10:$M$3209,"&lt;"&amp;$A92+1)/$AG92)))</f>
        <v/>
      </c>
      <c r="G92" s="56">
        <f>IF($B92=0,"",IF(Inputs!$B$10="","",IF($AH92=0,G91,SUMIFS(Data!$R$10:$R$3209,Data!$Q$10:$Q$3209,"&gt;="&amp;$A92,Data!$Q$10:$Q$3209,"&lt;"&amp;$A92+1)/$AH92)))</f>
        <v/>
      </c>
      <c r="I92" s="54">
        <f>IF($B92=0,NA(),IF($C92="",NA(),IF(C$8="",NA(),IF(N(C$8)=0,NA(),IF(Inputs!$C$17="Rebased to 100",$C92/C$8*100,$C92)))))</f>
        <v/>
      </c>
      <c r="J92" s="54">
        <f>IF($B92=0,NA(),IF($D92="",NA(),IF(D$8="",NA(),IF(N(D$8)=0,NA(),IF(Inputs!$C$17="Rebased to 100",$D92/D$8*100,$D92)))))</f>
        <v/>
      </c>
      <c r="K92" s="54">
        <f>IF($B92=0,NA(),IF($E92="",NA(),IF(E$8="",NA(),IF(N(E$8)=0,NA(),IF(Inputs!$C$17="Rebased to 100",$E92/E$8*100,$E92)))))</f>
        <v/>
      </c>
      <c r="L92" s="54">
        <f>IF($B92=0,NA(),IF($F92="",NA(),IF(F$8="",NA(),IF(N(F$8)=0,NA(),IF(Inputs!$C$17="Rebased to 100",$F92/F$8*100,$F92)))))</f>
        <v/>
      </c>
      <c r="M92" s="54">
        <f>IF($B92=0,NA(),IF($G92="",NA(),IF(G$8="",NA(),IF(N(G$8)=0,NA(),IF(Inputs!$C$17="Rebased to 100",$G92/G$8*100,$G92)))))</f>
        <v/>
      </c>
      <c r="N92" s="54">
        <f>IF($B92=0,NA(),IF(Inputs!$C$18&lt;&gt;"Yes",NA(),IF(COUNT(I92,J92,K92,L92,M92)=0,NA(),MIN(I92,J92,K92,L92,M92))))</f>
        <v/>
      </c>
      <c r="O92" s="54">
        <f>IF($B92=0,NA(),IF(Inputs!$B$24&lt;&gt;"Yes",NA(),Inputs!$D$24*Inputs!$C$35))</f>
        <v/>
      </c>
      <c r="P92" s="54">
        <f>IF($B92=0,NA(),IF(Inputs!$B$25&lt;&gt;"Yes",NA(),Inputs!$D$25*Inputs!$C$35))</f>
        <v/>
      </c>
      <c r="Q92" s="54">
        <f>IF($B92=0,NA(),IF(Inputs!$B$26&lt;&gt;"Yes",NA(),Inputs!$D$26*Inputs!$C$35))</f>
        <v/>
      </c>
      <c r="R92" s="54">
        <f>IF($B92=0,NA(),IF(Inputs!$B$27&lt;&gt;"Yes",NA(),Inputs!$D$27*Inputs!$C$35))</f>
        <v/>
      </c>
      <c r="S92" s="54">
        <f>IF($B92=0,NA(),IF(Inputs!$B$28&lt;&gt;"Yes",NA(),Inputs!$D$28*Inputs!$C$35))</f>
        <v/>
      </c>
      <c r="T92" s="54">
        <f>IF($B92=0,NA(),IF(Inputs!$B$29&lt;&gt;"Yes",NA(),Inputs!$D$29*Inputs!$C$35))</f>
        <v/>
      </c>
      <c r="AD92">
        <f>IF($B92=0,0,IF(Inputs!$B$6="",0,COUNTIFS(Data!$A$10:$A$3209,"&gt;="&amp;$A92,Data!$A$10:$A$3209,"&lt;"&amp;$A92+1)))</f>
        <v/>
      </c>
      <c r="AE92">
        <f>IF($B92=0,0,IF(Inputs!$B$7="",0,COUNTIFS(Data!$E$10:$E$3209,"&gt;="&amp;$A92,Data!$E$10:$E$3209,"&lt;"&amp;$A92+1)))</f>
        <v/>
      </c>
      <c r="AF92">
        <f>IF($B92=0,0,IF(Inputs!$B$8="",0,COUNTIFS(Data!$I$10:$I$3209,"&gt;="&amp;$A92,Data!$I$10:$I$3209,"&lt;"&amp;$A92+1)))</f>
        <v/>
      </c>
      <c r="AG92">
        <f>IF($B92=0,0,IF(Inputs!$B$9="",0,COUNTIFS(Data!$M$10:$M$3209,"&gt;="&amp;$A92,Data!$M$10:$M$3209,"&lt;"&amp;$A92+1)))</f>
        <v/>
      </c>
      <c r="AH92">
        <f>IF($B92=0,0,IF(Inputs!$B$10="",0,COUNTIFS(Data!$Q$10:$Q$3209,"&gt;="&amp;$A92,Data!$Q$10:$Q$3209,"&lt;"&amp;$A92+1)))</f>
        <v/>
      </c>
    </row>
    <row r="93">
      <c r="A93" s="55">
        <f>MIN(Inputs!$C$15,$A92+IF(WEEKDAY($A92,2)=5,3,1))</f>
        <v/>
      </c>
      <c r="B93">
        <f>IF($A93&gt;$A92,1,0)</f>
        <v/>
      </c>
      <c r="C93" s="56">
        <f>IF($B93=0,"",IF(Inputs!$B$6="","",IF($AD93=0,C92,SUMIFS(Data!$B$10:$B$3209,Data!$A$10:$A$3209,"&gt;="&amp;$A93,Data!$A$10:$A$3209,"&lt;"&amp;$A93+1)/$AD93)))</f>
        <v/>
      </c>
      <c r="D93" s="56">
        <f>IF($B93=0,"",IF(Inputs!$B$7="","",IF($AE93=0,D92,SUMIFS(Data!$F$10:$F$3209,Data!$E$10:$E$3209,"&gt;="&amp;$A93,Data!$E$10:$E$3209,"&lt;"&amp;$A93+1)/$AE93)))</f>
        <v/>
      </c>
      <c r="E93" s="56">
        <f>IF($B93=0,"",IF(Inputs!$B$8="","",IF($AF93=0,E92,SUMIFS(Data!$J$10:$J$3209,Data!$I$10:$I$3209,"&gt;="&amp;$A93,Data!$I$10:$I$3209,"&lt;"&amp;$A93+1)/$AF93)))</f>
        <v/>
      </c>
      <c r="F93" s="56">
        <f>IF($B93=0,"",IF(Inputs!$B$9="","",IF($AG93=0,F92,SUMIFS(Data!$N$10:$N$3209,Data!$M$10:$M$3209,"&gt;="&amp;$A93,Data!$M$10:$M$3209,"&lt;"&amp;$A93+1)/$AG93)))</f>
        <v/>
      </c>
      <c r="G93" s="56">
        <f>IF($B93=0,"",IF(Inputs!$B$10="","",IF($AH93=0,G92,SUMIFS(Data!$R$10:$R$3209,Data!$Q$10:$Q$3209,"&gt;="&amp;$A93,Data!$Q$10:$Q$3209,"&lt;"&amp;$A93+1)/$AH93)))</f>
        <v/>
      </c>
      <c r="I93" s="54">
        <f>IF($B93=0,NA(),IF($C93="",NA(),IF(C$8="",NA(),IF(N(C$8)=0,NA(),IF(Inputs!$C$17="Rebased to 100",$C93/C$8*100,$C93)))))</f>
        <v/>
      </c>
      <c r="J93" s="54">
        <f>IF($B93=0,NA(),IF($D93="",NA(),IF(D$8="",NA(),IF(N(D$8)=0,NA(),IF(Inputs!$C$17="Rebased to 100",$D93/D$8*100,$D93)))))</f>
        <v/>
      </c>
      <c r="K93" s="54">
        <f>IF($B93=0,NA(),IF($E93="",NA(),IF(E$8="",NA(),IF(N(E$8)=0,NA(),IF(Inputs!$C$17="Rebased to 100",$E93/E$8*100,$E93)))))</f>
        <v/>
      </c>
      <c r="L93" s="54">
        <f>IF($B93=0,NA(),IF($F93="",NA(),IF(F$8="",NA(),IF(N(F$8)=0,NA(),IF(Inputs!$C$17="Rebased to 100",$F93/F$8*100,$F93)))))</f>
        <v/>
      </c>
      <c r="M93" s="54">
        <f>IF($B93=0,NA(),IF($G93="",NA(),IF(G$8="",NA(),IF(N(G$8)=0,NA(),IF(Inputs!$C$17="Rebased to 100",$G93/G$8*100,$G93)))))</f>
        <v/>
      </c>
      <c r="N93" s="54">
        <f>IF($B93=0,NA(),IF(Inputs!$C$18&lt;&gt;"Yes",NA(),IF(COUNT(I93,J93,K93,L93,M93)=0,NA(),MIN(I93,J93,K93,L93,M93))))</f>
        <v/>
      </c>
      <c r="O93" s="54">
        <f>IF($B93=0,NA(),IF(Inputs!$B$24&lt;&gt;"Yes",NA(),Inputs!$D$24*Inputs!$C$35))</f>
        <v/>
      </c>
      <c r="P93" s="54">
        <f>IF($B93=0,NA(),IF(Inputs!$B$25&lt;&gt;"Yes",NA(),Inputs!$D$25*Inputs!$C$35))</f>
        <v/>
      </c>
      <c r="Q93" s="54">
        <f>IF($B93=0,NA(),IF(Inputs!$B$26&lt;&gt;"Yes",NA(),Inputs!$D$26*Inputs!$C$35))</f>
        <v/>
      </c>
      <c r="R93" s="54">
        <f>IF($B93=0,NA(),IF(Inputs!$B$27&lt;&gt;"Yes",NA(),Inputs!$D$27*Inputs!$C$35))</f>
        <v/>
      </c>
      <c r="S93" s="54">
        <f>IF($B93=0,NA(),IF(Inputs!$B$28&lt;&gt;"Yes",NA(),Inputs!$D$28*Inputs!$C$35))</f>
        <v/>
      </c>
      <c r="T93" s="54">
        <f>IF($B93=0,NA(),IF(Inputs!$B$29&lt;&gt;"Yes",NA(),Inputs!$D$29*Inputs!$C$35))</f>
        <v/>
      </c>
      <c r="AD93">
        <f>IF($B93=0,0,IF(Inputs!$B$6="",0,COUNTIFS(Data!$A$10:$A$3209,"&gt;="&amp;$A93,Data!$A$10:$A$3209,"&lt;"&amp;$A93+1)))</f>
        <v/>
      </c>
      <c r="AE93">
        <f>IF($B93=0,0,IF(Inputs!$B$7="",0,COUNTIFS(Data!$E$10:$E$3209,"&gt;="&amp;$A93,Data!$E$10:$E$3209,"&lt;"&amp;$A93+1)))</f>
        <v/>
      </c>
      <c r="AF93">
        <f>IF($B93=0,0,IF(Inputs!$B$8="",0,COUNTIFS(Data!$I$10:$I$3209,"&gt;="&amp;$A93,Data!$I$10:$I$3209,"&lt;"&amp;$A93+1)))</f>
        <v/>
      </c>
      <c r="AG93">
        <f>IF($B93=0,0,IF(Inputs!$B$9="",0,COUNTIFS(Data!$M$10:$M$3209,"&gt;="&amp;$A93,Data!$M$10:$M$3209,"&lt;"&amp;$A93+1)))</f>
        <v/>
      </c>
      <c r="AH93">
        <f>IF($B93=0,0,IF(Inputs!$B$10="",0,COUNTIFS(Data!$Q$10:$Q$3209,"&gt;="&amp;$A93,Data!$Q$10:$Q$3209,"&lt;"&amp;$A93+1)))</f>
        <v/>
      </c>
    </row>
    <row r="94">
      <c r="A94" s="55">
        <f>MIN(Inputs!$C$15,$A93+IF(WEEKDAY($A93,2)=5,3,1))</f>
        <v/>
      </c>
      <c r="B94">
        <f>IF($A94&gt;$A93,1,0)</f>
        <v/>
      </c>
      <c r="C94" s="56">
        <f>IF($B94=0,"",IF(Inputs!$B$6="","",IF($AD94=0,C93,SUMIFS(Data!$B$10:$B$3209,Data!$A$10:$A$3209,"&gt;="&amp;$A94,Data!$A$10:$A$3209,"&lt;"&amp;$A94+1)/$AD94)))</f>
        <v/>
      </c>
      <c r="D94" s="56">
        <f>IF($B94=0,"",IF(Inputs!$B$7="","",IF($AE94=0,D93,SUMIFS(Data!$F$10:$F$3209,Data!$E$10:$E$3209,"&gt;="&amp;$A94,Data!$E$10:$E$3209,"&lt;"&amp;$A94+1)/$AE94)))</f>
        <v/>
      </c>
      <c r="E94" s="56">
        <f>IF($B94=0,"",IF(Inputs!$B$8="","",IF($AF94=0,E93,SUMIFS(Data!$J$10:$J$3209,Data!$I$10:$I$3209,"&gt;="&amp;$A94,Data!$I$10:$I$3209,"&lt;"&amp;$A94+1)/$AF94)))</f>
        <v/>
      </c>
      <c r="F94" s="56">
        <f>IF($B94=0,"",IF(Inputs!$B$9="","",IF($AG94=0,F93,SUMIFS(Data!$N$10:$N$3209,Data!$M$10:$M$3209,"&gt;="&amp;$A94,Data!$M$10:$M$3209,"&lt;"&amp;$A94+1)/$AG94)))</f>
        <v/>
      </c>
      <c r="G94" s="56">
        <f>IF($B94=0,"",IF(Inputs!$B$10="","",IF($AH94=0,G93,SUMIFS(Data!$R$10:$R$3209,Data!$Q$10:$Q$3209,"&gt;="&amp;$A94,Data!$Q$10:$Q$3209,"&lt;"&amp;$A94+1)/$AH94)))</f>
        <v/>
      </c>
      <c r="I94" s="54">
        <f>IF($B94=0,NA(),IF($C94="",NA(),IF(C$8="",NA(),IF(N(C$8)=0,NA(),IF(Inputs!$C$17="Rebased to 100",$C94/C$8*100,$C94)))))</f>
        <v/>
      </c>
      <c r="J94" s="54">
        <f>IF($B94=0,NA(),IF($D94="",NA(),IF(D$8="",NA(),IF(N(D$8)=0,NA(),IF(Inputs!$C$17="Rebased to 100",$D94/D$8*100,$D94)))))</f>
        <v/>
      </c>
      <c r="K94" s="54">
        <f>IF($B94=0,NA(),IF($E94="",NA(),IF(E$8="",NA(),IF(N(E$8)=0,NA(),IF(Inputs!$C$17="Rebased to 100",$E94/E$8*100,$E94)))))</f>
        <v/>
      </c>
      <c r="L94" s="54">
        <f>IF($B94=0,NA(),IF($F94="",NA(),IF(F$8="",NA(),IF(N(F$8)=0,NA(),IF(Inputs!$C$17="Rebased to 100",$F94/F$8*100,$F94)))))</f>
        <v/>
      </c>
      <c r="M94" s="54">
        <f>IF($B94=0,NA(),IF($G94="",NA(),IF(G$8="",NA(),IF(N(G$8)=0,NA(),IF(Inputs!$C$17="Rebased to 100",$G94/G$8*100,$G94)))))</f>
        <v/>
      </c>
      <c r="N94" s="54">
        <f>IF($B94=0,NA(),IF(Inputs!$C$18&lt;&gt;"Yes",NA(),IF(COUNT(I94,J94,K94,L94,M94)=0,NA(),MIN(I94,J94,K94,L94,M94))))</f>
        <v/>
      </c>
      <c r="O94" s="54">
        <f>IF($B94=0,NA(),IF(Inputs!$B$24&lt;&gt;"Yes",NA(),Inputs!$D$24*Inputs!$C$35))</f>
        <v/>
      </c>
      <c r="P94" s="54">
        <f>IF($B94=0,NA(),IF(Inputs!$B$25&lt;&gt;"Yes",NA(),Inputs!$D$25*Inputs!$C$35))</f>
        <v/>
      </c>
      <c r="Q94" s="54">
        <f>IF($B94=0,NA(),IF(Inputs!$B$26&lt;&gt;"Yes",NA(),Inputs!$D$26*Inputs!$C$35))</f>
        <v/>
      </c>
      <c r="R94" s="54">
        <f>IF($B94=0,NA(),IF(Inputs!$B$27&lt;&gt;"Yes",NA(),Inputs!$D$27*Inputs!$C$35))</f>
        <v/>
      </c>
      <c r="S94" s="54">
        <f>IF($B94=0,NA(),IF(Inputs!$B$28&lt;&gt;"Yes",NA(),Inputs!$D$28*Inputs!$C$35))</f>
        <v/>
      </c>
      <c r="T94" s="54">
        <f>IF($B94=0,NA(),IF(Inputs!$B$29&lt;&gt;"Yes",NA(),Inputs!$D$29*Inputs!$C$35))</f>
        <v/>
      </c>
      <c r="AD94">
        <f>IF($B94=0,0,IF(Inputs!$B$6="",0,COUNTIFS(Data!$A$10:$A$3209,"&gt;="&amp;$A94,Data!$A$10:$A$3209,"&lt;"&amp;$A94+1)))</f>
        <v/>
      </c>
      <c r="AE94">
        <f>IF($B94=0,0,IF(Inputs!$B$7="",0,COUNTIFS(Data!$E$10:$E$3209,"&gt;="&amp;$A94,Data!$E$10:$E$3209,"&lt;"&amp;$A94+1)))</f>
        <v/>
      </c>
      <c r="AF94">
        <f>IF($B94=0,0,IF(Inputs!$B$8="",0,COUNTIFS(Data!$I$10:$I$3209,"&gt;="&amp;$A94,Data!$I$10:$I$3209,"&lt;"&amp;$A94+1)))</f>
        <v/>
      </c>
      <c r="AG94">
        <f>IF($B94=0,0,IF(Inputs!$B$9="",0,COUNTIFS(Data!$M$10:$M$3209,"&gt;="&amp;$A94,Data!$M$10:$M$3209,"&lt;"&amp;$A94+1)))</f>
        <v/>
      </c>
      <c r="AH94">
        <f>IF($B94=0,0,IF(Inputs!$B$10="",0,COUNTIFS(Data!$Q$10:$Q$3209,"&gt;="&amp;$A94,Data!$Q$10:$Q$3209,"&lt;"&amp;$A94+1)))</f>
        <v/>
      </c>
    </row>
    <row r="95">
      <c r="A95" s="55">
        <f>MIN(Inputs!$C$15,$A94+IF(WEEKDAY($A94,2)=5,3,1))</f>
        <v/>
      </c>
      <c r="B95">
        <f>IF($A95&gt;$A94,1,0)</f>
        <v/>
      </c>
      <c r="C95" s="56">
        <f>IF($B95=0,"",IF(Inputs!$B$6="","",IF($AD95=0,C94,SUMIFS(Data!$B$10:$B$3209,Data!$A$10:$A$3209,"&gt;="&amp;$A95,Data!$A$10:$A$3209,"&lt;"&amp;$A95+1)/$AD95)))</f>
        <v/>
      </c>
      <c r="D95" s="56">
        <f>IF($B95=0,"",IF(Inputs!$B$7="","",IF($AE95=0,D94,SUMIFS(Data!$F$10:$F$3209,Data!$E$10:$E$3209,"&gt;="&amp;$A95,Data!$E$10:$E$3209,"&lt;"&amp;$A95+1)/$AE95)))</f>
        <v/>
      </c>
      <c r="E95" s="56">
        <f>IF($B95=0,"",IF(Inputs!$B$8="","",IF($AF95=0,E94,SUMIFS(Data!$J$10:$J$3209,Data!$I$10:$I$3209,"&gt;="&amp;$A95,Data!$I$10:$I$3209,"&lt;"&amp;$A95+1)/$AF95)))</f>
        <v/>
      </c>
      <c r="F95" s="56">
        <f>IF($B95=0,"",IF(Inputs!$B$9="","",IF($AG95=0,F94,SUMIFS(Data!$N$10:$N$3209,Data!$M$10:$M$3209,"&gt;="&amp;$A95,Data!$M$10:$M$3209,"&lt;"&amp;$A95+1)/$AG95)))</f>
        <v/>
      </c>
      <c r="G95" s="56">
        <f>IF($B95=0,"",IF(Inputs!$B$10="","",IF($AH95=0,G94,SUMIFS(Data!$R$10:$R$3209,Data!$Q$10:$Q$3209,"&gt;="&amp;$A95,Data!$Q$10:$Q$3209,"&lt;"&amp;$A95+1)/$AH95)))</f>
        <v/>
      </c>
      <c r="I95" s="54">
        <f>IF($B95=0,NA(),IF($C95="",NA(),IF(C$8="",NA(),IF(N(C$8)=0,NA(),IF(Inputs!$C$17="Rebased to 100",$C95/C$8*100,$C95)))))</f>
        <v/>
      </c>
      <c r="J95" s="54">
        <f>IF($B95=0,NA(),IF($D95="",NA(),IF(D$8="",NA(),IF(N(D$8)=0,NA(),IF(Inputs!$C$17="Rebased to 100",$D95/D$8*100,$D95)))))</f>
        <v/>
      </c>
      <c r="K95" s="54">
        <f>IF($B95=0,NA(),IF($E95="",NA(),IF(E$8="",NA(),IF(N(E$8)=0,NA(),IF(Inputs!$C$17="Rebased to 100",$E95/E$8*100,$E95)))))</f>
        <v/>
      </c>
      <c r="L95" s="54">
        <f>IF($B95=0,NA(),IF($F95="",NA(),IF(F$8="",NA(),IF(N(F$8)=0,NA(),IF(Inputs!$C$17="Rebased to 100",$F95/F$8*100,$F95)))))</f>
        <v/>
      </c>
      <c r="M95" s="54">
        <f>IF($B95=0,NA(),IF($G95="",NA(),IF(G$8="",NA(),IF(N(G$8)=0,NA(),IF(Inputs!$C$17="Rebased to 100",$G95/G$8*100,$G95)))))</f>
        <v/>
      </c>
      <c r="N95" s="54">
        <f>IF($B95=0,NA(),IF(Inputs!$C$18&lt;&gt;"Yes",NA(),IF(COUNT(I95,J95,K95,L95,M95)=0,NA(),MIN(I95,J95,K95,L95,M95))))</f>
        <v/>
      </c>
      <c r="O95" s="54">
        <f>IF($B95=0,NA(),IF(Inputs!$B$24&lt;&gt;"Yes",NA(),Inputs!$D$24*Inputs!$C$35))</f>
        <v/>
      </c>
      <c r="P95" s="54">
        <f>IF($B95=0,NA(),IF(Inputs!$B$25&lt;&gt;"Yes",NA(),Inputs!$D$25*Inputs!$C$35))</f>
        <v/>
      </c>
      <c r="Q95" s="54">
        <f>IF($B95=0,NA(),IF(Inputs!$B$26&lt;&gt;"Yes",NA(),Inputs!$D$26*Inputs!$C$35))</f>
        <v/>
      </c>
      <c r="R95" s="54">
        <f>IF($B95=0,NA(),IF(Inputs!$B$27&lt;&gt;"Yes",NA(),Inputs!$D$27*Inputs!$C$35))</f>
        <v/>
      </c>
      <c r="S95" s="54">
        <f>IF($B95=0,NA(),IF(Inputs!$B$28&lt;&gt;"Yes",NA(),Inputs!$D$28*Inputs!$C$35))</f>
        <v/>
      </c>
      <c r="T95" s="54">
        <f>IF($B95=0,NA(),IF(Inputs!$B$29&lt;&gt;"Yes",NA(),Inputs!$D$29*Inputs!$C$35))</f>
        <v/>
      </c>
      <c r="AD95">
        <f>IF($B95=0,0,IF(Inputs!$B$6="",0,COUNTIFS(Data!$A$10:$A$3209,"&gt;="&amp;$A95,Data!$A$10:$A$3209,"&lt;"&amp;$A95+1)))</f>
        <v/>
      </c>
      <c r="AE95">
        <f>IF($B95=0,0,IF(Inputs!$B$7="",0,COUNTIFS(Data!$E$10:$E$3209,"&gt;="&amp;$A95,Data!$E$10:$E$3209,"&lt;"&amp;$A95+1)))</f>
        <v/>
      </c>
      <c r="AF95">
        <f>IF($B95=0,0,IF(Inputs!$B$8="",0,COUNTIFS(Data!$I$10:$I$3209,"&gt;="&amp;$A95,Data!$I$10:$I$3209,"&lt;"&amp;$A95+1)))</f>
        <v/>
      </c>
      <c r="AG95">
        <f>IF($B95=0,0,IF(Inputs!$B$9="",0,COUNTIFS(Data!$M$10:$M$3209,"&gt;="&amp;$A95,Data!$M$10:$M$3209,"&lt;"&amp;$A95+1)))</f>
        <v/>
      </c>
      <c r="AH95">
        <f>IF($B95=0,0,IF(Inputs!$B$10="",0,COUNTIFS(Data!$Q$10:$Q$3209,"&gt;="&amp;$A95,Data!$Q$10:$Q$3209,"&lt;"&amp;$A95+1)))</f>
        <v/>
      </c>
    </row>
    <row r="96">
      <c r="A96" s="55">
        <f>MIN(Inputs!$C$15,$A95+IF(WEEKDAY($A95,2)=5,3,1))</f>
        <v/>
      </c>
      <c r="B96">
        <f>IF($A96&gt;$A95,1,0)</f>
        <v/>
      </c>
      <c r="C96" s="56">
        <f>IF($B96=0,"",IF(Inputs!$B$6="","",IF($AD96=0,C95,SUMIFS(Data!$B$10:$B$3209,Data!$A$10:$A$3209,"&gt;="&amp;$A96,Data!$A$10:$A$3209,"&lt;"&amp;$A96+1)/$AD96)))</f>
        <v/>
      </c>
      <c r="D96" s="56">
        <f>IF($B96=0,"",IF(Inputs!$B$7="","",IF($AE96=0,D95,SUMIFS(Data!$F$10:$F$3209,Data!$E$10:$E$3209,"&gt;="&amp;$A96,Data!$E$10:$E$3209,"&lt;"&amp;$A96+1)/$AE96)))</f>
        <v/>
      </c>
      <c r="E96" s="56">
        <f>IF($B96=0,"",IF(Inputs!$B$8="","",IF($AF96=0,E95,SUMIFS(Data!$J$10:$J$3209,Data!$I$10:$I$3209,"&gt;="&amp;$A96,Data!$I$10:$I$3209,"&lt;"&amp;$A96+1)/$AF96)))</f>
        <v/>
      </c>
      <c r="F96" s="56">
        <f>IF($B96=0,"",IF(Inputs!$B$9="","",IF($AG96=0,F95,SUMIFS(Data!$N$10:$N$3209,Data!$M$10:$M$3209,"&gt;="&amp;$A96,Data!$M$10:$M$3209,"&lt;"&amp;$A96+1)/$AG96)))</f>
        <v/>
      </c>
      <c r="G96" s="56">
        <f>IF($B96=0,"",IF(Inputs!$B$10="","",IF($AH96=0,G95,SUMIFS(Data!$R$10:$R$3209,Data!$Q$10:$Q$3209,"&gt;="&amp;$A96,Data!$Q$10:$Q$3209,"&lt;"&amp;$A96+1)/$AH96)))</f>
        <v/>
      </c>
      <c r="I96" s="54">
        <f>IF($B96=0,NA(),IF($C96="",NA(),IF(C$8="",NA(),IF(N(C$8)=0,NA(),IF(Inputs!$C$17="Rebased to 100",$C96/C$8*100,$C96)))))</f>
        <v/>
      </c>
      <c r="J96" s="54">
        <f>IF($B96=0,NA(),IF($D96="",NA(),IF(D$8="",NA(),IF(N(D$8)=0,NA(),IF(Inputs!$C$17="Rebased to 100",$D96/D$8*100,$D96)))))</f>
        <v/>
      </c>
      <c r="K96" s="54">
        <f>IF($B96=0,NA(),IF($E96="",NA(),IF(E$8="",NA(),IF(N(E$8)=0,NA(),IF(Inputs!$C$17="Rebased to 100",$E96/E$8*100,$E96)))))</f>
        <v/>
      </c>
      <c r="L96" s="54">
        <f>IF($B96=0,NA(),IF($F96="",NA(),IF(F$8="",NA(),IF(N(F$8)=0,NA(),IF(Inputs!$C$17="Rebased to 100",$F96/F$8*100,$F96)))))</f>
        <v/>
      </c>
      <c r="M96" s="54">
        <f>IF($B96=0,NA(),IF($G96="",NA(),IF(G$8="",NA(),IF(N(G$8)=0,NA(),IF(Inputs!$C$17="Rebased to 100",$G96/G$8*100,$G96)))))</f>
        <v/>
      </c>
      <c r="N96" s="54">
        <f>IF($B96=0,NA(),IF(Inputs!$C$18&lt;&gt;"Yes",NA(),IF(COUNT(I96,J96,K96,L96,M96)=0,NA(),MIN(I96,J96,K96,L96,M96))))</f>
        <v/>
      </c>
      <c r="O96" s="54">
        <f>IF($B96=0,NA(),IF(Inputs!$B$24&lt;&gt;"Yes",NA(),Inputs!$D$24*Inputs!$C$35))</f>
        <v/>
      </c>
      <c r="P96" s="54">
        <f>IF($B96=0,NA(),IF(Inputs!$B$25&lt;&gt;"Yes",NA(),Inputs!$D$25*Inputs!$C$35))</f>
        <v/>
      </c>
      <c r="Q96" s="54">
        <f>IF($B96=0,NA(),IF(Inputs!$B$26&lt;&gt;"Yes",NA(),Inputs!$D$26*Inputs!$C$35))</f>
        <v/>
      </c>
      <c r="R96" s="54">
        <f>IF($B96=0,NA(),IF(Inputs!$B$27&lt;&gt;"Yes",NA(),Inputs!$D$27*Inputs!$C$35))</f>
        <v/>
      </c>
      <c r="S96" s="54">
        <f>IF($B96=0,NA(),IF(Inputs!$B$28&lt;&gt;"Yes",NA(),Inputs!$D$28*Inputs!$C$35))</f>
        <v/>
      </c>
      <c r="T96" s="54">
        <f>IF($B96=0,NA(),IF(Inputs!$B$29&lt;&gt;"Yes",NA(),Inputs!$D$29*Inputs!$C$35))</f>
        <v/>
      </c>
      <c r="AD96">
        <f>IF($B96=0,0,IF(Inputs!$B$6="",0,COUNTIFS(Data!$A$10:$A$3209,"&gt;="&amp;$A96,Data!$A$10:$A$3209,"&lt;"&amp;$A96+1)))</f>
        <v/>
      </c>
      <c r="AE96">
        <f>IF($B96=0,0,IF(Inputs!$B$7="",0,COUNTIFS(Data!$E$10:$E$3209,"&gt;="&amp;$A96,Data!$E$10:$E$3209,"&lt;"&amp;$A96+1)))</f>
        <v/>
      </c>
      <c r="AF96">
        <f>IF($B96=0,0,IF(Inputs!$B$8="",0,COUNTIFS(Data!$I$10:$I$3209,"&gt;="&amp;$A96,Data!$I$10:$I$3209,"&lt;"&amp;$A96+1)))</f>
        <v/>
      </c>
      <c r="AG96">
        <f>IF($B96=0,0,IF(Inputs!$B$9="",0,COUNTIFS(Data!$M$10:$M$3209,"&gt;="&amp;$A96,Data!$M$10:$M$3209,"&lt;"&amp;$A96+1)))</f>
        <v/>
      </c>
      <c r="AH96">
        <f>IF($B96=0,0,IF(Inputs!$B$10="",0,COUNTIFS(Data!$Q$10:$Q$3209,"&gt;="&amp;$A96,Data!$Q$10:$Q$3209,"&lt;"&amp;$A96+1)))</f>
        <v/>
      </c>
    </row>
    <row r="97">
      <c r="A97" s="55">
        <f>MIN(Inputs!$C$15,$A96+IF(WEEKDAY($A96,2)=5,3,1))</f>
        <v/>
      </c>
      <c r="B97">
        <f>IF($A97&gt;$A96,1,0)</f>
        <v/>
      </c>
      <c r="C97" s="56">
        <f>IF($B97=0,"",IF(Inputs!$B$6="","",IF($AD97=0,C96,SUMIFS(Data!$B$10:$B$3209,Data!$A$10:$A$3209,"&gt;="&amp;$A97,Data!$A$10:$A$3209,"&lt;"&amp;$A97+1)/$AD97)))</f>
        <v/>
      </c>
      <c r="D97" s="56">
        <f>IF($B97=0,"",IF(Inputs!$B$7="","",IF($AE97=0,D96,SUMIFS(Data!$F$10:$F$3209,Data!$E$10:$E$3209,"&gt;="&amp;$A97,Data!$E$10:$E$3209,"&lt;"&amp;$A97+1)/$AE97)))</f>
        <v/>
      </c>
      <c r="E97" s="56">
        <f>IF($B97=0,"",IF(Inputs!$B$8="","",IF($AF97=0,E96,SUMIFS(Data!$J$10:$J$3209,Data!$I$10:$I$3209,"&gt;="&amp;$A97,Data!$I$10:$I$3209,"&lt;"&amp;$A97+1)/$AF97)))</f>
        <v/>
      </c>
      <c r="F97" s="56">
        <f>IF($B97=0,"",IF(Inputs!$B$9="","",IF($AG97=0,F96,SUMIFS(Data!$N$10:$N$3209,Data!$M$10:$M$3209,"&gt;="&amp;$A97,Data!$M$10:$M$3209,"&lt;"&amp;$A97+1)/$AG97)))</f>
        <v/>
      </c>
      <c r="G97" s="56">
        <f>IF($B97=0,"",IF(Inputs!$B$10="","",IF($AH97=0,G96,SUMIFS(Data!$R$10:$R$3209,Data!$Q$10:$Q$3209,"&gt;="&amp;$A97,Data!$Q$10:$Q$3209,"&lt;"&amp;$A97+1)/$AH97)))</f>
        <v/>
      </c>
      <c r="I97" s="54">
        <f>IF($B97=0,NA(),IF($C97="",NA(),IF(C$8="",NA(),IF(N(C$8)=0,NA(),IF(Inputs!$C$17="Rebased to 100",$C97/C$8*100,$C97)))))</f>
        <v/>
      </c>
      <c r="J97" s="54">
        <f>IF($B97=0,NA(),IF($D97="",NA(),IF(D$8="",NA(),IF(N(D$8)=0,NA(),IF(Inputs!$C$17="Rebased to 100",$D97/D$8*100,$D97)))))</f>
        <v/>
      </c>
      <c r="K97" s="54">
        <f>IF($B97=0,NA(),IF($E97="",NA(),IF(E$8="",NA(),IF(N(E$8)=0,NA(),IF(Inputs!$C$17="Rebased to 100",$E97/E$8*100,$E97)))))</f>
        <v/>
      </c>
      <c r="L97" s="54">
        <f>IF($B97=0,NA(),IF($F97="",NA(),IF(F$8="",NA(),IF(N(F$8)=0,NA(),IF(Inputs!$C$17="Rebased to 100",$F97/F$8*100,$F97)))))</f>
        <v/>
      </c>
      <c r="M97" s="54">
        <f>IF($B97=0,NA(),IF($G97="",NA(),IF(G$8="",NA(),IF(N(G$8)=0,NA(),IF(Inputs!$C$17="Rebased to 100",$G97/G$8*100,$G97)))))</f>
        <v/>
      </c>
      <c r="N97" s="54">
        <f>IF($B97=0,NA(),IF(Inputs!$C$18&lt;&gt;"Yes",NA(),IF(COUNT(I97,J97,K97,L97,M97)=0,NA(),MIN(I97,J97,K97,L97,M97))))</f>
        <v/>
      </c>
      <c r="O97" s="54">
        <f>IF($B97=0,NA(),IF(Inputs!$B$24&lt;&gt;"Yes",NA(),Inputs!$D$24*Inputs!$C$35))</f>
        <v/>
      </c>
      <c r="P97" s="54">
        <f>IF($B97=0,NA(),IF(Inputs!$B$25&lt;&gt;"Yes",NA(),Inputs!$D$25*Inputs!$C$35))</f>
        <v/>
      </c>
      <c r="Q97" s="54">
        <f>IF($B97=0,NA(),IF(Inputs!$B$26&lt;&gt;"Yes",NA(),Inputs!$D$26*Inputs!$C$35))</f>
        <v/>
      </c>
      <c r="R97" s="54">
        <f>IF($B97=0,NA(),IF(Inputs!$B$27&lt;&gt;"Yes",NA(),Inputs!$D$27*Inputs!$C$35))</f>
        <v/>
      </c>
      <c r="S97" s="54">
        <f>IF($B97=0,NA(),IF(Inputs!$B$28&lt;&gt;"Yes",NA(),Inputs!$D$28*Inputs!$C$35))</f>
        <v/>
      </c>
      <c r="T97" s="54">
        <f>IF($B97=0,NA(),IF(Inputs!$B$29&lt;&gt;"Yes",NA(),Inputs!$D$29*Inputs!$C$35))</f>
        <v/>
      </c>
      <c r="AD97">
        <f>IF($B97=0,0,IF(Inputs!$B$6="",0,COUNTIFS(Data!$A$10:$A$3209,"&gt;="&amp;$A97,Data!$A$10:$A$3209,"&lt;"&amp;$A97+1)))</f>
        <v/>
      </c>
      <c r="AE97">
        <f>IF($B97=0,0,IF(Inputs!$B$7="",0,COUNTIFS(Data!$E$10:$E$3209,"&gt;="&amp;$A97,Data!$E$10:$E$3209,"&lt;"&amp;$A97+1)))</f>
        <v/>
      </c>
      <c r="AF97">
        <f>IF($B97=0,0,IF(Inputs!$B$8="",0,COUNTIFS(Data!$I$10:$I$3209,"&gt;="&amp;$A97,Data!$I$10:$I$3209,"&lt;"&amp;$A97+1)))</f>
        <v/>
      </c>
      <c r="AG97">
        <f>IF($B97=0,0,IF(Inputs!$B$9="",0,COUNTIFS(Data!$M$10:$M$3209,"&gt;="&amp;$A97,Data!$M$10:$M$3209,"&lt;"&amp;$A97+1)))</f>
        <v/>
      </c>
      <c r="AH97">
        <f>IF($B97=0,0,IF(Inputs!$B$10="",0,COUNTIFS(Data!$Q$10:$Q$3209,"&gt;="&amp;$A97,Data!$Q$10:$Q$3209,"&lt;"&amp;$A97+1)))</f>
        <v/>
      </c>
    </row>
    <row r="98">
      <c r="A98" s="55">
        <f>MIN(Inputs!$C$15,$A97+IF(WEEKDAY($A97,2)=5,3,1))</f>
        <v/>
      </c>
      <c r="B98">
        <f>IF($A98&gt;$A97,1,0)</f>
        <v/>
      </c>
      <c r="C98" s="56">
        <f>IF($B98=0,"",IF(Inputs!$B$6="","",IF($AD98=0,C97,SUMIFS(Data!$B$10:$B$3209,Data!$A$10:$A$3209,"&gt;="&amp;$A98,Data!$A$10:$A$3209,"&lt;"&amp;$A98+1)/$AD98)))</f>
        <v/>
      </c>
      <c r="D98" s="56">
        <f>IF($B98=0,"",IF(Inputs!$B$7="","",IF($AE98=0,D97,SUMIFS(Data!$F$10:$F$3209,Data!$E$10:$E$3209,"&gt;="&amp;$A98,Data!$E$10:$E$3209,"&lt;"&amp;$A98+1)/$AE98)))</f>
        <v/>
      </c>
      <c r="E98" s="56">
        <f>IF($B98=0,"",IF(Inputs!$B$8="","",IF($AF98=0,E97,SUMIFS(Data!$J$10:$J$3209,Data!$I$10:$I$3209,"&gt;="&amp;$A98,Data!$I$10:$I$3209,"&lt;"&amp;$A98+1)/$AF98)))</f>
        <v/>
      </c>
      <c r="F98" s="56">
        <f>IF($B98=0,"",IF(Inputs!$B$9="","",IF($AG98=0,F97,SUMIFS(Data!$N$10:$N$3209,Data!$M$10:$M$3209,"&gt;="&amp;$A98,Data!$M$10:$M$3209,"&lt;"&amp;$A98+1)/$AG98)))</f>
        <v/>
      </c>
      <c r="G98" s="56">
        <f>IF($B98=0,"",IF(Inputs!$B$10="","",IF($AH98=0,G97,SUMIFS(Data!$R$10:$R$3209,Data!$Q$10:$Q$3209,"&gt;="&amp;$A98,Data!$Q$10:$Q$3209,"&lt;"&amp;$A98+1)/$AH98)))</f>
        <v/>
      </c>
      <c r="I98" s="54">
        <f>IF($B98=0,NA(),IF($C98="",NA(),IF(C$8="",NA(),IF(N(C$8)=0,NA(),IF(Inputs!$C$17="Rebased to 100",$C98/C$8*100,$C98)))))</f>
        <v/>
      </c>
      <c r="J98" s="54">
        <f>IF($B98=0,NA(),IF($D98="",NA(),IF(D$8="",NA(),IF(N(D$8)=0,NA(),IF(Inputs!$C$17="Rebased to 100",$D98/D$8*100,$D98)))))</f>
        <v/>
      </c>
      <c r="K98" s="54">
        <f>IF($B98=0,NA(),IF($E98="",NA(),IF(E$8="",NA(),IF(N(E$8)=0,NA(),IF(Inputs!$C$17="Rebased to 100",$E98/E$8*100,$E98)))))</f>
        <v/>
      </c>
      <c r="L98" s="54">
        <f>IF($B98=0,NA(),IF($F98="",NA(),IF(F$8="",NA(),IF(N(F$8)=0,NA(),IF(Inputs!$C$17="Rebased to 100",$F98/F$8*100,$F98)))))</f>
        <v/>
      </c>
      <c r="M98" s="54">
        <f>IF($B98=0,NA(),IF($G98="",NA(),IF(G$8="",NA(),IF(N(G$8)=0,NA(),IF(Inputs!$C$17="Rebased to 100",$G98/G$8*100,$G98)))))</f>
        <v/>
      </c>
      <c r="N98" s="54">
        <f>IF($B98=0,NA(),IF(Inputs!$C$18&lt;&gt;"Yes",NA(),IF(COUNT(I98,J98,K98,L98,M98)=0,NA(),MIN(I98,J98,K98,L98,M98))))</f>
        <v/>
      </c>
      <c r="O98" s="54">
        <f>IF($B98=0,NA(),IF(Inputs!$B$24&lt;&gt;"Yes",NA(),Inputs!$D$24*Inputs!$C$35))</f>
        <v/>
      </c>
      <c r="P98" s="54">
        <f>IF($B98=0,NA(),IF(Inputs!$B$25&lt;&gt;"Yes",NA(),Inputs!$D$25*Inputs!$C$35))</f>
        <v/>
      </c>
      <c r="Q98" s="54">
        <f>IF($B98=0,NA(),IF(Inputs!$B$26&lt;&gt;"Yes",NA(),Inputs!$D$26*Inputs!$C$35))</f>
        <v/>
      </c>
      <c r="R98" s="54">
        <f>IF($B98=0,NA(),IF(Inputs!$B$27&lt;&gt;"Yes",NA(),Inputs!$D$27*Inputs!$C$35))</f>
        <v/>
      </c>
      <c r="S98" s="54">
        <f>IF($B98=0,NA(),IF(Inputs!$B$28&lt;&gt;"Yes",NA(),Inputs!$D$28*Inputs!$C$35))</f>
        <v/>
      </c>
      <c r="T98" s="54">
        <f>IF($B98=0,NA(),IF(Inputs!$B$29&lt;&gt;"Yes",NA(),Inputs!$D$29*Inputs!$C$35))</f>
        <v/>
      </c>
      <c r="AD98">
        <f>IF($B98=0,0,IF(Inputs!$B$6="",0,COUNTIFS(Data!$A$10:$A$3209,"&gt;="&amp;$A98,Data!$A$10:$A$3209,"&lt;"&amp;$A98+1)))</f>
        <v/>
      </c>
      <c r="AE98">
        <f>IF($B98=0,0,IF(Inputs!$B$7="",0,COUNTIFS(Data!$E$10:$E$3209,"&gt;="&amp;$A98,Data!$E$10:$E$3209,"&lt;"&amp;$A98+1)))</f>
        <v/>
      </c>
      <c r="AF98">
        <f>IF($B98=0,0,IF(Inputs!$B$8="",0,COUNTIFS(Data!$I$10:$I$3209,"&gt;="&amp;$A98,Data!$I$10:$I$3209,"&lt;"&amp;$A98+1)))</f>
        <v/>
      </c>
      <c r="AG98">
        <f>IF($B98=0,0,IF(Inputs!$B$9="",0,COUNTIFS(Data!$M$10:$M$3209,"&gt;="&amp;$A98,Data!$M$10:$M$3209,"&lt;"&amp;$A98+1)))</f>
        <v/>
      </c>
      <c r="AH98">
        <f>IF($B98=0,0,IF(Inputs!$B$10="",0,COUNTIFS(Data!$Q$10:$Q$3209,"&gt;="&amp;$A98,Data!$Q$10:$Q$3209,"&lt;"&amp;$A98+1)))</f>
        <v/>
      </c>
    </row>
    <row r="99">
      <c r="A99" s="55">
        <f>MIN(Inputs!$C$15,$A98+IF(WEEKDAY($A98,2)=5,3,1))</f>
        <v/>
      </c>
      <c r="B99">
        <f>IF($A99&gt;$A98,1,0)</f>
        <v/>
      </c>
      <c r="C99" s="56">
        <f>IF($B99=0,"",IF(Inputs!$B$6="","",IF($AD99=0,C98,SUMIFS(Data!$B$10:$B$3209,Data!$A$10:$A$3209,"&gt;="&amp;$A99,Data!$A$10:$A$3209,"&lt;"&amp;$A99+1)/$AD99)))</f>
        <v/>
      </c>
      <c r="D99" s="56">
        <f>IF($B99=0,"",IF(Inputs!$B$7="","",IF($AE99=0,D98,SUMIFS(Data!$F$10:$F$3209,Data!$E$10:$E$3209,"&gt;="&amp;$A99,Data!$E$10:$E$3209,"&lt;"&amp;$A99+1)/$AE99)))</f>
        <v/>
      </c>
      <c r="E99" s="56">
        <f>IF($B99=0,"",IF(Inputs!$B$8="","",IF($AF99=0,E98,SUMIFS(Data!$J$10:$J$3209,Data!$I$10:$I$3209,"&gt;="&amp;$A99,Data!$I$10:$I$3209,"&lt;"&amp;$A99+1)/$AF99)))</f>
        <v/>
      </c>
      <c r="F99" s="56">
        <f>IF($B99=0,"",IF(Inputs!$B$9="","",IF($AG99=0,F98,SUMIFS(Data!$N$10:$N$3209,Data!$M$10:$M$3209,"&gt;="&amp;$A99,Data!$M$10:$M$3209,"&lt;"&amp;$A99+1)/$AG99)))</f>
        <v/>
      </c>
      <c r="G99" s="56">
        <f>IF($B99=0,"",IF(Inputs!$B$10="","",IF($AH99=0,G98,SUMIFS(Data!$R$10:$R$3209,Data!$Q$10:$Q$3209,"&gt;="&amp;$A99,Data!$Q$10:$Q$3209,"&lt;"&amp;$A99+1)/$AH99)))</f>
        <v/>
      </c>
      <c r="I99" s="54">
        <f>IF($B99=0,NA(),IF($C99="",NA(),IF(C$8="",NA(),IF(N(C$8)=0,NA(),IF(Inputs!$C$17="Rebased to 100",$C99/C$8*100,$C99)))))</f>
        <v/>
      </c>
      <c r="J99" s="54">
        <f>IF($B99=0,NA(),IF($D99="",NA(),IF(D$8="",NA(),IF(N(D$8)=0,NA(),IF(Inputs!$C$17="Rebased to 100",$D99/D$8*100,$D99)))))</f>
        <v/>
      </c>
      <c r="K99" s="54">
        <f>IF($B99=0,NA(),IF($E99="",NA(),IF(E$8="",NA(),IF(N(E$8)=0,NA(),IF(Inputs!$C$17="Rebased to 100",$E99/E$8*100,$E99)))))</f>
        <v/>
      </c>
      <c r="L99" s="54">
        <f>IF($B99=0,NA(),IF($F99="",NA(),IF(F$8="",NA(),IF(N(F$8)=0,NA(),IF(Inputs!$C$17="Rebased to 100",$F99/F$8*100,$F99)))))</f>
        <v/>
      </c>
      <c r="M99" s="54">
        <f>IF($B99=0,NA(),IF($G99="",NA(),IF(G$8="",NA(),IF(N(G$8)=0,NA(),IF(Inputs!$C$17="Rebased to 100",$G99/G$8*100,$G99)))))</f>
        <v/>
      </c>
      <c r="N99" s="54">
        <f>IF($B99=0,NA(),IF(Inputs!$C$18&lt;&gt;"Yes",NA(),IF(COUNT(I99,J99,K99,L99,M99)=0,NA(),MIN(I99,J99,K99,L99,M99))))</f>
        <v/>
      </c>
      <c r="O99" s="54">
        <f>IF($B99=0,NA(),IF(Inputs!$B$24&lt;&gt;"Yes",NA(),Inputs!$D$24*Inputs!$C$35))</f>
        <v/>
      </c>
      <c r="P99" s="54">
        <f>IF($B99=0,NA(),IF(Inputs!$B$25&lt;&gt;"Yes",NA(),Inputs!$D$25*Inputs!$C$35))</f>
        <v/>
      </c>
      <c r="Q99" s="54">
        <f>IF($B99=0,NA(),IF(Inputs!$B$26&lt;&gt;"Yes",NA(),Inputs!$D$26*Inputs!$C$35))</f>
        <v/>
      </c>
      <c r="R99" s="54">
        <f>IF($B99=0,NA(),IF(Inputs!$B$27&lt;&gt;"Yes",NA(),Inputs!$D$27*Inputs!$C$35))</f>
        <v/>
      </c>
      <c r="S99" s="54">
        <f>IF($B99=0,NA(),IF(Inputs!$B$28&lt;&gt;"Yes",NA(),Inputs!$D$28*Inputs!$C$35))</f>
        <v/>
      </c>
      <c r="T99" s="54">
        <f>IF($B99=0,NA(),IF(Inputs!$B$29&lt;&gt;"Yes",NA(),Inputs!$D$29*Inputs!$C$35))</f>
        <v/>
      </c>
      <c r="AD99">
        <f>IF($B99=0,0,IF(Inputs!$B$6="",0,COUNTIFS(Data!$A$10:$A$3209,"&gt;="&amp;$A99,Data!$A$10:$A$3209,"&lt;"&amp;$A99+1)))</f>
        <v/>
      </c>
      <c r="AE99">
        <f>IF($B99=0,0,IF(Inputs!$B$7="",0,COUNTIFS(Data!$E$10:$E$3209,"&gt;="&amp;$A99,Data!$E$10:$E$3209,"&lt;"&amp;$A99+1)))</f>
        <v/>
      </c>
      <c r="AF99">
        <f>IF($B99=0,0,IF(Inputs!$B$8="",0,COUNTIFS(Data!$I$10:$I$3209,"&gt;="&amp;$A99,Data!$I$10:$I$3209,"&lt;"&amp;$A99+1)))</f>
        <v/>
      </c>
      <c r="AG99">
        <f>IF($B99=0,0,IF(Inputs!$B$9="",0,COUNTIFS(Data!$M$10:$M$3209,"&gt;="&amp;$A99,Data!$M$10:$M$3209,"&lt;"&amp;$A99+1)))</f>
        <v/>
      </c>
      <c r="AH99">
        <f>IF($B99=0,0,IF(Inputs!$B$10="",0,COUNTIFS(Data!$Q$10:$Q$3209,"&gt;="&amp;$A99,Data!$Q$10:$Q$3209,"&lt;"&amp;$A99+1)))</f>
        <v/>
      </c>
    </row>
    <row r="100">
      <c r="A100" s="55">
        <f>MIN(Inputs!$C$15,$A99+IF(WEEKDAY($A99,2)=5,3,1))</f>
        <v/>
      </c>
      <c r="B100">
        <f>IF($A100&gt;$A99,1,0)</f>
        <v/>
      </c>
      <c r="C100" s="56">
        <f>IF($B100=0,"",IF(Inputs!$B$6="","",IF($AD100=0,C99,SUMIFS(Data!$B$10:$B$3209,Data!$A$10:$A$3209,"&gt;="&amp;$A100,Data!$A$10:$A$3209,"&lt;"&amp;$A100+1)/$AD100)))</f>
        <v/>
      </c>
      <c r="D100" s="56">
        <f>IF($B100=0,"",IF(Inputs!$B$7="","",IF($AE100=0,D99,SUMIFS(Data!$F$10:$F$3209,Data!$E$10:$E$3209,"&gt;="&amp;$A100,Data!$E$10:$E$3209,"&lt;"&amp;$A100+1)/$AE100)))</f>
        <v/>
      </c>
      <c r="E100" s="56">
        <f>IF($B100=0,"",IF(Inputs!$B$8="","",IF($AF100=0,E99,SUMIFS(Data!$J$10:$J$3209,Data!$I$10:$I$3209,"&gt;="&amp;$A100,Data!$I$10:$I$3209,"&lt;"&amp;$A100+1)/$AF100)))</f>
        <v/>
      </c>
      <c r="F100" s="56">
        <f>IF($B100=0,"",IF(Inputs!$B$9="","",IF($AG100=0,F99,SUMIFS(Data!$N$10:$N$3209,Data!$M$10:$M$3209,"&gt;="&amp;$A100,Data!$M$10:$M$3209,"&lt;"&amp;$A100+1)/$AG100)))</f>
        <v/>
      </c>
      <c r="G100" s="56">
        <f>IF($B100=0,"",IF(Inputs!$B$10="","",IF($AH100=0,G99,SUMIFS(Data!$R$10:$R$3209,Data!$Q$10:$Q$3209,"&gt;="&amp;$A100,Data!$Q$10:$Q$3209,"&lt;"&amp;$A100+1)/$AH100)))</f>
        <v/>
      </c>
      <c r="I100" s="54">
        <f>IF($B100=0,NA(),IF($C100="",NA(),IF(C$8="",NA(),IF(N(C$8)=0,NA(),IF(Inputs!$C$17="Rebased to 100",$C100/C$8*100,$C100)))))</f>
        <v/>
      </c>
      <c r="J100" s="54">
        <f>IF($B100=0,NA(),IF($D100="",NA(),IF(D$8="",NA(),IF(N(D$8)=0,NA(),IF(Inputs!$C$17="Rebased to 100",$D100/D$8*100,$D100)))))</f>
        <v/>
      </c>
      <c r="K100" s="54">
        <f>IF($B100=0,NA(),IF($E100="",NA(),IF(E$8="",NA(),IF(N(E$8)=0,NA(),IF(Inputs!$C$17="Rebased to 100",$E100/E$8*100,$E100)))))</f>
        <v/>
      </c>
      <c r="L100" s="54">
        <f>IF($B100=0,NA(),IF($F100="",NA(),IF(F$8="",NA(),IF(N(F$8)=0,NA(),IF(Inputs!$C$17="Rebased to 100",$F100/F$8*100,$F100)))))</f>
        <v/>
      </c>
      <c r="M100" s="54">
        <f>IF($B100=0,NA(),IF($G100="",NA(),IF(G$8="",NA(),IF(N(G$8)=0,NA(),IF(Inputs!$C$17="Rebased to 100",$G100/G$8*100,$G100)))))</f>
        <v/>
      </c>
      <c r="N100" s="54">
        <f>IF($B100=0,NA(),IF(Inputs!$C$18&lt;&gt;"Yes",NA(),IF(COUNT(I100,J100,K100,L100,M100)=0,NA(),MIN(I100,J100,K100,L100,M100))))</f>
        <v/>
      </c>
      <c r="O100" s="54">
        <f>IF($B100=0,NA(),IF(Inputs!$B$24&lt;&gt;"Yes",NA(),Inputs!$D$24*Inputs!$C$35))</f>
        <v/>
      </c>
      <c r="P100" s="54">
        <f>IF($B100=0,NA(),IF(Inputs!$B$25&lt;&gt;"Yes",NA(),Inputs!$D$25*Inputs!$C$35))</f>
        <v/>
      </c>
      <c r="Q100" s="54">
        <f>IF($B100=0,NA(),IF(Inputs!$B$26&lt;&gt;"Yes",NA(),Inputs!$D$26*Inputs!$C$35))</f>
        <v/>
      </c>
      <c r="R100" s="54">
        <f>IF($B100=0,NA(),IF(Inputs!$B$27&lt;&gt;"Yes",NA(),Inputs!$D$27*Inputs!$C$35))</f>
        <v/>
      </c>
      <c r="S100" s="54">
        <f>IF($B100=0,NA(),IF(Inputs!$B$28&lt;&gt;"Yes",NA(),Inputs!$D$28*Inputs!$C$35))</f>
        <v/>
      </c>
      <c r="T100" s="54">
        <f>IF($B100=0,NA(),IF(Inputs!$B$29&lt;&gt;"Yes",NA(),Inputs!$D$29*Inputs!$C$35))</f>
        <v/>
      </c>
      <c r="AD100">
        <f>IF($B100=0,0,IF(Inputs!$B$6="",0,COUNTIFS(Data!$A$10:$A$3209,"&gt;="&amp;$A100,Data!$A$10:$A$3209,"&lt;"&amp;$A100+1)))</f>
        <v/>
      </c>
      <c r="AE100">
        <f>IF($B100=0,0,IF(Inputs!$B$7="",0,COUNTIFS(Data!$E$10:$E$3209,"&gt;="&amp;$A100,Data!$E$10:$E$3209,"&lt;"&amp;$A100+1)))</f>
        <v/>
      </c>
      <c r="AF100">
        <f>IF($B100=0,0,IF(Inputs!$B$8="",0,COUNTIFS(Data!$I$10:$I$3209,"&gt;="&amp;$A100,Data!$I$10:$I$3209,"&lt;"&amp;$A100+1)))</f>
        <v/>
      </c>
      <c r="AG100">
        <f>IF($B100=0,0,IF(Inputs!$B$9="",0,COUNTIFS(Data!$M$10:$M$3209,"&gt;="&amp;$A100,Data!$M$10:$M$3209,"&lt;"&amp;$A100+1)))</f>
        <v/>
      </c>
      <c r="AH100">
        <f>IF($B100=0,0,IF(Inputs!$B$10="",0,COUNTIFS(Data!$Q$10:$Q$3209,"&gt;="&amp;$A100,Data!$Q$10:$Q$3209,"&lt;"&amp;$A100+1)))</f>
        <v/>
      </c>
    </row>
    <row r="101">
      <c r="A101" s="55">
        <f>MIN(Inputs!$C$15,$A100+IF(WEEKDAY($A100,2)=5,3,1))</f>
        <v/>
      </c>
      <c r="B101">
        <f>IF($A101&gt;$A100,1,0)</f>
        <v/>
      </c>
      <c r="C101" s="56">
        <f>IF($B101=0,"",IF(Inputs!$B$6="","",IF($AD101=0,C100,SUMIFS(Data!$B$10:$B$3209,Data!$A$10:$A$3209,"&gt;="&amp;$A101,Data!$A$10:$A$3209,"&lt;"&amp;$A101+1)/$AD101)))</f>
        <v/>
      </c>
      <c r="D101" s="56">
        <f>IF($B101=0,"",IF(Inputs!$B$7="","",IF($AE101=0,D100,SUMIFS(Data!$F$10:$F$3209,Data!$E$10:$E$3209,"&gt;="&amp;$A101,Data!$E$10:$E$3209,"&lt;"&amp;$A101+1)/$AE101)))</f>
        <v/>
      </c>
      <c r="E101" s="56">
        <f>IF($B101=0,"",IF(Inputs!$B$8="","",IF($AF101=0,E100,SUMIFS(Data!$J$10:$J$3209,Data!$I$10:$I$3209,"&gt;="&amp;$A101,Data!$I$10:$I$3209,"&lt;"&amp;$A101+1)/$AF101)))</f>
        <v/>
      </c>
      <c r="F101" s="56">
        <f>IF($B101=0,"",IF(Inputs!$B$9="","",IF($AG101=0,F100,SUMIFS(Data!$N$10:$N$3209,Data!$M$10:$M$3209,"&gt;="&amp;$A101,Data!$M$10:$M$3209,"&lt;"&amp;$A101+1)/$AG101)))</f>
        <v/>
      </c>
      <c r="G101" s="56">
        <f>IF($B101=0,"",IF(Inputs!$B$10="","",IF($AH101=0,G100,SUMIFS(Data!$R$10:$R$3209,Data!$Q$10:$Q$3209,"&gt;="&amp;$A101,Data!$Q$10:$Q$3209,"&lt;"&amp;$A101+1)/$AH101)))</f>
        <v/>
      </c>
      <c r="I101" s="54">
        <f>IF($B101=0,NA(),IF($C101="",NA(),IF(C$8="",NA(),IF(N(C$8)=0,NA(),IF(Inputs!$C$17="Rebased to 100",$C101/C$8*100,$C101)))))</f>
        <v/>
      </c>
      <c r="J101" s="54">
        <f>IF($B101=0,NA(),IF($D101="",NA(),IF(D$8="",NA(),IF(N(D$8)=0,NA(),IF(Inputs!$C$17="Rebased to 100",$D101/D$8*100,$D101)))))</f>
        <v/>
      </c>
      <c r="K101" s="54">
        <f>IF($B101=0,NA(),IF($E101="",NA(),IF(E$8="",NA(),IF(N(E$8)=0,NA(),IF(Inputs!$C$17="Rebased to 100",$E101/E$8*100,$E101)))))</f>
        <v/>
      </c>
      <c r="L101" s="54">
        <f>IF($B101=0,NA(),IF($F101="",NA(),IF(F$8="",NA(),IF(N(F$8)=0,NA(),IF(Inputs!$C$17="Rebased to 100",$F101/F$8*100,$F101)))))</f>
        <v/>
      </c>
      <c r="M101" s="54">
        <f>IF($B101=0,NA(),IF($G101="",NA(),IF(G$8="",NA(),IF(N(G$8)=0,NA(),IF(Inputs!$C$17="Rebased to 100",$G101/G$8*100,$G101)))))</f>
        <v/>
      </c>
      <c r="N101" s="54">
        <f>IF($B101=0,NA(),IF(Inputs!$C$18&lt;&gt;"Yes",NA(),IF(COUNT(I101,J101,K101,L101,M101)=0,NA(),MIN(I101,J101,K101,L101,M101))))</f>
        <v/>
      </c>
      <c r="O101" s="54">
        <f>IF($B101=0,NA(),IF(Inputs!$B$24&lt;&gt;"Yes",NA(),Inputs!$D$24*Inputs!$C$35))</f>
        <v/>
      </c>
      <c r="P101" s="54">
        <f>IF($B101=0,NA(),IF(Inputs!$B$25&lt;&gt;"Yes",NA(),Inputs!$D$25*Inputs!$C$35))</f>
        <v/>
      </c>
      <c r="Q101" s="54">
        <f>IF($B101=0,NA(),IF(Inputs!$B$26&lt;&gt;"Yes",NA(),Inputs!$D$26*Inputs!$C$35))</f>
        <v/>
      </c>
      <c r="R101" s="54">
        <f>IF($B101=0,NA(),IF(Inputs!$B$27&lt;&gt;"Yes",NA(),Inputs!$D$27*Inputs!$C$35))</f>
        <v/>
      </c>
      <c r="S101" s="54">
        <f>IF($B101=0,NA(),IF(Inputs!$B$28&lt;&gt;"Yes",NA(),Inputs!$D$28*Inputs!$C$35))</f>
        <v/>
      </c>
      <c r="T101" s="54">
        <f>IF($B101=0,NA(),IF(Inputs!$B$29&lt;&gt;"Yes",NA(),Inputs!$D$29*Inputs!$C$35))</f>
        <v/>
      </c>
      <c r="AD101">
        <f>IF($B101=0,0,IF(Inputs!$B$6="",0,COUNTIFS(Data!$A$10:$A$3209,"&gt;="&amp;$A101,Data!$A$10:$A$3209,"&lt;"&amp;$A101+1)))</f>
        <v/>
      </c>
      <c r="AE101">
        <f>IF($B101=0,0,IF(Inputs!$B$7="",0,COUNTIFS(Data!$E$10:$E$3209,"&gt;="&amp;$A101,Data!$E$10:$E$3209,"&lt;"&amp;$A101+1)))</f>
        <v/>
      </c>
      <c r="AF101">
        <f>IF($B101=0,0,IF(Inputs!$B$8="",0,COUNTIFS(Data!$I$10:$I$3209,"&gt;="&amp;$A101,Data!$I$10:$I$3209,"&lt;"&amp;$A101+1)))</f>
        <v/>
      </c>
      <c r="AG101">
        <f>IF($B101=0,0,IF(Inputs!$B$9="",0,COUNTIFS(Data!$M$10:$M$3209,"&gt;="&amp;$A101,Data!$M$10:$M$3209,"&lt;"&amp;$A101+1)))</f>
        <v/>
      </c>
      <c r="AH101">
        <f>IF($B101=0,0,IF(Inputs!$B$10="",0,COUNTIFS(Data!$Q$10:$Q$3209,"&gt;="&amp;$A101,Data!$Q$10:$Q$3209,"&lt;"&amp;$A101+1)))</f>
        <v/>
      </c>
    </row>
    <row r="102">
      <c r="A102" s="55">
        <f>MIN(Inputs!$C$15,$A101+IF(WEEKDAY($A101,2)=5,3,1))</f>
        <v/>
      </c>
      <c r="B102">
        <f>IF($A102&gt;$A101,1,0)</f>
        <v/>
      </c>
      <c r="C102" s="56">
        <f>IF($B102=0,"",IF(Inputs!$B$6="","",IF($AD102=0,C101,SUMIFS(Data!$B$10:$B$3209,Data!$A$10:$A$3209,"&gt;="&amp;$A102,Data!$A$10:$A$3209,"&lt;"&amp;$A102+1)/$AD102)))</f>
        <v/>
      </c>
      <c r="D102" s="56">
        <f>IF($B102=0,"",IF(Inputs!$B$7="","",IF($AE102=0,D101,SUMIFS(Data!$F$10:$F$3209,Data!$E$10:$E$3209,"&gt;="&amp;$A102,Data!$E$10:$E$3209,"&lt;"&amp;$A102+1)/$AE102)))</f>
        <v/>
      </c>
      <c r="E102" s="56">
        <f>IF($B102=0,"",IF(Inputs!$B$8="","",IF($AF102=0,E101,SUMIFS(Data!$J$10:$J$3209,Data!$I$10:$I$3209,"&gt;="&amp;$A102,Data!$I$10:$I$3209,"&lt;"&amp;$A102+1)/$AF102)))</f>
        <v/>
      </c>
      <c r="F102" s="56">
        <f>IF($B102=0,"",IF(Inputs!$B$9="","",IF($AG102=0,F101,SUMIFS(Data!$N$10:$N$3209,Data!$M$10:$M$3209,"&gt;="&amp;$A102,Data!$M$10:$M$3209,"&lt;"&amp;$A102+1)/$AG102)))</f>
        <v/>
      </c>
      <c r="G102" s="56">
        <f>IF($B102=0,"",IF(Inputs!$B$10="","",IF($AH102=0,G101,SUMIFS(Data!$R$10:$R$3209,Data!$Q$10:$Q$3209,"&gt;="&amp;$A102,Data!$Q$10:$Q$3209,"&lt;"&amp;$A102+1)/$AH102)))</f>
        <v/>
      </c>
      <c r="I102" s="54">
        <f>IF($B102=0,NA(),IF($C102="",NA(),IF(C$8="",NA(),IF(N(C$8)=0,NA(),IF(Inputs!$C$17="Rebased to 100",$C102/C$8*100,$C102)))))</f>
        <v/>
      </c>
      <c r="J102" s="54">
        <f>IF($B102=0,NA(),IF($D102="",NA(),IF(D$8="",NA(),IF(N(D$8)=0,NA(),IF(Inputs!$C$17="Rebased to 100",$D102/D$8*100,$D102)))))</f>
        <v/>
      </c>
      <c r="K102" s="54">
        <f>IF($B102=0,NA(),IF($E102="",NA(),IF(E$8="",NA(),IF(N(E$8)=0,NA(),IF(Inputs!$C$17="Rebased to 100",$E102/E$8*100,$E102)))))</f>
        <v/>
      </c>
      <c r="L102" s="54">
        <f>IF($B102=0,NA(),IF($F102="",NA(),IF(F$8="",NA(),IF(N(F$8)=0,NA(),IF(Inputs!$C$17="Rebased to 100",$F102/F$8*100,$F102)))))</f>
        <v/>
      </c>
      <c r="M102" s="54">
        <f>IF($B102=0,NA(),IF($G102="",NA(),IF(G$8="",NA(),IF(N(G$8)=0,NA(),IF(Inputs!$C$17="Rebased to 100",$G102/G$8*100,$G102)))))</f>
        <v/>
      </c>
      <c r="N102" s="54">
        <f>IF($B102=0,NA(),IF(Inputs!$C$18&lt;&gt;"Yes",NA(),IF(COUNT(I102,J102,K102,L102,M102)=0,NA(),MIN(I102,J102,K102,L102,M102))))</f>
        <v/>
      </c>
      <c r="O102" s="54">
        <f>IF($B102=0,NA(),IF(Inputs!$B$24&lt;&gt;"Yes",NA(),Inputs!$D$24*Inputs!$C$35))</f>
        <v/>
      </c>
      <c r="P102" s="54">
        <f>IF($B102=0,NA(),IF(Inputs!$B$25&lt;&gt;"Yes",NA(),Inputs!$D$25*Inputs!$C$35))</f>
        <v/>
      </c>
      <c r="Q102" s="54">
        <f>IF($B102=0,NA(),IF(Inputs!$B$26&lt;&gt;"Yes",NA(),Inputs!$D$26*Inputs!$C$35))</f>
        <v/>
      </c>
      <c r="R102" s="54">
        <f>IF($B102=0,NA(),IF(Inputs!$B$27&lt;&gt;"Yes",NA(),Inputs!$D$27*Inputs!$C$35))</f>
        <v/>
      </c>
      <c r="S102" s="54">
        <f>IF($B102=0,NA(),IF(Inputs!$B$28&lt;&gt;"Yes",NA(),Inputs!$D$28*Inputs!$C$35))</f>
        <v/>
      </c>
      <c r="T102" s="54">
        <f>IF($B102=0,NA(),IF(Inputs!$B$29&lt;&gt;"Yes",NA(),Inputs!$D$29*Inputs!$C$35))</f>
        <v/>
      </c>
      <c r="AD102">
        <f>IF($B102=0,0,IF(Inputs!$B$6="",0,COUNTIFS(Data!$A$10:$A$3209,"&gt;="&amp;$A102,Data!$A$10:$A$3209,"&lt;"&amp;$A102+1)))</f>
        <v/>
      </c>
      <c r="AE102">
        <f>IF($B102=0,0,IF(Inputs!$B$7="",0,COUNTIFS(Data!$E$10:$E$3209,"&gt;="&amp;$A102,Data!$E$10:$E$3209,"&lt;"&amp;$A102+1)))</f>
        <v/>
      </c>
      <c r="AF102">
        <f>IF($B102=0,0,IF(Inputs!$B$8="",0,COUNTIFS(Data!$I$10:$I$3209,"&gt;="&amp;$A102,Data!$I$10:$I$3209,"&lt;"&amp;$A102+1)))</f>
        <v/>
      </c>
      <c r="AG102">
        <f>IF($B102=0,0,IF(Inputs!$B$9="",0,COUNTIFS(Data!$M$10:$M$3209,"&gt;="&amp;$A102,Data!$M$10:$M$3209,"&lt;"&amp;$A102+1)))</f>
        <v/>
      </c>
      <c r="AH102">
        <f>IF($B102=0,0,IF(Inputs!$B$10="",0,COUNTIFS(Data!$Q$10:$Q$3209,"&gt;="&amp;$A102,Data!$Q$10:$Q$3209,"&lt;"&amp;$A102+1)))</f>
        <v/>
      </c>
    </row>
    <row r="103">
      <c r="A103" s="55">
        <f>MIN(Inputs!$C$15,$A102+IF(WEEKDAY($A102,2)=5,3,1))</f>
        <v/>
      </c>
      <c r="B103">
        <f>IF($A103&gt;$A102,1,0)</f>
        <v/>
      </c>
      <c r="C103" s="56">
        <f>IF($B103=0,"",IF(Inputs!$B$6="","",IF($AD103=0,C102,SUMIFS(Data!$B$10:$B$3209,Data!$A$10:$A$3209,"&gt;="&amp;$A103,Data!$A$10:$A$3209,"&lt;"&amp;$A103+1)/$AD103)))</f>
        <v/>
      </c>
      <c r="D103" s="56">
        <f>IF($B103=0,"",IF(Inputs!$B$7="","",IF($AE103=0,D102,SUMIFS(Data!$F$10:$F$3209,Data!$E$10:$E$3209,"&gt;="&amp;$A103,Data!$E$10:$E$3209,"&lt;"&amp;$A103+1)/$AE103)))</f>
        <v/>
      </c>
      <c r="E103" s="56">
        <f>IF($B103=0,"",IF(Inputs!$B$8="","",IF($AF103=0,E102,SUMIFS(Data!$J$10:$J$3209,Data!$I$10:$I$3209,"&gt;="&amp;$A103,Data!$I$10:$I$3209,"&lt;"&amp;$A103+1)/$AF103)))</f>
        <v/>
      </c>
      <c r="F103" s="56">
        <f>IF($B103=0,"",IF(Inputs!$B$9="","",IF($AG103=0,F102,SUMIFS(Data!$N$10:$N$3209,Data!$M$10:$M$3209,"&gt;="&amp;$A103,Data!$M$10:$M$3209,"&lt;"&amp;$A103+1)/$AG103)))</f>
        <v/>
      </c>
      <c r="G103" s="56">
        <f>IF($B103=0,"",IF(Inputs!$B$10="","",IF($AH103=0,G102,SUMIFS(Data!$R$10:$R$3209,Data!$Q$10:$Q$3209,"&gt;="&amp;$A103,Data!$Q$10:$Q$3209,"&lt;"&amp;$A103+1)/$AH103)))</f>
        <v/>
      </c>
      <c r="I103" s="54">
        <f>IF($B103=0,NA(),IF($C103="",NA(),IF(C$8="",NA(),IF(N(C$8)=0,NA(),IF(Inputs!$C$17="Rebased to 100",$C103/C$8*100,$C103)))))</f>
        <v/>
      </c>
      <c r="J103" s="54">
        <f>IF($B103=0,NA(),IF($D103="",NA(),IF(D$8="",NA(),IF(N(D$8)=0,NA(),IF(Inputs!$C$17="Rebased to 100",$D103/D$8*100,$D103)))))</f>
        <v/>
      </c>
      <c r="K103" s="54">
        <f>IF($B103=0,NA(),IF($E103="",NA(),IF(E$8="",NA(),IF(N(E$8)=0,NA(),IF(Inputs!$C$17="Rebased to 100",$E103/E$8*100,$E103)))))</f>
        <v/>
      </c>
      <c r="L103" s="54">
        <f>IF($B103=0,NA(),IF($F103="",NA(),IF(F$8="",NA(),IF(N(F$8)=0,NA(),IF(Inputs!$C$17="Rebased to 100",$F103/F$8*100,$F103)))))</f>
        <v/>
      </c>
      <c r="M103" s="54">
        <f>IF($B103=0,NA(),IF($G103="",NA(),IF(G$8="",NA(),IF(N(G$8)=0,NA(),IF(Inputs!$C$17="Rebased to 100",$G103/G$8*100,$G103)))))</f>
        <v/>
      </c>
      <c r="N103" s="54">
        <f>IF($B103=0,NA(),IF(Inputs!$C$18&lt;&gt;"Yes",NA(),IF(COUNT(I103,J103,K103,L103,M103)=0,NA(),MIN(I103,J103,K103,L103,M103))))</f>
        <v/>
      </c>
      <c r="O103" s="54">
        <f>IF($B103=0,NA(),IF(Inputs!$B$24&lt;&gt;"Yes",NA(),Inputs!$D$24*Inputs!$C$35))</f>
        <v/>
      </c>
      <c r="P103" s="54">
        <f>IF($B103=0,NA(),IF(Inputs!$B$25&lt;&gt;"Yes",NA(),Inputs!$D$25*Inputs!$C$35))</f>
        <v/>
      </c>
      <c r="Q103" s="54">
        <f>IF($B103=0,NA(),IF(Inputs!$B$26&lt;&gt;"Yes",NA(),Inputs!$D$26*Inputs!$C$35))</f>
        <v/>
      </c>
      <c r="R103" s="54">
        <f>IF($B103=0,NA(),IF(Inputs!$B$27&lt;&gt;"Yes",NA(),Inputs!$D$27*Inputs!$C$35))</f>
        <v/>
      </c>
      <c r="S103" s="54">
        <f>IF($B103=0,NA(),IF(Inputs!$B$28&lt;&gt;"Yes",NA(),Inputs!$D$28*Inputs!$C$35))</f>
        <v/>
      </c>
      <c r="T103" s="54">
        <f>IF($B103=0,NA(),IF(Inputs!$B$29&lt;&gt;"Yes",NA(),Inputs!$D$29*Inputs!$C$35))</f>
        <v/>
      </c>
      <c r="AD103">
        <f>IF($B103=0,0,IF(Inputs!$B$6="",0,COUNTIFS(Data!$A$10:$A$3209,"&gt;="&amp;$A103,Data!$A$10:$A$3209,"&lt;"&amp;$A103+1)))</f>
        <v/>
      </c>
      <c r="AE103">
        <f>IF($B103=0,0,IF(Inputs!$B$7="",0,COUNTIFS(Data!$E$10:$E$3209,"&gt;="&amp;$A103,Data!$E$10:$E$3209,"&lt;"&amp;$A103+1)))</f>
        <v/>
      </c>
      <c r="AF103">
        <f>IF($B103=0,0,IF(Inputs!$B$8="",0,COUNTIFS(Data!$I$10:$I$3209,"&gt;="&amp;$A103,Data!$I$10:$I$3209,"&lt;"&amp;$A103+1)))</f>
        <v/>
      </c>
      <c r="AG103">
        <f>IF($B103=0,0,IF(Inputs!$B$9="",0,COUNTIFS(Data!$M$10:$M$3209,"&gt;="&amp;$A103,Data!$M$10:$M$3209,"&lt;"&amp;$A103+1)))</f>
        <v/>
      </c>
      <c r="AH103">
        <f>IF($B103=0,0,IF(Inputs!$B$10="",0,COUNTIFS(Data!$Q$10:$Q$3209,"&gt;="&amp;$A103,Data!$Q$10:$Q$3209,"&lt;"&amp;$A103+1)))</f>
        <v/>
      </c>
    </row>
    <row r="104">
      <c r="A104" s="55">
        <f>MIN(Inputs!$C$15,$A103+IF(WEEKDAY($A103,2)=5,3,1))</f>
        <v/>
      </c>
      <c r="B104">
        <f>IF($A104&gt;$A103,1,0)</f>
        <v/>
      </c>
      <c r="C104" s="56">
        <f>IF($B104=0,"",IF(Inputs!$B$6="","",IF($AD104=0,C103,SUMIFS(Data!$B$10:$B$3209,Data!$A$10:$A$3209,"&gt;="&amp;$A104,Data!$A$10:$A$3209,"&lt;"&amp;$A104+1)/$AD104)))</f>
        <v/>
      </c>
      <c r="D104" s="56">
        <f>IF($B104=0,"",IF(Inputs!$B$7="","",IF($AE104=0,D103,SUMIFS(Data!$F$10:$F$3209,Data!$E$10:$E$3209,"&gt;="&amp;$A104,Data!$E$10:$E$3209,"&lt;"&amp;$A104+1)/$AE104)))</f>
        <v/>
      </c>
      <c r="E104" s="56">
        <f>IF($B104=0,"",IF(Inputs!$B$8="","",IF($AF104=0,E103,SUMIFS(Data!$J$10:$J$3209,Data!$I$10:$I$3209,"&gt;="&amp;$A104,Data!$I$10:$I$3209,"&lt;"&amp;$A104+1)/$AF104)))</f>
        <v/>
      </c>
      <c r="F104" s="56">
        <f>IF($B104=0,"",IF(Inputs!$B$9="","",IF($AG104=0,F103,SUMIFS(Data!$N$10:$N$3209,Data!$M$10:$M$3209,"&gt;="&amp;$A104,Data!$M$10:$M$3209,"&lt;"&amp;$A104+1)/$AG104)))</f>
        <v/>
      </c>
      <c r="G104" s="56">
        <f>IF($B104=0,"",IF(Inputs!$B$10="","",IF($AH104=0,G103,SUMIFS(Data!$R$10:$R$3209,Data!$Q$10:$Q$3209,"&gt;="&amp;$A104,Data!$Q$10:$Q$3209,"&lt;"&amp;$A104+1)/$AH104)))</f>
        <v/>
      </c>
      <c r="I104" s="54">
        <f>IF($B104=0,NA(),IF($C104="",NA(),IF(C$8="",NA(),IF(N(C$8)=0,NA(),IF(Inputs!$C$17="Rebased to 100",$C104/C$8*100,$C104)))))</f>
        <v/>
      </c>
      <c r="J104" s="54">
        <f>IF($B104=0,NA(),IF($D104="",NA(),IF(D$8="",NA(),IF(N(D$8)=0,NA(),IF(Inputs!$C$17="Rebased to 100",$D104/D$8*100,$D104)))))</f>
        <v/>
      </c>
      <c r="K104" s="54">
        <f>IF($B104=0,NA(),IF($E104="",NA(),IF(E$8="",NA(),IF(N(E$8)=0,NA(),IF(Inputs!$C$17="Rebased to 100",$E104/E$8*100,$E104)))))</f>
        <v/>
      </c>
      <c r="L104" s="54">
        <f>IF($B104=0,NA(),IF($F104="",NA(),IF(F$8="",NA(),IF(N(F$8)=0,NA(),IF(Inputs!$C$17="Rebased to 100",$F104/F$8*100,$F104)))))</f>
        <v/>
      </c>
      <c r="M104" s="54">
        <f>IF($B104=0,NA(),IF($G104="",NA(),IF(G$8="",NA(),IF(N(G$8)=0,NA(),IF(Inputs!$C$17="Rebased to 100",$G104/G$8*100,$G104)))))</f>
        <v/>
      </c>
      <c r="N104" s="54">
        <f>IF($B104=0,NA(),IF(Inputs!$C$18&lt;&gt;"Yes",NA(),IF(COUNT(I104,J104,K104,L104,M104)=0,NA(),MIN(I104,J104,K104,L104,M104))))</f>
        <v/>
      </c>
      <c r="O104" s="54">
        <f>IF($B104=0,NA(),IF(Inputs!$B$24&lt;&gt;"Yes",NA(),Inputs!$D$24*Inputs!$C$35))</f>
        <v/>
      </c>
      <c r="P104" s="54">
        <f>IF($B104=0,NA(),IF(Inputs!$B$25&lt;&gt;"Yes",NA(),Inputs!$D$25*Inputs!$C$35))</f>
        <v/>
      </c>
      <c r="Q104" s="54">
        <f>IF($B104=0,NA(),IF(Inputs!$B$26&lt;&gt;"Yes",NA(),Inputs!$D$26*Inputs!$C$35))</f>
        <v/>
      </c>
      <c r="R104" s="54">
        <f>IF($B104=0,NA(),IF(Inputs!$B$27&lt;&gt;"Yes",NA(),Inputs!$D$27*Inputs!$C$35))</f>
        <v/>
      </c>
      <c r="S104" s="54">
        <f>IF($B104=0,NA(),IF(Inputs!$B$28&lt;&gt;"Yes",NA(),Inputs!$D$28*Inputs!$C$35))</f>
        <v/>
      </c>
      <c r="T104" s="54">
        <f>IF($B104=0,NA(),IF(Inputs!$B$29&lt;&gt;"Yes",NA(),Inputs!$D$29*Inputs!$C$35))</f>
        <v/>
      </c>
      <c r="AD104">
        <f>IF($B104=0,0,IF(Inputs!$B$6="",0,COUNTIFS(Data!$A$10:$A$3209,"&gt;="&amp;$A104,Data!$A$10:$A$3209,"&lt;"&amp;$A104+1)))</f>
        <v/>
      </c>
      <c r="AE104">
        <f>IF($B104=0,0,IF(Inputs!$B$7="",0,COUNTIFS(Data!$E$10:$E$3209,"&gt;="&amp;$A104,Data!$E$10:$E$3209,"&lt;"&amp;$A104+1)))</f>
        <v/>
      </c>
      <c r="AF104">
        <f>IF($B104=0,0,IF(Inputs!$B$8="",0,COUNTIFS(Data!$I$10:$I$3209,"&gt;="&amp;$A104,Data!$I$10:$I$3209,"&lt;"&amp;$A104+1)))</f>
        <v/>
      </c>
      <c r="AG104">
        <f>IF($B104=0,0,IF(Inputs!$B$9="",0,COUNTIFS(Data!$M$10:$M$3209,"&gt;="&amp;$A104,Data!$M$10:$M$3209,"&lt;"&amp;$A104+1)))</f>
        <v/>
      </c>
      <c r="AH104">
        <f>IF($B104=0,0,IF(Inputs!$B$10="",0,COUNTIFS(Data!$Q$10:$Q$3209,"&gt;="&amp;$A104,Data!$Q$10:$Q$3209,"&lt;"&amp;$A104+1)))</f>
        <v/>
      </c>
    </row>
    <row r="105">
      <c r="A105" s="55">
        <f>MIN(Inputs!$C$15,$A104+IF(WEEKDAY($A104,2)=5,3,1))</f>
        <v/>
      </c>
      <c r="B105">
        <f>IF($A105&gt;$A104,1,0)</f>
        <v/>
      </c>
      <c r="C105" s="56">
        <f>IF($B105=0,"",IF(Inputs!$B$6="","",IF($AD105=0,C104,SUMIFS(Data!$B$10:$B$3209,Data!$A$10:$A$3209,"&gt;="&amp;$A105,Data!$A$10:$A$3209,"&lt;"&amp;$A105+1)/$AD105)))</f>
        <v/>
      </c>
      <c r="D105" s="56">
        <f>IF($B105=0,"",IF(Inputs!$B$7="","",IF($AE105=0,D104,SUMIFS(Data!$F$10:$F$3209,Data!$E$10:$E$3209,"&gt;="&amp;$A105,Data!$E$10:$E$3209,"&lt;"&amp;$A105+1)/$AE105)))</f>
        <v/>
      </c>
      <c r="E105" s="56">
        <f>IF($B105=0,"",IF(Inputs!$B$8="","",IF($AF105=0,E104,SUMIFS(Data!$J$10:$J$3209,Data!$I$10:$I$3209,"&gt;="&amp;$A105,Data!$I$10:$I$3209,"&lt;"&amp;$A105+1)/$AF105)))</f>
        <v/>
      </c>
      <c r="F105" s="56">
        <f>IF($B105=0,"",IF(Inputs!$B$9="","",IF($AG105=0,F104,SUMIFS(Data!$N$10:$N$3209,Data!$M$10:$M$3209,"&gt;="&amp;$A105,Data!$M$10:$M$3209,"&lt;"&amp;$A105+1)/$AG105)))</f>
        <v/>
      </c>
      <c r="G105" s="56">
        <f>IF($B105=0,"",IF(Inputs!$B$10="","",IF($AH105=0,G104,SUMIFS(Data!$R$10:$R$3209,Data!$Q$10:$Q$3209,"&gt;="&amp;$A105,Data!$Q$10:$Q$3209,"&lt;"&amp;$A105+1)/$AH105)))</f>
        <v/>
      </c>
      <c r="I105" s="54">
        <f>IF($B105=0,NA(),IF($C105="",NA(),IF(C$8="",NA(),IF(N(C$8)=0,NA(),IF(Inputs!$C$17="Rebased to 100",$C105/C$8*100,$C105)))))</f>
        <v/>
      </c>
      <c r="J105" s="54">
        <f>IF($B105=0,NA(),IF($D105="",NA(),IF(D$8="",NA(),IF(N(D$8)=0,NA(),IF(Inputs!$C$17="Rebased to 100",$D105/D$8*100,$D105)))))</f>
        <v/>
      </c>
      <c r="K105" s="54">
        <f>IF($B105=0,NA(),IF($E105="",NA(),IF(E$8="",NA(),IF(N(E$8)=0,NA(),IF(Inputs!$C$17="Rebased to 100",$E105/E$8*100,$E105)))))</f>
        <v/>
      </c>
      <c r="L105" s="54">
        <f>IF($B105=0,NA(),IF($F105="",NA(),IF(F$8="",NA(),IF(N(F$8)=0,NA(),IF(Inputs!$C$17="Rebased to 100",$F105/F$8*100,$F105)))))</f>
        <v/>
      </c>
      <c r="M105" s="54">
        <f>IF($B105=0,NA(),IF($G105="",NA(),IF(G$8="",NA(),IF(N(G$8)=0,NA(),IF(Inputs!$C$17="Rebased to 100",$G105/G$8*100,$G105)))))</f>
        <v/>
      </c>
      <c r="N105" s="54">
        <f>IF($B105=0,NA(),IF(Inputs!$C$18&lt;&gt;"Yes",NA(),IF(COUNT(I105,J105,K105,L105,M105)=0,NA(),MIN(I105,J105,K105,L105,M105))))</f>
        <v/>
      </c>
      <c r="O105" s="54">
        <f>IF($B105=0,NA(),IF(Inputs!$B$24&lt;&gt;"Yes",NA(),Inputs!$D$24*Inputs!$C$35))</f>
        <v/>
      </c>
      <c r="P105" s="54">
        <f>IF($B105=0,NA(),IF(Inputs!$B$25&lt;&gt;"Yes",NA(),Inputs!$D$25*Inputs!$C$35))</f>
        <v/>
      </c>
      <c r="Q105" s="54">
        <f>IF($B105=0,NA(),IF(Inputs!$B$26&lt;&gt;"Yes",NA(),Inputs!$D$26*Inputs!$C$35))</f>
        <v/>
      </c>
      <c r="R105" s="54">
        <f>IF($B105=0,NA(),IF(Inputs!$B$27&lt;&gt;"Yes",NA(),Inputs!$D$27*Inputs!$C$35))</f>
        <v/>
      </c>
      <c r="S105" s="54">
        <f>IF($B105=0,NA(),IF(Inputs!$B$28&lt;&gt;"Yes",NA(),Inputs!$D$28*Inputs!$C$35))</f>
        <v/>
      </c>
      <c r="T105" s="54">
        <f>IF($B105=0,NA(),IF(Inputs!$B$29&lt;&gt;"Yes",NA(),Inputs!$D$29*Inputs!$C$35))</f>
        <v/>
      </c>
      <c r="AD105">
        <f>IF($B105=0,0,IF(Inputs!$B$6="",0,COUNTIFS(Data!$A$10:$A$3209,"&gt;="&amp;$A105,Data!$A$10:$A$3209,"&lt;"&amp;$A105+1)))</f>
        <v/>
      </c>
      <c r="AE105">
        <f>IF($B105=0,0,IF(Inputs!$B$7="",0,COUNTIFS(Data!$E$10:$E$3209,"&gt;="&amp;$A105,Data!$E$10:$E$3209,"&lt;"&amp;$A105+1)))</f>
        <v/>
      </c>
      <c r="AF105">
        <f>IF($B105=0,0,IF(Inputs!$B$8="",0,COUNTIFS(Data!$I$10:$I$3209,"&gt;="&amp;$A105,Data!$I$10:$I$3209,"&lt;"&amp;$A105+1)))</f>
        <v/>
      </c>
      <c r="AG105">
        <f>IF($B105=0,0,IF(Inputs!$B$9="",0,COUNTIFS(Data!$M$10:$M$3209,"&gt;="&amp;$A105,Data!$M$10:$M$3209,"&lt;"&amp;$A105+1)))</f>
        <v/>
      </c>
      <c r="AH105">
        <f>IF($B105=0,0,IF(Inputs!$B$10="",0,COUNTIFS(Data!$Q$10:$Q$3209,"&gt;="&amp;$A105,Data!$Q$10:$Q$3209,"&lt;"&amp;$A105+1)))</f>
        <v/>
      </c>
    </row>
    <row r="106">
      <c r="A106" s="55">
        <f>MIN(Inputs!$C$15,$A105+IF(WEEKDAY($A105,2)=5,3,1))</f>
        <v/>
      </c>
      <c r="B106">
        <f>IF($A106&gt;$A105,1,0)</f>
        <v/>
      </c>
      <c r="C106" s="56">
        <f>IF($B106=0,"",IF(Inputs!$B$6="","",IF($AD106=0,C105,SUMIFS(Data!$B$10:$B$3209,Data!$A$10:$A$3209,"&gt;="&amp;$A106,Data!$A$10:$A$3209,"&lt;"&amp;$A106+1)/$AD106)))</f>
        <v/>
      </c>
      <c r="D106" s="56">
        <f>IF($B106=0,"",IF(Inputs!$B$7="","",IF($AE106=0,D105,SUMIFS(Data!$F$10:$F$3209,Data!$E$10:$E$3209,"&gt;="&amp;$A106,Data!$E$10:$E$3209,"&lt;"&amp;$A106+1)/$AE106)))</f>
        <v/>
      </c>
      <c r="E106" s="56">
        <f>IF($B106=0,"",IF(Inputs!$B$8="","",IF($AF106=0,E105,SUMIFS(Data!$J$10:$J$3209,Data!$I$10:$I$3209,"&gt;="&amp;$A106,Data!$I$10:$I$3209,"&lt;"&amp;$A106+1)/$AF106)))</f>
        <v/>
      </c>
      <c r="F106" s="56">
        <f>IF($B106=0,"",IF(Inputs!$B$9="","",IF($AG106=0,F105,SUMIFS(Data!$N$10:$N$3209,Data!$M$10:$M$3209,"&gt;="&amp;$A106,Data!$M$10:$M$3209,"&lt;"&amp;$A106+1)/$AG106)))</f>
        <v/>
      </c>
      <c r="G106" s="56">
        <f>IF($B106=0,"",IF(Inputs!$B$10="","",IF($AH106=0,G105,SUMIFS(Data!$R$10:$R$3209,Data!$Q$10:$Q$3209,"&gt;="&amp;$A106,Data!$Q$10:$Q$3209,"&lt;"&amp;$A106+1)/$AH106)))</f>
        <v/>
      </c>
      <c r="I106" s="54">
        <f>IF($B106=0,NA(),IF($C106="",NA(),IF(C$8="",NA(),IF(N(C$8)=0,NA(),IF(Inputs!$C$17="Rebased to 100",$C106/C$8*100,$C106)))))</f>
        <v/>
      </c>
      <c r="J106" s="54">
        <f>IF($B106=0,NA(),IF($D106="",NA(),IF(D$8="",NA(),IF(N(D$8)=0,NA(),IF(Inputs!$C$17="Rebased to 100",$D106/D$8*100,$D106)))))</f>
        <v/>
      </c>
      <c r="K106" s="54">
        <f>IF($B106=0,NA(),IF($E106="",NA(),IF(E$8="",NA(),IF(N(E$8)=0,NA(),IF(Inputs!$C$17="Rebased to 100",$E106/E$8*100,$E106)))))</f>
        <v/>
      </c>
      <c r="L106" s="54">
        <f>IF($B106=0,NA(),IF($F106="",NA(),IF(F$8="",NA(),IF(N(F$8)=0,NA(),IF(Inputs!$C$17="Rebased to 100",$F106/F$8*100,$F106)))))</f>
        <v/>
      </c>
      <c r="M106" s="54">
        <f>IF($B106=0,NA(),IF($G106="",NA(),IF(G$8="",NA(),IF(N(G$8)=0,NA(),IF(Inputs!$C$17="Rebased to 100",$G106/G$8*100,$G106)))))</f>
        <v/>
      </c>
      <c r="N106" s="54">
        <f>IF($B106=0,NA(),IF(Inputs!$C$18&lt;&gt;"Yes",NA(),IF(COUNT(I106,J106,K106,L106,M106)=0,NA(),MIN(I106,J106,K106,L106,M106))))</f>
        <v/>
      </c>
      <c r="O106" s="54">
        <f>IF($B106=0,NA(),IF(Inputs!$B$24&lt;&gt;"Yes",NA(),Inputs!$D$24*Inputs!$C$35))</f>
        <v/>
      </c>
      <c r="P106" s="54">
        <f>IF($B106=0,NA(),IF(Inputs!$B$25&lt;&gt;"Yes",NA(),Inputs!$D$25*Inputs!$C$35))</f>
        <v/>
      </c>
      <c r="Q106" s="54">
        <f>IF($B106=0,NA(),IF(Inputs!$B$26&lt;&gt;"Yes",NA(),Inputs!$D$26*Inputs!$C$35))</f>
        <v/>
      </c>
      <c r="R106" s="54">
        <f>IF($B106=0,NA(),IF(Inputs!$B$27&lt;&gt;"Yes",NA(),Inputs!$D$27*Inputs!$C$35))</f>
        <v/>
      </c>
      <c r="S106" s="54">
        <f>IF($B106=0,NA(),IF(Inputs!$B$28&lt;&gt;"Yes",NA(),Inputs!$D$28*Inputs!$C$35))</f>
        <v/>
      </c>
      <c r="T106" s="54">
        <f>IF($B106=0,NA(),IF(Inputs!$B$29&lt;&gt;"Yes",NA(),Inputs!$D$29*Inputs!$C$35))</f>
        <v/>
      </c>
      <c r="AD106">
        <f>IF($B106=0,0,IF(Inputs!$B$6="",0,COUNTIFS(Data!$A$10:$A$3209,"&gt;="&amp;$A106,Data!$A$10:$A$3209,"&lt;"&amp;$A106+1)))</f>
        <v/>
      </c>
      <c r="AE106">
        <f>IF($B106=0,0,IF(Inputs!$B$7="",0,COUNTIFS(Data!$E$10:$E$3209,"&gt;="&amp;$A106,Data!$E$10:$E$3209,"&lt;"&amp;$A106+1)))</f>
        <v/>
      </c>
      <c r="AF106">
        <f>IF($B106=0,0,IF(Inputs!$B$8="",0,COUNTIFS(Data!$I$10:$I$3209,"&gt;="&amp;$A106,Data!$I$10:$I$3209,"&lt;"&amp;$A106+1)))</f>
        <v/>
      </c>
      <c r="AG106">
        <f>IF($B106=0,0,IF(Inputs!$B$9="",0,COUNTIFS(Data!$M$10:$M$3209,"&gt;="&amp;$A106,Data!$M$10:$M$3209,"&lt;"&amp;$A106+1)))</f>
        <v/>
      </c>
      <c r="AH106">
        <f>IF($B106=0,0,IF(Inputs!$B$10="",0,COUNTIFS(Data!$Q$10:$Q$3209,"&gt;="&amp;$A106,Data!$Q$10:$Q$3209,"&lt;"&amp;$A106+1)))</f>
        <v/>
      </c>
    </row>
    <row r="107">
      <c r="A107" s="55">
        <f>MIN(Inputs!$C$15,$A106+IF(WEEKDAY($A106,2)=5,3,1))</f>
        <v/>
      </c>
      <c r="B107">
        <f>IF($A107&gt;$A106,1,0)</f>
        <v/>
      </c>
      <c r="C107" s="56">
        <f>IF($B107=0,"",IF(Inputs!$B$6="","",IF($AD107=0,C106,SUMIFS(Data!$B$10:$B$3209,Data!$A$10:$A$3209,"&gt;="&amp;$A107,Data!$A$10:$A$3209,"&lt;"&amp;$A107+1)/$AD107)))</f>
        <v/>
      </c>
      <c r="D107" s="56">
        <f>IF($B107=0,"",IF(Inputs!$B$7="","",IF($AE107=0,D106,SUMIFS(Data!$F$10:$F$3209,Data!$E$10:$E$3209,"&gt;="&amp;$A107,Data!$E$10:$E$3209,"&lt;"&amp;$A107+1)/$AE107)))</f>
        <v/>
      </c>
      <c r="E107" s="56">
        <f>IF($B107=0,"",IF(Inputs!$B$8="","",IF($AF107=0,E106,SUMIFS(Data!$J$10:$J$3209,Data!$I$10:$I$3209,"&gt;="&amp;$A107,Data!$I$10:$I$3209,"&lt;"&amp;$A107+1)/$AF107)))</f>
        <v/>
      </c>
      <c r="F107" s="56">
        <f>IF($B107=0,"",IF(Inputs!$B$9="","",IF($AG107=0,F106,SUMIFS(Data!$N$10:$N$3209,Data!$M$10:$M$3209,"&gt;="&amp;$A107,Data!$M$10:$M$3209,"&lt;"&amp;$A107+1)/$AG107)))</f>
        <v/>
      </c>
      <c r="G107" s="56">
        <f>IF($B107=0,"",IF(Inputs!$B$10="","",IF($AH107=0,G106,SUMIFS(Data!$R$10:$R$3209,Data!$Q$10:$Q$3209,"&gt;="&amp;$A107,Data!$Q$10:$Q$3209,"&lt;"&amp;$A107+1)/$AH107)))</f>
        <v/>
      </c>
      <c r="I107" s="54">
        <f>IF($B107=0,NA(),IF($C107="",NA(),IF(C$8="",NA(),IF(N(C$8)=0,NA(),IF(Inputs!$C$17="Rebased to 100",$C107/C$8*100,$C107)))))</f>
        <v/>
      </c>
      <c r="J107" s="54">
        <f>IF($B107=0,NA(),IF($D107="",NA(),IF(D$8="",NA(),IF(N(D$8)=0,NA(),IF(Inputs!$C$17="Rebased to 100",$D107/D$8*100,$D107)))))</f>
        <v/>
      </c>
      <c r="K107" s="54">
        <f>IF($B107=0,NA(),IF($E107="",NA(),IF(E$8="",NA(),IF(N(E$8)=0,NA(),IF(Inputs!$C$17="Rebased to 100",$E107/E$8*100,$E107)))))</f>
        <v/>
      </c>
      <c r="L107" s="54">
        <f>IF($B107=0,NA(),IF($F107="",NA(),IF(F$8="",NA(),IF(N(F$8)=0,NA(),IF(Inputs!$C$17="Rebased to 100",$F107/F$8*100,$F107)))))</f>
        <v/>
      </c>
      <c r="M107" s="54">
        <f>IF($B107=0,NA(),IF($G107="",NA(),IF(G$8="",NA(),IF(N(G$8)=0,NA(),IF(Inputs!$C$17="Rebased to 100",$G107/G$8*100,$G107)))))</f>
        <v/>
      </c>
      <c r="N107" s="54">
        <f>IF($B107=0,NA(),IF(Inputs!$C$18&lt;&gt;"Yes",NA(),IF(COUNT(I107,J107,K107,L107,M107)=0,NA(),MIN(I107,J107,K107,L107,M107))))</f>
        <v/>
      </c>
      <c r="O107" s="54">
        <f>IF($B107=0,NA(),IF(Inputs!$B$24&lt;&gt;"Yes",NA(),Inputs!$D$24*Inputs!$C$35))</f>
        <v/>
      </c>
      <c r="P107" s="54">
        <f>IF($B107=0,NA(),IF(Inputs!$B$25&lt;&gt;"Yes",NA(),Inputs!$D$25*Inputs!$C$35))</f>
        <v/>
      </c>
      <c r="Q107" s="54">
        <f>IF($B107=0,NA(),IF(Inputs!$B$26&lt;&gt;"Yes",NA(),Inputs!$D$26*Inputs!$C$35))</f>
        <v/>
      </c>
      <c r="R107" s="54">
        <f>IF($B107=0,NA(),IF(Inputs!$B$27&lt;&gt;"Yes",NA(),Inputs!$D$27*Inputs!$C$35))</f>
        <v/>
      </c>
      <c r="S107" s="54">
        <f>IF($B107=0,NA(),IF(Inputs!$B$28&lt;&gt;"Yes",NA(),Inputs!$D$28*Inputs!$C$35))</f>
        <v/>
      </c>
      <c r="T107" s="54">
        <f>IF($B107=0,NA(),IF(Inputs!$B$29&lt;&gt;"Yes",NA(),Inputs!$D$29*Inputs!$C$35))</f>
        <v/>
      </c>
      <c r="AD107">
        <f>IF($B107=0,0,IF(Inputs!$B$6="",0,COUNTIFS(Data!$A$10:$A$3209,"&gt;="&amp;$A107,Data!$A$10:$A$3209,"&lt;"&amp;$A107+1)))</f>
        <v/>
      </c>
      <c r="AE107">
        <f>IF($B107=0,0,IF(Inputs!$B$7="",0,COUNTIFS(Data!$E$10:$E$3209,"&gt;="&amp;$A107,Data!$E$10:$E$3209,"&lt;"&amp;$A107+1)))</f>
        <v/>
      </c>
      <c r="AF107">
        <f>IF($B107=0,0,IF(Inputs!$B$8="",0,COUNTIFS(Data!$I$10:$I$3209,"&gt;="&amp;$A107,Data!$I$10:$I$3209,"&lt;"&amp;$A107+1)))</f>
        <v/>
      </c>
      <c r="AG107">
        <f>IF($B107=0,0,IF(Inputs!$B$9="",0,COUNTIFS(Data!$M$10:$M$3209,"&gt;="&amp;$A107,Data!$M$10:$M$3209,"&lt;"&amp;$A107+1)))</f>
        <v/>
      </c>
      <c r="AH107">
        <f>IF($B107=0,0,IF(Inputs!$B$10="",0,COUNTIFS(Data!$Q$10:$Q$3209,"&gt;="&amp;$A107,Data!$Q$10:$Q$3209,"&lt;"&amp;$A107+1)))</f>
        <v/>
      </c>
    </row>
    <row r="108">
      <c r="A108" s="55">
        <f>MIN(Inputs!$C$15,$A107+IF(WEEKDAY($A107,2)=5,3,1))</f>
        <v/>
      </c>
      <c r="B108">
        <f>IF($A108&gt;$A107,1,0)</f>
        <v/>
      </c>
      <c r="C108" s="56">
        <f>IF($B108=0,"",IF(Inputs!$B$6="","",IF($AD108=0,C107,SUMIFS(Data!$B$10:$B$3209,Data!$A$10:$A$3209,"&gt;="&amp;$A108,Data!$A$10:$A$3209,"&lt;"&amp;$A108+1)/$AD108)))</f>
        <v/>
      </c>
      <c r="D108" s="56">
        <f>IF($B108=0,"",IF(Inputs!$B$7="","",IF($AE108=0,D107,SUMIFS(Data!$F$10:$F$3209,Data!$E$10:$E$3209,"&gt;="&amp;$A108,Data!$E$10:$E$3209,"&lt;"&amp;$A108+1)/$AE108)))</f>
        <v/>
      </c>
      <c r="E108" s="56">
        <f>IF($B108=0,"",IF(Inputs!$B$8="","",IF($AF108=0,E107,SUMIFS(Data!$J$10:$J$3209,Data!$I$10:$I$3209,"&gt;="&amp;$A108,Data!$I$10:$I$3209,"&lt;"&amp;$A108+1)/$AF108)))</f>
        <v/>
      </c>
      <c r="F108" s="56">
        <f>IF($B108=0,"",IF(Inputs!$B$9="","",IF($AG108=0,F107,SUMIFS(Data!$N$10:$N$3209,Data!$M$10:$M$3209,"&gt;="&amp;$A108,Data!$M$10:$M$3209,"&lt;"&amp;$A108+1)/$AG108)))</f>
        <v/>
      </c>
      <c r="G108" s="56">
        <f>IF($B108=0,"",IF(Inputs!$B$10="","",IF($AH108=0,G107,SUMIFS(Data!$R$10:$R$3209,Data!$Q$10:$Q$3209,"&gt;="&amp;$A108,Data!$Q$10:$Q$3209,"&lt;"&amp;$A108+1)/$AH108)))</f>
        <v/>
      </c>
      <c r="I108" s="54">
        <f>IF($B108=0,NA(),IF($C108="",NA(),IF(C$8="",NA(),IF(N(C$8)=0,NA(),IF(Inputs!$C$17="Rebased to 100",$C108/C$8*100,$C108)))))</f>
        <v/>
      </c>
      <c r="J108" s="54">
        <f>IF($B108=0,NA(),IF($D108="",NA(),IF(D$8="",NA(),IF(N(D$8)=0,NA(),IF(Inputs!$C$17="Rebased to 100",$D108/D$8*100,$D108)))))</f>
        <v/>
      </c>
      <c r="K108" s="54">
        <f>IF($B108=0,NA(),IF($E108="",NA(),IF(E$8="",NA(),IF(N(E$8)=0,NA(),IF(Inputs!$C$17="Rebased to 100",$E108/E$8*100,$E108)))))</f>
        <v/>
      </c>
      <c r="L108" s="54">
        <f>IF($B108=0,NA(),IF($F108="",NA(),IF(F$8="",NA(),IF(N(F$8)=0,NA(),IF(Inputs!$C$17="Rebased to 100",$F108/F$8*100,$F108)))))</f>
        <v/>
      </c>
      <c r="M108" s="54">
        <f>IF($B108=0,NA(),IF($G108="",NA(),IF(G$8="",NA(),IF(N(G$8)=0,NA(),IF(Inputs!$C$17="Rebased to 100",$G108/G$8*100,$G108)))))</f>
        <v/>
      </c>
      <c r="N108" s="54">
        <f>IF($B108=0,NA(),IF(Inputs!$C$18&lt;&gt;"Yes",NA(),IF(COUNT(I108,J108,K108,L108,M108)=0,NA(),MIN(I108,J108,K108,L108,M108))))</f>
        <v/>
      </c>
      <c r="O108" s="54">
        <f>IF($B108=0,NA(),IF(Inputs!$B$24&lt;&gt;"Yes",NA(),Inputs!$D$24*Inputs!$C$35))</f>
        <v/>
      </c>
      <c r="P108" s="54">
        <f>IF($B108=0,NA(),IF(Inputs!$B$25&lt;&gt;"Yes",NA(),Inputs!$D$25*Inputs!$C$35))</f>
        <v/>
      </c>
      <c r="Q108" s="54">
        <f>IF($B108=0,NA(),IF(Inputs!$B$26&lt;&gt;"Yes",NA(),Inputs!$D$26*Inputs!$C$35))</f>
        <v/>
      </c>
      <c r="R108" s="54">
        <f>IF($B108=0,NA(),IF(Inputs!$B$27&lt;&gt;"Yes",NA(),Inputs!$D$27*Inputs!$C$35))</f>
        <v/>
      </c>
      <c r="S108" s="54">
        <f>IF($B108=0,NA(),IF(Inputs!$B$28&lt;&gt;"Yes",NA(),Inputs!$D$28*Inputs!$C$35))</f>
        <v/>
      </c>
      <c r="T108" s="54">
        <f>IF($B108=0,NA(),IF(Inputs!$B$29&lt;&gt;"Yes",NA(),Inputs!$D$29*Inputs!$C$35))</f>
        <v/>
      </c>
      <c r="AD108">
        <f>IF($B108=0,0,IF(Inputs!$B$6="",0,COUNTIFS(Data!$A$10:$A$3209,"&gt;="&amp;$A108,Data!$A$10:$A$3209,"&lt;"&amp;$A108+1)))</f>
        <v/>
      </c>
      <c r="AE108">
        <f>IF($B108=0,0,IF(Inputs!$B$7="",0,COUNTIFS(Data!$E$10:$E$3209,"&gt;="&amp;$A108,Data!$E$10:$E$3209,"&lt;"&amp;$A108+1)))</f>
        <v/>
      </c>
      <c r="AF108">
        <f>IF($B108=0,0,IF(Inputs!$B$8="",0,COUNTIFS(Data!$I$10:$I$3209,"&gt;="&amp;$A108,Data!$I$10:$I$3209,"&lt;"&amp;$A108+1)))</f>
        <v/>
      </c>
      <c r="AG108">
        <f>IF($B108=0,0,IF(Inputs!$B$9="",0,COUNTIFS(Data!$M$10:$M$3209,"&gt;="&amp;$A108,Data!$M$10:$M$3209,"&lt;"&amp;$A108+1)))</f>
        <v/>
      </c>
      <c r="AH108">
        <f>IF($B108=0,0,IF(Inputs!$B$10="",0,COUNTIFS(Data!$Q$10:$Q$3209,"&gt;="&amp;$A108,Data!$Q$10:$Q$3209,"&lt;"&amp;$A108+1)))</f>
        <v/>
      </c>
    </row>
    <row r="109">
      <c r="A109" s="55">
        <f>MIN(Inputs!$C$15,$A108+IF(WEEKDAY($A108,2)=5,3,1))</f>
        <v/>
      </c>
      <c r="B109">
        <f>IF($A109&gt;$A108,1,0)</f>
        <v/>
      </c>
      <c r="C109" s="56">
        <f>IF($B109=0,"",IF(Inputs!$B$6="","",IF($AD109=0,C108,SUMIFS(Data!$B$10:$B$3209,Data!$A$10:$A$3209,"&gt;="&amp;$A109,Data!$A$10:$A$3209,"&lt;"&amp;$A109+1)/$AD109)))</f>
        <v/>
      </c>
      <c r="D109" s="56">
        <f>IF($B109=0,"",IF(Inputs!$B$7="","",IF($AE109=0,D108,SUMIFS(Data!$F$10:$F$3209,Data!$E$10:$E$3209,"&gt;="&amp;$A109,Data!$E$10:$E$3209,"&lt;"&amp;$A109+1)/$AE109)))</f>
        <v/>
      </c>
      <c r="E109" s="56">
        <f>IF($B109=0,"",IF(Inputs!$B$8="","",IF($AF109=0,E108,SUMIFS(Data!$J$10:$J$3209,Data!$I$10:$I$3209,"&gt;="&amp;$A109,Data!$I$10:$I$3209,"&lt;"&amp;$A109+1)/$AF109)))</f>
        <v/>
      </c>
      <c r="F109" s="56">
        <f>IF($B109=0,"",IF(Inputs!$B$9="","",IF($AG109=0,F108,SUMIFS(Data!$N$10:$N$3209,Data!$M$10:$M$3209,"&gt;="&amp;$A109,Data!$M$10:$M$3209,"&lt;"&amp;$A109+1)/$AG109)))</f>
        <v/>
      </c>
      <c r="G109" s="56">
        <f>IF($B109=0,"",IF(Inputs!$B$10="","",IF($AH109=0,G108,SUMIFS(Data!$R$10:$R$3209,Data!$Q$10:$Q$3209,"&gt;="&amp;$A109,Data!$Q$10:$Q$3209,"&lt;"&amp;$A109+1)/$AH109)))</f>
        <v/>
      </c>
      <c r="I109" s="54">
        <f>IF($B109=0,NA(),IF($C109="",NA(),IF(C$8="",NA(),IF(N(C$8)=0,NA(),IF(Inputs!$C$17="Rebased to 100",$C109/C$8*100,$C109)))))</f>
        <v/>
      </c>
      <c r="J109" s="54">
        <f>IF($B109=0,NA(),IF($D109="",NA(),IF(D$8="",NA(),IF(N(D$8)=0,NA(),IF(Inputs!$C$17="Rebased to 100",$D109/D$8*100,$D109)))))</f>
        <v/>
      </c>
      <c r="K109" s="54">
        <f>IF($B109=0,NA(),IF($E109="",NA(),IF(E$8="",NA(),IF(N(E$8)=0,NA(),IF(Inputs!$C$17="Rebased to 100",$E109/E$8*100,$E109)))))</f>
        <v/>
      </c>
      <c r="L109" s="54">
        <f>IF($B109=0,NA(),IF($F109="",NA(),IF(F$8="",NA(),IF(N(F$8)=0,NA(),IF(Inputs!$C$17="Rebased to 100",$F109/F$8*100,$F109)))))</f>
        <v/>
      </c>
      <c r="M109" s="54">
        <f>IF($B109=0,NA(),IF($G109="",NA(),IF(G$8="",NA(),IF(N(G$8)=0,NA(),IF(Inputs!$C$17="Rebased to 100",$G109/G$8*100,$G109)))))</f>
        <v/>
      </c>
      <c r="N109" s="54">
        <f>IF($B109=0,NA(),IF(Inputs!$C$18&lt;&gt;"Yes",NA(),IF(COUNT(I109,J109,K109,L109,M109)=0,NA(),MIN(I109,J109,K109,L109,M109))))</f>
        <v/>
      </c>
      <c r="O109" s="54">
        <f>IF($B109=0,NA(),IF(Inputs!$B$24&lt;&gt;"Yes",NA(),Inputs!$D$24*Inputs!$C$35))</f>
        <v/>
      </c>
      <c r="P109" s="54">
        <f>IF($B109=0,NA(),IF(Inputs!$B$25&lt;&gt;"Yes",NA(),Inputs!$D$25*Inputs!$C$35))</f>
        <v/>
      </c>
      <c r="Q109" s="54">
        <f>IF($B109=0,NA(),IF(Inputs!$B$26&lt;&gt;"Yes",NA(),Inputs!$D$26*Inputs!$C$35))</f>
        <v/>
      </c>
      <c r="R109" s="54">
        <f>IF($B109=0,NA(),IF(Inputs!$B$27&lt;&gt;"Yes",NA(),Inputs!$D$27*Inputs!$C$35))</f>
        <v/>
      </c>
      <c r="S109" s="54">
        <f>IF($B109=0,NA(),IF(Inputs!$B$28&lt;&gt;"Yes",NA(),Inputs!$D$28*Inputs!$C$35))</f>
        <v/>
      </c>
      <c r="T109" s="54">
        <f>IF($B109=0,NA(),IF(Inputs!$B$29&lt;&gt;"Yes",NA(),Inputs!$D$29*Inputs!$C$35))</f>
        <v/>
      </c>
      <c r="AD109">
        <f>IF($B109=0,0,IF(Inputs!$B$6="",0,COUNTIFS(Data!$A$10:$A$3209,"&gt;="&amp;$A109,Data!$A$10:$A$3209,"&lt;"&amp;$A109+1)))</f>
        <v/>
      </c>
      <c r="AE109">
        <f>IF($B109=0,0,IF(Inputs!$B$7="",0,COUNTIFS(Data!$E$10:$E$3209,"&gt;="&amp;$A109,Data!$E$10:$E$3209,"&lt;"&amp;$A109+1)))</f>
        <v/>
      </c>
      <c r="AF109">
        <f>IF($B109=0,0,IF(Inputs!$B$8="",0,COUNTIFS(Data!$I$10:$I$3209,"&gt;="&amp;$A109,Data!$I$10:$I$3209,"&lt;"&amp;$A109+1)))</f>
        <v/>
      </c>
      <c r="AG109">
        <f>IF($B109=0,0,IF(Inputs!$B$9="",0,COUNTIFS(Data!$M$10:$M$3209,"&gt;="&amp;$A109,Data!$M$10:$M$3209,"&lt;"&amp;$A109+1)))</f>
        <v/>
      </c>
      <c r="AH109">
        <f>IF($B109=0,0,IF(Inputs!$B$10="",0,COUNTIFS(Data!$Q$10:$Q$3209,"&gt;="&amp;$A109,Data!$Q$10:$Q$3209,"&lt;"&amp;$A109+1)))</f>
        <v/>
      </c>
    </row>
    <row r="110">
      <c r="A110" s="55">
        <f>MIN(Inputs!$C$15,$A109+IF(WEEKDAY($A109,2)=5,3,1))</f>
        <v/>
      </c>
      <c r="B110">
        <f>IF($A110&gt;$A109,1,0)</f>
        <v/>
      </c>
      <c r="C110" s="56">
        <f>IF($B110=0,"",IF(Inputs!$B$6="","",IF($AD110=0,C109,SUMIFS(Data!$B$10:$B$3209,Data!$A$10:$A$3209,"&gt;="&amp;$A110,Data!$A$10:$A$3209,"&lt;"&amp;$A110+1)/$AD110)))</f>
        <v/>
      </c>
      <c r="D110" s="56">
        <f>IF($B110=0,"",IF(Inputs!$B$7="","",IF($AE110=0,D109,SUMIFS(Data!$F$10:$F$3209,Data!$E$10:$E$3209,"&gt;="&amp;$A110,Data!$E$10:$E$3209,"&lt;"&amp;$A110+1)/$AE110)))</f>
        <v/>
      </c>
      <c r="E110" s="56">
        <f>IF($B110=0,"",IF(Inputs!$B$8="","",IF($AF110=0,E109,SUMIFS(Data!$J$10:$J$3209,Data!$I$10:$I$3209,"&gt;="&amp;$A110,Data!$I$10:$I$3209,"&lt;"&amp;$A110+1)/$AF110)))</f>
        <v/>
      </c>
      <c r="F110" s="56">
        <f>IF($B110=0,"",IF(Inputs!$B$9="","",IF($AG110=0,F109,SUMIFS(Data!$N$10:$N$3209,Data!$M$10:$M$3209,"&gt;="&amp;$A110,Data!$M$10:$M$3209,"&lt;"&amp;$A110+1)/$AG110)))</f>
        <v/>
      </c>
      <c r="G110" s="56">
        <f>IF($B110=0,"",IF(Inputs!$B$10="","",IF($AH110=0,G109,SUMIFS(Data!$R$10:$R$3209,Data!$Q$10:$Q$3209,"&gt;="&amp;$A110,Data!$Q$10:$Q$3209,"&lt;"&amp;$A110+1)/$AH110)))</f>
        <v/>
      </c>
      <c r="I110" s="54">
        <f>IF($B110=0,NA(),IF($C110="",NA(),IF(C$8="",NA(),IF(N(C$8)=0,NA(),IF(Inputs!$C$17="Rebased to 100",$C110/C$8*100,$C110)))))</f>
        <v/>
      </c>
      <c r="J110" s="54">
        <f>IF($B110=0,NA(),IF($D110="",NA(),IF(D$8="",NA(),IF(N(D$8)=0,NA(),IF(Inputs!$C$17="Rebased to 100",$D110/D$8*100,$D110)))))</f>
        <v/>
      </c>
      <c r="K110" s="54">
        <f>IF($B110=0,NA(),IF($E110="",NA(),IF(E$8="",NA(),IF(N(E$8)=0,NA(),IF(Inputs!$C$17="Rebased to 100",$E110/E$8*100,$E110)))))</f>
        <v/>
      </c>
      <c r="L110" s="54">
        <f>IF($B110=0,NA(),IF($F110="",NA(),IF(F$8="",NA(),IF(N(F$8)=0,NA(),IF(Inputs!$C$17="Rebased to 100",$F110/F$8*100,$F110)))))</f>
        <v/>
      </c>
      <c r="M110" s="54">
        <f>IF($B110=0,NA(),IF($G110="",NA(),IF(G$8="",NA(),IF(N(G$8)=0,NA(),IF(Inputs!$C$17="Rebased to 100",$G110/G$8*100,$G110)))))</f>
        <v/>
      </c>
      <c r="N110" s="54">
        <f>IF($B110=0,NA(),IF(Inputs!$C$18&lt;&gt;"Yes",NA(),IF(COUNT(I110,J110,K110,L110,M110)=0,NA(),MIN(I110,J110,K110,L110,M110))))</f>
        <v/>
      </c>
      <c r="O110" s="54">
        <f>IF($B110=0,NA(),IF(Inputs!$B$24&lt;&gt;"Yes",NA(),Inputs!$D$24*Inputs!$C$35))</f>
        <v/>
      </c>
      <c r="P110" s="54">
        <f>IF($B110=0,NA(),IF(Inputs!$B$25&lt;&gt;"Yes",NA(),Inputs!$D$25*Inputs!$C$35))</f>
        <v/>
      </c>
      <c r="Q110" s="54">
        <f>IF($B110=0,NA(),IF(Inputs!$B$26&lt;&gt;"Yes",NA(),Inputs!$D$26*Inputs!$C$35))</f>
        <v/>
      </c>
      <c r="R110" s="54">
        <f>IF($B110=0,NA(),IF(Inputs!$B$27&lt;&gt;"Yes",NA(),Inputs!$D$27*Inputs!$C$35))</f>
        <v/>
      </c>
      <c r="S110" s="54">
        <f>IF($B110=0,NA(),IF(Inputs!$B$28&lt;&gt;"Yes",NA(),Inputs!$D$28*Inputs!$C$35))</f>
        <v/>
      </c>
      <c r="T110" s="54">
        <f>IF($B110=0,NA(),IF(Inputs!$B$29&lt;&gt;"Yes",NA(),Inputs!$D$29*Inputs!$C$35))</f>
        <v/>
      </c>
      <c r="AD110">
        <f>IF($B110=0,0,IF(Inputs!$B$6="",0,COUNTIFS(Data!$A$10:$A$3209,"&gt;="&amp;$A110,Data!$A$10:$A$3209,"&lt;"&amp;$A110+1)))</f>
        <v/>
      </c>
      <c r="AE110">
        <f>IF($B110=0,0,IF(Inputs!$B$7="",0,COUNTIFS(Data!$E$10:$E$3209,"&gt;="&amp;$A110,Data!$E$10:$E$3209,"&lt;"&amp;$A110+1)))</f>
        <v/>
      </c>
      <c r="AF110">
        <f>IF($B110=0,0,IF(Inputs!$B$8="",0,COUNTIFS(Data!$I$10:$I$3209,"&gt;="&amp;$A110,Data!$I$10:$I$3209,"&lt;"&amp;$A110+1)))</f>
        <v/>
      </c>
      <c r="AG110">
        <f>IF($B110=0,0,IF(Inputs!$B$9="",0,COUNTIFS(Data!$M$10:$M$3209,"&gt;="&amp;$A110,Data!$M$10:$M$3209,"&lt;"&amp;$A110+1)))</f>
        <v/>
      </c>
      <c r="AH110">
        <f>IF($B110=0,0,IF(Inputs!$B$10="",0,COUNTIFS(Data!$Q$10:$Q$3209,"&gt;="&amp;$A110,Data!$Q$10:$Q$3209,"&lt;"&amp;$A110+1)))</f>
        <v/>
      </c>
    </row>
    <row r="111">
      <c r="A111" s="55">
        <f>MIN(Inputs!$C$15,$A110+IF(WEEKDAY($A110,2)=5,3,1))</f>
        <v/>
      </c>
      <c r="B111">
        <f>IF($A111&gt;$A110,1,0)</f>
        <v/>
      </c>
      <c r="C111" s="56">
        <f>IF($B111=0,"",IF(Inputs!$B$6="","",IF($AD111=0,C110,SUMIFS(Data!$B$10:$B$3209,Data!$A$10:$A$3209,"&gt;="&amp;$A111,Data!$A$10:$A$3209,"&lt;"&amp;$A111+1)/$AD111)))</f>
        <v/>
      </c>
      <c r="D111" s="56">
        <f>IF($B111=0,"",IF(Inputs!$B$7="","",IF($AE111=0,D110,SUMIFS(Data!$F$10:$F$3209,Data!$E$10:$E$3209,"&gt;="&amp;$A111,Data!$E$10:$E$3209,"&lt;"&amp;$A111+1)/$AE111)))</f>
        <v/>
      </c>
      <c r="E111" s="56">
        <f>IF($B111=0,"",IF(Inputs!$B$8="","",IF($AF111=0,E110,SUMIFS(Data!$J$10:$J$3209,Data!$I$10:$I$3209,"&gt;="&amp;$A111,Data!$I$10:$I$3209,"&lt;"&amp;$A111+1)/$AF111)))</f>
        <v/>
      </c>
      <c r="F111" s="56">
        <f>IF($B111=0,"",IF(Inputs!$B$9="","",IF($AG111=0,F110,SUMIFS(Data!$N$10:$N$3209,Data!$M$10:$M$3209,"&gt;="&amp;$A111,Data!$M$10:$M$3209,"&lt;"&amp;$A111+1)/$AG111)))</f>
        <v/>
      </c>
      <c r="G111" s="56">
        <f>IF($B111=0,"",IF(Inputs!$B$10="","",IF($AH111=0,G110,SUMIFS(Data!$R$10:$R$3209,Data!$Q$10:$Q$3209,"&gt;="&amp;$A111,Data!$Q$10:$Q$3209,"&lt;"&amp;$A111+1)/$AH111)))</f>
        <v/>
      </c>
      <c r="I111" s="54">
        <f>IF($B111=0,NA(),IF($C111="",NA(),IF(C$8="",NA(),IF(N(C$8)=0,NA(),IF(Inputs!$C$17="Rebased to 100",$C111/C$8*100,$C111)))))</f>
        <v/>
      </c>
      <c r="J111" s="54">
        <f>IF($B111=0,NA(),IF($D111="",NA(),IF(D$8="",NA(),IF(N(D$8)=0,NA(),IF(Inputs!$C$17="Rebased to 100",$D111/D$8*100,$D111)))))</f>
        <v/>
      </c>
      <c r="K111" s="54">
        <f>IF($B111=0,NA(),IF($E111="",NA(),IF(E$8="",NA(),IF(N(E$8)=0,NA(),IF(Inputs!$C$17="Rebased to 100",$E111/E$8*100,$E111)))))</f>
        <v/>
      </c>
      <c r="L111" s="54">
        <f>IF($B111=0,NA(),IF($F111="",NA(),IF(F$8="",NA(),IF(N(F$8)=0,NA(),IF(Inputs!$C$17="Rebased to 100",$F111/F$8*100,$F111)))))</f>
        <v/>
      </c>
      <c r="M111" s="54">
        <f>IF($B111=0,NA(),IF($G111="",NA(),IF(G$8="",NA(),IF(N(G$8)=0,NA(),IF(Inputs!$C$17="Rebased to 100",$G111/G$8*100,$G111)))))</f>
        <v/>
      </c>
      <c r="N111" s="54">
        <f>IF($B111=0,NA(),IF(Inputs!$C$18&lt;&gt;"Yes",NA(),IF(COUNT(I111,J111,K111,L111,M111)=0,NA(),MIN(I111,J111,K111,L111,M111))))</f>
        <v/>
      </c>
      <c r="O111" s="54">
        <f>IF($B111=0,NA(),IF(Inputs!$B$24&lt;&gt;"Yes",NA(),Inputs!$D$24*Inputs!$C$35))</f>
        <v/>
      </c>
      <c r="P111" s="54">
        <f>IF($B111=0,NA(),IF(Inputs!$B$25&lt;&gt;"Yes",NA(),Inputs!$D$25*Inputs!$C$35))</f>
        <v/>
      </c>
      <c r="Q111" s="54">
        <f>IF($B111=0,NA(),IF(Inputs!$B$26&lt;&gt;"Yes",NA(),Inputs!$D$26*Inputs!$C$35))</f>
        <v/>
      </c>
      <c r="R111" s="54">
        <f>IF($B111=0,NA(),IF(Inputs!$B$27&lt;&gt;"Yes",NA(),Inputs!$D$27*Inputs!$C$35))</f>
        <v/>
      </c>
      <c r="S111" s="54">
        <f>IF($B111=0,NA(),IF(Inputs!$B$28&lt;&gt;"Yes",NA(),Inputs!$D$28*Inputs!$C$35))</f>
        <v/>
      </c>
      <c r="T111" s="54">
        <f>IF($B111=0,NA(),IF(Inputs!$B$29&lt;&gt;"Yes",NA(),Inputs!$D$29*Inputs!$C$35))</f>
        <v/>
      </c>
      <c r="AD111">
        <f>IF($B111=0,0,IF(Inputs!$B$6="",0,COUNTIFS(Data!$A$10:$A$3209,"&gt;="&amp;$A111,Data!$A$10:$A$3209,"&lt;"&amp;$A111+1)))</f>
        <v/>
      </c>
      <c r="AE111">
        <f>IF($B111=0,0,IF(Inputs!$B$7="",0,COUNTIFS(Data!$E$10:$E$3209,"&gt;="&amp;$A111,Data!$E$10:$E$3209,"&lt;"&amp;$A111+1)))</f>
        <v/>
      </c>
      <c r="AF111">
        <f>IF($B111=0,0,IF(Inputs!$B$8="",0,COUNTIFS(Data!$I$10:$I$3209,"&gt;="&amp;$A111,Data!$I$10:$I$3209,"&lt;"&amp;$A111+1)))</f>
        <v/>
      </c>
      <c r="AG111">
        <f>IF($B111=0,0,IF(Inputs!$B$9="",0,COUNTIFS(Data!$M$10:$M$3209,"&gt;="&amp;$A111,Data!$M$10:$M$3209,"&lt;"&amp;$A111+1)))</f>
        <v/>
      </c>
      <c r="AH111">
        <f>IF($B111=0,0,IF(Inputs!$B$10="",0,COUNTIFS(Data!$Q$10:$Q$3209,"&gt;="&amp;$A111,Data!$Q$10:$Q$3209,"&lt;"&amp;$A111+1)))</f>
        <v/>
      </c>
    </row>
    <row r="112">
      <c r="A112" s="55">
        <f>MIN(Inputs!$C$15,$A111+IF(WEEKDAY($A111,2)=5,3,1))</f>
        <v/>
      </c>
      <c r="B112">
        <f>IF($A112&gt;$A111,1,0)</f>
        <v/>
      </c>
      <c r="C112" s="56">
        <f>IF($B112=0,"",IF(Inputs!$B$6="","",IF($AD112=0,C111,SUMIFS(Data!$B$10:$B$3209,Data!$A$10:$A$3209,"&gt;="&amp;$A112,Data!$A$10:$A$3209,"&lt;"&amp;$A112+1)/$AD112)))</f>
        <v/>
      </c>
      <c r="D112" s="56">
        <f>IF($B112=0,"",IF(Inputs!$B$7="","",IF($AE112=0,D111,SUMIFS(Data!$F$10:$F$3209,Data!$E$10:$E$3209,"&gt;="&amp;$A112,Data!$E$10:$E$3209,"&lt;"&amp;$A112+1)/$AE112)))</f>
        <v/>
      </c>
      <c r="E112" s="56">
        <f>IF($B112=0,"",IF(Inputs!$B$8="","",IF($AF112=0,E111,SUMIFS(Data!$J$10:$J$3209,Data!$I$10:$I$3209,"&gt;="&amp;$A112,Data!$I$10:$I$3209,"&lt;"&amp;$A112+1)/$AF112)))</f>
        <v/>
      </c>
      <c r="F112" s="56">
        <f>IF($B112=0,"",IF(Inputs!$B$9="","",IF($AG112=0,F111,SUMIFS(Data!$N$10:$N$3209,Data!$M$10:$M$3209,"&gt;="&amp;$A112,Data!$M$10:$M$3209,"&lt;"&amp;$A112+1)/$AG112)))</f>
        <v/>
      </c>
      <c r="G112" s="56">
        <f>IF($B112=0,"",IF(Inputs!$B$10="","",IF($AH112=0,G111,SUMIFS(Data!$R$10:$R$3209,Data!$Q$10:$Q$3209,"&gt;="&amp;$A112,Data!$Q$10:$Q$3209,"&lt;"&amp;$A112+1)/$AH112)))</f>
        <v/>
      </c>
      <c r="I112" s="54">
        <f>IF($B112=0,NA(),IF($C112="",NA(),IF(C$8="",NA(),IF(N(C$8)=0,NA(),IF(Inputs!$C$17="Rebased to 100",$C112/C$8*100,$C112)))))</f>
        <v/>
      </c>
      <c r="J112" s="54">
        <f>IF($B112=0,NA(),IF($D112="",NA(),IF(D$8="",NA(),IF(N(D$8)=0,NA(),IF(Inputs!$C$17="Rebased to 100",$D112/D$8*100,$D112)))))</f>
        <v/>
      </c>
      <c r="K112" s="54">
        <f>IF($B112=0,NA(),IF($E112="",NA(),IF(E$8="",NA(),IF(N(E$8)=0,NA(),IF(Inputs!$C$17="Rebased to 100",$E112/E$8*100,$E112)))))</f>
        <v/>
      </c>
      <c r="L112" s="54">
        <f>IF($B112=0,NA(),IF($F112="",NA(),IF(F$8="",NA(),IF(N(F$8)=0,NA(),IF(Inputs!$C$17="Rebased to 100",$F112/F$8*100,$F112)))))</f>
        <v/>
      </c>
      <c r="M112" s="54">
        <f>IF($B112=0,NA(),IF($G112="",NA(),IF(G$8="",NA(),IF(N(G$8)=0,NA(),IF(Inputs!$C$17="Rebased to 100",$G112/G$8*100,$G112)))))</f>
        <v/>
      </c>
      <c r="N112" s="54">
        <f>IF($B112=0,NA(),IF(Inputs!$C$18&lt;&gt;"Yes",NA(),IF(COUNT(I112,J112,K112,L112,M112)=0,NA(),MIN(I112,J112,K112,L112,M112))))</f>
        <v/>
      </c>
      <c r="O112" s="54">
        <f>IF($B112=0,NA(),IF(Inputs!$B$24&lt;&gt;"Yes",NA(),Inputs!$D$24*Inputs!$C$35))</f>
        <v/>
      </c>
      <c r="P112" s="54">
        <f>IF($B112=0,NA(),IF(Inputs!$B$25&lt;&gt;"Yes",NA(),Inputs!$D$25*Inputs!$C$35))</f>
        <v/>
      </c>
      <c r="Q112" s="54">
        <f>IF($B112=0,NA(),IF(Inputs!$B$26&lt;&gt;"Yes",NA(),Inputs!$D$26*Inputs!$C$35))</f>
        <v/>
      </c>
      <c r="R112" s="54">
        <f>IF($B112=0,NA(),IF(Inputs!$B$27&lt;&gt;"Yes",NA(),Inputs!$D$27*Inputs!$C$35))</f>
        <v/>
      </c>
      <c r="S112" s="54">
        <f>IF($B112=0,NA(),IF(Inputs!$B$28&lt;&gt;"Yes",NA(),Inputs!$D$28*Inputs!$C$35))</f>
        <v/>
      </c>
      <c r="T112" s="54">
        <f>IF($B112=0,NA(),IF(Inputs!$B$29&lt;&gt;"Yes",NA(),Inputs!$D$29*Inputs!$C$35))</f>
        <v/>
      </c>
      <c r="AD112">
        <f>IF($B112=0,0,IF(Inputs!$B$6="",0,COUNTIFS(Data!$A$10:$A$3209,"&gt;="&amp;$A112,Data!$A$10:$A$3209,"&lt;"&amp;$A112+1)))</f>
        <v/>
      </c>
      <c r="AE112">
        <f>IF($B112=0,0,IF(Inputs!$B$7="",0,COUNTIFS(Data!$E$10:$E$3209,"&gt;="&amp;$A112,Data!$E$10:$E$3209,"&lt;"&amp;$A112+1)))</f>
        <v/>
      </c>
      <c r="AF112">
        <f>IF($B112=0,0,IF(Inputs!$B$8="",0,COUNTIFS(Data!$I$10:$I$3209,"&gt;="&amp;$A112,Data!$I$10:$I$3209,"&lt;"&amp;$A112+1)))</f>
        <v/>
      </c>
      <c r="AG112">
        <f>IF($B112=0,0,IF(Inputs!$B$9="",0,COUNTIFS(Data!$M$10:$M$3209,"&gt;="&amp;$A112,Data!$M$10:$M$3209,"&lt;"&amp;$A112+1)))</f>
        <v/>
      </c>
      <c r="AH112">
        <f>IF($B112=0,0,IF(Inputs!$B$10="",0,COUNTIFS(Data!$Q$10:$Q$3209,"&gt;="&amp;$A112,Data!$Q$10:$Q$3209,"&lt;"&amp;$A112+1)))</f>
        <v/>
      </c>
    </row>
    <row r="113">
      <c r="A113" s="55">
        <f>MIN(Inputs!$C$15,$A112+IF(WEEKDAY($A112,2)=5,3,1))</f>
        <v/>
      </c>
      <c r="B113">
        <f>IF($A113&gt;$A112,1,0)</f>
        <v/>
      </c>
      <c r="C113" s="56">
        <f>IF($B113=0,"",IF(Inputs!$B$6="","",IF($AD113=0,C112,SUMIFS(Data!$B$10:$B$3209,Data!$A$10:$A$3209,"&gt;="&amp;$A113,Data!$A$10:$A$3209,"&lt;"&amp;$A113+1)/$AD113)))</f>
        <v/>
      </c>
      <c r="D113" s="56">
        <f>IF($B113=0,"",IF(Inputs!$B$7="","",IF($AE113=0,D112,SUMIFS(Data!$F$10:$F$3209,Data!$E$10:$E$3209,"&gt;="&amp;$A113,Data!$E$10:$E$3209,"&lt;"&amp;$A113+1)/$AE113)))</f>
        <v/>
      </c>
      <c r="E113" s="56">
        <f>IF($B113=0,"",IF(Inputs!$B$8="","",IF($AF113=0,E112,SUMIFS(Data!$J$10:$J$3209,Data!$I$10:$I$3209,"&gt;="&amp;$A113,Data!$I$10:$I$3209,"&lt;"&amp;$A113+1)/$AF113)))</f>
        <v/>
      </c>
      <c r="F113" s="56">
        <f>IF($B113=0,"",IF(Inputs!$B$9="","",IF($AG113=0,F112,SUMIFS(Data!$N$10:$N$3209,Data!$M$10:$M$3209,"&gt;="&amp;$A113,Data!$M$10:$M$3209,"&lt;"&amp;$A113+1)/$AG113)))</f>
        <v/>
      </c>
      <c r="G113" s="56">
        <f>IF($B113=0,"",IF(Inputs!$B$10="","",IF($AH113=0,G112,SUMIFS(Data!$R$10:$R$3209,Data!$Q$10:$Q$3209,"&gt;="&amp;$A113,Data!$Q$10:$Q$3209,"&lt;"&amp;$A113+1)/$AH113)))</f>
        <v/>
      </c>
      <c r="I113" s="54">
        <f>IF($B113=0,NA(),IF($C113="",NA(),IF(C$8="",NA(),IF(N(C$8)=0,NA(),IF(Inputs!$C$17="Rebased to 100",$C113/C$8*100,$C113)))))</f>
        <v/>
      </c>
      <c r="J113" s="54">
        <f>IF($B113=0,NA(),IF($D113="",NA(),IF(D$8="",NA(),IF(N(D$8)=0,NA(),IF(Inputs!$C$17="Rebased to 100",$D113/D$8*100,$D113)))))</f>
        <v/>
      </c>
      <c r="K113" s="54">
        <f>IF($B113=0,NA(),IF($E113="",NA(),IF(E$8="",NA(),IF(N(E$8)=0,NA(),IF(Inputs!$C$17="Rebased to 100",$E113/E$8*100,$E113)))))</f>
        <v/>
      </c>
      <c r="L113" s="54">
        <f>IF($B113=0,NA(),IF($F113="",NA(),IF(F$8="",NA(),IF(N(F$8)=0,NA(),IF(Inputs!$C$17="Rebased to 100",$F113/F$8*100,$F113)))))</f>
        <v/>
      </c>
      <c r="M113" s="54">
        <f>IF($B113=0,NA(),IF($G113="",NA(),IF(G$8="",NA(),IF(N(G$8)=0,NA(),IF(Inputs!$C$17="Rebased to 100",$G113/G$8*100,$G113)))))</f>
        <v/>
      </c>
      <c r="N113" s="54">
        <f>IF($B113=0,NA(),IF(Inputs!$C$18&lt;&gt;"Yes",NA(),IF(COUNT(I113,J113,K113,L113,M113)=0,NA(),MIN(I113,J113,K113,L113,M113))))</f>
        <v/>
      </c>
      <c r="O113" s="54">
        <f>IF($B113=0,NA(),IF(Inputs!$B$24&lt;&gt;"Yes",NA(),Inputs!$D$24*Inputs!$C$35))</f>
        <v/>
      </c>
      <c r="P113" s="54">
        <f>IF($B113=0,NA(),IF(Inputs!$B$25&lt;&gt;"Yes",NA(),Inputs!$D$25*Inputs!$C$35))</f>
        <v/>
      </c>
      <c r="Q113" s="54">
        <f>IF($B113=0,NA(),IF(Inputs!$B$26&lt;&gt;"Yes",NA(),Inputs!$D$26*Inputs!$C$35))</f>
        <v/>
      </c>
      <c r="R113" s="54">
        <f>IF($B113=0,NA(),IF(Inputs!$B$27&lt;&gt;"Yes",NA(),Inputs!$D$27*Inputs!$C$35))</f>
        <v/>
      </c>
      <c r="S113" s="54">
        <f>IF($B113=0,NA(),IF(Inputs!$B$28&lt;&gt;"Yes",NA(),Inputs!$D$28*Inputs!$C$35))</f>
        <v/>
      </c>
      <c r="T113" s="54">
        <f>IF($B113=0,NA(),IF(Inputs!$B$29&lt;&gt;"Yes",NA(),Inputs!$D$29*Inputs!$C$35))</f>
        <v/>
      </c>
      <c r="AD113">
        <f>IF($B113=0,0,IF(Inputs!$B$6="",0,COUNTIFS(Data!$A$10:$A$3209,"&gt;="&amp;$A113,Data!$A$10:$A$3209,"&lt;"&amp;$A113+1)))</f>
        <v/>
      </c>
      <c r="AE113">
        <f>IF($B113=0,0,IF(Inputs!$B$7="",0,COUNTIFS(Data!$E$10:$E$3209,"&gt;="&amp;$A113,Data!$E$10:$E$3209,"&lt;"&amp;$A113+1)))</f>
        <v/>
      </c>
      <c r="AF113">
        <f>IF($B113=0,0,IF(Inputs!$B$8="",0,COUNTIFS(Data!$I$10:$I$3209,"&gt;="&amp;$A113,Data!$I$10:$I$3209,"&lt;"&amp;$A113+1)))</f>
        <v/>
      </c>
      <c r="AG113">
        <f>IF($B113=0,0,IF(Inputs!$B$9="",0,COUNTIFS(Data!$M$10:$M$3209,"&gt;="&amp;$A113,Data!$M$10:$M$3209,"&lt;"&amp;$A113+1)))</f>
        <v/>
      </c>
      <c r="AH113">
        <f>IF($B113=0,0,IF(Inputs!$B$10="",0,COUNTIFS(Data!$Q$10:$Q$3209,"&gt;="&amp;$A113,Data!$Q$10:$Q$3209,"&lt;"&amp;$A113+1)))</f>
        <v/>
      </c>
    </row>
    <row r="114">
      <c r="A114" s="55">
        <f>MIN(Inputs!$C$15,$A113+IF(WEEKDAY($A113,2)=5,3,1))</f>
        <v/>
      </c>
      <c r="B114">
        <f>IF($A114&gt;$A113,1,0)</f>
        <v/>
      </c>
      <c r="C114" s="56">
        <f>IF($B114=0,"",IF(Inputs!$B$6="","",IF($AD114=0,C113,SUMIFS(Data!$B$10:$B$3209,Data!$A$10:$A$3209,"&gt;="&amp;$A114,Data!$A$10:$A$3209,"&lt;"&amp;$A114+1)/$AD114)))</f>
        <v/>
      </c>
      <c r="D114" s="56">
        <f>IF($B114=0,"",IF(Inputs!$B$7="","",IF($AE114=0,D113,SUMIFS(Data!$F$10:$F$3209,Data!$E$10:$E$3209,"&gt;="&amp;$A114,Data!$E$10:$E$3209,"&lt;"&amp;$A114+1)/$AE114)))</f>
        <v/>
      </c>
      <c r="E114" s="56">
        <f>IF($B114=0,"",IF(Inputs!$B$8="","",IF($AF114=0,E113,SUMIFS(Data!$J$10:$J$3209,Data!$I$10:$I$3209,"&gt;="&amp;$A114,Data!$I$10:$I$3209,"&lt;"&amp;$A114+1)/$AF114)))</f>
        <v/>
      </c>
      <c r="F114" s="56">
        <f>IF($B114=0,"",IF(Inputs!$B$9="","",IF($AG114=0,F113,SUMIFS(Data!$N$10:$N$3209,Data!$M$10:$M$3209,"&gt;="&amp;$A114,Data!$M$10:$M$3209,"&lt;"&amp;$A114+1)/$AG114)))</f>
        <v/>
      </c>
      <c r="G114" s="56">
        <f>IF($B114=0,"",IF(Inputs!$B$10="","",IF($AH114=0,G113,SUMIFS(Data!$R$10:$R$3209,Data!$Q$10:$Q$3209,"&gt;="&amp;$A114,Data!$Q$10:$Q$3209,"&lt;"&amp;$A114+1)/$AH114)))</f>
        <v/>
      </c>
      <c r="I114" s="54">
        <f>IF($B114=0,NA(),IF($C114="",NA(),IF(C$8="",NA(),IF(N(C$8)=0,NA(),IF(Inputs!$C$17="Rebased to 100",$C114/C$8*100,$C114)))))</f>
        <v/>
      </c>
      <c r="J114" s="54">
        <f>IF($B114=0,NA(),IF($D114="",NA(),IF(D$8="",NA(),IF(N(D$8)=0,NA(),IF(Inputs!$C$17="Rebased to 100",$D114/D$8*100,$D114)))))</f>
        <v/>
      </c>
      <c r="K114" s="54">
        <f>IF($B114=0,NA(),IF($E114="",NA(),IF(E$8="",NA(),IF(N(E$8)=0,NA(),IF(Inputs!$C$17="Rebased to 100",$E114/E$8*100,$E114)))))</f>
        <v/>
      </c>
      <c r="L114" s="54">
        <f>IF($B114=0,NA(),IF($F114="",NA(),IF(F$8="",NA(),IF(N(F$8)=0,NA(),IF(Inputs!$C$17="Rebased to 100",$F114/F$8*100,$F114)))))</f>
        <v/>
      </c>
      <c r="M114" s="54">
        <f>IF($B114=0,NA(),IF($G114="",NA(),IF(G$8="",NA(),IF(N(G$8)=0,NA(),IF(Inputs!$C$17="Rebased to 100",$G114/G$8*100,$G114)))))</f>
        <v/>
      </c>
      <c r="N114" s="54">
        <f>IF($B114=0,NA(),IF(Inputs!$C$18&lt;&gt;"Yes",NA(),IF(COUNT(I114,J114,K114,L114,M114)=0,NA(),MIN(I114,J114,K114,L114,M114))))</f>
        <v/>
      </c>
      <c r="O114" s="54">
        <f>IF($B114=0,NA(),IF(Inputs!$B$24&lt;&gt;"Yes",NA(),Inputs!$D$24*Inputs!$C$35))</f>
        <v/>
      </c>
      <c r="P114" s="54">
        <f>IF($B114=0,NA(),IF(Inputs!$B$25&lt;&gt;"Yes",NA(),Inputs!$D$25*Inputs!$C$35))</f>
        <v/>
      </c>
      <c r="Q114" s="54">
        <f>IF($B114=0,NA(),IF(Inputs!$B$26&lt;&gt;"Yes",NA(),Inputs!$D$26*Inputs!$C$35))</f>
        <v/>
      </c>
      <c r="R114" s="54">
        <f>IF($B114=0,NA(),IF(Inputs!$B$27&lt;&gt;"Yes",NA(),Inputs!$D$27*Inputs!$C$35))</f>
        <v/>
      </c>
      <c r="S114" s="54">
        <f>IF($B114=0,NA(),IF(Inputs!$B$28&lt;&gt;"Yes",NA(),Inputs!$D$28*Inputs!$C$35))</f>
        <v/>
      </c>
      <c r="T114" s="54">
        <f>IF($B114=0,NA(),IF(Inputs!$B$29&lt;&gt;"Yes",NA(),Inputs!$D$29*Inputs!$C$35))</f>
        <v/>
      </c>
      <c r="AD114">
        <f>IF($B114=0,0,IF(Inputs!$B$6="",0,COUNTIFS(Data!$A$10:$A$3209,"&gt;="&amp;$A114,Data!$A$10:$A$3209,"&lt;"&amp;$A114+1)))</f>
        <v/>
      </c>
      <c r="AE114">
        <f>IF($B114=0,0,IF(Inputs!$B$7="",0,COUNTIFS(Data!$E$10:$E$3209,"&gt;="&amp;$A114,Data!$E$10:$E$3209,"&lt;"&amp;$A114+1)))</f>
        <v/>
      </c>
      <c r="AF114">
        <f>IF($B114=0,0,IF(Inputs!$B$8="",0,COUNTIFS(Data!$I$10:$I$3209,"&gt;="&amp;$A114,Data!$I$10:$I$3209,"&lt;"&amp;$A114+1)))</f>
        <v/>
      </c>
      <c r="AG114">
        <f>IF($B114=0,0,IF(Inputs!$B$9="",0,COUNTIFS(Data!$M$10:$M$3209,"&gt;="&amp;$A114,Data!$M$10:$M$3209,"&lt;"&amp;$A114+1)))</f>
        <v/>
      </c>
      <c r="AH114">
        <f>IF($B114=0,0,IF(Inputs!$B$10="",0,COUNTIFS(Data!$Q$10:$Q$3209,"&gt;="&amp;$A114,Data!$Q$10:$Q$3209,"&lt;"&amp;$A114+1)))</f>
        <v/>
      </c>
    </row>
    <row r="115">
      <c r="A115" s="55">
        <f>MIN(Inputs!$C$15,$A114+IF(WEEKDAY($A114,2)=5,3,1))</f>
        <v/>
      </c>
      <c r="B115">
        <f>IF($A115&gt;$A114,1,0)</f>
        <v/>
      </c>
      <c r="C115" s="56">
        <f>IF($B115=0,"",IF(Inputs!$B$6="","",IF($AD115=0,C114,SUMIFS(Data!$B$10:$B$3209,Data!$A$10:$A$3209,"&gt;="&amp;$A115,Data!$A$10:$A$3209,"&lt;"&amp;$A115+1)/$AD115)))</f>
        <v/>
      </c>
      <c r="D115" s="56">
        <f>IF($B115=0,"",IF(Inputs!$B$7="","",IF($AE115=0,D114,SUMIFS(Data!$F$10:$F$3209,Data!$E$10:$E$3209,"&gt;="&amp;$A115,Data!$E$10:$E$3209,"&lt;"&amp;$A115+1)/$AE115)))</f>
        <v/>
      </c>
      <c r="E115" s="56">
        <f>IF($B115=0,"",IF(Inputs!$B$8="","",IF($AF115=0,E114,SUMIFS(Data!$J$10:$J$3209,Data!$I$10:$I$3209,"&gt;="&amp;$A115,Data!$I$10:$I$3209,"&lt;"&amp;$A115+1)/$AF115)))</f>
        <v/>
      </c>
      <c r="F115" s="56">
        <f>IF($B115=0,"",IF(Inputs!$B$9="","",IF($AG115=0,F114,SUMIFS(Data!$N$10:$N$3209,Data!$M$10:$M$3209,"&gt;="&amp;$A115,Data!$M$10:$M$3209,"&lt;"&amp;$A115+1)/$AG115)))</f>
        <v/>
      </c>
      <c r="G115" s="56">
        <f>IF($B115=0,"",IF(Inputs!$B$10="","",IF($AH115=0,G114,SUMIFS(Data!$R$10:$R$3209,Data!$Q$10:$Q$3209,"&gt;="&amp;$A115,Data!$Q$10:$Q$3209,"&lt;"&amp;$A115+1)/$AH115)))</f>
        <v/>
      </c>
      <c r="I115" s="54">
        <f>IF($B115=0,NA(),IF($C115="",NA(),IF(C$8="",NA(),IF(N(C$8)=0,NA(),IF(Inputs!$C$17="Rebased to 100",$C115/C$8*100,$C115)))))</f>
        <v/>
      </c>
      <c r="J115" s="54">
        <f>IF($B115=0,NA(),IF($D115="",NA(),IF(D$8="",NA(),IF(N(D$8)=0,NA(),IF(Inputs!$C$17="Rebased to 100",$D115/D$8*100,$D115)))))</f>
        <v/>
      </c>
      <c r="K115" s="54">
        <f>IF($B115=0,NA(),IF($E115="",NA(),IF(E$8="",NA(),IF(N(E$8)=0,NA(),IF(Inputs!$C$17="Rebased to 100",$E115/E$8*100,$E115)))))</f>
        <v/>
      </c>
      <c r="L115" s="54">
        <f>IF($B115=0,NA(),IF($F115="",NA(),IF(F$8="",NA(),IF(N(F$8)=0,NA(),IF(Inputs!$C$17="Rebased to 100",$F115/F$8*100,$F115)))))</f>
        <v/>
      </c>
      <c r="M115" s="54">
        <f>IF($B115=0,NA(),IF($G115="",NA(),IF(G$8="",NA(),IF(N(G$8)=0,NA(),IF(Inputs!$C$17="Rebased to 100",$G115/G$8*100,$G115)))))</f>
        <v/>
      </c>
      <c r="N115" s="54">
        <f>IF($B115=0,NA(),IF(Inputs!$C$18&lt;&gt;"Yes",NA(),IF(COUNT(I115,J115,K115,L115,M115)=0,NA(),MIN(I115,J115,K115,L115,M115))))</f>
        <v/>
      </c>
      <c r="O115" s="54">
        <f>IF($B115=0,NA(),IF(Inputs!$B$24&lt;&gt;"Yes",NA(),Inputs!$D$24*Inputs!$C$35))</f>
        <v/>
      </c>
      <c r="P115" s="54">
        <f>IF($B115=0,NA(),IF(Inputs!$B$25&lt;&gt;"Yes",NA(),Inputs!$D$25*Inputs!$C$35))</f>
        <v/>
      </c>
      <c r="Q115" s="54">
        <f>IF($B115=0,NA(),IF(Inputs!$B$26&lt;&gt;"Yes",NA(),Inputs!$D$26*Inputs!$C$35))</f>
        <v/>
      </c>
      <c r="R115" s="54">
        <f>IF($B115=0,NA(),IF(Inputs!$B$27&lt;&gt;"Yes",NA(),Inputs!$D$27*Inputs!$C$35))</f>
        <v/>
      </c>
      <c r="S115" s="54">
        <f>IF($B115=0,NA(),IF(Inputs!$B$28&lt;&gt;"Yes",NA(),Inputs!$D$28*Inputs!$C$35))</f>
        <v/>
      </c>
      <c r="T115" s="54">
        <f>IF($B115=0,NA(),IF(Inputs!$B$29&lt;&gt;"Yes",NA(),Inputs!$D$29*Inputs!$C$35))</f>
        <v/>
      </c>
      <c r="AD115">
        <f>IF($B115=0,0,IF(Inputs!$B$6="",0,COUNTIFS(Data!$A$10:$A$3209,"&gt;="&amp;$A115,Data!$A$10:$A$3209,"&lt;"&amp;$A115+1)))</f>
        <v/>
      </c>
      <c r="AE115">
        <f>IF($B115=0,0,IF(Inputs!$B$7="",0,COUNTIFS(Data!$E$10:$E$3209,"&gt;="&amp;$A115,Data!$E$10:$E$3209,"&lt;"&amp;$A115+1)))</f>
        <v/>
      </c>
      <c r="AF115">
        <f>IF($B115=0,0,IF(Inputs!$B$8="",0,COUNTIFS(Data!$I$10:$I$3209,"&gt;="&amp;$A115,Data!$I$10:$I$3209,"&lt;"&amp;$A115+1)))</f>
        <v/>
      </c>
      <c r="AG115">
        <f>IF($B115=0,0,IF(Inputs!$B$9="",0,COUNTIFS(Data!$M$10:$M$3209,"&gt;="&amp;$A115,Data!$M$10:$M$3209,"&lt;"&amp;$A115+1)))</f>
        <v/>
      </c>
      <c r="AH115">
        <f>IF($B115=0,0,IF(Inputs!$B$10="",0,COUNTIFS(Data!$Q$10:$Q$3209,"&gt;="&amp;$A115,Data!$Q$10:$Q$3209,"&lt;"&amp;$A115+1)))</f>
        <v/>
      </c>
    </row>
    <row r="116">
      <c r="A116" s="55">
        <f>MIN(Inputs!$C$15,$A115+IF(WEEKDAY($A115,2)=5,3,1))</f>
        <v/>
      </c>
      <c r="B116">
        <f>IF($A116&gt;$A115,1,0)</f>
        <v/>
      </c>
      <c r="C116" s="56">
        <f>IF($B116=0,"",IF(Inputs!$B$6="","",IF($AD116=0,C115,SUMIFS(Data!$B$10:$B$3209,Data!$A$10:$A$3209,"&gt;="&amp;$A116,Data!$A$10:$A$3209,"&lt;"&amp;$A116+1)/$AD116)))</f>
        <v/>
      </c>
      <c r="D116" s="56">
        <f>IF($B116=0,"",IF(Inputs!$B$7="","",IF($AE116=0,D115,SUMIFS(Data!$F$10:$F$3209,Data!$E$10:$E$3209,"&gt;="&amp;$A116,Data!$E$10:$E$3209,"&lt;"&amp;$A116+1)/$AE116)))</f>
        <v/>
      </c>
      <c r="E116" s="56">
        <f>IF($B116=0,"",IF(Inputs!$B$8="","",IF($AF116=0,E115,SUMIFS(Data!$J$10:$J$3209,Data!$I$10:$I$3209,"&gt;="&amp;$A116,Data!$I$10:$I$3209,"&lt;"&amp;$A116+1)/$AF116)))</f>
        <v/>
      </c>
      <c r="F116" s="56">
        <f>IF($B116=0,"",IF(Inputs!$B$9="","",IF($AG116=0,F115,SUMIFS(Data!$N$10:$N$3209,Data!$M$10:$M$3209,"&gt;="&amp;$A116,Data!$M$10:$M$3209,"&lt;"&amp;$A116+1)/$AG116)))</f>
        <v/>
      </c>
      <c r="G116" s="56">
        <f>IF($B116=0,"",IF(Inputs!$B$10="","",IF($AH116=0,G115,SUMIFS(Data!$R$10:$R$3209,Data!$Q$10:$Q$3209,"&gt;="&amp;$A116,Data!$Q$10:$Q$3209,"&lt;"&amp;$A116+1)/$AH116)))</f>
        <v/>
      </c>
      <c r="I116" s="54">
        <f>IF($B116=0,NA(),IF($C116="",NA(),IF(C$8="",NA(),IF(N(C$8)=0,NA(),IF(Inputs!$C$17="Rebased to 100",$C116/C$8*100,$C116)))))</f>
        <v/>
      </c>
      <c r="J116" s="54">
        <f>IF($B116=0,NA(),IF($D116="",NA(),IF(D$8="",NA(),IF(N(D$8)=0,NA(),IF(Inputs!$C$17="Rebased to 100",$D116/D$8*100,$D116)))))</f>
        <v/>
      </c>
      <c r="K116" s="54">
        <f>IF($B116=0,NA(),IF($E116="",NA(),IF(E$8="",NA(),IF(N(E$8)=0,NA(),IF(Inputs!$C$17="Rebased to 100",$E116/E$8*100,$E116)))))</f>
        <v/>
      </c>
      <c r="L116" s="54">
        <f>IF($B116=0,NA(),IF($F116="",NA(),IF(F$8="",NA(),IF(N(F$8)=0,NA(),IF(Inputs!$C$17="Rebased to 100",$F116/F$8*100,$F116)))))</f>
        <v/>
      </c>
      <c r="M116" s="54">
        <f>IF($B116=0,NA(),IF($G116="",NA(),IF(G$8="",NA(),IF(N(G$8)=0,NA(),IF(Inputs!$C$17="Rebased to 100",$G116/G$8*100,$G116)))))</f>
        <v/>
      </c>
      <c r="N116" s="54">
        <f>IF($B116=0,NA(),IF(Inputs!$C$18&lt;&gt;"Yes",NA(),IF(COUNT(I116,J116,K116,L116,M116)=0,NA(),MIN(I116,J116,K116,L116,M116))))</f>
        <v/>
      </c>
      <c r="O116" s="54">
        <f>IF($B116=0,NA(),IF(Inputs!$B$24&lt;&gt;"Yes",NA(),Inputs!$D$24*Inputs!$C$35))</f>
        <v/>
      </c>
      <c r="P116" s="54">
        <f>IF($B116=0,NA(),IF(Inputs!$B$25&lt;&gt;"Yes",NA(),Inputs!$D$25*Inputs!$C$35))</f>
        <v/>
      </c>
      <c r="Q116" s="54">
        <f>IF($B116=0,NA(),IF(Inputs!$B$26&lt;&gt;"Yes",NA(),Inputs!$D$26*Inputs!$C$35))</f>
        <v/>
      </c>
      <c r="R116" s="54">
        <f>IF($B116=0,NA(),IF(Inputs!$B$27&lt;&gt;"Yes",NA(),Inputs!$D$27*Inputs!$C$35))</f>
        <v/>
      </c>
      <c r="S116" s="54">
        <f>IF($B116=0,NA(),IF(Inputs!$B$28&lt;&gt;"Yes",NA(),Inputs!$D$28*Inputs!$C$35))</f>
        <v/>
      </c>
      <c r="T116" s="54">
        <f>IF($B116=0,NA(),IF(Inputs!$B$29&lt;&gt;"Yes",NA(),Inputs!$D$29*Inputs!$C$35))</f>
        <v/>
      </c>
      <c r="AD116">
        <f>IF($B116=0,0,IF(Inputs!$B$6="",0,COUNTIFS(Data!$A$10:$A$3209,"&gt;="&amp;$A116,Data!$A$10:$A$3209,"&lt;"&amp;$A116+1)))</f>
        <v/>
      </c>
      <c r="AE116">
        <f>IF($B116=0,0,IF(Inputs!$B$7="",0,COUNTIFS(Data!$E$10:$E$3209,"&gt;="&amp;$A116,Data!$E$10:$E$3209,"&lt;"&amp;$A116+1)))</f>
        <v/>
      </c>
      <c r="AF116">
        <f>IF($B116=0,0,IF(Inputs!$B$8="",0,COUNTIFS(Data!$I$10:$I$3209,"&gt;="&amp;$A116,Data!$I$10:$I$3209,"&lt;"&amp;$A116+1)))</f>
        <v/>
      </c>
      <c r="AG116">
        <f>IF($B116=0,0,IF(Inputs!$B$9="",0,COUNTIFS(Data!$M$10:$M$3209,"&gt;="&amp;$A116,Data!$M$10:$M$3209,"&lt;"&amp;$A116+1)))</f>
        <v/>
      </c>
      <c r="AH116">
        <f>IF($B116=0,0,IF(Inputs!$B$10="",0,COUNTIFS(Data!$Q$10:$Q$3209,"&gt;="&amp;$A116,Data!$Q$10:$Q$3209,"&lt;"&amp;$A116+1)))</f>
        <v/>
      </c>
    </row>
    <row r="117">
      <c r="A117" s="55">
        <f>MIN(Inputs!$C$15,$A116+IF(WEEKDAY($A116,2)=5,3,1))</f>
        <v/>
      </c>
      <c r="B117">
        <f>IF($A117&gt;$A116,1,0)</f>
        <v/>
      </c>
      <c r="C117" s="56">
        <f>IF($B117=0,"",IF(Inputs!$B$6="","",IF($AD117=0,C116,SUMIFS(Data!$B$10:$B$3209,Data!$A$10:$A$3209,"&gt;="&amp;$A117,Data!$A$10:$A$3209,"&lt;"&amp;$A117+1)/$AD117)))</f>
        <v/>
      </c>
      <c r="D117" s="56">
        <f>IF($B117=0,"",IF(Inputs!$B$7="","",IF($AE117=0,D116,SUMIFS(Data!$F$10:$F$3209,Data!$E$10:$E$3209,"&gt;="&amp;$A117,Data!$E$10:$E$3209,"&lt;"&amp;$A117+1)/$AE117)))</f>
        <v/>
      </c>
      <c r="E117" s="56">
        <f>IF($B117=0,"",IF(Inputs!$B$8="","",IF($AF117=0,E116,SUMIFS(Data!$J$10:$J$3209,Data!$I$10:$I$3209,"&gt;="&amp;$A117,Data!$I$10:$I$3209,"&lt;"&amp;$A117+1)/$AF117)))</f>
        <v/>
      </c>
      <c r="F117" s="56">
        <f>IF($B117=0,"",IF(Inputs!$B$9="","",IF($AG117=0,F116,SUMIFS(Data!$N$10:$N$3209,Data!$M$10:$M$3209,"&gt;="&amp;$A117,Data!$M$10:$M$3209,"&lt;"&amp;$A117+1)/$AG117)))</f>
        <v/>
      </c>
      <c r="G117" s="56">
        <f>IF($B117=0,"",IF(Inputs!$B$10="","",IF($AH117=0,G116,SUMIFS(Data!$R$10:$R$3209,Data!$Q$10:$Q$3209,"&gt;="&amp;$A117,Data!$Q$10:$Q$3209,"&lt;"&amp;$A117+1)/$AH117)))</f>
        <v/>
      </c>
      <c r="I117" s="54">
        <f>IF($B117=0,NA(),IF($C117="",NA(),IF(C$8="",NA(),IF(N(C$8)=0,NA(),IF(Inputs!$C$17="Rebased to 100",$C117/C$8*100,$C117)))))</f>
        <v/>
      </c>
      <c r="J117" s="54">
        <f>IF($B117=0,NA(),IF($D117="",NA(),IF(D$8="",NA(),IF(N(D$8)=0,NA(),IF(Inputs!$C$17="Rebased to 100",$D117/D$8*100,$D117)))))</f>
        <v/>
      </c>
      <c r="K117" s="54">
        <f>IF($B117=0,NA(),IF($E117="",NA(),IF(E$8="",NA(),IF(N(E$8)=0,NA(),IF(Inputs!$C$17="Rebased to 100",$E117/E$8*100,$E117)))))</f>
        <v/>
      </c>
      <c r="L117" s="54">
        <f>IF($B117=0,NA(),IF($F117="",NA(),IF(F$8="",NA(),IF(N(F$8)=0,NA(),IF(Inputs!$C$17="Rebased to 100",$F117/F$8*100,$F117)))))</f>
        <v/>
      </c>
      <c r="M117" s="54">
        <f>IF($B117=0,NA(),IF($G117="",NA(),IF(G$8="",NA(),IF(N(G$8)=0,NA(),IF(Inputs!$C$17="Rebased to 100",$G117/G$8*100,$G117)))))</f>
        <v/>
      </c>
      <c r="N117" s="54">
        <f>IF($B117=0,NA(),IF(Inputs!$C$18&lt;&gt;"Yes",NA(),IF(COUNT(I117,J117,K117,L117,M117)=0,NA(),MIN(I117,J117,K117,L117,M117))))</f>
        <v/>
      </c>
      <c r="O117" s="54">
        <f>IF($B117=0,NA(),IF(Inputs!$B$24&lt;&gt;"Yes",NA(),Inputs!$D$24*Inputs!$C$35))</f>
        <v/>
      </c>
      <c r="P117" s="54">
        <f>IF($B117=0,NA(),IF(Inputs!$B$25&lt;&gt;"Yes",NA(),Inputs!$D$25*Inputs!$C$35))</f>
        <v/>
      </c>
      <c r="Q117" s="54">
        <f>IF($B117=0,NA(),IF(Inputs!$B$26&lt;&gt;"Yes",NA(),Inputs!$D$26*Inputs!$C$35))</f>
        <v/>
      </c>
      <c r="R117" s="54">
        <f>IF($B117=0,NA(),IF(Inputs!$B$27&lt;&gt;"Yes",NA(),Inputs!$D$27*Inputs!$C$35))</f>
        <v/>
      </c>
      <c r="S117" s="54">
        <f>IF($B117=0,NA(),IF(Inputs!$B$28&lt;&gt;"Yes",NA(),Inputs!$D$28*Inputs!$C$35))</f>
        <v/>
      </c>
      <c r="T117" s="54">
        <f>IF($B117=0,NA(),IF(Inputs!$B$29&lt;&gt;"Yes",NA(),Inputs!$D$29*Inputs!$C$35))</f>
        <v/>
      </c>
      <c r="AD117">
        <f>IF($B117=0,0,IF(Inputs!$B$6="",0,COUNTIFS(Data!$A$10:$A$3209,"&gt;="&amp;$A117,Data!$A$10:$A$3209,"&lt;"&amp;$A117+1)))</f>
        <v/>
      </c>
      <c r="AE117">
        <f>IF($B117=0,0,IF(Inputs!$B$7="",0,COUNTIFS(Data!$E$10:$E$3209,"&gt;="&amp;$A117,Data!$E$10:$E$3209,"&lt;"&amp;$A117+1)))</f>
        <v/>
      </c>
      <c r="AF117">
        <f>IF($B117=0,0,IF(Inputs!$B$8="",0,COUNTIFS(Data!$I$10:$I$3209,"&gt;="&amp;$A117,Data!$I$10:$I$3209,"&lt;"&amp;$A117+1)))</f>
        <v/>
      </c>
      <c r="AG117">
        <f>IF($B117=0,0,IF(Inputs!$B$9="",0,COUNTIFS(Data!$M$10:$M$3209,"&gt;="&amp;$A117,Data!$M$10:$M$3209,"&lt;"&amp;$A117+1)))</f>
        <v/>
      </c>
      <c r="AH117">
        <f>IF($B117=0,0,IF(Inputs!$B$10="",0,COUNTIFS(Data!$Q$10:$Q$3209,"&gt;="&amp;$A117,Data!$Q$10:$Q$3209,"&lt;"&amp;$A117+1)))</f>
        <v/>
      </c>
    </row>
    <row r="118">
      <c r="A118" s="55">
        <f>MIN(Inputs!$C$15,$A117+IF(WEEKDAY($A117,2)=5,3,1))</f>
        <v/>
      </c>
      <c r="B118">
        <f>IF($A118&gt;$A117,1,0)</f>
        <v/>
      </c>
      <c r="C118" s="56">
        <f>IF($B118=0,"",IF(Inputs!$B$6="","",IF($AD118=0,C117,SUMIFS(Data!$B$10:$B$3209,Data!$A$10:$A$3209,"&gt;="&amp;$A118,Data!$A$10:$A$3209,"&lt;"&amp;$A118+1)/$AD118)))</f>
        <v/>
      </c>
      <c r="D118" s="56">
        <f>IF($B118=0,"",IF(Inputs!$B$7="","",IF($AE118=0,D117,SUMIFS(Data!$F$10:$F$3209,Data!$E$10:$E$3209,"&gt;="&amp;$A118,Data!$E$10:$E$3209,"&lt;"&amp;$A118+1)/$AE118)))</f>
        <v/>
      </c>
      <c r="E118" s="56">
        <f>IF($B118=0,"",IF(Inputs!$B$8="","",IF($AF118=0,E117,SUMIFS(Data!$J$10:$J$3209,Data!$I$10:$I$3209,"&gt;="&amp;$A118,Data!$I$10:$I$3209,"&lt;"&amp;$A118+1)/$AF118)))</f>
        <v/>
      </c>
      <c r="F118" s="56">
        <f>IF($B118=0,"",IF(Inputs!$B$9="","",IF($AG118=0,F117,SUMIFS(Data!$N$10:$N$3209,Data!$M$10:$M$3209,"&gt;="&amp;$A118,Data!$M$10:$M$3209,"&lt;"&amp;$A118+1)/$AG118)))</f>
        <v/>
      </c>
      <c r="G118" s="56">
        <f>IF($B118=0,"",IF(Inputs!$B$10="","",IF($AH118=0,G117,SUMIFS(Data!$R$10:$R$3209,Data!$Q$10:$Q$3209,"&gt;="&amp;$A118,Data!$Q$10:$Q$3209,"&lt;"&amp;$A118+1)/$AH118)))</f>
        <v/>
      </c>
      <c r="I118" s="54">
        <f>IF($B118=0,NA(),IF($C118="",NA(),IF(C$8="",NA(),IF(N(C$8)=0,NA(),IF(Inputs!$C$17="Rebased to 100",$C118/C$8*100,$C118)))))</f>
        <v/>
      </c>
      <c r="J118" s="54">
        <f>IF($B118=0,NA(),IF($D118="",NA(),IF(D$8="",NA(),IF(N(D$8)=0,NA(),IF(Inputs!$C$17="Rebased to 100",$D118/D$8*100,$D118)))))</f>
        <v/>
      </c>
      <c r="K118" s="54">
        <f>IF($B118=0,NA(),IF($E118="",NA(),IF(E$8="",NA(),IF(N(E$8)=0,NA(),IF(Inputs!$C$17="Rebased to 100",$E118/E$8*100,$E118)))))</f>
        <v/>
      </c>
      <c r="L118" s="54">
        <f>IF($B118=0,NA(),IF($F118="",NA(),IF(F$8="",NA(),IF(N(F$8)=0,NA(),IF(Inputs!$C$17="Rebased to 100",$F118/F$8*100,$F118)))))</f>
        <v/>
      </c>
      <c r="M118" s="54">
        <f>IF($B118=0,NA(),IF($G118="",NA(),IF(G$8="",NA(),IF(N(G$8)=0,NA(),IF(Inputs!$C$17="Rebased to 100",$G118/G$8*100,$G118)))))</f>
        <v/>
      </c>
      <c r="N118" s="54">
        <f>IF($B118=0,NA(),IF(Inputs!$C$18&lt;&gt;"Yes",NA(),IF(COUNT(I118,J118,K118,L118,M118)=0,NA(),MIN(I118,J118,K118,L118,M118))))</f>
        <v/>
      </c>
      <c r="O118" s="54">
        <f>IF($B118=0,NA(),IF(Inputs!$B$24&lt;&gt;"Yes",NA(),Inputs!$D$24*Inputs!$C$35))</f>
        <v/>
      </c>
      <c r="P118" s="54">
        <f>IF($B118=0,NA(),IF(Inputs!$B$25&lt;&gt;"Yes",NA(),Inputs!$D$25*Inputs!$C$35))</f>
        <v/>
      </c>
      <c r="Q118" s="54">
        <f>IF($B118=0,NA(),IF(Inputs!$B$26&lt;&gt;"Yes",NA(),Inputs!$D$26*Inputs!$C$35))</f>
        <v/>
      </c>
      <c r="R118" s="54">
        <f>IF($B118=0,NA(),IF(Inputs!$B$27&lt;&gt;"Yes",NA(),Inputs!$D$27*Inputs!$C$35))</f>
        <v/>
      </c>
      <c r="S118" s="54">
        <f>IF($B118=0,NA(),IF(Inputs!$B$28&lt;&gt;"Yes",NA(),Inputs!$D$28*Inputs!$C$35))</f>
        <v/>
      </c>
      <c r="T118" s="54">
        <f>IF($B118=0,NA(),IF(Inputs!$B$29&lt;&gt;"Yes",NA(),Inputs!$D$29*Inputs!$C$35))</f>
        <v/>
      </c>
      <c r="AD118">
        <f>IF($B118=0,0,IF(Inputs!$B$6="",0,COUNTIFS(Data!$A$10:$A$3209,"&gt;="&amp;$A118,Data!$A$10:$A$3209,"&lt;"&amp;$A118+1)))</f>
        <v/>
      </c>
      <c r="AE118">
        <f>IF($B118=0,0,IF(Inputs!$B$7="",0,COUNTIFS(Data!$E$10:$E$3209,"&gt;="&amp;$A118,Data!$E$10:$E$3209,"&lt;"&amp;$A118+1)))</f>
        <v/>
      </c>
      <c r="AF118">
        <f>IF($B118=0,0,IF(Inputs!$B$8="",0,COUNTIFS(Data!$I$10:$I$3209,"&gt;="&amp;$A118,Data!$I$10:$I$3209,"&lt;"&amp;$A118+1)))</f>
        <v/>
      </c>
      <c r="AG118">
        <f>IF($B118=0,0,IF(Inputs!$B$9="",0,COUNTIFS(Data!$M$10:$M$3209,"&gt;="&amp;$A118,Data!$M$10:$M$3209,"&lt;"&amp;$A118+1)))</f>
        <v/>
      </c>
      <c r="AH118">
        <f>IF($B118=0,0,IF(Inputs!$B$10="",0,COUNTIFS(Data!$Q$10:$Q$3209,"&gt;="&amp;$A118,Data!$Q$10:$Q$3209,"&lt;"&amp;$A118+1)))</f>
        <v/>
      </c>
    </row>
    <row r="119">
      <c r="A119" s="55">
        <f>MIN(Inputs!$C$15,$A118+IF(WEEKDAY($A118,2)=5,3,1))</f>
        <v/>
      </c>
      <c r="B119">
        <f>IF($A119&gt;$A118,1,0)</f>
        <v/>
      </c>
      <c r="C119" s="56">
        <f>IF($B119=0,"",IF(Inputs!$B$6="","",IF($AD119=0,C118,SUMIFS(Data!$B$10:$B$3209,Data!$A$10:$A$3209,"&gt;="&amp;$A119,Data!$A$10:$A$3209,"&lt;"&amp;$A119+1)/$AD119)))</f>
        <v/>
      </c>
      <c r="D119" s="56">
        <f>IF($B119=0,"",IF(Inputs!$B$7="","",IF($AE119=0,D118,SUMIFS(Data!$F$10:$F$3209,Data!$E$10:$E$3209,"&gt;="&amp;$A119,Data!$E$10:$E$3209,"&lt;"&amp;$A119+1)/$AE119)))</f>
        <v/>
      </c>
      <c r="E119" s="56">
        <f>IF($B119=0,"",IF(Inputs!$B$8="","",IF($AF119=0,E118,SUMIFS(Data!$J$10:$J$3209,Data!$I$10:$I$3209,"&gt;="&amp;$A119,Data!$I$10:$I$3209,"&lt;"&amp;$A119+1)/$AF119)))</f>
        <v/>
      </c>
      <c r="F119" s="56">
        <f>IF($B119=0,"",IF(Inputs!$B$9="","",IF($AG119=0,F118,SUMIFS(Data!$N$10:$N$3209,Data!$M$10:$M$3209,"&gt;="&amp;$A119,Data!$M$10:$M$3209,"&lt;"&amp;$A119+1)/$AG119)))</f>
        <v/>
      </c>
      <c r="G119" s="56">
        <f>IF($B119=0,"",IF(Inputs!$B$10="","",IF($AH119=0,G118,SUMIFS(Data!$R$10:$R$3209,Data!$Q$10:$Q$3209,"&gt;="&amp;$A119,Data!$Q$10:$Q$3209,"&lt;"&amp;$A119+1)/$AH119)))</f>
        <v/>
      </c>
      <c r="I119" s="54">
        <f>IF($B119=0,NA(),IF($C119="",NA(),IF(C$8="",NA(),IF(N(C$8)=0,NA(),IF(Inputs!$C$17="Rebased to 100",$C119/C$8*100,$C119)))))</f>
        <v/>
      </c>
      <c r="J119" s="54">
        <f>IF($B119=0,NA(),IF($D119="",NA(),IF(D$8="",NA(),IF(N(D$8)=0,NA(),IF(Inputs!$C$17="Rebased to 100",$D119/D$8*100,$D119)))))</f>
        <v/>
      </c>
      <c r="K119" s="54">
        <f>IF($B119=0,NA(),IF($E119="",NA(),IF(E$8="",NA(),IF(N(E$8)=0,NA(),IF(Inputs!$C$17="Rebased to 100",$E119/E$8*100,$E119)))))</f>
        <v/>
      </c>
      <c r="L119" s="54">
        <f>IF($B119=0,NA(),IF($F119="",NA(),IF(F$8="",NA(),IF(N(F$8)=0,NA(),IF(Inputs!$C$17="Rebased to 100",$F119/F$8*100,$F119)))))</f>
        <v/>
      </c>
      <c r="M119" s="54">
        <f>IF($B119=0,NA(),IF($G119="",NA(),IF(G$8="",NA(),IF(N(G$8)=0,NA(),IF(Inputs!$C$17="Rebased to 100",$G119/G$8*100,$G119)))))</f>
        <v/>
      </c>
      <c r="N119" s="54">
        <f>IF($B119=0,NA(),IF(Inputs!$C$18&lt;&gt;"Yes",NA(),IF(COUNT(I119,J119,K119,L119,M119)=0,NA(),MIN(I119,J119,K119,L119,M119))))</f>
        <v/>
      </c>
      <c r="O119" s="54">
        <f>IF($B119=0,NA(),IF(Inputs!$B$24&lt;&gt;"Yes",NA(),Inputs!$D$24*Inputs!$C$35))</f>
        <v/>
      </c>
      <c r="P119" s="54">
        <f>IF($B119=0,NA(),IF(Inputs!$B$25&lt;&gt;"Yes",NA(),Inputs!$D$25*Inputs!$C$35))</f>
        <v/>
      </c>
      <c r="Q119" s="54">
        <f>IF($B119=0,NA(),IF(Inputs!$B$26&lt;&gt;"Yes",NA(),Inputs!$D$26*Inputs!$C$35))</f>
        <v/>
      </c>
      <c r="R119" s="54">
        <f>IF($B119=0,NA(),IF(Inputs!$B$27&lt;&gt;"Yes",NA(),Inputs!$D$27*Inputs!$C$35))</f>
        <v/>
      </c>
      <c r="S119" s="54">
        <f>IF($B119=0,NA(),IF(Inputs!$B$28&lt;&gt;"Yes",NA(),Inputs!$D$28*Inputs!$C$35))</f>
        <v/>
      </c>
      <c r="T119" s="54">
        <f>IF($B119=0,NA(),IF(Inputs!$B$29&lt;&gt;"Yes",NA(),Inputs!$D$29*Inputs!$C$35))</f>
        <v/>
      </c>
      <c r="AD119">
        <f>IF($B119=0,0,IF(Inputs!$B$6="",0,COUNTIFS(Data!$A$10:$A$3209,"&gt;="&amp;$A119,Data!$A$10:$A$3209,"&lt;"&amp;$A119+1)))</f>
        <v/>
      </c>
      <c r="AE119">
        <f>IF($B119=0,0,IF(Inputs!$B$7="",0,COUNTIFS(Data!$E$10:$E$3209,"&gt;="&amp;$A119,Data!$E$10:$E$3209,"&lt;"&amp;$A119+1)))</f>
        <v/>
      </c>
      <c r="AF119">
        <f>IF($B119=0,0,IF(Inputs!$B$8="",0,COUNTIFS(Data!$I$10:$I$3209,"&gt;="&amp;$A119,Data!$I$10:$I$3209,"&lt;"&amp;$A119+1)))</f>
        <v/>
      </c>
      <c r="AG119">
        <f>IF($B119=0,0,IF(Inputs!$B$9="",0,COUNTIFS(Data!$M$10:$M$3209,"&gt;="&amp;$A119,Data!$M$10:$M$3209,"&lt;"&amp;$A119+1)))</f>
        <v/>
      </c>
      <c r="AH119">
        <f>IF($B119=0,0,IF(Inputs!$B$10="",0,COUNTIFS(Data!$Q$10:$Q$3209,"&gt;="&amp;$A119,Data!$Q$10:$Q$3209,"&lt;"&amp;$A119+1)))</f>
        <v/>
      </c>
    </row>
    <row r="120">
      <c r="A120" s="55">
        <f>MIN(Inputs!$C$15,$A119+IF(WEEKDAY($A119,2)=5,3,1))</f>
        <v/>
      </c>
      <c r="B120">
        <f>IF($A120&gt;$A119,1,0)</f>
        <v/>
      </c>
      <c r="C120" s="56">
        <f>IF($B120=0,"",IF(Inputs!$B$6="","",IF($AD120=0,C119,SUMIFS(Data!$B$10:$B$3209,Data!$A$10:$A$3209,"&gt;="&amp;$A120,Data!$A$10:$A$3209,"&lt;"&amp;$A120+1)/$AD120)))</f>
        <v/>
      </c>
      <c r="D120" s="56">
        <f>IF($B120=0,"",IF(Inputs!$B$7="","",IF($AE120=0,D119,SUMIFS(Data!$F$10:$F$3209,Data!$E$10:$E$3209,"&gt;="&amp;$A120,Data!$E$10:$E$3209,"&lt;"&amp;$A120+1)/$AE120)))</f>
        <v/>
      </c>
      <c r="E120" s="56">
        <f>IF($B120=0,"",IF(Inputs!$B$8="","",IF($AF120=0,E119,SUMIFS(Data!$J$10:$J$3209,Data!$I$10:$I$3209,"&gt;="&amp;$A120,Data!$I$10:$I$3209,"&lt;"&amp;$A120+1)/$AF120)))</f>
        <v/>
      </c>
      <c r="F120" s="56">
        <f>IF($B120=0,"",IF(Inputs!$B$9="","",IF($AG120=0,F119,SUMIFS(Data!$N$10:$N$3209,Data!$M$10:$M$3209,"&gt;="&amp;$A120,Data!$M$10:$M$3209,"&lt;"&amp;$A120+1)/$AG120)))</f>
        <v/>
      </c>
      <c r="G120" s="56">
        <f>IF($B120=0,"",IF(Inputs!$B$10="","",IF($AH120=0,G119,SUMIFS(Data!$R$10:$R$3209,Data!$Q$10:$Q$3209,"&gt;="&amp;$A120,Data!$Q$10:$Q$3209,"&lt;"&amp;$A120+1)/$AH120)))</f>
        <v/>
      </c>
      <c r="I120" s="54">
        <f>IF($B120=0,NA(),IF($C120="",NA(),IF(C$8="",NA(),IF(N(C$8)=0,NA(),IF(Inputs!$C$17="Rebased to 100",$C120/C$8*100,$C120)))))</f>
        <v/>
      </c>
      <c r="J120" s="54">
        <f>IF($B120=0,NA(),IF($D120="",NA(),IF(D$8="",NA(),IF(N(D$8)=0,NA(),IF(Inputs!$C$17="Rebased to 100",$D120/D$8*100,$D120)))))</f>
        <v/>
      </c>
      <c r="K120" s="54">
        <f>IF($B120=0,NA(),IF($E120="",NA(),IF(E$8="",NA(),IF(N(E$8)=0,NA(),IF(Inputs!$C$17="Rebased to 100",$E120/E$8*100,$E120)))))</f>
        <v/>
      </c>
      <c r="L120" s="54">
        <f>IF($B120=0,NA(),IF($F120="",NA(),IF(F$8="",NA(),IF(N(F$8)=0,NA(),IF(Inputs!$C$17="Rebased to 100",$F120/F$8*100,$F120)))))</f>
        <v/>
      </c>
      <c r="M120" s="54">
        <f>IF($B120=0,NA(),IF($G120="",NA(),IF(G$8="",NA(),IF(N(G$8)=0,NA(),IF(Inputs!$C$17="Rebased to 100",$G120/G$8*100,$G120)))))</f>
        <v/>
      </c>
      <c r="N120" s="54">
        <f>IF($B120=0,NA(),IF(Inputs!$C$18&lt;&gt;"Yes",NA(),IF(COUNT(I120,J120,K120,L120,M120)=0,NA(),MIN(I120,J120,K120,L120,M120))))</f>
        <v/>
      </c>
      <c r="O120" s="54">
        <f>IF($B120=0,NA(),IF(Inputs!$B$24&lt;&gt;"Yes",NA(),Inputs!$D$24*Inputs!$C$35))</f>
        <v/>
      </c>
      <c r="P120" s="54">
        <f>IF($B120=0,NA(),IF(Inputs!$B$25&lt;&gt;"Yes",NA(),Inputs!$D$25*Inputs!$C$35))</f>
        <v/>
      </c>
      <c r="Q120" s="54">
        <f>IF($B120=0,NA(),IF(Inputs!$B$26&lt;&gt;"Yes",NA(),Inputs!$D$26*Inputs!$C$35))</f>
        <v/>
      </c>
      <c r="R120" s="54">
        <f>IF($B120=0,NA(),IF(Inputs!$B$27&lt;&gt;"Yes",NA(),Inputs!$D$27*Inputs!$C$35))</f>
        <v/>
      </c>
      <c r="S120" s="54">
        <f>IF($B120=0,NA(),IF(Inputs!$B$28&lt;&gt;"Yes",NA(),Inputs!$D$28*Inputs!$C$35))</f>
        <v/>
      </c>
      <c r="T120" s="54">
        <f>IF($B120=0,NA(),IF(Inputs!$B$29&lt;&gt;"Yes",NA(),Inputs!$D$29*Inputs!$C$35))</f>
        <v/>
      </c>
      <c r="AD120">
        <f>IF($B120=0,0,IF(Inputs!$B$6="",0,COUNTIFS(Data!$A$10:$A$3209,"&gt;="&amp;$A120,Data!$A$10:$A$3209,"&lt;"&amp;$A120+1)))</f>
        <v/>
      </c>
      <c r="AE120">
        <f>IF($B120=0,0,IF(Inputs!$B$7="",0,COUNTIFS(Data!$E$10:$E$3209,"&gt;="&amp;$A120,Data!$E$10:$E$3209,"&lt;"&amp;$A120+1)))</f>
        <v/>
      </c>
      <c r="AF120">
        <f>IF($B120=0,0,IF(Inputs!$B$8="",0,COUNTIFS(Data!$I$10:$I$3209,"&gt;="&amp;$A120,Data!$I$10:$I$3209,"&lt;"&amp;$A120+1)))</f>
        <v/>
      </c>
      <c r="AG120">
        <f>IF($B120=0,0,IF(Inputs!$B$9="",0,COUNTIFS(Data!$M$10:$M$3209,"&gt;="&amp;$A120,Data!$M$10:$M$3209,"&lt;"&amp;$A120+1)))</f>
        <v/>
      </c>
      <c r="AH120">
        <f>IF($B120=0,0,IF(Inputs!$B$10="",0,COUNTIFS(Data!$Q$10:$Q$3209,"&gt;="&amp;$A120,Data!$Q$10:$Q$3209,"&lt;"&amp;$A120+1)))</f>
        <v/>
      </c>
    </row>
    <row r="121">
      <c r="A121" s="55">
        <f>MIN(Inputs!$C$15,$A120+IF(WEEKDAY($A120,2)=5,3,1))</f>
        <v/>
      </c>
      <c r="B121">
        <f>IF($A121&gt;$A120,1,0)</f>
        <v/>
      </c>
      <c r="C121" s="56">
        <f>IF($B121=0,"",IF(Inputs!$B$6="","",IF($AD121=0,C120,SUMIFS(Data!$B$10:$B$3209,Data!$A$10:$A$3209,"&gt;="&amp;$A121,Data!$A$10:$A$3209,"&lt;"&amp;$A121+1)/$AD121)))</f>
        <v/>
      </c>
      <c r="D121" s="56">
        <f>IF($B121=0,"",IF(Inputs!$B$7="","",IF($AE121=0,D120,SUMIFS(Data!$F$10:$F$3209,Data!$E$10:$E$3209,"&gt;="&amp;$A121,Data!$E$10:$E$3209,"&lt;"&amp;$A121+1)/$AE121)))</f>
        <v/>
      </c>
      <c r="E121" s="56">
        <f>IF($B121=0,"",IF(Inputs!$B$8="","",IF($AF121=0,E120,SUMIFS(Data!$J$10:$J$3209,Data!$I$10:$I$3209,"&gt;="&amp;$A121,Data!$I$10:$I$3209,"&lt;"&amp;$A121+1)/$AF121)))</f>
        <v/>
      </c>
      <c r="F121" s="56">
        <f>IF($B121=0,"",IF(Inputs!$B$9="","",IF($AG121=0,F120,SUMIFS(Data!$N$10:$N$3209,Data!$M$10:$M$3209,"&gt;="&amp;$A121,Data!$M$10:$M$3209,"&lt;"&amp;$A121+1)/$AG121)))</f>
        <v/>
      </c>
      <c r="G121" s="56">
        <f>IF($B121=0,"",IF(Inputs!$B$10="","",IF($AH121=0,G120,SUMIFS(Data!$R$10:$R$3209,Data!$Q$10:$Q$3209,"&gt;="&amp;$A121,Data!$Q$10:$Q$3209,"&lt;"&amp;$A121+1)/$AH121)))</f>
        <v/>
      </c>
      <c r="I121" s="54">
        <f>IF($B121=0,NA(),IF($C121="",NA(),IF(C$8="",NA(),IF(N(C$8)=0,NA(),IF(Inputs!$C$17="Rebased to 100",$C121/C$8*100,$C121)))))</f>
        <v/>
      </c>
      <c r="J121" s="54">
        <f>IF($B121=0,NA(),IF($D121="",NA(),IF(D$8="",NA(),IF(N(D$8)=0,NA(),IF(Inputs!$C$17="Rebased to 100",$D121/D$8*100,$D121)))))</f>
        <v/>
      </c>
      <c r="K121" s="54">
        <f>IF($B121=0,NA(),IF($E121="",NA(),IF(E$8="",NA(),IF(N(E$8)=0,NA(),IF(Inputs!$C$17="Rebased to 100",$E121/E$8*100,$E121)))))</f>
        <v/>
      </c>
      <c r="L121" s="54">
        <f>IF($B121=0,NA(),IF($F121="",NA(),IF(F$8="",NA(),IF(N(F$8)=0,NA(),IF(Inputs!$C$17="Rebased to 100",$F121/F$8*100,$F121)))))</f>
        <v/>
      </c>
      <c r="M121" s="54">
        <f>IF($B121=0,NA(),IF($G121="",NA(),IF(G$8="",NA(),IF(N(G$8)=0,NA(),IF(Inputs!$C$17="Rebased to 100",$G121/G$8*100,$G121)))))</f>
        <v/>
      </c>
      <c r="N121" s="54">
        <f>IF($B121=0,NA(),IF(Inputs!$C$18&lt;&gt;"Yes",NA(),IF(COUNT(I121,J121,K121,L121,M121)=0,NA(),MIN(I121,J121,K121,L121,M121))))</f>
        <v/>
      </c>
      <c r="O121" s="54">
        <f>IF($B121=0,NA(),IF(Inputs!$B$24&lt;&gt;"Yes",NA(),Inputs!$D$24*Inputs!$C$35))</f>
        <v/>
      </c>
      <c r="P121" s="54">
        <f>IF($B121=0,NA(),IF(Inputs!$B$25&lt;&gt;"Yes",NA(),Inputs!$D$25*Inputs!$C$35))</f>
        <v/>
      </c>
      <c r="Q121" s="54">
        <f>IF($B121=0,NA(),IF(Inputs!$B$26&lt;&gt;"Yes",NA(),Inputs!$D$26*Inputs!$C$35))</f>
        <v/>
      </c>
      <c r="R121" s="54">
        <f>IF($B121=0,NA(),IF(Inputs!$B$27&lt;&gt;"Yes",NA(),Inputs!$D$27*Inputs!$C$35))</f>
        <v/>
      </c>
      <c r="S121" s="54">
        <f>IF($B121=0,NA(),IF(Inputs!$B$28&lt;&gt;"Yes",NA(),Inputs!$D$28*Inputs!$C$35))</f>
        <v/>
      </c>
      <c r="T121" s="54">
        <f>IF($B121=0,NA(),IF(Inputs!$B$29&lt;&gt;"Yes",NA(),Inputs!$D$29*Inputs!$C$35))</f>
        <v/>
      </c>
      <c r="AD121">
        <f>IF($B121=0,0,IF(Inputs!$B$6="",0,COUNTIFS(Data!$A$10:$A$3209,"&gt;="&amp;$A121,Data!$A$10:$A$3209,"&lt;"&amp;$A121+1)))</f>
        <v/>
      </c>
      <c r="AE121">
        <f>IF($B121=0,0,IF(Inputs!$B$7="",0,COUNTIFS(Data!$E$10:$E$3209,"&gt;="&amp;$A121,Data!$E$10:$E$3209,"&lt;"&amp;$A121+1)))</f>
        <v/>
      </c>
      <c r="AF121">
        <f>IF($B121=0,0,IF(Inputs!$B$8="",0,COUNTIFS(Data!$I$10:$I$3209,"&gt;="&amp;$A121,Data!$I$10:$I$3209,"&lt;"&amp;$A121+1)))</f>
        <v/>
      </c>
      <c r="AG121">
        <f>IF($B121=0,0,IF(Inputs!$B$9="",0,COUNTIFS(Data!$M$10:$M$3209,"&gt;="&amp;$A121,Data!$M$10:$M$3209,"&lt;"&amp;$A121+1)))</f>
        <v/>
      </c>
      <c r="AH121">
        <f>IF($B121=0,0,IF(Inputs!$B$10="",0,COUNTIFS(Data!$Q$10:$Q$3209,"&gt;="&amp;$A121,Data!$Q$10:$Q$3209,"&lt;"&amp;$A121+1)))</f>
        <v/>
      </c>
    </row>
    <row r="122">
      <c r="A122" s="55">
        <f>MIN(Inputs!$C$15,$A121+IF(WEEKDAY($A121,2)=5,3,1))</f>
        <v/>
      </c>
      <c r="B122">
        <f>IF($A122&gt;$A121,1,0)</f>
        <v/>
      </c>
      <c r="C122" s="56">
        <f>IF($B122=0,"",IF(Inputs!$B$6="","",IF($AD122=0,C121,SUMIFS(Data!$B$10:$B$3209,Data!$A$10:$A$3209,"&gt;="&amp;$A122,Data!$A$10:$A$3209,"&lt;"&amp;$A122+1)/$AD122)))</f>
        <v/>
      </c>
      <c r="D122" s="56">
        <f>IF($B122=0,"",IF(Inputs!$B$7="","",IF($AE122=0,D121,SUMIFS(Data!$F$10:$F$3209,Data!$E$10:$E$3209,"&gt;="&amp;$A122,Data!$E$10:$E$3209,"&lt;"&amp;$A122+1)/$AE122)))</f>
        <v/>
      </c>
      <c r="E122" s="56">
        <f>IF($B122=0,"",IF(Inputs!$B$8="","",IF($AF122=0,E121,SUMIFS(Data!$J$10:$J$3209,Data!$I$10:$I$3209,"&gt;="&amp;$A122,Data!$I$10:$I$3209,"&lt;"&amp;$A122+1)/$AF122)))</f>
        <v/>
      </c>
      <c r="F122" s="56">
        <f>IF($B122=0,"",IF(Inputs!$B$9="","",IF($AG122=0,F121,SUMIFS(Data!$N$10:$N$3209,Data!$M$10:$M$3209,"&gt;="&amp;$A122,Data!$M$10:$M$3209,"&lt;"&amp;$A122+1)/$AG122)))</f>
        <v/>
      </c>
      <c r="G122" s="56">
        <f>IF($B122=0,"",IF(Inputs!$B$10="","",IF($AH122=0,G121,SUMIFS(Data!$R$10:$R$3209,Data!$Q$10:$Q$3209,"&gt;="&amp;$A122,Data!$Q$10:$Q$3209,"&lt;"&amp;$A122+1)/$AH122)))</f>
        <v/>
      </c>
      <c r="I122" s="54">
        <f>IF($B122=0,NA(),IF($C122="",NA(),IF(C$8="",NA(),IF(N(C$8)=0,NA(),IF(Inputs!$C$17="Rebased to 100",$C122/C$8*100,$C122)))))</f>
        <v/>
      </c>
      <c r="J122" s="54">
        <f>IF($B122=0,NA(),IF($D122="",NA(),IF(D$8="",NA(),IF(N(D$8)=0,NA(),IF(Inputs!$C$17="Rebased to 100",$D122/D$8*100,$D122)))))</f>
        <v/>
      </c>
      <c r="K122" s="54">
        <f>IF($B122=0,NA(),IF($E122="",NA(),IF(E$8="",NA(),IF(N(E$8)=0,NA(),IF(Inputs!$C$17="Rebased to 100",$E122/E$8*100,$E122)))))</f>
        <v/>
      </c>
      <c r="L122" s="54">
        <f>IF($B122=0,NA(),IF($F122="",NA(),IF(F$8="",NA(),IF(N(F$8)=0,NA(),IF(Inputs!$C$17="Rebased to 100",$F122/F$8*100,$F122)))))</f>
        <v/>
      </c>
      <c r="M122" s="54">
        <f>IF($B122=0,NA(),IF($G122="",NA(),IF(G$8="",NA(),IF(N(G$8)=0,NA(),IF(Inputs!$C$17="Rebased to 100",$G122/G$8*100,$G122)))))</f>
        <v/>
      </c>
      <c r="N122" s="54">
        <f>IF($B122=0,NA(),IF(Inputs!$C$18&lt;&gt;"Yes",NA(),IF(COUNT(I122,J122,K122,L122,M122)=0,NA(),MIN(I122,J122,K122,L122,M122))))</f>
        <v/>
      </c>
      <c r="O122" s="54">
        <f>IF($B122=0,NA(),IF(Inputs!$B$24&lt;&gt;"Yes",NA(),Inputs!$D$24*Inputs!$C$35))</f>
        <v/>
      </c>
      <c r="P122" s="54">
        <f>IF($B122=0,NA(),IF(Inputs!$B$25&lt;&gt;"Yes",NA(),Inputs!$D$25*Inputs!$C$35))</f>
        <v/>
      </c>
      <c r="Q122" s="54">
        <f>IF($B122=0,NA(),IF(Inputs!$B$26&lt;&gt;"Yes",NA(),Inputs!$D$26*Inputs!$C$35))</f>
        <v/>
      </c>
      <c r="R122" s="54">
        <f>IF($B122=0,NA(),IF(Inputs!$B$27&lt;&gt;"Yes",NA(),Inputs!$D$27*Inputs!$C$35))</f>
        <v/>
      </c>
      <c r="S122" s="54">
        <f>IF($B122=0,NA(),IF(Inputs!$B$28&lt;&gt;"Yes",NA(),Inputs!$D$28*Inputs!$C$35))</f>
        <v/>
      </c>
      <c r="T122" s="54">
        <f>IF($B122=0,NA(),IF(Inputs!$B$29&lt;&gt;"Yes",NA(),Inputs!$D$29*Inputs!$C$35))</f>
        <v/>
      </c>
      <c r="AD122">
        <f>IF($B122=0,0,IF(Inputs!$B$6="",0,COUNTIFS(Data!$A$10:$A$3209,"&gt;="&amp;$A122,Data!$A$10:$A$3209,"&lt;"&amp;$A122+1)))</f>
        <v/>
      </c>
      <c r="AE122">
        <f>IF($B122=0,0,IF(Inputs!$B$7="",0,COUNTIFS(Data!$E$10:$E$3209,"&gt;="&amp;$A122,Data!$E$10:$E$3209,"&lt;"&amp;$A122+1)))</f>
        <v/>
      </c>
      <c r="AF122">
        <f>IF($B122=0,0,IF(Inputs!$B$8="",0,COUNTIFS(Data!$I$10:$I$3209,"&gt;="&amp;$A122,Data!$I$10:$I$3209,"&lt;"&amp;$A122+1)))</f>
        <v/>
      </c>
      <c r="AG122">
        <f>IF($B122=0,0,IF(Inputs!$B$9="",0,COUNTIFS(Data!$M$10:$M$3209,"&gt;="&amp;$A122,Data!$M$10:$M$3209,"&lt;"&amp;$A122+1)))</f>
        <v/>
      </c>
      <c r="AH122">
        <f>IF($B122=0,0,IF(Inputs!$B$10="",0,COUNTIFS(Data!$Q$10:$Q$3209,"&gt;="&amp;$A122,Data!$Q$10:$Q$3209,"&lt;"&amp;$A122+1)))</f>
        <v/>
      </c>
    </row>
    <row r="123">
      <c r="A123" s="55">
        <f>MIN(Inputs!$C$15,$A122+IF(WEEKDAY($A122,2)=5,3,1))</f>
        <v/>
      </c>
      <c r="B123">
        <f>IF($A123&gt;$A122,1,0)</f>
        <v/>
      </c>
      <c r="C123" s="56">
        <f>IF($B123=0,"",IF(Inputs!$B$6="","",IF($AD123=0,C122,SUMIFS(Data!$B$10:$B$3209,Data!$A$10:$A$3209,"&gt;="&amp;$A123,Data!$A$10:$A$3209,"&lt;"&amp;$A123+1)/$AD123)))</f>
        <v/>
      </c>
      <c r="D123" s="56">
        <f>IF($B123=0,"",IF(Inputs!$B$7="","",IF($AE123=0,D122,SUMIFS(Data!$F$10:$F$3209,Data!$E$10:$E$3209,"&gt;="&amp;$A123,Data!$E$10:$E$3209,"&lt;"&amp;$A123+1)/$AE123)))</f>
        <v/>
      </c>
      <c r="E123" s="56">
        <f>IF($B123=0,"",IF(Inputs!$B$8="","",IF($AF123=0,E122,SUMIFS(Data!$J$10:$J$3209,Data!$I$10:$I$3209,"&gt;="&amp;$A123,Data!$I$10:$I$3209,"&lt;"&amp;$A123+1)/$AF123)))</f>
        <v/>
      </c>
      <c r="F123" s="56">
        <f>IF($B123=0,"",IF(Inputs!$B$9="","",IF($AG123=0,F122,SUMIFS(Data!$N$10:$N$3209,Data!$M$10:$M$3209,"&gt;="&amp;$A123,Data!$M$10:$M$3209,"&lt;"&amp;$A123+1)/$AG123)))</f>
        <v/>
      </c>
      <c r="G123" s="56">
        <f>IF($B123=0,"",IF(Inputs!$B$10="","",IF($AH123=0,G122,SUMIFS(Data!$R$10:$R$3209,Data!$Q$10:$Q$3209,"&gt;="&amp;$A123,Data!$Q$10:$Q$3209,"&lt;"&amp;$A123+1)/$AH123)))</f>
        <v/>
      </c>
      <c r="I123" s="54">
        <f>IF($B123=0,NA(),IF($C123="",NA(),IF(C$8="",NA(),IF(N(C$8)=0,NA(),IF(Inputs!$C$17="Rebased to 100",$C123/C$8*100,$C123)))))</f>
        <v/>
      </c>
      <c r="J123" s="54">
        <f>IF($B123=0,NA(),IF($D123="",NA(),IF(D$8="",NA(),IF(N(D$8)=0,NA(),IF(Inputs!$C$17="Rebased to 100",$D123/D$8*100,$D123)))))</f>
        <v/>
      </c>
      <c r="K123" s="54">
        <f>IF($B123=0,NA(),IF($E123="",NA(),IF(E$8="",NA(),IF(N(E$8)=0,NA(),IF(Inputs!$C$17="Rebased to 100",$E123/E$8*100,$E123)))))</f>
        <v/>
      </c>
      <c r="L123" s="54">
        <f>IF($B123=0,NA(),IF($F123="",NA(),IF(F$8="",NA(),IF(N(F$8)=0,NA(),IF(Inputs!$C$17="Rebased to 100",$F123/F$8*100,$F123)))))</f>
        <v/>
      </c>
      <c r="M123" s="54">
        <f>IF($B123=0,NA(),IF($G123="",NA(),IF(G$8="",NA(),IF(N(G$8)=0,NA(),IF(Inputs!$C$17="Rebased to 100",$G123/G$8*100,$G123)))))</f>
        <v/>
      </c>
      <c r="N123" s="54">
        <f>IF($B123=0,NA(),IF(Inputs!$C$18&lt;&gt;"Yes",NA(),IF(COUNT(I123,J123,K123,L123,M123)=0,NA(),MIN(I123,J123,K123,L123,M123))))</f>
        <v/>
      </c>
      <c r="O123" s="54">
        <f>IF($B123=0,NA(),IF(Inputs!$B$24&lt;&gt;"Yes",NA(),Inputs!$D$24*Inputs!$C$35))</f>
        <v/>
      </c>
      <c r="P123" s="54">
        <f>IF($B123=0,NA(),IF(Inputs!$B$25&lt;&gt;"Yes",NA(),Inputs!$D$25*Inputs!$C$35))</f>
        <v/>
      </c>
      <c r="Q123" s="54">
        <f>IF($B123=0,NA(),IF(Inputs!$B$26&lt;&gt;"Yes",NA(),Inputs!$D$26*Inputs!$C$35))</f>
        <v/>
      </c>
      <c r="R123" s="54">
        <f>IF($B123=0,NA(),IF(Inputs!$B$27&lt;&gt;"Yes",NA(),Inputs!$D$27*Inputs!$C$35))</f>
        <v/>
      </c>
      <c r="S123" s="54">
        <f>IF($B123=0,NA(),IF(Inputs!$B$28&lt;&gt;"Yes",NA(),Inputs!$D$28*Inputs!$C$35))</f>
        <v/>
      </c>
      <c r="T123" s="54">
        <f>IF($B123=0,NA(),IF(Inputs!$B$29&lt;&gt;"Yes",NA(),Inputs!$D$29*Inputs!$C$35))</f>
        <v/>
      </c>
      <c r="AD123">
        <f>IF($B123=0,0,IF(Inputs!$B$6="",0,COUNTIFS(Data!$A$10:$A$3209,"&gt;="&amp;$A123,Data!$A$10:$A$3209,"&lt;"&amp;$A123+1)))</f>
        <v/>
      </c>
      <c r="AE123">
        <f>IF($B123=0,0,IF(Inputs!$B$7="",0,COUNTIFS(Data!$E$10:$E$3209,"&gt;="&amp;$A123,Data!$E$10:$E$3209,"&lt;"&amp;$A123+1)))</f>
        <v/>
      </c>
      <c r="AF123">
        <f>IF($B123=0,0,IF(Inputs!$B$8="",0,COUNTIFS(Data!$I$10:$I$3209,"&gt;="&amp;$A123,Data!$I$10:$I$3209,"&lt;"&amp;$A123+1)))</f>
        <v/>
      </c>
      <c r="AG123">
        <f>IF($B123=0,0,IF(Inputs!$B$9="",0,COUNTIFS(Data!$M$10:$M$3209,"&gt;="&amp;$A123,Data!$M$10:$M$3209,"&lt;"&amp;$A123+1)))</f>
        <v/>
      </c>
      <c r="AH123">
        <f>IF($B123=0,0,IF(Inputs!$B$10="",0,COUNTIFS(Data!$Q$10:$Q$3209,"&gt;="&amp;$A123,Data!$Q$10:$Q$3209,"&lt;"&amp;$A123+1)))</f>
        <v/>
      </c>
    </row>
    <row r="124">
      <c r="A124" s="55">
        <f>MIN(Inputs!$C$15,$A123+IF(WEEKDAY($A123,2)=5,3,1))</f>
        <v/>
      </c>
      <c r="B124">
        <f>IF($A124&gt;$A123,1,0)</f>
        <v/>
      </c>
      <c r="C124" s="56">
        <f>IF($B124=0,"",IF(Inputs!$B$6="","",IF($AD124=0,C123,SUMIFS(Data!$B$10:$B$3209,Data!$A$10:$A$3209,"&gt;="&amp;$A124,Data!$A$10:$A$3209,"&lt;"&amp;$A124+1)/$AD124)))</f>
        <v/>
      </c>
      <c r="D124" s="56">
        <f>IF($B124=0,"",IF(Inputs!$B$7="","",IF($AE124=0,D123,SUMIFS(Data!$F$10:$F$3209,Data!$E$10:$E$3209,"&gt;="&amp;$A124,Data!$E$10:$E$3209,"&lt;"&amp;$A124+1)/$AE124)))</f>
        <v/>
      </c>
      <c r="E124" s="56">
        <f>IF($B124=0,"",IF(Inputs!$B$8="","",IF($AF124=0,E123,SUMIFS(Data!$J$10:$J$3209,Data!$I$10:$I$3209,"&gt;="&amp;$A124,Data!$I$10:$I$3209,"&lt;"&amp;$A124+1)/$AF124)))</f>
        <v/>
      </c>
      <c r="F124" s="56">
        <f>IF($B124=0,"",IF(Inputs!$B$9="","",IF($AG124=0,F123,SUMIFS(Data!$N$10:$N$3209,Data!$M$10:$M$3209,"&gt;="&amp;$A124,Data!$M$10:$M$3209,"&lt;"&amp;$A124+1)/$AG124)))</f>
        <v/>
      </c>
      <c r="G124" s="56">
        <f>IF($B124=0,"",IF(Inputs!$B$10="","",IF($AH124=0,G123,SUMIFS(Data!$R$10:$R$3209,Data!$Q$10:$Q$3209,"&gt;="&amp;$A124,Data!$Q$10:$Q$3209,"&lt;"&amp;$A124+1)/$AH124)))</f>
        <v/>
      </c>
      <c r="I124" s="54">
        <f>IF($B124=0,NA(),IF($C124="",NA(),IF(C$8="",NA(),IF(N(C$8)=0,NA(),IF(Inputs!$C$17="Rebased to 100",$C124/C$8*100,$C124)))))</f>
        <v/>
      </c>
      <c r="J124" s="54">
        <f>IF($B124=0,NA(),IF($D124="",NA(),IF(D$8="",NA(),IF(N(D$8)=0,NA(),IF(Inputs!$C$17="Rebased to 100",$D124/D$8*100,$D124)))))</f>
        <v/>
      </c>
      <c r="K124" s="54">
        <f>IF($B124=0,NA(),IF($E124="",NA(),IF(E$8="",NA(),IF(N(E$8)=0,NA(),IF(Inputs!$C$17="Rebased to 100",$E124/E$8*100,$E124)))))</f>
        <v/>
      </c>
      <c r="L124" s="54">
        <f>IF($B124=0,NA(),IF($F124="",NA(),IF(F$8="",NA(),IF(N(F$8)=0,NA(),IF(Inputs!$C$17="Rebased to 100",$F124/F$8*100,$F124)))))</f>
        <v/>
      </c>
      <c r="M124" s="54">
        <f>IF($B124=0,NA(),IF($G124="",NA(),IF(G$8="",NA(),IF(N(G$8)=0,NA(),IF(Inputs!$C$17="Rebased to 100",$G124/G$8*100,$G124)))))</f>
        <v/>
      </c>
      <c r="N124" s="54">
        <f>IF($B124=0,NA(),IF(Inputs!$C$18&lt;&gt;"Yes",NA(),IF(COUNT(I124,J124,K124,L124,M124)=0,NA(),MIN(I124,J124,K124,L124,M124))))</f>
        <v/>
      </c>
      <c r="O124" s="54">
        <f>IF($B124=0,NA(),IF(Inputs!$B$24&lt;&gt;"Yes",NA(),Inputs!$D$24*Inputs!$C$35))</f>
        <v/>
      </c>
      <c r="P124" s="54">
        <f>IF($B124=0,NA(),IF(Inputs!$B$25&lt;&gt;"Yes",NA(),Inputs!$D$25*Inputs!$C$35))</f>
        <v/>
      </c>
      <c r="Q124" s="54">
        <f>IF($B124=0,NA(),IF(Inputs!$B$26&lt;&gt;"Yes",NA(),Inputs!$D$26*Inputs!$C$35))</f>
        <v/>
      </c>
      <c r="R124" s="54">
        <f>IF($B124=0,NA(),IF(Inputs!$B$27&lt;&gt;"Yes",NA(),Inputs!$D$27*Inputs!$C$35))</f>
        <v/>
      </c>
      <c r="S124" s="54">
        <f>IF($B124=0,NA(),IF(Inputs!$B$28&lt;&gt;"Yes",NA(),Inputs!$D$28*Inputs!$C$35))</f>
        <v/>
      </c>
      <c r="T124" s="54">
        <f>IF($B124=0,NA(),IF(Inputs!$B$29&lt;&gt;"Yes",NA(),Inputs!$D$29*Inputs!$C$35))</f>
        <v/>
      </c>
      <c r="AD124">
        <f>IF($B124=0,0,IF(Inputs!$B$6="",0,COUNTIFS(Data!$A$10:$A$3209,"&gt;="&amp;$A124,Data!$A$10:$A$3209,"&lt;"&amp;$A124+1)))</f>
        <v/>
      </c>
      <c r="AE124">
        <f>IF($B124=0,0,IF(Inputs!$B$7="",0,COUNTIFS(Data!$E$10:$E$3209,"&gt;="&amp;$A124,Data!$E$10:$E$3209,"&lt;"&amp;$A124+1)))</f>
        <v/>
      </c>
      <c r="AF124">
        <f>IF($B124=0,0,IF(Inputs!$B$8="",0,COUNTIFS(Data!$I$10:$I$3209,"&gt;="&amp;$A124,Data!$I$10:$I$3209,"&lt;"&amp;$A124+1)))</f>
        <v/>
      </c>
      <c r="AG124">
        <f>IF($B124=0,0,IF(Inputs!$B$9="",0,COUNTIFS(Data!$M$10:$M$3209,"&gt;="&amp;$A124,Data!$M$10:$M$3209,"&lt;"&amp;$A124+1)))</f>
        <v/>
      </c>
      <c r="AH124">
        <f>IF($B124=0,0,IF(Inputs!$B$10="",0,COUNTIFS(Data!$Q$10:$Q$3209,"&gt;="&amp;$A124,Data!$Q$10:$Q$3209,"&lt;"&amp;$A124+1)))</f>
        <v/>
      </c>
    </row>
    <row r="125">
      <c r="A125" s="55">
        <f>MIN(Inputs!$C$15,$A124+IF(WEEKDAY($A124,2)=5,3,1))</f>
        <v/>
      </c>
      <c r="B125">
        <f>IF($A125&gt;$A124,1,0)</f>
        <v/>
      </c>
      <c r="C125" s="56">
        <f>IF($B125=0,"",IF(Inputs!$B$6="","",IF($AD125=0,C124,SUMIFS(Data!$B$10:$B$3209,Data!$A$10:$A$3209,"&gt;="&amp;$A125,Data!$A$10:$A$3209,"&lt;"&amp;$A125+1)/$AD125)))</f>
        <v/>
      </c>
      <c r="D125" s="56">
        <f>IF($B125=0,"",IF(Inputs!$B$7="","",IF($AE125=0,D124,SUMIFS(Data!$F$10:$F$3209,Data!$E$10:$E$3209,"&gt;="&amp;$A125,Data!$E$10:$E$3209,"&lt;"&amp;$A125+1)/$AE125)))</f>
        <v/>
      </c>
      <c r="E125" s="56">
        <f>IF($B125=0,"",IF(Inputs!$B$8="","",IF($AF125=0,E124,SUMIFS(Data!$J$10:$J$3209,Data!$I$10:$I$3209,"&gt;="&amp;$A125,Data!$I$10:$I$3209,"&lt;"&amp;$A125+1)/$AF125)))</f>
        <v/>
      </c>
      <c r="F125" s="56">
        <f>IF($B125=0,"",IF(Inputs!$B$9="","",IF($AG125=0,F124,SUMIFS(Data!$N$10:$N$3209,Data!$M$10:$M$3209,"&gt;="&amp;$A125,Data!$M$10:$M$3209,"&lt;"&amp;$A125+1)/$AG125)))</f>
        <v/>
      </c>
      <c r="G125" s="56">
        <f>IF($B125=0,"",IF(Inputs!$B$10="","",IF($AH125=0,G124,SUMIFS(Data!$R$10:$R$3209,Data!$Q$10:$Q$3209,"&gt;="&amp;$A125,Data!$Q$10:$Q$3209,"&lt;"&amp;$A125+1)/$AH125)))</f>
        <v/>
      </c>
      <c r="I125" s="54">
        <f>IF($B125=0,NA(),IF($C125="",NA(),IF(C$8="",NA(),IF(N(C$8)=0,NA(),IF(Inputs!$C$17="Rebased to 100",$C125/C$8*100,$C125)))))</f>
        <v/>
      </c>
      <c r="J125" s="54">
        <f>IF($B125=0,NA(),IF($D125="",NA(),IF(D$8="",NA(),IF(N(D$8)=0,NA(),IF(Inputs!$C$17="Rebased to 100",$D125/D$8*100,$D125)))))</f>
        <v/>
      </c>
      <c r="K125" s="54">
        <f>IF($B125=0,NA(),IF($E125="",NA(),IF(E$8="",NA(),IF(N(E$8)=0,NA(),IF(Inputs!$C$17="Rebased to 100",$E125/E$8*100,$E125)))))</f>
        <v/>
      </c>
      <c r="L125" s="54">
        <f>IF($B125=0,NA(),IF($F125="",NA(),IF(F$8="",NA(),IF(N(F$8)=0,NA(),IF(Inputs!$C$17="Rebased to 100",$F125/F$8*100,$F125)))))</f>
        <v/>
      </c>
      <c r="M125" s="54">
        <f>IF($B125=0,NA(),IF($G125="",NA(),IF(G$8="",NA(),IF(N(G$8)=0,NA(),IF(Inputs!$C$17="Rebased to 100",$G125/G$8*100,$G125)))))</f>
        <v/>
      </c>
      <c r="N125" s="54">
        <f>IF($B125=0,NA(),IF(Inputs!$C$18&lt;&gt;"Yes",NA(),IF(COUNT(I125,J125,K125,L125,M125)=0,NA(),MIN(I125,J125,K125,L125,M125))))</f>
        <v/>
      </c>
      <c r="O125" s="54">
        <f>IF($B125=0,NA(),IF(Inputs!$B$24&lt;&gt;"Yes",NA(),Inputs!$D$24*Inputs!$C$35))</f>
        <v/>
      </c>
      <c r="P125" s="54">
        <f>IF($B125=0,NA(),IF(Inputs!$B$25&lt;&gt;"Yes",NA(),Inputs!$D$25*Inputs!$C$35))</f>
        <v/>
      </c>
      <c r="Q125" s="54">
        <f>IF($B125=0,NA(),IF(Inputs!$B$26&lt;&gt;"Yes",NA(),Inputs!$D$26*Inputs!$C$35))</f>
        <v/>
      </c>
      <c r="R125" s="54">
        <f>IF($B125=0,NA(),IF(Inputs!$B$27&lt;&gt;"Yes",NA(),Inputs!$D$27*Inputs!$C$35))</f>
        <v/>
      </c>
      <c r="S125" s="54">
        <f>IF($B125=0,NA(),IF(Inputs!$B$28&lt;&gt;"Yes",NA(),Inputs!$D$28*Inputs!$C$35))</f>
        <v/>
      </c>
      <c r="T125" s="54">
        <f>IF($B125=0,NA(),IF(Inputs!$B$29&lt;&gt;"Yes",NA(),Inputs!$D$29*Inputs!$C$35))</f>
        <v/>
      </c>
      <c r="AD125">
        <f>IF($B125=0,0,IF(Inputs!$B$6="",0,COUNTIFS(Data!$A$10:$A$3209,"&gt;="&amp;$A125,Data!$A$10:$A$3209,"&lt;"&amp;$A125+1)))</f>
        <v/>
      </c>
      <c r="AE125">
        <f>IF($B125=0,0,IF(Inputs!$B$7="",0,COUNTIFS(Data!$E$10:$E$3209,"&gt;="&amp;$A125,Data!$E$10:$E$3209,"&lt;"&amp;$A125+1)))</f>
        <v/>
      </c>
      <c r="AF125">
        <f>IF($B125=0,0,IF(Inputs!$B$8="",0,COUNTIFS(Data!$I$10:$I$3209,"&gt;="&amp;$A125,Data!$I$10:$I$3209,"&lt;"&amp;$A125+1)))</f>
        <v/>
      </c>
      <c r="AG125">
        <f>IF($B125=0,0,IF(Inputs!$B$9="",0,COUNTIFS(Data!$M$10:$M$3209,"&gt;="&amp;$A125,Data!$M$10:$M$3209,"&lt;"&amp;$A125+1)))</f>
        <v/>
      </c>
      <c r="AH125">
        <f>IF($B125=0,0,IF(Inputs!$B$10="",0,COUNTIFS(Data!$Q$10:$Q$3209,"&gt;="&amp;$A125,Data!$Q$10:$Q$3209,"&lt;"&amp;$A125+1)))</f>
        <v/>
      </c>
    </row>
    <row r="126">
      <c r="A126" s="55">
        <f>MIN(Inputs!$C$15,$A125+IF(WEEKDAY($A125,2)=5,3,1))</f>
        <v/>
      </c>
      <c r="B126">
        <f>IF($A126&gt;$A125,1,0)</f>
        <v/>
      </c>
      <c r="C126" s="56">
        <f>IF($B126=0,"",IF(Inputs!$B$6="","",IF($AD126=0,C125,SUMIFS(Data!$B$10:$B$3209,Data!$A$10:$A$3209,"&gt;="&amp;$A126,Data!$A$10:$A$3209,"&lt;"&amp;$A126+1)/$AD126)))</f>
        <v/>
      </c>
      <c r="D126" s="56">
        <f>IF($B126=0,"",IF(Inputs!$B$7="","",IF($AE126=0,D125,SUMIFS(Data!$F$10:$F$3209,Data!$E$10:$E$3209,"&gt;="&amp;$A126,Data!$E$10:$E$3209,"&lt;"&amp;$A126+1)/$AE126)))</f>
        <v/>
      </c>
      <c r="E126" s="56">
        <f>IF($B126=0,"",IF(Inputs!$B$8="","",IF($AF126=0,E125,SUMIFS(Data!$J$10:$J$3209,Data!$I$10:$I$3209,"&gt;="&amp;$A126,Data!$I$10:$I$3209,"&lt;"&amp;$A126+1)/$AF126)))</f>
        <v/>
      </c>
      <c r="F126" s="56">
        <f>IF($B126=0,"",IF(Inputs!$B$9="","",IF($AG126=0,F125,SUMIFS(Data!$N$10:$N$3209,Data!$M$10:$M$3209,"&gt;="&amp;$A126,Data!$M$10:$M$3209,"&lt;"&amp;$A126+1)/$AG126)))</f>
        <v/>
      </c>
      <c r="G126" s="56">
        <f>IF($B126=0,"",IF(Inputs!$B$10="","",IF($AH126=0,G125,SUMIFS(Data!$R$10:$R$3209,Data!$Q$10:$Q$3209,"&gt;="&amp;$A126,Data!$Q$10:$Q$3209,"&lt;"&amp;$A126+1)/$AH126)))</f>
        <v/>
      </c>
      <c r="I126" s="54">
        <f>IF($B126=0,NA(),IF($C126="",NA(),IF(C$8="",NA(),IF(N(C$8)=0,NA(),IF(Inputs!$C$17="Rebased to 100",$C126/C$8*100,$C126)))))</f>
        <v/>
      </c>
      <c r="J126" s="54">
        <f>IF($B126=0,NA(),IF($D126="",NA(),IF(D$8="",NA(),IF(N(D$8)=0,NA(),IF(Inputs!$C$17="Rebased to 100",$D126/D$8*100,$D126)))))</f>
        <v/>
      </c>
      <c r="K126" s="54">
        <f>IF($B126=0,NA(),IF($E126="",NA(),IF(E$8="",NA(),IF(N(E$8)=0,NA(),IF(Inputs!$C$17="Rebased to 100",$E126/E$8*100,$E126)))))</f>
        <v/>
      </c>
      <c r="L126" s="54">
        <f>IF($B126=0,NA(),IF($F126="",NA(),IF(F$8="",NA(),IF(N(F$8)=0,NA(),IF(Inputs!$C$17="Rebased to 100",$F126/F$8*100,$F126)))))</f>
        <v/>
      </c>
      <c r="M126" s="54">
        <f>IF($B126=0,NA(),IF($G126="",NA(),IF(G$8="",NA(),IF(N(G$8)=0,NA(),IF(Inputs!$C$17="Rebased to 100",$G126/G$8*100,$G126)))))</f>
        <v/>
      </c>
      <c r="N126" s="54">
        <f>IF($B126=0,NA(),IF(Inputs!$C$18&lt;&gt;"Yes",NA(),IF(COUNT(I126,J126,K126,L126,M126)=0,NA(),MIN(I126,J126,K126,L126,M126))))</f>
        <v/>
      </c>
      <c r="O126" s="54">
        <f>IF($B126=0,NA(),IF(Inputs!$B$24&lt;&gt;"Yes",NA(),Inputs!$D$24*Inputs!$C$35))</f>
        <v/>
      </c>
      <c r="P126" s="54">
        <f>IF($B126=0,NA(),IF(Inputs!$B$25&lt;&gt;"Yes",NA(),Inputs!$D$25*Inputs!$C$35))</f>
        <v/>
      </c>
      <c r="Q126" s="54">
        <f>IF($B126=0,NA(),IF(Inputs!$B$26&lt;&gt;"Yes",NA(),Inputs!$D$26*Inputs!$C$35))</f>
        <v/>
      </c>
      <c r="R126" s="54">
        <f>IF($B126=0,NA(),IF(Inputs!$B$27&lt;&gt;"Yes",NA(),Inputs!$D$27*Inputs!$C$35))</f>
        <v/>
      </c>
      <c r="S126" s="54">
        <f>IF($B126=0,NA(),IF(Inputs!$B$28&lt;&gt;"Yes",NA(),Inputs!$D$28*Inputs!$C$35))</f>
        <v/>
      </c>
      <c r="T126" s="54">
        <f>IF($B126=0,NA(),IF(Inputs!$B$29&lt;&gt;"Yes",NA(),Inputs!$D$29*Inputs!$C$35))</f>
        <v/>
      </c>
      <c r="AD126">
        <f>IF($B126=0,0,IF(Inputs!$B$6="",0,COUNTIFS(Data!$A$10:$A$3209,"&gt;="&amp;$A126,Data!$A$10:$A$3209,"&lt;"&amp;$A126+1)))</f>
        <v/>
      </c>
      <c r="AE126">
        <f>IF($B126=0,0,IF(Inputs!$B$7="",0,COUNTIFS(Data!$E$10:$E$3209,"&gt;="&amp;$A126,Data!$E$10:$E$3209,"&lt;"&amp;$A126+1)))</f>
        <v/>
      </c>
      <c r="AF126">
        <f>IF($B126=0,0,IF(Inputs!$B$8="",0,COUNTIFS(Data!$I$10:$I$3209,"&gt;="&amp;$A126,Data!$I$10:$I$3209,"&lt;"&amp;$A126+1)))</f>
        <v/>
      </c>
      <c r="AG126">
        <f>IF($B126=0,0,IF(Inputs!$B$9="",0,COUNTIFS(Data!$M$10:$M$3209,"&gt;="&amp;$A126,Data!$M$10:$M$3209,"&lt;"&amp;$A126+1)))</f>
        <v/>
      </c>
      <c r="AH126">
        <f>IF($B126=0,0,IF(Inputs!$B$10="",0,COUNTIFS(Data!$Q$10:$Q$3209,"&gt;="&amp;$A126,Data!$Q$10:$Q$3209,"&lt;"&amp;$A126+1)))</f>
        <v/>
      </c>
    </row>
    <row r="127">
      <c r="A127" s="55">
        <f>MIN(Inputs!$C$15,$A126+IF(WEEKDAY($A126,2)=5,3,1))</f>
        <v/>
      </c>
      <c r="B127">
        <f>IF($A127&gt;$A126,1,0)</f>
        <v/>
      </c>
      <c r="C127" s="56">
        <f>IF($B127=0,"",IF(Inputs!$B$6="","",IF($AD127=0,C126,SUMIFS(Data!$B$10:$B$3209,Data!$A$10:$A$3209,"&gt;="&amp;$A127,Data!$A$10:$A$3209,"&lt;"&amp;$A127+1)/$AD127)))</f>
        <v/>
      </c>
      <c r="D127" s="56">
        <f>IF($B127=0,"",IF(Inputs!$B$7="","",IF($AE127=0,D126,SUMIFS(Data!$F$10:$F$3209,Data!$E$10:$E$3209,"&gt;="&amp;$A127,Data!$E$10:$E$3209,"&lt;"&amp;$A127+1)/$AE127)))</f>
        <v/>
      </c>
      <c r="E127" s="56">
        <f>IF($B127=0,"",IF(Inputs!$B$8="","",IF($AF127=0,E126,SUMIFS(Data!$J$10:$J$3209,Data!$I$10:$I$3209,"&gt;="&amp;$A127,Data!$I$10:$I$3209,"&lt;"&amp;$A127+1)/$AF127)))</f>
        <v/>
      </c>
      <c r="F127" s="56">
        <f>IF($B127=0,"",IF(Inputs!$B$9="","",IF($AG127=0,F126,SUMIFS(Data!$N$10:$N$3209,Data!$M$10:$M$3209,"&gt;="&amp;$A127,Data!$M$10:$M$3209,"&lt;"&amp;$A127+1)/$AG127)))</f>
        <v/>
      </c>
      <c r="G127" s="56">
        <f>IF($B127=0,"",IF(Inputs!$B$10="","",IF($AH127=0,G126,SUMIFS(Data!$R$10:$R$3209,Data!$Q$10:$Q$3209,"&gt;="&amp;$A127,Data!$Q$10:$Q$3209,"&lt;"&amp;$A127+1)/$AH127)))</f>
        <v/>
      </c>
      <c r="I127" s="54">
        <f>IF($B127=0,NA(),IF($C127="",NA(),IF(C$8="",NA(),IF(N(C$8)=0,NA(),IF(Inputs!$C$17="Rebased to 100",$C127/C$8*100,$C127)))))</f>
        <v/>
      </c>
      <c r="J127" s="54">
        <f>IF($B127=0,NA(),IF($D127="",NA(),IF(D$8="",NA(),IF(N(D$8)=0,NA(),IF(Inputs!$C$17="Rebased to 100",$D127/D$8*100,$D127)))))</f>
        <v/>
      </c>
      <c r="K127" s="54">
        <f>IF($B127=0,NA(),IF($E127="",NA(),IF(E$8="",NA(),IF(N(E$8)=0,NA(),IF(Inputs!$C$17="Rebased to 100",$E127/E$8*100,$E127)))))</f>
        <v/>
      </c>
      <c r="L127" s="54">
        <f>IF($B127=0,NA(),IF($F127="",NA(),IF(F$8="",NA(),IF(N(F$8)=0,NA(),IF(Inputs!$C$17="Rebased to 100",$F127/F$8*100,$F127)))))</f>
        <v/>
      </c>
      <c r="M127" s="54">
        <f>IF($B127=0,NA(),IF($G127="",NA(),IF(G$8="",NA(),IF(N(G$8)=0,NA(),IF(Inputs!$C$17="Rebased to 100",$G127/G$8*100,$G127)))))</f>
        <v/>
      </c>
      <c r="N127" s="54">
        <f>IF($B127=0,NA(),IF(Inputs!$C$18&lt;&gt;"Yes",NA(),IF(COUNT(I127,J127,K127,L127,M127)=0,NA(),MIN(I127,J127,K127,L127,M127))))</f>
        <v/>
      </c>
      <c r="O127" s="54">
        <f>IF($B127=0,NA(),IF(Inputs!$B$24&lt;&gt;"Yes",NA(),Inputs!$D$24*Inputs!$C$35))</f>
        <v/>
      </c>
      <c r="P127" s="54">
        <f>IF($B127=0,NA(),IF(Inputs!$B$25&lt;&gt;"Yes",NA(),Inputs!$D$25*Inputs!$C$35))</f>
        <v/>
      </c>
      <c r="Q127" s="54">
        <f>IF($B127=0,NA(),IF(Inputs!$B$26&lt;&gt;"Yes",NA(),Inputs!$D$26*Inputs!$C$35))</f>
        <v/>
      </c>
      <c r="R127" s="54">
        <f>IF($B127=0,NA(),IF(Inputs!$B$27&lt;&gt;"Yes",NA(),Inputs!$D$27*Inputs!$C$35))</f>
        <v/>
      </c>
      <c r="S127" s="54">
        <f>IF($B127=0,NA(),IF(Inputs!$B$28&lt;&gt;"Yes",NA(),Inputs!$D$28*Inputs!$C$35))</f>
        <v/>
      </c>
      <c r="T127" s="54">
        <f>IF($B127=0,NA(),IF(Inputs!$B$29&lt;&gt;"Yes",NA(),Inputs!$D$29*Inputs!$C$35))</f>
        <v/>
      </c>
      <c r="AD127">
        <f>IF($B127=0,0,IF(Inputs!$B$6="",0,COUNTIFS(Data!$A$10:$A$3209,"&gt;="&amp;$A127,Data!$A$10:$A$3209,"&lt;"&amp;$A127+1)))</f>
        <v/>
      </c>
      <c r="AE127">
        <f>IF($B127=0,0,IF(Inputs!$B$7="",0,COUNTIFS(Data!$E$10:$E$3209,"&gt;="&amp;$A127,Data!$E$10:$E$3209,"&lt;"&amp;$A127+1)))</f>
        <v/>
      </c>
      <c r="AF127">
        <f>IF($B127=0,0,IF(Inputs!$B$8="",0,COUNTIFS(Data!$I$10:$I$3209,"&gt;="&amp;$A127,Data!$I$10:$I$3209,"&lt;"&amp;$A127+1)))</f>
        <v/>
      </c>
      <c r="AG127">
        <f>IF($B127=0,0,IF(Inputs!$B$9="",0,COUNTIFS(Data!$M$10:$M$3209,"&gt;="&amp;$A127,Data!$M$10:$M$3209,"&lt;"&amp;$A127+1)))</f>
        <v/>
      </c>
      <c r="AH127">
        <f>IF($B127=0,0,IF(Inputs!$B$10="",0,COUNTIFS(Data!$Q$10:$Q$3209,"&gt;="&amp;$A127,Data!$Q$10:$Q$3209,"&lt;"&amp;$A127+1)))</f>
        <v/>
      </c>
    </row>
    <row r="128">
      <c r="A128" s="55">
        <f>MIN(Inputs!$C$15,$A127+IF(WEEKDAY($A127,2)=5,3,1))</f>
        <v/>
      </c>
      <c r="B128">
        <f>IF($A128&gt;$A127,1,0)</f>
        <v/>
      </c>
      <c r="C128" s="56">
        <f>IF($B128=0,"",IF(Inputs!$B$6="","",IF($AD128=0,C127,SUMIFS(Data!$B$10:$B$3209,Data!$A$10:$A$3209,"&gt;="&amp;$A128,Data!$A$10:$A$3209,"&lt;"&amp;$A128+1)/$AD128)))</f>
        <v/>
      </c>
      <c r="D128" s="56">
        <f>IF($B128=0,"",IF(Inputs!$B$7="","",IF($AE128=0,D127,SUMIFS(Data!$F$10:$F$3209,Data!$E$10:$E$3209,"&gt;="&amp;$A128,Data!$E$10:$E$3209,"&lt;"&amp;$A128+1)/$AE128)))</f>
        <v/>
      </c>
      <c r="E128" s="56">
        <f>IF($B128=0,"",IF(Inputs!$B$8="","",IF($AF128=0,E127,SUMIFS(Data!$J$10:$J$3209,Data!$I$10:$I$3209,"&gt;="&amp;$A128,Data!$I$10:$I$3209,"&lt;"&amp;$A128+1)/$AF128)))</f>
        <v/>
      </c>
      <c r="F128" s="56">
        <f>IF($B128=0,"",IF(Inputs!$B$9="","",IF($AG128=0,F127,SUMIFS(Data!$N$10:$N$3209,Data!$M$10:$M$3209,"&gt;="&amp;$A128,Data!$M$10:$M$3209,"&lt;"&amp;$A128+1)/$AG128)))</f>
        <v/>
      </c>
      <c r="G128" s="56">
        <f>IF($B128=0,"",IF(Inputs!$B$10="","",IF($AH128=0,G127,SUMIFS(Data!$R$10:$R$3209,Data!$Q$10:$Q$3209,"&gt;="&amp;$A128,Data!$Q$10:$Q$3209,"&lt;"&amp;$A128+1)/$AH128)))</f>
        <v/>
      </c>
      <c r="I128" s="54">
        <f>IF($B128=0,NA(),IF($C128="",NA(),IF(C$8="",NA(),IF(N(C$8)=0,NA(),IF(Inputs!$C$17="Rebased to 100",$C128/C$8*100,$C128)))))</f>
        <v/>
      </c>
      <c r="J128" s="54">
        <f>IF($B128=0,NA(),IF($D128="",NA(),IF(D$8="",NA(),IF(N(D$8)=0,NA(),IF(Inputs!$C$17="Rebased to 100",$D128/D$8*100,$D128)))))</f>
        <v/>
      </c>
      <c r="K128" s="54">
        <f>IF($B128=0,NA(),IF($E128="",NA(),IF(E$8="",NA(),IF(N(E$8)=0,NA(),IF(Inputs!$C$17="Rebased to 100",$E128/E$8*100,$E128)))))</f>
        <v/>
      </c>
      <c r="L128" s="54">
        <f>IF($B128=0,NA(),IF($F128="",NA(),IF(F$8="",NA(),IF(N(F$8)=0,NA(),IF(Inputs!$C$17="Rebased to 100",$F128/F$8*100,$F128)))))</f>
        <v/>
      </c>
      <c r="M128" s="54">
        <f>IF($B128=0,NA(),IF($G128="",NA(),IF(G$8="",NA(),IF(N(G$8)=0,NA(),IF(Inputs!$C$17="Rebased to 100",$G128/G$8*100,$G128)))))</f>
        <v/>
      </c>
      <c r="N128" s="54">
        <f>IF($B128=0,NA(),IF(Inputs!$C$18&lt;&gt;"Yes",NA(),IF(COUNT(I128,J128,K128,L128,M128)=0,NA(),MIN(I128,J128,K128,L128,M128))))</f>
        <v/>
      </c>
      <c r="O128" s="54">
        <f>IF($B128=0,NA(),IF(Inputs!$B$24&lt;&gt;"Yes",NA(),Inputs!$D$24*Inputs!$C$35))</f>
        <v/>
      </c>
      <c r="P128" s="54">
        <f>IF($B128=0,NA(),IF(Inputs!$B$25&lt;&gt;"Yes",NA(),Inputs!$D$25*Inputs!$C$35))</f>
        <v/>
      </c>
      <c r="Q128" s="54">
        <f>IF($B128=0,NA(),IF(Inputs!$B$26&lt;&gt;"Yes",NA(),Inputs!$D$26*Inputs!$C$35))</f>
        <v/>
      </c>
      <c r="R128" s="54">
        <f>IF($B128=0,NA(),IF(Inputs!$B$27&lt;&gt;"Yes",NA(),Inputs!$D$27*Inputs!$C$35))</f>
        <v/>
      </c>
      <c r="S128" s="54">
        <f>IF($B128=0,NA(),IF(Inputs!$B$28&lt;&gt;"Yes",NA(),Inputs!$D$28*Inputs!$C$35))</f>
        <v/>
      </c>
      <c r="T128" s="54">
        <f>IF($B128=0,NA(),IF(Inputs!$B$29&lt;&gt;"Yes",NA(),Inputs!$D$29*Inputs!$C$35))</f>
        <v/>
      </c>
      <c r="AD128">
        <f>IF($B128=0,0,IF(Inputs!$B$6="",0,COUNTIFS(Data!$A$10:$A$3209,"&gt;="&amp;$A128,Data!$A$10:$A$3209,"&lt;"&amp;$A128+1)))</f>
        <v/>
      </c>
      <c r="AE128">
        <f>IF($B128=0,0,IF(Inputs!$B$7="",0,COUNTIFS(Data!$E$10:$E$3209,"&gt;="&amp;$A128,Data!$E$10:$E$3209,"&lt;"&amp;$A128+1)))</f>
        <v/>
      </c>
      <c r="AF128">
        <f>IF($B128=0,0,IF(Inputs!$B$8="",0,COUNTIFS(Data!$I$10:$I$3209,"&gt;="&amp;$A128,Data!$I$10:$I$3209,"&lt;"&amp;$A128+1)))</f>
        <v/>
      </c>
      <c r="AG128">
        <f>IF($B128=0,0,IF(Inputs!$B$9="",0,COUNTIFS(Data!$M$10:$M$3209,"&gt;="&amp;$A128,Data!$M$10:$M$3209,"&lt;"&amp;$A128+1)))</f>
        <v/>
      </c>
      <c r="AH128">
        <f>IF($B128=0,0,IF(Inputs!$B$10="",0,COUNTIFS(Data!$Q$10:$Q$3209,"&gt;="&amp;$A128,Data!$Q$10:$Q$3209,"&lt;"&amp;$A128+1)))</f>
        <v/>
      </c>
    </row>
    <row r="129">
      <c r="A129" s="55">
        <f>MIN(Inputs!$C$15,$A128+IF(WEEKDAY($A128,2)=5,3,1))</f>
        <v/>
      </c>
      <c r="B129">
        <f>IF($A129&gt;$A128,1,0)</f>
        <v/>
      </c>
      <c r="C129" s="56">
        <f>IF($B129=0,"",IF(Inputs!$B$6="","",IF($AD129=0,C128,SUMIFS(Data!$B$10:$B$3209,Data!$A$10:$A$3209,"&gt;="&amp;$A129,Data!$A$10:$A$3209,"&lt;"&amp;$A129+1)/$AD129)))</f>
        <v/>
      </c>
      <c r="D129" s="56">
        <f>IF($B129=0,"",IF(Inputs!$B$7="","",IF($AE129=0,D128,SUMIFS(Data!$F$10:$F$3209,Data!$E$10:$E$3209,"&gt;="&amp;$A129,Data!$E$10:$E$3209,"&lt;"&amp;$A129+1)/$AE129)))</f>
        <v/>
      </c>
      <c r="E129" s="56">
        <f>IF($B129=0,"",IF(Inputs!$B$8="","",IF($AF129=0,E128,SUMIFS(Data!$J$10:$J$3209,Data!$I$10:$I$3209,"&gt;="&amp;$A129,Data!$I$10:$I$3209,"&lt;"&amp;$A129+1)/$AF129)))</f>
        <v/>
      </c>
      <c r="F129" s="56">
        <f>IF($B129=0,"",IF(Inputs!$B$9="","",IF($AG129=0,F128,SUMIFS(Data!$N$10:$N$3209,Data!$M$10:$M$3209,"&gt;="&amp;$A129,Data!$M$10:$M$3209,"&lt;"&amp;$A129+1)/$AG129)))</f>
        <v/>
      </c>
      <c r="G129" s="56">
        <f>IF($B129=0,"",IF(Inputs!$B$10="","",IF($AH129=0,G128,SUMIFS(Data!$R$10:$R$3209,Data!$Q$10:$Q$3209,"&gt;="&amp;$A129,Data!$Q$10:$Q$3209,"&lt;"&amp;$A129+1)/$AH129)))</f>
        <v/>
      </c>
      <c r="I129" s="54">
        <f>IF($B129=0,NA(),IF($C129="",NA(),IF(C$8="",NA(),IF(N(C$8)=0,NA(),IF(Inputs!$C$17="Rebased to 100",$C129/C$8*100,$C129)))))</f>
        <v/>
      </c>
      <c r="J129" s="54">
        <f>IF($B129=0,NA(),IF($D129="",NA(),IF(D$8="",NA(),IF(N(D$8)=0,NA(),IF(Inputs!$C$17="Rebased to 100",$D129/D$8*100,$D129)))))</f>
        <v/>
      </c>
      <c r="K129" s="54">
        <f>IF($B129=0,NA(),IF($E129="",NA(),IF(E$8="",NA(),IF(N(E$8)=0,NA(),IF(Inputs!$C$17="Rebased to 100",$E129/E$8*100,$E129)))))</f>
        <v/>
      </c>
      <c r="L129" s="54">
        <f>IF($B129=0,NA(),IF($F129="",NA(),IF(F$8="",NA(),IF(N(F$8)=0,NA(),IF(Inputs!$C$17="Rebased to 100",$F129/F$8*100,$F129)))))</f>
        <v/>
      </c>
      <c r="M129" s="54">
        <f>IF($B129=0,NA(),IF($G129="",NA(),IF(G$8="",NA(),IF(N(G$8)=0,NA(),IF(Inputs!$C$17="Rebased to 100",$G129/G$8*100,$G129)))))</f>
        <v/>
      </c>
      <c r="N129" s="54">
        <f>IF($B129=0,NA(),IF(Inputs!$C$18&lt;&gt;"Yes",NA(),IF(COUNT(I129,J129,K129,L129,M129)=0,NA(),MIN(I129,J129,K129,L129,M129))))</f>
        <v/>
      </c>
      <c r="O129" s="54">
        <f>IF($B129=0,NA(),IF(Inputs!$B$24&lt;&gt;"Yes",NA(),Inputs!$D$24*Inputs!$C$35))</f>
        <v/>
      </c>
      <c r="P129" s="54">
        <f>IF($B129=0,NA(),IF(Inputs!$B$25&lt;&gt;"Yes",NA(),Inputs!$D$25*Inputs!$C$35))</f>
        <v/>
      </c>
      <c r="Q129" s="54">
        <f>IF($B129=0,NA(),IF(Inputs!$B$26&lt;&gt;"Yes",NA(),Inputs!$D$26*Inputs!$C$35))</f>
        <v/>
      </c>
      <c r="R129" s="54">
        <f>IF($B129=0,NA(),IF(Inputs!$B$27&lt;&gt;"Yes",NA(),Inputs!$D$27*Inputs!$C$35))</f>
        <v/>
      </c>
      <c r="S129" s="54">
        <f>IF($B129=0,NA(),IF(Inputs!$B$28&lt;&gt;"Yes",NA(),Inputs!$D$28*Inputs!$C$35))</f>
        <v/>
      </c>
      <c r="T129" s="54">
        <f>IF($B129=0,NA(),IF(Inputs!$B$29&lt;&gt;"Yes",NA(),Inputs!$D$29*Inputs!$C$35))</f>
        <v/>
      </c>
      <c r="AD129">
        <f>IF($B129=0,0,IF(Inputs!$B$6="",0,COUNTIFS(Data!$A$10:$A$3209,"&gt;="&amp;$A129,Data!$A$10:$A$3209,"&lt;"&amp;$A129+1)))</f>
        <v/>
      </c>
      <c r="AE129">
        <f>IF($B129=0,0,IF(Inputs!$B$7="",0,COUNTIFS(Data!$E$10:$E$3209,"&gt;="&amp;$A129,Data!$E$10:$E$3209,"&lt;"&amp;$A129+1)))</f>
        <v/>
      </c>
      <c r="AF129">
        <f>IF($B129=0,0,IF(Inputs!$B$8="",0,COUNTIFS(Data!$I$10:$I$3209,"&gt;="&amp;$A129,Data!$I$10:$I$3209,"&lt;"&amp;$A129+1)))</f>
        <v/>
      </c>
      <c r="AG129">
        <f>IF($B129=0,0,IF(Inputs!$B$9="",0,COUNTIFS(Data!$M$10:$M$3209,"&gt;="&amp;$A129,Data!$M$10:$M$3209,"&lt;"&amp;$A129+1)))</f>
        <v/>
      </c>
      <c r="AH129">
        <f>IF($B129=0,0,IF(Inputs!$B$10="",0,COUNTIFS(Data!$Q$10:$Q$3209,"&gt;="&amp;$A129,Data!$Q$10:$Q$3209,"&lt;"&amp;$A129+1)))</f>
        <v/>
      </c>
    </row>
    <row r="130">
      <c r="A130" s="55">
        <f>MIN(Inputs!$C$15,$A129+IF(WEEKDAY($A129,2)=5,3,1))</f>
        <v/>
      </c>
      <c r="B130">
        <f>IF($A130&gt;$A129,1,0)</f>
        <v/>
      </c>
      <c r="C130" s="56">
        <f>IF($B130=0,"",IF(Inputs!$B$6="","",IF($AD130=0,C129,SUMIFS(Data!$B$10:$B$3209,Data!$A$10:$A$3209,"&gt;="&amp;$A130,Data!$A$10:$A$3209,"&lt;"&amp;$A130+1)/$AD130)))</f>
        <v/>
      </c>
      <c r="D130" s="56">
        <f>IF($B130=0,"",IF(Inputs!$B$7="","",IF($AE130=0,D129,SUMIFS(Data!$F$10:$F$3209,Data!$E$10:$E$3209,"&gt;="&amp;$A130,Data!$E$10:$E$3209,"&lt;"&amp;$A130+1)/$AE130)))</f>
        <v/>
      </c>
      <c r="E130" s="56">
        <f>IF($B130=0,"",IF(Inputs!$B$8="","",IF($AF130=0,E129,SUMIFS(Data!$J$10:$J$3209,Data!$I$10:$I$3209,"&gt;="&amp;$A130,Data!$I$10:$I$3209,"&lt;"&amp;$A130+1)/$AF130)))</f>
        <v/>
      </c>
      <c r="F130" s="56">
        <f>IF($B130=0,"",IF(Inputs!$B$9="","",IF($AG130=0,F129,SUMIFS(Data!$N$10:$N$3209,Data!$M$10:$M$3209,"&gt;="&amp;$A130,Data!$M$10:$M$3209,"&lt;"&amp;$A130+1)/$AG130)))</f>
        <v/>
      </c>
      <c r="G130" s="56">
        <f>IF($B130=0,"",IF(Inputs!$B$10="","",IF($AH130=0,G129,SUMIFS(Data!$R$10:$R$3209,Data!$Q$10:$Q$3209,"&gt;="&amp;$A130,Data!$Q$10:$Q$3209,"&lt;"&amp;$A130+1)/$AH130)))</f>
        <v/>
      </c>
      <c r="I130" s="54">
        <f>IF($B130=0,NA(),IF($C130="",NA(),IF(C$8="",NA(),IF(N(C$8)=0,NA(),IF(Inputs!$C$17="Rebased to 100",$C130/C$8*100,$C130)))))</f>
        <v/>
      </c>
      <c r="J130" s="54">
        <f>IF($B130=0,NA(),IF($D130="",NA(),IF(D$8="",NA(),IF(N(D$8)=0,NA(),IF(Inputs!$C$17="Rebased to 100",$D130/D$8*100,$D130)))))</f>
        <v/>
      </c>
      <c r="K130" s="54">
        <f>IF($B130=0,NA(),IF($E130="",NA(),IF(E$8="",NA(),IF(N(E$8)=0,NA(),IF(Inputs!$C$17="Rebased to 100",$E130/E$8*100,$E130)))))</f>
        <v/>
      </c>
      <c r="L130" s="54">
        <f>IF($B130=0,NA(),IF($F130="",NA(),IF(F$8="",NA(),IF(N(F$8)=0,NA(),IF(Inputs!$C$17="Rebased to 100",$F130/F$8*100,$F130)))))</f>
        <v/>
      </c>
      <c r="M130" s="54">
        <f>IF($B130=0,NA(),IF($G130="",NA(),IF(G$8="",NA(),IF(N(G$8)=0,NA(),IF(Inputs!$C$17="Rebased to 100",$G130/G$8*100,$G130)))))</f>
        <v/>
      </c>
      <c r="N130" s="54">
        <f>IF($B130=0,NA(),IF(Inputs!$C$18&lt;&gt;"Yes",NA(),IF(COUNT(I130,J130,K130,L130,M130)=0,NA(),MIN(I130,J130,K130,L130,M130))))</f>
        <v/>
      </c>
      <c r="O130" s="54">
        <f>IF($B130=0,NA(),IF(Inputs!$B$24&lt;&gt;"Yes",NA(),Inputs!$D$24*Inputs!$C$35))</f>
        <v/>
      </c>
      <c r="P130" s="54">
        <f>IF($B130=0,NA(),IF(Inputs!$B$25&lt;&gt;"Yes",NA(),Inputs!$D$25*Inputs!$C$35))</f>
        <v/>
      </c>
      <c r="Q130" s="54">
        <f>IF($B130=0,NA(),IF(Inputs!$B$26&lt;&gt;"Yes",NA(),Inputs!$D$26*Inputs!$C$35))</f>
        <v/>
      </c>
      <c r="R130" s="54">
        <f>IF($B130=0,NA(),IF(Inputs!$B$27&lt;&gt;"Yes",NA(),Inputs!$D$27*Inputs!$C$35))</f>
        <v/>
      </c>
      <c r="S130" s="54">
        <f>IF($B130=0,NA(),IF(Inputs!$B$28&lt;&gt;"Yes",NA(),Inputs!$D$28*Inputs!$C$35))</f>
        <v/>
      </c>
      <c r="T130" s="54">
        <f>IF($B130=0,NA(),IF(Inputs!$B$29&lt;&gt;"Yes",NA(),Inputs!$D$29*Inputs!$C$35))</f>
        <v/>
      </c>
      <c r="AD130">
        <f>IF($B130=0,0,IF(Inputs!$B$6="",0,COUNTIFS(Data!$A$10:$A$3209,"&gt;="&amp;$A130,Data!$A$10:$A$3209,"&lt;"&amp;$A130+1)))</f>
        <v/>
      </c>
      <c r="AE130">
        <f>IF($B130=0,0,IF(Inputs!$B$7="",0,COUNTIFS(Data!$E$10:$E$3209,"&gt;="&amp;$A130,Data!$E$10:$E$3209,"&lt;"&amp;$A130+1)))</f>
        <v/>
      </c>
      <c r="AF130">
        <f>IF($B130=0,0,IF(Inputs!$B$8="",0,COUNTIFS(Data!$I$10:$I$3209,"&gt;="&amp;$A130,Data!$I$10:$I$3209,"&lt;"&amp;$A130+1)))</f>
        <v/>
      </c>
      <c r="AG130">
        <f>IF($B130=0,0,IF(Inputs!$B$9="",0,COUNTIFS(Data!$M$10:$M$3209,"&gt;="&amp;$A130,Data!$M$10:$M$3209,"&lt;"&amp;$A130+1)))</f>
        <v/>
      </c>
      <c r="AH130">
        <f>IF($B130=0,0,IF(Inputs!$B$10="",0,COUNTIFS(Data!$Q$10:$Q$3209,"&gt;="&amp;$A130,Data!$Q$10:$Q$3209,"&lt;"&amp;$A130+1)))</f>
        <v/>
      </c>
    </row>
    <row r="131">
      <c r="A131" s="55">
        <f>MIN(Inputs!$C$15,$A130+IF(WEEKDAY($A130,2)=5,3,1))</f>
        <v/>
      </c>
      <c r="B131">
        <f>IF($A131&gt;$A130,1,0)</f>
        <v/>
      </c>
      <c r="C131" s="56">
        <f>IF($B131=0,"",IF(Inputs!$B$6="","",IF($AD131=0,C130,SUMIFS(Data!$B$10:$B$3209,Data!$A$10:$A$3209,"&gt;="&amp;$A131,Data!$A$10:$A$3209,"&lt;"&amp;$A131+1)/$AD131)))</f>
        <v/>
      </c>
      <c r="D131" s="56">
        <f>IF($B131=0,"",IF(Inputs!$B$7="","",IF($AE131=0,D130,SUMIFS(Data!$F$10:$F$3209,Data!$E$10:$E$3209,"&gt;="&amp;$A131,Data!$E$10:$E$3209,"&lt;"&amp;$A131+1)/$AE131)))</f>
        <v/>
      </c>
      <c r="E131" s="56">
        <f>IF($B131=0,"",IF(Inputs!$B$8="","",IF($AF131=0,E130,SUMIFS(Data!$J$10:$J$3209,Data!$I$10:$I$3209,"&gt;="&amp;$A131,Data!$I$10:$I$3209,"&lt;"&amp;$A131+1)/$AF131)))</f>
        <v/>
      </c>
      <c r="F131" s="56">
        <f>IF($B131=0,"",IF(Inputs!$B$9="","",IF($AG131=0,F130,SUMIFS(Data!$N$10:$N$3209,Data!$M$10:$M$3209,"&gt;="&amp;$A131,Data!$M$10:$M$3209,"&lt;"&amp;$A131+1)/$AG131)))</f>
        <v/>
      </c>
      <c r="G131" s="56">
        <f>IF($B131=0,"",IF(Inputs!$B$10="","",IF($AH131=0,G130,SUMIFS(Data!$R$10:$R$3209,Data!$Q$10:$Q$3209,"&gt;="&amp;$A131,Data!$Q$10:$Q$3209,"&lt;"&amp;$A131+1)/$AH131)))</f>
        <v/>
      </c>
      <c r="I131" s="54">
        <f>IF($B131=0,NA(),IF($C131="",NA(),IF(C$8="",NA(),IF(N(C$8)=0,NA(),IF(Inputs!$C$17="Rebased to 100",$C131/C$8*100,$C131)))))</f>
        <v/>
      </c>
      <c r="J131" s="54">
        <f>IF($B131=0,NA(),IF($D131="",NA(),IF(D$8="",NA(),IF(N(D$8)=0,NA(),IF(Inputs!$C$17="Rebased to 100",$D131/D$8*100,$D131)))))</f>
        <v/>
      </c>
      <c r="K131" s="54">
        <f>IF($B131=0,NA(),IF($E131="",NA(),IF(E$8="",NA(),IF(N(E$8)=0,NA(),IF(Inputs!$C$17="Rebased to 100",$E131/E$8*100,$E131)))))</f>
        <v/>
      </c>
      <c r="L131" s="54">
        <f>IF($B131=0,NA(),IF($F131="",NA(),IF(F$8="",NA(),IF(N(F$8)=0,NA(),IF(Inputs!$C$17="Rebased to 100",$F131/F$8*100,$F131)))))</f>
        <v/>
      </c>
      <c r="M131" s="54">
        <f>IF($B131=0,NA(),IF($G131="",NA(),IF(G$8="",NA(),IF(N(G$8)=0,NA(),IF(Inputs!$C$17="Rebased to 100",$G131/G$8*100,$G131)))))</f>
        <v/>
      </c>
      <c r="N131" s="54">
        <f>IF($B131=0,NA(),IF(Inputs!$C$18&lt;&gt;"Yes",NA(),IF(COUNT(I131,J131,K131,L131,M131)=0,NA(),MIN(I131,J131,K131,L131,M131))))</f>
        <v/>
      </c>
      <c r="O131" s="54">
        <f>IF($B131=0,NA(),IF(Inputs!$B$24&lt;&gt;"Yes",NA(),Inputs!$D$24*Inputs!$C$35))</f>
        <v/>
      </c>
      <c r="P131" s="54">
        <f>IF($B131=0,NA(),IF(Inputs!$B$25&lt;&gt;"Yes",NA(),Inputs!$D$25*Inputs!$C$35))</f>
        <v/>
      </c>
      <c r="Q131" s="54">
        <f>IF($B131=0,NA(),IF(Inputs!$B$26&lt;&gt;"Yes",NA(),Inputs!$D$26*Inputs!$C$35))</f>
        <v/>
      </c>
      <c r="R131" s="54">
        <f>IF($B131=0,NA(),IF(Inputs!$B$27&lt;&gt;"Yes",NA(),Inputs!$D$27*Inputs!$C$35))</f>
        <v/>
      </c>
      <c r="S131" s="54">
        <f>IF($B131=0,NA(),IF(Inputs!$B$28&lt;&gt;"Yes",NA(),Inputs!$D$28*Inputs!$C$35))</f>
        <v/>
      </c>
      <c r="T131" s="54">
        <f>IF($B131=0,NA(),IF(Inputs!$B$29&lt;&gt;"Yes",NA(),Inputs!$D$29*Inputs!$C$35))</f>
        <v/>
      </c>
      <c r="AD131">
        <f>IF($B131=0,0,IF(Inputs!$B$6="",0,COUNTIFS(Data!$A$10:$A$3209,"&gt;="&amp;$A131,Data!$A$10:$A$3209,"&lt;"&amp;$A131+1)))</f>
        <v/>
      </c>
      <c r="AE131">
        <f>IF($B131=0,0,IF(Inputs!$B$7="",0,COUNTIFS(Data!$E$10:$E$3209,"&gt;="&amp;$A131,Data!$E$10:$E$3209,"&lt;"&amp;$A131+1)))</f>
        <v/>
      </c>
      <c r="AF131">
        <f>IF($B131=0,0,IF(Inputs!$B$8="",0,COUNTIFS(Data!$I$10:$I$3209,"&gt;="&amp;$A131,Data!$I$10:$I$3209,"&lt;"&amp;$A131+1)))</f>
        <v/>
      </c>
      <c r="AG131">
        <f>IF($B131=0,0,IF(Inputs!$B$9="",0,COUNTIFS(Data!$M$10:$M$3209,"&gt;="&amp;$A131,Data!$M$10:$M$3209,"&lt;"&amp;$A131+1)))</f>
        <v/>
      </c>
      <c r="AH131">
        <f>IF($B131=0,0,IF(Inputs!$B$10="",0,COUNTIFS(Data!$Q$10:$Q$3209,"&gt;="&amp;$A131,Data!$Q$10:$Q$3209,"&lt;"&amp;$A131+1)))</f>
        <v/>
      </c>
    </row>
    <row r="132">
      <c r="A132" s="55">
        <f>MIN(Inputs!$C$15,$A131+IF(WEEKDAY($A131,2)=5,3,1))</f>
        <v/>
      </c>
      <c r="B132">
        <f>IF($A132&gt;$A131,1,0)</f>
        <v/>
      </c>
      <c r="C132" s="56">
        <f>IF($B132=0,"",IF(Inputs!$B$6="","",IF($AD132=0,C131,SUMIFS(Data!$B$10:$B$3209,Data!$A$10:$A$3209,"&gt;="&amp;$A132,Data!$A$10:$A$3209,"&lt;"&amp;$A132+1)/$AD132)))</f>
        <v/>
      </c>
      <c r="D132" s="56">
        <f>IF($B132=0,"",IF(Inputs!$B$7="","",IF($AE132=0,D131,SUMIFS(Data!$F$10:$F$3209,Data!$E$10:$E$3209,"&gt;="&amp;$A132,Data!$E$10:$E$3209,"&lt;"&amp;$A132+1)/$AE132)))</f>
        <v/>
      </c>
      <c r="E132" s="56">
        <f>IF($B132=0,"",IF(Inputs!$B$8="","",IF($AF132=0,E131,SUMIFS(Data!$J$10:$J$3209,Data!$I$10:$I$3209,"&gt;="&amp;$A132,Data!$I$10:$I$3209,"&lt;"&amp;$A132+1)/$AF132)))</f>
        <v/>
      </c>
      <c r="F132" s="56">
        <f>IF($B132=0,"",IF(Inputs!$B$9="","",IF($AG132=0,F131,SUMIFS(Data!$N$10:$N$3209,Data!$M$10:$M$3209,"&gt;="&amp;$A132,Data!$M$10:$M$3209,"&lt;"&amp;$A132+1)/$AG132)))</f>
        <v/>
      </c>
      <c r="G132" s="56">
        <f>IF($B132=0,"",IF(Inputs!$B$10="","",IF($AH132=0,G131,SUMIFS(Data!$R$10:$R$3209,Data!$Q$10:$Q$3209,"&gt;="&amp;$A132,Data!$Q$10:$Q$3209,"&lt;"&amp;$A132+1)/$AH132)))</f>
        <v/>
      </c>
      <c r="I132" s="54">
        <f>IF($B132=0,NA(),IF($C132="",NA(),IF(C$8="",NA(),IF(N(C$8)=0,NA(),IF(Inputs!$C$17="Rebased to 100",$C132/C$8*100,$C132)))))</f>
        <v/>
      </c>
      <c r="J132" s="54">
        <f>IF($B132=0,NA(),IF($D132="",NA(),IF(D$8="",NA(),IF(N(D$8)=0,NA(),IF(Inputs!$C$17="Rebased to 100",$D132/D$8*100,$D132)))))</f>
        <v/>
      </c>
      <c r="K132" s="54">
        <f>IF($B132=0,NA(),IF($E132="",NA(),IF(E$8="",NA(),IF(N(E$8)=0,NA(),IF(Inputs!$C$17="Rebased to 100",$E132/E$8*100,$E132)))))</f>
        <v/>
      </c>
      <c r="L132" s="54">
        <f>IF($B132=0,NA(),IF($F132="",NA(),IF(F$8="",NA(),IF(N(F$8)=0,NA(),IF(Inputs!$C$17="Rebased to 100",$F132/F$8*100,$F132)))))</f>
        <v/>
      </c>
      <c r="M132" s="54">
        <f>IF($B132=0,NA(),IF($G132="",NA(),IF(G$8="",NA(),IF(N(G$8)=0,NA(),IF(Inputs!$C$17="Rebased to 100",$G132/G$8*100,$G132)))))</f>
        <v/>
      </c>
      <c r="N132" s="54">
        <f>IF($B132=0,NA(),IF(Inputs!$C$18&lt;&gt;"Yes",NA(),IF(COUNT(I132,J132,K132,L132,M132)=0,NA(),MIN(I132,J132,K132,L132,M132))))</f>
        <v/>
      </c>
      <c r="O132" s="54">
        <f>IF($B132=0,NA(),IF(Inputs!$B$24&lt;&gt;"Yes",NA(),Inputs!$D$24*Inputs!$C$35))</f>
        <v/>
      </c>
      <c r="P132" s="54">
        <f>IF($B132=0,NA(),IF(Inputs!$B$25&lt;&gt;"Yes",NA(),Inputs!$D$25*Inputs!$C$35))</f>
        <v/>
      </c>
      <c r="Q132" s="54">
        <f>IF($B132=0,NA(),IF(Inputs!$B$26&lt;&gt;"Yes",NA(),Inputs!$D$26*Inputs!$C$35))</f>
        <v/>
      </c>
      <c r="R132" s="54">
        <f>IF($B132=0,NA(),IF(Inputs!$B$27&lt;&gt;"Yes",NA(),Inputs!$D$27*Inputs!$C$35))</f>
        <v/>
      </c>
      <c r="S132" s="54">
        <f>IF($B132=0,NA(),IF(Inputs!$B$28&lt;&gt;"Yes",NA(),Inputs!$D$28*Inputs!$C$35))</f>
        <v/>
      </c>
      <c r="T132" s="54">
        <f>IF($B132=0,NA(),IF(Inputs!$B$29&lt;&gt;"Yes",NA(),Inputs!$D$29*Inputs!$C$35))</f>
        <v/>
      </c>
      <c r="AD132">
        <f>IF($B132=0,0,IF(Inputs!$B$6="",0,COUNTIFS(Data!$A$10:$A$3209,"&gt;="&amp;$A132,Data!$A$10:$A$3209,"&lt;"&amp;$A132+1)))</f>
        <v/>
      </c>
      <c r="AE132">
        <f>IF($B132=0,0,IF(Inputs!$B$7="",0,COUNTIFS(Data!$E$10:$E$3209,"&gt;="&amp;$A132,Data!$E$10:$E$3209,"&lt;"&amp;$A132+1)))</f>
        <v/>
      </c>
      <c r="AF132">
        <f>IF($B132=0,0,IF(Inputs!$B$8="",0,COUNTIFS(Data!$I$10:$I$3209,"&gt;="&amp;$A132,Data!$I$10:$I$3209,"&lt;"&amp;$A132+1)))</f>
        <v/>
      </c>
      <c r="AG132">
        <f>IF($B132=0,0,IF(Inputs!$B$9="",0,COUNTIFS(Data!$M$10:$M$3209,"&gt;="&amp;$A132,Data!$M$10:$M$3209,"&lt;"&amp;$A132+1)))</f>
        <v/>
      </c>
      <c r="AH132">
        <f>IF($B132=0,0,IF(Inputs!$B$10="",0,COUNTIFS(Data!$Q$10:$Q$3209,"&gt;="&amp;$A132,Data!$Q$10:$Q$3209,"&lt;"&amp;$A132+1)))</f>
        <v/>
      </c>
    </row>
    <row r="133">
      <c r="A133" s="55">
        <f>MIN(Inputs!$C$15,$A132+IF(WEEKDAY($A132,2)=5,3,1))</f>
        <v/>
      </c>
      <c r="B133">
        <f>IF($A133&gt;$A132,1,0)</f>
        <v/>
      </c>
      <c r="C133" s="56">
        <f>IF($B133=0,"",IF(Inputs!$B$6="","",IF($AD133=0,C132,SUMIFS(Data!$B$10:$B$3209,Data!$A$10:$A$3209,"&gt;="&amp;$A133,Data!$A$10:$A$3209,"&lt;"&amp;$A133+1)/$AD133)))</f>
        <v/>
      </c>
      <c r="D133" s="56">
        <f>IF($B133=0,"",IF(Inputs!$B$7="","",IF($AE133=0,D132,SUMIFS(Data!$F$10:$F$3209,Data!$E$10:$E$3209,"&gt;="&amp;$A133,Data!$E$10:$E$3209,"&lt;"&amp;$A133+1)/$AE133)))</f>
        <v/>
      </c>
      <c r="E133" s="56">
        <f>IF($B133=0,"",IF(Inputs!$B$8="","",IF($AF133=0,E132,SUMIFS(Data!$J$10:$J$3209,Data!$I$10:$I$3209,"&gt;="&amp;$A133,Data!$I$10:$I$3209,"&lt;"&amp;$A133+1)/$AF133)))</f>
        <v/>
      </c>
      <c r="F133" s="56">
        <f>IF($B133=0,"",IF(Inputs!$B$9="","",IF($AG133=0,F132,SUMIFS(Data!$N$10:$N$3209,Data!$M$10:$M$3209,"&gt;="&amp;$A133,Data!$M$10:$M$3209,"&lt;"&amp;$A133+1)/$AG133)))</f>
        <v/>
      </c>
      <c r="G133" s="56">
        <f>IF($B133=0,"",IF(Inputs!$B$10="","",IF($AH133=0,G132,SUMIFS(Data!$R$10:$R$3209,Data!$Q$10:$Q$3209,"&gt;="&amp;$A133,Data!$Q$10:$Q$3209,"&lt;"&amp;$A133+1)/$AH133)))</f>
        <v/>
      </c>
      <c r="I133" s="54">
        <f>IF($B133=0,NA(),IF($C133="",NA(),IF(C$8="",NA(),IF(N(C$8)=0,NA(),IF(Inputs!$C$17="Rebased to 100",$C133/C$8*100,$C133)))))</f>
        <v/>
      </c>
      <c r="J133" s="54">
        <f>IF($B133=0,NA(),IF($D133="",NA(),IF(D$8="",NA(),IF(N(D$8)=0,NA(),IF(Inputs!$C$17="Rebased to 100",$D133/D$8*100,$D133)))))</f>
        <v/>
      </c>
      <c r="K133" s="54">
        <f>IF($B133=0,NA(),IF($E133="",NA(),IF(E$8="",NA(),IF(N(E$8)=0,NA(),IF(Inputs!$C$17="Rebased to 100",$E133/E$8*100,$E133)))))</f>
        <v/>
      </c>
      <c r="L133" s="54">
        <f>IF($B133=0,NA(),IF($F133="",NA(),IF(F$8="",NA(),IF(N(F$8)=0,NA(),IF(Inputs!$C$17="Rebased to 100",$F133/F$8*100,$F133)))))</f>
        <v/>
      </c>
      <c r="M133" s="54">
        <f>IF($B133=0,NA(),IF($G133="",NA(),IF(G$8="",NA(),IF(N(G$8)=0,NA(),IF(Inputs!$C$17="Rebased to 100",$G133/G$8*100,$G133)))))</f>
        <v/>
      </c>
      <c r="N133" s="54">
        <f>IF($B133=0,NA(),IF(Inputs!$C$18&lt;&gt;"Yes",NA(),IF(COUNT(I133,J133,K133,L133,M133)=0,NA(),MIN(I133,J133,K133,L133,M133))))</f>
        <v/>
      </c>
      <c r="O133" s="54">
        <f>IF($B133=0,NA(),IF(Inputs!$B$24&lt;&gt;"Yes",NA(),Inputs!$D$24*Inputs!$C$35))</f>
        <v/>
      </c>
      <c r="P133" s="54">
        <f>IF($B133=0,NA(),IF(Inputs!$B$25&lt;&gt;"Yes",NA(),Inputs!$D$25*Inputs!$C$35))</f>
        <v/>
      </c>
      <c r="Q133" s="54">
        <f>IF($B133=0,NA(),IF(Inputs!$B$26&lt;&gt;"Yes",NA(),Inputs!$D$26*Inputs!$C$35))</f>
        <v/>
      </c>
      <c r="R133" s="54">
        <f>IF($B133=0,NA(),IF(Inputs!$B$27&lt;&gt;"Yes",NA(),Inputs!$D$27*Inputs!$C$35))</f>
        <v/>
      </c>
      <c r="S133" s="54">
        <f>IF($B133=0,NA(),IF(Inputs!$B$28&lt;&gt;"Yes",NA(),Inputs!$D$28*Inputs!$C$35))</f>
        <v/>
      </c>
      <c r="T133" s="54">
        <f>IF($B133=0,NA(),IF(Inputs!$B$29&lt;&gt;"Yes",NA(),Inputs!$D$29*Inputs!$C$35))</f>
        <v/>
      </c>
      <c r="AD133">
        <f>IF($B133=0,0,IF(Inputs!$B$6="",0,COUNTIFS(Data!$A$10:$A$3209,"&gt;="&amp;$A133,Data!$A$10:$A$3209,"&lt;"&amp;$A133+1)))</f>
        <v/>
      </c>
      <c r="AE133">
        <f>IF($B133=0,0,IF(Inputs!$B$7="",0,COUNTIFS(Data!$E$10:$E$3209,"&gt;="&amp;$A133,Data!$E$10:$E$3209,"&lt;"&amp;$A133+1)))</f>
        <v/>
      </c>
      <c r="AF133">
        <f>IF($B133=0,0,IF(Inputs!$B$8="",0,COUNTIFS(Data!$I$10:$I$3209,"&gt;="&amp;$A133,Data!$I$10:$I$3209,"&lt;"&amp;$A133+1)))</f>
        <v/>
      </c>
      <c r="AG133">
        <f>IF($B133=0,0,IF(Inputs!$B$9="",0,COUNTIFS(Data!$M$10:$M$3209,"&gt;="&amp;$A133,Data!$M$10:$M$3209,"&lt;"&amp;$A133+1)))</f>
        <v/>
      </c>
      <c r="AH133">
        <f>IF($B133=0,0,IF(Inputs!$B$10="",0,COUNTIFS(Data!$Q$10:$Q$3209,"&gt;="&amp;$A133,Data!$Q$10:$Q$3209,"&lt;"&amp;$A133+1)))</f>
        <v/>
      </c>
    </row>
    <row r="134">
      <c r="A134" s="55">
        <f>MIN(Inputs!$C$15,$A133+IF(WEEKDAY($A133,2)=5,3,1))</f>
        <v/>
      </c>
      <c r="B134">
        <f>IF($A134&gt;$A133,1,0)</f>
        <v/>
      </c>
      <c r="C134" s="56">
        <f>IF($B134=0,"",IF(Inputs!$B$6="","",IF($AD134=0,C133,SUMIFS(Data!$B$10:$B$3209,Data!$A$10:$A$3209,"&gt;="&amp;$A134,Data!$A$10:$A$3209,"&lt;"&amp;$A134+1)/$AD134)))</f>
        <v/>
      </c>
      <c r="D134" s="56">
        <f>IF($B134=0,"",IF(Inputs!$B$7="","",IF($AE134=0,D133,SUMIFS(Data!$F$10:$F$3209,Data!$E$10:$E$3209,"&gt;="&amp;$A134,Data!$E$10:$E$3209,"&lt;"&amp;$A134+1)/$AE134)))</f>
        <v/>
      </c>
      <c r="E134" s="56">
        <f>IF($B134=0,"",IF(Inputs!$B$8="","",IF($AF134=0,E133,SUMIFS(Data!$J$10:$J$3209,Data!$I$10:$I$3209,"&gt;="&amp;$A134,Data!$I$10:$I$3209,"&lt;"&amp;$A134+1)/$AF134)))</f>
        <v/>
      </c>
      <c r="F134" s="56">
        <f>IF($B134=0,"",IF(Inputs!$B$9="","",IF($AG134=0,F133,SUMIFS(Data!$N$10:$N$3209,Data!$M$10:$M$3209,"&gt;="&amp;$A134,Data!$M$10:$M$3209,"&lt;"&amp;$A134+1)/$AG134)))</f>
        <v/>
      </c>
      <c r="G134" s="56">
        <f>IF($B134=0,"",IF(Inputs!$B$10="","",IF($AH134=0,G133,SUMIFS(Data!$R$10:$R$3209,Data!$Q$10:$Q$3209,"&gt;="&amp;$A134,Data!$Q$10:$Q$3209,"&lt;"&amp;$A134+1)/$AH134)))</f>
        <v/>
      </c>
      <c r="I134" s="54">
        <f>IF($B134=0,NA(),IF($C134="",NA(),IF(C$8="",NA(),IF(N(C$8)=0,NA(),IF(Inputs!$C$17="Rebased to 100",$C134/C$8*100,$C134)))))</f>
        <v/>
      </c>
      <c r="J134" s="54">
        <f>IF($B134=0,NA(),IF($D134="",NA(),IF(D$8="",NA(),IF(N(D$8)=0,NA(),IF(Inputs!$C$17="Rebased to 100",$D134/D$8*100,$D134)))))</f>
        <v/>
      </c>
      <c r="K134" s="54">
        <f>IF($B134=0,NA(),IF($E134="",NA(),IF(E$8="",NA(),IF(N(E$8)=0,NA(),IF(Inputs!$C$17="Rebased to 100",$E134/E$8*100,$E134)))))</f>
        <v/>
      </c>
      <c r="L134" s="54">
        <f>IF($B134=0,NA(),IF($F134="",NA(),IF(F$8="",NA(),IF(N(F$8)=0,NA(),IF(Inputs!$C$17="Rebased to 100",$F134/F$8*100,$F134)))))</f>
        <v/>
      </c>
      <c r="M134" s="54">
        <f>IF($B134=0,NA(),IF($G134="",NA(),IF(G$8="",NA(),IF(N(G$8)=0,NA(),IF(Inputs!$C$17="Rebased to 100",$G134/G$8*100,$G134)))))</f>
        <v/>
      </c>
      <c r="N134" s="54">
        <f>IF($B134=0,NA(),IF(Inputs!$C$18&lt;&gt;"Yes",NA(),IF(COUNT(I134,J134,K134,L134,M134)=0,NA(),MIN(I134,J134,K134,L134,M134))))</f>
        <v/>
      </c>
      <c r="O134" s="54">
        <f>IF($B134=0,NA(),IF(Inputs!$B$24&lt;&gt;"Yes",NA(),Inputs!$D$24*Inputs!$C$35))</f>
        <v/>
      </c>
      <c r="P134" s="54">
        <f>IF($B134=0,NA(),IF(Inputs!$B$25&lt;&gt;"Yes",NA(),Inputs!$D$25*Inputs!$C$35))</f>
        <v/>
      </c>
      <c r="Q134" s="54">
        <f>IF($B134=0,NA(),IF(Inputs!$B$26&lt;&gt;"Yes",NA(),Inputs!$D$26*Inputs!$C$35))</f>
        <v/>
      </c>
      <c r="R134" s="54">
        <f>IF($B134=0,NA(),IF(Inputs!$B$27&lt;&gt;"Yes",NA(),Inputs!$D$27*Inputs!$C$35))</f>
        <v/>
      </c>
      <c r="S134" s="54">
        <f>IF($B134=0,NA(),IF(Inputs!$B$28&lt;&gt;"Yes",NA(),Inputs!$D$28*Inputs!$C$35))</f>
        <v/>
      </c>
      <c r="T134" s="54">
        <f>IF($B134=0,NA(),IF(Inputs!$B$29&lt;&gt;"Yes",NA(),Inputs!$D$29*Inputs!$C$35))</f>
        <v/>
      </c>
      <c r="AD134">
        <f>IF($B134=0,0,IF(Inputs!$B$6="",0,COUNTIFS(Data!$A$10:$A$3209,"&gt;="&amp;$A134,Data!$A$10:$A$3209,"&lt;"&amp;$A134+1)))</f>
        <v/>
      </c>
      <c r="AE134">
        <f>IF($B134=0,0,IF(Inputs!$B$7="",0,COUNTIFS(Data!$E$10:$E$3209,"&gt;="&amp;$A134,Data!$E$10:$E$3209,"&lt;"&amp;$A134+1)))</f>
        <v/>
      </c>
      <c r="AF134">
        <f>IF($B134=0,0,IF(Inputs!$B$8="",0,COUNTIFS(Data!$I$10:$I$3209,"&gt;="&amp;$A134,Data!$I$10:$I$3209,"&lt;"&amp;$A134+1)))</f>
        <v/>
      </c>
      <c r="AG134">
        <f>IF($B134=0,0,IF(Inputs!$B$9="",0,COUNTIFS(Data!$M$10:$M$3209,"&gt;="&amp;$A134,Data!$M$10:$M$3209,"&lt;"&amp;$A134+1)))</f>
        <v/>
      </c>
      <c r="AH134">
        <f>IF($B134=0,0,IF(Inputs!$B$10="",0,COUNTIFS(Data!$Q$10:$Q$3209,"&gt;="&amp;$A134,Data!$Q$10:$Q$3209,"&lt;"&amp;$A134+1)))</f>
        <v/>
      </c>
    </row>
    <row r="135">
      <c r="A135" s="55">
        <f>MIN(Inputs!$C$15,$A134+IF(WEEKDAY($A134,2)=5,3,1))</f>
        <v/>
      </c>
      <c r="B135">
        <f>IF($A135&gt;$A134,1,0)</f>
        <v/>
      </c>
      <c r="C135" s="56">
        <f>IF($B135=0,"",IF(Inputs!$B$6="","",IF($AD135=0,C134,SUMIFS(Data!$B$10:$B$3209,Data!$A$10:$A$3209,"&gt;="&amp;$A135,Data!$A$10:$A$3209,"&lt;"&amp;$A135+1)/$AD135)))</f>
        <v/>
      </c>
      <c r="D135" s="56">
        <f>IF($B135=0,"",IF(Inputs!$B$7="","",IF($AE135=0,D134,SUMIFS(Data!$F$10:$F$3209,Data!$E$10:$E$3209,"&gt;="&amp;$A135,Data!$E$10:$E$3209,"&lt;"&amp;$A135+1)/$AE135)))</f>
        <v/>
      </c>
      <c r="E135" s="56">
        <f>IF($B135=0,"",IF(Inputs!$B$8="","",IF($AF135=0,E134,SUMIFS(Data!$J$10:$J$3209,Data!$I$10:$I$3209,"&gt;="&amp;$A135,Data!$I$10:$I$3209,"&lt;"&amp;$A135+1)/$AF135)))</f>
        <v/>
      </c>
      <c r="F135" s="56">
        <f>IF($B135=0,"",IF(Inputs!$B$9="","",IF($AG135=0,F134,SUMIFS(Data!$N$10:$N$3209,Data!$M$10:$M$3209,"&gt;="&amp;$A135,Data!$M$10:$M$3209,"&lt;"&amp;$A135+1)/$AG135)))</f>
        <v/>
      </c>
      <c r="G135" s="56">
        <f>IF($B135=0,"",IF(Inputs!$B$10="","",IF($AH135=0,G134,SUMIFS(Data!$R$10:$R$3209,Data!$Q$10:$Q$3209,"&gt;="&amp;$A135,Data!$Q$10:$Q$3209,"&lt;"&amp;$A135+1)/$AH135)))</f>
        <v/>
      </c>
      <c r="I135" s="54">
        <f>IF($B135=0,NA(),IF($C135="",NA(),IF(C$8="",NA(),IF(N(C$8)=0,NA(),IF(Inputs!$C$17="Rebased to 100",$C135/C$8*100,$C135)))))</f>
        <v/>
      </c>
      <c r="J135" s="54">
        <f>IF($B135=0,NA(),IF($D135="",NA(),IF(D$8="",NA(),IF(N(D$8)=0,NA(),IF(Inputs!$C$17="Rebased to 100",$D135/D$8*100,$D135)))))</f>
        <v/>
      </c>
      <c r="K135" s="54">
        <f>IF($B135=0,NA(),IF($E135="",NA(),IF(E$8="",NA(),IF(N(E$8)=0,NA(),IF(Inputs!$C$17="Rebased to 100",$E135/E$8*100,$E135)))))</f>
        <v/>
      </c>
      <c r="L135" s="54">
        <f>IF($B135=0,NA(),IF($F135="",NA(),IF(F$8="",NA(),IF(N(F$8)=0,NA(),IF(Inputs!$C$17="Rebased to 100",$F135/F$8*100,$F135)))))</f>
        <v/>
      </c>
      <c r="M135" s="54">
        <f>IF($B135=0,NA(),IF($G135="",NA(),IF(G$8="",NA(),IF(N(G$8)=0,NA(),IF(Inputs!$C$17="Rebased to 100",$G135/G$8*100,$G135)))))</f>
        <v/>
      </c>
      <c r="N135" s="54">
        <f>IF($B135=0,NA(),IF(Inputs!$C$18&lt;&gt;"Yes",NA(),IF(COUNT(I135,J135,K135,L135,M135)=0,NA(),MIN(I135,J135,K135,L135,M135))))</f>
        <v/>
      </c>
      <c r="O135" s="54">
        <f>IF($B135=0,NA(),IF(Inputs!$B$24&lt;&gt;"Yes",NA(),Inputs!$D$24*Inputs!$C$35))</f>
        <v/>
      </c>
      <c r="P135" s="54">
        <f>IF($B135=0,NA(),IF(Inputs!$B$25&lt;&gt;"Yes",NA(),Inputs!$D$25*Inputs!$C$35))</f>
        <v/>
      </c>
      <c r="Q135" s="54">
        <f>IF($B135=0,NA(),IF(Inputs!$B$26&lt;&gt;"Yes",NA(),Inputs!$D$26*Inputs!$C$35))</f>
        <v/>
      </c>
      <c r="R135" s="54">
        <f>IF($B135=0,NA(),IF(Inputs!$B$27&lt;&gt;"Yes",NA(),Inputs!$D$27*Inputs!$C$35))</f>
        <v/>
      </c>
      <c r="S135" s="54">
        <f>IF($B135=0,NA(),IF(Inputs!$B$28&lt;&gt;"Yes",NA(),Inputs!$D$28*Inputs!$C$35))</f>
        <v/>
      </c>
      <c r="T135" s="54">
        <f>IF($B135=0,NA(),IF(Inputs!$B$29&lt;&gt;"Yes",NA(),Inputs!$D$29*Inputs!$C$35))</f>
        <v/>
      </c>
      <c r="AD135">
        <f>IF($B135=0,0,IF(Inputs!$B$6="",0,COUNTIFS(Data!$A$10:$A$3209,"&gt;="&amp;$A135,Data!$A$10:$A$3209,"&lt;"&amp;$A135+1)))</f>
        <v/>
      </c>
      <c r="AE135">
        <f>IF($B135=0,0,IF(Inputs!$B$7="",0,COUNTIFS(Data!$E$10:$E$3209,"&gt;="&amp;$A135,Data!$E$10:$E$3209,"&lt;"&amp;$A135+1)))</f>
        <v/>
      </c>
      <c r="AF135">
        <f>IF($B135=0,0,IF(Inputs!$B$8="",0,COUNTIFS(Data!$I$10:$I$3209,"&gt;="&amp;$A135,Data!$I$10:$I$3209,"&lt;"&amp;$A135+1)))</f>
        <v/>
      </c>
      <c r="AG135">
        <f>IF($B135=0,0,IF(Inputs!$B$9="",0,COUNTIFS(Data!$M$10:$M$3209,"&gt;="&amp;$A135,Data!$M$10:$M$3209,"&lt;"&amp;$A135+1)))</f>
        <v/>
      </c>
      <c r="AH135">
        <f>IF($B135=0,0,IF(Inputs!$B$10="",0,COUNTIFS(Data!$Q$10:$Q$3209,"&gt;="&amp;$A135,Data!$Q$10:$Q$3209,"&lt;"&amp;$A135+1)))</f>
        <v/>
      </c>
    </row>
    <row r="136">
      <c r="A136" s="55">
        <f>MIN(Inputs!$C$15,$A135+IF(WEEKDAY($A135,2)=5,3,1))</f>
        <v/>
      </c>
      <c r="B136">
        <f>IF($A136&gt;$A135,1,0)</f>
        <v/>
      </c>
      <c r="C136" s="56">
        <f>IF($B136=0,"",IF(Inputs!$B$6="","",IF($AD136=0,C135,SUMIFS(Data!$B$10:$B$3209,Data!$A$10:$A$3209,"&gt;="&amp;$A136,Data!$A$10:$A$3209,"&lt;"&amp;$A136+1)/$AD136)))</f>
        <v/>
      </c>
      <c r="D136" s="56">
        <f>IF($B136=0,"",IF(Inputs!$B$7="","",IF($AE136=0,D135,SUMIFS(Data!$F$10:$F$3209,Data!$E$10:$E$3209,"&gt;="&amp;$A136,Data!$E$10:$E$3209,"&lt;"&amp;$A136+1)/$AE136)))</f>
        <v/>
      </c>
      <c r="E136" s="56">
        <f>IF($B136=0,"",IF(Inputs!$B$8="","",IF($AF136=0,E135,SUMIFS(Data!$J$10:$J$3209,Data!$I$10:$I$3209,"&gt;="&amp;$A136,Data!$I$10:$I$3209,"&lt;"&amp;$A136+1)/$AF136)))</f>
        <v/>
      </c>
      <c r="F136" s="56">
        <f>IF($B136=0,"",IF(Inputs!$B$9="","",IF($AG136=0,F135,SUMIFS(Data!$N$10:$N$3209,Data!$M$10:$M$3209,"&gt;="&amp;$A136,Data!$M$10:$M$3209,"&lt;"&amp;$A136+1)/$AG136)))</f>
        <v/>
      </c>
      <c r="G136" s="56">
        <f>IF($B136=0,"",IF(Inputs!$B$10="","",IF($AH136=0,G135,SUMIFS(Data!$R$10:$R$3209,Data!$Q$10:$Q$3209,"&gt;="&amp;$A136,Data!$Q$10:$Q$3209,"&lt;"&amp;$A136+1)/$AH136)))</f>
        <v/>
      </c>
      <c r="I136" s="54">
        <f>IF($B136=0,NA(),IF($C136="",NA(),IF(C$8="",NA(),IF(N(C$8)=0,NA(),IF(Inputs!$C$17="Rebased to 100",$C136/C$8*100,$C136)))))</f>
        <v/>
      </c>
      <c r="J136" s="54">
        <f>IF($B136=0,NA(),IF($D136="",NA(),IF(D$8="",NA(),IF(N(D$8)=0,NA(),IF(Inputs!$C$17="Rebased to 100",$D136/D$8*100,$D136)))))</f>
        <v/>
      </c>
      <c r="K136" s="54">
        <f>IF($B136=0,NA(),IF($E136="",NA(),IF(E$8="",NA(),IF(N(E$8)=0,NA(),IF(Inputs!$C$17="Rebased to 100",$E136/E$8*100,$E136)))))</f>
        <v/>
      </c>
      <c r="L136" s="54">
        <f>IF($B136=0,NA(),IF($F136="",NA(),IF(F$8="",NA(),IF(N(F$8)=0,NA(),IF(Inputs!$C$17="Rebased to 100",$F136/F$8*100,$F136)))))</f>
        <v/>
      </c>
      <c r="M136" s="54">
        <f>IF($B136=0,NA(),IF($G136="",NA(),IF(G$8="",NA(),IF(N(G$8)=0,NA(),IF(Inputs!$C$17="Rebased to 100",$G136/G$8*100,$G136)))))</f>
        <v/>
      </c>
      <c r="N136" s="54">
        <f>IF($B136=0,NA(),IF(Inputs!$C$18&lt;&gt;"Yes",NA(),IF(COUNT(I136,J136,K136,L136,M136)=0,NA(),MIN(I136,J136,K136,L136,M136))))</f>
        <v/>
      </c>
      <c r="O136" s="54">
        <f>IF($B136=0,NA(),IF(Inputs!$B$24&lt;&gt;"Yes",NA(),Inputs!$D$24*Inputs!$C$35))</f>
        <v/>
      </c>
      <c r="P136" s="54">
        <f>IF($B136=0,NA(),IF(Inputs!$B$25&lt;&gt;"Yes",NA(),Inputs!$D$25*Inputs!$C$35))</f>
        <v/>
      </c>
      <c r="Q136" s="54">
        <f>IF($B136=0,NA(),IF(Inputs!$B$26&lt;&gt;"Yes",NA(),Inputs!$D$26*Inputs!$C$35))</f>
        <v/>
      </c>
      <c r="R136" s="54">
        <f>IF($B136=0,NA(),IF(Inputs!$B$27&lt;&gt;"Yes",NA(),Inputs!$D$27*Inputs!$C$35))</f>
        <v/>
      </c>
      <c r="S136" s="54">
        <f>IF($B136=0,NA(),IF(Inputs!$B$28&lt;&gt;"Yes",NA(),Inputs!$D$28*Inputs!$C$35))</f>
        <v/>
      </c>
      <c r="T136" s="54">
        <f>IF($B136=0,NA(),IF(Inputs!$B$29&lt;&gt;"Yes",NA(),Inputs!$D$29*Inputs!$C$35))</f>
        <v/>
      </c>
      <c r="AD136">
        <f>IF($B136=0,0,IF(Inputs!$B$6="",0,COUNTIFS(Data!$A$10:$A$3209,"&gt;="&amp;$A136,Data!$A$10:$A$3209,"&lt;"&amp;$A136+1)))</f>
        <v/>
      </c>
      <c r="AE136">
        <f>IF($B136=0,0,IF(Inputs!$B$7="",0,COUNTIFS(Data!$E$10:$E$3209,"&gt;="&amp;$A136,Data!$E$10:$E$3209,"&lt;"&amp;$A136+1)))</f>
        <v/>
      </c>
      <c r="AF136">
        <f>IF($B136=0,0,IF(Inputs!$B$8="",0,COUNTIFS(Data!$I$10:$I$3209,"&gt;="&amp;$A136,Data!$I$10:$I$3209,"&lt;"&amp;$A136+1)))</f>
        <v/>
      </c>
      <c r="AG136">
        <f>IF($B136=0,0,IF(Inputs!$B$9="",0,COUNTIFS(Data!$M$10:$M$3209,"&gt;="&amp;$A136,Data!$M$10:$M$3209,"&lt;"&amp;$A136+1)))</f>
        <v/>
      </c>
      <c r="AH136">
        <f>IF($B136=0,0,IF(Inputs!$B$10="",0,COUNTIFS(Data!$Q$10:$Q$3209,"&gt;="&amp;$A136,Data!$Q$10:$Q$3209,"&lt;"&amp;$A136+1)))</f>
        <v/>
      </c>
    </row>
    <row r="137">
      <c r="A137" s="55">
        <f>MIN(Inputs!$C$15,$A136+IF(WEEKDAY($A136,2)=5,3,1))</f>
        <v/>
      </c>
      <c r="B137">
        <f>IF($A137&gt;$A136,1,0)</f>
        <v/>
      </c>
      <c r="C137" s="56">
        <f>IF($B137=0,"",IF(Inputs!$B$6="","",IF($AD137=0,C136,SUMIFS(Data!$B$10:$B$3209,Data!$A$10:$A$3209,"&gt;="&amp;$A137,Data!$A$10:$A$3209,"&lt;"&amp;$A137+1)/$AD137)))</f>
        <v/>
      </c>
      <c r="D137" s="56">
        <f>IF($B137=0,"",IF(Inputs!$B$7="","",IF($AE137=0,D136,SUMIFS(Data!$F$10:$F$3209,Data!$E$10:$E$3209,"&gt;="&amp;$A137,Data!$E$10:$E$3209,"&lt;"&amp;$A137+1)/$AE137)))</f>
        <v/>
      </c>
      <c r="E137" s="56">
        <f>IF($B137=0,"",IF(Inputs!$B$8="","",IF($AF137=0,E136,SUMIFS(Data!$J$10:$J$3209,Data!$I$10:$I$3209,"&gt;="&amp;$A137,Data!$I$10:$I$3209,"&lt;"&amp;$A137+1)/$AF137)))</f>
        <v/>
      </c>
      <c r="F137" s="56">
        <f>IF($B137=0,"",IF(Inputs!$B$9="","",IF($AG137=0,F136,SUMIFS(Data!$N$10:$N$3209,Data!$M$10:$M$3209,"&gt;="&amp;$A137,Data!$M$10:$M$3209,"&lt;"&amp;$A137+1)/$AG137)))</f>
        <v/>
      </c>
      <c r="G137" s="56">
        <f>IF($B137=0,"",IF(Inputs!$B$10="","",IF($AH137=0,G136,SUMIFS(Data!$R$10:$R$3209,Data!$Q$10:$Q$3209,"&gt;="&amp;$A137,Data!$Q$10:$Q$3209,"&lt;"&amp;$A137+1)/$AH137)))</f>
        <v/>
      </c>
      <c r="I137" s="54">
        <f>IF($B137=0,NA(),IF($C137="",NA(),IF(C$8="",NA(),IF(N(C$8)=0,NA(),IF(Inputs!$C$17="Rebased to 100",$C137/C$8*100,$C137)))))</f>
        <v/>
      </c>
      <c r="J137" s="54">
        <f>IF($B137=0,NA(),IF($D137="",NA(),IF(D$8="",NA(),IF(N(D$8)=0,NA(),IF(Inputs!$C$17="Rebased to 100",$D137/D$8*100,$D137)))))</f>
        <v/>
      </c>
      <c r="K137" s="54">
        <f>IF($B137=0,NA(),IF($E137="",NA(),IF(E$8="",NA(),IF(N(E$8)=0,NA(),IF(Inputs!$C$17="Rebased to 100",$E137/E$8*100,$E137)))))</f>
        <v/>
      </c>
      <c r="L137" s="54">
        <f>IF($B137=0,NA(),IF($F137="",NA(),IF(F$8="",NA(),IF(N(F$8)=0,NA(),IF(Inputs!$C$17="Rebased to 100",$F137/F$8*100,$F137)))))</f>
        <v/>
      </c>
      <c r="M137" s="54">
        <f>IF($B137=0,NA(),IF($G137="",NA(),IF(G$8="",NA(),IF(N(G$8)=0,NA(),IF(Inputs!$C$17="Rebased to 100",$G137/G$8*100,$G137)))))</f>
        <v/>
      </c>
      <c r="N137" s="54">
        <f>IF($B137=0,NA(),IF(Inputs!$C$18&lt;&gt;"Yes",NA(),IF(COUNT(I137,J137,K137,L137,M137)=0,NA(),MIN(I137,J137,K137,L137,M137))))</f>
        <v/>
      </c>
      <c r="O137" s="54">
        <f>IF($B137=0,NA(),IF(Inputs!$B$24&lt;&gt;"Yes",NA(),Inputs!$D$24*Inputs!$C$35))</f>
        <v/>
      </c>
      <c r="P137" s="54">
        <f>IF($B137=0,NA(),IF(Inputs!$B$25&lt;&gt;"Yes",NA(),Inputs!$D$25*Inputs!$C$35))</f>
        <v/>
      </c>
      <c r="Q137" s="54">
        <f>IF($B137=0,NA(),IF(Inputs!$B$26&lt;&gt;"Yes",NA(),Inputs!$D$26*Inputs!$C$35))</f>
        <v/>
      </c>
      <c r="R137" s="54">
        <f>IF($B137=0,NA(),IF(Inputs!$B$27&lt;&gt;"Yes",NA(),Inputs!$D$27*Inputs!$C$35))</f>
        <v/>
      </c>
      <c r="S137" s="54">
        <f>IF($B137=0,NA(),IF(Inputs!$B$28&lt;&gt;"Yes",NA(),Inputs!$D$28*Inputs!$C$35))</f>
        <v/>
      </c>
      <c r="T137" s="54">
        <f>IF($B137=0,NA(),IF(Inputs!$B$29&lt;&gt;"Yes",NA(),Inputs!$D$29*Inputs!$C$35))</f>
        <v/>
      </c>
      <c r="AD137">
        <f>IF($B137=0,0,IF(Inputs!$B$6="",0,COUNTIFS(Data!$A$10:$A$3209,"&gt;="&amp;$A137,Data!$A$10:$A$3209,"&lt;"&amp;$A137+1)))</f>
        <v/>
      </c>
      <c r="AE137">
        <f>IF($B137=0,0,IF(Inputs!$B$7="",0,COUNTIFS(Data!$E$10:$E$3209,"&gt;="&amp;$A137,Data!$E$10:$E$3209,"&lt;"&amp;$A137+1)))</f>
        <v/>
      </c>
      <c r="AF137">
        <f>IF($B137=0,0,IF(Inputs!$B$8="",0,COUNTIFS(Data!$I$10:$I$3209,"&gt;="&amp;$A137,Data!$I$10:$I$3209,"&lt;"&amp;$A137+1)))</f>
        <v/>
      </c>
      <c r="AG137">
        <f>IF($B137=0,0,IF(Inputs!$B$9="",0,COUNTIFS(Data!$M$10:$M$3209,"&gt;="&amp;$A137,Data!$M$10:$M$3209,"&lt;"&amp;$A137+1)))</f>
        <v/>
      </c>
      <c r="AH137">
        <f>IF($B137=0,0,IF(Inputs!$B$10="",0,COUNTIFS(Data!$Q$10:$Q$3209,"&gt;="&amp;$A137,Data!$Q$10:$Q$3209,"&lt;"&amp;$A137+1)))</f>
        <v/>
      </c>
    </row>
    <row r="138">
      <c r="A138" s="55">
        <f>MIN(Inputs!$C$15,$A137+IF(WEEKDAY($A137,2)=5,3,1))</f>
        <v/>
      </c>
      <c r="B138">
        <f>IF($A138&gt;$A137,1,0)</f>
        <v/>
      </c>
      <c r="C138" s="56">
        <f>IF($B138=0,"",IF(Inputs!$B$6="","",IF($AD138=0,C137,SUMIFS(Data!$B$10:$B$3209,Data!$A$10:$A$3209,"&gt;="&amp;$A138,Data!$A$10:$A$3209,"&lt;"&amp;$A138+1)/$AD138)))</f>
        <v/>
      </c>
      <c r="D138" s="56">
        <f>IF($B138=0,"",IF(Inputs!$B$7="","",IF($AE138=0,D137,SUMIFS(Data!$F$10:$F$3209,Data!$E$10:$E$3209,"&gt;="&amp;$A138,Data!$E$10:$E$3209,"&lt;"&amp;$A138+1)/$AE138)))</f>
        <v/>
      </c>
      <c r="E138" s="56">
        <f>IF($B138=0,"",IF(Inputs!$B$8="","",IF($AF138=0,E137,SUMIFS(Data!$J$10:$J$3209,Data!$I$10:$I$3209,"&gt;="&amp;$A138,Data!$I$10:$I$3209,"&lt;"&amp;$A138+1)/$AF138)))</f>
        <v/>
      </c>
      <c r="F138" s="56">
        <f>IF($B138=0,"",IF(Inputs!$B$9="","",IF($AG138=0,F137,SUMIFS(Data!$N$10:$N$3209,Data!$M$10:$M$3209,"&gt;="&amp;$A138,Data!$M$10:$M$3209,"&lt;"&amp;$A138+1)/$AG138)))</f>
        <v/>
      </c>
      <c r="G138" s="56">
        <f>IF($B138=0,"",IF(Inputs!$B$10="","",IF($AH138=0,G137,SUMIFS(Data!$R$10:$R$3209,Data!$Q$10:$Q$3209,"&gt;="&amp;$A138,Data!$Q$10:$Q$3209,"&lt;"&amp;$A138+1)/$AH138)))</f>
        <v/>
      </c>
      <c r="I138" s="54">
        <f>IF($B138=0,NA(),IF($C138="",NA(),IF(C$8="",NA(),IF(N(C$8)=0,NA(),IF(Inputs!$C$17="Rebased to 100",$C138/C$8*100,$C138)))))</f>
        <v/>
      </c>
      <c r="J138" s="54">
        <f>IF($B138=0,NA(),IF($D138="",NA(),IF(D$8="",NA(),IF(N(D$8)=0,NA(),IF(Inputs!$C$17="Rebased to 100",$D138/D$8*100,$D138)))))</f>
        <v/>
      </c>
      <c r="K138" s="54">
        <f>IF($B138=0,NA(),IF($E138="",NA(),IF(E$8="",NA(),IF(N(E$8)=0,NA(),IF(Inputs!$C$17="Rebased to 100",$E138/E$8*100,$E138)))))</f>
        <v/>
      </c>
      <c r="L138" s="54">
        <f>IF($B138=0,NA(),IF($F138="",NA(),IF(F$8="",NA(),IF(N(F$8)=0,NA(),IF(Inputs!$C$17="Rebased to 100",$F138/F$8*100,$F138)))))</f>
        <v/>
      </c>
      <c r="M138" s="54">
        <f>IF($B138=0,NA(),IF($G138="",NA(),IF(G$8="",NA(),IF(N(G$8)=0,NA(),IF(Inputs!$C$17="Rebased to 100",$G138/G$8*100,$G138)))))</f>
        <v/>
      </c>
      <c r="N138" s="54">
        <f>IF($B138=0,NA(),IF(Inputs!$C$18&lt;&gt;"Yes",NA(),IF(COUNT(I138,J138,K138,L138,M138)=0,NA(),MIN(I138,J138,K138,L138,M138))))</f>
        <v/>
      </c>
      <c r="O138" s="54">
        <f>IF($B138=0,NA(),IF(Inputs!$B$24&lt;&gt;"Yes",NA(),Inputs!$D$24*Inputs!$C$35))</f>
        <v/>
      </c>
      <c r="P138" s="54">
        <f>IF($B138=0,NA(),IF(Inputs!$B$25&lt;&gt;"Yes",NA(),Inputs!$D$25*Inputs!$C$35))</f>
        <v/>
      </c>
      <c r="Q138" s="54">
        <f>IF($B138=0,NA(),IF(Inputs!$B$26&lt;&gt;"Yes",NA(),Inputs!$D$26*Inputs!$C$35))</f>
        <v/>
      </c>
      <c r="R138" s="54">
        <f>IF($B138=0,NA(),IF(Inputs!$B$27&lt;&gt;"Yes",NA(),Inputs!$D$27*Inputs!$C$35))</f>
        <v/>
      </c>
      <c r="S138" s="54">
        <f>IF($B138=0,NA(),IF(Inputs!$B$28&lt;&gt;"Yes",NA(),Inputs!$D$28*Inputs!$C$35))</f>
        <v/>
      </c>
      <c r="T138" s="54">
        <f>IF($B138=0,NA(),IF(Inputs!$B$29&lt;&gt;"Yes",NA(),Inputs!$D$29*Inputs!$C$35))</f>
        <v/>
      </c>
      <c r="AD138">
        <f>IF($B138=0,0,IF(Inputs!$B$6="",0,COUNTIFS(Data!$A$10:$A$3209,"&gt;="&amp;$A138,Data!$A$10:$A$3209,"&lt;"&amp;$A138+1)))</f>
        <v/>
      </c>
      <c r="AE138">
        <f>IF($B138=0,0,IF(Inputs!$B$7="",0,COUNTIFS(Data!$E$10:$E$3209,"&gt;="&amp;$A138,Data!$E$10:$E$3209,"&lt;"&amp;$A138+1)))</f>
        <v/>
      </c>
      <c r="AF138">
        <f>IF($B138=0,0,IF(Inputs!$B$8="",0,COUNTIFS(Data!$I$10:$I$3209,"&gt;="&amp;$A138,Data!$I$10:$I$3209,"&lt;"&amp;$A138+1)))</f>
        <v/>
      </c>
      <c r="AG138">
        <f>IF($B138=0,0,IF(Inputs!$B$9="",0,COUNTIFS(Data!$M$10:$M$3209,"&gt;="&amp;$A138,Data!$M$10:$M$3209,"&lt;"&amp;$A138+1)))</f>
        <v/>
      </c>
      <c r="AH138">
        <f>IF($B138=0,0,IF(Inputs!$B$10="",0,COUNTIFS(Data!$Q$10:$Q$3209,"&gt;="&amp;$A138,Data!$Q$10:$Q$3209,"&lt;"&amp;$A138+1)))</f>
        <v/>
      </c>
    </row>
    <row r="139">
      <c r="A139" s="55">
        <f>MIN(Inputs!$C$15,$A138+IF(WEEKDAY($A138,2)=5,3,1))</f>
        <v/>
      </c>
      <c r="B139">
        <f>IF($A139&gt;$A138,1,0)</f>
        <v/>
      </c>
      <c r="C139" s="56">
        <f>IF($B139=0,"",IF(Inputs!$B$6="","",IF($AD139=0,C138,SUMIFS(Data!$B$10:$B$3209,Data!$A$10:$A$3209,"&gt;="&amp;$A139,Data!$A$10:$A$3209,"&lt;"&amp;$A139+1)/$AD139)))</f>
        <v/>
      </c>
      <c r="D139" s="56">
        <f>IF($B139=0,"",IF(Inputs!$B$7="","",IF($AE139=0,D138,SUMIFS(Data!$F$10:$F$3209,Data!$E$10:$E$3209,"&gt;="&amp;$A139,Data!$E$10:$E$3209,"&lt;"&amp;$A139+1)/$AE139)))</f>
        <v/>
      </c>
      <c r="E139" s="56">
        <f>IF($B139=0,"",IF(Inputs!$B$8="","",IF($AF139=0,E138,SUMIFS(Data!$J$10:$J$3209,Data!$I$10:$I$3209,"&gt;="&amp;$A139,Data!$I$10:$I$3209,"&lt;"&amp;$A139+1)/$AF139)))</f>
        <v/>
      </c>
      <c r="F139" s="56">
        <f>IF($B139=0,"",IF(Inputs!$B$9="","",IF($AG139=0,F138,SUMIFS(Data!$N$10:$N$3209,Data!$M$10:$M$3209,"&gt;="&amp;$A139,Data!$M$10:$M$3209,"&lt;"&amp;$A139+1)/$AG139)))</f>
        <v/>
      </c>
      <c r="G139" s="56">
        <f>IF($B139=0,"",IF(Inputs!$B$10="","",IF($AH139=0,G138,SUMIFS(Data!$R$10:$R$3209,Data!$Q$10:$Q$3209,"&gt;="&amp;$A139,Data!$Q$10:$Q$3209,"&lt;"&amp;$A139+1)/$AH139)))</f>
        <v/>
      </c>
      <c r="I139" s="54">
        <f>IF($B139=0,NA(),IF($C139="",NA(),IF(C$8="",NA(),IF(N(C$8)=0,NA(),IF(Inputs!$C$17="Rebased to 100",$C139/C$8*100,$C139)))))</f>
        <v/>
      </c>
      <c r="J139" s="54">
        <f>IF($B139=0,NA(),IF($D139="",NA(),IF(D$8="",NA(),IF(N(D$8)=0,NA(),IF(Inputs!$C$17="Rebased to 100",$D139/D$8*100,$D139)))))</f>
        <v/>
      </c>
      <c r="K139" s="54">
        <f>IF($B139=0,NA(),IF($E139="",NA(),IF(E$8="",NA(),IF(N(E$8)=0,NA(),IF(Inputs!$C$17="Rebased to 100",$E139/E$8*100,$E139)))))</f>
        <v/>
      </c>
      <c r="L139" s="54">
        <f>IF($B139=0,NA(),IF($F139="",NA(),IF(F$8="",NA(),IF(N(F$8)=0,NA(),IF(Inputs!$C$17="Rebased to 100",$F139/F$8*100,$F139)))))</f>
        <v/>
      </c>
      <c r="M139" s="54">
        <f>IF($B139=0,NA(),IF($G139="",NA(),IF(G$8="",NA(),IF(N(G$8)=0,NA(),IF(Inputs!$C$17="Rebased to 100",$G139/G$8*100,$G139)))))</f>
        <v/>
      </c>
      <c r="N139" s="54">
        <f>IF($B139=0,NA(),IF(Inputs!$C$18&lt;&gt;"Yes",NA(),IF(COUNT(I139,J139,K139,L139,M139)=0,NA(),MIN(I139,J139,K139,L139,M139))))</f>
        <v/>
      </c>
      <c r="O139" s="54">
        <f>IF($B139=0,NA(),IF(Inputs!$B$24&lt;&gt;"Yes",NA(),Inputs!$D$24*Inputs!$C$35))</f>
        <v/>
      </c>
      <c r="P139" s="54">
        <f>IF($B139=0,NA(),IF(Inputs!$B$25&lt;&gt;"Yes",NA(),Inputs!$D$25*Inputs!$C$35))</f>
        <v/>
      </c>
      <c r="Q139" s="54">
        <f>IF($B139=0,NA(),IF(Inputs!$B$26&lt;&gt;"Yes",NA(),Inputs!$D$26*Inputs!$C$35))</f>
        <v/>
      </c>
      <c r="R139" s="54">
        <f>IF($B139=0,NA(),IF(Inputs!$B$27&lt;&gt;"Yes",NA(),Inputs!$D$27*Inputs!$C$35))</f>
        <v/>
      </c>
      <c r="S139" s="54">
        <f>IF($B139=0,NA(),IF(Inputs!$B$28&lt;&gt;"Yes",NA(),Inputs!$D$28*Inputs!$C$35))</f>
        <v/>
      </c>
      <c r="T139" s="54">
        <f>IF($B139=0,NA(),IF(Inputs!$B$29&lt;&gt;"Yes",NA(),Inputs!$D$29*Inputs!$C$35))</f>
        <v/>
      </c>
      <c r="AD139">
        <f>IF($B139=0,0,IF(Inputs!$B$6="",0,COUNTIFS(Data!$A$10:$A$3209,"&gt;="&amp;$A139,Data!$A$10:$A$3209,"&lt;"&amp;$A139+1)))</f>
        <v/>
      </c>
      <c r="AE139">
        <f>IF($B139=0,0,IF(Inputs!$B$7="",0,COUNTIFS(Data!$E$10:$E$3209,"&gt;="&amp;$A139,Data!$E$10:$E$3209,"&lt;"&amp;$A139+1)))</f>
        <v/>
      </c>
      <c r="AF139">
        <f>IF($B139=0,0,IF(Inputs!$B$8="",0,COUNTIFS(Data!$I$10:$I$3209,"&gt;="&amp;$A139,Data!$I$10:$I$3209,"&lt;"&amp;$A139+1)))</f>
        <v/>
      </c>
      <c r="AG139">
        <f>IF($B139=0,0,IF(Inputs!$B$9="",0,COUNTIFS(Data!$M$10:$M$3209,"&gt;="&amp;$A139,Data!$M$10:$M$3209,"&lt;"&amp;$A139+1)))</f>
        <v/>
      </c>
      <c r="AH139">
        <f>IF($B139=0,0,IF(Inputs!$B$10="",0,COUNTIFS(Data!$Q$10:$Q$3209,"&gt;="&amp;$A139,Data!$Q$10:$Q$3209,"&lt;"&amp;$A139+1)))</f>
        <v/>
      </c>
    </row>
    <row r="140">
      <c r="A140" s="55">
        <f>MIN(Inputs!$C$15,$A139+IF(WEEKDAY($A139,2)=5,3,1))</f>
        <v/>
      </c>
      <c r="B140">
        <f>IF($A140&gt;$A139,1,0)</f>
        <v/>
      </c>
      <c r="C140" s="56">
        <f>IF($B140=0,"",IF(Inputs!$B$6="","",IF($AD140=0,C139,SUMIFS(Data!$B$10:$B$3209,Data!$A$10:$A$3209,"&gt;="&amp;$A140,Data!$A$10:$A$3209,"&lt;"&amp;$A140+1)/$AD140)))</f>
        <v/>
      </c>
      <c r="D140" s="56">
        <f>IF($B140=0,"",IF(Inputs!$B$7="","",IF($AE140=0,D139,SUMIFS(Data!$F$10:$F$3209,Data!$E$10:$E$3209,"&gt;="&amp;$A140,Data!$E$10:$E$3209,"&lt;"&amp;$A140+1)/$AE140)))</f>
        <v/>
      </c>
      <c r="E140" s="56">
        <f>IF($B140=0,"",IF(Inputs!$B$8="","",IF($AF140=0,E139,SUMIFS(Data!$J$10:$J$3209,Data!$I$10:$I$3209,"&gt;="&amp;$A140,Data!$I$10:$I$3209,"&lt;"&amp;$A140+1)/$AF140)))</f>
        <v/>
      </c>
      <c r="F140" s="56">
        <f>IF($B140=0,"",IF(Inputs!$B$9="","",IF($AG140=0,F139,SUMIFS(Data!$N$10:$N$3209,Data!$M$10:$M$3209,"&gt;="&amp;$A140,Data!$M$10:$M$3209,"&lt;"&amp;$A140+1)/$AG140)))</f>
        <v/>
      </c>
      <c r="G140" s="56">
        <f>IF($B140=0,"",IF(Inputs!$B$10="","",IF($AH140=0,G139,SUMIFS(Data!$R$10:$R$3209,Data!$Q$10:$Q$3209,"&gt;="&amp;$A140,Data!$Q$10:$Q$3209,"&lt;"&amp;$A140+1)/$AH140)))</f>
        <v/>
      </c>
      <c r="I140" s="54">
        <f>IF($B140=0,NA(),IF($C140="",NA(),IF(C$8="",NA(),IF(N(C$8)=0,NA(),IF(Inputs!$C$17="Rebased to 100",$C140/C$8*100,$C140)))))</f>
        <v/>
      </c>
      <c r="J140" s="54">
        <f>IF($B140=0,NA(),IF($D140="",NA(),IF(D$8="",NA(),IF(N(D$8)=0,NA(),IF(Inputs!$C$17="Rebased to 100",$D140/D$8*100,$D140)))))</f>
        <v/>
      </c>
      <c r="K140" s="54">
        <f>IF($B140=0,NA(),IF($E140="",NA(),IF(E$8="",NA(),IF(N(E$8)=0,NA(),IF(Inputs!$C$17="Rebased to 100",$E140/E$8*100,$E140)))))</f>
        <v/>
      </c>
      <c r="L140" s="54">
        <f>IF($B140=0,NA(),IF($F140="",NA(),IF(F$8="",NA(),IF(N(F$8)=0,NA(),IF(Inputs!$C$17="Rebased to 100",$F140/F$8*100,$F140)))))</f>
        <v/>
      </c>
      <c r="M140" s="54">
        <f>IF($B140=0,NA(),IF($G140="",NA(),IF(G$8="",NA(),IF(N(G$8)=0,NA(),IF(Inputs!$C$17="Rebased to 100",$G140/G$8*100,$G140)))))</f>
        <v/>
      </c>
      <c r="N140" s="54">
        <f>IF($B140=0,NA(),IF(Inputs!$C$18&lt;&gt;"Yes",NA(),IF(COUNT(I140,J140,K140,L140,M140)=0,NA(),MIN(I140,J140,K140,L140,M140))))</f>
        <v/>
      </c>
      <c r="O140" s="54">
        <f>IF($B140=0,NA(),IF(Inputs!$B$24&lt;&gt;"Yes",NA(),Inputs!$D$24*Inputs!$C$35))</f>
        <v/>
      </c>
      <c r="P140" s="54">
        <f>IF($B140=0,NA(),IF(Inputs!$B$25&lt;&gt;"Yes",NA(),Inputs!$D$25*Inputs!$C$35))</f>
        <v/>
      </c>
      <c r="Q140" s="54">
        <f>IF($B140=0,NA(),IF(Inputs!$B$26&lt;&gt;"Yes",NA(),Inputs!$D$26*Inputs!$C$35))</f>
        <v/>
      </c>
      <c r="R140" s="54">
        <f>IF($B140=0,NA(),IF(Inputs!$B$27&lt;&gt;"Yes",NA(),Inputs!$D$27*Inputs!$C$35))</f>
        <v/>
      </c>
      <c r="S140" s="54">
        <f>IF($B140=0,NA(),IF(Inputs!$B$28&lt;&gt;"Yes",NA(),Inputs!$D$28*Inputs!$C$35))</f>
        <v/>
      </c>
      <c r="T140" s="54">
        <f>IF($B140=0,NA(),IF(Inputs!$B$29&lt;&gt;"Yes",NA(),Inputs!$D$29*Inputs!$C$35))</f>
        <v/>
      </c>
      <c r="AD140">
        <f>IF($B140=0,0,IF(Inputs!$B$6="",0,COUNTIFS(Data!$A$10:$A$3209,"&gt;="&amp;$A140,Data!$A$10:$A$3209,"&lt;"&amp;$A140+1)))</f>
        <v/>
      </c>
      <c r="AE140">
        <f>IF($B140=0,0,IF(Inputs!$B$7="",0,COUNTIFS(Data!$E$10:$E$3209,"&gt;="&amp;$A140,Data!$E$10:$E$3209,"&lt;"&amp;$A140+1)))</f>
        <v/>
      </c>
      <c r="AF140">
        <f>IF($B140=0,0,IF(Inputs!$B$8="",0,COUNTIFS(Data!$I$10:$I$3209,"&gt;="&amp;$A140,Data!$I$10:$I$3209,"&lt;"&amp;$A140+1)))</f>
        <v/>
      </c>
      <c r="AG140">
        <f>IF($B140=0,0,IF(Inputs!$B$9="",0,COUNTIFS(Data!$M$10:$M$3209,"&gt;="&amp;$A140,Data!$M$10:$M$3209,"&lt;"&amp;$A140+1)))</f>
        <v/>
      </c>
      <c r="AH140">
        <f>IF($B140=0,0,IF(Inputs!$B$10="",0,COUNTIFS(Data!$Q$10:$Q$3209,"&gt;="&amp;$A140,Data!$Q$10:$Q$3209,"&lt;"&amp;$A140+1)))</f>
        <v/>
      </c>
    </row>
    <row r="141">
      <c r="A141" s="55">
        <f>MIN(Inputs!$C$15,$A140+IF(WEEKDAY($A140,2)=5,3,1))</f>
        <v/>
      </c>
      <c r="B141">
        <f>IF($A141&gt;$A140,1,0)</f>
        <v/>
      </c>
      <c r="C141" s="56">
        <f>IF($B141=0,"",IF(Inputs!$B$6="","",IF($AD141=0,C140,SUMIFS(Data!$B$10:$B$3209,Data!$A$10:$A$3209,"&gt;="&amp;$A141,Data!$A$10:$A$3209,"&lt;"&amp;$A141+1)/$AD141)))</f>
        <v/>
      </c>
      <c r="D141" s="56">
        <f>IF($B141=0,"",IF(Inputs!$B$7="","",IF($AE141=0,D140,SUMIFS(Data!$F$10:$F$3209,Data!$E$10:$E$3209,"&gt;="&amp;$A141,Data!$E$10:$E$3209,"&lt;"&amp;$A141+1)/$AE141)))</f>
        <v/>
      </c>
      <c r="E141" s="56">
        <f>IF($B141=0,"",IF(Inputs!$B$8="","",IF($AF141=0,E140,SUMIFS(Data!$J$10:$J$3209,Data!$I$10:$I$3209,"&gt;="&amp;$A141,Data!$I$10:$I$3209,"&lt;"&amp;$A141+1)/$AF141)))</f>
        <v/>
      </c>
      <c r="F141" s="56">
        <f>IF($B141=0,"",IF(Inputs!$B$9="","",IF($AG141=0,F140,SUMIFS(Data!$N$10:$N$3209,Data!$M$10:$M$3209,"&gt;="&amp;$A141,Data!$M$10:$M$3209,"&lt;"&amp;$A141+1)/$AG141)))</f>
        <v/>
      </c>
      <c r="G141" s="56">
        <f>IF($B141=0,"",IF(Inputs!$B$10="","",IF($AH141=0,G140,SUMIFS(Data!$R$10:$R$3209,Data!$Q$10:$Q$3209,"&gt;="&amp;$A141,Data!$Q$10:$Q$3209,"&lt;"&amp;$A141+1)/$AH141)))</f>
        <v/>
      </c>
      <c r="I141" s="54">
        <f>IF($B141=0,NA(),IF($C141="",NA(),IF(C$8="",NA(),IF(N(C$8)=0,NA(),IF(Inputs!$C$17="Rebased to 100",$C141/C$8*100,$C141)))))</f>
        <v/>
      </c>
      <c r="J141" s="54">
        <f>IF($B141=0,NA(),IF($D141="",NA(),IF(D$8="",NA(),IF(N(D$8)=0,NA(),IF(Inputs!$C$17="Rebased to 100",$D141/D$8*100,$D141)))))</f>
        <v/>
      </c>
      <c r="K141" s="54">
        <f>IF($B141=0,NA(),IF($E141="",NA(),IF(E$8="",NA(),IF(N(E$8)=0,NA(),IF(Inputs!$C$17="Rebased to 100",$E141/E$8*100,$E141)))))</f>
        <v/>
      </c>
      <c r="L141" s="54">
        <f>IF($B141=0,NA(),IF($F141="",NA(),IF(F$8="",NA(),IF(N(F$8)=0,NA(),IF(Inputs!$C$17="Rebased to 100",$F141/F$8*100,$F141)))))</f>
        <v/>
      </c>
      <c r="M141" s="54">
        <f>IF($B141=0,NA(),IF($G141="",NA(),IF(G$8="",NA(),IF(N(G$8)=0,NA(),IF(Inputs!$C$17="Rebased to 100",$G141/G$8*100,$G141)))))</f>
        <v/>
      </c>
      <c r="N141" s="54">
        <f>IF($B141=0,NA(),IF(Inputs!$C$18&lt;&gt;"Yes",NA(),IF(COUNT(I141,J141,K141,L141,M141)=0,NA(),MIN(I141,J141,K141,L141,M141))))</f>
        <v/>
      </c>
      <c r="O141" s="54">
        <f>IF($B141=0,NA(),IF(Inputs!$B$24&lt;&gt;"Yes",NA(),Inputs!$D$24*Inputs!$C$35))</f>
        <v/>
      </c>
      <c r="P141" s="54">
        <f>IF($B141=0,NA(),IF(Inputs!$B$25&lt;&gt;"Yes",NA(),Inputs!$D$25*Inputs!$C$35))</f>
        <v/>
      </c>
      <c r="Q141" s="54">
        <f>IF($B141=0,NA(),IF(Inputs!$B$26&lt;&gt;"Yes",NA(),Inputs!$D$26*Inputs!$C$35))</f>
        <v/>
      </c>
      <c r="R141" s="54">
        <f>IF($B141=0,NA(),IF(Inputs!$B$27&lt;&gt;"Yes",NA(),Inputs!$D$27*Inputs!$C$35))</f>
        <v/>
      </c>
      <c r="S141" s="54">
        <f>IF($B141=0,NA(),IF(Inputs!$B$28&lt;&gt;"Yes",NA(),Inputs!$D$28*Inputs!$C$35))</f>
        <v/>
      </c>
      <c r="T141" s="54">
        <f>IF($B141=0,NA(),IF(Inputs!$B$29&lt;&gt;"Yes",NA(),Inputs!$D$29*Inputs!$C$35))</f>
        <v/>
      </c>
      <c r="AD141">
        <f>IF($B141=0,0,IF(Inputs!$B$6="",0,COUNTIFS(Data!$A$10:$A$3209,"&gt;="&amp;$A141,Data!$A$10:$A$3209,"&lt;"&amp;$A141+1)))</f>
        <v/>
      </c>
      <c r="AE141">
        <f>IF($B141=0,0,IF(Inputs!$B$7="",0,COUNTIFS(Data!$E$10:$E$3209,"&gt;="&amp;$A141,Data!$E$10:$E$3209,"&lt;"&amp;$A141+1)))</f>
        <v/>
      </c>
      <c r="AF141">
        <f>IF($B141=0,0,IF(Inputs!$B$8="",0,COUNTIFS(Data!$I$10:$I$3209,"&gt;="&amp;$A141,Data!$I$10:$I$3209,"&lt;"&amp;$A141+1)))</f>
        <v/>
      </c>
      <c r="AG141">
        <f>IF($B141=0,0,IF(Inputs!$B$9="",0,COUNTIFS(Data!$M$10:$M$3209,"&gt;="&amp;$A141,Data!$M$10:$M$3209,"&lt;"&amp;$A141+1)))</f>
        <v/>
      </c>
      <c r="AH141">
        <f>IF($B141=0,0,IF(Inputs!$B$10="",0,COUNTIFS(Data!$Q$10:$Q$3209,"&gt;="&amp;$A141,Data!$Q$10:$Q$3209,"&lt;"&amp;$A141+1)))</f>
        <v/>
      </c>
    </row>
    <row r="142">
      <c r="A142" s="55">
        <f>MIN(Inputs!$C$15,$A141+IF(WEEKDAY($A141,2)=5,3,1))</f>
        <v/>
      </c>
      <c r="B142">
        <f>IF($A142&gt;$A141,1,0)</f>
        <v/>
      </c>
      <c r="C142" s="56">
        <f>IF($B142=0,"",IF(Inputs!$B$6="","",IF($AD142=0,C141,SUMIFS(Data!$B$10:$B$3209,Data!$A$10:$A$3209,"&gt;="&amp;$A142,Data!$A$10:$A$3209,"&lt;"&amp;$A142+1)/$AD142)))</f>
        <v/>
      </c>
      <c r="D142" s="56">
        <f>IF($B142=0,"",IF(Inputs!$B$7="","",IF($AE142=0,D141,SUMIFS(Data!$F$10:$F$3209,Data!$E$10:$E$3209,"&gt;="&amp;$A142,Data!$E$10:$E$3209,"&lt;"&amp;$A142+1)/$AE142)))</f>
        <v/>
      </c>
      <c r="E142" s="56">
        <f>IF($B142=0,"",IF(Inputs!$B$8="","",IF($AF142=0,E141,SUMIFS(Data!$J$10:$J$3209,Data!$I$10:$I$3209,"&gt;="&amp;$A142,Data!$I$10:$I$3209,"&lt;"&amp;$A142+1)/$AF142)))</f>
        <v/>
      </c>
      <c r="F142" s="56">
        <f>IF($B142=0,"",IF(Inputs!$B$9="","",IF($AG142=0,F141,SUMIFS(Data!$N$10:$N$3209,Data!$M$10:$M$3209,"&gt;="&amp;$A142,Data!$M$10:$M$3209,"&lt;"&amp;$A142+1)/$AG142)))</f>
        <v/>
      </c>
      <c r="G142" s="56">
        <f>IF($B142=0,"",IF(Inputs!$B$10="","",IF($AH142=0,G141,SUMIFS(Data!$R$10:$R$3209,Data!$Q$10:$Q$3209,"&gt;="&amp;$A142,Data!$Q$10:$Q$3209,"&lt;"&amp;$A142+1)/$AH142)))</f>
        <v/>
      </c>
      <c r="I142" s="54">
        <f>IF($B142=0,NA(),IF($C142="",NA(),IF(C$8="",NA(),IF(N(C$8)=0,NA(),IF(Inputs!$C$17="Rebased to 100",$C142/C$8*100,$C142)))))</f>
        <v/>
      </c>
      <c r="J142" s="54">
        <f>IF($B142=0,NA(),IF($D142="",NA(),IF(D$8="",NA(),IF(N(D$8)=0,NA(),IF(Inputs!$C$17="Rebased to 100",$D142/D$8*100,$D142)))))</f>
        <v/>
      </c>
      <c r="K142" s="54">
        <f>IF($B142=0,NA(),IF($E142="",NA(),IF(E$8="",NA(),IF(N(E$8)=0,NA(),IF(Inputs!$C$17="Rebased to 100",$E142/E$8*100,$E142)))))</f>
        <v/>
      </c>
      <c r="L142" s="54">
        <f>IF($B142=0,NA(),IF($F142="",NA(),IF(F$8="",NA(),IF(N(F$8)=0,NA(),IF(Inputs!$C$17="Rebased to 100",$F142/F$8*100,$F142)))))</f>
        <v/>
      </c>
      <c r="M142" s="54">
        <f>IF($B142=0,NA(),IF($G142="",NA(),IF(G$8="",NA(),IF(N(G$8)=0,NA(),IF(Inputs!$C$17="Rebased to 100",$G142/G$8*100,$G142)))))</f>
        <v/>
      </c>
      <c r="N142" s="54">
        <f>IF($B142=0,NA(),IF(Inputs!$C$18&lt;&gt;"Yes",NA(),IF(COUNT(I142,J142,K142,L142,M142)=0,NA(),MIN(I142,J142,K142,L142,M142))))</f>
        <v/>
      </c>
      <c r="O142" s="54">
        <f>IF($B142=0,NA(),IF(Inputs!$B$24&lt;&gt;"Yes",NA(),Inputs!$D$24*Inputs!$C$35))</f>
        <v/>
      </c>
      <c r="P142" s="54">
        <f>IF($B142=0,NA(),IF(Inputs!$B$25&lt;&gt;"Yes",NA(),Inputs!$D$25*Inputs!$C$35))</f>
        <v/>
      </c>
      <c r="Q142" s="54">
        <f>IF($B142=0,NA(),IF(Inputs!$B$26&lt;&gt;"Yes",NA(),Inputs!$D$26*Inputs!$C$35))</f>
        <v/>
      </c>
      <c r="R142" s="54">
        <f>IF($B142=0,NA(),IF(Inputs!$B$27&lt;&gt;"Yes",NA(),Inputs!$D$27*Inputs!$C$35))</f>
        <v/>
      </c>
      <c r="S142" s="54">
        <f>IF($B142=0,NA(),IF(Inputs!$B$28&lt;&gt;"Yes",NA(),Inputs!$D$28*Inputs!$C$35))</f>
        <v/>
      </c>
      <c r="T142" s="54">
        <f>IF($B142=0,NA(),IF(Inputs!$B$29&lt;&gt;"Yes",NA(),Inputs!$D$29*Inputs!$C$35))</f>
        <v/>
      </c>
      <c r="AD142">
        <f>IF($B142=0,0,IF(Inputs!$B$6="",0,COUNTIFS(Data!$A$10:$A$3209,"&gt;="&amp;$A142,Data!$A$10:$A$3209,"&lt;"&amp;$A142+1)))</f>
        <v/>
      </c>
      <c r="AE142">
        <f>IF($B142=0,0,IF(Inputs!$B$7="",0,COUNTIFS(Data!$E$10:$E$3209,"&gt;="&amp;$A142,Data!$E$10:$E$3209,"&lt;"&amp;$A142+1)))</f>
        <v/>
      </c>
      <c r="AF142">
        <f>IF($B142=0,0,IF(Inputs!$B$8="",0,COUNTIFS(Data!$I$10:$I$3209,"&gt;="&amp;$A142,Data!$I$10:$I$3209,"&lt;"&amp;$A142+1)))</f>
        <v/>
      </c>
      <c r="AG142">
        <f>IF($B142=0,0,IF(Inputs!$B$9="",0,COUNTIFS(Data!$M$10:$M$3209,"&gt;="&amp;$A142,Data!$M$10:$M$3209,"&lt;"&amp;$A142+1)))</f>
        <v/>
      </c>
      <c r="AH142">
        <f>IF($B142=0,0,IF(Inputs!$B$10="",0,COUNTIFS(Data!$Q$10:$Q$3209,"&gt;="&amp;$A142,Data!$Q$10:$Q$3209,"&lt;"&amp;$A142+1)))</f>
        <v/>
      </c>
    </row>
    <row r="143">
      <c r="A143" s="55">
        <f>MIN(Inputs!$C$15,$A142+IF(WEEKDAY($A142,2)=5,3,1))</f>
        <v/>
      </c>
      <c r="B143">
        <f>IF($A143&gt;$A142,1,0)</f>
        <v/>
      </c>
      <c r="C143" s="56">
        <f>IF($B143=0,"",IF(Inputs!$B$6="","",IF($AD143=0,C142,SUMIFS(Data!$B$10:$B$3209,Data!$A$10:$A$3209,"&gt;="&amp;$A143,Data!$A$10:$A$3209,"&lt;"&amp;$A143+1)/$AD143)))</f>
        <v/>
      </c>
      <c r="D143" s="56">
        <f>IF($B143=0,"",IF(Inputs!$B$7="","",IF($AE143=0,D142,SUMIFS(Data!$F$10:$F$3209,Data!$E$10:$E$3209,"&gt;="&amp;$A143,Data!$E$10:$E$3209,"&lt;"&amp;$A143+1)/$AE143)))</f>
        <v/>
      </c>
      <c r="E143" s="56">
        <f>IF($B143=0,"",IF(Inputs!$B$8="","",IF($AF143=0,E142,SUMIFS(Data!$J$10:$J$3209,Data!$I$10:$I$3209,"&gt;="&amp;$A143,Data!$I$10:$I$3209,"&lt;"&amp;$A143+1)/$AF143)))</f>
        <v/>
      </c>
      <c r="F143" s="56">
        <f>IF($B143=0,"",IF(Inputs!$B$9="","",IF($AG143=0,F142,SUMIFS(Data!$N$10:$N$3209,Data!$M$10:$M$3209,"&gt;="&amp;$A143,Data!$M$10:$M$3209,"&lt;"&amp;$A143+1)/$AG143)))</f>
        <v/>
      </c>
      <c r="G143" s="56">
        <f>IF($B143=0,"",IF(Inputs!$B$10="","",IF($AH143=0,G142,SUMIFS(Data!$R$10:$R$3209,Data!$Q$10:$Q$3209,"&gt;="&amp;$A143,Data!$Q$10:$Q$3209,"&lt;"&amp;$A143+1)/$AH143)))</f>
        <v/>
      </c>
      <c r="I143" s="54">
        <f>IF($B143=0,NA(),IF($C143="",NA(),IF(C$8="",NA(),IF(N(C$8)=0,NA(),IF(Inputs!$C$17="Rebased to 100",$C143/C$8*100,$C143)))))</f>
        <v/>
      </c>
      <c r="J143" s="54">
        <f>IF($B143=0,NA(),IF($D143="",NA(),IF(D$8="",NA(),IF(N(D$8)=0,NA(),IF(Inputs!$C$17="Rebased to 100",$D143/D$8*100,$D143)))))</f>
        <v/>
      </c>
      <c r="K143" s="54">
        <f>IF($B143=0,NA(),IF($E143="",NA(),IF(E$8="",NA(),IF(N(E$8)=0,NA(),IF(Inputs!$C$17="Rebased to 100",$E143/E$8*100,$E143)))))</f>
        <v/>
      </c>
      <c r="L143" s="54">
        <f>IF($B143=0,NA(),IF($F143="",NA(),IF(F$8="",NA(),IF(N(F$8)=0,NA(),IF(Inputs!$C$17="Rebased to 100",$F143/F$8*100,$F143)))))</f>
        <v/>
      </c>
      <c r="M143" s="54">
        <f>IF($B143=0,NA(),IF($G143="",NA(),IF(G$8="",NA(),IF(N(G$8)=0,NA(),IF(Inputs!$C$17="Rebased to 100",$G143/G$8*100,$G143)))))</f>
        <v/>
      </c>
      <c r="N143" s="54">
        <f>IF($B143=0,NA(),IF(Inputs!$C$18&lt;&gt;"Yes",NA(),IF(COUNT(I143,J143,K143,L143,M143)=0,NA(),MIN(I143,J143,K143,L143,M143))))</f>
        <v/>
      </c>
      <c r="O143" s="54">
        <f>IF($B143=0,NA(),IF(Inputs!$B$24&lt;&gt;"Yes",NA(),Inputs!$D$24*Inputs!$C$35))</f>
        <v/>
      </c>
      <c r="P143" s="54">
        <f>IF($B143=0,NA(),IF(Inputs!$B$25&lt;&gt;"Yes",NA(),Inputs!$D$25*Inputs!$C$35))</f>
        <v/>
      </c>
      <c r="Q143" s="54">
        <f>IF($B143=0,NA(),IF(Inputs!$B$26&lt;&gt;"Yes",NA(),Inputs!$D$26*Inputs!$C$35))</f>
        <v/>
      </c>
      <c r="R143" s="54">
        <f>IF($B143=0,NA(),IF(Inputs!$B$27&lt;&gt;"Yes",NA(),Inputs!$D$27*Inputs!$C$35))</f>
        <v/>
      </c>
      <c r="S143" s="54">
        <f>IF($B143=0,NA(),IF(Inputs!$B$28&lt;&gt;"Yes",NA(),Inputs!$D$28*Inputs!$C$35))</f>
        <v/>
      </c>
      <c r="T143" s="54">
        <f>IF($B143=0,NA(),IF(Inputs!$B$29&lt;&gt;"Yes",NA(),Inputs!$D$29*Inputs!$C$35))</f>
        <v/>
      </c>
      <c r="AD143">
        <f>IF($B143=0,0,IF(Inputs!$B$6="",0,COUNTIFS(Data!$A$10:$A$3209,"&gt;="&amp;$A143,Data!$A$10:$A$3209,"&lt;"&amp;$A143+1)))</f>
        <v/>
      </c>
      <c r="AE143">
        <f>IF($B143=0,0,IF(Inputs!$B$7="",0,COUNTIFS(Data!$E$10:$E$3209,"&gt;="&amp;$A143,Data!$E$10:$E$3209,"&lt;"&amp;$A143+1)))</f>
        <v/>
      </c>
      <c r="AF143">
        <f>IF($B143=0,0,IF(Inputs!$B$8="",0,COUNTIFS(Data!$I$10:$I$3209,"&gt;="&amp;$A143,Data!$I$10:$I$3209,"&lt;"&amp;$A143+1)))</f>
        <v/>
      </c>
      <c r="AG143">
        <f>IF($B143=0,0,IF(Inputs!$B$9="",0,COUNTIFS(Data!$M$10:$M$3209,"&gt;="&amp;$A143,Data!$M$10:$M$3209,"&lt;"&amp;$A143+1)))</f>
        <v/>
      </c>
      <c r="AH143">
        <f>IF($B143=0,0,IF(Inputs!$B$10="",0,COUNTIFS(Data!$Q$10:$Q$3209,"&gt;="&amp;$A143,Data!$Q$10:$Q$3209,"&lt;"&amp;$A143+1)))</f>
        <v/>
      </c>
    </row>
    <row r="144">
      <c r="A144" s="55">
        <f>MIN(Inputs!$C$15,$A143+IF(WEEKDAY($A143,2)=5,3,1))</f>
        <v/>
      </c>
      <c r="B144">
        <f>IF($A144&gt;$A143,1,0)</f>
        <v/>
      </c>
      <c r="C144" s="56">
        <f>IF($B144=0,"",IF(Inputs!$B$6="","",IF($AD144=0,C143,SUMIFS(Data!$B$10:$B$3209,Data!$A$10:$A$3209,"&gt;="&amp;$A144,Data!$A$10:$A$3209,"&lt;"&amp;$A144+1)/$AD144)))</f>
        <v/>
      </c>
      <c r="D144" s="56">
        <f>IF($B144=0,"",IF(Inputs!$B$7="","",IF($AE144=0,D143,SUMIFS(Data!$F$10:$F$3209,Data!$E$10:$E$3209,"&gt;="&amp;$A144,Data!$E$10:$E$3209,"&lt;"&amp;$A144+1)/$AE144)))</f>
        <v/>
      </c>
      <c r="E144" s="56">
        <f>IF($B144=0,"",IF(Inputs!$B$8="","",IF($AF144=0,E143,SUMIFS(Data!$J$10:$J$3209,Data!$I$10:$I$3209,"&gt;="&amp;$A144,Data!$I$10:$I$3209,"&lt;"&amp;$A144+1)/$AF144)))</f>
        <v/>
      </c>
      <c r="F144" s="56">
        <f>IF($B144=0,"",IF(Inputs!$B$9="","",IF($AG144=0,F143,SUMIFS(Data!$N$10:$N$3209,Data!$M$10:$M$3209,"&gt;="&amp;$A144,Data!$M$10:$M$3209,"&lt;"&amp;$A144+1)/$AG144)))</f>
        <v/>
      </c>
      <c r="G144" s="56">
        <f>IF($B144=0,"",IF(Inputs!$B$10="","",IF($AH144=0,G143,SUMIFS(Data!$R$10:$R$3209,Data!$Q$10:$Q$3209,"&gt;="&amp;$A144,Data!$Q$10:$Q$3209,"&lt;"&amp;$A144+1)/$AH144)))</f>
        <v/>
      </c>
      <c r="I144" s="54">
        <f>IF($B144=0,NA(),IF($C144="",NA(),IF(C$8="",NA(),IF(N(C$8)=0,NA(),IF(Inputs!$C$17="Rebased to 100",$C144/C$8*100,$C144)))))</f>
        <v/>
      </c>
      <c r="J144" s="54">
        <f>IF($B144=0,NA(),IF($D144="",NA(),IF(D$8="",NA(),IF(N(D$8)=0,NA(),IF(Inputs!$C$17="Rebased to 100",$D144/D$8*100,$D144)))))</f>
        <v/>
      </c>
      <c r="K144" s="54">
        <f>IF($B144=0,NA(),IF($E144="",NA(),IF(E$8="",NA(),IF(N(E$8)=0,NA(),IF(Inputs!$C$17="Rebased to 100",$E144/E$8*100,$E144)))))</f>
        <v/>
      </c>
      <c r="L144" s="54">
        <f>IF($B144=0,NA(),IF($F144="",NA(),IF(F$8="",NA(),IF(N(F$8)=0,NA(),IF(Inputs!$C$17="Rebased to 100",$F144/F$8*100,$F144)))))</f>
        <v/>
      </c>
      <c r="M144" s="54">
        <f>IF($B144=0,NA(),IF($G144="",NA(),IF(G$8="",NA(),IF(N(G$8)=0,NA(),IF(Inputs!$C$17="Rebased to 100",$G144/G$8*100,$G144)))))</f>
        <v/>
      </c>
      <c r="N144" s="54">
        <f>IF($B144=0,NA(),IF(Inputs!$C$18&lt;&gt;"Yes",NA(),IF(COUNT(I144,J144,K144,L144,M144)=0,NA(),MIN(I144,J144,K144,L144,M144))))</f>
        <v/>
      </c>
      <c r="O144" s="54">
        <f>IF($B144=0,NA(),IF(Inputs!$B$24&lt;&gt;"Yes",NA(),Inputs!$D$24*Inputs!$C$35))</f>
        <v/>
      </c>
      <c r="P144" s="54">
        <f>IF($B144=0,NA(),IF(Inputs!$B$25&lt;&gt;"Yes",NA(),Inputs!$D$25*Inputs!$C$35))</f>
        <v/>
      </c>
      <c r="Q144" s="54">
        <f>IF($B144=0,NA(),IF(Inputs!$B$26&lt;&gt;"Yes",NA(),Inputs!$D$26*Inputs!$C$35))</f>
        <v/>
      </c>
      <c r="R144" s="54">
        <f>IF($B144=0,NA(),IF(Inputs!$B$27&lt;&gt;"Yes",NA(),Inputs!$D$27*Inputs!$C$35))</f>
        <v/>
      </c>
      <c r="S144" s="54">
        <f>IF($B144=0,NA(),IF(Inputs!$B$28&lt;&gt;"Yes",NA(),Inputs!$D$28*Inputs!$C$35))</f>
        <v/>
      </c>
      <c r="T144" s="54">
        <f>IF($B144=0,NA(),IF(Inputs!$B$29&lt;&gt;"Yes",NA(),Inputs!$D$29*Inputs!$C$35))</f>
        <v/>
      </c>
      <c r="AD144">
        <f>IF($B144=0,0,IF(Inputs!$B$6="",0,COUNTIFS(Data!$A$10:$A$3209,"&gt;="&amp;$A144,Data!$A$10:$A$3209,"&lt;"&amp;$A144+1)))</f>
        <v/>
      </c>
      <c r="AE144">
        <f>IF($B144=0,0,IF(Inputs!$B$7="",0,COUNTIFS(Data!$E$10:$E$3209,"&gt;="&amp;$A144,Data!$E$10:$E$3209,"&lt;"&amp;$A144+1)))</f>
        <v/>
      </c>
      <c r="AF144">
        <f>IF($B144=0,0,IF(Inputs!$B$8="",0,COUNTIFS(Data!$I$10:$I$3209,"&gt;="&amp;$A144,Data!$I$10:$I$3209,"&lt;"&amp;$A144+1)))</f>
        <v/>
      </c>
      <c r="AG144">
        <f>IF($B144=0,0,IF(Inputs!$B$9="",0,COUNTIFS(Data!$M$10:$M$3209,"&gt;="&amp;$A144,Data!$M$10:$M$3209,"&lt;"&amp;$A144+1)))</f>
        <v/>
      </c>
      <c r="AH144">
        <f>IF($B144=0,0,IF(Inputs!$B$10="",0,COUNTIFS(Data!$Q$10:$Q$3209,"&gt;="&amp;$A144,Data!$Q$10:$Q$3209,"&lt;"&amp;$A144+1)))</f>
        <v/>
      </c>
    </row>
    <row r="145">
      <c r="A145" s="55">
        <f>MIN(Inputs!$C$15,$A144+IF(WEEKDAY($A144,2)=5,3,1))</f>
        <v/>
      </c>
      <c r="B145">
        <f>IF($A145&gt;$A144,1,0)</f>
        <v/>
      </c>
      <c r="C145" s="56">
        <f>IF($B145=0,"",IF(Inputs!$B$6="","",IF($AD145=0,C144,SUMIFS(Data!$B$10:$B$3209,Data!$A$10:$A$3209,"&gt;="&amp;$A145,Data!$A$10:$A$3209,"&lt;"&amp;$A145+1)/$AD145)))</f>
        <v/>
      </c>
      <c r="D145" s="56">
        <f>IF($B145=0,"",IF(Inputs!$B$7="","",IF($AE145=0,D144,SUMIFS(Data!$F$10:$F$3209,Data!$E$10:$E$3209,"&gt;="&amp;$A145,Data!$E$10:$E$3209,"&lt;"&amp;$A145+1)/$AE145)))</f>
        <v/>
      </c>
      <c r="E145" s="56">
        <f>IF($B145=0,"",IF(Inputs!$B$8="","",IF($AF145=0,E144,SUMIFS(Data!$J$10:$J$3209,Data!$I$10:$I$3209,"&gt;="&amp;$A145,Data!$I$10:$I$3209,"&lt;"&amp;$A145+1)/$AF145)))</f>
        <v/>
      </c>
      <c r="F145" s="56">
        <f>IF($B145=0,"",IF(Inputs!$B$9="","",IF($AG145=0,F144,SUMIFS(Data!$N$10:$N$3209,Data!$M$10:$M$3209,"&gt;="&amp;$A145,Data!$M$10:$M$3209,"&lt;"&amp;$A145+1)/$AG145)))</f>
        <v/>
      </c>
      <c r="G145" s="56">
        <f>IF($B145=0,"",IF(Inputs!$B$10="","",IF($AH145=0,G144,SUMIFS(Data!$R$10:$R$3209,Data!$Q$10:$Q$3209,"&gt;="&amp;$A145,Data!$Q$10:$Q$3209,"&lt;"&amp;$A145+1)/$AH145)))</f>
        <v/>
      </c>
      <c r="I145" s="54">
        <f>IF($B145=0,NA(),IF($C145="",NA(),IF(C$8="",NA(),IF(N(C$8)=0,NA(),IF(Inputs!$C$17="Rebased to 100",$C145/C$8*100,$C145)))))</f>
        <v/>
      </c>
      <c r="J145" s="54">
        <f>IF($B145=0,NA(),IF($D145="",NA(),IF(D$8="",NA(),IF(N(D$8)=0,NA(),IF(Inputs!$C$17="Rebased to 100",$D145/D$8*100,$D145)))))</f>
        <v/>
      </c>
      <c r="K145" s="54">
        <f>IF($B145=0,NA(),IF($E145="",NA(),IF(E$8="",NA(),IF(N(E$8)=0,NA(),IF(Inputs!$C$17="Rebased to 100",$E145/E$8*100,$E145)))))</f>
        <v/>
      </c>
      <c r="L145" s="54">
        <f>IF($B145=0,NA(),IF($F145="",NA(),IF(F$8="",NA(),IF(N(F$8)=0,NA(),IF(Inputs!$C$17="Rebased to 100",$F145/F$8*100,$F145)))))</f>
        <v/>
      </c>
      <c r="M145" s="54">
        <f>IF($B145=0,NA(),IF($G145="",NA(),IF(G$8="",NA(),IF(N(G$8)=0,NA(),IF(Inputs!$C$17="Rebased to 100",$G145/G$8*100,$G145)))))</f>
        <v/>
      </c>
      <c r="N145" s="54">
        <f>IF($B145=0,NA(),IF(Inputs!$C$18&lt;&gt;"Yes",NA(),IF(COUNT(I145,J145,K145,L145,M145)=0,NA(),MIN(I145,J145,K145,L145,M145))))</f>
        <v/>
      </c>
      <c r="O145" s="54">
        <f>IF($B145=0,NA(),IF(Inputs!$B$24&lt;&gt;"Yes",NA(),Inputs!$D$24*Inputs!$C$35))</f>
        <v/>
      </c>
      <c r="P145" s="54">
        <f>IF($B145=0,NA(),IF(Inputs!$B$25&lt;&gt;"Yes",NA(),Inputs!$D$25*Inputs!$C$35))</f>
        <v/>
      </c>
      <c r="Q145" s="54">
        <f>IF($B145=0,NA(),IF(Inputs!$B$26&lt;&gt;"Yes",NA(),Inputs!$D$26*Inputs!$C$35))</f>
        <v/>
      </c>
      <c r="R145" s="54">
        <f>IF($B145=0,NA(),IF(Inputs!$B$27&lt;&gt;"Yes",NA(),Inputs!$D$27*Inputs!$C$35))</f>
        <v/>
      </c>
      <c r="S145" s="54">
        <f>IF($B145=0,NA(),IF(Inputs!$B$28&lt;&gt;"Yes",NA(),Inputs!$D$28*Inputs!$C$35))</f>
        <v/>
      </c>
      <c r="T145" s="54">
        <f>IF($B145=0,NA(),IF(Inputs!$B$29&lt;&gt;"Yes",NA(),Inputs!$D$29*Inputs!$C$35))</f>
        <v/>
      </c>
      <c r="AD145">
        <f>IF($B145=0,0,IF(Inputs!$B$6="",0,COUNTIFS(Data!$A$10:$A$3209,"&gt;="&amp;$A145,Data!$A$10:$A$3209,"&lt;"&amp;$A145+1)))</f>
        <v/>
      </c>
      <c r="AE145">
        <f>IF($B145=0,0,IF(Inputs!$B$7="",0,COUNTIFS(Data!$E$10:$E$3209,"&gt;="&amp;$A145,Data!$E$10:$E$3209,"&lt;"&amp;$A145+1)))</f>
        <v/>
      </c>
      <c r="AF145">
        <f>IF($B145=0,0,IF(Inputs!$B$8="",0,COUNTIFS(Data!$I$10:$I$3209,"&gt;="&amp;$A145,Data!$I$10:$I$3209,"&lt;"&amp;$A145+1)))</f>
        <v/>
      </c>
      <c r="AG145">
        <f>IF($B145=0,0,IF(Inputs!$B$9="",0,COUNTIFS(Data!$M$10:$M$3209,"&gt;="&amp;$A145,Data!$M$10:$M$3209,"&lt;"&amp;$A145+1)))</f>
        <v/>
      </c>
      <c r="AH145">
        <f>IF($B145=0,0,IF(Inputs!$B$10="",0,COUNTIFS(Data!$Q$10:$Q$3209,"&gt;="&amp;$A145,Data!$Q$10:$Q$3209,"&lt;"&amp;$A145+1)))</f>
        <v/>
      </c>
    </row>
    <row r="146">
      <c r="A146" s="55">
        <f>MIN(Inputs!$C$15,$A145+IF(WEEKDAY($A145,2)=5,3,1))</f>
        <v/>
      </c>
      <c r="B146">
        <f>IF($A146&gt;$A145,1,0)</f>
        <v/>
      </c>
      <c r="C146" s="56">
        <f>IF($B146=0,"",IF(Inputs!$B$6="","",IF($AD146=0,C145,SUMIFS(Data!$B$10:$B$3209,Data!$A$10:$A$3209,"&gt;="&amp;$A146,Data!$A$10:$A$3209,"&lt;"&amp;$A146+1)/$AD146)))</f>
        <v/>
      </c>
      <c r="D146" s="56">
        <f>IF($B146=0,"",IF(Inputs!$B$7="","",IF($AE146=0,D145,SUMIFS(Data!$F$10:$F$3209,Data!$E$10:$E$3209,"&gt;="&amp;$A146,Data!$E$10:$E$3209,"&lt;"&amp;$A146+1)/$AE146)))</f>
        <v/>
      </c>
      <c r="E146" s="56">
        <f>IF($B146=0,"",IF(Inputs!$B$8="","",IF($AF146=0,E145,SUMIFS(Data!$J$10:$J$3209,Data!$I$10:$I$3209,"&gt;="&amp;$A146,Data!$I$10:$I$3209,"&lt;"&amp;$A146+1)/$AF146)))</f>
        <v/>
      </c>
      <c r="F146" s="56">
        <f>IF($B146=0,"",IF(Inputs!$B$9="","",IF($AG146=0,F145,SUMIFS(Data!$N$10:$N$3209,Data!$M$10:$M$3209,"&gt;="&amp;$A146,Data!$M$10:$M$3209,"&lt;"&amp;$A146+1)/$AG146)))</f>
        <v/>
      </c>
      <c r="G146" s="56">
        <f>IF($B146=0,"",IF(Inputs!$B$10="","",IF($AH146=0,G145,SUMIFS(Data!$R$10:$R$3209,Data!$Q$10:$Q$3209,"&gt;="&amp;$A146,Data!$Q$10:$Q$3209,"&lt;"&amp;$A146+1)/$AH146)))</f>
        <v/>
      </c>
      <c r="I146" s="54">
        <f>IF($B146=0,NA(),IF($C146="",NA(),IF(C$8="",NA(),IF(N(C$8)=0,NA(),IF(Inputs!$C$17="Rebased to 100",$C146/C$8*100,$C146)))))</f>
        <v/>
      </c>
      <c r="J146" s="54">
        <f>IF($B146=0,NA(),IF($D146="",NA(),IF(D$8="",NA(),IF(N(D$8)=0,NA(),IF(Inputs!$C$17="Rebased to 100",$D146/D$8*100,$D146)))))</f>
        <v/>
      </c>
      <c r="K146" s="54">
        <f>IF($B146=0,NA(),IF($E146="",NA(),IF(E$8="",NA(),IF(N(E$8)=0,NA(),IF(Inputs!$C$17="Rebased to 100",$E146/E$8*100,$E146)))))</f>
        <v/>
      </c>
      <c r="L146" s="54">
        <f>IF($B146=0,NA(),IF($F146="",NA(),IF(F$8="",NA(),IF(N(F$8)=0,NA(),IF(Inputs!$C$17="Rebased to 100",$F146/F$8*100,$F146)))))</f>
        <v/>
      </c>
      <c r="M146" s="54">
        <f>IF($B146=0,NA(),IF($G146="",NA(),IF(G$8="",NA(),IF(N(G$8)=0,NA(),IF(Inputs!$C$17="Rebased to 100",$G146/G$8*100,$G146)))))</f>
        <v/>
      </c>
      <c r="N146" s="54">
        <f>IF($B146=0,NA(),IF(Inputs!$C$18&lt;&gt;"Yes",NA(),IF(COUNT(I146,J146,K146,L146,M146)=0,NA(),MIN(I146,J146,K146,L146,M146))))</f>
        <v/>
      </c>
      <c r="O146" s="54">
        <f>IF($B146=0,NA(),IF(Inputs!$B$24&lt;&gt;"Yes",NA(),Inputs!$D$24*Inputs!$C$35))</f>
        <v/>
      </c>
      <c r="P146" s="54">
        <f>IF($B146=0,NA(),IF(Inputs!$B$25&lt;&gt;"Yes",NA(),Inputs!$D$25*Inputs!$C$35))</f>
        <v/>
      </c>
      <c r="Q146" s="54">
        <f>IF($B146=0,NA(),IF(Inputs!$B$26&lt;&gt;"Yes",NA(),Inputs!$D$26*Inputs!$C$35))</f>
        <v/>
      </c>
      <c r="R146" s="54">
        <f>IF($B146=0,NA(),IF(Inputs!$B$27&lt;&gt;"Yes",NA(),Inputs!$D$27*Inputs!$C$35))</f>
        <v/>
      </c>
      <c r="S146" s="54">
        <f>IF($B146=0,NA(),IF(Inputs!$B$28&lt;&gt;"Yes",NA(),Inputs!$D$28*Inputs!$C$35))</f>
        <v/>
      </c>
      <c r="T146" s="54">
        <f>IF($B146=0,NA(),IF(Inputs!$B$29&lt;&gt;"Yes",NA(),Inputs!$D$29*Inputs!$C$35))</f>
        <v/>
      </c>
      <c r="AD146">
        <f>IF($B146=0,0,IF(Inputs!$B$6="",0,COUNTIFS(Data!$A$10:$A$3209,"&gt;="&amp;$A146,Data!$A$10:$A$3209,"&lt;"&amp;$A146+1)))</f>
        <v/>
      </c>
      <c r="AE146">
        <f>IF($B146=0,0,IF(Inputs!$B$7="",0,COUNTIFS(Data!$E$10:$E$3209,"&gt;="&amp;$A146,Data!$E$10:$E$3209,"&lt;"&amp;$A146+1)))</f>
        <v/>
      </c>
      <c r="AF146">
        <f>IF($B146=0,0,IF(Inputs!$B$8="",0,COUNTIFS(Data!$I$10:$I$3209,"&gt;="&amp;$A146,Data!$I$10:$I$3209,"&lt;"&amp;$A146+1)))</f>
        <v/>
      </c>
      <c r="AG146">
        <f>IF($B146=0,0,IF(Inputs!$B$9="",0,COUNTIFS(Data!$M$10:$M$3209,"&gt;="&amp;$A146,Data!$M$10:$M$3209,"&lt;"&amp;$A146+1)))</f>
        <v/>
      </c>
      <c r="AH146">
        <f>IF($B146=0,0,IF(Inputs!$B$10="",0,COUNTIFS(Data!$Q$10:$Q$3209,"&gt;="&amp;$A146,Data!$Q$10:$Q$3209,"&lt;"&amp;$A146+1)))</f>
        <v/>
      </c>
    </row>
    <row r="147">
      <c r="A147" s="55">
        <f>MIN(Inputs!$C$15,$A146+IF(WEEKDAY($A146,2)=5,3,1))</f>
        <v/>
      </c>
      <c r="B147">
        <f>IF($A147&gt;$A146,1,0)</f>
        <v/>
      </c>
      <c r="C147" s="56">
        <f>IF($B147=0,"",IF(Inputs!$B$6="","",IF($AD147=0,C146,SUMIFS(Data!$B$10:$B$3209,Data!$A$10:$A$3209,"&gt;="&amp;$A147,Data!$A$10:$A$3209,"&lt;"&amp;$A147+1)/$AD147)))</f>
        <v/>
      </c>
      <c r="D147" s="56">
        <f>IF($B147=0,"",IF(Inputs!$B$7="","",IF($AE147=0,D146,SUMIFS(Data!$F$10:$F$3209,Data!$E$10:$E$3209,"&gt;="&amp;$A147,Data!$E$10:$E$3209,"&lt;"&amp;$A147+1)/$AE147)))</f>
        <v/>
      </c>
      <c r="E147" s="56">
        <f>IF($B147=0,"",IF(Inputs!$B$8="","",IF($AF147=0,E146,SUMIFS(Data!$J$10:$J$3209,Data!$I$10:$I$3209,"&gt;="&amp;$A147,Data!$I$10:$I$3209,"&lt;"&amp;$A147+1)/$AF147)))</f>
        <v/>
      </c>
      <c r="F147" s="56">
        <f>IF($B147=0,"",IF(Inputs!$B$9="","",IF($AG147=0,F146,SUMIFS(Data!$N$10:$N$3209,Data!$M$10:$M$3209,"&gt;="&amp;$A147,Data!$M$10:$M$3209,"&lt;"&amp;$A147+1)/$AG147)))</f>
        <v/>
      </c>
      <c r="G147" s="56">
        <f>IF($B147=0,"",IF(Inputs!$B$10="","",IF($AH147=0,G146,SUMIFS(Data!$R$10:$R$3209,Data!$Q$10:$Q$3209,"&gt;="&amp;$A147,Data!$Q$10:$Q$3209,"&lt;"&amp;$A147+1)/$AH147)))</f>
        <v/>
      </c>
      <c r="I147" s="54">
        <f>IF($B147=0,NA(),IF($C147="",NA(),IF(C$8="",NA(),IF(N(C$8)=0,NA(),IF(Inputs!$C$17="Rebased to 100",$C147/C$8*100,$C147)))))</f>
        <v/>
      </c>
      <c r="J147" s="54">
        <f>IF($B147=0,NA(),IF($D147="",NA(),IF(D$8="",NA(),IF(N(D$8)=0,NA(),IF(Inputs!$C$17="Rebased to 100",$D147/D$8*100,$D147)))))</f>
        <v/>
      </c>
      <c r="K147" s="54">
        <f>IF($B147=0,NA(),IF($E147="",NA(),IF(E$8="",NA(),IF(N(E$8)=0,NA(),IF(Inputs!$C$17="Rebased to 100",$E147/E$8*100,$E147)))))</f>
        <v/>
      </c>
      <c r="L147" s="54">
        <f>IF($B147=0,NA(),IF($F147="",NA(),IF(F$8="",NA(),IF(N(F$8)=0,NA(),IF(Inputs!$C$17="Rebased to 100",$F147/F$8*100,$F147)))))</f>
        <v/>
      </c>
      <c r="M147" s="54">
        <f>IF($B147=0,NA(),IF($G147="",NA(),IF(G$8="",NA(),IF(N(G$8)=0,NA(),IF(Inputs!$C$17="Rebased to 100",$G147/G$8*100,$G147)))))</f>
        <v/>
      </c>
      <c r="N147" s="54">
        <f>IF($B147=0,NA(),IF(Inputs!$C$18&lt;&gt;"Yes",NA(),IF(COUNT(I147,J147,K147,L147,M147)=0,NA(),MIN(I147,J147,K147,L147,M147))))</f>
        <v/>
      </c>
      <c r="O147" s="54">
        <f>IF($B147=0,NA(),IF(Inputs!$B$24&lt;&gt;"Yes",NA(),Inputs!$D$24*Inputs!$C$35))</f>
        <v/>
      </c>
      <c r="P147" s="54">
        <f>IF($B147=0,NA(),IF(Inputs!$B$25&lt;&gt;"Yes",NA(),Inputs!$D$25*Inputs!$C$35))</f>
        <v/>
      </c>
      <c r="Q147" s="54">
        <f>IF($B147=0,NA(),IF(Inputs!$B$26&lt;&gt;"Yes",NA(),Inputs!$D$26*Inputs!$C$35))</f>
        <v/>
      </c>
      <c r="R147" s="54">
        <f>IF($B147=0,NA(),IF(Inputs!$B$27&lt;&gt;"Yes",NA(),Inputs!$D$27*Inputs!$C$35))</f>
        <v/>
      </c>
      <c r="S147" s="54">
        <f>IF($B147=0,NA(),IF(Inputs!$B$28&lt;&gt;"Yes",NA(),Inputs!$D$28*Inputs!$C$35))</f>
        <v/>
      </c>
      <c r="T147" s="54">
        <f>IF($B147=0,NA(),IF(Inputs!$B$29&lt;&gt;"Yes",NA(),Inputs!$D$29*Inputs!$C$35))</f>
        <v/>
      </c>
      <c r="AD147">
        <f>IF($B147=0,0,IF(Inputs!$B$6="",0,COUNTIFS(Data!$A$10:$A$3209,"&gt;="&amp;$A147,Data!$A$10:$A$3209,"&lt;"&amp;$A147+1)))</f>
        <v/>
      </c>
      <c r="AE147">
        <f>IF($B147=0,0,IF(Inputs!$B$7="",0,COUNTIFS(Data!$E$10:$E$3209,"&gt;="&amp;$A147,Data!$E$10:$E$3209,"&lt;"&amp;$A147+1)))</f>
        <v/>
      </c>
      <c r="AF147">
        <f>IF($B147=0,0,IF(Inputs!$B$8="",0,COUNTIFS(Data!$I$10:$I$3209,"&gt;="&amp;$A147,Data!$I$10:$I$3209,"&lt;"&amp;$A147+1)))</f>
        <v/>
      </c>
      <c r="AG147">
        <f>IF($B147=0,0,IF(Inputs!$B$9="",0,COUNTIFS(Data!$M$10:$M$3209,"&gt;="&amp;$A147,Data!$M$10:$M$3209,"&lt;"&amp;$A147+1)))</f>
        <v/>
      </c>
      <c r="AH147">
        <f>IF($B147=0,0,IF(Inputs!$B$10="",0,COUNTIFS(Data!$Q$10:$Q$3209,"&gt;="&amp;$A147,Data!$Q$10:$Q$3209,"&lt;"&amp;$A147+1)))</f>
        <v/>
      </c>
    </row>
    <row r="148">
      <c r="A148" s="55">
        <f>MIN(Inputs!$C$15,$A147+IF(WEEKDAY($A147,2)=5,3,1))</f>
        <v/>
      </c>
      <c r="B148">
        <f>IF($A148&gt;$A147,1,0)</f>
        <v/>
      </c>
      <c r="C148" s="56">
        <f>IF($B148=0,"",IF(Inputs!$B$6="","",IF($AD148=0,C147,SUMIFS(Data!$B$10:$B$3209,Data!$A$10:$A$3209,"&gt;="&amp;$A148,Data!$A$10:$A$3209,"&lt;"&amp;$A148+1)/$AD148)))</f>
        <v/>
      </c>
      <c r="D148" s="56">
        <f>IF($B148=0,"",IF(Inputs!$B$7="","",IF($AE148=0,D147,SUMIFS(Data!$F$10:$F$3209,Data!$E$10:$E$3209,"&gt;="&amp;$A148,Data!$E$10:$E$3209,"&lt;"&amp;$A148+1)/$AE148)))</f>
        <v/>
      </c>
      <c r="E148" s="56">
        <f>IF($B148=0,"",IF(Inputs!$B$8="","",IF($AF148=0,E147,SUMIFS(Data!$J$10:$J$3209,Data!$I$10:$I$3209,"&gt;="&amp;$A148,Data!$I$10:$I$3209,"&lt;"&amp;$A148+1)/$AF148)))</f>
        <v/>
      </c>
      <c r="F148" s="56">
        <f>IF($B148=0,"",IF(Inputs!$B$9="","",IF($AG148=0,F147,SUMIFS(Data!$N$10:$N$3209,Data!$M$10:$M$3209,"&gt;="&amp;$A148,Data!$M$10:$M$3209,"&lt;"&amp;$A148+1)/$AG148)))</f>
        <v/>
      </c>
      <c r="G148" s="56">
        <f>IF($B148=0,"",IF(Inputs!$B$10="","",IF($AH148=0,G147,SUMIFS(Data!$R$10:$R$3209,Data!$Q$10:$Q$3209,"&gt;="&amp;$A148,Data!$Q$10:$Q$3209,"&lt;"&amp;$A148+1)/$AH148)))</f>
        <v/>
      </c>
      <c r="I148" s="54">
        <f>IF($B148=0,NA(),IF($C148="",NA(),IF(C$8="",NA(),IF(N(C$8)=0,NA(),IF(Inputs!$C$17="Rebased to 100",$C148/C$8*100,$C148)))))</f>
        <v/>
      </c>
      <c r="J148" s="54">
        <f>IF($B148=0,NA(),IF($D148="",NA(),IF(D$8="",NA(),IF(N(D$8)=0,NA(),IF(Inputs!$C$17="Rebased to 100",$D148/D$8*100,$D148)))))</f>
        <v/>
      </c>
      <c r="K148" s="54">
        <f>IF($B148=0,NA(),IF($E148="",NA(),IF(E$8="",NA(),IF(N(E$8)=0,NA(),IF(Inputs!$C$17="Rebased to 100",$E148/E$8*100,$E148)))))</f>
        <v/>
      </c>
      <c r="L148" s="54">
        <f>IF($B148=0,NA(),IF($F148="",NA(),IF(F$8="",NA(),IF(N(F$8)=0,NA(),IF(Inputs!$C$17="Rebased to 100",$F148/F$8*100,$F148)))))</f>
        <v/>
      </c>
      <c r="M148" s="54">
        <f>IF($B148=0,NA(),IF($G148="",NA(),IF(G$8="",NA(),IF(N(G$8)=0,NA(),IF(Inputs!$C$17="Rebased to 100",$G148/G$8*100,$G148)))))</f>
        <v/>
      </c>
      <c r="N148" s="54">
        <f>IF($B148=0,NA(),IF(Inputs!$C$18&lt;&gt;"Yes",NA(),IF(COUNT(I148,J148,K148,L148,M148)=0,NA(),MIN(I148,J148,K148,L148,M148))))</f>
        <v/>
      </c>
      <c r="O148" s="54">
        <f>IF($B148=0,NA(),IF(Inputs!$B$24&lt;&gt;"Yes",NA(),Inputs!$D$24*Inputs!$C$35))</f>
        <v/>
      </c>
      <c r="P148" s="54">
        <f>IF($B148=0,NA(),IF(Inputs!$B$25&lt;&gt;"Yes",NA(),Inputs!$D$25*Inputs!$C$35))</f>
        <v/>
      </c>
      <c r="Q148" s="54">
        <f>IF($B148=0,NA(),IF(Inputs!$B$26&lt;&gt;"Yes",NA(),Inputs!$D$26*Inputs!$C$35))</f>
        <v/>
      </c>
      <c r="R148" s="54">
        <f>IF($B148=0,NA(),IF(Inputs!$B$27&lt;&gt;"Yes",NA(),Inputs!$D$27*Inputs!$C$35))</f>
        <v/>
      </c>
      <c r="S148" s="54">
        <f>IF($B148=0,NA(),IF(Inputs!$B$28&lt;&gt;"Yes",NA(),Inputs!$D$28*Inputs!$C$35))</f>
        <v/>
      </c>
      <c r="T148" s="54">
        <f>IF($B148=0,NA(),IF(Inputs!$B$29&lt;&gt;"Yes",NA(),Inputs!$D$29*Inputs!$C$35))</f>
        <v/>
      </c>
      <c r="AD148">
        <f>IF($B148=0,0,IF(Inputs!$B$6="",0,COUNTIFS(Data!$A$10:$A$3209,"&gt;="&amp;$A148,Data!$A$10:$A$3209,"&lt;"&amp;$A148+1)))</f>
        <v/>
      </c>
      <c r="AE148">
        <f>IF($B148=0,0,IF(Inputs!$B$7="",0,COUNTIFS(Data!$E$10:$E$3209,"&gt;="&amp;$A148,Data!$E$10:$E$3209,"&lt;"&amp;$A148+1)))</f>
        <v/>
      </c>
      <c r="AF148">
        <f>IF($B148=0,0,IF(Inputs!$B$8="",0,COUNTIFS(Data!$I$10:$I$3209,"&gt;="&amp;$A148,Data!$I$10:$I$3209,"&lt;"&amp;$A148+1)))</f>
        <v/>
      </c>
      <c r="AG148">
        <f>IF($B148=0,0,IF(Inputs!$B$9="",0,COUNTIFS(Data!$M$10:$M$3209,"&gt;="&amp;$A148,Data!$M$10:$M$3209,"&lt;"&amp;$A148+1)))</f>
        <v/>
      </c>
      <c r="AH148">
        <f>IF($B148=0,0,IF(Inputs!$B$10="",0,COUNTIFS(Data!$Q$10:$Q$3209,"&gt;="&amp;$A148,Data!$Q$10:$Q$3209,"&lt;"&amp;$A148+1)))</f>
        <v/>
      </c>
    </row>
    <row r="149">
      <c r="A149" s="55">
        <f>MIN(Inputs!$C$15,$A148+IF(WEEKDAY($A148,2)=5,3,1))</f>
        <v/>
      </c>
      <c r="B149">
        <f>IF($A149&gt;$A148,1,0)</f>
        <v/>
      </c>
      <c r="C149" s="56">
        <f>IF($B149=0,"",IF(Inputs!$B$6="","",IF($AD149=0,C148,SUMIFS(Data!$B$10:$B$3209,Data!$A$10:$A$3209,"&gt;="&amp;$A149,Data!$A$10:$A$3209,"&lt;"&amp;$A149+1)/$AD149)))</f>
        <v/>
      </c>
      <c r="D149" s="56">
        <f>IF($B149=0,"",IF(Inputs!$B$7="","",IF($AE149=0,D148,SUMIFS(Data!$F$10:$F$3209,Data!$E$10:$E$3209,"&gt;="&amp;$A149,Data!$E$10:$E$3209,"&lt;"&amp;$A149+1)/$AE149)))</f>
        <v/>
      </c>
      <c r="E149" s="56">
        <f>IF($B149=0,"",IF(Inputs!$B$8="","",IF($AF149=0,E148,SUMIFS(Data!$J$10:$J$3209,Data!$I$10:$I$3209,"&gt;="&amp;$A149,Data!$I$10:$I$3209,"&lt;"&amp;$A149+1)/$AF149)))</f>
        <v/>
      </c>
      <c r="F149" s="56">
        <f>IF($B149=0,"",IF(Inputs!$B$9="","",IF($AG149=0,F148,SUMIFS(Data!$N$10:$N$3209,Data!$M$10:$M$3209,"&gt;="&amp;$A149,Data!$M$10:$M$3209,"&lt;"&amp;$A149+1)/$AG149)))</f>
        <v/>
      </c>
      <c r="G149" s="56">
        <f>IF($B149=0,"",IF(Inputs!$B$10="","",IF($AH149=0,G148,SUMIFS(Data!$R$10:$R$3209,Data!$Q$10:$Q$3209,"&gt;="&amp;$A149,Data!$Q$10:$Q$3209,"&lt;"&amp;$A149+1)/$AH149)))</f>
        <v/>
      </c>
      <c r="I149" s="54">
        <f>IF($B149=0,NA(),IF($C149="",NA(),IF(C$8="",NA(),IF(N(C$8)=0,NA(),IF(Inputs!$C$17="Rebased to 100",$C149/C$8*100,$C149)))))</f>
        <v/>
      </c>
      <c r="J149" s="54">
        <f>IF($B149=0,NA(),IF($D149="",NA(),IF(D$8="",NA(),IF(N(D$8)=0,NA(),IF(Inputs!$C$17="Rebased to 100",$D149/D$8*100,$D149)))))</f>
        <v/>
      </c>
      <c r="K149" s="54">
        <f>IF($B149=0,NA(),IF($E149="",NA(),IF(E$8="",NA(),IF(N(E$8)=0,NA(),IF(Inputs!$C$17="Rebased to 100",$E149/E$8*100,$E149)))))</f>
        <v/>
      </c>
      <c r="L149" s="54">
        <f>IF($B149=0,NA(),IF($F149="",NA(),IF(F$8="",NA(),IF(N(F$8)=0,NA(),IF(Inputs!$C$17="Rebased to 100",$F149/F$8*100,$F149)))))</f>
        <v/>
      </c>
      <c r="M149" s="54">
        <f>IF($B149=0,NA(),IF($G149="",NA(),IF(G$8="",NA(),IF(N(G$8)=0,NA(),IF(Inputs!$C$17="Rebased to 100",$G149/G$8*100,$G149)))))</f>
        <v/>
      </c>
      <c r="N149" s="54">
        <f>IF($B149=0,NA(),IF(Inputs!$C$18&lt;&gt;"Yes",NA(),IF(COUNT(I149,J149,K149,L149,M149)=0,NA(),MIN(I149,J149,K149,L149,M149))))</f>
        <v/>
      </c>
      <c r="O149" s="54">
        <f>IF($B149=0,NA(),IF(Inputs!$B$24&lt;&gt;"Yes",NA(),Inputs!$D$24*Inputs!$C$35))</f>
        <v/>
      </c>
      <c r="P149" s="54">
        <f>IF($B149=0,NA(),IF(Inputs!$B$25&lt;&gt;"Yes",NA(),Inputs!$D$25*Inputs!$C$35))</f>
        <v/>
      </c>
      <c r="Q149" s="54">
        <f>IF($B149=0,NA(),IF(Inputs!$B$26&lt;&gt;"Yes",NA(),Inputs!$D$26*Inputs!$C$35))</f>
        <v/>
      </c>
      <c r="R149" s="54">
        <f>IF($B149=0,NA(),IF(Inputs!$B$27&lt;&gt;"Yes",NA(),Inputs!$D$27*Inputs!$C$35))</f>
        <v/>
      </c>
      <c r="S149" s="54">
        <f>IF($B149=0,NA(),IF(Inputs!$B$28&lt;&gt;"Yes",NA(),Inputs!$D$28*Inputs!$C$35))</f>
        <v/>
      </c>
      <c r="T149" s="54">
        <f>IF($B149=0,NA(),IF(Inputs!$B$29&lt;&gt;"Yes",NA(),Inputs!$D$29*Inputs!$C$35))</f>
        <v/>
      </c>
      <c r="AD149">
        <f>IF($B149=0,0,IF(Inputs!$B$6="",0,COUNTIFS(Data!$A$10:$A$3209,"&gt;="&amp;$A149,Data!$A$10:$A$3209,"&lt;"&amp;$A149+1)))</f>
        <v/>
      </c>
      <c r="AE149">
        <f>IF($B149=0,0,IF(Inputs!$B$7="",0,COUNTIFS(Data!$E$10:$E$3209,"&gt;="&amp;$A149,Data!$E$10:$E$3209,"&lt;"&amp;$A149+1)))</f>
        <v/>
      </c>
      <c r="AF149">
        <f>IF($B149=0,0,IF(Inputs!$B$8="",0,COUNTIFS(Data!$I$10:$I$3209,"&gt;="&amp;$A149,Data!$I$10:$I$3209,"&lt;"&amp;$A149+1)))</f>
        <v/>
      </c>
      <c r="AG149">
        <f>IF($B149=0,0,IF(Inputs!$B$9="",0,COUNTIFS(Data!$M$10:$M$3209,"&gt;="&amp;$A149,Data!$M$10:$M$3209,"&lt;"&amp;$A149+1)))</f>
        <v/>
      </c>
      <c r="AH149">
        <f>IF($B149=0,0,IF(Inputs!$B$10="",0,COUNTIFS(Data!$Q$10:$Q$3209,"&gt;="&amp;$A149,Data!$Q$10:$Q$3209,"&lt;"&amp;$A149+1)))</f>
        <v/>
      </c>
    </row>
    <row r="150">
      <c r="A150" s="55">
        <f>MIN(Inputs!$C$15,$A149+IF(WEEKDAY($A149,2)=5,3,1))</f>
        <v/>
      </c>
      <c r="B150">
        <f>IF($A150&gt;$A149,1,0)</f>
        <v/>
      </c>
      <c r="C150" s="56">
        <f>IF($B150=0,"",IF(Inputs!$B$6="","",IF($AD150=0,C149,SUMIFS(Data!$B$10:$B$3209,Data!$A$10:$A$3209,"&gt;="&amp;$A150,Data!$A$10:$A$3209,"&lt;"&amp;$A150+1)/$AD150)))</f>
        <v/>
      </c>
      <c r="D150" s="56">
        <f>IF($B150=0,"",IF(Inputs!$B$7="","",IF($AE150=0,D149,SUMIFS(Data!$F$10:$F$3209,Data!$E$10:$E$3209,"&gt;="&amp;$A150,Data!$E$10:$E$3209,"&lt;"&amp;$A150+1)/$AE150)))</f>
        <v/>
      </c>
      <c r="E150" s="56">
        <f>IF($B150=0,"",IF(Inputs!$B$8="","",IF($AF150=0,E149,SUMIFS(Data!$J$10:$J$3209,Data!$I$10:$I$3209,"&gt;="&amp;$A150,Data!$I$10:$I$3209,"&lt;"&amp;$A150+1)/$AF150)))</f>
        <v/>
      </c>
      <c r="F150" s="56">
        <f>IF($B150=0,"",IF(Inputs!$B$9="","",IF($AG150=0,F149,SUMIFS(Data!$N$10:$N$3209,Data!$M$10:$M$3209,"&gt;="&amp;$A150,Data!$M$10:$M$3209,"&lt;"&amp;$A150+1)/$AG150)))</f>
        <v/>
      </c>
      <c r="G150" s="56">
        <f>IF($B150=0,"",IF(Inputs!$B$10="","",IF($AH150=0,G149,SUMIFS(Data!$R$10:$R$3209,Data!$Q$10:$Q$3209,"&gt;="&amp;$A150,Data!$Q$10:$Q$3209,"&lt;"&amp;$A150+1)/$AH150)))</f>
        <v/>
      </c>
      <c r="I150" s="54">
        <f>IF($B150=0,NA(),IF($C150="",NA(),IF(C$8="",NA(),IF(N(C$8)=0,NA(),IF(Inputs!$C$17="Rebased to 100",$C150/C$8*100,$C150)))))</f>
        <v/>
      </c>
      <c r="J150" s="54">
        <f>IF($B150=0,NA(),IF($D150="",NA(),IF(D$8="",NA(),IF(N(D$8)=0,NA(),IF(Inputs!$C$17="Rebased to 100",$D150/D$8*100,$D150)))))</f>
        <v/>
      </c>
      <c r="K150" s="54">
        <f>IF($B150=0,NA(),IF($E150="",NA(),IF(E$8="",NA(),IF(N(E$8)=0,NA(),IF(Inputs!$C$17="Rebased to 100",$E150/E$8*100,$E150)))))</f>
        <v/>
      </c>
      <c r="L150" s="54">
        <f>IF($B150=0,NA(),IF($F150="",NA(),IF(F$8="",NA(),IF(N(F$8)=0,NA(),IF(Inputs!$C$17="Rebased to 100",$F150/F$8*100,$F150)))))</f>
        <v/>
      </c>
      <c r="M150" s="54">
        <f>IF($B150=0,NA(),IF($G150="",NA(),IF(G$8="",NA(),IF(N(G$8)=0,NA(),IF(Inputs!$C$17="Rebased to 100",$G150/G$8*100,$G150)))))</f>
        <v/>
      </c>
      <c r="N150" s="54">
        <f>IF($B150=0,NA(),IF(Inputs!$C$18&lt;&gt;"Yes",NA(),IF(COUNT(I150,J150,K150,L150,M150)=0,NA(),MIN(I150,J150,K150,L150,M150))))</f>
        <v/>
      </c>
      <c r="O150" s="54">
        <f>IF($B150=0,NA(),IF(Inputs!$B$24&lt;&gt;"Yes",NA(),Inputs!$D$24*Inputs!$C$35))</f>
        <v/>
      </c>
      <c r="P150" s="54">
        <f>IF($B150=0,NA(),IF(Inputs!$B$25&lt;&gt;"Yes",NA(),Inputs!$D$25*Inputs!$C$35))</f>
        <v/>
      </c>
      <c r="Q150" s="54">
        <f>IF($B150=0,NA(),IF(Inputs!$B$26&lt;&gt;"Yes",NA(),Inputs!$D$26*Inputs!$C$35))</f>
        <v/>
      </c>
      <c r="R150" s="54">
        <f>IF($B150=0,NA(),IF(Inputs!$B$27&lt;&gt;"Yes",NA(),Inputs!$D$27*Inputs!$C$35))</f>
        <v/>
      </c>
      <c r="S150" s="54">
        <f>IF($B150=0,NA(),IF(Inputs!$B$28&lt;&gt;"Yes",NA(),Inputs!$D$28*Inputs!$C$35))</f>
        <v/>
      </c>
      <c r="T150" s="54">
        <f>IF($B150=0,NA(),IF(Inputs!$B$29&lt;&gt;"Yes",NA(),Inputs!$D$29*Inputs!$C$35))</f>
        <v/>
      </c>
      <c r="AD150">
        <f>IF($B150=0,0,IF(Inputs!$B$6="",0,COUNTIFS(Data!$A$10:$A$3209,"&gt;="&amp;$A150,Data!$A$10:$A$3209,"&lt;"&amp;$A150+1)))</f>
        <v/>
      </c>
      <c r="AE150">
        <f>IF($B150=0,0,IF(Inputs!$B$7="",0,COUNTIFS(Data!$E$10:$E$3209,"&gt;="&amp;$A150,Data!$E$10:$E$3209,"&lt;"&amp;$A150+1)))</f>
        <v/>
      </c>
      <c r="AF150">
        <f>IF($B150=0,0,IF(Inputs!$B$8="",0,COUNTIFS(Data!$I$10:$I$3209,"&gt;="&amp;$A150,Data!$I$10:$I$3209,"&lt;"&amp;$A150+1)))</f>
        <v/>
      </c>
      <c r="AG150">
        <f>IF($B150=0,0,IF(Inputs!$B$9="",0,COUNTIFS(Data!$M$10:$M$3209,"&gt;="&amp;$A150,Data!$M$10:$M$3209,"&lt;"&amp;$A150+1)))</f>
        <v/>
      </c>
      <c r="AH150">
        <f>IF($B150=0,0,IF(Inputs!$B$10="",0,COUNTIFS(Data!$Q$10:$Q$3209,"&gt;="&amp;$A150,Data!$Q$10:$Q$3209,"&lt;"&amp;$A150+1)))</f>
        <v/>
      </c>
    </row>
    <row r="151">
      <c r="A151" s="55">
        <f>MIN(Inputs!$C$15,$A150+IF(WEEKDAY($A150,2)=5,3,1))</f>
        <v/>
      </c>
      <c r="B151">
        <f>IF($A151&gt;$A150,1,0)</f>
        <v/>
      </c>
      <c r="C151" s="56">
        <f>IF($B151=0,"",IF(Inputs!$B$6="","",IF($AD151=0,C150,SUMIFS(Data!$B$10:$B$3209,Data!$A$10:$A$3209,"&gt;="&amp;$A151,Data!$A$10:$A$3209,"&lt;"&amp;$A151+1)/$AD151)))</f>
        <v/>
      </c>
      <c r="D151" s="56">
        <f>IF($B151=0,"",IF(Inputs!$B$7="","",IF($AE151=0,D150,SUMIFS(Data!$F$10:$F$3209,Data!$E$10:$E$3209,"&gt;="&amp;$A151,Data!$E$10:$E$3209,"&lt;"&amp;$A151+1)/$AE151)))</f>
        <v/>
      </c>
      <c r="E151" s="56">
        <f>IF($B151=0,"",IF(Inputs!$B$8="","",IF($AF151=0,E150,SUMIFS(Data!$J$10:$J$3209,Data!$I$10:$I$3209,"&gt;="&amp;$A151,Data!$I$10:$I$3209,"&lt;"&amp;$A151+1)/$AF151)))</f>
        <v/>
      </c>
      <c r="F151" s="56">
        <f>IF($B151=0,"",IF(Inputs!$B$9="","",IF($AG151=0,F150,SUMIFS(Data!$N$10:$N$3209,Data!$M$10:$M$3209,"&gt;="&amp;$A151,Data!$M$10:$M$3209,"&lt;"&amp;$A151+1)/$AG151)))</f>
        <v/>
      </c>
      <c r="G151" s="56">
        <f>IF($B151=0,"",IF(Inputs!$B$10="","",IF($AH151=0,G150,SUMIFS(Data!$R$10:$R$3209,Data!$Q$10:$Q$3209,"&gt;="&amp;$A151,Data!$Q$10:$Q$3209,"&lt;"&amp;$A151+1)/$AH151)))</f>
        <v/>
      </c>
      <c r="I151" s="54">
        <f>IF($B151=0,NA(),IF($C151="",NA(),IF(C$8="",NA(),IF(N(C$8)=0,NA(),IF(Inputs!$C$17="Rebased to 100",$C151/C$8*100,$C151)))))</f>
        <v/>
      </c>
      <c r="J151" s="54">
        <f>IF($B151=0,NA(),IF($D151="",NA(),IF(D$8="",NA(),IF(N(D$8)=0,NA(),IF(Inputs!$C$17="Rebased to 100",$D151/D$8*100,$D151)))))</f>
        <v/>
      </c>
      <c r="K151" s="54">
        <f>IF($B151=0,NA(),IF($E151="",NA(),IF(E$8="",NA(),IF(N(E$8)=0,NA(),IF(Inputs!$C$17="Rebased to 100",$E151/E$8*100,$E151)))))</f>
        <v/>
      </c>
      <c r="L151" s="54">
        <f>IF($B151=0,NA(),IF($F151="",NA(),IF(F$8="",NA(),IF(N(F$8)=0,NA(),IF(Inputs!$C$17="Rebased to 100",$F151/F$8*100,$F151)))))</f>
        <v/>
      </c>
      <c r="M151" s="54">
        <f>IF($B151=0,NA(),IF($G151="",NA(),IF(G$8="",NA(),IF(N(G$8)=0,NA(),IF(Inputs!$C$17="Rebased to 100",$G151/G$8*100,$G151)))))</f>
        <v/>
      </c>
      <c r="N151" s="54">
        <f>IF($B151=0,NA(),IF(Inputs!$C$18&lt;&gt;"Yes",NA(),IF(COUNT(I151,J151,K151,L151,M151)=0,NA(),MIN(I151,J151,K151,L151,M151))))</f>
        <v/>
      </c>
      <c r="O151" s="54">
        <f>IF($B151=0,NA(),IF(Inputs!$B$24&lt;&gt;"Yes",NA(),Inputs!$D$24*Inputs!$C$35))</f>
        <v/>
      </c>
      <c r="P151" s="54">
        <f>IF($B151=0,NA(),IF(Inputs!$B$25&lt;&gt;"Yes",NA(),Inputs!$D$25*Inputs!$C$35))</f>
        <v/>
      </c>
      <c r="Q151" s="54">
        <f>IF($B151=0,NA(),IF(Inputs!$B$26&lt;&gt;"Yes",NA(),Inputs!$D$26*Inputs!$C$35))</f>
        <v/>
      </c>
      <c r="R151" s="54">
        <f>IF($B151=0,NA(),IF(Inputs!$B$27&lt;&gt;"Yes",NA(),Inputs!$D$27*Inputs!$C$35))</f>
        <v/>
      </c>
      <c r="S151" s="54">
        <f>IF($B151=0,NA(),IF(Inputs!$B$28&lt;&gt;"Yes",NA(),Inputs!$D$28*Inputs!$C$35))</f>
        <v/>
      </c>
      <c r="T151" s="54">
        <f>IF($B151=0,NA(),IF(Inputs!$B$29&lt;&gt;"Yes",NA(),Inputs!$D$29*Inputs!$C$35))</f>
        <v/>
      </c>
      <c r="AD151">
        <f>IF($B151=0,0,IF(Inputs!$B$6="",0,COUNTIFS(Data!$A$10:$A$3209,"&gt;="&amp;$A151,Data!$A$10:$A$3209,"&lt;"&amp;$A151+1)))</f>
        <v/>
      </c>
      <c r="AE151">
        <f>IF($B151=0,0,IF(Inputs!$B$7="",0,COUNTIFS(Data!$E$10:$E$3209,"&gt;="&amp;$A151,Data!$E$10:$E$3209,"&lt;"&amp;$A151+1)))</f>
        <v/>
      </c>
      <c r="AF151">
        <f>IF($B151=0,0,IF(Inputs!$B$8="",0,COUNTIFS(Data!$I$10:$I$3209,"&gt;="&amp;$A151,Data!$I$10:$I$3209,"&lt;"&amp;$A151+1)))</f>
        <v/>
      </c>
      <c r="AG151">
        <f>IF($B151=0,0,IF(Inputs!$B$9="",0,COUNTIFS(Data!$M$10:$M$3209,"&gt;="&amp;$A151,Data!$M$10:$M$3209,"&lt;"&amp;$A151+1)))</f>
        <v/>
      </c>
      <c r="AH151">
        <f>IF($B151=0,0,IF(Inputs!$B$10="",0,COUNTIFS(Data!$Q$10:$Q$3209,"&gt;="&amp;$A151,Data!$Q$10:$Q$3209,"&lt;"&amp;$A151+1)))</f>
        <v/>
      </c>
    </row>
    <row r="152">
      <c r="A152" s="55">
        <f>MIN(Inputs!$C$15,$A151+IF(WEEKDAY($A151,2)=5,3,1))</f>
        <v/>
      </c>
      <c r="B152">
        <f>IF($A152&gt;$A151,1,0)</f>
        <v/>
      </c>
      <c r="C152" s="56">
        <f>IF($B152=0,"",IF(Inputs!$B$6="","",IF($AD152=0,C151,SUMIFS(Data!$B$10:$B$3209,Data!$A$10:$A$3209,"&gt;="&amp;$A152,Data!$A$10:$A$3209,"&lt;"&amp;$A152+1)/$AD152)))</f>
        <v/>
      </c>
      <c r="D152" s="56">
        <f>IF($B152=0,"",IF(Inputs!$B$7="","",IF($AE152=0,D151,SUMIFS(Data!$F$10:$F$3209,Data!$E$10:$E$3209,"&gt;="&amp;$A152,Data!$E$10:$E$3209,"&lt;"&amp;$A152+1)/$AE152)))</f>
        <v/>
      </c>
      <c r="E152" s="56">
        <f>IF($B152=0,"",IF(Inputs!$B$8="","",IF($AF152=0,E151,SUMIFS(Data!$J$10:$J$3209,Data!$I$10:$I$3209,"&gt;="&amp;$A152,Data!$I$10:$I$3209,"&lt;"&amp;$A152+1)/$AF152)))</f>
        <v/>
      </c>
      <c r="F152" s="56">
        <f>IF($B152=0,"",IF(Inputs!$B$9="","",IF($AG152=0,F151,SUMIFS(Data!$N$10:$N$3209,Data!$M$10:$M$3209,"&gt;="&amp;$A152,Data!$M$10:$M$3209,"&lt;"&amp;$A152+1)/$AG152)))</f>
        <v/>
      </c>
      <c r="G152" s="56">
        <f>IF($B152=0,"",IF(Inputs!$B$10="","",IF($AH152=0,G151,SUMIFS(Data!$R$10:$R$3209,Data!$Q$10:$Q$3209,"&gt;="&amp;$A152,Data!$Q$10:$Q$3209,"&lt;"&amp;$A152+1)/$AH152)))</f>
        <v/>
      </c>
      <c r="I152" s="54">
        <f>IF($B152=0,NA(),IF($C152="",NA(),IF(C$8="",NA(),IF(N(C$8)=0,NA(),IF(Inputs!$C$17="Rebased to 100",$C152/C$8*100,$C152)))))</f>
        <v/>
      </c>
      <c r="J152" s="54">
        <f>IF($B152=0,NA(),IF($D152="",NA(),IF(D$8="",NA(),IF(N(D$8)=0,NA(),IF(Inputs!$C$17="Rebased to 100",$D152/D$8*100,$D152)))))</f>
        <v/>
      </c>
      <c r="K152" s="54">
        <f>IF($B152=0,NA(),IF($E152="",NA(),IF(E$8="",NA(),IF(N(E$8)=0,NA(),IF(Inputs!$C$17="Rebased to 100",$E152/E$8*100,$E152)))))</f>
        <v/>
      </c>
      <c r="L152" s="54">
        <f>IF($B152=0,NA(),IF($F152="",NA(),IF(F$8="",NA(),IF(N(F$8)=0,NA(),IF(Inputs!$C$17="Rebased to 100",$F152/F$8*100,$F152)))))</f>
        <v/>
      </c>
      <c r="M152" s="54">
        <f>IF($B152=0,NA(),IF($G152="",NA(),IF(G$8="",NA(),IF(N(G$8)=0,NA(),IF(Inputs!$C$17="Rebased to 100",$G152/G$8*100,$G152)))))</f>
        <v/>
      </c>
      <c r="N152" s="54">
        <f>IF($B152=0,NA(),IF(Inputs!$C$18&lt;&gt;"Yes",NA(),IF(COUNT(I152,J152,K152,L152,M152)=0,NA(),MIN(I152,J152,K152,L152,M152))))</f>
        <v/>
      </c>
      <c r="O152" s="54">
        <f>IF($B152=0,NA(),IF(Inputs!$B$24&lt;&gt;"Yes",NA(),Inputs!$D$24*Inputs!$C$35))</f>
        <v/>
      </c>
      <c r="P152" s="54">
        <f>IF($B152=0,NA(),IF(Inputs!$B$25&lt;&gt;"Yes",NA(),Inputs!$D$25*Inputs!$C$35))</f>
        <v/>
      </c>
      <c r="Q152" s="54">
        <f>IF($B152=0,NA(),IF(Inputs!$B$26&lt;&gt;"Yes",NA(),Inputs!$D$26*Inputs!$C$35))</f>
        <v/>
      </c>
      <c r="R152" s="54">
        <f>IF($B152=0,NA(),IF(Inputs!$B$27&lt;&gt;"Yes",NA(),Inputs!$D$27*Inputs!$C$35))</f>
        <v/>
      </c>
      <c r="S152" s="54">
        <f>IF($B152=0,NA(),IF(Inputs!$B$28&lt;&gt;"Yes",NA(),Inputs!$D$28*Inputs!$C$35))</f>
        <v/>
      </c>
      <c r="T152" s="54">
        <f>IF($B152=0,NA(),IF(Inputs!$B$29&lt;&gt;"Yes",NA(),Inputs!$D$29*Inputs!$C$35))</f>
        <v/>
      </c>
      <c r="AD152">
        <f>IF($B152=0,0,IF(Inputs!$B$6="",0,COUNTIFS(Data!$A$10:$A$3209,"&gt;="&amp;$A152,Data!$A$10:$A$3209,"&lt;"&amp;$A152+1)))</f>
        <v/>
      </c>
      <c r="AE152">
        <f>IF($B152=0,0,IF(Inputs!$B$7="",0,COUNTIFS(Data!$E$10:$E$3209,"&gt;="&amp;$A152,Data!$E$10:$E$3209,"&lt;"&amp;$A152+1)))</f>
        <v/>
      </c>
      <c r="AF152">
        <f>IF($B152=0,0,IF(Inputs!$B$8="",0,COUNTIFS(Data!$I$10:$I$3209,"&gt;="&amp;$A152,Data!$I$10:$I$3209,"&lt;"&amp;$A152+1)))</f>
        <v/>
      </c>
      <c r="AG152">
        <f>IF($B152=0,0,IF(Inputs!$B$9="",0,COUNTIFS(Data!$M$10:$M$3209,"&gt;="&amp;$A152,Data!$M$10:$M$3209,"&lt;"&amp;$A152+1)))</f>
        <v/>
      </c>
      <c r="AH152">
        <f>IF($B152=0,0,IF(Inputs!$B$10="",0,COUNTIFS(Data!$Q$10:$Q$3209,"&gt;="&amp;$A152,Data!$Q$10:$Q$3209,"&lt;"&amp;$A152+1)))</f>
        <v/>
      </c>
    </row>
    <row r="153">
      <c r="A153" s="55">
        <f>MIN(Inputs!$C$15,$A152+IF(WEEKDAY($A152,2)=5,3,1))</f>
        <v/>
      </c>
      <c r="B153">
        <f>IF($A153&gt;$A152,1,0)</f>
        <v/>
      </c>
      <c r="C153" s="56">
        <f>IF($B153=0,"",IF(Inputs!$B$6="","",IF($AD153=0,C152,SUMIFS(Data!$B$10:$B$3209,Data!$A$10:$A$3209,"&gt;="&amp;$A153,Data!$A$10:$A$3209,"&lt;"&amp;$A153+1)/$AD153)))</f>
        <v/>
      </c>
      <c r="D153" s="56">
        <f>IF($B153=0,"",IF(Inputs!$B$7="","",IF($AE153=0,D152,SUMIFS(Data!$F$10:$F$3209,Data!$E$10:$E$3209,"&gt;="&amp;$A153,Data!$E$10:$E$3209,"&lt;"&amp;$A153+1)/$AE153)))</f>
        <v/>
      </c>
      <c r="E153" s="56">
        <f>IF($B153=0,"",IF(Inputs!$B$8="","",IF($AF153=0,E152,SUMIFS(Data!$J$10:$J$3209,Data!$I$10:$I$3209,"&gt;="&amp;$A153,Data!$I$10:$I$3209,"&lt;"&amp;$A153+1)/$AF153)))</f>
        <v/>
      </c>
      <c r="F153" s="56">
        <f>IF($B153=0,"",IF(Inputs!$B$9="","",IF($AG153=0,F152,SUMIFS(Data!$N$10:$N$3209,Data!$M$10:$M$3209,"&gt;="&amp;$A153,Data!$M$10:$M$3209,"&lt;"&amp;$A153+1)/$AG153)))</f>
        <v/>
      </c>
      <c r="G153" s="56">
        <f>IF($B153=0,"",IF(Inputs!$B$10="","",IF($AH153=0,G152,SUMIFS(Data!$R$10:$R$3209,Data!$Q$10:$Q$3209,"&gt;="&amp;$A153,Data!$Q$10:$Q$3209,"&lt;"&amp;$A153+1)/$AH153)))</f>
        <v/>
      </c>
      <c r="I153" s="54">
        <f>IF($B153=0,NA(),IF($C153="",NA(),IF(C$8="",NA(),IF(N(C$8)=0,NA(),IF(Inputs!$C$17="Rebased to 100",$C153/C$8*100,$C153)))))</f>
        <v/>
      </c>
      <c r="J153" s="54">
        <f>IF($B153=0,NA(),IF($D153="",NA(),IF(D$8="",NA(),IF(N(D$8)=0,NA(),IF(Inputs!$C$17="Rebased to 100",$D153/D$8*100,$D153)))))</f>
        <v/>
      </c>
      <c r="K153" s="54">
        <f>IF($B153=0,NA(),IF($E153="",NA(),IF(E$8="",NA(),IF(N(E$8)=0,NA(),IF(Inputs!$C$17="Rebased to 100",$E153/E$8*100,$E153)))))</f>
        <v/>
      </c>
      <c r="L153" s="54">
        <f>IF($B153=0,NA(),IF($F153="",NA(),IF(F$8="",NA(),IF(N(F$8)=0,NA(),IF(Inputs!$C$17="Rebased to 100",$F153/F$8*100,$F153)))))</f>
        <v/>
      </c>
      <c r="M153" s="54">
        <f>IF($B153=0,NA(),IF($G153="",NA(),IF(G$8="",NA(),IF(N(G$8)=0,NA(),IF(Inputs!$C$17="Rebased to 100",$G153/G$8*100,$G153)))))</f>
        <v/>
      </c>
      <c r="N153" s="54">
        <f>IF($B153=0,NA(),IF(Inputs!$C$18&lt;&gt;"Yes",NA(),IF(COUNT(I153,J153,K153,L153,M153)=0,NA(),MIN(I153,J153,K153,L153,M153))))</f>
        <v/>
      </c>
      <c r="O153" s="54">
        <f>IF($B153=0,NA(),IF(Inputs!$B$24&lt;&gt;"Yes",NA(),Inputs!$D$24*Inputs!$C$35))</f>
        <v/>
      </c>
      <c r="P153" s="54">
        <f>IF($B153=0,NA(),IF(Inputs!$B$25&lt;&gt;"Yes",NA(),Inputs!$D$25*Inputs!$C$35))</f>
        <v/>
      </c>
      <c r="Q153" s="54">
        <f>IF($B153=0,NA(),IF(Inputs!$B$26&lt;&gt;"Yes",NA(),Inputs!$D$26*Inputs!$C$35))</f>
        <v/>
      </c>
      <c r="R153" s="54">
        <f>IF($B153=0,NA(),IF(Inputs!$B$27&lt;&gt;"Yes",NA(),Inputs!$D$27*Inputs!$C$35))</f>
        <v/>
      </c>
      <c r="S153" s="54">
        <f>IF($B153=0,NA(),IF(Inputs!$B$28&lt;&gt;"Yes",NA(),Inputs!$D$28*Inputs!$C$35))</f>
        <v/>
      </c>
      <c r="T153" s="54">
        <f>IF($B153=0,NA(),IF(Inputs!$B$29&lt;&gt;"Yes",NA(),Inputs!$D$29*Inputs!$C$35))</f>
        <v/>
      </c>
      <c r="AD153">
        <f>IF($B153=0,0,IF(Inputs!$B$6="",0,COUNTIFS(Data!$A$10:$A$3209,"&gt;="&amp;$A153,Data!$A$10:$A$3209,"&lt;"&amp;$A153+1)))</f>
        <v/>
      </c>
      <c r="AE153">
        <f>IF($B153=0,0,IF(Inputs!$B$7="",0,COUNTIFS(Data!$E$10:$E$3209,"&gt;="&amp;$A153,Data!$E$10:$E$3209,"&lt;"&amp;$A153+1)))</f>
        <v/>
      </c>
      <c r="AF153">
        <f>IF($B153=0,0,IF(Inputs!$B$8="",0,COUNTIFS(Data!$I$10:$I$3209,"&gt;="&amp;$A153,Data!$I$10:$I$3209,"&lt;"&amp;$A153+1)))</f>
        <v/>
      </c>
      <c r="AG153">
        <f>IF($B153=0,0,IF(Inputs!$B$9="",0,COUNTIFS(Data!$M$10:$M$3209,"&gt;="&amp;$A153,Data!$M$10:$M$3209,"&lt;"&amp;$A153+1)))</f>
        <v/>
      </c>
      <c r="AH153">
        <f>IF($B153=0,0,IF(Inputs!$B$10="",0,COUNTIFS(Data!$Q$10:$Q$3209,"&gt;="&amp;$A153,Data!$Q$10:$Q$3209,"&lt;"&amp;$A153+1)))</f>
        <v/>
      </c>
    </row>
    <row r="154">
      <c r="A154" s="55">
        <f>MIN(Inputs!$C$15,$A153+IF(WEEKDAY($A153,2)=5,3,1))</f>
        <v/>
      </c>
      <c r="B154">
        <f>IF($A154&gt;$A153,1,0)</f>
        <v/>
      </c>
      <c r="C154" s="56">
        <f>IF($B154=0,"",IF(Inputs!$B$6="","",IF($AD154=0,C153,SUMIFS(Data!$B$10:$B$3209,Data!$A$10:$A$3209,"&gt;="&amp;$A154,Data!$A$10:$A$3209,"&lt;"&amp;$A154+1)/$AD154)))</f>
        <v/>
      </c>
      <c r="D154" s="56">
        <f>IF($B154=0,"",IF(Inputs!$B$7="","",IF($AE154=0,D153,SUMIFS(Data!$F$10:$F$3209,Data!$E$10:$E$3209,"&gt;="&amp;$A154,Data!$E$10:$E$3209,"&lt;"&amp;$A154+1)/$AE154)))</f>
        <v/>
      </c>
      <c r="E154" s="56">
        <f>IF($B154=0,"",IF(Inputs!$B$8="","",IF($AF154=0,E153,SUMIFS(Data!$J$10:$J$3209,Data!$I$10:$I$3209,"&gt;="&amp;$A154,Data!$I$10:$I$3209,"&lt;"&amp;$A154+1)/$AF154)))</f>
        <v/>
      </c>
      <c r="F154" s="56">
        <f>IF($B154=0,"",IF(Inputs!$B$9="","",IF($AG154=0,F153,SUMIFS(Data!$N$10:$N$3209,Data!$M$10:$M$3209,"&gt;="&amp;$A154,Data!$M$10:$M$3209,"&lt;"&amp;$A154+1)/$AG154)))</f>
        <v/>
      </c>
      <c r="G154" s="56">
        <f>IF($B154=0,"",IF(Inputs!$B$10="","",IF($AH154=0,G153,SUMIFS(Data!$R$10:$R$3209,Data!$Q$10:$Q$3209,"&gt;="&amp;$A154,Data!$Q$10:$Q$3209,"&lt;"&amp;$A154+1)/$AH154)))</f>
        <v/>
      </c>
      <c r="I154" s="54">
        <f>IF($B154=0,NA(),IF($C154="",NA(),IF(C$8="",NA(),IF(N(C$8)=0,NA(),IF(Inputs!$C$17="Rebased to 100",$C154/C$8*100,$C154)))))</f>
        <v/>
      </c>
      <c r="J154" s="54">
        <f>IF($B154=0,NA(),IF($D154="",NA(),IF(D$8="",NA(),IF(N(D$8)=0,NA(),IF(Inputs!$C$17="Rebased to 100",$D154/D$8*100,$D154)))))</f>
        <v/>
      </c>
      <c r="K154" s="54">
        <f>IF($B154=0,NA(),IF($E154="",NA(),IF(E$8="",NA(),IF(N(E$8)=0,NA(),IF(Inputs!$C$17="Rebased to 100",$E154/E$8*100,$E154)))))</f>
        <v/>
      </c>
      <c r="L154" s="54">
        <f>IF($B154=0,NA(),IF($F154="",NA(),IF(F$8="",NA(),IF(N(F$8)=0,NA(),IF(Inputs!$C$17="Rebased to 100",$F154/F$8*100,$F154)))))</f>
        <v/>
      </c>
      <c r="M154" s="54">
        <f>IF($B154=0,NA(),IF($G154="",NA(),IF(G$8="",NA(),IF(N(G$8)=0,NA(),IF(Inputs!$C$17="Rebased to 100",$G154/G$8*100,$G154)))))</f>
        <v/>
      </c>
      <c r="N154" s="54">
        <f>IF($B154=0,NA(),IF(Inputs!$C$18&lt;&gt;"Yes",NA(),IF(COUNT(I154,J154,K154,L154,M154)=0,NA(),MIN(I154,J154,K154,L154,M154))))</f>
        <v/>
      </c>
      <c r="O154" s="54">
        <f>IF($B154=0,NA(),IF(Inputs!$B$24&lt;&gt;"Yes",NA(),Inputs!$D$24*Inputs!$C$35))</f>
        <v/>
      </c>
      <c r="P154" s="54">
        <f>IF($B154=0,NA(),IF(Inputs!$B$25&lt;&gt;"Yes",NA(),Inputs!$D$25*Inputs!$C$35))</f>
        <v/>
      </c>
      <c r="Q154" s="54">
        <f>IF($B154=0,NA(),IF(Inputs!$B$26&lt;&gt;"Yes",NA(),Inputs!$D$26*Inputs!$C$35))</f>
        <v/>
      </c>
      <c r="R154" s="54">
        <f>IF($B154=0,NA(),IF(Inputs!$B$27&lt;&gt;"Yes",NA(),Inputs!$D$27*Inputs!$C$35))</f>
        <v/>
      </c>
      <c r="S154" s="54">
        <f>IF($B154=0,NA(),IF(Inputs!$B$28&lt;&gt;"Yes",NA(),Inputs!$D$28*Inputs!$C$35))</f>
        <v/>
      </c>
      <c r="T154" s="54">
        <f>IF($B154=0,NA(),IF(Inputs!$B$29&lt;&gt;"Yes",NA(),Inputs!$D$29*Inputs!$C$35))</f>
        <v/>
      </c>
      <c r="AD154">
        <f>IF($B154=0,0,IF(Inputs!$B$6="",0,COUNTIFS(Data!$A$10:$A$3209,"&gt;="&amp;$A154,Data!$A$10:$A$3209,"&lt;"&amp;$A154+1)))</f>
        <v/>
      </c>
      <c r="AE154">
        <f>IF($B154=0,0,IF(Inputs!$B$7="",0,COUNTIFS(Data!$E$10:$E$3209,"&gt;="&amp;$A154,Data!$E$10:$E$3209,"&lt;"&amp;$A154+1)))</f>
        <v/>
      </c>
      <c r="AF154">
        <f>IF($B154=0,0,IF(Inputs!$B$8="",0,COUNTIFS(Data!$I$10:$I$3209,"&gt;="&amp;$A154,Data!$I$10:$I$3209,"&lt;"&amp;$A154+1)))</f>
        <v/>
      </c>
      <c r="AG154">
        <f>IF($B154=0,0,IF(Inputs!$B$9="",0,COUNTIFS(Data!$M$10:$M$3209,"&gt;="&amp;$A154,Data!$M$10:$M$3209,"&lt;"&amp;$A154+1)))</f>
        <v/>
      </c>
      <c r="AH154">
        <f>IF($B154=0,0,IF(Inputs!$B$10="",0,COUNTIFS(Data!$Q$10:$Q$3209,"&gt;="&amp;$A154,Data!$Q$10:$Q$3209,"&lt;"&amp;$A154+1)))</f>
        <v/>
      </c>
    </row>
    <row r="155">
      <c r="A155" s="55">
        <f>MIN(Inputs!$C$15,$A154+IF(WEEKDAY($A154,2)=5,3,1))</f>
        <v/>
      </c>
      <c r="B155">
        <f>IF($A155&gt;$A154,1,0)</f>
        <v/>
      </c>
      <c r="C155" s="56">
        <f>IF($B155=0,"",IF(Inputs!$B$6="","",IF($AD155=0,C154,SUMIFS(Data!$B$10:$B$3209,Data!$A$10:$A$3209,"&gt;="&amp;$A155,Data!$A$10:$A$3209,"&lt;"&amp;$A155+1)/$AD155)))</f>
        <v/>
      </c>
      <c r="D155" s="56">
        <f>IF($B155=0,"",IF(Inputs!$B$7="","",IF($AE155=0,D154,SUMIFS(Data!$F$10:$F$3209,Data!$E$10:$E$3209,"&gt;="&amp;$A155,Data!$E$10:$E$3209,"&lt;"&amp;$A155+1)/$AE155)))</f>
        <v/>
      </c>
      <c r="E155" s="56">
        <f>IF($B155=0,"",IF(Inputs!$B$8="","",IF($AF155=0,E154,SUMIFS(Data!$J$10:$J$3209,Data!$I$10:$I$3209,"&gt;="&amp;$A155,Data!$I$10:$I$3209,"&lt;"&amp;$A155+1)/$AF155)))</f>
        <v/>
      </c>
      <c r="F155" s="56">
        <f>IF($B155=0,"",IF(Inputs!$B$9="","",IF($AG155=0,F154,SUMIFS(Data!$N$10:$N$3209,Data!$M$10:$M$3209,"&gt;="&amp;$A155,Data!$M$10:$M$3209,"&lt;"&amp;$A155+1)/$AG155)))</f>
        <v/>
      </c>
      <c r="G155" s="56">
        <f>IF($B155=0,"",IF(Inputs!$B$10="","",IF($AH155=0,G154,SUMIFS(Data!$R$10:$R$3209,Data!$Q$10:$Q$3209,"&gt;="&amp;$A155,Data!$Q$10:$Q$3209,"&lt;"&amp;$A155+1)/$AH155)))</f>
        <v/>
      </c>
      <c r="I155" s="54">
        <f>IF($B155=0,NA(),IF($C155="",NA(),IF(C$8="",NA(),IF(N(C$8)=0,NA(),IF(Inputs!$C$17="Rebased to 100",$C155/C$8*100,$C155)))))</f>
        <v/>
      </c>
      <c r="J155" s="54">
        <f>IF($B155=0,NA(),IF($D155="",NA(),IF(D$8="",NA(),IF(N(D$8)=0,NA(),IF(Inputs!$C$17="Rebased to 100",$D155/D$8*100,$D155)))))</f>
        <v/>
      </c>
      <c r="K155" s="54">
        <f>IF($B155=0,NA(),IF($E155="",NA(),IF(E$8="",NA(),IF(N(E$8)=0,NA(),IF(Inputs!$C$17="Rebased to 100",$E155/E$8*100,$E155)))))</f>
        <v/>
      </c>
      <c r="L155" s="54">
        <f>IF($B155=0,NA(),IF($F155="",NA(),IF(F$8="",NA(),IF(N(F$8)=0,NA(),IF(Inputs!$C$17="Rebased to 100",$F155/F$8*100,$F155)))))</f>
        <v/>
      </c>
      <c r="M155" s="54">
        <f>IF($B155=0,NA(),IF($G155="",NA(),IF(G$8="",NA(),IF(N(G$8)=0,NA(),IF(Inputs!$C$17="Rebased to 100",$G155/G$8*100,$G155)))))</f>
        <v/>
      </c>
      <c r="N155" s="54">
        <f>IF($B155=0,NA(),IF(Inputs!$C$18&lt;&gt;"Yes",NA(),IF(COUNT(I155,J155,K155,L155,M155)=0,NA(),MIN(I155,J155,K155,L155,M155))))</f>
        <v/>
      </c>
      <c r="O155" s="54">
        <f>IF($B155=0,NA(),IF(Inputs!$B$24&lt;&gt;"Yes",NA(),Inputs!$D$24*Inputs!$C$35))</f>
        <v/>
      </c>
      <c r="P155" s="54">
        <f>IF($B155=0,NA(),IF(Inputs!$B$25&lt;&gt;"Yes",NA(),Inputs!$D$25*Inputs!$C$35))</f>
        <v/>
      </c>
      <c r="Q155" s="54">
        <f>IF($B155=0,NA(),IF(Inputs!$B$26&lt;&gt;"Yes",NA(),Inputs!$D$26*Inputs!$C$35))</f>
        <v/>
      </c>
      <c r="R155" s="54">
        <f>IF($B155=0,NA(),IF(Inputs!$B$27&lt;&gt;"Yes",NA(),Inputs!$D$27*Inputs!$C$35))</f>
        <v/>
      </c>
      <c r="S155" s="54">
        <f>IF($B155=0,NA(),IF(Inputs!$B$28&lt;&gt;"Yes",NA(),Inputs!$D$28*Inputs!$C$35))</f>
        <v/>
      </c>
      <c r="T155" s="54">
        <f>IF($B155=0,NA(),IF(Inputs!$B$29&lt;&gt;"Yes",NA(),Inputs!$D$29*Inputs!$C$35))</f>
        <v/>
      </c>
      <c r="AD155">
        <f>IF($B155=0,0,IF(Inputs!$B$6="",0,COUNTIFS(Data!$A$10:$A$3209,"&gt;="&amp;$A155,Data!$A$10:$A$3209,"&lt;"&amp;$A155+1)))</f>
        <v/>
      </c>
      <c r="AE155">
        <f>IF($B155=0,0,IF(Inputs!$B$7="",0,COUNTIFS(Data!$E$10:$E$3209,"&gt;="&amp;$A155,Data!$E$10:$E$3209,"&lt;"&amp;$A155+1)))</f>
        <v/>
      </c>
      <c r="AF155">
        <f>IF($B155=0,0,IF(Inputs!$B$8="",0,COUNTIFS(Data!$I$10:$I$3209,"&gt;="&amp;$A155,Data!$I$10:$I$3209,"&lt;"&amp;$A155+1)))</f>
        <v/>
      </c>
      <c r="AG155">
        <f>IF($B155=0,0,IF(Inputs!$B$9="",0,COUNTIFS(Data!$M$10:$M$3209,"&gt;="&amp;$A155,Data!$M$10:$M$3209,"&lt;"&amp;$A155+1)))</f>
        <v/>
      </c>
      <c r="AH155">
        <f>IF($B155=0,0,IF(Inputs!$B$10="",0,COUNTIFS(Data!$Q$10:$Q$3209,"&gt;="&amp;$A155,Data!$Q$10:$Q$3209,"&lt;"&amp;$A155+1)))</f>
        <v/>
      </c>
    </row>
    <row r="156">
      <c r="A156" s="55">
        <f>MIN(Inputs!$C$15,$A155+IF(WEEKDAY($A155,2)=5,3,1))</f>
        <v/>
      </c>
      <c r="B156">
        <f>IF($A156&gt;$A155,1,0)</f>
        <v/>
      </c>
      <c r="C156" s="56">
        <f>IF($B156=0,"",IF(Inputs!$B$6="","",IF($AD156=0,C155,SUMIFS(Data!$B$10:$B$3209,Data!$A$10:$A$3209,"&gt;="&amp;$A156,Data!$A$10:$A$3209,"&lt;"&amp;$A156+1)/$AD156)))</f>
        <v/>
      </c>
      <c r="D156" s="56">
        <f>IF($B156=0,"",IF(Inputs!$B$7="","",IF($AE156=0,D155,SUMIFS(Data!$F$10:$F$3209,Data!$E$10:$E$3209,"&gt;="&amp;$A156,Data!$E$10:$E$3209,"&lt;"&amp;$A156+1)/$AE156)))</f>
        <v/>
      </c>
      <c r="E156" s="56">
        <f>IF($B156=0,"",IF(Inputs!$B$8="","",IF($AF156=0,E155,SUMIFS(Data!$J$10:$J$3209,Data!$I$10:$I$3209,"&gt;="&amp;$A156,Data!$I$10:$I$3209,"&lt;"&amp;$A156+1)/$AF156)))</f>
        <v/>
      </c>
      <c r="F156" s="56">
        <f>IF($B156=0,"",IF(Inputs!$B$9="","",IF($AG156=0,F155,SUMIFS(Data!$N$10:$N$3209,Data!$M$10:$M$3209,"&gt;="&amp;$A156,Data!$M$10:$M$3209,"&lt;"&amp;$A156+1)/$AG156)))</f>
        <v/>
      </c>
      <c r="G156" s="56">
        <f>IF($B156=0,"",IF(Inputs!$B$10="","",IF($AH156=0,G155,SUMIFS(Data!$R$10:$R$3209,Data!$Q$10:$Q$3209,"&gt;="&amp;$A156,Data!$Q$10:$Q$3209,"&lt;"&amp;$A156+1)/$AH156)))</f>
        <v/>
      </c>
      <c r="I156" s="54">
        <f>IF($B156=0,NA(),IF($C156="",NA(),IF(C$8="",NA(),IF(N(C$8)=0,NA(),IF(Inputs!$C$17="Rebased to 100",$C156/C$8*100,$C156)))))</f>
        <v/>
      </c>
      <c r="J156" s="54">
        <f>IF($B156=0,NA(),IF($D156="",NA(),IF(D$8="",NA(),IF(N(D$8)=0,NA(),IF(Inputs!$C$17="Rebased to 100",$D156/D$8*100,$D156)))))</f>
        <v/>
      </c>
      <c r="K156" s="54">
        <f>IF($B156=0,NA(),IF($E156="",NA(),IF(E$8="",NA(),IF(N(E$8)=0,NA(),IF(Inputs!$C$17="Rebased to 100",$E156/E$8*100,$E156)))))</f>
        <v/>
      </c>
      <c r="L156" s="54">
        <f>IF($B156=0,NA(),IF($F156="",NA(),IF(F$8="",NA(),IF(N(F$8)=0,NA(),IF(Inputs!$C$17="Rebased to 100",$F156/F$8*100,$F156)))))</f>
        <v/>
      </c>
      <c r="M156" s="54">
        <f>IF($B156=0,NA(),IF($G156="",NA(),IF(G$8="",NA(),IF(N(G$8)=0,NA(),IF(Inputs!$C$17="Rebased to 100",$G156/G$8*100,$G156)))))</f>
        <v/>
      </c>
      <c r="N156" s="54">
        <f>IF($B156=0,NA(),IF(Inputs!$C$18&lt;&gt;"Yes",NA(),IF(COUNT(I156,J156,K156,L156,M156)=0,NA(),MIN(I156,J156,K156,L156,M156))))</f>
        <v/>
      </c>
      <c r="O156" s="54">
        <f>IF($B156=0,NA(),IF(Inputs!$B$24&lt;&gt;"Yes",NA(),Inputs!$D$24*Inputs!$C$35))</f>
        <v/>
      </c>
      <c r="P156" s="54">
        <f>IF($B156=0,NA(),IF(Inputs!$B$25&lt;&gt;"Yes",NA(),Inputs!$D$25*Inputs!$C$35))</f>
        <v/>
      </c>
      <c r="Q156" s="54">
        <f>IF($B156=0,NA(),IF(Inputs!$B$26&lt;&gt;"Yes",NA(),Inputs!$D$26*Inputs!$C$35))</f>
        <v/>
      </c>
      <c r="R156" s="54">
        <f>IF($B156=0,NA(),IF(Inputs!$B$27&lt;&gt;"Yes",NA(),Inputs!$D$27*Inputs!$C$35))</f>
        <v/>
      </c>
      <c r="S156" s="54">
        <f>IF($B156=0,NA(),IF(Inputs!$B$28&lt;&gt;"Yes",NA(),Inputs!$D$28*Inputs!$C$35))</f>
        <v/>
      </c>
      <c r="T156" s="54">
        <f>IF($B156=0,NA(),IF(Inputs!$B$29&lt;&gt;"Yes",NA(),Inputs!$D$29*Inputs!$C$35))</f>
        <v/>
      </c>
      <c r="AD156">
        <f>IF($B156=0,0,IF(Inputs!$B$6="",0,COUNTIFS(Data!$A$10:$A$3209,"&gt;="&amp;$A156,Data!$A$10:$A$3209,"&lt;"&amp;$A156+1)))</f>
        <v/>
      </c>
      <c r="AE156">
        <f>IF($B156=0,0,IF(Inputs!$B$7="",0,COUNTIFS(Data!$E$10:$E$3209,"&gt;="&amp;$A156,Data!$E$10:$E$3209,"&lt;"&amp;$A156+1)))</f>
        <v/>
      </c>
      <c r="AF156">
        <f>IF($B156=0,0,IF(Inputs!$B$8="",0,COUNTIFS(Data!$I$10:$I$3209,"&gt;="&amp;$A156,Data!$I$10:$I$3209,"&lt;"&amp;$A156+1)))</f>
        <v/>
      </c>
      <c r="AG156">
        <f>IF($B156=0,0,IF(Inputs!$B$9="",0,COUNTIFS(Data!$M$10:$M$3209,"&gt;="&amp;$A156,Data!$M$10:$M$3209,"&lt;"&amp;$A156+1)))</f>
        <v/>
      </c>
      <c r="AH156">
        <f>IF($B156=0,0,IF(Inputs!$B$10="",0,COUNTIFS(Data!$Q$10:$Q$3209,"&gt;="&amp;$A156,Data!$Q$10:$Q$3209,"&lt;"&amp;$A156+1)))</f>
        <v/>
      </c>
    </row>
    <row r="157">
      <c r="A157" s="55">
        <f>MIN(Inputs!$C$15,$A156+IF(WEEKDAY($A156,2)=5,3,1))</f>
        <v/>
      </c>
      <c r="B157">
        <f>IF($A157&gt;$A156,1,0)</f>
        <v/>
      </c>
      <c r="C157" s="56">
        <f>IF($B157=0,"",IF(Inputs!$B$6="","",IF($AD157=0,C156,SUMIFS(Data!$B$10:$B$3209,Data!$A$10:$A$3209,"&gt;="&amp;$A157,Data!$A$10:$A$3209,"&lt;"&amp;$A157+1)/$AD157)))</f>
        <v/>
      </c>
      <c r="D157" s="56">
        <f>IF($B157=0,"",IF(Inputs!$B$7="","",IF($AE157=0,D156,SUMIFS(Data!$F$10:$F$3209,Data!$E$10:$E$3209,"&gt;="&amp;$A157,Data!$E$10:$E$3209,"&lt;"&amp;$A157+1)/$AE157)))</f>
        <v/>
      </c>
      <c r="E157" s="56">
        <f>IF($B157=0,"",IF(Inputs!$B$8="","",IF($AF157=0,E156,SUMIFS(Data!$J$10:$J$3209,Data!$I$10:$I$3209,"&gt;="&amp;$A157,Data!$I$10:$I$3209,"&lt;"&amp;$A157+1)/$AF157)))</f>
        <v/>
      </c>
      <c r="F157" s="56">
        <f>IF($B157=0,"",IF(Inputs!$B$9="","",IF($AG157=0,F156,SUMIFS(Data!$N$10:$N$3209,Data!$M$10:$M$3209,"&gt;="&amp;$A157,Data!$M$10:$M$3209,"&lt;"&amp;$A157+1)/$AG157)))</f>
        <v/>
      </c>
      <c r="G157" s="56">
        <f>IF($B157=0,"",IF(Inputs!$B$10="","",IF($AH157=0,G156,SUMIFS(Data!$R$10:$R$3209,Data!$Q$10:$Q$3209,"&gt;="&amp;$A157,Data!$Q$10:$Q$3209,"&lt;"&amp;$A157+1)/$AH157)))</f>
        <v/>
      </c>
      <c r="I157" s="54">
        <f>IF($B157=0,NA(),IF($C157="",NA(),IF(C$8="",NA(),IF(N(C$8)=0,NA(),IF(Inputs!$C$17="Rebased to 100",$C157/C$8*100,$C157)))))</f>
        <v/>
      </c>
      <c r="J157" s="54">
        <f>IF($B157=0,NA(),IF($D157="",NA(),IF(D$8="",NA(),IF(N(D$8)=0,NA(),IF(Inputs!$C$17="Rebased to 100",$D157/D$8*100,$D157)))))</f>
        <v/>
      </c>
      <c r="K157" s="54">
        <f>IF($B157=0,NA(),IF($E157="",NA(),IF(E$8="",NA(),IF(N(E$8)=0,NA(),IF(Inputs!$C$17="Rebased to 100",$E157/E$8*100,$E157)))))</f>
        <v/>
      </c>
      <c r="L157" s="54">
        <f>IF($B157=0,NA(),IF($F157="",NA(),IF(F$8="",NA(),IF(N(F$8)=0,NA(),IF(Inputs!$C$17="Rebased to 100",$F157/F$8*100,$F157)))))</f>
        <v/>
      </c>
      <c r="M157" s="54">
        <f>IF($B157=0,NA(),IF($G157="",NA(),IF(G$8="",NA(),IF(N(G$8)=0,NA(),IF(Inputs!$C$17="Rebased to 100",$G157/G$8*100,$G157)))))</f>
        <v/>
      </c>
      <c r="N157" s="54">
        <f>IF($B157=0,NA(),IF(Inputs!$C$18&lt;&gt;"Yes",NA(),IF(COUNT(I157,J157,K157,L157,M157)=0,NA(),MIN(I157,J157,K157,L157,M157))))</f>
        <v/>
      </c>
      <c r="O157" s="54">
        <f>IF($B157=0,NA(),IF(Inputs!$B$24&lt;&gt;"Yes",NA(),Inputs!$D$24*Inputs!$C$35))</f>
        <v/>
      </c>
      <c r="P157" s="54">
        <f>IF($B157=0,NA(),IF(Inputs!$B$25&lt;&gt;"Yes",NA(),Inputs!$D$25*Inputs!$C$35))</f>
        <v/>
      </c>
      <c r="Q157" s="54">
        <f>IF($B157=0,NA(),IF(Inputs!$B$26&lt;&gt;"Yes",NA(),Inputs!$D$26*Inputs!$C$35))</f>
        <v/>
      </c>
      <c r="R157" s="54">
        <f>IF($B157=0,NA(),IF(Inputs!$B$27&lt;&gt;"Yes",NA(),Inputs!$D$27*Inputs!$C$35))</f>
        <v/>
      </c>
      <c r="S157" s="54">
        <f>IF($B157=0,NA(),IF(Inputs!$B$28&lt;&gt;"Yes",NA(),Inputs!$D$28*Inputs!$C$35))</f>
        <v/>
      </c>
      <c r="T157" s="54">
        <f>IF($B157=0,NA(),IF(Inputs!$B$29&lt;&gt;"Yes",NA(),Inputs!$D$29*Inputs!$C$35))</f>
        <v/>
      </c>
      <c r="AD157">
        <f>IF($B157=0,0,IF(Inputs!$B$6="",0,COUNTIFS(Data!$A$10:$A$3209,"&gt;="&amp;$A157,Data!$A$10:$A$3209,"&lt;"&amp;$A157+1)))</f>
        <v/>
      </c>
      <c r="AE157">
        <f>IF($B157=0,0,IF(Inputs!$B$7="",0,COUNTIFS(Data!$E$10:$E$3209,"&gt;="&amp;$A157,Data!$E$10:$E$3209,"&lt;"&amp;$A157+1)))</f>
        <v/>
      </c>
      <c r="AF157">
        <f>IF($B157=0,0,IF(Inputs!$B$8="",0,COUNTIFS(Data!$I$10:$I$3209,"&gt;="&amp;$A157,Data!$I$10:$I$3209,"&lt;"&amp;$A157+1)))</f>
        <v/>
      </c>
      <c r="AG157">
        <f>IF($B157=0,0,IF(Inputs!$B$9="",0,COUNTIFS(Data!$M$10:$M$3209,"&gt;="&amp;$A157,Data!$M$10:$M$3209,"&lt;"&amp;$A157+1)))</f>
        <v/>
      </c>
      <c r="AH157">
        <f>IF($B157=0,0,IF(Inputs!$B$10="",0,COUNTIFS(Data!$Q$10:$Q$3209,"&gt;="&amp;$A157,Data!$Q$10:$Q$3209,"&lt;"&amp;$A157+1)))</f>
        <v/>
      </c>
    </row>
    <row r="158">
      <c r="A158" s="55">
        <f>MIN(Inputs!$C$15,$A157+IF(WEEKDAY($A157,2)=5,3,1))</f>
        <v/>
      </c>
      <c r="B158">
        <f>IF($A158&gt;$A157,1,0)</f>
        <v/>
      </c>
      <c r="C158" s="56">
        <f>IF($B158=0,"",IF(Inputs!$B$6="","",IF($AD158=0,C157,SUMIFS(Data!$B$10:$B$3209,Data!$A$10:$A$3209,"&gt;="&amp;$A158,Data!$A$10:$A$3209,"&lt;"&amp;$A158+1)/$AD158)))</f>
        <v/>
      </c>
      <c r="D158" s="56">
        <f>IF($B158=0,"",IF(Inputs!$B$7="","",IF($AE158=0,D157,SUMIFS(Data!$F$10:$F$3209,Data!$E$10:$E$3209,"&gt;="&amp;$A158,Data!$E$10:$E$3209,"&lt;"&amp;$A158+1)/$AE158)))</f>
        <v/>
      </c>
      <c r="E158" s="56">
        <f>IF($B158=0,"",IF(Inputs!$B$8="","",IF($AF158=0,E157,SUMIFS(Data!$J$10:$J$3209,Data!$I$10:$I$3209,"&gt;="&amp;$A158,Data!$I$10:$I$3209,"&lt;"&amp;$A158+1)/$AF158)))</f>
        <v/>
      </c>
      <c r="F158" s="56">
        <f>IF($B158=0,"",IF(Inputs!$B$9="","",IF($AG158=0,F157,SUMIFS(Data!$N$10:$N$3209,Data!$M$10:$M$3209,"&gt;="&amp;$A158,Data!$M$10:$M$3209,"&lt;"&amp;$A158+1)/$AG158)))</f>
        <v/>
      </c>
      <c r="G158" s="56">
        <f>IF($B158=0,"",IF(Inputs!$B$10="","",IF($AH158=0,G157,SUMIFS(Data!$R$10:$R$3209,Data!$Q$10:$Q$3209,"&gt;="&amp;$A158,Data!$Q$10:$Q$3209,"&lt;"&amp;$A158+1)/$AH158)))</f>
        <v/>
      </c>
      <c r="I158" s="54">
        <f>IF($B158=0,NA(),IF($C158="",NA(),IF(C$8="",NA(),IF(N(C$8)=0,NA(),IF(Inputs!$C$17="Rebased to 100",$C158/C$8*100,$C158)))))</f>
        <v/>
      </c>
      <c r="J158" s="54">
        <f>IF($B158=0,NA(),IF($D158="",NA(),IF(D$8="",NA(),IF(N(D$8)=0,NA(),IF(Inputs!$C$17="Rebased to 100",$D158/D$8*100,$D158)))))</f>
        <v/>
      </c>
      <c r="K158" s="54">
        <f>IF($B158=0,NA(),IF($E158="",NA(),IF(E$8="",NA(),IF(N(E$8)=0,NA(),IF(Inputs!$C$17="Rebased to 100",$E158/E$8*100,$E158)))))</f>
        <v/>
      </c>
      <c r="L158" s="54">
        <f>IF($B158=0,NA(),IF($F158="",NA(),IF(F$8="",NA(),IF(N(F$8)=0,NA(),IF(Inputs!$C$17="Rebased to 100",$F158/F$8*100,$F158)))))</f>
        <v/>
      </c>
      <c r="M158" s="54">
        <f>IF($B158=0,NA(),IF($G158="",NA(),IF(G$8="",NA(),IF(N(G$8)=0,NA(),IF(Inputs!$C$17="Rebased to 100",$G158/G$8*100,$G158)))))</f>
        <v/>
      </c>
      <c r="N158" s="54">
        <f>IF($B158=0,NA(),IF(Inputs!$C$18&lt;&gt;"Yes",NA(),IF(COUNT(I158,J158,K158,L158,M158)=0,NA(),MIN(I158,J158,K158,L158,M158))))</f>
        <v/>
      </c>
      <c r="O158" s="54">
        <f>IF($B158=0,NA(),IF(Inputs!$B$24&lt;&gt;"Yes",NA(),Inputs!$D$24*Inputs!$C$35))</f>
        <v/>
      </c>
      <c r="P158" s="54">
        <f>IF($B158=0,NA(),IF(Inputs!$B$25&lt;&gt;"Yes",NA(),Inputs!$D$25*Inputs!$C$35))</f>
        <v/>
      </c>
      <c r="Q158" s="54">
        <f>IF($B158=0,NA(),IF(Inputs!$B$26&lt;&gt;"Yes",NA(),Inputs!$D$26*Inputs!$C$35))</f>
        <v/>
      </c>
      <c r="R158" s="54">
        <f>IF($B158=0,NA(),IF(Inputs!$B$27&lt;&gt;"Yes",NA(),Inputs!$D$27*Inputs!$C$35))</f>
        <v/>
      </c>
      <c r="S158" s="54">
        <f>IF($B158=0,NA(),IF(Inputs!$B$28&lt;&gt;"Yes",NA(),Inputs!$D$28*Inputs!$C$35))</f>
        <v/>
      </c>
      <c r="T158" s="54">
        <f>IF($B158=0,NA(),IF(Inputs!$B$29&lt;&gt;"Yes",NA(),Inputs!$D$29*Inputs!$C$35))</f>
        <v/>
      </c>
      <c r="AD158">
        <f>IF($B158=0,0,IF(Inputs!$B$6="",0,COUNTIFS(Data!$A$10:$A$3209,"&gt;="&amp;$A158,Data!$A$10:$A$3209,"&lt;"&amp;$A158+1)))</f>
        <v/>
      </c>
      <c r="AE158">
        <f>IF($B158=0,0,IF(Inputs!$B$7="",0,COUNTIFS(Data!$E$10:$E$3209,"&gt;="&amp;$A158,Data!$E$10:$E$3209,"&lt;"&amp;$A158+1)))</f>
        <v/>
      </c>
      <c r="AF158">
        <f>IF($B158=0,0,IF(Inputs!$B$8="",0,COUNTIFS(Data!$I$10:$I$3209,"&gt;="&amp;$A158,Data!$I$10:$I$3209,"&lt;"&amp;$A158+1)))</f>
        <v/>
      </c>
      <c r="AG158">
        <f>IF($B158=0,0,IF(Inputs!$B$9="",0,COUNTIFS(Data!$M$10:$M$3209,"&gt;="&amp;$A158,Data!$M$10:$M$3209,"&lt;"&amp;$A158+1)))</f>
        <v/>
      </c>
      <c r="AH158">
        <f>IF($B158=0,0,IF(Inputs!$B$10="",0,COUNTIFS(Data!$Q$10:$Q$3209,"&gt;="&amp;$A158,Data!$Q$10:$Q$3209,"&lt;"&amp;$A158+1)))</f>
        <v/>
      </c>
    </row>
    <row r="159">
      <c r="A159" s="55">
        <f>MIN(Inputs!$C$15,$A158+IF(WEEKDAY($A158,2)=5,3,1))</f>
        <v/>
      </c>
      <c r="B159">
        <f>IF($A159&gt;$A158,1,0)</f>
        <v/>
      </c>
      <c r="C159" s="56">
        <f>IF($B159=0,"",IF(Inputs!$B$6="","",IF($AD159=0,C158,SUMIFS(Data!$B$10:$B$3209,Data!$A$10:$A$3209,"&gt;="&amp;$A159,Data!$A$10:$A$3209,"&lt;"&amp;$A159+1)/$AD159)))</f>
        <v/>
      </c>
      <c r="D159" s="56">
        <f>IF($B159=0,"",IF(Inputs!$B$7="","",IF($AE159=0,D158,SUMIFS(Data!$F$10:$F$3209,Data!$E$10:$E$3209,"&gt;="&amp;$A159,Data!$E$10:$E$3209,"&lt;"&amp;$A159+1)/$AE159)))</f>
        <v/>
      </c>
      <c r="E159" s="56">
        <f>IF($B159=0,"",IF(Inputs!$B$8="","",IF($AF159=0,E158,SUMIFS(Data!$J$10:$J$3209,Data!$I$10:$I$3209,"&gt;="&amp;$A159,Data!$I$10:$I$3209,"&lt;"&amp;$A159+1)/$AF159)))</f>
        <v/>
      </c>
      <c r="F159" s="56">
        <f>IF($B159=0,"",IF(Inputs!$B$9="","",IF($AG159=0,F158,SUMIFS(Data!$N$10:$N$3209,Data!$M$10:$M$3209,"&gt;="&amp;$A159,Data!$M$10:$M$3209,"&lt;"&amp;$A159+1)/$AG159)))</f>
        <v/>
      </c>
      <c r="G159" s="56">
        <f>IF($B159=0,"",IF(Inputs!$B$10="","",IF($AH159=0,G158,SUMIFS(Data!$R$10:$R$3209,Data!$Q$10:$Q$3209,"&gt;="&amp;$A159,Data!$Q$10:$Q$3209,"&lt;"&amp;$A159+1)/$AH159)))</f>
        <v/>
      </c>
      <c r="I159" s="54">
        <f>IF($B159=0,NA(),IF($C159="",NA(),IF(C$8="",NA(),IF(N(C$8)=0,NA(),IF(Inputs!$C$17="Rebased to 100",$C159/C$8*100,$C159)))))</f>
        <v/>
      </c>
      <c r="J159" s="54">
        <f>IF($B159=0,NA(),IF($D159="",NA(),IF(D$8="",NA(),IF(N(D$8)=0,NA(),IF(Inputs!$C$17="Rebased to 100",$D159/D$8*100,$D159)))))</f>
        <v/>
      </c>
      <c r="K159" s="54">
        <f>IF($B159=0,NA(),IF($E159="",NA(),IF(E$8="",NA(),IF(N(E$8)=0,NA(),IF(Inputs!$C$17="Rebased to 100",$E159/E$8*100,$E159)))))</f>
        <v/>
      </c>
      <c r="L159" s="54">
        <f>IF($B159=0,NA(),IF($F159="",NA(),IF(F$8="",NA(),IF(N(F$8)=0,NA(),IF(Inputs!$C$17="Rebased to 100",$F159/F$8*100,$F159)))))</f>
        <v/>
      </c>
      <c r="M159" s="54">
        <f>IF($B159=0,NA(),IF($G159="",NA(),IF(G$8="",NA(),IF(N(G$8)=0,NA(),IF(Inputs!$C$17="Rebased to 100",$G159/G$8*100,$G159)))))</f>
        <v/>
      </c>
      <c r="N159" s="54">
        <f>IF($B159=0,NA(),IF(Inputs!$C$18&lt;&gt;"Yes",NA(),IF(COUNT(I159,J159,K159,L159,M159)=0,NA(),MIN(I159,J159,K159,L159,M159))))</f>
        <v/>
      </c>
      <c r="O159" s="54">
        <f>IF($B159=0,NA(),IF(Inputs!$B$24&lt;&gt;"Yes",NA(),Inputs!$D$24*Inputs!$C$35))</f>
        <v/>
      </c>
      <c r="P159" s="54">
        <f>IF($B159=0,NA(),IF(Inputs!$B$25&lt;&gt;"Yes",NA(),Inputs!$D$25*Inputs!$C$35))</f>
        <v/>
      </c>
      <c r="Q159" s="54">
        <f>IF($B159=0,NA(),IF(Inputs!$B$26&lt;&gt;"Yes",NA(),Inputs!$D$26*Inputs!$C$35))</f>
        <v/>
      </c>
      <c r="R159" s="54">
        <f>IF($B159=0,NA(),IF(Inputs!$B$27&lt;&gt;"Yes",NA(),Inputs!$D$27*Inputs!$C$35))</f>
        <v/>
      </c>
      <c r="S159" s="54">
        <f>IF($B159=0,NA(),IF(Inputs!$B$28&lt;&gt;"Yes",NA(),Inputs!$D$28*Inputs!$C$35))</f>
        <v/>
      </c>
      <c r="T159" s="54">
        <f>IF($B159=0,NA(),IF(Inputs!$B$29&lt;&gt;"Yes",NA(),Inputs!$D$29*Inputs!$C$35))</f>
        <v/>
      </c>
      <c r="AD159">
        <f>IF($B159=0,0,IF(Inputs!$B$6="",0,COUNTIFS(Data!$A$10:$A$3209,"&gt;="&amp;$A159,Data!$A$10:$A$3209,"&lt;"&amp;$A159+1)))</f>
        <v/>
      </c>
      <c r="AE159">
        <f>IF($B159=0,0,IF(Inputs!$B$7="",0,COUNTIFS(Data!$E$10:$E$3209,"&gt;="&amp;$A159,Data!$E$10:$E$3209,"&lt;"&amp;$A159+1)))</f>
        <v/>
      </c>
      <c r="AF159">
        <f>IF($B159=0,0,IF(Inputs!$B$8="",0,COUNTIFS(Data!$I$10:$I$3209,"&gt;="&amp;$A159,Data!$I$10:$I$3209,"&lt;"&amp;$A159+1)))</f>
        <v/>
      </c>
      <c r="AG159">
        <f>IF($B159=0,0,IF(Inputs!$B$9="",0,COUNTIFS(Data!$M$10:$M$3209,"&gt;="&amp;$A159,Data!$M$10:$M$3209,"&lt;"&amp;$A159+1)))</f>
        <v/>
      </c>
      <c r="AH159">
        <f>IF($B159=0,0,IF(Inputs!$B$10="",0,COUNTIFS(Data!$Q$10:$Q$3209,"&gt;="&amp;$A159,Data!$Q$10:$Q$3209,"&lt;"&amp;$A159+1)))</f>
        <v/>
      </c>
    </row>
    <row r="160">
      <c r="A160" s="55">
        <f>MIN(Inputs!$C$15,$A159+IF(WEEKDAY($A159,2)=5,3,1))</f>
        <v/>
      </c>
      <c r="B160">
        <f>IF($A160&gt;$A159,1,0)</f>
        <v/>
      </c>
      <c r="C160" s="56">
        <f>IF($B160=0,"",IF(Inputs!$B$6="","",IF($AD160=0,C159,SUMIFS(Data!$B$10:$B$3209,Data!$A$10:$A$3209,"&gt;="&amp;$A160,Data!$A$10:$A$3209,"&lt;"&amp;$A160+1)/$AD160)))</f>
        <v/>
      </c>
      <c r="D160" s="56">
        <f>IF($B160=0,"",IF(Inputs!$B$7="","",IF($AE160=0,D159,SUMIFS(Data!$F$10:$F$3209,Data!$E$10:$E$3209,"&gt;="&amp;$A160,Data!$E$10:$E$3209,"&lt;"&amp;$A160+1)/$AE160)))</f>
        <v/>
      </c>
      <c r="E160" s="56">
        <f>IF($B160=0,"",IF(Inputs!$B$8="","",IF($AF160=0,E159,SUMIFS(Data!$J$10:$J$3209,Data!$I$10:$I$3209,"&gt;="&amp;$A160,Data!$I$10:$I$3209,"&lt;"&amp;$A160+1)/$AF160)))</f>
        <v/>
      </c>
      <c r="F160" s="56">
        <f>IF($B160=0,"",IF(Inputs!$B$9="","",IF($AG160=0,F159,SUMIFS(Data!$N$10:$N$3209,Data!$M$10:$M$3209,"&gt;="&amp;$A160,Data!$M$10:$M$3209,"&lt;"&amp;$A160+1)/$AG160)))</f>
        <v/>
      </c>
      <c r="G160" s="56">
        <f>IF($B160=0,"",IF(Inputs!$B$10="","",IF($AH160=0,G159,SUMIFS(Data!$R$10:$R$3209,Data!$Q$10:$Q$3209,"&gt;="&amp;$A160,Data!$Q$10:$Q$3209,"&lt;"&amp;$A160+1)/$AH160)))</f>
        <v/>
      </c>
      <c r="I160" s="54">
        <f>IF($B160=0,NA(),IF($C160="",NA(),IF(C$8="",NA(),IF(N(C$8)=0,NA(),IF(Inputs!$C$17="Rebased to 100",$C160/C$8*100,$C160)))))</f>
        <v/>
      </c>
      <c r="J160" s="54">
        <f>IF($B160=0,NA(),IF($D160="",NA(),IF(D$8="",NA(),IF(N(D$8)=0,NA(),IF(Inputs!$C$17="Rebased to 100",$D160/D$8*100,$D160)))))</f>
        <v/>
      </c>
      <c r="K160" s="54">
        <f>IF($B160=0,NA(),IF($E160="",NA(),IF(E$8="",NA(),IF(N(E$8)=0,NA(),IF(Inputs!$C$17="Rebased to 100",$E160/E$8*100,$E160)))))</f>
        <v/>
      </c>
      <c r="L160" s="54">
        <f>IF($B160=0,NA(),IF($F160="",NA(),IF(F$8="",NA(),IF(N(F$8)=0,NA(),IF(Inputs!$C$17="Rebased to 100",$F160/F$8*100,$F160)))))</f>
        <v/>
      </c>
      <c r="M160" s="54">
        <f>IF($B160=0,NA(),IF($G160="",NA(),IF(G$8="",NA(),IF(N(G$8)=0,NA(),IF(Inputs!$C$17="Rebased to 100",$G160/G$8*100,$G160)))))</f>
        <v/>
      </c>
      <c r="N160" s="54">
        <f>IF($B160=0,NA(),IF(Inputs!$C$18&lt;&gt;"Yes",NA(),IF(COUNT(I160,J160,K160,L160,M160)=0,NA(),MIN(I160,J160,K160,L160,M160))))</f>
        <v/>
      </c>
      <c r="O160" s="54">
        <f>IF($B160=0,NA(),IF(Inputs!$B$24&lt;&gt;"Yes",NA(),Inputs!$D$24*Inputs!$C$35))</f>
        <v/>
      </c>
      <c r="P160" s="54">
        <f>IF($B160=0,NA(),IF(Inputs!$B$25&lt;&gt;"Yes",NA(),Inputs!$D$25*Inputs!$C$35))</f>
        <v/>
      </c>
      <c r="Q160" s="54">
        <f>IF($B160=0,NA(),IF(Inputs!$B$26&lt;&gt;"Yes",NA(),Inputs!$D$26*Inputs!$C$35))</f>
        <v/>
      </c>
      <c r="R160" s="54">
        <f>IF($B160=0,NA(),IF(Inputs!$B$27&lt;&gt;"Yes",NA(),Inputs!$D$27*Inputs!$C$35))</f>
        <v/>
      </c>
      <c r="S160" s="54">
        <f>IF($B160=0,NA(),IF(Inputs!$B$28&lt;&gt;"Yes",NA(),Inputs!$D$28*Inputs!$C$35))</f>
        <v/>
      </c>
      <c r="T160" s="54">
        <f>IF($B160=0,NA(),IF(Inputs!$B$29&lt;&gt;"Yes",NA(),Inputs!$D$29*Inputs!$C$35))</f>
        <v/>
      </c>
      <c r="AD160">
        <f>IF($B160=0,0,IF(Inputs!$B$6="",0,COUNTIFS(Data!$A$10:$A$3209,"&gt;="&amp;$A160,Data!$A$10:$A$3209,"&lt;"&amp;$A160+1)))</f>
        <v/>
      </c>
      <c r="AE160">
        <f>IF($B160=0,0,IF(Inputs!$B$7="",0,COUNTIFS(Data!$E$10:$E$3209,"&gt;="&amp;$A160,Data!$E$10:$E$3209,"&lt;"&amp;$A160+1)))</f>
        <v/>
      </c>
      <c r="AF160">
        <f>IF($B160=0,0,IF(Inputs!$B$8="",0,COUNTIFS(Data!$I$10:$I$3209,"&gt;="&amp;$A160,Data!$I$10:$I$3209,"&lt;"&amp;$A160+1)))</f>
        <v/>
      </c>
      <c r="AG160">
        <f>IF($B160=0,0,IF(Inputs!$B$9="",0,COUNTIFS(Data!$M$10:$M$3209,"&gt;="&amp;$A160,Data!$M$10:$M$3209,"&lt;"&amp;$A160+1)))</f>
        <v/>
      </c>
      <c r="AH160">
        <f>IF($B160=0,0,IF(Inputs!$B$10="",0,COUNTIFS(Data!$Q$10:$Q$3209,"&gt;="&amp;$A160,Data!$Q$10:$Q$3209,"&lt;"&amp;$A160+1)))</f>
        <v/>
      </c>
    </row>
    <row r="161">
      <c r="A161" s="55">
        <f>MIN(Inputs!$C$15,$A160+IF(WEEKDAY($A160,2)=5,3,1))</f>
        <v/>
      </c>
      <c r="B161">
        <f>IF($A161&gt;$A160,1,0)</f>
        <v/>
      </c>
      <c r="C161" s="56">
        <f>IF($B161=0,"",IF(Inputs!$B$6="","",IF($AD161=0,C160,SUMIFS(Data!$B$10:$B$3209,Data!$A$10:$A$3209,"&gt;="&amp;$A161,Data!$A$10:$A$3209,"&lt;"&amp;$A161+1)/$AD161)))</f>
        <v/>
      </c>
      <c r="D161" s="56">
        <f>IF($B161=0,"",IF(Inputs!$B$7="","",IF($AE161=0,D160,SUMIFS(Data!$F$10:$F$3209,Data!$E$10:$E$3209,"&gt;="&amp;$A161,Data!$E$10:$E$3209,"&lt;"&amp;$A161+1)/$AE161)))</f>
        <v/>
      </c>
      <c r="E161" s="56">
        <f>IF($B161=0,"",IF(Inputs!$B$8="","",IF($AF161=0,E160,SUMIFS(Data!$J$10:$J$3209,Data!$I$10:$I$3209,"&gt;="&amp;$A161,Data!$I$10:$I$3209,"&lt;"&amp;$A161+1)/$AF161)))</f>
        <v/>
      </c>
      <c r="F161" s="56">
        <f>IF($B161=0,"",IF(Inputs!$B$9="","",IF($AG161=0,F160,SUMIFS(Data!$N$10:$N$3209,Data!$M$10:$M$3209,"&gt;="&amp;$A161,Data!$M$10:$M$3209,"&lt;"&amp;$A161+1)/$AG161)))</f>
        <v/>
      </c>
      <c r="G161" s="56">
        <f>IF($B161=0,"",IF(Inputs!$B$10="","",IF($AH161=0,G160,SUMIFS(Data!$R$10:$R$3209,Data!$Q$10:$Q$3209,"&gt;="&amp;$A161,Data!$Q$10:$Q$3209,"&lt;"&amp;$A161+1)/$AH161)))</f>
        <v/>
      </c>
      <c r="I161" s="54">
        <f>IF($B161=0,NA(),IF($C161="",NA(),IF(C$8="",NA(),IF(N(C$8)=0,NA(),IF(Inputs!$C$17="Rebased to 100",$C161/C$8*100,$C161)))))</f>
        <v/>
      </c>
      <c r="J161" s="54">
        <f>IF($B161=0,NA(),IF($D161="",NA(),IF(D$8="",NA(),IF(N(D$8)=0,NA(),IF(Inputs!$C$17="Rebased to 100",$D161/D$8*100,$D161)))))</f>
        <v/>
      </c>
      <c r="K161" s="54">
        <f>IF($B161=0,NA(),IF($E161="",NA(),IF(E$8="",NA(),IF(N(E$8)=0,NA(),IF(Inputs!$C$17="Rebased to 100",$E161/E$8*100,$E161)))))</f>
        <v/>
      </c>
      <c r="L161" s="54">
        <f>IF($B161=0,NA(),IF($F161="",NA(),IF(F$8="",NA(),IF(N(F$8)=0,NA(),IF(Inputs!$C$17="Rebased to 100",$F161/F$8*100,$F161)))))</f>
        <v/>
      </c>
      <c r="M161" s="54">
        <f>IF($B161=0,NA(),IF($G161="",NA(),IF(G$8="",NA(),IF(N(G$8)=0,NA(),IF(Inputs!$C$17="Rebased to 100",$G161/G$8*100,$G161)))))</f>
        <v/>
      </c>
      <c r="N161" s="54">
        <f>IF($B161=0,NA(),IF(Inputs!$C$18&lt;&gt;"Yes",NA(),IF(COUNT(I161,J161,K161,L161,M161)=0,NA(),MIN(I161,J161,K161,L161,M161))))</f>
        <v/>
      </c>
      <c r="O161" s="54">
        <f>IF($B161=0,NA(),IF(Inputs!$B$24&lt;&gt;"Yes",NA(),Inputs!$D$24*Inputs!$C$35))</f>
        <v/>
      </c>
      <c r="P161" s="54">
        <f>IF($B161=0,NA(),IF(Inputs!$B$25&lt;&gt;"Yes",NA(),Inputs!$D$25*Inputs!$C$35))</f>
        <v/>
      </c>
      <c r="Q161" s="54">
        <f>IF($B161=0,NA(),IF(Inputs!$B$26&lt;&gt;"Yes",NA(),Inputs!$D$26*Inputs!$C$35))</f>
        <v/>
      </c>
      <c r="R161" s="54">
        <f>IF($B161=0,NA(),IF(Inputs!$B$27&lt;&gt;"Yes",NA(),Inputs!$D$27*Inputs!$C$35))</f>
        <v/>
      </c>
      <c r="S161" s="54">
        <f>IF($B161=0,NA(),IF(Inputs!$B$28&lt;&gt;"Yes",NA(),Inputs!$D$28*Inputs!$C$35))</f>
        <v/>
      </c>
      <c r="T161" s="54">
        <f>IF($B161=0,NA(),IF(Inputs!$B$29&lt;&gt;"Yes",NA(),Inputs!$D$29*Inputs!$C$35))</f>
        <v/>
      </c>
      <c r="AD161">
        <f>IF($B161=0,0,IF(Inputs!$B$6="",0,COUNTIFS(Data!$A$10:$A$3209,"&gt;="&amp;$A161,Data!$A$10:$A$3209,"&lt;"&amp;$A161+1)))</f>
        <v/>
      </c>
      <c r="AE161">
        <f>IF($B161=0,0,IF(Inputs!$B$7="",0,COUNTIFS(Data!$E$10:$E$3209,"&gt;="&amp;$A161,Data!$E$10:$E$3209,"&lt;"&amp;$A161+1)))</f>
        <v/>
      </c>
      <c r="AF161">
        <f>IF($B161=0,0,IF(Inputs!$B$8="",0,COUNTIFS(Data!$I$10:$I$3209,"&gt;="&amp;$A161,Data!$I$10:$I$3209,"&lt;"&amp;$A161+1)))</f>
        <v/>
      </c>
      <c r="AG161">
        <f>IF($B161=0,0,IF(Inputs!$B$9="",0,COUNTIFS(Data!$M$10:$M$3209,"&gt;="&amp;$A161,Data!$M$10:$M$3209,"&lt;"&amp;$A161+1)))</f>
        <v/>
      </c>
      <c r="AH161">
        <f>IF($B161=0,0,IF(Inputs!$B$10="",0,COUNTIFS(Data!$Q$10:$Q$3209,"&gt;="&amp;$A161,Data!$Q$10:$Q$3209,"&lt;"&amp;$A161+1)))</f>
        <v/>
      </c>
    </row>
    <row r="162">
      <c r="A162" s="55">
        <f>MIN(Inputs!$C$15,$A161+IF(WEEKDAY($A161,2)=5,3,1))</f>
        <v/>
      </c>
      <c r="B162">
        <f>IF($A162&gt;$A161,1,0)</f>
        <v/>
      </c>
      <c r="C162" s="56">
        <f>IF($B162=0,"",IF(Inputs!$B$6="","",IF($AD162=0,C161,SUMIFS(Data!$B$10:$B$3209,Data!$A$10:$A$3209,"&gt;="&amp;$A162,Data!$A$10:$A$3209,"&lt;"&amp;$A162+1)/$AD162)))</f>
        <v/>
      </c>
      <c r="D162" s="56">
        <f>IF($B162=0,"",IF(Inputs!$B$7="","",IF($AE162=0,D161,SUMIFS(Data!$F$10:$F$3209,Data!$E$10:$E$3209,"&gt;="&amp;$A162,Data!$E$10:$E$3209,"&lt;"&amp;$A162+1)/$AE162)))</f>
        <v/>
      </c>
      <c r="E162" s="56">
        <f>IF($B162=0,"",IF(Inputs!$B$8="","",IF($AF162=0,E161,SUMIFS(Data!$J$10:$J$3209,Data!$I$10:$I$3209,"&gt;="&amp;$A162,Data!$I$10:$I$3209,"&lt;"&amp;$A162+1)/$AF162)))</f>
        <v/>
      </c>
      <c r="F162" s="56">
        <f>IF($B162=0,"",IF(Inputs!$B$9="","",IF($AG162=0,F161,SUMIFS(Data!$N$10:$N$3209,Data!$M$10:$M$3209,"&gt;="&amp;$A162,Data!$M$10:$M$3209,"&lt;"&amp;$A162+1)/$AG162)))</f>
        <v/>
      </c>
      <c r="G162" s="56">
        <f>IF($B162=0,"",IF(Inputs!$B$10="","",IF($AH162=0,G161,SUMIFS(Data!$R$10:$R$3209,Data!$Q$10:$Q$3209,"&gt;="&amp;$A162,Data!$Q$10:$Q$3209,"&lt;"&amp;$A162+1)/$AH162)))</f>
        <v/>
      </c>
      <c r="I162" s="54">
        <f>IF($B162=0,NA(),IF($C162="",NA(),IF(C$8="",NA(),IF(N(C$8)=0,NA(),IF(Inputs!$C$17="Rebased to 100",$C162/C$8*100,$C162)))))</f>
        <v/>
      </c>
      <c r="J162" s="54">
        <f>IF($B162=0,NA(),IF($D162="",NA(),IF(D$8="",NA(),IF(N(D$8)=0,NA(),IF(Inputs!$C$17="Rebased to 100",$D162/D$8*100,$D162)))))</f>
        <v/>
      </c>
      <c r="K162" s="54">
        <f>IF($B162=0,NA(),IF($E162="",NA(),IF(E$8="",NA(),IF(N(E$8)=0,NA(),IF(Inputs!$C$17="Rebased to 100",$E162/E$8*100,$E162)))))</f>
        <v/>
      </c>
      <c r="L162" s="54">
        <f>IF($B162=0,NA(),IF($F162="",NA(),IF(F$8="",NA(),IF(N(F$8)=0,NA(),IF(Inputs!$C$17="Rebased to 100",$F162/F$8*100,$F162)))))</f>
        <v/>
      </c>
      <c r="M162" s="54">
        <f>IF($B162=0,NA(),IF($G162="",NA(),IF(G$8="",NA(),IF(N(G$8)=0,NA(),IF(Inputs!$C$17="Rebased to 100",$G162/G$8*100,$G162)))))</f>
        <v/>
      </c>
      <c r="N162" s="54">
        <f>IF($B162=0,NA(),IF(Inputs!$C$18&lt;&gt;"Yes",NA(),IF(COUNT(I162,J162,K162,L162,M162)=0,NA(),MIN(I162,J162,K162,L162,M162))))</f>
        <v/>
      </c>
      <c r="O162" s="54">
        <f>IF($B162=0,NA(),IF(Inputs!$B$24&lt;&gt;"Yes",NA(),Inputs!$D$24*Inputs!$C$35))</f>
        <v/>
      </c>
      <c r="P162" s="54">
        <f>IF($B162=0,NA(),IF(Inputs!$B$25&lt;&gt;"Yes",NA(),Inputs!$D$25*Inputs!$C$35))</f>
        <v/>
      </c>
      <c r="Q162" s="54">
        <f>IF($B162=0,NA(),IF(Inputs!$B$26&lt;&gt;"Yes",NA(),Inputs!$D$26*Inputs!$C$35))</f>
        <v/>
      </c>
      <c r="R162" s="54">
        <f>IF($B162=0,NA(),IF(Inputs!$B$27&lt;&gt;"Yes",NA(),Inputs!$D$27*Inputs!$C$35))</f>
        <v/>
      </c>
      <c r="S162" s="54">
        <f>IF($B162=0,NA(),IF(Inputs!$B$28&lt;&gt;"Yes",NA(),Inputs!$D$28*Inputs!$C$35))</f>
        <v/>
      </c>
      <c r="T162" s="54">
        <f>IF($B162=0,NA(),IF(Inputs!$B$29&lt;&gt;"Yes",NA(),Inputs!$D$29*Inputs!$C$35))</f>
        <v/>
      </c>
      <c r="AD162">
        <f>IF($B162=0,0,IF(Inputs!$B$6="",0,COUNTIFS(Data!$A$10:$A$3209,"&gt;="&amp;$A162,Data!$A$10:$A$3209,"&lt;"&amp;$A162+1)))</f>
        <v/>
      </c>
      <c r="AE162">
        <f>IF($B162=0,0,IF(Inputs!$B$7="",0,COUNTIFS(Data!$E$10:$E$3209,"&gt;="&amp;$A162,Data!$E$10:$E$3209,"&lt;"&amp;$A162+1)))</f>
        <v/>
      </c>
      <c r="AF162">
        <f>IF($B162=0,0,IF(Inputs!$B$8="",0,COUNTIFS(Data!$I$10:$I$3209,"&gt;="&amp;$A162,Data!$I$10:$I$3209,"&lt;"&amp;$A162+1)))</f>
        <v/>
      </c>
      <c r="AG162">
        <f>IF($B162=0,0,IF(Inputs!$B$9="",0,COUNTIFS(Data!$M$10:$M$3209,"&gt;="&amp;$A162,Data!$M$10:$M$3209,"&lt;"&amp;$A162+1)))</f>
        <v/>
      </c>
      <c r="AH162">
        <f>IF($B162=0,0,IF(Inputs!$B$10="",0,COUNTIFS(Data!$Q$10:$Q$3209,"&gt;="&amp;$A162,Data!$Q$10:$Q$3209,"&lt;"&amp;$A162+1)))</f>
        <v/>
      </c>
    </row>
    <row r="163">
      <c r="A163" s="55">
        <f>MIN(Inputs!$C$15,$A162+IF(WEEKDAY($A162,2)=5,3,1))</f>
        <v/>
      </c>
      <c r="B163">
        <f>IF($A163&gt;$A162,1,0)</f>
        <v/>
      </c>
      <c r="C163" s="56">
        <f>IF($B163=0,"",IF(Inputs!$B$6="","",IF($AD163=0,C162,SUMIFS(Data!$B$10:$B$3209,Data!$A$10:$A$3209,"&gt;="&amp;$A163,Data!$A$10:$A$3209,"&lt;"&amp;$A163+1)/$AD163)))</f>
        <v/>
      </c>
      <c r="D163" s="56">
        <f>IF($B163=0,"",IF(Inputs!$B$7="","",IF($AE163=0,D162,SUMIFS(Data!$F$10:$F$3209,Data!$E$10:$E$3209,"&gt;="&amp;$A163,Data!$E$10:$E$3209,"&lt;"&amp;$A163+1)/$AE163)))</f>
        <v/>
      </c>
      <c r="E163" s="56">
        <f>IF($B163=0,"",IF(Inputs!$B$8="","",IF($AF163=0,E162,SUMIFS(Data!$J$10:$J$3209,Data!$I$10:$I$3209,"&gt;="&amp;$A163,Data!$I$10:$I$3209,"&lt;"&amp;$A163+1)/$AF163)))</f>
        <v/>
      </c>
      <c r="F163" s="56">
        <f>IF($B163=0,"",IF(Inputs!$B$9="","",IF($AG163=0,F162,SUMIFS(Data!$N$10:$N$3209,Data!$M$10:$M$3209,"&gt;="&amp;$A163,Data!$M$10:$M$3209,"&lt;"&amp;$A163+1)/$AG163)))</f>
        <v/>
      </c>
      <c r="G163" s="56">
        <f>IF($B163=0,"",IF(Inputs!$B$10="","",IF($AH163=0,G162,SUMIFS(Data!$R$10:$R$3209,Data!$Q$10:$Q$3209,"&gt;="&amp;$A163,Data!$Q$10:$Q$3209,"&lt;"&amp;$A163+1)/$AH163)))</f>
        <v/>
      </c>
      <c r="I163" s="54">
        <f>IF($B163=0,NA(),IF($C163="",NA(),IF(C$8="",NA(),IF(N(C$8)=0,NA(),IF(Inputs!$C$17="Rebased to 100",$C163/C$8*100,$C163)))))</f>
        <v/>
      </c>
      <c r="J163" s="54">
        <f>IF($B163=0,NA(),IF($D163="",NA(),IF(D$8="",NA(),IF(N(D$8)=0,NA(),IF(Inputs!$C$17="Rebased to 100",$D163/D$8*100,$D163)))))</f>
        <v/>
      </c>
      <c r="K163" s="54">
        <f>IF($B163=0,NA(),IF($E163="",NA(),IF(E$8="",NA(),IF(N(E$8)=0,NA(),IF(Inputs!$C$17="Rebased to 100",$E163/E$8*100,$E163)))))</f>
        <v/>
      </c>
      <c r="L163" s="54">
        <f>IF($B163=0,NA(),IF($F163="",NA(),IF(F$8="",NA(),IF(N(F$8)=0,NA(),IF(Inputs!$C$17="Rebased to 100",$F163/F$8*100,$F163)))))</f>
        <v/>
      </c>
      <c r="M163" s="54">
        <f>IF($B163=0,NA(),IF($G163="",NA(),IF(G$8="",NA(),IF(N(G$8)=0,NA(),IF(Inputs!$C$17="Rebased to 100",$G163/G$8*100,$G163)))))</f>
        <v/>
      </c>
      <c r="N163" s="54">
        <f>IF($B163=0,NA(),IF(Inputs!$C$18&lt;&gt;"Yes",NA(),IF(COUNT(I163,J163,K163,L163,M163)=0,NA(),MIN(I163,J163,K163,L163,M163))))</f>
        <v/>
      </c>
      <c r="O163" s="54">
        <f>IF($B163=0,NA(),IF(Inputs!$B$24&lt;&gt;"Yes",NA(),Inputs!$D$24*Inputs!$C$35))</f>
        <v/>
      </c>
      <c r="P163" s="54">
        <f>IF($B163=0,NA(),IF(Inputs!$B$25&lt;&gt;"Yes",NA(),Inputs!$D$25*Inputs!$C$35))</f>
        <v/>
      </c>
      <c r="Q163" s="54">
        <f>IF($B163=0,NA(),IF(Inputs!$B$26&lt;&gt;"Yes",NA(),Inputs!$D$26*Inputs!$C$35))</f>
        <v/>
      </c>
      <c r="R163" s="54">
        <f>IF($B163=0,NA(),IF(Inputs!$B$27&lt;&gt;"Yes",NA(),Inputs!$D$27*Inputs!$C$35))</f>
        <v/>
      </c>
      <c r="S163" s="54">
        <f>IF($B163=0,NA(),IF(Inputs!$B$28&lt;&gt;"Yes",NA(),Inputs!$D$28*Inputs!$C$35))</f>
        <v/>
      </c>
      <c r="T163" s="54">
        <f>IF($B163=0,NA(),IF(Inputs!$B$29&lt;&gt;"Yes",NA(),Inputs!$D$29*Inputs!$C$35))</f>
        <v/>
      </c>
      <c r="AD163">
        <f>IF($B163=0,0,IF(Inputs!$B$6="",0,COUNTIFS(Data!$A$10:$A$3209,"&gt;="&amp;$A163,Data!$A$10:$A$3209,"&lt;"&amp;$A163+1)))</f>
        <v/>
      </c>
      <c r="AE163">
        <f>IF($B163=0,0,IF(Inputs!$B$7="",0,COUNTIFS(Data!$E$10:$E$3209,"&gt;="&amp;$A163,Data!$E$10:$E$3209,"&lt;"&amp;$A163+1)))</f>
        <v/>
      </c>
      <c r="AF163">
        <f>IF($B163=0,0,IF(Inputs!$B$8="",0,COUNTIFS(Data!$I$10:$I$3209,"&gt;="&amp;$A163,Data!$I$10:$I$3209,"&lt;"&amp;$A163+1)))</f>
        <v/>
      </c>
      <c r="AG163">
        <f>IF($B163=0,0,IF(Inputs!$B$9="",0,COUNTIFS(Data!$M$10:$M$3209,"&gt;="&amp;$A163,Data!$M$10:$M$3209,"&lt;"&amp;$A163+1)))</f>
        <v/>
      </c>
      <c r="AH163">
        <f>IF($B163=0,0,IF(Inputs!$B$10="",0,COUNTIFS(Data!$Q$10:$Q$3209,"&gt;="&amp;$A163,Data!$Q$10:$Q$3209,"&lt;"&amp;$A163+1)))</f>
        <v/>
      </c>
    </row>
    <row r="164">
      <c r="A164" s="55">
        <f>MIN(Inputs!$C$15,$A163+IF(WEEKDAY($A163,2)=5,3,1))</f>
        <v/>
      </c>
      <c r="B164">
        <f>IF($A164&gt;$A163,1,0)</f>
        <v/>
      </c>
      <c r="C164" s="56">
        <f>IF($B164=0,"",IF(Inputs!$B$6="","",IF($AD164=0,C163,SUMIFS(Data!$B$10:$B$3209,Data!$A$10:$A$3209,"&gt;="&amp;$A164,Data!$A$10:$A$3209,"&lt;"&amp;$A164+1)/$AD164)))</f>
        <v/>
      </c>
      <c r="D164" s="56">
        <f>IF($B164=0,"",IF(Inputs!$B$7="","",IF($AE164=0,D163,SUMIFS(Data!$F$10:$F$3209,Data!$E$10:$E$3209,"&gt;="&amp;$A164,Data!$E$10:$E$3209,"&lt;"&amp;$A164+1)/$AE164)))</f>
        <v/>
      </c>
      <c r="E164" s="56">
        <f>IF($B164=0,"",IF(Inputs!$B$8="","",IF($AF164=0,E163,SUMIFS(Data!$J$10:$J$3209,Data!$I$10:$I$3209,"&gt;="&amp;$A164,Data!$I$10:$I$3209,"&lt;"&amp;$A164+1)/$AF164)))</f>
        <v/>
      </c>
      <c r="F164" s="56">
        <f>IF($B164=0,"",IF(Inputs!$B$9="","",IF($AG164=0,F163,SUMIFS(Data!$N$10:$N$3209,Data!$M$10:$M$3209,"&gt;="&amp;$A164,Data!$M$10:$M$3209,"&lt;"&amp;$A164+1)/$AG164)))</f>
        <v/>
      </c>
      <c r="G164" s="56">
        <f>IF($B164=0,"",IF(Inputs!$B$10="","",IF($AH164=0,G163,SUMIFS(Data!$R$10:$R$3209,Data!$Q$10:$Q$3209,"&gt;="&amp;$A164,Data!$Q$10:$Q$3209,"&lt;"&amp;$A164+1)/$AH164)))</f>
        <v/>
      </c>
      <c r="I164" s="54">
        <f>IF($B164=0,NA(),IF($C164="",NA(),IF(C$8="",NA(),IF(N(C$8)=0,NA(),IF(Inputs!$C$17="Rebased to 100",$C164/C$8*100,$C164)))))</f>
        <v/>
      </c>
      <c r="J164" s="54">
        <f>IF($B164=0,NA(),IF($D164="",NA(),IF(D$8="",NA(),IF(N(D$8)=0,NA(),IF(Inputs!$C$17="Rebased to 100",$D164/D$8*100,$D164)))))</f>
        <v/>
      </c>
      <c r="K164" s="54">
        <f>IF($B164=0,NA(),IF($E164="",NA(),IF(E$8="",NA(),IF(N(E$8)=0,NA(),IF(Inputs!$C$17="Rebased to 100",$E164/E$8*100,$E164)))))</f>
        <v/>
      </c>
      <c r="L164" s="54">
        <f>IF($B164=0,NA(),IF($F164="",NA(),IF(F$8="",NA(),IF(N(F$8)=0,NA(),IF(Inputs!$C$17="Rebased to 100",$F164/F$8*100,$F164)))))</f>
        <v/>
      </c>
      <c r="M164" s="54">
        <f>IF($B164=0,NA(),IF($G164="",NA(),IF(G$8="",NA(),IF(N(G$8)=0,NA(),IF(Inputs!$C$17="Rebased to 100",$G164/G$8*100,$G164)))))</f>
        <v/>
      </c>
      <c r="N164" s="54">
        <f>IF($B164=0,NA(),IF(Inputs!$C$18&lt;&gt;"Yes",NA(),IF(COUNT(I164,J164,K164,L164,M164)=0,NA(),MIN(I164,J164,K164,L164,M164))))</f>
        <v/>
      </c>
      <c r="O164" s="54">
        <f>IF($B164=0,NA(),IF(Inputs!$B$24&lt;&gt;"Yes",NA(),Inputs!$D$24*Inputs!$C$35))</f>
        <v/>
      </c>
      <c r="P164" s="54">
        <f>IF($B164=0,NA(),IF(Inputs!$B$25&lt;&gt;"Yes",NA(),Inputs!$D$25*Inputs!$C$35))</f>
        <v/>
      </c>
      <c r="Q164" s="54">
        <f>IF($B164=0,NA(),IF(Inputs!$B$26&lt;&gt;"Yes",NA(),Inputs!$D$26*Inputs!$C$35))</f>
        <v/>
      </c>
      <c r="R164" s="54">
        <f>IF($B164=0,NA(),IF(Inputs!$B$27&lt;&gt;"Yes",NA(),Inputs!$D$27*Inputs!$C$35))</f>
        <v/>
      </c>
      <c r="S164" s="54">
        <f>IF($B164=0,NA(),IF(Inputs!$B$28&lt;&gt;"Yes",NA(),Inputs!$D$28*Inputs!$C$35))</f>
        <v/>
      </c>
      <c r="T164" s="54">
        <f>IF($B164=0,NA(),IF(Inputs!$B$29&lt;&gt;"Yes",NA(),Inputs!$D$29*Inputs!$C$35))</f>
        <v/>
      </c>
      <c r="AD164">
        <f>IF($B164=0,0,IF(Inputs!$B$6="",0,COUNTIFS(Data!$A$10:$A$3209,"&gt;="&amp;$A164,Data!$A$10:$A$3209,"&lt;"&amp;$A164+1)))</f>
        <v/>
      </c>
      <c r="AE164">
        <f>IF($B164=0,0,IF(Inputs!$B$7="",0,COUNTIFS(Data!$E$10:$E$3209,"&gt;="&amp;$A164,Data!$E$10:$E$3209,"&lt;"&amp;$A164+1)))</f>
        <v/>
      </c>
      <c r="AF164">
        <f>IF($B164=0,0,IF(Inputs!$B$8="",0,COUNTIFS(Data!$I$10:$I$3209,"&gt;="&amp;$A164,Data!$I$10:$I$3209,"&lt;"&amp;$A164+1)))</f>
        <v/>
      </c>
      <c r="AG164">
        <f>IF($B164=0,0,IF(Inputs!$B$9="",0,COUNTIFS(Data!$M$10:$M$3209,"&gt;="&amp;$A164,Data!$M$10:$M$3209,"&lt;"&amp;$A164+1)))</f>
        <v/>
      </c>
      <c r="AH164">
        <f>IF($B164=0,0,IF(Inputs!$B$10="",0,COUNTIFS(Data!$Q$10:$Q$3209,"&gt;="&amp;$A164,Data!$Q$10:$Q$3209,"&lt;"&amp;$A164+1)))</f>
        <v/>
      </c>
    </row>
    <row r="165">
      <c r="A165" s="55">
        <f>MIN(Inputs!$C$15,$A164+IF(WEEKDAY($A164,2)=5,3,1))</f>
        <v/>
      </c>
      <c r="B165">
        <f>IF($A165&gt;$A164,1,0)</f>
        <v/>
      </c>
      <c r="C165" s="56">
        <f>IF($B165=0,"",IF(Inputs!$B$6="","",IF($AD165=0,C164,SUMIFS(Data!$B$10:$B$3209,Data!$A$10:$A$3209,"&gt;="&amp;$A165,Data!$A$10:$A$3209,"&lt;"&amp;$A165+1)/$AD165)))</f>
        <v/>
      </c>
      <c r="D165" s="56">
        <f>IF($B165=0,"",IF(Inputs!$B$7="","",IF($AE165=0,D164,SUMIFS(Data!$F$10:$F$3209,Data!$E$10:$E$3209,"&gt;="&amp;$A165,Data!$E$10:$E$3209,"&lt;"&amp;$A165+1)/$AE165)))</f>
        <v/>
      </c>
      <c r="E165" s="56">
        <f>IF($B165=0,"",IF(Inputs!$B$8="","",IF($AF165=0,E164,SUMIFS(Data!$J$10:$J$3209,Data!$I$10:$I$3209,"&gt;="&amp;$A165,Data!$I$10:$I$3209,"&lt;"&amp;$A165+1)/$AF165)))</f>
        <v/>
      </c>
      <c r="F165" s="56">
        <f>IF($B165=0,"",IF(Inputs!$B$9="","",IF($AG165=0,F164,SUMIFS(Data!$N$10:$N$3209,Data!$M$10:$M$3209,"&gt;="&amp;$A165,Data!$M$10:$M$3209,"&lt;"&amp;$A165+1)/$AG165)))</f>
        <v/>
      </c>
      <c r="G165" s="56">
        <f>IF($B165=0,"",IF(Inputs!$B$10="","",IF($AH165=0,G164,SUMIFS(Data!$R$10:$R$3209,Data!$Q$10:$Q$3209,"&gt;="&amp;$A165,Data!$Q$10:$Q$3209,"&lt;"&amp;$A165+1)/$AH165)))</f>
        <v/>
      </c>
      <c r="I165" s="54">
        <f>IF($B165=0,NA(),IF($C165="",NA(),IF(C$8="",NA(),IF(N(C$8)=0,NA(),IF(Inputs!$C$17="Rebased to 100",$C165/C$8*100,$C165)))))</f>
        <v/>
      </c>
      <c r="J165" s="54">
        <f>IF($B165=0,NA(),IF($D165="",NA(),IF(D$8="",NA(),IF(N(D$8)=0,NA(),IF(Inputs!$C$17="Rebased to 100",$D165/D$8*100,$D165)))))</f>
        <v/>
      </c>
      <c r="K165" s="54">
        <f>IF($B165=0,NA(),IF($E165="",NA(),IF(E$8="",NA(),IF(N(E$8)=0,NA(),IF(Inputs!$C$17="Rebased to 100",$E165/E$8*100,$E165)))))</f>
        <v/>
      </c>
      <c r="L165" s="54">
        <f>IF($B165=0,NA(),IF($F165="",NA(),IF(F$8="",NA(),IF(N(F$8)=0,NA(),IF(Inputs!$C$17="Rebased to 100",$F165/F$8*100,$F165)))))</f>
        <v/>
      </c>
      <c r="M165" s="54">
        <f>IF($B165=0,NA(),IF($G165="",NA(),IF(G$8="",NA(),IF(N(G$8)=0,NA(),IF(Inputs!$C$17="Rebased to 100",$G165/G$8*100,$G165)))))</f>
        <v/>
      </c>
      <c r="N165" s="54">
        <f>IF($B165=0,NA(),IF(Inputs!$C$18&lt;&gt;"Yes",NA(),IF(COUNT(I165,J165,K165,L165,M165)=0,NA(),MIN(I165,J165,K165,L165,M165))))</f>
        <v/>
      </c>
      <c r="O165" s="54">
        <f>IF($B165=0,NA(),IF(Inputs!$B$24&lt;&gt;"Yes",NA(),Inputs!$D$24*Inputs!$C$35))</f>
        <v/>
      </c>
      <c r="P165" s="54">
        <f>IF($B165=0,NA(),IF(Inputs!$B$25&lt;&gt;"Yes",NA(),Inputs!$D$25*Inputs!$C$35))</f>
        <v/>
      </c>
      <c r="Q165" s="54">
        <f>IF($B165=0,NA(),IF(Inputs!$B$26&lt;&gt;"Yes",NA(),Inputs!$D$26*Inputs!$C$35))</f>
        <v/>
      </c>
      <c r="R165" s="54">
        <f>IF($B165=0,NA(),IF(Inputs!$B$27&lt;&gt;"Yes",NA(),Inputs!$D$27*Inputs!$C$35))</f>
        <v/>
      </c>
      <c r="S165" s="54">
        <f>IF($B165=0,NA(),IF(Inputs!$B$28&lt;&gt;"Yes",NA(),Inputs!$D$28*Inputs!$C$35))</f>
        <v/>
      </c>
      <c r="T165" s="54">
        <f>IF($B165=0,NA(),IF(Inputs!$B$29&lt;&gt;"Yes",NA(),Inputs!$D$29*Inputs!$C$35))</f>
        <v/>
      </c>
      <c r="AD165">
        <f>IF($B165=0,0,IF(Inputs!$B$6="",0,COUNTIFS(Data!$A$10:$A$3209,"&gt;="&amp;$A165,Data!$A$10:$A$3209,"&lt;"&amp;$A165+1)))</f>
        <v/>
      </c>
      <c r="AE165">
        <f>IF($B165=0,0,IF(Inputs!$B$7="",0,COUNTIFS(Data!$E$10:$E$3209,"&gt;="&amp;$A165,Data!$E$10:$E$3209,"&lt;"&amp;$A165+1)))</f>
        <v/>
      </c>
      <c r="AF165">
        <f>IF($B165=0,0,IF(Inputs!$B$8="",0,COUNTIFS(Data!$I$10:$I$3209,"&gt;="&amp;$A165,Data!$I$10:$I$3209,"&lt;"&amp;$A165+1)))</f>
        <v/>
      </c>
      <c r="AG165">
        <f>IF($B165=0,0,IF(Inputs!$B$9="",0,COUNTIFS(Data!$M$10:$M$3209,"&gt;="&amp;$A165,Data!$M$10:$M$3209,"&lt;"&amp;$A165+1)))</f>
        <v/>
      </c>
      <c r="AH165">
        <f>IF($B165=0,0,IF(Inputs!$B$10="",0,COUNTIFS(Data!$Q$10:$Q$3209,"&gt;="&amp;$A165,Data!$Q$10:$Q$3209,"&lt;"&amp;$A165+1)))</f>
        <v/>
      </c>
    </row>
    <row r="166">
      <c r="A166" s="55">
        <f>MIN(Inputs!$C$15,$A165+IF(WEEKDAY($A165,2)=5,3,1))</f>
        <v/>
      </c>
      <c r="B166">
        <f>IF($A166&gt;$A165,1,0)</f>
        <v/>
      </c>
      <c r="C166" s="56">
        <f>IF($B166=0,"",IF(Inputs!$B$6="","",IF($AD166=0,C165,SUMIFS(Data!$B$10:$B$3209,Data!$A$10:$A$3209,"&gt;="&amp;$A166,Data!$A$10:$A$3209,"&lt;"&amp;$A166+1)/$AD166)))</f>
        <v/>
      </c>
      <c r="D166" s="56">
        <f>IF($B166=0,"",IF(Inputs!$B$7="","",IF($AE166=0,D165,SUMIFS(Data!$F$10:$F$3209,Data!$E$10:$E$3209,"&gt;="&amp;$A166,Data!$E$10:$E$3209,"&lt;"&amp;$A166+1)/$AE166)))</f>
        <v/>
      </c>
      <c r="E166" s="56">
        <f>IF($B166=0,"",IF(Inputs!$B$8="","",IF($AF166=0,E165,SUMIFS(Data!$J$10:$J$3209,Data!$I$10:$I$3209,"&gt;="&amp;$A166,Data!$I$10:$I$3209,"&lt;"&amp;$A166+1)/$AF166)))</f>
        <v/>
      </c>
      <c r="F166" s="56">
        <f>IF($B166=0,"",IF(Inputs!$B$9="","",IF($AG166=0,F165,SUMIFS(Data!$N$10:$N$3209,Data!$M$10:$M$3209,"&gt;="&amp;$A166,Data!$M$10:$M$3209,"&lt;"&amp;$A166+1)/$AG166)))</f>
        <v/>
      </c>
      <c r="G166" s="56">
        <f>IF($B166=0,"",IF(Inputs!$B$10="","",IF($AH166=0,G165,SUMIFS(Data!$R$10:$R$3209,Data!$Q$10:$Q$3209,"&gt;="&amp;$A166,Data!$Q$10:$Q$3209,"&lt;"&amp;$A166+1)/$AH166)))</f>
        <v/>
      </c>
      <c r="I166" s="54">
        <f>IF($B166=0,NA(),IF($C166="",NA(),IF(C$8="",NA(),IF(N(C$8)=0,NA(),IF(Inputs!$C$17="Rebased to 100",$C166/C$8*100,$C166)))))</f>
        <v/>
      </c>
      <c r="J166" s="54">
        <f>IF($B166=0,NA(),IF($D166="",NA(),IF(D$8="",NA(),IF(N(D$8)=0,NA(),IF(Inputs!$C$17="Rebased to 100",$D166/D$8*100,$D166)))))</f>
        <v/>
      </c>
      <c r="K166" s="54">
        <f>IF($B166=0,NA(),IF($E166="",NA(),IF(E$8="",NA(),IF(N(E$8)=0,NA(),IF(Inputs!$C$17="Rebased to 100",$E166/E$8*100,$E166)))))</f>
        <v/>
      </c>
      <c r="L166" s="54">
        <f>IF($B166=0,NA(),IF($F166="",NA(),IF(F$8="",NA(),IF(N(F$8)=0,NA(),IF(Inputs!$C$17="Rebased to 100",$F166/F$8*100,$F166)))))</f>
        <v/>
      </c>
      <c r="M166" s="54">
        <f>IF($B166=0,NA(),IF($G166="",NA(),IF(G$8="",NA(),IF(N(G$8)=0,NA(),IF(Inputs!$C$17="Rebased to 100",$G166/G$8*100,$G166)))))</f>
        <v/>
      </c>
      <c r="N166" s="54">
        <f>IF($B166=0,NA(),IF(Inputs!$C$18&lt;&gt;"Yes",NA(),IF(COUNT(I166,J166,K166,L166,M166)=0,NA(),MIN(I166,J166,K166,L166,M166))))</f>
        <v/>
      </c>
      <c r="O166" s="54">
        <f>IF($B166=0,NA(),IF(Inputs!$B$24&lt;&gt;"Yes",NA(),Inputs!$D$24*Inputs!$C$35))</f>
        <v/>
      </c>
      <c r="P166" s="54">
        <f>IF($B166=0,NA(),IF(Inputs!$B$25&lt;&gt;"Yes",NA(),Inputs!$D$25*Inputs!$C$35))</f>
        <v/>
      </c>
      <c r="Q166" s="54">
        <f>IF($B166=0,NA(),IF(Inputs!$B$26&lt;&gt;"Yes",NA(),Inputs!$D$26*Inputs!$C$35))</f>
        <v/>
      </c>
      <c r="R166" s="54">
        <f>IF($B166=0,NA(),IF(Inputs!$B$27&lt;&gt;"Yes",NA(),Inputs!$D$27*Inputs!$C$35))</f>
        <v/>
      </c>
      <c r="S166" s="54">
        <f>IF($B166=0,NA(),IF(Inputs!$B$28&lt;&gt;"Yes",NA(),Inputs!$D$28*Inputs!$C$35))</f>
        <v/>
      </c>
      <c r="T166" s="54">
        <f>IF($B166=0,NA(),IF(Inputs!$B$29&lt;&gt;"Yes",NA(),Inputs!$D$29*Inputs!$C$35))</f>
        <v/>
      </c>
      <c r="AD166">
        <f>IF($B166=0,0,IF(Inputs!$B$6="",0,COUNTIFS(Data!$A$10:$A$3209,"&gt;="&amp;$A166,Data!$A$10:$A$3209,"&lt;"&amp;$A166+1)))</f>
        <v/>
      </c>
      <c r="AE166">
        <f>IF($B166=0,0,IF(Inputs!$B$7="",0,COUNTIFS(Data!$E$10:$E$3209,"&gt;="&amp;$A166,Data!$E$10:$E$3209,"&lt;"&amp;$A166+1)))</f>
        <v/>
      </c>
      <c r="AF166">
        <f>IF($B166=0,0,IF(Inputs!$B$8="",0,COUNTIFS(Data!$I$10:$I$3209,"&gt;="&amp;$A166,Data!$I$10:$I$3209,"&lt;"&amp;$A166+1)))</f>
        <v/>
      </c>
      <c r="AG166">
        <f>IF($B166=0,0,IF(Inputs!$B$9="",0,COUNTIFS(Data!$M$10:$M$3209,"&gt;="&amp;$A166,Data!$M$10:$M$3209,"&lt;"&amp;$A166+1)))</f>
        <v/>
      </c>
      <c r="AH166">
        <f>IF($B166=0,0,IF(Inputs!$B$10="",0,COUNTIFS(Data!$Q$10:$Q$3209,"&gt;="&amp;$A166,Data!$Q$10:$Q$3209,"&lt;"&amp;$A166+1)))</f>
        <v/>
      </c>
    </row>
    <row r="167">
      <c r="A167" s="55">
        <f>MIN(Inputs!$C$15,$A166+IF(WEEKDAY($A166,2)=5,3,1))</f>
        <v/>
      </c>
      <c r="B167">
        <f>IF($A167&gt;$A166,1,0)</f>
        <v/>
      </c>
      <c r="C167" s="56">
        <f>IF($B167=0,"",IF(Inputs!$B$6="","",IF($AD167=0,C166,SUMIFS(Data!$B$10:$B$3209,Data!$A$10:$A$3209,"&gt;="&amp;$A167,Data!$A$10:$A$3209,"&lt;"&amp;$A167+1)/$AD167)))</f>
        <v/>
      </c>
      <c r="D167" s="56">
        <f>IF($B167=0,"",IF(Inputs!$B$7="","",IF($AE167=0,D166,SUMIFS(Data!$F$10:$F$3209,Data!$E$10:$E$3209,"&gt;="&amp;$A167,Data!$E$10:$E$3209,"&lt;"&amp;$A167+1)/$AE167)))</f>
        <v/>
      </c>
      <c r="E167" s="56">
        <f>IF($B167=0,"",IF(Inputs!$B$8="","",IF($AF167=0,E166,SUMIFS(Data!$J$10:$J$3209,Data!$I$10:$I$3209,"&gt;="&amp;$A167,Data!$I$10:$I$3209,"&lt;"&amp;$A167+1)/$AF167)))</f>
        <v/>
      </c>
      <c r="F167" s="56">
        <f>IF($B167=0,"",IF(Inputs!$B$9="","",IF($AG167=0,F166,SUMIFS(Data!$N$10:$N$3209,Data!$M$10:$M$3209,"&gt;="&amp;$A167,Data!$M$10:$M$3209,"&lt;"&amp;$A167+1)/$AG167)))</f>
        <v/>
      </c>
      <c r="G167" s="56">
        <f>IF($B167=0,"",IF(Inputs!$B$10="","",IF($AH167=0,G166,SUMIFS(Data!$R$10:$R$3209,Data!$Q$10:$Q$3209,"&gt;="&amp;$A167,Data!$Q$10:$Q$3209,"&lt;"&amp;$A167+1)/$AH167)))</f>
        <v/>
      </c>
      <c r="I167" s="54">
        <f>IF($B167=0,NA(),IF($C167="",NA(),IF(C$8="",NA(),IF(N(C$8)=0,NA(),IF(Inputs!$C$17="Rebased to 100",$C167/C$8*100,$C167)))))</f>
        <v/>
      </c>
      <c r="J167" s="54">
        <f>IF($B167=0,NA(),IF($D167="",NA(),IF(D$8="",NA(),IF(N(D$8)=0,NA(),IF(Inputs!$C$17="Rebased to 100",$D167/D$8*100,$D167)))))</f>
        <v/>
      </c>
      <c r="K167" s="54">
        <f>IF($B167=0,NA(),IF($E167="",NA(),IF(E$8="",NA(),IF(N(E$8)=0,NA(),IF(Inputs!$C$17="Rebased to 100",$E167/E$8*100,$E167)))))</f>
        <v/>
      </c>
      <c r="L167" s="54">
        <f>IF($B167=0,NA(),IF($F167="",NA(),IF(F$8="",NA(),IF(N(F$8)=0,NA(),IF(Inputs!$C$17="Rebased to 100",$F167/F$8*100,$F167)))))</f>
        <v/>
      </c>
      <c r="M167" s="54">
        <f>IF($B167=0,NA(),IF($G167="",NA(),IF(G$8="",NA(),IF(N(G$8)=0,NA(),IF(Inputs!$C$17="Rebased to 100",$G167/G$8*100,$G167)))))</f>
        <v/>
      </c>
      <c r="N167" s="54">
        <f>IF($B167=0,NA(),IF(Inputs!$C$18&lt;&gt;"Yes",NA(),IF(COUNT(I167,J167,K167,L167,M167)=0,NA(),MIN(I167,J167,K167,L167,M167))))</f>
        <v/>
      </c>
      <c r="O167" s="54">
        <f>IF($B167=0,NA(),IF(Inputs!$B$24&lt;&gt;"Yes",NA(),Inputs!$D$24*Inputs!$C$35))</f>
        <v/>
      </c>
      <c r="P167" s="54">
        <f>IF($B167=0,NA(),IF(Inputs!$B$25&lt;&gt;"Yes",NA(),Inputs!$D$25*Inputs!$C$35))</f>
        <v/>
      </c>
      <c r="Q167" s="54">
        <f>IF($B167=0,NA(),IF(Inputs!$B$26&lt;&gt;"Yes",NA(),Inputs!$D$26*Inputs!$C$35))</f>
        <v/>
      </c>
      <c r="R167" s="54">
        <f>IF($B167=0,NA(),IF(Inputs!$B$27&lt;&gt;"Yes",NA(),Inputs!$D$27*Inputs!$C$35))</f>
        <v/>
      </c>
      <c r="S167" s="54">
        <f>IF($B167=0,NA(),IF(Inputs!$B$28&lt;&gt;"Yes",NA(),Inputs!$D$28*Inputs!$C$35))</f>
        <v/>
      </c>
      <c r="T167" s="54">
        <f>IF($B167=0,NA(),IF(Inputs!$B$29&lt;&gt;"Yes",NA(),Inputs!$D$29*Inputs!$C$35))</f>
        <v/>
      </c>
      <c r="AD167">
        <f>IF($B167=0,0,IF(Inputs!$B$6="",0,COUNTIFS(Data!$A$10:$A$3209,"&gt;="&amp;$A167,Data!$A$10:$A$3209,"&lt;"&amp;$A167+1)))</f>
        <v/>
      </c>
      <c r="AE167">
        <f>IF($B167=0,0,IF(Inputs!$B$7="",0,COUNTIFS(Data!$E$10:$E$3209,"&gt;="&amp;$A167,Data!$E$10:$E$3209,"&lt;"&amp;$A167+1)))</f>
        <v/>
      </c>
      <c r="AF167">
        <f>IF($B167=0,0,IF(Inputs!$B$8="",0,COUNTIFS(Data!$I$10:$I$3209,"&gt;="&amp;$A167,Data!$I$10:$I$3209,"&lt;"&amp;$A167+1)))</f>
        <v/>
      </c>
      <c r="AG167">
        <f>IF($B167=0,0,IF(Inputs!$B$9="",0,COUNTIFS(Data!$M$10:$M$3209,"&gt;="&amp;$A167,Data!$M$10:$M$3209,"&lt;"&amp;$A167+1)))</f>
        <v/>
      </c>
      <c r="AH167">
        <f>IF($B167=0,0,IF(Inputs!$B$10="",0,COUNTIFS(Data!$Q$10:$Q$3209,"&gt;="&amp;$A167,Data!$Q$10:$Q$3209,"&lt;"&amp;$A167+1)))</f>
        <v/>
      </c>
    </row>
    <row r="168">
      <c r="A168" s="55">
        <f>MIN(Inputs!$C$15,$A167+IF(WEEKDAY($A167,2)=5,3,1))</f>
        <v/>
      </c>
      <c r="B168">
        <f>IF($A168&gt;$A167,1,0)</f>
        <v/>
      </c>
      <c r="C168" s="56">
        <f>IF($B168=0,"",IF(Inputs!$B$6="","",IF($AD168=0,C167,SUMIFS(Data!$B$10:$B$3209,Data!$A$10:$A$3209,"&gt;="&amp;$A168,Data!$A$10:$A$3209,"&lt;"&amp;$A168+1)/$AD168)))</f>
        <v/>
      </c>
      <c r="D168" s="56">
        <f>IF($B168=0,"",IF(Inputs!$B$7="","",IF($AE168=0,D167,SUMIFS(Data!$F$10:$F$3209,Data!$E$10:$E$3209,"&gt;="&amp;$A168,Data!$E$10:$E$3209,"&lt;"&amp;$A168+1)/$AE168)))</f>
        <v/>
      </c>
      <c r="E168" s="56">
        <f>IF($B168=0,"",IF(Inputs!$B$8="","",IF($AF168=0,E167,SUMIFS(Data!$J$10:$J$3209,Data!$I$10:$I$3209,"&gt;="&amp;$A168,Data!$I$10:$I$3209,"&lt;"&amp;$A168+1)/$AF168)))</f>
        <v/>
      </c>
      <c r="F168" s="56">
        <f>IF($B168=0,"",IF(Inputs!$B$9="","",IF($AG168=0,F167,SUMIFS(Data!$N$10:$N$3209,Data!$M$10:$M$3209,"&gt;="&amp;$A168,Data!$M$10:$M$3209,"&lt;"&amp;$A168+1)/$AG168)))</f>
        <v/>
      </c>
      <c r="G168" s="56">
        <f>IF($B168=0,"",IF(Inputs!$B$10="","",IF($AH168=0,G167,SUMIFS(Data!$R$10:$R$3209,Data!$Q$10:$Q$3209,"&gt;="&amp;$A168,Data!$Q$10:$Q$3209,"&lt;"&amp;$A168+1)/$AH168)))</f>
        <v/>
      </c>
      <c r="I168" s="54">
        <f>IF($B168=0,NA(),IF($C168="",NA(),IF(C$8="",NA(),IF(N(C$8)=0,NA(),IF(Inputs!$C$17="Rebased to 100",$C168/C$8*100,$C168)))))</f>
        <v/>
      </c>
      <c r="J168" s="54">
        <f>IF($B168=0,NA(),IF($D168="",NA(),IF(D$8="",NA(),IF(N(D$8)=0,NA(),IF(Inputs!$C$17="Rebased to 100",$D168/D$8*100,$D168)))))</f>
        <v/>
      </c>
      <c r="K168" s="54">
        <f>IF($B168=0,NA(),IF($E168="",NA(),IF(E$8="",NA(),IF(N(E$8)=0,NA(),IF(Inputs!$C$17="Rebased to 100",$E168/E$8*100,$E168)))))</f>
        <v/>
      </c>
      <c r="L168" s="54">
        <f>IF($B168=0,NA(),IF($F168="",NA(),IF(F$8="",NA(),IF(N(F$8)=0,NA(),IF(Inputs!$C$17="Rebased to 100",$F168/F$8*100,$F168)))))</f>
        <v/>
      </c>
      <c r="M168" s="54">
        <f>IF($B168=0,NA(),IF($G168="",NA(),IF(G$8="",NA(),IF(N(G$8)=0,NA(),IF(Inputs!$C$17="Rebased to 100",$G168/G$8*100,$G168)))))</f>
        <v/>
      </c>
      <c r="N168" s="54">
        <f>IF($B168=0,NA(),IF(Inputs!$C$18&lt;&gt;"Yes",NA(),IF(COUNT(I168,J168,K168,L168,M168)=0,NA(),MIN(I168,J168,K168,L168,M168))))</f>
        <v/>
      </c>
      <c r="O168" s="54">
        <f>IF($B168=0,NA(),IF(Inputs!$B$24&lt;&gt;"Yes",NA(),Inputs!$D$24*Inputs!$C$35))</f>
        <v/>
      </c>
      <c r="P168" s="54">
        <f>IF($B168=0,NA(),IF(Inputs!$B$25&lt;&gt;"Yes",NA(),Inputs!$D$25*Inputs!$C$35))</f>
        <v/>
      </c>
      <c r="Q168" s="54">
        <f>IF($B168=0,NA(),IF(Inputs!$B$26&lt;&gt;"Yes",NA(),Inputs!$D$26*Inputs!$C$35))</f>
        <v/>
      </c>
      <c r="R168" s="54">
        <f>IF($B168=0,NA(),IF(Inputs!$B$27&lt;&gt;"Yes",NA(),Inputs!$D$27*Inputs!$C$35))</f>
        <v/>
      </c>
      <c r="S168" s="54">
        <f>IF($B168=0,NA(),IF(Inputs!$B$28&lt;&gt;"Yes",NA(),Inputs!$D$28*Inputs!$C$35))</f>
        <v/>
      </c>
      <c r="T168" s="54">
        <f>IF($B168=0,NA(),IF(Inputs!$B$29&lt;&gt;"Yes",NA(),Inputs!$D$29*Inputs!$C$35))</f>
        <v/>
      </c>
      <c r="AD168">
        <f>IF($B168=0,0,IF(Inputs!$B$6="",0,COUNTIFS(Data!$A$10:$A$3209,"&gt;="&amp;$A168,Data!$A$10:$A$3209,"&lt;"&amp;$A168+1)))</f>
        <v/>
      </c>
      <c r="AE168">
        <f>IF($B168=0,0,IF(Inputs!$B$7="",0,COUNTIFS(Data!$E$10:$E$3209,"&gt;="&amp;$A168,Data!$E$10:$E$3209,"&lt;"&amp;$A168+1)))</f>
        <v/>
      </c>
      <c r="AF168">
        <f>IF($B168=0,0,IF(Inputs!$B$8="",0,COUNTIFS(Data!$I$10:$I$3209,"&gt;="&amp;$A168,Data!$I$10:$I$3209,"&lt;"&amp;$A168+1)))</f>
        <v/>
      </c>
      <c r="AG168">
        <f>IF($B168=0,0,IF(Inputs!$B$9="",0,COUNTIFS(Data!$M$10:$M$3209,"&gt;="&amp;$A168,Data!$M$10:$M$3209,"&lt;"&amp;$A168+1)))</f>
        <v/>
      </c>
      <c r="AH168">
        <f>IF($B168=0,0,IF(Inputs!$B$10="",0,COUNTIFS(Data!$Q$10:$Q$3209,"&gt;="&amp;$A168,Data!$Q$10:$Q$3209,"&lt;"&amp;$A168+1)))</f>
        <v/>
      </c>
    </row>
    <row r="169">
      <c r="A169" s="55">
        <f>MIN(Inputs!$C$15,$A168+IF(WEEKDAY($A168,2)=5,3,1))</f>
        <v/>
      </c>
      <c r="B169">
        <f>IF($A169&gt;$A168,1,0)</f>
        <v/>
      </c>
      <c r="C169" s="56">
        <f>IF($B169=0,"",IF(Inputs!$B$6="","",IF($AD169=0,C168,SUMIFS(Data!$B$10:$B$3209,Data!$A$10:$A$3209,"&gt;="&amp;$A169,Data!$A$10:$A$3209,"&lt;"&amp;$A169+1)/$AD169)))</f>
        <v/>
      </c>
      <c r="D169" s="56">
        <f>IF($B169=0,"",IF(Inputs!$B$7="","",IF($AE169=0,D168,SUMIFS(Data!$F$10:$F$3209,Data!$E$10:$E$3209,"&gt;="&amp;$A169,Data!$E$10:$E$3209,"&lt;"&amp;$A169+1)/$AE169)))</f>
        <v/>
      </c>
      <c r="E169" s="56">
        <f>IF($B169=0,"",IF(Inputs!$B$8="","",IF($AF169=0,E168,SUMIFS(Data!$J$10:$J$3209,Data!$I$10:$I$3209,"&gt;="&amp;$A169,Data!$I$10:$I$3209,"&lt;"&amp;$A169+1)/$AF169)))</f>
        <v/>
      </c>
      <c r="F169" s="56">
        <f>IF($B169=0,"",IF(Inputs!$B$9="","",IF($AG169=0,F168,SUMIFS(Data!$N$10:$N$3209,Data!$M$10:$M$3209,"&gt;="&amp;$A169,Data!$M$10:$M$3209,"&lt;"&amp;$A169+1)/$AG169)))</f>
        <v/>
      </c>
      <c r="G169" s="56">
        <f>IF($B169=0,"",IF(Inputs!$B$10="","",IF($AH169=0,G168,SUMIFS(Data!$R$10:$R$3209,Data!$Q$10:$Q$3209,"&gt;="&amp;$A169,Data!$Q$10:$Q$3209,"&lt;"&amp;$A169+1)/$AH169)))</f>
        <v/>
      </c>
      <c r="I169" s="54">
        <f>IF($B169=0,NA(),IF($C169="",NA(),IF(C$8="",NA(),IF(N(C$8)=0,NA(),IF(Inputs!$C$17="Rebased to 100",$C169/C$8*100,$C169)))))</f>
        <v/>
      </c>
      <c r="J169" s="54">
        <f>IF($B169=0,NA(),IF($D169="",NA(),IF(D$8="",NA(),IF(N(D$8)=0,NA(),IF(Inputs!$C$17="Rebased to 100",$D169/D$8*100,$D169)))))</f>
        <v/>
      </c>
      <c r="K169" s="54">
        <f>IF($B169=0,NA(),IF($E169="",NA(),IF(E$8="",NA(),IF(N(E$8)=0,NA(),IF(Inputs!$C$17="Rebased to 100",$E169/E$8*100,$E169)))))</f>
        <v/>
      </c>
      <c r="L169" s="54">
        <f>IF($B169=0,NA(),IF($F169="",NA(),IF(F$8="",NA(),IF(N(F$8)=0,NA(),IF(Inputs!$C$17="Rebased to 100",$F169/F$8*100,$F169)))))</f>
        <v/>
      </c>
      <c r="M169" s="54">
        <f>IF($B169=0,NA(),IF($G169="",NA(),IF(G$8="",NA(),IF(N(G$8)=0,NA(),IF(Inputs!$C$17="Rebased to 100",$G169/G$8*100,$G169)))))</f>
        <v/>
      </c>
      <c r="N169" s="54">
        <f>IF($B169=0,NA(),IF(Inputs!$C$18&lt;&gt;"Yes",NA(),IF(COUNT(I169,J169,K169,L169,M169)=0,NA(),MIN(I169,J169,K169,L169,M169))))</f>
        <v/>
      </c>
      <c r="O169" s="54">
        <f>IF($B169=0,NA(),IF(Inputs!$B$24&lt;&gt;"Yes",NA(),Inputs!$D$24*Inputs!$C$35))</f>
        <v/>
      </c>
      <c r="P169" s="54">
        <f>IF($B169=0,NA(),IF(Inputs!$B$25&lt;&gt;"Yes",NA(),Inputs!$D$25*Inputs!$C$35))</f>
        <v/>
      </c>
      <c r="Q169" s="54">
        <f>IF($B169=0,NA(),IF(Inputs!$B$26&lt;&gt;"Yes",NA(),Inputs!$D$26*Inputs!$C$35))</f>
        <v/>
      </c>
      <c r="R169" s="54">
        <f>IF($B169=0,NA(),IF(Inputs!$B$27&lt;&gt;"Yes",NA(),Inputs!$D$27*Inputs!$C$35))</f>
        <v/>
      </c>
      <c r="S169" s="54">
        <f>IF($B169=0,NA(),IF(Inputs!$B$28&lt;&gt;"Yes",NA(),Inputs!$D$28*Inputs!$C$35))</f>
        <v/>
      </c>
      <c r="T169" s="54">
        <f>IF($B169=0,NA(),IF(Inputs!$B$29&lt;&gt;"Yes",NA(),Inputs!$D$29*Inputs!$C$35))</f>
        <v/>
      </c>
      <c r="AD169">
        <f>IF($B169=0,0,IF(Inputs!$B$6="",0,COUNTIFS(Data!$A$10:$A$3209,"&gt;="&amp;$A169,Data!$A$10:$A$3209,"&lt;"&amp;$A169+1)))</f>
        <v/>
      </c>
      <c r="AE169">
        <f>IF($B169=0,0,IF(Inputs!$B$7="",0,COUNTIFS(Data!$E$10:$E$3209,"&gt;="&amp;$A169,Data!$E$10:$E$3209,"&lt;"&amp;$A169+1)))</f>
        <v/>
      </c>
      <c r="AF169">
        <f>IF($B169=0,0,IF(Inputs!$B$8="",0,COUNTIFS(Data!$I$10:$I$3209,"&gt;="&amp;$A169,Data!$I$10:$I$3209,"&lt;"&amp;$A169+1)))</f>
        <v/>
      </c>
      <c r="AG169">
        <f>IF($B169=0,0,IF(Inputs!$B$9="",0,COUNTIFS(Data!$M$10:$M$3209,"&gt;="&amp;$A169,Data!$M$10:$M$3209,"&lt;"&amp;$A169+1)))</f>
        <v/>
      </c>
      <c r="AH169">
        <f>IF($B169=0,0,IF(Inputs!$B$10="",0,COUNTIFS(Data!$Q$10:$Q$3209,"&gt;="&amp;$A169,Data!$Q$10:$Q$3209,"&lt;"&amp;$A169+1)))</f>
        <v/>
      </c>
    </row>
    <row r="170">
      <c r="A170" s="55">
        <f>MIN(Inputs!$C$15,$A169+IF(WEEKDAY($A169,2)=5,3,1))</f>
        <v/>
      </c>
      <c r="B170">
        <f>IF($A170&gt;$A169,1,0)</f>
        <v/>
      </c>
      <c r="C170" s="56">
        <f>IF($B170=0,"",IF(Inputs!$B$6="","",IF($AD170=0,C169,SUMIFS(Data!$B$10:$B$3209,Data!$A$10:$A$3209,"&gt;="&amp;$A170,Data!$A$10:$A$3209,"&lt;"&amp;$A170+1)/$AD170)))</f>
        <v/>
      </c>
      <c r="D170" s="56">
        <f>IF($B170=0,"",IF(Inputs!$B$7="","",IF($AE170=0,D169,SUMIFS(Data!$F$10:$F$3209,Data!$E$10:$E$3209,"&gt;="&amp;$A170,Data!$E$10:$E$3209,"&lt;"&amp;$A170+1)/$AE170)))</f>
        <v/>
      </c>
      <c r="E170" s="56">
        <f>IF($B170=0,"",IF(Inputs!$B$8="","",IF($AF170=0,E169,SUMIFS(Data!$J$10:$J$3209,Data!$I$10:$I$3209,"&gt;="&amp;$A170,Data!$I$10:$I$3209,"&lt;"&amp;$A170+1)/$AF170)))</f>
        <v/>
      </c>
      <c r="F170" s="56">
        <f>IF($B170=0,"",IF(Inputs!$B$9="","",IF($AG170=0,F169,SUMIFS(Data!$N$10:$N$3209,Data!$M$10:$M$3209,"&gt;="&amp;$A170,Data!$M$10:$M$3209,"&lt;"&amp;$A170+1)/$AG170)))</f>
        <v/>
      </c>
      <c r="G170" s="56">
        <f>IF($B170=0,"",IF(Inputs!$B$10="","",IF($AH170=0,G169,SUMIFS(Data!$R$10:$R$3209,Data!$Q$10:$Q$3209,"&gt;="&amp;$A170,Data!$Q$10:$Q$3209,"&lt;"&amp;$A170+1)/$AH170)))</f>
        <v/>
      </c>
      <c r="I170" s="54">
        <f>IF($B170=0,NA(),IF($C170="",NA(),IF(C$8="",NA(),IF(N(C$8)=0,NA(),IF(Inputs!$C$17="Rebased to 100",$C170/C$8*100,$C170)))))</f>
        <v/>
      </c>
      <c r="J170" s="54">
        <f>IF($B170=0,NA(),IF($D170="",NA(),IF(D$8="",NA(),IF(N(D$8)=0,NA(),IF(Inputs!$C$17="Rebased to 100",$D170/D$8*100,$D170)))))</f>
        <v/>
      </c>
      <c r="K170" s="54">
        <f>IF($B170=0,NA(),IF($E170="",NA(),IF(E$8="",NA(),IF(N(E$8)=0,NA(),IF(Inputs!$C$17="Rebased to 100",$E170/E$8*100,$E170)))))</f>
        <v/>
      </c>
      <c r="L170" s="54">
        <f>IF($B170=0,NA(),IF($F170="",NA(),IF(F$8="",NA(),IF(N(F$8)=0,NA(),IF(Inputs!$C$17="Rebased to 100",$F170/F$8*100,$F170)))))</f>
        <v/>
      </c>
      <c r="M170" s="54">
        <f>IF($B170=0,NA(),IF($G170="",NA(),IF(G$8="",NA(),IF(N(G$8)=0,NA(),IF(Inputs!$C$17="Rebased to 100",$G170/G$8*100,$G170)))))</f>
        <v/>
      </c>
      <c r="N170" s="54">
        <f>IF($B170=0,NA(),IF(Inputs!$C$18&lt;&gt;"Yes",NA(),IF(COUNT(I170,J170,K170,L170,M170)=0,NA(),MIN(I170,J170,K170,L170,M170))))</f>
        <v/>
      </c>
      <c r="O170" s="54">
        <f>IF($B170=0,NA(),IF(Inputs!$B$24&lt;&gt;"Yes",NA(),Inputs!$D$24*Inputs!$C$35))</f>
        <v/>
      </c>
      <c r="P170" s="54">
        <f>IF($B170=0,NA(),IF(Inputs!$B$25&lt;&gt;"Yes",NA(),Inputs!$D$25*Inputs!$C$35))</f>
        <v/>
      </c>
      <c r="Q170" s="54">
        <f>IF($B170=0,NA(),IF(Inputs!$B$26&lt;&gt;"Yes",NA(),Inputs!$D$26*Inputs!$C$35))</f>
        <v/>
      </c>
      <c r="R170" s="54">
        <f>IF($B170=0,NA(),IF(Inputs!$B$27&lt;&gt;"Yes",NA(),Inputs!$D$27*Inputs!$C$35))</f>
        <v/>
      </c>
      <c r="S170" s="54">
        <f>IF($B170=0,NA(),IF(Inputs!$B$28&lt;&gt;"Yes",NA(),Inputs!$D$28*Inputs!$C$35))</f>
        <v/>
      </c>
      <c r="T170" s="54">
        <f>IF($B170=0,NA(),IF(Inputs!$B$29&lt;&gt;"Yes",NA(),Inputs!$D$29*Inputs!$C$35))</f>
        <v/>
      </c>
      <c r="AD170">
        <f>IF($B170=0,0,IF(Inputs!$B$6="",0,COUNTIFS(Data!$A$10:$A$3209,"&gt;="&amp;$A170,Data!$A$10:$A$3209,"&lt;"&amp;$A170+1)))</f>
        <v/>
      </c>
      <c r="AE170">
        <f>IF($B170=0,0,IF(Inputs!$B$7="",0,COUNTIFS(Data!$E$10:$E$3209,"&gt;="&amp;$A170,Data!$E$10:$E$3209,"&lt;"&amp;$A170+1)))</f>
        <v/>
      </c>
      <c r="AF170">
        <f>IF($B170=0,0,IF(Inputs!$B$8="",0,COUNTIFS(Data!$I$10:$I$3209,"&gt;="&amp;$A170,Data!$I$10:$I$3209,"&lt;"&amp;$A170+1)))</f>
        <v/>
      </c>
      <c r="AG170">
        <f>IF($B170=0,0,IF(Inputs!$B$9="",0,COUNTIFS(Data!$M$10:$M$3209,"&gt;="&amp;$A170,Data!$M$10:$M$3209,"&lt;"&amp;$A170+1)))</f>
        <v/>
      </c>
      <c r="AH170">
        <f>IF($B170=0,0,IF(Inputs!$B$10="",0,COUNTIFS(Data!$Q$10:$Q$3209,"&gt;="&amp;$A170,Data!$Q$10:$Q$3209,"&lt;"&amp;$A170+1)))</f>
        <v/>
      </c>
    </row>
    <row r="171">
      <c r="A171" s="55">
        <f>MIN(Inputs!$C$15,$A170+IF(WEEKDAY($A170,2)=5,3,1))</f>
        <v/>
      </c>
      <c r="B171">
        <f>IF($A171&gt;$A170,1,0)</f>
        <v/>
      </c>
      <c r="C171" s="56">
        <f>IF($B171=0,"",IF(Inputs!$B$6="","",IF($AD171=0,C170,SUMIFS(Data!$B$10:$B$3209,Data!$A$10:$A$3209,"&gt;="&amp;$A171,Data!$A$10:$A$3209,"&lt;"&amp;$A171+1)/$AD171)))</f>
        <v/>
      </c>
      <c r="D171" s="56">
        <f>IF($B171=0,"",IF(Inputs!$B$7="","",IF($AE171=0,D170,SUMIFS(Data!$F$10:$F$3209,Data!$E$10:$E$3209,"&gt;="&amp;$A171,Data!$E$10:$E$3209,"&lt;"&amp;$A171+1)/$AE171)))</f>
        <v/>
      </c>
      <c r="E171" s="56">
        <f>IF($B171=0,"",IF(Inputs!$B$8="","",IF($AF171=0,E170,SUMIFS(Data!$J$10:$J$3209,Data!$I$10:$I$3209,"&gt;="&amp;$A171,Data!$I$10:$I$3209,"&lt;"&amp;$A171+1)/$AF171)))</f>
        <v/>
      </c>
      <c r="F171" s="56">
        <f>IF($B171=0,"",IF(Inputs!$B$9="","",IF($AG171=0,F170,SUMIFS(Data!$N$10:$N$3209,Data!$M$10:$M$3209,"&gt;="&amp;$A171,Data!$M$10:$M$3209,"&lt;"&amp;$A171+1)/$AG171)))</f>
        <v/>
      </c>
      <c r="G171" s="56">
        <f>IF($B171=0,"",IF(Inputs!$B$10="","",IF($AH171=0,G170,SUMIFS(Data!$R$10:$R$3209,Data!$Q$10:$Q$3209,"&gt;="&amp;$A171,Data!$Q$10:$Q$3209,"&lt;"&amp;$A171+1)/$AH171)))</f>
        <v/>
      </c>
      <c r="I171" s="54">
        <f>IF($B171=0,NA(),IF($C171="",NA(),IF(C$8="",NA(),IF(N(C$8)=0,NA(),IF(Inputs!$C$17="Rebased to 100",$C171/C$8*100,$C171)))))</f>
        <v/>
      </c>
      <c r="J171" s="54">
        <f>IF($B171=0,NA(),IF($D171="",NA(),IF(D$8="",NA(),IF(N(D$8)=0,NA(),IF(Inputs!$C$17="Rebased to 100",$D171/D$8*100,$D171)))))</f>
        <v/>
      </c>
      <c r="K171" s="54">
        <f>IF($B171=0,NA(),IF($E171="",NA(),IF(E$8="",NA(),IF(N(E$8)=0,NA(),IF(Inputs!$C$17="Rebased to 100",$E171/E$8*100,$E171)))))</f>
        <v/>
      </c>
      <c r="L171" s="54">
        <f>IF($B171=0,NA(),IF($F171="",NA(),IF(F$8="",NA(),IF(N(F$8)=0,NA(),IF(Inputs!$C$17="Rebased to 100",$F171/F$8*100,$F171)))))</f>
        <v/>
      </c>
      <c r="M171" s="54">
        <f>IF($B171=0,NA(),IF($G171="",NA(),IF(G$8="",NA(),IF(N(G$8)=0,NA(),IF(Inputs!$C$17="Rebased to 100",$G171/G$8*100,$G171)))))</f>
        <v/>
      </c>
      <c r="N171" s="54">
        <f>IF($B171=0,NA(),IF(Inputs!$C$18&lt;&gt;"Yes",NA(),IF(COUNT(I171,J171,K171,L171,M171)=0,NA(),MIN(I171,J171,K171,L171,M171))))</f>
        <v/>
      </c>
      <c r="O171" s="54">
        <f>IF($B171=0,NA(),IF(Inputs!$B$24&lt;&gt;"Yes",NA(),Inputs!$D$24*Inputs!$C$35))</f>
        <v/>
      </c>
      <c r="P171" s="54">
        <f>IF($B171=0,NA(),IF(Inputs!$B$25&lt;&gt;"Yes",NA(),Inputs!$D$25*Inputs!$C$35))</f>
        <v/>
      </c>
      <c r="Q171" s="54">
        <f>IF($B171=0,NA(),IF(Inputs!$B$26&lt;&gt;"Yes",NA(),Inputs!$D$26*Inputs!$C$35))</f>
        <v/>
      </c>
      <c r="R171" s="54">
        <f>IF($B171=0,NA(),IF(Inputs!$B$27&lt;&gt;"Yes",NA(),Inputs!$D$27*Inputs!$C$35))</f>
        <v/>
      </c>
      <c r="S171" s="54">
        <f>IF($B171=0,NA(),IF(Inputs!$B$28&lt;&gt;"Yes",NA(),Inputs!$D$28*Inputs!$C$35))</f>
        <v/>
      </c>
      <c r="T171" s="54">
        <f>IF($B171=0,NA(),IF(Inputs!$B$29&lt;&gt;"Yes",NA(),Inputs!$D$29*Inputs!$C$35))</f>
        <v/>
      </c>
      <c r="AD171">
        <f>IF($B171=0,0,IF(Inputs!$B$6="",0,COUNTIFS(Data!$A$10:$A$3209,"&gt;="&amp;$A171,Data!$A$10:$A$3209,"&lt;"&amp;$A171+1)))</f>
        <v/>
      </c>
      <c r="AE171">
        <f>IF($B171=0,0,IF(Inputs!$B$7="",0,COUNTIFS(Data!$E$10:$E$3209,"&gt;="&amp;$A171,Data!$E$10:$E$3209,"&lt;"&amp;$A171+1)))</f>
        <v/>
      </c>
      <c r="AF171">
        <f>IF($B171=0,0,IF(Inputs!$B$8="",0,COUNTIFS(Data!$I$10:$I$3209,"&gt;="&amp;$A171,Data!$I$10:$I$3209,"&lt;"&amp;$A171+1)))</f>
        <v/>
      </c>
      <c r="AG171">
        <f>IF($B171=0,0,IF(Inputs!$B$9="",0,COUNTIFS(Data!$M$10:$M$3209,"&gt;="&amp;$A171,Data!$M$10:$M$3209,"&lt;"&amp;$A171+1)))</f>
        <v/>
      </c>
      <c r="AH171">
        <f>IF($B171=0,0,IF(Inputs!$B$10="",0,COUNTIFS(Data!$Q$10:$Q$3209,"&gt;="&amp;$A171,Data!$Q$10:$Q$3209,"&lt;"&amp;$A171+1)))</f>
        <v/>
      </c>
    </row>
    <row r="172">
      <c r="A172" s="55">
        <f>MIN(Inputs!$C$15,$A171+IF(WEEKDAY($A171,2)=5,3,1))</f>
        <v/>
      </c>
      <c r="B172">
        <f>IF($A172&gt;$A171,1,0)</f>
        <v/>
      </c>
      <c r="C172" s="56">
        <f>IF($B172=0,"",IF(Inputs!$B$6="","",IF($AD172=0,C171,SUMIFS(Data!$B$10:$B$3209,Data!$A$10:$A$3209,"&gt;="&amp;$A172,Data!$A$10:$A$3209,"&lt;"&amp;$A172+1)/$AD172)))</f>
        <v/>
      </c>
      <c r="D172" s="56">
        <f>IF($B172=0,"",IF(Inputs!$B$7="","",IF($AE172=0,D171,SUMIFS(Data!$F$10:$F$3209,Data!$E$10:$E$3209,"&gt;="&amp;$A172,Data!$E$10:$E$3209,"&lt;"&amp;$A172+1)/$AE172)))</f>
        <v/>
      </c>
      <c r="E172" s="56">
        <f>IF($B172=0,"",IF(Inputs!$B$8="","",IF($AF172=0,E171,SUMIFS(Data!$J$10:$J$3209,Data!$I$10:$I$3209,"&gt;="&amp;$A172,Data!$I$10:$I$3209,"&lt;"&amp;$A172+1)/$AF172)))</f>
        <v/>
      </c>
      <c r="F172" s="56">
        <f>IF($B172=0,"",IF(Inputs!$B$9="","",IF($AG172=0,F171,SUMIFS(Data!$N$10:$N$3209,Data!$M$10:$M$3209,"&gt;="&amp;$A172,Data!$M$10:$M$3209,"&lt;"&amp;$A172+1)/$AG172)))</f>
        <v/>
      </c>
      <c r="G172" s="56">
        <f>IF($B172=0,"",IF(Inputs!$B$10="","",IF($AH172=0,G171,SUMIFS(Data!$R$10:$R$3209,Data!$Q$10:$Q$3209,"&gt;="&amp;$A172,Data!$Q$10:$Q$3209,"&lt;"&amp;$A172+1)/$AH172)))</f>
        <v/>
      </c>
      <c r="I172" s="54">
        <f>IF($B172=0,NA(),IF($C172="",NA(),IF(C$8="",NA(),IF(N(C$8)=0,NA(),IF(Inputs!$C$17="Rebased to 100",$C172/C$8*100,$C172)))))</f>
        <v/>
      </c>
      <c r="J172" s="54">
        <f>IF($B172=0,NA(),IF($D172="",NA(),IF(D$8="",NA(),IF(N(D$8)=0,NA(),IF(Inputs!$C$17="Rebased to 100",$D172/D$8*100,$D172)))))</f>
        <v/>
      </c>
      <c r="K172" s="54">
        <f>IF($B172=0,NA(),IF($E172="",NA(),IF(E$8="",NA(),IF(N(E$8)=0,NA(),IF(Inputs!$C$17="Rebased to 100",$E172/E$8*100,$E172)))))</f>
        <v/>
      </c>
      <c r="L172" s="54">
        <f>IF($B172=0,NA(),IF($F172="",NA(),IF(F$8="",NA(),IF(N(F$8)=0,NA(),IF(Inputs!$C$17="Rebased to 100",$F172/F$8*100,$F172)))))</f>
        <v/>
      </c>
      <c r="M172" s="54">
        <f>IF($B172=0,NA(),IF($G172="",NA(),IF(G$8="",NA(),IF(N(G$8)=0,NA(),IF(Inputs!$C$17="Rebased to 100",$G172/G$8*100,$G172)))))</f>
        <v/>
      </c>
      <c r="N172" s="54">
        <f>IF($B172=0,NA(),IF(Inputs!$C$18&lt;&gt;"Yes",NA(),IF(COUNT(I172,J172,K172,L172,M172)=0,NA(),MIN(I172,J172,K172,L172,M172))))</f>
        <v/>
      </c>
      <c r="O172" s="54">
        <f>IF($B172=0,NA(),IF(Inputs!$B$24&lt;&gt;"Yes",NA(),Inputs!$D$24*Inputs!$C$35))</f>
        <v/>
      </c>
      <c r="P172" s="54">
        <f>IF($B172=0,NA(),IF(Inputs!$B$25&lt;&gt;"Yes",NA(),Inputs!$D$25*Inputs!$C$35))</f>
        <v/>
      </c>
      <c r="Q172" s="54">
        <f>IF($B172=0,NA(),IF(Inputs!$B$26&lt;&gt;"Yes",NA(),Inputs!$D$26*Inputs!$C$35))</f>
        <v/>
      </c>
      <c r="R172" s="54">
        <f>IF($B172=0,NA(),IF(Inputs!$B$27&lt;&gt;"Yes",NA(),Inputs!$D$27*Inputs!$C$35))</f>
        <v/>
      </c>
      <c r="S172" s="54">
        <f>IF($B172=0,NA(),IF(Inputs!$B$28&lt;&gt;"Yes",NA(),Inputs!$D$28*Inputs!$C$35))</f>
        <v/>
      </c>
      <c r="T172" s="54">
        <f>IF($B172=0,NA(),IF(Inputs!$B$29&lt;&gt;"Yes",NA(),Inputs!$D$29*Inputs!$C$35))</f>
        <v/>
      </c>
      <c r="AD172">
        <f>IF($B172=0,0,IF(Inputs!$B$6="",0,COUNTIFS(Data!$A$10:$A$3209,"&gt;="&amp;$A172,Data!$A$10:$A$3209,"&lt;"&amp;$A172+1)))</f>
        <v/>
      </c>
      <c r="AE172">
        <f>IF($B172=0,0,IF(Inputs!$B$7="",0,COUNTIFS(Data!$E$10:$E$3209,"&gt;="&amp;$A172,Data!$E$10:$E$3209,"&lt;"&amp;$A172+1)))</f>
        <v/>
      </c>
      <c r="AF172">
        <f>IF($B172=0,0,IF(Inputs!$B$8="",0,COUNTIFS(Data!$I$10:$I$3209,"&gt;="&amp;$A172,Data!$I$10:$I$3209,"&lt;"&amp;$A172+1)))</f>
        <v/>
      </c>
      <c r="AG172">
        <f>IF($B172=0,0,IF(Inputs!$B$9="",0,COUNTIFS(Data!$M$10:$M$3209,"&gt;="&amp;$A172,Data!$M$10:$M$3209,"&lt;"&amp;$A172+1)))</f>
        <v/>
      </c>
      <c r="AH172">
        <f>IF($B172=0,0,IF(Inputs!$B$10="",0,COUNTIFS(Data!$Q$10:$Q$3209,"&gt;="&amp;$A172,Data!$Q$10:$Q$3209,"&lt;"&amp;$A172+1)))</f>
        <v/>
      </c>
    </row>
    <row r="173">
      <c r="A173" s="55">
        <f>MIN(Inputs!$C$15,$A172+IF(WEEKDAY($A172,2)=5,3,1))</f>
        <v/>
      </c>
      <c r="B173">
        <f>IF($A173&gt;$A172,1,0)</f>
        <v/>
      </c>
      <c r="C173" s="56">
        <f>IF($B173=0,"",IF(Inputs!$B$6="","",IF($AD173=0,C172,SUMIFS(Data!$B$10:$B$3209,Data!$A$10:$A$3209,"&gt;="&amp;$A173,Data!$A$10:$A$3209,"&lt;"&amp;$A173+1)/$AD173)))</f>
        <v/>
      </c>
      <c r="D173" s="56">
        <f>IF($B173=0,"",IF(Inputs!$B$7="","",IF($AE173=0,D172,SUMIFS(Data!$F$10:$F$3209,Data!$E$10:$E$3209,"&gt;="&amp;$A173,Data!$E$10:$E$3209,"&lt;"&amp;$A173+1)/$AE173)))</f>
        <v/>
      </c>
      <c r="E173" s="56">
        <f>IF($B173=0,"",IF(Inputs!$B$8="","",IF($AF173=0,E172,SUMIFS(Data!$J$10:$J$3209,Data!$I$10:$I$3209,"&gt;="&amp;$A173,Data!$I$10:$I$3209,"&lt;"&amp;$A173+1)/$AF173)))</f>
        <v/>
      </c>
      <c r="F173" s="56">
        <f>IF($B173=0,"",IF(Inputs!$B$9="","",IF($AG173=0,F172,SUMIFS(Data!$N$10:$N$3209,Data!$M$10:$M$3209,"&gt;="&amp;$A173,Data!$M$10:$M$3209,"&lt;"&amp;$A173+1)/$AG173)))</f>
        <v/>
      </c>
      <c r="G173" s="56">
        <f>IF($B173=0,"",IF(Inputs!$B$10="","",IF($AH173=0,G172,SUMIFS(Data!$R$10:$R$3209,Data!$Q$10:$Q$3209,"&gt;="&amp;$A173,Data!$Q$10:$Q$3209,"&lt;"&amp;$A173+1)/$AH173)))</f>
        <v/>
      </c>
      <c r="I173" s="54">
        <f>IF($B173=0,NA(),IF($C173="",NA(),IF(C$8="",NA(),IF(N(C$8)=0,NA(),IF(Inputs!$C$17="Rebased to 100",$C173/C$8*100,$C173)))))</f>
        <v/>
      </c>
      <c r="J173" s="54">
        <f>IF($B173=0,NA(),IF($D173="",NA(),IF(D$8="",NA(),IF(N(D$8)=0,NA(),IF(Inputs!$C$17="Rebased to 100",$D173/D$8*100,$D173)))))</f>
        <v/>
      </c>
      <c r="K173" s="54">
        <f>IF($B173=0,NA(),IF($E173="",NA(),IF(E$8="",NA(),IF(N(E$8)=0,NA(),IF(Inputs!$C$17="Rebased to 100",$E173/E$8*100,$E173)))))</f>
        <v/>
      </c>
      <c r="L173" s="54">
        <f>IF($B173=0,NA(),IF($F173="",NA(),IF(F$8="",NA(),IF(N(F$8)=0,NA(),IF(Inputs!$C$17="Rebased to 100",$F173/F$8*100,$F173)))))</f>
        <v/>
      </c>
      <c r="M173" s="54">
        <f>IF($B173=0,NA(),IF($G173="",NA(),IF(G$8="",NA(),IF(N(G$8)=0,NA(),IF(Inputs!$C$17="Rebased to 100",$G173/G$8*100,$G173)))))</f>
        <v/>
      </c>
      <c r="N173" s="54">
        <f>IF($B173=0,NA(),IF(Inputs!$C$18&lt;&gt;"Yes",NA(),IF(COUNT(I173,J173,K173,L173,M173)=0,NA(),MIN(I173,J173,K173,L173,M173))))</f>
        <v/>
      </c>
      <c r="O173" s="54">
        <f>IF($B173=0,NA(),IF(Inputs!$B$24&lt;&gt;"Yes",NA(),Inputs!$D$24*Inputs!$C$35))</f>
        <v/>
      </c>
      <c r="P173" s="54">
        <f>IF($B173=0,NA(),IF(Inputs!$B$25&lt;&gt;"Yes",NA(),Inputs!$D$25*Inputs!$C$35))</f>
        <v/>
      </c>
      <c r="Q173" s="54">
        <f>IF($B173=0,NA(),IF(Inputs!$B$26&lt;&gt;"Yes",NA(),Inputs!$D$26*Inputs!$C$35))</f>
        <v/>
      </c>
      <c r="R173" s="54">
        <f>IF($B173=0,NA(),IF(Inputs!$B$27&lt;&gt;"Yes",NA(),Inputs!$D$27*Inputs!$C$35))</f>
        <v/>
      </c>
      <c r="S173" s="54">
        <f>IF($B173=0,NA(),IF(Inputs!$B$28&lt;&gt;"Yes",NA(),Inputs!$D$28*Inputs!$C$35))</f>
        <v/>
      </c>
      <c r="T173" s="54">
        <f>IF($B173=0,NA(),IF(Inputs!$B$29&lt;&gt;"Yes",NA(),Inputs!$D$29*Inputs!$C$35))</f>
        <v/>
      </c>
      <c r="AD173">
        <f>IF($B173=0,0,IF(Inputs!$B$6="",0,COUNTIFS(Data!$A$10:$A$3209,"&gt;="&amp;$A173,Data!$A$10:$A$3209,"&lt;"&amp;$A173+1)))</f>
        <v/>
      </c>
      <c r="AE173">
        <f>IF($B173=0,0,IF(Inputs!$B$7="",0,COUNTIFS(Data!$E$10:$E$3209,"&gt;="&amp;$A173,Data!$E$10:$E$3209,"&lt;"&amp;$A173+1)))</f>
        <v/>
      </c>
      <c r="AF173">
        <f>IF($B173=0,0,IF(Inputs!$B$8="",0,COUNTIFS(Data!$I$10:$I$3209,"&gt;="&amp;$A173,Data!$I$10:$I$3209,"&lt;"&amp;$A173+1)))</f>
        <v/>
      </c>
      <c r="AG173">
        <f>IF($B173=0,0,IF(Inputs!$B$9="",0,COUNTIFS(Data!$M$10:$M$3209,"&gt;="&amp;$A173,Data!$M$10:$M$3209,"&lt;"&amp;$A173+1)))</f>
        <v/>
      </c>
      <c r="AH173">
        <f>IF($B173=0,0,IF(Inputs!$B$10="",0,COUNTIFS(Data!$Q$10:$Q$3209,"&gt;="&amp;$A173,Data!$Q$10:$Q$3209,"&lt;"&amp;$A173+1)))</f>
        <v/>
      </c>
    </row>
    <row r="174">
      <c r="A174" s="55">
        <f>MIN(Inputs!$C$15,$A173+IF(WEEKDAY($A173,2)=5,3,1))</f>
        <v/>
      </c>
      <c r="B174">
        <f>IF($A174&gt;$A173,1,0)</f>
        <v/>
      </c>
      <c r="C174" s="56">
        <f>IF($B174=0,"",IF(Inputs!$B$6="","",IF($AD174=0,C173,SUMIFS(Data!$B$10:$B$3209,Data!$A$10:$A$3209,"&gt;="&amp;$A174,Data!$A$10:$A$3209,"&lt;"&amp;$A174+1)/$AD174)))</f>
        <v/>
      </c>
      <c r="D174" s="56">
        <f>IF($B174=0,"",IF(Inputs!$B$7="","",IF($AE174=0,D173,SUMIFS(Data!$F$10:$F$3209,Data!$E$10:$E$3209,"&gt;="&amp;$A174,Data!$E$10:$E$3209,"&lt;"&amp;$A174+1)/$AE174)))</f>
        <v/>
      </c>
      <c r="E174" s="56">
        <f>IF($B174=0,"",IF(Inputs!$B$8="","",IF($AF174=0,E173,SUMIFS(Data!$J$10:$J$3209,Data!$I$10:$I$3209,"&gt;="&amp;$A174,Data!$I$10:$I$3209,"&lt;"&amp;$A174+1)/$AF174)))</f>
        <v/>
      </c>
      <c r="F174" s="56">
        <f>IF($B174=0,"",IF(Inputs!$B$9="","",IF($AG174=0,F173,SUMIFS(Data!$N$10:$N$3209,Data!$M$10:$M$3209,"&gt;="&amp;$A174,Data!$M$10:$M$3209,"&lt;"&amp;$A174+1)/$AG174)))</f>
        <v/>
      </c>
      <c r="G174" s="56">
        <f>IF($B174=0,"",IF(Inputs!$B$10="","",IF($AH174=0,G173,SUMIFS(Data!$R$10:$R$3209,Data!$Q$10:$Q$3209,"&gt;="&amp;$A174,Data!$Q$10:$Q$3209,"&lt;"&amp;$A174+1)/$AH174)))</f>
        <v/>
      </c>
      <c r="I174" s="54">
        <f>IF($B174=0,NA(),IF($C174="",NA(),IF(C$8="",NA(),IF(N(C$8)=0,NA(),IF(Inputs!$C$17="Rebased to 100",$C174/C$8*100,$C174)))))</f>
        <v/>
      </c>
      <c r="J174" s="54">
        <f>IF($B174=0,NA(),IF($D174="",NA(),IF(D$8="",NA(),IF(N(D$8)=0,NA(),IF(Inputs!$C$17="Rebased to 100",$D174/D$8*100,$D174)))))</f>
        <v/>
      </c>
      <c r="K174" s="54">
        <f>IF($B174=0,NA(),IF($E174="",NA(),IF(E$8="",NA(),IF(N(E$8)=0,NA(),IF(Inputs!$C$17="Rebased to 100",$E174/E$8*100,$E174)))))</f>
        <v/>
      </c>
      <c r="L174" s="54">
        <f>IF($B174=0,NA(),IF($F174="",NA(),IF(F$8="",NA(),IF(N(F$8)=0,NA(),IF(Inputs!$C$17="Rebased to 100",$F174/F$8*100,$F174)))))</f>
        <v/>
      </c>
      <c r="M174" s="54">
        <f>IF($B174=0,NA(),IF($G174="",NA(),IF(G$8="",NA(),IF(N(G$8)=0,NA(),IF(Inputs!$C$17="Rebased to 100",$G174/G$8*100,$G174)))))</f>
        <v/>
      </c>
      <c r="N174" s="54">
        <f>IF($B174=0,NA(),IF(Inputs!$C$18&lt;&gt;"Yes",NA(),IF(COUNT(I174,J174,K174,L174,M174)=0,NA(),MIN(I174,J174,K174,L174,M174))))</f>
        <v/>
      </c>
      <c r="O174" s="54">
        <f>IF($B174=0,NA(),IF(Inputs!$B$24&lt;&gt;"Yes",NA(),Inputs!$D$24*Inputs!$C$35))</f>
        <v/>
      </c>
      <c r="P174" s="54">
        <f>IF($B174=0,NA(),IF(Inputs!$B$25&lt;&gt;"Yes",NA(),Inputs!$D$25*Inputs!$C$35))</f>
        <v/>
      </c>
      <c r="Q174" s="54">
        <f>IF($B174=0,NA(),IF(Inputs!$B$26&lt;&gt;"Yes",NA(),Inputs!$D$26*Inputs!$C$35))</f>
        <v/>
      </c>
      <c r="R174" s="54">
        <f>IF($B174=0,NA(),IF(Inputs!$B$27&lt;&gt;"Yes",NA(),Inputs!$D$27*Inputs!$C$35))</f>
        <v/>
      </c>
      <c r="S174" s="54">
        <f>IF($B174=0,NA(),IF(Inputs!$B$28&lt;&gt;"Yes",NA(),Inputs!$D$28*Inputs!$C$35))</f>
        <v/>
      </c>
      <c r="T174" s="54">
        <f>IF($B174=0,NA(),IF(Inputs!$B$29&lt;&gt;"Yes",NA(),Inputs!$D$29*Inputs!$C$35))</f>
        <v/>
      </c>
      <c r="AD174">
        <f>IF($B174=0,0,IF(Inputs!$B$6="",0,COUNTIFS(Data!$A$10:$A$3209,"&gt;="&amp;$A174,Data!$A$10:$A$3209,"&lt;"&amp;$A174+1)))</f>
        <v/>
      </c>
      <c r="AE174">
        <f>IF($B174=0,0,IF(Inputs!$B$7="",0,COUNTIFS(Data!$E$10:$E$3209,"&gt;="&amp;$A174,Data!$E$10:$E$3209,"&lt;"&amp;$A174+1)))</f>
        <v/>
      </c>
      <c r="AF174">
        <f>IF($B174=0,0,IF(Inputs!$B$8="",0,COUNTIFS(Data!$I$10:$I$3209,"&gt;="&amp;$A174,Data!$I$10:$I$3209,"&lt;"&amp;$A174+1)))</f>
        <v/>
      </c>
      <c r="AG174">
        <f>IF($B174=0,0,IF(Inputs!$B$9="",0,COUNTIFS(Data!$M$10:$M$3209,"&gt;="&amp;$A174,Data!$M$10:$M$3209,"&lt;"&amp;$A174+1)))</f>
        <v/>
      </c>
      <c r="AH174">
        <f>IF($B174=0,0,IF(Inputs!$B$10="",0,COUNTIFS(Data!$Q$10:$Q$3209,"&gt;="&amp;$A174,Data!$Q$10:$Q$3209,"&lt;"&amp;$A174+1)))</f>
        <v/>
      </c>
    </row>
    <row r="175">
      <c r="A175" s="55">
        <f>MIN(Inputs!$C$15,$A174+IF(WEEKDAY($A174,2)=5,3,1))</f>
        <v/>
      </c>
      <c r="B175">
        <f>IF($A175&gt;$A174,1,0)</f>
        <v/>
      </c>
      <c r="C175" s="56">
        <f>IF($B175=0,"",IF(Inputs!$B$6="","",IF($AD175=0,C174,SUMIFS(Data!$B$10:$B$3209,Data!$A$10:$A$3209,"&gt;="&amp;$A175,Data!$A$10:$A$3209,"&lt;"&amp;$A175+1)/$AD175)))</f>
        <v/>
      </c>
      <c r="D175" s="56">
        <f>IF($B175=0,"",IF(Inputs!$B$7="","",IF($AE175=0,D174,SUMIFS(Data!$F$10:$F$3209,Data!$E$10:$E$3209,"&gt;="&amp;$A175,Data!$E$10:$E$3209,"&lt;"&amp;$A175+1)/$AE175)))</f>
        <v/>
      </c>
      <c r="E175" s="56">
        <f>IF($B175=0,"",IF(Inputs!$B$8="","",IF($AF175=0,E174,SUMIFS(Data!$J$10:$J$3209,Data!$I$10:$I$3209,"&gt;="&amp;$A175,Data!$I$10:$I$3209,"&lt;"&amp;$A175+1)/$AF175)))</f>
        <v/>
      </c>
      <c r="F175" s="56">
        <f>IF($B175=0,"",IF(Inputs!$B$9="","",IF($AG175=0,F174,SUMIFS(Data!$N$10:$N$3209,Data!$M$10:$M$3209,"&gt;="&amp;$A175,Data!$M$10:$M$3209,"&lt;"&amp;$A175+1)/$AG175)))</f>
        <v/>
      </c>
      <c r="G175" s="56">
        <f>IF($B175=0,"",IF(Inputs!$B$10="","",IF($AH175=0,G174,SUMIFS(Data!$R$10:$R$3209,Data!$Q$10:$Q$3209,"&gt;="&amp;$A175,Data!$Q$10:$Q$3209,"&lt;"&amp;$A175+1)/$AH175)))</f>
        <v/>
      </c>
      <c r="I175" s="54">
        <f>IF($B175=0,NA(),IF($C175="",NA(),IF(C$8="",NA(),IF(N(C$8)=0,NA(),IF(Inputs!$C$17="Rebased to 100",$C175/C$8*100,$C175)))))</f>
        <v/>
      </c>
      <c r="J175" s="54">
        <f>IF($B175=0,NA(),IF($D175="",NA(),IF(D$8="",NA(),IF(N(D$8)=0,NA(),IF(Inputs!$C$17="Rebased to 100",$D175/D$8*100,$D175)))))</f>
        <v/>
      </c>
      <c r="K175" s="54">
        <f>IF($B175=0,NA(),IF($E175="",NA(),IF(E$8="",NA(),IF(N(E$8)=0,NA(),IF(Inputs!$C$17="Rebased to 100",$E175/E$8*100,$E175)))))</f>
        <v/>
      </c>
      <c r="L175" s="54">
        <f>IF($B175=0,NA(),IF($F175="",NA(),IF(F$8="",NA(),IF(N(F$8)=0,NA(),IF(Inputs!$C$17="Rebased to 100",$F175/F$8*100,$F175)))))</f>
        <v/>
      </c>
      <c r="M175" s="54">
        <f>IF($B175=0,NA(),IF($G175="",NA(),IF(G$8="",NA(),IF(N(G$8)=0,NA(),IF(Inputs!$C$17="Rebased to 100",$G175/G$8*100,$G175)))))</f>
        <v/>
      </c>
      <c r="N175" s="54">
        <f>IF($B175=0,NA(),IF(Inputs!$C$18&lt;&gt;"Yes",NA(),IF(COUNT(I175,J175,K175,L175,M175)=0,NA(),MIN(I175,J175,K175,L175,M175))))</f>
        <v/>
      </c>
      <c r="O175" s="54">
        <f>IF($B175=0,NA(),IF(Inputs!$B$24&lt;&gt;"Yes",NA(),Inputs!$D$24*Inputs!$C$35))</f>
        <v/>
      </c>
      <c r="P175" s="54">
        <f>IF($B175=0,NA(),IF(Inputs!$B$25&lt;&gt;"Yes",NA(),Inputs!$D$25*Inputs!$C$35))</f>
        <v/>
      </c>
      <c r="Q175" s="54">
        <f>IF($B175=0,NA(),IF(Inputs!$B$26&lt;&gt;"Yes",NA(),Inputs!$D$26*Inputs!$C$35))</f>
        <v/>
      </c>
      <c r="R175" s="54">
        <f>IF($B175=0,NA(),IF(Inputs!$B$27&lt;&gt;"Yes",NA(),Inputs!$D$27*Inputs!$C$35))</f>
        <v/>
      </c>
      <c r="S175" s="54">
        <f>IF($B175=0,NA(),IF(Inputs!$B$28&lt;&gt;"Yes",NA(),Inputs!$D$28*Inputs!$C$35))</f>
        <v/>
      </c>
      <c r="T175" s="54">
        <f>IF($B175=0,NA(),IF(Inputs!$B$29&lt;&gt;"Yes",NA(),Inputs!$D$29*Inputs!$C$35))</f>
        <v/>
      </c>
      <c r="AD175">
        <f>IF($B175=0,0,IF(Inputs!$B$6="",0,COUNTIFS(Data!$A$10:$A$3209,"&gt;="&amp;$A175,Data!$A$10:$A$3209,"&lt;"&amp;$A175+1)))</f>
        <v/>
      </c>
      <c r="AE175">
        <f>IF($B175=0,0,IF(Inputs!$B$7="",0,COUNTIFS(Data!$E$10:$E$3209,"&gt;="&amp;$A175,Data!$E$10:$E$3209,"&lt;"&amp;$A175+1)))</f>
        <v/>
      </c>
      <c r="AF175">
        <f>IF($B175=0,0,IF(Inputs!$B$8="",0,COUNTIFS(Data!$I$10:$I$3209,"&gt;="&amp;$A175,Data!$I$10:$I$3209,"&lt;"&amp;$A175+1)))</f>
        <v/>
      </c>
      <c r="AG175">
        <f>IF($B175=0,0,IF(Inputs!$B$9="",0,COUNTIFS(Data!$M$10:$M$3209,"&gt;="&amp;$A175,Data!$M$10:$M$3209,"&lt;"&amp;$A175+1)))</f>
        <v/>
      </c>
      <c r="AH175">
        <f>IF($B175=0,0,IF(Inputs!$B$10="",0,COUNTIFS(Data!$Q$10:$Q$3209,"&gt;="&amp;$A175,Data!$Q$10:$Q$3209,"&lt;"&amp;$A175+1)))</f>
        <v/>
      </c>
    </row>
    <row r="176">
      <c r="A176" s="55">
        <f>MIN(Inputs!$C$15,$A175+IF(WEEKDAY($A175,2)=5,3,1))</f>
        <v/>
      </c>
      <c r="B176">
        <f>IF($A176&gt;$A175,1,0)</f>
        <v/>
      </c>
      <c r="C176" s="56">
        <f>IF($B176=0,"",IF(Inputs!$B$6="","",IF($AD176=0,C175,SUMIFS(Data!$B$10:$B$3209,Data!$A$10:$A$3209,"&gt;="&amp;$A176,Data!$A$10:$A$3209,"&lt;"&amp;$A176+1)/$AD176)))</f>
        <v/>
      </c>
      <c r="D176" s="56">
        <f>IF($B176=0,"",IF(Inputs!$B$7="","",IF($AE176=0,D175,SUMIFS(Data!$F$10:$F$3209,Data!$E$10:$E$3209,"&gt;="&amp;$A176,Data!$E$10:$E$3209,"&lt;"&amp;$A176+1)/$AE176)))</f>
        <v/>
      </c>
      <c r="E176" s="56">
        <f>IF($B176=0,"",IF(Inputs!$B$8="","",IF($AF176=0,E175,SUMIFS(Data!$J$10:$J$3209,Data!$I$10:$I$3209,"&gt;="&amp;$A176,Data!$I$10:$I$3209,"&lt;"&amp;$A176+1)/$AF176)))</f>
        <v/>
      </c>
      <c r="F176" s="56">
        <f>IF($B176=0,"",IF(Inputs!$B$9="","",IF($AG176=0,F175,SUMIFS(Data!$N$10:$N$3209,Data!$M$10:$M$3209,"&gt;="&amp;$A176,Data!$M$10:$M$3209,"&lt;"&amp;$A176+1)/$AG176)))</f>
        <v/>
      </c>
      <c r="G176" s="56">
        <f>IF($B176=0,"",IF(Inputs!$B$10="","",IF($AH176=0,G175,SUMIFS(Data!$R$10:$R$3209,Data!$Q$10:$Q$3209,"&gt;="&amp;$A176,Data!$Q$10:$Q$3209,"&lt;"&amp;$A176+1)/$AH176)))</f>
        <v/>
      </c>
      <c r="I176" s="54">
        <f>IF($B176=0,NA(),IF($C176="",NA(),IF(C$8="",NA(),IF(N(C$8)=0,NA(),IF(Inputs!$C$17="Rebased to 100",$C176/C$8*100,$C176)))))</f>
        <v/>
      </c>
      <c r="J176" s="54">
        <f>IF($B176=0,NA(),IF($D176="",NA(),IF(D$8="",NA(),IF(N(D$8)=0,NA(),IF(Inputs!$C$17="Rebased to 100",$D176/D$8*100,$D176)))))</f>
        <v/>
      </c>
      <c r="K176" s="54">
        <f>IF($B176=0,NA(),IF($E176="",NA(),IF(E$8="",NA(),IF(N(E$8)=0,NA(),IF(Inputs!$C$17="Rebased to 100",$E176/E$8*100,$E176)))))</f>
        <v/>
      </c>
      <c r="L176" s="54">
        <f>IF($B176=0,NA(),IF($F176="",NA(),IF(F$8="",NA(),IF(N(F$8)=0,NA(),IF(Inputs!$C$17="Rebased to 100",$F176/F$8*100,$F176)))))</f>
        <v/>
      </c>
      <c r="M176" s="54">
        <f>IF($B176=0,NA(),IF($G176="",NA(),IF(G$8="",NA(),IF(N(G$8)=0,NA(),IF(Inputs!$C$17="Rebased to 100",$G176/G$8*100,$G176)))))</f>
        <v/>
      </c>
      <c r="N176" s="54">
        <f>IF($B176=0,NA(),IF(Inputs!$C$18&lt;&gt;"Yes",NA(),IF(COUNT(I176,J176,K176,L176,M176)=0,NA(),MIN(I176,J176,K176,L176,M176))))</f>
        <v/>
      </c>
      <c r="O176" s="54">
        <f>IF($B176=0,NA(),IF(Inputs!$B$24&lt;&gt;"Yes",NA(),Inputs!$D$24*Inputs!$C$35))</f>
        <v/>
      </c>
      <c r="P176" s="54">
        <f>IF($B176=0,NA(),IF(Inputs!$B$25&lt;&gt;"Yes",NA(),Inputs!$D$25*Inputs!$C$35))</f>
        <v/>
      </c>
      <c r="Q176" s="54">
        <f>IF($B176=0,NA(),IF(Inputs!$B$26&lt;&gt;"Yes",NA(),Inputs!$D$26*Inputs!$C$35))</f>
        <v/>
      </c>
      <c r="R176" s="54">
        <f>IF($B176=0,NA(),IF(Inputs!$B$27&lt;&gt;"Yes",NA(),Inputs!$D$27*Inputs!$C$35))</f>
        <v/>
      </c>
      <c r="S176" s="54">
        <f>IF($B176=0,NA(),IF(Inputs!$B$28&lt;&gt;"Yes",NA(),Inputs!$D$28*Inputs!$C$35))</f>
        <v/>
      </c>
      <c r="T176" s="54">
        <f>IF($B176=0,NA(),IF(Inputs!$B$29&lt;&gt;"Yes",NA(),Inputs!$D$29*Inputs!$C$35))</f>
        <v/>
      </c>
      <c r="AD176">
        <f>IF($B176=0,0,IF(Inputs!$B$6="",0,COUNTIFS(Data!$A$10:$A$3209,"&gt;="&amp;$A176,Data!$A$10:$A$3209,"&lt;"&amp;$A176+1)))</f>
        <v/>
      </c>
      <c r="AE176">
        <f>IF($B176=0,0,IF(Inputs!$B$7="",0,COUNTIFS(Data!$E$10:$E$3209,"&gt;="&amp;$A176,Data!$E$10:$E$3209,"&lt;"&amp;$A176+1)))</f>
        <v/>
      </c>
      <c r="AF176">
        <f>IF($B176=0,0,IF(Inputs!$B$8="",0,COUNTIFS(Data!$I$10:$I$3209,"&gt;="&amp;$A176,Data!$I$10:$I$3209,"&lt;"&amp;$A176+1)))</f>
        <v/>
      </c>
      <c r="AG176">
        <f>IF($B176=0,0,IF(Inputs!$B$9="",0,COUNTIFS(Data!$M$10:$M$3209,"&gt;="&amp;$A176,Data!$M$10:$M$3209,"&lt;"&amp;$A176+1)))</f>
        <v/>
      </c>
      <c r="AH176">
        <f>IF($B176=0,0,IF(Inputs!$B$10="",0,COUNTIFS(Data!$Q$10:$Q$3209,"&gt;="&amp;$A176,Data!$Q$10:$Q$3209,"&lt;"&amp;$A176+1)))</f>
        <v/>
      </c>
    </row>
    <row r="177">
      <c r="A177" s="55">
        <f>MIN(Inputs!$C$15,$A176+IF(WEEKDAY($A176,2)=5,3,1))</f>
        <v/>
      </c>
      <c r="B177">
        <f>IF($A177&gt;$A176,1,0)</f>
        <v/>
      </c>
      <c r="C177" s="56">
        <f>IF($B177=0,"",IF(Inputs!$B$6="","",IF($AD177=0,C176,SUMIFS(Data!$B$10:$B$3209,Data!$A$10:$A$3209,"&gt;="&amp;$A177,Data!$A$10:$A$3209,"&lt;"&amp;$A177+1)/$AD177)))</f>
        <v/>
      </c>
      <c r="D177" s="56">
        <f>IF($B177=0,"",IF(Inputs!$B$7="","",IF($AE177=0,D176,SUMIFS(Data!$F$10:$F$3209,Data!$E$10:$E$3209,"&gt;="&amp;$A177,Data!$E$10:$E$3209,"&lt;"&amp;$A177+1)/$AE177)))</f>
        <v/>
      </c>
      <c r="E177" s="56">
        <f>IF($B177=0,"",IF(Inputs!$B$8="","",IF($AF177=0,E176,SUMIFS(Data!$J$10:$J$3209,Data!$I$10:$I$3209,"&gt;="&amp;$A177,Data!$I$10:$I$3209,"&lt;"&amp;$A177+1)/$AF177)))</f>
        <v/>
      </c>
      <c r="F177" s="56">
        <f>IF($B177=0,"",IF(Inputs!$B$9="","",IF($AG177=0,F176,SUMIFS(Data!$N$10:$N$3209,Data!$M$10:$M$3209,"&gt;="&amp;$A177,Data!$M$10:$M$3209,"&lt;"&amp;$A177+1)/$AG177)))</f>
        <v/>
      </c>
      <c r="G177" s="56">
        <f>IF($B177=0,"",IF(Inputs!$B$10="","",IF($AH177=0,G176,SUMIFS(Data!$R$10:$R$3209,Data!$Q$10:$Q$3209,"&gt;="&amp;$A177,Data!$Q$10:$Q$3209,"&lt;"&amp;$A177+1)/$AH177)))</f>
        <v/>
      </c>
      <c r="I177" s="54">
        <f>IF($B177=0,NA(),IF($C177="",NA(),IF(C$8="",NA(),IF(N(C$8)=0,NA(),IF(Inputs!$C$17="Rebased to 100",$C177/C$8*100,$C177)))))</f>
        <v/>
      </c>
      <c r="J177" s="54">
        <f>IF($B177=0,NA(),IF($D177="",NA(),IF(D$8="",NA(),IF(N(D$8)=0,NA(),IF(Inputs!$C$17="Rebased to 100",$D177/D$8*100,$D177)))))</f>
        <v/>
      </c>
      <c r="K177" s="54">
        <f>IF($B177=0,NA(),IF($E177="",NA(),IF(E$8="",NA(),IF(N(E$8)=0,NA(),IF(Inputs!$C$17="Rebased to 100",$E177/E$8*100,$E177)))))</f>
        <v/>
      </c>
      <c r="L177" s="54">
        <f>IF($B177=0,NA(),IF($F177="",NA(),IF(F$8="",NA(),IF(N(F$8)=0,NA(),IF(Inputs!$C$17="Rebased to 100",$F177/F$8*100,$F177)))))</f>
        <v/>
      </c>
      <c r="M177" s="54">
        <f>IF($B177=0,NA(),IF($G177="",NA(),IF(G$8="",NA(),IF(N(G$8)=0,NA(),IF(Inputs!$C$17="Rebased to 100",$G177/G$8*100,$G177)))))</f>
        <v/>
      </c>
      <c r="N177" s="54">
        <f>IF($B177=0,NA(),IF(Inputs!$C$18&lt;&gt;"Yes",NA(),IF(COUNT(I177,J177,K177,L177,M177)=0,NA(),MIN(I177,J177,K177,L177,M177))))</f>
        <v/>
      </c>
      <c r="O177" s="54">
        <f>IF($B177=0,NA(),IF(Inputs!$B$24&lt;&gt;"Yes",NA(),Inputs!$D$24*Inputs!$C$35))</f>
        <v/>
      </c>
      <c r="P177" s="54">
        <f>IF($B177=0,NA(),IF(Inputs!$B$25&lt;&gt;"Yes",NA(),Inputs!$D$25*Inputs!$C$35))</f>
        <v/>
      </c>
      <c r="Q177" s="54">
        <f>IF($B177=0,NA(),IF(Inputs!$B$26&lt;&gt;"Yes",NA(),Inputs!$D$26*Inputs!$C$35))</f>
        <v/>
      </c>
      <c r="R177" s="54">
        <f>IF($B177=0,NA(),IF(Inputs!$B$27&lt;&gt;"Yes",NA(),Inputs!$D$27*Inputs!$C$35))</f>
        <v/>
      </c>
      <c r="S177" s="54">
        <f>IF($B177=0,NA(),IF(Inputs!$B$28&lt;&gt;"Yes",NA(),Inputs!$D$28*Inputs!$C$35))</f>
        <v/>
      </c>
      <c r="T177" s="54">
        <f>IF($B177=0,NA(),IF(Inputs!$B$29&lt;&gt;"Yes",NA(),Inputs!$D$29*Inputs!$C$35))</f>
        <v/>
      </c>
      <c r="AD177">
        <f>IF($B177=0,0,IF(Inputs!$B$6="",0,COUNTIFS(Data!$A$10:$A$3209,"&gt;="&amp;$A177,Data!$A$10:$A$3209,"&lt;"&amp;$A177+1)))</f>
        <v/>
      </c>
      <c r="AE177">
        <f>IF($B177=0,0,IF(Inputs!$B$7="",0,COUNTIFS(Data!$E$10:$E$3209,"&gt;="&amp;$A177,Data!$E$10:$E$3209,"&lt;"&amp;$A177+1)))</f>
        <v/>
      </c>
      <c r="AF177">
        <f>IF($B177=0,0,IF(Inputs!$B$8="",0,COUNTIFS(Data!$I$10:$I$3209,"&gt;="&amp;$A177,Data!$I$10:$I$3209,"&lt;"&amp;$A177+1)))</f>
        <v/>
      </c>
      <c r="AG177">
        <f>IF($B177=0,0,IF(Inputs!$B$9="",0,COUNTIFS(Data!$M$10:$M$3209,"&gt;="&amp;$A177,Data!$M$10:$M$3209,"&lt;"&amp;$A177+1)))</f>
        <v/>
      </c>
      <c r="AH177">
        <f>IF($B177=0,0,IF(Inputs!$B$10="",0,COUNTIFS(Data!$Q$10:$Q$3209,"&gt;="&amp;$A177,Data!$Q$10:$Q$3209,"&lt;"&amp;$A177+1)))</f>
        <v/>
      </c>
    </row>
    <row r="178">
      <c r="A178" s="55">
        <f>MIN(Inputs!$C$15,$A177+IF(WEEKDAY($A177,2)=5,3,1))</f>
        <v/>
      </c>
      <c r="B178">
        <f>IF($A178&gt;$A177,1,0)</f>
        <v/>
      </c>
      <c r="C178" s="56">
        <f>IF($B178=0,"",IF(Inputs!$B$6="","",IF($AD178=0,C177,SUMIFS(Data!$B$10:$B$3209,Data!$A$10:$A$3209,"&gt;="&amp;$A178,Data!$A$10:$A$3209,"&lt;"&amp;$A178+1)/$AD178)))</f>
        <v/>
      </c>
      <c r="D178" s="56">
        <f>IF($B178=0,"",IF(Inputs!$B$7="","",IF($AE178=0,D177,SUMIFS(Data!$F$10:$F$3209,Data!$E$10:$E$3209,"&gt;="&amp;$A178,Data!$E$10:$E$3209,"&lt;"&amp;$A178+1)/$AE178)))</f>
        <v/>
      </c>
      <c r="E178" s="56">
        <f>IF($B178=0,"",IF(Inputs!$B$8="","",IF($AF178=0,E177,SUMIFS(Data!$J$10:$J$3209,Data!$I$10:$I$3209,"&gt;="&amp;$A178,Data!$I$10:$I$3209,"&lt;"&amp;$A178+1)/$AF178)))</f>
        <v/>
      </c>
      <c r="F178" s="56">
        <f>IF($B178=0,"",IF(Inputs!$B$9="","",IF($AG178=0,F177,SUMIFS(Data!$N$10:$N$3209,Data!$M$10:$M$3209,"&gt;="&amp;$A178,Data!$M$10:$M$3209,"&lt;"&amp;$A178+1)/$AG178)))</f>
        <v/>
      </c>
      <c r="G178" s="56">
        <f>IF($B178=0,"",IF(Inputs!$B$10="","",IF($AH178=0,G177,SUMIFS(Data!$R$10:$R$3209,Data!$Q$10:$Q$3209,"&gt;="&amp;$A178,Data!$Q$10:$Q$3209,"&lt;"&amp;$A178+1)/$AH178)))</f>
        <v/>
      </c>
      <c r="I178" s="54">
        <f>IF($B178=0,NA(),IF($C178="",NA(),IF(C$8="",NA(),IF(N(C$8)=0,NA(),IF(Inputs!$C$17="Rebased to 100",$C178/C$8*100,$C178)))))</f>
        <v/>
      </c>
      <c r="J178" s="54">
        <f>IF($B178=0,NA(),IF($D178="",NA(),IF(D$8="",NA(),IF(N(D$8)=0,NA(),IF(Inputs!$C$17="Rebased to 100",$D178/D$8*100,$D178)))))</f>
        <v/>
      </c>
      <c r="K178" s="54">
        <f>IF($B178=0,NA(),IF($E178="",NA(),IF(E$8="",NA(),IF(N(E$8)=0,NA(),IF(Inputs!$C$17="Rebased to 100",$E178/E$8*100,$E178)))))</f>
        <v/>
      </c>
      <c r="L178" s="54">
        <f>IF($B178=0,NA(),IF($F178="",NA(),IF(F$8="",NA(),IF(N(F$8)=0,NA(),IF(Inputs!$C$17="Rebased to 100",$F178/F$8*100,$F178)))))</f>
        <v/>
      </c>
      <c r="M178" s="54">
        <f>IF($B178=0,NA(),IF($G178="",NA(),IF(G$8="",NA(),IF(N(G$8)=0,NA(),IF(Inputs!$C$17="Rebased to 100",$G178/G$8*100,$G178)))))</f>
        <v/>
      </c>
      <c r="N178" s="54">
        <f>IF($B178=0,NA(),IF(Inputs!$C$18&lt;&gt;"Yes",NA(),IF(COUNT(I178,J178,K178,L178,M178)=0,NA(),MIN(I178,J178,K178,L178,M178))))</f>
        <v/>
      </c>
      <c r="O178" s="54">
        <f>IF($B178=0,NA(),IF(Inputs!$B$24&lt;&gt;"Yes",NA(),Inputs!$D$24*Inputs!$C$35))</f>
        <v/>
      </c>
      <c r="P178" s="54">
        <f>IF($B178=0,NA(),IF(Inputs!$B$25&lt;&gt;"Yes",NA(),Inputs!$D$25*Inputs!$C$35))</f>
        <v/>
      </c>
      <c r="Q178" s="54">
        <f>IF($B178=0,NA(),IF(Inputs!$B$26&lt;&gt;"Yes",NA(),Inputs!$D$26*Inputs!$C$35))</f>
        <v/>
      </c>
      <c r="R178" s="54">
        <f>IF($B178=0,NA(),IF(Inputs!$B$27&lt;&gt;"Yes",NA(),Inputs!$D$27*Inputs!$C$35))</f>
        <v/>
      </c>
      <c r="S178" s="54">
        <f>IF($B178=0,NA(),IF(Inputs!$B$28&lt;&gt;"Yes",NA(),Inputs!$D$28*Inputs!$C$35))</f>
        <v/>
      </c>
      <c r="T178" s="54">
        <f>IF($B178=0,NA(),IF(Inputs!$B$29&lt;&gt;"Yes",NA(),Inputs!$D$29*Inputs!$C$35))</f>
        <v/>
      </c>
      <c r="AD178">
        <f>IF($B178=0,0,IF(Inputs!$B$6="",0,COUNTIFS(Data!$A$10:$A$3209,"&gt;="&amp;$A178,Data!$A$10:$A$3209,"&lt;"&amp;$A178+1)))</f>
        <v/>
      </c>
      <c r="AE178">
        <f>IF($B178=0,0,IF(Inputs!$B$7="",0,COUNTIFS(Data!$E$10:$E$3209,"&gt;="&amp;$A178,Data!$E$10:$E$3209,"&lt;"&amp;$A178+1)))</f>
        <v/>
      </c>
      <c r="AF178">
        <f>IF($B178=0,0,IF(Inputs!$B$8="",0,COUNTIFS(Data!$I$10:$I$3209,"&gt;="&amp;$A178,Data!$I$10:$I$3209,"&lt;"&amp;$A178+1)))</f>
        <v/>
      </c>
      <c r="AG178">
        <f>IF($B178=0,0,IF(Inputs!$B$9="",0,COUNTIFS(Data!$M$10:$M$3209,"&gt;="&amp;$A178,Data!$M$10:$M$3209,"&lt;"&amp;$A178+1)))</f>
        <v/>
      </c>
      <c r="AH178">
        <f>IF($B178=0,0,IF(Inputs!$B$10="",0,COUNTIFS(Data!$Q$10:$Q$3209,"&gt;="&amp;$A178,Data!$Q$10:$Q$3209,"&lt;"&amp;$A178+1)))</f>
        <v/>
      </c>
    </row>
    <row r="179">
      <c r="A179" s="55">
        <f>MIN(Inputs!$C$15,$A178+IF(WEEKDAY($A178,2)=5,3,1))</f>
        <v/>
      </c>
      <c r="B179">
        <f>IF($A179&gt;$A178,1,0)</f>
        <v/>
      </c>
      <c r="C179" s="56">
        <f>IF($B179=0,"",IF(Inputs!$B$6="","",IF($AD179=0,C178,SUMIFS(Data!$B$10:$B$3209,Data!$A$10:$A$3209,"&gt;="&amp;$A179,Data!$A$10:$A$3209,"&lt;"&amp;$A179+1)/$AD179)))</f>
        <v/>
      </c>
      <c r="D179" s="56">
        <f>IF($B179=0,"",IF(Inputs!$B$7="","",IF($AE179=0,D178,SUMIFS(Data!$F$10:$F$3209,Data!$E$10:$E$3209,"&gt;="&amp;$A179,Data!$E$10:$E$3209,"&lt;"&amp;$A179+1)/$AE179)))</f>
        <v/>
      </c>
      <c r="E179" s="56">
        <f>IF($B179=0,"",IF(Inputs!$B$8="","",IF($AF179=0,E178,SUMIFS(Data!$J$10:$J$3209,Data!$I$10:$I$3209,"&gt;="&amp;$A179,Data!$I$10:$I$3209,"&lt;"&amp;$A179+1)/$AF179)))</f>
        <v/>
      </c>
      <c r="F179" s="56">
        <f>IF($B179=0,"",IF(Inputs!$B$9="","",IF($AG179=0,F178,SUMIFS(Data!$N$10:$N$3209,Data!$M$10:$M$3209,"&gt;="&amp;$A179,Data!$M$10:$M$3209,"&lt;"&amp;$A179+1)/$AG179)))</f>
        <v/>
      </c>
      <c r="G179" s="56">
        <f>IF($B179=0,"",IF(Inputs!$B$10="","",IF($AH179=0,G178,SUMIFS(Data!$R$10:$R$3209,Data!$Q$10:$Q$3209,"&gt;="&amp;$A179,Data!$Q$10:$Q$3209,"&lt;"&amp;$A179+1)/$AH179)))</f>
        <v/>
      </c>
      <c r="I179" s="54">
        <f>IF($B179=0,NA(),IF($C179="",NA(),IF(C$8="",NA(),IF(N(C$8)=0,NA(),IF(Inputs!$C$17="Rebased to 100",$C179/C$8*100,$C179)))))</f>
        <v/>
      </c>
      <c r="J179" s="54">
        <f>IF($B179=0,NA(),IF($D179="",NA(),IF(D$8="",NA(),IF(N(D$8)=0,NA(),IF(Inputs!$C$17="Rebased to 100",$D179/D$8*100,$D179)))))</f>
        <v/>
      </c>
      <c r="K179" s="54">
        <f>IF($B179=0,NA(),IF($E179="",NA(),IF(E$8="",NA(),IF(N(E$8)=0,NA(),IF(Inputs!$C$17="Rebased to 100",$E179/E$8*100,$E179)))))</f>
        <v/>
      </c>
      <c r="L179" s="54">
        <f>IF($B179=0,NA(),IF($F179="",NA(),IF(F$8="",NA(),IF(N(F$8)=0,NA(),IF(Inputs!$C$17="Rebased to 100",$F179/F$8*100,$F179)))))</f>
        <v/>
      </c>
      <c r="M179" s="54">
        <f>IF($B179=0,NA(),IF($G179="",NA(),IF(G$8="",NA(),IF(N(G$8)=0,NA(),IF(Inputs!$C$17="Rebased to 100",$G179/G$8*100,$G179)))))</f>
        <v/>
      </c>
      <c r="N179" s="54">
        <f>IF($B179=0,NA(),IF(Inputs!$C$18&lt;&gt;"Yes",NA(),IF(COUNT(I179,J179,K179,L179,M179)=0,NA(),MIN(I179,J179,K179,L179,M179))))</f>
        <v/>
      </c>
      <c r="O179" s="54">
        <f>IF($B179=0,NA(),IF(Inputs!$B$24&lt;&gt;"Yes",NA(),Inputs!$D$24*Inputs!$C$35))</f>
        <v/>
      </c>
      <c r="P179" s="54">
        <f>IF($B179=0,NA(),IF(Inputs!$B$25&lt;&gt;"Yes",NA(),Inputs!$D$25*Inputs!$C$35))</f>
        <v/>
      </c>
      <c r="Q179" s="54">
        <f>IF($B179=0,NA(),IF(Inputs!$B$26&lt;&gt;"Yes",NA(),Inputs!$D$26*Inputs!$C$35))</f>
        <v/>
      </c>
      <c r="R179" s="54">
        <f>IF($B179=0,NA(),IF(Inputs!$B$27&lt;&gt;"Yes",NA(),Inputs!$D$27*Inputs!$C$35))</f>
        <v/>
      </c>
      <c r="S179" s="54">
        <f>IF($B179=0,NA(),IF(Inputs!$B$28&lt;&gt;"Yes",NA(),Inputs!$D$28*Inputs!$C$35))</f>
        <v/>
      </c>
      <c r="T179" s="54">
        <f>IF($B179=0,NA(),IF(Inputs!$B$29&lt;&gt;"Yes",NA(),Inputs!$D$29*Inputs!$C$35))</f>
        <v/>
      </c>
      <c r="AD179">
        <f>IF($B179=0,0,IF(Inputs!$B$6="",0,COUNTIFS(Data!$A$10:$A$3209,"&gt;="&amp;$A179,Data!$A$10:$A$3209,"&lt;"&amp;$A179+1)))</f>
        <v/>
      </c>
      <c r="AE179">
        <f>IF($B179=0,0,IF(Inputs!$B$7="",0,COUNTIFS(Data!$E$10:$E$3209,"&gt;="&amp;$A179,Data!$E$10:$E$3209,"&lt;"&amp;$A179+1)))</f>
        <v/>
      </c>
      <c r="AF179">
        <f>IF($B179=0,0,IF(Inputs!$B$8="",0,COUNTIFS(Data!$I$10:$I$3209,"&gt;="&amp;$A179,Data!$I$10:$I$3209,"&lt;"&amp;$A179+1)))</f>
        <v/>
      </c>
      <c r="AG179">
        <f>IF($B179=0,0,IF(Inputs!$B$9="",0,COUNTIFS(Data!$M$10:$M$3209,"&gt;="&amp;$A179,Data!$M$10:$M$3209,"&lt;"&amp;$A179+1)))</f>
        <v/>
      </c>
      <c r="AH179">
        <f>IF($B179=0,0,IF(Inputs!$B$10="",0,COUNTIFS(Data!$Q$10:$Q$3209,"&gt;="&amp;$A179,Data!$Q$10:$Q$3209,"&lt;"&amp;$A179+1)))</f>
        <v/>
      </c>
    </row>
    <row r="180">
      <c r="A180" s="55">
        <f>MIN(Inputs!$C$15,$A179+IF(WEEKDAY($A179,2)=5,3,1))</f>
        <v/>
      </c>
      <c r="B180">
        <f>IF($A180&gt;$A179,1,0)</f>
        <v/>
      </c>
      <c r="C180" s="56">
        <f>IF($B180=0,"",IF(Inputs!$B$6="","",IF($AD180=0,C179,SUMIFS(Data!$B$10:$B$3209,Data!$A$10:$A$3209,"&gt;="&amp;$A180,Data!$A$10:$A$3209,"&lt;"&amp;$A180+1)/$AD180)))</f>
        <v/>
      </c>
      <c r="D180" s="56">
        <f>IF($B180=0,"",IF(Inputs!$B$7="","",IF($AE180=0,D179,SUMIFS(Data!$F$10:$F$3209,Data!$E$10:$E$3209,"&gt;="&amp;$A180,Data!$E$10:$E$3209,"&lt;"&amp;$A180+1)/$AE180)))</f>
        <v/>
      </c>
      <c r="E180" s="56">
        <f>IF($B180=0,"",IF(Inputs!$B$8="","",IF($AF180=0,E179,SUMIFS(Data!$J$10:$J$3209,Data!$I$10:$I$3209,"&gt;="&amp;$A180,Data!$I$10:$I$3209,"&lt;"&amp;$A180+1)/$AF180)))</f>
        <v/>
      </c>
      <c r="F180" s="56">
        <f>IF($B180=0,"",IF(Inputs!$B$9="","",IF($AG180=0,F179,SUMIFS(Data!$N$10:$N$3209,Data!$M$10:$M$3209,"&gt;="&amp;$A180,Data!$M$10:$M$3209,"&lt;"&amp;$A180+1)/$AG180)))</f>
        <v/>
      </c>
      <c r="G180" s="56">
        <f>IF($B180=0,"",IF(Inputs!$B$10="","",IF($AH180=0,G179,SUMIFS(Data!$R$10:$R$3209,Data!$Q$10:$Q$3209,"&gt;="&amp;$A180,Data!$Q$10:$Q$3209,"&lt;"&amp;$A180+1)/$AH180)))</f>
        <v/>
      </c>
      <c r="I180" s="54">
        <f>IF($B180=0,NA(),IF($C180="",NA(),IF(C$8="",NA(),IF(N(C$8)=0,NA(),IF(Inputs!$C$17="Rebased to 100",$C180/C$8*100,$C180)))))</f>
        <v/>
      </c>
      <c r="J180" s="54">
        <f>IF($B180=0,NA(),IF($D180="",NA(),IF(D$8="",NA(),IF(N(D$8)=0,NA(),IF(Inputs!$C$17="Rebased to 100",$D180/D$8*100,$D180)))))</f>
        <v/>
      </c>
      <c r="K180" s="54">
        <f>IF($B180=0,NA(),IF($E180="",NA(),IF(E$8="",NA(),IF(N(E$8)=0,NA(),IF(Inputs!$C$17="Rebased to 100",$E180/E$8*100,$E180)))))</f>
        <v/>
      </c>
      <c r="L180" s="54">
        <f>IF($B180=0,NA(),IF($F180="",NA(),IF(F$8="",NA(),IF(N(F$8)=0,NA(),IF(Inputs!$C$17="Rebased to 100",$F180/F$8*100,$F180)))))</f>
        <v/>
      </c>
      <c r="M180" s="54">
        <f>IF($B180=0,NA(),IF($G180="",NA(),IF(G$8="",NA(),IF(N(G$8)=0,NA(),IF(Inputs!$C$17="Rebased to 100",$G180/G$8*100,$G180)))))</f>
        <v/>
      </c>
      <c r="N180" s="54">
        <f>IF($B180=0,NA(),IF(Inputs!$C$18&lt;&gt;"Yes",NA(),IF(COUNT(I180,J180,K180,L180,M180)=0,NA(),MIN(I180,J180,K180,L180,M180))))</f>
        <v/>
      </c>
      <c r="O180" s="54">
        <f>IF($B180=0,NA(),IF(Inputs!$B$24&lt;&gt;"Yes",NA(),Inputs!$D$24*Inputs!$C$35))</f>
        <v/>
      </c>
      <c r="P180" s="54">
        <f>IF($B180=0,NA(),IF(Inputs!$B$25&lt;&gt;"Yes",NA(),Inputs!$D$25*Inputs!$C$35))</f>
        <v/>
      </c>
      <c r="Q180" s="54">
        <f>IF($B180=0,NA(),IF(Inputs!$B$26&lt;&gt;"Yes",NA(),Inputs!$D$26*Inputs!$C$35))</f>
        <v/>
      </c>
      <c r="R180" s="54">
        <f>IF($B180=0,NA(),IF(Inputs!$B$27&lt;&gt;"Yes",NA(),Inputs!$D$27*Inputs!$C$35))</f>
        <v/>
      </c>
      <c r="S180" s="54">
        <f>IF($B180=0,NA(),IF(Inputs!$B$28&lt;&gt;"Yes",NA(),Inputs!$D$28*Inputs!$C$35))</f>
        <v/>
      </c>
      <c r="T180" s="54">
        <f>IF($B180=0,NA(),IF(Inputs!$B$29&lt;&gt;"Yes",NA(),Inputs!$D$29*Inputs!$C$35))</f>
        <v/>
      </c>
      <c r="AD180">
        <f>IF($B180=0,0,IF(Inputs!$B$6="",0,COUNTIFS(Data!$A$10:$A$3209,"&gt;="&amp;$A180,Data!$A$10:$A$3209,"&lt;"&amp;$A180+1)))</f>
        <v/>
      </c>
      <c r="AE180">
        <f>IF($B180=0,0,IF(Inputs!$B$7="",0,COUNTIFS(Data!$E$10:$E$3209,"&gt;="&amp;$A180,Data!$E$10:$E$3209,"&lt;"&amp;$A180+1)))</f>
        <v/>
      </c>
      <c r="AF180">
        <f>IF($B180=0,0,IF(Inputs!$B$8="",0,COUNTIFS(Data!$I$10:$I$3209,"&gt;="&amp;$A180,Data!$I$10:$I$3209,"&lt;"&amp;$A180+1)))</f>
        <v/>
      </c>
      <c r="AG180">
        <f>IF($B180=0,0,IF(Inputs!$B$9="",0,COUNTIFS(Data!$M$10:$M$3209,"&gt;="&amp;$A180,Data!$M$10:$M$3209,"&lt;"&amp;$A180+1)))</f>
        <v/>
      </c>
      <c r="AH180">
        <f>IF($B180=0,0,IF(Inputs!$B$10="",0,COUNTIFS(Data!$Q$10:$Q$3209,"&gt;="&amp;$A180,Data!$Q$10:$Q$3209,"&lt;"&amp;$A180+1)))</f>
        <v/>
      </c>
    </row>
    <row r="181">
      <c r="A181" s="55">
        <f>MIN(Inputs!$C$15,$A180+IF(WEEKDAY($A180,2)=5,3,1))</f>
        <v/>
      </c>
      <c r="B181">
        <f>IF($A181&gt;$A180,1,0)</f>
        <v/>
      </c>
      <c r="C181" s="56">
        <f>IF($B181=0,"",IF(Inputs!$B$6="","",IF($AD181=0,C180,SUMIFS(Data!$B$10:$B$3209,Data!$A$10:$A$3209,"&gt;="&amp;$A181,Data!$A$10:$A$3209,"&lt;"&amp;$A181+1)/$AD181)))</f>
        <v/>
      </c>
      <c r="D181" s="56">
        <f>IF($B181=0,"",IF(Inputs!$B$7="","",IF($AE181=0,D180,SUMIFS(Data!$F$10:$F$3209,Data!$E$10:$E$3209,"&gt;="&amp;$A181,Data!$E$10:$E$3209,"&lt;"&amp;$A181+1)/$AE181)))</f>
        <v/>
      </c>
      <c r="E181" s="56">
        <f>IF($B181=0,"",IF(Inputs!$B$8="","",IF($AF181=0,E180,SUMIFS(Data!$J$10:$J$3209,Data!$I$10:$I$3209,"&gt;="&amp;$A181,Data!$I$10:$I$3209,"&lt;"&amp;$A181+1)/$AF181)))</f>
        <v/>
      </c>
      <c r="F181" s="56">
        <f>IF($B181=0,"",IF(Inputs!$B$9="","",IF($AG181=0,F180,SUMIFS(Data!$N$10:$N$3209,Data!$M$10:$M$3209,"&gt;="&amp;$A181,Data!$M$10:$M$3209,"&lt;"&amp;$A181+1)/$AG181)))</f>
        <v/>
      </c>
      <c r="G181" s="56">
        <f>IF($B181=0,"",IF(Inputs!$B$10="","",IF($AH181=0,G180,SUMIFS(Data!$R$10:$R$3209,Data!$Q$10:$Q$3209,"&gt;="&amp;$A181,Data!$Q$10:$Q$3209,"&lt;"&amp;$A181+1)/$AH181)))</f>
        <v/>
      </c>
      <c r="I181" s="54">
        <f>IF($B181=0,NA(),IF($C181="",NA(),IF(C$8="",NA(),IF(N(C$8)=0,NA(),IF(Inputs!$C$17="Rebased to 100",$C181/C$8*100,$C181)))))</f>
        <v/>
      </c>
      <c r="J181" s="54">
        <f>IF($B181=0,NA(),IF($D181="",NA(),IF(D$8="",NA(),IF(N(D$8)=0,NA(),IF(Inputs!$C$17="Rebased to 100",$D181/D$8*100,$D181)))))</f>
        <v/>
      </c>
      <c r="K181" s="54">
        <f>IF($B181=0,NA(),IF($E181="",NA(),IF(E$8="",NA(),IF(N(E$8)=0,NA(),IF(Inputs!$C$17="Rebased to 100",$E181/E$8*100,$E181)))))</f>
        <v/>
      </c>
      <c r="L181" s="54">
        <f>IF($B181=0,NA(),IF($F181="",NA(),IF(F$8="",NA(),IF(N(F$8)=0,NA(),IF(Inputs!$C$17="Rebased to 100",$F181/F$8*100,$F181)))))</f>
        <v/>
      </c>
      <c r="M181" s="54">
        <f>IF($B181=0,NA(),IF($G181="",NA(),IF(G$8="",NA(),IF(N(G$8)=0,NA(),IF(Inputs!$C$17="Rebased to 100",$G181/G$8*100,$G181)))))</f>
        <v/>
      </c>
      <c r="N181" s="54">
        <f>IF($B181=0,NA(),IF(Inputs!$C$18&lt;&gt;"Yes",NA(),IF(COUNT(I181,J181,K181,L181,M181)=0,NA(),MIN(I181,J181,K181,L181,M181))))</f>
        <v/>
      </c>
      <c r="O181" s="54">
        <f>IF($B181=0,NA(),IF(Inputs!$B$24&lt;&gt;"Yes",NA(),Inputs!$D$24*Inputs!$C$35))</f>
        <v/>
      </c>
      <c r="P181" s="54">
        <f>IF($B181=0,NA(),IF(Inputs!$B$25&lt;&gt;"Yes",NA(),Inputs!$D$25*Inputs!$C$35))</f>
        <v/>
      </c>
      <c r="Q181" s="54">
        <f>IF($B181=0,NA(),IF(Inputs!$B$26&lt;&gt;"Yes",NA(),Inputs!$D$26*Inputs!$C$35))</f>
        <v/>
      </c>
      <c r="R181" s="54">
        <f>IF($B181=0,NA(),IF(Inputs!$B$27&lt;&gt;"Yes",NA(),Inputs!$D$27*Inputs!$C$35))</f>
        <v/>
      </c>
      <c r="S181" s="54">
        <f>IF($B181=0,NA(),IF(Inputs!$B$28&lt;&gt;"Yes",NA(),Inputs!$D$28*Inputs!$C$35))</f>
        <v/>
      </c>
      <c r="T181" s="54">
        <f>IF($B181=0,NA(),IF(Inputs!$B$29&lt;&gt;"Yes",NA(),Inputs!$D$29*Inputs!$C$35))</f>
        <v/>
      </c>
      <c r="AD181">
        <f>IF($B181=0,0,IF(Inputs!$B$6="",0,COUNTIFS(Data!$A$10:$A$3209,"&gt;="&amp;$A181,Data!$A$10:$A$3209,"&lt;"&amp;$A181+1)))</f>
        <v/>
      </c>
      <c r="AE181">
        <f>IF($B181=0,0,IF(Inputs!$B$7="",0,COUNTIFS(Data!$E$10:$E$3209,"&gt;="&amp;$A181,Data!$E$10:$E$3209,"&lt;"&amp;$A181+1)))</f>
        <v/>
      </c>
      <c r="AF181">
        <f>IF($B181=0,0,IF(Inputs!$B$8="",0,COUNTIFS(Data!$I$10:$I$3209,"&gt;="&amp;$A181,Data!$I$10:$I$3209,"&lt;"&amp;$A181+1)))</f>
        <v/>
      </c>
      <c r="AG181">
        <f>IF($B181=0,0,IF(Inputs!$B$9="",0,COUNTIFS(Data!$M$10:$M$3209,"&gt;="&amp;$A181,Data!$M$10:$M$3209,"&lt;"&amp;$A181+1)))</f>
        <v/>
      </c>
      <c r="AH181">
        <f>IF($B181=0,0,IF(Inputs!$B$10="",0,COUNTIFS(Data!$Q$10:$Q$3209,"&gt;="&amp;$A181,Data!$Q$10:$Q$3209,"&lt;"&amp;$A181+1)))</f>
        <v/>
      </c>
    </row>
    <row r="182">
      <c r="A182" s="55">
        <f>MIN(Inputs!$C$15,$A181+IF(WEEKDAY($A181,2)=5,3,1))</f>
        <v/>
      </c>
      <c r="B182">
        <f>IF($A182&gt;$A181,1,0)</f>
        <v/>
      </c>
      <c r="C182" s="56">
        <f>IF($B182=0,"",IF(Inputs!$B$6="","",IF($AD182=0,C181,SUMIFS(Data!$B$10:$B$3209,Data!$A$10:$A$3209,"&gt;="&amp;$A182,Data!$A$10:$A$3209,"&lt;"&amp;$A182+1)/$AD182)))</f>
        <v/>
      </c>
      <c r="D182" s="56">
        <f>IF($B182=0,"",IF(Inputs!$B$7="","",IF($AE182=0,D181,SUMIFS(Data!$F$10:$F$3209,Data!$E$10:$E$3209,"&gt;="&amp;$A182,Data!$E$10:$E$3209,"&lt;"&amp;$A182+1)/$AE182)))</f>
        <v/>
      </c>
      <c r="E182" s="56">
        <f>IF($B182=0,"",IF(Inputs!$B$8="","",IF($AF182=0,E181,SUMIFS(Data!$J$10:$J$3209,Data!$I$10:$I$3209,"&gt;="&amp;$A182,Data!$I$10:$I$3209,"&lt;"&amp;$A182+1)/$AF182)))</f>
        <v/>
      </c>
      <c r="F182" s="56">
        <f>IF($B182=0,"",IF(Inputs!$B$9="","",IF($AG182=0,F181,SUMIFS(Data!$N$10:$N$3209,Data!$M$10:$M$3209,"&gt;="&amp;$A182,Data!$M$10:$M$3209,"&lt;"&amp;$A182+1)/$AG182)))</f>
        <v/>
      </c>
      <c r="G182" s="56">
        <f>IF($B182=0,"",IF(Inputs!$B$10="","",IF($AH182=0,G181,SUMIFS(Data!$R$10:$R$3209,Data!$Q$10:$Q$3209,"&gt;="&amp;$A182,Data!$Q$10:$Q$3209,"&lt;"&amp;$A182+1)/$AH182)))</f>
        <v/>
      </c>
      <c r="I182" s="54">
        <f>IF($B182=0,NA(),IF($C182="",NA(),IF(C$8="",NA(),IF(N(C$8)=0,NA(),IF(Inputs!$C$17="Rebased to 100",$C182/C$8*100,$C182)))))</f>
        <v/>
      </c>
      <c r="J182" s="54">
        <f>IF($B182=0,NA(),IF($D182="",NA(),IF(D$8="",NA(),IF(N(D$8)=0,NA(),IF(Inputs!$C$17="Rebased to 100",$D182/D$8*100,$D182)))))</f>
        <v/>
      </c>
      <c r="K182" s="54">
        <f>IF($B182=0,NA(),IF($E182="",NA(),IF(E$8="",NA(),IF(N(E$8)=0,NA(),IF(Inputs!$C$17="Rebased to 100",$E182/E$8*100,$E182)))))</f>
        <v/>
      </c>
      <c r="L182" s="54">
        <f>IF($B182=0,NA(),IF($F182="",NA(),IF(F$8="",NA(),IF(N(F$8)=0,NA(),IF(Inputs!$C$17="Rebased to 100",$F182/F$8*100,$F182)))))</f>
        <v/>
      </c>
      <c r="M182" s="54">
        <f>IF($B182=0,NA(),IF($G182="",NA(),IF(G$8="",NA(),IF(N(G$8)=0,NA(),IF(Inputs!$C$17="Rebased to 100",$G182/G$8*100,$G182)))))</f>
        <v/>
      </c>
      <c r="N182" s="54">
        <f>IF($B182=0,NA(),IF(Inputs!$C$18&lt;&gt;"Yes",NA(),IF(COUNT(I182,J182,K182,L182,M182)=0,NA(),MIN(I182,J182,K182,L182,M182))))</f>
        <v/>
      </c>
      <c r="O182" s="54">
        <f>IF($B182=0,NA(),IF(Inputs!$B$24&lt;&gt;"Yes",NA(),Inputs!$D$24*Inputs!$C$35))</f>
        <v/>
      </c>
      <c r="P182" s="54">
        <f>IF($B182=0,NA(),IF(Inputs!$B$25&lt;&gt;"Yes",NA(),Inputs!$D$25*Inputs!$C$35))</f>
        <v/>
      </c>
      <c r="Q182" s="54">
        <f>IF($B182=0,NA(),IF(Inputs!$B$26&lt;&gt;"Yes",NA(),Inputs!$D$26*Inputs!$C$35))</f>
        <v/>
      </c>
      <c r="R182" s="54">
        <f>IF($B182=0,NA(),IF(Inputs!$B$27&lt;&gt;"Yes",NA(),Inputs!$D$27*Inputs!$C$35))</f>
        <v/>
      </c>
      <c r="S182" s="54">
        <f>IF($B182=0,NA(),IF(Inputs!$B$28&lt;&gt;"Yes",NA(),Inputs!$D$28*Inputs!$C$35))</f>
        <v/>
      </c>
      <c r="T182" s="54">
        <f>IF($B182=0,NA(),IF(Inputs!$B$29&lt;&gt;"Yes",NA(),Inputs!$D$29*Inputs!$C$35))</f>
        <v/>
      </c>
      <c r="AD182">
        <f>IF($B182=0,0,IF(Inputs!$B$6="",0,COUNTIFS(Data!$A$10:$A$3209,"&gt;="&amp;$A182,Data!$A$10:$A$3209,"&lt;"&amp;$A182+1)))</f>
        <v/>
      </c>
      <c r="AE182">
        <f>IF($B182=0,0,IF(Inputs!$B$7="",0,COUNTIFS(Data!$E$10:$E$3209,"&gt;="&amp;$A182,Data!$E$10:$E$3209,"&lt;"&amp;$A182+1)))</f>
        <v/>
      </c>
      <c r="AF182">
        <f>IF($B182=0,0,IF(Inputs!$B$8="",0,COUNTIFS(Data!$I$10:$I$3209,"&gt;="&amp;$A182,Data!$I$10:$I$3209,"&lt;"&amp;$A182+1)))</f>
        <v/>
      </c>
      <c r="AG182">
        <f>IF($B182=0,0,IF(Inputs!$B$9="",0,COUNTIFS(Data!$M$10:$M$3209,"&gt;="&amp;$A182,Data!$M$10:$M$3209,"&lt;"&amp;$A182+1)))</f>
        <v/>
      </c>
      <c r="AH182">
        <f>IF($B182=0,0,IF(Inputs!$B$10="",0,COUNTIFS(Data!$Q$10:$Q$3209,"&gt;="&amp;$A182,Data!$Q$10:$Q$3209,"&lt;"&amp;$A182+1)))</f>
        <v/>
      </c>
    </row>
    <row r="183">
      <c r="A183" s="55">
        <f>MIN(Inputs!$C$15,$A182+IF(WEEKDAY($A182,2)=5,3,1))</f>
        <v/>
      </c>
      <c r="B183">
        <f>IF($A183&gt;$A182,1,0)</f>
        <v/>
      </c>
      <c r="C183" s="56">
        <f>IF($B183=0,"",IF(Inputs!$B$6="","",IF($AD183=0,C182,SUMIFS(Data!$B$10:$B$3209,Data!$A$10:$A$3209,"&gt;="&amp;$A183,Data!$A$10:$A$3209,"&lt;"&amp;$A183+1)/$AD183)))</f>
        <v/>
      </c>
      <c r="D183" s="56">
        <f>IF($B183=0,"",IF(Inputs!$B$7="","",IF($AE183=0,D182,SUMIFS(Data!$F$10:$F$3209,Data!$E$10:$E$3209,"&gt;="&amp;$A183,Data!$E$10:$E$3209,"&lt;"&amp;$A183+1)/$AE183)))</f>
        <v/>
      </c>
      <c r="E183" s="56">
        <f>IF($B183=0,"",IF(Inputs!$B$8="","",IF($AF183=0,E182,SUMIFS(Data!$J$10:$J$3209,Data!$I$10:$I$3209,"&gt;="&amp;$A183,Data!$I$10:$I$3209,"&lt;"&amp;$A183+1)/$AF183)))</f>
        <v/>
      </c>
      <c r="F183" s="56">
        <f>IF($B183=0,"",IF(Inputs!$B$9="","",IF($AG183=0,F182,SUMIFS(Data!$N$10:$N$3209,Data!$M$10:$M$3209,"&gt;="&amp;$A183,Data!$M$10:$M$3209,"&lt;"&amp;$A183+1)/$AG183)))</f>
        <v/>
      </c>
      <c r="G183" s="56">
        <f>IF($B183=0,"",IF(Inputs!$B$10="","",IF($AH183=0,G182,SUMIFS(Data!$R$10:$R$3209,Data!$Q$10:$Q$3209,"&gt;="&amp;$A183,Data!$Q$10:$Q$3209,"&lt;"&amp;$A183+1)/$AH183)))</f>
        <v/>
      </c>
      <c r="I183" s="54">
        <f>IF($B183=0,NA(),IF($C183="",NA(),IF(C$8="",NA(),IF(N(C$8)=0,NA(),IF(Inputs!$C$17="Rebased to 100",$C183/C$8*100,$C183)))))</f>
        <v/>
      </c>
      <c r="J183" s="54">
        <f>IF($B183=0,NA(),IF($D183="",NA(),IF(D$8="",NA(),IF(N(D$8)=0,NA(),IF(Inputs!$C$17="Rebased to 100",$D183/D$8*100,$D183)))))</f>
        <v/>
      </c>
      <c r="K183" s="54">
        <f>IF($B183=0,NA(),IF($E183="",NA(),IF(E$8="",NA(),IF(N(E$8)=0,NA(),IF(Inputs!$C$17="Rebased to 100",$E183/E$8*100,$E183)))))</f>
        <v/>
      </c>
      <c r="L183" s="54">
        <f>IF($B183=0,NA(),IF($F183="",NA(),IF(F$8="",NA(),IF(N(F$8)=0,NA(),IF(Inputs!$C$17="Rebased to 100",$F183/F$8*100,$F183)))))</f>
        <v/>
      </c>
      <c r="M183" s="54">
        <f>IF($B183=0,NA(),IF($G183="",NA(),IF(G$8="",NA(),IF(N(G$8)=0,NA(),IF(Inputs!$C$17="Rebased to 100",$G183/G$8*100,$G183)))))</f>
        <v/>
      </c>
      <c r="N183" s="54">
        <f>IF($B183=0,NA(),IF(Inputs!$C$18&lt;&gt;"Yes",NA(),IF(COUNT(I183,J183,K183,L183,M183)=0,NA(),MIN(I183,J183,K183,L183,M183))))</f>
        <v/>
      </c>
      <c r="O183" s="54">
        <f>IF($B183=0,NA(),IF(Inputs!$B$24&lt;&gt;"Yes",NA(),Inputs!$D$24*Inputs!$C$35))</f>
        <v/>
      </c>
      <c r="P183" s="54">
        <f>IF($B183=0,NA(),IF(Inputs!$B$25&lt;&gt;"Yes",NA(),Inputs!$D$25*Inputs!$C$35))</f>
        <v/>
      </c>
      <c r="Q183" s="54">
        <f>IF($B183=0,NA(),IF(Inputs!$B$26&lt;&gt;"Yes",NA(),Inputs!$D$26*Inputs!$C$35))</f>
        <v/>
      </c>
      <c r="R183" s="54">
        <f>IF($B183=0,NA(),IF(Inputs!$B$27&lt;&gt;"Yes",NA(),Inputs!$D$27*Inputs!$C$35))</f>
        <v/>
      </c>
      <c r="S183" s="54">
        <f>IF($B183=0,NA(),IF(Inputs!$B$28&lt;&gt;"Yes",NA(),Inputs!$D$28*Inputs!$C$35))</f>
        <v/>
      </c>
      <c r="T183" s="54">
        <f>IF($B183=0,NA(),IF(Inputs!$B$29&lt;&gt;"Yes",NA(),Inputs!$D$29*Inputs!$C$35))</f>
        <v/>
      </c>
      <c r="AD183">
        <f>IF($B183=0,0,IF(Inputs!$B$6="",0,COUNTIFS(Data!$A$10:$A$3209,"&gt;="&amp;$A183,Data!$A$10:$A$3209,"&lt;"&amp;$A183+1)))</f>
        <v/>
      </c>
      <c r="AE183">
        <f>IF($B183=0,0,IF(Inputs!$B$7="",0,COUNTIFS(Data!$E$10:$E$3209,"&gt;="&amp;$A183,Data!$E$10:$E$3209,"&lt;"&amp;$A183+1)))</f>
        <v/>
      </c>
      <c r="AF183">
        <f>IF($B183=0,0,IF(Inputs!$B$8="",0,COUNTIFS(Data!$I$10:$I$3209,"&gt;="&amp;$A183,Data!$I$10:$I$3209,"&lt;"&amp;$A183+1)))</f>
        <v/>
      </c>
      <c r="AG183">
        <f>IF($B183=0,0,IF(Inputs!$B$9="",0,COUNTIFS(Data!$M$10:$M$3209,"&gt;="&amp;$A183,Data!$M$10:$M$3209,"&lt;"&amp;$A183+1)))</f>
        <v/>
      </c>
      <c r="AH183">
        <f>IF($B183=0,0,IF(Inputs!$B$10="",0,COUNTIFS(Data!$Q$10:$Q$3209,"&gt;="&amp;$A183,Data!$Q$10:$Q$3209,"&lt;"&amp;$A183+1)))</f>
        <v/>
      </c>
    </row>
    <row r="184">
      <c r="A184" s="55">
        <f>MIN(Inputs!$C$15,$A183+IF(WEEKDAY($A183,2)=5,3,1))</f>
        <v/>
      </c>
      <c r="B184">
        <f>IF($A184&gt;$A183,1,0)</f>
        <v/>
      </c>
      <c r="C184" s="56">
        <f>IF($B184=0,"",IF(Inputs!$B$6="","",IF($AD184=0,C183,SUMIFS(Data!$B$10:$B$3209,Data!$A$10:$A$3209,"&gt;="&amp;$A184,Data!$A$10:$A$3209,"&lt;"&amp;$A184+1)/$AD184)))</f>
        <v/>
      </c>
      <c r="D184" s="56">
        <f>IF($B184=0,"",IF(Inputs!$B$7="","",IF($AE184=0,D183,SUMIFS(Data!$F$10:$F$3209,Data!$E$10:$E$3209,"&gt;="&amp;$A184,Data!$E$10:$E$3209,"&lt;"&amp;$A184+1)/$AE184)))</f>
        <v/>
      </c>
      <c r="E184" s="56">
        <f>IF($B184=0,"",IF(Inputs!$B$8="","",IF($AF184=0,E183,SUMIFS(Data!$J$10:$J$3209,Data!$I$10:$I$3209,"&gt;="&amp;$A184,Data!$I$10:$I$3209,"&lt;"&amp;$A184+1)/$AF184)))</f>
        <v/>
      </c>
      <c r="F184" s="56">
        <f>IF($B184=0,"",IF(Inputs!$B$9="","",IF($AG184=0,F183,SUMIFS(Data!$N$10:$N$3209,Data!$M$10:$M$3209,"&gt;="&amp;$A184,Data!$M$10:$M$3209,"&lt;"&amp;$A184+1)/$AG184)))</f>
        <v/>
      </c>
      <c r="G184" s="56">
        <f>IF($B184=0,"",IF(Inputs!$B$10="","",IF($AH184=0,G183,SUMIFS(Data!$R$10:$R$3209,Data!$Q$10:$Q$3209,"&gt;="&amp;$A184,Data!$Q$10:$Q$3209,"&lt;"&amp;$A184+1)/$AH184)))</f>
        <v/>
      </c>
      <c r="I184" s="54">
        <f>IF($B184=0,NA(),IF($C184="",NA(),IF(C$8="",NA(),IF(N(C$8)=0,NA(),IF(Inputs!$C$17="Rebased to 100",$C184/C$8*100,$C184)))))</f>
        <v/>
      </c>
      <c r="J184" s="54">
        <f>IF($B184=0,NA(),IF($D184="",NA(),IF(D$8="",NA(),IF(N(D$8)=0,NA(),IF(Inputs!$C$17="Rebased to 100",$D184/D$8*100,$D184)))))</f>
        <v/>
      </c>
      <c r="K184" s="54">
        <f>IF($B184=0,NA(),IF($E184="",NA(),IF(E$8="",NA(),IF(N(E$8)=0,NA(),IF(Inputs!$C$17="Rebased to 100",$E184/E$8*100,$E184)))))</f>
        <v/>
      </c>
      <c r="L184" s="54">
        <f>IF($B184=0,NA(),IF($F184="",NA(),IF(F$8="",NA(),IF(N(F$8)=0,NA(),IF(Inputs!$C$17="Rebased to 100",$F184/F$8*100,$F184)))))</f>
        <v/>
      </c>
      <c r="M184" s="54">
        <f>IF($B184=0,NA(),IF($G184="",NA(),IF(G$8="",NA(),IF(N(G$8)=0,NA(),IF(Inputs!$C$17="Rebased to 100",$G184/G$8*100,$G184)))))</f>
        <v/>
      </c>
      <c r="N184" s="54">
        <f>IF($B184=0,NA(),IF(Inputs!$C$18&lt;&gt;"Yes",NA(),IF(COUNT(I184,J184,K184,L184,M184)=0,NA(),MIN(I184,J184,K184,L184,M184))))</f>
        <v/>
      </c>
      <c r="O184" s="54">
        <f>IF($B184=0,NA(),IF(Inputs!$B$24&lt;&gt;"Yes",NA(),Inputs!$D$24*Inputs!$C$35))</f>
        <v/>
      </c>
      <c r="P184" s="54">
        <f>IF($B184=0,NA(),IF(Inputs!$B$25&lt;&gt;"Yes",NA(),Inputs!$D$25*Inputs!$C$35))</f>
        <v/>
      </c>
      <c r="Q184" s="54">
        <f>IF($B184=0,NA(),IF(Inputs!$B$26&lt;&gt;"Yes",NA(),Inputs!$D$26*Inputs!$C$35))</f>
        <v/>
      </c>
      <c r="R184" s="54">
        <f>IF($B184=0,NA(),IF(Inputs!$B$27&lt;&gt;"Yes",NA(),Inputs!$D$27*Inputs!$C$35))</f>
        <v/>
      </c>
      <c r="S184" s="54">
        <f>IF($B184=0,NA(),IF(Inputs!$B$28&lt;&gt;"Yes",NA(),Inputs!$D$28*Inputs!$C$35))</f>
        <v/>
      </c>
      <c r="T184" s="54">
        <f>IF($B184=0,NA(),IF(Inputs!$B$29&lt;&gt;"Yes",NA(),Inputs!$D$29*Inputs!$C$35))</f>
        <v/>
      </c>
      <c r="AD184">
        <f>IF($B184=0,0,IF(Inputs!$B$6="",0,COUNTIFS(Data!$A$10:$A$3209,"&gt;="&amp;$A184,Data!$A$10:$A$3209,"&lt;"&amp;$A184+1)))</f>
        <v/>
      </c>
      <c r="AE184">
        <f>IF($B184=0,0,IF(Inputs!$B$7="",0,COUNTIFS(Data!$E$10:$E$3209,"&gt;="&amp;$A184,Data!$E$10:$E$3209,"&lt;"&amp;$A184+1)))</f>
        <v/>
      </c>
      <c r="AF184">
        <f>IF($B184=0,0,IF(Inputs!$B$8="",0,COUNTIFS(Data!$I$10:$I$3209,"&gt;="&amp;$A184,Data!$I$10:$I$3209,"&lt;"&amp;$A184+1)))</f>
        <v/>
      </c>
      <c r="AG184">
        <f>IF($B184=0,0,IF(Inputs!$B$9="",0,COUNTIFS(Data!$M$10:$M$3209,"&gt;="&amp;$A184,Data!$M$10:$M$3209,"&lt;"&amp;$A184+1)))</f>
        <v/>
      </c>
      <c r="AH184">
        <f>IF($B184=0,0,IF(Inputs!$B$10="",0,COUNTIFS(Data!$Q$10:$Q$3209,"&gt;="&amp;$A184,Data!$Q$10:$Q$3209,"&lt;"&amp;$A184+1)))</f>
        <v/>
      </c>
    </row>
    <row r="185">
      <c r="A185" s="55">
        <f>MIN(Inputs!$C$15,$A184+IF(WEEKDAY($A184,2)=5,3,1))</f>
        <v/>
      </c>
      <c r="B185">
        <f>IF($A185&gt;$A184,1,0)</f>
        <v/>
      </c>
      <c r="C185" s="56">
        <f>IF($B185=0,"",IF(Inputs!$B$6="","",IF($AD185=0,C184,SUMIFS(Data!$B$10:$B$3209,Data!$A$10:$A$3209,"&gt;="&amp;$A185,Data!$A$10:$A$3209,"&lt;"&amp;$A185+1)/$AD185)))</f>
        <v/>
      </c>
      <c r="D185" s="56">
        <f>IF($B185=0,"",IF(Inputs!$B$7="","",IF($AE185=0,D184,SUMIFS(Data!$F$10:$F$3209,Data!$E$10:$E$3209,"&gt;="&amp;$A185,Data!$E$10:$E$3209,"&lt;"&amp;$A185+1)/$AE185)))</f>
        <v/>
      </c>
      <c r="E185" s="56">
        <f>IF($B185=0,"",IF(Inputs!$B$8="","",IF($AF185=0,E184,SUMIFS(Data!$J$10:$J$3209,Data!$I$10:$I$3209,"&gt;="&amp;$A185,Data!$I$10:$I$3209,"&lt;"&amp;$A185+1)/$AF185)))</f>
        <v/>
      </c>
      <c r="F185" s="56">
        <f>IF($B185=0,"",IF(Inputs!$B$9="","",IF($AG185=0,F184,SUMIFS(Data!$N$10:$N$3209,Data!$M$10:$M$3209,"&gt;="&amp;$A185,Data!$M$10:$M$3209,"&lt;"&amp;$A185+1)/$AG185)))</f>
        <v/>
      </c>
      <c r="G185" s="56">
        <f>IF($B185=0,"",IF(Inputs!$B$10="","",IF($AH185=0,G184,SUMIFS(Data!$R$10:$R$3209,Data!$Q$10:$Q$3209,"&gt;="&amp;$A185,Data!$Q$10:$Q$3209,"&lt;"&amp;$A185+1)/$AH185)))</f>
        <v/>
      </c>
      <c r="I185" s="54">
        <f>IF($B185=0,NA(),IF($C185="",NA(),IF(C$8="",NA(),IF(N(C$8)=0,NA(),IF(Inputs!$C$17="Rebased to 100",$C185/C$8*100,$C185)))))</f>
        <v/>
      </c>
      <c r="J185" s="54">
        <f>IF($B185=0,NA(),IF($D185="",NA(),IF(D$8="",NA(),IF(N(D$8)=0,NA(),IF(Inputs!$C$17="Rebased to 100",$D185/D$8*100,$D185)))))</f>
        <v/>
      </c>
      <c r="K185" s="54">
        <f>IF($B185=0,NA(),IF($E185="",NA(),IF(E$8="",NA(),IF(N(E$8)=0,NA(),IF(Inputs!$C$17="Rebased to 100",$E185/E$8*100,$E185)))))</f>
        <v/>
      </c>
      <c r="L185" s="54">
        <f>IF($B185=0,NA(),IF($F185="",NA(),IF(F$8="",NA(),IF(N(F$8)=0,NA(),IF(Inputs!$C$17="Rebased to 100",$F185/F$8*100,$F185)))))</f>
        <v/>
      </c>
      <c r="M185" s="54">
        <f>IF($B185=0,NA(),IF($G185="",NA(),IF(G$8="",NA(),IF(N(G$8)=0,NA(),IF(Inputs!$C$17="Rebased to 100",$G185/G$8*100,$G185)))))</f>
        <v/>
      </c>
      <c r="N185" s="54">
        <f>IF($B185=0,NA(),IF(Inputs!$C$18&lt;&gt;"Yes",NA(),IF(COUNT(I185,J185,K185,L185,M185)=0,NA(),MIN(I185,J185,K185,L185,M185))))</f>
        <v/>
      </c>
      <c r="O185" s="54">
        <f>IF($B185=0,NA(),IF(Inputs!$B$24&lt;&gt;"Yes",NA(),Inputs!$D$24*Inputs!$C$35))</f>
        <v/>
      </c>
      <c r="P185" s="54">
        <f>IF($B185=0,NA(),IF(Inputs!$B$25&lt;&gt;"Yes",NA(),Inputs!$D$25*Inputs!$C$35))</f>
        <v/>
      </c>
      <c r="Q185" s="54">
        <f>IF($B185=0,NA(),IF(Inputs!$B$26&lt;&gt;"Yes",NA(),Inputs!$D$26*Inputs!$C$35))</f>
        <v/>
      </c>
      <c r="R185" s="54">
        <f>IF($B185=0,NA(),IF(Inputs!$B$27&lt;&gt;"Yes",NA(),Inputs!$D$27*Inputs!$C$35))</f>
        <v/>
      </c>
      <c r="S185" s="54">
        <f>IF($B185=0,NA(),IF(Inputs!$B$28&lt;&gt;"Yes",NA(),Inputs!$D$28*Inputs!$C$35))</f>
        <v/>
      </c>
      <c r="T185" s="54">
        <f>IF($B185=0,NA(),IF(Inputs!$B$29&lt;&gt;"Yes",NA(),Inputs!$D$29*Inputs!$C$35))</f>
        <v/>
      </c>
      <c r="AD185">
        <f>IF($B185=0,0,IF(Inputs!$B$6="",0,COUNTIFS(Data!$A$10:$A$3209,"&gt;="&amp;$A185,Data!$A$10:$A$3209,"&lt;"&amp;$A185+1)))</f>
        <v/>
      </c>
      <c r="AE185">
        <f>IF($B185=0,0,IF(Inputs!$B$7="",0,COUNTIFS(Data!$E$10:$E$3209,"&gt;="&amp;$A185,Data!$E$10:$E$3209,"&lt;"&amp;$A185+1)))</f>
        <v/>
      </c>
      <c r="AF185">
        <f>IF($B185=0,0,IF(Inputs!$B$8="",0,COUNTIFS(Data!$I$10:$I$3209,"&gt;="&amp;$A185,Data!$I$10:$I$3209,"&lt;"&amp;$A185+1)))</f>
        <v/>
      </c>
      <c r="AG185">
        <f>IF($B185=0,0,IF(Inputs!$B$9="",0,COUNTIFS(Data!$M$10:$M$3209,"&gt;="&amp;$A185,Data!$M$10:$M$3209,"&lt;"&amp;$A185+1)))</f>
        <v/>
      </c>
      <c r="AH185">
        <f>IF($B185=0,0,IF(Inputs!$B$10="",0,COUNTIFS(Data!$Q$10:$Q$3209,"&gt;="&amp;$A185,Data!$Q$10:$Q$3209,"&lt;"&amp;$A185+1)))</f>
        <v/>
      </c>
    </row>
    <row r="186">
      <c r="A186" s="55">
        <f>MIN(Inputs!$C$15,$A185+IF(WEEKDAY($A185,2)=5,3,1))</f>
        <v/>
      </c>
      <c r="B186">
        <f>IF($A186&gt;$A185,1,0)</f>
        <v/>
      </c>
      <c r="C186" s="56">
        <f>IF($B186=0,"",IF(Inputs!$B$6="","",IF($AD186=0,C185,SUMIFS(Data!$B$10:$B$3209,Data!$A$10:$A$3209,"&gt;="&amp;$A186,Data!$A$10:$A$3209,"&lt;"&amp;$A186+1)/$AD186)))</f>
        <v/>
      </c>
      <c r="D186" s="56">
        <f>IF($B186=0,"",IF(Inputs!$B$7="","",IF($AE186=0,D185,SUMIFS(Data!$F$10:$F$3209,Data!$E$10:$E$3209,"&gt;="&amp;$A186,Data!$E$10:$E$3209,"&lt;"&amp;$A186+1)/$AE186)))</f>
        <v/>
      </c>
      <c r="E186" s="56">
        <f>IF($B186=0,"",IF(Inputs!$B$8="","",IF($AF186=0,E185,SUMIFS(Data!$J$10:$J$3209,Data!$I$10:$I$3209,"&gt;="&amp;$A186,Data!$I$10:$I$3209,"&lt;"&amp;$A186+1)/$AF186)))</f>
        <v/>
      </c>
      <c r="F186" s="56">
        <f>IF($B186=0,"",IF(Inputs!$B$9="","",IF($AG186=0,F185,SUMIFS(Data!$N$10:$N$3209,Data!$M$10:$M$3209,"&gt;="&amp;$A186,Data!$M$10:$M$3209,"&lt;"&amp;$A186+1)/$AG186)))</f>
        <v/>
      </c>
      <c r="G186" s="56">
        <f>IF($B186=0,"",IF(Inputs!$B$10="","",IF($AH186=0,G185,SUMIFS(Data!$R$10:$R$3209,Data!$Q$10:$Q$3209,"&gt;="&amp;$A186,Data!$Q$10:$Q$3209,"&lt;"&amp;$A186+1)/$AH186)))</f>
        <v/>
      </c>
      <c r="I186" s="54">
        <f>IF($B186=0,NA(),IF($C186="",NA(),IF(C$8="",NA(),IF(N(C$8)=0,NA(),IF(Inputs!$C$17="Rebased to 100",$C186/C$8*100,$C186)))))</f>
        <v/>
      </c>
      <c r="J186" s="54">
        <f>IF($B186=0,NA(),IF($D186="",NA(),IF(D$8="",NA(),IF(N(D$8)=0,NA(),IF(Inputs!$C$17="Rebased to 100",$D186/D$8*100,$D186)))))</f>
        <v/>
      </c>
      <c r="K186" s="54">
        <f>IF($B186=0,NA(),IF($E186="",NA(),IF(E$8="",NA(),IF(N(E$8)=0,NA(),IF(Inputs!$C$17="Rebased to 100",$E186/E$8*100,$E186)))))</f>
        <v/>
      </c>
      <c r="L186" s="54">
        <f>IF($B186=0,NA(),IF($F186="",NA(),IF(F$8="",NA(),IF(N(F$8)=0,NA(),IF(Inputs!$C$17="Rebased to 100",$F186/F$8*100,$F186)))))</f>
        <v/>
      </c>
      <c r="M186" s="54">
        <f>IF($B186=0,NA(),IF($G186="",NA(),IF(G$8="",NA(),IF(N(G$8)=0,NA(),IF(Inputs!$C$17="Rebased to 100",$G186/G$8*100,$G186)))))</f>
        <v/>
      </c>
      <c r="N186" s="54">
        <f>IF($B186=0,NA(),IF(Inputs!$C$18&lt;&gt;"Yes",NA(),IF(COUNT(I186,J186,K186,L186,M186)=0,NA(),MIN(I186,J186,K186,L186,M186))))</f>
        <v/>
      </c>
      <c r="O186" s="54">
        <f>IF($B186=0,NA(),IF(Inputs!$B$24&lt;&gt;"Yes",NA(),Inputs!$D$24*Inputs!$C$35))</f>
        <v/>
      </c>
      <c r="P186" s="54">
        <f>IF($B186=0,NA(),IF(Inputs!$B$25&lt;&gt;"Yes",NA(),Inputs!$D$25*Inputs!$C$35))</f>
        <v/>
      </c>
      <c r="Q186" s="54">
        <f>IF($B186=0,NA(),IF(Inputs!$B$26&lt;&gt;"Yes",NA(),Inputs!$D$26*Inputs!$C$35))</f>
        <v/>
      </c>
      <c r="R186" s="54">
        <f>IF($B186=0,NA(),IF(Inputs!$B$27&lt;&gt;"Yes",NA(),Inputs!$D$27*Inputs!$C$35))</f>
        <v/>
      </c>
      <c r="S186" s="54">
        <f>IF($B186=0,NA(),IF(Inputs!$B$28&lt;&gt;"Yes",NA(),Inputs!$D$28*Inputs!$C$35))</f>
        <v/>
      </c>
      <c r="T186" s="54">
        <f>IF($B186=0,NA(),IF(Inputs!$B$29&lt;&gt;"Yes",NA(),Inputs!$D$29*Inputs!$C$35))</f>
        <v/>
      </c>
      <c r="AD186">
        <f>IF($B186=0,0,IF(Inputs!$B$6="",0,COUNTIFS(Data!$A$10:$A$3209,"&gt;="&amp;$A186,Data!$A$10:$A$3209,"&lt;"&amp;$A186+1)))</f>
        <v/>
      </c>
      <c r="AE186">
        <f>IF($B186=0,0,IF(Inputs!$B$7="",0,COUNTIFS(Data!$E$10:$E$3209,"&gt;="&amp;$A186,Data!$E$10:$E$3209,"&lt;"&amp;$A186+1)))</f>
        <v/>
      </c>
      <c r="AF186">
        <f>IF($B186=0,0,IF(Inputs!$B$8="",0,COUNTIFS(Data!$I$10:$I$3209,"&gt;="&amp;$A186,Data!$I$10:$I$3209,"&lt;"&amp;$A186+1)))</f>
        <v/>
      </c>
      <c r="AG186">
        <f>IF($B186=0,0,IF(Inputs!$B$9="",0,COUNTIFS(Data!$M$10:$M$3209,"&gt;="&amp;$A186,Data!$M$10:$M$3209,"&lt;"&amp;$A186+1)))</f>
        <v/>
      </c>
      <c r="AH186">
        <f>IF($B186=0,0,IF(Inputs!$B$10="",0,COUNTIFS(Data!$Q$10:$Q$3209,"&gt;="&amp;$A186,Data!$Q$10:$Q$3209,"&lt;"&amp;$A186+1)))</f>
        <v/>
      </c>
    </row>
    <row r="187">
      <c r="A187" s="55">
        <f>MIN(Inputs!$C$15,$A186+IF(WEEKDAY($A186,2)=5,3,1))</f>
        <v/>
      </c>
      <c r="B187">
        <f>IF($A187&gt;$A186,1,0)</f>
        <v/>
      </c>
      <c r="C187" s="56">
        <f>IF($B187=0,"",IF(Inputs!$B$6="","",IF($AD187=0,C186,SUMIFS(Data!$B$10:$B$3209,Data!$A$10:$A$3209,"&gt;="&amp;$A187,Data!$A$10:$A$3209,"&lt;"&amp;$A187+1)/$AD187)))</f>
        <v/>
      </c>
      <c r="D187" s="56">
        <f>IF($B187=0,"",IF(Inputs!$B$7="","",IF($AE187=0,D186,SUMIFS(Data!$F$10:$F$3209,Data!$E$10:$E$3209,"&gt;="&amp;$A187,Data!$E$10:$E$3209,"&lt;"&amp;$A187+1)/$AE187)))</f>
        <v/>
      </c>
      <c r="E187" s="56">
        <f>IF($B187=0,"",IF(Inputs!$B$8="","",IF($AF187=0,E186,SUMIFS(Data!$J$10:$J$3209,Data!$I$10:$I$3209,"&gt;="&amp;$A187,Data!$I$10:$I$3209,"&lt;"&amp;$A187+1)/$AF187)))</f>
        <v/>
      </c>
      <c r="F187" s="56">
        <f>IF($B187=0,"",IF(Inputs!$B$9="","",IF($AG187=0,F186,SUMIFS(Data!$N$10:$N$3209,Data!$M$10:$M$3209,"&gt;="&amp;$A187,Data!$M$10:$M$3209,"&lt;"&amp;$A187+1)/$AG187)))</f>
        <v/>
      </c>
      <c r="G187" s="56">
        <f>IF($B187=0,"",IF(Inputs!$B$10="","",IF($AH187=0,G186,SUMIFS(Data!$R$10:$R$3209,Data!$Q$10:$Q$3209,"&gt;="&amp;$A187,Data!$Q$10:$Q$3209,"&lt;"&amp;$A187+1)/$AH187)))</f>
        <v/>
      </c>
      <c r="I187" s="54">
        <f>IF($B187=0,NA(),IF($C187="",NA(),IF(C$8="",NA(),IF(N(C$8)=0,NA(),IF(Inputs!$C$17="Rebased to 100",$C187/C$8*100,$C187)))))</f>
        <v/>
      </c>
      <c r="J187" s="54">
        <f>IF($B187=0,NA(),IF($D187="",NA(),IF(D$8="",NA(),IF(N(D$8)=0,NA(),IF(Inputs!$C$17="Rebased to 100",$D187/D$8*100,$D187)))))</f>
        <v/>
      </c>
      <c r="K187" s="54">
        <f>IF($B187=0,NA(),IF($E187="",NA(),IF(E$8="",NA(),IF(N(E$8)=0,NA(),IF(Inputs!$C$17="Rebased to 100",$E187/E$8*100,$E187)))))</f>
        <v/>
      </c>
      <c r="L187" s="54">
        <f>IF($B187=0,NA(),IF($F187="",NA(),IF(F$8="",NA(),IF(N(F$8)=0,NA(),IF(Inputs!$C$17="Rebased to 100",$F187/F$8*100,$F187)))))</f>
        <v/>
      </c>
      <c r="M187" s="54">
        <f>IF($B187=0,NA(),IF($G187="",NA(),IF(G$8="",NA(),IF(N(G$8)=0,NA(),IF(Inputs!$C$17="Rebased to 100",$G187/G$8*100,$G187)))))</f>
        <v/>
      </c>
      <c r="N187" s="54">
        <f>IF($B187=0,NA(),IF(Inputs!$C$18&lt;&gt;"Yes",NA(),IF(COUNT(I187,J187,K187,L187,M187)=0,NA(),MIN(I187,J187,K187,L187,M187))))</f>
        <v/>
      </c>
      <c r="O187" s="54">
        <f>IF($B187=0,NA(),IF(Inputs!$B$24&lt;&gt;"Yes",NA(),Inputs!$D$24*Inputs!$C$35))</f>
        <v/>
      </c>
      <c r="P187" s="54">
        <f>IF($B187=0,NA(),IF(Inputs!$B$25&lt;&gt;"Yes",NA(),Inputs!$D$25*Inputs!$C$35))</f>
        <v/>
      </c>
      <c r="Q187" s="54">
        <f>IF($B187=0,NA(),IF(Inputs!$B$26&lt;&gt;"Yes",NA(),Inputs!$D$26*Inputs!$C$35))</f>
        <v/>
      </c>
      <c r="R187" s="54">
        <f>IF($B187=0,NA(),IF(Inputs!$B$27&lt;&gt;"Yes",NA(),Inputs!$D$27*Inputs!$C$35))</f>
        <v/>
      </c>
      <c r="S187" s="54">
        <f>IF($B187=0,NA(),IF(Inputs!$B$28&lt;&gt;"Yes",NA(),Inputs!$D$28*Inputs!$C$35))</f>
        <v/>
      </c>
      <c r="T187" s="54">
        <f>IF($B187=0,NA(),IF(Inputs!$B$29&lt;&gt;"Yes",NA(),Inputs!$D$29*Inputs!$C$35))</f>
        <v/>
      </c>
      <c r="AD187">
        <f>IF($B187=0,0,IF(Inputs!$B$6="",0,COUNTIFS(Data!$A$10:$A$3209,"&gt;="&amp;$A187,Data!$A$10:$A$3209,"&lt;"&amp;$A187+1)))</f>
        <v/>
      </c>
      <c r="AE187">
        <f>IF($B187=0,0,IF(Inputs!$B$7="",0,COUNTIFS(Data!$E$10:$E$3209,"&gt;="&amp;$A187,Data!$E$10:$E$3209,"&lt;"&amp;$A187+1)))</f>
        <v/>
      </c>
      <c r="AF187">
        <f>IF($B187=0,0,IF(Inputs!$B$8="",0,COUNTIFS(Data!$I$10:$I$3209,"&gt;="&amp;$A187,Data!$I$10:$I$3209,"&lt;"&amp;$A187+1)))</f>
        <v/>
      </c>
      <c r="AG187">
        <f>IF($B187=0,0,IF(Inputs!$B$9="",0,COUNTIFS(Data!$M$10:$M$3209,"&gt;="&amp;$A187,Data!$M$10:$M$3209,"&lt;"&amp;$A187+1)))</f>
        <v/>
      </c>
      <c r="AH187">
        <f>IF($B187=0,0,IF(Inputs!$B$10="",0,COUNTIFS(Data!$Q$10:$Q$3209,"&gt;="&amp;$A187,Data!$Q$10:$Q$3209,"&lt;"&amp;$A187+1)))</f>
        <v/>
      </c>
    </row>
    <row r="188">
      <c r="A188" s="55">
        <f>MIN(Inputs!$C$15,$A187+IF(WEEKDAY($A187,2)=5,3,1))</f>
        <v/>
      </c>
      <c r="B188">
        <f>IF($A188&gt;$A187,1,0)</f>
        <v/>
      </c>
      <c r="C188" s="56">
        <f>IF($B188=0,"",IF(Inputs!$B$6="","",IF($AD188=0,C187,SUMIFS(Data!$B$10:$B$3209,Data!$A$10:$A$3209,"&gt;="&amp;$A188,Data!$A$10:$A$3209,"&lt;"&amp;$A188+1)/$AD188)))</f>
        <v/>
      </c>
      <c r="D188" s="56">
        <f>IF($B188=0,"",IF(Inputs!$B$7="","",IF($AE188=0,D187,SUMIFS(Data!$F$10:$F$3209,Data!$E$10:$E$3209,"&gt;="&amp;$A188,Data!$E$10:$E$3209,"&lt;"&amp;$A188+1)/$AE188)))</f>
        <v/>
      </c>
      <c r="E188" s="56">
        <f>IF($B188=0,"",IF(Inputs!$B$8="","",IF($AF188=0,E187,SUMIFS(Data!$J$10:$J$3209,Data!$I$10:$I$3209,"&gt;="&amp;$A188,Data!$I$10:$I$3209,"&lt;"&amp;$A188+1)/$AF188)))</f>
        <v/>
      </c>
      <c r="F188" s="56">
        <f>IF($B188=0,"",IF(Inputs!$B$9="","",IF($AG188=0,F187,SUMIFS(Data!$N$10:$N$3209,Data!$M$10:$M$3209,"&gt;="&amp;$A188,Data!$M$10:$M$3209,"&lt;"&amp;$A188+1)/$AG188)))</f>
        <v/>
      </c>
      <c r="G188" s="56">
        <f>IF($B188=0,"",IF(Inputs!$B$10="","",IF($AH188=0,G187,SUMIFS(Data!$R$10:$R$3209,Data!$Q$10:$Q$3209,"&gt;="&amp;$A188,Data!$Q$10:$Q$3209,"&lt;"&amp;$A188+1)/$AH188)))</f>
        <v/>
      </c>
      <c r="I188" s="54">
        <f>IF($B188=0,NA(),IF($C188="",NA(),IF(C$8="",NA(),IF(N(C$8)=0,NA(),IF(Inputs!$C$17="Rebased to 100",$C188/C$8*100,$C188)))))</f>
        <v/>
      </c>
      <c r="J188" s="54">
        <f>IF($B188=0,NA(),IF($D188="",NA(),IF(D$8="",NA(),IF(N(D$8)=0,NA(),IF(Inputs!$C$17="Rebased to 100",$D188/D$8*100,$D188)))))</f>
        <v/>
      </c>
      <c r="K188" s="54">
        <f>IF($B188=0,NA(),IF($E188="",NA(),IF(E$8="",NA(),IF(N(E$8)=0,NA(),IF(Inputs!$C$17="Rebased to 100",$E188/E$8*100,$E188)))))</f>
        <v/>
      </c>
      <c r="L188" s="54">
        <f>IF($B188=0,NA(),IF($F188="",NA(),IF(F$8="",NA(),IF(N(F$8)=0,NA(),IF(Inputs!$C$17="Rebased to 100",$F188/F$8*100,$F188)))))</f>
        <v/>
      </c>
      <c r="M188" s="54">
        <f>IF($B188=0,NA(),IF($G188="",NA(),IF(G$8="",NA(),IF(N(G$8)=0,NA(),IF(Inputs!$C$17="Rebased to 100",$G188/G$8*100,$G188)))))</f>
        <v/>
      </c>
      <c r="N188" s="54">
        <f>IF($B188=0,NA(),IF(Inputs!$C$18&lt;&gt;"Yes",NA(),IF(COUNT(I188,J188,K188,L188,M188)=0,NA(),MIN(I188,J188,K188,L188,M188))))</f>
        <v/>
      </c>
      <c r="O188" s="54">
        <f>IF($B188=0,NA(),IF(Inputs!$B$24&lt;&gt;"Yes",NA(),Inputs!$D$24*Inputs!$C$35))</f>
        <v/>
      </c>
      <c r="P188" s="54">
        <f>IF($B188=0,NA(),IF(Inputs!$B$25&lt;&gt;"Yes",NA(),Inputs!$D$25*Inputs!$C$35))</f>
        <v/>
      </c>
      <c r="Q188" s="54">
        <f>IF($B188=0,NA(),IF(Inputs!$B$26&lt;&gt;"Yes",NA(),Inputs!$D$26*Inputs!$C$35))</f>
        <v/>
      </c>
      <c r="R188" s="54">
        <f>IF($B188=0,NA(),IF(Inputs!$B$27&lt;&gt;"Yes",NA(),Inputs!$D$27*Inputs!$C$35))</f>
        <v/>
      </c>
      <c r="S188" s="54">
        <f>IF($B188=0,NA(),IF(Inputs!$B$28&lt;&gt;"Yes",NA(),Inputs!$D$28*Inputs!$C$35))</f>
        <v/>
      </c>
      <c r="T188" s="54">
        <f>IF($B188=0,NA(),IF(Inputs!$B$29&lt;&gt;"Yes",NA(),Inputs!$D$29*Inputs!$C$35))</f>
        <v/>
      </c>
      <c r="AD188">
        <f>IF($B188=0,0,IF(Inputs!$B$6="",0,COUNTIFS(Data!$A$10:$A$3209,"&gt;="&amp;$A188,Data!$A$10:$A$3209,"&lt;"&amp;$A188+1)))</f>
        <v/>
      </c>
      <c r="AE188">
        <f>IF($B188=0,0,IF(Inputs!$B$7="",0,COUNTIFS(Data!$E$10:$E$3209,"&gt;="&amp;$A188,Data!$E$10:$E$3209,"&lt;"&amp;$A188+1)))</f>
        <v/>
      </c>
      <c r="AF188">
        <f>IF($B188=0,0,IF(Inputs!$B$8="",0,COUNTIFS(Data!$I$10:$I$3209,"&gt;="&amp;$A188,Data!$I$10:$I$3209,"&lt;"&amp;$A188+1)))</f>
        <v/>
      </c>
      <c r="AG188">
        <f>IF($B188=0,0,IF(Inputs!$B$9="",0,COUNTIFS(Data!$M$10:$M$3209,"&gt;="&amp;$A188,Data!$M$10:$M$3209,"&lt;"&amp;$A188+1)))</f>
        <v/>
      </c>
      <c r="AH188">
        <f>IF($B188=0,0,IF(Inputs!$B$10="",0,COUNTIFS(Data!$Q$10:$Q$3209,"&gt;="&amp;$A188,Data!$Q$10:$Q$3209,"&lt;"&amp;$A188+1)))</f>
        <v/>
      </c>
    </row>
    <row r="189">
      <c r="A189" s="55">
        <f>MIN(Inputs!$C$15,$A188+IF(WEEKDAY($A188,2)=5,3,1))</f>
        <v/>
      </c>
      <c r="B189">
        <f>IF($A189&gt;$A188,1,0)</f>
        <v/>
      </c>
      <c r="C189" s="56">
        <f>IF($B189=0,"",IF(Inputs!$B$6="","",IF($AD189=0,C188,SUMIFS(Data!$B$10:$B$3209,Data!$A$10:$A$3209,"&gt;="&amp;$A189,Data!$A$10:$A$3209,"&lt;"&amp;$A189+1)/$AD189)))</f>
        <v/>
      </c>
      <c r="D189" s="56">
        <f>IF($B189=0,"",IF(Inputs!$B$7="","",IF($AE189=0,D188,SUMIFS(Data!$F$10:$F$3209,Data!$E$10:$E$3209,"&gt;="&amp;$A189,Data!$E$10:$E$3209,"&lt;"&amp;$A189+1)/$AE189)))</f>
        <v/>
      </c>
      <c r="E189" s="56">
        <f>IF($B189=0,"",IF(Inputs!$B$8="","",IF($AF189=0,E188,SUMIFS(Data!$J$10:$J$3209,Data!$I$10:$I$3209,"&gt;="&amp;$A189,Data!$I$10:$I$3209,"&lt;"&amp;$A189+1)/$AF189)))</f>
        <v/>
      </c>
      <c r="F189" s="56">
        <f>IF($B189=0,"",IF(Inputs!$B$9="","",IF($AG189=0,F188,SUMIFS(Data!$N$10:$N$3209,Data!$M$10:$M$3209,"&gt;="&amp;$A189,Data!$M$10:$M$3209,"&lt;"&amp;$A189+1)/$AG189)))</f>
        <v/>
      </c>
      <c r="G189" s="56">
        <f>IF($B189=0,"",IF(Inputs!$B$10="","",IF($AH189=0,G188,SUMIFS(Data!$R$10:$R$3209,Data!$Q$10:$Q$3209,"&gt;="&amp;$A189,Data!$Q$10:$Q$3209,"&lt;"&amp;$A189+1)/$AH189)))</f>
        <v/>
      </c>
      <c r="I189" s="54">
        <f>IF($B189=0,NA(),IF($C189="",NA(),IF(C$8="",NA(),IF(N(C$8)=0,NA(),IF(Inputs!$C$17="Rebased to 100",$C189/C$8*100,$C189)))))</f>
        <v/>
      </c>
      <c r="J189" s="54">
        <f>IF($B189=0,NA(),IF($D189="",NA(),IF(D$8="",NA(),IF(N(D$8)=0,NA(),IF(Inputs!$C$17="Rebased to 100",$D189/D$8*100,$D189)))))</f>
        <v/>
      </c>
      <c r="K189" s="54">
        <f>IF($B189=0,NA(),IF($E189="",NA(),IF(E$8="",NA(),IF(N(E$8)=0,NA(),IF(Inputs!$C$17="Rebased to 100",$E189/E$8*100,$E189)))))</f>
        <v/>
      </c>
      <c r="L189" s="54">
        <f>IF($B189=0,NA(),IF($F189="",NA(),IF(F$8="",NA(),IF(N(F$8)=0,NA(),IF(Inputs!$C$17="Rebased to 100",$F189/F$8*100,$F189)))))</f>
        <v/>
      </c>
      <c r="M189" s="54">
        <f>IF($B189=0,NA(),IF($G189="",NA(),IF(G$8="",NA(),IF(N(G$8)=0,NA(),IF(Inputs!$C$17="Rebased to 100",$G189/G$8*100,$G189)))))</f>
        <v/>
      </c>
      <c r="N189" s="54">
        <f>IF($B189=0,NA(),IF(Inputs!$C$18&lt;&gt;"Yes",NA(),IF(COUNT(I189,J189,K189,L189,M189)=0,NA(),MIN(I189,J189,K189,L189,M189))))</f>
        <v/>
      </c>
      <c r="O189" s="54">
        <f>IF($B189=0,NA(),IF(Inputs!$B$24&lt;&gt;"Yes",NA(),Inputs!$D$24*Inputs!$C$35))</f>
        <v/>
      </c>
      <c r="P189" s="54">
        <f>IF($B189=0,NA(),IF(Inputs!$B$25&lt;&gt;"Yes",NA(),Inputs!$D$25*Inputs!$C$35))</f>
        <v/>
      </c>
      <c r="Q189" s="54">
        <f>IF($B189=0,NA(),IF(Inputs!$B$26&lt;&gt;"Yes",NA(),Inputs!$D$26*Inputs!$C$35))</f>
        <v/>
      </c>
      <c r="R189" s="54">
        <f>IF($B189=0,NA(),IF(Inputs!$B$27&lt;&gt;"Yes",NA(),Inputs!$D$27*Inputs!$C$35))</f>
        <v/>
      </c>
      <c r="S189" s="54">
        <f>IF($B189=0,NA(),IF(Inputs!$B$28&lt;&gt;"Yes",NA(),Inputs!$D$28*Inputs!$C$35))</f>
        <v/>
      </c>
      <c r="T189" s="54">
        <f>IF($B189=0,NA(),IF(Inputs!$B$29&lt;&gt;"Yes",NA(),Inputs!$D$29*Inputs!$C$35))</f>
        <v/>
      </c>
      <c r="AD189">
        <f>IF($B189=0,0,IF(Inputs!$B$6="",0,COUNTIFS(Data!$A$10:$A$3209,"&gt;="&amp;$A189,Data!$A$10:$A$3209,"&lt;"&amp;$A189+1)))</f>
        <v/>
      </c>
      <c r="AE189">
        <f>IF($B189=0,0,IF(Inputs!$B$7="",0,COUNTIFS(Data!$E$10:$E$3209,"&gt;="&amp;$A189,Data!$E$10:$E$3209,"&lt;"&amp;$A189+1)))</f>
        <v/>
      </c>
      <c r="AF189">
        <f>IF($B189=0,0,IF(Inputs!$B$8="",0,COUNTIFS(Data!$I$10:$I$3209,"&gt;="&amp;$A189,Data!$I$10:$I$3209,"&lt;"&amp;$A189+1)))</f>
        <v/>
      </c>
      <c r="AG189">
        <f>IF($B189=0,0,IF(Inputs!$B$9="",0,COUNTIFS(Data!$M$10:$M$3209,"&gt;="&amp;$A189,Data!$M$10:$M$3209,"&lt;"&amp;$A189+1)))</f>
        <v/>
      </c>
      <c r="AH189">
        <f>IF($B189=0,0,IF(Inputs!$B$10="",0,COUNTIFS(Data!$Q$10:$Q$3209,"&gt;="&amp;$A189,Data!$Q$10:$Q$3209,"&lt;"&amp;$A189+1)))</f>
        <v/>
      </c>
    </row>
    <row r="190">
      <c r="A190" s="55">
        <f>MIN(Inputs!$C$15,$A189+IF(WEEKDAY($A189,2)=5,3,1))</f>
        <v/>
      </c>
      <c r="B190">
        <f>IF($A190&gt;$A189,1,0)</f>
        <v/>
      </c>
      <c r="C190" s="56">
        <f>IF($B190=0,"",IF(Inputs!$B$6="","",IF($AD190=0,C189,SUMIFS(Data!$B$10:$B$3209,Data!$A$10:$A$3209,"&gt;="&amp;$A190,Data!$A$10:$A$3209,"&lt;"&amp;$A190+1)/$AD190)))</f>
        <v/>
      </c>
      <c r="D190" s="56">
        <f>IF($B190=0,"",IF(Inputs!$B$7="","",IF($AE190=0,D189,SUMIFS(Data!$F$10:$F$3209,Data!$E$10:$E$3209,"&gt;="&amp;$A190,Data!$E$10:$E$3209,"&lt;"&amp;$A190+1)/$AE190)))</f>
        <v/>
      </c>
      <c r="E190" s="56">
        <f>IF($B190=0,"",IF(Inputs!$B$8="","",IF($AF190=0,E189,SUMIFS(Data!$J$10:$J$3209,Data!$I$10:$I$3209,"&gt;="&amp;$A190,Data!$I$10:$I$3209,"&lt;"&amp;$A190+1)/$AF190)))</f>
        <v/>
      </c>
      <c r="F190" s="56">
        <f>IF($B190=0,"",IF(Inputs!$B$9="","",IF($AG190=0,F189,SUMIFS(Data!$N$10:$N$3209,Data!$M$10:$M$3209,"&gt;="&amp;$A190,Data!$M$10:$M$3209,"&lt;"&amp;$A190+1)/$AG190)))</f>
        <v/>
      </c>
      <c r="G190" s="56">
        <f>IF($B190=0,"",IF(Inputs!$B$10="","",IF($AH190=0,G189,SUMIFS(Data!$R$10:$R$3209,Data!$Q$10:$Q$3209,"&gt;="&amp;$A190,Data!$Q$10:$Q$3209,"&lt;"&amp;$A190+1)/$AH190)))</f>
        <v/>
      </c>
      <c r="I190" s="54">
        <f>IF($B190=0,NA(),IF($C190="",NA(),IF(C$8="",NA(),IF(N(C$8)=0,NA(),IF(Inputs!$C$17="Rebased to 100",$C190/C$8*100,$C190)))))</f>
        <v/>
      </c>
      <c r="J190" s="54">
        <f>IF($B190=0,NA(),IF($D190="",NA(),IF(D$8="",NA(),IF(N(D$8)=0,NA(),IF(Inputs!$C$17="Rebased to 100",$D190/D$8*100,$D190)))))</f>
        <v/>
      </c>
      <c r="K190" s="54">
        <f>IF($B190=0,NA(),IF($E190="",NA(),IF(E$8="",NA(),IF(N(E$8)=0,NA(),IF(Inputs!$C$17="Rebased to 100",$E190/E$8*100,$E190)))))</f>
        <v/>
      </c>
      <c r="L190" s="54">
        <f>IF($B190=0,NA(),IF($F190="",NA(),IF(F$8="",NA(),IF(N(F$8)=0,NA(),IF(Inputs!$C$17="Rebased to 100",$F190/F$8*100,$F190)))))</f>
        <v/>
      </c>
      <c r="M190" s="54">
        <f>IF($B190=0,NA(),IF($G190="",NA(),IF(G$8="",NA(),IF(N(G$8)=0,NA(),IF(Inputs!$C$17="Rebased to 100",$G190/G$8*100,$G190)))))</f>
        <v/>
      </c>
      <c r="N190" s="54">
        <f>IF($B190=0,NA(),IF(Inputs!$C$18&lt;&gt;"Yes",NA(),IF(COUNT(I190,J190,K190,L190,M190)=0,NA(),MIN(I190,J190,K190,L190,M190))))</f>
        <v/>
      </c>
      <c r="O190" s="54">
        <f>IF($B190=0,NA(),IF(Inputs!$B$24&lt;&gt;"Yes",NA(),Inputs!$D$24*Inputs!$C$35))</f>
        <v/>
      </c>
      <c r="P190" s="54">
        <f>IF($B190=0,NA(),IF(Inputs!$B$25&lt;&gt;"Yes",NA(),Inputs!$D$25*Inputs!$C$35))</f>
        <v/>
      </c>
      <c r="Q190" s="54">
        <f>IF($B190=0,NA(),IF(Inputs!$B$26&lt;&gt;"Yes",NA(),Inputs!$D$26*Inputs!$C$35))</f>
        <v/>
      </c>
      <c r="R190" s="54">
        <f>IF($B190=0,NA(),IF(Inputs!$B$27&lt;&gt;"Yes",NA(),Inputs!$D$27*Inputs!$C$35))</f>
        <v/>
      </c>
      <c r="S190" s="54">
        <f>IF($B190=0,NA(),IF(Inputs!$B$28&lt;&gt;"Yes",NA(),Inputs!$D$28*Inputs!$C$35))</f>
        <v/>
      </c>
      <c r="T190" s="54">
        <f>IF($B190=0,NA(),IF(Inputs!$B$29&lt;&gt;"Yes",NA(),Inputs!$D$29*Inputs!$C$35))</f>
        <v/>
      </c>
      <c r="AD190">
        <f>IF($B190=0,0,IF(Inputs!$B$6="",0,COUNTIFS(Data!$A$10:$A$3209,"&gt;="&amp;$A190,Data!$A$10:$A$3209,"&lt;"&amp;$A190+1)))</f>
        <v/>
      </c>
      <c r="AE190">
        <f>IF($B190=0,0,IF(Inputs!$B$7="",0,COUNTIFS(Data!$E$10:$E$3209,"&gt;="&amp;$A190,Data!$E$10:$E$3209,"&lt;"&amp;$A190+1)))</f>
        <v/>
      </c>
      <c r="AF190">
        <f>IF($B190=0,0,IF(Inputs!$B$8="",0,COUNTIFS(Data!$I$10:$I$3209,"&gt;="&amp;$A190,Data!$I$10:$I$3209,"&lt;"&amp;$A190+1)))</f>
        <v/>
      </c>
      <c r="AG190">
        <f>IF($B190=0,0,IF(Inputs!$B$9="",0,COUNTIFS(Data!$M$10:$M$3209,"&gt;="&amp;$A190,Data!$M$10:$M$3209,"&lt;"&amp;$A190+1)))</f>
        <v/>
      </c>
      <c r="AH190">
        <f>IF($B190=0,0,IF(Inputs!$B$10="",0,COUNTIFS(Data!$Q$10:$Q$3209,"&gt;="&amp;$A190,Data!$Q$10:$Q$3209,"&lt;"&amp;$A190+1)))</f>
        <v/>
      </c>
    </row>
    <row r="191">
      <c r="A191" s="55">
        <f>MIN(Inputs!$C$15,$A190+IF(WEEKDAY($A190,2)=5,3,1))</f>
        <v/>
      </c>
      <c r="B191">
        <f>IF($A191&gt;$A190,1,0)</f>
        <v/>
      </c>
      <c r="C191" s="56">
        <f>IF($B191=0,"",IF(Inputs!$B$6="","",IF($AD191=0,C190,SUMIFS(Data!$B$10:$B$3209,Data!$A$10:$A$3209,"&gt;="&amp;$A191,Data!$A$10:$A$3209,"&lt;"&amp;$A191+1)/$AD191)))</f>
        <v/>
      </c>
      <c r="D191" s="56">
        <f>IF($B191=0,"",IF(Inputs!$B$7="","",IF($AE191=0,D190,SUMIFS(Data!$F$10:$F$3209,Data!$E$10:$E$3209,"&gt;="&amp;$A191,Data!$E$10:$E$3209,"&lt;"&amp;$A191+1)/$AE191)))</f>
        <v/>
      </c>
      <c r="E191" s="56">
        <f>IF($B191=0,"",IF(Inputs!$B$8="","",IF($AF191=0,E190,SUMIFS(Data!$J$10:$J$3209,Data!$I$10:$I$3209,"&gt;="&amp;$A191,Data!$I$10:$I$3209,"&lt;"&amp;$A191+1)/$AF191)))</f>
        <v/>
      </c>
      <c r="F191" s="56">
        <f>IF($B191=0,"",IF(Inputs!$B$9="","",IF($AG191=0,F190,SUMIFS(Data!$N$10:$N$3209,Data!$M$10:$M$3209,"&gt;="&amp;$A191,Data!$M$10:$M$3209,"&lt;"&amp;$A191+1)/$AG191)))</f>
        <v/>
      </c>
      <c r="G191" s="56">
        <f>IF($B191=0,"",IF(Inputs!$B$10="","",IF($AH191=0,G190,SUMIFS(Data!$R$10:$R$3209,Data!$Q$10:$Q$3209,"&gt;="&amp;$A191,Data!$Q$10:$Q$3209,"&lt;"&amp;$A191+1)/$AH191)))</f>
        <v/>
      </c>
      <c r="I191" s="54">
        <f>IF($B191=0,NA(),IF($C191="",NA(),IF(C$8="",NA(),IF(N(C$8)=0,NA(),IF(Inputs!$C$17="Rebased to 100",$C191/C$8*100,$C191)))))</f>
        <v/>
      </c>
      <c r="J191" s="54">
        <f>IF($B191=0,NA(),IF($D191="",NA(),IF(D$8="",NA(),IF(N(D$8)=0,NA(),IF(Inputs!$C$17="Rebased to 100",$D191/D$8*100,$D191)))))</f>
        <v/>
      </c>
      <c r="K191" s="54">
        <f>IF($B191=0,NA(),IF($E191="",NA(),IF(E$8="",NA(),IF(N(E$8)=0,NA(),IF(Inputs!$C$17="Rebased to 100",$E191/E$8*100,$E191)))))</f>
        <v/>
      </c>
      <c r="L191" s="54">
        <f>IF($B191=0,NA(),IF($F191="",NA(),IF(F$8="",NA(),IF(N(F$8)=0,NA(),IF(Inputs!$C$17="Rebased to 100",$F191/F$8*100,$F191)))))</f>
        <v/>
      </c>
      <c r="M191" s="54">
        <f>IF($B191=0,NA(),IF($G191="",NA(),IF(G$8="",NA(),IF(N(G$8)=0,NA(),IF(Inputs!$C$17="Rebased to 100",$G191/G$8*100,$G191)))))</f>
        <v/>
      </c>
      <c r="N191" s="54">
        <f>IF($B191=0,NA(),IF(Inputs!$C$18&lt;&gt;"Yes",NA(),IF(COUNT(I191,J191,K191,L191,M191)=0,NA(),MIN(I191,J191,K191,L191,M191))))</f>
        <v/>
      </c>
      <c r="O191" s="54">
        <f>IF($B191=0,NA(),IF(Inputs!$B$24&lt;&gt;"Yes",NA(),Inputs!$D$24*Inputs!$C$35))</f>
        <v/>
      </c>
      <c r="P191" s="54">
        <f>IF($B191=0,NA(),IF(Inputs!$B$25&lt;&gt;"Yes",NA(),Inputs!$D$25*Inputs!$C$35))</f>
        <v/>
      </c>
      <c r="Q191" s="54">
        <f>IF($B191=0,NA(),IF(Inputs!$B$26&lt;&gt;"Yes",NA(),Inputs!$D$26*Inputs!$C$35))</f>
        <v/>
      </c>
      <c r="R191" s="54">
        <f>IF($B191=0,NA(),IF(Inputs!$B$27&lt;&gt;"Yes",NA(),Inputs!$D$27*Inputs!$C$35))</f>
        <v/>
      </c>
      <c r="S191" s="54">
        <f>IF($B191=0,NA(),IF(Inputs!$B$28&lt;&gt;"Yes",NA(),Inputs!$D$28*Inputs!$C$35))</f>
        <v/>
      </c>
      <c r="T191" s="54">
        <f>IF($B191=0,NA(),IF(Inputs!$B$29&lt;&gt;"Yes",NA(),Inputs!$D$29*Inputs!$C$35))</f>
        <v/>
      </c>
      <c r="AD191">
        <f>IF($B191=0,0,IF(Inputs!$B$6="",0,COUNTIFS(Data!$A$10:$A$3209,"&gt;="&amp;$A191,Data!$A$10:$A$3209,"&lt;"&amp;$A191+1)))</f>
        <v/>
      </c>
      <c r="AE191">
        <f>IF($B191=0,0,IF(Inputs!$B$7="",0,COUNTIFS(Data!$E$10:$E$3209,"&gt;="&amp;$A191,Data!$E$10:$E$3209,"&lt;"&amp;$A191+1)))</f>
        <v/>
      </c>
      <c r="AF191">
        <f>IF($B191=0,0,IF(Inputs!$B$8="",0,COUNTIFS(Data!$I$10:$I$3209,"&gt;="&amp;$A191,Data!$I$10:$I$3209,"&lt;"&amp;$A191+1)))</f>
        <v/>
      </c>
      <c r="AG191">
        <f>IF($B191=0,0,IF(Inputs!$B$9="",0,COUNTIFS(Data!$M$10:$M$3209,"&gt;="&amp;$A191,Data!$M$10:$M$3209,"&lt;"&amp;$A191+1)))</f>
        <v/>
      </c>
      <c r="AH191">
        <f>IF($B191=0,0,IF(Inputs!$B$10="",0,COUNTIFS(Data!$Q$10:$Q$3209,"&gt;="&amp;$A191,Data!$Q$10:$Q$3209,"&lt;"&amp;$A191+1)))</f>
        <v/>
      </c>
    </row>
    <row r="192">
      <c r="A192" s="55">
        <f>MIN(Inputs!$C$15,$A191+IF(WEEKDAY($A191,2)=5,3,1))</f>
        <v/>
      </c>
      <c r="B192">
        <f>IF($A192&gt;$A191,1,0)</f>
        <v/>
      </c>
      <c r="C192" s="56">
        <f>IF($B192=0,"",IF(Inputs!$B$6="","",IF($AD192=0,C191,SUMIFS(Data!$B$10:$B$3209,Data!$A$10:$A$3209,"&gt;="&amp;$A192,Data!$A$10:$A$3209,"&lt;"&amp;$A192+1)/$AD192)))</f>
        <v/>
      </c>
      <c r="D192" s="56">
        <f>IF($B192=0,"",IF(Inputs!$B$7="","",IF($AE192=0,D191,SUMIFS(Data!$F$10:$F$3209,Data!$E$10:$E$3209,"&gt;="&amp;$A192,Data!$E$10:$E$3209,"&lt;"&amp;$A192+1)/$AE192)))</f>
        <v/>
      </c>
      <c r="E192" s="56">
        <f>IF($B192=0,"",IF(Inputs!$B$8="","",IF($AF192=0,E191,SUMIFS(Data!$J$10:$J$3209,Data!$I$10:$I$3209,"&gt;="&amp;$A192,Data!$I$10:$I$3209,"&lt;"&amp;$A192+1)/$AF192)))</f>
        <v/>
      </c>
      <c r="F192" s="56">
        <f>IF($B192=0,"",IF(Inputs!$B$9="","",IF($AG192=0,F191,SUMIFS(Data!$N$10:$N$3209,Data!$M$10:$M$3209,"&gt;="&amp;$A192,Data!$M$10:$M$3209,"&lt;"&amp;$A192+1)/$AG192)))</f>
        <v/>
      </c>
      <c r="G192" s="56">
        <f>IF($B192=0,"",IF(Inputs!$B$10="","",IF($AH192=0,G191,SUMIFS(Data!$R$10:$R$3209,Data!$Q$10:$Q$3209,"&gt;="&amp;$A192,Data!$Q$10:$Q$3209,"&lt;"&amp;$A192+1)/$AH192)))</f>
        <v/>
      </c>
      <c r="I192" s="54">
        <f>IF($B192=0,NA(),IF($C192="",NA(),IF(C$8="",NA(),IF(N(C$8)=0,NA(),IF(Inputs!$C$17="Rebased to 100",$C192/C$8*100,$C192)))))</f>
        <v/>
      </c>
      <c r="J192" s="54">
        <f>IF($B192=0,NA(),IF($D192="",NA(),IF(D$8="",NA(),IF(N(D$8)=0,NA(),IF(Inputs!$C$17="Rebased to 100",$D192/D$8*100,$D192)))))</f>
        <v/>
      </c>
      <c r="K192" s="54">
        <f>IF($B192=0,NA(),IF($E192="",NA(),IF(E$8="",NA(),IF(N(E$8)=0,NA(),IF(Inputs!$C$17="Rebased to 100",$E192/E$8*100,$E192)))))</f>
        <v/>
      </c>
      <c r="L192" s="54">
        <f>IF($B192=0,NA(),IF($F192="",NA(),IF(F$8="",NA(),IF(N(F$8)=0,NA(),IF(Inputs!$C$17="Rebased to 100",$F192/F$8*100,$F192)))))</f>
        <v/>
      </c>
      <c r="M192" s="54">
        <f>IF($B192=0,NA(),IF($G192="",NA(),IF(G$8="",NA(),IF(N(G$8)=0,NA(),IF(Inputs!$C$17="Rebased to 100",$G192/G$8*100,$G192)))))</f>
        <v/>
      </c>
      <c r="N192" s="54">
        <f>IF($B192=0,NA(),IF(Inputs!$C$18&lt;&gt;"Yes",NA(),IF(COUNT(I192,J192,K192,L192,M192)=0,NA(),MIN(I192,J192,K192,L192,M192))))</f>
        <v/>
      </c>
      <c r="O192" s="54">
        <f>IF($B192=0,NA(),IF(Inputs!$B$24&lt;&gt;"Yes",NA(),Inputs!$D$24*Inputs!$C$35))</f>
        <v/>
      </c>
      <c r="P192" s="54">
        <f>IF($B192=0,NA(),IF(Inputs!$B$25&lt;&gt;"Yes",NA(),Inputs!$D$25*Inputs!$C$35))</f>
        <v/>
      </c>
      <c r="Q192" s="54">
        <f>IF($B192=0,NA(),IF(Inputs!$B$26&lt;&gt;"Yes",NA(),Inputs!$D$26*Inputs!$C$35))</f>
        <v/>
      </c>
      <c r="R192" s="54">
        <f>IF($B192=0,NA(),IF(Inputs!$B$27&lt;&gt;"Yes",NA(),Inputs!$D$27*Inputs!$C$35))</f>
        <v/>
      </c>
      <c r="S192" s="54">
        <f>IF($B192=0,NA(),IF(Inputs!$B$28&lt;&gt;"Yes",NA(),Inputs!$D$28*Inputs!$C$35))</f>
        <v/>
      </c>
      <c r="T192" s="54">
        <f>IF($B192=0,NA(),IF(Inputs!$B$29&lt;&gt;"Yes",NA(),Inputs!$D$29*Inputs!$C$35))</f>
        <v/>
      </c>
      <c r="AD192">
        <f>IF($B192=0,0,IF(Inputs!$B$6="",0,COUNTIFS(Data!$A$10:$A$3209,"&gt;="&amp;$A192,Data!$A$10:$A$3209,"&lt;"&amp;$A192+1)))</f>
        <v/>
      </c>
      <c r="AE192">
        <f>IF($B192=0,0,IF(Inputs!$B$7="",0,COUNTIFS(Data!$E$10:$E$3209,"&gt;="&amp;$A192,Data!$E$10:$E$3209,"&lt;"&amp;$A192+1)))</f>
        <v/>
      </c>
      <c r="AF192">
        <f>IF($B192=0,0,IF(Inputs!$B$8="",0,COUNTIFS(Data!$I$10:$I$3209,"&gt;="&amp;$A192,Data!$I$10:$I$3209,"&lt;"&amp;$A192+1)))</f>
        <v/>
      </c>
      <c r="AG192">
        <f>IF($B192=0,0,IF(Inputs!$B$9="",0,COUNTIFS(Data!$M$10:$M$3209,"&gt;="&amp;$A192,Data!$M$10:$M$3209,"&lt;"&amp;$A192+1)))</f>
        <v/>
      </c>
      <c r="AH192">
        <f>IF($B192=0,0,IF(Inputs!$B$10="",0,COUNTIFS(Data!$Q$10:$Q$3209,"&gt;="&amp;$A192,Data!$Q$10:$Q$3209,"&lt;"&amp;$A192+1)))</f>
        <v/>
      </c>
    </row>
    <row r="193">
      <c r="A193" s="55">
        <f>MIN(Inputs!$C$15,$A192+IF(WEEKDAY($A192,2)=5,3,1))</f>
        <v/>
      </c>
      <c r="B193">
        <f>IF($A193&gt;$A192,1,0)</f>
        <v/>
      </c>
      <c r="C193" s="56">
        <f>IF($B193=0,"",IF(Inputs!$B$6="","",IF($AD193=0,C192,SUMIFS(Data!$B$10:$B$3209,Data!$A$10:$A$3209,"&gt;="&amp;$A193,Data!$A$10:$A$3209,"&lt;"&amp;$A193+1)/$AD193)))</f>
        <v/>
      </c>
      <c r="D193" s="56">
        <f>IF($B193=0,"",IF(Inputs!$B$7="","",IF($AE193=0,D192,SUMIFS(Data!$F$10:$F$3209,Data!$E$10:$E$3209,"&gt;="&amp;$A193,Data!$E$10:$E$3209,"&lt;"&amp;$A193+1)/$AE193)))</f>
        <v/>
      </c>
      <c r="E193" s="56">
        <f>IF($B193=0,"",IF(Inputs!$B$8="","",IF($AF193=0,E192,SUMIFS(Data!$J$10:$J$3209,Data!$I$10:$I$3209,"&gt;="&amp;$A193,Data!$I$10:$I$3209,"&lt;"&amp;$A193+1)/$AF193)))</f>
        <v/>
      </c>
      <c r="F193" s="56">
        <f>IF($B193=0,"",IF(Inputs!$B$9="","",IF($AG193=0,F192,SUMIFS(Data!$N$10:$N$3209,Data!$M$10:$M$3209,"&gt;="&amp;$A193,Data!$M$10:$M$3209,"&lt;"&amp;$A193+1)/$AG193)))</f>
        <v/>
      </c>
      <c r="G193" s="56">
        <f>IF($B193=0,"",IF(Inputs!$B$10="","",IF($AH193=0,G192,SUMIFS(Data!$R$10:$R$3209,Data!$Q$10:$Q$3209,"&gt;="&amp;$A193,Data!$Q$10:$Q$3209,"&lt;"&amp;$A193+1)/$AH193)))</f>
        <v/>
      </c>
      <c r="I193" s="54">
        <f>IF($B193=0,NA(),IF($C193="",NA(),IF(C$8="",NA(),IF(N(C$8)=0,NA(),IF(Inputs!$C$17="Rebased to 100",$C193/C$8*100,$C193)))))</f>
        <v/>
      </c>
      <c r="J193" s="54">
        <f>IF($B193=0,NA(),IF($D193="",NA(),IF(D$8="",NA(),IF(N(D$8)=0,NA(),IF(Inputs!$C$17="Rebased to 100",$D193/D$8*100,$D193)))))</f>
        <v/>
      </c>
      <c r="K193" s="54">
        <f>IF($B193=0,NA(),IF($E193="",NA(),IF(E$8="",NA(),IF(N(E$8)=0,NA(),IF(Inputs!$C$17="Rebased to 100",$E193/E$8*100,$E193)))))</f>
        <v/>
      </c>
      <c r="L193" s="54">
        <f>IF($B193=0,NA(),IF($F193="",NA(),IF(F$8="",NA(),IF(N(F$8)=0,NA(),IF(Inputs!$C$17="Rebased to 100",$F193/F$8*100,$F193)))))</f>
        <v/>
      </c>
      <c r="M193" s="54">
        <f>IF($B193=0,NA(),IF($G193="",NA(),IF(G$8="",NA(),IF(N(G$8)=0,NA(),IF(Inputs!$C$17="Rebased to 100",$G193/G$8*100,$G193)))))</f>
        <v/>
      </c>
      <c r="N193" s="54">
        <f>IF($B193=0,NA(),IF(Inputs!$C$18&lt;&gt;"Yes",NA(),IF(COUNT(I193,J193,K193,L193,M193)=0,NA(),MIN(I193,J193,K193,L193,M193))))</f>
        <v/>
      </c>
      <c r="O193" s="54">
        <f>IF($B193=0,NA(),IF(Inputs!$B$24&lt;&gt;"Yes",NA(),Inputs!$D$24*Inputs!$C$35))</f>
        <v/>
      </c>
      <c r="P193" s="54">
        <f>IF($B193=0,NA(),IF(Inputs!$B$25&lt;&gt;"Yes",NA(),Inputs!$D$25*Inputs!$C$35))</f>
        <v/>
      </c>
      <c r="Q193" s="54">
        <f>IF($B193=0,NA(),IF(Inputs!$B$26&lt;&gt;"Yes",NA(),Inputs!$D$26*Inputs!$C$35))</f>
        <v/>
      </c>
      <c r="R193" s="54">
        <f>IF($B193=0,NA(),IF(Inputs!$B$27&lt;&gt;"Yes",NA(),Inputs!$D$27*Inputs!$C$35))</f>
        <v/>
      </c>
      <c r="S193" s="54">
        <f>IF($B193=0,NA(),IF(Inputs!$B$28&lt;&gt;"Yes",NA(),Inputs!$D$28*Inputs!$C$35))</f>
        <v/>
      </c>
      <c r="T193" s="54">
        <f>IF($B193=0,NA(),IF(Inputs!$B$29&lt;&gt;"Yes",NA(),Inputs!$D$29*Inputs!$C$35))</f>
        <v/>
      </c>
      <c r="AD193">
        <f>IF($B193=0,0,IF(Inputs!$B$6="",0,COUNTIFS(Data!$A$10:$A$3209,"&gt;="&amp;$A193,Data!$A$10:$A$3209,"&lt;"&amp;$A193+1)))</f>
        <v/>
      </c>
      <c r="AE193">
        <f>IF($B193=0,0,IF(Inputs!$B$7="",0,COUNTIFS(Data!$E$10:$E$3209,"&gt;="&amp;$A193,Data!$E$10:$E$3209,"&lt;"&amp;$A193+1)))</f>
        <v/>
      </c>
      <c r="AF193">
        <f>IF($B193=0,0,IF(Inputs!$B$8="",0,COUNTIFS(Data!$I$10:$I$3209,"&gt;="&amp;$A193,Data!$I$10:$I$3209,"&lt;"&amp;$A193+1)))</f>
        <v/>
      </c>
      <c r="AG193">
        <f>IF($B193=0,0,IF(Inputs!$B$9="",0,COUNTIFS(Data!$M$10:$M$3209,"&gt;="&amp;$A193,Data!$M$10:$M$3209,"&lt;"&amp;$A193+1)))</f>
        <v/>
      </c>
      <c r="AH193">
        <f>IF($B193=0,0,IF(Inputs!$B$10="",0,COUNTIFS(Data!$Q$10:$Q$3209,"&gt;="&amp;$A193,Data!$Q$10:$Q$3209,"&lt;"&amp;$A193+1)))</f>
        <v/>
      </c>
    </row>
    <row r="194">
      <c r="A194" s="55">
        <f>MIN(Inputs!$C$15,$A193+IF(WEEKDAY($A193,2)=5,3,1))</f>
        <v/>
      </c>
      <c r="B194">
        <f>IF($A194&gt;$A193,1,0)</f>
        <v/>
      </c>
      <c r="C194" s="56">
        <f>IF($B194=0,"",IF(Inputs!$B$6="","",IF($AD194=0,C193,SUMIFS(Data!$B$10:$B$3209,Data!$A$10:$A$3209,"&gt;="&amp;$A194,Data!$A$10:$A$3209,"&lt;"&amp;$A194+1)/$AD194)))</f>
        <v/>
      </c>
      <c r="D194" s="56">
        <f>IF($B194=0,"",IF(Inputs!$B$7="","",IF($AE194=0,D193,SUMIFS(Data!$F$10:$F$3209,Data!$E$10:$E$3209,"&gt;="&amp;$A194,Data!$E$10:$E$3209,"&lt;"&amp;$A194+1)/$AE194)))</f>
        <v/>
      </c>
      <c r="E194" s="56">
        <f>IF($B194=0,"",IF(Inputs!$B$8="","",IF($AF194=0,E193,SUMIFS(Data!$J$10:$J$3209,Data!$I$10:$I$3209,"&gt;="&amp;$A194,Data!$I$10:$I$3209,"&lt;"&amp;$A194+1)/$AF194)))</f>
        <v/>
      </c>
      <c r="F194" s="56">
        <f>IF($B194=0,"",IF(Inputs!$B$9="","",IF($AG194=0,F193,SUMIFS(Data!$N$10:$N$3209,Data!$M$10:$M$3209,"&gt;="&amp;$A194,Data!$M$10:$M$3209,"&lt;"&amp;$A194+1)/$AG194)))</f>
        <v/>
      </c>
      <c r="G194" s="56">
        <f>IF($B194=0,"",IF(Inputs!$B$10="","",IF($AH194=0,G193,SUMIFS(Data!$R$10:$R$3209,Data!$Q$10:$Q$3209,"&gt;="&amp;$A194,Data!$Q$10:$Q$3209,"&lt;"&amp;$A194+1)/$AH194)))</f>
        <v/>
      </c>
      <c r="I194" s="54">
        <f>IF($B194=0,NA(),IF($C194="",NA(),IF(C$8="",NA(),IF(N(C$8)=0,NA(),IF(Inputs!$C$17="Rebased to 100",$C194/C$8*100,$C194)))))</f>
        <v/>
      </c>
      <c r="J194" s="54">
        <f>IF($B194=0,NA(),IF($D194="",NA(),IF(D$8="",NA(),IF(N(D$8)=0,NA(),IF(Inputs!$C$17="Rebased to 100",$D194/D$8*100,$D194)))))</f>
        <v/>
      </c>
      <c r="K194" s="54">
        <f>IF($B194=0,NA(),IF($E194="",NA(),IF(E$8="",NA(),IF(N(E$8)=0,NA(),IF(Inputs!$C$17="Rebased to 100",$E194/E$8*100,$E194)))))</f>
        <v/>
      </c>
      <c r="L194" s="54">
        <f>IF($B194=0,NA(),IF($F194="",NA(),IF(F$8="",NA(),IF(N(F$8)=0,NA(),IF(Inputs!$C$17="Rebased to 100",$F194/F$8*100,$F194)))))</f>
        <v/>
      </c>
      <c r="M194" s="54">
        <f>IF($B194=0,NA(),IF($G194="",NA(),IF(G$8="",NA(),IF(N(G$8)=0,NA(),IF(Inputs!$C$17="Rebased to 100",$G194/G$8*100,$G194)))))</f>
        <v/>
      </c>
      <c r="N194" s="54">
        <f>IF($B194=0,NA(),IF(Inputs!$C$18&lt;&gt;"Yes",NA(),IF(COUNT(I194,J194,K194,L194,M194)=0,NA(),MIN(I194,J194,K194,L194,M194))))</f>
        <v/>
      </c>
      <c r="O194" s="54">
        <f>IF($B194=0,NA(),IF(Inputs!$B$24&lt;&gt;"Yes",NA(),Inputs!$D$24*Inputs!$C$35))</f>
        <v/>
      </c>
      <c r="P194" s="54">
        <f>IF($B194=0,NA(),IF(Inputs!$B$25&lt;&gt;"Yes",NA(),Inputs!$D$25*Inputs!$C$35))</f>
        <v/>
      </c>
      <c r="Q194" s="54">
        <f>IF($B194=0,NA(),IF(Inputs!$B$26&lt;&gt;"Yes",NA(),Inputs!$D$26*Inputs!$C$35))</f>
        <v/>
      </c>
      <c r="R194" s="54">
        <f>IF($B194=0,NA(),IF(Inputs!$B$27&lt;&gt;"Yes",NA(),Inputs!$D$27*Inputs!$C$35))</f>
        <v/>
      </c>
      <c r="S194" s="54">
        <f>IF($B194=0,NA(),IF(Inputs!$B$28&lt;&gt;"Yes",NA(),Inputs!$D$28*Inputs!$C$35))</f>
        <v/>
      </c>
      <c r="T194" s="54">
        <f>IF($B194=0,NA(),IF(Inputs!$B$29&lt;&gt;"Yes",NA(),Inputs!$D$29*Inputs!$C$35))</f>
        <v/>
      </c>
      <c r="AD194">
        <f>IF($B194=0,0,IF(Inputs!$B$6="",0,COUNTIFS(Data!$A$10:$A$3209,"&gt;="&amp;$A194,Data!$A$10:$A$3209,"&lt;"&amp;$A194+1)))</f>
        <v/>
      </c>
      <c r="AE194">
        <f>IF($B194=0,0,IF(Inputs!$B$7="",0,COUNTIFS(Data!$E$10:$E$3209,"&gt;="&amp;$A194,Data!$E$10:$E$3209,"&lt;"&amp;$A194+1)))</f>
        <v/>
      </c>
      <c r="AF194">
        <f>IF($B194=0,0,IF(Inputs!$B$8="",0,COUNTIFS(Data!$I$10:$I$3209,"&gt;="&amp;$A194,Data!$I$10:$I$3209,"&lt;"&amp;$A194+1)))</f>
        <v/>
      </c>
      <c r="AG194">
        <f>IF($B194=0,0,IF(Inputs!$B$9="",0,COUNTIFS(Data!$M$10:$M$3209,"&gt;="&amp;$A194,Data!$M$10:$M$3209,"&lt;"&amp;$A194+1)))</f>
        <v/>
      </c>
      <c r="AH194">
        <f>IF($B194=0,0,IF(Inputs!$B$10="",0,COUNTIFS(Data!$Q$10:$Q$3209,"&gt;="&amp;$A194,Data!$Q$10:$Q$3209,"&lt;"&amp;$A194+1)))</f>
        <v/>
      </c>
    </row>
    <row r="195">
      <c r="A195" s="55">
        <f>MIN(Inputs!$C$15,$A194+IF(WEEKDAY($A194,2)=5,3,1))</f>
        <v/>
      </c>
      <c r="B195">
        <f>IF($A195&gt;$A194,1,0)</f>
        <v/>
      </c>
      <c r="C195" s="56">
        <f>IF($B195=0,"",IF(Inputs!$B$6="","",IF($AD195=0,C194,SUMIFS(Data!$B$10:$B$3209,Data!$A$10:$A$3209,"&gt;="&amp;$A195,Data!$A$10:$A$3209,"&lt;"&amp;$A195+1)/$AD195)))</f>
        <v/>
      </c>
      <c r="D195" s="56">
        <f>IF($B195=0,"",IF(Inputs!$B$7="","",IF($AE195=0,D194,SUMIFS(Data!$F$10:$F$3209,Data!$E$10:$E$3209,"&gt;="&amp;$A195,Data!$E$10:$E$3209,"&lt;"&amp;$A195+1)/$AE195)))</f>
        <v/>
      </c>
      <c r="E195" s="56">
        <f>IF($B195=0,"",IF(Inputs!$B$8="","",IF($AF195=0,E194,SUMIFS(Data!$J$10:$J$3209,Data!$I$10:$I$3209,"&gt;="&amp;$A195,Data!$I$10:$I$3209,"&lt;"&amp;$A195+1)/$AF195)))</f>
        <v/>
      </c>
      <c r="F195" s="56">
        <f>IF($B195=0,"",IF(Inputs!$B$9="","",IF($AG195=0,F194,SUMIFS(Data!$N$10:$N$3209,Data!$M$10:$M$3209,"&gt;="&amp;$A195,Data!$M$10:$M$3209,"&lt;"&amp;$A195+1)/$AG195)))</f>
        <v/>
      </c>
      <c r="G195" s="56">
        <f>IF($B195=0,"",IF(Inputs!$B$10="","",IF($AH195=0,G194,SUMIFS(Data!$R$10:$R$3209,Data!$Q$10:$Q$3209,"&gt;="&amp;$A195,Data!$Q$10:$Q$3209,"&lt;"&amp;$A195+1)/$AH195)))</f>
        <v/>
      </c>
      <c r="I195" s="54">
        <f>IF($B195=0,NA(),IF($C195="",NA(),IF(C$8="",NA(),IF(N(C$8)=0,NA(),IF(Inputs!$C$17="Rebased to 100",$C195/C$8*100,$C195)))))</f>
        <v/>
      </c>
      <c r="J195" s="54">
        <f>IF($B195=0,NA(),IF($D195="",NA(),IF(D$8="",NA(),IF(N(D$8)=0,NA(),IF(Inputs!$C$17="Rebased to 100",$D195/D$8*100,$D195)))))</f>
        <v/>
      </c>
      <c r="K195" s="54">
        <f>IF($B195=0,NA(),IF($E195="",NA(),IF(E$8="",NA(),IF(N(E$8)=0,NA(),IF(Inputs!$C$17="Rebased to 100",$E195/E$8*100,$E195)))))</f>
        <v/>
      </c>
      <c r="L195" s="54">
        <f>IF($B195=0,NA(),IF($F195="",NA(),IF(F$8="",NA(),IF(N(F$8)=0,NA(),IF(Inputs!$C$17="Rebased to 100",$F195/F$8*100,$F195)))))</f>
        <v/>
      </c>
      <c r="M195" s="54">
        <f>IF($B195=0,NA(),IF($G195="",NA(),IF(G$8="",NA(),IF(N(G$8)=0,NA(),IF(Inputs!$C$17="Rebased to 100",$G195/G$8*100,$G195)))))</f>
        <v/>
      </c>
      <c r="N195" s="54">
        <f>IF($B195=0,NA(),IF(Inputs!$C$18&lt;&gt;"Yes",NA(),IF(COUNT(I195,J195,K195,L195,M195)=0,NA(),MIN(I195,J195,K195,L195,M195))))</f>
        <v/>
      </c>
      <c r="O195" s="54">
        <f>IF($B195=0,NA(),IF(Inputs!$B$24&lt;&gt;"Yes",NA(),Inputs!$D$24*Inputs!$C$35))</f>
        <v/>
      </c>
      <c r="P195" s="54">
        <f>IF($B195=0,NA(),IF(Inputs!$B$25&lt;&gt;"Yes",NA(),Inputs!$D$25*Inputs!$C$35))</f>
        <v/>
      </c>
      <c r="Q195" s="54">
        <f>IF($B195=0,NA(),IF(Inputs!$B$26&lt;&gt;"Yes",NA(),Inputs!$D$26*Inputs!$C$35))</f>
        <v/>
      </c>
      <c r="R195" s="54">
        <f>IF($B195=0,NA(),IF(Inputs!$B$27&lt;&gt;"Yes",NA(),Inputs!$D$27*Inputs!$C$35))</f>
        <v/>
      </c>
      <c r="S195" s="54">
        <f>IF($B195=0,NA(),IF(Inputs!$B$28&lt;&gt;"Yes",NA(),Inputs!$D$28*Inputs!$C$35))</f>
        <v/>
      </c>
      <c r="T195" s="54">
        <f>IF($B195=0,NA(),IF(Inputs!$B$29&lt;&gt;"Yes",NA(),Inputs!$D$29*Inputs!$C$35))</f>
        <v/>
      </c>
      <c r="AD195">
        <f>IF($B195=0,0,IF(Inputs!$B$6="",0,COUNTIFS(Data!$A$10:$A$3209,"&gt;="&amp;$A195,Data!$A$10:$A$3209,"&lt;"&amp;$A195+1)))</f>
        <v/>
      </c>
      <c r="AE195">
        <f>IF($B195=0,0,IF(Inputs!$B$7="",0,COUNTIFS(Data!$E$10:$E$3209,"&gt;="&amp;$A195,Data!$E$10:$E$3209,"&lt;"&amp;$A195+1)))</f>
        <v/>
      </c>
      <c r="AF195">
        <f>IF($B195=0,0,IF(Inputs!$B$8="",0,COUNTIFS(Data!$I$10:$I$3209,"&gt;="&amp;$A195,Data!$I$10:$I$3209,"&lt;"&amp;$A195+1)))</f>
        <v/>
      </c>
      <c r="AG195">
        <f>IF($B195=0,0,IF(Inputs!$B$9="",0,COUNTIFS(Data!$M$10:$M$3209,"&gt;="&amp;$A195,Data!$M$10:$M$3209,"&lt;"&amp;$A195+1)))</f>
        <v/>
      </c>
      <c r="AH195">
        <f>IF($B195=0,0,IF(Inputs!$B$10="",0,COUNTIFS(Data!$Q$10:$Q$3209,"&gt;="&amp;$A195,Data!$Q$10:$Q$3209,"&lt;"&amp;$A195+1)))</f>
        <v/>
      </c>
    </row>
    <row r="196">
      <c r="A196" s="55">
        <f>MIN(Inputs!$C$15,$A195+IF(WEEKDAY($A195,2)=5,3,1))</f>
        <v/>
      </c>
      <c r="B196">
        <f>IF($A196&gt;$A195,1,0)</f>
        <v/>
      </c>
      <c r="C196" s="56">
        <f>IF($B196=0,"",IF(Inputs!$B$6="","",IF($AD196=0,C195,SUMIFS(Data!$B$10:$B$3209,Data!$A$10:$A$3209,"&gt;="&amp;$A196,Data!$A$10:$A$3209,"&lt;"&amp;$A196+1)/$AD196)))</f>
        <v/>
      </c>
      <c r="D196" s="56">
        <f>IF($B196=0,"",IF(Inputs!$B$7="","",IF($AE196=0,D195,SUMIFS(Data!$F$10:$F$3209,Data!$E$10:$E$3209,"&gt;="&amp;$A196,Data!$E$10:$E$3209,"&lt;"&amp;$A196+1)/$AE196)))</f>
        <v/>
      </c>
      <c r="E196" s="56">
        <f>IF($B196=0,"",IF(Inputs!$B$8="","",IF($AF196=0,E195,SUMIFS(Data!$J$10:$J$3209,Data!$I$10:$I$3209,"&gt;="&amp;$A196,Data!$I$10:$I$3209,"&lt;"&amp;$A196+1)/$AF196)))</f>
        <v/>
      </c>
      <c r="F196" s="56">
        <f>IF($B196=0,"",IF(Inputs!$B$9="","",IF($AG196=0,F195,SUMIFS(Data!$N$10:$N$3209,Data!$M$10:$M$3209,"&gt;="&amp;$A196,Data!$M$10:$M$3209,"&lt;"&amp;$A196+1)/$AG196)))</f>
        <v/>
      </c>
      <c r="G196" s="56">
        <f>IF($B196=0,"",IF(Inputs!$B$10="","",IF($AH196=0,G195,SUMIFS(Data!$R$10:$R$3209,Data!$Q$10:$Q$3209,"&gt;="&amp;$A196,Data!$Q$10:$Q$3209,"&lt;"&amp;$A196+1)/$AH196)))</f>
        <v/>
      </c>
      <c r="I196" s="54">
        <f>IF($B196=0,NA(),IF($C196="",NA(),IF(C$8="",NA(),IF(N(C$8)=0,NA(),IF(Inputs!$C$17="Rebased to 100",$C196/C$8*100,$C196)))))</f>
        <v/>
      </c>
      <c r="J196" s="54">
        <f>IF($B196=0,NA(),IF($D196="",NA(),IF(D$8="",NA(),IF(N(D$8)=0,NA(),IF(Inputs!$C$17="Rebased to 100",$D196/D$8*100,$D196)))))</f>
        <v/>
      </c>
      <c r="K196" s="54">
        <f>IF($B196=0,NA(),IF($E196="",NA(),IF(E$8="",NA(),IF(N(E$8)=0,NA(),IF(Inputs!$C$17="Rebased to 100",$E196/E$8*100,$E196)))))</f>
        <v/>
      </c>
      <c r="L196" s="54">
        <f>IF($B196=0,NA(),IF($F196="",NA(),IF(F$8="",NA(),IF(N(F$8)=0,NA(),IF(Inputs!$C$17="Rebased to 100",$F196/F$8*100,$F196)))))</f>
        <v/>
      </c>
      <c r="M196" s="54">
        <f>IF($B196=0,NA(),IF($G196="",NA(),IF(G$8="",NA(),IF(N(G$8)=0,NA(),IF(Inputs!$C$17="Rebased to 100",$G196/G$8*100,$G196)))))</f>
        <v/>
      </c>
      <c r="N196" s="54">
        <f>IF($B196=0,NA(),IF(Inputs!$C$18&lt;&gt;"Yes",NA(),IF(COUNT(I196,J196,K196,L196,M196)=0,NA(),MIN(I196,J196,K196,L196,M196))))</f>
        <v/>
      </c>
      <c r="O196" s="54">
        <f>IF($B196=0,NA(),IF(Inputs!$B$24&lt;&gt;"Yes",NA(),Inputs!$D$24*Inputs!$C$35))</f>
        <v/>
      </c>
      <c r="P196" s="54">
        <f>IF($B196=0,NA(),IF(Inputs!$B$25&lt;&gt;"Yes",NA(),Inputs!$D$25*Inputs!$C$35))</f>
        <v/>
      </c>
      <c r="Q196" s="54">
        <f>IF($B196=0,NA(),IF(Inputs!$B$26&lt;&gt;"Yes",NA(),Inputs!$D$26*Inputs!$C$35))</f>
        <v/>
      </c>
      <c r="R196" s="54">
        <f>IF($B196=0,NA(),IF(Inputs!$B$27&lt;&gt;"Yes",NA(),Inputs!$D$27*Inputs!$C$35))</f>
        <v/>
      </c>
      <c r="S196" s="54">
        <f>IF($B196=0,NA(),IF(Inputs!$B$28&lt;&gt;"Yes",NA(),Inputs!$D$28*Inputs!$C$35))</f>
        <v/>
      </c>
      <c r="T196" s="54">
        <f>IF($B196=0,NA(),IF(Inputs!$B$29&lt;&gt;"Yes",NA(),Inputs!$D$29*Inputs!$C$35))</f>
        <v/>
      </c>
      <c r="AD196">
        <f>IF($B196=0,0,IF(Inputs!$B$6="",0,COUNTIFS(Data!$A$10:$A$3209,"&gt;="&amp;$A196,Data!$A$10:$A$3209,"&lt;"&amp;$A196+1)))</f>
        <v/>
      </c>
      <c r="AE196">
        <f>IF($B196=0,0,IF(Inputs!$B$7="",0,COUNTIFS(Data!$E$10:$E$3209,"&gt;="&amp;$A196,Data!$E$10:$E$3209,"&lt;"&amp;$A196+1)))</f>
        <v/>
      </c>
      <c r="AF196">
        <f>IF($B196=0,0,IF(Inputs!$B$8="",0,COUNTIFS(Data!$I$10:$I$3209,"&gt;="&amp;$A196,Data!$I$10:$I$3209,"&lt;"&amp;$A196+1)))</f>
        <v/>
      </c>
      <c r="AG196">
        <f>IF($B196=0,0,IF(Inputs!$B$9="",0,COUNTIFS(Data!$M$10:$M$3209,"&gt;="&amp;$A196,Data!$M$10:$M$3209,"&lt;"&amp;$A196+1)))</f>
        <v/>
      </c>
      <c r="AH196">
        <f>IF($B196=0,0,IF(Inputs!$B$10="",0,COUNTIFS(Data!$Q$10:$Q$3209,"&gt;="&amp;$A196,Data!$Q$10:$Q$3209,"&lt;"&amp;$A196+1)))</f>
        <v/>
      </c>
    </row>
    <row r="197">
      <c r="A197" s="55">
        <f>MIN(Inputs!$C$15,$A196+IF(WEEKDAY($A196,2)=5,3,1))</f>
        <v/>
      </c>
      <c r="B197">
        <f>IF($A197&gt;$A196,1,0)</f>
        <v/>
      </c>
      <c r="C197" s="56">
        <f>IF($B197=0,"",IF(Inputs!$B$6="","",IF($AD197=0,C196,SUMIFS(Data!$B$10:$B$3209,Data!$A$10:$A$3209,"&gt;="&amp;$A197,Data!$A$10:$A$3209,"&lt;"&amp;$A197+1)/$AD197)))</f>
        <v/>
      </c>
      <c r="D197" s="56">
        <f>IF($B197=0,"",IF(Inputs!$B$7="","",IF($AE197=0,D196,SUMIFS(Data!$F$10:$F$3209,Data!$E$10:$E$3209,"&gt;="&amp;$A197,Data!$E$10:$E$3209,"&lt;"&amp;$A197+1)/$AE197)))</f>
        <v/>
      </c>
      <c r="E197" s="56">
        <f>IF($B197=0,"",IF(Inputs!$B$8="","",IF($AF197=0,E196,SUMIFS(Data!$J$10:$J$3209,Data!$I$10:$I$3209,"&gt;="&amp;$A197,Data!$I$10:$I$3209,"&lt;"&amp;$A197+1)/$AF197)))</f>
        <v/>
      </c>
      <c r="F197" s="56">
        <f>IF($B197=0,"",IF(Inputs!$B$9="","",IF($AG197=0,F196,SUMIFS(Data!$N$10:$N$3209,Data!$M$10:$M$3209,"&gt;="&amp;$A197,Data!$M$10:$M$3209,"&lt;"&amp;$A197+1)/$AG197)))</f>
        <v/>
      </c>
      <c r="G197" s="56">
        <f>IF($B197=0,"",IF(Inputs!$B$10="","",IF($AH197=0,G196,SUMIFS(Data!$R$10:$R$3209,Data!$Q$10:$Q$3209,"&gt;="&amp;$A197,Data!$Q$10:$Q$3209,"&lt;"&amp;$A197+1)/$AH197)))</f>
        <v/>
      </c>
      <c r="I197" s="54">
        <f>IF($B197=0,NA(),IF($C197="",NA(),IF(C$8="",NA(),IF(N(C$8)=0,NA(),IF(Inputs!$C$17="Rebased to 100",$C197/C$8*100,$C197)))))</f>
        <v/>
      </c>
      <c r="J197" s="54">
        <f>IF($B197=0,NA(),IF($D197="",NA(),IF(D$8="",NA(),IF(N(D$8)=0,NA(),IF(Inputs!$C$17="Rebased to 100",$D197/D$8*100,$D197)))))</f>
        <v/>
      </c>
      <c r="K197" s="54">
        <f>IF($B197=0,NA(),IF($E197="",NA(),IF(E$8="",NA(),IF(N(E$8)=0,NA(),IF(Inputs!$C$17="Rebased to 100",$E197/E$8*100,$E197)))))</f>
        <v/>
      </c>
      <c r="L197" s="54">
        <f>IF($B197=0,NA(),IF($F197="",NA(),IF(F$8="",NA(),IF(N(F$8)=0,NA(),IF(Inputs!$C$17="Rebased to 100",$F197/F$8*100,$F197)))))</f>
        <v/>
      </c>
      <c r="M197" s="54">
        <f>IF($B197=0,NA(),IF($G197="",NA(),IF(G$8="",NA(),IF(N(G$8)=0,NA(),IF(Inputs!$C$17="Rebased to 100",$G197/G$8*100,$G197)))))</f>
        <v/>
      </c>
      <c r="N197" s="54">
        <f>IF($B197=0,NA(),IF(Inputs!$C$18&lt;&gt;"Yes",NA(),IF(COUNT(I197,J197,K197,L197,M197)=0,NA(),MIN(I197,J197,K197,L197,M197))))</f>
        <v/>
      </c>
      <c r="O197" s="54">
        <f>IF($B197=0,NA(),IF(Inputs!$B$24&lt;&gt;"Yes",NA(),Inputs!$D$24*Inputs!$C$35))</f>
        <v/>
      </c>
      <c r="P197" s="54">
        <f>IF($B197=0,NA(),IF(Inputs!$B$25&lt;&gt;"Yes",NA(),Inputs!$D$25*Inputs!$C$35))</f>
        <v/>
      </c>
      <c r="Q197" s="54">
        <f>IF($B197=0,NA(),IF(Inputs!$B$26&lt;&gt;"Yes",NA(),Inputs!$D$26*Inputs!$C$35))</f>
        <v/>
      </c>
      <c r="R197" s="54">
        <f>IF($B197=0,NA(),IF(Inputs!$B$27&lt;&gt;"Yes",NA(),Inputs!$D$27*Inputs!$C$35))</f>
        <v/>
      </c>
      <c r="S197" s="54">
        <f>IF($B197=0,NA(),IF(Inputs!$B$28&lt;&gt;"Yes",NA(),Inputs!$D$28*Inputs!$C$35))</f>
        <v/>
      </c>
      <c r="T197" s="54">
        <f>IF($B197=0,NA(),IF(Inputs!$B$29&lt;&gt;"Yes",NA(),Inputs!$D$29*Inputs!$C$35))</f>
        <v/>
      </c>
      <c r="AD197">
        <f>IF($B197=0,0,IF(Inputs!$B$6="",0,COUNTIFS(Data!$A$10:$A$3209,"&gt;="&amp;$A197,Data!$A$10:$A$3209,"&lt;"&amp;$A197+1)))</f>
        <v/>
      </c>
      <c r="AE197">
        <f>IF($B197=0,0,IF(Inputs!$B$7="",0,COUNTIFS(Data!$E$10:$E$3209,"&gt;="&amp;$A197,Data!$E$10:$E$3209,"&lt;"&amp;$A197+1)))</f>
        <v/>
      </c>
      <c r="AF197">
        <f>IF($B197=0,0,IF(Inputs!$B$8="",0,COUNTIFS(Data!$I$10:$I$3209,"&gt;="&amp;$A197,Data!$I$10:$I$3209,"&lt;"&amp;$A197+1)))</f>
        <v/>
      </c>
      <c r="AG197">
        <f>IF($B197=0,0,IF(Inputs!$B$9="",0,COUNTIFS(Data!$M$10:$M$3209,"&gt;="&amp;$A197,Data!$M$10:$M$3209,"&lt;"&amp;$A197+1)))</f>
        <v/>
      </c>
      <c r="AH197">
        <f>IF($B197=0,0,IF(Inputs!$B$10="",0,COUNTIFS(Data!$Q$10:$Q$3209,"&gt;="&amp;$A197,Data!$Q$10:$Q$3209,"&lt;"&amp;$A197+1)))</f>
        <v/>
      </c>
    </row>
    <row r="198">
      <c r="A198" s="55">
        <f>MIN(Inputs!$C$15,$A197+IF(WEEKDAY($A197,2)=5,3,1))</f>
        <v/>
      </c>
      <c r="B198">
        <f>IF($A198&gt;$A197,1,0)</f>
        <v/>
      </c>
      <c r="C198" s="56">
        <f>IF($B198=0,"",IF(Inputs!$B$6="","",IF($AD198=0,C197,SUMIFS(Data!$B$10:$B$3209,Data!$A$10:$A$3209,"&gt;="&amp;$A198,Data!$A$10:$A$3209,"&lt;"&amp;$A198+1)/$AD198)))</f>
        <v/>
      </c>
      <c r="D198" s="56">
        <f>IF($B198=0,"",IF(Inputs!$B$7="","",IF($AE198=0,D197,SUMIFS(Data!$F$10:$F$3209,Data!$E$10:$E$3209,"&gt;="&amp;$A198,Data!$E$10:$E$3209,"&lt;"&amp;$A198+1)/$AE198)))</f>
        <v/>
      </c>
      <c r="E198" s="56">
        <f>IF($B198=0,"",IF(Inputs!$B$8="","",IF($AF198=0,E197,SUMIFS(Data!$J$10:$J$3209,Data!$I$10:$I$3209,"&gt;="&amp;$A198,Data!$I$10:$I$3209,"&lt;"&amp;$A198+1)/$AF198)))</f>
        <v/>
      </c>
      <c r="F198" s="56">
        <f>IF($B198=0,"",IF(Inputs!$B$9="","",IF($AG198=0,F197,SUMIFS(Data!$N$10:$N$3209,Data!$M$10:$M$3209,"&gt;="&amp;$A198,Data!$M$10:$M$3209,"&lt;"&amp;$A198+1)/$AG198)))</f>
        <v/>
      </c>
      <c r="G198" s="56">
        <f>IF($B198=0,"",IF(Inputs!$B$10="","",IF($AH198=0,G197,SUMIFS(Data!$R$10:$R$3209,Data!$Q$10:$Q$3209,"&gt;="&amp;$A198,Data!$Q$10:$Q$3209,"&lt;"&amp;$A198+1)/$AH198)))</f>
        <v/>
      </c>
      <c r="I198" s="54">
        <f>IF($B198=0,NA(),IF($C198="",NA(),IF(C$8="",NA(),IF(N(C$8)=0,NA(),IF(Inputs!$C$17="Rebased to 100",$C198/C$8*100,$C198)))))</f>
        <v/>
      </c>
      <c r="J198" s="54">
        <f>IF($B198=0,NA(),IF($D198="",NA(),IF(D$8="",NA(),IF(N(D$8)=0,NA(),IF(Inputs!$C$17="Rebased to 100",$D198/D$8*100,$D198)))))</f>
        <v/>
      </c>
      <c r="K198" s="54">
        <f>IF($B198=0,NA(),IF($E198="",NA(),IF(E$8="",NA(),IF(N(E$8)=0,NA(),IF(Inputs!$C$17="Rebased to 100",$E198/E$8*100,$E198)))))</f>
        <v/>
      </c>
      <c r="L198" s="54">
        <f>IF($B198=0,NA(),IF($F198="",NA(),IF(F$8="",NA(),IF(N(F$8)=0,NA(),IF(Inputs!$C$17="Rebased to 100",$F198/F$8*100,$F198)))))</f>
        <v/>
      </c>
      <c r="M198" s="54">
        <f>IF($B198=0,NA(),IF($G198="",NA(),IF(G$8="",NA(),IF(N(G$8)=0,NA(),IF(Inputs!$C$17="Rebased to 100",$G198/G$8*100,$G198)))))</f>
        <v/>
      </c>
      <c r="N198" s="54">
        <f>IF($B198=0,NA(),IF(Inputs!$C$18&lt;&gt;"Yes",NA(),IF(COUNT(I198,J198,K198,L198,M198)=0,NA(),MIN(I198,J198,K198,L198,M198))))</f>
        <v/>
      </c>
      <c r="O198" s="54">
        <f>IF($B198=0,NA(),IF(Inputs!$B$24&lt;&gt;"Yes",NA(),Inputs!$D$24*Inputs!$C$35))</f>
        <v/>
      </c>
      <c r="P198" s="54">
        <f>IF($B198=0,NA(),IF(Inputs!$B$25&lt;&gt;"Yes",NA(),Inputs!$D$25*Inputs!$C$35))</f>
        <v/>
      </c>
      <c r="Q198" s="54">
        <f>IF($B198=0,NA(),IF(Inputs!$B$26&lt;&gt;"Yes",NA(),Inputs!$D$26*Inputs!$C$35))</f>
        <v/>
      </c>
      <c r="R198" s="54">
        <f>IF($B198=0,NA(),IF(Inputs!$B$27&lt;&gt;"Yes",NA(),Inputs!$D$27*Inputs!$C$35))</f>
        <v/>
      </c>
      <c r="S198" s="54">
        <f>IF($B198=0,NA(),IF(Inputs!$B$28&lt;&gt;"Yes",NA(),Inputs!$D$28*Inputs!$C$35))</f>
        <v/>
      </c>
      <c r="T198" s="54">
        <f>IF($B198=0,NA(),IF(Inputs!$B$29&lt;&gt;"Yes",NA(),Inputs!$D$29*Inputs!$C$35))</f>
        <v/>
      </c>
      <c r="AD198">
        <f>IF($B198=0,0,IF(Inputs!$B$6="",0,COUNTIFS(Data!$A$10:$A$3209,"&gt;="&amp;$A198,Data!$A$10:$A$3209,"&lt;"&amp;$A198+1)))</f>
        <v/>
      </c>
      <c r="AE198">
        <f>IF($B198=0,0,IF(Inputs!$B$7="",0,COUNTIFS(Data!$E$10:$E$3209,"&gt;="&amp;$A198,Data!$E$10:$E$3209,"&lt;"&amp;$A198+1)))</f>
        <v/>
      </c>
      <c r="AF198">
        <f>IF($B198=0,0,IF(Inputs!$B$8="",0,COUNTIFS(Data!$I$10:$I$3209,"&gt;="&amp;$A198,Data!$I$10:$I$3209,"&lt;"&amp;$A198+1)))</f>
        <v/>
      </c>
      <c r="AG198">
        <f>IF($B198=0,0,IF(Inputs!$B$9="",0,COUNTIFS(Data!$M$10:$M$3209,"&gt;="&amp;$A198,Data!$M$10:$M$3209,"&lt;"&amp;$A198+1)))</f>
        <v/>
      </c>
      <c r="AH198">
        <f>IF($B198=0,0,IF(Inputs!$B$10="",0,COUNTIFS(Data!$Q$10:$Q$3209,"&gt;="&amp;$A198,Data!$Q$10:$Q$3209,"&lt;"&amp;$A198+1)))</f>
        <v/>
      </c>
    </row>
    <row r="199">
      <c r="A199" s="55">
        <f>MIN(Inputs!$C$15,$A198+IF(WEEKDAY($A198,2)=5,3,1))</f>
        <v/>
      </c>
      <c r="B199">
        <f>IF($A199&gt;$A198,1,0)</f>
        <v/>
      </c>
      <c r="C199" s="56">
        <f>IF($B199=0,"",IF(Inputs!$B$6="","",IF($AD199=0,C198,SUMIFS(Data!$B$10:$B$3209,Data!$A$10:$A$3209,"&gt;="&amp;$A199,Data!$A$10:$A$3209,"&lt;"&amp;$A199+1)/$AD199)))</f>
        <v/>
      </c>
      <c r="D199" s="56">
        <f>IF($B199=0,"",IF(Inputs!$B$7="","",IF($AE199=0,D198,SUMIFS(Data!$F$10:$F$3209,Data!$E$10:$E$3209,"&gt;="&amp;$A199,Data!$E$10:$E$3209,"&lt;"&amp;$A199+1)/$AE199)))</f>
        <v/>
      </c>
      <c r="E199" s="56">
        <f>IF($B199=0,"",IF(Inputs!$B$8="","",IF($AF199=0,E198,SUMIFS(Data!$J$10:$J$3209,Data!$I$10:$I$3209,"&gt;="&amp;$A199,Data!$I$10:$I$3209,"&lt;"&amp;$A199+1)/$AF199)))</f>
        <v/>
      </c>
      <c r="F199" s="56">
        <f>IF($B199=0,"",IF(Inputs!$B$9="","",IF($AG199=0,F198,SUMIFS(Data!$N$10:$N$3209,Data!$M$10:$M$3209,"&gt;="&amp;$A199,Data!$M$10:$M$3209,"&lt;"&amp;$A199+1)/$AG199)))</f>
        <v/>
      </c>
      <c r="G199" s="56">
        <f>IF($B199=0,"",IF(Inputs!$B$10="","",IF($AH199=0,G198,SUMIFS(Data!$R$10:$R$3209,Data!$Q$10:$Q$3209,"&gt;="&amp;$A199,Data!$Q$10:$Q$3209,"&lt;"&amp;$A199+1)/$AH199)))</f>
        <v/>
      </c>
      <c r="I199" s="54">
        <f>IF($B199=0,NA(),IF($C199="",NA(),IF(C$8="",NA(),IF(N(C$8)=0,NA(),IF(Inputs!$C$17="Rebased to 100",$C199/C$8*100,$C199)))))</f>
        <v/>
      </c>
      <c r="J199" s="54">
        <f>IF($B199=0,NA(),IF($D199="",NA(),IF(D$8="",NA(),IF(N(D$8)=0,NA(),IF(Inputs!$C$17="Rebased to 100",$D199/D$8*100,$D199)))))</f>
        <v/>
      </c>
      <c r="K199" s="54">
        <f>IF($B199=0,NA(),IF($E199="",NA(),IF(E$8="",NA(),IF(N(E$8)=0,NA(),IF(Inputs!$C$17="Rebased to 100",$E199/E$8*100,$E199)))))</f>
        <v/>
      </c>
      <c r="L199" s="54">
        <f>IF($B199=0,NA(),IF($F199="",NA(),IF(F$8="",NA(),IF(N(F$8)=0,NA(),IF(Inputs!$C$17="Rebased to 100",$F199/F$8*100,$F199)))))</f>
        <v/>
      </c>
      <c r="M199" s="54">
        <f>IF($B199=0,NA(),IF($G199="",NA(),IF(G$8="",NA(),IF(N(G$8)=0,NA(),IF(Inputs!$C$17="Rebased to 100",$G199/G$8*100,$G199)))))</f>
        <v/>
      </c>
      <c r="N199" s="54">
        <f>IF($B199=0,NA(),IF(Inputs!$C$18&lt;&gt;"Yes",NA(),IF(COUNT(I199,J199,K199,L199,M199)=0,NA(),MIN(I199,J199,K199,L199,M199))))</f>
        <v/>
      </c>
      <c r="O199" s="54">
        <f>IF($B199=0,NA(),IF(Inputs!$B$24&lt;&gt;"Yes",NA(),Inputs!$D$24*Inputs!$C$35))</f>
        <v/>
      </c>
      <c r="P199" s="54">
        <f>IF($B199=0,NA(),IF(Inputs!$B$25&lt;&gt;"Yes",NA(),Inputs!$D$25*Inputs!$C$35))</f>
        <v/>
      </c>
      <c r="Q199" s="54">
        <f>IF($B199=0,NA(),IF(Inputs!$B$26&lt;&gt;"Yes",NA(),Inputs!$D$26*Inputs!$C$35))</f>
        <v/>
      </c>
      <c r="R199" s="54">
        <f>IF($B199=0,NA(),IF(Inputs!$B$27&lt;&gt;"Yes",NA(),Inputs!$D$27*Inputs!$C$35))</f>
        <v/>
      </c>
      <c r="S199" s="54">
        <f>IF($B199=0,NA(),IF(Inputs!$B$28&lt;&gt;"Yes",NA(),Inputs!$D$28*Inputs!$C$35))</f>
        <v/>
      </c>
      <c r="T199" s="54">
        <f>IF($B199=0,NA(),IF(Inputs!$B$29&lt;&gt;"Yes",NA(),Inputs!$D$29*Inputs!$C$35))</f>
        <v/>
      </c>
      <c r="AD199">
        <f>IF($B199=0,0,IF(Inputs!$B$6="",0,COUNTIFS(Data!$A$10:$A$3209,"&gt;="&amp;$A199,Data!$A$10:$A$3209,"&lt;"&amp;$A199+1)))</f>
        <v/>
      </c>
      <c r="AE199">
        <f>IF($B199=0,0,IF(Inputs!$B$7="",0,COUNTIFS(Data!$E$10:$E$3209,"&gt;="&amp;$A199,Data!$E$10:$E$3209,"&lt;"&amp;$A199+1)))</f>
        <v/>
      </c>
      <c r="AF199">
        <f>IF($B199=0,0,IF(Inputs!$B$8="",0,COUNTIFS(Data!$I$10:$I$3209,"&gt;="&amp;$A199,Data!$I$10:$I$3209,"&lt;"&amp;$A199+1)))</f>
        <v/>
      </c>
      <c r="AG199">
        <f>IF($B199=0,0,IF(Inputs!$B$9="",0,COUNTIFS(Data!$M$10:$M$3209,"&gt;="&amp;$A199,Data!$M$10:$M$3209,"&lt;"&amp;$A199+1)))</f>
        <v/>
      </c>
      <c r="AH199">
        <f>IF($B199=0,0,IF(Inputs!$B$10="",0,COUNTIFS(Data!$Q$10:$Q$3209,"&gt;="&amp;$A199,Data!$Q$10:$Q$3209,"&lt;"&amp;$A199+1)))</f>
        <v/>
      </c>
    </row>
    <row r="200">
      <c r="A200" s="55">
        <f>MIN(Inputs!$C$15,$A199+IF(WEEKDAY($A199,2)=5,3,1))</f>
        <v/>
      </c>
      <c r="B200">
        <f>IF($A200&gt;$A199,1,0)</f>
        <v/>
      </c>
      <c r="C200" s="56">
        <f>IF($B200=0,"",IF(Inputs!$B$6="","",IF($AD200=0,C199,SUMIFS(Data!$B$10:$B$3209,Data!$A$10:$A$3209,"&gt;="&amp;$A200,Data!$A$10:$A$3209,"&lt;"&amp;$A200+1)/$AD200)))</f>
        <v/>
      </c>
      <c r="D200" s="56">
        <f>IF($B200=0,"",IF(Inputs!$B$7="","",IF($AE200=0,D199,SUMIFS(Data!$F$10:$F$3209,Data!$E$10:$E$3209,"&gt;="&amp;$A200,Data!$E$10:$E$3209,"&lt;"&amp;$A200+1)/$AE200)))</f>
        <v/>
      </c>
      <c r="E200" s="56">
        <f>IF($B200=0,"",IF(Inputs!$B$8="","",IF($AF200=0,E199,SUMIFS(Data!$J$10:$J$3209,Data!$I$10:$I$3209,"&gt;="&amp;$A200,Data!$I$10:$I$3209,"&lt;"&amp;$A200+1)/$AF200)))</f>
        <v/>
      </c>
      <c r="F200" s="56">
        <f>IF($B200=0,"",IF(Inputs!$B$9="","",IF($AG200=0,F199,SUMIFS(Data!$N$10:$N$3209,Data!$M$10:$M$3209,"&gt;="&amp;$A200,Data!$M$10:$M$3209,"&lt;"&amp;$A200+1)/$AG200)))</f>
        <v/>
      </c>
      <c r="G200" s="56">
        <f>IF($B200=0,"",IF(Inputs!$B$10="","",IF($AH200=0,G199,SUMIFS(Data!$R$10:$R$3209,Data!$Q$10:$Q$3209,"&gt;="&amp;$A200,Data!$Q$10:$Q$3209,"&lt;"&amp;$A200+1)/$AH200)))</f>
        <v/>
      </c>
      <c r="I200" s="54">
        <f>IF($B200=0,NA(),IF($C200="",NA(),IF(C$8="",NA(),IF(N(C$8)=0,NA(),IF(Inputs!$C$17="Rebased to 100",$C200/C$8*100,$C200)))))</f>
        <v/>
      </c>
      <c r="J200" s="54">
        <f>IF($B200=0,NA(),IF($D200="",NA(),IF(D$8="",NA(),IF(N(D$8)=0,NA(),IF(Inputs!$C$17="Rebased to 100",$D200/D$8*100,$D200)))))</f>
        <v/>
      </c>
      <c r="K200" s="54">
        <f>IF($B200=0,NA(),IF($E200="",NA(),IF(E$8="",NA(),IF(N(E$8)=0,NA(),IF(Inputs!$C$17="Rebased to 100",$E200/E$8*100,$E200)))))</f>
        <v/>
      </c>
      <c r="L200" s="54">
        <f>IF($B200=0,NA(),IF($F200="",NA(),IF(F$8="",NA(),IF(N(F$8)=0,NA(),IF(Inputs!$C$17="Rebased to 100",$F200/F$8*100,$F200)))))</f>
        <v/>
      </c>
      <c r="M200" s="54">
        <f>IF($B200=0,NA(),IF($G200="",NA(),IF(G$8="",NA(),IF(N(G$8)=0,NA(),IF(Inputs!$C$17="Rebased to 100",$G200/G$8*100,$G200)))))</f>
        <v/>
      </c>
      <c r="N200" s="54">
        <f>IF($B200=0,NA(),IF(Inputs!$C$18&lt;&gt;"Yes",NA(),IF(COUNT(I200,J200,K200,L200,M200)=0,NA(),MIN(I200,J200,K200,L200,M200))))</f>
        <v/>
      </c>
      <c r="O200" s="54">
        <f>IF($B200=0,NA(),IF(Inputs!$B$24&lt;&gt;"Yes",NA(),Inputs!$D$24*Inputs!$C$35))</f>
        <v/>
      </c>
      <c r="P200" s="54">
        <f>IF($B200=0,NA(),IF(Inputs!$B$25&lt;&gt;"Yes",NA(),Inputs!$D$25*Inputs!$C$35))</f>
        <v/>
      </c>
      <c r="Q200" s="54">
        <f>IF($B200=0,NA(),IF(Inputs!$B$26&lt;&gt;"Yes",NA(),Inputs!$D$26*Inputs!$C$35))</f>
        <v/>
      </c>
      <c r="R200" s="54">
        <f>IF($B200=0,NA(),IF(Inputs!$B$27&lt;&gt;"Yes",NA(),Inputs!$D$27*Inputs!$C$35))</f>
        <v/>
      </c>
      <c r="S200" s="54">
        <f>IF($B200=0,NA(),IF(Inputs!$B$28&lt;&gt;"Yes",NA(),Inputs!$D$28*Inputs!$C$35))</f>
        <v/>
      </c>
      <c r="T200" s="54">
        <f>IF($B200=0,NA(),IF(Inputs!$B$29&lt;&gt;"Yes",NA(),Inputs!$D$29*Inputs!$C$35))</f>
        <v/>
      </c>
      <c r="AD200">
        <f>IF($B200=0,0,IF(Inputs!$B$6="",0,COUNTIFS(Data!$A$10:$A$3209,"&gt;="&amp;$A200,Data!$A$10:$A$3209,"&lt;"&amp;$A200+1)))</f>
        <v/>
      </c>
      <c r="AE200">
        <f>IF($B200=0,0,IF(Inputs!$B$7="",0,COUNTIFS(Data!$E$10:$E$3209,"&gt;="&amp;$A200,Data!$E$10:$E$3209,"&lt;"&amp;$A200+1)))</f>
        <v/>
      </c>
      <c r="AF200">
        <f>IF($B200=0,0,IF(Inputs!$B$8="",0,COUNTIFS(Data!$I$10:$I$3209,"&gt;="&amp;$A200,Data!$I$10:$I$3209,"&lt;"&amp;$A200+1)))</f>
        <v/>
      </c>
      <c r="AG200">
        <f>IF($B200=0,0,IF(Inputs!$B$9="",0,COUNTIFS(Data!$M$10:$M$3209,"&gt;="&amp;$A200,Data!$M$10:$M$3209,"&lt;"&amp;$A200+1)))</f>
        <v/>
      </c>
      <c r="AH200">
        <f>IF($B200=0,0,IF(Inputs!$B$10="",0,COUNTIFS(Data!$Q$10:$Q$3209,"&gt;="&amp;$A200,Data!$Q$10:$Q$3209,"&lt;"&amp;$A200+1)))</f>
        <v/>
      </c>
    </row>
    <row r="201">
      <c r="A201" s="55">
        <f>MIN(Inputs!$C$15,$A200+IF(WEEKDAY($A200,2)=5,3,1))</f>
        <v/>
      </c>
      <c r="B201">
        <f>IF($A201&gt;$A200,1,0)</f>
        <v/>
      </c>
      <c r="C201" s="56">
        <f>IF($B201=0,"",IF(Inputs!$B$6="","",IF($AD201=0,C200,SUMIFS(Data!$B$10:$B$3209,Data!$A$10:$A$3209,"&gt;="&amp;$A201,Data!$A$10:$A$3209,"&lt;"&amp;$A201+1)/$AD201)))</f>
        <v/>
      </c>
      <c r="D201" s="56">
        <f>IF($B201=0,"",IF(Inputs!$B$7="","",IF($AE201=0,D200,SUMIFS(Data!$F$10:$F$3209,Data!$E$10:$E$3209,"&gt;="&amp;$A201,Data!$E$10:$E$3209,"&lt;"&amp;$A201+1)/$AE201)))</f>
        <v/>
      </c>
      <c r="E201" s="56">
        <f>IF($B201=0,"",IF(Inputs!$B$8="","",IF($AF201=0,E200,SUMIFS(Data!$J$10:$J$3209,Data!$I$10:$I$3209,"&gt;="&amp;$A201,Data!$I$10:$I$3209,"&lt;"&amp;$A201+1)/$AF201)))</f>
        <v/>
      </c>
      <c r="F201" s="56">
        <f>IF($B201=0,"",IF(Inputs!$B$9="","",IF($AG201=0,F200,SUMIFS(Data!$N$10:$N$3209,Data!$M$10:$M$3209,"&gt;="&amp;$A201,Data!$M$10:$M$3209,"&lt;"&amp;$A201+1)/$AG201)))</f>
        <v/>
      </c>
      <c r="G201" s="56">
        <f>IF($B201=0,"",IF(Inputs!$B$10="","",IF($AH201=0,G200,SUMIFS(Data!$R$10:$R$3209,Data!$Q$10:$Q$3209,"&gt;="&amp;$A201,Data!$Q$10:$Q$3209,"&lt;"&amp;$A201+1)/$AH201)))</f>
        <v/>
      </c>
      <c r="I201" s="54">
        <f>IF($B201=0,NA(),IF($C201="",NA(),IF(C$8="",NA(),IF(N(C$8)=0,NA(),IF(Inputs!$C$17="Rebased to 100",$C201/C$8*100,$C201)))))</f>
        <v/>
      </c>
      <c r="J201" s="54">
        <f>IF($B201=0,NA(),IF($D201="",NA(),IF(D$8="",NA(),IF(N(D$8)=0,NA(),IF(Inputs!$C$17="Rebased to 100",$D201/D$8*100,$D201)))))</f>
        <v/>
      </c>
      <c r="K201" s="54">
        <f>IF($B201=0,NA(),IF($E201="",NA(),IF(E$8="",NA(),IF(N(E$8)=0,NA(),IF(Inputs!$C$17="Rebased to 100",$E201/E$8*100,$E201)))))</f>
        <v/>
      </c>
      <c r="L201" s="54">
        <f>IF($B201=0,NA(),IF($F201="",NA(),IF(F$8="",NA(),IF(N(F$8)=0,NA(),IF(Inputs!$C$17="Rebased to 100",$F201/F$8*100,$F201)))))</f>
        <v/>
      </c>
      <c r="M201" s="54">
        <f>IF($B201=0,NA(),IF($G201="",NA(),IF(G$8="",NA(),IF(N(G$8)=0,NA(),IF(Inputs!$C$17="Rebased to 100",$G201/G$8*100,$G201)))))</f>
        <v/>
      </c>
      <c r="N201" s="54">
        <f>IF($B201=0,NA(),IF(Inputs!$C$18&lt;&gt;"Yes",NA(),IF(COUNT(I201,J201,K201,L201,M201)=0,NA(),MIN(I201,J201,K201,L201,M201))))</f>
        <v/>
      </c>
      <c r="O201" s="54">
        <f>IF($B201=0,NA(),IF(Inputs!$B$24&lt;&gt;"Yes",NA(),Inputs!$D$24*Inputs!$C$35))</f>
        <v/>
      </c>
      <c r="P201" s="54">
        <f>IF($B201=0,NA(),IF(Inputs!$B$25&lt;&gt;"Yes",NA(),Inputs!$D$25*Inputs!$C$35))</f>
        <v/>
      </c>
      <c r="Q201" s="54">
        <f>IF($B201=0,NA(),IF(Inputs!$B$26&lt;&gt;"Yes",NA(),Inputs!$D$26*Inputs!$C$35))</f>
        <v/>
      </c>
      <c r="R201" s="54">
        <f>IF($B201=0,NA(),IF(Inputs!$B$27&lt;&gt;"Yes",NA(),Inputs!$D$27*Inputs!$C$35))</f>
        <v/>
      </c>
      <c r="S201" s="54">
        <f>IF($B201=0,NA(),IF(Inputs!$B$28&lt;&gt;"Yes",NA(),Inputs!$D$28*Inputs!$C$35))</f>
        <v/>
      </c>
      <c r="T201" s="54">
        <f>IF($B201=0,NA(),IF(Inputs!$B$29&lt;&gt;"Yes",NA(),Inputs!$D$29*Inputs!$C$35))</f>
        <v/>
      </c>
      <c r="AD201">
        <f>IF($B201=0,0,IF(Inputs!$B$6="",0,COUNTIFS(Data!$A$10:$A$3209,"&gt;="&amp;$A201,Data!$A$10:$A$3209,"&lt;"&amp;$A201+1)))</f>
        <v/>
      </c>
      <c r="AE201">
        <f>IF($B201=0,0,IF(Inputs!$B$7="",0,COUNTIFS(Data!$E$10:$E$3209,"&gt;="&amp;$A201,Data!$E$10:$E$3209,"&lt;"&amp;$A201+1)))</f>
        <v/>
      </c>
      <c r="AF201">
        <f>IF($B201=0,0,IF(Inputs!$B$8="",0,COUNTIFS(Data!$I$10:$I$3209,"&gt;="&amp;$A201,Data!$I$10:$I$3209,"&lt;"&amp;$A201+1)))</f>
        <v/>
      </c>
      <c r="AG201">
        <f>IF($B201=0,0,IF(Inputs!$B$9="",0,COUNTIFS(Data!$M$10:$M$3209,"&gt;="&amp;$A201,Data!$M$10:$M$3209,"&lt;"&amp;$A201+1)))</f>
        <v/>
      </c>
      <c r="AH201">
        <f>IF($B201=0,0,IF(Inputs!$B$10="",0,COUNTIFS(Data!$Q$10:$Q$3209,"&gt;="&amp;$A201,Data!$Q$10:$Q$3209,"&lt;"&amp;$A201+1)))</f>
        <v/>
      </c>
    </row>
    <row r="202">
      <c r="A202" s="55">
        <f>MIN(Inputs!$C$15,$A201+IF(WEEKDAY($A201,2)=5,3,1))</f>
        <v/>
      </c>
      <c r="B202">
        <f>IF($A202&gt;$A201,1,0)</f>
        <v/>
      </c>
      <c r="C202" s="56">
        <f>IF($B202=0,"",IF(Inputs!$B$6="","",IF($AD202=0,C201,SUMIFS(Data!$B$10:$B$3209,Data!$A$10:$A$3209,"&gt;="&amp;$A202,Data!$A$10:$A$3209,"&lt;"&amp;$A202+1)/$AD202)))</f>
        <v/>
      </c>
      <c r="D202" s="56">
        <f>IF($B202=0,"",IF(Inputs!$B$7="","",IF($AE202=0,D201,SUMIFS(Data!$F$10:$F$3209,Data!$E$10:$E$3209,"&gt;="&amp;$A202,Data!$E$10:$E$3209,"&lt;"&amp;$A202+1)/$AE202)))</f>
        <v/>
      </c>
      <c r="E202" s="56">
        <f>IF($B202=0,"",IF(Inputs!$B$8="","",IF($AF202=0,E201,SUMIFS(Data!$J$10:$J$3209,Data!$I$10:$I$3209,"&gt;="&amp;$A202,Data!$I$10:$I$3209,"&lt;"&amp;$A202+1)/$AF202)))</f>
        <v/>
      </c>
      <c r="F202" s="56">
        <f>IF($B202=0,"",IF(Inputs!$B$9="","",IF($AG202=0,F201,SUMIFS(Data!$N$10:$N$3209,Data!$M$10:$M$3209,"&gt;="&amp;$A202,Data!$M$10:$M$3209,"&lt;"&amp;$A202+1)/$AG202)))</f>
        <v/>
      </c>
      <c r="G202" s="56">
        <f>IF($B202=0,"",IF(Inputs!$B$10="","",IF($AH202=0,G201,SUMIFS(Data!$R$10:$R$3209,Data!$Q$10:$Q$3209,"&gt;="&amp;$A202,Data!$Q$10:$Q$3209,"&lt;"&amp;$A202+1)/$AH202)))</f>
        <v/>
      </c>
      <c r="I202" s="54">
        <f>IF($B202=0,NA(),IF($C202="",NA(),IF(C$8="",NA(),IF(N(C$8)=0,NA(),IF(Inputs!$C$17="Rebased to 100",$C202/C$8*100,$C202)))))</f>
        <v/>
      </c>
      <c r="J202" s="54">
        <f>IF($B202=0,NA(),IF($D202="",NA(),IF(D$8="",NA(),IF(N(D$8)=0,NA(),IF(Inputs!$C$17="Rebased to 100",$D202/D$8*100,$D202)))))</f>
        <v/>
      </c>
      <c r="K202" s="54">
        <f>IF($B202=0,NA(),IF($E202="",NA(),IF(E$8="",NA(),IF(N(E$8)=0,NA(),IF(Inputs!$C$17="Rebased to 100",$E202/E$8*100,$E202)))))</f>
        <v/>
      </c>
      <c r="L202" s="54">
        <f>IF($B202=0,NA(),IF($F202="",NA(),IF(F$8="",NA(),IF(N(F$8)=0,NA(),IF(Inputs!$C$17="Rebased to 100",$F202/F$8*100,$F202)))))</f>
        <v/>
      </c>
      <c r="M202" s="54">
        <f>IF($B202=0,NA(),IF($G202="",NA(),IF(G$8="",NA(),IF(N(G$8)=0,NA(),IF(Inputs!$C$17="Rebased to 100",$G202/G$8*100,$G202)))))</f>
        <v/>
      </c>
      <c r="N202" s="54">
        <f>IF($B202=0,NA(),IF(Inputs!$C$18&lt;&gt;"Yes",NA(),IF(COUNT(I202,J202,K202,L202,M202)=0,NA(),MIN(I202,J202,K202,L202,M202))))</f>
        <v/>
      </c>
      <c r="O202" s="54">
        <f>IF($B202=0,NA(),IF(Inputs!$B$24&lt;&gt;"Yes",NA(),Inputs!$D$24*Inputs!$C$35))</f>
        <v/>
      </c>
      <c r="P202" s="54">
        <f>IF($B202=0,NA(),IF(Inputs!$B$25&lt;&gt;"Yes",NA(),Inputs!$D$25*Inputs!$C$35))</f>
        <v/>
      </c>
      <c r="Q202" s="54">
        <f>IF($B202=0,NA(),IF(Inputs!$B$26&lt;&gt;"Yes",NA(),Inputs!$D$26*Inputs!$C$35))</f>
        <v/>
      </c>
      <c r="R202" s="54">
        <f>IF($B202=0,NA(),IF(Inputs!$B$27&lt;&gt;"Yes",NA(),Inputs!$D$27*Inputs!$C$35))</f>
        <v/>
      </c>
      <c r="S202" s="54">
        <f>IF($B202=0,NA(),IF(Inputs!$B$28&lt;&gt;"Yes",NA(),Inputs!$D$28*Inputs!$C$35))</f>
        <v/>
      </c>
      <c r="T202" s="54">
        <f>IF($B202=0,NA(),IF(Inputs!$B$29&lt;&gt;"Yes",NA(),Inputs!$D$29*Inputs!$C$35))</f>
        <v/>
      </c>
      <c r="AD202">
        <f>IF($B202=0,0,IF(Inputs!$B$6="",0,COUNTIFS(Data!$A$10:$A$3209,"&gt;="&amp;$A202,Data!$A$10:$A$3209,"&lt;"&amp;$A202+1)))</f>
        <v/>
      </c>
      <c r="AE202">
        <f>IF($B202=0,0,IF(Inputs!$B$7="",0,COUNTIFS(Data!$E$10:$E$3209,"&gt;="&amp;$A202,Data!$E$10:$E$3209,"&lt;"&amp;$A202+1)))</f>
        <v/>
      </c>
      <c r="AF202">
        <f>IF($B202=0,0,IF(Inputs!$B$8="",0,COUNTIFS(Data!$I$10:$I$3209,"&gt;="&amp;$A202,Data!$I$10:$I$3209,"&lt;"&amp;$A202+1)))</f>
        <v/>
      </c>
      <c r="AG202">
        <f>IF($B202=0,0,IF(Inputs!$B$9="",0,COUNTIFS(Data!$M$10:$M$3209,"&gt;="&amp;$A202,Data!$M$10:$M$3209,"&lt;"&amp;$A202+1)))</f>
        <v/>
      </c>
      <c r="AH202">
        <f>IF($B202=0,0,IF(Inputs!$B$10="",0,COUNTIFS(Data!$Q$10:$Q$3209,"&gt;="&amp;$A202,Data!$Q$10:$Q$3209,"&lt;"&amp;$A202+1)))</f>
        <v/>
      </c>
    </row>
    <row r="203">
      <c r="A203" s="55">
        <f>MIN(Inputs!$C$15,$A202+IF(WEEKDAY($A202,2)=5,3,1))</f>
        <v/>
      </c>
      <c r="B203">
        <f>IF($A203&gt;$A202,1,0)</f>
        <v/>
      </c>
      <c r="C203" s="56">
        <f>IF($B203=0,"",IF(Inputs!$B$6="","",IF($AD203=0,C202,SUMIFS(Data!$B$10:$B$3209,Data!$A$10:$A$3209,"&gt;="&amp;$A203,Data!$A$10:$A$3209,"&lt;"&amp;$A203+1)/$AD203)))</f>
        <v/>
      </c>
      <c r="D203" s="56">
        <f>IF($B203=0,"",IF(Inputs!$B$7="","",IF($AE203=0,D202,SUMIFS(Data!$F$10:$F$3209,Data!$E$10:$E$3209,"&gt;="&amp;$A203,Data!$E$10:$E$3209,"&lt;"&amp;$A203+1)/$AE203)))</f>
        <v/>
      </c>
      <c r="E203" s="56">
        <f>IF($B203=0,"",IF(Inputs!$B$8="","",IF($AF203=0,E202,SUMIFS(Data!$J$10:$J$3209,Data!$I$10:$I$3209,"&gt;="&amp;$A203,Data!$I$10:$I$3209,"&lt;"&amp;$A203+1)/$AF203)))</f>
        <v/>
      </c>
      <c r="F203" s="56">
        <f>IF($B203=0,"",IF(Inputs!$B$9="","",IF($AG203=0,F202,SUMIFS(Data!$N$10:$N$3209,Data!$M$10:$M$3209,"&gt;="&amp;$A203,Data!$M$10:$M$3209,"&lt;"&amp;$A203+1)/$AG203)))</f>
        <v/>
      </c>
      <c r="G203" s="56">
        <f>IF($B203=0,"",IF(Inputs!$B$10="","",IF($AH203=0,G202,SUMIFS(Data!$R$10:$R$3209,Data!$Q$10:$Q$3209,"&gt;="&amp;$A203,Data!$Q$10:$Q$3209,"&lt;"&amp;$A203+1)/$AH203)))</f>
        <v/>
      </c>
      <c r="I203" s="54">
        <f>IF($B203=0,NA(),IF($C203="",NA(),IF(C$8="",NA(),IF(N(C$8)=0,NA(),IF(Inputs!$C$17="Rebased to 100",$C203/C$8*100,$C203)))))</f>
        <v/>
      </c>
      <c r="J203" s="54">
        <f>IF($B203=0,NA(),IF($D203="",NA(),IF(D$8="",NA(),IF(N(D$8)=0,NA(),IF(Inputs!$C$17="Rebased to 100",$D203/D$8*100,$D203)))))</f>
        <v/>
      </c>
      <c r="K203" s="54">
        <f>IF($B203=0,NA(),IF($E203="",NA(),IF(E$8="",NA(),IF(N(E$8)=0,NA(),IF(Inputs!$C$17="Rebased to 100",$E203/E$8*100,$E203)))))</f>
        <v/>
      </c>
      <c r="L203" s="54">
        <f>IF($B203=0,NA(),IF($F203="",NA(),IF(F$8="",NA(),IF(N(F$8)=0,NA(),IF(Inputs!$C$17="Rebased to 100",$F203/F$8*100,$F203)))))</f>
        <v/>
      </c>
      <c r="M203" s="54">
        <f>IF($B203=0,NA(),IF($G203="",NA(),IF(G$8="",NA(),IF(N(G$8)=0,NA(),IF(Inputs!$C$17="Rebased to 100",$G203/G$8*100,$G203)))))</f>
        <v/>
      </c>
      <c r="N203" s="54">
        <f>IF($B203=0,NA(),IF(Inputs!$C$18&lt;&gt;"Yes",NA(),IF(COUNT(I203,J203,K203,L203,M203)=0,NA(),MIN(I203,J203,K203,L203,M203))))</f>
        <v/>
      </c>
      <c r="O203" s="54">
        <f>IF($B203=0,NA(),IF(Inputs!$B$24&lt;&gt;"Yes",NA(),Inputs!$D$24*Inputs!$C$35))</f>
        <v/>
      </c>
      <c r="P203" s="54">
        <f>IF($B203=0,NA(),IF(Inputs!$B$25&lt;&gt;"Yes",NA(),Inputs!$D$25*Inputs!$C$35))</f>
        <v/>
      </c>
      <c r="Q203" s="54">
        <f>IF($B203=0,NA(),IF(Inputs!$B$26&lt;&gt;"Yes",NA(),Inputs!$D$26*Inputs!$C$35))</f>
        <v/>
      </c>
      <c r="R203" s="54">
        <f>IF($B203=0,NA(),IF(Inputs!$B$27&lt;&gt;"Yes",NA(),Inputs!$D$27*Inputs!$C$35))</f>
        <v/>
      </c>
      <c r="S203" s="54">
        <f>IF($B203=0,NA(),IF(Inputs!$B$28&lt;&gt;"Yes",NA(),Inputs!$D$28*Inputs!$C$35))</f>
        <v/>
      </c>
      <c r="T203" s="54">
        <f>IF($B203=0,NA(),IF(Inputs!$B$29&lt;&gt;"Yes",NA(),Inputs!$D$29*Inputs!$C$35))</f>
        <v/>
      </c>
      <c r="AD203">
        <f>IF($B203=0,0,IF(Inputs!$B$6="",0,COUNTIFS(Data!$A$10:$A$3209,"&gt;="&amp;$A203,Data!$A$10:$A$3209,"&lt;"&amp;$A203+1)))</f>
        <v/>
      </c>
      <c r="AE203">
        <f>IF($B203=0,0,IF(Inputs!$B$7="",0,COUNTIFS(Data!$E$10:$E$3209,"&gt;="&amp;$A203,Data!$E$10:$E$3209,"&lt;"&amp;$A203+1)))</f>
        <v/>
      </c>
      <c r="AF203">
        <f>IF($B203=0,0,IF(Inputs!$B$8="",0,COUNTIFS(Data!$I$10:$I$3209,"&gt;="&amp;$A203,Data!$I$10:$I$3209,"&lt;"&amp;$A203+1)))</f>
        <v/>
      </c>
      <c r="AG203">
        <f>IF($B203=0,0,IF(Inputs!$B$9="",0,COUNTIFS(Data!$M$10:$M$3209,"&gt;="&amp;$A203,Data!$M$10:$M$3209,"&lt;"&amp;$A203+1)))</f>
        <v/>
      </c>
      <c r="AH203">
        <f>IF($B203=0,0,IF(Inputs!$B$10="",0,COUNTIFS(Data!$Q$10:$Q$3209,"&gt;="&amp;$A203,Data!$Q$10:$Q$3209,"&lt;"&amp;$A203+1)))</f>
        <v/>
      </c>
    </row>
    <row r="204">
      <c r="A204" s="55">
        <f>MIN(Inputs!$C$15,$A203+IF(WEEKDAY($A203,2)=5,3,1))</f>
        <v/>
      </c>
      <c r="B204">
        <f>IF($A204&gt;$A203,1,0)</f>
        <v/>
      </c>
      <c r="C204" s="56">
        <f>IF($B204=0,"",IF(Inputs!$B$6="","",IF($AD204=0,C203,SUMIFS(Data!$B$10:$B$3209,Data!$A$10:$A$3209,"&gt;="&amp;$A204,Data!$A$10:$A$3209,"&lt;"&amp;$A204+1)/$AD204)))</f>
        <v/>
      </c>
      <c r="D204" s="56">
        <f>IF($B204=0,"",IF(Inputs!$B$7="","",IF($AE204=0,D203,SUMIFS(Data!$F$10:$F$3209,Data!$E$10:$E$3209,"&gt;="&amp;$A204,Data!$E$10:$E$3209,"&lt;"&amp;$A204+1)/$AE204)))</f>
        <v/>
      </c>
      <c r="E204" s="56">
        <f>IF($B204=0,"",IF(Inputs!$B$8="","",IF($AF204=0,E203,SUMIFS(Data!$J$10:$J$3209,Data!$I$10:$I$3209,"&gt;="&amp;$A204,Data!$I$10:$I$3209,"&lt;"&amp;$A204+1)/$AF204)))</f>
        <v/>
      </c>
      <c r="F204" s="56">
        <f>IF($B204=0,"",IF(Inputs!$B$9="","",IF($AG204=0,F203,SUMIFS(Data!$N$10:$N$3209,Data!$M$10:$M$3209,"&gt;="&amp;$A204,Data!$M$10:$M$3209,"&lt;"&amp;$A204+1)/$AG204)))</f>
        <v/>
      </c>
      <c r="G204" s="56">
        <f>IF($B204=0,"",IF(Inputs!$B$10="","",IF($AH204=0,G203,SUMIFS(Data!$R$10:$R$3209,Data!$Q$10:$Q$3209,"&gt;="&amp;$A204,Data!$Q$10:$Q$3209,"&lt;"&amp;$A204+1)/$AH204)))</f>
        <v/>
      </c>
      <c r="I204" s="54">
        <f>IF($B204=0,NA(),IF($C204="",NA(),IF(C$8="",NA(),IF(N(C$8)=0,NA(),IF(Inputs!$C$17="Rebased to 100",$C204/C$8*100,$C204)))))</f>
        <v/>
      </c>
      <c r="J204" s="54">
        <f>IF($B204=0,NA(),IF($D204="",NA(),IF(D$8="",NA(),IF(N(D$8)=0,NA(),IF(Inputs!$C$17="Rebased to 100",$D204/D$8*100,$D204)))))</f>
        <v/>
      </c>
      <c r="K204" s="54">
        <f>IF($B204=0,NA(),IF($E204="",NA(),IF(E$8="",NA(),IF(N(E$8)=0,NA(),IF(Inputs!$C$17="Rebased to 100",$E204/E$8*100,$E204)))))</f>
        <v/>
      </c>
      <c r="L204" s="54">
        <f>IF($B204=0,NA(),IF($F204="",NA(),IF(F$8="",NA(),IF(N(F$8)=0,NA(),IF(Inputs!$C$17="Rebased to 100",$F204/F$8*100,$F204)))))</f>
        <v/>
      </c>
      <c r="M204" s="54">
        <f>IF($B204=0,NA(),IF($G204="",NA(),IF(G$8="",NA(),IF(N(G$8)=0,NA(),IF(Inputs!$C$17="Rebased to 100",$G204/G$8*100,$G204)))))</f>
        <v/>
      </c>
      <c r="N204" s="54">
        <f>IF($B204=0,NA(),IF(Inputs!$C$18&lt;&gt;"Yes",NA(),IF(COUNT(I204,J204,K204,L204,M204)=0,NA(),MIN(I204,J204,K204,L204,M204))))</f>
        <v/>
      </c>
      <c r="O204" s="54">
        <f>IF($B204=0,NA(),IF(Inputs!$B$24&lt;&gt;"Yes",NA(),Inputs!$D$24*Inputs!$C$35))</f>
        <v/>
      </c>
      <c r="P204" s="54">
        <f>IF($B204=0,NA(),IF(Inputs!$B$25&lt;&gt;"Yes",NA(),Inputs!$D$25*Inputs!$C$35))</f>
        <v/>
      </c>
      <c r="Q204" s="54">
        <f>IF($B204=0,NA(),IF(Inputs!$B$26&lt;&gt;"Yes",NA(),Inputs!$D$26*Inputs!$C$35))</f>
        <v/>
      </c>
      <c r="R204" s="54">
        <f>IF($B204=0,NA(),IF(Inputs!$B$27&lt;&gt;"Yes",NA(),Inputs!$D$27*Inputs!$C$35))</f>
        <v/>
      </c>
      <c r="S204" s="54">
        <f>IF($B204=0,NA(),IF(Inputs!$B$28&lt;&gt;"Yes",NA(),Inputs!$D$28*Inputs!$C$35))</f>
        <v/>
      </c>
      <c r="T204" s="54">
        <f>IF($B204=0,NA(),IF(Inputs!$B$29&lt;&gt;"Yes",NA(),Inputs!$D$29*Inputs!$C$35))</f>
        <v/>
      </c>
      <c r="AD204">
        <f>IF($B204=0,0,IF(Inputs!$B$6="",0,COUNTIFS(Data!$A$10:$A$3209,"&gt;="&amp;$A204,Data!$A$10:$A$3209,"&lt;"&amp;$A204+1)))</f>
        <v/>
      </c>
      <c r="AE204">
        <f>IF($B204=0,0,IF(Inputs!$B$7="",0,COUNTIFS(Data!$E$10:$E$3209,"&gt;="&amp;$A204,Data!$E$10:$E$3209,"&lt;"&amp;$A204+1)))</f>
        <v/>
      </c>
      <c r="AF204">
        <f>IF($B204=0,0,IF(Inputs!$B$8="",0,COUNTIFS(Data!$I$10:$I$3209,"&gt;="&amp;$A204,Data!$I$10:$I$3209,"&lt;"&amp;$A204+1)))</f>
        <v/>
      </c>
      <c r="AG204">
        <f>IF($B204=0,0,IF(Inputs!$B$9="",0,COUNTIFS(Data!$M$10:$M$3209,"&gt;="&amp;$A204,Data!$M$10:$M$3209,"&lt;"&amp;$A204+1)))</f>
        <v/>
      </c>
      <c r="AH204">
        <f>IF($B204=0,0,IF(Inputs!$B$10="",0,COUNTIFS(Data!$Q$10:$Q$3209,"&gt;="&amp;$A204,Data!$Q$10:$Q$3209,"&lt;"&amp;$A204+1)))</f>
        <v/>
      </c>
    </row>
    <row r="205">
      <c r="A205" s="55">
        <f>MIN(Inputs!$C$15,$A204+IF(WEEKDAY($A204,2)=5,3,1))</f>
        <v/>
      </c>
      <c r="B205">
        <f>IF($A205&gt;$A204,1,0)</f>
        <v/>
      </c>
      <c r="C205" s="56">
        <f>IF($B205=0,"",IF(Inputs!$B$6="","",IF($AD205=0,C204,SUMIFS(Data!$B$10:$B$3209,Data!$A$10:$A$3209,"&gt;="&amp;$A205,Data!$A$10:$A$3209,"&lt;"&amp;$A205+1)/$AD205)))</f>
        <v/>
      </c>
      <c r="D205" s="56">
        <f>IF($B205=0,"",IF(Inputs!$B$7="","",IF($AE205=0,D204,SUMIFS(Data!$F$10:$F$3209,Data!$E$10:$E$3209,"&gt;="&amp;$A205,Data!$E$10:$E$3209,"&lt;"&amp;$A205+1)/$AE205)))</f>
        <v/>
      </c>
      <c r="E205" s="56">
        <f>IF($B205=0,"",IF(Inputs!$B$8="","",IF($AF205=0,E204,SUMIFS(Data!$J$10:$J$3209,Data!$I$10:$I$3209,"&gt;="&amp;$A205,Data!$I$10:$I$3209,"&lt;"&amp;$A205+1)/$AF205)))</f>
        <v/>
      </c>
      <c r="F205" s="56">
        <f>IF($B205=0,"",IF(Inputs!$B$9="","",IF($AG205=0,F204,SUMIFS(Data!$N$10:$N$3209,Data!$M$10:$M$3209,"&gt;="&amp;$A205,Data!$M$10:$M$3209,"&lt;"&amp;$A205+1)/$AG205)))</f>
        <v/>
      </c>
      <c r="G205" s="56">
        <f>IF($B205=0,"",IF(Inputs!$B$10="","",IF($AH205=0,G204,SUMIFS(Data!$R$10:$R$3209,Data!$Q$10:$Q$3209,"&gt;="&amp;$A205,Data!$Q$10:$Q$3209,"&lt;"&amp;$A205+1)/$AH205)))</f>
        <v/>
      </c>
      <c r="I205" s="54">
        <f>IF($B205=0,NA(),IF($C205="",NA(),IF(C$8="",NA(),IF(N(C$8)=0,NA(),IF(Inputs!$C$17="Rebased to 100",$C205/C$8*100,$C205)))))</f>
        <v/>
      </c>
      <c r="J205" s="54">
        <f>IF($B205=0,NA(),IF($D205="",NA(),IF(D$8="",NA(),IF(N(D$8)=0,NA(),IF(Inputs!$C$17="Rebased to 100",$D205/D$8*100,$D205)))))</f>
        <v/>
      </c>
      <c r="K205" s="54">
        <f>IF($B205=0,NA(),IF($E205="",NA(),IF(E$8="",NA(),IF(N(E$8)=0,NA(),IF(Inputs!$C$17="Rebased to 100",$E205/E$8*100,$E205)))))</f>
        <v/>
      </c>
      <c r="L205" s="54">
        <f>IF($B205=0,NA(),IF($F205="",NA(),IF(F$8="",NA(),IF(N(F$8)=0,NA(),IF(Inputs!$C$17="Rebased to 100",$F205/F$8*100,$F205)))))</f>
        <v/>
      </c>
      <c r="M205" s="54">
        <f>IF($B205=0,NA(),IF($G205="",NA(),IF(G$8="",NA(),IF(N(G$8)=0,NA(),IF(Inputs!$C$17="Rebased to 100",$G205/G$8*100,$G205)))))</f>
        <v/>
      </c>
      <c r="N205" s="54">
        <f>IF($B205=0,NA(),IF(Inputs!$C$18&lt;&gt;"Yes",NA(),IF(COUNT(I205,J205,K205,L205,M205)=0,NA(),MIN(I205,J205,K205,L205,M205))))</f>
        <v/>
      </c>
      <c r="O205" s="54">
        <f>IF($B205=0,NA(),IF(Inputs!$B$24&lt;&gt;"Yes",NA(),Inputs!$D$24*Inputs!$C$35))</f>
        <v/>
      </c>
      <c r="P205" s="54">
        <f>IF($B205=0,NA(),IF(Inputs!$B$25&lt;&gt;"Yes",NA(),Inputs!$D$25*Inputs!$C$35))</f>
        <v/>
      </c>
      <c r="Q205" s="54">
        <f>IF($B205=0,NA(),IF(Inputs!$B$26&lt;&gt;"Yes",NA(),Inputs!$D$26*Inputs!$C$35))</f>
        <v/>
      </c>
      <c r="R205" s="54">
        <f>IF($B205=0,NA(),IF(Inputs!$B$27&lt;&gt;"Yes",NA(),Inputs!$D$27*Inputs!$C$35))</f>
        <v/>
      </c>
      <c r="S205" s="54">
        <f>IF($B205=0,NA(),IF(Inputs!$B$28&lt;&gt;"Yes",NA(),Inputs!$D$28*Inputs!$C$35))</f>
        <v/>
      </c>
      <c r="T205" s="54">
        <f>IF($B205=0,NA(),IF(Inputs!$B$29&lt;&gt;"Yes",NA(),Inputs!$D$29*Inputs!$C$35))</f>
        <v/>
      </c>
      <c r="AD205">
        <f>IF($B205=0,0,IF(Inputs!$B$6="",0,COUNTIFS(Data!$A$10:$A$3209,"&gt;="&amp;$A205,Data!$A$10:$A$3209,"&lt;"&amp;$A205+1)))</f>
        <v/>
      </c>
      <c r="AE205">
        <f>IF($B205=0,0,IF(Inputs!$B$7="",0,COUNTIFS(Data!$E$10:$E$3209,"&gt;="&amp;$A205,Data!$E$10:$E$3209,"&lt;"&amp;$A205+1)))</f>
        <v/>
      </c>
      <c r="AF205">
        <f>IF($B205=0,0,IF(Inputs!$B$8="",0,COUNTIFS(Data!$I$10:$I$3209,"&gt;="&amp;$A205,Data!$I$10:$I$3209,"&lt;"&amp;$A205+1)))</f>
        <v/>
      </c>
      <c r="AG205">
        <f>IF($B205=0,0,IF(Inputs!$B$9="",0,COUNTIFS(Data!$M$10:$M$3209,"&gt;="&amp;$A205,Data!$M$10:$M$3209,"&lt;"&amp;$A205+1)))</f>
        <v/>
      </c>
      <c r="AH205">
        <f>IF($B205=0,0,IF(Inputs!$B$10="",0,COUNTIFS(Data!$Q$10:$Q$3209,"&gt;="&amp;$A205,Data!$Q$10:$Q$3209,"&lt;"&amp;$A205+1)))</f>
        <v/>
      </c>
    </row>
    <row r="206">
      <c r="A206" s="55">
        <f>MIN(Inputs!$C$15,$A205+IF(WEEKDAY($A205,2)=5,3,1))</f>
        <v/>
      </c>
      <c r="B206">
        <f>IF($A206&gt;$A205,1,0)</f>
        <v/>
      </c>
      <c r="C206" s="56">
        <f>IF($B206=0,"",IF(Inputs!$B$6="","",IF($AD206=0,C205,SUMIFS(Data!$B$10:$B$3209,Data!$A$10:$A$3209,"&gt;="&amp;$A206,Data!$A$10:$A$3209,"&lt;"&amp;$A206+1)/$AD206)))</f>
        <v/>
      </c>
      <c r="D206" s="56">
        <f>IF($B206=0,"",IF(Inputs!$B$7="","",IF($AE206=0,D205,SUMIFS(Data!$F$10:$F$3209,Data!$E$10:$E$3209,"&gt;="&amp;$A206,Data!$E$10:$E$3209,"&lt;"&amp;$A206+1)/$AE206)))</f>
        <v/>
      </c>
      <c r="E206" s="56">
        <f>IF($B206=0,"",IF(Inputs!$B$8="","",IF($AF206=0,E205,SUMIFS(Data!$J$10:$J$3209,Data!$I$10:$I$3209,"&gt;="&amp;$A206,Data!$I$10:$I$3209,"&lt;"&amp;$A206+1)/$AF206)))</f>
        <v/>
      </c>
      <c r="F206" s="56">
        <f>IF($B206=0,"",IF(Inputs!$B$9="","",IF($AG206=0,F205,SUMIFS(Data!$N$10:$N$3209,Data!$M$10:$M$3209,"&gt;="&amp;$A206,Data!$M$10:$M$3209,"&lt;"&amp;$A206+1)/$AG206)))</f>
        <v/>
      </c>
      <c r="G206" s="56">
        <f>IF($B206=0,"",IF(Inputs!$B$10="","",IF($AH206=0,G205,SUMIFS(Data!$R$10:$R$3209,Data!$Q$10:$Q$3209,"&gt;="&amp;$A206,Data!$Q$10:$Q$3209,"&lt;"&amp;$A206+1)/$AH206)))</f>
        <v/>
      </c>
      <c r="I206" s="54">
        <f>IF($B206=0,NA(),IF($C206="",NA(),IF(C$8="",NA(),IF(N(C$8)=0,NA(),IF(Inputs!$C$17="Rebased to 100",$C206/C$8*100,$C206)))))</f>
        <v/>
      </c>
      <c r="J206" s="54">
        <f>IF($B206=0,NA(),IF($D206="",NA(),IF(D$8="",NA(),IF(N(D$8)=0,NA(),IF(Inputs!$C$17="Rebased to 100",$D206/D$8*100,$D206)))))</f>
        <v/>
      </c>
      <c r="K206" s="54">
        <f>IF($B206=0,NA(),IF($E206="",NA(),IF(E$8="",NA(),IF(N(E$8)=0,NA(),IF(Inputs!$C$17="Rebased to 100",$E206/E$8*100,$E206)))))</f>
        <v/>
      </c>
      <c r="L206" s="54">
        <f>IF($B206=0,NA(),IF($F206="",NA(),IF(F$8="",NA(),IF(N(F$8)=0,NA(),IF(Inputs!$C$17="Rebased to 100",$F206/F$8*100,$F206)))))</f>
        <v/>
      </c>
      <c r="M206" s="54">
        <f>IF($B206=0,NA(),IF($G206="",NA(),IF(G$8="",NA(),IF(N(G$8)=0,NA(),IF(Inputs!$C$17="Rebased to 100",$G206/G$8*100,$G206)))))</f>
        <v/>
      </c>
      <c r="N206" s="54">
        <f>IF($B206=0,NA(),IF(Inputs!$C$18&lt;&gt;"Yes",NA(),IF(COUNT(I206,J206,K206,L206,M206)=0,NA(),MIN(I206,J206,K206,L206,M206))))</f>
        <v/>
      </c>
      <c r="O206" s="54">
        <f>IF($B206=0,NA(),IF(Inputs!$B$24&lt;&gt;"Yes",NA(),Inputs!$D$24*Inputs!$C$35))</f>
        <v/>
      </c>
      <c r="P206" s="54">
        <f>IF($B206=0,NA(),IF(Inputs!$B$25&lt;&gt;"Yes",NA(),Inputs!$D$25*Inputs!$C$35))</f>
        <v/>
      </c>
      <c r="Q206" s="54">
        <f>IF($B206=0,NA(),IF(Inputs!$B$26&lt;&gt;"Yes",NA(),Inputs!$D$26*Inputs!$C$35))</f>
        <v/>
      </c>
      <c r="R206" s="54">
        <f>IF($B206=0,NA(),IF(Inputs!$B$27&lt;&gt;"Yes",NA(),Inputs!$D$27*Inputs!$C$35))</f>
        <v/>
      </c>
      <c r="S206" s="54">
        <f>IF($B206=0,NA(),IF(Inputs!$B$28&lt;&gt;"Yes",NA(),Inputs!$D$28*Inputs!$C$35))</f>
        <v/>
      </c>
      <c r="T206" s="54">
        <f>IF($B206=0,NA(),IF(Inputs!$B$29&lt;&gt;"Yes",NA(),Inputs!$D$29*Inputs!$C$35))</f>
        <v/>
      </c>
      <c r="AD206">
        <f>IF($B206=0,0,IF(Inputs!$B$6="",0,COUNTIFS(Data!$A$10:$A$3209,"&gt;="&amp;$A206,Data!$A$10:$A$3209,"&lt;"&amp;$A206+1)))</f>
        <v/>
      </c>
      <c r="AE206">
        <f>IF($B206=0,0,IF(Inputs!$B$7="",0,COUNTIFS(Data!$E$10:$E$3209,"&gt;="&amp;$A206,Data!$E$10:$E$3209,"&lt;"&amp;$A206+1)))</f>
        <v/>
      </c>
      <c r="AF206">
        <f>IF($B206=0,0,IF(Inputs!$B$8="",0,COUNTIFS(Data!$I$10:$I$3209,"&gt;="&amp;$A206,Data!$I$10:$I$3209,"&lt;"&amp;$A206+1)))</f>
        <v/>
      </c>
      <c r="AG206">
        <f>IF($B206=0,0,IF(Inputs!$B$9="",0,COUNTIFS(Data!$M$10:$M$3209,"&gt;="&amp;$A206,Data!$M$10:$M$3209,"&lt;"&amp;$A206+1)))</f>
        <v/>
      </c>
      <c r="AH206">
        <f>IF($B206=0,0,IF(Inputs!$B$10="",0,COUNTIFS(Data!$Q$10:$Q$3209,"&gt;="&amp;$A206,Data!$Q$10:$Q$3209,"&lt;"&amp;$A206+1)))</f>
        <v/>
      </c>
    </row>
    <row r="207">
      <c r="A207" s="55">
        <f>MIN(Inputs!$C$15,$A206+IF(WEEKDAY($A206,2)=5,3,1))</f>
        <v/>
      </c>
      <c r="B207">
        <f>IF($A207&gt;$A206,1,0)</f>
        <v/>
      </c>
      <c r="C207" s="56">
        <f>IF($B207=0,"",IF(Inputs!$B$6="","",IF($AD207=0,C206,SUMIFS(Data!$B$10:$B$3209,Data!$A$10:$A$3209,"&gt;="&amp;$A207,Data!$A$10:$A$3209,"&lt;"&amp;$A207+1)/$AD207)))</f>
        <v/>
      </c>
      <c r="D207" s="56">
        <f>IF($B207=0,"",IF(Inputs!$B$7="","",IF($AE207=0,D206,SUMIFS(Data!$F$10:$F$3209,Data!$E$10:$E$3209,"&gt;="&amp;$A207,Data!$E$10:$E$3209,"&lt;"&amp;$A207+1)/$AE207)))</f>
        <v/>
      </c>
      <c r="E207" s="56">
        <f>IF($B207=0,"",IF(Inputs!$B$8="","",IF($AF207=0,E206,SUMIFS(Data!$J$10:$J$3209,Data!$I$10:$I$3209,"&gt;="&amp;$A207,Data!$I$10:$I$3209,"&lt;"&amp;$A207+1)/$AF207)))</f>
        <v/>
      </c>
      <c r="F207" s="56">
        <f>IF($B207=0,"",IF(Inputs!$B$9="","",IF($AG207=0,F206,SUMIFS(Data!$N$10:$N$3209,Data!$M$10:$M$3209,"&gt;="&amp;$A207,Data!$M$10:$M$3209,"&lt;"&amp;$A207+1)/$AG207)))</f>
        <v/>
      </c>
      <c r="G207" s="56">
        <f>IF($B207=0,"",IF(Inputs!$B$10="","",IF($AH207=0,G206,SUMIFS(Data!$R$10:$R$3209,Data!$Q$10:$Q$3209,"&gt;="&amp;$A207,Data!$Q$10:$Q$3209,"&lt;"&amp;$A207+1)/$AH207)))</f>
        <v/>
      </c>
      <c r="I207" s="54">
        <f>IF($B207=0,NA(),IF($C207="",NA(),IF(C$8="",NA(),IF(N(C$8)=0,NA(),IF(Inputs!$C$17="Rebased to 100",$C207/C$8*100,$C207)))))</f>
        <v/>
      </c>
      <c r="J207" s="54">
        <f>IF($B207=0,NA(),IF($D207="",NA(),IF(D$8="",NA(),IF(N(D$8)=0,NA(),IF(Inputs!$C$17="Rebased to 100",$D207/D$8*100,$D207)))))</f>
        <v/>
      </c>
      <c r="K207" s="54">
        <f>IF($B207=0,NA(),IF($E207="",NA(),IF(E$8="",NA(),IF(N(E$8)=0,NA(),IF(Inputs!$C$17="Rebased to 100",$E207/E$8*100,$E207)))))</f>
        <v/>
      </c>
      <c r="L207" s="54">
        <f>IF($B207=0,NA(),IF($F207="",NA(),IF(F$8="",NA(),IF(N(F$8)=0,NA(),IF(Inputs!$C$17="Rebased to 100",$F207/F$8*100,$F207)))))</f>
        <v/>
      </c>
      <c r="M207" s="54">
        <f>IF($B207=0,NA(),IF($G207="",NA(),IF(G$8="",NA(),IF(N(G$8)=0,NA(),IF(Inputs!$C$17="Rebased to 100",$G207/G$8*100,$G207)))))</f>
        <v/>
      </c>
      <c r="N207" s="54">
        <f>IF($B207=0,NA(),IF(Inputs!$C$18&lt;&gt;"Yes",NA(),IF(COUNT(I207,J207,K207,L207,M207)=0,NA(),MIN(I207,J207,K207,L207,M207))))</f>
        <v/>
      </c>
      <c r="O207" s="54">
        <f>IF($B207=0,NA(),IF(Inputs!$B$24&lt;&gt;"Yes",NA(),Inputs!$D$24*Inputs!$C$35))</f>
        <v/>
      </c>
      <c r="P207" s="54">
        <f>IF($B207=0,NA(),IF(Inputs!$B$25&lt;&gt;"Yes",NA(),Inputs!$D$25*Inputs!$C$35))</f>
        <v/>
      </c>
      <c r="Q207" s="54">
        <f>IF($B207=0,NA(),IF(Inputs!$B$26&lt;&gt;"Yes",NA(),Inputs!$D$26*Inputs!$C$35))</f>
        <v/>
      </c>
      <c r="R207" s="54">
        <f>IF($B207=0,NA(),IF(Inputs!$B$27&lt;&gt;"Yes",NA(),Inputs!$D$27*Inputs!$C$35))</f>
        <v/>
      </c>
      <c r="S207" s="54">
        <f>IF($B207=0,NA(),IF(Inputs!$B$28&lt;&gt;"Yes",NA(),Inputs!$D$28*Inputs!$C$35))</f>
        <v/>
      </c>
      <c r="T207" s="54">
        <f>IF($B207=0,NA(),IF(Inputs!$B$29&lt;&gt;"Yes",NA(),Inputs!$D$29*Inputs!$C$35))</f>
        <v/>
      </c>
      <c r="AD207">
        <f>IF($B207=0,0,IF(Inputs!$B$6="",0,COUNTIFS(Data!$A$10:$A$3209,"&gt;="&amp;$A207,Data!$A$10:$A$3209,"&lt;"&amp;$A207+1)))</f>
        <v/>
      </c>
      <c r="AE207">
        <f>IF($B207=0,0,IF(Inputs!$B$7="",0,COUNTIFS(Data!$E$10:$E$3209,"&gt;="&amp;$A207,Data!$E$10:$E$3209,"&lt;"&amp;$A207+1)))</f>
        <v/>
      </c>
      <c r="AF207">
        <f>IF($B207=0,0,IF(Inputs!$B$8="",0,COUNTIFS(Data!$I$10:$I$3209,"&gt;="&amp;$A207,Data!$I$10:$I$3209,"&lt;"&amp;$A207+1)))</f>
        <v/>
      </c>
      <c r="AG207">
        <f>IF($B207=0,0,IF(Inputs!$B$9="",0,COUNTIFS(Data!$M$10:$M$3209,"&gt;="&amp;$A207,Data!$M$10:$M$3209,"&lt;"&amp;$A207+1)))</f>
        <v/>
      </c>
      <c r="AH207">
        <f>IF($B207=0,0,IF(Inputs!$B$10="",0,COUNTIFS(Data!$Q$10:$Q$3209,"&gt;="&amp;$A207,Data!$Q$10:$Q$3209,"&lt;"&amp;$A207+1)))</f>
        <v/>
      </c>
    </row>
    <row r="208">
      <c r="A208" s="55">
        <f>MIN(Inputs!$C$15,$A207+IF(WEEKDAY($A207,2)=5,3,1))</f>
        <v/>
      </c>
      <c r="B208">
        <f>IF($A208&gt;$A207,1,0)</f>
        <v/>
      </c>
      <c r="C208" s="56">
        <f>IF($B208=0,"",IF(Inputs!$B$6="","",IF($AD208=0,C207,SUMIFS(Data!$B$10:$B$3209,Data!$A$10:$A$3209,"&gt;="&amp;$A208,Data!$A$10:$A$3209,"&lt;"&amp;$A208+1)/$AD208)))</f>
        <v/>
      </c>
      <c r="D208" s="56">
        <f>IF($B208=0,"",IF(Inputs!$B$7="","",IF($AE208=0,D207,SUMIFS(Data!$F$10:$F$3209,Data!$E$10:$E$3209,"&gt;="&amp;$A208,Data!$E$10:$E$3209,"&lt;"&amp;$A208+1)/$AE208)))</f>
        <v/>
      </c>
      <c r="E208" s="56">
        <f>IF($B208=0,"",IF(Inputs!$B$8="","",IF($AF208=0,E207,SUMIFS(Data!$J$10:$J$3209,Data!$I$10:$I$3209,"&gt;="&amp;$A208,Data!$I$10:$I$3209,"&lt;"&amp;$A208+1)/$AF208)))</f>
        <v/>
      </c>
      <c r="F208" s="56">
        <f>IF($B208=0,"",IF(Inputs!$B$9="","",IF($AG208=0,F207,SUMIFS(Data!$N$10:$N$3209,Data!$M$10:$M$3209,"&gt;="&amp;$A208,Data!$M$10:$M$3209,"&lt;"&amp;$A208+1)/$AG208)))</f>
        <v/>
      </c>
      <c r="G208" s="56">
        <f>IF($B208=0,"",IF(Inputs!$B$10="","",IF($AH208=0,G207,SUMIFS(Data!$R$10:$R$3209,Data!$Q$10:$Q$3209,"&gt;="&amp;$A208,Data!$Q$10:$Q$3209,"&lt;"&amp;$A208+1)/$AH208)))</f>
        <v/>
      </c>
      <c r="I208" s="54">
        <f>IF($B208=0,NA(),IF($C208="",NA(),IF(C$8="",NA(),IF(N(C$8)=0,NA(),IF(Inputs!$C$17="Rebased to 100",$C208/C$8*100,$C208)))))</f>
        <v/>
      </c>
      <c r="J208" s="54">
        <f>IF($B208=0,NA(),IF($D208="",NA(),IF(D$8="",NA(),IF(N(D$8)=0,NA(),IF(Inputs!$C$17="Rebased to 100",$D208/D$8*100,$D208)))))</f>
        <v/>
      </c>
      <c r="K208" s="54">
        <f>IF($B208=0,NA(),IF($E208="",NA(),IF(E$8="",NA(),IF(N(E$8)=0,NA(),IF(Inputs!$C$17="Rebased to 100",$E208/E$8*100,$E208)))))</f>
        <v/>
      </c>
      <c r="L208" s="54">
        <f>IF($B208=0,NA(),IF($F208="",NA(),IF(F$8="",NA(),IF(N(F$8)=0,NA(),IF(Inputs!$C$17="Rebased to 100",$F208/F$8*100,$F208)))))</f>
        <v/>
      </c>
      <c r="M208" s="54">
        <f>IF($B208=0,NA(),IF($G208="",NA(),IF(G$8="",NA(),IF(N(G$8)=0,NA(),IF(Inputs!$C$17="Rebased to 100",$G208/G$8*100,$G208)))))</f>
        <v/>
      </c>
      <c r="N208" s="54">
        <f>IF($B208=0,NA(),IF(Inputs!$C$18&lt;&gt;"Yes",NA(),IF(COUNT(I208,J208,K208,L208,M208)=0,NA(),MIN(I208,J208,K208,L208,M208))))</f>
        <v/>
      </c>
      <c r="O208" s="54">
        <f>IF($B208=0,NA(),IF(Inputs!$B$24&lt;&gt;"Yes",NA(),Inputs!$D$24*Inputs!$C$35))</f>
        <v/>
      </c>
      <c r="P208" s="54">
        <f>IF($B208=0,NA(),IF(Inputs!$B$25&lt;&gt;"Yes",NA(),Inputs!$D$25*Inputs!$C$35))</f>
        <v/>
      </c>
      <c r="Q208" s="54">
        <f>IF($B208=0,NA(),IF(Inputs!$B$26&lt;&gt;"Yes",NA(),Inputs!$D$26*Inputs!$C$35))</f>
        <v/>
      </c>
      <c r="R208" s="54">
        <f>IF($B208=0,NA(),IF(Inputs!$B$27&lt;&gt;"Yes",NA(),Inputs!$D$27*Inputs!$C$35))</f>
        <v/>
      </c>
      <c r="S208" s="54">
        <f>IF($B208=0,NA(),IF(Inputs!$B$28&lt;&gt;"Yes",NA(),Inputs!$D$28*Inputs!$C$35))</f>
        <v/>
      </c>
      <c r="T208" s="54">
        <f>IF($B208=0,NA(),IF(Inputs!$B$29&lt;&gt;"Yes",NA(),Inputs!$D$29*Inputs!$C$35))</f>
        <v/>
      </c>
      <c r="AD208">
        <f>IF($B208=0,0,IF(Inputs!$B$6="",0,COUNTIFS(Data!$A$10:$A$3209,"&gt;="&amp;$A208,Data!$A$10:$A$3209,"&lt;"&amp;$A208+1)))</f>
        <v/>
      </c>
      <c r="AE208">
        <f>IF($B208=0,0,IF(Inputs!$B$7="",0,COUNTIFS(Data!$E$10:$E$3209,"&gt;="&amp;$A208,Data!$E$10:$E$3209,"&lt;"&amp;$A208+1)))</f>
        <v/>
      </c>
      <c r="AF208">
        <f>IF($B208=0,0,IF(Inputs!$B$8="",0,COUNTIFS(Data!$I$10:$I$3209,"&gt;="&amp;$A208,Data!$I$10:$I$3209,"&lt;"&amp;$A208+1)))</f>
        <v/>
      </c>
      <c r="AG208">
        <f>IF($B208=0,0,IF(Inputs!$B$9="",0,COUNTIFS(Data!$M$10:$M$3209,"&gt;="&amp;$A208,Data!$M$10:$M$3209,"&lt;"&amp;$A208+1)))</f>
        <v/>
      </c>
      <c r="AH208">
        <f>IF($B208=0,0,IF(Inputs!$B$10="",0,COUNTIFS(Data!$Q$10:$Q$3209,"&gt;="&amp;$A208,Data!$Q$10:$Q$3209,"&lt;"&amp;$A208+1)))</f>
        <v/>
      </c>
    </row>
    <row r="209">
      <c r="A209" s="55">
        <f>MIN(Inputs!$C$15,$A208+IF(WEEKDAY($A208,2)=5,3,1))</f>
        <v/>
      </c>
      <c r="B209">
        <f>IF($A209&gt;$A208,1,0)</f>
        <v/>
      </c>
      <c r="C209" s="56">
        <f>IF($B209=0,"",IF(Inputs!$B$6="","",IF($AD209=0,C208,SUMIFS(Data!$B$10:$B$3209,Data!$A$10:$A$3209,"&gt;="&amp;$A209,Data!$A$10:$A$3209,"&lt;"&amp;$A209+1)/$AD209)))</f>
        <v/>
      </c>
      <c r="D209" s="56">
        <f>IF($B209=0,"",IF(Inputs!$B$7="","",IF($AE209=0,D208,SUMIFS(Data!$F$10:$F$3209,Data!$E$10:$E$3209,"&gt;="&amp;$A209,Data!$E$10:$E$3209,"&lt;"&amp;$A209+1)/$AE209)))</f>
        <v/>
      </c>
      <c r="E209" s="56">
        <f>IF($B209=0,"",IF(Inputs!$B$8="","",IF($AF209=0,E208,SUMIFS(Data!$J$10:$J$3209,Data!$I$10:$I$3209,"&gt;="&amp;$A209,Data!$I$10:$I$3209,"&lt;"&amp;$A209+1)/$AF209)))</f>
        <v/>
      </c>
      <c r="F209" s="56">
        <f>IF($B209=0,"",IF(Inputs!$B$9="","",IF($AG209=0,F208,SUMIFS(Data!$N$10:$N$3209,Data!$M$10:$M$3209,"&gt;="&amp;$A209,Data!$M$10:$M$3209,"&lt;"&amp;$A209+1)/$AG209)))</f>
        <v/>
      </c>
      <c r="G209" s="56">
        <f>IF($B209=0,"",IF(Inputs!$B$10="","",IF($AH209=0,G208,SUMIFS(Data!$R$10:$R$3209,Data!$Q$10:$Q$3209,"&gt;="&amp;$A209,Data!$Q$10:$Q$3209,"&lt;"&amp;$A209+1)/$AH209)))</f>
        <v/>
      </c>
      <c r="I209" s="54">
        <f>IF($B209=0,NA(),IF($C209="",NA(),IF(C$8="",NA(),IF(N(C$8)=0,NA(),IF(Inputs!$C$17="Rebased to 100",$C209/C$8*100,$C209)))))</f>
        <v/>
      </c>
      <c r="J209" s="54">
        <f>IF($B209=0,NA(),IF($D209="",NA(),IF(D$8="",NA(),IF(N(D$8)=0,NA(),IF(Inputs!$C$17="Rebased to 100",$D209/D$8*100,$D209)))))</f>
        <v/>
      </c>
      <c r="K209" s="54">
        <f>IF($B209=0,NA(),IF($E209="",NA(),IF(E$8="",NA(),IF(N(E$8)=0,NA(),IF(Inputs!$C$17="Rebased to 100",$E209/E$8*100,$E209)))))</f>
        <v/>
      </c>
      <c r="L209" s="54">
        <f>IF($B209=0,NA(),IF($F209="",NA(),IF(F$8="",NA(),IF(N(F$8)=0,NA(),IF(Inputs!$C$17="Rebased to 100",$F209/F$8*100,$F209)))))</f>
        <v/>
      </c>
      <c r="M209" s="54">
        <f>IF($B209=0,NA(),IF($G209="",NA(),IF(G$8="",NA(),IF(N(G$8)=0,NA(),IF(Inputs!$C$17="Rebased to 100",$G209/G$8*100,$G209)))))</f>
        <v/>
      </c>
      <c r="N209" s="54">
        <f>IF($B209=0,NA(),IF(Inputs!$C$18&lt;&gt;"Yes",NA(),IF(COUNT(I209,J209,K209,L209,M209)=0,NA(),MIN(I209,J209,K209,L209,M209))))</f>
        <v/>
      </c>
      <c r="O209" s="54">
        <f>IF($B209=0,NA(),IF(Inputs!$B$24&lt;&gt;"Yes",NA(),Inputs!$D$24*Inputs!$C$35))</f>
        <v/>
      </c>
      <c r="P209" s="54">
        <f>IF($B209=0,NA(),IF(Inputs!$B$25&lt;&gt;"Yes",NA(),Inputs!$D$25*Inputs!$C$35))</f>
        <v/>
      </c>
      <c r="Q209" s="54">
        <f>IF($B209=0,NA(),IF(Inputs!$B$26&lt;&gt;"Yes",NA(),Inputs!$D$26*Inputs!$C$35))</f>
        <v/>
      </c>
      <c r="R209" s="54">
        <f>IF($B209=0,NA(),IF(Inputs!$B$27&lt;&gt;"Yes",NA(),Inputs!$D$27*Inputs!$C$35))</f>
        <v/>
      </c>
      <c r="S209" s="54">
        <f>IF($B209=0,NA(),IF(Inputs!$B$28&lt;&gt;"Yes",NA(),Inputs!$D$28*Inputs!$C$35))</f>
        <v/>
      </c>
      <c r="T209" s="54">
        <f>IF($B209=0,NA(),IF(Inputs!$B$29&lt;&gt;"Yes",NA(),Inputs!$D$29*Inputs!$C$35))</f>
        <v/>
      </c>
      <c r="AD209">
        <f>IF($B209=0,0,IF(Inputs!$B$6="",0,COUNTIFS(Data!$A$10:$A$3209,"&gt;="&amp;$A209,Data!$A$10:$A$3209,"&lt;"&amp;$A209+1)))</f>
        <v/>
      </c>
      <c r="AE209">
        <f>IF($B209=0,0,IF(Inputs!$B$7="",0,COUNTIFS(Data!$E$10:$E$3209,"&gt;="&amp;$A209,Data!$E$10:$E$3209,"&lt;"&amp;$A209+1)))</f>
        <v/>
      </c>
      <c r="AF209">
        <f>IF($B209=0,0,IF(Inputs!$B$8="",0,COUNTIFS(Data!$I$10:$I$3209,"&gt;="&amp;$A209,Data!$I$10:$I$3209,"&lt;"&amp;$A209+1)))</f>
        <v/>
      </c>
      <c r="AG209">
        <f>IF($B209=0,0,IF(Inputs!$B$9="",0,COUNTIFS(Data!$M$10:$M$3209,"&gt;="&amp;$A209,Data!$M$10:$M$3209,"&lt;"&amp;$A209+1)))</f>
        <v/>
      </c>
      <c r="AH209">
        <f>IF($B209=0,0,IF(Inputs!$B$10="",0,COUNTIFS(Data!$Q$10:$Q$3209,"&gt;="&amp;$A209,Data!$Q$10:$Q$3209,"&lt;"&amp;$A209+1)))</f>
        <v/>
      </c>
    </row>
    <row r="210">
      <c r="A210" s="55">
        <f>MIN(Inputs!$C$15,$A209+IF(WEEKDAY($A209,2)=5,3,1))</f>
        <v/>
      </c>
      <c r="B210">
        <f>IF($A210&gt;$A209,1,0)</f>
        <v/>
      </c>
      <c r="C210" s="56">
        <f>IF($B210=0,"",IF(Inputs!$B$6="","",IF($AD210=0,C209,SUMIFS(Data!$B$10:$B$3209,Data!$A$10:$A$3209,"&gt;="&amp;$A210,Data!$A$10:$A$3209,"&lt;"&amp;$A210+1)/$AD210)))</f>
        <v/>
      </c>
      <c r="D210" s="56">
        <f>IF($B210=0,"",IF(Inputs!$B$7="","",IF($AE210=0,D209,SUMIFS(Data!$F$10:$F$3209,Data!$E$10:$E$3209,"&gt;="&amp;$A210,Data!$E$10:$E$3209,"&lt;"&amp;$A210+1)/$AE210)))</f>
        <v/>
      </c>
      <c r="E210" s="56">
        <f>IF($B210=0,"",IF(Inputs!$B$8="","",IF($AF210=0,E209,SUMIFS(Data!$J$10:$J$3209,Data!$I$10:$I$3209,"&gt;="&amp;$A210,Data!$I$10:$I$3209,"&lt;"&amp;$A210+1)/$AF210)))</f>
        <v/>
      </c>
      <c r="F210" s="56">
        <f>IF($B210=0,"",IF(Inputs!$B$9="","",IF($AG210=0,F209,SUMIFS(Data!$N$10:$N$3209,Data!$M$10:$M$3209,"&gt;="&amp;$A210,Data!$M$10:$M$3209,"&lt;"&amp;$A210+1)/$AG210)))</f>
        <v/>
      </c>
      <c r="G210" s="56">
        <f>IF($B210=0,"",IF(Inputs!$B$10="","",IF($AH210=0,G209,SUMIFS(Data!$R$10:$R$3209,Data!$Q$10:$Q$3209,"&gt;="&amp;$A210,Data!$Q$10:$Q$3209,"&lt;"&amp;$A210+1)/$AH210)))</f>
        <v/>
      </c>
      <c r="I210" s="54">
        <f>IF($B210=0,NA(),IF($C210="",NA(),IF(C$8="",NA(),IF(N(C$8)=0,NA(),IF(Inputs!$C$17="Rebased to 100",$C210/C$8*100,$C210)))))</f>
        <v/>
      </c>
      <c r="J210" s="54">
        <f>IF($B210=0,NA(),IF($D210="",NA(),IF(D$8="",NA(),IF(N(D$8)=0,NA(),IF(Inputs!$C$17="Rebased to 100",$D210/D$8*100,$D210)))))</f>
        <v/>
      </c>
      <c r="K210" s="54">
        <f>IF($B210=0,NA(),IF($E210="",NA(),IF(E$8="",NA(),IF(N(E$8)=0,NA(),IF(Inputs!$C$17="Rebased to 100",$E210/E$8*100,$E210)))))</f>
        <v/>
      </c>
      <c r="L210" s="54">
        <f>IF($B210=0,NA(),IF($F210="",NA(),IF(F$8="",NA(),IF(N(F$8)=0,NA(),IF(Inputs!$C$17="Rebased to 100",$F210/F$8*100,$F210)))))</f>
        <v/>
      </c>
      <c r="M210" s="54">
        <f>IF($B210=0,NA(),IF($G210="",NA(),IF(G$8="",NA(),IF(N(G$8)=0,NA(),IF(Inputs!$C$17="Rebased to 100",$G210/G$8*100,$G210)))))</f>
        <v/>
      </c>
      <c r="N210" s="54">
        <f>IF($B210=0,NA(),IF(Inputs!$C$18&lt;&gt;"Yes",NA(),IF(COUNT(I210,J210,K210,L210,M210)=0,NA(),MIN(I210,J210,K210,L210,M210))))</f>
        <v/>
      </c>
      <c r="O210" s="54">
        <f>IF($B210=0,NA(),IF(Inputs!$B$24&lt;&gt;"Yes",NA(),Inputs!$D$24*Inputs!$C$35))</f>
        <v/>
      </c>
      <c r="P210" s="54">
        <f>IF($B210=0,NA(),IF(Inputs!$B$25&lt;&gt;"Yes",NA(),Inputs!$D$25*Inputs!$C$35))</f>
        <v/>
      </c>
      <c r="Q210" s="54">
        <f>IF($B210=0,NA(),IF(Inputs!$B$26&lt;&gt;"Yes",NA(),Inputs!$D$26*Inputs!$C$35))</f>
        <v/>
      </c>
      <c r="R210" s="54">
        <f>IF($B210=0,NA(),IF(Inputs!$B$27&lt;&gt;"Yes",NA(),Inputs!$D$27*Inputs!$C$35))</f>
        <v/>
      </c>
      <c r="S210" s="54">
        <f>IF($B210=0,NA(),IF(Inputs!$B$28&lt;&gt;"Yes",NA(),Inputs!$D$28*Inputs!$C$35))</f>
        <v/>
      </c>
      <c r="T210" s="54">
        <f>IF($B210=0,NA(),IF(Inputs!$B$29&lt;&gt;"Yes",NA(),Inputs!$D$29*Inputs!$C$35))</f>
        <v/>
      </c>
      <c r="AD210">
        <f>IF($B210=0,0,IF(Inputs!$B$6="",0,COUNTIFS(Data!$A$10:$A$3209,"&gt;="&amp;$A210,Data!$A$10:$A$3209,"&lt;"&amp;$A210+1)))</f>
        <v/>
      </c>
      <c r="AE210">
        <f>IF($B210=0,0,IF(Inputs!$B$7="",0,COUNTIFS(Data!$E$10:$E$3209,"&gt;="&amp;$A210,Data!$E$10:$E$3209,"&lt;"&amp;$A210+1)))</f>
        <v/>
      </c>
      <c r="AF210">
        <f>IF($B210=0,0,IF(Inputs!$B$8="",0,COUNTIFS(Data!$I$10:$I$3209,"&gt;="&amp;$A210,Data!$I$10:$I$3209,"&lt;"&amp;$A210+1)))</f>
        <v/>
      </c>
      <c r="AG210">
        <f>IF($B210=0,0,IF(Inputs!$B$9="",0,COUNTIFS(Data!$M$10:$M$3209,"&gt;="&amp;$A210,Data!$M$10:$M$3209,"&lt;"&amp;$A210+1)))</f>
        <v/>
      </c>
      <c r="AH210">
        <f>IF($B210=0,0,IF(Inputs!$B$10="",0,COUNTIFS(Data!$Q$10:$Q$3209,"&gt;="&amp;$A210,Data!$Q$10:$Q$3209,"&lt;"&amp;$A210+1)))</f>
        <v/>
      </c>
    </row>
    <row r="211">
      <c r="A211" s="55">
        <f>MIN(Inputs!$C$15,$A210+IF(WEEKDAY($A210,2)=5,3,1))</f>
        <v/>
      </c>
      <c r="B211">
        <f>IF($A211&gt;$A210,1,0)</f>
        <v/>
      </c>
      <c r="C211" s="56">
        <f>IF($B211=0,"",IF(Inputs!$B$6="","",IF($AD211=0,C210,SUMIFS(Data!$B$10:$B$3209,Data!$A$10:$A$3209,"&gt;="&amp;$A211,Data!$A$10:$A$3209,"&lt;"&amp;$A211+1)/$AD211)))</f>
        <v/>
      </c>
      <c r="D211" s="56">
        <f>IF($B211=0,"",IF(Inputs!$B$7="","",IF($AE211=0,D210,SUMIFS(Data!$F$10:$F$3209,Data!$E$10:$E$3209,"&gt;="&amp;$A211,Data!$E$10:$E$3209,"&lt;"&amp;$A211+1)/$AE211)))</f>
        <v/>
      </c>
      <c r="E211" s="56">
        <f>IF($B211=0,"",IF(Inputs!$B$8="","",IF($AF211=0,E210,SUMIFS(Data!$J$10:$J$3209,Data!$I$10:$I$3209,"&gt;="&amp;$A211,Data!$I$10:$I$3209,"&lt;"&amp;$A211+1)/$AF211)))</f>
        <v/>
      </c>
      <c r="F211" s="56">
        <f>IF($B211=0,"",IF(Inputs!$B$9="","",IF($AG211=0,F210,SUMIFS(Data!$N$10:$N$3209,Data!$M$10:$M$3209,"&gt;="&amp;$A211,Data!$M$10:$M$3209,"&lt;"&amp;$A211+1)/$AG211)))</f>
        <v/>
      </c>
      <c r="G211" s="56">
        <f>IF($B211=0,"",IF(Inputs!$B$10="","",IF($AH211=0,G210,SUMIFS(Data!$R$10:$R$3209,Data!$Q$10:$Q$3209,"&gt;="&amp;$A211,Data!$Q$10:$Q$3209,"&lt;"&amp;$A211+1)/$AH211)))</f>
        <v/>
      </c>
      <c r="I211" s="54">
        <f>IF($B211=0,NA(),IF($C211="",NA(),IF(C$8="",NA(),IF(N(C$8)=0,NA(),IF(Inputs!$C$17="Rebased to 100",$C211/C$8*100,$C211)))))</f>
        <v/>
      </c>
      <c r="J211" s="54">
        <f>IF($B211=0,NA(),IF($D211="",NA(),IF(D$8="",NA(),IF(N(D$8)=0,NA(),IF(Inputs!$C$17="Rebased to 100",$D211/D$8*100,$D211)))))</f>
        <v/>
      </c>
      <c r="K211" s="54">
        <f>IF($B211=0,NA(),IF($E211="",NA(),IF(E$8="",NA(),IF(N(E$8)=0,NA(),IF(Inputs!$C$17="Rebased to 100",$E211/E$8*100,$E211)))))</f>
        <v/>
      </c>
      <c r="L211" s="54">
        <f>IF($B211=0,NA(),IF($F211="",NA(),IF(F$8="",NA(),IF(N(F$8)=0,NA(),IF(Inputs!$C$17="Rebased to 100",$F211/F$8*100,$F211)))))</f>
        <v/>
      </c>
      <c r="M211" s="54">
        <f>IF($B211=0,NA(),IF($G211="",NA(),IF(G$8="",NA(),IF(N(G$8)=0,NA(),IF(Inputs!$C$17="Rebased to 100",$G211/G$8*100,$G211)))))</f>
        <v/>
      </c>
      <c r="N211" s="54">
        <f>IF($B211=0,NA(),IF(Inputs!$C$18&lt;&gt;"Yes",NA(),IF(COUNT(I211,J211,K211,L211,M211)=0,NA(),MIN(I211,J211,K211,L211,M211))))</f>
        <v/>
      </c>
      <c r="O211" s="54">
        <f>IF($B211=0,NA(),IF(Inputs!$B$24&lt;&gt;"Yes",NA(),Inputs!$D$24*Inputs!$C$35))</f>
        <v/>
      </c>
      <c r="P211" s="54">
        <f>IF($B211=0,NA(),IF(Inputs!$B$25&lt;&gt;"Yes",NA(),Inputs!$D$25*Inputs!$C$35))</f>
        <v/>
      </c>
      <c r="Q211" s="54">
        <f>IF($B211=0,NA(),IF(Inputs!$B$26&lt;&gt;"Yes",NA(),Inputs!$D$26*Inputs!$C$35))</f>
        <v/>
      </c>
      <c r="R211" s="54">
        <f>IF($B211=0,NA(),IF(Inputs!$B$27&lt;&gt;"Yes",NA(),Inputs!$D$27*Inputs!$C$35))</f>
        <v/>
      </c>
      <c r="S211" s="54">
        <f>IF($B211=0,NA(),IF(Inputs!$B$28&lt;&gt;"Yes",NA(),Inputs!$D$28*Inputs!$C$35))</f>
        <v/>
      </c>
      <c r="T211" s="54">
        <f>IF($B211=0,NA(),IF(Inputs!$B$29&lt;&gt;"Yes",NA(),Inputs!$D$29*Inputs!$C$35))</f>
        <v/>
      </c>
      <c r="AD211">
        <f>IF($B211=0,0,IF(Inputs!$B$6="",0,COUNTIFS(Data!$A$10:$A$3209,"&gt;="&amp;$A211,Data!$A$10:$A$3209,"&lt;"&amp;$A211+1)))</f>
        <v/>
      </c>
      <c r="AE211">
        <f>IF($B211=0,0,IF(Inputs!$B$7="",0,COUNTIFS(Data!$E$10:$E$3209,"&gt;="&amp;$A211,Data!$E$10:$E$3209,"&lt;"&amp;$A211+1)))</f>
        <v/>
      </c>
      <c r="AF211">
        <f>IF($B211=0,0,IF(Inputs!$B$8="",0,COUNTIFS(Data!$I$10:$I$3209,"&gt;="&amp;$A211,Data!$I$10:$I$3209,"&lt;"&amp;$A211+1)))</f>
        <v/>
      </c>
      <c r="AG211">
        <f>IF($B211=0,0,IF(Inputs!$B$9="",0,COUNTIFS(Data!$M$10:$M$3209,"&gt;="&amp;$A211,Data!$M$10:$M$3209,"&lt;"&amp;$A211+1)))</f>
        <v/>
      </c>
      <c r="AH211">
        <f>IF($B211=0,0,IF(Inputs!$B$10="",0,COUNTIFS(Data!$Q$10:$Q$3209,"&gt;="&amp;$A211,Data!$Q$10:$Q$3209,"&lt;"&amp;$A211+1)))</f>
        <v/>
      </c>
    </row>
    <row r="212">
      <c r="A212" s="55">
        <f>MIN(Inputs!$C$15,$A211+IF(WEEKDAY($A211,2)=5,3,1))</f>
        <v/>
      </c>
      <c r="B212">
        <f>IF($A212&gt;$A211,1,0)</f>
        <v/>
      </c>
      <c r="C212" s="56">
        <f>IF($B212=0,"",IF(Inputs!$B$6="","",IF($AD212=0,C211,SUMIFS(Data!$B$10:$B$3209,Data!$A$10:$A$3209,"&gt;="&amp;$A212,Data!$A$10:$A$3209,"&lt;"&amp;$A212+1)/$AD212)))</f>
        <v/>
      </c>
      <c r="D212" s="56">
        <f>IF($B212=0,"",IF(Inputs!$B$7="","",IF($AE212=0,D211,SUMIFS(Data!$F$10:$F$3209,Data!$E$10:$E$3209,"&gt;="&amp;$A212,Data!$E$10:$E$3209,"&lt;"&amp;$A212+1)/$AE212)))</f>
        <v/>
      </c>
      <c r="E212" s="56">
        <f>IF($B212=0,"",IF(Inputs!$B$8="","",IF($AF212=0,E211,SUMIFS(Data!$J$10:$J$3209,Data!$I$10:$I$3209,"&gt;="&amp;$A212,Data!$I$10:$I$3209,"&lt;"&amp;$A212+1)/$AF212)))</f>
        <v/>
      </c>
      <c r="F212" s="56">
        <f>IF($B212=0,"",IF(Inputs!$B$9="","",IF($AG212=0,F211,SUMIFS(Data!$N$10:$N$3209,Data!$M$10:$M$3209,"&gt;="&amp;$A212,Data!$M$10:$M$3209,"&lt;"&amp;$A212+1)/$AG212)))</f>
        <v/>
      </c>
      <c r="G212" s="56">
        <f>IF($B212=0,"",IF(Inputs!$B$10="","",IF($AH212=0,G211,SUMIFS(Data!$R$10:$R$3209,Data!$Q$10:$Q$3209,"&gt;="&amp;$A212,Data!$Q$10:$Q$3209,"&lt;"&amp;$A212+1)/$AH212)))</f>
        <v/>
      </c>
      <c r="I212" s="54">
        <f>IF($B212=0,NA(),IF($C212="",NA(),IF(C$8="",NA(),IF(N(C$8)=0,NA(),IF(Inputs!$C$17="Rebased to 100",$C212/C$8*100,$C212)))))</f>
        <v/>
      </c>
      <c r="J212" s="54">
        <f>IF($B212=0,NA(),IF($D212="",NA(),IF(D$8="",NA(),IF(N(D$8)=0,NA(),IF(Inputs!$C$17="Rebased to 100",$D212/D$8*100,$D212)))))</f>
        <v/>
      </c>
      <c r="K212" s="54">
        <f>IF($B212=0,NA(),IF($E212="",NA(),IF(E$8="",NA(),IF(N(E$8)=0,NA(),IF(Inputs!$C$17="Rebased to 100",$E212/E$8*100,$E212)))))</f>
        <v/>
      </c>
      <c r="L212" s="54">
        <f>IF($B212=0,NA(),IF($F212="",NA(),IF(F$8="",NA(),IF(N(F$8)=0,NA(),IF(Inputs!$C$17="Rebased to 100",$F212/F$8*100,$F212)))))</f>
        <v/>
      </c>
      <c r="M212" s="54">
        <f>IF($B212=0,NA(),IF($G212="",NA(),IF(G$8="",NA(),IF(N(G$8)=0,NA(),IF(Inputs!$C$17="Rebased to 100",$G212/G$8*100,$G212)))))</f>
        <v/>
      </c>
      <c r="N212" s="54">
        <f>IF($B212=0,NA(),IF(Inputs!$C$18&lt;&gt;"Yes",NA(),IF(COUNT(I212,J212,K212,L212,M212)=0,NA(),MIN(I212,J212,K212,L212,M212))))</f>
        <v/>
      </c>
      <c r="O212" s="54">
        <f>IF($B212=0,NA(),IF(Inputs!$B$24&lt;&gt;"Yes",NA(),Inputs!$D$24*Inputs!$C$35))</f>
        <v/>
      </c>
      <c r="P212" s="54">
        <f>IF($B212=0,NA(),IF(Inputs!$B$25&lt;&gt;"Yes",NA(),Inputs!$D$25*Inputs!$C$35))</f>
        <v/>
      </c>
      <c r="Q212" s="54">
        <f>IF($B212=0,NA(),IF(Inputs!$B$26&lt;&gt;"Yes",NA(),Inputs!$D$26*Inputs!$C$35))</f>
        <v/>
      </c>
      <c r="R212" s="54">
        <f>IF($B212=0,NA(),IF(Inputs!$B$27&lt;&gt;"Yes",NA(),Inputs!$D$27*Inputs!$C$35))</f>
        <v/>
      </c>
      <c r="S212" s="54">
        <f>IF($B212=0,NA(),IF(Inputs!$B$28&lt;&gt;"Yes",NA(),Inputs!$D$28*Inputs!$C$35))</f>
        <v/>
      </c>
      <c r="T212" s="54">
        <f>IF($B212=0,NA(),IF(Inputs!$B$29&lt;&gt;"Yes",NA(),Inputs!$D$29*Inputs!$C$35))</f>
        <v/>
      </c>
      <c r="AD212">
        <f>IF($B212=0,0,IF(Inputs!$B$6="",0,COUNTIFS(Data!$A$10:$A$3209,"&gt;="&amp;$A212,Data!$A$10:$A$3209,"&lt;"&amp;$A212+1)))</f>
        <v/>
      </c>
      <c r="AE212">
        <f>IF($B212=0,0,IF(Inputs!$B$7="",0,COUNTIFS(Data!$E$10:$E$3209,"&gt;="&amp;$A212,Data!$E$10:$E$3209,"&lt;"&amp;$A212+1)))</f>
        <v/>
      </c>
      <c r="AF212">
        <f>IF($B212=0,0,IF(Inputs!$B$8="",0,COUNTIFS(Data!$I$10:$I$3209,"&gt;="&amp;$A212,Data!$I$10:$I$3209,"&lt;"&amp;$A212+1)))</f>
        <v/>
      </c>
      <c r="AG212">
        <f>IF($B212=0,0,IF(Inputs!$B$9="",0,COUNTIFS(Data!$M$10:$M$3209,"&gt;="&amp;$A212,Data!$M$10:$M$3209,"&lt;"&amp;$A212+1)))</f>
        <v/>
      </c>
      <c r="AH212">
        <f>IF($B212=0,0,IF(Inputs!$B$10="",0,COUNTIFS(Data!$Q$10:$Q$3209,"&gt;="&amp;$A212,Data!$Q$10:$Q$3209,"&lt;"&amp;$A212+1)))</f>
        <v/>
      </c>
    </row>
    <row r="213">
      <c r="A213" s="55">
        <f>MIN(Inputs!$C$15,$A212+IF(WEEKDAY($A212,2)=5,3,1))</f>
        <v/>
      </c>
      <c r="B213">
        <f>IF($A213&gt;$A212,1,0)</f>
        <v/>
      </c>
      <c r="C213" s="56">
        <f>IF($B213=0,"",IF(Inputs!$B$6="","",IF($AD213=0,C212,SUMIFS(Data!$B$10:$B$3209,Data!$A$10:$A$3209,"&gt;="&amp;$A213,Data!$A$10:$A$3209,"&lt;"&amp;$A213+1)/$AD213)))</f>
        <v/>
      </c>
      <c r="D213" s="56">
        <f>IF($B213=0,"",IF(Inputs!$B$7="","",IF($AE213=0,D212,SUMIFS(Data!$F$10:$F$3209,Data!$E$10:$E$3209,"&gt;="&amp;$A213,Data!$E$10:$E$3209,"&lt;"&amp;$A213+1)/$AE213)))</f>
        <v/>
      </c>
      <c r="E213" s="56">
        <f>IF($B213=0,"",IF(Inputs!$B$8="","",IF($AF213=0,E212,SUMIFS(Data!$J$10:$J$3209,Data!$I$10:$I$3209,"&gt;="&amp;$A213,Data!$I$10:$I$3209,"&lt;"&amp;$A213+1)/$AF213)))</f>
        <v/>
      </c>
      <c r="F213" s="56">
        <f>IF($B213=0,"",IF(Inputs!$B$9="","",IF($AG213=0,F212,SUMIFS(Data!$N$10:$N$3209,Data!$M$10:$M$3209,"&gt;="&amp;$A213,Data!$M$10:$M$3209,"&lt;"&amp;$A213+1)/$AG213)))</f>
        <v/>
      </c>
      <c r="G213" s="56">
        <f>IF($B213=0,"",IF(Inputs!$B$10="","",IF($AH213=0,G212,SUMIFS(Data!$R$10:$R$3209,Data!$Q$10:$Q$3209,"&gt;="&amp;$A213,Data!$Q$10:$Q$3209,"&lt;"&amp;$A213+1)/$AH213)))</f>
        <v/>
      </c>
      <c r="I213" s="54">
        <f>IF($B213=0,NA(),IF($C213="",NA(),IF(C$8="",NA(),IF(N(C$8)=0,NA(),IF(Inputs!$C$17="Rebased to 100",$C213/C$8*100,$C213)))))</f>
        <v/>
      </c>
      <c r="J213" s="54">
        <f>IF($B213=0,NA(),IF($D213="",NA(),IF(D$8="",NA(),IF(N(D$8)=0,NA(),IF(Inputs!$C$17="Rebased to 100",$D213/D$8*100,$D213)))))</f>
        <v/>
      </c>
      <c r="K213" s="54">
        <f>IF($B213=0,NA(),IF($E213="",NA(),IF(E$8="",NA(),IF(N(E$8)=0,NA(),IF(Inputs!$C$17="Rebased to 100",$E213/E$8*100,$E213)))))</f>
        <v/>
      </c>
      <c r="L213" s="54">
        <f>IF($B213=0,NA(),IF($F213="",NA(),IF(F$8="",NA(),IF(N(F$8)=0,NA(),IF(Inputs!$C$17="Rebased to 100",$F213/F$8*100,$F213)))))</f>
        <v/>
      </c>
      <c r="M213" s="54">
        <f>IF($B213=0,NA(),IF($G213="",NA(),IF(G$8="",NA(),IF(N(G$8)=0,NA(),IF(Inputs!$C$17="Rebased to 100",$G213/G$8*100,$G213)))))</f>
        <v/>
      </c>
      <c r="N213" s="54">
        <f>IF($B213=0,NA(),IF(Inputs!$C$18&lt;&gt;"Yes",NA(),IF(COUNT(I213,J213,K213,L213,M213)=0,NA(),MIN(I213,J213,K213,L213,M213))))</f>
        <v/>
      </c>
      <c r="O213" s="54">
        <f>IF($B213=0,NA(),IF(Inputs!$B$24&lt;&gt;"Yes",NA(),Inputs!$D$24*Inputs!$C$35))</f>
        <v/>
      </c>
      <c r="P213" s="54">
        <f>IF($B213=0,NA(),IF(Inputs!$B$25&lt;&gt;"Yes",NA(),Inputs!$D$25*Inputs!$C$35))</f>
        <v/>
      </c>
      <c r="Q213" s="54">
        <f>IF($B213=0,NA(),IF(Inputs!$B$26&lt;&gt;"Yes",NA(),Inputs!$D$26*Inputs!$C$35))</f>
        <v/>
      </c>
      <c r="R213" s="54">
        <f>IF($B213=0,NA(),IF(Inputs!$B$27&lt;&gt;"Yes",NA(),Inputs!$D$27*Inputs!$C$35))</f>
        <v/>
      </c>
      <c r="S213" s="54">
        <f>IF($B213=0,NA(),IF(Inputs!$B$28&lt;&gt;"Yes",NA(),Inputs!$D$28*Inputs!$C$35))</f>
        <v/>
      </c>
      <c r="T213" s="54">
        <f>IF($B213=0,NA(),IF(Inputs!$B$29&lt;&gt;"Yes",NA(),Inputs!$D$29*Inputs!$C$35))</f>
        <v/>
      </c>
      <c r="AD213">
        <f>IF($B213=0,0,IF(Inputs!$B$6="",0,COUNTIFS(Data!$A$10:$A$3209,"&gt;="&amp;$A213,Data!$A$10:$A$3209,"&lt;"&amp;$A213+1)))</f>
        <v/>
      </c>
      <c r="AE213">
        <f>IF($B213=0,0,IF(Inputs!$B$7="",0,COUNTIFS(Data!$E$10:$E$3209,"&gt;="&amp;$A213,Data!$E$10:$E$3209,"&lt;"&amp;$A213+1)))</f>
        <v/>
      </c>
      <c r="AF213">
        <f>IF($B213=0,0,IF(Inputs!$B$8="",0,COUNTIFS(Data!$I$10:$I$3209,"&gt;="&amp;$A213,Data!$I$10:$I$3209,"&lt;"&amp;$A213+1)))</f>
        <v/>
      </c>
      <c r="AG213">
        <f>IF($B213=0,0,IF(Inputs!$B$9="",0,COUNTIFS(Data!$M$10:$M$3209,"&gt;="&amp;$A213,Data!$M$10:$M$3209,"&lt;"&amp;$A213+1)))</f>
        <v/>
      </c>
      <c r="AH213">
        <f>IF($B213=0,0,IF(Inputs!$B$10="",0,COUNTIFS(Data!$Q$10:$Q$3209,"&gt;="&amp;$A213,Data!$Q$10:$Q$3209,"&lt;"&amp;$A213+1)))</f>
        <v/>
      </c>
    </row>
    <row r="214">
      <c r="A214" s="55">
        <f>MIN(Inputs!$C$15,$A213+IF(WEEKDAY($A213,2)=5,3,1))</f>
        <v/>
      </c>
      <c r="B214">
        <f>IF($A214&gt;$A213,1,0)</f>
        <v/>
      </c>
      <c r="C214" s="56">
        <f>IF($B214=0,"",IF(Inputs!$B$6="","",IF($AD214=0,C213,SUMIFS(Data!$B$10:$B$3209,Data!$A$10:$A$3209,"&gt;="&amp;$A214,Data!$A$10:$A$3209,"&lt;"&amp;$A214+1)/$AD214)))</f>
        <v/>
      </c>
      <c r="D214" s="56">
        <f>IF($B214=0,"",IF(Inputs!$B$7="","",IF($AE214=0,D213,SUMIFS(Data!$F$10:$F$3209,Data!$E$10:$E$3209,"&gt;="&amp;$A214,Data!$E$10:$E$3209,"&lt;"&amp;$A214+1)/$AE214)))</f>
        <v/>
      </c>
      <c r="E214" s="56">
        <f>IF($B214=0,"",IF(Inputs!$B$8="","",IF($AF214=0,E213,SUMIFS(Data!$J$10:$J$3209,Data!$I$10:$I$3209,"&gt;="&amp;$A214,Data!$I$10:$I$3209,"&lt;"&amp;$A214+1)/$AF214)))</f>
        <v/>
      </c>
      <c r="F214" s="56">
        <f>IF($B214=0,"",IF(Inputs!$B$9="","",IF($AG214=0,F213,SUMIFS(Data!$N$10:$N$3209,Data!$M$10:$M$3209,"&gt;="&amp;$A214,Data!$M$10:$M$3209,"&lt;"&amp;$A214+1)/$AG214)))</f>
        <v/>
      </c>
      <c r="G214" s="56">
        <f>IF($B214=0,"",IF(Inputs!$B$10="","",IF($AH214=0,G213,SUMIFS(Data!$R$10:$R$3209,Data!$Q$10:$Q$3209,"&gt;="&amp;$A214,Data!$Q$10:$Q$3209,"&lt;"&amp;$A214+1)/$AH214)))</f>
        <v/>
      </c>
      <c r="I214" s="54">
        <f>IF($B214=0,NA(),IF($C214="",NA(),IF(C$8="",NA(),IF(N(C$8)=0,NA(),IF(Inputs!$C$17="Rebased to 100",$C214/C$8*100,$C214)))))</f>
        <v/>
      </c>
      <c r="J214" s="54">
        <f>IF($B214=0,NA(),IF($D214="",NA(),IF(D$8="",NA(),IF(N(D$8)=0,NA(),IF(Inputs!$C$17="Rebased to 100",$D214/D$8*100,$D214)))))</f>
        <v/>
      </c>
      <c r="K214" s="54">
        <f>IF($B214=0,NA(),IF($E214="",NA(),IF(E$8="",NA(),IF(N(E$8)=0,NA(),IF(Inputs!$C$17="Rebased to 100",$E214/E$8*100,$E214)))))</f>
        <v/>
      </c>
      <c r="L214" s="54">
        <f>IF($B214=0,NA(),IF($F214="",NA(),IF(F$8="",NA(),IF(N(F$8)=0,NA(),IF(Inputs!$C$17="Rebased to 100",$F214/F$8*100,$F214)))))</f>
        <v/>
      </c>
      <c r="M214" s="54">
        <f>IF($B214=0,NA(),IF($G214="",NA(),IF(G$8="",NA(),IF(N(G$8)=0,NA(),IF(Inputs!$C$17="Rebased to 100",$G214/G$8*100,$G214)))))</f>
        <v/>
      </c>
      <c r="N214" s="54">
        <f>IF($B214=0,NA(),IF(Inputs!$C$18&lt;&gt;"Yes",NA(),IF(COUNT(I214,J214,K214,L214,M214)=0,NA(),MIN(I214,J214,K214,L214,M214))))</f>
        <v/>
      </c>
      <c r="O214" s="54">
        <f>IF($B214=0,NA(),IF(Inputs!$B$24&lt;&gt;"Yes",NA(),Inputs!$D$24*Inputs!$C$35))</f>
        <v/>
      </c>
      <c r="P214" s="54">
        <f>IF($B214=0,NA(),IF(Inputs!$B$25&lt;&gt;"Yes",NA(),Inputs!$D$25*Inputs!$C$35))</f>
        <v/>
      </c>
      <c r="Q214" s="54">
        <f>IF($B214=0,NA(),IF(Inputs!$B$26&lt;&gt;"Yes",NA(),Inputs!$D$26*Inputs!$C$35))</f>
        <v/>
      </c>
      <c r="R214" s="54">
        <f>IF($B214=0,NA(),IF(Inputs!$B$27&lt;&gt;"Yes",NA(),Inputs!$D$27*Inputs!$C$35))</f>
        <v/>
      </c>
      <c r="S214" s="54">
        <f>IF($B214=0,NA(),IF(Inputs!$B$28&lt;&gt;"Yes",NA(),Inputs!$D$28*Inputs!$C$35))</f>
        <v/>
      </c>
      <c r="T214" s="54">
        <f>IF($B214=0,NA(),IF(Inputs!$B$29&lt;&gt;"Yes",NA(),Inputs!$D$29*Inputs!$C$35))</f>
        <v/>
      </c>
      <c r="AD214">
        <f>IF($B214=0,0,IF(Inputs!$B$6="",0,COUNTIFS(Data!$A$10:$A$3209,"&gt;="&amp;$A214,Data!$A$10:$A$3209,"&lt;"&amp;$A214+1)))</f>
        <v/>
      </c>
      <c r="AE214">
        <f>IF($B214=0,0,IF(Inputs!$B$7="",0,COUNTIFS(Data!$E$10:$E$3209,"&gt;="&amp;$A214,Data!$E$10:$E$3209,"&lt;"&amp;$A214+1)))</f>
        <v/>
      </c>
      <c r="AF214">
        <f>IF($B214=0,0,IF(Inputs!$B$8="",0,COUNTIFS(Data!$I$10:$I$3209,"&gt;="&amp;$A214,Data!$I$10:$I$3209,"&lt;"&amp;$A214+1)))</f>
        <v/>
      </c>
      <c r="AG214">
        <f>IF($B214=0,0,IF(Inputs!$B$9="",0,COUNTIFS(Data!$M$10:$M$3209,"&gt;="&amp;$A214,Data!$M$10:$M$3209,"&lt;"&amp;$A214+1)))</f>
        <v/>
      </c>
      <c r="AH214">
        <f>IF($B214=0,0,IF(Inputs!$B$10="",0,COUNTIFS(Data!$Q$10:$Q$3209,"&gt;="&amp;$A214,Data!$Q$10:$Q$3209,"&lt;"&amp;$A214+1)))</f>
        <v/>
      </c>
    </row>
    <row r="215">
      <c r="A215" s="55">
        <f>MIN(Inputs!$C$15,$A214+IF(WEEKDAY($A214,2)=5,3,1))</f>
        <v/>
      </c>
      <c r="B215">
        <f>IF($A215&gt;$A214,1,0)</f>
        <v/>
      </c>
      <c r="C215" s="56">
        <f>IF($B215=0,"",IF(Inputs!$B$6="","",IF($AD215=0,C214,SUMIFS(Data!$B$10:$B$3209,Data!$A$10:$A$3209,"&gt;="&amp;$A215,Data!$A$10:$A$3209,"&lt;"&amp;$A215+1)/$AD215)))</f>
        <v/>
      </c>
      <c r="D215" s="56">
        <f>IF($B215=0,"",IF(Inputs!$B$7="","",IF($AE215=0,D214,SUMIFS(Data!$F$10:$F$3209,Data!$E$10:$E$3209,"&gt;="&amp;$A215,Data!$E$10:$E$3209,"&lt;"&amp;$A215+1)/$AE215)))</f>
        <v/>
      </c>
      <c r="E215" s="56">
        <f>IF($B215=0,"",IF(Inputs!$B$8="","",IF($AF215=0,E214,SUMIFS(Data!$J$10:$J$3209,Data!$I$10:$I$3209,"&gt;="&amp;$A215,Data!$I$10:$I$3209,"&lt;"&amp;$A215+1)/$AF215)))</f>
        <v/>
      </c>
      <c r="F215" s="56">
        <f>IF($B215=0,"",IF(Inputs!$B$9="","",IF($AG215=0,F214,SUMIFS(Data!$N$10:$N$3209,Data!$M$10:$M$3209,"&gt;="&amp;$A215,Data!$M$10:$M$3209,"&lt;"&amp;$A215+1)/$AG215)))</f>
        <v/>
      </c>
      <c r="G215" s="56">
        <f>IF($B215=0,"",IF(Inputs!$B$10="","",IF($AH215=0,G214,SUMIFS(Data!$R$10:$R$3209,Data!$Q$10:$Q$3209,"&gt;="&amp;$A215,Data!$Q$10:$Q$3209,"&lt;"&amp;$A215+1)/$AH215)))</f>
        <v/>
      </c>
      <c r="I215" s="54">
        <f>IF($B215=0,NA(),IF($C215="",NA(),IF(C$8="",NA(),IF(N(C$8)=0,NA(),IF(Inputs!$C$17="Rebased to 100",$C215/C$8*100,$C215)))))</f>
        <v/>
      </c>
      <c r="J215" s="54">
        <f>IF($B215=0,NA(),IF($D215="",NA(),IF(D$8="",NA(),IF(N(D$8)=0,NA(),IF(Inputs!$C$17="Rebased to 100",$D215/D$8*100,$D215)))))</f>
        <v/>
      </c>
      <c r="K215" s="54">
        <f>IF($B215=0,NA(),IF($E215="",NA(),IF(E$8="",NA(),IF(N(E$8)=0,NA(),IF(Inputs!$C$17="Rebased to 100",$E215/E$8*100,$E215)))))</f>
        <v/>
      </c>
      <c r="L215" s="54">
        <f>IF($B215=0,NA(),IF($F215="",NA(),IF(F$8="",NA(),IF(N(F$8)=0,NA(),IF(Inputs!$C$17="Rebased to 100",$F215/F$8*100,$F215)))))</f>
        <v/>
      </c>
      <c r="M215" s="54">
        <f>IF($B215=0,NA(),IF($G215="",NA(),IF(G$8="",NA(),IF(N(G$8)=0,NA(),IF(Inputs!$C$17="Rebased to 100",$G215/G$8*100,$G215)))))</f>
        <v/>
      </c>
      <c r="N215" s="54">
        <f>IF($B215=0,NA(),IF(Inputs!$C$18&lt;&gt;"Yes",NA(),IF(COUNT(I215,J215,K215,L215,M215)=0,NA(),MIN(I215,J215,K215,L215,M215))))</f>
        <v/>
      </c>
      <c r="O215" s="54">
        <f>IF($B215=0,NA(),IF(Inputs!$B$24&lt;&gt;"Yes",NA(),Inputs!$D$24*Inputs!$C$35))</f>
        <v/>
      </c>
      <c r="P215" s="54">
        <f>IF($B215=0,NA(),IF(Inputs!$B$25&lt;&gt;"Yes",NA(),Inputs!$D$25*Inputs!$C$35))</f>
        <v/>
      </c>
      <c r="Q215" s="54">
        <f>IF($B215=0,NA(),IF(Inputs!$B$26&lt;&gt;"Yes",NA(),Inputs!$D$26*Inputs!$C$35))</f>
        <v/>
      </c>
      <c r="R215" s="54">
        <f>IF($B215=0,NA(),IF(Inputs!$B$27&lt;&gt;"Yes",NA(),Inputs!$D$27*Inputs!$C$35))</f>
        <v/>
      </c>
      <c r="S215" s="54">
        <f>IF($B215=0,NA(),IF(Inputs!$B$28&lt;&gt;"Yes",NA(),Inputs!$D$28*Inputs!$C$35))</f>
        <v/>
      </c>
      <c r="T215" s="54">
        <f>IF($B215=0,NA(),IF(Inputs!$B$29&lt;&gt;"Yes",NA(),Inputs!$D$29*Inputs!$C$35))</f>
        <v/>
      </c>
      <c r="AD215">
        <f>IF($B215=0,0,IF(Inputs!$B$6="",0,COUNTIFS(Data!$A$10:$A$3209,"&gt;="&amp;$A215,Data!$A$10:$A$3209,"&lt;"&amp;$A215+1)))</f>
        <v/>
      </c>
      <c r="AE215">
        <f>IF($B215=0,0,IF(Inputs!$B$7="",0,COUNTIFS(Data!$E$10:$E$3209,"&gt;="&amp;$A215,Data!$E$10:$E$3209,"&lt;"&amp;$A215+1)))</f>
        <v/>
      </c>
      <c r="AF215">
        <f>IF($B215=0,0,IF(Inputs!$B$8="",0,COUNTIFS(Data!$I$10:$I$3209,"&gt;="&amp;$A215,Data!$I$10:$I$3209,"&lt;"&amp;$A215+1)))</f>
        <v/>
      </c>
      <c r="AG215">
        <f>IF($B215=0,0,IF(Inputs!$B$9="",0,COUNTIFS(Data!$M$10:$M$3209,"&gt;="&amp;$A215,Data!$M$10:$M$3209,"&lt;"&amp;$A215+1)))</f>
        <v/>
      </c>
      <c r="AH215">
        <f>IF($B215=0,0,IF(Inputs!$B$10="",0,COUNTIFS(Data!$Q$10:$Q$3209,"&gt;="&amp;$A215,Data!$Q$10:$Q$3209,"&lt;"&amp;$A215+1)))</f>
        <v/>
      </c>
    </row>
    <row r="216">
      <c r="A216" s="55">
        <f>MIN(Inputs!$C$15,$A215+IF(WEEKDAY($A215,2)=5,3,1))</f>
        <v/>
      </c>
      <c r="B216">
        <f>IF($A216&gt;$A215,1,0)</f>
        <v/>
      </c>
      <c r="C216" s="56">
        <f>IF($B216=0,"",IF(Inputs!$B$6="","",IF($AD216=0,C215,SUMIFS(Data!$B$10:$B$3209,Data!$A$10:$A$3209,"&gt;="&amp;$A216,Data!$A$10:$A$3209,"&lt;"&amp;$A216+1)/$AD216)))</f>
        <v/>
      </c>
      <c r="D216" s="56">
        <f>IF($B216=0,"",IF(Inputs!$B$7="","",IF($AE216=0,D215,SUMIFS(Data!$F$10:$F$3209,Data!$E$10:$E$3209,"&gt;="&amp;$A216,Data!$E$10:$E$3209,"&lt;"&amp;$A216+1)/$AE216)))</f>
        <v/>
      </c>
      <c r="E216" s="56">
        <f>IF($B216=0,"",IF(Inputs!$B$8="","",IF($AF216=0,E215,SUMIFS(Data!$J$10:$J$3209,Data!$I$10:$I$3209,"&gt;="&amp;$A216,Data!$I$10:$I$3209,"&lt;"&amp;$A216+1)/$AF216)))</f>
        <v/>
      </c>
      <c r="F216" s="56">
        <f>IF($B216=0,"",IF(Inputs!$B$9="","",IF($AG216=0,F215,SUMIFS(Data!$N$10:$N$3209,Data!$M$10:$M$3209,"&gt;="&amp;$A216,Data!$M$10:$M$3209,"&lt;"&amp;$A216+1)/$AG216)))</f>
        <v/>
      </c>
      <c r="G216" s="56">
        <f>IF($B216=0,"",IF(Inputs!$B$10="","",IF($AH216=0,G215,SUMIFS(Data!$R$10:$R$3209,Data!$Q$10:$Q$3209,"&gt;="&amp;$A216,Data!$Q$10:$Q$3209,"&lt;"&amp;$A216+1)/$AH216)))</f>
        <v/>
      </c>
      <c r="I216" s="54">
        <f>IF($B216=0,NA(),IF($C216="",NA(),IF(C$8="",NA(),IF(N(C$8)=0,NA(),IF(Inputs!$C$17="Rebased to 100",$C216/C$8*100,$C216)))))</f>
        <v/>
      </c>
      <c r="J216" s="54">
        <f>IF($B216=0,NA(),IF($D216="",NA(),IF(D$8="",NA(),IF(N(D$8)=0,NA(),IF(Inputs!$C$17="Rebased to 100",$D216/D$8*100,$D216)))))</f>
        <v/>
      </c>
      <c r="K216" s="54">
        <f>IF($B216=0,NA(),IF($E216="",NA(),IF(E$8="",NA(),IF(N(E$8)=0,NA(),IF(Inputs!$C$17="Rebased to 100",$E216/E$8*100,$E216)))))</f>
        <v/>
      </c>
      <c r="L216" s="54">
        <f>IF($B216=0,NA(),IF($F216="",NA(),IF(F$8="",NA(),IF(N(F$8)=0,NA(),IF(Inputs!$C$17="Rebased to 100",$F216/F$8*100,$F216)))))</f>
        <v/>
      </c>
      <c r="M216" s="54">
        <f>IF($B216=0,NA(),IF($G216="",NA(),IF(G$8="",NA(),IF(N(G$8)=0,NA(),IF(Inputs!$C$17="Rebased to 100",$G216/G$8*100,$G216)))))</f>
        <v/>
      </c>
      <c r="N216" s="54">
        <f>IF($B216=0,NA(),IF(Inputs!$C$18&lt;&gt;"Yes",NA(),IF(COUNT(I216,J216,K216,L216,M216)=0,NA(),MIN(I216,J216,K216,L216,M216))))</f>
        <v/>
      </c>
      <c r="O216" s="54">
        <f>IF($B216=0,NA(),IF(Inputs!$B$24&lt;&gt;"Yes",NA(),Inputs!$D$24*Inputs!$C$35))</f>
        <v/>
      </c>
      <c r="P216" s="54">
        <f>IF($B216=0,NA(),IF(Inputs!$B$25&lt;&gt;"Yes",NA(),Inputs!$D$25*Inputs!$C$35))</f>
        <v/>
      </c>
      <c r="Q216" s="54">
        <f>IF($B216=0,NA(),IF(Inputs!$B$26&lt;&gt;"Yes",NA(),Inputs!$D$26*Inputs!$C$35))</f>
        <v/>
      </c>
      <c r="R216" s="54">
        <f>IF($B216=0,NA(),IF(Inputs!$B$27&lt;&gt;"Yes",NA(),Inputs!$D$27*Inputs!$C$35))</f>
        <v/>
      </c>
      <c r="S216" s="54">
        <f>IF($B216=0,NA(),IF(Inputs!$B$28&lt;&gt;"Yes",NA(),Inputs!$D$28*Inputs!$C$35))</f>
        <v/>
      </c>
      <c r="T216" s="54">
        <f>IF($B216=0,NA(),IF(Inputs!$B$29&lt;&gt;"Yes",NA(),Inputs!$D$29*Inputs!$C$35))</f>
        <v/>
      </c>
      <c r="AD216">
        <f>IF($B216=0,0,IF(Inputs!$B$6="",0,COUNTIFS(Data!$A$10:$A$3209,"&gt;="&amp;$A216,Data!$A$10:$A$3209,"&lt;"&amp;$A216+1)))</f>
        <v/>
      </c>
      <c r="AE216">
        <f>IF($B216=0,0,IF(Inputs!$B$7="",0,COUNTIFS(Data!$E$10:$E$3209,"&gt;="&amp;$A216,Data!$E$10:$E$3209,"&lt;"&amp;$A216+1)))</f>
        <v/>
      </c>
      <c r="AF216">
        <f>IF($B216=0,0,IF(Inputs!$B$8="",0,COUNTIFS(Data!$I$10:$I$3209,"&gt;="&amp;$A216,Data!$I$10:$I$3209,"&lt;"&amp;$A216+1)))</f>
        <v/>
      </c>
      <c r="AG216">
        <f>IF($B216=0,0,IF(Inputs!$B$9="",0,COUNTIFS(Data!$M$10:$M$3209,"&gt;="&amp;$A216,Data!$M$10:$M$3209,"&lt;"&amp;$A216+1)))</f>
        <v/>
      </c>
      <c r="AH216">
        <f>IF($B216=0,0,IF(Inputs!$B$10="",0,COUNTIFS(Data!$Q$10:$Q$3209,"&gt;="&amp;$A216,Data!$Q$10:$Q$3209,"&lt;"&amp;$A216+1)))</f>
        <v/>
      </c>
    </row>
    <row r="217">
      <c r="A217" s="55">
        <f>MIN(Inputs!$C$15,$A216+IF(WEEKDAY($A216,2)=5,3,1))</f>
        <v/>
      </c>
      <c r="B217">
        <f>IF($A217&gt;$A216,1,0)</f>
        <v/>
      </c>
      <c r="C217" s="56">
        <f>IF($B217=0,"",IF(Inputs!$B$6="","",IF($AD217=0,C216,SUMIFS(Data!$B$10:$B$3209,Data!$A$10:$A$3209,"&gt;="&amp;$A217,Data!$A$10:$A$3209,"&lt;"&amp;$A217+1)/$AD217)))</f>
        <v/>
      </c>
      <c r="D217" s="56">
        <f>IF($B217=0,"",IF(Inputs!$B$7="","",IF($AE217=0,D216,SUMIFS(Data!$F$10:$F$3209,Data!$E$10:$E$3209,"&gt;="&amp;$A217,Data!$E$10:$E$3209,"&lt;"&amp;$A217+1)/$AE217)))</f>
        <v/>
      </c>
      <c r="E217" s="56">
        <f>IF($B217=0,"",IF(Inputs!$B$8="","",IF($AF217=0,E216,SUMIFS(Data!$J$10:$J$3209,Data!$I$10:$I$3209,"&gt;="&amp;$A217,Data!$I$10:$I$3209,"&lt;"&amp;$A217+1)/$AF217)))</f>
        <v/>
      </c>
      <c r="F217" s="56">
        <f>IF($B217=0,"",IF(Inputs!$B$9="","",IF($AG217=0,F216,SUMIFS(Data!$N$10:$N$3209,Data!$M$10:$M$3209,"&gt;="&amp;$A217,Data!$M$10:$M$3209,"&lt;"&amp;$A217+1)/$AG217)))</f>
        <v/>
      </c>
      <c r="G217" s="56">
        <f>IF($B217=0,"",IF(Inputs!$B$10="","",IF($AH217=0,G216,SUMIFS(Data!$R$10:$R$3209,Data!$Q$10:$Q$3209,"&gt;="&amp;$A217,Data!$Q$10:$Q$3209,"&lt;"&amp;$A217+1)/$AH217)))</f>
        <v/>
      </c>
      <c r="I217" s="54">
        <f>IF($B217=0,NA(),IF($C217="",NA(),IF(C$8="",NA(),IF(N(C$8)=0,NA(),IF(Inputs!$C$17="Rebased to 100",$C217/C$8*100,$C217)))))</f>
        <v/>
      </c>
      <c r="J217" s="54">
        <f>IF($B217=0,NA(),IF($D217="",NA(),IF(D$8="",NA(),IF(N(D$8)=0,NA(),IF(Inputs!$C$17="Rebased to 100",$D217/D$8*100,$D217)))))</f>
        <v/>
      </c>
      <c r="K217" s="54">
        <f>IF($B217=0,NA(),IF($E217="",NA(),IF(E$8="",NA(),IF(N(E$8)=0,NA(),IF(Inputs!$C$17="Rebased to 100",$E217/E$8*100,$E217)))))</f>
        <v/>
      </c>
      <c r="L217" s="54">
        <f>IF($B217=0,NA(),IF($F217="",NA(),IF(F$8="",NA(),IF(N(F$8)=0,NA(),IF(Inputs!$C$17="Rebased to 100",$F217/F$8*100,$F217)))))</f>
        <v/>
      </c>
      <c r="M217" s="54">
        <f>IF($B217=0,NA(),IF($G217="",NA(),IF(G$8="",NA(),IF(N(G$8)=0,NA(),IF(Inputs!$C$17="Rebased to 100",$G217/G$8*100,$G217)))))</f>
        <v/>
      </c>
      <c r="N217" s="54">
        <f>IF($B217=0,NA(),IF(Inputs!$C$18&lt;&gt;"Yes",NA(),IF(COUNT(I217,J217,K217,L217,M217)=0,NA(),MIN(I217,J217,K217,L217,M217))))</f>
        <v/>
      </c>
      <c r="O217" s="54">
        <f>IF($B217=0,NA(),IF(Inputs!$B$24&lt;&gt;"Yes",NA(),Inputs!$D$24*Inputs!$C$35))</f>
        <v/>
      </c>
      <c r="P217" s="54">
        <f>IF($B217=0,NA(),IF(Inputs!$B$25&lt;&gt;"Yes",NA(),Inputs!$D$25*Inputs!$C$35))</f>
        <v/>
      </c>
      <c r="Q217" s="54">
        <f>IF($B217=0,NA(),IF(Inputs!$B$26&lt;&gt;"Yes",NA(),Inputs!$D$26*Inputs!$C$35))</f>
        <v/>
      </c>
      <c r="R217" s="54">
        <f>IF($B217=0,NA(),IF(Inputs!$B$27&lt;&gt;"Yes",NA(),Inputs!$D$27*Inputs!$C$35))</f>
        <v/>
      </c>
      <c r="S217" s="54">
        <f>IF($B217=0,NA(),IF(Inputs!$B$28&lt;&gt;"Yes",NA(),Inputs!$D$28*Inputs!$C$35))</f>
        <v/>
      </c>
      <c r="T217" s="54">
        <f>IF($B217=0,NA(),IF(Inputs!$B$29&lt;&gt;"Yes",NA(),Inputs!$D$29*Inputs!$C$35))</f>
        <v/>
      </c>
      <c r="AD217">
        <f>IF($B217=0,0,IF(Inputs!$B$6="",0,COUNTIFS(Data!$A$10:$A$3209,"&gt;="&amp;$A217,Data!$A$10:$A$3209,"&lt;"&amp;$A217+1)))</f>
        <v/>
      </c>
      <c r="AE217">
        <f>IF($B217=0,0,IF(Inputs!$B$7="",0,COUNTIFS(Data!$E$10:$E$3209,"&gt;="&amp;$A217,Data!$E$10:$E$3209,"&lt;"&amp;$A217+1)))</f>
        <v/>
      </c>
      <c r="AF217">
        <f>IF($B217=0,0,IF(Inputs!$B$8="",0,COUNTIFS(Data!$I$10:$I$3209,"&gt;="&amp;$A217,Data!$I$10:$I$3209,"&lt;"&amp;$A217+1)))</f>
        <v/>
      </c>
      <c r="AG217">
        <f>IF($B217=0,0,IF(Inputs!$B$9="",0,COUNTIFS(Data!$M$10:$M$3209,"&gt;="&amp;$A217,Data!$M$10:$M$3209,"&lt;"&amp;$A217+1)))</f>
        <v/>
      </c>
      <c r="AH217">
        <f>IF($B217=0,0,IF(Inputs!$B$10="",0,COUNTIFS(Data!$Q$10:$Q$3209,"&gt;="&amp;$A217,Data!$Q$10:$Q$3209,"&lt;"&amp;$A217+1)))</f>
        <v/>
      </c>
    </row>
    <row r="218">
      <c r="A218" s="55">
        <f>MIN(Inputs!$C$15,$A217+IF(WEEKDAY($A217,2)=5,3,1))</f>
        <v/>
      </c>
      <c r="B218">
        <f>IF($A218&gt;$A217,1,0)</f>
        <v/>
      </c>
      <c r="C218" s="56">
        <f>IF($B218=0,"",IF(Inputs!$B$6="","",IF($AD218=0,C217,SUMIFS(Data!$B$10:$B$3209,Data!$A$10:$A$3209,"&gt;="&amp;$A218,Data!$A$10:$A$3209,"&lt;"&amp;$A218+1)/$AD218)))</f>
        <v/>
      </c>
      <c r="D218" s="56">
        <f>IF($B218=0,"",IF(Inputs!$B$7="","",IF($AE218=0,D217,SUMIFS(Data!$F$10:$F$3209,Data!$E$10:$E$3209,"&gt;="&amp;$A218,Data!$E$10:$E$3209,"&lt;"&amp;$A218+1)/$AE218)))</f>
        <v/>
      </c>
      <c r="E218" s="56">
        <f>IF($B218=0,"",IF(Inputs!$B$8="","",IF($AF218=0,E217,SUMIFS(Data!$J$10:$J$3209,Data!$I$10:$I$3209,"&gt;="&amp;$A218,Data!$I$10:$I$3209,"&lt;"&amp;$A218+1)/$AF218)))</f>
        <v/>
      </c>
      <c r="F218" s="56">
        <f>IF($B218=0,"",IF(Inputs!$B$9="","",IF($AG218=0,F217,SUMIFS(Data!$N$10:$N$3209,Data!$M$10:$M$3209,"&gt;="&amp;$A218,Data!$M$10:$M$3209,"&lt;"&amp;$A218+1)/$AG218)))</f>
        <v/>
      </c>
      <c r="G218" s="56">
        <f>IF($B218=0,"",IF(Inputs!$B$10="","",IF($AH218=0,G217,SUMIFS(Data!$R$10:$R$3209,Data!$Q$10:$Q$3209,"&gt;="&amp;$A218,Data!$Q$10:$Q$3209,"&lt;"&amp;$A218+1)/$AH218)))</f>
        <v/>
      </c>
      <c r="I218" s="54">
        <f>IF($B218=0,NA(),IF($C218="",NA(),IF(C$8="",NA(),IF(N(C$8)=0,NA(),IF(Inputs!$C$17="Rebased to 100",$C218/C$8*100,$C218)))))</f>
        <v/>
      </c>
      <c r="J218" s="54">
        <f>IF($B218=0,NA(),IF($D218="",NA(),IF(D$8="",NA(),IF(N(D$8)=0,NA(),IF(Inputs!$C$17="Rebased to 100",$D218/D$8*100,$D218)))))</f>
        <v/>
      </c>
      <c r="K218" s="54">
        <f>IF($B218=0,NA(),IF($E218="",NA(),IF(E$8="",NA(),IF(N(E$8)=0,NA(),IF(Inputs!$C$17="Rebased to 100",$E218/E$8*100,$E218)))))</f>
        <v/>
      </c>
      <c r="L218" s="54">
        <f>IF($B218=0,NA(),IF($F218="",NA(),IF(F$8="",NA(),IF(N(F$8)=0,NA(),IF(Inputs!$C$17="Rebased to 100",$F218/F$8*100,$F218)))))</f>
        <v/>
      </c>
      <c r="M218" s="54">
        <f>IF($B218=0,NA(),IF($G218="",NA(),IF(G$8="",NA(),IF(N(G$8)=0,NA(),IF(Inputs!$C$17="Rebased to 100",$G218/G$8*100,$G218)))))</f>
        <v/>
      </c>
      <c r="N218" s="54">
        <f>IF($B218=0,NA(),IF(Inputs!$C$18&lt;&gt;"Yes",NA(),IF(COUNT(I218,J218,K218,L218,M218)=0,NA(),MIN(I218,J218,K218,L218,M218))))</f>
        <v/>
      </c>
      <c r="O218" s="54">
        <f>IF($B218=0,NA(),IF(Inputs!$B$24&lt;&gt;"Yes",NA(),Inputs!$D$24*Inputs!$C$35))</f>
        <v/>
      </c>
      <c r="P218" s="54">
        <f>IF($B218=0,NA(),IF(Inputs!$B$25&lt;&gt;"Yes",NA(),Inputs!$D$25*Inputs!$C$35))</f>
        <v/>
      </c>
      <c r="Q218" s="54">
        <f>IF($B218=0,NA(),IF(Inputs!$B$26&lt;&gt;"Yes",NA(),Inputs!$D$26*Inputs!$C$35))</f>
        <v/>
      </c>
      <c r="R218" s="54">
        <f>IF($B218=0,NA(),IF(Inputs!$B$27&lt;&gt;"Yes",NA(),Inputs!$D$27*Inputs!$C$35))</f>
        <v/>
      </c>
      <c r="S218" s="54">
        <f>IF($B218=0,NA(),IF(Inputs!$B$28&lt;&gt;"Yes",NA(),Inputs!$D$28*Inputs!$C$35))</f>
        <v/>
      </c>
      <c r="T218" s="54">
        <f>IF($B218=0,NA(),IF(Inputs!$B$29&lt;&gt;"Yes",NA(),Inputs!$D$29*Inputs!$C$35))</f>
        <v/>
      </c>
      <c r="AD218">
        <f>IF($B218=0,0,IF(Inputs!$B$6="",0,COUNTIFS(Data!$A$10:$A$3209,"&gt;="&amp;$A218,Data!$A$10:$A$3209,"&lt;"&amp;$A218+1)))</f>
        <v/>
      </c>
      <c r="AE218">
        <f>IF($B218=0,0,IF(Inputs!$B$7="",0,COUNTIFS(Data!$E$10:$E$3209,"&gt;="&amp;$A218,Data!$E$10:$E$3209,"&lt;"&amp;$A218+1)))</f>
        <v/>
      </c>
      <c r="AF218">
        <f>IF($B218=0,0,IF(Inputs!$B$8="",0,COUNTIFS(Data!$I$10:$I$3209,"&gt;="&amp;$A218,Data!$I$10:$I$3209,"&lt;"&amp;$A218+1)))</f>
        <v/>
      </c>
      <c r="AG218">
        <f>IF($B218=0,0,IF(Inputs!$B$9="",0,COUNTIFS(Data!$M$10:$M$3209,"&gt;="&amp;$A218,Data!$M$10:$M$3209,"&lt;"&amp;$A218+1)))</f>
        <v/>
      </c>
      <c r="AH218">
        <f>IF($B218=0,0,IF(Inputs!$B$10="",0,COUNTIFS(Data!$Q$10:$Q$3209,"&gt;="&amp;$A218,Data!$Q$10:$Q$3209,"&lt;"&amp;$A218+1)))</f>
        <v/>
      </c>
    </row>
    <row r="219">
      <c r="A219" s="55">
        <f>MIN(Inputs!$C$15,$A218+IF(WEEKDAY($A218,2)=5,3,1))</f>
        <v/>
      </c>
      <c r="B219">
        <f>IF($A219&gt;$A218,1,0)</f>
        <v/>
      </c>
      <c r="C219" s="56">
        <f>IF($B219=0,"",IF(Inputs!$B$6="","",IF($AD219=0,C218,SUMIFS(Data!$B$10:$B$3209,Data!$A$10:$A$3209,"&gt;="&amp;$A219,Data!$A$10:$A$3209,"&lt;"&amp;$A219+1)/$AD219)))</f>
        <v/>
      </c>
      <c r="D219" s="56">
        <f>IF($B219=0,"",IF(Inputs!$B$7="","",IF($AE219=0,D218,SUMIFS(Data!$F$10:$F$3209,Data!$E$10:$E$3209,"&gt;="&amp;$A219,Data!$E$10:$E$3209,"&lt;"&amp;$A219+1)/$AE219)))</f>
        <v/>
      </c>
      <c r="E219" s="56">
        <f>IF($B219=0,"",IF(Inputs!$B$8="","",IF($AF219=0,E218,SUMIFS(Data!$J$10:$J$3209,Data!$I$10:$I$3209,"&gt;="&amp;$A219,Data!$I$10:$I$3209,"&lt;"&amp;$A219+1)/$AF219)))</f>
        <v/>
      </c>
      <c r="F219" s="56">
        <f>IF($B219=0,"",IF(Inputs!$B$9="","",IF($AG219=0,F218,SUMIFS(Data!$N$10:$N$3209,Data!$M$10:$M$3209,"&gt;="&amp;$A219,Data!$M$10:$M$3209,"&lt;"&amp;$A219+1)/$AG219)))</f>
        <v/>
      </c>
      <c r="G219" s="56">
        <f>IF($B219=0,"",IF(Inputs!$B$10="","",IF($AH219=0,G218,SUMIFS(Data!$R$10:$R$3209,Data!$Q$10:$Q$3209,"&gt;="&amp;$A219,Data!$Q$10:$Q$3209,"&lt;"&amp;$A219+1)/$AH219)))</f>
        <v/>
      </c>
      <c r="I219" s="54">
        <f>IF($B219=0,NA(),IF($C219="",NA(),IF(C$8="",NA(),IF(N(C$8)=0,NA(),IF(Inputs!$C$17="Rebased to 100",$C219/C$8*100,$C219)))))</f>
        <v/>
      </c>
      <c r="J219" s="54">
        <f>IF($B219=0,NA(),IF($D219="",NA(),IF(D$8="",NA(),IF(N(D$8)=0,NA(),IF(Inputs!$C$17="Rebased to 100",$D219/D$8*100,$D219)))))</f>
        <v/>
      </c>
      <c r="K219" s="54">
        <f>IF($B219=0,NA(),IF($E219="",NA(),IF(E$8="",NA(),IF(N(E$8)=0,NA(),IF(Inputs!$C$17="Rebased to 100",$E219/E$8*100,$E219)))))</f>
        <v/>
      </c>
      <c r="L219" s="54">
        <f>IF($B219=0,NA(),IF($F219="",NA(),IF(F$8="",NA(),IF(N(F$8)=0,NA(),IF(Inputs!$C$17="Rebased to 100",$F219/F$8*100,$F219)))))</f>
        <v/>
      </c>
      <c r="M219" s="54">
        <f>IF($B219=0,NA(),IF($G219="",NA(),IF(G$8="",NA(),IF(N(G$8)=0,NA(),IF(Inputs!$C$17="Rebased to 100",$G219/G$8*100,$G219)))))</f>
        <v/>
      </c>
      <c r="N219" s="54">
        <f>IF($B219=0,NA(),IF(Inputs!$C$18&lt;&gt;"Yes",NA(),IF(COUNT(I219,J219,K219,L219,M219)=0,NA(),MIN(I219,J219,K219,L219,M219))))</f>
        <v/>
      </c>
      <c r="O219" s="54">
        <f>IF($B219=0,NA(),IF(Inputs!$B$24&lt;&gt;"Yes",NA(),Inputs!$D$24*Inputs!$C$35))</f>
        <v/>
      </c>
      <c r="P219" s="54">
        <f>IF($B219=0,NA(),IF(Inputs!$B$25&lt;&gt;"Yes",NA(),Inputs!$D$25*Inputs!$C$35))</f>
        <v/>
      </c>
      <c r="Q219" s="54">
        <f>IF($B219=0,NA(),IF(Inputs!$B$26&lt;&gt;"Yes",NA(),Inputs!$D$26*Inputs!$C$35))</f>
        <v/>
      </c>
      <c r="R219" s="54">
        <f>IF($B219=0,NA(),IF(Inputs!$B$27&lt;&gt;"Yes",NA(),Inputs!$D$27*Inputs!$C$35))</f>
        <v/>
      </c>
      <c r="S219" s="54">
        <f>IF($B219=0,NA(),IF(Inputs!$B$28&lt;&gt;"Yes",NA(),Inputs!$D$28*Inputs!$C$35))</f>
        <v/>
      </c>
      <c r="T219" s="54">
        <f>IF($B219=0,NA(),IF(Inputs!$B$29&lt;&gt;"Yes",NA(),Inputs!$D$29*Inputs!$C$35))</f>
        <v/>
      </c>
      <c r="AD219">
        <f>IF($B219=0,0,IF(Inputs!$B$6="",0,COUNTIFS(Data!$A$10:$A$3209,"&gt;="&amp;$A219,Data!$A$10:$A$3209,"&lt;"&amp;$A219+1)))</f>
        <v/>
      </c>
      <c r="AE219">
        <f>IF($B219=0,0,IF(Inputs!$B$7="",0,COUNTIFS(Data!$E$10:$E$3209,"&gt;="&amp;$A219,Data!$E$10:$E$3209,"&lt;"&amp;$A219+1)))</f>
        <v/>
      </c>
      <c r="AF219">
        <f>IF($B219=0,0,IF(Inputs!$B$8="",0,COUNTIFS(Data!$I$10:$I$3209,"&gt;="&amp;$A219,Data!$I$10:$I$3209,"&lt;"&amp;$A219+1)))</f>
        <v/>
      </c>
      <c r="AG219">
        <f>IF($B219=0,0,IF(Inputs!$B$9="",0,COUNTIFS(Data!$M$10:$M$3209,"&gt;="&amp;$A219,Data!$M$10:$M$3209,"&lt;"&amp;$A219+1)))</f>
        <v/>
      </c>
      <c r="AH219">
        <f>IF($B219=0,0,IF(Inputs!$B$10="",0,COUNTIFS(Data!$Q$10:$Q$3209,"&gt;="&amp;$A219,Data!$Q$10:$Q$3209,"&lt;"&amp;$A219+1)))</f>
        <v/>
      </c>
    </row>
    <row r="220">
      <c r="A220" s="55">
        <f>MIN(Inputs!$C$15,$A219+IF(WEEKDAY($A219,2)=5,3,1))</f>
        <v/>
      </c>
      <c r="B220">
        <f>IF($A220&gt;$A219,1,0)</f>
        <v/>
      </c>
      <c r="C220" s="56">
        <f>IF($B220=0,"",IF(Inputs!$B$6="","",IF($AD220=0,C219,SUMIFS(Data!$B$10:$B$3209,Data!$A$10:$A$3209,"&gt;="&amp;$A220,Data!$A$10:$A$3209,"&lt;"&amp;$A220+1)/$AD220)))</f>
        <v/>
      </c>
      <c r="D220" s="56">
        <f>IF($B220=0,"",IF(Inputs!$B$7="","",IF($AE220=0,D219,SUMIFS(Data!$F$10:$F$3209,Data!$E$10:$E$3209,"&gt;="&amp;$A220,Data!$E$10:$E$3209,"&lt;"&amp;$A220+1)/$AE220)))</f>
        <v/>
      </c>
      <c r="E220" s="56">
        <f>IF($B220=0,"",IF(Inputs!$B$8="","",IF($AF220=0,E219,SUMIFS(Data!$J$10:$J$3209,Data!$I$10:$I$3209,"&gt;="&amp;$A220,Data!$I$10:$I$3209,"&lt;"&amp;$A220+1)/$AF220)))</f>
        <v/>
      </c>
      <c r="F220" s="56">
        <f>IF($B220=0,"",IF(Inputs!$B$9="","",IF($AG220=0,F219,SUMIFS(Data!$N$10:$N$3209,Data!$M$10:$M$3209,"&gt;="&amp;$A220,Data!$M$10:$M$3209,"&lt;"&amp;$A220+1)/$AG220)))</f>
        <v/>
      </c>
      <c r="G220" s="56">
        <f>IF($B220=0,"",IF(Inputs!$B$10="","",IF($AH220=0,G219,SUMIFS(Data!$R$10:$R$3209,Data!$Q$10:$Q$3209,"&gt;="&amp;$A220,Data!$Q$10:$Q$3209,"&lt;"&amp;$A220+1)/$AH220)))</f>
        <v/>
      </c>
      <c r="I220" s="54">
        <f>IF($B220=0,NA(),IF($C220="",NA(),IF(C$8="",NA(),IF(N(C$8)=0,NA(),IF(Inputs!$C$17="Rebased to 100",$C220/C$8*100,$C220)))))</f>
        <v/>
      </c>
      <c r="J220" s="54">
        <f>IF($B220=0,NA(),IF($D220="",NA(),IF(D$8="",NA(),IF(N(D$8)=0,NA(),IF(Inputs!$C$17="Rebased to 100",$D220/D$8*100,$D220)))))</f>
        <v/>
      </c>
      <c r="K220" s="54">
        <f>IF($B220=0,NA(),IF($E220="",NA(),IF(E$8="",NA(),IF(N(E$8)=0,NA(),IF(Inputs!$C$17="Rebased to 100",$E220/E$8*100,$E220)))))</f>
        <v/>
      </c>
      <c r="L220" s="54">
        <f>IF($B220=0,NA(),IF($F220="",NA(),IF(F$8="",NA(),IF(N(F$8)=0,NA(),IF(Inputs!$C$17="Rebased to 100",$F220/F$8*100,$F220)))))</f>
        <v/>
      </c>
      <c r="M220" s="54">
        <f>IF($B220=0,NA(),IF($G220="",NA(),IF(G$8="",NA(),IF(N(G$8)=0,NA(),IF(Inputs!$C$17="Rebased to 100",$G220/G$8*100,$G220)))))</f>
        <v/>
      </c>
      <c r="N220" s="54">
        <f>IF($B220=0,NA(),IF(Inputs!$C$18&lt;&gt;"Yes",NA(),IF(COUNT(I220,J220,K220,L220,M220)=0,NA(),MIN(I220,J220,K220,L220,M220))))</f>
        <v/>
      </c>
      <c r="O220" s="54">
        <f>IF($B220=0,NA(),IF(Inputs!$B$24&lt;&gt;"Yes",NA(),Inputs!$D$24*Inputs!$C$35))</f>
        <v/>
      </c>
      <c r="P220" s="54">
        <f>IF($B220=0,NA(),IF(Inputs!$B$25&lt;&gt;"Yes",NA(),Inputs!$D$25*Inputs!$C$35))</f>
        <v/>
      </c>
      <c r="Q220" s="54">
        <f>IF($B220=0,NA(),IF(Inputs!$B$26&lt;&gt;"Yes",NA(),Inputs!$D$26*Inputs!$C$35))</f>
        <v/>
      </c>
      <c r="R220" s="54">
        <f>IF($B220=0,NA(),IF(Inputs!$B$27&lt;&gt;"Yes",NA(),Inputs!$D$27*Inputs!$C$35))</f>
        <v/>
      </c>
      <c r="S220" s="54">
        <f>IF($B220=0,NA(),IF(Inputs!$B$28&lt;&gt;"Yes",NA(),Inputs!$D$28*Inputs!$C$35))</f>
        <v/>
      </c>
      <c r="T220" s="54">
        <f>IF($B220=0,NA(),IF(Inputs!$B$29&lt;&gt;"Yes",NA(),Inputs!$D$29*Inputs!$C$35))</f>
        <v/>
      </c>
      <c r="AD220">
        <f>IF($B220=0,0,IF(Inputs!$B$6="",0,COUNTIFS(Data!$A$10:$A$3209,"&gt;="&amp;$A220,Data!$A$10:$A$3209,"&lt;"&amp;$A220+1)))</f>
        <v/>
      </c>
      <c r="AE220">
        <f>IF($B220=0,0,IF(Inputs!$B$7="",0,COUNTIFS(Data!$E$10:$E$3209,"&gt;="&amp;$A220,Data!$E$10:$E$3209,"&lt;"&amp;$A220+1)))</f>
        <v/>
      </c>
      <c r="AF220">
        <f>IF($B220=0,0,IF(Inputs!$B$8="",0,COUNTIFS(Data!$I$10:$I$3209,"&gt;="&amp;$A220,Data!$I$10:$I$3209,"&lt;"&amp;$A220+1)))</f>
        <v/>
      </c>
      <c r="AG220">
        <f>IF($B220=0,0,IF(Inputs!$B$9="",0,COUNTIFS(Data!$M$10:$M$3209,"&gt;="&amp;$A220,Data!$M$10:$M$3209,"&lt;"&amp;$A220+1)))</f>
        <v/>
      </c>
      <c r="AH220">
        <f>IF($B220=0,0,IF(Inputs!$B$10="",0,COUNTIFS(Data!$Q$10:$Q$3209,"&gt;="&amp;$A220,Data!$Q$10:$Q$3209,"&lt;"&amp;$A220+1)))</f>
        <v/>
      </c>
    </row>
    <row r="221">
      <c r="A221" s="55">
        <f>MIN(Inputs!$C$15,$A220+IF(WEEKDAY($A220,2)=5,3,1))</f>
        <v/>
      </c>
      <c r="B221">
        <f>IF($A221&gt;$A220,1,0)</f>
        <v/>
      </c>
      <c r="C221" s="56">
        <f>IF($B221=0,"",IF(Inputs!$B$6="","",IF($AD221=0,C220,SUMIFS(Data!$B$10:$B$3209,Data!$A$10:$A$3209,"&gt;="&amp;$A221,Data!$A$10:$A$3209,"&lt;"&amp;$A221+1)/$AD221)))</f>
        <v/>
      </c>
      <c r="D221" s="56">
        <f>IF($B221=0,"",IF(Inputs!$B$7="","",IF($AE221=0,D220,SUMIFS(Data!$F$10:$F$3209,Data!$E$10:$E$3209,"&gt;="&amp;$A221,Data!$E$10:$E$3209,"&lt;"&amp;$A221+1)/$AE221)))</f>
        <v/>
      </c>
      <c r="E221" s="56">
        <f>IF($B221=0,"",IF(Inputs!$B$8="","",IF($AF221=0,E220,SUMIFS(Data!$J$10:$J$3209,Data!$I$10:$I$3209,"&gt;="&amp;$A221,Data!$I$10:$I$3209,"&lt;"&amp;$A221+1)/$AF221)))</f>
        <v/>
      </c>
      <c r="F221" s="56">
        <f>IF($B221=0,"",IF(Inputs!$B$9="","",IF($AG221=0,F220,SUMIFS(Data!$N$10:$N$3209,Data!$M$10:$M$3209,"&gt;="&amp;$A221,Data!$M$10:$M$3209,"&lt;"&amp;$A221+1)/$AG221)))</f>
        <v/>
      </c>
      <c r="G221" s="56">
        <f>IF($B221=0,"",IF(Inputs!$B$10="","",IF($AH221=0,G220,SUMIFS(Data!$R$10:$R$3209,Data!$Q$10:$Q$3209,"&gt;="&amp;$A221,Data!$Q$10:$Q$3209,"&lt;"&amp;$A221+1)/$AH221)))</f>
        <v/>
      </c>
      <c r="I221" s="54">
        <f>IF($B221=0,NA(),IF($C221="",NA(),IF(C$8="",NA(),IF(N(C$8)=0,NA(),IF(Inputs!$C$17="Rebased to 100",$C221/C$8*100,$C221)))))</f>
        <v/>
      </c>
      <c r="J221" s="54">
        <f>IF($B221=0,NA(),IF($D221="",NA(),IF(D$8="",NA(),IF(N(D$8)=0,NA(),IF(Inputs!$C$17="Rebased to 100",$D221/D$8*100,$D221)))))</f>
        <v/>
      </c>
      <c r="K221" s="54">
        <f>IF($B221=0,NA(),IF($E221="",NA(),IF(E$8="",NA(),IF(N(E$8)=0,NA(),IF(Inputs!$C$17="Rebased to 100",$E221/E$8*100,$E221)))))</f>
        <v/>
      </c>
      <c r="L221" s="54">
        <f>IF($B221=0,NA(),IF($F221="",NA(),IF(F$8="",NA(),IF(N(F$8)=0,NA(),IF(Inputs!$C$17="Rebased to 100",$F221/F$8*100,$F221)))))</f>
        <v/>
      </c>
      <c r="M221" s="54">
        <f>IF($B221=0,NA(),IF($G221="",NA(),IF(G$8="",NA(),IF(N(G$8)=0,NA(),IF(Inputs!$C$17="Rebased to 100",$G221/G$8*100,$G221)))))</f>
        <v/>
      </c>
      <c r="N221" s="54">
        <f>IF($B221=0,NA(),IF(Inputs!$C$18&lt;&gt;"Yes",NA(),IF(COUNT(I221,J221,K221,L221,M221)=0,NA(),MIN(I221,J221,K221,L221,M221))))</f>
        <v/>
      </c>
      <c r="O221" s="54">
        <f>IF($B221=0,NA(),IF(Inputs!$B$24&lt;&gt;"Yes",NA(),Inputs!$D$24*Inputs!$C$35))</f>
        <v/>
      </c>
      <c r="P221" s="54">
        <f>IF($B221=0,NA(),IF(Inputs!$B$25&lt;&gt;"Yes",NA(),Inputs!$D$25*Inputs!$C$35))</f>
        <v/>
      </c>
      <c r="Q221" s="54">
        <f>IF($B221=0,NA(),IF(Inputs!$B$26&lt;&gt;"Yes",NA(),Inputs!$D$26*Inputs!$C$35))</f>
        <v/>
      </c>
      <c r="R221" s="54">
        <f>IF($B221=0,NA(),IF(Inputs!$B$27&lt;&gt;"Yes",NA(),Inputs!$D$27*Inputs!$C$35))</f>
        <v/>
      </c>
      <c r="S221" s="54">
        <f>IF($B221=0,NA(),IF(Inputs!$B$28&lt;&gt;"Yes",NA(),Inputs!$D$28*Inputs!$C$35))</f>
        <v/>
      </c>
      <c r="T221" s="54">
        <f>IF($B221=0,NA(),IF(Inputs!$B$29&lt;&gt;"Yes",NA(),Inputs!$D$29*Inputs!$C$35))</f>
        <v/>
      </c>
      <c r="AD221">
        <f>IF($B221=0,0,IF(Inputs!$B$6="",0,COUNTIFS(Data!$A$10:$A$3209,"&gt;="&amp;$A221,Data!$A$10:$A$3209,"&lt;"&amp;$A221+1)))</f>
        <v/>
      </c>
      <c r="AE221">
        <f>IF($B221=0,0,IF(Inputs!$B$7="",0,COUNTIFS(Data!$E$10:$E$3209,"&gt;="&amp;$A221,Data!$E$10:$E$3209,"&lt;"&amp;$A221+1)))</f>
        <v/>
      </c>
      <c r="AF221">
        <f>IF($B221=0,0,IF(Inputs!$B$8="",0,COUNTIFS(Data!$I$10:$I$3209,"&gt;="&amp;$A221,Data!$I$10:$I$3209,"&lt;"&amp;$A221+1)))</f>
        <v/>
      </c>
      <c r="AG221">
        <f>IF($B221=0,0,IF(Inputs!$B$9="",0,COUNTIFS(Data!$M$10:$M$3209,"&gt;="&amp;$A221,Data!$M$10:$M$3209,"&lt;"&amp;$A221+1)))</f>
        <v/>
      </c>
      <c r="AH221">
        <f>IF($B221=0,0,IF(Inputs!$B$10="",0,COUNTIFS(Data!$Q$10:$Q$3209,"&gt;="&amp;$A221,Data!$Q$10:$Q$3209,"&lt;"&amp;$A221+1)))</f>
        <v/>
      </c>
    </row>
    <row r="222">
      <c r="A222" s="55">
        <f>MIN(Inputs!$C$15,$A221+IF(WEEKDAY($A221,2)=5,3,1))</f>
        <v/>
      </c>
      <c r="B222">
        <f>IF($A222&gt;$A221,1,0)</f>
        <v/>
      </c>
      <c r="C222" s="56">
        <f>IF($B222=0,"",IF(Inputs!$B$6="","",IF($AD222=0,C221,SUMIFS(Data!$B$10:$B$3209,Data!$A$10:$A$3209,"&gt;="&amp;$A222,Data!$A$10:$A$3209,"&lt;"&amp;$A222+1)/$AD222)))</f>
        <v/>
      </c>
      <c r="D222" s="56">
        <f>IF($B222=0,"",IF(Inputs!$B$7="","",IF($AE222=0,D221,SUMIFS(Data!$F$10:$F$3209,Data!$E$10:$E$3209,"&gt;="&amp;$A222,Data!$E$10:$E$3209,"&lt;"&amp;$A222+1)/$AE222)))</f>
        <v/>
      </c>
      <c r="E222" s="56">
        <f>IF($B222=0,"",IF(Inputs!$B$8="","",IF($AF222=0,E221,SUMIFS(Data!$J$10:$J$3209,Data!$I$10:$I$3209,"&gt;="&amp;$A222,Data!$I$10:$I$3209,"&lt;"&amp;$A222+1)/$AF222)))</f>
        <v/>
      </c>
      <c r="F222" s="56">
        <f>IF($B222=0,"",IF(Inputs!$B$9="","",IF($AG222=0,F221,SUMIFS(Data!$N$10:$N$3209,Data!$M$10:$M$3209,"&gt;="&amp;$A222,Data!$M$10:$M$3209,"&lt;"&amp;$A222+1)/$AG222)))</f>
        <v/>
      </c>
      <c r="G222" s="56">
        <f>IF($B222=0,"",IF(Inputs!$B$10="","",IF($AH222=0,G221,SUMIFS(Data!$R$10:$R$3209,Data!$Q$10:$Q$3209,"&gt;="&amp;$A222,Data!$Q$10:$Q$3209,"&lt;"&amp;$A222+1)/$AH222)))</f>
        <v/>
      </c>
      <c r="I222" s="54">
        <f>IF($B222=0,NA(),IF($C222="",NA(),IF(C$8="",NA(),IF(N(C$8)=0,NA(),IF(Inputs!$C$17="Rebased to 100",$C222/C$8*100,$C222)))))</f>
        <v/>
      </c>
      <c r="J222" s="54">
        <f>IF($B222=0,NA(),IF($D222="",NA(),IF(D$8="",NA(),IF(N(D$8)=0,NA(),IF(Inputs!$C$17="Rebased to 100",$D222/D$8*100,$D222)))))</f>
        <v/>
      </c>
      <c r="K222" s="54">
        <f>IF($B222=0,NA(),IF($E222="",NA(),IF(E$8="",NA(),IF(N(E$8)=0,NA(),IF(Inputs!$C$17="Rebased to 100",$E222/E$8*100,$E222)))))</f>
        <v/>
      </c>
      <c r="L222" s="54">
        <f>IF($B222=0,NA(),IF($F222="",NA(),IF(F$8="",NA(),IF(N(F$8)=0,NA(),IF(Inputs!$C$17="Rebased to 100",$F222/F$8*100,$F222)))))</f>
        <v/>
      </c>
      <c r="M222" s="54">
        <f>IF($B222=0,NA(),IF($G222="",NA(),IF(G$8="",NA(),IF(N(G$8)=0,NA(),IF(Inputs!$C$17="Rebased to 100",$G222/G$8*100,$G222)))))</f>
        <v/>
      </c>
      <c r="N222" s="54">
        <f>IF($B222=0,NA(),IF(Inputs!$C$18&lt;&gt;"Yes",NA(),IF(COUNT(I222,J222,K222,L222,M222)=0,NA(),MIN(I222,J222,K222,L222,M222))))</f>
        <v/>
      </c>
      <c r="O222" s="54">
        <f>IF($B222=0,NA(),IF(Inputs!$B$24&lt;&gt;"Yes",NA(),Inputs!$D$24*Inputs!$C$35))</f>
        <v/>
      </c>
      <c r="P222" s="54">
        <f>IF($B222=0,NA(),IF(Inputs!$B$25&lt;&gt;"Yes",NA(),Inputs!$D$25*Inputs!$C$35))</f>
        <v/>
      </c>
      <c r="Q222" s="54">
        <f>IF($B222=0,NA(),IF(Inputs!$B$26&lt;&gt;"Yes",NA(),Inputs!$D$26*Inputs!$C$35))</f>
        <v/>
      </c>
      <c r="R222" s="54">
        <f>IF($B222=0,NA(),IF(Inputs!$B$27&lt;&gt;"Yes",NA(),Inputs!$D$27*Inputs!$C$35))</f>
        <v/>
      </c>
      <c r="S222" s="54">
        <f>IF($B222=0,NA(),IF(Inputs!$B$28&lt;&gt;"Yes",NA(),Inputs!$D$28*Inputs!$C$35))</f>
        <v/>
      </c>
      <c r="T222" s="54">
        <f>IF($B222=0,NA(),IF(Inputs!$B$29&lt;&gt;"Yes",NA(),Inputs!$D$29*Inputs!$C$35))</f>
        <v/>
      </c>
      <c r="AD222">
        <f>IF($B222=0,0,IF(Inputs!$B$6="",0,COUNTIFS(Data!$A$10:$A$3209,"&gt;="&amp;$A222,Data!$A$10:$A$3209,"&lt;"&amp;$A222+1)))</f>
        <v/>
      </c>
      <c r="AE222">
        <f>IF($B222=0,0,IF(Inputs!$B$7="",0,COUNTIFS(Data!$E$10:$E$3209,"&gt;="&amp;$A222,Data!$E$10:$E$3209,"&lt;"&amp;$A222+1)))</f>
        <v/>
      </c>
      <c r="AF222">
        <f>IF($B222=0,0,IF(Inputs!$B$8="",0,COUNTIFS(Data!$I$10:$I$3209,"&gt;="&amp;$A222,Data!$I$10:$I$3209,"&lt;"&amp;$A222+1)))</f>
        <v/>
      </c>
      <c r="AG222">
        <f>IF($B222=0,0,IF(Inputs!$B$9="",0,COUNTIFS(Data!$M$10:$M$3209,"&gt;="&amp;$A222,Data!$M$10:$M$3209,"&lt;"&amp;$A222+1)))</f>
        <v/>
      </c>
      <c r="AH222">
        <f>IF($B222=0,0,IF(Inputs!$B$10="",0,COUNTIFS(Data!$Q$10:$Q$3209,"&gt;="&amp;$A222,Data!$Q$10:$Q$3209,"&lt;"&amp;$A222+1)))</f>
        <v/>
      </c>
    </row>
    <row r="223">
      <c r="A223" s="55">
        <f>MIN(Inputs!$C$15,$A222+IF(WEEKDAY($A222,2)=5,3,1))</f>
        <v/>
      </c>
      <c r="B223">
        <f>IF($A223&gt;$A222,1,0)</f>
        <v/>
      </c>
      <c r="C223" s="56">
        <f>IF($B223=0,"",IF(Inputs!$B$6="","",IF($AD223=0,C222,SUMIFS(Data!$B$10:$B$3209,Data!$A$10:$A$3209,"&gt;="&amp;$A223,Data!$A$10:$A$3209,"&lt;"&amp;$A223+1)/$AD223)))</f>
        <v/>
      </c>
      <c r="D223" s="56">
        <f>IF($B223=0,"",IF(Inputs!$B$7="","",IF($AE223=0,D222,SUMIFS(Data!$F$10:$F$3209,Data!$E$10:$E$3209,"&gt;="&amp;$A223,Data!$E$10:$E$3209,"&lt;"&amp;$A223+1)/$AE223)))</f>
        <v/>
      </c>
      <c r="E223" s="56">
        <f>IF($B223=0,"",IF(Inputs!$B$8="","",IF($AF223=0,E222,SUMIFS(Data!$J$10:$J$3209,Data!$I$10:$I$3209,"&gt;="&amp;$A223,Data!$I$10:$I$3209,"&lt;"&amp;$A223+1)/$AF223)))</f>
        <v/>
      </c>
      <c r="F223" s="56">
        <f>IF($B223=0,"",IF(Inputs!$B$9="","",IF($AG223=0,F222,SUMIFS(Data!$N$10:$N$3209,Data!$M$10:$M$3209,"&gt;="&amp;$A223,Data!$M$10:$M$3209,"&lt;"&amp;$A223+1)/$AG223)))</f>
        <v/>
      </c>
      <c r="G223" s="56">
        <f>IF($B223=0,"",IF(Inputs!$B$10="","",IF($AH223=0,G222,SUMIFS(Data!$R$10:$R$3209,Data!$Q$10:$Q$3209,"&gt;="&amp;$A223,Data!$Q$10:$Q$3209,"&lt;"&amp;$A223+1)/$AH223)))</f>
        <v/>
      </c>
      <c r="I223" s="54">
        <f>IF($B223=0,NA(),IF($C223="",NA(),IF(C$8="",NA(),IF(N(C$8)=0,NA(),IF(Inputs!$C$17="Rebased to 100",$C223/C$8*100,$C223)))))</f>
        <v/>
      </c>
      <c r="J223" s="54">
        <f>IF($B223=0,NA(),IF($D223="",NA(),IF(D$8="",NA(),IF(N(D$8)=0,NA(),IF(Inputs!$C$17="Rebased to 100",$D223/D$8*100,$D223)))))</f>
        <v/>
      </c>
      <c r="K223" s="54">
        <f>IF($B223=0,NA(),IF($E223="",NA(),IF(E$8="",NA(),IF(N(E$8)=0,NA(),IF(Inputs!$C$17="Rebased to 100",$E223/E$8*100,$E223)))))</f>
        <v/>
      </c>
      <c r="L223" s="54">
        <f>IF($B223=0,NA(),IF($F223="",NA(),IF(F$8="",NA(),IF(N(F$8)=0,NA(),IF(Inputs!$C$17="Rebased to 100",$F223/F$8*100,$F223)))))</f>
        <v/>
      </c>
      <c r="M223" s="54">
        <f>IF($B223=0,NA(),IF($G223="",NA(),IF(G$8="",NA(),IF(N(G$8)=0,NA(),IF(Inputs!$C$17="Rebased to 100",$G223/G$8*100,$G223)))))</f>
        <v/>
      </c>
      <c r="N223" s="54">
        <f>IF($B223=0,NA(),IF(Inputs!$C$18&lt;&gt;"Yes",NA(),IF(COUNT(I223,J223,K223,L223,M223)=0,NA(),MIN(I223,J223,K223,L223,M223))))</f>
        <v/>
      </c>
      <c r="O223" s="54">
        <f>IF($B223=0,NA(),IF(Inputs!$B$24&lt;&gt;"Yes",NA(),Inputs!$D$24*Inputs!$C$35))</f>
        <v/>
      </c>
      <c r="P223" s="54">
        <f>IF($B223=0,NA(),IF(Inputs!$B$25&lt;&gt;"Yes",NA(),Inputs!$D$25*Inputs!$C$35))</f>
        <v/>
      </c>
      <c r="Q223" s="54">
        <f>IF($B223=0,NA(),IF(Inputs!$B$26&lt;&gt;"Yes",NA(),Inputs!$D$26*Inputs!$C$35))</f>
        <v/>
      </c>
      <c r="R223" s="54">
        <f>IF($B223=0,NA(),IF(Inputs!$B$27&lt;&gt;"Yes",NA(),Inputs!$D$27*Inputs!$C$35))</f>
        <v/>
      </c>
      <c r="S223" s="54">
        <f>IF($B223=0,NA(),IF(Inputs!$B$28&lt;&gt;"Yes",NA(),Inputs!$D$28*Inputs!$C$35))</f>
        <v/>
      </c>
      <c r="T223" s="54">
        <f>IF($B223=0,NA(),IF(Inputs!$B$29&lt;&gt;"Yes",NA(),Inputs!$D$29*Inputs!$C$35))</f>
        <v/>
      </c>
      <c r="AD223">
        <f>IF($B223=0,0,IF(Inputs!$B$6="",0,COUNTIFS(Data!$A$10:$A$3209,"&gt;="&amp;$A223,Data!$A$10:$A$3209,"&lt;"&amp;$A223+1)))</f>
        <v/>
      </c>
      <c r="AE223">
        <f>IF($B223=0,0,IF(Inputs!$B$7="",0,COUNTIFS(Data!$E$10:$E$3209,"&gt;="&amp;$A223,Data!$E$10:$E$3209,"&lt;"&amp;$A223+1)))</f>
        <v/>
      </c>
      <c r="AF223">
        <f>IF($B223=0,0,IF(Inputs!$B$8="",0,COUNTIFS(Data!$I$10:$I$3209,"&gt;="&amp;$A223,Data!$I$10:$I$3209,"&lt;"&amp;$A223+1)))</f>
        <v/>
      </c>
      <c r="AG223">
        <f>IF($B223=0,0,IF(Inputs!$B$9="",0,COUNTIFS(Data!$M$10:$M$3209,"&gt;="&amp;$A223,Data!$M$10:$M$3209,"&lt;"&amp;$A223+1)))</f>
        <v/>
      </c>
      <c r="AH223">
        <f>IF($B223=0,0,IF(Inputs!$B$10="",0,COUNTIFS(Data!$Q$10:$Q$3209,"&gt;="&amp;$A223,Data!$Q$10:$Q$3209,"&lt;"&amp;$A223+1)))</f>
        <v/>
      </c>
    </row>
    <row r="224">
      <c r="A224" s="55">
        <f>MIN(Inputs!$C$15,$A223+IF(WEEKDAY($A223,2)=5,3,1))</f>
        <v/>
      </c>
      <c r="B224">
        <f>IF($A224&gt;$A223,1,0)</f>
        <v/>
      </c>
      <c r="C224" s="56">
        <f>IF($B224=0,"",IF(Inputs!$B$6="","",IF($AD224=0,C223,SUMIFS(Data!$B$10:$B$3209,Data!$A$10:$A$3209,"&gt;="&amp;$A224,Data!$A$10:$A$3209,"&lt;"&amp;$A224+1)/$AD224)))</f>
        <v/>
      </c>
      <c r="D224" s="56">
        <f>IF($B224=0,"",IF(Inputs!$B$7="","",IF($AE224=0,D223,SUMIFS(Data!$F$10:$F$3209,Data!$E$10:$E$3209,"&gt;="&amp;$A224,Data!$E$10:$E$3209,"&lt;"&amp;$A224+1)/$AE224)))</f>
        <v/>
      </c>
      <c r="E224" s="56">
        <f>IF($B224=0,"",IF(Inputs!$B$8="","",IF($AF224=0,E223,SUMIFS(Data!$J$10:$J$3209,Data!$I$10:$I$3209,"&gt;="&amp;$A224,Data!$I$10:$I$3209,"&lt;"&amp;$A224+1)/$AF224)))</f>
        <v/>
      </c>
      <c r="F224" s="56">
        <f>IF($B224=0,"",IF(Inputs!$B$9="","",IF($AG224=0,F223,SUMIFS(Data!$N$10:$N$3209,Data!$M$10:$M$3209,"&gt;="&amp;$A224,Data!$M$10:$M$3209,"&lt;"&amp;$A224+1)/$AG224)))</f>
        <v/>
      </c>
      <c r="G224" s="56">
        <f>IF($B224=0,"",IF(Inputs!$B$10="","",IF($AH224=0,G223,SUMIFS(Data!$R$10:$R$3209,Data!$Q$10:$Q$3209,"&gt;="&amp;$A224,Data!$Q$10:$Q$3209,"&lt;"&amp;$A224+1)/$AH224)))</f>
        <v/>
      </c>
      <c r="I224" s="54">
        <f>IF($B224=0,NA(),IF($C224="",NA(),IF(C$8="",NA(),IF(N(C$8)=0,NA(),IF(Inputs!$C$17="Rebased to 100",$C224/C$8*100,$C224)))))</f>
        <v/>
      </c>
      <c r="J224" s="54">
        <f>IF($B224=0,NA(),IF($D224="",NA(),IF(D$8="",NA(),IF(N(D$8)=0,NA(),IF(Inputs!$C$17="Rebased to 100",$D224/D$8*100,$D224)))))</f>
        <v/>
      </c>
      <c r="K224" s="54">
        <f>IF($B224=0,NA(),IF($E224="",NA(),IF(E$8="",NA(),IF(N(E$8)=0,NA(),IF(Inputs!$C$17="Rebased to 100",$E224/E$8*100,$E224)))))</f>
        <v/>
      </c>
      <c r="L224" s="54">
        <f>IF($B224=0,NA(),IF($F224="",NA(),IF(F$8="",NA(),IF(N(F$8)=0,NA(),IF(Inputs!$C$17="Rebased to 100",$F224/F$8*100,$F224)))))</f>
        <v/>
      </c>
      <c r="M224" s="54">
        <f>IF($B224=0,NA(),IF($G224="",NA(),IF(G$8="",NA(),IF(N(G$8)=0,NA(),IF(Inputs!$C$17="Rebased to 100",$G224/G$8*100,$G224)))))</f>
        <v/>
      </c>
      <c r="N224" s="54">
        <f>IF($B224=0,NA(),IF(Inputs!$C$18&lt;&gt;"Yes",NA(),IF(COUNT(I224,J224,K224,L224,M224)=0,NA(),MIN(I224,J224,K224,L224,M224))))</f>
        <v/>
      </c>
      <c r="O224" s="54">
        <f>IF($B224=0,NA(),IF(Inputs!$B$24&lt;&gt;"Yes",NA(),Inputs!$D$24*Inputs!$C$35))</f>
        <v/>
      </c>
      <c r="P224" s="54">
        <f>IF($B224=0,NA(),IF(Inputs!$B$25&lt;&gt;"Yes",NA(),Inputs!$D$25*Inputs!$C$35))</f>
        <v/>
      </c>
      <c r="Q224" s="54">
        <f>IF($B224=0,NA(),IF(Inputs!$B$26&lt;&gt;"Yes",NA(),Inputs!$D$26*Inputs!$C$35))</f>
        <v/>
      </c>
      <c r="R224" s="54">
        <f>IF($B224=0,NA(),IF(Inputs!$B$27&lt;&gt;"Yes",NA(),Inputs!$D$27*Inputs!$C$35))</f>
        <v/>
      </c>
      <c r="S224" s="54">
        <f>IF($B224=0,NA(),IF(Inputs!$B$28&lt;&gt;"Yes",NA(),Inputs!$D$28*Inputs!$C$35))</f>
        <v/>
      </c>
      <c r="T224" s="54">
        <f>IF($B224=0,NA(),IF(Inputs!$B$29&lt;&gt;"Yes",NA(),Inputs!$D$29*Inputs!$C$35))</f>
        <v/>
      </c>
      <c r="AD224">
        <f>IF($B224=0,0,IF(Inputs!$B$6="",0,COUNTIFS(Data!$A$10:$A$3209,"&gt;="&amp;$A224,Data!$A$10:$A$3209,"&lt;"&amp;$A224+1)))</f>
        <v/>
      </c>
      <c r="AE224">
        <f>IF($B224=0,0,IF(Inputs!$B$7="",0,COUNTIFS(Data!$E$10:$E$3209,"&gt;="&amp;$A224,Data!$E$10:$E$3209,"&lt;"&amp;$A224+1)))</f>
        <v/>
      </c>
      <c r="AF224">
        <f>IF($B224=0,0,IF(Inputs!$B$8="",0,COUNTIFS(Data!$I$10:$I$3209,"&gt;="&amp;$A224,Data!$I$10:$I$3209,"&lt;"&amp;$A224+1)))</f>
        <v/>
      </c>
      <c r="AG224">
        <f>IF($B224=0,0,IF(Inputs!$B$9="",0,COUNTIFS(Data!$M$10:$M$3209,"&gt;="&amp;$A224,Data!$M$10:$M$3209,"&lt;"&amp;$A224+1)))</f>
        <v/>
      </c>
      <c r="AH224">
        <f>IF($B224=0,0,IF(Inputs!$B$10="",0,COUNTIFS(Data!$Q$10:$Q$3209,"&gt;="&amp;$A224,Data!$Q$10:$Q$3209,"&lt;"&amp;$A224+1)))</f>
        <v/>
      </c>
    </row>
    <row r="225">
      <c r="A225" s="55">
        <f>MIN(Inputs!$C$15,$A224+IF(WEEKDAY($A224,2)=5,3,1))</f>
        <v/>
      </c>
      <c r="B225">
        <f>IF($A225&gt;$A224,1,0)</f>
        <v/>
      </c>
      <c r="C225" s="56">
        <f>IF($B225=0,"",IF(Inputs!$B$6="","",IF($AD225=0,C224,SUMIFS(Data!$B$10:$B$3209,Data!$A$10:$A$3209,"&gt;="&amp;$A225,Data!$A$10:$A$3209,"&lt;"&amp;$A225+1)/$AD225)))</f>
        <v/>
      </c>
      <c r="D225" s="56">
        <f>IF($B225=0,"",IF(Inputs!$B$7="","",IF($AE225=0,D224,SUMIFS(Data!$F$10:$F$3209,Data!$E$10:$E$3209,"&gt;="&amp;$A225,Data!$E$10:$E$3209,"&lt;"&amp;$A225+1)/$AE225)))</f>
        <v/>
      </c>
      <c r="E225" s="56">
        <f>IF($B225=0,"",IF(Inputs!$B$8="","",IF($AF225=0,E224,SUMIFS(Data!$J$10:$J$3209,Data!$I$10:$I$3209,"&gt;="&amp;$A225,Data!$I$10:$I$3209,"&lt;"&amp;$A225+1)/$AF225)))</f>
        <v/>
      </c>
      <c r="F225" s="56">
        <f>IF($B225=0,"",IF(Inputs!$B$9="","",IF($AG225=0,F224,SUMIFS(Data!$N$10:$N$3209,Data!$M$10:$M$3209,"&gt;="&amp;$A225,Data!$M$10:$M$3209,"&lt;"&amp;$A225+1)/$AG225)))</f>
        <v/>
      </c>
      <c r="G225" s="56">
        <f>IF($B225=0,"",IF(Inputs!$B$10="","",IF($AH225=0,G224,SUMIFS(Data!$R$10:$R$3209,Data!$Q$10:$Q$3209,"&gt;="&amp;$A225,Data!$Q$10:$Q$3209,"&lt;"&amp;$A225+1)/$AH225)))</f>
        <v/>
      </c>
      <c r="I225" s="54">
        <f>IF($B225=0,NA(),IF($C225="",NA(),IF(C$8="",NA(),IF(N(C$8)=0,NA(),IF(Inputs!$C$17="Rebased to 100",$C225/C$8*100,$C225)))))</f>
        <v/>
      </c>
      <c r="J225" s="54">
        <f>IF($B225=0,NA(),IF($D225="",NA(),IF(D$8="",NA(),IF(N(D$8)=0,NA(),IF(Inputs!$C$17="Rebased to 100",$D225/D$8*100,$D225)))))</f>
        <v/>
      </c>
      <c r="K225" s="54">
        <f>IF($B225=0,NA(),IF($E225="",NA(),IF(E$8="",NA(),IF(N(E$8)=0,NA(),IF(Inputs!$C$17="Rebased to 100",$E225/E$8*100,$E225)))))</f>
        <v/>
      </c>
      <c r="L225" s="54">
        <f>IF($B225=0,NA(),IF($F225="",NA(),IF(F$8="",NA(),IF(N(F$8)=0,NA(),IF(Inputs!$C$17="Rebased to 100",$F225/F$8*100,$F225)))))</f>
        <v/>
      </c>
      <c r="M225" s="54">
        <f>IF($B225=0,NA(),IF($G225="",NA(),IF(G$8="",NA(),IF(N(G$8)=0,NA(),IF(Inputs!$C$17="Rebased to 100",$G225/G$8*100,$G225)))))</f>
        <v/>
      </c>
      <c r="N225" s="54">
        <f>IF($B225=0,NA(),IF(Inputs!$C$18&lt;&gt;"Yes",NA(),IF(COUNT(I225,J225,K225,L225,M225)=0,NA(),MIN(I225,J225,K225,L225,M225))))</f>
        <v/>
      </c>
      <c r="O225" s="54">
        <f>IF($B225=0,NA(),IF(Inputs!$B$24&lt;&gt;"Yes",NA(),Inputs!$D$24*Inputs!$C$35))</f>
        <v/>
      </c>
      <c r="P225" s="54">
        <f>IF($B225=0,NA(),IF(Inputs!$B$25&lt;&gt;"Yes",NA(),Inputs!$D$25*Inputs!$C$35))</f>
        <v/>
      </c>
      <c r="Q225" s="54">
        <f>IF($B225=0,NA(),IF(Inputs!$B$26&lt;&gt;"Yes",NA(),Inputs!$D$26*Inputs!$C$35))</f>
        <v/>
      </c>
      <c r="R225" s="54">
        <f>IF($B225=0,NA(),IF(Inputs!$B$27&lt;&gt;"Yes",NA(),Inputs!$D$27*Inputs!$C$35))</f>
        <v/>
      </c>
      <c r="S225" s="54">
        <f>IF($B225=0,NA(),IF(Inputs!$B$28&lt;&gt;"Yes",NA(),Inputs!$D$28*Inputs!$C$35))</f>
        <v/>
      </c>
      <c r="T225" s="54">
        <f>IF($B225=0,NA(),IF(Inputs!$B$29&lt;&gt;"Yes",NA(),Inputs!$D$29*Inputs!$C$35))</f>
        <v/>
      </c>
      <c r="AD225">
        <f>IF($B225=0,0,IF(Inputs!$B$6="",0,COUNTIFS(Data!$A$10:$A$3209,"&gt;="&amp;$A225,Data!$A$10:$A$3209,"&lt;"&amp;$A225+1)))</f>
        <v/>
      </c>
      <c r="AE225">
        <f>IF($B225=0,0,IF(Inputs!$B$7="",0,COUNTIFS(Data!$E$10:$E$3209,"&gt;="&amp;$A225,Data!$E$10:$E$3209,"&lt;"&amp;$A225+1)))</f>
        <v/>
      </c>
      <c r="AF225">
        <f>IF($B225=0,0,IF(Inputs!$B$8="",0,COUNTIFS(Data!$I$10:$I$3209,"&gt;="&amp;$A225,Data!$I$10:$I$3209,"&lt;"&amp;$A225+1)))</f>
        <v/>
      </c>
      <c r="AG225">
        <f>IF($B225=0,0,IF(Inputs!$B$9="",0,COUNTIFS(Data!$M$10:$M$3209,"&gt;="&amp;$A225,Data!$M$10:$M$3209,"&lt;"&amp;$A225+1)))</f>
        <v/>
      </c>
      <c r="AH225">
        <f>IF($B225=0,0,IF(Inputs!$B$10="",0,COUNTIFS(Data!$Q$10:$Q$3209,"&gt;="&amp;$A225,Data!$Q$10:$Q$3209,"&lt;"&amp;$A225+1)))</f>
        <v/>
      </c>
    </row>
    <row r="226">
      <c r="A226" s="55">
        <f>MIN(Inputs!$C$15,$A225+IF(WEEKDAY($A225,2)=5,3,1))</f>
        <v/>
      </c>
      <c r="B226">
        <f>IF($A226&gt;$A225,1,0)</f>
        <v/>
      </c>
      <c r="C226" s="56">
        <f>IF($B226=0,"",IF(Inputs!$B$6="","",IF($AD226=0,C225,SUMIFS(Data!$B$10:$B$3209,Data!$A$10:$A$3209,"&gt;="&amp;$A226,Data!$A$10:$A$3209,"&lt;"&amp;$A226+1)/$AD226)))</f>
        <v/>
      </c>
      <c r="D226" s="56">
        <f>IF($B226=0,"",IF(Inputs!$B$7="","",IF($AE226=0,D225,SUMIFS(Data!$F$10:$F$3209,Data!$E$10:$E$3209,"&gt;="&amp;$A226,Data!$E$10:$E$3209,"&lt;"&amp;$A226+1)/$AE226)))</f>
        <v/>
      </c>
      <c r="E226" s="56">
        <f>IF($B226=0,"",IF(Inputs!$B$8="","",IF($AF226=0,E225,SUMIFS(Data!$J$10:$J$3209,Data!$I$10:$I$3209,"&gt;="&amp;$A226,Data!$I$10:$I$3209,"&lt;"&amp;$A226+1)/$AF226)))</f>
        <v/>
      </c>
      <c r="F226" s="56">
        <f>IF($B226=0,"",IF(Inputs!$B$9="","",IF($AG226=0,F225,SUMIFS(Data!$N$10:$N$3209,Data!$M$10:$M$3209,"&gt;="&amp;$A226,Data!$M$10:$M$3209,"&lt;"&amp;$A226+1)/$AG226)))</f>
        <v/>
      </c>
      <c r="G226" s="56">
        <f>IF($B226=0,"",IF(Inputs!$B$10="","",IF($AH226=0,G225,SUMIFS(Data!$R$10:$R$3209,Data!$Q$10:$Q$3209,"&gt;="&amp;$A226,Data!$Q$10:$Q$3209,"&lt;"&amp;$A226+1)/$AH226)))</f>
        <v/>
      </c>
      <c r="I226" s="54">
        <f>IF($B226=0,NA(),IF($C226="",NA(),IF(C$8="",NA(),IF(N(C$8)=0,NA(),IF(Inputs!$C$17="Rebased to 100",$C226/C$8*100,$C226)))))</f>
        <v/>
      </c>
      <c r="J226" s="54">
        <f>IF($B226=0,NA(),IF($D226="",NA(),IF(D$8="",NA(),IF(N(D$8)=0,NA(),IF(Inputs!$C$17="Rebased to 100",$D226/D$8*100,$D226)))))</f>
        <v/>
      </c>
      <c r="K226" s="54">
        <f>IF($B226=0,NA(),IF($E226="",NA(),IF(E$8="",NA(),IF(N(E$8)=0,NA(),IF(Inputs!$C$17="Rebased to 100",$E226/E$8*100,$E226)))))</f>
        <v/>
      </c>
      <c r="L226" s="54">
        <f>IF($B226=0,NA(),IF($F226="",NA(),IF(F$8="",NA(),IF(N(F$8)=0,NA(),IF(Inputs!$C$17="Rebased to 100",$F226/F$8*100,$F226)))))</f>
        <v/>
      </c>
      <c r="M226" s="54">
        <f>IF($B226=0,NA(),IF($G226="",NA(),IF(G$8="",NA(),IF(N(G$8)=0,NA(),IF(Inputs!$C$17="Rebased to 100",$G226/G$8*100,$G226)))))</f>
        <v/>
      </c>
      <c r="N226" s="54">
        <f>IF($B226=0,NA(),IF(Inputs!$C$18&lt;&gt;"Yes",NA(),IF(COUNT(I226,J226,K226,L226,M226)=0,NA(),MIN(I226,J226,K226,L226,M226))))</f>
        <v/>
      </c>
      <c r="O226" s="54">
        <f>IF($B226=0,NA(),IF(Inputs!$B$24&lt;&gt;"Yes",NA(),Inputs!$D$24*Inputs!$C$35))</f>
        <v/>
      </c>
      <c r="P226" s="54">
        <f>IF($B226=0,NA(),IF(Inputs!$B$25&lt;&gt;"Yes",NA(),Inputs!$D$25*Inputs!$C$35))</f>
        <v/>
      </c>
      <c r="Q226" s="54">
        <f>IF($B226=0,NA(),IF(Inputs!$B$26&lt;&gt;"Yes",NA(),Inputs!$D$26*Inputs!$C$35))</f>
        <v/>
      </c>
      <c r="R226" s="54">
        <f>IF($B226=0,NA(),IF(Inputs!$B$27&lt;&gt;"Yes",NA(),Inputs!$D$27*Inputs!$C$35))</f>
        <v/>
      </c>
      <c r="S226" s="54">
        <f>IF($B226=0,NA(),IF(Inputs!$B$28&lt;&gt;"Yes",NA(),Inputs!$D$28*Inputs!$C$35))</f>
        <v/>
      </c>
      <c r="T226" s="54">
        <f>IF($B226=0,NA(),IF(Inputs!$B$29&lt;&gt;"Yes",NA(),Inputs!$D$29*Inputs!$C$35))</f>
        <v/>
      </c>
      <c r="AD226">
        <f>IF($B226=0,0,IF(Inputs!$B$6="",0,COUNTIFS(Data!$A$10:$A$3209,"&gt;="&amp;$A226,Data!$A$10:$A$3209,"&lt;"&amp;$A226+1)))</f>
        <v/>
      </c>
      <c r="AE226">
        <f>IF($B226=0,0,IF(Inputs!$B$7="",0,COUNTIFS(Data!$E$10:$E$3209,"&gt;="&amp;$A226,Data!$E$10:$E$3209,"&lt;"&amp;$A226+1)))</f>
        <v/>
      </c>
      <c r="AF226">
        <f>IF($B226=0,0,IF(Inputs!$B$8="",0,COUNTIFS(Data!$I$10:$I$3209,"&gt;="&amp;$A226,Data!$I$10:$I$3209,"&lt;"&amp;$A226+1)))</f>
        <v/>
      </c>
      <c r="AG226">
        <f>IF($B226=0,0,IF(Inputs!$B$9="",0,COUNTIFS(Data!$M$10:$M$3209,"&gt;="&amp;$A226,Data!$M$10:$M$3209,"&lt;"&amp;$A226+1)))</f>
        <v/>
      </c>
      <c r="AH226">
        <f>IF($B226=0,0,IF(Inputs!$B$10="",0,COUNTIFS(Data!$Q$10:$Q$3209,"&gt;="&amp;$A226,Data!$Q$10:$Q$3209,"&lt;"&amp;$A226+1)))</f>
        <v/>
      </c>
    </row>
    <row r="227">
      <c r="A227" s="55">
        <f>MIN(Inputs!$C$15,$A226+IF(WEEKDAY($A226,2)=5,3,1))</f>
        <v/>
      </c>
      <c r="B227">
        <f>IF($A227&gt;$A226,1,0)</f>
        <v/>
      </c>
      <c r="C227" s="56">
        <f>IF($B227=0,"",IF(Inputs!$B$6="","",IF($AD227=0,C226,SUMIFS(Data!$B$10:$B$3209,Data!$A$10:$A$3209,"&gt;="&amp;$A227,Data!$A$10:$A$3209,"&lt;"&amp;$A227+1)/$AD227)))</f>
        <v/>
      </c>
      <c r="D227" s="56">
        <f>IF($B227=0,"",IF(Inputs!$B$7="","",IF($AE227=0,D226,SUMIFS(Data!$F$10:$F$3209,Data!$E$10:$E$3209,"&gt;="&amp;$A227,Data!$E$10:$E$3209,"&lt;"&amp;$A227+1)/$AE227)))</f>
        <v/>
      </c>
      <c r="E227" s="56">
        <f>IF($B227=0,"",IF(Inputs!$B$8="","",IF($AF227=0,E226,SUMIFS(Data!$J$10:$J$3209,Data!$I$10:$I$3209,"&gt;="&amp;$A227,Data!$I$10:$I$3209,"&lt;"&amp;$A227+1)/$AF227)))</f>
        <v/>
      </c>
      <c r="F227" s="56">
        <f>IF($B227=0,"",IF(Inputs!$B$9="","",IF($AG227=0,F226,SUMIFS(Data!$N$10:$N$3209,Data!$M$10:$M$3209,"&gt;="&amp;$A227,Data!$M$10:$M$3209,"&lt;"&amp;$A227+1)/$AG227)))</f>
        <v/>
      </c>
      <c r="G227" s="56">
        <f>IF($B227=0,"",IF(Inputs!$B$10="","",IF($AH227=0,G226,SUMIFS(Data!$R$10:$R$3209,Data!$Q$10:$Q$3209,"&gt;="&amp;$A227,Data!$Q$10:$Q$3209,"&lt;"&amp;$A227+1)/$AH227)))</f>
        <v/>
      </c>
      <c r="I227" s="54">
        <f>IF($B227=0,NA(),IF($C227="",NA(),IF(C$8="",NA(),IF(N(C$8)=0,NA(),IF(Inputs!$C$17="Rebased to 100",$C227/C$8*100,$C227)))))</f>
        <v/>
      </c>
      <c r="J227" s="54">
        <f>IF($B227=0,NA(),IF($D227="",NA(),IF(D$8="",NA(),IF(N(D$8)=0,NA(),IF(Inputs!$C$17="Rebased to 100",$D227/D$8*100,$D227)))))</f>
        <v/>
      </c>
      <c r="K227" s="54">
        <f>IF($B227=0,NA(),IF($E227="",NA(),IF(E$8="",NA(),IF(N(E$8)=0,NA(),IF(Inputs!$C$17="Rebased to 100",$E227/E$8*100,$E227)))))</f>
        <v/>
      </c>
      <c r="L227" s="54">
        <f>IF($B227=0,NA(),IF($F227="",NA(),IF(F$8="",NA(),IF(N(F$8)=0,NA(),IF(Inputs!$C$17="Rebased to 100",$F227/F$8*100,$F227)))))</f>
        <v/>
      </c>
      <c r="M227" s="54">
        <f>IF($B227=0,NA(),IF($G227="",NA(),IF(G$8="",NA(),IF(N(G$8)=0,NA(),IF(Inputs!$C$17="Rebased to 100",$G227/G$8*100,$G227)))))</f>
        <v/>
      </c>
      <c r="N227" s="54">
        <f>IF($B227=0,NA(),IF(Inputs!$C$18&lt;&gt;"Yes",NA(),IF(COUNT(I227,J227,K227,L227,M227)=0,NA(),MIN(I227,J227,K227,L227,M227))))</f>
        <v/>
      </c>
      <c r="O227" s="54">
        <f>IF($B227=0,NA(),IF(Inputs!$B$24&lt;&gt;"Yes",NA(),Inputs!$D$24*Inputs!$C$35))</f>
        <v/>
      </c>
      <c r="P227" s="54">
        <f>IF($B227=0,NA(),IF(Inputs!$B$25&lt;&gt;"Yes",NA(),Inputs!$D$25*Inputs!$C$35))</f>
        <v/>
      </c>
      <c r="Q227" s="54">
        <f>IF($B227=0,NA(),IF(Inputs!$B$26&lt;&gt;"Yes",NA(),Inputs!$D$26*Inputs!$C$35))</f>
        <v/>
      </c>
      <c r="R227" s="54">
        <f>IF($B227=0,NA(),IF(Inputs!$B$27&lt;&gt;"Yes",NA(),Inputs!$D$27*Inputs!$C$35))</f>
        <v/>
      </c>
      <c r="S227" s="54">
        <f>IF($B227=0,NA(),IF(Inputs!$B$28&lt;&gt;"Yes",NA(),Inputs!$D$28*Inputs!$C$35))</f>
        <v/>
      </c>
      <c r="T227" s="54">
        <f>IF($B227=0,NA(),IF(Inputs!$B$29&lt;&gt;"Yes",NA(),Inputs!$D$29*Inputs!$C$35))</f>
        <v/>
      </c>
      <c r="AD227">
        <f>IF($B227=0,0,IF(Inputs!$B$6="",0,COUNTIFS(Data!$A$10:$A$3209,"&gt;="&amp;$A227,Data!$A$10:$A$3209,"&lt;"&amp;$A227+1)))</f>
        <v/>
      </c>
      <c r="AE227">
        <f>IF($B227=0,0,IF(Inputs!$B$7="",0,COUNTIFS(Data!$E$10:$E$3209,"&gt;="&amp;$A227,Data!$E$10:$E$3209,"&lt;"&amp;$A227+1)))</f>
        <v/>
      </c>
      <c r="AF227">
        <f>IF($B227=0,0,IF(Inputs!$B$8="",0,COUNTIFS(Data!$I$10:$I$3209,"&gt;="&amp;$A227,Data!$I$10:$I$3209,"&lt;"&amp;$A227+1)))</f>
        <v/>
      </c>
      <c r="AG227">
        <f>IF($B227=0,0,IF(Inputs!$B$9="",0,COUNTIFS(Data!$M$10:$M$3209,"&gt;="&amp;$A227,Data!$M$10:$M$3209,"&lt;"&amp;$A227+1)))</f>
        <v/>
      </c>
      <c r="AH227">
        <f>IF($B227=0,0,IF(Inputs!$B$10="",0,COUNTIFS(Data!$Q$10:$Q$3209,"&gt;="&amp;$A227,Data!$Q$10:$Q$3209,"&lt;"&amp;$A227+1)))</f>
        <v/>
      </c>
    </row>
    <row r="228">
      <c r="A228" s="55">
        <f>MIN(Inputs!$C$15,$A227+IF(WEEKDAY($A227,2)=5,3,1))</f>
        <v/>
      </c>
      <c r="B228">
        <f>IF($A228&gt;$A227,1,0)</f>
        <v/>
      </c>
      <c r="C228" s="56">
        <f>IF($B228=0,"",IF(Inputs!$B$6="","",IF($AD228=0,C227,SUMIFS(Data!$B$10:$B$3209,Data!$A$10:$A$3209,"&gt;="&amp;$A228,Data!$A$10:$A$3209,"&lt;"&amp;$A228+1)/$AD228)))</f>
        <v/>
      </c>
      <c r="D228" s="56">
        <f>IF($B228=0,"",IF(Inputs!$B$7="","",IF($AE228=0,D227,SUMIFS(Data!$F$10:$F$3209,Data!$E$10:$E$3209,"&gt;="&amp;$A228,Data!$E$10:$E$3209,"&lt;"&amp;$A228+1)/$AE228)))</f>
        <v/>
      </c>
      <c r="E228" s="56">
        <f>IF($B228=0,"",IF(Inputs!$B$8="","",IF($AF228=0,E227,SUMIFS(Data!$J$10:$J$3209,Data!$I$10:$I$3209,"&gt;="&amp;$A228,Data!$I$10:$I$3209,"&lt;"&amp;$A228+1)/$AF228)))</f>
        <v/>
      </c>
      <c r="F228" s="56">
        <f>IF($B228=0,"",IF(Inputs!$B$9="","",IF($AG228=0,F227,SUMIFS(Data!$N$10:$N$3209,Data!$M$10:$M$3209,"&gt;="&amp;$A228,Data!$M$10:$M$3209,"&lt;"&amp;$A228+1)/$AG228)))</f>
        <v/>
      </c>
      <c r="G228" s="56">
        <f>IF($B228=0,"",IF(Inputs!$B$10="","",IF($AH228=0,G227,SUMIFS(Data!$R$10:$R$3209,Data!$Q$10:$Q$3209,"&gt;="&amp;$A228,Data!$Q$10:$Q$3209,"&lt;"&amp;$A228+1)/$AH228)))</f>
        <v/>
      </c>
      <c r="I228" s="54">
        <f>IF($B228=0,NA(),IF($C228="",NA(),IF(C$8="",NA(),IF(N(C$8)=0,NA(),IF(Inputs!$C$17="Rebased to 100",$C228/C$8*100,$C228)))))</f>
        <v/>
      </c>
      <c r="J228" s="54">
        <f>IF($B228=0,NA(),IF($D228="",NA(),IF(D$8="",NA(),IF(N(D$8)=0,NA(),IF(Inputs!$C$17="Rebased to 100",$D228/D$8*100,$D228)))))</f>
        <v/>
      </c>
      <c r="K228" s="54">
        <f>IF($B228=0,NA(),IF($E228="",NA(),IF(E$8="",NA(),IF(N(E$8)=0,NA(),IF(Inputs!$C$17="Rebased to 100",$E228/E$8*100,$E228)))))</f>
        <v/>
      </c>
      <c r="L228" s="54">
        <f>IF($B228=0,NA(),IF($F228="",NA(),IF(F$8="",NA(),IF(N(F$8)=0,NA(),IF(Inputs!$C$17="Rebased to 100",$F228/F$8*100,$F228)))))</f>
        <v/>
      </c>
      <c r="M228" s="54">
        <f>IF($B228=0,NA(),IF($G228="",NA(),IF(G$8="",NA(),IF(N(G$8)=0,NA(),IF(Inputs!$C$17="Rebased to 100",$G228/G$8*100,$G228)))))</f>
        <v/>
      </c>
      <c r="N228" s="54">
        <f>IF($B228=0,NA(),IF(Inputs!$C$18&lt;&gt;"Yes",NA(),IF(COUNT(I228,J228,K228,L228,M228)=0,NA(),MIN(I228,J228,K228,L228,M228))))</f>
        <v/>
      </c>
      <c r="O228" s="54">
        <f>IF($B228=0,NA(),IF(Inputs!$B$24&lt;&gt;"Yes",NA(),Inputs!$D$24*Inputs!$C$35))</f>
        <v/>
      </c>
      <c r="P228" s="54">
        <f>IF($B228=0,NA(),IF(Inputs!$B$25&lt;&gt;"Yes",NA(),Inputs!$D$25*Inputs!$C$35))</f>
        <v/>
      </c>
      <c r="Q228" s="54">
        <f>IF($B228=0,NA(),IF(Inputs!$B$26&lt;&gt;"Yes",NA(),Inputs!$D$26*Inputs!$C$35))</f>
        <v/>
      </c>
      <c r="R228" s="54">
        <f>IF($B228=0,NA(),IF(Inputs!$B$27&lt;&gt;"Yes",NA(),Inputs!$D$27*Inputs!$C$35))</f>
        <v/>
      </c>
      <c r="S228" s="54">
        <f>IF($B228=0,NA(),IF(Inputs!$B$28&lt;&gt;"Yes",NA(),Inputs!$D$28*Inputs!$C$35))</f>
        <v/>
      </c>
      <c r="T228" s="54">
        <f>IF($B228=0,NA(),IF(Inputs!$B$29&lt;&gt;"Yes",NA(),Inputs!$D$29*Inputs!$C$35))</f>
        <v/>
      </c>
      <c r="AD228">
        <f>IF($B228=0,0,IF(Inputs!$B$6="",0,COUNTIFS(Data!$A$10:$A$3209,"&gt;="&amp;$A228,Data!$A$10:$A$3209,"&lt;"&amp;$A228+1)))</f>
        <v/>
      </c>
      <c r="AE228">
        <f>IF($B228=0,0,IF(Inputs!$B$7="",0,COUNTIFS(Data!$E$10:$E$3209,"&gt;="&amp;$A228,Data!$E$10:$E$3209,"&lt;"&amp;$A228+1)))</f>
        <v/>
      </c>
      <c r="AF228">
        <f>IF($B228=0,0,IF(Inputs!$B$8="",0,COUNTIFS(Data!$I$10:$I$3209,"&gt;="&amp;$A228,Data!$I$10:$I$3209,"&lt;"&amp;$A228+1)))</f>
        <v/>
      </c>
      <c r="AG228">
        <f>IF($B228=0,0,IF(Inputs!$B$9="",0,COUNTIFS(Data!$M$10:$M$3209,"&gt;="&amp;$A228,Data!$M$10:$M$3209,"&lt;"&amp;$A228+1)))</f>
        <v/>
      </c>
      <c r="AH228">
        <f>IF($B228=0,0,IF(Inputs!$B$10="",0,COUNTIFS(Data!$Q$10:$Q$3209,"&gt;="&amp;$A228,Data!$Q$10:$Q$3209,"&lt;"&amp;$A228+1)))</f>
        <v/>
      </c>
    </row>
    <row r="229">
      <c r="A229" s="55">
        <f>MIN(Inputs!$C$15,$A228+IF(WEEKDAY($A228,2)=5,3,1))</f>
        <v/>
      </c>
      <c r="B229">
        <f>IF($A229&gt;$A228,1,0)</f>
        <v/>
      </c>
      <c r="C229" s="56">
        <f>IF($B229=0,"",IF(Inputs!$B$6="","",IF($AD229=0,C228,SUMIFS(Data!$B$10:$B$3209,Data!$A$10:$A$3209,"&gt;="&amp;$A229,Data!$A$10:$A$3209,"&lt;"&amp;$A229+1)/$AD229)))</f>
        <v/>
      </c>
      <c r="D229" s="56">
        <f>IF($B229=0,"",IF(Inputs!$B$7="","",IF($AE229=0,D228,SUMIFS(Data!$F$10:$F$3209,Data!$E$10:$E$3209,"&gt;="&amp;$A229,Data!$E$10:$E$3209,"&lt;"&amp;$A229+1)/$AE229)))</f>
        <v/>
      </c>
      <c r="E229" s="56">
        <f>IF($B229=0,"",IF(Inputs!$B$8="","",IF($AF229=0,E228,SUMIFS(Data!$J$10:$J$3209,Data!$I$10:$I$3209,"&gt;="&amp;$A229,Data!$I$10:$I$3209,"&lt;"&amp;$A229+1)/$AF229)))</f>
        <v/>
      </c>
      <c r="F229" s="56">
        <f>IF($B229=0,"",IF(Inputs!$B$9="","",IF($AG229=0,F228,SUMIFS(Data!$N$10:$N$3209,Data!$M$10:$M$3209,"&gt;="&amp;$A229,Data!$M$10:$M$3209,"&lt;"&amp;$A229+1)/$AG229)))</f>
        <v/>
      </c>
      <c r="G229" s="56">
        <f>IF($B229=0,"",IF(Inputs!$B$10="","",IF($AH229=0,G228,SUMIFS(Data!$R$10:$R$3209,Data!$Q$10:$Q$3209,"&gt;="&amp;$A229,Data!$Q$10:$Q$3209,"&lt;"&amp;$A229+1)/$AH229)))</f>
        <v/>
      </c>
      <c r="I229" s="54">
        <f>IF($B229=0,NA(),IF($C229="",NA(),IF(C$8="",NA(),IF(N(C$8)=0,NA(),IF(Inputs!$C$17="Rebased to 100",$C229/C$8*100,$C229)))))</f>
        <v/>
      </c>
      <c r="J229" s="54">
        <f>IF($B229=0,NA(),IF($D229="",NA(),IF(D$8="",NA(),IF(N(D$8)=0,NA(),IF(Inputs!$C$17="Rebased to 100",$D229/D$8*100,$D229)))))</f>
        <v/>
      </c>
      <c r="K229" s="54">
        <f>IF($B229=0,NA(),IF($E229="",NA(),IF(E$8="",NA(),IF(N(E$8)=0,NA(),IF(Inputs!$C$17="Rebased to 100",$E229/E$8*100,$E229)))))</f>
        <v/>
      </c>
      <c r="L229" s="54">
        <f>IF($B229=0,NA(),IF($F229="",NA(),IF(F$8="",NA(),IF(N(F$8)=0,NA(),IF(Inputs!$C$17="Rebased to 100",$F229/F$8*100,$F229)))))</f>
        <v/>
      </c>
      <c r="M229" s="54">
        <f>IF($B229=0,NA(),IF($G229="",NA(),IF(G$8="",NA(),IF(N(G$8)=0,NA(),IF(Inputs!$C$17="Rebased to 100",$G229/G$8*100,$G229)))))</f>
        <v/>
      </c>
      <c r="N229" s="54">
        <f>IF($B229=0,NA(),IF(Inputs!$C$18&lt;&gt;"Yes",NA(),IF(COUNT(I229,J229,K229,L229,M229)=0,NA(),MIN(I229,J229,K229,L229,M229))))</f>
        <v/>
      </c>
      <c r="O229" s="54">
        <f>IF($B229=0,NA(),IF(Inputs!$B$24&lt;&gt;"Yes",NA(),Inputs!$D$24*Inputs!$C$35))</f>
        <v/>
      </c>
      <c r="P229" s="54">
        <f>IF($B229=0,NA(),IF(Inputs!$B$25&lt;&gt;"Yes",NA(),Inputs!$D$25*Inputs!$C$35))</f>
        <v/>
      </c>
      <c r="Q229" s="54">
        <f>IF($B229=0,NA(),IF(Inputs!$B$26&lt;&gt;"Yes",NA(),Inputs!$D$26*Inputs!$C$35))</f>
        <v/>
      </c>
      <c r="R229" s="54">
        <f>IF($B229=0,NA(),IF(Inputs!$B$27&lt;&gt;"Yes",NA(),Inputs!$D$27*Inputs!$C$35))</f>
        <v/>
      </c>
      <c r="S229" s="54">
        <f>IF($B229=0,NA(),IF(Inputs!$B$28&lt;&gt;"Yes",NA(),Inputs!$D$28*Inputs!$C$35))</f>
        <v/>
      </c>
      <c r="T229" s="54">
        <f>IF($B229=0,NA(),IF(Inputs!$B$29&lt;&gt;"Yes",NA(),Inputs!$D$29*Inputs!$C$35))</f>
        <v/>
      </c>
      <c r="AD229">
        <f>IF($B229=0,0,IF(Inputs!$B$6="",0,COUNTIFS(Data!$A$10:$A$3209,"&gt;="&amp;$A229,Data!$A$10:$A$3209,"&lt;"&amp;$A229+1)))</f>
        <v/>
      </c>
      <c r="AE229">
        <f>IF($B229=0,0,IF(Inputs!$B$7="",0,COUNTIFS(Data!$E$10:$E$3209,"&gt;="&amp;$A229,Data!$E$10:$E$3209,"&lt;"&amp;$A229+1)))</f>
        <v/>
      </c>
      <c r="AF229">
        <f>IF($B229=0,0,IF(Inputs!$B$8="",0,COUNTIFS(Data!$I$10:$I$3209,"&gt;="&amp;$A229,Data!$I$10:$I$3209,"&lt;"&amp;$A229+1)))</f>
        <v/>
      </c>
      <c r="AG229">
        <f>IF($B229=0,0,IF(Inputs!$B$9="",0,COUNTIFS(Data!$M$10:$M$3209,"&gt;="&amp;$A229,Data!$M$10:$M$3209,"&lt;"&amp;$A229+1)))</f>
        <v/>
      </c>
      <c r="AH229">
        <f>IF($B229=0,0,IF(Inputs!$B$10="",0,COUNTIFS(Data!$Q$10:$Q$3209,"&gt;="&amp;$A229,Data!$Q$10:$Q$3209,"&lt;"&amp;$A229+1)))</f>
        <v/>
      </c>
    </row>
    <row r="230">
      <c r="A230" s="55">
        <f>MIN(Inputs!$C$15,$A229+IF(WEEKDAY($A229,2)=5,3,1))</f>
        <v/>
      </c>
      <c r="B230">
        <f>IF($A230&gt;$A229,1,0)</f>
        <v/>
      </c>
      <c r="C230" s="56">
        <f>IF($B230=0,"",IF(Inputs!$B$6="","",IF($AD230=0,C229,SUMIFS(Data!$B$10:$B$3209,Data!$A$10:$A$3209,"&gt;="&amp;$A230,Data!$A$10:$A$3209,"&lt;"&amp;$A230+1)/$AD230)))</f>
        <v/>
      </c>
      <c r="D230" s="56">
        <f>IF($B230=0,"",IF(Inputs!$B$7="","",IF($AE230=0,D229,SUMIFS(Data!$F$10:$F$3209,Data!$E$10:$E$3209,"&gt;="&amp;$A230,Data!$E$10:$E$3209,"&lt;"&amp;$A230+1)/$AE230)))</f>
        <v/>
      </c>
      <c r="E230" s="56">
        <f>IF($B230=0,"",IF(Inputs!$B$8="","",IF($AF230=0,E229,SUMIFS(Data!$J$10:$J$3209,Data!$I$10:$I$3209,"&gt;="&amp;$A230,Data!$I$10:$I$3209,"&lt;"&amp;$A230+1)/$AF230)))</f>
        <v/>
      </c>
      <c r="F230" s="56">
        <f>IF($B230=0,"",IF(Inputs!$B$9="","",IF($AG230=0,F229,SUMIFS(Data!$N$10:$N$3209,Data!$M$10:$M$3209,"&gt;="&amp;$A230,Data!$M$10:$M$3209,"&lt;"&amp;$A230+1)/$AG230)))</f>
        <v/>
      </c>
      <c r="G230" s="56">
        <f>IF($B230=0,"",IF(Inputs!$B$10="","",IF($AH230=0,G229,SUMIFS(Data!$R$10:$R$3209,Data!$Q$10:$Q$3209,"&gt;="&amp;$A230,Data!$Q$10:$Q$3209,"&lt;"&amp;$A230+1)/$AH230)))</f>
        <v/>
      </c>
      <c r="I230" s="54">
        <f>IF($B230=0,NA(),IF($C230="",NA(),IF(C$8="",NA(),IF(N(C$8)=0,NA(),IF(Inputs!$C$17="Rebased to 100",$C230/C$8*100,$C230)))))</f>
        <v/>
      </c>
      <c r="J230" s="54">
        <f>IF($B230=0,NA(),IF($D230="",NA(),IF(D$8="",NA(),IF(N(D$8)=0,NA(),IF(Inputs!$C$17="Rebased to 100",$D230/D$8*100,$D230)))))</f>
        <v/>
      </c>
      <c r="K230" s="54">
        <f>IF($B230=0,NA(),IF($E230="",NA(),IF(E$8="",NA(),IF(N(E$8)=0,NA(),IF(Inputs!$C$17="Rebased to 100",$E230/E$8*100,$E230)))))</f>
        <v/>
      </c>
      <c r="L230" s="54">
        <f>IF($B230=0,NA(),IF($F230="",NA(),IF(F$8="",NA(),IF(N(F$8)=0,NA(),IF(Inputs!$C$17="Rebased to 100",$F230/F$8*100,$F230)))))</f>
        <v/>
      </c>
      <c r="M230" s="54">
        <f>IF($B230=0,NA(),IF($G230="",NA(),IF(G$8="",NA(),IF(N(G$8)=0,NA(),IF(Inputs!$C$17="Rebased to 100",$G230/G$8*100,$G230)))))</f>
        <v/>
      </c>
      <c r="N230" s="54">
        <f>IF($B230=0,NA(),IF(Inputs!$C$18&lt;&gt;"Yes",NA(),IF(COUNT(I230,J230,K230,L230,M230)=0,NA(),MIN(I230,J230,K230,L230,M230))))</f>
        <v/>
      </c>
      <c r="O230" s="54">
        <f>IF($B230=0,NA(),IF(Inputs!$B$24&lt;&gt;"Yes",NA(),Inputs!$D$24*Inputs!$C$35))</f>
        <v/>
      </c>
      <c r="P230" s="54">
        <f>IF($B230=0,NA(),IF(Inputs!$B$25&lt;&gt;"Yes",NA(),Inputs!$D$25*Inputs!$C$35))</f>
        <v/>
      </c>
      <c r="Q230" s="54">
        <f>IF($B230=0,NA(),IF(Inputs!$B$26&lt;&gt;"Yes",NA(),Inputs!$D$26*Inputs!$C$35))</f>
        <v/>
      </c>
      <c r="R230" s="54">
        <f>IF($B230=0,NA(),IF(Inputs!$B$27&lt;&gt;"Yes",NA(),Inputs!$D$27*Inputs!$C$35))</f>
        <v/>
      </c>
      <c r="S230" s="54">
        <f>IF($B230=0,NA(),IF(Inputs!$B$28&lt;&gt;"Yes",NA(),Inputs!$D$28*Inputs!$C$35))</f>
        <v/>
      </c>
      <c r="T230" s="54">
        <f>IF($B230=0,NA(),IF(Inputs!$B$29&lt;&gt;"Yes",NA(),Inputs!$D$29*Inputs!$C$35))</f>
        <v/>
      </c>
      <c r="AD230">
        <f>IF($B230=0,0,IF(Inputs!$B$6="",0,COUNTIFS(Data!$A$10:$A$3209,"&gt;="&amp;$A230,Data!$A$10:$A$3209,"&lt;"&amp;$A230+1)))</f>
        <v/>
      </c>
      <c r="AE230">
        <f>IF($B230=0,0,IF(Inputs!$B$7="",0,COUNTIFS(Data!$E$10:$E$3209,"&gt;="&amp;$A230,Data!$E$10:$E$3209,"&lt;"&amp;$A230+1)))</f>
        <v/>
      </c>
      <c r="AF230">
        <f>IF($B230=0,0,IF(Inputs!$B$8="",0,COUNTIFS(Data!$I$10:$I$3209,"&gt;="&amp;$A230,Data!$I$10:$I$3209,"&lt;"&amp;$A230+1)))</f>
        <v/>
      </c>
      <c r="AG230">
        <f>IF($B230=0,0,IF(Inputs!$B$9="",0,COUNTIFS(Data!$M$10:$M$3209,"&gt;="&amp;$A230,Data!$M$10:$M$3209,"&lt;"&amp;$A230+1)))</f>
        <v/>
      </c>
      <c r="AH230">
        <f>IF($B230=0,0,IF(Inputs!$B$10="",0,COUNTIFS(Data!$Q$10:$Q$3209,"&gt;="&amp;$A230,Data!$Q$10:$Q$3209,"&lt;"&amp;$A230+1)))</f>
        <v/>
      </c>
    </row>
    <row r="231">
      <c r="A231" s="55">
        <f>MIN(Inputs!$C$15,$A230+IF(WEEKDAY($A230,2)=5,3,1))</f>
        <v/>
      </c>
      <c r="B231">
        <f>IF($A231&gt;$A230,1,0)</f>
        <v/>
      </c>
      <c r="C231" s="56">
        <f>IF($B231=0,"",IF(Inputs!$B$6="","",IF($AD231=0,C230,SUMIFS(Data!$B$10:$B$3209,Data!$A$10:$A$3209,"&gt;="&amp;$A231,Data!$A$10:$A$3209,"&lt;"&amp;$A231+1)/$AD231)))</f>
        <v/>
      </c>
      <c r="D231" s="56">
        <f>IF($B231=0,"",IF(Inputs!$B$7="","",IF($AE231=0,D230,SUMIFS(Data!$F$10:$F$3209,Data!$E$10:$E$3209,"&gt;="&amp;$A231,Data!$E$10:$E$3209,"&lt;"&amp;$A231+1)/$AE231)))</f>
        <v/>
      </c>
      <c r="E231" s="56">
        <f>IF($B231=0,"",IF(Inputs!$B$8="","",IF($AF231=0,E230,SUMIFS(Data!$J$10:$J$3209,Data!$I$10:$I$3209,"&gt;="&amp;$A231,Data!$I$10:$I$3209,"&lt;"&amp;$A231+1)/$AF231)))</f>
        <v/>
      </c>
      <c r="F231" s="56">
        <f>IF($B231=0,"",IF(Inputs!$B$9="","",IF($AG231=0,F230,SUMIFS(Data!$N$10:$N$3209,Data!$M$10:$M$3209,"&gt;="&amp;$A231,Data!$M$10:$M$3209,"&lt;"&amp;$A231+1)/$AG231)))</f>
        <v/>
      </c>
      <c r="G231" s="56">
        <f>IF($B231=0,"",IF(Inputs!$B$10="","",IF($AH231=0,G230,SUMIFS(Data!$R$10:$R$3209,Data!$Q$10:$Q$3209,"&gt;="&amp;$A231,Data!$Q$10:$Q$3209,"&lt;"&amp;$A231+1)/$AH231)))</f>
        <v/>
      </c>
      <c r="I231" s="54">
        <f>IF($B231=0,NA(),IF($C231="",NA(),IF(C$8="",NA(),IF(N(C$8)=0,NA(),IF(Inputs!$C$17="Rebased to 100",$C231/C$8*100,$C231)))))</f>
        <v/>
      </c>
      <c r="J231" s="54">
        <f>IF($B231=0,NA(),IF($D231="",NA(),IF(D$8="",NA(),IF(N(D$8)=0,NA(),IF(Inputs!$C$17="Rebased to 100",$D231/D$8*100,$D231)))))</f>
        <v/>
      </c>
      <c r="K231" s="54">
        <f>IF($B231=0,NA(),IF($E231="",NA(),IF(E$8="",NA(),IF(N(E$8)=0,NA(),IF(Inputs!$C$17="Rebased to 100",$E231/E$8*100,$E231)))))</f>
        <v/>
      </c>
      <c r="L231" s="54">
        <f>IF($B231=0,NA(),IF($F231="",NA(),IF(F$8="",NA(),IF(N(F$8)=0,NA(),IF(Inputs!$C$17="Rebased to 100",$F231/F$8*100,$F231)))))</f>
        <v/>
      </c>
      <c r="M231" s="54">
        <f>IF($B231=0,NA(),IF($G231="",NA(),IF(G$8="",NA(),IF(N(G$8)=0,NA(),IF(Inputs!$C$17="Rebased to 100",$G231/G$8*100,$G231)))))</f>
        <v/>
      </c>
      <c r="N231" s="54">
        <f>IF($B231=0,NA(),IF(Inputs!$C$18&lt;&gt;"Yes",NA(),IF(COUNT(I231,J231,K231,L231,M231)=0,NA(),MIN(I231,J231,K231,L231,M231))))</f>
        <v/>
      </c>
      <c r="O231" s="54">
        <f>IF($B231=0,NA(),IF(Inputs!$B$24&lt;&gt;"Yes",NA(),Inputs!$D$24*Inputs!$C$35))</f>
        <v/>
      </c>
      <c r="P231" s="54">
        <f>IF($B231=0,NA(),IF(Inputs!$B$25&lt;&gt;"Yes",NA(),Inputs!$D$25*Inputs!$C$35))</f>
        <v/>
      </c>
      <c r="Q231" s="54">
        <f>IF($B231=0,NA(),IF(Inputs!$B$26&lt;&gt;"Yes",NA(),Inputs!$D$26*Inputs!$C$35))</f>
        <v/>
      </c>
      <c r="R231" s="54">
        <f>IF($B231=0,NA(),IF(Inputs!$B$27&lt;&gt;"Yes",NA(),Inputs!$D$27*Inputs!$C$35))</f>
        <v/>
      </c>
      <c r="S231" s="54">
        <f>IF($B231=0,NA(),IF(Inputs!$B$28&lt;&gt;"Yes",NA(),Inputs!$D$28*Inputs!$C$35))</f>
        <v/>
      </c>
      <c r="T231" s="54">
        <f>IF($B231=0,NA(),IF(Inputs!$B$29&lt;&gt;"Yes",NA(),Inputs!$D$29*Inputs!$C$35))</f>
        <v/>
      </c>
      <c r="AD231">
        <f>IF($B231=0,0,IF(Inputs!$B$6="",0,COUNTIFS(Data!$A$10:$A$3209,"&gt;="&amp;$A231,Data!$A$10:$A$3209,"&lt;"&amp;$A231+1)))</f>
        <v/>
      </c>
      <c r="AE231">
        <f>IF($B231=0,0,IF(Inputs!$B$7="",0,COUNTIFS(Data!$E$10:$E$3209,"&gt;="&amp;$A231,Data!$E$10:$E$3209,"&lt;"&amp;$A231+1)))</f>
        <v/>
      </c>
      <c r="AF231">
        <f>IF($B231=0,0,IF(Inputs!$B$8="",0,COUNTIFS(Data!$I$10:$I$3209,"&gt;="&amp;$A231,Data!$I$10:$I$3209,"&lt;"&amp;$A231+1)))</f>
        <v/>
      </c>
      <c r="AG231">
        <f>IF($B231=0,0,IF(Inputs!$B$9="",0,COUNTIFS(Data!$M$10:$M$3209,"&gt;="&amp;$A231,Data!$M$10:$M$3209,"&lt;"&amp;$A231+1)))</f>
        <v/>
      </c>
      <c r="AH231">
        <f>IF($B231=0,0,IF(Inputs!$B$10="",0,COUNTIFS(Data!$Q$10:$Q$3209,"&gt;="&amp;$A231,Data!$Q$10:$Q$3209,"&lt;"&amp;$A231+1)))</f>
        <v/>
      </c>
    </row>
    <row r="232">
      <c r="A232" s="55">
        <f>MIN(Inputs!$C$15,$A231+IF(WEEKDAY($A231,2)=5,3,1))</f>
        <v/>
      </c>
      <c r="B232">
        <f>IF($A232&gt;$A231,1,0)</f>
        <v/>
      </c>
      <c r="C232" s="56">
        <f>IF($B232=0,"",IF(Inputs!$B$6="","",IF($AD232=0,C231,SUMIFS(Data!$B$10:$B$3209,Data!$A$10:$A$3209,"&gt;="&amp;$A232,Data!$A$10:$A$3209,"&lt;"&amp;$A232+1)/$AD232)))</f>
        <v/>
      </c>
      <c r="D232" s="56">
        <f>IF($B232=0,"",IF(Inputs!$B$7="","",IF($AE232=0,D231,SUMIFS(Data!$F$10:$F$3209,Data!$E$10:$E$3209,"&gt;="&amp;$A232,Data!$E$10:$E$3209,"&lt;"&amp;$A232+1)/$AE232)))</f>
        <v/>
      </c>
      <c r="E232" s="56">
        <f>IF($B232=0,"",IF(Inputs!$B$8="","",IF($AF232=0,E231,SUMIFS(Data!$J$10:$J$3209,Data!$I$10:$I$3209,"&gt;="&amp;$A232,Data!$I$10:$I$3209,"&lt;"&amp;$A232+1)/$AF232)))</f>
        <v/>
      </c>
      <c r="F232" s="56">
        <f>IF($B232=0,"",IF(Inputs!$B$9="","",IF($AG232=0,F231,SUMIFS(Data!$N$10:$N$3209,Data!$M$10:$M$3209,"&gt;="&amp;$A232,Data!$M$10:$M$3209,"&lt;"&amp;$A232+1)/$AG232)))</f>
        <v/>
      </c>
      <c r="G232" s="56">
        <f>IF($B232=0,"",IF(Inputs!$B$10="","",IF($AH232=0,G231,SUMIFS(Data!$R$10:$R$3209,Data!$Q$10:$Q$3209,"&gt;="&amp;$A232,Data!$Q$10:$Q$3209,"&lt;"&amp;$A232+1)/$AH232)))</f>
        <v/>
      </c>
      <c r="I232" s="54">
        <f>IF($B232=0,NA(),IF($C232="",NA(),IF(C$8="",NA(),IF(N(C$8)=0,NA(),IF(Inputs!$C$17="Rebased to 100",$C232/C$8*100,$C232)))))</f>
        <v/>
      </c>
      <c r="J232" s="54">
        <f>IF($B232=0,NA(),IF($D232="",NA(),IF(D$8="",NA(),IF(N(D$8)=0,NA(),IF(Inputs!$C$17="Rebased to 100",$D232/D$8*100,$D232)))))</f>
        <v/>
      </c>
      <c r="K232" s="54">
        <f>IF($B232=0,NA(),IF($E232="",NA(),IF(E$8="",NA(),IF(N(E$8)=0,NA(),IF(Inputs!$C$17="Rebased to 100",$E232/E$8*100,$E232)))))</f>
        <v/>
      </c>
      <c r="L232" s="54">
        <f>IF($B232=0,NA(),IF($F232="",NA(),IF(F$8="",NA(),IF(N(F$8)=0,NA(),IF(Inputs!$C$17="Rebased to 100",$F232/F$8*100,$F232)))))</f>
        <v/>
      </c>
      <c r="M232" s="54">
        <f>IF($B232=0,NA(),IF($G232="",NA(),IF(G$8="",NA(),IF(N(G$8)=0,NA(),IF(Inputs!$C$17="Rebased to 100",$G232/G$8*100,$G232)))))</f>
        <v/>
      </c>
      <c r="N232" s="54">
        <f>IF($B232=0,NA(),IF(Inputs!$C$18&lt;&gt;"Yes",NA(),IF(COUNT(I232,J232,K232,L232,M232)=0,NA(),MIN(I232,J232,K232,L232,M232))))</f>
        <v/>
      </c>
      <c r="O232" s="54">
        <f>IF($B232=0,NA(),IF(Inputs!$B$24&lt;&gt;"Yes",NA(),Inputs!$D$24*Inputs!$C$35))</f>
        <v/>
      </c>
      <c r="P232" s="54">
        <f>IF($B232=0,NA(),IF(Inputs!$B$25&lt;&gt;"Yes",NA(),Inputs!$D$25*Inputs!$C$35))</f>
        <v/>
      </c>
      <c r="Q232" s="54">
        <f>IF($B232=0,NA(),IF(Inputs!$B$26&lt;&gt;"Yes",NA(),Inputs!$D$26*Inputs!$C$35))</f>
        <v/>
      </c>
      <c r="R232" s="54">
        <f>IF($B232=0,NA(),IF(Inputs!$B$27&lt;&gt;"Yes",NA(),Inputs!$D$27*Inputs!$C$35))</f>
        <v/>
      </c>
      <c r="S232" s="54">
        <f>IF($B232=0,NA(),IF(Inputs!$B$28&lt;&gt;"Yes",NA(),Inputs!$D$28*Inputs!$C$35))</f>
        <v/>
      </c>
      <c r="T232" s="54">
        <f>IF($B232=0,NA(),IF(Inputs!$B$29&lt;&gt;"Yes",NA(),Inputs!$D$29*Inputs!$C$35))</f>
        <v/>
      </c>
      <c r="AD232">
        <f>IF($B232=0,0,IF(Inputs!$B$6="",0,COUNTIFS(Data!$A$10:$A$3209,"&gt;="&amp;$A232,Data!$A$10:$A$3209,"&lt;"&amp;$A232+1)))</f>
        <v/>
      </c>
      <c r="AE232">
        <f>IF($B232=0,0,IF(Inputs!$B$7="",0,COUNTIFS(Data!$E$10:$E$3209,"&gt;="&amp;$A232,Data!$E$10:$E$3209,"&lt;"&amp;$A232+1)))</f>
        <v/>
      </c>
      <c r="AF232">
        <f>IF($B232=0,0,IF(Inputs!$B$8="",0,COUNTIFS(Data!$I$10:$I$3209,"&gt;="&amp;$A232,Data!$I$10:$I$3209,"&lt;"&amp;$A232+1)))</f>
        <v/>
      </c>
      <c r="AG232">
        <f>IF($B232=0,0,IF(Inputs!$B$9="",0,COUNTIFS(Data!$M$10:$M$3209,"&gt;="&amp;$A232,Data!$M$10:$M$3209,"&lt;"&amp;$A232+1)))</f>
        <v/>
      </c>
      <c r="AH232">
        <f>IF($B232=0,0,IF(Inputs!$B$10="",0,COUNTIFS(Data!$Q$10:$Q$3209,"&gt;="&amp;$A232,Data!$Q$10:$Q$3209,"&lt;"&amp;$A232+1)))</f>
        <v/>
      </c>
    </row>
    <row r="233">
      <c r="A233" s="55">
        <f>MIN(Inputs!$C$15,$A232+IF(WEEKDAY($A232,2)=5,3,1))</f>
        <v/>
      </c>
      <c r="B233">
        <f>IF($A233&gt;$A232,1,0)</f>
        <v/>
      </c>
      <c r="C233" s="56">
        <f>IF($B233=0,"",IF(Inputs!$B$6="","",IF($AD233=0,C232,SUMIFS(Data!$B$10:$B$3209,Data!$A$10:$A$3209,"&gt;="&amp;$A233,Data!$A$10:$A$3209,"&lt;"&amp;$A233+1)/$AD233)))</f>
        <v/>
      </c>
      <c r="D233" s="56">
        <f>IF($B233=0,"",IF(Inputs!$B$7="","",IF($AE233=0,D232,SUMIFS(Data!$F$10:$F$3209,Data!$E$10:$E$3209,"&gt;="&amp;$A233,Data!$E$10:$E$3209,"&lt;"&amp;$A233+1)/$AE233)))</f>
        <v/>
      </c>
      <c r="E233" s="56">
        <f>IF($B233=0,"",IF(Inputs!$B$8="","",IF($AF233=0,E232,SUMIFS(Data!$J$10:$J$3209,Data!$I$10:$I$3209,"&gt;="&amp;$A233,Data!$I$10:$I$3209,"&lt;"&amp;$A233+1)/$AF233)))</f>
        <v/>
      </c>
      <c r="F233" s="56">
        <f>IF($B233=0,"",IF(Inputs!$B$9="","",IF($AG233=0,F232,SUMIFS(Data!$N$10:$N$3209,Data!$M$10:$M$3209,"&gt;="&amp;$A233,Data!$M$10:$M$3209,"&lt;"&amp;$A233+1)/$AG233)))</f>
        <v/>
      </c>
      <c r="G233" s="56">
        <f>IF($B233=0,"",IF(Inputs!$B$10="","",IF($AH233=0,G232,SUMIFS(Data!$R$10:$R$3209,Data!$Q$10:$Q$3209,"&gt;="&amp;$A233,Data!$Q$10:$Q$3209,"&lt;"&amp;$A233+1)/$AH233)))</f>
        <v/>
      </c>
      <c r="I233" s="54">
        <f>IF($B233=0,NA(),IF($C233="",NA(),IF(C$8="",NA(),IF(N(C$8)=0,NA(),IF(Inputs!$C$17="Rebased to 100",$C233/C$8*100,$C233)))))</f>
        <v/>
      </c>
      <c r="J233" s="54">
        <f>IF($B233=0,NA(),IF($D233="",NA(),IF(D$8="",NA(),IF(N(D$8)=0,NA(),IF(Inputs!$C$17="Rebased to 100",$D233/D$8*100,$D233)))))</f>
        <v/>
      </c>
      <c r="K233" s="54">
        <f>IF($B233=0,NA(),IF($E233="",NA(),IF(E$8="",NA(),IF(N(E$8)=0,NA(),IF(Inputs!$C$17="Rebased to 100",$E233/E$8*100,$E233)))))</f>
        <v/>
      </c>
      <c r="L233" s="54">
        <f>IF($B233=0,NA(),IF($F233="",NA(),IF(F$8="",NA(),IF(N(F$8)=0,NA(),IF(Inputs!$C$17="Rebased to 100",$F233/F$8*100,$F233)))))</f>
        <v/>
      </c>
      <c r="M233" s="54">
        <f>IF($B233=0,NA(),IF($G233="",NA(),IF(G$8="",NA(),IF(N(G$8)=0,NA(),IF(Inputs!$C$17="Rebased to 100",$G233/G$8*100,$G233)))))</f>
        <v/>
      </c>
      <c r="N233" s="54">
        <f>IF($B233=0,NA(),IF(Inputs!$C$18&lt;&gt;"Yes",NA(),IF(COUNT(I233,J233,K233,L233,M233)=0,NA(),MIN(I233,J233,K233,L233,M233))))</f>
        <v/>
      </c>
      <c r="O233" s="54">
        <f>IF($B233=0,NA(),IF(Inputs!$B$24&lt;&gt;"Yes",NA(),Inputs!$D$24*Inputs!$C$35))</f>
        <v/>
      </c>
      <c r="P233" s="54">
        <f>IF($B233=0,NA(),IF(Inputs!$B$25&lt;&gt;"Yes",NA(),Inputs!$D$25*Inputs!$C$35))</f>
        <v/>
      </c>
      <c r="Q233" s="54">
        <f>IF($B233=0,NA(),IF(Inputs!$B$26&lt;&gt;"Yes",NA(),Inputs!$D$26*Inputs!$C$35))</f>
        <v/>
      </c>
      <c r="R233" s="54">
        <f>IF($B233=0,NA(),IF(Inputs!$B$27&lt;&gt;"Yes",NA(),Inputs!$D$27*Inputs!$C$35))</f>
        <v/>
      </c>
      <c r="S233" s="54">
        <f>IF($B233=0,NA(),IF(Inputs!$B$28&lt;&gt;"Yes",NA(),Inputs!$D$28*Inputs!$C$35))</f>
        <v/>
      </c>
      <c r="T233" s="54">
        <f>IF($B233=0,NA(),IF(Inputs!$B$29&lt;&gt;"Yes",NA(),Inputs!$D$29*Inputs!$C$35))</f>
        <v/>
      </c>
      <c r="AD233">
        <f>IF($B233=0,0,IF(Inputs!$B$6="",0,COUNTIFS(Data!$A$10:$A$3209,"&gt;="&amp;$A233,Data!$A$10:$A$3209,"&lt;"&amp;$A233+1)))</f>
        <v/>
      </c>
      <c r="AE233">
        <f>IF($B233=0,0,IF(Inputs!$B$7="",0,COUNTIFS(Data!$E$10:$E$3209,"&gt;="&amp;$A233,Data!$E$10:$E$3209,"&lt;"&amp;$A233+1)))</f>
        <v/>
      </c>
      <c r="AF233">
        <f>IF($B233=0,0,IF(Inputs!$B$8="",0,COUNTIFS(Data!$I$10:$I$3209,"&gt;="&amp;$A233,Data!$I$10:$I$3209,"&lt;"&amp;$A233+1)))</f>
        <v/>
      </c>
      <c r="AG233">
        <f>IF($B233=0,0,IF(Inputs!$B$9="",0,COUNTIFS(Data!$M$10:$M$3209,"&gt;="&amp;$A233,Data!$M$10:$M$3209,"&lt;"&amp;$A233+1)))</f>
        <v/>
      </c>
      <c r="AH233">
        <f>IF($B233=0,0,IF(Inputs!$B$10="",0,COUNTIFS(Data!$Q$10:$Q$3209,"&gt;="&amp;$A233,Data!$Q$10:$Q$3209,"&lt;"&amp;$A233+1)))</f>
        <v/>
      </c>
    </row>
    <row r="234">
      <c r="A234" s="55">
        <f>MIN(Inputs!$C$15,$A233+IF(WEEKDAY($A233,2)=5,3,1))</f>
        <v/>
      </c>
      <c r="B234">
        <f>IF($A234&gt;$A233,1,0)</f>
        <v/>
      </c>
      <c r="C234" s="56">
        <f>IF($B234=0,"",IF(Inputs!$B$6="","",IF($AD234=0,C233,SUMIFS(Data!$B$10:$B$3209,Data!$A$10:$A$3209,"&gt;="&amp;$A234,Data!$A$10:$A$3209,"&lt;"&amp;$A234+1)/$AD234)))</f>
        <v/>
      </c>
      <c r="D234" s="56">
        <f>IF($B234=0,"",IF(Inputs!$B$7="","",IF($AE234=0,D233,SUMIFS(Data!$F$10:$F$3209,Data!$E$10:$E$3209,"&gt;="&amp;$A234,Data!$E$10:$E$3209,"&lt;"&amp;$A234+1)/$AE234)))</f>
        <v/>
      </c>
      <c r="E234" s="56">
        <f>IF($B234=0,"",IF(Inputs!$B$8="","",IF($AF234=0,E233,SUMIFS(Data!$J$10:$J$3209,Data!$I$10:$I$3209,"&gt;="&amp;$A234,Data!$I$10:$I$3209,"&lt;"&amp;$A234+1)/$AF234)))</f>
        <v/>
      </c>
      <c r="F234" s="56">
        <f>IF($B234=0,"",IF(Inputs!$B$9="","",IF($AG234=0,F233,SUMIFS(Data!$N$10:$N$3209,Data!$M$10:$M$3209,"&gt;="&amp;$A234,Data!$M$10:$M$3209,"&lt;"&amp;$A234+1)/$AG234)))</f>
        <v/>
      </c>
      <c r="G234" s="56">
        <f>IF($B234=0,"",IF(Inputs!$B$10="","",IF($AH234=0,G233,SUMIFS(Data!$R$10:$R$3209,Data!$Q$10:$Q$3209,"&gt;="&amp;$A234,Data!$Q$10:$Q$3209,"&lt;"&amp;$A234+1)/$AH234)))</f>
        <v/>
      </c>
      <c r="I234" s="54">
        <f>IF($B234=0,NA(),IF($C234="",NA(),IF(C$8="",NA(),IF(N(C$8)=0,NA(),IF(Inputs!$C$17="Rebased to 100",$C234/C$8*100,$C234)))))</f>
        <v/>
      </c>
      <c r="J234" s="54">
        <f>IF($B234=0,NA(),IF($D234="",NA(),IF(D$8="",NA(),IF(N(D$8)=0,NA(),IF(Inputs!$C$17="Rebased to 100",$D234/D$8*100,$D234)))))</f>
        <v/>
      </c>
      <c r="K234" s="54">
        <f>IF($B234=0,NA(),IF($E234="",NA(),IF(E$8="",NA(),IF(N(E$8)=0,NA(),IF(Inputs!$C$17="Rebased to 100",$E234/E$8*100,$E234)))))</f>
        <v/>
      </c>
      <c r="L234" s="54">
        <f>IF($B234=0,NA(),IF($F234="",NA(),IF(F$8="",NA(),IF(N(F$8)=0,NA(),IF(Inputs!$C$17="Rebased to 100",$F234/F$8*100,$F234)))))</f>
        <v/>
      </c>
      <c r="M234" s="54">
        <f>IF($B234=0,NA(),IF($G234="",NA(),IF(G$8="",NA(),IF(N(G$8)=0,NA(),IF(Inputs!$C$17="Rebased to 100",$G234/G$8*100,$G234)))))</f>
        <v/>
      </c>
      <c r="N234" s="54">
        <f>IF($B234=0,NA(),IF(Inputs!$C$18&lt;&gt;"Yes",NA(),IF(COUNT(I234,J234,K234,L234,M234)=0,NA(),MIN(I234,J234,K234,L234,M234))))</f>
        <v/>
      </c>
      <c r="O234" s="54">
        <f>IF($B234=0,NA(),IF(Inputs!$B$24&lt;&gt;"Yes",NA(),Inputs!$D$24*Inputs!$C$35))</f>
        <v/>
      </c>
      <c r="P234" s="54">
        <f>IF($B234=0,NA(),IF(Inputs!$B$25&lt;&gt;"Yes",NA(),Inputs!$D$25*Inputs!$C$35))</f>
        <v/>
      </c>
      <c r="Q234" s="54">
        <f>IF($B234=0,NA(),IF(Inputs!$B$26&lt;&gt;"Yes",NA(),Inputs!$D$26*Inputs!$C$35))</f>
        <v/>
      </c>
      <c r="R234" s="54">
        <f>IF($B234=0,NA(),IF(Inputs!$B$27&lt;&gt;"Yes",NA(),Inputs!$D$27*Inputs!$C$35))</f>
        <v/>
      </c>
      <c r="S234" s="54">
        <f>IF($B234=0,NA(),IF(Inputs!$B$28&lt;&gt;"Yes",NA(),Inputs!$D$28*Inputs!$C$35))</f>
        <v/>
      </c>
      <c r="T234" s="54">
        <f>IF($B234=0,NA(),IF(Inputs!$B$29&lt;&gt;"Yes",NA(),Inputs!$D$29*Inputs!$C$35))</f>
        <v/>
      </c>
      <c r="AD234">
        <f>IF($B234=0,0,IF(Inputs!$B$6="",0,COUNTIFS(Data!$A$10:$A$3209,"&gt;="&amp;$A234,Data!$A$10:$A$3209,"&lt;"&amp;$A234+1)))</f>
        <v/>
      </c>
      <c r="AE234">
        <f>IF($B234=0,0,IF(Inputs!$B$7="",0,COUNTIFS(Data!$E$10:$E$3209,"&gt;="&amp;$A234,Data!$E$10:$E$3209,"&lt;"&amp;$A234+1)))</f>
        <v/>
      </c>
      <c r="AF234">
        <f>IF($B234=0,0,IF(Inputs!$B$8="",0,COUNTIFS(Data!$I$10:$I$3209,"&gt;="&amp;$A234,Data!$I$10:$I$3209,"&lt;"&amp;$A234+1)))</f>
        <v/>
      </c>
      <c r="AG234">
        <f>IF($B234=0,0,IF(Inputs!$B$9="",0,COUNTIFS(Data!$M$10:$M$3209,"&gt;="&amp;$A234,Data!$M$10:$M$3209,"&lt;"&amp;$A234+1)))</f>
        <v/>
      </c>
      <c r="AH234">
        <f>IF($B234=0,0,IF(Inputs!$B$10="",0,COUNTIFS(Data!$Q$10:$Q$3209,"&gt;="&amp;$A234,Data!$Q$10:$Q$3209,"&lt;"&amp;$A234+1)))</f>
        <v/>
      </c>
    </row>
    <row r="235">
      <c r="A235" s="55">
        <f>MIN(Inputs!$C$15,$A234+IF(WEEKDAY($A234,2)=5,3,1))</f>
        <v/>
      </c>
      <c r="B235">
        <f>IF($A235&gt;$A234,1,0)</f>
        <v/>
      </c>
      <c r="C235" s="56">
        <f>IF($B235=0,"",IF(Inputs!$B$6="","",IF($AD235=0,C234,SUMIFS(Data!$B$10:$B$3209,Data!$A$10:$A$3209,"&gt;="&amp;$A235,Data!$A$10:$A$3209,"&lt;"&amp;$A235+1)/$AD235)))</f>
        <v/>
      </c>
      <c r="D235" s="56">
        <f>IF($B235=0,"",IF(Inputs!$B$7="","",IF($AE235=0,D234,SUMIFS(Data!$F$10:$F$3209,Data!$E$10:$E$3209,"&gt;="&amp;$A235,Data!$E$10:$E$3209,"&lt;"&amp;$A235+1)/$AE235)))</f>
        <v/>
      </c>
      <c r="E235" s="56">
        <f>IF($B235=0,"",IF(Inputs!$B$8="","",IF($AF235=0,E234,SUMIFS(Data!$J$10:$J$3209,Data!$I$10:$I$3209,"&gt;="&amp;$A235,Data!$I$10:$I$3209,"&lt;"&amp;$A235+1)/$AF235)))</f>
        <v/>
      </c>
      <c r="F235" s="56">
        <f>IF($B235=0,"",IF(Inputs!$B$9="","",IF($AG235=0,F234,SUMIFS(Data!$N$10:$N$3209,Data!$M$10:$M$3209,"&gt;="&amp;$A235,Data!$M$10:$M$3209,"&lt;"&amp;$A235+1)/$AG235)))</f>
        <v/>
      </c>
      <c r="G235" s="56">
        <f>IF($B235=0,"",IF(Inputs!$B$10="","",IF($AH235=0,G234,SUMIFS(Data!$R$10:$R$3209,Data!$Q$10:$Q$3209,"&gt;="&amp;$A235,Data!$Q$10:$Q$3209,"&lt;"&amp;$A235+1)/$AH235)))</f>
        <v/>
      </c>
      <c r="I235" s="54">
        <f>IF($B235=0,NA(),IF($C235="",NA(),IF(C$8="",NA(),IF(N(C$8)=0,NA(),IF(Inputs!$C$17="Rebased to 100",$C235/C$8*100,$C235)))))</f>
        <v/>
      </c>
      <c r="J235" s="54">
        <f>IF($B235=0,NA(),IF($D235="",NA(),IF(D$8="",NA(),IF(N(D$8)=0,NA(),IF(Inputs!$C$17="Rebased to 100",$D235/D$8*100,$D235)))))</f>
        <v/>
      </c>
      <c r="K235" s="54">
        <f>IF($B235=0,NA(),IF($E235="",NA(),IF(E$8="",NA(),IF(N(E$8)=0,NA(),IF(Inputs!$C$17="Rebased to 100",$E235/E$8*100,$E235)))))</f>
        <v/>
      </c>
      <c r="L235" s="54">
        <f>IF($B235=0,NA(),IF($F235="",NA(),IF(F$8="",NA(),IF(N(F$8)=0,NA(),IF(Inputs!$C$17="Rebased to 100",$F235/F$8*100,$F235)))))</f>
        <v/>
      </c>
      <c r="M235" s="54">
        <f>IF($B235=0,NA(),IF($G235="",NA(),IF(G$8="",NA(),IF(N(G$8)=0,NA(),IF(Inputs!$C$17="Rebased to 100",$G235/G$8*100,$G235)))))</f>
        <v/>
      </c>
      <c r="N235" s="54">
        <f>IF($B235=0,NA(),IF(Inputs!$C$18&lt;&gt;"Yes",NA(),IF(COUNT(I235,J235,K235,L235,M235)=0,NA(),MIN(I235,J235,K235,L235,M235))))</f>
        <v/>
      </c>
      <c r="O235" s="54">
        <f>IF($B235=0,NA(),IF(Inputs!$B$24&lt;&gt;"Yes",NA(),Inputs!$D$24*Inputs!$C$35))</f>
        <v/>
      </c>
      <c r="P235" s="54">
        <f>IF($B235=0,NA(),IF(Inputs!$B$25&lt;&gt;"Yes",NA(),Inputs!$D$25*Inputs!$C$35))</f>
        <v/>
      </c>
      <c r="Q235" s="54">
        <f>IF($B235=0,NA(),IF(Inputs!$B$26&lt;&gt;"Yes",NA(),Inputs!$D$26*Inputs!$C$35))</f>
        <v/>
      </c>
      <c r="R235" s="54">
        <f>IF($B235=0,NA(),IF(Inputs!$B$27&lt;&gt;"Yes",NA(),Inputs!$D$27*Inputs!$C$35))</f>
        <v/>
      </c>
      <c r="S235" s="54">
        <f>IF($B235=0,NA(),IF(Inputs!$B$28&lt;&gt;"Yes",NA(),Inputs!$D$28*Inputs!$C$35))</f>
        <v/>
      </c>
      <c r="T235" s="54">
        <f>IF($B235=0,NA(),IF(Inputs!$B$29&lt;&gt;"Yes",NA(),Inputs!$D$29*Inputs!$C$35))</f>
        <v/>
      </c>
      <c r="AD235">
        <f>IF($B235=0,0,IF(Inputs!$B$6="",0,COUNTIFS(Data!$A$10:$A$3209,"&gt;="&amp;$A235,Data!$A$10:$A$3209,"&lt;"&amp;$A235+1)))</f>
        <v/>
      </c>
      <c r="AE235">
        <f>IF($B235=0,0,IF(Inputs!$B$7="",0,COUNTIFS(Data!$E$10:$E$3209,"&gt;="&amp;$A235,Data!$E$10:$E$3209,"&lt;"&amp;$A235+1)))</f>
        <v/>
      </c>
      <c r="AF235">
        <f>IF($B235=0,0,IF(Inputs!$B$8="",0,COUNTIFS(Data!$I$10:$I$3209,"&gt;="&amp;$A235,Data!$I$10:$I$3209,"&lt;"&amp;$A235+1)))</f>
        <v/>
      </c>
      <c r="AG235">
        <f>IF($B235=0,0,IF(Inputs!$B$9="",0,COUNTIFS(Data!$M$10:$M$3209,"&gt;="&amp;$A235,Data!$M$10:$M$3209,"&lt;"&amp;$A235+1)))</f>
        <v/>
      </c>
      <c r="AH235">
        <f>IF($B235=0,0,IF(Inputs!$B$10="",0,COUNTIFS(Data!$Q$10:$Q$3209,"&gt;="&amp;$A235,Data!$Q$10:$Q$3209,"&lt;"&amp;$A235+1)))</f>
        <v/>
      </c>
    </row>
    <row r="236">
      <c r="A236" s="55">
        <f>MIN(Inputs!$C$15,$A235+IF(WEEKDAY($A235,2)=5,3,1))</f>
        <v/>
      </c>
      <c r="B236">
        <f>IF($A236&gt;$A235,1,0)</f>
        <v/>
      </c>
      <c r="C236" s="56">
        <f>IF($B236=0,"",IF(Inputs!$B$6="","",IF($AD236=0,C235,SUMIFS(Data!$B$10:$B$3209,Data!$A$10:$A$3209,"&gt;="&amp;$A236,Data!$A$10:$A$3209,"&lt;"&amp;$A236+1)/$AD236)))</f>
        <v/>
      </c>
      <c r="D236" s="56">
        <f>IF($B236=0,"",IF(Inputs!$B$7="","",IF($AE236=0,D235,SUMIFS(Data!$F$10:$F$3209,Data!$E$10:$E$3209,"&gt;="&amp;$A236,Data!$E$10:$E$3209,"&lt;"&amp;$A236+1)/$AE236)))</f>
        <v/>
      </c>
      <c r="E236" s="56">
        <f>IF($B236=0,"",IF(Inputs!$B$8="","",IF($AF236=0,E235,SUMIFS(Data!$J$10:$J$3209,Data!$I$10:$I$3209,"&gt;="&amp;$A236,Data!$I$10:$I$3209,"&lt;"&amp;$A236+1)/$AF236)))</f>
        <v/>
      </c>
      <c r="F236" s="56">
        <f>IF($B236=0,"",IF(Inputs!$B$9="","",IF($AG236=0,F235,SUMIFS(Data!$N$10:$N$3209,Data!$M$10:$M$3209,"&gt;="&amp;$A236,Data!$M$10:$M$3209,"&lt;"&amp;$A236+1)/$AG236)))</f>
        <v/>
      </c>
      <c r="G236" s="56">
        <f>IF($B236=0,"",IF(Inputs!$B$10="","",IF($AH236=0,G235,SUMIFS(Data!$R$10:$R$3209,Data!$Q$10:$Q$3209,"&gt;="&amp;$A236,Data!$Q$10:$Q$3209,"&lt;"&amp;$A236+1)/$AH236)))</f>
        <v/>
      </c>
      <c r="I236" s="54">
        <f>IF($B236=0,NA(),IF($C236="",NA(),IF(C$8="",NA(),IF(N(C$8)=0,NA(),IF(Inputs!$C$17="Rebased to 100",$C236/C$8*100,$C236)))))</f>
        <v/>
      </c>
      <c r="J236" s="54">
        <f>IF($B236=0,NA(),IF($D236="",NA(),IF(D$8="",NA(),IF(N(D$8)=0,NA(),IF(Inputs!$C$17="Rebased to 100",$D236/D$8*100,$D236)))))</f>
        <v/>
      </c>
      <c r="K236" s="54">
        <f>IF($B236=0,NA(),IF($E236="",NA(),IF(E$8="",NA(),IF(N(E$8)=0,NA(),IF(Inputs!$C$17="Rebased to 100",$E236/E$8*100,$E236)))))</f>
        <v/>
      </c>
      <c r="L236" s="54">
        <f>IF($B236=0,NA(),IF($F236="",NA(),IF(F$8="",NA(),IF(N(F$8)=0,NA(),IF(Inputs!$C$17="Rebased to 100",$F236/F$8*100,$F236)))))</f>
        <v/>
      </c>
      <c r="M236" s="54">
        <f>IF($B236=0,NA(),IF($G236="",NA(),IF(G$8="",NA(),IF(N(G$8)=0,NA(),IF(Inputs!$C$17="Rebased to 100",$G236/G$8*100,$G236)))))</f>
        <v/>
      </c>
      <c r="N236" s="54">
        <f>IF($B236=0,NA(),IF(Inputs!$C$18&lt;&gt;"Yes",NA(),IF(COUNT(I236,J236,K236,L236,M236)=0,NA(),MIN(I236,J236,K236,L236,M236))))</f>
        <v/>
      </c>
      <c r="O236" s="54">
        <f>IF($B236=0,NA(),IF(Inputs!$B$24&lt;&gt;"Yes",NA(),Inputs!$D$24*Inputs!$C$35))</f>
        <v/>
      </c>
      <c r="P236" s="54">
        <f>IF($B236=0,NA(),IF(Inputs!$B$25&lt;&gt;"Yes",NA(),Inputs!$D$25*Inputs!$C$35))</f>
        <v/>
      </c>
      <c r="Q236" s="54">
        <f>IF($B236=0,NA(),IF(Inputs!$B$26&lt;&gt;"Yes",NA(),Inputs!$D$26*Inputs!$C$35))</f>
        <v/>
      </c>
      <c r="R236" s="54">
        <f>IF($B236=0,NA(),IF(Inputs!$B$27&lt;&gt;"Yes",NA(),Inputs!$D$27*Inputs!$C$35))</f>
        <v/>
      </c>
      <c r="S236" s="54">
        <f>IF($B236=0,NA(),IF(Inputs!$B$28&lt;&gt;"Yes",NA(),Inputs!$D$28*Inputs!$C$35))</f>
        <v/>
      </c>
      <c r="T236" s="54">
        <f>IF($B236=0,NA(),IF(Inputs!$B$29&lt;&gt;"Yes",NA(),Inputs!$D$29*Inputs!$C$35))</f>
        <v/>
      </c>
      <c r="AD236">
        <f>IF($B236=0,0,IF(Inputs!$B$6="",0,COUNTIFS(Data!$A$10:$A$3209,"&gt;="&amp;$A236,Data!$A$10:$A$3209,"&lt;"&amp;$A236+1)))</f>
        <v/>
      </c>
      <c r="AE236">
        <f>IF($B236=0,0,IF(Inputs!$B$7="",0,COUNTIFS(Data!$E$10:$E$3209,"&gt;="&amp;$A236,Data!$E$10:$E$3209,"&lt;"&amp;$A236+1)))</f>
        <v/>
      </c>
      <c r="AF236">
        <f>IF($B236=0,0,IF(Inputs!$B$8="",0,COUNTIFS(Data!$I$10:$I$3209,"&gt;="&amp;$A236,Data!$I$10:$I$3209,"&lt;"&amp;$A236+1)))</f>
        <v/>
      </c>
      <c r="AG236">
        <f>IF($B236=0,0,IF(Inputs!$B$9="",0,COUNTIFS(Data!$M$10:$M$3209,"&gt;="&amp;$A236,Data!$M$10:$M$3209,"&lt;"&amp;$A236+1)))</f>
        <v/>
      </c>
      <c r="AH236">
        <f>IF($B236=0,0,IF(Inputs!$B$10="",0,COUNTIFS(Data!$Q$10:$Q$3209,"&gt;="&amp;$A236,Data!$Q$10:$Q$3209,"&lt;"&amp;$A236+1)))</f>
        <v/>
      </c>
    </row>
    <row r="237">
      <c r="A237" s="55">
        <f>MIN(Inputs!$C$15,$A236+IF(WEEKDAY($A236,2)=5,3,1))</f>
        <v/>
      </c>
      <c r="B237">
        <f>IF($A237&gt;$A236,1,0)</f>
        <v/>
      </c>
      <c r="C237" s="56">
        <f>IF($B237=0,"",IF(Inputs!$B$6="","",IF($AD237=0,C236,SUMIFS(Data!$B$10:$B$3209,Data!$A$10:$A$3209,"&gt;="&amp;$A237,Data!$A$10:$A$3209,"&lt;"&amp;$A237+1)/$AD237)))</f>
        <v/>
      </c>
      <c r="D237" s="56">
        <f>IF($B237=0,"",IF(Inputs!$B$7="","",IF($AE237=0,D236,SUMIFS(Data!$F$10:$F$3209,Data!$E$10:$E$3209,"&gt;="&amp;$A237,Data!$E$10:$E$3209,"&lt;"&amp;$A237+1)/$AE237)))</f>
        <v/>
      </c>
      <c r="E237" s="56">
        <f>IF($B237=0,"",IF(Inputs!$B$8="","",IF($AF237=0,E236,SUMIFS(Data!$J$10:$J$3209,Data!$I$10:$I$3209,"&gt;="&amp;$A237,Data!$I$10:$I$3209,"&lt;"&amp;$A237+1)/$AF237)))</f>
        <v/>
      </c>
      <c r="F237" s="56">
        <f>IF($B237=0,"",IF(Inputs!$B$9="","",IF($AG237=0,F236,SUMIFS(Data!$N$10:$N$3209,Data!$M$10:$M$3209,"&gt;="&amp;$A237,Data!$M$10:$M$3209,"&lt;"&amp;$A237+1)/$AG237)))</f>
        <v/>
      </c>
      <c r="G237" s="56">
        <f>IF($B237=0,"",IF(Inputs!$B$10="","",IF($AH237=0,G236,SUMIFS(Data!$R$10:$R$3209,Data!$Q$10:$Q$3209,"&gt;="&amp;$A237,Data!$Q$10:$Q$3209,"&lt;"&amp;$A237+1)/$AH237)))</f>
        <v/>
      </c>
      <c r="I237" s="54">
        <f>IF($B237=0,NA(),IF($C237="",NA(),IF(C$8="",NA(),IF(N(C$8)=0,NA(),IF(Inputs!$C$17="Rebased to 100",$C237/C$8*100,$C237)))))</f>
        <v/>
      </c>
      <c r="J237" s="54">
        <f>IF($B237=0,NA(),IF($D237="",NA(),IF(D$8="",NA(),IF(N(D$8)=0,NA(),IF(Inputs!$C$17="Rebased to 100",$D237/D$8*100,$D237)))))</f>
        <v/>
      </c>
      <c r="K237" s="54">
        <f>IF($B237=0,NA(),IF($E237="",NA(),IF(E$8="",NA(),IF(N(E$8)=0,NA(),IF(Inputs!$C$17="Rebased to 100",$E237/E$8*100,$E237)))))</f>
        <v/>
      </c>
      <c r="L237" s="54">
        <f>IF($B237=0,NA(),IF($F237="",NA(),IF(F$8="",NA(),IF(N(F$8)=0,NA(),IF(Inputs!$C$17="Rebased to 100",$F237/F$8*100,$F237)))))</f>
        <v/>
      </c>
      <c r="M237" s="54">
        <f>IF($B237=0,NA(),IF($G237="",NA(),IF(G$8="",NA(),IF(N(G$8)=0,NA(),IF(Inputs!$C$17="Rebased to 100",$G237/G$8*100,$G237)))))</f>
        <v/>
      </c>
      <c r="N237" s="54">
        <f>IF($B237=0,NA(),IF(Inputs!$C$18&lt;&gt;"Yes",NA(),IF(COUNT(I237,J237,K237,L237,M237)=0,NA(),MIN(I237,J237,K237,L237,M237))))</f>
        <v/>
      </c>
      <c r="O237" s="54">
        <f>IF($B237=0,NA(),IF(Inputs!$B$24&lt;&gt;"Yes",NA(),Inputs!$D$24*Inputs!$C$35))</f>
        <v/>
      </c>
      <c r="P237" s="54">
        <f>IF($B237=0,NA(),IF(Inputs!$B$25&lt;&gt;"Yes",NA(),Inputs!$D$25*Inputs!$C$35))</f>
        <v/>
      </c>
      <c r="Q237" s="54">
        <f>IF($B237=0,NA(),IF(Inputs!$B$26&lt;&gt;"Yes",NA(),Inputs!$D$26*Inputs!$C$35))</f>
        <v/>
      </c>
      <c r="R237" s="54">
        <f>IF($B237=0,NA(),IF(Inputs!$B$27&lt;&gt;"Yes",NA(),Inputs!$D$27*Inputs!$C$35))</f>
        <v/>
      </c>
      <c r="S237" s="54">
        <f>IF($B237=0,NA(),IF(Inputs!$B$28&lt;&gt;"Yes",NA(),Inputs!$D$28*Inputs!$C$35))</f>
        <v/>
      </c>
      <c r="T237" s="54">
        <f>IF($B237=0,NA(),IF(Inputs!$B$29&lt;&gt;"Yes",NA(),Inputs!$D$29*Inputs!$C$35))</f>
        <v/>
      </c>
      <c r="AD237">
        <f>IF($B237=0,0,IF(Inputs!$B$6="",0,COUNTIFS(Data!$A$10:$A$3209,"&gt;="&amp;$A237,Data!$A$10:$A$3209,"&lt;"&amp;$A237+1)))</f>
        <v/>
      </c>
      <c r="AE237">
        <f>IF($B237=0,0,IF(Inputs!$B$7="",0,COUNTIFS(Data!$E$10:$E$3209,"&gt;="&amp;$A237,Data!$E$10:$E$3209,"&lt;"&amp;$A237+1)))</f>
        <v/>
      </c>
      <c r="AF237">
        <f>IF($B237=0,0,IF(Inputs!$B$8="",0,COUNTIFS(Data!$I$10:$I$3209,"&gt;="&amp;$A237,Data!$I$10:$I$3209,"&lt;"&amp;$A237+1)))</f>
        <v/>
      </c>
      <c r="AG237">
        <f>IF($B237=0,0,IF(Inputs!$B$9="",0,COUNTIFS(Data!$M$10:$M$3209,"&gt;="&amp;$A237,Data!$M$10:$M$3209,"&lt;"&amp;$A237+1)))</f>
        <v/>
      </c>
      <c r="AH237">
        <f>IF($B237=0,0,IF(Inputs!$B$10="",0,COUNTIFS(Data!$Q$10:$Q$3209,"&gt;="&amp;$A237,Data!$Q$10:$Q$3209,"&lt;"&amp;$A237+1)))</f>
        <v/>
      </c>
    </row>
    <row r="238">
      <c r="A238" s="55">
        <f>MIN(Inputs!$C$15,$A237+IF(WEEKDAY($A237,2)=5,3,1))</f>
        <v/>
      </c>
      <c r="B238">
        <f>IF($A238&gt;$A237,1,0)</f>
        <v/>
      </c>
      <c r="C238" s="56">
        <f>IF($B238=0,"",IF(Inputs!$B$6="","",IF($AD238=0,C237,SUMIFS(Data!$B$10:$B$3209,Data!$A$10:$A$3209,"&gt;="&amp;$A238,Data!$A$10:$A$3209,"&lt;"&amp;$A238+1)/$AD238)))</f>
        <v/>
      </c>
      <c r="D238" s="56">
        <f>IF($B238=0,"",IF(Inputs!$B$7="","",IF($AE238=0,D237,SUMIFS(Data!$F$10:$F$3209,Data!$E$10:$E$3209,"&gt;="&amp;$A238,Data!$E$10:$E$3209,"&lt;"&amp;$A238+1)/$AE238)))</f>
        <v/>
      </c>
      <c r="E238" s="56">
        <f>IF($B238=0,"",IF(Inputs!$B$8="","",IF($AF238=0,E237,SUMIFS(Data!$J$10:$J$3209,Data!$I$10:$I$3209,"&gt;="&amp;$A238,Data!$I$10:$I$3209,"&lt;"&amp;$A238+1)/$AF238)))</f>
        <v/>
      </c>
      <c r="F238" s="56">
        <f>IF($B238=0,"",IF(Inputs!$B$9="","",IF($AG238=0,F237,SUMIFS(Data!$N$10:$N$3209,Data!$M$10:$M$3209,"&gt;="&amp;$A238,Data!$M$10:$M$3209,"&lt;"&amp;$A238+1)/$AG238)))</f>
        <v/>
      </c>
      <c r="G238" s="56">
        <f>IF($B238=0,"",IF(Inputs!$B$10="","",IF($AH238=0,G237,SUMIFS(Data!$R$10:$R$3209,Data!$Q$10:$Q$3209,"&gt;="&amp;$A238,Data!$Q$10:$Q$3209,"&lt;"&amp;$A238+1)/$AH238)))</f>
        <v/>
      </c>
      <c r="I238" s="54">
        <f>IF($B238=0,NA(),IF($C238="",NA(),IF(C$8="",NA(),IF(N(C$8)=0,NA(),IF(Inputs!$C$17="Rebased to 100",$C238/C$8*100,$C238)))))</f>
        <v/>
      </c>
      <c r="J238" s="54">
        <f>IF($B238=0,NA(),IF($D238="",NA(),IF(D$8="",NA(),IF(N(D$8)=0,NA(),IF(Inputs!$C$17="Rebased to 100",$D238/D$8*100,$D238)))))</f>
        <v/>
      </c>
      <c r="K238" s="54">
        <f>IF($B238=0,NA(),IF($E238="",NA(),IF(E$8="",NA(),IF(N(E$8)=0,NA(),IF(Inputs!$C$17="Rebased to 100",$E238/E$8*100,$E238)))))</f>
        <v/>
      </c>
      <c r="L238" s="54">
        <f>IF($B238=0,NA(),IF($F238="",NA(),IF(F$8="",NA(),IF(N(F$8)=0,NA(),IF(Inputs!$C$17="Rebased to 100",$F238/F$8*100,$F238)))))</f>
        <v/>
      </c>
      <c r="M238" s="54">
        <f>IF($B238=0,NA(),IF($G238="",NA(),IF(G$8="",NA(),IF(N(G$8)=0,NA(),IF(Inputs!$C$17="Rebased to 100",$G238/G$8*100,$G238)))))</f>
        <v/>
      </c>
      <c r="N238" s="54">
        <f>IF($B238=0,NA(),IF(Inputs!$C$18&lt;&gt;"Yes",NA(),IF(COUNT(I238,J238,K238,L238,M238)=0,NA(),MIN(I238,J238,K238,L238,M238))))</f>
        <v/>
      </c>
      <c r="O238" s="54">
        <f>IF($B238=0,NA(),IF(Inputs!$B$24&lt;&gt;"Yes",NA(),Inputs!$D$24*Inputs!$C$35))</f>
        <v/>
      </c>
      <c r="P238" s="54">
        <f>IF($B238=0,NA(),IF(Inputs!$B$25&lt;&gt;"Yes",NA(),Inputs!$D$25*Inputs!$C$35))</f>
        <v/>
      </c>
      <c r="Q238" s="54">
        <f>IF($B238=0,NA(),IF(Inputs!$B$26&lt;&gt;"Yes",NA(),Inputs!$D$26*Inputs!$C$35))</f>
        <v/>
      </c>
      <c r="R238" s="54">
        <f>IF($B238=0,NA(),IF(Inputs!$B$27&lt;&gt;"Yes",NA(),Inputs!$D$27*Inputs!$C$35))</f>
        <v/>
      </c>
      <c r="S238" s="54">
        <f>IF($B238=0,NA(),IF(Inputs!$B$28&lt;&gt;"Yes",NA(),Inputs!$D$28*Inputs!$C$35))</f>
        <v/>
      </c>
      <c r="T238" s="54">
        <f>IF($B238=0,NA(),IF(Inputs!$B$29&lt;&gt;"Yes",NA(),Inputs!$D$29*Inputs!$C$35))</f>
        <v/>
      </c>
      <c r="AD238">
        <f>IF($B238=0,0,IF(Inputs!$B$6="",0,COUNTIFS(Data!$A$10:$A$3209,"&gt;="&amp;$A238,Data!$A$10:$A$3209,"&lt;"&amp;$A238+1)))</f>
        <v/>
      </c>
      <c r="AE238">
        <f>IF($B238=0,0,IF(Inputs!$B$7="",0,COUNTIFS(Data!$E$10:$E$3209,"&gt;="&amp;$A238,Data!$E$10:$E$3209,"&lt;"&amp;$A238+1)))</f>
        <v/>
      </c>
      <c r="AF238">
        <f>IF($B238=0,0,IF(Inputs!$B$8="",0,COUNTIFS(Data!$I$10:$I$3209,"&gt;="&amp;$A238,Data!$I$10:$I$3209,"&lt;"&amp;$A238+1)))</f>
        <v/>
      </c>
      <c r="AG238">
        <f>IF($B238=0,0,IF(Inputs!$B$9="",0,COUNTIFS(Data!$M$10:$M$3209,"&gt;="&amp;$A238,Data!$M$10:$M$3209,"&lt;"&amp;$A238+1)))</f>
        <v/>
      </c>
      <c r="AH238">
        <f>IF($B238=0,0,IF(Inputs!$B$10="",0,COUNTIFS(Data!$Q$10:$Q$3209,"&gt;="&amp;$A238,Data!$Q$10:$Q$3209,"&lt;"&amp;$A238+1)))</f>
        <v/>
      </c>
    </row>
    <row r="239">
      <c r="A239" s="55">
        <f>MIN(Inputs!$C$15,$A238+IF(WEEKDAY($A238,2)=5,3,1))</f>
        <v/>
      </c>
      <c r="B239">
        <f>IF($A239&gt;$A238,1,0)</f>
        <v/>
      </c>
      <c r="C239" s="56">
        <f>IF($B239=0,"",IF(Inputs!$B$6="","",IF($AD239=0,C238,SUMIFS(Data!$B$10:$B$3209,Data!$A$10:$A$3209,"&gt;="&amp;$A239,Data!$A$10:$A$3209,"&lt;"&amp;$A239+1)/$AD239)))</f>
        <v/>
      </c>
      <c r="D239" s="56">
        <f>IF($B239=0,"",IF(Inputs!$B$7="","",IF($AE239=0,D238,SUMIFS(Data!$F$10:$F$3209,Data!$E$10:$E$3209,"&gt;="&amp;$A239,Data!$E$10:$E$3209,"&lt;"&amp;$A239+1)/$AE239)))</f>
        <v/>
      </c>
      <c r="E239" s="56">
        <f>IF($B239=0,"",IF(Inputs!$B$8="","",IF($AF239=0,E238,SUMIFS(Data!$J$10:$J$3209,Data!$I$10:$I$3209,"&gt;="&amp;$A239,Data!$I$10:$I$3209,"&lt;"&amp;$A239+1)/$AF239)))</f>
        <v/>
      </c>
      <c r="F239" s="56">
        <f>IF($B239=0,"",IF(Inputs!$B$9="","",IF($AG239=0,F238,SUMIFS(Data!$N$10:$N$3209,Data!$M$10:$M$3209,"&gt;="&amp;$A239,Data!$M$10:$M$3209,"&lt;"&amp;$A239+1)/$AG239)))</f>
        <v/>
      </c>
      <c r="G239" s="56">
        <f>IF($B239=0,"",IF(Inputs!$B$10="","",IF($AH239=0,G238,SUMIFS(Data!$R$10:$R$3209,Data!$Q$10:$Q$3209,"&gt;="&amp;$A239,Data!$Q$10:$Q$3209,"&lt;"&amp;$A239+1)/$AH239)))</f>
        <v/>
      </c>
      <c r="I239" s="54">
        <f>IF($B239=0,NA(),IF($C239="",NA(),IF(C$8="",NA(),IF(N(C$8)=0,NA(),IF(Inputs!$C$17="Rebased to 100",$C239/C$8*100,$C239)))))</f>
        <v/>
      </c>
      <c r="J239" s="54">
        <f>IF($B239=0,NA(),IF($D239="",NA(),IF(D$8="",NA(),IF(N(D$8)=0,NA(),IF(Inputs!$C$17="Rebased to 100",$D239/D$8*100,$D239)))))</f>
        <v/>
      </c>
      <c r="K239" s="54">
        <f>IF($B239=0,NA(),IF($E239="",NA(),IF(E$8="",NA(),IF(N(E$8)=0,NA(),IF(Inputs!$C$17="Rebased to 100",$E239/E$8*100,$E239)))))</f>
        <v/>
      </c>
      <c r="L239" s="54">
        <f>IF($B239=0,NA(),IF($F239="",NA(),IF(F$8="",NA(),IF(N(F$8)=0,NA(),IF(Inputs!$C$17="Rebased to 100",$F239/F$8*100,$F239)))))</f>
        <v/>
      </c>
      <c r="M239" s="54">
        <f>IF($B239=0,NA(),IF($G239="",NA(),IF(G$8="",NA(),IF(N(G$8)=0,NA(),IF(Inputs!$C$17="Rebased to 100",$G239/G$8*100,$G239)))))</f>
        <v/>
      </c>
      <c r="N239" s="54">
        <f>IF($B239=0,NA(),IF(Inputs!$C$18&lt;&gt;"Yes",NA(),IF(COUNT(I239,J239,K239,L239,M239)=0,NA(),MIN(I239,J239,K239,L239,M239))))</f>
        <v/>
      </c>
      <c r="O239" s="54">
        <f>IF($B239=0,NA(),IF(Inputs!$B$24&lt;&gt;"Yes",NA(),Inputs!$D$24*Inputs!$C$35))</f>
        <v/>
      </c>
      <c r="P239" s="54">
        <f>IF($B239=0,NA(),IF(Inputs!$B$25&lt;&gt;"Yes",NA(),Inputs!$D$25*Inputs!$C$35))</f>
        <v/>
      </c>
      <c r="Q239" s="54">
        <f>IF($B239=0,NA(),IF(Inputs!$B$26&lt;&gt;"Yes",NA(),Inputs!$D$26*Inputs!$C$35))</f>
        <v/>
      </c>
      <c r="R239" s="54">
        <f>IF($B239=0,NA(),IF(Inputs!$B$27&lt;&gt;"Yes",NA(),Inputs!$D$27*Inputs!$C$35))</f>
        <v/>
      </c>
      <c r="S239" s="54">
        <f>IF($B239=0,NA(),IF(Inputs!$B$28&lt;&gt;"Yes",NA(),Inputs!$D$28*Inputs!$C$35))</f>
        <v/>
      </c>
      <c r="T239" s="54">
        <f>IF($B239=0,NA(),IF(Inputs!$B$29&lt;&gt;"Yes",NA(),Inputs!$D$29*Inputs!$C$35))</f>
        <v/>
      </c>
      <c r="AD239">
        <f>IF($B239=0,0,IF(Inputs!$B$6="",0,COUNTIFS(Data!$A$10:$A$3209,"&gt;="&amp;$A239,Data!$A$10:$A$3209,"&lt;"&amp;$A239+1)))</f>
        <v/>
      </c>
      <c r="AE239">
        <f>IF($B239=0,0,IF(Inputs!$B$7="",0,COUNTIFS(Data!$E$10:$E$3209,"&gt;="&amp;$A239,Data!$E$10:$E$3209,"&lt;"&amp;$A239+1)))</f>
        <v/>
      </c>
      <c r="AF239">
        <f>IF($B239=0,0,IF(Inputs!$B$8="",0,COUNTIFS(Data!$I$10:$I$3209,"&gt;="&amp;$A239,Data!$I$10:$I$3209,"&lt;"&amp;$A239+1)))</f>
        <v/>
      </c>
      <c r="AG239">
        <f>IF($B239=0,0,IF(Inputs!$B$9="",0,COUNTIFS(Data!$M$10:$M$3209,"&gt;="&amp;$A239,Data!$M$10:$M$3209,"&lt;"&amp;$A239+1)))</f>
        <v/>
      </c>
      <c r="AH239">
        <f>IF($B239=0,0,IF(Inputs!$B$10="",0,COUNTIFS(Data!$Q$10:$Q$3209,"&gt;="&amp;$A239,Data!$Q$10:$Q$3209,"&lt;"&amp;$A239+1)))</f>
        <v/>
      </c>
    </row>
    <row r="240">
      <c r="A240" s="55">
        <f>MIN(Inputs!$C$15,$A239+IF(WEEKDAY($A239,2)=5,3,1))</f>
        <v/>
      </c>
      <c r="B240">
        <f>IF($A240&gt;$A239,1,0)</f>
        <v/>
      </c>
      <c r="C240" s="56">
        <f>IF($B240=0,"",IF(Inputs!$B$6="","",IF($AD240=0,C239,SUMIFS(Data!$B$10:$B$3209,Data!$A$10:$A$3209,"&gt;="&amp;$A240,Data!$A$10:$A$3209,"&lt;"&amp;$A240+1)/$AD240)))</f>
        <v/>
      </c>
      <c r="D240" s="56">
        <f>IF($B240=0,"",IF(Inputs!$B$7="","",IF($AE240=0,D239,SUMIFS(Data!$F$10:$F$3209,Data!$E$10:$E$3209,"&gt;="&amp;$A240,Data!$E$10:$E$3209,"&lt;"&amp;$A240+1)/$AE240)))</f>
        <v/>
      </c>
      <c r="E240" s="56">
        <f>IF($B240=0,"",IF(Inputs!$B$8="","",IF($AF240=0,E239,SUMIFS(Data!$J$10:$J$3209,Data!$I$10:$I$3209,"&gt;="&amp;$A240,Data!$I$10:$I$3209,"&lt;"&amp;$A240+1)/$AF240)))</f>
        <v/>
      </c>
      <c r="F240" s="56">
        <f>IF($B240=0,"",IF(Inputs!$B$9="","",IF($AG240=0,F239,SUMIFS(Data!$N$10:$N$3209,Data!$M$10:$M$3209,"&gt;="&amp;$A240,Data!$M$10:$M$3209,"&lt;"&amp;$A240+1)/$AG240)))</f>
        <v/>
      </c>
      <c r="G240" s="56">
        <f>IF($B240=0,"",IF(Inputs!$B$10="","",IF($AH240=0,G239,SUMIFS(Data!$R$10:$R$3209,Data!$Q$10:$Q$3209,"&gt;="&amp;$A240,Data!$Q$10:$Q$3209,"&lt;"&amp;$A240+1)/$AH240)))</f>
        <v/>
      </c>
      <c r="I240" s="54">
        <f>IF($B240=0,NA(),IF($C240="",NA(),IF(C$8="",NA(),IF(N(C$8)=0,NA(),IF(Inputs!$C$17="Rebased to 100",$C240/C$8*100,$C240)))))</f>
        <v/>
      </c>
      <c r="J240" s="54">
        <f>IF($B240=0,NA(),IF($D240="",NA(),IF(D$8="",NA(),IF(N(D$8)=0,NA(),IF(Inputs!$C$17="Rebased to 100",$D240/D$8*100,$D240)))))</f>
        <v/>
      </c>
      <c r="K240" s="54">
        <f>IF($B240=0,NA(),IF($E240="",NA(),IF(E$8="",NA(),IF(N(E$8)=0,NA(),IF(Inputs!$C$17="Rebased to 100",$E240/E$8*100,$E240)))))</f>
        <v/>
      </c>
      <c r="L240" s="54">
        <f>IF($B240=0,NA(),IF($F240="",NA(),IF(F$8="",NA(),IF(N(F$8)=0,NA(),IF(Inputs!$C$17="Rebased to 100",$F240/F$8*100,$F240)))))</f>
        <v/>
      </c>
      <c r="M240" s="54">
        <f>IF($B240=0,NA(),IF($G240="",NA(),IF(G$8="",NA(),IF(N(G$8)=0,NA(),IF(Inputs!$C$17="Rebased to 100",$G240/G$8*100,$G240)))))</f>
        <v/>
      </c>
      <c r="N240" s="54">
        <f>IF($B240=0,NA(),IF(Inputs!$C$18&lt;&gt;"Yes",NA(),IF(COUNT(I240,J240,K240,L240,M240)=0,NA(),MIN(I240,J240,K240,L240,M240))))</f>
        <v/>
      </c>
      <c r="O240" s="54">
        <f>IF($B240=0,NA(),IF(Inputs!$B$24&lt;&gt;"Yes",NA(),Inputs!$D$24*Inputs!$C$35))</f>
        <v/>
      </c>
      <c r="P240" s="54">
        <f>IF($B240=0,NA(),IF(Inputs!$B$25&lt;&gt;"Yes",NA(),Inputs!$D$25*Inputs!$C$35))</f>
        <v/>
      </c>
      <c r="Q240" s="54">
        <f>IF($B240=0,NA(),IF(Inputs!$B$26&lt;&gt;"Yes",NA(),Inputs!$D$26*Inputs!$C$35))</f>
        <v/>
      </c>
      <c r="R240" s="54">
        <f>IF($B240=0,NA(),IF(Inputs!$B$27&lt;&gt;"Yes",NA(),Inputs!$D$27*Inputs!$C$35))</f>
        <v/>
      </c>
      <c r="S240" s="54">
        <f>IF($B240=0,NA(),IF(Inputs!$B$28&lt;&gt;"Yes",NA(),Inputs!$D$28*Inputs!$C$35))</f>
        <v/>
      </c>
      <c r="T240" s="54">
        <f>IF($B240=0,NA(),IF(Inputs!$B$29&lt;&gt;"Yes",NA(),Inputs!$D$29*Inputs!$C$35))</f>
        <v/>
      </c>
      <c r="AD240">
        <f>IF($B240=0,0,IF(Inputs!$B$6="",0,COUNTIFS(Data!$A$10:$A$3209,"&gt;="&amp;$A240,Data!$A$10:$A$3209,"&lt;"&amp;$A240+1)))</f>
        <v/>
      </c>
      <c r="AE240">
        <f>IF($B240=0,0,IF(Inputs!$B$7="",0,COUNTIFS(Data!$E$10:$E$3209,"&gt;="&amp;$A240,Data!$E$10:$E$3209,"&lt;"&amp;$A240+1)))</f>
        <v/>
      </c>
      <c r="AF240">
        <f>IF($B240=0,0,IF(Inputs!$B$8="",0,COUNTIFS(Data!$I$10:$I$3209,"&gt;="&amp;$A240,Data!$I$10:$I$3209,"&lt;"&amp;$A240+1)))</f>
        <v/>
      </c>
      <c r="AG240">
        <f>IF($B240=0,0,IF(Inputs!$B$9="",0,COUNTIFS(Data!$M$10:$M$3209,"&gt;="&amp;$A240,Data!$M$10:$M$3209,"&lt;"&amp;$A240+1)))</f>
        <v/>
      </c>
      <c r="AH240">
        <f>IF($B240=0,0,IF(Inputs!$B$10="",0,COUNTIFS(Data!$Q$10:$Q$3209,"&gt;="&amp;$A240,Data!$Q$10:$Q$3209,"&lt;"&amp;$A240+1)))</f>
        <v/>
      </c>
    </row>
    <row r="241">
      <c r="A241" s="55">
        <f>MIN(Inputs!$C$15,$A240+IF(WEEKDAY($A240,2)=5,3,1))</f>
        <v/>
      </c>
      <c r="B241">
        <f>IF($A241&gt;$A240,1,0)</f>
        <v/>
      </c>
      <c r="C241" s="56">
        <f>IF($B241=0,"",IF(Inputs!$B$6="","",IF($AD241=0,C240,SUMIFS(Data!$B$10:$B$3209,Data!$A$10:$A$3209,"&gt;="&amp;$A241,Data!$A$10:$A$3209,"&lt;"&amp;$A241+1)/$AD241)))</f>
        <v/>
      </c>
      <c r="D241" s="56">
        <f>IF($B241=0,"",IF(Inputs!$B$7="","",IF($AE241=0,D240,SUMIFS(Data!$F$10:$F$3209,Data!$E$10:$E$3209,"&gt;="&amp;$A241,Data!$E$10:$E$3209,"&lt;"&amp;$A241+1)/$AE241)))</f>
        <v/>
      </c>
      <c r="E241" s="56">
        <f>IF($B241=0,"",IF(Inputs!$B$8="","",IF($AF241=0,E240,SUMIFS(Data!$J$10:$J$3209,Data!$I$10:$I$3209,"&gt;="&amp;$A241,Data!$I$10:$I$3209,"&lt;"&amp;$A241+1)/$AF241)))</f>
        <v/>
      </c>
      <c r="F241" s="56">
        <f>IF($B241=0,"",IF(Inputs!$B$9="","",IF($AG241=0,F240,SUMIFS(Data!$N$10:$N$3209,Data!$M$10:$M$3209,"&gt;="&amp;$A241,Data!$M$10:$M$3209,"&lt;"&amp;$A241+1)/$AG241)))</f>
        <v/>
      </c>
      <c r="G241" s="56">
        <f>IF($B241=0,"",IF(Inputs!$B$10="","",IF($AH241=0,G240,SUMIFS(Data!$R$10:$R$3209,Data!$Q$10:$Q$3209,"&gt;="&amp;$A241,Data!$Q$10:$Q$3209,"&lt;"&amp;$A241+1)/$AH241)))</f>
        <v/>
      </c>
      <c r="I241" s="54">
        <f>IF($B241=0,NA(),IF($C241="",NA(),IF(C$8="",NA(),IF(N(C$8)=0,NA(),IF(Inputs!$C$17="Rebased to 100",$C241/C$8*100,$C241)))))</f>
        <v/>
      </c>
      <c r="J241" s="54">
        <f>IF($B241=0,NA(),IF($D241="",NA(),IF(D$8="",NA(),IF(N(D$8)=0,NA(),IF(Inputs!$C$17="Rebased to 100",$D241/D$8*100,$D241)))))</f>
        <v/>
      </c>
      <c r="K241" s="54">
        <f>IF($B241=0,NA(),IF($E241="",NA(),IF(E$8="",NA(),IF(N(E$8)=0,NA(),IF(Inputs!$C$17="Rebased to 100",$E241/E$8*100,$E241)))))</f>
        <v/>
      </c>
      <c r="L241" s="54">
        <f>IF($B241=0,NA(),IF($F241="",NA(),IF(F$8="",NA(),IF(N(F$8)=0,NA(),IF(Inputs!$C$17="Rebased to 100",$F241/F$8*100,$F241)))))</f>
        <v/>
      </c>
      <c r="M241" s="54">
        <f>IF($B241=0,NA(),IF($G241="",NA(),IF(G$8="",NA(),IF(N(G$8)=0,NA(),IF(Inputs!$C$17="Rebased to 100",$G241/G$8*100,$G241)))))</f>
        <v/>
      </c>
      <c r="N241" s="54">
        <f>IF($B241=0,NA(),IF(Inputs!$C$18&lt;&gt;"Yes",NA(),IF(COUNT(I241,J241,K241,L241,M241)=0,NA(),MIN(I241,J241,K241,L241,M241))))</f>
        <v/>
      </c>
      <c r="O241" s="54">
        <f>IF($B241=0,NA(),IF(Inputs!$B$24&lt;&gt;"Yes",NA(),Inputs!$D$24*Inputs!$C$35))</f>
        <v/>
      </c>
      <c r="P241" s="54">
        <f>IF($B241=0,NA(),IF(Inputs!$B$25&lt;&gt;"Yes",NA(),Inputs!$D$25*Inputs!$C$35))</f>
        <v/>
      </c>
      <c r="Q241" s="54">
        <f>IF($B241=0,NA(),IF(Inputs!$B$26&lt;&gt;"Yes",NA(),Inputs!$D$26*Inputs!$C$35))</f>
        <v/>
      </c>
      <c r="R241" s="54">
        <f>IF($B241=0,NA(),IF(Inputs!$B$27&lt;&gt;"Yes",NA(),Inputs!$D$27*Inputs!$C$35))</f>
        <v/>
      </c>
      <c r="S241" s="54">
        <f>IF($B241=0,NA(),IF(Inputs!$B$28&lt;&gt;"Yes",NA(),Inputs!$D$28*Inputs!$C$35))</f>
        <v/>
      </c>
      <c r="T241" s="54">
        <f>IF($B241=0,NA(),IF(Inputs!$B$29&lt;&gt;"Yes",NA(),Inputs!$D$29*Inputs!$C$35))</f>
        <v/>
      </c>
      <c r="AD241">
        <f>IF($B241=0,0,IF(Inputs!$B$6="",0,COUNTIFS(Data!$A$10:$A$3209,"&gt;="&amp;$A241,Data!$A$10:$A$3209,"&lt;"&amp;$A241+1)))</f>
        <v/>
      </c>
      <c r="AE241">
        <f>IF($B241=0,0,IF(Inputs!$B$7="",0,COUNTIFS(Data!$E$10:$E$3209,"&gt;="&amp;$A241,Data!$E$10:$E$3209,"&lt;"&amp;$A241+1)))</f>
        <v/>
      </c>
      <c r="AF241">
        <f>IF($B241=0,0,IF(Inputs!$B$8="",0,COUNTIFS(Data!$I$10:$I$3209,"&gt;="&amp;$A241,Data!$I$10:$I$3209,"&lt;"&amp;$A241+1)))</f>
        <v/>
      </c>
      <c r="AG241">
        <f>IF($B241=0,0,IF(Inputs!$B$9="",0,COUNTIFS(Data!$M$10:$M$3209,"&gt;="&amp;$A241,Data!$M$10:$M$3209,"&lt;"&amp;$A241+1)))</f>
        <v/>
      </c>
      <c r="AH241">
        <f>IF($B241=0,0,IF(Inputs!$B$10="",0,COUNTIFS(Data!$Q$10:$Q$3209,"&gt;="&amp;$A241,Data!$Q$10:$Q$3209,"&lt;"&amp;$A241+1)))</f>
        <v/>
      </c>
    </row>
    <row r="242">
      <c r="A242" s="55">
        <f>MIN(Inputs!$C$15,$A241+IF(WEEKDAY($A241,2)=5,3,1))</f>
        <v/>
      </c>
      <c r="B242">
        <f>IF($A242&gt;$A241,1,0)</f>
        <v/>
      </c>
      <c r="C242" s="56">
        <f>IF($B242=0,"",IF(Inputs!$B$6="","",IF($AD242=0,C241,SUMIFS(Data!$B$10:$B$3209,Data!$A$10:$A$3209,"&gt;="&amp;$A242,Data!$A$10:$A$3209,"&lt;"&amp;$A242+1)/$AD242)))</f>
        <v/>
      </c>
      <c r="D242" s="56">
        <f>IF($B242=0,"",IF(Inputs!$B$7="","",IF($AE242=0,D241,SUMIFS(Data!$F$10:$F$3209,Data!$E$10:$E$3209,"&gt;="&amp;$A242,Data!$E$10:$E$3209,"&lt;"&amp;$A242+1)/$AE242)))</f>
        <v/>
      </c>
      <c r="E242" s="56">
        <f>IF($B242=0,"",IF(Inputs!$B$8="","",IF($AF242=0,E241,SUMIFS(Data!$J$10:$J$3209,Data!$I$10:$I$3209,"&gt;="&amp;$A242,Data!$I$10:$I$3209,"&lt;"&amp;$A242+1)/$AF242)))</f>
        <v/>
      </c>
      <c r="F242" s="56">
        <f>IF($B242=0,"",IF(Inputs!$B$9="","",IF($AG242=0,F241,SUMIFS(Data!$N$10:$N$3209,Data!$M$10:$M$3209,"&gt;="&amp;$A242,Data!$M$10:$M$3209,"&lt;"&amp;$A242+1)/$AG242)))</f>
        <v/>
      </c>
      <c r="G242" s="56">
        <f>IF($B242=0,"",IF(Inputs!$B$10="","",IF($AH242=0,G241,SUMIFS(Data!$R$10:$R$3209,Data!$Q$10:$Q$3209,"&gt;="&amp;$A242,Data!$Q$10:$Q$3209,"&lt;"&amp;$A242+1)/$AH242)))</f>
        <v/>
      </c>
      <c r="I242" s="54">
        <f>IF($B242=0,NA(),IF($C242="",NA(),IF(C$8="",NA(),IF(N(C$8)=0,NA(),IF(Inputs!$C$17="Rebased to 100",$C242/C$8*100,$C242)))))</f>
        <v/>
      </c>
      <c r="J242" s="54">
        <f>IF($B242=0,NA(),IF($D242="",NA(),IF(D$8="",NA(),IF(N(D$8)=0,NA(),IF(Inputs!$C$17="Rebased to 100",$D242/D$8*100,$D242)))))</f>
        <v/>
      </c>
      <c r="K242" s="54">
        <f>IF($B242=0,NA(),IF($E242="",NA(),IF(E$8="",NA(),IF(N(E$8)=0,NA(),IF(Inputs!$C$17="Rebased to 100",$E242/E$8*100,$E242)))))</f>
        <v/>
      </c>
      <c r="L242" s="54">
        <f>IF($B242=0,NA(),IF($F242="",NA(),IF(F$8="",NA(),IF(N(F$8)=0,NA(),IF(Inputs!$C$17="Rebased to 100",$F242/F$8*100,$F242)))))</f>
        <v/>
      </c>
      <c r="M242" s="54">
        <f>IF($B242=0,NA(),IF($G242="",NA(),IF(G$8="",NA(),IF(N(G$8)=0,NA(),IF(Inputs!$C$17="Rebased to 100",$G242/G$8*100,$G242)))))</f>
        <v/>
      </c>
      <c r="N242" s="54">
        <f>IF($B242=0,NA(),IF(Inputs!$C$18&lt;&gt;"Yes",NA(),IF(COUNT(I242,J242,K242,L242,M242)=0,NA(),MIN(I242,J242,K242,L242,M242))))</f>
        <v/>
      </c>
      <c r="O242" s="54">
        <f>IF($B242=0,NA(),IF(Inputs!$B$24&lt;&gt;"Yes",NA(),Inputs!$D$24*Inputs!$C$35))</f>
        <v/>
      </c>
      <c r="P242" s="54">
        <f>IF($B242=0,NA(),IF(Inputs!$B$25&lt;&gt;"Yes",NA(),Inputs!$D$25*Inputs!$C$35))</f>
        <v/>
      </c>
      <c r="Q242" s="54">
        <f>IF($B242=0,NA(),IF(Inputs!$B$26&lt;&gt;"Yes",NA(),Inputs!$D$26*Inputs!$C$35))</f>
        <v/>
      </c>
      <c r="R242" s="54">
        <f>IF($B242=0,NA(),IF(Inputs!$B$27&lt;&gt;"Yes",NA(),Inputs!$D$27*Inputs!$C$35))</f>
        <v/>
      </c>
      <c r="S242" s="54">
        <f>IF($B242=0,NA(),IF(Inputs!$B$28&lt;&gt;"Yes",NA(),Inputs!$D$28*Inputs!$C$35))</f>
        <v/>
      </c>
      <c r="T242" s="54">
        <f>IF($B242=0,NA(),IF(Inputs!$B$29&lt;&gt;"Yes",NA(),Inputs!$D$29*Inputs!$C$35))</f>
        <v/>
      </c>
      <c r="AD242">
        <f>IF($B242=0,0,IF(Inputs!$B$6="",0,COUNTIFS(Data!$A$10:$A$3209,"&gt;="&amp;$A242,Data!$A$10:$A$3209,"&lt;"&amp;$A242+1)))</f>
        <v/>
      </c>
      <c r="AE242">
        <f>IF($B242=0,0,IF(Inputs!$B$7="",0,COUNTIFS(Data!$E$10:$E$3209,"&gt;="&amp;$A242,Data!$E$10:$E$3209,"&lt;"&amp;$A242+1)))</f>
        <v/>
      </c>
      <c r="AF242">
        <f>IF($B242=0,0,IF(Inputs!$B$8="",0,COUNTIFS(Data!$I$10:$I$3209,"&gt;="&amp;$A242,Data!$I$10:$I$3209,"&lt;"&amp;$A242+1)))</f>
        <v/>
      </c>
      <c r="AG242">
        <f>IF($B242=0,0,IF(Inputs!$B$9="",0,COUNTIFS(Data!$M$10:$M$3209,"&gt;="&amp;$A242,Data!$M$10:$M$3209,"&lt;"&amp;$A242+1)))</f>
        <v/>
      </c>
      <c r="AH242">
        <f>IF($B242=0,0,IF(Inputs!$B$10="",0,COUNTIFS(Data!$Q$10:$Q$3209,"&gt;="&amp;$A242,Data!$Q$10:$Q$3209,"&lt;"&amp;$A242+1)))</f>
        <v/>
      </c>
    </row>
    <row r="243">
      <c r="A243" s="55">
        <f>MIN(Inputs!$C$15,$A242+IF(WEEKDAY($A242,2)=5,3,1))</f>
        <v/>
      </c>
      <c r="B243">
        <f>IF($A243&gt;$A242,1,0)</f>
        <v/>
      </c>
      <c r="C243" s="56">
        <f>IF($B243=0,"",IF(Inputs!$B$6="","",IF($AD243=0,C242,SUMIFS(Data!$B$10:$B$3209,Data!$A$10:$A$3209,"&gt;="&amp;$A243,Data!$A$10:$A$3209,"&lt;"&amp;$A243+1)/$AD243)))</f>
        <v/>
      </c>
      <c r="D243" s="56">
        <f>IF($B243=0,"",IF(Inputs!$B$7="","",IF($AE243=0,D242,SUMIFS(Data!$F$10:$F$3209,Data!$E$10:$E$3209,"&gt;="&amp;$A243,Data!$E$10:$E$3209,"&lt;"&amp;$A243+1)/$AE243)))</f>
        <v/>
      </c>
      <c r="E243" s="56">
        <f>IF($B243=0,"",IF(Inputs!$B$8="","",IF($AF243=0,E242,SUMIFS(Data!$J$10:$J$3209,Data!$I$10:$I$3209,"&gt;="&amp;$A243,Data!$I$10:$I$3209,"&lt;"&amp;$A243+1)/$AF243)))</f>
        <v/>
      </c>
      <c r="F243" s="56">
        <f>IF($B243=0,"",IF(Inputs!$B$9="","",IF($AG243=0,F242,SUMIFS(Data!$N$10:$N$3209,Data!$M$10:$M$3209,"&gt;="&amp;$A243,Data!$M$10:$M$3209,"&lt;"&amp;$A243+1)/$AG243)))</f>
        <v/>
      </c>
      <c r="G243" s="56">
        <f>IF($B243=0,"",IF(Inputs!$B$10="","",IF($AH243=0,G242,SUMIFS(Data!$R$10:$R$3209,Data!$Q$10:$Q$3209,"&gt;="&amp;$A243,Data!$Q$10:$Q$3209,"&lt;"&amp;$A243+1)/$AH243)))</f>
        <v/>
      </c>
      <c r="I243" s="54">
        <f>IF($B243=0,NA(),IF($C243="",NA(),IF(C$8="",NA(),IF(N(C$8)=0,NA(),IF(Inputs!$C$17="Rebased to 100",$C243/C$8*100,$C243)))))</f>
        <v/>
      </c>
      <c r="J243" s="54">
        <f>IF($B243=0,NA(),IF($D243="",NA(),IF(D$8="",NA(),IF(N(D$8)=0,NA(),IF(Inputs!$C$17="Rebased to 100",$D243/D$8*100,$D243)))))</f>
        <v/>
      </c>
      <c r="K243" s="54">
        <f>IF($B243=0,NA(),IF($E243="",NA(),IF(E$8="",NA(),IF(N(E$8)=0,NA(),IF(Inputs!$C$17="Rebased to 100",$E243/E$8*100,$E243)))))</f>
        <v/>
      </c>
      <c r="L243" s="54">
        <f>IF($B243=0,NA(),IF($F243="",NA(),IF(F$8="",NA(),IF(N(F$8)=0,NA(),IF(Inputs!$C$17="Rebased to 100",$F243/F$8*100,$F243)))))</f>
        <v/>
      </c>
      <c r="M243" s="54">
        <f>IF($B243=0,NA(),IF($G243="",NA(),IF(G$8="",NA(),IF(N(G$8)=0,NA(),IF(Inputs!$C$17="Rebased to 100",$G243/G$8*100,$G243)))))</f>
        <v/>
      </c>
      <c r="N243" s="54">
        <f>IF($B243=0,NA(),IF(Inputs!$C$18&lt;&gt;"Yes",NA(),IF(COUNT(I243,J243,K243,L243,M243)=0,NA(),MIN(I243,J243,K243,L243,M243))))</f>
        <v/>
      </c>
      <c r="O243" s="54">
        <f>IF($B243=0,NA(),IF(Inputs!$B$24&lt;&gt;"Yes",NA(),Inputs!$D$24*Inputs!$C$35))</f>
        <v/>
      </c>
      <c r="P243" s="54">
        <f>IF($B243=0,NA(),IF(Inputs!$B$25&lt;&gt;"Yes",NA(),Inputs!$D$25*Inputs!$C$35))</f>
        <v/>
      </c>
      <c r="Q243" s="54">
        <f>IF($B243=0,NA(),IF(Inputs!$B$26&lt;&gt;"Yes",NA(),Inputs!$D$26*Inputs!$C$35))</f>
        <v/>
      </c>
      <c r="R243" s="54">
        <f>IF($B243=0,NA(),IF(Inputs!$B$27&lt;&gt;"Yes",NA(),Inputs!$D$27*Inputs!$C$35))</f>
        <v/>
      </c>
      <c r="S243" s="54">
        <f>IF($B243=0,NA(),IF(Inputs!$B$28&lt;&gt;"Yes",NA(),Inputs!$D$28*Inputs!$C$35))</f>
        <v/>
      </c>
      <c r="T243" s="54">
        <f>IF($B243=0,NA(),IF(Inputs!$B$29&lt;&gt;"Yes",NA(),Inputs!$D$29*Inputs!$C$35))</f>
        <v/>
      </c>
      <c r="AD243">
        <f>IF($B243=0,0,IF(Inputs!$B$6="",0,COUNTIFS(Data!$A$10:$A$3209,"&gt;="&amp;$A243,Data!$A$10:$A$3209,"&lt;"&amp;$A243+1)))</f>
        <v/>
      </c>
      <c r="AE243">
        <f>IF($B243=0,0,IF(Inputs!$B$7="",0,COUNTIFS(Data!$E$10:$E$3209,"&gt;="&amp;$A243,Data!$E$10:$E$3209,"&lt;"&amp;$A243+1)))</f>
        <v/>
      </c>
      <c r="AF243">
        <f>IF($B243=0,0,IF(Inputs!$B$8="",0,COUNTIFS(Data!$I$10:$I$3209,"&gt;="&amp;$A243,Data!$I$10:$I$3209,"&lt;"&amp;$A243+1)))</f>
        <v/>
      </c>
      <c r="AG243">
        <f>IF($B243=0,0,IF(Inputs!$B$9="",0,COUNTIFS(Data!$M$10:$M$3209,"&gt;="&amp;$A243,Data!$M$10:$M$3209,"&lt;"&amp;$A243+1)))</f>
        <v/>
      </c>
      <c r="AH243">
        <f>IF($B243=0,0,IF(Inputs!$B$10="",0,COUNTIFS(Data!$Q$10:$Q$3209,"&gt;="&amp;$A243,Data!$Q$10:$Q$3209,"&lt;"&amp;$A243+1)))</f>
        <v/>
      </c>
    </row>
    <row r="244">
      <c r="A244" s="55">
        <f>MIN(Inputs!$C$15,$A243+IF(WEEKDAY($A243,2)=5,3,1))</f>
        <v/>
      </c>
      <c r="B244">
        <f>IF($A244&gt;$A243,1,0)</f>
        <v/>
      </c>
      <c r="C244" s="56">
        <f>IF($B244=0,"",IF(Inputs!$B$6="","",IF($AD244=0,C243,SUMIFS(Data!$B$10:$B$3209,Data!$A$10:$A$3209,"&gt;="&amp;$A244,Data!$A$10:$A$3209,"&lt;"&amp;$A244+1)/$AD244)))</f>
        <v/>
      </c>
      <c r="D244" s="56">
        <f>IF($B244=0,"",IF(Inputs!$B$7="","",IF($AE244=0,D243,SUMIFS(Data!$F$10:$F$3209,Data!$E$10:$E$3209,"&gt;="&amp;$A244,Data!$E$10:$E$3209,"&lt;"&amp;$A244+1)/$AE244)))</f>
        <v/>
      </c>
      <c r="E244" s="56">
        <f>IF($B244=0,"",IF(Inputs!$B$8="","",IF($AF244=0,E243,SUMIFS(Data!$J$10:$J$3209,Data!$I$10:$I$3209,"&gt;="&amp;$A244,Data!$I$10:$I$3209,"&lt;"&amp;$A244+1)/$AF244)))</f>
        <v/>
      </c>
      <c r="F244" s="56">
        <f>IF($B244=0,"",IF(Inputs!$B$9="","",IF($AG244=0,F243,SUMIFS(Data!$N$10:$N$3209,Data!$M$10:$M$3209,"&gt;="&amp;$A244,Data!$M$10:$M$3209,"&lt;"&amp;$A244+1)/$AG244)))</f>
        <v/>
      </c>
      <c r="G244" s="56">
        <f>IF($B244=0,"",IF(Inputs!$B$10="","",IF($AH244=0,G243,SUMIFS(Data!$R$10:$R$3209,Data!$Q$10:$Q$3209,"&gt;="&amp;$A244,Data!$Q$10:$Q$3209,"&lt;"&amp;$A244+1)/$AH244)))</f>
        <v/>
      </c>
      <c r="I244" s="54">
        <f>IF($B244=0,NA(),IF($C244="",NA(),IF(C$8="",NA(),IF(N(C$8)=0,NA(),IF(Inputs!$C$17="Rebased to 100",$C244/C$8*100,$C244)))))</f>
        <v/>
      </c>
      <c r="J244" s="54">
        <f>IF($B244=0,NA(),IF($D244="",NA(),IF(D$8="",NA(),IF(N(D$8)=0,NA(),IF(Inputs!$C$17="Rebased to 100",$D244/D$8*100,$D244)))))</f>
        <v/>
      </c>
      <c r="K244" s="54">
        <f>IF($B244=0,NA(),IF($E244="",NA(),IF(E$8="",NA(),IF(N(E$8)=0,NA(),IF(Inputs!$C$17="Rebased to 100",$E244/E$8*100,$E244)))))</f>
        <v/>
      </c>
      <c r="L244" s="54">
        <f>IF($B244=0,NA(),IF($F244="",NA(),IF(F$8="",NA(),IF(N(F$8)=0,NA(),IF(Inputs!$C$17="Rebased to 100",$F244/F$8*100,$F244)))))</f>
        <v/>
      </c>
      <c r="M244" s="54">
        <f>IF($B244=0,NA(),IF($G244="",NA(),IF(G$8="",NA(),IF(N(G$8)=0,NA(),IF(Inputs!$C$17="Rebased to 100",$G244/G$8*100,$G244)))))</f>
        <v/>
      </c>
      <c r="N244" s="54">
        <f>IF($B244=0,NA(),IF(Inputs!$C$18&lt;&gt;"Yes",NA(),IF(COUNT(I244,J244,K244,L244,M244)=0,NA(),MIN(I244,J244,K244,L244,M244))))</f>
        <v/>
      </c>
      <c r="O244" s="54">
        <f>IF($B244=0,NA(),IF(Inputs!$B$24&lt;&gt;"Yes",NA(),Inputs!$D$24*Inputs!$C$35))</f>
        <v/>
      </c>
      <c r="P244" s="54">
        <f>IF($B244=0,NA(),IF(Inputs!$B$25&lt;&gt;"Yes",NA(),Inputs!$D$25*Inputs!$C$35))</f>
        <v/>
      </c>
      <c r="Q244" s="54">
        <f>IF($B244=0,NA(),IF(Inputs!$B$26&lt;&gt;"Yes",NA(),Inputs!$D$26*Inputs!$C$35))</f>
        <v/>
      </c>
      <c r="R244" s="54">
        <f>IF($B244=0,NA(),IF(Inputs!$B$27&lt;&gt;"Yes",NA(),Inputs!$D$27*Inputs!$C$35))</f>
        <v/>
      </c>
      <c r="S244" s="54">
        <f>IF($B244=0,NA(),IF(Inputs!$B$28&lt;&gt;"Yes",NA(),Inputs!$D$28*Inputs!$C$35))</f>
        <v/>
      </c>
      <c r="T244" s="54">
        <f>IF($B244=0,NA(),IF(Inputs!$B$29&lt;&gt;"Yes",NA(),Inputs!$D$29*Inputs!$C$35))</f>
        <v/>
      </c>
      <c r="AD244">
        <f>IF($B244=0,0,IF(Inputs!$B$6="",0,COUNTIFS(Data!$A$10:$A$3209,"&gt;="&amp;$A244,Data!$A$10:$A$3209,"&lt;"&amp;$A244+1)))</f>
        <v/>
      </c>
      <c r="AE244">
        <f>IF($B244=0,0,IF(Inputs!$B$7="",0,COUNTIFS(Data!$E$10:$E$3209,"&gt;="&amp;$A244,Data!$E$10:$E$3209,"&lt;"&amp;$A244+1)))</f>
        <v/>
      </c>
      <c r="AF244">
        <f>IF($B244=0,0,IF(Inputs!$B$8="",0,COUNTIFS(Data!$I$10:$I$3209,"&gt;="&amp;$A244,Data!$I$10:$I$3209,"&lt;"&amp;$A244+1)))</f>
        <v/>
      </c>
      <c r="AG244">
        <f>IF($B244=0,0,IF(Inputs!$B$9="",0,COUNTIFS(Data!$M$10:$M$3209,"&gt;="&amp;$A244,Data!$M$10:$M$3209,"&lt;"&amp;$A244+1)))</f>
        <v/>
      </c>
      <c r="AH244">
        <f>IF($B244=0,0,IF(Inputs!$B$10="",0,COUNTIFS(Data!$Q$10:$Q$3209,"&gt;="&amp;$A244,Data!$Q$10:$Q$3209,"&lt;"&amp;$A244+1)))</f>
        <v/>
      </c>
    </row>
    <row r="245">
      <c r="A245" s="55">
        <f>MIN(Inputs!$C$15,$A244+IF(WEEKDAY($A244,2)=5,3,1))</f>
        <v/>
      </c>
      <c r="B245">
        <f>IF($A245&gt;$A244,1,0)</f>
        <v/>
      </c>
      <c r="C245" s="56">
        <f>IF($B245=0,"",IF(Inputs!$B$6="","",IF($AD245=0,C244,SUMIFS(Data!$B$10:$B$3209,Data!$A$10:$A$3209,"&gt;="&amp;$A245,Data!$A$10:$A$3209,"&lt;"&amp;$A245+1)/$AD245)))</f>
        <v/>
      </c>
      <c r="D245" s="56">
        <f>IF($B245=0,"",IF(Inputs!$B$7="","",IF($AE245=0,D244,SUMIFS(Data!$F$10:$F$3209,Data!$E$10:$E$3209,"&gt;="&amp;$A245,Data!$E$10:$E$3209,"&lt;"&amp;$A245+1)/$AE245)))</f>
        <v/>
      </c>
      <c r="E245" s="56">
        <f>IF($B245=0,"",IF(Inputs!$B$8="","",IF($AF245=0,E244,SUMIFS(Data!$J$10:$J$3209,Data!$I$10:$I$3209,"&gt;="&amp;$A245,Data!$I$10:$I$3209,"&lt;"&amp;$A245+1)/$AF245)))</f>
        <v/>
      </c>
      <c r="F245" s="56">
        <f>IF($B245=0,"",IF(Inputs!$B$9="","",IF($AG245=0,F244,SUMIFS(Data!$N$10:$N$3209,Data!$M$10:$M$3209,"&gt;="&amp;$A245,Data!$M$10:$M$3209,"&lt;"&amp;$A245+1)/$AG245)))</f>
        <v/>
      </c>
      <c r="G245" s="56">
        <f>IF($B245=0,"",IF(Inputs!$B$10="","",IF($AH245=0,G244,SUMIFS(Data!$R$10:$R$3209,Data!$Q$10:$Q$3209,"&gt;="&amp;$A245,Data!$Q$10:$Q$3209,"&lt;"&amp;$A245+1)/$AH245)))</f>
        <v/>
      </c>
      <c r="I245" s="54">
        <f>IF($B245=0,NA(),IF($C245="",NA(),IF(C$8="",NA(),IF(N(C$8)=0,NA(),IF(Inputs!$C$17="Rebased to 100",$C245/C$8*100,$C245)))))</f>
        <v/>
      </c>
      <c r="J245" s="54">
        <f>IF($B245=0,NA(),IF($D245="",NA(),IF(D$8="",NA(),IF(N(D$8)=0,NA(),IF(Inputs!$C$17="Rebased to 100",$D245/D$8*100,$D245)))))</f>
        <v/>
      </c>
      <c r="K245" s="54">
        <f>IF($B245=0,NA(),IF($E245="",NA(),IF(E$8="",NA(),IF(N(E$8)=0,NA(),IF(Inputs!$C$17="Rebased to 100",$E245/E$8*100,$E245)))))</f>
        <v/>
      </c>
      <c r="L245" s="54">
        <f>IF($B245=0,NA(),IF($F245="",NA(),IF(F$8="",NA(),IF(N(F$8)=0,NA(),IF(Inputs!$C$17="Rebased to 100",$F245/F$8*100,$F245)))))</f>
        <v/>
      </c>
      <c r="M245" s="54">
        <f>IF($B245=0,NA(),IF($G245="",NA(),IF(G$8="",NA(),IF(N(G$8)=0,NA(),IF(Inputs!$C$17="Rebased to 100",$G245/G$8*100,$G245)))))</f>
        <v/>
      </c>
      <c r="N245" s="54">
        <f>IF($B245=0,NA(),IF(Inputs!$C$18&lt;&gt;"Yes",NA(),IF(COUNT(I245,J245,K245,L245,M245)=0,NA(),MIN(I245,J245,K245,L245,M245))))</f>
        <v/>
      </c>
      <c r="O245" s="54">
        <f>IF($B245=0,NA(),IF(Inputs!$B$24&lt;&gt;"Yes",NA(),Inputs!$D$24*Inputs!$C$35))</f>
        <v/>
      </c>
      <c r="P245" s="54">
        <f>IF($B245=0,NA(),IF(Inputs!$B$25&lt;&gt;"Yes",NA(),Inputs!$D$25*Inputs!$C$35))</f>
        <v/>
      </c>
      <c r="Q245" s="54">
        <f>IF($B245=0,NA(),IF(Inputs!$B$26&lt;&gt;"Yes",NA(),Inputs!$D$26*Inputs!$C$35))</f>
        <v/>
      </c>
      <c r="R245" s="54">
        <f>IF($B245=0,NA(),IF(Inputs!$B$27&lt;&gt;"Yes",NA(),Inputs!$D$27*Inputs!$C$35))</f>
        <v/>
      </c>
      <c r="S245" s="54">
        <f>IF($B245=0,NA(),IF(Inputs!$B$28&lt;&gt;"Yes",NA(),Inputs!$D$28*Inputs!$C$35))</f>
        <v/>
      </c>
      <c r="T245" s="54">
        <f>IF($B245=0,NA(),IF(Inputs!$B$29&lt;&gt;"Yes",NA(),Inputs!$D$29*Inputs!$C$35))</f>
        <v/>
      </c>
      <c r="AD245">
        <f>IF($B245=0,0,IF(Inputs!$B$6="",0,COUNTIFS(Data!$A$10:$A$3209,"&gt;="&amp;$A245,Data!$A$10:$A$3209,"&lt;"&amp;$A245+1)))</f>
        <v/>
      </c>
      <c r="AE245">
        <f>IF($B245=0,0,IF(Inputs!$B$7="",0,COUNTIFS(Data!$E$10:$E$3209,"&gt;="&amp;$A245,Data!$E$10:$E$3209,"&lt;"&amp;$A245+1)))</f>
        <v/>
      </c>
      <c r="AF245">
        <f>IF($B245=0,0,IF(Inputs!$B$8="",0,COUNTIFS(Data!$I$10:$I$3209,"&gt;="&amp;$A245,Data!$I$10:$I$3209,"&lt;"&amp;$A245+1)))</f>
        <v/>
      </c>
      <c r="AG245">
        <f>IF($B245=0,0,IF(Inputs!$B$9="",0,COUNTIFS(Data!$M$10:$M$3209,"&gt;="&amp;$A245,Data!$M$10:$M$3209,"&lt;"&amp;$A245+1)))</f>
        <v/>
      </c>
      <c r="AH245">
        <f>IF($B245=0,0,IF(Inputs!$B$10="",0,COUNTIFS(Data!$Q$10:$Q$3209,"&gt;="&amp;$A245,Data!$Q$10:$Q$3209,"&lt;"&amp;$A245+1)))</f>
        <v/>
      </c>
    </row>
    <row r="246">
      <c r="A246" s="55">
        <f>MIN(Inputs!$C$15,$A245+IF(WEEKDAY($A245,2)=5,3,1))</f>
        <v/>
      </c>
      <c r="B246">
        <f>IF($A246&gt;$A245,1,0)</f>
        <v/>
      </c>
      <c r="C246" s="56">
        <f>IF($B246=0,"",IF(Inputs!$B$6="","",IF($AD246=0,C245,SUMIFS(Data!$B$10:$B$3209,Data!$A$10:$A$3209,"&gt;="&amp;$A246,Data!$A$10:$A$3209,"&lt;"&amp;$A246+1)/$AD246)))</f>
        <v/>
      </c>
      <c r="D246" s="56">
        <f>IF($B246=0,"",IF(Inputs!$B$7="","",IF($AE246=0,D245,SUMIFS(Data!$F$10:$F$3209,Data!$E$10:$E$3209,"&gt;="&amp;$A246,Data!$E$10:$E$3209,"&lt;"&amp;$A246+1)/$AE246)))</f>
        <v/>
      </c>
      <c r="E246" s="56">
        <f>IF($B246=0,"",IF(Inputs!$B$8="","",IF($AF246=0,E245,SUMIFS(Data!$J$10:$J$3209,Data!$I$10:$I$3209,"&gt;="&amp;$A246,Data!$I$10:$I$3209,"&lt;"&amp;$A246+1)/$AF246)))</f>
        <v/>
      </c>
      <c r="F246" s="56">
        <f>IF($B246=0,"",IF(Inputs!$B$9="","",IF($AG246=0,F245,SUMIFS(Data!$N$10:$N$3209,Data!$M$10:$M$3209,"&gt;="&amp;$A246,Data!$M$10:$M$3209,"&lt;"&amp;$A246+1)/$AG246)))</f>
        <v/>
      </c>
      <c r="G246" s="56">
        <f>IF($B246=0,"",IF(Inputs!$B$10="","",IF($AH246=0,G245,SUMIFS(Data!$R$10:$R$3209,Data!$Q$10:$Q$3209,"&gt;="&amp;$A246,Data!$Q$10:$Q$3209,"&lt;"&amp;$A246+1)/$AH246)))</f>
        <v/>
      </c>
      <c r="I246" s="54">
        <f>IF($B246=0,NA(),IF($C246="",NA(),IF(C$8="",NA(),IF(N(C$8)=0,NA(),IF(Inputs!$C$17="Rebased to 100",$C246/C$8*100,$C246)))))</f>
        <v/>
      </c>
      <c r="J246" s="54">
        <f>IF($B246=0,NA(),IF($D246="",NA(),IF(D$8="",NA(),IF(N(D$8)=0,NA(),IF(Inputs!$C$17="Rebased to 100",$D246/D$8*100,$D246)))))</f>
        <v/>
      </c>
      <c r="K246" s="54">
        <f>IF($B246=0,NA(),IF($E246="",NA(),IF(E$8="",NA(),IF(N(E$8)=0,NA(),IF(Inputs!$C$17="Rebased to 100",$E246/E$8*100,$E246)))))</f>
        <v/>
      </c>
      <c r="L246" s="54">
        <f>IF($B246=0,NA(),IF($F246="",NA(),IF(F$8="",NA(),IF(N(F$8)=0,NA(),IF(Inputs!$C$17="Rebased to 100",$F246/F$8*100,$F246)))))</f>
        <v/>
      </c>
      <c r="M246" s="54">
        <f>IF($B246=0,NA(),IF($G246="",NA(),IF(G$8="",NA(),IF(N(G$8)=0,NA(),IF(Inputs!$C$17="Rebased to 100",$G246/G$8*100,$G246)))))</f>
        <v/>
      </c>
      <c r="N246" s="54">
        <f>IF($B246=0,NA(),IF(Inputs!$C$18&lt;&gt;"Yes",NA(),IF(COUNT(I246,J246,K246,L246,M246)=0,NA(),MIN(I246,J246,K246,L246,M246))))</f>
        <v/>
      </c>
      <c r="O246" s="54">
        <f>IF($B246=0,NA(),IF(Inputs!$B$24&lt;&gt;"Yes",NA(),Inputs!$D$24*Inputs!$C$35))</f>
        <v/>
      </c>
      <c r="P246" s="54">
        <f>IF($B246=0,NA(),IF(Inputs!$B$25&lt;&gt;"Yes",NA(),Inputs!$D$25*Inputs!$C$35))</f>
        <v/>
      </c>
      <c r="Q246" s="54">
        <f>IF($B246=0,NA(),IF(Inputs!$B$26&lt;&gt;"Yes",NA(),Inputs!$D$26*Inputs!$C$35))</f>
        <v/>
      </c>
      <c r="R246" s="54">
        <f>IF($B246=0,NA(),IF(Inputs!$B$27&lt;&gt;"Yes",NA(),Inputs!$D$27*Inputs!$C$35))</f>
        <v/>
      </c>
      <c r="S246" s="54">
        <f>IF($B246=0,NA(),IF(Inputs!$B$28&lt;&gt;"Yes",NA(),Inputs!$D$28*Inputs!$C$35))</f>
        <v/>
      </c>
      <c r="T246" s="54">
        <f>IF($B246=0,NA(),IF(Inputs!$B$29&lt;&gt;"Yes",NA(),Inputs!$D$29*Inputs!$C$35))</f>
        <v/>
      </c>
      <c r="AD246">
        <f>IF($B246=0,0,IF(Inputs!$B$6="",0,COUNTIFS(Data!$A$10:$A$3209,"&gt;="&amp;$A246,Data!$A$10:$A$3209,"&lt;"&amp;$A246+1)))</f>
        <v/>
      </c>
      <c r="AE246">
        <f>IF($B246=0,0,IF(Inputs!$B$7="",0,COUNTIFS(Data!$E$10:$E$3209,"&gt;="&amp;$A246,Data!$E$10:$E$3209,"&lt;"&amp;$A246+1)))</f>
        <v/>
      </c>
      <c r="AF246">
        <f>IF($B246=0,0,IF(Inputs!$B$8="",0,COUNTIFS(Data!$I$10:$I$3209,"&gt;="&amp;$A246,Data!$I$10:$I$3209,"&lt;"&amp;$A246+1)))</f>
        <v/>
      </c>
      <c r="AG246">
        <f>IF($B246=0,0,IF(Inputs!$B$9="",0,COUNTIFS(Data!$M$10:$M$3209,"&gt;="&amp;$A246,Data!$M$10:$M$3209,"&lt;"&amp;$A246+1)))</f>
        <v/>
      </c>
      <c r="AH246">
        <f>IF($B246=0,0,IF(Inputs!$B$10="",0,COUNTIFS(Data!$Q$10:$Q$3209,"&gt;="&amp;$A246,Data!$Q$10:$Q$3209,"&lt;"&amp;$A246+1)))</f>
        <v/>
      </c>
    </row>
    <row r="247">
      <c r="A247" s="55">
        <f>MIN(Inputs!$C$15,$A246+IF(WEEKDAY($A246,2)=5,3,1))</f>
        <v/>
      </c>
      <c r="B247">
        <f>IF($A247&gt;$A246,1,0)</f>
        <v/>
      </c>
      <c r="C247" s="56">
        <f>IF($B247=0,"",IF(Inputs!$B$6="","",IF($AD247=0,C246,SUMIFS(Data!$B$10:$B$3209,Data!$A$10:$A$3209,"&gt;="&amp;$A247,Data!$A$10:$A$3209,"&lt;"&amp;$A247+1)/$AD247)))</f>
        <v/>
      </c>
      <c r="D247" s="56">
        <f>IF($B247=0,"",IF(Inputs!$B$7="","",IF($AE247=0,D246,SUMIFS(Data!$F$10:$F$3209,Data!$E$10:$E$3209,"&gt;="&amp;$A247,Data!$E$10:$E$3209,"&lt;"&amp;$A247+1)/$AE247)))</f>
        <v/>
      </c>
      <c r="E247" s="56">
        <f>IF($B247=0,"",IF(Inputs!$B$8="","",IF($AF247=0,E246,SUMIFS(Data!$J$10:$J$3209,Data!$I$10:$I$3209,"&gt;="&amp;$A247,Data!$I$10:$I$3209,"&lt;"&amp;$A247+1)/$AF247)))</f>
        <v/>
      </c>
      <c r="F247" s="56">
        <f>IF($B247=0,"",IF(Inputs!$B$9="","",IF($AG247=0,F246,SUMIFS(Data!$N$10:$N$3209,Data!$M$10:$M$3209,"&gt;="&amp;$A247,Data!$M$10:$M$3209,"&lt;"&amp;$A247+1)/$AG247)))</f>
        <v/>
      </c>
      <c r="G247" s="56">
        <f>IF($B247=0,"",IF(Inputs!$B$10="","",IF($AH247=0,G246,SUMIFS(Data!$R$10:$R$3209,Data!$Q$10:$Q$3209,"&gt;="&amp;$A247,Data!$Q$10:$Q$3209,"&lt;"&amp;$A247+1)/$AH247)))</f>
        <v/>
      </c>
      <c r="I247" s="54">
        <f>IF($B247=0,NA(),IF($C247="",NA(),IF(C$8="",NA(),IF(N(C$8)=0,NA(),IF(Inputs!$C$17="Rebased to 100",$C247/C$8*100,$C247)))))</f>
        <v/>
      </c>
      <c r="J247" s="54">
        <f>IF($B247=0,NA(),IF($D247="",NA(),IF(D$8="",NA(),IF(N(D$8)=0,NA(),IF(Inputs!$C$17="Rebased to 100",$D247/D$8*100,$D247)))))</f>
        <v/>
      </c>
      <c r="K247" s="54">
        <f>IF($B247=0,NA(),IF($E247="",NA(),IF(E$8="",NA(),IF(N(E$8)=0,NA(),IF(Inputs!$C$17="Rebased to 100",$E247/E$8*100,$E247)))))</f>
        <v/>
      </c>
      <c r="L247" s="54">
        <f>IF($B247=0,NA(),IF($F247="",NA(),IF(F$8="",NA(),IF(N(F$8)=0,NA(),IF(Inputs!$C$17="Rebased to 100",$F247/F$8*100,$F247)))))</f>
        <v/>
      </c>
      <c r="M247" s="54">
        <f>IF($B247=0,NA(),IF($G247="",NA(),IF(G$8="",NA(),IF(N(G$8)=0,NA(),IF(Inputs!$C$17="Rebased to 100",$G247/G$8*100,$G247)))))</f>
        <v/>
      </c>
      <c r="N247" s="54">
        <f>IF($B247=0,NA(),IF(Inputs!$C$18&lt;&gt;"Yes",NA(),IF(COUNT(I247,J247,K247,L247,M247)=0,NA(),MIN(I247,J247,K247,L247,M247))))</f>
        <v/>
      </c>
      <c r="O247" s="54">
        <f>IF($B247=0,NA(),IF(Inputs!$B$24&lt;&gt;"Yes",NA(),Inputs!$D$24*Inputs!$C$35))</f>
        <v/>
      </c>
      <c r="P247" s="54">
        <f>IF($B247=0,NA(),IF(Inputs!$B$25&lt;&gt;"Yes",NA(),Inputs!$D$25*Inputs!$C$35))</f>
        <v/>
      </c>
      <c r="Q247" s="54">
        <f>IF($B247=0,NA(),IF(Inputs!$B$26&lt;&gt;"Yes",NA(),Inputs!$D$26*Inputs!$C$35))</f>
        <v/>
      </c>
      <c r="R247" s="54">
        <f>IF($B247=0,NA(),IF(Inputs!$B$27&lt;&gt;"Yes",NA(),Inputs!$D$27*Inputs!$C$35))</f>
        <v/>
      </c>
      <c r="S247" s="54">
        <f>IF($B247=0,NA(),IF(Inputs!$B$28&lt;&gt;"Yes",NA(),Inputs!$D$28*Inputs!$C$35))</f>
        <v/>
      </c>
      <c r="T247" s="54">
        <f>IF($B247=0,NA(),IF(Inputs!$B$29&lt;&gt;"Yes",NA(),Inputs!$D$29*Inputs!$C$35))</f>
        <v/>
      </c>
      <c r="AD247">
        <f>IF($B247=0,0,IF(Inputs!$B$6="",0,COUNTIFS(Data!$A$10:$A$3209,"&gt;="&amp;$A247,Data!$A$10:$A$3209,"&lt;"&amp;$A247+1)))</f>
        <v/>
      </c>
      <c r="AE247">
        <f>IF($B247=0,0,IF(Inputs!$B$7="",0,COUNTIFS(Data!$E$10:$E$3209,"&gt;="&amp;$A247,Data!$E$10:$E$3209,"&lt;"&amp;$A247+1)))</f>
        <v/>
      </c>
      <c r="AF247">
        <f>IF($B247=0,0,IF(Inputs!$B$8="",0,COUNTIFS(Data!$I$10:$I$3209,"&gt;="&amp;$A247,Data!$I$10:$I$3209,"&lt;"&amp;$A247+1)))</f>
        <v/>
      </c>
      <c r="AG247">
        <f>IF($B247=0,0,IF(Inputs!$B$9="",0,COUNTIFS(Data!$M$10:$M$3209,"&gt;="&amp;$A247,Data!$M$10:$M$3209,"&lt;"&amp;$A247+1)))</f>
        <v/>
      </c>
      <c r="AH247">
        <f>IF($B247=0,0,IF(Inputs!$B$10="",0,COUNTIFS(Data!$Q$10:$Q$3209,"&gt;="&amp;$A247,Data!$Q$10:$Q$3209,"&lt;"&amp;$A247+1)))</f>
        <v/>
      </c>
    </row>
    <row r="248">
      <c r="A248" s="55">
        <f>MIN(Inputs!$C$15,$A247+IF(WEEKDAY($A247,2)=5,3,1))</f>
        <v/>
      </c>
      <c r="B248">
        <f>IF($A248&gt;$A247,1,0)</f>
        <v/>
      </c>
      <c r="C248" s="56">
        <f>IF($B248=0,"",IF(Inputs!$B$6="","",IF($AD248=0,C247,SUMIFS(Data!$B$10:$B$3209,Data!$A$10:$A$3209,"&gt;="&amp;$A248,Data!$A$10:$A$3209,"&lt;"&amp;$A248+1)/$AD248)))</f>
        <v/>
      </c>
      <c r="D248" s="56">
        <f>IF($B248=0,"",IF(Inputs!$B$7="","",IF($AE248=0,D247,SUMIFS(Data!$F$10:$F$3209,Data!$E$10:$E$3209,"&gt;="&amp;$A248,Data!$E$10:$E$3209,"&lt;"&amp;$A248+1)/$AE248)))</f>
        <v/>
      </c>
      <c r="E248" s="56">
        <f>IF($B248=0,"",IF(Inputs!$B$8="","",IF($AF248=0,E247,SUMIFS(Data!$J$10:$J$3209,Data!$I$10:$I$3209,"&gt;="&amp;$A248,Data!$I$10:$I$3209,"&lt;"&amp;$A248+1)/$AF248)))</f>
        <v/>
      </c>
      <c r="F248" s="56">
        <f>IF($B248=0,"",IF(Inputs!$B$9="","",IF($AG248=0,F247,SUMIFS(Data!$N$10:$N$3209,Data!$M$10:$M$3209,"&gt;="&amp;$A248,Data!$M$10:$M$3209,"&lt;"&amp;$A248+1)/$AG248)))</f>
        <v/>
      </c>
      <c r="G248" s="56">
        <f>IF($B248=0,"",IF(Inputs!$B$10="","",IF($AH248=0,G247,SUMIFS(Data!$R$10:$R$3209,Data!$Q$10:$Q$3209,"&gt;="&amp;$A248,Data!$Q$10:$Q$3209,"&lt;"&amp;$A248+1)/$AH248)))</f>
        <v/>
      </c>
      <c r="I248" s="54">
        <f>IF($B248=0,NA(),IF($C248="",NA(),IF(C$8="",NA(),IF(N(C$8)=0,NA(),IF(Inputs!$C$17="Rebased to 100",$C248/C$8*100,$C248)))))</f>
        <v/>
      </c>
      <c r="J248" s="54">
        <f>IF($B248=0,NA(),IF($D248="",NA(),IF(D$8="",NA(),IF(N(D$8)=0,NA(),IF(Inputs!$C$17="Rebased to 100",$D248/D$8*100,$D248)))))</f>
        <v/>
      </c>
      <c r="K248" s="54">
        <f>IF($B248=0,NA(),IF($E248="",NA(),IF(E$8="",NA(),IF(N(E$8)=0,NA(),IF(Inputs!$C$17="Rebased to 100",$E248/E$8*100,$E248)))))</f>
        <v/>
      </c>
      <c r="L248" s="54">
        <f>IF($B248=0,NA(),IF($F248="",NA(),IF(F$8="",NA(),IF(N(F$8)=0,NA(),IF(Inputs!$C$17="Rebased to 100",$F248/F$8*100,$F248)))))</f>
        <v/>
      </c>
      <c r="M248" s="54">
        <f>IF($B248=0,NA(),IF($G248="",NA(),IF(G$8="",NA(),IF(N(G$8)=0,NA(),IF(Inputs!$C$17="Rebased to 100",$G248/G$8*100,$G248)))))</f>
        <v/>
      </c>
      <c r="N248" s="54">
        <f>IF($B248=0,NA(),IF(Inputs!$C$18&lt;&gt;"Yes",NA(),IF(COUNT(I248,J248,K248,L248,M248)=0,NA(),MIN(I248,J248,K248,L248,M248))))</f>
        <v/>
      </c>
      <c r="O248" s="54">
        <f>IF($B248=0,NA(),IF(Inputs!$B$24&lt;&gt;"Yes",NA(),Inputs!$D$24*Inputs!$C$35))</f>
        <v/>
      </c>
      <c r="P248" s="54">
        <f>IF($B248=0,NA(),IF(Inputs!$B$25&lt;&gt;"Yes",NA(),Inputs!$D$25*Inputs!$C$35))</f>
        <v/>
      </c>
      <c r="Q248" s="54">
        <f>IF($B248=0,NA(),IF(Inputs!$B$26&lt;&gt;"Yes",NA(),Inputs!$D$26*Inputs!$C$35))</f>
        <v/>
      </c>
      <c r="R248" s="54">
        <f>IF($B248=0,NA(),IF(Inputs!$B$27&lt;&gt;"Yes",NA(),Inputs!$D$27*Inputs!$C$35))</f>
        <v/>
      </c>
      <c r="S248" s="54">
        <f>IF($B248=0,NA(),IF(Inputs!$B$28&lt;&gt;"Yes",NA(),Inputs!$D$28*Inputs!$C$35))</f>
        <v/>
      </c>
      <c r="T248" s="54">
        <f>IF($B248=0,NA(),IF(Inputs!$B$29&lt;&gt;"Yes",NA(),Inputs!$D$29*Inputs!$C$35))</f>
        <v/>
      </c>
      <c r="AD248">
        <f>IF($B248=0,0,IF(Inputs!$B$6="",0,COUNTIFS(Data!$A$10:$A$3209,"&gt;="&amp;$A248,Data!$A$10:$A$3209,"&lt;"&amp;$A248+1)))</f>
        <v/>
      </c>
      <c r="AE248">
        <f>IF($B248=0,0,IF(Inputs!$B$7="",0,COUNTIFS(Data!$E$10:$E$3209,"&gt;="&amp;$A248,Data!$E$10:$E$3209,"&lt;"&amp;$A248+1)))</f>
        <v/>
      </c>
      <c r="AF248">
        <f>IF($B248=0,0,IF(Inputs!$B$8="",0,COUNTIFS(Data!$I$10:$I$3209,"&gt;="&amp;$A248,Data!$I$10:$I$3209,"&lt;"&amp;$A248+1)))</f>
        <v/>
      </c>
      <c r="AG248">
        <f>IF($B248=0,0,IF(Inputs!$B$9="",0,COUNTIFS(Data!$M$10:$M$3209,"&gt;="&amp;$A248,Data!$M$10:$M$3209,"&lt;"&amp;$A248+1)))</f>
        <v/>
      </c>
      <c r="AH248">
        <f>IF($B248=0,0,IF(Inputs!$B$10="",0,COUNTIFS(Data!$Q$10:$Q$3209,"&gt;="&amp;$A248,Data!$Q$10:$Q$3209,"&lt;"&amp;$A248+1)))</f>
        <v/>
      </c>
    </row>
    <row r="249">
      <c r="A249" s="55">
        <f>MIN(Inputs!$C$15,$A248+IF(WEEKDAY($A248,2)=5,3,1))</f>
        <v/>
      </c>
      <c r="B249">
        <f>IF($A249&gt;$A248,1,0)</f>
        <v/>
      </c>
      <c r="C249" s="56">
        <f>IF($B249=0,"",IF(Inputs!$B$6="","",IF($AD249=0,C248,SUMIFS(Data!$B$10:$B$3209,Data!$A$10:$A$3209,"&gt;="&amp;$A249,Data!$A$10:$A$3209,"&lt;"&amp;$A249+1)/$AD249)))</f>
        <v/>
      </c>
      <c r="D249" s="56">
        <f>IF($B249=0,"",IF(Inputs!$B$7="","",IF($AE249=0,D248,SUMIFS(Data!$F$10:$F$3209,Data!$E$10:$E$3209,"&gt;="&amp;$A249,Data!$E$10:$E$3209,"&lt;"&amp;$A249+1)/$AE249)))</f>
        <v/>
      </c>
      <c r="E249" s="56">
        <f>IF($B249=0,"",IF(Inputs!$B$8="","",IF($AF249=0,E248,SUMIFS(Data!$J$10:$J$3209,Data!$I$10:$I$3209,"&gt;="&amp;$A249,Data!$I$10:$I$3209,"&lt;"&amp;$A249+1)/$AF249)))</f>
        <v/>
      </c>
      <c r="F249" s="56">
        <f>IF($B249=0,"",IF(Inputs!$B$9="","",IF($AG249=0,F248,SUMIFS(Data!$N$10:$N$3209,Data!$M$10:$M$3209,"&gt;="&amp;$A249,Data!$M$10:$M$3209,"&lt;"&amp;$A249+1)/$AG249)))</f>
        <v/>
      </c>
      <c r="G249" s="56">
        <f>IF($B249=0,"",IF(Inputs!$B$10="","",IF($AH249=0,G248,SUMIFS(Data!$R$10:$R$3209,Data!$Q$10:$Q$3209,"&gt;="&amp;$A249,Data!$Q$10:$Q$3209,"&lt;"&amp;$A249+1)/$AH249)))</f>
        <v/>
      </c>
      <c r="I249" s="54">
        <f>IF($B249=0,NA(),IF($C249="",NA(),IF(C$8="",NA(),IF(N(C$8)=0,NA(),IF(Inputs!$C$17="Rebased to 100",$C249/C$8*100,$C249)))))</f>
        <v/>
      </c>
      <c r="J249" s="54">
        <f>IF($B249=0,NA(),IF($D249="",NA(),IF(D$8="",NA(),IF(N(D$8)=0,NA(),IF(Inputs!$C$17="Rebased to 100",$D249/D$8*100,$D249)))))</f>
        <v/>
      </c>
      <c r="K249" s="54">
        <f>IF($B249=0,NA(),IF($E249="",NA(),IF(E$8="",NA(),IF(N(E$8)=0,NA(),IF(Inputs!$C$17="Rebased to 100",$E249/E$8*100,$E249)))))</f>
        <v/>
      </c>
      <c r="L249" s="54">
        <f>IF($B249=0,NA(),IF($F249="",NA(),IF(F$8="",NA(),IF(N(F$8)=0,NA(),IF(Inputs!$C$17="Rebased to 100",$F249/F$8*100,$F249)))))</f>
        <v/>
      </c>
      <c r="M249" s="54">
        <f>IF($B249=0,NA(),IF($G249="",NA(),IF(G$8="",NA(),IF(N(G$8)=0,NA(),IF(Inputs!$C$17="Rebased to 100",$G249/G$8*100,$G249)))))</f>
        <v/>
      </c>
      <c r="N249" s="54">
        <f>IF($B249=0,NA(),IF(Inputs!$C$18&lt;&gt;"Yes",NA(),IF(COUNT(I249,J249,K249,L249,M249)=0,NA(),MIN(I249,J249,K249,L249,M249))))</f>
        <v/>
      </c>
      <c r="O249" s="54">
        <f>IF($B249=0,NA(),IF(Inputs!$B$24&lt;&gt;"Yes",NA(),Inputs!$D$24*Inputs!$C$35))</f>
        <v/>
      </c>
      <c r="P249" s="54">
        <f>IF($B249=0,NA(),IF(Inputs!$B$25&lt;&gt;"Yes",NA(),Inputs!$D$25*Inputs!$C$35))</f>
        <v/>
      </c>
      <c r="Q249" s="54">
        <f>IF($B249=0,NA(),IF(Inputs!$B$26&lt;&gt;"Yes",NA(),Inputs!$D$26*Inputs!$C$35))</f>
        <v/>
      </c>
      <c r="R249" s="54">
        <f>IF($B249=0,NA(),IF(Inputs!$B$27&lt;&gt;"Yes",NA(),Inputs!$D$27*Inputs!$C$35))</f>
        <v/>
      </c>
      <c r="S249" s="54">
        <f>IF($B249=0,NA(),IF(Inputs!$B$28&lt;&gt;"Yes",NA(),Inputs!$D$28*Inputs!$C$35))</f>
        <v/>
      </c>
      <c r="T249" s="54">
        <f>IF($B249=0,NA(),IF(Inputs!$B$29&lt;&gt;"Yes",NA(),Inputs!$D$29*Inputs!$C$35))</f>
        <v/>
      </c>
      <c r="AD249">
        <f>IF($B249=0,0,IF(Inputs!$B$6="",0,COUNTIFS(Data!$A$10:$A$3209,"&gt;="&amp;$A249,Data!$A$10:$A$3209,"&lt;"&amp;$A249+1)))</f>
        <v/>
      </c>
      <c r="AE249">
        <f>IF($B249=0,0,IF(Inputs!$B$7="",0,COUNTIFS(Data!$E$10:$E$3209,"&gt;="&amp;$A249,Data!$E$10:$E$3209,"&lt;"&amp;$A249+1)))</f>
        <v/>
      </c>
      <c r="AF249">
        <f>IF($B249=0,0,IF(Inputs!$B$8="",0,COUNTIFS(Data!$I$10:$I$3209,"&gt;="&amp;$A249,Data!$I$10:$I$3209,"&lt;"&amp;$A249+1)))</f>
        <v/>
      </c>
      <c r="AG249">
        <f>IF($B249=0,0,IF(Inputs!$B$9="",0,COUNTIFS(Data!$M$10:$M$3209,"&gt;="&amp;$A249,Data!$M$10:$M$3209,"&lt;"&amp;$A249+1)))</f>
        <v/>
      </c>
      <c r="AH249">
        <f>IF($B249=0,0,IF(Inputs!$B$10="",0,COUNTIFS(Data!$Q$10:$Q$3209,"&gt;="&amp;$A249,Data!$Q$10:$Q$3209,"&lt;"&amp;$A249+1)))</f>
        <v/>
      </c>
    </row>
    <row r="250">
      <c r="A250" s="55">
        <f>MIN(Inputs!$C$15,$A249+IF(WEEKDAY($A249,2)=5,3,1))</f>
        <v/>
      </c>
      <c r="B250">
        <f>IF($A250&gt;$A249,1,0)</f>
        <v/>
      </c>
      <c r="C250" s="56">
        <f>IF($B250=0,"",IF(Inputs!$B$6="","",IF($AD250=0,C249,SUMIFS(Data!$B$10:$B$3209,Data!$A$10:$A$3209,"&gt;="&amp;$A250,Data!$A$10:$A$3209,"&lt;"&amp;$A250+1)/$AD250)))</f>
        <v/>
      </c>
      <c r="D250" s="56">
        <f>IF($B250=0,"",IF(Inputs!$B$7="","",IF($AE250=0,D249,SUMIFS(Data!$F$10:$F$3209,Data!$E$10:$E$3209,"&gt;="&amp;$A250,Data!$E$10:$E$3209,"&lt;"&amp;$A250+1)/$AE250)))</f>
        <v/>
      </c>
      <c r="E250" s="56">
        <f>IF($B250=0,"",IF(Inputs!$B$8="","",IF($AF250=0,E249,SUMIFS(Data!$J$10:$J$3209,Data!$I$10:$I$3209,"&gt;="&amp;$A250,Data!$I$10:$I$3209,"&lt;"&amp;$A250+1)/$AF250)))</f>
        <v/>
      </c>
      <c r="F250" s="56">
        <f>IF($B250=0,"",IF(Inputs!$B$9="","",IF($AG250=0,F249,SUMIFS(Data!$N$10:$N$3209,Data!$M$10:$M$3209,"&gt;="&amp;$A250,Data!$M$10:$M$3209,"&lt;"&amp;$A250+1)/$AG250)))</f>
        <v/>
      </c>
      <c r="G250" s="56">
        <f>IF($B250=0,"",IF(Inputs!$B$10="","",IF($AH250=0,G249,SUMIFS(Data!$R$10:$R$3209,Data!$Q$10:$Q$3209,"&gt;="&amp;$A250,Data!$Q$10:$Q$3209,"&lt;"&amp;$A250+1)/$AH250)))</f>
        <v/>
      </c>
      <c r="I250" s="54">
        <f>IF($B250=0,NA(),IF($C250="",NA(),IF(C$8="",NA(),IF(N(C$8)=0,NA(),IF(Inputs!$C$17="Rebased to 100",$C250/C$8*100,$C250)))))</f>
        <v/>
      </c>
      <c r="J250" s="54">
        <f>IF($B250=0,NA(),IF($D250="",NA(),IF(D$8="",NA(),IF(N(D$8)=0,NA(),IF(Inputs!$C$17="Rebased to 100",$D250/D$8*100,$D250)))))</f>
        <v/>
      </c>
      <c r="K250" s="54">
        <f>IF($B250=0,NA(),IF($E250="",NA(),IF(E$8="",NA(),IF(N(E$8)=0,NA(),IF(Inputs!$C$17="Rebased to 100",$E250/E$8*100,$E250)))))</f>
        <v/>
      </c>
      <c r="L250" s="54">
        <f>IF($B250=0,NA(),IF($F250="",NA(),IF(F$8="",NA(),IF(N(F$8)=0,NA(),IF(Inputs!$C$17="Rebased to 100",$F250/F$8*100,$F250)))))</f>
        <v/>
      </c>
      <c r="M250" s="54">
        <f>IF($B250=0,NA(),IF($G250="",NA(),IF(G$8="",NA(),IF(N(G$8)=0,NA(),IF(Inputs!$C$17="Rebased to 100",$G250/G$8*100,$G250)))))</f>
        <v/>
      </c>
      <c r="N250" s="54">
        <f>IF($B250=0,NA(),IF(Inputs!$C$18&lt;&gt;"Yes",NA(),IF(COUNT(I250,J250,K250,L250,M250)=0,NA(),MIN(I250,J250,K250,L250,M250))))</f>
        <v/>
      </c>
      <c r="O250" s="54">
        <f>IF($B250=0,NA(),IF(Inputs!$B$24&lt;&gt;"Yes",NA(),Inputs!$D$24*Inputs!$C$35))</f>
        <v/>
      </c>
      <c r="P250" s="54">
        <f>IF($B250=0,NA(),IF(Inputs!$B$25&lt;&gt;"Yes",NA(),Inputs!$D$25*Inputs!$C$35))</f>
        <v/>
      </c>
      <c r="Q250" s="54">
        <f>IF($B250=0,NA(),IF(Inputs!$B$26&lt;&gt;"Yes",NA(),Inputs!$D$26*Inputs!$C$35))</f>
        <v/>
      </c>
      <c r="R250" s="54">
        <f>IF($B250=0,NA(),IF(Inputs!$B$27&lt;&gt;"Yes",NA(),Inputs!$D$27*Inputs!$C$35))</f>
        <v/>
      </c>
      <c r="S250" s="54">
        <f>IF($B250=0,NA(),IF(Inputs!$B$28&lt;&gt;"Yes",NA(),Inputs!$D$28*Inputs!$C$35))</f>
        <v/>
      </c>
      <c r="T250" s="54">
        <f>IF($B250=0,NA(),IF(Inputs!$B$29&lt;&gt;"Yes",NA(),Inputs!$D$29*Inputs!$C$35))</f>
        <v/>
      </c>
      <c r="AD250">
        <f>IF($B250=0,0,IF(Inputs!$B$6="",0,COUNTIFS(Data!$A$10:$A$3209,"&gt;="&amp;$A250,Data!$A$10:$A$3209,"&lt;"&amp;$A250+1)))</f>
        <v/>
      </c>
      <c r="AE250">
        <f>IF($B250=0,0,IF(Inputs!$B$7="",0,COUNTIFS(Data!$E$10:$E$3209,"&gt;="&amp;$A250,Data!$E$10:$E$3209,"&lt;"&amp;$A250+1)))</f>
        <v/>
      </c>
      <c r="AF250">
        <f>IF($B250=0,0,IF(Inputs!$B$8="",0,COUNTIFS(Data!$I$10:$I$3209,"&gt;="&amp;$A250,Data!$I$10:$I$3209,"&lt;"&amp;$A250+1)))</f>
        <v/>
      </c>
      <c r="AG250">
        <f>IF($B250=0,0,IF(Inputs!$B$9="",0,COUNTIFS(Data!$M$10:$M$3209,"&gt;="&amp;$A250,Data!$M$10:$M$3209,"&lt;"&amp;$A250+1)))</f>
        <v/>
      </c>
      <c r="AH250">
        <f>IF($B250=0,0,IF(Inputs!$B$10="",0,COUNTIFS(Data!$Q$10:$Q$3209,"&gt;="&amp;$A250,Data!$Q$10:$Q$3209,"&lt;"&amp;$A250+1)))</f>
        <v/>
      </c>
    </row>
    <row r="251">
      <c r="A251" s="55">
        <f>MIN(Inputs!$C$15,$A250+IF(WEEKDAY($A250,2)=5,3,1))</f>
        <v/>
      </c>
      <c r="B251">
        <f>IF($A251&gt;$A250,1,0)</f>
        <v/>
      </c>
      <c r="C251" s="56">
        <f>IF($B251=0,"",IF(Inputs!$B$6="","",IF($AD251=0,C250,SUMIFS(Data!$B$10:$B$3209,Data!$A$10:$A$3209,"&gt;="&amp;$A251,Data!$A$10:$A$3209,"&lt;"&amp;$A251+1)/$AD251)))</f>
        <v/>
      </c>
      <c r="D251" s="56">
        <f>IF($B251=0,"",IF(Inputs!$B$7="","",IF($AE251=0,D250,SUMIFS(Data!$F$10:$F$3209,Data!$E$10:$E$3209,"&gt;="&amp;$A251,Data!$E$10:$E$3209,"&lt;"&amp;$A251+1)/$AE251)))</f>
        <v/>
      </c>
      <c r="E251" s="56">
        <f>IF($B251=0,"",IF(Inputs!$B$8="","",IF($AF251=0,E250,SUMIFS(Data!$J$10:$J$3209,Data!$I$10:$I$3209,"&gt;="&amp;$A251,Data!$I$10:$I$3209,"&lt;"&amp;$A251+1)/$AF251)))</f>
        <v/>
      </c>
      <c r="F251" s="56">
        <f>IF($B251=0,"",IF(Inputs!$B$9="","",IF($AG251=0,F250,SUMIFS(Data!$N$10:$N$3209,Data!$M$10:$M$3209,"&gt;="&amp;$A251,Data!$M$10:$M$3209,"&lt;"&amp;$A251+1)/$AG251)))</f>
        <v/>
      </c>
      <c r="G251" s="56">
        <f>IF($B251=0,"",IF(Inputs!$B$10="","",IF($AH251=0,G250,SUMIFS(Data!$R$10:$R$3209,Data!$Q$10:$Q$3209,"&gt;="&amp;$A251,Data!$Q$10:$Q$3209,"&lt;"&amp;$A251+1)/$AH251)))</f>
        <v/>
      </c>
      <c r="I251" s="54">
        <f>IF($B251=0,NA(),IF($C251="",NA(),IF(C$8="",NA(),IF(N(C$8)=0,NA(),IF(Inputs!$C$17="Rebased to 100",$C251/C$8*100,$C251)))))</f>
        <v/>
      </c>
      <c r="J251" s="54">
        <f>IF($B251=0,NA(),IF($D251="",NA(),IF(D$8="",NA(),IF(N(D$8)=0,NA(),IF(Inputs!$C$17="Rebased to 100",$D251/D$8*100,$D251)))))</f>
        <v/>
      </c>
      <c r="K251" s="54">
        <f>IF($B251=0,NA(),IF($E251="",NA(),IF(E$8="",NA(),IF(N(E$8)=0,NA(),IF(Inputs!$C$17="Rebased to 100",$E251/E$8*100,$E251)))))</f>
        <v/>
      </c>
      <c r="L251" s="54">
        <f>IF($B251=0,NA(),IF($F251="",NA(),IF(F$8="",NA(),IF(N(F$8)=0,NA(),IF(Inputs!$C$17="Rebased to 100",$F251/F$8*100,$F251)))))</f>
        <v/>
      </c>
      <c r="M251" s="54">
        <f>IF($B251=0,NA(),IF($G251="",NA(),IF(G$8="",NA(),IF(N(G$8)=0,NA(),IF(Inputs!$C$17="Rebased to 100",$G251/G$8*100,$G251)))))</f>
        <v/>
      </c>
      <c r="N251" s="54">
        <f>IF($B251=0,NA(),IF(Inputs!$C$18&lt;&gt;"Yes",NA(),IF(COUNT(I251,J251,K251,L251,M251)=0,NA(),MIN(I251,J251,K251,L251,M251))))</f>
        <v/>
      </c>
      <c r="O251" s="54">
        <f>IF($B251=0,NA(),IF(Inputs!$B$24&lt;&gt;"Yes",NA(),Inputs!$D$24*Inputs!$C$35))</f>
        <v/>
      </c>
      <c r="P251" s="54">
        <f>IF($B251=0,NA(),IF(Inputs!$B$25&lt;&gt;"Yes",NA(),Inputs!$D$25*Inputs!$C$35))</f>
        <v/>
      </c>
      <c r="Q251" s="54">
        <f>IF($B251=0,NA(),IF(Inputs!$B$26&lt;&gt;"Yes",NA(),Inputs!$D$26*Inputs!$C$35))</f>
        <v/>
      </c>
      <c r="R251" s="54">
        <f>IF($B251=0,NA(),IF(Inputs!$B$27&lt;&gt;"Yes",NA(),Inputs!$D$27*Inputs!$C$35))</f>
        <v/>
      </c>
      <c r="S251" s="54">
        <f>IF($B251=0,NA(),IF(Inputs!$B$28&lt;&gt;"Yes",NA(),Inputs!$D$28*Inputs!$C$35))</f>
        <v/>
      </c>
      <c r="T251" s="54">
        <f>IF($B251=0,NA(),IF(Inputs!$B$29&lt;&gt;"Yes",NA(),Inputs!$D$29*Inputs!$C$35))</f>
        <v/>
      </c>
      <c r="AD251">
        <f>IF($B251=0,0,IF(Inputs!$B$6="",0,COUNTIFS(Data!$A$10:$A$3209,"&gt;="&amp;$A251,Data!$A$10:$A$3209,"&lt;"&amp;$A251+1)))</f>
        <v/>
      </c>
      <c r="AE251">
        <f>IF($B251=0,0,IF(Inputs!$B$7="",0,COUNTIFS(Data!$E$10:$E$3209,"&gt;="&amp;$A251,Data!$E$10:$E$3209,"&lt;"&amp;$A251+1)))</f>
        <v/>
      </c>
      <c r="AF251">
        <f>IF($B251=0,0,IF(Inputs!$B$8="",0,COUNTIFS(Data!$I$10:$I$3209,"&gt;="&amp;$A251,Data!$I$10:$I$3209,"&lt;"&amp;$A251+1)))</f>
        <v/>
      </c>
      <c r="AG251">
        <f>IF($B251=0,0,IF(Inputs!$B$9="",0,COUNTIFS(Data!$M$10:$M$3209,"&gt;="&amp;$A251,Data!$M$10:$M$3209,"&lt;"&amp;$A251+1)))</f>
        <v/>
      </c>
      <c r="AH251">
        <f>IF($B251=0,0,IF(Inputs!$B$10="",0,COUNTIFS(Data!$Q$10:$Q$3209,"&gt;="&amp;$A251,Data!$Q$10:$Q$3209,"&lt;"&amp;$A251+1)))</f>
        <v/>
      </c>
    </row>
    <row r="252">
      <c r="A252" s="55">
        <f>MIN(Inputs!$C$15,$A251+IF(WEEKDAY($A251,2)=5,3,1))</f>
        <v/>
      </c>
      <c r="B252">
        <f>IF($A252&gt;$A251,1,0)</f>
        <v/>
      </c>
      <c r="C252" s="56">
        <f>IF($B252=0,"",IF(Inputs!$B$6="","",IF($AD252=0,C251,SUMIFS(Data!$B$10:$B$3209,Data!$A$10:$A$3209,"&gt;="&amp;$A252,Data!$A$10:$A$3209,"&lt;"&amp;$A252+1)/$AD252)))</f>
        <v/>
      </c>
      <c r="D252" s="56">
        <f>IF($B252=0,"",IF(Inputs!$B$7="","",IF($AE252=0,D251,SUMIFS(Data!$F$10:$F$3209,Data!$E$10:$E$3209,"&gt;="&amp;$A252,Data!$E$10:$E$3209,"&lt;"&amp;$A252+1)/$AE252)))</f>
        <v/>
      </c>
      <c r="E252" s="56">
        <f>IF($B252=0,"",IF(Inputs!$B$8="","",IF($AF252=0,E251,SUMIFS(Data!$J$10:$J$3209,Data!$I$10:$I$3209,"&gt;="&amp;$A252,Data!$I$10:$I$3209,"&lt;"&amp;$A252+1)/$AF252)))</f>
        <v/>
      </c>
      <c r="F252" s="56">
        <f>IF($B252=0,"",IF(Inputs!$B$9="","",IF($AG252=0,F251,SUMIFS(Data!$N$10:$N$3209,Data!$M$10:$M$3209,"&gt;="&amp;$A252,Data!$M$10:$M$3209,"&lt;"&amp;$A252+1)/$AG252)))</f>
        <v/>
      </c>
      <c r="G252" s="56">
        <f>IF($B252=0,"",IF(Inputs!$B$10="","",IF($AH252=0,G251,SUMIFS(Data!$R$10:$R$3209,Data!$Q$10:$Q$3209,"&gt;="&amp;$A252,Data!$Q$10:$Q$3209,"&lt;"&amp;$A252+1)/$AH252)))</f>
        <v/>
      </c>
      <c r="I252" s="54">
        <f>IF($B252=0,NA(),IF($C252="",NA(),IF(C$8="",NA(),IF(N(C$8)=0,NA(),IF(Inputs!$C$17="Rebased to 100",$C252/C$8*100,$C252)))))</f>
        <v/>
      </c>
      <c r="J252" s="54">
        <f>IF($B252=0,NA(),IF($D252="",NA(),IF(D$8="",NA(),IF(N(D$8)=0,NA(),IF(Inputs!$C$17="Rebased to 100",$D252/D$8*100,$D252)))))</f>
        <v/>
      </c>
      <c r="K252" s="54">
        <f>IF($B252=0,NA(),IF($E252="",NA(),IF(E$8="",NA(),IF(N(E$8)=0,NA(),IF(Inputs!$C$17="Rebased to 100",$E252/E$8*100,$E252)))))</f>
        <v/>
      </c>
      <c r="L252" s="54">
        <f>IF($B252=0,NA(),IF($F252="",NA(),IF(F$8="",NA(),IF(N(F$8)=0,NA(),IF(Inputs!$C$17="Rebased to 100",$F252/F$8*100,$F252)))))</f>
        <v/>
      </c>
      <c r="M252" s="54">
        <f>IF($B252=0,NA(),IF($G252="",NA(),IF(G$8="",NA(),IF(N(G$8)=0,NA(),IF(Inputs!$C$17="Rebased to 100",$G252/G$8*100,$G252)))))</f>
        <v/>
      </c>
      <c r="N252" s="54">
        <f>IF($B252=0,NA(),IF(Inputs!$C$18&lt;&gt;"Yes",NA(),IF(COUNT(I252,J252,K252,L252,M252)=0,NA(),MIN(I252,J252,K252,L252,M252))))</f>
        <v/>
      </c>
      <c r="O252" s="54">
        <f>IF($B252=0,NA(),IF(Inputs!$B$24&lt;&gt;"Yes",NA(),Inputs!$D$24*Inputs!$C$35))</f>
        <v/>
      </c>
      <c r="P252" s="54">
        <f>IF($B252=0,NA(),IF(Inputs!$B$25&lt;&gt;"Yes",NA(),Inputs!$D$25*Inputs!$C$35))</f>
        <v/>
      </c>
      <c r="Q252" s="54">
        <f>IF($B252=0,NA(),IF(Inputs!$B$26&lt;&gt;"Yes",NA(),Inputs!$D$26*Inputs!$C$35))</f>
        <v/>
      </c>
      <c r="R252" s="54">
        <f>IF($B252=0,NA(),IF(Inputs!$B$27&lt;&gt;"Yes",NA(),Inputs!$D$27*Inputs!$C$35))</f>
        <v/>
      </c>
      <c r="S252" s="54">
        <f>IF($B252=0,NA(),IF(Inputs!$B$28&lt;&gt;"Yes",NA(),Inputs!$D$28*Inputs!$C$35))</f>
        <v/>
      </c>
      <c r="T252" s="54">
        <f>IF($B252=0,NA(),IF(Inputs!$B$29&lt;&gt;"Yes",NA(),Inputs!$D$29*Inputs!$C$35))</f>
        <v/>
      </c>
      <c r="AD252">
        <f>IF($B252=0,0,IF(Inputs!$B$6="",0,COUNTIFS(Data!$A$10:$A$3209,"&gt;="&amp;$A252,Data!$A$10:$A$3209,"&lt;"&amp;$A252+1)))</f>
        <v/>
      </c>
      <c r="AE252">
        <f>IF($B252=0,0,IF(Inputs!$B$7="",0,COUNTIFS(Data!$E$10:$E$3209,"&gt;="&amp;$A252,Data!$E$10:$E$3209,"&lt;"&amp;$A252+1)))</f>
        <v/>
      </c>
      <c r="AF252">
        <f>IF($B252=0,0,IF(Inputs!$B$8="",0,COUNTIFS(Data!$I$10:$I$3209,"&gt;="&amp;$A252,Data!$I$10:$I$3209,"&lt;"&amp;$A252+1)))</f>
        <v/>
      </c>
      <c r="AG252">
        <f>IF($B252=0,0,IF(Inputs!$B$9="",0,COUNTIFS(Data!$M$10:$M$3209,"&gt;="&amp;$A252,Data!$M$10:$M$3209,"&lt;"&amp;$A252+1)))</f>
        <v/>
      </c>
      <c r="AH252">
        <f>IF($B252=0,0,IF(Inputs!$B$10="",0,COUNTIFS(Data!$Q$10:$Q$3209,"&gt;="&amp;$A252,Data!$Q$10:$Q$3209,"&lt;"&amp;$A252+1)))</f>
        <v/>
      </c>
    </row>
    <row r="253">
      <c r="A253" s="55">
        <f>MIN(Inputs!$C$15,$A252+IF(WEEKDAY($A252,2)=5,3,1))</f>
        <v/>
      </c>
      <c r="B253">
        <f>IF($A253&gt;$A252,1,0)</f>
        <v/>
      </c>
      <c r="C253" s="56">
        <f>IF($B253=0,"",IF(Inputs!$B$6="","",IF($AD253=0,C252,SUMIFS(Data!$B$10:$B$3209,Data!$A$10:$A$3209,"&gt;="&amp;$A253,Data!$A$10:$A$3209,"&lt;"&amp;$A253+1)/$AD253)))</f>
        <v/>
      </c>
      <c r="D253" s="56">
        <f>IF($B253=0,"",IF(Inputs!$B$7="","",IF($AE253=0,D252,SUMIFS(Data!$F$10:$F$3209,Data!$E$10:$E$3209,"&gt;="&amp;$A253,Data!$E$10:$E$3209,"&lt;"&amp;$A253+1)/$AE253)))</f>
        <v/>
      </c>
      <c r="E253" s="56">
        <f>IF($B253=0,"",IF(Inputs!$B$8="","",IF($AF253=0,E252,SUMIFS(Data!$J$10:$J$3209,Data!$I$10:$I$3209,"&gt;="&amp;$A253,Data!$I$10:$I$3209,"&lt;"&amp;$A253+1)/$AF253)))</f>
        <v/>
      </c>
      <c r="F253" s="56">
        <f>IF($B253=0,"",IF(Inputs!$B$9="","",IF($AG253=0,F252,SUMIFS(Data!$N$10:$N$3209,Data!$M$10:$M$3209,"&gt;="&amp;$A253,Data!$M$10:$M$3209,"&lt;"&amp;$A253+1)/$AG253)))</f>
        <v/>
      </c>
      <c r="G253" s="56">
        <f>IF($B253=0,"",IF(Inputs!$B$10="","",IF($AH253=0,G252,SUMIFS(Data!$R$10:$R$3209,Data!$Q$10:$Q$3209,"&gt;="&amp;$A253,Data!$Q$10:$Q$3209,"&lt;"&amp;$A253+1)/$AH253)))</f>
        <v/>
      </c>
      <c r="I253" s="54">
        <f>IF($B253=0,NA(),IF($C253="",NA(),IF(C$8="",NA(),IF(N(C$8)=0,NA(),IF(Inputs!$C$17="Rebased to 100",$C253/C$8*100,$C253)))))</f>
        <v/>
      </c>
      <c r="J253" s="54">
        <f>IF($B253=0,NA(),IF($D253="",NA(),IF(D$8="",NA(),IF(N(D$8)=0,NA(),IF(Inputs!$C$17="Rebased to 100",$D253/D$8*100,$D253)))))</f>
        <v/>
      </c>
      <c r="K253" s="54">
        <f>IF($B253=0,NA(),IF($E253="",NA(),IF(E$8="",NA(),IF(N(E$8)=0,NA(),IF(Inputs!$C$17="Rebased to 100",$E253/E$8*100,$E253)))))</f>
        <v/>
      </c>
      <c r="L253" s="54">
        <f>IF($B253=0,NA(),IF($F253="",NA(),IF(F$8="",NA(),IF(N(F$8)=0,NA(),IF(Inputs!$C$17="Rebased to 100",$F253/F$8*100,$F253)))))</f>
        <v/>
      </c>
      <c r="M253" s="54">
        <f>IF($B253=0,NA(),IF($G253="",NA(),IF(G$8="",NA(),IF(N(G$8)=0,NA(),IF(Inputs!$C$17="Rebased to 100",$G253/G$8*100,$G253)))))</f>
        <v/>
      </c>
      <c r="N253" s="54">
        <f>IF($B253=0,NA(),IF(Inputs!$C$18&lt;&gt;"Yes",NA(),IF(COUNT(I253,J253,K253,L253,M253)=0,NA(),MIN(I253,J253,K253,L253,M253))))</f>
        <v/>
      </c>
      <c r="O253" s="54">
        <f>IF($B253=0,NA(),IF(Inputs!$B$24&lt;&gt;"Yes",NA(),Inputs!$D$24*Inputs!$C$35))</f>
        <v/>
      </c>
      <c r="P253" s="54">
        <f>IF($B253=0,NA(),IF(Inputs!$B$25&lt;&gt;"Yes",NA(),Inputs!$D$25*Inputs!$C$35))</f>
        <v/>
      </c>
      <c r="Q253" s="54">
        <f>IF($B253=0,NA(),IF(Inputs!$B$26&lt;&gt;"Yes",NA(),Inputs!$D$26*Inputs!$C$35))</f>
        <v/>
      </c>
      <c r="R253" s="54">
        <f>IF($B253=0,NA(),IF(Inputs!$B$27&lt;&gt;"Yes",NA(),Inputs!$D$27*Inputs!$C$35))</f>
        <v/>
      </c>
      <c r="S253" s="54">
        <f>IF($B253=0,NA(),IF(Inputs!$B$28&lt;&gt;"Yes",NA(),Inputs!$D$28*Inputs!$C$35))</f>
        <v/>
      </c>
      <c r="T253" s="54">
        <f>IF($B253=0,NA(),IF(Inputs!$B$29&lt;&gt;"Yes",NA(),Inputs!$D$29*Inputs!$C$35))</f>
        <v/>
      </c>
      <c r="AD253">
        <f>IF($B253=0,0,IF(Inputs!$B$6="",0,COUNTIFS(Data!$A$10:$A$3209,"&gt;="&amp;$A253,Data!$A$10:$A$3209,"&lt;"&amp;$A253+1)))</f>
        <v/>
      </c>
      <c r="AE253">
        <f>IF($B253=0,0,IF(Inputs!$B$7="",0,COUNTIFS(Data!$E$10:$E$3209,"&gt;="&amp;$A253,Data!$E$10:$E$3209,"&lt;"&amp;$A253+1)))</f>
        <v/>
      </c>
      <c r="AF253">
        <f>IF($B253=0,0,IF(Inputs!$B$8="",0,COUNTIFS(Data!$I$10:$I$3209,"&gt;="&amp;$A253,Data!$I$10:$I$3209,"&lt;"&amp;$A253+1)))</f>
        <v/>
      </c>
      <c r="AG253">
        <f>IF($B253=0,0,IF(Inputs!$B$9="",0,COUNTIFS(Data!$M$10:$M$3209,"&gt;="&amp;$A253,Data!$M$10:$M$3209,"&lt;"&amp;$A253+1)))</f>
        <v/>
      </c>
      <c r="AH253">
        <f>IF($B253=0,0,IF(Inputs!$B$10="",0,COUNTIFS(Data!$Q$10:$Q$3209,"&gt;="&amp;$A253,Data!$Q$10:$Q$3209,"&lt;"&amp;$A253+1)))</f>
        <v/>
      </c>
    </row>
    <row r="254">
      <c r="A254" s="55">
        <f>MIN(Inputs!$C$15,$A253+IF(WEEKDAY($A253,2)=5,3,1))</f>
        <v/>
      </c>
      <c r="B254">
        <f>IF($A254&gt;$A253,1,0)</f>
        <v/>
      </c>
      <c r="C254" s="56">
        <f>IF($B254=0,"",IF(Inputs!$B$6="","",IF($AD254=0,C253,SUMIFS(Data!$B$10:$B$3209,Data!$A$10:$A$3209,"&gt;="&amp;$A254,Data!$A$10:$A$3209,"&lt;"&amp;$A254+1)/$AD254)))</f>
        <v/>
      </c>
      <c r="D254" s="56">
        <f>IF($B254=0,"",IF(Inputs!$B$7="","",IF($AE254=0,D253,SUMIFS(Data!$F$10:$F$3209,Data!$E$10:$E$3209,"&gt;="&amp;$A254,Data!$E$10:$E$3209,"&lt;"&amp;$A254+1)/$AE254)))</f>
        <v/>
      </c>
      <c r="E254" s="56">
        <f>IF($B254=0,"",IF(Inputs!$B$8="","",IF($AF254=0,E253,SUMIFS(Data!$J$10:$J$3209,Data!$I$10:$I$3209,"&gt;="&amp;$A254,Data!$I$10:$I$3209,"&lt;"&amp;$A254+1)/$AF254)))</f>
        <v/>
      </c>
      <c r="F254" s="56">
        <f>IF($B254=0,"",IF(Inputs!$B$9="","",IF($AG254=0,F253,SUMIFS(Data!$N$10:$N$3209,Data!$M$10:$M$3209,"&gt;="&amp;$A254,Data!$M$10:$M$3209,"&lt;"&amp;$A254+1)/$AG254)))</f>
        <v/>
      </c>
      <c r="G254" s="56">
        <f>IF($B254=0,"",IF(Inputs!$B$10="","",IF($AH254=0,G253,SUMIFS(Data!$R$10:$R$3209,Data!$Q$10:$Q$3209,"&gt;="&amp;$A254,Data!$Q$10:$Q$3209,"&lt;"&amp;$A254+1)/$AH254)))</f>
        <v/>
      </c>
      <c r="I254" s="54">
        <f>IF($B254=0,NA(),IF($C254="",NA(),IF(C$8="",NA(),IF(N(C$8)=0,NA(),IF(Inputs!$C$17="Rebased to 100",$C254/C$8*100,$C254)))))</f>
        <v/>
      </c>
      <c r="J254" s="54">
        <f>IF($B254=0,NA(),IF($D254="",NA(),IF(D$8="",NA(),IF(N(D$8)=0,NA(),IF(Inputs!$C$17="Rebased to 100",$D254/D$8*100,$D254)))))</f>
        <v/>
      </c>
      <c r="K254" s="54">
        <f>IF($B254=0,NA(),IF($E254="",NA(),IF(E$8="",NA(),IF(N(E$8)=0,NA(),IF(Inputs!$C$17="Rebased to 100",$E254/E$8*100,$E254)))))</f>
        <v/>
      </c>
      <c r="L254" s="54">
        <f>IF($B254=0,NA(),IF($F254="",NA(),IF(F$8="",NA(),IF(N(F$8)=0,NA(),IF(Inputs!$C$17="Rebased to 100",$F254/F$8*100,$F254)))))</f>
        <v/>
      </c>
      <c r="M254" s="54">
        <f>IF($B254=0,NA(),IF($G254="",NA(),IF(G$8="",NA(),IF(N(G$8)=0,NA(),IF(Inputs!$C$17="Rebased to 100",$G254/G$8*100,$G254)))))</f>
        <v/>
      </c>
      <c r="N254" s="54">
        <f>IF($B254=0,NA(),IF(Inputs!$C$18&lt;&gt;"Yes",NA(),IF(COUNT(I254,J254,K254,L254,M254)=0,NA(),MIN(I254,J254,K254,L254,M254))))</f>
        <v/>
      </c>
      <c r="O254" s="54">
        <f>IF($B254=0,NA(),IF(Inputs!$B$24&lt;&gt;"Yes",NA(),Inputs!$D$24*Inputs!$C$35))</f>
        <v/>
      </c>
      <c r="P254" s="54">
        <f>IF($B254=0,NA(),IF(Inputs!$B$25&lt;&gt;"Yes",NA(),Inputs!$D$25*Inputs!$C$35))</f>
        <v/>
      </c>
      <c r="Q254" s="54">
        <f>IF($B254=0,NA(),IF(Inputs!$B$26&lt;&gt;"Yes",NA(),Inputs!$D$26*Inputs!$C$35))</f>
        <v/>
      </c>
      <c r="R254" s="54">
        <f>IF($B254=0,NA(),IF(Inputs!$B$27&lt;&gt;"Yes",NA(),Inputs!$D$27*Inputs!$C$35))</f>
        <v/>
      </c>
      <c r="S254" s="54">
        <f>IF($B254=0,NA(),IF(Inputs!$B$28&lt;&gt;"Yes",NA(),Inputs!$D$28*Inputs!$C$35))</f>
        <v/>
      </c>
      <c r="T254" s="54">
        <f>IF($B254=0,NA(),IF(Inputs!$B$29&lt;&gt;"Yes",NA(),Inputs!$D$29*Inputs!$C$35))</f>
        <v/>
      </c>
      <c r="AD254">
        <f>IF($B254=0,0,IF(Inputs!$B$6="",0,COUNTIFS(Data!$A$10:$A$3209,"&gt;="&amp;$A254,Data!$A$10:$A$3209,"&lt;"&amp;$A254+1)))</f>
        <v/>
      </c>
      <c r="AE254">
        <f>IF($B254=0,0,IF(Inputs!$B$7="",0,COUNTIFS(Data!$E$10:$E$3209,"&gt;="&amp;$A254,Data!$E$10:$E$3209,"&lt;"&amp;$A254+1)))</f>
        <v/>
      </c>
      <c r="AF254">
        <f>IF($B254=0,0,IF(Inputs!$B$8="",0,COUNTIFS(Data!$I$10:$I$3209,"&gt;="&amp;$A254,Data!$I$10:$I$3209,"&lt;"&amp;$A254+1)))</f>
        <v/>
      </c>
      <c r="AG254">
        <f>IF($B254=0,0,IF(Inputs!$B$9="",0,COUNTIFS(Data!$M$10:$M$3209,"&gt;="&amp;$A254,Data!$M$10:$M$3209,"&lt;"&amp;$A254+1)))</f>
        <v/>
      </c>
      <c r="AH254">
        <f>IF($B254=0,0,IF(Inputs!$B$10="",0,COUNTIFS(Data!$Q$10:$Q$3209,"&gt;="&amp;$A254,Data!$Q$10:$Q$3209,"&lt;"&amp;$A254+1)))</f>
        <v/>
      </c>
    </row>
    <row r="255">
      <c r="A255" s="55">
        <f>MIN(Inputs!$C$15,$A254+IF(WEEKDAY($A254,2)=5,3,1))</f>
        <v/>
      </c>
      <c r="B255">
        <f>IF($A255&gt;$A254,1,0)</f>
        <v/>
      </c>
      <c r="C255" s="56">
        <f>IF($B255=0,"",IF(Inputs!$B$6="","",IF($AD255=0,C254,SUMIFS(Data!$B$10:$B$3209,Data!$A$10:$A$3209,"&gt;="&amp;$A255,Data!$A$10:$A$3209,"&lt;"&amp;$A255+1)/$AD255)))</f>
        <v/>
      </c>
      <c r="D255" s="56">
        <f>IF($B255=0,"",IF(Inputs!$B$7="","",IF($AE255=0,D254,SUMIFS(Data!$F$10:$F$3209,Data!$E$10:$E$3209,"&gt;="&amp;$A255,Data!$E$10:$E$3209,"&lt;"&amp;$A255+1)/$AE255)))</f>
        <v/>
      </c>
      <c r="E255" s="56">
        <f>IF($B255=0,"",IF(Inputs!$B$8="","",IF($AF255=0,E254,SUMIFS(Data!$J$10:$J$3209,Data!$I$10:$I$3209,"&gt;="&amp;$A255,Data!$I$10:$I$3209,"&lt;"&amp;$A255+1)/$AF255)))</f>
        <v/>
      </c>
      <c r="F255" s="56">
        <f>IF($B255=0,"",IF(Inputs!$B$9="","",IF($AG255=0,F254,SUMIFS(Data!$N$10:$N$3209,Data!$M$10:$M$3209,"&gt;="&amp;$A255,Data!$M$10:$M$3209,"&lt;"&amp;$A255+1)/$AG255)))</f>
        <v/>
      </c>
      <c r="G255" s="56">
        <f>IF($B255=0,"",IF(Inputs!$B$10="","",IF($AH255=0,G254,SUMIFS(Data!$R$10:$R$3209,Data!$Q$10:$Q$3209,"&gt;="&amp;$A255,Data!$Q$10:$Q$3209,"&lt;"&amp;$A255+1)/$AH255)))</f>
        <v/>
      </c>
      <c r="I255" s="54">
        <f>IF($B255=0,NA(),IF($C255="",NA(),IF(C$8="",NA(),IF(N(C$8)=0,NA(),IF(Inputs!$C$17="Rebased to 100",$C255/C$8*100,$C255)))))</f>
        <v/>
      </c>
      <c r="J255" s="54">
        <f>IF($B255=0,NA(),IF($D255="",NA(),IF(D$8="",NA(),IF(N(D$8)=0,NA(),IF(Inputs!$C$17="Rebased to 100",$D255/D$8*100,$D255)))))</f>
        <v/>
      </c>
      <c r="K255" s="54">
        <f>IF($B255=0,NA(),IF($E255="",NA(),IF(E$8="",NA(),IF(N(E$8)=0,NA(),IF(Inputs!$C$17="Rebased to 100",$E255/E$8*100,$E255)))))</f>
        <v/>
      </c>
      <c r="L255" s="54">
        <f>IF($B255=0,NA(),IF($F255="",NA(),IF(F$8="",NA(),IF(N(F$8)=0,NA(),IF(Inputs!$C$17="Rebased to 100",$F255/F$8*100,$F255)))))</f>
        <v/>
      </c>
      <c r="M255" s="54">
        <f>IF($B255=0,NA(),IF($G255="",NA(),IF(G$8="",NA(),IF(N(G$8)=0,NA(),IF(Inputs!$C$17="Rebased to 100",$G255/G$8*100,$G255)))))</f>
        <v/>
      </c>
      <c r="N255" s="54">
        <f>IF($B255=0,NA(),IF(Inputs!$C$18&lt;&gt;"Yes",NA(),IF(COUNT(I255,J255,K255,L255,M255)=0,NA(),MIN(I255,J255,K255,L255,M255))))</f>
        <v/>
      </c>
      <c r="O255" s="54">
        <f>IF($B255=0,NA(),IF(Inputs!$B$24&lt;&gt;"Yes",NA(),Inputs!$D$24*Inputs!$C$35))</f>
        <v/>
      </c>
      <c r="P255" s="54">
        <f>IF($B255=0,NA(),IF(Inputs!$B$25&lt;&gt;"Yes",NA(),Inputs!$D$25*Inputs!$C$35))</f>
        <v/>
      </c>
      <c r="Q255" s="54">
        <f>IF($B255=0,NA(),IF(Inputs!$B$26&lt;&gt;"Yes",NA(),Inputs!$D$26*Inputs!$C$35))</f>
        <v/>
      </c>
      <c r="R255" s="54">
        <f>IF($B255=0,NA(),IF(Inputs!$B$27&lt;&gt;"Yes",NA(),Inputs!$D$27*Inputs!$C$35))</f>
        <v/>
      </c>
      <c r="S255" s="54">
        <f>IF($B255=0,NA(),IF(Inputs!$B$28&lt;&gt;"Yes",NA(),Inputs!$D$28*Inputs!$C$35))</f>
        <v/>
      </c>
      <c r="T255" s="54">
        <f>IF($B255=0,NA(),IF(Inputs!$B$29&lt;&gt;"Yes",NA(),Inputs!$D$29*Inputs!$C$35))</f>
        <v/>
      </c>
      <c r="AD255">
        <f>IF($B255=0,0,IF(Inputs!$B$6="",0,COUNTIFS(Data!$A$10:$A$3209,"&gt;="&amp;$A255,Data!$A$10:$A$3209,"&lt;"&amp;$A255+1)))</f>
        <v/>
      </c>
      <c r="AE255">
        <f>IF($B255=0,0,IF(Inputs!$B$7="",0,COUNTIFS(Data!$E$10:$E$3209,"&gt;="&amp;$A255,Data!$E$10:$E$3209,"&lt;"&amp;$A255+1)))</f>
        <v/>
      </c>
      <c r="AF255">
        <f>IF($B255=0,0,IF(Inputs!$B$8="",0,COUNTIFS(Data!$I$10:$I$3209,"&gt;="&amp;$A255,Data!$I$10:$I$3209,"&lt;"&amp;$A255+1)))</f>
        <v/>
      </c>
      <c r="AG255">
        <f>IF($B255=0,0,IF(Inputs!$B$9="",0,COUNTIFS(Data!$M$10:$M$3209,"&gt;="&amp;$A255,Data!$M$10:$M$3209,"&lt;"&amp;$A255+1)))</f>
        <v/>
      </c>
      <c r="AH255">
        <f>IF($B255=0,0,IF(Inputs!$B$10="",0,COUNTIFS(Data!$Q$10:$Q$3209,"&gt;="&amp;$A255,Data!$Q$10:$Q$3209,"&lt;"&amp;$A255+1)))</f>
        <v/>
      </c>
    </row>
    <row r="256">
      <c r="A256" s="55">
        <f>MIN(Inputs!$C$15,$A255+IF(WEEKDAY($A255,2)=5,3,1))</f>
        <v/>
      </c>
      <c r="B256">
        <f>IF($A256&gt;$A255,1,0)</f>
        <v/>
      </c>
      <c r="C256" s="56">
        <f>IF($B256=0,"",IF(Inputs!$B$6="","",IF($AD256=0,C255,SUMIFS(Data!$B$10:$B$3209,Data!$A$10:$A$3209,"&gt;="&amp;$A256,Data!$A$10:$A$3209,"&lt;"&amp;$A256+1)/$AD256)))</f>
        <v/>
      </c>
      <c r="D256" s="56">
        <f>IF($B256=0,"",IF(Inputs!$B$7="","",IF($AE256=0,D255,SUMIFS(Data!$F$10:$F$3209,Data!$E$10:$E$3209,"&gt;="&amp;$A256,Data!$E$10:$E$3209,"&lt;"&amp;$A256+1)/$AE256)))</f>
        <v/>
      </c>
      <c r="E256" s="56">
        <f>IF($B256=0,"",IF(Inputs!$B$8="","",IF($AF256=0,E255,SUMIFS(Data!$J$10:$J$3209,Data!$I$10:$I$3209,"&gt;="&amp;$A256,Data!$I$10:$I$3209,"&lt;"&amp;$A256+1)/$AF256)))</f>
        <v/>
      </c>
      <c r="F256" s="56">
        <f>IF($B256=0,"",IF(Inputs!$B$9="","",IF($AG256=0,F255,SUMIFS(Data!$N$10:$N$3209,Data!$M$10:$M$3209,"&gt;="&amp;$A256,Data!$M$10:$M$3209,"&lt;"&amp;$A256+1)/$AG256)))</f>
        <v/>
      </c>
      <c r="G256" s="56">
        <f>IF($B256=0,"",IF(Inputs!$B$10="","",IF($AH256=0,G255,SUMIFS(Data!$R$10:$R$3209,Data!$Q$10:$Q$3209,"&gt;="&amp;$A256,Data!$Q$10:$Q$3209,"&lt;"&amp;$A256+1)/$AH256)))</f>
        <v/>
      </c>
      <c r="I256" s="54">
        <f>IF($B256=0,NA(),IF($C256="",NA(),IF(C$8="",NA(),IF(N(C$8)=0,NA(),IF(Inputs!$C$17="Rebased to 100",$C256/C$8*100,$C256)))))</f>
        <v/>
      </c>
      <c r="J256" s="54">
        <f>IF($B256=0,NA(),IF($D256="",NA(),IF(D$8="",NA(),IF(N(D$8)=0,NA(),IF(Inputs!$C$17="Rebased to 100",$D256/D$8*100,$D256)))))</f>
        <v/>
      </c>
      <c r="K256" s="54">
        <f>IF($B256=0,NA(),IF($E256="",NA(),IF(E$8="",NA(),IF(N(E$8)=0,NA(),IF(Inputs!$C$17="Rebased to 100",$E256/E$8*100,$E256)))))</f>
        <v/>
      </c>
      <c r="L256" s="54">
        <f>IF($B256=0,NA(),IF($F256="",NA(),IF(F$8="",NA(),IF(N(F$8)=0,NA(),IF(Inputs!$C$17="Rebased to 100",$F256/F$8*100,$F256)))))</f>
        <v/>
      </c>
      <c r="M256" s="54">
        <f>IF($B256=0,NA(),IF($G256="",NA(),IF(G$8="",NA(),IF(N(G$8)=0,NA(),IF(Inputs!$C$17="Rebased to 100",$G256/G$8*100,$G256)))))</f>
        <v/>
      </c>
      <c r="N256" s="54">
        <f>IF($B256=0,NA(),IF(Inputs!$C$18&lt;&gt;"Yes",NA(),IF(COUNT(I256,J256,K256,L256,M256)=0,NA(),MIN(I256,J256,K256,L256,M256))))</f>
        <v/>
      </c>
      <c r="O256" s="54">
        <f>IF($B256=0,NA(),IF(Inputs!$B$24&lt;&gt;"Yes",NA(),Inputs!$D$24*Inputs!$C$35))</f>
        <v/>
      </c>
      <c r="P256" s="54">
        <f>IF($B256=0,NA(),IF(Inputs!$B$25&lt;&gt;"Yes",NA(),Inputs!$D$25*Inputs!$C$35))</f>
        <v/>
      </c>
      <c r="Q256" s="54">
        <f>IF($B256=0,NA(),IF(Inputs!$B$26&lt;&gt;"Yes",NA(),Inputs!$D$26*Inputs!$C$35))</f>
        <v/>
      </c>
      <c r="R256" s="54">
        <f>IF($B256=0,NA(),IF(Inputs!$B$27&lt;&gt;"Yes",NA(),Inputs!$D$27*Inputs!$C$35))</f>
        <v/>
      </c>
      <c r="S256" s="54">
        <f>IF($B256=0,NA(),IF(Inputs!$B$28&lt;&gt;"Yes",NA(),Inputs!$D$28*Inputs!$C$35))</f>
        <v/>
      </c>
      <c r="T256" s="54">
        <f>IF($B256=0,NA(),IF(Inputs!$B$29&lt;&gt;"Yes",NA(),Inputs!$D$29*Inputs!$C$35))</f>
        <v/>
      </c>
      <c r="AD256">
        <f>IF($B256=0,0,IF(Inputs!$B$6="",0,COUNTIFS(Data!$A$10:$A$3209,"&gt;="&amp;$A256,Data!$A$10:$A$3209,"&lt;"&amp;$A256+1)))</f>
        <v/>
      </c>
      <c r="AE256">
        <f>IF($B256=0,0,IF(Inputs!$B$7="",0,COUNTIFS(Data!$E$10:$E$3209,"&gt;="&amp;$A256,Data!$E$10:$E$3209,"&lt;"&amp;$A256+1)))</f>
        <v/>
      </c>
      <c r="AF256">
        <f>IF($B256=0,0,IF(Inputs!$B$8="",0,COUNTIFS(Data!$I$10:$I$3209,"&gt;="&amp;$A256,Data!$I$10:$I$3209,"&lt;"&amp;$A256+1)))</f>
        <v/>
      </c>
      <c r="AG256">
        <f>IF($B256=0,0,IF(Inputs!$B$9="",0,COUNTIFS(Data!$M$10:$M$3209,"&gt;="&amp;$A256,Data!$M$10:$M$3209,"&lt;"&amp;$A256+1)))</f>
        <v/>
      </c>
      <c r="AH256">
        <f>IF($B256=0,0,IF(Inputs!$B$10="",0,COUNTIFS(Data!$Q$10:$Q$3209,"&gt;="&amp;$A256,Data!$Q$10:$Q$3209,"&lt;"&amp;$A256+1)))</f>
        <v/>
      </c>
    </row>
    <row r="257">
      <c r="A257" s="55">
        <f>MIN(Inputs!$C$15,$A256+IF(WEEKDAY($A256,2)=5,3,1))</f>
        <v/>
      </c>
      <c r="B257">
        <f>IF($A257&gt;$A256,1,0)</f>
        <v/>
      </c>
      <c r="C257" s="56">
        <f>IF($B257=0,"",IF(Inputs!$B$6="","",IF($AD257=0,C256,SUMIFS(Data!$B$10:$B$3209,Data!$A$10:$A$3209,"&gt;="&amp;$A257,Data!$A$10:$A$3209,"&lt;"&amp;$A257+1)/$AD257)))</f>
        <v/>
      </c>
      <c r="D257" s="56">
        <f>IF($B257=0,"",IF(Inputs!$B$7="","",IF($AE257=0,D256,SUMIFS(Data!$F$10:$F$3209,Data!$E$10:$E$3209,"&gt;="&amp;$A257,Data!$E$10:$E$3209,"&lt;"&amp;$A257+1)/$AE257)))</f>
        <v/>
      </c>
      <c r="E257" s="56">
        <f>IF($B257=0,"",IF(Inputs!$B$8="","",IF($AF257=0,E256,SUMIFS(Data!$J$10:$J$3209,Data!$I$10:$I$3209,"&gt;="&amp;$A257,Data!$I$10:$I$3209,"&lt;"&amp;$A257+1)/$AF257)))</f>
        <v/>
      </c>
      <c r="F257" s="56">
        <f>IF($B257=0,"",IF(Inputs!$B$9="","",IF($AG257=0,F256,SUMIFS(Data!$N$10:$N$3209,Data!$M$10:$M$3209,"&gt;="&amp;$A257,Data!$M$10:$M$3209,"&lt;"&amp;$A257+1)/$AG257)))</f>
        <v/>
      </c>
      <c r="G257" s="56">
        <f>IF($B257=0,"",IF(Inputs!$B$10="","",IF($AH257=0,G256,SUMIFS(Data!$R$10:$R$3209,Data!$Q$10:$Q$3209,"&gt;="&amp;$A257,Data!$Q$10:$Q$3209,"&lt;"&amp;$A257+1)/$AH257)))</f>
        <v/>
      </c>
      <c r="I257" s="54">
        <f>IF($B257=0,NA(),IF($C257="",NA(),IF(C$8="",NA(),IF(N(C$8)=0,NA(),IF(Inputs!$C$17="Rebased to 100",$C257/C$8*100,$C257)))))</f>
        <v/>
      </c>
      <c r="J257" s="54">
        <f>IF($B257=0,NA(),IF($D257="",NA(),IF(D$8="",NA(),IF(N(D$8)=0,NA(),IF(Inputs!$C$17="Rebased to 100",$D257/D$8*100,$D257)))))</f>
        <v/>
      </c>
      <c r="K257" s="54">
        <f>IF($B257=0,NA(),IF($E257="",NA(),IF(E$8="",NA(),IF(N(E$8)=0,NA(),IF(Inputs!$C$17="Rebased to 100",$E257/E$8*100,$E257)))))</f>
        <v/>
      </c>
      <c r="L257" s="54">
        <f>IF($B257=0,NA(),IF($F257="",NA(),IF(F$8="",NA(),IF(N(F$8)=0,NA(),IF(Inputs!$C$17="Rebased to 100",$F257/F$8*100,$F257)))))</f>
        <v/>
      </c>
      <c r="M257" s="54">
        <f>IF($B257=0,NA(),IF($G257="",NA(),IF(G$8="",NA(),IF(N(G$8)=0,NA(),IF(Inputs!$C$17="Rebased to 100",$G257/G$8*100,$G257)))))</f>
        <v/>
      </c>
      <c r="N257" s="54">
        <f>IF($B257=0,NA(),IF(Inputs!$C$18&lt;&gt;"Yes",NA(),IF(COUNT(I257,J257,K257,L257,M257)=0,NA(),MIN(I257,J257,K257,L257,M257))))</f>
        <v/>
      </c>
      <c r="O257" s="54">
        <f>IF($B257=0,NA(),IF(Inputs!$B$24&lt;&gt;"Yes",NA(),Inputs!$D$24*Inputs!$C$35))</f>
        <v/>
      </c>
      <c r="P257" s="54">
        <f>IF($B257=0,NA(),IF(Inputs!$B$25&lt;&gt;"Yes",NA(),Inputs!$D$25*Inputs!$C$35))</f>
        <v/>
      </c>
      <c r="Q257" s="54">
        <f>IF($B257=0,NA(),IF(Inputs!$B$26&lt;&gt;"Yes",NA(),Inputs!$D$26*Inputs!$C$35))</f>
        <v/>
      </c>
      <c r="R257" s="54">
        <f>IF($B257=0,NA(),IF(Inputs!$B$27&lt;&gt;"Yes",NA(),Inputs!$D$27*Inputs!$C$35))</f>
        <v/>
      </c>
      <c r="S257" s="54">
        <f>IF($B257=0,NA(),IF(Inputs!$B$28&lt;&gt;"Yes",NA(),Inputs!$D$28*Inputs!$C$35))</f>
        <v/>
      </c>
      <c r="T257" s="54">
        <f>IF($B257=0,NA(),IF(Inputs!$B$29&lt;&gt;"Yes",NA(),Inputs!$D$29*Inputs!$C$35))</f>
        <v/>
      </c>
      <c r="AD257">
        <f>IF($B257=0,0,IF(Inputs!$B$6="",0,COUNTIFS(Data!$A$10:$A$3209,"&gt;="&amp;$A257,Data!$A$10:$A$3209,"&lt;"&amp;$A257+1)))</f>
        <v/>
      </c>
      <c r="AE257">
        <f>IF($B257=0,0,IF(Inputs!$B$7="",0,COUNTIFS(Data!$E$10:$E$3209,"&gt;="&amp;$A257,Data!$E$10:$E$3209,"&lt;"&amp;$A257+1)))</f>
        <v/>
      </c>
      <c r="AF257">
        <f>IF($B257=0,0,IF(Inputs!$B$8="",0,COUNTIFS(Data!$I$10:$I$3209,"&gt;="&amp;$A257,Data!$I$10:$I$3209,"&lt;"&amp;$A257+1)))</f>
        <v/>
      </c>
      <c r="AG257">
        <f>IF($B257=0,0,IF(Inputs!$B$9="",0,COUNTIFS(Data!$M$10:$M$3209,"&gt;="&amp;$A257,Data!$M$10:$M$3209,"&lt;"&amp;$A257+1)))</f>
        <v/>
      </c>
      <c r="AH257">
        <f>IF($B257=0,0,IF(Inputs!$B$10="",0,COUNTIFS(Data!$Q$10:$Q$3209,"&gt;="&amp;$A257,Data!$Q$10:$Q$3209,"&lt;"&amp;$A257+1)))</f>
        <v/>
      </c>
    </row>
    <row r="258">
      <c r="A258" s="55">
        <f>MIN(Inputs!$C$15,$A257+IF(WEEKDAY($A257,2)=5,3,1))</f>
        <v/>
      </c>
      <c r="B258">
        <f>IF($A258&gt;$A257,1,0)</f>
        <v/>
      </c>
      <c r="C258" s="56">
        <f>IF($B258=0,"",IF(Inputs!$B$6="","",IF($AD258=0,C257,SUMIFS(Data!$B$10:$B$3209,Data!$A$10:$A$3209,"&gt;="&amp;$A258,Data!$A$10:$A$3209,"&lt;"&amp;$A258+1)/$AD258)))</f>
        <v/>
      </c>
      <c r="D258" s="56">
        <f>IF($B258=0,"",IF(Inputs!$B$7="","",IF($AE258=0,D257,SUMIFS(Data!$F$10:$F$3209,Data!$E$10:$E$3209,"&gt;="&amp;$A258,Data!$E$10:$E$3209,"&lt;"&amp;$A258+1)/$AE258)))</f>
        <v/>
      </c>
      <c r="E258" s="56">
        <f>IF($B258=0,"",IF(Inputs!$B$8="","",IF($AF258=0,E257,SUMIFS(Data!$J$10:$J$3209,Data!$I$10:$I$3209,"&gt;="&amp;$A258,Data!$I$10:$I$3209,"&lt;"&amp;$A258+1)/$AF258)))</f>
        <v/>
      </c>
      <c r="F258" s="56">
        <f>IF($B258=0,"",IF(Inputs!$B$9="","",IF($AG258=0,F257,SUMIFS(Data!$N$10:$N$3209,Data!$M$10:$M$3209,"&gt;="&amp;$A258,Data!$M$10:$M$3209,"&lt;"&amp;$A258+1)/$AG258)))</f>
        <v/>
      </c>
      <c r="G258" s="56">
        <f>IF($B258=0,"",IF(Inputs!$B$10="","",IF($AH258=0,G257,SUMIFS(Data!$R$10:$R$3209,Data!$Q$10:$Q$3209,"&gt;="&amp;$A258,Data!$Q$10:$Q$3209,"&lt;"&amp;$A258+1)/$AH258)))</f>
        <v/>
      </c>
      <c r="I258" s="54">
        <f>IF($B258=0,NA(),IF($C258="",NA(),IF(C$8="",NA(),IF(N(C$8)=0,NA(),IF(Inputs!$C$17="Rebased to 100",$C258/C$8*100,$C258)))))</f>
        <v/>
      </c>
      <c r="J258" s="54">
        <f>IF($B258=0,NA(),IF($D258="",NA(),IF(D$8="",NA(),IF(N(D$8)=0,NA(),IF(Inputs!$C$17="Rebased to 100",$D258/D$8*100,$D258)))))</f>
        <v/>
      </c>
      <c r="K258" s="54">
        <f>IF($B258=0,NA(),IF($E258="",NA(),IF(E$8="",NA(),IF(N(E$8)=0,NA(),IF(Inputs!$C$17="Rebased to 100",$E258/E$8*100,$E258)))))</f>
        <v/>
      </c>
      <c r="L258" s="54">
        <f>IF($B258=0,NA(),IF($F258="",NA(),IF(F$8="",NA(),IF(N(F$8)=0,NA(),IF(Inputs!$C$17="Rebased to 100",$F258/F$8*100,$F258)))))</f>
        <v/>
      </c>
      <c r="M258" s="54">
        <f>IF($B258=0,NA(),IF($G258="",NA(),IF(G$8="",NA(),IF(N(G$8)=0,NA(),IF(Inputs!$C$17="Rebased to 100",$G258/G$8*100,$G258)))))</f>
        <v/>
      </c>
      <c r="N258" s="54">
        <f>IF($B258=0,NA(),IF(Inputs!$C$18&lt;&gt;"Yes",NA(),IF(COUNT(I258,J258,K258,L258,M258)=0,NA(),MIN(I258,J258,K258,L258,M258))))</f>
        <v/>
      </c>
      <c r="O258" s="54">
        <f>IF($B258=0,NA(),IF(Inputs!$B$24&lt;&gt;"Yes",NA(),Inputs!$D$24*Inputs!$C$35))</f>
        <v/>
      </c>
      <c r="P258" s="54">
        <f>IF($B258=0,NA(),IF(Inputs!$B$25&lt;&gt;"Yes",NA(),Inputs!$D$25*Inputs!$C$35))</f>
        <v/>
      </c>
      <c r="Q258" s="54">
        <f>IF($B258=0,NA(),IF(Inputs!$B$26&lt;&gt;"Yes",NA(),Inputs!$D$26*Inputs!$C$35))</f>
        <v/>
      </c>
      <c r="R258" s="54">
        <f>IF($B258=0,NA(),IF(Inputs!$B$27&lt;&gt;"Yes",NA(),Inputs!$D$27*Inputs!$C$35))</f>
        <v/>
      </c>
      <c r="S258" s="54">
        <f>IF($B258=0,NA(),IF(Inputs!$B$28&lt;&gt;"Yes",NA(),Inputs!$D$28*Inputs!$C$35))</f>
        <v/>
      </c>
      <c r="T258" s="54">
        <f>IF($B258=0,NA(),IF(Inputs!$B$29&lt;&gt;"Yes",NA(),Inputs!$D$29*Inputs!$C$35))</f>
        <v/>
      </c>
      <c r="AD258">
        <f>IF($B258=0,0,IF(Inputs!$B$6="",0,COUNTIFS(Data!$A$10:$A$3209,"&gt;="&amp;$A258,Data!$A$10:$A$3209,"&lt;"&amp;$A258+1)))</f>
        <v/>
      </c>
      <c r="AE258">
        <f>IF($B258=0,0,IF(Inputs!$B$7="",0,COUNTIFS(Data!$E$10:$E$3209,"&gt;="&amp;$A258,Data!$E$10:$E$3209,"&lt;"&amp;$A258+1)))</f>
        <v/>
      </c>
      <c r="AF258">
        <f>IF($B258=0,0,IF(Inputs!$B$8="",0,COUNTIFS(Data!$I$10:$I$3209,"&gt;="&amp;$A258,Data!$I$10:$I$3209,"&lt;"&amp;$A258+1)))</f>
        <v/>
      </c>
      <c r="AG258">
        <f>IF($B258=0,0,IF(Inputs!$B$9="",0,COUNTIFS(Data!$M$10:$M$3209,"&gt;="&amp;$A258,Data!$M$10:$M$3209,"&lt;"&amp;$A258+1)))</f>
        <v/>
      </c>
      <c r="AH258">
        <f>IF($B258=0,0,IF(Inputs!$B$10="",0,COUNTIFS(Data!$Q$10:$Q$3209,"&gt;="&amp;$A258,Data!$Q$10:$Q$3209,"&lt;"&amp;$A258+1)))</f>
        <v/>
      </c>
    </row>
    <row r="259">
      <c r="A259" s="55">
        <f>MIN(Inputs!$C$15,$A258+IF(WEEKDAY($A258,2)=5,3,1))</f>
        <v/>
      </c>
      <c r="B259">
        <f>IF($A259&gt;$A258,1,0)</f>
        <v/>
      </c>
      <c r="C259" s="56">
        <f>IF($B259=0,"",IF(Inputs!$B$6="","",IF($AD259=0,C258,SUMIFS(Data!$B$10:$B$3209,Data!$A$10:$A$3209,"&gt;="&amp;$A259,Data!$A$10:$A$3209,"&lt;"&amp;$A259+1)/$AD259)))</f>
        <v/>
      </c>
      <c r="D259" s="56">
        <f>IF($B259=0,"",IF(Inputs!$B$7="","",IF($AE259=0,D258,SUMIFS(Data!$F$10:$F$3209,Data!$E$10:$E$3209,"&gt;="&amp;$A259,Data!$E$10:$E$3209,"&lt;"&amp;$A259+1)/$AE259)))</f>
        <v/>
      </c>
      <c r="E259" s="56">
        <f>IF($B259=0,"",IF(Inputs!$B$8="","",IF($AF259=0,E258,SUMIFS(Data!$J$10:$J$3209,Data!$I$10:$I$3209,"&gt;="&amp;$A259,Data!$I$10:$I$3209,"&lt;"&amp;$A259+1)/$AF259)))</f>
        <v/>
      </c>
      <c r="F259" s="56">
        <f>IF($B259=0,"",IF(Inputs!$B$9="","",IF($AG259=0,F258,SUMIFS(Data!$N$10:$N$3209,Data!$M$10:$M$3209,"&gt;="&amp;$A259,Data!$M$10:$M$3209,"&lt;"&amp;$A259+1)/$AG259)))</f>
        <v/>
      </c>
      <c r="G259" s="56">
        <f>IF($B259=0,"",IF(Inputs!$B$10="","",IF($AH259=0,G258,SUMIFS(Data!$R$10:$R$3209,Data!$Q$10:$Q$3209,"&gt;="&amp;$A259,Data!$Q$10:$Q$3209,"&lt;"&amp;$A259+1)/$AH259)))</f>
        <v/>
      </c>
      <c r="I259" s="54">
        <f>IF($B259=0,NA(),IF($C259="",NA(),IF(C$8="",NA(),IF(N(C$8)=0,NA(),IF(Inputs!$C$17="Rebased to 100",$C259/C$8*100,$C259)))))</f>
        <v/>
      </c>
      <c r="J259" s="54">
        <f>IF($B259=0,NA(),IF($D259="",NA(),IF(D$8="",NA(),IF(N(D$8)=0,NA(),IF(Inputs!$C$17="Rebased to 100",$D259/D$8*100,$D259)))))</f>
        <v/>
      </c>
      <c r="K259" s="54">
        <f>IF($B259=0,NA(),IF($E259="",NA(),IF(E$8="",NA(),IF(N(E$8)=0,NA(),IF(Inputs!$C$17="Rebased to 100",$E259/E$8*100,$E259)))))</f>
        <v/>
      </c>
      <c r="L259" s="54">
        <f>IF($B259=0,NA(),IF($F259="",NA(),IF(F$8="",NA(),IF(N(F$8)=0,NA(),IF(Inputs!$C$17="Rebased to 100",$F259/F$8*100,$F259)))))</f>
        <v/>
      </c>
      <c r="M259" s="54">
        <f>IF($B259=0,NA(),IF($G259="",NA(),IF(G$8="",NA(),IF(N(G$8)=0,NA(),IF(Inputs!$C$17="Rebased to 100",$G259/G$8*100,$G259)))))</f>
        <v/>
      </c>
      <c r="N259" s="54">
        <f>IF($B259=0,NA(),IF(Inputs!$C$18&lt;&gt;"Yes",NA(),IF(COUNT(I259,J259,K259,L259,M259)=0,NA(),MIN(I259,J259,K259,L259,M259))))</f>
        <v/>
      </c>
      <c r="O259" s="54">
        <f>IF($B259=0,NA(),IF(Inputs!$B$24&lt;&gt;"Yes",NA(),Inputs!$D$24*Inputs!$C$35))</f>
        <v/>
      </c>
      <c r="P259" s="54">
        <f>IF($B259=0,NA(),IF(Inputs!$B$25&lt;&gt;"Yes",NA(),Inputs!$D$25*Inputs!$C$35))</f>
        <v/>
      </c>
      <c r="Q259" s="54">
        <f>IF($B259=0,NA(),IF(Inputs!$B$26&lt;&gt;"Yes",NA(),Inputs!$D$26*Inputs!$C$35))</f>
        <v/>
      </c>
      <c r="R259" s="54">
        <f>IF($B259=0,NA(),IF(Inputs!$B$27&lt;&gt;"Yes",NA(),Inputs!$D$27*Inputs!$C$35))</f>
        <v/>
      </c>
      <c r="S259" s="54">
        <f>IF($B259=0,NA(),IF(Inputs!$B$28&lt;&gt;"Yes",NA(),Inputs!$D$28*Inputs!$C$35))</f>
        <v/>
      </c>
      <c r="T259" s="54">
        <f>IF($B259=0,NA(),IF(Inputs!$B$29&lt;&gt;"Yes",NA(),Inputs!$D$29*Inputs!$C$35))</f>
        <v/>
      </c>
      <c r="AD259">
        <f>IF($B259=0,0,IF(Inputs!$B$6="",0,COUNTIFS(Data!$A$10:$A$3209,"&gt;="&amp;$A259,Data!$A$10:$A$3209,"&lt;"&amp;$A259+1)))</f>
        <v/>
      </c>
      <c r="AE259">
        <f>IF($B259=0,0,IF(Inputs!$B$7="",0,COUNTIFS(Data!$E$10:$E$3209,"&gt;="&amp;$A259,Data!$E$10:$E$3209,"&lt;"&amp;$A259+1)))</f>
        <v/>
      </c>
      <c r="AF259">
        <f>IF($B259=0,0,IF(Inputs!$B$8="",0,COUNTIFS(Data!$I$10:$I$3209,"&gt;="&amp;$A259,Data!$I$10:$I$3209,"&lt;"&amp;$A259+1)))</f>
        <v/>
      </c>
      <c r="AG259">
        <f>IF($B259=0,0,IF(Inputs!$B$9="",0,COUNTIFS(Data!$M$10:$M$3209,"&gt;="&amp;$A259,Data!$M$10:$M$3209,"&lt;"&amp;$A259+1)))</f>
        <v/>
      </c>
      <c r="AH259">
        <f>IF($B259=0,0,IF(Inputs!$B$10="",0,COUNTIFS(Data!$Q$10:$Q$3209,"&gt;="&amp;$A259,Data!$Q$10:$Q$3209,"&lt;"&amp;$A259+1)))</f>
        <v/>
      </c>
    </row>
    <row r="260">
      <c r="A260" s="55">
        <f>MIN(Inputs!$C$15,$A259+IF(WEEKDAY($A259,2)=5,3,1))</f>
        <v/>
      </c>
      <c r="B260">
        <f>IF($A260&gt;$A259,1,0)</f>
        <v/>
      </c>
      <c r="C260" s="56">
        <f>IF($B260=0,"",IF(Inputs!$B$6="","",IF($AD260=0,C259,SUMIFS(Data!$B$10:$B$3209,Data!$A$10:$A$3209,"&gt;="&amp;$A260,Data!$A$10:$A$3209,"&lt;"&amp;$A260+1)/$AD260)))</f>
        <v/>
      </c>
      <c r="D260" s="56">
        <f>IF($B260=0,"",IF(Inputs!$B$7="","",IF($AE260=0,D259,SUMIFS(Data!$F$10:$F$3209,Data!$E$10:$E$3209,"&gt;="&amp;$A260,Data!$E$10:$E$3209,"&lt;"&amp;$A260+1)/$AE260)))</f>
        <v/>
      </c>
      <c r="E260" s="56">
        <f>IF($B260=0,"",IF(Inputs!$B$8="","",IF($AF260=0,E259,SUMIFS(Data!$J$10:$J$3209,Data!$I$10:$I$3209,"&gt;="&amp;$A260,Data!$I$10:$I$3209,"&lt;"&amp;$A260+1)/$AF260)))</f>
        <v/>
      </c>
      <c r="F260" s="56">
        <f>IF($B260=0,"",IF(Inputs!$B$9="","",IF($AG260=0,F259,SUMIFS(Data!$N$10:$N$3209,Data!$M$10:$M$3209,"&gt;="&amp;$A260,Data!$M$10:$M$3209,"&lt;"&amp;$A260+1)/$AG260)))</f>
        <v/>
      </c>
      <c r="G260" s="56">
        <f>IF($B260=0,"",IF(Inputs!$B$10="","",IF($AH260=0,G259,SUMIFS(Data!$R$10:$R$3209,Data!$Q$10:$Q$3209,"&gt;="&amp;$A260,Data!$Q$10:$Q$3209,"&lt;"&amp;$A260+1)/$AH260)))</f>
        <v/>
      </c>
      <c r="I260" s="54">
        <f>IF($B260=0,NA(),IF($C260="",NA(),IF(C$8="",NA(),IF(N(C$8)=0,NA(),IF(Inputs!$C$17="Rebased to 100",$C260/C$8*100,$C260)))))</f>
        <v/>
      </c>
      <c r="J260" s="54">
        <f>IF($B260=0,NA(),IF($D260="",NA(),IF(D$8="",NA(),IF(N(D$8)=0,NA(),IF(Inputs!$C$17="Rebased to 100",$D260/D$8*100,$D260)))))</f>
        <v/>
      </c>
      <c r="K260" s="54">
        <f>IF($B260=0,NA(),IF($E260="",NA(),IF(E$8="",NA(),IF(N(E$8)=0,NA(),IF(Inputs!$C$17="Rebased to 100",$E260/E$8*100,$E260)))))</f>
        <v/>
      </c>
      <c r="L260" s="54">
        <f>IF($B260=0,NA(),IF($F260="",NA(),IF(F$8="",NA(),IF(N(F$8)=0,NA(),IF(Inputs!$C$17="Rebased to 100",$F260/F$8*100,$F260)))))</f>
        <v/>
      </c>
      <c r="M260" s="54">
        <f>IF($B260=0,NA(),IF($G260="",NA(),IF(G$8="",NA(),IF(N(G$8)=0,NA(),IF(Inputs!$C$17="Rebased to 100",$G260/G$8*100,$G260)))))</f>
        <v/>
      </c>
      <c r="N260" s="54">
        <f>IF($B260=0,NA(),IF(Inputs!$C$18&lt;&gt;"Yes",NA(),IF(COUNT(I260,J260,K260,L260,M260)=0,NA(),MIN(I260,J260,K260,L260,M260))))</f>
        <v/>
      </c>
      <c r="O260" s="54">
        <f>IF($B260=0,NA(),IF(Inputs!$B$24&lt;&gt;"Yes",NA(),Inputs!$D$24*Inputs!$C$35))</f>
        <v/>
      </c>
      <c r="P260" s="54">
        <f>IF($B260=0,NA(),IF(Inputs!$B$25&lt;&gt;"Yes",NA(),Inputs!$D$25*Inputs!$C$35))</f>
        <v/>
      </c>
      <c r="Q260" s="54">
        <f>IF($B260=0,NA(),IF(Inputs!$B$26&lt;&gt;"Yes",NA(),Inputs!$D$26*Inputs!$C$35))</f>
        <v/>
      </c>
      <c r="R260" s="54">
        <f>IF($B260=0,NA(),IF(Inputs!$B$27&lt;&gt;"Yes",NA(),Inputs!$D$27*Inputs!$C$35))</f>
        <v/>
      </c>
      <c r="S260" s="54">
        <f>IF($B260=0,NA(),IF(Inputs!$B$28&lt;&gt;"Yes",NA(),Inputs!$D$28*Inputs!$C$35))</f>
        <v/>
      </c>
      <c r="T260" s="54">
        <f>IF($B260=0,NA(),IF(Inputs!$B$29&lt;&gt;"Yes",NA(),Inputs!$D$29*Inputs!$C$35))</f>
        <v/>
      </c>
      <c r="AD260">
        <f>IF($B260=0,0,IF(Inputs!$B$6="",0,COUNTIFS(Data!$A$10:$A$3209,"&gt;="&amp;$A260,Data!$A$10:$A$3209,"&lt;"&amp;$A260+1)))</f>
        <v/>
      </c>
      <c r="AE260">
        <f>IF($B260=0,0,IF(Inputs!$B$7="",0,COUNTIFS(Data!$E$10:$E$3209,"&gt;="&amp;$A260,Data!$E$10:$E$3209,"&lt;"&amp;$A260+1)))</f>
        <v/>
      </c>
      <c r="AF260">
        <f>IF($B260=0,0,IF(Inputs!$B$8="",0,COUNTIFS(Data!$I$10:$I$3209,"&gt;="&amp;$A260,Data!$I$10:$I$3209,"&lt;"&amp;$A260+1)))</f>
        <v/>
      </c>
      <c r="AG260">
        <f>IF($B260=0,0,IF(Inputs!$B$9="",0,COUNTIFS(Data!$M$10:$M$3209,"&gt;="&amp;$A260,Data!$M$10:$M$3209,"&lt;"&amp;$A260+1)))</f>
        <v/>
      </c>
      <c r="AH260">
        <f>IF($B260=0,0,IF(Inputs!$B$10="",0,COUNTIFS(Data!$Q$10:$Q$3209,"&gt;="&amp;$A260,Data!$Q$10:$Q$3209,"&lt;"&amp;$A260+1)))</f>
        <v/>
      </c>
    </row>
    <row r="261">
      <c r="A261" s="55">
        <f>MIN(Inputs!$C$15,$A260+IF(WEEKDAY($A260,2)=5,3,1))</f>
        <v/>
      </c>
      <c r="B261">
        <f>IF($A261&gt;$A260,1,0)</f>
        <v/>
      </c>
      <c r="C261" s="56">
        <f>IF($B261=0,"",IF(Inputs!$B$6="","",IF($AD261=0,C260,SUMIFS(Data!$B$10:$B$3209,Data!$A$10:$A$3209,"&gt;="&amp;$A261,Data!$A$10:$A$3209,"&lt;"&amp;$A261+1)/$AD261)))</f>
        <v/>
      </c>
      <c r="D261" s="56">
        <f>IF($B261=0,"",IF(Inputs!$B$7="","",IF($AE261=0,D260,SUMIFS(Data!$F$10:$F$3209,Data!$E$10:$E$3209,"&gt;="&amp;$A261,Data!$E$10:$E$3209,"&lt;"&amp;$A261+1)/$AE261)))</f>
        <v/>
      </c>
      <c r="E261" s="56">
        <f>IF($B261=0,"",IF(Inputs!$B$8="","",IF($AF261=0,E260,SUMIFS(Data!$J$10:$J$3209,Data!$I$10:$I$3209,"&gt;="&amp;$A261,Data!$I$10:$I$3209,"&lt;"&amp;$A261+1)/$AF261)))</f>
        <v/>
      </c>
      <c r="F261" s="56">
        <f>IF($B261=0,"",IF(Inputs!$B$9="","",IF($AG261=0,F260,SUMIFS(Data!$N$10:$N$3209,Data!$M$10:$M$3209,"&gt;="&amp;$A261,Data!$M$10:$M$3209,"&lt;"&amp;$A261+1)/$AG261)))</f>
        <v/>
      </c>
      <c r="G261" s="56">
        <f>IF($B261=0,"",IF(Inputs!$B$10="","",IF($AH261=0,G260,SUMIFS(Data!$R$10:$R$3209,Data!$Q$10:$Q$3209,"&gt;="&amp;$A261,Data!$Q$10:$Q$3209,"&lt;"&amp;$A261+1)/$AH261)))</f>
        <v/>
      </c>
      <c r="I261" s="54">
        <f>IF($B261=0,NA(),IF($C261="",NA(),IF(C$8="",NA(),IF(N(C$8)=0,NA(),IF(Inputs!$C$17="Rebased to 100",$C261/C$8*100,$C261)))))</f>
        <v/>
      </c>
      <c r="J261" s="54">
        <f>IF($B261=0,NA(),IF($D261="",NA(),IF(D$8="",NA(),IF(N(D$8)=0,NA(),IF(Inputs!$C$17="Rebased to 100",$D261/D$8*100,$D261)))))</f>
        <v/>
      </c>
      <c r="K261" s="54">
        <f>IF($B261=0,NA(),IF($E261="",NA(),IF(E$8="",NA(),IF(N(E$8)=0,NA(),IF(Inputs!$C$17="Rebased to 100",$E261/E$8*100,$E261)))))</f>
        <v/>
      </c>
      <c r="L261" s="54">
        <f>IF($B261=0,NA(),IF($F261="",NA(),IF(F$8="",NA(),IF(N(F$8)=0,NA(),IF(Inputs!$C$17="Rebased to 100",$F261/F$8*100,$F261)))))</f>
        <v/>
      </c>
      <c r="M261" s="54">
        <f>IF($B261=0,NA(),IF($G261="",NA(),IF(G$8="",NA(),IF(N(G$8)=0,NA(),IF(Inputs!$C$17="Rebased to 100",$G261/G$8*100,$G261)))))</f>
        <v/>
      </c>
      <c r="N261" s="54">
        <f>IF($B261=0,NA(),IF(Inputs!$C$18&lt;&gt;"Yes",NA(),IF(COUNT(I261,J261,K261,L261,M261)=0,NA(),MIN(I261,J261,K261,L261,M261))))</f>
        <v/>
      </c>
      <c r="O261" s="54">
        <f>IF($B261=0,NA(),IF(Inputs!$B$24&lt;&gt;"Yes",NA(),Inputs!$D$24*Inputs!$C$35))</f>
        <v/>
      </c>
      <c r="P261" s="54">
        <f>IF($B261=0,NA(),IF(Inputs!$B$25&lt;&gt;"Yes",NA(),Inputs!$D$25*Inputs!$C$35))</f>
        <v/>
      </c>
      <c r="Q261" s="54">
        <f>IF($B261=0,NA(),IF(Inputs!$B$26&lt;&gt;"Yes",NA(),Inputs!$D$26*Inputs!$C$35))</f>
        <v/>
      </c>
      <c r="R261" s="54">
        <f>IF($B261=0,NA(),IF(Inputs!$B$27&lt;&gt;"Yes",NA(),Inputs!$D$27*Inputs!$C$35))</f>
        <v/>
      </c>
      <c r="S261" s="54">
        <f>IF($B261=0,NA(),IF(Inputs!$B$28&lt;&gt;"Yes",NA(),Inputs!$D$28*Inputs!$C$35))</f>
        <v/>
      </c>
      <c r="T261" s="54">
        <f>IF($B261=0,NA(),IF(Inputs!$B$29&lt;&gt;"Yes",NA(),Inputs!$D$29*Inputs!$C$35))</f>
        <v/>
      </c>
      <c r="AD261">
        <f>IF($B261=0,0,IF(Inputs!$B$6="",0,COUNTIFS(Data!$A$10:$A$3209,"&gt;="&amp;$A261,Data!$A$10:$A$3209,"&lt;"&amp;$A261+1)))</f>
        <v/>
      </c>
      <c r="AE261">
        <f>IF($B261=0,0,IF(Inputs!$B$7="",0,COUNTIFS(Data!$E$10:$E$3209,"&gt;="&amp;$A261,Data!$E$10:$E$3209,"&lt;"&amp;$A261+1)))</f>
        <v/>
      </c>
      <c r="AF261">
        <f>IF($B261=0,0,IF(Inputs!$B$8="",0,COUNTIFS(Data!$I$10:$I$3209,"&gt;="&amp;$A261,Data!$I$10:$I$3209,"&lt;"&amp;$A261+1)))</f>
        <v/>
      </c>
      <c r="AG261">
        <f>IF($B261=0,0,IF(Inputs!$B$9="",0,COUNTIFS(Data!$M$10:$M$3209,"&gt;="&amp;$A261,Data!$M$10:$M$3209,"&lt;"&amp;$A261+1)))</f>
        <v/>
      </c>
      <c r="AH261">
        <f>IF($B261=0,0,IF(Inputs!$B$10="",0,COUNTIFS(Data!$Q$10:$Q$3209,"&gt;="&amp;$A261,Data!$Q$10:$Q$3209,"&lt;"&amp;$A261+1)))</f>
        <v/>
      </c>
    </row>
    <row r="262">
      <c r="A262" s="55">
        <f>MIN(Inputs!$C$15,$A261+IF(WEEKDAY($A261,2)=5,3,1))</f>
        <v/>
      </c>
      <c r="B262">
        <f>IF($A262&gt;$A261,1,0)</f>
        <v/>
      </c>
      <c r="C262" s="56">
        <f>IF($B262=0,"",IF(Inputs!$B$6="","",IF($AD262=0,C261,SUMIFS(Data!$B$10:$B$3209,Data!$A$10:$A$3209,"&gt;="&amp;$A262,Data!$A$10:$A$3209,"&lt;"&amp;$A262+1)/$AD262)))</f>
        <v/>
      </c>
      <c r="D262" s="56">
        <f>IF($B262=0,"",IF(Inputs!$B$7="","",IF($AE262=0,D261,SUMIFS(Data!$F$10:$F$3209,Data!$E$10:$E$3209,"&gt;="&amp;$A262,Data!$E$10:$E$3209,"&lt;"&amp;$A262+1)/$AE262)))</f>
        <v/>
      </c>
      <c r="E262" s="56">
        <f>IF($B262=0,"",IF(Inputs!$B$8="","",IF($AF262=0,E261,SUMIFS(Data!$J$10:$J$3209,Data!$I$10:$I$3209,"&gt;="&amp;$A262,Data!$I$10:$I$3209,"&lt;"&amp;$A262+1)/$AF262)))</f>
        <v/>
      </c>
      <c r="F262" s="56">
        <f>IF($B262=0,"",IF(Inputs!$B$9="","",IF($AG262=0,F261,SUMIFS(Data!$N$10:$N$3209,Data!$M$10:$M$3209,"&gt;="&amp;$A262,Data!$M$10:$M$3209,"&lt;"&amp;$A262+1)/$AG262)))</f>
        <v/>
      </c>
      <c r="G262" s="56">
        <f>IF($B262=0,"",IF(Inputs!$B$10="","",IF($AH262=0,G261,SUMIFS(Data!$R$10:$R$3209,Data!$Q$10:$Q$3209,"&gt;="&amp;$A262,Data!$Q$10:$Q$3209,"&lt;"&amp;$A262+1)/$AH262)))</f>
        <v/>
      </c>
      <c r="I262" s="54">
        <f>IF($B262=0,NA(),IF($C262="",NA(),IF(C$8="",NA(),IF(N(C$8)=0,NA(),IF(Inputs!$C$17="Rebased to 100",$C262/C$8*100,$C262)))))</f>
        <v/>
      </c>
      <c r="J262" s="54">
        <f>IF($B262=0,NA(),IF($D262="",NA(),IF(D$8="",NA(),IF(N(D$8)=0,NA(),IF(Inputs!$C$17="Rebased to 100",$D262/D$8*100,$D262)))))</f>
        <v/>
      </c>
      <c r="K262" s="54">
        <f>IF($B262=0,NA(),IF($E262="",NA(),IF(E$8="",NA(),IF(N(E$8)=0,NA(),IF(Inputs!$C$17="Rebased to 100",$E262/E$8*100,$E262)))))</f>
        <v/>
      </c>
      <c r="L262" s="54">
        <f>IF($B262=0,NA(),IF($F262="",NA(),IF(F$8="",NA(),IF(N(F$8)=0,NA(),IF(Inputs!$C$17="Rebased to 100",$F262/F$8*100,$F262)))))</f>
        <v/>
      </c>
      <c r="M262" s="54">
        <f>IF($B262=0,NA(),IF($G262="",NA(),IF(G$8="",NA(),IF(N(G$8)=0,NA(),IF(Inputs!$C$17="Rebased to 100",$G262/G$8*100,$G262)))))</f>
        <v/>
      </c>
      <c r="N262" s="54">
        <f>IF($B262=0,NA(),IF(Inputs!$C$18&lt;&gt;"Yes",NA(),IF(COUNT(I262,J262,K262,L262,M262)=0,NA(),MIN(I262,J262,K262,L262,M262))))</f>
        <v/>
      </c>
      <c r="O262" s="54">
        <f>IF($B262=0,NA(),IF(Inputs!$B$24&lt;&gt;"Yes",NA(),Inputs!$D$24*Inputs!$C$35))</f>
        <v/>
      </c>
      <c r="P262" s="54">
        <f>IF($B262=0,NA(),IF(Inputs!$B$25&lt;&gt;"Yes",NA(),Inputs!$D$25*Inputs!$C$35))</f>
        <v/>
      </c>
      <c r="Q262" s="54">
        <f>IF($B262=0,NA(),IF(Inputs!$B$26&lt;&gt;"Yes",NA(),Inputs!$D$26*Inputs!$C$35))</f>
        <v/>
      </c>
      <c r="R262" s="54">
        <f>IF($B262=0,NA(),IF(Inputs!$B$27&lt;&gt;"Yes",NA(),Inputs!$D$27*Inputs!$C$35))</f>
        <v/>
      </c>
      <c r="S262" s="54">
        <f>IF($B262=0,NA(),IF(Inputs!$B$28&lt;&gt;"Yes",NA(),Inputs!$D$28*Inputs!$C$35))</f>
        <v/>
      </c>
      <c r="T262" s="54">
        <f>IF($B262=0,NA(),IF(Inputs!$B$29&lt;&gt;"Yes",NA(),Inputs!$D$29*Inputs!$C$35))</f>
        <v/>
      </c>
      <c r="AD262">
        <f>IF($B262=0,0,IF(Inputs!$B$6="",0,COUNTIFS(Data!$A$10:$A$3209,"&gt;="&amp;$A262,Data!$A$10:$A$3209,"&lt;"&amp;$A262+1)))</f>
        <v/>
      </c>
      <c r="AE262">
        <f>IF($B262=0,0,IF(Inputs!$B$7="",0,COUNTIFS(Data!$E$10:$E$3209,"&gt;="&amp;$A262,Data!$E$10:$E$3209,"&lt;"&amp;$A262+1)))</f>
        <v/>
      </c>
      <c r="AF262">
        <f>IF($B262=0,0,IF(Inputs!$B$8="",0,COUNTIFS(Data!$I$10:$I$3209,"&gt;="&amp;$A262,Data!$I$10:$I$3209,"&lt;"&amp;$A262+1)))</f>
        <v/>
      </c>
      <c r="AG262">
        <f>IF($B262=0,0,IF(Inputs!$B$9="",0,COUNTIFS(Data!$M$10:$M$3209,"&gt;="&amp;$A262,Data!$M$10:$M$3209,"&lt;"&amp;$A262+1)))</f>
        <v/>
      </c>
      <c r="AH262">
        <f>IF($B262=0,0,IF(Inputs!$B$10="",0,COUNTIFS(Data!$Q$10:$Q$3209,"&gt;="&amp;$A262,Data!$Q$10:$Q$3209,"&lt;"&amp;$A262+1)))</f>
        <v/>
      </c>
    </row>
    <row r="263">
      <c r="A263" s="55">
        <f>MIN(Inputs!$C$15,$A262+IF(WEEKDAY($A262,2)=5,3,1))</f>
        <v/>
      </c>
      <c r="B263">
        <f>IF($A263&gt;$A262,1,0)</f>
        <v/>
      </c>
      <c r="C263" s="56">
        <f>IF($B263=0,"",IF(Inputs!$B$6="","",IF($AD263=0,C262,SUMIFS(Data!$B$10:$B$3209,Data!$A$10:$A$3209,"&gt;="&amp;$A263,Data!$A$10:$A$3209,"&lt;"&amp;$A263+1)/$AD263)))</f>
        <v/>
      </c>
      <c r="D263" s="56">
        <f>IF($B263=0,"",IF(Inputs!$B$7="","",IF($AE263=0,D262,SUMIFS(Data!$F$10:$F$3209,Data!$E$10:$E$3209,"&gt;="&amp;$A263,Data!$E$10:$E$3209,"&lt;"&amp;$A263+1)/$AE263)))</f>
        <v/>
      </c>
      <c r="E263" s="56">
        <f>IF($B263=0,"",IF(Inputs!$B$8="","",IF($AF263=0,E262,SUMIFS(Data!$J$10:$J$3209,Data!$I$10:$I$3209,"&gt;="&amp;$A263,Data!$I$10:$I$3209,"&lt;"&amp;$A263+1)/$AF263)))</f>
        <v/>
      </c>
      <c r="F263" s="56">
        <f>IF($B263=0,"",IF(Inputs!$B$9="","",IF($AG263=0,F262,SUMIFS(Data!$N$10:$N$3209,Data!$M$10:$M$3209,"&gt;="&amp;$A263,Data!$M$10:$M$3209,"&lt;"&amp;$A263+1)/$AG263)))</f>
        <v/>
      </c>
      <c r="G263" s="56">
        <f>IF($B263=0,"",IF(Inputs!$B$10="","",IF($AH263=0,G262,SUMIFS(Data!$R$10:$R$3209,Data!$Q$10:$Q$3209,"&gt;="&amp;$A263,Data!$Q$10:$Q$3209,"&lt;"&amp;$A263+1)/$AH263)))</f>
        <v/>
      </c>
      <c r="I263" s="54">
        <f>IF($B263=0,NA(),IF($C263="",NA(),IF(C$8="",NA(),IF(N(C$8)=0,NA(),IF(Inputs!$C$17="Rebased to 100",$C263/C$8*100,$C263)))))</f>
        <v/>
      </c>
      <c r="J263" s="54">
        <f>IF($B263=0,NA(),IF($D263="",NA(),IF(D$8="",NA(),IF(N(D$8)=0,NA(),IF(Inputs!$C$17="Rebased to 100",$D263/D$8*100,$D263)))))</f>
        <v/>
      </c>
      <c r="K263" s="54">
        <f>IF($B263=0,NA(),IF($E263="",NA(),IF(E$8="",NA(),IF(N(E$8)=0,NA(),IF(Inputs!$C$17="Rebased to 100",$E263/E$8*100,$E263)))))</f>
        <v/>
      </c>
      <c r="L263" s="54">
        <f>IF($B263=0,NA(),IF($F263="",NA(),IF(F$8="",NA(),IF(N(F$8)=0,NA(),IF(Inputs!$C$17="Rebased to 100",$F263/F$8*100,$F263)))))</f>
        <v/>
      </c>
      <c r="M263" s="54">
        <f>IF($B263=0,NA(),IF($G263="",NA(),IF(G$8="",NA(),IF(N(G$8)=0,NA(),IF(Inputs!$C$17="Rebased to 100",$G263/G$8*100,$G263)))))</f>
        <v/>
      </c>
      <c r="N263" s="54">
        <f>IF($B263=0,NA(),IF(Inputs!$C$18&lt;&gt;"Yes",NA(),IF(COUNT(I263,J263,K263,L263,M263)=0,NA(),MIN(I263,J263,K263,L263,M263))))</f>
        <v/>
      </c>
      <c r="O263" s="54">
        <f>IF($B263=0,NA(),IF(Inputs!$B$24&lt;&gt;"Yes",NA(),Inputs!$D$24*Inputs!$C$35))</f>
        <v/>
      </c>
      <c r="P263" s="54">
        <f>IF($B263=0,NA(),IF(Inputs!$B$25&lt;&gt;"Yes",NA(),Inputs!$D$25*Inputs!$C$35))</f>
        <v/>
      </c>
      <c r="Q263" s="54">
        <f>IF($B263=0,NA(),IF(Inputs!$B$26&lt;&gt;"Yes",NA(),Inputs!$D$26*Inputs!$C$35))</f>
        <v/>
      </c>
      <c r="R263" s="54">
        <f>IF($B263=0,NA(),IF(Inputs!$B$27&lt;&gt;"Yes",NA(),Inputs!$D$27*Inputs!$C$35))</f>
        <v/>
      </c>
      <c r="S263" s="54">
        <f>IF($B263=0,NA(),IF(Inputs!$B$28&lt;&gt;"Yes",NA(),Inputs!$D$28*Inputs!$C$35))</f>
        <v/>
      </c>
      <c r="T263" s="54">
        <f>IF($B263=0,NA(),IF(Inputs!$B$29&lt;&gt;"Yes",NA(),Inputs!$D$29*Inputs!$C$35))</f>
        <v/>
      </c>
      <c r="AD263">
        <f>IF($B263=0,0,IF(Inputs!$B$6="",0,COUNTIFS(Data!$A$10:$A$3209,"&gt;="&amp;$A263,Data!$A$10:$A$3209,"&lt;"&amp;$A263+1)))</f>
        <v/>
      </c>
      <c r="AE263">
        <f>IF($B263=0,0,IF(Inputs!$B$7="",0,COUNTIFS(Data!$E$10:$E$3209,"&gt;="&amp;$A263,Data!$E$10:$E$3209,"&lt;"&amp;$A263+1)))</f>
        <v/>
      </c>
      <c r="AF263">
        <f>IF($B263=0,0,IF(Inputs!$B$8="",0,COUNTIFS(Data!$I$10:$I$3209,"&gt;="&amp;$A263,Data!$I$10:$I$3209,"&lt;"&amp;$A263+1)))</f>
        <v/>
      </c>
      <c r="AG263">
        <f>IF($B263=0,0,IF(Inputs!$B$9="",0,COUNTIFS(Data!$M$10:$M$3209,"&gt;="&amp;$A263,Data!$M$10:$M$3209,"&lt;"&amp;$A263+1)))</f>
        <v/>
      </c>
      <c r="AH263">
        <f>IF($B263=0,0,IF(Inputs!$B$10="",0,COUNTIFS(Data!$Q$10:$Q$3209,"&gt;="&amp;$A263,Data!$Q$10:$Q$3209,"&lt;"&amp;$A263+1)))</f>
        <v/>
      </c>
    </row>
    <row r="264">
      <c r="A264" s="55">
        <f>MIN(Inputs!$C$15,$A263+IF(WEEKDAY($A263,2)=5,3,1))</f>
        <v/>
      </c>
      <c r="B264">
        <f>IF($A264&gt;$A263,1,0)</f>
        <v/>
      </c>
      <c r="C264" s="56">
        <f>IF($B264=0,"",IF(Inputs!$B$6="","",IF($AD264=0,C263,SUMIFS(Data!$B$10:$B$3209,Data!$A$10:$A$3209,"&gt;="&amp;$A264,Data!$A$10:$A$3209,"&lt;"&amp;$A264+1)/$AD264)))</f>
        <v/>
      </c>
      <c r="D264" s="56">
        <f>IF($B264=0,"",IF(Inputs!$B$7="","",IF($AE264=0,D263,SUMIFS(Data!$F$10:$F$3209,Data!$E$10:$E$3209,"&gt;="&amp;$A264,Data!$E$10:$E$3209,"&lt;"&amp;$A264+1)/$AE264)))</f>
        <v/>
      </c>
      <c r="E264" s="56">
        <f>IF($B264=0,"",IF(Inputs!$B$8="","",IF($AF264=0,E263,SUMIFS(Data!$J$10:$J$3209,Data!$I$10:$I$3209,"&gt;="&amp;$A264,Data!$I$10:$I$3209,"&lt;"&amp;$A264+1)/$AF264)))</f>
        <v/>
      </c>
      <c r="F264" s="56">
        <f>IF($B264=0,"",IF(Inputs!$B$9="","",IF($AG264=0,F263,SUMIFS(Data!$N$10:$N$3209,Data!$M$10:$M$3209,"&gt;="&amp;$A264,Data!$M$10:$M$3209,"&lt;"&amp;$A264+1)/$AG264)))</f>
        <v/>
      </c>
      <c r="G264" s="56">
        <f>IF($B264=0,"",IF(Inputs!$B$10="","",IF($AH264=0,G263,SUMIFS(Data!$R$10:$R$3209,Data!$Q$10:$Q$3209,"&gt;="&amp;$A264,Data!$Q$10:$Q$3209,"&lt;"&amp;$A264+1)/$AH264)))</f>
        <v/>
      </c>
      <c r="I264" s="54">
        <f>IF($B264=0,NA(),IF($C264="",NA(),IF(C$8="",NA(),IF(N(C$8)=0,NA(),IF(Inputs!$C$17="Rebased to 100",$C264/C$8*100,$C264)))))</f>
        <v/>
      </c>
      <c r="J264" s="54">
        <f>IF($B264=0,NA(),IF($D264="",NA(),IF(D$8="",NA(),IF(N(D$8)=0,NA(),IF(Inputs!$C$17="Rebased to 100",$D264/D$8*100,$D264)))))</f>
        <v/>
      </c>
      <c r="K264" s="54">
        <f>IF($B264=0,NA(),IF($E264="",NA(),IF(E$8="",NA(),IF(N(E$8)=0,NA(),IF(Inputs!$C$17="Rebased to 100",$E264/E$8*100,$E264)))))</f>
        <v/>
      </c>
      <c r="L264" s="54">
        <f>IF($B264=0,NA(),IF($F264="",NA(),IF(F$8="",NA(),IF(N(F$8)=0,NA(),IF(Inputs!$C$17="Rebased to 100",$F264/F$8*100,$F264)))))</f>
        <v/>
      </c>
      <c r="M264" s="54">
        <f>IF($B264=0,NA(),IF($G264="",NA(),IF(G$8="",NA(),IF(N(G$8)=0,NA(),IF(Inputs!$C$17="Rebased to 100",$G264/G$8*100,$G264)))))</f>
        <v/>
      </c>
      <c r="N264" s="54">
        <f>IF($B264=0,NA(),IF(Inputs!$C$18&lt;&gt;"Yes",NA(),IF(COUNT(I264,J264,K264,L264,M264)=0,NA(),MIN(I264,J264,K264,L264,M264))))</f>
        <v/>
      </c>
      <c r="O264" s="54">
        <f>IF($B264=0,NA(),IF(Inputs!$B$24&lt;&gt;"Yes",NA(),Inputs!$D$24*Inputs!$C$35))</f>
        <v/>
      </c>
      <c r="P264" s="54">
        <f>IF($B264=0,NA(),IF(Inputs!$B$25&lt;&gt;"Yes",NA(),Inputs!$D$25*Inputs!$C$35))</f>
        <v/>
      </c>
      <c r="Q264" s="54">
        <f>IF($B264=0,NA(),IF(Inputs!$B$26&lt;&gt;"Yes",NA(),Inputs!$D$26*Inputs!$C$35))</f>
        <v/>
      </c>
      <c r="R264" s="54">
        <f>IF($B264=0,NA(),IF(Inputs!$B$27&lt;&gt;"Yes",NA(),Inputs!$D$27*Inputs!$C$35))</f>
        <v/>
      </c>
      <c r="S264" s="54">
        <f>IF($B264=0,NA(),IF(Inputs!$B$28&lt;&gt;"Yes",NA(),Inputs!$D$28*Inputs!$C$35))</f>
        <v/>
      </c>
      <c r="T264" s="54">
        <f>IF($B264=0,NA(),IF(Inputs!$B$29&lt;&gt;"Yes",NA(),Inputs!$D$29*Inputs!$C$35))</f>
        <v/>
      </c>
      <c r="AD264">
        <f>IF($B264=0,0,IF(Inputs!$B$6="",0,COUNTIFS(Data!$A$10:$A$3209,"&gt;="&amp;$A264,Data!$A$10:$A$3209,"&lt;"&amp;$A264+1)))</f>
        <v/>
      </c>
      <c r="AE264">
        <f>IF($B264=0,0,IF(Inputs!$B$7="",0,COUNTIFS(Data!$E$10:$E$3209,"&gt;="&amp;$A264,Data!$E$10:$E$3209,"&lt;"&amp;$A264+1)))</f>
        <v/>
      </c>
      <c r="AF264">
        <f>IF($B264=0,0,IF(Inputs!$B$8="",0,COUNTIFS(Data!$I$10:$I$3209,"&gt;="&amp;$A264,Data!$I$10:$I$3209,"&lt;"&amp;$A264+1)))</f>
        <v/>
      </c>
      <c r="AG264">
        <f>IF($B264=0,0,IF(Inputs!$B$9="",0,COUNTIFS(Data!$M$10:$M$3209,"&gt;="&amp;$A264,Data!$M$10:$M$3209,"&lt;"&amp;$A264+1)))</f>
        <v/>
      </c>
      <c r="AH264">
        <f>IF($B264=0,0,IF(Inputs!$B$10="",0,COUNTIFS(Data!$Q$10:$Q$3209,"&gt;="&amp;$A264,Data!$Q$10:$Q$3209,"&lt;"&amp;$A264+1)))</f>
        <v/>
      </c>
    </row>
    <row r="265">
      <c r="A265" s="55">
        <f>MIN(Inputs!$C$15,$A264+IF(WEEKDAY($A264,2)=5,3,1))</f>
        <v/>
      </c>
      <c r="B265">
        <f>IF($A265&gt;$A264,1,0)</f>
        <v/>
      </c>
      <c r="C265" s="56">
        <f>IF($B265=0,"",IF(Inputs!$B$6="","",IF($AD265=0,C264,SUMIFS(Data!$B$10:$B$3209,Data!$A$10:$A$3209,"&gt;="&amp;$A265,Data!$A$10:$A$3209,"&lt;"&amp;$A265+1)/$AD265)))</f>
        <v/>
      </c>
      <c r="D265" s="56">
        <f>IF($B265=0,"",IF(Inputs!$B$7="","",IF($AE265=0,D264,SUMIFS(Data!$F$10:$F$3209,Data!$E$10:$E$3209,"&gt;="&amp;$A265,Data!$E$10:$E$3209,"&lt;"&amp;$A265+1)/$AE265)))</f>
        <v/>
      </c>
      <c r="E265" s="56">
        <f>IF($B265=0,"",IF(Inputs!$B$8="","",IF($AF265=0,E264,SUMIFS(Data!$J$10:$J$3209,Data!$I$10:$I$3209,"&gt;="&amp;$A265,Data!$I$10:$I$3209,"&lt;"&amp;$A265+1)/$AF265)))</f>
        <v/>
      </c>
      <c r="F265" s="56">
        <f>IF($B265=0,"",IF(Inputs!$B$9="","",IF($AG265=0,F264,SUMIFS(Data!$N$10:$N$3209,Data!$M$10:$M$3209,"&gt;="&amp;$A265,Data!$M$10:$M$3209,"&lt;"&amp;$A265+1)/$AG265)))</f>
        <v/>
      </c>
      <c r="G265" s="56">
        <f>IF($B265=0,"",IF(Inputs!$B$10="","",IF($AH265=0,G264,SUMIFS(Data!$R$10:$R$3209,Data!$Q$10:$Q$3209,"&gt;="&amp;$A265,Data!$Q$10:$Q$3209,"&lt;"&amp;$A265+1)/$AH265)))</f>
        <v/>
      </c>
      <c r="I265" s="54">
        <f>IF($B265=0,NA(),IF($C265="",NA(),IF(C$8="",NA(),IF(N(C$8)=0,NA(),IF(Inputs!$C$17="Rebased to 100",$C265/C$8*100,$C265)))))</f>
        <v/>
      </c>
      <c r="J265" s="54">
        <f>IF($B265=0,NA(),IF($D265="",NA(),IF(D$8="",NA(),IF(N(D$8)=0,NA(),IF(Inputs!$C$17="Rebased to 100",$D265/D$8*100,$D265)))))</f>
        <v/>
      </c>
      <c r="K265" s="54">
        <f>IF($B265=0,NA(),IF($E265="",NA(),IF(E$8="",NA(),IF(N(E$8)=0,NA(),IF(Inputs!$C$17="Rebased to 100",$E265/E$8*100,$E265)))))</f>
        <v/>
      </c>
      <c r="L265" s="54">
        <f>IF($B265=0,NA(),IF($F265="",NA(),IF(F$8="",NA(),IF(N(F$8)=0,NA(),IF(Inputs!$C$17="Rebased to 100",$F265/F$8*100,$F265)))))</f>
        <v/>
      </c>
      <c r="M265" s="54">
        <f>IF($B265=0,NA(),IF($G265="",NA(),IF(G$8="",NA(),IF(N(G$8)=0,NA(),IF(Inputs!$C$17="Rebased to 100",$G265/G$8*100,$G265)))))</f>
        <v/>
      </c>
      <c r="N265" s="54">
        <f>IF($B265=0,NA(),IF(Inputs!$C$18&lt;&gt;"Yes",NA(),IF(COUNT(I265,J265,K265,L265,M265)=0,NA(),MIN(I265,J265,K265,L265,M265))))</f>
        <v/>
      </c>
      <c r="O265" s="54">
        <f>IF($B265=0,NA(),IF(Inputs!$B$24&lt;&gt;"Yes",NA(),Inputs!$D$24*Inputs!$C$35))</f>
        <v/>
      </c>
      <c r="P265" s="54">
        <f>IF($B265=0,NA(),IF(Inputs!$B$25&lt;&gt;"Yes",NA(),Inputs!$D$25*Inputs!$C$35))</f>
        <v/>
      </c>
      <c r="Q265" s="54">
        <f>IF($B265=0,NA(),IF(Inputs!$B$26&lt;&gt;"Yes",NA(),Inputs!$D$26*Inputs!$C$35))</f>
        <v/>
      </c>
      <c r="R265" s="54">
        <f>IF($B265=0,NA(),IF(Inputs!$B$27&lt;&gt;"Yes",NA(),Inputs!$D$27*Inputs!$C$35))</f>
        <v/>
      </c>
      <c r="S265" s="54">
        <f>IF($B265=0,NA(),IF(Inputs!$B$28&lt;&gt;"Yes",NA(),Inputs!$D$28*Inputs!$C$35))</f>
        <v/>
      </c>
      <c r="T265" s="54">
        <f>IF($B265=0,NA(),IF(Inputs!$B$29&lt;&gt;"Yes",NA(),Inputs!$D$29*Inputs!$C$35))</f>
        <v/>
      </c>
      <c r="AD265">
        <f>IF($B265=0,0,IF(Inputs!$B$6="",0,COUNTIFS(Data!$A$10:$A$3209,"&gt;="&amp;$A265,Data!$A$10:$A$3209,"&lt;"&amp;$A265+1)))</f>
        <v/>
      </c>
      <c r="AE265">
        <f>IF($B265=0,0,IF(Inputs!$B$7="",0,COUNTIFS(Data!$E$10:$E$3209,"&gt;="&amp;$A265,Data!$E$10:$E$3209,"&lt;"&amp;$A265+1)))</f>
        <v/>
      </c>
      <c r="AF265">
        <f>IF($B265=0,0,IF(Inputs!$B$8="",0,COUNTIFS(Data!$I$10:$I$3209,"&gt;="&amp;$A265,Data!$I$10:$I$3209,"&lt;"&amp;$A265+1)))</f>
        <v/>
      </c>
      <c r="AG265">
        <f>IF($B265=0,0,IF(Inputs!$B$9="",0,COUNTIFS(Data!$M$10:$M$3209,"&gt;="&amp;$A265,Data!$M$10:$M$3209,"&lt;"&amp;$A265+1)))</f>
        <v/>
      </c>
      <c r="AH265">
        <f>IF($B265=0,0,IF(Inputs!$B$10="",0,COUNTIFS(Data!$Q$10:$Q$3209,"&gt;="&amp;$A265,Data!$Q$10:$Q$3209,"&lt;"&amp;$A265+1)))</f>
        <v/>
      </c>
    </row>
    <row r="266">
      <c r="A266" s="55">
        <f>MIN(Inputs!$C$15,$A265+IF(WEEKDAY($A265,2)=5,3,1))</f>
        <v/>
      </c>
      <c r="B266">
        <f>IF($A266&gt;$A265,1,0)</f>
        <v/>
      </c>
      <c r="C266" s="56">
        <f>IF($B266=0,"",IF(Inputs!$B$6="","",IF($AD266=0,C265,SUMIFS(Data!$B$10:$B$3209,Data!$A$10:$A$3209,"&gt;="&amp;$A266,Data!$A$10:$A$3209,"&lt;"&amp;$A266+1)/$AD266)))</f>
        <v/>
      </c>
      <c r="D266" s="56">
        <f>IF($B266=0,"",IF(Inputs!$B$7="","",IF($AE266=0,D265,SUMIFS(Data!$F$10:$F$3209,Data!$E$10:$E$3209,"&gt;="&amp;$A266,Data!$E$10:$E$3209,"&lt;"&amp;$A266+1)/$AE266)))</f>
        <v/>
      </c>
      <c r="E266" s="56">
        <f>IF($B266=0,"",IF(Inputs!$B$8="","",IF($AF266=0,E265,SUMIFS(Data!$J$10:$J$3209,Data!$I$10:$I$3209,"&gt;="&amp;$A266,Data!$I$10:$I$3209,"&lt;"&amp;$A266+1)/$AF266)))</f>
        <v/>
      </c>
      <c r="F266" s="56">
        <f>IF($B266=0,"",IF(Inputs!$B$9="","",IF($AG266=0,F265,SUMIFS(Data!$N$10:$N$3209,Data!$M$10:$M$3209,"&gt;="&amp;$A266,Data!$M$10:$M$3209,"&lt;"&amp;$A266+1)/$AG266)))</f>
        <v/>
      </c>
      <c r="G266" s="56">
        <f>IF($B266=0,"",IF(Inputs!$B$10="","",IF($AH266=0,G265,SUMIFS(Data!$R$10:$R$3209,Data!$Q$10:$Q$3209,"&gt;="&amp;$A266,Data!$Q$10:$Q$3209,"&lt;"&amp;$A266+1)/$AH266)))</f>
        <v/>
      </c>
      <c r="I266" s="54">
        <f>IF($B266=0,NA(),IF($C266="",NA(),IF(C$8="",NA(),IF(N(C$8)=0,NA(),IF(Inputs!$C$17="Rebased to 100",$C266/C$8*100,$C266)))))</f>
        <v/>
      </c>
      <c r="J266" s="54">
        <f>IF($B266=0,NA(),IF($D266="",NA(),IF(D$8="",NA(),IF(N(D$8)=0,NA(),IF(Inputs!$C$17="Rebased to 100",$D266/D$8*100,$D266)))))</f>
        <v/>
      </c>
      <c r="K266" s="54">
        <f>IF($B266=0,NA(),IF($E266="",NA(),IF(E$8="",NA(),IF(N(E$8)=0,NA(),IF(Inputs!$C$17="Rebased to 100",$E266/E$8*100,$E266)))))</f>
        <v/>
      </c>
      <c r="L266" s="54">
        <f>IF($B266=0,NA(),IF($F266="",NA(),IF(F$8="",NA(),IF(N(F$8)=0,NA(),IF(Inputs!$C$17="Rebased to 100",$F266/F$8*100,$F266)))))</f>
        <v/>
      </c>
      <c r="M266" s="54">
        <f>IF($B266=0,NA(),IF($G266="",NA(),IF(G$8="",NA(),IF(N(G$8)=0,NA(),IF(Inputs!$C$17="Rebased to 100",$G266/G$8*100,$G266)))))</f>
        <v/>
      </c>
      <c r="N266" s="54">
        <f>IF($B266=0,NA(),IF(Inputs!$C$18&lt;&gt;"Yes",NA(),IF(COUNT(I266,J266,K266,L266,M266)=0,NA(),MIN(I266,J266,K266,L266,M266))))</f>
        <v/>
      </c>
      <c r="O266" s="54">
        <f>IF($B266=0,NA(),IF(Inputs!$B$24&lt;&gt;"Yes",NA(),Inputs!$D$24*Inputs!$C$35))</f>
        <v/>
      </c>
      <c r="P266" s="54">
        <f>IF($B266=0,NA(),IF(Inputs!$B$25&lt;&gt;"Yes",NA(),Inputs!$D$25*Inputs!$C$35))</f>
        <v/>
      </c>
      <c r="Q266" s="54">
        <f>IF($B266=0,NA(),IF(Inputs!$B$26&lt;&gt;"Yes",NA(),Inputs!$D$26*Inputs!$C$35))</f>
        <v/>
      </c>
      <c r="R266" s="54">
        <f>IF($B266=0,NA(),IF(Inputs!$B$27&lt;&gt;"Yes",NA(),Inputs!$D$27*Inputs!$C$35))</f>
        <v/>
      </c>
      <c r="S266" s="54">
        <f>IF($B266=0,NA(),IF(Inputs!$B$28&lt;&gt;"Yes",NA(),Inputs!$D$28*Inputs!$C$35))</f>
        <v/>
      </c>
      <c r="T266" s="54">
        <f>IF($B266=0,NA(),IF(Inputs!$B$29&lt;&gt;"Yes",NA(),Inputs!$D$29*Inputs!$C$35))</f>
        <v/>
      </c>
      <c r="AD266">
        <f>IF($B266=0,0,IF(Inputs!$B$6="",0,COUNTIFS(Data!$A$10:$A$3209,"&gt;="&amp;$A266,Data!$A$10:$A$3209,"&lt;"&amp;$A266+1)))</f>
        <v/>
      </c>
      <c r="AE266">
        <f>IF($B266=0,0,IF(Inputs!$B$7="",0,COUNTIFS(Data!$E$10:$E$3209,"&gt;="&amp;$A266,Data!$E$10:$E$3209,"&lt;"&amp;$A266+1)))</f>
        <v/>
      </c>
      <c r="AF266">
        <f>IF($B266=0,0,IF(Inputs!$B$8="",0,COUNTIFS(Data!$I$10:$I$3209,"&gt;="&amp;$A266,Data!$I$10:$I$3209,"&lt;"&amp;$A266+1)))</f>
        <v/>
      </c>
      <c r="AG266">
        <f>IF($B266=0,0,IF(Inputs!$B$9="",0,COUNTIFS(Data!$M$10:$M$3209,"&gt;="&amp;$A266,Data!$M$10:$M$3209,"&lt;"&amp;$A266+1)))</f>
        <v/>
      </c>
      <c r="AH266">
        <f>IF($B266=0,0,IF(Inputs!$B$10="",0,COUNTIFS(Data!$Q$10:$Q$3209,"&gt;="&amp;$A266,Data!$Q$10:$Q$3209,"&lt;"&amp;$A266+1)))</f>
        <v/>
      </c>
    </row>
    <row r="267">
      <c r="A267" s="55">
        <f>MIN(Inputs!$C$15,$A266+IF(WEEKDAY($A266,2)=5,3,1))</f>
        <v/>
      </c>
      <c r="B267">
        <f>IF($A267&gt;$A266,1,0)</f>
        <v/>
      </c>
      <c r="C267" s="56">
        <f>IF($B267=0,"",IF(Inputs!$B$6="","",IF($AD267=0,C266,SUMIFS(Data!$B$10:$B$3209,Data!$A$10:$A$3209,"&gt;="&amp;$A267,Data!$A$10:$A$3209,"&lt;"&amp;$A267+1)/$AD267)))</f>
        <v/>
      </c>
      <c r="D267" s="56">
        <f>IF($B267=0,"",IF(Inputs!$B$7="","",IF($AE267=0,D266,SUMIFS(Data!$F$10:$F$3209,Data!$E$10:$E$3209,"&gt;="&amp;$A267,Data!$E$10:$E$3209,"&lt;"&amp;$A267+1)/$AE267)))</f>
        <v/>
      </c>
      <c r="E267" s="56">
        <f>IF($B267=0,"",IF(Inputs!$B$8="","",IF($AF267=0,E266,SUMIFS(Data!$J$10:$J$3209,Data!$I$10:$I$3209,"&gt;="&amp;$A267,Data!$I$10:$I$3209,"&lt;"&amp;$A267+1)/$AF267)))</f>
        <v/>
      </c>
      <c r="F267" s="56">
        <f>IF($B267=0,"",IF(Inputs!$B$9="","",IF($AG267=0,F266,SUMIFS(Data!$N$10:$N$3209,Data!$M$10:$M$3209,"&gt;="&amp;$A267,Data!$M$10:$M$3209,"&lt;"&amp;$A267+1)/$AG267)))</f>
        <v/>
      </c>
      <c r="G267" s="56">
        <f>IF($B267=0,"",IF(Inputs!$B$10="","",IF($AH267=0,G266,SUMIFS(Data!$R$10:$R$3209,Data!$Q$10:$Q$3209,"&gt;="&amp;$A267,Data!$Q$10:$Q$3209,"&lt;"&amp;$A267+1)/$AH267)))</f>
        <v/>
      </c>
      <c r="I267" s="54">
        <f>IF($B267=0,NA(),IF($C267="",NA(),IF(C$8="",NA(),IF(N(C$8)=0,NA(),IF(Inputs!$C$17="Rebased to 100",$C267/C$8*100,$C267)))))</f>
        <v/>
      </c>
      <c r="J267" s="54">
        <f>IF($B267=0,NA(),IF($D267="",NA(),IF(D$8="",NA(),IF(N(D$8)=0,NA(),IF(Inputs!$C$17="Rebased to 100",$D267/D$8*100,$D267)))))</f>
        <v/>
      </c>
      <c r="K267" s="54">
        <f>IF($B267=0,NA(),IF($E267="",NA(),IF(E$8="",NA(),IF(N(E$8)=0,NA(),IF(Inputs!$C$17="Rebased to 100",$E267/E$8*100,$E267)))))</f>
        <v/>
      </c>
      <c r="L267" s="54">
        <f>IF($B267=0,NA(),IF($F267="",NA(),IF(F$8="",NA(),IF(N(F$8)=0,NA(),IF(Inputs!$C$17="Rebased to 100",$F267/F$8*100,$F267)))))</f>
        <v/>
      </c>
      <c r="M267" s="54">
        <f>IF($B267=0,NA(),IF($G267="",NA(),IF(G$8="",NA(),IF(N(G$8)=0,NA(),IF(Inputs!$C$17="Rebased to 100",$G267/G$8*100,$G267)))))</f>
        <v/>
      </c>
      <c r="N267" s="54">
        <f>IF($B267=0,NA(),IF(Inputs!$C$18&lt;&gt;"Yes",NA(),IF(COUNT(I267,J267,K267,L267,M267)=0,NA(),MIN(I267,J267,K267,L267,M267))))</f>
        <v/>
      </c>
      <c r="O267" s="54">
        <f>IF($B267=0,NA(),IF(Inputs!$B$24&lt;&gt;"Yes",NA(),Inputs!$D$24*Inputs!$C$35))</f>
        <v/>
      </c>
      <c r="P267" s="54">
        <f>IF($B267=0,NA(),IF(Inputs!$B$25&lt;&gt;"Yes",NA(),Inputs!$D$25*Inputs!$C$35))</f>
        <v/>
      </c>
      <c r="Q267" s="54">
        <f>IF($B267=0,NA(),IF(Inputs!$B$26&lt;&gt;"Yes",NA(),Inputs!$D$26*Inputs!$C$35))</f>
        <v/>
      </c>
      <c r="R267" s="54">
        <f>IF($B267=0,NA(),IF(Inputs!$B$27&lt;&gt;"Yes",NA(),Inputs!$D$27*Inputs!$C$35))</f>
        <v/>
      </c>
      <c r="S267" s="54">
        <f>IF($B267=0,NA(),IF(Inputs!$B$28&lt;&gt;"Yes",NA(),Inputs!$D$28*Inputs!$C$35))</f>
        <v/>
      </c>
      <c r="T267" s="54">
        <f>IF($B267=0,NA(),IF(Inputs!$B$29&lt;&gt;"Yes",NA(),Inputs!$D$29*Inputs!$C$35))</f>
        <v/>
      </c>
      <c r="AD267">
        <f>IF($B267=0,0,IF(Inputs!$B$6="",0,COUNTIFS(Data!$A$10:$A$3209,"&gt;="&amp;$A267,Data!$A$10:$A$3209,"&lt;"&amp;$A267+1)))</f>
        <v/>
      </c>
      <c r="AE267">
        <f>IF($B267=0,0,IF(Inputs!$B$7="",0,COUNTIFS(Data!$E$10:$E$3209,"&gt;="&amp;$A267,Data!$E$10:$E$3209,"&lt;"&amp;$A267+1)))</f>
        <v/>
      </c>
      <c r="AF267">
        <f>IF($B267=0,0,IF(Inputs!$B$8="",0,COUNTIFS(Data!$I$10:$I$3209,"&gt;="&amp;$A267,Data!$I$10:$I$3209,"&lt;"&amp;$A267+1)))</f>
        <v/>
      </c>
      <c r="AG267">
        <f>IF($B267=0,0,IF(Inputs!$B$9="",0,COUNTIFS(Data!$M$10:$M$3209,"&gt;="&amp;$A267,Data!$M$10:$M$3209,"&lt;"&amp;$A267+1)))</f>
        <v/>
      </c>
      <c r="AH267">
        <f>IF($B267=0,0,IF(Inputs!$B$10="",0,COUNTIFS(Data!$Q$10:$Q$3209,"&gt;="&amp;$A267,Data!$Q$10:$Q$3209,"&lt;"&amp;$A267+1)))</f>
        <v/>
      </c>
    </row>
    <row r="268">
      <c r="A268" s="55">
        <f>MIN(Inputs!$C$15,$A267+IF(WEEKDAY($A267,2)=5,3,1))</f>
        <v/>
      </c>
      <c r="B268">
        <f>IF($A268&gt;$A267,1,0)</f>
        <v/>
      </c>
      <c r="C268" s="56">
        <f>IF($B268=0,"",IF(Inputs!$B$6="","",IF($AD268=0,C267,SUMIFS(Data!$B$10:$B$3209,Data!$A$10:$A$3209,"&gt;="&amp;$A268,Data!$A$10:$A$3209,"&lt;"&amp;$A268+1)/$AD268)))</f>
        <v/>
      </c>
      <c r="D268" s="56">
        <f>IF($B268=0,"",IF(Inputs!$B$7="","",IF($AE268=0,D267,SUMIFS(Data!$F$10:$F$3209,Data!$E$10:$E$3209,"&gt;="&amp;$A268,Data!$E$10:$E$3209,"&lt;"&amp;$A268+1)/$AE268)))</f>
        <v/>
      </c>
      <c r="E268" s="56">
        <f>IF($B268=0,"",IF(Inputs!$B$8="","",IF($AF268=0,E267,SUMIFS(Data!$J$10:$J$3209,Data!$I$10:$I$3209,"&gt;="&amp;$A268,Data!$I$10:$I$3209,"&lt;"&amp;$A268+1)/$AF268)))</f>
        <v/>
      </c>
      <c r="F268" s="56">
        <f>IF($B268=0,"",IF(Inputs!$B$9="","",IF($AG268=0,F267,SUMIFS(Data!$N$10:$N$3209,Data!$M$10:$M$3209,"&gt;="&amp;$A268,Data!$M$10:$M$3209,"&lt;"&amp;$A268+1)/$AG268)))</f>
        <v/>
      </c>
      <c r="G268" s="56">
        <f>IF($B268=0,"",IF(Inputs!$B$10="","",IF($AH268=0,G267,SUMIFS(Data!$R$10:$R$3209,Data!$Q$10:$Q$3209,"&gt;="&amp;$A268,Data!$Q$10:$Q$3209,"&lt;"&amp;$A268+1)/$AH268)))</f>
        <v/>
      </c>
      <c r="I268" s="54">
        <f>IF($B268=0,NA(),IF($C268="",NA(),IF(C$8="",NA(),IF(N(C$8)=0,NA(),IF(Inputs!$C$17="Rebased to 100",$C268/C$8*100,$C268)))))</f>
        <v/>
      </c>
      <c r="J268" s="54">
        <f>IF($B268=0,NA(),IF($D268="",NA(),IF(D$8="",NA(),IF(N(D$8)=0,NA(),IF(Inputs!$C$17="Rebased to 100",$D268/D$8*100,$D268)))))</f>
        <v/>
      </c>
      <c r="K268" s="54">
        <f>IF($B268=0,NA(),IF($E268="",NA(),IF(E$8="",NA(),IF(N(E$8)=0,NA(),IF(Inputs!$C$17="Rebased to 100",$E268/E$8*100,$E268)))))</f>
        <v/>
      </c>
      <c r="L268" s="54">
        <f>IF($B268=0,NA(),IF($F268="",NA(),IF(F$8="",NA(),IF(N(F$8)=0,NA(),IF(Inputs!$C$17="Rebased to 100",$F268/F$8*100,$F268)))))</f>
        <v/>
      </c>
      <c r="M268" s="54">
        <f>IF($B268=0,NA(),IF($G268="",NA(),IF(G$8="",NA(),IF(N(G$8)=0,NA(),IF(Inputs!$C$17="Rebased to 100",$G268/G$8*100,$G268)))))</f>
        <v/>
      </c>
      <c r="N268" s="54">
        <f>IF($B268=0,NA(),IF(Inputs!$C$18&lt;&gt;"Yes",NA(),IF(COUNT(I268,J268,K268,L268,M268)=0,NA(),MIN(I268,J268,K268,L268,M268))))</f>
        <v/>
      </c>
      <c r="O268" s="54">
        <f>IF($B268=0,NA(),IF(Inputs!$B$24&lt;&gt;"Yes",NA(),Inputs!$D$24*Inputs!$C$35))</f>
        <v/>
      </c>
      <c r="P268" s="54">
        <f>IF($B268=0,NA(),IF(Inputs!$B$25&lt;&gt;"Yes",NA(),Inputs!$D$25*Inputs!$C$35))</f>
        <v/>
      </c>
      <c r="Q268" s="54">
        <f>IF($B268=0,NA(),IF(Inputs!$B$26&lt;&gt;"Yes",NA(),Inputs!$D$26*Inputs!$C$35))</f>
        <v/>
      </c>
      <c r="R268" s="54">
        <f>IF($B268=0,NA(),IF(Inputs!$B$27&lt;&gt;"Yes",NA(),Inputs!$D$27*Inputs!$C$35))</f>
        <v/>
      </c>
      <c r="S268" s="54">
        <f>IF($B268=0,NA(),IF(Inputs!$B$28&lt;&gt;"Yes",NA(),Inputs!$D$28*Inputs!$C$35))</f>
        <v/>
      </c>
      <c r="T268" s="54">
        <f>IF($B268=0,NA(),IF(Inputs!$B$29&lt;&gt;"Yes",NA(),Inputs!$D$29*Inputs!$C$35))</f>
        <v/>
      </c>
      <c r="AD268">
        <f>IF($B268=0,0,IF(Inputs!$B$6="",0,COUNTIFS(Data!$A$10:$A$3209,"&gt;="&amp;$A268,Data!$A$10:$A$3209,"&lt;"&amp;$A268+1)))</f>
        <v/>
      </c>
      <c r="AE268">
        <f>IF($B268=0,0,IF(Inputs!$B$7="",0,COUNTIFS(Data!$E$10:$E$3209,"&gt;="&amp;$A268,Data!$E$10:$E$3209,"&lt;"&amp;$A268+1)))</f>
        <v/>
      </c>
      <c r="AF268">
        <f>IF($B268=0,0,IF(Inputs!$B$8="",0,COUNTIFS(Data!$I$10:$I$3209,"&gt;="&amp;$A268,Data!$I$10:$I$3209,"&lt;"&amp;$A268+1)))</f>
        <v/>
      </c>
      <c r="AG268">
        <f>IF($B268=0,0,IF(Inputs!$B$9="",0,COUNTIFS(Data!$M$10:$M$3209,"&gt;="&amp;$A268,Data!$M$10:$M$3209,"&lt;"&amp;$A268+1)))</f>
        <v/>
      </c>
      <c r="AH268">
        <f>IF($B268=0,0,IF(Inputs!$B$10="",0,COUNTIFS(Data!$Q$10:$Q$3209,"&gt;="&amp;$A268,Data!$Q$10:$Q$3209,"&lt;"&amp;$A268+1)))</f>
        <v/>
      </c>
    </row>
    <row r="269">
      <c r="A269" s="55">
        <f>MIN(Inputs!$C$15,$A268+IF(WEEKDAY($A268,2)=5,3,1))</f>
        <v/>
      </c>
      <c r="B269">
        <f>IF($A269&gt;$A268,1,0)</f>
        <v/>
      </c>
      <c r="C269" s="56">
        <f>IF($B269=0,"",IF(Inputs!$B$6="","",IF($AD269=0,C268,SUMIFS(Data!$B$10:$B$3209,Data!$A$10:$A$3209,"&gt;="&amp;$A269,Data!$A$10:$A$3209,"&lt;"&amp;$A269+1)/$AD269)))</f>
        <v/>
      </c>
      <c r="D269" s="56">
        <f>IF($B269=0,"",IF(Inputs!$B$7="","",IF($AE269=0,D268,SUMIFS(Data!$F$10:$F$3209,Data!$E$10:$E$3209,"&gt;="&amp;$A269,Data!$E$10:$E$3209,"&lt;"&amp;$A269+1)/$AE269)))</f>
        <v/>
      </c>
      <c r="E269" s="56">
        <f>IF($B269=0,"",IF(Inputs!$B$8="","",IF($AF269=0,E268,SUMIFS(Data!$J$10:$J$3209,Data!$I$10:$I$3209,"&gt;="&amp;$A269,Data!$I$10:$I$3209,"&lt;"&amp;$A269+1)/$AF269)))</f>
        <v/>
      </c>
      <c r="F269" s="56">
        <f>IF($B269=0,"",IF(Inputs!$B$9="","",IF($AG269=0,F268,SUMIFS(Data!$N$10:$N$3209,Data!$M$10:$M$3209,"&gt;="&amp;$A269,Data!$M$10:$M$3209,"&lt;"&amp;$A269+1)/$AG269)))</f>
        <v/>
      </c>
      <c r="G269" s="56">
        <f>IF($B269=0,"",IF(Inputs!$B$10="","",IF($AH269=0,G268,SUMIFS(Data!$R$10:$R$3209,Data!$Q$10:$Q$3209,"&gt;="&amp;$A269,Data!$Q$10:$Q$3209,"&lt;"&amp;$A269+1)/$AH269)))</f>
        <v/>
      </c>
      <c r="I269" s="54">
        <f>IF($B269=0,NA(),IF($C269="",NA(),IF(C$8="",NA(),IF(N(C$8)=0,NA(),IF(Inputs!$C$17="Rebased to 100",$C269/C$8*100,$C269)))))</f>
        <v/>
      </c>
      <c r="J269" s="54">
        <f>IF($B269=0,NA(),IF($D269="",NA(),IF(D$8="",NA(),IF(N(D$8)=0,NA(),IF(Inputs!$C$17="Rebased to 100",$D269/D$8*100,$D269)))))</f>
        <v/>
      </c>
      <c r="K269" s="54">
        <f>IF($B269=0,NA(),IF($E269="",NA(),IF(E$8="",NA(),IF(N(E$8)=0,NA(),IF(Inputs!$C$17="Rebased to 100",$E269/E$8*100,$E269)))))</f>
        <v/>
      </c>
      <c r="L269" s="54">
        <f>IF($B269=0,NA(),IF($F269="",NA(),IF(F$8="",NA(),IF(N(F$8)=0,NA(),IF(Inputs!$C$17="Rebased to 100",$F269/F$8*100,$F269)))))</f>
        <v/>
      </c>
      <c r="M269" s="54">
        <f>IF($B269=0,NA(),IF($G269="",NA(),IF(G$8="",NA(),IF(N(G$8)=0,NA(),IF(Inputs!$C$17="Rebased to 100",$G269/G$8*100,$G269)))))</f>
        <v/>
      </c>
      <c r="N269" s="54">
        <f>IF($B269=0,NA(),IF(Inputs!$C$18&lt;&gt;"Yes",NA(),IF(COUNT(I269,J269,K269,L269,M269)=0,NA(),MIN(I269,J269,K269,L269,M269))))</f>
        <v/>
      </c>
      <c r="O269" s="54">
        <f>IF($B269=0,NA(),IF(Inputs!$B$24&lt;&gt;"Yes",NA(),Inputs!$D$24*Inputs!$C$35))</f>
        <v/>
      </c>
      <c r="P269" s="54">
        <f>IF($B269=0,NA(),IF(Inputs!$B$25&lt;&gt;"Yes",NA(),Inputs!$D$25*Inputs!$C$35))</f>
        <v/>
      </c>
      <c r="Q269" s="54">
        <f>IF($B269=0,NA(),IF(Inputs!$B$26&lt;&gt;"Yes",NA(),Inputs!$D$26*Inputs!$C$35))</f>
        <v/>
      </c>
      <c r="R269" s="54">
        <f>IF($B269=0,NA(),IF(Inputs!$B$27&lt;&gt;"Yes",NA(),Inputs!$D$27*Inputs!$C$35))</f>
        <v/>
      </c>
      <c r="S269" s="54">
        <f>IF($B269=0,NA(),IF(Inputs!$B$28&lt;&gt;"Yes",NA(),Inputs!$D$28*Inputs!$C$35))</f>
        <v/>
      </c>
      <c r="T269" s="54">
        <f>IF($B269=0,NA(),IF(Inputs!$B$29&lt;&gt;"Yes",NA(),Inputs!$D$29*Inputs!$C$35))</f>
        <v/>
      </c>
      <c r="AD269">
        <f>IF($B269=0,0,IF(Inputs!$B$6="",0,COUNTIFS(Data!$A$10:$A$3209,"&gt;="&amp;$A269,Data!$A$10:$A$3209,"&lt;"&amp;$A269+1)))</f>
        <v/>
      </c>
      <c r="AE269">
        <f>IF($B269=0,0,IF(Inputs!$B$7="",0,COUNTIFS(Data!$E$10:$E$3209,"&gt;="&amp;$A269,Data!$E$10:$E$3209,"&lt;"&amp;$A269+1)))</f>
        <v/>
      </c>
      <c r="AF269">
        <f>IF($B269=0,0,IF(Inputs!$B$8="",0,COUNTIFS(Data!$I$10:$I$3209,"&gt;="&amp;$A269,Data!$I$10:$I$3209,"&lt;"&amp;$A269+1)))</f>
        <v/>
      </c>
      <c r="AG269">
        <f>IF($B269=0,0,IF(Inputs!$B$9="",0,COUNTIFS(Data!$M$10:$M$3209,"&gt;="&amp;$A269,Data!$M$10:$M$3209,"&lt;"&amp;$A269+1)))</f>
        <v/>
      </c>
      <c r="AH269">
        <f>IF($B269=0,0,IF(Inputs!$B$10="",0,COUNTIFS(Data!$Q$10:$Q$3209,"&gt;="&amp;$A269,Data!$Q$10:$Q$3209,"&lt;"&amp;$A269+1)))</f>
        <v/>
      </c>
    </row>
    <row r="270">
      <c r="A270" s="55">
        <f>MIN(Inputs!$C$15,$A269+IF(WEEKDAY($A269,2)=5,3,1))</f>
        <v/>
      </c>
      <c r="B270">
        <f>IF($A270&gt;$A269,1,0)</f>
        <v/>
      </c>
      <c r="C270" s="56">
        <f>IF($B270=0,"",IF(Inputs!$B$6="","",IF($AD270=0,C269,SUMIFS(Data!$B$10:$B$3209,Data!$A$10:$A$3209,"&gt;="&amp;$A270,Data!$A$10:$A$3209,"&lt;"&amp;$A270+1)/$AD270)))</f>
        <v/>
      </c>
      <c r="D270" s="56">
        <f>IF($B270=0,"",IF(Inputs!$B$7="","",IF($AE270=0,D269,SUMIFS(Data!$F$10:$F$3209,Data!$E$10:$E$3209,"&gt;="&amp;$A270,Data!$E$10:$E$3209,"&lt;"&amp;$A270+1)/$AE270)))</f>
        <v/>
      </c>
      <c r="E270" s="56">
        <f>IF($B270=0,"",IF(Inputs!$B$8="","",IF($AF270=0,E269,SUMIFS(Data!$J$10:$J$3209,Data!$I$10:$I$3209,"&gt;="&amp;$A270,Data!$I$10:$I$3209,"&lt;"&amp;$A270+1)/$AF270)))</f>
        <v/>
      </c>
      <c r="F270" s="56">
        <f>IF($B270=0,"",IF(Inputs!$B$9="","",IF($AG270=0,F269,SUMIFS(Data!$N$10:$N$3209,Data!$M$10:$M$3209,"&gt;="&amp;$A270,Data!$M$10:$M$3209,"&lt;"&amp;$A270+1)/$AG270)))</f>
        <v/>
      </c>
      <c r="G270" s="56">
        <f>IF($B270=0,"",IF(Inputs!$B$10="","",IF($AH270=0,G269,SUMIFS(Data!$R$10:$R$3209,Data!$Q$10:$Q$3209,"&gt;="&amp;$A270,Data!$Q$10:$Q$3209,"&lt;"&amp;$A270+1)/$AH270)))</f>
        <v/>
      </c>
      <c r="I270" s="54">
        <f>IF($B270=0,NA(),IF($C270="",NA(),IF(C$8="",NA(),IF(N(C$8)=0,NA(),IF(Inputs!$C$17="Rebased to 100",$C270/C$8*100,$C270)))))</f>
        <v/>
      </c>
      <c r="J270" s="54">
        <f>IF($B270=0,NA(),IF($D270="",NA(),IF(D$8="",NA(),IF(N(D$8)=0,NA(),IF(Inputs!$C$17="Rebased to 100",$D270/D$8*100,$D270)))))</f>
        <v/>
      </c>
      <c r="K270" s="54">
        <f>IF($B270=0,NA(),IF($E270="",NA(),IF(E$8="",NA(),IF(N(E$8)=0,NA(),IF(Inputs!$C$17="Rebased to 100",$E270/E$8*100,$E270)))))</f>
        <v/>
      </c>
      <c r="L270" s="54">
        <f>IF($B270=0,NA(),IF($F270="",NA(),IF(F$8="",NA(),IF(N(F$8)=0,NA(),IF(Inputs!$C$17="Rebased to 100",$F270/F$8*100,$F270)))))</f>
        <v/>
      </c>
      <c r="M270" s="54">
        <f>IF($B270=0,NA(),IF($G270="",NA(),IF(G$8="",NA(),IF(N(G$8)=0,NA(),IF(Inputs!$C$17="Rebased to 100",$G270/G$8*100,$G270)))))</f>
        <v/>
      </c>
      <c r="N270" s="54">
        <f>IF($B270=0,NA(),IF(Inputs!$C$18&lt;&gt;"Yes",NA(),IF(COUNT(I270,J270,K270,L270,M270)=0,NA(),MIN(I270,J270,K270,L270,M270))))</f>
        <v/>
      </c>
      <c r="O270" s="54">
        <f>IF($B270=0,NA(),IF(Inputs!$B$24&lt;&gt;"Yes",NA(),Inputs!$D$24*Inputs!$C$35))</f>
        <v/>
      </c>
      <c r="P270" s="54">
        <f>IF($B270=0,NA(),IF(Inputs!$B$25&lt;&gt;"Yes",NA(),Inputs!$D$25*Inputs!$C$35))</f>
        <v/>
      </c>
      <c r="Q270" s="54">
        <f>IF($B270=0,NA(),IF(Inputs!$B$26&lt;&gt;"Yes",NA(),Inputs!$D$26*Inputs!$C$35))</f>
        <v/>
      </c>
      <c r="R270" s="54">
        <f>IF($B270=0,NA(),IF(Inputs!$B$27&lt;&gt;"Yes",NA(),Inputs!$D$27*Inputs!$C$35))</f>
        <v/>
      </c>
      <c r="S270" s="54">
        <f>IF($B270=0,NA(),IF(Inputs!$B$28&lt;&gt;"Yes",NA(),Inputs!$D$28*Inputs!$C$35))</f>
        <v/>
      </c>
      <c r="T270" s="54">
        <f>IF($B270=0,NA(),IF(Inputs!$B$29&lt;&gt;"Yes",NA(),Inputs!$D$29*Inputs!$C$35))</f>
        <v/>
      </c>
      <c r="AD270">
        <f>IF($B270=0,0,IF(Inputs!$B$6="",0,COUNTIFS(Data!$A$10:$A$3209,"&gt;="&amp;$A270,Data!$A$10:$A$3209,"&lt;"&amp;$A270+1)))</f>
        <v/>
      </c>
      <c r="AE270">
        <f>IF($B270=0,0,IF(Inputs!$B$7="",0,COUNTIFS(Data!$E$10:$E$3209,"&gt;="&amp;$A270,Data!$E$10:$E$3209,"&lt;"&amp;$A270+1)))</f>
        <v/>
      </c>
      <c r="AF270">
        <f>IF($B270=0,0,IF(Inputs!$B$8="",0,COUNTIFS(Data!$I$10:$I$3209,"&gt;="&amp;$A270,Data!$I$10:$I$3209,"&lt;"&amp;$A270+1)))</f>
        <v/>
      </c>
      <c r="AG270">
        <f>IF($B270=0,0,IF(Inputs!$B$9="",0,COUNTIFS(Data!$M$10:$M$3209,"&gt;="&amp;$A270,Data!$M$10:$M$3209,"&lt;"&amp;$A270+1)))</f>
        <v/>
      </c>
      <c r="AH270">
        <f>IF($B270=0,0,IF(Inputs!$B$10="",0,COUNTIFS(Data!$Q$10:$Q$3209,"&gt;="&amp;$A270,Data!$Q$10:$Q$3209,"&lt;"&amp;$A270+1)))</f>
        <v/>
      </c>
    </row>
    <row r="271">
      <c r="A271" s="55">
        <f>MIN(Inputs!$C$15,$A270+IF(WEEKDAY($A270,2)=5,3,1))</f>
        <v/>
      </c>
      <c r="B271">
        <f>IF($A271&gt;$A270,1,0)</f>
        <v/>
      </c>
      <c r="C271" s="56">
        <f>IF($B271=0,"",IF(Inputs!$B$6="","",IF($AD271=0,C270,SUMIFS(Data!$B$10:$B$3209,Data!$A$10:$A$3209,"&gt;="&amp;$A271,Data!$A$10:$A$3209,"&lt;"&amp;$A271+1)/$AD271)))</f>
        <v/>
      </c>
      <c r="D271" s="56">
        <f>IF($B271=0,"",IF(Inputs!$B$7="","",IF($AE271=0,D270,SUMIFS(Data!$F$10:$F$3209,Data!$E$10:$E$3209,"&gt;="&amp;$A271,Data!$E$10:$E$3209,"&lt;"&amp;$A271+1)/$AE271)))</f>
        <v/>
      </c>
      <c r="E271" s="56">
        <f>IF($B271=0,"",IF(Inputs!$B$8="","",IF($AF271=0,E270,SUMIFS(Data!$J$10:$J$3209,Data!$I$10:$I$3209,"&gt;="&amp;$A271,Data!$I$10:$I$3209,"&lt;"&amp;$A271+1)/$AF271)))</f>
        <v/>
      </c>
      <c r="F271" s="56">
        <f>IF($B271=0,"",IF(Inputs!$B$9="","",IF($AG271=0,F270,SUMIFS(Data!$N$10:$N$3209,Data!$M$10:$M$3209,"&gt;="&amp;$A271,Data!$M$10:$M$3209,"&lt;"&amp;$A271+1)/$AG271)))</f>
        <v/>
      </c>
      <c r="G271" s="56">
        <f>IF($B271=0,"",IF(Inputs!$B$10="","",IF($AH271=0,G270,SUMIFS(Data!$R$10:$R$3209,Data!$Q$10:$Q$3209,"&gt;="&amp;$A271,Data!$Q$10:$Q$3209,"&lt;"&amp;$A271+1)/$AH271)))</f>
        <v/>
      </c>
      <c r="I271" s="54">
        <f>IF($B271=0,NA(),IF($C271="",NA(),IF(C$8="",NA(),IF(N(C$8)=0,NA(),IF(Inputs!$C$17="Rebased to 100",$C271/C$8*100,$C271)))))</f>
        <v/>
      </c>
      <c r="J271" s="54">
        <f>IF($B271=0,NA(),IF($D271="",NA(),IF(D$8="",NA(),IF(N(D$8)=0,NA(),IF(Inputs!$C$17="Rebased to 100",$D271/D$8*100,$D271)))))</f>
        <v/>
      </c>
      <c r="K271" s="54">
        <f>IF($B271=0,NA(),IF($E271="",NA(),IF(E$8="",NA(),IF(N(E$8)=0,NA(),IF(Inputs!$C$17="Rebased to 100",$E271/E$8*100,$E271)))))</f>
        <v/>
      </c>
      <c r="L271" s="54">
        <f>IF($B271=0,NA(),IF($F271="",NA(),IF(F$8="",NA(),IF(N(F$8)=0,NA(),IF(Inputs!$C$17="Rebased to 100",$F271/F$8*100,$F271)))))</f>
        <v/>
      </c>
      <c r="M271" s="54">
        <f>IF($B271=0,NA(),IF($G271="",NA(),IF(G$8="",NA(),IF(N(G$8)=0,NA(),IF(Inputs!$C$17="Rebased to 100",$G271/G$8*100,$G271)))))</f>
        <v/>
      </c>
      <c r="N271" s="54">
        <f>IF($B271=0,NA(),IF(Inputs!$C$18&lt;&gt;"Yes",NA(),IF(COUNT(I271,J271,K271,L271,M271)=0,NA(),MIN(I271,J271,K271,L271,M271))))</f>
        <v/>
      </c>
      <c r="O271" s="54">
        <f>IF($B271=0,NA(),IF(Inputs!$B$24&lt;&gt;"Yes",NA(),Inputs!$D$24*Inputs!$C$35))</f>
        <v/>
      </c>
      <c r="P271" s="54">
        <f>IF($B271=0,NA(),IF(Inputs!$B$25&lt;&gt;"Yes",NA(),Inputs!$D$25*Inputs!$C$35))</f>
        <v/>
      </c>
      <c r="Q271" s="54">
        <f>IF($B271=0,NA(),IF(Inputs!$B$26&lt;&gt;"Yes",NA(),Inputs!$D$26*Inputs!$C$35))</f>
        <v/>
      </c>
      <c r="R271" s="54">
        <f>IF($B271=0,NA(),IF(Inputs!$B$27&lt;&gt;"Yes",NA(),Inputs!$D$27*Inputs!$C$35))</f>
        <v/>
      </c>
      <c r="S271" s="54">
        <f>IF($B271=0,NA(),IF(Inputs!$B$28&lt;&gt;"Yes",NA(),Inputs!$D$28*Inputs!$C$35))</f>
        <v/>
      </c>
      <c r="T271" s="54">
        <f>IF($B271=0,NA(),IF(Inputs!$B$29&lt;&gt;"Yes",NA(),Inputs!$D$29*Inputs!$C$35))</f>
        <v/>
      </c>
      <c r="AD271">
        <f>IF($B271=0,0,IF(Inputs!$B$6="",0,COUNTIFS(Data!$A$10:$A$3209,"&gt;="&amp;$A271,Data!$A$10:$A$3209,"&lt;"&amp;$A271+1)))</f>
        <v/>
      </c>
      <c r="AE271">
        <f>IF($B271=0,0,IF(Inputs!$B$7="",0,COUNTIFS(Data!$E$10:$E$3209,"&gt;="&amp;$A271,Data!$E$10:$E$3209,"&lt;"&amp;$A271+1)))</f>
        <v/>
      </c>
      <c r="AF271">
        <f>IF($B271=0,0,IF(Inputs!$B$8="",0,COUNTIFS(Data!$I$10:$I$3209,"&gt;="&amp;$A271,Data!$I$10:$I$3209,"&lt;"&amp;$A271+1)))</f>
        <v/>
      </c>
      <c r="AG271">
        <f>IF($B271=0,0,IF(Inputs!$B$9="",0,COUNTIFS(Data!$M$10:$M$3209,"&gt;="&amp;$A271,Data!$M$10:$M$3209,"&lt;"&amp;$A271+1)))</f>
        <v/>
      </c>
      <c r="AH271">
        <f>IF($B271=0,0,IF(Inputs!$B$10="",0,COUNTIFS(Data!$Q$10:$Q$3209,"&gt;="&amp;$A271,Data!$Q$10:$Q$3209,"&lt;"&amp;$A271+1)))</f>
        <v/>
      </c>
    </row>
    <row r="272">
      <c r="A272" s="55">
        <f>MIN(Inputs!$C$15,$A271+IF(WEEKDAY($A271,2)=5,3,1))</f>
        <v/>
      </c>
      <c r="B272">
        <f>IF($A272&gt;$A271,1,0)</f>
        <v/>
      </c>
      <c r="C272" s="56">
        <f>IF($B272=0,"",IF(Inputs!$B$6="","",IF($AD272=0,C271,SUMIFS(Data!$B$10:$B$3209,Data!$A$10:$A$3209,"&gt;="&amp;$A272,Data!$A$10:$A$3209,"&lt;"&amp;$A272+1)/$AD272)))</f>
        <v/>
      </c>
      <c r="D272" s="56">
        <f>IF($B272=0,"",IF(Inputs!$B$7="","",IF($AE272=0,D271,SUMIFS(Data!$F$10:$F$3209,Data!$E$10:$E$3209,"&gt;="&amp;$A272,Data!$E$10:$E$3209,"&lt;"&amp;$A272+1)/$AE272)))</f>
        <v/>
      </c>
      <c r="E272" s="56">
        <f>IF($B272=0,"",IF(Inputs!$B$8="","",IF($AF272=0,E271,SUMIFS(Data!$J$10:$J$3209,Data!$I$10:$I$3209,"&gt;="&amp;$A272,Data!$I$10:$I$3209,"&lt;"&amp;$A272+1)/$AF272)))</f>
        <v/>
      </c>
      <c r="F272" s="56">
        <f>IF($B272=0,"",IF(Inputs!$B$9="","",IF($AG272=0,F271,SUMIFS(Data!$N$10:$N$3209,Data!$M$10:$M$3209,"&gt;="&amp;$A272,Data!$M$10:$M$3209,"&lt;"&amp;$A272+1)/$AG272)))</f>
        <v/>
      </c>
      <c r="G272" s="56">
        <f>IF($B272=0,"",IF(Inputs!$B$10="","",IF($AH272=0,G271,SUMIFS(Data!$R$10:$R$3209,Data!$Q$10:$Q$3209,"&gt;="&amp;$A272,Data!$Q$10:$Q$3209,"&lt;"&amp;$A272+1)/$AH272)))</f>
        <v/>
      </c>
      <c r="I272" s="54">
        <f>IF($B272=0,NA(),IF($C272="",NA(),IF(C$8="",NA(),IF(N(C$8)=0,NA(),IF(Inputs!$C$17="Rebased to 100",$C272/C$8*100,$C272)))))</f>
        <v/>
      </c>
      <c r="J272" s="54">
        <f>IF($B272=0,NA(),IF($D272="",NA(),IF(D$8="",NA(),IF(N(D$8)=0,NA(),IF(Inputs!$C$17="Rebased to 100",$D272/D$8*100,$D272)))))</f>
        <v/>
      </c>
      <c r="K272" s="54">
        <f>IF($B272=0,NA(),IF($E272="",NA(),IF(E$8="",NA(),IF(N(E$8)=0,NA(),IF(Inputs!$C$17="Rebased to 100",$E272/E$8*100,$E272)))))</f>
        <v/>
      </c>
      <c r="L272" s="54">
        <f>IF($B272=0,NA(),IF($F272="",NA(),IF(F$8="",NA(),IF(N(F$8)=0,NA(),IF(Inputs!$C$17="Rebased to 100",$F272/F$8*100,$F272)))))</f>
        <v/>
      </c>
      <c r="M272" s="54">
        <f>IF($B272=0,NA(),IF($G272="",NA(),IF(G$8="",NA(),IF(N(G$8)=0,NA(),IF(Inputs!$C$17="Rebased to 100",$G272/G$8*100,$G272)))))</f>
        <v/>
      </c>
      <c r="N272" s="54">
        <f>IF($B272=0,NA(),IF(Inputs!$C$18&lt;&gt;"Yes",NA(),IF(COUNT(I272,J272,K272,L272,M272)=0,NA(),MIN(I272,J272,K272,L272,M272))))</f>
        <v/>
      </c>
      <c r="O272" s="54">
        <f>IF($B272=0,NA(),IF(Inputs!$B$24&lt;&gt;"Yes",NA(),Inputs!$D$24*Inputs!$C$35))</f>
        <v/>
      </c>
      <c r="P272" s="54">
        <f>IF($B272=0,NA(),IF(Inputs!$B$25&lt;&gt;"Yes",NA(),Inputs!$D$25*Inputs!$C$35))</f>
        <v/>
      </c>
      <c r="Q272" s="54">
        <f>IF($B272=0,NA(),IF(Inputs!$B$26&lt;&gt;"Yes",NA(),Inputs!$D$26*Inputs!$C$35))</f>
        <v/>
      </c>
      <c r="R272" s="54">
        <f>IF($B272=0,NA(),IF(Inputs!$B$27&lt;&gt;"Yes",NA(),Inputs!$D$27*Inputs!$C$35))</f>
        <v/>
      </c>
      <c r="S272" s="54">
        <f>IF($B272=0,NA(),IF(Inputs!$B$28&lt;&gt;"Yes",NA(),Inputs!$D$28*Inputs!$C$35))</f>
        <v/>
      </c>
      <c r="T272" s="54">
        <f>IF($B272=0,NA(),IF(Inputs!$B$29&lt;&gt;"Yes",NA(),Inputs!$D$29*Inputs!$C$35))</f>
        <v/>
      </c>
      <c r="AD272">
        <f>IF($B272=0,0,IF(Inputs!$B$6="",0,COUNTIFS(Data!$A$10:$A$3209,"&gt;="&amp;$A272,Data!$A$10:$A$3209,"&lt;"&amp;$A272+1)))</f>
        <v/>
      </c>
      <c r="AE272">
        <f>IF($B272=0,0,IF(Inputs!$B$7="",0,COUNTIFS(Data!$E$10:$E$3209,"&gt;="&amp;$A272,Data!$E$10:$E$3209,"&lt;"&amp;$A272+1)))</f>
        <v/>
      </c>
      <c r="AF272">
        <f>IF($B272=0,0,IF(Inputs!$B$8="",0,COUNTIFS(Data!$I$10:$I$3209,"&gt;="&amp;$A272,Data!$I$10:$I$3209,"&lt;"&amp;$A272+1)))</f>
        <v/>
      </c>
      <c r="AG272">
        <f>IF($B272=0,0,IF(Inputs!$B$9="",0,COUNTIFS(Data!$M$10:$M$3209,"&gt;="&amp;$A272,Data!$M$10:$M$3209,"&lt;"&amp;$A272+1)))</f>
        <v/>
      </c>
      <c r="AH272">
        <f>IF($B272=0,0,IF(Inputs!$B$10="",0,COUNTIFS(Data!$Q$10:$Q$3209,"&gt;="&amp;$A272,Data!$Q$10:$Q$3209,"&lt;"&amp;$A272+1)))</f>
        <v/>
      </c>
    </row>
    <row r="273">
      <c r="A273" s="55">
        <f>MIN(Inputs!$C$15,$A272+IF(WEEKDAY($A272,2)=5,3,1))</f>
        <v/>
      </c>
      <c r="B273">
        <f>IF($A273&gt;$A272,1,0)</f>
        <v/>
      </c>
      <c r="C273" s="56">
        <f>IF($B273=0,"",IF(Inputs!$B$6="","",IF($AD273=0,C272,SUMIFS(Data!$B$10:$B$3209,Data!$A$10:$A$3209,"&gt;="&amp;$A273,Data!$A$10:$A$3209,"&lt;"&amp;$A273+1)/$AD273)))</f>
        <v/>
      </c>
      <c r="D273" s="56">
        <f>IF($B273=0,"",IF(Inputs!$B$7="","",IF($AE273=0,D272,SUMIFS(Data!$F$10:$F$3209,Data!$E$10:$E$3209,"&gt;="&amp;$A273,Data!$E$10:$E$3209,"&lt;"&amp;$A273+1)/$AE273)))</f>
        <v/>
      </c>
      <c r="E273" s="56">
        <f>IF($B273=0,"",IF(Inputs!$B$8="","",IF($AF273=0,E272,SUMIFS(Data!$J$10:$J$3209,Data!$I$10:$I$3209,"&gt;="&amp;$A273,Data!$I$10:$I$3209,"&lt;"&amp;$A273+1)/$AF273)))</f>
        <v/>
      </c>
      <c r="F273" s="56">
        <f>IF($B273=0,"",IF(Inputs!$B$9="","",IF($AG273=0,F272,SUMIFS(Data!$N$10:$N$3209,Data!$M$10:$M$3209,"&gt;="&amp;$A273,Data!$M$10:$M$3209,"&lt;"&amp;$A273+1)/$AG273)))</f>
        <v/>
      </c>
      <c r="G273" s="56">
        <f>IF($B273=0,"",IF(Inputs!$B$10="","",IF($AH273=0,G272,SUMIFS(Data!$R$10:$R$3209,Data!$Q$10:$Q$3209,"&gt;="&amp;$A273,Data!$Q$10:$Q$3209,"&lt;"&amp;$A273+1)/$AH273)))</f>
        <v/>
      </c>
      <c r="I273" s="54">
        <f>IF($B273=0,NA(),IF($C273="",NA(),IF(C$8="",NA(),IF(N(C$8)=0,NA(),IF(Inputs!$C$17="Rebased to 100",$C273/C$8*100,$C273)))))</f>
        <v/>
      </c>
      <c r="J273" s="54">
        <f>IF($B273=0,NA(),IF($D273="",NA(),IF(D$8="",NA(),IF(N(D$8)=0,NA(),IF(Inputs!$C$17="Rebased to 100",$D273/D$8*100,$D273)))))</f>
        <v/>
      </c>
      <c r="K273" s="54">
        <f>IF($B273=0,NA(),IF($E273="",NA(),IF(E$8="",NA(),IF(N(E$8)=0,NA(),IF(Inputs!$C$17="Rebased to 100",$E273/E$8*100,$E273)))))</f>
        <v/>
      </c>
      <c r="L273" s="54">
        <f>IF($B273=0,NA(),IF($F273="",NA(),IF(F$8="",NA(),IF(N(F$8)=0,NA(),IF(Inputs!$C$17="Rebased to 100",$F273/F$8*100,$F273)))))</f>
        <v/>
      </c>
      <c r="M273" s="54">
        <f>IF($B273=0,NA(),IF($G273="",NA(),IF(G$8="",NA(),IF(N(G$8)=0,NA(),IF(Inputs!$C$17="Rebased to 100",$G273/G$8*100,$G273)))))</f>
        <v/>
      </c>
      <c r="N273" s="54">
        <f>IF($B273=0,NA(),IF(Inputs!$C$18&lt;&gt;"Yes",NA(),IF(COUNT(I273,J273,K273,L273,M273)=0,NA(),MIN(I273,J273,K273,L273,M273))))</f>
        <v/>
      </c>
      <c r="O273" s="54">
        <f>IF($B273=0,NA(),IF(Inputs!$B$24&lt;&gt;"Yes",NA(),Inputs!$D$24*Inputs!$C$35))</f>
        <v/>
      </c>
      <c r="P273" s="54">
        <f>IF($B273=0,NA(),IF(Inputs!$B$25&lt;&gt;"Yes",NA(),Inputs!$D$25*Inputs!$C$35))</f>
        <v/>
      </c>
      <c r="Q273" s="54">
        <f>IF($B273=0,NA(),IF(Inputs!$B$26&lt;&gt;"Yes",NA(),Inputs!$D$26*Inputs!$C$35))</f>
        <v/>
      </c>
      <c r="R273" s="54">
        <f>IF($B273=0,NA(),IF(Inputs!$B$27&lt;&gt;"Yes",NA(),Inputs!$D$27*Inputs!$C$35))</f>
        <v/>
      </c>
      <c r="S273" s="54">
        <f>IF($B273=0,NA(),IF(Inputs!$B$28&lt;&gt;"Yes",NA(),Inputs!$D$28*Inputs!$C$35))</f>
        <v/>
      </c>
      <c r="T273" s="54">
        <f>IF($B273=0,NA(),IF(Inputs!$B$29&lt;&gt;"Yes",NA(),Inputs!$D$29*Inputs!$C$35))</f>
        <v/>
      </c>
      <c r="AD273">
        <f>IF($B273=0,0,IF(Inputs!$B$6="",0,COUNTIFS(Data!$A$10:$A$3209,"&gt;="&amp;$A273,Data!$A$10:$A$3209,"&lt;"&amp;$A273+1)))</f>
        <v/>
      </c>
      <c r="AE273">
        <f>IF($B273=0,0,IF(Inputs!$B$7="",0,COUNTIFS(Data!$E$10:$E$3209,"&gt;="&amp;$A273,Data!$E$10:$E$3209,"&lt;"&amp;$A273+1)))</f>
        <v/>
      </c>
      <c r="AF273">
        <f>IF($B273=0,0,IF(Inputs!$B$8="",0,COUNTIFS(Data!$I$10:$I$3209,"&gt;="&amp;$A273,Data!$I$10:$I$3209,"&lt;"&amp;$A273+1)))</f>
        <v/>
      </c>
      <c r="AG273">
        <f>IF($B273=0,0,IF(Inputs!$B$9="",0,COUNTIFS(Data!$M$10:$M$3209,"&gt;="&amp;$A273,Data!$M$10:$M$3209,"&lt;"&amp;$A273+1)))</f>
        <v/>
      </c>
      <c r="AH273">
        <f>IF($B273=0,0,IF(Inputs!$B$10="",0,COUNTIFS(Data!$Q$10:$Q$3209,"&gt;="&amp;$A273,Data!$Q$10:$Q$3209,"&lt;"&amp;$A273+1)))</f>
        <v/>
      </c>
    </row>
    <row r="274">
      <c r="A274" s="55">
        <f>MIN(Inputs!$C$15,$A273+IF(WEEKDAY($A273,2)=5,3,1))</f>
        <v/>
      </c>
      <c r="B274">
        <f>IF($A274&gt;$A273,1,0)</f>
        <v/>
      </c>
      <c r="C274" s="56">
        <f>IF($B274=0,"",IF(Inputs!$B$6="","",IF($AD274=0,C273,SUMIFS(Data!$B$10:$B$3209,Data!$A$10:$A$3209,"&gt;="&amp;$A274,Data!$A$10:$A$3209,"&lt;"&amp;$A274+1)/$AD274)))</f>
        <v/>
      </c>
      <c r="D274" s="56">
        <f>IF($B274=0,"",IF(Inputs!$B$7="","",IF($AE274=0,D273,SUMIFS(Data!$F$10:$F$3209,Data!$E$10:$E$3209,"&gt;="&amp;$A274,Data!$E$10:$E$3209,"&lt;"&amp;$A274+1)/$AE274)))</f>
        <v/>
      </c>
      <c r="E274" s="56">
        <f>IF($B274=0,"",IF(Inputs!$B$8="","",IF($AF274=0,E273,SUMIFS(Data!$J$10:$J$3209,Data!$I$10:$I$3209,"&gt;="&amp;$A274,Data!$I$10:$I$3209,"&lt;"&amp;$A274+1)/$AF274)))</f>
        <v/>
      </c>
      <c r="F274" s="56">
        <f>IF($B274=0,"",IF(Inputs!$B$9="","",IF($AG274=0,F273,SUMIFS(Data!$N$10:$N$3209,Data!$M$10:$M$3209,"&gt;="&amp;$A274,Data!$M$10:$M$3209,"&lt;"&amp;$A274+1)/$AG274)))</f>
        <v/>
      </c>
      <c r="G274" s="56">
        <f>IF($B274=0,"",IF(Inputs!$B$10="","",IF($AH274=0,G273,SUMIFS(Data!$R$10:$R$3209,Data!$Q$10:$Q$3209,"&gt;="&amp;$A274,Data!$Q$10:$Q$3209,"&lt;"&amp;$A274+1)/$AH274)))</f>
        <v/>
      </c>
      <c r="I274" s="54">
        <f>IF($B274=0,NA(),IF($C274="",NA(),IF(C$8="",NA(),IF(N(C$8)=0,NA(),IF(Inputs!$C$17="Rebased to 100",$C274/C$8*100,$C274)))))</f>
        <v/>
      </c>
      <c r="J274" s="54">
        <f>IF($B274=0,NA(),IF($D274="",NA(),IF(D$8="",NA(),IF(N(D$8)=0,NA(),IF(Inputs!$C$17="Rebased to 100",$D274/D$8*100,$D274)))))</f>
        <v/>
      </c>
      <c r="K274" s="54">
        <f>IF($B274=0,NA(),IF($E274="",NA(),IF(E$8="",NA(),IF(N(E$8)=0,NA(),IF(Inputs!$C$17="Rebased to 100",$E274/E$8*100,$E274)))))</f>
        <v/>
      </c>
      <c r="L274" s="54">
        <f>IF($B274=0,NA(),IF($F274="",NA(),IF(F$8="",NA(),IF(N(F$8)=0,NA(),IF(Inputs!$C$17="Rebased to 100",$F274/F$8*100,$F274)))))</f>
        <v/>
      </c>
      <c r="M274" s="54">
        <f>IF($B274=0,NA(),IF($G274="",NA(),IF(G$8="",NA(),IF(N(G$8)=0,NA(),IF(Inputs!$C$17="Rebased to 100",$G274/G$8*100,$G274)))))</f>
        <v/>
      </c>
      <c r="N274" s="54">
        <f>IF($B274=0,NA(),IF(Inputs!$C$18&lt;&gt;"Yes",NA(),IF(COUNT(I274,J274,K274,L274,M274)=0,NA(),MIN(I274,J274,K274,L274,M274))))</f>
        <v/>
      </c>
      <c r="O274" s="54">
        <f>IF($B274=0,NA(),IF(Inputs!$B$24&lt;&gt;"Yes",NA(),Inputs!$D$24*Inputs!$C$35))</f>
        <v/>
      </c>
      <c r="P274" s="54">
        <f>IF($B274=0,NA(),IF(Inputs!$B$25&lt;&gt;"Yes",NA(),Inputs!$D$25*Inputs!$C$35))</f>
        <v/>
      </c>
      <c r="Q274" s="54">
        <f>IF($B274=0,NA(),IF(Inputs!$B$26&lt;&gt;"Yes",NA(),Inputs!$D$26*Inputs!$C$35))</f>
        <v/>
      </c>
      <c r="R274" s="54">
        <f>IF($B274=0,NA(),IF(Inputs!$B$27&lt;&gt;"Yes",NA(),Inputs!$D$27*Inputs!$C$35))</f>
        <v/>
      </c>
      <c r="S274" s="54">
        <f>IF($B274=0,NA(),IF(Inputs!$B$28&lt;&gt;"Yes",NA(),Inputs!$D$28*Inputs!$C$35))</f>
        <v/>
      </c>
      <c r="T274" s="54">
        <f>IF($B274=0,NA(),IF(Inputs!$B$29&lt;&gt;"Yes",NA(),Inputs!$D$29*Inputs!$C$35))</f>
        <v/>
      </c>
      <c r="AD274">
        <f>IF($B274=0,0,IF(Inputs!$B$6="",0,COUNTIFS(Data!$A$10:$A$3209,"&gt;="&amp;$A274,Data!$A$10:$A$3209,"&lt;"&amp;$A274+1)))</f>
        <v/>
      </c>
      <c r="AE274">
        <f>IF($B274=0,0,IF(Inputs!$B$7="",0,COUNTIFS(Data!$E$10:$E$3209,"&gt;="&amp;$A274,Data!$E$10:$E$3209,"&lt;"&amp;$A274+1)))</f>
        <v/>
      </c>
      <c r="AF274">
        <f>IF($B274=0,0,IF(Inputs!$B$8="",0,COUNTIFS(Data!$I$10:$I$3209,"&gt;="&amp;$A274,Data!$I$10:$I$3209,"&lt;"&amp;$A274+1)))</f>
        <v/>
      </c>
      <c r="AG274">
        <f>IF($B274=0,0,IF(Inputs!$B$9="",0,COUNTIFS(Data!$M$10:$M$3209,"&gt;="&amp;$A274,Data!$M$10:$M$3209,"&lt;"&amp;$A274+1)))</f>
        <v/>
      </c>
      <c r="AH274">
        <f>IF($B274=0,0,IF(Inputs!$B$10="",0,COUNTIFS(Data!$Q$10:$Q$3209,"&gt;="&amp;$A274,Data!$Q$10:$Q$3209,"&lt;"&amp;$A274+1)))</f>
        <v/>
      </c>
    </row>
    <row r="275">
      <c r="A275" s="55">
        <f>MIN(Inputs!$C$15,$A274+IF(WEEKDAY($A274,2)=5,3,1))</f>
        <v/>
      </c>
      <c r="B275">
        <f>IF($A275&gt;$A274,1,0)</f>
        <v/>
      </c>
      <c r="C275" s="56">
        <f>IF($B275=0,"",IF(Inputs!$B$6="","",IF($AD275=0,C274,SUMIFS(Data!$B$10:$B$3209,Data!$A$10:$A$3209,"&gt;="&amp;$A275,Data!$A$10:$A$3209,"&lt;"&amp;$A275+1)/$AD275)))</f>
        <v/>
      </c>
      <c r="D275" s="56">
        <f>IF($B275=0,"",IF(Inputs!$B$7="","",IF($AE275=0,D274,SUMIFS(Data!$F$10:$F$3209,Data!$E$10:$E$3209,"&gt;="&amp;$A275,Data!$E$10:$E$3209,"&lt;"&amp;$A275+1)/$AE275)))</f>
        <v/>
      </c>
      <c r="E275" s="56">
        <f>IF($B275=0,"",IF(Inputs!$B$8="","",IF($AF275=0,E274,SUMIFS(Data!$J$10:$J$3209,Data!$I$10:$I$3209,"&gt;="&amp;$A275,Data!$I$10:$I$3209,"&lt;"&amp;$A275+1)/$AF275)))</f>
        <v/>
      </c>
      <c r="F275" s="56">
        <f>IF($B275=0,"",IF(Inputs!$B$9="","",IF($AG275=0,F274,SUMIFS(Data!$N$10:$N$3209,Data!$M$10:$M$3209,"&gt;="&amp;$A275,Data!$M$10:$M$3209,"&lt;"&amp;$A275+1)/$AG275)))</f>
        <v/>
      </c>
      <c r="G275" s="56">
        <f>IF($B275=0,"",IF(Inputs!$B$10="","",IF($AH275=0,G274,SUMIFS(Data!$R$10:$R$3209,Data!$Q$10:$Q$3209,"&gt;="&amp;$A275,Data!$Q$10:$Q$3209,"&lt;"&amp;$A275+1)/$AH275)))</f>
        <v/>
      </c>
      <c r="I275" s="54">
        <f>IF($B275=0,NA(),IF($C275="",NA(),IF(C$8="",NA(),IF(N(C$8)=0,NA(),IF(Inputs!$C$17="Rebased to 100",$C275/C$8*100,$C275)))))</f>
        <v/>
      </c>
      <c r="J275" s="54">
        <f>IF($B275=0,NA(),IF($D275="",NA(),IF(D$8="",NA(),IF(N(D$8)=0,NA(),IF(Inputs!$C$17="Rebased to 100",$D275/D$8*100,$D275)))))</f>
        <v/>
      </c>
      <c r="K275" s="54">
        <f>IF($B275=0,NA(),IF($E275="",NA(),IF(E$8="",NA(),IF(N(E$8)=0,NA(),IF(Inputs!$C$17="Rebased to 100",$E275/E$8*100,$E275)))))</f>
        <v/>
      </c>
      <c r="L275" s="54">
        <f>IF($B275=0,NA(),IF($F275="",NA(),IF(F$8="",NA(),IF(N(F$8)=0,NA(),IF(Inputs!$C$17="Rebased to 100",$F275/F$8*100,$F275)))))</f>
        <v/>
      </c>
      <c r="M275" s="54">
        <f>IF($B275=0,NA(),IF($G275="",NA(),IF(G$8="",NA(),IF(N(G$8)=0,NA(),IF(Inputs!$C$17="Rebased to 100",$G275/G$8*100,$G275)))))</f>
        <v/>
      </c>
      <c r="N275" s="54">
        <f>IF($B275=0,NA(),IF(Inputs!$C$18&lt;&gt;"Yes",NA(),IF(COUNT(I275,J275,K275,L275,M275)=0,NA(),MIN(I275,J275,K275,L275,M275))))</f>
        <v/>
      </c>
      <c r="O275" s="54">
        <f>IF($B275=0,NA(),IF(Inputs!$B$24&lt;&gt;"Yes",NA(),Inputs!$D$24*Inputs!$C$35))</f>
        <v/>
      </c>
      <c r="P275" s="54">
        <f>IF($B275=0,NA(),IF(Inputs!$B$25&lt;&gt;"Yes",NA(),Inputs!$D$25*Inputs!$C$35))</f>
        <v/>
      </c>
      <c r="Q275" s="54">
        <f>IF($B275=0,NA(),IF(Inputs!$B$26&lt;&gt;"Yes",NA(),Inputs!$D$26*Inputs!$C$35))</f>
        <v/>
      </c>
      <c r="R275" s="54">
        <f>IF($B275=0,NA(),IF(Inputs!$B$27&lt;&gt;"Yes",NA(),Inputs!$D$27*Inputs!$C$35))</f>
        <v/>
      </c>
      <c r="S275" s="54">
        <f>IF($B275=0,NA(),IF(Inputs!$B$28&lt;&gt;"Yes",NA(),Inputs!$D$28*Inputs!$C$35))</f>
        <v/>
      </c>
      <c r="T275" s="54">
        <f>IF($B275=0,NA(),IF(Inputs!$B$29&lt;&gt;"Yes",NA(),Inputs!$D$29*Inputs!$C$35))</f>
        <v/>
      </c>
      <c r="AD275">
        <f>IF($B275=0,0,IF(Inputs!$B$6="",0,COUNTIFS(Data!$A$10:$A$3209,"&gt;="&amp;$A275,Data!$A$10:$A$3209,"&lt;"&amp;$A275+1)))</f>
        <v/>
      </c>
      <c r="AE275">
        <f>IF($B275=0,0,IF(Inputs!$B$7="",0,COUNTIFS(Data!$E$10:$E$3209,"&gt;="&amp;$A275,Data!$E$10:$E$3209,"&lt;"&amp;$A275+1)))</f>
        <v/>
      </c>
      <c r="AF275">
        <f>IF($B275=0,0,IF(Inputs!$B$8="",0,COUNTIFS(Data!$I$10:$I$3209,"&gt;="&amp;$A275,Data!$I$10:$I$3209,"&lt;"&amp;$A275+1)))</f>
        <v/>
      </c>
      <c r="AG275">
        <f>IF($B275=0,0,IF(Inputs!$B$9="",0,COUNTIFS(Data!$M$10:$M$3209,"&gt;="&amp;$A275,Data!$M$10:$M$3209,"&lt;"&amp;$A275+1)))</f>
        <v/>
      </c>
      <c r="AH275">
        <f>IF($B275=0,0,IF(Inputs!$B$10="",0,COUNTIFS(Data!$Q$10:$Q$3209,"&gt;="&amp;$A275,Data!$Q$10:$Q$3209,"&lt;"&amp;$A275+1)))</f>
        <v/>
      </c>
    </row>
    <row r="276">
      <c r="A276" s="55">
        <f>MIN(Inputs!$C$15,$A275+IF(WEEKDAY($A275,2)=5,3,1))</f>
        <v/>
      </c>
      <c r="B276">
        <f>IF($A276&gt;$A275,1,0)</f>
        <v/>
      </c>
      <c r="C276" s="56">
        <f>IF($B276=0,"",IF(Inputs!$B$6="","",IF($AD276=0,C275,SUMIFS(Data!$B$10:$B$3209,Data!$A$10:$A$3209,"&gt;="&amp;$A276,Data!$A$10:$A$3209,"&lt;"&amp;$A276+1)/$AD276)))</f>
        <v/>
      </c>
      <c r="D276" s="56">
        <f>IF($B276=0,"",IF(Inputs!$B$7="","",IF($AE276=0,D275,SUMIFS(Data!$F$10:$F$3209,Data!$E$10:$E$3209,"&gt;="&amp;$A276,Data!$E$10:$E$3209,"&lt;"&amp;$A276+1)/$AE276)))</f>
        <v/>
      </c>
      <c r="E276" s="56">
        <f>IF($B276=0,"",IF(Inputs!$B$8="","",IF($AF276=0,E275,SUMIFS(Data!$J$10:$J$3209,Data!$I$10:$I$3209,"&gt;="&amp;$A276,Data!$I$10:$I$3209,"&lt;"&amp;$A276+1)/$AF276)))</f>
        <v/>
      </c>
      <c r="F276" s="56">
        <f>IF($B276=0,"",IF(Inputs!$B$9="","",IF($AG276=0,F275,SUMIFS(Data!$N$10:$N$3209,Data!$M$10:$M$3209,"&gt;="&amp;$A276,Data!$M$10:$M$3209,"&lt;"&amp;$A276+1)/$AG276)))</f>
        <v/>
      </c>
      <c r="G276" s="56">
        <f>IF($B276=0,"",IF(Inputs!$B$10="","",IF($AH276=0,G275,SUMIFS(Data!$R$10:$R$3209,Data!$Q$10:$Q$3209,"&gt;="&amp;$A276,Data!$Q$10:$Q$3209,"&lt;"&amp;$A276+1)/$AH276)))</f>
        <v/>
      </c>
      <c r="I276" s="54">
        <f>IF($B276=0,NA(),IF($C276="",NA(),IF(C$8="",NA(),IF(N(C$8)=0,NA(),IF(Inputs!$C$17="Rebased to 100",$C276/C$8*100,$C276)))))</f>
        <v/>
      </c>
      <c r="J276" s="54">
        <f>IF($B276=0,NA(),IF($D276="",NA(),IF(D$8="",NA(),IF(N(D$8)=0,NA(),IF(Inputs!$C$17="Rebased to 100",$D276/D$8*100,$D276)))))</f>
        <v/>
      </c>
      <c r="K276" s="54">
        <f>IF($B276=0,NA(),IF($E276="",NA(),IF(E$8="",NA(),IF(N(E$8)=0,NA(),IF(Inputs!$C$17="Rebased to 100",$E276/E$8*100,$E276)))))</f>
        <v/>
      </c>
      <c r="L276" s="54">
        <f>IF($B276=0,NA(),IF($F276="",NA(),IF(F$8="",NA(),IF(N(F$8)=0,NA(),IF(Inputs!$C$17="Rebased to 100",$F276/F$8*100,$F276)))))</f>
        <v/>
      </c>
      <c r="M276" s="54">
        <f>IF($B276=0,NA(),IF($G276="",NA(),IF(G$8="",NA(),IF(N(G$8)=0,NA(),IF(Inputs!$C$17="Rebased to 100",$G276/G$8*100,$G276)))))</f>
        <v/>
      </c>
      <c r="N276" s="54">
        <f>IF($B276=0,NA(),IF(Inputs!$C$18&lt;&gt;"Yes",NA(),IF(COUNT(I276,J276,K276,L276,M276)=0,NA(),MIN(I276,J276,K276,L276,M276))))</f>
        <v/>
      </c>
      <c r="O276" s="54">
        <f>IF($B276=0,NA(),IF(Inputs!$B$24&lt;&gt;"Yes",NA(),Inputs!$D$24*Inputs!$C$35))</f>
        <v/>
      </c>
      <c r="P276" s="54">
        <f>IF($B276=0,NA(),IF(Inputs!$B$25&lt;&gt;"Yes",NA(),Inputs!$D$25*Inputs!$C$35))</f>
        <v/>
      </c>
      <c r="Q276" s="54">
        <f>IF($B276=0,NA(),IF(Inputs!$B$26&lt;&gt;"Yes",NA(),Inputs!$D$26*Inputs!$C$35))</f>
        <v/>
      </c>
      <c r="R276" s="54">
        <f>IF($B276=0,NA(),IF(Inputs!$B$27&lt;&gt;"Yes",NA(),Inputs!$D$27*Inputs!$C$35))</f>
        <v/>
      </c>
      <c r="S276" s="54">
        <f>IF($B276=0,NA(),IF(Inputs!$B$28&lt;&gt;"Yes",NA(),Inputs!$D$28*Inputs!$C$35))</f>
        <v/>
      </c>
      <c r="T276" s="54">
        <f>IF($B276=0,NA(),IF(Inputs!$B$29&lt;&gt;"Yes",NA(),Inputs!$D$29*Inputs!$C$35))</f>
        <v/>
      </c>
      <c r="AD276">
        <f>IF($B276=0,0,IF(Inputs!$B$6="",0,COUNTIFS(Data!$A$10:$A$3209,"&gt;="&amp;$A276,Data!$A$10:$A$3209,"&lt;"&amp;$A276+1)))</f>
        <v/>
      </c>
      <c r="AE276">
        <f>IF($B276=0,0,IF(Inputs!$B$7="",0,COUNTIFS(Data!$E$10:$E$3209,"&gt;="&amp;$A276,Data!$E$10:$E$3209,"&lt;"&amp;$A276+1)))</f>
        <v/>
      </c>
      <c r="AF276">
        <f>IF($B276=0,0,IF(Inputs!$B$8="",0,COUNTIFS(Data!$I$10:$I$3209,"&gt;="&amp;$A276,Data!$I$10:$I$3209,"&lt;"&amp;$A276+1)))</f>
        <v/>
      </c>
      <c r="AG276">
        <f>IF($B276=0,0,IF(Inputs!$B$9="",0,COUNTIFS(Data!$M$10:$M$3209,"&gt;="&amp;$A276,Data!$M$10:$M$3209,"&lt;"&amp;$A276+1)))</f>
        <v/>
      </c>
      <c r="AH276">
        <f>IF($B276=0,0,IF(Inputs!$B$10="",0,COUNTIFS(Data!$Q$10:$Q$3209,"&gt;="&amp;$A276,Data!$Q$10:$Q$3209,"&lt;"&amp;$A276+1)))</f>
        <v/>
      </c>
    </row>
    <row r="277">
      <c r="A277" s="55">
        <f>MIN(Inputs!$C$15,$A276+IF(WEEKDAY($A276,2)=5,3,1))</f>
        <v/>
      </c>
      <c r="B277">
        <f>IF($A277&gt;$A276,1,0)</f>
        <v/>
      </c>
      <c r="C277" s="56">
        <f>IF($B277=0,"",IF(Inputs!$B$6="","",IF($AD277=0,C276,SUMIFS(Data!$B$10:$B$3209,Data!$A$10:$A$3209,"&gt;="&amp;$A277,Data!$A$10:$A$3209,"&lt;"&amp;$A277+1)/$AD277)))</f>
        <v/>
      </c>
      <c r="D277" s="56">
        <f>IF($B277=0,"",IF(Inputs!$B$7="","",IF($AE277=0,D276,SUMIFS(Data!$F$10:$F$3209,Data!$E$10:$E$3209,"&gt;="&amp;$A277,Data!$E$10:$E$3209,"&lt;"&amp;$A277+1)/$AE277)))</f>
        <v/>
      </c>
      <c r="E277" s="56">
        <f>IF($B277=0,"",IF(Inputs!$B$8="","",IF($AF277=0,E276,SUMIFS(Data!$J$10:$J$3209,Data!$I$10:$I$3209,"&gt;="&amp;$A277,Data!$I$10:$I$3209,"&lt;"&amp;$A277+1)/$AF277)))</f>
        <v/>
      </c>
      <c r="F277" s="56">
        <f>IF($B277=0,"",IF(Inputs!$B$9="","",IF($AG277=0,F276,SUMIFS(Data!$N$10:$N$3209,Data!$M$10:$M$3209,"&gt;="&amp;$A277,Data!$M$10:$M$3209,"&lt;"&amp;$A277+1)/$AG277)))</f>
        <v/>
      </c>
      <c r="G277" s="56">
        <f>IF($B277=0,"",IF(Inputs!$B$10="","",IF($AH277=0,G276,SUMIFS(Data!$R$10:$R$3209,Data!$Q$10:$Q$3209,"&gt;="&amp;$A277,Data!$Q$10:$Q$3209,"&lt;"&amp;$A277+1)/$AH277)))</f>
        <v/>
      </c>
      <c r="I277" s="54">
        <f>IF($B277=0,NA(),IF($C277="",NA(),IF(C$8="",NA(),IF(N(C$8)=0,NA(),IF(Inputs!$C$17="Rebased to 100",$C277/C$8*100,$C277)))))</f>
        <v/>
      </c>
      <c r="J277" s="54">
        <f>IF($B277=0,NA(),IF($D277="",NA(),IF(D$8="",NA(),IF(N(D$8)=0,NA(),IF(Inputs!$C$17="Rebased to 100",$D277/D$8*100,$D277)))))</f>
        <v/>
      </c>
      <c r="K277" s="54">
        <f>IF($B277=0,NA(),IF($E277="",NA(),IF(E$8="",NA(),IF(N(E$8)=0,NA(),IF(Inputs!$C$17="Rebased to 100",$E277/E$8*100,$E277)))))</f>
        <v/>
      </c>
      <c r="L277" s="54">
        <f>IF($B277=0,NA(),IF($F277="",NA(),IF(F$8="",NA(),IF(N(F$8)=0,NA(),IF(Inputs!$C$17="Rebased to 100",$F277/F$8*100,$F277)))))</f>
        <v/>
      </c>
      <c r="M277" s="54">
        <f>IF($B277=0,NA(),IF($G277="",NA(),IF(G$8="",NA(),IF(N(G$8)=0,NA(),IF(Inputs!$C$17="Rebased to 100",$G277/G$8*100,$G277)))))</f>
        <v/>
      </c>
      <c r="N277" s="54">
        <f>IF($B277=0,NA(),IF(Inputs!$C$18&lt;&gt;"Yes",NA(),IF(COUNT(I277,J277,K277,L277,M277)=0,NA(),MIN(I277,J277,K277,L277,M277))))</f>
        <v/>
      </c>
      <c r="O277" s="54">
        <f>IF($B277=0,NA(),IF(Inputs!$B$24&lt;&gt;"Yes",NA(),Inputs!$D$24*Inputs!$C$35))</f>
        <v/>
      </c>
      <c r="P277" s="54">
        <f>IF($B277=0,NA(),IF(Inputs!$B$25&lt;&gt;"Yes",NA(),Inputs!$D$25*Inputs!$C$35))</f>
        <v/>
      </c>
      <c r="Q277" s="54">
        <f>IF($B277=0,NA(),IF(Inputs!$B$26&lt;&gt;"Yes",NA(),Inputs!$D$26*Inputs!$C$35))</f>
        <v/>
      </c>
      <c r="R277" s="54">
        <f>IF($B277=0,NA(),IF(Inputs!$B$27&lt;&gt;"Yes",NA(),Inputs!$D$27*Inputs!$C$35))</f>
        <v/>
      </c>
      <c r="S277" s="54">
        <f>IF($B277=0,NA(),IF(Inputs!$B$28&lt;&gt;"Yes",NA(),Inputs!$D$28*Inputs!$C$35))</f>
        <v/>
      </c>
      <c r="T277" s="54">
        <f>IF($B277=0,NA(),IF(Inputs!$B$29&lt;&gt;"Yes",NA(),Inputs!$D$29*Inputs!$C$35))</f>
        <v/>
      </c>
      <c r="AD277">
        <f>IF($B277=0,0,IF(Inputs!$B$6="",0,COUNTIFS(Data!$A$10:$A$3209,"&gt;="&amp;$A277,Data!$A$10:$A$3209,"&lt;"&amp;$A277+1)))</f>
        <v/>
      </c>
      <c r="AE277">
        <f>IF($B277=0,0,IF(Inputs!$B$7="",0,COUNTIFS(Data!$E$10:$E$3209,"&gt;="&amp;$A277,Data!$E$10:$E$3209,"&lt;"&amp;$A277+1)))</f>
        <v/>
      </c>
      <c r="AF277">
        <f>IF($B277=0,0,IF(Inputs!$B$8="",0,COUNTIFS(Data!$I$10:$I$3209,"&gt;="&amp;$A277,Data!$I$10:$I$3209,"&lt;"&amp;$A277+1)))</f>
        <v/>
      </c>
      <c r="AG277">
        <f>IF($B277=0,0,IF(Inputs!$B$9="",0,COUNTIFS(Data!$M$10:$M$3209,"&gt;="&amp;$A277,Data!$M$10:$M$3209,"&lt;"&amp;$A277+1)))</f>
        <v/>
      </c>
      <c r="AH277">
        <f>IF($B277=0,0,IF(Inputs!$B$10="",0,COUNTIFS(Data!$Q$10:$Q$3209,"&gt;="&amp;$A277,Data!$Q$10:$Q$3209,"&lt;"&amp;$A277+1)))</f>
        <v/>
      </c>
    </row>
    <row r="278">
      <c r="A278" s="55">
        <f>MIN(Inputs!$C$15,$A277+IF(WEEKDAY($A277,2)=5,3,1))</f>
        <v/>
      </c>
      <c r="B278">
        <f>IF($A278&gt;$A277,1,0)</f>
        <v/>
      </c>
      <c r="C278" s="56">
        <f>IF($B278=0,"",IF(Inputs!$B$6="","",IF($AD278=0,C277,SUMIFS(Data!$B$10:$B$3209,Data!$A$10:$A$3209,"&gt;="&amp;$A278,Data!$A$10:$A$3209,"&lt;"&amp;$A278+1)/$AD278)))</f>
        <v/>
      </c>
      <c r="D278" s="56">
        <f>IF($B278=0,"",IF(Inputs!$B$7="","",IF($AE278=0,D277,SUMIFS(Data!$F$10:$F$3209,Data!$E$10:$E$3209,"&gt;="&amp;$A278,Data!$E$10:$E$3209,"&lt;"&amp;$A278+1)/$AE278)))</f>
        <v/>
      </c>
      <c r="E278" s="56">
        <f>IF($B278=0,"",IF(Inputs!$B$8="","",IF($AF278=0,E277,SUMIFS(Data!$J$10:$J$3209,Data!$I$10:$I$3209,"&gt;="&amp;$A278,Data!$I$10:$I$3209,"&lt;"&amp;$A278+1)/$AF278)))</f>
        <v/>
      </c>
      <c r="F278" s="56">
        <f>IF($B278=0,"",IF(Inputs!$B$9="","",IF($AG278=0,F277,SUMIFS(Data!$N$10:$N$3209,Data!$M$10:$M$3209,"&gt;="&amp;$A278,Data!$M$10:$M$3209,"&lt;"&amp;$A278+1)/$AG278)))</f>
        <v/>
      </c>
      <c r="G278" s="56">
        <f>IF($B278=0,"",IF(Inputs!$B$10="","",IF($AH278=0,G277,SUMIFS(Data!$R$10:$R$3209,Data!$Q$10:$Q$3209,"&gt;="&amp;$A278,Data!$Q$10:$Q$3209,"&lt;"&amp;$A278+1)/$AH278)))</f>
        <v/>
      </c>
      <c r="I278" s="54">
        <f>IF($B278=0,NA(),IF($C278="",NA(),IF(C$8="",NA(),IF(N(C$8)=0,NA(),IF(Inputs!$C$17="Rebased to 100",$C278/C$8*100,$C278)))))</f>
        <v/>
      </c>
      <c r="J278" s="54">
        <f>IF($B278=0,NA(),IF($D278="",NA(),IF(D$8="",NA(),IF(N(D$8)=0,NA(),IF(Inputs!$C$17="Rebased to 100",$D278/D$8*100,$D278)))))</f>
        <v/>
      </c>
      <c r="K278" s="54">
        <f>IF($B278=0,NA(),IF($E278="",NA(),IF(E$8="",NA(),IF(N(E$8)=0,NA(),IF(Inputs!$C$17="Rebased to 100",$E278/E$8*100,$E278)))))</f>
        <v/>
      </c>
      <c r="L278" s="54">
        <f>IF($B278=0,NA(),IF($F278="",NA(),IF(F$8="",NA(),IF(N(F$8)=0,NA(),IF(Inputs!$C$17="Rebased to 100",$F278/F$8*100,$F278)))))</f>
        <v/>
      </c>
      <c r="M278" s="54">
        <f>IF($B278=0,NA(),IF($G278="",NA(),IF(G$8="",NA(),IF(N(G$8)=0,NA(),IF(Inputs!$C$17="Rebased to 100",$G278/G$8*100,$G278)))))</f>
        <v/>
      </c>
      <c r="N278" s="54">
        <f>IF($B278=0,NA(),IF(Inputs!$C$18&lt;&gt;"Yes",NA(),IF(COUNT(I278,J278,K278,L278,M278)=0,NA(),MIN(I278,J278,K278,L278,M278))))</f>
        <v/>
      </c>
      <c r="O278" s="54">
        <f>IF($B278=0,NA(),IF(Inputs!$B$24&lt;&gt;"Yes",NA(),Inputs!$D$24*Inputs!$C$35))</f>
        <v/>
      </c>
      <c r="P278" s="54">
        <f>IF($B278=0,NA(),IF(Inputs!$B$25&lt;&gt;"Yes",NA(),Inputs!$D$25*Inputs!$C$35))</f>
        <v/>
      </c>
      <c r="Q278" s="54">
        <f>IF($B278=0,NA(),IF(Inputs!$B$26&lt;&gt;"Yes",NA(),Inputs!$D$26*Inputs!$C$35))</f>
        <v/>
      </c>
      <c r="R278" s="54">
        <f>IF($B278=0,NA(),IF(Inputs!$B$27&lt;&gt;"Yes",NA(),Inputs!$D$27*Inputs!$C$35))</f>
        <v/>
      </c>
      <c r="S278" s="54">
        <f>IF($B278=0,NA(),IF(Inputs!$B$28&lt;&gt;"Yes",NA(),Inputs!$D$28*Inputs!$C$35))</f>
        <v/>
      </c>
      <c r="T278" s="54">
        <f>IF($B278=0,NA(),IF(Inputs!$B$29&lt;&gt;"Yes",NA(),Inputs!$D$29*Inputs!$C$35))</f>
        <v/>
      </c>
      <c r="AD278">
        <f>IF($B278=0,0,IF(Inputs!$B$6="",0,COUNTIFS(Data!$A$10:$A$3209,"&gt;="&amp;$A278,Data!$A$10:$A$3209,"&lt;"&amp;$A278+1)))</f>
        <v/>
      </c>
      <c r="AE278">
        <f>IF($B278=0,0,IF(Inputs!$B$7="",0,COUNTIFS(Data!$E$10:$E$3209,"&gt;="&amp;$A278,Data!$E$10:$E$3209,"&lt;"&amp;$A278+1)))</f>
        <v/>
      </c>
      <c r="AF278">
        <f>IF($B278=0,0,IF(Inputs!$B$8="",0,COUNTIFS(Data!$I$10:$I$3209,"&gt;="&amp;$A278,Data!$I$10:$I$3209,"&lt;"&amp;$A278+1)))</f>
        <v/>
      </c>
      <c r="AG278">
        <f>IF($B278=0,0,IF(Inputs!$B$9="",0,COUNTIFS(Data!$M$10:$M$3209,"&gt;="&amp;$A278,Data!$M$10:$M$3209,"&lt;"&amp;$A278+1)))</f>
        <v/>
      </c>
      <c r="AH278">
        <f>IF($B278=0,0,IF(Inputs!$B$10="",0,COUNTIFS(Data!$Q$10:$Q$3209,"&gt;="&amp;$A278,Data!$Q$10:$Q$3209,"&lt;"&amp;$A278+1)))</f>
        <v/>
      </c>
    </row>
    <row r="279">
      <c r="A279" s="55">
        <f>MIN(Inputs!$C$15,$A278+IF(WEEKDAY($A278,2)=5,3,1))</f>
        <v/>
      </c>
      <c r="B279">
        <f>IF($A279&gt;$A278,1,0)</f>
        <v/>
      </c>
      <c r="C279" s="56">
        <f>IF($B279=0,"",IF(Inputs!$B$6="","",IF($AD279=0,C278,SUMIFS(Data!$B$10:$B$3209,Data!$A$10:$A$3209,"&gt;="&amp;$A279,Data!$A$10:$A$3209,"&lt;"&amp;$A279+1)/$AD279)))</f>
        <v/>
      </c>
      <c r="D279" s="56">
        <f>IF($B279=0,"",IF(Inputs!$B$7="","",IF($AE279=0,D278,SUMIFS(Data!$F$10:$F$3209,Data!$E$10:$E$3209,"&gt;="&amp;$A279,Data!$E$10:$E$3209,"&lt;"&amp;$A279+1)/$AE279)))</f>
        <v/>
      </c>
      <c r="E279" s="56">
        <f>IF($B279=0,"",IF(Inputs!$B$8="","",IF($AF279=0,E278,SUMIFS(Data!$J$10:$J$3209,Data!$I$10:$I$3209,"&gt;="&amp;$A279,Data!$I$10:$I$3209,"&lt;"&amp;$A279+1)/$AF279)))</f>
        <v/>
      </c>
      <c r="F279" s="56">
        <f>IF($B279=0,"",IF(Inputs!$B$9="","",IF($AG279=0,F278,SUMIFS(Data!$N$10:$N$3209,Data!$M$10:$M$3209,"&gt;="&amp;$A279,Data!$M$10:$M$3209,"&lt;"&amp;$A279+1)/$AG279)))</f>
        <v/>
      </c>
      <c r="G279" s="56">
        <f>IF($B279=0,"",IF(Inputs!$B$10="","",IF($AH279=0,G278,SUMIFS(Data!$R$10:$R$3209,Data!$Q$10:$Q$3209,"&gt;="&amp;$A279,Data!$Q$10:$Q$3209,"&lt;"&amp;$A279+1)/$AH279)))</f>
        <v/>
      </c>
      <c r="I279" s="54">
        <f>IF($B279=0,NA(),IF($C279="",NA(),IF(C$8="",NA(),IF(N(C$8)=0,NA(),IF(Inputs!$C$17="Rebased to 100",$C279/C$8*100,$C279)))))</f>
        <v/>
      </c>
      <c r="J279" s="54">
        <f>IF($B279=0,NA(),IF($D279="",NA(),IF(D$8="",NA(),IF(N(D$8)=0,NA(),IF(Inputs!$C$17="Rebased to 100",$D279/D$8*100,$D279)))))</f>
        <v/>
      </c>
      <c r="K279" s="54">
        <f>IF($B279=0,NA(),IF($E279="",NA(),IF(E$8="",NA(),IF(N(E$8)=0,NA(),IF(Inputs!$C$17="Rebased to 100",$E279/E$8*100,$E279)))))</f>
        <v/>
      </c>
      <c r="L279" s="54">
        <f>IF($B279=0,NA(),IF($F279="",NA(),IF(F$8="",NA(),IF(N(F$8)=0,NA(),IF(Inputs!$C$17="Rebased to 100",$F279/F$8*100,$F279)))))</f>
        <v/>
      </c>
      <c r="M279" s="54">
        <f>IF($B279=0,NA(),IF($G279="",NA(),IF(G$8="",NA(),IF(N(G$8)=0,NA(),IF(Inputs!$C$17="Rebased to 100",$G279/G$8*100,$G279)))))</f>
        <v/>
      </c>
      <c r="N279" s="54">
        <f>IF($B279=0,NA(),IF(Inputs!$C$18&lt;&gt;"Yes",NA(),IF(COUNT(I279,J279,K279,L279,M279)=0,NA(),MIN(I279,J279,K279,L279,M279))))</f>
        <v/>
      </c>
      <c r="O279" s="54">
        <f>IF($B279=0,NA(),IF(Inputs!$B$24&lt;&gt;"Yes",NA(),Inputs!$D$24*Inputs!$C$35))</f>
        <v/>
      </c>
      <c r="P279" s="54">
        <f>IF($B279=0,NA(),IF(Inputs!$B$25&lt;&gt;"Yes",NA(),Inputs!$D$25*Inputs!$C$35))</f>
        <v/>
      </c>
      <c r="Q279" s="54">
        <f>IF($B279=0,NA(),IF(Inputs!$B$26&lt;&gt;"Yes",NA(),Inputs!$D$26*Inputs!$C$35))</f>
        <v/>
      </c>
      <c r="R279" s="54">
        <f>IF($B279=0,NA(),IF(Inputs!$B$27&lt;&gt;"Yes",NA(),Inputs!$D$27*Inputs!$C$35))</f>
        <v/>
      </c>
      <c r="S279" s="54">
        <f>IF($B279=0,NA(),IF(Inputs!$B$28&lt;&gt;"Yes",NA(),Inputs!$D$28*Inputs!$C$35))</f>
        <v/>
      </c>
      <c r="T279" s="54">
        <f>IF($B279=0,NA(),IF(Inputs!$B$29&lt;&gt;"Yes",NA(),Inputs!$D$29*Inputs!$C$35))</f>
        <v/>
      </c>
      <c r="AD279">
        <f>IF($B279=0,0,IF(Inputs!$B$6="",0,COUNTIFS(Data!$A$10:$A$3209,"&gt;="&amp;$A279,Data!$A$10:$A$3209,"&lt;"&amp;$A279+1)))</f>
        <v/>
      </c>
      <c r="AE279">
        <f>IF($B279=0,0,IF(Inputs!$B$7="",0,COUNTIFS(Data!$E$10:$E$3209,"&gt;="&amp;$A279,Data!$E$10:$E$3209,"&lt;"&amp;$A279+1)))</f>
        <v/>
      </c>
      <c r="AF279">
        <f>IF($B279=0,0,IF(Inputs!$B$8="",0,COUNTIFS(Data!$I$10:$I$3209,"&gt;="&amp;$A279,Data!$I$10:$I$3209,"&lt;"&amp;$A279+1)))</f>
        <v/>
      </c>
      <c r="AG279">
        <f>IF($B279=0,0,IF(Inputs!$B$9="",0,COUNTIFS(Data!$M$10:$M$3209,"&gt;="&amp;$A279,Data!$M$10:$M$3209,"&lt;"&amp;$A279+1)))</f>
        <v/>
      </c>
      <c r="AH279">
        <f>IF($B279=0,0,IF(Inputs!$B$10="",0,COUNTIFS(Data!$Q$10:$Q$3209,"&gt;="&amp;$A279,Data!$Q$10:$Q$3209,"&lt;"&amp;$A279+1)))</f>
        <v/>
      </c>
    </row>
    <row r="280">
      <c r="A280" s="55">
        <f>MIN(Inputs!$C$15,$A279+IF(WEEKDAY($A279,2)=5,3,1))</f>
        <v/>
      </c>
      <c r="B280">
        <f>IF($A280&gt;$A279,1,0)</f>
        <v/>
      </c>
      <c r="C280" s="56">
        <f>IF($B280=0,"",IF(Inputs!$B$6="","",IF($AD280=0,C279,SUMIFS(Data!$B$10:$B$3209,Data!$A$10:$A$3209,"&gt;="&amp;$A280,Data!$A$10:$A$3209,"&lt;"&amp;$A280+1)/$AD280)))</f>
        <v/>
      </c>
      <c r="D280" s="56">
        <f>IF($B280=0,"",IF(Inputs!$B$7="","",IF($AE280=0,D279,SUMIFS(Data!$F$10:$F$3209,Data!$E$10:$E$3209,"&gt;="&amp;$A280,Data!$E$10:$E$3209,"&lt;"&amp;$A280+1)/$AE280)))</f>
        <v/>
      </c>
      <c r="E280" s="56">
        <f>IF($B280=0,"",IF(Inputs!$B$8="","",IF($AF280=0,E279,SUMIFS(Data!$J$10:$J$3209,Data!$I$10:$I$3209,"&gt;="&amp;$A280,Data!$I$10:$I$3209,"&lt;"&amp;$A280+1)/$AF280)))</f>
        <v/>
      </c>
      <c r="F280" s="56">
        <f>IF($B280=0,"",IF(Inputs!$B$9="","",IF($AG280=0,F279,SUMIFS(Data!$N$10:$N$3209,Data!$M$10:$M$3209,"&gt;="&amp;$A280,Data!$M$10:$M$3209,"&lt;"&amp;$A280+1)/$AG280)))</f>
        <v/>
      </c>
      <c r="G280" s="56">
        <f>IF($B280=0,"",IF(Inputs!$B$10="","",IF($AH280=0,G279,SUMIFS(Data!$R$10:$R$3209,Data!$Q$10:$Q$3209,"&gt;="&amp;$A280,Data!$Q$10:$Q$3209,"&lt;"&amp;$A280+1)/$AH280)))</f>
        <v/>
      </c>
      <c r="I280" s="54">
        <f>IF($B280=0,NA(),IF($C280="",NA(),IF(C$8="",NA(),IF(N(C$8)=0,NA(),IF(Inputs!$C$17="Rebased to 100",$C280/C$8*100,$C280)))))</f>
        <v/>
      </c>
      <c r="J280" s="54">
        <f>IF($B280=0,NA(),IF($D280="",NA(),IF(D$8="",NA(),IF(N(D$8)=0,NA(),IF(Inputs!$C$17="Rebased to 100",$D280/D$8*100,$D280)))))</f>
        <v/>
      </c>
      <c r="K280" s="54">
        <f>IF($B280=0,NA(),IF($E280="",NA(),IF(E$8="",NA(),IF(N(E$8)=0,NA(),IF(Inputs!$C$17="Rebased to 100",$E280/E$8*100,$E280)))))</f>
        <v/>
      </c>
      <c r="L280" s="54">
        <f>IF($B280=0,NA(),IF($F280="",NA(),IF(F$8="",NA(),IF(N(F$8)=0,NA(),IF(Inputs!$C$17="Rebased to 100",$F280/F$8*100,$F280)))))</f>
        <v/>
      </c>
      <c r="M280" s="54">
        <f>IF($B280=0,NA(),IF($G280="",NA(),IF(G$8="",NA(),IF(N(G$8)=0,NA(),IF(Inputs!$C$17="Rebased to 100",$G280/G$8*100,$G280)))))</f>
        <v/>
      </c>
      <c r="N280" s="54">
        <f>IF($B280=0,NA(),IF(Inputs!$C$18&lt;&gt;"Yes",NA(),IF(COUNT(I280,J280,K280,L280,M280)=0,NA(),MIN(I280,J280,K280,L280,M280))))</f>
        <v/>
      </c>
      <c r="O280" s="54">
        <f>IF($B280=0,NA(),IF(Inputs!$B$24&lt;&gt;"Yes",NA(),Inputs!$D$24*Inputs!$C$35))</f>
        <v/>
      </c>
      <c r="P280" s="54">
        <f>IF($B280=0,NA(),IF(Inputs!$B$25&lt;&gt;"Yes",NA(),Inputs!$D$25*Inputs!$C$35))</f>
        <v/>
      </c>
      <c r="Q280" s="54">
        <f>IF($B280=0,NA(),IF(Inputs!$B$26&lt;&gt;"Yes",NA(),Inputs!$D$26*Inputs!$C$35))</f>
        <v/>
      </c>
      <c r="R280" s="54">
        <f>IF($B280=0,NA(),IF(Inputs!$B$27&lt;&gt;"Yes",NA(),Inputs!$D$27*Inputs!$C$35))</f>
        <v/>
      </c>
      <c r="S280" s="54">
        <f>IF($B280=0,NA(),IF(Inputs!$B$28&lt;&gt;"Yes",NA(),Inputs!$D$28*Inputs!$C$35))</f>
        <v/>
      </c>
      <c r="T280" s="54">
        <f>IF($B280=0,NA(),IF(Inputs!$B$29&lt;&gt;"Yes",NA(),Inputs!$D$29*Inputs!$C$35))</f>
        <v/>
      </c>
      <c r="AD280">
        <f>IF($B280=0,0,IF(Inputs!$B$6="",0,COUNTIFS(Data!$A$10:$A$3209,"&gt;="&amp;$A280,Data!$A$10:$A$3209,"&lt;"&amp;$A280+1)))</f>
        <v/>
      </c>
      <c r="AE280">
        <f>IF($B280=0,0,IF(Inputs!$B$7="",0,COUNTIFS(Data!$E$10:$E$3209,"&gt;="&amp;$A280,Data!$E$10:$E$3209,"&lt;"&amp;$A280+1)))</f>
        <v/>
      </c>
      <c r="AF280">
        <f>IF($B280=0,0,IF(Inputs!$B$8="",0,COUNTIFS(Data!$I$10:$I$3209,"&gt;="&amp;$A280,Data!$I$10:$I$3209,"&lt;"&amp;$A280+1)))</f>
        <v/>
      </c>
      <c r="AG280">
        <f>IF($B280=0,0,IF(Inputs!$B$9="",0,COUNTIFS(Data!$M$10:$M$3209,"&gt;="&amp;$A280,Data!$M$10:$M$3209,"&lt;"&amp;$A280+1)))</f>
        <v/>
      </c>
      <c r="AH280">
        <f>IF($B280=0,0,IF(Inputs!$B$10="",0,COUNTIFS(Data!$Q$10:$Q$3209,"&gt;="&amp;$A280,Data!$Q$10:$Q$3209,"&lt;"&amp;$A280+1)))</f>
        <v/>
      </c>
    </row>
    <row r="281">
      <c r="A281" s="55">
        <f>MIN(Inputs!$C$15,$A280+IF(WEEKDAY($A280,2)=5,3,1))</f>
        <v/>
      </c>
      <c r="B281">
        <f>IF($A281&gt;$A280,1,0)</f>
        <v/>
      </c>
      <c r="C281" s="56">
        <f>IF($B281=0,"",IF(Inputs!$B$6="","",IF($AD281=0,C280,SUMIFS(Data!$B$10:$B$3209,Data!$A$10:$A$3209,"&gt;="&amp;$A281,Data!$A$10:$A$3209,"&lt;"&amp;$A281+1)/$AD281)))</f>
        <v/>
      </c>
      <c r="D281" s="56">
        <f>IF($B281=0,"",IF(Inputs!$B$7="","",IF($AE281=0,D280,SUMIFS(Data!$F$10:$F$3209,Data!$E$10:$E$3209,"&gt;="&amp;$A281,Data!$E$10:$E$3209,"&lt;"&amp;$A281+1)/$AE281)))</f>
        <v/>
      </c>
      <c r="E281" s="56">
        <f>IF($B281=0,"",IF(Inputs!$B$8="","",IF($AF281=0,E280,SUMIFS(Data!$J$10:$J$3209,Data!$I$10:$I$3209,"&gt;="&amp;$A281,Data!$I$10:$I$3209,"&lt;"&amp;$A281+1)/$AF281)))</f>
        <v/>
      </c>
      <c r="F281" s="56">
        <f>IF($B281=0,"",IF(Inputs!$B$9="","",IF($AG281=0,F280,SUMIFS(Data!$N$10:$N$3209,Data!$M$10:$M$3209,"&gt;="&amp;$A281,Data!$M$10:$M$3209,"&lt;"&amp;$A281+1)/$AG281)))</f>
        <v/>
      </c>
      <c r="G281" s="56">
        <f>IF($B281=0,"",IF(Inputs!$B$10="","",IF($AH281=0,G280,SUMIFS(Data!$R$10:$R$3209,Data!$Q$10:$Q$3209,"&gt;="&amp;$A281,Data!$Q$10:$Q$3209,"&lt;"&amp;$A281+1)/$AH281)))</f>
        <v/>
      </c>
      <c r="I281" s="54">
        <f>IF($B281=0,NA(),IF($C281="",NA(),IF(C$8="",NA(),IF(N(C$8)=0,NA(),IF(Inputs!$C$17="Rebased to 100",$C281/C$8*100,$C281)))))</f>
        <v/>
      </c>
      <c r="J281" s="54">
        <f>IF($B281=0,NA(),IF($D281="",NA(),IF(D$8="",NA(),IF(N(D$8)=0,NA(),IF(Inputs!$C$17="Rebased to 100",$D281/D$8*100,$D281)))))</f>
        <v/>
      </c>
      <c r="K281" s="54">
        <f>IF($B281=0,NA(),IF($E281="",NA(),IF(E$8="",NA(),IF(N(E$8)=0,NA(),IF(Inputs!$C$17="Rebased to 100",$E281/E$8*100,$E281)))))</f>
        <v/>
      </c>
      <c r="L281" s="54">
        <f>IF($B281=0,NA(),IF($F281="",NA(),IF(F$8="",NA(),IF(N(F$8)=0,NA(),IF(Inputs!$C$17="Rebased to 100",$F281/F$8*100,$F281)))))</f>
        <v/>
      </c>
      <c r="M281" s="54">
        <f>IF($B281=0,NA(),IF($G281="",NA(),IF(G$8="",NA(),IF(N(G$8)=0,NA(),IF(Inputs!$C$17="Rebased to 100",$G281/G$8*100,$G281)))))</f>
        <v/>
      </c>
      <c r="N281" s="54">
        <f>IF($B281=0,NA(),IF(Inputs!$C$18&lt;&gt;"Yes",NA(),IF(COUNT(I281,J281,K281,L281,M281)=0,NA(),MIN(I281,J281,K281,L281,M281))))</f>
        <v/>
      </c>
      <c r="O281" s="54">
        <f>IF($B281=0,NA(),IF(Inputs!$B$24&lt;&gt;"Yes",NA(),Inputs!$D$24*Inputs!$C$35))</f>
        <v/>
      </c>
      <c r="P281" s="54">
        <f>IF($B281=0,NA(),IF(Inputs!$B$25&lt;&gt;"Yes",NA(),Inputs!$D$25*Inputs!$C$35))</f>
        <v/>
      </c>
      <c r="Q281" s="54">
        <f>IF($B281=0,NA(),IF(Inputs!$B$26&lt;&gt;"Yes",NA(),Inputs!$D$26*Inputs!$C$35))</f>
        <v/>
      </c>
      <c r="R281" s="54">
        <f>IF($B281=0,NA(),IF(Inputs!$B$27&lt;&gt;"Yes",NA(),Inputs!$D$27*Inputs!$C$35))</f>
        <v/>
      </c>
      <c r="S281" s="54">
        <f>IF($B281=0,NA(),IF(Inputs!$B$28&lt;&gt;"Yes",NA(),Inputs!$D$28*Inputs!$C$35))</f>
        <v/>
      </c>
      <c r="T281" s="54">
        <f>IF($B281=0,NA(),IF(Inputs!$B$29&lt;&gt;"Yes",NA(),Inputs!$D$29*Inputs!$C$35))</f>
        <v/>
      </c>
      <c r="AD281">
        <f>IF($B281=0,0,IF(Inputs!$B$6="",0,COUNTIFS(Data!$A$10:$A$3209,"&gt;="&amp;$A281,Data!$A$10:$A$3209,"&lt;"&amp;$A281+1)))</f>
        <v/>
      </c>
      <c r="AE281">
        <f>IF($B281=0,0,IF(Inputs!$B$7="",0,COUNTIFS(Data!$E$10:$E$3209,"&gt;="&amp;$A281,Data!$E$10:$E$3209,"&lt;"&amp;$A281+1)))</f>
        <v/>
      </c>
      <c r="AF281">
        <f>IF($B281=0,0,IF(Inputs!$B$8="",0,COUNTIFS(Data!$I$10:$I$3209,"&gt;="&amp;$A281,Data!$I$10:$I$3209,"&lt;"&amp;$A281+1)))</f>
        <v/>
      </c>
      <c r="AG281">
        <f>IF($B281=0,0,IF(Inputs!$B$9="",0,COUNTIFS(Data!$M$10:$M$3209,"&gt;="&amp;$A281,Data!$M$10:$M$3209,"&lt;"&amp;$A281+1)))</f>
        <v/>
      </c>
      <c r="AH281">
        <f>IF($B281=0,0,IF(Inputs!$B$10="",0,COUNTIFS(Data!$Q$10:$Q$3209,"&gt;="&amp;$A281,Data!$Q$10:$Q$3209,"&lt;"&amp;$A281+1)))</f>
        <v/>
      </c>
    </row>
    <row r="282">
      <c r="A282" s="55">
        <f>MIN(Inputs!$C$15,$A281+IF(WEEKDAY($A281,2)=5,3,1))</f>
        <v/>
      </c>
      <c r="B282">
        <f>IF($A282&gt;$A281,1,0)</f>
        <v/>
      </c>
      <c r="C282" s="56">
        <f>IF($B282=0,"",IF(Inputs!$B$6="","",IF($AD282=0,C281,SUMIFS(Data!$B$10:$B$3209,Data!$A$10:$A$3209,"&gt;="&amp;$A282,Data!$A$10:$A$3209,"&lt;"&amp;$A282+1)/$AD282)))</f>
        <v/>
      </c>
      <c r="D282" s="56">
        <f>IF($B282=0,"",IF(Inputs!$B$7="","",IF($AE282=0,D281,SUMIFS(Data!$F$10:$F$3209,Data!$E$10:$E$3209,"&gt;="&amp;$A282,Data!$E$10:$E$3209,"&lt;"&amp;$A282+1)/$AE282)))</f>
        <v/>
      </c>
      <c r="E282" s="56">
        <f>IF($B282=0,"",IF(Inputs!$B$8="","",IF($AF282=0,E281,SUMIFS(Data!$J$10:$J$3209,Data!$I$10:$I$3209,"&gt;="&amp;$A282,Data!$I$10:$I$3209,"&lt;"&amp;$A282+1)/$AF282)))</f>
        <v/>
      </c>
      <c r="F282" s="56">
        <f>IF($B282=0,"",IF(Inputs!$B$9="","",IF($AG282=0,F281,SUMIFS(Data!$N$10:$N$3209,Data!$M$10:$M$3209,"&gt;="&amp;$A282,Data!$M$10:$M$3209,"&lt;"&amp;$A282+1)/$AG282)))</f>
        <v/>
      </c>
      <c r="G282" s="56">
        <f>IF($B282=0,"",IF(Inputs!$B$10="","",IF($AH282=0,G281,SUMIFS(Data!$R$10:$R$3209,Data!$Q$10:$Q$3209,"&gt;="&amp;$A282,Data!$Q$10:$Q$3209,"&lt;"&amp;$A282+1)/$AH282)))</f>
        <v/>
      </c>
      <c r="I282" s="54">
        <f>IF($B282=0,NA(),IF($C282="",NA(),IF(C$8="",NA(),IF(N(C$8)=0,NA(),IF(Inputs!$C$17="Rebased to 100",$C282/C$8*100,$C282)))))</f>
        <v/>
      </c>
      <c r="J282" s="54">
        <f>IF($B282=0,NA(),IF($D282="",NA(),IF(D$8="",NA(),IF(N(D$8)=0,NA(),IF(Inputs!$C$17="Rebased to 100",$D282/D$8*100,$D282)))))</f>
        <v/>
      </c>
      <c r="K282" s="54">
        <f>IF($B282=0,NA(),IF($E282="",NA(),IF(E$8="",NA(),IF(N(E$8)=0,NA(),IF(Inputs!$C$17="Rebased to 100",$E282/E$8*100,$E282)))))</f>
        <v/>
      </c>
      <c r="L282" s="54">
        <f>IF($B282=0,NA(),IF($F282="",NA(),IF(F$8="",NA(),IF(N(F$8)=0,NA(),IF(Inputs!$C$17="Rebased to 100",$F282/F$8*100,$F282)))))</f>
        <v/>
      </c>
      <c r="M282" s="54">
        <f>IF($B282=0,NA(),IF($G282="",NA(),IF(G$8="",NA(),IF(N(G$8)=0,NA(),IF(Inputs!$C$17="Rebased to 100",$G282/G$8*100,$G282)))))</f>
        <v/>
      </c>
      <c r="N282" s="54">
        <f>IF($B282=0,NA(),IF(Inputs!$C$18&lt;&gt;"Yes",NA(),IF(COUNT(I282,J282,K282,L282,M282)=0,NA(),MIN(I282,J282,K282,L282,M282))))</f>
        <v/>
      </c>
      <c r="O282" s="54">
        <f>IF($B282=0,NA(),IF(Inputs!$B$24&lt;&gt;"Yes",NA(),Inputs!$D$24*Inputs!$C$35))</f>
        <v/>
      </c>
      <c r="P282" s="54">
        <f>IF($B282=0,NA(),IF(Inputs!$B$25&lt;&gt;"Yes",NA(),Inputs!$D$25*Inputs!$C$35))</f>
        <v/>
      </c>
      <c r="Q282" s="54">
        <f>IF($B282=0,NA(),IF(Inputs!$B$26&lt;&gt;"Yes",NA(),Inputs!$D$26*Inputs!$C$35))</f>
        <v/>
      </c>
      <c r="R282" s="54">
        <f>IF($B282=0,NA(),IF(Inputs!$B$27&lt;&gt;"Yes",NA(),Inputs!$D$27*Inputs!$C$35))</f>
        <v/>
      </c>
      <c r="S282" s="54">
        <f>IF($B282=0,NA(),IF(Inputs!$B$28&lt;&gt;"Yes",NA(),Inputs!$D$28*Inputs!$C$35))</f>
        <v/>
      </c>
      <c r="T282" s="54">
        <f>IF($B282=0,NA(),IF(Inputs!$B$29&lt;&gt;"Yes",NA(),Inputs!$D$29*Inputs!$C$35))</f>
        <v/>
      </c>
      <c r="AD282">
        <f>IF($B282=0,0,IF(Inputs!$B$6="",0,COUNTIFS(Data!$A$10:$A$3209,"&gt;="&amp;$A282,Data!$A$10:$A$3209,"&lt;"&amp;$A282+1)))</f>
        <v/>
      </c>
      <c r="AE282">
        <f>IF($B282=0,0,IF(Inputs!$B$7="",0,COUNTIFS(Data!$E$10:$E$3209,"&gt;="&amp;$A282,Data!$E$10:$E$3209,"&lt;"&amp;$A282+1)))</f>
        <v/>
      </c>
      <c r="AF282">
        <f>IF($B282=0,0,IF(Inputs!$B$8="",0,COUNTIFS(Data!$I$10:$I$3209,"&gt;="&amp;$A282,Data!$I$10:$I$3209,"&lt;"&amp;$A282+1)))</f>
        <v/>
      </c>
      <c r="AG282">
        <f>IF($B282=0,0,IF(Inputs!$B$9="",0,COUNTIFS(Data!$M$10:$M$3209,"&gt;="&amp;$A282,Data!$M$10:$M$3209,"&lt;"&amp;$A282+1)))</f>
        <v/>
      </c>
      <c r="AH282">
        <f>IF($B282=0,0,IF(Inputs!$B$10="",0,COUNTIFS(Data!$Q$10:$Q$3209,"&gt;="&amp;$A282,Data!$Q$10:$Q$3209,"&lt;"&amp;$A282+1)))</f>
        <v/>
      </c>
    </row>
    <row r="283">
      <c r="A283" s="55">
        <f>MIN(Inputs!$C$15,$A282+IF(WEEKDAY($A282,2)=5,3,1))</f>
        <v/>
      </c>
      <c r="B283">
        <f>IF($A283&gt;$A282,1,0)</f>
        <v/>
      </c>
      <c r="C283" s="56">
        <f>IF($B283=0,"",IF(Inputs!$B$6="","",IF($AD283=0,C282,SUMIFS(Data!$B$10:$B$3209,Data!$A$10:$A$3209,"&gt;="&amp;$A283,Data!$A$10:$A$3209,"&lt;"&amp;$A283+1)/$AD283)))</f>
        <v/>
      </c>
      <c r="D283" s="56">
        <f>IF($B283=0,"",IF(Inputs!$B$7="","",IF($AE283=0,D282,SUMIFS(Data!$F$10:$F$3209,Data!$E$10:$E$3209,"&gt;="&amp;$A283,Data!$E$10:$E$3209,"&lt;"&amp;$A283+1)/$AE283)))</f>
        <v/>
      </c>
      <c r="E283" s="56">
        <f>IF($B283=0,"",IF(Inputs!$B$8="","",IF($AF283=0,E282,SUMIFS(Data!$J$10:$J$3209,Data!$I$10:$I$3209,"&gt;="&amp;$A283,Data!$I$10:$I$3209,"&lt;"&amp;$A283+1)/$AF283)))</f>
        <v/>
      </c>
      <c r="F283" s="56">
        <f>IF($B283=0,"",IF(Inputs!$B$9="","",IF($AG283=0,F282,SUMIFS(Data!$N$10:$N$3209,Data!$M$10:$M$3209,"&gt;="&amp;$A283,Data!$M$10:$M$3209,"&lt;"&amp;$A283+1)/$AG283)))</f>
        <v/>
      </c>
      <c r="G283" s="56">
        <f>IF($B283=0,"",IF(Inputs!$B$10="","",IF($AH283=0,G282,SUMIFS(Data!$R$10:$R$3209,Data!$Q$10:$Q$3209,"&gt;="&amp;$A283,Data!$Q$10:$Q$3209,"&lt;"&amp;$A283+1)/$AH283)))</f>
        <v/>
      </c>
      <c r="I283" s="54">
        <f>IF($B283=0,NA(),IF($C283="",NA(),IF(C$8="",NA(),IF(N(C$8)=0,NA(),IF(Inputs!$C$17="Rebased to 100",$C283/C$8*100,$C283)))))</f>
        <v/>
      </c>
      <c r="J283" s="54">
        <f>IF($B283=0,NA(),IF($D283="",NA(),IF(D$8="",NA(),IF(N(D$8)=0,NA(),IF(Inputs!$C$17="Rebased to 100",$D283/D$8*100,$D283)))))</f>
        <v/>
      </c>
      <c r="K283" s="54">
        <f>IF($B283=0,NA(),IF($E283="",NA(),IF(E$8="",NA(),IF(N(E$8)=0,NA(),IF(Inputs!$C$17="Rebased to 100",$E283/E$8*100,$E283)))))</f>
        <v/>
      </c>
      <c r="L283" s="54">
        <f>IF($B283=0,NA(),IF($F283="",NA(),IF(F$8="",NA(),IF(N(F$8)=0,NA(),IF(Inputs!$C$17="Rebased to 100",$F283/F$8*100,$F283)))))</f>
        <v/>
      </c>
      <c r="M283" s="54">
        <f>IF($B283=0,NA(),IF($G283="",NA(),IF(G$8="",NA(),IF(N(G$8)=0,NA(),IF(Inputs!$C$17="Rebased to 100",$G283/G$8*100,$G283)))))</f>
        <v/>
      </c>
      <c r="N283" s="54">
        <f>IF($B283=0,NA(),IF(Inputs!$C$18&lt;&gt;"Yes",NA(),IF(COUNT(I283,J283,K283,L283,M283)=0,NA(),MIN(I283,J283,K283,L283,M283))))</f>
        <v/>
      </c>
      <c r="O283" s="54">
        <f>IF($B283=0,NA(),IF(Inputs!$B$24&lt;&gt;"Yes",NA(),Inputs!$D$24*Inputs!$C$35))</f>
        <v/>
      </c>
      <c r="P283" s="54">
        <f>IF($B283=0,NA(),IF(Inputs!$B$25&lt;&gt;"Yes",NA(),Inputs!$D$25*Inputs!$C$35))</f>
        <v/>
      </c>
      <c r="Q283" s="54">
        <f>IF($B283=0,NA(),IF(Inputs!$B$26&lt;&gt;"Yes",NA(),Inputs!$D$26*Inputs!$C$35))</f>
        <v/>
      </c>
      <c r="R283" s="54">
        <f>IF($B283=0,NA(),IF(Inputs!$B$27&lt;&gt;"Yes",NA(),Inputs!$D$27*Inputs!$C$35))</f>
        <v/>
      </c>
      <c r="S283" s="54">
        <f>IF($B283=0,NA(),IF(Inputs!$B$28&lt;&gt;"Yes",NA(),Inputs!$D$28*Inputs!$C$35))</f>
        <v/>
      </c>
      <c r="T283" s="54">
        <f>IF($B283=0,NA(),IF(Inputs!$B$29&lt;&gt;"Yes",NA(),Inputs!$D$29*Inputs!$C$35))</f>
        <v/>
      </c>
      <c r="AD283">
        <f>IF($B283=0,0,IF(Inputs!$B$6="",0,COUNTIFS(Data!$A$10:$A$3209,"&gt;="&amp;$A283,Data!$A$10:$A$3209,"&lt;"&amp;$A283+1)))</f>
        <v/>
      </c>
      <c r="AE283">
        <f>IF($B283=0,0,IF(Inputs!$B$7="",0,COUNTIFS(Data!$E$10:$E$3209,"&gt;="&amp;$A283,Data!$E$10:$E$3209,"&lt;"&amp;$A283+1)))</f>
        <v/>
      </c>
      <c r="AF283">
        <f>IF($B283=0,0,IF(Inputs!$B$8="",0,COUNTIFS(Data!$I$10:$I$3209,"&gt;="&amp;$A283,Data!$I$10:$I$3209,"&lt;"&amp;$A283+1)))</f>
        <v/>
      </c>
      <c r="AG283">
        <f>IF($B283=0,0,IF(Inputs!$B$9="",0,COUNTIFS(Data!$M$10:$M$3209,"&gt;="&amp;$A283,Data!$M$10:$M$3209,"&lt;"&amp;$A283+1)))</f>
        <v/>
      </c>
      <c r="AH283">
        <f>IF($B283=0,0,IF(Inputs!$B$10="",0,COUNTIFS(Data!$Q$10:$Q$3209,"&gt;="&amp;$A283,Data!$Q$10:$Q$3209,"&lt;"&amp;$A283+1)))</f>
        <v/>
      </c>
    </row>
    <row r="284">
      <c r="A284" s="55">
        <f>MIN(Inputs!$C$15,$A283+IF(WEEKDAY($A283,2)=5,3,1))</f>
        <v/>
      </c>
      <c r="B284">
        <f>IF($A284&gt;$A283,1,0)</f>
        <v/>
      </c>
      <c r="C284" s="56">
        <f>IF($B284=0,"",IF(Inputs!$B$6="","",IF($AD284=0,C283,SUMIFS(Data!$B$10:$B$3209,Data!$A$10:$A$3209,"&gt;="&amp;$A284,Data!$A$10:$A$3209,"&lt;"&amp;$A284+1)/$AD284)))</f>
        <v/>
      </c>
      <c r="D284" s="56">
        <f>IF($B284=0,"",IF(Inputs!$B$7="","",IF($AE284=0,D283,SUMIFS(Data!$F$10:$F$3209,Data!$E$10:$E$3209,"&gt;="&amp;$A284,Data!$E$10:$E$3209,"&lt;"&amp;$A284+1)/$AE284)))</f>
        <v/>
      </c>
      <c r="E284" s="56">
        <f>IF($B284=0,"",IF(Inputs!$B$8="","",IF($AF284=0,E283,SUMIFS(Data!$J$10:$J$3209,Data!$I$10:$I$3209,"&gt;="&amp;$A284,Data!$I$10:$I$3209,"&lt;"&amp;$A284+1)/$AF284)))</f>
        <v/>
      </c>
      <c r="F284" s="56">
        <f>IF($B284=0,"",IF(Inputs!$B$9="","",IF($AG284=0,F283,SUMIFS(Data!$N$10:$N$3209,Data!$M$10:$M$3209,"&gt;="&amp;$A284,Data!$M$10:$M$3209,"&lt;"&amp;$A284+1)/$AG284)))</f>
        <v/>
      </c>
      <c r="G284" s="56">
        <f>IF($B284=0,"",IF(Inputs!$B$10="","",IF($AH284=0,G283,SUMIFS(Data!$R$10:$R$3209,Data!$Q$10:$Q$3209,"&gt;="&amp;$A284,Data!$Q$10:$Q$3209,"&lt;"&amp;$A284+1)/$AH284)))</f>
        <v/>
      </c>
      <c r="I284" s="54">
        <f>IF($B284=0,NA(),IF($C284="",NA(),IF(C$8="",NA(),IF(N(C$8)=0,NA(),IF(Inputs!$C$17="Rebased to 100",$C284/C$8*100,$C284)))))</f>
        <v/>
      </c>
      <c r="J284" s="54">
        <f>IF($B284=0,NA(),IF($D284="",NA(),IF(D$8="",NA(),IF(N(D$8)=0,NA(),IF(Inputs!$C$17="Rebased to 100",$D284/D$8*100,$D284)))))</f>
        <v/>
      </c>
      <c r="K284" s="54">
        <f>IF($B284=0,NA(),IF($E284="",NA(),IF(E$8="",NA(),IF(N(E$8)=0,NA(),IF(Inputs!$C$17="Rebased to 100",$E284/E$8*100,$E284)))))</f>
        <v/>
      </c>
      <c r="L284" s="54">
        <f>IF($B284=0,NA(),IF($F284="",NA(),IF(F$8="",NA(),IF(N(F$8)=0,NA(),IF(Inputs!$C$17="Rebased to 100",$F284/F$8*100,$F284)))))</f>
        <v/>
      </c>
      <c r="M284" s="54">
        <f>IF($B284=0,NA(),IF($G284="",NA(),IF(G$8="",NA(),IF(N(G$8)=0,NA(),IF(Inputs!$C$17="Rebased to 100",$G284/G$8*100,$G284)))))</f>
        <v/>
      </c>
      <c r="N284" s="54">
        <f>IF($B284=0,NA(),IF(Inputs!$C$18&lt;&gt;"Yes",NA(),IF(COUNT(I284,J284,K284,L284,M284)=0,NA(),MIN(I284,J284,K284,L284,M284))))</f>
        <v/>
      </c>
      <c r="O284" s="54">
        <f>IF($B284=0,NA(),IF(Inputs!$B$24&lt;&gt;"Yes",NA(),Inputs!$D$24*Inputs!$C$35))</f>
        <v/>
      </c>
      <c r="P284" s="54">
        <f>IF($B284=0,NA(),IF(Inputs!$B$25&lt;&gt;"Yes",NA(),Inputs!$D$25*Inputs!$C$35))</f>
        <v/>
      </c>
      <c r="Q284" s="54">
        <f>IF($B284=0,NA(),IF(Inputs!$B$26&lt;&gt;"Yes",NA(),Inputs!$D$26*Inputs!$C$35))</f>
        <v/>
      </c>
      <c r="R284" s="54">
        <f>IF($B284=0,NA(),IF(Inputs!$B$27&lt;&gt;"Yes",NA(),Inputs!$D$27*Inputs!$C$35))</f>
        <v/>
      </c>
      <c r="S284" s="54">
        <f>IF($B284=0,NA(),IF(Inputs!$B$28&lt;&gt;"Yes",NA(),Inputs!$D$28*Inputs!$C$35))</f>
        <v/>
      </c>
      <c r="T284" s="54">
        <f>IF($B284=0,NA(),IF(Inputs!$B$29&lt;&gt;"Yes",NA(),Inputs!$D$29*Inputs!$C$35))</f>
        <v/>
      </c>
      <c r="AD284">
        <f>IF($B284=0,0,IF(Inputs!$B$6="",0,COUNTIFS(Data!$A$10:$A$3209,"&gt;="&amp;$A284,Data!$A$10:$A$3209,"&lt;"&amp;$A284+1)))</f>
        <v/>
      </c>
      <c r="AE284">
        <f>IF($B284=0,0,IF(Inputs!$B$7="",0,COUNTIFS(Data!$E$10:$E$3209,"&gt;="&amp;$A284,Data!$E$10:$E$3209,"&lt;"&amp;$A284+1)))</f>
        <v/>
      </c>
      <c r="AF284">
        <f>IF($B284=0,0,IF(Inputs!$B$8="",0,COUNTIFS(Data!$I$10:$I$3209,"&gt;="&amp;$A284,Data!$I$10:$I$3209,"&lt;"&amp;$A284+1)))</f>
        <v/>
      </c>
      <c r="AG284">
        <f>IF($B284=0,0,IF(Inputs!$B$9="",0,COUNTIFS(Data!$M$10:$M$3209,"&gt;="&amp;$A284,Data!$M$10:$M$3209,"&lt;"&amp;$A284+1)))</f>
        <v/>
      </c>
      <c r="AH284">
        <f>IF($B284=0,0,IF(Inputs!$B$10="",0,COUNTIFS(Data!$Q$10:$Q$3209,"&gt;="&amp;$A284,Data!$Q$10:$Q$3209,"&lt;"&amp;$A284+1)))</f>
        <v/>
      </c>
    </row>
    <row r="285">
      <c r="A285" s="55">
        <f>MIN(Inputs!$C$15,$A284+IF(WEEKDAY($A284,2)=5,3,1))</f>
        <v/>
      </c>
      <c r="B285">
        <f>IF($A285&gt;$A284,1,0)</f>
        <v/>
      </c>
      <c r="C285" s="56">
        <f>IF($B285=0,"",IF(Inputs!$B$6="","",IF($AD285=0,C284,SUMIFS(Data!$B$10:$B$3209,Data!$A$10:$A$3209,"&gt;="&amp;$A285,Data!$A$10:$A$3209,"&lt;"&amp;$A285+1)/$AD285)))</f>
        <v/>
      </c>
      <c r="D285" s="56">
        <f>IF($B285=0,"",IF(Inputs!$B$7="","",IF($AE285=0,D284,SUMIFS(Data!$F$10:$F$3209,Data!$E$10:$E$3209,"&gt;="&amp;$A285,Data!$E$10:$E$3209,"&lt;"&amp;$A285+1)/$AE285)))</f>
        <v/>
      </c>
      <c r="E285" s="56">
        <f>IF($B285=0,"",IF(Inputs!$B$8="","",IF($AF285=0,E284,SUMIFS(Data!$J$10:$J$3209,Data!$I$10:$I$3209,"&gt;="&amp;$A285,Data!$I$10:$I$3209,"&lt;"&amp;$A285+1)/$AF285)))</f>
        <v/>
      </c>
      <c r="F285" s="56">
        <f>IF($B285=0,"",IF(Inputs!$B$9="","",IF($AG285=0,F284,SUMIFS(Data!$N$10:$N$3209,Data!$M$10:$M$3209,"&gt;="&amp;$A285,Data!$M$10:$M$3209,"&lt;"&amp;$A285+1)/$AG285)))</f>
        <v/>
      </c>
      <c r="G285" s="56">
        <f>IF($B285=0,"",IF(Inputs!$B$10="","",IF($AH285=0,G284,SUMIFS(Data!$R$10:$R$3209,Data!$Q$10:$Q$3209,"&gt;="&amp;$A285,Data!$Q$10:$Q$3209,"&lt;"&amp;$A285+1)/$AH285)))</f>
        <v/>
      </c>
      <c r="I285" s="54">
        <f>IF($B285=0,NA(),IF($C285="",NA(),IF(C$8="",NA(),IF(N(C$8)=0,NA(),IF(Inputs!$C$17="Rebased to 100",$C285/C$8*100,$C285)))))</f>
        <v/>
      </c>
      <c r="J285" s="54">
        <f>IF($B285=0,NA(),IF($D285="",NA(),IF(D$8="",NA(),IF(N(D$8)=0,NA(),IF(Inputs!$C$17="Rebased to 100",$D285/D$8*100,$D285)))))</f>
        <v/>
      </c>
      <c r="K285" s="54">
        <f>IF($B285=0,NA(),IF($E285="",NA(),IF(E$8="",NA(),IF(N(E$8)=0,NA(),IF(Inputs!$C$17="Rebased to 100",$E285/E$8*100,$E285)))))</f>
        <v/>
      </c>
      <c r="L285" s="54">
        <f>IF($B285=0,NA(),IF($F285="",NA(),IF(F$8="",NA(),IF(N(F$8)=0,NA(),IF(Inputs!$C$17="Rebased to 100",$F285/F$8*100,$F285)))))</f>
        <v/>
      </c>
      <c r="M285" s="54">
        <f>IF($B285=0,NA(),IF($G285="",NA(),IF(G$8="",NA(),IF(N(G$8)=0,NA(),IF(Inputs!$C$17="Rebased to 100",$G285/G$8*100,$G285)))))</f>
        <v/>
      </c>
      <c r="N285" s="54">
        <f>IF($B285=0,NA(),IF(Inputs!$C$18&lt;&gt;"Yes",NA(),IF(COUNT(I285,J285,K285,L285,M285)=0,NA(),MIN(I285,J285,K285,L285,M285))))</f>
        <v/>
      </c>
      <c r="O285" s="54">
        <f>IF($B285=0,NA(),IF(Inputs!$B$24&lt;&gt;"Yes",NA(),Inputs!$D$24*Inputs!$C$35))</f>
        <v/>
      </c>
      <c r="P285" s="54">
        <f>IF($B285=0,NA(),IF(Inputs!$B$25&lt;&gt;"Yes",NA(),Inputs!$D$25*Inputs!$C$35))</f>
        <v/>
      </c>
      <c r="Q285" s="54">
        <f>IF($B285=0,NA(),IF(Inputs!$B$26&lt;&gt;"Yes",NA(),Inputs!$D$26*Inputs!$C$35))</f>
        <v/>
      </c>
      <c r="R285" s="54">
        <f>IF($B285=0,NA(),IF(Inputs!$B$27&lt;&gt;"Yes",NA(),Inputs!$D$27*Inputs!$C$35))</f>
        <v/>
      </c>
      <c r="S285" s="54">
        <f>IF($B285=0,NA(),IF(Inputs!$B$28&lt;&gt;"Yes",NA(),Inputs!$D$28*Inputs!$C$35))</f>
        <v/>
      </c>
      <c r="T285" s="54">
        <f>IF($B285=0,NA(),IF(Inputs!$B$29&lt;&gt;"Yes",NA(),Inputs!$D$29*Inputs!$C$35))</f>
        <v/>
      </c>
      <c r="AD285">
        <f>IF($B285=0,0,IF(Inputs!$B$6="",0,COUNTIFS(Data!$A$10:$A$3209,"&gt;="&amp;$A285,Data!$A$10:$A$3209,"&lt;"&amp;$A285+1)))</f>
        <v/>
      </c>
      <c r="AE285">
        <f>IF($B285=0,0,IF(Inputs!$B$7="",0,COUNTIFS(Data!$E$10:$E$3209,"&gt;="&amp;$A285,Data!$E$10:$E$3209,"&lt;"&amp;$A285+1)))</f>
        <v/>
      </c>
      <c r="AF285">
        <f>IF($B285=0,0,IF(Inputs!$B$8="",0,COUNTIFS(Data!$I$10:$I$3209,"&gt;="&amp;$A285,Data!$I$10:$I$3209,"&lt;"&amp;$A285+1)))</f>
        <v/>
      </c>
      <c r="AG285">
        <f>IF($B285=0,0,IF(Inputs!$B$9="",0,COUNTIFS(Data!$M$10:$M$3209,"&gt;="&amp;$A285,Data!$M$10:$M$3209,"&lt;"&amp;$A285+1)))</f>
        <v/>
      </c>
      <c r="AH285">
        <f>IF($B285=0,0,IF(Inputs!$B$10="",0,COUNTIFS(Data!$Q$10:$Q$3209,"&gt;="&amp;$A285,Data!$Q$10:$Q$3209,"&lt;"&amp;$A285+1)))</f>
        <v/>
      </c>
    </row>
    <row r="286">
      <c r="A286" s="55">
        <f>MIN(Inputs!$C$15,$A285+IF(WEEKDAY($A285,2)=5,3,1))</f>
        <v/>
      </c>
      <c r="B286">
        <f>IF($A286&gt;$A285,1,0)</f>
        <v/>
      </c>
      <c r="C286" s="56">
        <f>IF($B286=0,"",IF(Inputs!$B$6="","",IF($AD286=0,C285,SUMIFS(Data!$B$10:$B$3209,Data!$A$10:$A$3209,"&gt;="&amp;$A286,Data!$A$10:$A$3209,"&lt;"&amp;$A286+1)/$AD286)))</f>
        <v/>
      </c>
      <c r="D286" s="56">
        <f>IF($B286=0,"",IF(Inputs!$B$7="","",IF($AE286=0,D285,SUMIFS(Data!$F$10:$F$3209,Data!$E$10:$E$3209,"&gt;="&amp;$A286,Data!$E$10:$E$3209,"&lt;"&amp;$A286+1)/$AE286)))</f>
        <v/>
      </c>
      <c r="E286" s="56">
        <f>IF($B286=0,"",IF(Inputs!$B$8="","",IF($AF286=0,E285,SUMIFS(Data!$J$10:$J$3209,Data!$I$10:$I$3209,"&gt;="&amp;$A286,Data!$I$10:$I$3209,"&lt;"&amp;$A286+1)/$AF286)))</f>
        <v/>
      </c>
      <c r="F286" s="56">
        <f>IF($B286=0,"",IF(Inputs!$B$9="","",IF($AG286=0,F285,SUMIFS(Data!$N$10:$N$3209,Data!$M$10:$M$3209,"&gt;="&amp;$A286,Data!$M$10:$M$3209,"&lt;"&amp;$A286+1)/$AG286)))</f>
        <v/>
      </c>
      <c r="G286" s="56">
        <f>IF($B286=0,"",IF(Inputs!$B$10="","",IF($AH286=0,G285,SUMIFS(Data!$R$10:$R$3209,Data!$Q$10:$Q$3209,"&gt;="&amp;$A286,Data!$Q$10:$Q$3209,"&lt;"&amp;$A286+1)/$AH286)))</f>
        <v/>
      </c>
      <c r="I286" s="54">
        <f>IF($B286=0,NA(),IF($C286="",NA(),IF(C$8="",NA(),IF(N(C$8)=0,NA(),IF(Inputs!$C$17="Rebased to 100",$C286/C$8*100,$C286)))))</f>
        <v/>
      </c>
      <c r="J286" s="54">
        <f>IF($B286=0,NA(),IF($D286="",NA(),IF(D$8="",NA(),IF(N(D$8)=0,NA(),IF(Inputs!$C$17="Rebased to 100",$D286/D$8*100,$D286)))))</f>
        <v/>
      </c>
      <c r="K286" s="54">
        <f>IF($B286=0,NA(),IF($E286="",NA(),IF(E$8="",NA(),IF(N(E$8)=0,NA(),IF(Inputs!$C$17="Rebased to 100",$E286/E$8*100,$E286)))))</f>
        <v/>
      </c>
      <c r="L286" s="54">
        <f>IF($B286=0,NA(),IF($F286="",NA(),IF(F$8="",NA(),IF(N(F$8)=0,NA(),IF(Inputs!$C$17="Rebased to 100",$F286/F$8*100,$F286)))))</f>
        <v/>
      </c>
      <c r="M286" s="54">
        <f>IF($B286=0,NA(),IF($G286="",NA(),IF(G$8="",NA(),IF(N(G$8)=0,NA(),IF(Inputs!$C$17="Rebased to 100",$G286/G$8*100,$G286)))))</f>
        <v/>
      </c>
      <c r="N286" s="54">
        <f>IF($B286=0,NA(),IF(Inputs!$C$18&lt;&gt;"Yes",NA(),IF(COUNT(I286,J286,K286,L286,M286)=0,NA(),MIN(I286,J286,K286,L286,M286))))</f>
        <v/>
      </c>
      <c r="O286" s="54">
        <f>IF($B286=0,NA(),IF(Inputs!$B$24&lt;&gt;"Yes",NA(),Inputs!$D$24*Inputs!$C$35))</f>
        <v/>
      </c>
      <c r="P286" s="54">
        <f>IF($B286=0,NA(),IF(Inputs!$B$25&lt;&gt;"Yes",NA(),Inputs!$D$25*Inputs!$C$35))</f>
        <v/>
      </c>
      <c r="Q286" s="54">
        <f>IF($B286=0,NA(),IF(Inputs!$B$26&lt;&gt;"Yes",NA(),Inputs!$D$26*Inputs!$C$35))</f>
        <v/>
      </c>
      <c r="R286" s="54">
        <f>IF($B286=0,NA(),IF(Inputs!$B$27&lt;&gt;"Yes",NA(),Inputs!$D$27*Inputs!$C$35))</f>
        <v/>
      </c>
      <c r="S286" s="54">
        <f>IF($B286=0,NA(),IF(Inputs!$B$28&lt;&gt;"Yes",NA(),Inputs!$D$28*Inputs!$C$35))</f>
        <v/>
      </c>
      <c r="T286" s="54">
        <f>IF($B286=0,NA(),IF(Inputs!$B$29&lt;&gt;"Yes",NA(),Inputs!$D$29*Inputs!$C$35))</f>
        <v/>
      </c>
      <c r="AD286">
        <f>IF($B286=0,0,IF(Inputs!$B$6="",0,COUNTIFS(Data!$A$10:$A$3209,"&gt;="&amp;$A286,Data!$A$10:$A$3209,"&lt;"&amp;$A286+1)))</f>
        <v/>
      </c>
      <c r="AE286">
        <f>IF($B286=0,0,IF(Inputs!$B$7="",0,COUNTIFS(Data!$E$10:$E$3209,"&gt;="&amp;$A286,Data!$E$10:$E$3209,"&lt;"&amp;$A286+1)))</f>
        <v/>
      </c>
      <c r="AF286">
        <f>IF($B286=0,0,IF(Inputs!$B$8="",0,COUNTIFS(Data!$I$10:$I$3209,"&gt;="&amp;$A286,Data!$I$10:$I$3209,"&lt;"&amp;$A286+1)))</f>
        <v/>
      </c>
      <c r="AG286">
        <f>IF($B286=0,0,IF(Inputs!$B$9="",0,COUNTIFS(Data!$M$10:$M$3209,"&gt;="&amp;$A286,Data!$M$10:$M$3209,"&lt;"&amp;$A286+1)))</f>
        <v/>
      </c>
      <c r="AH286">
        <f>IF($B286=0,0,IF(Inputs!$B$10="",0,COUNTIFS(Data!$Q$10:$Q$3209,"&gt;="&amp;$A286,Data!$Q$10:$Q$3209,"&lt;"&amp;$A286+1)))</f>
        <v/>
      </c>
    </row>
    <row r="287">
      <c r="A287" s="55">
        <f>MIN(Inputs!$C$15,$A286+IF(WEEKDAY($A286,2)=5,3,1))</f>
        <v/>
      </c>
      <c r="B287">
        <f>IF($A287&gt;$A286,1,0)</f>
        <v/>
      </c>
      <c r="C287" s="56">
        <f>IF($B287=0,"",IF(Inputs!$B$6="","",IF($AD287=0,C286,SUMIFS(Data!$B$10:$B$3209,Data!$A$10:$A$3209,"&gt;="&amp;$A287,Data!$A$10:$A$3209,"&lt;"&amp;$A287+1)/$AD287)))</f>
        <v/>
      </c>
      <c r="D287" s="56">
        <f>IF($B287=0,"",IF(Inputs!$B$7="","",IF($AE287=0,D286,SUMIFS(Data!$F$10:$F$3209,Data!$E$10:$E$3209,"&gt;="&amp;$A287,Data!$E$10:$E$3209,"&lt;"&amp;$A287+1)/$AE287)))</f>
        <v/>
      </c>
      <c r="E287" s="56">
        <f>IF($B287=0,"",IF(Inputs!$B$8="","",IF($AF287=0,E286,SUMIFS(Data!$J$10:$J$3209,Data!$I$10:$I$3209,"&gt;="&amp;$A287,Data!$I$10:$I$3209,"&lt;"&amp;$A287+1)/$AF287)))</f>
        <v/>
      </c>
      <c r="F287" s="56">
        <f>IF($B287=0,"",IF(Inputs!$B$9="","",IF($AG287=0,F286,SUMIFS(Data!$N$10:$N$3209,Data!$M$10:$M$3209,"&gt;="&amp;$A287,Data!$M$10:$M$3209,"&lt;"&amp;$A287+1)/$AG287)))</f>
        <v/>
      </c>
      <c r="G287" s="56">
        <f>IF($B287=0,"",IF(Inputs!$B$10="","",IF($AH287=0,G286,SUMIFS(Data!$R$10:$R$3209,Data!$Q$10:$Q$3209,"&gt;="&amp;$A287,Data!$Q$10:$Q$3209,"&lt;"&amp;$A287+1)/$AH287)))</f>
        <v/>
      </c>
      <c r="I287" s="54">
        <f>IF($B287=0,NA(),IF($C287="",NA(),IF(C$8="",NA(),IF(N(C$8)=0,NA(),IF(Inputs!$C$17="Rebased to 100",$C287/C$8*100,$C287)))))</f>
        <v/>
      </c>
      <c r="J287" s="54">
        <f>IF($B287=0,NA(),IF($D287="",NA(),IF(D$8="",NA(),IF(N(D$8)=0,NA(),IF(Inputs!$C$17="Rebased to 100",$D287/D$8*100,$D287)))))</f>
        <v/>
      </c>
      <c r="K287" s="54">
        <f>IF($B287=0,NA(),IF($E287="",NA(),IF(E$8="",NA(),IF(N(E$8)=0,NA(),IF(Inputs!$C$17="Rebased to 100",$E287/E$8*100,$E287)))))</f>
        <v/>
      </c>
      <c r="L287" s="54">
        <f>IF($B287=0,NA(),IF($F287="",NA(),IF(F$8="",NA(),IF(N(F$8)=0,NA(),IF(Inputs!$C$17="Rebased to 100",$F287/F$8*100,$F287)))))</f>
        <v/>
      </c>
      <c r="M287" s="54">
        <f>IF($B287=0,NA(),IF($G287="",NA(),IF(G$8="",NA(),IF(N(G$8)=0,NA(),IF(Inputs!$C$17="Rebased to 100",$G287/G$8*100,$G287)))))</f>
        <v/>
      </c>
      <c r="N287" s="54">
        <f>IF($B287=0,NA(),IF(Inputs!$C$18&lt;&gt;"Yes",NA(),IF(COUNT(I287,J287,K287,L287,M287)=0,NA(),MIN(I287,J287,K287,L287,M287))))</f>
        <v/>
      </c>
      <c r="O287" s="54">
        <f>IF($B287=0,NA(),IF(Inputs!$B$24&lt;&gt;"Yes",NA(),Inputs!$D$24*Inputs!$C$35))</f>
        <v/>
      </c>
      <c r="P287" s="54">
        <f>IF($B287=0,NA(),IF(Inputs!$B$25&lt;&gt;"Yes",NA(),Inputs!$D$25*Inputs!$C$35))</f>
        <v/>
      </c>
      <c r="Q287" s="54">
        <f>IF($B287=0,NA(),IF(Inputs!$B$26&lt;&gt;"Yes",NA(),Inputs!$D$26*Inputs!$C$35))</f>
        <v/>
      </c>
      <c r="R287" s="54">
        <f>IF($B287=0,NA(),IF(Inputs!$B$27&lt;&gt;"Yes",NA(),Inputs!$D$27*Inputs!$C$35))</f>
        <v/>
      </c>
      <c r="S287" s="54">
        <f>IF($B287=0,NA(),IF(Inputs!$B$28&lt;&gt;"Yes",NA(),Inputs!$D$28*Inputs!$C$35))</f>
        <v/>
      </c>
      <c r="T287" s="54">
        <f>IF($B287=0,NA(),IF(Inputs!$B$29&lt;&gt;"Yes",NA(),Inputs!$D$29*Inputs!$C$35))</f>
        <v/>
      </c>
      <c r="AD287">
        <f>IF($B287=0,0,IF(Inputs!$B$6="",0,COUNTIFS(Data!$A$10:$A$3209,"&gt;="&amp;$A287,Data!$A$10:$A$3209,"&lt;"&amp;$A287+1)))</f>
        <v/>
      </c>
      <c r="AE287">
        <f>IF($B287=0,0,IF(Inputs!$B$7="",0,COUNTIFS(Data!$E$10:$E$3209,"&gt;="&amp;$A287,Data!$E$10:$E$3209,"&lt;"&amp;$A287+1)))</f>
        <v/>
      </c>
      <c r="AF287">
        <f>IF($B287=0,0,IF(Inputs!$B$8="",0,COUNTIFS(Data!$I$10:$I$3209,"&gt;="&amp;$A287,Data!$I$10:$I$3209,"&lt;"&amp;$A287+1)))</f>
        <v/>
      </c>
      <c r="AG287">
        <f>IF($B287=0,0,IF(Inputs!$B$9="",0,COUNTIFS(Data!$M$10:$M$3209,"&gt;="&amp;$A287,Data!$M$10:$M$3209,"&lt;"&amp;$A287+1)))</f>
        <v/>
      </c>
      <c r="AH287">
        <f>IF($B287=0,0,IF(Inputs!$B$10="",0,COUNTIFS(Data!$Q$10:$Q$3209,"&gt;="&amp;$A287,Data!$Q$10:$Q$3209,"&lt;"&amp;$A287+1)))</f>
        <v/>
      </c>
    </row>
    <row r="288">
      <c r="A288" s="55">
        <f>MIN(Inputs!$C$15,$A287+IF(WEEKDAY($A287,2)=5,3,1))</f>
        <v/>
      </c>
      <c r="B288">
        <f>IF($A288&gt;$A287,1,0)</f>
        <v/>
      </c>
      <c r="C288" s="56">
        <f>IF($B288=0,"",IF(Inputs!$B$6="","",IF($AD288=0,C287,SUMIFS(Data!$B$10:$B$3209,Data!$A$10:$A$3209,"&gt;="&amp;$A288,Data!$A$10:$A$3209,"&lt;"&amp;$A288+1)/$AD288)))</f>
        <v/>
      </c>
      <c r="D288" s="56">
        <f>IF($B288=0,"",IF(Inputs!$B$7="","",IF($AE288=0,D287,SUMIFS(Data!$F$10:$F$3209,Data!$E$10:$E$3209,"&gt;="&amp;$A288,Data!$E$10:$E$3209,"&lt;"&amp;$A288+1)/$AE288)))</f>
        <v/>
      </c>
      <c r="E288" s="56">
        <f>IF($B288=0,"",IF(Inputs!$B$8="","",IF($AF288=0,E287,SUMIFS(Data!$J$10:$J$3209,Data!$I$10:$I$3209,"&gt;="&amp;$A288,Data!$I$10:$I$3209,"&lt;"&amp;$A288+1)/$AF288)))</f>
        <v/>
      </c>
      <c r="F288" s="56">
        <f>IF($B288=0,"",IF(Inputs!$B$9="","",IF($AG288=0,F287,SUMIFS(Data!$N$10:$N$3209,Data!$M$10:$M$3209,"&gt;="&amp;$A288,Data!$M$10:$M$3209,"&lt;"&amp;$A288+1)/$AG288)))</f>
        <v/>
      </c>
      <c r="G288" s="56">
        <f>IF($B288=0,"",IF(Inputs!$B$10="","",IF($AH288=0,G287,SUMIFS(Data!$R$10:$R$3209,Data!$Q$10:$Q$3209,"&gt;="&amp;$A288,Data!$Q$10:$Q$3209,"&lt;"&amp;$A288+1)/$AH288)))</f>
        <v/>
      </c>
      <c r="I288" s="54">
        <f>IF($B288=0,NA(),IF($C288="",NA(),IF(C$8="",NA(),IF(N(C$8)=0,NA(),IF(Inputs!$C$17="Rebased to 100",$C288/C$8*100,$C288)))))</f>
        <v/>
      </c>
      <c r="J288" s="54">
        <f>IF($B288=0,NA(),IF($D288="",NA(),IF(D$8="",NA(),IF(N(D$8)=0,NA(),IF(Inputs!$C$17="Rebased to 100",$D288/D$8*100,$D288)))))</f>
        <v/>
      </c>
      <c r="K288" s="54">
        <f>IF($B288=0,NA(),IF($E288="",NA(),IF(E$8="",NA(),IF(N(E$8)=0,NA(),IF(Inputs!$C$17="Rebased to 100",$E288/E$8*100,$E288)))))</f>
        <v/>
      </c>
      <c r="L288" s="54">
        <f>IF($B288=0,NA(),IF($F288="",NA(),IF(F$8="",NA(),IF(N(F$8)=0,NA(),IF(Inputs!$C$17="Rebased to 100",$F288/F$8*100,$F288)))))</f>
        <v/>
      </c>
      <c r="M288" s="54">
        <f>IF($B288=0,NA(),IF($G288="",NA(),IF(G$8="",NA(),IF(N(G$8)=0,NA(),IF(Inputs!$C$17="Rebased to 100",$G288/G$8*100,$G288)))))</f>
        <v/>
      </c>
      <c r="N288" s="54">
        <f>IF($B288=0,NA(),IF(Inputs!$C$18&lt;&gt;"Yes",NA(),IF(COUNT(I288,J288,K288,L288,M288)=0,NA(),MIN(I288,J288,K288,L288,M288))))</f>
        <v/>
      </c>
      <c r="O288" s="54">
        <f>IF($B288=0,NA(),IF(Inputs!$B$24&lt;&gt;"Yes",NA(),Inputs!$D$24*Inputs!$C$35))</f>
        <v/>
      </c>
      <c r="P288" s="54">
        <f>IF($B288=0,NA(),IF(Inputs!$B$25&lt;&gt;"Yes",NA(),Inputs!$D$25*Inputs!$C$35))</f>
        <v/>
      </c>
      <c r="Q288" s="54">
        <f>IF($B288=0,NA(),IF(Inputs!$B$26&lt;&gt;"Yes",NA(),Inputs!$D$26*Inputs!$C$35))</f>
        <v/>
      </c>
      <c r="R288" s="54">
        <f>IF($B288=0,NA(),IF(Inputs!$B$27&lt;&gt;"Yes",NA(),Inputs!$D$27*Inputs!$C$35))</f>
        <v/>
      </c>
      <c r="S288" s="54">
        <f>IF($B288=0,NA(),IF(Inputs!$B$28&lt;&gt;"Yes",NA(),Inputs!$D$28*Inputs!$C$35))</f>
        <v/>
      </c>
      <c r="T288" s="54">
        <f>IF($B288=0,NA(),IF(Inputs!$B$29&lt;&gt;"Yes",NA(),Inputs!$D$29*Inputs!$C$35))</f>
        <v/>
      </c>
      <c r="AD288">
        <f>IF($B288=0,0,IF(Inputs!$B$6="",0,COUNTIFS(Data!$A$10:$A$3209,"&gt;="&amp;$A288,Data!$A$10:$A$3209,"&lt;"&amp;$A288+1)))</f>
        <v/>
      </c>
      <c r="AE288">
        <f>IF($B288=0,0,IF(Inputs!$B$7="",0,COUNTIFS(Data!$E$10:$E$3209,"&gt;="&amp;$A288,Data!$E$10:$E$3209,"&lt;"&amp;$A288+1)))</f>
        <v/>
      </c>
      <c r="AF288">
        <f>IF($B288=0,0,IF(Inputs!$B$8="",0,COUNTIFS(Data!$I$10:$I$3209,"&gt;="&amp;$A288,Data!$I$10:$I$3209,"&lt;"&amp;$A288+1)))</f>
        <v/>
      </c>
      <c r="AG288">
        <f>IF($B288=0,0,IF(Inputs!$B$9="",0,COUNTIFS(Data!$M$10:$M$3209,"&gt;="&amp;$A288,Data!$M$10:$M$3209,"&lt;"&amp;$A288+1)))</f>
        <v/>
      </c>
      <c r="AH288">
        <f>IF($B288=0,0,IF(Inputs!$B$10="",0,COUNTIFS(Data!$Q$10:$Q$3209,"&gt;="&amp;$A288,Data!$Q$10:$Q$3209,"&lt;"&amp;$A288+1)))</f>
        <v/>
      </c>
    </row>
    <row r="289">
      <c r="A289" s="55">
        <f>MIN(Inputs!$C$15,$A288+IF(WEEKDAY($A288,2)=5,3,1))</f>
        <v/>
      </c>
      <c r="B289">
        <f>IF($A289&gt;$A288,1,0)</f>
        <v/>
      </c>
      <c r="C289" s="56">
        <f>IF($B289=0,"",IF(Inputs!$B$6="","",IF($AD289=0,C288,SUMIFS(Data!$B$10:$B$3209,Data!$A$10:$A$3209,"&gt;="&amp;$A289,Data!$A$10:$A$3209,"&lt;"&amp;$A289+1)/$AD289)))</f>
        <v/>
      </c>
      <c r="D289" s="56">
        <f>IF($B289=0,"",IF(Inputs!$B$7="","",IF($AE289=0,D288,SUMIFS(Data!$F$10:$F$3209,Data!$E$10:$E$3209,"&gt;="&amp;$A289,Data!$E$10:$E$3209,"&lt;"&amp;$A289+1)/$AE289)))</f>
        <v/>
      </c>
      <c r="E289" s="56">
        <f>IF($B289=0,"",IF(Inputs!$B$8="","",IF($AF289=0,E288,SUMIFS(Data!$J$10:$J$3209,Data!$I$10:$I$3209,"&gt;="&amp;$A289,Data!$I$10:$I$3209,"&lt;"&amp;$A289+1)/$AF289)))</f>
        <v/>
      </c>
      <c r="F289" s="56">
        <f>IF($B289=0,"",IF(Inputs!$B$9="","",IF($AG289=0,F288,SUMIFS(Data!$N$10:$N$3209,Data!$M$10:$M$3209,"&gt;="&amp;$A289,Data!$M$10:$M$3209,"&lt;"&amp;$A289+1)/$AG289)))</f>
        <v/>
      </c>
      <c r="G289" s="56">
        <f>IF($B289=0,"",IF(Inputs!$B$10="","",IF($AH289=0,G288,SUMIFS(Data!$R$10:$R$3209,Data!$Q$10:$Q$3209,"&gt;="&amp;$A289,Data!$Q$10:$Q$3209,"&lt;"&amp;$A289+1)/$AH289)))</f>
        <v/>
      </c>
      <c r="I289" s="54">
        <f>IF($B289=0,NA(),IF($C289="",NA(),IF(C$8="",NA(),IF(N(C$8)=0,NA(),IF(Inputs!$C$17="Rebased to 100",$C289/C$8*100,$C289)))))</f>
        <v/>
      </c>
      <c r="J289" s="54">
        <f>IF($B289=0,NA(),IF($D289="",NA(),IF(D$8="",NA(),IF(N(D$8)=0,NA(),IF(Inputs!$C$17="Rebased to 100",$D289/D$8*100,$D289)))))</f>
        <v/>
      </c>
      <c r="K289" s="54">
        <f>IF($B289=0,NA(),IF($E289="",NA(),IF(E$8="",NA(),IF(N(E$8)=0,NA(),IF(Inputs!$C$17="Rebased to 100",$E289/E$8*100,$E289)))))</f>
        <v/>
      </c>
      <c r="L289" s="54">
        <f>IF($B289=0,NA(),IF($F289="",NA(),IF(F$8="",NA(),IF(N(F$8)=0,NA(),IF(Inputs!$C$17="Rebased to 100",$F289/F$8*100,$F289)))))</f>
        <v/>
      </c>
      <c r="M289" s="54">
        <f>IF($B289=0,NA(),IF($G289="",NA(),IF(G$8="",NA(),IF(N(G$8)=0,NA(),IF(Inputs!$C$17="Rebased to 100",$G289/G$8*100,$G289)))))</f>
        <v/>
      </c>
      <c r="N289" s="54">
        <f>IF($B289=0,NA(),IF(Inputs!$C$18&lt;&gt;"Yes",NA(),IF(COUNT(I289,J289,K289,L289,M289)=0,NA(),MIN(I289,J289,K289,L289,M289))))</f>
        <v/>
      </c>
      <c r="O289" s="54">
        <f>IF($B289=0,NA(),IF(Inputs!$B$24&lt;&gt;"Yes",NA(),Inputs!$D$24*Inputs!$C$35))</f>
        <v/>
      </c>
      <c r="P289" s="54">
        <f>IF($B289=0,NA(),IF(Inputs!$B$25&lt;&gt;"Yes",NA(),Inputs!$D$25*Inputs!$C$35))</f>
        <v/>
      </c>
      <c r="Q289" s="54">
        <f>IF($B289=0,NA(),IF(Inputs!$B$26&lt;&gt;"Yes",NA(),Inputs!$D$26*Inputs!$C$35))</f>
        <v/>
      </c>
      <c r="R289" s="54">
        <f>IF($B289=0,NA(),IF(Inputs!$B$27&lt;&gt;"Yes",NA(),Inputs!$D$27*Inputs!$C$35))</f>
        <v/>
      </c>
      <c r="S289" s="54">
        <f>IF($B289=0,NA(),IF(Inputs!$B$28&lt;&gt;"Yes",NA(),Inputs!$D$28*Inputs!$C$35))</f>
        <v/>
      </c>
      <c r="T289" s="54">
        <f>IF($B289=0,NA(),IF(Inputs!$B$29&lt;&gt;"Yes",NA(),Inputs!$D$29*Inputs!$C$35))</f>
        <v/>
      </c>
      <c r="AD289">
        <f>IF($B289=0,0,IF(Inputs!$B$6="",0,COUNTIFS(Data!$A$10:$A$3209,"&gt;="&amp;$A289,Data!$A$10:$A$3209,"&lt;"&amp;$A289+1)))</f>
        <v/>
      </c>
      <c r="AE289">
        <f>IF($B289=0,0,IF(Inputs!$B$7="",0,COUNTIFS(Data!$E$10:$E$3209,"&gt;="&amp;$A289,Data!$E$10:$E$3209,"&lt;"&amp;$A289+1)))</f>
        <v/>
      </c>
      <c r="AF289">
        <f>IF($B289=0,0,IF(Inputs!$B$8="",0,COUNTIFS(Data!$I$10:$I$3209,"&gt;="&amp;$A289,Data!$I$10:$I$3209,"&lt;"&amp;$A289+1)))</f>
        <v/>
      </c>
      <c r="AG289">
        <f>IF($B289=0,0,IF(Inputs!$B$9="",0,COUNTIFS(Data!$M$10:$M$3209,"&gt;="&amp;$A289,Data!$M$10:$M$3209,"&lt;"&amp;$A289+1)))</f>
        <v/>
      </c>
      <c r="AH289">
        <f>IF($B289=0,0,IF(Inputs!$B$10="",0,COUNTIFS(Data!$Q$10:$Q$3209,"&gt;="&amp;$A289,Data!$Q$10:$Q$3209,"&lt;"&amp;$A289+1)))</f>
        <v/>
      </c>
    </row>
    <row r="290">
      <c r="A290" s="55">
        <f>MIN(Inputs!$C$15,$A289+IF(WEEKDAY($A289,2)=5,3,1))</f>
        <v/>
      </c>
      <c r="B290">
        <f>IF($A290&gt;$A289,1,0)</f>
        <v/>
      </c>
      <c r="C290" s="56">
        <f>IF($B290=0,"",IF(Inputs!$B$6="","",IF($AD290=0,C289,SUMIFS(Data!$B$10:$B$3209,Data!$A$10:$A$3209,"&gt;="&amp;$A290,Data!$A$10:$A$3209,"&lt;"&amp;$A290+1)/$AD290)))</f>
        <v/>
      </c>
      <c r="D290" s="56">
        <f>IF($B290=0,"",IF(Inputs!$B$7="","",IF($AE290=0,D289,SUMIFS(Data!$F$10:$F$3209,Data!$E$10:$E$3209,"&gt;="&amp;$A290,Data!$E$10:$E$3209,"&lt;"&amp;$A290+1)/$AE290)))</f>
        <v/>
      </c>
      <c r="E290" s="56">
        <f>IF($B290=0,"",IF(Inputs!$B$8="","",IF($AF290=0,E289,SUMIFS(Data!$J$10:$J$3209,Data!$I$10:$I$3209,"&gt;="&amp;$A290,Data!$I$10:$I$3209,"&lt;"&amp;$A290+1)/$AF290)))</f>
        <v/>
      </c>
      <c r="F290" s="56">
        <f>IF($B290=0,"",IF(Inputs!$B$9="","",IF($AG290=0,F289,SUMIFS(Data!$N$10:$N$3209,Data!$M$10:$M$3209,"&gt;="&amp;$A290,Data!$M$10:$M$3209,"&lt;"&amp;$A290+1)/$AG290)))</f>
        <v/>
      </c>
      <c r="G290" s="56">
        <f>IF($B290=0,"",IF(Inputs!$B$10="","",IF($AH290=0,G289,SUMIFS(Data!$R$10:$R$3209,Data!$Q$10:$Q$3209,"&gt;="&amp;$A290,Data!$Q$10:$Q$3209,"&lt;"&amp;$A290+1)/$AH290)))</f>
        <v/>
      </c>
      <c r="I290" s="54">
        <f>IF($B290=0,NA(),IF($C290="",NA(),IF(C$8="",NA(),IF(N(C$8)=0,NA(),IF(Inputs!$C$17="Rebased to 100",$C290/C$8*100,$C290)))))</f>
        <v/>
      </c>
      <c r="J290" s="54">
        <f>IF($B290=0,NA(),IF($D290="",NA(),IF(D$8="",NA(),IF(N(D$8)=0,NA(),IF(Inputs!$C$17="Rebased to 100",$D290/D$8*100,$D290)))))</f>
        <v/>
      </c>
      <c r="K290" s="54">
        <f>IF($B290=0,NA(),IF($E290="",NA(),IF(E$8="",NA(),IF(N(E$8)=0,NA(),IF(Inputs!$C$17="Rebased to 100",$E290/E$8*100,$E290)))))</f>
        <v/>
      </c>
      <c r="L290" s="54">
        <f>IF($B290=0,NA(),IF($F290="",NA(),IF(F$8="",NA(),IF(N(F$8)=0,NA(),IF(Inputs!$C$17="Rebased to 100",$F290/F$8*100,$F290)))))</f>
        <v/>
      </c>
      <c r="M290" s="54">
        <f>IF($B290=0,NA(),IF($G290="",NA(),IF(G$8="",NA(),IF(N(G$8)=0,NA(),IF(Inputs!$C$17="Rebased to 100",$G290/G$8*100,$G290)))))</f>
        <v/>
      </c>
      <c r="N290" s="54">
        <f>IF($B290=0,NA(),IF(Inputs!$C$18&lt;&gt;"Yes",NA(),IF(COUNT(I290,J290,K290,L290,M290)=0,NA(),MIN(I290,J290,K290,L290,M290))))</f>
        <v/>
      </c>
      <c r="O290" s="54">
        <f>IF($B290=0,NA(),IF(Inputs!$B$24&lt;&gt;"Yes",NA(),Inputs!$D$24*Inputs!$C$35))</f>
        <v/>
      </c>
      <c r="P290" s="54">
        <f>IF($B290=0,NA(),IF(Inputs!$B$25&lt;&gt;"Yes",NA(),Inputs!$D$25*Inputs!$C$35))</f>
        <v/>
      </c>
      <c r="Q290" s="54">
        <f>IF($B290=0,NA(),IF(Inputs!$B$26&lt;&gt;"Yes",NA(),Inputs!$D$26*Inputs!$C$35))</f>
        <v/>
      </c>
      <c r="R290" s="54">
        <f>IF($B290=0,NA(),IF(Inputs!$B$27&lt;&gt;"Yes",NA(),Inputs!$D$27*Inputs!$C$35))</f>
        <v/>
      </c>
      <c r="S290" s="54">
        <f>IF($B290=0,NA(),IF(Inputs!$B$28&lt;&gt;"Yes",NA(),Inputs!$D$28*Inputs!$C$35))</f>
        <v/>
      </c>
      <c r="T290" s="54">
        <f>IF($B290=0,NA(),IF(Inputs!$B$29&lt;&gt;"Yes",NA(),Inputs!$D$29*Inputs!$C$35))</f>
        <v/>
      </c>
      <c r="AD290">
        <f>IF($B290=0,0,IF(Inputs!$B$6="",0,COUNTIFS(Data!$A$10:$A$3209,"&gt;="&amp;$A290,Data!$A$10:$A$3209,"&lt;"&amp;$A290+1)))</f>
        <v/>
      </c>
      <c r="AE290">
        <f>IF($B290=0,0,IF(Inputs!$B$7="",0,COUNTIFS(Data!$E$10:$E$3209,"&gt;="&amp;$A290,Data!$E$10:$E$3209,"&lt;"&amp;$A290+1)))</f>
        <v/>
      </c>
      <c r="AF290">
        <f>IF($B290=0,0,IF(Inputs!$B$8="",0,COUNTIFS(Data!$I$10:$I$3209,"&gt;="&amp;$A290,Data!$I$10:$I$3209,"&lt;"&amp;$A290+1)))</f>
        <v/>
      </c>
      <c r="AG290">
        <f>IF($B290=0,0,IF(Inputs!$B$9="",0,COUNTIFS(Data!$M$10:$M$3209,"&gt;="&amp;$A290,Data!$M$10:$M$3209,"&lt;"&amp;$A290+1)))</f>
        <v/>
      </c>
      <c r="AH290">
        <f>IF($B290=0,0,IF(Inputs!$B$10="",0,COUNTIFS(Data!$Q$10:$Q$3209,"&gt;="&amp;$A290,Data!$Q$10:$Q$3209,"&lt;"&amp;$A290+1)))</f>
        <v/>
      </c>
    </row>
    <row r="291">
      <c r="A291" s="55">
        <f>MIN(Inputs!$C$15,$A290+IF(WEEKDAY($A290,2)=5,3,1))</f>
        <v/>
      </c>
      <c r="B291">
        <f>IF($A291&gt;$A290,1,0)</f>
        <v/>
      </c>
      <c r="C291" s="56">
        <f>IF($B291=0,"",IF(Inputs!$B$6="","",IF($AD291=0,C290,SUMIFS(Data!$B$10:$B$3209,Data!$A$10:$A$3209,"&gt;="&amp;$A291,Data!$A$10:$A$3209,"&lt;"&amp;$A291+1)/$AD291)))</f>
        <v/>
      </c>
      <c r="D291" s="56">
        <f>IF($B291=0,"",IF(Inputs!$B$7="","",IF($AE291=0,D290,SUMIFS(Data!$F$10:$F$3209,Data!$E$10:$E$3209,"&gt;="&amp;$A291,Data!$E$10:$E$3209,"&lt;"&amp;$A291+1)/$AE291)))</f>
        <v/>
      </c>
      <c r="E291" s="56">
        <f>IF($B291=0,"",IF(Inputs!$B$8="","",IF($AF291=0,E290,SUMIFS(Data!$J$10:$J$3209,Data!$I$10:$I$3209,"&gt;="&amp;$A291,Data!$I$10:$I$3209,"&lt;"&amp;$A291+1)/$AF291)))</f>
        <v/>
      </c>
      <c r="F291" s="56">
        <f>IF($B291=0,"",IF(Inputs!$B$9="","",IF($AG291=0,F290,SUMIFS(Data!$N$10:$N$3209,Data!$M$10:$M$3209,"&gt;="&amp;$A291,Data!$M$10:$M$3209,"&lt;"&amp;$A291+1)/$AG291)))</f>
        <v/>
      </c>
      <c r="G291" s="56">
        <f>IF($B291=0,"",IF(Inputs!$B$10="","",IF($AH291=0,G290,SUMIFS(Data!$R$10:$R$3209,Data!$Q$10:$Q$3209,"&gt;="&amp;$A291,Data!$Q$10:$Q$3209,"&lt;"&amp;$A291+1)/$AH291)))</f>
        <v/>
      </c>
      <c r="I291" s="54">
        <f>IF($B291=0,NA(),IF($C291="",NA(),IF(C$8="",NA(),IF(N(C$8)=0,NA(),IF(Inputs!$C$17="Rebased to 100",$C291/C$8*100,$C291)))))</f>
        <v/>
      </c>
      <c r="J291" s="54">
        <f>IF($B291=0,NA(),IF($D291="",NA(),IF(D$8="",NA(),IF(N(D$8)=0,NA(),IF(Inputs!$C$17="Rebased to 100",$D291/D$8*100,$D291)))))</f>
        <v/>
      </c>
      <c r="K291" s="54">
        <f>IF($B291=0,NA(),IF($E291="",NA(),IF(E$8="",NA(),IF(N(E$8)=0,NA(),IF(Inputs!$C$17="Rebased to 100",$E291/E$8*100,$E291)))))</f>
        <v/>
      </c>
      <c r="L291" s="54">
        <f>IF($B291=0,NA(),IF($F291="",NA(),IF(F$8="",NA(),IF(N(F$8)=0,NA(),IF(Inputs!$C$17="Rebased to 100",$F291/F$8*100,$F291)))))</f>
        <v/>
      </c>
      <c r="M291" s="54">
        <f>IF($B291=0,NA(),IF($G291="",NA(),IF(G$8="",NA(),IF(N(G$8)=0,NA(),IF(Inputs!$C$17="Rebased to 100",$G291/G$8*100,$G291)))))</f>
        <v/>
      </c>
      <c r="N291" s="54">
        <f>IF($B291=0,NA(),IF(Inputs!$C$18&lt;&gt;"Yes",NA(),IF(COUNT(I291,J291,K291,L291,M291)=0,NA(),MIN(I291,J291,K291,L291,M291))))</f>
        <v/>
      </c>
      <c r="O291" s="54">
        <f>IF($B291=0,NA(),IF(Inputs!$B$24&lt;&gt;"Yes",NA(),Inputs!$D$24*Inputs!$C$35))</f>
        <v/>
      </c>
      <c r="P291" s="54">
        <f>IF($B291=0,NA(),IF(Inputs!$B$25&lt;&gt;"Yes",NA(),Inputs!$D$25*Inputs!$C$35))</f>
        <v/>
      </c>
      <c r="Q291" s="54">
        <f>IF($B291=0,NA(),IF(Inputs!$B$26&lt;&gt;"Yes",NA(),Inputs!$D$26*Inputs!$C$35))</f>
        <v/>
      </c>
      <c r="R291" s="54">
        <f>IF($B291=0,NA(),IF(Inputs!$B$27&lt;&gt;"Yes",NA(),Inputs!$D$27*Inputs!$C$35))</f>
        <v/>
      </c>
      <c r="S291" s="54">
        <f>IF($B291=0,NA(),IF(Inputs!$B$28&lt;&gt;"Yes",NA(),Inputs!$D$28*Inputs!$C$35))</f>
        <v/>
      </c>
      <c r="T291" s="54">
        <f>IF($B291=0,NA(),IF(Inputs!$B$29&lt;&gt;"Yes",NA(),Inputs!$D$29*Inputs!$C$35))</f>
        <v/>
      </c>
      <c r="AD291">
        <f>IF($B291=0,0,IF(Inputs!$B$6="",0,COUNTIFS(Data!$A$10:$A$3209,"&gt;="&amp;$A291,Data!$A$10:$A$3209,"&lt;"&amp;$A291+1)))</f>
        <v/>
      </c>
      <c r="AE291">
        <f>IF($B291=0,0,IF(Inputs!$B$7="",0,COUNTIFS(Data!$E$10:$E$3209,"&gt;="&amp;$A291,Data!$E$10:$E$3209,"&lt;"&amp;$A291+1)))</f>
        <v/>
      </c>
      <c r="AF291">
        <f>IF($B291=0,0,IF(Inputs!$B$8="",0,COUNTIFS(Data!$I$10:$I$3209,"&gt;="&amp;$A291,Data!$I$10:$I$3209,"&lt;"&amp;$A291+1)))</f>
        <v/>
      </c>
      <c r="AG291">
        <f>IF($B291=0,0,IF(Inputs!$B$9="",0,COUNTIFS(Data!$M$10:$M$3209,"&gt;="&amp;$A291,Data!$M$10:$M$3209,"&lt;"&amp;$A291+1)))</f>
        <v/>
      </c>
      <c r="AH291">
        <f>IF($B291=0,0,IF(Inputs!$B$10="",0,COUNTIFS(Data!$Q$10:$Q$3209,"&gt;="&amp;$A291,Data!$Q$10:$Q$3209,"&lt;"&amp;$A291+1)))</f>
        <v/>
      </c>
    </row>
    <row r="292">
      <c r="A292" s="55">
        <f>MIN(Inputs!$C$15,$A291+IF(WEEKDAY($A291,2)=5,3,1))</f>
        <v/>
      </c>
      <c r="B292">
        <f>IF($A292&gt;$A291,1,0)</f>
        <v/>
      </c>
      <c r="C292" s="56">
        <f>IF($B292=0,"",IF(Inputs!$B$6="","",IF($AD292=0,C291,SUMIFS(Data!$B$10:$B$3209,Data!$A$10:$A$3209,"&gt;="&amp;$A292,Data!$A$10:$A$3209,"&lt;"&amp;$A292+1)/$AD292)))</f>
        <v/>
      </c>
      <c r="D292" s="56">
        <f>IF($B292=0,"",IF(Inputs!$B$7="","",IF($AE292=0,D291,SUMIFS(Data!$F$10:$F$3209,Data!$E$10:$E$3209,"&gt;="&amp;$A292,Data!$E$10:$E$3209,"&lt;"&amp;$A292+1)/$AE292)))</f>
        <v/>
      </c>
      <c r="E292" s="56">
        <f>IF($B292=0,"",IF(Inputs!$B$8="","",IF($AF292=0,E291,SUMIFS(Data!$J$10:$J$3209,Data!$I$10:$I$3209,"&gt;="&amp;$A292,Data!$I$10:$I$3209,"&lt;"&amp;$A292+1)/$AF292)))</f>
        <v/>
      </c>
      <c r="F292" s="56">
        <f>IF($B292=0,"",IF(Inputs!$B$9="","",IF($AG292=0,F291,SUMIFS(Data!$N$10:$N$3209,Data!$M$10:$M$3209,"&gt;="&amp;$A292,Data!$M$10:$M$3209,"&lt;"&amp;$A292+1)/$AG292)))</f>
        <v/>
      </c>
      <c r="G292" s="56">
        <f>IF($B292=0,"",IF(Inputs!$B$10="","",IF($AH292=0,G291,SUMIFS(Data!$R$10:$R$3209,Data!$Q$10:$Q$3209,"&gt;="&amp;$A292,Data!$Q$10:$Q$3209,"&lt;"&amp;$A292+1)/$AH292)))</f>
        <v/>
      </c>
      <c r="I292" s="54">
        <f>IF($B292=0,NA(),IF($C292="",NA(),IF(C$8="",NA(),IF(N(C$8)=0,NA(),IF(Inputs!$C$17="Rebased to 100",$C292/C$8*100,$C292)))))</f>
        <v/>
      </c>
      <c r="J292" s="54">
        <f>IF($B292=0,NA(),IF($D292="",NA(),IF(D$8="",NA(),IF(N(D$8)=0,NA(),IF(Inputs!$C$17="Rebased to 100",$D292/D$8*100,$D292)))))</f>
        <v/>
      </c>
      <c r="K292" s="54">
        <f>IF($B292=0,NA(),IF($E292="",NA(),IF(E$8="",NA(),IF(N(E$8)=0,NA(),IF(Inputs!$C$17="Rebased to 100",$E292/E$8*100,$E292)))))</f>
        <v/>
      </c>
      <c r="L292" s="54">
        <f>IF($B292=0,NA(),IF($F292="",NA(),IF(F$8="",NA(),IF(N(F$8)=0,NA(),IF(Inputs!$C$17="Rebased to 100",$F292/F$8*100,$F292)))))</f>
        <v/>
      </c>
      <c r="M292" s="54">
        <f>IF($B292=0,NA(),IF($G292="",NA(),IF(G$8="",NA(),IF(N(G$8)=0,NA(),IF(Inputs!$C$17="Rebased to 100",$G292/G$8*100,$G292)))))</f>
        <v/>
      </c>
      <c r="N292" s="54">
        <f>IF($B292=0,NA(),IF(Inputs!$C$18&lt;&gt;"Yes",NA(),IF(COUNT(I292,J292,K292,L292,M292)=0,NA(),MIN(I292,J292,K292,L292,M292))))</f>
        <v/>
      </c>
      <c r="O292" s="54">
        <f>IF($B292=0,NA(),IF(Inputs!$B$24&lt;&gt;"Yes",NA(),Inputs!$D$24*Inputs!$C$35))</f>
        <v/>
      </c>
      <c r="P292" s="54">
        <f>IF($B292=0,NA(),IF(Inputs!$B$25&lt;&gt;"Yes",NA(),Inputs!$D$25*Inputs!$C$35))</f>
        <v/>
      </c>
      <c r="Q292" s="54">
        <f>IF($B292=0,NA(),IF(Inputs!$B$26&lt;&gt;"Yes",NA(),Inputs!$D$26*Inputs!$C$35))</f>
        <v/>
      </c>
      <c r="R292" s="54">
        <f>IF($B292=0,NA(),IF(Inputs!$B$27&lt;&gt;"Yes",NA(),Inputs!$D$27*Inputs!$C$35))</f>
        <v/>
      </c>
      <c r="S292" s="54">
        <f>IF($B292=0,NA(),IF(Inputs!$B$28&lt;&gt;"Yes",NA(),Inputs!$D$28*Inputs!$C$35))</f>
        <v/>
      </c>
      <c r="T292" s="54">
        <f>IF($B292=0,NA(),IF(Inputs!$B$29&lt;&gt;"Yes",NA(),Inputs!$D$29*Inputs!$C$35))</f>
        <v/>
      </c>
      <c r="AD292">
        <f>IF($B292=0,0,IF(Inputs!$B$6="",0,COUNTIFS(Data!$A$10:$A$3209,"&gt;="&amp;$A292,Data!$A$10:$A$3209,"&lt;"&amp;$A292+1)))</f>
        <v/>
      </c>
      <c r="AE292">
        <f>IF($B292=0,0,IF(Inputs!$B$7="",0,COUNTIFS(Data!$E$10:$E$3209,"&gt;="&amp;$A292,Data!$E$10:$E$3209,"&lt;"&amp;$A292+1)))</f>
        <v/>
      </c>
      <c r="AF292">
        <f>IF($B292=0,0,IF(Inputs!$B$8="",0,COUNTIFS(Data!$I$10:$I$3209,"&gt;="&amp;$A292,Data!$I$10:$I$3209,"&lt;"&amp;$A292+1)))</f>
        <v/>
      </c>
      <c r="AG292">
        <f>IF($B292=0,0,IF(Inputs!$B$9="",0,COUNTIFS(Data!$M$10:$M$3209,"&gt;="&amp;$A292,Data!$M$10:$M$3209,"&lt;"&amp;$A292+1)))</f>
        <v/>
      </c>
      <c r="AH292">
        <f>IF($B292=0,0,IF(Inputs!$B$10="",0,COUNTIFS(Data!$Q$10:$Q$3209,"&gt;="&amp;$A292,Data!$Q$10:$Q$3209,"&lt;"&amp;$A292+1)))</f>
        <v/>
      </c>
    </row>
    <row r="293">
      <c r="A293" s="55">
        <f>MIN(Inputs!$C$15,$A292+IF(WEEKDAY($A292,2)=5,3,1))</f>
        <v/>
      </c>
      <c r="B293">
        <f>IF($A293&gt;$A292,1,0)</f>
        <v/>
      </c>
      <c r="C293" s="56">
        <f>IF($B293=0,"",IF(Inputs!$B$6="","",IF($AD293=0,C292,SUMIFS(Data!$B$10:$B$3209,Data!$A$10:$A$3209,"&gt;="&amp;$A293,Data!$A$10:$A$3209,"&lt;"&amp;$A293+1)/$AD293)))</f>
        <v/>
      </c>
      <c r="D293" s="56">
        <f>IF($B293=0,"",IF(Inputs!$B$7="","",IF($AE293=0,D292,SUMIFS(Data!$F$10:$F$3209,Data!$E$10:$E$3209,"&gt;="&amp;$A293,Data!$E$10:$E$3209,"&lt;"&amp;$A293+1)/$AE293)))</f>
        <v/>
      </c>
      <c r="E293" s="56">
        <f>IF($B293=0,"",IF(Inputs!$B$8="","",IF($AF293=0,E292,SUMIFS(Data!$J$10:$J$3209,Data!$I$10:$I$3209,"&gt;="&amp;$A293,Data!$I$10:$I$3209,"&lt;"&amp;$A293+1)/$AF293)))</f>
        <v/>
      </c>
      <c r="F293" s="56">
        <f>IF($B293=0,"",IF(Inputs!$B$9="","",IF($AG293=0,F292,SUMIFS(Data!$N$10:$N$3209,Data!$M$10:$M$3209,"&gt;="&amp;$A293,Data!$M$10:$M$3209,"&lt;"&amp;$A293+1)/$AG293)))</f>
        <v/>
      </c>
      <c r="G293" s="56">
        <f>IF($B293=0,"",IF(Inputs!$B$10="","",IF($AH293=0,G292,SUMIFS(Data!$R$10:$R$3209,Data!$Q$10:$Q$3209,"&gt;="&amp;$A293,Data!$Q$10:$Q$3209,"&lt;"&amp;$A293+1)/$AH293)))</f>
        <v/>
      </c>
      <c r="I293" s="54">
        <f>IF($B293=0,NA(),IF($C293="",NA(),IF(C$8="",NA(),IF(N(C$8)=0,NA(),IF(Inputs!$C$17="Rebased to 100",$C293/C$8*100,$C293)))))</f>
        <v/>
      </c>
      <c r="J293" s="54">
        <f>IF($B293=0,NA(),IF($D293="",NA(),IF(D$8="",NA(),IF(N(D$8)=0,NA(),IF(Inputs!$C$17="Rebased to 100",$D293/D$8*100,$D293)))))</f>
        <v/>
      </c>
      <c r="K293" s="54">
        <f>IF($B293=0,NA(),IF($E293="",NA(),IF(E$8="",NA(),IF(N(E$8)=0,NA(),IF(Inputs!$C$17="Rebased to 100",$E293/E$8*100,$E293)))))</f>
        <v/>
      </c>
      <c r="L293" s="54">
        <f>IF($B293=0,NA(),IF($F293="",NA(),IF(F$8="",NA(),IF(N(F$8)=0,NA(),IF(Inputs!$C$17="Rebased to 100",$F293/F$8*100,$F293)))))</f>
        <v/>
      </c>
      <c r="M293" s="54">
        <f>IF($B293=0,NA(),IF($G293="",NA(),IF(G$8="",NA(),IF(N(G$8)=0,NA(),IF(Inputs!$C$17="Rebased to 100",$G293/G$8*100,$G293)))))</f>
        <v/>
      </c>
      <c r="N293" s="54">
        <f>IF($B293=0,NA(),IF(Inputs!$C$18&lt;&gt;"Yes",NA(),IF(COUNT(I293,J293,K293,L293,M293)=0,NA(),MIN(I293,J293,K293,L293,M293))))</f>
        <v/>
      </c>
      <c r="O293" s="54">
        <f>IF($B293=0,NA(),IF(Inputs!$B$24&lt;&gt;"Yes",NA(),Inputs!$D$24*Inputs!$C$35))</f>
        <v/>
      </c>
      <c r="P293" s="54">
        <f>IF($B293=0,NA(),IF(Inputs!$B$25&lt;&gt;"Yes",NA(),Inputs!$D$25*Inputs!$C$35))</f>
        <v/>
      </c>
      <c r="Q293" s="54">
        <f>IF($B293=0,NA(),IF(Inputs!$B$26&lt;&gt;"Yes",NA(),Inputs!$D$26*Inputs!$C$35))</f>
        <v/>
      </c>
      <c r="R293" s="54">
        <f>IF($B293=0,NA(),IF(Inputs!$B$27&lt;&gt;"Yes",NA(),Inputs!$D$27*Inputs!$C$35))</f>
        <v/>
      </c>
      <c r="S293" s="54">
        <f>IF($B293=0,NA(),IF(Inputs!$B$28&lt;&gt;"Yes",NA(),Inputs!$D$28*Inputs!$C$35))</f>
        <v/>
      </c>
      <c r="T293" s="54">
        <f>IF($B293=0,NA(),IF(Inputs!$B$29&lt;&gt;"Yes",NA(),Inputs!$D$29*Inputs!$C$35))</f>
        <v/>
      </c>
      <c r="AD293">
        <f>IF($B293=0,0,IF(Inputs!$B$6="",0,COUNTIFS(Data!$A$10:$A$3209,"&gt;="&amp;$A293,Data!$A$10:$A$3209,"&lt;"&amp;$A293+1)))</f>
        <v/>
      </c>
      <c r="AE293">
        <f>IF($B293=0,0,IF(Inputs!$B$7="",0,COUNTIFS(Data!$E$10:$E$3209,"&gt;="&amp;$A293,Data!$E$10:$E$3209,"&lt;"&amp;$A293+1)))</f>
        <v/>
      </c>
      <c r="AF293">
        <f>IF($B293=0,0,IF(Inputs!$B$8="",0,COUNTIFS(Data!$I$10:$I$3209,"&gt;="&amp;$A293,Data!$I$10:$I$3209,"&lt;"&amp;$A293+1)))</f>
        <v/>
      </c>
      <c r="AG293">
        <f>IF($B293=0,0,IF(Inputs!$B$9="",0,COUNTIFS(Data!$M$10:$M$3209,"&gt;="&amp;$A293,Data!$M$10:$M$3209,"&lt;"&amp;$A293+1)))</f>
        <v/>
      </c>
      <c r="AH293">
        <f>IF($B293=0,0,IF(Inputs!$B$10="",0,COUNTIFS(Data!$Q$10:$Q$3209,"&gt;="&amp;$A293,Data!$Q$10:$Q$3209,"&lt;"&amp;$A293+1)))</f>
        <v/>
      </c>
    </row>
    <row r="294">
      <c r="A294" s="55">
        <f>MIN(Inputs!$C$15,$A293+IF(WEEKDAY($A293,2)=5,3,1))</f>
        <v/>
      </c>
      <c r="B294">
        <f>IF($A294&gt;$A293,1,0)</f>
        <v/>
      </c>
      <c r="C294" s="56">
        <f>IF($B294=0,"",IF(Inputs!$B$6="","",IF($AD294=0,C293,SUMIFS(Data!$B$10:$B$3209,Data!$A$10:$A$3209,"&gt;="&amp;$A294,Data!$A$10:$A$3209,"&lt;"&amp;$A294+1)/$AD294)))</f>
        <v/>
      </c>
      <c r="D294" s="56">
        <f>IF($B294=0,"",IF(Inputs!$B$7="","",IF($AE294=0,D293,SUMIFS(Data!$F$10:$F$3209,Data!$E$10:$E$3209,"&gt;="&amp;$A294,Data!$E$10:$E$3209,"&lt;"&amp;$A294+1)/$AE294)))</f>
        <v/>
      </c>
      <c r="E294" s="56">
        <f>IF($B294=0,"",IF(Inputs!$B$8="","",IF($AF294=0,E293,SUMIFS(Data!$J$10:$J$3209,Data!$I$10:$I$3209,"&gt;="&amp;$A294,Data!$I$10:$I$3209,"&lt;"&amp;$A294+1)/$AF294)))</f>
        <v/>
      </c>
      <c r="F294" s="56">
        <f>IF($B294=0,"",IF(Inputs!$B$9="","",IF($AG294=0,F293,SUMIFS(Data!$N$10:$N$3209,Data!$M$10:$M$3209,"&gt;="&amp;$A294,Data!$M$10:$M$3209,"&lt;"&amp;$A294+1)/$AG294)))</f>
        <v/>
      </c>
      <c r="G294" s="56">
        <f>IF($B294=0,"",IF(Inputs!$B$10="","",IF($AH294=0,G293,SUMIFS(Data!$R$10:$R$3209,Data!$Q$10:$Q$3209,"&gt;="&amp;$A294,Data!$Q$10:$Q$3209,"&lt;"&amp;$A294+1)/$AH294)))</f>
        <v/>
      </c>
      <c r="I294" s="54">
        <f>IF($B294=0,NA(),IF($C294="",NA(),IF(C$8="",NA(),IF(N(C$8)=0,NA(),IF(Inputs!$C$17="Rebased to 100",$C294/C$8*100,$C294)))))</f>
        <v/>
      </c>
      <c r="J294" s="54">
        <f>IF($B294=0,NA(),IF($D294="",NA(),IF(D$8="",NA(),IF(N(D$8)=0,NA(),IF(Inputs!$C$17="Rebased to 100",$D294/D$8*100,$D294)))))</f>
        <v/>
      </c>
      <c r="K294" s="54">
        <f>IF($B294=0,NA(),IF($E294="",NA(),IF(E$8="",NA(),IF(N(E$8)=0,NA(),IF(Inputs!$C$17="Rebased to 100",$E294/E$8*100,$E294)))))</f>
        <v/>
      </c>
      <c r="L294" s="54">
        <f>IF($B294=0,NA(),IF($F294="",NA(),IF(F$8="",NA(),IF(N(F$8)=0,NA(),IF(Inputs!$C$17="Rebased to 100",$F294/F$8*100,$F294)))))</f>
        <v/>
      </c>
      <c r="M294" s="54">
        <f>IF($B294=0,NA(),IF($G294="",NA(),IF(G$8="",NA(),IF(N(G$8)=0,NA(),IF(Inputs!$C$17="Rebased to 100",$G294/G$8*100,$G294)))))</f>
        <v/>
      </c>
      <c r="N294" s="54">
        <f>IF($B294=0,NA(),IF(Inputs!$C$18&lt;&gt;"Yes",NA(),IF(COUNT(I294,J294,K294,L294,M294)=0,NA(),MIN(I294,J294,K294,L294,M294))))</f>
        <v/>
      </c>
      <c r="O294" s="54">
        <f>IF($B294=0,NA(),IF(Inputs!$B$24&lt;&gt;"Yes",NA(),Inputs!$D$24*Inputs!$C$35))</f>
        <v/>
      </c>
      <c r="P294" s="54">
        <f>IF($B294=0,NA(),IF(Inputs!$B$25&lt;&gt;"Yes",NA(),Inputs!$D$25*Inputs!$C$35))</f>
        <v/>
      </c>
      <c r="Q294" s="54">
        <f>IF($B294=0,NA(),IF(Inputs!$B$26&lt;&gt;"Yes",NA(),Inputs!$D$26*Inputs!$C$35))</f>
        <v/>
      </c>
      <c r="R294" s="54">
        <f>IF($B294=0,NA(),IF(Inputs!$B$27&lt;&gt;"Yes",NA(),Inputs!$D$27*Inputs!$C$35))</f>
        <v/>
      </c>
      <c r="S294" s="54">
        <f>IF($B294=0,NA(),IF(Inputs!$B$28&lt;&gt;"Yes",NA(),Inputs!$D$28*Inputs!$C$35))</f>
        <v/>
      </c>
      <c r="T294" s="54">
        <f>IF($B294=0,NA(),IF(Inputs!$B$29&lt;&gt;"Yes",NA(),Inputs!$D$29*Inputs!$C$35))</f>
        <v/>
      </c>
      <c r="AD294">
        <f>IF($B294=0,0,IF(Inputs!$B$6="",0,COUNTIFS(Data!$A$10:$A$3209,"&gt;="&amp;$A294,Data!$A$10:$A$3209,"&lt;"&amp;$A294+1)))</f>
        <v/>
      </c>
      <c r="AE294">
        <f>IF($B294=0,0,IF(Inputs!$B$7="",0,COUNTIFS(Data!$E$10:$E$3209,"&gt;="&amp;$A294,Data!$E$10:$E$3209,"&lt;"&amp;$A294+1)))</f>
        <v/>
      </c>
      <c r="AF294">
        <f>IF($B294=0,0,IF(Inputs!$B$8="",0,COUNTIFS(Data!$I$10:$I$3209,"&gt;="&amp;$A294,Data!$I$10:$I$3209,"&lt;"&amp;$A294+1)))</f>
        <v/>
      </c>
      <c r="AG294">
        <f>IF($B294=0,0,IF(Inputs!$B$9="",0,COUNTIFS(Data!$M$10:$M$3209,"&gt;="&amp;$A294,Data!$M$10:$M$3209,"&lt;"&amp;$A294+1)))</f>
        <v/>
      </c>
      <c r="AH294">
        <f>IF($B294=0,0,IF(Inputs!$B$10="",0,COUNTIFS(Data!$Q$10:$Q$3209,"&gt;="&amp;$A294,Data!$Q$10:$Q$3209,"&lt;"&amp;$A294+1)))</f>
        <v/>
      </c>
    </row>
    <row r="295">
      <c r="A295" s="55">
        <f>MIN(Inputs!$C$15,$A294+IF(WEEKDAY($A294,2)=5,3,1))</f>
        <v/>
      </c>
      <c r="B295">
        <f>IF($A295&gt;$A294,1,0)</f>
        <v/>
      </c>
      <c r="C295" s="56">
        <f>IF($B295=0,"",IF(Inputs!$B$6="","",IF($AD295=0,C294,SUMIFS(Data!$B$10:$B$3209,Data!$A$10:$A$3209,"&gt;="&amp;$A295,Data!$A$10:$A$3209,"&lt;"&amp;$A295+1)/$AD295)))</f>
        <v/>
      </c>
      <c r="D295" s="56">
        <f>IF($B295=0,"",IF(Inputs!$B$7="","",IF($AE295=0,D294,SUMIFS(Data!$F$10:$F$3209,Data!$E$10:$E$3209,"&gt;="&amp;$A295,Data!$E$10:$E$3209,"&lt;"&amp;$A295+1)/$AE295)))</f>
        <v/>
      </c>
      <c r="E295" s="56">
        <f>IF($B295=0,"",IF(Inputs!$B$8="","",IF($AF295=0,E294,SUMIFS(Data!$J$10:$J$3209,Data!$I$10:$I$3209,"&gt;="&amp;$A295,Data!$I$10:$I$3209,"&lt;"&amp;$A295+1)/$AF295)))</f>
        <v/>
      </c>
      <c r="F295" s="56">
        <f>IF($B295=0,"",IF(Inputs!$B$9="","",IF($AG295=0,F294,SUMIFS(Data!$N$10:$N$3209,Data!$M$10:$M$3209,"&gt;="&amp;$A295,Data!$M$10:$M$3209,"&lt;"&amp;$A295+1)/$AG295)))</f>
        <v/>
      </c>
      <c r="G295" s="56">
        <f>IF($B295=0,"",IF(Inputs!$B$10="","",IF($AH295=0,G294,SUMIFS(Data!$R$10:$R$3209,Data!$Q$10:$Q$3209,"&gt;="&amp;$A295,Data!$Q$10:$Q$3209,"&lt;"&amp;$A295+1)/$AH295)))</f>
        <v/>
      </c>
      <c r="I295" s="54">
        <f>IF($B295=0,NA(),IF($C295="",NA(),IF(C$8="",NA(),IF(N(C$8)=0,NA(),IF(Inputs!$C$17="Rebased to 100",$C295/C$8*100,$C295)))))</f>
        <v/>
      </c>
      <c r="J295" s="54">
        <f>IF($B295=0,NA(),IF($D295="",NA(),IF(D$8="",NA(),IF(N(D$8)=0,NA(),IF(Inputs!$C$17="Rebased to 100",$D295/D$8*100,$D295)))))</f>
        <v/>
      </c>
      <c r="K295" s="54">
        <f>IF($B295=0,NA(),IF($E295="",NA(),IF(E$8="",NA(),IF(N(E$8)=0,NA(),IF(Inputs!$C$17="Rebased to 100",$E295/E$8*100,$E295)))))</f>
        <v/>
      </c>
      <c r="L295" s="54">
        <f>IF($B295=0,NA(),IF($F295="",NA(),IF(F$8="",NA(),IF(N(F$8)=0,NA(),IF(Inputs!$C$17="Rebased to 100",$F295/F$8*100,$F295)))))</f>
        <v/>
      </c>
      <c r="M295" s="54">
        <f>IF($B295=0,NA(),IF($G295="",NA(),IF(G$8="",NA(),IF(N(G$8)=0,NA(),IF(Inputs!$C$17="Rebased to 100",$G295/G$8*100,$G295)))))</f>
        <v/>
      </c>
      <c r="N295" s="54">
        <f>IF($B295=0,NA(),IF(Inputs!$C$18&lt;&gt;"Yes",NA(),IF(COUNT(I295,J295,K295,L295,M295)=0,NA(),MIN(I295,J295,K295,L295,M295))))</f>
        <v/>
      </c>
      <c r="O295" s="54">
        <f>IF($B295=0,NA(),IF(Inputs!$B$24&lt;&gt;"Yes",NA(),Inputs!$D$24*Inputs!$C$35))</f>
        <v/>
      </c>
      <c r="P295" s="54">
        <f>IF($B295=0,NA(),IF(Inputs!$B$25&lt;&gt;"Yes",NA(),Inputs!$D$25*Inputs!$C$35))</f>
        <v/>
      </c>
      <c r="Q295" s="54">
        <f>IF($B295=0,NA(),IF(Inputs!$B$26&lt;&gt;"Yes",NA(),Inputs!$D$26*Inputs!$C$35))</f>
        <v/>
      </c>
      <c r="R295" s="54">
        <f>IF($B295=0,NA(),IF(Inputs!$B$27&lt;&gt;"Yes",NA(),Inputs!$D$27*Inputs!$C$35))</f>
        <v/>
      </c>
      <c r="S295" s="54">
        <f>IF($B295=0,NA(),IF(Inputs!$B$28&lt;&gt;"Yes",NA(),Inputs!$D$28*Inputs!$C$35))</f>
        <v/>
      </c>
      <c r="T295" s="54">
        <f>IF($B295=0,NA(),IF(Inputs!$B$29&lt;&gt;"Yes",NA(),Inputs!$D$29*Inputs!$C$35))</f>
        <v/>
      </c>
      <c r="AD295">
        <f>IF($B295=0,0,IF(Inputs!$B$6="",0,COUNTIFS(Data!$A$10:$A$3209,"&gt;="&amp;$A295,Data!$A$10:$A$3209,"&lt;"&amp;$A295+1)))</f>
        <v/>
      </c>
      <c r="AE295">
        <f>IF($B295=0,0,IF(Inputs!$B$7="",0,COUNTIFS(Data!$E$10:$E$3209,"&gt;="&amp;$A295,Data!$E$10:$E$3209,"&lt;"&amp;$A295+1)))</f>
        <v/>
      </c>
      <c r="AF295">
        <f>IF($B295=0,0,IF(Inputs!$B$8="",0,COUNTIFS(Data!$I$10:$I$3209,"&gt;="&amp;$A295,Data!$I$10:$I$3209,"&lt;"&amp;$A295+1)))</f>
        <v/>
      </c>
      <c r="AG295">
        <f>IF($B295=0,0,IF(Inputs!$B$9="",0,COUNTIFS(Data!$M$10:$M$3209,"&gt;="&amp;$A295,Data!$M$10:$M$3209,"&lt;"&amp;$A295+1)))</f>
        <v/>
      </c>
      <c r="AH295">
        <f>IF($B295=0,0,IF(Inputs!$B$10="",0,COUNTIFS(Data!$Q$10:$Q$3209,"&gt;="&amp;$A295,Data!$Q$10:$Q$3209,"&lt;"&amp;$A295+1)))</f>
        <v/>
      </c>
    </row>
    <row r="296">
      <c r="A296" s="55">
        <f>MIN(Inputs!$C$15,$A295+IF(WEEKDAY($A295,2)=5,3,1))</f>
        <v/>
      </c>
      <c r="B296">
        <f>IF($A296&gt;$A295,1,0)</f>
        <v/>
      </c>
      <c r="C296" s="56">
        <f>IF($B296=0,"",IF(Inputs!$B$6="","",IF($AD296=0,C295,SUMIFS(Data!$B$10:$B$3209,Data!$A$10:$A$3209,"&gt;="&amp;$A296,Data!$A$10:$A$3209,"&lt;"&amp;$A296+1)/$AD296)))</f>
        <v/>
      </c>
      <c r="D296" s="56">
        <f>IF($B296=0,"",IF(Inputs!$B$7="","",IF($AE296=0,D295,SUMIFS(Data!$F$10:$F$3209,Data!$E$10:$E$3209,"&gt;="&amp;$A296,Data!$E$10:$E$3209,"&lt;"&amp;$A296+1)/$AE296)))</f>
        <v/>
      </c>
      <c r="E296" s="56">
        <f>IF($B296=0,"",IF(Inputs!$B$8="","",IF($AF296=0,E295,SUMIFS(Data!$J$10:$J$3209,Data!$I$10:$I$3209,"&gt;="&amp;$A296,Data!$I$10:$I$3209,"&lt;"&amp;$A296+1)/$AF296)))</f>
        <v/>
      </c>
      <c r="F296" s="56">
        <f>IF($B296=0,"",IF(Inputs!$B$9="","",IF($AG296=0,F295,SUMIFS(Data!$N$10:$N$3209,Data!$M$10:$M$3209,"&gt;="&amp;$A296,Data!$M$10:$M$3209,"&lt;"&amp;$A296+1)/$AG296)))</f>
        <v/>
      </c>
      <c r="G296" s="56">
        <f>IF($B296=0,"",IF(Inputs!$B$10="","",IF($AH296=0,G295,SUMIFS(Data!$R$10:$R$3209,Data!$Q$10:$Q$3209,"&gt;="&amp;$A296,Data!$Q$10:$Q$3209,"&lt;"&amp;$A296+1)/$AH296)))</f>
        <v/>
      </c>
      <c r="I296" s="54">
        <f>IF($B296=0,NA(),IF($C296="",NA(),IF(C$8="",NA(),IF(N(C$8)=0,NA(),IF(Inputs!$C$17="Rebased to 100",$C296/C$8*100,$C296)))))</f>
        <v/>
      </c>
      <c r="J296" s="54">
        <f>IF($B296=0,NA(),IF($D296="",NA(),IF(D$8="",NA(),IF(N(D$8)=0,NA(),IF(Inputs!$C$17="Rebased to 100",$D296/D$8*100,$D296)))))</f>
        <v/>
      </c>
      <c r="K296" s="54">
        <f>IF($B296=0,NA(),IF($E296="",NA(),IF(E$8="",NA(),IF(N(E$8)=0,NA(),IF(Inputs!$C$17="Rebased to 100",$E296/E$8*100,$E296)))))</f>
        <v/>
      </c>
      <c r="L296" s="54">
        <f>IF($B296=0,NA(),IF($F296="",NA(),IF(F$8="",NA(),IF(N(F$8)=0,NA(),IF(Inputs!$C$17="Rebased to 100",$F296/F$8*100,$F296)))))</f>
        <v/>
      </c>
      <c r="M296" s="54">
        <f>IF($B296=0,NA(),IF($G296="",NA(),IF(G$8="",NA(),IF(N(G$8)=0,NA(),IF(Inputs!$C$17="Rebased to 100",$G296/G$8*100,$G296)))))</f>
        <v/>
      </c>
      <c r="N296" s="54">
        <f>IF($B296=0,NA(),IF(Inputs!$C$18&lt;&gt;"Yes",NA(),IF(COUNT(I296,J296,K296,L296,M296)=0,NA(),MIN(I296,J296,K296,L296,M296))))</f>
        <v/>
      </c>
      <c r="O296" s="54">
        <f>IF($B296=0,NA(),IF(Inputs!$B$24&lt;&gt;"Yes",NA(),Inputs!$D$24*Inputs!$C$35))</f>
        <v/>
      </c>
      <c r="P296" s="54">
        <f>IF($B296=0,NA(),IF(Inputs!$B$25&lt;&gt;"Yes",NA(),Inputs!$D$25*Inputs!$C$35))</f>
        <v/>
      </c>
      <c r="Q296" s="54">
        <f>IF($B296=0,NA(),IF(Inputs!$B$26&lt;&gt;"Yes",NA(),Inputs!$D$26*Inputs!$C$35))</f>
        <v/>
      </c>
      <c r="R296" s="54">
        <f>IF($B296=0,NA(),IF(Inputs!$B$27&lt;&gt;"Yes",NA(),Inputs!$D$27*Inputs!$C$35))</f>
        <v/>
      </c>
      <c r="S296" s="54">
        <f>IF($B296=0,NA(),IF(Inputs!$B$28&lt;&gt;"Yes",NA(),Inputs!$D$28*Inputs!$C$35))</f>
        <v/>
      </c>
      <c r="T296" s="54">
        <f>IF($B296=0,NA(),IF(Inputs!$B$29&lt;&gt;"Yes",NA(),Inputs!$D$29*Inputs!$C$35))</f>
        <v/>
      </c>
      <c r="AD296">
        <f>IF($B296=0,0,IF(Inputs!$B$6="",0,COUNTIFS(Data!$A$10:$A$3209,"&gt;="&amp;$A296,Data!$A$10:$A$3209,"&lt;"&amp;$A296+1)))</f>
        <v/>
      </c>
      <c r="AE296">
        <f>IF($B296=0,0,IF(Inputs!$B$7="",0,COUNTIFS(Data!$E$10:$E$3209,"&gt;="&amp;$A296,Data!$E$10:$E$3209,"&lt;"&amp;$A296+1)))</f>
        <v/>
      </c>
      <c r="AF296">
        <f>IF($B296=0,0,IF(Inputs!$B$8="",0,COUNTIFS(Data!$I$10:$I$3209,"&gt;="&amp;$A296,Data!$I$10:$I$3209,"&lt;"&amp;$A296+1)))</f>
        <v/>
      </c>
      <c r="AG296">
        <f>IF($B296=0,0,IF(Inputs!$B$9="",0,COUNTIFS(Data!$M$10:$M$3209,"&gt;="&amp;$A296,Data!$M$10:$M$3209,"&lt;"&amp;$A296+1)))</f>
        <v/>
      </c>
      <c r="AH296">
        <f>IF($B296=0,0,IF(Inputs!$B$10="",0,COUNTIFS(Data!$Q$10:$Q$3209,"&gt;="&amp;$A296,Data!$Q$10:$Q$3209,"&lt;"&amp;$A296+1)))</f>
        <v/>
      </c>
    </row>
    <row r="297">
      <c r="A297" s="55">
        <f>MIN(Inputs!$C$15,$A296+IF(WEEKDAY($A296,2)=5,3,1))</f>
        <v/>
      </c>
      <c r="B297">
        <f>IF($A297&gt;$A296,1,0)</f>
        <v/>
      </c>
      <c r="C297" s="56">
        <f>IF($B297=0,"",IF(Inputs!$B$6="","",IF($AD297=0,C296,SUMIFS(Data!$B$10:$B$3209,Data!$A$10:$A$3209,"&gt;="&amp;$A297,Data!$A$10:$A$3209,"&lt;"&amp;$A297+1)/$AD297)))</f>
        <v/>
      </c>
      <c r="D297" s="56">
        <f>IF($B297=0,"",IF(Inputs!$B$7="","",IF($AE297=0,D296,SUMIFS(Data!$F$10:$F$3209,Data!$E$10:$E$3209,"&gt;="&amp;$A297,Data!$E$10:$E$3209,"&lt;"&amp;$A297+1)/$AE297)))</f>
        <v/>
      </c>
      <c r="E297" s="56">
        <f>IF($B297=0,"",IF(Inputs!$B$8="","",IF($AF297=0,E296,SUMIFS(Data!$J$10:$J$3209,Data!$I$10:$I$3209,"&gt;="&amp;$A297,Data!$I$10:$I$3209,"&lt;"&amp;$A297+1)/$AF297)))</f>
        <v/>
      </c>
      <c r="F297" s="56">
        <f>IF($B297=0,"",IF(Inputs!$B$9="","",IF($AG297=0,F296,SUMIFS(Data!$N$10:$N$3209,Data!$M$10:$M$3209,"&gt;="&amp;$A297,Data!$M$10:$M$3209,"&lt;"&amp;$A297+1)/$AG297)))</f>
        <v/>
      </c>
      <c r="G297" s="56">
        <f>IF($B297=0,"",IF(Inputs!$B$10="","",IF($AH297=0,G296,SUMIFS(Data!$R$10:$R$3209,Data!$Q$10:$Q$3209,"&gt;="&amp;$A297,Data!$Q$10:$Q$3209,"&lt;"&amp;$A297+1)/$AH297)))</f>
        <v/>
      </c>
      <c r="I297" s="54">
        <f>IF($B297=0,NA(),IF($C297="",NA(),IF(C$8="",NA(),IF(N(C$8)=0,NA(),IF(Inputs!$C$17="Rebased to 100",$C297/C$8*100,$C297)))))</f>
        <v/>
      </c>
      <c r="J297" s="54">
        <f>IF($B297=0,NA(),IF($D297="",NA(),IF(D$8="",NA(),IF(N(D$8)=0,NA(),IF(Inputs!$C$17="Rebased to 100",$D297/D$8*100,$D297)))))</f>
        <v/>
      </c>
      <c r="K297" s="54">
        <f>IF($B297=0,NA(),IF($E297="",NA(),IF(E$8="",NA(),IF(N(E$8)=0,NA(),IF(Inputs!$C$17="Rebased to 100",$E297/E$8*100,$E297)))))</f>
        <v/>
      </c>
      <c r="L297" s="54">
        <f>IF($B297=0,NA(),IF($F297="",NA(),IF(F$8="",NA(),IF(N(F$8)=0,NA(),IF(Inputs!$C$17="Rebased to 100",$F297/F$8*100,$F297)))))</f>
        <v/>
      </c>
      <c r="M297" s="54">
        <f>IF($B297=0,NA(),IF($G297="",NA(),IF(G$8="",NA(),IF(N(G$8)=0,NA(),IF(Inputs!$C$17="Rebased to 100",$G297/G$8*100,$G297)))))</f>
        <v/>
      </c>
      <c r="N297" s="54">
        <f>IF($B297=0,NA(),IF(Inputs!$C$18&lt;&gt;"Yes",NA(),IF(COUNT(I297,J297,K297,L297,M297)=0,NA(),MIN(I297,J297,K297,L297,M297))))</f>
        <v/>
      </c>
      <c r="O297" s="54">
        <f>IF($B297=0,NA(),IF(Inputs!$B$24&lt;&gt;"Yes",NA(),Inputs!$D$24*Inputs!$C$35))</f>
        <v/>
      </c>
      <c r="P297" s="54">
        <f>IF($B297=0,NA(),IF(Inputs!$B$25&lt;&gt;"Yes",NA(),Inputs!$D$25*Inputs!$C$35))</f>
        <v/>
      </c>
      <c r="Q297" s="54">
        <f>IF($B297=0,NA(),IF(Inputs!$B$26&lt;&gt;"Yes",NA(),Inputs!$D$26*Inputs!$C$35))</f>
        <v/>
      </c>
      <c r="R297" s="54">
        <f>IF($B297=0,NA(),IF(Inputs!$B$27&lt;&gt;"Yes",NA(),Inputs!$D$27*Inputs!$C$35))</f>
        <v/>
      </c>
      <c r="S297" s="54">
        <f>IF($B297=0,NA(),IF(Inputs!$B$28&lt;&gt;"Yes",NA(),Inputs!$D$28*Inputs!$C$35))</f>
        <v/>
      </c>
      <c r="T297" s="54">
        <f>IF($B297=0,NA(),IF(Inputs!$B$29&lt;&gt;"Yes",NA(),Inputs!$D$29*Inputs!$C$35))</f>
        <v/>
      </c>
      <c r="AD297">
        <f>IF($B297=0,0,IF(Inputs!$B$6="",0,COUNTIFS(Data!$A$10:$A$3209,"&gt;="&amp;$A297,Data!$A$10:$A$3209,"&lt;"&amp;$A297+1)))</f>
        <v/>
      </c>
      <c r="AE297">
        <f>IF($B297=0,0,IF(Inputs!$B$7="",0,COUNTIFS(Data!$E$10:$E$3209,"&gt;="&amp;$A297,Data!$E$10:$E$3209,"&lt;"&amp;$A297+1)))</f>
        <v/>
      </c>
      <c r="AF297">
        <f>IF($B297=0,0,IF(Inputs!$B$8="",0,COUNTIFS(Data!$I$10:$I$3209,"&gt;="&amp;$A297,Data!$I$10:$I$3209,"&lt;"&amp;$A297+1)))</f>
        <v/>
      </c>
      <c r="AG297">
        <f>IF($B297=0,0,IF(Inputs!$B$9="",0,COUNTIFS(Data!$M$10:$M$3209,"&gt;="&amp;$A297,Data!$M$10:$M$3209,"&lt;"&amp;$A297+1)))</f>
        <v/>
      </c>
      <c r="AH297">
        <f>IF($B297=0,0,IF(Inputs!$B$10="",0,COUNTIFS(Data!$Q$10:$Q$3209,"&gt;="&amp;$A297,Data!$Q$10:$Q$3209,"&lt;"&amp;$A297+1)))</f>
        <v/>
      </c>
    </row>
    <row r="298">
      <c r="A298" s="55">
        <f>MIN(Inputs!$C$15,$A297+IF(WEEKDAY($A297,2)=5,3,1))</f>
        <v/>
      </c>
      <c r="B298">
        <f>IF($A298&gt;$A297,1,0)</f>
        <v/>
      </c>
      <c r="C298" s="56">
        <f>IF($B298=0,"",IF(Inputs!$B$6="","",IF($AD298=0,C297,SUMIFS(Data!$B$10:$B$3209,Data!$A$10:$A$3209,"&gt;="&amp;$A298,Data!$A$10:$A$3209,"&lt;"&amp;$A298+1)/$AD298)))</f>
        <v/>
      </c>
      <c r="D298" s="56">
        <f>IF($B298=0,"",IF(Inputs!$B$7="","",IF($AE298=0,D297,SUMIFS(Data!$F$10:$F$3209,Data!$E$10:$E$3209,"&gt;="&amp;$A298,Data!$E$10:$E$3209,"&lt;"&amp;$A298+1)/$AE298)))</f>
        <v/>
      </c>
      <c r="E298" s="56">
        <f>IF($B298=0,"",IF(Inputs!$B$8="","",IF($AF298=0,E297,SUMIFS(Data!$J$10:$J$3209,Data!$I$10:$I$3209,"&gt;="&amp;$A298,Data!$I$10:$I$3209,"&lt;"&amp;$A298+1)/$AF298)))</f>
        <v/>
      </c>
      <c r="F298" s="56">
        <f>IF($B298=0,"",IF(Inputs!$B$9="","",IF($AG298=0,F297,SUMIFS(Data!$N$10:$N$3209,Data!$M$10:$M$3209,"&gt;="&amp;$A298,Data!$M$10:$M$3209,"&lt;"&amp;$A298+1)/$AG298)))</f>
        <v/>
      </c>
      <c r="G298" s="56">
        <f>IF($B298=0,"",IF(Inputs!$B$10="","",IF($AH298=0,G297,SUMIFS(Data!$R$10:$R$3209,Data!$Q$10:$Q$3209,"&gt;="&amp;$A298,Data!$Q$10:$Q$3209,"&lt;"&amp;$A298+1)/$AH298)))</f>
        <v/>
      </c>
      <c r="I298" s="54">
        <f>IF($B298=0,NA(),IF($C298="",NA(),IF(C$8="",NA(),IF(N(C$8)=0,NA(),IF(Inputs!$C$17="Rebased to 100",$C298/C$8*100,$C298)))))</f>
        <v/>
      </c>
      <c r="J298" s="54">
        <f>IF($B298=0,NA(),IF($D298="",NA(),IF(D$8="",NA(),IF(N(D$8)=0,NA(),IF(Inputs!$C$17="Rebased to 100",$D298/D$8*100,$D298)))))</f>
        <v/>
      </c>
      <c r="K298" s="54">
        <f>IF($B298=0,NA(),IF($E298="",NA(),IF(E$8="",NA(),IF(N(E$8)=0,NA(),IF(Inputs!$C$17="Rebased to 100",$E298/E$8*100,$E298)))))</f>
        <v/>
      </c>
      <c r="L298" s="54">
        <f>IF($B298=0,NA(),IF($F298="",NA(),IF(F$8="",NA(),IF(N(F$8)=0,NA(),IF(Inputs!$C$17="Rebased to 100",$F298/F$8*100,$F298)))))</f>
        <v/>
      </c>
      <c r="M298" s="54">
        <f>IF($B298=0,NA(),IF($G298="",NA(),IF(G$8="",NA(),IF(N(G$8)=0,NA(),IF(Inputs!$C$17="Rebased to 100",$G298/G$8*100,$G298)))))</f>
        <v/>
      </c>
      <c r="N298" s="54">
        <f>IF($B298=0,NA(),IF(Inputs!$C$18&lt;&gt;"Yes",NA(),IF(COUNT(I298,J298,K298,L298,M298)=0,NA(),MIN(I298,J298,K298,L298,M298))))</f>
        <v/>
      </c>
      <c r="O298" s="54">
        <f>IF($B298=0,NA(),IF(Inputs!$B$24&lt;&gt;"Yes",NA(),Inputs!$D$24*Inputs!$C$35))</f>
        <v/>
      </c>
      <c r="P298" s="54">
        <f>IF($B298=0,NA(),IF(Inputs!$B$25&lt;&gt;"Yes",NA(),Inputs!$D$25*Inputs!$C$35))</f>
        <v/>
      </c>
      <c r="Q298" s="54">
        <f>IF($B298=0,NA(),IF(Inputs!$B$26&lt;&gt;"Yes",NA(),Inputs!$D$26*Inputs!$C$35))</f>
        <v/>
      </c>
      <c r="R298" s="54">
        <f>IF($B298=0,NA(),IF(Inputs!$B$27&lt;&gt;"Yes",NA(),Inputs!$D$27*Inputs!$C$35))</f>
        <v/>
      </c>
      <c r="S298" s="54">
        <f>IF($B298=0,NA(),IF(Inputs!$B$28&lt;&gt;"Yes",NA(),Inputs!$D$28*Inputs!$C$35))</f>
        <v/>
      </c>
      <c r="T298" s="54">
        <f>IF($B298=0,NA(),IF(Inputs!$B$29&lt;&gt;"Yes",NA(),Inputs!$D$29*Inputs!$C$35))</f>
        <v/>
      </c>
      <c r="AD298">
        <f>IF($B298=0,0,IF(Inputs!$B$6="",0,COUNTIFS(Data!$A$10:$A$3209,"&gt;="&amp;$A298,Data!$A$10:$A$3209,"&lt;"&amp;$A298+1)))</f>
        <v/>
      </c>
      <c r="AE298">
        <f>IF($B298=0,0,IF(Inputs!$B$7="",0,COUNTIFS(Data!$E$10:$E$3209,"&gt;="&amp;$A298,Data!$E$10:$E$3209,"&lt;"&amp;$A298+1)))</f>
        <v/>
      </c>
      <c r="AF298">
        <f>IF($B298=0,0,IF(Inputs!$B$8="",0,COUNTIFS(Data!$I$10:$I$3209,"&gt;="&amp;$A298,Data!$I$10:$I$3209,"&lt;"&amp;$A298+1)))</f>
        <v/>
      </c>
      <c r="AG298">
        <f>IF($B298=0,0,IF(Inputs!$B$9="",0,COUNTIFS(Data!$M$10:$M$3209,"&gt;="&amp;$A298,Data!$M$10:$M$3209,"&lt;"&amp;$A298+1)))</f>
        <v/>
      </c>
      <c r="AH298">
        <f>IF($B298=0,0,IF(Inputs!$B$10="",0,COUNTIFS(Data!$Q$10:$Q$3209,"&gt;="&amp;$A298,Data!$Q$10:$Q$3209,"&lt;"&amp;$A298+1)))</f>
        <v/>
      </c>
    </row>
    <row r="299">
      <c r="A299" s="55">
        <f>MIN(Inputs!$C$15,$A298+IF(WEEKDAY($A298,2)=5,3,1))</f>
        <v/>
      </c>
      <c r="B299">
        <f>IF($A299&gt;$A298,1,0)</f>
        <v/>
      </c>
      <c r="C299" s="56">
        <f>IF($B299=0,"",IF(Inputs!$B$6="","",IF($AD299=0,C298,SUMIFS(Data!$B$10:$B$3209,Data!$A$10:$A$3209,"&gt;="&amp;$A299,Data!$A$10:$A$3209,"&lt;"&amp;$A299+1)/$AD299)))</f>
        <v/>
      </c>
      <c r="D299" s="56">
        <f>IF($B299=0,"",IF(Inputs!$B$7="","",IF($AE299=0,D298,SUMIFS(Data!$F$10:$F$3209,Data!$E$10:$E$3209,"&gt;="&amp;$A299,Data!$E$10:$E$3209,"&lt;"&amp;$A299+1)/$AE299)))</f>
        <v/>
      </c>
      <c r="E299" s="56">
        <f>IF($B299=0,"",IF(Inputs!$B$8="","",IF($AF299=0,E298,SUMIFS(Data!$J$10:$J$3209,Data!$I$10:$I$3209,"&gt;="&amp;$A299,Data!$I$10:$I$3209,"&lt;"&amp;$A299+1)/$AF299)))</f>
        <v/>
      </c>
      <c r="F299" s="56">
        <f>IF($B299=0,"",IF(Inputs!$B$9="","",IF($AG299=0,F298,SUMIFS(Data!$N$10:$N$3209,Data!$M$10:$M$3209,"&gt;="&amp;$A299,Data!$M$10:$M$3209,"&lt;"&amp;$A299+1)/$AG299)))</f>
        <v/>
      </c>
      <c r="G299" s="56">
        <f>IF($B299=0,"",IF(Inputs!$B$10="","",IF($AH299=0,G298,SUMIFS(Data!$R$10:$R$3209,Data!$Q$10:$Q$3209,"&gt;="&amp;$A299,Data!$Q$10:$Q$3209,"&lt;"&amp;$A299+1)/$AH299)))</f>
        <v/>
      </c>
      <c r="I299" s="54">
        <f>IF($B299=0,NA(),IF($C299="",NA(),IF(C$8="",NA(),IF(N(C$8)=0,NA(),IF(Inputs!$C$17="Rebased to 100",$C299/C$8*100,$C299)))))</f>
        <v/>
      </c>
      <c r="J299" s="54">
        <f>IF($B299=0,NA(),IF($D299="",NA(),IF(D$8="",NA(),IF(N(D$8)=0,NA(),IF(Inputs!$C$17="Rebased to 100",$D299/D$8*100,$D299)))))</f>
        <v/>
      </c>
      <c r="K299" s="54">
        <f>IF($B299=0,NA(),IF($E299="",NA(),IF(E$8="",NA(),IF(N(E$8)=0,NA(),IF(Inputs!$C$17="Rebased to 100",$E299/E$8*100,$E299)))))</f>
        <v/>
      </c>
      <c r="L299" s="54">
        <f>IF($B299=0,NA(),IF($F299="",NA(),IF(F$8="",NA(),IF(N(F$8)=0,NA(),IF(Inputs!$C$17="Rebased to 100",$F299/F$8*100,$F299)))))</f>
        <v/>
      </c>
      <c r="M299" s="54">
        <f>IF($B299=0,NA(),IF($G299="",NA(),IF(G$8="",NA(),IF(N(G$8)=0,NA(),IF(Inputs!$C$17="Rebased to 100",$G299/G$8*100,$G299)))))</f>
        <v/>
      </c>
      <c r="N299" s="54">
        <f>IF($B299=0,NA(),IF(Inputs!$C$18&lt;&gt;"Yes",NA(),IF(COUNT(I299,J299,K299,L299,M299)=0,NA(),MIN(I299,J299,K299,L299,M299))))</f>
        <v/>
      </c>
      <c r="O299" s="54">
        <f>IF($B299=0,NA(),IF(Inputs!$B$24&lt;&gt;"Yes",NA(),Inputs!$D$24*Inputs!$C$35))</f>
        <v/>
      </c>
      <c r="P299" s="54">
        <f>IF($B299=0,NA(),IF(Inputs!$B$25&lt;&gt;"Yes",NA(),Inputs!$D$25*Inputs!$C$35))</f>
        <v/>
      </c>
      <c r="Q299" s="54">
        <f>IF($B299=0,NA(),IF(Inputs!$B$26&lt;&gt;"Yes",NA(),Inputs!$D$26*Inputs!$C$35))</f>
        <v/>
      </c>
      <c r="R299" s="54">
        <f>IF($B299=0,NA(),IF(Inputs!$B$27&lt;&gt;"Yes",NA(),Inputs!$D$27*Inputs!$C$35))</f>
        <v/>
      </c>
      <c r="S299" s="54">
        <f>IF($B299=0,NA(),IF(Inputs!$B$28&lt;&gt;"Yes",NA(),Inputs!$D$28*Inputs!$C$35))</f>
        <v/>
      </c>
      <c r="T299" s="54">
        <f>IF($B299=0,NA(),IF(Inputs!$B$29&lt;&gt;"Yes",NA(),Inputs!$D$29*Inputs!$C$35))</f>
        <v/>
      </c>
      <c r="AD299">
        <f>IF($B299=0,0,IF(Inputs!$B$6="",0,COUNTIFS(Data!$A$10:$A$3209,"&gt;="&amp;$A299,Data!$A$10:$A$3209,"&lt;"&amp;$A299+1)))</f>
        <v/>
      </c>
      <c r="AE299">
        <f>IF($B299=0,0,IF(Inputs!$B$7="",0,COUNTIFS(Data!$E$10:$E$3209,"&gt;="&amp;$A299,Data!$E$10:$E$3209,"&lt;"&amp;$A299+1)))</f>
        <v/>
      </c>
      <c r="AF299">
        <f>IF($B299=0,0,IF(Inputs!$B$8="",0,COUNTIFS(Data!$I$10:$I$3209,"&gt;="&amp;$A299,Data!$I$10:$I$3209,"&lt;"&amp;$A299+1)))</f>
        <v/>
      </c>
      <c r="AG299">
        <f>IF($B299=0,0,IF(Inputs!$B$9="",0,COUNTIFS(Data!$M$10:$M$3209,"&gt;="&amp;$A299,Data!$M$10:$M$3209,"&lt;"&amp;$A299+1)))</f>
        <v/>
      </c>
      <c r="AH299">
        <f>IF($B299=0,0,IF(Inputs!$B$10="",0,COUNTIFS(Data!$Q$10:$Q$3209,"&gt;="&amp;$A299,Data!$Q$10:$Q$3209,"&lt;"&amp;$A299+1)))</f>
        <v/>
      </c>
    </row>
    <row r="300">
      <c r="A300" s="55">
        <f>MIN(Inputs!$C$15,$A299+IF(WEEKDAY($A299,2)=5,3,1))</f>
        <v/>
      </c>
      <c r="B300">
        <f>IF($A300&gt;$A299,1,0)</f>
        <v/>
      </c>
      <c r="C300" s="56">
        <f>IF($B300=0,"",IF(Inputs!$B$6="","",IF($AD300=0,C299,SUMIFS(Data!$B$10:$B$3209,Data!$A$10:$A$3209,"&gt;="&amp;$A300,Data!$A$10:$A$3209,"&lt;"&amp;$A300+1)/$AD300)))</f>
        <v/>
      </c>
      <c r="D300" s="56">
        <f>IF($B300=0,"",IF(Inputs!$B$7="","",IF($AE300=0,D299,SUMIFS(Data!$F$10:$F$3209,Data!$E$10:$E$3209,"&gt;="&amp;$A300,Data!$E$10:$E$3209,"&lt;"&amp;$A300+1)/$AE300)))</f>
        <v/>
      </c>
      <c r="E300" s="56">
        <f>IF($B300=0,"",IF(Inputs!$B$8="","",IF($AF300=0,E299,SUMIFS(Data!$J$10:$J$3209,Data!$I$10:$I$3209,"&gt;="&amp;$A300,Data!$I$10:$I$3209,"&lt;"&amp;$A300+1)/$AF300)))</f>
        <v/>
      </c>
      <c r="F300" s="56">
        <f>IF($B300=0,"",IF(Inputs!$B$9="","",IF($AG300=0,F299,SUMIFS(Data!$N$10:$N$3209,Data!$M$10:$M$3209,"&gt;="&amp;$A300,Data!$M$10:$M$3209,"&lt;"&amp;$A300+1)/$AG300)))</f>
        <v/>
      </c>
      <c r="G300" s="56">
        <f>IF($B300=0,"",IF(Inputs!$B$10="","",IF($AH300=0,G299,SUMIFS(Data!$R$10:$R$3209,Data!$Q$10:$Q$3209,"&gt;="&amp;$A300,Data!$Q$10:$Q$3209,"&lt;"&amp;$A300+1)/$AH300)))</f>
        <v/>
      </c>
      <c r="I300" s="54">
        <f>IF($B300=0,NA(),IF($C300="",NA(),IF(C$8="",NA(),IF(N(C$8)=0,NA(),IF(Inputs!$C$17="Rebased to 100",$C300/C$8*100,$C300)))))</f>
        <v/>
      </c>
      <c r="J300" s="54">
        <f>IF($B300=0,NA(),IF($D300="",NA(),IF(D$8="",NA(),IF(N(D$8)=0,NA(),IF(Inputs!$C$17="Rebased to 100",$D300/D$8*100,$D300)))))</f>
        <v/>
      </c>
      <c r="K300" s="54">
        <f>IF($B300=0,NA(),IF($E300="",NA(),IF(E$8="",NA(),IF(N(E$8)=0,NA(),IF(Inputs!$C$17="Rebased to 100",$E300/E$8*100,$E300)))))</f>
        <v/>
      </c>
      <c r="L300" s="54">
        <f>IF($B300=0,NA(),IF($F300="",NA(),IF(F$8="",NA(),IF(N(F$8)=0,NA(),IF(Inputs!$C$17="Rebased to 100",$F300/F$8*100,$F300)))))</f>
        <v/>
      </c>
      <c r="M300" s="54">
        <f>IF($B300=0,NA(),IF($G300="",NA(),IF(G$8="",NA(),IF(N(G$8)=0,NA(),IF(Inputs!$C$17="Rebased to 100",$G300/G$8*100,$G300)))))</f>
        <v/>
      </c>
      <c r="N300" s="54">
        <f>IF($B300=0,NA(),IF(Inputs!$C$18&lt;&gt;"Yes",NA(),IF(COUNT(I300,J300,K300,L300,M300)=0,NA(),MIN(I300,J300,K300,L300,M300))))</f>
        <v/>
      </c>
      <c r="O300" s="54">
        <f>IF($B300=0,NA(),IF(Inputs!$B$24&lt;&gt;"Yes",NA(),Inputs!$D$24*Inputs!$C$35))</f>
        <v/>
      </c>
      <c r="P300" s="54">
        <f>IF($B300=0,NA(),IF(Inputs!$B$25&lt;&gt;"Yes",NA(),Inputs!$D$25*Inputs!$C$35))</f>
        <v/>
      </c>
      <c r="Q300" s="54">
        <f>IF($B300=0,NA(),IF(Inputs!$B$26&lt;&gt;"Yes",NA(),Inputs!$D$26*Inputs!$C$35))</f>
        <v/>
      </c>
      <c r="R300" s="54">
        <f>IF($B300=0,NA(),IF(Inputs!$B$27&lt;&gt;"Yes",NA(),Inputs!$D$27*Inputs!$C$35))</f>
        <v/>
      </c>
      <c r="S300" s="54">
        <f>IF($B300=0,NA(),IF(Inputs!$B$28&lt;&gt;"Yes",NA(),Inputs!$D$28*Inputs!$C$35))</f>
        <v/>
      </c>
      <c r="T300" s="54">
        <f>IF($B300=0,NA(),IF(Inputs!$B$29&lt;&gt;"Yes",NA(),Inputs!$D$29*Inputs!$C$35))</f>
        <v/>
      </c>
      <c r="AD300">
        <f>IF($B300=0,0,IF(Inputs!$B$6="",0,COUNTIFS(Data!$A$10:$A$3209,"&gt;="&amp;$A300,Data!$A$10:$A$3209,"&lt;"&amp;$A300+1)))</f>
        <v/>
      </c>
      <c r="AE300">
        <f>IF($B300=0,0,IF(Inputs!$B$7="",0,COUNTIFS(Data!$E$10:$E$3209,"&gt;="&amp;$A300,Data!$E$10:$E$3209,"&lt;"&amp;$A300+1)))</f>
        <v/>
      </c>
      <c r="AF300">
        <f>IF($B300=0,0,IF(Inputs!$B$8="",0,COUNTIFS(Data!$I$10:$I$3209,"&gt;="&amp;$A300,Data!$I$10:$I$3209,"&lt;"&amp;$A300+1)))</f>
        <v/>
      </c>
      <c r="AG300">
        <f>IF($B300=0,0,IF(Inputs!$B$9="",0,COUNTIFS(Data!$M$10:$M$3209,"&gt;="&amp;$A300,Data!$M$10:$M$3209,"&lt;"&amp;$A300+1)))</f>
        <v/>
      </c>
      <c r="AH300">
        <f>IF($B300=0,0,IF(Inputs!$B$10="",0,COUNTIFS(Data!$Q$10:$Q$3209,"&gt;="&amp;$A300,Data!$Q$10:$Q$3209,"&lt;"&amp;$A300+1)))</f>
        <v/>
      </c>
    </row>
    <row r="301">
      <c r="A301" s="55">
        <f>MIN(Inputs!$C$15,$A300+IF(WEEKDAY($A300,2)=5,3,1))</f>
        <v/>
      </c>
      <c r="B301">
        <f>IF($A301&gt;$A300,1,0)</f>
        <v/>
      </c>
      <c r="C301" s="56">
        <f>IF($B301=0,"",IF(Inputs!$B$6="","",IF($AD301=0,C300,SUMIFS(Data!$B$10:$B$3209,Data!$A$10:$A$3209,"&gt;="&amp;$A301,Data!$A$10:$A$3209,"&lt;"&amp;$A301+1)/$AD301)))</f>
        <v/>
      </c>
      <c r="D301" s="56">
        <f>IF($B301=0,"",IF(Inputs!$B$7="","",IF($AE301=0,D300,SUMIFS(Data!$F$10:$F$3209,Data!$E$10:$E$3209,"&gt;="&amp;$A301,Data!$E$10:$E$3209,"&lt;"&amp;$A301+1)/$AE301)))</f>
        <v/>
      </c>
      <c r="E301" s="56">
        <f>IF($B301=0,"",IF(Inputs!$B$8="","",IF($AF301=0,E300,SUMIFS(Data!$J$10:$J$3209,Data!$I$10:$I$3209,"&gt;="&amp;$A301,Data!$I$10:$I$3209,"&lt;"&amp;$A301+1)/$AF301)))</f>
        <v/>
      </c>
      <c r="F301" s="56">
        <f>IF($B301=0,"",IF(Inputs!$B$9="","",IF($AG301=0,F300,SUMIFS(Data!$N$10:$N$3209,Data!$M$10:$M$3209,"&gt;="&amp;$A301,Data!$M$10:$M$3209,"&lt;"&amp;$A301+1)/$AG301)))</f>
        <v/>
      </c>
      <c r="G301" s="56">
        <f>IF($B301=0,"",IF(Inputs!$B$10="","",IF($AH301=0,G300,SUMIFS(Data!$R$10:$R$3209,Data!$Q$10:$Q$3209,"&gt;="&amp;$A301,Data!$Q$10:$Q$3209,"&lt;"&amp;$A301+1)/$AH301)))</f>
        <v/>
      </c>
      <c r="I301" s="54">
        <f>IF($B301=0,NA(),IF($C301="",NA(),IF(C$8="",NA(),IF(N(C$8)=0,NA(),IF(Inputs!$C$17="Rebased to 100",$C301/C$8*100,$C301)))))</f>
        <v/>
      </c>
      <c r="J301" s="54">
        <f>IF($B301=0,NA(),IF($D301="",NA(),IF(D$8="",NA(),IF(N(D$8)=0,NA(),IF(Inputs!$C$17="Rebased to 100",$D301/D$8*100,$D301)))))</f>
        <v/>
      </c>
      <c r="K301" s="54">
        <f>IF($B301=0,NA(),IF($E301="",NA(),IF(E$8="",NA(),IF(N(E$8)=0,NA(),IF(Inputs!$C$17="Rebased to 100",$E301/E$8*100,$E301)))))</f>
        <v/>
      </c>
      <c r="L301" s="54">
        <f>IF($B301=0,NA(),IF($F301="",NA(),IF(F$8="",NA(),IF(N(F$8)=0,NA(),IF(Inputs!$C$17="Rebased to 100",$F301/F$8*100,$F301)))))</f>
        <v/>
      </c>
      <c r="M301" s="54">
        <f>IF($B301=0,NA(),IF($G301="",NA(),IF(G$8="",NA(),IF(N(G$8)=0,NA(),IF(Inputs!$C$17="Rebased to 100",$G301/G$8*100,$G301)))))</f>
        <v/>
      </c>
      <c r="N301" s="54">
        <f>IF($B301=0,NA(),IF(Inputs!$C$18&lt;&gt;"Yes",NA(),IF(COUNT(I301,J301,K301,L301,M301)=0,NA(),MIN(I301,J301,K301,L301,M301))))</f>
        <v/>
      </c>
      <c r="O301" s="54">
        <f>IF($B301=0,NA(),IF(Inputs!$B$24&lt;&gt;"Yes",NA(),Inputs!$D$24*Inputs!$C$35))</f>
        <v/>
      </c>
      <c r="P301" s="54">
        <f>IF($B301=0,NA(),IF(Inputs!$B$25&lt;&gt;"Yes",NA(),Inputs!$D$25*Inputs!$C$35))</f>
        <v/>
      </c>
      <c r="Q301" s="54">
        <f>IF($B301=0,NA(),IF(Inputs!$B$26&lt;&gt;"Yes",NA(),Inputs!$D$26*Inputs!$C$35))</f>
        <v/>
      </c>
      <c r="R301" s="54">
        <f>IF($B301=0,NA(),IF(Inputs!$B$27&lt;&gt;"Yes",NA(),Inputs!$D$27*Inputs!$C$35))</f>
        <v/>
      </c>
      <c r="S301" s="54">
        <f>IF($B301=0,NA(),IF(Inputs!$B$28&lt;&gt;"Yes",NA(),Inputs!$D$28*Inputs!$C$35))</f>
        <v/>
      </c>
      <c r="T301" s="54">
        <f>IF($B301=0,NA(),IF(Inputs!$B$29&lt;&gt;"Yes",NA(),Inputs!$D$29*Inputs!$C$35))</f>
        <v/>
      </c>
      <c r="AD301">
        <f>IF($B301=0,0,IF(Inputs!$B$6="",0,COUNTIFS(Data!$A$10:$A$3209,"&gt;="&amp;$A301,Data!$A$10:$A$3209,"&lt;"&amp;$A301+1)))</f>
        <v/>
      </c>
      <c r="AE301">
        <f>IF($B301=0,0,IF(Inputs!$B$7="",0,COUNTIFS(Data!$E$10:$E$3209,"&gt;="&amp;$A301,Data!$E$10:$E$3209,"&lt;"&amp;$A301+1)))</f>
        <v/>
      </c>
      <c r="AF301">
        <f>IF($B301=0,0,IF(Inputs!$B$8="",0,COUNTIFS(Data!$I$10:$I$3209,"&gt;="&amp;$A301,Data!$I$10:$I$3209,"&lt;"&amp;$A301+1)))</f>
        <v/>
      </c>
      <c r="AG301">
        <f>IF($B301=0,0,IF(Inputs!$B$9="",0,COUNTIFS(Data!$M$10:$M$3209,"&gt;="&amp;$A301,Data!$M$10:$M$3209,"&lt;"&amp;$A301+1)))</f>
        <v/>
      </c>
      <c r="AH301">
        <f>IF($B301=0,0,IF(Inputs!$B$10="",0,COUNTIFS(Data!$Q$10:$Q$3209,"&gt;="&amp;$A301,Data!$Q$10:$Q$3209,"&lt;"&amp;$A301+1)))</f>
        <v/>
      </c>
    </row>
    <row r="302">
      <c r="A302" s="55">
        <f>MIN(Inputs!$C$15,$A301+IF(WEEKDAY($A301,2)=5,3,1))</f>
        <v/>
      </c>
      <c r="B302">
        <f>IF($A302&gt;$A301,1,0)</f>
        <v/>
      </c>
      <c r="C302" s="56">
        <f>IF($B302=0,"",IF(Inputs!$B$6="","",IF($AD302=0,C301,SUMIFS(Data!$B$10:$B$3209,Data!$A$10:$A$3209,"&gt;="&amp;$A302,Data!$A$10:$A$3209,"&lt;"&amp;$A302+1)/$AD302)))</f>
        <v/>
      </c>
      <c r="D302" s="56">
        <f>IF($B302=0,"",IF(Inputs!$B$7="","",IF($AE302=0,D301,SUMIFS(Data!$F$10:$F$3209,Data!$E$10:$E$3209,"&gt;="&amp;$A302,Data!$E$10:$E$3209,"&lt;"&amp;$A302+1)/$AE302)))</f>
        <v/>
      </c>
      <c r="E302" s="56">
        <f>IF($B302=0,"",IF(Inputs!$B$8="","",IF($AF302=0,E301,SUMIFS(Data!$J$10:$J$3209,Data!$I$10:$I$3209,"&gt;="&amp;$A302,Data!$I$10:$I$3209,"&lt;"&amp;$A302+1)/$AF302)))</f>
        <v/>
      </c>
      <c r="F302" s="56">
        <f>IF($B302=0,"",IF(Inputs!$B$9="","",IF($AG302=0,F301,SUMIFS(Data!$N$10:$N$3209,Data!$M$10:$M$3209,"&gt;="&amp;$A302,Data!$M$10:$M$3209,"&lt;"&amp;$A302+1)/$AG302)))</f>
        <v/>
      </c>
      <c r="G302" s="56">
        <f>IF($B302=0,"",IF(Inputs!$B$10="","",IF($AH302=0,G301,SUMIFS(Data!$R$10:$R$3209,Data!$Q$10:$Q$3209,"&gt;="&amp;$A302,Data!$Q$10:$Q$3209,"&lt;"&amp;$A302+1)/$AH302)))</f>
        <v/>
      </c>
      <c r="I302" s="54">
        <f>IF($B302=0,NA(),IF($C302="",NA(),IF(C$8="",NA(),IF(N(C$8)=0,NA(),IF(Inputs!$C$17="Rebased to 100",$C302/C$8*100,$C302)))))</f>
        <v/>
      </c>
      <c r="J302" s="54">
        <f>IF($B302=0,NA(),IF($D302="",NA(),IF(D$8="",NA(),IF(N(D$8)=0,NA(),IF(Inputs!$C$17="Rebased to 100",$D302/D$8*100,$D302)))))</f>
        <v/>
      </c>
      <c r="K302" s="54">
        <f>IF($B302=0,NA(),IF($E302="",NA(),IF(E$8="",NA(),IF(N(E$8)=0,NA(),IF(Inputs!$C$17="Rebased to 100",$E302/E$8*100,$E302)))))</f>
        <v/>
      </c>
      <c r="L302" s="54">
        <f>IF($B302=0,NA(),IF($F302="",NA(),IF(F$8="",NA(),IF(N(F$8)=0,NA(),IF(Inputs!$C$17="Rebased to 100",$F302/F$8*100,$F302)))))</f>
        <v/>
      </c>
      <c r="M302" s="54">
        <f>IF($B302=0,NA(),IF($G302="",NA(),IF(G$8="",NA(),IF(N(G$8)=0,NA(),IF(Inputs!$C$17="Rebased to 100",$G302/G$8*100,$G302)))))</f>
        <v/>
      </c>
      <c r="N302" s="54">
        <f>IF($B302=0,NA(),IF(Inputs!$C$18&lt;&gt;"Yes",NA(),IF(COUNT(I302,J302,K302,L302,M302)=0,NA(),MIN(I302,J302,K302,L302,M302))))</f>
        <v/>
      </c>
      <c r="O302" s="54">
        <f>IF($B302=0,NA(),IF(Inputs!$B$24&lt;&gt;"Yes",NA(),Inputs!$D$24*Inputs!$C$35))</f>
        <v/>
      </c>
      <c r="P302" s="54">
        <f>IF($B302=0,NA(),IF(Inputs!$B$25&lt;&gt;"Yes",NA(),Inputs!$D$25*Inputs!$C$35))</f>
        <v/>
      </c>
      <c r="Q302" s="54">
        <f>IF($B302=0,NA(),IF(Inputs!$B$26&lt;&gt;"Yes",NA(),Inputs!$D$26*Inputs!$C$35))</f>
        <v/>
      </c>
      <c r="R302" s="54">
        <f>IF($B302=0,NA(),IF(Inputs!$B$27&lt;&gt;"Yes",NA(),Inputs!$D$27*Inputs!$C$35))</f>
        <v/>
      </c>
      <c r="S302" s="54">
        <f>IF($B302=0,NA(),IF(Inputs!$B$28&lt;&gt;"Yes",NA(),Inputs!$D$28*Inputs!$C$35))</f>
        <v/>
      </c>
      <c r="T302" s="54">
        <f>IF($B302=0,NA(),IF(Inputs!$B$29&lt;&gt;"Yes",NA(),Inputs!$D$29*Inputs!$C$35))</f>
        <v/>
      </c>
      <c r="AD302">
        <f>IF($B302=0,0,IF(Inputs!$B$6="",0,COUNTIFS(Data!$A$10:$A$3209,"&gt;="&amp;$A302,Data!$A$10:$A$3209,"&lt;"&amp;$A302+1)))</f>
        <v/>
      </c>
      <c r="AE302">
        <f>IF($B302=0,0,IF(Inputs!$B$7="",0,COUNTIFS(Data!$E$10:$E$3209,"&gt;="&amp;$A302,Data!$E$10:$E$3209,"&lt;"&amp;$A302+1)))</f>
        <v/>
      </c>
      <c r="AF302">
        <f>IF($B302=0,0,IF(Inputs!$B$8="",0,COUNTIFS(Data!$I$10:$I$3209,"&gt;="&amp;$A302,Data!$I$10:$I$3209,"&lt;"&amp;$A302+1)))</f>
        <v/>
      </c>
      <c r="AG302">
        <f>IF($B302=0,0,IF(Inputs!$B$9="",0,COUNTIFS(Data!$M$10:$M$3209,"&gt;="&amp;$A302,Data!$M$10:$M$3209,"&lt;"&amp;$A302+1)))</f>
        <v/>
      </c>
      <c r="AH302">
        <f>IF($B302=0,0,IF(Inputs!$B$10="",0,COUNTIFS(Data!$Q$10:$Q$3209,"&gt;="&amp;$A302,Data!$Q$10:$Q$3209,"&lt;"&amp;$A302+1)))</f>
        <v/>
      </c>
    </row>
    <row r="303">
      <c r="A303" s="55">
        <f>MIN(Inputs!$C$15,$A302+IF(WEEKDAY($A302,2)=5,3,1))</f>
        <v/>
      </c>
      <c r="B303">
        <f>IF($A303&gt;$A302,1,0)</f>
        <v/>
      </c>
      <c r="C303" s="56">
        <f>IF($B303=0,"",IF(Inputs!$B$6="","",IF($AD303=0,C302,SUMIFS(Data!$B$10:$B$3209,Data!$A$10:$A$3209,"&gt;="&amp;$A303,Data!$A$10:$A$3209,"&lt;"&amp;$A303+1)/$AD303)))</f>
        <v/>
      </c>
      <c r="D303" s="56">
        <f>IF($B303=0,"",IF(Inputs!$B$7="","",IF($AE303=0,D302,SUMIFS(Data!$F$10:$F$3209,Data!$E$10:$E$3209,"&gt;="&amp;$A303,Data!$E$10:$E$3209,"&lt;"&amp;$A303+1)/$AE303)))</f>
        <v/>
      </c>
      <c r="E303" s="56">
        <f>IF($B303=0,"",IF(Inputs!$B$8="","",IF($AF303=0,E302,SUMIFS(Data!$J$10:$J$3209,Data!$I$10:$I$3209,"&gt;="&amp;$A303,Data!$I$10:$I$3209,"&lt;"&amp;$A303+1)/$AF303)))</f>
        <v/>
      </c>
      <c r="F303" s="56">
        <f>IF($B303=0,"",IF(Inputs!$B$9="","",IF($AG303=0,F302,SUMIFS(Data!$N$10:$N$3209,Data!$M$10:$M$3209,"&gt;="&amp;$A303,Data!$M$10:$M$3209,"&lt;"&amp;$A303+1)/$AG303)))</f>
        <v/>
      </c>
      <c r="G303" s="56">
        <f>IF($B303=0,"",IF(Inputs!$B$10="","",IF($AH303=0,G302,SUMIFS(Data!$R$10:$R$3209,Data!$Q$10:$Q$3209,"&gt;="&amp;$A303,Data!$Q$10:$Q$3209,"&lt;"&amp;$A303+1)/$AH303)))</f>
        <v/>
      </c>
      <c r="I303" s="54">
        <f>IF($B303=0,NA(),IF($C303="",NA(),IF(C$8="",NA(),IF(N(C$8)=0,NA(),IF(Inputs!$C$17="Rebased to 100",$C303/C$8*100,$C303)))))</f>
        <v/>
      </c>
      <c r="J303" s="54">
        <f>IF($B303=0,NA(),IF($D303="",NA(),IF(D$8="",NA(),IF(N(D$8)=0,NA(),IF(Inputs!$C$17="Rebased to 100",$D303/D$8*100,$D303)))))</f>
        <v/>
      </c>
      <c r="K303" s="54">
        <f>IF($B303=0,NA(),IF($E303="",NA(),IF(E$8="",NA(),IF(N(E$8)=0,NA(),IF(Inputs!$C$17="Rebased to 100",$E303/E$8*100,$E303)))))</f>
        <v/>
      </c>
      <c r="L303" s="54">
        <f>IF($B303=0,NA(),IF($F303="",NA(),IF(F$8="",NA(),IF(N(F$8)=0,NA(),IF(Inputs!$C$17="Rebased to 100",$F303/F$8*100,$F303)))))</f>
        <v/>
      </c>
      <c r="M303" s="54">
        <f>IF($B303=0,NA(),IF($G303="",NA(),IF(G$8="",NA(),IF(N(G$8)=0,NA(),IF(Inputs!$C$17="Rebased to 100",$G303/G$8*100,$G303)))))</f>
        <v/>
      </c>
      <c r="N303" s="54">
        <f>IF($B303=0,NA(),IF(Inputs!$C$18&lt;&gt;"Yes",NA(),IF(COUNT(I303,J303,K303,L303,M303)=0,NA(),MIN(I303,J303,K303,L303,M303))))</f>
        <v/>
      </c>
      <c r="O303" s="54">
        <f>IF($B303=0,NA(),IF(Inputs!$B$24&lt;&gt;"Yes",NA(),Inputs!$D$24*Inputs!$C$35))</f>
        <v/>
      </c>
      <c r="P303" s="54">
        <f>IF($B303=0,NA(),IF(Inputs!$B$25&lt;&gt;"Yes",NA(),Inputs!$D$25*Inputs!$C$35))</f>
        <v/>
      </c>
      <c r="Q303" s="54">
        <f>IF($B303=0,NA(),IF(Inputs!$B$26&lt;&gt;"Yes",NA(),Inputs!$D$26*Inputs!$C$35))</f>
        <v/>
      </c>
      <c r="R303" s="54">
        <f>IF($B303=0,NA(),IF(Inputs!$B$27&lt;&gt;"Yes",NA(),Inputs!$D$27*Inputs!$C$35))</f>
        <v/>
      </c>
      <c r="S303" s="54">
        <f>IF($B303=0,NA(),IF(Inputs!$B$28&lt;&gt;"Yes",NA(),Inputs!$D$28*Inputs!$C$35))</f>
        <v/>
      </c>
      <c r="T303" s="54">
        <f>IF($B303=0,NA(),IF(Inputs!$B$29&lt;&gt;"Yes",NA(),Inputs!$D$29*Inputs!$C$35))</f>
        <v/>
      </c>
      <c r="AD303">
        <f>IF($B303=0,0,IF(Inputs!$B$6="",0,COUNTIFS(Data!$A$10:$A$3209,"&gt;="&amp;$A303,Data!$A$10:$A$3209,"&lt;"&amp;$A303+1)))</f>
        <v/>
      </c>
      <c r="AE303">
        <f>IF($B303=0,0,IF(Inputs!$B$7="",0,COUNTIFS(Data!$E$10:$E$3209,"&gt;="&amp;$A303,Data!$E$10:$E$3209,"&lt;"&amp;$A303+1)))</f>
        <v/>
      </c>
      <c r="AF303">
        <f>IF($B303=0,0,IF(Inputs!$B$8="",0,COUNTIFS(Data!$I$10:$I$3209,"&gt;="&amp;$A303,Data!$I$10:$I$3209,"&lt;"&amp;$A303+1)))</f>
        <v/>
      </c>
      <c r="AG303">
        <f>IF($B303=0,0,IF(Inputs!$B$9="",0,COUNTIFS(Data!$M$10:$M$3209,"&gt;="&amp;$A303,Data!$M$10:$M$3209,"&lt;"&amp;$A303+1)))</f>
        <v/>
      </c>
      <c r="AH303">
        <f>IF($B303=0,0,IF(Inputs!$B$10="",0,COUNTIFS(Data!$Q$10:$Q$3209,"&gt;="&amp;$A303,Data!$Q$10:$Q$3209,"&lt;"&amp;$A303+1)))</f>
        <v/>
      </c>
    </row>
    <row r="304">
      <c r="A304" s="55">
        <f>MIN(Inputs!$C$15,$A303+IF(WEEKDAY($A303,2)=5,3,1))</f>
        <v/>
      </c>
      <c r="B304">
        <f>IF($A304&gt;$A303,1,0)</f>
        <v/>
      </c>
      <c r="C304" s="56">
        <f>IF($B304=0,"",IF(Inputs!$B$6="","",IF($AD304=0,C303,SUMIFS(Data!$B$10:$B$3209,Data!$A$10:$A$3209,"&gt;="&amp;$A304,Data!$A$10:$A$3209,"&lt;"&amp;$A304+1)/$AD304)))</f>
        <v/>
      </c>
      <c r="D304" s="56">
        <f>IF($B304=0,"",IF(Inputs!$B$7="","",IF($AE304=0,D303,SUMIFS(Data!$F$10:$F$3209,Data!$E$10:$E$3209,"&gt;="&amp;$A304,Data!$E$10:$E$3209,"&lt;"&amp;$A304+1)/$AE304)))</f>
        <v/>
      </c>
      <c r="E304" s="56">
        <f>IF($B304=0,"",IF(Inputs!$B$8="","",IF($AF304=0,E303,SUMIFS(Data!$J$10:$J$3209,Data!$I$10:$I$3209,"&gt;="&amp;$A304,Data!$I$10:$I$3209,"&lt;"&amp;$A304+1)/$AF304)))</f>
        <v/>
      </c>
      <c r="F304" s="56">
        <f>IF($B304=0,"",IF(Inputs!$B$9="","",IF($AG304=0,F303,SUMIFS(Data!$N$10:$N$3209,Data!$M$10:$M$3209,"&gt;="&amp;$A304,Data!$M$10:$M$3209,"&lt;"&amp;$A304+1)/$AG304)))</f>
        <v/>
      </c>
      <c r="G304" s="56">
        <f>IF($B304=0,"",IF(Inputs!$B$10="","",IF($AH304=0,G303,SUMIFS(Data!$R$10:$R$3209,Data!$Q$10:$Q$3209,"&gt;="&amp;$A304,Data!$Q$10:$Q$3209,"&lt;"&amp;$A304+1)/$AH304)))</f>
        <v/>
      </c>
      <c r="I304" s="54">
        <f>IF($B304=0,NA(),IF($C304="",NA(),IF(C$8="",NA(),IF(N(C$8)=0,NA(),IF(Inputs!$C$17="Rebased to 100",$C304/C$8*100,$C304)))))</f>
        <v/>
      </c>
      <c r="J304" s="54">
        <f>IF($B304=0,NA(),IF($D304="",NA(),IF(D$8="",NA(),IF(N(D$8)=0,NA(),IF(Inputs!$C$17="Rebased to 100",$D304/D$8*100,$D304)))))</f>
        <v/>
      </c>
      <c r="K304" s="54">
        <f>IF($B304=0,NA(),IF($E304="",NA(),IF(E$8="",NA(),IF(N(E$8)=0,NA(),IF(Inputs!$C$17="Rebased to 100",$E304/E$8*100,$E304)))))</f>
        <v/>
      </c>
      <c r="L304" s="54">
        <f>IF($B304=0,NA(),IF($F304="",NA(),IF(F$8="",NA(),IF(N(F$8)=0,NA(),IF(Inputs!$C$17="Rebased to 100",$F304/F$8*100,$F304)))))</f>
        <v/>
      </c>
      <c r="M304" s="54">
        <f>IF($B304=0,NA(),IF($G304="",NA(),IF(G$8="",NA(),IF(N(G$8)=0,NA(),IF(Inputs!$C$17="Rebased to 100",$G304/G$8*100,$G304)))))</f>
        <v/>
      </c>
      <c r="N304" s="54">
        <f>IF($B304=0,NA(),IF(Inputs!$C$18&lt;&gt;"Yes",NA(),IF(COUNT(I304,J304,K304,L304,M304)=0,NA(),MIN(I304,J304,K304,L304,M304))))</f>
        <v/>
      </c>
      <c r="O304" s="54">
        <f>IF($B304=0,NA(),IF(Inputs!$B$24&lt;&gt;"Yes",NA(),Inputs!$D$24*Inputs!$C$35))</f>
        <v/>
      </c>
      <c r="P304" s="54">
        <f>IF($B304=0,NA(),IF(Inputs!$B$25&lt;&gt;"Yes",NA(),Inputs!$D$25*Inputs!$C$35))</f>
        <v/>
      </c>
      <c r="Q304" s="54">
        <f>IF($B304=0,NA(),IF(Inputs!$B$26&lt;&gt;"Yes",NA(),Inputs!$D$26*Inputs!$C$35))</f>
        <v/>
      </c>
      <c r="R304" s="54">
        <f>IF($B304=0,NA(),IF(Inputs!$B$27&lt;&gt;"Yes",NA(),Inputs!$D$27*Inputs!$C$35))</f>
        <v/>
      </c>
      <c r="S304" s="54">
        <f>IF($B304=0,NA(),IF(Inputs!$B$28&lt;&gt;"Yes",NA(),Inputs!$D$28*Inputs!$C$35))</f>
        <v/>
      </c>
      <c r="T304" s="54">
        <f>IF($B304=0,NA(),IF(Inputs!$B$29&lt;&gt;"Yes",NA(),Inputs!$D$29*Inputs!$C$35))</f>
        <v/>
      </c>
      <c r="AD304">
        <f>IF($B304=0,0,IF(Inputs!$B$6="",0,COUNTIFS(Data!$A$10:$A$3209,"&gt;="&amp;$A304,Data!$A$10:$A$3209,"&lt;"&amp;$A304+1)))</f>
        <v/>
      </c>
      <c r="AE304">
        <f>IF($B304=0,0,IF(Inputs!$B$7="",0,COUNTIFS(Data!$E$10:$E$3209,"&gt;="&amp;$A304,Data!$E$10:$E$3209,"&lt;"&amp;$A304+1)))</f>
        <v/>
      </c>
      <c r="AF304">
        <f>IF($B304=0,0,IF(Inputs!$B$8="",0,COUNTIFS(Data!$I$10:$I$3209,"&gt;="&amp;$A304,Data!$I$10:$I$3209,"&lt;"&amp;$A304+1)))</f>
        <v/>
      </c>
      <c r="AG304">
        <f>IF($B304=0,0,IF(Inputs!$B$9="",0,COUNTIFS(Data!$M$10:$M$3209,"&gt;="&amp;$A304,Data!$M$10:$M$3209,"&lt;"&amp;$A304+1)))</f>
        <v/>
      </c>
      <c r="AH304">
        <f>IF($B304=0,0,IF(Inputs!$B$10="",0,COUNTIFS(Data!$Q$10:$Q$3209,"&gt;="&amp;$A304,Data!$Q$10:$Q$3209,"&lt;"&amp;$A304+1)))</f>
        <v/>
      </c>
    </row>
    <row r="305">
      <c r="A305" s="55">
        <f>MIN(Inputs!$C$15,$A304+IF(WEEKDAY($A304,2)=5,3,1))</f>
        <v/>
      </c>
      <c r="B305">
        <f>IF($A305&gt;$A304,1,0)</f>
        <v/>
      </c>
      <c r="C305" s="56">
        <f>IF($B305=0,"",IF(Inputs!$B$6="","",IF($AD305=0,C304,SUMIFS(Data!$B$10:$B$3209,Data!$A$10:$A$3209,"&gt;="&amp;$A305,Data!$A$10:$A$3209,"&lt;"&amp;$A305+1)/$AD305)))</f>
        <v/>
      </c>
      <c r="D305" s="56">
        <f>IF($B305=0,"",IF(Inputs!$B$7="","",IF($AE305=0,D304,SUMIFS(Data!$F$10:$F$3209,Data!$E$10:$E$3209,"&gt;="&amp;$A305,Data!$E$10:$E$3209,"&lt;"&amp;$A305+1)/$AE305)))</f>
        <v/>
      </c>
      <c r="E305" s="56">
        <f>IF($B305=0,"",IF(Inputs!$B$8="","",IF($AF305=0,E304,SUMIFS(Data!$J$10:$J$3209,Data!$I$10:$I$3209,"&gt;="&amp;$A305,Data!$I$10:$I$3209,"&lt;"&amp;$A305+1)/$AF305)))</f>
        <v/>
      </c>
      <c r="F305" s="56">
        <f>IF($B305=0,"",IF(Inputs!$B$9="","",IF($AG305=0,F304,SUMIFS(Data!$N$10:$N$3209,Data!$M$10:$M$3209,"&gt;="&amp;$A305,Data!$M$10:$M$3209,"&lt;"&amp;$A305+1)/$AG305)))</f>
        <v/>
      </c>
      <c r="G305" s="56">
        <f>IF($B305=0,"",IF(Inputs!$B$10="","",IF($AH305=0,G304,SUMIFS(Data!$R$10:$R$3209,Data!$Q$10:$Q$3209,"&gt;="&amp;$A305,Data!$Q$10:$Q$3209,"&lt;"&amp;$A305+1)/$AH305)))</f>
        <v/>
      </c>
      <c r="I305" s="54">
        <f>IF($B305=0,NA(),IF($C305="",NA(),IF(C$8="",NA(),IF(N(C$8)=0,NA(),IF(Inputs!$C$17="Rebased to 100",$C305/C$8*100,$C305)))))</f>
        <v/>
      </c>
      <c r="J305" s="54">
        <f>IF($B305=0,NA(),IF($D305="",NA(),IF(D$8="",NA(),IF(N(D$8)=0,NA(),IF(Inputs!$C$17="Rebased to 100",$D305/D$8*100,$D305)))))</f>
        <v/>
      </c>
      <c r="K305" s="54">
        <f>IF($B305=0,NA(),IF($E305="",NA(),IF(E$8="",NA(),IF(N(E$8)=0,NA(),IF(Inputs!$C$17="Rebased to 100",$E305/E$8*100,$E305)))))</f>
        <v/>
      </c>
      <c r="L305" s="54">
        <f>IF($B305=0,NA(),IF($F305="",NA(),IF(F$8="",NA(),IF(N(F$8)=0,NA(),IF(Inputs!$C$17="Rebased to 100",$F305/F$8*100,$F305)))))</f>
        <v/>
      </c>
      <c r="M305" s="54">
        <f>IF($B305=0,NA(),IF($G305="",NA(),IF(G$8="",NA(),IF(N(G$8)=0,NA(),IF(Inputs!$C$17="Rebased to 100",$G305/G$8*100,$G305)))))</f>
        <v/>
      </c>
      <c r="N305" s="54">
        <f>IF($B305=0,NA(),IF(Inputs!$C$18&lt;&gt;"Yes",NA(),IF(COUNT(I305,J305,K305,L305,M305)=0,NA(),MIN(I305,J305,K305,L305,M305))))</f>
        <v/>
      </c>
      <c r="O305" s="54">
        <f>IF($B305=0,NA(),IF(Inputs!$B$24&lt;&gt;"Yes",NA(),Inputs!$D$24*Inputs!$C$35))</f>
        <v/>
      </c>
      <c r="P305" s="54">
        <f>IF($B305=0,NA(),IF(Inputs!$B$25&lt;&gt;"Yes",NA(),Inputs!$D$25*Inputs!$C$35))</f>
        <v/>
      </c>
      <c r="Q305" s="54">
        <f>IF($B305=0,NA(),IF(Inputs!$B$26&lt;&gt;"Yes",NA(),Inputs!$D$26*Inputs!$C$35))</f>
        <v/>
      </c>
      <c r="R305" s="54">
        <f>IF($B305=0,NA(),IF(Inputs!$B$27&lt;&gt;"Yes",NA(),Inputs!$D$27*Inputs!$C$35))</f>
        <v/>
      </c>
      <c r="S305" s="54">
        <f>IF($B305=0,NA(),IF(Inputs!$B$28&lt;&gt;"Yes",NA(),Inputs!$D$28*Inputs!$C$35))</f>
        <v/>
      </c>
      <c r="T305" s="54">
        <f>IF($B305=0,NA(),IF(Inputs!$B$29&lt;&gt;"Yes",NA(),Inputs!$D$29*Inputs!$C$35))</f>
        <v/>
      </c>
      <c r="AD305">
        <f>IF($B305=0,0,IF(Inputs!$B$6="",0,COUNTIFS(Data!$A$10:$A$3209,"&gt;="&amp;$A305,Data!$A$10:$A$3209,"&lt;"&amp;$A305+1)))</f>
        <v/>
      </c>
      <c r="AE305">
        <f>IF($B305=0,0,IF(Inputs!$B$7="",0,COUNTIFS(Data!$E$10:$E$3209,"&gt;="&amp;$A305,Data!$E$10:$E$3209,"&lt;"&amp;$A305+1)))</f>
        <v/>
      </c>
      <c r="AF305">
        <f>IF($B305=0,0,IF(Inputs!$B$8="",0,COUNTIFS(Data!$I$10:$I$3209,"&gt;="&amp;$A305,Data!$I$10:$I$3209,"&lt;"&amp;$A305+1)))</f>
        <v/>
      </c>
      <c r="AG305">
        <f>IF($B305=0,0,IF(Inputs!$B$9="",0,COUNTIFS(Data!$M$10:$M$3209,"&gt;="&amp;$A305,Data!$M$10:$M$3209,"&lt;"&amp;$A305+1)))</f>
        <v/>
      </c>
      <c r="AH305">
        <f>IF($B305=0,0,IF(Inputs!$B$10="",0,COUNTIFS(Data!$Q$10:$Q$3209,"&gt;="&amp;$A305,Data!$Q$10:$Q$3209,"&lt;"&amp;$A305+1)))</f>
        <v/>
      </c>
    </row>
    <row r="306">
      <c r="A306" s="55">
        <f>MIN(Inputs!$C$15,$A305+IF(WEEKDAY($A305,2)=5,3,1))</f>
        <v/>
      </c>
      <c r="B306">
        <f>IF($A306&gt;$A305,1,0)</f>
        <v/>
      </c>
      <c r="C306" s="56">
        <f>IF($B306=0,"",IF(Inputs!$B$6="","",IF($AD306=0,C305,SUMIFS(Data!$B$10:$B$3209,Data!$A$10:$A$3209,"&gt;="&amp;$A306,Data!$A$10:$A$3209,"&lt;"&amp;$A306+1)/$AD306)))</f>
        <v/>
      </c>
      <c r="D306" s="56">
        <f>IF($B306=0,"",IF(Inputs!$B$7="","",IF($AE306=0,D305,SUMIFS(Data!$F$10:$F$3209,Data!$E$10:$E$3209,"&gt;="&amp;$A306,Data!$E$10:$E$3209,"&lt;"&amp;$A306+1)/$AE306)))</f>
        <v/>
      </c>
      <c r="E306" s="56">
        <f>IF($B306=0,"",IF(Inputs!$B$8="","",IF($AF306=0,E305,SUMIFS(Data!$J$10:$J$3209,Data!$I$10:$I$3209,"&gt;="&amp;$A306,Data!$I$10:$I$3209,"&lt;"&amp;$A306+1)/$AF306)))</f>
        <v/>
      </c>
      <c r="F306" s="56">
        <f>IF($B306=0,"",IF(Inputs!$B$9="","",IF($AG306=0,F305,SUMIFS(Data!$N$10:$N$3209,Data!$M$10:$M$3209,"&gt;="&amp;$A306,Data!$M$10:$M$3209,"&lt;"&amp;$A306+1)/$AG306)))</f>
        <v/>
      </c>
      <c r="G306" s="56">
        <f>IF($B306=0,"",IF(Inputs!$B$10="","",IF($AH306=0,G305,SUMIFS(Data!$R$10:$R$3209,Data!$Q$10:$Q$3209,"&gt;="&amp;$A306,Data!$Q$10:$Q$3209,"&lt;"&amp;$A306+1)/$AH306)))</f>
        <v/>
      </c>
      <c r="I306" s="54">
        <f>IF($B306=0,NA(),IF($C306="",NA(),IF(C$8="",NA(),IF(N(C$8)=0,NA(),IF(Inputs!$C$17="Rebased to 100",$C306/C$8*100,$C306)))))</f>
        <v/>
      </c>
      <c r="J306" s="54">
        <f>IF($B306=0,NA(),IF($D306="",NA(),IF(D$8="",NA(),IF(N(D$8)=0,NA(),IF(Inputs!$C$17="Rebased to 100",$D306/D$8*100,$D306)))))</f>
        <v/>
      </c>
      <c r="K306" s="54">
        <f>IF($B306=0,NA(),IF($E306="",NA(),IF(E$8="",NA(),IF(N(E$8)=0,NA(),IF(Inputs!$C$17="Rebased to 100",$E306/E$8*100,$E306)))))</f>
        <v/>
      </c>
      <c r="L306" s="54">
        <f>IF($B306=0,NA(),IF($F306="",NA(),IF(F$8="",NA(),IF(N(F$8)=0,NA(),IF(Inputs!$C$17="Rebased to 100",$F306/F$8*100,$F306)))))</f>
        <v/>
      </c>
      <c r="M306" s="54">
        <f>IF($B306=0,NA(),IF($G306="",NA(),IF(G$8="",NA(),IF(N(G$8)=0,NA(),IF(Inputs!$C$17="Rebased to 100",$G306/G$8*100,$G306)))))</f>
        <v/>
      </c>
      <c r="N306" s="54">
        <f>IF($B306=0,NA(),IF(Inputs!$C$18&lt;&gt;"Yes",NA(),IF(COUNT(I306,J306,K306,L306,M306)=0,NA(),MIN(I306,J306,K306,L306,M306))))</f>
        <v/>
      </c>
      <c r="O306" s="54">
        <f>IF($B306=0,NA(),IF(Inputs!$B$24&lt;&gt;"Yes",NA(),Inputs!$D$24*Inputs!$C$35))</f>
        <v/>
      </c>
      <c r="P306" s="54">
        <f>IF($B306=0,NA(),IF(Inputs!$B$25&lt;&gt;"Yes",NA(),Inputs!$D$25*Inputs!$C$35))</f>
        <v/>
      </c>
      <c r="Q306" s="54">
        <f>IF($B306=0,NA(),IF(Inputs!$B$26&lt;&gt;"Yes",NA(),Inputs!$D$26*Inputs!$C$35))</f>
        <v/>
      </c>
      <c r="R306" s="54">
        <f>IF($B306=0,NA(),IF(Inputs!$B$27&lt;&gt;"Yes",NA(),Inputs!$D$27*Inputs!$C$35))</f>
        <v/>
      </c>
      <c r="S306" s="54">
        <f>IF($B306=0,NA(),IF(Inputs!$B$28&lt;&gt;"Yes",NA(),Inputs!$D$28*Inputs!$C$35))</f>
        <v/>
      </c>
      <c r="T306" s="54">
        <f>IF($B306=0,NA(),IF(Inputs!$B$29&lt;&gt;"Yes",NA(),Inputs!$D$29*Inputs!$C$35))</f>
        <v/>
      </c>
      <c r="AD306">
        <f>IF($B306=0,0,IF(Inputs!$B$6="",0,COUNTIFS(Data!$A$10:$A$3209,"&gt;="&amp;$A306,Data!$A$10:$A$3209,"&lt;"&amp;$A306+1)))</f>
        <v/>
      </c>
      <c r="AE306">
        <f>IF($B306=0,0,IF(Inputs!$B$7="",0,COUNTIFS(Data!$E$10:$E$3209,"&gt;="&amp;$A306,Data!$E$10:$E$3209,"&lt;"&amp;$A306+1)))</f>
        <v/>
      </c>
      <c r="AF306">
        <f>IF($B306=0,0,IF(Inputs!$B$8="",0,COUNTIFS(Data!$I$10:$I$3209,"&gt;="&amp;$A306,Data!$I$10:$I$3209,"&lt;"&amp;$A306+1)))</f>
        <v/>
      </c>
      <c r="AG306">
        <f>IF($B306=0,0,IF(Inputs!$B$9="",0,COUNTIFS(Data!$M$10:$M$3209,"&gt;="&amp;$A306,Data!$M$10:$M$3209,"&lt;"&amp;$A306+1)))</f>
        <v/>
      </c>
      <c r="AH306">
        <f>IF($B306=0,0,IF(Inputs!$B$10="",0,COUNTIFS(Data!$Q$10:$Q$3209,"&gt;="&amp;$A306,Data!$Q$10:$Q$3209,"&lt;"&amp;$A306+1)))</f>
        <v/>
      </c>
    </row>
    <row r="307">
      <c r="A307" s="55">
        <f>MIN(Inputs!$C$15,$A306+IF(WEEKDAY($A306,2)=5,3,1))</f>
        <v/>
      </c>
      <c r="B307">
        <f>IF($A307&gt;$A306,1,0)</f>
        <v/>
      </c>
      <c r="C307" s="56">
        <f>IF($B307=0,"",IF(Inputs!$B$6="","",IF($AD307=0,C306,SUMIFS(Data!$B$10:$B$3209,Data!$A$10:$A$3209,"&gt;="&amp;$A307,Data!$A$10:$A$3209,"&lt;"&amp;$A307+1)/$AD307)))</f>
        <v/>
      </c>
      <c r="D307" s="56">
        <f>IF($B307=0,"",IF(Inputs!$B$7="","",IF($AE307=0,D306,SUMIFS(Data!$F$10:$F$3209,Data!$E$10:$E$3209,"&gt;="&amp;$A307,Data!$E$10:$E$3209,"&lt;"&amp;$A307+1)/$AE307)))</f>
        <v/>
      </c>
      <c r="E307" s="56">
        <f>IF($B307=0,"",IF(Inputs!$B$8="","",IF($AF307=0,E306,SUMIFS(Data!$J$10:$J$3209,Data!$I$10:$I$3209,"&gt;="&amp;$A307,Data!$I$10:$I$3209,"&lt;"&amp;$A307+1)/$AF307)))</f>
        <v/>
      </c>
      <c r="F307" s="56">
        <f>IF($B307=0,"",IF(Inputs!$B$9="","",IF($AG307=0,F306,SUMIFS(Data!$N$10:$N$3209,Data!$M$10:$M$3209,"&gt;="&amp;$A307,Data!$M$10:$M$3209,"&lt;"&amp;$A307+1)/$AG307)))</f>
        <v/>
      </c>
      <c r="G307" s="56">
        <f>IF($B307=0,"",IF(Inputs!$B$10="","",IF($AH307=0,G306,SUMIFS(Data!$R$10:$R$3209,Data!$Q$10:$Q$3209,"&gt;="&amp;$A307,Data!$Q$10:$Q$3209,"&lt;"&amp;$A307+1)/$AH307)))</f>
        <v/>
      </c>
      <c r="I307" s="54">
        <f>IF($B307=0,NA(),IF($C307="",NA(),IF(C$8="",NA(),IF(N(C$8)=0,NA(),IF(Inputs!$C$17="Rebased to 100",$C307/C$8*100,$C307)))))</f>
        <v/>
      </c>
      <c r="J307" s="54">
        <f>IF($B307=0,NA(),IF($D307="",NA(),IF(D$8="",NA(),IF(N(D$8)=0,NA(),IF(Inputs!$C$17="Rebased to 100",$D307/D$8*100,$D307)))))</f>
        <v/>
      </c>
      <c r="K307" s="54">
        <f>IF($B307=0,NA(),IF($E307="",NA(),IF(E$8="",NA(),IF(N(E$8)=0,NA(),IF(Inputs!$C$17="Rebased to 100",$E307/E$8*100,$E307)))))</f>
        <v/>
      </c>
      <c r="L307" s="54">
        <f>IF($B307=0,NA(),IF($F307="",NA(),IF(F$8="",NA(),IF(N(F$8)=0,NA(),IF(Inputs!$C$17="Rebased to 100",$F307/F$8*100,$F307)))))</f>
        <v/>
      </c>
      <c r="M307" s="54">
        <f>IF($B307=0,NA(),IF($G307="",NA(),IF(G$8="",NA(),IF(N(G$8)=0,NA(),IF(Inputs!$C$17="Rebased to 100",$G307/G$8*100,$G307)))))</f>
        <v/>
      </c>
      <c r="N307" s="54">
        <f>IF($B307=0,NA(),IF(Inputs!$C$18&lt;&gt;"Yes",NA(),IF(COUNT(I307,J307,K307,L307,M307)=0,NA(),MIN(I307,J307,K307,L307,M307))))</f>
        <v/>
      </c>
      <c r="O307" s="54">
        <f>IF($B307=0,NA(),IF(Inputs!$B$24&lt;&gt;"Yes",NA(),Inputs!$D$24*Inputs!$C$35))</f>
        <v/>
      </c>
      <c r="P307" s="54">
        <f>IF($B307=0,NA(),IF(Inputs!$B$25&lt;&gt;"Yes",NA(),Inputs!$D$25*Inputs!$C$35))</f>
        <v/>
      </c>
      <c r="Q307" s="54">
        <f>IF($B307=0,NA(),IF(Inputs!$B$26&lt;&gt;"Yes",NA(),Inputs!$D$26*Inputs!$C$35))</f>
        <v/>
      </c>
      <c r="R307" s="54">
        <f>IF($B307=0,NA(),IF(Inputs!$B$27&lt;&gt;"Yes",NA(),Inputs!$D$27*Inputs!$C$35))</f>
        <v/>
      </c>
      <c r="S307" s="54">
        <f>IF($B307=0,NA(),IF(Inputs!$B$28&lt;&gt;"Yes",NA(),Inputs!$D$28*Inputs!$C$35))</f>
        <v/>
      </c>
      <c r="T307" s="54">
        <f>IF($B307=0,NA(),IF(Inputs!$B$29&lt;&gt;"Yes",NA(),Inputs!$D$29*Inputs!$C$35))</f>
        <v/>
      </c>
      <c r="AD307">
        <f>IF($B307=0,0,IF(Inputs!$B$6="",0,COUNTIFS(Data!$A$10:$A$3209,"&gt;="&amp;$A307,Data!$A$10:$A$3209,"&lt;"&amp;$A307+1)))</f>
        <v/>
      </c>
      <c r="AE307">
        <f>IF($B307=0,0,IF(Inputs!$B$7="",0,COUNTIFS(Data!$E$10:$E$3209,"&gt;="&amp;$A307,Data!$E$10:$E$3209,"&lt;"&amp;$A307+1)))</f>
        <v/>
      </c>
      <c r="AF307">
        <f>IF($B307=0,0,IF(Inputs!$B$8="",0,COUNTIFS(Data!$I$10:$I$3209,"&gt;="&amp;$A307,Data!$I$10:$I$3209,"&lt;"&amp;$A307+1)))</f>
        <v/>
      </c>
      <c r="AG307">
        <f>IF($B307=0,0,IF(Inputs!$B$9="",0,COUNTIFS(Data!$M$10:$M$3209,"&gt;="&amp;$A307,Data!$M$10:$M$3209,"&lt;"&amp;$A307+1)))</f>
        <v/>
      </c>
      <c r="AH307">
        <f>IF($B307=0,0,IF(Inputs!$B$10="",0,COUNTIFS(Data!$Q$10:$Q$3209,"&gt;="&amp;$A307,Data!$Q$10:$Q$3209,"&lt;"&amp;$A307+1)))</f>
        <v/>
      </c>
    </row>
    <row r="308">
      <c r="A308" s="55">
        <f>MIN(Inputs!$C$15,$A307+IF(WEEKDAY($A307,2)=5,3,1))</f>
        <v/>
      </c>
      <c r="B308">
        <f>IF($A308&gt;$A307,1,0)</f>
        <v/>
      </c>
      <c r="C308" s="56">
        <f>IF($B308=0,"",IF(Inputs!$B$6="","",IF($AD308=0,C307,SUMIFS(Data!$B$10:$B$3209,Data!$A$10:$A$3209,"&gt;="&amp;$A308,Data!$A$10:$A$3209,"&lt;"&amp;$A308+1)/$AD308)))</f>
        <v/>
      </c>
      <c r="D308" s="56">
        <f>IF($B308=0,"",IF(Inputs!$B$7="","",IF($AE308=0,D307,SUMIFS(Data!$F$10:$F$3209,Data!$E$10:$E$3209,"&gt;="&amp;$A308,Data!$E$10:$E$3209,"&lt;"&amp;$A308+1)/$AE308)))</f>
        <v/>
      </c>
      <c r="E308" s="56">
        <f>IF($B308=0,"",IF(Inputs!$B$8="","",IF($AF308=0,E307,SUMIFS(Data!$J$10:$J$3209,Data!$I$10:$I$3209,"&gt;="&amp;$A308,Data!$I$10:$I$3209,"&lt;"&amp;$A308+1)/$AF308)))</f>
        <v/>
      </c>
      <c r="F308" s="56">
        <f>IF($B308=0,"",IF(Inputs!$B$9="","",IF($AG308=0,F307,SUMIFS(Data!$N$10:$N$3209,Data!$M$10:$M$3209,"&gt;="&amp;$A308,Data!$M$10:$M$3209,"&lt;"&amp;$A308+1)/$AG308)))</f>
        <v/>
      </c>
      <c r="G308" s="56">
        <f>IF($B308=0,"",IF(Inputs!$B$10="","",IF($AH308=0,G307,SUMIFS(Data!$R$10:$R$3209,Data!$Q$10:$Q$3209,"&gt;="&amp;$A308,Data!$Q$10:$Q$3209,"&lt;"&amp;$A308+1)/$AH308)))</f>
        <v/>
      </c>
      <c r="I308" s="54">
        <f>IF($B308=0,NA(),IF($C308="",NA(),IF(C$8="",NA(),IF(N(C$8)=0,NA(),IF(Inputs!$C$17="Rebased to 100",$C308/C$8*100,$C308)))))</f>
        <v/>
      </c>
      <c r="J308" s="54">
        <f>IF($B308=0,NA(),IF($D308="",NA(),IF(D$8="",NA(),IF(N(D$8)=0,NA(),IF(Inputs!$C$17="Rebased to 100",$D308/D$8*100,$D308)))))</f>
        <v/>
      </c>
      <c r="K308" s="54">
        <f>IF($B308=0,NA(),IF($E308="",NA(),IF(E$8="",NA(),IF(N(E$8)=0,NA(),IF(Inputs!$C$17="Rebased to 100",$E308/E$8*100,$E308)))))</f>
        <v/>
      </c>
      <c r="L308" s="54">
        <f>IF($B308=0,NA(),IF($F308="",NA(),IF(F$8="",NA(),IF(N(F$8)=0,NA(),IF(Inputs!$C$17="Rebased to 100",$F308/F$8*100,$F308)))))</f>
        <v/>
      </c>
      <c r="M308" s="54">
        <f>IF($B308=0,NA(),IF($G308="",NA(),IF(G$8="",NA(),IF(N(G$8)=0,NA(),IF(Inputs!$C$17="Rebased to 100",$G308/G$8*100,$G308)))))</f>
        <v/>
      </c>
      <c r="N308" s="54">
        <f>IF($B308=0,NA(),IF(Inputs!$C$18&lt;&gt;"Yes",NA(),IF(COUNT(I308,J308,K308,L308,M308)=0,NA(),MIN(I308,J308,K308,L308,M308))))</f>
        <v/>
      </c>
      <c r="O308" s="54">
        <f>IF($B308=0,NA(),IF(Inputs!$B$24&lt;&gt;"Yes",NA(),Inputs!$D$24*Inputs!$C$35))</f>
        <v/>
      </c>
      <c r="P308" s="54">
        <f>IF($B308=0,NA(),IF(Inputs!$B$25&lt;&gt;"Yes",NA(),Inputs!$D$25*Inputs!$C$35))</f>
        <v/>
      </c>
      <c r="Q308" s="54">
        <f>IF($B308=0,NA(),IF(Inputs!$B$26&lt;&gt;"Yes",NA(),Inputs!$D$26*Inputs!$C$35))</f>
        <v/>
      </c>
      <c r="R308" s="54">
        <f>IF($B308=0,NA(),IF(Inputs!$B$27&lt;&gt;"Yes",NA(),Inputs!$D$27*Inputs!$C$35))</f>
        <v/>
      </c>
      <c r="S308" s="54">
        <f>IF($B308=0,NA(),IF(Inputs!$B$28&lt;&gt;"Yes",NA(),Inputs!$D$28*Inputs!$C$35))</f>
        <v/>
      </c>
      <c r="T308" s="54">
        <f>IF($B308=0,NA(),IF(Inputs!$B$29&lt;&gt;"Yes",NA(),Inputs!$D$29*Inputs!$C$35))</f>
        <v/>
      </c>
      <c r="AD308">
        <f>IF($B308=0,0,IF(Inputs!$B$6="",0,COUNTIFS(Data!$A$10:$A$3209,"&gt;="&amp;$A308,Data!$A$10:$A$3209,"&lt;"&amp;$A308+1)))</f>
        <v/>
      </c>
      <c r="AE308">
        <f>IF($B308=0,0,IF(Inputs!$B$7="",0,COUNTIFS(Data!$E$10:$E$3209,"&gt;="&amp;$A308,Data!$E$10:$E$3209,"&lt;"&amp;$A308+1)))</f>
        <v/>
      </c>
      <c r="AF308">
        <f>IF($B308=0,0,IF(Inputs!$B$8="",0,COUNTIFS(Data!$I$10:$I$3209,"&gt;="&amp;$A308,Data!$I$10:$I$3209,"&lt;"&amp;$A308+1)))</f>
        <v/>
      </c>
      <c r="AG308">
        <f>IF($B308=0,0,IF(Inputs!$B$9="",0,COUNTIFS(Data!$M$10:$M$3209,"&gt;="&amp;$A308,Data!$M$10:$M$3209,"&lt;"&amp;$A308+1)))</f>
        <v/>
      </c>
      <c r="AH308">
        <f>IF($B308=0,0,IF(Inputs!$B$10="",0,COUNTIFS(Data!$Q$10:$Q$3209,"&gt;="&amp;$A308,Data!$Q$10:$Q$3209,"&lt;"&amp;$A308+1)))</f>
        <v/>
      </c>
    </row>
    <row r="309">
      <c r="A309" s="55">
        <f>MIN(Inputs!$C$15,$A308+IF(WEEKDAY($A308,2)=5,3,1))</f>
        <v/>
      </c>
      <c r="B309">
        <f>IF($A309&gt;$A308,1,0)</f>
        <v/>
      </c>
      <c r="C309" s="56">
        <f>IF($B309=0,"",IF(Inputs!$B$6="","",IF($AD309=0,C308,SUMIFS(Data!$B$10:$B$3209,Data!$A$10:$A$3209,"&gt;="&amp;$A309,Data!$A$10:$A$3209,"&lt;"&amp;$A309+1)/$AD309)))</f>
        <v/>
      </c>
      <c r="D309" s="56">
        <f>IF($B309=0,"",IF(Inputs!$B$7="","",IF($AE309=0,D308,SUMIFS(Data!$F$10:$F$3209,Data!$E$10:$E$3209,"&gt;="&amp;$A309,Data!$E$10:$E$3209,"&lt;"&amp;$A309+1)/$AE309)))</f>
        <v/>
      </c>
      <c r="E309" s="56">
        <f>IF($B309=0,"",IF(Inputs!$B$8="","",IF($AF309=0,E308,SUMIFS(Data!$J$10:$J$3209,Data!$I$10:$I$3209,"&gt;="&amp;$A309,Data!$I$10:$I$3209,"&lt;"&amp;$A309+1)/$AF309)))</f>
        <v/>
      </c>
      <c r="F309" s="56">
        <f>IF($B309=0,"",IF(Inputs!$B$9="","",IF($AG309=0,F308,SUMIFS(Data!$N$10:$N$3209,Data!$M$10:$M$3209,"&gt;="&amp;$A309,Data!$M$10:$M$3209,"&lt;"&amp;$A309+1)/$AG309)))</f>
        <v/>
      </c>
      <c r="G309" s="56">
        <f>IF($B309=0,"",IF(Inputs!$B$10="","",IF($AH309=0,G308,SUMIFS(Data!$R$10:$R$3209,Data!$Q$10:$Q$3209,"&gt;="&amp;$A309,Data!$Q$10:$Q$3209,"&lt;"&amp;$A309+1)/$AH309)))</f>
        <v/>
      </c>
      <c r="I309" s="54">
        <f>IF($B309=0,NA(),IF($C309="",NA(),IF(C$8="",NA(),IF(N(C$8)=0,NA(),IF(Inputs!$C$17="Rebased to 100",$C309/C$8*100,$C309)))))</f>
        <v/>
      </c>
      <c r="J309" s="54">
        <f>IF($B309=0,NA(),IF($D309="",NA(),IF(D$8="",NA(),IF(N(D$8)=0,NA(),IF(Inputs!$C$17="Rebased to 100",$D309/D$8*100,$D309)))))</f>
        <v/>
      </c>
      <c r="K309" s="54">
        <f>IF($B309=0,NA(),IF($E309="",NA(),IF(E$8="",NA(),IF(N(E$8)=0,NA(),IF(Inputs!$C$17="Rebased to 100",$E309/E$8*100,$E309)))))</f>
        <v/>
      </c>
      <c r="L309" s="54">
        <f>IF($B309=0,NA(),IF($F309="",NA(),IF(F$8="",NA(),IF(N(F$8)=0,NA(),IF(Inputs!$C$17="Rebased to 100",$F309/F$8*100,$F309)))))</f>
        <v/>
      </c>
      <c r="M309" s="54">
        <f>IF($B309=0,NA(),IF($G309="",NA(),IF(G$8="",NA(),IF(N(G$8)=0,NA(),IF(Inputs!$C$17="Rebased to 100",$G309/G$8*100,$G309)))))</f>
        <v/>
      </c>
      <c r="N309" s="54">
        <f>IF($B309=0,NA(),IF(Inputs!$C$18&lt;&gt;"Yes",NA(),IF(COUNT(I309,J309,K309,L309,M309)=0,NA(),MIN(I309,J309,K309,L309,M309))))</f>
        <v/>
      </c>
      <c r="O309" s="54">
        <f>IF($B309=0,NA(),IF(Inputs!$B$24&lt;&gt;"Yes",NA(),Inputs!$D$24*Inputs!$C$35))</f>
        <v/>
      </c>
      <c r="P309" s="54">
        <f>IF($B309=0,NA(),IF(Inputs!$B$25&lt;&gt;"Yes",NA(),Inputs!$D$25*Inputs!$C$35))</f>
        <v/>
      </c>
      <c r="Q309" s="54">
        <f>IF($B309=0,NA(),IF(Inputs!$B$26&lt;&gt;"Yes",NA(),Inputs!$D$26*Inputs!$C$35))</f>
        <v/>
      </c>
      <c r="R309" s="54">
        <f>IF($B309=0,NA(),IF(Inputs!$B$27&lt;&gt;"Yes",NA(),Inputs!$D$27*Inputs!$C$35))</f>
        <v/>
      </c>
      <c r="S309" s="54">
        <f>IF($B309=0,NA(),IF(Inputs!$B$28&lt;&gt;"Yes",NA(),Inputs!$D$28*Inputs!$C$35))</f>
        <v/>
      </c>
      <c r="T309" s="54">
        <f>IF($B309=0,NA(),IF(Inputs!$B$29&lt;&gt;"Yes",NA(),Inputs!$D$29*Inputs!$C$35))</f>
        <v/>
      </c>
      <c r="AD309">
        <f>IF($B309=0,0,IF(Inputs!$B$6="",0,COUNTIFS(Data!$A$10:$A$3209,"&gt;="&amp;$A309,Data!$A$10:$A$3209,"&lt;"&amp;$A309+1)))</f>
        <v/>
      </c>
      <c r="AE309">
        <f>IF($B309=0,0,IF(Inputs!$B$7="",0,COUNTIFS(Data!$E$10:$E$3209,"&gt;="&amp;$A309,Data!$E$10:$E$3209,"&lt;"&amp;$A309+1)))</f>
        <v/>
      </c>
      <c r="AF309">
        <f>IF($B309=0,0,IF(Inputs!$B$8="",0,COUNTIFS(Data!$I$10:$I$3209,"&gt;="&amp;$A309,Data!$I$10:$I$3209,"&lt;"&amp;$A309+1)))</f>
        <v/>
      </c>
      <c r="AG309">
        <f>IF($B309=0,0,IF(Inputs!$B$9="",0,COUNTIFS(Data!$M$10:$M$3209,"&gt;="&amp;$A309,Data!$M$10:$M$3209,"&lt;"&amp;$A309+1)))</f>
        <v/>
      </c>
      <c r="AH309">
        <f>IF($B309=0,0,IF(Inputs!$B$10="",0,COUNTIFS(Data!$Q$10:$Q$3209,"&gt;="&amp;$A309,Data!$Q$10:$Q$3209,"&lt;"&amp;$A309+1)))</f>
        <v/>
      </c>
    </row>
    <row r="310">
      <c r="A310" s="55">
        <f>MIN(Inputs!$C$15,$A309+IF(WEEKDAY($A309,2)=5,3,1))</f>
        <v/>
      </c>
      <c r="B310">
        <f>IF($A310&gt;$A309,1,0)</f>
        <v/>
      </c>
      <c r="C310" s="56">
        <f>IF($B310=0,"",IF(Inputs!$B$6="","",IF($AD310=0,C309,SUMIFS(Data!$B$10:$B$3209,Data!$A$10:$A$3209,"&gt;="&amp;$A310,Data!$A$10:$A$3209,"&lt;"&amp;$A310+1)/$AD310)))</f>
        <v/>
      </c>
      <c r="D310" s="56">
        <f>IF($B310=0,"",IF(Inputs!$B$7="","",IF($AE310=0,D309,SUMIFS(Data!$F$10:$F$3209,Data!$E$10:$E$3209,"&gt;="&amp;$A310,Data!$E$10:$E$3209,"&lt;"&amp;$A310+1)/$AE310)))</f>
        <v/>
      </c>
      <c r="E310" s="56">
        <f>IF($B310=0,"",IF(Inputs!$B$8="","",IF($AF310=0,E309,SUMIFS(Data!$J$10:$J$3209,Data!$I$10:$I$3209,"&gt;="&amp;$A310,Data!$I$10:$I$3209,"&lt;"&amp;$A310+1)/$AF310)))</f>
        <v/>
      </c>
      <c r="F310" s="56">
        <f>IF($B310=0,"",IF(Inputs!$B$9="","",IF($AG310=0,F309,SUMIFS(Data!$N$10:$N$3209,Data!$M$10:$M$3209,"&gt;="&amp;$A310,Data!$M$10:$M$3209,"&lt;"&amp;$A310+1)/$AG310)))</f>
        <v/>
      </c>
      <c r="G310" s="56">
        <f>IF($B310=0,"",IF(Inputs!$B$10="","",IF($AH310=0,G309,SUMIFS(Data!$R$10:$R$3209,Data!$Q$10:$Q$3209,"&gt;="&amp;$A310,Data!$Q$10:$Q$3209,"&lt;"&amp;$A310+1)/$AH310)))</f>
        <v/>
      </c>
      <c r="I310" s="54">
        <f>IF($B310=0,NA(),IF($C310="",NA(),IF(C$8="",NA(),IF(N(C$8)=0,NA(),IF(Inputs!$C$17="Rebased to 100",$C310/C$8*100,$C310)))))</f>
        <v/>
      </c>
      <c r="J310" s="54">
        <f>IF($B310=0,NA(),IF($D310="",NA(),IF(D$8="",NA(),IF(N(D$8)=0,NA(),IF(Inputs!$C$17="Rebased to 100",$D310/D$8*100,$D310)))))</f>
        <v/>
      </c>
      <c r="K310" s="54">
        <f>IF($B310=0,NA(),IF($E310="",NA(),IF(E$8="",NA(),IF(N(E$8)=0,NA(),IF(Inputs!$C$17="Rebased to 100",$E310/E$8*100,$E310)))))</f>
        <v/>
      </c>
      <c r="L310" s="54">
        <f>IF($B310=0,NA(),IF($F310="",NA(),IF(F$8="",NA(),IF(N(F$8)=0,NA(),IF(Inputs!$C$17="Rebased to 100",$F310/F$8*100,$F310)))))</f>
        <v/>
      </c>
      <c r="M310" s="54">
        <f>IF($B310=0,NA(),IF($G310="",NA(),IF(G$8="",NA(),IF(N(G$8)=0,NA(),IF(Inputs!$C$17="Rebased to 100",$G310/G$8*100,$G310)))))</f>
        <v/>
      </c>
      <c r="N310" s="54">
        <f>IF($B310=0,NA(),IF(Inputs!$C$18&lt;&gt;"Yes",NA(),IF(COUNT(I310,J310,K310,L310,M310)=0,NA(),MIN(I310,J310,K310,L310,M310))))</f>
        <v/>
      </c>
      <c r="O310" s="54">
        <f>IF($B310=0,NA(),IF(Inputs!$B$24&lt;&gt;"Yes",NA(),Inputs!$D$24*Inputs!$C$35))</f>
        <v/>
      </c>
      <c r="P310" s="54">
        <f>IF($B310=0,NA(),IF(Inputs!$B$25&lt;&gt;"Yes",NA(),Inputs!$D$25*Inputs!$C$35))</f>
        <v/>
      </c>
      <c r="Q310" s="54">
        <f>IF($B310=0,NA(),IF(Inputs!$B$26&lt;&gt;"Yes",NA(),Inputs!$D$26*Inputs!$C$35))</f>
        <v/>
      </c>
      <c r="R310" s="54">
        <f>IF($B310=0,NA(),IF(Inputs!$B$27&lt;&gt;"Yes",NA(),Inputs!$D$27*Inputs!$C$35))</f>
        <v/>
      </c>
      <c r="S310" s="54">
        <f>IF($B310=0,NA(),IF(Inputs!$B$28&lt;&gt;"Yes",NA(),Inputs!$D$28*Inputs!$C$35))</f>
        <v/>
      </c>
      <c r="T310" s="54">
        <f>IF($B310=0,NA(),IF(Inputs!$B$29&lt;&gt;"Yes",NA(),Inputs!$D$29*Inputs!$C$35))</f>
        <v/>
      </c>
      <c r="AD310">
        <f>IF($B310=0,0,IF(Inputs!$B$6="",0,COUNTIFS(Data!$A$10:$A$3209,"&gt;="&amp;$A310,Data!$A$10:$A$3209,"&lt;"&amp;$A310+1)))</f>
        <v/>
      </c>
      <c r="AE310">
        <f>IF($B310=0,0,IF(Inputs!$B$7="",0,COUNTIFS(Data!$E$10:$E$3209,"&gt;="&amp;$A310,Data!$E$10:$E$3209,"&lt;"&amp;$A310+1)))</f>
        <v/>
      </c>
      <c r="AF310">
        <f>IF($B310=0,0,IF(Inputs!$B$8="",0,COUNTIFS(Data!$I$10:$I$3209,"&gt;="&amp;$A310,Data!$I$10:$I$3209,"&lt;"&amp;$A310+1)))</f>
        <v/>
      </c>
      <c r="AG310">
        <f>IF($B310=0,0,IF(Inputs!$B$9="",0,COUNTIFS(Data!$M$10:$M$3209,"&gt;="&amp;$A310,Data!$M$10:$M$3209,"&lt;"&amp;$A310+1)))</f>
        <v/>
      </c>
      <c r="AH310">
        <f>IF($B310=0,0,IF(Inputs!$B$10="",0,COUNTIFS(Data!$Q$10:$Q$3209,"&gt;="&amp;$A310,Data!$Q$10:$Q$3209,"&lt;"&amp;$A310+1)))</f>
        <v/>
      </c>
    </row>
    <row r="311">
      <c r="A311" s="55">
        <f>MIN(Inputs!$C$15,$A310+IF(WEEKDAY($A310,2)=5,3,1))</f>
        <v/>
      </c>
      <c r="B311">
        <f>IF($A311&gt;$A310,1,0)</f>
        <v/>
      </c>
      <c r="C311" s="56">
        <f>IF($B311=0,"",IF(Inputs!$B$6="","",IF($AD311=0,C310,SUMIFS(Data!$B$10:$B$3209,Data!$A$10:$A$3209,"&gt;="&amp;$A311,Data!$A$10:$A$3209,"&lt;"&amp;$A311+1)/$AD311)))</f>
        <v/>
      </c>
      <c r="D311" s="56">
        <f>IF($B311=0,"",IF(Inputs!$B$7="","",IF($AE311=0,D310,SUMIFS(Data!$F$10:$F$3209,Data!$E$10:$E$3209,"&gt;="&amp;$A311,Data!$E$10:$E$3209,"&lt;"&amp;$A311+1)/$AE311)))</f>
        <v/>
      </c>
      <c r="E311" s="56">
        <f>IF($B311=0,"",IF(Inputs!$B$8="","",IF($AF311=0,E310,SUMIFS(Data!$J$10:$J$3209,Data!$I$10:$I$3209,"&gt;="&amp;$A311,Data!$I$10:$I$3209,"&lt;"&amp;$A311+1)/$AF311)))</f>
        <v/>
      </c>
      <c r="F311" s="56">
        <f>IF($B311=0,"",IF(Inputs!$B$9="","",IF($AG311=0,F310,SUMIFS(Data!$N$10:$N$3209,Data!$M$10:$M$3209,"&gt;="&amp;$A311,Data!$M$10:$M$3209,"&lt;"&amp;$A311+1)/$AG311)))</f>
        <v/>
      </c>
      <c r="G311" s="56">
        <f>IF($B311=0,"",IF(Inputs!$B$10="","",IF($AH311=0,G310,SUMIFS(Data!$R$10:$R$3209,Data!$Q$10:$Q$3209,"&gt;="&amp;$A311,Data!$Q$10:$Q$3209,"&lt;"&amp;$A311+1)/$AH311)))</f>
        <v/>
      </c>
      <c r="I311" s="54">
        <f>IF($B311=0,NA(),IF($C311="",NA(),IF(C$8="",NA(),IF(N(C$8)=0,NA(),IF(Inputs!$C$17="Rebased to 100",$C311/C$8*100,$C311)))))</f>
        <v/>
      </c>
      <c r="J311" s="54">
        <f>IF($B311=0,NA(),IF($D311="",NA(),IF(D$8="",NA(),IF(N(D$8)=0,NA(),IF(Inputs!$C$17="Rebased to 100",$D311/D$8*100,$D311)))))</f>
        <v/>
      </c>
      <c r="K311" s="54">
        <f>IF($B311=0,NA(),IF($E311="",NA(),IF(E$8="",NA(),IF(N(E$8)=0,NA(),IF(Inputs!$C$17="Rebased to 100",$E311/E$8*100,$E311)))))</f>
        <v/>
      </c>
      <c r="L311" s="54">
        <f>IF($B311=0,NA(),IF($F311="",NA(),IF(F$8="",NA(),IF(N(F$8)=0,NA(),IF(Inputs!$C$17="Rebased to 100",$F311/F$8*100,$F311)))))</f>
        <v/>
      </c>
      <c r="M311" s="54">
        <f>IF($B311=0,NA(),IF($G311="",NA(),IF(G$8="",NA(),IF(N(G$8)=0,NA(),IF(Inputs!$C$17="Rebased to 100",$G311/G$8*100,$G311)))))</f>
        <v/>
      </c>
      <c r="N311" s="54">
        <f>IF($B311=0,NA(),IF(Inputs!$C$18&lt;&gt;"Yes",NA(),IF(COUNT(I311,J311,K311,L311,M311)=0,NA(),MIN(I311,J311,K311,L311,M311))))</f>
        <v/>
      </c>
      <c r="O311" s="54">
        <f>IF($B311=0,NA(),IF(Inputs!$B$24&lt;&gt;"Yes",NA(),Inputs!$D$24*Inputs!$C$35))</f>
        <v/>
      </c>
      <c r="P311" s="54">
        <f>IF($B311=0,NA(),IF(Inputs!$B$25&lt;&gt;"Yes",NA(),Inputs!$D$25*Inputs!$C$35))</f>
        <v/>
      </c>
      <c r="Q311" s="54">
        <f>IF($B311=0,NA(),IF(Inputs!$B$26&lt;&gt;"Yes",NA(),Inputs!$D$26*Inputs!$C$35))</f>
        <v/>
      </c>
      <c r="R311" s="54">
        <f>IF($B311=0,NA(),IF(Inputs!$B$27&lt;&gt;"Yes",NA(),Inputs!$D$27*Inputs!$C$35))</f>
        <v/>
      </c>
      <c r="S311" s="54">
        <f>IF($B311=0,NA(),IF(Inputs!$B$28&lt;&gt;"Yes",NA(),Inputs!$D$28*Inputs!$C$35))</f>
        <v/>
      </c>
      <c r="T311" s="54">
        <f>IF($B311=0,NA(),IF(Inputs!$B$29&lt;&gt;"Yes",NA(),Inputs!$D$29*Inputs!$C$35))</f>
        <v/>
      </c>
      <c r="AD311">
        <f>IF($B311=0,0,IF(Inputs!$B$6="",0,COUNTIFS(Data!$A$10:$A$3209,"&gt;="&amp;$A311,Data!$A$10:$A$3209,"&lt;"&amp;$A311+1)))</f>
        <v/>
      </c>
      <c r="AE311">
        <f>IF($B311=0,0,IF(Inputs!$B$7="",0,COUNTIFS(Data!$E$10:$E$3209,"&gt;="&amp;$A311,Data!$E$10:$E$3209,"&lt;"&amp;$A311+1)))</f>
        <v/>
      </c>
      <c r="AF311">
        <f>IF($B311=0,0,IF(Inputs!$B$8="",0,COUNTIFS(Data!$I$10:$I$3209,"&gt;="&amp;$A311,Data!$I$10:$I$3209,"&lt;"&amp;$A311+1)))</f>
        <v/>
      </c>
      <c r="AG311">
        <f>IF($B311=0,0,IF(Inputs!$B$9="",0,COUNTIFS(Data!$M$10:$M$3209,"&gt;="&amp;$A311,Data!$M$10:$M$3209,"&lt;"&amp;$A311+1)))</f>
        <v/>
      </c>
      <c r="AH311">
        <f>IF($B311=0,0,IF(Inputs!$B$10="",0,COUNTIFS(Data!$Q$10:$Q$3209,"&gt;="&amp;$A311,Data!$Q$10:$Q$3209,"&lt;"&amp;$A311+1)))</f>
        <v/>
      </c>
    </row>
    <row r="312">
      <c r="A312" s="55">
        <f>MIN(Inputs!$C$15,$A311+IF(WEEKDAY($A311,2)=5,3,1))</f>
        <v/>
      </c>
      <c r="B312">
        <f>IF($A312&gt;$A311,1,0)</f>
        <v/>
      </c>
      <c r="C312" s="56">
        <f>IF($B312=0,"",IF(Inputs!$B$6="","",IF($AD312=0,C311,SUMIFS(Data!$B$10:$B$3209,Data!$A$10:$A$3209,"&gt;="&amp;$A312,Data!$A$10:$A$3209,"&lt;"&amp;$A312+1)/$AD312)))</f>
        <v/>
      </c>
      <c r="D312" s="56">
        <f>IF($B312=0,"",IF(Inputs!$B$7="","",IF($AE312=0,D311,SUMIFS(Data!$F$10:$F$3209,Data!$E$10:$E$3209,"&gt;="&amp;$A312,Data!$E$10:$E$3209,"&lt;"&amp;$A312+1)/$AE312)))</f>
        <v/>
      </c>
      <c r="E312" s="56">
        <f>IF($B312=0,"",IF(Inputs!$B$8="","",IF($AF312=0,E311,SUMIFS(Data!$J$10:$J$3209,Data!$I$10:$I$3209,"&gt;="&amp;$A312,Data!$I$10:$I$3209,"&lt;"&amp;$A312+1)/$AF312)))</f>
        <v/>
      </c>
      <c r="F312" s="56">
        <f>IF($B312=0,"",IF(Inputs!$B$9="","",IF($AG312=0,F311,SUMIFS(Data!$N$10:$N$3209,Data!$M$10:$M$3209,"&gt;="&amp;$A312,Data!$M$10:$M$3209,"&lt;"&amp;$A312+1)/$AG312)))</f>
        <v/>
      </c>
      <c r="G312" s="56">
        <f>IF($B312=0,"",IF(Inputs!$B$10="","",IF($AH312=0,G311,SUMIFS(Data!$R$10:$R$3209,Data!$Q$10:$Q$3209,"&gt;="&amp;$A312,Data!$Q$10:$Q$3209,"&lt;"&amp;$A312+1)/$AH312)))</f>
        <v/>
      </c>
      <c r="I312" s="54">
        <f>IF($B312=0,NA(),IF($C312="",NA(),IF(C$8="",NA(),IF(N(C$8)=0,NA(),IF(Inputs!$C$17="Rebased to 100",$C312/C$8*100,$C312)))))</f>
        <v/>
      </c>
      <c r="J312" s="54">
        <f>IF($B312=0,NA(),IF($D312="",NA(),IF(D$8="",NA(),IF(N(D$8)=0,NA(),IF(Inputs!$C$17="Rebased to 100",$D312/D$8*100,$D312)))))</f>
        <v/>
      </c>
      <c r="K312" s="54">
        <f>IF($B312=0,NA(),IF($E312="",NA(),IF(E$8="",NA(),IF(N(E$8)=0,NA(),IF(Inputs!$C$17="Rebased to 100",$E312/E$8*100,$E312)))))</f>
        <v/>
      </c>
      <c r="L312" s="54">
        <f>IF($B312=0,NA(),IF($F312="",NA(),IF(F$8="",NA(),IF(N(F$8)=0,NA(),IF(Inputs!$C$17="Rebased to 100",$F312/F$8*100,$F312)))))</f>
        <v/>
      </c>
      <c r="M312" s="54">
        <f>IF($B312=0,NA(),IF($G312="",NA(),IF(G$8="",NA(),IF(N(G$8)=0,NA(),IF(Inputs!$C$17="Rebased to 100",$G312/G$8*100,$G312)))))</f>
        <v/>
      </c>
      <c r="N312" s="54">
        <f>IF($B312=0,NA(),IF(Inputs!$C$18&lt;&gt;"Yes",NA(),IF(COUNT(I312,J312,K312,L312,M312)=0,NA(),MIN(I312,J312,K312,L312,M312))))</f>
        <v/>
      </c>
      <c r="O312" s="54">
        <f>IF($B312=0,NA(),IF(Inputs!$B$24&lt;&gt;"Yes",NA(),Inputs!$D$24*Inputs!$C$35))</f>
        <v/>
      </c>
      <c r="P312" s="54">
        <f>IF($B312=0,NA(),IF(Inputs!$B$25&lt;&gt;"Yes",NA(),Inputs!$D$25*Inputs!$C$35))</f>
        <v/>
      </c>
      <c r="Q312" s="54">
        <f>IF($B312=0,NA(),IF(Inputs!$B$26&lt;&gt;"Yes",NA(),Inputs!$D$26*Inputs!$C$35))</f>
        <v/>
      </c>
      <c r="R312" s="54">
        <f>IF($B312=0,NA(),IF(Inputs!$B$27&lt;&gt;"Yes",NA(),Inputs!$D$27*Inputs!$C$35))</f>
        <v/>
      </c>
      <c r="S312" s="54">
        <f>IF($B312=0,NA(),IF(Inputs!$B$28&lt;&gt;"Yes",NA(),Inputs!$D$28*Inputs!$C$35))</f>
        <v/>
      </c>
      <c r="T312" s="54">
        <f>IF($B312=0,NA(),IF(Inputs!$B$29&lt;&gt;"Yes",NA(),Inputs!$D$29*Inputs!$C$35))</f>
        <v/>
      </c>
      <c r="AD312">
        <f>IF($B312=0,0,IF(Inputs!$B$6="",0,COUNTIFS(Data!$A$10:$A$3209,"&gt;="&amp;$A312,Data!$A$10:$A$3209,"&lt;"&amp;$A312+1)))</f>
        <v/>
      </c>
      <c r="AE312">
        <f>IF($B312=0,0,IF(Inputs!$B$7="",0,COUNTIFS(Data!$E$10:$E$3209,"&gt;="&amp;$A312,Data!$E$10:$E$3209,"&lt;"&amp;$A312+1)))</f>
        <v/>
      </c>
      <c r="AF312">
        <f>IF($B312=0,0,IF(Inputs!$B$8="",0,COUNTIFS(Data!$I$10:$I$3209,"&gt;="&amp;$A312,Data!$I$10:$I$3209,"&lt;"&amp;$A312+1)))</f>
        <v/>
      </c>
      <c r="AG312">
        <f>IF($B312=0,0,IF(Inputs!$B$9="",0,COUNTIFS(Data!$M$10:$M$3209,"&gt;="&amp;$A312,Data!$M$10:$M$3209,"&lt;"&amp;$A312+1)))</f>
        <v/>
      </c>
      <c r="AH312">
        <f>IF($B312=0,0,IF(Inputs!$B$10="",0,COUNTIFS(Data!$Q$10:$Q$3209,"&gt;="&amp;$A312,Data!$Q$10:$Q$3209,"&lt;"&amp;$A312+1)))</f>
        <v/>
      </c>
    </row>
    <row r="313">
      <c r="A313" s="55">
        <f>MIN(Inputs!$C$15,$A312+IF(WEEKDAY($A312,2)=5,3,1))</f>
        <v/>
      </c>
      <c r="B313">
        <f>IF($A313&gt;$A312,1,0)</f>
        <v/>
      </c>
      <c r="C313" s="56">
        <f>IF($B313=0,"",IF(Inputs!$B$6="","",IF($AD313=0,C312,SUMIFS(Data!$B$10:$B$3209,Data!$A$10:$A$3209,"&gt;="&amp;$A313,Data!$A$10:$A$3209,"&lt;"&amp;$A313+1)/$AD313)))</f>
        <v/>
      </c>
      <c r="D313" s="56">
        <f>IF($B313=0,"",IF(Inputs!$B$7="","",IF($AE313=0,D312,SUMIFS(Data!$F$10:$F$3209,Data!$E$10:$E$3209,"&gt;="&amp;$A313,Data!$E$10:$E$3209,"&lt;"&amp;$A313+1)/$AE313)))</f>
        <v/>
      </c>
      <c r="E313" s="56">
        <f>IF($B313=0,"",IF(Inputs!$B$8="","",IF($AF313=0,E312,SUMIFS(Data!$J$10:$J$3209,Data!$I$10:$I$3209,"&gt;="&amp;$A313,Data!$I$10:$I$3209,"&lt;"&amp;$A313+1)/$AF313)))</f>
        <v/>
      </c>
      <c r="F313" s="56">
        <f>IF($B313=0,"",IF(Inputs!$B$9="","",IF($AG313=0,F312,SUMIFS(Data!$N$10:$N$3209,Data!$M$10:$M$3209,"&gt;="&amp;$A313,Data!$M$10:$M$3209,"&lt;"&amp;$A313+1)/$AG313)))</f>
        <v/>
      </c>
      <c r="G313" s="56">
        <f>IF($B313=0,"",IF(Inputs!$B$10="","",IF($AH313=0,G312,SUMIFS(Data!$R$10:$R$3209,Data!$Q$10:$Q$3209,"&gt;="&amp;$A313,Data!$Q$10:$Q$3209,"&lt;"&amp;$A313+1)/$AH313)))</f>
        <v/>
      </c>
      <c r="I313" s="54">
        <f>IF($B313=0,NA(),IF($C313="",NA(),IF(C$8="",NA(),IF(N(C$8)=0,NA(),IF(Inputs!$C$17="Rebased to 100",$C313/C$8*100,$C313)))))</f>
        <v/>
      </c>
      <c r="J313" s="54">
        <f>IF($B313=0,NA(),IF($D313="",NA(),IF(D$8="",NA(),IF(N(D$8)=0,NA(),IF(Inputs!$C$17="Rebased to 100",$D313/D$8*100,$D313)))))</f>
        <v/>
      </c>
      <c r="K313" s="54">
        <f>IF($B313=0,NA(),IF($E313="",NA(),IF(E$8="",NA(),IF(N(E$8)=0,NA(),IF(Inputs!$C$17="Rebased to 100",$E313/E$8*100,$E313)))))</f>
        <v/>
      </c>
      <c r="L313" s="54">
        <f>IF($B313=0,NA(),IF($F313="",NA(),IF(F$8="",NA(),IF(N(F$8)=0,NA(),IF(Inputs!$C$17="Rebased to 100",$F313/F$8*100,$F313)))))</f>
        <v/>
      </c>
      <c r="M313" s="54">
        <f>IF($B313=0,NA(),IF($G313="",NA(),IF(G$8="",NA(),IF(N(G$8)=0,NA(),IF(Inputs!$C$17="Rebased to 100",$G313/G$8*100,$G313)))))</f>
        <v/>
      </c>
      <c r="N313" s="54">
        <f>IF($B313=0,NA(),IF(Inputs!$C$18&lt;&gt;"Yes",NA(),IF(COUNT(I313,J313,K313,L313,M313)=0,NA(),MIN(I313,J313,K313,L313,M313))))</f>
        <v/>
      </c>
      <c r="O313" s="54">
        <f>IF($B313=0,NA(),IF(Inputs!$B$24&lt;&gt;"Yes",NA(),Inputs!$D$24*Inputs!$C$35))</f>
        <v/>
      </c>
      <c r="P313" s="54">
        <f>IF($B313=0,NA(),IF(Inputs!$B$25&lt;&gt;"Yes",NA(),Inputs!$D$25*Inputs!$C$35))</f>
        <v/>
      </c>
      <c r="Q313" s="54">
        <f>IF($B313=0,NA(),IF(Inputs!$B$26&lt;&gt;"Yes",NA(),Inputs!$D$26*Inputs!$C$35))</f>
        <v/>
      </c>
      <c r="R313" s="54">
        <f>IF($B313=0,NA(),IF(Inputs!$B$27&lt;&gt;"Yes",NA(),Inputs!$D$27*Inputs!$C$35))</f>
        <v/>
      </c>
      <c r="S313" s="54">
        <f>IF($B313=0,NA(),IF(Inputs!$B$28&lt;&gt;"Yes",NA(),Inputs!$D$28*Inputs!$C$35))</f>
        <v/>
      </c>
      <c r="T313" s="54">
        <f>IF($B313=0,NA(),IF(Inputs!$B$29&lt;&gt;"Yes",NA(),Inputs!$D$29*Inputs!$C$35))</f>
        <v/>
      </c>
      <c r="AD313">
        <f>IF($B313=0,0,IF(Inputs!$B$6="",0,COUNTIFS(Data!$A$10:$A$3209,"&gt;="&amp;$A313,Data!$A$10:$A$3209,"&lt;"&amp;$A313+1)))</f>
        <v/>
      </c>
      <c r="AE313">
        <f>IF($B313=0,0,IF(Inputs!$B$7="",0,COUNTIFS(Data!$E$10:$E$3209,"&gt;="&amp;$A313,Data!$E$10:$E$3209,"&lt;"&amp;$A313+1)))</f>
        <v/>
      </c>
      <c r="AF313">
        <f>IF($B313=0,0,IF(Inputs!$B$8="",0,COUNTIFS(Data!$I$10:$I$3209,"&gt;="&amp;$A313,Data!$I$10:$I$3209,"&lt;"&amp;$A313+1)))</f>
        <v/>
      </c>
      <c r="AG313">
        <f>IF($B313=0,0,IF(Inputs!$B$9="",0,COUNTIFS(Data!$M$10:$M$3209,"&gt;="&amp;$A313,Data!$M$10:$M$3209,"&lt;"&amp;$A313+1)))</f>
        <v/>
      </c>
      <c r="AH313">
        <f>IF($B313=0,0,IF(Inputs!$B$10="",0,COUNTIFS(Data!$Q$10:$Q$3209,"&gt;="&amp;$A313,Data!$Q$10:$Q$3209,"&lt;"&amp;$A313+1)))</f>
        <v/>
      </c>
    </row>
    <row r="314">
      <c r="A314" s="55">
        <f>MIN(Inputs!$C$15,$A313+IF(WEEKDAY($A313,2)=5,3,1))</f>
        <v/>
      </c>
      <c r="B314">
        <f>IF($A314&gt;$A313,1,0)</f>
        <v/>
      </c>
      <c r="C314" s="56">
        <f>IF($B314=0,"",IF(Inputs!$B$6="","",IF($AD314=0,C313,SUMIFS(Data!$B$10:$B$3209,Data!$A$10:$A$3209,"&gt;="&amp;$A314,Data!$A$10:$A$3209,"&lt;"&amp;$A314+1)/$AD314)))</f>
        <v/>
      </c>
      <c r="D314" s="56">
        <f>IF($B314=0,"",IF(Inputs!$B$7="","",IF($AE314=0,D313,SUMIFS(Data!$F$10:$F$3209,Data!$E$10:$E$3209,"&gt;="&amp;$A314,Data!$E$10:$E$3209,"&lt;"&amp;$A314+1)/$AE314)))</f>
        <v/>
      </c>
      <c r="E314" s="56">
        <f>IF($B314=0,"",IF(Inputs!$B$8="","",IF($AF314=0,E313,SUMIFS(Data!$J$10:$J$3209,Data!$I$10:$I$3209,"&gt;="&amp;$A314,Data!$I$10:$I$3209,"&lt;"&amp;$A314+1)/$AF314)))</f>
        <v/>
      </c>
      <c r="F314" s="56">
        <f>IF($B314=0,"",IF(Inputs!$B$9="","",IF($AG314=0,F313,SUMIFS(Data!$N$10:$N$3209,Data!$M$10:$M$3209,"&gt;="&amp;$A314,Data!$M$10:$M$3209,"&lt;"&amp;$A314+1)/$AG314)))</f>
        <v/>
      </c>
      <c r="G314" s="56">
        <f>IF($B314=0,"",IF(Inputs!$B$10="","",IF($AH314=0,G313,SUMIFS(Data!$R$10:$R$3209,Data!$Q$10:$Q$3209,"&gt;="&amp;$A314,Data!$Q$10:$Q$3209,"&lt;"&amp;$A314+1)/$AH314)))</f>
        <v/>
      </c>
      <c r="I314" s="54">
        <f>IF($B314=0,NA(),IF($C314="",NA(),IF(C$8="",NA(),IF(N(C$8)=0,NA(),IF(Inputs!$C$17="Rebased to 100",$C314/C$8*100,$C314)))))</f>
        <v/>
      </c>
      <c r="J314" s="54">
        <f>IF($B314=0,NA(),IF($D314="",NA(),IF(D$8="",NA(),IF(N(D$8)=0,NA(),IF(Inputs!$C$17="Rebased to 100",$D314/D$8*100,$D314)))))</f>
        <v/>
      </c>
      <c r="K314" s="54">
        <f>IF($B314=0,NA(),IF($E314="",NA(),IF(E$8="",NA(),IF(N(E$8)=0,NA(),IF(Inputs!$C$17="Rebased to 100",$E314/E$8*100,$E314)))))</f>
        <v/>
      </c>
      <c r="L314" s="54">
        <f>IF($B314=0,NA(),IF($F314="",NA(),IF(F$8="",NA(),IF(N(F$8)=0,NA(),IF(Inputs!$C$17="Rebased to 100",$F314/F$8*100,$F314)))))</f>
        <v/>
      </c>
      <c r="M314" s="54">
        <f>IF($B314=0,NA(),IF($G314="",NA(),IF(G$8="",NA(),IF(N(G$8)=0,NA(),IF(Inputs!$C$17="Rebased to 100",$G314/G$8*100,$G314)))))</f>
        <v/>
      </c>
      <c r="N314" s="54">
        <f>IF($B314=0,NA(),IF(Inputs!$C$18&lt;&gt;"Yes",NA(),IF(COUNT(I314,J314,K314,L314,M314)=0,NA(),MIN(I314,J314,K314,L314,M314))))</f>
        <v/>
      </c>
      <c r="O314" s="54">
        <f>IF($B314=0,NA(),IF(Inputs!$B$24&lt;&gt;"Yes",NA(),Inputs!$D$24*Inputs!$C$35))</f>
        <v/>
      </c>
      <c r="P314" s="54">
        <f>IF($B314=0,NA(),IF(Inputs!$B$25&lt;&gt;"Yes",NA(),Inputs!$D$25*Inputs!$C$35))</f>
        <v/>
      </c>
      <c r="Q314" s="54">
        <f>IF($B314=0,NA(),IF(Inputs!$B$26&lt;&gt;"Yes",NA(),Inputs!$D$26*Inputs!$C$35))</f>
        <v/>
      </c>
      <c r="R314" s="54">
        <f>IF($B314=0,NA(),IF(Inputs!$B$27&lt;&gt;"Yes",NA(),Inputs!$D$27*Inputs!$C$35))</f>
        <v/>
      </c>
      <c r="S314" s="54">
        <f>IF($B314=0,NA(),IF(Inputs!$B$28&lt;&gt;"Yes",NA(),Inputs!$D$28*Inputs!$C$35))</f>
        <v/>
      </c>
      <c r="T314" s="54">
        <f>IF($B314=0,NA(),IF(Inputs!$B$29&lt;&gt;"Yes",NA(),Inputs!$D$29*Inputs!$C$35))</f>
        <v/>
      </c>
      <c r="AD314">
        <f>IF($B314=0,0,IF(Inputs!$B$6="",0,COUNTIFS(Data!$A$10:$A$3209,"&gt;="&amp;$A314,Data!$A$10:$A$3209,"&lt;"&amp;$A314+1)))</f>
        <v/>
      </c>
      <c r="AE314">
        <f>IF($B314=0,0,IF(Inputs!$B$7="",0,COUNTIFS(Data!$E$10:$E$3209,"&gt;="&amp;$A314,Data!$E$10:$E$3209,"&lt;"&amp;$A314+1)))</f>
        <v/>
      </c>
      <c r="AF314">
        <f>IF($B314=0,0,IF(Inputs!$B$8="",0,COUNTIFS(Data!$I$10:$I$3209,"&gt;="&amp;$A314,Data!$I$10:$I$3209,"&lt;"&amp;$A314+1)))</f>
        <v/>
      </c>
      <c r="AG314">
        <f>IF($B314=0,0,IF(Inputs!$B$9="",0,COUNTIFS(Data!$M$10:$M$3209,"&gt;="&amp;$A314,Data!$M$10:$M$3209,"&lt;"&amp;$A314+1)))</f>
        <v/>
      </c>
      <c r="AH314">
        <f>IF($B314=0,0,IF(Inputs!$B$10="",0,COUNTIFS(Data!$Q$10:$Q$3209,"&gt;="&amp;$A314,Data!$Q$10:$Q$3209,"&lt;"&amp;$A314+1)))</f>
        <v/>
      </c>
    </row>
    <row r="315">
      <c r="A315" s="55">
        <f>MIN(Inputs!$C$15,$A314+IF(WEEKDAY($A314,2)=5,3,1))</f>
        <v/>
      </c>
      <c r="B315">
        <f>IF($A315&gt;$A314,1,0)</f>
        <v/>
      </c>
      <c r="C315" s="56">
        <f>IF($B315=0,"",IF(Inputs!$B$6="","",IF($AD315=0,C314,SUMIFS(Data!$B$10:$B$3209,Data!$A$10:$A$3209,"&gt;="&amp;$A315,Data!$A$10:$A$3209,"&lt;"&amp;$A315+1)/$AD315)))</f>
        <v/>
      </c>
      <c r="D315" s="56">
        <f>IF($B315=0,"",IF(Inputs!$B$7="","",IF($AE315=0,D314,SUMIFS(Data!$F$10:$F$3209,Data!$E$10:$E$3209,"&gt;="&amp;$A315,Data!$E$10:$E$3209,"&lt;"&amp;$A315+1)/$AE315)))</f>
        <v/>
      </c>
      <c r="E315" s="56">
        <f>IF($B315=0,"",IF(Inputs!$B$8="","",IF($AF315=0,E314,SUMIFS(Data!$J$10:$J$3209,Data!$I$10:$I$3209,"&gt;="&amp;$A315,Data!$I$10:$I$3209,"&lt;"&amp;$A315+1)/$AF315)))</f>
        <v/>
      </c>
      <c r="F315" s="56">
        <f>IF($B315=0,"",IF(Inputs!$B$9="","",IF($AG315=0,F314,SUMIFS(Data!$N$10:$N$3209,Data!$M$10:$M$3209,"&gt;="&amp;$A315,Data!$M$10:$M$3209,"&lt;"&amp;$A315+1)/$AG315)))</f>
        <v/>
      </c>
      <c r="G315" s="56">
        <f>IF($B315=0,"",IF(Inputs!$B$10="","",IF($AH315=0,G314,SUMIFS(Data!$R$10:$R$3209,Data!$Q$10:$Q$3209,"&gt;="&amp;$A315,Data!$Q$10:$Q$3209,"&lt;"&amp;$A315+1)/$AH315)))</f>
        <v/>
      </c>
      <c r="I315" s="54">
        <f>IF($B315=0,NA(),IF($C315="",NA(),IF(C$8="",NA(),IF(N(C$8)=0,NA(),IF(Inputs!$C$17="Rebased to 100",$C315/C$8*100,$C315)))))</f>
        <v/>
      </c>
      <c r="J315" s="54">
        <f>IF($B315=0,NA(),IF($D315="",NA(),IF(D$8="",NA(),IF(N(D$8)=0,NA(),IF(Inputs!$C$17="Rebased to 100",$D315/D$8*100,$D315)))))</f>
        <v/>
      </c>
      <c r="K315" s="54">
        <f>IF($B315=0,NA(),IF($E315="",NA(),IF(E$8="",NA(),IF(N(E$8)=0,NA(),IF(Inputs!$C$17="Rebased to 100",$E315/E$8*100,$E315)))))</f>
        <v/>
      </c>
      <c r="L315" s="54">
        <f>IF($B315=0,NA(),IF($F315="",NA(),IF(F$8="",NA(),IF(N(F$8)=0,NA(),IF(Inputs!$C$17="Rebased to 100",$F315/F$8*100,$F315)))))</f>
        <v/>
      </c>
      <c r="M315" s="54">
        <f>IF($B315=0,NA(),IF($G315="",NA(),IF(G$8="",NA(),IF(N(G$8)=0,NA(),IF(Inputs!$C$17="Rebased to 100",$G315/G$8*100,$G315)))))</f>
        <v/>
      </c>
      <c r="N315" s="54">
        <f>IF($B315=0,NA(),IF(Inputs!$C$18&lt;&gt;"Yes",NA(),IF(COUNT(I315,J315,K315,L315,M315)=0,NA(),MIN(I315,J315,K315,L315,M315))))</f>
        <v/>
      </c>
      <c r="O315" s="54">
        <f>IF($B315=0,NA(),IF(Inputs!$B$24&lt;&gt;"Yes",NA(),Inputs!$D$24*Inputs!$C$35))</f>
        <v/>
      </c>
      <c r="P315" s="54">
        <f>IF($B315=0,NA(),IF(Inputs!$B$25&lt;&gt;"Yes",NA(),Inputs!$D$25*Inputs!$C$35))</f>
        <v/>
      </c>
      <c r="Q315" s="54">
        <f>IF($B315=0,NA(),IF(Inputs!$B$26&lt;&gt;"Yes",NA(),Inputs!$D$26*Inputs!$C$35))</f>
        <v/>
      </c>
      <c r="R315" s="54">
        <f>IF($B315=0,NA(),IF(Inputs!$B$27&lt;&gt;"Yes",NA(),Inputs!$D$27*Inputs!$C$35))</f>
        <v/>
      </c>
      <c r="S315" s="54">
        <f>IF($B315=0,NA(),IF(Inputs!$B$28&lt;&gt;"Yes",NA(),Inputs!$D$28*Inputs!$C$35))</f>
        <v/>
      </c>
      <c r="T315" s="54">
        <f>IF($B315=0,NA(),IF(Inputs!$B$29&lt;&gt;"Yes",NA(),Inputs!$D$29*Inputs!$C$35))</f>
        <v/>
      </c>
      <c r="AD315">
        <f>IF($B315=0,0,IF(Inputs!$B$6="",0,COUNTIFS(Data!$A$10:$A$3209,"&gt;="&amp;$A315,Data!$A$10:$A$3209,"&lt;"&amp;$A315+1)))</f>
        <v/>
      </c>
      <c r="AE315">
        <f>IF($B315=0,0,IF(Inputs!$B$7="",0,COUNTIFS(Data!$E$10:$E$3209,"&gt;="&amp;$A315,Data!$E$10:$E$3209,"&lt;"&amp;$A315+1)))</f>
        <v/>
      </c>
      <c r="AF315">
        <f>IF($B315=0,0,IF(Inputs!$B$8="",0,COUNTIFS(Data!$I$10:$I$3209,"&gt;="&amp;$A315,Data!$I$10:$I$3209,"&lt;"&amp;$A315+1)))</f>
        <v/>
      </c>
      <c r="AG315">
        <f>IF($B315=0,0,IF(Inputs!$B$9="",0,COUNTIFS(Data!$M$10:$M$3209,"&gt;="&amp;$A315,Data!$M$10:$M$3209,"&lt;"&amp;$A315+1)))</f>
        <v/>
      </c>
      <c r="AH315">
        <f>IF($B315=0,0,IF(Inputs!$B$10="",0,COUNTIFS(Data!$Q$10:$Q$3209,"&gt;="&amp;$A315,Data!$Q$10:$Q$3209,"&lt;"&amp;$A315+1)))</f>
        <v/>
      </c>
    </row>
    <row r="316">
      <c r="A316" s="55">
        <f>MIN(Inputs!$C$15,$A315+IF(WEEKDAY($A315,2)=5,3,1))</f>
        <v/>
      </c>
      <c r="B316">
        <f>IF($A316&gt;$A315,1,0)</f>
        <v/>
      </c>
      <c r="C316" s="56">
        <f>IF($B316=0,"",IF(Inputs!$B$6="","",IF($AD316=0,C315,SUMIFS(Data!$B$10:$B$3209,Data!$A$10:$A$3209,"&gt;="&amp;$A316,Data!$A$10:$A$3209,"&lt;"&amp;$A316+1)/$AD316)))</f>
        <v/>
      </c>
      <c r="D316" s="56">
        <f>IF($B316=0,"",IF(Inputs!$B$7="","",IF($AE316=0,D315,SUMIFS(Data!$F$10:$F$3209,Data!$E$10:$E$3209,"&gt;="&amp;$A316,Data!$E$10:$E$3209,"&lt;"&amp;$A316+1)/$AE316)))</f>
        <v/>
      </c>
      <c r="E316" s="56">
        <f>IF($B316=0,"",IF(Inputs!$B$8="","",IF($AF316=0,E315,SUMIFS(Data!$J$10:$J$3209,Data!$I$10:$I$3209,"&gt;="&amp;$A316,Data!$I$10:$I$3209,"&lt;"&amp;$A316+1)/$AF316)))</f>
        <v/>
      </c>
      <c r="F316" s="56">
        <f>IF($B316=0,"",IF(Inputs!$B$9="","",IF($AG316=0,F315,SUMIFS(Data!$N$10:$N$3209,Data!$M$10:$M$3209,"&gt;="&amp;$A316,Data!$M$10:$M$3209,"&lt;"&amp;$A316+1)/$AG316)))</f>
        <v/>
      </c>
      <c r="G316" s="56">
        <f>IF($B316=0,"",IF(Inputs!$B$10="","",IF($AH316=0,G315,SUMIFS(Data!$R$10:$R$3209,Data!$Q$10:$Q$3209,"&gt;="&amp;$A316,Data!$Q$10:$Q$3209,"&lt;"&amp;$A316+1)/$AH316)))</f>
        <v/>
      </c>
      <c r="I316" s="54">
        <f>IF($B316=0,NA(),IF($C316="",NA(),IF(C$8="",NA(),IF(N(C$8)=0,NA(),IF(Inputs!$C$17="Rebased to 100",$C316/C$8*100,$C316)))))</f>
        <v/>
      </c>
      <c r="J316" s="54">
        <f>IF($B316=0,NA(),IF($D316="",NA(),IF(D$8="",NA(),IF(N(D$8)=0,NA(),IF(Inputs!$C$17="Rebased to 100",$D316/D$8*100,$D316)))))</f>
        <v/>
      </c>
      <c r="K316" s="54">
        <f>IF($B316=0,NA(),IF($E316="",NA(),IF(E$8="",NA(),IF(N(E$8)=0,NA(),IF(Inputs!$C$17="Rebased to 100",$E316/E$8*100,$E316)))))</f>
        <v/>
      </c>
      <c r="L316" s="54">
        <f>IF($B316=0,NA(),IF($F316="",NA(),IF(F$8="",NA(),IF(N(F$8)=0,NA(),IF(Inputs!$C$17="Rebased to 100",$F316/F$8*100,$F316)))))</f>
        <v/>
      </c>
      <c r="M316" s="54">
        <f>IF($B316=0,NA(),IF($G316="",NA(),IF(G$8="",NA(),IF(N(G$8)=0,NA(),IF(Inputs!$C$17="Rebased to 100",$G316/G$8*100,$G316)))))</f>
        <v/>
      </c>
      <c r="N316" s="54">
        <f>IF($B316=0,NA(),IF(Inputs!$C$18&lt;&gt;"Yes",NA(),IF(COUNT(I316,J316,K316,L316,M316)=0,NA(),MIN(I316,J316,K316,L316,M316))))</f>
        <v/>
      </c>
      <c r="O316" s="54">
        <f>IF($B316=0,NA(),IF(Inputs!$B$24&lt;&gt;"Yes",NA(),Inputs!$D$24*Inputs!$C$35))</f>
        <v/>
      </c>
      <c r="P316" s="54">
        <f>IF($B316=0,NA(),IF(Inputs!$B$25&lt;&gt;"Yes",NA(),Inputs!$D$25*Inputs!$C$35))</f>
        <v/>
      </c>
      <c r="Q316" s="54">
        <f>IF($B316=0,NA(),IF(Inputs!$B$26&lt;&gt;"Yes",NA(),Inputs!$D$26*Inputs!$C$35))</f>
        <v/>
      </c>
      <c r="R316" s="54">
        <f>IF($B316=0,NA(),IF(Inputs!$B$27&lt;&gt;"Yes",NA(),Inputs!$D$27*Inputs!$C$35))</f>
        <v/>
      </c>
      <c r="S316" s="54">
        <f>IF($B316=0,NA(),IF(Inputs!$B$28&lt;&gt;"Yes",NA(),Inputs!$D$28*Inputs!$C$35))</f>
        <v/>
      </c>
      <c r="T316" s="54">
        <f>IF($B316=0,NA(),IF(Inputs!$B$29&lt;&gt;"Yes",NA(),Inputs!$D$29*Inputs!$C$35))</f>
        <v/>
      </c>
      <c r="AD316">
        <f>IF($B316=0,0,IF(Inputs!$B$6="",0,COUNTIFS(Data!$A$10:$A$3209,"&gt;="&amp;$A316,Data!$A$10:$A$3209,"&lt;"&amp;$A316+1)))</f>
        <v/>
      </c>
      <c r="AE316">
        <f>IF($B316=0,0,IF(Inputs!$B$7="",0,COUNTIFS(Data!$E$10:$E$3209,"&gt;="&amp;$A316,Data!$E$10:$E$3209,"&lt;"&amp;$A316+1)))</f>
        <v/>
      </c>
      <c r="AF316">
        <f>IF($B316=0,0,IF(Inputs!$B$8="",0,COUNTIFS(Data!$I$10:$I$3209,"&gt;="&amp;$A316,Data!$I$10:$I$3209,"&lt;"&amp;$A316+1)))</f>
        <v/>
      </c>
      <c r="AG316">
        <f>IF($B316=0,0,IF(Inputs!$B$9="",0,COUNTIFS(Data!$M$10:$M$3209,"&gt;="&amp;$A316,Data!$M$10:$M$3209,"&lt;"&amp;$A316+1)))</f>
        <v/>
      </c>
      <c r="AH316">
        <f>IF($B316=0,0,IF(Inputs!$B$10="",0,COUNTIFS(Data!$Q$10:$Q$3209,"&gt;="&amp;$A316,Data!$Q$10:$Q$3209,"&lt;"&amp;$A316+1)))</f>
        <v/>
      </c>
    </row>
    <row r="317">
      <c r="A317" s="55">
        <f>MIN(Inputs!$C$15,$A316+IF(WEEKDAY($A316,2)=5,3,1))</f>
        <v/>
      </c>
      <c r="B317">
        <f>IF($A317&gt;$A316,1,0)</f>
        <v/>
      </c>
      <c r="C317" s="56">
        <f>IF($B317=0,"",IF(Inputs!$B$6="","",IF($AD317=0,C316,SUMIFS(Data!$B$10:$B$3209,Data!$A$10:$A$3209,"&gt;="&amp;$A317,Data!$A$10:$A$3209,"&lt;"&amp;$A317+1)/$AD317)))</f>
        <v/>
      </c>
      <c r="D317" s="56">
        <f>IF($B317=0,"",IF(Inputs!$B$7="","",IF($AE317=0,D316,SUMIFS(Data!$F$10:$F$3209,Data!$E$10:$E$3209,"&gt;="&amp;$A317,Data!$E$10:$E$3209,"&lt;"&amp;$A317+1)/$AE317)))</f>
        <v/>
      </c>
      <c r="E317" s="56">
        <f>IF($B317=0,"",IF(Inputs!$B$8="","",IF($AF317=0,E316,SUMIFS(Data!$J$10:$J$3209,Data!$I$10:$I$3209,"&gt;="&amp;$A317,Data!$I$10:$I$3209,"&lt;"&amp;$A317+1)/$AF317)))</f>
        <v/>
      </c>
      <c r="F317" s="56">
        <f>IF($B317=0,"",IF(Inputs!$B$9="","",IF($AG317=0,F316,SUMIFS(Data!$N$10:$N$3209,Data!$M$10:$M$3209,"&gt;="&amp;$A317,Data!$M$10:$M$3209,"&lt;"&amp;$A317+1)/$AG317)))</f>
        <v/>
      </c>
      <c r="G317" s="56">
        <f>IF($B317=0,"",IF(Inputs!$B$10="","",IF($AH317=0,G316,SUMIFS(Data!$R$10:$R$3209,Data!$Q$10:$Q$3209,"&gt;="&amp;$A317,Data!$Q$10:$Q$3209,"&lt;"&amp;$A317+1)/$AH317)))</f>
        <v/>
      </c>
      <c r="I317" s="54">
        <f>IF($B317=0,NA(),IF($C317="",NA(),IF(C$8="",NA(),IF(N(C$8)=0,NA(),IF(Inputs!$C$17="Rebased to 100",$C317/C$8*100,$C317)))))</f>
        <v/>
      </c>
      <c r="J317" s="54">
        <f>IF($B317=0,NA(),IF($D317="",NA(),IF(D$8="",NA(),IF(N(D$8)=0,NA(),IF(Inputs!$C$17="Rebased to 100",$D317/D$8*100,$D317)))))</f>
        <v/>
      </c>
      <c r="K317" s="54">
        <f>IF($B317=0,NA(),IF($E317="",NA(),IF(E$8="",NA(),IF(N(E$8)=0,NA(),IF(Inputs!$C$17="Rebased to 100",$E317/E$8*100,$E317)))))</f>
        <v/>
      </c>
      <c r="L317" s="54">
        <f>IF($B317=0,NA(),IF($F317="",NA(),IF(F$8="",NA(),IF(N(F$8)=0,NA(),IF(Inputs!$C$17="Rebased to 100",$F317/F$8*100,$F317)))))</f>
        <v/>
      </c>
      <c r="M317" s="54">
        <f>IF($B317=0,NA(),IF($G317="",NA(),IF(G$8="",NA(),IF(N(G$8)=0,NA(),IF(Inputs!$C$17="Rebased to 100",$G317/G$8*100,$G317)))))</f>
        <v/>
      </c>
      <c r="N317" s="54">
        <f>IF($B317=0,NA(),IF(Inputs!$C$18&lt;&gt;"Yes",NA(),IF(COUNT(I317,J317,K317,L317,M317)=0,NA(),MIN(I317,J317,K317,L317,M317))))</f>
        <v/>
      </c>
      <c r="O317" s="54">
        <f>IF($B317=0,NA(),IF(Inputs!$B$24&lt;&gt;"Yes",NA(),Inputs!$D$24*Inputs!$C$35))</f>
        <v/>
      </c>
      <c r="P317" s="54">
        <f>IF($B317=0,NA(),IF(Inputs!$B$25&lt;&gt;"Yes",NA(),Inputs!$D$25*Inputs!$C$35))</f>
        <v/>
      </c>
      <c r="Q317" s="54">
        <f>IF($B317=0,NA(),IF(Inputs!$B$26&lt;&gt;"Yes",NA(),Inputs!$D$26*Inputs!$C$35))</f>
        <v/>
      </c>
      <c r="R317" s="54">
        <f>IF($B317=0,NA(),IF(Inputs!$B$27&lt;&gt;"Yes",NA(),Inputs!$D$27*Inputs!$C$35))</f>
        <v/>
      </c>
      <c r="S317" s="54">
        <f>IF($B317=0,NA(),IF(Inputs!$B$28&lt;&gt;"Yes",NA(),Inputs!$D$28*Inputs!$C$35))</f>
        <v/>
      </c>
      <c r="T317" s="54">
        <f>IF($B317=0,NA(),IF(Inputs!$B$29&lt;&gt;"Yes",NA(),Inputs!$D$29*Inputs!$C$35))</f>
        <v/>
      </c>
      <c r="AD317">
        <f>IF($B317=0,0,IF(Inputs!$B$6="",0,COUNTIFS(Data!$A$10:$A$3209,"&gt;="&amp;$A317,Data!$A$10:$A$3209,"&lt;"&amp;$A317+1)))</f>
        <v/>
      </c>
      <c r="AE317">
        <f>IF($B317=0,0,IF(Inputs!$B$7="",0,COUNTIFS(Data!$E$10:$E$3209,"&gt;="&amp;$A317,Data!$E$10:$E$3209,"&lt;"&amp;$A317+1)))</f>
        <v/>
      </c>
      <c r="AF317">
        <f>IF($B317=0,0,IF(Inputs!$B$8="",0,COUNTIFS(Data!$I$10:$I$3209,"&gt;="&amp;$A317,Data!$I$10:$I$3209,"&lt;"&amp;$A317+1)))</f>
        <v/>
      </c>
      <c r="AG317">
        <f>IF($B317=0,0,IF(Inputs!$B$9="",0,COUNTIFS(Data!$M$10:$M$3209,"&gt;="&amp;$A317,Data!$M$10:$M$3209,"&lt;"&amp;$A317+1)))</f>
        <v/>
      </c>
      <c r="AH317">
        <f>IF($B317=0,0,IF(Inputs!$B$10="",0,COUNTIFS(Data!$Q$10:$Q$3209,"&gt;="&amp;$A317,Data!$Q$10:$Q$3209,"&lt;"&amp;$A317+1)))</f>
        <v/>
      </c>
    </row>
    <row r="318">
      <c r="A318" s="55">
        <f>MIN(Inputs!$C$15,$A317+IF(WEEKDAY($A317,2)=5,3,1))</f>
        <v/>
      </c>
      <c r="B318">
        <f>IF($A318&gt;$A317,1,0)</f>
        <v/>
      </c>
      <c r="C318" s="56">
        <f>IF($B318=0,"",IF(Inputs!$B$6="","",IF($AD318=0,C317,SUMIFS(Data!$B$10:$B$3209,Data!$A$10:$A$3209,"&gt;="&amp;$A318,Data!$A$10:$A$3209,"&lt;"&amp;$A318+1)/$AD318)))</f>
        <v/>
      </c>
      <c r="D318" s="56">
        <f>IF($B318=0,"",IF(Inputs!$B$7="","",IF($AE318=0,D317,SUMIFS(Data!$F$10:$F$3209,Data!$E$10:$E$3209,"&gt;="&amp;$A318,Data!$E$10:$E$3209,"&lt;"&amp;$A318+1)/$AE318)))</f>
        <v/>
      </c>
      <c r="E318" s="56">
        <f>IF($B318=0,"",IF(Inputs!$B$8="","",IF($AF318=0,E317,SUMIFS(Data!$J$10:$J$3209,Data!$I$10:$I$3209,"&gt;="&amp;$A318,Data!$I$10:$I$3209,"&lt;"&amp;$A318+1)/$AF318)))</f>
        <v/>
      </c>
      <c r="F318" s="56">
        <f>IF($B318=0,"",IF(Inputs!$B$9="","",IF($AG318=0,F317,SUMIFS(Data!$N$10:$N$3209,Data!$M$10:$M$3209,"&gt;="&amp;$A318,Data!$M$10:$M$3209,"&lt;"&amp;$A318+1)/$AG318)))</f>
        <v/>
      </c>
      <c r="G318" s="56">
        <f>IF($B318=0,"",IF(Inputs!$B$10="","",IF($AH318=0,G317,SUMIFS(Data!$R$10:$R$3209,Data!$Q$10:$Q$3209,"&gt;="&amp;$A318,Data!$Q$10:$Q$3209,"&lt;"&amp;$A318+1)/$AH318)))</f>
        <v/>
      </c>
      <c r="I318" s="54">
        <f>IF($B318=0,NA(),IF($C318="",NA(),IF(C$8="",NA(),IF(N(C$8)=0,NA(),IF(Inputs!$C$17="Rebased to 100",$C318/C$8*100,$C318)))))</f>
        <v/>
      </c>
      <c r="J318" s="54">
        <f>IF($B318=0,NA(),IF($D318="",NA(),IF(D$8="",NA(),IF(N(D$8)=0,NA(),IF(Inputs!$C$17="Rebased to 100",$D318/D$8*100,$D318)))))</f>
        <v/>
      </c>
      <c r="K318" s="54">
        <f>IF($B318=0,NA(),IF($E318="",NA(),IF(E$8="",NA(),IF(N(E$8)=0,NA(),IF(Inputs!$C$17="Rebased to 100",$E318/E$8*100,$E318)))))</f>
        <v/>
      </c>
      <c r="L318" s="54">
        <f>IF($B318=0,NA(),IF($F318="",NA(),IF(F$8="",NA(),IF(N(F$8)=0,NA(),IF(Inputs!$C$17="Rebased to 100",$F318/F$8*100,$F318)))))</f>
        <v/>
      </c>
      <c r="M318" s="54">
        <f>IF($B318=0,NA(),IF($G318="",NA(),IF(G$8="",NA(),IF(N(G$8)=0,NA(),IF(Inputs!$C$17="Rebased to 100",$G318/G$8*100,$G318)))))</f>
        <v/>
      </c>
      <c r="N318" s="54">
        <f>IF($B318=0,NA(),IF(Inputs!$C$18&lt;&gt;"Yes",NA(),IF(COUNT(I318,J318,K318,L318,M318)=0,NA(),MIN(I318,J318,K318,L318,M318))))</f>
        <v/>
      </c>
      <c r="O318" s="54">
        <f>IF($B318=0,NA(),IF(Inputs!$B$24&lt;&gt;"Yes",NA(),Inputs!$D$24*Inputs!$C$35))</f>
        <v/>
      </c>
      <c r="P318" s="54">
        <f>IF($B318=0,NA(),IF(Inputs!$B$25&lt;&gt;"Yes",NA(),Inputs!$D$25*Inputs!$C$35))</f>
        <v/>
      </c>
      <c r="Q318" s="54">
        <f>IF($B318=0,NA(),IF(Inputs!$B$26&lt;&gt;"Yes",NA(),Inputs!$D$26*Inputs!$C$35))</f>
        <v/>
      </c>
      <c r="R318" s="54">
        <f>IF($B318=0,NA(),IF(Inputs!$B$27&lt;&gt;"Yes",NA(),Inputs!$D$27*Inputs!$C$35))</f>
        <v/>
      </c>
      <c r="S318" s="54">
        <f>IF($B318=0,NA(),IF(Inputs!$B$28&lt;&gt;"Yes",NA(),Inputs!$D$28*Inputs!$C$35))</f>
        <v/>
      </c>
      <c r="T318" s="54">
        <f>IF($B318=0,NA(),IF(Inputs!$B$29&lt;&gt;"Yes",NA(),Inputs!$D$29*Inputs!$C$35))</f>
        <v/>
      </c>
      <c r="AD318">
        <f>IF($B318=0,0,IF(Inputs!$B$6="",0,COUNTIFS(Data!$A$10:$A$3209,"&gt;="&amp;$A318,Data!$A$10:$A$3209,"&lt;"&amp;$A318+1)))</f>
        <v/>
      </c>
      <c r="AE318">
        <f>IF($B318=0,0,IF(Inputs!$B$7="",0,COUNTIFS(Data!$E$10:$E$3209,"&gt;="&amp;$A318,Data!$E$10:$E$3209,"&lt;"&amp;$A318+1)))</f>
        <v/>
      </c>
      <c r="AF318">
        <f>IF($B318=0,0,IF(Inputs!$B$8="",0,COUNTIFS(Data!$I$10:$I$3209,"&gt;="&amp;$A318,Data!$I$10:$I$3209,"&lt;"&amp;$A318+1)))</f>
        <v/>
      </c>
      <c r="AG318">
        <f>IF($B318=0,0,IF(Inputs!$B$9="",0,COUNTIFS(Data!$M$10:$M$3209,"&gt;="&amp;$A318,Data!$M$10:$M$3209,"&lt;"&amp;$A318+1)))</f>
        <v/>
      </c>
      <c r="AH318">
        <f>IF($B318=0,0,IF(Inputs!$B$10="",0,COUNTIFS(Data!$Q$10:$Q$3209,"&gt;="&amp;$A318,Data!$Q$10:$Q$3209,"&lt;"&amp;$A318+1)))</f>
        <v/>
      </c>
    </row>
    <row r="319">
      <c r="A319" s="55">
        <f>MIN(Inputs!$C$15,$A318+IF(WEEKDAY($A318,2)=5,3,1))</f>
        <v/>
      </c>
      <c r="B319">
        <f>IF($A319&gt;$A318,1,0)</f>
        <v/>
      </c>
      <c r="C319" s="56">
        <f>IF($B319=0,"",IF(Inputs!$B$6="","",IF($AD319=0,C318,SUMIFS(Data!$B$10:$B$3209,Data!$A$10:$A$3209,"&gt;="&amp;$A319,Data!$A$10:$A$3209,"&lt;"&amp;$A319+1)/$AD319)))</f>
        <v/>
      </c>
      <c r="D319" s="56">
        <f>IF($B319=0,"",IF(Inputs!$B$7="","",IF($AE319=0,D318,SUMIFS(Data!$F$10:$F$3209,Data!$E$10:$E$3209,"&gt;="&amp;$A319,Data!$E$10:$E$3209,"&lt;"&amp;$A319+1)/$AE319)))</f>
        <v/>
      </c>
      <c r="E319" s="56">
        <f>IF($B319=0,"",IF(Inputs!$B$8="","",IF($AF319=0,E318,SUMIFS(Data!$J$10:$J$3209,Data!$I$10:$I$3209,"&gt;="&amp;$A319,Data!$I$10:$I$3209,"&lt;"&amp;$A319+1)/$AF319)))</f>
        <v/>
      </c>
      <c r="F319" s="56">
        <f>IF($B319=0,"",IF(Inputs!$B$9="","",IF($AG319=0,F318,SUMIFS(Data!$N$10:$N$3209,Data!$M$10:$M$3209,"&gt;="&amp;$A319,Data!$M$10:$M$3209,"&lt;"&amp;$A319+1)/$AG319)))</f>
        <v/>
      </c>
      <c r="G319" s="56">
        <f>IF($B319=0,"",IF(Inputs!$B$10="","",IF($AH319=0,G318,SUMIFS(Data!$R$10:$R$3209,Data!$Q$10:$Q$3209,"&gt;="&amp;$A319,Data!$Q$10:$Q$3209,"&lt;"&amp;$A319+1)/$AH319)))</f>
        <v/>
      </c>
      <c r="I319" s="54">
        <f>IF($B319=0,NA(),IF($C319="",NA(),IF(C$8="",NA(),IF(N(C$8)=0,NA(),IF(Inputs!$C$17="Rebased to 100",$C319/C$8*100,$C319)))))</f>
        <v/>
      </c>
      <c r="J319" s="54">
        <f>IF($B319=0,NA(),IF($D319="",NA(),IF(D$8="",NA(),IF(N(D$8)=0,NA(),IF(Inputs!$C$17="Rebased to 100",$D319/D$8*100,$D319)))))</f>
        <v/>
      </c>
      <c r="K319" s="54">
        <f>IF($B319=0,NA(),IF($E319="",NA(),IF(E$8="",NA(),IF(N(E$8)=0,NA(),IF(Inputs!$C$17="Rebased to 100",$E319/E$8*100,$E319)))))</f>
        <v/>
      </c>
      <c r="L319" s="54">
        <f>IF($B319=0,NA(),IF($F319="",NA(),IF(F$8="",NA(),IF(N(F$8)=0,NA(),IF(Inputs!$C$17="Rebased to 100",$F319/F$8*100,$F319)))))</f>
        <v/>
      </c>
      <c r="M319" s="54">
        <f>IF($B319=0,NA(),IF($G319="",NA(),IF(G$8="",NA(),IF(N(G$8)=0,NA(),IF(Inputs!$C$17="Rebased to 100",$G319/G$8*100,$G319)))))</f>
        <v/>
      </c>
      <c r="N319" s="54">
        <f>IF($B319=0,NA(),IF(Inputs!$C$18&lt;&gt;"Yes",NA(),IF(COUNT(I319,J319,K319,L319,M319)=0,NA(),MIN(I319,J319,K319,L319,M319))))</f>
        <v/>
      </c>
      <c r="O319" s="54">
        <f>IF($B319=0,NA(),IF(Inputs!$B$24&lt;&gt;"Yes",NA(),Inputs!$D$24*Inputs!$C$35))</f>
        <v/>
      </c>
      <c r="P319" s="54">
        <f>IF($B319=0,NA(),IF(Inputs!$B$25&lt;&gt;"Yes",NA(),Inputs!$D$25*Inputs!$C$35))</f>
        <v/>
      </c>
      <c r="Q319" s="54">
        <f>IF($B319=0,NA(),IF(Inputs!$B$26&lt;&gt;"Yes",NA(),Inputs!$D$26*Inputs!$C$35))</f>
        <v/>
      </c>
      <c r="R319" s="54">
        <f>IF($B319=0,NA(),IF(Inputs!$B$27&lt;&gt;"Yes",NA(),Inputs!$D$27*Inputs!$C$35))</f>
        <v/>
      </c>
      <c r="S319" s="54">
        <f>IF($B319=0,NA(),IF(Inputs!$B$28&lt;&gt;"Yes",NA(),Inputs!$D$28*Inputs!$C$35))</f>
        <v/>
      </c>
      <c r="T319" s="54">
        <f>IF($B319=0,NA(),IF(Inputs!$B$29&lt;&gt;"Yes",NA(),Inputs!$D$29*Inputs!$C$35))</f>
        <v/>
      </c>
      <c r="AD319">
        <f>IF($B319=0,0,IF(Inputs!$B$6="",0,COUNTIFS(Data!$A$10:$A$3209,"&gt;="&amp;$A319,Data!$A$10:$A$3209,"&lt;"&amp;$A319+1)))</f>
        <v/>
      </c>
      <c r="AE319">
        <f>IF($B319=0,0,IF(Inputs!$B$7="",0,COUNTIFS(Data!$E$10:$E$3209,"&gt;="&amp;$A319,Data!$E$10:$E$3209,"&lt;"&amp;$A319+1)))</f>
        <v/>
      </c>
      <c r="AF319">
        <f>IF($B319=0,0,IF(Inputs!$B$8="",0,COUNTIFS(Data!$I$10:$I$3209,"&gt;="&amp;$A319,Data!$I$10:$I$3209,"&lt;"&amp;$A319+1)))</f>
        <v/>
      </c>
      <c r="AG319">
        <f>IF($B319=0,0,IF(Inputs!$B$9="",0,COUNTIFS(Data!$M$10:$M$3209,"&gt;="&amp;$A319,Data!$M$10:$M$3209,"&lt;"&amp;$A319+1)))</f>
        <v/>
      </c>
      <c r="AH319">
        <f>IF($B319=0,0,IF(Inputs!$B$10="",0,COUNTIFS(Data!$Q$10:$Q$3209,"&gt;="&amp;$A319,Data!$Q$10:$Q$3209,"&lt;"&amp;$A319+1)))</f>
        <v/>
      </c>
    </row>
    <row r="320">
      <c r="A320" s="55">
        <f>MIN(Inputs!$C$15,$A319+IF(WEEKDAY($A319,2)=5,3,1))</f>
        <v/>
      </c>
      <c r="B320">
        <f>IF($A320&gt;$A319,1,0)</f>
        <v/>
      </c>
      <c r="C320" s="56">
        <f>IF($B320=0,"",IF(Inputs!$B$6="","",IF($AD320=0,C319,SUMIFS(Data!$B$10:$B$3209,Data!$A$10:$A$3209,"&gt;="&amp;$A320,Data!$A$10:$A$3209,"&lt;"&amp;$A320+1)/$AD320)))</f>
        <v/>
      </c>
      <c r="D320" s="56">
        <f>IF($B320=0,"",IF(Inputs!$B$7="","",IF($AE320=0,D319,SUMIFS(Data!$F$10:$F$3209,Data!$E$10:$E$3209,"&gt;="&amp;$A320,Data!$E$10:$E$3209,"&lt;"&amp;$A320+1)/$AE320)))</f>
        <v/>
      </c>
      <c r="E320" s="56">
        <f>IF($B320=0,"",IF(Inputs!$B$8="","",IF($AF320=0,E319,SUMIFS(Data!$J$10:$J$3209,Data!$I$10:$I$3209,"&gt;="&amp;$A320,Data!$I$10:$I$3209,"&lt;"&amp;$A320+1)/$AF320)))</f>
        <v/>
      </c>
      <c r="F320" s="56">
        <f>IF($B320=0,"",IF(Inputs!$B$9="","",IF($AG320=0,F319,SUMIFS(Data!$N$10:$N$3209,Data!$M$10:$M$3209,"&gt;="&amp;$A320,Data!$M$10:$M$3209,"&lt;"&amp;$A320+1)/$AG320)))</f>
        <v/>
      </c>
      <c r="G320" s="56">
        <f>IF($B320=0,"",IF(Inputs!$B$10="","",IF($AH320=0,G319,SUMIFS(Data!$R$10:$R$3209,Data!$Q$10:$Q$3209,"&gt;="&amp;$A320,Data!$Q$10:$Q$3209,"&lt;"&amp;$A320+1)/$AH320)))</f>
        <v/>
      </c>
      <c r="I320" s="54">
        <f>IF($B320=0,NA(),IF($C320="",NA(),IF(C$8="",NA(),IF(N(C$8)=0,NA(),IF(Inputs!$C$17="Rebased to 100",$C320/C$8*100,$C320)))))</f>
        <v/>
      </c>
      <c r="J320" s="54">
        <f>IF($B320=0,NA(),IF($D320="",NA(),IF(D$8="",NA(),IF(N(D$8)=0,NA(),IF(Inputs!$C$17="Rebased to 100",$D320/D$8*100,$D320)))))</f>
        <v/>
      </c>
      <c r="K320" s="54">
        <f>IF($B320=0,NA(),IF($E320="",NA(),IF(E$8="",NA(),IF(N(E$8)=0,NA(),IF(Inputs!$C$17="Rebased to 100",$E320/E$8*100,$E320)))))</f>
        <v/>
      </c>
      <c r="L320" s="54">
        <f>IF($B320=0,NA(),IF($F320="",NA(),IF(F$8="",NA(),IF(N(F$8)=0,NA(),IF(Inputs!$C$17="Rebased to 100",$F320/F$8*100,$F320)))))</f>
        <v/>
      </c>
      <c r="M320" s="54">
        <f>IF($B320=0,NA(),IF($G320="",NA(),IF(G$8="",NA(),IF(N(G$8)=0,NA(),IF(Inputs!$C$17="Rebased to 100",$G320/G$8*100,$G320)))))</f>
        <v/>
      </c>
      <c r="N320" s="54">
        <f>IF($B320=0,NA(),IF(Inputs!$C$18&lt;&gt;"Yes",NA(),IF(COUNT(I320,J320,K320,L320,M320)=0,NA(),MIN(I320,J320,K320,L320,M320))))</f>
        <v/>
      </c>
      <c r="O320" s="54">
        <f>IF($B320=0,NA(),IF(Inputs!$B$24&lt;&gt;"Yes",NA(),Inputs!$D$24*Inputs!$C$35))</f>
        <v/>
      </c>
      <c r="P320" s="54">
        <f>IF($B320=0,NA(),IF(Inputs!$B$25&lt;&gt;"Yes",NA(),Inputs!$D$25*Inputs!$C$35))</f>
        <v/>
      </c>
      <c r="Q320" s="54">
        <f>IF($B320=0,NA(),IF(Inputs!$B$26&lt;&gt;"Yes",NA(),Inputs!$D$26*Inputs!$C$35))</f>
        <v/>
      </c>
      <c r="R320" s="54">
        <f>IF($B320=0,NA(),IF(Inputs!$B$27&lt;&gt;"Yes",NA(),Inputs!$D$27*Inputs!$C$35))</f>
        <v/>
      </c>
      <c r="S320" s="54">
        <f>IF($B320=0,NA(),IF(Inputs!$B$28&lt;&gt;"Yes",NA(),Inputs!$D$28*Inputs!$C$35))</f>
        <v/>
      </c>
      <c r="T320" s="54">
        <f>IF($B320=0,NA(),IF(Inputs!$B$29&lt;&gt;"Yes",NA(),Inputs!$D$29*Inputs!$C$35))</f>
        <v/>
      </c>
      <c r="AD320">
        <f>IF($B320=0,0,IF(Inputs!$B$6="",0,COUNTIFS(Data!$A$10:$A$3209,"&gt;="&amp;$A320,Data!$A$10:$A$3209,"&lt;"&amp;$A320+1)))</f>
        <v/>
      </c>
      <c r="AE320">
        <f>IF($B320=0,0,IF(Inputs!$B$7="",0,COUNTIFS(Data!$E$10:$E$3209,"&gt;="&amp;$A320,Data!$E$10:$E$3209,"&lt;"&amp;$A320+1)))</f>
        <v/>
      </c>
      <c r="AF320">
        <f>IF($B320=0,0,IF(Inputs!$B$8="",0,COUNTIFS(Data!$I$10:$I$3209,"&gt;="&amp;$A320,Data!$I$10:$I$3209,"&lt;"&amp;$A320+1)))</f>
        <v/>
      </c>
      <c r="AG320">
        <f>IF($B320=0,0,IF(Inputs!$B$9="",0,COUNTIFS(Data!$M$10:$M$3209,"&gt;="&amp;$A320,Data!$M$10:$M$3209,"&lt;"&amp;$A320+1)))</f>
        <v/>
      </c>
      <c r="AH320">
        <f>IF($B320=0,0,IF(Inputs!$B$10="",0,COUNTIFS(Data!$Q$10:$Q$3209,"&gt;="&amp;$A320,Data!$Q$10:$Q$3209,"&lt;"&amp;$A320+1)))</f>
        <v/>
      </c>
    </row>
    <row r="321">
      <c r="A321" s="55">
        <f>MIN(Inputs!$C$15,$A320+IF(WEEKDAY($A320,2)=5,3,1))</f>
        <v/>
      </c>
      <c r="B321">
        <f>IF($A321&gt;$A320,1,0)</f>
        <v/>
      </c>
      <c r="C321" s="56">
        <f>IF($B321=0,"",IF(Inputs!$B$6="","",IF($AD321=0,C320,SUMIFS(Data!$B$10:$B$3209,Data!$A$10:$A$3209,"&gt;="&amp;$A321,Data!$A$10:$A$3209,"&lt;"&amp;$A321+1)/$AD321)))</f>
        <v/>
      </c>
      <c r="D321" s="56">
        <f>IF($B321=0,"",IF(Inputs!$B$7="","",IF($AE321=0,D320,SUMIFS(Data!$F$10:$F$3209,Data!$E$10:$E$3209,"&gt;="&amp;$A321,Data!$E$10:$E$3209,"&lt;"&amp;$A321+1)/$AE321)))</f>
        <v/>
      </c>
      <c r="E321" s="56">
        <f>IF($B321=0,"",IF(Inputs!$B$8="","",IF($AF321=0,E320,SUMIFS(Data!$J$10:$J$3209,Data!$I$10:$I$3209,"&gt;="&amp;$A321,Data!$I$10:$I$3209,"&lt;"&amp;$A321+1)/$AF321)))</f>
        <v/>
      </c>
      <c r="F321" s="56">
        <f>IF($B321=0,"",IF(Inputs!$B$9="","",IF($AG321=0,F320,SUMIFS(Data!$N$10:$N$3209,Data!$M$10:$M$3209,"&gt;="&amp;$A321,Data!$M$10:$M$3209,"&lt;"&amp;$A321+1)/$AG321)))</f>
        <v/>
      </c>
      <c r="G321" s="56">
        <f>IF($B321=0,"",IF(Inputs!$B$10="","",IF($AH321=0,G320,SUMIFS(Data!$R$10:$R$3209,Data!$Q$10:$Q$3209,"&gt;="&amp;$A321,Data!$Q$10:$Q$3209,"&lt;"&amp;$A321+1)/$AH321)))</f>
        <v/>
      </c>
      <c r="I321" s="54">
        <f>IF($B321=0,NA(),IF($C321="",NA(),IF(C$8="",NA(),IF(N(C$8)=0,NA(),IF(Inputs!$C$17="Rebased to 100",$C321/C$8*100,$C321)))))</f>
        <v/>
      </c>
      <c r="J321" s="54">
        <f>IF($B321=0,NA(),IF($D321="",NA(),IF(D$8="",NA(),IF(N(D$8)=0,NA(),IF(Inputs!$C$17="Rebased to 100",$D321/D$8*100,$D321)))))</f>
        <v/>
      </c>
      <c r="K321" s="54">
        <f>IF($B321=0,NA(),IF($E321="",NA(),IF(E$8="",NA(),IF(N(E$8)=0,NA(),IF(Inputs!$C$17="Rebased to 100",$E321/E$8*100,$E321)))))</f>
        <v/>
      </c>
      <c r="L321" s="54">
        <f>IF($B321=0,NA(),IF($F321="",NA(),IF(F$8="",NA(),IF(N(F$8)=0,NA(),IF(Inputs!$C$17="Rebased to 100",$F321/F$8*100,$F321)))))</f>
        <v/>
      </c>
      <c r="M321" s="54">
        <f>IF($B321=0,NA(),IF($G321="",NA(),IF(G$8="",NA(),IF(N(G$8)=0,NA(),IF(Inputs!$C$17="Rebased to 100",$G321/G$8*100,$G321)))))</f>
        <v/>
      </c>
      <c r="N321" s="54">
        <f>IF($B321=0,NA(),IF(Inputs!$C$18&lt;&gt;"Yes",NA(),IF(COUNT(I321,J321,K321,L321,M321)=0,NA(),MIN(I321,J321,K321,L321,M321))))</f>
        <v/>
      </c>
      <c r="O321" s="54">
        <f>IF($B321=0,NA(),IF(Inputs!$B$24&lt;&gt;"Yes",NA(),Inputs!$D$24*Inputs!$C$35))</f>
        <v/>
      </c>
      <c r="P321" s="54">
        <f>IF($B321=0,NA(),IF(Inputs!$B$25&lt;&gt;"Yes",NA(),Inputs!$D$25*Inputs!$C$35))</f>
        <v/>
      </c>
      <c r="Q321" s="54">
        <f>IF($B321=0,NA(),IF(Inputs!$B$26&lt;&gt;"Yes",NA(),Inputs!$D$26*Inputs!$C$35))</f>
        <v/>
      </c>
      <c r="R321" s="54">
        <f>IF($B321=0,NA(),IF(Inputs!$B$27&lt;&gt;"Yes",NA(),Inputs!$D$27*Inputs!$C$35))</f>
        <v/>
      </c>
      <c r="S321" s="54">
        <f>IF($B321=0,NA(),IF(Inputs!$B$28&lt;&gt;"Yes",NA(),Inputs!$D$28*Inputs!$C$35))</f>
        <v/>
      </c>
      <c r="T321" s="54">
        <f>IF($B321=0,NA(),IF(Inputs!$B$29&lt;&gt;"Yes",NA(),Inputs!$D$29*Inputs!$C$35))</f>
        <v/>
      </c>
      <c r="AD321">
        <f>IF($B321=0,0,IF(Inputs!$B$6="",0,COUNTIFS(Data!$A$10:$A$3209,"&gt;="&amp;$A321,Data!$A$10:$A$3209,"&lt;"&amp;$A321+1)))</f>
        <v/>
      </c>
      <c r="AE321">
        <f>IF($B321=0,0,IF(Inputs!$B$7="",0,COUNTIFS(Data!$E$10:$E$3209,"&gt;="&amp;$A321,Data!$E$10:$E$3209,"&lt;"&amp;$A321+1)))</f>
        <v/>
      </c>
      <c r="AF321">
        <f>IF($B321=0,0,IF(Inputs!$B$8="",0,COUNTIFS(Data!$I$10:$I$3209,"&gt;="&amp;$A321,Data!$I$10:$I$3209,"&lt;"&amp;$A321+1)))</f>
        <v/>
      </c>
      <c r="AG321">
        <f>IF($B321=0,0,IF(Inputs!$B$9="",0,COUNTIFS(Data!$M$10:$M$3209,"&gt;="&amp;$A321,Data!$M$10:$M$3209,"&lt;"&amp;$A321+1)))</f>
        <v/>
      </c>
      <c r="AH321">
        <f>IF($B321=0,0,IF(Inputs!$B$10="",0,COUNTIFS(Data!$Q$10:$Q$3209,"&gt;="&amp;$A321,Data!$Q$10:$Q$3209,"&lt;"&amp;$A321+1)))</f>
        <v/>
      </c>
    </row>
    <row r="322">
      <c r="A322" s="55">
        <f>MIN(Inputs!$C$15,$A321+IF(WEEKDAY($A321,2)=5,3,1))</f>
        <v/>
      </c>
      <c r="B322">
        <f>IF($A322&gt;$A321,1,0)</f>
        <v/>
      </c>
      <c r="C322" s="56">
        <f>IF($B322=0,"",IF(Inputs!$B$6="","",IF($AD322=0,C321,SUMIFS(Data!$B$10:$B$3209,Data!$A$10:$A$3209,"&gt;="&amp;$A322,Data!$A$10:$A$3209,"&lt;"&amp;$A322+1)/$AD322)))</f>
        <v/>
      </c>
      <c r="D322" s="56">
        <f>IF($B322=0,"",IF(Inputs!$B$7="","",IF($AE322=0,D321,SUMIFS(Data!$F$10:$F$3209,Data!$E$10:$E$3209,"&gt;="&amp;$A322,Data!$E$10:$E$3209,"&lt;"&amp;$A322+1)/$AE322)))</f>
        <v/>
      </c>
      <c r="E322" s="56">
        <f>IF($B322=0,"",IF(Inputs!$B$8="","",IF($AF322=0,E321,SUMIFS(Data!$J$10:$J$3209,Data!$I$10:$I$3209,"&gt;="&amp;$A322,Data!$I$10:$I$3209,"&lt;"&amp;$A322+1)/$AF322)))</f>
        <v/>
      </c>
      <c r="F322" s="56">
        <f>IF($B322=0,"",IF(Inputs!$B$9="","",IF($AG322=0,F321,SUMIFS(Data!$N$10:$N$3209,Data!$M$10:$M$3209,"&gt;="&amp;$A322,Data!$M$10:$M$3209,"&lt;"&amp;$A322+1)/$AG322)))</f>
        <v/>
      </c>
      <c r="G322" s="56">
        <f>IF($B322=0,"",IF(Inputs!$B$10="","",IF($AH322=0,G321,SUMIFS(Data!$R$10:$R$3209,Data!$Q$10:$Q$3209,"&gt;="&amp;$A322,Data!$Q$10:$Q$3209,"&lt;"&amp;$A322+1)/$AH322)))</f>
        <v/>
      </c>
      <c r="I322" s="54">
        <f>IF($B322=0,NA(),IF($C322="",NA(),IF(C$8="",NA(),IF(N(C$8)=0,NA(),IF(Inputs!$C$17="Rebased to 100",$C322/C$8*100,$C322)))))</f>
        <v/>
      </c>
      <c r="J322" s="54">
        <f>IF($B322=0,NA(),IF($D322="",NA(),IF(D$8="",NA(),IF(N(D$8)=0,NA(),IF(Inputs!$C$17="Rebased to 100",$D322/D$8*100,$D322)))))</f>
        <v/>
      </c>
      <c r="K322" s="54">
        <f>IF($B322=0,NA(),IF($E322="",NA(),IF(E$8="",NA(),IF(N(E$8)=0,NA(),IF(Inputs!$C$17="Rebased to 100",$E322/E$8*100,$E322)))))</f>
        <v/>
      </c>
      <c r="L322" s="54">
        <f>IF($B322=0,NA(),IF($F322="",NA(),IF(F$8="",NA(),IF(N(F$8)=0,NA(),IF(Inputs!$C$17="Rebased to 100",$F322/F$8*100,$F322)))))</f>
        <v/>
      </c>
      <c r="M322" s="54">
        <f>IF($B322=0,NA(),IF($G322="",NA(),IF(G$8="",NA(),IF(N(G$8)=0,NA(),IF(Inputs!$C$17="Rebased to 100",$G322/G$8*100,$G322)))))</f>
        <v/>
      </c>
      <c r="N322" s="54">
        <f>IF($B322=0,NA(),IF(Inputs!$C$18&lt;&gt;"Yes",NA(),IF(COUNT(I322,J322,K322,L322,M322)=0,NA(),MIN(I322,J322,K322,L322,M322))))</f>
        <v/>
      </c>
      <c r="O322" s="54">
        <f>IF($B322=0,NA(),IF(Inputs!$B$24&lt;&gt;"Yes",NA(),Inputs!$D$24*Inputs!$C$35))</f>
        <v/>
      </c>
      <c r="P322" s="54">
        <f>IF($B322=0,NA(),IF(Inputs!$B$25&lt;&gt;"Yes",NA(),Inputs!$D$25*Inputs!$C$35))</f>
        <v/>
      </c>
      <c r="Q322" s="54">
        <f>IF($B322=0,NA(),IF(Inputs!$B$26&lt;&gt;"Yes",NA(),Inputs!$D$26*Inputs!$C$35))</f>
        <v/>
      </c>
      <c r="R322" s="54">
        <f>IF($B322=0,NA(),IF(Inputs!$B$27&lt;&gt;"Yes",NA(),Inputs!$D$27*Inputs!$C$35))</f>
        <v/>
      </c>
      <c r="S322" s="54">
        <f>IF($B322=0,NA(),IF(Inputs!$B$28&lt;&gt;"Yes",NA(),Inputs!$D$28*Inputs!$C$35))</f>
        <v/>
      </c>
      <c r="T322" s="54">
        <f>IF($B322=0,NA(),IF(Inputs!$B$29&lt;&gt;"Yes",NA(),Inputs!$D$29*Inputs!$C$35))</f>
        <v/>
      </c>
      <c r="AD322">
        <f>IF($B322=0,0,IF(Inputs!$B$6="",0,COUNTIFS(Data!$A$10:$A$3209,"&gt;="&amp;$A322,Data!$A$10:$A$3209,"&lt;"&amp;$A322+1)))</f>
        <v/>
      </c>
      <c r="AE322">
        <f>IF($B322=0,0,IF(Inputs!$B$7="",0,COUNTIFS(Data!$E$10:$E$3209,"&gt;="&amp;$A322,Data!$E$10:$E$3209,"&lt;"&amp;$A322+1)))</f>
        <v/>
      </c>
      <c r="AF322">
        <f>IF($B322=0,0,IF(Inputs!$B$8="",0,COUNTIFS(Data!$I$10:$I$3209,"&gt;="&amp;$A322,Data!$I$10:$I$3209,"&lt;"&amp;$A322+1)))</f>
        <v/>
      </c>
      <c r="AG322">
        <f>IF($B322=0,0,IF(Inputs!$B$9="",0,COUNTIFS(Data!$M$10:$M$3209,"&gt;="&amp;$A322,Data!$M$10:$M$3209,"&lt;"&amp;$A322+1)))</f>
        <v/>
      </c>
      <c r="AH322">
        <f>IF($B322=0,0,IF(Inputs!$B$10="",0,COUNTIFS(Data!$Q$10:$Q$3209,"&gt;="&amp;$A322,Data!$Q$10:$Q$3209,"&lt;"&amp;$A322+1)))</f>
        <v/>
      </c>
    </row>
    <row r="323">
      <c r="A323" s="55">
        <f>MIN(Inputs!$C$15,$A322+IF(WEEKDAY($A322,2)=5,3,1))</f>
        <v/>
      </c>
      <c r="B323">
        <f>IF($A323&gt;$A322,1,0)</f>
        <v/>
      </c>
      <c r="C323" s="56">
        <f>IF($B323=0,"",IF(Inputs!$B$6="","",IF($AD323=0,C322,SUMIFS(Data!$B$10:$B$3209,Data!$A$10:$A$3209,"&gt;="&amp;$A323,Data!$A$10:$A$3209,"&lt;"&amp;$A323+1)/$AD323)))</f>
        <v/>
      </c>
      <c r="D323" s="56">
        <f>IF($B323=0,"",IF(Inputs!$B$7="","",IF($AE323=0,D322,SUMIFS(Data!$F$10:$F$3209,Data!$E$10:$E$3209,"&gt;="&amp;$A323,Data!$E$10:$E$3209,"&lt;"&amp;$A323+1)/$AE323)))</f>
        <v/>
      </c>
      <c r="E323" s="56">
        <f>IF($B323=0,"",IF(Inputs!$B$8="","",IF($AF323=0,E322,SUMIFS(Data!$J$10:$J$3209,Data!$I$10:$I$3209,"&gt;="&amp;$A323,Data!$I$10:$I$3209,"&lt;"&amp;$A323+1)/$AF323)))</f>
        <v/>
      </c>
      <c r="F323" s="56">
        <f>IF($B323=0,"",IF(Inputs!$B$9="","",IF($AG323=0,F322,SUMIFS(Data!$N$10:$N$3209,Data!$M$10:$M$3209,"&gt;="&amp;$A323,Data!$M$10:$M$3209,"&lt;"&amp;$A323+1)/$AG323)))</f>
        <v/>
      </c>
      <c r="G323" s="56">
        <f>IF($B323=0,"",IF(Inputs!$B$10="","",IF($AH323=0,G322,SUMIFS(Data!$R$10:$R$3209,Data!$Q$10:$Q$3209,"&gt;="&amp;$A323,Data!$Q$10:$Q$3209,"&lt;"&amp;$A323+1)/$AH323)))</f>
        <v/>
      </c>
      <c r="I323" s="54">
        <f>IF($B323=0,NA(),IF($C323="",NA(),IF(C$8="",NA(),IF(N(C$8)=0,NA(),IF(Inputs!$C$17="Rebased to 100",$C323/C$8*100,$C323)))))</f>
        <v/>
      </c>
      <c r="J323" s="54">
        <f>IF($B323=0,NA(),IF($D323="",NA(),IF(D$8="",NA(),IF(N(D$8)=0,NA(),IF(Inputs!$C$17="Rebased to 100",$D323/D$8*100,$D323)))))</f>
        <v/>
      </c>
      <c r="K323" s="54">
        <f>IF($B323=0,NA(),IF($E323="",NA(),IF(E$8="",NA(),IF(N(E$8)=0,NA(),IF(Inputs!$C$17="Rebased to 100",$E323/E$8*100,$E323)))))</f>
        <v/>
      </c>
      <c r="L323" s="54">
        <f>IF($B323=0,NA(),IF($F323="",NA(),IF(F$8="",NA(),IF(N(F$8)=0,NA(),IF(Inputs!$C$17="Rebased to 100",$F323/F$8*100,$F323)))))</f>
        <v/>
      </c>
      <c r="M323" s="54">
        <f>IF($B323=0,NA(),IF($G323="",NA(),IF(G$8="",NA(),IF(N(G$8)=0,NA(),IF(Inputs!$C$17="Rebased to 100",$G323/G$8*100,$G323)))))</f>
        <v/>
      </c>
      <c r="N323" s="54">
        <f>IF($B323=0,NA(),IF(Inputs!$C$18&lt;&gt;"Yes",NA(),IF(COUNT(I323,J323,K323,L323,M323)=0,NA(),MIN(I323,J323,K323,L323,M323))))</f>
        <v/>
      </c>
      <c r="O323" s="54">
        <f>IF($B323=0,NA(),IF(Inputs!$B$24&lt;&gt;"Yes",NA(),Inputs!$D$24*Inputs!$C$35))</f>
        <v/>
      </c>
      <c r="P323" s="54">
        <f>IF($B323=0,NA(),IF(Inputs!$B$25&lt;&gt;"Yes",NA(),Inputs!$D$25*Inputs!$C$35))</f>
        <v/>
      </c>
      <c r="Q323" s="54">
        <f>IF($B323=0,NA(),IF(Inputs!$B$26&lt;&gt;"Yes",NA(),Inputs!$D$26*Inputs!$C$35))</f>
        <v/>
      </c>
      <c r="R323" s="54">
        <f>IF($B323=0,NA(),IF(Inputs!$B$27&lt;&gt;"Yes",NA(),Inputs!$D$27*Inputs!$C$35))</f>
        <v/>
      </c>
      <c r="S323" s="54">
        <f>IF($B323=0,NA(),IF(Inputs!$B$28&lt;&gt;"Yes",NA(),Inputs!$D$28*Inputs!$C$35))</f>
        <v/>
      </c>
      <c r="T323" s="54">
        <f>IF($B323=0,NA(),IF(Inputs!$B$29&lt;&gt;"Yes",NA(),Inputs!$D$29*Inputs!$C$35))</f>
        <v/>
      </c>
      <c r="AD323">
        <f>IF($B323=0,0,IF(Inputs!$B$6="",0,COUNTIFS(Data!$A$10:$A$3209,"&gt;="&amp;$A323,Data!$A$10:$A$3209,"&lt;"&amp;$A323+1)))</f>
        <v/>
      </c>
      <c r="AE323">
        <f>IF($B323=0,0,IF(Inputs!$B$7="",0,COUNTIFS(Data!$E$10:$E$3209,"&gt;="&amp;$A323,Data!$E$10:$E$3209,"&lt;"&amp;$A323+1)))</f>
        <v/>
      </c>
      <c r="AF323">
        <f>IF($B323=0,0,IF(Inputs!$B$8="",0,COUNTIFS(Data!$I$10:$I$3209,"&gt;="&amp;$A323,Data!$I$10:$I$3209,"&lt;"&amp;$A323+1)))</f>
        <v/>
      </c>
      <c r="AG323">
        <f>IF($B323=0,0,IF(Inputs!$B$9="",0,COUNTIFS(Data!$M$10:$M$3209,"&gt;="&amp;$A323,Data!$M$10:$M$3209,"&lt;"&amp;$A323+1)))</f>
        <v/>
      </c>
      <c r="AH323">
        <f>IF($B323=0,0,IF(Inputs!$B$10="",0,COUNTIFS(Data!$Q$10:$Q$3209,"&gt;="&amp;$A323,Data!$Q$10:$Q$3209,"&lt;"&amp;$A323+1)))</f>
        <v/>
      </c>
    </row>
    <row r="324">
      <c r="A324" s="55">
        <f>MIN(Inputs!$C$15,$A323+IF(WEEKDAY($A323,2)=5,3,1))</f>
        <v/>
      </c>
      <c r="B324">
        <f>IF($A324&gt;$A323,1,0)</f>
        <v/>
      </c>
      <c r="C324" s="56">
        <f>IF($B324=0,"",IF(Inputs!$B$6="","",IF($AD324=0,C323,SUMIFS(Data!$B$10:$B$3209,Data!$A$10:$A$3209,"&gt;="&amp;$A324,Data!$A$10:$A$3209,"&lt;"&amp;$A324+1)/$AD324)))</f>
        <v/>
      </c>
      <c r="D324" s="56">
        <f>IF($B324=0,"",IF(Inputs!$B$7="","",IF($AE324=0,D323,SUMIFS(Data!$F$10:$F$3209,Data!$E$10:$E$3209,"&gt;="&amp;$A324,Data!$E$10:$E$3209,"&lt;"&amp;$A324+1)/$AE324)))</f>
        <v/>
      </c>
      <c r="E324" s="56">
        <f>IF($B324=0,"",IF(Inputs!$B$8="","",IF($AF324=0,E323,SUMIFS(Data!$J$10:$J$3209,Data!$I$10:$I$3209,"&gt;="&amp;$A324,Data!$I$10:$I$3209,"&lt;"&amp;$A324+1)/$AF324)))</f>
        <v/>
      </c>
      <c r="F324" s="56">
        <f>IF($B324=0,"",IF(Inputs!$B$9="","",IF($AG324=0,F323,SUMIFS(Data!$N$10:$N$3209,Data!$M$10:$M$3209,"&gt;="&amp;$A324,Data!$M$10:$M$3209,"&lt;"&amp;$A324+1)/$AG324)))</f>
        <v/>
      </c>
      <c r="G324" s="56">
        <f>IF($B324=0,"",IF(Inputs!$B$10="","",IF($AH324=0,G323,SUMIFS(Data!$R$10:$R$3209,Data!$Q$10:$Q$3209,"&gt;="&amp;$A324,Data!$Q$10:$Q$3209,"&lt;"&amp;$A324+1)/$AH324)))</f>
        <v/>
      </c>
      <c r="I324" s="54">
        <f>IF($B324=0,NA(),IF($C324="",NA(),IF(C$8="",NA(),IF(N(C$8)=0,NA(),IF(Inputs!$C$17="Rebased to 100",$C324/C$8*100,$C324)))))</f>
        <v/>
      </c>
      <c r="J324" s="54">
        <f>IF($B324=0,NA(),IF($D324="",NA(),IF(D$8="",NA(),IF(N(D$8)=0,NA(),IF(Inputs!$C$17="Rebased to 100",$D324/D$8*100,$D324)))))</f>
        <v/>
      </c>
      <c r="K324" s="54">
        <f>IF($B324=0,NA(),IF($E324="",NA(),IF(E$8="",NA(),IF(N(E$8)=0,NA(),IF(Inputs!$C$17="Rebased to 100",$E324/E$8*100,$E324)))))</f>
        <v/>
      </c>
      <c r="L324" s="54">
        <f>IF($B324=0,NA(),IF($F324="",NA(),IF(F$8="",NA(),IF(N(F$8)=0,NA(),IF(Inputs!$C$17="Rebased to 100",$F324/F$8*100,$F324)))))</f>
        <v/>
      </c>
      <c r="M324" s="54">
        <f>IF($B324=0,NA(),IF($G324="",NA(),IF(G$8="",NA(),IF(N(G$8)=0,NA(),IF(Inputs!$C$17="Rebased to 100",$G324/G$8*100,$G324)))))</f>
        <v/>
      </c>
      <c r="N324" s="54">
        <f>IF($B324=0,NA(),IF(Inputs!$C$18&lt;&gt;"Yes",NA(),IF(COUNT(I324,J324,K324,L324,M324)=0,NA(),MIN(I324,J324,K324,L324,M324))))</f>
        <v/>
      </c>
      <c r="O324" s="54">
        <f>IF($B324=0,NA(),IF(Inputs!$B$24&lt;&gt;"Yes",NA(),Inputs!$D$24*Inputs!$C$35))</f>
        <v/>
      </c>
      <c r="P324" s="54">
        <f>IF($B324=0,NA(),IF(Inputs!$B$25&lt;&gt;"Yes",NA(),Inputs!$D$25*Inputs!$C$35))</f>
        <v/>
      </c>
      <c r="Q324" s="54">
        <f>IF($B324=0,NA(),IF(Inputs!$B$26&lt;&gt;"Yes",NA(),Inputs!$D$26*Inputs!$C$35))</f>
        <v/>
      </c>
      <c r="R324" s="54">
        <f>IF($B324=0,NA(),IF(Inputs!$B$27&lt;&gt;"Yes",NA(),Inputs!$D$27*Inputs!$C$35))</f>
        <v/>
      </c>
      <c r="S324" s="54">
        <f>IF($B324=0,NA(),IF(Inputs!$B$28&lt;&gt;"Yes",NA(),Inputs!$D$28*Inputs!$C$35))</f>
        <v/>
      </c>
      <c r="T324" s="54">
        <f>IF($B324=0,NA(),IF(Inputs!$B$29&lt;&gt;"Yes",NA(),Inputs!$D$29*Inputs!$C$35))</f>
        <v/>
      </c>
      <c r="AD324">
        <f>IF($B324=0,0,IF(Inputs!$B$6="",0,COUNTIFS(Data!$A$10:$A$3209,"&gt;="&amp;$A324,Data!$A$10:$A$3209,"&lt;"&amp;$A324+1)))</f>
        <v/>
      </c>
      <c r="AE324">
        <f>IF($B324=0,0,IF(Inputs!$B$7="",0,COUNTIFS(Data!$E$10:$E$3209,"&gt;="&amp;$A324,Data!$E$10:$E$3209,"&lt;"&amp;$A324+1)))</f>
        <v/>
      </c>
      <c r="AF324">
        <f>IF($B324=0,0,IF(Inputs!$B$8="",0,COUNTIFS(Data!$I$10:$I$3209,"&gt;="&amp;$A324,Data!$I$10:$I$3209,"&lt;"&amp;$A324+1)))</f>
        <v/>
      </c>
      <c r="AG324">
        <f>IF($B324=0,0,IF(Inputs!$B$9="",0,COUNTIFS(Data!$M$10:$M$3209,"&gt;="&amp;$A324,Data!$M$10:$M$3209,"&lt;"&amp;$A324+1)))</f>
        <v/>
      </c>
      <c r="AH324">
        <f>IF($B324=0,0,IF(Inputs!$B$10="",0,COUNTIFS(Data!$Q$10:$Q$3209,"&gt;="&amp;$A324,Data!$Q$10:$Q$3209,"&lt;"&amp;$A324+1)))</f>
        <v/>
      </c>
    </row>
    <row r="325">
      <c r="A325" s="55">
        <f>MIN(Inputs!$C$15,$A324+IF(WEEKDAY($A324,2)=5,3,1))</f>
        <v/>
      </c>
      <c r="B325">
        <f>IF($A325&gt;$A324,1,0)</f>
        <v/>
      </c>
      <c r="C325" s="56">
        <f>IF($B325=0,"",IF(Inputs!$B$6="","",IF($AD325=0,C324,SUMIFS(Data!$B$10:$B$3209,Data!$A$10:$A$3209,"&gt;="&amp;$A325,Data!$A$10:$A$3209,"&lt;"&amp;$A325+1)/$AD325)))</f>
        <v/>
      </c>
      <c r="D325" s="56">
        <f>IF($B325=0,"",IF(Inputs!$B$7="","",IF($AE325=0,D324,SUMIFS(Data!$F$10:$F$3209,Data!$E$10:$E$3209,"&gt;="&amp;$A325,Data!$E$10:$E$3209,"&lt;"&amp;$A325+1)/$AE325)))</f>
        <v/>
      </c>
      <c r="E325" s="56">
        <f>IF($B325=0,"",IF(Inputs!$B$8="","",IF($AF325=0,E324,SUMIFS(Data!$J$10:$J$3209,Data!$I$10:$I$3209,"&gt;="&amp;$A325,Data!$I$10:$I$3209,"&lt;"&amp;$A325+1)/$AF325)))</f>
        <v/>
      </c>
      <c r="F325" s="56">
        <f>IF($B325=0,"",IF(Inputs!$B$9="","",IF($AG325=0,F324,SUMIFS(Data!$N$10:$N$3209,Data!$M$10:$M$3209,"&gt;="&amp;$A325,Data!$M$10:$M$3209,"&lt;"&amp;$A325+1)/$AG325)))</f>
        <v/>
      </c>
      <c r="G325" s="56">
        <f>IF($B325=0,"",IF(Inputs!$B$10="","",IF($AH325=0,G324,SUMIFS(Data!$R$10:$R$3209,Data!$Q$10:$Q$3209,"&gt;="&amp;$A325,Data!$Q$10:$Q$3209,"&lt;"&amp;$A325+1)/$AH325)))</f>
        <v/>
      </c>
      <c r="I325" s="54">
        <f>IF($B325=0,NA(),IF($C325="",NA(),IF(C$8="",NA(),IF(N(C$8)=0,NA(),IF(Inputs!$C$17="Rebased to 100",$C325/C$8*100,$C325)))))</f>
        <v/>
      </c>
      <c r="J325" s="54">
        <f>IF($B325=0,NA(),IF($D325="",NA(),IF(D$8="",NA(),IF(N(D$8)=0,NA(),IF(Inputs!$C$17="Rebased to 100",$D325/D$8*100,$D325)))))</f>
        <v/>
      </c>
      <c r="K325" s="54">
        <f>IF($B325=0,NA(),IF($E325="",NA(),IF(E$8="",NA(),IF(N(E$8)=0,NA(),IF(Inputs!$C$17="Rebased to 100",$E325/E$8*100,$E325)))))</f>
        <v/>
      </c>
      <c r="L325" s="54">
        <f>IF($B325=0,NA(),IF($F325="",NA(),IF(F$8="",NA(),IF(N(F$8)=0,NA(),IF(Inputs!$C$17="Rebased to 100",$F325/F$8*100,$F325)))))</f>
        <v/>
      </c>
      <c r="M325" s="54">
        <f>IF($B325=0,NA(),IF($G325="",NA(),IF(G$8="",NA(),IF(N(G$8)=0,NA(),IF(Inputs!$C$17="Rebased to 100",$G325/G$8*100,$G325)))))</f>
        <v/>
      </c>
      <c r="N325" s="54">
        <f>IF($B325=0,NA(),IF(Inputs!$C$18&lt;&gt;"Yes",NA(),IF(COUNT(I325,J325,K325,L325,M325)=0,NA(),MIN(I325,J325,K325,L325,M325))))</f>
        <v/>
      </c>
      <c r="O325" s="54">
        <f>IF($B325=0,NA(),IF(Inputs!$B$24&lt;&gt;"Yes",NA(),Inputs!$D$24*Inputs!$C$35))</f>
        <v/>
      </c>
      <c r="P325" s="54">
        <f>IF($B325=0,NA(),IF(Inputs!$B$25&lt;&gt;"Yes",NA(),Inputs!$D$25*Inputs!$C$35))</f>
        <v/>
      </c>
      <c r="Q325" s="54">
        <f>IF($B325=0,NA(),IF(Inputs!$B$26&lt;&gt;"Yes",NA(),Inputs!$D$26*Inputs!$C$35))</f>
        <v/>
      </c>
      <c r="R325" s="54">
        <f>IF($B325=0,NA(),IF(Inputs!$B$27&lt;&gt;"Yes",NA(),Inputs!$D$27*Inputs!$C$35))</f>
        <v/>
      </c>
      <c r="S325" s="54">
        <f>IF($B325=0,NA(),IF(Inputs!$B$28&lt;&gt;"Yes",NA(),Inputs!$D$28*Inputs!$C$35))</f>
        <v/>
      </c>
      <c r="T325" s="54">
        <f>IF($B325=0,NA(),IF(Inputs!$B$29&lt;&gt;"Yes",NA(),Inputs!$D$29*Inputs!$C$35))</f>
        <v/>
      </c>
      <c r="AD325">
        <f>IF($B325=0,0,IF(Inputs!$B$6="",0,COUNTIFS(Data!$A$10:$A$3209,"&gt;="&amp;$A325,Data!$A$10:$A$3209,"&lt;"&amp;$A325+1)))</f>
        <v/>
      </c>
      <c r="AE325">
        <f>IF($B325=0,0,IF(Inputs!$B$7="",0,COUNTIFS(Data!$E$10:$E$3209,"&gt;="&amp;$A325,Data!$E$10:$E$3209,"&lt;"&amp;$A325+1)))</f>
        <v/>
      </c>
      <c r="AF325">
        <f>IF($B325=0,0,IF(Inputs!$B$8="",0,COUNTIFS(Data!$I$10:$I$3209,"&gt;="&amp;$A325,Data!$I$10:$I$3209,"&lt;"&amp;$A325+1)))</f>
        <v/>
      </c>
      <c r="AG325">
        <f>IF($B325=0,0,IF(Inputs!$B$9="",0,COUNTIFS(Data!$M$10:$M$3209,"&gt;="&amp;$A325,Data!$M$10:$M$3209,"&lt;"&amp;$A325+1)))</f>
        <v/>
      </c>
      <c r="AH325">
        <f>IF($B325=0,0,IF(Inputs!$B$10="",0,COUNTIFS(Data!$Q$10:$Q$3209,"&gt;="&amp;$A325,Data!$Q$10:$Q$3209,"&lt;"&amp;$A325+1)))</f>
        <v/>
      </c>
    </row>
    <row r="326">
      <c r="A326" s="55">
        <f>MIN(Inputs!$C$15,$A325+IF(WEEKDAY($A325,2)=5,3,1))</f>
        <v/>
      </c>
      <c r="B326">
        <f>IF($A326&gt;$A325,1,0)</f>
        <v/>
      </c>
      <c r="C326" s="56">
        <f>IF($B326=0,"",IF(Inputs!$B$6="","",IF($AD326=0,C325,SUMIFS(Data!$B$10:$B$3209,Data!$A$10:$A$3209,"&gt;="&amp;$A326,Data!$A$10:$A$3209,"&lt;"&amp;$A326+1)/$AD326)))</f>
        <v/>
      </c>
      <c r="D326" s="56">
        <f>IF($B326=0,"",IF(Inputs!$B$7="","",IF($AE326=0,D325,SUMIFS(Data!$F$10:$F$3209,Data!$E$10:$E$3209,"&gt;="&amp;$A326,Data!$E$10:$E$3209,"&lt;"&amp;$A326+1)/$AE326)))</f>
        <v/>
      </c>
      <c r="E326" s="56">
        <f>IF($B326=0,"",IF(Inputs!$B$8="","",IF($AF326=0,E325,SUMIFS(Data!$J$10:$J$3209,Data!$I$10:$I$3209,"&gt;="&amp;$A326,Data!$I$10:$I$3209,"&lt;"&amp;$A326+1)/$AF326)))</f>
        <v/>
      </c>
      <c r="F326" s="56">
        <f>IF($B326=0,"",IF(Inputs!$B$9="","",IF($AG326=0,F325,SUMIFS(Data!$N$10:$N$3209,Data!$M$10:$M$3209,"&gt;="&amp;$A326,Data!$M$10:$M$3209,"&lt;"&amp;$A326+1)/$AG326)))</f>
        <v/>
      </c>
      <c r="G326" s="56">
        <f>IF($B326=0,"",IF(Inputs!$B$10="","",IF($AH326=0,G325,SUMIFS(Data!$R$10:$R$3209,Data!$Q$10:$Q$3209,"&gt;="&amp;$A326,Data!$Q$10:$Q$3209,"&lt;"&amp;$A326+1)/$AH326)))</f>
        <v/>
      </c>
      <c r="I326" s="54">
        <f>IF($B326=0,NA(),IF($C326="",NA(),IF(C$8="",NA(),IF(N(C$8)=0,NA(),IF(Inputs!$C$17="Rebased to 100",$C326/C$8*100,$C326)))))</f>
        <v/>
      </c>
      <c r="J326" s="54">
        <f>IF($B326=0,NA(),IF($D326="",NA(),IF(D$8="",NA(),IF(N(D$8)=0,NA(),IF(Inputs!$C$17="Rebased to 100",$D326/D$8*100,$D326)))))</f>
        <v/>
      </c>
      <c r="K326" s="54">
        <f>IF($B326=0,NA(),IF($E326="",NA(),IF(E$8="",NA(),IF(N(E$8)=0,NA(),IF(Inputs!$C$17="Rebased to 100",$E326/E$8*100,$E326)))))</f>
        <v/>
      </c>
      <c r="L326" s="54">
        <f>IF($B326=0,NA(),IF($F326="",NA(),IF(F$8="",NA(),IF(N(F$8)=0,NA(),IF(Inputs!$C$17="Rebased to 100",$F326/F$8*100,$F326)))))</f>
        <v/>
      </c>
      <c r="M326" s="54">
        <f>IF($B326=0,NA(),IF($G326="",NA(),IF(G$8="",NA(),IF(N(G$8)=0,NA(),IF(Inputs!$C$17="Rebased to 100",$G326/G$8*100,$G326)))))</f>
        <v/>
      </c>
      <c r="N326" s="54">
        <f>IF($B326=0,NA(),IF(Inputs!$C$18&lt;&gt;"Yes",NA(),IF(COUNT(I326,J326,K326,L326,M326)=0,NA(),MIN(I326,J326,K326,L326,M326))))</f>
        <v/>
      </c>
      <c r="O326" s="54">
        <f>IF($B326=0,NA(),IF(Inputs!$B$24&lt;&gt;"Yes",NA(),Inputs!$D$24*Inputs!$C$35))</f>
        <v/>
      </c>
      <c r="P326" s="54">
        <f>IF($B326=0,NA(),IF(Inputs!$B$25&lt;&gt;"Yes",NA(),Inputs!$D$25*Inputs!$C$35))</f>
        <v/>
      </c>
      <c r="Q326" s="54">
        <f>IF($B326=0,NA(),IF(Inputs!$B$26&lt;&gt;"Yes",NA(),Inputs!$D$26*Inputs!$C$35))</f>
        <v/>
      </c>
      <c r="R326" s="54">
        <f>IF($B326=0,NA(),IF(Inputs!$B$27&lt;&gt;"Yes",NA(),Inputs!$D$27*Inputs!$C$35))</f>
        <v/>
      </c>
      <c r="S326" s="54">
        <f>IF($B326=0,NA(),IF(Inputs!$B$28&lt;&gt;"Yes",NA(),Inputs!$D$28*Inputs!$C$35))</f>
        <v/>
      </c>
      <c r="T326" s="54">
        <f>IF($B326=0,NA(),IF(Inputs!$B$29&lt;&gt;"Yes",NA(),Inputs!$D$29*Inputs!$C$35))</f>
        <v/>
      </c>
      <c r="AD326">
        <f>IF($B326=0,0,IF(Inputs!$B$6="",0,COUNTIFS(Data!$A$10:$A$3209,"&gt;="&amp;$A326,Data!$A$10:$A$3209,"&lt;"&amp;$A326+1)))</f>
        <v/>
      </c>
      <c r="AE326">
        <f>IF($B326=0,0,IF(Inputs!$B$7="",0,COUNTIFS(Data!$E$10:$E$3209,"&gt;="&amp;$A326,Data!$E$10:$E$3209,"&lt;"&amp;$A326+1)))</f>
        <v/>
      </c>
      <c r="AF326">
        <f>IF($B326=0,0,IF(Inputs!$B$8="",0,COUNTIFS(Data!$I$10:$I$3209,"&gt;="&amp;$A326,Data!$I$10:$I$3209,"&lt;"&amp;$A326+1)))</f>
        <v/>
      </c>
      <c r="AG326">
        <f>IF($B326=0,0,IF(Inputs!$B$9="",0,COUNTIFS(Data!$M$10:$M$3209,"&gt;="&amp;$A326,Data!$M$10:$M$3209,"&lt;"&amp;$A326+1)))</f>
        <v/>
      </c>
      <c r="AH326">
        <f>IF($B326=0,0,IF(Inputs!$B$10="",0,COUNTIFS(Data!$Q$10:$Q$3209,"&gt;="&amp;$A326,Data!$Q$10:$Q$3209,"&lt;"&amp;$A326+1)))</f>
        <v/>
      </c>
    </row>
    <row r="327">
      <c r="A327" s="55">
        <f>MIN(Inputs!$C$15,$A326+IF(WEEKDAY($A326,2)=5,3,1))</f>
        <v/>
      </c>
      <c r="B327">
        <f>IF($A327&gt;$A326,1,0)</f>
        <v/>
      </c>
      <c r="C327" s="56">
        <f>IF($B327=0,"",IF(Inputs!$B$6="","",IF($AD327=0,C326,SUMIFS(Data!$B$10:$B$3209,Data!$A$10:$A$3209,"&gt;="&amp;$A327,Data!$A$10:$A$3209,"&lt;"&amp;$A327+1)/$AD327)))</f>
        <v/>
      </c>
      <c r="D327" s="56">
        <f>IF($B327=0,"",IF(Inputs!$B$7="","",IF($AE327=0,D326,SUMIFS(Data!$F$10:$F$3209,Data!$E$10:$E$3209,"&gt;="&amp;$A327,Data!$E$10:$E$3209,"&lt;"&amp;$A327+1)/$AE327)))</f>
        <v/>
      </c>
      <c r="E327" s="56">
        <f>IF($B327=0,"",IF(Inputs!$B$8="","",IF($AF327=0,E326,SUMIFS(Data!$J$10:$J$3209,Data!$I$10:$I$3209,"&gt;="&amp;$A327,Data!$I$10:$I$3209,"&lt;"&amp;$A327+1)/$AF327)))</f>
        <v/>
      </c>
      <c r="F327" s="56">
        <f>IF($B327=0,"",IF(Inputs!$B$9="","",IF($AG327=0,F326,SUMIFS(Data!$N$10:$N$3209,Data!$M$10:$M$3209,"&gt;="&amp;$A327,Data!$M$10:$M$3209,"&lt;"&amp;$A327+1)/$AG327)))</f>
        <v/>
      </c>
      <c r="G327" s="56">
        <f>IF($B327=0,"",IF(Inputs!$B$10="","",IF($AH327=0,G326,SUMIFS(Data!$R$10:$R$3209,Data!$Q$10:$Q$3209,"&gt;="&amp;$A327,Data!$Q$10:$Q$3209,"&lt;"&amp;$A327+1)/$AH327)))</f>
        <v/>
      </c>
      <c r="I327" s="54">
        <f>IF($B327=0,NA(),IF($C327="",NA(),IF(C$8="",NA(),IF(N(C$8)=0,NA(),IF(Inputs!$C$17="Rebased to 100",$C327/C$8*100,$C327)))))</f>
        <v/>
      </c>
      <c r="J327" s="54">
        <f>IF($B327=0,NA(),IF($D327="",NA(),IF(D$8="",NA(),IF(N(D$8)=0,NA(),IF(Inputs!$C$17="Rebased to 100",$D327/D$8*100,$D327)))))</f>
        <v/>
      </c>
      <c r="K327" s="54">
        <f>IF($B327=0,NA(),IF($E327="",NA(),IF(E$8="",NA(),IF(N(E$8)=0,NA(),IF(Inputs!$C$17="Rebased to 100",$E327/E$8*100,$E327)))))</f>
        <v/>
      </c>
      <c r="L327" s="54">
        <f>IF($B327=0,NA(),IF($F327="",NA(),IF(F$8="",NA(),IF(N(F$8)=0,NA(),IF(Inputs!$C$17="Rebased to 100",$F327/F$8*100,$F327)))))</f>
        <v/>
      </c>
      <c r="M327" s="54">
        <f>IF($B327=0,NA(),IF($G327="",NA(),IF(G$8="",NA(),IF(N(G$8)=0,NA(),IF(Inputs!$C$17="Rebased to 100",$G327/G$8*100,$G327)))))</f>
        <v/>
      </c>
      <c r="N327" s="54">
        <f>IF($B327=0,NA(),IF(Inputs!$C$18&lt;&gt;"Yes",NA(),IF(COUNT(I327,J327,K327,L327,M327)=0,NA(),MIN(I327,J327,K327,L327,M327))))</f>
        <v/>
      </c>
      <c r="O327" s="54">
        <f>IF($B327=0,NA(),IF(Inputs!$B$24&lt;&gt;"Yes",NA(),Inputs!$D$24*Inputs!$C$35))</f>
        <v/>
      </c>
      <c r="P327" s="54">
        <f>IF($B327=0,NA(),IF(Inputs!$B$25&lt;&gt;"Yes",NA(),Inputs!$D$25*Inputs!$C$35))</f>
        <v/>
      </c>
      <c r="Q327" s="54">
        <f>IF($B327=0,NA(),IF(Inputs!$B$26&lt;&gt;"Yes",NA(),Inputs!$D$26*Inputs!$C$35))</f>
        <v/>
      </c>
      <c r="R327" s="54">
        <f>IF($B327=0,NA(),IF(Inputs!$B$27&lt;&gt;"Yes",NA(),Inputs!$D$27*Inputs!$C$35))</f>
        <v/>
      </c>
      <c r="S327" s="54">
        <f>IF($B327=0,NA(),IF(Inputs!$B$28&lt;&gt;"Yes",NA(),Inputs!$D$28*Inputs!$C$35))</f>
        <v/>
      </c>
      <c r="T327" s="54">
        <f>IF($B327=0,NA(),IF(Inputs!$B$29&lt;&gt;"Yes",NA(),Inputs!$D$29*Inputs!$C$35))</f>
        <v/>
      </c>
      <c r="AD327">
        <f>IF($B327=0,0,IF(Inputs!$B$6="",0,COUNTIFS(Data!$A$10:$A$3209,"&gt;="&amp;$A327,Data!$A$10:$A$3209,"&lt;"&amp;$A327+1)))</f>
        <v/>
      </c>
      <c r="AE327">
        <f>IF($B327=0,0,IF(Inputs!$B$7="",0,COUNTIFS(Data!$E$10:$E$3209,"&gt;="&amp;$A327,Data!$E$10:$E$3209,"&lt;"&amp;$A327+1)))</f>
        <v/>
      </c>
      <c r="AF327">
        <f>IF($B327=0,0,IF(Inputs!$B$8="",0,COUNTIFS(Data!$I$10:$I$3209,"&gt;="&amp;$A327,Data!$I$10:$I$3209,"&lt;"&amp;$A327+1)))</f>
        <v/>
      </c>
      <c r="AG327">
        <f>IF($B327=0,0,IF(Inputs!$B$9="",0,COUNTIFS(Data!$M$10:$M$3209,"&gt;="&amp;$A327,Data!$M$10:$M$3209,"&lt;"&amp;$A327+1)))</f>
        <v/>
      </c>
      <c r="AH327">
        <f>IF($B327=0,0,IF(Inputs!$B$10="",0,COUNTIFS(Data!$Q$10:$Q$3209,"&gt;="&amp;$A327,Data!$Q$10:$Q$3209,"&lt;"&amp;$A327+1)))</f>
        <v/>
      </c>
    </row>
    <row r="328">
      <c r="A328" s="55">
        <f>MIN(Inputs!$C$15,$A327+IF(WEEKDAY($A327,2)=5,3,1))</f>
        <v/>
      </c>
      <c r="B328">
        <f>IF($A328&gt;$A327,1,0)</f>
        <v/>
      </c>
      <c r="C328" s="56">
        <f>IF($B328=0,"",IF(Inputs!$B$6="","",IF($AD328=0,C327,SUMIFS(Data!$B$10:$B$3209,Data!$A$10:$A$3209,"&gt;="&amp;$A328,Data!$A$10:$A$3209,"&lt;"&amp;$A328+1)/$AD328)))</f>
        <v/>
      </c>
      <c r="D328" s="56">
        <f>IF($B328=0,"",IF(Inputs!$B$7="","",IF($AE328=0,D327,SUMIFS(Data!$F$10:$F$3209,Data!$E$10:$E$3209,"&gt;="&amp;$A328,Data!$E$10:$E$3209,"&lt;"&amp;$A328+1)/$AE328)))</f>
        <v/>
      </c>
      <c r="E328" s="56">
        <f>IF($B328=0,"",IF(Inputs!$B$8="","",IF($AF328=0,E327,SUMIFS(Data!$J$10:$J$3209,Data!$I$10:$I$3209,"&gt;="&amp;$A328,Data!$I$10:$I$3209,"&lt;"&amp;$A328+1)/$AF328)))</f>
        <v/>
      </c>
      <c r="F328" s="56">
        <f>IF($B328=0,"",IF(Inputs!$B$9="","",IF($AG328=0,F327,SUMIFS(Data!$N$10:$N$3209,Data!$M$10:$M$3209,"&gt;="&amp;$A328,Data!$M$10:$M$3209,"&lt;"&amp;$A328+1)/$AG328)))</f>
        <v/>
      </c>
      <c r="G328" s="56">
        <f>IF($B328=0,"",IF(Inputs!$B$10="","",IF($AH328=0,G327,SUMIFS(Data!$R$10:$R$3209,Data!$Q$10:$Q$3209,"&gt;="&amp;$A328,Data!$Q$10:$Q$3209,"&lt;"&amp;$A328+1)/$AH328)))</f>
        <v/>
      </c>
      <c r="I328" s="54">
        <f>IF($B328=0,NA(),IF($C328="",NA(),IF(C$8="",NA(),IF(N(C$8)=0,NA(),IF(Inputs!$C$17="Rebased to 100",$C328/C$8*100,$C328)))))</f>
        <v/>
      </c>
      <c r="J328" s="54">
        <f>IF($B328=0,NA(),IF($D328="",NA(),IF(D$8="",NA(),IF(N(D$8)=0,NA(),IF(Inputs!$C$17="Rebased to 100",$D328/D$8*100,$D328)))))</f>
        <v/>
      </c>
      <c r="K328" s="54">
        <f>IF($B328=0,NA(),IF($E328="",NA(),IF(E$8="",NA(),IF(N(E$8)=0,NA(),IF(Inputs!$C$17="Rebased to 100",$E328/E$8*100,$E328)))))</f>
        <v/>
      </c>
      <c r="L328" s="54">
        <f>IF($B328=0,NA(),IF($F328="",NA(),IF(F$8="",NA(),IF(N(F$8)=0,NA(),IF(Inputs!$C$17="Rebased to 100",$F328/F$8*100,$F328)))))</f>
        <v/>
      </c>
      <c r="M328" s="54">
        <f>IF($B328=0,NA(),IF($G328="",NA(),IF(G$8="",NA(),IF(N(G$8)=0,NA(),IF(Inputs!$C$17="Rebased to 100",$G328/G$8*100,$G328)))))</f>
        <v/>
      </c>
      <c r="N328" s="54">
        <f>IF($B328=0,NA(),IF(Inputs!$C$18&lt;&gt;"Yes",NA(),IF(COUNT(I328,J328,K328,L328,M328)=0,NA(),MIN(I328,J328,K328,L328,M328))))</f>
        <v/>
      </c>
      <c r="O328" s="54">
        <f>IF($B328=0,NA(),IF(Inputs!$B$24&lt;&gt;"Yes",NA(),Inputs!$D$24*Inputs!$C$35))</f>
        <v/>
      </c>
      <c r="P328" s="54">
        <f>IF($B328=0,NA(),IF(Inputs!$B$25&lt;&gt;"Yes",NA(),Inputs!$D$25*Inputs!$C$35))</f>
        <v/>
      </c>
      <c r="Q328" s="54">
        <f>IF($B328=0,NA(),IF(Inputs!$B$26&lt;&gt;"Yes",NA(),Inputs!$D$26*Inputs!$C$35))</f>
        <v/>
      </c>
      <c r="R328" s="54">
        <f>IF($B328=0,NA(),IF(Inputs!$B$27&lt;&gt;"Yes",NA(),Inputs!$D$27*Inputs!$C$35))</f>
        <v/>
      </c>
      <c r="S328" s="54">
        <f>IF($B328=0,NA(),IF(Inputs!$B$28&lt;&gt;"Yes",NA(),Inputs!$D$28*Inputs!$C$35))</f>
        <v/>
      </c>
      <c r="T328" s="54">
        <f>IF($B328=0,NA(),IF(Inputs!$B$29&lt;&gt;"Yes",NA(),Inputs!$D$29*Inputs!$C$35))</f>
        <v/>
      </c>
      <c r="AD328">
        <f>IF($B328=0,0,IF(Inputs!$B$6="",0,COUNTIFS(Data!$A$10:$A$3209,"&gt;="&amp;$A328,Data!$A$10:$A$3209,"&lt;"&amp;$A328+1)))</f>
        <v/>
      </c>
      <c r="AE328">
        <f>IF($B328=0,0,IF(Inputs!$B$7="",0,COUNTIFS(Data!$E$10:$E$3209,"&gt;="&amp;$A328,Data!$E$10:$E$3209,"&lt;"&amp;$A328+1)))</f>
        <v/>
      </c>
      <c r="AF328">
        <f>IF($B328=0,0,IF(Inputs!$B$8="",0,COUNTIFS(Data!$I$10:$I$3209,"&gt;="&amp;$A328,Data!$I$10:$I$3209,"&lt;"&amp;$A328+1)))</f>
        <v/>
      </c>
      <c r="AG328">
        <f>IF($B328=0,0,IF(Inputs!$B$9="",0,COUNTIFS(Data!$M$10:$M$3209,"&gt;="&amp;$A328,Data!$M$10:$M$3209,"&lt;"&amp;$A328+1)))</f>
        <v/>
      </c>
      <c r="AH328">
        <f>IF($B328=0,0,IF(Inputs!$B$10="",0,COUNTIFS(Data!$Q$10:$Q$3209,"&gt;="&amp;$A328,Data!$Q$10:$Q$3209,"&lt;"&amp;$A328+1)))</f>
        <v/>
      </c>
    </row>
    <row r="329">
      <c r="A329" s="55">
        <f>MIN(Inputs!$C$15,$A328+IF(WEEKDAY($A328,2)=5,3,1))</f>
        <v/>
      </c>
      <c r="B329">
        <f>IF($A329&gt;$A328,1,0)</f>
        <v/>
      </c>
      <c r="C329" s="56">
        <f>IF($B329=0,"",IF(Inputs!$B$6="","",IF($AD329=0,C328,SUMIFS(Data!$B$10:$B$3209,Data!$A$10:$A$3209,"&gt;="&amp;$A329,Data!$A$10:$A$3209,"&lt;"&amp;$A329+1)/$AD329)))</f>
        <v/>
      </c>
      <c r="D329" s="56">
        <f>IF($B329=0,"",IF(Inputs!$B$7="","",IF($AE329=0,D328,SUMIFS(Data!$F$10:$F$3209,Data!$E$10:$E$3209,"&gt;="&amp;$A329,Data!$E$10:$E$3209,"&lt;"&amp;$A329+1)/$AE329)))</f>
        <v/>
      </c>
      <c r="E329" s="56">
        <f>IF($B329=0,"",IF(Inputs!$B$8="","",IF($AF329=0,E328,SUMIFS(Data!$J$10:$J$3209,Data!$I$10:$I$3209,"&gt;="&amp;$A329,Data!$I$10:$I$3209,"&lt;"&amp;$A329+1)/$AF329)))</f>
        <v/>
      </c>
      <c r="F329" s="56">
        <f>IF($B329=0,"",IF(Inputs!$B$9="","",IF($AG329=0,F328,SUMIFS(Data!$N$10:$N$3209,Data!$M$10:$M$3209,"&gt;="&amp;$A329,Data!$M$10:$M$3209,"&lt;"&amp;$A329+1)/$AG329)))</f>
        <v/>
      </c>
      <c r="G329" s="56">
        <f>IF($B329=0,"",IF(Inputs!$B$10="","",IF($AH329=0,G328,SUMIFS(Data!$R$10:$R$3209,Data!$Q$10:$Q$3209,"&gt;="&amp;$A329,Data!$Q$10:$Q$3209,"&lt;"&amp;$A329+1)/$AH329)))</f>
        <v/>
      </c>
      <c r="I329" s="54">
        <f>IF($B329=0,NA(),IF($C329="",NA(),IF(C$8="",NA(),IF(N(C$8)=0,NA(),IF(Inputs!$C$17="Rebased to 100",$C329/C$8*100,$C329)))))</f>
        <v/>
      </c>
      <c r="J329" s="54">
        <f>IF($B329=0,NA(),IF($D329="",NA(),IF(D$8="",NA(),IF(N(D$8)=0,NA(),IF(Inputs!$C$17="Rebased to 100",$D329/D$8*100,$D329)))))</f>
        <v/>
      </c>
      <c r="K329" s="54">
        <f>IF($B329=0,NA(),IF($E329="",NA(),IF(E$8="",NA(),IF(N(E$8)=0,NA(),IF(Inputs!$C$17="Rebased to 100",$E329/E$8*100,$E329)))))</f>
        <v/>
      </c>
      <c r="L329" s="54">
        <f>IF($B329=0,NA(),IF($F329="",NA(),IF(F$8="",NA(),IF(N(F$8)=0,NA(),IF(Inputs!$C$17="Rebased to 100",$F329/F$8*100,$F329)))))</f>
        <v/>
      </c>
      <c r="M329" s="54">
        <f>IF($B329=0,NA(),IF($G329="",NA(),IF(G$8="",NA(),IF(N(G$8)=0,NA(),IF(Inputs!$C$17="Rebased to 100",$G329/G$8*100,$G329)))))</f>
        <v/>
      </c>
      <c r="N329" s="54">
        <f>IF($B329=0,NA(),IF(Inputs!$C$18&lt;&gt;"Yes",NA(),IF(COUNT(I329,J329,K329,L329,M329)=0,NA(),MIN(I329,J329,K329,L329,M329))))</f>
        <v/>
      </c>
      <c r="O329" s="54">
        <f>IF($B329=0,NA(),IF(Inputs!$B$24&lt;&gt;"Yes",NA(),Inputs!$D$24*Inputs!$C$35))</f>
        <v/>
      </c>
      <c r="P329" s="54">
        <f>IF($B329=0,NA(),IF(Inputs!$B$25&lt;&gt;"Yes",NA(),Inputs!$D$25*Inputs!$C$35))</f>
        <v/>
      </c>
      <c r="Q329" s="54">
        <f>IF($B329=0,NA(),IF(Inputs!$B$26&lt;&gt;"Yes",NA(),Inputs!$D$26*Inputs!$C$35))</f>
        <v/>
      </c>
      <c r="R329" s="54">
        <f>IF($B329=0,NA(),IF(Inputs!$B$27&lt;&gt;"Yes",NA(),Inputs!$D$27*Inputs!$C$35))</f>
        <v/>
      </c>
      <c r="S329" s="54">
        <f>IF($B329=0,NA(),IF(Inputs!$B$28&lt;&gt;"Yes",NA(),Inputs!$D$28*Inputs!$C$35))</f>
        <v/>
      </c>
      <c r="T329" s="54">
        <f>IF($B329=0,NA(),IF(Inputs!$B$29&lt;&gt;"Yes",NA(),Inputs!$D$29*Inputs!$C$35))</f>
        <v/>
      </c>
      <c r="AD329">
        <f>IF($B329=0,0,IF(Inputs!$B$6="",0,COUNTIFS(Data!$A$10:$A$3209,"&gt;="&amp;$A329,Data!$A$10:$A$3209,"&lt;"&amp;$A329+1)))</f>
        <v/>
      </c>
      <c r="AE329">
        <f>IF($B329=0,0,IF(Inputs!$B$7="",0,COUNTIFS(Data!$E$10:$E$3209,"&gt;="&amp;$A329,Data!$E$10:$E$3209,"&lt;"&amp;$A329+1)))</f>
        <v/>
      </c>
      <c r="AF329">
        <f>IF($B329=0,0,IF(Inputs!$B$8="",0,COUNTIFS(Data!$I$10:$I$3209,"&gt;="&amp;$A329,Data!$I$10:$I$3209,"&lt;"&amp;$A329+1)))</f>
        <v/>
      </c>
      <c r="AG329">
        <f>IF($B329=0,0,IF(Inputs!$B$9="",0,COUNTIFS(Data!$M$10:$M$3209,"&gt;="&amp;$A329,Data!$M$10:$M$3209,"&lt;"&amp;$A329+1)))</f>
        <v/>
      </c>
      <c r="AH329">
        <f>IF($B329=0,0,IF(Inputs!$B$10="",0,COUNTIFS(Data!$Q$10:$Q$3209,"&gt;="&amp;$A329,Data!$Q$10:$Q$3209,"&lt;"&amp;$A329+1)))</f>
        <v/>
      </c>
    </row>
    <row r="330">
      <c r="A330" s="55">
        <f>MIN(Inputs!$C$15,$A329+IF(WEEKDAY($A329,2)=5,3,1))</f>
        <v/>
      </c>
      <c r="B330">
        <f>IF($A330&gt;$A329,1,0)</f>
        <v/>
      </c>
      <c r="C330" s="56">
        <f>IF($B330=0,"",IF(Inputs!$B$6="","",IF($AD330=0,C329,SUMIFS(Data!$B$10:$B$3209,Data!$A$10:$A$3209,"&gt;="&amp;$A330,Data!$A$10:$A$3209,"&lt;"&amp;$A330+1)/$AD330)))</f>
        <v/>
      </c>
      <c r="D330" s="56">
        <f>IF($B330=0,"",IF(Inputs!$B$7="","",IF($AE330=0,D329,SUMIFS(Data!$F$10:$F$3209,Data!$E$10:$E$3209,"&gt;="&amp;$A330,Data!$E$10:$E$3209,"&lt;"&amp;$A330+1)/$AE330)))</f>
        <v/>
      </c>
      <c r="E330" s="56">
        <f>IF($B330=0,"",IF(Inputs!$B$8="","",IF($AF330=0,E329,SUMIFS(Data!$J$10:$J$3209,Data!$I$10:$I$3209,"&gt;="&amp;$A330,Data!$I$10:$I$3209,"&lt;"&amp;$A330+1)/$AF330)))</f>
        <v/>
      </c>
      <c r="F330" s="56">
        <f>IF($B330=0,"",IF(Inputs!$B$9="","",IF($AG330=0,F329,SUMIFS(Data!$N$10:$N$3209,Data!$M$10:$M$3209,"&gt;="&amp;$A330,Data!$M$10:$M$3209,"&lt;"&amp;$A330+1)/$AG330)))</f>
        <v/>
      </c>
      <c r="G330" s="56">
        <f>IF($B330=0,"",IF(Inputs!$B$10="","",IF($AH330=0,G329,SUMIFS(Data!$R$10:$R$3209,Data!$Q$10:$Q$3209,"&gt;="&amp;$A330,Data!$Q$10:$Q$3209,"&lt;"&amp;$A330+1)/$AH330)))</f>
        <v/>
      </c>
      <c r="I330" s="54">
        <f>IF($B330=0,NA(),IF($C330="",NA(),IF(C$8="",NA(),IF(N(C$8)=0,NA(),IF(Inputs!$C$17="Rebased to 100",$C330/C$8*100,$C330)))))</f>
        <v/>
      </c>
      <c r="J330" s="54">
        <f>IF($B330=0,NA(),IF($D330="",NA(),IF(D$8="",NA(),IF(N(D$8)=0,NA(),IF(Inputs!$C$17="Rebased to 100",$D330/D$8*100,$D330)))))</f>
        <v/>
      </c>
      <c r="K330" s="54">
        <f>IF($B330=0,NA(),IF($E330="",NA(),IF(E$8="",NA(),IF(N(E$8)=0,NA(),IF(Inputs!$C$17="Rebased to 100",$E330/E$8*100,$E330)))))</f>
        <v/>
      </c>
      <c r="L330" s="54">
        <f>IF($B330=0,NA(),IF($F330="",NA(),IF(F$8="",NA(),IF(N(F$8)=0,NA(),IF(Inputs!$C$17="Rebased to 100",$F330/F$8*100,$F330)))))</f>
        <v/>
      </c>
      <c r="M330" s="54">
        <f>IF($B330=0,NA(),IF($G330="",NA(),IF(G$8="",NA(),IF(N(G$8)=0,NA(),IF(Inputs!$C$17="Rebased to 100",$G330/G$8*100,$G330)))))</f>
        <v/>
      </c>
      <c r="N330" s="54">
        <f>IF($B330=0,NA(),IF(Inputs!$C$18&lt;&gt;"Yes",NA(),IF(COUNT(I330,J330,K330,L330,M330)=0,NA(),MIN(I330,J330,K330,L330,M330))))</f>
        <v/>
      </c>
      <c r="O330" s="54">
        <f>IF($B330=0,NA(),IF(Inputs!$B$24&lt;&gt;"Yes",NA(),Inputs!$D$24*Inputs!$C$35))</f>
        <v/>
      </c>
      <c r="P330" s="54">
        <f>IF($B330=0,NA(),IF(Inputs!$B$25&lt;&gt;"Yes",NA(),Inputs!$D$25*Inputs!$C$35))</f>
        <v/>
      </c>
      <c r="Q330" s="54">
        <f>IF($B330=0,NA(),IF(Inputs!$B$26&lt;&gt;"Yes",NA(),Inputs!$D$26*Inputs!$C$35))</f>
        <v/>
      </c>
      <c r="R330" s="54">
        <f>IF($B330=0,NA(),IF(Inputs!$B$27&lt;&gt;"Yes",NA(),Inputs!$D$27*Inputs!$C$35))</f>
        <v/>
      </c>
      <c r="S330" s="54">
        <f>IF($B330=0,NA(),IF(Inputs!$B$28&lt;&gt;"Yes",NA(),Inputs!$D$28*Inputs!$C$35))</f>
        <v/>
      </c>
      <c r="T330" s="54">
        <f>IF($B330=0,NA(),IF(Inputs!$B$29&lt;&gt;"Yes",NA(),Inputs!$D$29*Inputs!$C$35))</f>
        <v/>
      </c>
      <c r="AD330">
        <f>IF($B330=0,0,IF(Inputs!$B$6="",0,COUNTIFS(Data!$A$10:$A$3209,"&gt;="&amp;$A330,Data!$A$10:$A$3209,"&lt;"&amp;$A330+1)))</f>
        <v/>
      </c>
      <c r="AE330">
        <f>IF($B330=0,0,IF(Inputs!$B$7="",0,COUNTIFS(Data!$E$10:$E$3209,"&gt;="&amp;$A330,Data!$E$10:$E$3209,"&lt;"&amp;$A330+1)))</f>
        <v/>
      </c>
      <c r="AF330">
        <f>IF($B330=0,0,IF(Inputs!$B$8="",0,COUNTIFS(Data!$I$10:$I$3209,"&gt;="&amp;$A330,Data!$I$10:$I$3209,"&lt;"&amp;$A330+1)))</f>
        <v/>
      </c>
      <c r="AG330">
        <f>IF($B330=0,0,IF(Inputs!$B$9="",0,COUNTIFS(Data!$M$10:$M$3209,"&gt;="&amp;$A330,Data!$M$10:$M$3209,"&lt;"&amp;$A330+1)))</f>
        <v/>
      </c>
      <c r="AH330">
        <f>IF($B330=0,0,IF(Inputs!$B$10="",0,COUNTIFS(Data!$Q$10:$Q$3209,"&gt;="&amp;$A330,Data!$Q$10:$Q$3209,"&lt;"&amp;$A330+1)))</f>
        <v/>
      </c>
    </row>
    <row r="331">
      <c r="A331" s="55">
        <f>MIN(Inputs!$C$15,$A330+IF(WEEKDAY($A330,2)=5,3,1))</f>
        <v/>
      </c>
      <c r="B331">
        <f>IF($A331&gt;$A330,1,0)</f>
        <v/>
      </c>
      <c r="C331" s="56">
        <f>IF($B331=0,"",IF(Inputs!$B$6="","",IF($AD331=0,C330,SUMIFS(Data!$B$10:$B$3209,Data!$A$10:$A$3209,"&gt;="&amp;$A331,Data!$A$10:$A$3209,"&lt;"&amp;$A331+1)/$AD331)))</f>
        <v/>
      </c>
      <c r="D331" s="56">
        <f>IF($B331=0,"",IF(Inputs!$B$7="","",IF($AE331=0,D330,SUMIFS(Data!$F$10:$F$3209,Data!$E$10:$E$3209,"&gt;="&amp;$A331,Data!$E$10:$E$3209,"&lt;"&amp;$A331+1)/$AE331)))</f>
        <v/>
      </c>
      <c r="E331" s="56">
        <f>IF($B331=0,"",IF(Inputs!$B$8="","",IF($AF331=0,E330,SUMIFS(Data!$J$10:$J$3209,Data!$I$10:$I$3209,"&gt;="&amp;$A331,Data!$I$10:$I$3209,"&lt;"&amp;$A331+1)/$AF331)))</f>
        <v/>
      </c>
      <c r="F331" s="56">
        <f>IF($B331=0,"",IF(Inputs!$B$9="","",IF($AG331=0,F330,SUMIFS(Data!$N$10:$N$3209,Data!$M$10:$M$3209,"&gt;="&amp;$A331,Data!$M$10:$M$3209,"&lt;"&amp;$A331+1)/$AG331)))</f>
        <v/>
      </c>
      <c r="G331" s="56">
        <f>IF($B331=0,"",IF(Inputs!$B$10="","",IF($AH331=0,G330,SUMIFS(Data!$R$10:$R$3209,Data!$Q$10:$Q$3209,"&gt;="&amp;$A331,Data!$Q$10:$Q$3209,"&lt;"&amp;$A331+1)/$AH331)))</f>
        <v/>
      </c>
      <c r="I331" s="54">
        <f>IF($B331=0,NA(),IF($C331="",NA(),IF(C$8="",NA(),IF(N(C$8)=0,NA(),IF(Inputs!$C$17="Rebased to 100",$C331/C$8*100,$C331)))))</f>
        <v/>
      </c>
      <c r="J331" s="54">
        <f>IF($B331=0,NA(),IF($D331="",NA(),IF(D$8="",NA(),IF(N(D$8)=0,NA(),IF(Inputs!$C$17="Rebased to 100",$D331/D$8*100,$D331)))))</f>
        <v/>
      </c>
      <c r="K331" s="54">
        <f>IF($B331=0,NA(),IF($E331="",NA(),IF(E$8="",NA(),IF(N(E$8)=0,NA(),IF(Inputs!$C$17="Rebased to 100",$E331/E$8*100,$E331)))))</f>
        <v/>
      </c>
      <c r="L331" s="54">
        <f>IF($B331=0,NA(),IF($F331="",NA(),IF(F$8="",NA(),IF(N(F$8)=0,NA(),IF(Inputs!$C$17="Rebased to 100",$F331/F$8*100,$F331)))))</f>
        <v/>
      </c>
      <c r="M331" s="54">
        <f>IF($B331=0,NA(),IF($G331="",NA(),IF(G$8="",NA(),IF(N(G$8)=0,NA(),IF(Inputs!$C$17="Rebased to 100",$G331/G$8*100,$G331)))))</f>
        <v/>
      </c>
      <c r="N331" s="54">
        <f>IF($B331=0,NA(),IF(Inputs!$C$18&lt;&gt;"Yes",NA(),IF(COUNT(I331,J331,K331,L331,M331)=0,NA(),MIN(I331,J331,K331,L331,M331))))</f>
        <v/>
      </c>
      <c r="O331" s="54">
        <f>IF($B331=0,NA(),IF(Inputs!$B$24&lt;&gt;"Yes",NA(),Inputs!$D$24*Inputs!$C$35))</f>
        <v/>
      </c>
      <c r="P331" s="54">
        <f>IF($B331=0,NA(),IF(Inputs!$B$25&lt;&gt;"Yes",NA(),Inputs!$D$25*Inputs!$C$35))</f>
        <v/>
      </c>
      <c r="Q331" s="54">
        <f>IF($B331=0,NA(),IF(Inputs!$B$26&lt;&gt;"Yes",NA(),Inputs!$D$26*Inputs!$C$35))</f>
        <v/>
      </c>
      <c r="R331" s="54">
        <f>IF($B331=0,NA(),IF(Inputs!$B$27&lt;&gt;"Yes",NA(),Inputs!$D$27*Inputs!$C$35))</f>
        <v/>
      </c>
      <c r="S331" s="54">
        <f>IF($B331=0,NA(),IF(Inputs!$B$28&lt;&gt;"Yes",NA(),Inputs!$D$28*Inputs!$C$35))</f>
        <v/>
      </c>
      <c r="T331" s="54">
        <f>IF($B331=0,NA(),IF(Inputs!$B$29&lt;&gt;"Yes",NA(),Inputs!$D$29*Inputs!$C$35))</f>
        <v/>
      </c>
      <c r="AD331">
        <f>IF($B331=0,0,IF(Inputs!$B$6="",0,COUNTIFS(Data!$A$10:$A$3209,"&gt;="&amp;$A331,Data!$A$10:$A$3209,"&lt;"&amp;$A331+1)))</f>
        <v/>
      </c>
      <c r="AE331">
        <f>IF($B331=0,0,IF(Inputs!$B$7="",0,COUNTIFS(Data!$E$10:$E$3209,"&gt;="&amp;$A331,Data!$E$10:$E$3209,"&lt;"&amp;$A331+1)))</f>
        <v/>
      </c>
      <c r="AF331">
        <f>IF($B331=0,0,IF(Inputs!$B$8="",0,COUNTIFS(Data!$I$10:$I$3209,"&gt;="&amp;$A331,Data!$I$10:$I$3209,"&lt;"&amp;$A331+1)))</f>
        <v/>
      </c>
      <c r="AG331">
        <f>IF($B331=0,0,IF(Inputs!$B$9="",0,COUNTIFS(Data!$M$10:$M$3209,"&gt;="&amp;$A331,Data!$M$10:$M$3209,"&lt;"&amp;$A331+1)))</f>
        <v/>
      </c>
      <c r="AH331">
        <f>IF($B331=0,0,IF(Inputs!$B$10="",0,COUNTIFS(Data!$Q$10:$Q$3209,"&gt;="&amp;$A331,Data!$Q$10:$Q$3209,"&lt;"&amp;$A331+1)))</f>
        <v/>
      </c>
    </row>
    <row r="332">
      <c r="A332" s="55">
        <f>MIN(Inputs!$C$15,$A331+IF(WEEKDAY($A331,2)=5,3,1))</f>
        <v/>
      </c>
      <c r="B332">
        <f>IF($A332&gt;$A331,1,0)</f>
        <v/>
      </c>
      <c r="C332" s="56">
        <f>IF($B332=0,"",IF(Inputs!$B$6="","",IF($AD332=0,C331,SUMIFS(Data!$B$10:$B$3209,Data!$A$10:$A$3209,"&gt;="&amp;$A332,Data!$A$10:$A$3209,"&lt;"&amp;$A332+1)/$AD332)))</f>
        <v/>
      </c>
      <c r="D332" s="56">
        <f>IF($B332=0,"",IF(Inputs!$B$7="","",IF($AE332=0,D331,SUMIFS(Data!$F$10:$F$3209,Data!$E$10:$E$3209,"&gt;="&amp;$A332,Data!$E$10:$E$3209,"&lt;"&amp;$A332+1)/$AE332)))</f>
        <v/>
      </c>
      <c r="E332" s="56">
        <f>IF($B332=0,"",IF(Inputs!$B$8="","",IF($AF332=0,E331,SUMIFS(Data!$J$10:$J$3209,Data!$I$10:$I$3209,"&gt;="&amp;$A332,Data!$I$10:$I$3209,"&lt;"&amp;$A332+1)/$AF332)))</f>
        <v/>
      </c>
      <c r="F332" s="56">
        <f>IF($B332=0,"",IF(Inputs!$B$9="","",IF($AG332=0,F331,SUMIFS(Data!$N$10:$N$3209,Data!$M$10:$M$3209,"&gt;="&amp;$A332,Data!$M$10:$M$3209,"&lt;"&amp;$A332+1)/$AG332)))</f>
        <v/>
      </c>
      <c r="G332" s="56">
        <f>IF($B332=0,"",IF(Inputs!$B$10="","",IF($AH332=0,G331,SUMIFS(Data!$R$10:$R$3209,Data!$Q$10:$Q$3209,"&gt;="&amp;$A332,Data!$Q$10:$Q$3209,"&lt;"&amp;$A332+1)/$AH332)))</f>
        <v/>
      </c>
      <c r="I332" s="54">
        <f>IF($B332=0,NA(),IF($C332="",NA(),IF(C$8="",NA(),IF(N(C$8)=0,NA(),IF(Inputs!$C$17="Rebased to 100",$C332/C$8*100,$C332)))))</f>
        <v/>
      </c>
      <c r="J332" s="54">
        <f>IF($B332=0,NA(),IF($D332="",NA(),IF(D$8="",NA(),IF(N(D$8)=0,NA(),IF(Inputs!$C$17="Rebased to 100",$D332/D$8*100,$D332)))))</f>
        <v/>
      </c>
      <c r="K332" s="54">
        <f>IF($B332=0,NA(),IF($E332="",NA(),IF(E$8="",NA(),IF(N(E$8)=0,NA(),IF(Inputs!$C$17="Rebased to 100",$E332/E$8*100,$E332)))))</f>
        <v/>
      </c>
      <c r="L332" s="54">
        <f>IF($B332=0,NA(),IF($F332="",NA(),IF(F$8="",NA(),IF(N(F$8)=0,NA(),IF(Inputs!$C$17="Rebased to 100",$F332/F$8*100,$F332)))))</f>
        <v/>
      </c>
      <c r="M332" s="54">
        <f>IF($B332=0,NA(),IF($G332="",NA(),IF(G$8="",NA(),IF(N(G$8)=0,NA(),IF(Inputs!$C$17="Rebased to 100",$G332/G$8*100,$G332)))))</f>
        <v/>
      </c>
      <c r="N332" s="54">
        <f>IF($B332=0,NA(),IF(Inputs!$C$18&lt;&gt;"Yes",NA(),IF(COUNT(I332,J332,K332,L332,M332)=0,NA(),MIN(I332,J332,K332,L332,M332))))</f>
        <v/>
      </c>
      <c r="O332" s="54">
        <f>IF($B332=0,NA(),IF(Inputs!$B$24&lt;&gt;"Yes",NA(),Inputs!$D$24*Inputs!$C$35))</f>
        <v/>
      </c>
      <c r="P332" s="54">
        <f>IF($B332=0,NA(),IF(Inputs!$B$25&lt;&gt;"Yes",NA(),Inputs!$D$25*Inputs!$C$35))</f>
        <v/>
      </c>
      <c r="Q332" s="54">
        <f>IF($B332=0,NA(),IF(Inputs!$B$26&lt;&gt;"Yes",NA(),Inputs!$D$26*Inputs!$C$35))</f>
        <v/>
      </c>
      <c r="R332" s="54">
        <f>IF($B332=0,NA(),IF(Inputs!$B$27&lt;&gt;"Yes",NA(),Inputs!$D$27*Inputs!$C$35))</f>
        <v/>
      </c>
      <c r="S332" s="54">
        <f>IF($B332=0,NA(),IF(Inputs!$B$28&lt;&gt;"Yes",NA(),Inputs!$D$28*Inputs!$C$35))</f>
        <v/>
      </c>
      <c r="T332" s="54">
        <f>IF($B332=0,NA(),IF(Inputs!$B$29&lt;&gt;"Yes",NA(),Inputs!$D$29*Inputs!$C$35))</f>
        <v/>
      </c>
      <c r="AD332">
        <f>IF($B332=0,0,IF(Inputs!$B$6="",0,COUNTIFS(Data!$A$10:$A$3209,"&gt;="&amp;$A332,Data!$A$10:$A$3209,"&lt;"&amp;$A332+1)))</f>
        <v/>
      </c>
      <c r="AE332">
        <f>IF($B332=0,0,IF(Inputs!$B$7="",0,COUNTIFS(Data!$E$10:$E$3209,"&gt;="&amp;$A332,Data!$E$10:$E$3209,"&lt;"&amp;$A332+1)))</f>
        <v/>
      </c>
      <c r="AF332">
        <f>IF($B332=0,0,IF(Inputs!$B$8="",0,COUNTIFS(Data!$I$10:$I$3209,"&gt;="&amp;$A332,Data!$I$10:$I$3209,"&lt;"&amp;$A332+1)))</f>
        <v/>
      </c>
      <c r="AG332">
        <f>IF($B332=0,0,IF(Inputs!$B$9="",0,COUNTIFS(Data!$M$10:$M$3209,"&gt;="&amp;$A332,Data!$M$10:$M$3209,"&lt;"&amp;$A332+1)))</f>
        <v/>
      </c>
      <c r="AH332">
        <f>IF($B332=0,0,IF(Inputs!$B$10="",0,COUNTIFS(Data!$Q$10:$Q$3209,"&gt;="&amp;$A332,Data!$Q$10:$Q$3209,"&lt;"&amp;$A332+1)))</f>
        <v/>
      </c>
    </row>
    <row r="333">
      <c r="A333" s="55">
        <f>MIN(Inputs!$C$15,$A332+IF(WEEKDAY($A332,2)=5,3,1))</f>
        <v/>
      </c>
      <c r="B333">
        <f>IF($A333&gt;$A332,1,0)</f>
        <v/>
      </c>
      <c r="C333" s="56">
        <f>IF($B333=0,"",IF(Inputs!$B$6="","",IF($AD333=0,C332,SUMIFS(Data!$B$10:$B$3209,Data!$A$10:$A$3209,"&gt;="&amp;$A333,Data!$A$10:$A$3209,"&lt;"&amp;$A333+1)/$AD333)))</f>
        <v/>
      </c>
      <c r="D333" s="56">
        <f>IF($B333=0,"",IF(Inputs!$B$7="","",IF($AE333=0,D332,SUMIFS(Data!$F$10:$F$3209,Data!$E$10:$E$3209,"&gt;="&amp;$A333,Data!$E$10:$E$3209,"&lt;"&amp;$A333+1)/$AE333)))</f>
        <v/>
      </c>
      <c r="E333" s="56">
        <f>IF($B333=0,"",IF(Inputs!$B$8="","",IF($AF333=0,E332,SUMIFS(Data!$J$10:$J$3209,Data!$I$10:$I$3209,"&gt;="&amp;$A333,Data!$I$10:$I$3209,"&lt;"&amp;$A333+1)/$AF333)))</f>
        <v/>
      </c>
      <c r="F333" s="56">
        <f>IF($B333=0,"",IF(Inputs!$B$9="","",IF($AG333=0,F332,SUMIFS(Data!$N$10:$N$3209,Data!$M$10:$M$3209,"&gt;="&amp;$A333,Data!$M$10:$M$3209,"&lt;"&amp;$A333+1)/$AG333)))</f>
        <v/>
      </c>
      <c r="G333" s="56">
        <f>IF($B333=0,"",IF(Inputs!$B$10="","",IF($AH333=0,G332,SUMIFS(Data!$R$10:$R$3209,Data!$Q$10:$Q$3209,"&gt;="&amp;$A333,Data!$Q$10:$Q$3209,"&lt;"&amp;$A333+1)/$AH333)))</f>
        <v/>
      </c>
      <c r="I333" s="54">
        <f>IF($B333=0,NA(),IF($C333="",NA(),IF(C$8="",NA(),IF(N(C$8)=0,NA(),IF(Inputs!$C$17="Rebased to 100",$C333/C$8*100,$C333)))))</f>
        <v/>
      </c>
      <c r="J333" s="54">
        <f>IF($B333=0,NA(),IF($D333="",NA(),IF(D$8="",NA(),IF(N(D$8)=0,NA(),IF(Inputs!$C$17="Rebased to 100",$D333/D$8*100,$D333)))))</f>
        <v/>
      </c>
      <c r="K333" s="54">
        <f>IF($B333=0,NA(),IF($E333="",NA(),IF(E$8="",NA(),IF(N(E$8)=0,NA(),IF(Inputs!$C$17="Rebased to 100",$E333/E$8*100,$E333)))))</f>
        <v/>
      </c>
      <c r="L333" s="54">
        <f>IF($B333=0,NA(),IF($F333="",NA(),IF(F$8="",NA(),IF(N(F$8)=0,NA(),IF(Inputs!$C$17="Rebased to 100",$F333/F$8*100,$F333)))))</f>
        <v/>
      </c>
      <c r="M333" s="54">
        <f>IF($B333=0,NA(),IF($G333="",NA(),IF(G$8="",NA(),IF(N(G$8)=0,NA(),IF(Inputs!$C$17="Rebased to 100",$G333/G$8*100,$G333)))))</f>
        <v/>
      </c>
      <c r="N333" s="54">
        <f>IF($B333=0,NA(),IF(Inputs!$C$18&lt;&gt;"Yes",NA(),IF(COUNT(I333,J333,K333,L333,M333)=0,NA(),MIN(I333,J333,K333,L333,M333))))</f>
        <v/>
      </c>
      <c r="O333" s="54">
        <f>IF($B333=0,NA(),IF(Inputs!$B$24&lt;&gt;"Yes",NA(),Inputs!$D$24*Inputs!$C$35))</f>
        <v/>
      </c>
      <c r="P333" s="54">
        <f>IF($B333=0,NA(),IF(Inputs!$B$25&lt;&gt;"Yes",NA(),Inputs!$D$25*Inputs!$C$35))</f>
        <v/>
      </c>
      <c r="Q333" s="54">
        <f>IF($B333=0,NA(),IF(Inputs!$B$26&lt;&gt;"Yes",NA(),Inputs!$D$26*Inputs!$C$35))</f>
        <v/>
      </c>
      <c r="R333" s="54">
        <f>IF($B333=0,NA(),IF(Inputs!$B$27&lt;&gt;"Yes",NA(),Inputs!$D$27*Inputs!$C$35))</f>
        <v/>
      </c>
      <c r="S333" s="54">
        <f>IF($B333=0,NA(),IF(Inputs!$B$28&lt;&gt;"Yes",NA(),Inputs!$D$28*Inputs!$C$35))</f>
        <v/>
      </c>
      <c r="T333" s="54">
        <f>IF($B333=0,NA(),IF(Inputs!$B$29&lt;&gt;"Yes",NA(),Inputs!$D$29*Inputs!$C$35))</f>
        <v/>
      </c>
      <c r="AD333">
        <f>IF($B333=0,0,IF(Inputs!$B$6="",0,COUNTIFS(Data!$A$10:$A$3209,"&gt;="&amp;$A333,Data!$A$10:$A$3209,"&lt;"&amp;$A333+1)))</f>
        <v/>
      </c>
      <c r="AE333">
        <f>IF($B333=0,0,IF(Inputs!$B$7="",0,COUNTIFS(Data!$E$10:$E$3209,"&gt;="&amp;$A333,Data!$E$10:$E$3209,"&lt;"&amp;$A333+1)))</f>
        <v/>
      </c>
      <c r="AF333">
        <f>IF($B333=0,0,IF(Inputs!$B$8="",0,COUNTIFS(Data!$I$10:$I$3209,"&gt;="&amp;$A333,Data!$I$10:$I$3209,"&lt;"&amp;$A333+1)))</f>
        <v/>
      </c>
      <c r="AG333">
        <f>IF($B333=0,0,IF(Inputs!$B$9="",0,COUNTIFS(Data!$M$10:$M$3209,"&gt;="&amp;$A333,Data!$M$10:$M$3209,"&lt;"&amp;$A333+1)))</f>
        <v/>
      </c>
      <c r="AH333">
        <f>IF($B333=0,0,IF(Inputs!$B$10="",0,COUNTIFS(Data!$Q$10:$Q$3209,"&gt;="&amp;$A333,Data!$Q$10:$Q$3209,"&lt;"&amp;$A333+1)))</f>
        <v/>
      </c>
    </row>
    <row r="334">
      <c r="A334" s="55">
        <f>MIN(Inputs!$C$15,$A333+IF(WEEKDAY($A333,2)=5,3,1))</f>
        <v/>
      </c>
      <c r="B334">
        <f>IF($A334&gt;$A333,1,0)</f>
        <v/>
      </c>
      <c r="C334" s="56">
        <f>IF($B334=0,"",IF(Inputs!$B$6="","",IF($AD334=0,C333,SUMIFS(Data!$B$10:$B$3209,Data!$A$10:$A$3209,"&gt;="&amp;$A334,Data!$A$10:$A$3209,"&lt;"&amp;$A334+1)/$AD334)))</f>
        <v/>
      </c>
      <c r="D334" s="56">
        <f>IF($B334=0,"",IF(Inputs!$B$7="","",IF($AE334=0,D333,SUMIFS(Data!$F$10:$F$3209,Data!$E$10:$E$3209,"&gt;="&amp;$A334,Data!$E$10:$E$3209,"&lt;"&amp;$A334+1)/$AE334)))</f>
        <v/>
      </c>
      <c r="E334" s="56">
        <f>IF($B334=0,"",IF(Inputs!$B$8="","",IF($AF334=0,E333,SUMIFS(Data!$J$10:$J$3209,Data!$I$10:$I$3209,"&gt;="&amp;$A334,Data!$I$10:$I$3209,"&lt;"&amp;$A334+1)/$AF334)))</f>
        <v/>
      </c>
      <c r="F334" s="56">
        <f>IF($B334=0,"",IF(Inputs!$B$9="","",IF($AG334=0,F333,SUMIFS(Data!$N$10:$N$3209,Data!$M$10:$M$3209,"&gt;="&amp;$A334,Data!$M$10:$M$3209,"&lt;"&amp;$A334+1)/$AG334)))</f>
        <v/>
      </c>
      <c r="G334" s="56">
        <f>IF($B334=0,"",IF(Inputs!$B$10="","",IF($AH334=0,G333,SUMIFS(Data!$R$10:$R$3209,Data!$Q$10:$Q$3209,"&gt;="&amp;$A334,Data!$Q$10:$Q$3209,"&lt;"&amp;$A334+1)/$AH334)))</f>
        <v/>
      </c>
      <c r="I334" s="54">
        <f>IF($B334=0,NA(),IF($C334="",NA(),IF(C$8="",NA(),IF(N(C$8)=0,NA(),IF(Inputs!$C$17="Rebased to 100",$C334/C$8*100,$C334)))))</f>
        <v/>
      </c>
      <c r="J334" s="54">
        <f>IF($B334=0,NA(),IF($D334="",NA(),IF(D$8="",NA(),IF(N(D$8)=0,NA(),IF(Inputs!$C$17="Rebased to 100",$D334/D$8*100,$D334)))))</f>
        <v/>
      </c>
      <c r="K334" s="54">
        <f>IF($B334=0,NA(),IF($E334="",NA(),IF(E$8="",NA(),IF(N(E$8)=0,NA(),IF(Inputs!$C$17="Rebased to 100",$E334/E$8*100,$E334)))))</f>
        <v/>
      </c>
      <c r="L334" s="54">
        <f>IF($B334=0,NA(),IF($F334="",NA(),IF(F$8="",NA(),IF(N(F$8)=0,NA(),IF(Inputs!$C$17="Rebased to 100",$F334/F$8*100,$F334)))))</f>
        <v/>
      </c>
      <c r="M334" s="54">
        <f>IF($B334=0,NA(),IF($G334="",NA(),IF(G$8="",NA(),IF(N(G$8)=0,NA(),IF(Inputs!$C$17="Rebased to 100",$G334/G$8*100,$G334)))))</f>
        <v/>
      </c>
      <c r="N334" s="54">
        <f>IF($B334=0,NA(),IF(Inputs!$C$18&lt;&gt;"Yes",NA(),IF(COUNT(I334,J334,K334,L334,M334)=0,NA(),MIN(I334,J334,K334,L334,M334))))</f>
        <v/>
      </c>
      <c r="O334" s="54">
        <f>IF($B334=0,NA(),IF(Inputs!$B$24&lt;&gt;"Yes",NA(),Inputs!$D$24*Inputs!$C$35))</f>
        <v/>
      </c>
      <c r="P334" s="54">
        <f>IF($B334=0,NA(),IF(Inputs!$B$25&lt;&gt;"Yes",NA(),Inputs!$D$25*Inputs!$C$35))</f>
        <v/>
      </c>
      <c r="Q334" s="54">
        <f>IF($B334=0,NA(),IF(Inputs!$B$26&lt;&gt;"Yes",NA(),Inputs!$D$26*Inputs!$C$35))</f>
        <v/>
      </c>
      <c r="R334" s="54">
        <f>IF($B334=0,NA(),IF(Inputs!$B$27&lt;&gt;"Yes",NA(),Inputs!$D$27*Inputs!$C$35))</f>
        <v/>
      </c>
      <c r="S334" s="54">
        <f>IF($B334=0,NA(),IF(Inputs!$B$28&lt;&gt;"Yes",NA(),Inputs!$D$28*Inputs!$C$35))</f>
        <v/>
      </c>
      <c r="T334" s="54">
        <f>IF($B334=0,NA(),IF(Inputs!$B$29&lt;&gt;"Yes",NA(),Inputs!$D$29*Inputs!$C$35))</f>
        <v/>
      </c>
      <c r="AD334">
        <f>IF($B334=0,0,IF(Inputs!$B$6="",0,COUNTIFS(Data!$A$10:$A$3209,"&gt;="&amp;$A334,Data!$A$10:$A$3209,"&lt;"&amp;$A334+1)))</f>
        <v/>
      </c>
      <c r="AE334">
        <f>IF($B334=0,0,IF(Inputs!$B$7="",0,COUNTIFS(Data!$E$10:$E$3209,"&gt;="&amp;$A334,Data!$E$10:$E$3209,"&lt;"&amp;$A334+1)))</f>
        <v/>
      </c>
      <c r="AF334">
        <f>IF($B334=0,0,IF(Inputs!$B$8="",0,COUNTIFS(Data!$I$10:$I$3209,"&gt;="&amp;$A334,Data!$I$10:$I$3209,"&lt;"&amp;$A334+1)))</f>
        <v/>
      </c>
      <c r="AG334">
        <f>IF($B334=0,0,IF(Inputs!$B$9="",0,COUNTIFS(Data!$M$10:$M$3209,"&gt;="&amp;$A334,Data!$M$10:$M$3209,"&lt;"&amp;$A334+1)))</f>
        <v/>
      </c>
      <c r="AH334">
        <f>IF($B334=0,0,IF(Inputs!$B$10="",0,COUNTIFS(Data!$Q$10:$Q$3209,"&gt;="&amp;$A334,Data!$Q$10:$Q$3209,"&lt;"&amp;$A334+1)))</f>
        <v/>
      </c>
    </row>
    <row r="335">
      <c r="A335" s="55">
        <f>MIN(Inputs!$C$15,$A334+IF(WEEKDAY($A334,2)=5,3,1))</f>
        <v/>
      </c>
      <c r="B335">
        <f>IF($A335&gt;$A334,1,0)</f>
        <v/>
      </c>
      <c r="C335" s="56">
        <f>IF($B335=0,"",IF(Inputs!$B$6="","",IF($AD335=0,C334,SUMIFS(Data!$B$10:$B$3209,Data!$A$10:$A$3209,"&gt;="&amp;$A335,Data!$A$10:$A$3209,"&lt;"&amp;$A335+1)/$AD335)))</f>
        <v/>
      </c>
      <c r="D335" s="56">
        <f>IF($B335=0,"",IF(Inputs!$B$7="","",IF($AE335=0,D334,SUMIFS(Data!$F$10:$F$3209,Data!$E$10:$E$3209,"&gt;="&amp;$A335,Data!$E$10:$E$3209,"&lt;"&amp;$A335+1)/$AE335)))</f>
        <v/>
      </c>
      <c r="E335" s="56">
        <f>IF($B335=0,"",IF(Inputs!$B$8="","",IF($AF335=0,E334,SUMIFS(Data!$J$10:$J$3209,Data!$I$10:$I$3209,"&gt;="&amp;$A335,Data!$I$10:$I$3209,"&lt;"&amp;$A335+1)/$AF335)))</f>
        <v/>
      </c>
      <c r="F335" s="56">
        <f>IF($B335=0,"",IF(Inputs!$B$9="","",IF($AG335=0,F334,SUMIFS(Data!$N$10:$N$3209,Data!$M$10:$M$3209,"&gt;="&amp;$A335,Data!$M$10:$M$3209,"&lt;"&amp;$A335+1)/$AG335)))</f>
        <v/>
      </c>
      <c r="G335" s="56">
        <f>IF($B335=0,"",IF(Inputs!$B$10="","",IF($AH335=0,G334,SUMIFS(Data!$R$10:$R$3209,Data!$Q$10:$Q$3209,"&gt;="&amp;$A335,Data!$Q$10:$Q$3209,"&lt;"&amp;$A335+1)/$AH335)))</f>
        <v/>
      </c>
      <c r="I335" s="54">
        <f>IF($B335=0,NA(),IF($C335="",NA(),IF(C$8="",NA(),IF(N(C$8)=0,NA(),IF(Inputs!$C$17="Rebased to 100",$C335/C$8*100,$C335)))))</f>
        <v/>
      </c>
      <c r="J335" s="54">
        <f>IF($B335=0,NA(),IF($D335="",NA(),IF(D$8="",NA(),IF(N(D$8)=0,NA(),IF(Inputs!$C$17="Rebased to 100",$D335/D$8*100,$D335)))))</f>
        <v/>
      </c>
      <c r="K335" s="54">
        <f>IF($B335=0,NA(),IF($E335="",NA(),IF(E$8="",NA(),IF(N(E$8)=0,NA(),IF(Inputs!$C$17="Rebased to 100",$E335/E$8*100,$E335)))))</f>
        <v/>
      </c>
      <c r="L335" s="54">
        <f>IF($B335=0,NA(),IF($F335="",NA(),IF(F$8="",NA(),IF(N(F$8)=0,NA(),IF(Inputs!$C$17="Rebased to 100",$F335/F$8*100,$F335)))))</f>
        <v/>
      </c>
      <c r="M335" s="54">
        <f>IF($B335=0,NA(),IF($G335="",NA(),IF(G$8="",NA(),IF(N(G$8)=0,NA(),IF(Inputs!$C$17="Rebased to 100",$G335/G$8*100,$G335)))))</f>
        <v/>
      </c>
      <c r="N335" s="54">
        <f>IF($B335=0,NA(),IF(Inputs!$C$18&lt;&gt;"Yes",NA(),IF(COUNT(I335,J335,K335,L335,M335)=0,NA(),MIN(I335,J335,K335,L335,M335))))</f>
        <v/>
      </c>
      <c r="O335" s="54">
        <f>IF($B335=0,NA(),IF(Inputs!$B$24&lt;&gt;"Yes",NA(),Inputs!$D$24*Inputs!$C$35))</f>
        <v/>
      </c>
      <c r="P335" s="54">
        <f>IF($B335=0,NA(),IF(Inputs!$B$25&lt;&gt;"Yes",NA(),Inputs!$D$25*Inputs!$C$35))</f>
        <v/>
      </c>
      <c r="Q335" s="54">
        <f>IF($B335=0,NA(),IF(Inputs!$B$26&lt;&gt;"Yes",NA(),Inputs!$D$26*Inputs!$C$35))</f>
        <v/>
      </c>
      <c r="R335" s="54">
        <f>IF($B335=0,NA(),IF(Inputs!$B$27&lt;&gt;"Yes",NA(),Inputs!$D$27*Inputs!$C$35))</f>
        <v/>
      </c>
      <c r="S335" s="54">
        <f>IF($B335=0,NA(),IF(Inputs!$B$28&lt;&gt;"Yes",NA(),Inputs!$D$28*Inputs!$C$35))</f>
        <v/>
      </c>
      <c r="T335" s="54">
        <f>IF($B335=0,NA(),IF(Inputs!$B$29&lt;&gt;"Yes",NA(),Inputs!$D$29*Inputs!$C$35))</f>
        <v/>
      </c>
      <c r="AD335">
        <f>IF($B335=0,0,IF(Inputs!$B$6="",0,COUNTIFS(Data!$A$10:$A$3209,"&gt;="&amp;$A335,Data!$A$10:$A$3209,"&lt;"&amp;$A335+1)))</f>
        <v/>
      </c>
      <c r="AE335">
        <f>IF($B335=0,0,IF(Inputs!$B$7="",0,COUNTIFS(Data!$E$10:$E$3209,"&gt;="&amp;$A335,Data!$E$10:$E$3209,"&lt;"&amp;$A335+1)))</f>
        <v/>
      </c>
      <c r="AF335">
        <f>IF($B335=0,0,IF(Inputs!$B$8="",0,COUNTIFS(Data!$I$10:$I$3209,"&gt;="&amp;$A335,Data!$I$10:$I$3209,"&lt;"&amp;$A335+1)))</f>
        <v/>
      </c>
      <c r="AG335">
        <f>IF($B335=0,0,IF(Inputs!$B$9="",0,COUNTIFS(Data!$M$10:$M$3209,"&gt;="&amp;$A335,Data!$M$10:$M$3209,"&lt;"&amp;$A335+1)))</f>
        <v/>
      </c>
      <c r="AH335">
        <f>IF($B335=0,0,IF(Inputs!$B$10="",0,COUNTIFS(Data!$Q$10:$Q$3209,"&gt;="&amp;$A335,Data!$Q$10:$Q$3209,"&lt;"&amp;$A335+1)))</f>
        <v/>
      </c>
    </row>
    <row r="336">
      <c r="A336" s="55">
        <f>MIN(Inputs!$C$15,$A335+IF(WEEKDAY($A335,2)=5,3,1))</f>
        <v/>
      </c>
      <c r="B336">
        <f>IF($A336&gt;$A335,1,0)</f>
        <v/>
      </c>
      <c r="C336" s="56">
        <f>IF($B336=0,"",IF(Inputs!$B$6="","",IF($AD336=0,C335,SUMIFS(Data!$B$10:$B$3209,Data!$A$10:$A$3209,"&gt;="&amp;$A336,Data!$A$10:$A$3209,"&lt;"&amp;$A336+1)/$AD336)))</f>
        <v/>
      </c>
      <c r="D336" s="56">
        <f>IF($B336=0,"",IF(Inputs!$B$7="","",IF($AE336=0,D335,SUMIFS(Data!$F$10:$F$3209,Data!$E$10:$E$3209,"&gt;="&amp;$A336,Data!$E$10:$E$3209,"&lt;"&amp;$A336+1)/$AE336)))</f>
        <v/>
      </c>
      <c r="E336" s="56">
        <f>IF($B336=0,"",IF(Inputs!$B$8="","",IF($AF336=0,E335,SUMIFS(Data!$J$10:$J$3209,Data!$I$10:$I$3209,"&gt;="&amp;$A336,Data!$I$10:$I$3209,"&lt;"&amp;$A336+1)/$AF336)))</f>
        <v/>
      </c>
      <c r="F336" s="56">
        <f>IF($B336=0,"",IF(Inputs!$B$9="","",IF($AG336=0,F335,SUMIFS(Data!$N$10:$N$3209,Data!$M$10:$M$3209,"&gt;="&amp;$A336,Data!$M$10:$M$3209,"&lt;"&amp;$A336+1)/$AG336)))</f>
        <v/>
      </c>
      <c r="G336" s="56">
        <f>IF($B336=0,"",IF(Inputs!$B$10="","",IF($AH336=0,G335,SUMIFS(Data!$R$10:$R$3209,Data!$Q$10:$Q$3209,"&gt;="&amp;$A336,Data!$Q$10:$Q$3209,"&lt;"&amp;$A336+1)/$AH336)))</f>
        <v/>
      </c>
      <c r="I336" s="54">
        <f>IF($B336=0,NA(),IF($C336="",NA(),IF(C$8="",NA(),IF(N(C$8)=0,NA(),IF(Inputs!$C$17="Rebased to 100",$C336/C$8*100,$C336)))))</f>
        <v/>
      </c>
      <c r="J336" s="54">
        <f>IF($B336=0,NA(),IF($D336="",NA(),IF(D$8="",NA(),IF(N(D$8)=0,NA(),IF(Inputs!$C$17="Rebased to 100",$D336/D$8*100,$D336)))))</f>
        <v/>
      </c>
      <c r="K336" s="54">
        <f>IF($B336=0,NA(),IF($E336="",NA(),IF(E$8="",NA(),IF(N(E$8)=0,NA(),IF(Inputs!$C$17="Rebased to 100",$E336/E$8*100,$E336)))))</f>
        <v/>
      </c>
      <c r="L336" s="54">
        <f>IF($B336=0,NA(),IF($F336="",NA(),IF(F$8="",NA(),IF(N(F$8)=0,NA(),IF(Inputs!$C$17="Rebased to 100",$F336/F$8*100,$F336)))))</f>
        <v/>
      </c>
      <c r="M336" s="54">
        <f>IF($B336=0,NA(),IF($G336="",NA(),IF(G$8="",NA(),IF(N(G$8)=0,NA(),IF(Inputs!$C$17="Rebased to 100",$G336/G$8*100,$G336)))))</f>
        <v/>
      </c>
      <c r="N336" s="54">
        <f>IF($B336=0,NA(),IF(Inputs!$C$18&lt;&gt;"Yes",NA(),IF(COUNT(I336,J336,K336,L336,M336)=0,NA(),MIN(I336,J336,K336,L336,M336))))</f>
        <v/>
      </c>
      <c r="O336" s="54">
        <f>IF($B336=0,NA(),IF(Inputs!$B$24&lt;&gt;"Yes",NA(),Inputs!$D$24*Inputs!$C$35))</f>
        <v/>
      </c>
      <c r="P336" s="54">
        <f>IF($B336=0,NA(),IF(Inputs!$B$25&lt;&gt;"Yes",NA(),Inputs!$D$25*Inputs!$C$35))</f>
        <v/>
      </c>
      <c r="Q336" s="54">
        <f>IF($B336=0,NA(),IF(Inputs!$B$26&lt;&gt;"Yes",NA(),Inputs!$D$26*Inputs!$C$35))</f>
        <v/>
      </c>
      <c r="R336" s="54">
        <f>IF($B336=0,NA(),IF(Inputs!$B$27&lt;&gt;"Yes",NA(),Inputs!$D$27*Inputs!$C$35))</f>
        <v/>
      </c>
      <c r="S336" s="54">
        <f>IF($B336=0,NA(),IF(Inputs!$B$28&lt;&gt;"Yes",NA(),Inputs!$D$28*Inputs!$C$35))</f>
        <v/>
      </c>
      <c r="T336" s="54">
        <f>IF($B336=0,NA(),IF(Inputs!$B$29&lt;&gt;"Yes",NA(),Inputs!$D$29*Inputs!$C$35))</f>
        <v/>
      </c>
      <c r="AD336">
        <f>IF($B336=0,0,IF(Inputs!$B$6="",0,COUNTIFS(Data!$A$10:$A$3209,"&gt;="&amp;$A336,Data!$A$10:$A$3209,"&lt;"&amp;$A336+1)))</f>
        <v/>
      </c>
      <c r="AE336">
        <f>IF($B336=0,0,IF(Inputs!$B$7="",0,COUNTIFS(Data!$E$10:$E$3209,"&gt;="&amp;$A336,Data!$E$10:$E$3209,"&lt;"&amp;$A336+1)))</f>
        <v/>
      </c>
      <c r="AF336">
        <f>IF($B336=0,0,IF(Inputs!$B$8="",0,COUNTIFS(Data!$I$10:$I$3209,"&gt;="&amp;$A336,Data!$I$10:$I$3209,"&lt;"&amp;$A336+1)))</f>
        <v/>
      </c>
      <c r="AG336">
        <f>IF($B336=0,0,IF(Inputs!$B$9="",0,COUNTIFS(Data!$M$10:$M$3209,"&gt;="&amp;$A336,Data!$M$10:$M$3209,"&lt;"&amp;$A336+1)))</f>
        <v/>
      </c>
      <c r="AH336">
        <f>IF($B336=0,0,IF(Inputs!$B$10="",0,COUNTIFS(Data!$Q$10:$Q$3209,"&gt;="&amp;$A336,Data!$Q$10:$Q$3209,"&lt;"&amp;$A336+1)))</f>
        <v/>
      </c>
    </row>
    <row r="337">
      <c r="A337" s="55">
        <f>MIN(Inputs!$C$15,$A336+IF(WEEKDAY($A336,2)=5,3,1))</f>
        <v/>
      </c>
      <c r="B337">
        <f>IF($A337&gt;$A336,1,0)</f>
        <v/>
      </c>
      <c r="C337" s="56">
        <f>IF($B337=0,"",IF(Inputs!$B$6="","",IF($AD337=0,C336,SUMIFS(Data!$B$10:$B$3209,Data!$A$10:$A$3209,"&gt;="&amp;$A337,Data!$A$10:$A$3209,"&lt;"&amp;$A337+1)/$AD337)))</f>
        <v/>
      </c>
      <c r="D337" s="56">
        <f>IF($B337=0,"",IF(Inputs!$B$7="","",IF($AE337=0,D336,SUMIFS(Data!$F$10:$F$3209,Data!$E$10:$E$3209,"&gt;="&amp;$A337,Data!$E$10:$E$3209,"&lt;"&amp;$A337+1)/$AE337)))</f>
        <v/>
      </c>
      <c r="E337" s="56">
        <f>IF($B337=0,"",IF(Inputs!$B$8="","",IF($AF337=0,E336,SUMIFS(Data!$J$10:$J$3209,Data!$I$10:$I$3209,"&gt;="&amp;$A337,Data!$I$10:$I$3209,"&lt;"&amp;$A337+1)/$AF337)))</f>
        <v/>
      </c>
      <c r="F337" s="56">
        <f>IF($B337=0,"",IF(Inputs!$B$9="","",IF($AG337=0,F336,SUMIFS(Data!$N$10:$N$3209,Data!$M$10:$M$3209,"&gt;="&amp;$A337,Data!$M$10:$M$3209,"&lt;"&amp;$A337+1)/$AG337)))</f>
        <v/>
      </c>
      <c r="G337" s="56">
        <f>IF($B337=0,"",IF(Inputs!$B$10="","",IF($AH337=0,G336,SUMIFS(Data!$R$10:$R$3209,Data!$Q$10:$Q$3209,"&gt;="&amp;$A337,Data!$Q$10:$Q$3209,"&lt;"&amp;$A337+1)/$AH337)))</f>
        <v/>
      </c>
      <c r="I337" s="54">
        <f>IF($B337=0,NA(),IF($C337="",NA(),IF(C$8="",NA(),IF(N(C$8)=0,NA(),IF(Inputs!$C$17="Rebased to 100",$C337/C$8*100,$C337)))))</f>
        <v/>
      </c>
      <c r="J337" s="54">
        <f>IF($B337=0,NA(),IF($D337="",NA(),IF(D$8="",NA(),IF(N(D$8)=0,NA(),IF(Inputs!$C$17="Rebased to 100",$D337/D$8*100,$D337)))))</f>
        <v/>
      </c>
      <c r="K337" s="54">
        <f>IF($B337=0,NA(),IF($E337="",NA(),IF(E$8="",NA(),IF(N(E$8)=0,NA(),IF(Inputs!$C$17="Rebased to 100",$E337/E$8*100,$E337)))))</f>
        <v/>
      </c>
      <c r="L337" s="54">
        <f>IF($B337=0,NA(),IF($F337="",NA(),IF(F$8="",NA(),IF(N(F$8)=0,NA(),IF(Inputs!$C$17="Rebased to 100",$F337/F$8*100,$F337)))))</f>
        <v/>
      </c>
      <c r="M337" s="54">
        <f>IF($B337=0,NA(),IF($G337="",NA(),IF(G$8="",NA(),IF(N(G$8)=0,NA(),IF(Inputs!$C$17="Rebased to 100",$G337/G$8*100,$G337)))))</f>
        <v/>
      </c>
      <c r="N337" s="54">
        <f>IF($B337=0,NA(),IF(Inputs!$C$18&lt;&gt;"Yes",NA(),IF(COUNT(I337,J337,K337,L337,M337)=0,NA(),MIN(I337,J337,K337,L337,M337))))</f>
        <v/>
      </c>
      <c r="O337" s="54">
        <f>IF($B337=0,NA(),IF(Inputs!$B$24&lt;&gt;"Yes",NA(),Inputs!$D$24*Inputs!$C$35))</f>
        <v/>
      </c>
      <c r="P337" s="54">
        <f>IF($B337=0,NA(),IF(Inputs!$B$25&lt;&gt;"Yes",NA(),Inputs!$D$25*Inputs!$C$35))</f>
        <v/>
      </c>
      <c r="Q337" s="54">
        <f>IF($B337=0,NA(),IF(Inputs!$B$26&lt;&gt;"Yes",NA(),Inputs!$D$26*Inputs!$C$35))</f>
        <v/>
      </c>
      <c r="R337" s="54">
        <f>IF($B337=0,NA(),IF(Inputs!$B$27&lt;&gt;"Yes",NA(),Inputs!$D$27*Inputs!$C$35))</f>
        <v/>
      </c>
      <c r="S337" s="54">
        <f>IF($B337=0,NA(),IF(Inputs!$B$28&lt;&gt;"Yes",NA(),Inputs!$D$28*Inputs!$C$35))</f>
        <v/>
      </c>
      <c r="T337" s="54">
        <f>IF($B337=0,NA(),IF(Inputs!$B$29&lt;&gt;"Yes",NA(),Inputs!$D$29*Inputs!$C$35))</f>
        <v/>
      </c>
      <c r="AD337">
        <f>IF($B337=0,0,IF(Inputs!$B$6="",0,COUNTIFS(Data!$A$10:$A$3209,"&gt;="&amp;$A337,Data!$A$10:$A$3209,"&lt;"&amp;$A337+1)))</f>
        <v/>
      </c>
      <c r="AE337">
        <f>IF($B337=0,0,IF(Inputs!$B$7="",0,COUNTIFS(Data!$E$10:$E$3209,"&gt;="&amp;$A337,Data!$E$10:$E$3209,"&lt;"&amp;$A337+1)))</f>
        <v/>
      </c>
      <c r="AF337">
        <f>IF($B337=0,0,IF(Inputs!$B$8="",0,COUNTIFS(Data!$I$10:$I$3209,"&gt;="&amp;$A337,Data!$I$10:$I$3209,"&lt;"&amp;$A337+1)))</f>
        <v/>
      </c>
      <c r="AG337">
        <f>IF($B337=0,0,IF(Inputs!$B$9="",0,COUNTIFS(Data!$M$10:$M$3209,"&gt;="&amp;$A337,Data!$M$10:$M$3209,"&lt;"&amp;$A337+1)))</f>
        <v/>
      </c>
      <c r="AH337">
        <f>IF($B337=0,0,IF(Inputs!$B$10="",0,COUNTIFS(Data!$Q$10:$Q$3209,"&gt;="&amp;$A337,Data!$Q$10:$Q$3209,"&lt;"&amp;$A337+1)))</f>
        <v/>
      </c>
    </row>
    <row r="338">
      <c r="A338" s="55">
        <f>MIN(Inputs!$C$15,$A337+IF(WEEKDAY($A337,2)=5,3,1))</f>
        <v/>
      </c>
      <c r="B338">
        <f>IF($A338&gt;$A337,1,0)</f>
        <v/>
      </c>
      <c r="C338" s="56">
        <f>IF($B338=0,"",IF(Inputs!$B$6="","",IF($AD338=0,C337,SUMIFS(Data!$B$10:$B$3209,Data!$A$10:$A$3209,"&gt;="&amp;$A338,Data!$A$10:$A$3209,"&lt;"&amp;$A338+1)/$AD338)))</f>
        <v/>
      </c>
      <c r="D338" s="56">
        <f>IF($B338=0,"",IF(Inputs!$B$7="","",IF($AE338=0,D337,SUMIFS(Data!$F$10:$F$3209,Data!$E$10:$E$3209,"&gt;="&amp;$A338,Data!$E$10:$E$3209,"&lt;"&amp;$A338+1)/$AE338)))</f>
        <v/>
      </c>
      <c r="E338" s="56">
        <f>IF($B338=0,"",IF(Inputs!$B$8="","",IF($AF338=0,E337,SUMIFS(Data!$J$10:$J$3209,Data!$I$10:$I$3209,"&gt;="&amp;$A338,Data!$I$10:$I$3209,"&lt;"&amp;$A338+1)/$AF338)))</f>
        <v/>
      </c>
      <c r="F338" s="56">
        <f>IF($B338=0,"",IF(Inputs!$B$9="","",IF($AG338=0,F337,SUMIFS(Data!$N$10:$N$3209,Data!$M$10:$M$3209,"&gt;="&amp;$A338,Data!$M$10:$M$3209,"&lt;"&amp;$A338+1)/$AG338)))</f>
        <v/>
      </c>
      <c r="G338" s="56">
        <f>IF($B338=0,"",IF(Inputs!$B$10="","",IF($AH338=0,G337,SUMIFS(Data!$R$10:$R$3209,Data!$Q$10:$Q$3209,"&gt;="&amp;$A338,Data!$Q$10:$Q$3209,"&lt;"&amp;$A338+1)/$AH338)))</f>
        <v/>
      </c>
      <c r="I338" s="54">
        <f>IF($B338=0,NA(),IF($C338="",NA(),IF(C$8="",NA(),IF(N(C$8)=0,NA(),IF(Inputs!$C$17="Rebased to 100",$C338/C$8*100,$C338)))))</f>
        <v/>
      </c>
      <c r="J338" s="54">
        <f>IF($B338=0,NA(),IF($D338="",NA(),IF(D$8="",NA(),IF(N(D$8)=0,NA(),IF(Inputs!$C$17="Rebased to 100",$D338/D$8*100,$D338)))))</f>
        <v/>
      </c>
      <c r="K338" s="54">
        <f>IF($B338=0,NA(),IF($E338="",NA(),IF(E$8="",NA(),IF(N(E$8)=0,NA(),IF(Inputs!$C$17="Rebased to 100",$E338/E$8*100,$E338)))))</f>
        <v/>
      </c>
      <c r="L338" s="54">
        <f>IF($B338=0,NA(),IF($F338="",NA(),IF(F$8="",NA(),IF(N(F$8)=0,NA(),IF(Inputs!$C$17="Rebased to 100",$F338/F$8*100,$F338)))))</f>
        <v/>
      </c>
      <c r="M338" s="54">
        <f>IF($B338=0,NA(),IF($G338="",NA(),IF(G$8="",NA(),IF(N(G$8)=0,NA(),IF(Inputs!$C$17="Rebased to 100",$G338/G$8*100,$G338)))))</f>
        <v/>
      </c>
      <c r="N338" s="54">
        <f>IF($B338=0,NA(),IF(Inputs!$C$18&lt;&gt;"Yes",NA(),IF(COUNT(I338,J338,K338,L338,M338)=0,NA(),MIN(I338,J338,K338,L338,M338))))</f>
        <v/>
      </c>
      <c r="O338" s="54">
        <f>IF($B338=0,NA(),IF(Inputs!$B$24&lt;&gt;"Yes",NA(),Inputs!$D$24*Inputs!$C$35))</f>
        <v/>
      </c>
      <c r="P338" s="54">
        <f>IF($B338=0,NA(),IF(Inputs!$B$25&lt;&gt;"Yes",NA(),Inputs!$D$25*Inputs!$C$35))</f>
        <v/>
      </c>
      <c r="Q338" s="54">
        <f>IF($B338=0,NA(),IF(Inputs!$B$26&lt;&gt;"Yes",NA(),Inputs!$D$26*Inputs!$C$35))</f>
        <v/>
      </c>
      <c r="R338" s="54">
        <f>IF($B338=0,NA(),IF(Inputs!$B$27&lt;&gt;"Yes",NA(),Inputs!$D$27*Inputs!$C$35))</f>
        <v/>
      </c>
      <c r="S338" s="54">
        <f>IF($B338=0,NA(),IF(Inputs!$B$28&lt;&gt;"Yes",NA(),Inputs!$D$28*Inputs!$C$35))</f>
        <v/>
      </c>
      <c r="T338" s="54">
        <f>IF($B338=0,NA(),IF(Inputs!$B$29&lt;&gt;"Yes",NA(),Inputs!$D$29*Inputs!$C$35))</f>
        <v/>
      </c>
      <c r="AD338">
        <f>IF($B338=0,0,IF(Inputs!$B$6="",0,COUNTIFS(Data!$A$10:$A$3209,"&gt;="&amp;$A338,Data!$A$10:$A$3209,"&lt;"&amp;$A338+1)))</f>
        <v/>
      </c>
      <c r="AE338">
        <f>IF($B338=0,0,IF(Inputs!$B$7="",0,COUNTIFS(Data!$E$10:$E$3209,"&gt;="&amp;$A338,Data!$E$10:$E$3209,"&lt;"&amp;$A338+1)))</f>
        <v/>
      </c>
      <c r="AF338">
        <f>IF($B338=0,0,IF(Inputs!$B$8="",0,COUNTIFS(Data!$I$10:$I$3209,"&gt;="&amp;$A338,Data!$I$10:$I$3209,"&lt;"&amp;$A338+1)))</f>
        <v/>
      </c>
      <c r="AG338">
        <f>IF($B338=0,0,IF(Inputs!$B$9="",0,COUNTIFS(Data!$M$10:$M$3209,"&gt;="&amp;$A338,Data!$M$10:$M$3209,"&lt;"&amp;$A338+1)))</f>
        <v/>
      </c>
      <c r="AH338">
        <f>IF($B338=0,0,IF(Inputs!$B$10="",0,COUNTIFS(Data!$Q$10:$Q$3209,"&gt;="&amp;$A338,Data!$Q$10:$Q$3209,"&lt;"&amp;$A338+1)))</f>
        <v/>
      </c>
    </row>
    <row r="339">
      <c r="A339" s="55">
        <f>MIN(Inputs!$C$15,$A338+IF(WEEKDAY($A338,2)=5,3,1))</f>
        <v/>
      </c>
      <c r="B339">
        <f>IF($A339&gt;$A338,1,0)</f>
        <v/>
      </c>
      <c r="C339" s="56">
        <f>IF($B339=0,"",IF(Inputs!$B$6="","",IF($AD339=0,C338,SUMIFS(Data!$B$10:$B$3209,Data!$A$10:$A$3209,"&gt;="&amp;$A339,Data!$A$10:$A$3209,"&lt;"&amp;$A339+1)/$AD339)))</f>
        <v/>
      </c>
      <c r="D339" s="56">
        <f>IF($B339=0,"",IF(Inputs!$B$7="","",IF($AE339=0,D338,SUMIFS(Data!$F$10:$F$3209,Data!$E$10:$E$3209,"&gt;="&amp;$A339,Data!$E$10:$E$3209,"&lt;"&amp;$A339+1)/$AE339)))</f>
        <v/>
      </c>
      <c r="E339" s="56">
        <f>IF($B339=0,"",IF(Inputs!$B$8="","",IF($AF339=0,E338,SUMIFS(Data!$J$10:$J$3209,Data!$I$10:$I$3209,"&gt;="&amp;$A339,Data!$I$10:$I$3209,"&lt;"&amp;$A339+1)/$AF339)))</f>
        <v/>
      </c>
      <c r="F339" s="56">
        <f>IF($B339=0,"",IF(Inputs!$B$9="","",IF($AG339=0,F338,SUMIFS(Data!$N$10:$N$3209,Data!$M$10:$M$3209,"&gt;="&amp;$A339,Data!$M$10:$M$3209,"&lt;"&amp;$A339+1)/$AG339)))</f>
        <v/>
      </c>
      <c r="G339" s="56">
        <f>IF($B339=0,"",IF(Inputs!$B$10="","",IF($AH339=0,G338,SUMIFS(Data!$R$10:$R$3209,Data!$Q$10:$Q$3209,"&gt;="&amp;$A339,Data!$Q$10:$Q$3209,"&lt;"&amp;$A339+1)/$AH339)))</f>
        <v/>
      </c>
      <c r="I339" s="54">
        <f>IF($B339=0,NA(),IF($C339="",NA(),IF(C$8="",NA(),IF(N(C$8)=0,NA(),IF(Inputs!$C$17="Rebased to 100",$C339/C$8*100,$C339)))))</f>
        <v/>
      </c>
      <c r="J339" s="54">
        <f>IF($B339=0,NA(),IF($D339="",NA(),IF(D$8="",NA(),IF(N(D$8)=0,NA(),IF(Inputs!$C$17="Rebased to 100",$D339/D$8*100,$D339)))))</f>
        <v/>
      </c>
      <c r="K339" s="54">
        <f>IF($B339=0,NA(),IF($E339="",NA(),IF(E$8="",NA(),IF(N(E$8)=0,NA(),IF(Inputs!$C$17="Rebased to 100",$E339/E$8*100,$E339)))))</f>
        <v/>
      </c>
      <c r="L339" s="54">
        <f>IF($B339=0,NA(),IF($F339="",NA(),IF(F$8="",NA(),IF(N(F$8)=0,NA(),IF(Inputs!$C$17="Rebased to 100",$F339/F$8*100,$F339)))))</f>
        <v/>
      </c>
      <c r="M339" s="54">
        <f>IF($B339=0,NA(),IF($G339="",NA(),IF(G$8="",NA(),IF(N(G$8)=0,NA(),IF(Inputs!$C$17="Rebased to 100",$G339/G$8*100,$G339)))))</f>
        <v/>
      </c>
      <c r="N339" s="54">
        <f>IF($B339=0,NA(),IF(Inputs!$C$18&lt;&gt;"Yes",NA(),IF(COUNT(I339,J339,K339,L339,M339)=0,NA(),MIN(I339,J339,K339,L339,M339))))</f>
        <v/>
      </c>
      <c r="O339" s="54">
        <f>IF($B339=0,NA(),IF(Inputs!$B$24&lt;&gt;"Yes",NA(),Inputs!$D$24*Inputs!$C$35))</f>
        <v/>
      </c>
      <c r="P339" s="54">
        <f>IF($B339=0,NA(),IF(Inputs!$B$25&lt;&gt;"Yes",NA(),Inputs!$D$25*Inputs!$C$35))</f>
        <v/>
      </c>
      <c r="Q339" s="54">
        <f>IF($B339=0,NA(),IF(Inputs!$B$26&lt;&gt;"Yes",NA(),Inputs!$D$26*Inputs!$C$35))</f>
        <v/>
      </c>
      <c r="R339" s="54">
        <f>IF($B339=0,NA(),IF(Inputs!$B$27&lt;&gt;"Yes",NA(),Inputs!$D$27*Inputs!$C$35))</f>
        <v/>
      </c>
      <c r="S339" s="54">
        <f>IF($B339=0,NA(),IF(Inputs!$B$28&lt;&gt;"Yes",NA(),Inputs!$D$28*Inputs!$C$35))</f>
        <v/>
      </c>
      <c r="T339" s="54">
        <f>IF($B339=0,NA(),IF(Inputs!$B$29&lt;&gt;"Yes",NA(),Inputs!$D$29*Inputs!$C$35))</f>
        <v/>
      </c>
      <c r="AD339">
        <f>IF($B339=0,0,IF(Inputs!$B$6="",0,COUNTIFS(Data!$A$10:$A$3209,"&gt;="&amp;$A339,Data!$A$10:$A$3209,"&lt;"&amp;$A339+1)))</f>
        <v/>
      </c>
      <c r="AE339">
        <f>IF($B339=0,0,IF(Inputs!$B$7="",0,COUNTIFS(Data!$E$10:$E$3209,"&gt;="&amp;$A339,Data!$E$10:$E$3209,"&lt;"&amp;$A339+1)))</f>
        <v/>
      </c>
      <c r="AF339">
        <f>IF($B339=0,0,IF(Inputs!$B$8="",0,COUNTIFS(Data!$I$10:$I$3209,"&gt;="&amp;$A339,Data!$I$10:$I$3209,"&lt;"&amp;$A339+1)))</f>
        <v/>
      </c>
      <c r="AG339">
        <f>IF($B339=0,0,IF(Inputs!$B$9="",0,COUNTIFS(Data!$M$10:$M$3209,"&gt;="&amp;$A339,Data!$M$10:$M$3209,"&lt;"&amp;$A339+1)))</f>
        <v/>
      </c>
      <c r="AH339">
        <f>IF($B339=0,0,IF(Inputs!$B$10="",0,COUNTIFS(Data!$Q$10:$Q$3209,"&gt;="&amp;$A339,Data!$Q$10:$Q$3209,"&lt;"&amp;$A339+1)))</f>
        <v/>
      </c>
    </row>
    <row r="340">
      <c r="A340" s="55">
        <f>MIN(Inputs!$C$15,$A339+IF(WEEKDAY($A339,2)=5,3,1))</f>
        <v/>
      </c>
      <c r="B340">
        <f>IF($A340&gt;$A339,1,0)</f>
        <v/>
      </c>
      <c r="C340" s="56">
        <f>IF($B340=0,"",IF(Inputs!$B$6="","",IF($AD340=0,C339,SUMIFS(Data!$B$10:$B$3209,Data!$A$10:$A$3209,"&gt;="&amp;$A340,Data!$A$10:$A$3209,"&lt;"&amp;$A340+1)/$AD340)))</f>
        <v/>
      </c>
      <c r="D340" s="56">
        <f>IF($B340=0,"",IF(Inputs!$B$7="","",IF($AE340=0,D339,SUMIFS(Data!$F$10:$F$3209,Data!$E$10:$E$3209,"&gt;="&amp;$A340,Data!$E$10:$E$3209,"&lt;"&amp;$A340+1)/$AE340)))</f>
        <v/>
      </c>
      <c r="E340" s="56">
        <f>IF($B340=0,"",IF(Inputs!$B$8="","",IF($AF340=0,E339,SUMIFS(Data!$J$10:$J$3209,Data!$I$10:$I$3209,"&gt;="&amp;$A340,Data!$I$10:$I$3209,"&lt;"&amp;$A340+1)/$AF340)))</f>
        <v/>
      </c>
      <c r="F340" s="56">
        <f>IF($B340=0,"",IF(Inputs!$B$9="","",IF($AG340=0,F339,SUMIFS(Data!$N$10:$N$3209,Data!$M$10:$M$3209,"&gt;="&amp;$A340,Data!$M$10:$M$3209,"&lt;"&amp;$A340+1)/$AG340)))</f>
        <v/>
      </c>
      <c r="G340" s="56">
        <f>IF($B340=0,"",IF(Inputs!$B$10="","",IF($AH340=0,G339,SUMIFS(Data!$R$10:$R$3209,Data!$Q$10:$Q$3209,"&gt;="&amp;$A340,Data!$Q$10:$Q$3209,"&lt;"&amp;$A340+1)/$AH340)))</f>
        <v/>
      </c>
      <c r="I340" s="54">
        <f>IF($B340=0,NA(),IF($C340="",NA(),IF(C$8="",NA(),IF(N(C$8)=0,NA(),IF(Inputs!$C$17="Rebased to 100",$C340/C$8*100,$C340)))))</f>
        <v/>
      </c>
      <c r="J340" s="54">
        <f>IF($B340=0,NA(),IF($D340="",NA(),IF(D$8="",NA(),IF(N(D$8)=0,NA(),IF(Inputs!$C$17="Rebased to 100",$D340/D$8*100,$D340)))))</f>
        <v/>
      </c>
      <c r="K340" s="54">
        <f>IF($B340=0,NA(),IF($E340="",NA(),IF(E$8="",NA(),IF(N(E$8)=0,NA(),IF(Inputs!$C$17="Rebased to 100",$E340/E$8*100,$E340)))))</f>
        <v/>
      </c>
      <c r="L340" s="54">
        <f>IF($B340=0,NA(),IF($F340="",NA(),IF(F$8="",NA(),IF(N(F$8)=0,NA(),IF(Inputs!$C$17="Rebased to 100",$F340/F$8*100,$F340)))))</f>
        <v/>
      </c>
      <c r="M340" s="54">
        <f>IF($B340=0,NA(),IF($G340="",NA(),IF(G$8="",NA(),IF(N(G$8)=0,NA(),IF(Inputs!$C$17="Rebased to 100",$G340/G$8*100,$G340)))))</f>
        <v/>
      </c>
      <c r="N340" s="54">
        <f>IF($B340=0,NA(),IF(Inputs!$C$18&lt;&gt;"Yes",NA(),IF(COUNT(I340,J340,K340,L340,M340)=0,NA(),MIN(I340,J340,K340,L340,M340))))</f>
        <v/>
      </c>
      <c r="O340" s="54">
        <f>IF($B340=0,NA(),IF(Inputs!$B$24&lt;&gt;"Yes",NA(),Inputs!$D$24*Inputs!$C$35))</f>
        <v/>
      </c>
      <c r="P340" s="54">
        <f>IF($B340=0,NA(),IF(Inputs!$B$25&lt;&gt;"Yes",NA(),Inputs!$D$25*Inputs!$C$35))</f>
        <v/>
      </c>
      <c r="Q340" s="54">
        <f>IF($B340=0,NA(),IF(Inputs!$B$26&lt;&gt;"Yes",NA(),Inputs!$D$26*Inputs!$C$35))</f>
        <v/>
      </c>
      <c r="R340" s="54">
        <f>IF($B340=0,NA(),IF(Inputs!$B$27&lt;&gt;"Yes",NA(),Inputs!$D$27*Inputs!$C$35))</f>
        <v/>
      </c>
      <c r="S340" s="54">
        <f>IF($B340=0,NA(),IF(Inputs!$B$28&lt;&gt;"Yes",NA(),Inputs!$D$28*Inputs!$C$35))</f>
        <v/>
      </c>
      <c r="T340" s="54">
        <f>IF($B340=0,NA(),IF(Inputs!$B$29&lt;&gt;"Yes",NA(),Inputs!$D$29*Inputs!$C$35))</f>
        <v/>
      </c>
      <c r="AD340">
        <f>IF($B340=0,0,IF(Inputs!$B$6="",0,COUNTIFS(Data!$A$10:$A$3209,"&gt;="&amp;$A340,Data!$A$10:$A$3209,"&lt;"&amp;$A340+1)))</f>
        <v/>
      </c>
      <c r="AE340">
        <f>IF($B340=0,0,IF(Inputs!$B$7="",0,COUNTIFS(Data!$E$10:$E$3209,"&gt;="&amp;$A340,Data!$E$10:$E$3209,"&lt;"&amp;$A340+1)))</f>
        <v/>
      </c>
      <c r="AF340">
        <f>IF($B340=0,0,IF(Inputs!$B$8="",0,COUNTIFS(Data!$I$10:$I$3209,"&gt;="&amp;$A340,Data!$I$10:$I$3209,"&lt;"&amp;$A340+1)))</f>
        <v/>
      </c>
      <c r="AG340">
        <f>IF($B340=0,0,IF(Inputs!$B$9="",0,COUNTIFS(Data!$M$10:$M$3209,"&gt;="&amp;$A340,Data!$M$10:$M$3209,"&lt;"&amp;$A340+1)))</f>
        <v/>
      </c>
      <c r="AH340">
        <f>IF($B340=0,0,IF(Inputs!$B$10="",0,COUNTIFS(Data!$Q$10:$Q$3209,"&gt;="&amp;$A340,Data!$Q$10:$Q$3209,"&lt;"&amp;$A340+1)))</f>
        <v/>
      </c>
    </row>
    <row r="341">
      <c r="A341" s="55">
        <f>MIN(Inputs!$C$15,$A340+IF(WEEKDAY($A340,2)=5,3,1))</f>
        <v/>
      </c>
      <c r="B341">
        <f>IF($A341&gt;$A340,1,0)</f>
        <v/>
      </c>
      <c r="C341" s="56">
        <f>IF($B341=0,"",IF(Inputs!$B$6="","",IF($AD341=0,C340,SUMIFS(Data!$B$10:$B$3209,Data!$A$10:$A$3209,"&gt;="&amp;$A341,Data!$A$10:$A$3209,"&lt;"&amp;$A341+1)/$AD341)))</f>
        <v/>
      </c>
      <c r="D341" s="56">
        <f>IF($B341=0,"",IF(Inputs!$B$7="","",IF($AE341=0,D340,SUMIFS(Data!$F$10:$F$3209,Data!$E$10:$E$3209,"&gt;="&amp;$A341,Data!$E$10:$E$3209,"&lt;"&amp;$A341+1)/$AE341)))</f>
        <v/>
      </c>
      <c r="E341" s="56">
        <f>IF($B341=0,"",IF(Inputs!$B$8="","",IF($AF341=0,E340,SUMIFS(Data!$J$10:$J$3209,Data!$I$10:$I$3209,"&gt;="&amp;$A341,Data!$I$10:$I$3209,"&lt;"&amp;$A341+1)/$AF341)))</f>
        <v/>
      </c>
      <c r="F341" s="56">
        <f>IF($B341=0,"",IF(Inputs!$B$9="","",IF($AG341=0,F340,SUMIFS(Data!$N$10:$N$3209,Data!$M$10:$M$3209,"&gt;="&amp;$A341,Data!$M$10:$M$3209,"&lt;"&amp;$A341+1)/$AG341)))</f>
        <v/>
      </c>
      <c r="G341" s="56">
        <f>IF($B341=0,"",IF(Inputs!$B$10="","",IF($AH341=0,G340,SUMIFS(Data!$R$10:$R$3209,Data!$Q$10:$Q$3209,"&gt;="&amp;$A341,Data!$Q$10:$Q$3209,"&lt;"&amp;$A341+1)/$AH341)))</f>
        <v/>
      </c>
      <c r="I341" s="54">
        <f>IF($B341=0,NA(),IF($C341="",NA(),IF(C$8="",NA(),IF(N(C$8)=0,NA(),IF(Inputs!$C$17="Rebased to 100",$C341/C$8*100,$C341)))))</f>
        <v/>
      </c>
      <c r="J341" s="54">
        <f>IF($B341=0,NA(),IF($D341="",NA(),IF(D$8="",NA(),IF(N(D$8)=0,NA(),IF(Inputs!$C$17="Rebased to 100",$D341/D$8*100,$D341)))))</f>
        <v/>
      </c>
      <c r="K341" s="54">
        <f>IF($B341=0,NA(),IF($E341="",NA(),IF(E$8="",NA(),IF(N(E$8)=0,NA(),IF(Inputs!$C$17="Rebased to 100",$E341/E$8*100,$E341)))))</f>
        <v/>
      </c>
      <c r="L341" s="54">
        <f>IF($B341=0,NA(),IF($F341="",NA(),IF(F$8="",NA(),IF(N(F$8)=0,NA(),IF(Inputs!$C$17="Rebased to 100",$F341/F$8*100,$F341)))))</f>
        <v/>
      </c>
      <c r="M341" s="54">
        <f>IF($B341=0,NA(),IF($G341="",NA(),IF(G$8="",NA(),IF(N(G$8)=0,NA(),IF(Inputs!$C$17="Rebased to 100",$G341/G$8*100,$G341)))))</f>
        <v/>
      </c>
      <c r="N341" s="54">
        <f>IF($B341=0,NA(),IF(Inputs!$C$18&lt;&gt;"Yes",NA(),IF(COUNT(I341,J341,K341,L341,M341)=0,NA(),MIN(I341,J341,K341,L341,M341))))</f>
        <v/>
      </c>
      <c r="O341" s="54">
        <f>IF($B341=0,NA(),IF(Inputs!$B$24&lt;&gt;"Yes",NA(),Inputs!$D$24*Inputs!$C$35))</f>
        <v/>
      </c>
      <c r="P341" s="54">
        <f>IF($B341=0,NA(),IF(Inputs!$B$25&lt;&gt;"Yes",NA(),Inputs!$D$25*Inputs!$C$35))</f>
        <v/>
      </c>
      <c r="Q341" s="54">
        <f>IF($B341=0,NA(),IF(Inputs!$B$26&lt;&gt;"Yes",NA(),Inputs!$D$26*Inputs!$C$35))</f>
        <v/>
      </c>
      <c r="R341" s="54">
        <f>IF($B341=0,NA(),IF(Inputs!$B$27&lt;&gt;"Yes",NA(),Inputs!$D$27*Inputs!$C$35))</f>
        <v/>
      </c>
      <c r="S341" s="54">
        <f>IF($B341=0,NA(),IF(Inputs!$B$28&lt;&gt;"Yes",NA(),Inputs!$D$28*Inputs!$C$35))</f>
        <v/>
      </c>
      <c r="T341" s="54">
        <f>IF($B341=0,NA(),IF(Inputs!$B$29&lt;&gt;"Yes",NA(),Inputs!$D$29*Inputs!$C$35))</f>
        <v/>
      </c>
      <c r="AD341">
        <f>IF($B341=0,0,IF(Inputs!$B$6="",0,COUNTIFS(Data!$A$10:$A$3209,"&gt;="&amp;$A341,Data!$A$10:$A$3209,"&lt;"&amp;$A341+1)))</f>
        <v/>
      </c>
      <c r="AE341">
        <f>IF($B341=0,0,IF(Inputs!$B$7="",0,COUNTIFS(Data!$E$10:$E$3209,"&gt;="&amp;$A341,Data!$E$10:$E$3209,"&lt;"&amp;$A341+1)))</f>
        <v/>
      </c>
      <c r="AF341">
        <f>IF($B341=0,0,IF(Inputs!$B$8="",0,COUNTIFS(Data!$I$10:$I$3209,"&gt;="&amp;$A341,Data!$I$10:$I$3209,"&lt;"&amp;$A341+1)))</f>
        <v/>
      </c>
      <c r="AG341">
        <f>IF($B341=0,0,IF(Inputs!$B$9="",0,COUNTIFS(Data!$M$10:$M$3209,"&gt;="&amp;$A341,Data!$M$10:$M$3209,"&lt;"&amp;$A341+1)))</f>
        <v/>
      </c>
      <c r="AH341">
        <f>IF($B341=0,0,IF(Inputs!$B$10="",0,COUNTIFS(Data!$Q$10:$Q$3209,"&gt;="&amp;$A341,Data!$Q$10:$Q$3209,"&lt;"&amp;$A341+1)))</f>
        <v/>
      </c>
    </row>
    <row r="342">
      <c r="A342" s="55">
        <f>MIN(Inputs!$C$15,$A341+IF(WEEKDAY($A341,2)=5,3,1))</f>
        <v/>
      </c>
      <c r="B342">
        <f>IF($A342&gt;$A341,1,0)</f>
        <v/>
      </c>
      <c r="C342" s="56">
        <f>IF($B342=0,"",IF(Inputs!$B$6="","",IF($AD342=0,C341,SUMIFS(Data!$B$10:$B$3209,Data!$A$10:$A$3209,"&gt;="&amp;$A342,Data!$A$10:$A$3209,"&lt;"&amp;$A342+1)/$AD342)))</f>
        <v/>
      </c>
      <c r="D342" s="56">
        <f>IF($B342=0,"",IF(Inputs!$B$7="","",IF($AE342=0,D341,SUMIFS(Data!$F$10:$F$3209,Data!$E$10:$E$3209,"&gt;="&amp;$A342,Data!$E$10:$E$3209,"&lt;"&amp;$A342+1)/$AE342)))</f>
        <v/>
      </c>
      <c r="E342" s="56">
        <f>IF($B342=0,"",IF(Inputs!$B$8="","",IF($AF342=0,E341,SUMIFS(Data!$J$10:$J$3209,Data!$I$10:$I$3209,"&gt;="&amp;$A342,Data!$I$10:$I$3209,"&lt;"&amp;$A342+1)/$AF342)))</f>
        <v/>
      </c>
      <c r="F342" s="56">
        <f>IF($B342=0,"",IF(Inputs!$B$9="","",IF($AG342=0,F341,SUMIFS(Data!$N$10:$N$3209,Data!$M$10:$M$3209,"&gt;="&amp;$A342,Data!$M$10:$M$3209,"&lt;"&amp;$A342+1)/$AG342)))</f>
        <v/>
      </c>
      <c r="G342" s="56">
        <f>IF($B342=0,"",IF(Inputs!$B$10="","",IF($AH342=0,G341,SUMIFS(Data!$R$10:$R$3209,Data!$Q$10:$Q$3209,"&gt;="&amp;$A342,Data!$Q$10:$Q$3209,"&lt;"&amp;$A342+1)/$AH342)))</f>
        <v/>
      </c>
      <c r="I342" s="54">
        <f>IF($B342=0,NA(),IF($C342="",NA(),IF(C$8="",NA(),IF(N(C$8)=0,NA(),IF(Inputs!$C$17="Rebased to 100",$C342/C$8*100,$C342)))))</f>
        <v/>
      </c>
      <c r="J342" s="54">
        <f>IF($B342=0,NA(),IF($D342="",NA(),IF(D$8="",NA(),IF(N(D$8)=0,NA(),IF(Inputs!$C$17="Rebased to 100",$D342/D$8*100,$D342)))))</f>
        <v/>
      </c>
      <c r="K342" s="54">
        <f>IF($B342=0,NA(),IF($E342="",NA(),IF(E$8="",NA(),IF(N(E$8)=0,NA(),IF(Inputs!$C$17="Rebased to 100",$E342/E$8*100,$E342)))))</f>
        <v/>
      </c>
      <c r="L342" s="54">
        <f>IF($B342=0,NA(),IF($F342="",NA(),IF(F$8="",NA(),IF(N(F$8)=0,NA(),IF(Inputs!$C$17="Rebased to 100",$F342/F$8*100,$F342)))))</f>
        <v/>
      </c>
      <c r="M342" s="54">
        <f>IF($B342=0,NA(),IF($G342="",NA(),IF(G$8="",NA(),IF(N(G$8)=0,NA(),IF(Inputs!$C$17="Rebased to 100",$G342/G$8*100,$G342)))))</f>
        <v/>
      </c>
      <c r="N342" s="54">
        <f>IF($B342=0,NA(),IF(Inputs!$C$18&lt;&gt;"Yes",NA(),IF(COUNT(I342,J342,K342,L342,M342)=0,NA(),MIN(I342,J342,K342,L342,M342))))</f>
        <v/>
      </c>
      <c r="O342" s="54">
        <f>IF($B342=0,NA(),IF(Inputs!$B$24&lt;&gt;"Yes",NA(),Inputs!$D$24*Inputs!$C$35))</f>
        <v/>
      </c>
      <c r="P342" s="54">
        <f>IF($B342=0,NA(),IF(Inputs!$B$25&lt;&gt;"Yes",NA(),Inputs!$D$25*Inputs!$C$35))</f>
        <v/>
      </c>
      <c r="Q342" s="54">
        <f>IF($B342=0,NA(),IF(Inputs!$B$26&lt;&gt;"Yes",NA(),Inputs!$D$26*Inputs!$C$35))</f>
        <v/>
      </c>
      <c r="R342" s="54">
        <f>IF($B342=0,NA(),IF(Inputs!$B$27&lt;&gt;"Yes",NA(),Inputs!$D$27*Inputs!$C$35))</f>
        <v/>
      </c>
      <c r="S342" s="54">
        <f>IF($B342=0,NA(),IF(Inputs!$B$28&lt;&gt;"Yes",NA(),Inputs!$D$28*Inputs!$C$35))</f>
        <v/>
      </c>
      <c r="T342" s="54">
        <f>IF($B342=0,NA(),IF(Inputs!$B$29&lt;&gt;"Yes",NA(),Inputs!$D$29*Inputs!$C$35))</f>
        <v/>
      </c>
      <c r="AD342">
        <f>IF($B342=0,0,IF(Inputs!$B$6="",0,COUNTIFS(Data!$A$10:$A$3209,"&gt;="&amp;$A342,Data!$A$10:$A$3209,"&lt;"&amp;$A342+1)))</f>
        <v/>
      </c>
      <c r="AE342">
        <f>IF($B342=0,0,IF(Inputs!$B$7="",0,COUNTIFS(Data!$E$10:$E$3209,"&gt;="&amp;$A342,Data!$E$10:$E$3209,"&lt;"&amp;$A342+1)))</f>
        <v/>
      </c>
      <c r="AF342">
        <f>IF($B342=0,0,IF(Inputs!$B$8="",0,COUNTIFS(Data!$I$10:$I$3209,"&gt;="&amp;$A342,Data!$I$10:$I$3209,"&lt;"&amp;$A342+1)))</f>
        <v/>
      </c>
      <c r="AG342">
        <f>IF($B342=0,0,IF(Inputs!$B$9="",0,COUNTIFS(Data!$M$10:$M$3209,"&gt;="&amp;$A342,Data!$M$10:$M$3209,"&lt;"&amp;$A342+1)))</f>
        <v/>
      </c>
      <c r="AH342">
        <f>IF($B342=0,0,IF(Inputs!$B$10="",0,COUNTIFS(Data!$Q$10:$Q$3209,"&gt;="&amp;$A342,Data!$Q$10:$Q$3209,"&lt;"&amp;$A342+1)))</f>
        <v/>
      </c>
    </row>
    <row r="343">
      <c r="A343" s="55">
        <f>MIN(Inputs!$C$15,$A342+IF(WEEKDAY($A342,2)=5,3,1))</f>
        <v/>
      </c>
      <c r="B343">
        <f>IF($A343&gt;$A342,1,0)</f>
        <v/>
      </c>
      <c r="C343" s="56">
        <f>IF($B343=0,"",IF(Inputs!$B$6="","",IF($AD343=0,C342,SUMIFS(Data!$B$10:$B$3209,Data!$A$10:$A$3209,"&gt;="&amp;$A343,Data!$A$10:$A$3209,"&lt;"&amp;$A343+1)/$AD343)))</f>
        <v/>
      </c>
      <c r="D343" s="56">
        <f>IF($B343=0,"",IF(Inputs!$B$7="","",IF($AE343=0,D342,SUMIFS(Data!$F$10:$F$3209,Data!$E$10:$E$3209,"&gt;="&amp;$A343,Data!$E$10:$E$3209,"&lt;"&amp;$A343+1)/$AE343)))</f>
        <v/>
      </c>
      <c r="E343" s="56">
        <f>IF($B343=0,"",IF(Inputs!$B$8="","",IF($AF343=0,E342,SUMIFS(Data!$J$10:$J$3209,Data!$I$10:$I$3209,"&gt;="&amp;$A343,Data!$I$10:$I$3209,"&lt;"&amp;$A343+1)/$AF343)))</f>
        <v/>
      </c>
      <c r="F343" s="56">
        <f>IF($B343=0,"",IF(Inputs!$B$9="","",IF($AG343=0,F342,SUMIFS(Data!$N$10:$N$3209,Data!$M$10:$M$3209,"&gt;="&amp;$A343,Data!$M$10:$M$3209,"&lt;"&amp;$A343+1)/$AG343)))</f>
        <v/>
      </c>
      <c r="G343" s="56">
        <f>IF($B343=0,"",IF(Inputs!$B$10="","",IF($AH343=0,G342,SUMIFS(Data!$R$10:$R$3209,Data!$Q$10:$Q$3209,"&gt;="&amp;$A343,Data!$Q$10:$Q$3209,"&lt;"&amp;$A343+1)/$AH343)))</f>
        <v/>
      </c>
      <c r="I343" s="54">
        <f>IF($B343=0,NA(),IF($C343="",NA(),IF(C$8="",NA(),IF(N(C$8)=0,NA(),IF(Inputs!$C$17="Rebased to 100",$C343/C$8*100,$C343)))))</f>
        <v/>
      </c>
      <c r="J343" s="54">
        <f>IF($B343=0,NA(),IF($D343="",NA(),IF(D$8="",NA(),IF(N(D$8)=0,NA(),IF(Inputs!$C$17="Rebased to 100",$D343/D$8*100,$D343)))))</f>
        <v/>
      </c>
      <c r="K343" s="54">
        <f>IF($B343=0,NA(),IF($E343="",NA(),IF(E$8="",NA(),IF(N(E$8)=0,NA(),IF(Inputs!$C$17="Rebased to 100",$E343/E$8*100,$E343)))))</f>
        <v/>
      </c>
      <c r="L343" s="54">
        <f>IF($B343=0,NA(),IF($F343="",NA(),IF(F$8="",NA(),IF(N(F$8)=0,NA(),IF(Inputs!$C$17="Rebased to 100",$F343/F$8*100,$F343)))))</f>
        <v/>
      </c>
      <c r="M343" s="54">
        <f>IF($B343=0,NA(),IF($G343="",NA(),IF(G$8="",NA(),IF(N(G$8)=0,NA(),IF(Inputs!$C$17="Rebased to 100",$G343/G$8*100,$G343)))))</f>
        <v/>
      </c>
      <c r="N343" s="54">
        <f>IF($B343=0,NA(),IF(Inputs!$C$18&lt;&gt;"Yes",NA(),IF(COUNT(I343,J343,K343,L343,M343)=0,NA(),MIN(I343,J343,K343,L343,M343))))</f>
        <v/>
      </c>
      <c r="O343" s="54">
        <f>IF($B343=0,NA(),IF(Inputs!$B$24&lt;&gt;"Yes",NA(),Inputs!$D$24*Inputs!$C$35))</f>
        <v/>
      </c>
      <c r="P343" s="54">
        <f>IF($B343=0,NA(),IF(Inputs!$B$25&lt;&gt;"Yes",NA(),Inputs!$D$25*Inputs!$C$35))</f>
        <v/>
      </c>
      <c r="Q343" s="54">
        <f>IF($B343=0,NA(),IF(Inputs!$B$26&lt;&gt;"Yes",NA(),Inputs!$D$26*Inputs!$C$35))</f>
        <v/>
      </c>
      <c r="R343" s="54">
        <f>IF($B343=0,NA(),IF(Inputs!$B$27&lt;&gt;"Yes",NA(),Inputs!$D$27*Inputs!$C$35))</f>
        <v/>
      </c>
      <c r="S343" s="54">
        <f>IF($B343=0,NA(),IF(Inputs!$B$28&lt;&gt;"Yes",NA(),Inputs!$D$28*Inputs!$C$35))</f>
        <v/>
      </c>
      <c r="T343" s="54">
        <f>IF($B343=0,NA(),IF(Inputs!$B$29&lt;&gt;"Yes",NA(),Inputs!$D$29*Inputs!$C$35))</f>
        <v/>
      </c>
      <c r="AD343">
        <f>IF($B343=0,0,IF(Inputs!$B$6="",0,COUNTIFS(Data!$A$10:$A$3209,"&gt;="&amp;$A343,Data!$A$10:$A$3209,"&lt;"&amp;$A343+1)))</f>
        <v/>
      </c>
      <c r="AE343">
        <f>IF($B343=0,0,IF(Inputs!$B$7="",0,COUNTIFS(Data!$E$10:$E$3209,"&gt;="&amp;$A343,Data!$E$10:$E$3209,"&lt;"&amp;$A343+1)))</f>
        <v/>
      </c>
      <c r="AF343">
        <f>IF($B343=0,0,IF(Inputs!$B$8="",0,COUNTIFS(Data!$I$10:$I$3209,"&gt;="&amp;$A343,Data!$I$10:$I$3209,"&lt;"&amp;$A343+1)))</f>
        <v/>
      </c>
      <c r="AG343">
        <f>IF($B343=0,0,IF(Inputs!$B$9="",0,COUNTIFS(Data!$M$10:$M$3209,"&gt;="&amp;$A343,Data!$M$10:$M$3209,"&lt;"&amp;$A343+1)))</f>
        <v/>
      </c>
      <c r="AH343">
        <f>IF($B343=0,0,IF(Inputs!$B$10="",0,COUNTIFS(Data!$Q$10:$Q$3209,"&gt;="&amp;$A343,Data!$Q$10:$Q$3209,"&lt;"&amp;$A343+1)))</f>
        <v/>
      </c>
    </row>
    <row r="344">
      <c r="A344" s="55">
        <f>MIN(Inputs!$C$15,$A343+IF(WEEKDAY($A343,2)=5,3,1))</f>
        <v/>
      </c>
      <c r="B344">
        <f>IF($A344&gt;$A343,1,0)</f>
        <v/>
      </c>
      <c r="C344" s="56">
        <f>IF($B344=0,"",IF(Inputs!$B$6="","",IF($AD344=0,C343,SUMIFS(Data!$B$10:$B$3209,Data!$A$10:$A$3209,"&gt;="&amp;$A344,Data!$A$10:$A$3209,"&lt;"&amp;$A344+1)/$AD344)))</f>
        <v/>
      </c>
      <c r="D344" s="56">
        <f>IF($B344=0,"",IF(Inputs!$B$7="","",IF($AE344=0,D343,SUMIFS(Data!$F$10:$F$3209,Data!$E$10:$E$3209,"&gt;="&amp;$A344,Data!$E$10:$E$3209,"&lt;"&amp;$A344+1)/$AE344)))</f>
        <v/>
      </c>
      <c r="E344" s="56">
        <f>IF($B344=0,"",IF(Inputs!$B$8="","",IF($AF344=0,E343,SUMIFS(Data!$J$10:$J$3209,Data!$I$10:$I$3209,"&gt;="&amp;$A344,Data!$I$10:$I$3209,"&lt;"&amp;$A344+1)/$AF344)))</f>
        <v/>
      </c>
      <c r="F344" s="56">
        <f>IF($B344=0,"",IF(Inputs!$B$9="","",IF($AG344=0,F343,SUMIFS(Data!$N$10:$N$3209,Data!$M$10:$M$3209,"&gt;="&amp;$A344,Data!$M$10:$M$3209,"&lt;"&amp;$A344+1)/$AG344)))</f>
        <v/>
      </c>
      <c r="G344" s="56">
        <f>IF($B344=0,"",IF(Inputs!$B$10="","",IF($AH344=0,G343,SUMIFS(Data!$R$10:$R$3209,Data!$Q$10:$Q$3209,"&gt;="&amp;$A344,Data!$Q$10:$Q$3209,"&lt;"&amp;$A344+1)/$AH344)))</f>
        <v/>
      </c>
      <c r="I344" s="54">
        <f>IF($B344=0,NA(),IF($C344="",NA(),IF(C$8="",NA(),IF(N(C$8)=0,NA(),IF(Inputs!$C$17="Rebased to 100",$C344/C$8*100,$C344)))))</f>
        <v/>
      </c>
      <c r="J344" s="54">
        <f>IF($B344=0,NA(),IF($D344="",NA(),IF(D$8="",NA(),IF(N(D$8)=0,NA(),IF(Inputs!$C$17="Rebased to 100",$D344/D$8*100,$D344)))))</f>
        <v/>
      </c>
      <c r="K344" s="54">
        <f>IF($B344=0,NA(),IF($E344="",NA(),IF(E$8="",NA(),IF(N(E$8)=0,NA(),IF(Inputs!$C$17="Rebased to 100",$E344/E$8*100,$E344)))))</f>
        <v/>
      </c>
      <c r="L344" s="54">
        <f>IF($B344=0,NA(),IF($F344="",NA(),IF(F$8="",NA(),IF(N(F$8)=0,NA(),IF(Inputs!$C$17="Rebased to 100",$F344/F$8*100,$F344)))))</f>
        <v/>
      </c>
      <c r="M344" s="54">
        <f>IF($B344=0,NA(),IF($G344="",NA(),IF(G$8="",NA(),IF(N(G$8)=0,NA(),IF(Inputs!$C$17="Rebased to 100",$G344/G$8*100,$G344)))))</f>
        <v/>
      </c>
      <c r="N344" s="54">
        <f>IF($B344=0,NA(),IF(Inputs!$C$18&lt;&gt;"Yes",NA(),IF(COUNT(I344,J344,K344,L344,M344)=0,NA(),MIN(I344,J344,K344,L344,M344))))</f>
        <v/>
      </c>
      <c r="O344" s="54">
        <f>IF($B344=0,NA(),IF(Inputs!$B$24&lt;&gt;"Yes",NA(),Inputs!$D$24*Inputs!$C$35))</f>
        <v/>
      </c>
      <c r="P344" s="54">
        <f>IF($B344=0,NA(),IF(Inputs!$B$25&lt;&gt;"Yes",NA(),Inputs!$D$25*Inputs!$C$35))</f>
        <v/>
      </c>
      <c r="Q344" s="54">
        <f>IF($B344=0,NA(),IF(Inputs!$B$26&lt;&gt;"Yes",NA(),Inputs!$D$26*Inputs!$C$35))</f>
        <v/>
      </c>
      <c r="R344" s="54">
        <f>IF($B344=0,NA(),IF(Inputs!$B$27&lt;&gt;"Yes",NA(),Inputs!$D$27*Inputs!$C$35))</f>
        <v/>
      </c>
      <c r="S344" s="54">
        <f>IF($B344=0,NA(),IF(Inputs!$B$28&lt;&gt;"Yes",NA(),Inputs!$D$28*Inputs!$C$35))</f>
        <v/>
      </c>
      <c r="T344" s="54">
        <f>IF($B344=0,NA(),IF(Inputs!$B$29&lt;&gt;"Yes",NA(),Inputs!$D$29*Inputs!$C$35))</f>
        <v/>
      </c>
      <c r="AD344">
        <f>IF($B344=0,0,IF(Inputs!$B$6="",0,COUNTIFS(Data!$A$10:$A$3209,"&gt;="&amp;$A344,Data!$A$10:$A$3209,"&lt;"&amp;$A344+1)))</f>
        <v/>
      </c>
      <c r="AE344">
        <f>IF($B344=0,0,IF(Inputs!$B$7="",0,COUNTIFS(Data!$E$10:$E$3209,"&gt;="&amp;$A344,Data!$E$10:$E$3209,"&lt;"&amp;$A344+1)))</f>
        <v/>
      </c>
      <c r="AF344">
        <f>IF($B344=0,0,IF(Inputs!$B$8="",0,COUNTIFS(Data!$I$10:$I$3209,"&gt;="&amp;$A344,Data!$I$10:$I$3209,"&lt;"&amp;$A344+1)))</f>
        <v/>
      </c>
      <c r="AG344">
        <f>IF($B344=0,0,IF(Inputs!$B$9="",0,COUNTIFS(Data!$M$10:$M$3209,"&gt;="&amp;$A344,Data!$M$10:$M$3209,"&lt;"&amp;$A344+1)))</f>
        <v/>
      </c>
      <c r="AH344">
        <f>IF($B344=0,0,IF(Inputs!$B$10="",0,COUNTIFS(Data!$Q$10:$Q$3209,"&gt;="&amp;$A344,Data!$Q$10:$Q$3209,"&lt;"&amp;$A344+1)))</f>
        <v/>
      </c>
    </row>
    <row r="345">
      <c r="A345" s="55">
        <f>MIN(Inputs!$C$15,$A344+IF(WEEKDAY($A344,2)=5,3,1))</f>
        <v/>
      </c>
      <c r="B345">
        <f>IF($A345&gt;$A344,1,0)</f>
        <v/>
      </c>
      <c r="C345" s="56">
        <f>IF($B345=0,"",IF(Inputs!$B$6="","",IF($AD345=0,C344,SUMIFS(Data!$B$10:$B$3209,Data!$A$10:$A$3209,"&gt;="&amp;$A345,Data!$A$10:$A$3209,"&lt;"&amp;$A345+1)/$AD345)))</f>
        <v/>
      </c>
      <c r="D345" s="56">
        <f>IF($B345=0,"",IF(Inputs!$B$7="","",IF($AE345=0,D344,SUMIFS(Data!$F$10:$F$3209,Data!$E$10:$E$3209,"&gt;="&amp;$A345,Data!$E$10:$E$3209,"&lt;"&amp;$A345+1)/$AE345)))</f>
        <v/>
      </c>
      <c r="E345" s="56">
        <f>IF($B345=0,"",IF(Inputs!$B$8="","",IF($AF345=0,E344,SUMIFS(Data!$J$10:$J$3209,Data!$I$10:$I$3209,"&gt;="&amp;$A345,Data!$I$10:$I$3209,"&lt;"&amp;$A345+1)/$AF345)))</f>
        <v/>
      </c>
      <c r="F345" s="56">
        <f>IF($B345=0,"",IF(Inputs!$B$9="","",IF($AG345=0,F344,SUMIFS(Data!$N$10:$N$3209,Data!$M$10:$M$3209,"&gt;="&amp;$A345,Data!$M$10:$M$3209,"&lt;"&amp;$A345+1)/$AG345)))</f>
        <v/>
      </c>
      <c r="G345" s="56">
        <f>IF($B345=0,"",IF(Inputs!$B$10="","",IF($AH345=0,G344,SUMIFS(Data!$R$10:$R$3209,Data!$Q$10:$Q$3209,"&gt;="&amp;$A345,Data!$Q$10:$Q$3209,"&lt;"&amp;$A345+1)/$AH345)))</f>
        <v/>
      </c>
      <c r="I345" s="54">
        <f>IF($B345=0,NA(),IF($C345="",NA(),IF(C$8="",NA(),IF(N(C$8)=0,NA(),IF(Inputs!$C$17="Rebased to 100",$C345/C$8*100,$C345)))))</f>
        <v/>
      </c>
      <c r="J345" s="54">
        <f>IF($B345=0,NA(),IF($D345="",NA(),IF(D$8="",NA(),IF(N(D$8)=0,NA(),IF(Inputs!$C$17="Rebased to 100",$D345/D$8*100,$D345)))))</f>
        <v/>
      </c>
      <c r="K345" s="54">
        <f>IF($B345=0,NA(),IF($E345="",NA(),IF(E$8="",NA(),IF(N(E$8)=0,NA(),IF(Inputs!$C$17="Rebased to 100",$E345/E$8*100,$E345)))))</f>
        <v/>
      </c>
      <c r="L345" s="54">
        <f>IF($B345=0,NA(),IF($F345="",NA(),IF(F$8="",NA(),IF(N(F$8)=0,NA(),IF(Inputs!$C$17="Rebased to 100",$F345/F$8*100,$F345)))))</f>
        <v/>
      </c>
      <c r="M345" s="54">
        <f>IF($B345=0,NA(),IF($G345="",NA(),IF(G$8="",NA(),IF(N(G$8)=0,NA(),IF(Inputs!$C$17="Rebased to 100",$G345/G$8*100,$G345)))))</f>
        <v/>
      </c>
      <c r="N345" s="54">
        <f>IF($B345=0,NA(),IF(Inputs!$C$18&lt;&gt;"Yes",NA(),IF(COUNT(I345,J345,K345,L345,M345)=0,NA(),MIN(I345,J345,K345,L345,M345))))</f>
        <v/>
      </c>
      <c r="O345" s="54">
        <f>IF($B345=0,NA(),IF(Inputs!$B$24&lt;&gt;"Yes",NA(),Inputs!$D$24*Inputs!$C$35))</f>
        <v/>
      </c>
      <c r="P345" s="54">
        <f>IF($B345=0,NA(),IF(Inputs!$B$25&lt;&gt;"Yes",NA(),Inputs!$D$25*Inputs!$C$35))</f>
        <v/>
      </c>
      <c r="Q345" s="54">
        <f>IF($B345=0,NA(),IF(Inputs!$B$26&lt;&gt;"Yes",NA(),Inputs!$D$26*Inputs!$C$35))</f>
        <v/>
      </c>
      <c r="R345" s="54">
        <f>IF($B345=0,NA(),IF(Inputs!$B$27&lt;&gt;"Yes",NA(),Inputs!$D$27*Inputs!$C$35))</f>
        <v/>
      </c>
      <c r="S345" s="54">
        <f>IF($B345=0,NA(),IF(Inputs!$B$28&lt;&gt;"Yes",NA(),Inputs!$D$28*Inputs!$C$35))</f>
        <v/>
      </c>
      <c r="T345" s="54">
        <f>IF($B345=0,NA(),IF(Inputs!$B$29&lt;&gt;"Yes",NA(),Inputs!$D$29*Inputs!$C$35))</f>
        <v/>
      </c>
      <c r="AD345">
        <f>IF($B345=0,0,IF(Inputs!$B$6="",0,COUNTIFS(Data!$A$10:$A$3209,"&gt;="&amp;$A345,Data!$A$10:$A$3209,"&lt;"&amp;$A345+1)))</f>
        <v/>
      </c>
      <c r="AE345">
        <f>IF($B345=0,0,IF(Inputs!$B$7="",0,COUNTIFS(Data!$E$10:$E$3209,"&gt;="&amp;$A345,Data!$E$10:$E$3209,"&lt;"&amp;$A345+1)))</f>
        <v/>
      </c>
      <c r="AF345">
        <f>IF($B345=0,0,IF(Inputs!$B$8="",0,COUNTIFS(Data!$I$10:$I$3209,"&gt;="&amp;$A345,Data!$I$10:$I$3209,"&lt;"&amp;$A345+1)))</f>
        <v/>
      </c>
      <c r="AG345">
        <f>IF($B345=0,0,IF(Inputs!$B$9="",0,COUNTIFS(Data!$M$10:$M$3209,"&gt;="&amp;$A345,Data!$M$10:$M$3209,"&lt;"&amp;$A345+1)))</f>
        <v/>
      </c>
      <c r="AH345">
        <f>IF($B345=0,0,IF(Inputs!$B$10="",0,COUNTIFS(Data!$Q$10:$Q$3209,"&gt;="&amp;$A345,Data!$Q$10:$Q$3209,"&lt;"&amp;$A345+1)))</f>
        <v/>
      </c>
    </row>
    <row r="346">
      <c r="A346" s="55">
        <f>MIN(Inputs!$C$15,$A345+IF(WEEKDAY($A345,2)=5,3,1))</f>
        <v/>
      </c>
      <c r="B346">
        <f>IF($A346&gt;$A345,1,0)</f>
        <v/>
      </c>
      <c r="C346" s="56">
        <f>IF($B346=0,"",IF(Inputs!$B$6="","",IF($AD346=0,C345,SUMIFS(Data!$B$10:$B$3209,Data!$A$10:$A$3209,"&gt;="&amp;$A346,Data!$A$10:$A$3209,"&lt;"&amp;$A346+1)/$AD346)))</f>
        <v/>
      </c>
      <c r="D346" s="56">
        <f>IF($B346=0,"",IF(Inputs!$B$7="","",IF($AE346=0,D345,SUMIFS(Data!$F$10:$F$3209,Data!$E$10:$E$3209,"&gt;="&amp;$A346,Data!$E$10:$E$3209,"&lt;"&amp;$A346+1)/$AE346)))</f>
        <v/>
      </c>
      <c r="E346" s="56">
        <f>IF($B346=0,"",IF(Inputs!$B$8="","",IF($AF346=0,E345,SUMIFS(Data!$J$10:$J$3209,Data!$I$10:$I$3209,"&gt;="&amp;$A346,Data!$I$10:$I$3209,"&lt;"&amp;$A346+1)/$AF346)))</f>
        <v/>
      </c>
      <c r="F346" s="56">
        <f>IF($B346=0,"",IF(Inputs!$B$9="","",IF($AG346=0,F345,SUMIFS(Data!$N$10:$N$3209,Data!$M$10:$M$3209,"&gt;="&amp;$A346,Data!$M$10:$M$3209,"&lt;"&amp;$A346+1)/$AG346)))</f>
        <v/>
      </c>
      <c r="G346" s="56">
        <f>IF($B346=0,"",IF(Inputs!$B$10="","",IF($AH346=0,G345,SUMIFS(Data!$R$10:$R$3209,Data!$Q$10:$Q$3209,"&gt;="&amp;$A346,Data!$Q$10:$Q$3209,"&lt;"&amp;$A346+1)/$AH346)))</f>
        <v/>
      </c>
      <c r="I346" s="54">
        <f>IF($B346=0,NA(),IF($C346="",NA(),IF(C$8="",NA(),IF(N(C$8)=0,NA(),IF(Inputs!$C$17="Rebased to 100",$C346/C$8*100,$C346)))))</f>
        <v/>
      </c>
      <c r="J346" s="54">
        <f>IF($B346=0,NA(),IF($D346="",NA(),IF(D$8="",NA(),IF(N(D$8)=0,NA(),IF(Inputs!$C$17="Rebased to 100",$D346/D$8*100,$D346)))))</f>
        <v/>
      </c>
      <c r="K346" s="54">
        <f>IF($B346=0,NA(),IF($E346="",NA(),IF(E$8="",NA(),IF(N(E$8)=0,NA(),IF(Inputs!$C$17="Rebased to 100",$E346/E$8*100,$E346)))))</f>
        <v/>
      </c>
      <c r="L346" s="54">
        <f>IF($B346=0,NA(),IF($F346="",NA(),IF(F$8="",NA(),IF(N(F$8)=0,NA(),IF(Inputs!$C$17="Rebased to 100",$F346/F$8*100,$F346)))))</f>
        <v/>
      </c>
      <c r="M346" s="54">
        <f>IF($B346=0,NA(),IF($G346="",NA(),IF(G$8="",NA(),IF(N(G$8)=0,NA(),IF(Inputs!$C$17="Rebased to 100",$G346/G$8*100,$G346)))))</f>
        <v/>
      </c>
      <c r="N346" s="54">
        <f>IF($B346=0,NA(),IF(Inputs!$C$18&lt;&gt;"Yes",NA(),IF(COUNT(I346,J346,K346,L346,M346)=0,NA(),MIN(I346,J346,K346,L346,M346))))</f>
        <v/>
      </c>
      <c r="O346" s="54">
        <f>IF($B346=0,NA(),IF(Inputs!$B$24&lt;&gt;"Yes",NA(),Inputs!$D$24*Inputs!$C$35))</f>
        <v/>
      </c>
      <c r="P346" s="54">
        <f>IF($B346=0,NA(),IF(Inputs!$B$25&lt;&gt;"Yes",NA(),Inputs!$D$25*Inputs!$C$35))</f>
        <v/>
      </c>
      <c r="Q346" s="54">
        <f>IF($B346=0,NA(),IF(Inputs!$B$26&lt;&gt;"Yes",NA(),Inputs!$D$26*Inputs!$C$35))</f>
        <v/>
      </c>
      <c r="R346" s="54">
        <f>IF($B346=0,NA(),IF(Inputs!$B$27&lt;&gt;"Yes",NA(),Inputs!$D$27*Inputs!$C$35))</f>
        <v/>
      </c>
      <c r="S346" s="54">
        <f>IF($B346=0,NA(),IF(Inputs!$B$28&lt;&gt;"Yes",NA(),Inputs!$D$28*Inputs!$C$35))</f>
        <v/>
      </c>
      <c r="T346" s="54">
        <f>IF($B346=0,NA(),IF(Inputs!$B$29&lt;&gt;"Yes",NA(),Inputs!$D$29*Inputs!$C$35))</f>
        <v/>
      </c>
      <c r="AD346">
        <f>IF($B346=0,0,IF(Inputs!$B$6="",0,COUNTIFS(Data!$A$10:$A$3209,"&gt;="&amp;$A346,Data!$A$10:$A$3209,"&lt;"&amp;$A346+1)))</f>
        <v/>
      </c>
      <c r="AE346">
        <f>IF($B346=0,0,IF(Inputs!$B$7="",0,COUNTIFS(Data!$E$10:$E$3209,"&gt;="&amp;$A346,Data!$E$10:$E$3209,"&lt;"&amp;$A346+1)))</f>
        <v/>
      </c>
      <c r="AF346">
        <f>IF($B346=0,0,IF(Inputs!$B$8="",0,COUNTIFS(Data!$I$10:$I$3209,"&gt;="&amp;$A346,Data!$I$10:$I$3209,"&lt;"&amp;$A346+1)))</f>
        <v/>
      </c>
      <c r="AG346">
        <f>IF($B346=0,0,IF(Inputs!$B$9="",0,COUNTIFS(Data!$M$10:$M$3209,"&gt;="&amp;$A346,Data!$M$10:$M$3209,"&lt;"&amp;$A346+1)))</f>
        <v/>
      </c>
      <c r="AH346">
        <f>IF($B346=0,0,IF(Inputs!$B$10="",0,COUNTIFS(Data!$Q$10:$Q$3209,"&gt;="&amp;$A346,Data!$Q$10:$Q$3209,"&lt;"&amp;$A346+1)))</f>
        <v/>
      </c>
    </row>
    <row r="347">
      <c r="A347" s="55">
        <f>MIN(Inputs!$C$15,$A346+IF(WEEKDAY($A346,2)=5,3,1))</f>
        <v/>
      </c>
      <c r="B347">
        <f>IF($A347&gt;$A346,1,0)</f>
        <v/>
      </c>
      <c r="C347" s="56">
        <f>IF($B347=0,"",IF(Inputs!$B$6="","",IF($AD347=0,C346,SUMIFS(Data!$B$10:$B$3209,Data!$A$10:$A$3209,"&gt;="&amp;$A347,Data!$A$10:$A$3209,"&lt;"&amp;$A347+1)/$AD347)))</f>
        <v/>
      </c>
      <c r="D347" s="56">
        <f>IF($B347=0,"",IF(Inputs!$B$7="","",IF($AE347=0,D346,SUMIFS(Data!$F$10:$F$3209,Data!$E$10:$E$3209,"&gt;="&amp;$A347,Data!$E$10:$E$3209,"&lt;"&amp;$A347+1)/$AE347)))</f>
        <v/>
      </c>
      <c r="E347" s="56">
        <f>IF($B347=0,"",IF(Inputs!$B$8="","",IF($AF347=0,E346,SUMIFS(Data!$J$10:$J$3209,Data!$I$10:$I$3209,"&gt;="&amp;$A347,Data!$I$10:$I$3209,"&lt;"&amp;$A347+1)/$AF347)))</f>
        <v/>
      </c>
      <c r="F347" s="56">
        <f>IF($B347=0,"",IF(Inputs!$B$9="","",IF($AG347=0,F346,SUMIFS(Data!$N$10:$N$3209,Data!$M$10:$M$3209,"&gt;="&amp;$A347,Data!$M$10:$M$3209,"&lt;"&amp;$A347+1)/$AG347)))</f>
        <v/>
      </c>
      <c r="G347" s="56">
        <f>IF($B347=0,"",IF(Inputs!$B$10="","",IF($AH347=0,G346,SUMIFS(Data!$R$10:$R$3209,Data!$Q$10:$Q$3209,"&gt;="&amp;$A347,Data!$Q$10:$Q$3209,"&lt;"&amp;$A347+1)/$AH347)))</f>
        <v/>
      </c>
      <c r="I347" s="54">
        <f>IF($B347=0,NA(),IF($C347="",NA(),IF(C$8="",NA(),IF(N(C$8)=0,NA(),IF(Inputs!$C$17="Rebased to 100",$C347/C$8*100,$C347)))))</f>
        <v/>
      </c>
      <c r="J347" s="54">
        <f>IF($B347=0,NA(),IF($D347="",NA(),IF(D$8="",NA(),IF(N(D$8)=0,NA(),IF(Inputs!$C$17="Rebased to 100",$D347/D$8*100,$D347)))))</f>
        <v/>
      </c>
      <c r="K347" s="54">
        <f>IF($B347=0,NA(),IF($E347="",NA(),IF(E$8="",NA(),IF(N(E$8)=0,NA(),IF(Inputs!$C$17="Rebased to 100",$E347/E$8*100,$E347)))))</f>
        <v/>
      </c>
      <c r="L347" s="54">
        <f>IF($B347=0,NA(),IF($F347="",NA(),IF(F$8="",NA(),IF(N(F$8)=0,NA(),IF(Inputs!$C$17="Rebased to 100",$F347/F$8*100,$F347)))))</f>
        <v/>
      </c>
      <c r="M347" s="54">
        <f>IF($B347=0,NA(),IF($G347="",NA(),IF(G$8="",NA(),IF(N(G$8)=0,NA(),IF(Inputs!$C$17="Rebased to 100",$G347/G$8*100,$G347)))))</f>
        <v/>
      </c>
      <c r="N347" s="54">
        <f>IF($B347=0,NA(),IF(Inputs!$C$18&lt;&gt;"Yes",NA(),IF(COUNT(I347,J347,K347,L347,M347)=0,NA(),MIN(I347,J347,K347,L347,M347))))</f>
        <v/>
      </c>
      <c r="O347" s="54">
        <f>IF($B347=0,NA(),IF(Inputs!$B$24&lt;&gt;"Yes",NA(),Inputs!$D$24*Inputs!$C$35))</f>
        <v/>
      </c>
      <c r="P347" s="54">
        <f>IF($B347=0,NA(),IF(Inputs!$B$25&lt;&gt;"Yes",NA(),Inputs!$D$25*Inputs!$C$35))</f>
        <v/>
      </c>
      <c r="Q347" s="54">
        <f>IF($B347=0,NA(),IF(Inputs!$B$26&lt;&gt;"Yes",NA(),Inputs!$D$26*Inputs!$C$35))</f>
        <v/>
      </c>
      <c r="R347" s="54">
        <f>IF($B347=0,NA(),IF(Inputs!$B$27&lt;&gt;"Yes",NA(),Inputs!$D$27*Inputs!$C$35))</f>
        <v/>
      </c>
      <c r="S347" s="54">
        <f>IF($B347=0,NA(),IF(Inputs!$B$28&lt;&gt;"Yes",NA(),Inputs!$D$28*Inputs!$C$35))</f>
        <v/>
      </c>
      <c r="T347" s="54">
        <f>IF($B347=0,NA(),IF(Inputs!$B$29&lt;&gt;"Yes",NA(),Inputs!$D$29*Inputs!$C$35))</f>
        <v/>
      </c>
      <c r="AD347">
        <f>IF($B347=0,0,IF(Inputs!$B$6="",0,COUNTIFS(Data!$A$10:$A$3209,"&gt;="&amp;$A347,Data!$A$10:$A$3209,"&lt;"&amp;$A347+1)))</f>
        <v/>
      </c>
      <c r="AE347">
        <f>IF($B347=0,0,IF(Inputs!$B$7="",0,COUNTIFS(Data!$E$10:$E$3209,"&gt;="&amp;$A347,Data!$E$10:$E$3209,"&lt;"&amp;$A347+1)))</f>
        <v/>
      </c>
      <c r="AF347">
        <f>IF($B347=0,0,IF(Inputs!$B$8="",0,COUNTIFS(Data!$I$10:$I$3209,"&gt;="&amp;$A347,Data!$I$10:$I$3209,"&lt;"&amp;$A347+1)))</f>
        <v/>
      </c>
      <c r="AG347">
        <f>IF($B347=0,0,IF(Inputs!$B$9="",0,COUNTIFS(Data!$M$10:$M$3209,"&gt;="&amp;$A347,Data!$M$10:$M$3209,"&lt;"&amp;$A347+1)))</f>
        <v/>
      </c>
      <c r="AH347">
        <f>IF($B347=0,0,IF(Inputs!$B$10="",0,COUNTIFS(Data!$Q$10:$Q$3209,"&gt;="&amp;$A347,Data!$Q$10:$Q$3209,"&lt;"&amp;$A347+1)))</f>
        <v/>
      </c>
    </row>
    <row r="348">
      <c r="A348" s="55">
        <f>MIN(Inputs!$C$15,$A347+IF(WEEKDAY($A347,2)=5,3,1))</f>
        <v/>
      </c>
      <c r="B348">
        <f>IF($A348&gt;$A347,1,0)</f>
        <v/>
      </c>
      <c r="C348" s="56">
        <f>IF($B348=0,"",IF(Inputs!$B$6="","",IF($AD348=0,C347,SUMIFS(Data!$B$10:$B$3209,Data!$A$10:$A$3209,"&gt;="&amp;$A348,Data!$A$10:$A$3209,"&lt;"&amp;$A348+1)/$AD348)))</f>
        <v/>
      </c>
      <c r="D348" s="56">
        <f>IF($B348=0,"",IF(Inputs!$B$7="","",IF($AE348=0,D347,SUMIFS(Data!$F$10:$F$3209,Data!$E$10:$E$3209,"&gt;="&amp;$A348,Data!$E$10:$E$3209,"&lt;"&amp;$A348+1)/$AE348)))</f>
        <v/>
      </c>
      <c r="E348" s="56">
        <f>IF($B348=0,"",IF(Inputs!$B$8="","",IF($AF348=0,E347,SUMIFS(Data!$J$10:$J$3209,Data!$I$10:$I$3209,"&gt;="&amp;$A348,Data!$I$10:$I$3209,"&lt;"&amp;$A348+1)/$AF348)))</f>
        <v/>
      </c>
      <c r="F348" s="56">
        <f>IF($B348=0,"",IF(Inputs!$B$9="","",IF($AG348=0,F347,SUMIFS(Data!$N$10:$N$3209,Data!$M$10:$M$3209,"&gt;="&amp;$A348,Data!$M$10:$M$3209,"&lt;"&amp;$A348+1)/$AG348)))</f>
        <v/>
      </c>
      <c r="G348" s="56">
        <f>IF($B348=0,"",IF(Inputs!$B$10="","",IF($AH348=0,G347,SUMIFS(Data!$R$10:$R$3209,Data!$Q$10:$Q$3209,"&gt;="&amp;$A348,Data!$Q$10:$Q$3209,"&lt;"&amp;$A348+1)/$AH348)))</f>
        <v/>
      </c>
      <c r="I348" s="54">
        <f>IF($B348=0,NA(),IF($C348="",NA(),IF(C$8="",NA(),IF(N(C$8)=0,NA(),IF(Inputs!$C$17="Rebased to 100",$C348/C$8*100,$C348)))))</f>
        <v/>
      </c>
      <c r="J348" s="54">
        <f>IF($B348=0,NA(),IF($D348="",NA(),IF(D$8="",NA(),IF(N(D$8)=0,NA(),IF(Inputs!$C$17="Rebased to 100",$D348/D$8*100,$D348)))))</f>
        <v/>
      </c>
      <c r="K348" s="54">
        <f>IF($B348=0,NA(),IF($E348="",NA(),IF(E$8="",NA(),IF(N(E$8)=0,NA(),IF(Inputs!$C$17="Rebased to 100",$E348/E$8*100,$E348)))))</f>
        <v/>
      </c>
      <c r="L348" s="54">
        <f>IF($B348=0,NA(),IF($F348="",NA(),IF(F$8="",NA(),IF(N(F$8)=0,NA(),IF(Inputs!$C$17="Rebased to 100",$F348/F$8*100,$F348)))))</f>
        <v/>
      </c>
      <c r="M348" s="54">
        <f>IF($B348=0,NA(),IF($G348="",NA(),IF(G$8="",NA(),IF(N(G$8)=0,NA(),IF(Inputs!$C$17="Rebased to 100",$G348/G$8*100,$G348)))))</f>
        <v/>
      </c>
      <c r="N348" s="54">
        <f>IF($B348=0,NA(),IF(Inputs!$C$18&lt;&gt;"Yes",NA(),IF(COUNT(I348,J348,K348,L348,M348)=0,NA(),MIN(I348,J348,K348,L348,M348))))</f>
        <v/>
      </c>
      <c r="O348" s="54">
        <f>IF($B348=0,NA(),IF(Inputs!$B$24&lt;&gt;"Yes",NA(),Inputs!$D$24*Inputs!$C$35))</f>
        <v/>
      </c>
      <c r="P348" s="54">
        <f>IF($B348=0,NA(),IF(Inputs!$B$25&lt;&gt;"Yes",NA(),Inputs!$D$25*Inputs!$C$35))</f>
        <v/>
      </c>
      <c r="Q348" s="54">
        <f>IF($B348=0,NA(),IF(Inputs!$B$26&lt;&gt;"Yes",NA(),Inputs!$D$26*Inputs!$C$35))</f>
        <v/>
      </c>
      <c r="R348" s="54">
        <f>IF($B348=0,NA(),IF(Inputs!$B$27&lt;&gt;"Yes",NA(),Inputs!$D$27*Inputs!$C$35))</f>
        <v/>
      </c>
      <c r="S348" s="54">
        <f>IF($B348=0,NA(),IF(Inputs!$B$28&lt;&gt;"Yes",NA(),Inputs!$D$28*Inputs!$C$35))</f>
        <v/>
      </c>
      <c r="T348" s="54">
        <f>IF($B348=0,NA(),IF(Inputs!$B$29&lt;&gt;"Yes",NA(),Inputs!$D$29*Inputs!$C$35))</f>
        <v/>
      </c>
      <c r="AD348">
        <f>IF($B348=0,0,IF(Inputs!$B$6="",0,COUNTIFS(Data!$A$10:$A$3209,"&gt;="&amp;$A348,Data!$A$10:$A$3209,"&lt;"&amp;$A348+1)))</f>
        <v/>
      </c>
      <c r="AE348">
        <f>IF($B348=0,0,IF(Inputs!$B$7="",0,COUNTIFS(Data!$E$10:$E$3209,"&gt;="&amp;$A348,Data!$E$10:$E$3209,"&lt;"&amp;$A348+1)))</f>
        <v/>
      </c>
      <c r="AF348">
        <f>IF($B348=0,0,IF(Inputs!$B$8="",0,COUNTIFS(Data!$I$10:$I$3209,"&gt;="&amp;$A348,Data!$I$10:$I$3209,"&lt;"&amp;$A348+1)))</f>
        <v/>
      </c>
      <c r="AG348">
        <f>IF($B348=0,0,IF(Inputs!$B$9="",0,COUNTIFS(Data!$M$10:$M$3209,"&gt;="&amp;$A348,Data!$M$10:$M$3209,"&lt;"&amp;$A348+1)))</f>
        <v/>
      </c>
      <c r="AH348">
        <f>IF($B348=0,0,IF(Inputs!$B$10="",0,COUNTIFS(Data!$Q$10:$Q$3209,"&gt;="&amp;$A348,Data!$Q$10:$Q$3209,"&lt;"&amp;$A348+1)))</f>
        <v/>
      </c>
    </row>
    <row r="349">
      <c r="A349" s="55">
        <f>MIN(Inputs!$C$15,$A348+IF(WEEKDAY($A348,2)=5,3,1))</f>
        <v/>
      </c>
      <c r="B349">
        <f>IF($A349&gt;$A348,1,0)</f>
        <v/>
      </c>
      <c r="C349" s="56">
        <f>IF($B349=0,"",IF(Inputs!$B$6="","",IF($AD349=0,C348,SUMIFS(Data!$B$10:$B$3209,Data!$A$10:$A$3209,"&gt;="&amp;$A349,Data!$A$10:$A$3209,"&lt;"&amp;$A349+1)/$AD349)))</f>
        <v/>
      </c>
      <c r="D349" s="56">
        <f>IF($B349=0,"",IF(Inputs!$B$7="","",IF($AE349=0,D348,SUMIFS(Data!$F$10:$F$3209,Data!$E$10:$E$3209,"&gt;="&amp;$A349,Data!$E$10:$E$3209,"&lt;"&amp;$A349+1)/$AE349)))</f>
        <v/>
      </c>
      <c r="E349" s="56">
        <f>IF($B349=0,"",IF(Inputs!$B$8="","",IF($AF349=0,E348,SUMIFS(Data!$J$10:$J$3209,Data!$I$10:$I$3209,"&gt;="&amp;$A349,Data!$I$10:$I$3209,"&lt;"&amp;$A349+1)/$AF349)))</f>
        <v/>
      </c>
      <c r="F349" s="56">
        <f>IF($B349=0,"",IF(Inputs!$B$9="","",IF($AG349=0,F348,SUMIFS(Data!$N$10:$N$3209,Data!$M$10:$M$3209,"&gt;="&amp;$A349,Data!$M$10:$M$3209,"&lt;"&amp;$A349+1)/$AG349)))</f>
        <v/>
      </c>
      <c r="G349" s="56">
        <f>IF($B349=0,"",IF(Inputs!$B$10="","",IF($AH349=0,G348,SUMIFS(Data!$R$10:$R$3209,Data!$Q$10:$Q$3209,"&gt;="&amp;$A349,Data!$Q$10:$Q$3209,"&lt;"&amp;$A349+1)/$AH349)))</f>
        <v/>
      </c>
      <c r="I349" s="54">
        <f>IF($B349=0,NA(),IF($C349="",NA(),IF(C$8="",NA(),IF(N(C$8)=0,NA(),IF(Inputs!$C$17="Rebased to 100",$C349/C$8*100,$C349)))))</f>
        <v/>
      </c>
      <c r="J349" s="54">
        <f>IF($B349=0,NA(),IF($D349="",NA(),IF(D$8="",NA(),IF(N(D$8)=0,NA(),IF(Inputs!$C$17="Rebased to 100",$D349/D$8*100,$D349)))))</f>
        <v/>
      </c>
      <c r="K349" s="54">
        <f>IF($B349=0,NA(),IF($E349="",NA(),IF(E$8="",NA(),IF(N(E$8)=0,NA(),IF(Inputs!$C$17="Rebased to 100",$E349/E$8*100,$E349)))))</f>
        <v/>
      </c>
      <c r="L349" s="54">
        <f>IF($B349=0,NA(),IF($F349="",NA(),IF(F$8="",NA(),IF(N(F$8)=0,NA(),IF(Inputs!$C$17="Rebased to 100",$F349/F$8*100,$F349)))))</f>
        <v/>
      </c>
      <c r="M349" s="54">
        <f>IF($B349=0,NA(),IF($G349="",NA(),IF(G$8="",NA(),IF(N(G$8)=0,NA(),IF(Inputs!$C$17="Rebased to 100",$G349/G$8*100,$G349)))))</f>
        <v/>
      </c>
      <c r="N349" s="54">
        <f>IF($B349=0,NA(),IF(Inputs!$C$18&lt;&gt;"Yes",NA(),IF(COUNT(I349,J349,K349,L349,M349)=0,NA(),MIN(I349,J349,K349,L349,M349))))</f>
        <v/>
      </c>
      <c r="O349" s="54">
        <f>IF($B349=0,NA(),IF(Inputs!$B$24&lt;&gt;"Yes",NA(),Inputs!$D$24*Inputs!$C$35))</f>
        <v/>
      </c>
      <c r="P349" s="54">
        <f>IF($B349=0,NA(),IF(Inputs!$B$25&lt;&gt;"Yes",NA(),Inputs!$D$25*Inputs!$C$35))</f>
        <v/>
      </c>
      <c r="Q349" s="54">
        <f>IF($B349=0,NA(),IF(Inputs!$B$26&lt;&gt;"Yes",NA(),Inputs!$D$26*Inputs!$C$35))</f>
        <v/>
      </c>
      <c r="R349" s="54">
        <f>IF($B349=0,NA(),IF(Inputs!$B$27&lt;&gt;"Yes",NA(),Inputs!$D$27*Inputs!$C$35))</f>
        <v/>
      </c>
      <c r="S349" s="54">
        <f>IF($B349=0,NA(),IF(Inputs!$B$28&lt;&gt;"Yes",NA(),Inputs!$D$28*Inputs!$C$35))</f>
        <v/>
      </c>
      <c r="T349" s="54">
        <f>IF($B349=0,NA(),IF(Inputs!$B$29&lt;&gt;"Yes",NA(),Inputs!$D$29*Inputs!$C$35))</f>
        <v/>
      </c>
      <c r="AD349">
        <f>IF($B349=0,0,IF(Inputs!$B$6="",0,COUNTIFS(Data!$A$10:$A$3209,"&gt;="&amp;$A349,Data!$A$10:$A$3209,"&lt;"&amp;$A349+1)))</f>
        <v/>
      </c>
      <c r="AE349">
        <f>IF($B349=0,0,IF(Inputs!$B$7="",0,COUNTIFS(Data!$E$10:$E$3209,"&gt;="&amp;$A349,Data!$E$10:$E$3209,"&lt;"&amp;$A349+1)))</f>
        <v/>
      </c>
      <c r="AF349">
        <f>IF($B349=0,0,IF(Inputs!$B$8="",0,COUNTIFS(Data!$I$10:$I$3209,"&gt;="&amp;$A349,Data!$I$10:$I$3209,"&lt;"&amp;$A349+1)))</f>
        <v/>
      </c>
      <c r="AG349">
        <f>IF($B349=0,0,IF(Inputs!$B$9="",0,COUNTIFS(Data!$M$10:$M$3209,"&gt;="&amp;$A349,Data!$M$10:$M$3209,"&lt;"&amp;$A349+1)))</f>
        <v/>
      </c>
      <c r="AH349">
        <f>IF($B349=0,0,IF(Inputs!$B$10="",0,COUNTIFS(Data!$Q$10:$Q$3209,"&gt;="&amp;$A349,Data!$Q$10:$Q$3209,"&lt;"&amp;$A349+1)))</f>
        <v/>
      </c>
    </row>
    <row r="350">
      <c r="A350" s="55">
        <f>MIN(Inputs!$C$15,$A349+IF(WEEKDAY($A349,2)=5,3,1))</f>
        <v/>
      </c>
      <c r="B350">
        <f>IF($A350&gt;$A349,1,0)</f>
        <v/>
      </c>
      <c r="C350" s="56">
        <f>IF($B350=0,"",IF(Inputs!$B$6="","",IF($AD350=0,C349,SUMIFS(Data!$B$10:$B$3209,Data!$A$10:$A$3209,"&gt;="&amp;$A350,Data!$A$10:$A$3209,"&lt;"&amp;$A350+1)/$AD350)))</f>
        <v/>
      </c>
      <c r="D350" s="56">
        <f>IF($B350=0,"",IF(Inputs!$B$7="","",IF($AE350=0,D349,SUMIFS(Data!$F$10:$F$3209,Data!$E$10:$E$3209,"&gt;="&amp;$A350,Data!$E$10:$E$3209,"&lt;"&amp;$A350+1)/$AE350)))</f>
        <v/>
      </c>
      <c r="E350" s="56">
        <f>IF($B350=0,"",IF(Inputs!$B$8="","",IF($AF350=0,E349,SUMIFS(Data!$J$10:$J$3209,Data!$I$10:$I$3209,"&gt;="&amp;$A350,Data!$I$10:$I$3209,"&lt;"&amp;$A350+1)/$AF350)))</f>
        <v/>
      </c>
      <c r="F350" s="56">
        <f>IF($B350=0,"",IF(Inputs!$B$9="","",IF($AG350=0,F349,SUMIFS(Data!$N$10:$N$3209,Data!$M$10:$M$3209,"&gt;="&amp;$A350,Data!$M$10:$M$3209,"&lt;"&amp;$A350+1)/$AG350)))</f>
        <v/>
      </c>
      <c r="G350" s="56">
        <f>IF($B350=0,"",IF(Inputs!$B$10="","",IF($AH350=0,G349,SUMIFS(Data!$R$10:$R$3209,Data!$Q$10:$Q$3209,"&gt;="&amp;$A350,Data!$Q$10:$Q$3209,"&lt;"&amp;$A350+1)/$AH350)))</f>
        <v/>
      </c>
      <c r="I350" s="54">
        <f>IF($B350=0,NA(),IF($C350="",NA(),IF(C$8="",NA(),IF(N(C$8)=0,NA(),IF(Inputs!$C$17="Rebased to 100",$C350/C$8*100,$C350)))))</f>
        <v/>
      </c>
      <c r="J350" s="54">
        <f>IF($B350=0,NA(),IF($D350="",NA(),IF(D$8="",NA(),IF(N(D$8)=0,NA(),IF(Inputs!$C$17="Rebased to 100",$D350/D$8*100,$D350)))))</f>
        <v/>
      </c>
      <c r="K350" s="54">
        <f>IF($B350=0,NA(),IF($E350="",NA(),IF(E$8="",NA(),IF(N(E$8)=0,NA(),IF(Inputs!$C$17="Rebased to 100",$E350/E$8*100,$E350)))))</f>
        <v/>
      </c>
      <c r="L350" s="54">
        <f>IF($B350=0,NA(),IF($F350="",NA(),IF(F$8="",NA(),IF(N(F$8)=0,NA(),IF(Inputs!$C$17="Rebased to 100",$F350/F$8*100,$F350)))))</f>
        <v/>
      </c>
      <c r="M350" s="54">
        <f>IF($B350=0,NA(),IF($G350="",NA(),IF(G$8="",NA(),IF(N(G$8)=0,NA(),IF(Inputs!$C$17="Rebased to 100",$G350/G$8*100,$G350)))))</f>
        <v/>
      </c>
      <c r="N350" s="54">
        <f>IF($B350=0,NA(),IF(Inputs!$C$18&lt;&gt;"Yes",NA(),IF(COUNT(I350,J350,K350,L350,M350)=0,NA(),MIN(I350,J350,K350,L350,M350))))</f>
        <v/>
      </c>
      <c r="O350" s="54">
        <f>IF($B350=0,NA(),IF(Inputs!$B$24&lt;&gt;"Yes",NA(),Inputs!$D$24*Inputs!$C$35))</f>
        <v/>
      </c>
      <c r="P350" s="54">
        <f>IF($B350=0,NA(),IF(Inputs!$B$25&lt;&gt;"Yes",NA(),Inputs!$D$25*Inputs!$C$35))</f>
        <v/>
      </c>
      <c r="Q350" s="54">
        <f>IF($B350=0,NA(),IF(Inputs!$B$26&lt;&gt;"Yes",NA(),Inputs!$D$26*Inputs!$C$35))</f>
        <v/>
      </c>
      <c r="R350" s="54">
        <f>IF($B350=0,NA(),IF(Inputs!$B$27&lt;&gt;"Yes",NA(),Inputs!$D$27*Inputs!$C$35))</f>
        <v/>
      </c>
      <c r="S350" s="54">
        <f>IF($B350=0,NA(),IF(Inputs!$B$28&lt;&gt;"Yes",NA(),Inputs!$D$28*Inputs!$C$35))</f>
        <v/>
      </c>
      <c r="T350" s="54">
        <f>IF($B350=0,NA(),IF(Inputs!$B$29&lt;&gt;"Yes",NA(),Inputs!$D$29*Inputs!$C$35))</f>
        <v/>
      </c>
      <c r="AD350">
        <f>IF($B350=0,0,IF(Inputs!$B$6="",0,COUNTIFS(Data!$A$10:$A$3209,"&gt;="&amp;$A350,Data!$A$10:$A$3209,"&lt;"&amp;$A350+1)))</f>
        <v/>
      </c>
      <c r="AE350">
        <f>IF($B350=0,0,IF(Inputs!$B$7="",0,COUNTIFS(Data!$E$10:$E$3209,"&gt;="&amp;$A350,Data!$E$10:$E$3209,"&lt;"&amp;$A350+1)))</f>
        <v/>
      </c>
      <c r="AF350">
        <f>IF($B350=0,0,IF(Inputs!$B$8="",0,COUNTIFS(Data!$I$10:$I$3209,"&gt;="&amp;$A350,Data!$I$10:$I$3209,"&lt;"&amp;$A350+1)))</f>
        <v/>
      </c>
      <c r="AG350">
        <f>IF($B350=0,0,IF(Inputs!$B$9="",0,COUNTIFS(Data!$M$10:$M$3209,"&gt;="&amp;$A350,Data!$M$10:$M$3209,"&lt;"&amp;$A350+1)))</f>
        <v/>
      </c>
      <c r="AH350">
        <f>IF($B350=0,0,IF(Inputs!$B$10="",0,COUNTIFS(Data!$Q$10:$Q$3209,"&gt;="&amp;$A350,Data!$Q$10:$Q$3209,"&lt;"&amp;$A350+1)))</f>
        <v/>
      </c>
    </row>
    <row r="351">
      <c r="A351" s="55">
        <f>MIN(Inputs!$C$15,$A350+IF(WEEKDAY($A350,2)=5,3,1))</f>
        <v/>
      </c>
      <c r="B351">
        <f>IF($A351&gt;$A350,1,0)</f>
        <v/>
      </c>
      <c r="C351" s="56">
        <f>IF($B351=0,"",IF(Inputs!$B$6="","",IF($AD351=0,C350,SUMIFS(Data!$B$10:$B$3209,Data!$A$10:$A$3209,"&gt;="&amp;$A351,Data!$A$10:$A$3209,"&lt;"&amp;$A351+1)/$AD351)))</f>
        <v/>
      </c>
      <c r="D351" s="56">
        <f>IF($B351=0,"",IF(Inputs!$B$7="","",IF($AE351=0,D350,SUMIFS(Data!$F$10:$F$3209,Data!$E$10:$E$3209,"&gt;="&amp;$A351,Data!$E$10:$E$3209,"&lt;"&amp;$A351+1)/$AE351)))</f>
        <v/>
      </c>
      <c r="E351" s="56">
        <f>IF($B351=0,"",IF(Inputs!$B$8="","",IF($AF351=0,E350,SUMIFS(Data!$J$10:$J$3209,Data!$I$10:$I$3209,"&gt;="&amp;$A351,Data!$I$10:$I$3209,"&lt;"&amp;$A351+1)/$AF351)))</f>
        <v/>
      </c>
      <c r="F351" s="56">
        <f>IF($B351=0,"",IF(Inputs!$B$9="","",IF($AG351=0,F350,SUMIFS(Data!$N$10:$N$3209,Data!$M$10:$M$3209,"&gt;="&amp;$A351,Data!$M$10:$M$3209,"&lt;"&amp;$A351+1)/$AG351)))</f>
        <v/>
      </c>
      <c r="G351" s="56">
        <f>IF($B351=0,"",IF(Inputs!$B$10="","",IF($AH351=0,G350,SUMIFS(Data!$R$10:$R$3209,Data!$Q$10:$Q$3209,"&gt;="&amp;$A351,Data!$Q$10:$Q$3209,"&lt;"&amp;$A351+1)/$AH351)))</f>
        <v/>
      </c>
      <c r="I351" s="54">
        <f>IF($B351=0,NA(),IF($C351="",NA(),IF(C$8="",NA(),IF(N(C$8)=0,NA(),IF(Inputs!$C$17="Rebased to 100",$C351/C$8*100,$C351)))))</f>
        <v/>
      </c>
      <c r="J351" s="54">
        <f>IF($B351=0,NA(),IF($D351="",NA(),IF(D$8="",NA(),IF(N(D$8)=0,NA(),IF(Inputs!$C$17="Rebased to 100",$D351/D$8*100,$D351)))))</f>
        <v/>
      </c>
      <c r="K351" s="54">
        <f>IF($B351=0,NA(),IF($E351="",NA(),IF(E$8="",NA(),IF(N(E$8)=0,NA(),IF(Inputs!$C$17="Rebased to 100",$E351/E$8*100,$E351)))))</f>
        <v/>
      </c>
      <c r="L351" s="54">
        <f>IF($B351=0,NA(),IF($F351="",NA(),IF(F$8="",NA(),IF(N(F$8)=0,NA(),IF(Inputs!$C$17="Rebased to 100",$F351/F$8*100,$F351)))))</f>
        <v/>
      </c>
      <c r="M351" s="54">
        <f>IF($B351=0,NA(),IF($G351="",NA(),IF(G$8="",NA(),IF(N(G$8)=0,NA(),IF(Inputs!$C$17="Rebased to 100",$G351/G$8*100,$G351)))))</f>
        <v/>
      </c>
      <c r="N351" s="54">
        <f>IF($B351=0,NA(),IF(Inputs!$C$18&lt;&gt;"Yes",NA(),IF(COUNT(I351,J351,K351,L351,M351)=0,NA(),MIN(I351,J351,K351,L351,M351))))</f>
        <v/>
      </c>
      <c r="O351" s="54">
        <f>IF($B351=0,NA(),IF(Inputs!$B$24&lt;&gt;"Yes",NA(),Inputs!$D$24*Inputs!$C$35))</f>
        <v/>
      </c>
      <c r="P351" s="54">
        <f>IF($B351=0,NA(),IF(Inputs!$B$25&lt;&gt;"Yes",NA(),Inputs!$D$25*Inputs!$C$35))</f>
        <v/>
      </c>
      <c r="Q351" s="54">
        <f>IF($B351=0,NA(),IF(Inputs!$B$26&lt;&gt;"Yes",NA(),Inputs!$D$26*Inputs!$C$35))</f>
        <v/>
      </c>
      <c r="R351" s="54">
        <f>IF($B351=0,NA(),IF(Inputs!$B$27&lt;&gt;"Yes",NA(),Inputs!$D$27*Inputs!$C$35))</f>
        <v/>
      </c>
      <c r="S351" s="54">
        <f>IF($B351=0,NA(),IF(Inputs!$B$28&lt;&gt;"Yes",NA(),Inputs!$D$28*Inputs!$C$35))</f>
        <v/>
      </c>
      <c r="T351" s="54">
        <f>IF($B351=0,NA(),IF(Inputs!$B$29&lt;&gt;"Yes",NA(),Inputs!$D$29*Inputs!$C$35))</f>
        <v/>
      </c>
      <c r="AD351">
        <f>IF($B351=0,0,IF(Inputs!$B$6="",0,COUNTIFS(Data!$A$10:$A$3209,"&gt;="&amp;$A351,Data!$A$10:$A$3209,"&lt;"&amp;$A351+1)))</f>
        <v/>
      </c>
      <c r="AE351">
        <f>IF($B351=0,0,IF(Inputs!$B$7="",0,COUNTIFS(Data!$E$10:$E$3209,"&gt;="&amp;$A351,Data!$E$10:$E$3209,"&lt;"&amp;$A351+1)))</f>
        <v/>
      </c>
      <c r="AF351">
        <f>IF($B351=0,0,IF(Inputs!$B$8="",0,COUNTIFS(Data!$I$10:$I$3209,"&gt;="&amp;$A351,Data!$I$10:$I$3209,"&lt;"&amp;$A351+1)))</f>
        <v/>
      </c>
      <c r="AG351">
        <f>IF($B351=0,0,IF(Inputs!$B$9="",0,COUNTIFS(Data!$M$10:$M$3209,"&gt;="&amp;$A351,Data!$M$10:$M$3209,"&lt;"&amp;$A351+1)))</f>
        <v/>
      </c>
      <c r="AH351">
        <f>IF($B351=0,0,IF(Inputs!$B$10="",0,COUNTIFS(Data!$Q$10:$Q$3209,"&gt;="&amp;$A351,Data!$Q$10:$Q$3209,"&lt;"&amp;$A351+1)))</f>
        <v/>
      </c>
    </row>
    <row r="352">
      <c r="A352" s="55">
        <f>MIN(Inputs!$C$15,$A351+IF(WEEKDAY($A351,2)=5,3,1))</f>
        <v/>
      </c>
      <c r="B352">
        <f>IF($A352&gt;$A351,1,0)</f>
        <v/>
      </c>
      <c r="C352" s="56">
        <f>IF($B352=0,"",IF(Inputs!$B$6="","",IF($AD352=0,C351,SUMIFS(Data!$B$10:$B$3209,Data!$A$10:$A$3209,"&gt;="&amp;$A352,Data!$A$10:$A$3209,"&lt;"&amp;$A352+1)/$AD352)))</f>
        <v/>
      </c>
      <c r="D352" s="56">
        <f>IF($B352=0,"",IF(Inputs!$B$7="","",IF($AE352=0,D351,SUMIFS(Data!$F$10:$F$3209,Data!$E$10:$E$3209,"&gt;="&amp;$A352,Data!$E$10:$E$3209,"&lt;"&amp;$A352+1)/$AE352)))</f>
        <v/>
      </c>
      <c r="E352" s="56">
        <f>IF($B352=0,"",IF(Inputs!$B$8="","",IF($AF352=0,E351,SUMIFS(Data!$J$10:$J$3209,Data!$I$10:$I$3209,"&gt;="&amp;$A352,Data!$I$10:$I$3209,"&lt;"&amp;$A352+1)/$AF352)))</f>
        <v/>
      </c>
      <c r="F352" s="56">
        <f>IF($B352=0,"",IF(Inputs!$B$9="","",IF($AG352=0,F351,SUMIFS(Data!$N$10:$N$3209,Data!$M$10:$M$3209,"&gt;="&amp;$A352,Data!$M$10:$M$3209,"&lt;"&amp;$A352+1)/$AG352)))</f>
        <v/>
      </c>
      <c r="G352" s="56">
        <f>IF($B352=0,"",IF(Inputs!$B$10="","",IF($AH352=0,G351,SUMIFS(Data!$R$10:$R$3209,Data!$Q$10:$Q$3209,"&gt;="&amp;$A352,Data!$Q$10:$Q$3209,"&lt;"&amp;$A352+1)/$AH352)))</f>
        <v/>
      </c>
      <c r="I352" s="54">
        <f>IF($B352=0,NA(),IF($C352="",NA(),IF(C$8="",NA(),IF(N(C$8)=0,NA(),IF(Inputs!$C$17="Rebased to 100",$C352/C$8*100,$C352)))))</f>
        <v/>
      </c>
      <c r="J352" s="54">
        <f>IF($B352=0,NA(),IF($D352="",NA(),IF(D$8="",NA(),IF(N(D$8)=0,NA(),IF(Inputs!$C$17="Rebased to 100",$D352/D$8*100,$D352)))))</f>
        <v/>
      </c>
      <c r="K352" s="54">
        <f>IF($B352=0,NA(),IF($E352="",NA(),IF(E$8="",NA(),IF(N(E$8)=0,NA(),IF(Inputs!$C$17="Rebased to 100",$E352/E$8*100,$E352)))))</f>
        <v/>
      </c>
      <c r="L352" s="54">
        <f>IF($B352=0,NA(),IF($F352="",NA(),IF(F$8="",NA(),IF(N(F$8)=0,NA(),IF(Inputs!$C$17="Rebased to 100",$F352/F$8*100,$F352)))))</f>
        <v/>
      </c>
      <c r="M352" s="54">
        <f>IF($B352=0,NA(),IF($G352="",NA(),IF(G$8="",NA(),IF(N(G$8)=0,NA(),IF(Inputs!$C$17="Rebased to 100",$G352/G$8*100,$G352)))))</f>
        <v/>
      </c>
      <c r="N352" s="54">
        <f>IF($B352=0,NA(),IF(Inputs!$C$18&lt;&gt;"Yes",NA(),IF(COUNT(I352,J352,K352,L352,M352)=0,NA(),MIN(I352,J352,K352,L352,M352))))</f>
        <v/>
      </c>
      <c r="O352" s="54">
        <f>IF($B352=0,NA(),IF(Inputs!$B$24&lt;&gt;"Yes",NA(),Inputs!$D$24*Inputs!$C$35))</f>
        <v/>
      </c>
      <c r="P352" s="54">
        <f>IF($B352=0,NA(),IF(Inputs!$B$25&lt;&gt;"Yes",NA(),Inputs!$D$25*Inputs!$C$35))</f>
        <v/>
      </c>
      <c r="Q352" s="54">
        <f>IF($B352=0,NA(),IF(Inputs!$B$26&lt;&gt;"Yes",NA(),Inputs!$D$26*Inputs!$C$35))</f>
        <v/>
      </c>
      <c r="R352" s="54">
        <f>IF($B352=0,NA(),IF(Inputs!$B$27&lt;&gt;"Yes",NA(),Inputs!$D$27*Inputs!$C$35))</f>
        <v/>
      </c>
      <c r="S352" s="54">
        <f>IF($B352=0,NA(),IF(Inputs!$B$28&lt;&gt;"Yes",NA(),Inputs!$D$28*Inputs!$C$35))</f>
        <v/>
      </c>
      <c r="T352" s="54">
        <f>IF($B352=0,NA(),IF(Inputs!$B$29&lt;&gt;"Yes",NA(),Inputs!$D$29*Inputs!$C$35))</f>
        <v/>
      </c>
      <c r="AD352">
        <f>IF($B352=0,0,IF(Inputs!$B$6="",0,COUNTIFS(Data!$A$10:$A$3209,"&gt;="&amp;$A352,Data!$A$10:$A$3209,"&lt;"&amp;$A352+1)))</f>
        <v/>
      </c>
      <c r="AE352">
        <f>IF($B352=0,0,IF(Inputs!$B$7="",0,COUNTIFS(Data!$E$10:$E$3209,"&gt;="&amp;$A352,Data!$E$10:$E$3209,"&lt;"&amp;$A352+1)))</f>
        <v/>
      </c>
      <c r="AF352">
        <f>IF($B352=0,0,IF(Inputs!$B$8="",0,COUNTIFS(Data!$I$10:$I$3209,"&gt;="&amp;$A352,Data!$I$10:$I$3209,"&lt;"&amp;$A352+1)))</f>
        <v/>
      </c>
      <c r="AG352">
        <f>IF($B352=0,0,IF(Inputs!$B$9="",0,COUNTIFS(Data!$M$10:$M$3209,"&gt;="&amp;$A352,Data!$M$10:$M$3209,"&lt;"&amp;$A352+1)))</f>
        <v/>
      </c>
      <c r="AH352">
        <f>IF($B352=0,0,IF(Inputs!$B$10="",0,COUNTIFS(Data!$Q$10:$Q$3209,"&gt;="&amp;$A352,Data!$Q$10:$Q$3209,"&lt;"&amp;$A352+1)))</f>
        <v/>
      </c>
    </row>
    <row r="353">
      <c r="A353" s="55">
        <f>MIN(Inputs!$C$15,$A352+IF(WEEKDAY($A352,2)=5,3,1))</f>
        <v/>
      </c>
      <c r="B353">
        <f>IF($A353&gt;$A352,1,0)</f>
        <v/>
      </c>
      <c r="C353" s="56">
        <f>IF($B353=0,"",IF(Inputs!$B$6="","",IF($AD353=0,C352,SUMIFS(Data!$B$10:$B$3209,Data!$A$10:$A$3209,"&gt;="&amp;$A353,Data!$A$10:$A$3209,"&lt;"&amp;$A353+1)/$AD353)))</f>
        <v/>
      </c>
      <c r="D353" s="56">
        <f>IF($B353=0,"",IF(Inputs!$B$7="","",IF($AE353=0,D352,SUMIFS(Data!$F$10:$F$3209,Data!$E$10:$E$3209,"&gt;="&amp;$A353,Data!$E$10:$E$3209,"&lt;"&amp;$A353+1)/$AE353)))</f>
        <v/>
      </c>
      <c r="E353" s="56">
        <f>IF($B353=0,"",IF(Inputs!$B$8="","",IF($AF353=0,E352,SUMIFS(Data!$J$10:$J$3209,Data!$I$10:$I$3209,"&gt;="&amp;$A353,Data!$I$10:$I$3209,"&lt;"&amp;$A353+1)/$AF353)))</f>
        <v/>
      </c>
      <c r="F353" s="56">
        <f>IF($B353=0,"",IF(Inputs!$B$9="","",IF($AG353=0,F352,SUMIFS(Data!$N$10:$N$3209,Data!$M$10:$M$3209,"&gt;="&amp;$A353,Data!$M$10:$M$3209,"&lt;"&amp;$A353+1)/$AG353)))</f>
        <v/>
      </c>
      <c r="G353" s="56">
        <f>IF($B353=0,"",IF(Inputs!$B$10="","",IF($AH353=0,G352,SUMIFS(Data!$R$10:$R$3209,Data!$Q$10:$Q$3209,"&gt;="&amp;$A353,Data!$Q$10:$Q$3209,"&lt;"&amp;$A353+1)/$AH353)))</f>
        <v/>
      </c>
      <c r="I353" s="54">
        <f>IF($B353=0,NA(),IF($C353="",NA(),IF(C$8="",NA(),IF(N(C$8)=0,NA(),IF(Inputs!$C$17="Rebased to 100",$C353/C$8*100,$C353)))))</f>
        <v/>
      </c>
      <c r="J353" s="54">
        <f>IF($B353=0,NA(),IF($D353="",NA(),IF(D$8="",NA(),IF(N(D$8)=0,NA(),IF(Inputs!$C$17="Rebased to 100",$D353/D$8*100,$D353)))))</f>
        <v/>
      </c>
      <c r="K353" s="54">
        <f>IF($B353=0,NA(),IF($E353="",NA(),IF(E$8="",NA(),IF(N(E$8)=0,NA(),IF(Inputs!$C$17="Rebased to 100",$E353/E$8*100,$E353)))))</f>
        <v/>
      </c>
      <c r="L353" s="54">
        <f>IF($B353=0,NA(),IF($F353="",NA(),IF(F$8="",NA(),IF(N(F$8)=0,NA(),IF(Inputs!$C$17="Rebased to 100",$F353/F$8*100,$F353)))))</f>
        <v/>
      </c>
      <c r="M353" s="54">
        <f>IF($B353=0,NA(),IF($G353="",NA(),IF(G$8="",NA(),IF(N(G$8)=0,NA(),IF(Inputs!$C$17="Rebased to 100",$G353/G$8*100,$G353)))))</f>
        <v/>
      </c>
      <c r="N353" s="54">
        <f>IF($B353=0,NA(),IF(Inputs!$C$18&lt;&gt;"Yes",NA(),IF(COUNT(I353,J353,K353,L353,M353)=0,NA(),MIN(I353,J353,K353,L353,M353))))</f>
        <v/>
      </c>
      <c r="O353" s="54">
        <f>IF($B353=0,NA(),IF(Inputs!$B$24&lt;&gt;"Yes",NA(),Inputs!$D$24*Inputs!$C$35))</f>
        <v/>
      </c>
      <c r="P353" s="54">
        <f>IF($B353=0,NA(),IF(Inputs!$B$25&lt;&gt;"Yes",NA(),Inputs!$D$25*Inputs!$C$35))</f>
        <v/>
      </c>
      <c r="Q353" s="54">
        <f>IF($B353=0,NA(),IF(Inputs!$B$26&lt;&gt;"Yes",NA(),Inputs!$D$26*Inputs!$C$35))</f>
        <v/>
      </c>
      <c r="R353" s="54">
        <f>IF($B353=0,NA(),IF(Inputs!$B$27&lt;&gt;"Yes",NA(),Inputs!$D$27*Inputs!$C$35))</f>
        <v/>
      </c>
      <c r="S353" s="54">
        <f>IF($B353=0,NA(),IF(Inputs!$B$28&lt;&gt;"Yes",NA(),Inputs!$D$28*Inputs!$C$35))</f>
        <v/>
      </c>
      <c r="T353" s="54">
        <f>IF($B353=0,NA(),IF(Inputs!$B$29&lt;&gt;"Yes",NA(),Inputs!$D$29*Inputs!$C$35))</f>
        <v/>
      </c>
      <c r="AD353">
        <f>IF($B353=0,0,IF(Inputs!$B$6="",0,COUNTIFS(Data!$A$10:$A$3209,"&gt;="&amp;$A353,Data!$A$10:$A$3209,"&lt;"&amp;$A353+1)))</f>
        <v/>
      </c>
      <c r="AE353">
        <f>IF($B353=0,0,IF(Inputs!$B$7="",0,COUNTIFS(Data!$E$10:$E$3209,"&gt;="&amp;$A353,Data!$E$10:$E$3209,"&lt;"&amp;$A353+1)))</f>
        <v/>
      </c>
      <c r="AF353">
        <f>IF($B353=0,0,IF(Inputs!$B$8="",0,COUNTIFS(Data!$I$10:$I$3209,"&gt;="&amp;$A353,Data!$I$10:$I$3209,"&lt;"&amp;$A353+1)))</f>
        <v/>
      </c>
      <c r="AG353">
        <f>IF($B353=0,0,IF(Inputs!$B$9="",0,COUNTIFS(Data!$M$10:$M$3209,"&gt;="&amp;$A353,Data!$M$10:$M$3209,"&lt;"&amp;$A353+1)))</f>
        <v/>
      </c>
      <c r="AH353">
        <f>IF($B353=0,0,IF(Inputs!$B$10="",0,COUNTIFS(Data!$Q$10:$Q$3209,"&gt;="&amp;$A353,Data!$Q$10:$Q$3209,"&lt;"&amp;$A353+1)))</f>
        <v/>
      </c>
    </row>
    <row r="354">
      <c r="A354" s="55">
        <f>MIN(Inputs!$C$15,$A353+IF(WEEKDAY($A353,2)=5,3,1))</f>
        <v/>
      </c>
      <c r="B354">
        <f>IF($A354&gt;$A353,1,0)</f>
        <v/>
      </c>
      <c r="C354" s="56">
        <f>IF($B354=0,"",IF(Inputs!$B$6="","",IF($AD354=0,C353,SUMIFS(Data!$B$10:$B$3209,Data!$A$10:$A$3209,"&gt;="&amp;$A354,Data!$A$10:$A$3209,"&lt;"&amp;$A354+1)/$AD354)))</f>
        <v/>
      </c>
      <c r="D354" s="56">
        <f>IF($B354=0,"",IF(Inputs!$B$7="","",IF($AE354=0,D353,SUMIFS(Data!$F$10:$F$3209,Data!$E$10:$E$3209,"&gt;="&amp;$A354,Data!$E$10:$E$3209,"&lt;"&amp;$A354+1)/$AE354)))</f>
        <v/>
      </c>
      <c r="E354" s="56">
        <f>IF($B354=0,"",IF(Inputs!$B$8="","",IF($AF354=0,E353,SUMIFS(Data!$J$10:$J$3209,Data!$I$10:$I$3209,"&gt;="&amp;$A354,Data!$I$10:$I$3209,"&lt;"&amp;$A354+1)/$AF354)))</f>
        <v/>
      </c>
      <c r="F354" s="56">
        <f>IF($B354=0,"",IF(Inputs!$B$9="","",IF($AG354=0,F353,SUMIFS(Data!$N$10:$N$3209,Data!$M$10:$M$3209,"&gt;="&amp;$A354,Data!$M$10:$M$3209,"&lt;"&amp;$A354+1)/$AG354)))</f>
        <v/>
      </c>
      <c r="G354" s="56">
        <f>IF($B354=0,"",IF(Inputs!$B$10="","",IF($AH354=0,G353,SUMIFS(Data!$R$10:$R$3209,Data!$Q$10:$Q$3209,"&gt;="&amp;$A354,Data!$Q$10:$Q$3209,"&lt;"&amp;$A354+1)/$AH354)))</f>
        <v/>
      </c>
      <c r="I354" s="54">
        <f>IF($B354=0,NA(),IF($C354="",NA(),IF(C$8="",NA(),IF(N(C$8)=0,NA(),IF(Inputs!$C$17="Rebased to 100",$C354/C$8*100,$C354)))))</f>
        <v/>
      </c>
      <c r="J354" s="54">
        <f>IF($B354=0,NA(),IF($D354="",NA(),IF(D$8="",NA(),IF(N(D$8)=0,NA(),IF(Inputs!$C$17="Rebased to 100",$D354/D$8*100,$D354)))))</f>
        <v/>
      </c>
      <c r="K354" s="54">
        <f>IF($B354=0,NA(),IF($E354="",NA(),IF(E$8="",NA(),IF(N(E$8)=0,NA(),IF(Inputs!$C$17="Rebased to 100",$E354/E$8*100,$E354)))))</f>
        <v/>
      </c>
      <c r="L354" s="54">
        <f>IF($B354=0,NA(),IF($F354="",NA(),IF(F$8="",NA(),IF(N(F$8)=0,NA(),IF(Inputs!$C$17="Rebased to 100",$F354/F$8*100,$F354)))))</f>
        <v/>
      </c>
      <c r="M354" s="54">
        <f>IF($B354=0,NA(),IF($G354="",NA(),IF(G$8="",NA(),IF(N(G$8)=0,NA(),IF(Inputs!$C$17="Rebased to 100",$G354/G$8*100,$G354)))))</f>
        <v/>
      </c>
      <c r="N354" s="54">
        <f>IF($B354=0,NA(),IF(Inputs!$C$18&lt;&gt;"Yes",NA(),IF(COUNT(I354,J354,K354,L354,M354)=0,NA(),MIN(I354,J354,K354,L354,M354))))</f>
        <v/>
      </c>
      <c r="O354" s="54">
        <f>IF($B354=0,NA(),IF(Inputs!$B$24&lt;&gt;"Yes",NA(),Inputs!$D$24*Inputs!$C$35))</f>
        <v/>
      </c>
      <c r="P354" s="54">
        <f>IF($B354=0,NA(),IF(Inputs!$B$25&lt;&gt;"Yes",NA(),Inputs!$D$25*Inputs!$C$35))</f>
        <v/>
      </c>
      <c r="Q354" s="54">
        <f>IF($B354=0,NA(),IF(Inputs!$B$26&lt;&gt;"Yes",NA(),Inputs!$D$26*Inputs!$C$35))</f>
        <v/>
      </c>
      <c r="R354" s="54">
        <f>IF($B354=0,NA(),IF(Inputs!$B$27&lt;&gt;"Yes",NA(),Inputs!$D$27*Inputs!$C$35))</f>
        <v/>
      </c>
      <c r="S354" s="54">
        <f>IF($B354=0,NA(),IF(Inputs!$B$28&lt;&gt;"Yes",NA(),Inputs!$D$28*Inputs!$C$35))</f>
        <v/>
      </c>
      <c r="T354" s="54">
        <f>IF($B354=0,NA(),IF(Inputs!$B$29&lt;&gt;"Yes",NA(),Inputs!$D$29*Inputs!$C$35))</f>
        <v/>
      </c>
      <c r="AD354">
        <f>IF($B354=0,0,IF(Inputs!$B$6="",0,COUNTIFS(Data!$A$10:$A$3209,"&gt;="&amp;$A354,Data!$A$10:$A$3209,"&lt;"&amp;$A354+1)))</f>
        <v/>
      </c>
      <c r="AE354">
        <f>IF($B354=0,0,IF(Inputs!$B$7="",0,COUNTIFS(Data!$E$10:$E$3209,"&gt;="&amp;$A354,Data!$E$10:$E$3209,"&lt;"&amp;$A354+1)))</f>
        <v/>
      </c>
      <c r="AF354">
        <f>IF($B354=0,0,IF(Inputs!$B$8="",0,COUNTIFS(Data!$I$10:$I$3209,"&gt;="&amp;$A354,Data!$I$10:$I$3209,"&lt;"&amp;$A354+1)))</f>
        <v/>
      </c>
      <c r="AG354">
        <f>IF($B354=0,0,IF(Inputs!$B$9="",0,COUNTIFS(Data!$M$10:$M$3209,"&gt;="&amp;$A354,Data!$M$10:$M$3209,"&lt;"&amp;$A354+1)))</f>
        <v/>
      </c>
      <c r="AH354">
        <f>IF($B354=0,0,IF(Inputs!$B$10="",0,COUNTIFS(Data!$Q$10:$Q$3209,"&gt;="&amp;$A354,Data!$Q$10:$Q$3209,"&lt;"&amp;$A354+1)))</f>
        <v/>
      </c>
    </row>
    <row r="355">
      <c r="A355" s="55">
        <f>MIN(Inputs!$C$15,$A354+IF(WEEKDAY($A354,2)=5,3,1))</f>
        <v/>
      </c>
      <c r="B355">
        <f>IF($A355&gt;$A354,1,0)</f>
        <v/>
      </c>
      <c r="C355" s="56">
        <f>IF($B355=0,"",IF(Inputs!$B$6="","",IF($AD355=0,C354,SUMIFS(Data!$B$10:$B$3209,Data!$A$10:$A$3209,"&gt;="&amp;$A355,Data!$A$10:$A$3209,"&lt;"&amp;$A355+1)/$AD355)))</f>
        <v/>
      </c>
      <c r="D355" s="56">
        <f>IF($B355=0,"",IF(Inputs!$B$7="","",IF($AE355=0,D354,SUMIFS(Data!$F$10:$F$3209,Data!$E$10:$E$3209,"&gt;="&amp;$A355,Data!$E$10:$E$3209,"&lt;"&amp;$A355+1)/$AE355)))</f>
        <v/>
      </c>
      <c r="E355" s="56">
        <f>IF($B355=0,"",IF(Inputs!$B$8="","",IF($AF355=0,E354,SUMIFS(Data!$J$10:$J$3209,Data!$I$10:$I$3209,"&gt;="&amp;$A355,Data!$I$10:$I$3209,"&lt;"&amp;$A355+1)/$AF355)))</f>
        <v/>
      </c>
      <c r="F355" s="56">
        <f>IF($B355=0,"",IF(Inputs!$B$9="","",IF($AG355=0,F354,SUMIFS(Data!$N$10:$N$3209,Data!$M$10:$M$3209,"&gt;="&amp;$A355,Data!$M$10:$M$3209,"&lt;"&amp;$A355+1)/$AG355)))</f>
        <v/>
      </c>
      <c r="G355" s="56">
        <f>IF($B355=0,"",IF(Inputs!$B$10="","",IF($AH355=0,G354,SUMIFS(Data!$R$10:$R$3209,Data!$Q$10:$Q$3209,"&gt;="&amp;$A355,Data!$Q$10:$Q$3209,"&lt;"&amp;$A355+1)/$AH355)))</f>
        <v/>
      </c>
      <c r="I355" s="54">
        <f>IF($B355=0,NA(),IF($C355="",NA(),IF(C$8="",NA(),IF(N(C$8)=0,NA(),IF(Inputs!$C$17="Rebased to 100",$C355/C$8*100,$C355)))))</f>
        <v/>
      </c>
      <c r="J355" s="54">
        <f>IF($B355=0,NA(),IF($D355="",NA(),IF(D$8="",NA(),IF(N(D$8)=0,NA(),IF(Inputs!$C$17="Rebased to 100",$D355/D$8*100,$D355)))))</f>
        <v/>
      </c>
      <c r="K355" s="54">
        <f>IF($B355=0,NA(),IF($E355="",NA(),IF(E$8="",NA(),IF(N(E$8)=0,NA(),IF(Inputs!$C$17="Rebased to 100",$E355/E$8*100,$E355)))))</f>
        <v/>
      </c>
      <c r="L355" s="54">
        <f>IF($B355=0,NA(),IF($F355="",NA(),IF(F$8="",NA(),IF(N(F$8)=0,NA(),IF(Inputs!$C$17="Rebased to 100",$F355/F$8*100,$F355)))))</f>
        <v/>
      </c>
      <c r="M355" s="54">
        <f>IF($B355=0,NA(),IF($G355="",NA(),IF(G$8="",NA(),IF(N(G$8)=0,NA(),IF(Inputs!$C$17="Rebased to 100",$G355/G$8*100,$G355)))))</f>
        <v/>
      </c>
      <c r="N355" s="54">
        <f>IF($B355=0,NA(),IF(Inputs!$C$18&lt;&gt;"Yes",NA(),IF(COUNT(I355,J355,K355,L355,M355)=0,NA(),MIN(I355,J355,K355,L355,M355))))</f>
        <v/>
      </c>
      <c r="O355" s="54">
        <f>IF($B355=0,NA(),IF(Inputs!$B$24&lt;&gt;"Yes",NA(),Inputs!$D$24*Inputs!$C$35))</f>
        <v/>
      </c>
      <c r="P355" s="54">
        <f>IF($B355=0,NA(),IF(Inputs!$B$25&lt;&gt;"Yes",NA(),Inputs!$D$25*Inputs!$C$35))</f>
        <v/>
      </c>
      <c r="Q355" s="54">
        <f>IF($B355=0,NA(),IF(Inputs!$B$26&lt;&gt;"Yes",NA(),Inputs!$D$26*Inputs!$C$35))</f>
        <v/>
      </c>
      <c r="R355" s="54">
        <f>IF($B355=0,NA(),IF(Inputs!$B$27&lt;&gt;"Yes",NA(),Inputs!$D$27*Inputs!$C$35))</f>
        <v/>
      </c>
      <c r="S355" s="54">
        <f>IF($B355=0,NA(),IF(Inputs!$B$28&lt;&gt;"Yes",NA(),Inputs!$D$28*Inputs!$C$35))</f>
        <v/>
      </c>
      <c r="T355" s="54">
        <f>IF($B355=0,NA(),IF(Inputs!$B$29&lt;&gt;"Yes",NA(),Inputs!$D$29*Inputs!$C$35))</f>
        <v/>
      </c>
      <c r="AD355">
        <f>IF($B355=0,0,IF(Inputs!$B$6="",0,COUNTIFS(Data!$A$10:$A$3209,"&gt;="&amp;$A355,Data!$A$10:$A$3209,"&lt;"&amp;$A355+1)))</f>
        <v/>
      </c>
      <c r="AE355">
        <f>IF($B355=0,0,IF(Inputs!$B$7="",0,COUNTIFS(Data!$E$10:$E$3209,"&gt;="&amp;$A355,Data!$E$10:$E$3209,"&lt;"&amp;$A355+1)))</f>
        <v/>
      </c>
      <c r="AF355">
        <f>IF($B355=0,0,IF(Inputs!$B$8="",0,COUNTIFS(Data!$I$10:$I$3209,"&gt;="&amp;$A355,Data!$I$10:$I$3209,"&lt;"&amp;$A355+1)))</f>
        <v/>
      </c>
      <c r="AG355">
        <f>IF($B355=0,0,IF(Inputs!$B$9="",0,COUNTIFS(Data!$M$10:$M$3209,"&gt;="&amp;$A355,Data!$M$10:$M$3209,"&lt;"&amp;$A355+1)))</f>
        <v/>
      </c>
      <c r="AH355">
        <f>IF($B355=0,0,IF(Inputs!$B$10="",0,COUNTIFS(Data!$Q$10:$Q$3209,"&gt;="&amp;$A355,Data!$Q$10:$Q$3209,"&lt;"&amp;$A355+1)))</f>
        <v/>
      </c>
    </row>
    <row r="356">
      <c r="A356" s="55">
        <f>MIN(Inputs!$C$15,$A355+IF(WEEKDAY($A355,2)=5,3,1))</f>
        <v/>
      </c>
      <c r="B356">
        <f>IF($A356&gt;$A355,1,0)</f>
        <v/>
      </c>
      <c r="C356" s="56">
        <f>IF($B356=0,"",IF(Inputs!$B$6="","",IF($AD356=0,C355,SUMIFS(Data!$B$10:$B$3209,Data!$A$10:$A$3209,"&gt;="&amp;$A356,Data!$A$10:$A$3209,"&lt;"&amp;$A356+1)/$AD356)))</f>
        <v/>
      </c>
      <c r="D356" s="56">
        <f>IF($B356=0,"",IF(Inputs!$B$7="","",IF($AE356=0,D355,SUMIFS(Data!$F$10:$F$3209,Data!$E$10:$E$3209,"&gt;="&amp;$A356,Data!$E$10:$E$3209,"&lt;"&amp;$A356+1)/$AE356)))</f>
        <v/>
      </c>
      <c r="E356" s="56">
        <f>IF($B356=0,"",IF(Inputs!$B$8="","",IF($AF356=0,E355,SUMIFS(Data!$J$10:$J$3209,Data!$I$10:$I$3209,"&gt;="&amp;$A356,Data!$I$10:$I$3209,"&lt;"&amp;$A356+1)/$AF356)))</f>
        <v/>
      </c>
      <c r="F356" s="56">
        <f>IF($B356=0,"",IF(Inputs!$B$9="","",IF($AG356=0,F355,SUMIFS(Data!$N$10:$N$3209,Data!$M$10:$M$3209,"&gt;="&amp;$A356,Data!$M$10:$M$3209,"&lt;"&amp;$A356+1)/$AG356)))</f>
        <v/>
      </c>
      <c r="G356" s="56">
        <f>IF($B356=0,"",IF(Inputs!$B$10="","",IF($AH356=0,G355,SUMIFS(Data!$R$10:$R$3209,Data!$Q$10:$Q$3209,"&gt;="&amp;$A356,Data!$Q$10:$Q$3209,"&lt;"&amp;$A356+1)/$AH356)))</f>
        <v/>
      </c>
      <c r="I356" s="54">
        <f>IF($B356=0,NA(),IF($C356="",NA(),IF(C$8="",NA(),IF(N(C$8)=0,NA(),IF(Inputs!$C$17="Rebased to 100",$C356/C$8*100,$C356)))))</f>
        <v/>
      </c>
      <c r="J356" s="54">
        <f>IF($B356=0,NA(),IF($D356="",NA(),IF(D$8="",NA(),IF(N(D$8)=0,NA(),IF(Inputs!$C$17="Rebased to 100",$D356/D$8*100,$D356)))))</f>
        <v/>
      </c>
      <c r="K356" s="54">
        <f>IF($B356=0,NA(),IF($E356="",NA(),IF(E$8="",NA(),IF(N(E$8)=0,NA(),IF(Inputs!$C$17="Rebased to 100",$E356/E$8*100,$E356)))))</f>
        <v/>
      </c>
      <c r="L356" s="54">
        <f>IF($B356=0,NA(),IF($F356="",NA(),IF(F$8="",NA(),IF(N(F$8)=0,NA(),IF(Inputs!$C$17="Rebased to 100",$F356/F$8*100,$F356)))))</f>
        <v/>
      </c>
      <c r="M356" s="54">
        <f>IF($B356=0,NA(),IF($G356="",NA(),IF(G$8="",NA(),IF(N(G$8)=0,NA(),IF(Inputs!$C$17="Rebased to 100",$G356/G$8*100,$G356)))))</f>
        <v/>
      </c>
      <c r="N356" s="54">
        <f>IF($B356=0,NA(),IF(Inputs!$C$18&lt;&gt;"Yes",NA(),IF(COUNT(I356,J356,K356,L356,M356)=0,NA(),MIN(I356,J356,K356,L356,M356))))</f>
        <v/>
      </c>
      <c r="O356" s="54">
        <f>IF($B356=0,NA(),IF(Inputs!$B$24&lt;&gt;"Yes",NA(),Inputs!$D$24*Inputs!$C$35))</f>
        <v/>
      </c>
      <c r="P356" s="54">
        <f>IF($B356=0,NA(),IF(Inputs!$B$25&lt;&gt;"Yes",NA(),Inputs!$D$25*Inputs!$C$35))</f>
        <v/>
      </c>
      <c r="Q356" s="54">
        <f>IF($B356=0,NA(),IF(Inputs!$B$26&lt;&gt;"Yes",NA(),Inputs!$D$26*Inputs!$C$35))</f>
        <v/>
      </c>
      <c r="R356" s="54">
        <f>IF($B356=0,NA(),IF(Inputs!$B$27&lt;&gt;"Yes",NA(),Inputs!$D$27*Inputs!$C$35))</f>
        <v/>
      </c>
      <c r="S356" s="54">
        <f>IF($B356=0,NA(),IF(Inputs!$B$28&lt;&gt;"Yes",NA(),Inputs!$D$28*Inputs!$C$35))</f>
        <v/>
      </c>
      <c r="T356" s="54">
        <f>IF($B356=0,NA(),IF(Inputs!$B$29&lt;&gt;"Yes",NA(),Inputs!$D$29*Inputs!$C$35))</f>
        <v/>
      </c>
      <c r="AD356">
        <f>IF($B356=0,0,IF(Inputs!$B$6="",0,COUNTIFS(Data!$A$10:$A$3209,"&gt;="&amp;$A356,Data!$A$10:$A$3209,"&lt;"&amp;$A356+1)))</f>
        <v/>
      </c>
      <c r="AE356">
        <f>IF($B356=0,0,IF(Inputs!$B$7="",0,COUNTIFS(Data!$E$10:$E$3209,"&gt;="&amp;$A356,Data!$E$10:$E$3209,"&lt;"&amp;$A356+1)))</f>
        <v/>
      </c>
      <c r="AF356">
        <f>IF($B356=0,0,IF(Inputs!$B$8="",0,COUNTIFS(Data!$I$10:$I$3209,"&gt;="&amp;$A356,Data!$I$10:$I$3209,"&lt;"&amp;$A356+1)))</f>
        <v/>
      </c>
      <c r="AG356">
        <f>IF($B356=0,0,IF(Inputs!$B$9="",0,COUNTIFS(Data!$M$10:$M$3209,"&gt;="&amp;$A356,Data!$M$10:$M$3209,"&lt;"&amp;$A356+1)))</f>
        <v/>
      </c>
      <c r="AH356">
        <f>IF($B356=0,0,IF(Inputs!$B$10="",0,COUNTIFS(Data!$Q$10:$Q$3209,"&gt;="&amp;$A356,Data!$Q$10:$Q$3209,"&lt;"&amp;$A356+1)))</f>
        <v/>
      </c>
    </row>
    <row r="357">
      <c r="A357" s="55">
        <f>MIN(Inputs!$C$15,$A356+IF(WEEKDAY($A356,2)=5,3,1))</f>
        <v/>
      </c>
      <c r="B357">
        <f>IF($A357&gt;$A356,1,0)</f>
        <v/>
      </c>
      <c r="C357" s="56">
        <f>IF($B357=0,"",IF(Inputs!$B$6="","",IF($AD357=0,C356,SUMIFS(Data!$B$10:$B$3209,Data!$A$10:$A$3209,"&gt;="&amp;$A357,Data!$A$10:$A$3209,"&lt;"&amp;$A357+1)/$AD357)))</f>
        <v/>
      </c>
      <c r="D357" s="56">
        <f>IF($B357=0,"",IF(Inputs!$B$7="","",IF($AE357=0,D356,SUMIFS(Data!$F$10:$F$3209,Data!$E$10:$E$3209,"&gt;="&amp;$A357,Data!$E$10:$E$3209,"&lt;"&amp;$A357+1)/$AE357)))</f>
        <v/>
      </c>
      <c r="E357" s="56">
        <f>IF($B357=0,"",IF(Inputs!$B$8="","",IF($AF357=0,E356,SUMIFS(Data!$J$10:$J$3209,Data!$I$10:$I$3209,"&gt;="&amp;$A357,Data!$I$10:$I$3209,"&lt;"&amp;$A357+1)/$AF357)))</f>
        <v/>
      </c>
      <c r="F357" s="56">
        <f>IF($B357=0,"",IF(Inputs!$B$9="","",IF($AG357=0,F356,SUMIFS(Data!$N$10:$N$3209,Data!$M$10:$M$3209,"&gt;="&amp;$A357,Data!$M$10:$M$3209,"&lt;"&amp;$A357+1)/$AG357)))</f>
        <v/>
      </c>
      <c r="G357" s="56">
        <f>IF($B357=0,"",IF(Inputs!$B$10="","",IF($AH357=0,G356,SUMIFS(Data!$R$10:$R$3209,Data!$Q$10:$Q$3209,"&gt;="&amp;$A357,Data!$Q$10:$Q$3209,"&lt;"&amp;$A357+1)/$AH357)))</f>
        <v/>
      </c>
      <c r="I357" s="54">
        <f>IF($B357=0,NA(),IF($C357="",NA(),IF(C$8="",NA(),IF(N(C$8)=0,NA(),IF(Inputs!$C$17="Rebased to 100",$C357/C$8*100,$C357)))))</f>
        <v/>
      </c>
      <c r="J357" s="54">
        <f>IF($B357=0,NA(),IF($D357="",NA(),IF(D$8="",NA(),IF(N(D$8)=0,NA(),IF(Inputs!$C$17="Rebased to 100",$D357/D$8*100,$D357)))))</f>
        <v/>
      </c>
      <c r="K357" s="54">
        <f>IF($B357=0,NA(),IF($E357="",NA(),IF(E$8="",NA(),IF(N(E$8)=0,NA(),IF(Inputs!$C$17="Rebased to 100",$E357/E$8*100,$E357)))))</f>
        <v/>
      </c>
      <c r="L357" s="54">
        <f>IF($B357=0,NA(),IF($F357="",NA(),IF(F$8="",NA(),IF(N(F$8)=0,NA(),IF(Inputs!$C$17="Rebased to 100",$F357/F$8*100,$F357)))))</f>
        <v/>
      </c>
      <c r="M357" s="54">
        <f>IF($B357=0,NA(),IF($G357="",NA(),IF(G$8="",NA(),IF(N(G$8)=0,NA(),IF(Inputs!$C$17="Rebased to 100",$G357/G$8*100,$G357)))))</f>
        <v/>
      </c>
      <c r="N357" s="54">
        <f>IF($B357=0,NA(),IF(Inputs!$C$18&lt;&gt;"Yes",NA(),IF(COUNT(I357,J357,K357,L357,M357)=0,NA(),MIN(I357,J357,K357,L357,M357))))</f>
        <v/>
      </c>
      <c r="O357" s="54">
        <f>IF($B357=0,NA(),IF(Inputs!$B$24&lt;&gt;"Yes",NA(),Inputs!$D$24*Inputs!$C$35))</f>
        <v/>
      </c>
      <c r="P357" s="54">
        <f>IF($B357=0,NA(),IF(Inputs!$B$25&lt;&gt;"Yes",NA(),Inputs!$D$25*Inputs!$C$35))</f>
        <v/>
      </c>
      <c r="Q357" s="54">
        <f>IF($B357=0,NA(),IF(Inputs!$B$26&lt;&gt;"Yes",NA(),Inputs!$D$26*Inputs!$C$35))</f>
        <v/>
      </c>
      <c r="R357" s="54">
        <f>IF($B357=0,NA(),IF(Inputs!$B$27&lt;&gt;"Yes",NA(),Inputs!$D$27*Inputs!$C$35))</f>
        <v/>
      </c>
      <c r="S357" s="54">
        <f>IF($B357=0,NA(),IF(Inputs!$B$28&lt;&gt;"Yes",NA(),Inputs!$D$28*Inputs!$C$35))</f>
        <v/>
      </c>
      <c r="T357" s="54">
        <f>IF($B357=0,NA(),IF(Inputs!$B$29&lt;&gt;"Yes",NA(),Inputs!$D$29*Inputs!$C$35))</f>
        <v/>
      </c>
      <c r="AD357">
        <f>IF($B357=0,0,IF(Inputs!$B$6="",0,COUNTIFS(Data!$A$10:$A$3209,"&gt;="&amp;$A357,Data!$A$10:$A$3209,"&lt;"&amp;$A357+1)))</f>
        <v/>
      </c>
      <c r="AE357">
        <f>IF($B357=0,0,IF(Inputs!$B$7="",0,COUNTIFS(Data!$E$10:$E$3209,"&gt;="&amp;$A357,Data!$E$10:$E$3209,"&lt;"&amp;$A357+1)))</f>
        <v/>
      </c>
      <c r="AF357">
        <f>IF($B357=0,0,IF(Inputs!$B$8="",0,COUNTIFS(Data!$I$10:$I$3209,"&gt;="&amp;$A357,Data!$I$10:$I$3209,"&lt;"&amp;$A357+1)))</f>
        <v/>
      </c>
      <c r="AG357">
        <f>IF($B357=0,0,IF(Inputs!$B$9="",0,COUNTIFS(Data!$M$10:$M$3209,"&gt;="&amp;$A357,Data!$M$10:$M$3209,"&lt;"&amp;$A357+1)))</f>
        <v/>
      </c>
      <c r="AH357">
        <f>IF($B357=0,0,IF(Inputs!$B$10="",0,COUNTIFS(Data!$Q$10:$Q$3209,"&gt;="&amp;$A357,Data!$Q$10:$Q$3209,"&lt;"&amp;$A357+1)))</f>
        <v/>
      </c>
    </row>
    <row r="358">
      <c r="A358" s="55">
        <f>MIN(Inputs!$C$15,$A357+IF(WEEKDAY($A357,2)=5,3,1))</f>
        <v/>
      </c>
      <c r="B358">
        <f>IF($A358&gt;$A357,1,0)</f>
        <v/>
      </c>
      <c r="C358" s="56">
        <f>IF($B358=0,"",IF(Inputs!$B$6="","",IF($AD358=0,C357,SUMIFS(Data!$B$10:$B$3209,Data!$A$10:$A$3209,"&gt;="&amp;$A358,Data!$A$10:$A$3209,"&lt;"&amp;$A358+1)/$AD358)))</f>
        <v/>
      </c>
      <c r="D358" s="56">
        <f>IF($B358=0,"",IF(Inputs!$B$7="","",IF($AE358=0,D357,SUMIFS(Data!$F$10:$F$3209,Data!$E$10:$E$3209,"&gt;="&amp;$A358,Data!$E$10:$E$3209,"&lt;"&amp;$A358+1)/$AE358)))</f>
        <v/>
      </c>
      <c r="E358" s="56">
        <f>IF($B358=0,"",IF(Inputs!$B$8="","",IF($AF358=0,E357,SUMIFS(Data!$J$10:$J$3209,Data!$I$10:$I$3209,"&gt;="&amp;$A358,Data!$I$10:$I$3209,"&lt;"&amp;$A358+1)/$AF358)))</f>
        <v/>
      </c>
      <c r="F358" s="56">
        <f>IF($B358=0,"",IF(Inputs!$B$9="","",IF($AG358=0,F357,SUMIFS(Data!$N$10:$N$3209,Data!$M$10:$M$3209,"&gt;="&amp;$A358,Data!$M$10:$M$3209,"&lt;"&amp;$A358+1)/$AG358)))</f>
        <v/>
      </c>
      <c r="G358" s="56">
        <f>IF($B358=0,"",IF(Inputs!$B$10="","",IF($AH358=0,G357,SUMIFS(Data!$R$10:$R$3209,Data!$Q$10:$Q$3209,"&gt;="&amp;$A358,Data!$Q$10:$Q$3209,"&lt;"&amp;$A358+1)/$AH358)))</f>
        <v/>
      </c>
      <c r="I358" s="54">
        <f>IF($B358=0,NA(),IF($C358="",NA(),IF(C$8="",NA(),IF(N(C$8)=0,NA(),IF(Inputs!$C$17="Rebased to 100",$C358/C$8*100,$C358)))))</f>
        <v/>
      </c>
      <c r="J358" s="54">
        <f>IF($B358=0,NA(),IF($D358="",NA(),IF(D$8="",NA(),IF(N(D$8)=0,NA(),IF(Inputs!$C$17="Rebased to 100",$D358/D$8*100,$D358)))))</f>
        <v/>
      </c>
      <c r="K358" s="54">
        <f>IF($B358=0,NA(),IF($E358="",NA(),IF(E$8="",NA(),IF(N(E$8)=0,NA(),IF(Inputs!$C$17="Rebased to 100",$E358/E$8*100,$E358)))))</f>
        <v/>
      </c>
      <c r="L358" s="54">
        <f>IF($B358=0,NA(),IF($F358="",NA(),IF(F$8="",NA(),IF(N(F$8)=0,NA(),IF(Inputs!$C$17="Rebased to 100",$F358/F$8*100,$F358)))))</f>
        <v/>
      </c>
      <c r="M358" s="54">
        <f>IF($B358=0,NA(),IF($G358="",NA(),IF(G$8="",NA(),IF(N(G$8)=0,NA(),IF(Inputs!$C$17="Rebased to 100",$G358/G$8*100,$G358)))))</f>
        <v/>
      </c>
      <c r="N358" s="54">
        <f>IF($B358=0,NA(),IF(Inputs!$C$18&lt;&gt;"Yes",NA(),IF(COUNT(I358,J358,K358,L358,M358)=0,NA(),MIN(I358,J358,K358,L358,M358))))</f>
        <v/>
      </c>
      <c r="O358" s="54">
        <f>IF($B358=0,NA(),IF(Inputs!$B$24&lt;&gt;"Yes",NA(),Inputs!$D$24*Inputs!$C$35))</f>
        <v/>
      </c>
      <c r="P358" s="54">
        <f>IF($B358=0,NA(),IF(Inputs!$B$25&lt;&gt;"Yes",NA(),Inputs!$D$25*Inputs!$C$35))</f>
        <v/>
      </c>
      <c r="Q358" s="54">
        <f>IF($B358=0,NA(),IF(Inputs!$B$26&lt;&gt;"Yes",NA(),Inputs!$D$26*Inputs!$C$35))</f>
        <v/>
      </c>
      <c r="R358" s="54">
        <f>IF($B358=0,NA(),IF(Inputs!$B$27&lt;&gt;"Yes",NA(),Inputs!$D$27*Inputs!$C$35))</f>
        <v/>
      </c>
      <c r="S358" s="54">
        <f>IF($B358=0,NA(),IF(Inputs!$B$28&lt;&gt;"Yes",NA(),Inputs!$D$28*Inputs!$C$35))</f>
        <v/>
      </c>
      <c r="T358" s="54">
        <f>IF($B358=0,NA(),IF(Inputs!$B$29&lt;&gt;"Yes",NA(),Inputs!$D$29*Inputs!$C$35))</f>
        <v/>
      </c>
      <c r="AD358">
        <f>IF($B358=0,0,IF(Inputs!$B$6="",0,COUNTIFS(Data!$A$10:$A$3209,"&gt;="&amp;$A358,Data!$A$10:$A$3209,"&lt;"&amp;$A358+1)))</f>
        <v/>
      </c>
      <c r="AE358">
        <f>IF($B358=0,0,IF(Inputs!$B$7="",0,COUNTIFS(Data!$E$10:$E$3209,"&gt;="&amp;$A358,Data!$E$10:$E$3209,"&lt;"&amp;$A358+1)))</f>
        <v/>
      </c>
      <c r="AF358">
        <f>IF($B358=0,0,IF(Inputs!$B$8="",0,COUNTIFS(Data!$I$10:$I$3209,"&gt;="&amp;$A358,Data!$I$10:$I$3209,"&lt;"&amp;$A358+1)))</f>
        <v/>
      </c>
      <c r="AG358">
        <f>IF($B358=0,0,IF(Inputs!$B$9="",0,COUNTIFS(Data!$M$10:$M$3209,"&gt;="&amp;$A358,Data!$M$10:$M$3209,"&lt;"&amp;$A358+1)))</f>
        <v/>
      </c>
      <c r="AH358">
        <f>IF($B358=0,0,IF(Inputs!$B$10="",0,COUNTIFS(Data!$Q$10:$Q$3209,"&gt;="&amp;$A358,Data!$Q$10:$Q$3209,"&lt;"&amp;$A358+1)))</f>
        <v/>
      </c>
    </row>
    <row r="359">
      <c r="A359" s="55">
        <f>MIN(Inputs!$C$15,$A358+IF(WEEKDAY($A358,2)=5,3,1))</f>
        <v/>
      </c>
      <c r="B359">
        <f>IF($A359&gt;$A358,1,0)</f>
        <v/>
      </c>
      <c r="C359" s="56">
        <f>IF($B359=0,"",IF(Inputs!$B$6="","",IF($AD359=0,C358,SUMIFS(Data!$B$10:$B$3209,Data!$A$10:$A$3209,"&gt;="&amp;$A359,Data!$A$10:$A$3209,"&lt;"&amp;$A359+1)/$AD359)))</f>
        <v/>
      </c>
      <c r="D359" s="56">
        <f>IF($B359=0,"",IF(Inputs!$B$7="","",IF($AE359=0,D358,SUMIFS(Data!$F$10:$F$3209,Data!$E$10:$E$3209,"&gt;="&amp;$A359,Data!$E$10:$E$3209,"&lt;"&amp;$A359+1)/$AE359)))</f>
        <v/>
      </c>
      <c r="E359" s="56">
        <f>IF($B359=0,"",IF(Inputs!$B$8="","",IF($AF359=0,E358,SUMIFS(Data!$J$10:$J$3209,Data!$I$10:$I$3209,"&gt;="&amp;$A359,Data!$I$10:$I$3209,"&lt;"&amp;$A359+1)/$AF359)))</f>
        <v/>
      </c>
      <c r="F359" s="56">
        <f>IF($B359=0,"",IF(Inputs!$B$9="","",IF($AG359=0,F358,SUMIFS(Data!$N$10:$N$3209,Data!$M$10:$M$3209,"&gt;="&amp;$A359,Data!$M$10:$M$3209,"&lt;"&amp;$A359+1)/$AG359)))</f>
        <v/>
      </c>
      <c r="G359" s="56">
        <f>IF($B359=0,"",IF(Inputs!$B$10="","",IF($AH359=0,G358,SUMIFS(Data!$R$10:$R$3209,Data!$Q$10:$Q$3209,"&gt;="&amp;$A359,Data!$Q$10:$Q$3209,"&lt;"&amp;$A359+1)/$AH359)))</f>
        <v/>
      </c>
      <c r="I359" s="54">
        <f>IF($B359=0,NA(),IF($C359="",NA(),IF(C$8="",NA(),IF(N(C$8)=0,NA(),IF(Inputs!$C$17="Rebased to 100",$C359/C$8*100,$C359)))))</f>
        <v/>
      </c>
      <c r="J359" s="54">
        <f>IF($B359=0,NA(),IF($D359="",NA(),IF(D$8="",NA(),IF(N(D$8)=0,NA(),IF(Inputs!$C$17="Rebased to 100",$D359/D$8*100,$D359)))))</f>
        <v/>
      </c>
      <c r="K359" s="54">
        <f>IF($B359=0,NA(),IF($E359="",NA(),IF(E$8="",NA(),IF(N(E$8)=0,NA(),IF(Inputs!$C$17="Rebased to 100",$E359/E$8*100,$E359)))))</f>
        <v/>
      </c>
      <c r="L359" s="54">
        <f>IF($B359=0,NA(),IF($F359="",NA(),IF(F$8="",NA(),IF(N(F$8)=0,NA(),IF(Inputs!$C$17="Rebased to 100",$F359/F$8*100,$F359)))))</f>
        <v/>
      </c>
      <c r="M359" s="54">
        <f>IF($B359=0,NA(),IF($G359="",NA(),IF(G$8="",NA(),IF(N(G$8)=0,NA(),IF(Inputs!$C$17="Rebased to 100",$G359/G$8*100,$G359)))))</f>
        <v/>
      </c>
      <c r="N359" s="54">
        <f>IF($B359=0,NA(),IF(Inputs!$C$18&lt;&gt;"Yes",NA(),IF(COUNT(I359,J359,K359,L359,M359)=0,NA(),MIN(I359,J359,K359,L359,M359))))</f>
        <v/>
      </c>
      <c r="O359" s="54">
        <f>IF($B359=0,NA(),IF(Inputs!$B$24&lt;&gt;"Yes",NA(),Inputs!$D$24*Inputs!$C$35))</f>
        <v/>
      </c>
      <c r="P359" s="54">
        <f>IF($B359=0,NA(),IF(Inputs!$B$25&lt;&gt;"Yes",NA(),Inputs!$D$25*Inputs!$C$35))</f>
        <v/>
      </c>
      <c r="Q359" s="54">
        <f>IF($B359=0,NA(),IF(Inputs!$B$26&lt;&gt;"Yes",NA(),Inputs!$D$26*Inputs!$C$35))</f>
        <v/>
      </c>
      <c r="R359" s="54">
        <f>IF($B359=0,NA(),IF(Inputs!$B$27&lt;&gt;"Yes",NA(),Inputs!$D$27*Inputs!$C$35))</f>
        <v/>
      </c>
      <c r="S359" s="54">
        <f>IF($B359=0,NA(),IF(Inputs!$B$28&lt;&gt;"Yes",NA(),Inputs!$D$28*Inputs!$C$35))</f>
        <v/>
      </c>
      <c r="T359" s="54">
        <f>IF($B359=0,NA(),IF(Inputs!$B$29&lt;&gt;"Yes",NA(),Inputs!$D$29*Inputs!$C$35))</f>
        <v/>
      </c>
      <c r="AD359">
        <f>IF($B359=0,0,IF(Inputs!$B$6="",0,COUNTIFS(Data!$A$10:$A$3209,"&gt;="&amp;$A359,Data!$A$10:$A$3209,"&lt;"&amp;$A359+1)))</f>
        <v/>
      </c>
      <c r="AE359">
        <f>IF($B359=0,0,IF(Inputs!$B$7="",0,COUNTIFS(Data!$E$10:$E$3209,"&gt;="&amp;$A359,Data!$E$10:$E$3209,"&lt;"&amp;$A359+1)))</f>
        <v/>
      </c>
      <c r="AF359">
        <f>IF($B359=0,0,IF(Inputs!$B$8="",0,COUNTIFS(Data!$I$10:$I$3209,"&gt;="&amp;$A359,Data!$I$10:$I$3209,"&lt;"&amp;$A359+1)))</f>
        <v/>
      </c>
      <c r="AG359">
        <f>IF($B359=0,0,IF(Inputs!$B$9="",0,COUNTIFS(Data!$M$10:$M$3209,"&gt;="&amp;$A359,Data!$M$10:$M$3209,"&lt;"&amp;$A359+1)))</f>
        <v/>
      </c>
      <c r="AH359">
        <f>IF($B359=0,0,IF(Inputs!$B$10="",0,COUNTIFS(Data!$Q$10:$Q$3209,"&gt;="&amp;$A359,Data!$Q$10:$Q$3209,"&lt;"&amp;$A359+1)))</f>
        <v/>
      </c>
    </row>
    <row r="360">
      <c r="A360" s="55">
        <f>MIN(Inputs!$C$15,$A359+IF(WEEKDAY($A359,2)=5,3,1))</f>
        <v/>
      </c>
      <c r="B360">
        <f>IF($A360&gt;$A359,1,0)</f>
        <v/>
      </c>
      <c r="C360" s="56">
        <f>IF($B360=0,"",IF(Inputs!$B$6="","",IF($AD360=0,C359,SUMIFS(Data!$B$10:$B$3209,Data!$A$10:$A$3209,"&gt;="&amp;$A360,Data!$A$10:$A$3209,"&lt;"&amp;$A360+1)/$AD360)))</f>
        <v/>
      </c>
      <c r="D360" s="56">
        <f>IF($B360=0,"",IF(Inputs!$B$7="","",IF($AE360=0,D359,SUMIFS(Data!$F$10:$F$3209,Data!$E$10:$E$3209,"&gt;="&amp;$A360,Data!$E$10:$E$3209,"&lt;"&amp;$A360+1)/$AE360)))</f>
        <v/>
      </c>
      <c r="E360" s="56">
        <f>IF($B360=0,"",IF(Inputs!$B$8="","",IF($AF360=0,E359,SUMIFS(Data!$J$10:$J$3209,Data!$I$10:$I$3209,"&gt;="&amp;$A360,Data!$I$10:$I$3209,"&lt;"&amp;$A360+1)/$AF360)))</f>
        <v/>
      </c>
      <c r="F360" s="56">
        <f>IF($B360=0,"",IF(Inputs!$B$9="","",IF($AG360=0,F359,SUMIFS(Data!$N$10:$N$3209,Data!$M$10:$M$3209,"&gt;="&amp;$A360,Data!$M$10:$M$3209,"&lt;"&amp;$A360+1)/$AG360)))</f>
        <v/>
      </c>
      <c r="G360" s="56">
        <f>IF($B360=0,"",IF(Inputs!$B$10="","",IF($AH360=0,G359,SUMIFS(Data!$R$10:$R$3209,Data!$Q$10:$Q$3209,"&gt;="&amp;$A360,Data!$Q$10:$Q$3209,"&lt;"&amp;$A360+1)/$AH360)))</f>
        <v/>
      </c>
      <c r="I360" s="54">
        <f>IF($B360=0,NA(),IF($C360="",NA(),IF(C$8="",NA(),IF(N(C$8)=0,NA(),IF(Inputs!$C$17="Rebased to 100",$C360/C$8*100,$C360)))))</f>
        <v/>
      </c>
      <c r="J360" s="54">
        <f>IF($B360=0,NA(),IF($D360="",NA(),IF(D$8="",NA(),IF(N(D$8)=0,NA(),IF(Inputs!$C$17="Rebased to 100",$D360/D$8*100,$D360)))))</f>
        <v/>
      </c>
      <c r="K360" s="54">
        <f>IF($B360=0,NA(),IF($E360="",NA(),IF(E$8="",NA(),IF(N(E$8)=0,NA(),IF(Inputs!$C$17="Rebased to 100",$E360/E$8*100,$E360)))))</f>
        <v/>
      </c>
      <c r="L360" s="54">
        <f>IF($B360=0,NA(),IF($F360="",NA(),IF(F$8="",NA(),IF(N(F$8)=0,NA(),IF(Inputs!$C$17="Rebased to 100",$F360/F$8*100,$F360)))))</f>
        <v/>
      </c>
      <c r="M360" s="54">
        <f>IF($B360=0,NA(),IF($G360="",NA(),IF(G$8="",NA(),IF(N(G$8)=0,NA(),IF(Inputs!$C$17="Rebased to 100",$G360/G$8*100,$G360)))))</f>
        <v/>
      </c>
      <c r="N360" s="54">
        <f>IF($B360=0,NA(),IF(Inputs!$C$18&lt;&gt;"Yes",NA(),IF(COUNT(I360,J360,K360,L360,M360)=0,NA(),MIN(I360,J360,K360,L360,M360))))</f>
        <v/>
      </c>
      <c r="O360" s="54">
        <f>IF($B360=0,NA(),IF(Inputs!$B$24&lt;&gt;"Yes",NA(),Inputs!$D$24*Inputs!$C$35))</f>
        <v/>
      </c>
      <c r="P360" s="54">
        <f>IF($B360=0,NA(),IF(Inputs!$B$25&lt;&gt;"Yes",NA(),Inputs!$D$25*Inputs!$C$35))</f>
        <v/>
      </c>
      <c r="Q360" s="54">
        <f>IF($B360=0,NA(),IF(Inputs!$B$26&lt;&gt;"Yes",NA(),Inputs!$D$26*Inputs!$C$35))</f>
        <v/>
      </c>
      <c r="R360" s="54">
        <f>IF($B360=0,NA(),IF(Inputs!$B$27&lt;&gt;"Yes",NA(),Inputs!$D$27*Inputs!$C$35))</f>
        <v/>
      </c>
      <c r="S360" s="54">
        <f>IF($B360=0,NA(),IF(Inputs!$B$28&lt;&gt;"Yes",NA(),Inputs!$D$28*Inputs!$C$35))</f>
        <v/>
      </c>
      <c r="T360" s="54">
        <f>IF($B360=0,NA(),IF(Inputs!$B$29&lt;&gt;"Yes",NA(),Inputs!$D$29*Inputs!$C$35))</f>
        <v/>
      </c>
      <c r="AD360">
        <f>IF($B360=0,0,IF(Inputs!$B$6="",0,COUNTIFS(Data!$A$10:$A$3209,"&gt;="&amp;$A360,Data!$A$10:$A$3209,"&lt;"&amp;$A360+1)))</f>
        <v/>
      </c>
      <c r="AE360">
        <f>IF($B360=0,0,IF(Inputs!$B$7="",0,COUNTIFS(Data!$E$10:$E$3209,"&gt;="&amp;$A360,Data!$E$10:$E$3209,"&lt;"&amp;$A360+1)))</f>
        <v/>
      </c>
      <c r="AF360">
        <f>IF($B360=0,0,IF(Inputs!$B$8="",0,COUNTIFS(Data!$I$10:$I$3209,"&gt;="&amp;$A360,Data!$I$10:$I$3209,"&lt;"&amp;$A360+1)))</f>
        <v/>
      </c>
      <c r="AG360">
        <f>IF($B360=0,0,IF(Inputs!$B$9="",0,COUNTIFS(Data!$M$10:$M$3209,"&gt;="&amp;$A360,Data!$M$10:$M$3209,"&lt;"&amp;$A360+1)))</f>
        <v/>
      </c>
      <c r="AH360">
        <f>IF($B360=0,0,IF(Inputs!$B$10="",0,COUNTIFS(Data!$Q$10:$Q$3209,"&gt;="&amp;$A360,Data!$Q$10:$Q$3209,"&lt;"&amp;$A360+1)))</f>
        <v/>
      </c>
    </row>
    <row r="361">
      <c r="A361" s="55">
        <f>MIN(Inputs!$C$15,$A360+IF(WEEKDAY($A360,2)=5,3,1))</f>
        <v/>
      </c>
      <c r="B361">
        <f>IF($A361&gt;$A360,1,0)</f>
        <v/>
      </c>
      <c r="C361" s="56">
        <f>IF($B361=0,"",IF(Inputs!$B$6="","",IF($AD361=0,C360,SUMIFS(Data!$B$10:$B$3209,Data!$A$10:$A$3209,"&gt;="&amp;$A361,Data!$A$10:$A$3209,"&lt;"&amp;$A361+1)/$AD361)))</f>
        <v/>
      </c>
      <c r="D361" s="56">
        <f>IF($B361=0,"",IF(Inputs!$B$7="","",IF($AE361=0,D360,SUMIFS(Data!$F$10:$F$3209,Data!$E$10:$E$3209,"&gt;="&amp;$A361,Data!$E$10:$E$3209,"&lt;"&amp;$A361+1)/$AE361)))</f>
        <v/>
      </c>
      <c r="E361" s="56">
        <f>IF($B361=0,"",IF(Inputs!$B$8="","",IF($AF361=0,E360,SUMIFS(Data!$J$10:$J$3209,Data!$I$10:$I$3209,"&gt;="&amp;$A361,Data!$I$10:$I$3209,"&lt;"&amp;$A361+1)/$AF361)))</f>
        <v/>
      </c>
      <c r="F361" s="56">
        <f>IF($B361=0,"",IF(Inputs!$B$9="","",IF($AG361=0,F360,SUMIFS(Data!$N$10:$N$3209,Data!$M$10:$M$3209,"&gt;="&amp;$A361,Data!$M$10:$M$3209,"&lt;"&amp;$A361+1)/$AG361)))</f>
        <v/>
      </c>
      <c r="G361" s="56">
        <f>IF($B361=0,"",IF(Inputs!$B$10="","",IF($AH361=0,G360,SUMIFS(Data!$R$10:$R$3209,Data!$Q$10:$Q$3209,"&gt;="&amp;$A361,Data!$Q$10:$Q$3209,"&lt;"&amp;$A361+1)/$AH361)))</f>
        <v/>
      </c>
      <c r="I361" s="54">
        <f>IF($B361=0,NA(),IF($C361="",NA(),IF(C$8="",NA(),IF(N(C$8)=0,NA(),IF(Inputs!$C$17="Rebased to 100",$C361/C$8*100,$C361)))))</f>
        <v/>
      </c>
      <c r="J361" s="54">
        <f>IF($B361=0,NA(),IF($D361="",NA(),IF(D$8="",NA(),IF(N(D$8)=0,NA(),IF(Inputs!$C$17="Rebased to 100",$D361/D$8*100,$D361)))))</f>
        <v/>
      </c>
      <c r="K361" s="54">
        <f>IF($B361=0,NA(),IF($E361="",NA(),IF(E$8="",NA(),IF(N(E$8)=0,NA(),IF(Inputs!$C$17="Rebased to 100",$E361/E$8*100,$E361)))))</f>
        <v/>
      </c>
      <c r="L361" s="54">
        <f>IF($B361=0,NA(),IF($F361="",NA(),IF(F$8="",NA(),IF(N(F$8)=0,NA(),IF(Inputs!$C$17="Rebased to 100",$F361/F$8*100,$F361)))))</f>
        <v/>
      </c>
      <c r="M361" s="54">
        <f>IF($B361=0,NA(),IF($G361="",NA(),IF(G$8="",NA(),IF(N(G$8)=0,NA(),IF(Inputs!$C$17="Rebased to 100",$G361/G$8*100,$G361)))))</f>
        <v/>
      </c>
      <c r="N361" s="54">
        <f>IF($B361=0,NA(),IF(Inputs!$C$18&lt;&gt;"Yes",NA(),IF(COUNT(I361,J361,K361,L361,M361)=0,NA(),MIN(I361,J361,K361,L361,M361))))</f>
        <v/>
      </c>
      <c r="O361" s="54">
        <f>IF($B361=0,NA(),IF(Inputs!$B$24&lt;&gt;"Yes",NA(),Inputs!$D$24*Inputs!$C$35))</f>
        <v/>
      </c>
      <c r="P361" s="54">
        <f>IF($B361=0,NA(),IF(Inputs!$B$25&lt;&gt;"Yes",NA(),Inputs!$D$25*Inputs!$C$35))</f>
        <v/>
      </c>
      <c r="Q361" s="54">
        <f>IF($B361=0,NA(),IF(Inputs!$B$26&lt;&gt;"Yes",NA(),Inputs!$D$26*Inputs!$C$35))</f>
        <v/>
      </c>
      <c r="R361" s="54">
        <f>IF($B361=0,NA(),IF(Inputs!$B$27&lt;&gt;"Yes",NA(),Inputs!$D$27*Inputs!$C$35))</f>
        <v/>
      </c>
      <c r="S361" s="54">
        <f>IF($B361=0,NA(),IF(Inputs!$B$28&lt;&gt;"Yes",NA(),Inputs!$D$28*Inputs!$C$35))</f>
        <v/>
      </c>
      <c r="T361" s="54">
        <f>IF($B361=0,NA(),IF(Inputs!$B$29&lt;&gt;"Yes",NA(),Inputs!$D$29*Inputs!$C$35))</f>
        <v/>
      </c>
      <c r="AD361">
        <f>IF($B361=0,0,IF(Inputs!$B$6="",0,COUNTIFS(Data!$A$10:$A$3209,"&gt;="&amp;$A361,Data!$A$10:$A$3209,"&lt;"&amp;$A361+1)))</f>
        <v/>
      </c>
      <c r="AE361">
        <f>IF($B361=0,0,IF(Inputs!$B$7="",0,COUNTIFS(Data!$E$10:$E$3209,"&gt;="&amp;$A361,Data!$E$10:$E$3209,"&lt;"&amp;$A361+1)))</f>
        <v/>
      </c>
      <c r="AF361">
        <f>IF($B361=0,0,IF(Inputs!$B$8="",0,COUNTIFS(Data!$I$10:$I$3209,"&gt;="&amp;$A361,Data!$I$10:$I$3209,"&lt;"&amp;$A361+1)))</f>
        <v/>
      </c>
      <c r="AG361">
        <f>IF($B361=0,0,IF(Inputs!$B$9="",0,COUNTIFS(Data!$M$10:$M$3209,"&gt;="&amp;$A361,Data!$M$10:$M$3209,"&lt;"&amp;$A361+1)))</f>
        <v/>
      </c>
      <c r="AH361">
        <f>IF($B361=0,0,IF(Inputs!$B$10="",0,COUNTIFS(Data!$Q$10:$Q$3209,"&gt;="&amp;$A361,Data!$Q$10:$Q$3209,"&lt;"&amp;$A361+1)))</f>
        <v/>
      </c>
    </row>
    <row r="362">
      <c r="A362" s="55">
        <f>MIN(Inputs!$C$15,$A361+IF(WEEKDAY($A361,2)=5,3,1))</f>
        <v/>
      </c>
      <c r="B362">
        <f>IF($A362&gt;$A361,1,0)</f>
        <v/>
      </c>
      <c r="C362" s="56">
        <f>IF($B362=0,"",IF(Inputs!$B$6="","",IF($AD362=0,C361,SUMIFS(Data!$B$10:$B$3209,Data!$A$10:$A$3209,"&gt;="&amp;$A362,Data!$A$10:$A$3209,"&lt;"&amp;$A362+1)/$AD362)))</f>
        <v/>
      </c>
      <c r="D362" s="56">
        <f>IF($B362=0,"",IF(Inputs!$B$7="","",IF($AE362=0,D361,SUMIFS(Data!$F$10:$F$3209,Data!$E$10:$E$3209,"&gt;="&amp;$A362,Data!$E$10:$E$3209,"&lt;"&amp;$A362+1)/$AE362)))</f>
        <v/>
      </c>
      <c r="E362" s="56">
        <f>IF($B362=0,"",IF(Inputs!$B$8="","",IF($AF362=0,E361,SUMIFS(Data!$J$10:$J$3209,Data!$I$10:$I$3209,"&gt;="&amp;$A362,Data!$I$10:$I$3209,"&lt;"&amp;$A362+1)/$AF362)))</f>
        <v/>
      </c>
      <c r="F362" s="56">
        <f>IF($B362=0,"",IF(Inputs!$B$9="","",IF($AG362=0,F361,SUMIFS(Data!$N$10:$N$3209,Data!$M$10:$M$3209,"&gt;="&amp;$A362,Data!$M$10:$M$3209,"&lt;"&amp;$A362+1)/$AG362)))</f>
        <v/>
      </c>
      <c r="G362" s="56">
        <f>IF($B362=0,"",IF(Inputs!$B$10="","",IF($AH362=0,G361,SUMIFS(Data!$R$10:$R$3209,Data!$Q$10:$Q$3209,"&gt;="&amp;$A362,Data!$Q$10:$Q$3209,"&lt;"&amp;$A362+1)/$AH362)))</f>
        <v/>
      </c>
      <c r="I362" s="54">
        <f>IF($B362=0,NA(),IF($C362="",NA(),IF(C$8="",NA(),IF(N(C$8)=0,NA(),IF(Inputs!$C$17="Rebased to 100",$C362/C$8*100,$C362)))))</f>
        <v/>
      </c>
      <c r="J362" s="54">
        <f>IF($B362=0,NA(),IF($D362="",NA(),IF(D$8="",NA(),IF(N(D$8)=0,NA(),IF(Inputs!$C$17="Rebased to 100",$D362/D$8*100,$D362)))))</f>
        <v/>
      </c>
      <c r="K362" s="54">
        <f>IF($B362=0,NA(),IF($E362="",NA(),IF(E$8="",NA(),IF(N(E$8)=0,NA(),IF(Inputs!$C$17="Rebased to 100",$E362/E$8*100,$E362)))))</f>
        <v/>
      </c>
      <c r="L362" s="54">
        <f>IF($B362=0,NA(),IF($F362="",NA(),IF(F$8="",NA(),IF(N(F$8)=0,NA(),IF(Inputs!$C$17="Rebased to 100",$F362/F$8*100,$F362)))))</f>
        <v/>
      </c>
      <c r="M362" s="54">
        <f>IF($B362=0,NA(),IF($G362="",NA(),IF(G$8="",NA(),IF(N(G$8)=0,NA(),IF(Inputs!$C$17="Rebased to 100",$G362/G$8*100,$G362)))))</f>
        <v/>
      </c>
      <c r="N362" s="54">
        <f>IF($B362=0,NA(),IF(Inputs!$C$18&lt;&gt;"Yes",NA(),IF(COUNT(I362,J362,K362,L362,M362)=0,NA(),MIN(I362,J362,K362,L362,M362))))</f>
        <v/>
      </c>
      <c r="O362" s="54">
        <f>IF($B362=0,NA(),IF(Inputs!$B$24&lt;&gt;"Yes",NA(),Inputs!$D$24*Inputs!$C$35))</f>
        <v/>
      </c>
      <c r="P362" s="54">
        <f>IF($B362=0,NA(),IF(Inputs!$B$25&lt;&gt;"Yes",NA(),Inputs!$D$25*Inputs!$C$35))</f>
        <v/>
      </c>
      <c r="Q362" s="54">
        <f>IF($B362=0,NA(),IF(Inputs!$B$26&lt;&gt;"Yes",NA(),Inputs!$D$26*Inputs!$C$35))</f>
        <v/>
      </c>
      <c r="R362" s="54">
        <f>IF($B362=0,NA(),IF(Inputs!$B$27&lt;&gt;"Yes",NA(),Inputs!$D$27*Inputs!$C$35))</f>
        <v/>
      </c>
      <c r="S362" s="54">
        <f>IF($B362=0,NA(),IF(Inputs!$B$28&lt;&gt;"Yes",NA(),Inputs!$D$28*Inputs!$C$35))</f>
        <v/>
      </c>
      <c r="T362" s="54">
        <f>IF($B362=0,NA(),IF(Inputs!$B$29&lt;&gt;"Yes",NA(),Inputs!$D$29*Inputs!$C$35))</f>
        <v/>
      </c>
      <c r="AD362">
        <f>IF($B362=0,0,IF(Inputs!$B$6="",0,COUNTIFS(Data!$A$10:$A$3209,"&gt;="&amp;$A362,Data!$A$10:$A$3209,"&lt;"&amp;$A362+1)))</f>
        <v/>
      </c>
      <c r="AE362">
        <f>IF($B362=0,0,IF(Inputs!$B$7="",0,COUNTIFS(Data!$E$10:$E$3209,"&gt;="&amp;$A362,Data!$E$10:$E$3209,"&lt;"&amp;$A362+1)))</f>
        <v/>
      </c>
      <c r="AF362">
        <f>IF($B362=0,0,IF(Inputs!$B$8="",0,COUNTIFS(Data!$I$10:$I$3209,"&gt;="&amp;$A362,Data!$I$10:$I$3209,"&lt;"&amp;$A362+1)))</f>
        <v/>
      </c>
      <c r="AG362">
        <f>IF($B362=0,0,IF(Inputs!$B$9="",0,COUNTIFS(Data!$M$10:$M$3209,"&gt;="&amp;$A362,Data!$M$10:$M$3209,"&lt;"&amp;$A362+1)))</f>
        <v/>
      </c>
      <c r="AH362">
        <f>IF($B362=0,0,IF(Inputs!$B$10="",0,COUNTIFS(Data!$Q$10:$Q$3209,"&gt;="&amp;$A362,Data!$Q$10:$Q$3209,"&lt;"&amp;$A362+1)))</f>
        <v/>
      </c>
    </row>
    <row r="363">
      <c r="A363" s="55">
        <f>MIN(Inputs!$C$15,$A362+IF(WEEKDAY($A362,2)=5,3,1))</f>
        <v/>
      </c>
      <c r="B363">
        <f>IF($A363&gt;$A362,1,0)</f>
        <v/>
      </c>
      <c r="C363" s="56">
        <f>IF($B363=0,"",IF(Inputs!$B$6="","",IF($AD363=0,C362,SUMIFS(Data!$B$10:$B$3209,Data!$A$10:$A$3209,"&gt;="&amp;$A363,Data!$A$10:$A$3209,"&lt;"&amp;$A363+1)/$AD363)))</f>
        <v/>
      </c>
      <c r="D363" s="56">
        <f>IF($B363=0,"",IF(Inputs!$B$7="","",IF($AE363=0,D362,SUMIFS(Data!$F$10:$F$3209,Data!$E$10:$E$3209,"&gt;="&amp;$A363,Data!$E$10:$E$3209,"&lt;"&amp;$A363+1)/$AE363)))</f>
        <v/>
      </c>
      <c r="E363" s="56">
        <f>IF($B363=0,"",IF(Inputs!$B$8="","",IF($AF363=0,E362,SUMIFS(Data!$J$10:$J$3209,Data!$I$10:$I$3209,"&gt;="&amp;$A363,Data!$I$10:$I$3209,"&lt;"&amp;$A363+1)/$AF363)))</f>
        <v/>
      </c>
      <c r="F363" s="56">
        <f>IF($B363=0,"",IF(Inputs!$B$9="","",IF($AG363=0,F362,SUMIFS(Data!$N$10:$N$3209,Data!$M$10:$M$3209,"&gt;="&amp;$A363,Data!$M$10:$M$3209,"&lt;"&amp;$A363+1)/$AG363)))</f>
        <v/>
      </c>
      <c r="G363" s="56">
        <f>IF($B363=0,"",IF(Inputs!$B$10="","",IF($AH363=0,G362,SUMIFS(Data!$R$10:$R$3209,Data!$Q$10:$Q$3209,"&gt;="&amp;$A363,Data!$Q$10:$Q$3209,"&lt;"&amp;$A363+1)/$AH363)))</f>
        <v/>
      </c>
      <c r="I363" s="54">
        <f>IF($B363=0,NA(),IF($C363="",NA(),IF(C$8="",NA(),IF(N(C$8)=0,NA(),IF(Inputs!$C$17="Rebased to 100",$C363/C$8*100,$C363)))))</f>
        <v/>
      </c>
      <c r="J363" s="54">
        <f>IF($B363=0,NA(),IF($D363="",NA(),IF(D$8="",NA(),IF(N(D$8)=0,NA(),IF(Inputs!$C$17="Rebased to 100",$D363/D$8*100,$D363)))))</f>
        <v/>
      </c>
      <c r="K363" s="54">
        <f>IF($B363=0,NA(),IF($E363="",NA(),IF(E$8="",NA(),IF(N(E$8)=0,NA(),IF(Inputs!$C$17="Rebased to 100",$E363/E$8*100,$E363)))))</f>
        <v/>
      </c>
      <c r="L363" s="54">
        <f>IF($B363=0,NA(),IF($F363="",NA(),IF(F$8="",NA(),IF(N(F$8)=0,NA(),IF(Inputs!$C$17="Rebased to 100",$F363/F$8*100,$F363)))))</f>
        <v/>
      </c>
      <c r="M363" s="54">
        <f>IF($B363=0,NA(),IF($G363="",NA(),IF(G$8="",NA(),IF(N(G$8)=0,NA(),IF(Inputs!$C$17="Rebased to 100",$G363/G$8*100,$G363)))))</f>
        <v/>
      </c>
      <c r="N363" s="54">
        <f>IF($B363=0,NA(),IF(Inputs!$C$18&lt;&gt;"Yes",NA(),IF(COUNT(I363,J363,K363,L363,M363)=0,NA(),MIN(I363,J363,K363,L363,M363))))</f>
        <v/>
      </c>
      <c r="O363" s="54">
        <f>IF($B363=0,NA(),IF(Inputs!$B$24&lt;&gt;"Yes",NA(),Inputs!$D$24*Inputs!$C$35))</f>
        <v/>
      </c>
      <c r="P363" s="54">
        <f>IF($B363=0,NA(),IF(Inputs!$B$25&lt;&gt;"Yes",NA(),Inputs!$D$25*Inputs!$C$35))</f>
        <v/>
      </c>
      <c r="Q363" s="54">
        <f>IF($B363=0,NA(),IF(Inputs!$B$26&lt;&gt;"Yes",NA(),Inputs!$D$26*Inputs!$C$35))</f>
        <v/>
      </c>
      <c r="R363" s="54">
        <f>IF($B363=0,NA(),IF(Inputs!$B$27&lt;&gt;"Yes",NA(),Inputs!$D$27*Inputs!$C$35))</f>
        <v/>
      </c>
      <c r="S363" s="54">
        <f>IF($B363=0,NA(),IF(Inputs!$B$28&lt;&gt;"Yes",NA(),Inputs!$D$28*Inputs!$C$35))</f>
        <v/>
      </c>
      <c r="T363" s="54">
        <f>IF($B363=0,NA(),IF(Inputs!$B$29&lt;&gt;"Yes",NA(),Inputs!$D$29*Inputs!$C$35))</f>
        <v/>
      </c>
      <c r="AD363">
        <f>IF($B363=0,0,IF(Inputs!$B$6="",0,COUNTIFS(Data!$A$10:$A$3209,"&gt;="&amp;$A363,Data!$A$10:$A$3209,"&lt;"&amp;$A363+1)))</f>
        <v/>
      </c>
      <c r="AE363">
        <f>IF($B363=0,0,IF(Inputs!$B$7="",0,COUNTIFS(Data!$E$10:$E$3209,"&gt;="&amp;$A363,Data!$E$10:$E$3209,"&lt;"&amp;$A363+1)))</f>
        <v/>
      </c>
      <c r="AF363">
        <f>IF($B363=0,0,IF(Inputs!$B$8="",0,COUNTIFS(Data!$I$10:$I$3209,"&gt;="&amp;$A363,Data!$I$10:$I$3209,"&lt;"&amp;$A363+1)))</f>
        <v/>
      </c>
      <c r="AG363">
        <f>IF($B363=0,0,IF(Inputs!$B$9="",0,COUNTIFS(Data!$M$10:$M$3209,"&gt;="&amp;$A363,Data!$M$10:$M$3209,"&lt;"&amp;$A363+1)))</f>
        <v/>
      </c>
      <c r="AH363">
        <f>IF($B363=0,0,IF(Inputs!$B$10="",0,COUNTIFS(Data!$Q$10:$Q$3209,"&gt;="&amp;$A363,Data!$Q$10:$Q$3209,"&lt;"&amp;$A363+1)))</f>
        <v/>
      </c>
    </row>
    <row r="364">
      <c r="A364" s="55">
        <f>MIN(Inputs!$C$15,$A363+IF(WEEKDAY($A363,2)=5,3,1))</f>
        <v/>
      </c>
      <c r="B364">
        <f>IF($A364&gt;$A363,1,0)</f>
        <v/>
      </c>
      <c r="C364" s="56">
        <f>IF($B364=0,"",IF(Inputs!$B$6="","",IF($AD364=0,C363,SUMIFS(Data!$B$10:$B$3209,Data!$A$10:$A$3209,"&gt;="&amp;$A364,Data!$A$10:$A$3209,"&lt;"&amp;$A364+1)/$AD364)))</f>
        <v/>
      </c>
      <c r="D364" s="56">
        <f>IF($B364=0,"",IF(Inputs!$B$7="","",IF($AE364=0,D363,SUMIFS(Data!$F$10:$F$3209,Data!$E$10:$E$3209,"&gt;="&amp;$A364,Data!$E$10:$E$3209,"&lt;"&amp;$A364+1)/$AE364)))</f>
        <v/>
      </c>
      <c r="E364" s="56">
        <f>IF($B364=0,"",IF(Inputs!$B$8="","",IF($AF364=0,E363,SUMIFS(Data!$J$10:$J$3209,Data!$I$10:$I$3209,"&gt;="&amp;$A364,Data!$I$10:$I$3209,"&lt;"&amp;$A364+1)/$AF364)))</f>
        <v/>
      </c>
      <c r="F364" s="56">
        <f>IF($B364=0,"",IF(Inputs!$B$9="","",IF($AG364=0,F363,SUMIFS(Data!$N$10:$N$3209,Data!$M$10:$M$3209,"&gt;="&amp;$A364,Data!$M$10:$M$3209,"&lt;"&amp;$A364+1)/$AG364)))</f>
        <v/>
      </c>
      <c r="G364" s="56">
        <f>IF($B364=0,"",IF(Inputs!$B$10="","",IF($AH364=0,G363,SUMIFS(Data!$R$10:$R$3209,Data!$Q$10:$Q$3209,"&gt;="&amp;$A364,Data!$Q$10:$Q$3209,"&lt;"&amp;$A364+1)/$AH364)))</f>
        <v/>
      </c>
      <c r="I364" s="54">
        <f>IF($B364=0,NA(),IF($C364="",NA(),IF(C$8="",NA(),IF(N(C$8)=0,NA(),IF(Inputs!$C$17="Rebased to 100",$C364/C$8*100,$C364)))))</f>
        <v/>
      </c>
      <c r="J364" s="54">
        <f>IF($B364=0,NA(),IF($D364="",NA(),IF(D$8="",NA(),IF(N(D$8)=0,NA(),IF(Inputs!$C$17="Rebased to 100",$D364/D$8*100,$D364)))))</f>
        <v/>
      </c>
      <c r="K364" s="54">
        <f>IF($B364=0,NA(),IF($E364="",NA(),IF(E$8="",NA(),IF(N(E$8)=0,NA(),IF(Inputs!$C$17="Rebased to 100",$E364/E$8*100,$E364)))))</f>
        <v/>
      </c>
      <c r="L364" s="54">
        <f>IF($B364=0,NA(),IF($F364="",NA(),IF(F$8="",NA(),IF(N(F$8)=0,NA(),IF(Inputs!$C$17="Rebased to 100",$F364/F$8*100,$F364)))))</f>
        <v/>
      </c>
      <c r="M364" s="54">
        <f>IF($B364=0,NA(),IF($G364="",NA(),IF(G$8="",NA(),IF(N(G$8)=0,NA(),IF(Inputs!$C$17="Rebased to 100",$G364/G$8*100,$G364)))))</f>
        <v/>
      </c>
      <c r="N364" s="54">
        <f>IF($B364=0,NA(),IF(Inputs!$C$18&lt;&gt;"Yes",NA(),IF(COUNT(I364,J364,K364,L364,M364)=0,NA(),MIN(I364,J364,K364,L364,M364))))</f>
        <v/>
      </c>
      <c r="O364" s="54">
        <f>IF($B364=0,NA(),IF(Inputs!$B$24&lt;&gt;"Yes",NA(),Inputs!$D$24*Inputs!$C$35))</f>
        <v/>
      </c>
      <c r="P364" s="54">
        <f>IF($B364=0,NA(),IF(Inputs!$B$25&lt;&gt;"Yes",NA(),Inputs!$D$25*Inputs!$C$35))</f>
        <v/>
      </c>
      <c r="Q364" s="54">
        <f>IF($B364=0,NA(),IF(Inputs!$B$26&lt;&gt;"Yes",NA(),Inputs!$D$26*Inputs!$C$35))</f>
        <v/>
      </c>
      <c r="R364" s="54">
        <f>IF($B364=0,NA(),IF(Inputs!$B$27&lt;&gt;"Yes",NA(),Inputs!$D$27*Inputs!$C$35))</f>
        <v/>
      </c>
      <c r="S364" s="54">
        <f>IF($B364=0,NA(),IF(Inputs!$B$28&lt;&gt;"Yes",NA(),Inputs!$D$28*Inputs!$C$35))</f>
        <v/>
      </c>
      <c r="T364" s="54">
        <f>IF($B364=0,NA(),IF(Inputs!$B$29&lt;&gt;"Yes",NA(),Inputs!$D$29*Inputs!$C$35))</f>
        <v/>
      </c>
      <c r="AD364">
        <f>IF($B364=0,0,IF(Inputs!$B$6="",0,COUNTIFS(Data!$A$10:$A$3209,"&gt;="&amp;$A364,Data!$A$10:$A$3209,"&lt;"&amp;$A364+1)))</f>
        <v/>
      </c>
      <c r="AE364">
        <f>IF($B364=0,0,IF(Inputs!$B$7="",0,COUNTIFS(Data!$E$10:$E$3209,"&gt;="&amp;$A364,Data!$E$10:$E$3209,"&lt;"&amp;$A364+1)))</f>
        <v/>
      </c>
      <c r="AF364">
        <f>IF($B364=0,0,IF(Inputs!$B$8="",0,COUNTIFS(Data!$I$10:$I$3209,"&gt;="&amp;$A364,Data!$I$10:$I$3209,"&lt;"&amp;$A364+1)))</f>
        <v/>
      </c>
      <c r="AG364">
        <f>IF($B364=0,0,IF(Inputs!$B$9="",0,COUNTIFS(Data!$M$10:$M$3209,"&gt;="&amp;$A364,Data!$M$10:$M$3209,"&lt;"&amp;$A364+1)))</f>
        <v/>
      </c>
      <c r="AH364">
        <f>IF($B364=0,0,IF(Inputs!$B$10="",0,COUNTIFS(Data!$Q$10:$Q$3209,"&gt;="&amp;$A364,Data!$Q$10:$Q$3209,"&lt;"&amp;$A364+1)))</f>
        <v/>
      </c>
    </row>
    <row r="365">
      <c r="A365" s="55">
        <f>MIN(Inputs!$C$15,$A364+IF(WEEKDAY($A364,2)=5,3,1))</f>
        <v/>
      </c>
      <c r="B365">
        <f>IF($A365&gt;$A364,1,0)</f>
        <v/>
      </c>
      <c r="C365" s="56">
        <f>IF($B365=0,"",IF(Inputs!$B$6="","",IF($AD365=0,C364,SUMIFS(Data!$B$10:$B$3209,Data!$A$10:$A$3209,"&gt;="&amp;$A365,Data!$A$10:$A$3209,"&lt;"&amp;$A365+1)/$AD365)))</f>
        <v/>
      </c>
      <c r="D365" s="56">
        <f>IF($B365=0,"",IF(Inputs!$B$7="","",IF($AE365=0,D364,SUMIFS(Data!$F$10:$F$3209,Data!$E$10:$E$3209,"&gt;="&amp;$A365,Data!$E$10:$E$3209,"&lt;"&amp;$A365+1)/$AE365)))</f>
        <v/>
      </c>
      <c r="E365" s="56">
        <f>IF($B365=0,"",IF(Inputs!$B$8="","",IF($AF365=0,E364,SUMIFS(Data!$J$10:$J$3209,Data!$I$10:$I$3209,"&gt;="&amp;$A365,Data!$I$10:$I$3209,"&lt;"&amp;$A365+1)/$AF365)))</f>
        <v/>
      </c>
      <c r="F365" s="56">
        <f>IF($B365=0,"",IF(Inputs!$B$9="","",IF($AG365=0,F364,SUMIFS(Data!$N$10:$N$3209,Data!$M$10:$M$3209,"&gt;="&amp;$A365,Data!$M$10:$M$3209,"&lt;"&amp;$A365+1)/$AG365)))</f>
        <v/>
      </c>
      <c r="G365" s="56">
        <f>IF($B365=0,"",IF(Inputs!$B$10="","",IF($AH365=0,G364,SUMIFS(Data!$R$10:$R$3209,Data!$Q$10:$Q$3209,"&gt;="&amp;$A365,Data!$Q$10:$Q$3209,"&lt;"&amp;$A365+1)/$AH365)))</f>
        <v/>
      </c>
      <c r="I365" s="54">
        <f>IF($B365=0,NA(),IF($C365="",NA(),IF(C$8="",NA(),IF(N(C$8)=0,NA(),IF(Inputs!$C$17="Rebased to 100",$C365/C$8*100,$C365)))))</f>
        <v/>
      </c>
      <c r="J365" s="54">
        <f>IF($B365=0,NA(),IF($D365="",NA(),IF(D$8="",NA(),IF(N(D$8)=0,NA(),IF(Inputs!$C$17="Rebased to 100",$D365/D$8*100,$D365)))))</f>
        <v/>
      </c>
      <c r="K365" s="54">
        <f>IF($B365=0,NA(),IF($E365="",NA(),IF(E$8="",NA(),IF(N(E$8)=0,NA(),IF(Inputs!$C$17="Rebased to 100",$E365/E$8*100,$E365)))))</f>
        <v/>
      </c>
      <c r="L365" s="54">
        <f>IF($B365=0,NA(),IF($F365="",NA(),IF(F$8="",NA(),IF(N(F$8)=0,NA(),IF(Inputs!$C$17="Rebased to 100",$F365/F$8*100,$F365)))))</f>
        <v/>
      </c>
      <c r="M365" s="54">
        <f>IF($B365=0,NA(),IF($G365="",NA(),IF(G$8="",NA(),IF(N(G$8)=0,NA(),IF(Inputs!$C$17="Rebased to 100",$G365/G$8*100,$G365)))))</f>
        <v/>
      </c>
      <c r="N365" s="54">
        <f>IF($B365=0,NA(),IF(Inputs!$C$18&lt;&gt;"Yes",NA(),IF(COUNT(I365,J365,K365,L365,M365)=0,NA(),MIN(I365,J365,K365,L365,M365))))</f>
        <v/>
      </c>
      <c r="O365" s="54">
        <f>IF($B365=0,NA(),IF(Inputs!$B$24&lt;&gt;"Yes",NA(),Inputs!$D$24*Inputs!$C$35))</f>
        <v/>
      </c>
      <c r="P365" s="54">
        <f>IF($B365=0,NA(),IF(Inputs!$B$25&lt;&gt;"Yes",NA(),Inputs!$D$25*Inputs!$C$35))</f>
        <v/>
      </c>
      <c r="Q365" s="54">
        <f>IF($B365=0,NA(),IF(Inputs!$B$26&lt;&gt;"Yes",NA(),Inputs!$D$26*Inputs!$C$35))</f>
        <v/>
      </c>
      <c r="R365" s="54">
        <f>IF($B365=0,NA(),IF(Inputs!$B$27&lt;&gt;"Yes",NA(),Inputs!$D$27*Inputs!$C$35))</f>
        <v/>
      </c>
      <c r="S365" s="54">
        <f>IF($B365=0,NA(),IF(Inputs!$B$28&lt;&gt;"Yes",NA(),Inputs!$D$28*Inputs!$C$35))</f>
        <v/>
      </c>
      <c r="T365" s="54">
        <f>IF($B365=0,NA(),IF(Inputs!$B$29&lt;&gt;"Yes",NA(),Inputs!$D$29*Inputs!$C$35))</f>
        <v/>
      </c>
      <c r="AD365">
        <f>IF($B365=0,0,IF(Inputs!$B$6="",0,COUNTIFS(Data!$A$10:$A$3209,"&gt;="&amp;$A365,Data!$A$10:$A$3209,"&lt;"&amp;$A365+1)))</f>
        <v/>
      </c>
      <c r="AE365">
        <f>IF($B365=0,0,IF(Inputs!$B$7="",0,COUNTIFS(Data!$E$10:$E$3209,"&gt;="&amp;$A365,Data!$E$10:$E$3209,"&lt;"&amp;$A365+1)))</f>
        <v/>
      </c>
      <c r="AF365">
        <f>IF($B365=0,0,IF(Inputs!$B$8="",0,COUNTIFS(Data!$I$10:$I$3209,"&gt;="&amp;$A365,Data!$I$10:$I$3209,"&lt;"&amp;$A365+1)))</f>
        <v/>
      </c>
      <c r="AG365">
        <f>IF($B365=0,0,IF(Inputs!$B$9="",0,COUNTIFS(Data!$M$10:$M$3209,"&gt;="&amp;$A365,Data!$M$10:$M$3209,"&lt;"&amp;$A365+1)))</f>
        <v/>
      </c>
      <c r="AH365">
        <f>IF($B365=0,0,IF(Inputs!$B$10="",0,COUNTIFS(Data!$Q$10:$Q$3209,"&gt;="&amp;$A365,Data!$Q$10:$Q$3209,"&lt;"&amp;$A365+1)))</f>
        <v/>
      </c>
    </row>
    <row r="366">
      <c r="A366" s="55">
        <f>MIN(Inputs!$C$15,$A365+IF(WEEKDAY($A365,2)=5,3,1))</f>
        <v/>
      </c>
      <c r="B366">
        <f>IF($A366&gt;$A365,1,0)</f>
        <v/>
      </c>
      <c r="C366" s="56">
        <f>IF($B366=0,"",IF(Inputs!$B$6="","",IF($AD366=0,C365,SUMIFS(Data!$B$10:$B$3209,Data!$A$10:$A$3209,"&gt;="&amp;$A366,Data!$A$10:$A$3209,"&lt;"&amp;$A366+1)/$AD366)))</f>
        <v/>
      </c>
      <c r="D366" s="56">
        <f>IF($B366=0,"",IF(Inputs!$B$7="","",IF($AE366=0,D365,SUMIFS(Data!$F$10:$F$3209,Data!$E$10:$E$3209,"&gt;="&amp;$A366,Data!$E$10:$E$3209,"&lt;"&amp;$A366+1)/$AE366)))</f>
        <v/>
      </c>
      <c r="E366" s="56">
        <f>IF($B366=0,"",IF(Inputs!$B$8="","",IF($AF366=0,E365,SUMIFS(Data!$J$10:$J$3209,Data!$I$10:$I$3209,"&gt;="&amp;$A366,Data!$I$10:$I$3209,"&lt;"&amp;$A366+1)/$AF366)))</f>
        <v/>
      </c>
      <c r="F366" s="56">
        <f>IF($B366=0,"",IF(Inputs!$B$9="","",IF($AG366=0,F365,SUMIFS(Data!$N$10:$N$3209,Data!$M$10:$M$3209,"&gt;="&amp;$A366,Data!$M$10:$M$3209,"&lt;"&amp;$A366+1)/$AG366)))</f>
        <v/>
      </c>
      <c r="G366" s="56">
        <f>IF($B366=0,"",IF(Inputs!$B$10="","",IF($AH366=0,G365,SUMIFS(Data!$R$10:$R$3209,Data!$Q$10:$Q$3209,"&gt;="&amp;$A366,Data!$Q$10:$Q$3209,"&lt;"&amp;$A366+1)/$AH366)))</f>
        <v/>
      </c>
      <c r="I366" s="54">
        <f>IF($B366=0,NA(),IF($C366="",NA(),IF(C$8="",NA(),IF(N(C$8)=0,NA(),IF(Inputs!$C$17="Rebased to 100",$C366/C$8*100,$C366)))))</f>
        <v/>
      </c>
      <c r="J366" s="54">
        <f>IF($B366=0,NA(),IF($D366="",NA(),IF(D$8="",NA(),IF(N(D$8)=0,NA(),IF(Inputs!$C$17="Rebased to 100",$D366/D$8*100,$D366)))))</f>
        <v/>
      </c>
      <c r="K366" s="54">
        <f>IF($B366=0,NA(),IF($E366="",NA(),IF(E$8="",NA(),IF(N(E$8)=0,NA(),IF(Inputs!$C$17="Rebased to 100",$E366/E$8*100,$E366)))))</f>
        <v/>
      </c>
      <c r="L366" s="54">
        <f>IF($B366=0,NA(),IF($F366="",NA(),IF(F$8="",NA(),IF(N(F$8)=0,NA(),IF(Inputs!$C$17="Rebased to 100",$F366/F$8*100,$F366)))))</f>
        <v/>
      </c>
      <c r="M366" s="54">
        <f>IF($B366=0,NA(),IF($G366="",NA(),IF(G$8="",NA(),IF(N(G$8)=0,NA(),IF(Inputs!$C$17="Rebased to 100",$G366/G$8*100,$G366)))))</f>
        <v/>
      </c>
      <c r="N366" s="54">
        <f>IF($B366=0,NA(),IF(Inputs!$C$18&lt;&gt;"Yes",NA(),IF(COUNT(I366,J366,K366,L366,M366)=0,NA(),MIN(I366,J366,K366,L366,M366))))</f>
        <v/>
      </c>
      <c r="O366" s="54">
        <f>IF($B366=0,NA(),IF(Inputs!$B$24&lt;&gt;"Yes",NA(),Inputs!$D$24*Inputs!$C$35))</f>
        <v/>
      </c>
      <c r="P366" s="54">
        <f>IF($B366=0,NA(),IF(Inputs!$B$25&lt;&gt;"Yes",NA(),Inputs!$D$25*Inputs!$C$35))</f>
        <v/>
      </c>
      <c r="Q366" s="54">
        <f>IF($B366=0,NA(),IF(Inputs!$B$26&lt;&gt;"Yes",NA(),Inputs!$D$26*Inputs!$C$35))</f>
        <v/>
      </c>
      <c r="R366" s="54">
        <f>IF($B366=0,NA(),IF(Inputs!$B$27&lt;&gt;"Yes",NA(),Inputs!$D$27*Inputs!$C$35))</f>
        <v/>
      </c>
      <c r="S366" s="54">
        <f>IF($B366=0,NA(),IF(Inputs!$B$28&lt;&gt;"Yes",NA(),Inputs!$D$28*Inputs!$C$35))</f>
        <v/>
      </c>
      <c r="T366" s="54">
        <f>IF($B366=0,NA(),IF(Inputs!$B$29&lt;&gt;"Yes",NA(),Inputs!$D$29*Inputs!$C$35))</f>
        <v/>
      </c>
      <c r="AD366">
        <f>IF($B366=0,0,IF(Inputs!$B$6="",0,COUNTIFS(Data!$A$10:$A$3209,"&gt;="&amp;$A366,Data!$A$10:$A$3209,"&lt;"&amp;$A366+1)))</f>
        <v/>
      </c>
      <c r="AE366">
        <f>IF($B366=0,0,IF(Inputs!$B$7="",0,COUNTIFS(Data!$E$10:$E$3209,"&gt;="&amp;$A366,Data!$E$10:$E$3209,"&lt;"&amp;$A366+1)))</f>
        <v/>
      </c>
      <c r="AF366">
        <f>IF($B366=0,0,IF(Inputs!$B$8="",0,COUNTIFS(Data!$I$10:$I$3209,"&gt;="&amp;$A366,Data!$I$10:$I$3209,"&lt;"&amp;$A366+1)))</f>
        <v/>
      </c>
      <c r="AG366">
        <f>IF($B366=0,0,IF(Inputs!$B$9="",0,COUNTIFS(Data!$M$10:$M$3209,"&gt;="&amp;$A366,Data!$M$10:$M$3209,"&lt;"&amp;$A366+1)))</f>
        <v/>
      </c>
      <c r="AH366">
        <f>IF($B366=0,0,IF(Inputs!$B$10="",0,COUNTIFS(Data!$Q$10:$Q$3209,"&gt;="&amp;$A366,Data!$Q$10:$Q$3209,"&lt;"&amp;$A366+1)))</f>
        <v/>
      </c>
    </row>
    <row r="367">
      <c r="A367" s="55">
        <f>MIN(Inputs!$C$15,$A366+IF(WEEKDAY($A366,2)=5,3,1))</f>
        <v/>
      </c>
      <c r="B367">
        <f>IF($A367&gt;$A366,1,0)</f>
        <v/>
      </c>
      <c r="C367" s="56">
        <f>IF($B367=0,"",IF(Inputs!$B$6="","",IF($AD367=0,C366,SUMIFS(Data!$B$10:$B$3209,Data!$A$10:$A$3209,"&gt;="&amp;$A367,Data!$A$10:$A$3209,"&lt;"&amp;$A367+1)/$AD367)))</f>
        <v/>
      </c>
      <c r="D367" s="56">
        <f>IF($B367=0,"",IF(Inputs!$B$7="","",IF($AE367=0,D366,SUMIFS(Data!$F$10:$F$3209,Data!$E$10:$E$3209,"&gt;="&amp;$A367,Data!$E$10:$E$3209,"&lt;"&amp;$A367+1)/$AE367)))</f>
        <v/>
      </c>
      <c r="E367" s="56">
        <f>IF($B367=0,"",IF(Inputs!$B$8="","",IF($AF367=0,E366,SUMIFS(Data!$J$10:$J$3209,Data!$I$10:$I$3209,"&gt;="&amp;$A367,Data!$I$10:$I$3209,"&lt;"&amp;$A367+1)/$AF367)))</f>
        <v/>
      </c>
      <c r="F367" s="56">
        <f>IF($B367=0,"",IF(Inputs!$B$9="","",IF($AG367=0,F366,SUMIFS(Data!$N$10:$N$3209,Data!$M$10:$M$3209,"&gt;="&amp;$A367,Data!$M$10:$M$3209,"&lt;"&amp;$A367+1)/$AG367)))</f>
        <v/>
      </c>
      <c r="G367" s="56">
        <f>IF($B367=0,"",IF(Inputs!$B$10="","",IF($AH367=0,G366,SUMIFS(Data!$R$10:$R$3209,Data!$Q$10:$Q$3209,"&gt;="&amp;$A367,Data!$Q$10:$Q$3209,"&lt;"&amp;$A367+1)/$AH367)))</f>
        <v/>
      </c>
      <c r="I367" s="54">
        <f>IF($B367=0,NA(),IF($C367="",NA(),IF(C$8="",NA(),IF(N(C$8)=0,NA(),IF(Inputs!$C$17="Rebased to 100",$C367/C$8*100,$C367)))))</f>
        <v/>
      </c>
      <c r="J367" s="54">
        <f>IF($B367=0,NA(),IF($D367="",NA(),IF(D$8="",NA(),IF(N(D$8)=0,NA(),IF(Inputs!$C$17="Rebased to 100",$D367/D$8*100,$D367)))))</f>
        <v/>
      </c>
      <c r="K367" s="54">
        <f>IF($B367=0,NA(),IF($E367="",NA(),IF(E$8="",NA(),IF(N(E$8)=0,NA(),IF(Inputs!$C$17="Rebased to 100",$E367/E$8*100,$E367)))))</f>
        <v/>
      </c>
      <c r="L367" s="54">
        <f>IF($B367=0,NA(),IF($F367="",NA(),IF(F$8="",NA(),IF(N(F$8)=0,NA(),IF(Inputs!$C$17="Rebased to 100",$F367/F$8*100,$F367)))))</f>
        <v/>
      </c>
      <c r="M367" s="54">
        <f>IF($B367=0,NA(),IF($G367="",NA(),IF(G$8="",NA(),IF(N(G$8)=0,NA(),IF(Inputs!$C$17="Rebased to 100",$G367/G$8*100,$G367)))))</f>
        <v/>
      </c>
      <c r="N367" s="54">
        <f>IF($B367=0,NA(),IF(Inputs!$C$18&lt;&gt;"Yes",NA(),IF(COUNT(I367,J367,K367,L367,M367)=0,NA(),MIN(I367,J367,K367,L367,M367))))</f>
        <v/>
      </c>
      <c r="O367" s="54">
        <f>IF($B367=0,NA(),IF(Inputs!$B$24&lt;&gt;"Yes",NA(),Inputs!$D$24*Inputs!$C$35))</f>
        <v/>
      </c>
      <c r="P367" s="54">
        <f>IF($B367=0,NA(),IF(Inputs!$B$25&lt;&gt;"Yes",NA(),Inputs!$D$25*Inputs!$C$35))</f>
        <v/>
      </c>
      <c r="Q367" s="54">
        <f>IF($B367=0,NA(),IF(Inputs!$B$26&lt;&gt;"Yes",NA(),Inputs!$D$26*Inputs!$C$35))</f>
        <v/>
      </c>
      <c r="R367" s="54">
        <f>IF($B367=0,NA(),IF(Inputs!$B$27&lt;&gt;"Yes",NA(),Inputs!$D$27*Inputs!$C$35))</f>
        <v/>
      </c>
      <c r="S367" s="54">
        <f>IF($B367=0,NA(),IF(Inputs!$B$28&lt;&gt;"Yes",NA(),Inputs!$D$28*Inputs!$C$35))</f>
        <v/>
      </c>
      <c r="T367" s="54">
        <f>IF($B367=0,NA(),IF(Inputs!$B$29&lt;&gt;"Yes",NA(),Inputs!$D$29*Inputs!$C$35))</f>
        <v/>
      </c>
      <c r="AD367">
        <f>IF($B367=0,0,IF(Inputs!$B$6="",0,COUNTIFS(Data!$A$10:$A$3209,"&gt;="&amp;$A367,Data!$A$10:$A$3209,"&lt;"&amp;$A367+1)))</f>
        <v/>
      </c>
      <c r="AE367">
        <f>IF($B367=0,0,IF(Inputs!$B$7="",0,COUNTIFS(Data!$E$10:$E$3209,"&gt;="&amp;$A367,Data!$E$10:$E$3209,"&lt;"&amp;$A367+1)))</f>
        <v/>
      </c>
      <c r="AF367">
        <f>IF($B367=0,0,IF(Inputs!$B$8="",0,COUNTIFS(Data!$I$10:$I$3209,"&gt;="&amp;$A367,Data!$I$10:$I$3209,"&lt;"&amp;$A367+1)))</f>
        <v/>
      </c>
      <c r="AG367">
        <f>IF($B367=0,0,IF(Inputs!$B$9="",0,COUNTIFS(Data!$M$10:$M$3209,"&gt;="&amp;$A367,Data!$M$10:$M$3209,"&lt;"&amp;$A367+1)))</f>
        <v/>
      </c>
      <c r="AH367">
        <f>IF($B367=0,0,IF(Inputs!$B$10="",0,COUNTIFS(Data!$Q$10:$Q$3209,"&gt;="&amp;$A367,Data!$Q$10:$Q$3209,"&lt;"&amp;$A367+1)))</f>
        <v/>
      </c>
    </row>
    <row r="368">
      <c r="A368" s="55">
        <f>MIN(Inputs!$C$15,$A367+IF(WEEKDAY($A367,2)=5,3,1))</f>
        <v/>
      </c>
      <c r="B368">
        <f>IF($A368&gt;$A367,1,0)</f>
        <v/>
      </c>
      <c r="C368" s="56">
        <f>IF($B368=0,"",IF(Inputs!$B$6="","",IF($AD368=0,C367,SUMIFS(Data!$B$10:$B$3209,Data!$A$10:$A$3209,"&gt;="&amp;$A368,Data!$A$10:$A$3209,"&lt;"&amp;$A368+1)/$AD368)))</f>
        <v/>
      </c>
      <c r="D368" s="56">
        <f>IF($B368=0,"",IF(Inputs!$B$7="","",IF($AE368=0,D367,SUMIFS(Data!$F$10:$F$3209,Data!$E$10:$E$3209,"&gt;="&amp;$A368,Data!$E$10:$E$3209,"&lt;"&amp;$A368+1)/$AE368)))</f>
        <v/>
      </c>
      <c r="E368" s="56">
        <f>IF($B368=0,"",IF(Inputs!$B$8="","",IF($AF368=0,E367,SUMIFS(Data!$J$10:$J$3209,Data!$I$10:$I$3209,"&gt;="&amp;$A368,Data!$I$10:$I$3209,"&lt;"&amp;$A368+1)/$AF368)))</f>
        <v/>
      </c>
      <c r="F368" s="56">
        <f>IF($B368=0,"",IF(Inputs!$B$9="","",IF($AG368=0,F367,SUMIFS(Data!$N$10:$N$3209,Data!$M$10:$M$3209,"&gt;="&amp;$A368,Data!$M$10:$M$3209,"&lt;"&amp;$A368+1)/$AG368)))</f>
        <v/>
      </c>
      <c r="G368" s="56">
        <f>IF($B368=0,"",IF(Inputs!$B$10="","",IF($AH368=0,G367,SUMIFS(Data!$R$10:$R$3209,Data!$Q$10:$Q$3209,"&gt;="&amp;$A368,Data!$Q$10:$Q$3209,"&lt;"&amp;$A368+1)/$AH368)))</f>
        <v/>
      </c>
      <c r="I368" s="54">
        <f>IF($B368=0,NA(),IF($C368="",NA(),IF(C$8="",NA(),IF(N(C$8)=0,NA(),IF(Inputs!$C$17="Rebased to 100",$C368/C$8*100,$C368)))))</f>
        <v/>
      </c>
      <c r="J368" s="54">
        <f>IF($B368=0,NA(),IF($D368="",NA(),IF(D$8="",NA(),IF(N(D$8)=0,NA(),IF(Inputs!$C$17="Rebased to 100",$D368/D$8*100,$D368)))))</f>
        <v/>
      </c>
      <c r="K368" s="54">
        <f>IF($B368=0,NA(),IF($E368="",NA(),IF(E$8="",NA(),IF(N(E$8)=0,NA(),IF(Inputs!$C$17="Rebased to 100",$E368/E$8*100,$E368)))))</f>
        <v/>
      </c>
      <c r="L368" s="54">
        <f>IF($B368=0,NA(),IF($F368="",NA(),IF(F$8="",NA(),IF(N(F$8)=0,NA(),IF(Inputs!$C$17="Rebased to 100",$F368/F$8*100,$F368)))))</f>
        <v/>
      </c>
      <c r="M368" s="54">
        <f>IF($B368=0,NA(),IF($G368="",NA(),IF(G$8="",NA(),IF(N(G$8)=0,NA(),IF(Inputs!$C$17="Rebased to 100",$G368/G$8*100,$G368)))))</f>
        <v/>
      </c>
      <c r="N368" s="54">
        <f>IF($B368=0,NA(),IF(Inputs!$C$18&lt;&gt;"Yes",NA(),IF(COUNT(I368,J368,K368,L368,M368)=0,NA(),MIN(I368,J368,K368,L368,M368))))</f>
        <v/>
      </c>
      <c r="O368" s="54">
        <f>IF($B368=0,NA(),IF(Inputs!$B$24&lt;&gt;"Yes",NA(),Inputs!$D$24*Inputs!$C$35))</f>
        <v/>
      </c>
      <c r="P368" s="54">
        <f>IF($B368=0,NA(),IF(Inputs!$B$25&lt;&gt;"Yes",NA(),Inputs!$D$25*Inputs!$C$35))</f>
        <v/>
      </c>
      <c r="Q368" s="54">
        <f>IF($B368=0,NA(),IF(Inputs!$B$26&lt;&gt;"Yes",NA(),Inputs!$D$26*Inputs!$C$35))</f>
        <v/>
      </c>
      <c r="R368" s="54">
        <f>IF($B368=0,NA(),IF(Inputs!$B$27&lt;&gt;"Yes",NA(),Inputs!$D$27*Inputs!$C$35))</f>
        <v/>
      </c>
      <c r="S368" s="54">
        <f>IF($B368=0,NA(),IF(Inputs!$B$28&lt;&gt;"Yes",NA(),Inputs!$D$28*Inputs!$C$35))</f>
        <v/>
      </c>
      <c r="T368" s="54">
        <f>IF($B368=0,NA(),IF(Inputs!$B$29&lt;&gt;"Yes",NA(),Inputs!$D$29*Inputs!$C$35))</f>
        <v/>
      </c>
      <c r="AD368">
        <f>IF($B368=0,0,IF(Inputs!$B$6="",0,COUNTIFS(Data!$A$10:$A$3209,"&gt;="&amp;$A368,Data!$A$10:$A$3209,"&lt;"&amp;$A368+1)))</f>
        <v/>
      </c>
      <c r="AE368">
        <f>IF($B368=0,0,IF(Inputs!$B$7="",0,COUNTIFS(Data!$E$10:$E$3209,"&gt;="&amp;$A368,Data!$E$10:$E$3209,"&lt;"&amp;$A368+1)))</f>
        <v/>
      </c>
      <c r="AF368">
        <f>IF($B368=0,0,IF(Inputs!$B$8="",0,COUNTIFS(Data!$I$10:$I$3209,"&gt;="&amp;$A368,Data!$I$10:$I$3209,"&lt;"&amp;$A368+1)))</f>
        <v/>
      </c>
      <c r="AG368">
        <f>IF($B368=0,0,IF(Inputs!$B$9="",0,COUNTIFS(Data!$M$10:$M$3209,"&gt;="&amp;$A368,Data!$M$10:$M$3209,"&lt;"&amp;$A368+1)))</f>
        <v/>
      </c>
      <c r="AH368">
        <f>IF($B368=0,0,IF(Inputs!$B$10="",0,COUNTIFS(Data!$Q$10:$Q$3209,"&gt;="&amp;$A368,Data!$Q$10:$Q$3209,"&lt;"&amp;$A368+1)))</f>
        <v/>
      </c>
    </row>
    <row r="369">
      <c r="A369" s="55">
        <f>MIN(Inputs!$C$15,$A368+IF(WEEKDAY($A368,2)=5,3,1))</f>
        <v/>
      </c>
      <c r="B369">
        <f>IF($A369&gt;$A368,1,0)</f>
        <v/>
      </c>
      <c r="C369" s="56">
        <f>IF($B369=0,"",IF(Inputs!$B$6="","",IF($AD369=0,C368,SUMIFS(Data!$B$10:$B$3209,Data!$A$10:$A$3209,"&gt;="&amp;$A369,Data!$A$10:$A$3209,"&lt;"&amp;$A369+1)/$AD369)))</f>
        <v/>
      </c>
      <c r="D369" s="56">
        <f>IF($B369=0,"",IF(Inputs!$B$7="","",IF($AE369=0,D368,SUMIFS(Data!$F$10:$F$3209,Data!$E$10:$E$3209,"&gt;="&amp;$A369,Data!$E$10:$E$3209,"&lt;"&amp;$A369+1)/$AE369)))</f>
        <v/>
      </c>
      <c r="E369" s="56">
        <f>IF($B369=0,"",IF(Inputs!$B$8="","",IF($AF369=0,E368,SUMIFS(Data!$J$10:$J$3209,Data!$I$10:$I$3209,"&gt;="&amp;$A369,Data!$I$10:$I$3209,"&lt;"&amp;$A369+1)/$AF369)))</f>
        <v/>
      </c>
      <c r="F369" s="56">
        <f>IF($B369=0,"",IF(Inputs!$B$9="","",IF($AG369=0,F368,SUMIFS(Data!$N$10:$N$3209,Data!$M$10:$M$3209,"&gt;="&amp;$A369,Data!$M$10:$M$3209,"&lt;"&amp;$A369+1)/$AG369)))</f>
        <v/>
      </c>
      <c r="G369" s="56">
        <f>IF($B369=0,"",IF(Inputs!$B$10="","",IF($AH369=0,G368,SUMIFS(Data!$R$10:$R$3209,Data!$Q$10:$Q$3209,"&gt;="&amp;$A369,Data!$Q$10:$Q$3209,"&lt;"&amp;$A369+1)/$AH369)))</f>
        <v/>
      </c>
      <c r="I369" s="54">
        <f>IF($B369=0,NA(),IF($C369="",NA(),IF(C$8="",NA(),IF(N(C$8)=0,NA(),IF(Inputs!$C$17="Rebased to 100",$C369/C$8*100,$C369)))))</f>
        <v/>
      </c>
      <c r="J369" s="54">
        <f>IF($B369=0,NA(),IF($D369="",NA(),IF(D$8="",NA(),IF(N(D$8)=0,NA(),IF(Inputs!$C$17="Rebased to 100",$D369/D$8*100,$D369)))))</f>
        <v/>
      </c>
      <c r="K369" s="54">
        <f>IF($B369=0,NA(),IF($E369="",NA(),IF(E$8="",NA(),IF(N(E$8)=0,NA(),IF(Inputs!$C$17="Rebased to 100",$E369/E$8*100,$E369)))))</f>
        <v/>
      </c>
      <c r="L369" s="54">
        <f>IF($B369=0,NA(),IF($F369="",NA(),IF(F$8="",NA(),IF(N(F$8)=0,NA(),IF(Inputs!$C$17="Rebased to 100",$F369/F$8*100,$F369)))))</f>
        <v/>
      </c>
      <c r="M369" s="54">
        <f>IF($B369=0,NA(),IF($G369="",NA(),IF(G$8="",NA(),IF(N(G$8)=0,NA(),IF(Inputs!$C$17="Rebased to 100",$G369/G$8*100,$G369)))))</f>
        <v/>
      </c>
      <c r="N369" s="54">
        <f>IF($B369=0,NA(),IF(Inputs!$C$18&lt;&gt;"Yes",NA(),IF(COUNT(I369,J369,K369,L369,M369)=0,NA(),MIN(I369,J369,K369,L369,M369))))</f>
        <v/>
      </c>
      <c r="O369" s="54">
        <f>IF($B369=0,NA(),IF(Inputs!$B$24&lt;&gt;"Yes",NA(),Inputs!$D$24*Inputs!$C$35))</f>
        <v/>
      </c>
      <c r="P369" s="54">
        <f>IF($B369=0,NA(),IF(Inputs!$B$25&lt;&gt;"Yes",NA(),Inputs!$D$25*Inputs!$C$35))</f>
        <v/>
      </c>
      <c r="Q369" s="54">
        <f>IF($B369=0,NA(),IF(Inputs!$B$26&lt;&gt;"Yes",NA(),Inputs!$D$26*Inputs!$C$35))</f>
        <v/>
      </c>
      <c r="R369" s="54">
        <f>IF($B369=0,NA(),IF(Inputs!$B$27&lt;&gt;"Yes",NA(),Inputs!$D$27*Inputs!$C$35))</f>
        <v/>
      </c>
      <c r="S369" s="54">
        <f>IF($B369=0,NA(),IF(Inputs!$B$28&lt;&gt;"Yes",NA(),Inputs!$D$28*Inputs!$C$35))</f>
        <v/>
      </c>
      <c r="T369" s="54">
        <f>IF($B369=0,NA(),IF(Inputs!$B$29&lt;&gt;"Yes",NA(),Inputs!$D$29*Inputs!$C$35))</f>
        <v/>
      </c>
      <c r="AD369">
        <f>IF($B369=0,0,IF(Inputs!$B$6="",0,COUNTIFS(Data!$A$10:$A$3209,"&gt;="&amp;$A369,Data!$A$10:$A$3209,"&lt;"&amp;$A369+1)))</f>
        <v/>
      </c>
      <c r="AE369">
        <f>IF($B369=0,0,IF(Inputs!$B$7="",0,COUNTIFS(Data!$E$10:$E$3209,"&gt;="&amp;$A369,Data!$E$10:$E$3209,"&lt;"&amp;$A369+1)))</f>
        <v/>
      </c>
      <c r="AF369">
        <f>IF($B369=0,0,IF(Inputs!$B$8="",0,COUNTIFS(Data!$I$10:$I$3209,"&gt;="&amp;$A369,Data!$I$10:$I$3209,"&lt;"&amp;$A369+1)))</f>
        <v/>
      </c>
      <c r="AG369">
        <f>IF($B369=0,0,IF(Inputs!$B$9="",0,COUNTIFS(Data!$M$10:$M$3209,"&gt;="&amp;$A369,Data!$M$10:$M$3209,"&lt;"&amp;$A369+1)))</f>
        <v/>
      </c>
      <c r="AH369">
        <f>IF($B369=0,0,IF(Inputs!$B$10="",0,COUNTIFS(Data!$Q$10:$Q$3209,"&gt;="&amp;$A369,Data!$Q$10:$Q$3209,"&lt;"&amp;$A369+1)))</f>
        <v/>
      </c>
    </row>
    <row r="370">
      <c r="A370" s="55">
        <f>MIN(Inputs!$C$15,$A369+IF(WEEKDAY($A369,2)=5,3,1))</f>
        <v/>
      </c>
      <c r="B370">
        <f>IF($A370&gt;$A369,1,0)</f>
        <v/>
      </c>
      <c r="C370" s="56">
        <f>IF($B370=0,"",IF(Inputs!$B$6="","",IF($AD370=0,C369,SUMIFS(Data!$B$10:$B$3209,Data!$A$10:$A$3209,"&gt;="&amp;$A370,Data!$A$10:$A$3209,"&lt;"&amp;$A370+1)/$AD370)))</f>
        <v/>
      </c>
      <c r="D370" s="56">
        <f>IF($B370=0,"",IF(Inputs!$B$7="","",IF($AE370=0,D369,SUMIFS(Data!$F$10:$F$3209,Data!$E$10:$E$3209,"&gt;="&amp;$A370,Data!$E$10:$E$3209,"&lt;"&amp;$A370+1)/$AE370)))</f>
        <v/>
      </c>
      <c r="E370" s="56">
        <f>IF($B370=0,"",IF(Inputs!$B$8="","",IF($AF370=0,E369,SUMIFS(Data!$J$10:$J$3209,Data!$I$10:$I$3209,"&gt;="&amp;$A370,Data!$I$10:$I$3209,"&lt;"&amp;$A370+1)/$AF370)))</f>
        <v/>
      </c>
      <c r="F370" s="56">
        <f>IF($B370=0,"",IF(Inputs!$B$9="","",IF($AG370=0,F369,SUMIFS(Data!$N$10:$N$3209,Data!$M$10:$M$3209,"&gt;="&amp;$A370,Data!$M$10:$M$3209,"&lt;"&amp;$A370+1)/$AG370)))</f>
        <v/>
      </c>
      <c r="G370" s="56">
        <f>IF($B370=0,"",IF(Inputs!$B$10="","",IF($AH370=0,G369,SUMIFS(Data!$R$10:$R$3209,Data!$Q$10:$Q$3209,"&gt;="&amp;$A370,Data!$Q$10:$Q$3209,"&lt;"&amp;$A370+1)/$AH370)))</f>
        <v/>
      </c>
      <c r="I370" s="54">
        <f>IF($B370=0,NA(),IF($C370="",NA(),IF(C$8="",NA(),IF(N(C$8)=0,NA(),IF(Inputs!$C$17="Rebased to 100",$C370/C$8*100,$C370)))))</f>
        <v/>
      </c>
      <c r="J370" s="54">
        <f>IF($B370=0,NA(),IF($D370="",NA(),IF(D$8="",NA(),IF(N(D$8)=0,NA(),IF(Inputs!$C$17="Rebased to 100",$D370/D$8*100,$D370)))))</f>
        <v/>
      </c>
      <c r="K370" s="54">
        <f>IF($B370=0,NA(),IF($E370="",NA(),IF(E$8="",NA(),IF(N(E$8)=0,NA(),IF(Inputs!$C$17="Rebased to 100",$E370/E$8*100,$E370)))))</f>
        <v/>
      </c>
      <c r="L370" s="54">
        <f>IF($B370=0,NA(),IF($F370="",NA(),IF(F$8="",NA(),IF(N(F$8)=0,NA(),IF(Inputs!$C$17="Rebased to 100",$F370/F$8*100,$F370)))))</f>
        <v/>
      </c>
      <c r="M370" s="54">
        <f>IF($B370=0,NA(),IF($G370="",NA(),IF(G$8="",NA(),IF(N(G$8)=0,NA(),IF(Inputs!$C$17="Rebased to 100",$G370/G$8*100,$G370)))))</f>
        <v/>
      </c>
      <c r="N370" s="54">
        <f>IF($B370=0,NA(),IF(Inputs!$C$18&lt;&gt;"Yes",NA(),IF(COUNT(I370,J370,K370,L370,M370)=0,NA(),MIN(I370,J370,K370,L370,M370))))</f>
        <v/>
      </c>
      <c r="O370" s="54">
        <f>IF($B370=0,NA(),IF(Inputs!$B$24&lt;&gt;"Yes",NA(),Inputs!$D$24*Inputs!$C$35))</f>
        <v/>
      </c>
      <c r="P370" s="54">
        <f>IF($B370=0,NA(),IF(Inputs!$B$25&lt;&gt;"Yes",NA(),Inputs!$D$25*Inputs!$C$35))</f>
        <v/>
      </c>
      <c r="Q370" s="54">
        <f>IF($B370=0,NA(),IF(Inputs!$B$26&lt;&gt;"Yes",NA(),Inputs!$D$26*Inputs!$C$35))</f>
        <v/>
      </c>
      <c r="R370" s="54">
        <f>IF($B370=0,NA(),IF(Inputs!$B$27&lt;&gt;"Yes",NA(),Inputs!$D$27*Inputs!$C$35))</f>
        <v/>
      </c>
      <c r="S370" s="54">
        <f>IF($B370=0,NA(),IF(Inputs!$B$28&lt;&gt;"Yes",NA(),Inputs!$D$28*Inputs!$C$35))</f>
        <v/>
      </c>
      <c r="T370" s="54">
        <f>IF($B370=0,NA(),IF(Inputs!$B$29&lt;&gt;"Yes",NA(),Inputs!$D$29*Inputs!$C$35))</f>
        <v/>
      </c>
      <c r="AD370">
        <f>IF($B370=0,0,IF(Inputs!$B$6="",0,COUNTIFS(Data!$A$10:$A$3209,"&gt;="&amp;$A370,Data!$A$10:$A$3209,"&lt;"&amp;$A370+1)))</f>
        <v/>
      </c>
      <c r="AE370">
        <f>IF($B370=0,0,IF(Inputs!$B$7="",0,COUNTIFS(Data!$E$10:$E$3209,"&gt;="&amp;$A370,Data!$E$10:$E$3209,"&lt;"&amp;$A370+1)))</f>
        <v/>
      </c>
      <c r="AF370">
        <f>IF($B370=0,0,IF(Inputs!$B$8="",0,COUNTIFS(Data!$I$10:$I$3209,"&gt;="&amp;$A370,Data!$I$10:$I$3209,"&lt;"&amp;$A370+1)))</f>
        <v/>
      </c>
      <c r="AG370">
        <f>IF($B370=0,0,IF(Inputs!$B$9="",0,COUNTIFS(Data!$M$10:$M$3209,"&gt;="&amp;$A370,Data!$M$10:$M$3209,"&lt;"&amp;$A370+1)))</f>
        <v/>
      </c>
      <c r="AH370">
        <f>IF($B370=0,0,IF(Inputs!$B$10="",0,COUNTIFS(Data!$Q$10:$Q$3209,"&gt;="&amp;$A370,Data!$Q$10:$Q$3209,"&lt;"&amp;$A370+1)))</f>
        <v/>
      </c>
    </row>
    <row r="371">
      <c r="A371" s="55">
        <f>MIN(Inputs!$C$15,$A370+IF(WEEKDAY($A370,2)=5,3,1))</f>
        <v/>
      </c>
      <c r="B371">
        <f>IF($A371&gt;$A370,1,0)</f>
        <v/>
      </c>
      <c r="C371" s="56">
        <f>IF($B371=0,"",IF(Inputs!$B$6="","",IF($AD371=0,C370,SUMIFS(Data!$B$10:$B$3209,Data!$A$10:$A$3209,"&gt;="&amp;$A371,Data!$A$10:$A$3209,"&lt;"&amp;$A371+1)/$AD371)))</f>
        <v/>
      </c>
      <c r="D371" s="56">
        <f>IF($B371=0,"",IF(Inputs!$B$7="","",IF($AE371=0,D370,SUMIFS(Data!$F$10:$F$3209,Data!$E$10:$E$3209,"&gt;="&amp;$A371,Data!$E$10:$E$3209,"&lt;"&amp;$A371+1)/$AE371)))</f>
        <v/>
      </c>
      <c r="E371" s="56">
        <f>IF($B371=0,"",IF(Inputs!$B$8="","",IF($AF371=0,E370,SUMIFS(Data!$J$10:$J$3209,Data!$I$10:$I$3209,"&gt;="&amp;$A371,Data!$I$10:$I$3209,"&lt;"&amp;$A371+1)/$AF371)))</f>
        <v/>
      </c>
      <c r="F371" s="56">
        <f>IF($B371=0,"",IF(Inputs!$B$9="","",IF($AG371=0,F370,SUMIFS(Data!$N$10:$N$3209,Data!$M$10:$M$3209,"&gt;="&amp;$A371,Data!$M$10:$M$3209,"&lt;"&amp;$A371+1)/$AG371)))</f>
        <v/>
      </c>
      <c r="G371" s="56">
        <f>IF($B371=0,"",IF(Inputs!$B$10="","",IF($AH371=0,G370,SUMIFS(Data!$R$10:$R$3209,Data!$Q$10:$Q$3209,"&gt;="&amp;$A371,Data!$Q$10:$Q$3209,"&lt;"&amp;$A371+1)/$AH371)))</f>
        <v/>
      </c>
      <c r="I371" s="54">
        <f>IF($B371=0,NA(),IF($C371="",NA(),IF(C$8="",NA(),IF(N(C$8)=0,NA(),IF(Inputs!$C$17="Rebased to 100",$C371/C$8*100,$C371)))))</f>
        <v/>
      </c>
      <c r="J371" s="54">
        <f>IF($B371=0,NA(),IF($D371="",NA(),IF(D$8="",NA(),IF(N(D$8)=0,NA(),IF(Inputs!$C$17="Rebased to 100",$D371/D$8*100,$D371)))))</f>
        <v/>
      </c>
      <c r="K371" s="54">
        <f>IF($B371=0,NA(),IF($E371="",NA(),IF(E$8="",NA(),IF(N(E$8)=0,NA(),IF(Inputs!$C$17="Rebased to 100",$E371/E$8*100,$E371)))))</f>
        <v/>
      </c>
      <c r="L371" s="54">
        <f>IF($B371=0,NA(),IF($F371="",NA(),IF(F$8="",NA(),IF(N(F$8)=0,NA(),IF(Inputs!$C$17="Rebased to 100",$F371/F$8*100,$F371)))))</f>
        <v/>
      </c>
      <c r="M371" s="54">
        <f>IF($B371=0,NA(),IF($G371="",NA(),IF(G$8="",NA(),IF(N(G$8)=0,NA(),IF(Inputs!$C$17="Rebased to 100",$G371/G$8*100,$G371)))))</f>
        <v/>
      </c>
      <c r="N371" s="54">
        <f>IF($B371=0,NA(),IF(Inputs!$C$18&lt;&gt;"Yes",NA(),IF(COUNT(I371,J371,K371,L371,M371)=0,NA(),MIN(I371,J371,K371,L371,M371))))</f>
        <v/>
      </c>
      <c r="O371" s="54">
        <f>IF($B371=0,NA(),IF(Inputs!$B$24&lt;&gt;"Yes",NA(),Inputs!$D$24*Inputs!$C$35))</f>
        <v/>
      </c>
      <c r="P371" s="54">
        <f>IF($B371=0,NA(),IF(Inputs!$B$25&lt;&gt;"Yes",NA(),Inputs!$D$25*Inputs!$C$35))</f>
        <v/>
      </c>
      <c r="Q371" s="54">
        <f>IF($B371=0,NA(),IF(Inputs!$B$26&lt;&gt;"Yes",NA(),Inputs!$D$26*Inputs!$C$35))</f>
        <v/>
      </c>
      <c r="R371" s="54">
        <f>IF($B371=0,NA(),IF(Inputs!$B$27&lt;&gt;"Yes",NA(),Inputs!$D$27*Inputs!$C$35))</f>
        <v/>
      </c>
      <c r="S371" s="54">
        <f>IF($B371=0,NA(),IF(Inputs!$B$28&lt;&gt;"Yes",NA(),Inputs!$D$28*Inputs!$C$35))</f>
        <v/>
      </c>
      <c r="T371" s="54">
        <f>IF($B371=0,NA(),IF(Inputs!$B$29&lt;&gt;"Yes",NA(),Inputs!$D$29*Inputs!$C$35))</f>
        <v/>
      </c>
      <c r="AD371">
        <f>IF($B371=0,0,IF(Inputs!$B$6="",0,COUNTIFS(Data!$A$10:$A$3209,"&gt;="&amp;$A371,Data!$A$10:$A$3209,"&lt;"&amp;$A371+1)))</f>
        <v/>
      </c>
      <c r="AE371">
        <f>IF($B371=0,0,IF(Inputs!$B$7="",0,COUNTIFS(Data!$E$10:$E$3209,"&gt;="&amp;$A371,Data!$E$10:$E$3209,"&lt;"&amp;$A371+1)))</f>
        <v/>
      </c>
      <c r="AF371">
        <f>IF($B371=0,0,IF(Inputs!$B$8="",0,COUNTIFS(Data!$I$10:$I$3209,"&gt;="&amp;$A371,Data!$I$10:$I$3209,"&lt;"&amp;$A371+1)))</f>
        <v/>
      </c>
      <c r="AG371">
        <f>IF($B371=0,0,IF(Inputs!$B$9="",0,COUNTIFS(Data!$M$10:$M$3209,"&gt;="&amp;$A371,Data!$M$10:$M$3209,"&lt;"&amp;$A371+1)))</f>
        <v/>
      </c>
      <c r="AH371">
        <f>IF($B371=0,0,IF(Inputs!$B$10="",0,COUNTIFS(Data!$Q$10:$Q$3209,"&gt;="&amp;$A371,Data!$Q$10:$Q$3209,"&lt;"&amp;$A371+1)))</f>
        <v/>
      </c>
    </row>
    <row r="372">
      <c r="A372" s="55">
        <f>MIN(Inputs!$C$15,$A371+IF(WEEKDAY($A371,2)=5,3,1))</f>
        <v/>
      </c>
      <c r="B372">
        <f>IF($A372&gt;$A371,1,0)</f>
        <v/>
      </c>
      <c r="C372" s="56">
        <f>IF($B372=0,"",IF(Inputs!$B$6="","",IF($AD372=0,C371,SUMIFS(Data!$B$10:$B$3209,Data!$A$10:$A$3209,"&gt;="&amp;$A372,Data!$A$10:$A$3209,"&lt;"&amp;$A372+1)/$AD372)))</f>
        <v/>
      </c>
      <c r="D372" s="56">
        <f>IF($B372=0,"",IF(Inputs!$B$7="","",IF($AE372=0,D371,SUMIFS(Data!$F$10:$F$3209,Data!$E$10:$E$3209,"&gt;="&amp;$A372,Data!$E$10:$E$3209,"&lt;"&amp;$A372+1)/$AE372)))</f>
        <v/>
      </c>
      <c r="E372" s="56">
        <f>IF($B372=0,"",IF(Inputs!$B$8="","",IF($AF372=0,E371,SUMIFS(Data!$J$10:$J$3209,Data!$I$10:$I$3209,"&gt;="&amp;$A372,Data!$I$10:$I$3209,"&lt;"&amp;$A372+1)/$AF372)))</f>
        <v/>
      </c>
      <c r="F372" s="56">
        <f>IF($B372=0,"",IF(Inputs!$B$9="","",IF($AG372=0,F371,SUMIFS(Data!$N$10:$N$3209,Data!$M$10:$M$3209,"&gt;="&amp;$A372,Data!$M$10:$M$3209,"&lt;"&amp;$A372+1)/$AG372)))</f>
        <v/>
      </c>
      <c r="G372" s="56">
        <f>IF($B372=0,"",IF(Inputs!$B$10="","",IF($AH372=0,G371,SUMIFS(Data!$R$10:$R$3209,Data!$Q$10:$Q$3209,"&gt;="&amp;$A372,Data!$Q$10:$Q$3209,"&lt;"&amp;$A372+1)/$AH372)))</f>
        <v/>
      </c>
      <c r="I372" s="54">
        <f>IF($B372=0,NA(),IF($C372="",NA(),IF(C$8="",NA(),IF(N(C$8)=0,NA(),IF(Inputs!$C$17="Rebased to 100",$C372/C$8*100,$C372)))))</f>
        <v/>
      </c>
      <c r="J372" s="54">
        <f>IF($B372=0,NA(),IF($D372="",NA(),IF(D$8="",NA(),IF(N(D$8)=0,NA(),IF(Inputs!$C$17="Rebased to 100",$D372/D$8*100,$D372)))))</f>
        <v/>
      </c>
      <c r="K372" s="54">
        <f>IF($B372=0,NA(),IF($E372="",NA(),IF(E$8="",NA(),IF(N(E$8)=0,NA(),IF(Inputs!$C$17="Rebased to 100",$E372/E$8*100,$E372)))))</f>
        <v/>
      </c>
      <c r="L372" s="54">
        <f>IF($B372=0,NA(),IF($F372="",NA(),IF(F$8="",NA(),IF(N(F$8)=0,NA(),IF(Inputs!$C$17="Rebased to 100",$F372/F$8*100,$F372)))))</f>
        <v/>
      </c>
      <c r="M372" s="54">
        <f>IF($B372=0,NA(),IF($G372="",NA(),IF(G$8="",NA(),IF(N(G$8)=0,NA(),IF(Inputs!$C$17="Rebased to 100",$G372/G$8*100,$G372)))))</f>
        <v/>
      </c>
      <c r="N372" s="54">
        <f>IF($B372=0,NA(),IF(Inputs!$C$18&lt;&gt;"Yes",NA(),IF(COUNT(I372,J372,K372,L372,M372)=0,NA(),MIN(I372,J372,K372,L372,M372))))</f>
        <v/>
      </c>
      <c r="O372" s="54">
        <f>IF($B372=0,NA(),IF(Inputs!$B$24&lt;&gt;"Yes",NA(),Inputs!$D$24*Inputs!$C$35))</f>
        <v/>
      </c>
      <c r="P372" s="54">
        <f>IF($B372=0,NA(),IF(Inputs!$B$25&lt;&gt;"Yes",NA(),Inputs!$D$25*Inputs!$C$35))</f>
        <v/>
      </c>
      <c r="Q372" s="54">
        <f>IF($B372=0,NA(),IF(Inputs!$B$26&lt;&gt;"Yes",NA(),Inputs!$D$26*Inputs!$C$35))</f>
        <v/>
      </c>
      <c r="R372" s="54">
        <f>IF($B372=0,NA(),IF(Inputs!$B$27&lt;&gt;"Yes",NA(),Inputs!$D$27*Inputs!$C$35))</f>
        <v/>
      </c>
      <c r="S372" s="54">
        <f>IF($B372=0,NA(),IF(Inputs!$B$28&lt;&gt;"Yes",NA(),Inputs!$D$28*Inputs!$C$35))</f>
        <v/>
      </c>
      <c r="T372" s="54">
        <f>IF($B372=0,NA(),IF(Inputs!$B$29&lt;&gt;"Yes",NA(),Inputs!$D$29*Inputs!$C$35))</f>
        <v/>
      </c>
      <c r="AD372">
        <f>IF($B372=0,0,IF(Inputs!$B$6="",0,COUNTIFS(Data!$A$10:$A$3209,"&gt;="&amp;$A372,Data!$A$10:$A$3209,"&lt;"&amp;$A372+1)))</f>
        <v/>
      </c>
      <c r="AE372">
        <f>IF($B372=0,0,IF(Inputs!$B$7="",0,COUNTIFS(Data!$E$10:$E$3209,"&gt;="&amp;$A372,Data!$E$10:$E$3209,"&lt;"&amp;$A372+1)))</f>
        <v/>
      </c>
      <c r="AF372">
        <f>IF($B372=0,0,IF(Inputs!$B$8="",0,COUNTIFS(Data!$I$10:$I$3209,"&gt;="&amp;$A372,Data!$I$10:$I$3209,"&lt;"&amp;$A372+1)))</f>
        <v/>
      </c>
      <c r="AG372">
        <f>IF($B372=0,0,IF(Inputs!$B$9="",0,COUNTIFS(Data!$M$10:$M$3209,"&gt;="&amp;$A372,Data!$M$10:$M$3209,"&lt;"&amp;$A372+1)))</f>
        <v/>
      </c>
      <c r="AH372">
        <f>IF($B372=0,0,IF(Inputs!$B$10="",0,COUNTIFS(Data!$Q$10:$Q$3209,"&gt;="&amp;$A372,Data!$Q$10:$Q$3209,"&lt;"&amp;$A372+1)))</f>
        <v/>
      </c>
    </row>
    <row r="373">
      <c r="A373" s="55">
        <f>MIN(Inputs!$C$15,$A372+IF(WEEKDAY($A372,2)=5,3,1))</f>
        <v/>
      </c>
      <c r="B373">
        <f>IF($A373&gt;$A372,1,0)</f>
        <v/>
      </c>
      <c r="C373" s="56">
        <f>IF($B373=0,"",IF(Inputs!$B$6="","",IF($AD373=0,C372,SUMIFS(Data!$B$10:$B$3209,Data!$A$10:$A$3209,"&gt;="&amp;$A373,Data!$A$10:$A$3209,"&lt;"&amp;$A373+1)/$AD373)))</f>
        <v/>
      </c>
      <c r="D373" s="56">
        <f>IF($B373=0,"",IF(Inputs!$B$7="","",IF($AE373=0,D372,SUMIFS(Data!$F$10:$F$3209,Data!$E$10:$E$3209,"&gt;="&amp;$A373,Data!$E$10:$E$3209,"&lt;"&amp;$A373+1)/$AE373)))</f>
        <v/>
      </c>
      <c r="E373" s="56">
        <f>IF($B373=0,"",IF(Inputs!$B$8="","",IF($AF373=0,E372,SUMIFS(Data!$J$10:$J$3209,Data!$I$10:$I$3209,"&gt;="&amp;$A373,Data!$I$10:$I$3209,"&lt;"&amp;$A373+1)/$AF373)))</f>
        <v/>
      </c>
      <c r="F373" s="56">
        <f>IF($B373=0,"",IF(Inputs!$B$9="","",IF($AG373=0,F372,SUMIFS(Data!$N$10:$N$3209,Data!$M$10:$M$3209,"&gt;="&amp;$A373,Data!$M$10:$M$3209,"&lt;"&amp;$A373+1)/$AG373)))</f>
        <v/>
      </c>
      <c r="G373" s="56">
        <f>IF($B373=0,"",IF(Inputs!$B$10="","",IF($AH373=0,G372,SUMIFS(Data!$R$10:$R$3209,Data!$Q$10:$Q$3209,"&gt;="&amp;$A373,Data!$Q$10:$Q$3209,"&lt;"&amp;$A373+1)/$AH373)))</f>
        <v/>
      </c>
      <c r="I373" s="54">
        <f>IF($B373=0,NA(),IF($C373="",NA(),IF(C$8="",NA(),IF(N(C$8)=0,NA(),IF(Inputs!$C$17="Rebased to 100",$C373/C$8*100,$C373)))))</f>
        <v/>
      </c>
      <c r="J373" s="54">
        <f>IF($B373=0,NA(),IF($D373="",NA(),IF(D$8="",NA(),IF(N(D$8)=0,NA(),IF(Inputs!$C$17="Rebased to 100",$D373/D$8*100,$D373)))))</f>
        <v/>
      </c>
      <c r="K373" s="54">
        <f>IF($B373=0,NA(),IF($E373="",NA(),IF(E$8="",NA(),IF(N(E$8)=0,NA(),IF(Inputs!$C$17="Rebased to 100",$E373/E$8*100,$E373)))))</f>
        <v/>
      </c>
      <c r="L373" s="54">
        <f>IF($B373=0,NA(),IF($F373="",NA(),IF(F$8="",NA(),IF(N(F$8)=0,NA(),IF(Inputs!$C$17="Rebased to 100",$F373/F$8*100,$F373)))))</f>
        <v/>
      </c>
      <c r="M373" s="54">
        <f>IF($B373=0,NA(),IF($G373="",NA(),IF(G$8="",NA(),IF(N(G$8)=0,NA(),IF(Inputs!$C$17="Rebased to 100",$G373/G$8*100,$G373)))))</f>
        <v/>
      </c>
      <c r="N373" s="54">
        <f>IF($B373=0,NA(),IF(Inputs!$C$18&lt;&gt;"Yes",NA(),IF(COUNT(I373,J373,K373,L373,M373)=0,NA(),MIN(I373,J373,K373,L373,M373))))</f>
        <v/>
      </c>
      <c r="O373" s="54">
        <f>IF($B373=0,NA(),IF(Inputs!$B$24&lt;&gt;"Yes",NA(),Inputs!$D$24*Inputs!$C$35))</f>
        <v/>
      </c>
      <c r="P373" s="54">
        <f>IF($B373=0,NA(),IF(Inputs!$B$25&lt;&gt;"Yes",NA(),Inputs!$D$25*Inputs!$C$35))</f>
        <v/>
      </c>
      <c r="Q373" s="54">
        <f>IF($B373=0,NA(),IF(Inputs!$B$26&lt;&gt;"Yes",NA(),Inputs!$D$26*Inputs!$C$35))</f>
        <v/>
      </c>
      <c r="R373" s="54">
        <f>IF($B373=0,NA(),IF(Inputs!$B$27&lt;&gt;"Yes",NA(),Inputs!$D$27*Inputs!$C$35))</f>
        <v/>
      </c>
      <c r="S373" s="54">
        <f>IF($B373=0,NA(),IF(Inputs!$B$28&lt;&gt;"Yes",NA(),Inputs!$D$28*Inputs!$C$35))</f>
        <v/>
      </c>
      <c r="T373" s="54">
        <f>IF($B373=0,NA(),IF(Inputs!$B$29&lt;&gt;"Yes",NA(),Inputs!$D$29*Inputs!$C$35))</f>
        <v/>
      </c>
      <c r="AD373">
        <f>IF($B373=0,0,IF(Inputs!$B$6="",0,COUNTIFS(Data!$A$10:$A$3209,"&gt;="&amp;$A373,Data!$A$10:$A$3209,"&lt;"&amp;$A373+1)))</f>
        <v/>
      </c>
      <c r="AE373">
        <f>IF($B373=0,0,IF(Inputs!$B$7="",0,COUNTIFS(Data!$E$10:$E$3209,"&gt;="&amp;$A373,Data!$E$10:$E$3209,"&lt;"&amp;$A373+1)))</f>
        <v/>
      </c>
      <c r="AF373">
        <f>IF($B373=0,0,IF(Inputs!$B$8="",0,COUNTIFS(Data!$I$10:$I$3209,"&gt;="&amp;$A373,Data!$I$10:$I$3209,"&lt;"&amp;$A373+1)))</f>
        <v/>
      </c>
      <c r="AG373">
        <f>IF($B373=0,0,IF(Inputs!$B$9="",0,COUNTIFS(Data!$M$10:$M$3209,"&gt;="&amp;$A373,Data!$M$10:$M$3209,"&lt;"&amp;$A373+1)))</f>
        <v/>
      </c>
      <c r="AH373">
        <f>IF($B373=0,0,IF(Inputs!$B$10="",0,COUNTIFS(Data!$Q$10:$Q$3209,"&gt;="&amp;$A373,Data!$Q$10:$Q$3209,"&lt;"&amp;$A373+1)))</f>
        <v/>
      </c>
    </row>
    <row r="374">
      <c r="A374" s="55">
        <f>MIN(Inputs!$C$15,$A373+IF(WEEKDAY($A373,2)=5,3,1))</f>
        <v/>
      </c>
      <c r="B374">
        <f>IF($A374&gt;$A373,1,0)</f>
        <v/>
      </c>
      <c r="C374" s="56">
        <f>IF($B374=0,"",IF(Inputs!$B$6="","",IF($AD374=0,C373,SUMIFS(Data!$B$10:$B$3209,Data!$A$10:$A$3209,"&gt;="&amp;$A374,Data!$A$10:$A$3209,"&lt;"&amp;$A374+1)/$AD374)))</f>
        <v/>
      </c>
      <c r="D374" s="56">
        <f>IF($B374=0,"",IF(Inputs!$B$7="","",IF($AE374=0,D373,SUMIFS(Data!$F$10:$F$3209,Data!$E$10:$E$3209,"&gt;="&amp;$A374,Data!$E$10:$E$3209,"&lt;"&amp;$A374+1)/$AE374)))</f>
        <v/>
      </c>
      <c r="E374" s="56">
        <f>IF($B374=0,"",IF(Inputs!$B$8="","",IF($AF374=0,E373,SUMIFS(Data!$J$10:$J$3209,Data!$I$10:$I$3209,"&gt;="&amp;$A374,Data!$I$10:$I$3209,"&lt;"&amp;$A374+1)/$AF374)))</f>
        <v/>
      </c>
      <c r="F374" s="56">
        <f>IF($B374=0,"",IF(Inputs!$B$9="","",IF($AG374=0,F373,SUMIFS(Data!$N$10:$N$3209,Data!$M$10:$M$3209,"&gt;="&amp;$A374,Data!$M$10:$M$3209,"&lt;"&amp;$A374+1)/$AG374)))</f>
        <v/>
      </c>
      <c r="G374" s="56">
        <f>IF($B374=0,"",IF(Inputs!$B$10="","",IF($AH374=0,G373,SUMIFS(Data!$R$10:$R$3209,Data!$Q$10:$Q$3209,"&gt;="&amp;$A374,Data!$Q$10:$Q$3209,"&lt;"&amp;$A374+1)/$AH374)))</f>
        <v/>
      </c>
      <c r="I374" s="54">
        <f>IF($B374=0,NA(),IF($C374="",NA(),IF(C$8="",NA(),IF(N(C$8)=0,NA(),IF(Inputs!$C$17="Rebased to 100",$C374/C$8*100,$C374)))))</f>
        <v/>
      </c>
      <c r="J374" s="54">
        <f>IF($B374=0,NA(),IF($D374="",NA(),IF(D$8="",NA(),IF(N(D$8)=0,NA(),IF(Inputs!$C$17="Rebased to 100",$D374/D$8*100,$D374)))))</f>
        <v/>
      </c>
      <c r="K374" s="54">
        <f>IF($B374=0,NA(),IF($E374="",NA(),IF(E$8="",NA(),IF(N(E$8)=0,NA(),IF(Inputs!$C$17="Rebased to 100",$E374/E$8*100,$E374)))))</f>
        <v/>
      </c>
      <c r="L374" s="54">
        <f>IF($B374=0,NA(),IF($F374="",NA(),IF(F$8="",NA(),IF(N(F$8)=0,NA(),IF(Inputs!$C$17="Rebased to 100",$F374/F$8*100,$F374)))))</f>
        <v/>
      </c>
      <c r="M374" s="54">
        <f>IF($B374=0,NA(),IF($G374="",NA(),IF(G$8="",NA(),IF(N(G$8)=0,NA(),IF(Inputs!$C$17="Rebased to 100",$G374/G$8*100,$G374)))))</f>
        <v/>
      </c>
      <c r="N374" s="54">
        <f>IF($B374=0,NA(),IF(Inputs!$C$18&lt;&gt;"Yes",NA(),IF(COUNT(I374,J374,K374,L374,M374)=0,NA(),MIN(I374,J374,K374,L374,M374))))</f>
        <v/>
      </c>
      <c r="O374" s="54">
        <f>IF($B374=0,NA(),IF(Inputs!$B$24&lt;&gt;"Yes",NA(),Inputs!$D$24*Inputs!$C$35))</f>
        <v/>
      </c>
      <c r="P374" s="54">
        <f>IF($B374=0,NA(),IF(Inputs!$B$25&lt;&gt;"Yes",NA(),Inputs!$D$25*Inputs!$C$35))</f>
        <v/>
      </c>
      <c r="Q374" s="54">
        <f>IF($B374=0,NA(),IF(Inputs!$B$26&lt;&gt;"Yes",NA(),Inputs!$D$26*Inputs!$C$35))</f>
        <v/>
      </c>
      <c r="R374" s="54">
        <f>IF($B374=0,NA(),IF(Inputs!$B$27&lt;&gt;"Yes",NA(),Inputs!$D$27*Inputs!$C$35))</f>
        <v/>
      </c>
      <c r="S374" s="54">
        <f>IF($B374=0,NA(),IF(Inputs!$B$28&lt;&gt;"Yes",NA(),Inputs!$D$28*Inputs!$C$35))</f>
        <v/>
      </c>
      <c r="T374" s="54">
        <f>IF($B374=0,NA(),IF(Inputs!$B$29&lt;&gt;"Yes",NA(),Inputs!$D$29*Inputs!$C$35))</f>
        <v/>
      </c>
      <c r="AD374">
        <f>IF($B374=0,0,IF(Inputs!$B$6="",0,COUNTIFS(Data!$A$10:$A$3209,"&gt;="&amp;$A374,Data!$A$10:$A$3209,"&lt;"&amp;$A374+1)))</f>
        <v/>
      </c>
      <c r="AE374">
        <f>IF($B374=0,0,IF(Inputs!$B$7="",0,COUNTIFS(Data!$E$10:$E$3209,"&gt;="&amp;$A374,Data!$E$10:$E$3209,"&lt;"&amp;$A374+1)))</f>
        <v/>
      </c>
      <c r="AF374">
        <f>IF($B374=0,0,IF(Inputs!$B$8="",0,COUNTIFS(Data!$I$10:$I$3209,"&gt;="&amp;$A374,Data!$I$10:$I$3209,"&lt;"&amp;$A374+1)))</f>
        <v/>
      </c>
      <c r="AG374">
        <f>IF($B374=0,0,IF(Inputs!$B$9="",0,COUNTIFS(Data!$M$10:$M$3209,"&gt;="&amp;$A374,Data!$M$10:$M$3209,"&lt;"&amp;$A374+1)))</f>
        <v/>
      </c>
      <c r="AH374">
        <f>IF($B374=0,0,IF(Inputs!$B$10="",0,COUNTIFS(Data!$Q$10:$Q$3209,"&gt;="&amp;$A374,Data!$Q$10:$Q$3209,"&lt;"&amp;$A374+1)))</f>
        <v/>
      </c>
    </row>
    <row r="375">
      <c r="A375" s="55">
        <f>MIN(Inputs!$C$15,$A374+IF(WEEKDAY($A374,2)=5,3,1))</f>
        <v/>
      </c>
      <c r="B375">
        <f>IF($A375&gt;$A374,1,0)</f>
        <v/>
      </c>
      <c r="C375" s="56">
        <f>IF($B375=0,"",IF(Inputs!$B$6="","",IF($AD375=0,C374,SUMIFS(Data!$B$10:$B$3209,Data!$A$10:$A$3209,"&gt;="&amp;$A375,Data!$A$10:$A$3209,"&lt;"&amp;$A375+1)/$AD375)))</f>
        <v/>
      </c>
      <c r="D375" s="56">
        <f>IF($B375=0,"",IF(Inputs!$B$7="","",IF($AE375=0,D374,SUMIFS(Data!$F$10:$F$3209,Data!$E$10:$E$3209,"&gt;="&amp;$A375,Data!$E$10:$E$3209,"&lt;"&amp;$A375+1)/$AE375)))</f>
        <v/>
      </c>
      <c r="E375" s="56">
        <f>IF($B375=0,"",IF(Inputs!$B$8="","",IF($AF375=0,E374,SUMIFS(Data!$J$10:$J$3209,Data!$I$10:$I$3209,"&gt;="&amp;$A375,Data!$I$10:$I$3209,"&lt;"&amp;$A375+1)/$AF375)))</f>
        <v/>
      </c>
      <c r="F375" s="56">
        <f>IF($B375=0,"",IF(Inputs!$B$9="","",IF($AG375=0,F374,SUMIFS(Data!$N$10:$N$3209,Data!$M$10:$M$3209,"&gt;="&amp;$A375,Data!$M$10:$M$3209,"&lt;"&amp;$A375+1)/$AG375)))</f>
        <v/>
      </c>
      <c r="G375" s="56">
        <f>IF($B375=0,"",IF(Inputs!$B$10="","",IF($AH375=0,G374,SUMIFS(Data!$R$10:$R$3209,Data!$Q$10:$Q$3209,"&gt;="&amp;$A375,Data!$Q$10:$Q$3209,"&lt;"&amp;$A375+1)/$AH375)))</f>
        <v/>
      </c>
      <c r="I375" s="54">
        <f>IF($B375=0,NA(),IF($C375="",NA(),IF(C$8="",NA(),IF(N(C$8)=0,NA(),IF(Inputs!$C$17="Rebased to 100",$C375/C$8*100,$C375)))))</f>
        <v/>
      </c>
      <c r="J375" s="54">
        <f>IF($B375=0,NA(),IF($D375="",NA(),IF(D$8="",NA(),IF(N(D$8)=0,NA(),IF(Inputs!$C$17="Rebased to 100",$D375/D$8*100,$D375)))))</f>
        <v/>
      </c>
      <c r="K375" s="54">
        <f>IF($B375=0,NA(),IF($E375="",NA(),IF(E$8="",NA(),IF(N(E$8)=0,NA(),IF(Inputs!$C$17="Rebased to 100",$E375/E$8*100,$E375)))))</f>
        <v/>
      </c>
      <c r="L375" s="54">
        <f>IF($B375=0,NA(),IF($F375="",NA(),IF(F$8="",NA(),IF(N(F$8)=0,NA(),IF(Inputs!$C$17="Rebased to 100",$F375/F$8*100,$F375)))))</f>
        <v/>
      </c>
      <c r="M375" s="54">
        <f>IF($B375=0,NA(),IF($G375="",NA(),IF(G$8="",NA(),IF(N(G$8)=0,NA(),IF(Inputs!$C$17="Rebased to 100",$G375/G$8*100,$G375)))))</f>
        <v/>
      </c>
      <c r="N375" s="54">
        <f>IF($B375=0,NA(),IF(Inputs!$C$18&lt;&gt;"Yes",NA(),IF(COUNT(I375,J375,K375,L375,M375)=0,NA(),MIN(I375,J375,K375,L375,M375))))</f>
        <v/>
      </c>
      <c r="O375" s="54">
        <f>IF($B375=0,NA(),IF(Inputs!$B$24&lt;&gt;"Yes",NA(),Inputs!$D$24*Inputs!$C$35))</f>
        <v/>
      </c>
      <c r="P375" s="54">
        <f>IF($B375=0,NA(),IF(Inputs!$B$25&lt;&gt;"Yes",NA(),Inputs!$D$25*Inputs!$C$35))</f>
        <v/>
      </c>
      <c r="Q375" s="54">
        <f>IF($B375=0,NA(),IF(Inputs!$B$26&lt;&gt;"Yes",NA(),Inputs!$D$26*Inputs!$C$35))</f>
        <v/>
      </c>
      <c r="R375" s="54">
        <f>IF($B375=0,NA(),IF(Inputs!$B$27&lt;&gt;"Yes",NA(),Inputs!$D$27*Inputs!$C$35))</f>
        <v/>
      </c>
      <c r="S375" s="54">
        <f>IF($B375=0,NA(),IF(Inputs!$B$28&lt;&gt;"Yes",NA(),Inputs!$D$28*Inputs!$C$35))</f>
        <v/>
      </c>
      <c r="T375" s="54">
        <f>IF($B375=0,NA(),IF(Inputs!$B$29&lt;&gt;"Yes",NA(),Inputs!$D$29*Inputs!$C$35))</f>
        <v/>
      </c>
      <c r="AD375">
        <f>IF($B375=0,0,IF(Inputs!$B$6="",0,COUNTIFS(Data!$A$10:$A$3209,"&gt;="&amp;$A375,Data!$A$10:$A$3209,"&lt;"&amp;$A375+1)))</f>
        <v/>
      </c>
      <c r="AE375">
        <f>IF($B375=0,0,IF(Inputs!$B$7="",0,COUNTIFS(Data!$E$10:$E$3209,"&gt;="&amp;$A375,Data!$E$10:$E$3209,"&lt;"&amp;$A375+1)))</f>
        <v/>
      </c>
      <c r="AF375">
        <f>IF($B375=0,0,IF(Inputs!$B$8="",0,COUNTIFS(Data!$I$10:$I$3209,"&gt;="&amp;$A375,Data!$I$10:$I$3209,"&lt;"&amp;$A375+1)))</f>
        <v/>
      </c>
      <c r="AG375">
        <f>IF($B375=0,0,IF(Inputs!$B$9="",0,COUNTIFS(Data!$M$10:$M$3209,"&gt;="&amp;$A375,Data!$M$10:$M$3209,"&lt;"&amp;$A375+1)))</f>
        <v/>
      </c>
      <c r="AH375">
        <f>IF($B375=0,0,IF(Inputs!$B$10="",0,COUNTIFS(Data!$Q$10:$Q$3209,"&gt;="&amp;$A375,Data!$Q$10:$Q$3209,"&lt;"&amp;$A375+1)))</f>
        <v/>
      </c>
    </row>
    <row r="376">
      <c r="A376" s="55">
        <f>MIN(Inputs!$C$15,$A375+IF(WEEKDAY($A375,2)=5,3,1))</f>
        <v/>
      </c>
      <c r="B376">
        <f>IF($A376&gt;$A375,1,0)</f>
        <v/>
      </c>
      <c r="C376" s="56">
        <f>IF($B376=0,"",IF(Inputs!$B$6="","",IF($AD376=0,C375,SUMIFS(Data!$B$10:$B$3209,Data!$A$10:$A$3209,"&gt;="&amp;$A376,Data!$A$10:$A$3209,"&lt;"&amp;$A376+1)/$AD376)))</f>
        <v/>
      </c>
      <c r="D376" s="56">
        <f>IF($B376=0,"",IF(Inputs!$B$7="","",IF($AE376=0,D375,SUMIFS(Data!$F$10:$F$3209,Data!$E$10:$E$3209,"&gt;="&amp;$A376,Data!$E$10:$E$3209,"&lt;"&amp;$A376+1)/$AE376)))</f>
        <v/>
      </c>
      <c r="E376" s="56">
        <f>IF($B376=0,"",IF(Inputs!$B$8="","",IF($AF376=0,E375,SUMIFS(Data!$J$10:$J$3209,Data!$I$10:$I$3209,"&gt;="&amp;$A376,Data!$I$10:$I$3209,"&lt;"&amp;$A376+1)/$AF376)))</f>
        <v/>
      </c>
      <c r="F376" s="56">
        <f>IF($B376=0,"",IF(Inputs!$B$9="","",IF($AG376=0,F375,SUMIFS(Data!$N$10:$N$3209,Data!$M$10:$M$3209,"&gt;="&amp;$A376,Data!$M$10:$M$3209,"&lt;"&amp;$A376+1)/$AG376)))</f>
        <v/>
      </c>
      <c r="G376" s="56">
        <f>IF($B376=0,"",IF(Inputs!$B$10="","",IF($AH376=0,G375,SUMIFS(Data!$R$10:$R$3209,Data!$Q$10:$Q$3209,"&gt;="&amp;$A376,Data!$Q$10:$Q$3209,"&lt;"&amp;$A376+1)/$AH376)))</f>
        <v/>
      </c>
      <c r="I376" s="54">
        <f>IF($B376=0,NA(),IF($C376="",NA(),IF(C$8="",NA(),IF(N(C$8)=0,NA(),IF(Inputs!$C$17="Rebased to 100",$C376/C$8*100,$C376)))))</f>
        <v/>
      </c>
      <c r="J376" s="54">
        <f>IF($B376=0,NA(),IF($D376="",NA(),IF(D$8="",NA(),IF(N(D$8)=0,NA(),IF(Inputs!$C$17="Rebased to 100",$D376/D$8*100,$D376)))))</f>
        <v/>
      </c>
      <c r="K376" s="54">
        <f>IF($B376=0,NA(),IF($E376="",NA(),IF(E$8="",NA(),IF(N(E$8)=0,NA(),IF(Inputs!$C$17="Rebased to 100",$E376/E$8*100,$E376)))))</f>
        <v/>
      </c>
      <c r="L376" s="54">
        <f>IF($B376=0,NA(),IF($F376="",NA(),IF(F$8="",NA(),IF(N(F$8)=0,NA(),IF(Inputs!$C$17="Rebased to 100",$F376/F$8*100,$F376)))))</f>
        <v/>
      </c>
      <c r="M376" s="54">
        <f>IF($B376=0,NA(),IF($G376="",NA(),IF(G$8="",NA(),IF(N(G$8)=0,NA(),IF(Inputs!$C$17="Rebased to 100",$G376/G$8*100,$G376)))))</f>
        <v/>
      </c>
      <c r="N376" s="54">
        <f>IF($B376=0,NA(),IF(Inputs!$C$18&lt;&gt;"Yes",NA(),IF(COUNT(I376,J376,K376,L376,M376)=0,NA(),MIN(I376,J376,K376,L376,M376))))</f>
        <v/>
      </c>
      <c r="O376" s="54">
        <f>IF($B376=0,NA(),IF(Inputs!$B$24&lt;&gt;"Yes",NA(),Inputs!$D$24*Inputs!$C$35))</f>
        <v/>
      </c>
      <c r="P376" s="54">
        <f>IF($B376=0,NA(),IF(Inputs!$B$25&lt;&gt;"Yes",NA(),Inputs!$D$25*Inputs!$C$35))</f>
        <v/>
      </c>
      <c r="Q376" s="54">
        <f>IF($B376=0,NA(),IF(Inputs!$B$26&lt;&gt;"Yes",NA(),Inputs!$D$26*Inputs!$C$35))</f>
        <v/>
      </c>
      <c r="R376" s="54">
        <f>IF($B376=0,NA(),IF(Inputs!$B$27&lt;&gt;"Yes",NA(),Inputs!$D$27*Inputs!$C$35))</f>
        <v/>
      </c>
      <c r="S376" s="54">
        <f>IF($B376=0,NA(),IF(Inputs!$B$28&lt;&gt;"Yes",NA(),Inputs!$D$28*Inputs!$C$35))</f>
        <v/>
      </c>
      <c r="T376" s="54">
        <f>IF($B376=0,NA(),IF(Inputs!$B$29&lt;&gt;"Yes",NA(),Inputs!$D$29*Inputs!$C$35))</f>
        <v/>
      </c>
      <c r="AD376">
        <f>IF($B376=0,0,IF(Inputs!$B$6="",0,COUNTIFS(Data!$A$10:$A$3209,"&gt;="&amp;$A376,Data!$A$10:$A$3209,"&lt;"&amp;$A376+1)))</f>
        <v/>
      </c>
      <c r="AE376">
        <f>IF($B376=0,0,IF(Inputs!$B$7="",0,COUNTIFS(Data!$E$10:$E$3209,"&gt;="&amp;$A376,Data!$E$10:$E$3209,"&lt;"&amp;$A376+1)))</f>
        <v/>
      </c>
      <c r="AF376">
        <f>IF($B376=0,0,IF(Inputs!$B$8="",0,COUNTIFS(Data!$I$10:$I$3209,"&gt;="&amp;$A376,Data!$I$10:$I$3209,"&lt;"&amp;$A376+1)))</f>
        <v/>
      </c>
      <c r="AG376">
        <f>IF($B376=0,0,IF(Inputs!$B$9="",0,COUNTIFS(Data!$M$10:$M$3209,"&gt;="&amp;$A376,Data!$M$10:$M$3209,"&lt;"&amp;$A376+1)))</f>
        <v/>
      </c>
      <c r="AH376">
        <f>IF($B376=0,0,IF(Inputs!$B$10="",0,COUNTIFS(Data!$Q$10:$Q$3209,"&gt;="&amp;$A376,Data!$Q$10:$Q$3209,"&lt;"&amp;$A376+1)))</f>
        <v/>
      </c>
    </row>
    <row r="377">
      <c r="A377" s="55">
        <f>MIN(Inputs!$C$15,$A376+IF(WEEKDAY($A376,2)=5,3,1))</f>
        <v/>
      </c>
      <c r="B377">
        <f>IF($A377&gt;$A376,1,0)</f>
        <v/>
      </c>
      <c r="C377" s="56">
        <f>IF($B377=0,"",IF(Inputs!$B$6="","",IF($AD377=0,C376,SUMIFS(Data!$B$10:$B$3209,Data!$A$10:$A$3209,"&gt;="&amp;$A377,Data!$A$10:$A$3209,"&lt;"&amp;$A377+1)/$AD377)))</f>
        <v/>
      </c>
      <c r="D377" s="56">
        <f>IF($B377=0,"",IF(Inputs!$B$7="","",IF($AE377=0,D376,SUMIFS(Data!$F$10:$F$3209,Data!$E$10:$E$3209,"&gt;="&amp;$A377,Data!$E$10:$E$3209,"&lt;"&amp;$A377+1)/$AE377)))</f>
        <v/>
      </c>
      <c r="E377" s="56">
        <f>IF($B377=0,"",IF(Inputs!$B$8="","",IF($AF377=0,E376,SUMIFS(Data!$J$10:$J$3209,Data!$I$10:$I$3209,"&gt;="&amp;$A377,Data!$I$10:$I$3209,"&lt;"&amp;$A377+1)/$AF377)))</f>
        <v/>
      </c>
      <c r="F377" s="56">
        <f>IF($B377=0,"",IF(Inputs!$B$9="","",IF($AG377=0,F376,SUMIFS(Data!$N$10:$N$3209,Data!$M$10:$M$3209,"&gt;="&amp;$A377,Data!$M$10:$M$3209,"&lt;"&amp;$A377+1)/$AG377)))</f>
        <v/>
      </c>
      <c r="G377" s="56">
        <f>IF($B377=0,"",IF(Inputs!$B$10="","",IF($AH377=0,G376,SUMIFS(Data!$R$10:$R$3209,Data!$Q$10:$Q$3209,"&gt;="&amp;$A377,Data!$Q$10:$Q$3209,"&lt;"&amp;$A377+1)/$AH377)))</f>
        <v/>
      </c>
      <c r="I377" s="54">
        <f>IF($B377=0,NA(),IF($C377="",NA(),IF(C$8="",NA(),IF(N(C$8)=0,NA(),IF(Inputs!$C$17="Rebased to 100",$C377/C$8*100,$C377)))))</f>
        <v/>
      </c>
      <c r="J377" s="54">
        <f>IF($B377=0,NA(),IF($D377="",NA(),IF(D$8="",NA(),IF(N(D$8)=0,NA(),IF(Inputs!$C$17="Rebased to 100",$D377/D$8*100,$D377)))))</f>
        <v/>
      </c>
      <c r="K377" s="54">
        <f>IF($B377=0,NA(),IF($E377="",NA(),IF(E$8="",NA(),IF(N(E$8)=0,NA(),IF(Inputs!$C$17="Rebased to 100",$E377/E$8*100,$E377)))))</f>
        <v/>
      </c>
      <c r="L377" s="54">
        <f>IF($B377=0,NA(),IF($F377="",NA(),IF(F$8="",NA(),IF(N(F$8)=0,NA(),IF(Inputs!$C$17="Rebased to 100",$F377/F$8*100,$F377)))))</f>
        <v/>
      </c>
      <c r="M377" s="54">
        <f>IF($B377=0,NA(),IF($G377="",NA(),IF(G$8="",NA(),IF(N(G$8)=0,NA(),IF(Inputs!$C$17="Rebased to 100",$G377/G$8*100,$G377)))))</f>
        <v/>
      </c>
      <c r="N377" s="54">
        <f>IF($B377=0,NA(),IF(Inputs!$C$18&lt;&gt;"Yes",NA(),IF(COUNT(I377,J377,K377,L377,M377)=0,NA(),MIN(I377,J377,K377,L377,M377))))</f>
        <v/>
      </c>
      <c r="O377" s="54">
        <f>IF($B377=0,NA(),IF(Inputs!$B$24&lt;&gt;"Yes",NA(),Inputs!$D$24*Inputs!$C$35))</f>
        <v/>
      </c>
      <c r="P377" s="54">
        <f>IF($B377=0,NA(),IF(Inputs!$B$25&lt;&gt;"Yes",NA(),Inputs!$D$25*Inputs!$C$35))</f>
        <v/>
      </c>
      <c r="Q377" s="54">
        <f>IF($B377=0,NA(),IF(Inputs!$B$26&lt;&gt;"Yes",NA(),Inputs!$D$26*Inputs!$C$35))</f>
        <v/>
      </c>
      <c r="R377" s="54">
        <f>IF($B377=0,NA(),IF(Inputs!$B$27&lt;&gt;"Yes",NA(),Inputs!$D$27*Inputs!$C$35))</f>
        <v/>
      </c>
      <c r="S377" s="54">
        <f>IF($B377=0,NA(),IF(Inputs!$B$28&lt;&gt;"Yes",NA(),Inputs!$D$28*Inputs!$C$35))</f>
        <v/>
      </c>
      <c r="T377" s="54">
        <f>IF($B377=0,NA(),IF(Inputs!$B$29&lt;&gt;"Yes",NA(),Inputs!$D$29*Inputs!$C$35))</f>
        <v/>
      </c>
      <c r="AD377">
        <f>IF($B377=0,0,IF(Inputs!$B$6="",0,COUNTIFS(Data!$A$10:$A$3209,"&gt;="&amp;$A377,Data!$A$10:$A$3209,"&lt;"&amp;$A377+1)))</f>
        <v/>
      </c>
      <c r="AE377">
        <f>IF($B377=0,0,IF(Inputs!$B$7="",0,COUNTIFS(Data!$E$10:$E$3209,"&gt;="&amp;$A377,Data!$E$10:$E$3209,"&lt;"&amp;$A377+1)))</f>
        <v/>
      </c>
      <c r="AF377">
        <f>IF($B377=0,0,IF(Inputs!$B$8="",0,COUNTIFS(Data!$I$10:$I$3209,"&gt;="&amp;$A377,Data!$I$10:$I$3209,"&lt;"&amp;$A377+1)))</f>
        <v/>
      </c>
      <c r="AG377">
        <f>IF($B377=0,0,IF(Inputs!$B$9="",0,COUNTIFS(Data!$M$10:$M$3209,"&gt;="&amp;$A377,Data!$M$10:$M$3209,"&lt;"&amp;$A377+1)))</f>
        <v/>
      </c>
      <c r="AH377">
        <f>IF($B377=0,0,IF(Inputs!$B$10="",0,COUNTIFS(Data!$Q$10:$Q$3209,"&gt;="&amp;$A377,Data!$Q$10:$Q$3209,"&lt;"&amp;$A377+1)))</f>
        <v/>
      </c>
    </row>
    <row r="378">
      <c r="A378" s="55">
        <f>MIN(Inputs!$C$15,$A377+IF(WEEKDAY($A377,2)=5,3,1))</f>
        <v/>
      </c>
      <c r="B378">
        <f>IF($A378&gt;$A377,1,0)</f>
        <v/>
      </c>
      <c r="C378" s="56">
        <f>IF($B378=0,"",IF(Inputs!$B$6="","",IF($AD378=0,C377,SUMIFS(Data!$B$10:$B$3209,Data!$A$10:$A$3209,"&gt;="&amp;$A378,Data!$A$10:$A$3209,"&lt;"&amp;$A378+1)/$AD378)))</f>
        <v/>
      </c>
      <c r="D378" s="56">
        <f>IF($B378=0,"",IF(Inputs!$B$7="","",IF($AE378=0,D377,SUMIFS(Data!$F$10:$F$3209,Data!$E$10:$E$3209,"&gt;="&amp;$A378,Data!$E$10:$E$3209,"&lt;"&amp;$A378+1)/$AE378)))</f>
        <v/>
      </c>
      <c r="E378" s="56">
        <f>IF($B378=0,"",IF(Inputs!$B$8="","",IF($AF378=0,E377,SUMIFS(Data!$J$10:$J$3209,Data!$I$10:$I$3209,"&gt;="&amp;$A378,Data!$I$10:$I$3209,"&lt;"&amp;$A378+1)/$AF378)))</f>
        <v/>
      </c>
      <c r="F378" s="56">
        <f>IF($B378=0,"",IF(Inputs!$B$9="","",IF($AG378=0,F377,SUMIFS(Data!$N$10:$N$3209,Data!$M$10:$M$3209,"&gt;="&amp;$A378,Data!$M$10:$M$3209,"&lt;"&amp;$A378+1)/$AG378)))</f>
        <v/>
      </c>
      <c r="G378" s="56">
        <f>IF($B378=0,"",IF(Inputs!$B$10="","",IF($AH378=0,G377,SUMIFS(Data!$R$10:$R$3209,Data!$Q$10:$Q$3209,"&gt;="&amp;$A378,Data!$Q$10:$Q$3209,"&lt;"&amp;$A378+1)/$AH378)))</f>
        <v/>
      </c>
      <c r="I378" s="54">
        <f>IF($B378=0,NA(),IF($C378="",NA(),IF(C$8="",NA(),IF(N(C$8)=0,NA(),IF(Inputs!$C$17="Rebased to 100",$C378/C$8*100,$C378)))))</f>
        <v/>
      </c>
      <c r="J378" s="54">
        <f>IF($B378=0,NA(),IF($D378="",NA(),IF(D$8="",NA(),IF(N(D$8)=0,NA(),IF(Inputs!$C$17="Rebased to 100",$D378/D$8*100,$D378)))))</f>
        <v/>
      </c>
      <c r="K378" s="54">
        <f>IF($B378=0,NA(),IF($E378="",NA(),IF(E$8="",NA(),IF(N(E$8)=0,NA(),IF(Inputs!$C$17="Rebased to 100",$E378/E$8*100,$E378)))))</f>
        <v/>
      </c>
      <c r="L378" s="54">
        <f>IF($B378=0,NA(),IF($F378="",NA(),IF(F$8="",NA(),IF(N(F$8)=0,NA(),IF(Inputs!$C$17="Rebased to 100",$F378/F$8*100,$F378)))))</f>
        <v/>
      </c>
      <c r="M378" s="54">
        <f>IF($B378=0,NA(),IF($G378="",NA(),IF(G$8="",NA(),IF(N(G$8)=0,NA(),IF(Inputs!$C$17="Rebased to 100",$G378/G$8*100,$G378)))))</f>
        <v/>
      </c>
      <c r="N378" s="54">
        <f>IF($B378=0,NA(),IF(Inputs!$C$18&lt;&gt;"Yes",NA(),IF(COUNT(I378,J378,K378,L378,M378)=0,NA(),MIN(I378,J378,K378,L378,M378))))</f>
        <v/>
      </c>
      <c r="O378" s="54">
        <f>IF($B378=0,NA(),IF(Inputs!$B$24&lt;&gt;"Yes",NA(),Inputs!$D$24*Inputs!$C$35))</f>
        <v/>
      </c>
      <c r="P378" s="54">
        <f>IF($B378=0,NA(),IF(Inputs!$B$25&lt;&gt;"Yes",NA(),Inputs!$D$25*Inputs!$C$35))</f>
        <v/>
      </c>
      <c r="Q378" s="54">
        <f>IF($B378=0,NA(),IF(Inputs!$B$26&lt;&gt;"Yes",NA(),Inputs!$D$26*Inputs!$C$35))</f>
        <v/>
      </c>
      <c r="R378" s="54">
        <f>IF($B378=0,NA(),IF(Inputs!$B$27&lt;&gt;"Yes",NA(),Inputs!$D$27*Inputs!$C$35))</f>
        <v/>
      </c>
      <c r="S378" s="54">
        <f>IF($B378=0,NA(),IF(Inputs!$B$28&lt;&gt;"Yes",NA(),Inputs!$D$28*Inputs!$C$35))</f>
        <v/>
      </c>
      <c r="T378" s="54">
        <f>IF($B378=0,NA(),IF(Inputs!$B$29&lt;&gt;"Yes",NA(),Inputs!$D$29*Inputs!$C$35))</f>
        <v/>
      </c>
      <c r="AD378">
        <f>IF($B378=0,0,IF(Inputs!$B$6="",0,COUNTIFS(Data!$A$10:$A$3209,"&gt;="&amp;$A378,Data!$A$10:$A$3209,"&lt;"&amp;$A378+1)))</f>
        <v/>
      </c>
      <c r="AE378">
        <f>IF($B378=0,0,IF(Inputs!$B$7="",0,COUNTIFS(Data!$E$10:$E$3209,"&gt;="&amp;$A378,Data!$E$10:$E$3209,"&lt;"&amp;$A378+1)))</f>
        <v/>
      </c>
      <c r="AF378">
        <f>IF($B378=0,0,IF(Inputs!$B$8="",0,COUNTIFS(Data!$I$10:$I$3209,"&gt;="&amp;$A378,Data!$I$10:$I$3209,"&lt;"&amp;$A378+1)))</f>
        <v/>
      </c>
      <c r="AG378">
        <f>IF($B378=0,0,IF(Inputs!$B$9="",0,COUNTIFS(Data!$M$10:$M$3209,"&gt;="&amp;$A378,Data!$M$10:$M$3209,"&lt;"&amp;$A378+1)))</f>
        <v/>
      </c>
      <c r="AH378">
        <f>IF($B378=0,0,IF(Inputs!$B$10="",0,COUNTIFS(Data!$Q$10:$Q$3209,"&gt;="&amp;$A378,Data!$Q$10:$Q$3209,"&lt;"&amp;$A378+1)))</f>
        <v/>
      </c>
    </row>
    <row r="379">
      <c r="A379" s="55">
        <f>MIN(Inputs!$C$15,$A378+IF(WEEKDAY($A378,2)=5,3,1))</f>
        <v/>
      </c>
      <c r="B379">
        <f>IF($A379&gt;$A378,1,0)</f>
        <v/>
      </c>
      <c r="C379" s="56">
        <f>IF($B379=0,"",IF(Inputs!$B$6="","",IF($AD379=0,C378,SUMIFS(Data!$B$10:$B$3209,Data!$A$10:$A$3209,"&gt;="&amp;$A379,Data!$A$10:$A$3209,"&lt;"&amp;$A379+1)/$AD379)))</f>
        <v/>
      </c>
      <c r="D379" s="56">
        <f>IF($B379=0,"",IF(Inputs!$B$7="","",IF($AE379=0,D378,SUMIFS(Data!$F$10:$F$3209,Data!$E$10:$E$3209,"&gt;="&amp;$A379,Data!$E$10:$E$3209,"&lt;"&amp;$A379+1)/$AE379)))</f>
        <v/>
      </c>
      <c r="E379" s="56">
        <f>IF($B379=0,"",IF(Inputs!$B$8="","",IF($AF379=0,E378,SUMIFS(Data!$J$10:$J$3209,Data!$I$10:$I$3209,"&gt;="&amp;$A379,Data!$I$10:$I$3209,"&lt;"&amp;$A379+1)/$AF379)))</f>
        <v/>
      </c>
      <c r="F379" s="56">
        <f>IF($B379=0,"",IF(Inputs!$B$9="","",IF($AG379=0,F378,SUMIFS(Data!$N$10:$N$3209,Data!$M$10:$M$3209,"&gt;="&amp;$A379,Data!$M$10:$M$3209,"&lt;"&amp;$A379+1)/$AG379)))</f>
        <v/>
      </c>
      <c r="G379" s="56">
        <f>IF($B379=0,"",IF(Inputs!$B$10="","",IF($AH379=0,G378,SUMIFS(Data!$R$10:$R$3209,Data!$Q$10:$Q$3209,"&gt;="&amp;$A379,Data!$Q$10:$Q$3209,"&lt;"&amp;$A379+1)/$AH379)))</f>
        <v/>
      </c>
      <c r="I379" s="54">
        <f>IF($B379=0,NA(),IF($C379="",NA(),IF(C$8="",NA(),IF(N(C$8)=0,NA(),IF(Inputs!$C$17="Rebased to 100",$C379/C$8*100,$C379)))))</f>
        <v/>
      </c>
      <c r="J379" s="54">
        <f>IF($B379=0,NA(),IF($D379="",NA(),IF(D$8="",NA(),IF(N(D$8)=0,NA(),IF(Inputs!$C$17="Rebased to 100",$D379/D$8*100,$D379)))))</f>
        <v/>
      </c>
      <c r="K379" s="54">
        <f>IF($B379=0,NA(),IF($E379="",NA(),IF(E$8="",NA(),IF(N(E$8)=0,NA(),IF(Inputs!$C$17="Rebased to 100",$E379/E$8*100,$E379)))))</f>
        <v/>
      </c>
      <c r="L379" s="54">
        <f>IF($B379=0,NA(),IF($F379="",NA(),IF(F$8="",NA(),IF(N(F$8)=0,NA(),IF(Inputs!$C$17="Rebased to 100",$F379/F$8*100,$F379)))))</f>
        <v/>
      </c>
      <c r="M379" s="54">
        <f>IF($B379=0,NA(),IF($G379="",NA(),IF(G$8="",NA(),IF(N(G$8)=0,NA(),IF(Inputs!$C$17="Rebased to 100",$G379/G$8*100,$G379)))))</f>
        <v/>
      </c>
      <c r="N379" s="54">
        <f>IF($B379=0,NA(),IF(Inputs!$C$18&lt;&gt;"Yes",NA(),IF(COUNT(I379,J379,K379,L379,M379)=0,NA(),MIN(I379,J379,K379,L379,M379))))</f>
        <v/>
      </c>
      <c r="O379" s="54">
        <f>IF($B379=0,NA(),IF(Inputs!$B$24&lt;&gt;"Yes",NA(),Inputs!$D$24*Inputs!$C$35))</f>
        <v/>
      </c>
      <c r="P379" s="54">
        <f>IF($B379=0,NA(),IF(Inputs!$B$25&lt;&gt;"Yes",NA(),Inputs!$D$25*Inputs!$C$35))</f>
        <v/>
      </c>
      <c r="Q379" s="54">
        <f>IF($B379=0,NA(),IF(Inputs!$B$26&lt;&gt;"Yes",NA(),Inputs!$D$26*Inputs!$C$35))</f>
        <v/>
      </c>
      <c r="R379" s="54">
        <f>IF($B379=0,NA(),IF(Inputs!$B$27&lt;&gt;"Yes",NA(),Inputs!$D$27*Inputs!$C$35))</f>
        <v/>
      </c>
      <c r="S379" s="54">
        <f>IF($B379=0,NA(),IF(Inputs!$B$28&lt;&gt;"Yes",NA(),Inputs!$D$28*Inputs!$C$35))</f>
        <v/>
      </c>
      <c r="T379" s="54">
        <f>IF($B379=0,NA(),IF(Inputs!$B$29&lt;&gt;"Yes",NA(),Inputs!$D$29*Inputs!$C$35))</f>
        <v/>
      </c>
      <c r="AD379">
        <f>IF($B379=0,0,IF(Inputs!$B$6="",0,COUNTIFS(Data!$A$10:$A$3209,"&gt;="&amp;$A379,Data!$A$10:$A$3209,"&lt;"&amp;$A379+1)))</f>
        <v/>
      </c>
      <c r="AE379">
        <f>IF($B379=0,0,IF(Inputs!$B$7="",0,COUNTIFS(Data!$E$10:$E$3209,"&gt;="&amp;$A379,Data!$E$10:$E$3209,"&lt;"&amp;$A379+1)))</f>
        <v/>
      </c>
      <c r="AF379">
        <f>IF($B379=0,0,IF(Inputs!$B$8="",0,COUNTIFS(Data!$I$10:$I$3209,"&gt;="&amp;$A379,Data!$I$10:$I$3209,"&lt;"&amp;$A379+1)))</f>
        <v/>
      </c>
      <c r="AG379">
        <f>IF($B379=0,0,IF(Inputs!$B$9="",0,COUNTIFS(Data!$M$10:$M$3209,"&gt;="&amp;$A379,Data!$M$10:$M$3209,"&lt;"&amp;$A379+1)))</f>
        <v/>
      </c>
      <c r="AH379">
        <f>IF($B379=0,0,IF(Inputs!$B$10="",0,COUNTIFS(Data!$Q$10:$Q$3209,"&gt;="&amp;$A379,Data!$Q$10:$Q$3209,"&lt;"&amp;$A379+1)))</f>
        <v/>
      </c>
    </row>
    <row r="380">
      <c r="A380" s="55">
        <f>MIN(Inputs!$C$15,$A379+IF(WEEKDAY($A379,2)=5,3,1))</f>
        <v/>
      </c>
      <c r="B380">
        <f>IF($A380&gt;$A379,1,0)</f>
        <v/>
      </c>
      <c r="C380" s="56">
        <f>IF($B380=0,"",IF(Inputs!$B$6="","",IF($AD380=0,C379,SUMIFS(Data!$B$10:$B$3209,Data!$A$10:$A$3209,"&gt;="&amp;$A380,Data!$A$10:$A$3209,"&lt;"&amp;$A380+1)/$AD380)))</f>
        <v/>
      </c>
      <c r="D380" s="56">
        <f>IF($B380=0,"",IF(Inputs!$B$7="","",IF($AE380=0,D379,SUMIFS(Data!$F$10:$F$3209,Data!$E$10:$E$3209,"&gt;="&amp;$A380,Data!$E$10:$E$3209,"&lt;"&amp;$A380+1)/$AE380)))</f>
        <v/>
      </c>
      <c r="E380" s="56">
        <f>IF($B380=0,"",IF(Inputs!$B$8="","",IF($AF380=0,E379,SUMIFS(Data!$J$10:$J$3209,Data!$I$10:$I$3209,"&gt;="&amp;$A380,Data!$I$10:$I$3209,"&lt;"&amp;$A380+1)/$AF380)))</f>
        <v/>
      </c>
      <c r="F380" s="56">
        <f>IF($B380=0,"",IF(Inputs!$B$9="","",IF($AG380=0,F379,SUMIFS(Data!$N$10:$N$3209,Data!$M$10:$M$3209,"&gt;="&amp;$A380,Data!$M$10:$M$3209,"&lt;"&amp;$A380+1)/$AG380)))</f>
        <v/>
      </c>
      <c r="G380" s="56">
        <f>IF($B380=0,"",IF(Inputs!$B$10="","",IF($AH380=0,G379,SUMIFS(Data!$R$10:$R$3209,Data!$Q$10:$Q$3209,"&gt;="&amp;$A380,Data!$Q$10:$Q$3209,"&lt;"&amp;$A380+1)/$AH380)))</f>
        <v/>
      </c>
      <c r="I380" s="54">
        <f>IF($B380=0,NA(),IF($C380="",NA(),IF(C$8="",NA(),IF(N(C$8)=0,NA(),IF(Inputs!$C$17="Rebased to 100",$C380/C$8*100,$C380)))))</f>
        <v/>
      </c>
      <c r="J380" s="54">
        <f>IF($B380=0,NA(),IF($D380="",NA(),IF(D$8="",NA(),IF(N(D$8)=0,NA(),IF(Inputs!$C$17="Rebased to 100",$D380/D$8*100,$D380)))))</f>
        <v/>
      </c>
      <c r="K380" s="54">
        <f>IF($B380=0,NA(),IF($E380="",NA(),IF(E$8="",NA(),IF(N(E$8)=0,NA(),IF(Inputs!$C$17="Rebased to 100",$E380/E$8*100,$E380)))))</f>
        <v/>
      </c>
      <c r="L380" s="54">
        <f>IF($B380=0,NA(),IF($F380="",NA(),IF(F$8="",NA(),IF(N(F$8)=0,NA(),IF(Inputs!$C$17="Rebased to 100",$F380/F$8*100,$F380)))))</f>
        <v/>
      </c>
      <c r="M380" s="54">
        <f>IF($B380=0,NA(),IF($G380="",NA(),IF(G$8="",NA(),IF(N(G$8)=0,NA(),IF(Inputs!$C$17="Rebased to 100",$G380/G$8*100,$G380)))))</f>
        <v/>
      </c>
      <c r="N380" s="54">
        <f>IF($B380=0,NA(),IF(Inputs!$C$18&lt;&gt;"Yes",NA(),IF(COUNT(I380,J380,K380,L380,M380)=0,NA(),MIN(I380,J380,K380,L380,M380))))</f>
        <v/>
      </c>
      <c r="O380" s="54">
        <f>IF($B380=0,NA(),IF(Inputs!$B$24&lt;&gt;"Yes",NA(),Inputs!$D$24*Inputs!$C$35))</f>
        <v/>
      </c>
      <c r="P380" s="54">
        <f>IF($B380=0,NA(),IF(Inputs!$B$25&lt;&gt;"Yes",NA(),Inputs!$D$25*Inputs!$C$35))</f>
        <v/>
      </c>
      <c r="Q380" s="54">
        <f>IF($B380=0,NA(),IF(Inputs!$B$26&lt;&gt;"Yes",NA(),Inputs!$D$26*Inputs!$C$35))</f>
        <v/>
      </c>
      <c r="R380" s="54">
        <f>IF($B380=0,NA(),IF(Inputs!$B$27&lt;&gt;"Yes",NA(),Inputs!$D$27*Inputs!$C$35))</f>
        <v/>
      </c>
      <c r="S380" s="54">
        <f>IF($B380=0,NA(),IF(Inputs!$B$28&lt;&gt;"Yes",NA(),Inputs!$D$28*Inputs!$C$35))</f>
        <v/>
      </c>
      <c r="T380" s="54">
        <f>IF($B380=0,NA(),IF(Inputs!$B$29&lt;&gt;"Yes",NA(),Inputs!$D$29*Inputs!$C$35))</f>
        <v/>
      </c>
      <c r="AD380">
        <f>IF($B380=0,0,IF(Inputs!$B$6="",0,COUNTIFS(Data!$A$10:$A$3209,"&gt;="&amp;$A380,Data!$A$10:$A$3209,"&lt;"&amp;$A380+1)))</f>
        <v/>
      </c>
      <c r="AE380">
        <f>IF($B380=0,0,IF(Inputs!$B$7="",0,COUNTIFS(Data!$E$10:$E$3209,"&gt;="&amp;$A380,Data!$E$10:$E$3209,"&lt;"&amp;$A380+1)))</f>
        <v/>
      </c>
      <c r="AF380">
        <f>IF($B380=0,0,IF(Inputs!$B$8="",0,COUNTIFS(Data!$I$10:$I$3209,"&gt;="&amp;$A380,Data!$I$10:$I$3209,"&lt;"&amp;$A380+1)))</f>
        <v/>
      </c>
      <c r="AG380">
        <f>IF($B380=0,0,IF(Inputs!$B$9="",0,COUNTIFS(Data!$M$10:$M$3209,"&gt;="&amp;$A380,Data!$M$10:$M$3209,"&lt;"&amp;$A380+1)))</f>
        <v/>
      </c>
      <c r="AH380">
        <f>IF($B380=0,0,IF(Inputs!$B$10="",0,COUNTIFS(Data!$Q$10:$Q$3209,"&gt;="&amp;$A380,Data!$Q$10:$Q$3209,"&lt;"&amp;$A380+1)))</f>
        <v/>
      </c>
    </row>
    <row r="381">
      <c r="A381" s="55">
        <f>MIN(Inputs!$C$15,$A380+IF(WEEKDAY($A380,2)=5,3,1))</f>
        <v/>
      </c>
      <c r="B381">
        <f>IF($A381&gt;$A380,1,0)</f>
        <v/>
      </c>
      <c r="C381" s="56">
        <f>IF($B381=0,"",IF(Inputs!$B$6="","",IF($AD381=0,C380,SUMIFS(Data!$B$10:$B$3209,Data!$A$10:$A$3209,"&gt;="&amp;$A381,Data!$A$10:$A$3209,"&lt;"&amp;$A381+1)/$AD381)))</f>
        <v/>
      </c>
      <c r="D381" s="56">
        <f>IF($B381=0,"",IF(Inputs!$B$7="","",IF($AE381=0,D380,SUMIFS(Data!$F$10:$F$3209,Data!$E$10:$E$3209,"&gt;="&amp;$A381,Data!$E$10:$E$3209,"&lt;"&amp;$A381+1)/$AE381)))</f>
        <v/>
      </c>
      <c r="E381" s="56">
        <f>IF($B381=0,"",IF(Inputs!$B$8="","",IF($AF381=0,E380,SUMIFS(Data!$J$10:$J$3209,Data!$I$10:$I$3209,"&gt;="&amp;$A381,Data!$I$10:$I$3209,"&lt;"&amp;$A381+1)/$AF381)))</f>
        <v/>
      </c>
      <c r="F381" s="56">
        <f>IF($B381=0,"",IF(Inputs!$B$9="","",IF($AG381=0,F380,SUMIFS(Data!$N$10:$N$3209,Data!$M$10:$M$3209,"&gt;="&amp;$A381,Data!$M$10:$M$3209,"&lt;"&amp;$A381+1)/$AG381)))</f>
        <v/>
      </c>
      <c r="G381" s="56">
        <f>IF($B381=0,"",IF(Inputs!$B$10="","",IF($AH381=0,G380,SUMIFS(Data!$R$10:$R$3209,Data!$Q$10:$Q$3209,"&gt;="&amp;$A381,Data!$Q$10:$Q$3209,"&lt;"&amp;$A381+1)/$AH381)))</f>
        <v/>
      </c>
      <c r="I381" s="54">
        <f>IF($B381=0,NA(),IF($C381="",NA(),IF(C$8="",NA(),IF(N(C$8)=0,NA(),IF(Inputs!$C$17="Rebased to 100",$C381/C$8*100,$C381)))))</f>
        <v/>
      </c>
      <c r="J381" s="54">
        <f>IF($B381=0,NA(),IF($D381="",NA(),IF(D$8="",NA(),IF(N(D$8)=0,NA(),IF(Inputs!$C$17="Rebased to 100",$D381/D$8*100,$D381)))))</f>
        <v/>
      </c>
      <c r="K381" s="54">
        <f>IF($B381=0,NA(),IF($E381="",NA(),IF(E$8="",NA(),IF(N(E$8)=0,NA(),IF(Inputs!$C$17="Rebased to 100",$E381/E$8*100,$E381)))))</f>
        <v/>
      </c>
      <c r="L381" s="54">
        <f>IF($B381=0,NA(),IF($F381="",NA(),IF(F$8="",NA(),IF(N(F$8)=0,NA(),IF(Inputs!$C$17="Rebased to 100",$F381/F$8*100,$F381)))))</f>
        <v/>
      </c>
      <c r="M381" s="54">
        <f>IF($B381=0,NA(),IF($G381="",NA(),IF(G$8="",NA(),IF(N(G$8)=0,NA(),IF(Inputs!$C$17="Rebased to 100",$G381/G$8*100,$G381)))))</f>
        <v/>
      </c>
      <c r="N381" s="54">
        <f>IF($B381=0,NA(),IF(Inputs!$C$18&lt;&gt;"Yes",NA(),IF(COUNT(I381,J381,K381,L381,M381)=0,NA(),MIN(I381,J381,K381,L381,M381))))</f>
        <v/>
      </c>
      <c r="O381" s="54">
        <f>IF($B381=0,NA(),IF(Inputs!$B$24&lt;&gt;"Yes",NA(),Inputs!$D$24*Inputs!$C$35))</f>
        <v/>
      </c>
      <c r="P381" s="54">
        <f>IF($B381=0,NA(),IF(Inputs!$B$25&lt;&gt;"Yes",NA(),Inputs!$D$25*Inputs!$C$35))</f>
        <v/>
      </c>
      <c r="Q381" s="54">
        <f>IF($B381=0,NA(),IF(Inputs!$B$26&lt;&gt;"Yes",NA(),Inputs!$D$26*Inputs!$C$35))</f>
        <v/>
      </c>
      <c r="R381" s="54">
        <f>IF($B381=0,NA(),IF(Inputs!$B$27&lt;&gt;"Yes",NA(),Inputs!$D$27*Inputs!$C$35))</f>
        <v/>
      </c>
      <c r="S381" s="54">
        <f>IF($B381=0,NA(),IF(Inputs!$B$28&lt;&gt;"Yes",NA(),Inputs!$D$28*Inputs!$C$35))</f>
        <v/>
      </c>
      <c r="T381" s="54">
        <f>IF($B381=0,NA(),IF(Inputs!$B$29&lt;&gt;"Yes",NA(),Inputs!$D$29*Inputs!$C$35))</f>
        <v/>
      </c>
      <c r="AD381">
        <f>IF($B381=0,0,IF(Inputs!$B$6="",0,COUNTIFS(Data!$A$10:$A$3209,"&gt;="&amp;$A381,Data!$A$10:$A$3209,"&lt;"&amp;$A381+1)))</f>
        <v/>
      </c>
      <c r="AE381">
        <f>IF($B381=0,0,IF(Inputs!$B$7="",0,COUNTIFS(Data!$E$10:$E$3209,"&gt;="&amp;$A381,Data!$E$10:$E$3209,"&lt;"&amp;$A381+1)))</f>
        <v/>
      </c>
      <c r="AF381">
        <f>IF($B381=0,0,IF(Inputs!$B$8="",0,COUNTIFS(Data!$I$10:$I$3209,"&gt;="&amp;$A381,Data!$I$10:$I$3209,"&lt;"&amp;$A381+1)))</f>
        <v/>
      </c>
      <c r="AG381">
        <f>IF($B381=0,0,IF(Inputs!$B$9="",0,COUNTIFS(Data!$M$10:$M$3209,"&gt;="&amp;$A381,Data!$M$10:$M$3209,"&lt;"&amp;$A381+1)))</f>
        <v/>
      </c>
      <c r="AH381">
        <f>IF($B381=0,0,IF(Inputs!$B$10="",0,COUNTIFS(Data!$Q$10:$Q$3209,"&gt;="&amp;$A381,Data!$Q$10:$Q$3209,"&lt;"&amp;$A381+1)))</f>
        <v/>
      </c>
    </row>
    <row r="382">
      <c r="A382" s="55">
        <f>MIN(Inputs!$C$15,$A381+IF(WEEKDAY($A381,2)=5,3,1))</f>
        <v/>
      </c>
      <c r="B382">
        <f>IF($A382&gt;$A381,1,0)</f>
        <v/>
      </c>
      <c r="C382" s="56">
        <f>IF($B382=0,"",IF(Inputs!$B$6="","",IF($AD382=0,C381,SUMIFS(Data!$B$10:$B$3209,Data!$A$10:$A$3209,"&gt;="&amp;$A382,Data!$A$10:$A$3209,"&lt;"&amp;$A382+1)/$AD382)))</f>
        <v/>
      </c>
      <c r="D382" s="56">
        <f>IF($B382=0,"",IF(Inputs!$B$7="","",IF($AE382=0,D381,SUMIFS(Data!$F$10:$F$3209,Data!$E$10:$E$3209,"&gt;="&amp;$A382,Data!$E$10:$E$3209,"&lt;"&amp;$A382+1)/$AE382)))</f>
        <v/>
      </c>
      <c r="E382" s="56">
        <f>IF($B382=0,"",IF(Inputs!$B$8="","",IF($AF382=0,E381,SUMIFS(Data!$J$10:$J$3209,Data!$I$10:$I$3209,"&gt;="&amp;$A382,Data!$I$10:$I$3209,"&lt;"&amp;$A382+1)/$AF382)))</f>
        <v/>
      </c>
      <c r="F382" s="56">
        <f>IF($B382=0,"",IF(Inputs!$B$9="","",IF($AG382=0,F381,SUMIFS(Data!$N$10:$N$3209,Data!$M$10:$M$3209,"&gt;="&amp;$A382,Data!$M$10:$M$3209,"&lt;"&amp;$A382+1)/$AG382)))</f>
        <v/>
      </c>
      <c r="G382" s="56">
        <f>IF($B382=0,"",IF(Inputs!$B$10="","",IF($AH382=0,G381,SUMIFS(Data!$R$10:$R$3209,Data!$Q$10:$Q$3209,"&gt;="&amp;$A382,Data!$Q$10:$Q$3209,"&lt;"&amp;$A382+1)/$AH382)))</f>
        <v/>
      </c>
      <c r="I382" s="54">
        <f>IF($B382=0,NA(),IF($C382="",NA(),IF(C$8="",NA(),IF(N(C$8)=0,NA(),IF(Inputs!$C$17="Rebased to 100",$C382/C$8*100,$C382)))))</f>
        <v/>
      </c>
      <c r="J382" s="54">
        <f>IF($B382=0,NA(),IF($D382="",NA(),IF(D$8="",NA(),IF(N(D$8)=0,NA(),IF(Inputs!$C$17="Rebased to 100",$D382/D$8*100,$D382)))))</f>
        <v/>
      </c>
      <c r="K382" s="54">
        <f>IF($B382=0,NA(),IF($E382="",NA(),IF(E$8="",NA(),IF(N(E$8)=0,NA(),IF(Inputs!$C$17="Rebased to 100",$E382/E$8*100,$E382)))))</f>
        <v/>
      </c>
      <c r="L382" s="54">
        <f>IF($B382=0,NA(),IF($F382="",NA(),IF(F$8="",NA(),IF(N(F$8)=0,NA(),IF(Inputs!$C$17="Rebased to 100",$F382/F$8*100,$F382)))))</f>
        <v/>
      </c>
      <c r="M382" s="54">
        <f>IF($B382=0,NA(),IF($G382="",NA(),IF(G$8="",NA(),IF(N(G$8)=0,NA(),IF(Inputs!$C$17="Rebased to 100",$G382/G$8*100,$G382)))))</f>
        <v/>
      </c>
      <c r="N382" s="54">
        <f>IF($B382=0,NA(),IF(Inputs!$C$18&lt;&gt;"Yes",NA(),IF(COUNT(I382,J382,K382,L382,M382)=0,NA(),MIN(I382,J382,K382,L382,M382))))</f>
        <v/>
      </c>
      <c r="O382" s="54">
        <f>IF($B382=0,NA(),IF(Inputs!$B$24&lt;&gt;"Yes",NA(),Inputs!$D$24*Inputs!$C$35))</f>
        <v/>
      </c>
      <c r="P382" s="54">
        <f>IF($B382=0,NA(),IF(Inputs!$B$25&lt;&gt;"Yes",NA(),Inputs!$D$25*Inputs!$C$35))</f>
        <v/>
      </c>
      <c r="Q382" s="54">
        <f>IF($B382=0,NA(),IF(Inputs!$B$26&lt;&gt;"Yes",NA(),Inputs!$D$26*Inputs!$C$35))</f>
        <v/>
      </c>
      <c r="R382" s="54">
        <f>IF($B382=0,NA(),IF(Inputs!$B$27&lt;&gt;"Yes",NA(),Inputs!$D$27*Inputs!$C$35))</f>
        <v/>
      </c>
      <c r="S382" s="54">
        <f>IF($B382=0,NA(),IF(Inputs!$B$28&lt;&gt;"Yes",NA(),Inputs!$D$28*Inputs!$C$35))</f>
        <v/>
      </c>
      <c r="T382" s="54">
        <f>IF($B382=0,NA(),IF(Inputs!$B$29&lt;&gt;"Yes",NA(),Inputs!$D$29*Inputs!$C$35))</f>
        <v/>
      </c>
      <c r="AD382">
        <f>IF($B382=0,0,IF(Inputs!$B$6="",0,COUNTIFS(Data!$A$10:$A$3209,"&gt;="&amp;$A382,Data!$A$10:$A$3209,"&lt;"&amp;$A382+1)))</f>
        <v/>
      </c>
      <c r="AE382">
        <f>IF($B382=0,0,IF(Inputs!$B$7="",0,COUNTIFS(Data!$E$10:$E$3209,"&gt;="&amp;$A382,Data!$E$10:$E$3209,"&lt;"&amp;$A382+1)))</f>
        <v/>
      </c>
      <c r="AF382">
        <f>IF($B382=0,0,IF(Inputs!$B$8="",0,COUNTIFS(Data!$I$10:$I$3209,"&gt;="&amp;$A382,Data!$I$10:$I$3209,"&lt;"&amp;$A382+1)))</f>
        <v/>
      </c>
      <c r="AG382">
        <f>IF($B382=0,0,IF(Inputs!$B$9="",0,COUNTIFS(Data!$M$10:$M$3209,"&gt;="&amp;$A382,Data!$M$10:$M$3209,"&lt;"&amp;$A382+1)))</f>
        <v/>
      </c>
      <c r="AH382">
        <f>IF($B382=0,0,IF(Inputs!$B$10="",0,COUNTIFS(Data!$Q$10:$Q$3209,"&gt;="&amp;$A382,Data!$Q$10:$Q$3209,"&lt;"&amp;$A382+1)))</f>
        <v/>
      </c>
    </row>
    <row r="383">
      <c r="A383" s="55">
        <f>MIN(Inputs!$C$15,$A382+IF(WEEKDAY($A382,2)=5,3,1))</f>
        <v/>
      </c>
      <c r="B383">
        <f>IF($A383&gt;$A382,1,0)</f>
        <v/>
      </c>
      <c r="C383" s="56">
        <f>IF($B383=0,"",IF(Inputs!$B$6="","",IF($AD383=0,C382,SUMIFS(Data!$B$10:$B$3209,Data!$A$10:$A$3209,"&gt;="&amp;$A383,Data!$A$10:$A$3209,"&lt;"&amp;$A383+1)/$AD383)))</f>
        <v/>
      </c>
      <c r="D383" s="56">
        <f>IF($B383=0,"",IF(Inputs!$B$7="","",IF($AE383=0,D382,SUMIFS(Data!$F$10:$F$3209,Data!$E$10:$E$3209,"&gt;="&amp;$A383,Data!$E$10:$E$3209,"&lt;"&amp;$A383+1)/$AE383)))</f>
        <v/>
      </c>
      <c r="E383" s="56">
        <f>IF($B383=0,"",IF(Inputs!$B$8="","",IF($AF383=0,E382,SUMIFS(Data!$J$10:$J$3209,Data!$I$10:$I$3209,"&gt;="&amp;$A383,Data!$I$10:$I$3209,"&lt;"&amp;$A383+1)/$AF383)))</f>
        <v/>
      </c>
      <c r="F383" s="56">
        <f>IF($B383=0,"",IF(Inputs!$B$9="","",IF($AG383=0,F382,SUMIFS(Data!$N$10:$N$3209,Data!$M$10:$M$3209,"&gt;="&amp;$A383,Data!$M$10:$M$3209,"&lt;"&amp;$A383+1)/$AG383)))</f>
        <v/>
      </c>
      <c r="G383" s="56">
        <f>IF($B383=0,"",IF(Inputs!$B$10="","",IF($AH383=0,G382,SUMIFS(Data!$R$10:$R$3209,Data!$Q$10:$Q$3209,"&gt;="&amp;$A383,Data!$Q$10:$Q$3209,"&lt;"&amp;$A383+1)/$AH383)))</f>
        <v/>
      </c>
      <c r="I383" s="54">
        <f>IF($B383=0,NA(),IF($C383="",NA(),IF(C$8="",NA(),IF(N(C$8)=0,NA(),IF(Inputs!$C$17="Rebased to 100",$C383/C$8*100,$C383)))))</f>
        <v/>
      </c>
      <c r="J383" s="54">
        <f>IF($B383=0,NA(),IF($D383="",NA(),IF(D$8="",NA(),IF(N(D$8)=0,NA(),IF(Inputs!$C$17="Rebased to 100",$D383/D$8*100,$D383)))))</f>
        <v/>
      </c>
      <c r="K383" s="54">
        <f>IF($B383=0,NA(),IF($E383="",NA(),IF(E$8="",NA(),IF(N(E$8)=0,NA(),IF(Inputs!$C$17="Rebased to 100",$E383/E$8*100,$E383)))))</f>
        <v/>
      </c>
      <c r="L383" s="54">
        <f>IF($B383=0,NA(),IF($F383="",NA(),IF(F$8="",NA(),IF(N(F$8)=0,NA(),IF(Inputs!$C$17="Rebased to 100",$F383/F$8*100,$F383)))))</f>
        <v/>
      </c>
      <c r="M383" s="54">
        <f>IF($B383=0,NA(),IF($G383="",NA(),IF(G$8="",NA(),IF(N(G$8)=0,NA(),IF(Inputs!$C$17="Rebased to 100",$G383/G$8*100,$G383)))))</f>
        <v/>
      </c>
      <c r="N383" s="54">
        <f>IF($B383=0,NA(),IF(Inputs!$C$18&lt;&gt;"Yes",NA(),IF(COUNT(I383,J383,K383,L383,M383)=0,NA(),MIN(I383,J383,K383,L383,M383))))</f>
        <v/>
      </c>
      <c r="O383" s="54">
        <f>IF($B383=0,NA(),IF(Inputs!$B$24&lt;&gt;"Yes",NA(),Inputs!$D$24*Inputs!$C$35))</f>
        <v/>
      </c>
      <c r="P383" s="54">
        <f>IF($B383=0,NA(),IF(Inputs!$B$25&lt;&gt;"Yes",NA(),Inputs!$D$25*Inputs!$C$35))</f>
        <v/>
      </c>
      <c r="Q383" s="54">
        <f>IF($B383=0,NA(),IF(Inputs!$B$26&lt;&gt;"Yes",NA(),Inputs!$D$26*Inputs!$C$35))</f>
        <v/>
      </c>
      <c r="R383" s="54">
        <f>IF($B383=0,NA(),IF(Inputs!$B$27&lt;&gt;"Yes",NA(),Inputs!$D$27*Inputs!$C$35))</f>
        <v/>
      </c>
      <c r="S383" s="54">
        <f>IF($B383=0,NA(),IF(Inputs!$B$28&lt;&gt;"Yes",NA(),Inputs!$D$28*Inputs!$C$35))</f>
        <v/>
      </c>
      <c r="T383" s="54">
        <f>IF($B383=0,NA(),IF(Inputs!$B$29&lt;&gt;"Yes",NA(),Inputs!$D$29*Inputs!$C$35))</f>
        <v/>
      </c>
      <c r="AD383">
        <f>IF($B383=0,0,IF(Inputs!$B$6="",0,COUNTIFS(Data!$A$10:$A$3209,"&gt;="&amp;$A383,Data!$A$10:$A$3209,"&lt;"&amp;$A383+1)))</f>
        <v/>
      </c>
      <c r="AE383">
        <f>IF($B383=0,0,IF(Inputs!$B$7="",0,COUNTIFS(Data!$E$10:$E$3209,"&gt;="&amp;$A383,Data!$E$10:$E$3209,"&lt;"&amp;$A383+1)))</f>
        <v/>
      </c>
      <c r="AF383">
        <f>IF($B383=0,0,IF(Inputs!$B$8="",0,COUNTIFS(Data!$I$10:$I$3209,"&gt;="&amp;$A383,Data!$I$10:$I$3209,"&lt;"&amp;$A383+1)))</f>
        <v/>
      </c>
      <c r="AG383">
        <f>IF($B383=0,0,IF(Inputs!$B$9="",0,COUNTIFS(Data!$M$10:$M$3209,"&gt;="&amp;$A383,Data!$M$10:$M$3209,"&lt;"&amp;$A383+1)))</f>
        <v/>
      </c>
      <c r="AH383">
        <f>IF($B383=0,0,IF(Inputs!$B$10="",0,COUNTIFS(Data!$Q$10:$Q$3209,"&gt;="&amp;$A383,Data!$Q$10:$Q$3209,"&lt;"&amp;$A383+1)))</f>
        <v/>
      </c>
    </row>
    <row r="384">
      <c r="A384" s="55">
        <f>MIN(Inputs!$C$15,$A383+IF(WEEKDAY($A383,2)=5,3,1))</f>
        <v/>
      </c>
      <c r="B384">
        <f>IF($A384&gt;$A383,1,0)</f>
        <v/>
      </c>
      <c r="C384" s="56">
        <f>IF($B384=0,"",IF(Inputs!$B$6="","",IF($AD384=0,C383,SUMIFS(Data!$B$10:$B$3209,Data!$A$10:$A$3209,"&gt;="&amp;$A384,Data!$A$10:$A$3209,"&lt;"&amp;$A384+1)/$AD384)))</f>
        <v/>
      </c>
      <c r="D384" s="56">
        <f>IF($B384=0,"",IF(Inputs!$B$7="","",IF($AE384=0,D383,SUMIFS(Data!$F$10:$F$3209,Data!$E$10:$E$3209,"&gt;="&amp;$A384,Data!$E$10:$E$3209,"&lt;"&amp;$A384+1)/$AE384)))</f>
        <v/>
      </c>
      <c r="E384" s="56">
        <f>IF($B384=0,"",IF(Inputs!$B$8="","",IF($AF384=0,E383,SUMIFS(Data!$J$10:$J$3209,Data!$I$10:$I$3209,"&gt;="&amp;$A384,Data!$I$10:$I$3209,"&lt;"&amp;$A384+1)/$AF384)))</f>
        <v/>
      </c>
      <c r="F384" s="56">
        <f>IF($B384=0,"",IF(Inputs!$B$9="","",IF($AG384=0,F383,SUMIFS(Data!$N$10:$N$3209,Data!$M$10:$M$3209,"&gt;="&amp;$A384,Data!$M$10:$M$3209,"&lt;"&amp;$A384+1)/$AG384)))</f>
        <v/>
      </c>
      <c r="G384" s="56">
        <f>IF($B384=0,"",IF(Inputs!$B$10="","",IF($AH384=0,G383,SUMIFS(Data!$R$10:$R$3209,Data!$Q$10:$Q$3209,"&gt;="&amp;$A384,Data!$Q$10:$Q$3209,"&lt;"&amp;$A384+1)/$AH384)))</f>
        <v/>
      </c>
      <c r="I384" s="54">
        <f>IF($B384=0,NA(),IF($C384="",NA(),IF(C$8="",NA(),IF(N(C$8)=0,NA(),IF(Inputs!$C$17="Rebased to 100",$C384/C$8*100,$C384)))))</f>
        <v/>
      </c>
      <c r="J384" s="54">
        <f>IF($B384=0,NA(),IF($D384="",NA(),IF(D$8="",NA(),IF(N(D$8)=0,NA(),IF(Inputs!$C$17="Rebased to 100",$D384/D$8*100,$D384)))))</f>
        <v/>
      </c>
      <c r="K384" s="54">
        <f>IF($B384=0,NA(),IF($E384="",NA(),IF(E$8="",NA(),IF(N(E$8)=0,NA(),IF(Inputs!$C$17="Rebased to 100",$E384/E$8*100,$E384)))))</f>
        <v/>
      </c>
      <c r="L384" s="54">
        <f>IF($B384=0,NA(),IF($F384="",NA(),IF(F$8="",NA(),IF(N(F$8)=0,NA(),IF(Inputs!$C$17="Rebased to 100",$F384/F$8*100,$F384)))))</f>
        <v/>
      </c>
      <c r="M384" s="54">
        <f>IF($B384=0,NA(),IF($G384="",NA(),IF(G$8="",NA(),IF(N(G$8)=0,NA(),IF(Inputs!$C$17="Rebased to 100",$G384/G$8*100,$G384)))))</f>
        <v/>
      </c>
      <c r="N384" s="54">
        <f>IF($B384=0,NA(),IF(Inputs!$C$18&lt;&gt;"Yes",NA(),IF(COUNT(I384,J384,K384,L384,M384)=0,NA(),MIN(I384,J384,K384,L384,M384))))</f>
        <v/>
      </c>
      <c r="O384" s="54">
        <f>IF($B384=0,NA(),IF(Inputs!$B$24&lt;&gt;"Yes",NA(),Inputs!$D$24*Inputs!$C$35))</f>
        <v/>
      </c>
      <c r="P384" s="54">
        <f>IF($B384=0,NA(),IF(Inputs!$B$25&lt;&gt;"Yes",NA(),Inputs!$D$25*Inputs!$C$35))</f>
        <v/>
      </c>
      <c r="Q384" s="54">
        <f>IF($B384=0,NA(),IF(Inputs!$B$26&lt;&gt;"Yes",NA(),Inputs!$D$26*Inputs!$C$35))</f>
        <v/>
      </c>
      <c r="R384" s="54">
        <f>IF($B384=0,NA(),IF(Inputs!$B$27&lt;&gt;"Yes",NA(),Inputs!$D$27*Inputs!$C$35))</f>
        <v/>
      </c>
      <c r="S384" s="54">
        <f>IF($B384=0,NA(),IF(Inputs!$B$28&lt;&gt;"Yes",NA(),Inputs!$D$28*Inputs!$C$35))</f>
        <v/>
      </c>
      <c r="T384" s="54">
        <f>IF($B384=0,NA(),IF(Inputs!$B$29&lt;&gt;"Yes",NA(),Inputs!$D$29*Inputs!$C$35))</f>
        <v/>
      </c>
      <c r="AD384">
        <f>IF($B384=0,0,IF(Inputs!$B$6="",0,COUNTIFS(Data!$A$10:$A$3209,"&gt;="&amp;$A384,Data!$A$10:$A$3209,"&lt;"&amp;$A384+1)))</f>
        <v/>
      </c>
      <c r="AE384">
        <f>IF($B384=0,0,IF(Inputs!$B$7="",0,COUNTIFS(Data!$E$10:$E$3209,"&gt;="&amp;$A384,Data!$E$10:$E$3209,"&lt;"&amp;$A384+1)))</f>
        <v/>
      </c>
      <c r="AF384">
        <f>IF($B384=0,0,IF(Inputs!$B$8="",0,COUNTIFS(Data!$I$10:$I$3209,"&gt;="&amp;$A384,Data!$I$10:$I$3209,"&lt;"&amp;$A384+1)))</f>
        <v/>
      </c>
      <c r="AG384">
        <f>IF($B384=0,0,IF(Inputs!$B$9="",0,COUNTIFS(Data!$M$10:$M$3209,"&gt;="&amp;$A384,Data!$M$10:$M$3209,"&lt;"&amp;$A384+1)))</f>
        <v/>
      </c>
      <c r="AH384">
        <f>IF($B384=0,0,IF(Inputs!$B$10="",0,COUNTIFS(Data!$Q$10:$Q$3209,"&gt;="&amp;$A384,Data!$Q$10:$Q$3209,"&lt;"&amp;$A384+1)))</f>
        <v/>
      </c>
    </row>
    <row r="385">
      <c r="A385" s="55">
        <f>MIN(Inputs!$C$15,$A384+IF(WEEKDAY($A384,2)=5,3,1))</f>
        <v/>
      </c>
      <c r="B385">
        <f>IF($A385&gt;$A384,1,0)</f>
        <v/>
      </c>
      <c r="C385" s="56">
        <f>IF($B385=0,"",IF(Inputs!$B$6="","",IF($AD385=0,C384,SUMIFS(Data!$B$10:$B$3209,Data!$A$10:$A$3209,"&gt;="&amp;$A385,Data!$A$10:$A$3209,"&lt;"&amp;$A385+1)/$AD385)))</f>
        <v/>
      </c>
      <c r="D385" s="56">
        <f>IF($B385=0,"",IF(Inputs!$B$7="","",IF($AE385=0,D384,SUMIFS(Data!$F$10:$F$3209,Data!$E$10:$E$3209,"&gt;="&amp;$A385,Data!$E$10:$E$3209,"&lt;"&amp;$A385+1)/$AE385)))</f>
        <v/>
      </c>
      <c r="E385" s="56">
        <f>IF($B385=0,"",IF(Inputs!$B$8="","",IF($AF385=0,E384,SUMIFS(Data!$J$10:$J$3209,Data!$I$10:$I$3209,"&gt;="&amp;$A385,Data!$I$10:$I$3209,"&lt;"&amp;$A385+1)/$AF385)))</f>
        <v/>
      </c>
      <c r="F385" s="56">
        <f>IF($B385=0,"",IF(Inputs!$B$9="","",IF($AG385=0,F384,SUMIFS(Data!$N$10:$N$3209,Data!$M$10:$M$3209,"&gt;="&amp;$A385,Data!$M$10:$M$3209,"&lt;"&amp;$A385+1)/$AG385)))</f>
        <v/>
      </c>
      <c r="G385" s="56">
        <f>IF($B385=0,"",IF(Inputs!$B$10="","",IF($AH385=0,G384,SUMIFS(Data!$R$10:$R$3209,Data!$Q$10:$Q$3209,"&gt;="&amp;$A385,Data!$Q$10:$Q$3209,"&lt;"&amp;$A385+1)/$AH385)))</f>
        <v/>
      </c>
      <c r="I385" s="54">
        <f>IF($B385=0,NA(),IF($C385="",NA(),IF(C$8="",NA(),IF(N(C$8)=0,NA(),IF(Inputs!$C$17="Rebased to 100",$C385/C$8*100,$C385)))))</f>
        <v/>
      </c>
      <c r="J385" s="54">
        <f>IF($B385=0,NA(),IF($D385="",NA(),IF(D$8="",NA(),IF(N(D$8)=0,NA(),IF(Inputs!$C$17="Rebased to 100",$D385/D$8*100,$D385)))))</f>
        <v/>
      </c>
      <c r="K385" s="54">
        <f>IF($B385=0,NA(),IF($E385="",NA(),IF(E$8="",NA(),IF(N(E$8)=0,NA(),IF(Inputs!$C$17="Rebased to 100",$E385/E$8*100,$E385)))))</f>
        <v/>
      </c>
      <c r="L385" s="54">
        <f>IF($B385=0,NA(),IF($F385="",NA(),IF(F$8="",NA(),IF(N(F$8)=0,NA(),IF(Inputs!$C$17="Rebased to 100",$F385/F$8*100,$F385)))))</f>
        <v/>
      </c>
      <c r="M385" s="54">
        <f>IF($B385=0,NA(),IF($G385="",NA(),IF(G$8="",NA(),IF(N(G$8)=0,NA(),IF(Inputs!$C$17="Rebased to 100",$G385/G$8*100,$G385)))))</f>
        <v/>
      </c>
      <c r="N385" s="54">
        <f>IF($B385=0,NA(),IF(Inputs!$C$18&lt;&gt;"Yes",NA(),IF(COUNT(I385,J385,K385,L385,M385)=0,NA(),MIN(I385,J385,K385,L385,M385))))</f>
        <v/>
      </c>
      <c r="O385" s="54">
        <f>IF($B385=0,NA(),IF(Inputs!$B$24&lt;&gt;"Yes",NA(),Inputs!$D$24*Inputs!$C$35))</f>
        <v/>
      </c>
      <c r="P385" s="54">
        <f>IF($B385=0,NA(),IF(Inputs!$B$25&lt;&gt;"Yes",NA(),Inputs!$D$25*Inputs!$C$35))</f>
        <v/>
      </c>
      <c r="Q385" s="54">
        <f>IF($B385=0,NA(),IF(Inputs!$B$26&lt;&gt;"Yes",NA(),Inputs!$D$26*Inputs!$C$35))</f>
        <v/>
      </c>
      <c r="R385" s="54">
        <f>IF($B385=0,NA(),IF(Inputs!$B$27&lt;&gt;"Yes",NA(),Inputs!$D$27*Inputs!$C$35))</f>
        <v/>
      </c>
      <c r="S385" s="54">
        <f>IF($B385=0,NA(),IF(Inputs!$B$28&lt;&gt;"Yes",NA(),Inputs!$D$28*Inputs!$C$35))</f>
        <v/>
      </c>
      <c r="T385" s="54">
        <f>IF($B385=0,NA(),IF(Inputs!$B$29&lt;&gt;"Yes",NA(),Inputs!$D$29*Inputs!$C$35))</f>
        <v/>
      </c>
      <c r="AD385">
        <f>IF($B385=0,0,IF(Inputs!$B$6="",0,COUNTIFS(Data!$A$10:$A$3209,"&gt;="&amp;$A385,Data!$A$10:$A$3209,"&lt;"&amp;$A385+1)))</f>
        <v/>
      </c>
      <c r="AE385">
        <f>IF($B385=0,0,IF(Inputs!$B$7="",0,COUNTIFS(Data!$E$10:$E$3209,"&gt;="&amp;$A385,Data!$E$10:$E$3209,"&lt;"&amp;$A385+1)))</f>
        <v/>
      </c>
      <c r="AF385">
        <f>IF($B385=0,0,IF(Inputs!$B$8="",0,COUNTIFS(Data!$I$10:$I$3209,"&gt;="&amp;$A385,Data!$I$10:$I$3209,"&lt;"&amp;$A385+1)))</f>
        <v/>
      </c>
      <c r="AG385">
        <f>IF($B385=0,0,IF(Inputs!$B$9="",0,COUNTIFS(Data!$M$10:$M$3209,"&gt;="&amp;$A385,Data!$M$10:$M$3209,"&lt;"&amp;$A385+1)))</f>
        <v/>
      </c>
      <c r="AH385">
        <f>IF($B385=0,0,IF(Inputs!$B$10="",0,COUNTIFS(Data!$Q$10:$Q$3209,"&gt;="&amp;$A385,Data!$Q$10:$Q$3209,"&lt;"&amp;$A385+1)))</f>
        <v/>
      </c>
    </row>
    <row r="386">
      <c r="A386" s="55">
        <f>MIN(Inputs!$C$15,$A385+IF(WEEKDAY($A385,2)=5,3,1))</f>
        <v/>
      </c>
      <c r="B386">
        <f>IF($A386&gt;$A385,1,0)</f>
        <v/>
      </c>
      <c r="C386" s="56">
        <f>IF($B386=0,"",IF(Inputs!$B$6="","",IF($AD386=0,C385,SUMIFS(Data!$B$10:$B$3209,Data!$A$10:$A$3209,"&gt;="&amp;$A386,Data!$A$10:$A$3209,"&lt;"&amp;$A386+1)/$AD386)))</f>
        <v/>
      </c>
      <c r="D386" s="56">
        <f>IF($B386=0,"",IF(Inputs!$B$7="","",IF($AE386=0,D385,SUMIFS(Data!$F$10:$F$3209,Data!$E$10:$E$3209,"&gt;="&amp;$A386,Data!$E$10:$E$3209,"&lt;"&amp;$A386+1)/$AE386)))</f>
        <v/>
      </c>
      <c r="E386" s="56">
        <f>IF($B386=0,"",IF(Inputs!$B$8="","",IF($AF386=0,E385,SUMIFS(Data!$J$10:$J$3209,Data!$I$10:$I$3209,"&gt;="&amp;$A386,Data!$I$10:$I$3209,"&lt;"&amp;$A386+1)/$AF386)))</f>
        <v/>
      </c>
      <c r="F386" s="56">
        <f>IF($B386=0,"",IF(Inputs!$B$9="","",IF($AG386=0,F385,SUMIFS(Data!$N$10:$N$3209,Data!$M$10:$M$3209,"&gt;="&amp;$A386,Data!$M$10:$M$3209,"&lt;"&amp;$A386+1)/$AG386)))</f>
        <v/>
      </c>
      <c r="G386" s="56">
        <f>IF($B386=0,"",IF(Inputs!$B$10="","",IF($AH386=0,G385,SUMIFS(Data!$R$10:$R$3209,Data!$Q$10:$Q$3209,"&gt;="&amp;$A386,Data!$Q$10:$Q$3209,"&lt;"&amp;$A386+1)/$AH386)))</f>
        <v/>
      </c>
      <c r="I386" s="54">
        <f>IF($B386=0,NA(),IF($C386="",NA(),IF(C$8="",NA(),IF(N(C$8)=0,NA(),IF(Inputs!$C$17="Rebased to 100",$C386/C$8*100,$C386)))))</f>
        <v/>
      </c>
      <c r="J386" s="54">
        <f>IF($B386=0,NA(),IF($D386="",NA(),IF(D$8="",NA(),IF(N(D$8)=0,NA(),IF(Inputs!$C$17="Rebased to 100",$D386/D$8*100,$D386)))))</f>
        <v/>
      </c>
      <c r="K386" s="54">
        <f>IF($B386=0,NA(),IF($E386="",NA(),IF(E$8="",NA(),IF(N(E$8)=0,NA(),IF(Inputs!$C$17="Rebased to 100",$E386/E$8*100,$E386)))))</f>
        <v/>
      </c>
      <c r="L386" s="54">
        <f>IF($B386=0,NA(),IF($F386="",NA(),IF(F$8="",NA(),IF(N(F$8)=0,NA(),IF(Inputs!$C$17="Rebased to 100",$F386/F$8*100,$F386)))))</f>
        <v/>
      </c>
      <c r="M386" s="54">
        <f>IF($B386=0,NA(),IF($G386="",NA(),IF(G$8="",NA(),IF(N(G$8)=0,NA(),IF(Inputs!$C$17="Rebased to 100",$G386/G$8*100,$G386)))))</f>
        <v/>
      </c>
      <c r="N386" s="54">
        <f>IF($B386=0,NA(),IF(Inputs!$C$18&lt;&gt;"Yes",NA(),IF(COUNT(I386,J386,K386,L386,M386)=0,NA(),MIN(I386,J386,K386,L386,M386))))</f>
        <v/>
      </c>
      <c r="O386" s="54">
        <f>IF($B386=0,NA(),IF(Inputs!$B$24&lt;&gt;"Yes",NA(),Inputs!$D$24*Inputs!$C$35))</f>
        <v/>
      </c>
      <c r="P386" s="54">
        <f>IF($B386=0,NA(),IF(Inputs!$B$25&lt;&gt;"Yes",NA(),Inputs!$D$25*Inputs!$C$35))</f>
        <v/>
      </c>
      <c r="Q386" s="54">
        <f>IF($B386=0,NA(),IF(Inputs!$B$26&lt;&gt;"Yes",NA(),Inputs!$D$26*Inputs!$C$35))</f>
        <v/>
      </c>
      <c r="R386" s="54">
        <f>IF($B386=0,NA(),IF(Inputs!$B$27&lt;&gt;"Yes",NA(),Inputs!$D$27*Inputs!$C$35))</f>
        <v/>
      </c>
      <c r="S386" s="54">
        <f>IF($B386=0,NA(),IF(Inputs!$B$28&lt;&gt;"Yes",NA(),Inputs!$D$28*Inputs!$C$35))</f>
        <v/>
      </c>
      <c r="T386" s="54">
        <f>IF($B386=0,NA(),IF(Inputs!$B$29&lt;&gt;"Yes",NA(),Inputs!$D$29*Inputs!$C$35))</f>
        <v/>
      </c>
      <c r="AD386">
        <f>IF($B386=0,0,IF(Inputs!$B$6="",0,COUNTIFS(Data!$A$10:$A$3209,"&gt;="&amp;$A386,Data!$A$10:$A$3209,"&lt;"&amp;$A386+1)))</f>
        <v/>
      </c>
      <c r="AE386">
        <f>IF($B386=0,0,IF(Inputs!$B$7="",0,COUNTIFS(Data!$E$10:$E$3209,"&gt;="&amp;$A386,Data!$E$10:$E$3209,"&lt;"&amp;$A386+1)))</f>
        <v/>
      </c>
      <c r="AF386">
        <f>IF($B386=0,0,IF(Inputs!$B$8="",0,COUNTIFS(Data!$I$10:$I$3209,"&gt;="&amp;$A386,Data!$I$10:$I$3209,"&lt;"&amp;$A386+1)))</f>
        <v/>
      </c>
      <c r="AG386">
        <f>IF($B386=0,0,IF(Inputs!$B$9="",0,COUNTIFS(Data!$M$10:$M$3209,"&gt;="&amp;$A386,Data!$M$10:$M$3209,"&lt;"&amp;$A386+1)))</f>
        <v/>
      </c>
      <c r="AH386">
        <f>IF($B386=0,0,IF(Inputs!$B$10="",0,COUNTIFS(Data!$Q$10:$Q$3209,"&gt;="&amp;$A386,Data!$Q$10:$Q$3209,"&lt;"&amp;$A386+1)))</f>
        <v/>
      </c>
    </row>
    <row r="387">
      <c r="A387" s="55">
        <f>MIN(Inputs!$C$15,$A386+IF(WEEKDAY($A386,2)=5,3,1))</f>
        <v/>
      </c>
      <c r="B387">
        <f>IF($A387&gt;$A386,1,0)</f>
        <v/>
      </c>
      <c r="C387" s="56">
        <f>IF($B387=0,"",IF(Inputs!$B$6="","",IF($AD387=0,C386,SUMIFS(Data!$B$10:$B$3209,Data!$A$10:$A$3209,"&gt;="&amp;$A387,Data!$A$10:$A$3209,"&lt;"&amp;$A387+1)/$AD387)))</f>
        <v/>
      </c>
      <c r="D387" s="56">
        <f>IF($B387=0,"",IF(Inputs!$B$7="","",IF($AE387=0,D386,SUMIFS(Data!$F$10:$F$3209,Data!$E$10:$E$3209,"&gt;="&amp;$A387,Data!$E$10:$E$3209,"&lt;"&amp;$A387+1)/$AE387)))</f>
        <v/>
      </c>
      <c r="E387" s="56">
        <f>IF($B387=0,"",IF(Inputs!$B$8="","",IF($AF387=0,E386,SUMIFS(Data!$J$10:$J$3209,Data!$I$10:$I$3209,"&gt;="&amp;$A387,Data!$I$10:$I$3209,"&lt;"&amp;$A387+1)/$AF387)))</f>
        <v/>
      </c>
      <c r="F387" s="56">
        <f>IF($B387=0,"",IF(Inputs!$B$9="","",IF($AG387=0,F386,SUMIFS(Data!$N$10:$N$3209,Data!$M$10:$M$3209,"&gt;="&amp;$A387,Data!$M$10:$M$3209,"&lt;"&amp;$A387+1)/$AG387)))</f>
        <v/>
      </c>
      <c r="G387" s="56">
        <f>IF($B387=0,"",IF(Inputs!$B$10="","",IF($AH387=0,G386,SUMIFS(Data!$R$10:$R$3209,Data!$Q$10:$Q$3209,"&gt;="&amp;$A387,Data!$Q$10:$Q$3209,"&lt;"&amp;$A387+1)/$AH387)))</f>
        <v/>
      </c>
      <c r="I387" s="54">
        <f>IF($B387=0,NA(),IF($C387="",NA(),IF(C$8="",NA(),IF(N(C$8)=0,NA(),IF(Inputs!$C$17="Rebased to 100",$C387/C$8*100,$C387)))))</f>
        <v/>
      </c>
      <c r="J387" s="54">
        <f>IF($B387=0,NA(),IF($D387="",NA(),IF(D$8="",NA(),IF(N(D$8)=0,NA(),IF(Inputs!$C$17="Rebased to 100",$D387/D$8*100,$D387)))))</f>
        <v/>
      </c>
      <c r="K387" s="54">
        <f>IF($B387=0,NA(),IF($E387="",NA(),IF(E$8="",NA(),IF(N(E$8)=0,NA(),IF(Inputs!$C$17="Rebased to 100",$E387/E$8*100,$E387)))))</f>
        <v/>
      </c>
      <c r="L387" s="54">
        <f>IF($B387=0,NA(),IF($F387="",NA(),IF(F$8="",NA(),IF(N(F$8)=0,NA(),IF(Inputs!$C$17="Rebased to 100",$F387/F$8*100,$F387)))))</f>
        <v/>
      </c>
      <c r="M387" s="54">
        <f>IF($B387=0,NA(),IF($G387="",NA(),IF(G$8="",NA(),IF(N(G$8)=0,NA(),IF(Inputs!$C$17="Rebased to 100",$G387/G$8*100,$G387)))))</f>
        <v/>
      </c>
      <c r="N387" s="54">
        <f>IF($B387=0,NA(),IF(Inputs!$C$18&lt;&gt;"Yes",NA(),IF(COUNT(I387,J387,K387,L387,M387)=0,NA(),MIN(I387,J387,K387,L387,M387))))</f>
        <v/>
      </c>
      <c r="O387" s="54">
        <f>IF($B387=0,NA(),IF(Inputs!$B$24&lt;&gt;"Yes",NA(),Inputs!$D$24*Inputs!$C$35))</f>
        <v/>
      </c>
      <c r="P387" s="54">
        <f>IF($B387=0,NA(),IF(Inputs!$B$25&lt;&gt;"Yes",NA(),Inputs!$D$25*Inputs!$C$35))</f>
        <v/>
      </c>
      <c r="Q387" s="54">
        <f>IF($B387=0,NA(),IF(Inputs!$B$26&lt;&gt;"Yes",NA(),Inputs!$D$26*Inputs!$C$35))</f>
        <v/>
      </c>
      <c r="R387" s="54">
        <f>IF($B387=0,NA(),IF(Inputs!$B$27&lt;&gt;"Yes",NA(),Inputs!$D$27*Inputs!$C$35))</f>
        <v/>
      </c>
      <c r="S387" s="54">
        <f>IF($B387=0,NA(),IF(Inputs!$B$28&lt;&gt;"Yes",NA(),Inputs!$D$28*Inputs!$C$35))</f>
        <v/>
      </c>
      <c r="T387" s="54">
        <f>IF($B387=0,NA(),IF(Inputs!$B$29&lt;&gt;"Yes",NA(),Inputs!$D$29*Inputs!$C$35))</f>
        <v/>
      </c>
      <c r="AD387">
        <f>IF($B387=0,0,IF(Inputs!$B$6="",0,COUNTIFS(Data!$A$10:$A$3209,"&gt;="&amp;$A387,Data!$A$10:$A$3209,"&lt;"&amp;$A387+1)))</f>
        <v/>
      </c>
      <c r="AE387">
        <f>IF($B387=0,0,IF(Inputs!$B$7="",0,COUNTIFS(Data!$E$10:$E$3209,"&gt;="&amp;$A387,Data!$E$10:$E$3209,"&lt;"&amp;$A387+1)))</f>
        <v/>
      </c>
      <c r="AF387">
        <f>IF($B387=0,0,IF(Inputs!$B$8="",0,COUNTIFS(Data!$I$10:$I$3209,"&gt;="&amp;$A387,Data!$I$10:$I$3209,"&lt;"&amp;$A387+1)))</f>
        <v/>
      </c>
      <c r="AG387">
        <f>IF($B387=0,0,IF(Inputs!$B$9="",0,COUNTIFS(Data!$M$10:$M$3209,"&gt;="&amp;$A387,Data!$M$10:$M$3209,"&lt;"&amp;$A387+1)))</f>
        <v/>
      </c>
      <c r="AH387">
        <f>IF($B387=0,0,IF(Inputs!$B$10="",0,COUNTIFS(Data!$Q$10:$Q$3209,"&gt;="&amp;$A387,Data!$Q$10:$Q$3209,"&lt;"&amp;$A387+1)))</f>
        <v/>
      </c>
    </row>
    <row r="388">
      <c r="A388" s="55">
        <f>MIN(Inputs!$C$15,$A387+IF(WEEKDAY($A387,2)=5,3,1))</f>
        <v/>
      </c>
      <c r="B388">
        <f>IF($A388&gt;$A387,1,0)</f>
        <v/>
      </c>
      <c r="C388" s="56">
        <f>IF($B388=0,"",IF(Inputs!$B$6="","",IF($AD388=0,C387,SUMIFS(Data!$B$10:$B$3209,Data!$A$10:$A$3209,"&gt;="&amp;$A388,Data!$A$10:$A$3209,"&lt;"&amp;$A388+1)/$AD388)))</f>
        <v/>
      </c>
      <c r="D388" s="56">
        <f>IF($B388=0,"",IF(Inputs!$B$7="","",IF($AE388=0,D387,SUMIFS(Data!$F$10:$F$3209,Data!$E$10:$E$3209,"&gt;="&amp;$A388,Data!$E$10:$E$3209,"&lt;"&amp;$A388+1)/$AE388)))</f>
        <v/>
      </c>
      <c r="E388" s="56">
        <f>IF($B388=0,"",IF(Inputs!$B$8="","",IF($AF388=0,E387,SUMIFS(Data!$J$10:$J$3209,Data!$I$10:$I$3209,"&gt;="&amp;$A388,Data!$I$10:$I$3209,"&lt;"&amp;$A388+1)/$AF388)))</f>
        <v/>
      </c>
      <c r="F388" s="56">
        <f>IF($B388=0,"",IF(Inputs!$B$9="","",IF($AG388=0,F387,SUMIFS(Data!$N$10:$N$3209,Data!$M$10:$M$3209,"&gt;="&amp;$A388,Data!$M$10:$M$3209,"&lt;"&amp;$A388+1)/$AG388)))</f>
        <v/>
      </c>
      <c r="G388" s="56">
        <f>IF($B388=0,"",IF(Inputs!$B$10="","",IF($AH388=0,G387,SUMIFS(Data!$R$10:$R$3209,Data!$Q$10:$Q$3209,"&gt;="&amp;$A388,Data!$Q$10:$Q$3209,"&lt;"&amp;$A388+1)/$AH388)))</f>
        <v/>
      </c>
      <c r="I388" s="54">
        <f>IF($B388=0,NA(),IF($C388="",NA(),IF(C$8="",NA(),IF(N(C$8)=0,NA(),IF(Inputs!$C$17="Rebased to 100",$C388/C$8*100,$C388)))))</f>
        <v/>
      </c>
      <c r="J388" s="54">
        <f>IF($B388=0,NA(),IF($D388="",NA(),IF(D$8="",NA(),IF(N(D$8)=0,NA(),IF(Inputs!$C$17="Rebased to 100",$D388/D$8*100,$D388)))))</f>
        <v/>
      </c>
      <c r="K388" s="54">
        <f>IF($B388=0,NA(),IF($E388="",NA(),IF(E$8="",NA(),IF(N(E$8)=0,NA(),IF(Inputs!$C$17="Rebased to 100",$E388/E$8*100,$E388)))))</f>
        <v/>
      </c>
      <c r="L388" s="54">
        <f>IF($B388=0,NA(),IF($F388="",NA(),IF(F$8="",NA(),IF(N(F$8)=0,NA(),IF(Inputs!$C$17="Rebased to 100",$F388/F$8*100,$F388)))))</f>
        <v/>
      </c>
      <c r="M388" s="54">
        <f>IF($B388=0,NA(),IF($G388="",NA(),IF(G$8="",NA(),IF(N(G$8)=0,NA(),IF(Inputs!$C$17="Rebased to 100",$G388/G$8*100,$G388)))))</f>
        <v/>
      </c>
      <c r="N388" s="54">
        <f>IF($B388=0,NA(),IF(Inputs!$C$18&lt;&gt;"Yes",NA(),IF(COUNT(I388,J388,K388,L388,M388)=0,NA(),MIN(I388,J388,K388,L388,M388))))</f>
        <v/>
      </c>
      <c r="O388" s="54">
        <f>IF($B388=0,NA(),IF(Inputs!$B$24&lt;&gt;"Yes",NA(),Inputs!$D$24*Inputs!$C$35))</f>
        <v/>
      </c>
      <c r="P388" s="54">
        <f>IF($B388=0,NA(),IF(Inputs!$B$25&lt;&gt;"Yes",NA(),Inputs!$D$25*Inputs!$C$35))</f>
        <v/>
      </c>
      <c r="Q388" s="54">
        <f>IF($B388=0,NA(),IF(Inputs!$B$26&lt;&gt;"Yes",NA(),Inputs!$D$26*Inputs!$C$35))</f>
        <v/>
      </c>
      <c r="R388" s="54">
        <f>IF($B388=0,NA(),IF(Inputs!$B$27&lt;&gt;"Yes",NA(),Inputs!$D$27*Inputs!$C$35))</f>
        <v/>
      </c>
      <c r="S388" s="54">
        <f>IF($B388=0,NA(),IF(Inputs!$B$28&lt;&gt;"Yes",NA(),Inputs!$D$28*Inputs!$C$35))</f>
        <v/>
      </c>
      <c r="T388" s="54">
        <f>IF($B388=0,NA(),IF(Inputs!$B$29&lt;&gt;"Yes",NA(),Inputs!$D$29*Inputs!$C$35))</f>
        <v/>
      </c>
      <c r="AD388">
        <f>IF($B388=0,0,IF(Inputs!$B$6="",0,COUNTIFS(Data!$A$10:$A$3209,"&gt;="&amp;$A388,Data!$A$10:$A$3209,"&lt;"&amp;$A388+1)))</f>
        <v/>
      </c>
      <c r="AE388">
        <f>IF($B388=0,0,IF(Inputs!$B$7="",0,COUNTIFS(Data!$E$10:$E$3209,"&gt;="&amp;$A388,Data!$E$10:$E$3209,"&lt;"&amp;$A388+1)))</f>
        <v/>
      </c>
      <c r="AF388">
        <f>IF($B388=0,0,IF(Inputs!$B$8="",0,COUNTIFS(Data!$I$10:$I$3209,"&gt;="&amp;$A388,Data!$I$10:$I$3209,"&lt;"&amp;$A388+1)))</f>
        <v/>
      </c>
      <c r="AG388">
        <f>IF($B388=0,0,IF(Inputs!$B$9="",0,COUNTIFS(Data!$M$10:$M$3209,"&gt;="&amp;$A388,Data!$M$10:$M$3209,"&lt;"&amp;$A388+1)))</f>
        <v/>
      </c>
      <c r="AH388">
        <f>IF($B388=0,0,IF(Inputs!$B$10="",0,COUNTIFS(Data!$Q$10:$Q$3209,"&gt;="&amp;$A388,Data!$Q$10:$Q$3209,"&lt;"&amp;$A388+1)))</f>
        <v/>
      </c>
    </row>
    <row r="389">
      <c r="A389" s="55">
        <f>MIN(Inputs!$C$15,$A388+IF(WEEKDAY($A388,2)=5,3,1))</f>
        <v/>
      </c>
      <c r="B389">
        <f>IF($A389&gt;$A388,1,0)</f>
        <v/>
      </c>
      <c r="C389" s="56">
        <f>IF($B389=0,"",IF(Inputs!$B$6="","",IF($AD389=0,C388,SUMIFS(Data!$B$10:$B$3209,Data!$A$10:$A$3209,"&gt;="&amp;$A389,Data!$A$10:$A$3209,"&lt;"&amp;$A389+1)/$AD389)))</f>
        <v/>
      </c>
      <c r="D389" s="56">
        <f>IF($B389=0,"",IF(Inputs!$B$7="","",IF($AE389=0,D388,SUMIFS(Data!$F$10:$F$3209,Data!$E$10:$E$3209,"&gt;="&amp;$A389,Data!$E$10:$E$3209,"&lt;"&amp;$A389+1)/$AE389)))</f>
        <v/>
      </c>
      <c r="E389" s="56">
        <f>IF($B389=0,"",IF(Inputs!$B$8="","",IF($AF389=0,E388,SUMIFS(Data!$J$10:$J$3209,Data!$I$10:$I$3209,"&gt;="&amp;$A389,Data!$I$10:$I$3209,"&lt;"&amp;$A389+1)/$AF389)))</f>
        <v/>
      </c>
      <c r="F389" s="56">
        <f>IF($B389=0,"",IF(Inputs!$B$9="","",IF($AG389=0,F388,SUMIFS(Data!$N$10:$N$3209,Data!$M$10:$M$3209,"&gt;="&amp;$A389,Data!$M$10:$M$3209,"&lt;"&amp;$A389+1)/$AG389)))</f>
        <v/>
      </c>
      <c r="G389" s="56">
        <f>IF($B389=0,"",IF(Inputs!$B$10="","",IF($AH389=0,G388,SUMIFS(Data!$R$10:$R$3209,Data!$Q$10:$Q$3209,"&gt;="&amp;$A389,Data!$Q$10:$Q$3209,"&lt;"&amp;$A389+1)/$AH389)))</f>
        <v/>
      </c>
      <c r="I389" s="54">
        <f>IF($B389=0,NA(),IF($C389="",NA(),IF(C$8="",NA(),IF(N(C$8)=0,NA(),IF(Inputs!$C$17="Rebased to 100",$C389/C$8*100,$C389)))))</f>
        <v/>
      </c>
      <c r="J389" s="54">
        <f>IF($B389=0,NA(),IF($D389="",NA(),IF(D$8="",NA(),IF(N(D$8)=0,NA(),IF(Inputs!$C$17="Rebased to 100",$D389/D$8*100,$D389)))))</f>
        <v/>
      </c>
      <c r="K389" s="54">
        <f>IF($B389=0,NA(),IF($E389="",NA(),IF(E$8="",NA(),IF(N(E$8)=0,NA(),IF(Inputs!$C$17="Rebased to 100",$E389/E$8*100,$E389)))))</f>
        <v/>
      </c>
      <c r="L389" s="54">
        <f>IF($B389=0,NA(),IF($F389="",NA(),IF(F$8="",NA(),IF(N(F$8)=0,NA(),IF(Inputs!$C$17="Rebased to 100",$F389/F$8*100,$F389)))))</f>
        <v/>
      </c>
      <c r="M389" s="54">
        <f>IF($B389=0,NA(),IF($G389="",NA(),IF(G$8="",NA(),IF(N(G$8)=0,NA(),IF(Inputs!$C$17="Rebased to 100",$G389/G$8*100,$G389)))))</f>
        <v/>
      </c>
      <c r="N389" s="54">
        <f>IF($B389=0,NA(),IF(Inputs!$C$18&lt;&gt;"Yes",NA(),IF(COUNT(I389,J389,K389,L389,M389)=0,NA(),MIN(I389,J389,K389,L389,M389))))</f>
        <v/>
      </c>
      <c r="O389" s="54">
        <f>IF($B389=0,NA(),IF(Inputs!$B$24&lt;&gt;"Yes",NA(),Inputs!$D$24*Inputs!$C$35))</f>
        <v/>
      </c>
      <c r="P389" s="54">
        <f>IF($B389=0,NA(),IF(Inputs!$B$25&lt;&gt;"Yes",NA(),Inputs!$D$25*Inputs!$C$35))</f>
        <v/>
      </c>
      <c r="Q389" s="54">
        <f>IF($B389=0,NA(),IF(Inputs!$B$26&lt;&gt;"Yes",NA(),Inputs!$D$26*Inputs!$C$35))</f>
        <v/>
      </c>
      <c r="R389" s="54">
        <f>IF($B389=0,NA(),IF(Inputs!$B$27&lt;&gt;"Yes",NA(),Inputs!$D$27*Inputs!$C$35))</f>
        <v/>
      </c>
      <c r="S389" s="54">
        <f>IF($B389=0,NA(),IF(Inputs!$B$28&lt;&gt;"Yes",NA(),Inputs!$D$28*Inputs!$C$35))</f>
        <v/>
      </c>
      <c r="T389" s="54">
        <f>IF($B389=0,NA(),IF(Inputs!$B$29&lt;&gt;"Yes",NA(),Inputs!$D$29*Inputs!$C$35))</f>
        <v/>
      </c>
      <c r="AD389">
        <f>IF($B389=0,0,IF(Inputs!$B$6="",0,COUNTIFS(Data!$A$10:$A$3209,"&gt;="&amp;$A389,Data!$A$10:$A$3209,"&lt;"&amp;$A389+1)))</f>
        <v/>
      </c>
      <c r="AE389">
        <f>IF($B389=0,0,IF(Inputs!$B$7="",0,COUNTIFS(Data!$E$10:$E$3209,"&gt;="&amp;$A389,Data!$E$10:$E$3209,"&lt;"&amp;$A389+1)))</f>
        <v/>
      </c>
      <c r="AF389">
        <f>IF($B389=0,0,IF(Inputs!$B$8="",0,COUNTIFS(Data!$I$10:$I$3209,"&gt;="&amp;$A389,Data!$I$10:$I$3209,"&lt;"&amp;$A389+1)))</f>
        <v/>
      </c>
      <c r="AG389">
        <f>IF($B389=0,0,IF(Inputs!$B$9="",0,COUNTIFS(Data!$M$10:$M$3209,"&gt;="&amp;$A389,Data!$M$10:$M$3209,"&lt;"&amp;$A389+1)))</f>
        <v/>
      </c>
      <c r="AH389">
        <f>IF($B389=0,0,IF(Inputs!$B$10="",0,COUNTIFS(Data!$Q$10:$Q$3209,"&gt;="&amp;$A389,Data!$Q$10:$Q$3209,"&lt;"&amp;$A389+1)))</f>
        <v/>
      </c>
    </row>
    <row r="390">
      <c r="A390" s="55">
        <f>MIN(Inputs!$C$15,$A389+IF(WEEKDAY($A389,2)=5,3,1))</f>
        <v/>
      </c>
      <c r="B390">
        <f>IF($A390&gt;$A389,1,0)</f>
        <v/>
      </c>
      <c r="C390" s="56">
        <f>IF($B390=0,"",IF(Inputs!$B$6="","",IF($AD390=0,C389,SUMIFS(Data!$B$10:$B$3209,Data!$A$10:$A$3209,"&gt;="&amp;$A390,Data!$A$10:$A$3209,"&lt;"&amp;$A390+1)/$AD390)))</f>
        <v/>
      </c>
      <c r="D390" s="56">
        <f>IF($B390=0,"",IF(Inputs!$B$7="","",IF($AE390=0,D389,SUMIFS(Data!$F$10:$F$3209,Data!$E$10:$E$3209,"&gt;="&amp;$A390,Data!$E$10:$E$3209,"&lt;"&amp;$A390+1)/$AE390)))</f>
        <v/>
      </c>
      <c r="E390" s="56">
        <f>IF($B390=0,"",IF(Inputs!$B$8="","",IF($AF390=0,E389,SUMIFS(Data!$J$10:$J$3209,Data!$I$10:$I$3209,"&gt;="&amp;$A390,Data!$I$10:$I$3209,"&lt;"&amp;$A390+1)/$AF390)))</f>
        <v/>
      </c>
      <c r="F390" s="56">
        <f>IF($B390=0,"",IF(Inputs!$B$9="","",IF($AG390=0,F389,SUMIFS(Data!$N$10:$N$3209,Data!$M$10:$M$3209,"&gt;="&amp;$A390,Data!$M$10:$M$3209,"&lt;"&amp;$A390+1)/$AG390)))</f>
        <v/>
      </c>
      <c r="G390" s="56">
        <f>IF($B390=0,"",IF(Inputs!$B$10="","",IF($AH390=0,G389,SUMIFS(Data!$R$10:$R$3209,Data!$Q$10:$Q$3209,"&gt;="&amp;$A390,Data!$Q$10:$Q$3209,"&lt;"&amp;$A390+1)/$AH390)))</f>
        <v/>
      </c>
      <c r="I390" s="54">
        <f>IF($B390=0,NA(),IF($C390="",NA(),IF(C$8="",NA(),IF(N(C$8)=0,NA(),IF(Inputs!$C$17="Rebased to 100",$C390/C$8*100,$C390)))))</f>
        <v/>
      </c>
      <c r="J390" s="54">
        <f>IF($B390=0,NA(),IF($D390="",NA(),IF(D$8="",NA(),IF(N(D$8)=0,NA(),IF(Inputs!$C$17="Rebased to 100",$D390/D$8*100,$D390)))))</f>
        <v/>
      </c>
      <c r="K390" s="54">
        <f>IF($B390=0,NA(),IF($E390="",NA(),IF(E$8="",NA(),IF(N(E$8)=0,NA(),IF(Inputs!$C$17="Rebased to 100",$E390/E$8*100,$E390)))))</f>
        <v/>
      </c>
      <c r="L390" s="54">
        <f>IF($B390=0,NA(),IF($F390="",NA(),IF(F$8="",NA(),IF(N(F$8)=0,NA(),IF(Inputs!$C$17="Rebased to 100",$F390/F$8*100,$F390)))))</f>
        <v/>
      </c>
      <c r="M390" s="54">
        <f>IF($B390=0,NA(),IF($G390="",NA(),IF(G$8="",NA(),IF(N(G$8)=0,NA(),IF(Inputs!$C$17="Rebased to 100",$G390/G$8*100,$G390)))))</f>
        <v/>
      </c>
      <c r="N390" s="54">
        <f>IF($B390=0,NA(),IF(Inputs!$C$18&lt;&gt;"Yes",NA(),IF(COUNT(I390,J390,K390,L390,M390)=0,NA(),MIN(I390,J390,K390,L390,M390))))</f>
        <v/>
      </c>
      <c r="O390" s="54">
        <f>IF($B390=0,NA(),IF(Inputs!$B$24&lt;&gt;"Yes",NA(),Inputs!$D$24*Inputs!$C$35))</f>
        <v/>
      </c>
      <c r="P390" s="54">
        <f>IF($B390=0,NA(),IF(Inputs!$B$25&lt;&gt;"Yes",NA(),Inputs!$D$25*Inputs!$C$35))</f>
        <v/>
      </c>
      <c r="Q390" s="54">
        <f>IF($B390=0,NA(),IF(Inputs!$B$26&lt;&gt;"Yes",NA(),Inputs!$D$26*Inputs!$C$35))</f>
        <v/>
      </c>
      <c r="R390" s="54">
        <f>IF($B390=0,NA(),IF(Inputs!$B$27&lt;&gt;"Yes",NA(),Inputs!$D$27*Inputs!$C$35))</f>
        <v/>
      </c>
      <c r="S390" s="54">
        <f>IF($B390=0,NA(),IF(Inputs!$B$28&lt;&gt;"Yes",NA(),Inputs!$D$28*Inputs!$C$35))</f>
        <v/>
      </c>
      <c r="T390" s="54">
        <f>IF($B390=0,NA(),IF(Inputs!$B$29&lt;&gt;"Yes",NA(),Inputs!$D$29*Inputs!$C$35))</f>
        <v/>
      </c>
      <c r="AD390">
        <f>IF($B390=0,0,IF(Inputs!$B$6="",0,COUNTIFS(Data!$A$10:$A$3209,"&gt;="&amp;$A390,Data!$A$10:$A$3209,"&lt;"&amp;$A390+1)))</f>
        <v/>
      </c>
      <c r="AE390">
        <f>IF($B390=0,0,IF(Inputs!$B$7="",0,COUNTIFS(Data!$E$10:$E$3209,"&gt;="&amp;$A390,Data!$E$10:$E$3209,"&lt;"&amp;$A390+1)))</f>
        <v/>
      </c>
      <c r="AF390">
        <f>IF($B390=0,0,IF(Inputs!$B$8="",0,COUNTIFS(Data!$I$10:$I$3209,"&gt;="&amp;$A390,Data!$I$10:$I$3209,"&lt;"&amp;$A390+1)))</f>
        <v/>
      </c>
      <c r="AG390">
        <f>IF($B390=0,0,IF(Inputs!$B$9="",0,COUNTIFS(Data!$M$10:$M$3209,"&gt;="&amp;$A390,Data!$M$10:$M$3209,"&lt;"&amp;$A390+1)))</f>
        <v/>
      </c>
      <c r="AH390">
        <f>IF($B390=0,0,IF(Inputs!$B$10="",0,COUNTIFS(Data!$Q$10:$Q$3209,"&gt;="&amp;$A390,Data!$Q$10:$Q$3209,"&lt;"&amp;$A390+1)))</f>
        <v/>
      </c>
    </row>
    <row r="391">
      <c r="A391" s="55">
        <f>MIN(Inputs!$C$15,$A390+IF(WEEKDAY($A390,2)=5,3,1))</f>
        <v/>
      </c>
      <c r="B391">
        <f>IF($A391&gt;$A390,1,0)</f>
        <v/>
      </c>
      <c r="C391" s="56">
        <f>IF($B391=0,"",IF(Inputs!$B$6="","",IF($AD391=0,C390,SUMIFS(Data!$B$10:$B$3209,Data!$A$10:$A$3209,"&gt;="&amp;$A391,Data!$A$10:$A$3209,"&lt;"&amp;$A391+1)/$AD391)))</f>
        <v/>
      </c>
      <c r="D391" s="56">
        <f>IF($B391=0,"",IF(Inputs!$B$7="","",IF($AE391=0,D390,SUMIFS(Data!$F$10:$F$3209,Data!$E$10:$E$3209,"&gt;="&amp;$A391,Data!$E$10:$E$3209,"&lt;"&amp;$A391+1)/$AE391)))</f>
        <v/>
      </c>
      <c r="E391" s="56">
        <f>IF($B391=0,"",IF(Inputs!$B$8="","",IF($AF391=0,E390,SUMIFS(Data!$J$10:$J$3209,Data!$I$10:$I$3209,"&gt;="&amp;$A391,Data!$I$10:$I$3209,"&lt;"&amp;$A391+1)/$AF391)))</f>
        <v/>
      </c>
      <c r="F391" s="56">
        <f>IF($B391=0,"",IF(Inputs!$B$9="","",IF($AG391=0,F390,SUMIFS(Data!$N$10:$N$3209,Data!$M$10:$M$3209,"&gt;="&amp;$A391,Data!$M$10:$M$3209,"&lt;"&amp;$A391+1)/$AG391)))</f>
        <v/>
      </c>
      <c r="G391" s="56">
        <f>IF($B391=0,"",IF(Inputs!$B$10="","",IF($AH391=0,G390,SUMIFS(Data!$R$10:$R$3209,Data!$Q$10:$Q$3209,"&gt;="&amp;$A391,Data!$Q$10:$Q$3209,"&lt;"&amp;$A391+1)/$AH391)))</f>
        <v/>
      </c>
      <c r="I391" s="54">
        <f>IF($B391=0,NA(),IF($C391="",NA(),IF(C$8="",NA(),IF(N(C$8)=0,NA(),IF(Inputs!$C$17="Rebased to 100",$C391/C$8*100,$C391)))))</f>
        <v/>
      </c>
      <c r="J391" s="54">
        <f>IF($B391=0,NA(),IF($D391="",NA(),IF(D$8="",NA(),IF(N(D$8)=0,NA(),IF(Inputs!$C$17="Rebased to 100",$D391/D$8*100,$D391)))))</f>
        <v/>
      </c>
      <c r="K391" s="54">
        <f>IF($B391=0,NA(),IF($E391="",NA(),IF(E$8="",NA(),IF(N(E$8)=0,NA(),IF(Inputs!$C$17="Rebased to 100",$E391/E$8*100,$E391)))))</f>
        <v/>
      </c>
      <c r="L391" s="54">
        <f>IF($B391=0,NA(),IF($F391="",NA(),IF(F$8="",NA(),IF(N(F$8)=0,NA(),IF(Inputs!$C$17="Rebased to 100",$F391/F$8*100,$F391)))))</f>
        <v/>
      </c>
      <c r="M391" s="54">
        <f>IF($B391=0,NA(),IF($G391="",NA(),IF(G$8="",NA(),IF(N(G$8)=0,NA(),IF(Inputs!$C$17="Rebased to 100",$G391/G$8*100,$G391)))))</f>
        <v/>
      </c>
      <c r="N391" s="54">
        <f>IF($B391=0,NA(),IF(Inputs!$C$18&lt;&gt;"Yes",NA(),IF(COUNT(I391,J391,K391,L391,M391)=0,NA(),MIN(I391,J391,K391,L391,M391))))</f>
        <v/>
      </c>
      <c r="O391" s="54">
        <f>IF($B391=0,NA(),IF(Inputs!$B$24&lt;&gt;"Yes",NA(),Inputs!$D$24*Inputs!$C$35))</f>
        <v/>
      </c>
      <c r="P391" s="54">
        <f>IF($B391=0,NA(),IF(Inputs!$B$25&lt;&gt;"Yes",NA(),Inputs!$D$25*Inputs!$C$35))</f>
        <v/>
      </c>
      <c r="Q391" s="54">
        <f>IF($B391=0,NA(),IF(Inputs!$B$26&lt;&gt;"Yes",NA(),Inputs!$D$26*Inputs!$C$35))</f>
        <v/>
      </c>
      <c r="R391" s="54">
        <f>IF($B391=0,NA(),IF(Inputs!$B$27&lt;&gt;"Yes",NA(),Inputs!$D$27*Inputs!$C$35))</f>
        <v/>
      </c>
      <c r="S391" s="54">
        <f>IF($B391=0,NA(),IF(Inputs!$B$28&lt;&gt;"Yes",NA(),Inputs!$D$28*Inputs!$C$35))</f>
        <v/>
      </c>
      <c r="T391" s="54">
        <f>IF($B391=0,NA(),IF(Inputs!$B$29&lt;&gt;"Yes",NA(),Inputs!$D$29*Inputs!$C$35))</f>
        <v/>
      </c>
      <c r="AD391">
        <f>IF($B391=0,0,IF(Inputs!$B$6="",0,COUNTIFS(Data!$A$10:$A$3209,"&gt;="&amp;$A391,Data!$A$10:$A$3209,"&lt;"&amp;$A391+1)))</f>
        <v/>
      </c>
      <c r="AE391">
        <f>IF($B391=0,0,IF(Inputs!$B$7="",0,COUNTIFS(Data!$E$10:$E$3209,"&gt;="&amp;$A391,Data!$E$10:$E$3209,"&lt;"&amp;$A391+1)))</f>
        <v/>
      </c>
      <c r="AF391">
        <f>IF($B391=0,0,IF(Inputs!$B$8="",0,COUNTIFS(Data!$I$10:$I$3209,"&gt;="&amp;$A391,Data!$I$10:$I$3209,"&lt;"&amp;$A391+1)))</f>
        <v/>
      </c>
      <c r="AG391">
        <f>IF($B391=0,0,IF(Inputs!$B$9="",0,COUNTIFS(Data!$M$10:$M$3209,"&gt;="&amp;$A391,Data!$M$10:$M$3209,"&lt;"&amp;$A391+1)))</f>
        <v/>
      </c>
      <c r="AH391">
        <f>IF($B391=0,0,IF(Inputs!$B$10="",0,COUNTIFS(Data!$Q$10:$Q$3209,"&gt;="&amp;$A391,Data!$Q$10:$Q$3209,"&lt;"&amp;$A391+1)))</f>
        <v/>
      </c>
    </row>
    <row r="392">
      <c r="A392" s="55">
        <f>MIN(Inputs!$C$15,$A391+IF(WEEKDAY($A391,2)=5,3,1))</f>
        <v/>
      </c>
      <c r="B392">
        <f>IF($A392&gt;$A391,1,0)</f>
        <v/>
      </c>
      <c r="C392" s="56">
        <f>IF($B392=0,"",IF(Inputs!$B$6="","",IF($AD392=0,C391,SUMIFS(Data!$B$10:$B$3209,Data!$A$10:$A$3209,"&gt;="&amp;$A392,Data!$A$10:$A$3209,"&lt;"&amp;$A392+1)/$AD392)))</f>
        <v/>
      </c>
      <c r="D392" s="56">
        <f>IF($B392=0,"",IF(Inputs!$B$7="","",IF($AE392=0,D391,SUMIFS(Data!$F$10:$F$3209,Data!$E$10:$E$3209,"&gt;="&amp;$A392,Data!$E$10:$E$3209,"&lt;"&amp;$A392+1)/$AE392)))</f>
        <v/>
      </c>
      <c r="E392" s="56">
        <f>IF($B392=0,"",IF(Inputs!$B$8="","",IF($AF392=0,E391,SUMIFS(Data!$J$10:$J$3209,Data!$I$10:$I$3209,"&gt;="&amp;$A392,Data!$I$10:$I$3209,"&lt;"&amp;$A392+1)/$AF392)))</f>
        <v/>
      </c>
      <c r="F392" s="56">
        <f>IF($B392=0,"",IF(Inputs!$B$9="","",IF($AG392=0,F391,SUMIFS(Data!$N$10:$N$3209,Data!$M$10:$M$3209,"&gt;="&amp;$A392,Data!$M$10:$M$3209,"&lt;"&amp;$A392+1)/$AG392)))</f>
        <v/>
      </c>
      <c r="G392" s="56">
        <f>IF($B392=0,"",IF(Inputs!$B$10="","",IF($AH392=0,G391,SUMIFS(Data!$R$10:$R$3209,Data!$Q$10:$Q$3209,"&gt;="&amp;$A392,Data!$Q$10:$Q$3209,"&lt;"&amp;$A392+1)/$AH392)))</f>
        <v/>
      </c>
      <c r="I392" s="54">
        <f>IF($B392=0,NA(),IF($C392="",NA(),IF(C$8="",NA(),IF(N(C$8)=0,NA(),IF(Inputs!$C$17="Rebased to 100",$C392/C$8*100,$C392)))))</f>
        <v/>
      </c>
      <c r="J392" s="54">
        <f>IF($B392=0,NA(),IF($D392="",NA(),IF(D$8="",NA(),IF(N(D$8)=0,NA(),IF(Inputs!$C$17="Rebased to 100",$D392/D$8*100,$D392)))))</f>
        <v/>
      </c>
      <c r="K392" s="54">
        <f>IF($B392=0,NA(),IF($E392="",NA(),IF(E$8="",NA(),IF(N(E$8)=0,NA(),IF(Inputs!$C$17="Rebased to 100",$E392/E$8*100,$E392)))))</f>
        <v/>
      </c>
      <c r="L392" s="54">
        <f>IF($B392=0,NA(),IF($F392="",NA(),IF(F$8="",NA(),IF(N(F$8)=0,NA(),IF(Inputs!$C$17="Rebased to 100",$F392/F$8*100,$F392)))))</f>
        <v/>
      </c>
      <c r="M392" s="54">
        <f>IF($B392=0,NA(),IF($G392="",NA(),IF(G$8="",NA(),IF(N(G$8)=0,NA(),IF(Inputs!$C$17="Rebased to 100",$G392/G$8*100,$G392)))))</f>
        <v/>
      </c>
      <c r="N392" s="54">
        <f>IF($B392=0,NA(),IF(Inputs!$C$18&lt;&gt;"Yes",NA(),IF(COUNT(I392,J392,K392,L392,M392)=0,NA(),MIN(I392,J392,K392,L392,M392))))</f>
        <v/>
      </c>
      <c r="O392" s="54">
        <f>IF($B392=0,NA(),IF(Inputs!$B$24&lt;&gt;"Yes",NA(),Inputs!$D$24*Inputs!$C$35))</f>
        <v/>
      </c>
      <c r="P392" s="54">
        <f>IF($B392=0,NA(),IF(Inputs!$B$25&lt;&gt;"Yes",NA(),Inputs!$D$25*Inputs!$C$35))</f>
        <v/>
      </c>
      <c r="Q392" s="54">
        <f>IF($B392=0,NA(),IF(Inputs!$B$26&lt;&gt;"Yes",NA(),Inputs!$D$26*Inputs!$C$35))</f>
        <v/>
      </c>
      <c r="R392" s="54">
        <f>IF($B392=0,NA(),IF(Inputs!$B$27&lt;&gt;"Yes",NA(),Inputs!$D$27*Inputs!$C$35))</f>
        <v/>
      </c>
      <c r="S392" s="54">
        <f>IF($B392=0,NA(),IF(Inputs!$B$28&lt;&gt;"Yes",NA(),Inputs!$D$28*Inputs!$C$35))</f>
        <v/>
      </c>
      <c r="T392" s="54">
        <f>IF($B392=0,NA(),IF(Inputs!$B$29&lt;&gt;"Yes",NA(),Inputs!$D$29*Inputs!$C$35))</f>
        <v/>
      </c>
      <c r="AD392">
        <f>IF($B392=0,0,IF(Inputs!$B$6="",0,COUNTIFS(Data!$A$10:$A$3209,"&gt;="&amp;$A392,Data!$A$10:$A$3209,"&lt;"&amp;$A392+1)))</f>
        <v/>
      </c>
      <c r="AE392">
        <f>IF($B392=0,0,IF(Inputs!$B$7="",0,COUNTIFS(Data!$E$10:$E$3209,"&gt;="&amp;$A392,Data!$E$10:$E$3209,"&lt;"&amp;$A392+1)))</f>
        <v/>
      </c>
      <c r="AF392">
        <f>IF($B392=0,0,IF(Inputs!$B$8="",0,COUNTIFS(Data!$I$10:$I$3209,"&gt;="&amp;$A392,Data!$I$10:$I$3209,"&lt;"&amp;$A392+1)))</f>
        <v/>
      </c>
      <c r="AG392">
        <f>IF($B392=0,0,IF(Inputs!$B$9="",0,COUNTIFS(Data!$M$10:$M$3209,"&gt;="&amp;$A392,Data!$M$10:$M$3209,"&lt;"&amp;$A392+1)))</f>
        <v/>
      </c>
      <c r="AH392">
        <f>IF($B392=0,0,IF(Inputs!$B$10="",0,COUNTIFS(Data!$Q$10:$Q$3209,"&gt;="&amp;$A392,Data!$Q$10:$Q$3209,"&lt;"&amp;$A392+1)))</f>
        <v/>
      </c>
    </row>
    <row r="393">
      <c r="A393" s="55">
        <f>MIN(Inputs!$C$15,$A392+IF(WEEKDAY($A392,2)=5,3,1))</f>
        <v/>
      </c>
      <c r="B393">
        <f>IF($A393&gt;$A392,1,0)</f>
        <v/>
      </c>
      <c r="C393" s="56">
        <f>IF($B393=0,"",IF(Inputs!$B$6="","",IF($AD393=0,C392,SUMIFS(Data!$B$10:$B$3209,Data!$A$10:$A$3209,"&gt;="&amp;$A393,Data!$A$10:$A$3209,"&lt;"&amp;$A393+1)/$AD393)))</f>
        <v/>
      </c>
      <c r="D393" s="56">
        <f>IF($B393=0,"",IF(Inputs!$B$7="","",IF($AE393=0,D392,SUMIFS(Data!$F$10:$F$3209,Data!$E$10:$E$3209,"&gt;="&amp;$A393,Data!$E$10:$E$3209,"&lt;"&amp;$A393+1)/$AE393)))</f>
        <v/>
      </c>
      <c r="E393" s="56">
        <f>IF($B393=0,"",IF(Inputs!$B$8="","",IF($AF393=0,E392,SUMIFS(Data!$J$10:$J$3209,Data!$I$10:$I$3209,"&gt;="&amp;$A393,Data!$I$10:$I$3209,"&lt;"&amp;$A393+1)/$AF393)))</f>
        <v/>
      </c>
      <c r="F393" s="56">
        <f>IF($B393=0,"",IF(Inputs!$B$9="","",IF($AG393=0,F392,SUMIFS(Data!$N$10:$N$3209,Data!$M$10:$M$3209,"&gt;="&amp;$A393,Data!$M$10:$M$3209,"&lt;"&amp;$A393+1)/$AG393)))</f>
        <v/>
      </c>
      <c r="G393" s="56">
        <f>IF($B393=0,"",IF(Inputs!$B$10="","",IF($AH393=0,G392,SUMIFS(Data!$R$10:$R$3209,Data!$Q$10:$Q$3209,"&gt;="&amp;$A393,Data!$Q$10:$Q$3209,"&lt;"&amp;$A393+1)/$AH393)))</f>
        <v/>
      </c>
      <c r="I393" s="54">
        <f>IF($B393=0,NA(),IF($C393="",NA(),IF(C$8="",NA(),IF(N(C$8)=0,NA(),IF(Inputs!$C$17="Rebased to 100",$C393/C$8*100,$C393)))))</f>
        <v/>
      </c>
      <c r="J393" s="54">
        <f>IF($B393=0,NA(),IF($D393="",NA(),IF(D$8="",NA(),IF(N(D$8)=0,NA(),IF(Inputs!$C$17="Rebased to 100",$D393/D$8*100,$D393)))))</f>
        <v/>
      </c>
      <c r="K393" s="54">
        <f>IF($B393=0,NA(),IF($E393="",NA(),IF(E$8="",NA(),IF(N(E$8)=0,NA(),IF(Inputs!$C$17="Rebased to 100",$E393/E$8*100,$E393)))))</f>
        <v/>
      </c>
      <c r="L393" s="54">
        <f>IF($B393=0,NA(),IF($F393="",NA(),IF(F$8="",NA(),IF(N(F$8)=0,NA(),IF(Inputs!$C$17="Rebased to 100",$F393/F$8*100,$F393)))))</f>
        <v/>
      </c>
      <c r="M393" s="54">
        <f>IF($B393=0,NA(),IF($G393="",NA(),IF(G$8="",NA(),IF(N(G$8)=0,NA(),IF(Inputs!$C$17="Rebased to 100",$G393/G$8*100,$G393)))))</f>
        <v/>
      </c>
      <c r="N393" s="54">
        <f>IF($B393=0,NA(),IF(Inputs!$C$18&lt;&gt;"Yes",NA(),IF(COUNT(I393,J393,K393,L393,M393)=0,NA(),MIN(I393,J393,K393,L393,M393))))</f>
        <v/>
      </c>
      <c r="O393" s="54">
        <f>IF($B393=0,NA(),IF(Inputs!$B$24&lt;&gt;"Yes",NA(),Inputs!$D$24*Inputs!$C$35))</f>
        <v/>
      </c>
      <c r="P393" s="54">
        <f>IF($B393=0,NA(),IF(Inputs!$B$25&lt;&gt;"Yes",NA(),Inputs!$D$25*Inputs!$C$35))</f>
        <v/>
      </c>
      <c r="Q393" s="54">
        <f>IF($B393=0,NA(),IF(Inputs!$B$26&lt;&gt;"Yes",NA(),Inputs!$D$26*Inputs!$C$35))</f>
        <v/>
      </c>
      <c r="R393" s="54">
        <f>IF($B393=0,NA(),IF(Inputs!$B$27&lt;&gt;"Yes",NA(),Inputs!$D$27*Inputs!$C$35))</f>
        <v/>
      </c>
      <c r="S393" s="54">
        <f>IF($B393=0,NA(),IF(Inputs!$B$28&lt;&gt;"Yes",NA(),Inputs!$D$28*Inputs!$C$35))</f>
        <v/>
      </c>
      <c r="T393" s="54">
        <f>IF($B393=0,NA(),IF(Inputs!$B$29&lt;&gt;"Yes",NA(),Inputs!$D$29*Inputs!$C$35))</f>
        <v/>
      </c>
      <c r="AD393">
        <f>IF($B393=0,0,IF(Inputs!$B$6="",0,COUNTIFS(Data!$A$10:$A$3209,"&gt;="&amp;$A393,Data!$A$10:$A$3209,"&lt;"&amp;$A393+1)))</f>
        <v/>
      </c>
      <c r="AE393">
        <f>IF($B393=0,0,IF(Inputs!$B$7="",0,COUNTIFS(Data!$E$10:$E$3209,"&gt;="&amp;$A393,Data!$E$10:$E$3209,"&lt;"&amp;$A393+1)))</f>
        <v/>
      </c>
      <c r="AF393">
        <f>IF($B393=0,0,IF(Inputs!$B$8="",0,COUNTIFS(Data!$I$10:$I$3209,"&gt;="&amp;$A393,Data!$I$10:$I$3209,"&lt;"&amp;$A393+1)))</f>
        <v/>
      </c>
      <c r="AG393">
        <f>IF($B393=0,0,IF(Inputs!$B$9="",0,COUNTIFS(Data!$M$10:$M$3209,"&gt;="&amp;$A393,Data!$M$10:$M$3209,"&lt;"&amp;$A393+1)))</f>
        <v/>
      </c>
      <c r="AH393">
        <f>IF($B393=0,0,IF(Inputs!$B$10="",0,COUNTIFS(Data!$Q$10:$Q$3209,"&gt;="&amp;$A393,Data!$Q$10:$Q$3209,"&lt;"&amp;$A393+1)))</f>
        <v/>
      </c>
    </row>
    <row r="394">
      <c r="A394" s="55">
        <f>MIN(Inputs!$C$15,$A393+IF(WEEKDAY($A393,2)=5,3,1))</f>
        <v/>
      </c>
      <c r="B394">
        <f>IF($A394&gt;$A393,1,0)</f>
        <v/>
      </c>
      <c r="C394" s="56">
        <f>IF($B394=0,"",IF(Inputs!$B$6="","",IF($AD394=0,C393,SUMIFS(Data!$B$10:$B$3209,Data!$A$10:$A$3209,"&gt;="&amp;$A394,Data!$A$10:$A$3209,"&lt;"&amp;$A394+1)/$AD394)))</f>
        <v/>
      </c>
      <c r="D394" s="56">
        <f>IF($B394=0,"",IF(Inputs!$B$7="","",IF($AE394=0,D393,SUMIFS(Data!$F$10:$F$3209,Data!$E$10:$E$3209,"&gt;="&amp;$A394,Data!$E$10:$E$3209,"&lt;"&amp;$A394+1)/$AE394)))</f>
        <v/>
      </c>
      <c r="E394" s="56">
        <f>IF($B394=0,"",IF(Inputs!$B$8="","",IF($AF394=0,E393,SUMIFS(Data!$J$10:$J$3209,Data!$I$10:$I$3209,"&gt;="&amp;$A394,Data!$I$10:$I$3209,"&lt;"&amp;$A394+1)/$AF394)))</f>
        <v/>
      </c>
      <c r="F394" s="56">
        <f>IF($B394=0,"",IF(Inputs!$B$9="","",IF($AG394=0,F393,SUMIFS(Data!$N$10:$N$3209,Data!$M$10:$M$3209,"&gt;="&amp;$A394,Data!$M$10:$M$3209,"&lt;"&amp;$A394+1)/$AG394)))</f>
        <v/>
      </c>
      <c r="G394" s="56">
        <f>IF($B394=0,"",IF(Inputs!$B$10="","",IF($AH394=0,G393,SUMIFS(Data!$R$10:$R$3209,Data!$Q$10:$Q$3209,"&gt;="&amp;$A394,Data!$Q$10:$Q$3209,"&lt;"&amp;$A394+1)/$AH394)))</f>
        <v/>
      </c>
      <c r="I394" s="54">
        <f>IF($B394=0,NA(),IF($C394="",NA(),IF(C$8="",NA(),IF(N(C$8)=0,NA(),IF(Inputs!$C$17="Rebased to 100",$C394/C$8*100,$C394)))))</f>
        <v/>
      </c>
      <c r="J394" s="54">
        <f>IF($B394=0,NA(),IF($D394="",NA(),IF(D$8="",NA(),IF(N(D$8)=0,NA(),IF(Inputs!$C$17="Rebased to 100",$D394/D$8*100,$D394)))))</f>
        <v/>
      </c>
      <c r="K394" s="54">
        <f>IF($B394=0,NA(),IF($E394="",NA(),IF(E$8="",NA(),IF(N(E$8)=0,NA(),IF(Inputs!$C$17="Rebased to 100",$E394/E$8*100,$E394)))))</f>
        <v/>
      </c>
      <c r="L394" s="54">
        <f>IF($B394=0,NA(),IF($F394="",NA(),IF(F$8="",NA(),IF(N(F$8)=0,NA(),IF(Inputs!$C$17="Rebased to 100",$F394/F$8*100,$F394)))))</f>
        <v/>
      </c>
      <c r="M394" s="54">
        <f>IF($B394=0,NA(),IF($G394="",NA(),IF(G$8="",NA(),IF(N(G$8)=0,NA(),IF(Inputs!$C$17="Rebased to 100",$G394/G$8*100,$G394)))))</f>
        <v/>
      </c>
      <c r="N394" s="54">
        <f>IF($B394=0,NA(),IF(Inputs!$C$18&lt;&gt;"Yes",NA(),IF(COUNT(I394,J394,K394,L394,M394)=0,NA(),MIN(I394,J394,K394,L394,M394))))</f>
        <v/>
      </c>
      <c r="O394" s="54">
        <f>IF($B394=0,NA(),IF(Inputs!$B$24&lt;&gt;"Yes",NA(),Inputs!$D$24*Inputs!$C$35))</f>
        <v/>
      </c>
      <c r="P394" s="54">
        <f>IF($B394=0,NA(),IF(Inputs!$B$25&lt;&gt;"Yes",NA(),Inputs!$D$25*Inputs!$C$35))</f>
        <v/>
      </c>
      <c r="Q394" s="54">
        <f>IF($B394=0,NA(),IF(Inputs!$B$26&lt;&gt;"Yes",NA(),Inputs!$D$26*Inputs!$C$35))</f>
        <v/>
      </c>
      <c r="R394" s="54">
        <f>IF($B394=0,NA(),IF(Inputs!$B$27&lt;&gt;"Yes",NA(),Inputs!$D$27*Inputs!$C$35))</f>
        <v/>
      </c>
      <c r="S394" s="54">
        <f>IF($B394=0,NA(),IF(Inputs!$B$28&lt;&gt;"Yes",NA(),Inputs!$D$28*Inputs!$C$35))</f>
        <v/>
      </c>
      <c r="T394" s="54">
        <f>IF($B394=0,NA(),IF(Inputs!$B$29&lt;&gt;"Yes",NA(),Inputs!$D$29*Inputs!$C$35))</f>
        <v/>
      </c>
      <c r="AD394">
        <f>IF($B394=0,0,IF(Inputs!$B$6="",0,COUNTIFS(Data!$A$10:$A$3209,"&gt;="&amp;$A394,Data!$A$10:$A$3209,"&lt;"&amp;$A394+1)))</f>
        <v/>
      </c>
      <c r="AE394">
        <f>IF($B394=0,0,IF(Inputs!$B$7="",0,COUNTIFS(Data!$E$10:$E$3209,"&gt;="&amp;$A394,Data!$E$10:$E$3209,"&lt;"&amp;$A394+1)))</f>
        <v/>
      </c>
      <c r="AF394">
        <f>IF($B394=0,0,IF(Inputs!$B$8="",0,COUNTIFS(Data!$I$10:$I$3209,"&gt;="&amp;$A394,Data!$I$10:$I$3209,"&lt;"&amp;$A394+1)))</f>
        <v/>
      </c>
      <c r="AG394">
        <f>IF($B394=0,0,IF(Inputs!$B$9="",0,COUNTIFS(Data!$M$10:$M$3209,"&gt;="&amp;$A394,Data!$M$10:$M$3209,"&lt;"&amp;$A394+1)))</f>
        <v/>
      </c>
      <c r="AH394">
        <f>IF($B394=0,0,IF(Inputs!$B$10="",0,COUNTIFS(Data!$Q$10:$Q$3209,"&gt;="&amp;$A394,Data!$Q$10:$Q$3209,"&lt;"&amp;$A394+1)))</f>
        <v/>
      </c>
    </row>
    <row r="395">
      <c r="A395" s="55">
        <f>MIN(Inputs!$C$15,$A394+IF(WEEKDAY($A394,2)=5,3,1))</f>
        <v/>
      </c>
      <c r="B395">
        <f>IF($A395&gt;$A394,1,0)</f>
        <v/>
      </c>
      <c r="C395" s="56">
        <f>IF($B395=0,"",IF(Inputs!$B$6="","",IF($AD395=0,C394,SUMIFS(Data!$B$10:$B$3209,Data!$A$10:$A$3209,"&gt;="&amp;$A395,Data!$A$10:$A$3209,"&lt;"&amp;$A395+1)/$AD395)))</f>
        <v/>
      </c>
      <c r="D395" s="56">
        <f>IF($B395=0,"",IF(Inputs!$B$7="","",IF($AE395=0,D394,SUMIFS(Data!$F$10:$F$3209,Data!$E$10:$E$3209,"&gt;="&amp;$A395,Data!$E$10:$E$3209,"&lt;"&amp;$A395+1)/$AE395)))</f>
        <v/>
      </c>
      <c r="E395" s="56">
        <f>IF($B395=0,"",IF(Inputs!$B$8="","",IF($AF395=0,E394,SUMIFS(Data!$J$10:$J$3209,Data!$I$10:$I$3209,"&gt;="&amp;$A395,Data!$I$10:$I$3209,"&lt;"&amp;$A395+1)/$AF395)))</f>
        <v/>
      </c>
      <c r="F395" s="56">
        <f>IF($B395=0,"",IF(Inputs!$B$9="","",IF($AG395=0,F394,SUMIFS(Data!$N$10:$N$3209,Data!$M$10:$M$3209,"&gt;="&amp;$A395,Data!$M$10:$M$3209,"&lt;"&amp;$A395+1)/$AG395)))</f>
        <v/>
      </c>
      <c r="G395" s="56">
        <f>IF($B395=0,"",IF(Inputs!$B$10="","",IF($AH395=0,G394,SUMIFS(Data!$R$10:$R$3209,Data!$Q$10:$Q$3209,"&gt;="&amp;$A395,Data!$Q$10:$Q$3209,"&lt;"&amp;$A395+1)/$AH395)))</f>
        <v/>
      </c>
      <c r="I395" s="54">
        <f>IF($B395=0,NA(),IF($C395="",NA(),IF(C$8="",NA(),IF(N(C$8)=0,NA(),IF(Inputs!$C$17="Rebased to 100",$C395/C$8*100,$C395)))))</f>
        <v/>
      </c>
      <c r="J395" s="54">
        <f>IF($B395=0,NA(),IF($D395="",NA(),IF(D$8="",NA(),IF(N(D$8)=0,NA(),IF(Inputs!$C$17="Rebased to 100",$D395/D$8*100,$D395)))))</f>
        <v/>
      </c>
      <c r="K395" s="54">
        <f>IF($B395=0,NA(),IF($E395="",NA(),IF(E$8="",NA(),IF(N(E$8)=0,NA(),IF(Inputs!$C$17="Rebased to 100",$E395/E$8*100,$E395)))))</f>
        <v/>
      </c>
      <c r="L395" s="54">
        <f>IF($B395=0,NA(),IF($F395="",NA(),IF(F$8="",NA(),IF(N(F$8)=0,NA(),IF(Inputs!$C$17="Rebased to 100",$F395/F$8*100,$F395)))))</f>
        <v/>
      </c>
      <c r="M395" s="54">
        <f>IF($B395=0,NA(),IF($G395="",NA(),IF(G$8="",NA(),IF(N(G$8)=0,NA(),IF(Inputs!$C$17="Rebased to 100",$G395/G$8*100,$G395)))))</f>
        <v/>
      </c>
      <c r="N395" s="54">
        <f>IF($B395=0,NA(),IF(Inputs!$C$18&lt;&gt;"Yes",NA(),IF(COUNT(I395,J395,K395,L395,M395)=0,NA(),MIN(I395,J395,K395,L395,M395))))</f>
        <v/>
      </c>
      <c r="O395" s="54">
        <f>IF($B395=0,NA(),IF(Inputs!$B$24&lt;&gt;"Yes",NA(),Inputs!$D$24*Inputs!$C$35))</f>
        <v/>
      </c>
      <c r="P395" s="54">
        <f>IF($B395=0,NA(),IF(Inputs!$B$25&lt;&gt;"Yes",NA(),Inputs!$D$25*Inputs!$C$35))</f>
        <v/>
      </c>
      <c r="Q395" s="54">
        <f>IF($B395=0,NA(),IF(Inputs!$B$26&lt;&gt;"Yes",NA(),Inputs!$D$26*Inputs!$C$35))</f>
        <v/>
      </c>
      <c r="R395" s="54">
        <f>IF($B395=0,NA(),IF(Inputs!$B$27&lt;&gt;"Yes",NA(),Inputs!$D$27*Inputs!$C$35))</f>
        <v/>
      </c>
      <c r="S395" s="54">
        <f>IF($B395=0,NA(),IF(Inputs!$B$28&lt;&gt;"Yes",NA(),Inputs!$D$28*Inputs!$C$35))</f>
        <v/>
      </c>
      <c r="T395" s="54">
        <f>IF($B395=0,NA(),IF(Inputs!$B$29&lt;&gt;"Yes",NA(),Inputs!$D$29*Inputs!$C$35))</f>
        <v/>
      </c>
      <c r="AD395">
        <f>IF($B395=0,0,IF(Inputs!$B$6="",0,COUNTIFS(Data!$A$10:$A$3209,"&gt;="&amp;$A395,Data!$A$10:$A$3209,"&lt;"&amp;$A395+1)))</f>
        <v/>
      </c>
      <c r="AE395">
        <f>IF($B395=0,0,IF(Inputs!$B$7="",0,COUNTIFS(Data!$E$10:$E$3209,"&gt;="&amp;$A395,Data!$E$10:$E$3209,"&lt;"&amp;$A395+1)))</f>
        <v/>
      </c>
      <c r="AF395">
        <f>IF($B395=0,0,IF(Inputs!$B$8="",0,COUNTIFS(Data!$I$10:$I$3209,"&gt;="&amp;$A395,Data!$I$10:$I$3209,"&lt;"&amp;$A395+1)))</f>
        <v/>
      </c>
      <c r="AG395">
        <f>IF($B395=0,0,IF(Inputs!$B$9="",0,COUNTIFS(Data!$M$10:$M$3209,"&gt;="&amp;$A395,Data!$M$10:$M$3209,"&lt;"&amp;$A395+1)))</f>
        <v/>
      </c>
      <c r="AH395">
        <f>IF($B395=0,0,IF(Inputs!$B$10="",0,COUNTIFS(Data!$Q$10:$Q$3209,"&gt;="&amp;$A395,Data!$Q$10:$Q$3209,"&lt;"&amp;$A395+1)))</f>
        <v/>
      </c>
    </row>
    <row r="396">
      <c r="A396" s="55">
        <f>MIN(Inputs!$C$15,$A395+IF(WEEKDAY($A395,2)=5,3,1))</f>
        <v/>
      </c>
      <c r="B396">
        <f>IF($A396&gt;$A395,1,0)</f>
        <v/>
      </c>
      <c r="C396" s="56">
        <f>IF($B396=0,"",IF(Inputs!$B$6="","",IF($AD396=0,C395,SUMIFS(Data!$B$10:$B$3209,Data!$A$10:$A$3209,"&gt;="&amp;$A396,Data!$A$10:$A$3209,"&lt;"&amp;$A396+1)/$AD396)))</f>
        <v/>
      </c>
      <c r="D396" s="56">
        <f>IF($B396=0,"",IF(Inputs!$B$7="","",IF($AE396=0,D395,SUMIFS(Data!$F$10:$F$3209,Data!$E$10:$E$3209,"&gt;="&amp;$A396,Data!$E$10:$E$3209,"&lt;"&amp;$A396+1)/$AE396)))</f>
        <v/>
      </c>
      <c r="E396" s="56">
        <f>IF($B396=0,"",IF(Inputs!$B$8="","",IF($AF396=0,E395,SUMIFS(Data!$J$10:$J$3209,Data!$I$10:$I$3209,"&gt;="&amp;$A396,Data!$I$10:$I$3209,"&lt;"&amp;$A396+1)/$AF396)))</f>
        <v/>
      </c>
      <c r="F396" s="56">
        <f>IF($B396=0,"",IF(Inputs!$B$9="","",IF($AG396=0,F395,SUMIFS(Data!$N$10:$N$3209,Data!$M$10:$M$3209,"&gt;="&amp;$A396,Data!$M$10:$M$3209,"&lt;"&amp;$A396+1)/$AG396)))</f>
        <v/>
      </c>
      <c r="G396" s="56">
        <f>IF($B396=0,"",IF(Inputs!$B$10="","",IF($AH396=0,G395,SUMIFS(Data!$R$10:$R$3209,Data!$Q$10:$Q$3209,"&gt;="&amp;$A396,Data!$Q$10:$Q$3209,"&lt;"&amp;$A396+1)/$AH396)))</f>
        <v/>
      </c>
      <c r="I396" s="54">
        <f>IF($B396=0,NA(),IF($C396="",NA(),IF(C$8="",NA(),IF(N(C$8)=0,NA(),IF(Inputs!$C$17="Rebased to 100",$C396/C$8*100,$C396)))))</f>
        <v/>
      </c>
      <c r="J396" s="54">
        <f>IF($B396=0,NA(),IF($D396="",NA(),IF(D$8="",NA(),IF(N(D$8)=0,NA(),IF(Inputs!$C$17="Rebased to 100",$D396/D$8*100,$D396)))))</f>
        <v/>
      </c>
      <c r="K396" s="54">
        <f>IF($B396=0,NA(),IF($E396="",NA(),IF(E$8="",NA(),IF(N(E$8)=0,NA(),IF(Inputs!$C$17="Rebased to 100",$E396/E$8*100,$E396)))))</f>
        <v/>
      </c>
      <c r="L396" s="54">
        <f>IF($B396=0,NA(),IF($F396="",NA(),IF(F$8="",NA(),IF(N(F$8)=0,NA(),IF(Inputs!$C$17="Rebased to 100",$F396/F$8*100,$F396)))))</f>
        <v/>
      </c>
      <c r="M396" s="54">
        <f>IF($B396=0,NA(),IF($G396="",NA(),IF(G$8="",NA(),IF(N(G$8)=0,NA(),IF(Inputs!$C$17="Rebased to 100",$G396/G$8*100,$G396)))))</f>
        <v/>
      </c>
      <c r="N396" s="54">
        <f>IF($B396=0,NA(),IF(Inputs!$C$18&lt;&gt;"Yes",NA(),IF(COUNT(I396,J396,K396,L396,M396)=0,NA(),MIN(I396,J396,K396,L396,M396))))</f>
        <v/>
      </c>
      <c r="O396" s="54">
        <f>IF($B396=0,NA(),IF(Inputs!$B$24&lt;&gt;"Yes",NA(),Inputs!$D$24*Inputs!$C$35))</f>
        <v/>
      </c>
      <c r="P396" s="54">
        <f>IF($B396=0,NA(),IF(Inputs!$B$25&lt;&gt;"Yes",NA(),Inputs!$D$25*Inputs!$C$35))</f>
        <v/>
      </c>
      <c r="Q396" s="54">
        <f>IF($B396=0,NA(),IF(Inputs!$B$26&lt;&gt;"Yes",NA(),Inputs!$D$26*Inputs!$C$35))</f>
        <v/>
      </c>
      <c r="R396" s="54">
        <f>IF($B396=0,NA(),IF(Inputs!$B$27&lt;&gt;"Yes",NA(),Inputs!$D$27*Inputs!$C$35))</f>
        <v/>
      </c>
      <c r="S396" s="54">
        <f>IF($B396=0,NA(),IF(Inputs!$B$28&lt;&gt;"Yes",NA(),Inputs!$D$28*Inputs!$C$35))</f>
        <v/>
      </c>
      <c r="T396" s="54">
        <f>IF($B396=0,NA(),IF(Inputs!$B$29&lt;&gt;"Yes",NA(),Inputs!$D$29*Inputs!$C$35))</f>
        <v/>
      </c>
      <c r="AD396">
        <f>IF($B396=0,0,IF(Inputs!$B$6="",0,COUNTIFS(Data!$A$10:$A$3209,"&gt;="&amp;$A396,Data!$A$10:$A$3209,"&lt;"&amp;$A396+1)))</f>
        <v/>
      </c>
      <c r="AE396">
        <f>IF($B396=0,0,IF(Inputs!$B$7="",0,COUNTIFS(Data!$E$10:$E$3209,"&gt;="&amp;$A396,Data!$E$10:$E$3209,"&lt;"&amp;$A396+1)))</f>
        <v/>
      </c>
      <c r="AF396">
        <f>IF($B396=0,0,IF(Inputs!$B$8="",0,COUNTIFS(Data!$I$10:$I$3209,"&gt;="&amp;$A396,Data!$I$10:$I$3209,"&lt;"&amp;$A396+1)))</f>
        <v/>
      </c>
      <c r="AG396">
        <f>IF($B396=0,0,IF(Inputs!$B$9="",0,COUNTIFS(Data!$M$10:$M$3209,"&gt;="&amp;$A396,Data!$M$10:$M$3209,"&lt;"&amp;$A396+1)))</f>
        <v/>
      </c>
      <c r="AH396">
        <f>IF($B396=0,0,IF(Inputs!$B$10="",0,COUNTIFS(Data!$Q$10:$Q$3209,"&gt;="&amp;$A396,Data!$Q$10:$Q$3209,"&lt;"&amp;$A396+1)))</f>
        <v/>
      </c>
    </row>
    <row r="397">
      <c r="A397" s="55">
        <f>MIN(Inputs!$C$15,$A396+IF(WEEKDAY($A396,2)=5,3,1))</f>
        <v/>
      </c>
      <c r="B397">
        <f>IF($A397&gt;$A396,1,0)</f>
        <v/>
      </c>
      <c r="C397" s="56">
        <f>IF($B397=0,"",IF(Inputs!$B$6="","",IF($AD397=0,C396,SUMIFS(Data!$B$10:$B$3209,Data!$A$10:$A$3209,"&gt;="&amp;$A397,Data!$A$10:$A$3209,"&lt;"&amp;$A397+1)/$AD397)))</f>
        <v/>
      </c>
      <c r="D397" s="56">
        <f>IF($B397=0,"",IF(Inputs!$B$7="","",IF($AE397=0,D396,SUMIFS(Data!$F$10:$F$3209,Data!$E$10:$E$3209,"&gt;="&amp;$A397,Data!$E$10:$E$3209,"&lt;"&amp;$A397+1)/$AE397)))</f>
        <v/>
      </c>
      <c r="E397" s="56">
        <f>IF($B397=0,"",IF(Inputs!$B$8="","",IF($AF397=0,E396,SUMIFS(Data!$J$10:$J$3209,Data!$I$10:$I$3209,"&gt;="&amp;$A397,Data!$I$10:$I$3209,"&lt;"&amp;$A397+1)/$AF397)))</f>
        <v/>
      </c>
      <c r="F397" s="56">
        <f>IF($B397=0,"",IF(Inputs!$B$9="","",IF($AG397=0,F396,SUMIFS(Data!$N$10:$N$3209,Data!$M$10:$M$3209,"&gt;="&amp;$A397,Data!$M$10:$M$3209,"&lt;"&amp;$A397+1)/$AG397)))</f>
        <v/>
      </c>
      <c r="G397" s="56">
        <f>IF($B397=0,"",IF(Inputs!$B$10="","",IF($AH397=0,G396,SUMIFS(Data!$R$10:$R$3209,Data!$Q$10:$Q$3209,"&gt;="&amp;$A397,Data!$Q$10:$Q$3209,"&lt;"&amp;$A397+1)/$AH397)))</f>
        <v/>
      </c>
      <c r="I397" s="54">
        <f>IF($B397=0,NA(),IF($C397="",NA(),IF(C$8="",NA(),IF(N(C$8)=0,NA(),IF(Inputs!$C$17="Rebased to 100",$C397/C$8*100,$C397)))))</f>
        <v/>
      </c>
      <c r="J397" s="54">
        <f>IF($B397=0,NA(),IF($D397="",NA(),IF(D$8="",NA(),IF(N(D$8)=0,NA(),IF(Inputs!$C$17="Rebased to 100",$D397/D$8*100,$D397)))))</f>
        <v/>
      </c>
      <c r="K397" s="54">
        <f>IF($B397=0,NA(),IF($E397="",NA(),IF(E$8="",NA(),IF(N(E$8)=0,NA(),IF(Inputs!$C$17="Rebased to 100",$E397/E$8*100,$E397)))))</f>
        <v/>
      </c>
      <c r="L397" s="54">
        <f>IF($B397=0,NA(),IF($F397="",NA(),IF(F$8="",NA(),IF(N(F$8)=0,NA(),IF(Inputs!$C$17="Rebased to 100",$F397/F$8*100,$F397)))))</f>
        <v/>
      </c>
      <c r="M397" s="54">
        <f>IF($B397=0,NA(),IF($G397="",NA(),IF(G$8="",NA(),IF(N(G$8)=0,NA(),IF(Inputs!$C$17="Rebased to 100",$G397/G$8*100,$G397)))))</f>
        <v/>
      </c>
      <c r="N397" s="54">
        <f>IF($B397=0,NA(),IF(Inputs!$C$18&lt;&gt;"Yes",NA(),IF(COUNT(I397,J397,K397,L397,M397)=0,NA(),MIN(I397,J397,K397,L397,M397))))</f>
        <v/>
      </c>
      <c r="O397" s="54">
        <f>IF($B397=0,NA(),IF(Inputs!$B$24&lt;&gt;"Yes",NA(),Inputs!$D$24*Inputs!$C$35))</f>
        <v/>
      </c>
      <c r="P397" s="54">
        <f>IF($B397=0,NA(),IF(Inputs!$B$25&lt;&gt;"Yes",NA(),Inputs!$D$25*Inputs!$C$35))</f>
        <v/>
      </c>
      <c r="Q397" s="54">
        <f>IF($B397=0,NA(),IF(Inputs!$B$26&lt;&gt;"Yes",NA(),Inputs!$D$26*Inputs!$C$35))</f>
        <v/>
      </c>
      <c r="R397" s="54">
        <f>IF($B397=0,NA(),IF(Inputs!$B$27&lt;&gt;"Yes",NA(),Inputs!$D$27*Inputs!$C$35))</f>
        <v/>
      </c>
      <c r="S397" s="54">
        <f>IF($B397=0,NA(),IF(Inputs!$B$28&lt;&gt;"Yes",NA(),Inputs!$D$28*Inputs!$C$35))</f>
        <v/>
      </c>
      <c r="T397" s="54">
        <f>IF($B397=0,NA(),IF(Inputs!$B$29&lt;&gt;"Yes",NA(),Inputs!$D$29*Inputs!$C$35))</f>
        <v/>
      </c>
      <c r="AD397">
        <f>IF($B397=0,0,IF(Inputs!$B$6="",0,COUNTIFS(Data!$A$10:$A$3209,"&gt;="&amp;$A397,Data!$A$10:$A$3209,"&lt;"&amp;$A397+1)))</f>
        <v/>
      </c>
      <c r="AE397">
        <f>IF($B397=0,0,IF(Inputs!$B$7="",0,COUNTIFS(Data!$E$10:$E$3209,"&gt;="&amp;$A397,Data!$E$10:$E$3209,"&lt;"&amp;$A397+1)))</f>
        <v/>
      </c>
      <c r="AF397">
        <f>IF($B397=0,0,IF(Inputs!$B$8="",0,COUNTIFS(Data!$I$10:$I$3209,"&gt;="&amp;$A397,Data!$I$10:$I$3209,"&lt;"&amp;$A397+1)))</f>
        <v/>
      </c>
      <c r="AG397">
        <f>IF($B397=0,0,IF(Inputs!$B$9="",0,COUNTIFS(Data!$M$10:$M$3209,"&gt;="&amp;$A397,Data!$M$10:$M$3209,"&lt;"&amp;$A397+1)))</f>
        <v/>
      </c>
      <c r="AH397">
        <f>IF($B397=0,0,IF(Inputs!$B$10="",0,COUNTIFS(Data!$Q$10:$Q$3209,"&gt;="&amp;$A397,Data!$Q$10:$Q$3209,"&lt;"&amp;$A397+1)))</f>
        <v/>
      </c>
    </row>
    <row r="398">
      <c r="A398" s="55">
        <f>MIN(Inputs!$C$15,$A397+IF(WEEKDAY($A397,2)=5,3,1))</f>
        <v/>
      </c>
      <c r="B398">
        <f>IF($A398&gt;$A397,1,0)</f>
        <v/>
      </c>
      <c r="C398" s="56">
        <f>IF($B398=0,"",IF(Inputs!$B$6="","",IF($AD398=0,C397,SUMIFS(Data!$B$10:$B$3209,Data!$A$10:$A$3209,"&gt;="&amp;$A398,Data!$A$10:$A$3209,"&lt;"&amp;$A398+1)/$AD398)))</f>
        <v/>
      </c>
      <c r="D398" s="56">
        <f>IF($B398=0,"",IF(Inputs!$B$7="","",IF($AE398=0,D397,SUMIFS(Data!$F$10:$F$3209,Data!$E$10:$E$3209,"&gt;="&amp;$A398,Data!$E$10:$E$3209,"&lt;"&amp;$A398+1)/$AE398)))</f>
        <v/>
      </c>
      <c r="E398" s="56">
        <f>IF($B398=0,"",IF(Inputs!$B$8="","",IF($AF398=0,E397,SUMIFS(Data!$J$10:$J$3209,Data!$I$10:$I$3209,"&gt;="&amp;$A398,Data!$I$10:$I$3209,"&lt;"&amp;$A398+1)/$AF398)))</f>
        <v/>
      </c>
      <c r="F398" s="56">
        <f>IF($B398=0,"",IF(Inputs!$B$9="","",IF($AG398=0,F397,SUMIFS(Data!$N$10:$N$3209,Data!$M$10:$M$3209,"&gt;="&amp;$A398,Data!$M$10:$M$3209,"&lt;"&amp;$A398+1)/$AG398)))</f>
        <v/>
      </c>
      <c r="G398" s="56">
        <f>IF($B398=0,"",IF(Inputs!$B$10="","",IF($AH398=0,G397,SUMIFS(Data!$R$10:$R$3209,Data!$Q$10:$Q$3209,"&gt;="&amp;$A398,Data!$Q$10:$Q$3209,"&lt;"&amp;$A398+1)/$AH398)))</f>
        <v/>
      </c>
      <c r="I398" s="54">
        <f>IF($B398=0,NA(),IF($C398="",NA(),IF(C$8="",NA(),IF(N(C$8)=0,NA(),IF(Inputs!$C$17="Rebased to 100",$C398/C$8*100,$C398)))))</f>
        <v/>
      </c>
      <c r="J398" s="54">
        <f>IF($B398=0,NA(),IF($D398="",NA(),IF(D$8="",NA(),IF(N(D$8)=0,NA(),IF(Inputs!$C$17="Rebased to 100",$D398/D$8*100,$D398)))))</f>
        <v/>
      </c>
      <c r="K398" s="54">
        <f>IF($B398=0,NA(),IF($E398="",NA(),IF(E$8="",NA(),IF(N(E$8)=0,NA(),IF(Inputs!$C$17="Rebased to 100",$E398/E$8*100,$E398)))))</f>
        <v/>
      </c>
      <c r="L398" s="54">
        <f>IF($B398=0,NA(),IF($F398="",NA(),IF(F$8="",NA(),IF(N(F$8)=0,NA(),IF(Inputs!$C$17="Rebased to 100",$F398/F$8*100,$F398)))))</f>
        <v/>
      </c>
      <c r="M398" s="54">
        <f>IF($B398=0,NA(),IF($G398="",NA(),IF(G$8="",NA(),IF(N(G$8)=0,NA(),IF(Inputs!$C$17="Rebased to 100",$G398/G$8*100,$G398)))))</f>
        <v/>
      </c>
      <c r="N398" s="54">
        <f>IF($B398=0,NA(),IF(Inputs!$C$18&lt;&gt;"Yes",NA(),IF(COUNT(I398,J398,K398,L398,M398)=0,NA(),MIN(I398,J398,K398,L398,M398))))</f>
        <v/>
      </c>
      <c r="O398" s="54">
        <f>IF($B398=0,NA(),IF(Inputs!$B$24&lt;&gt;"Yes",NA(),Inputs!$D$24*Inputs!$C$35))</f>
        <v/>
      </c>
      <c r="P398" s="54">
        <f>IF($B398=0,NA(),IF(Inputs!$B$25&lt;&gt;"Yes",NA(),Inputs!$D$25*Inputs!$C$35))</f>
        <v/>
      </c>
      <c r="Q398" s="54">
        <f>IF($B398=0,NA(),IF(Inputs!$B$26&lt;&gt;"Yes",NA(),Inputs!$D$26*Inputs!$C$35))</f>
        <v/>
      </c>
      <c r="R398" s="54">
        <f>IF($B398=0,NA(),IF(Inputs!$B$27&lt;&gt;"Yes",NA(),Inputs!$D$27*Inputs!$C$35))</f>
        <v/>
      </c>
      <c r="S398" s="54">
        <f>IF($B398=0,NA(),IF(Inputs!$B$28&lt;&gt;"Yes",NA(),Inputs!$D$28*Inputs!$C$35))</f>
        <v/>
      </c>
      <c r="T398" s="54">
        <f>IF($B398=0,NA(),IF(Inputs!$B$29&lt;&gt;"Yes",NA(),Inputs!$D$29*Inputs!$C$35))</f>
        <v/>
      </c>
      <c r="AD398">
        <f>IF($B398=0,0,IF(Inputs!$B$6="",0,COUNTIFS(Data!$A$10:$A$3209,"&gt;="&amp;$A398,Data!$A$10:$A$3209,"&lt;"&amp;$A398+1)))</f>
        <v/>
      </c>
      <c r="AE398">
        <f>IF($B398=0,0,IF(Inputs!$B$7="",0,COUNTIFS(Data!$E$10:$E$3209,"&gt;="&amp;$A398,Data!$E$10:$E$3209,"&lt;"&amp;$A398+1)))</f>
        <v/>
      </c>
      <c r="AF398">
        <f>IF($B398=0,0,IF(Inputs!$B$8="",0,COUNTIFS(Data!$I$10:$I$3209,"&gt;="&amp;$A398,Data!$I$10:$I$3209,"&lt;"&amp;$A398+1)))</f>
        <v/>
      </c>
      <c r="AG398">
        <f>IF($B398=0,0,IF(Inputs!$B$9="",0,COUNTIFS(Data!$M$10:$M$3209,"&gt;="&amp;$A398,Data!$M$10:$M$3209,"&lt;"&amp;$A398+1)))</f>
        <v/>
      </c>
      <c r="AH398">
        <f>IF($B398=0,0,IF(Inputs!$B$10="",0,COUNTIFS(Data!$Q$10:$Q$3209,"&gt;="&amp;$A398,Data!$Q$10:$Q$3209,"&lt;"&amp;$A398+1)))</f>
        <v/>
      </c>
    </row>
    <row r="399">
      <c r="A399" s="55">
        <f>MIN(Inputs!$C$15,$A398+IF(WEEKDAY($A398,2)=5,3,1))</f>
        <v/>
      </c>
      <c r="B399">
        <f>IF($A399&gt;$A398,1,0)</f>
        <v/>
      </c>
      <c r="C399" s="56">
        <f>IF($B399=0,"",IF(Inputs!$B$6="","",IF($AD399=0,C398,SUMIFS(Data!$B$10:$B$3209,Data!$A$10:$A$3209,"&gt;="&amp;$A399,Data!$A$10:$A$3209,"&lt;"&amp;$A399+1)/$AD399)))</f>
        <v/>
      </c>
      <c r="D399" s="56">
        <f>IF($B399=0,"",IF(Inputs!$B$7="","",IF($AE399=0,D398,SUMIFS(Data!$F$10:$F$3209,Data!$E$10:$E$3209,"&gt;="&amp;$A399,Data!$E$10:$E$3209,"&lt;"&amp;$A399+1)/$AE399)))</f>
        <v/>
      </c>
      <c r="E399" s="56">
        <f>IF($B399=0,"",IF(Inputs!$B$8="","",IF($AF399=0,E398,SUMIFS(Data!$J$10:$J$3209,Data!$I$10:$I$3209,"&gt;="&amp;$A399,Data!$I$10:$I$3209,"&lt;"&amp;$A399+1)/$AF399)))</f>
        <v/>
      </c>
      <c r="F399" s="56">
        <f>IF($B399=0,"",IF(Inputs!$B$9="","",IF($AG399=0,F398,SUMIFS(Data!$N$10:$N$3209,Data!$M$10:$M$3209,"&gt;="&amp;$A399,Data!$M$10:$M$3209,"&lt;"&amp;$A399+1)/$AG399)))</f>
        <v/>
      </c>
      <c r="G399" s="56">
        <f>IF($B399=0,"",IF(Inputs!$B$10="","",IF($AH399=0,G398,SUMIFS(Data!$R$10:$R$3209,Data!$Q$10:$Q$3209,"&gt;="&amp;$A399,Data!$Q$10:$Q$3209,"&lt;"&amp;$A399+1)/$AH399)))</f>
        <v/>
      </c>
      <c r="I399" s="54">
        <f>IF($B399=0,NA(),IF($C399="",NA(),IF(C$8="",NA(),IF(N(C$8)=0,NA(),IF(Inputs!$C$17="Rebased to 100",$C399/C$8*100,$C399)))))</f>
        <v/>
      </c>
      <c r="J399" s="54">
        <f>IF($B399=0,NA(),IF($D399="",NA(),IF(D$8="",NA(),IF(N(D$8)=0,NA(),IF(Inputs!$C$17="Rebased to 100",$D399/D$8*100,$D399)))))</f>
        <v/>
      </c>
      <c r="K399" s="54">
        <f>IF($B399=0,NA(),IF($E399="",NA(),IF(E$8="",NA(),IF(N(E$8)=0,NA(),IF(Inputs!$C$17="Rebased to 100",$E399/E$8*100,$E399)))))</f>
        <v/>
      </c>
      <c r="L399" s="54">
        <f>IF($B399=0,NA(),IF($F399="",NA(),IF(F$8="",NA(),IF(N(F$8)=0,NA(),IF(Inputs!$C$17="Rebased to 100",$F399/F$8*100,$F399)))))</f>
        <v/>
      </c>
      <c r="M399" s="54">
        <f>IF($B399=0,NA(),IF($G399="",NA(),IF(G$8="",NA(),IF(N(G$8)=0,NA(),IF(Inputs!$C$17="Rebased to 100",$G399/G$8*100,$G399)))))</f>
        <v/>
      </c>
      <c r="N399" s="54">
        <f>IF($B399=0,NA(),IF(Inputs!$C$18&lt;&gt;"Yes",NA(),IF(COUNT(I399,J399,K399,L399,M399)=0,NA(),MIN(I399,J399,K399,L399,M399))))</f>
        <v/>
      </c>
      <c r="O399" s="54">
        <f>IF($B399=0,NA(),IF(Inputs!$B$24&lt;&gt;"Yes",NA(),Inputs!$D$24*Inputs!$C$35))</f>
        <v/>
      </c>
      <c r="P399" s="54">
        <f>IF($B399=0,NA(),IF(Inputs!$B$25&lt;&gt;"Yes",NA(),Inputs!$D$25*Inputs!$C$35))</f>
        <v/>
      </c>
      <c r="Q399" s="54">
        <f>IF($B399=0,NA(),IF(Inputs!$B$26&lt;&gt;"Yes",NA(),Inputs!$D$26*Inputs!$C$35))</f>
        <v/>
      </c>
      <c r="R399" s="54">
        <f>IF($B399=0,NA(),IF(Inputs!$B$27&lt;&gt;"Yes",NA(),Inputs!$D$27*Inputs!$C$35))</f>
        <v/>
      </c>
      <c r="S399" s="54">
        <f>IF($B399=0,NA(),IF(Inputs!$B$28&lt;&gt;"Yes",NA(),Inputs!$D$28*Inputs!$C$35))</f>
        <v/>
      </c>
      <c r="T399" s="54">
        <f>IF($B399=0,NA(),IF(Inputs!$B$29&lt;&gt;"Yes",NA(),Inputs!$D$29*Inputs!$C$35))</f>
        <v/>
      </c>
      <c r="AD399">
        <f>IF($B399=0,0,IF(Inputs!$B$6="",0,COUNTIFS(Data!$A$10:$A$3209,"&gt;="&amp;$A399,Data!$A$10:$A$3209,"&lt;"&amp;$A399+1)))</f>
        <v/>
      </c>
      <c r="AE399">
        <f>IF($B399=0,0,IF(Inputs!$B$7="",0,COUNTIFS(Data!$E$10:$E$3209,"&gt;="&amp;$A399,Data!$E$10:$E$3209,"&lt;"&amp;$A399+1)))</f>
        <v/>
      </c>
      <c r="AF399">
        <f>IF($B399=0,0,IF(Inputs!$B$8="",0,COUNTIFS(Data!$I$10:$I$3209,"&gt;="&amp;$A399,Data!$I$10:$I$3209,"&lt;"&amp;$A399+1)))</f>
        <v/>
      </c>
      <c r="AG399">
        <f>IF($B399=0,0,IF(Inputs!$B$9="",0,COUNTIFS(Data!$M$10:$M$3209,"&gt;="&amp;$A399,Data!$M$10:$M$3209,"&lt;"&amp;$A399+1)))</f>
        <v/>
      </c>
      <c r="AH399">
        <f>IF($B399=0,0,IF(Inputs!$B$10="",0,COUNTIFS(Data!$Q$10:$Q$3209,"&gt;="&amp;$A399,Data!$Q$10:$Q$3209,"&lt;"&amp;$A399+1)))</f>
        <v/>
      </c>
    </row>
    <row r="400">
      <c r="A400" s="55">
        <f>MIN(Inputs!$C$15,$A399+IF(WEEKDAY($A399,2)=5,3,1))</f>
        <v/>
      </c>
      <c r="B400">
        <f>IF($A400&gt;$A399,1,0)</f>
        <v/>
      </c>
      <c r="C400" s="56">
        <f>IF($B400=0,"",IF(Inputs!$B$6="","",IF($AD400=0,C399,SUMIFS(Data!$B$10:$B$3209,Data!$A$10:$A$3209,"&gt;="&amp;$A400,Data!$A$10:$A$3209,"&lt;"&amp;$A400+1)/$AD400)))</f>
        <v/>
      </c>
      <c r="D400" s="56">
        <f>IF($B400=0,"",IF(Inputs!$B$7="","",IF($AE400=0,D399,SUMIFS(Data!$F$10:$F$3209,Data!$E$10:$E$3209,"&gt;="&amp;$A400,Data!$E$10:$E$3209,"&lt;"&amp;$A400+1)/$AE400)))</f>
        <v/>
      </c>
      <c r="E400" s="56">
        <f>IF($B400=0,"",IF(Inputs!$B$8="","",IF($AF400=0,E399,SUMIFS(Data!$J$10:$J$3209,Data!$I$10:$I$3209,"&gt;="&amp;$A400,Data!$I$10:$I$3209,"&lt;"&amp;$A400+1)/$AF400)))</f>
        <v/>
      </c>
      <c r="F400" s="56">
        <f>IF($B400=0,"",IF(Inputs!$B$9="","",IF($AG400=0,F399,SUMIFS(Data!$N$10:$N$3209,Data!$M$10:$M$3209,"&gt;="&amp;$A400,Data!$M$10:$M$3209,"&lt;"&amp;$A400+1)/$AG400)))</f>
        <v/>
      </c>
      <c r="G400" s="56">
        <f>IF($B400=0,"",IF(Inputs!$B$10="","",IF($AH400=0,G399,SUMIFS(Data!$R$10:$R$3209,Data!$Q$10:$Q$3209,"&gt;="&amp;$A400,Data!$Q$10:$Q$3209,"&lt;"&amp;$A400+1)/$AH400)))</f>
        <v/>
      </c>
      <c r="I400" s="54">
        <f>IF($B400=0,NA(),IF($C400="",NA(),IF(C$8="",NA(),IF(N(C$8)=0,NA(),IF(Inputs!$C$17="Rebased to 100",$C400/C$8*100,$C400)))))</f>
        <v/>
      </c>
      <c r="J400" s="54">
        <f>IF($B400=0,NA(),IF($D400="",NA(),IF(D$8="",NA(),IF(N(D$8)=0,NA(),IF(Inputs!$C$17="Rebased to 100",$D400/D$8*100,$D400)))))</f>
        <v/>
      </c>
      <c r="K400" s="54">
        <f>IF($B400=0,NA(),IF($E400="",NA(),IF(E$8="",NA(),IF(N(E$8)=0,NA(),IF(Inputs!$C$17="Rebased to 100",$E400/E$8*100,$E400)))))</f>
        <v/>
      </c>
      <c r="L400" s="54">
        <f>IF($B400=0,NA(),IF($F400="",NA(),IF(F$8="",NA(),IF(N(F$8)=0,NA(),IF(Inputs!$C$17="Rebased to 100",$F400/F$8*100,$F400)))))</f>
        <v/>
      </c>
      <c r="M400" s="54">
        <f>IF($B400=0,NA(),IF($G400="",NA(),IF(G$8="",NA(),IF(N(G$8)=0,NA(),IF(Inputs!$C$17="Rebased to 100",$G400/G$8*100,$G400)))))</f>
        <v/>
      </c>
      <c r="N400" s="54">
        <f>IF($B400=0,NA(),IF(Inputs!$C$18&lt;&gt;"Yes",NA(),IF(COUNT(I400,J400,K400,L400,M400)=0,NA(),MIN(I400,J400,K400,L400,M400))))</f>
        <v/>
      </c>
      <c r="O400" s="54">
        <f>IF($B400=0,NA(),IF(Inputs!$B$24&lt;&gt;"Yes",NA(),Inputs!$D$24*Inputs!$C$35))</f>
        <v/>
      </c>
      <c r="P400" s="54">
        <f>IF($B400=0,NA(),IF(Inputs!$B$25&lt;&gt;"Yes",NA(),Inputs!$D$25*Inputs!$C$35))</f>
        <v/>
      </c>
      <c r="Q400" s="54">
        <f>IF($B400=0,NA(),IF(Inputs!$B$26&lt;&gt;"Yes",NA(),Inputs!$D$26*Inputs!$C$35))</f>
        <v/>
      </c>
      <c r="R400" s="54">
        <f>IF($B400=0,NA(),IF(Inputs!$B$27&lt;&gt;"Yes",NA(),Inputs!$D$27*Inputs!$C$35))</f>
        <v/>
      </c>
      <c r="S400" s="54">
        <f>IF($B400=0,NA(),IF(Inputs!$B$28&lt;&gt;"Yes",NA(),Inputs!$D$28*Inputs!$C$35))</f>
        <v/>
      </c>
      <c r="T400" s="54">
        <f>IF($B400=0,NA(),IF(Inputs!$B$29&lt;&gt;"Yes",NA(),Inputs!$D$29*Inputs!$C$35))</f>
        <v/>
      </c>
      <c r="AD400">
        <f>IF($B400=0,0,IF(Inputs!$B$6="",0,COUNTIFS(Data!$A$10:$A$3209,"&gt;="&amp;$A400,Data!$A$10:$A$3209,"&lt;"&amp;$A400+1)))</f>
        <v/>
      </c>
      <c r="AE400">
        <f>IF($B400=0,0,IF(Inputs!$B$7="",0,COUNTIFS(Data!$E$10:$E$3209,"&gt;="&amp;$A400,Data!$E$10:$E$3209,"&lt;"&amp;$A400+1)))</f>
        <v/>
      </c>
      <c r="AF400">
        <f>IF($B400=0,0,IF(Inputs!$B$8="",0,COUNTIFS(Data!$I$10:$I$3209,"&gt;="&amp;$A400,Data!$I$10:$I$3209,"&lt;"&amp;$A400+1)))</f>
        <v/>
      </c>
      <c r="AG400">
        <f>IF($B400=0,0,IF(Inputs!$B$9="",0,COUNTIFS(Data!$M$10:$M$3209,"&gt;="&amp;$A400,Data!$M$10:$M$3209,"&lt;"&amp;$A400+1)))</f>
        <v/>
      </c>
      <c r="AH400">
        <f>IF($B400=0,0,IF(Inputs!$B$10="",0,COUNTIFS(Data!$Q$10:$Q$3209,"&gt;="&amp;$A400,Data!$Q$10:$Q$3209,"&lt;"&amp;$A400+1)))</f>
        <v/>
      </c>
    </row>
    <row r="401">
      <c r="A401" s="55">
        <f>MIN(Inputs!$C$15,$A400+IF(WEEKDAY($A400,2)=5,3,1))</f>
        <v/>
      </c>
      <c r="B401">
        <f>IF($A401&gt;$A400,1,0)</f>
        <v/>
      </c>
      <c r="C401" s="56">
        <f>IF($B401=0,"",IF(Inputs!$B$6="","",IF($AD401=0,C400,SUMIFS(Data!$B$10:$B$3209,Data!$A$10:$A$3209,"&gt;="&amp;$A401,Data!$A$10:$A$3209,"&lt;"&amp;$A401+1)/$AD401)))</f>
        <v/>
      </c>
      <c r="D401" s="56">
        <f>IF($B401=0,"",IF(Inputs!$B$7="","",IF($AE401=0,D400,SUMIFS(Data!$F$10:$F$3209,Data!$E$10:$E$3209,"&gt;="&amp;$A401,Data!$E$10:$E$3209,"&lt;"&amp;$A401+1)/$AE401)))</f>
        <v/>
      </c>
      <c r="E401" s="56">
        <f>IF($B401=0,"",IF(Inputs!$B$8="","",IF($AF401=0,E400,SUMIFS(Data!$J$10:$J$3209,Data!$I$10:$I$3209,"&gt;="&amp;$A401,Data!$I$10:$I$3209,"&lt;"&amp;$A401+1)/$AF401)))</f>
        <v/>
      </c>
      <c r="F401" s="56">
        <f>IF($B401=0,"",IF(Inputs!$B$9="","",IF($AG401=0,F400,SUMIFS(Data!$N$10:$N$3209,Data!$M$10:$M$3209,"&gt;="&amp;$A401,Data!$M$10:$M$3209,"&lt;"&amp;$A401+1)/$AG401)))</f>
        <v/>
      </c>
      <c r="G401" s="56">
        <f>IF($B401=0,"",IF(Inputs!$B$10="","",IF($AH401=0,G400,SUMIFS(Data!$R$10:$R$3209,Data!$Q$10:$Q$3209,"&gt;="&amp;$A401,Data!$Q$10:$Q$3209,"&lt;"&amp;$A401+1)/$AH401)))</f>
        <v/>
      </c>
      <c r="I401" s="54">
        <f>IF($B401=0,NA(),IF($C401="",NA(),IF(C$8="",NA(),IF(N(C$8)=0,NA(),IF(Inputs!$C$17="Rebased to 100",$C401/C$8*100,$C401)))))</f>
        <v/>
      </c>
      <c r="J401" s="54">
        <f>IF($B401=0,NA(),IF($D401="",NA(),IF(D$8="",NA(),IF(N(D$8)=0,NA(),IF(Inputs!$C$17="Rebased to 100",$D401/D$8*100,$D401)))))</f>
        <v/>
      </c>
      <c r="K401" s="54">
        <f>IF($B401=0,NA(),IF($E401="",NA(),IF(E$8="",NA(),IF(N(E$8)=0,NA(),IF(Inputs!$C$17="Rebased to 100",$E401/E$8*100,$E401)))))</f>
        <v/>
      </c>
      <c r="L401" s="54">
        <f>IF($B401=0,NA(),IF($F401="",NA(),IF(F$8="",NA(),IF(N(F$8)=0,NA(),IF(Inputs!$C$17="Rebased to 100",$F401/F$8*100,$F401)))))</f>
        <v/>
      </c>
      <c r="M401" s="54">
        <f>IF($B401=0,NA(),IF($G401="",NA(),IF(G$8="",NA(),IF(N(G$8)=0,NA(),IF(Inputs!$C$17="Rebased to 100",$G401/G$8*100,$G401)))))</f>
        <v/>
      </c>
      <c r="N401" s="54">
        <f>IF($B401=0,NA(),IF(Inputs!$C$18&lt;&gt;"Yes",NA(),IF(COUNT(I401,J401,K401,L401,M401)=0,NA(),MIN(I401,J401,K401,L401,M401))))</f>
        <v/>
      </c>
      <c r="O401" s="54">
        <f>IF($B401=0,NA(),IF(Inputs!$B$24&lt;&gt;"Yes",NA(),Inputs!$D$24*Inputs!$C$35))</f>
        <v/>
      </c>
      <c r="P401" s="54">
        <f>IF($B401=0,NA(),IF(Inputs!$B$25&lt;&gt;"Yes",NA(),Inputs!$D$25*Inputs!$C$35))</f>
        <v/>
      </c>
      <c r="Q401" s="54">
        <f>IF($B401=0,NA(),IF(Inputs!$B$26&lt;&gt;"Yes",NA(),Inputs!$D$26*Inputs!$C$35))</f>
        <v/>
      </c>
      <c r="R401" s="54">
        <f>IF($B401=0,NA(),IF(Inputs!$B$27&lt;&gt;"Yes",NA(),Inputs!$D$27*Inputs!$C$35))</f>
        <v/>
      </c>
      <c r="S401" s="54">
        <f>IF($B401=0,NA(),IF(Inputs!$B$28&lt;&gt;"Yes",NA(),Inputs!$D$28*Inputs!$C$35))</f>
        <v/>
      </c>
      <c r="T401" s="54">
        <f>IF($B401=0,NA(),IF(Inputs!$B$29&lt;&gt;"Yes",NA(),Inputs!$D$29*Inputs!$C$35))</f>
        <v/>
      </c>
      <c r="AD401">
        <f>IF($B401=0,0,IF(Inputs!$B$6="",0,COUNTIFS(Data!$A$10:$A$3209,"&gt;="&amp;$A401,Data!$A$10:$A$3209,"&lt;"&amp;$A401+1)))</f>
        <v/>
      </c>
      <c r="AE401">
        <f>IF($B401=0,0,IF(Inputs!$B$7="",0,COUNTIFS(Data!$E$10:$E$3209,"&gt;="&amp;$A401,Data!$E$10:$E$3209,"&lt;"&amp;$A401+1)))</f>
        <v/>
      </c>
      <c r="AF401">
        <f>IF($B401=0,0,IF(Inputs!$B$8="",0,COUNTIFS(Data!$I$10:$I$3209,"&gt;="&amp;$A401,Data!$I$10:$I$3209,"&lt;"&amp;$A401+1)))</f>
        <v/>
      </c>
      <c r="AG401">
        <f>IF($B401=0,0,IF(Inputs!$B$9="",0,COUNTIFS(Data!$M$10:$M$3209,"&gt;="&amp;$A401,Data!$M$10:$M$3209,"&lt;"&amp;$A401+1)))</f>
        <v/>
      </c>
      <c r="AH401">
        <f>IF($B401=0,0,IF(Inputs!$B$10="",0,COUNTIFS(Data!$Q$10:$Q$3209,"&gt;="&amp;$A401,Data!$Q$10:$Q$3209,"&lt;"&amp;$A401+1)))</f>
        <v/>
      </c>
    </row>
    <row r="402">
      <c r="A402" s="55">
        <f>MIN(Inputs!$C$15,$A401+IF(WEEKDAY($A401,2)=5,3,1))</f>
        <v/>
      </c>
      <c r="B402">
        <f>IF($A402&gt;$A401,1,0)</f>
        <v/>
      </c>
      <c r="C402" s="56">
        <f>IF($B402=0,"",IF(Inputs!$B$6="","",IF($AD402=0,C401,SUMIFS(Data!$B$10:$B$3209,Data!$A$10:$A$3209,"&gt;="&amp;$A402,Data!$A$10:$A$3209,"&lt;"&amp;$A402+1)/$AD402)))</f>
        <v/>
      </c>
      <c r="D402" s="56">
        <f>IF($B402=0,"",IF(Inputs!$B$7="","",IF($AE402=0,D401,SUMIFS(Data!$F$10:$F$3209,Data!$E$10:$E$3209,"&gt;="&amp;$A402,Data!$E$10:$E$3209,"&lt;"&amp;$A402+1)/$AE402)))</f>
        <v/>
      </c>
      <c r="E402" s="56">
        <f>IF($B402=0,"",IF(Inputs!$B$8="","",IF($AF402=0,E401,SUMIFS(Data!$J$10:$J$3209,Data!$I$10:$I$3209,"&gt;="&amp;$A402,Data!$I$10:$I$3209,"&lt;"&amp;$A402+1)/$AF402)))</f>
        <v/>
      </c>
      <c r="F402" s="56">
        <f>IF($B402=0,"",IF(Inputs!$B$9="","",IF($AG402=0,F401,SUMIFS(Data!$N$10:$N$3209,Data!$M$10:$M$3209,"&gt;="&amp;$A402,Data!$M$10:$M$3209,"&lt;"&amp;$A402+1)/$AG402)))</f>
        <v/>
      </c>
      <c r="G402" s="56">
        <f>IF($B402=0,"",IF(Inputs!$B$10="","",IF($AH402=0,G401,SUMIFS(Data!$R$10:$R$3209,Data!$Q$10:$Q$3209,"&gt;="&amp;$A402,Data!$Q$10:$Q$3209,"&lt;"&amp;$A402+1)/$AH402)))</f>
        <v/>
      </c>
      <c r="I402" s="54">
        <f>IF($B402=0,NA(),IF($C402="",NA(),IF(C$8="",NA(),IF(N(C$8)=0,NA(),IF(Inputs!$C$17="Rebased to 100",$C402/C$8*100,$C402)))))</f>
        <v/>
      </c>
      <c r="J402" s="54">
        <f>IF($B402=0,NA(),IF($D402="",NA(),IF(D$8="",NA(),IF(N(D$8)=0,NA(),IF(Inputs!$C$17="Rebased to 100",$D402/D$8*100,$D402)))))</f>
        <v/>
      </c>
      <c r="K402" s="54">
        <f>IF($B402=0,NA(),IF($E402="",NA(),IF(E$8="",NA(),IF(N(E$8)=0,NA(),IF(Inputs!$C$17="Rebased to 100",$E402/E$8*100,$E402)))))</f>
        <v/>
      </c>
      <c r="L402" s="54">
        <f>IF($B402=0,NA(),IF($F402="",NA(),IF(F$8="",NA(),IF(N(F$8)=0,NA(),IF(Inputs!$C$17="Rebased to 100",$F402/F$8*100,$F402)))))</f>
        <v/>
      </c>
      <c r="M402" s="54">
        <f>IF($B402=0,NA(),IF($G402="",NA(),IF(G$8="",NA(),IF(N(G$8)=0,NA(),IF(Inputs!$C$17="Rebased to 100",$G402/G$8*100,$G402)))))</f>
        <v/>
      </c>
      <c r="N402" s="54">
        <f>IF($B402=0,NA(),IF(Inputs!$C$18&lt;&gt;"Yes",NA(),IF(COUNT(I402,J402,K402,L402,M402)=0,NA(),MIN(I402,J402,K402,L402,M402))))</f>
        <v/>
      </c>
      <c r="O402" s="54">
        <f>IF($B402=0,NA(),IF(Inputs!$B$24&lt;&gt;"Yes",NA(),Inputs!$D$24*Inputs!$C$35))</f>
        <v/>
      </c>
      <c r="P402" s="54">
        <f>IF($B402=0,NA(),IF(Inputs!$B$25&lt;&gt;"Yes",NA(),Inputs!$D$25*Inputs!$C$35))</f>
        <v/>
      </c>
      <c r="Q402" s="54">
        <f>IF($B402=0,NA(),IF(Inputs!$B$26&lt;&gt;"Yes",NA(),Inputs!$D$26*Inputs!$C$35))</f>
        <v/>
      </c>
      <c r="R402" s="54">
        <f>IF($B402=0,NA(),IF(Inputs!$B$27&lt;&gt;"Yes",NA(),Inputs!$D$27*Inputs!$C$35))</f>
        <v/>
      </c>
      <c r="S402" s="54">
        <f>IF($B402=0,NA(),IF(Inputs!$B$28&lt;&gt;"Yes",NA(),Inputs!$D$28*Inputs!$C$35))</f>
        <v/>
      </c>
      <c r="T402" s="54">
        <f>IF($B402=0,NA(),IF(Inputs!$B$29&lt;&gt;"Yes",NA(),Inputs!$D$29*Inputs!$C$35))</f>
        <v/>
      </c>
      <c r="AD402">
        <f>IF($B402=0,0,IF(Inputs!$B$6="",0,COUNTIFS(Data!$A$10:$A$3209,"&gt;="&amp;$A402,Data!$A$10:$A$3209,"&lt;"&amp;$A402+1)))</f>
        <v/>
      </c>
      <c r="AE402">
        <f>IF($B402=0,0,IF(Inputs!$B$7="",0,COUNTIFS(Data!$E$10:$E$3209,"&gt;="&amp;$A402,Data!$E$10:$E$3209,"&lt;"&amp;$A402+1)))</f>
        <v/>
      </c>
      <c r="AF402">
        <f>IF($B402=0,0,IF(Inputs!$B$8="",0,COUNTIFS(Data!$I$10:$I$3209,"&gt;="&amp;$A402,Data!$I$10:$I$3209,"&lt;"&amp;$A402+1)))</f>
        <v/>
      </c>
      <c r="AG402">
        <f>IF($B402=0,0,IF(Inputs!$B$9="",0,COUNTIFS(Data!$M$10:$M$3209,"&gt;="&amp;$A402,Data!$M$10:$M$3209,"&lt;"&amp;$A402+1)))</f>
        <v/>
      </c>
      <c r="AH402">
        <f>IF($B402=0,0,IF(Inputs!$B$10="",0,COUNTIFS(Data!$Q$10:$Q$3209,"&gt;="&amp;$A402,Data!$Q$10:$Q$3209,"&lt;"&amp;$A402+1)))</f>
        <v/>
      </c>
    </row>
    <row r="403">
      <c r="A403" s="55">
        <f>MIN(Inputs!$C$15,$A402+IF(WEEKDAY($A402,2)=5,3,1))</f>
        <v/>
      </c>
      <c r="B403">
        <f>IF($A403&gt;$A402,1,0)</f>
        <v/>
      </c>
      <c r="C403" s="56">
        <f>IF($B403=0,"",IF(Inputs!$B$6="","",IF($AD403=0,C402,SUMIFS(Data!$B$10:$B$3209,Data!$A$10:$A$3209,"&gt;="&amp;$A403,Data!$A$10:$A$3209,"&lt;"&amp;$A403+1)/$AD403)))</f>
        <v/>
      </c>
      <c r="D403" s="56">
        <f>IF($B403=0,"",IF(Inputs!$B$7="","",IF($AE403=0,D402,SUMIFS(Data!$F$10:$F$3209,Data!$E$10:$E$3209,"&gt;="&amp;$A403,Data!$E$10:$E$3209,"&lt;"&amp;$A403+1)/$AE403)))</f>
        <v/>
      </c>
      <c r="E403" s="56">
        <f>IF($B403=0,"",IF(Inputs!$B$8="","",IF($AF403=0,E402,SUMIFS(Data!$J$10:$J$3209,Data!$I$10:$I$3209,"&gt;="&amp;$A403,Data!$I$10:$I$3209,"&lt;"&amp;$A403+1)/$AF403)))</f>
        <v/>
      </c>
      <c r="F403" s="56">
        <f>IF($B403=0,"",IF(Inputs!$B$9="","",IF($AG403=0,F402,SUMIFS(Data!$N$10:$N$3209,Data!$M$10:$M$3209,"&gt;="&amp;$A403,Data!$M$10:$M$3209,"&lt;"&amp;$A403+1)/$AG403)))</f>
        <v/>
      </c>
      <c r="G403" s="56">
        <f>IF($B403=0,"",IF(Inputs!$B$10="","",IF($AH403=0,G402,SUMIFS(Data!$R$10:$R$3209,Data!$Q$10:$Q$3209,"&gt;="&amp;$A403,Data!$Q$10:$Q$3209,"&lt;"&amp;$A403+1)/$AH403)))</f>
        <v/>
      </c>
      <c r="I403" s="54">
        <f>IF($B403=0,NA(),IF($C403="",NA(),IF(C$8="",NA(),IF(N(C$8)=0,NA(),IF(Inputs!$C$17="Rebased to 100",$C403/C$8*100,$C403)))))</f>
        <v/>
      </c>
      <c r="J403" s="54">
        <f>IF($B403=0,NA(),IF($D403="",NA(),IF(D$8="",NA(),IF(N(D$8)=0,NA(),IF(Inputs!$C$17="Rebased to 100",$D403/D$8*100,$D403)))))</f>
        <v/>
      </c>
      <c r="K403" s="54">
        <f>IF($B403=0,NA(),IF($E403="",NA(),IF(E$8="",NA(),IF(N(E$8)=0,NA(),IF(Inputs!$C$17="Rebased to 100",$E403/E$8*100,$E403)))))</f>
        <v/>
      </c>
      <c r="L403" s="54">
        <f>IF($B403=0,NA(),IF($F403="",NA(),IF(F$8="",NA(),IF(N(F$8)=0,NA(),IF(Inputs!$C$17="Rebased to 100",$F403/F$8*100,$F403)))))</f>
        <v/>
      </c>
      <c r="M403" s="54">
        <f>IF($B403=0,NA(),IF($G403="",NA(),IF(G$8="",NA(),IF(N(G$8)=0,NA(),IF(Inputs!$C$17="Rebased to 100",$G403/G$8*100,$G403)))))</f>
        <v/>
      </c>
      <c r="N403" s="54">
        <f>IF($B403=0,NA(),IF(Inputs!$C$18&lt;&gt;"Yes",NA(),IF(COUNT(I403,J403,K403,L403,M403)=0,NA(),MIN(I403,J403,K403,L403,M403))))</f>
        <v/>
      </c>
      <c r="O403" s="54">
        <f>IF($B403=0,NA(),IF(Inputs!$B$24&lt;&gt;"Yes",NA(),Inputs!$D$24*Inputs!$C$35))</f>
        <v/>
      </c>
      <c r="P403" s="54">
        <f>IF($B403=0,NA(),IF(Inputs!$B$25&lt;&gt;"Yes",NA(),Inputs!$D$25*Inputs!$C$35))</f>
        <v/>
      </c>
      <c r="Q403" s="54">
        <f>IF($B403=0,NA(),IF(Inputs!$B$26&lt;&gt;"Yes",NA(),Inputs!$D$26*Inputs!$C$35))</f>
        <v/>
      </c>
      <c r="R403" s="54">
        <f>IF($B403=0,NA(),IF(Inputs!$B$27&lt;&gt;"Yes",NA(),Inputs!$D$27*Inputs!$C$35))</f>
        <v/>
      </c>
      <c r="S403" s="54">
        <f>IF($B403=0,NA(),IF(Inputs!$B$28&lt;&gt;"Yes",NA(),Inputs!$D$28*Inputs!$C$35))</f>
        <v/>
      </c>
      <c r="T403" s="54">
        <f>IF($B403=0,NA(),IF(Inputs!$B$29&lt;&gt;"Yes",NA(),Inputs!$D$29*Inputs!$C$35))</f>
        <v/>
      </c>
      <c r="AD403">
        <f>IF($B403=0,0,IF(Inputs!$B$6="",0,COUNTIFS(Data!$A$10:$A$3209,"&gt;="&amp;$A403,Data!$A$10:$A$3209,"&lt;"&amp;$A403+1)))</f>
        <v/>
      </c>
      <c r="AE403">
        <f>IF($B403=0,0,IF(Inputs!$B$7="",0,COUNTIFS(Data!$E$10:$E$3209,"&gt;="&amp;$A403,Data!$E$10:$E$3209,"&lt;"&amp;$A403+1)))</f>
        <v/>
      </c>
      <c r="AF403">
        <f>IF($B403=0,0,IF(Inputs!$B$8="",0,COUNTIFS(Data!$I$10:$I$3209,"&gt;="&amp;$A403,Data!$I$10:$I$3209,"&lt;"&amp;$A403+1)))</f>
        <v/>
      </c>
      <c r="AG403">
        <f>IF($B403=0,0,IF(Inputs!$B$9="",0,COUNTIFS(Data!$M$10:$M$3209,"&gt;="&amp;$A403,Data!$M$10:$M$3209,"&lt;"&amp;$A403+1)))</f>
        <v/>
      </c>
      <c r="AH403">
        <f>IF($B403=0,0,IF(Inputs!$B$10="",0,COUNTIFS(Data!$Q$10:$Q$3209,"&gt;="&amp;$A403,Data!$Q$10:$Q$3209,"&lt;"&amp;$A403+1)))</f>
        <v/>
      </c>
    </row>
    <row r="404">
      <c r="A404" s="55">
        <f>MIN(Inputs!$C$15,$A403+IF(WEEKDAY($A403,2)=5,3,1))</f>
        <v/>
      </c>
      <c r="B404">
        <f>IF($A404&gt;$A403,1,0)</f>
        <v/>
      </c>
      <c r="C404" s="56">
        <f>IF($B404=0,"",IF(Inputs!$B$6="","",IF($AD404=0,C403,SUMIFS(Data!$B$10:$B$3209,Data!$A$10:$A$3209,"&gt;="&amp;$A404,Data!$A$10:$A$3209,"&lt;"&amp;$A404+1)/$AD404)))</f>
        <v/>
      </c>
      <c r="D404" s="56">
        <f>IF($B404=0,"",IF(Inputs!$B$7="","",IF($AE404=0,D403,SUMIFS(Data!$F$10:$F$3209,Data!$E$10:$E$3209,"&gt;="&amp;$A404,Data!$E$10:$E$3209,"&lt;"&amp;$A404+1)/$AE404)))</f>
        <v/>
      </c>
      <c r="E404" s="56">
        <f>IF($B404=0,"",IF(Inputs!$B$8="","",IF($AF404=0,E403,SUMIFS(Data!$J$10:$J$3209,Data!$I$10:$I$3209,"&gt;="&amp;$A404,Data!$I$10:$I$3209,"&lt;"&amp;$A404+1)/$AF404)))</f>
        <v/>
      </c>
      <c r="F404" s="56">
        <f>IF($B404=0,"",IF(Inputs!$B$9="","",IF($AG404=0,F403,SUMIFS(Data!$N$10:$N$3209,Data!$M$10:$M$3209,"&gt;="&amp;$A404,Data!$M$10:$M$3209,"&lt;"&amp;$A404+1)/$AG404)))</f>
        <v/>
      </c>
      <c r="G404" s="56">
        <f>IF($B404=0,"",IF(Inputs!$B$10="","",IF($AH404=0,G403,SUMIFS(Data!$R$10:$R$3209,Data!$Q$10:$Q$3209,"&gt;="&amp;$A404,Data!$Q$10:$Q$3209,"&lt;"&amp;$A404+1)/$AH404)))</f>
        <v/>
      </c>
      <c r="I404" s="54">
        <f>IF($B404=0,NA(),IF($C404="",NA(),IF(C$8="",NA(),IF(N(C$8)=0,NA(),IF(Inputs!$C$17="Rebased to 100",$C404/C$8*100,$C404)))))</f>
        <v/>
      </c>
      <c r="J404" s="54">
        <f>IF($B404=0,NA(),IF($D404="",NA(),IF(D$8="",NA(),IF(N(D$8)=0,NA(),IF(Inputs!$C$17="Rebased to 100",$D404/D$8*100,$D404)))))</f>
        <v/>
      </c>
      <c r="K404" s="54">
        <f>IF($B404=0,NA(),IF($E404="",NA(),IF(E$8="",NA(),IF(N(E$8)=0,NA(),IF(Inputs!$C$17="Rebased to 100",$E404/E$8*100,$E404)))))</f>
        <v/>
      </c>
      <c r="L404" s="54">
        <f>IF($B404=0,NA(),IF($F404="",NA(),IF(F$8="",NA(),IF(N(F$8)=0,NA(),IF(Inputs!$C$17="Rebased to 100",$F404/F$8*100,$F404)))))</f>
        <v/>
      </c>
      <c r="M404" s="54">
        <f>IF($B404=0,NA(),IF($G404="",NA(),IF(G$8="",NA(),IF(N(G$8)=0,NA(),IF(Inputs!$C$17="Rebased to 100",$G404/G$8*100,$G404)))))</f>
        <v/>
      </c>
      <c r="N404" s="54">
        <f>IF($B404=0,NA(),IF(Inputs!$C$18&lt;&gt;"Yes",NA(),IF(COUNT(I404,J404,K404,L404,M404)=0,NA(),MIN(I404,J404,K404,L404,M404))))</f>
        <v/>
      </c>
      <c r="O404" s="54">
        <f>IF($B404=0,NA(),IF(Inputs!$B$24&lt;&gt;"Yes",NA(),Inputs!$D$24*Inputs!$C$35))</f>
        <v/>
      </c>
      <c r="P404" s="54">
        <f>IF($B404=0,NA(),IF(Inputs!$B$25&lt;&gt;"Yes",NA(),Inputs!$D$25*Inputs!$C$35))</f>
        <v/>
      </c>
      <c r="Q404" s="54">
        <f>IF($B404=0,NA(),IF(Inputs!$B$26&lt;&gt;"Yes",NA(),Inputs!$D$26*Inputs!$C$35))</f>
        <v/>
      </c>
      <c r="R404" s="54">
        <f>IF($B404=0,NA(),IF(Inputs!$B$27&lt;&gt;"Yes",NA(),Inputs!$D$27*Inputs!$C$35))</f>
        <v/>
      </c>
      <c r="S404" s="54">
        <f>IF($B404=0,NA(),IF(Inputs!$B$28&lt;&gt;"Yes",NA(),Inputs!$D$28*Inputs!$C$35))</f>
        <v/>
      </c>
      <c r="T404" s="54">
        <f>IF($B404=0,NA(),IF(Inputs!$B$29&lt;&gt;"Yes",NA(),Inputs!$D$29*Inputs!$C$35))</f>
        <v/>
      </c>
      <c r="AD404">
        <f>IF($B404=0,0,IF(Inputs!$B$6="",0,COUNTIFS(Data!$A$10:$A$3209,"&gt;="&amp;$A404,Data!$A$10:$A$3209,"&lt;"&amp;$A404+1)))</f>
        <v/>
      </c>
      <c r="AE404">
        <f>IF($B404=0,0,IF(Inputs!$B$7="",0,COUNTIFS(Data!$E$10:$E$3209,"&gt;="&amp;$A404,Data!$E$10:$E$3209,"&lt;"&amp;$A404+1)))</f>
        <v/>
      </c>
      <c r="AF404">
        <f>IF($B404=0,0,IF(Inputs!$B$8="",0,COUNTIFS(Data!$I$10:$I$3209,"&gt;="&amp;$A404,Data!$I$10:$I$3209,"&lt;"&amp;$A404+1)))</f>
        <v/>
      </c>
      <c r="AG404">
        <f>IF($B404=0,0,IF(Inputs!$B$9="",0,COUNTIFS(Data!$M$10:$M$3209,"&gt;="&amp;$A404,Data!$M$10:$M$3209,"&lt;"&amp;$A404+1)))</f>
        <v/>
      </c>
      <c r="AH404">
        <f>IF($B404=0,0,IF(Inputs!$B$10="",0,COUNTIFS(Data!$Q$10:$Q$3209,"&gt;="&amp;$A404,Data!$Q$10:$Q$3209,"&lt;"&amp;$A404+1)))</f>
        <v/>
      </c>
    </row>
    <row r="405">
      <c r="A405" s="55">
        <f>MIN(Inputs!$C$15,$A404+IF(WEEKDAY($A404,2)=5,3,1))</f>
        <v/>
      </c>
      <c r="B405">
        <f>IF($A405&gt;$A404,1,0)</f>
        <v/>
      </c>
      <c r="C405" s="56">
        <f>IF($B405=0,"",IF(Inputs!$B$6="","",IF($AD405=0,C404,SUMIFS(Data!$B$10:$B$3209,Data!$A$10:$A$3209,"&gt;="&amp;$A405,Data!$A$10:$A$3209,"&lt;"&amp;$A405+1)/$AD405)))</f>
        <v/>
      </c>
      <c r="D405" s="56">
        <f>IF($B405=0,"",IF(Inputs!$B$7="","",IF($AE405=0,D404,SUMIFS(Data!$F$10:$F$3209,Data!$E$10:$E$3209,"&gt;="&amp;$A405,Data!$E$10:$E$3209,"&lt;"&amp;$A405+1)/$AE405)))</f>
        <v/>
      </c>
      <c r="E405" s="56">
        <f>IF($B405=0,"",IF(Inputs!$B$8="","",IF($AF405=0,E404,SUMIFS(Data!$J$10:$J$3209,Data!$I$10:$I$3209,"&gt;="&amp;$A405,Data!$I$10:$I$3209,"&lt;"&amp;$A405+1)/$AF405)))</f>
        <v/>
      </c>
      <c r="F405" s="56">
        <f>IF($B405=0,"",IF(Inputs!$B$9="","",IF($AG405=0,F404,SUMIFS(Data!$N$10:$N$3209,Data!$M$10:$M$3209,"&gt;="&amp;$A405,Data!$M$10:$M$3209,"&lt;"&amp;$A405+1)/$AG405)))</f>
        <v/>
      </c>
      <c r="G405" s="56">
        <f>IF($B405=0,"",IF(Inputs!$B$10="","",IF($AH405=0,G404,SUMIFS(Data!$R$10:$R$3209,Data!$Q$10:$Q$3209,"&gt;="&amp;$A405,Data!$Q$10:$Q$3209,"&lt;"&amp;$A405+1)/$AH405)))</f>
        <v/>
      </c>
      <c r="I405" s="54">
        <f>IF($B405=0,NA(),IF($C405="",NA(),IF(C$8="",NA(),IF(N(C$8)=0,NA(),IF(Inputs!$C$17="Rebased to 100",$C405/C$8*100,$C405)))))</f>
        <v/>
      </c>
      <c r="J405" s="54">
        <f>IF($B405=0,NA(),IF($D405="",NA(),IF(D$8="",NA(),IF(N(D$8)=0,NA(),IF(Inputs!$C$17="Rebased to 100",$D405/D$8*100,$D405)))))</f>
        <v/>
      </c>
      <c r="K405" s="54">
        <f>IF($B405=0,NA(),IF($E405="",NA(),IF(E$8="",NA(),IF(N(E$8)=0,NA(),IF(Inputs!$C$17="Rebased to 100",$E405/E$8*100,$E405)))))</f>
        <v/>
      </c>
      <c r="L405" s="54">
        <f>IF($B405=0,NA(),IF($F405="",NA(),IF(F$8="",NA(),IF(N(F$8)=0,NA(),IF(Inputs!$C$17="Rebased to 100",$F405/F$8*100,$F405)))))</f>
        <v/>
      </c>
      <c r="M405" s="54">
        <f>IF($B405=0,NA(),IF($G405="",NA(),IF(G$8="",NA(),IF(N(G$8)=0,NA(),IF(Inputs!$C$17="Rebased to 100",$G405/G$8*100,$G405)))))</f>
        <v/>
      </c>
      <c r="N405" s="54">
        <f>IF($B405=0,NA(),IF(Inputs!$C$18&lt;&gt;"Yes",NA(),IF(COUNT(I405,J405,K405,L405,M405)=0,NA(),MIN(I405,J405,K405,L405,M405))))</f>
        <v/>
      </c>
      <c r="O405" s="54">
        <f>IF($B405=0,NA(),IF(Inputs!$B$24&lt;&gt;"Yes",NA(),Inputs!$D$24*Inputs!$C$35))</f>
        <v/>
      </c>
      <c r="P405" s="54">
        <f>IF($B405=0,NA(),IF(Inputs!$B$25&lt;&gt;"Yes",NA(),Inputs!$D$25*Inputs!$C$35))</f>
        <v/>
      </c>
      <c r="Q405" s="54">
        <f>IF($B405=0,NA(),IF(Inputs!$B$26&lt;&gt;"Yes",NA(),Inputs!$D$26*Inputs!$C$35))</f>
        <v/>
      </c>
      <c r="R405" s="54">
        <f>IF($B405=0,NA(),IF(Inputs!$B$27&lt;&gt;"Yes",NA(),Inputs!$D$27*Inputs!$C$35))</f>
        <v/>
      </c>
      <c r="S405" s="54">
        <f>IF($B405=0,NA(),IF(Inputs!$B$28&lt;&gt;"Yes",NA(),Inputs!$D$28*Inputs!$C$35))</f>
        <v/>
      </c>
      <c r="T405" s="54">
        <f>IF($B405=0,NA(),IF(Inputs!$B$29&lt;&gt;"Yes",NA(),Inputs!$D$29*Inputs!$C$35))</f>
        <v/>
      </c>
      <c r="AD405">
        <f>IF($B405=0,0,IF(Inputs!$B$6="",0,COUNTIFS(Data!$A$10:$A$3209,"&gt;="&amp;$A405,Data!$A$10:$A$3209,"&lt;"&amp;$A405+1)))</f>
        <v/>
      </c>
      <c r="AE405">
        <f>IF($B405=0,0,IF(Inputs!$B$7="",0,COUNTIFS(Data!$E$10:$E$3209,"&gt;="&amp;$A405,Data!$E$10:$E$3209,"&lt;"&amp;$A405+1)))</f>
        <v/>
      </c>
      <c r="AF405">
        <f>IF($B405=0,0,IF(Inputs!$B$8="",0,COUNTIFS(Data!$I$10:$I$3209,"&gt;="&amp;$A405,Data!$I$10:$I$3209,"&lt;"&amp;$A405+1)))</f>
        <v/>
      </c>
      <c r="AG405">
        <f>IF($B405=0,0,IF(Inputs!$B$9="",0,COUNTIFS(Data!$M$10:$M$3209,"&gt;="&amp;$A405,Data!$M$10:$M$3209,"&lt;"&amp;$A405+1)))</f>
        <v/>
      </c>
      <c r="AH405">
        <f>IF($B405=0,0,IF(Inputs!$B$10="",0,COUNTIFS(Data!$Q$10:$Q$3209,"&gt;="&amp;$A405,Data!$Q$10:$Q$3209,"&lt;"&amp;$A405+1)))</f>
        <v/>
      </c>
    </row>
    <row r="406">
      <c r="A406" s="55">
        <f>MIN(Inputs!$C$15,$A405+IF(WEEKDAY($A405,2)=5,3,1))</f>
        <v/>
      </c>
      <c r="B406">
        <f>IF($A406&gt;$A405,1,0)</f>
        <v/>
      </c>
      <c r="C406" s="56">
        <f>IF($B406=0,"",IF(Inputs!$B$6="","",IF($AD406=0,C405,SUMIFS(Data!$B$10:$B$3209,Data!$A$10:$A$3209,"&gt;="&amp;$A406,Data!$A$10:$A$3209,"&lt;"&amp;$A406+1)/$AD406)))</f>
        <v/>
      </c>
      <c r="D406" s="56">
        <f>IF($B406=0,"",IF(Inputs!$B$7="","",IF($AE406=0,D405,SUMIFS(Data!$F$10:$F$3209,Data!$E$10:$E$3209,"&gt;="&amp;$A406,Data!$E$10:$E$3209,"&lt;"&amp;$A406+1)/$AE406)))</f>
        <v/>
      </c>
      <c r="E406" s="56">
        <f>IF($B406=0,"",IF(Inputs!$B$8="","",IF($AF406=0,E405,SUMIFS(Data!$J$10:$J$3209,Data!$I$10:$I$3209,"&gt;="&amp;$A406,Data!$I$10:$I$3209,"&lt;"&amp;$A406+1)/$AF406)))</f>
        <v/>
      </c>
      <c r="F406" s="56">
        <f>IF($B406=0,"",IF(Inputs!$B$9="","",IF($AG406=0,F405,SUMIFS(Data!$N$10:$N$3209,Data!$M$10:$M$3209,"&gt;="&amp;$A406,Data!$M$10:$M$3209,"&lt;"&amp;$A406+1)/$AG406)))</f>
        <v/>
      </c>
      <c r="G406" s="56">
        <f>IF($B406=0,"",IF(Inputs!$B$10="","",IF($AH406=0,G405,SUMIFS(Data!$R$10:$R$3209,Data!$Q$10:$Q$3209,"&gt;="&amp;$A406,Data!$Q$10:$Q$3209,"&lt;"&amp;$A406+1)/$AH406)))</f>
        <v/>
      </c>
      <c r="I406" s="54">
        <f>IF($B406=0,NA(),IF($C406="",NA(),IF(C$8="",NA(),IF(N(C$8)=0,NA(),IF(Inputs!$C$17="Rebased to 100",$C406/C$8*100,$C406)))))</f>
        <v/>
      </c>
      <c r="J406" s="54">
        <f>IF($B406=0,NA(),IF($D406="",NA(),IF(D$8="",NA(),IF(N(D$8)=0,NA(),IF(Inputs!$C$17="Rebased to 100",$D406/D$8*100,$D406)))))</f>
        <v/>
      </c>
      <c r="K406" s="54">
        <f>IF($B406=0,NA(),IF($E406="",NA(),IF(E$8="",NA(),IF(N(E$8)=0,NA(),IF(Inputs!$C$17="Rebased to 100",$E406/E$8*100,$E406)))))</f>
        <v/>
      </c>
      <c r="L406" s="54">
        <f>IF($B406=0,NA(),IF($F406="",NA(),IF(F$8="",NA(),IF(N(F$8)=0,NA(),IF(Inputs!$C$17="Rebased to 100",$F406/F$8*100,$F406)))))</f>
        <v/>
      </c>
      <c r="M406" s="54">
        <f>IF($B406=0,NA(),IF($G406="",NA(),IF(G$8="",NA(),IF(N(G$8)=0,NA(),IF(Inputs!$C$17="Rebased to 100",$G406/G$8*100,$G406)))))</f>
        <v/>
      </c>
      <c r="N406" s="54">
        <f>IF($B406=0,NA(),IF(Inputs!$C$18&lt;&gt;"Yes",NA(),IF(COUNT(I406,J406,K406,L406,M406)=0,NA(),MIN(I406,J406,K406,L406,M406))))</f>
        <v/>
      </c>
      <c r="O406" s="54">
        <f>IF($B406=0,NA(),IF(Inputs!$B$24&lt;&gt;"Yes",NA(),Inputs!$D$24*Inputs!$C$35))</f>
        <v/>
      </c>
      <c r="P406" s="54">
        <f>IF($B406=0,NA(),IF(Inputs!$B$25&lt;&gt;"Yes",NA(),Inputs!$D$25*Inputs!$C$35))</f>
        <v/>
      </c>
      <c r="Q406" s="54">
        <f>IF($B406=0,NA(),IF(Inputs!$B$26&lt;&gt;"Yes",NA(),Inputs!$D$26*Inputs!$C$35))</f>
        <v/>
      </c>
      <c r="R406" s="54">
        <f>IF($B406=0,NA(),IF(Inputs!$B$27&lt;&gt;"Yes",NA(),Inputs!$D$27*Inputs!$C$35))</f>
        <v/>
      </c>
      <c r="S406" s="54">
        <f>IF($B406=0,NA(),IF(Inputs!$B$28&lt;&gt;"Yes",NA(),Inputs!$D$28*Inputs!$C$35))</f>
        <v/>
      </c>
      <c r="T406" s="54">
        <f>IF($B406=0,NA(),IF(Inputs!$B$29&lt;&gt;"Yes",NA(),Inputs!$D$29*Inputs!$C$35))</f>
        <v/>
      </c>
      <c r="AD406">
        <f>IF($B406=0,0,IF(Inputs!$B$6="",0,COUNTIFS(Data!$A$10:$A$3209,"&gt;="&amp;$A406,Data!$A$10:$A$3209,"&lt;"&amp;$A406+1)))</f>
        <v/>
      </c>
      <c r="AE406">
        <f>IF($B406=0,0,IF(Inputs!$B$7="",0,COUNTIFS(Data!$E$10:$E$3209,"&gt;="&amp;$A406,Data!$E$10:$E$3209,"&lt;"&amp;$A406+1)))</f>
        <v/>
      </c>
      <c r="AF406">
        <f>IF($B406=0,0,IF(Inputs!$B$8="",0,COUNTIFS(Data!$I$10:$I$3209,"&gt;="&amp;$A406,Data!$I$10:$I$3209,"&lt;"&amp;$A406+1)))</f>
        <v/>
      </c>
      <c r="AG406">
        <f>IF($B406=0,0,IF(Inputs!$B$9="",0,COUNTIFS(Data!$M$10:$M$3209,"&gt;="&amp;$A406,Data!$M$10:$M$3209,"&lt;"&amp;$A406+1)))</f>
        <v/>
      </c>
      <c r="AH406">
        <f>IF($B406=0,0,IF(Inputs!$B$10="",0,COUNTIFS(Data!$Q$10:$Q$3209,"&gt;="&amp;$A406,Data!$Q$10:$Q$3209,"&lt;"&amp;$A406+1)))</f>
        <v/>
      </c>
    </row>
    <row r="407">
      <c r="A407" s="55">
        <f>MIN(Inputs!$C$15,$A406+IF(WEEKDAY($A406,2)=5,3,1))</f>
        <v/>
      </c>
      <c r="B407">
        <f>IF($A407&gt;$A406,1,0)</f>
        <v/>
      </c>
      <c r="C407" s="56">
        <f>IF($B407=0,"",IF(Inputs!$B$6="","",IF($AD407=0,C406,SUMIFS(Data!$B$10:$B$3209,Data!$A$10:$A$3209,"&gt;="&amp;$A407,Data!$A$10:$A$3209,"&lt;"&amp;$A407+1)/$AD407)))</f>
        <v/>
      </c>
      <c r="D407" s="56">
        <f>IF($B407=0,"",IF(Inputs!$B$7="","",IF($AE407=0,D406,SUMIFS(Data!$F$10:$F$3209,Data!$E$10:$E$3209,"&gt;="&amp;$A407,Data!$E$10:$E$3209,"&lt;"&amp;$A407+1)/$AE407)))</f>
        <v/>
      </c>
      <c r="E407" s="56">
        <f>IF($B407=0,"",IF(Inputs!$B$8="","",IF($AF407=0,E406,SUMIFS(Data!$J$10:$J$3209,Data!$I$10:$I$3209,"&gt;="&amp;$A407,Data!$I$10:$I$3209,"&lt;"&amp;$A407+1)/$AF407)))</f>
        <v/>
      </c>
      <c r="F407" s="56">
        <f>IF($B407=0,"",IF(Inputs!$B$9="","",IF($AG407=0,F406,SUMIFS(Data!$N$10:$N$3209,Data!$M$10:$M$3209,"&gt;="&amp;$A407,Data!$M$10:$M$3209,"&lt;"&amp;$A407+1)/$AG407)))</f>
        <v/>
      </c>
      <c r="G407" s="56">
        <f>IF($B407=0,"",IF(Inputs!$B$10="","",IF($AH407=0,G406,SUMIFS(Data!$R$10:$R$3209,Data!$Q$10:$Q$3209,"&gt;="&amp;$A407,Data!$Q$10:$Q$3209,"&lt;"&amp;$A407+1)/$AH407)))</f>
        <v/>
      </c>
      <c r="I407" s="54">
        <f>IF($B407=0,NA(),IF($C407="",NA(),IF(C$8="",NA(),IF(N(C$8)=0,NA(),IF(Inputs!$C$17="Rebased to 100",$C407/C$8*100,$C407)))))</f>
        <v/>
      </c>
      <c r="J407" s="54">
        <f>IF($B407=0,NA(),IF($D407="",NA(),IF(D$8="",NA(),IF(N(D$8)=0,NA(),IF(Inputs!$C$17="Rebased to 100",$D407/D$8*100,$D407)))))</f>
        <v/>
      </c>
      <c r="K407" s="54">
        <f>IF($B407=0,NA(),IF($E407="",NA(),IF(E$8="",NA(),IF(N(E$8)=0,NA(),IF(Inputs!$C$17="Rebased to 100",$E407/E$8*100,$E407)))))</f>
        <v/>
      </c>
      <c r="L407" s="54">
        <f>IF($B407=0,NA(),IF($F407="",NA(),IF(F$8="",NA(),IF(N(F$8)=0,NA(),IF(Inputs!$C$17="Rebased to 100",$F407/F$8*100,$F407)))))</f>
        <v/>
      </c>
      <c r="M407" s="54">
        <f>IF($B407=0,NA(),IF($G407="",NA(),IF(G$8="",NA(),IF(N(G$8)=0,NA(),IF(Inputs!$C$17="Rebased to 100",$G407/G$8*100,$G407)))))</f>
        <v/>
      </c>
      <c r="N407" s="54">
        <f>IF($B407=0,NA(),IF(Inputs!$C$18&lt;&gt;"Yes",NA(),IF(COUNT(I407,J407,K407,L407,M407)=0,NA(),MIN(I407,J407,K407,L407,M407))))</f>
        <v/>
      </c>
      <c r="O407" s="54">
        <f>IF($B407=0,NA(),IF(Inputs!$B$24&lt;&gt;"Yes",NA(),Inputs!$D$24*Inputs!$C$35))</f>
        <v/>
      </c>
      <c r="P407" s="54">
        <f>IF($B407=0,NA(),IF(Inputs!$B$25&lt;&gt;"Yes",NA(),Inputs!$D$25*Inputs!$C$35))</f>
        <v/>
      </c>
      <c r="Q407" s="54">
        <f>IF($B407=0,NA(),IF(Inputs!$B$26&lt;&gt;"Yes",NA(),Inputs!$D$26*Inputs!$C$35))</f>
        <v/>
      </c>
      <c r="R407" s="54">
        <f>IF($B407=0,NA(),IF(Inputs!$B$27&lt;&gt;"Yes",NA(),Inputs!$D$27*Inputs!$C$35))</f>
        <v/>
      </c>
      <c r="S407" s="54">
        <f>IF($B407=0,NA(),IF(Inputs!$B$28&lt;&gt;"Yes",NA(),Inputs!$D$28*Inputs!$C$35))</f>
        <v/>
      </c>
      <c r="T407" s="54">
        <f>IF($B407=0,NA(),IF(Inputs!$B$29&lt;&gt;"Yes",NA(),Inputs!$D$29*Inputs!$C$35))</f>
        <v/>
      </c>
      <c r="AD407">
        <f>IF($B407=0,0,IF(Inputs!$B$6="",0,COUNTIFS(Data!$A$10:$A$3209,"&gt;="&amp;$A407,Data!$A$10:$A$3209,"&lt;"&amp;$A407+1)))</f>
        <v/>
      </c>
      <c r="AE407">
        <f>IF($B407=0,0,IF(Inputs!$B$7="",0,COUNTIFS(Data!$E$10:$E$3209,"&gt;="&amp;$A407,Data!$E$10:$E$3209,"&lt;"&amp;$A407+1)))</f>
        <v/>
      </c>
      <c r="AF407">
        <f>IF($B407=0,0,IF(Inputs!$B$8="",0,COUNTIFS(Data!$I$10:$I$3209,"&gt;="&amp;$A407,Data!$I$10:$I$3209,"&lt;"&amp;$A407+1)))</f>
        <v/>
      </c>
      <c r="AG407">
        <f>IF($B407=0,0,IF(Inputs!$B$9="",0,COUNTIFS(Data!$M$10:$M$3209,"&gt;="&amp;$A407,Data!$M$10:$M$3209,"&lt;"&amp;$A407+1)))</f>
        <v/>
      </c>
      <c r="AH407">
        <f>IF($B407=0,0,IF(Inputs!$B$10="",0,COUNTIFS(Data!$Q$10:$Q$3209,"&gt;="&amp;$A407,Data!$Q$10:$Q$3209,"&lt;"&amp;$A407+1)))</f>
        <v/>
      </c>
    </row>
    <row r="408">
      <c r="A408" s="55">
        <f>MIN(Inputs!$C$15,$A407+IF(WEEKDAY($A407,2)=5,3,1))</f>
        <v/>
      </c>
      <c r="B408">
        <f>IF($A408&gt;$A407,1,0)</f>
        <v/>
      </c>
      <c r="C408" s="56">
        <f>IF($B408=0,"",IF(Inputs!$B$6="","",IF($AD408=0,C407,SUMIFS(Data!$B$10:$B$3209,Data!$A$10:$A$3209,"&gt;="&amp;$A408,Data!$A$10:$A$3209,"&lt;"&amp;$A408+1)/$AD408)))</f>
        <v/>
      </c>
      <c r="D408" s="56">
        <f>IF($B408=0,"",IF(Inputs!$B$7="","",IF($AE408=0,D407,SUMIFS(Data!$F$10:$F$3209,Data!$E$10:$E$3209,"&gt;="&amp;$A408,Data!$E$10:$E$3209,"&lt;"&amp;$A408+1)/$AE408)))</f>
        <v/>
      </c>
      <c r="E408" s="56">
        <f>IF($B408=0,"",IF(Inputs!$B$8="","",IF($AF408=0,E407,SUMIFS(Data!$J$10:$J$3209,Data!$I$10:$I$3209,"&gt;="&amp;$A408,Data!$I$10:$I$3209,"&lt;"&amp;$A408+1)/$AF408)))</f>
        <v/>
      </c>
      <c r="F408" s="56">
        <f>IF($B408=0,"",IF(Inputs!$B$9="","",IF($AG408=0,F407,SUMIFS(Data!$N$10:$N$3209,Data!$M$10:$M$3209,"&gt;="&amp;$A408,Data!$M$10:$M$3209,"&lt;"&amp;$A408+1)/$AG408)))</f>
        <v/>
      </c>
      <c r="G408" s="56">
        <f>IF($B408=0,"",IF(Inputs!$B$10="","",IF($AH408=0,G407,SUMIFS(Data!$R$10:$R$3209,Data!$Q$10:$Q$3209,"&gt;="&amp;$A408,Data!$Q$10:$Q$3209,"&lt;"&amp;$A408+1)/$AH408)))</f>
        <v/>
      </c>
      <c r="I408" s="54">
        <f>IF($B408=0,NA(),IF($C408="",NA(),IF(C$8="",NA(),IF(N(C$8)=0,NA(),IF(Inputs!$C$17="Rebased to 100",$C408/C$8*100,$C408)))))</f>
        <v/>
      </c>
      <c r="J408" s="54">
        <f>IF($B408=0,NA(),IF($D408="",NA(),IF(D$8="",NA(),IF(N(D$8)=0,NA(),IF(Inputs!$C$17="Rebased to 100",$D408/D$8*100,$D408)))))</f>
        <v/>
      </c>
      <c r="K408" s="54">
        <f>IF($B408=0,NA(),IF($E408="",NA(),IF(E$8="",NA(),IF(N(E$8)=0,NA(),IF(Inputs!$C$17="Rebased to 100",$E408/E$8*100,$E408)))))</f>
        <v/>
      </c>
      <c r="L408" s="54">
        <f>IF($B408=0,NA(),IF($F408="",NA(),IF(F$8="",NA(),IF(N(F$8)=0,NA(),IF(Inputs!$C$17="Rebased to 100",$F408/F$8*100,$F408)))))</f>
        <v/>
      </c>
      <c r="M408" s="54">
        <f>IF($B408=0,NA(),IF($G408="",NA(),IF(G$8="",NA(),IF(N(G$8)=0,NA(),IF(Inputs!$C$17="Rebased to 100",$G408/G$8*100,$G408)))))</f>
        <v/>
      </c>
      <c r="N408" s="54">
        <f>IF($B408=0,NA(),IF(Inputs!$C$18&lt;&gt;"Yes",NA(),IF(COUNT(I408,J408,K408,L408,M408)=0,NA(),MIN(I408,J408,K408,L408,M408))))</f>
        <v/>
      </c>
      <c r="O408" s="54">
        <f>IF($B408=0,NA(),IF(Inputs!$B$24&lt;&gt;"Yes",NA(),Inputs!$D$24*Inputs!$C$35))</f>
        <v/>
      </c>
      <c r="P408" s="54">
        <f>IF($B408=0,NA(),IF(Inputs!$B$25&lt;&gt;"Yes",NA(),Inputs!$D$25*Inputs!$C$35))</f>
        <v/>
      </c>
      <c r="Q408" s="54">
        <f>IF($B408=0,NA(),IF(Inputs!$B$26&lt;&gt;"Yes",NA(),Inputs!$D$26*Inputs!$C$35))</f>
        <v/>
      </c>
      <c r="R408" s="54">
        <f>IF($B408=0,NA(),IF(Inputs!$B$27&lt;&gt;"Yes",NA(),Inputs!$D$27*Inputs!$C$35))</f>
        <v/>
      </c>
      <c r="S408" s="54">
        <f>IF($B408=0,NA(),IF(Inputs!$B$28&lt;&gt;"Yes",NA(),Inputs!$D$28*Inputs!$C$35))</f>
        <v/>
      </c>
      <c r="T408" s="54">
        <f>IF($B408=0,NA(),IF(Inputs!$B$29&lt;&gt;"Yes",NA(),Inputs!$D$29*Inputs!$C$35))</f>
        <v/>
      </c>
      <c r="AD408">
        <f>IF($B408=0,0,IF(Inputs!$B$6="",0,COUNTIFS(Data!$A$10:$A$3209,"&gt;="&amp;$A408,Data!$A$10:$A$3209,"&lt;"&amp;$A408+1)))</f>
        <v/>
      </c>
      <c r="AE408">
        <f>IF($B408=0,0,IF(Inputs!$B$7="",0,COUNTIFS(Data!$E$10:$E$3209,"&gt;="&amp;$A408,Data!$E$10:$E$3209,"&lt;"&amp;$A408+1)))</f>
        <v/>
      </c>
      <c r="AF408">
        <f>IF($B408=0,0,IF(Inputs!$B$8="",0,COUNTIFS(Data!$I$10:$I$3209,"&gt;="&amp;$A408,Data!$I$10:$I$3209,"&lt;"&amp;$A408+1)))</f>
        <v/>
      </c>
      <c r="AG408">
        <f>IF($B408=0,0,IF(Inputs!$B$9="",0,COUNTIFS(Data!$M$10:$M$3209,"&gt;="&amp;$A408,Data!$M$10:$M$3209,"&lt;"&amp;$A408+1)))</f>
        <v/>
      </c>
      <c r="AH408">
        <f>IF($B408=0,0,IF(Inputs!$B$10="",0,COUNTIFS(Data!$Q$10:$Q$3209,"&gt;="&amp;$A408,Data!$Q$10:$Q$3209,"&lt;"&amp;$A408+1)))</f>
        <v/>
      </c>
    </row>
    <row r="409">
      <c r="A409" s="55">
        <f>MIN(Inputs!$C$15,$A408+IF(WEEKDAY($A408,2)=5,3,1))</f>
        <v/>
      </c>
      <c r="B409">
        <f>IF($A409&gt;$A408,1,0)</f>
        <v/>
      </c>
      <c r="C409" s="56">
        <f>IF($B409=0,"",IF(Inputs!$B$6="","",IF($AD409=0,C408,SUMIFS(Data!$B$10:$B$3209,Data!$A$10:$A$3209,"&gt;="&amp;$A409,Data!$A$10:$A$3209,"&lt;"&amp;$A409+1)/$AD409)))</f>
        <v/>
      </c>
      <c r="D409" s="56">
        <f>IF($B409=0,"",IF(Inputs!$B$7="","",IF($AE409=0,D408,SUMIFS(Data!$F$10:$F$3209,Data!$E$10:$E$3209,"&gt;="&amp;$A409,Data!$E$10:$E$3209,"&lt;"&amp;$A409+1)/$AE409)))</f>
        <v/>
      </c>
      <c r="E409" s="56">
        <f>IF($B409=0,"",IF(Inputs!$B$8="","",IF($AF409=0,E408,SUMIFS(Data!$J$10:$J$3209,Data!$I$10:$I$3209,"&gt;="&amp;$A409,Data!$I$10:$I$3209,"&lt;"&amp;$A409+1)/$AF409)))</f>
        <v/>
      </c>
      <c r="F409" s="56">
        <f>IF($B409=0,"",IF(Inputs!$B$9="","",IF($AG409=0,F408,SUMIFS(Data!$N$10:$N$3209,Data!$M$10:$M$3209,"&gt;="&amp;$A409,Data!$M$10:$M$3209,"&lt;"&amp;$A409+1)/$AG409)))</f>
        <v/>
      </c>
      <c r="G409" s="56">
        <f>IF($B409=0,"",IF(Inputs!$B$10="","",IF($AH409=0,G408,SUMIFS(Data!$R$10:$R$3209,Data!$Q$10:$Q$3209,"&gt;="&amp;$A409,Data!$Q$10:$Q$3209,"&lt;"&amp;$A409+1)/$AH409)))</f>
        <v/>
      </c>
      <c r="I409" s="54">
        <f>IF($B409=0,NA(),IF($C409="",NA(),IF(C$8="",NA(),IF(N(C$8)=0,NA(),IF(Inputs!$C$17="Rebased to 100",$C409/C$8*100,$C409)))))</f>
        <v/>
      </c>
      <c r="J409" s="54">
        <f>IF($B409=0,NA(),IF($D409="",NA(),IF(D$8="",NA(),IF(N(D$8)=0,NA(),IF(Inputs!$C$17="Rebased to 100",$D409/D$8*100,$D409)))))</f>
        <v/>
      </c>
      <c r="K409" s="54">
        <f>IF($B409=0,NA(),IF($E409="",NA(),IF(E$8="",NA(),IF(N(E$8)=0,NA(),IF(Inputs!$C$17="Rebased to 100",$E409/E$8*100,$E409)))))</f>
        <v/>
      </c>
      <c r="L409" s="54">
        <f>IF($B409=0,NA(),IF($F409="",NA(),IF(F$8="",NA(),IF(N(F$8)=0,NA(),IF(Inputs!$C$17="Rebased to 100",$F409/F$8*100,$F409)))))</f>
        <v/>
      </c>
      <c r="M409" s="54">
        <f>IF($B409=0,NA(),IF($G409="",NA(),IF(G$8="",NA(),IF(N(G$8)=0,NA(),IF(Inputs!$C$17="Rebased to 100",$G409/G$8*100,$G409)))))</f>
        <v/>
      </c>
      <c r="N409" s="54">
        <f>IF($B409=0,NA(),IF(Inputs!$C$18&lt;&gt;"Yes",NA(),IF(COUNT(I409,J409,K409,L409,M409)=0,NA(),MIN(I409,J409,K409,L409,M409))))</f>
        <v/>
      </c>
      <c r="O409" s="54">
        <f>IF($B409=0,NA(),IF(Inputs!$B$24&lt;&gt;"Yes",NA(),Inputs!$D$24*Inputs!$C$35))</f>
        <v/>
      </c>
      <c r="P409" s="54">
        <f>IF($B409=0,NA(),IF(Inputs!$B$25&lt;&gt;"Yes",NA(),Inputs!$D$25*Inputs!$C$35))</f>
        <v/>
      </c>
      <c r="Q409" s="54">
        <f>IF($B409=0,NA(),IF(Inputs!$B$26&lt;&gt;"Yes",NA(),Inputs!$D$26*Inputs!$C$35))</f>
        <v/>
      </c>
      <c r="R409" s="54">
        <f>IF($B409=0,NA(),IF(Inputs!$B$27&lt;&gt;"Yes",NA(),Inputs!$D$27*Inputs!$C$35))</f>
        <v/>
      </c>
      <c r="S409" s="54">
        <f>IF($B409=0,NA(),IF(Inputs!$B$28&lt;&gt;"Yes",NA(),Inputs!$D$28*Inputs!$C$35))</f>
        <v/>
      </c>
      <c r="T409" s="54">
        <f>IF($B409=0,NA(),IF(Inputs!$B$29&lt;&gt;"Yes",NA(),Inputs!$D$29*Inputs!$C$35))</f>
        <v/>
      </c>
      <c r="AD409">
        <f>IF($B409=0,0,IF(Inputs!$B$6="",0,COUNTIFS(Data!$A$10:$A$3209,"&gt;="&amp;$A409,Data!$A$10:$A$3209,"&lt;"&amp;$A409+1)))</f>
        <v/>
      </c>
      <c r="AE409">
        <f>IF($B409=0,0,IF(Inputs!$B$7="",0,COUNTIFS(Data!$E$10:$E$3209,"&gt;="&amp;$A409,Data!$E$10:$E$3209,"&lt;"&amp;$A409+1)))</f>
        <v/>
      </c>
      <c r="AF409">
        <f>IF($B409=0,0,IF(Inputs!$B$8="",0,COUNTIFS(Data!$I$10:$I$3209,"&gt;="&amp;$A409,Data!$I$10:$I$3209,"&lt;"&amp;$A409+1)))</f>
        <v/>
      </c>
      <c r="AG409">
        <f>IF($B409=0,0,IF(Inputs!$B$9="",0,COUNTIFS(Data!$M$10:$M$3209,"&gt;="&amp;$A409,Data!$M$10:$M$3209,"&lt;"&amp;$A409+1)))</f>
        <v/>
      </c>
      <c r="AH409">
        <f>IF($B409=0,0,IF(Inputs!$B$10="",0,COUNTIFS(Data!$Q$10:$Q$3209,"&gt;="&amp;$A409,Data!$Q$10:$Q$3209,"&lt;"&amp;$A409+1)))</f>
        <v/>
      </c>
    </row>
    <row r="410">
      <c r="A410" s="55">
        <f>MIN(Inputs!$C$15,$A409+IF(WEEKDAY($A409,2)=5,3,1))</f>
        <v/>
      </c>
      <c r="B410">
        <f>IF($A410&gt;$A409,1,0)</f>
        <v/>
      </c>
      <c r="C410" s="56">
        <f>IF($B410=0,"",IF(Inputs!$B$6="","",IF($AD410=0,C409,SUMIFS(Data!$B$10:$B$3209,Data!$A$10:$A$3209,"&gt;="&amp;$A410,Data!$A$10:$A$3209,"&lt;"&amp;$A410+1)/$AD410)))</f>
        <v/>
      </c>
      <c r="D410" s="56">
        <f>IF($B410=0,"",IF(Inputs!$B$7="","",IF($AE410=0,D409,SUMIFS(Data!$F$10:$F$3209,Data!$E$10:$E$3209,"&gt;="&amp;$A410,Data!$E$10:$E$3209,"&lt;"&amp;$A410+1)/$AE410)))</f>
        <v/>
      </c>
      <c r="E410" s="56">
        <f>IF($B410=0,"",IF(Inputs!$B$8="","",IF($AF410=0,E409,SUMIFS(Data!$J$10:$J$3209,Data!$I$10:$I$3209,"&gt;="&amp;$A410,Data!$I$10:$I$3209,"&lt;"&amp;$A410+1)/$AF410)))</f>
        <v/>
      </c>
      <c r="F410" s="56">
        <f>IF($B410=0,"",IF(Inputs!$B$9="","",IF($AG410=0,F409,SUMIFS(Data!$N$10:$N$3209,Data!$M$10:$M$3209,"&gt;="&amp;$A410,Data!$M$10:$M$3209,"&lt;"&amp;$A410+1)/$AG410)))</f>
        <v/>
      </c>
      <c r="G410" s="56">
        <f>IF($B410=0,"",IF(Inputs!$B$10="","",IF($AH410=0,G409,SUMIFS(Data!$R$10:$R$3209,Data!$Q$10:$Q$3209,"&gt;="&amp;$A410,Data!$Q$10:$Q$3209,"&lt;"&amp;$A410+1)/$AH410)))</f>
        <v/>
      </c>
      <c r="I410" s="54">
        <f>IF($B410=0,NA(),IF($C410="",NA(),IF(C$8="",NA(),IF(N(C$8)=0,NA(),IF(Inputs!$C$17="Rebased to 100",$C410/C$8*100,$C410)))))</f>
        <v/>
      </c>
      <c r="J410" s="54">
        <f>IF($B410=0,NA(),IF($D410="",NA(),IF(D$8="",NA(),IF(N(D$8)=0,NA(),IF(Inputs!$C$17="Rebased to 100",$D410/D$8*100,$D410)))))</f>
        <v/>
      </c>
      <c r="K410" s="54">
        <f>IF($B410=0,NA(),IF($E410="",NA(),IF(E$8="",NA(),IF(N(E$8)=0,NA(),IF(Inputs!$C$17="Rebased to 100",$E410/E$8*100,$E410)))))</f>
        <v/>
      </c>
      <c r="L410" s="54">
        <f>IF($B410=0,NA(),IF($F410="",NA(),IF(F$8="",NA(),IF(N(F$8)=0,NA(),IF(Inputs!$C$17="Rebased to 100",$F410/F$8*100,$F410)))))</f>
        <v/>
      </c>
      <c r="M410" s="54">
        <f>IF($B410=0,NA(),IF($G410="",NA(),IF(G$8="",NA(),IF(N(G$8)=0,NA(),IF(Inputs!$C$17="Rebased to 100",$G410/G$8*100,$G410)))))</f>
        <v/>
      </c>
      <c r="N410" s="54">
        <f>IF($B410=0,NA(),IF(Inputs!$C$18&lt;&gt;"Yes",NA(),IF(COUNT(I410,J410,K410,L410,M410)=0,NA(),MIN(I410,J410,K410,L410,M410))))</f>
        <v/>
      </c>
      <c r="O410" s="54">
        <f>IF($B410=0,NA(),IF(Inputs!$B$24&lt;&gt;"Yes",NA(),Inputs!$D$24*Inputs!$C$35))</f>
        <v/>
      </c>
      <c r="P410" s="54">
        <f>IF($B410=0,NA(),IF(Inputs!$B$25&lt;&gt;"Yes",NA(),Inputs!$D$25*Inputs!$C$35))</f>
        <v/>
      </c>
      <c r="Q410" s="54">
        <f>IF($B410=0,NA(),IF(Inputs!$B$26&lt;&gt;"Yes",NA(),Inputs!$D$26*Inputs!$C$35))</f>
        <v/>
      </c>
      <c r="R410" s="54">
        <f>IF($B410=0,NA(),IF(Inputs!$B$27&lt;&gt;"Yes",NA(),Inputs!$D$27*Inputs!$C$35))</f>
        <v/>
      </c>
      <c r="S410" s="54">
        <f>IF($B410=0,NA(),IF(Inputs!$B$28&lt;&gt;"Yes",NA(),Inputs!$D$28*Inputs!$C$35))</f>
        <v/>
      </c>
      <c r="T410" s="54">
        <f>IF($B410=0,NA(),IF(Inputs!$B$29&lt;&gt;"Yes",NA(),Inputs!$D$29*Inputs!$C$35))</f>
        <v/>
      </c>
      <c r="AD410">
        <f>IF($B410=0,0,IF(Inputs!$B$6="",0,COUNTIFS(Data!$A$10:$A$3209,"&gt;="&amp;$A410,Data!$A$10:$A$3209,"&lt;"&amp;$A410+1)))</f>
        <v/>
      </c>
      <c r="AE410">
        <f>IF($B410=0,0,IF(Inputs!$B$7="",0,COUNTIFS(Data!$E$10:$E$3209,"&gt;="&amp;$A410,Data!$E$10:$E$3209,"&lt;"&amp;$A410+1)))</f>
        <v/>
      </c>
      <c r="AF410">
        <f>IF($B410=0,0,IF(Inputs!$B$8="",0,COUNTIFS(Data!$I$10:$I$3209,"&gt;="&amp;$A410,Data!$I$10:$I$3209,"&lt;"&amp;$A410+1)))</f>
        <v/>
      </c>
      <c r="AG410">
        <f>IF($B410=0,0,IF(Inputs!$B$9="",0,COUNTIFS(Data!$M$10:$M$3209,"&gt;="&amp;$A410,Data!$M$10:$M$3209,"&lt;"&amp;$A410+1)))</f>
        <v/>
      </c>
      <c r="AH410">
        <f>IF($B410=0,0,IF(Inputs!$B$10="",0,COUNTIFS(Data!$Q$10:$Q$3209,"&gt;="&amp;$A410,Data!$Q$10:$Q$3209,"&lt;"&amp;$A410+1)))</f>
        <v/>
      </c>
    </row>
    <row r="411">
      <c r="A411" s="55">
        <f>MIN(Inputs!$C$15,$A410+IF(WEEKDAY($A410,2)=5,3,1))</f>
        <v/>
      </c>
      <c r="B411">
        <f>IF($A411&gt;$A410,1,0)</f>
        <v/>
      </c>
      <c r="C411" s="56">
        <f>IF($B411=0,"",IF(Inputs!$B$6="","",IF($AD411=0,C410,SUMIFS(Data!$B$10:$B$3209,Data!$A$10:$A$3209,"&gt;="&amp;$A411,Data!$A$10:$A$3209,"&lt;"&amp;$A411+1)/$AD411)))</f>
        <v/>
      </c>
      <c r="D411" s="56">
        <f>IF($B411=0,"",IF(Inputs!$B$7="","",IF($AE411=0,D410,SUMIFS(Data!$F$10:$F$3209,Data!$E$10:$E$3209,"&gt;="&amp;$A411,Data!$E$10:$E$3209,"&lt;"&amp;$A411+1)/$AE411)))</f>
        <v/>
      </c>
      <c r="E411" s="56">
        <f>IF($B411=0,"",IF(Inputs!$B$8="","",IF($AF411=0,E410,SUMIFS(Data!$J$10:$J$3209,Data!$I$10:$I$3209,"&gt;="&amp;$A411,Data!$I$10:$I$3209,"&lt;"&amp;$A411+1)/$AF411)))</f>
        <v/>
      </c>
      <c r="F411" s="56">
        <f>IF($B411=0,"",IF(Inputs!$B$9="","",IF($AG411=0,F410,SUMIFS(Data!$N$10:$N$3209,Data!$M$10:$M$3209,"&gt;="&amp;$A411,Data!$M$10:$M$3209,"&lt;"&amp;$A411+1)/$AG411)))</f>
        <v/>
      </c>
      <c r="G411" s="56">
        <f>IF($B411=0,"",IF(Inputs!$B$10="","",IF($AH411=0,G410,SUMIFS(Data!$R$10:$R$3209,Data!$Q$10:$Q$3209,"&gt;="&amp;$A411,Data!$Q$10:$Q$3209,"&lt;"&amp;$A411+1)/$AH411)))</f>
        <v/>
      </c>
      <c r="I411" s="54">
        <f>IF($B411=0,NA(),IF($C411="",NA(),IF(C$8="",NA(),IF(N(C$8)=0,NA(),IF(Inputs!$C$17="Rebased to 100",$C411/C$8*100,$C411)))))</f>
        <v/>
      </c>
      <c r="J411" s="54">
        <f>IF($B411=0,NA(),IF($D411="",NA(),IF(D$8="",NA(),IF(N(D$8)=0,NA(),IF(Inputs!$C$17="Rebased to 100",$D411/D$8*100,$D411)))))</f>
        <v/>
      </c>
      <c r="K411" s="54">
        <f>IF($B411=0,NA(),IF($E411="",NA(),IF(E$8="",NA(),IF(N(E$8)=0,NA(),IF(Inputs!$C$17="Rebased to 100",$E411/E$8*100,$E411)))))</f>
        <v/>
      </c>
      <c r="L411" s="54">
        <f>IF($B411=0,NA(),IF($F411="",NA(),IF(F$8="",NA(),IF(N(F$8)=0,NA(),IF(Inputs!$C$17="Rebased to 100",$F411/F$8*100,$F411)))))</f>
        <v/>
      </c>
      <c r="M411" s="54">
        <f>IF($B411=0,NA(),IF($G411="",NA(),IF(G$8="",NA(),IF(N(G$8)=0,NA(),IF(Inputs!$C$17="Rebased to 100",$G411/G$8*100,$G411)))))</f>
        <v/>
      </c>
      <c r="N411" s="54">
        <f>IF($B411=0,NA(),IF(Inputs!$C$18&lt;&gt;"Yes",NA(),IF(COUNT(I411,J411,K411,L411,M411)=0,NA(),MIN(I411,J411,K411,L411,M411))))</f>
        <v/>
      </c>
      <c r="O411" s="54">
        <f>IF($B411=0,NA(),IF(Inputs!$B$24&lt;&gt;"Yes",NA(),Inputs!$D$24*Inputs!$C$35))</f>
        <v/>
      </c>
      <c r="P411" s="54">
        <f>IF($B411=0,NA(),IF(Inputs!$B$25&lt;&gt;"Yes",NA(),Inputs!$D$25*Inputs!$C$35))</f>
        <v/>
      </c>
      <c r="Q411" s="54">
        <f>IF($B411=0,NA(),IF(Inputs!$B$26&lt;&gt;"Yes",NA(),Inputs!$D$26*Inputs!$C$35))</f>
        <v/>
      </c>
      <c r="R411" s="54">
        <f>IF($B411=0,NA(),IF(Inputs!$B$27&lt;&gt;"Yes",NA(),Inputs!$D$27*Inputs!$C$35))</f>
        <v/>
      </c>
      <c r="S411" s="54">
        <f>IF($B411=0,NA(),IF(Inputs!$B$28&lt;&gt;"Yes",NA(),Inputs!$D$28*Inputs!$C$35))</f>
        <v/>
      </c>
      <c r="T411" s="54">
        <f>IF($B411=0,NA(),IF(Inputs!$B$29&lt;&gt;"Yes",NA(),Inputs!$D$29*Inputs!$C$35))</f>
        <v/>
      </c>
      <c r="AD411">
        <f>IF($B411=0,0,IF(Inputs!$B$6="",0,COUNTIFS(Data!$A$10:$A$3209,"&gt;="&amp;$A411,Data!$A$10:$A$3209,"&lt;"&amp;$A411+1)))</f>
        <v/>
      </c>
      <c r="AE411">
        <f>IF($B411=0,0,IF(Inputs!$B$7="",0,COUNTIFS(Data!$E$10:$E$3209,"&gt;="&amp;$A411,Data!$E$10:$E$3209,"&lt;"&amp;$A411+1)))</f>
        <v/>
      </c>
      <c r="AF411">
        <f>IF($B411=0,0,IF(Inputs!$B$8="",0,COUNTIFS(Data!$I$10:$I$3209,"&gt;="&amp;$A411,Data!$I$10:$I$3209,"&lt;"&amp;$A411+1)))</f>
        <v/>
      </c>
      <c r="AG411">
        <f>IF($B411=0,0,IF(Inputs!$B$9="",0,COUNTIFS(Data!$M$10:$M$3209,"&gt;="&amp;$A411,Data!$M$10:$M$3209,"&lt;"&amp;$A411+1)))</f>
        <v/>
      </c>
      <c r="AH411">
        <f>IF($B411=0,0,IF(Inputs!$B$10="",0,COUNTIFS(Data!$Q$10:$Q$3209,"&gt;="&amp;$A411,Data!$Q$10:$Q$3209,"&lt;"&amp;$A411+1)))</f>
        <v/>
      </c>
    </row>
    <row r="412">
      <c r="A412" s="55">
        <f>MIN(Inputs!$C$15,$A411+IF(WEEKDAY($A411,2)=5,3,1))</f>
        <v/>
      </c>
      <c r="B412">
        <f>IF($A412&gt;$A411,1,0)</f>
        <v/>
      </c>
      <c r="C412" s="56">
        <f>IF($B412=0,"",IF(Inputs!$B$6="","",IF($AD412=0,C411,SUMIFS(Data!$B$10:$B$3209,Data!$A$10:$A$3209,"&gt;="&amp;$A412,Data!$A$10:$A$3209,"&lt;"&amp;$A412+1)/$AD412)))</f>
        <v/>
      </c>
      <c r="D412" s="56">
        <f>IF($B412=0,"",IF(Inputs!$B$7="","",IF($AE412=0,D411,SUMIFS(Data!$F$10:$F$3209,Data!$E$10:$E$3209,"&gt;="&amp;$A412,Data!$E$10:$E$3209,"&lt;"&amp;$A412+1)/$AE412)))</f>
        <v/>
      </c>
      <c r="E412" s="56">
        <f>IF($B412=0,"",IF(Inputs!$B$8="","",IF($AF412=0,E411,SUMIFS(Data!$J$10:$J$3209,Data!$I$10:$I$3209,"&gt;="&amp;$A412,Data!$I$10:$I$3209,"&lt;"&amp;$A412+1)/$AF412)))</f>
        <v/>
      </c>
      <c r="F412" s="56">
        <f>IF($B412=0,"",IF(Inputs!$B$9="","",IF($AG412=0,F411,SUMIFS(Data!$N$10:$N$3209,Data!$M$10:$M$3209,"&gt;="&amp;$A412,Data!$M$10:$M$3209,"&lt;"&amp;$A412+1)/$AG412)))</f>
        <v/>
      </c>
      <c r="G412" s="56">
        <f>IF($B412=0,"",IF(Inputs!$B$10="","",IF($AH412=0,G411,SUMIFS(Data!$R$10:$R$3209,Data!$Q$10:$Q$3209,"&gt;="&amp;$A412,Data!$Q$10:$Q$3209,"&lt;"&amp;$A412+1)/$AH412)))</f>
        <v/>
      </c>
      <c r="I412" s="54">
        <f>IF($B412=0,NA(),IF($C412="",NA(),IF(C$8="",NA(),IF(N(C$8)=0,NA(),IF(Inputs!$C$17="Rebased to 100",$C412/C$8*100,$C412)))))</f>
        <v/>
      </c>
      <c r="J412" s="54">
        <f>IF($B412=0,NA(),IF($D412="",NA(),IF(D$8="",NA(),IF(N(D$8)=0,NA(),IF(Inputs!$C$17="Rebased to 100",$D412/D$8*100,$D412)))))</f>
        <v/>
      </c>
      <c r="K412" s="54">
        <f>IF($B412=0,NA(),IF($E412="",NA(),IF(E$8="",NA(),IF(N(E$8)=0,NA(),IF(Inputs!$C$17="Rebased to 100",$E412/E$8*100,$E412)))))</f>
        <v/>
      </c>
      <c r="L412" s="54">
        <f>IF($B412=0,NA(),IF($F412="",NA(),IF(F$8="",NA(),IF(N(F$8)=0,NA(),IF(Inputs!$C$17="Rebased to 100",$F412/F$8*100,$F412)))))</f>
        <v/>
      </c>
      <c r="M412" s="54">
        <f>IF($B412=0,NA(),IF($G412="",NA(),IF(G$8="",NA(),IF(N(G$8)=0,NA(),IF(Inputs!$C$17="Rebased to 100",$G412/G$8*100,$G412)))))</f>
        <v/>
      </c>
      <c r="N412" s="54">
        <f>IF($B412=0,NA(),IF(Inputs!$C$18&lt;&gt;"Yes",NA(),IF(COUNT(I412,J412,K412,L412,M412)=0,NA(),MIN(I412,J412,K412,L412,M412))))</f>
        <v/>
      </c>
      <c r="O412" s="54">
        <f>IF($B412=0,NA(),IF(Inputs!$B$24&lt;&gt;"Yes",NA(),Inputs!$D$24*Inputs!$C$35))</f>
        <v/>
      </c>
      <c r="P412" s="54">
        <f>IF($B412=0,NA(),IF(Inputs!$B$25&lt;&gt;"Yes",NA(),Inputs!$D$25*Inputs!$C$35))</f>
        <v/>
      </c>
      <c r="Q412" s="54">
        <f>IF($B412=0,NA(),IF(Inputs!$B$26&lt;&gt;"Yes",NA(),Inputs!$D$26*Inputs!$C$35))</f>
        <v/>
      </c>
      <c r="R412" s="54">
        <f>IF($B412=0,NA(),IF(Inputs!$B$27&lt;&gt;"Yes",NA(),Inputs!$D$27*Inputs!$C$35))</f>
        <v/>
      </c>
      <c r="S412" s="54">
        <f>IF($B412=0,NA(),IF(Inputs!$B$28&lt;&gt;"Yes",NA(),Inputs!$D$28*Inputs!$C$35))</f>
        <v/>
      </c>
      <c r="T412" s="54">
        <f>IF($B412=0,NA(),IF(Inputs!$B$29&lt;&gt;"Yes",NA(),Inputs!$D$29*Inputs!$C$35))</f>
        <v/>
      </c>
      <c r="AD412">
        <f>IF($B412=0,0,IF(Inputs!$B$6="",0,COUNTIFS(Data!$A$10:$A$3209,"&gt;="&amp;$A412,Data!$A$10:$A$3209,"&lt;"&amp;$A412+1)))</f>
        <v/>
      </c>
      <c r="AE412">
        <f>IF($B412=0,0,IF(Inputs!$B$7="",0,COUNTIFS(Data!$E$10:$E$3209,"&gt;="&amp;$A412,Data!$E$10:$E$3209,"&lt;"&amp;$A412+1)))</f>
        <v/>
      </c>
      <c r="AF412">
        <f>IF($B412=0,0,IF(Inputs!$B$8="",0,COUNTIFS(Data!$I$10:$I$3209,"&gt;="&amp;$A412,Data!$I$10:$I$3209,"&lt;"&amp;$A412+1)))</f>
        <v/>
      </c>
      <c r="AG412">
        <f>IF($B412=0,0,IF(Inputs!$B$9="",0,COUNTIFS(Data!$M$10:$M$3209,"&gt;="&amp;$A412,Data!$M$10:$M$3209,"&lt;"&amp;$A412+1)))</f>
        <v/>
      </c>
      <c r="AH412">
        <f>IF($B412=0,0,IF(Inputs!$B$10="",0,COUNTIFS(Data!$Q$10:$Q$3209,"&gt;="&amp;$A412,Data!$Q$10:$Q$3209,"&lt;"&amp;$A412+1)))</f>
        <v/>
      </c>
    </row>
    <row r="413">
      <c r="A413" s="55">
        <f>MIN(Inputs!$C$15,$A412+IF(WEEKDAY($A412,2)=5,3,1))</f>
        <v/>
      </c>
      <c r="B413">
        <f>IF($A413&gt;$A412,1,0)</f>
        <v/>
      </c>
      <c r="C413" s="56">
        <f>IF($B413=0,"",IF(Inputs!$B$6="","",IF($AD413=0,C412,SUMIFS(Data!$B$10:$B$3209,Data!$A$10:$A$3209,"&gt;="&amp;$A413,Data!$A$10:$A$3209,"&lt;"&amp;$A413+1)/$AD413)))</f>
        <v/>
      </c>
      <c r="D413" s="56">
        <f>IF($B413=0,"",IF(Inputs!$B$7="","",IF($AE413=0,D412,SUMIFS(Data!$F$10:$F$3209,Data!$E$10:$E$3209,"&gt;="&amp;$A413,Data!$E$10:$E$3209,"&lt;"&amp;$A413+1)/$AE413)))</f>
        <v/>
      </c>
      <c r="E413" s="56">
        <f>IF($B413=0,"",IF(Inputs!$B$8="","",IF($AF413=0,E412,SUMIFS(Data!$J$10:$J$3209,Data!$I$10:$I$3209,"&gt;="&amp;$A413,Data!$I$10:$I$3209,"&lt;"&amp;$A413+1)/$AF413)))</f>
        <v/>
      </c>
      <c r="F413" s="56">
        <f>IF($B413=0,"",IF(Inputs!$B$9="","",IF($AG413=0,F412,SUMIFS(Data!$N$10:$N$3209,Data!$M$10:$M$3209,"&gt;="&amp;$A413,Data!$M$10:$M$3209,"&lt;"&amp;$A413+1)/$AG413)))</f>
        <v/>
      </c>
      <c r="G413" s="56">
        <f>IF($B413=0,"",IF(Inputs!$B$10="","",IF($AH413=0,G412,SUMIFS(Data!$R$10:$R$3209,Data!$Q$10:$Q$3209,"&gt;="&amp;$A413,Data!$Q$10:$Q$3209,"&lt;"&amp;$A413+1)/$AH413)))</f>
        <v/>
      </c>
      <c r="I413" s="54">
        <f>IF($B413=0,NA(),IF($C413="",NA(),IF(C$8="",NA(),IF(N(C$8)=0,NA(),IF(Inputs!$C$17="Rebased to 100",$C413/C$8*100,$C413)))))</f>
        <v/>
      </c>
      <c r="J413" s="54">
        <f>IF($B413=0,NA(),IF($D413="",NA(),IF(D$8="",NA(),IF(N(D$8)=0,NA(),IF(Inputs!$C$17="Rebased to 100",$D413/D$8*100,$D413)))))</f>
        <v/>
      </c>
      <c r="K413" s="54">
        <f>IF($B413=0,NA(),IF($E413="",NA(),IF(E$8="",NA(),IF(N(E$8)=0,NA(),IF(Inputs!$C$17="Rebased to 100",$E413/E$8*100,$E413)))))</f>
        <v/>
      </c>
      <c r="L413" s="54">
        <f>IF($B413=0,NA(),IF($F413="",NA(),IF(F$8="",NA(),IF(N(F$8)=0,NA(),IF(Inputs!$C$17="Rebased to 100",$F413/F$8*100,$F413)))))</f>
        <v/>
      </c>
      <c r="M413" s="54">
        <f>IF($B413=0,NA(),IF($G413="",NA(),IF(G$8="",NA(),IF(N(G$8)=0,NA(),IF(Inputs!$C$17="Rebased to 100",$G413/G$8*100,$G413)))))</f>
        <v/>
      </c>
      <c r="N413" s="54">
        <f>IF($B413=0,NA(),IF(Inputs!$C$18&lt;&gt;"Yes",NA(),IF(COUNT(I413,J413,K413,L413,M413)=0,NA(),MIN(I413,J413,K413,L413,M413))))</f>
        <v/>
      </c>
      <c r="O413" s="54">
        <f>IF($B413=0,NA(),IF(Inputs!$B$24&lt;&gt;"Yes",NA(),Inputs!$D$24*Inputs!$C$35))</f>
        <v/>
      </c>
      <c r="P413" s="54">
        <f>IF($B413=0,NA(),IF(Inputs!$B$25&lt;&gt;"Yes",NA(),Inputs!$D$25*Inputs!$C$35))</f>
        <v/>
      </c>
      <c r="Q413" s="54">
        <f>IF($B413=0,NA(),IF(Inputs!$B$26&lt;&gt;"Yes",NA(),Inputs!$D$26*Inputs!$C$35))</f>
        <v/>
      </c>
      <c r="R413" s="54">
        <f>IF($B413=0,NA(),IF(Inputs!$B$27&lt;&gt;"Yes",NA(),Inputs!$D$27*Inputs!$C$35))</f>
        <v/>
      </c>
      <c r="S413" s="54">
        <f>IF($B413=0,NA(),IF(Inputs!$B$28&lt;&gt;"Yes",NA(),Inputs!$D$28*Inputs!$C$35))</f>
        <v/>
      </c>
      <c r="T413" s="54">
        <f>IF($B413=0,NA(),IF(Inputs!$B$29&lt;&gt;"Yes",NA(),Inputs!$D$29*Inputs!$C$35))</f>
        <v/>
      </c>
      <c r="AD413">
        <f>IF($B413=0,0,IF(Inputs!$B$6="",0,COUNTIFS(Data!$A$10:$A$3209,"&gt;="&amp;$A413,Data!$A$10:$A$3209,"&lt;"&amp;$A413+1)))</f>
        <v/>
      </c>
      <c r="AE413">
        <f>IF($B413=0,0,IF(Inputs!$B$7="",0,COUNTIFS(Data!$E$10:$E$3209,"&gt;="&amp;$A413,Data!$E$10:$E$3209,"&lt;"&amp;$A413+1)))</f>
        <v/>
      </c>
      <c r="AF413">
        <f>IF($B413=0,0,IF(Inputs!$B$8="",0,COUNTIFS(Data!$I$10:$I$3209,"&gt;="&amp;$A413,Data!$I$10:$I$3209,"&lt;"&amp;$A413+1)))</f>
        <v/>
      </c>
      <c r="AG413">
        <f>IF($B413=0,0,IF(Inputs!$B$9="",0,COUNTIFS(Data!$M$10:$M$3209,"&gt;="&amp;$A413,Data!$M$10:$M$3209,"&lt;"&amp;$A413+1)))</f>
        <v/>
      </c>
      <c r="AH413">
        <f>IF($B413=0,0,IF(Inputs!$B$10="",0,COUNTIFS(Data!$Q$10:$Q$3209,"&gt;="&amp;$A413,Data!$Q$10:$Q$3209,"&lt;"&amp;$A413+1)))</f>
        <v/>
      </c>
    </row>
    <row r="414">
      <c r="A414" s="55">
        <f>MIN(Inputs!$C$15,$A413+IF(WEEKDAY($A413,2)=5,3,1))</f>
        <v/>
      </c>
      <c r="B414">
        <f>IF($A414&gt;$A413,1,0)</f>
        <v/>
      </c>
      <c r="C414" s="56">
        <f>IF($B414=0,"",IF(Inputs!$B$6="","",IF($AD414=0,C413,SUMIFS(Data!$B$10:$B$3209,Data!$A$10:$A$3209,"&gt;="&amp;$A414,Data!$A$10:$A$3209,"&lt;"&amp;$A414+1)/$AD414)))</f>
        <v/>
      </c>
      <c r="D414" s="56">
        <f>IF($B414=0,"",IF(Inputs!$B$7="","",IF($AE414=0,D413,SUMIFS(Data!$F$10:$F$3209,Data!$E$10:$E$3209,"&gt;="&amp;$A414,Data!$E$10:$E$3209,"&lt;"&amp;$A414+1)/$AE414)))</f>
        <v/>
      </c>
      <c r="E414" s="56">
        <f>IF($B414=0,"",IF(Inputs!$B$8="","",IF($AF414=0,E413,SUMIFS(Data!$J$10:$J$3209,Data!$I$10:$I$3209,"&gt;="&amp;$A414,Data!$I$10:$I$3209,"&lt;"&amp;$A414+1)/$AF414)))</f>
        <v/>
      </c>
      <c r="F414" s="56">
        <f>IF($B414=0,"",IF(Inputs!$B$9="","",IF($AG414=0,F413,SUMIFS(Data!$N$10:$N$3209,Data!$M$10:$M$3209,"&gt;="&amp;$A414,Data!$M$10:$M$3209,"&lt;"&amp;$A414+1)/$AG414)))</f>
        <v/>
      </c>
      <c r="G414" s="56">
        <f>IF($B414=0,"",IF(Inputs!$B$10="","",IF($AH414=0,G413,SUMIFS(Data!$R$10:$R$3209,Data!$Q$10:$Q$3209,"&gt;="&amp;$A414,Data!$Q$10:$Q$3209,"&lt;"&amp;$A414+1)/$AH414)))</f>
        <v/>
      </c>
      <c r="I414" s="54">
        <f>IF($B414=0,NA(),IF($C414="",NA(),IF(C$8="",NA(),IF(N(C$8)=0,NA(),IF(Inputs!$C$17="Rebased to 100",$C414/C$8*100,$C414)))))</f>
        <v/>
      </c>
      <c r="J414" s="54">
        <f>IF($B414=0,NA(),IF($D414="",NA(),IF(D$8="",NA(),IF(N(D$8)=0,NA(),IF(Inputs!$C$17="Rebased to 100",$D414/D$8*100,$D414)))))</f>
        <v/>
      </c>
      <c r="K414" s="54">
        <f>IF($B414=0,NA(),IF($E414="",NA(),IF(E$8="",NA(),IF(N(E$8)=0,NA(),IF(Inputs!$C$17="Rebased to 100",$E414/E$8*100,$E414)))))</f>
        <v/>
      </c>
      <c r="L414" s="54">
        <f>IF($B414=0,NA(),IF($F414="",NA(),IF(F$8="",NA(),IF(N(F$8)=0,NA(),IF(Inputs!$C$17="Rebased to 100",$F414/F$8*100,$F414)))))</f>
        <v/>
      </c>
      <c r="M414" s="54">
        <f>IF($B414=0,NA(),IF($G414="",NA(),IF(G$8="",NA(),IF(N(G$8)=0,NA(),IF(Inputs!$C$17="Rebased to 100",$G414/G$8*100,$G414)))))</f>
        <v/>
      </c>
      <c r="N414" s="54">
        <f>IF($B414=0,NA(),IF(Inputs!$C$18&lt;&gt;"Yes",NA(),IF(COUNT(I414,J414,K414,L414,M414)=0,NA(),MIN(I414,J414,K414,L414,M414))))</f>
        <v/>
      </c>
      <c r="O414" s="54">
        <f>IF($B414=0,NA(),IF(Inputs!$B$24&lt;&gt;"Yes",NA(),Inputs!$D$24*Inputs!$C$35))</f>
        <v/>
      </c>
      <c r="P414" s="54">
        <f>IF($B414=0,NA(),IF(Inputs!$B$25&lt;&gt;"Yes",NA(),Inputs!$D$25*Inputs!$C$35))</f>
        <v/>
      </c>
      <c r="Q414" s="54">
        <f>IF($B414=0,NA(),IF(Inputs!$B$26&lt;&gt;"Yes",NA(),Inputs!$D$26*Inputs!$C$35))</f>
        <v/>
      </c>
      <c r="R414" s="54">
        <f>IF($B414=0,NA(),IF(Inputs!$B$27&lt;&gt;"Yes",NA(),Inputs!$D$27*Inputs!$C$35))</f>
        <v/>
      </c>
      <c r="S414" s="54">
        <f>IF($B414=0,NA(),IF(Inputs!$B$28&lt;&gt;"Yes",NA(),Inputs!$D$28*Inputs!$C$35))</f>
        <v/>
      </c>
      <c r="T414" s="54">
        <f>IF($B414=0,NA(),IF(Inputs!$B$29&lt;&gt;"Yes",NA(),Inputs!$D$29*Inputs!$C$35))</f>
        <v/>
      </c>
      <c r="AD414">
        <f>IF($B414=0,0,IF(Inputs!$B$6="",0,COUNTIFS(Data!$A$10:$A$3209,"&gt;="&amp;$A414,Data!$A$10:$A$3209,"&lt;"&amp;$A414+1)))</f>
        <v/>
      </c>
      <c r="AE414">
        <f>IF($B414=0,0,IF(Inputs!$B$7="",0,COUNTIFS(Data!$E$10:$E$3209,"&gt;="&amp;$A414,Data!$E$10:$E$3209,"&lt;"&amp;$A414+1)))</f>
        <v/>
      </c>
      <c r="AF414">
        <f>IF($B414=0,0,IF(Inputs!$B$8="",0,COUNTIFS(Data!$I$10:$I$3209,"&gt;="&amp;$A414,Data!$I$10:$I$3209,"&lt;"&amp;$A414+1)))</f>
        <v/>
      </c>
      <c r="AG414">
        <f>IF($B414=0,0,IF(Inputs!$B$9="",0,COUNTIFS(Data!$M$10:$M$3209,"&gt;="&amp;$A414,Data!$M$10:$M$3209,"&lt;"&amp;$A414+1)))</f>
        <v/>
      </c>
      <c r="AH414">
        <f>IF($B414=0,0,IF(Inputs!$B$10="",0,COUNTIFS(Data!$Q$10:$Q$3209,"&gt;="&amp;$A414,Data!$Q$10:$Q$3209,"&lt;"&amp;$A414+1)))</f>
        <v/>
      </c>
    </row>
    <row r="415">
      <c r="A415" s="55">
        <f>MIN(Inputs!$C$15,$A414+IF(WEEKDAY($A414,2)=5,3,1))</f>
        <v/>
      </c>
      <c r="B415">
        <f>IF($A415&gt;$A414,1,0)</f>
        <v/>
      </c>
      <c r="C415" s="56">
        <f>IF($B415=0,"",IF(Inputs!$B$6="","",IF($AD415=0,C414,SUMIFS(Data!$B$10:$B$3209,Data!$A$10:$A$3209,"&gt;="&amp;$A415,Data!$A$10:$A$3209,"&lt;"&amp;$A415+1)/$AD415)))</f>
        <v/>
      </c>
      <c r="D415" s="56">
        <f>IF($B415=0,"",IF(Inputs!$B$7="","",IF($AE415=0,D414,SUMIFS(Data!$F$10:$F$3209,Data!$E$10:$E$3209,"&gt;="&amp;$A415,Data!$E$10:$E$3209,"&lt;"&amp;$A415+1)/$AE415)))</f>
        <v/>
      </c>
      <c r="E415" s="56">
        <f>IF($B415=0,"",IF(Inputs!$B$8="","",IF($AF415=0,E414,SUMIFS(Data!$J$10:$J$3209,Data!$I$10:$I$3209,"&gt;="&amp;$A415,Data!$I$10:$I$3209,"&lt;"&amp;$A415+1)/$AF415)))</f>
        <v/>
      </c>
      <c r="F415" s="56">
        <f>IF($B415=0,"",IF(Inputs!$B$9="","",IF($AG415=0,F414,SUMIFS(Data!$N$10:$N$3209,Data!$M$10:$M$3209,"&gt;="&amp;$A415,Data!$M$10:$M$3209,"&lt;"&amp;$A415+1)/$AG415)))</f>
        <v/>
      </c>
      <c r="G415" s="56">
        <f>IF($B415=0,"",IF(Inputs!$B$10="","",IF($AH415=0,G414,SUMIFS(Data!$R$10:$R$3209,Data!$Q$10:$Q$3209,"&gt;="&amp;$A415,Data!$Q$10:$Q$3209,"&lt;"&amp;$A415+1)/$AH415)))</f>
        <v/>
      </c>
      <c r="I415" s="54">
        <f>IF($B415=0,NA(),IF($C415="",NA(),IF(C$8="",NA(),IF(N(C$8)=0,NA(),IF(Inputs!$C$17="Rebased to 100",$C415/C$8*100,$C415)))))</f>
        <v/>
      </c>
      <c r="J415" s="54">
        <f>IF($B415=0,NA(),IF($D415="",NA(),IF(D$8="",NA(),IF(N(D$8)=0,NA(),IF(Inputs!$C$17="Rebased to 100",$D415/D$8*100,$D415)))))</f>
        <v/>
      </c>
      <c r="K415" s="54">
        <f>IF($B415=0,NA(),IF($E415="",NA(),IF(E$8="",NA(),IF(N(E$8)=0,NA(),IF(Inputs!$C$17="Rebased to 100",$E415/E$8*100,$E415)))))</f>
        <v/>
      </c>
      <c r="L415" s="54">
        <f>IF($B415=0,NA(),IF($F415="",NA(),IF(F$8="",NA(),IF(N(F$8)=0,NA(),IF(Inputs!$C$17="Rebased to 100",$F415/F$8*100,$F415)))))</f>
        <v/>
      </c>
      <c r="M415" s="54">
        <f>IF($B415=0,NA(),IF($G415="",NA(),IF(G$8="",NA(),IF(N(G$8)=0,NA(),IF(Inputs!$C$17="Rebased to 100",$G415/G$8*100,$G415)))))</f>
        <v/>
      </c>
      <c r="N415" s="54">
        <f>IF($B415=0,NA(),IF(Inputs!$C$18&lt;&gt;"Yes",NA(),IF(COUNT(I415,J415,K415,L415,M415)=0,NA(),MIN(I415,J415,K415,L415,M415))))</f>
        <v/>
      </c>
      <c r="O415" s="54">
        <f>IF($B415=0,NA(),IF(Inputs!$B$24&lt;&gt;"Yes",NA(),Inputs!$D$24*Inputs!$C$35))</f>
        <v/>
      </c>
      <c r="P415" s="54">
        <f>IF($B415=0,NA(),IF(Inputs!$B$25&lt;&gt;"Yes",NA(),Inputs!$D$25*Inputs!$C$35))</f>
        <v/>
      </c>
      <c r="Q415" s="54">
        <f>IF($B415=0,NA(),IF(Inputs!$B$26&lt;&gt;"Yes",NA(),Inputs!$D$26*Inputs!$C$35))</f>
        <v/>
      </c>
      <c r="R415" s="54">
        <f>IF($B415=0,NA(),IF(Inputs!$B$27&lt;&gt;"Yes",NA(),Inputs!$D$27*Inputs!$C$35))</f>
        <v/>
      </c>
      <c r="S415" s="54">
        <f>IF($B415=0,NA(),IF(Inputs!$B$28&lt;&gt;"Yes",NA(),Inputs!$D$28*Inputs!$C$35))</f>
        <v/>
      </c>
      <c r="T415" s="54">
        <f>IF($B415=0,NA(),IF(Inputs!$B$29&lt;&gt;"Yes",NA(),Inputs!$D$29*Inputs!$C$35))</f>
        <v/>
      </c>
      <c r="AD415">
        <f>IF($B415=0,0,IF(Inputs!$B$6="",0,COUNTIFS(Data!$A$10:$A$3209,"&gt;="&amp;$A415,Data!$A$10:$A$3209,"&lt;"&amp;$A415+1)))</f>
        <v/>
      </c>
      <c r="AE415">
        <f>IF($B415=0,0,IF(Inputs!$B$7="",0,COUNTIFS(Data!$E$10:$E$3209,"&gt;="&amp;$A415,Data!$E$10:$E$3209,"&lt;"&amp;$A415+1)))</f>
        <v/>
      </c>
      <c r="AF415">
        <f>IF($B415=0,0,IF(Inputs!$B$8="",0,COUNTIFS(Data!$I$10:$I$3209,"&gt;="&amp;$A415,Data!$I$10:$I$3209,"&lt;"&amp;$A415+1)))</f>
        <v/>
      </c>
      <c r="AG415">
        <f>IF($B415=0,0,IF(Inputs!$B$9="",0,COUNTIFS(Data!$M$10:$M$3209,"&gt;="&amp;$A415,Data!$M$10:$M$3209,"&lt;"&amp;$A415+1)))</f>
        <v/>
      </c>
      <c r="AH415">
        <f>IF($B415=0,0,IF(Inputs!$B$10="",0,COUNTIFS(Data!$Q$10:$Q$3209,"&gt;="&amp;$A415,Data!$Q$10:$Q$3209,"&lt;"&amp;$A415+1)))</f>
        <v/>
      </c>
    </row>
    <row r="416">
      <c r="A416" s="55">
        <f>MIN(Inputs!$C$15,$A415+IF(WEEKDAY($A415,2)=5,3,1))</f>
        <v/>
      </c>
      <c r="B416">
        <f>IF($A416&gt;$A415,1,0)</f>
        <v/>
      </c>
      <c r="C416" s="56">
        <f>IF($B416=0,"",IF(Inputs!$B$6="","",IF($AD416=0,C415,SUMIFS(Data!$B$10:$B$3209,Data!$A$10:$A$3209,"&gt;="&amp;$A416,Data!$A$10:$A$3209,"&lt;"&amp;$A416+1)/$AD416)))</f>
        <v/>
      </c>
      <c r="D416" s="56">
        <f>IF($B416=0,"",IF(Inputs!$B$7="","",IF($AE416=0,D415,SUMIFS(Data!$F$10:$F$3209,Data!$E$10:$E$3209,"&gt;="&amp;$A416,Data!$E$10:$E$3209,"&lt;"&amp;$A416+1)/$AE416)))</f>
        <v/>
      </c>
      <c r="E416" s="56">
        <f>IF($B416=0,"",IF(Inputs!$B$8="","",IF($AF416=0,E415,SUMIFS(Data!$J$10:$J$3209,Data!$I$10:$I$3209,"&gt;="&amp;$A416,Data!$I$10:$I$3209,"&lt;"&amp;$A416+1)/$AF416)))</f>
        <v/>
      </c>
      <c r="F416" s="56">
        <f>IF($B416=0,"",IF(Inputs!$B$9="","",IF($AG416=0,F415,SUMIFS(Data!$N$10:$N$3209,Data!$M$10:$M$3209,"&gt;="&amp;$A416,Data!$M$10:$M$3209,"&lt;"&amp;$A416+1)/$AG416)))</f>
        <v/>
      </c>
      <c r="G416" s="56">
        <f>IF($B416=0,"",IF(Inputs!$B$10="","",IF($AH416=0,G415,SUMIFS(Data!$R$10:$R$3209,Data!$Q$10:$Q$3209,"&gt;="&amp;$A416,Data!$Q$10:$Q$3209,"&lt;"&amp;$A416+1)/$AH416)))</f>
        <v/>
      </c>
      <c r="I416" s="54">
        <f>IF($B416=0,NA(),IF($C416="",NA(),IF(C$8="",NA(),IF(N(C$8)=0,NA(),IF(Inputs!$C$17="Rebased to 100",$C416/C$8*100,$C416)))))</f>
        <v/>
      </c>
      <c r="J416" s="54">
        <f>IF($B416=0,NA(),IF($D416="",NA(),IF(D$8="",NA(),IF(N(D$8)=0,NA(),IF(Inputs!$C$17="Rebased to 100",$D416/D$8*100,$D416)))))</f>
        <v/>
      </c>
      <c r="K416" s="54">
        <f>IF($B416=0,NA(),IF($E416="",NA(),IF(E$8="",NA(),IF(N(E$8)=0,NA(),IF(Inputs!$C$17="Rebased to 100",$E416/E$8*100,$E416)))))</f>
        <v/>
      </c>
      <c r="L416" s="54">
        <f>IF($B416=0,NA(),IF($F416="",NA(),IF(F$8="",NA(),IF(N(F$8)=0,NA(),IF(Inputs!$C$17="Rebased to 100",$F416/F$8*100,$F416)))))</f>
        <v/>
      </c>
      <c r="M416" s="54">
        <f>IF($B416=0,NA(),IF($G416="",NA(),IF(G$8="",NA(),IF(N(G$8)=0,NA(),IF(Inputs!$C$17="Rebased to 100",$G416/G$8*100,$G416)))))</f>
        <v/>
      </c>
      <c r="N416" s="54">
        <f>IF($B416=0,NA(),IF(Inputs!$C$18&lt;&gt;"Yes",NA(),IF(COUNT(I416,J416,K416,L416,M416)=0,NA(),MIN(I416,J416,K416,L416,M416))))</f>
        <v/>
      </c>
      <c r="O416" s="54">
        <f>IF($B416=0,NA(),IF(Inputs!$B$24&lt;&gt;"Yes",NA(),Inputs!$D$24*Inputs!$C$35))</f>
        <v/>
      </c>
      <c r="P416" s="54">
        <f>IF($B416=0,NA(),IF(Inputs!$B$25&lt;&gt;"Yes",NA(),Inputs!$D$25*Inputs!$C$35))</f>
        <v/>
      </c>
      <c r="Q416" s="54">
        <f>IF($B416=0,NA(),IF(Inputs!$B$26&lt;&gt;"Yes",NA(),Inputs!$D$26*Inputs!$C$35))</f>
        <v/>
      </c>
      <c r="R416" s="54">
        <f>IF($B416=0,NA(),IF(Inputs!$B$27&lt;&gt;"Yes",NA(),Inputs!$D$27*Inputs!$C$35))</f>
        <v/>
      </c>
      <c r="S416" s="54">
        <f>IF($B416=0,NA(),IF(Inputs!$B$28&lt;&gt;"Yes",NA(),Inputs!$D$28*Inputs!$C$35))</f>
        <v/>
      </c>
      <c r="T416" s="54">
        <f>IF($B416=0,NA(),IF(Inputs!$B$29&lt;&gt;"Yes",NA(),Inputs!$D$29*Inputs!$C$35))</f>
        <v/>
      </c>
      <c r="AD416">
        <f>IF($B416=0,0,IF(Inputs!$B$6="",0,COUNTIFS(Data!$A$10:$A$3209,"&gt;="&amp;$A416,Data!$A$10:$A$3209,"&lt;"&amp;$A416+1)))</f>
        <v/>
      </c>
      <c r="AE416">
        <f>IF($B416=0,0,IF(Inputs!$B$7="",0,COUNTIFS(Data!$E$10:$E$3209,"&gt;="&amp;$A416,Data!$E$10:$E$3209,"&lt;"&amp;$A416+1)))</f>
        <v/>
      </c>
      <c r="AF416">
        <f>IF($B416=0,0,IF(Inputs!$B$8="",0,COUNTIFS(Data!$I$10:$I$3209,"&gt;="&amp;$A416,Data!$I$10:$I$3209,"&lt;"&amp;$A416+1)))</f>
        <v/>
      </c>
      <c r="AG416">
        <f>IF($B416=0,0,IF(Inputs!$B$9="",0,COUNTIFS(Data!$M$10:$M$3209,"&gt;="&amp;$A416,Data!$M$10:$M$3209,"&lt;"&amp;$A416+1)))</f>
        <v/>
      </c>
      <c r="AH416">
        <f>IF($B416=0,0,IF(Inputs!$B$10="",0,COUNTIFS(Data!$Q$10:$Q$3209,"&gt;="&amp;$A416,Data!$Q$10:$Q$3209,"&lt;"&amp;$A416+1)))</f>
        <v/>
      </c>
    </row>
    <row r="417">
      <c r="A417" s="55">
        <f>MIN(Inputs!$C$15,$A416+IF(WEEKDAY($A416,2)=5,3,1))</f>
        <v/>
      </c>
      <c r="B417">
        <f>IF($A417&gt;$A416,1,0)</f>
        <v/>
      </c>
      <c r="C417" s="56">
        <f>IF($B417=0,"",IF(Inputs!$B$6="","",IF($AD417=0,C416,SUMIFS(Data!$B$10:$B$3209,Data!$A$10:$A$3209,"&gt;="&amp;$A417,Data!$A$10:$A$3209,"&lt;"&amp;$A417+1)/$AD417)))</f>
        <v/>
      </c>
      <c r="D417" s="56">
        <f>IF($B417=0,"",IF(Inputs!$B$7="","",IF($AE417=0,D416,SUMIFS(Data!$F$10:$F$3209,Data!$E$10:$E$3209,"&gt;="&amp;$A417,Data!$E$10:$E$3209,"&lt;"&amp;$A417+1)/$AE417)))</f>
        <v/>
      </c>
      <c r="E417" s="56">
        <f>IF($B417=0,"",IF(Inputs!$B$8="","",IF($AF417=0,E416,SUMIFS(Data!$J$10:$J$3209,Data!$I$10:$I$3209,"&gt;="&amp;$A417,Data!$I$10:$I$3209,"&lt;"&amp;$A417+1)/$AF417)))</f>
        <v/>
      </c>
      <c r="F417" s="56">
        <f>IF($B417=0,"",IF(Inputs!$B$9="","",IF($AG417=0,F416,SUMIFS(Data!$N$10:$N$3209,Data!$M$10:$M$3209,"&gt;="&amp;$A417,Data!$M$10:$M$3209,"&lt;"&amp;$A417+1)/$AG417)))</f>
        <v/>
      </c>
      <c r="G417" s="56">
        <f>IF($B417=0,"",IF(Inputs!$B$10="","",IF($AH417=0,G416,SUMIFS(Data!$R$10:$R$3209,Data!$Q$10:$Q$3209,"&gt;="&amp;$A417,Data!$Q$10:$Q$3209,"&lt;"&amp;$A417+1)/$AH417)))</f>
        <v/>
      </c>
      <c r="I417" s="54">
        <f>IF($B417=0,NA(),IF($C417="",NA(),IF(C$8="",NA(),IF(N(C$8)=0,NA(),IF(Inputs!$C$17="Rebased to 100",$C417/C$8*100,$C417)))))</f>
        <v/>
      </c>
      <c r="J417" s="54">
        <f>IF($B417=0,NA(),IF($D417="",NA(),IF(D$8="",NA(),IF(N(D$8)=0,NA(),IF(Inputs!$C$17="Rebased to 100",$D417/D$8*100,$D417)))))</f>
        <v/>
      </c>
      <c r="K417" s="54">
        <f>IF($B417=0,NA(),IF($E417="",NA(),IF(E$8="",NA(),IF(N(E$8)=0,NA(),IF(Inputs!$C$17="Rebased to 100",$E417/E$8*100,$E417)))))</f>
        <v/>
      </c>
      <c r="L417" s="54">
        <f>IF($B417=0,NA(),IF($F417="",NA(),IF(F$8="",NA(),IF(N(F$8)=0,NA(),IF(Inputs!$C$17="Rebased to 100",$F417/F$8*100,$F417)))))</f>
        <v/>
      </c>
      <c r="M417" s="54">
        <f>IF($B417=0,NA(),IF($G417="",NA(),IF(G$8="",NA(),IF(N(G$8)=0,NA(),IF(Inputs!$C$17="Rebased to 100",$G417/G$8*100,$G417)))))</f>
        <v/>
      </c>
      <c r="N417" s="54">
        <f>IF($B417=0,NA(),IF(Inputs!$C$18&lt;&gt;"Yes",NA(),IF(COUNT(I417,J417,K417,L417,M417)=0,NA(),MIN(I417,J417,K417,L417,M417))))</f>
        <v/>
      </c>
      <c r="O417" s="54">
        <f>IF($B417=0,NA(),IF(Inputs!$B$24&lt;&gt;"Yes",NA(),Inputs!$D$24*Inputs!$C$35))</f>
        <v/>
      </c>
      <c r="P417" s="54">
        <f>IF($B417=0,NA(),IF(Inputs!$B$25&lt;&gt;"Yes",NA(),Inputs!$D$25*Inputs!$C$35))</f>
        <v/>
      </c>
      <c r="Q417" s="54">
        <f>IF($B417=0,NA(),IF(Inputs!$B$26&lt;&gt;"Yes",NA(),Inputs!$D$26*Inputs!$C$35))</f>
        <v/>
      </c>
      <c r="R417" s="54">
        <f>IF($B417=0,NA(),IF(Inputs!$B$27&lt;&gt;"Yes",NA(),Inputs!$D$27*Inputs!$C$35))</f>
        <v/>
      </c>
      <c r="S417" s="54">
        <f>IF($B417=0,NA(),IF(Inputs!$B$28&lt;&gt;"Yes",NA(),Inputs!$D$28*Inputs!$C$35))</f>
        <v/>
      </c>
      <c r="T417" s="54">
        <f>IF($B417=0,NA(),IF(Inputs!$B$29&lt;&gt;"Yes",NA(),Inputs!$D$29*Inputs!$C$35))</f>
        <v/>
      </c>
      <c r="AD417">
        <f>IF($B417=0,0,IF(Inputs!$B$6="",0,COUNTIFS(Data!$A$10:$A$3209,"&gt;="&amp;$A417,Data!$A$10:$A$3209,"&lt;"&amp;$A417+1)))</f>
        <v/>
      </c>
      <c r="AE417">
        <f>IF($B417=0,0,IF(Inputs!$B$7="",0,COUNTIFS(Data!$E$10:$E$3209,"&gt;="&amp;$A417,Data!$E$10:$E$3209,"&lt;"&amp;$A417+1)))</f>
        <v/>
      </c>
      <c r="AF417">
        <f>IF($B417=0,0,IF(Inputs!$B$8="",0,COUNTIFS(Data!$I$10:$I$3209,"&gt;="&amp;$A417,Data!$I$10:$I$3209,"&lt;"&amp;$A417+1)))</f>
        <v/>
      </c>
      <c r="AG417">
        <f>IF($B417=0,0,IF(Inputs!$B$9="",0,COUNTIFS(Data!$M$10:$M$3209,"&gt;="&amp;$A417,Data!$M$10:$M$3209,"&lt;"&amp;$A417+1)))</f>
        <v/>
      </c>
      <c r="AH417">
        <f>IF($B417=0,0,IF(Inputs!$B$10="",0,COUNTIFS(Data!$Q$10:$Q$3209,"&gt;="&amp;$A417,Data!$Q$10:$Q$3209,"&lt;"&amp;$A417+1)))</f>
        <v/>
      </c>
    </row>
    <row r="418">
      <c r="A418" s="55">
        <f>MIN(Inputs!$C$15,$A417+IF(WEEKDAY($A417,2)=5,3,1))</f>
        <v/>
      </c>
      <c r="B418">
        <f>IF($A418&gt;$A417,1,0)</f>
        <v/>
      </c>
      <c r="C418" s="56">
        <f>IF($B418=0,"",IF(Inputs!$B$6="","",IF($AD418=0,C417,SUMIFS(Data!$B$10:$B$3209,Data!$A$10:$A$3209,"&gt;="&amp;$A418,Data!$A$10:$A$3209,"&lt;"&amp;$A418+1)/$AD418)))</f>
        <v/>
      </c>
      <c r="D418" s="56">
        <f>IF($B418=0,"",IF(Inputs!$B$7="","",IF($AE418=0,D417,SUMIFS(Data!$F$10:$F$3209,Data!$E$10:$E$3209,"&gt;="&amp;$A418,Data!$E$10:$E$3209,"&lt;"&amp;$A418+1)/$AE418)))</f>
        <v/>
      </c>
      <c r="E418" s="56">
        <f>IF($B418=0,"",IF(Inputs!$B$8="","",IF($AF418=0,E417,SUMIFS(Data!$J$10:$J$3209,Data!$I$10:$I$3209,"&gt;="&amp;$A418,Data!$I$10:$I$3209,"&lt;"&amp;$A418+1)/$AF418)))</f>
        <v/>
      </c>
      <c r="F418" s="56">
        <f>IF($B418=0,"",IF(Inputs!$B$9="","",IF($AG418=0,F417,SUMIFS(Data!$N$10:$N$3209,Data!$M$10:$M$3209,"&gt;="&amp;$A418,Data!$M$10:$M$3209,"&lt;"&amp;$A418+1)/$AG418)))</f>
        <v/>
      </c>
      <c r="G418" s="56">
        <f>IF($B418=0,"",IF(Inputs!$B$10="","",IF($AH418=0,G417,SUMIFS(Data!$R$10:$R$3209,Data!$Q$10:$Q$3209,"&gt;="&amp;$A418,Data!$Q$10:$Q$3209,"&lt;"&amp;$A418+1)/$AH418)))</f>
        <v/>
      </c>
      <c r="I418" s="54">
        <f>IF($B418=0,NA(),IF($C418="",NA(),IF(C$8="",NA(),IF(N(C$8)=0,NA(),IF(Inputs!$C$17="Rebased to 100",$C418/C$8*100,$C418)))))</f>
        <v/>
      </c>
      <c r="J418" s="54">
        <f>IF($B418=0,NA(),IF($D418="",NA(),IF(D$8="",NA(),IF(N(D$8)=0,NA(),IF(Inputs!$C$17="Rebased to 100",$D418/D$8*100,$D418)))))</f>
        <v/>
      </c>
      <c r="K418" s="54">
        <f>IF($B418=0,NA(),IF($E418="",NA(),IF(E$8="",NA(),IF(N(E$8)=0,NA(),IF(Inputs!$C$17="Rebased to 100",$E418/E$8*100,$E418)))))</f>
        <v/>
      </c>
      <c r="L418" s="54">
        <f>IF($B418=0,NA(),IF($F418="",NA(),IF(F$8="",NA(),IF(N(F$8)=0,NA(),IF(Inputs!$C$17="Rebased to 100",$F418/F$8*100,$F418)))))</f>
        <v/>
      </c>
      <c r="M418" s="54">
        <f>IF($B418=0,NA(),IF($G418="",NA(),IF(G$8="",NA(),IF(N(G$8)=0,NA(),IF(Inputs!$C$17="Rebased to 100",$G418/G$8*100,$G418)))))</f>
        <v/>
      </c>
      <c r="N418" s="54">
        <f>IF($B418=0,NA(),IF(Inputs!$C$18&lt;&gt;"Yes",NA(),IF(COUNT(I418,J418,K418,L418,M418)=0,NA(),MIN(I418,J418,K418,L418,M418))))</f>
        <v/>
      </c>
      <c r="O418" s="54">
        <f>IF($B418=0,NA(),IF(Inputs!$B$24&lt;&gt;"Yes",NA(),Inputs!$D$24*Inputs!$C$35))</f>
        <v/>
      </c>
      <c r="P418" s="54">
        <f>IF($B418=0,NA(),IF(Inputs!$B$25&lt;&gt;"Yes",NA(),Inputs!$D$25*Inputs!$C$35))</f>
        <v/>
      </c>
      <c r="Q418" s="54">
        <f>IF($B418=0,NA(),IF(Inputs!$B$26&lt;&gt;"Yes",NA(),Inputs!$D$26*Inputs!$C$35))</f>
        <v/>
      </c>
      <c r="R418" s="54">
        <f>IF($B418=0,NA(),IF(Inputs!$B$27&lt;&gt;"Yes",NA(),Inputs!$D$27*Inputs!$C$35))</f>
        <v/>
      </c>
      <c r="S418" s="54">
        <f>IF($B418=0,NA(),IF(Inputs!$B$28&lt;&gt;"Yes",NA(),Inputs!$D$28*Inputs!$C$35))</f>
        <v/>
      </c>
      <c r="T418" s="54">
        <f>IF($B418=0,NA(),IF(Inputs!$B$29&lt;&gt;"Yes",NA(),Inputs!$D$29*Inputs!$C$35))</f>
        <v/>
      </c>
      <c r="AD418">
        <f>IF($B418=0,0,IF(Inputs!$B$6="",0,COUNTIFS(Data!$A$10:$A$3209,"&gt;="&amp;$A418,Data!$A$10:$A$3209,"&lt;"&amp;$A418+1)))</f>
        <v/>
      </c>
      <c r="AE418">
        <f>IF($B418=0,0,IF(Inputs!$B$7="",0,COUNTIFS(Data!$E$10:$E$3209,"&gt;="&amp;$A418,Data!$E$10:$E$3209,"&lt;"&amp;$A418+1)))</f>
        <v/>
      </c>
      <c r="AF418">
        <f>IF($B418=0,0,IF(Inputs!$B$8="",0,COUNTIFS(Data!$I$10:$I$3209,"&gt;="&amp;$A418,Data!$I$10:$I$3209,"&lt;"&amp;$A418+1)))</f>
        <v/>
      </c>
      <c r="AG418">
        <f>IF($B418=0,0,IF(Inputs!$B$9="",0,COUNTIFS(Data!$M$10:$M$3209,"&gt;="&amp;$A418,Data!$M$10:$M$3209,"&lt;"&amp;$A418+1)))</f>
        <v/>
      </c>
      <c r="AH418">
        <f>IF($B418=0,0,IF(Inputs!$B$10="",0,COUNTIFS(Data!$Q$10:$Q$3209,"&gt;="&amp;$A418,Data!$Q$10:$Q$3209,"&lt;"&amp;$A418+1)))</f>
        <v/>
      </c>
    </row>
    <row r="419">
      <c r="A419" s="55">
        <f>MIN(Inputs!$C$15,$A418+IF(WEEKDAY($A418,2)=5,3,1))</f>
        <v/>
      </c>
      <c r="B419">
        <f>IF($A419&gt;$A418,1,0)</f>
        <v/>
      </c>
      <c r="C419" s="56">
        <f>IF($B419=0,"",IF(Inputs!$B$6="","",IF($AD419=0,C418,SUMIFS(Data!$B$10:$B$3209,Data!$A$10:$A$3209,"&gt;="&amp;$A419,Data!$A$10:$A$3209,"&lt;"&amp;$A419+1)/$AD419)))</f>
        <v/>
      </c>
      <c r="D419" s="56">
        <f>IF($B419=0,"",IF(Inputs!$B$7="","",IF($AE419=0,D418,SUMIFS(Data!$F$10:$F$3209,Data!$E$10:$E$3209,"&gt;="&amp;$A419,Data!$E$10:$E$3209,"&lt;"&amp;$A419+1)/$AE419)))</f>
        <v/>
      </c>
      <c r="E419" s="56">
        <f>IF($B419=0,"",IF(Inputs!$B$8="","",IF($AF419=0,E418,SUMIFS(Data!$J$10:$J$3209,Data!$I$10:$I$3209,"&gt;="&amp;$A419,Data!$I$10:$I$3209,"&lt;"&amp;$A419+1)/$AF419)))</f>
        <v/>
      </c>
      <c r="F419" s="56">
        <f>IF($B419=0,"",IF(Inputs!$B$9="","",IF($AG419=0,F418,SUMIFS(Data!$N$10:$N$3209,Data!$M$10:$M$3209,"&gt;="&amp;$A419,Data!$M$10:$M$3209,"&lt;"&amp;$A419+1)/$AG419)))</f>
        <v/>
      </c>
      <c r="G419" s="56">
        <f>IF($B419=0,"",IF(Inputs!$B$10="","",IF($AH419=0,G418,SUMIFS(Data!$R$10:$R$3209,Data!$Q$10:$Q$3209,"&gt;="&amp;$A419,Data!$Q$10:$Q$3209,"&lt;"&amp;$A419+1)/$AH419)))</f>
        <v/>
      </c>
      <c r="I419" s="54">
        <f>IF($B419=0,NA(),IF($C419="",NA(),IF(C$8="",NA(),IF(N(C$8)=0,NA(),IF(Inputs!$C$17="Rebased to 100",$C419/C$8*100,$C419)))))</f>
        <v/>
      </c>
      <c r="J419" s="54">
        <f>IF($B419=0,NA(),IF($D419="",NA(),IF(D$8="",NA(),IF(N(D$8)=0,NA(),IF(Inputs!$C$17="Rebased to 100",$D419/D$8*100,$D419)))))</f>
        <v/>
      </c>
      <c r="K419" s="54">
        <f>IF($B419=0,NA(),IF($E419="",NA(),IF(E$8="",NA(),IF(N(E$8)=0,NA(),IF(Inputs!$C$17="Rebased to 100",$E419/E$8*100,$E419)))))</f>
        <v/>
      </c>
      <c r="L419" s="54">
        <f>IF($B419=0,NA(),IF($F419="",NA(),IF(F$8="",NA(),IF(N(F$8)=0,NA(),IF(Inputs!$C$17="Rebased to 100",$F419/F$8*100,$F419)))))</f>
        <v/>
      </c>
      <c r="M419" s="54">
        <f>IF($B419=0,NA(),IF($G419="",NA(),IF(G$8="",NA(),IF(N(G$8)=0,NA(),IF(Inputs!$C$17="Rebased to 100",$G419/G$8*100,$G419)))))</f>
        <v/>
      </c>
      <c r="N419" s="54">
        <f>IF($B419=0,NA(),IF(Inputs!$C$18&lt;&gt;"Yes",NA(),IF(COUNT(I419,J419,K419,L419,M419)=0,NA(),MIN(I419,J419,K419,L419,M419))))</f>
        <v/>
      </c>
      <c r="O419" s="54">
        <f>IF($B419=0,NA(),IF(Inputs!$B$24&lt;&gt;"Yes",NA(),Inputs!$D$24*Inputs!$C$35))</f>
        <v/>
      </c>
      <c r="P419" s="54">
        <f>IF($B419=0,NA(),IF(Inputs!$B$25&lt;&gt;"Yes",NA(),Inputs!$D$25*Inputs!$C$35))</f>
        <v/>
      </c>
      <c r="Q419" s="54">
        <f>IF($B419=0,NA(),IF(Inputs!$B$26&lt;&gt;"Yes",NA(),Inputs!$D$26*Inputs!$C$35))</f>
        <v/>
      </c>
      <c r="R419" s="54">
        <f>IF($B419=0,NA(),IF(Inputs!$B$27&lt;&gt;"Yes",NA(),Inputs!$D$27*Inputs!$C$35))</f>
        <v/>
      </c>
      <c r="S419" s="54">
        <f>IF($B419=0,NA(),IF(Inputs!$B$28&lt;&gt;"Yes",NA(),Inputs!$D$28*Inputs!$C$35))</f>
        <v/>
      </c>
      <c r="T419" s="54">
        <f>IF($B419=0,NA(),IF(Inputs!$B$29&lt;&gt;"Yes",NA(),Inputs!$D$29*Inputs!$C$35))</f>
        <v/>
      </c>
      <c r="AD419">
        <f>IF($B419=0,0,IF(Inputs!$B$6="",0,COUNTIFS(Data!$A$10:$A$3209,"&gt;="&amp;$A419,Data!$A$10:$A$3209,"&lt;"&amp;$A419+1)))</f>
        <v/>
      </c>
      <c r="AE419">
        <f>IF($B419=0,0,IF(Inputs!$B$7="",0,COUNTIFS(Data!$E$10:$E$3209,"&gt;="&amp;$A419,Data!$E$10:$E$3209,"&lt;"&amp;$A419+1)))</f>
        <v/>
      </c>
      <c r="AF419">
        <f>IF($B419=0,0,IF(Inputs!$B$8="",0,COUNTIFS(Data!$I$10:$I$3209,"&gt;="&amp;$A419,Data!$I$10:$I$3209,"&lt;"&amp;$A419+1)))</f>
        <v/>
      </c>
      <c r="AG419">
        <f>IF($B419=0,0,IF(Inputs!$B$9="",0,COUNTIFS(Data!$M$10:$M$3209,"&gt;="&amp;$A419,Data!$M$10:$M$3209,"&lt;"&amp;$A419+1)))</f>
        <v/>
      </c>
      <c r="AH419">
        <f>IF($B419=0,0,IF(Inputs!$B$10="",0,COUNTIFS(Data!$Q$10:$Q$3209,"&gt;="&amp;$A419,Data!$Q$10:$Q$3209,"&lt;"&amp;$A419+1)))</f>
        <v/>
      </c>
    </row>
    <row r="420">
      <c r="A420" s="55">
        <f>MIN(Inputs!$C$15,$A419+IF(WEEKDAY($A419,2)=5,3,1))</f>
        <v/>
      </c>
      <c r="B420">
        <f>IF($A420&gt;$A419,1,0)</f>
        <v/>
      </c>
      <c r="C420" s="56">
        <f>IF($B420=0,"",IF(Inputs!$B$6="","",IF($AD420=0,C419,SUMIFS(Data!$B$10:$B$3209,Data!$A$10:$A$3209,"&gt;="&amp;$A420,Data!$A$10:$A$3209,"&lt;"&amp;$A420+1)/$AD420)))</f>
        <v/>
      </c>
      <c r="D420" s="56">
        <f>IF($B420=0,"",IF(Inputs!$B$7="","",IF($AE420=0,D419,SUMIFS(Data!$F$10:$F$3209,Data!$E$10:$E$3209,"&gt;="&amp;$A420,Data!$E$10:$E$3209,"&lt;"&amp;$A420+1)/$AE420)))</f>
        <v/>
      </c>
      <c r="E420" s="56">
        <f>IF($B420=0,"",IF(Inputs!$B$8="","",IF($AF420=0,E419,SUMIFS(Data!$J$10:$J$3209,Data!$I$10:$I$3209,"&gt;="&amp;$A420,Data!$I$10:$I$3209,"&lt;"&amp;$A420+1)/$AF420)))</f>
        <v/>
      </c>
      <c r="F420" s="56">
        <f>IF($B420=0,"",IF(Inputs!$B$9="","",IF($AG420=0,F419,SUMIFS(Data!$N$10:$N$3209,Data!$M$10:$M$3209,"&gt;="&amp;$A420,Data!$M$10:$M$3209,"&lt;"&amp;$A420+1)/$AG420)))</f>
        <v/>
      </c>
      <c r="G420" s="56">
        <f>IF($B420=0,"",IF(Inputs!$B$10="","",IF($AH420=0,G419,SUMIFS(Data!$R$10:$R$3209,Data!$Q$10:$Q$3209,"&gt;="&amp;$A420,Data!$Q$10:$Q$3209,"&lt;"&amp;$A420+1)/$AH420)))</f>
        <v/>
      </c>
      <c r="I420" s="54">
        <f>IF($B420=0,NA(),IF($C420="",NA(),IF(C$8="",NA(),IF(N(C$8)=0,NA(),IF(Inputs!$C$17="Rebased to 100",$C420/C$8*100,$C420)))))</f>
        <v/>
      </c>
      <c r="J420" s="54">
        <f>IF($B420=0,NA(),IF($D420="",NA(),IF(D$8="",NA(),IF(N(D$8)=0,NA(),IF(Inputs!$C$17="Rebased to 100",$D420/D$8*100,$D420)))))</f>
        <v/>
      </c>
      <c r="K420" s="54">
        <f>IF($B420=0,NA(),IF($E420="",NA(),IF(E$8="",NA(),IF(N(E$8)=0,NA(),IF(Inputs!$C$17="Rebased to 100",$E420/E$8*100,$E420)))))</f>
        <v/>
      </c>
      <c r="L420" s="54">
        <f>IF($B420=0,NA(),IF($F420="",NA(),IF(F$8="",NA(),IF(N(F$8)=0,NA(),IF(Inputs!$C$17="Rebased to 100",$F420/F$8*100,$F420)))))</f>
        <v/>
      </c>
      <c r="M420" s="54">
        <f>IF($B420=0,NA(),IF($G420="",NA(),IF(G$8="",NA(),IF(N(G$8)=0,NA(),IF(Inputs!$C$17="Rebased to 100",$G420/G$8*100,$G420)))))</f>
        <v/>
      </c>
      <c r="N420" s="54">
        <f>IF($B420=0,NA(),IF(Inputs!$C$18&lt;&gt;"Yes",NA(),IF(COUNT(I420,J420,K420,L420,M420)=0,NA(),MIN(I420,J420,K420,L420,M420))))</f>
        <v/>
      </c>
      <c r="O420" s="54">
        <f>IF($B420=0,NA(),IF(Inputs!$B$24&lt;&gt;"Yes",NA(),Inputs!$D$24*Inputs!$C$35))</f>
        <v/>
      </c>
      <c r="P420" s="54">
        <f>IF($B420=0,NA(),IF(Inputs!$B$25&lt;&gt;"Yes",NA(),Inputs!$D$25*Inputs!$C$35))</f>
        <v/>
      </c>
      <c r="Q420" s="54">
        <f>IF($B420=0,NA(),IF(Inputs!$B$26&lt;&gt;"Yes",NA(),Inputs!$D$26*Inputs!$C$35))</f>
        <v/>
      </c>
      <c r="R420" s="54">
        <f>IF($B420=0,NA(),IF(Inputs!$B$27&lt;&gt;"Yes",NA(),Inputs!$D$27*Inputs!$C$35))</f>
        <v/>
      </c>
      <c r="S420" s="54">
        <f>IF($B420=0,NA(),IF(Inputs!$B$28&lt;&gt;"Yes",NA(),Inputs!$D$28*Inputs!$C$35))</f>
        <v/>
      </c>
      <c r="T420" s="54">
        <f>IF($B420=0,NA(),IF(Inputs!$B$29&lt;&gt;"Yes",NA(),Inputs!$D$29*Inputs!$C$35))</f>
        <v/>
      </c>
      <c r="AD420">
        <f>IF($B420=0,0,IF(Inputs!$B$6="",0,COUNTIFS(Data!$A$10:$A$3209,"&gt;="&amp;$A420,Data!$A$10:$A$3209,"&lt;"&amp;$A420+1)))</f>
        <v/>
      </c>
      <c r="AE420">
        <f>IF($B420=0,0,IF(Inputs!$B$7="",0,COUNTIFS(Data!$E$10:$E$3209,"&gt;="&amp;$A420,Data!$E$10:$E$3209,"&lt;"&amp;$A420+1)))</f>
        <v/>
      </c>
      <c r="AF420">
        <f>IF($B420=0,0,IF(Inputs!$B$8="",0,COUNTIFS(Data!$I$10:$I$3209,"&gt;="&amp;$A420,Data!$I$10:$I$3209,"&lt;"&amp;$A420+1)))</f>
        <v/>
      </c>
      <c r="AG420">
        <f>IF($B420=0,0,IF(Inputs!$B$9="",0,COUNTIFS(Data!$M$10:$M$3209,"&gt;="&amp;$A420,Data!$M$10:$M$3209,"&lt;"&amp;$A420+1)))</f>
        <v/>
      </c>
      <c r="AH420">
        <f>IF($B420=0,0,IF(Inputs!$B$10="",0,COUNTIFS(Data!$Q$10:$Q$3209,"&gt;="&amp;$A420,Data!$Q$10:$Q$3209,"&lt;"&amp;$A420+1)))</f>
        <v/>
      </c>
    </row>
    <row r="421">
      <c r="A421" s="55">
        <f>MIN(Inputs!$C$15,$A420+IF(WEEKDAY($A420,2)=5,3,1))</f>
        <v/>
      </c>
      <c r="B421">
        <f>IF($A421&gt;$A420,1,0)</f>
        <v/>
      </c>
      <c r="C421" s="56">
        <f>IF($B421=0,"",IF(Inputs!$B$6="","",IF($AD421=0,C420,SUMIFS(Data!$B$10:$B$3209,Data!$A$10:$A$3209,"&gt;="&amp;$A421,Data!$A$10:$A$3209,"&lt;"&amp;$A421+1)/$AD421)))</f>
        <v/>
      </c>
      <c r="D421" s="56">
        <f>IF($B421=0,"",IF(Inputs!$B$7="","",IF($AE421=0,D420,SUMIFS(Data!$F$10:$F$3209,Data!$E$10:$E$3209,"&gt;="&amp;$A421,Data!$E$10:$E$3209,"&lt;"&amp;$A421+1)/$AE421)))</f>
        <v/>
      </c>
      <c r="E421" s="56">
        <f>IF($B421=0,"",IF(Inputs!$B$8="","",IF($AF421=0,E420,SUMIFS(Data!$J$10:$J$3209,Data!$I$10:$I$3209,"&gt;="&amp;$A421,Data!$I$10:$I$3209,"&lt;"&amp;$A421+1)/$AF421)))</f>
        <v/>
      </c>
      <c r="F421" s="56">
        <f>IF($B421=0,"",IF(Inputs!$B$9="","",IF($AG421=0,F420,SUMIFS(Data!$N$10:$N$3209,Data!$M$10:$M$3209,"&gt;="&amp;$A421,Data!$M$10:$M$3209,"&lt;"&amp;$A421+1)/$AG421)))</f>
        <v/>
      </c>
      <c r="G421" s="56">
        <f>IF($B421=0,"",IF(Inputs!$B$10="","",IF($AH421=0,G420,SUMIFS(Data!$R$10:$R$3209,Data!$Q$10:$Q$3209,"&gt;="&amp;$A421,Data!$Q$10:$Q$3209,"&lt;"&amp;$A421+1)/$AH421)))</f>
        <v/>
      </c>
      <c r="I421" s="54">
        <f>IF($B421=0,NA(),IF($C421="",NA(),IF(C$8="",NA(),IF(N(C$8)=0,NA(),IF(Inputs!$C$17="Rebased to 100",$C421/C$8*100,$C421)))))</f>
        <v/>
      </c>
      <c r="J421" s="54">
        <f>IF($B421=0,NA(),IF($D421="",NA(),IF(D$8="",NA(),IF(N(D$8)=0,NA(),IF(Inputs!$C$17="Rebased to 100",$D421/D$8*100,$D421)))))</f>
        <v/>
      </c>
      <c r="K421" s="54">
        <f>IF($B421=0,NA(),IF($E421="",NA(),IF(E$8="",NA(),IF(N(E$8)=0,NA(),IF(Inputs!$C$17="Rebased to 100",$E421/E$8*100,$E421)))))</f>
        <v/>
      </c>
      <c r="L421" s="54">
        <f>IF($B421=0,NA(),IF($F421="",NA(),IF(F$8="",NA(),IF(N(F$8)=0,NA(),IF(Inputs!$C$17="Rebased to 100",$F421/F$8*100,$F421)))))</f>
        <v/>
      </c>
      <c r="M421" s="54">
        <f>IF($B421=0,NA(),IF($G421="",NA(),IF(G$8="",NA(),IF(N(G$8)=0,NA(),IF(Inputs!$C$17="Rebased to 100",$G421/G$8*100,$G421)))))</f>
        <v/>
      </c>
      <c r="N421" s="54">
        <f>IF($B421=0,NA(),IF(Inputs!$C$18&lt;&gt;"Yes",NA(),IF(COUNT(I421,J421,K421,L421,M421)=0,NA(),MIN(I421,J421,K421,L421,M421))))</f>
        <v/>
      </c>
      <c r="O421" s="54">
        <f>IF($B421=0,NA(),IF(Inputs!$B$24&lt;&gt;"Yes",NA(),Inputs!$D$24*Inputs!$C$35))</f>
        <v/>
      </c>
      <c r="P421" s="54">
        <f>IF($B421=0,NA(),IF(Inputs!$B$25&lt;&gt;"Yes",NA(),Inputs!$D$25*Inputs!$C$35))</f>
        <v/>
      </c>
      <c r="Q421" s="54">
        <f>IF($B421=0,NA(),IF(Inputs!$B$26&lt;&gt;"Yes",NA(),Inputs!$D$26*Inputs!$C$35))</f>
        <v/>
      </c>
      <c r="R421" s="54">
        <f>IF($B421=0,NA(),IF(Inputs!$B$27&lt;&gt;"Yes",NA(),Inputs!$D$27*Inputs!$C$35))</f>
        <v/>
      </c>
      <c r="S421" s="54">
        <f>IF($B421=0,NA(),IF(Inputs!$B$28&lt;&gt;"Yes",NA(),Inputs!$D$28*Inputs!$C$35))</f>
        <v/>
      </c>
      <c r="T421" s="54">
        <f>IF($B421=0,NA(),IF(Inputs!$B$29&lt;&gt;"Yes",NA(),Inputs!$D$29*Inputs!$C$35))</f>
        <v/>
      </c>
      <c r="AD421">
        <f>IF($B421=0,0,IF(Inputs!$B$6="",0,COUNTIFS(Data!$A$10:$A$3209,"&gt;="&amp;$A421,Data!$A$10:$A$3209,"&lt;"&amp;$A421+1)))</f>
        <v/>
      </c>
      <c r="AE421">
        <f>IF($B421=0,0,IF(Inputs!$B$7="",0,COUNTIFS(Data!$E$10:$E$3209,"&gt;="&amp;$A421,Data!$E$10:$E$3209,"&lt;"&amp;$A421+1)))</f>
        <v/>
      </c>
      <c r="AF421">
        <f>IF($B421=0,0,IF(Inputs!$B$8="",0,COUNTIFS(Data!$I$10:$I$3209,"&gt;="&amp;$A421,Data!$I$10:$I$3209,"&lt;"&amp;$A421+1)))</f>
        <v/>
      </c>
      <c r="AG421">
        <f>IF($B421=0,0,IF(Inputs!$B$9="",0,COUNTIFS(Data!$M$10:$M$3209,"&gt;="&amp;$A421,Data!$M$10:$M$3209,"&lt;"&amp;$A421+1)))</f>
        <v/>
      </c>
      <c r="AH421">
        <f>IF($B421=0,0,IF(Inputs!$B$10="",0,COUNTIFS(Data!$Q$10:$Q$3209,"&gt;="&amp;$A421,Data!$Q$10:$Q$3209,"&lt;"&amp;$A421+1)))</f>
        <v/>
      </c>
    </row>
    <row r="422">
      <c r="A422" s="55">
        <f>MIN(Inputs!$C$15,$A421+IF(WEEKDAY($A421,2)=5,3,1))</f>
        <v/>
      </c>
      <c r="B422">
        <f>IF($A422&gt;$A421,1,0)</f>
        <v/>
      </c>
      <c r="C422" s="56">
        <f>IF($B422=0,"",IF(Inputs!$B$6="","",IF($AD422=0,C421,SUMIFS(Data!$B$10:$B$3209,Data!$A$10:$A$3209,"&gt;="&amp;$A422,Data!$A$10:$A$3209,"&lt;"&amp;$A422+1)/$AD422)))</f>
        <v/>
      </c>
      <c r="D422" s="56">
        <f>IF($B422=0,"",IF(Inputs!$B$7="","",IF($AE422=0,D421,SUMIFS(Data!$F$10:$F$3209,Data!$E$10:$E$3209,"&gt;="&amp;$A422,Data!$E$10:$E$3209,"&lt;"&amp;$A422+1)/$AE422)))</f>
        <v/>
      </c>
      <c r="E422" s="56">
        <f>IF($B422=0,"",IF(Inputs!$B$8="","",IF($AF422=0,E421,SUMIFS(Data!$J$10:$J$3209,Data!$I$10:$I$3209,"&gt;="&amp;$A422,Data!$I$10:$I$3209,"&lt;"&amp;$A422+1)/$AF422)))</f>
        <v/>
      </c>
      <c r="F422" s="56">
        <f>IF($B422=0,"",IF(Inputs!$B$9="","",IF($AG422=0,F421,SUMIFS(Data!$N$10:$N$3209,Data!$M$10:$M$3209,"&gt;="&amp;$A422,Data!$M$10:$M$3209,"&lt;"&amp;$A422+1)/$AG422)))</f>
        <v/>
      </c>
      <c r="G422" s="56">
        <f>IF($B422=0,"",IF(Inputs!$B$10="","",IF($AH422=0,G421,SUMIFS(Data!$R$10:$R$3209,Data!$Q$10:$Q$3209,"&gt;="&amp;$A422,Data!$Q$10:$Q$3209,"&lt;"&amp;$A422+1)/$AH422)))</f>
        <v/>
      </c>
      <c r="I422" s="54">
        <f>IF($B422=0,NA(),IF($C422="",NA(),IF(C$8="",NA(),IF(N(C$8)=0,NA(),IF(Inputs!$C$17="Rebased to 100",$C422/C$8*100,$C422)))))</f>
        <v/>
      </c>
      <c r="J422" s="54">
        <f>IF($B422=0,NA(),IF($D422="",NA(),IF(D$8="",NA(),IF(N(D$8)=0,NA(),IF(Inputs!$C$17="Rebased to 100",$D422/D$8*100,$D422)))))</f>
        <v/>
      </c>
      <c r="K422" s="54">
        <f>IF($B422=0,NA(),IF($E422="",NA(),IF(E$8="",NA(),IF(N(E$8)=0,NA(),IF(Inputs!$C$17="Rebased to 100",$E422/E$8*100,$E422)))))</f>
        <v/>
      </c>
      <c r="L422" s="54">
        <f>IF($B422=0,NA(),IF($F422="",NA(),IF(F$8="",NA(),IF(N(F$8)=0,NA(),IF(Inputs!$C$17="Rebased to 100",$F422/F$8*100,$F422)))))</f>
        <v/>
      </c>
      <c r="M422" s="54">
        <f>IF($B422=0,NA(),IF($G422="",NA(),IF(G$8="",NA(),IF(N(G$8)=0,NA(),IF(Inputs!$C$17="Rebased to 100",$G422/G$8*100,$G422)))))</f>
        <v/>
      </c>
      <c r="N422" s="54">
        <f>IF($B422=0,NA(),IF(Inputs!$C$18&lt;&gt;"Yes",NA(),IF(COUNT(I422,J422,K422,L422,M422)=0,NA(),MIN(I422,J422,K422,L422,M422))))</f>
        <v/>
      </c>
      <c r="O422" s="54">
        <f>IF($B422=0,NA(),IF(Inputs!$B$24&lt;&gt;"Yes",NA(),Inputs!$D$24*Inputs!$C$35))</f>
        <v/>
      </c>
      <c r="P422" s="54">
        <f>IF($B422=0,NA(),IF(Inputs!$B$25&lt;&gt;"Yes",NA(),Inputs!$D$25*Inputs!$C$35))</f>
        <v/>
      </c>
      <c r="Q422" s="54">
        <f>IF($B422=0,NA(),IF(Inputs!$B$26&lt;&gt;"Yes",NA(),Inputs!$D$26*Inputs!$C$35))</f>
        <v/>
      </c>
      <c r="R422" s="54">
        <f>IF($B422=0,NA(),IF(Inputs!$B$27&lt;&gt;"Yes",NA(),Inputs!$D$27*Inputs!$C$35))</f>
        <v/>
      </c>
      <c r="S422" s="54">
        <f>IF($B422=0,NA(),IF(Inputs!$B$28&lt;&gt;"Yes",NA(),Inputs!$D$28*Inputs!$C$35))</f>
        <v/>
      </c>
      <c r="T422" s="54">
        <f>IF($B422=0,NA(),IF(Inputs!$B$29&lt;&gt;"Yes",NA(),Inputs!$D$29*Inputs!$C$35))</f>
        <v/>
      </c>
      <c r="AD422">
        <f>IF($B422=0,0,IF(Inputs!$B$6="",0,COUNTIFS(Data!$A$10:$A$3209,"&gt;="&amp;$A422,Data!$A$10:$A$3209,"&lt;"&amp;$A422+1)))</f>
        <v/>
      </c>
      <c r="AE422">
        <f>IF($B422=0,0,IF(Inputs!$B$7="",0,COUNTIFS(Data!$E$10:$E$3209,"&gt;="&amp;$A422,Data!$E$10:$E$3209,"&lt;"&amp;$A422+1)))</f>
        <v/>
      </c>
      <c r="AF422">
        <f>IF($B422=0,0,IF(Inputs!$B$8="",0,COUNTIFS(Data!$I$10:$I$3209,"&gt;="&amp;$A422,Data!$I$10:$I$3209,"&lt;"&amp;$A422+1)))</f>
        <v/>
      </c>
      <c r="AG422">
        <f>IF($B422=0,0,IF(Inputs!$B$9="",0,COUNTIFS(Data!$M$10:$M$3209,"&gt;="&amp;$A422,Data!$M$10:$M$3209,"&lt;"&amp;$A422+1)))</f>
        <v/>
      </c>
      <c r="AH422">
        <f>IF($B422=0,0,IF(Inputs!$B$10="",0,COUNTIFS(Data!$Q$10:$Q$3209,"&gt;="&amp;$A422,Data!$Q$10:$Q$3209,"&lt;"&amp;$A422+1)))</f>
        <v/>
      </c>
    </row>
    <row r="423">
      <c r="A423" s="55">
        <f>MIN(Inputs!$C$15,$A422+IF(WEEKDAY($A422,2)=5,3,1))</f>
        <v/>
      </c>
      <c r="B423">
        <f>IF($A423&gt;$A422,1,0)</f>
        <v/>
      </c>
      <c r="C423" s="56">
        <f>IF($B423=0,"",IF(Inputs!$B$6="","",IF($AD423=0,C422,SUMIFS(Data!$B$10:$B$3209,Data!$A$10:$A$3209,"&gt;="&amp;$A423,Data!$A$10:$A$3209,"&lt;"&amp;$A423+1)/$AD423)))</f>
        <v/>
      </c>
      <c r="D423" s="56">
        <f>IF($B423=0,"",IF(Inputs!$B$7="","",IF($AE423=0,D422,SUMIFS(Data!$F$10:$F$3209,Data!$E$10:$E$3209,"&gt;="&amp;$A423,Data!$E$10:$E$3209,"&lt;"&amp;$A423+1)/$AE423)))</f>
        <v/>
      </c>
      <c r="E423" s="56">
        <f>IF($B423=0,"",IF(Inputs!$B$8="","",IF($AF423=0,E422,SUMIFS(Data!$J$10:$J$3209,Data!$I$10:$I$3209,"&gt;="&amp;$A423,Data!$I$10:$I$3209,"&lt;"&amp;$A423+1)/$AF423)))</f>
        <v/>
      </c>
      <c r="F423" s="56">
        <f>IF($B423=0,"",IF(Inputs!$B$9="","",IF($AG423=0,F422,SUMIFS(Data!$N$10:$N$3209,Data!$M$10:$M$3209,"&gt;="&amp;$A423,Data!$M$10:$M$3209,"&lt;"&amp;$A423+1)/$AG423)))</f>
        <v/>
      </c>
      <c r="G423" s="56">
        <f>IF($B423=0,"",IF(Inputs!$B$10="","",IF($AH423=0,G422,SUMIFS(Data!$R$10:$R$3209,Data!$Q$10:$Q$3209,"&gt;="&amp;$A423,Data!$Q$10:$Q$3209,"&lt;"&amp;$A423+1)/$AH423)))</f>
        <v/>
      </c>
      <c r="I423" s="54">
        <f>IF($B423=0,NA(),IF($C423="",NA(),IF(C$8="",NA(),IF(N(C$8)=0,NA(),IF(Inputs!$C$17="Rebased to 100",$C423/C$8*100,$C423)))))</f>
        <v/>
      </c>
      <c r="J423" s="54">
        <f>IF($B423=0,NA(),IF($D423="",NA(),IF(D$8="",NA(),IF(N(D$8)=0,NA(),IF(Inputs!$C$17="Rebased to 100",$D423/D$8*100,$D423)))))</f>
        <v/>
      </c>
      <c r="K423" s="54">
        <f>IF($B423=0,NA(),IF($E423="",NA(),IF(E$8="",NA(),IF(N(E$8)=0,NA(),IF(Inputs!$C$17="Rebased to 100",$E423/E$8*100,$E423)))))</f>
        <v/>
      </c>
      <c r="L423" s="54">
        <f>IF($B423=0,NA(),IF($F423="",NA(),IF(F$8="",NA(),IF(N(F$8)=0,NA(),IF(Inputs!$C$17="Rebased to 100",$F423/F$8*100,$F423)))))</f>
        <v/>
      </c>
      <c r="M423" s="54">
        <f>IF($B423=0,NA(),IF($G423="",NA(),IF(G$8="",NA(),IF(N(G$8)=0,NA(),IF(Inputs!$C$17="Rebased to 100",$G423/G$8*100,$G423)))))</f>
        <v/>
      </c>
      <c r="N423" s="54">
        <f>IF($B423=0,NA(),IF(Inputs!$C$18&lt;&gt;"Yes",NA(),IF(COUNT(I423,J423,K423,L423,M423)=0,NA(),MIN(I423,J423,K423,L423,M423))))</f>
        <v/>
      </c>
      <c r="O423" s="54">
        <f>IF($B423=0,NA(),IF(Inputs!$B$24&lt;&gt;"Yes",NA(),Inputs!$D$24*Inputs!$C$35))</f>
        <v/>
      </c>
      <c r="P423" s="54">
        <f>IF($B423=0,NA(),IF(Inputs!$B$25&lt;&gt;"Yes",NA(),Inputs!$D$25*Inputs!$C$35))</f>
        <v/>
      </c>
      <c r="Q423" s="54">
        <f>IF($B423=0,NA(),IF(Inputs!$B$26&lt;&gt;"Yes",NA(),Inputs!$D$26*Inputs!$C$35))</f>
        <v/>
      </c>
      <c r="R423" s="54">
        <f>IF($B423=0,NA(),IF(Inputs!$B$27&lt;&gt;"Yes",NA(),Inputs!$D$27*Inputs!$C$35))</f>
        <v/>
      </c>
      <c r="S423" s="54">
        <f>IF($B423=0,NA(),IF(Inputs!$B$28&lt;&gt;"Yes",NA(),Inputs!$D$28*Inputs!$C$35))</f>
        <v/>
      </c>
      <c r="T423" s="54">
        <f>IF($B423=0,NA(),IF(Inputs!$B$29&lt;&gt;"Yes",NA(),Inputs!$D$29*Inputs!$C$35))</f>
        <v/>
      </c>
      <c r="AD423">
        <f>IF($B423=0,0,IF(Inputs!$B$6="",0,COUNTIFS(Data!$A$10:$A$3209,"&gt;="&amp;$A423,Data!$A$10:$A$3209,"&lt;"&amp;$A423+1)))</f>
        <v/>
      </c>
      <c r="AE423">
        <f>IF($B423=0,0,IF(Inputs!$B$7="",0,COUNTIFS(Data!$E$10:$E$3209,"&gt;="&amp;$A423,Data!$E$10:$E$3209,"&lt;"&amp;$A423+1)))</f>
        <v/>
      </c>
      <c r="AF423">
        <f>IF($B423=0,0,IF(Inputs!$B$8="",0,COUNTIFS(Data!$I$10:$I$3209,"&gt;="&amp;$A423,Data!$I$10:$I$3209,"&lt;"&amp;$A423+1)))</f>
        <v/>
      </c>
      <c r="AG423">
        <f>IF($B423=0,0,IF(Inputs!$B$9="",0,COUNTIFS(Data!$M$10:$M$3209,"&gt;="&amp;$A423,Data!$M$10:$M$3209,"&lt;"&amp;$A423+1)))</f>
        <v/>
      </c>
      <c r="AH423">
        <f>IF($B423=0,0,IF(Inputs!$B$10="",0,COUNTIFS(Data!$Q$10:$Q$3209,"&gt;="&amp;$A423,Data!$Q$10:$Q$3209,"&lt;"&amp;$A423+1)))</f>
        <v/>
      </c>
    </row>
    <row r="424">
      <c r="A424" s="55">
        <f>MIN(Inputs!$C$15,$A423+IF(WEEKDAY($A423,2)=5,3,1))</f>
        <v/>
      </c>
      <c r="B424">
        <f>IF($A424&gt;$A423,1,0)</f>
        <v/>
      </c>
      <c r="C424" s="56">
        <f>IF($B424=0,"",IF(Inputs!$B$6="","",IF($AD424=0,C423,SUMIFS(Data!$B$10:$B$3209,Data!$A$10:$A$3209,"&gt;="&amp;$A424,Data!$A$10:$A$3209,"&lt;"&amp;$A424+1)/$AD424)))</f>
        <v/>
      </c>
      <c r="D424" s="56">
        <f>IF($B424=0,"",IF(Inputs!$B$7="","",IF($AE424=0,D423,SUMIFS(Data!$F$10:$F$3209,Data!$E$10:$E$3209,"&gt;="&amp;$A424,Data!$E$10:$E$3209,"&lt;"&amp;$A424+1)/$AE424)))</f>
        <v/>
      </c>
      <c r="E424" s="56">
        <f>IF($B424=0,"",IF(Inputs!$B$8="","",IF($AF424=0,E423,SUMIFS(Data!$J$10:$J$3209,Data!$I$10:$I$3209,"&gt;="&amp;$A424,Data!$I$10:$I$3209,"&lt;"&amp;$A424+1)/$AF424)))</f>
        <v/>
      </c>
      <c r="F424" s="56">
        <f>IF($B424=0,"",IF(Inputs!$B$9="","",IF($AG424=0,F423,SUMIFS(Data!$N$10:$N$3209,Data!$M$10:$M$3209,"&gt;="&amp;$A424,Data!$M$10:$M$3209,"&lt;"&amp;$A424+1)/$AG424)))</f>
        <v/>
      </c>
      <c r="G424" s="56">
        <f>IF($B424=0,"",IF(Inputs!$B$10="","",IF($AH424=0,G423,SUMIFS(Data!$R$10:$R$3209,Data!$Q$10:$Q$3209,"&gt;="&amp;$A424,Data!$Q$10:$Q$3209,"&lt;"&amp;$A424+1)/$AH424)))</f>
        <v/>
      </c>
      <c r="I424" s="54">
        <f>IF($B424=0,NA(),IF($C424="",NA(),IF(C$8="",NA(),IF(N(C$8)=0,NA(),IF(Inputs!$C$17="Rebased to 100",$C424/C$8*100,$C424)))))</f>
        <v/>
      </c>
      <c r="J424" s="54">
        <f>IF($B424=0,NA(),IF($D424="",NA(),IF(D$8="",NA(),IF(N(D$8)=0,NA(),IF(Inputs!$C$17="Rebased to 100",$D424/D$8*100,$D424)))))</f>
        <v/>
      </c>
      <c r="K424" s="54">
        <f>IF($B424=0,NA(),IF($E424="",NA(),IF(E$8="",NA(),IF(N(E$8)=0,NA(),IF(Inputs!$C$17="Rebased to 100",$E424/E$8*100,$E424)))))</f>
        <v/>
      </c>
      <c r="L424" s="54">
        <f>IF($B424=0,NA(),IF($F424="",NA(),IF(F$8="",NA(),IF(N(F$8)=0,NA(),IF(Inputs!$C$17="Rebased to 100",$F424/F$8*100,$F424)))))</f>
        <v/>
      </c>
      <c r="M424" s="54">
        <f>IF($B424=0,NA(),IF($G424="",NA(),IF(G$8="",NA(),IF(N(G$8)=0,NA(),IF(Inputs!$C$17="Rebased to 100",$G424/G$8*100,$G424)))))</f>
        <v/>
      </c>
      <c r="N424" s="54">
        <f>IF($B424=0,NA(),IF(Inputs!$C$18&lt;&gt;"Yes",NA(),IF(COUNT(I424,J424,K424,L424,M424)=0,NA(),MIN(I424,J424,K424,L424,M424))))</f>
        <v/>
      </c>
      <c r="O424" s="54">
        <f>IF($B424=0,NA(),IF(Inputs!$B$24&lt;&gt;"Yes",NA(),Inputs!$D$24*Inputs!$C$35))</f>
        <v/>
      </c>
      <c r="P424" s="54">
        <f>IF($B424=0,NA(),IF(Inputs!$B$25&lt;&gt;"Yes",NA(),Inputs!$D$25*Inputs!$C$35))</f>
        <v/>
      </c>
      <c r="Q424" s="54">
        <f>IF($B424=0,NA(),IF(Inputs!$B$26&lt;&gt;"Yes",NA(),Inputs!$D$26*Inputs!$C$35))</f>
        <v/>
      </c>
      <c r="R424" s="54">
        <f>IF($B424=0,NA(),IF(Inputs!$B$27&lt;&gt;"Yes",NA(),Inputs!$D$27*Inputs!$C$35))</f>
        <v/>
      </c>
      <c r="S424" s="54">
        <f>IF($B424=0,NA(),IF(Inputs!$B$28&lt;&gt;"Yes",NA(),Inputs!$D$28*Inputs!$C$35))</f>
        <v/>
      </c>
      <c r="T424" s="54">
        <f>IF($B424=0,NA(),IF(Inputs!$B$29&lt;&gt;"Yes",NA(),Inputs!$D$29*Inputs!$C$35))</f>
        <v/>
      </c>
      <c r="AD424">
        <f>IF($B424=0,0,IF(Inputs!$B$6="",0,COUNTIFS(Data!$A$10:$A$3209,"&gt;="&amp;$A424,Data!$A$10:$A$3209,"&lt;"&amp;$A424+1)))</f>
        <v/>
      </c>
      <c r="AE424">
        <f>IF($B424=0,0,IF(Inputs!$B$7="",0,COUNTIFS(Data!$E$10:$E$3209,"&gt;="&amp;$A424,Data!$E$10:$E$3209,"&lt;"&amp;$A424+1)))</f>
        <v/>
      </c>
      <c r="AF424">
        <f>IF($B424=0,0,IF(Inputs!$B$8="",0,COUNTIFS(Data!$I$10:$I$3209,"&gt;="&amp;$A424,Data!$I$10:$I$3209,"&lt;"&amp;$A424+1)))</f>
        <v/>
      </c>
      <c r="AG424">
        <f>IF($B424=0,0,IF(Inputs!$B$9="",0,COUNTIFS(Data!$M$10:$M$3209,"&gt;="&amp;$A424,Data!$M$10:$M$3209,"&lt;"&amp;$A424+1)))</f>
        <v/>
      </c>
      <c r="AH424">
        <f>IF($B424=0,0,IF(Inputs!$B$10="",0,COUNTIFS(Data!$Q$10:$Q$3209,"&gt;="&amp;$A424,Data!$Q$10:$Q$3209,"&lt;"&amp;$A424+1)))</f>
        <v/>
      </c>
    </row>
    <row r="425">
      <c r="A425" s="55">
        <f>MIN(Inputs!$C$15,$A424+IF(WEEKDAY($A424,2)=5,3,1))</f>
        <v/>
      </c>
      <c r="B425">
        <f>IF($A425&gt;$A424,1,0)</f>
        <v/>
      </c>
      <c r="C425" s="56">
        <f>IF($B425=0,"",IF(Inputs!$B$6="","",IF($AD425=0,C424,SUMIFS(Data!$B$10:$B$3209,Data!$A$10:$A$3209,"&gt;="&amp;$A425,Data!$A$10:$A$3209,"&lt;"&amp;$A425+1)/$AD425)))</f>
        <v/>
      </c>
      <c r="D425" s="56">
        <f>IF($B425=0,"",IF(Inputs!$B$7="","",IF($AE425=0,D424,SUMIFS(Data!$F$10:$F$3209,Data!$E$10:$E$3209,"&gt;="&amp;$A425,Data!$E$10:$E$3209,"&lt;"&amp;$A425+1)/$AE425)))</f>
        <v/>
      </c>
      <c r="E425" s="56">
        <f>IF($B425=0,"",IF(Inputs!$B$8="","",IF($AF425=0,E424,SUMIFS(Data!$J$10:$J$3209,Data!$I$10:$I$3209,"&gt;="&amp;$A425,Data!$I$10:$I$3209,"&lt;"&amp;$A425+1)/$AF425)))</f>
        <v/>
      </c>
      <c r="F425" s="56">
        <f>IF($B425=0,"",IF(Inputs!$B$9="","",IF($AG425=0,F424,SUMIFS(Data!$N$10:$N$3209,Data!$M$10:$M$3209,"&gt;="&amp;$A425,Data!$M$10:$M$3209,"&lt;"&amp;$A425+1)/$AG425)))</f>
        <v/>
      </c>
      <c r="G425" s="56">
        <f>IF($B425=0,"",IF(Inputs!$B$10="","",IF($AH425=0,G424,SUMIFS(Data!$R$10:$R$3209,Data!$Q$10:$Q$3209,"&gt;="&amp;$A425,Data!$Q$10:$Q$3209,"&lt;"&amp;$A425+1)/$AH425)))</f>
        <v/>
      </c>
      <c r="I425" s="54">
        <f>IF($B425=0,NA(),IF($C425="",NA(),IF(C$8="",NA(),IF(N(C$8)=0,NA(),IF(Inputs!$C$17="Rebased to 100",$C425/C$8*100,$C425)))))</f>
        <v/>
      </c>
      <c r="J425" s="54">
        <f>IF($B425=0,NA(),IF($D425="",NA(),IF(D$8="",NA(),IF(N(D$8)=0,NA(),IF(Inputs!$C$17="Rebased to 100",$D425/D$8*100,$D425)))))</f>
        <v/>
      </c>
      <c r="K425" s="54">
        <f>IF($B425=0,NA(),IF($E425="",NA(),IF(E$8="",NA(),IF(N(E$8)=0,NA(),IF(Inputs!$C$17="Rebased to 100",$E425/E$8*100,$E425)))))</f>
        <v/>
      </c>
      <c r="L425" s="54">
        <f>IF($B425=0,NA(),IF($F425="",NA(),IF(F$8="",NA(),IF(N(F$8)=0,NA(),IF(Inputs!$C$17="Rebased to 100",$F425/F$8*100,$F425)))))</f>
        <v/>
      </c>
      <c r="M425" s="54">
        <f>IF($B425=0,NA(),IF($G425="",NA(),IF(G$8="",NA(),IF(N(G$8)=0,NA(),IF(Inputs!$C$17="Rebased to 100",$G425/G$8*100,$G425)))))</f>
        <v/>
      </c>
      <c r="N425" s="54">
        <f>IF($B425=0,NA(),IF(Inputs!$C$18&lt;&gt;"Yes",NA(),IF(COUNT(I425,J425,K425,L425,M425)=0,NA(),MIN(I425,J425,K425,L425,M425))))</f>
        <v/>
      </c>
      <c r="O425" s="54">
        <f>IF($B425=0,NA(),IF(Inputs!$B$24&lt;&gt;"Yes",NA(),Inputs!$D$24*Inputs!$C$35))</f>
        <v/>
      </c>
      <c r="P425" s="54">
        <f>IF($B425=0,NA(),IF(Inputs!$B$25&lt;&gt;"Yes",NA(),Inputs!$D$25*Inputs!$C$35))</f>
        <v/>
      </c>
      <c r="Q425" s="54">
        <f>IF($B425=0,NA(),IF(Inputs!$B$26&lt;&gt;"Yes",NA(),Inputs!$D$26*Inputs!$C$35))</f>
        <v/>
      </c>
      <c r="R425" s="54">
        <f>IF($B425=0,NA(),IF(Inputs!$B$27&lt;&gt;"Yes",NA(),Inputs!$D$27*Inputs!$C$35))</f>
        <v/>
      </c>
      <c r="S425" s="54">
        <f>IF($B425=0,NA(),IF(Inputs!$B$28&lt;&gt;"Yes",NA(),Inputs!$D$28*Inputs!$C$35))</f>
        <v/>
      </c>
      <c r="T425" s="54">
        <f>IF($B425=0,NA(),IF(Inputs!$B$29&lt;&gt;"Yes",NA(),Inputs!$D$29*Inputs!$C$35))</f>
        <v/>
      </c>
      <c r="AD425">
        <f>IF($B425=0,0,IF(Inputs!$B$6="",0,COUNTIFS(Data!$A$10:$A$3209,"&gt;="&amp;$A425,Data!$A$10:$A$3209,"&lt;"&amp;$A425+1)))</f>
        <v/>
      </c>
      <c r="AE425">
        <f>IF($B425=0,0,IF(Inputs!$B$7="",0,COUNTIFS(Data!$E$10:$E$3209,"&gt;="&amp;$A425,Data!$E$10:$E$3209,"&lt;"&amp;$A425+1)))</f>
        <v/>
      </c>
      <c r="AF425">
        <f>IF($B425=0,0,IF(Inputs!$B$8="",0,COUNTIFS(Data!$I$10:$I$3209,"&gt;="&amp;$A425,Data!$I$10:$I$3209,"&lt;"&amp;$A425+1)))</f>
        <v/>
      </c>
      <c r="AG425">
        <f>IF($B425=0,0,IF(Inputs!$B$9="",0,COUNTIFS(Data!$M$10:$M$3209,"&gt;="&amp;$A425,Data!$M$10:$M$3209,"&lt;"&amp;$A425+1)))</f>
        <v/>
      </c>
      <c r="AH425">
        <f>IF($B425=0,0,IF(Inputs!$B$10="",0,COUNTIFS(Data!$Q$10:$Q$3209,"&gt;="&amp;$A425,Data!$Q$10:$Q$3209,"&lt;"&amp;$A425+1)))</f>
        <v/>
      </c>
    </row>
    <row r="426">
      <c r="A426" s="55">
        <f>MIN(Inputs!$C$15,$A425+IF(WEEKDAY($A425,2)=5,3,1))</f>
        <v/>
      </c>
      <c r="B426">
        <f>IF($A426&gt;$A425,1,0)</f>
        <v/>
      </c>
      <c r="C426" s="56">
        <f>IF($B426=0,"",IF(Inputs!$B$6="","",IF($AD426=0,C425,SUMIFS(Data!$B$10:$B$3209,Data!$A$10:$A$3209,"&gt;="&amp;$A426,Data!$A$10:$A$3209,"&lt;"&amp;$A426+1)/$AD426)))</f>
        <v/>
      </c>
      <c r="D426" s="56">
        <f>IF($B426=0,"",IF(Inputs!$B$7="","",IF($AE426=0,D425,SUMIFS(Data!$F$10:$F$3209,Data!$E$10:$E$3209,"&gt;="&amp;$A426,Data!$E$10:$E$3209,"&lt;"&amp;$A426+1)/$AE426)))</f>
        <v/>
      </c>
      <c r="E426" s="56">
        <f>IF($B426=0,"",IF(Inputs!$B$8="","",IF($AF426=0,E425,SUMIFS(Data!$J$10:$J$3209,Data!$I$10:$I$3209,"&gt;="&amp;$A426,Data!$I$10:$I$3209,"&lt;"&amp;$A426+1)/$AF426)))</f>
        <v/>
      </c>
      <c r="F426" s="56">
        <f>IF($B426=0,"",IF(Inputs!$B$9="","",IF($AG426=0,F425,SUMIFS(Data!$N$10:$N$3209,Data!$M$10:$M$3209,"&gt;="&amp;$A426,Data!$M$10:$M$3209,"&lt;"&amp;$A426+1)/$AG426)))</f>
        <v/>
      </c>
      <c r="G426" s="56">
        <f>IF($B426=0,"",IF(Inputs!$B$10="","",IF($AH426=0,G425,SUMIFS(Data!$R$10:$R$3209,Data!$Q$10:$Q$3209,"&gt;="&amp;$A426,Data!$Q$10:$Q$3209,"&lt;"&amp;$A426+1)/$AH426)))</f>
        <v/>
      </c>
      <c r="I426" s="54">
        <f>IF($B426=0,NA(),IF($C426="",NA(),IF(C$8="",NA(),IF(N(C$8)=0,NA(),IF(Inputs!$C$17="Rebased to 100",$C426/C$8*100,$C426)))))</f>
        <v/>
      </c>
      <c r="J426" s="54">
        <f>IF($B426=0,NA(),IF($D426="",NA(),IF(D$8="",NA(),IF(N(D$8)=0,NA(),IF(Inputs!$C$17="Rebased to 100",$D426/D$8*100,$D426)))))</f>
        <v/>
      </c>
      <c r="K426" s="54">
        <f>IF($B426=0,NA(),IF($E426="",NA(),IF(E$8="",NA(),IF(N(E$8)=0,NA(),IF(Inputs!$C$17="Rebased to 100",$E426/E$8*100,$E426)))))</f>
        <v/>
      </c>
      <c r="L426" s="54">
        <f>IF($B426=0,NA(),IF($F426="",NA(),IF(F$8="",NA(),IF(N(F$8)=0,NA(),IF(Inputs!$C$17="Rebased to 100",$F426/F$8*100,$F426)))))</f>
        <v/>
      </c>
      <c r="M426" s="54">
        <f>IF($B426=0,NA(),IF($G426="",NA(),IF(G$8="",NA(),IF(N(G$8)=0,NA(),IF(Inputs!$C$17="Rebased to 100",$G426/G$8*100,$G426)))))</f>
        <v/>
      </c>
      <c r="N426" s="54">
        <f>IF($B426=0,NA(),IF(Inputs!$C$18&lt;&gt;"Yes",NA(),IF(COUNT(I426,J426,K426,L426,M426)=0,NA(),MIN(I426,J426,K426,L426,M426))))</f>
        <v/>
      </c>
      <c r="O426" s="54">
        <f>IF($B426=0,NA(),IF(Inputs!$B$24&lt;&gt;"Yes",NA(),Inputs!$D$24*Inputs!$C$35))</f>
        <v/>
      </c>
      <c r="P426" s="54">
        <f>IF($B426=0,NA(),IF(Inputs!$B$25&lt;&gt;"Yes",NA(),Inputs!$D$25*Inputs!$C$35))</f>
        <v/>
      </c>
      <c r="Q426" s="54">
        <f>IF($B426=0,NA(),IF(Inputs!$B$26&lt;&gt;"Yes",NA(),Inputs!$D$26*Inputs!$C$35))</f>
        <v/>
      </c>
      <c r="R426" s="54">
        <f>IF($B426=0,NA(),IF(Inputs!$B$27&lt;&gt;"Yes",NA(),Inputs!$D$27*Inputs!$C$35))</f>
        <v/>
      </c>
      <c r="S426" s="54">
        <f>IF($B426=0,NA(),IF(Inputs!$B$28&lt;&gt;"Yes",NA(),Inputs!$D$28*Inputs!$C$35))</f>
        <v/>
      </c>
      <c r="T426" s="54">
        <f>IF($B426=0,NA(),IF(Inputs!$B$29&lt;&gt;"Yes",NA(),Inputs!$D$29*Inputs!$C$35))</f>
        <v/>
      </c>
      <c r="AD426">
        <f>IF($B426=0,0,IF(Inputs!$B$6="",0,COUNTIFS(Data!$A$10:$A$3209,"&gt;="&amp;$A426,Data!$A$10:$A$3209,"&lt;"&amp;$A426+1)))</f>
        <v/>
      </c>
      <c r="AE426">
        <f>IF($B426=0,0,IF(Inputs!$B$7="",0,COUNTIFS(Data!$E$10:$E$3209,"&gt;="&amp;$A426,Data!$E$10:$E$3209,"&lt;"&amp;$A426+1)))</f>
        <v/>
      </c>
      <c r="AF426">
        <f>IF($B426=0,0,IF(Inputs!$B$8="",0,COUNTIFS(Data!$I$10:$I$3209,"&gt;="&amp;$A426,Data!$I$10:$I$3209,"&lt;"&amp;$A426+1)))</f>
        <v/>
      </c>
      <c r="AG426">
        <f>IF($B426=0,0,IF(Inputs!$B$9="",0,COUNTIFS(Data!$M$10:$M$3209,"&gt;="&amp;$A426,Data!$M$10:$M$3209,"&lt;"&amp;$A426+1)))</f>
        <v/>
      </c>
      <c r="AH426">
        <f>IF($B426=0,0,IF(Inputs!$B$10="",0,COUNTIFS(Data!$Q$10:$Q$3209,"&gt;="&amp;$A426,Data!$Q$10:$Q$3209,"&lt;"&amp;$A426+1)))</f>
        <v/>
      </c>
    </row>
    <row r="427">
      <c r="A427" s="55">
        <f>MIN(Inputs!$C$15,$A426+IF(WEEKDAY($A426,2)=5,3,1))</f>
        <v/>
      </c>
      <c r="B427">
        <f>IF($A427&gt;$A426,1,0)</f>
        <v/>
      </c>
      <c r="C427" s="56">
        <f>IF($B427=0,"",IF(Inputs!$B$6="","",IF($AD427=0,C426,SUMIFS(Data!$B$10:$B$3209,Data!$A$10:$A$3209,"&gt;="&amp;$A427,Data!$A$10:$A$3209,"&lt;"&amp;$A427+1)/$AD427)))</f>
        <v/>
      </c>
      <c r="D427" s="56">
        <f>IF($B427=0,"",IF(Inputs!$B$7="","",IF($AE427=0,D426,SUMIFS(Data!$F$10:$F$3209,Data!$E$10:$E$3209,"&gt;="&amp;$A427,Data!$E$10:$E$3209,"&lt;"&amp;$A427+1)/$AE427)))</f>
        <v/>
      </c>
      <c r="E427" s="56">
        <f>IF($B427=0,"",IF(Inputs!$B$8="","",IF($AF427=0,E426,SUMIFS(Data!$J$10:$J$3209,Data!$I$10:$I$3209,"&gt;="&amp;$A427,Data!$I$10:$I$3209,"&lt;"&amp;$A427+1)/$AF427)))</f>
        <v/>
      </c>
      <c r="F427" s="56">
        <f>IF($B427=0,"",IF(Inputs!$B$9="","",IF($AG427=0,F426,SUMIFS(Data!$N$10:$N$3209,Data!$M$10:$M$3209,"&gt;="&amp;$A427,Data!$M$10:$M$3209,"&lt;"&amp;$A427+1)/$AG427)))</f>
        <v/>
      </c>
      <c r="G427" s="56">
        <f>IF($B427=0,"",IF(Inputs!$B$10="","",IF($AH427=0,G426,SUMIFS(Data!$R$10:$R$3209,Data!$Q$10:$Q$3209,"&gt;="&amp;$A427,Data!$Q$10:$Q$3209,"&lt;"&amp;$A427+1)/$AH427)))</f>
        <v/>
      </c>
      <c r="I427" s="54">
        <f>IF($B427=0,NA(),IF($C427="",NA(),IF(C$8="",NA(),IF(N(C$8)=0,NA(),IF(Inputs!$C$17="Rebased to 100",$C427/C$8*100,$C427)))))</f>
        <v/>
      </c>
      <c r="J427" s="54">
        <f>IF($B427=0,NA(),IF($D427="",NA(),IF(D$8="",NA(),IF(N(D$8)=0,NA(),IF(Inputs!$C$17="Rebased to 100",$D427/D$8*100,$D427)))))</f>
        <v/>
      </c>
      <c r="K427" s="54">
        <f>IF($B427=0,NA(),IF($E427="",NA(),IF(E$8="",NA(),IF(N(E$8)=0,NA(),IF(Inputs!$C$17="Rebased to 100",$E427/E$8*100,$E427)))))</f>
        <v/>
      </c>
      <c r="L427" s="54">
        <f>IF($B427=0,NA(),IF($F427="",NA(),IF(F$8="",NA(),IF(N(F$8)=0,NA(),IF(Inputs!$C$17="Rebased to 100",$F427/F$8*100,$F427)))))</f>
        <v/>
      </c>
      <c r="M427" s="54">
        <f>IF($B427=0,NA(),IF($G427="",NA(),IF(G$8="",NA(),IF(N(G$8)=0,NA(),IF(Inputs!$C$17="Rebased to 100",$G427/G$8*100,$G427)))))</f>
        <v/>
      </c>
      <c r="N427" s="54">
        <f>IF($B427=0,NA(),IF(Inputs!$C$18&lt;&gt;"Yes",NA(),IF(COUNT(I427,J427,K427,L427,M427)=0,NA(),MIN(I427,J427,K427,L427,M427))))</f>
        <v/>
      </c>
      <c r="O427" s="54">
        <f>IF($B427=0,NA(),IF(Inputs!$B$24&lt;&gt;"Yes",NA(),Inputs!$D$24*Inputs!$C$35))</f>
        <v/>
      </c>
      <c r="P427" s="54">
        <f>IF($B427=0,NA(),IF(Inputs!$B$25&lt;&gt;"Yes",NA(),Inputs!$D$25*Inputs!$C$35))</f>
        <v/>
      </c>
      <c r="Q427" s="54">
        <f>IF($B427=0,NA(),IF(Inputs!$B$26&lt;&gt;"Yes",NA(),Inputs!$D$26*Inputs!$C$35))</f>
        <v/>
      </c>
      <c r="R427" s="54">
        <f>IF($B427=0,NA(),IF(Inputs!$B$27&lt;&gt;"Yes",NA(),Inputs!$D$27*Inputs!$C$35))</f>
        <v/>
      </c>
      <c r="S427" s="54">
        <f>IF($B427=0,NA(),IF(Inputs!$B$28&lt;&gt;"Yes",NA(),Inputs!$D$28*Inputs!$C$35))</f>
        <v/>
      </c>
      <c r="T427" s="54">
        <f>IF($B427=0,NA(),IF(Inputs!$B$29&lt;&gt;"Yes",NA(),Inputs!$D$29*Inputs!$C$35))</f>
        <v/>
      </c>
      <c r="AD427">
        <f>IF($B427=0,0,IF(Inputs!$B$6="",0,COUNTIFS(Data!$A$10:$A$3209,"&gt;="&amp;$A427,Data!$A$10:$A$3209,"&lt;"&amp;$A427+1)))</f>
        <v/>
      </c>
      <c r="AE427">
        <f>IF($B427=0,0,IF(Inputs!$B$7="",0,COUNTIFS(Data!$E$10:$E$3209,"&gt;="&amp;$A427,Data!$E$10:$E$3209,"&lt;"&amp;$A427+1)))</f>
        <v/>
      </c>
      <c r="AF427">
        <f>IF($B427=0,0,IF(Inputs!$B$8="",0,COUNTIFS(Data!$I$10:$I$3209,"&gt;="&amp;$A427,Data!$I$10:$I$3209,"&lt;"&amp;$A427+1)))</f>
        <v/>
      </c>
      <c r="AG427">
        <f>IF($B427=0,0,IF(Inputs!$B$9="",0,COUNTIFS(Data!$M$10:$M$3209,"&gt;="&amp;$A427,Data!$M$10:$M$3209,"&lt;"&amp;$A427+1)))</f>
        <v/>
      </c>
      <c r="AH427">
        <f>IF($B427=0,0,IF(Inputs!$B$10="",0,COUNTIFS(Data!$Q$10:$Q$3209,"&gt;="&amp;$A427,Data!$Q$10:$Q$3209,"&lt;"&amp;$A427+1)))</f>
        <v/>
      </c>
    </row>
    <row r="428">
      <c r="A428" s="55">
        <f>MIN(Inputs!$C$15,$A427+IF(WEEKDAY($A427,2)=5,3,1))</f>
        <v/>
      </c>
      <c r="B428">
        <f>IF($A428&gt;$A427,1,0)</f>
        <v/>
      </c>
      <c r="C428" s="56">
        <f>IF($B428=0,"",IF(Inputs!$B$6="","",IF($AD428=0,C427,SUMIFS(Data!$B$10:$B$3209,Data!$A$10:$A$3209,"&gt;="&amp;$A428,Data!$A$10:$A$3209,"&lt;"&amp;$A428+1)/$AD428)))</f>
        <v/>
      </c>
      <c r="D428" s="56">
        <f>IF($B428=0,"",IF(Inputs!$B$7="","",IF($AE428=0,D427,SUMIFS(Data!$F$10:$F$3209,Data!$E$10:$E$3209,"&gt;="&amp;$A428,Data!$E$10:$E$3209,"&lt;"&amp;$A428+1)/$AE428)))</f>
        <v/>
      </c>
      <c r="E428" s="56">
        <f>IF($B428=0,"",IF(Inputs!$B$8="","",IF($AF428=0,E427,SUMIFS(Data!$J$10:$J$3209,Data!$I$10:$I$3209,"&gt;="&amp;$A428,Data!$I$10:$I$3209,"&lt;"&amp;$A428+1)/$AF428)))</f>
        <v/>
      </c>
      <c r="F428" s="56">
        <f>IF($B428=0,"",IF(Inputs!$B$9="","",IF($AG428=0,F427,SUMIFS(Data!$N$10:$N$3209,Data!$M$10:$M$3209,"&gt;="&amp;$A428,Data!$M$10:$M$3209,"&lt;"&amp;$A428+1)/$AG428)))</f>
        <v/>
      </c>
      <c r="G428" s="56">
        <f>IF($B428=0,"",IF(Inputs!$B$10="","",IF($AH428=0,G427,SUMIFS(Data!$R$10:$R$3209,Data!$Q$10:$Q$3209,"&gt;="&amp;$A428,Data!$Q$10:$Q$3209,"&lt;"&amp;$A428+1)/$AH428)))</f>
        <v/>
      </c>
      <c r="I428" s="54">
        <f>IF($B428=0,NA(),IF($C428="",NA(),IF(C$8="",NA(),IF(N(C$8)=0,NA(),IF(Inputs!$C$17="Rebased to 100",$C428/C$8*100,$C428)))))</f>
        <v/>
      </c>
      <c r="J428" s="54">
        <f>IF($B428=0,NA(),IF($D428="",NA(),IF(D$8="",NA(),IF(N(D$8)=0,NA(),IF(Inputs!$C$17="Rebased to 100",$D428/D$8*100,$D428)))))</f>
        <v/>
      </c>
      <c r="K428" s="54">
        <f>IF($B428=0,NA(),IF($E428="",NA(),IF(E$8="",NA(),IF(N(E$8)=0,NA(),IF(Inputs!$C$17="Rebased to 100",$E428/E$8*100,$E428)))))</f>
        <v/>
      </c>
      <c r="L428" s="54">
        <f>IF($B428=0,NA(),IF($F428="",NA(),IF(F$8="",NA(),IF(N(F$8)=0,NA(),IF(Inputs!$C$17="Rebased to 100",$F428/F$8*100,$F428)))))</f>
        <v/>
      </c>
      <c r="M428" s="54">
        <f>IF($B428=0,NA(),IF($G428="",NA(),IF(G$8="",NA(),IF(N(G$8)=0,NA(),IF(Inputs!$C$17="Rebased to 100",$G428/G$8*100,$G428)))))</f>
        <v/>
      </c>
      <c r="N428" s="54">
        <f>IF($B428=0,NA(),IF(Inputs!$C$18&lt;&gt;"Yes",NA(),IF(COUNT(I428,J428,K428,L428,M428)=0,NA(),MIN(I428,J428,K428,L428,M428))))</f>
        <v/>
      </c>
      <c r="O428" s="54">
        <f>IF($B428=0,NA(),IF(Inputs!$B$24&lt;&gt;"Yes",NA(),Inputs!$D$24*Inputs!$C$35))</f>
        <v/>
      </c>
      <c r="P428" s="54">
        <f>IF($B428=0,NA(),IF(Inputs!$B$25&lt;&gt;"Yes",NA(),Inputs!$D$25*Inputs!$C$35))</f>
        <v/>
      </c>
      <c r="Q428" s="54">
        <f>IF($B428=0,NA(),IF(Inputs!$B$26&lt;&gt;"Yes",NA(),Inputs!$D$26*Inputs!$C$35))</f>
        <v/>
      </c>
      <c r="R428" s="54">
        <f>IF($B428=0,NA(),IF(Inputs!$B$27&lt;&gt;"Yes",NA(),Inputs!$D$27*Inputs!$C$35))</f>
        <v/>
      </c>
      <c r="S428" s="54">
        <f>IF($B428=0,NA(),IF(Inputs!$B$28&lt;&gt;"Yes",NA(),Inputs!$D$28*Inputs!$C$35))</f>
        <v/>
      </c>
      <c r="T428" s="54">
        <f>IF($B428=0,NA(),IF(Inputs!$B$29&lt;&gt;"Yes",NA(),Inputs!$D$29*Inputs!$C$35))</f>
        <v/>
      </c>
      <c r="AD428">
        <f>IF($B428=0,0,IF(Inputs!$B$6="",0,COUNTIFS(Data!$A$10:$A$3209,"&gt;="&amp;$A428,Data!$A$10:$A$3209,"&lt;"&amp;$A428+1)))</f>
        <v/>
      </c>
      <c r="AE428">
        <f>IF($B428=0,0,IF(Inputs!$B$7="",0,COUNTIFS(Data!$E$10:$E$3209,"&gt;="&amp;$A428,Data!$E$10:$E$3209,"&lt;"&amp;$A428+1)))</f>
        <v/>
      </c>
      <c r="AF428">
        <f>IF($B428=0,0,IF(Inputs!$B$8="",0,COUNTIFS(Data!$I$10:$I$3209,"&gt;="&amp;$A428,Data!$I$10:$I$3209,"&lt;"&amp;$A428+1)))</f>
        <v/>
      </c>
      <c r="AG428">
        <f>IF($B428=0,0,IF(Inputs!$B$9="",0,COUNTIFS(Data!$M$10:$M$3209,"&gt;="&amp;$A428,Data!$M$10:$M$3209,"&lt;"&amp;$A428+1)))</f>
        <v/>
      </c>
      <c r="AH428">
        <f>IF($B428=0,0,IF(Inputs!$B$10="",0,COUNTIFS(Data!$Q$10:$Q$3209,"&gt;="&amp;$A428,Data!$Q$10:$Q$3209,"&lt;"&amp;$A428+1)))</f>
        <v/>
      </c>
    </row>
    <row r="429">
      <c r="A429" s="55">
        <f>MIN(Inputs!$C$15,$A428+IF(WEEKDAY($A428,2)=5,3,1))</f>
        <v/>
      </c>
      <c r="B429">
        <f>IF($A429&gt;$A428,1,0)</f>
        <v/>
      </c>
      <c r="C429" s="56">
        <f>IF($B429=0,"",IF(Inputs!$B$6="","",IF($AD429=0,C428,SUMIFS(Data!$B$10:$B$3209,Data!$A$10:$A$3209,"&gt;="&amp;$A429,Data!$A$10:$A$3209,"&lt;"&amp;$A429+1)/$AD429)))</f>
        <v/>
      </c>
      <c r="D429" s="56">
        <f>IF($B429=0,"",IF(Inputs!$B$7="","",IF($AE429=0,D428,SUMIFS(Data!$F$10:$F$3209,Data!$E$10:$E$3209,"&gt;="&amp;$A429,Data!$E$10:$E$3209,"&lt;"&amp;$A429+1)/$AE429)))</f>
        <v/>
      </c>
      <c r="E429" s="56">
        <f>IF($B429=0,"",IF(Inputs!$B$8="","",IF($AF429=0,E428,SUMIFS(Data!$J$10:$J$3209,Data!$I$10:$I$3209,"&gt;="&amp;$A429,Data!$I$10:$I$3209,"&lt;"&amp;$A429+1)/$AF429)))</f>
        <v/>
      </c>
      <c r="F429" s="56">
        <f>IF($B429=0,"",IF(Inputs!$B$9="","",IF($AG429=0,F428,SUMIFS(Data!$N$10:$N$3209,Data!$M$10:$M$3209,"&gt;="&amp;$A429,Data!$M$10:$M$3209,"&lt;"&amp;$A429+1)/$AG429)))</f>
        <v/>
      </c>
      <c r="G429" s="56">
        <f>IF($B429=0,"",IF(Inputs!$B$10="","",IF($AH429=0,G428,SUMIFS(Data!$R$10:$R$3209,Data!$Q$10:$Q$3209,"&gt;="&amp;$A429,Data!$Q$10:$Q$3209,"&lt;"&amp;$A429+1)/$AH429)))</f>
        <v/>
      </c>
      <c r="I429" s="54">
        <f>IF($B429=0,NA(),IF($C429="",NA(),IF(C$8="",NA(),IF(N(C$8)=0,NA(),IF(Inputs!$C$17="Rebased to 100",$C429/C$8*100,$C429)))))</f>
        <v/>
      </c>
      <c r="J429" s="54">
        <f>IF($B429=0,NA(),IF($D429="",NA(),IF(D$8="",NA(),IF(N(D$8)=0,NA(),IF(Inputs!$C$17="Rebased to 100",$D429/D$8*100,$D429)))))</f>
        <v/>
      </c>
      <c r="K429" s="54">
        <f>IF($B429=0,NA(),IF($E429="",NA(),IF(E$8="",NA(),IF(N(E$8)=0,NA(),IF(Inputs!$C$17="Rebased to 100",$E429/E$8*100,$E429)))))</f>
        <v/>
      </c>
      <c r="L429" s="54">
        <f>IF($B429=0,NA(),IF($F429="",NA(),IF(F$8="",NA(),IF(N(F$8)=0,NA(),IF(Inputs!$C$17="Rebased to 100",$F429/F$8*100,$F429)))))</f>
        <v/>
      </c>
      <c r="M429" s="54">
        <f>IF($B429=0,NA(),IF($G429="",NA(),IF(G$8="",NA(),IF(N(G$8)=0,NA(),IF(Inputs!$C$17="Rebased to 100",$G429/G$8*100,$G429)))))</f>
        <v/>
      </c>
      <c r="N429" s="54">
        <f>IF($B429=0,NA(),IF(Inputs!$C$18&lt;&gt;"Yes",NA(),IF(COUNT(I429,J429,K429,L429,M429)=0,NA(),MIN(I429,J429,K429,L429,M429))))</f>
        <v/>
      </c>
      <c r="O429" s="54">
        <f>IF($B429=0,NA(),IF(Inputs!$B$24&lt;&gt;"Yes",NA(),Inputs!$D$24*Inputs!$C$35))</f>
        <v/>
      </c>
      <c r="P429" s="54">
        <f>IF($B429=0,NA(),IF(Inputs!$B$25&lt;&gt;"Yes",NA(),Inputs!$D$25*Inputs!$C$35))</f>
        <v/>
      </c>
      <c r="Q429" s="54">
        <f>IF($B429=0,NA(),IF(Inputs!$B$26&lt;&gt;"Yes",NA(),Inputs!$D$26*Inputs!$C$35))</f>
        <v/>
      </c>
      <c r="R429" s="54">
        <f>IF($B429=0,NA(),IF(Inputs!$B$27&lt;&gt;"Yes",NA(),Inputs!$D$27*Inputs!$C$35))</f>
        <v/>
      </c>
      <c r="S429" s="54">
        <f>IF($B429=0,NA(),IF(Inputs!$B$28&lt;&gt;"Yes",NA(),Inputs!$D$28*Inputs!$C$35))</f>
        <v/>
      </c>
      <c r="T429" s="54">
        <f>IF($B429=0,NA(),IF(Inputs!$B$29&lt;&gt;"Yes",NA(),Inputs!$D$29*Inputs!$C$35))</f>
        <v/>
      </c>
      <c r="AD429">
        <f>IF($B429=0,0,IF(Inputs!$B$6="",0,COUNTIFS(Data!$A$10:$A$3209,"&gt;="&amp;$A429,Data!$A$10:$A$3209,"&lt;"&amp;$A429+1)))</f>
        <v/>
      </c>
      <c r="AE429">
        <f>IF($B429=0,0,IF(Inputs!$B$7="",0,COUNTIFS(Data!$E$10:$E$3209,"&gt;="&amp;$A429,Data!$E$10:$E$3209,"&lt;"&amp;$A429+1)))</f>
        <v/>
      </c>
      <c r="AF429">
        <f>IF($B429=0,0,IF(Inputs!$B$8="",0,COUNTIFS(Data!$I$10:$I$3209,"&gt;="&amp;$A429,Data!$I$10:$I$3209,"&lt;"&amp;$A429+1)))</f>
        <v/>
      </c>
      <c r="AG429">
        <f>IF($B429=0,0,IF(Inputs!$B$9="",0,COUNTIFS(Data!$M$10:$M$3209,"&gt;="&amp;$A429,Data!$M$10:$M$3209,"&lt;"&amp;$A429+1)))</f>
        <v/>
      </c>
      <c r="AH429">
        <f>IF($B429=0,0,IF(Inputs!$B$10="",0,COUNTIFS(Data!$Q$10:$Q$3209,"&gt;="&amp;$A429,Data!$Q$10:$Q$3209,"&lt;"&amp;$A429+1)))</f>
        <v/>
      </c>
    </row>
    <row r="430">
      <c r="A430" s="55">
        <f>MIN(Inputs!$C$15,$A429+IF(WEEKDAY($A429,2)=5,3,1))</f>
        <v/>
      </c>
      <c r="B430">
        <f>IF($A430&gt;$A429,1,0)</f>
        <v/>
      </c>
      <c r="C430" s="56">
        <f>IF($B430=0,"",IF(Inputs!$B$6="","",IF($AD430=0,C429,SUMIFS(Data!$B$10:$B$3209,Data!$A$10:$A$3209,"&gt;="&amp;$A430,Data!$A$10:$A$3209,"&lt;"&amp;$A430+1)/$AD430)))</f>
        <v/>
      </c>
      <c r="D430" s="56">
        <f>IF($B430=0,"",IF(Inputs!$B$7="","",IF($AE430=0,D429,SUMIFS(Data!$F$10:$F$3209,Data!$E$10:$E$3209,"&gt;="&amp;$A430,Data!$E$10:$E$3209,"&lt;"&amp;$A430+1)/$AE430)))</f>
        <v/>
      </c>
      <c r="E430" s="56">
        <f>IF($B430=0,"",IF(Inputs!$B$8="","",IF($AF430=0,E429,SUMIFS(Data!$J$10:$J$3209,Data!$I$10:$I$3209,"&gt;="&amp;$A430,Data!$I$10:$I$3209,"&lt;"&amp;$A430+1)/$AF430)))</f>
        <v/>
      </c>
      <c r="F430" s="56">
        <f>IF($B430=0,"",IF(Inputs!$B$9="","",IF($AG430=0,F429,SUMIFS(Data!$N$10:$N$3209,Data!$M$10:$M$3209,"&gt;="&amp;$A430,Data!$M$10:$M$3209,"&lt;"&amp;$A430+1)/$AG430)))</f>
        <v/>
      </c>
      <c r="G430" s="56">
        <f>IF($B430=0,"",IF(Inputs!$B$10="","",IF($AH430=0,G429,SUMIFS(Data!$R$10:$R$3209,Data!$Q$10:$Q$3209,"&gt;="&amp;$A430,Data!$Q$10:$Q$3209,"&lt;"&amp;$A430+1)/$AH430)))</f>
        <v/>
      </c>
      <c r="I430" s="54">
        <f>IF($B430=0,NA(),IF($C430="",NA(),IF(C$8="",NA(),IF(N(C$8)=0,NA(),IF(Inputs!$C$17="Rebased to 100",$C430/C$8*100,$C430)))))</f>
        <v/>
      </c>
      <c r="J430" s="54">
        <f>IF($B430=0,NA(),IF($D430="",NA(),IF(D$8="",NA(),IF(N(D$8)=0,NA(),IF(Inputs!$C$17="Rebased to 100",$D430/D$8*100,$D430)))))</f>
        <v/>
      </c>
      <c r="K430" s="54">
        <f>IF($B430=0,NA(),IF($E430="",NA(),IF(E$8="",NA(),IF(N(E$8)=0,NA(),IF(Inputs!$C$17="Rebased to 100",$E430/E$8*100,$E430)))))</f>
        <v/>
      </c>
      <c r="L430" s="54">
        <f>IF($B430=0,NA(),IF($F430="",NA(),IF(F$8="",NA(),IF(N(F$8)=0,NA(),IF(Inputs!$C$17="Rebased to 100",$F430/F$8*100,$F430)))))</f>
        <v/>
      </c>
      <c r="M430" s="54">
        <f>IF($B430=0,NA(),IF($G430="",NA(),IF(G$8="",NA(),IF(N(G$8)=0,NA(),IF(Inputs!$C$17="Rebased to 100",$G430/G$8*100,$G430)))))</f>
        <v/>
      </c>
      <c r="N430" s="54">
        <f>IF($B430=0,NA(),IF(Inputs!$C$18&lt;&gt;"Yes",NA(),IF(COUNT(I430,J430,K430,L430,M430)=0,NA(),MIN(I430,J430,K430,L430,M430))))</f>
        <v/>
      </c>
      <c r="O430" s="54">
        <f>IF($B430=0,NA(),IF(Inputs!$B$24&lt;&gt;"Yes",NA(),Inputs!$D$24*Inputs!$C$35))</f>
        <v/>
      </c>
      <c r="P430" s="54">
        <f>IF($B430=0,NA(),IF(Inputs!$B$25&lt;&gt;"Yes",NA(),Inputs!$D$25*Inputs!$C$35))</f>
        <v/>
      </c>
      <c r="Q430" s="54">
        <f>IF($B430=0,NA(),IF(Inputs!$B$26&lt;&gt;"Yes",NA(),Inputs!$D$26*Inputs!$C$35))</f>
        <v/>
      </c>
      <c r="R430" s="54">
        <f>IF($B430=0,NA(),IF(Inputs!$B$27&lt;&gt;"Yes",NA(),Inputs!$D$27*Inputs!$C$35))</f>
        <v/>
      </c>
      <c r="S430" s="54">
        <f>IF($B430=0,NA(),IF(Inputs!$B$28&lt;&gt;"Yes",NA(),Inputs!$D$28*Inputs!$C$35))</f>
        <v/>
      </c>
      <c r="T430" s="54">
        <f>IF($B430=0,NA(),IF(Inputs!$B$29&lt;&gt;"Yes",NA(),Inputs!$D$29*Inputs!$C$35))</f>
        <v/>
      </c>
      <c r="AD430">
        <f>IF($B430=0,0,IF(Inputs!$B$6="",0,COUNTIFS(Data!$A$10:$A$3209,"&gt;="&amp;$A430,Data!$A$10:$A$3209,"&lt;"&amp;$A430+1)))</f>
        <v/>
      </c>
      <c r="AE430">
        <f>IF($B430=0,0,IF(Inputs!$B$7="",0,COUNTIFS(Data!$E$10:$E$3209,"&gt;="&amp;$A430,Data!$E$10:$E$3209,"&lt;"&amp;$A430+1)))</f>
        <v/>
      </c>
      <c r="AF430">
        <f>IF($B430=0,0,IF(Inputs!$B$8="",0,COUNTIFS(Data!$I$10:$I$3209,"&gt;="&amp;$A430,Data!$I$10:$I$3209,"&lt;"&amp;$A430+1)))</f>
        <v/>
      </c>
      <c r="AG430">
        <f>IF($B430=0,0,IF(Inputs!$B$9="",0,COUNTIFS(Data!$M$10:$M$3209,"&gt;="&amp;$A430,Data!$M$10:$M$3209,"&lt;"&amp;$A430+1)))</f>
        <v/>
      </c>
      <c r="AH430">
        <f>IF($B430=0,0,IF(Inputs!$B$10="",0,COUNTIFS(Data!$Q$10:$Q$3209,"&gt;="&amp;$A430,Data!$Q$10:$Q$3209,"&lt;"&amp;$A430+1)))</f>
        <v/>
      </c>
    </row>
    <row r="431">
      <c r="A431" s="55">
        <f>MIN(Inputs!$C$15,$A430+IF(WEEKDAY($A430,2)=5,3,1))</f>
        <v/>
      </c>
      <c r="B431">
        <f>IF($A431&gt;$A430,1,0)</f>
        <v/>
      </c>
      <c r="C431" s="56">
        <f>IF($B431=0,"",IF(Inputs!$B$6="","",IF($AD431=0,C430,SUMIFS(Data!$B$10:$B$3209,Data!$A$10:$A$3209,"&gt;="&amp;$A431,Data!$A$10:$A$3209,"&lt;"&amp;$A431+1)/$AD431)))</f>
        <v/>
      </c>
      <c r="D431" s="56">
        <f>IF($B431=0,"",IF(Inputs!$B$7="","",IF($AE431=0,D430,SUMIFS(Data!$F$10:$F$3209,Data!$E$10:$E$3209,"&gt;="&amp;$A431,Data!$E$10:$E$3209,"&lt;"&amp;$A431+1)/$AE431)))</f>
        <v/>
      </c>
      <c r="E431" s="56">
        <f>IF($B431=0,"",IF(Inputs!$B$8="","",IF($AF431=0,E430,SUMIFS(Data!$J$10:$J$3209,Data!$I$10:$I$3209,"&gt;="&amp;$A431,Data!$I$10:$I$3209,"&lt;"&amp;$A431+1)/$AF431)))</f>
        <v/>
      </c>
      <c r="F431" s="56">
        <f>IF($B431=0,"",IF(Inputs!$B$9="","",IF($AG431=0,F430,SUMIFS(Data!$N$10:$N$3209,Data!$M$10:$M$3209,"&gt;="&amp;$A431,Data!$M$10:$M$3209,"&lt;"&amp;$A431+1)/$AG431)))</f>
        <v/>
      </c>
      <c r="G431" s="56">
        <f>IF($B431=0,"",IF(Inputs!$B$10="","",IF($AH431=0,G430,SUMIFS(Data!$R$10:$R$3209,Data!$Q$10:$Q$3209,"&gt;="&amp;$A431,Data!$Q$10:$Q$3209,"&lt;"&amp;$A431+1)/$AH431)))</f>
        <v/>
      </c>
      <c r="I431" s="54">
        <f>IF($B431=0,NA(),IF($C431="",NA(),IF(C$8="",NA(),IF(N(C$8)=0,NA(),IF(Inputs!$C$17="Rebased to 100",$C431/C$8*100,$C431)))))</f>
        <v/>
      </c>
      <c r="J431" s="54">
        <f>IF($B431=0,NA(),IF($D431="",NA(),IF(D$8="",NA(),IF(N(D$8)=0,NA(),IF(Inputs!$C$17="Rebased to 100",$D431/D$8*100,$D431)))))</f>
        <v/>
      </c>
      <c r="K431" s="54">
        <f>IF($B431=0,NA(),IF($E431="",NA(),IF(E$8="",NA(),IF(N(E$8)=0,NA(),IF(Inputs!$C$17="Rebased to 100",$E431/E$8*100,$E431)))))</f>
        <v/>
      </c>
      <c r="L431" s="54">
        <f>IF($B431=0,NA(),IF($F431="",NA(),IF(F$8="",NA(),IF(N(F$8)=0,NA(),IF(Inputs!$C$17="Rebased to 100",$F431/F$8*100,$F431)))))</f>
        <v/>
      </c>
      <c r="M431" s="54">
        <f>IF($B431=0,NA(),IF($G431="",NA(),IF(G$8="",NA(),IF(N(G$8)=0,NA(),IF(Inputs!$C$17="Rebased to 100",$G431/G$8*100,$G431)))))</f>
        <v/>
      </c>
      <c r="N431" s="54">
        <f>IF($B431=0,NA(),IF(Inputs!$C$18&lt;&gt;"Yes",NA(),IF(COUNT(I431,J431,K431,L431,M431)=0,NA(),MIN(I431,J431,K431,L431,M431))))</f>
        <v/>
      </c>
      <c r="O431" s="54">
        <f>IF($B431=0,NA(),IF(Inputs!$B$24&lt;&gt;"Yes",NA(),Inputs!$D$24*Inputs!$C$35))</f>
        <v/>
      </c>
      <c r="P431" s="54">
        <f>IF($B431=0,NA(),IF(Inputs!$B$25&lt;&gt;"Yes",NA(),Inputs!$D$25*Inputs!$C$35))</f>
        <v/>
      </c>
      <c r="Q431" s="54">
        <f>IF($B431=0,NA(),IF(Inputs!$B$26&lt;&gt;"Yes",NA(),Inputs!$D$26*Inputs!$C$35))</f>
        <v/>
      </c>
      <c r="R431" s="54">
        <f>IF($B431=0,NA(),IF(Inputs!$B$27&lt;&gt;"Yes",NA(),Inputs!$D$27*Inputs!$C$35))</f>
        <v/>
      </c>
      <c r="S431" s="54">
        <f>IF($B431=0,NA(),IF(Inputs!$B$28&lt;&gt;"Yes",NA(),Inputs!$D$28*Inputs!$C$35))</f>
        <v/>
      </c>
      <c r="T431" s="54">
        <f>IF($B431=0,NA(),IF(Inputs!$B$29&lt;&gt;"Yes",NA(),Inputs!$D$29*Inputs!$C$35))</f>
        <v/>
      </c>
      <c r="AD431">
        <f>IF($B431=0,0,IF(Inputs!$B$6="",0,COUNTIFS(Data!$A$10:$A$3209,"&gt;="&amp;$A431,Data!$A$10:$A$3209,"&lt;"&amp;$A431+1)))</f>
        <v/>
      </c>
      <c r="AE431">
        <f>IF($B431=0,0,IF(Inputs!$B$7="",0,COUNTIFS(Data!$E$10:$E$3209,"&gt;="&amp;$A431,Data!$E$10:$E$3209,"&lt;"&amp;$A431+1)))</f>
        <v/>
      </c>
      <c r="AF431">
        <f>IF($B431=0,0,IF(Inputs!$B$8="",0,COUNTIFS(Data!$I$10:$I$3209,"&gt;="&amp;$A431,Data!$I$10:$I$3209,"&lt;"&amp;$A431+1)))</f>
        <v/>
      </c>
      <c r="AG431">
        <f>IF($B431=0,0,IF(Inputs!$B$9="",0,COUNTIFS(Data!$M$10:$M$3209,"&gt;="&amp;$A431,Data!$M$10:$M$3209,"&lt;"&amp;$A431+1)))</f>
        <v/>
      </c>
      <c r="AH431">
        <f>IF($B431=0,0,IF(Inputs!$B$10="",0,COUNTIFS(Data!$Q$10:$Q$3209,"&gt;="&amp;$A431,Data!$Q$10:$Q$3209,"&lt;"&amp;$A431+1)))</f>
        <v/>
      </c>
    </row>
    <row r="432">
      <c r="A432" s="55">
        <f>MIN(Inputs!$C$15,$A431+IF(WEEKDAY($A431,2)=5,3,1))</f>
        <v/>
      </c>
      <c r="B432">
        <f>IF($A432&gt;$A431,1,0)</f>
        <v/>
      </c>
      <c r="C432" s="56">
        <f>IF($B432=0,"",IF(Inputs!$B$6="","",IF($AD432=0,C431,SUMIFS(Data!$B$10:$B$3209,Data!$A$10:$A$3209,"&gt;="&amp;$A432,Data!$A$10:$A$3209,"&lt;"&amp;$A432+1)/$AD432)))</f>
        <v/>
      </c>
      <c r="D432" s="56">
        <f>IF($B432=0,"",IF(Inputs!$B$7="","",IF($AE432=0,D431,SUMIFS(Data!$F$10:$F$3209,Data!$E$10:$E$3209,"&gt;="&amp;$A432,Data!$E$10:$E$3209,"&lt;"&amp;$A432+1)/$AE432)))</f>
        <v/>
      </c>
      <c r="E432" s="56">
        <f>IF($B432=0,"",IF(Inputs!$B$8="","",IF($AF432=0,E431,SUMIFS(Data!$J$10:$J$3209,Data!$I$10:$I$3209,"&gt;="&amp;$A432,Data!$I$10:$I$3209,"&lt;"&amp;$A432+1)/$AF432)))</f>
        <v/>
      </c>
      <c r="F432" s="56">
        <f>IF($B432=0,"",IF(Inputs!$B$9="","",IF($AG432=0,F431,SUMIFS(Data!$N$10:$N$3209,Data!$M$10:$M$3209,"&gt;="&amp;$A432,Data!$M$10:$M$3209,"&lt;"&amp;$A432+1)/$AG432)))</f>
        <v/>
      </c>
      <c r="G432" s="56">
        <f>IF($B432=0,"",IF(Inputs!$B$10="","",IF($AH432=0,G431,SUMIFS(Data!$R$10:$R$3209,Data!$Q$10:$Q$3209,"&gt;="&amp;$A432,Data!$Q$10:$Q$3209,"&lt;"&amp;$A432+1)/$AH432)))</f>
        <v/>
      </c>
      <c r="I432" s="54">
        <f>IF($B432=0,NA(),IF($C432="",NA(),IF(C$8="",NA(),IF(N(C$8)=0,NA(),IF(Inputs!$C$17="Rebased to 100",$C432/C$8*100,$C432)))))</f>
        <v/>
      </c>
      <c r="J432" s="54">
        <f>IF($B432=0,NA(),IF($D432="",NA(),IF(D$8="",NA(),IF(N(D$8)=0,NA(),IF(Inputs!$C$17="Rebased to 100",$D432/D$8*100,$D432)))))</f>
        <v/>
      </c>
      <c r="K432" s="54">
        <f>IF($B432=0,NA(),IF($E432="",NA(),IF(E$8="",NA(),IF(N(E$8)=0,NA(),IF(Inputs!$C$17="Rebased to 100",$E432/E$8*100,$E432)))))</f>
        <v/>
      </c>
      <c r="L432" s="54">
        <f>IF($B432=0,NA(),IF($F432="",NA(),IF(F$8="",NA(),IF(N(F$8)=0,NA(),IF(Inputs!$C$17="Rebased to 100",$F432/F$8*100,$F432)))))</f>
        <v/>
      </c>
      <c r="M432" s="54">
        <f>IF($B432=0,NA(),IF($G432="",NA(),IF(G$8="",NA(),IF(N(G$8)=0,NA(),IF(Inputs!$C$17="Rebased to 100",$G432/G$8*100,$G432)))))</f>
        <v/>
      </c>
      <c r="N432" s="54">
        <f>IF($B432=0,NA(),IF(Inputs!$C$18&lt;&gt;"Yes",NA(),IF(COUNT(I432,J432,K432,L432,M432)=0,NA(),MIN(I432,J432,K432,L432,M432))))</f>
        <v/>
      </c>
      <c r="O432" s="54">
        <f>IF($B432=0,NA(),IF(Inputs!$B$24&lt;&gt;"Yes",NA(),Inputs!$D$24*Inputs!$C$35))</f>
        <v/>
      </c>
      <c r="P432" s="54">
        <f>IF($B432=0,NA(),IF(Inputs!$B$25&lt;&gt;"Yes",NA(),Inputs!$D$25*Inputs!$C$35))</f>
        <v/>
      </c>
      <c r="Q432" s="54">
        <f>IF($B432=0,NA(),IF(Inputs!$B$26&lt;&gt;"Yes",NA(),Inputs!$D$26*Inputs!$C$35))</f>
        <v/>
      </c>
      <c r="R432" s="54">
        <f>IF($B432=0,NA(),IF(Inputs!$B$27&lt;&gt;"Yes",NA(),Inputs!$D$27*Inputs!$C$35))</f>
        <v/>
      </c>
      <c r="S432" s="54">
        <f>IF($B432=0,NA(),IF(Inputs!$B$28&lt;&gt;"Yes",NA(),Inputs!$D$28*Inputs!$C$35))</f>
        <v/>
      </c>
      <c r="T432" s="54">
        <f>IF($B432=0,NA(),IF(Inputs!$B$29&lt;&gt;"Yes",NA(),Inputs!$D$29*Inputs!$C$35))</f>
        <v/>
      </c>
      <c r="AD432">
        <f>IF($B432=0,0,IF(Inputs!$B$6="",0,COUNTIFS(Data!$A$10:$A$3209,"&gt;="&amp;$A432,Data!$A$10:$A$3209,"&lt;"&amp;$A432+1)))</f>
        <v/>
      </c>
      <c r="AE432">
        <f>IF($B432=0,0,IF(Inputs!$B$7="",0,COUNTIFS(Data!$E$10:$E$3209,"&gt;="&amp;$A432,Data!$E$10:$E$3209,"&lt;"&amp;$A432+1)))</f>
        <v/>
      </c>
      <c r="AF432">
        <f>IF($B432=0,0,IF(Inputs!$B$8="",0,COUNTIFS(Data!$I$10:$I$3209,"&gt;="&amp;$A432,Data!$I$10:$I$3209,"&lt;"&amp;$A432+1)))</f>
        <v/>
      </c>
      <c r="AG432">
        <f>IF($B432=0,0,IF(Inputs!$B$9="",0,COUNTIFS(Data!$M$10:$M$3209,"&gt;="&amp;$A432,Data!$M$10:$M$3209,"&lt;"&amp;$A432+1)))</f>
        <v/>
      </c>
      <c r="AH432">
        <f>IF($B432=0,0,IF(Inputs!$B$10="",0,COUNTIFS(Data!$Q$10:$Q$3209,"&gt;="&amp;$A432,Data!$Q$10:$Q$3209,"&lt;"&amp;$A432+1)))</f>
        <v/>
      </c>
    </row>
    <row r="433">
      <c r="A433" s="55">
        <f>MIN(Inputs!$C$15,$A432+IF(WEEKDAY($A432,2)=5,3,1))</f>
        <v/>
      </c>
      <c r="B433">
        <f>IF($A433&gt;$A432,1,0)</f>
        <v/>
      </c>
      <c r="C433" s="56">
        <f>IF($B433=0,"",IF(Inputs!$B$6="","",IF($AD433=0,C432,SUMIFS(Data!$B$10:$B$3209,Data!$A$10:$A$3209,"&gt;="&amp;$A433,Data!$A$10:$A$3209,"&lt;"&amp;$A433+1)/$AD433)))</f>
        <v/>
      </c>
      <c r="D433" s="56">
        <f>IF($B433=0,"",IF(Inputs!$B$7="","",IF($AE433=0,D432,SUMIFS(Data!$F$10:$F$3209,Data!$E$10:$E$3209,"&gt;="&amp;$A433,Data!$E$10:$E$3209,"&lt;"&amp;$A433+1)/$AE433)))</f>
        <v/>
      </c>
      <c r="E433" s="56">
        <f>IF($B433=0,"",IF(Inputs!$B$8="","",IF($AF433=0,E432,SUMIFS(Data!$J$10:$J$3209,Data!$I$10:$I$3209,"&gt;="&amp;$A433,Data!$I$10:$I$3209,"&lt;"&amp;$A433+1)/$AF433)))</f>
        <v/>
      </c>
      <c r="F433" s="56">
        <f>IF($B433=0,"",IF(Inputs!$B$9="","",IF($AG433=0,F432,SUMIFS(Data!$N$10:$N$3209,Data!$M$10:$M$3209,"&gt;="&amp;$A433,Data!$M$10:$M$3209,"&lt;"&amp;$A433+1)/$AG433)))</f>
        <v/>
      </c>
      <c r="G433" s="56">
        <f>IF($B433=0,"",IF(Inputs!$B$10="","",IF($AH433=0,G432,SUMIFS(Data!$R$10:$R$3209,Data!$Q$10:$Q$3209,"&gt;="&amp;$A433,Data!$Q$10:$Q$3209,"&lt;"&amp;$A433+1)/$AH433)))</f>
        <v/>
      </c>
      <c r="I433" s="54">
        <f>IF($B433=0,NA(),IF($C433="",NA(),IF(C$8="",NA(),IF(N(C$8)=0,NA(),IF(Inputs!$C$17="Rebased to 100",$C433/C$8*100,$C433)))))</f>
        <v/>
      </c>
      <c r="J433" s="54">
        <f>IF($B433=0,NA(),IF($D433="",NA(),IF(D$8="",NA(),IF(N(D$8)=0,NA(),IF(Inputs!$C$17="Rebased to 100",$D433/D$8*100,$D433)))))</f>
        <v/>
      </c>
      <c r="K433" s="54">
        <f>IF($B433=0,NA(),IF($E433="",NA(),IF(E$8="",NA(),IF(N(E$8)=0,NA(),IF(Inputs!$C$17="Rebased to 100",$E433/E$8*100,$E433)))))</f>
        <v/>
      </c>
      <c r="L433" s="54">
        <f>IF($B433=0,NA(),IF($F433="",NA(),IF(F$8="",NA(),IF(N(F$8)=0,NA(),IF(Inputs!$C$17="Rebased to 100",$F433/F$8*100,$F433)))))</f>
        <v/>
      </c>
      <c r="M433" s="54">
        <f>IF($B433=0,NA(),IF($G433="",NA(),IF(G$8="",NA(),IF(N(G$8)=0,NA(),IF(Inputs!$C$17="Rebased to 100",$G433/G$8*100,$G433)))))</f>
        <v/>
      </c>
      <c r="N433" s="54">
        <f>IF($B433=0,NA(),IF(Inputs!$C$18&lt;&gt;"Yes",NA(),IF(COUNT(I433,J433,K433,L433,M433)=0,NA(),MIN(I433,J433,K433,L433,M433))))</f>
        <v/>
      </c>
      <c r="O433" s="54">
        <f>IF($B433=0,NA(),IF(Inputs!$B$24&lt;&gt;"Yes",NA(),Inputs!$D$24*Inputs!$C$35))</f>
        <v/>
      </c>
      <c r="P433" s="54">
        <f>IF($B433=0,NA(),IF(Inputs!$B$25&lt;&gt;"Yes",NA(),Inputs!$D$25*Inputs!$C$35))</f>
        <v/>
      </c>
      <c r="Q433" s="54">
        <f>IF($B433=0,NA(),IF(Inputs!$B$26&lt;&gt;"Yes",NA(),Inputs!$D$26*Inputs!$C$35))</f>
        <v/>
      </c>
      <c r="R433" s="54">
        <f>IF($B433=0,NA(),IF(Inputs!$B$27&lt;&gt;"Yes",NA(),Inputs!$D$27*Inputs!$C$35))</f>
        <v/>
      </c>
      <c r="S433" s="54">
        <f>IF($B433=0,NA(),IF(Inputs!$B$28&lt;&gt;"Yes",NA(),Inputs!$D$28*Inputs!$C$35))</f>
        <v/>
      </c>
      <c r="T433" s="54">
        <f>IF($B433=0,NA(),IF(Inputs!$B$29&lt;&gt;"Yes",NA(),Inputs!$D$29*Inputs!$C$35))</f>
        <v/>
      </c>
      <c r="AD433">
        <f>IF($B433=0,0,IF(Inputs!$B$6="",0,COUNTIFS(Data!$A$10:$A$3209,"&gt;="&amp;$A433,Data!$A$10:$A$3209,"&lt;"&amp;$A433+1)))</f>
        <v/>
      </c>
      <c r="AE433">
        <f>IF($B433=0,0,IF(Inputs!$B$7="",0,COUNTIFS(Data!$E$10:$E$3209,"&gt;="&amp;$A433,Data!$E$10:$E$3209,"&lt;"&amp;$A433+1)))</f>
        <v/>
      </c>
      <c r="AF433">
        <f>IF($B433=0,0,IF(Inputs!$B$8="",0,COUNTIFS(Data!$I$10:$I$3209,"&gt;="&amp;$A433,Data!$I$10:$I$3209,"&lt;"&amp;$A433+1)))</f>
        <v/>
      </c>
      <c r="AG433">
        <f>IF($B433=0,0,IF(Inputs!$B$9="",0,COUNTIFS(Data!$M$10:$M$3209,"&gt;="&amp;$A433,Data!$M$10:$M$3209,"&lt;"&amp;$A433+1)))</f>
        <v/>
      </c>
      <c r="AH433">
        <f>IF($B433=0,0,IF(Inputs!$B$10="",0,COUNTIFS(Data!$Q$10:$Q$3209,"&gt;="&amp;$A433,Data!$Q$10:$Q$3209,"&lt;"&amp;$A433+1)))</f>
        <v/>
      </c>
    </row>
    <row r="434">
      <c r="A434" s="55">
        <f>MIN(Inputs!$C$15,$A433+IF(WEEKDAY($A433,2)=5,3,1))</f>
        <v/>
      </c>
      <c r="B434">
        <f>IF($A434&gt;$A433,1,0)</f>
        <v/>
      </c>
      <c r="C434" s="56">
        <f>IF($B434=0,"",IF(Inputs!$B$6="","",IF($AD434=0,C433,SUMIFS(Data!$B$10:$B$3209,Data!$A$10:$A$3209,"&gt;="&amp;$A434,Data!$A$10:$A$3209,"&lt;"&amp;$A434+1)/$AD434)))</f>
        <v/>
      </c>
      <c r="D434" s="56">
        <f>IF($B434=0,"",IF(Inputs!$B$7="","",IF($AE434=0,D433,SUMIFS(Data!$F$10:$F$3209,Data!$E$10:$E$3209,"&gt;="&amp;$A434,Data!$E$10:$E$3209,"&lt;"&amp;$A434+1)/$AE434)))</f>
        <v/>
      </c>
      <c r="E434" s="56">
        <f>IF($B434=0,"",IF(Inputs!$B$8="","",IF($AF434=0,E433,SUMIFS(Data!$J$10:$J$3209,Data!$I$10:$I$3209,"&gt;="&amp;$A434,Data!$I$10:$I$3209,"&lt;"&amp;$A434+1)/$AF434)))</f>
        <v/>
      </c>
      <c r="F434" s="56">
        <f>IF($B434=0,"",IF(Inputs!$B$9="","",IF($AG434=0,F433,SUMIFS(Data!$N$10:$N$3209,Data!$M$10:$M$3209,"&gt;="&amp;$A434,Data!$M$10:$M$3209,"&lt;"&amp;$A434+1)/$AG434)))</f>
        <v/>
      </c>
      <c r="G434" s="56">
        <f>IF($B434=0,"",IF(Inputs!$B$10="","",IF($AH434=0,G433,SUMIFS(Data!$R$10:$R$3209,Data!$Q$10:$Q$3209,"&gt;="&amp;$A434,Data!$Q$10:$Q$3209,"&lt;"&amp;$A434+1)/$AH434)))</f>
        <v/>
      </c>
      <c r="I434" s="54">
        <f>IF($B434=0,NA(),IF($C434="",NA(),IF(C$8="",NA(),IF(N(C$8)=0,NA(),IF(Inputs!$C$17="Rebased to 100",$C434/C$8*100,$C434)))))</f>
        <v/>
      </c>
      <c r="J434" s="54">
        <f>IF($B434=0,NA(),IF($D434="",NA(),IF(D$8="",NA(),IF(N(D$8)=0,NA(),IF(Inputs!$C$17="Rebased to 100",$D434/D$8*100,$D434)))))</f>
        <v/>
      </c>
      <c r="K434" s="54">
        <f>IF($B434=0,NA(),IF($E434="",NA(),IF(E$8="",NA(),IF(N(E$8)=0,NA(),IF(Inputs!$C$17="Rebased to 100",$E434/E$8*100,$E434)))))</f>
        <v/>
      </c>
      <c r="L434" s="54">
        <f>IF($B434=0,NA(),IF($F434="",NA(),IF(F$8="",NA(),IF(N(F$8)=0,NA(),IF(Inputs!$C$17="Rebased to 100",$F434/F$8*100,$F434)))))</f>
        <v/>
      </c>
      <c r="M434" s="54">
        <f>IF($B434=0,NA(),IF($G434="",NA(),IF(G$8="",NA(),IF(N(G$8)=0,NA(),IF(Inputs!$C$17="Rebased to 100",$G434/G$8*100,$G434)))))</f>
        <v/>
      </c>
      <c r="N434" s="54">
        <f>IF($B434=0,NA(),IF(Inputs!$C$18&lt;&gt;"Yes",NA(),IF(COUNT(I434,J434,K434,L434,M434)=0,NA(),MIN(I434,J434,K434,L434,M434))))</f>
        <v/>
      </c>
      <c r="O434" s="54">
        <f>IF($B434=0,NA(),IF(Inputs!$B$24&lt;&gt;"Yes",NA(),Inputs!$D$24*Inputs!$C$35))</f>
        <v/>
      </c>
      <c r="P434" s="54">
        <f>IF($B434=0,NA(),IF(Inputs!$B$25&lt;&gt;"Yes",NA(),Inputs!$D$25*Inputs!$C$35))</f>
        <v/>
      </c>
      <c r="Q434" s="54">
        <f>IF($B434=0,NA(),IF(Inputs!$B$26&lt;&gt;"Yes",NA(),Inputs!$D$26*Inputs!$C$35))</f>
        <v/>
      </c>
      <c r="R434" s="54">
        <f>IF($B434=0,NA(),IF(Inputs!$B$27&lt;&gt;"Yes",NA(),Inputs!$D$27*Inputs!$C$35))</f>
        <v/>
      </c>
      <c r="S434" s="54">
        <f>IF($B434=0,NA(),IF(Inputs!$B$28&lt;&gt;"Yes",NA(),Inputs!$D$28*Inputs!$C$35))</f>
        <v/>
      </c>
      <c r="T434" s="54">
        <f>IF($B434=0,NA(),IF(Inputs!$B$29&lt;&gt;"Yes",NA(),Inputs!$D$29*Inputs!$C$35))</f>
        <v/>
      </c>
      <c r="AD434">
        <f>IF($B434=0,0,IF(Inputs!$B$6="",0,COUNTIFS(Data!$A$10:$A$3209,"&gt;="&amp;$A434,Data!$A$10:$A$3209,"&lt;"&amp;$A434+1)))</f>
        <v/>
      </c>
      <c r="AE434">
        <f>IF($B434=0,0,IF(Inputs!$B$7="",0,COUNTIFS(Data!$E$10:$E$3209,"&gt;="&amp;$A434,Data!$E$10:$E$3209,"&lt;"&amp;$A434+1)))</f>
        <v/>
      </c>
      <c r="AF434">
        <f>IF($B434=0,0,IF(Inputs!$B$8="",0,COUNTIFS(Data!$I$10:$I$3209,"&gt;="&amp;$A434,Data!$I$10:$I$3209,"&lt;"&amp;$A434+1)))</f>
        <v/>
      </c>
      <c r="AG434">
        <f>IF($B434=0,0,IF(Inputs!$B$9="",0,COUNTIFS(Data!$M$10:$M$3209,"&gt;="&amp;$A434,Data!$M$10:$M$3209,"&lt;"&amp;$A434+1)))</f>
        <v/>
      </c>
      <c r="AH434">
        <f>IF($B434=0,0,IF(Inputs!$B$10="",0,COUNTIFS(Data!$Q$10:$Q$3209,"&gt;="&amp;$A434,Data!$Q$10:$Q$3209,"&lt;"&amp;$A434+1)))</f>
        <v/>
      </c>
    </row>
    <row r="435">
      <c r="A435" s="55">
        <f>MIN(Inputs!$C$15,$A434+IF(WEEKDAY($A434,2)=5,3,1))</f>
        <v/>
      </c>
      <c r="B435">
        <f>IF($A435&gt;$A434,1,0)</f>
        <v/>
      </c>
      <c r="C435" s="56">
        <f>IF($B435=0,"",IF(Inputs!$B$6="","",IF($AD435=0,C434,SUMIFS(Data!$B$10:$B$3209,Data!$A$10:$A$3209,"&gt;="&amp;$A435,Data!$A$10:$A$3209,"&lt;"&amp;$A435+1)/$AD435)))</f>
        <v/>
      </c>
      <c r="D435" s="56">
        <f>IF($B435=0,"",IF(Inputs!$B$7="","",IF($AE435=0,D434,SUMIFS(Data!$F$10:$F$3209,Data!$E$10:$E$3209,"&gt;="&amp;$A435,Data!$E$10:$E$3209,"&lt;"&amp;$A435+1)/$AE435)))</f>
        <v/>
      </c>
      <c r="E435" s="56">
        <f>IF($B435=0,"",IF(Inputs!$B$8="","",IF($AF435=0,E434,SUMIFS(Data!$J$10:$J$3209,Data!$I$10:$I$3209,"&gt;="&amp;$A435,Data!$I$10:$I$3209,"&lt;"&amp;$A435+1)/$AF435)))</f>
        <v/>
      </c>
      <c r="F435" s="56">
        <f>IF($B435=0,"",IF(Inputs!$B$9="","",IF($AG435=0,F434,SUMIFS(Data!$N$10:$N$3209,Data!$M$10:$M$3209,"&gt;="&amp;$A435,Data!$M$10:$M$3209,"&lt;"&amp;$A435+1)/$AG435)))</f>
        <v/>
      </c>
      <c r="G435" s="56">
        <f>IF($B435=0,"",IF(Inputs!$B$10="","",IF($AH435=0,G434,SUMIFS(Data!$R$10:$R$3209,Data!$Q$10:$Q$3209,"&gt;="&amp;$A435,Data!$Q$10:$Q$3209,"&lt;"&amp;$A435+1)/$AH435)))</f>
        <v/>
      </c>
      <c r="I435" s="54">
        <f>IF($B435=0,NA(),IF($C435="",NA(),IF(C$8="",NA(),IF(N(C$8)=0,NA(),IF(Inputs!$C$17="Rebased to 100",$C435/C$8*100,$C435)))))</f>
        <v/>
      </c>
      <c r="J435" s="54">
        <f>IF($B435=0,NA(),IF($D435="",NA(),IF(D$8="",NA(),IF(N(D$8)=0,NA(),IF(Inputs!$C$17="Rebased to 100",$D435/D$8*100,$D435)))))</f>
        <v/>
      </c>
      <c r="K435" s="54">
        <f>IF($B435=0,NA(),IF($E435="",NA(),IF(E$8="",NA(),IF(N(E$8)=0,NA(),IF(Inputs!$C$17="Rebased to 100",$E435/E$8*100,$E435)))))</f>
        <v/>
      </c>
      <c r="L435" s="54">
        <f>IF($B435=0,NA(),IF($F435="",NA(),IF(F$8="",NA(),IF(N(F$8)=0,NA(),IF(Inputs!$C$17="Rebased to 100",$F435/F$8*100,$F435)))))</f>
        <v/>
      </c>
      <c r="M435" s="54">
        <f>IF($B435=0,NA(),IF($G435="",NA(),IF(G$8="",NA(),IF(N(G$8)=0,NA(),IF(Inputs!$C$17="Rebased to 100",$G435/G$8*100,$G435)))))</f>
        <v/>
      </c>
      <c r="N435" s="54">
        <f>IF($B435=0,NA(),IF(Inputs!$C$18&lt;&gt;"Yes",NA(),IF(COUNT(I435,J435,K435,L435,M435)=0,NA(),MIN(I435,J435,K435,L435,M435))))</f>
        <v/>
      </c>
      <c r="O435" s="54">
        <f>IF($B435=0,NA(),IF(Inputs!$B$24&lt;&gt;"Yes",NA(),Inputs!$D$24*Inputs!$C$35))</f>
        <v/>
      </c>
      <c r="P435" s="54">
        <f>IF($B435=0,NA(),IF(Inputs!$B$25&lt;&gt;"Yes",NA(),Inputs!$D$25*Inputs!$C$35))</f>
        <v/>
      </c>
      <c r="Q435" s="54">
        <f>IF($B435=0,NA(),IF(Inputs!$B$26&lt;&gt;"Yes",NA(),Inputs!$D$26*Inputs!$C$35))</f>
        <v/>
      </c>
      <c r="R435" s="54">
        <f>IF($B435=0,NA(),IF(Inputs!$B$27&lt;&gt;"Yes",NA(),Inputs!$D$27*Inputs!$C$35))</f>
        <v/>
      </c>
      <c r="S435" s="54">
        <f>IF($B435=0,NA(),IF(Inputs!$B$28&lt;&gt;"Yes",NA(),Inputs!$D$28*Inputs!$C$35))</f>
        <v/>
      </c>
      <c r="T435" s="54">
        <f>IF($B435=0,NA(),IF(Inputs!$B$29&lt;&gt;"Yes",NA(),Inputs!$D$29*Inputs!$C$35))</f>
        <v/>
      </c>
      <c r="AD435">
        <f>IF($B435=0,0,IF(Inputs!$B$6="",0,COUNTIFS(Data!$A$10:$A$3209,"&gt;="&amp;$A435,Data!$A$10:$A$3209,"&lt;"&amp;$A435+1)))</f>
        <v/>
      </c>
      <c r="AE435">
        <f>IF($B435=0,0,IF(Inputs!$B$7="",0,COUNTIFS(Data!$E$10:$E$3209,"&gt;="&amp;$A435,Data!$E$10:$E$3209,"&lt;"&amp;$A435+1)))</f>
        <v/>
      </c>
      <c r="AF435">
        <f>IF($B435=0,0,IF(Inputs!$B$8="",0,COUNTIFS(Data!$I$10:$I$3209,"&gt;="&amp;$A435,Data!$I$10:$I$3209,"&lt;"&amp;$A435+1)))</f>
        <v/>
      </c>
      <c r="AG435">
        <f>IF($B435=0,0,IF(Inputs!$B$9="",0,COUNTIFS(Data!$M$10:$M$3209,"&gt;="&amp;$A435,Data!$M$10:$M$3209,"&lt;"&amp;$A435+1)))</f>
        <v/>
      </c>
      <c r="AH435">
        <f>IF($B435=0,0,IF(Inputs!$B$10="",0,COUNTIFS(Data!$Q$10:$Q$3209,"&gt;="&amp;$A435,Data!$Q$10:$Q$3209,"&lt;"&amp;$A435+1)))</f>
        <v/>
      </c>
    </row>
    <row r="436">
      <c r="A436" s="55">
        <f>MIN(Inputs!$C$15,$A435+IF(WEEKDAY($A435,2)=5,3,1))</f>
        <v/>
      </c>
      <c r="B436">
        <f>IF($A436&gt;$A435,1,0)</f>
        <v/>
      </c>
      <c r="C436" s="56">
        <f>IF($B436=0,"",IF(Inputs!$B$6="","",IF($AD436=0,C435,SUMIFS(Data!$B$10:$B$3209,Data!$A$10:$A$3209,"&gt;="&amp;$A436,Data!$A$10:$A$3209,"&lt;"&amp;$A436+1)/$AD436)))</f>
        <v/>
      </c>
      <c r="D436" s="56">
        <f>IF($B436=0,"",IF(Inputs!$B$7="","",IF($AE436=0,D435,SUMIFS(Data!$F$10:$F$3209,Data!$E$10:$E$3209,"&gt;="&amp;$A436,Data!$E$10:$E$3209,"&lt;"&amp;$A436+1)/$AE436)))</f>
        <v/>
      </c>
      <c r="E436" s="56">
        <f>IF($B436=0,"",IF(Inputs!$B$8="","",IF($AF436=0,E435,SUMIFS(Data!$J$10:$J$3209,Data!$I$10:$I$3209,"&gt;="&amp;$A436,Data!$I$10:$I$3209,"&lt;"&amp;$A436+1)/$AF436)))</f>
        <v/>
      </c>
      <c r="F436" s="56">
        <f>IF($B436=0,"",IF(Inputs!$B$9="","",IF($AG436=0,F435,SUMIFS(Data!$N$10:$N$3209,Data!$M$10:$M$3209,"&gt;="&amp;$A436,Data!$M$10:$M$3209,"&lt;"&amp;$A436+1)/$AG436)))</f>
        <v/>
      </c>
      <c r="G436" s="56">
        <f>IF($B436=0,"",IF(Inputs!$B$10="","",IF($AH436=0,G435,SUMIFS(Data!$R$10:$R$3209,Data!$Q$10:$Q$3209,"&gt;="&amp;$A436,Data!$Q$10:$Q$3209,"&lt;"&amp;$A436+1)/$AH436)))</f>
        <v/>
      </c>
      <c r="I436" s="54">
        <f>IF($B436=0,NA(),IF($C436="",NA(),IF(C$8="",NA(),IF(N(C$8)=0,NA(),IF(Inputs!$C$17="Rebased to 100",$C436/C$8*100,$C436)))))</f>
        <v/>
      </c>
      <c r="J436" s="54">
        <f>IF($B436=0,NA(),IF($D436="",NA(),IF(D$8="",NA(),IF(N(D$8)=0,NA(),IF(Inputs!$C$17="Rebased to 100",$D436/D$8*100,$D436)))))</f>
        <v/>
      </c>
      <c r="K436" s="54">
        <f>IF($B436=0,NA(),IF($E436="",NA(),IF(E$8="",NA(),IF(N(E$8)=0,NA(),IF(Inputs!$C$17="Rebased to 100",$E436/E$8*100,$E436)))))</f>
        <v/>
      </c>
      <c r="L436" s="54">
        <f>IF($B436=0,NA(),IF($F436="",NA(),IF(F$8="",NA(),IF(N(F$8)=0,NA(),IF(Inputs!$C$17="Rebased to 100",$F436/F$8*100,$F436)))))</f>
        <v/>
      </c>
      <c r="M436" s="54">
        <f>IF($B436=0,NA(),IF($G436="",NA(),IF(G$8="",NA(),IF(N(G$8)=0,NA(),IF(Inputs!$C$17="Rebased to 100",$G436/G$8*100,$G436)))))</f>
        <v/>
      </c>
      <c r="N436" s="54">
        <f>IF($B436=0,NA(),IF(Inputs!$C$18&lt;&gt;"Yes",NA(),IF(COUNT(I436,J436,K436,L436,M436)=0,NA(),MIN(I436,J436,K436,L436,M436))))</f>
        <v/>
      </c>
      <c r="O436" s="54">
        <f>IF($B436=0,NA(),IF(Inputs!$B$24&lt;&gt;"Yes",NA(),Inputs!$D$24*Inputs!$C$35))</f>
        <v/>
      </c>
      <c r="P436" s="54">
        <f>IF($B436=0,NA(),IF(Inputs!$B$25&lt;&gt;"Yes",NA(),Inputs!$D$25*Inputs!$C$35))</f>
        <v/>
      </c>
      <c r="Q436" s="54">
        <f>IF($B436=0,NA(),IF(Inputs!$B$26&lt;&gt;"Yes",NA(),Inputs!$D$26*Inputs!$C$35))</f>
        <v/>
      </c>
      <c r="R436" s="54">
        <f>IF($B436=0,NA(),IF(Inputs!$B$27&lt;&gt;"Yes",NA(),Inputs!$D$27*Inputs!$C$35))</f>
        <v/>
      </c>
      <c r="S436" s="54">
        <f>IF($B436=0,NA(),IF(Inputs!$B$28&lt;&gt;"Yes",NA(),Inputs!$D$28*Inputs!$C$35))</f>
        <v/>
      </c>
      <c r="T436" s="54">
        <f>IF($B436=0,NA(),IF(Inputs!$B$29&lt;&gt;"Yes",NA(),Inputs!$D$29*Inputs!$C$35))</f>
        <v/>
      </c>
      <c r="AD436">
        <f>IF($B436=0,0,IF(Inputs!$B$6="",0,COUNTIFS(Data!$A$10:$A$3209,"&gt;="&amp;$A436,Data!$A$10:$A$3209,"&lt;"&amp;$A436+1)))</f>
        <v/>
      </c>
      <c r="AE436">
        <f>IF($B436=0,0,IF(Inputs!$B$7="",0,COUNTIFS(Data!$E$10:$E$3209,"&gt;="&amp;$A436,Data!$E$10:$E$3209,"&lt;"&amp;$A436+1)))</f>
        <v/>
      </c>
      <c r="AF436">
        <f>IF($B436=0,0,IF(Inputs!$B$8="",0,COUNTIFS(Data!$I$10:$I$3209,"&gt;="&amp;$A436,Data!$I$10:$I$3209,"&lt;"&amp;$A436+1)))</f>
        <v/>
      </c>
      <c r="AG436">
        <f>IF($B436=0,0,IF(Inputs!$B$9="",0,COUNTIFS(Data!$M$10:$M$3209,"&gt;="&amp;$A436,Data!$M$10:$M$3209,"&lt;"&amp;$A436+1)))</f>
        <v/>
      </c>
      <c r="AH436">
        <f>IF($B436=0,0,IF(Inputs!$B$10="",0,COUNTIFS(Data!$Q$10:$Q$3209,"&gt;="&amp;$A436,Data!$Q$10:$Q$3209,"&lt;"&amp;$A436+1)))</f>
        <v/>
      </c>
    </row>
    <row r="437">
      <c r="A437" s="55">
        <f>MIN(Inputs!$C$15,$A436+IF(WEEKDAY($A436,2)=5,3,1))</f>
        <v/>
      </c>
      <c r="B437">
        <f>IF($A437&gt;$A436,1,0)</f>
        <v/>
      </c>
      <c r="C437" s="56">
        <f>IF($B437=0,"",IF(Inputs!$B$6="","",IF($AD437=0,C436,SUMIFS(Data!$B$10:$B$3209,Data!$A$10:$A$3209,"&gt;="&amp;$A437,Data!$A$10:$A$3209,"&lt;"&amp;$A437+1)/$AD437)))</f>
        <v/>
      </c>
      <c r="D437" s="56">
        <f>IF($B437=0,"",IF(Inputs!$B$7="","",IF($AE437=0,D436,SUMIFS(Data!$F$10:$F$3209,Data!$E$10:$E$3209,"&gt;="&amp;$A437,Data!$E$10:$E$3209,"&lt;"&amp;$A437+1)/$AE437)))</f>
        <v/>
      </c>
      <c r="E437" s="56">
        <f>IF($B437=0,"",IF(Inputs!$B$8="","",IF($AF437=0,E436,SUMIFS(Data!$J$10:$J$3209,Data!$I$10:$I$3209,"&gt;="&amp;$A437,Data!$I$10:$I$3209,"&lt;"&amp;$A437+1)/$AF437)))</f>
        <v/>
      </c>
      <c r="F437" s="56">
        <f>IF($B437=0,"",IF(Inputs!$B$9="","",IF($AG437=0,F436,SUMIFS(Data!$N$10:$N$3209,Data!$M$10:$M$3209,"&gt;="&amp;$A437,Data!$M$10:$M$3209,"&lt;"&amp;$A437+1)/$AG437)))</f>
        <v/>
      </c>
      <c r="G437" s="56">
        <f>IF($B437=0,"",IF(Inputs!$B$10="","",IF($AH437=0,G436,SUMIFS(Data!$R$10:$R$3209,Data!$Q$10:$Q$3209,"&gt;="&amp;$A437,Data!$Q$10:$Q$3209,"&lt;"&amp;$A437+1)/$AH437)))</f>
        <v/>
      </c>
      <c r="I437" s="54">
        <f>IF($B437=0,NA(),IF($C437="",NA(),IF(C$8="",NA(),IF(N(C$8)=0,NA(),IF(Inputs!$C$17="Rebased to 100",$C437/C$8*100,$C437)))))</f>
        <v/>
      </c>
      <c r="J437" s="54">
        <f>IF($B437=0,NA(),IF($D437="",NA(),IF(D$8="",NA(),IF(N(D$8)=0,NA(),IF(Inputs!$C$17="Rebased to 100",$D437/D$8*100,$D437)))))</f>
        <v/>
      </c>
      <c r="K437" s="54">
        <f>IF($B437=0,NA(),IF($E437="",NA(),IF(E$8="",NA(),IF(N(E$8)=0,NA(),IF(Inputs!$C$17="Rebased to 100",$E437/E$8*100,$E437)))))</f>
        <v/>
      </c>
      <c r="L437" s="54">
        <f>IF($B437=0,NA(),IF($F437="",NA(),IF(F$8="",NA(),IF(N(F$8)=0,NA(),IF(Inputs!$C$17="Rebased to 100",$F437/F$8*100,$F437)))))</f>
        <v/>
      </c>
      <c r="M437" s="54">
        <f>IF($B437=0,NA(),IF($G437="",NA(),IF(G$8="",NA(),IF(N(G$8)=0,NA(),IF(Inputs!$C$17="Rebased to 100",$G437/G$8*100,$G437)))))</f>
        <v/>
      </c>
      <c r="N437" s="54">
        <f>IF($B437=0,NA(),IF(Inputs!$C$18&lt;&gt;"Yes",NA(),IF(COUNT(I437,J437,K437,L437,M437)=0,NA(),MIN(I437,J437,K437,L437,M437))))</f>
        <v/>
      </c>
      <c r="O437" s="54">
        <f>IF($B437=0,NA(),IF(Inputs!$B$24&lt;&gt;"Yes",NA(),Inputs!$D$24*Inputs!$C$35))</f>
        <v/>
      </c>
      <c r="P437" s="54">
        <f>IF($B437=0,NA(),IF(Inputs!$B$25&lt;&gt;"Yes",NA(),Inputs!$D$25*Inputs!$C$35))</f>
        <v/>
      </c>
      <c r="Q437" s="54">
        <f>IF($B437=0,NA(),IF(Inputs!$B$26&lt;&gt;"Yes",NA(),Inputs!$D$26*Inputs!$C$35))</f>
        <v/>
      </c>
      <c r="R437" s="54">
        <f>IF($B437=0,NA(),IF(Inputs!$B$27&lt;&gt;"Yes",NA(),Inputs!$D$27*Inputs!$C$35))</f>
        <v/>
      </c>
      <c r="S437" s="54">
        <f>IF($B437=0,NA(),IF(Inputs!$B$28&lt;&gt;"Yes",NA(),Inputs!$D$28*Inputs!$C$35))</f>
        <v/>
      </c>
      <c r="T437" s="54">
        <f>IF($B437=0,NA(),IF(Inputs!$B$29&lt;&gt;"Yes",NA(),Inputs!$D$29*Inputs!$C$35))</f>
        <v/>
      </c>
      <c r="AD437">
        <f>IF($B437=0,0,IF(Inputs!$B$6="",0,COUNTIFS(Data!$A$10:$A$3209,"&gt;="&amp;$A437,Data!$A$10:$A$3209,"&lt;"&amp;$A437+1)))</f>
        <v/>
      </c>
      <c r="AE437">
        <f>IF($B437=0,0,IF(Inputs!$B$7="",0,COUNTIFS(Data!$E$10:$E$3209,"&gt;="&amp;$A437,Data!$E$10:$E$3209,"&lt;"&amp;$A437+1)))</f>
        <v/>
      </c>
      <c r="AF437">
        <f>IF($B437=0,0,IF(Inputs!$B$8="",0,COUNTIFS(Data!$I$10:$I$3209,"&gt;="&amp;$A437,Data!$I$10:$I$3209,"&lt;"&amp;$A437+1)))</f>
        <v/>
      </c>
      <c r="AG437">
        <f>IF($B437=0,0,IF(Inputs!$B$9="",0,COUNTIFS(Data!$M$10:$M$3209,"&gt;="&amp;$A437,Data!$M$10:$M$3209,"&lt;"&amp;$A437+1)))</f>
        <v/>
      </c>
      <c r="AH437">
        <f>IF($B437=0,0,IF(Inputs!$B$10="",0,COUNTIFS(Data!$Q$10:$Q$3209,"&gt;="&amp;$A437,Data!$Q$10:$Q$3209,"&lt;"&amp;$A437+1)))</f>
        <v/>
      </c>
    </row>
    <row r="438">
      <c r="A438" s="55">
        <f>MIN(Inputs!$C$15,$A437+IF(WEEKDAY($A437,2)=5,3,1))</f>
        <v/>
      </c>
      <c r="B438">
        <f>IF($A438&gt;$A437,1,0)</f>
        <v/>
      </c>
      <c r="C438" s="56">
        <f>IF($B438=0,"",IF(Inputs!$B$6="","",IF($AD438=0,C437,SUMIFS(Data!$B$10:$B$3209,Data!$A$10:$A$3209,"&gt;="&amp;$A438,Data!$A$10:$A$3209,"&lt;"&amp;$A438+1)/$AD438)))</f>
        <v/>
      </c>
      <c r="D438" s="56">
        <f>IF($B438=0,"",IF(Inputs!$B$7="","",IF($AE438=0,D437,SUMIFS(Data!$F$10:$F$3209,Data!$E$10:$E$3209,"&gt;="&amp;$A438,Data!$E$10:$E$3209,"&lt;"&amp;$A438+1)/$AE438)))</f>
        <v/>
      </c>
      <c r="E438" s="56">
        <f>IF($B438=0,"",IF(Inputs!$B$8="","",IF($AF438=0,E437,SUMIFS(Data!$J$10:$J$3209,Data!$I$10:$I$3209,"&gt;="&amp;$A438,Data!$I$10:$I$3209,"&lt;"&amp;$A438+1)/$AF438)))</f>
        <v/>
      </c>
      <c r="F438" s="56">
        <f>IF($B438=0,"",IF(Inputs!$B$9="","",IF($AG438=0,F437,SUMIFS(Data!$N$10:$N$3209,Data!$M$10:$M$3209,"&gt;="&amp;$A438,Data!$M$10:$M$3209,"&lt;"&amp;$A438+1)/$AG438)))</f>
        <v/>
      </c>
      <c r="G438" s="56">
        <f>IF($B438=0,"",IF(Inputs!$B$10="","",IF($AH438=0,G437,SUMIFS(Data!$R$10:$R$3209,Data!$Q$10:$Q$3209,"&gt;="&amp;$A438,Data!$Q$10:$Q$3209,"&lt;"&amp;$A438+1)/$AH438)))</f>
        <v/>
      </c>
      <c r="I438" s="54">
        <f>IF($B438=0,NA(),IF($C438="",NA(),IF(C$8="",NA(),IF(N(C$8)=0,NA(),IF(Inputs!$C$17="Rebased to 100",$C438/C$8*100,$C438)))))</f>
        <v/>
      </c>
      <c r="J438" s="54">
        <f>IF($B438=0,NA(),IF($D438="",NA(),IF(D$8="",NA(),IF(N(D$8)=0,NA(),IF(Inputs!$C$17="Rebased to 100",$D438/D$8*100,$D438)))))</f>
        <v/>
      </c>
      <c r="K438" s="54">
        <f>IF($B438=0,NA(),IF($E438="",NA(),IF(E$8="",NA(),IF(N(E$8)=0,NA(),IF(Inputs!$C$17="Rebased to 100",$E438/E$8*100,$E438)))))</f>
        <v/>
      </c>
      <c r="L438" s="54">
        <f>IF($B438=0,NA(),IF($F438="",NA(),IF(F$8="",NA(),IF(N(F$8)=0,NA(),IF(Inputs!$C$17="Rebased to 100",$F438/F$8*100,$F438)))))</f>
        <v/>
      </c>
      <c r="M438" s="54">
        <f>IF($B438=0,NA(),IF($G438="",NA(),IF(G$8="",NA(),IF(N(G$8)=0,NA(),IF(Inputs!$C$17="Rebased to 100",$G438/G$8*100,$G438)))))</f>
        <v/>
      </c>
      <c r="N438" s="54">
        <f>IF($B438=0,NA(),IF(Inputs!$C$18&lt;&gt;"Yes",NA(),IF(COUNT(I438,J438,K438,L438,M438)=0,NA(),MIN(I438,J438,K438,L438,M438))))</f>
        <v/>
      </c>
      <c r="O438" s="54">
        <f>IF($B438=0,NA(),IF(Inputs!$B$24&lt;&gt;"Yes",NA(),Inputs!$D$24*Inputs!$C$35))</f>
        <v/>
      </c>
      <c r="P438" s="54">
        <f>IF($B438=0,NA(),IF(Inputs!$B$25&lt;&gt;"Yes",NA(),Inputs!$D$25*Inputs!$C$35))</f>
        <v/>
      </c>
      <c r="Q438" s="54">
        <f>IF($B438=0,NA(),IF(Inputs!$B$26&lt;&gt;"Yes",NA(),Inputs!$D$26*Inputs!$C$35))</f>
        <v/>
      </c>
      <c r="R438" s="54">
        <f>IF($B438=0,NA(),IF(Inputs!$B$27&lt;&gt;"Yes",NA(),Inputs!$D$27*Inputs!$C$35))</f>
        <v/>
      </c>
      <c r="S438" s="54">
        <f>IF($B438=0,NA(),IF(Inputs!$B$28&lt;&gt;"Yes",NA(),Inputs!$D$28*Inputs!$C$35))</f>
        <v/>
      </c>
      <c r="T438" s="54">
        <f>IF($B438=0,NA(),IF(Inputs!$B$29&lt;&gt;"Yes",NA(),Inputs!$D$29*Inputs!$C$35))</f>
        <v/>
      </c>
      <c r="AD438">
        <f>IF($B438=0,0,IF(Inputs!$B$6="",0,COUNTIFS(Data!$A$10:$A$3209,"&gt;="&amp;$A438,Data!$A$10:$A$3209,"&lt;"&amp;$A438+1)))</f>
        <v/>
      </c>
      <c r="AE438">
        <f>IF($B438=0,0,IF(Inputs!$B$7="",0,COUNTIFS(Data!$E$10:$E$3209,"&gt;="&amp;$A438,Data!$E$10:$E$3209,"&lt;"&amp;$A438+1)))</f>
        <v/>
      </c>
      <c r="AF438">
        <f>IF($B438=0,0,IF(Inputs!$B$8="",0,COUNTIFS(Data!$I$10:$I$3209,"&gt;="&amp;$A438,Data!$I$10:$I$3209,"&lt;"&amp;$A438+1)))</f>
        <v/>
      </c>
      <c r="AG438">
        <f>IF($B438=0,0,IF(Inputs!$B$9="",0,COUNTIFS(Data!$M$10:$M$3209,"&gt;="&amp;$A438,Data!$M$10:$M$3209,"&lt;"&amp;$A438+1)))</f>
        <v/>
      </c>
      <c r="AH438">
        <f>IF($B438=0,0,IF(Inputs!$B$10="",0,COUNTIFS(Data!$Q$10:$Q$3209,"&gt;="&amp;$A438,Data!$Q$10:$Q$3209,"&lt;"&amp;$A438+1)))</f>
        <v/>
      </c>
    </row>
    <row r="439">
      <c r="A439" s="55">
        <f>MIN(Inputs!$C$15,$A438+IF(WEEKDAY($A438,2)=5,3,1))</f>
        <v/>
      </c>
      <c r="B439">
        <f>IF($A439&gt;$A438,1,0)</f>
        <v/>
      </c>
      <c r="C439" s="56">
        <f>IF($B439=0,"",IF(Inputs!$B$6="","",IF($AD439=0,C438,SUMIFS(Data!$B$10:$B$3209,Data!$A$10:$A$3209,"&gt;="&amp;$A439,Data!$A$10:$A$3209,"&lt;"&amp;$A439+1)/$AD439)))</f>
        <v/>
      </c>
      <c r="D439" s="56">
        <f>IF($B439=0,"",IF(Inputs!$B$7="","",IF($AE439=0,D438,SUMIFS(Data!$F$10:$F$3209,Data!$E$10:$E$3209,"&gt;="&amp;$A439,Data!$E$10:$E$3209,"&lt;"&amp;$A439+1)/$AE439)))</f>
        <v/>
      </c>
      <c r="E439" s="56">
        <f>IF($B439=0,"",IF(Inputs!$B$8="","",IF($AF439=0,E438,SUMIFS(Data!$J$10:$J$3209,Data!$I$10:$I$3209,"&gt;="&amp;$A439,Data!$I$10:$I$3209,"&lt;"&amp;$A439+1)/$AF439)))</f>
        <v/>
      </c>
      <c r="F439" s="56">
        <f>IF($B439=0,"",IF(Inputs!$B$9="","",IF($AG439=0,F438,SUMIFS(Data!$N$10:$N$3209,Data!$M$10:$M$3209,"&gt;="&amp;$A439,Data!$M$10:$M$3209,"&lt;"&amp;$A439+1)/$AG439)))</f>
        <v/>
      </c>
      <c r="G439" s="56">
        <f>IF($B439=0,"",IF(Inputs!$B$10="","",IF($AH439=0,G438,SUMIFS(Data!$R$10:$R$3209,Data!$Q$10:$Q$3209,"&gt;="&amp;$A439,Data!$Q$10:$Q$3209,"&lt;"&amp;$A439+1)/$AH439)))</f>
        <v/>
      </c>
      <c r="I439" s="54">
        <f>IF($B439=0,NA(),IF($C439="",NA(),IF(C$8="",NA(),IF(N(C$8)=0,NA(),IF(Inputs!$C$17="Rebased to 100",$C439/C$8*100,$C439)))))</f>
        <v/>
      </c>
      <c r="J439" s="54">
        <f>IF($B439=0,NA(),IF($D439="",NA(),IF(D$8="",NA(),IF(N(D$8)=0,NA(),IF(Inputs!$C$17="Rebased to 100",$D439/D$8*100,$D439)))))</f>
        <v/>
      </c>
      <c r="K439" s="54">
        <f>IF($B439=0,NA(),IF($E439="",NA(),IF(E$8="",NA(),IF(N(E$8)=0,NA(),IF(Inputs!$C$17="Rebased to 100",$E439/E$8*100,$E439)))))</f>
        <v/>
      </c>
      <c r="L439" s="54">
        <f>IF($B439=0,NA(),IF($F439="",NA(),IF(F$8="",NA(),IF(N(F$8)=0,NA(),IF(Inputs!$C$17="Rebased to 100",$F439/F$8*100,$F439)))))</f>
        <v/>
      </c>
      <c r="M439" s="54">
        <f>IF($B439=0,NA(),IF($G439="",NA(),IF(G$8="",NA(),IF(N(G$8)=0,NA(),IF(Inputs!$C$17="Rebased to 100",$G439/G$8*100,$G439)))))</f>
        <v/>
      </c>
      <c r="N439" s="54">
        <f>IF($B439=0,NA(),IF(Inputs!$C$18&lt;&gt;"Yes",NA(),IF(COUNT(I439,J439,K439,L439,M439)=0,NA(),MIN(I439,J439,K439,L439,M439))))</f>
        <v/>
      </c>
      <c r="O439" s="54">
        <f>IF($B439=0,NA(),IF(Inputs!$B$24&lt;&gt;"Yes",NA(),Inputs!$D$24*Inputs!$C$35))</f>
        <v/>
      </c>
      <c r="P439" s="54">
        <f>IF($B439=0,NA(),IF(Inputs!$B$25&lt;&gt;"Yes",NA(),Inputs!$D$25*Inputs!$C$35))</f>
        <v/>
      </c>
      <c r="Q439" s="54">
        <f>IF($B439=0,NA(),IF(Inputs!$B$26&lt;&gt;"Yes",NA(),Inputs!$D$26*Inputs!$C$35))</f>
        <v/>
      </c>
      <c r="R439" s="54">
        <f>IF($B439=0,NA(),IF(Inputs!$B$27&lt;&gt;"Yes",NA(),Inputs!$D$27*Inputs!$C$35))</f>
        <v/>
      </c>
      <c r="S439" s="54">
        <f>IF($B439=0,NA(),IF(Inputs!$B$28&lt;&gt;"Yes",NA(),Inputs!$D$28*Inputs!$C$35))</f>
        <v/>
      </c>
      <c r="T439" s="54">
        <f>IF($B439=0,NA(),IF(Inputs!$B$29&lt;&gt;"Yes",NA(),Inputs!$D$29*Inputs!$C$35))</f>
        <v/>
      </c>
      <c r="AD439">
        <f>IF($B439=0,0,IF(Inputs!$B$6="",0,COUNTIFS(Data!$A$10:$A$3209,"&gt;="&amp;$A439,Data!$A$10:$A$3209,"&lt;"&amp;$A439+1)))</f>
        <v/>
      </c>
      <c r="AE439">
        <f>IF($B439=0,0,IF(Inputs!$B$7="",0,COUNTIFS(Data!$E$10:$E$3209,"&gt;="&amp;$A439,Data!$E$10:$E$3209,"&lt;"&amp;$A439+1)))</f>
        <v/>
      </c>
      <c r="AF439">
        <f>IF($B439=0,0,IF(Inputs!$B$8="",0,COUNTIFS(Data!$I$10:$I$3209,"&gt;="&amp;$A439,Data!$I$10:$I$3209,"&lt;"&amp;$A439+1)))</f>
        <v/>
      </c>
      <c r="AG439">
        <f>IF($B439=0,0,IF(Inputs!$B$9="",0,COUNTIFS(Data!$M$10:$M$3209,"&gt;="&amp;$A439,Data!$M$10:$M$3209,"&lt;"&amp;$A439+1)))</f>
        <v/>
      </c>
      <c r="AH439">
        <f>IF($B439=0,0,IF(Inputs!$B$10="",0,COUNTIFS(Data!$Q$10:$Q$3209,"&gt;="&amp;$A439,Data!$Q$10:$Q$3209,"&lt;"&amp;$A439+1)))</f>
        <v/>
      </c>
    </row>
    <row r="440">
      <c r="A440" s="55">
        <f>MIN(Inputs!$C$15,$A439+IF(WEEKDAY($A439,2)=5,3,1))</f>
        <v/>
      </c>
      <c r="B440">
        <f>IF($A440&gt;$A439,1,0)</f>
        <v/>
      </c>
      <c r="C440" s="56">
        <f>IF($B440=0,"",IF(Inputs!$B$6="","",IF($AD440=0,C439,SUMIFS(Data!$B$10:$B$3209,Data!$A$10:$A$3209,"&gt;="&amp;$A440,Data!$A$10:$A$3209,"&lt;"&amp;$A440+1)/$AD440)))</f>
        <v/>
      </c>
      <c r="D440" s="56">
        <f>IF($B440=0,"",IF(Inputs!$B$7="","",IF($AE440=0,D439,SUMIFS(Data!$F$10:$F$3209,Data!$E$10:$E$3209,"&gt;="&amp;$A440,Data!$E$10:$E$3209,"&lt;"&amp;$A440+1)/$AE440)))</f>
        <v/>
      </c>
      <c r="E440" s="56">
        <f>IF($B440=0,"",IF(Inputs!$B$8="","",IF($AF440=0,E439,SUMIFS(Data!$J$10:$J$3209,Data!$I$10:$I$3209,"&gt;="&amp;$A440,Data!$I$10:$I$3209,"&lt;"&amp;$A440+1)/$AF440)))</f>
        <v/>
      </c>
      <c r="F440" s="56">
        <f>IF($B440=0,"",IF(Inputs!$B$9="","",IF($AG440=0,F439,SUMIFS(Data!$N$10:$N$3209,Data!$M$10:$M$3209,"&gt;="&amp;$A440,Data!$M$10:$M$3209,"&lt;"&amp;$A440+1)/$AG440)))</f>
        <v/>
      </c>
      <c r="G440" s="56">
        <f>IF($B440=0,"",IF(Inputs!$B$10="","",IF($AH440=0,G439,SUMIFS(Data!$R$10:$R$3209,Data!$Q$10:$Q$3209,"&gt;="&amp;$A440,Data!$Q$10:$Q$3209,"&lt;"&amp;$A440+1)/$AH440)))</f>
        <v/>
      </c>
      <c r="I440" s="54">
        <f>IF($B440=0,NA(),IF($C440="",NA(),IF(C$8="",NA(),IF(N(C$8)=0,NA(),IF(Inputs!$C$17="Rebased to 100",$C440/C$8*100,$C440)))))</f>
        <v/>
      </c>
      <c r="J440" s="54">
        <f>IF($B440=0,NA(),IF($D440="",NA(),IF(D$8="",NA(),IF(N(D$8)=0,NA(),IF(Inputs!$C$17="Rebased to 100",$D440/D$8*100,$D440)))))</f>
        <v/>
      </c>
      <c r="K440" s="54">
        <f>IF($B440=0,NA(),IF($E440="",NA(),IF(E$8="",NA(),IF(N(E$8)=0,NA(),IF(Inputs!$C$17="Rebased to 100",$E440/E$8*100,$E440)))))</f>
        <v/>
      </c>
      <c r="L440" s="54">
        <f>IF($B440=0,NA(),IF($F440="",NA(),IF(F$8="",NA(),IF(N(F$8)=0,NA(),IF(Inputs!$C$17="Rebased to 100",$F440/F$8*100,$F440)))))</f>
        <v/>
      </c>
      <c r="M440" s="54">
        <f>IF($B440=0,NA(),IF($G440="",NA(),IF(G$8="",NA(),IF(N(G$8)=0,NA(),IF(Inputs!$C$17="Rebased to 100",$G440/G$8*100,$G440)))))</f>
        <v/>
      </c>
      <c r="N440" s="54">
        <f>IF($B440=0,NA(),IF(Inputs!$C$18&lt;&gt;"Yes",NA(),IF(COUNT(I440,J440,K440,L440,M440)=0,NA(),MIN(I440,J440,K440,L440,M440))))</f>
        <v/>
      </c>
      <c r="O440" s="54">
        <f>IF($B440=0,NA(),IF(Inputs!$B$24&lt;&gt;"Yes",NA(),Inputs!$D$24*Inputs!$C$35))</f>
        <v/>
      </c>
      <c r="P440" s="54">
        <f>IF($B440=0,NA(),IF(Inputs!$B$25&lt;&gt;"Yes",NA(),Inputs!$D$25*Inputs!$C$35))</f>
        <v/>
      </c>
      <c r="Q440" s="54">
        <f>IF($B440=0,NA(),IF(Inputs!$B$26&lt;&gt;"Yes",NA(),Inputs!$D$26*Inputs!$C$35))</f>
        <v/>
      </c>
      <c r="R440" s="54">
        <f>IF($B440=0,NA(),IF(Inputs!$B$27&lt;&gt;"Yes",NA(),Inputs!$D$27*Inputs!$C$35))</f>
        <v/>
      </c>
      <c r="S440" s="54">
        <f>IF($B440=0,NA(),IF(Inputs!$B$28&lt;&gt;"Yes",NA(),Inputs!$D$28*Inputs!$C$35))</f>
        <v/>
      </c>
      <c r="T440" s="54">
        <f>IF($B440=0,NA(),IF(Inputs!$B$29&lt;&gt;"Yes",NA(),Inputs!$D$29*Inputs!$C$35))</f>
        <v/>
      </c>
      <c r="AD440">
        <f>IF($B440=0,0,IF(Inputs!$B$6="",0,COUNTIFS(Data!$A$10:$A$3209,"&gt;="&amp;$A440,Data!$A$10:$A$3209,"&lt;"&amp;$A440+1)))</f>
        <v/>
      </c>
      <c r="AE440">
        <f>IF($B440=0,0,IF(Inputs!$B$7="",0,COUNTIFS(Data!$E$10:$E$3209,"&gt;="&amp;$A440,Data!$E$10:$E$3209,"&lt;"&amp;$A440+1)))</f>
        <v/>
      </c>
      <c r="AF440">
        <f>IF($B440=0,0,IF(Inputs!$B$8="",0,COUNTIFS(Data!$I$10:$I$3209,"&gt;="&amp;$A440,Data!$I$10:$I$3209,"&lt;"&amp;$A440+1)))</f>
        <v/>
      </c>
      <c r="AG440">
        <f>IF($B440=0,0,IF(Inputs!$B$9="",0,COUNTIFS(Data!$M$10:$M$3209,"&gt;="&amp;$A440,Data!$M$10:$M$3209,"&lt;"&amp;$A440+1)))</f>
        <v/>
      </c>
      <c r="AH440">
        <f>IF($B440=0,0,IF(Inputs!$B$10="",0,COUNTIFS(Data!$Q$10:$Q$3209,"&gt;="&amp;$A440,Data!$Q$10:$Q$3209,"&lt;"&amp;$A440+1)))</f>
        <v/>
      </c>
    </row>
    <row r="441">
      <c r="A441" s="55">
        <f>MIN(Inputs!$C$15,$A440+IF(WEEKDAY($A440,2)=5,3,1))</f>
        <v/>
      </c>
      <c r="B441">
        <f>IF($A441&gt;$A440,1,0)</f>
        <v/>
      </c>
      <c r="C441" s="56">
        <f>IF($B441=0,"",IF(Inputs!$B$6="","",IF($AD441=0,C440,SUMIFS(Data!$B$10:$B$3209,Data!$A$10:$A$3209,"&gt;="&amp;$A441,Data!$A$10:$A$3209,"&lt;"&amp;$A441+1)/$AD441)))</f>
        <v/>
      </c>
      <c r="D441" s="56">
        <f>IF($B441=0,"",IF(Inputs!$B$7="","",IF($AE441=0,D440,SUMIFS(Data!$F$10:$F$3209,Data!$E$10:$E$3209,"&gt;="&amp;$A441,Data!$E$10:$E$3209,"&lt;"&amp;$A441+1)/$AE441)))</f>
        <v/>
      </c>
      <c r="E441" s="56">
        <f>IF($B441=0,"",IF(Inputs!$B$8="","",IF($AF441=0,E440,SUMIFS(Data!$J$10:$J$3209,Data!$I$10:$I$3209,"&gt;="&amp;$A441,Data!$I$10:$I$3209,"&lt;"&amp;$A441+1)/$AF441)))</f>
        <v/>
      </c>
      <c r="F441" s="56">
        <f>IF($B441=0,"",IF(Inputs!$B$9="","",IF($AG441=0,F440,SUMIFS(Data!$N$10:$N$3209,Data!$M$10:$M$3209,"&gt;="&amp;$A441,Data!$M$10:$M$3209,"&lt;"&amp;$A441+1)/$AG441)))</f>
        <v/>
      </c>
      <c r="G441" s="56">
        <f>IF($B441=0,"",IF(Inputs!$B$10="","",IF($AH441=0,G440,SUMIFS(Data!$R$10:$R$3209,Data!$Q$10:$Q$3209,"&gt;="&amp;$A441,Data!$Q$10:$Q$3209,"&lt;"&amp;$A441+1)/$AH441)))</f>
        <v/>
      </c>
      <c r="I441" s="54">
        <f>IF($B441=0,NA(),IF($C441="",NA(),IF(C$8="",NA(),IF(N(C$8)=0,NA(),IF(Inputs!$C$17="Rebased to 100",$C441/C$8*100,$C441)))))</f>
        <v/>
      </c>
      <c r="J441" s="54">
        <f>IF($B441=0,NA(),IF($D441="",NA(),IF(D$8="",NA(),IF(N(D$8)=0,NA(),IF(Inputs!$C$17="Rebased to 100",$D441/D$8*100,$D441)))))</f>
        <v/>
      </c>
      <c r="K441" s="54">
        <f>IF($B441=0,NA(),IF($E441="",NA(),IF(E$8="",NA(),IF(N(E$8)=0,NA(),IF(Inputs!$C$17="Rebased to 100",$E441/E$8*100,$E441)))))</f>
        <v/>
      </c>
      <c r="L441" s="54">
        <f>IF($B441=0,NA(),IF($F441="",NA(),IF(F$8="",NA(),IF(N(F$8)=0,NA(),IF(Inputs!$C$17="Rebased to 100",$F441/F$8*100,$F441)))))</f>
        <v/>
      </c>
      <c r="M441" s="54">
        <f>IF($B441=0,NA(),IF($G441="",NA(),IF(G$8="",NA(),IF(N(G$8)=0,NA(),IF(Inputs!$C$17="Rebased to 100",$G441/G$8*100,$G441)))))</f>
        <v/>
      </c>
      <c r="N441" s="54">
        <f>IF($B441=0,NA(),IF(Inputs!$C$18&lt;&gt;"Yes",NA(),IF(COUNT(I441,J441,K441,L441,M441)=0,NA(),MIN(I441,J441,K441,L441,M441))))</f>
        <v/>
      </c>
      <c r="O441" s="54">
        <f>IF($B441=0,NA(),IF(Inputs!$B$24&lt;&gt;"Yes",NA(),Inputs!$D$24*Inputs!$C$35))</f>
        <v/>
      </c>
      <c r="P441" s="54">
        <f>IF($B441=0,NA(),IF(Inputs!$B$25&lt;&gt;"Yes",NA(),Inputs!$D$25*Inputs!$C$35))</f>
        <v/>
      </c>
      <c r="Q441" s="54">
        <f>IF($B441=0,NA(),IF(Inputs!$B$26&lt;&gt;"Yes",NA(),Inputs!$D$26*Inputs!$C$35))</f>
        <v/>
      </c>
      <c r="R441" s="54">
        <f>IF($B441=0,NA(),IF(Inputs!$B$27&lt;&gt;"Yes",NA(),Inputs!$D$27*Inputs!$C$35))</f>
        <v/>
      </c>
      <c r="S441" s="54">
        <f>IF($B441=0,NA(),IF(Inputs!$B$28&lt;&gt;"Yes",NA(),Inputs!$D$28*Inputs!$C$35))</f>
        <v/>
      </c>
      <c r="T441" s="54">
        <f>IF($B441=0,NA(),IF(Inputs!$B$29&lt;&gt;"Yes",NA(),Inputs!$D$29*Inputs!$C$35))</f>
        <v/>
      </c>
      <c r="AD441">
        <f>IF($B441=0,0,IF(Inputs!$B$6="",0,COUNTIFS(Data!$A$10:$A$3209,"&gt;="&amp;$A441,Data!$A$10:$A$3209,"&lt;"&amp;$A441+1)))</f>
        <v/>
      </c>
      <c r="AE441">
        <f>IF($B441=0,0,IF(Inputs!$B$7="",0,COUNTIFS(Data!$E$10:$E$3209,"&gt;="&amp;$A441,Data!$E$10:$E$3209,"&lt;"&amp;$A441+1)))</f>
        <v/>
      </c>
      <c r="AF441">
        <f>IF($B441=0,0,IF(Inputs!$B$8="",0,COUNTIFS(Data!$I$10:$I$3209,"&gt;="&amp;$A441,Data!$I$10:$I$3209,"&lt;"&amp;$A441+1)))</f>
        <v/>
      </c>
      <c r="AG441">
        <f>IF($B441=0,0,IF(Inputs!$B$9="",0,COUNTIFS(Data!$M$10:$M$3209,"&gt;="&amp;$A441,Data!$M$10:$M$3209,"&lt;"&amp;$A441+1)))</f>
        <v/>
      </c>
      <c r="AH441">
        <f>IF($B441=0,0,IF(Inputs!$B$10="",0,COUNTIFS(Data!$Q$10:$Q$3209,"&gt;="&amp;$A441,Data!$Q$10:$Q$3209,"&lt;"&amp;$A441+1)))</f>
        <v/>
      </c>
    </row>
    <row r="442">
      <c r="A442" s="55">
        <f>MIN(Inputs!$C$15,$A441+IF(WEEKDAY($A441,2)=5,3,1))</f>
        <v/>
      </c>
      <c r="B442">
        <f>IF($A442&gt;$A441,1,0)</f>
        <v/>
      </c>
      <c r="C442" s="56">
        <f>IF($B442=0,"",IF(Inputs!$B$6="","",IF($AD442=0,C441,SUMIFS(Data!$B$10:$B$3209,Data!$A$10:$A$3209,"&gt;="&amp;$A442,Data!$A$10:$A$3209,"&lt;"&amp;$A442+1)/$AD442)))</f>
        <v/>
      </c>
      <c r="D442" s="56">
        <f>IF($B442=0,"",IF(Inputs!$B$7="","",IF($AE442=0,D441,SUMIFS(Data!$F$10:$F$3209,Data!$E$10:$E$3209,"&gt;="&amp;$A442,Data!$E$10:$E$3209,"&lt;"&amp;$A442+1)/$AE442)))</f>
        <v/>
      </c>
      <c r="E442" s="56">
        <f>IF($B442=0,"",IF(Inputs!$B$8="","",IF($AF442=0,E441,SUMIFS(Data!$J$10:$J$3209,Data!$I$10:$I$3209,"&gt;="&amp;$A442,Data!$I$10:$I$3209,"&lt;"&amp;$A442+1)/$AF442)))</f>
        <v/>
      </c>
      <c r="F442" s="56">
        <f>IF($B442=0,"",IF(Inputs!$B$9="","",IF($AG442=0,F441,SUMIFS(Data!$N$10:$N$3209,Data!$M$10:$M$3209,"&gt;="&amp;$A442,Data!$M$10:$M$3209,"&lt;"&amp;$A442+1)/$AG442)))</f>
        <v/>
      </c>
      <c r="G442" s="56">
        <f>IF($B442=0,"",IF(Inputs!$B$10="","",IF($AH442=0,G441,SUMIFS(Data!$R$10:$R$3209,Data!$Q$10:$Q$3209,"&gt;="&amp;$A442,Data!$Q$10:$Q$3209,"&lt;"&amp;$A442+1)/$AH442)))</f>
        <v/>
      </c>
      <c r="I442" s="54">
        <f>IF($B442=0,NA(),IF($C442="",NA(),IF(C$8="",NA(),IF(N(C$8)=0,NA(),IF(Inputs!$C$17="Rebased to 100",$C442/C$8*100,$C442)))))</f>
        <v/>
      </c>
      <c r="J442" s="54">
        <f>IF($B442=0,NA(),IF($D442="",NA(),IF(D$8="",NA(),IF(N(D$8)=0,NA(),IF(Inputs!$C$17="Rebased to 100",$D442/D$8*100,$D442)))))</f>
        <v/>
      </c>
      <c r="K442" s="54">
        <f>IF($B442=0,NA(),IF($E442="",NA(),IF(E$8="",NA(),IF(N(E$8)=0,NA(),IF(Inputs!$C$17="Rebased to 100",$E442/E$8*100,$E442)))))</f>
        <v/>
      </c>
      <c r="L442" s="54">
        <f>IF($B442=0,NA(),IF($F442="",NA(),IF(F$8="",NA(),IF(N(F$8)=0,NA(),IF(Inputs!$C$17="Rebased to 100",$F442/F$8*100,$F442)))))</f>
        <v/>
      </c>
      <c r="M442" s="54">
        <f>IF($B442=0,NA(),IF($G442="",NA(),IF(G$8="",NA(),IF(N(G$8)=0,NA(),IF(Inputs!$C$17="Rebased to 100",$G442/G$8*100,$G442)))))</f>
        <v/>
      </c>
      <c r="N442" s="54">
        <f>IF($B442=0,NA(),IF(Inputs!$C$18&lt;&gt;"Yes",NA(),IF(COUNT(I442,J442,K442,L442,M442)=0,NA(),MIN(I442,J442,K442,L442,M442))))</f>
        <v/>
      </c>
      <c r="O442" s="54">
        <f>IF($B442=0,NA(),IF(Inputs!$B$24&lt;&gt;"Yes",NA(),Inputs!$D$24*Inputs!$C$35))</f>
        <v/>
      </c>
      <c r="P442" s="54">
        <f>IF($B442=0,NA(),IF(Inputs!$B$25&lt;&gt;"Yes",NA(),Inputs!$D$25*Inputs!$C$35))</f>
        <v/>
      </c>
      <c r="Q442" s="54">
        <f>IF($B442=0,NA(),IF(Inputs!$B$26&lt;&gt;"Yes",NA(),Inputs!$D$26*Inputs!$C$35))</f>
        <v/>
      </c>
      <c r="R442" s="54">
        <f>IF($B442=0,NA(),IF(Inputs!$B$27&lt;&gt;"Yes",NA(),Inputs!$D$27*Inputs!$C$35))</f>
        <v/>
      </c>
      <c r="S442" s="54">
        <f>IF($B442=0,NA(),IF(Inputs!$B$28&lt;&gt;"Yes",NA(),Inputs!$D$28*Inputs!$C$35))</f>
        <v/>
      </c>
      <c r="T442" s="54">
        <f>IF($B442=0,NA(),IF(Inputs!$B$29&lt;&gt;"Yes",NA(),Inputs!$D$29*Inputs!$C$35))</f>
        <v/>
      </c>
      <c r="AD442">
        <f>IF($B442=0,0,IF(Inputs!$B$6="",0,COUNTIFS(Data!$A$10:$A$3209,"&gt;="&amp;$A442,Data!$A$10:$A$3209,"&lt;"&amp;$A442+1)))</f>
        <v/>
      </c>
      <c r="AE442">
        <f>IF($B442=0,0,IF(Inputs!$B$7="",0,COUNTIFS(Data!$E$10:$E$3209,"&gt;="&amp;$A442,Data!$E$10:$E$3209,"&lt;"&amp;$A442+1)))</f>
        <v/>
      </c>
      <c r="AF442">
        <f>IF($B442=0,0,IF(Inputs!$B$8="",0,COUNTIFS(Data!$I$10:$I$3209,"&gt;="&amp;$A442,Data!$I$10:$I$3209,"&lt;"&amp;$A442+1)))</f>
        <v/>
      </c>
      <c r="AG442">
        <f>IF($B442=0,0,IF(Inputs!$B$9="",0,COUNTIFS(Data!$M$10:$M$3209,"&gt;="&amp;$A442,Data!$M$10:$M$3209,"&lt;"&amp;$A442+1)))</f>
        <v/>
      </c>
      <c r="AH442">
        <f>IF($B442=0,0,IF(Inputs!$B$10="",0,COUNTIFS(Data!$Q$10:$Q$3209,"&gt;="&amp;$A442,Data!$Q$10:$Q$3209,"&lt;"&amp;$A442+1)))</f>
        <v/>
      </c>
    </row>
    <row r="443">
      <c r="A443" s="55">
        <f>MIN(Inputs!$C$15,$A442+IF(WEEKDAY($A442,2)=5,3,1))</f>
        <v/>
      </c>
      <c r="B443">
        <f>IF($A443&gt;$A442,1,0)</f>
        <v/>
      </c>
      <c r="C443" s="56">
        <f>IF($B443=0,"",IF(Inputs!$B$6="","",IF($AD443=0,C442,SUMIFS(Data!$B$10:$B$3209,Data!$A$10:$A$3209,"&gt;="&amp;$A443,Data!$A$10:$A$3209,"&lt;"&amp;$A443+1)/$AD443)))</f>
        <v/>
      </c>
      <c r="D443" s="56">
        <f>IF($B443=0,"",IF(Inputs!$B$7="","",IF($AE443=0,D442,SUMIFS(Data!$F$10:$F$3209,Data!$E$10:$E$3209,"&gt;="&amp;$A443,Data!$E$10:$E$3209,"&lt;"&amp;$A443+1)/$AE443)))</f>
        <v/>
      </c>
      <c r="E443" s="56">
        <f>IF($B443=0,"",IF(Inputs!$B$8="","",IF($AF443=0,E442,SUMIFS(Data!$J$10:$J$3209,Data!$I$10:$I$3209,"&gt;="&amp;$A443,Data!$I$10:$I$3209,"&lt;"&amp;$A443+1)/$AF443)))</f>
        <v/>
      </c>
      <c r="F443" s="56">
        <f>IF($B443=0,"",IF(Inputs!$B$9="","",IF($AG443=0,F442,SUMIFS(Data!$N$10:$N$3209,Data!$M$10:$M$3209,"&gt;="&amp;$A443,Data!$M$10:$M$3209,"&lt;"&amp;$A443+1)/$AG443)))</f>
        <v/>
      </c>
      <c r="G443" s="56">
        <f>IF($B443=0,"",IF(Inputs!$B$10="","",IF($AH443=0,G442,SUMIFS(Data!$R$10:$R$3209,Data!$Q$10:$Q$3209,"&gt;="&amp;$A443,Data!$Q$10:$Q$3209,"&lt;"&amp;$A443+1)/$AH443)))</f>
        <v/>
      </c>
      <c r="I443" s="54">
        <f>IF($B443=0,NA(),IF($C443="",NA(),IF(C$8="",NA(),IF(N(C$8)=0,NA(),IF(Inputs!$C$17="Rebased to 100",$C443/C$8*100,$C443)))))</f>
        <v/>
      </c>
      <c r="J443" s="54">
        <f>IF($B443=0,NA(),IF($D443="",NA(),IF(D$8="",NA(),IF(N(D$8)=0,NA(),IF(Inputs!$C$17="Rebased to 100",$D443/D$8*100,$D443)))))</f>
        <v/>
      </c>
      <c r="K443" s="54">
        <f>IF($B443=0,NA(),IF($E443="",NA(),IF(E$8="",NA(),IF(N(E$8)=0,NA(),IF(Inputs!$C$17="Rebased to 100",$E443/E$8*100,$E443)))))</f>
        <v/>
      </c>
      <c r="L443" s="54">
        <f>IF($B443=0,NA(),IF($F443="",NA(),IF(F$8="",NA(),IF(N(F$8)=0,NA(),IF(Inputs!$C$17="Rebased to 100",$F443/F$8*100,$F443)))))</f>
        <v/>
      </c>
      <c r="M443" s="54">
        <f>IF($B443=0,NA(),IF($G443="",NA(),IF(G$8="",NA(),IF(N(G$8)=0,NA(),IF(Inputs!$C$17="Rebased to 100",$G443/G$8*100,$G443)))))</f>
        <v/>
      </c>
      <c r="N443" s="54">
        <f>IF($B443=0,NA(),IF(Inputs!$C$18&lt;&gt;"Yes",NA(),IF(COUNT(I443,J443,K443,L443,M443)=0,NA(),MIN(I443,J443,K443,L443,M443))))</f>
        <v/>
      </c>
      <c r="O443" s="54">
        <f>IF($B443=0,NA(),IF(Inputs!$B$24&lt;&gt;"Yes",NA(),Inputs!$D$24*Inputs!$C$35))</f>
        <v/>
      </c>
      <c r="P443" s="54">
        <f>IF($B443=0,NA(),IF(Inputs!$B$25&lt;&gt;"Yes",NA(),Inputs!$D$25*Inputs!$C$35))</f>
        <v/>
      </c>
      <c r="Q443" s="54">
        <f>IF($B443=0,NA(),IF(Inputs!$B$26&lt;&gt;"Yes",NA(),Inputs!$D$26*Inputs!$C$35))</f>
        <v/>
      </c>
      <c r="R443" s="54">
        <f>IF($B443=0,NA(),IF(Inputs!$B$27&lt;&gt;"Yes",NA(),Inputs!$D$27*Inputs!$C$35))</f>
        <v/>
      </c>
      <c r="S443" s="54">
        <f>IF($B443=0,NA(),IF(Inputs!$B$28&lt;&gt;"Yes",NA(),Inputs!$D$28*Inputs!$C$35))</f>
        <v/>
      </c>
      <c r="T443" s="54">
        <f>IF($B443=0,NA(),IF(Inputs!$B$29&lt;&gt;"Yes",NA(),Inputs!$D$29*Inputs!$C$35))</f>
        <v/>
      </c>
      <c r="AD443">
        <f>IF($B443=0,0,IF(Inputs!$B$6="",0,COUNTIFS(Data!$A$10:$A$3209,"&gt;="&amp;$A443,Data!$A$10:$A$3209,"&lt;"&amp;$A443+1)))</f>
        <v/>
      </c>
      <c r="AE443">
        <f>IF($B443=0,0,IF(Inputs!$B$7="",0,COUNTIFS(Data!$E$10:$E$3209,"&gt;="&amp;$A443,Data!$E$10:$E$3209,"&lt;"&amp;$A443+1)))</f>
        <v/>
      </c>
      <c r="AF443">
        <f>IF($B443=0,0,IF(Inputs!$B$8="",0,COUNTIFS(Data!$I$10:$I$3209,"&gt;="&amp;$A443,Data!$I$10:$I$3209,"&lt;"&amp;$A443+1)))</f>
        <v/>
      </c>
      <c r="AG443">
        <f>IF($B443=0,0,IF(Inputs!$B$9="",0,COUNTIFS(Data!$M$10:$M$3209,"&gt;="&amp;$A443,Data!$M$10:$M$3209,"&lt;"&amp;$A443+1)))</f>
        <v/>
      </c>
      <c r="AH443">
        <f>IF($B443=0,0,IF(Inputs!$B$10="",0,COUNTIFS(Data!$Q$10:$Q$3209,"&gt;="&amp;$A443,Data!$Q$10:$Q$3209,"&lt;"&amp;$A443+1)))</f>
        <v/>
      </c>
    </row>
    <row r="444">
      <c r="A444" s="55">
        <f>MIN(Inputs!$C$15,$A443+IF(WEEKDAY($A443,2)=5,3,1))</f>
        <v/>
      </c>
      <c r="B444">
        <f>IF($A444&gt;$A443,1,0)</f>
        <v/>
      </c>
      <c r="C444" s="56">
        <f>IF($B444=0,"",IF(Inputs!$B$6="","",IF($AD444=0,C443,SUMIFS(Data!$B$10:$B$3209,Data!$A$10:$A$3209,"&gt;="&amp;$A444,Data!$A$10:$A$3209,"&lt;"&amp;$A444+1)/$AD444)))</f>
        <v/>
      </c>
      <c r="D444" s="56">
        <f>IF($B444=0,"",IF(Inputs!$B$7="","",IF($AE444=0,D443,SUMIFS(Data!$F$10:$F$3209,Data!$E$10:$E$3209,"&gt;="&amp;$A444,Data!$E$10:$E$3209,"&lt;"&amp;$A444+1)/$AE444)))</f>
        <v/>
      </c>
      <c r="E444" s="56">
        <f>IF($B444=0,"",IF(Inputs!$B$8="","",IF($AF444=0,E443,SUMIFS(Data!$J$10:$J$3209,Data!$I$10:$I$3209,"&gt;="&amp;$A444,Data!$I$10:$I$3209,"&lt;"&amp;$A444+1)/$AF444)))</f>
        <v/>
      </c>
      <c r="F444" s="56">
        <f>IF($B444=0,"",IF(Inputs!$B$9="","",IF($AG444=0,F443,SUMIFS(Data!$N$10:$N$3209,Data!$M$10:$M$3209,"&gt;="&amp;$A444,Data!$M$10:$M$3209,"&lt;"&amp;$A444+1)/$AG444)))</f>
        <v/>
      </c>
      <c r="G444" s="56">
        <f>IF($B444=0,"",IF(Inputs!$B$10="","",IF($AH444=0,G443,SUMIFS(Data!$R$10:$R$3209,Data!$Q$10:$Q$3209,"&gt;="&amp;$A444,Data!$Q$10:$Q$3209,"&lt;"&amp;$A444+1)/$AH444)))</f>
        <v/>
      </c>
      <c r="I444" s="54">
        <f>IF($B444=0,NA(),IF($C444="",NA(),IF(C$8="",NA(),IF(N(C$8)=0,NA(),IF(Inputs!$C$17="Rebased to 100",$C444/C$8*100,$C444)))))</f>
        <v/>
      </c>
      <c r="J444" s="54">
        <f>IF($B444=0,NA(),IF($D444="",NA(),IF(D$8="",NA(),IF(N(D$8)=0,NA(),IF(Inputs!$C$17="Rebased to 100",$D444/D$8*100,$D444)))))</f>
        <v/>
      </c>
      <c r="K444" s="54">
        <f>IF($B444=0,NA(),IF($E444="",NA(),IF(E$8="",NA(),IF(N(E$8)=0,NA(),IF(Inputs!$C$17="Rebased to 100",$E444/E$8*100,$E444)))))</f>
        <v/>
      </c>
      <c r="L444" s="54">
        <f>IF($B444=0,NA(),IF($F444="",NA(),IF(F$8="",NA(),IF(N(F$8)=0,NA(),IF(Inputs!$C$17="Rebased to 100",$F444/F$8*100,$F444)))))</f>
        <v/>
      </c>
      <c r="M444" s="54">
        <f>IF($B444=0,NA(),IF($G444="",NA(),IF(G$8="",NA(),IF(N(G$8)=0,NA(),IF(Inputs!$C$17="Rebased to 100",$G444/G$8*100,$G444)))))</f>
        <v/>
      </c>
      <c r="N444" s="54">
        <f>IF($B444=0,NA(),IF(Inputs!$C$18&lt;&gt;"Yes",NA(),IF(COUNT(I444,J444,K444,L444,M444)=0,NA(),MIN(I444,J444,K444,L444,M444))))</f>
        <v/>
      </c>
      <c r="O444" s="54">
        <f>IF($B444=0,NA(),IF(Inputs!$B$24&lt;&gt;"Yes",NA(),Inputs!$D$24*Inputs!$C$35))</f>
        <v/>
      </c>
      <c r="P444" s="54">
        <f>IF($B444=0,NA(),IF(Inputs!$B$25&lt;&gt;"Yes",NA(),Inputs!$D$25*Inputs!$C$35))</f>
        <v/>
      </c>
      <c r="Q444" s="54">
        <f>IF($B444=0,NA(),IF(Inputs!$B$26&lt;&gt;"Yes",NA(),Inputs!$D$26*Inputs!$C$35))</f>
        <v/>
      </c>
      <c r="R444" s="54">
        <f>IF($B444=0,NA(),IF(Inputs!$B$27&lt;&gt;"Yes",NA(),Inputs!$D$27*Inputs!$C$35))</f>
        <v/>
      </c>
      <c r="S444" s="54">
        <f>IF($B444=0,NA(),IF(Inputs!$B$28&lt;&gt;"Yes",NA(),Inputs!$D$28*Inputs!$C$35))</f>
        <v/>
      </c>
      <c r="T444" s="54">
        <f>IF($B444=0,NA(),IF(Inputs!$B$29&lt;&gt;"Yes",NA(),Inputs!$D$29*Inputs!$C$35))</f>
        <v/>
      </c>
      <c r="AD444">
        <f>IF($B444=0,0,IF(Inputs!$B$6="",0,COUNTIFS(Data!$A$10:$A$3209,"&gt;="&amp;$A444,Data!$A$10:$A$3209,"&lt;"&amp;$A444+1)))</f>
        <v/>
      </c>
      <c r="AE444">
        <f>IF($B444=0,0,IF(Inputs!$B$7="",0,COUNTIFS(Data!$E$10:$E$3209,"&gt;="&amp;$A444,Data!$E$10:$E$3209,"&lt;"&amp;$A444+1)))</f>
        <v/>
      </c>
      <c r="AF444">
        <f>IF($B444=0,0,IF(Inputs!$B$8="",0,COUNTIFS(Data!$I$10:$I$3209,"&gt;="&amp;$A444,Data!$I$10:$I$3209,"&lt;"&amp;$A444+1)))</f>
        <v/>
      </c>
      <c r="AG444">
        <f>IF($B444=0,0,IF(Inputs!$B$9="",0,COUNTIFS(Data!$M$10:$M$3209,"&gt;="&amp;$A444,Data!$M$10:$M$3209,"&lt;"&amp;$A444+1)))</f>
        <v/>
      </c>
      <c r="AH444">
        <f>IF($B444=0,0,IF(Inputs!$B$10="",0,COUNTIFS(Data!$Q$10:$Q$3209,"&gt;="&amp;$A444,Data!$Q$10:$Q$3209,"&lt;"&amp;$A444+1)))</f>
        <v/>
      </c>
    </row>
    <row r="445">
      <c r="A445" s="55">
        <f>MIN(Inputs!$C$15,$A444+IF(WEEKDAY($A444,2)=5,3,1))</f>
        <v/>
      </c>
      <c r="B445">
        <f>IF($A445&gt;$A444,1,0)</f>
        <v/>
      </c>
      <c r="C445" s="56">
        <f>IF($B445=0,"",IF(Inputs!$B$6="","",IF($AD445=0,C444,SUMIFS(Data!$B$10:$B$3209,Data!$A$10:$A$3209,"&gt;="&amp;$A445,Data!$A$10:$A$3209,"&lt;"&amp;$A445+1)/$AD445)))</f>
        <v/>
      </c>
      <c r="D445" s="56">
        <f>IF($B445=0,"",IF(Inputs!$B$7="","",IF($AE445=0,D444,SUMIFS(Data!$F$10:$F$3209,Data!$E$10:$E$3209,"&gt;="&amp;$A445,Data!$E$10:$E$3209,"&lt;"&amp;$A445+1)/$AE445)))</f>
        <v/>
      </c>
      <c r="E445" s="56">
        <f>IF($B445=0,"",IF(Inputs!$B$8="","",IF($AF445=0,E444,SUMIFS(Data!$J$10:$J$3209,Data!$I$10:$I$3209,"&gt;="&amp;$A445,Data!$I$10:$I$3209,"&lt;"&amp;$A445+1)/$AF445)))</f>
        <v/>
      </c>
      <c r="F445" s="56">
        <f>IF($B445=0,"",IF(Inputs!$B$9="","",IF($AG445=0,F444,SUMIFS(Data!$N$10:$N$3209,Data!$M$10:$M$3209,"&gt;="&amp;$A445,Data!$M$10:$M$3209,"&lt;"&amp;$A445+1)/$AG445)))</f>
        <v/>
      </c>
      <c r="G445" s="56">
        <f>IF($B445=0,"",IF(Inputs!$B$10="","",IF($AH445=0,G444,SUMIFS(Data!$R$10:$R$3209,Data!$Q$10:$Q$3209,"&gt;="&amp;$A445,Data!$Q$10:$Q$3209,"&lt;"&amp;$A445+1)/$AH445)))</f>
        <v/>
      </c>
      <c r="I445" s="54">
        <f>IF($B445=0,NA(),IF($C445="",NA(),IF(C$8="",NA(),IF(N(C$8)=0,NA(),IF(Inputs!$C$17="Rebased to 100",$C445/C$8*100,$C445)))))</f>
        <v/>
      </c>
      <c r="J445" s="54">
        <f>IF($B445=0,NA(),IF($D445="",NA(),IF(D$8="",NA(),IF(N(D$8)=0,NA(),IF(Inputs!$C$17="Rebased to 100",$D445/D$8*100,$D445)))))</f>
        <v/>
      </c>
      <c r="K445" s="54">
        <f>IF($B445=0,NA(),IF($E445="",NA(),IF(E$8="",NA(),IF(N(E$8)=0,NA(),IF(Inputs!$C$17="Rebased to 100",$E445/E$8*100,$E445)))))</f>
        <v/>
      </c>
      <c r="L445" s="54">
        <f>IF($B445=0,NA(),IF($F445="",NA(),IF(F$8="",NA(),IF(N(F$8)=0,NA(),IF(Inputs!$C$17="Rebased to 100",$F445/F$8*100,$F445)))))</f>
        <v/>
      </c>
      <c r="M445" s="54">
        <f>IF($B445=0,NA(),IF($G445="",NA(),IF(G$8="",NA(),IF(N(G$8)=0,NA(),IF(Inputs!$C$17="Rebased to 100",$G445/G$8*100,$G445)))))</f>
        <v/>
      </c>
      <c r="N445" s="54">
        <f>IF($B445=0,NA(),IF(Inputs!$C$18&lt;&gt;"Yes",NA(),IF(COUNT(I445,J445,K445,L445,M445)=0,NA(),MIN(I445,J445,K445,L445,M445))))</f>
        <v/>
      </c>
      <c r="O445" s="54">
        <f>IF($B445=0,NA(),IF(Inputs!$B$24&lt;&gt;"Yes",NA(),Inputs!$D$24*Inputs!$C$35))</f>
        <v/>
      </c>
      <c r="P445" s="54">
        <f>IF($B445=0,NA(),IF(Inputs!$B$25&lt;&gt;"Yes",NA(),Inputs!$D$25*Inputs!$C$35))</f>
        <v/>
      </c>
      <c r="Q445" s="54">
        <f>IF($B445=0,NA(),IF(Inputs!$B$26&lt;&gt;"Yes",NA(),Inputs!$D$26*Inputs!$C$35))</f>
        <v/>
      </c>
      <c r="R445" s="54">
        <f>IF($B445=0,NA(),IF(Inputs!$B$27&lt;&gt;"Yes",NA(),Inputs!$D$27*Inputs!$C$35))</f>
        <v/>
      </c>
      <c r="S445" s="54">
        <f>IF($B445=0,NA(),IF(Inputs!$B$28&lt;&gt;"Yes",NA(),Inputs!$D$28*Inputs!$C$35))</f>
        <v/>
      </c>
      <c r="T445" s="54">
        <f>IF($B445=0,NA(),IF(Inputs!$B$29&lt;&gt;"Yes",NA(),Inputs!$D$29*Inputs!$C$35))</f>
        <v/>
      </c>
      <c r="AD445">
        <f>IF($B445=0,0,IF(Inputs!$B$6="",0,COUNTIFS(Data!$A$10:$A$3209,"&gt;="&amp;$A445,Data!$A$10:$A$3209,"&lt;"&amp;$A445+1)))</f>
        <v/>
      </c>
      <c r="AE445">
        <f>IF($B445=0,0,IF(Inputs!$B$7="",0,COUNTIFS(Data!$E$10:$E$3209,"&gt;="&amp;$A445,Data!$E$10:$E$3209,"&lt;"&amp;$A445+1)))</f>
        <v/>
      </c>
      <c r="AF445">
        <f>IF($B445=0,0,IF(Inputs!$B$8="",0,COUNTIFS(Data!$I$10:$I$3209,"&gt;="&amp;$A445,Data!$I$10:$I$3209,"&lt;"&amp;$A445+1)))</f>
        <v/>
      </c>
      <c r="AG445">
        <f>IF($B445=0,0,IF(Inputs!$B$9="",0,COUNTIFS(Data!$M$10:$M$3209,"&gt;="&amp;$A445,Data!$M$10:$M$3209,"&lt;"&amp;$A445+1)))</f>
        <v/>
      </c>
      <c r="AH445">
        <f>IF($B445=0,0,IF(Inputs!$B$10="",0,COUNTIFS(Data!$Q$10:$Q$3209,"&gt;="&amp;$A445,Data!$Q$10:$Q$3209,"&lt;"&amp;$A445+1)))</f>
        <v/>
      </c>
    </row>
    <row r="446">
      <c r="A446" s="55">
        <f>MIN(Inputs!$C$15,$A445+IF(WEEKDAY($A445,2)=5,3,1))</f>
        <v/>
      </c>
      <c r="B446">
        <f>IF($A446&gt;$A445,1,0)</f>
        <v/>
      </c>
      <c r="C446" s="56">
        <f>IF($B446=0,"",IF(Inputs!$B$6="","",IF($AD446=0,C445,SUMIFS(Data!$B$10:$B$3209,Data!$A$10:$A$3209,"&gt;="&amp;$A446,Data!$A$10:$A$3209,"&lt;"&amp;$A446+1)/$AD446)))</f>
        <v/>
      </c>
      <c r="D446" s="56">
        <f>IF($B446=0,"",IF(Inputs!$B$7="","",IF($AE446=0,D445,SUMIFS(Data!$F$10:$F$3209,Data!$E$10:$E$3209,"&gt;="&amp;$A446,Data!$E$10:$E$3209,"&lt;"&amp;$A446+1)/$AE446)))</f>
        <v/>
      </c>
      <c r="E446" s="56">
        <f>IF($B446=0,"",IF(Inputs!$B$8="","",IF($AF446=0,E445,SUMIFS(Data!$J$10:$J$3209,Data!$I$10:$I$3209,"&gt;="&amp;$A446,Data!$I$10:$I$3209,"&lt;"&amp;$A446+1)/$AF446)))</f>
        <v/>
      </c>
      <c r="F446" s="56">
        <f>IF($B446=0,"",IF(Inputs!$B$9="","",IF($AG446=0,F445,SUMIFS(Data!$N$10:$N$3209,Data!$M$10:$M$3209,"&gt;="&amp;$A446,Data!$M$10:$M$3209,"&lt;"&amp;$A446+1)/$AG446)))</f>
        <v/>
      </c>
      <c r="G446" s="56">
        <f>IF($B446=0,"",IF(Inputs!$B$10="","",IF($AH446=0,G445,SUMIFS(Data!$R$10:$R$3209,Data!$Q$10:$Q$3209,"&gt;="&amp;$A446,Data!$Q$10:$Q$3209,"&lt;"&amp;$A446+1)/$AH446)))</f>
        <v/>
      </c>
      <c r="I446" s="54">
        <f>IF($B446=0,NA(),IF($C446="",NA(),IF(C$8="",NA(),IF(N(C$8)=0,NA(),IF(Inputs!$C$17="Rebased to 100",$C446/C$8*100,$C446)))))</f>
        <v/>
      </c>
      <c r="J446" s="54">
        <f>IF($B446=0,NA(),IF($D446="",NA(),IF(D$8="",NA(),IF(N(D$8)=0,NA(),IF(Inputs!$C$17="Rebased to 100",$D446/D$8*100,$D446)))))</f>
        <v/>
      </c>
      <c r="K446" s="54">
        <f>IF($B446=0,NA(),IF($E446="",NA(),IF(E$8="",NA(),IF(N(E$8)=0,NA(),IF(Inputs!$C$17="Rebased to 100",$E446/E$8*100,$E446)))))</f>
        <v/>
      </c>
      <c r="L446" s="54">
        <f>IF($B446=0,NA(),IF($F446="",NA(),IF(F$8="",NA(),IF(N(F$8)=0,NA(),IF(Inputs!$C$17="Rebased to 100",$F446/F$8*100,$F446)))))</f>
        <v/>
      </c>
      <c r="M446" s="54">
        <f>IF($B446=0,NA(),IF($G446="",NA(),IF(G$8="",NA(),IF(N(G$8)=0,NA(),IF(Inputs!$C$17="Rebased to 100",$G446/G$8*100,$G446)))))</f>
        <v/>
      </c>
      <c r="N446" s="54">
        <f>IF($B446=0,NA(),IF(Inputs!$C$18&lt;&gt;"Yes",NA(),IF(COUNT(I446,J446,K446,L446,M446)=0,NA(),MIN(I446,J446,K446,L446,M446))))</f>
        <v/>
      </c>
      <c r="O446" s="54">
        <f>IF($B446=0,NA(),IF(Inputs!$B$24&lt;&gt;"Yes",NA(),Inputs!$D$24*Inputs!$C$35))</f>
        <v/>
      </c>
      <c r="P446" s="54">
        <f>IF($B446=0,NA(),IF(Inputs!$B$25&lt;&gt;"Yes",NA(),Inputs!$D$25*Inputs!$C$35))</f>
        <v/>
      </c>
      <c r="Q446" s="54">
        <f>IF($B446=0,NA(),IF(Inputs!$B$26&lt;&gt;"Yes",NA(),Inputs!$D$26*Inputs!$C$35))</f>
        <v/>
      </c>
      <c r="R446" s="54">
        <f>IF($B446=0,NA(),IF(Inputs!$B$27&lt;&gt;"Yes",NA(),Inputs!$D$27*Inputs!$C$35))</f>
        <v/>
      </c>
      <c r="S446" s="54">
        <f>IF($B446=0,NA(),IF(Inputs!$B$28&lt;&gt;"Yes",NA(),Inputs!$D$28*Inputs!$C$35))</f>
        <v/>
      </c>
      <c r="T446" s="54">
        <f>IF($B446=0,NA(),IF(Inputs!$B$29&lt;&gt;"Yes",NA(),Inputs!$D$29*Inputs!$C$35))</f>
        <v/>
      </c>
      <c r="AD446">
        <f>IF($B446=0,0,IF(Inputs!$B$6="",0,COUNTIFS(Data!$A$10:$A$3209,"&gt;="&amp;$A446,Data!$A$10:$A$3209,"&lt;"&amp;$A446+1)))</f>
        <v/>
      </c>
      <c r="AE446">
        <f>IF($B446=0,0,IF(Inputs!$B$7="",0,COUNTIFS(Data!$E$10:$E$3209,"&gt;="&amp;$A446,Data!$E$10:$E$3209,"&lt;"&amp;$A446+1)))</f>
        <v/>
      </c>
      <c r="AF446">
        <f>IF($B446=0,0,IF(Inputs!$B$8="",0,COUNTIFS(Data!$I$10:$I$3209,"&gt;="&amp;$A446,Data!$I$10:$I$3209,"&lt;"&amp;$A446+1)))</f>
        <v/>
      </c>
      <c r="AG446">
        <f>IF($B446=0,0,IF(Inputs!$B$9="",0,COUNTIFS(Data!$M$10:$M$3209,"&gt;="&amp;$A446,Data!$M$10:$M$3209,"&lt;"&amp;$A446+1)))</f>
        <v/>
      </c>
      <c r="AH446">
        <f>IF($B446=0,0,IF(Inputs!$B$10="",0,COUNTIFS(Data!$Q$10:$Q$3209,"&gt;="&amp;$A446,Data!$Q$10:$Q$3209,"&lt;"&amp;$A446+1)))</f>
        <v/>
      </c>
    </row>
    <row r="447">
      <c r="A447" s="55">
        <f>MIN(Inputs!$C$15,$A446+IF(WEEKDAY($A446,2)=5,3,1))</f>
        <v/>
      </c>
      <c r="B447">
        <f>IF($A447&gt;$A446,1,0)</f>
        <v/>
      </c>
      <c r="C447" s="56">
        <f>IF($B447=0,"",IF(Inputs!$B$6="","",IF($AD447=0,C446,SUMIFS(Data!$B$10:$B$3209,Data!$A$10:$A$3209,"&gt;="&amp;$A447,Data!$A$10:$A$3209,"&lt;"&amp;$A447+1)/$AD447)))</f>
        <v/>
      </c>
      <c r="D447" s="56">
        <f>IF($B447=0,"",IF(Inputs!$B$7="","",IF($AE447=0,D446,SUMIFS(Data!$F$10:$F$3209,Data!$E$10:$E$3209,"&gt;="&amp;$A447,Data!$E$10:$E$3209,"&lt;"&amp;$A447+1)/$AE447)))</f>
        <v/>
      </c>
      <c r="E447" s="56">
        <f>IF($B447=0,"",IF(Inputs!$B$8="","",IF($AF447=0,E446,SUMIFS(Data!$J$10:$J$3209,Data!$I$10:$I$3209,"&gt;="&amp;$A447,Data!$I$10:$I$3209,"&lt;"&amp;$A447+1)/$AF447)))</f>
        <v/>
      </c>
      <c r="F447" s="56">
        <f>IF($B447=0,"",IF(Inputs!$B$9="","",IF($AG447=0,F446,SUMIFS(Data!$N$10:$N$3209,Data!$M$10:$M$3209,"&gt;="&amp;$A447,Data!$M$10:$M$3209,"&lt;"&amp;$A447+1)/$AG447)))</f>
        <v/>
      </c>
      <c r="G447" s="56">
        <f>IF($B447=0,"",IF(Inputs!$B$10="","",IF($AH447=0,G446,SUMIFS(Data!$R$10:$R$3209,Data!$Q$10:$Q$3209,"&gt;="&amp;$A447,Data!$Q$10:$Q$3209,"&lt;"&amp;$A447+1)/$AH447)))</f>
        <v/>
      </c>
      <c r="I447" s="54">
        <f>IF($B447=0,NA(),IF($C447="",NA(),IF(C$8="",NA(),IF(N(C$8)=0,NA(),IF(Inputs!$C$17="Rebased to 100",$C447/C$8*100,$C447)))))</f>
        <v/>
      </c>
      <c r="J447" s="54">
        <f>IF($B447=0,NA(),IF($D447="",NA(),IF(D$8="",NA(),IF(N(D$8)=0,NA(),IF(Inputs!$C$17="Rebased to 100",$D447/D$8*100,$D447)))))</f>
        <v/>
      </c>
      <c r="K447" s="54">
        <f>IF($B447=0,NA(),IF($E447="",NA(),IF(E$8="",NA(),IF(N(E$8)=0,NA(),IF(Inputs!$C$17="Rebased to 100",$E447/E$8*100,$E447)))))</f>
        <v/>
      </c>
      <c r="L447" s="54">
        <f>IF($B447=0,NA(),IF($F447="",NA(),IF(F$8="",NA(),IF(N(F$8)=0,NA(),IF(Inputs!$C$17="Rebased to 100",$F447/F$8*100,$F447)))))</f>
        <v/>
      </c>
      <c r="M447" s="54">
        <f>IF($B447=0,NA(),IF($G447="",NA(),IF(G$8="",NA(),IF(N(G$8)=0,NA(),IF(Inputs!$C$17="Rebased to 100",$G447/G$8*100,$G447)))))</f>
        <v/>
      </c>
      <c r="N447" s="54">
        <f>IF($B447=0,NA(),IF(Inputs!$C$18&lt;&gt;"Yes",NA(),IF(COUNT(I447,J447,K447,L447,M447)=0,NA(),MIN(I447,J447,K447,L447,M447))))</f>
        <v/>
      </c>
      <c r="O447" s="54">
        <f>IF($B447=0,NA(),IF(Inputs!$B$24&lt;&gt;"Yes",NA(),Inputs!$D$24*Inputs!$C$35))</f>
        <v/>
      </c>
      <c r="P447" s="54">
        <f>IF($B447=0,NA(),IF(Inputs!$B$25&lt;&gt;"Yes",NA(),Inputs!$D$25*Inputs!$C$35))</f>
        <v/>
      </c>
      <c r="Q447" s="54">
        <f>IF($B447=0,NA(),IF(Inputs!$B$26&lt;&gt;"Yes",NA(),Inputs!$D$26*Inputs!$C$35))</f>
        <v/>
      </c>
      <c r="R447" s="54">
        <f>IF($B447=0,NA(),IF(Inputs!$B$27&lt;&gt;"Yes",NA(),Inputs!$D$27*Inputs!$C$35))</f>
        <v/>
      </c>
      <c r="S447" s="54">
        <f>IF($B447=0,NA(),IF(Inputs!$B$28&lt;&gt;"Yes",NA(),Inputs!$D$28*Inputs!$C$35))</f>
        <v/>
      </c>
      <c r="T447" s="54">
        <f>IF($B447=0,NA(),IF(Inputs!$B$29&lt;&gt;"Yes",NA(),Inputs!$D$29*Inputs!$C$35))</f>
        <v/>
      </c>
      <c r="AD447">
        <f>IF($B447=0,0,IF(Inputs!$B$6="",0,COUNTIFS(Data!$A$10:$A$3209,"&gt;="&amp;$A447,Data!$A$10:$A$3209,"&lt;"&amp;$A447+1)))</f>
        <v/>
      </c>
      <c r="AE447">
        <f>IF($B447=0,0,IF(Inputs!$B$7="",0,COUNTIFS(Data!$E$10:$E$3209,"&gt;="&amp;$A447,Data!$E$10:$E$3209,"&lt;"&amp;$A447+1)))</f>
        <v/>
      </c>
      <c r="AF447">
        <f>IF($B447=0,0,IF(Inputs!$B$8="",0,COUNTIFS(Data!$I$10:$I$3209,"&gt;="&amp;$A447,Data!$I$10:$I$3209,"&lt;"&amp;$A447+1)))</f>
        <v/>
      </c>
      <c r="AG447">
        <f>IF($B447=0,0,IF(Inputs!$B$9="",0,COUNTIFS(Data!$M$10:$M$3209,"&gt;="&amp;$A447,Data!$M$10:$M$3209,"&lt;"&amp;$A447+1)))</f>
        <v/>
      </c>
      <c r="AH447">
        <f>IF($B447=0,0,IF(Inputs!$B$10="",0,COUNTIFS(Data!$Q$10:$Q$3209,"&gt;="&amp;$A447,Data!$Q$10:$Q$3209,"&lt;"&amp;$A447+1)))</f>
        <v/>
      </c>
    </row>
    <row r="448">
      <c r="A448" s="55">
        <f>MIN(Inputs!$C$15,$A447+IF(WEEKDAY($A447,2)=5,3,1))</f>
        <v/>
      </c>
      <c r="B448">
        <f>IF($A448&gt;$A447,1,0)</f>
        <v/>
      </c>
      <c r="C448" s="56">
        <f>IF($B448=0,"",IF(Inputs!$B$6="","",IF($AD448=0,C447,SUMIFS(Data!$B$10:$B$3209,Data!$A$10:$A$3209,"&gt;="&amp;$A448,Data!$A$10:$A$3209,"&lt;"&amp;$A448+1)/$AD448)))</f>
        <v/>
      </c>
      <c r="D448" s="56">
        <f>IF($B448=0,"",IF(Inputs!$B$7="","",IF($AE448=0,D447,SUMIFS(Data!$F$10:$F$3209,Data!$E$10:$E$3209,"&gt;="&amp;$A448,Data!$E$10:$E$3209,"&lt;"&amp;$A448+1)/$AE448)))</f>
        <v/>
      </c>
      <c r="E448" s="56">
        <f>IF($B448=0,"",IF(Inputs!$B$8="","",IF($AF448=0,E447,SUMIFS(Data!$J$10:$J$3209,Data!$I$10:$I$3209,"&gt;="&amp;$A448,Data!$I$10:$I$3209,"&lt;"&amp;$A448+1)/$AF448)))</f>
        <v/>
      </c>
      <c r="F448" s="56">
        <f>IF($B448=0,"",IF(Inputs!$B$9="","",IF($AG448=0,F447,SUMIFS(Data!$N$10:$N$3209,Data!$M$10:$M$3209,"&gt;="&amp;$A448,Data!$M$10:$M$3209,"&lt;"&amp;$A448+1)/$AG448)))</f>
        <v/>
      </c>
      <c r="G448" s="56">
        <f>IF($B448=0,"",IF(Inputs!$B$10="","",IF($AH448=0,G447,SUMIFS(Data!$R$10:$R$3209,Data!$Q$10:$Q$3209,"&gt;="&amp;$A448,Data!$Q$10:$Q$3209,"&lt;"&amp;$A448+1)/$AH448)))</f>
        <v/>
      </c>
      <c r="I448" s="54">
        <f>IF($B448=0,NA(),IF($C448="",NA(),IF(C$8="",NA(),IF(N(C$8)=0,NA(),IF(Inputs!$C$17="Rebased to 100",$C448/C$8*100,$C448)))))</f>
        <v/>
      </c>
      <c r="J448" s="54">
        <f>IF($B448=0,NA(),IF($D448="",NA(),IF(D$8="",NA(),IF(N(D$8)=0,NA(),IF(Inputs!$C$17="Rebased to 100",$D448/D$8*100,$D448)))))</f>
        <v/>
      </c>
      <c r="K448" s="54">
        <f>IF($B448=0,NA(),IF($E448="",NA(),IF(E$8="",NA(),IF(N(E$8)=0,NA(),IF(Inputs!$C$17="Rebased to 100",$E448/E$8*100,$E448)))))</f>
        <v/>
      </c>
      <c r="L448" s="54">
        <f>IF($B448=0,NA(),IF($F448="",NA(),IF(F$8="",NA(),IF(N(F$8)=0,NA(),IF(Inputs!$C$17="Rebased to 100",$F448/F$8*100,$F448)))))</f>
        <v/>
      </c>
      <c r="M448" s="54">
        <f>IF($B448=0,NA(),IF($G448="",NA(),IF(G$8="",NA(),IF(N(G$8)=0,NA(),IF(Inputs!$C$17="Rebased to 100",$G448/G$8*100,$G448)))))</f>
        <v/>
      </c>
      <c r="N448" s="54">
        <f>IF($B448=0,NA(),IF(Inputs!$C$18&lt;&gt;"Yes",NA(),IF(COUNT(I448,J448,K448,L448,M448)=0,NA(),MIN(I448,J448,K448,L448,M448))))</f>
        <v/>
      </c>
      <c r="O448" s="54">
        <f>IF($B448=0,NA(),IF(Inputs!$B$24&lt;&gt;"Yes",NA(),Inputs!$D$24*Inputs!$C$35))</f>
        <v/>
      </c>
      <c r="P448" s="54">
        <f>IF($B448=0,NA(),IF(Inputs!$B$25&lt;&gt;"Yes",NA(),Inputs!$D$25*Inputs!$C$35))</f>
        <v/>
      </c>
      <c r="Q448" s="54">
        <f>IF($B448=0,NA(),IF(Inputs!$B$26&lt;&gt;"Yes",NA(),Inputs!$D$26*Inputs!$C$35))</f>
        <v/>
      </c>
      <c r="R448" s="54">
        <f>IF($B448=0,NA(),IF(Inputs!$B$27&lt;&gt;"Yes",NA(),Inputs!$D$27*Inputs!$C$35))</f>
        <v/>
      </c>
      <c r="S448" s="54">
        <f>IF($B448=0,NA(),IF(Inputs!$B$28&lt;&gt;"Yes",NA(),Inputs!$D$28*Inputs!$C$35))</f>
        <v/>
      </c>
      <c r="T448" s="54">
        <f>IF($B448=0,NA(),IF(Inputs!$B$29&lt;&gt;"Yes",NA(),Inputs!$D$29*Inputs!$C$35))</f>
        <v/>
      </c>
      <c r="AD448">
        <f>IF($B448=0,0,IF(Inputs!$B$6="",0,COUNTIFS(Data!$A$10:$A$3209,"&gt;="&amp;$A448,Data!$A$10:$A$3209,"&lt;"&amp;$A448+1)))</f>
        <v/>
      </c>
      <c r="AE448">
        <f>IF($B448=0,0,IF(Inputs!$B$7="",0,COUNTIFS(Data!$E$10:$E$3209,"&gt;="&amp;$A448,Data!$E$10:$E$3209,"&lt;"&amp;$A448+1)))</f>
        <v/>
      </c>
      <c r="AF448">
        <f>IF($B448=0,0,IF(Inputs!$B$8="",0,COUNTIFS(Data!$I$10:$I$3209,"&gt;="&amp;$A448,Data!$I$10:$I$3209,"&lt;"&amp;$A448+1)))</f>
        <v/>
      </c>
      <c r="AG448">
        <f>IF($B448=0,0,IF(Inputs!$B$9="",0,COUNTIFS(Data!$M$10:$M$3209,"&gt;="&amp;$A448,Data!$M$10:$M$3209,"&lt;"&amp;$A448+1)))</f>
        <v/>
      </c>
      <c r="AH448">
        <f>IF($B448=0,0,IF(Inputs!$B$10="",0,COUNTIFS(Data!$Q$10:$Q$3209,"&gt;="&amp;$A448,Data!$Q$10:$Q$3209,"&lt;"&amp;$A448+1)))</f>
        <v/>
      </c>
    </row>
    <row r="449">
      <c r="A449" s="55">
        <f>MIN(Inputs!$C$15,$A448+IF(WEEKDAY($A448,2)=5,3,1))</f>
        <v/>
      </c>
      <c r="B449">
        <f>IF($A449&gt;$A448,1,0)</f>
        <v/>
      </c>
      <c r="C449" s="56">
        <f>IF($B449=0,"",IF(Inputs!$B$6="","",IF($AD449=0,C448,SUMIFS(Data!$B$10:$B$3209,Data!$A$10:$A$3209,"&gt;="&amp;$A449,Data!$A$10:$A$3209,"&lt;"&amp;$A449+1)/$AD449)))</f>
        <v/>
      </c>
      <c r="D449" s="56">
        <f>IF($B449=0,"",IF(Inputs!$B$7="","",IF($AE449=0,D448,SUMIFS(Data!$F$10:$F$3209,Data!$E$10:$E$3209,"&gt;="&amp;$A449,Data!$E$10:$E$3209,"&lt;"&amp;$A449+1)/$AE449)))</f>
        <v/>
      </c>
      <c r="E449" s="56">
        <f>IF($B449=0,"",IF(Inputs!$B$8="","",IF($AF449=0,E448,SUMIFS(Data!$J$10:$J$3209,Data!$I$10:$I$3209,"&gt;="&amp;$A449,Data!$I$10:$I$3209,"&lt;"&amp;$A449+1)/$AF449)))</f>
        <v/>
      </c>
      <c r="F449" s="56">
        <f>IF($B449=0,"",IF(Inputs!$B$9="","",IF($AG449=0,F448,SUMIFS(Data!$N$10:$N$3209,Data!$M$10:$M$3209,"&gt;="&amp;$A449,Data!$M$10:$M$3209,"&lt;"&amp;$A449+1)/$AG449)))</f>
        <v/>
      </c>
      <c r="G449" s="56">
        <f>IF($B449=0,"",IF(Inputs!$B$10="","",IF($AH449=0,G448,SUMIFS(Data!$R$10:$R$3209,Data!$Q$10:$Q$3209,"&gt;="&amp;$A449,Data!$Q$10:$Q$3209,"&lt;"&amp;$A449+1)/$AH449)))</f>
        <v/>
      </c>
      <c r="I449" s="54">
        <f>IF($B449=0,NA(),IF($C449="",NA(),IF(C$8="",NA(),IF(N(C$8)=0,NA(),IF(Inputs!$C$17="Rebased to 100",$C449/C$8*100,$C449)))))</f>
        <v/>
      </c>
      <c r="J449" s="54">
        <f>IF($B449=0,NA(),IF($D449="",NA(),IF(D$8="",NA(),IF(N(D$8)=0,NA(),IF(Inputs!$C$17="Rebased to 100",$D449/D$8*100,$D449)))))</f>
        <v/>
      </c>
      <c r="K449" s="54">
        <f>IF($B449=0,NA(),IF($E449="",NA(),IF(E$8="",NA(),IF(N(E$8)=0,NA(),IF(Inputs!$C$17="Rebased to 100",$E449/E$8*100,$E449)))))</f>
        <v/>
      </c>
      <c r="L449" s="54">
        <f>IF($B449=0,NA(),IF($F449="",NA(),IF(F$8="",NA(),IF(N(F$8)=0,NA(),IF(Inputs!$C$17="Rebased to 100",$F449/F$8*100,$F449)))))</f>
        <v/>
      </c>
      <c r="M449" s="54">
        <f>IF($B449=0,NA(),IF($G449="",NA(),IF(G$8="",NA(),IF(N(G$8)=0,NA(),IF(Inputs!$C$17="Rebased to 100",$G449/G$8*100,$G449)))))</f>
        <v/>
      </c>
      <c r="N449" s="54">
        <f>IF($B449=0,NA(),IF(Inputs!$C$18&lt;&gt;"Yes",NA(),IF(COUNT(I449,J449,K449,L449,M449)=0,NA(),MIN(I449,J449,K449,L449,M449))))</f>
        <v/>
      </c>
      <c r="O449" s="54">
        <f>IF($B449=0,NA(),IF(Inputs!$B$24&lt;&gt;"Yes",NA(),Inputs!$D$24*Inputs!$C$35))</f>
        <v/>
      </c>
      <c r="P449" s="54">
        <f>IF($B449=0,NA(),IF(Inputs!$B$25&lt;&gt;"Yes",NA(),Inputs!$D$25*Inputs!$C$35))</f>
        <v/>
      </c>
      <c r="Q449" s="54">
        <f>IF($B449=0,NA(),IF(Inputs!$B$26&lt;&gt;"Yes",NA(),Inputs!$D$26*Inputs!$C$35))</f>
        <v/>
      </c>
      <c r="R449" s="54">
        <f>IF($B449=0,NA(),IF(Inputs!$B$27&lt;&gt;"Yes",NA(),Inputs!$D$27*Inputs!$C$35))</f>
        <v/>
      </c>
      <c r="S449" s="54">
        <f>IF($B449=0,NA(),IF(Inputs!$B$28&lt;&gt;"Yes",NA(),Inputs!$D$28*Inputs!$C$35))</f>
        <v/>
      </c>
      <c r="T449" s="54">
        <f>IF($B449=0,NA(),IF(Inputs!$B$29&lt;&gt;"Yes",NA(),Inputs!$D$29*Inputs!$C$35))</f>
        <v/>
      </c>
      <c r="AD449">
        <f>IF($B449=0,0,IF(Inputs!$B$6="",0,COUNTIFS(Data!$A$10:$A$3209,"&gt;="&amp;$A449,Data!$A$10:$A$3209,"&lt;"&amp;$A449+1)))</f>
        <v/>
      </c>
      <c r="AE449">
        <f>IF($B449=0,0,IF(Inputs!$B$7="",0,COUNTIFS(Data!$E$10:$E$3209,"&gt;="&amp;$A449,Data!$E$10:$E$3209,"&lt;"&amp;$A449+1)))</f>
        <v/>
      </c>
      <c r="AF449">
        <f>IF($B449=0,0,IF(Inputs!$B$8="",0,COUNTIFS(Data!$I$10:$I$3209,"&gt;="&amp;$A449,Data!$I$10:$I$3209,"&lt;"&amp;$A449+1)))</f>
        <v/>
      </c>
      <c r="AG449">
        <f>IF($B449=0,0,IF(Inputs!$B$9="",0,COUNTIFS(Data!$M$10:$M$3209,"&gt;="&amp;$A449,Data!$M$10:$M$3209,"&lt;"&amp;$A449+1)))</f>
        <v/>
      </c>
      <c r="AH449">
        <f>IF($B449=0,0,IF(Inputs!$B$10="",0,COUNTIFS(Data!$Q$10:$Q$3209,"&gt;="&amp;$A449,Data!$Q$10:$Q$3209,"&lt;"&amp;$A449+1)))</f>
        <v/>
      </c>
    </row>
    <row r="450">
      <c r="A450" s="55">
        <f>MIN(Inputs!$C$15,$A449+IF(WEEKDAY($A449,2)=5,3,1))</f>
        <v/>
      </c>
      <c r="B450">
        <f>IF($A450&gt;$A449,1,0)</f>
        <v/>
      </c>
      <c r="C450" s="56">
        <f>IF($B450=0,"",IF(Inputs!$B$6="","",IF($AD450=0,C449,SUMIFS(Data!$B$10:$B$3209,Data!$A$10:$A$3209,"&gt;="&amp;$A450,Data!$A$10:$A$3209,"&lt;"&amp;$A450+1)/$AD450)))</f>
        <v/>
      </c>
      <c r="D450" s="56">
        <f>IF($B450=0,"",IF(Inputs!$B$7="","",IF($AE450=0,D449,SUMIFS(Data!$F$10:$F$3209,Data!$E$10:$E$3209,"&gt;="&amp;$A450,Data!$E$10:$E$3209,"&lt;"&amp;$A450+1)/$AE450)))</f>
        <v/>
      </c>
      <c r="E450" s="56">
        <f>IF($B450=0,"",IF(Inputs!$B$8="","",IF($AF450=0,E449,SUMIFS(Data!$J$10:$J$3209,Data!$I$10:$I$3209,"&gt;="&amp;$A450,Data!$I$10:$I$3209,"&lt;"&amp;$A450+1)/$AF450)))</f>
        <v/>
      </c>
      <c r="F450" s="56">
        <f>IF($B450=0,"",IF(Inputs!$B$9="","",IF($AG450=0,F449,SUMIFS(Data!$N$10:$N$3209,Data!$M$10:$M$3209,"&gt;="&amp;$A450,Data!$M$10:$M$3209,"&lt;"&amp;$A450+1)/$AG450)))</f>
        <v/>
      </c>
      <c r="G450" s="56">
        <f>IF($B450=0,"",IF(Inputs!$B$10="","",IF($AH450=0,G449,SUMIFS(Data!$R$10:$R$3209,Data!$Q$10:$Q$3209,"&gt;="&amp;$A450,Data!$Q$10:$Q$3209,"&lt;"&amp;$A450+1)/$AH450)))</f>
        <v/>
      </c>
      <c r="I450" s="54">
        <f>IF($B450=0,NA(),IF($C450="",NA(),IF(C$8="",NA(),IF(N(C$8)=0,NA(),IF(Inputs!$C$17="Rebased to 100",$C450/C$8*100,$C450)))))</f>
        <v/>
      </c>
      <c r="J450" s="54">
        <f>IF($B450=0,NA(),IF($D450="",NA(),IF(D$8="",NA(),IF(N(D$8)=0,NA(),IF(Inputs!$C$17="Rebased to 100",$D450/D$8*100,$D450)))))</f>
        <v/>
      </c>
      <c r="K450" s="54">
        <f>IF($B450=0,NA(),IF($E450="",NA(),IF(E$8="",NA(),IF(N(E$8)=0,NA(),IF(Inputs!$C$17="Rebased to 100",$E450/E$8*100,$E450)))))</f>
        <v/>
      </c>
      <c r="L450" s="54">
        <f>IF($B450=0,NA(),IF($F450="",NA(),IF(F$8="",NA(),IF(N(F$8)=0,NA(),IF(Inputs!$C$17="Rebased to 100",$F450/F$8*100,$F450)))))</f>
        <v/>
      </c>
      <c r="M450" s="54">
        <f>IF($B450=0,NA(),IF($G450="",NA(),IF(G$8="",NA(),IF(N(G$8)=0,NA(),IF(Inputs!$C$17="Rebased to 100",$G450/G$8*100,$G450)))))</f>
        <v/>
      </c>
      <c r="N450" s="54">
        <f>IF($B450=0,NA(),IF(Inputs!$C$18&lt;&gt;"Yes",NA(),IF(COUNT(I450,J450,K450,L450,M450)=0,NA(),MIN(I450,J450,K450,L450,M450))))</f>
        <v/>
      </c>
      <c r="O450" s="54">
        <f>IF($B450=0,NA(),IF(Inputs!$B$24&lt;&gt;"Yes",NA(),Inputs!$D$24*Inputs!$C$35))</f>
        <v/>
      </c>
      <c r="P450" s="54">
        <f>IF($B450=0,NA(),IF(Inputs!$B$25&lt;&gt;"Yes",NA(),Inputs!$D$25*Inputs!$C$35))</f>
        <v/>
      </c>
      <c r="Q450" s="54">
        <f>IF($B450=0,NA(),IF(Inputs!$B$26&lt;&gt;"Yes",NA(),Inputs!$D$26*Inputs!$C$35))</f>
        <v/>
      </c>
      <c r="R450" s="54">
        <f>IF($B450=0,NA(),IF(Inputs!$B$27&lt;&gt;"Yes",NA(),Inputs!$D$27*Inputs!$C$35))</f>
        <v/>
      </c>
      <c r="S450" s="54">
        <f>IF($B450=0,NA(),IF(Inputs!$B$28&lt;&gt;"Yes",NA(),Inputs!$D$28*Inputs!$C$35))</f>
        <v/>
      </c>
      <c r="T450" s="54">
        <f>IF($B450=0,NA(),IF(Inputs!$B$29&lt;&gt;"Yes",NA(),Inputs!$D$29*Inputs!$C$35))</f>
        <v/>
      </c>
      <c r="AD450">
        <f>IF($B450=0,0,IF(Inputs!$B$6="",0,COUNTIFS(Data!$A$10:$A$3209,"&gt;="&amp;$A450,Data!$A$10:$A$3209,"&lt;"&amp;$A450+1)))</f>
        <v/>
      </c>
      <c r="AE450">
        <f>IF($B450=0,0,IF(Inputs!$B$7="",0,COUNTIFS(Data!$E$10:$E$3209,"&gt;="&amp;$A450,Data!$E$10:$E$3209,"&lt;"&amp;$A450+1)))</f>
        <v/>
      </c>
      <c r="AF450">
        <f>IF($B450=0,0,IF(Inputs!$B$8="",0,COUNTIFS(Data!$I$10:$I$3209,"&gt;="&amp;$A450,Data!$I$10:$I$3209,"&lt;"&amp;$A450+1)))</f>
        <v/>
      </c>
      <c r="AG450">
        <f>IF($B450=0,0,IF(Inputs!$B$9="",0,COUNTIFS(Data!$M$10:$M$3209,"&gt;="&amp;$A450,Data!$M$10:$M$3209,"&lt;"&amp;$A450+1)))</f>
        <v/>
      </c>
      <c r="AH450">
        <f>IF($B450=0,0,IF(Inputs!$B$10="",0,COUNTIFS(Data!$Q$10:$Q$3209,"&gt;="&amp;$A450,Data!$Q$10:$Q$3209,"&lt;"&amp;$A450+1)))</f>
        <v/>
      </c>
    </row>
    <row r="451">
      <c r="A451" s="55">
        <f>MIN(Inputs!$C$15,$A450+IF(WEEKDAY($A450,2)=5,3,1))</f>
        <v/>
      </c>
      <c r="B451">
        <f>IF($A451&gt;$A450,1,0)</f>
        <v/>
      </c>
      <c r="C451" s="56">
        <f>IF($B451=0,"",IF(Inputs!$B$6="","",IF($AD451=0,C450,SUMIFS(Data!$B$10:$B$3209,Data!$A$10:$A$3209,"&gt;="&amp;$A451,Data!$A$10:$A$3209,"&lt;"&amp;$A451+1)/$AD451)))</f>
        <v/>
      </c>
      <c r="D451" s="56">
        <f>IF($B451=0,"",IF(Inputs!$B$7="","",IF($AE451=0,D450,SUMIFS(Data!$F$10:$F$3209,Data!$E$10:$E$3209,"&gt;="&amp;$A451,Data!$E$10:$E$3209,"&lt;"&amp;$A451+1)/$AE451)))</f>
        <v/>
      </c>
      <c r="E451" s="56">
        <f>IF($B451=0,"",IF(Inputs!$B$8="","",IF($AF451=0,E450,SUMIFS(Data!$J$10:$J$3209,Data!$I$10:$I$3209,"&gt;="&amp;$A451,Data!$I$10:$I$3209,"&lt;"&amp;$A451+1)/$AF451)))</f>
        <v/>
      </c>
      <c r="F451" s="56">
        <f>IF($B451=0,"",IF(Inputs!$B$9="","",IF($AG451=0,F450,SUMIFS(Data!$N$10:$N$3209,Data!$M$10:$M$3209,"&gt;="&amp;$A451,Data!$M$10:$M$3209,"&lt;"&amp;$A451+1)/$AG451)))</f>
        <v/>
      </c>
      <c r="G451" s="56">
        <f>IF($B451=0,"",IF(Inputs!$B$10="","",IF($AH451=0,G450,SUMIFS(Data!$R$10:$R$3209,Data!$Q$10:$Q$3209,"&gt;="&amp;$A451,Data!$Q$10:$Q$3209,"&lt;"&amp;$A451+1)/$AH451)))</f>
        <v/>
      </c>
      <c r="I451" s="54">
        <f>IF($B451=0,NA(),IF($C451="",NA(),IF(C$8="",NA(),IF(N(C$8)=0,NA(),IF(Inputs!$C$17="Rebased to 100",$C451/C$8*100,$C451)))))</f>
        <v/>
      </c>
      <c r="J451" s="54">
        <f>IF($B451=0,NA(),IF($D451="",NA(),IF(D$8="",NA(),IF(N(D$8)=0,NA(),IF(Inputs!$C$17="Rebased to 100",$D451/D$8*100,$D451)))))</f>
        <v/>
      </c>
      <c r="K451" s="54">
        <f>IF($B451=0,NA(),IF($E451="",NA(),IF(E$8="",NA(),IF(N(E$8)=0,NA(),IF(Inputs!$C$17="Rebased to 100",$E451/E$8*100,$E451)))))</f>
        <v/>
      </c>
      <c r="L451" s="54">
        <f>IF($B451=0,NA(),IF($F451="",NA(),IF(F$8="",NA(),IF(N(F$8)=0,NA(),IF(Inputs!$C$17="Rebased to 100",$F451/F$8*100,$F451)))))</f>
        <v/>
      </c>
      <c r="M451" s="54">
        <f>IF($B451=0,NA(),IF($G451="",NA(),IF(G$8="",NA(),IF(N(G$8)=0,NA(),IF(Inputs!$C$17="Rebased to 100",$G451/G$8*100,$G451)))))</f>
        <v/>
      </c>
      <c r="N451" s="54">
        <f>IF($B451=0,NA(),IF(Inputs!$C$18&lt;&gt;"Yes",NA(),IF(COUNT(I451,J451,K451,L451,M451)=0,NA(),MIN(I451,J451,K451,L451,M451))))</f>
        <v/>
      </c>
      <c r="O451" s="54">
        <f>IF($B451=0,NA(),IF(Inputs!$B$24&lt;&gt;"Yes",NA(),Inputs!$D$24*Inputs!$C$35))</f>
        <v/>
      </c>
      <c r="P451" s="54">
        <f>IF($B451=0,NA(),IF(Inputs!$B$25&lt;&gt;"Yes",NA(),Inputs!$D$25*Inputs!$C$35))</f>
        <v/>
      </c>
      <c r="Q451" s="54">
        <f>IF($B451=0,NA(),IF(Inputs!$B$26&lt;&gt;"Yes",NA(),Inputs!$D$26*Inputs!$C$35))</f>
        <v/>
      </c>
      <c r="R451" s="54">
        <f>IF($B451=0,NA(),IF(Inputs!$B$27&lt;&gt;"Yes",NA(),Inputs!$D$27*Inputs!$C$35))</f>
        <v/>
      </c>
      <c r="S451" s="54">
        <f>IF($B451=0,NA(),IF(Inputs!$B$28&lt;&gt;"Yes",NA(),Inputs!$D$28*Inputs!$C$35))</f>
        <v/>
      </c>
      <c r="T451" s="54">
        <f>IF($B451=0,NA(),IF(Inputs!$B$29&lt;&gt;"Yes",NA(),Inputs!$D$29*Inputs!$C$35))</f>
        <v/>
      </c>
      <c r="AD451">
        <f>IF($B451=0,0,IF(Inputs!$B$6="",0,COUNTIFS(Data!$A$10:$A$3209,"&gt;="&amp;$A451,Data!$A$10:$A$3209,"&lt;"&amp;$A451+1)))</f>
        <v/>
      </c>
      <c r="AE451">
        <f>IF($B451=0,0,IF(Inputs!$B$7="",0,COUNTIFS(Data!$E$10:$E$3209,"&gt;="&amp;$A451,Data!$E$10:$E$3209,"&lt;"&amp;$A451+1)))</f>
        <v/>
      </c>
      <c r="AF451">
        <f>IF($B451=0,0,IF(Inputs!$B$8="",0,COUNTIFS(Data!$I$10:$I$3209,"&gt;="&amp;$A451,Data!$I$10:$I$3209,"&lt;"&amp;$A451+1)))</f>
        <v/>
      </c>
      <c r="AG451">
        <f>IF($B451=0,0,IF(Inputs!$B$9="",0,COUNTIFS(Data!$M$10:$M$3209,"&gt;="&amp;$A451,Data!$M$10:$M$3209,"&lt;"&amp;$A451+1)))</f>
        <v/>
      </c>
      <c r="AH451">
        <f>IF($B451=0,0,IF(Inputs!$B$10="",0,COUNTIFS(Data!$Q$10:$Q$3209,"&gt;="&amp;$A451,Data!$Q$10:$Q$3209,"&lt;"&amp;$A451+1)))</f>
        <v/>
      </c>
    </row>
    <row r="452">
      <c r="A452" s="55">
        <f>MIN(Inputs!$C$15,$A451+IF(WEEKDAY($A451,2)=5,3,1))</f>
        <v/>
      </c>
      <c r="B452">
        <f>IF($A452&gt;$A451,1,0)</f>
        <v/>
      </c>
      <c r="C452" s="56">
        <f>IF($B452=0,"",IF(Inputs!$B$6="","",IF($AD452=0,C451,SUMIFS(Data!$B$10:$B$3209,Data!$A$10:$A$3209,"&gt;="&amp;$A452,Data!$A$10:$A$3209,"&lt;"&amp;$A452+1)/$AD452)))</f>
        <v/>
      </c>
      <c r="D452" s="56">
        <f>IF($B452=0,"",IF(Inputs!$B$7="","",IF($AE452=0,D451,SUMIFS(Data!$F$10:$F$3209,Data!$E$10:$E$3209,"&gt;="&amp;$A452,Data!$E$10:$E$3209,"&lt;"&amp;$A452+1)/$AE452)))</f>
        <v/>
      </c>
      <c r="E452" s="56">
        <f>IF($B452=0,"",IF(Inputs!$B$8="","",IF($AF452=0,E451,SUMIFS(Data!$J$10:$J$3209,Data!$I$10:$I$3209,"&gt;="&amp;$A452,Data!$I$10:$I$3209,"&lt;"&amp;$A452+1)/$AF452)))</f>
        <v/>
      </c>
      <c r="F452" s="56">
        <f>IF($B452=0,"",IF(Inputs!$B$9="","",IF($AG452=0,F451,SUMIFS(Data!$N$10:$N$3209,Data!$M$10:$M$3209,"&gt;="&amp;$A452,Data!$M$10:$M$3209,"&lt;"&amp;$A452+1)/$AG452)))</f>
        <v/>
      </c>
      <c r="G452" s="56">
        <f>IF($B452=0,"",IF(Inputs!$B$10="","",IF($AH452=0,G451,SUMIFS(Data!$R$10:$R$3209,Data!$Q$10:$Q$3209,"&gt;="&amp;$A452,Data!$Q$10:$Q$3209,"&lt;"&amp;$A452+1)/$AH452)))</f>
        <v/>
      </c>
      <c r="I452" s="54">
        <f>IF($B452=0,NA(),IF($C452="",NA(),IF(C$8="",NA(),IF(N(C$8)=0,NA(),IF(Inputs!$C$17="Rebased to 100",$C452/C$8*100,$C452)))))</f>
        <v/>
      </c>
      <c r="J452" s="54">
        <f>IF($B452=0,NA(),IF($D452="",NA(),IF(D$8="",NA(),IF(N(D$8)=0,NA(),IF(Inputs!$C$17="Rebased to 100",$D452/D$8*100,$D452)))))</f>
        <v/>
      </c>
      <c r="K452" s="54">
        <f>IF($B452=0,NA(),IF($E452="",NA(),IF(E$8="",NA(),IF(N(E$8)=0,NA(),IF(Inputs!$C$17="Rebased to 100",$E452/E$8*100,$E452)))))</f>
        <v/>
      </c>
      <c r="L452" s="54">
        <f>IF($B452=0,NA(),IF($F452="",NA(),IF(F$8="",NA(),IF(N(F$8)=0,NA(),IF(Inputs!$C$17="Rebased to 100",$F452/F$8*100,$F452)))))</f>
        <v/>
      </c>
      <c r="M452" s="54">
        <f>IF($B452=0,NA(),IF($G452="",NA(),IF(G$8="",NA(),IF(N(G$8)=0,NA(),IF(Inputs!$C$17="Rebased to 100",$G452/G$8*100,$G452)))))</f>
        <v/>
      </c>
      <c r="N452" s="54">
        <f>IF($B452=0,NA(),IF(Inputs!$C$18&lt;&gt;"Yes",NA(),IF(COUNT(I452,J452,K452,L452,M452)=0,NA(),MIN(I452,J452,K452,L452,M452))))</f>
        <v/>
      </c>
      <c r="O452" s="54">
        <f>IF($B452=0,NA(),IF(Inputs!$B$24&lt;&gt;"Yes",NA(),Inputs!$D$24*Inputs!$C$35))</f>
        <v/>
      </c>
      <c r="P452" s="54">
        <f>IF($B452=0,NA(),IF(Inputs!$B$25&lt;&gt;"Yes",NA(),Inputs!$D$25*Inputs!$C$35))</f>
        <v/>
      </c>
      <c r="Q452" s="54">
        <f>IF($B452=0,NA(),IF(Inputs!$B$26&lt;&gt;"Yes",NA(),Inputs!$D$26*Inputs!$C$35))</f>
        <v/>
      </c>
      <c r="R452" s="54">
        <f>IF($B452=0,NA(),IF(Inputs!$B$27&lt;&gt;"Yes",NA(),Inputs!$D$27*Inputs!$C$35))</f>
        <v/>
      </c>
      <c r="S452" s="54">
        <f>IF($B452=0,NA(),IF(Inputs!$B$28&lt;&gt;"Yes",NA(),Inputs!$D$28*Inputs!$C$35))</f>
        <v/>
      </c>
      <c r="T452" s="54">
        <f>IF($B452=0,NA(),IF(Inputs!$B$29&lt;&gt;"Yes",NA(),Inputs!$D$29*Inputs!$C$35))</f>
        <v/>
      </c>
      <c r="AD452">
        <f>IF($B452=0,0,IF(Inputs!$B$6="",0,COUNTIFS(Data!$A$10:$A$3209,"&gt;="&amp;$A452,Data!$A$10:$A$3209,"&lt;"&amp;$A452+1)))</f>
        <v/>
      </c>
      <c r="AE452">
        <f>IF($B452=0,0,IF(Inputs!$B$7="",0,COUNTIFS(Data!$E$10:$E$3209,"&gt;="&amp;$A452,Data!$E$10:$E$3209,"&lt;"&amp;$A452+1)))</f>
        <v/>
      </c>
      <c r="AF452">
        <f>IF($B452=0,0,IF(Inputs!$B$8="",0,COUNTIFS(Data!$I$10:$I$3209,"&gt;="&amp;$A452,Data!$I$10:$I$3209,"&lt;"&amp;$A452+1)))</f>
        <v/>
      </c>
      <c r="AG452">
        <f>IF($B452=0,0,IF(Inputs!$B$9="",0,COUNTIFS(Data!$M$10:$M$3209,"&gt;="&amp;$A452,Data!$M$10:$M$3209,"&lt;"&amp;$A452+1)))</f>
        <v/>
      </c>
      <c r="AH452">
        <f>IF($B452=0,0,IF(Inputs!$B$10="",0,COUNTIFS(Data!$Q$10:$Q$3209,"&gt;="&amp;$A452,Data!$Q$10:$Q$3209,"&lt;"&amp;$A452+1)))</f>
        <v/>
      </c>
    </row>
    <row r="453">
      <c r="A453" s="55">
        <f>MIN(Inputs!$C$15,$A452+IF(WEEKDAY($A452,2)=5,3,1))</f>
        <v/>
      </c>
      <c r="B453">
        <f>IF($A453&gt;$A452,1,0)</f>
        <v/>
      </c>
      <c r="C453" s="56">
        <f>IF($B453=0,"",IF(Inputs!$B$6="","",IF($AD453=0,C452,SUMIFS(Data!$B$10:$B$3209,Data!$A$10:$A$3209,"&gt;="&amp;$A453,Data!$A$10:$A$3209,"&lt;"&amp;$A453+1)/$AD453)))</f>
        <v/>
      </c>
      <c r="D453" s="56">
        <f>IF($B453=0,"",IF(Inputs!$B$7="","",IF($AE453=0,D452,SUMIFS(Data!$F$10:$F$3209,Data!$E$10:$E$3209,"&gt;="&amp;$A453,Data!$E$10:$E$3209,"&lt;"&amp;$A453+1)/$AE453)))</f>
        <v/>
      </c>
      <c r="E453" s="56">
        <f>IF($B453=0,"",IF(Inputs!$B$8="","",IF($AF453=0,E452,SUMIFS(Data!$J$10:$J$3209,Data!$I$10:$I$3209,"&gt;="&amp;$A453,Data!$I$10:$I$3209,"&lt;"&amp;$A453+1)/$AF453)))</f>
        <v/>
      </c>
      <c r="F453" s="56">
        <f>IF($B453=0,"",IF(Inputs!$B$9="","",IF($AG453=0,F452,SUMIFS(Data!$N$10:$N$3209,Data!$M$10:$M$3209,"&gt;="&amp;$A453,Data!$M$10:$M$3209,"&lt;"&amp;$A453+1)/$AG453)))</f>
        <v/>
      </c>
      <c r="G453" s="56">
        <f>IF($B453=0,"",IF(Inputs!$B$10="","",IF($AH453=0,G452,SUMIFS(Data!$R$10:$R$3209,Data!$Q$10:$Q$3209,"&gt;="&amp;$A453,Data!$Q$10:$Q$3209,"&lt;"&amp;$A453+1)/$AH453)))</f>
        <v/>
      </c>
      <c r="I453" s="54">
        <f>IF($B453=0,NA(),IF($C453="",NA(),IF(C$8="",NA(),IF(N(C$8)=0,NA(),IF(Inputs!$C$17="Rebased to 100",$C453/C$8*100,$C453)))))</f>
        <v/>
      </c>
      <c r="J453" s="54">
        <f>IF($B453=0,NA(),IF($D453="",NA(),IF(D$8="",NA(),IF(N(D$8)=0,NA(),IF(Inputs!$C$17="Rebased to 100",$D453/D$8*100,$D453)))))</f>
        <v/>
      </c>
      <c r="K453" s="54">
        <f>IF($B453=0,NA(),IF($E453="",NA(),IF(E$8="",NA(),IF(N(E$8)=0,NA(),IF(Inputs!$C$17="Rebased to 100",$E453/E$8*100,$E453)))))</f>
        <v/>
      </c>
      <c r="L453" s="54">
        <f>IF($B453=0,NA(),IF($F453="",NA(),IF(F$8="",NA(),IF(N(F$8)=0,NA(),IF(Inputs!$C$17="Rebased to 100",$F453/F$8*100,$F453)))))</f>
        <v/>
      </c>
      <c r="M453" s="54">
        <f>IF($B453=0,NA(),IF($G453="",NA(),IF(G$8="",NA(),IF(N(G$8)=0,NA(),IF(Inputs!$C$17="Rebased to 100",$G453/G$8*100,$G453)))))</f>
        <v/>
      </c>
      <c r="N453" s="54">
        <f>IF($B453=0,NA(),IF(Inputs!$C$18&lt;&gt;"Yes",NA(),IF(COUNT(I453,J453,K453,L453,M453)=0,NA(),MIN(I453,J453,K453,L453,M453))))</f>
        <v/>
      </c>
      <c r="O453" s="54">
        <f>IF($B453=0,NA(),IF(Inputs!$B$24&lt;&gt;"Yes",NA(),Inputs!$D$24*Inputs!$C$35))</f>
        <v/>
      </c>
      <c r="P453" s="54">
        <f>IF($B453=0,NA(),IF(Inputs!$B$25&lt;&gt;"Yes",NA(),Inputs!$D$25*Inputs!$C$35))</f>
        <v/>
      </c>
      <c r="Q453" s="54">
        <f>IF($B453=0,NA(),IF(Inputs!$B$26&lt;&gt;"Yes",NA(),Inputs!$D$26*Inputs!$C$35))</f>
        <v/>
      </c>
      <c r="R453" s="54">
        <f>IF($B453=0,NA(),IF(Inputs!$B$27&lt;&gt;"Yes",NA(),Inputs!$D$27*Inputs!$C$35))</f>
        <v/>
      </c>
      <c r="S453" s="54">
        <f>IF($B453=0,NA(),IF(Inputs!$B$28&lt;&gt;"Yes",NA(),Inputs!$D$28*Inputs!$C$35))</f>
        <v/>
      </c>
      <c r="T453" s="54">
        <f>IF($B453=0,NA(),IF(Inputs!$B$29&lt;&gt;"Yes",NA(),Inputs!$D$29*Inputs!$C$35))</f>
        <v/>
      </c>
      <c r="AD453">
        <f>IF($B453=0,0,IF(Inputs!$B$6="",0,COUNTIFS(Data!$A$10:$A$3209,"&gt;="&amp;$A453,Data!$A$10:$A$3209,"&lt;"&amp;$A453+1)))</f>
        <v/>
      </c>
      <c r="AE453">
        <f>IF($B453=0,0,IF(Inputs!$B$7="",0,COUNTIFS(Data!$E$10:$E$3209,"&gt;="&amp;$A453,Data!$E$10:$E$3209,"&lt;"&amp;$A453+1)))</f>
        <v/>
      </c>
      <c r="AF453">
        <f>IF($B453=0,0,IF(Inputs!$B$8="",0,COUNTIFS(Data!$I$10:$I$3209,"&gt;="&amp;$A453,Data!$I$10:$I$3209,"&lt;"&amp;$A453+1)))</f>
        <v/>
      </c>
      <c r="AG453">
        <f>IF($B453=0,0,IF(Inputs!$B$9="",0,COUNTIFS(Data!$M$10:$M$3209,"&gt;="&amp;$A453,Data!$M$10:$M$3209,"&lt;"&amp;$A453+1)))</f>
        <v/>
      </c>
      <c r="AH453">
        <f>IF($B453=0,0,IF(Inputs!$B$10="",0,COUNTIFS(Data!$Q$10:$Q$3209,"&gt;="&amp;$A453,Data!$Q$10:$Q$3209,"&lt;"&amp;$A453+1)))</f>
        <v/>
      </c>
    </row>
    <row r="454">
      <c r="A454" s="55">
        <f>MIN(Inputs!$C$15,$A453+IF(WEEKDAY($A453,2)=5,3,1))</f>
        <v/>
      </c>
      <c r="B454">
        <f>IF($A454&gt;$A453,1,0)</f>
        <v/>
      </c>
      <c r="C454" s="56">
        <f>IF($B454=0,"",IF(Inputs!$B$6="","",IF($AD454=0,C453,SUMIFS(Data!$B$10:$B$3209,Data!$A$10:$A$3209,"&gt;="&amp;$A454,Data!$A$10:$A$3209,"&lt;"&amp;$A454+1)/$AD454)))</f>
        <v/>
      </c>
      <c r="D454" s="56">
        <f>IF($B454=0,"",IF(Inputs!$B$7="","",IF($AE454=0,D453,SUMIFS(Data!$F$10:$F$3209,Data!$E$10:$E$3209,"&gt;="&amp;$A454,Data!$E$10:$E$3209,"&lt;"&amp;$A454+1)/$AE454)))</f>
        <v/>
      </c>
      <c r="E454" s="56">
        <f>IF($B454=0,"",IF(Inputs!$B$8="","",IF($AF454=0,E453,SUMIFS(Data!$J$10:$J$3209,Data!$I$10:$I$3209,"&gt;="&amp;$A454,Data!$I$10:$I$3209,"&lt;"&amp;$A454+1)/$AF454)))</f>
        <v/>
      </c>
      <c r="F454" s="56">
        <f>IF($B454=0,"",IF(Inputs!$B$9="","",IF($AG454=0,F453,SUMIFS(Data!$N$10:$N$3209,Data!$M$10:$M$3209,"&gt;="&amp;$A454,Data!$M$10:$M$3209,"&lt;"&amp;$A454+1)/$AG454)))</f>
        <v/>
      </c>
      <c r="G454" s="56">
        <f>IF($B454=0,"",IF(Inputs!$B$10="","",IF($AH454=0,G453,SUMIFS(Data!$R$10:$R$3209,Data!$Q$10:$Q$3209,"&gt;="&amp;$A454,Data!$Q$10:$Q$3209,"&lt;"&amp;$A454+1)/$AH454)))</f>
        <v/>
      </c>
      <c r="I454" s="54">
        <f>IF($B454=0,NA(),IF($C454="",NA(),IF(C$8="",NA(),IF(N(C$8)=0,NA(),IF(Inputs!$C$17="Rebased to 100",$C454/C$8*100,$C454)))))</f>
        <v/>
      </c>
      <c r="J454" s="54">
        <f>IF($B454=0,NA(),IF($D454="",NA(),IF(D$8="",NA(),IF(N(D$8)=0,NA(),IF(Inputs!$C$17="Rebased to 100",$D454/D$8*100,$D454)))))</f>
        <v/>
      </c>
      <c r="K454" s="54">
        <f>IF($B454=0,NA(),IF($E454="",NA(),IF(E$8="",NA(),IF(N(E$8)=0,NA(),IF(Inputs!$C$17="Rebased to 100",$E454/E$8*100,$E454)))))</f>
        <v/>
      </c>
      <c r="L454" s="54">
        <f>IF($B454=0,NA(),IF($F454="",NA(),IF(F$8="",NA(),IF(N(F$8)=0,NA(),IF(Inputs!$C$17="Rebased to 100",$F454/F$8*100,$F454)))))</f>
        <v/>
      </c>
      <c r="M454" s="54">
        <f>IF($B454=0,NA(),IF($G454="",NA(),IF(G$8="",NA(),IF(N(G$8)=0,NA(),IF(Inputs!$C$17="Rebased to 100",$G454/G$8*100,$G454)))))</f>
        <v/>
      </c>
      <c r="N454" s="54">
        <f>IF($B454=0,NA(),IF(Inputs!$C$18&lt;&gt;"Yes",NA(),IF(COUNT(I454,J454,K454,L454,M454)=0,NA(),MIN(I454,J454,K454,L454,M454))))</f>
        <v/>
      </c>
      <c r="O454" s="54">
        <f>IF($B454=0,NA(),IF(Inputs!$B$24&lt;&gt;"Yes",NA(),Inputs!$D$24*Inputs!$C$35))</f>
        <v/>
      </c>
      <c r="P454" s="54">
        <f>IF($B454=0,NA(),IF(Inputs!$B$25&lt;&gt;"Yes",NA(),Inputs!$D$25*Inputs!$C$35))</f>
        <v/>
      </c>
      <c r="Q454" s="54">
        <f>IF($B454=0,NA(),IF(Inputs!$B$26&lt;&gt;"Yes",NA(),Inputs!$D$26*Inputs!$C$35))</f>
        <v/>
      </c>
      <c r="R454" s="54">
        <f>IF($B454=0,NA(),IF(Inputs!$B$27&lt;&gt;"Yes",NA(),Inputs!$D$27*Inputs!$C$35))</f>
        <v/>
      </c>
      <c r="S454" s="54">
        <f>IF($B454=0,NA(),IF(Inputs!$B$28&lt;&gt;"Yes",NA(),Inputs!$D$28*Inputs!$C$35))</f>
        <v/>
      </c>
      <c r="T454" s="54">
        <f>IF($B454=0,NA(),IF(Inputs!$B$29&lt;&gt;"Yes",NA(),Inputs!$D$29*Inputs!$C$35))</f>
        <v/>
      </c>
      <c r="AD454">
        <f>IF($B454=0,0,IF(Inputs!$B$6="",0,COUNTIFS(Data!$A$10:$A$3209,"&gt;="&amp;$A454,Data!$A$10:$A$3209,"&lt;"&amp;$A454+1)))</f>
        <v/>
      </c>
      <c r="AE454">
        <f>IF($B454=0,0,IF(Inputs!$B$7="",0,COUNTIFS(Data!$E$10:$E$3209,"&gt;="&amp;$A454,Data!$E$10:$E$3209,"&lt;"&amp;$A454+1)))</f>
        <v/>
      </c>
      <c r="AF454">
        <f>IF($B454=0,0,IF(Inputs!$B$8="",0,COUNTIFS(Data!$I$10:$I$3209,"&gt;="&amp;$A454,Data!$I$10:$I$3209,"&lt;"&amp;$A454+1)))</f>
        <v/>
      </c>
      <c r="AG454">
        <f>IF($B454=0,0,IF(Inputs!$B$9="",0,COUNTIFS(Data!$M$10:$M$3209,"&gt;="&amp;$A454,Data!$M$10:$M$3209,"&lt;"&amp;$A454+1)))</f>
        <v/>
      </c>
      <c r="AH454">
        <f>IF($B454=0,0,IF(Inputs!$B$10="",0,COUNTIFS(Data!$Q$10:$Q$3209,"&gt;="&amp;$A454,Data!$Q$10:$Q$3209,"&lt;"&amp;$A454+1)))</f>
        <v/>
      </c>
    </row>
    <row r="455">
      <c r="A455" s="55">
        <f>MIN(Inputs!$C$15,$A454+IF(WEEKDAY($A454,2)=5,3,1))</f>
        <v/>
      </c>
      <c r="B455">
        <f>IF($A455&gt;$A454,1,0)</f>
        <v/>
      </c>
      <c r="C455" s="56">
        <f>IF($B455=0,"",IF(Inputs!$B$6="","",IF($AD455=0,C454,SUMIFS(Data!$B$10:$B$3209,Data!$A$10:$A$3209,"&gt;="&amp;$A455,Data!$A$10:$A$3209,"&lt;"&amp;$A455+1)/$AD455)))</f>
        <v/>
      </c>
      <c r="D455" s="56">
        <f>IF($B455=0,"",IF(Inputs!$B$7="","",IF($AE455=0,D454,SUMIFS(Data!$F$10:$F$3209,Data!$E$10:$E$3209,"&gt;="&amp;$A455,Data!$E$10:$E$3209,"&lt;"&amp;$A455+1)/$AE455)))</f>
        <v/>
      </c>
      <c r="E455" s="56">
        <f>IF($B455=0,"",IF(Inputs!$B$8="","",IF($AF455=0,E454,SUMIFS(Data!$J$10:$J$3209,Data!$I$10:$I$3209,"&gt;="&amp;$A455,Data!$I$10:$I$3209,"&lt;"&amp;$A455+1)/$AF455)))</f>
        <v/>
      </c>
      <c r="F455" s="56">
        <f>IF($B455=0,"",IF(Inputs!$B$9="","",IF($AG455=0,F454,SUMIFS(Data!$N$10:$N$3209,Data!$M$10:$M$3209,"&gt;="&amp;$A455,Data!$M$10:$M$3209,"&lt;"&amp;$A455+1)/$AG455)))</f>
        <v/>
      </c>
      <c r="G455" s="56">
        <f>IF($B455=0,"",IF(Inputs!$B$10="","",IF($AH455=0,G454,SUMIFS(Data!$R$10:$R$3209,Data!$Q$10:$Q$3209,"&gt;="&amp;$A455,Data!$Q$10:$Q$3209,"&lt;"&amp;$A455+1)/$AH455)))</f>
        <v/>
      </c>
      <c r="I455" s="54">
        <f>IF($B455=0,NA(),IF($C455="",NA(),IF(C$8="",NA(),IF(N(C$8)=0,NA(),IF(Inputs!$C$17="Rebased to 100",$C455/C$8*100,$C455)))))</f>
        <v/>
      </c>
      <c r="J455" s="54">
        <f>IF($B455=0,NA(),IF($D455="",NA(),IF(D$8="",NA(),IF(N(D$8)=0,NA(),IF(Inputs!$C$17="Rebased to 100",$D455/D$8*100,$D455)))))</f>
        <v/>
      </c>
      <c r="K455" s="54">
        <f>IF($B455=0,NA(),IF($E455="",NA(),IF(E$8="",NA(),IF(N(E$8)=0,NA(),IF(Inputs!$C$17="Rebased to 100",$E455/E$8*100,$E455)))))</f>
        <v/>
      </c>
      <c r="L455" s="54">
        <f>IF($B455=0,NA(),IF($F455="",NA(),IF(F$8="",NA(),IF(N(F$8)=0,NA(),IF(Inputs!$C$17="Rebased to 100",$F455/F$8*100,$F455)))))</f>
        <v/>
      </c>
      <c r="M455" s="54">
        <f>IF($B455=0,NA(),IF($G455="",NA(),IF(G$8="",NA(),IF(N(G$8)=0,NA(),IF(Inputs!$C$17="Rebased to 100",$G455/G$8*100,$G455)))))</f>
        <v/>
      </c>
      <c r="N455" s="54">
        <f>IF($B455=0,NA(),IF(Inputs!$C$18&lt;&gt;"Yes",NA(),IF(COUNT(I455,J455,K455,L455,M455)=0,NA(),MIN(I455,J455,K455,L455,M455))))</f>
        <v/>
      </c>
      <c r="O455" s="54">
        <f>IF($B455=0,NA(),IF(Inputs!$B$24&lt;&gt;"Yes",NA(),Inputs!$D$24*Inputs!$C$35))</f>
        <v/>
      </c>
      <c r="P455" s="54">
        <f>IF($B455=0,NA(),IF(Inputs!$B$25&lt;&gt;"Yes",NA(),Inputs!$D$25*Inputs!$C$35))</f>
        <v/>
      </c>
      <c r="Q455" s="54">
        <f>IF($B455=0,NA(),IF(Inputs!$B$26&lt;&gt;"Yes",NA(),Inputs!$D$26*Inputs!$C$35))</f>
        <v/>
      </c>
      <c r="R455" s="54">
        <f>IF($B455=0,NA(),IF(Inputs!$B$27&lt;&gt;"Yes",NA(),Inputs!$D$27*Inputs!$C$35))</f>
        <v/>
      </c>
      <c r="S455" s="54">
        <f>IF($B455=0,NA(),IF(Inputs!$B$28&lt;&gt;"Yes",NA(),Inputs!$D$28*Inputs!$C$35))</f>
        <v/>
      </c>
      <c r="T455" s="54">
        <f>IF($B455=0,NA(),IF(Inputs!$B$29&lt;&gt;"Yes",NA(),Inputs!$D$29*Inputs!$C$35))</f>
        <v/>
      </c>
      <c r="AD455">
        <f>IF($B455=0,0,IF(Inputs!$B$6="",0,COUNTIFS(Data!$A$10:$A$3209,"&gt;="&amp;$A455,Data!$A$10:$A$3209,"&lt;"&amp;$A455+1)))</f>
        <v/>
      </c>
      <c r="AE455">
        <f>IF($B455=0,0,IF(Inputs!$B$7="",0,COUNTIFS(Data!$E$10:$E$3209,"&gt;="&amp;$A455,Data!$E$10:$E$3209,"&lt;"&amp;$A455+1)))</f>
        <v/>
      </c>
      <c r="AF455">
        <f>IF($B455=0,0,IF(Inputs!$B$8="",0,COUNTIFS(Data!$I$10:$I$3209,"&gt;="&amp;$A455,Data!$I$10:$I$3209,"&lt;"&amp;$A455+1)))</f>
        <v/>
      </c>
      <c r="AG455">
        <f>IF($B455=0,0,IF(Inputs!$B$9="",0,COUNTIFS(Data!$M$10:$M$3209,"&gt;="&amp;$A455,Data!$M$10:$M$3209,"&lt;"&amp;$A455+1)))</f>
        <v/>
      </c>
      <c r="AH455">
        <f>IF($B455=0,0,IF(Inputs!$B$10="",0,COUNTIFS(Data!$Q$10:$Q$3209,"&gt;="&amp;$A455,Data!$Q$10:$Q$3209,"&lt;"&amp;$A455+1)))</f>
        <v/>
      </c>
    </row>
    <row r="456">
      <c r="A456" s="55">
        <f>MIN(Inputs!$C$15,$A455+IF(WEEKDAY($A455,2)=5,3,1))</f>
        <v/>
      </c>
      <c r="B456">
        <f>IF($A456&gt;$A455,1,0)</f>
        <v/>
      </c>
      <c r="C456" s="56">
        <f>IF($B456=0,"",IF(Inputs!$B$6="","",IF($AD456=0,C455,SUMIFS(Data!$B$10:$B$3209,Data!$A$10:$A$3209,"&gt;="&amp;$A456,Data!$A$10:$A$3209,"&lt;"&amp;$A456+1)/$AD456)))</f>
        <v/>
      </c>
      <c r="D456" s="56">
        <f>IF($B456=0,"",IF(Inputs!$B$7="","",IF($AE456=0,D455,SUMIFS(Data!$F$10:$F$3209,Data!$E$10:$E$3209,"&gt;="&amp;$A456,Data!$E$10:$E$3209,"&lt;"&amp;$A456+1)/$AE456)))</f>
        <v/>
      </c>
      <c r="E456" s="56">
        <f>IF($B456=0,"",IF(Inputs!$B$8="","",IF($AF456=0,E455,SUMIFS(Data!$J$10:$J$3209,Data!$I$10:$I$3209,"&gt;="&amp;$A456,Data!$I$10:$I$3209,"&lt;"&amp;$A456+1)/$AF456)))</f>
        <v/>
      </c>
      <c r="F456" s="56">
        <f>IF($B456=0,"",IF(Inputs!$B$9="","",IF($AG456=0,F455,SUMIFS(Data!$N$10:$N$3209,Data!$M$10:$M$3209,"&gt;="&amp;$A456,Data!$M$10:$M$3209,"&lt;"&amp;$A456+1)/$AG456)))</f>
        <v/>
      </c>
      <c r="G456" s="56">
        <f>IF($B456=0,"",IF(Inputs!$B$10="","",IF($AH456=0,G455,SUMIFS(Data!$R$10:$R$3209,Data!$Q$10:$Q$3209,"&gt;="&amp;$A456,Data!$Q$10:$Q$3209,"&lt;"&amp;$A456+1)/$AH456)))</f>
        <v/>
      </c>
      <c r="I456" s="54">
        <f>IF($B456=0,NA(),IF($C456="",NA(),IF(C$8="",NA(),IF(N(C$8)=0,NA(),IF(Inputs!$C$17="Rebased to 100",$C456/C$8*100,$C456)))))</f>
        <v/>
      </c>
      <c r="J456" s="54">
        <f>IF($B456=0,NA(),IF($D456="",NA(),IF(D$8="",NA(),IF(N(D$8)=0,NA(),IF(Inputs!$C$17="Rebased to 100",$D456/D$8*100,$D456)))))</f>
        <v/>
      </c>
      <c r="K456" s="54">
        <f>IF($B456=0,NA(),IF($E456="",NA(),IF(E$8="",NA(),IF(N(E$8)=0,NA(),IF(Inputs!$C$17="Rebased to 100",$E456/E$8*100,$E456)))))</f>
        <v/>
      </c>
      <c r="L456" s="54">
        <f>IF($B456=0,NA(),IF($F456="",NA(),IF(F$8="",NA(),IF(N(F$8)=0,NA(),IF(Inputs!$C$17="Rebased to 100",$F456/F$8*100,$F456)))))</f>
        <v/>
      </c>
      <c r="M456" s="54">
        <f>IF($B456=0,NA(),IF($G456="",NA(),IF(G$8="",NA(),IF(N(G$8)=0,NA(),IF(Inputs!$C$17="Rebased to 100",$G456/G$8*100,$G456)))))</f>
        <v/>
      </c>
      <c r="N456" s="54">
        <f>IF($B456=0,NA(),IF(Inputs!$C$18&lt;&gt;"Yes",NA(),IF(COUNT(I456,J456,K456,L456,M456)=0,NA(),MIN(I456,J456,K456,L456,M456))))</f>
        <v/>
      </c>
      <c r="O456" s="54">
        <f>IF($B456=0,NA(),IF(Inputs!$B$24&lt;&gt;"Yes",NA(),Inputs!$D$24*Inputs!$C$35))</f>
        <v/>
      </c>
      <c r="P456" s="54">
        <f>IF($B456=0,NA(),IF(Inputs!$B$25&lt;&gt;"Yes",NA(),Inputs!$D$25*Inputs!$C$35))</f>
        <v/>
      </c>
      <c r="Q456" s="54">
        <f>IF($B456=0,NA(),IF(Inputs!$B$26&lt;&gt;"Yes",NA(),Inputs!$D$26*Inputs!$C$35))</f>
        <v/>
      </c>
      <c r="R456" s="54">
        <f>IF($B456=0,NA(),IF(Inputs!$B$27&lt;&gt;"Yes",NA(),Inputs!$D$27*Inputs!$C$35))</f>
        <v/>
      </c>
      <c r="S456" s="54">
        <f>IF($B456=0,NA(),IF(Inputs!$B$28&lt;&gt;"Yes",NA(),Inputs!$D$28*Inputs!$C$35))</f>
        <v/>
      </c>
      <c r="T456" s="54">
        <f>IF($B456=0,NA(),IF(Inputs!$B$29&lt;&gt;"Yes",NA(),Inputs!$D$29*Inputs!$C$35))</f>
        <v/>
      </c>
      <c r="AD456">
        <f>IF($B456=0,0,IF(Inputs!$B$6="",0,COUNTIFS(Data!$A$10:$A$3209,"&gt;="&amp;$A456,Data!$A$10:$A$3209,"&lt;"&amp;$A456+1)))</f>
        <v/>
      </c>
      <c r="AE456">
        <f>IF($B456=0,0,IF(Inputs!$B$7="",0,COUNTIFS(Data!$E$10:$E$3209,"&gt;="&amp;$A456,Data!$E$10:$E$3209,"&lt;"&amp;$A456+1)))</f>
        <v/>
      </c>
      <c r="AF456">
        <f>IF($B456=0,0,IF(Inputs!$B$8="",0,COUNTIFS(Data!$I$10:$I$3209,"&gt;="&amp;$A456,Data!$I$10:$I$3209,"&lt;"&amp;$A456+1)))</f>
        <v/>
      </c>
      <c r="AG456">
        <f>IF($B456=0,0,IF(Inputs!$B$9="",0,COUNTIFS(Data!$M$10:$M$3209,"&gt;="&amp;$A456,Data!$M$10:$M$3209,"&lt;"&amp;$A456+1)))</f>
        <v/>
      </c>
      <c r="AH456">
        <f>IF($B456=0,0,IF(Inputs!$B$10="",0,COUNTIFS(Data!$Q$10:$Q$3209,"&gt;="&amp;$A456,Data!$Q$10:$Q$3209,"&lt;"&amp;$A456+1)))</f>
        <v/>
      </c>
    </row>
    <row r="457">
      <c r="A457" s="55">
        <f>MIN(Inputs!$C$15,$A456+IF(WEEKDAY($A456,2)=5,3,1))</f>
        <v/>
      </c>
      <c r="B457">
        <f>IF($A457&gt;$A456,1,0)</f>
        <v/>
      </c>
      <c r="C457" s="56">
        <f>IF($B457=0,"",IF(Inputs!$B$6="","",IF($AD457=0,C456,SUMIFS(Data!$B$10:$B$3209,Data!$A$10:$A$3209,"&gt;="&amp;$A457,Data!$A$10:$A$3209,"&lt;"&amp;$A457+1)/$AD457)))</f>
        <v/>
      </c>
      <c r="D457" s="56">
        <f>IF($B457=0,"",IF(Inputs!$B$7="","",IF($AE457=0,D456,SUMIFS(Data!$F$10:$F$3209,Data!$E$10:$E$3209,"&gt;="&amp;$A457,Data!$E$10:$E$3209,"&lt;"&amp;$A457+1)/$AE457)))</f>
        <v/>
      </c>
      <c r="E457" s="56">
        <f>IF($B457=0,"",IF(Inputs!$B$8="","",IF($AF457=0,E456,SUMIFS(Data!$J$10:$J$3209,Data!$I$10:$I$3209,"&gt;="&amp;$A457,Data!$I$10:$I$3209,"&lt;"&amp;$A457+1)/$AF457)))</f>
        <v/>
      </c>
      <c r="F457" s="56">
        <f>IF($B457=0,"",IF(Inputs!$B$9="","",IF($AG457=0,F456,SUMIFS(Data!$N$10:$N$3209,Data!$M$10:$M$3209,"&gt;="&amp;$A457,Data!$M$10:$M$3209,"&lt;"&amp;$A457+1)/$AG457)))</f>
        <v/>
      </c>
      <c r="G457" s="56">
        <f>IF($B457=0,"",IF(Inputs!$B$10="","",IF($AH457=0,G456,SUMIFS(Data!$R$10:$R$3209,Data!$Q$10:$Q$3209,"&gt;="&amp;$A457,Data!$Q$10:$Q$3209,"&lt;"&amp;$A457+1)/$AH457)))</f>
        <v/>
      </c>
      <c r="I457" s="54">
        <f>IF($B457=0,NA(),IF($C457="",NA(),IF(C$8="",NA(),IF(N(C$8)=0,NA(),IF(Inputs!$C$17="Rebased to 100",$C457/C$8*100,$C457)))))</f>
        <v/>
      </c>
      <c r="J457" s="54">
        <f>IF($B457=0,NA(),IF($D457="",NA(),IF(D$8="",NA(),IF(N(D$8)=0,NA(),IF(Inputs!$C$17="Rebased to 100",$D457/D$8*100,$D457)))))</f>
        <v/>
      </c>
      <c r="K457" s="54">
        <f>IF($B457=0,NA(),IF($E457="",NA(),IF(E$8="",NA(),IF(N(E$8)=0,NA(),IF(Inputs!$C$17="Rebased to 100",$E457/E$8*100,$E457)))))</f>
        <v/>
      </c>
      <c r="L457" s="54">
        <f>IF($B457=0,NA(),IF($F457="",NA(),IF(F$8="",NA(),IF(N(F$8)=0,NA(),IF(Inputs!$C$17="Rebased to 100",$F457/F$8*100,$F457)))))</f>
        <v/>
      </c>
      <c r="M457" s="54">
        <f>IF($B457=0,NA(),IF($G457="",NA(),IF(G$8="",NA(),IF(N(G$8)=0,NA(),IF(Inputs!$C$17="Rebased to 100",$G457/G$8*100,$G457)))))</f>
        <v/>
      </c>
      <c r="N457" s="54">
        <f>IF($B457=0,NA(),IF(Inputs!$C$18&lt;&gt;"Yes",NA(),IF(COUNT(I457,J457,K457,L457,M457)=0,NA(),MIN(I457,J457,K457,L457,M457))))</f>
        <v/>
      </c>
      <c r="O457" s="54">
        <f>IF($B457=0,NA(),IF(Inputs!$B$24&lt;&gt;"Yes",NA(),Inputs!$D$24*Inputs!$C$35))</f>
        <v/>
      </c>
      <c r="P457" s="54">
        <f>IF($B457=0,NA(),IF(Inputs!$B$25&lt;&gt;"Yes",NA(),Inputs!$D$25*Inputs!$C$35))</f>
        <v/>
      </c>
      <c r="Q457" s="54">
        <f>IF($B457=0,NA(),IF(Inputs!$B$26&lt;&gt;"Yes",NA(),Inputs!$D$26*Inputs!$C$35))</f>
        <v/>
      </c>
      <c r="R457" s="54">
        <f>IF($B457=0,NA(),IF(Inputs!$B$27&lt;&gt;"Yes",NA(),Inputs!$D$27*Inputs!$C$35))</f>
        <v/>
      </c>
      <c r="S457" s="54">
        <f>IF($B457=0,NA(),IF(Inputs!$B$28&lt;&gt;"Yes",NA(),Inputs!$D$28*Inputs!$C$35))</f>
        <v/>
      </c>
      <c r="T457" s="54">
        <f>IF($B457=0,NA(),IF(Inputs!$B$29&lt;&gt;"Yes",NA(),Inputs!$D$29*Inputs!$C$35))</f>
        <v/>
      </c>
      <c r="AD457">
        <f>IF($B457=0,0,IF(Inputs!$B$6="",0,COUNTIFS(Data!$A$10:$A$3209,"&gt;="&amp;$A457,Data!$A$10:$A$3209,"&lt;"&amp;$A457+1)))</f>
        <v/>
      </c>
      <c r="AE457">
        <f>IF($B457=0,0,IF(Inputs!$B$7="",0,COUNTIFS(Data!$E$10:$E$3209,"&gt;="&amp;$A457,Data!$E$10:$E$3209,"&lt;"&amp;$A457+1)))</f>
        <v/>
      </c>
      <c r="AF457">
        <f>IF($B457=0,0,IF(Inputs!$B$8="",0,COUNTIFS(Data!$I$10:$I$3209,"&gt;="&amp;$A457,Data!$I$10:$I$3209,"&lt;"&amp;$A457+1)))</f>
        <v/>
      </c>
      <c r="AG457">
        <f>IF($B457=0,0,IF(Inputs!$B$9="",0,COUNTIFS(Data!$M$10:$M$3209,"&gt;="&amp;$A457,Data!$M$10:$M$3209,"&lt;"&amp;$A457+1)))</f>
        <v/>
      </c>
      <c r="AH457">
        <f>IF($B457=0,0,IF(Inputs!$B$10="",0,COUNTIFS(Data!$Q$10:$Q$3209,"&gt;="&amp;$A457,Data!$Q$10:$Q$3209,"&lt;"&amp;$A457+1)))</f>
        <v/>
      </c>
    </row>
    <row r="458">
      <c r="A458" s="55">
        <f>MIN(Inputs!$C$15,$A457+IF(WEEKDAY($A457,2)=5,3,1))</f>
        <v/>
      </c>
      <c r="B458">
        <f>IF($A458&gt;$A457,1,0)</f>
        <v/>
      </c>
      <c r="C458" s="56">
        <f>IF($B458=0,"",IF(Inputs!$B$6="","",IF($AD458=0,C457,SUMIFS(Data!$B$10:$B$3209,Data!$A$10:$A$3209,"&gt;="&amp;$A458,Data!$A$10:$A$3209,"&lt;"&amp;$A458+1)/$AD458)))</f>
        <v/>
      </c>
      <c r="D458" s="56">
        <f>IF($B458=0,"",IF(Inputs!$B$7="","",IF($AE458=0,D457,SUMIFS(Data!$F$10:$F$3209,Data!$E$10:$E$3209,"&gt;="&amp;$A458,Data!$E$10:$E$3209,"&lt;"&amp;$A458+1)/$AE458)))</f>
        <v/>
      </c>
      <c r="E458" s="56">
        <f>IF($B458=0,"",IF(Inputs!$B$8="","",IF($AF458=0,E457,SUMIFS(Data!$J$10:$J$3209,Data!$I$10:$I$3209,"&gt;="&amp;$A458,Data!$I$10:$I$3209,"&lt;"&amp;$A458+1)/$AF458)))</f>
        <v/>
      </c>
      <c r="F458" s="56">
        <f>IF($B458=0,"",IF(Inputs!$B$9="","",IF($AG458=0,F457,SUMIFS(Data!$N$10:$N$3209,Data!$M$10:$M$3209,"&gt;="&amp;$A458,Data!$M$10:$M$3209,"&lt;"&amp;$A458+1)/$AG458)))</f>
        <v/>
      </c>
      <c r="G458" s="56">
        <f>IF($B458=0,"",IF(Inputs!$B$10="","",IF($AH458=0,G457,SUMIFS(Data!$R$10:$R$3209,Data!$Q$10:$Q$3209,"&gt;="&amp;$A458,Data!$Q$10:$Q$3209,"&lt;"&amp;$A458+1)/$AH458)))</f>
        <v/>
      </c>
      <c r="I458" s="54">
        <f>IF($B458=0,NA(),IF($C458="",NA(),IF(C$8="",NA(),IF(N(C$8)=0,NA(),IF(Inputs!$C$17="Rebased to 100",$C458/C$8*100,$C458)))))</f>
        <v/>
      </c>
      <c r="J458" s="54">
        <f>IF($B458=0,NA(),IF($D458="",NA(),IF(D$8="",NA(),IF(N(D$8)=0,NA(),IF(Inputs!$C$17="Rebased to 100",$D458/D$8*100,$D458)))))</f>
        <v/>
      </c>
      <c r="K458" s="54">
        <f>IF($B458=0,NA(),IF($E458="",NA(),IF(E$8="",NA(),IF(N(E$8)=0,NA(),IF(Inputs!$C$17="Rebased to 100",$E458/E$8*100,$E458)))))</f>
        <v/>
      </c>
      <c r="L458" s="54">
        <f>IF($B458=0,NA(),IF($F458="",NA(),IF(F$8="",NA(),IF(N(F$8)=0,NA(),IF(Inputs!$C$17="Rebased to 100",$F458/F$8*100,$F458)))))</f>
        <v/>
      </c>
      <c r="M458" s="54">
        <f>IF($B458=0,NA(),IF($G458="",NA(),IF(G$8="",NA(),IF(N(G$8)=0,NA(),IF(Inputs!$C$17="Rebased to 100",$G458/G$8*100,$G458)))))</f>
        <v/>
      </c>
      <c r="N458" s="54">
        <f>IF($B458=0,NA(),IF(Inputs!$C$18&lt;&gt;"Yes",NA(),IF(COUNT(I458,J458,K458,L458,M458)=0,NA(),MIN(I458,J458,K458,L458,M458))))</f>
        <v/>
      </c>
      <c r="O458" s="54">
        <f>IF($B458=0,NA(),IF(Inputs!$B$24&lt;&gt;"Yes",NA(),Inputs!$D$24*Inputs!$C$35))</f>
        <v/>
      </c>
      <c r="P458" s="54">
        <f>IF($B458=0,NA(),IF(Inputs!$B$25&lt;&gt;"Yes",NA(),Inputs!$D$25*Inputs!$C$35))</f>
        <v/>
      </c>
      <c r="Q458" s="54">
        <f>IF($B458=0,NA(),IF(Inputs!$B$26&lt;&gt;"Yes",NA(),Inputs!$D$26*Inputs!$C$35))</f>
        <v/>
      </c>
      <c r="R458" s="54">
        <f>IF($B458=0,NA(),IF(Inputs!$B$27&lt;&gt;"Yes",NA(),Inputs!$D$27*Inputs!$C$35))</f>
        <v/>
      </c>
      <c r="S458" s="54">
        <f>IF($B458=0,NA(),IF(Inputs!$B$28&lt;&gt;"Yes",NA(),Inputs!$D$28*Inputs!$C$35))</f>
        <v/>
      </c>
      <c r="T458" s="54">
        <f>IF($B458=0,NA(),IF(Inputs!$B$29&lt;&gt;"Yes",NA(),Inputs!$D$29*Inputs!$C$35))</f>
        <v/>
      </c>
      <c r="AD458">
        <f>IF($B458=0,0,IF(Inputs!$B$6="",0,COUNTIFS(Data!$A$10:$A$3209,"&gt;="&amp;$A458,Data!$A$10:$A$3209,"&lt;"&amp;$A458+1)))</f>
        <v/>
      </c>
      <c r="AE458">
        <f>IF($B458=0,0,IF(Inputs!$B$7="",0,COUNTIFS(Data!$E$10:$E$3209,"&gt;="&amp;$A458,Data!$E$10:$E$3209,"&lt;"&amp;$A458+1)))</f>
        <v/>
      </c>
      <c r="AF458">
        <f>IF($B458=0,0,IF(Inputs!$B$8="",0,COUNTIFS(Data!$I$10:$I$3209,"&gt;="&amp;$A458,Data!$I$10:$I$3209,"&lt;"&amp;$A458+1)))</f>
        <v/>
      </c>
      <c r="AG458">
        <f>IF($B458=0,0,IF(Inputs!$B$9="",0,COUNTIFS(Data!$M$10:$M$3209,"&gt;="&amp;$A458,Data!$M$10:$M$3209,"&lt;"&amp;$A458+1)))</f>
        <v/>
      </c>
      <c r="AH458">
        <f>IF($B458=0,0,IF(Inputs!$B$10="",0,COUNTIFS(Data!$Q$10:$Q$3209,"&gt;="&amp;$A458,Data!$Q$10:$Q$3209,"&lt;"&amp;$A458+1)))</f>
        <v/>
      </c>
    </row>
    <row r="459">
      <c r="A459" s="55">
        <f>MIN(Inputs!$C$15,$A458+IF(WEEKDAY($A458,2)=5,3,1))</f>
        <v/>
      </c>
      <c r="B459">
        <f>IF($A459&gt;$A458,1,0)</f>
        <v/>
      </c>
      <c r="C459" s="56">
        <f>IF($B459=0,"",IF(Inputs!$B$6="","",IF($AD459=0,C458,SUMIFS(Data!$B$10:$B$3209,Data!$A$10:$A$3209,"&gt;="&amp;$A459,Data!$A$10:$A$3209,"&lt;"&amp;$A459+1)/$AD459)))</f>
        <v/>
      </c>
      <c r="D459" s="56">
        <f>IF($B459=0,"",IF(Inputs!$B$7="","",IF($AE459=0,D458,SUMIFS(Data!$F$10:$F$3209,Data!$E$10:$E$3209,"&gt;="&amp;$A459,Data!$E$10:$E$3209,"&lt;"&amp;$A459+1)/$AE459)))</f>
        <v/>
      </c>
      <c r="E459" s="56">
        <f>IF($B459=0,"",IF(Inputs!$B$8="","",IF($AF459=0,E458,SUMIFS(Data!$J$10:$J$3209,Data!$I$10:$I$3209,"&gt;="&amp;$A459,Data!$I$10:$I$3209,"&lt;"&amp;$A459+1)/$AF459)))</f>
        <v/>
      </c>
      <c r="F459" s="56">
        <f>IF($B459=0,"",IF(Inputs!$B$9="","",IF($AG459=0,F458,SUMIFS(Data!$N$10:$N$3209,Data!$M$10:$M$3209,"&gt;="&amp;$A459,Data!$M$10:$M$3209,"&lt;"&amp;$A459+1)/$AG459)))</f>
        <v/>
      </c>
      <c r="G459" s="56">
        <f>IF($B459=0,"",IF(Inputs!$B$10="","",IF($AH459=0,G458,SUMIFS(Data!$R$10:$R$3209,Data!$Q$10:$Q$3209,"&gt;="&amp;$A459,Data!$Q$10:$Q$3209,"&lt;"&amp;$A459+1)/$AH459)))</f>
        <v/>
      </c>
      <c r="I459" s="54">
        <f>IF($B459=0,NA(),IF($C459="",NA(),IF(C$8="",NA(),IF(N(C$8)=0,NA(),IF(Inputs!$C$17="Rebased to 100",$C459/C$8*100,$C459)))))</f>
        <v/>
      </c>
      <c r="J459" s="54">
        <f>IF($B459=0,NA(),IF($D459="",NA(),IF(D$8="",NA(),IF(N(D$8)=0,NA(),IF(Inputs!$C$17="Rebased to 100",$D459/D$8*100,$D459)))))</f>
        <v/>
      </c>
      <c r="K459" s="54">
        <f>IF($B459=0,NA(),IF($E459="",NA(),IF(E$8="",NA(),IF(N(E$8)=0,NA(),IF(Inputs!$C$17="Rebased to 100",$E459/E$8*100,$E459)))))</f>
        <v/>
      </c>
      <c r="L459" s="54">
        <f>IF($B459=0,NA(),IF($F459="",NA(),IF(F$8="",NA(),IF(N(F$8)=0,NA(),IF(Inputs!$C$17="Rebased to 100",$F459/F$8*100,$F459)))))</f>
        <v/>
      </c>
      <c r="M459" s="54">
        <f>IF($B459=0,NA(),IF($G459="",NA(),IF(G$8="",NA(),IF(N(G$8)=0,NA(),IF(Inputs!$C$17="Rebased to 100",$G459/G$8*100,$G459)))))</f>
        <v/>
      </c>
      <c r="N459" s="54">
        <f>IF($B459=0,NA(),IF(Inputs!$C$18&lt;&gt;"Yes",NA(),IF(COUNT(I459,J459,K459,L459,M459)=0,NA(),MIN(I459,J459,K459,L459,M459))))</f>
        <v/>
      </c>
      <c r="O459" s="54">
        <f>IF($B459=0,NA(),IF(Inputs!$B$24&lt;&gt;"Yes",NA(),Inputs!$D$24*Inputs!$C$35))</f>
        <v/>
      </c>
      <c r="P459" s="54">
        <f>IF($B459=0,NA(),IF(Inputs!$B$25&lt;&gt;"Yes",NA(),Inputs!$D$25*Inputs!$C$35))</f>
        <v/>
      </c>
      <c r="Q459" s="54">
        <f>IF($B459=0,NA(),IF(Inputs!$B$26&lt;&gt;"Yes",NA(),Inputs!$D$26*Inputs!$C$35))</f>
        <v/>
      </c>
      <c r="R459" s="54">
        <f>IF($B459=0,NA(),IF(Inputs!$B$27&lt;&gt;"Yes",NA(),Inputs!$D$27*Inputs!$C$35))</f>
        <v/>
      </c>
      <c r="S459" s="54">
        <f>IF($B459=0,NA(),IF(Inputs!$B$28&lt;&gt;"Yes",NA(),Inputs!$D$28*Inputs!$C$35))</f>
        <v/>
      </c>
      <c r="T459" s="54">
        <f>IF($B459=0,NA(),IF(Inputs!$B$29&lt;&gt;"Yes",NA(),Inputs!$D$29*Inputs!$C$35))</f>
        <v/>
      </c>
      <c r="AD459">
        <f>IF($B459=0,0,IF(Inputs!$B$6="",0,COUNTIFS(Data!$A$10:$A$3209,"&gt;="&amp;$A459,Data!$A$10:$A$3209,"&lt;"&amp;$A459+1)))</f>
        <v/>
      </c>
      <c r="AE459">
        <f>IF($B459=0,0,IF(Inputs!$B$7="",0,COUNTIFS(Data!$E$10:$E$3209,"&gt;="&amp;$A459,Data!$E$10:$E$3209,"&lt;"&amp;$A459+1)))</f>
        <v/>
      </c>
      <c r="AF459">
        <f>IF($B459=0,0,IF(Inputs!$B$8="",0,COUNTIFS(Data!$I$10:$I$3209,"&gt;="&amp;$A459,Data!$I$10:$I$3209,"&lt;"&amp;$A459+1)))</f>
        <v/>
      </c>
      <c r="AG459">
        <f>IF($B459=0,0,IF(Inputs!$B$9="",0,COUNTIFS(Data!$M$10:$M$3209,"&gt;="&amp;$A459,Data!$M$10:$M$3209,"&lt;"&amp;$A459+1)))</f>
        <v/>
      </c>
      <c r="AH459">
        <f>IF($B459=0,0,IF(Inputs!$B$10="",0,COUNTIFS(Data!$Q$10:$Q$3209,"&gt;="&amp;$A459,Data!$Q$10:$Q$3209,"&lt;"&amp;$A459+1)))</f>
        <v/>
      </c>
    </row>
    <row r="460">
      <c r="A460" s="55">
        <f>MIN(Inputs!$C$15,$A459+IF(WEEKDAY($A459,2)=5,3,1))</f>
        <v/>
      </c>
      <c r="B460">
        <f>IF($A460&gt;$A459,1,0)</f>
        <v/>
      </c>
      <c r="C460" s="56">
        <f>IF($B460=0,"",IF(Inputs!$B$6="","",IF($AD460=0,C459,SUMIFS(Data!$B$10:$B$3209,Data!$A$10:$A$3209,"&gt;="&amp;$A460,Data!$A$10:$A$3209,"&lt;"&amp;$A460+1)/$AD460)))</f>
        <v/>
      </c>
      <c r="D460" s="56">
        <f>IF($B460=0,"",IF(Inputs!$B$7="","",IF($AE460=0,D459,SUMIFS(Data!$F$10:$F$3209,Data!$E$10:$E$3209,"&gt;="&amp;$A460,Data!$E$10:$E$3209,"&lt;"&amp;$A460+1)/$AE460)))</f>
        <v/>
      </c>
      <c r="E460" s="56">
        <f>IF($B460=0,"",IF(Inputs!$B$8="","",IF($AF460=0,E459,SUMIFS(Data!$J$10:$J$3209,Data!$I$10:$I$3209,"&gt;="&amp;$A460,Data!$I$10:$I$3209,"&lt;"&amp;$A460+1)/$AF460)))</f>
        <v/>
      </c>
      <c r="F460" s="56">
        <f>IF($B460=0,"",IF(Inputs!$B$9="","",IF($AG460=0,F459,SUMIFS(Data!$N$10:$N$3209,Data!$M$10:$M$3209,"&gt;="&amp;$A460,Data!$M$10:$M$3209,"&lt;"&amp;$A460+1)/$AG460)))</f>
        <v/>
      </c>
      <c r="G460" s="56">
        <f>IF($B460=0,"",IF(Inputs!$B$10="","",IF($AH460=0,G459,SUMIFS(Data!$R$10:$R$3209,Data!$Q$10:$Q$3209,"&gt;="&amp;$A460,Data!$Q$10:$Q$3209,"&lt;"&amp;$A460+1)/$AH460)))</f>
        <v/>
      </c>
      <c r="I460" s="54">
        <f>IF($B460=0,NA(),IF($C460="",NA(),IF(C$8="",NA(),IF(N(C$8)=0,NA(),IF(Inputs!$C$17="Rebased to 100",$C460/C$8*100,$C460)))))</f>
        <v/>
      </c>
      <c r="J460" s="54">
        <f>IF($B460=0,NA(),IF($D460="",NA(),IF(D$8="",NA(),IF(N(D$8)=0,NA(),IF(Inputs!$C$17="Rebased to 100",$D460/D$8*100,$D460)))))</f>
        <v/>
      </c>
      <c r="K460" s="54">
        <f>IF($B460=0,NA(),IF($E460="",NA(),IF(E$8="",NA(),IF(N(E$8)=0,NA(),IF(Inputs!$C$17="Rebased to 100",$E460/E$8*100,$E460)))))</f>
        <v/>
      </c>
      <c r="L460" s="54">
        <f>IF($B460=0,NA(),IF($F460="",NA(),IF(F$8="",NA(),IF(N(F$8)=0,NA(),IF(Inputs!$C$17="Rebased to 100",$F460/F$8*100,$F460)))))</f>
        <v/>
      </c>
      <c r="M460" s="54">
        <f>IF($B460=0,NA(),IF($G460="",NA(),IF(G$8="",NA(),IF(N(G$8)=0,NA(),IF(Inputs!$C$17="Rebased to 100",$G460/G$8*100,$G460)))))</f>
        <v/>
      </c>
      <c r="N460" s="54">
        <f>IF($B460=0,NA(),IF(Inputs!$C$18&lt;&gt;"Yes",NA(),IF(COUNT(I460,J460,K460,L460,M460)=0,NA(),MIN(I460,J460,K460,L460,M460))))</f>
        <v/>
      </c>
      <c r="O460" s="54">
        <f>IF($B460=0,NA(),IF(Inputs!$B$24&lt;&gt;"Yes",NA(),Inputs!$D$24*Inputs!$C$35))</f>
        <v/>
      </c>
      <c r="P460" s="54">
        <f>IF($B460=0,NA(),IF(Inputs!$B$25&lt;&gt;"Yes",NA(),Inputs!$D$25*Inputs!$C$35))</f>
        <v/>
      </c>
      <c r="Q460" s="54">
        <f>IF($B460=0,NA(),IF(Inputs!$B$26&lt;&gt;"Yes",NA(),Inputs!$D$26*Inputs!$C$35))</f>
        <v/>
      </c>
      <c r="R460" s="54">
        <f>IF($B460=0,NA(),IF(Inputs!$B$27&lt;&gt;"Yes",NA(),Inputs!$D$27*Inputs!$C$35))</f>
        <v/>
      </c>
      <c r="S460" s="54">
        <f>IF($B460=0,NA(),IF(Inputs!$B$28&lt;&gt;"Yes",NA(),Inputs!$D$28*Inputs!$C$35))</f>
        <v/>
      </c>
      <c r="T460" s="54">
        <f>IF($B460=0,NA(),IF(Inputs!$B$29&lt;&gt;"Yes",NA(),Inputs!$D$29*Inputs!$C$35))</f>
        <v/>
      </c>
      <c r="AD460">
        <f>IF($B460=0,0,IF(Inputs!$B$6="",0,COUNTIFS(Data!$A$10:$A$3209,"&gt;="&amp;$A460,Data!$A$10:$A$3209,"&lt;"&amp;$A460+1)))</f>
        <v/>
      </c>
      <c r="AE460">
        <f>IF($B460=0,0,IF(Inputs!$B$7="",0,COUNTIFS(Data!$E$10:$E$3209,"&gt;="&amp;$A460,Data!$E$10:$E$3209,"&lt;"&amp;$A460+1)))</f>
        <v/>
      </c>
      <c r="AF460">
        <f>IF($B460=0,0,IF(Inputs!$B$8="",0,COUNTIFS(Data!$I$10:$I$3209,"&gt;="&amp;$A460,Data!$I$10:$I$3209,"&lt;"&amp;$A460+1)))</f>
        <v/>
      </c>
      <c r="AG460">
        <f>IF($B460=0,0,IF(Inputs!$B$9="",0,COUNTIFS(Data!$M$10:$M$3209,"&gt;="&amp;$A460,Data!$M$10:$M$3209,"&lt;"&amp;$A460+1)))</f>
        <v/>
      </c>
      <c r="AH460">
        <f>IF($B460=0,0,IF(Inputs!$B$10="",0,COUNTIFS(Data!$Q$10:$Q$3209,"&gt;="&amp;$A460,Data!$Q$10:$Q$3209,"&lt;"&amp;$A460+1)))</f>
        <v/>
      </c>
    </row>
    <row r="461">
      <c r="A461" s="55">
        <f>MIN(Inputs!$C$15,$A460+IF(WEEKDAY($A460,2)=5,3,1))</f>
        <v/>
      </c>
      <c r="B461">
        <f>IF($A461&gt;$A460,1,0)</f>
        <v/>
      </c>
      <c r="C461" s="56">
        <f>IF($B461=0,"",IF(Inputs!$B$6="","",IF($AD461=0,C460,SUMIFS(Data!$B$10:$B$3209,Data!$A$10:$A$3209,"&gt;="&amp;$A461,Data!$A$10:$A$3209,"&lt;"&amp;$A461+1)/$AD461)))</f>
        <v/>
      </c>
      <c r="D461" s="56">
        <f>IF($B461=0,"",IF(Inputs!$B$7="","",IF($AE461=0,D460,SUMIFS(Data!$F$10:$F$3209,Data!$E$10:$E$3209,"&gt;="&amp;$A461,Data!$E$10:$E$3209,"&lt;"&amp;$A461+1)/$AE461)))</f>
        <v/>
      </c>
      <c r="E461" s="56">
        <f>IF($B461=0,"",IF(Inputs!$B$8="","",IF($AF461=0,E460,SUMIFS(Data!$J$10:$J$3209,Data!$I$10:$I$3209,"&gt;="&amp;$A461,Data!$I$10:$I$3209,"&lt;"&amp;$A461+1)/$AF461)))</f>
        <v/>
      </c>
      <c r="F461" s="56">
        <f>IF($B461=0,"",IF(Inputs!$B$9="","",IF($AG461=0,F460,SUMIFS(Data!$N$10:$N$3209,Data!$M$10:$M$3209,"&gt;="&amp;$A461,Data!$M$10:$M$3209,"&lt;"&amp;$A461+1)/$AG461)))</f>
        <v/>
      </c>
      <c r="G461" s="56">
        <f>IF($B461=0,"",IF(Inputs!$B$10="","",IF($AH461=0,G460,SUMIFS(Data!$R$10:$R$3209,Data!$Q$10:$Q$3209,"&gt;="&amp;$A461,Data!$Q$10:$Q$3209,"&lt;"&amp;$A461+1)/$AH461)))</f>
        <v/>
      </c>
      <c r="I461" s="54">
        <f>IF($B461=0,NA(),IF($C461="",NA(),IF(C$8="",NA(),IF(N(C$8)=0,NA(),IF(Inputs!$C$17="Rebased to 100",$C461/C$8*100,$C461)))))</f>
        <v/>
      </c>
      <c r="J461" s="54">
        <f>IF($B461=0,NA(),IF($D461="",NA(),IF(D$8="",NA(),IF(N(D$8)=0,NA(),IF(Inputs!$C$17="Rebased to 100",$D461/D$8*100,$D461)))))</f>
        <v/>
      </c>
      <c r="K461" s="54">
        <f>IF($B461=0,NA(),IF($E461="",NA(),IF(E$8="",NA(),IF(N(E$8)=0,NA(),IF(Inputs!$C$17="Rebased to 100",$E461/E$8*100,$E461)))))</f>
        <v/>
      </c>
      <c r="L461" s="54">
        <f>IF($B461=0,NA(),IF($F461="",NA(),IF(F$8="",NA(),IF(N(F$8)=0,NA(),IF(Inputs!$C$17="Rebased to 100",$F461/F$8*100,$F461)))))</f>
        <v/>
      </c>
      <c r="M461" s="54">
        <f>IF($B461=0,NA(),IF($G461="",NA(),IF(G$8="",NA(),IF(N(G$8)=0,NA(),IF(Inputs!$C$17="Rebased to 100",$G461/G$8*100,$G461)))))</f>
        <v/>
      </c>
      <c r="N461" s="54">
        <f>IF($B461=0,NA(),IF(Inputs!$C$18&lt;&gt;"Yes",NA(),IF(COUNT(I461,J461,K461,L461,M461)=0,NA(),MIN(I461,J461,K461,L461,M461))))</f>
        <v/>
      </c>
      <c r="O461" s="54">
        <f>IF($B461=0,NA(),IF(Inputs!$B$24&lt;&gt;"Yes",NA(),Inputs!$D$24*Inputs!$C$35))</f>
        <v/>
      </c>
      <c r="P461" s="54">
        <f>IF($B461=0,NA(),IF(Inputs!$B$25&lt;&gt;"Yes",NA(),Inputs!$D$25*Inputs!$C$35))</f>
        <v/>
      </c>
      <c r="Q461" s="54">
        <f>IF($B461=0,NA(),IF(Inputs!$B$26&lt;&gt;"Yes",NA(),Inputs!$D$26*Inputs!$C$35))</f>
        <v/>
      </c>
      <c r="R461" s="54">
        <f>IF($B461=0,NA(),IF(Inputs!$B$27&lt;&gt;"Yes",NA(),Inputs!$D$27*Inputs!$C$35))</f>
        <v/>
      </c>
      <c r="S461" s="54">
        <f>IF($B461=0,NA(),IF(Inputs!$B$28&lt;&gt;"Yes",NA(),Inputs!$D$28*Inputs!$C$35))</f>
        <v/>
      </c>
      <c r="T461" s="54">
        <f>IF($B461=0,NA(),IF(Inputs!$B$29&lt;&gt;"Yes",NA(),Inputs!$D$29*Inputs!$C$35))</f>
        <v/>
      </c>
      <c r="AD461">
        <f>IF($B461=0,0,IF(Inputs!$B$6="",0,COUNTIFS(Data!$A$10:$A$3209,"&gt;="&amp;$A461,Data!$A$10:$A$3209,"&lt;"&amp;$A461+1)))</f>
        <v/>
      </c>
      <c r="AE461">
        <f>IF($B461=0,0,IF(Inputs!$B$7="",0,COUNTIFS(Data!$E$10:$E$3209,"&gt;="&amp;$A461,Data!$E$10:$E$3209,"&lt;"&amp;$A461+1)))</f>
        <v/>
      </c>
      <c r="AF461">
        <f>IF($B461=0,0,IF(Inputs!$B$8="",0,COUNTIFS(Data!$I$10:$I$3209,"&gt;="&amp;$A461,Data!$I$10:$I$3209,"&lt;"&amp;$A461+1)))</f>
        <v/>
      </c>
      <c r="AG461">
        <f>IF($B461=0,0,IF(Inputs!$B$9="",0,COUNTIFS(Data!$M$10:$M$3209,"&gt;="&amp;$A461,Data!$M$10:$M$3209,"&lt;"&amp;$A461+1)))</f>
        <v/>
      </c>
      <c r="AH461">
        <f>IF($B461=0,0,IF(Inputs!$B$10="",0,COUNTIFS(Data!$Q$10:$Q$3209,"&gt;="&amp;$A461,Data!$Q$10:$Q$3209,"&lt;"&amp;$A461+1)))</f>
        <v/>
      </c>
    </row>
    <row r="462">
      <c r="A462" s="55">
        <f>MIN(Inputs!$C$15,$A461+IF(WEEKDAY($A461,2)=5,3,1))</f>
        <v/>
      </c>
      <c r="B462">
        <f>IF($A462&gt;$A461,1,0)</f>
        <v/>
      </c>
      <c r="C462" s="56">
        <f>IF($B462=0,"",IF(Inputs!$B$6="","",IF($AD462=0,C461,SUMIFS(Data!$B$10:$B$3209,Data!$A$10:$A$3209,"&gt;="&amp;$A462,Data!$A$10:$A$3209,"&lt;"&amp;$A462+1)/$AD462)))</f>
        <v/>
      </c>
      <c r="D462" s="56">
        <f>IF($B462=0,"",IF(Inputs!$B$7="","",IF($AE462=0,D461,SUMIFS(Data!$F$10:$F$3209,Data!$E$10:$E$3209,"&gt;="&amp;$A462,Data!$E$10:$E$3209,"&lt;"&amp;$A462+1)/$AE462)))</f>
        <v/>
      </c>
      <c r="E462" s="56">
        <f>IF($B462=0,"",IF(Inputs!$B$8="","",IF($AF462=0,E461,SUMIFS(Data!$J$10:$J$3209,Data!$I$10:$I$3209,"&gt;="&amp;$A462,Data!$I$10:$I$3209,"&lt;"&amp;$A462+1)/$AF462)))</f>
        <v/>
      </c>
      <c r="F462" s="56">
        <f>IF($B462=0,"",IF(Inputs!$B$9="","",IF($AG462=0,F461,SUMIFS(Data!$N$10:$N$3209,Data!$M$10:$M$3209,"&gt;="&amp;$A462,Data!$M$10:$M$3209,"&lt;"&amp;$A462+1)/$AG462)))</f>
        <v/>
      </c>
      <c r="G462" s="56">
        <f>IF($B462=0,"",IF(Inputs!$B$10="","",IF($AH462=0,G461,SUMIFS(Data!$R$10:$R$3209,Data!$Q$10:$Q$3209,"&gt;="&amp;$A462,Data!$Q$10:$Q$3209,"&lt;"&amp;$A462+1)/$AH462)))</f>
        <v/>
      </c>
      <c r="I462" s="54">
        <f>IF($B462=0,NA(),IF($C462="",NA(),IF(C$8="",NA(),IF(N(C$8)=0,NA(),IF(Inputs!$C$17="Rebased to 100",$C462/C$8*100,$C462)))))</f>
        <v/>
      </c>
      <c r="J462" s="54">
        <f>IF($B462=0,NA(),IF($D462="",NA(),IF(D$8="",NA(),IF(N(D$8)=0,NA(),IF(Inputs!$C$17="Rebased to 100",$D462/D$8*100,$D462)))))</f>
        <v/>
      </c>
      <c r="K462" s="54">
        <f>IF($B462=0,NA(),IF($E462="",NA(),IF(E$8="",NA(),IF(N(E$8)=0,NA(),IF(Inputs!$C$17="Rebased to 100",$E462/E$8*100,$E462)))))</f>
        <v/>
      </c>
      <c r="L462" s="54">
        <f>IF($B462=0,NA(),IF($F462="",NA(),IF(F$8="",NA(),IF(N(F$8)=0,NA(),IF(Inputs!$C$17="Rebased to 100",$F462/F$8*100,$F462)))))</f>
        <v/>
      </c>
      <c r="M462" s="54">
        <f>IF($B462=0,NA(),IF($G462="",NA(),IF(G$8="",NA(),IF(N(G$8)=0,NA(),IF(Inputs!$C$17="Rebased to 100",$G462/G$8*100,$G462)))))</f>
        <v/>
      </c>
      <c r="N462" s="54">
        <f>IF($B462=0,NA(),IF(Inputs!$C$18&lt;&gt;"Yes",NA(),IF(COUNT(I462,J462,K462,L462,M462)=0,NA(),MIN(I462,J462,K462,L462,M462))))</f>
        <v/>
      </c>
      <c r="O462" s="54">
        <f>IF($B462=0,NA(),IF(Inputs!$B$24&lt;&gt;"Yes",NA(),Inputs!$D$24*Inputs!$C$35))</f>
        <v/>
      </c>
      <c r="P462" s="54">
        <f>IF($B462=0,NA(),IF(Inputs!$B$25&lt;&gt;"Yes",NA(),Inputs!$D$25*Inputs!$C$35))</f>
        <v/>
      </c>
      <c r="Q462" s="54">
        <f>IF($B462=0,NA(),IF(Inputs!$B$26&lt;&gt;"Yes",NA(),Inputs!$D$26*Inputs!$C$35))</f>
        <v/>
      </c>
      <c r="R462" s="54">
        <f>IF($B462=0,NA(),IF(Inputs!$B$27&lt;&gt;"Yes",NA(),Inputs!$D$27*Inputs!$C$35))</f>
        <v/>
      </c>
      <c r="S462" s="54">
        <f>IF($B462=0,NA(),IF(Inputs!$B$28&lt;&gt;"Yes",NA(),Inputs!$D$28*Inputs!$C$35))</f>
        <v/>
      </c>
      <c r="T462" s="54">
        <f>IF($B462=0,NA(),IF(Inputs!$B$29&lt;&gt;"Yes",NA(),Inputs!$D$29*Inputs!$C$35))</f>
        <v/>
      </c>
      <c r="AD462">
        <f>IF($B462=0,0,IF(Inputs!$B$6="",0,COUNTIFS(Data!$A$10:$A$3209,"&gt;="&amp;$A462,Data!$A$10:$A$3209,"&lt;"&amp;$A462+1)))</f>
        <v/>
      </c>
      <c r="AE462">
        <f>IF($B462=0,0,IF(Inputs!$B$7="",0,COUNTIFS(Data!$E$10:$E$3209,"&gt;="&amp;$A462,Data!$E$10:$E$3209,"&lt;"&amp;$A462+1)))</f>
        <v/>
      </c>
      <c r="AF462">
        <f>IF($B462=0,0,IF(Inputs!$B$8="",0,COUNTIFS(Data!$I$10:$I$3209,"&gt;="&amp;$A462,Data!$I$10:$I$3209,"&lt;"&amp;$A462+1)))</f>
        <v/>
      </c>
      <c r="AG462">
        <f>IF($B462=0,0,IF(Inputs!$B$9="",0,COUNTIFS(Data!$M$10:$M$3209,"&gt;="&amp;$A462,Data!$M$10:$M$3209,"&lt;"&amp;$A462+1)))</f>
        <v/>
      </c>
      <c r="AH462">
        <f>IF($B462=0,0,IF(Inputs!$B$10="",0,COUNTIFS(Data!$Q$10:$Q$3209,"&gt;="&amp;$A462,Data!$Q$10:$Q$3209,"&lt;"&amp;$A462+1)))</f>
        <v/>
      </c>
    </row>
    <row r="463">
      <c r="A463" s="55">
        <f>MIN(Inputs!$C$15,$A462+IF(WEEKDAY($A462,2)=5,3,1))</f>
        <v/>
      </c>
      <c r="B463">
        <f>IF($A463&gt;$A462,1,0)</f>
        <v/>
      </c>
      <c r="C463" s="56">
        <f>IF($B463=0,"",IF(Inputs!$B$6="","",IF($AD463=0,C462,SUMIFS(Data!$B$10:$B$3209,Data!$A$10:$A$3209,"&gt;="&amp;$A463,Data!$A$10:$A$3209,"&lt;"&amp;$A463+1)/$AD463)))</f>
        <v/>
      </c>
      <c r="D463" s="56">
        <f>IF($B463=0,"",IF(Inputs!$B$7="","",IF($AE463=0,D462,SUMIFS(Data!$F$10:$F$3209,Data!$E$10:$E$3209,"&gt;="&amp;$A463,Data!$E$10:$E$3209,"&lt;"&amp;$A463+1)/$AE463)))</f>
        <v/>
      </c>
      <c r="E463" s="56">
        <f>IF($B463=0,"",IF(Inputs!$B$8="","",IF($AF463=0,E462,SUMIFS(Data!$J$10:$J$3209,Data!$I$10:$I$3209,"&gt;="&amp;$A463,Data!$I$10:$I$3209,"&lt;"&amp;$A463+1)/$AF463)))</f>
        <v/>
      </c>
      <c r="F463" s="56">
        <f>IF($B463=0,"",IF(Inputs!$B$9="","",IF($AG463=0,F462,SUMIFS(Data!$N$10:$N$3209,Data!$M$10:$M$3209,"&gt;="&amp;$A463,Data!$M$10:$M$3209,"&lt;"&amp;$A463+1)/$AG463)))</f>
        <v/>
      </c>
      <c r="G463" s="56">
        <f>IF($B463=0,"",IF(Inputs!$B$10="","",IF($AH463=0,G462,SUMIFS(Data!$R$10:$R$3209,Data!$Q$10:$Q$3209,"&gt;="&amp;$A463,Data!$Q$10:$Q$3209,"&lt;"&amp;$A463+1)/$AH463)))</f>
        <v/>
      </c>
      <c r="I463" s="54">
        <f>IF($B463=0,NA(),IF($C463="",NA(),IF(C$8="",NA(),IF(N(C$8)=0,NA(),IF(Inputs!$C$17="Rebased to 100",$C463/C$8*100,$C463)))))</f>
        <v/>
      </c>
      <c r="J463" s="54">
        <f>IF($B463=0,NA(),IF($D463="",NA(),IF(D$8="",NA(),IF(N(D$8)=0,NA(),IF(Inputs!$C$17="Rebased to 100",$D463/D$8*100,$D463)))))</f>
        <v/>
      </c>
      <c r="K463" s="54">
        <f>IF($B463=0,NA(),IF($E463="",NA(),IF(E$8="",NA(),IF(N(E$8)=0,NA(),IF(Inputs!$C$17="Rebased to 100",$E463/E$8*100,$E463)))))</f>
        <v/>
      </c>
      <c r="L463" s="54">
        <f>IF($B463=0,NA(),IF($F463="",NA(),IF(F$8="",NA(),IF(N(F$8)=0,NA(),IF(Inputs!$C$17="Rebased to 100",$F463/F$8*100,$F463)))))</f>
        <v/>
      </c>
      <c r="M463" s="54">
        <f>IF($B463=0,NA(),IF($G463="",NA(),IF(G$8="",NA(),IF(N(G$8)=0,NA(),IF(Inputs!$C$17="Rebased to 100",$G463/G$8*100,$G463)))))</f>
        <v/>
      </c>
      <c r="N463" s="54">
        <f>IF($B463=0,NA(),IF(Inputs!$C$18&lt;&gt;"Yes",NA(),IF(COUNT(I463,J463,K463,L463,M463)=0,NA(),MIN(I463,J463,K463,L463,M463))))</f>
        <v/>
      </c>
      <c r="O463" s="54">
        <f>IF($B463=0,NA(),IF(Inputs!$B$24&lt;&gt;"Yes",NA(),Inputs!$D$24*Inputs!$C$35))</f>
        <v/>
      </c>
      <c r="P463" s="54">
        <f>IF($B463=0,NA(),IF(Inputs!$B$25&lt;&gt;"Yes",NA(),Inputs!$D$25*Inputs!$C$35))</f>
        <v/>
      </c>
      <c r="Q463" s="54">
        <f>IF($B463=0,NA(),IF(Inputs!$B$26&lt;&gt;"Yes",NA(),Inputs!$D$26*Inputs!$C$35))</f>
        <v/>
      </c>
      <c r="R463" s="54">
        <f>IF($B463=0,NA(),IF(Inputs!$B$27&lt;&gt;"Yes",NA(),Inputs!$D$27*Inputs!$C$35))</f>
        <v/>
      </c>
      <c r="S463" s="54">
        <f>IF($B463=0,NA(),IF(Inputs!$B$28&lt;&gt;"Yes",NA(),Inputs!$D$28*Inputs!$C$35))</f>
        <v/>
      </c>
      <c r="T463" s="54">
        <f>IF($B463=0,NA(),IF(Inputs!$B$29&lt;&gt;"Yes",NA(),Inputs!$D$29*Inputs!$C$35))</f>
        <v/>
      </c>
      <c r="AD463">
        <f>IF($B463=0,0,IF(Inputs!$B$6="",0,COUNTIFS(Data!$A$10:$A$3209,"&gt;="&amp;$A463,Data!$A$10:$A$3209,"&lt;"&amp;$A463+1)))</f>
        <v/>
      </c>
      <c r="AE463">
        <f>IF($B463=0,0,IF(Inputs!$B$7="",0,COUNTIFS(Data!$E$10:$E$3209,"&gt;="&amp;$A463,Data!$E$10:$E$3209,"&lt;"&amp;$A463+1)))</f>
        <v/>
      </c>
      <c r="AF463">
        <f>IF($B463=0,0,IF(Inputs!$B$8="",0,COUNTIFS(Data!$I$10:$I$3209,"&gt;="&amp;$A463,Data!$I$10:$I$3209,"&lt;"&amp;$A463+1)))</f>
        <v/>
      </c>
      <c r="AG463">
        <f>IF($B463=0,0,IF(Inputs!$B$9="",0,COUNTIFS(Data!$M$10:$M$3209,"&gt;="&amp;$A463,Data!$M$10:$M$3209,"&lt;"&amp;$A463+1)))</f>
        <v/>
      </c>
      <c r="AH463">
        <f>IF($B463=0,0,IF(Inputs!$B$10="",0,COUNTIFS(Data!$Q$10:$Q$3209,"&gt;="&amp;$A463,Data!$Q$10:$Q$3209,"&lt;"&amp;$A463+1)))</f>
        <v/>
      </c>
    </row>
    <row r="464">
      <c r="A464" s="55">
        <f>MIN(Inputs!$C$15,$A463+IF(WEEKDAY($A463,2)=5,3,1))</f>
        <v/>
      </c>
      <c r="B464">
        <f>IF($A464&gt;$A463,1,0)</f>
        <v/>
      </c>
      <c r="C464" s="56">
        <f>IF($B464=0,"",IF(Inputs!$B$6="","",IF($AD464=0,C463,SUMIFS(Data!$B$10:$B$3209,Data!$A$10:$A$3209,"&gt;="&amp;$A464,Data!$A$10:$A$3209,"&lt;"&amp;$A464+1)/$AD464)))</f>
        <v/>
      </c>
      <c r="D464" s="56">
        <f>IF($B464=0,"",IF(Inputs!$B$7="","",IF($AE464=0,D463,SUMIFS(Data!$F$10:$F$3209,Data!$E$10:$E$3209,"&gt;="&amp;$A464,Data!$E$10:$E$3209,"&lt;"&amp;$A464+1)/$AE464)))</f>
        <v/>
      </c>
      <c r="E464" s="56">
        <f>IF($B464=0,"",IF(Inputs!$B$8="","",IF($AF464=0,E463,SUMIFS(Data!$J$10:$J$3209,Data!$I$10:$I$3209,"&gt;="&amp;$A464,Data!$I$10:$I$3209,"&lt;"&amp;$A464+1)/$AF464)))</f>
        <v/>
      </c>
      <c r="F464" s="56">
        <f>IF($B464=0,"",IF(Inputs!$B$9="","",IF($AG464=0,F463,SUMIFS(Data!$N$10:$N$3209,Data!$M$10:$M$3209,"&gt;="&amp;$A464,Data!$M$10:$M$3209,"&lt;"&amp;$A464+1)/$AG464)))</f>
        <v/>
      </c>
      <c r="G464" s="56">
        <f>IF($B464=0,"",IF(Inputs!$B$10="","",IF($AH464=0,G463,SUMIFS(Data!$R$10:$R$3209,Data!$Q$10:$Q$3209,"&gt;="&amp;$A464,Data!$Q$10:$Q$3209,"&lt;"&amp;$A464+1)/$AH464)))</f>
        <v/>
      </c>
      <c r="I464" s="54">
        <f>IF($B464=0,NA(),IF($C464="",NA(),IF(C$8="",NA(),IF(N(C$8)=0,NA(),IF(Inputs!$C$17="Rebased to 100",$C464/C$8*100,$C464)))))</f>
        <v/>
      </c>
      <c r="J464" s="54">
        <f>IF($B464=0,NA(),IF($D464="",NA(),IF(D$8="",NA(),IF(N(D$8)=0,NA(),IF(Inputs!$C$17="Rebased to 100",$D464/D$8*100,$D464)))))</f>
        <v/>
      </c>
      <c r="K464" s="54">
        <f>IF($B464=0,NA(),IF($E464="",NA(),IF(E$8="",NA(),IF(N(E$8)=0,NA(),IF(Inputs!$C$17="Rebased to 100",$E464/E$8*100,$E464)))))</f>
        <v/>
      </c>
      <c r="L464" s="54">
        <f>IF($B464=0,NA(),IF($F464="",NA(),IF(F$8="",NA(),IF(N(F$8)=0,NA(),IF(Inputs!$C$17="Rebased to 100",$F464/F$8*100,$F464)))))</f>
        <v/>
      </c>
      <c r="M464" s="54">
        <f>IF($B464=0,NA(),IF($G464="",NA(),IF(G$8="",NA(),IF(N(G$8)=0,NA(),IF(Inputs!$C$17="Rebased to 100",$G464/G$8*100,$G464)))))</f>
        <v/>
      </c>
      <c r="N464" s="54">
        <f>IF($B464=0,NA(),IF(Inputs!$C$18&lt;&gt;"Yes",NA(),IF(COUNT(I464,J464,K464,L464,M464)=0,NA(),MIN(I464,J464,K464,L464,M464))))</f>
        <v/>
      </c>
      <c r="O464" s="54">
        <f>IF($B464=0,NA(),IF(Inputs!$B$24&lt;&gt;"Yes",NA(),Inputs!$D$24*Inputs!$C$35))</f>
        <v/>
      </c>
      <c r="P464" s="54">
        <f>IF($B464=0,NA(),IF(Inputs!$B$25&lt;&gt;"Yes",NA(),Inputs!$D$25*Inputs!$C$35))</f>
        <v/>
      </c>
      <c r="Q464" s="54">
        <f>IF($B464=0,NA(),IF(Inputs!$B$26&lt;&gt;"Yes",NA(),Inputs!$D$26*Inputs!$C$35))</f>
        <v/>
      </c>
      <c r="R464" s="54">
        <f>IF($B464=0,NA(),IF(Inputs!$B$27&lt;&gt;"Yes",NA(),Inputs!$D$27*Inputs!$C$35))</f>
        <v/>
      </c>
      <c r="S464" s="54">
        <f>IF($B464=0,NA(),IF(Inputs!$B$28&lt;&gt;"Yes",NA(),Inputs!$D$28*Inputs!$C$35))</f>
        <v/>
      </c>
      <c r="T464" s="54">
        <f>IF($B464=0,NA(),IF(Inputs!$B$29&lt;&gt;"Yes",NA(),Inputs!$D$29*Inputs!$C$35))</f>
        <v/>
      </c>
      <c r="AD464">
        <f>IF($B464=0,0,IF(Inputs!$B$6="",0,COUNTIFS(Data!$A$10:$A$3209,"&gt;="&amp;$A464,Data!$A$10:$A$3209,"&lt;"&amp;$A464+1)))</f>
        <v/>
      </c>
      <c r="AE464">
        <f>IF($B464=0,0,IF(Inputs!$B$7="",0,COUNTIFS(Data!$E$10:$E$3209,"&gt;="&amp;$A464,Data!$E$10:$E$3209,"&lt;"&amp;$A464+1)))</f>
        <v/>
      </c>
      <c r="AF464">
        <f>IF($B464=0,0,IF(Inputs!$B$8="",0,COUNTIFS(Data!$I$10:$I$3209,"&gt;="&amp;$A464,Data!$I$10:$I$3209,"&lt;"&amp;$A464+1)))</f>
        <v/>
      </c>
      <c r="AG464">
        <f>IF($B464=0,0,IF(Inputs!$B$9="",0,COUNTIFS(Data!$M$10:$M$3209,"&gt;="&amp;$A464,Data!$M$10:$M$3209,"&lt;"&amp;$A464+1)))</f>
        <v/>
      </c>
      <c r="AH464">
        <f>IF($B464=0,0,IF(Inputs!$B$10="",0,COUNTIFS(Data!$Q$10:$Q$3209,"&gt;="&amp;$A464,Data!$Q$10:$Q$3209,"&lt;"&amp;$A464+1)))</f>
        <v/>
      </c>
    </row>
    <row r="465">
      <c r="A465" s="55">
        <f>MIN(Inputs!$C$15,$A464+IF(WEEKDAY($A464,2)=5,3,1))</f>
        <v/>
      </c>
      <c r="B465">
        <f>IF($A465&gt;$A464,1,0)</f>
        <v/>
      </c>
      <c r="C465" s="56">
        <f>IF($B465=0,"",IF(Inputs!$B$6="","",IF($AD465=0,C464,SUMIFS(Data!$B$10:$B$3209,Data!$A$10:$A$3209,"&gt;="&amp;$A465,Data!$A$10:$A$3209,"&lt;"&amp;$A465+1)/$AD465)))</f>
        <v/>
      </c>
      <c r="D465" s="56">
        <f>IF($B465=0,"",IF(Inputs!$B$7="","",IF($AE465=0,D464,SUMIFS(Data!$F$10:$F$3209,Data!$E$10:$E$3209,"&gt;="&amp;$A465,Data!$E$10:$E$3209,"&lt;"&amp;$A465+1)/$AE465)))</f>
        <v/>
      </c>
      <c r="E465" s="56">
        <f>IF($B465=0,"",IF(Inputs!$B$8="","",IF($AF465=0,E464,SUMIFS(Data!$J$10:$J$3209,Data!$I$10:$I$3209,"&gt;="&amp;$A465,Data!$I$10:$I$3209,"&lt;"&amp;$A465+1)/$AF465)))</f>
        <v/>
      </c>
      <c r="F465" s="56">
        <f>IF($B465=0,"",IF(Inputs!$B$9="","",IF($AG465=0,F464,SUMIFS(Data!$N$10:$N$3209,Data!$M$10:$M$3209,"&gt;="&amp;$A465,Data!$M$10:$M$3209,"&lt;"&amp;$A465+1)/$AG465)))</f>
        <v/>
      </c>
      <c r="G465" s="56">
        <f>IF($B465=0,"",IF(Inputs!$B$10="","",IF($AH465=0,G464,SUMIFS(Data!$R$10:$R$3209,Data!$Q$10:$Q$3209,"&gt;="&amp;$A465,Data!$Q$10:$Q$3209,"&lt;"&amp;$A465+1)/$AH465)))</f>
        <v/>
      </c>
      <c r="I465" s="54">
        <f>IF($B465=0,NA(),IF($C465="",NA(),IF(C$8="",NA(),IF(N(C$8)=0,NA(),IF(Inputs!$C$17="Rebased to 100",$C465/C$8*100,$C465)))))</f>
        <v/>
      </c>
      <c r="J465" s="54">
        <f>IF($B465=0,NA(),IF($D465="",NA(),IF(D$8="",NA(),IF(N(D$8)=0,NA(),IF(Inputs!$C$17="Rebased to 100",$D465/D$8*100,$D465)))))</f>
        <v/>
      </c>
      <c r="K465" s="54">
        <f>IF($B465=0,NA(),IF($E465="",NA(),IF(E$8="",NA(),IF(N(E$8)=0,NA(),IF(Inputs!$C$17="Rebased to 100",$E465/E$8*100,$E465)))))</f>
        <v/>
      </c>
      <c r="L465" s="54">
        <f>IF($B465=0,NA(),IF($F465="",NA(),IF(F$8="",NA(),IF(N(F$8)=0,NA(),IF(Inputs!$C$17="Rebased to 100",$F465/F$8*100,$F465)))))</f>
        <v/>
      </c>
      <c r="M465" s="54">
        <f>IF($B465=0,NA(),IF($G465="",NA(),IF(G$8="",NA(),IF(N(G$8)=0,NA(),IF(Inputs!$C$17="Rebased to 100",$G465/G$8*100,$G465)))))</f>
        <v/>
      </c>
      <c r="N465" s="54">
        <f>IF($B465=0,NA(),IF(Inputs!$C$18&lt;&gt;"Yes",NA(),IF(COUNT(I465,J465,K465,L465,M465)=0,NA(),MIN(I465,J465,K465,L465,M465))))</f>
        <v/>
      </c>
      <c r="O465" s="54">
        <f>IF($B465=0,NA(),IF(Inputs!$B$24&lt;&gt;"Yes",NA(),Inputs!$D$24*Inputs!$C$35))</f>
        <v/>
      </c>
      <c r="P465" s="54">
        <f>IF($B465=0,NA(),IF(Inputs!$B$25&lt;&gt;"Yes",NA(),Inputs!$D$25*Inputs!$C$35))</f>
        <v/>
      </c>
      <c r="Q465" s="54">
        <f>IF($B465=0,NA(),IF(Inputs!$B$26&lt;&gt;"Yes",NA(),Inputs!$D$26*Inputs!$C$35))</f>
        <v/>
      </c>
      <c r="R465" s="54">
        <f>IF($B465=0,NA(),IF(Inputs!$B$27&lt;&gt;"Yes",NA(),Inputs!$D$27*Inputs!$C$35))</f>
        <v/>
      </c>
      <c r="S465" s="54">
        <f>IF($B465=0,NA(),IF(Inputs!$B$28&lt;&gt;"Yes",NA(),Inputs!$D$28*Inputs!$C$35))</f>
        <v/>
      </c>
      <c r="T465" s="54">
        <f>IF($B465=0,NA(),IF(Inputs!$B$29&lt;&gt;"Yes",NA(),Inputs!$D$29*Inputs!$C$35))</f>
        <v/>
      </c>
      <c r="AD465">
        <f>IF($B465=0,0,IF(Inputs!$B$6="",0,COUNTIFS(Data!$A$10:$A$3209,"&gt;="&amp;$A465,Data!$A$10:$A$3209,"&lt;"&amp;$A465+1)))</f>
        <v/>
      </c>
      <c r="AE465">
        <f>IF($B465=0,0,IF(Inputs!$B$7="",0,COUNTIFS(Data!$E$10:$E$3209,"&gt;="&amp;$A465,Data!$E$10:$E$3209,"&lt;"&amp;$A465+1)))</f>
        <v/>
      </c>
      <c r="AF465">
        <f>IF($B465=0,0,IF(Inputs!$B$8="",0,COUNTIFS(Data!$I$10:$I$3209,"&gt;="&amp;$A465,Data!$I$10:$I$3209,"&lt;"&amp;$A465+1)))</f>
        <v/>
      </c>
      <c r="AG465">
        <f>IF($B465=0,0,IF(Inputs!$B$9="",0,COUNTIFS(Data!$M$10:$M$3209,"&gt;="&amp;$A465,Data!$M$10:$M$3209,"&lt;"&amp;$A465+1)))</f>
        <v/>
      </c>
      <c r="AH465">
        <f>IF($B465=0,0,IF(Inputs!$B$10="",0,COUNTIFS(Data!$Q$10:$Q$3209,"&gt;="&amp;$A465,Data!$Q$10:$Q$3209,"&lt;"&amp;$A465+1)))</f>
        <v/>
      </c>
    </row>
    <row r="466">
      <c r="A466" s="55">
        <f>MIN(Inputs!$C$15,$A465+IF(WEEKDAY($A465,2)=5,3,1))</f>
        <v/>
      </c>
      <c r="B466">
        <f>IF($A466&gt;$A465,1,0)</f>
        <v/>
      </c>
      <c r="C466" s="56">
        <f>IF($B466=0,"",IF(Inputs!$B$6="","",IF($AD466=0,C465,SUMIFS(Data!$B$10:$B$3209,Data!$A$10:$A$3209,"&gt;="&amp;$A466,Data!$A$10:$A$3209,"&lt;"&amp;$A466+1)/$AD466)))</f>
        <v/>
      </c>
      <c r="D466" s="56">
        <f>IF($B466=0,"",IF(Inputs!$B$7="","",IF($AE466=0,D465,SUMIFS(Data!$F$10:$F$3209,Data!$E$10:$E$3209,"&gt;="&amp;$A466,Data!$E$10:$E$3209,"&lt;"&amp;$A466+1)/$AE466)))</f>
        <v/>
      </c>
      <c r="E466" s="56">
        <f>IF($B466=0,"",IF(Inputs!$B$8="","",IF($AF466=0,E465,SUMIFS(Data!$J$10:$J$3209,Data!$I$10:$I$3209,"&gt;="&amp;$A466,Data!$I$10:$I$3209,"&lt;"&amp;$A466+1)/$AF466)))</f>
        <v/>
      </c>
      <c r="F466" s="56">
        <f>IF($B466=0,"",IF(Inputs!$B$9="","",IF($AG466=0,F465,SUMIFS(Data!$N$10:$N$3209,Data!$M$10:$M$3209,"&gt;="&amp;$A466,Data!$M$10:$M$3209,"&lt;"&amp;$A466+1)/$AG466)))</f>
        <v/>
      </c>
      <c r="G466" s="56">
        <f>IF($B466=0,"",IF(Inputs!$B$10="","",IF($AH466=0,G465,SUMIFS(Data!$R$10:$R$3209,Data!$Q$10:$Q$3209,"&gt;="&amp;$A466,Data!$Q$10:$Q$3209,"&lt;"&amp;$A466+1)/$AH466)))</f>
        <v/>
      </c>
      <c r="I466" s="54">
        <f>IF($B466=0,NA(),IF($C466="",NA(),IF(C$8="",NA(),IF(N(C$8)=0,NA(),IF(Inputs!$C$17="Rebased to 100",$C466/C$8*100,$C466)))))</f>
        <v/>
      </c>
      <c r="J466" s="54">
        <f>IF($B466=0,NA(),IF($D466="",NA(),IF(D$8="",NA(),IF(N(D$8)=0,NA(),IF(Inputs!$C$17="Rebased to 100",$D466/D$8*100,$D466)))))</f>
        <v/>
      </c>
      <c r="K466" s="54">
        <f>IF($B466=0,NA(),IF($E466="",NA(),IF(E$8="",NA(),IF(N(E$8)=0,NA(),IF(Inputs!$C$17="Rebased to 100",$E466/E$8*100,$E466)))))</f>
        <v/>
      </c>
      <c r="L466" s="54">
        <f>IF($B466=0,NA(),IF($F466="",NA(),IF(F$8="",NA(),IF(N(F$8)=0,NA(),IF(Inputs!$C$17="Rebased to 100",$F466/F$8*100,$F466)))))</f>
        <v/>
      </c>
      <c r="M466" s="54">
        <f>IF($B466=0,NA(),IF($G466="",NA(),IF(G$8="",NA(),IF(N(G$8)=0,NA(),IF(Inputs!$C$17="Rebased to 100",$G466/G$8*100,$G466)))))</f>
        <v/>
      </c>
      <c r="N466" s="54">
        <f>IF($B466=0,NA(),IF(Inputs!$C$18&lt;&gt;"Yes",NA(),IF(COUNT(I466,J466,K466,L466,M466)=0,NA(),MIN(I466,J466,K466,L466,M466))))</f>
        <v/>
      </c>
      <c r="O466" s="54">
        <f>IF($B466=0,NA(),IF(Inputs!$B$24&lt;&gt;"Yes",NA(),Inputs!$D$24*Inputs!$C$35))</f>
        <v/>
      </c>
      <c r="P466" s="54">
        <f>IF($B466=0,NA(),IF(Inputs!$B$25&lt;&gt;"Yes",NA(),Inputs!$D$25*Inputs!$C$35))</f>
        <v/>
      </c>
      <c r="Q466" s="54">
        <f>IF($B466=0,NA(),IF(Inputs!$B$26&lt;&gt;"Yes",NA(),Inputs!$D$26*Inputs!$C$35))</f>
        <v/>
      </c>
      <c r="R466" s="54">
        <f>IF($B466=0,NA(),IF(Inputs!$B$27&lt;&gt;"Yes",NA(),Inputs!$D$27*Inputs!$C$35))</f>
        <v/>
      </c>
      <c r="S466" s="54">
        <f>IF($B466=0,NA(),IF(Inputs!$B$28&lt;&gt;"Yes",NA(),Inputs!$D$28*Inputs!$C$35))</f>
        <v/>
      </c>
      <c r="T466" s="54">
        <f>IF($B466=0,NA(),IF(Inputs!$B$29&lt;&gt;"Yes",NA(),Inputs!$D$29*Inputs!$C$35))</f>
        <v/>
      </c>
      <c r="AD466">
        <f>IF($B466=0,0,IF(Inputs!$B$6="",0,COUNTIFS(Data!$A$10:$A$3209,"&gt;="&amp;$A466,Data!$A$10:$A$3209,"&lt;"&amp;$A466+1)))</f>
        <v/>
      </c>
      <c r="AE466">
        <f>IF($B466=0,0,IF(Inputs!$B$7="",0,COUNTIFS(Data!$E$10:$E$3209,"&gt;="&amp;$A466,Data!$E$10:$E$3209,"&lt;"&amp;$A466+1)))</f>
        <v/>
      </c>
      <c r="AF466">
        <f>IF($B466=0,0,IF(Inputs!$B$8="",0,COUNTIFS(Data!$I$10:$I$3209,"&gt;="&amp;$A466,Data!$I$10:$I$3209,"&lt;"&amp;$A466+1)))</f>
        <v/>
      </c>
      <c r="AG466">
        <f>IF($B466=0,0,IF(Inputs!$B$9="",0,COUNTIFS(Data!$M$10:$M$3209,"&gt;="&amp;$A466,Data!$M$10:$M$3209,"&lt;"&amp;$A466+1)))</f>
        <v/>
      </c>
      <c r="AH466">
        <f>IF($B466=0,0,IF(Inputs!$B$10="",0,COUNTIFS(Data!$Q$10:$Q$3209,"&gt;="&amp;$A466,Data!$Q$10:$Q$3209,"&lt;"&amp;$A466+1)))</f>
        <v/>
      </c>
    </row>
    <row r="467">
      <c r="A467" s="55">
        <f>MIN(Inputs!$C$15,$A466+IF(WEEKDAY($A466,2)=5,3,1))</f>
        <v/>
      </c>
      <c r="B467">
        <f>IF($A467&gt;$A466,1,0)</f>
        <v/>
      </c>
      <c r="C467" s="56">
        <f>IF($B467=0,"",IF(Inputs!$B$6="","",IF($AD467=0,C466,SUMIFS(Data!$B$10:$B$3209,Data!$A$10:$A$3209,"&gt;="&amp;$A467,Data!$A$10:$A$3209,"&lt;"&amp;$A467+1)/$AD467)))</f>
        <v/>
      </c>
      <c r="D467" s="56">
        <f>IF($B467=0,"",IF(Inputs!$B$7="","",IF($AE467=0,D466,SUMIFS(Data!$F$10:$F$3209,Data!$E$10:$E$3209,"&gt;="&amp;$A467,Data!$E$10:$E$3209,"&lt;"&amp;$A467+1)/$AE467)))</f>
        <v/>
      </c>
      <c r="E467" s="56">
        <f>IF($B467=0,"",IF(Inputs!$B$8="","",IF($AF467=0,E466,SUMIFS(Data!$J$10:$J$3209,Data!$I$10:$I$3209,"&gt;="&amp;$A467,Data!$I$10:$I$3209,"&lt;"&amp;$A467+1)/$AF467)))</f>
        <v/>
      </c>
      <c r="F467" s="56">
        <f>IF($B467=0,"",IF(Inputs!$B$9="","",IF($AG467=0,F466,SUMIFS(Data!$N$10:$N$3209,Data!$M$10:$M$3209,"&gt;="&amp;$A467,Data!$M$10:$M$3209,"&lt;"&amp;$A467+1)/$AG467)))</f>
        <v/>
      </c>
      <c r="G467" s="56">
        <f>IF($B467=0,"",IF(Inputs!$B$10="","",IF($AH467=0,G466,SUMIFS(Data!$R$10:$R$3209,Data!$Q$10:$Q$3209,"&gt;="&amp;$A467,Data!$Q$10:$Q$3209,"&lt;"&amp;$A467+1)/$AH467)))</f>
        <v/>
      </c>
      <c r="I467" s="54">
        <f>IF($B467=0,NA(),IF($C467="",NA(),IF(C$8="",NA(),IF(N(C$8)=0,NA(),IF(Inputs!$C$17="Rebased to 100",$C467/C$8*100,$C467)))))</f>
        <v/>
      </c>
      <c r="J467" s="54">
        <f>IF($B467=0,NA(),IF($D467="",NA(),IF(D$8="",NA(),IF(N(D$8)=0,NA(),IF(Inputs!$C$17="Rebased to 100",$D467/D$8*100,$D467)))))</f>
        <v/>
      </c>
      <c r="K467" s="54">
        <f>IF($B467=0,NA(),IF($E467="",NA(),IF(E$8="",NA(),IF(N(E$8)=0,NA(),IF(Inputs!$C$17="Rebased to 100",$E467/E$8*100,$E467)))))</f>
        <v/>
      </c>
      <c r="L467" s="54">
        <f>IF($B467=0,NA(),IF($F467="",NA(),IF(F$8="",NA(),IF(N(F$8)=0,NA(),IF(Inputs!$C$17="Rebased to 100",$F467/F$8*100,$F467)))))</f>
        <v/>
      </c>
      <c r="M467" s="54">
        <f>IF($B467=0,NA(),IF($G467="",NA(),IF(G$8="",NA(),IF(N(G$8)=0,NA(),IF(Inputs!$C$17="Rebased to 100",$G467/G$8*100,$G467)))))</f>
        <v/>
      </c>
      <c r="N467" s="54">
        <f>IF($B467=0,NA(),IF(Inputs!$C$18&lt;&gt;"Yes",NA(),IF(COUNT(I467,J467,K467,L467,M467)=0,NA(),MIN(I467,J467,K467,L467,M467))))</f>
        <v/>
      </c>
      <c r="O467" s="54">
        <f>IF($B467=0,NA(),IF(Inputs!$B$24&lt;&gt;"Yes",NA(),Inputs!$D$24*Inputs!$C$35))</f>
        <v/>
      </c>
      <c r="P467" s="54">
        <f>IF($B467=0,NA(),IF(Inputs!$B$25&lt;&gt;"Yes",NA(),Inputs!$D$25*Inputs!$C$35))</f>
        <v/>
      </c>
      <c r="Q467" s="54">
        <f>IF($B467=0,NA(),IF(Inputs!$B$26&lt;&gt;"Yes",NA(),Inputs!$D$26*Inputs!$C$35))</f>
        <v/>
      </c>
      <c r="R467" s="54">
        <f>IF($B467=0,NA(),IF(Inputs!$B$27&lt;&gt;"Yes",NA(),Inputs!$D$27*Inputs!$C$35))</f>
        <v/>
      </c>
      <c r="S467" s="54">
        <f>IF($B467=0,NA(),IF(Inputs!$B$28&lt;&gt;"Yes",NA(),Inputs!$D$28*Inputs!$C$35))</f>
        <v/>
      </c>
      <c r="T467" s="54">
        <f>IF($B467=0,NA(),IF(Inputs!$B$29&lt;&gt;"Yes",NA(),Inputs!$D$29*Inputs!$C$35))</f>
        <v/>
      </c>
      <c r="AD467">
        <f>IF($B467=0,0,IF(Inputs!$B$6="",0,COUNTIFS(Data!$A$10:$A$3209,"&gt;="&amp;$A467,Data!$A$10:$A$3209,"&lt;"&amp;$A467+1)))</f>
        <v/>
      </c>
      <c r="AE467">
        <f>IF($B467=0,0,IF(Inputs!$B$7="",0,COUNTIFS(Data!$E$10:$E$3209,"&gt;="&amp;$A467,Data!$E$10:$E$3209,"&lt;"&amp;$A467+1)))</f>
        <v/>
      </c>
      <c r="AF467">
        <f>IF($B467=0,0,IF(Inputs!$B$8="",0,COUNTIFS(Data!$I$10:$I$3209,"&gt;="&amp;$A467,Data!$I$10:$I$3209,"&lt;"&amp;$A467+1)))</f>
        <v/>
      </c>
      <c r="AG467">
        <f>IF($B467=0,0,IF(Inputs!$B$9="",0,COUNTIFS(Data!$M$10:$M$3209,"&gt;="&amp;$A467,Data!$M$10:$M$3209,"&lt;"&amp;$A467+1)))</f>
        <v/>
      </c>
      <c r="AH467">
        <f>IF($B467=0,0,IF(Inputs!$B$10="",0,COUNTIFS(Data!$Q$10:$Q$3209,"&gt;="&amp;$A467,Data!$Q$10:$Q$3209,"&lt;"&amp;$A467+1)))</f>
        <v/>
      </c>
    </row>
    <row r="468">
      <c r="A468" s="55">
        <f>MIN(Inputs!$C$15,$A467+IF(WEEKDAY($A467,2)=5,3,1))</f>
        <v/>
      </c>
      <c r="B468">
        <f>IF($A468&gt;$A467,1,0)</f>
        <v/>
      </c>
      <c r="C468" s="56">
        <f>IF($B468=0,"",IF(Inputs!$B$6="","",IF($AD468=0,C467,SUMIFS(Data!$B$10:$B$3209,Data!$A$10:$A$3209,"&gt;="&amp;$A468,Data!$A$10:$A$3209,"&lt;"&amp;$A468+1)/$AD468)))</f>
        <v/>
      </c>
      <c r="D468" s="56">
        <f>IF($B468=0,"",IF(Inputs!$B$7="","",IF($AE468=0,D467,SUMIFS(Data!$F$10:$F$3209,Data!$E$10:$E$3209,"&gt;="&amp;$A468,Data!$E$10:$E$3209,"&lt;"&amp;$A468+1)/$AE468)))</f>
        <v/>
      </c>
      <c r="E468" s="56">
        <f>IF($B468=0,"",IF(Inputs!$B$8="","",IF($AF468=0,E467,SUMIFS(Data!$J$10:$J$3209,Data!$I$10:$I$3209,"&gt;="&amp;$A468,Data!$I$10:$I$3209,"&lt;"&amp;$A468+1)/$AF468)))</f>
        <v/>
      </c>
      <c r="F468" s="56">
        <f>IF($B468=0,"",IF(Inputs!$B$9="","",IF($AG468=0,F467,SUMIFS(Data!$N$10:$N$3209,Data!$M$10:$M$3209,"&gt;="&amp;$A468,Data!$M$10:$M$3209,"&lt;"&amp;$A468+1)/$AG468)))</f>
        <v/>
      </c>
      <c r="G468" s="56">
        <f>IF($B468=0,"",IF(Inputs!$B$10="","",IF($AH468=0,G467,SUMIFS(Data!$R$10:$R$3209,Data!$Q$10:$Q$3209,"&gt;="&amp;$A468,Data!$Q$10:$Q$3209,"&lt;"&amp;$A468+1)/$AH468)))</f>
        <v/>
      </c>
      <c r="I468" s="54">
        <f>IF($B468=0,NA(),IF($C468="",NA(),IF(C$8="",NA(),IF(N(C$8)=0,NA(),IF(Inputs!$C$17="Rebased to 100",$C468/C$8*100,$C468)))))</f>
        <v/>
      </c>
      <c r="J468" s="54">
        <f>IF($B468=0,NA(),IF($D468="",NA(),IF(D$8="",NA(),IF(N(D$8)=0,NA(),IF(Inputs!$C$17="Rebased to 100",$D468/D$8*100,$D468)))))</f>
        <v/>
      </c>
      <c r="K468" s="54">
        <f>IF($B468=0,NA(),IF($E468="",NA(),IF(E$8="",NA(),IF(N(E$8)=0,NA(),IF(Inputs!$C$17="Rebased to 100",$E468/E$8*100,$E468)))))</f>
        <v/>
      </c>
      <c r="L468" s="54">
        <f>IF($B468=0,NA(),IF($F468="",NA(),IF(F$8="",NA(),IF(N(F$8)=0,NA(),IF(Inputs!$C$17="Rebased to 100",$F468/F$8*100,$F468)))))</f>
        <v/>
      </c>
      <c r="M468" s="54">
        <f>IF($B468=0,NA(),IF($G468="",NA(),IF(G$8="",NA(),IF(N(G$8)=0,NA(),IF(Inputs!$C$17="Rebased to 100",$G468/G$8*100,$G468)))))</f>
        <v/>
      </c>
      <c r="N468" s="54">
        <f>IF($B468=0,NA(),IF(Inputs!$C$18&lt;&gt;"Yes",NA(),IF(COUNT(I468,J468,K468,L468,M468)=0,NA(),MIN(I468,J468,K468,L468,M468))))</f>
        <v/>
      </c>
      <c r="O468" s="54">
        <f>IF($B468=0,NA(),IF(Inputs!$B$24&lt;&gt;"Yes",NA(),Inputs!$D$24*Inputs!$C$35))</f>
        <v/>
      </c>
      <c r="P468" s="54">
        <f>IF($B468=0,NA(),IF(Inputs!$B$25&lt;&gt;"Yes",NA(),Inputs!$D$25*Inputs!$C$35))</f>
        <v/>
      </c>
      <c r="Q468" s="54">
        <f>IF($B468=0,NA(),IF(Inputs!$B$26&lt;&gt;"Yes",NA(),Inputs!$D$26*Inputs!$C$35))</f>
        <v/>
      </c>
      <c r="R468" s="54">
        <f>IF($B468=0,NA(),IF(Inputs!$B$27&lt;&gt;"Yes",NA(),Inputs!$D$27*Inputs!$C$35))</f>
        <v/>
      </c>
      <c r="S468" s="54">
        <f>IF($B468=0,NA(),IF(Inputs!$B$28&lt;&gt;"Yes",NA(),Inputs!$D$28*Inputs!$C$35))</f>
        <v/>
      </c>
      <c r="T468" s="54">
        <f>IF($B468=0,NA(),IF(Inputs!$B$29&lt;&gt;"Yes",NA(),Inputs!$D$29*Inputs!$C$35))</f>
        <v/>
      </c>
      <c r="AD468">
        <f>IF($B468=0,0,IF(Inputs!$B$6="",0,COUNTIFS(Data!$A$10:$A$3209,"&gt;="&amp;$A468,Data!$A$10:$A$3209,"&lt;"&amp;$A468+1)))</f>
        <v/>
      </c>
      <c r="AE468">
        <f>IF($B468=0,0,IF(Inputs!$B$7="",0,COUNTIFS(Data!$E$10:$E$3209,"&gt;="&amp;$A468,Data!$E$10:$E$3209,"&lt;"&amp;$A468+1)))</f>
        <v/>
      </c>
      <c r="AF468">
        <f>IF($B468=0,0,IF(Inputs!$B$8="",0,COUNTIFS(Data!$I$10:$I$3209,"&gt;="&amp;$A468,Data!$I$10:$I$3209,"&lt;"&amp;$A468+1)))</f>
        <v/>
      </c>
      <c r="AG468">
        <f>IF($B468=0,0,IF(Inputs!$B$9="",0,COUNTIFS(Data!$M$10:$M$3209,"&gt;="&amp;$A468,Data!$M$10:$M$3209,"&lt;"&amp;$A468+1)))</f>
        <v/>
      </c>
      <c r="AH468">
        <f>IF($B468=0,0,IF(Inputs!$B$10="",0,COUNTIFS(Data!$Q$10:$Q$3209,"&gt;="&amp;$A468,Data!$Q$10:$Q$3209,"&lt;"&amp;$A468+1)))</f>
        <v/>
      </c>
    </row>
    <row r="469">
      <c r="A469" s="55">
        <f>MIN(Inputs!$C$15,$A468+IF(WEEKDAY($A468,2)=5,3,1))</f>
        <v/>
      </c>
      <c r="B469">
        <f>IF($A469&gt;$A468,1,0)</f>
        <v/>
      </c>
      <c r="C469" s="56">
        <f>IF($B469=0,"",IF(Inputs!$B$6="","",IF($AD469=0,C468,SUMIFS(Data!$B$10:$B$3209,Data!$A$10:$A$3209,"&gt;="&amp;$A469,Data!$A$10:$A$3209,"&lt;"&amp;$A469+1)/$AD469)))</f>
        <v/>
      </c>
      <c r="D469" s="56">
        <f>IF($B469=0,"",IF(Inputs!$B$7="","",IF($AE469=0,D468,SUMIFS(Data!$F$10:$F$3209,Data!$E$10:$E$3209,"&gt;="&amp;$A469,Data!$E$10:$E$3209,"&lt;"&amp;$A469+1)/$AE469)))</f>
        <v/>
      </c>
      <c r="E469" s="56">
        <f>IF($B469=0,"",IF(Inputs!$B$8="","",IF($AF469=0,E468,SUMIFS(Data!$J$10:$J$3209,Data!$I$10:$I$3209,"&gt;="&amp;$A469,Data!$I$10:$I$3209,"&lt;"&amp;$A469+1)/$AF469)))</f>
        <v/>
      </c>
      <c r="F469" s="56">
        <f>IF($B469=0,"",IF(Inputs!$B$9="","",IF($AG469=0,F468,SUMIFS(Data!$N$10:$N$3209,Data!$M$10:$M$3209,"&gt;="&amp;$A469,Data!$M$10:$M$3209,"&lt;"&amp;$A469+1)/$AG469)))</f>
        <v/>
      </c>
      <c r="G469" s="56">
        <f>IF($B469=0,"",IF(Inputs!$B$10="","",IF($AH469=0,G468,SUMIFS(Data!$R$10:$R$3209,Data!$Q$10:$Q$3209,"&gt;="&amp;$A469,Data!$Q$10:$Q$3209,"&lt;"&amp;$A469+1)/$AH469)))</f>
        <v/>
      </c>
      <c r="I469" s="54">
        <f>IF($B469=0,NA(),IF($C469="",NA(),IF(C$8="",NA(),IF(N(C$8)=0,NA(),IF(Inputs!$C$17="Rebased to 100",$C469/C$8*100,$C469)))))</f>
        <v/>
      </c>
      <c r="J469" s="54">
        <f>IF($B469=0,NA(),IF($D469="",NA(),IF(D$8="",NA(),IF(N(D$8)=0,NA(),IF(Inputs!$C$17="Rebased to 100",$D469/D$8*100,$D469)))))</f>
        <v/>
      </c>
      <c r="K469" s="54">
        <f>IF($B469=0,NA(),IF($E469="",NA(),IF(E$8="",NA(),IF(N(E$8)=0,NA(),IF(Inputs!$C$17="Rebased to 100",$E469/E$8*100,$E469)))))</f>
        <v/>
      </c>
      <c r="L469" s="54">
        <f>IF($B469=0,NA(),IF($F469="",NA(),IF(F$8="",NA(),IF(N(F$8)=0,NA(),IF(Inputs!$C$17="Rebased to 100",$F469/F$8*100,$F469)))))</f>
        <v/>
      </c>
      <c r="M469" s="54">
        <f>IF($B469=0,NA(),IF($G469="",NA(),IF(G$8="",NA(),IF(N(G$8)=0,NA(),IF(Inputs!$C$17="Rebased to 100",$G469/G$8*100,$G469)))))</f>
        <v/>
      </c>
      <c r="N469" s="54">
        <f>IF($B469=0,NA(),IF(Inputs!$C$18&lt;&gt;"Yes",NA(),IF(COUNT(I469,J469,K469,L469,M469)=0,NA(),MIN(I469,J469,K469,L469,M469))))</f>
        <v/>
      </c>
      <c r="O469" s="54">
        <f>IF($B469=0,NA(),IF(Inputs!$B$24&lt;&gt;"Yes",NA(),Inputs!$D$24*Inputs!$C$35))</f>
        <v/>
      </c>
      <c r="P469" s="54">
        <f>IF($B469=0,NA(),IF(Inputs!$B$25&lt;&gt;"Yes",NA(),Inputs!$D$25*Inputs!$C$35))</f>
        <v/>
      </c>
      <c r="Q469" s="54">
        <f>IF($B469=0,NA(),IF(Inputs!$B$26&lt;&gt;"Yes",NA(),Inputs!$D$26*Inputs!$C$35))</f>
        <v/>
      </c>
      <c r="R469" s="54">
        <f>IF($B469=0,NA(),IF(Inputs!$B$27&lt;&gt;"Yes",NA(),Inputs!$D$27*Inputs!$C$35))</f>
        <v/>
      </c>
      <c r="S469" s="54">
        <f>IF($B469=0,NA(),IF(Inputs!$B$28&lt;&gt;"Yes",NA(),Inputs!$D$28*Inputs!$C$35))</f>
        <v/>
      </c>
      <c r="T469" s="54">
        <f>IF($B469=0,NA(),IF(Inputs!$B$29&lt;&gt;"Yes",NA(),Inputs!$D$29*Inputs!$C$35))</f>
        <v/>
      </c>
      <c r="AD469">
        <f>IF($B469=0,0,IF(Inputs!$B$6="",0,COUNTIFS(Data!$A$10:$A$3209,"&gt;="&amp;$A469,Data!$A$10:$A$3209,"&lt;"&amp;$A469+1)))</f>
        <v/>
      </c>
      <c r="AE469">
        <f>IF($B469=0,0,IF(Inputs!$B$7="",0,COUNTIFS(Data!$E$10:$E$3209,"&gt;="&amp;$A469,Data!$E$10:$E$3209,"&lt;"&amp;$A469+1)))</f>
        <v/>
      </c>
      <c r="AF469">
        <f>IF($B469=0,0,IF(Inputs!$B$8="",0,COUNTIFS(Data!$I$10:$I$3209,"&gt;="&amp;$A469,Data!$I$10:$I$3209,"&lt;"&amp;$A469+1)))</f>
        <v/>
      </c>
      <c r="AG469">
        <f>IF($B469=0,0,IF(Inputs!$B$9="",0,COUNTIFS(Data!$M$10:$M$3209,"&gt;="&amp;$A469,Data!$M$10:$M$3209,"&lt;"&amp;$A469+1)))</f>
        <v/>
      </c>
      <c r="AH469">
        <f>IF($B469=0,0,IF(Inputs!$B$10="",0,COUNTIFS(Data!$Q$10:$Q$3209,"&gt;="&amp;$A469,Data!$Q$10:$Q$3209,"&lt;"&amp;$A469+1)))</f>
        <v/>
      </c>
    </row>
    <row r="470">
      <c r="A470" s="55">
        <f>MIN(Inputs!$C$15,$A469+IF(WEEKDAY($A469,2)=5,3,1))</f>
        <v/>
      </c>
      <c r="B470">
        <f>IF($A470&gt;$A469,1,0)</f>
        <v/>
      </c>
      <c r="C470" s="56">
        <f>IF($B470=0,"",IF(Inputs!$B$6="","",IF($AD470=0,C469,SUMIFS(Data!$B$10:$B$3209,Data!$A$10:$A$3209,"&gt;="&amp;$A470,Data!$A$10:$A$3209,"&lt;"&amp;$A470+1)/$AD470)))</f>
        <v/>
      </c>
      <c r="D470" s="56">
        <f>IF($B470=0,"",IF(Inputs!$B$7="","",IF($AE470=0,D469,SUMIFS(Data!$F$10:$F$3209,Data!$E$10:$E$3209,"&gt;="&amp;$A470,Data!$E$10:$E$3209,"&lt;"&amp;$A470+1)/$AE470)))</f>
        <v/>
      </c>
      <c r="E470" s="56">
        <f>IF($B470=0,"",IF(Inputs!$B$8="","",IF($AF470=0,E469,SUMIFS(Data!$J$10:$J$3209,Data!$I$10:$I$3209,"&gt;="&amp;$A470,Data!$I$10:$I$3209,"&lt;"&amp;$A470+1)/$AF470)))</f>
        <v/>
      </c>
      <c r="F470" s="56">
        <f>IF($B470=0,"",IF(Inputs!$B$9="","",IF($AG470=0,F469,SUMIFS(Data!$N$10:$N$3209,Data!$M$10:$M$3209,"&gt;="&amp;$A470,Data!$M$10:$M$3209,"&lt;"&amp;$A470+1)/$AG470)))</f>
        <v/>
      </c>
      <c r="G470" s="56">
        <f>IF($B470=0,"",IF(Inputs!$B$10="","",IF($AH470=0,G469,SUMIFS(Data!$R$10:$R$3209,Data!$Q$10:$Q$3209,"&gt;="&amp;$A470,Data!$Q$10:$Q$3209,"&lt;"&amp;$A470+1)/$AH470)))</f>
        <v/>
      </c>
      <c r="I470" s="54">
        <f>IF($B470=0,NA(),IF($C470="",NA(),IF(C$8="",NA(),IF(N(C$8)=0,NA(),IF(Inputs!$C$17="Rebased to 100",$C470/C$8*100,$C470)))))</f>
        <v/>
      </c>
      <c r="J470" s="54">
        <f>IF($B470=0,NA(),IF($D470="",NA(),IF(D$8="",NA(),IF(N(D$8)=0,NA(),IF(Inputs!$C$17="Rebased to 100",$D470/D$8*100,$D470)))))</f>
        <v/>
      </c>
      <c r="K470" s="54">
        <f>IF($B470=0,NA(),IF($E470="",NA(),IF(E$8="",NA(),IF(N(E$8)=0,NA(),IF(Inputs!$C$17="Rebased to 100",$E470/E$8*100,$E470)))))</f>
        <v/>
      </c>
      <c r="L470" s="54">
        <f>IF($B470=0,NA(),IF($F470="",NA(),IF(F$8="",NA(),IF(N(F$8)=0,NA(),IF(Inputs!$C$17="Rebased to 100",$F470/F$8*100,$F470)))))</f>
        <v/>
      </c>
      <c r="M470" s="54">
        <f>IF($B470=0,NA(),IF($G470="",NA(),IF(G$8="",NA(),IF(N(G$8)=0,NA(),IF(Inputs!$C$17="Rebased to 100",$G470/G$8*100,$G470)))))</f>
        <v/>
      </c>
      <c r="N470" s="54">
        <f>IF($B470=0,NA(),IF(Inputs!$C$18&lt;&gt;"Yes",NA(),IF(COUNT(I470,J470,K470,L470,M470)=0,NA(),MIN(I470,J470,K470,L470,M470))))</f>
        <v/>
      </c>
      <c r="O470" s="54">
        <f>IF($B470=0,NA(),IF(Inputs!$B$24&lt;&gt;"Yes",NA(),Inputs!$D$24*Inputs!$C$35))</f>
        <v/>
      </c>
      <c r="P470" s="54">
        <f>IF($B470=0,NA(),IF(Inputs!$B$25&lt;&gt;"Yes",NA(),Inputs!$D$25*Inputs!$C$35))</f>
        <v/>
      </c>
      <c r="Q470" s="54">
        <f>IF($B470=0,NA(),IF(Inputs!$B$26&lt;&gt;"Yes",NA(),Inputs!$D$26*Inputs!$C$35))</f>
        <v/>
      </c>
      <c r="R470" s="54">
        <f>IF($B470=0,NA(),IF(Inputs!$B$27&lt;&gt;"Yes",NA(),Inputs!$D$27*Inputs!$C$35))</f>
        <v/>
      </c>
      <c r="S470" s="54">
        <f>IF($B470=0,NA(),IF(Inputs!$B$28&lt;&gt;"Yes",NA(),Inputs!$D$28*Inputs!$C$35))</f>
        <v/>
      </c>
      <c r="T470" s="54">
        <f>IF($B470=0,NA(),IF(Inputs!$B$29&lt;&gt;"Yes",NA(),Inputs!$D$29*Inputs!$C$35))</f>
        <v/>
      </c>
      <c r="AD470">
        <f>IF($B470=0,0,IF(Inputs!$B$6="",0,COUNTIFS(Data!$A$10:$A$3209,"&gt;="&amp;$A470,Data!$A$10:$A$3209,"&lt;"&amp;$A470+1)))</f>
        <v/>
      </c>
      <c r="AE470">
        <f>IF($B470=0,0,IF(Inputs!$B$7="",0,COUNTIFS(Data!$E$10:$E$3209,"&gt;="&amp;$A470,Data!$E$10:$E$3209,"&lt;"&amp;$A470+1)))</f>
        <v/>
      </c>
      <c r="AF470">
        <f>IF($B470=0,0,IF(Inputs!$B$8="",0,COUNTIFS(Data!$I$10:$I$3209,"&gt;="&amp;$A470,Data!$I$10:$I$3209,"&lt;"&amp;$A470+1)))</f>
        <v/>
      </c>
      <c r="AG470">
        <f>IF($B470=0,0,IF(Inputs!$B$9="",0,COUNTIFS(Data!$M$10:$M$3209,"&gt;="&amp;$A470,Data!$M$10:$M$3209,"&lt;"&amp;$A470+1)))</f>
        <v/>
      </c>
      <c r="AH470">
        <f>IF($B470=0,0,IF(Inputs!$B$10="",0,COUNTIFS(Data!$Q$10:$Q$3209,"&gt;="&amp;$A470,Data!$Q$10:$Q$3209,"&lt;"&amp;$A470+1)))</f>
        <v/>
      </c>
    </row>
    <row r="471">
      <c r="A471" s="55">
        <f>MIN(Inputs!$C$15,$A470+IF(WEEKDAY($A470,2)=5,3,1))</f>
        <v/>
      </c>
      <c r="B471">
        <f>IF($A471&gt;$A470,1,0)</f>
        <v/>
      </c>
      <c r="C471" s="56">
        <f>IF($B471=0,"",IF(Inputs!$B$6="","",IF($AD471=0,C470,SUMIFS(Data!$B$10:$B$3209,Data!$A$10:$A$3209,"&gt;="&amp;$A471,Data!$A$10:$A$3209,"&lt;"&amp;$A471+1)/$AD471)))</f>
        <v/>
      </c>
      <c r="D471" s="56">
        <f>IF($B471=0,"",IF(Inputs!$B$7="","",IF($AE471=0,D470,SUMIFS(Data!$F$10:$F$3209,Data!$E$10:$E$3209,"&gt;="&amp;$A471,Data!$E$10:$E$3209,"&lt;"&amp;$A471+1)/$AE471)))</f>
        <v/>
      </c>
      <c r="E471" s="56">
        <f>IF($B471=0,"",IF(Inputs!$B$8="","",IF($AF471=0,E470,SUMIFS(Data!$J$10:$J$3209,Data!$I$10:$I$3209,"&gt;="&amp;$A471,Data!$I$10:$I$3209,"&lt;"&amp;$A471+1)/$AF471)))</f>
        <v/>
      </c>
      <c r="F471" s="56">
        <f>IF($B471=0,"",IF(Inputs!$B$9="","",IF($AG471=0,F470,SUMIFS(Data!$N$10:$N$3209,Data!$M$10:$M$3209,"&gt;="&amp;$A471,Data!$M$10:$M$3209,"&lt;"&amp;$A471+1)/$AG471)))</f>
        <v/>
      </c>
      <c r="G471" s="56">
        <f>IF($B471=0,"",IF(Inputs!$B$10="","",IF($AH471=0,G470,SUMIFS(Data!$R$10:$R$3209,Data!$Q$10:$Q$3209,"&gt;="&amp;$A471,Data!$Q$10:$Q$3209,"&lt;"&amp;$A471+1)/$AH471)))</f>
        <v/>
      </c>
      <c r="I471" s="54">
        <f>IF($B471=0,NA(),IF($C471="",NA(),IF(C$8="",NA(),IF(N(C$8)=0,NA(),IF(Inputs!$C$17="Rebased to 100",$C471/C$8*100,$C471)))))</f>
        <v/>
      </c>
      <c r="J471" s="54">
        <f>IF($B471=0,NA(),IF($D471="",NA(),IF(D$8="",NA(),IF(N(D$8)=0,NA(),IF(Inputs!$C$17="Rebased to 100",$D471/D$8*100,$D471)))))</f>
        <v/>
      </c>
      <c r="K471" s="54">
        <f>IF($B471=0,NA(),IF($E471="",NA(),IF(E$8="",NA(),IF(N(E$8)=0,NA(),IF(Inputs!$C$17="Rebased to 100",$E471/E$8*100,$E471)))))</f>
        <v/>
      </c>
      <c r="L471" s="54">
        <f>IF($B471=0,NA(),IF($F471="",NA(),IF(F$8="",NA(),IF(N(F$8)=0,NA(),IF(Inputs!$C$17="Rebased to 100",$F471/F$8*100,$F471)))))</f>
        <v/>
      </c>
      <c r="M471" s="54">
        <f>IF($B471=0,NA(),IF($G471="",NA(),IF(G$8="",NA(),IF(N(G$8)=0,NA(),IF(Inputs!$C$17="Rebased to 100",$G471/G$8*100,$G471)))))</f>
        <v/>
      </c>
      <c r="N471" s="54">
        <f>IF($B471=0,NA(),IF(Inputs!$C$18&lt;&gt;"Yes",NA(),IF(COUNT(I471,J471,K471,L471,M471)=0,NA(),MIN(I471,J471,K471,L471,M471))))</f>
        <v/>
      </c>
      <c r="O471" s="54">
        <f>IF($B471=0,NA(),IF(Inputs!$B$24&lt;&gt;"Yes",NA(),Inputs!$D$24*Inputs!$C$35))</f>
        <v/>
      </c>
      <c r="P471" s="54">
        <f>IF($B471=0,NA(),IF(Inputs!$B$25&lt;&gt;"Yes",NA(),Inputs!$D$25*Inputs!$C$35))</f>
        <v/>
      </c>
      <c r="Q471" s="54">
        <f>IF($B471=0,NA(),IF(Inputs!$B$26&lt;&gt;"Yes",NA(),Inputs!$D$26*Inputs!$C$35))</f>
        <v/>
      </c>
      <c r="R471" s="54">
        <f>IF($B471=0,NA(),IF(Inputs!$B$27&lt;&gt;"Yes",NA(),Inputs!$D$27*Inputs!$C$35))</f>
        <v/>
      </c>
      <c r="S471" s="54">
        <f>IF($B471=0,NA(),IF(Inputs!$B$28&lt;&gt;"Yes",NA(),Inputs!$D$28*Inputs!$C$35))</f>
        <v/>
      </c>
      <c r="T471" s="54">
        <f>IF($B471=0,NA(),IF(Inputs!$B$29&lt;&gt;"Yes",NA(),Inputs!$D$29*Inputs!$C$35))</f>
        <v/>
      </c>
      <c r="AD471">
        <f>IF($B471=0,0,IF(Inputs!$B$6="",0,COUNTIFS(Data!$A$10:$A$3209,"&gt;="&amp;$A471,Data!$A$10:$A$3209,"&lt;"&amp;$A471+1)))</f>
        <v/>
      </c>
      <c r="AE471">
        <f>IF($B471=0,0,IF(Inputs!$B$7="",0,COUNTIFS(Data!$E$10:$E$3209,"&gt;="&amp;$A471,Data!$E$10:$E$3209,"&lt;"&amp;$A471+1)))</f>
        <v/>
      </c>
      <c r="AF471">
        <f>IF($B471=0,0,IF(Inputs!$B$8="",0,COUNTIFS(Data!$I$10:$I$3209,"&gt;="&amp;$A471,Data!$I$10:$I$3209,"&lt;"&amp;$A471+1)))</f>
        <v/>
      </c>
      <c r="AG471">
        <f>IF($B471=0,0,IF(Inputs!$B$9="",0,COUNTIFS(Data!$M$10:$M$3209,"&gt;="&amp;$A471,Data!$M$10:$M$3209,"&lt;"&amp;$A471+1)))</f>
        <v/>
      </c>
      <c r="AH471">
        <f>IF($B471=0,0,IF(Inputs!$B$10="",0,COUNTIFS(Data!$Q$10:$Q$3209,"&gt;="&amp;$A471,Data!$Q$10:$Q$3209,"&lt;"&amp;$A471+1)))</f>
        <v/>
      </c>
    </row>
    <row r="472">
      <c r="A472" s="55">
        <f>MIN(Inputs!$C$15,$A471+IF(WEEKDAY($A471,2)=5,3,1))</f>
        <v/>
      </c>
      <c r="B472">
        <f>IF($A472&gt;$A471,1,0)</f>
        <v/>
      </c>
      <c r="C472" s="56">
        <f>IF($B472=0,"",IF(Inputs!$B$6="","",IF($AD472=0,C471,SUMIFS(Data!$B$10:$B$3209,Data!$A$10:$A$3209,"&gt;="&amp;$A472,Data!$A$10:$A$3209,"&lt;"&amp;$A472+1)/$AD472)))</f>
        <v/>
      </c>
      <c r="D472" s="56">
        <f>IF($B472=0,"",IF(Inputs!$B$7="","",IF($AE472=0,D471,SUMIFS(Data!$F$10:$F$3209,Data!$E$10:$E$3209,"&gt;="&amp;$A472,Data!$E$10:$E$3209,"&lt;"&amp;$A472+1)/$AE472)))</f>
        <v/>
      </c>
      <c r="E472" s="56">
        <f>IF($B472=0,"",IF(Inputs!$B$8="","",IF($AF472=0,E471,SUMIFS(Data!$J$10:$J$3209,Data!$I$10:$I$3209,"&gt;="&amp;$A472,Data!$I$10:$I$3209,"&lt;"&amp;$A472+1)/$AF472)))</f>
        <v/>
      </c>
      <c r="F472" s="56">
        <f>IF($B472=0,"",IF(Inputs!$B$9="","",IF($AG472=0,F471,SUMIFS(Data!$N$10:$N$3209,Data!$M$10:$M$3209,"&gt;="&amp;$A472,Data!$M$10:$M$3209,"&lt;"&amp;$A472+1)/$AG472)))</f>
        <v/>
      </c>
      <c r="G472" s="56">
        <f>IF($B472=0,"",IF(Inputs!$B$10="","",IF($AH472=0,G471,SUMIFS(Data!$R$10:$R$3209,Data!$Q$10:$Q$3209,"&gt;="&amp;$A472,Data!$Q$10:$Q$3209,"&lt;"&amp;$A472+1)/$AH472)))</f>
        <v/>
      </c>
      <c r="I472" s="54">
        <f>IF($B472=0,NA(),IF($C472="",NA(),IF(C$8="",NA(),IF(N(C$8)=0,NA(),IF(Inputs!$C$17="Rebased to 100",$C472/C$8*100,$C472)))))</f>
        <v/>
      </c>
      <c r="J472" s="54">
        <f>IF($B472=0,NA(),IF($D472="",NA(),IF(D$8="",NA(),IF(N(D$8)=0,NA(),IF(Inputs!$C$17="Rebased to 100",$D472/D$8*100,$D472)))))</f>
        <v/>
      </c>
      <c r="K472" s="54">
        <f>IF($B472=0,NA(),IF($E472="",NA(),IF(E$8="",NA(),IF(N(E$8)=0,NA(),IF(Inputs!$C$17="Rebased to 100",$E472/E$8*100,$E472)))))</f>
        <v/>
      </c>
      <c r="L472" s="54">
        <f>IF($B472=0,NA(),IF($F472="",NA(),IF(F$8="",NA(),IF(N(F$8)=0,NA(),IF(Inputs!$C$17="Rebased to 100",$F472/F$8*100,$F472)))))</f>
        <v/>
      </c>
      <c r="M472" s="54">
        <f>IF($B472=0,NA(),IF($G472="",NA(),IF(G$8="",NA(),IF(N(G$8)=0,NA(),IF(Inputs!$C$17="Rebased to 100",$G472/G$8*100,$G472)))))</f>
        <v/>
      </c>
      <c r="N472" s="54">
        <f>IF($B472=0,NA(),IF(Inputs!$C$18&lt;&gt;"Yes",NA(),IF(COUNT(I472,J472,K472,L472,M472)=0,NA(),MIN(I472,J472,K472,L472,M472))))</f>
        <v/>
      </c>
      <c r="O472" s="54">
        <f>IF($B472=0,NA(),IF(Inputs!$B$24&lt;&gt;"Yes",NA(),Inputs!$D$24*Inputs!$C$35))</f>
        <v/>
      </c>
      <c r="P472" s="54">
        <f>IF($B472=0,NA(),IF(Inputs!$B$25&lt;&gt;"Yes",NA(),Inputs!$D$25*Inputs!$C$35))</f>
        <v/>
      </c>
      <c r="Q472" s="54">
        <f>IF($B472=0,NA(),IF(Inputs!$B$26&lt;&gt;"Yes",NA(),Inputs!$D$26*Inputs!$C$35))</f>
        <v/>
      </c>
      <c r="R472" s="54">
        <f>IF($B472=0,NA(),IF(Inputs!$B$27&lt;&gt;"Yes",NA(),Inputs!$D$27*Inputs!$C$35))</f>
        <v/>
      </c>
      <c r="S472" s="54">
        <f>IF($B472=0,NA(),IF(Inputs!$B$28&lt;&gt;"Yes",NA(),Inputs!$D$28*Inputs!$C$35))</f>
        <v/>
      </c>
      <c r="T472" s="54">
        <f>IF($B472=0,NA(),IF(Inputs!$B$29&lt;&gt;"Yes",NA(),Inputs!$D$29*Inputs!$C$35))</f>
        <v/>
      </c>
      <c r="AD472">
        <f>IF($B472=0,0,IF(Inputs!$B$6="",0,COUNTIFS(Data!$A$10:$A$3209,"&gt;="&amp;$A472,Data!$A$10:$A$3209,"&lt;"&amp;$A472+1)))</f>
        <v/>
      </c>
      <c r="AE472">
        <f>IF($B472=0,0,IF(Inputs!$B$7="",0,COUNTIFS(Data!$E$10:$E$3209,"&gt;="&amp;$A472,Data!$E$10:$E$3209,"&lt;"&amp;$A472+1)))</f>
        <v/>
      </c>
      <c r="AF472">
        <f>IF($B472=0,0,IF(Inputs!$B$8="",0,COUNTIFS(Data!$I$10:$I$3209,"&gt;="&amp;$A472,Data!$I$10:$I$3209,"&lt;"&amp;$A472+1)))</f>
        <v/>
      </c>
      <c r="AG472">
        <f>IF($B472=0,0,IF(Inputs!$B$9="",0,COUNTIFS(Data!$M$10:$M$3209,"&gt;="&amp;$A472,Data!$M$10:$M$3209,"&lt;"&amp;$A472+1)))</f>
        <v/>
      </c>
      <c r="AH472">
        <f>IF($B472=0,0,IF(Inputs!$B$10="",0,COUNTIFS(Data!$Q$10:$Q$3209,"&gt;="&amp;$A472,Data!$Q$10:$Q$3209,"&lt;"&amp;$A472+1)))</f>
        <v/>
      </c>
    </row>
    <row r="473">
      <c r="A473" s="55">
        <f>MIN(Inputs!$C$15,$A472+IF(WEEKDAY($A472,2)=5,3,1))</f>
        <v/>
      </c>
      <c r="B473">
        <f>IF($A473&gt;$A472,1,0)</f>
        <v/>
      </c>
      <c r="C473" s="56">
        <f>IF($B473=0,"",IF(Inputs!$B$6="","",IF($AD473=0,C472,SUMIFS(Data!$B$10:$B$3209,Data!$A$10:$A$3209,"&gt;="&amp;$A473,Data!$A$10:$A$3209,"&lt;"&amp;$A473+1)/$AD473)))</f>
        <v/>
      </c>
      <c r="D473" s="56">
        <f>IF($B473=0,"",IF(Inputs!$B$7="","",IF($AE473=0,D472,SUMIFS(Data!$F$10:$F$3209,Data!$E$10:$E$3209,"&gt;="&amp;$A473,Data!$E$10:$E$3209,"&lt;"&amp;$A473+1)/$AE473)))</f>
        <v/>
      </c>
      <c r="E473" s="56">
        <f>IF($B473=0,"",IF(Inputs!$B$8="","",IF($AF473=0,E472,SUMIFS(Data!$J$10:$J$3209,Data!$I$10:$I$3209,"&gt;="&amp;$A473,Data!$I$10:$I$3209,"&lt;"&amp;$A473+1)/$AF473)))</f>
        <v/>
      </c>
      <c r="F473" s="56">
        <f>IF($B473=0,"",IF(Inputs!$B$9="","",IF($AG473=0,F472,SUMIFS(Data!$N$10:$N$3209,Data!$M$10:$M$3209,"&gt;="&amp;$A473,Data!$M$10:$M$3209,"&lt;"&amp;$A473+1)/$AG473)))</f>
        <v/>
      </c>
      <c r="G473" s="56">
        <f>IF($B473=0,"",IF(Inputs!$B$10="","",IF($AH473=0,G472,SUMIFS(Data!$R$10:$R$3209,Data!$Q$10:$Q$3209,"&gt;="&amp;$A473,Data!$Q$10:$Q$3209,"&lt;"&amp;$A473+1)/$AH473)))</f>
        <v/>
      </c>
      <c r="I473" s="54">
        <f>IF($B473=0,NA(),IF($C473="",NA(),IF(C$8="",NA(),IF(N(C$8)=0,NA(),IF(Inputs!$C$17="Rebased to 100",$C473/C$8*100,$C473)))))</f>
        <v/>
      </c>
      <c r="J473" s="54">
        <f>IF($B473=0,NA(),IF($D473="",NA(),IF(D$8="",NA(),IF(N(D$8)=0,NA(),IF(Inputs!$C$17="Rebased to 100",$D473/D$8*100,$D473)))))</f>
        <v/>
      </c>
      <c r="K473" s="54">
        <f>IF($B473=0,NA(),IF($E473="",NA(),IF(E$8="",NA(),IF(N(E$8)=0,NA(),IF(Inputs!$C$17="Rebased to 100",$E473/E$8*100,$E473)))))</f>
        <v/>
      </c>
      <c r="L473" s="54">
        <f>IF($B473=0,NA(),IF($F473="",NA(),IF(F$8="",NA(),IF(N(F$8)=0,NA(),IF(Inputs!$C$17="Rebased to 100",$F473/F$8*100,$F473)))))</f>
        <v/>
      </c>
      <c r="M473" s="54">
        <f>IF($B473=0,NA(),IF($G473="",NA(),IF(G$8="",NA(),IF(N(G$8)=0,NA(),IF(Inputs!$C$17="Rebased to 100",$G473/G$8*100,$G473)))))</f>
        <v/>
      </c>
      <c r="N473" s="54">
        <f>IF($B473=0,NA(),IF(Inputs!$C$18&lt;&gt;"Yes",NA(),IF(COUNT(I473,J473,K473,L473,M473)=0,NA(),MIN(I473,J473,K473,L473,M473))))</f>
        <v/>
      </c>
      <c r="O473" s="54">
        <f>IF($B473=0,NA(),IF(Inputs!$B$24&lt;&gt;"Yes",NA(),Inputs!$D$24*Inputs!$C$35))</f>
        <v/>
      </c>
      <c r="P473" s="54">
        <f>IF($B473=0,NA(),IF(Inputs!$B$25&lt;&gt;"Yes",NA(),Inputs!$D$25*Inputs!$C$35))</f>
        <v/>
      </c>
      <c r="Q473" s="54">
        <f>IF($B473=0,NA(),IF(Inputs!$B$26&lt;&gt;"Yes",NA(),Inputs!$D$26*Inputs!$C$35))</f>
        <v/>
      </c>
      <c r="R473" s="54">
        <f>IF($B473=0,NA(),IF(Inputs!$B$27&lt;&gt;"Yes",NA(),Inputs!$D$27*Inputs!$C$35))</f>
        <v/>
      </c>
      <c r="S473" s="54">
        <f>IF($B473=0,NA(),IF(Inputs!$B$28&lt;&gt;"Yes",NA(),Inputs!$D$28*Inputs!$C$35))</f>
        <v/>
      </c>
      <c r="T473" s="54">
        <f>IF($B473=0,NA(),IF(Inputs!$B$29&lt;&gt;"Yes",NA(),Inputs!$D$29*Inputs!$C$35))</f>
        <v/>
      </c>
      <c r="AD473">
        <f>IF($B473=0,0,IF(Inputs!$B$6="",0,COUNTIFS(Data!$A$10:$A$3209,"&gt;="&amp;$A473,Data!$A$10:$A$3209,"&lt;"&amp;$A473+1)))</f>
        <v/>
      </c>
      <c r="AE473">
        <f>IF($B473=0,0,IF(Inputs!$B$7="",0,COUNTIFS(Data!$E$10:$E$3209,"&gt;="&amp;$A473,Data!$E$10:$E$3209,"&lt;"&amp;$A473+1)))</f>
        <v/>
      </c>
      <c r="AF473">
        <f>IF($B473=0,0,IF(Inputs!$B$8="",0,COUNTIFS(Data!$I$10:$I$3209,"&gt;="&amp;$A473,Data!$I$10:$I$3209,"&lt;"&amp;$A473+1)))</f>
        <v/>
      </c>
      <c r="AG473">
        <f>IF($B473=0,0,IF(Inputs!$B$9="",0,COUNTIFS(Data!$M$10:$M$3209,"&gt;="&amp;$A473,Data!$M$10:$M$3209,"&lt;"&amp;$A473+1)))</f>
        <v/>
      </c>
      <c r="AH473">
        <f>IF($B473=0,0,IF(Inputs!$B$10="",0,COUNTIFS(Data!$Q$10:$Q$3209,"&gt;="&amp;$A473,Data!$Q$10:$Q$3209,"&lt;"&amp;$A473+1)))</f>
        <v/>
      </c>
    </row>
    <row r="474">
      <c r="A474" s="55">
        <f>MIN(Inputs!$C$15,$A473+IF(WEEKDAY($A473,2)=5,3,1))</f>
        <v/>
      </c>
      <c r="B474">
        <f>IF($A474&gt;$A473,1,0)</f>
        <v/>
      </c>
      <c r="C474" s="56">
        <f>IF($B474=0,"",IF(Inputs!$B$6="","",IF($AD474=0,C473,SUMIFS(Data!$B$10:$B$3209,Data!$A$10:$A$3209,"&gt;="&amp;$A474,Data!$A$10:$A$3209,"&lt;"&amp;$A474+1)/$AD474)))</f>
        <v/>
      </c>
      <c r="D474" s="56">
        <f>IF($B474=0,"",IF(Inputs!$B$7="","",IF($AE474=0,D473,SUMIFS(Data!$F$10:$F$3209,Data!$E$10:$E$3209,"&gt;="&amp;$A474,Data!$E$10:$E$3209,"&lt;"&amp;$A474+1)/$AE474)))</f>
        <v/>
      </c>
      <c r="E474" s="56">
        <f>IF($B474=0,"",IF(Inputs!$B$8="","",IF($AF474=0,E473,SUMIFS(Data!$J$10:$J$3209,Data!$I$10:$I$3209,"&gt;="&amp;$A474,Data!$I$10:$I$3209,"&lt;"&amp;$A474+1)/$AF474)))</f>
        <v/>
      </c>
      <c r="F474" s="56">
        <f>IF($B474=0,"",IF(Inputs!$B$9="","",IF($AG474=0,F473,SUMIFS(Data!$N$10:$N$3209,Data!$M$10:$M$3209,"&gt;="&amp;$A474,Data!$M$10:$M$3209,"&lt;"&amp;$A474+1)/$AG474)))</f>
        <v/>
      </c>
      <c r="G474" s="56">
        <f>IF($B474=0,"",IF(Inputs!$B$10="","",IF($AH474=0,G473,SUMIFS(Data!$R$10:$R$3209,Data!$Q$10:$Q$3209,"&gt;="&amp;$A474,Data!$Q$10:$Q$3209,"&lt;"&amp;$A474+1)/$AH474)))</f>
        <v/>
      </c>
      <c r="I474" s="54">
        <f>IF($B474=0,NA(),IF($C474="",NA(),IF(C$8="",NA(),IF(N(C$8)=0,NA(),IF(Inputs!$C$17="Rebased to 100",$C474/C$8*100,$C474)))))</f>
        <v/>
      </c>
      <c r="J474" s="54">
        <f>IF($B474=0,NA(),IF($D474="",NA(),IF(D$8="",NA(),IF(N(D$8)=0,NA(),IF(Inputs!$C$17="Rebased to 100",$D474/D$8*100,$D474)))))</f>
        <v/>
      </c>
      <c r="K474" s="54">
        <f>IF($B474=0,NA(),IF($E474="",NA(),IF(E$8="",NA(),IF(N(E$8)=0,NA(),IF(Inputs!$C$17="Rebased to 100",$E474/E$8*100,$E474)))))</f>
        <v/>
      </c>
      <c r="L474" s="54">
        <f>IF($B474=0,NA(),IF($F474="",NA(),IF(F$8="",NA(),IF(N(F$8)=0,NA(),IF(Inputs!$C$17="Rebased to 100",$F474/F$8*100,$F474)))))</f>
        <v/>
      </c>
      <c r="M474" s="54">
        <f>IF($B474=0,NA(),IF($G474="",NA(),IF(G$8="",NA(),IF(N(G$8)=0,NA(),IF(Inputs!$C$17="Rebased to 100",$G474/G$8*100,$G474)))))</f>
        <v/>
      </c>
      <c r="N474" s="54">
        <f>IF($B474=0,NA(),IF(Inputs!$C$18&lt;&gt;"Yes",NA(),IF(COUNT(I474,J474,K474,L474,M474)=0,NA(),MIN(I474,J474,K474,L474,M474))))</f>
        <v/>
      </c>
      <c r="O474" s="54">
        <f>IF($B474=0,NA(),IF(Inputs!$B$24&lt;&gt;"Yes",NA(),Inputs!$D$24*Inputs!$C$35))</f>
        <v/>
      </c>
      <c r="P474" s="54">
        <f>IF($B474=0,NA(),IF(Inputs!$B$25&lt;&gt;"Yes",NA(),Inputs!$D$25*Inputs!$C$35))</f>
        <v/>
      </c>
      <c r="Q474" s="54">
        <f>IF($B474=0,NA(),IF(Inputs!$B$26&lt;&gt;"Yes",NA(),Inputs!$D$26*Inputs!$C$35))</f>
        <v/>
      </c>
      <c r="R474" s="54">
        <f>IF($B474=0,NA(),IF(Inputs!$B$27&lt;&gt;"Yes",NA(),Inputs!$D$27*Inputs!$C$35))</f>
        <v/>
      </c>
      <c r="S474" s="54">
        <f>IF($B474=0,NA(),IF(Inputs!$B$28&lt;&gt;"Yes",NA(),Inputs!$D$28*Inputs!$C$35))</f>
        <v/>
      </c>
      <c r="T474" s="54">
        <f>IF($B474=0,NA(),IF(Inputs!$B$29&lt;&gt;"Yes",NA(),Inputs!$D$29*Inputs!$C$35))</f>
        <v/>
      </c>
      <c r="AD474">
        <f>IF($B474=0,0,IF(Inputs!$B$6="",0,COUNTIFS(Data!$A$10:$A$3209,"&gt;="&amp;$A474,Data!$A$10:$A$3209,"&lt;"&amp;$A474+1)))</f>
        <v/>
      </c>
      <c r="AE474">
        <f>IF($B474=0,0,IF(Inputs!$B$7="",0,COUNTIFS(Data!$E$10:$E$3209,"&gt;="&amp;$A474,Data!$E$10:$E$3209,"&lt;"&amp;$A474+1)))</f>
        <v/>
      </c>
      <c r="AF474">
        <f>IF($B474=0,0,IF(Inputs!$B$8="",0,COUNTIFS(Data!$I$10:$I$3209,"&gt;="&amp;$A474,Data!$I$10:$I$3209,"&lt;"&amp;$A474+1)))</f>
        <v/>
      </c>
      <c r="AG474">
        <f>IF($B474=0,0,IF(Inputs!$B$9="",0,COUNTIFS(Data!$M$10:$M$3209,"&gt;="&amp;$A474,Data!$M$10:$M$3209,"&lt;"&amp;$A474+1)))</f>
        <v/>
      </c>
      <c r="AH474">
        <f>IF($B474=0,0,IF(Inputs!$B$10="",0,COUNTIFS(Data!$Q$10:$Q$3209,"&gt;="&amp;$A474,Data!$Q$10:$Q$3209,"&lt;"&amp;$A474+1)))</f>
        <v/>
      </c>
    </row>
    <row r="475">
      <c r="A475" s="55">
        <f>MIN(Inputs!$C$15,$A474+IF(WEEKDAY($A474,2)=5,3,1))</f>
        <v/>
      </c>
      <c r="B475">
        <f>IF($A475&gt;$A474,1,0)</f>
        <v/>
      </c>
      <c r="C475" s="56">
        <f>IF($B475=0,"",IF(Inputs!$B$6="","",IF($AD475=0,C474,SUMIFS(Data!$B$10:$B$3209,Data!$A$10:$A$3209,"&gt;="&amp;$A475,Data!$A$10:$A$3209,"&lt;"&amp;$A475+1)/$AD475)))</f>
        <v/>
      </c>
      <c r="D475" s="56">
        <f>IF($B475=0,"",IF(Inputs!$B$7="","",IF($AE475=0,D474,SUMIFS(Data!$F$10:$F$3209,Data!$E$10:$E$3209,"&gt;="&amp;$A475,Data!$E$10:$E$3209,"&lt;"&amp;$A475+1)/$AE475)))</f>
        <v/>
      </c>
      <c r="E475" s="56">
        <f>IF($B475=0,"",IF(Inputs!$B$8="","",IF($AF475=0,E474,SUMIFS(Data!$J$10:$J$3209,Data!$I$10:$I$3209,"&gt;="&amp;$A475,Data!$I$10:$I$3209,"&lt;"&amp;$A475+1)/$AF475)))</f>
        <v/>
      </c>
      <c r="F475" s="56">
        <f>IF($B475=0,"",IF(Inputs!$B$9="","",IF($AG475=0,F474,SUMIFS(Data!$N$10:$N$3209,Data!$M$10:$M$3209,"&gt;="&amp;$A475,Data!$M$10:$M$3209,"&lt;"&amp;$A475+1)/$AG475)))</f>
        <v/>
      </c>
      <c r="G475" s="56">
        <f>IF($B475=0,"",IF(Inputs!$B$10="","",IF($AH475=0,G474,SUMIFS(Data!$R$10:$R$3209,Data!$Q$10:$Q$3209,"&gt;="&amp;$A475,Data!$Q$10:$Q$3209,"&lt;"&amp;$A475+1)/$AH475)))</f>
        <v/>
      </c>
      <c r="I475" s="54">
        <f>IF($B475=0,NA(),IF($C475="",NA(),IF(C$8="",NA(),IF(N(C$8)=0,NA(),IF(Inputs!$C$17="Rebased to 100",$C475/C$8*100,$C475)))))</f>
        <v/>
      </c>
      <c r="J475" s="54">
        <f>IF($B475=0,NA(),IF($D475="",NA(),IF(D$8="",NA(),IF(N(D$8)=0,NA(),IF(Inputs!$C$17="Rebased to 100",$D475/D$8*100,$D475)))))</f>
        <v/>
      </c>
      <c r="K475" s="54">
        <f>IF($B475=0,NA(),IF($E475="",NA(),IF(E$8="",NA(),IF(N(E$8)=0,NA(),IF(Inputs!$C$17="Rebased to 100",$E475/E$8*100,$E475)))))</f>
        <v/>
      </c>
      <c r="L475" s="54">
        <f>IF($B475=0,NA(),IF($F475="",NA(),IF(F$8="",NA(),IF(N(F$8)=0,NA(),IF(Inputs!$C$17="Rebased to 100",$F475/F$8*100,$F475)))))</f>
        <v/>
      </c>
      <c r="M475" s="54">
        <f>IF($B475=0,NA(),IF($G475="",NA(),IF(G$8="",NA(),IF(N(G$8)=0,NA(),IF(Inputs!$C$17="Rebased to 100",$G475/G$8*100,$G475)))))</f>
        <v/>
      </c>
      <c r="N475" s="54">
        <f>IF($B475=0,NA(),IF(Inputs!$C$18&lt;&gt;"Yes",NA(),IF(COUNT(I475,J475,K475,L475,M475)=0,NA(),MIN(I475,J475,K475,L475,M475))))</f>
        <v/>
      </c>
      <c r="O475" s="54">
        <f>IF($B475=0,NA(),IF(Inputs!$B$24&lt;&gt;"Yes",NA(),Inputs!$D$24*Inputs!$C$35))</f>
        <v/>
      </c>
      <c r="P475" s="54">
        <f>IF($B475=0,NA(),IF(Inputs!$B$25&lt;&gt;"Yes",NA(),Inputs!$D$25*Inputs!$C$35))</f>
        <v/>
      </c>
      <c r="Q475" s="54">
        <f>IF($B475=0,NA(),IF(Inputs!$B$26&lt;&gt;"Yes",NA(),Inputs!$D$26*Inputs!$C$35))</f>
        <v/>
      </c>
      <c r="R475" s="54">
        <f>IF($B475=0,NA(),IF(Inputs!$B$27&lt;&gt;"Yes",NA(),Inputs!$D$27*Inputs!$C$35))</f>
        <v/>
      </c>
      <c r="S475" s="54">
        <f>IF($B475=0,NA(),IF(Inputs!$B$28&lt;&gt;"Yes",NA(),Inputs!$D$28*Inputs!$C$35))</f>
        <v/>
      </c>
      <c r="T475" s="54">
        <f>IF($B475=0,NA(),IF(Inputs!$B$29&lt;&gt;"Yes",NA(),Inputs!$D$29*Inputs!$C$35))</f>
        <v/>
      </c>
      <c r="AD475">
        <f>IF($B475=0,0,IF(Inputs!$B$6="",0,COUNTIFS(Data!$A$10:$A$3209,"&gt;="&amp;$A475,Data!$A$10:$A$3209,"&lt;"&amp;$A475+1)))</f>
        <v/>
      </c>
      <c r="AE475">
        <f>IF($B475=0,0,IF(Inputs!$B$7="",0,COUNTIFS(Data!$E$10:$E$3209,"&gt;="&amp;$A475,Data!$E$10:$E$3209,"&lt;"&amp;$A475+1)))</f>
        <v/>
      </c>
      <c r="AF475">
        <f>IF($B475=0,0,IF(Inputs!$B$8="",0,COUNTIFS(Data!$I$10:$I$3209,"&gt;="&amp;$A475,Data!$I$10:$I$3209,"&lt;"&amp;$A475+1)))</f>
        <v/>
      </c>
      <c r="AG475">
        <f>IF($B475=0,0,IF(Inputs!$B$9="",0,COUNTIFS(Data!$M$10:$M$3209,"&gt;="&amp;$A475,Data!$M$10:$M$3209,"&lt;"&amp;$A475+1)))</f>
        <v/>
      </c>
      <c r="AH475">
        <f>IF($B475=0,0,IF(Inputs!$B$10="",0,COUNTIFS(Data!$Q$10:$Q$3209,"&gt;="&amp;$A475,Data!$Q$10:$Q$3209,"&lt;"&amp;$A475+1)))</f>
        <v/>
      </c>
    </row>
    <row r="476">
      <c r="A476" s="55">
        <f>MIN(Inputs!$C$15,$A475+IF(WEEKDAY($A475,2)=5,3,1))</f>
        <v/>
      </c>
      <c r="B476">
        <f>IF($A476&gt;$A475,1,0)</f>
        <v/>
      </c>
      <c r="C476" s="56">
        <f>IF($B476=0,"",IF(Inputs!$B$6="","",IF($AD476=0,C475,SUMIFS(Data!$B$10:$B$3209,Data!$A$10:$A$3209,"&gt;="&amp;$A476,Data!$A$10:$A$3209,"&lt;"&amp;$A476+1)/$AD476)))</f>
        <v/>
      </c>
      <c r="D476" s="56">
        <f>IF($B476=0,"",IF(Inputs!$B$7="","",IF($AE476=0,D475,SUMIFS(Data!$F$10:$F$3209,Data!$E$10:$E$3209,"&gt;="&amp;$A476,Data!$E$10:$E$3209,"&lt;"&amp;$A476+1)/$AE476)))</f>
        <v/>
      </c>
      <c r="E476" s="56">
        <f>IF($B476=0,"",IF(Inputs!$B$8="","",IF($AF476=0,E475,SUMIFS(Data!$J$10:$J$3209,Data!$I$10:$I$3209,"&gt;="&amp;$A476,Data!$I$10:$I$3209,"&lt;"&amp;$A476+1)/$AF476)))</f>
        <v/>
      </c>
      <c r="F476" s="56">
        <f>IF($B476=0,"",IF(Inputs!$B$9="","",IF($AG476=0,F475,SUMIFS(Data!$N$10:$N$3209,Data!$M$10:$M$3209,"&gt;="&amp;$A476,Data!$M$10:$M$3209,"&lt;"&amp;$A476+1)/$AG476)))</f>
        <v/>
      </c>
      <c r="G476" s="56">
        <f>IF($B476=0,"",IF(Inputs!$B$10="","",IF($AH476=0,G475,SUMIFS(Data!$R$10:$R$3209,Data!$Q$10:$Q$3209,"&gt;="&amp;$A476,Data!$Q$10:$Q$3209,"&lt;"&amp;$A476+1)/$AH476)))</f>
        <v/>
      </c>
      <c r="I476" s="54">
        <f>IF($B476=0,NA(),IF($C476="",NA(),IF(C$8="",NA(),IF(N(C$8)=0,NA(),IF(Inputs!$C$17="Rebased to 100",$C476/C$8*100,$C476)))))</f>
        <v/>
      </c>
      <c r="J476" s="54">
        <f>IF($B476=0,NA(),IF($D476="",NA(),IF(D$8="",NA(),IF(N(D$8)=0,NA(),IF(Inputs!$C$17="Rebased to 100",$D476/D$8*100,$D476)))))</f>
        <v/>
      </c>
      <c r="K476" s="54">
        <f>IF($B476=0,NA(),IF($E476="",NA(),IF(E$8="",NA(),IF(N(E$8)=0,NA(),IF(Inputs!$C$17="Rebased to 100",$E476/E$8*100,$E476)))))</f>
        <v/>
      </c>
      <c r="L476" s="54">
        <f>IF($B476=0,NA(),IF($F476="",NA(),IF(F$8="",NA(),IF(N(F$8)=0,NA(),IF(Inputs!$C$17="Rebased to 100",$F476/F$8*100,$F476)))))</f>
        <v/>
      </c>
      <c r="M476" s="54">
        <f>IF($B476=0,NA(),IF($G476="",NA(),IF(G$8="",NA(),IF(N(G$8)=0,NA(),IF(Inputs!$C$17="Rebased to 100",$G476/G$8*100,$G476)))))</f>
        <v/>
      </c>
      <c r="N476" s="54">
        <f>IF($B476=0,NA(),IF(Inputs!$C$18&lt;&gt;"Yes",NA(),IF(COUNT(I476,J476,K476,L476,M476)=0,NA(),MIN(I476,J476,K476,L476,M476))))</f>
        <v/>
      </c>
      <c r="O476" s="54">
        <f>IF($B476=0,NA(),IF(Inputs!$B$24&lt;&gt;"Yes",NA(),Inputs!$D$24*Inputs!$C$35))</f>
        <v/>
      </c>
      <c r="P476" s="54">
        <f>IF($B476=0,NA(),IF(Inputs!$B$25&lt;&gt;"Yes",NA(),Inputs!$D$25*Inputs!$C$35))</f>
        <v/>
      </c>
      <c r="Q476" s="54">
        <f>IF($B476=0,NA(),IF(Inputs!$B$26&lt;&gt;"Yes",NA(),Inputs!$D$26*Inputs!$C$35))</f>
        <v/>
      </c>
      <c r="R476" s="54">
        <f>IF($B476=0,NA(),IF(Inputs!$B$27&lt;&gt;"Yes",NA(),Inputs!$D$27*Inputs!$C$35))</f>
        <v/>
      </c>
      <c r="S476" s="54">
        <f>IF($B476=0,NA(),IF(Inputs!$B$28&lt;&gt;"Yes",NA(),Inputs!$D$28*Inputs!$C$35))</f>
        <v/>
      </c>
      <c r="T476" s="54">
        <f>IF($B476=0,NA(),IF(Inputs!$B$29&lt;&gt;"Yes",NA(),Inputs!$D$29*Inputs!$C$35))</f>
        <v/>
      </c>
      <c r="AD476">
        <f>IF($B476=0,0,IF(Inputs!$B$6="",0,COUNTIFS(Data!$A$10:$A$3209,"&gt;="&amp;$A476,Data!$A$10:$A$3209,"&lt;"&amp;$A476+1)))</f>
        <v/>
      </c>
      <c r="AE476">
        <f>IF($B476=0,0,IF(Inputs!$B$7="",0,COUNTIFS(Data!$E$10:$E$3209,"&gt;="&amp;$A476,Data!$E$10:$E$3209,"&lt;"&amp;$A476+1)))</f>
        <v/>
      </c>
      <c r="AF476">
        <f>IF($B476=0,0,IF(Inputs!$B$8="",0,COUNTIFS(Data!$I$10:$I$3209,"&gt;="&amp;$A476,Data!$I$10:$I$3209,"&lt;"&amp;$A476+1)))</f>
        <v/>
      </c>
      <c r="AG476">
        <f>IF($B476=0,0,IF(Inputs!$B$9="",0,COUNTIFS(Data!$M$10:$M$3209,"&gt;="&amp;$A476,Data!$M$10:$M$3209,"&lt;"&amp;$A476+1)))</f>
        <v/>
      </c>
      <c r="AH476">
        <f>IF($B476=0,0,IF(Inputs!$B$10="",0,COUNTIFS(Data!$Q$10:$Q$3209,"&gt;="&amp;$A476,Data!$Q$10:$Q$3209,"&lt;"&amp;$A476+1)))</f>
        <v/>
      </c>
    </row>
    <row r="477">
      <c r="A477" s="55">
        <f>MIN(Inputs!$C$15,$A476+IF(WEEKDAY($A476,2)=5,3,1))</f>
        <v/>
      </c>
      <c r="B477">
        <f>IF($A477&gt;$A476,1,0)</f>
        <v/>
      </c>
      <c r="C477" s="56">
        <f>IF($B477=0,"",IF(Inputs!$B$6="","",IF($AD477=0,C476,SUMIFS(Data!$B$10:$B$3209,Data!$A$10:$A$3209,"&gt;="&amp;$A477,Data!$A$10:$A$3209,"&lt;"&amp;$A477+1)/$AD477)))</f>
        <v/>
      </c>
      <c r="D477" s="56">
        <f>IF($B477=0,"",IF(Inputs!$B$7="","",IF($AE477=0,D476,SUMIFS(Data!$F$10:$F$3209,Data!$E$10:$E$3209,"&gt;="&amp;$A477,Data!$E$10:$E$3209,"&lt;"&amp;$A477+1)/$AE477)))</f>
        <v/>
      </c>
      <c r="E477" s="56">
        <f>IF($B477=0,"",IF(Inputs!$B$8="","",IF($AF477=0,E476,SUMIFS(Data!$J$10:$J$3209,Data!$I$10:$I$3209,"&gt;="&amp;$A477,Data!$I$10:$I$3209,"&lt;"&amp;$A477+1)/$AF477)))</f>
        <v/>
      </c>
      <c r="F477" s="56">
        <f>IF($B477=0,"",IF(Inputs!$B$9="","",IF($AG477=0,F476,SUMIFS(Data!$N$10:$N$3209,Data!$M$10:$M$3209,"&gt;="&amp;$A477,Data!$M$10:$M$3209,"&lt;"&amp;$A477+1)/$AG477)))</f>
        <v/>
      </c>
      <c r="G477" s="56">
        <f>IF($B477=0,"",IF(Inputs!$B$10="","",IF($AH477=0,G476,SUMIFS(Data!$R$10:$R$3209,Data!$Q$10:$Q$3209,"&gt;="&amp;$A477,Data!$Q$10:$Q$3209,"&lt;"&amp;$A477+1)/$AH477)))</f>
        <v/>
      </c>
      <c r="I477" s="54">
        <f>IF($B477=0,NA(),IF($C477="",NA(),IF(C$8="",NA(),IF(N(C$8)=0,NA(),IF(Inputs!$C$17="Rebased to 100",$C477/C$8*100,$C477)))))</f>
        <v/>
      </c>
      <c r="J477" s="54">
        <f>IF($B477=0,NA(),IF($D477="",NA(),IF(D$8="",NA(),IF(N(D$8)=0,NA(),IF(Inputs!$C$17="Rebased to 100",$D477/D$8*100,$D477)))))</f>
        <v/>
      </c>
      <c r="K477" s="54">
        <f>IF($B477=0,NA(),IF($E477="",NA(),IF(E$8="",NA(),IF(N(E$8)=0,NA(),IF(Inputs!$C$17="Rebased to 100",$E477/E$8*100,$E477)))))</f>
        <v/>
      </c>
      <c r="L477" s="54">
        <f>IF($B477=0,NA(),IF($F477="",NA(),IF(F$8="",NA(),IF(N(F$8)=0,NA(),IF(Inputs!$C$17="Rebased to 100",$F477/F$8*100,$F477)))))</f>
        <v/>
      </c>
      <c r="M477" s="54">
        <f>IF($B477=0,NA(),IF($G477="",NA(),IF(G$8="",NA(),IF(N(G$8)=0,NA(),IF(Inputs!$C$17="Rebased to 100",$G477/G$8*100,$G477)))))</f>
        <v/>
      </c>
      <c r="N477" s="54">
        <f>IF($B477=0,NA(),IF(Inputs!$C$18&lt;&gt;"Yes",NA(),IF(COUNT(I477,J477,K477,L477,M477)=0,NA(),MIN(I477,J477,K477,L477,M477))))</f>
        <v/>
      </c>
      <c r="O477" s="54">
        <f>IF($B477=0,NA(),IF(Inputs!$B$24&lt;&gt;"Yes",NA(),Inputs!$D$24*Inputs!$C$35))</f>
        <v/>
      </c>
      <c r="P477" s="54">
        <f>IF($B477=0,NA(),IF(Inputs!$B$25&lt;&gt;"Yes",NA(),Inputs!$D$25*Inputs!$C$35))</f>
        <v/>
      </c>
      <c r="Q477" s="54">
        <f>IF($B477=0,NA(),IF(Inputs!$B$26&lt;&gt;"Yes",NA(),Inputs!$D$26*Inputs!$C$35))</f>
        <v/>
      </c>
      <c r="R477" s="54">
        <f>IF($B477=0,NA(),IF(Inputs!$B$27&lt;&gt;"Yes",NA(),Inputs!$D$27*Inputs!$C$35))</f>
        <v/>
      </c>
      <c r="S477" s="54">
        <f>IF($B477=0,NA(),IF(Inputs!$B$28&lt;&gt;"Yes",NA(),Inputs!$D$28*Inputs!$C$35))</f>
        <v/>
      </c>
      <c r="T477" s="54">
        <f>IF($B477=0,NA(),IF(Inputs!$B$29&lt;&gt;"Yes",NA(),Inputs!$D$29*Inputs!$C$35))</f>
        <v/>
      </c>
      <c r="AD477">
        <f>IF($B477=0,0,IF(Inputs!$B$6="",0,COUNTIFS(Data!$A$10:$A$3209,"&gt;="&amp;$A477,Data!$A$10:$A$3209,"&lt;"&amp;$A477+1)))</f>
        <v/>
      </c>
      <c r="AE477">
        <f>IF($B477=0,0,IF(Inputs!$B$7="",0,COUNTIFS(Data!$E$10:$E$3209,"&gt;="&amp;$A477,Data!$E$10:$E$3209,"&lt;"&amp;$A477+1)))</f>
        <v/>
      </c>
      <c r="AF477">
        <f>IF($B477=0,0,IF(Inputs!$B$8="",0,COUNTIFS(Data!$I$10:$I$3209,"&gt;="&amp;$A477,Data!$I$10:$I$3209,"&lt;"&amp;$A477+1)))</f>
        <v/>
      </c>
      <c r="AG477">
        <f>IF($B477=0,0,IF(Inputs!$B$9="",0,COUNTIFS(Data!$M$10:$M$3209,"&gt;="&amp;$A477,Data!$M$10:$M$3209,"&lt;"&amp;$A477+1)))</f>
        <v/>
      </c>
      <c r="AH477">
        <f>IF($B477=0,0,IF(Inputs!$B$10="",0,COUNTIFS(Data!$Q$10:$Q$3209,"&gt;="&amp;$A477,Data!$Q$10:$Q$3209,"&lt;"&amp;$A477+1)))</f>
        <v/>
      </c>
    </row>
    <row r="478">
      <c r="A478" s="55">
        <f>MIN(Inputs!$C$15,$A477+IF(WEEKDAY($A477,2)=5,3,1))</f>
        <v/>
      </c>
      <c r="B478">
        <f>IF($A478&gt;$A477,1,0)</f>
        <v/>
      </c>
      <c r="C478" s="56">
        <f>IF($B478=0,"",IF(Inputs!$B$6="","",IF($AD478=0,C477,SUMIFS(Data!$B$10:$B$3209,Data!$A$10:$A$3209,"&gt;="&amp;$A478,Data!$A$10:$A$3209,"&lt;"&amp;$A478+1)/$AD478)))</f>
        <v/>
      </c>
      <c r="D478" s="56">
        <f>IF($B478=0,"",IF(Inputs!$B$7="","",IF($AE478=0,D477,SUMIFS(Data!$F$10:$F$3209,Data!$E$10:$E$3209,"&gt;="&amp;$A478,Data!$E$10:$E$3209,"&lt;"&amp;$A478+1)/$AE478)))</f>
        <v/>
      </c>
      <c r="E478" s="56">
        <f>IF($B478=0,"",IF(Inputs!$B$8="","",IF($AF478=0,E477,SUMIFS(Data!$J$10:$J$3209,Data!$I$10:$I$3209,"&gt;="&amp;$A478,Data!$I$10:$I$3209,"&lt;"&amp;$A478+1)/$AF478)))</f>
        <v/>
      </c>
      <c r="F478" s="56">
        <f>IF($B478=0,"",IF(Inputs!$B$9="","",IF($AG478=0,F477,SUMIFS(Data!$N$10:$N$3209,Data!$M$10:$M$3209,"&gt;="&amp;$A478,Data!$M$10:$M$3209,"&lt;"&amp;$A478+1)/$AG478)))</f>
        <v/>
      </c>
      <c r="G478" s="56">
        <f>IF($B478=0,"",IF(Inputs!$B$10="","",IF($AH478=0,G477,SUMIFS(Data!$R$10:$R$3209,Data!$Q$10:$Q$3209,"&gt;="&amp;$A478,Data!$Q$10:$Q$3209,"&lt;"&amp;$A478+1)/$AH478)))</f>
        <v/>
      </c>
      <c r="I478" s="54">
        <f>IF($B478=0,NA(),IF($C478="",NA(),IF(C$8="",NA(),IF(N(C$8)=0,NA(),IF(Inputs!$C$17="Rebased to 100",$C478/C$8*100,$C478)))))</f>
        <v/>
      </c>
      <c r="J478" s="54">
        <f>IF($B478=0,NA(),IF($D478="",NA(),IF(D$8="",NA(),IF(N(D$8)=0,NA(),IF(Inputs!$C$17="Rebased to 100",$D478/D$8*100,$D478)))))</f>
        <v/>
      </c>
      <c r="K478" s="54">
        <f>IF($B478=0,NA(),IF($E478="",NA(),IF(E$8="",NA(),IF(N(E$8)=0,NA(),IF(Inputs!$C$17="Rebased to 100",$E478/E$8*100,$E478)))))</f>
        <v/>
      </c>
      <c r="L478" s="54">
        <f>IF($B478=0,NA(),IF($F478="",NA(),IF(F$8="",NA(),IF(N(F$8)=0,NA(),IF(Inputs!$C$17="Rebased to 100",$F478/F$8*100,$F478)))))</f>
        <v/>
      </c>
      <c r="M478" s="54">
        <f>IF($B478=0,NA(),IF($G478="",NA(),IF(G$8="",NA(),IF(N(G$8)=0,NA(),IF(Inputs!$C$17="Rebased to 100",$G478/G$8*100,$G478)))))</f>
        <v/>
      </c>
      <c r="N478" s="54">
        <f>IF($B478=0,NA(),IF(Inputs!$C$18&lt;&gt;"Yes",NA(),IF(COUNT(I478,J478,K478,L478,M478)=0,NA(),MIN(I478,J478,K478,L478,M478))))</f>
        <v/>
      </c>
      <c r="O478" s="54">
        <f>IF($B478=0,NA(),IF(Inputs!$B$24&lt;&gt;"Yes",NA(),Inputs!$D$24*Inputs!$C$35))</f>
        <v/>
      </c>
      <c r="P478" s="54">
        <f>IF($B478=0,NA(),IF(Inputs!$B$25&lt;&gt;"Yes",NA(),Inputs!$D$25*Inputs!$C$35))</f>
        <v/>
      </c>
      <c r="Q478" s="54">
        <f>IF($B478=0,NA(),IF(Inputs!$B$26&lt;&gt;"Yes",NA(),Inputs!$D$26*Inputs!$C$35))</f>
        <v/>
      </c>
      <c r="R478" s="54">
        <f>IF($B478=0,NA(),IF(Inputs!$B$27&lt;&gt;"Yes",NA(),Inputs!$D$27*Inputs!$C$35))</f>
        <v/>
      </c>
      <c r="S478" s="54">
        <f>IF($B478=0,NA(),IF(Inputs!$B$28&lt;&gt;"Yes",NA(),Inputs!$D$28*Inputs!$C$35))</f>
        <v/>
      </c>
      <c r="T478" s="54">
        <f>IF($B478=0,NA(),IF(Inputs!$B$29&lt;&gt;"Yes",NA(),Inputs!$D$29*Inputs!$C$35))</f>
        <v/>
      </c>
      <c r="AD478">
        <f>IF($B478=0,0,IF(Inputs!$B$6="",0,COUNTIFS(Data!$A$10:$A$3209,"&gt;="&amp;$A478,Data!$A$10:$A$3209,"&lt;"&amp;$A478+1)))</f>
        <v/>
      </c>
      <c r="AE478">
        <f>IF($B478=0,0,IF(Inputs!$B$7="",0,COUNTIFS(Data!$E$10:$E$3209,"&gt;="&amp;$A478,Data!$E$10:$E$3209,"&lt;"&amp;$A478+1)))</f>
        <v/>
      </c>
      <c r="AF478">
        <f>IF($B478=0,0,IF(Inputs!$B$8="",0,COUNTIFS(Data!$I$10:$I$3209,"&gt;="&amp;$A478,Data!$I$10:$I$3209,"&lt;"&amp;$A478+1)))</f>
        <v/>
      </c>
      <c r="AG478">
        <f>IF($B478=0,0,IF(Inputs!$B$9="",0,COUNTIFS(Data!$M$10:$M$3209,"&gt;="&amp;$A478,Data!$M$10:$M$3209,"&lt;"&amp;$A478+1)))</f>
        <v/>
      </c>
      <c r="AH478">
        <f>IF($B478=0,0,IF(Inputs!$B$10="",0,COUNTIFS(Data!$Q$10:$Q$3209,"&gt;="&amp;$A478,Data!$Q$10:$Q$3209,"&lt;"&amp;$A478+1)))</f>
        <v/>
      </c>
    </row>
    <row r="479">
      <c r="A479" s="55">
        <f>MIN(Inputs!$C$15,$A478+IF(WEEKDAY($A478,2)=5,3,1))</f>
        <v/>
      </c>
      <c r="B479">
        <f>IF($A479&gt;$A478,1,0)</f>
        <v/>
      </c>
      <c r="C479" s="56">
        <f>IF($B479=0,"",IF(Inputs!$B$6="","",IF($AD479=0,C478,SUMIFS(Data!$B$10:$B$3209,Data!$A$10:$A$3209,"&gt;="&amp;$A479,Data!$A$10:$A$3209,"&lt;"&amp;$A479+1)/$AD479)))</f>
        <v/>
      </c>
      <c r="D479" s="56">
        <f>IF($B479=0,"",IF(Inputs!$B$7="","",IF($AE479=0,D478,SUMIFS(Data!$F$10:$F$3209,Data!$E$10:$E$3209,"&gt;="&amp;$A479,Data!$E$10:$E$3209,"&lt;"&amp;$A479+1)/$AE479)))</f>
        <v/>
      </c>
      <c r="E479" s="56">
        <f>IF($B479=0,"",IF(Inputs!$B$8="","",IF($AF479=0,E478,SUMIFS(Data!$J$10:$J$3209,Data!$I$10:$I$3209,"&gt;="&amp;$A479,Data!$I$10:$I$3209,"&lt;"&amp;$A479+1)/$AF479)))</f>
        <v/>
      </c>
      <c r="F479" s="56">
        <f>IF($B479=0,"",IF(Inputs!$B$9="","",IF($AG479=0,F478,SUMIFS(Data!$N$10:$N$3209,Data!$M$10:$M$3209,"&gt;="&amp;$A479,Data!$M$10:$M$3209,"&lt;"&amp;$A479+1)/$AG479)))</f>
        <v/>
      </c>
      <c r="G479" s="56">
        <f>IF($B479=0,"",IF(Inputs!$B$10="","",IF($AH479=0,G478,SUMIFS(Data!$R$10:$R$3209,Data!$Q$10:$Q$3209,"&gt;="&amp;$A479,Data!$Q$10:$Q$3209,"&lt;"&amp;$A479+1)/$AH479)))</f>
        <v/>
      </c>
      <c r="I479" s="54">
        <f>IF($B479=0,NA(),IF($C479="",NA(),IF(C$8="",NA(),IF(N(C$8)=0,NA(),IF(Inputs!$C$17="Rebased to 100",$C479/C$8*100,$C479)))))</f>
        <v/>
      </c>
      <c r="J479" s="54">
        <f>IF($B479=0,NA(),IF($D479="",NA(),IF(D$8="",NA(),IF(N(D$8)=0,NA(),IF(Inputs!$C$17="Rebased to 100",$D479/D$8*100,$D479)))))</f>
        <v/>
      </c>
      <c r="K479" s="54">
        <f>IF($B479=0,NA(),IF($E479="",NA(),IF(E$8="",NA(),IF(N(E$8)=0,NA(),IF(Inputs!$C$17="Rebased to 100",$E479/E$8*100,$E479)))))</f>
        <v/>
      </c>
      <c r="L479" s="54">
        <f>IF($B479=0,NA(),IF($F479="",NA(),IF(F$8="",NA(),IF(N(F$8)=0,NA(),IF(Inputs!$C$17="Rebased to 100",$F479/F$8*100,$F479)))))</f>
        <v/>
      </c>
      <c r="M479" s="54">
        <f>IF($B479=0,NA(),IF($G479="",NA(),IF(G$8="",NA(),IF(N(G$8)=0,NA(),IF(Inputs!$C$17="Rebased to 100",$G479/G$8*100,$G479)))))</f>
        <v/>
      </c>
      <c r="N479" s="54">
        <f>IF($B479=0,NA(),IF(Inputs!$C$18&lt;&gt;"Yes",NA(),IF(COUNT(I479,J479,K479,L479,M479)=0,NA(),MIN(I479,J479,K479,L479,M479))))</f>
        <v/>
      </c>
      <c r="O479" s="54">
        <f>IF($B479=0,NA(),IF(Inputs!$B$24&lt;&gt;"Yes",NA(),Inputs!$D$24*Inputs!$C$35))</f>
        <v/>
      </c>
      <c r="P479" s="54">
        <f>IF($B479=0,NA(),IF(Inputs!$B$25&lt;&gt;"Yes",NA(),Inputs!$D$25*Inputs!$C$35))</f>
        <v/>
      </c>
      <c r="Q479" s="54">
        <f>IF($B479=0,NA(),IF(Inputs!$B$26&lt;&gt;"Yes",NA(),Inputs!$D$26*Inputs!$C$35))</f>
        <v/>
      </c>
      <c r="R479" s="54">
        <f>IF($B479=0,NA(),IF(Inputs!$B$27&lt;&gt;"Yes",NA(),Inputs!$D$27*Inputs!$C$35))</f>
        <v/>
      </c>
      <c r="S479" s="54">
        <f>IF($B479=0,NA(),IF(Inputs!$B$28&lt;&gt;"Yes",NA(),Inputs!$D$28*Inputs!$C$35))</f>
        <v/>
      </c>
      <c r="T479" s="54">
        <f>IF($B479=0,NA(),IF(Inputs!$B$29&lt;&gt;"Yes",NA(),Inputs!$D$29*Inputs!$C$35))</f>
        <v/>
      </c>
      <c r="AD479">
        <f>IF($B479=0,0,IF(Inputs!$B$6="",0,COUNTIFS(Data!$A$10:$A$3209,"&gt;="&amp;$A479,Data!$A$10:$A$3209,"&lt;"&amp;$A479+1)))</f>
        <v/>
      </c>
      <c r="AE479">
        <f>IF($B479=0,0,IF(Inputs!$B$7="",0,COUNTIFS(Data!$E$10:$E$3209,"&gt;="&amp;$A479,Data!$E$10:$E$3209,"&lt;"&amp;$A479+1)))</f>
        <v/>
      </c>
      <c r="AF479">
        <f>IF($B479=0,0,IF(Inputs!$B$8="",0,COUNTIFS(Data!$I$10:$I$3209,"&gt;="&amp;$A479,Data!$I$10:$I$3209,"&lt;"&amp;$A479+1)))</f>
        <v/>
      </c>
      <c r="AG479">
        <f>IF($B479=0,0,IF(Inputs!$B$9="",0,COUNTIFS(Data!$M$10:$M$3209,"&gt;="&amp;$A479,Data!$M$10:$M$3209,"&lt;"&amp;$A479+1)))</f>
        <v/>
      </c>
      <c r="AH479">
        <f>IF($B479=0,0,IF(Inputs!$B$10="",0,COUNTIFS(Data!$Q$10:$Q$3209,"&gt;="&amp;$A479,Data!$Q$10:$Q$3209,"&lt;"&amp;$A479+1)))</f>
        <v/>
      </c>
    </row>
    <row r="480">
      <c r="A480" s="55">
        <f>MIN(Inputs!$C$15,$A479+IF(WEEKDAY($A479,2)=5,3,1))</f>
        <v/>
      </c>
      <c r="B480">
        <f>IF($A480&gt;$A479,1,0)</f>
        <v/>
      </c>
      <c r="C480" s="56">
        <f>IF($B480=0,"",IF(Inputs!$B$6="","",IF($AD480=0,C479,SUMIFS(Data!$B$10:$B$3209,Data!$A$10:$A$3209,"&gt;="&amp;$A480,Data!$A$10:$A$3209,"&lt;"&amp;$A480+1)/$AD480)))</f>
        <v/>
      </c>
      <c r="D480" s="56">
        <f>IF($B480=0,"",IF(Inputs!$B$7="","",IF($AE480=0,D479,SUMIFS(Data!$F$10:$F$3209,Data!$E$10:$E$3209,"&gt;="&amp;$A480,Data!$E$10:$E$3209,"&lt;"&amp;$A480+1)/$AE480)))</f>
        <v/>
      </c>
      <c r="E480" s="56">
        <f>IF($B480=0,"",IF(Inputs!$B$8="","",IF($AF480=0,E479,SUMIFS(Data!$J$10:$J$3209,Data!$I$10:$I$3209,"&gt;="&amp;$A480,Data!$I$10:$I$3209,"&lt;"&amp;$A480+1)/$AF480)))</f>
        <v/>
      </c>
      <c r="F480" s="56">
        <f>IF($B480=0,"",IF(Inputs!$B$9="","",IF($AG480=0,F479,SUMIFS(Data!$N$10:$N$3209,Data!$M$10:$M$3209,"&gt;="&amp;$A480,Data!$M$10:$M$3209,"&lt;"&amp;$A480+1)/$AG480)))</f>
        <v/>
      </c>
      <c r="G480" s="56">
        <f>IF($B480=0,"",IF(Inputs!$B$10="","",IF($AH480=0,G479,SUMIFS(Data!$R$10:$R$3209,Data!$Q$10:$Q$3209,"&gt;="&amp;$A480,Data!$Q$10:$Q$3209,"&lt;"&amp;$A480+1)/$AH480)))</f>
        <v/>
      </c>
      <c r="I480" s="54">
        <f>IF($B480=0,NA(),IF($C480="",NA(),IF(C$8="",NA(),IF(N(C$8)=0,NA(),IF(Inputs!$C$17="Rebased to 100",$C480/C$8*100,$C480)))))</f>
        <v/>
      </c>
      <c r="J480" s="54">
        <f>IF($B480=0,NA(),IF($D480="",NA(),IF(D$8="",NA(),IF(N(D$8)=0,NA(),IF(Inputs!$C$17="Rebased to 100",$D480/D$8*100,$D480)))))</f>
        <v/>
      </c>
      <c r="K480" s="54">
        <f>IF($B480=0,NA(),IF($E480="",NA(),IF(E$8="",NA(),IF(N(E$8)=0,NA(),IF(Inputs!$C$17="Rebased to 100",$E480/E$8*100,$E480)))))</f>
        <v/>
      </c>
      <c r="L480" s="54">
        <f>IF($B480=0,NA(),IF($F480="",NA(),IF(F$8="",NA(),IF(N(F$8)=0,NA(),IF(Inputs!$C$17="Rebased to 100",$F480/F$8*100,$F480)))))</f>
        <v/>
      </c>
      <c r="M480" s="54">
        <f>IF($B480=0,NA(),IF($G480="",NA(),IF(G$8="",NA(),IF(N(G$8)=0,NA(),IF(Inputs!$C$17="Rebased to 100",$G480/G$8*100,$G480)))))</f>
        <v/>
      </c>
      <c r="N480" s="54">
        <f>IF($B480=0,NA(),IF(Inputs!$C$18&lt;&gt;"Yes",NA(),IF(COUNT(I480,J480,K480,L480,M480)=0,NA(),MIN(I480,J480,K480,L480,M480))))</f>
        <v/>
      </c>
      <c r="O480" s="54">
        <f>IF($B480=0,NA(),IF(Inputs!$B$24&lt;&gt;"Yes",NA(),Inputs!$D$24*Inputs!$C$35))</f>
        <v/>
      </c>
      <c r="P480" s="54">
        <f>IF($B480=0,NA(),IF(Inputs!$B$25&lt;&gt;"Yes",NA(),Inputs!$D$25*Inputs!$C$35))</f>
        <v/>
      </c>
      <c r="Q480" s="54">
        <f>IF($B480=0,NA(),IF(Inputs!$B$26&lt;&gt;"Yes",NA(),Inputs!$D$26*Inputs!$C$35))</f>
        <v/>
      </c>
      <c r="R480" s="54">
        <f>IF($B480=0,NA(),IF(Inputs!$B$27&lt;&gt;"Yes",NA(),Inputs!$D$27*Inputs!$C$35))</f>
        <v/>
      </c>
      <c r="S480" s="54">
        <f>IF($B480=0,NA(),IF(Inputs!$B$28&lt;&gt;"Yes",NA(),Inputs!$D$28*Inputs!$C$35))</f>
        <v/>
      </c>
      <c r="T480" s="54">
        <f>IF($B480=0,NA(),IF(Inputs!$B$29&lt;&gt;"Yes",NA(),Inputs!$D$29*Inputs!$C$35))</f>
        <v/>
      </c>
      <c r="AD480">
        <f>IF($B480=0,0,IF(Inputs!$B$6="",0,COUNTIFS(Data!$A$10:$A$3209,"&gt;="&amp;$A480,Data!$A$10:$A$3209,"&lt;"&amp;$A480+1)))</f>
        <v/>
      </c>
      <c r="AE480">
        <f>IF($B480=0,0,IF(Inputs!$B$7="",0,COUNTIFS(Data!$E$10:$E$3209,"&gt;="&amp;$A480,Data!$E$10:$E$3209,"&lt;"&amp;$A480+1)))</f>
        <v/>
      </c>
      <c r="AF480">
        <f>IF($B480=0,0,IF(Inputs!$B$8="",0,COUNTIFS(Data!$I$10:$I$3209,"&gt;="&amp;$A480,Data!$I$10:$I$3209,"&lt;"&amp;$A480+1)))</f>
        <v/>
      </c>
      <c r="AG480">
        <f>IF($B480=0,0,IF(Inputs!$B$9="",0,COUNTIFS(Data!$M$10:$M$3209,"&gt;="&amp;$A480,Data!$M$10:$M$3209,"&lt;"&amp;$A480+1)))</f>
        <v/>
      </c>
      <c r="AH480">
        <f>IF($B480=0,0,IF(Inputs!$B$10="",0,COUNTIFS(Data!$Q$10:$Q$3209,"&gt;="&amp;$A480,Data!$Q$10:$Q$3209,"&lt;"&amp;$A480+1)))</f>
        <v/>
      </c>
    </row>
    <row r="481">
      <c r="A481" s="55">
        <f>MIN(Inputs!$C$15,$A480+IF(WEEKDAY($A480,2)=5,3,1))</f>
        <v/>
      </c>
      <c r="B481">
        <f>IF($A481&gt;$A480,1,0)</f>
        <v/>
      </c>
      <c r="C481" s="56">
        <f>IF($B481=0,"",IF(Inputs!$B$6="","",IF($AD481=0,C480,SUMIFS(Data!$B$10:$B$3209,Data!$A$10:$A$3209,"&gt;="&amp;$A481,Data!$A$10:$A$3209,"&lt;"&amp;$A481+1)/$AD481)))</f>
        <v/>
      </c>
      <c r="D481" s="56">
        <f>IF($B481=0,"",IF(Inputs!$B$7="","",IF($AE481=0,D480,SUMIFS(Data!$F$10:$F$3209,Data!$E$10:$E$3209,"&gt;="&amp;$A481,Data!$E$10:$E$3209,"&lt;"&amp;$A481+1)/$AE481)))</f>
        <v/>
      </c>
      <c r="E481" s="56">
        <f>IF($B481=0,"",IF(Inputs!$B$8="","",IF($AF481=0,E480,SUMIFS(Data!$J$10:$J$3209,Data!$I$10:$I$3209,"&gt;="&amp;$A481,Data!$I$10:$I$3209,"&lt;"&amp;$A481+1)/$AF481)))</f>
        <v/>
      </c>
      <c r="F481" s="56">
        <f>IF($B481=0,"",IF(Inputs!$B$9="","",IF($AG481=0,F480,SUMIFS(Data!$N$10:$N$3209,Data!$M$10:$M$3209,"&gt;="&amp;$A481,Data!$M$10:$M$3209,"&lt;"&amp;$A481+1)/$AG481)))</f>
        <v/>
      </c>
      <c r="G481" s="56">
        <f>IF($B481=0,"",IF(Inputs!$B$10="","",IF($AH481=0,G480,SUMIFS(Data!$R$10:$R$3209,Data!$Q$10:$Q$3209,"&gt;="&amp;$A481,Data!$Q$10:$Q$3209,"&lt;"&amp;$A481+1)/$AH481)))</f>
        <v/>
      </c>
      <c r="I481" s="54">
        <f>IF($B481=0,NA(),IF($C481="",NA(),IF(C$8="",NA(),IF(N(C$8)=0,NA(),IF(Inputs!$C$17="Rebased to 100",$C481/C$8*100,$C481)))))</f>
        <v/>
      </c>
      <c r="J481" s="54">
        <f>IF($B481=0,NA(),IF($D481="",NA(),IF(D$8="",NA(),IF(N(D$8)=0,NA(),IF(Inputs!$C$17="Rebased to 100",$D481/D$8*100,$D481)))))</f>
        <v/>
      </c>
      <c r="K481" s="54">
        <f>IF($B481=0,NA(),IF($E481="",NA(),IF(E$8="",NA(),IF(N(E$8)=0,NA(),IF(Inputs!$C$17="Rebased to 100",$E481/E$8*100,$E481)))))</f>
        <v/>
      </c>
      <c r="L481" s="54">
        <f>IF($B481=0,NA(),IF($F481="",NA(),IF(F$8="",NA(),IF(N(F$8)=0,NA(),IF(Inputs!$C$17="Rebased to 100",$F481/F$8*100,$F481)))))</f>
        <v/>
      </c>
      <c r="M481" s="54">
        <f>IF($B481=0,NA(),IF($G481="",NA(),IF(G$8="",NA(),IF(N(G$8)=0,NA(),IF(Inputs!$C$17="Rebased to 100",$G481/G$8*100,$G481)))))</f>
        <v/>
      </c>
      <c r="N481" s="54">
        <f>IF($B481=0,NA(),IF(Inputs!$C$18&lt;&gt;"Yes",NA(),IF(COUNT(I481,J481,K481,L481,M481)=0,NA(),MIN(I481,J481,K481,L481,M481))))</f>
        <v/>
      </c>
      <c r="O481" s="54">
        <f>IF($B481=0,NA(),IF(Inputs!$B$24&lt;&gt;"Yes",NA(),Inputs!$D$24*Inputs!$C$35))</f>
        <v/>
      </c>
      <c r="P481" s="54">
        <f>IF($B481=0,NA(),IF(Inputs!$B$25&lt;&gt;"Yes",NA(),Inputs!$D$25*Inputs!$C$35))</f>
        <v/>
      </c>
      <c r="Q481" s="54">
        <f>IF($B481=0,NA(),IF(Inputs!$B$26&lt;&gt;"Yes",NA(),Inputs!$D$26*Inputs!$C$35))</f>
        <v/>
      </c>
      <c r="R481" s="54">
        <f>IF($B481=0,NA(),IF(Inputs!$B$27&lt;&gt;"Yes",NA(),Inputs!$D$27*Inputs!$C$35))</f>
        <v/>
      </c>
      <c r="S481" s="54">
        <f>IF($B481=0,NA(),IF(Inputs!$B$28&lt;&gt;"Yes",NA(),Inputs!$D$28*Inputs!$C$35))</f>
        <v/>
      </c>
      <c r="T481" s="54">
        <f>IF($B481=0,NA(),IF(Inputs!$B$29&lt;&gt;"Yes",NA(),Inputs!$D$29*Inputs!$C$35))</f>
        <v/>
      </c>
      <c r="AD481">
        <f>IF($B481=0,0,IF(Inputs!$B$6="",0,COUNTIFS(Data!$A$10:$A$3209,"&gt;="&amp;$A481,Data!$A$10:$A$3209,"&lt;"&amp;$A481+1)))</f>
        <v/>
      </c>
      <c r="AE481">
        <f>IF($B481=0,0,IF(Inputs!$B$7="",0,COUNTIFS(Data!$E$10:$E$3209,"&gt;="&amp;$A481,Data!$E$10:$E$3209,"&lt;"&amp;$A481+1)))</f>
        <v/>
      </c>
      <c r="AF481">
        <f>IF($B481=0,0,IF(Inputs!$B$8="",0,COUNTIFS(Data!$I$10:$I$3209,"&gt;="&amp;$A481,Data!$I$10:$I$3209,"&lt;"&amp;$A481+1)))</f>
        <v/>
      </c>
      <c r="AG481">
        <f>IF($B481=0,0,IF(Inputs!$B$9="",0,COUNTIFS(Data!$M$10:$M$3209,"&gt;="&amp;$A481,Data!$M$10:$M$3209,"&lt;"&amp;$A481+1)))</f>
        <v/>
      </c>
      <c r="AH481">
        <f>IF($B481=0,0,IF(Inputs!$B$10="",0,COUNTIFS(Data!$Q$10:$Q$3209,"&gt;="&amp;$A481,Data!$Q$10:$Q$3209,"&lt;"&amp;$A481+1)))</f>
        <v/>
      </c>
    </row>
    <row r="482">
      <c r="A482" s="55">
        <f>MIN(Inputs!$C$15,$A481+IF(WEEKDAY($A481,2)=5,3,1))</f>
        <v/>
      </c>
      <c r="B482">
        <f>IF($A482&gt;$A481,1,0)</f>
        <v/>
      </c>
      <c r="C482" s="56">
        <f>IF($B482=0,"",IF(Inputs!$B$6="","",IF($AD482=0,C481,SUMIFS(Data!$B$10:$B$3209,Data!$A$10:$A$3209,"&gt;="&amp;$A482,Data!$A$10:$A$3209,"&lt;"&amp;$A482+1)/$AD482)))</f>
        <v/>
      </c>
      <c r="D482" s="56">
        <f>IF($B482=0,"",IF(Inputs!$B$7="","",IF($AE482=0,D481,SUMIFS(Data!$F$10:$F$3209,Data!$E$10:$E$3209,"&gt;="&amp;$A482,Data!$E$10:$E$3209,"&lt;"&amp;$A482+1)/$AE482)))</f>
        <v/>
      </c>
      <c r="E482" s="56">
        <f>IF($B482=0,"",IF(Inputs!$B$8="","",IF($AF482=0,E481,SUMIFS(Data!$J$10:$J$3209,Data!$I$10:$I$3209,"&gt;="&amp;$A482,Data!$I$10:$I$3209,"&lt;"&amp;$A482+1)/$AF482)))</f>
        <v/>
      </c>
      <c r="F482" s="56">
        <f>IF($B482=0,"",IF(Inputs!$B$9="","",IF($AG482=0,F481,SUMIFS(Data!$N$10:$N$3209,Data!$M$10:$M$3209,"&gt;="&amp;$A482,Data!$M$10:$M$3209,"&lt;"&amp;$A482+1)/$AG482)))</f>
        <v/>
      </c>
      <c r="G482" s="56">
        <f>IF($B482=0,"",IF(Inputs!$B$10="","",IF($AH482=0,G481,SUMIFS(Data!$R$10:$R$3209,Data!$Q$10:$Q$3209,"&gt;="&amp;$A482,Data!$Q$10:$Q$3209,"&lt;"&amp;$A482+1)/$AH482)))</f>
        <v/>
      </c>
      <c r="I482" s="54">
        <f>IF($B482=0,NA(),IF($C482="",NA(),IF(C$8="",NA(),IF(N(C$8)=0,NA(),IF(Inputs!$C$17="Rebased to 100",$C482/C$8*100,$C482)))))</f>
        <v/>
      </c>
      <c r="J482" s="54">
        <f>IF($B482=0,NA(),IF($D482="",NA(),IF(D$8="",NA(),IF(N(D$8)=0,NA(),IF(Inputs!$C$17="Rebased to 100",$D482/D$8*100,$D482)))))</f>
        <v/>
      </c>
      <c r="K482" s="54">
        <f>IF($B482=0,NA(),IF($E482="",NA(),IF(E$8="",NA(),IF(N(E$8)=0,NA(),IF(Inputs!$C$17="Rebased to 100",$E482/E$8*100,$E482)))))</f>
        <v/>
      </c>
      <c r="L482" s="54">
        <f>IF($B482=0,NA(),IF($F482="",NA(),IF(F$8="",NA(),IF(N(F$8)=0,NA(),IF(Inputs!$C$17="Rebased to 100",$F482/F$8*100,$F482)))))</f>
        <v/>
      </c>
      <c r="M482" s="54">
        <f>IF($B482=0,NA(),IF($G482="",NA(),IF(G$8="",NA(),IF(N(G$8)=0,NA(),IF(Inputs!$C$17="Rebased to 100",$G482/G$8*100,$G482)))))</f>
        <v/>
      </c>
      <c r="N482" s="54">
        <f>IF($B482=0,NA(),IF(Inputs!$C$18&lt;&gt;"Yes",NA(),IF(COUNT(I482,J482,K482,L482,M482)=0,NA(),MIN(I482,J482,K482,L482,M482))))</f>
        <v/>
      </c>
      <c r="O482" s="54">
        <f>IF($B482=0,NA(),IF(Inputs!$B$24&lt;&gt;"Yes",NA(),Inputs!$D$24*Inputs!$C$35))</f>
        <v/>
      </c>
      <c r="P482" s="54">
        <f>IF($B482=0,NA(),IF(Inputs!$B$25&lt;&gt;"Yes",NA(),Inputs!$D$25*Inputs!$C$35))</f>
        <v/>
      </c>
      <c r="Q482" s="54">
        <f>IF($B482=0,NA(),IF(Inputs!$B$26&lt;&gt;"Yes",NA(),Inputs!$D$26*Inputs!$C$35))</f>
        <v/>
      </c>
      <c r="R482" s="54">
        <f>IF($B482=0,NA(),IF(Inputs!$B$27&lt;&gt;"Yes",NA(),Inputs!$D$27*Inputs!$C$35))</f>
        <v/>
      </c>
      <c r="S482" s="54">
        <f>IF($B482=0,NA(),IF(Inputs!$B$28&lt;&gt;"Yes",NA(),Inputs!$D$28*Inputs!$C$35))</f>
        <v/>
      </c>
      <c r="T482" s="54">
        <f>IF($B482=0,NA(),IF(Inputs!$B$29&lt;&gt;"Yes",NA(),Inputs!$D$29*Inputs!$C$35))</f>
        <v/>
      </c>
      <c r="AD482">
        <f>IF($B482=0,0,IF(Inputs!$B$6="",0,COUNTIFS(Data!$A$10:$A$3209,"&gt;="&amp;$A482,Data!$A$10:$A$3209,"&lt;"&amp;$A482+1)))</f>
        <v/>
      </c>
      <c r="AE482">
        <f>IF($B482=0,0,IF(Inputs!$B$7="",0,COUNTIFS(Data!$E$10:$E$3209,"&gt;="&amp;$A482,Data!$E$10:$E$3209,"&lt;"&amp;$A482+1)))</f>
        <v/>
      </c>
      <c r="AF482">
        <f>IF($B482=0,0,IF(Inputs!$B$8="",0,COUNTIFS(Data!$I$10:$I$3209,"&gt;="&amp;$A482,Data!$I$10:$I$3209,"&lt;"&amp;$A482+1)))</f>
        <v/>
      </c>
      <c r="AG482">
        <f>IF($B482=0,0,IF(Inputs!$B$9="",0,COUNTIFS(Data!$M$10:$M$3209,"&gt;="&amp;$A482,Data!$M$10:$M$3209,"&lt;"&amp;$A482+1)))</f>
        <v/>
      </c>
      <c r="AH482">
        <f>IF($B482=0,0,IF(Inputs!$B$10="",0,COUNTIFS(Data!$Q$10:$Q$3209,"&gt;="&amp;$A482,Data!$Q$10:$Q$3209,"&lt;"&amp;$A482+1)))</f>
        <v/>
      </c>
    </row>
    <row r="483">
      <c r="A483" s="55">
        <f>MIN(Inputs!$C$15,$A482+IF(WEEKDAY($A482,2)=5,3,1))</f>
        <v/>
      </c>
      <c r="B483">
        <f>IF($A483&gt;$A482,1,0)</f>
        <v/>
      </c>
      <c r="C483" s="56">
        <f>IF($B483=0,"",IF(Inputs!$B$6="","",IF($AD483=0,C482,SUMIFS(Data!$B$10:$B$3209,Data!$A$10:$A$3209,"&gt;="&amp;$A483,Data!$A$10:$A$3209,"&lt;"&amp;$A483+1)/$AD483)))</f>
        <v/>
      </c>
      <c r="D483" s="56">
        <f>IF($B483=0,"",IF(Inputs!$B$7="","",IF($AE483=0,D482,SUMIFS(Data!$F$10:$F$3209,Data!$E$10:$E$3209,"&gt;="&amp;$A483,Data!$E$10:$E$3209,"&lt;"&amp;$A483+1)/$AE483)))</f>
        <v/>
      </c>
      <c r="E483" s="56">
        <f>IF($B483=0,"",IF(Inputs!$B$8="","",IF($AF483=0,E482,SUMIFS(Data!$J$10:$J$3209,Data!$I$10:$I$3209,"&gt;="&amp;$A483,Data!$I$10:$I$3209,"&lt;"&amp;$A483+1)/$AF483)))</f>
        <v/>
      </c>
      <c r="F483" s="56">
        <f>IF($B483=0,"",IF(Inputs!$B$9="","",IF($AG483=0,F482,SUMIFS(Data!$N$10:$N$3209,Data!$M$10:$M$3209,"&gt;="&amp;$A483,Data!$M$10:$M$3209,"&lt;"&amp;$A483+1)/$AG483)))</f>
        <v/>
      </c>
      <c r="G483" s="56">
        <f>IF($B483=0,"",IF(Inputs!$B$10="","",IF($AH483=0,G482,SUMIFS(Data!$R$10:$R$3209,Data!$Q$10:$Q$3209,"&gt;="&amp;$A483,Data!$Q$10:$Q$3209,"&lt;"&amp;$A483+1)/$AH483)))</f>
        <v/>
      </c>
      <c r="I483" s="54">
        <f>IF($B483=0,NA(),IF($C483="",NA(),IF(C$8="",NA(),IF(N(C$8)=0,NA(),IF(Inputs!$C$17="Rebased to 100",$C483/C$8*100,$C483)))))</f>
        <v/>
      </c>
      <c r="J483" s="54">
        <f>IF($B483=0,NA(),IF($D483="",NA(),IF(D$8="",NA(),IF(N(D$8)=0,NA(),IF(Inputs!$C$17="Rebased to 100",$D483/D$8*100,$D483)))))</f>
        <v/>
      </c>
      <c r="K483" s="54">
        <f>IF($B483=0,NA(),IF($E483="",NA(),IF(E$8="",NA(),IF(N(E$8)=0,NA(),IF(Inputs!$C$17="Rebased to 100",$E483/E$8*100,$E483)))))</f>
        <v/>
      </c>
      <c r="L483" s="54">
        <f>IF($B483=0,NA(),IF($F483="",NA(),IF(F$8="",NA(),IF(N(F$8)=0,NA(),IF(Inputs!$C$17="Rebased to 100",$F483/F$8*100,$F483)))))</f>
        <v/>
      </c>
      <c r="M483" s="54">
        <f>IF($B483=0,NA(),IF($G483="",NA(),IF(G$8="",NA(),IF(N(G$8)=0,NA(),IF(Inputs!$C$17="Rebased to 100",$G483/G$8*100,$G483)))))</f>
        <v/>
      </c>
      <c r="N483" s="54">
        <f>IF($B483=0,NA(),IF(Inputs!$C$18&lt;&gt;"Yes",NA(),IF(COUNT(I483,J483,K483,L483,M483)=0,NA(),MIN(I483,J483,K483,L483,M483))))</f>
        <v/>
      </c>
      <c r="O483" s="54">
        <f>IF($B483=0,NA(),IF(Inputs!$B$24&lt;&gt;"Yes",NA(),Inputs!$D$24*Inputs!$C$35))</f>
        <v/>
      </c>
      <c r="P483" s="54">
        <f>IF($B483=0,NA(),IF(Inputs!$B$25&lt;&gt;"Yes",NA(),Inputs!$D$25*Inputs!$C$35))</f>
        <v/>
      </c>
      <c r="Q483" s="54">
        <f>IF($B483=0,NA(),IF(Inputs!$B$26&lt;&gt;"Yes",NA(),Inputs!$D$26*Inputs!$C$35))</f>
        <v/>
      </c>
      <c r="R483" s="54">
        <f>IF($B483=0,NA(),IF(Inputs!$B$27&lt;&gt;"Yes",NA(),Inputs!$D$27*Inputs!$C$35))</f>
        <v/>
      </c>
      <c r="S483" s="54">
        <f>IF($B483=0,NA(),IF(Inputs!$B$28&lt;&gt;"Yes",NA(),Inputs!$D$28*Inputs!$C$35))</f>
        <v/>
      </c>
      <c r="T483" s="54">
        <f>IF($B483=0,NA(),IF(Inputs!$B$29&lt;&gt;"Yes",NA(),Inputs!$D$29*Inputs!$C$35))</f>
        <v/>
      </c>
      <c r="AD483">
        <f>IF($B483=0,0,IF(Inputs!$B$6="",0,COUNTIFS(Data!$A$10:$A$3209,"&gt;="&amp;$A483,Data!$A$10:$A$3209,"&lt;"&amp;$A483+1)))</f>
        <v/>
      </c>
      <c r="AE483">
        <f>IF($B483=0,0,IF(Inputs!$B$7="",0,COUNTIFS(Data!$E$10:$E$3209,"&gt;="&amp;$A483,Data!$E$10:$E$3209,"&lt;"&amp;$A483+1)))</f>
        <v/>
      </c>
      <c r="AF483">
        <f>IF($B483=0,0,IF(Inputs!$B$8="",0,COUNTIFS(Data!$I$10:$I$3209,"&gt;="&amp;$A483,Data!$I$10:$I$3209,"&lt;"&amp;$A483+1)))</f>
        <v/>
      </c>
      <c r="AG483">
        <f>IF($B483=0,0,IF(Inputs!$B$9="",0,COUNTIFS(Data!$M$10:$M$3209,"&gt;="&amp;$A483,Data!$M$10:$M$3209,"&lt;"&amp;$A483+1)))</f>
        <v/>
      </c>
      <c r="AH483">
        <f>IF($B483=0,0,IF(Inputs!$B$10="",0,COUNTIFS(Data!$Q$10:$Q$3209,"&gt;="&amp;$A483,Data!$Q$10:$Q$3209,"&lt;"&amp;$A483+1)))</f>
        <v/>
      </c>
    </row>
    <row r="484">
      <c r="A484" s="55">
        <f>MIN(Inputs!$C$15,$A483+IF(WEEKDAY($A483,2)=5,3,1))</f>
        <v/>
      </c>
      <c r="B484">
        <f>IF($A484&gt;$A483,1,0)</f>
        <v/>
      </c>
      <c r="C484" s="56">
        <f>IF($B484=0,"",IF(Inputs!$B$6="","",IF($AD484=0,C483,SUMIFS(Data!$B$10:$B$3209,Data!$A$10:$A$3209,"&gt;="&amp;$A484,Data!$A$10:$A$3209,"&lt;"&amp;$A484+1)/$AD484)))</f>
        <v/>
      </c>
      <c r="D484" s="56">
        <f>IF($B484=0,"",IF(Inputs!$B$7="","",IF($AE484=0,D483,SUMIFS(Data!$F$10:$F$3209,Data!$E$10:$E$3209,"&gt;="&amp;$A484,Data!$E$10:$E$3209,"&lt;"&amp;$A484+1)/$AE484)))</f>
        <v/>
      </c>
      <c r="E484" s="56">
        <f>IF($B484=0,"",IF(Inputs!$B$8="","",IF($AF484=0,E483,SUMIFS(Data!$J$10:$J$3209,Data!$I$10:$I$3209,"&gt;="&amp;$A484,Data!$I$10:$I$3209,"&lt;"&amp;$A484+1)/$AF484)))</f>
        <v/>
      </c>
      <c r="F484" s="56">
        <f>IF($B484=0,"",IF(Inputs!$B$9="","",IF($AG484=0,F483,SUMIFS(Data!$N$10:$N$3209,Data!$M$10:$M$3209,"&gt;="&amp;$A484,Data!$M$10:$M$3209,"&lt;"&amp;$A484+1)/$AG484)))</f>
        <v/>
      </c>
      <c r="G484" s="56">
        <f>IF($B484=0,"",IF(Inputs!$B$10="","",IF($AH484=0,G483,SUMIFS(Data!$R$10:$R$3209,Data!$Q$10:$Q$3209,"&gt;="&amp;$A484,Data!$Q$10:$Q$3209,"&lt;"&amp;$A484+1)/$AH484)))</f>
        <v/>
      </c>
      <c r="I484" s="54">
        <f>IF($B484=0,NA(),IF($C484="",NA(),IF(C$8="",NA(),IF(N(C$8)=0,NA(),IF(Inputs!$C$17="Rebased to 100",$C484/C$8*100,$C484)))))</f>
        <v/>
      </c>
      <c r="J484" s="54">
        <f>IF($B484=0,NA(),IF($D484="",NA(),IF(D$8="",NA(),IF(N(D$8)=0,NA(),IF(Inputs!$C$17="Rebased to 100",$D484/D$8*100,$D484)))))</f>
        <v/>
      </c>
      <c r="K484" s="54">
        <f>IF($B484=0,NA(),IF($E484="",NA(),IF(E$8="",NA(),IF(N(E$8)=0,NA(),IF(Inputs!$C$17="Rebased to 100",$E484/E$8*100,$E484)))))</f>
        <v/>
      </c>
      <c r="L484" s="54">
        <f>IF($B484=0,NA(),IF($F484="",NA(),IF(F$8="",NA(),IF(N(F$8)=0,NA(),IF(Inputs!$C$17="Rebased to 100",$F484/F$8*100,$F484)))))</f>
        <v/>
      </c>
      <c r="M484" s="54">
        <f>IF($B484=0,NA(),IF($G484="",NA(),IF(G$8="",NA(),IF(N(G$8)=0,NA(),IF(Inputs!$C$17="Rebased to 100",$G484/G$8*100,$G484)))))</f>
        <v/>
      </c>
      <c r="N484" s="54">
        <f>IF($B484=0,NA(),IF(Inputs!$C$18&lt;&gt;"Yes",NA(),IF(COUNT(I484,J484,K484,L484,M484)=0,NA(),MIN(I484,J484,K484,L484,M484))))</f>
        <v/>
      </c>
      <c r="O484" s="54">
        <f>IF($B484=0,NA(),IF(Inputs!$B$24&lt;&gt;"Yes",NA(),Inputs!$D$24*Inputs!$C$35))</f>
        <v/>
      </c>
      <c r="P484" s="54">
        <f>IF($B484=0,NA(),IF(Inputs!$B$25&lt;&gt;"Yes",NA(),Inputs!$D$25*Inputs!$C$35))</f>
        <v/>
      </c>
      <c r="Q484" s="54">
        <f>IF($B484=0,NA(),IF(Inputs!$B$26&lt;&gt;"Yes",NA(),Inputs!$D$26*Inputs!$C$35))</f>
        <v/>
      </c>
      <c r="R484" s="54">
        <f>IF($B484=0,NA(),IF(Inputs!$B$27&lt;&gt;"Yes",NA(),Inputs!$D$27*Inputs!$C$35))</f>
        <v/>
      </c>
      <c r="S484" s="54">
        <f>IF($B484=0,NA(),IF(Inputs!$B$28&lt;&gt;"Yes",NA(),Inputs!$D$28*Inputs!$C$35))</f>
        <v/>
      </c>
      <c r="T484" s="54">
        <f>IF($B484=0,NA(),IF(Inputs!$B$29&lt;&gt;"Yes",NA(),Inputs!$D$29*Inputs!$C$35))</f>
        <v/>
      </c>
      <c r="AD484">
        <f>IF($B484=0,0,IF(Inputs!$B$6="",0,COUNTIFS(Data!$A$10:$A$3209,"&gt;="&amp;$A484,Data!$A$10:$A$3209,"&lt;"&amp;$A484+1)))</f>
        <v/>
      </c>
      <c r="AE484">
        <f>IF($B484=0,0,IF(Inputs!$B$7="",0,COUNTIFS(Data!$E$10:$E$3209,"&gt;="&amp;$A484,Data!$E$10:$E$3209,"&lt;"&amp;$A484+1)))</f>
        <v/>
      </c>
      <c r="AF484">
        <f>IF($B484=0,0,IF(Inputs!$B$8="",0,COUNTIFS(Data!$I$10:$I$3209,"&gt;="&amp;$A484,Data!$I$10:$I$3209,"&lt;"&amp;$A484+1)))</f>
        <v/>
      </c>
      <c r="AG484">
        <f>IF($B484=0,0,IF(Inputs!$B$9="",0,COUNTIFS(Data!$M$10:$M$3209,"&gt;="&amp;$A484,Data!$M$10:$M$3209,"&lt;"&amp;$A484+1)))</f>
        <v/>
      </c>
      <c r="AH484">
        <f>IF($B484=0,0,IF(Inputs!$B$10="",0,COUNTIFS(Data!$Q$10:$Q$3209,"&gt;="&amp;$A484,Data!$Q$10:$Q$3209,"&lt;"&amp;$A484+1)))</f>
        <v/>
      </c>
    </row>
    <row r="485">
      <c r="A485" s="55">
        <f>MIN(Inputs!$C$15,$A484+IF(WEEKDAY($A484,2)=5,3,1))</f>
        <v/>
      </c>
      <c r="B485">
        <f>IF($A485&gt;$A484,1,0)</f>
        <v/>
      </c>
      <c r="C485" s="56">
        <f>IF($B485=0,"",IF(Inputs!$B$6="","",IF($AD485=0,C484,SUMIFS(Data!$B$10:$B$3209,Data!$A$10:$A$3209,"&gt;="&amp;$A485,Data!$A$10:$A$3209,"&lt;"&amp;$A485+1)/$AD485)))</f>
        <v/>
      </c>
      <c r="D485" s="56">
        <f>IF($B485=0,"",IF(Inputs!$B$7="","",IF($AE485=0,D484,SUMIFS(Data!$F$10:$F$3209,Data!$E$10:$E$3209,"&gt;="&amp;$A485,Data!$E$10:$E$3209,"&lt;"&amp;$A485+1)/$AE485)))</f>
        <v/>
      </c>
      <c r="E485" s="56">
        <f>IF($B485=0,"",IF(Inputs!$B$8="","",IF($AF485=0,E484,SUMIFS(Data!$J$10:$J$3209,Data!$I$10:$I$3209,"&gt;="&amp;$A485,Data!$I$10:$I$3209,"&lt;"&amp;$A485+1)/$AF485)))</f>
        <v/>
      </c>
      <c r="F485" s="56">
        <f>IF($B485=0,"",IF(Inputs!$B$9="","",IF($AG485=0,F484,SUMIFS(Data!$N$10:$N$3209,Data!$M$10:$M$3209,"&gt;="&amp;$A485,Data!$M$10:$M$3209,"&lt;"&amp;$A485+1)/$AG485)))</f>
        <v/>
      </c>
      <c r="G485" s="56">
        <f>IF($B485=0,"",IF(Inputs!$B$10="","",IF($AH485=0,G484,SUMIFS(Data!$R$10:$R$3209,Data!$Q$10:$Q$3209,"&gt;="&amp;$A485,Data!$Q$10:$Q$3209,"&lt;"&amp;$A485+1)/$AH485)))</f>
        <v/>
      </c>
      <c r="I485" s="54">
        <f>IF($B485=0,NA(),IF($C485="",NA(),IF(C$8="",NA(),IF(N(C$8)=0,NA(),IF(Inputs!$C$17="Rebased to 100",$C485/C$8*100,$C485)))))</f>
        <v/>
      </c>
      <c r="J485" s="54">
        <f>IF($B485=0,NA(),IF($D485="",NA(),IF(D$8="",NA(),IF(N(D$8)=0,NA(),IF(Inputs!$C$17="Rebased to 100",$D485/D$8*100,$D485)))))</f>
        <v/>
      </c>
      <c r="K485" s="54">
        <f>IF($B485=0,NA(),IF($E485="",NA(),IF(E$8="",NA(),IF(N(E$8)=0,NA(),IF(Inputs!$C$17="Rebased to 100",$E485/E$8*100,$E485)))))</f>
        <v/>
      </c>
      <c r="L485" s="54">
        <f>IF($B485=0,NA(),IF($F485="",NA(),IF(F$8="",NA(),IF(N(F$8)=0,NA(),IF(Inputs!$C$17="Rebased to 100",$F485/F$8*100,$F485)))))</f>
        <v/>
      </c>
      <c r="M485" s="54">
        <f>IF($B485=0,NA(),IF($G485="",NA(),IF(G$8="",NA(),IF(N(G$8)=0,NA(),IF(Inputs!$C$17="Rebased to 100",$G485/G$8*100,$G485)))))</f>
        <v/>
      </c>
      <c r="N485" s="54">
        <f>IF($B485=0,NA(),IF(Inputs!$C$18&lt;&gt;"Yes",NA(),IF(COUNT(I485,J485,K485,L485,M485)=0,NA(),MIN(I485,J485,K485,L485,M485))))</f>
        <v/>
      </c>
      <c r="O485" s="54">
        <f>IF($B485=0,NA(),IF(Inputs!$B$24&lt;&gt;"Yes",NA(),Inputs!$D$24*Inputs!$C$35))</f>
        <v/>
      </c>
      <c r="P485" s="54">
        <f>IF($B485=0,NA(),IF(Inputs!$B$25&lt;&gt;"Yes",NA(),Inputs!$D$25*Inputs!$C$35))</f>
        <v/>
      </c>
      <c r="Q485" s="54">
        <f>IF($B485=0,NA(),IF(Inputs!$B$26&lt;&gt;"Yes",NA(),Inputs!$D$26*Inputs!$C$35))</f>
        <v/>
      </c>
      <c r="R485" s="54">
        <f>IF($B485=0,NA(),IF(Inputs!$B$27&lt;&gt;"Yes",NA(),Inputs!$D$27*Inputs!$C$35))</f>
        <v/>
      </c>
      <c r="S485" s="54">
        <f>IF($B485=0,NA(),IF(Inputs!$B$28&lt;&gt;"Yes",NA(),Inputs!$D$28*Inputs!$C$35))</f>
        <v/>
      </c>
      <c r="T485" s="54">
        <f>IF($B485=0,NA(),IF(Inputs!$B$29&lt;&gt;"Yes",NA(),Inputs!$D$29*Inputs!$C$35))</f>
        <v/>
      </c>
      <c r="AD485">
        <f>IF($B485=0,0,IF(Inputs!$B$6="",0,COUNTIFS(Data!$A$10:$A$3209,"&gt;="&amp;$A485,Data!$A$10:$A$3209,"&lt;"&amp;$A485+1)))</f>
        <v/>
      </c>
      <c r="AE485">
        <f>IF($B485=0,0,IF(Inputs!$B$7="",0,COUNTIFS(Data!$E$10:$E$3209,"&gt;="&amp;$A485,Data!$E$10:$E$3209,"&lt;"&amp;$A485+1)))</f>
        <v/>
      </c>
      <c r="AF485">
        <f>IF($B485=0,0,IF(Inputs!$B$8="",0,COUNTIFS(Data!$I$10:$I$3209,"&gt;="&amp;$A485,Data!$I$10:$I$3209,"&lt;"&amp;$A485+1)))</f>
        <v/>
      </c>
      <c r="AG485">
        <f>IF($B485=0,0,IF(Inputs!$B$9="",0,COUNTIFS(Data!$M$10:$M$3209,"&gt;="&amp;$A485,Data!$M$10:$M$3209,"&lt;"&amp;$A485+1)))</f>
        <v/>
      </c>
      <c r="AH485">
        <f>IF($B485=0,0,IF(Inputs!$B$10="",0,COUNTIFS(Data!$Q$10:$Q$3209,"&gt;="&amp;$A485,Data!$Q$10:$Q$3209,"&lt;"&amp;$A485+1)))</f>
        <v/>
      </c>
    </row>
    <row r="486">
      <c r="A486" s="55">
        <f>MIN(Inputs!$C$15,$A485+IF(WEEKDAY($A485,2)=5,3,1))</f>
        <v/>
      </c>
      <c r="B486">
        <f>IF($A486&gt;$A485,1,0)</f>
        <v/>
      </c>
      <c r="C486" s="56">
        <f>IF($B486=0,"",IF(Inputs!$B$6="","",IF($AD486=0,C485,SUMIFS(Data!$B$10:$B$3209,Data!$A$10:$A$3209,"&gt;="&amp;$A486,Data!$A$10:$A$3209,"&lt;"&amp;$A486+1)/$AD486)))</f>
        <v/>
      </c>
      <c r="D486" s="56">
        <f>IF($B486=0,"",IF(Inputs!$B$7="","",IF($AE486=0,D485,SUMIFS(Data!$F$10:$F$3209,Data!$E$10:$E$3209,"&gt;="&amp;$A486,Data!$E$10:$E$3209,"&lt;"&amp;$A486+1)/$AE486)))</f>
        <v/>
      </c>
      <c r="E486" s="56">
        <f>IF($B486=0,"",IF(Inputs!$B$8="","",IF($AF486=0,E485,SUMIFS(Data!$J$10:$J$3209,Data!$I$10:$I$3209,"&gt;="&amp;$A486,Data!$I$10:$I$3209,"&lt;"&amp;$A486+1)/$AF486)))</f>
        <v/>
      </c>
      <c r="F486" s="56">
        <f>IF($B486=0,"",IF(Inputs!$B$9="","",IF($AG486=0,F485,SUMIFS(Data!$N$10:$N$3209,Data!$M$10:$M$3209,"&gt;="&amp;$A486,Data!$M$10:$M$3209,"&lt;"&amp;$A486+1)/$AG486)))</f>
        <v/>
      </c>
      <c r="G486" s="56">
        <f>IF($B486=0,"",IF(Inputs!$B$10="","",IF($AH486=0,G485,SUMIFS(Data!$R$10:$R$3209,Data!$Q$10:$Q$3209,"&gt;="&amp;$A486,Data!$Q$10:$Q$3209,"&lt;"&amp;$A486+1)/$AH486)))</f>
        <v/>
      </c>
      <c r="I486" s="54">
        <f>IF($B486=0,NA(),IF($C486="",NA(),IF(C$8="",NA(),IF(N(C$8)=0,NA(),IF(Inputs!$C$17="Rebased to 100",$C486/C$8*100,$C486)))))</f>
        <v/>
      </c>
      <c r="J486" s="54">
        <f>IF($B486=0,NA(),IF($D486="",NA(),IF(D$8="",NA(),IF(N(D$8)=0,NA(),IF(Inputs!$C$17="Rebased to 100",$D486/D$8*100,$D486)))))</f>
        <v/>
      </c>
      <c r="K486" s="54">
        <f>IF($B486=0,NA(),IF($E486="",NA(),IF(E$8="",NA(),IF(N(E$8)=0,NA(),IF(Inputs!$C$17="Rebased to 100",$E486/E$8*100,$E486)))))</f>
        <v/>
      </c>
      <c r="L486" s="54">
        <f>IF($B486=0,NA(),IF($F486="",NA(),IF(F$8="",NA(),IF(N(F$8)=0,NA(),IF(Inputs!$C$17="Rebased to 100",$F486/F$8*100,$F486)))))</f>
        <v/>
      </c>
      <c r="M486" s="54">
        <f>IF($B486=0,NA(),IF($G486="",NA(),IF(G$8="",NA(),IF(N(G$8)=0,NA(),IF(Inputs!$C$17="Rebased to 100",$G486/G$8*100,$G486)))))</f>
        <v/>
      </c>
      <c r="N486" s="54">
        <f>IF($B486=0,NA(),IF(Inputs!$C$18&lt;&gt;"Yes",NA(),IF(COUNT(I486,J486,K486,L486,M486)=0,NA(),MIN(I486,J486,K486,L486,M486))))</f>
        <v/>
      </c>
      <c r="O486" s="54">
        <f>IF($B486=0,NA(),IF(Inputs!$B$24&lt;&gt;"Yes",NA(),Inputs!$D$24*Inputs!$C$35))</f>
        <v/>
      </c>
      <c r="P486" s="54">
        <f>IF($B486=0,NA(),IF(Inputs!$B$25&lt;&gt;"Yes",NA(),Inputs!$D$25*Inputs!$C$35))</f>
        <v/>
      </c>
      <c r="Q486" s="54">
        <f>IF($B486=0,NA(),IF(Inputs!$B$26&lt;&gt;"Yes",NA(),Inputs!$D$26*Inputs!$C$35))</f>
        <v/>
      </c>
      <c r="R486" s="54">
        <f>IF($B486=0,NA(),IF(Inputs!$B$27&lt;&gt;"Yes",NA(),Inputs!$D$27*Inputs!$C$35))</f>
        <v/>
      </c>
      <c r="S486" s="54">
        <f>IF($B486=0,NA(),IF(Inputs!$B$28&lt;&gt;"Yes",NA(),Inputs!$D$28*Inputs!$C$35))</f>
        <v/>
      </c>
      <c r="T486" s="54">
        <f>IF($B486=0,NA(),IF(Inputs!$B$29&lt;&gt;"Yes",NA(),Inputs!$D$29*Inputs!$C$35))</f>
        <v/>
      </c>
      <c r="AD486">
        <f>IF($B486=0,0,IF(Inputs!$B$6="",0,COUNTIFS(Data!$A$10:$A$3209,"&gt;="&amp;$A486,Data!$A$10:$A$3209,"&lt;"&amp;$A486+1)))</f>
        <v/>
      </c>
      <c r="AE486">
        <f>IF($B486=0,0,IF(Inputs!$B$7="",0,COUNTIFS(Data!$E$10:$E$3209,"&gt;="&amp;$A486,Data!$E$10:$E$3209,"&lt;"&amp;$A486+1)))</f>
        <v/>
      </c>
      <c r="AF486">
        <f>IF($B486=0,0,IF(Inputs!$B$8="",0,COUNTIFS(Data!$I$10:$I$3209,"&gt;="&amp;$A486,Data!$I$10:$I$3209,"&lt;"&amp;$A486+1)))</f>
        <v/>
      </c>
      <c r="AG486">
        <f>IF($B486=0,0,IF(Inputs!$B$9="",0,COUNTIFS(Data!$M$10:$M$3209,"&gt;="&amp;$A486,Data!$M$10:$M$3209,"&lt;"&amp;$A486+1)))</f>
        <v/>
      </c>
      <c r="AH486">
        <f>IF($B486=0,0,IF(Inputs!$B$10="",0,COUNTIFS(Data!$Q$10:$Q$3209,"&gt;="&amp;$A486,Data!$Q$10:$Q$3209,"&lt;"&amp;$A486+1)))</f>
        <v/>
      </c>
    </row>
    <row r="487">
      <c r="A487" s="55">
        <f>MIN(Inputs!$C$15,$A486+IF(WEEKDAY($A486,2)=5,3,1))</f>
        <v/>
      </c>
      <c r="B487">
        <f>IF($A487&gt;$A486,1,0)</f>
        <v/>
      </c>
      <c r="C487" s="56">
        <f>IF($B487=0,"",IF(Inputs!$B$6="","",IF($AD487=0,C486,SUMIFS(Data!$B$10:$B$3209,Data!$A$10:$A$3209,"&gt;="&amp;$A487,Data!$A$10:$A$3209,"&lt;"&amp;$A487+1)/$AD487)))</f>
        <v/>
      </c>
      <c r="D487" s="56">
        <f>IF($B487=0,"",IF(Inputs!$B$7="","",IF($AE487=0,D486,SUMIFS(Data!$F$10:$F$3209,Data!$E$10:$E$3209,"&gt;="&amp;$A487,Data!$E$10:$E$3209,"&lt;"&amp;$A487+1)/$AE487)))</f>
        <v/>
      </c>
      <c r="E487" s="56">
        <f>IF($B487=0,"",IF(Inputs!$B$8="","",IF($AF487=0,E486,SUMIFS(Data!$J$10:$J$3209,Data!$I$10:$I$3209,"&gt;="&amp;$A487,Data!$I$10:$I$3209,"&lt;"&amp;$A487+1)/$AF487)))</f>
        <v/>
      </c>
      <c r="F487" s="56">
        <f>IF($B487=0,"",IF(Inputs!$B$9="","",IF($AG487=0,F486,SUMIFS(Data!$N$10:$N$3209,Data!$M$10:$M$3209,"&gt;="&amp;$A487,Data!$M$10:$M$3209,"&lt;"&amp;$A487+1)/$AG487)))</f>
        <v/>
      </c>
      <c r="G487" s="56">
        <f>IF($B487=0,"",IF(Inputs!$B$10="","",IF($AH487=0,G486,SUMIFS(Data!$R$10:$R$3209,Data!$Q$10:$Q$3209,"&gt;="&amp;$A487,Data!$Q$10:$Q$3209,"&lt;"&amp;$A487+1)/$AH487)))</f>
        <v/>
      </c>
      <c r="I487" s="54">
        <f>IF($B487=0,NA(),IF($C487="",NA(),IF(C$8="",NA(),IF(N(C$8)=0,NA(),IF(Inputs!$C$17="Rebased to 100",$C487/C$8*100,$C487)))))</f>
        <v/>
      </c>
      <c r="J487" s="54">
        <f>IF($B487=0,NA(),IF($D487="",NA(),IF(D$8="",NA(),IF(N(D$8)=0,NA(),IF(Inputs!$C$17="Rebased to 100",$D487/D$8*100,$D487)))))</f>
        <v/>
      </c>
      <c r="K487" s="54">
        <f>IF($B487=0,NA(),IF($E487="",NA(),IF(E$8="",NA(),IF(N(E$8)=0,NA(),IF(Inputs!$C$17="Rebased to 100",$E487/E$8*100,$E487)))))</f>
        <v/>
      </c>
      <c r="L487" s="54">
        <f>IF($B487=0,NA(),IF($F487="",NA(),IF(F$8="",NA(),IF(N(F$8)=0,NA(),IF(Inputs!$C$17="Rebased to 100",$F487/F$8*100,$F487)))))</f>
        <v/>
      </c>
      <c r="M487" s="54">
        <f>IF($B487=0,NA(),IF($G487="",NA(),IF(G$8="",NA(),IF(N(G$8)=0,NA(),IF(Inputs!$C$17="Rebased to 100",$G487/G$8*100,$G487)))))</f>
        <v/>
      </c>
      <c r="N487" s="54">
        <f>IF($B487=0,NA(),IF(Inputs!$C$18&lt;&gt;"Yes",NA(),IF(COUNT(I487,J487,K487,L487,M487)=0,NA(),MIN(I487,J487,K487,L487,M487))))</f>
        <v/>
      </c>
      <c r="O487" s="54">
        <f>IF($B487=0,NA(),IF(Inputs!$B$24&lt;&gt;"Yes",NA(),Inputs!$D$24*Inputs!$C$35))</f>
        <v/>
      </c>
      <c r="P487" s="54">
        <f>IF($B487=0,NA(),IF(Inputs!$B$25&lt;&gt;"Yes",NA(),Inputs!$D$25*Inputs!$C$35))</f>
        <v/>
      </c>
      <c r="Q487" s="54">
        <f>IF($B487=0,NA(),IF(Inputs!$B$26&lt;&gt;"Yes",NA(),Inputs!$D$26*Inputs!$C$35))</f>
        <v/>
      </c>
      <c r="R487" s="54">
        <f>IF($B487=0,NA(),IF(Inputs!$B$27&lt;&gt;"Yes",NA(),Inputs!$D$27*Inputs!$C$35))</f>
        <v/>
      </c>
      <c r="S487" s="54">
        <f>IF($B487=0,NA(),IF(Inputs!$B$28&lt;&gt;"Yes",NA(),Inputs!$D$28*Inputs!$C$35))</f>
        <v/>
      </c>
      <c r="T487" s="54">
        <f>IF($B487=0,NA(),IF(Inputs!$B$29&lt;&gt;"Yes",NA(),Inputs!$D$29*Inputs!$C$35))</f>
        <v/>
      </c>
      <c r="AD487">
        <f>IF($B487=0,0,IF(Inputs!$B$6="",0,COUNTIFS(Data!$A$10:$A$3209,"&gt;="&amp;$A487,Data!$A$10:$A$3209,"&lt;"&amp;$A487+1)))</f>
        <v/>
      </c>
      <c r="AE487">
        <f>IF($B487=0,0,IF(Inputs!$B$7="",0,COUNTIFS(Data!$E$10:$E$3209,"&gt;="&amp;$A487,Data!$E$10:$E$3209,"&lt;"&amp;$A487+1)))</f>
        <v/>
      </c>
      <c r="AF487">
        <f>IF($B487=0,0,IF(Inputs!$B$8="",0,COUNTIFS(Data!$I$10:$I$3209,"&gt;="&amp;$A487,Data!$I$10:$I$3209,"&lt;"&amp;$A487+1)))</f>
        <v/>
      </c>
      <c r="AG487">
        <f>IF($B487=0,0,IF(Inputs!$B$9="",0,COUNTIFS(Data!$M$10:$M$3209,"&gt;="&amp;$A487,Data!$M$10:$M$3209,"&lt;"&amp;$A487+1)))</f>
        <v/>
      </c>
      <c r="AH487">
        <f>IF($B487=0,0,IF(Inputs!$B$10="",0,COUNTIFS(Data!$Q$10:$Q$3209,"&gt;="&amp;$A487,Data!$Q$10:$Q$3209,"&lt;"&amp;$A487+1)))</f>
        <v/>
      </c>
    </row>
    <row r="488">
      <c r="A488" s="55">
        <f>MIN(Inputs!$C$15,$A487+IF(WEEKDAY($A487,2)=5,3,1))</f>
        <v/>
      </c>
      <c r="B488">
        <f>IF($A488&gt;$A487,1,0)</f>
        <v/>
      </c>
      <c r="C488" s="56">
        <f>IF($B488=0,"",IF(Inputs!$B$6="","",IF($AD488=0,C487,SUMIFS(Data!$B$10:$B$3209,Data!$A$10:$A$3209,"&gt;="&amp;$A488,Data!$A$10:$A$3209,"&lt;"&amp;$A488+1)/$AD488)))</f>
        <v/>
      </c>
      <c r="D488" s="56">
        <f>IF($B488=0,"",IF(Inputs!$B$7="","",IF($AE488=0,D487,SUMIFS(Data!$F$10:$F$3209,Data!$E$10:$E$3209,"&gt;="&amp;$A488,Data!$E$10:$E$3209,"&lt;"&amp;$A488+1)/$AE488)))</f>
        <v/>
      </c>
      <c r="E488" s="56">
        <f>IF($B488=0,"",IF(Inputs!$B$8="","",IF($AF488=0,E487,SUMIFS(Data!$J$10:$J$3209,Data!$I$10:$I$3209,"&gt;="&amp;$A488,Data!$I$10:$I$3209,"&lt;"&amp;$A488+1)/$AF488)))</f>
        <v/>
      </c>
      <c r="F488" s="56">
        <f>IF($B488=0,"",IF(Inputs!$B$9="","",IF($AG488=0,F487,SUMIFS(Data!$N$10:$N$3209,Data!$M$10:$M$3209,"&gt;="&amp;$A488,Data!$M$10:$M$3209,"&lt;"&amp;$A488+1)/$AG488)))</f>
        <v/>
      </c>
      <c r="G488" s="56">
        <f>IF($B488=0,"",IF(Inputs!$B$10="","",IF($AH488=0,G487,SUMIFS(Data!$R$10:$R$3209,Data!$Q$10:$Q$3209,"&gt;="&amp;$A488,Data!$Q$10:$Q$3209,"&lt;"&amp;$A488+1)/$AH488)))</f>
        <v/>
      </c>
      <c r="I488" s="54">
        <f>IF($B488=0,NA(),IF($C488="",NA(),IF(C$8="",NA(),IF(N(C$8)=0,NA(),IF(Inputs!$C$17="Rebased to 100",$C488/C$8*100,$C488)))))</f>
        <v/>
      </c>
      <c r="J488" s="54">
        <f>IF($B488=0,NA(),IF($D488="",NA(),IF(D$8="",NA(),IF(N(D$8)=0,NA(),IF(Inputs!$C$17="Rebased to 100",$D488/D$8*100,$D488)))))</f>
        <v/>
      </c>
      <c r="K488" s="54">
        <f>IF($B488=0,NA(),IF($E488="",NA(),IF(E$8="",NA(),IF(N(E$8)=0,NA(),IF(Inputs!$C$17="Rebased to 100",$E488/E$8*100,$E488)))))</f>
        <v/>
      </c>
      <c r="L488" s="54">
        <f>IF($B488=0,NA(),IF($F488="",NA(),IF(F$8="",NA(),IF(N(F$8)=0,NA(),IF(Inputs!$C$17="Rebased to 100",$F488/F$8*100,$F488)))))</f>
        <v/>
      </c>
      <c r="M488" s="54">
        <f>IF($B488=0,NA(),IF($G488="",NA(),IF(G$8="",NA(),IF(N(G$8)=0,NA(),IF(Inputs!$C$17="Rebased to 100",$G488/G$8*100,$G488)))))</f>
        <v/>
      </c>
      <c r="N488" s="54">
        <f>IF($B488=0,NA(),IF(Inputs!$C$18&lt;&gt;"Yes",NA(),IF(COUNT(I488,J488,K488,L488,M488)=0,NA(),MIN(I488,J488,K488,L488,M488))))</f>
        <v/>
      </c>
      <c r="O488" s="54">
        <f>IF($B488=0,NA(),IF(Inputs!$B$24&lt;&gt;"Yes",NA(),Inputs!$D$24*Inputs!$C$35))</f>
        <v/>
      </c>
      <c r="P488" s="54">
        <f>IF($B488=0,NA(),IF(Inputs!$B$25&lt;&gt;"Yes",NA(),Inputs!$D$25*Inputs!$C$35))</f>
        <v/>
      </c>
      <c r="Q488" s="54">
        <f>IF($B488=0,NA(),IF(Inputs!$B$26&lt;&gt;"Yes",NA(),Inputs!$D$26*Inputs!$C$35))</f>
        <v/>
      </c>
      <c r="R488" s="54">
        <f>IF($B488=0,NA(),IF(Inputs!$B$27&lt;&gt;"Yes",NA(),Inputs!$D$27*Inputs!$C$35))</f>
        <v/>
      </c>
      <c r="S488" s="54">
        <f>IF($B488=0,NA(),IF(Inputs!$B$28&lt;&gt;"Yes",NA(),Inputs!$D$28*Inputs!$C$35))</f>
        <v/>
      </c>
      <c r="T488" s="54">
        <f>IF($B488=0,NA(),IF(Inputs!$B$29&lt;&gt;"Yes",NA(),Inputs!$D$29*Inputs!$C$35))</f>
        <v/>
      </c>
      <c r="AD488">
        <f>IF($B488=0,0,IF(Inputs!$B$6="",0,COUNTIFS(Data!$A$10:$A$3209,"&gt;="&amp;$A488,Data!$A$10:$A$3209,"&lt;"&amp;$A488+1)))</f>
        <v/>
      </c>
      <c r="AE488">
        <f>IF($B488=0,0,IF(Inputs!$B$7="",0,COUNTIFS(Data!$E$10:$E$3209,"&gt;="&amp;$A488,Data!$E$10:$E$3209,"&lt;"&amp;$A488+1)))</f>
        <v/>
      </c>
      <c r="AF488">
        <f>IF($B488=0,0,IF(Inputs!$B$8="",0,COUNTIFS(Data!$I$10:$I$3209,"&gt;="&amp;$A488,Data!$I$10:$I$3209,"&lt;"&amp;$A488+1)))</f>
        <v/>
      </c>
      <c r="AG488">
        <f>IF($B488=0,0,IF(Inputs!$B$9="",0,COUNTIFS(Data!$M$10:$M$3209,"&gt;="&amp;$A488,Data!$M$10:$M$3209,"&lt;"&amp;$A488+1)))</f>
        <v/>
      </c>
      <c r="AH488">
        <f>IF($B488=0,0,IF(Inputs!$B$10="",0,COUNTIFS(Data!$Q$10:$Q$3209,"&gt;="&amp;$A488,Data!$Q$10:$Q$3209,"&lt;"&amp;$A488+1)))</f>
        <v/>
      </c>
    </row>
    <row r="489">
      <c r="A489" s="55">
        <f>MIN(Inputs!$C$15,$A488+IF(WEEKDAY($A488,2)=5,3,1))</f>
        <v/>
      </c>
      <c r="B489">
        <f>IF($A489&gt;$A488,1,0)</f>
        <v/>
      </c>
      <c r="C489" s="56">
        <f>IF($B489=0,"",IF(Inputs!$B$6="","",IF($AD489=0,C488,SUMIFS(Data!$B$10:$B$3209,Data!$A$10:$A$3209,"&gt;="&amp;$A489,Data!$A$10:$A$3209,"&lt;"&amp;$A489+1)/$AD489)))</f>
        <v/>
      </c>
      <c r="D489" s="56">
        <f>IF($B489=0,"",IF(Inputs!$B$7="","",IF($AE489=0,D488,SUMIFS(Data!$F$10:$F$3209,Data!$E$10:$E$3209,"&gt;="&amp;$A489,Data!$E$10:$E$3209,"&lt;"&amp;$A489+1)/$AE489)))</f>
        <v/>
      </c>
      <c r="E489" s="56">
        <f>IF($B489=0,"",IF(Inputs!$B$8="","",IF($AF489=0,E488,SUMIFS(Data!$J$10:$J$3209,Data!$I$10:$I$3209,"&gt;="&amp;$A489,Data!$I$10:$I$3209,"&lt;"&amp;$A489+1)/$AF489)))</f>
        <v/>
      </c>
      <c r="F489" s="56">
        <f>IF($B489=0,"",IF(Inputs!$B$9="","",IF($AG489=0,F488,SUMIFS(Data!$N$10:$N$3209,Data!$M$10:$M$3209,"&gt;="&amp;$A489,Data!$M$10:$M$3209,"&lt;"&amp;$A489+1)/$AG489)))</f>
        <v/>
      </c>
      <c r="G489" s="56">
        <f>IF($B489=0,"",IF(Inputs!$B$10="","",IF($AH489=0,G488,SUMIFS(Data!$R$10:$R$3209,Data!$Q$10:$Q$3209,"&gt;="&amp;$A489,Data!$Q$10:$Q$3209,"&lt;"&amp;$A489+1)/$AH489)))</f>
        <v/>
      </c>
      <c r="I489" s="54">
        <f>IF($B489=0,NA(),IF($C489="",NA(),IF(C$8="",NA(),IF(N(C$8)=0,NA(),IF(Inputs!$C$17="Rebased to 100",$C489/C$8*100,$C489)))))</f>
        <v/>
      </c>
      <c r="J489" s="54">
        <f>IF($B489=0,NA(),IF($D489="",NA(),IF(D$8="",NA(),IF(N(D$8)=0,NA(),IF(Inputs!$C$17="Rebased to 100",$D489/D$8*100,$D489)))))</f>
        <v/>
      </c>
      <c r="K489" s="54">
        <f>IF($B489=0,NA(),IF($E489="",NA(),IF(E$8="",NA(),IF(N(E$8)=0,NA(),IF(Inputs!$C$17="Rebased to 100",$E489/E$8*100,$E489)))))</f>
        <v/>
      </c>
      <c r="L489" s="54">
        <f>IF($B489=0,NA(),IF($F489="",NA(),IF(F$8="",NA(),IF(N(F$8)=0,NA(),IF(Inputs!$C$17="Rebased to 100",$F489/F$8*100,$F489)))))</f>
        <v/>
      </c>
      <c r="M489" s="54">
        <f>IF($B489=0,NA(),IF($G489="",NA(),IF(G$8="",NA(),IF(N(G$8)=0,NA(),IF(Inputs!$C$17="Rebased to 100",$G489/G$8*100,$G489)))))</f>
        <v/>
      </c>
      <c r="N489" s="54">
        <f>IF($B489=0,NA(),IF(Inputs!$C$18&lt;&gt;"Yes",NA(),IF(COUNT(I489,J489,K489,L489,M489)=0,NA(),MIN(I489,J489,K489,L489,M489))))</f>
        <v/>
      </c>
      <c r="O489" s="54">
        <f>IF($B489=0,NA(),IF(Inputs!$B$24&lt;&gt;"Yes",NA(),Inputs!$D$24*Inputs!$C$35))</f>
        <v/>
      </c>
      <c r="P489" s="54">
        <f>IF($B489=0,NA(),IF(Inputs!$B$25&lt;&gt;"Yes",NA(),Inputs!$D$25*Inputs!$C$35))</f>
        <v/>
      </c>
      <c r="Q489" s="54">
        <f>IF($B489=0,NA(),IF(Inputs!$B$26&lt;&gt;"Yes",NA(),Inputs!$D$26*Inputs!$C$35))</f>
        <v/>
      </c>
      <c r="R489" s="54">
        <f>IF($B489=0,NA(),IF(Inputs!$B$27&lt;&gt;"Yes",NA(),Inputs!$D$27*Inputs!$C$35))</f>
        <v/>
      </c>
      <c r="S489" s="54">
        <f>IF($B489=0,NA(),IF(Inputs!$B$28&lt;&gt;"Yes",NA(),Inputs!$D$28*Inputs!$C$35))</f>
        <v/>
      </c>
      <c r="T489" s="54">
        <f>IF($B489=0,NA(),IF(Inputs!$B$29&lt;&gt;"Yes",NA(),Inputs!$D$29*Inputs!$C$35))</f>
        <v/>
      </c>
      <c r="AD489">
        <f>IF($B489=0,0,IF(Inputs!$B$6="",0,COUNTIFS(Data!$A$10:$A$3209,"&gt;="&amp;$A489,Data!$A$10:$A$3209,"&lt;"&amp;$A489+1)))</f>
        <v/>
      </c>
      <c r="AE489">
        <f>IF($B489=0,0,IF(Inputs!$B$7="",0,COUNTIFS(Data!$E$10:$E$3209,"&gt;="&amp;$A489,Data!$E$10:$E$3209,"&lt;"&amp;$A489+1)))</f>
        <v/>
      </c>
      <c r="AF489">
        <f>IF($B489=0,0,IF(Inputs!$B$8="",0,COUNTIFS(Data!$I$10:$I$3209,"&gt;="&amp;$A489,Data!$I$10:$I$3209,"&lt;"&amp;$A489+1)))</f>
        <v/>
      </c>
      <c r="AG489">
        <f>IF($B489=0,0,IF(Inputs!$B$9="",0,COUNTIFS(Data!$M$10:$M$3209,"&gt;="&amp;$A489,Data!$M$10:$M$3209,"&lt;"&amp;$A489+1)))</f>
        <v/>
      </c>
      <c r="AH489">
        <f>IF($B489=0,0,IF(Inputs!$B$10="",0,COUNTIFS(Data!$Q$10:$Q$3209,"&gt;="&amp;$A489,Data!$Q$10:$Q$3209,"&lt;"&amp;$A489+1)))</f>
        <v/>
      </c>
    </row>
    <row r="490">
      <c r="A490" s="55">
        <f>MIN(Inputs!$C$15,$A489+IF(WEEKDAY($A489,2)=5,3,1))</f>
        <v/>
      </c>
      <c r="B490">
        <f>IF($A490&gt;$A489,1,0)</f>
        <v/>
      </c>
      <c r="C490" s="56">
        <f>IF($B490=0,"",IF(Inputs!$B$6="","",IF($AD490=0,C489,SUMIFS(Data!$B$10:$B$3209,Data!$A$10:$A$3209,"&gt;="&amp;$A490,Data!$A$10:$A$3209,"&lt;"&amp;$A490+1)/$AD490)))</f>
        <v/>
      </c>
      <c r="D490" s="56">
        <f>IF($B490=0,"",IF(Inputs!$B$7="","",IF($AE490=0,D489,SUMIFS(Data!$F$10:$F$3209,Data!$E$10:$E$3209,"&gt;="&amp;$A490,Data!$E$10:$E$3209,"&lt;"&amp;$A490+1)/$AE490)))</f>
        <v/>
      </c>
      <c r="E490" s="56">
        <f>IF($B490=0,"",IF(Inputs!$B$8="","",IF($AF490=0,E489,SUMIFS(Data!$J$10:$J$3209,Data!$I$10:$I$3209,"&gt;="&amp;$A490,Data!$I$10:$I$3209,"&lt;"&amp;$A490+1)/$AF490)))</f>
        <v/>
      </c>
      <c r="F490" s="56">
        <f>IF($B490=0,"",IF(Inputs!$B$9="","",IF($AG490=0,F489,SUMIFS(Data!$N$10:$N$3209,Data!$M$10:$M$3209,"&gt;="&amp;$A490,Data!$M$10:$M$3209,"&lt;"&amp;$A490+1)/$AG490)))</f>
        <v/>
      </c>
      <c r="G490" s="56">
        <f>IF($B490=0,"",IF(Inputs!$B$10="","",IF($AH490=0,G489,SUMIFS(Data!$R$10:$R$3209,Data!$Q$10:$Q$3209,"&gt;="&amp;$A490,Data!$Q$10:$Q$3209,"&lt;"&amp;$A490+1)/$AH490)))</f>
        <v/>
      </c>
      <c r="I490" s="54">
        <f>IF($B490=0,NA(),IF($C490="",NA(),IF(C$8="",NA(),IF(N(C$8)=0,NA(),IF(Inputs!$C$17="Rebased to 100",$C490/C$8*100,$C490)))))</f>
        <v/>
      </c>
      <c r="J490" s="54">
        <f>IF($B490=0,NA(),IF($D490="",NA(),IF(D$8="",NA(),IF(N(D$8)=0,NA(),IF(Inputs!$C$17="Rebased to 100",$D490/D$8*100,$D490)))))</f>
        <v/>
      </c>
      <c r="K490" s="54">
        <f>IF($B490=0,NA(),IF($E490="",NA(),IF(E$8="",NA(),IF(N(E$8)=0,NA(),IF(Inputs!$C$17="Rebased to 100",$E490/E$8*100,$E490)))))</f>
        <v/>
      </c>
      <c r="L490" s="54">
        <f>IF($B490=0,NA(),IF($F490="",NA(),IF(F$8="",NA(),IF(N(F$8)=0,NA(),IF(Inputs!$C$17="Rebased to 100",$F490/F$8*100,$F490)))))</f>
        <v/>
      </c>
      <c r="M490" s="54">
        <f>IF($B490=0,NA(),IF($G490="",NA(),IF(G$8="",NA(),IF(N(G$8)=0,NA(),IF(Inputs!$C$17="Rebased to 100",$G490/G$8*100,$G490)))))</f>
        <v/>
      </c>
      <c r="N490" s="54">
        <f>IF($B490=0,NA(),IF(Inputs!$C$18&lt;&gt;"Yes",NA(),IF(COUNT(I490,J490,K490,L490,M490)=0,NA(),MIN(I490,J490,K490,L490,M490))))</f>
        <v/>
      </c>
      <c r="O490" s="54">
        <f>IF($B490=0,NA(),IF(Inputs!$B$24&lt;&gt;"Yes",NA(),Inputs!$D$24*Inputs!$C$35))</f>
        <v/>
      </c>
      <c r="P490" s="54">
        <f>IF($B490=0,NA(),IF(Inputs!$B$25&lt;&gt;"Yes",NA(),Inputs!$D$25*Inputs!$C$35))</f>
        <v/>
      </c>
      <c r="Q490" s="54">
        <f>IF($B490=0,NA(),IF(Inputs!$B$26&lt;&gt;"Yes",NA(),Inputs!$D$26*Inputs!$C$35))</f>
        <v/>
      </c>
      <c r="R490" s="54">
        <f>IF($B490=0,NA(),IF(Inputs!$B$27&lt;&gt;"Yes",NA(),Inputs!$D$27*Inputs!$C$35))</f>
        <v/>
      </c>
      <c r="S490" s="54">
        <f>IF($B490=0,NA(),IF(Inputs!$B$28&lt;&gt;"Yes",NA(),Inputs!$D$28*Inputs!$C$35))</f>
        <v/>
      </c>
      <c r="T490" s="54">
        <f>IF($B490=0,NA(),IF(Inputs!$B$29&lt;&gt;"Yes",NA(),Inputs!$D$29*Inputs!$C$35))</f>
        <v/>
      </c>
      <c r="AD490">
        <f>IF($B490=0,0,IF(Inputs!$B$6="",0,COUNTIFS(Data!$A$10:$A$3209,"&gt;="&amp;$A490,Data!$A$10:$A$3209,"&lt;"&amp;$A490+1)))</f>
        <v/>
      </c>
      <c r="AE490">
        <f>IF($B490=0,0,IF(Inputs!$B$7="",0,COUNTIFS(Data!$E$10:$E$3209,"&gt;="&amp;$A490,Data!$E$10:$E$3209,"&lt;"&amp;$A490+1)))</f>
        <v/>
      </c>
      <c r="AF490">
        <f>IF($B490=0,0,IF(Inputs!$B$8="",0,COUNTIFS(Data!$I$10:$I$3209,"&gt;="&amp;$A490,Data!$I$10:$I$3209,"&lt;"&amp;$A490+1)))</f>
        <v/>
      </c>
      <c r="AG490">
        <f>IF($B490=0,0,IF(Inputs!$B$9="",0,COUNTIFS(Data!$M$10:$M$3209,"&gt;="&amp;$A490,Data!$M$10:$M$3209,"&lt;"&amp;$A490+1)))</f>
        <v/>
      </c>
      <c r="AH490">
        <f>IF($B490=0,0,IF(Inputs!$B$10="",0,COUNTIFS(Data!$Q$10:$Q$3209,"&gt;="&amp;$A490,Data!$Q$10:$Q$3209,"&lt;"&amp;$A490+1)))</f>
        <v/>
      </c>
    </row>
    <row r="491">
      <c r="A491" s="55">
        <f>MIN(Inputs!$C$15,$A490+IF(WEEKDAY($A490,2)=5,3,1))</f>
        <v/>
      </c>
      <c r="B491">
        <f>IF($A491&gt;$A490,1,0)</f>
        <v/>
      </c>
      <c r="C491" s="56">
        <f>IF($B491=0,"",IF(Inputs!$B$6="","",IF($AD491=0,C490,SUMIFS(Data!$B$10:$B$3209,Data!$A$10:$A$3209,"&gt;="&amp;$A491,Data!$A$10:$A$3209,"&lt;"&amp;$A491+1)/$AD491)))</f>
        <v/>
      </c>
      <c r="D491" s="56">
        <f>IF($B491=0,"",IF(Inputs!$B$7="","",IF($AE491=0,D490,SUMIFS(Data!$F$10:$F$3209,Data!$E$10:$E$3209,"&gt;="&amp;$A491,Data!$E$10:$E$3209,"&lt;"&amp;$A491+1)/$AE491)))</f>
        <v/>
      </c>
      <c r="E491" s="56">
        <f>IF($B491=0,"",IF(Inputs!$B$8="","",IF($AF491=0,E490,SUMIFS(Data!$J$10:$J$3209,Data!$I$10:$I$3209,"&gt;="&amp;$A491,Data!$I$10:$I$3209,"&lt;"&amp;$A491+1)/$AF491)))</f>
        <v/>
      </c>
      <c r="F491" s="56">
        <f>IF($B491=0,"",IF(Inputs!$B$9="","",IF($AG491=0,F490,SUMIFS(Data!$N$10:$N$3209,Data!$M$10:$M$3209,"&gt;="&amp;$A491,Data!$M$10:$M$3209,"&lt;"&amp;$A491+1)/$AG491)))</f>
        <v/>
      </c>
      <c r="G491" s="56">
        <f>IF($B491=0,"",IF(Inputs!$B$10="","",IF($AH491=0,G490,SUMIFS(Data!$R$10:$R$3209,Data!$Q$10:$Q$3209,"&gt;="&amp;$A491,Data!$Q$10:$Q$3209,"&lt;"&amp;$A491+1)/$AH491)))</f>
        <v/>
      </c>
      <c r="I491" s="54">
        <f>IF($B491=0,NA(),IF($C491="",NA(),IF(C$8="",NA(),IF(N(C$8)=0,NA(),IF(Inputs!$C$17="Rebased to 100",$C491/C$8*100,$C491)))))</f>
        <v/>
      </c>
      <c r="J491" s="54">
        <f>IF($B491=0,NA(),IF($D491="",NA(),IF(D$8="",NA(),IF(N(D$8)=0,NA(),IF(Inputs!$C$17="Rebased to 100",$D491/D$8*100,$D491)))))</f>
        <v/>
      </c>
      <c r="K491" s="54">
        <f>IF($B491=0,NA(),IF($E491="",NA(),IF(E$8="",NA(),IF(N(E$8)=0,NA(),IF(Inputs!$C$17="Rebased to 100",$E491/E$8*100,$E491)))))</f>
        <v/>
      </c>
      <c r="L491" s="54">
        <f>IF($B491=0,NA(),IF($F491="",NA(),IF(F$8="",NA(),IF(N(F$8)=0,NA(),IF(Inputs!$C$17="Rebased to 100",$F491/F$8*100,$F491)))))</f>
        <v/>
      </c>
      <c r="M491" s="54">
        <f>IF($B491=0,NA(),IF($G491="",NA(),IF(G$8="",NA(),IF(N(G$8)=0,NA(),IF(Inputs!$C$17="Rebased to 100",$G491/G$8*100,$G491)))))</f>
        <v/>
      </c>
      <c r="N491" s="54">
        <f>IF($B491=0,NA(),IF(Inputs!$C$18&lt;&gt;"Yes",NA(),IF(COUNT(I491,J491,K491,L491,M491)=0,NA(),MIN(I491,J491,K491,L491,M491))))</f>
        <v/>
      </c>
      <c r="O491" s="54">
        <f>IF($B491=0,NA(),IF(Inputs!$B$24&lt;&gt;"Yes",NA(),Inputs!$D$24*Inputs!$C$35))</f>
        <v/>
      </c>
      <c r="P491" s="54">
        <f>IF($B491=0,NA(),IF(Inputs!$B$25&lt;&gt;"Yes",NA(),Inputs!$D$25*Inputs!$C$35))</f>
        <v/>
      </c>
      <c r="Q491" s="54">
        <f>IF($B491=0,NA(),IF(Inputs!$B$26&lt;&gt;"Yes",NA(),Inputs!$D$26*Inputs!$C$35))</f>
        <v/>
      </c>
      <c r="R491" s="54">
        <f>IF($B491=0,NA(),IF(Inputs!$B$27&lt;&gt;"Yes",NA(),Inputs!$D$27*Inputs!$C$35))</f>
        <v/>
      </c>
      <c r="S491" s="54">
        <f>IF($B491=0,NA(),IF(Inputs!$B$28&lt;&gt;"Yes",NA(),Inputs!$D$28*Inputs!$C$35))</f>
        <v/>
      </c>
      <c r="T491" s="54">
        <f>IF($B491=0,NA(),IF(Inputs!$B$29&lt;&gt;"Yes",NA(),Inputs!$D$29*Inputs!$C$35))</f>
        <v/>
      </c>
      <c r="AD491">
        <f>IF($B491=0,0,IF(Inputs!$B$6="",0,COUNTIFS(Data!$A$10:$A$3209,"&gt;="&amp;$A491,Data!$A$10:$A$3209,"&lt;"&amp;$A491+1)))</f>
        <v/>
      </c>
      <c r="AE491">
        <f>IF($B491=0,0,IF(Inputs!$B$7="",0,COUNTIFS(Data!$E$10:$E$3209,"&gt;="&amp;$A491,Data!$E$10:$E$3209,"&lt;"&amp;$A491+1)))</f>
        <v/>
      </c>
      <c r="AF491">
        <f>IF($B491=0,0,IF(Inputs!$B$8="",0,COUNTIFS(Data!$I$10:$I$3209,"&gt;="&amp;$A491,Data!$I$10:$I$3209,"&lt;"&amp;$A491+1)))</f>
        <v/>
      </c>
      <c r="AG491">
        <f>IF($B491=0,0,IF(Inputs!$B$9="",0,COUNTIFS(Data!$M$10:$M$3209,"&gt;="&amp;$A491,Data!$M$10:$M$3209,"&lt;"&amp;$A491+1)))</f>
        <v/>
      </c>
      <c r="AH491">
        <f>IF($B491=0,0,IF(Inputs!$B$10="",0,COUNTIFS(Data!$Q$10:$Q$3209,"&gt;="&amp;$A491,Data!$Q$10:$Q$3209,"&lt;"&amp;$A491+1)))</f>
        <v/>
      </c>
    </row>
    <row r="492">
      <c r="A492" s="55">
        <f>MIN(Inputs!$C$15,$A491+IF(WEEKDAY($A491,2)=5,3,1))</f>
        <v/>
      </c>
      <c r="B492">
        <f>IF($A492&gt;$A491,1,0)</f>
        <v/>
      </c>
      <c r="C492" s="56">
        <f>IF($B492=0,"",IF(Inputs!$B$6="","",IF($AD492=0,C491,SUMIFS(Data!$B$10:$B$3209,Data!$A$10:$A$3209,"&gt;="&amp;$A492,Data!$A$10:$A$3209,"&lt;"&amp;$A492+1)/$AD492)))</f>
        <v/>
      </c>
      <c r="D492" s="56">
        <f>IF($B492=0,"",IF(Inputs!$B$7="","",IF($AE492=0,D491,SUMIFS(Data!$F$10:$F$3209,Data!$E$10:$E$3209,"&gt;="&amp;$A492,Data!$E$10:$E$3209,"&lt;"&amp;$A492+1)/$AE492)))</f>
        <v/>
      </c>
      <c r="E492" s="56">
        <f>IF($B492=0,"",IF(Inputs!$B$8="","",IF($AF492=0,E491,SUMIFS(Data!$J$10:$J$3209,Data!$I$10:$I$3209,"&gt;="&amp;$A492,Data!$I$10:$I$3209,"&lt;"&amp;$A492+1)/$AF492)))</f>
        <v/>
      </c>
      <c r="F492" s="56">
        <f>IF($B492=0,"",IF(Inputs!$B$9="","",IF($AG492=0,F491,SUMIFS(Data!$N$10:$N$3209,Data!$M$10:$M$3209,"&gt;="&amp;$A492,Data!$M$10:$M$3209,"&lt;"&amp;$A492+1)/$AG492)))</f>
        <v/>
      </c>
      <c r="G492" s="56">
        <f>IF($B492=0,"",IF(Inputs!$B$10="","",IF($AH492=0,G491,SUMIFS(Data!$R$10:$R$3209,Data!$Q$10:$Q$3209,"&gt;="&amp;$A492,Data!$Q$10:$Q$3209,"&lt;"&amp;$A492+1)/$AH492)))</f>
        <v/>
      </c>
      <c r="I492" s="54">
        <f>IF($B492=0,NA(),IF($C492="",NA(),IF(C$8="",NA(),IF(N(C$8)=0,NA(),IF(Inputs!$C$17="Rebased to 100",$C492/C$8*100,$C492)))))</f>
        <v/>
      </c>
      <c r="J492" s="54">
        <f>IF($B492=0,NA(),IF($D492="",NA(),IF(D$8="",NA(),IF(N(D$8)=0,NA(),IF(Inputs!$C$17="Rebased to 100",$D492/D$8*100,$D492)))))</f>
        <v/>
      </c>
      <c r="K492" s="54">
        <f>IF($B492=0,NA(),IF($E492="",NA(),IF(E$8="",NA(),IF(N(E$8)=0,NA(),IF(Inputs!$C$17="Rebased to 100",$E492/E$8*100,$E492)))))</f>
        <v/>
      </c>
      <c r="L492" s="54">
        <f>IF($B492=0,NA(),IF($F492="",NA(),IF(F$8="",NA(),IF(N(F$8)=0,NA(),IF(Inputs!$C$17="Rebased to 100",$F492/F$8*100,$F492)))))</f>
        <v/>
      </c>
      <c r="M492" s="54">
        <f>IF($B492=0,NA(),IF($G492="",NA(),IF(G$8="",NA(),IF(N(G$8)=0,NA(),IF(Inputs!$C$17="Rebased to 100",$G492/G$8*100,$G492)))))</f>
        <v/>
      </c>
      <c r="N492" s="54">
        <f>IF($B492=0,NA(),IF(Inputs!$C$18&lt;&gt;"Yes",NA(),IF(COUNT(I492,J492,K492,L492,M492)=0,NA(),MIN(I492,J492,K492,L492,M492))))</f>
        <v/>
      </c>
      <c r="O492" s="54">
        <f>IF($B492=0,NA(),IF(Inputs!$B$24&lt;&gt;"Yes",NA(),Inputs!$D$24*Inputs!$C$35))</f>
        <v/>
      </c>
      <c r="P492" s="54">
        <f>IF($B492=0,NA(),IF(Inputs!$B$25&lt;&gt;"Yes",NA(),Inputs!$D$25*Inputs!$C$35))</f>
        <v/>
      </c>
      <c r="Q492" s="54">
        <f>IF($B492=0,NA(),IF(Inputs!$B$26&lt;&gt;"Yes",NA(),Inputs!$D$26*Inputs!$C$35))</f>
        <v/>
      </c>
      <c r="R492" s="54">
        <f>IF($B492=0,NA(),IF(Inputs!$B$27&lt;&gt;"Yes",NA(),Inputs!$D$27*Inputs!$C$35))</f>
        <v/>
      </c>
      <c r="S492" s="54">
        <f>IF($B492=0,NA(),IF(Inputs!$B$28&lt;&gt;"Yes",NA(),Inputs!$D$28*Inputs!$C$35))</f>
        <v/>
      </c>
      <c r="T492" s="54">
        <f>IF($B492=0,NA(),IF(Inputs!$B$29&lt;&gt;"Yes",NA(),Inputs!$D$29*Inputs!$C$35))</f>
        <v/>
      </c>
      <c r="AD492">
        <f>IF($B492=0,0,IF(Inputs!$B$6="",0,COUNTIFS(Data!$A$10:$A$3209,"&gt;="&amp;$A492,Data!$A$10:$A$3209,"&lt;"&amp;$A492+1)))</f>
        <v/>
      </c>
      <c r="AE492">
        <f>IF($B492=0,0,IF(Inputs!$B$7="",0,COUNTIFS(Data!$E$10:$E$3209,"&gt;="&amp;$A492,Data!$E$10:$E$3209,"&lt;"&amp;$A492+1)))</f>
        <v/>
      </c>
      <c r="AF492">
        <f>IF($B492=0,0,IF(Inputs!$B$8="",0,COUNTIFS(Data!$I$10:$I$3209,"&gt;="&amp;$A492,Data!$I$10:$I$3209,"&lt;"&amp;$A492+1)))</f>
        <v/>
      </c>
      <c r="AG492">
        <f>IF($B492=0,0,IF(Inputs!$B$9="",0,COUNTIFS(Data!$M$10:$M$3209,"&gt;="&amp;$A492,Data!$M$10:$M$3209,"&lt;"&amp;$A492+1)))</f>
        <v/>
      </c>
      <c r="AH492">
        <f>IF($B492=0,0,IF(Inputs!$B$10="",0,COUNTIFS(Data!$Q$10:$Q$3209,"&gt;="&amp;$A492,Data!$Q$10:$Q$3209,"&lt;"&amp;$A492+1)))</f>
        <v/>
      </c>
    </row>
    <row r="493">
      <c r="A493" s="55">
        <f>MIN(Inputs!$C$15,$A492+IF(WEEKDAY($A492,2)=5,3,1))</f>
        <v/>
      </c>
      <c r="B493">
        <f>IF($A493&gt;$A492,1,0)</f>
        <v/>
      </c>
      <c r="C493" s="56">
        <f>IF($B493=0,"",IF(Inputs!$B$6="","",IF($AD493=0,C492,SUMIFS(Data!$B$10:$B$3209,Data!$A$10:$A$3209,"&gt;="&amp;$A493,Data!$A$10:$A$3209,"&lt;"&amp;$A493+1)/$AD493)))</f>
        <v/>
      </c>
      <c r="D493" s="56">
        <f>IF($B493=0,"",IF(Inputs!$B$7="","",IF($AE493=0,D492,SUMIFS(Data!$F$10:$F$3209,Data!$E$10:$E$3209,"&gt;="&amp;$A493,Data!$E$10:$E$3209,"&lt;"&amp;$A493+1)/$AE493)))</f>
        <v/>
      </c>
      <c r="E493" s="56">
        <f>IF($B493=0,"",IF(Inputs!$B$8="","",IF($AF493=0,E492,SUMIFS(Data!$J$10:$J$3209,Data!$I$10:$I$3209,"&gt;="&amp;$A493,Data!$I$10:$I$3209,"&lt;"&amp;$A493+1)/$AF493)))</f>
        <v/>
      </c>
      <c r="F493" s="56">
        <f>IF($B493=0,"",IF(Inputs!$B$9="","",IF($AG493=0,F492,SUMIFS(Data!$N$10:$N$3209,Data!$M$10:$M$3209,"&gt;="&amp;$A493,Data!$M$10:$M$3209,"&lt;"&amp;$A493+1)/$AG493)))</f>
        <v/>
      </c>
      <c r="G493" s="56">
        <f>IF($B493=0,"",IF(Inputs!$B$10="","",IF($AH493=0,G492,SUMIFS(Data!$R$10:$R$3209,Data!$Q$10:$Q$3209,"&gt;="&amp;$A493,Data!$Q$10:$Q$3209,"&lt;"&amp;$A493+1)/$AH493)))</f>
        <v/>
      </c>
      <c r="I493" s="54">
        <f>IF($B493=0,NA(),IF($C493="",NA(),IF(C$8="",NA(),IF(N(C$8)=0,NA(),IF(Inputs!$C$17="Rebased to 100",$C493/C$8*100,$C493)))))</f>
        <v/>
      </c>
      <c r="J493" s="54">
        <f>IF($B493=0,NA(),IF($D493="",NA(),IF(D$8="",NA(),IF(N(D$8)=0,NA(),IF(Inputs!$C$17="Rebased to 100",$D493/D$8*100,$D493)))))</f>
        <v/>
      </c>
      <c r="K493" s="54">
        <f>IF($B493=0,NA(),IF($E493="",NA(),IF(E$8="",NA(),IF(N(E$8)=0,NA(),IF(Inputs!$C$17="Rebased to 100",$E493/E$8*100,$E493)))))</f>
        <v/>
      </c>
      <c r="L493" s="54">
        <f>IF($B493=0,NA(),IF($F493="",NA(),IF(F$8="",NA(),IF(N(F$8)=0,NA(),IF(Inputs!$C$17="Rebased to 100",$F493/F$8*100,$F493)))))</f>
        <v/>
      </c>
      <c r="M493" s="54">
        <f>IF($B493=0,NA(),IF($G493="",NA(),IF(G$8="",NA(),IF(N(G$8)=0,NA(),IF(Inputs!$C$17="Rebased to 100",$G493/G$8*100,$G493)))))</f>
        <v/>
      </c>
      <c r="N493" s="54">
        <f>IF($B493=0,NA(),IF(Inputs!$C$18&lt;&gt;"Yes",NA(),IF(COUNT(I493,J493,K493,L493,M493)=0,NA(),MIN(I493,J493,K493,L493,M493))))</f>
        <v/>
      </c>
      <c r="O493" s="54">
        <f>IF($B493=0,NA(),IF(Inputs!$B$24&lt;&gt;"Yes",NA(),Inputs!$D$24*Inputs!$C$35))</f>
        <v/>
      </c>
      <c r="P493" s="54">
        <f>IF($B493=0,NA(),IF(Inputs!$B$25&lt;&gt;"Yes",NA(),Inputs!$D$25*Inputs!$C$35))</f>
        <v/>
      </c>
      <c r="Q493" s="54">
        <f>IF($B493=0,NA(),IF(Inputs!$B$26&lt;&gt;"Yes",NA(),Inputs!$D$26*Inputs!$C$35))</f>
        <v/>
      </c>
      <c r="R493" s="54">
        <f>IF($B493=0,NA(),IF(Inputs!$B$27&lt;&gt;"Yes",NA(),Inputs!$D$27*Inputs!$C$35))</f>
        <v/>
      </c>
      <c r="S493" s="54">
        <f>IF($B493=0,NA(),IF(Inputs!$B$28&lt;&gt;"Yes",NA(),Inputs!$D$28*Inputs!$C$35))</f>
        <v/>
      </c>
      <c r="T493" s="54">
        <f>IF($B493=0,NA(),IF(Inputs!$B$29&lt;&gt;"Yes",NA(),Inputs!$D$29*Inputs!$C$35))</f>
        <v/>
      </c>
      <c r="AD493">
        <f>IF($B493=0,0,IF(Inputs!$B$6="",0,COUNTIFS(Data!$A$10:$A$3209,"&gt;="&amp;$A493,Data!$A$10:$A$3209,"&lt;"&amp;$A493+1)))</f>
        <v/>
      </c>
      <c r="AE493">
        <f>IF($B493=0,0,IF(Inputs!$B$7="",0,COUNTIFS(Data!$E$10:$E$3209,"&gt;="&amp;$A493,Data!$E$10:$E$3209,"&lt;"&amp;$A493+1)))</f>
        <v/>
      </c>
      <c r="AF493">
        <f>IF($B493=0,0,IF(Inputs!$B$8="",0,COUNTIFS(Data!$I$10:$I$3209,"&gt;="&amp;$A493,Data!$I$10:$I$3209,"&lt;"&amp;$A493+1)))</f>
        <v/>
      </c>
      <c r="AG493">
        <f>IF($B493=0,0,IF(Inputs!$B$9="",0,COUNTIFS(Data!$M$10:$M$3209,"&gt;="&amp;$A493,Data!$M$10:$M$3209,"&lt;"&amp;$A493+1)))</f>
        <v/>
      </c>
      <c r="AH493">
        <f>IF($B493=0,0,IF(Inputs!$B$10="",0,COUNTIFS(Data!$Q$10:$Q$3209,"&gt;="&amp;$A493,Data!$Q$10:$Q$3209,"&lt;"&amp;$A493+1)))</f>
        <v/>
      </c>
    </row>
    <row r="494">
      <c r="A494" s="55">
        <f>MIN(Inputs!$C$15,$A493+IF(WEEKDAY($A493,2)=5,3,1))</f>
        <v/>
      </c>
      <c r="B494">
        <f>IF($A494&gt;$A493,1,0)</f>
        <v/>
      </c>
      <c r="C494" s="56">
        <f>IF($B494=0,"",IF(Inputs!$B$6="","",IF($AD494=0,C493,SUMIFS(Data!$B$10:$B$3209,Data!$A$10:$A$3209,"&gt;="&amp;$A494,Data!$A$10:$A$3209,"&lt;"&amp;$A494+1)/$AD494)))</f>
        <v/>
      </c>
      <c r="D494" s="56">
        <f>IF($B494=0,"",IF(Inputs!$B$7="","",IF($AE494=0,D493,SUMIFS(Data!$F$10:$F$3209,Data!$E$10:$E$3209,"&gt;="&amp;$A494,Data!$E$10:$E$3209,"&lt;"&amp;$A494+1)/$AE494)))</f>
        <v/>
      </c>
      <c r="E494" s="56">
        <f>IF($B494=0,"",IF(Inputs!$B$8="","",IF($AF494=0,E493,SUMIFS(Data!$J$10:$J$3209,Data!$I$10:$I$3209,"&gt;="&amp;$A494,Data!$I$10:$I$3209,"&lt;"&amp;$A494+1)/$AF494)))</f>
        <v/>
      </c>
      <c r="F494" s="56">
        <f>IF($B494=0,"",IF(Inputs!$B$9="","",IF($AG494=0,F493,SUMIFS(Data!$N$10:$N$3209,Data!$M$10:$M$3209,"&gt;="&amp;$A494,Data!$M$10:$M$3209,"&lt;"&amp;$A494+1)/$AG494)))</f>
        <v/>
      </c>
      <c r="G494" s="56">
        <f>IF($B494=0,"",IF(Inputs!$B$10="","",IF($AH494=0,G493,SUMIFS(Data!$R$10:$R$3209,Data!$Q$10:$Q$3209,"&gt;="&amp;$A494,Data!$Q$10:$Q$3209,"&lt;"&amp;$A494+1)/$AH494)))</f>
        <v/>
      </c>
      <c r="I494" s="54">
        <f>IF($B494=0,NA(),IF($C494="",NA(),IF(C$8="",NA(),IF(N(C$8)=0,NA(),IF(Inputs!$C$17="Rebased to 100",$C494/C$8*100,$C494)))))</f>
        <v/>
      </c>
      <c r="J494" s="54">
        <f>IF($B494=0,NA(),IF($D494="",NA(),IF(D$8="",NA(),IF(N(D$8)=0,NA(),IF(Inputs!$C$17="Rebased to 100",$D494/D$8*100,$D494)))))</f>
        <v/>
      </c>
      <c r="K494" s="54">
        <f>IF($B494=0,NA(),IF($E494="",NA(),IF(E$8="",NA(),IF(N(E$8)=0,NA(),IF(Inputs!$C$17="Rebased to 100",$E494/E$8*100,$E494)))))</f>
        <v/>
      </c>
      <c r="L494" s="54">
        <f>IF($B494=0,NA(),IF($F494="",NA(),IF(F$8="",NA(),IF(N(F$8)=0,NA(),IF(Inputs!$C$17="Rebased to 100",$F494/F$8*100,$F494)))))</f>
        <v/>
      </c>
      <c r="M494" s="54">
        <f>IF($B494=0,NA(),IF($G494="",NA(),IF(G$8="",NA(),IF(N(G$8)=0,NA(),IF(Inputs!$C$17="Rebased to 100",$G494/G$8*100,$G494)))))</f>
        <v/>
      </c>
      <c r="N494" s="54">
        <f>IF($B494=0,NA(),IF(Inputs!$C$18&lt;&gt;"Yes",NA(),IF(COUNT(I494,J494,K494,L494,M494)=0,NA(),MIN(I494,J494,K494,L494,M494))))</f>
        <v/>
      </c>
      <c r="O494" s="54">
        <f>IF($B494=0,NA(),IF(Inputs!$B$24&lt;&gt;"Yes",NA(),Inputs!$D$24*Inputs!$C$35))</f>
        <v/>
      </c>
      <c r="P494" s="54">
        <f>IF($B494=0,NA(),IF(Inputs!$B$25&lt;&gt;"Yes",NA(),Inputs!$D$25*Inputs!$C$35))</f>
        <v/>
      </c>
      <c r="Q494" s="54">
        <f>IF($B494=0,NA(),IF(Inputs!$B$26&lt;&gt;"Yes",NA(),Inputs!$D$26*Inputs!$C$35))</f>
        <v/>
      </c>
      <c r="R494" s="54">
        <f>IF($B494=0,NA(),IF(Inputs!$B$27&lt;&gt;"Yes",NA(),Inputs!$D$27*Inputs!$C$35))</f>
        <v/>
      </c>
      <c r="S494" s="54">
        <f>IF($B494=0,NA(),IF(Inputs!$B$28&lt;&gt;"Yes",NA(),Inputs!$D$28*Inputs!$C$35))</f>
        <v/>
      </c>
      <c r="T494" s="54">
        <f>IF($B494=0,NA(),IF(Inputs!$B$29&lt;&gt;"Yes",NA(),Inputs!$D$29*Inputs!$C$35))</f>
        <v/>
      </c>
      <c r="AD494">
        <f>IF($B494=0,0,IF(Inputs!$B$6="",0,COUNTIFS(Data!$A$10:$A$3209,"&gt;="&amp;$A494,Data!$A$10:$A$3209,"&lt;"&amp;$A494+1)))</f>
        <v/>
      </c>
      <c r="AE494">
        <f>IF($B494=0,0,IF(Inputs!$B$7="",0,COUNTIFS(Data!$E$10:$E$3209,"&gt;="&amp;$A494,Data!$E$10:$E$3209,"&lt;"&amp;$A494+1)))</f>
        <v/>
      </c>
      <c r="AF494">
        <f>IF($B494=0,0,IF(Inputs!$B$8="",0,COUNTIFS(Data!$I$10:$I$3209,"&gt;="&amp;$A494,Data!$I$10:$I$3209,"&lt;"&amp;$A494+1)))</f>
        <v/>
      </c>
      <c r="AG494">
        <f>IF($B494=0,0,IF(Inputs!$B$9="",0,COUNTIFS(Data!$M$10:$M$3209,"&gt;="&amp;$A494,Data!$M$10:$M$3209,"&lt;"&amp;$A494+1)))</f>
        <v/>
      </c>
      <c r="AH494">
        <f>IF($B494=0,0,IF(Inputs!$B$10="",0,COUNTIFS(Data!$Q$10:$Q$3209,"&gt;="&amp;$A494,Data!$Q$10:$Q$3209,"&lt;"&amp;$A494+1)))</f>
        <v/>
      </c>
    </row>
    <row r="495">
      <c r="A495" s="55">
        <f>MIN(Inputs!$C$15,$A494+IF(WEEKDAY($A494,2)=5,3,1))</f>
        <v/>
      </c>
      <c r="B495">
        <f>IF($A495&gt;$A494,1,0)</f>
        <v/>
      </c>
      <c r="C495" s="56">
        <f>IF($B495=0,"",IF(Inputs!$B$6="","",IF($AD495=0,C494,SUMIFS(Data!$B$10:$B$3209,Data!$A$10:$A$3209,"&gt;="&amp;$A495,Data!$A$10:$A$3209,"&lt;"&amp;$A495+1)/$AD495)))</f>
        <v/>
      </c>
      <c r="D495" s="56">
        <f>IF($B495=0,"",IF(Inputs!$B$7="","",IF($AE495=0,D494,SUMIFS(Data!$F$10:$F$3209,Data!$E$10:$E$3209,"&gt;="&amp;$A495,Data!$E$10:$E$3209,"&lt;"&amp;$A495+1)/$AE495)))</f>
        <v/>
      </c>
      <c r="E495" s="56">
        <f>IF($B495=0,"",IF(Inputs!$B$8="","",IF($AF495=0,E494,SUMIFS(Data!$J$10:$J$3209,Data!$I$10:$I$3209,"&gt;="&amp;$A495,Data!$I$10:$I$3209,"&lt;"&amp;$A495+1)/$AF495)))</f>
        <v/>
      </c>
      <c r="F495" s="56">
        <f>IF($B495=0,"",IF(Inputs!$B$9="","",IF($AG495=0,F494,SUMIFS(Data!$N$10:$N$3209,Data!$M$10:$M$3209,"&gt;="&amp;$A495,Data!$M$10:$M$3209,"&lt;"&amp;$A495+1)/$AG495)))</f>
        <v/>
      </c>
      <c r="G495" s="56">
        <f>IF($B495=0,"",IF(Inputs!$B$10="","",IF($AH495=0,G494,SUMIFS(Data!$R$10:$R$3209,Data!$Q$10:$Q$3209,"&gt;="&amp;$A495,Data!$Q$10:$Q$3209,"&lt;"&amp;$A495+1)/$AH495)))</f>
        <v/>
      </c>
      <c r="I495" s="54">
        <f>IF($B495=0,NA(),IF($C495="",NA(),IF(C$8="",NA(),IF(N(C$8)=0,NA(),IF(Inputs!$C$17="Rebased to 100",$C495/C$8*100,$C495)))))</f>
        <v/>
      </c>
      <c r="J495" s="54">
        <f>IF($B495=0,NA(),IF($D495="",NA(),IF(D$8="",NA(),IF(N(D$8)=0,NA(),IF(Inputs!$C$17="Rebased to 100",$D495/D$8*100,$D495)))))</f>
        <v/>
      </c>
      <c r="K495" s="54">
        <f>IF($B495=0,NA(),IF($E495="",NA(),IF(E$8="",NA(),IF(N(E$8)=0,NA(),IF(Inputs!$C$17="Rebased to 100",$E495/E$8*100,$E495)))))</f>
        <v/>
      </c>
      <c r="L495" s="54">
        <f>IF($B495=0,NA(),IF($F495="",NA(),IF(F$8="",NA(),IF(N(F$8)=0,NA(),IF(Inputs!$C$17="Rebased to 100",$F495/F$8*100,$F495)))))</f>
        <v/>
      </c>
      <c r="M495" s="54">
        <f>IF($B495=0,NA(),IF($G495="",NA(),IF(G$8="",NA(),IF(N(G$8)=0,NA(),IF(Inputs!$C$17="Rebased to 100",$G495/G$8*100,$G495)))))</f>
        <v/>
      </c>
      <c r="N495" s="54">
        <f>IF($B495=0,NA(),IF(Inputs!$C$18&lt;&gt;"Yes",NA(),IF(COUNT(I495,J495,K495,L495,M495)=0,NA(),MIN(I495,J495,K495,L495,M495))))</f>
        <v/>
      </c>
      <c r="O495" s="54">
        <f>IF($B495=0,NA(),IF(Inputs!$B$24&lt;&gt;"Yes",NA(),Inputs!$D$24*Inputs!$C$35))</f>
        <v/>
      </c>
      <c r="P495" s="54">
        <f>IF($B495=0,NA(),IF(Inputs!$B$25&lt;&gt;"Yes",NA(),Inputs!$D$25*Inputs!$C$35))</f>
        <v/>
      </c>
      <c r="Q495" s="54">
        <f>IF($B495=0,NA(),IF(Inputs!$B$26&lt;&gt;"Yes",NA(),Inputs!$D$26*Inputs!$C$35))</f>
        <v/>
      </c>
      <c r="R495" s="54">
        <f>IF($B495=0,NA(),IF(Inputs!$B$27&lt;&gt;"Yes",NA(),Inputs!$D$27*Inputs!$C$35))</f>
        <v/>
      </c>
      <c r="S495" s="54">
        <f>IF($B495=0,NA(),IF(Inputs!$B$28&lt;&gt;"Yes",NA(),Inputs!$D$28*Inputs!$C$35))</f>
        <v/>
      </c>
      <c r="T495" s="54">
        <f>IF($B495=0,NA(),IF(Inputs!$B$29&lt;&gt;"Yes",NA(),Inputs!$D$29*Inputs!$C$35))</f>
        <v/>
      </c>
      <c r="AD495">
        <f>IF($B495=0,0,IF(Inputs!$B$6="",0,COUNTIFS(Data!$A$10:$A$3209,"&gt;="&amp;$A495,Data!$A$10:$A$3209,"&lt;"&amp;$A495+1)))</f>
        <v/>
      </c>
      <c r="AE495">
        <f>IF($B495=0,0,IF(Inputs!$B$7="",0,COUNTIFS(Data!$E$10:$E$3209,"&gt;="&amp;$A495,Data!$E$10:$E$3209,"&lt;"&amp;$A495+1)))</f>
        <v/>
      </c>
      <c r="AF495">
        <f>IF($B495=0,0,IF(Inputs!$B$8="",0,COUNTIFS(Data!$I$10:$I$3209,"&gt;="&amp;$A495,Data!$I$10:$I$3209,"&lt;"&amp;$A495+1)))</f>
        <v/>
      </c>
      <c r="AG495">
        <f>IF($B495=0,0,IF(Inputs!$B$9="",0,COUNTIFS(Data!$M$10:$M$3209,"&gt;="&amp;$A495,Data!$M$10:$M$3209,"&lt;"&amp;$A495+1)))</f>
        <v/>
      </c>
      <c r="AH495">
        <f>IF($B495=0,0,IF(Inputs!$B$10="",0,COUNTIFS(Data!$Q$10:$Q$3209,"&gt;="&amp;$A495,Data!$Q$10:$Q$3209,"&lt;"&amp;$A495+1)))</f>
        <v/>
      </c>
    </row>
    <row r="496">
      <c r="A496" s="55">
        <f>MIN(Inputs!$C$15,$A495+IF(WEEKDAY($A495,2)=5,3,1))</f>
        <v/>
      </c>
      <c r="B496">
        <f>IF($A496&gt;$A495,1,0)</f>
        <v/>
      </c>
      <c r="C496" s="56">
        <f>IF($B496=0,"",IF(Inputs!$B$6="","",IF($AD496=0,C495,SUMIFS(Data!$B$10:$B$3209,Data!$A$10:$A$3209,"&gt;="&amp;$A496,Data!$A$10:$A$3209,"&lt;"&amp;$A496+1)/$AD496)))</f>
        <v/>
      </c>
      <c r="D496" s="56">
        <f>IF($B496=0,"",IF(Inputs!$B$7="","",IF($AE496=0,D495,SUMIFS(Data!$F$10:$F$3209,Data!$E$10:$E$3209,"&gt;="&amp;$A496,Data!$E$10:$E$3209,"&lt;"&amp;$A496+1)/$AE496)))</f>
        <v/>
      </c>
      <c r="E496" s="56">
        <f>IF($B496=0,"",IF(Inputs!$B$8="","",IF($AF496=0,E495,SUMIFS(Data!$J$10:$J$3209,Data!$I$10:$I$3209,"&gt;="&amp;$A496,Data!$I$10:$I$3209,"&lt;"&amp;$A496+1)/$AF496)))</f>
        <v/>
      </c>
      <c r="F496" s="56">
        <f>IF($B496=0,"",IF(Inputs!$B$9="","",IF($AG496=0,F495,SUMIFS(Data!$N$10:$N$3209,Data!$M$10:$M$3209,"&gt;="&amp;$A496,Data!$M$10:$M$3209,"&lt;"&amp;$A496+1)/$AG496)))</f>
        <v/>
      </c>
      <c r="G496" s="56">
        <f>IF($B496=0,"",IF(Inputs!$B$10="","",IF($AH496=0,G495,SUMIFS(Data!$R$10:$R$3209,Data!$Q$10:$Q$3209,"&gt;="&amp;$A496,Data!$Q$10:$Q$3209,"&lt;"&amp;$A496+1)/$AH496)))</f>
        <v/>
      </c>
      <c r="I496" s="54">
        <f>IF($B496=0,NA(),IF($C496="",NA(),IF(C$8="",NA(),IF(N(C$8)=0,NA(),IF(Inputs!$C$17="Rebased to 100",$C496/C$8*100,$C496)))))</f>
        <v/>
      </c>
      <c r="J496" s="54">
        <f>IF($B496=0,NA(),IF($D496="",NA(),IF(D$8="",NA(),IF(N(D$8)=0,NA(),IF(Inputs!$C$17="Rebased to 100",$D496/D$8*100,$D496)))))</f>
        <v/>
      </c>
      <c r="K496" s="54">
        <f>IF($B496=0,NA(),IF($E496="",NA(),IF(E$8="",NA(),IF(N(E$8)=0,NA(),IF(Inputs!$C$17="Rebased to 100",$E496/E$8*100,$E496)))))</f>
        <v/>
      </c>
      <c r="L496" s="54">
        <f>IF($B496=0,NA(),IF($F496="",NA(),IF(F$8="",NA(),IF(N(F$8)=0,NA(),IF(Inputs!$C$17="Rebased to 100",$F496/F$8*100,$F496)))))</f>
        <v/>
      </c>
      <c r="M496" s="54">
        <f>IF($B496=0,NA(),IF($G496="",NA(),IF(G$8="",NA(),IF(N(G$8)=0,NA(),IF(Inputs!$C$17="Rebased to 100",$G496/G$8*100,$G496)))))</f>
        <v/>
      </c>
      <c r="N496" s="54">
        <f>IF($B496=0,NA(),IF(Inputs!$C$18&lt;&gt;"Yes",NA(),IF(COUNT(I496,J496,K496,L496,M496)=0,NA(),MIN(I496,J496,K496,L496,M496))))</f>
        <v/>
      </c>
      <c r="O496" s="54">
        <f>IF($B496=0,NA(),IF(Inputs!$B$24&lt;&gt;"Yes",NA(),Inputs!$D$24*Inputs!$C$35))</f>
        <v/>
      </c>
      <c r="P496" s="54">
        <f>IF($B496=0,NA(),IF(Inputs!$B$25&lt;&gt;"Yes",NA(),Inputs!$D$25*Inputs!$C$35))</f>
        <v/>
      </c>
      <c r="Q496" s="54">
        <f>IF($B496=0,NA(),IF(Inputs!$B$26&lt;&gt;"Yes",NA(),Inputs!$D$26*Inputs!$C$35))</f>
        <v/>
      </c>
      <c r="R496" s="54">
        <f>IF($B496=0,NA(),IF(Inputs!$B$27&lt;&gt;"Yes",NA(),Inputs!$D$27*Inputs!$C$35))</f>
        <v/>
      </c>
      <c r="S496" s="54">
        <f>IF($B496=0,NA(),IF(Inputs!$B$28&lt;&gt;"Yes",NA(),Inputs!$D$28*Inputs!$C$35))</f>
        <v/>
      </c>
      <c r="T496" s="54">
        <f>IF($B496=0,NA(),IF(Inputs!$B$29&lt;&gt;"Yes",NA(),Inputs!$D$29*Inputs!$C$35))</f>
        <v/>
      </c>
      <c r="AD496">
        <f>IF($B496=0,0,IF(Inputs!$B$6="",0,COUNTIFS(Data!$A$10:$A$3209,"&gt;="&amp;$A496,Data!$A$10:$A$3209,"&lt;"&amp;$A496+1)))</f>
        <v/>
      </c>
      <c r="AE496">
        <f>IF($B496=0,0,IF(Inputs!$B$7="",0,COUNTIFS(Data!$E$10:$E$3209,"&gt;="&amp;$A496,Data!$E$10:$E$3209,"&lt;"&amp;$A496+1)))</f>
        <v/>
      </c>
      <c r="AF496">
        <f>IF($B496=0,0,IF(Inputs!$B$8="",0,COUNTIFS(Data!$I$10:$I$3209,"&gt;="&amp;$A496,Data!$I$10:$I$3209,"&lt;"&amp;$A496+1)))</f>
        <v/>
      </c>
      <c r="AG496">
        <f>IF($B496=0,0,IF(Inputs!$B$9="",0,COUNTIFS(Data!$M$10:$M$3209,"&gt;="&amp;$A496,Data!$M$10:$M$3209,"&lt;"&amp;$A496+1)))</f>
        <v/>
      </c>
      <c r="AH496">
        <f>IF($B496=0,0,IF(Inputs!$B$10="",0,COUNTIFS(Data!$Q$10:$Q$3209,"&gt;="&amp;$A496,Data!$Q$10:$Q$3209,"&lt;"&amp;$A496+1)))</f>
        <v/>
      </c>
    </row>
    <row r="497">
      <c r="A497" s="55">
        <f>MIN(Inputs!$C$15,$A496+IF(WEEKDAY($A496,2)=5,3,1))</f>
        <v/>
      </c>
      <c r="B497">
        <f>IF($A497&gt;$A496,1,0)</f>
        <v/>
      </c>
      <c r="C497" s="56">
        <f>IF($B497=0,"",IF(Inputs!$B$6="","",IF($AD497=0,C496,SUMIFS(Data!$B$10:$B$3209,Data!$A$10:$A$3209,"&gt;="&amp;$A497,Data!$A$10:$A$3209,"&lt;"&amp;$A497+1)/$AD497)))</f>
        <v/>
      </c>
      <c r="D497" s="56">
        <f>IF($B497=0,"",IF(Inputs!$B$7="","",IF($AE497=0,D496,SUMIFS(Data!$F$10:$F$3209,Data!$E$10:$E$3209,"&gt;="&amp;$A497,Data!$E$10:$E$3209,"&lt;"&amp;$A497+1)/$AE497)))</f>
        <v/>
      </c>
      <c r="E497" s="56">
        <f>IF($B497=0,"",IF(Inputs!$B$8="","",IF($AF497=0,E496,SUMIFS(Data!$J$10:$J$3209,Data!$I$10:$I$3209,"&gt;="&amp;$A497,Data!$I$10:$I$3209,"&lt;"&amp;$A497+1)/$AF497)))</f>
        <v/>
      </c>
      <c r="F497" s="56">
        <f>IF($B497=0,"",IF(Inputs!$B$9="","",IF($AG497=0,F496,SUMIFS(Data!$N$10:$N$3209,Data!$M$10:$M$3209,"&gt;="&amp;$A497,Data!$M$10:$M$3209,"&lt;"&amp;$A497+1)/$AG497)))</f>
        <v/>
      </c>
      <c r="G497" s="56">
        <f>IF($B497=0,"",IF(Inputs!$B$10="","",IF($AH497=0,G496,SUMIFS(Data!$R$10:$R$3209,Data!$Q$10:$Q$3209,"&gt;="&amp;$A497,Data!$Q$10:$Q$3209,"&lt;"&amp;$A497+1)/$AH497)))</f>
        <v/>
      </c>
      <c r="I497" s="54">
        <f>IF($B497=0,NA(),IF($C497="",NA(),IF(C$8="",NA(),IF(N(C$8)=0,NA(),IF(Inputs!$C$17="Rebased to 100",$C497/C$8*100,$C497)))))</f>
        <v/>
      </c>
      <c r="J497" s="54">
        <f>IF($B497=0,NA(),IF($D497="",NA(),IF(D$8="",NA(),IF(N(D$8)=0,NA(),IF(Inputs!$C$17="Rebased to 100",$D497/D$8*100,$D497)))))</f>
        <v/>
      </c>
      <c r="K497" s="54">
        <f>IF($B497=0,NA(),IF($E497="",NA(),IF(E$8="",NA(),IF(N(E$8)=0,NA(),IF(Inputs!$C$17="Rebased to 100",$E497/E$8*100,$E497)))))</f>
        <v/>
      </c>
      <c r="L497" s="54">
        <f>IF($B497=0,NA(),IF($F497="",NA(),IF(F$8="",NA(),IF(N(F$8)=0,NA(),IF(Inputs!$C$17="Rebased to 100",$F497/F$8*100,$F497)))))</f>
        <v/>
      </c>
      <c r="M497" s="54">
        <f>IF($B497=0,NA(),IF($G497="",NA(),IF(G$8="",NA(),IF(N(G$8)=0,NA(),IF(Inputs!$C$17="Rebased to 100",$G497/G$8*100,$G497)))))</f>
        <v/>
      </c>
      <c r="N497" s="54">
        <f>IF($B497=0,NA(),IF(Inputs!$C$18&lt;&gt;"Yes",NA(),IF(COUNT(I497,J497,K497,L497,M497)=0,NA(),MIN(I497,J497,K497,L497,M497))))</f>
        <v/>
      </c>
      <c r="O497" s="54">
        <f>IF($B497=0,NA(),IF(Inputs!$B$24&lt;&gt;"Yes",NA(),Inputs!$D$24*Inputs!$C$35))</f>
        <v/>
      </c>
      <c r="P497" s="54">
        <f>IF($B497=0,NA(),IF(Inputs!$B$25&lt;&gt;"Yes",NA(),Inputs!$D$25*Inputs!$C$35))</f>
        <v/>
      </c>
      <c r="Q497" s="54">
        <f>IF($B497=0,NA(),IF(Inputs!$B$26&lt;&gt;"Yes",NA(),Inputs!$D$26*Inputs!$C$35))</f>
        <v/>
      </c>
      <c r="R497" s="54">
        <f>IF($B497=0,NA(),IF(Inputs!$B$27&lt;&gt;"Yes",NA(),Inputs!$D$27*Inputs!$C$35))</f>
        <v/>
      </c>
      <c r="S497" s="54">
        <f>IF($B497=0,NA(),IF(Inputs!$B$28&lt;&gt;"Yes",NA(),Inputs!$D$28*Inputs!$C$35))</f>
        <v/>
      </c>
      <c r="T497" s="54">
        <f>IF($B497=0,NA(),IF(Inputs!$B$29&lt;&gt;"Yes",NA(),Inputs!$D$29*Inputs!$C$35))</f>
        <v/>
      </c>
      <c r="AD497">
        <f>IF($B497=0,0,IF(Inputs!$B$6="",0,COUNTIFS(Data!$A$10:$A$3209,"&gt;="&amp;$A497,Data!$A$10:$A$3209,"&lt;"&amp;$A497+1)))</f>
        <v/>
      </c>
      <c r="AE497">
        <f>IF($B497=0,0,IF(Inputs!$B$7="",0,COUNTIFS(Data!$E$10:$E$3209,"&gt;="&amp;$A497,Data!$E$10:$E$3209,"&lt;"&amp;$A497+1)))</f>
        <v/>
      </c>
      <c r="AF497">
        <f>IF($B497=0,0,IF(Inputs!$B$8="",0,COUNTIFS(Data!$I$10:$I$3209,"&gt;="&amp;$A497,Data!$I$10:$I$3209,"&lt;"&amp;$A497+1)))</f>
        <v/>
      </c>
      <c r="AG497">
        <f>IF($B497=0,0,IF(Inputs!$B$9="",0,COUNTIFS(Data!$M$10:$M$3209,"&gt;="&amp;$A497,Data!$M$10:$M$3209,"&lt;"&amp;$A497+1)))</f>
        <v/>
      </c>
      <c r="AH497">
        <f>IF($B497=0,0,IF(Inputs!$B$10="",0,COUNTIFS(Data!$Q$10:$Q$3209,"&gt;="&amp;$A497,Data!$Q$10:$Q$3209,"&lt;"&amp;$A497+1)))</f>
        <v/>
      </c>
    </row>
    <row r="498">
      <c r="A498" s="55">
        <f>MIN(Inputs!$C$15,$A497+IF(WEEKDAY($A497,2)=5,3,1))</f>
        <v/>
      </c>
      <c r="B498">
        <f>IF($A498&gt;$A497,1,0)</f>
        <v/>
      </c>
      <c r="C498" s="56">
        <f>IF($B498=0,"",IF(Inputs!$B$6="","",IF($AD498=0,C497,SUMIFS(Data!$B$10:$B$3209,Data!$A$10:$A$3209,"&gt;="&amp;$A498,Data!$A$10:$A$3209,"&lt;"&amp;$A498+1)/$AD498)))</f>
        <v/>
      </c>
      <c r="D498" s="56">
        <f>IF($B498=0,"",IF(Inputs!$B$7="","",IF($AE498=0,D497,SUMIFS(Data!$F$10:$F$3209,Data!$E$10:$E$3209,"&gt;="&amp;$A498,Data!$E$10:$E$3209,"&lt;"&amp;$A498+1)/$AE498)))</f>
        <v/>
      </c>
      <c r="E498" s="56">
        <f>IF($B498=0,"",IF(Inputs!$B$8="","",IF($AF498=0,E497,SUMIFS(Data!$J$10:$J$3209,Data!$I$10:$I$3209,"&gt;="&amp;$A498,Data!$I$10:$I$3209,"&lt;"&amp;$A498+1)/$AF498)))</f>
        <v/>
      </c>
      <c r="F498" s="56">
        <f>IF($B498=0,"",IF(Inputs!$B$9="","",IF($AG498=0,F497,SUMIFS(Data!$N$10:$N$3209,Data!$M$10:$M$3209,"&gt;="&amp;$A498,Data!$M$10:$M$3209,"&lt;"&amp;$A498+1)/$AG498)))</f>
        <v/>
      </c>
      <c r="G498" s="56">
        <f>IF($B498=0,"",IF(Inputs!$B$10="","",IF($AH498=0,G497,SUMIFS(Data!$R$10:$R$3209,Data!$Q$10:$Q$3209,"&gt;="&amp;$A498,Data!$Q$10:$Q$3209,"&lt;"&amp;$A498+1)/$AH498)))</f>
        <v/>
      </c>
      <c r="I498" s="54">
        <f>IF($B498=0,NA(),IF($C498="",NA(),IF(C$8="",NA(),IF(N(C$8)=0,NA(),IF(Inputs!$C$17="Rebased to 100",$C498/C$8*100,$C498)))))</f>
        <v/>
      </c>
      <c r="J498" s="54">
        <f>IF($B498=0,NA(),IF($D498="",NA(),IF(D$8="",NA(),IF(N(D$8)=0,NA(),IF(Inputs!$C$17="Rebased to 100",$D498/D$8*100,$D498)))))</f>
        <v/>
      </c>
      <c r="K498" s="54">
        <f>IF($B498=0,NA(),IF($E498="",NA(),IF(E$8="",NA(),IF(N(E$8)=0,NA(),IF(Inputs!$C$17="Rebased to 100",$E498/E$8*100,$E498)))))</f>
        <v/>
      </c>
      <c r="L498" s="54">
        <f>IF($B498=0,NA(),IF($F498="",NA(),IF(F$8="",NA(),IF(N(F$8)=0,NA(),IF(Inputs!$C$17="Rebased to 100",$F498/F$8*100,$F498)))))</f>
        <v/>
      </c>
      <c r="M498" s="54">
        <f>IF($B498=0,NA(),IF($G498="",NA(),IF(G$8="",NA(),IF(N(G$8)=0,NA(),IF(Inputs!$C$17="Rebased to 100",$G498/G$8*100,$G498)))))</f>
        <v/>
      </c>
      <c r="N498" s="54">
        <f>IF($B498=0,NA(),IF(Inputs!$C$18&lt;&gt;"Yes",NA(),IF(COUNT(I498,J498,K498,L498,M498)=0,NA(),MIN(I498,J498,K498,L498,M498))))</f>
        <v/>
      </c>
      <c r="O498" s="54">
        <f>IF($B498=0,NA(),IF(Inputs!$B$24&lt;&gt;"Yes",NA(),Inputs!$D$24*Inputs!$C$35))</f>
        <v/>
      </c>
      <c r="P498" s="54">
        <f>IF($B498=0,NA(),IF(Inputs!$B$25&lt;&gt;"Yes",NA(),Inputs!$D$25*Inputs!$C$35))</f>
        <v/>
      </c>
      <c r="Q498" s="54">
        <f>IF($B498=0,NA(),IF(Inputs!$B$26&lt;&gt;"Yes",NA(),Inputs!$D$26*Inputs!$C$35))</f>
        <v/>
      </c>
      <c r="R498" s="54">
        <f>IF($B498=0,NA(),IF(Inputs!$B$27&lt;&gt;"Yes",NA(),Inputs!$D$27*Inputs!$C$35))</f>
        <v/>
      </c>
      <c r="S498" s="54">
        <f>IF($B498=0,NA(),IF(Inputs!$B$28&lt;&gt;"Yes",NA(),Inputs!$D$28*Inputs!$C$35))</f>
        <v/>
      </c>
      <c r="T498" s="54">
        <f>IF($B498=0,NA(),IF(Inputs!$B$29&lt;&gt;"Yes",NA(),Inputs!$D$29*Inputs!$C$35))</f>
        <v/>
      </c>
      <c r="AD498">
        <f>IF($B498=0,0,IF(Inputs!$B$6="",0,COUNTIFS(Data!$A$10:$A$3209,"&gt;="&amp;$A498,Data!$A$10:$A$3209,"&lt;"&amp;$A498+1)))</f>
        <v/>
      </c>
      <c r="AE498">
        <f>IF($B498=0,0,IF(Inputs!$B$7="",0,COUNTIFS(Data!$E$10:$E$3209,"&gt;="&amp;$A498,Data!$E$10:$E$3209,"&lt;"&amp;$A498+1)))</f>
        <v/>
      </c>
      <c r="AF498">
        <f>IF($B498=0,0,IF(Inputs!$B$8="",0,COUNTIFS(Data!$I$10:$I$3209,"&gt;="&amp;$A498,Data!$I$10:$I$3209,"&lt;"&amp;$A498+1)))</f>
        <v/>
      </c>
      <c r="AG498">
        <f>IF($B498=0,0,IF(Inputs!$B$9="",0,COUNTIFS(Data!$M$10:$M$3209,"&gt;="&amp;$A498,Data!$M$10:$M$3209,"&lt;"&amp;$A498+1)))</f>
        <v/>
      </c>
      <c r="AH498">
        <f>IF($B498=0,0,IF(Inputs!$B$10="",0,COUNTIFS(Data!$Q$10:$Q$3209,"&gt;="&amp;$A498,Data!$Q$10:$Q$3209,"&lt;"&amp;$A498+1)))</f>
        <v/>
      </c>
    </row>
    <row r="499">
      <c r="A499" s="55">
        <f>MIN(Inputs!$C$15,$A498+IF(WEEKDAY($A498,2)=5,3,1))</f>
        <v/>
      </c>
      <c r="B499">
        <f>IF($A499&gt;$A498,1,0)</f>
        <v/>
      </c>
      <c r="C499" s="56">
        <f>IF($B499=0,"",IF(Inputs!$B$6="","",IF($AD499=0,C498,SUMIFS(Data!$B$10:$B$3209,Data!$A$10:$A$3209,"&gt;="&amp;$A499,Data!$A$10:$A$3209,"&lt;"&amp;$A499+1)/$AD499)))</f>
        <v/>
      </c>
      <c r="D499" s="56">
        <f>IF($B499=0,"",IF(Inputs!$B$7="","",IF($AE499=0,D498,SUMIFS(Data!$F$10:$F$3209,Data!$E$10:$E$3209,"&gt;="&amp;$A499,Data!$E$10:$E$3209,"&lt;"&amp;$A499+1)/$AE499)))</f>
        <v/>
      </c>
      <c r="E499" s="56">
        <f>IF($B499=0,"",IF(Inputs!$B$8="","",IF($AF499=0,E498,SUMIFS(Data!$J$10:$J$3209,Data!$I$10:$I$3209,"&gt;="&amp;$A499,Data!$I$10:$I$3209,"&lt;"&amp;$A499+1)/$AF499)))</f>
        <v/>
      </c>
      <c r="F499" s="56">
        <f>IF($B499=0,"",IF(Inputs!$B$9="","",IF($AG499=0,F498,SUMIFS(Data!$N$10:$N$3209,Data!$M$10:$M$3209,"&gt;="&amp;$A499,Data!$M$10:$M$3209,"&lt;"&amp;$A499+1)/$AG499)))</f>
        <v/>
      </c>
      <c r="G499" s="56">
        <f>IF($B499=0,"",IF(Inputs!$B$10="","",IF($AH499=0,G498,SUMIFS(Data!$R$10:$R$3209,Data!$Q$10:$Q$3209,"&gt;="&amp;$A499,Data!$Q$10:$Q$3209,"&lt;"&amp;$A499+1)/$AH499)))</f>
        <v/>
      </c>
      <c r="I499" s="54">
        <f>IF($B499=0,NA(),IF($C499="",NA(),IF(C$8="",NA(),IF(N(C$8)=0,NA(),IF(Inputs!$C$17="Rebased to 100",$C499/C$8*100,$C499)))))</f>
        <v/>
      </c>
      <c r="J499" s="54">
        <f>IF($B499=0,NA(),IF($D499="",NA(),IF(D$8="",NA(),IF(N(D$8)=0,NA(),IF(Inputs!$C$17="Rebased to 100",$D499/D$8*100,$D499)))))</f>
        <v/>
      </c>
      <c r="K499" s="54">
        <f>IF($B499=0,NA(),IF($E499="",NA(),IF(E$8="",NA(),IF(N(E$8)=0,NA(),IF(Inputs!$C$17="Rebased to 100",$E499/E$8*100,$E499)))))</f>
        <v/>
      </c>
      <c r="L499" s="54">
        <f>IF($B499=0,NA(),IF($F499="",NA(),IF(F$8="",NA(),IF(N(F$8)=0,NA(),IF(Inputs!$C$17="Rebased to 100",$F499/F$8*100,$F499)))))</f>
        <v/>
      </c>
      <c r="M499" s="54">
        <f>IF($B499=0,NA(),IF($G499="",NA(),IF(G$8="",NA(),IF(N(G$8)=0,NA(),IF(Inputs!$C$17="Rebased to 100",$G499/G$8*100,$G499)))))</f>
        <v/>
      </c>
      <c r="N499" s="54">
        <f>IF($B499=0,NA(),IF(Inputs!$C$18&lt;&gt;"Yes",NA(),IF(COUNT(I499,J499,K499,L499,M499)=0,NA(),MIN(I499,J499,K499,L499,M499))))</f>
        <v/>
      </c>
      <c r="O499" s="54">
        <f>IF($B499=0,NA(),IF(Inputs!$B$24&lt;&gt;"Yes",NA(),Inputs!$D$24*Inputs!$C$35))</f>
        <v/>
      </c>
      <c r="P499" s="54">
        <f>IF($B499=0,NA(),IF(Inputs!$B$25&lt;&gt;"Yes",NA(),Inputs!$D$25*Inputs!$C$35))</f>
        <v/>
      </c>
      <c r="Q499" s="54">
        <f>IF($B499=0,NA(),IF(Inputs!$B$26&lt;&gt;"Yes",NA(),Inputs!$D$26*Inputs!$C$35))</f>
        <v/>
      </c>
      <c r="R499" s="54">
        <f>IF($B499=0,NA(),IF(Inputs!$B$27&lt;&gt;"Yes",NA(),Inputs!$D$27*Inputs!$C$35))</f>
        <v/>
      </c>
      <c r="S499" s="54">
        <f>IF($B499=0,NA(),IF(Inputs!$B$28&lt;&gt;"Yes",NA(),Inputs!$D$28*Inputs!$C$35))</f>
        <v/>
      </c>
      <c r="T499" s="54">
        <f>IF($B499=0,NA(),IF(Inputs!$B$29&lt;&gt;"Yes",NA(),Inputs!$D$29*Inputs!$C$35))</f>
        <v/>
      </c>
      <c r="AD499">
        <f>IF($B499=0,0,IF(Inputs!$B$6="",0,COUNTIFS(Data!$A$10:$A$3209,"&gt;="&amp;$A499,Data!$A$10:$A$3209,"&lt;"&amp;$A499+1)))</f>
        <v/>
      </c>
      <c r="AE499">
        <f>IF($B499=0,0,IF(Inputs!$B$7="",0,COUNTIFS(Data!$E$10:$E$3209,"&gt;="&amp;$A499,Data!$E$10:$E$3209,"&lt;"&amp;$A499+1)))</f>
        <v/>
      </c>
      <c r="AF499">
        <f>IF($B499=0,0,IF(Inputs!$B$8="",0,COUNTIFS(Data!$I$10:$I$3209,"&gt;="&amp;$A499,Data!$I$10:$I$3209,"&lt;"&amp;$A499+1)))</f>
        <v/>
      </c>
      <c r="AG499">
        <f>IF($B499=0,0,IF(Inputs!$B$9="",0,COUNTIFS(Data!$M$10:$M$3209,"&gt;="&amp;$A499,Data!$M$10:$M$3209,"&lt;"&amp;$A499+1)))</f>
        <v/>
      </c>
      <c r="AH499">
        <f>IF($B499=0,0,IF(Inputs!$B$10="",0,COUNTIFS(Data!$Q$10:$Q$3209,"&gt;="&amp;$A499,Data!$Q$10:$Q$3209,"&lt;"&amp;$A499+1)))</f>
        <v/>
      </c>
    </row>
    <row r="500">
      <c r="A500" s="55">
        <f>MIN(Inputs!$C$15,$A499+IF(WEEKDAY($A499,2)=5,3,1))</f>
        <v/>
      </c>
      <c r="B500">
        <f>IF($A500&gt;$A499,1,0)</f>
        <v/>
      </c>
      <c r="C500" s="56">
        <f>IF($B500=0,"",IF(Inputs!$B$6="","",IF($AD500=0,C499,SUMIFS(Data!$B$10:$B$3209,Data!$A$10:$A$3209,"&gt;="&amp;$A500,Data!$A$10:$A$3209,"&lt;"&amp;$A500+1)/$AD500)))</f>
        <v/>
      </c>
      <c r="D500" s="56">
        <f>IF($B500=0,"",IF(Inputs!$B$7="","",IF($AE500=0,D499,SUMIFS(Data!$F$10:$F$3209,Data!$E$10:$E$3209,"&gt;="&amp;$A500,Data!$E$10:$E$3209,"&lt;"&amp;$A500+1)/$AE500)))</f>
        <v/>
      </c>
      <c r="E500" s="56">
        <f>IF($B500=0,"",IF(Inputs!$B$8="","",IF($AF500=0,E499,SUMIFS(Data!$J$10:$J$3209,Data!$I$10:$I$3209,"&gt;="&amp;$A500,Data!$I$10:$I$3209,"&lt;"&amp;$A500+1)/$AF500)))</f>
        <v/>
      </c>
      <c r="F500" s="56">
        <f>IF($B500=0,"",IF(Inputs!$B$9="","",IF($AG500=0,F499,SUMIFS(Data!$N$10:$N$3209,Data!$M$10:$M$3209,"&gt;="&amp;$A500,Data!$M$10:$M$3209,"&lt;"&amp;$A500+1)/$AG500)))</f>
        <v/>
      </c>
      <c r="G500" s="56">
        <f>IF($B500=0,"",IF(Inputs!$B$10="","",IF($AH500=0,G499,SUMIFS(Data!$R$10:$R$3209,Data!$Q$10:$Q$3209,"&gt;="&amp;$A500,Data!$Q$10:$Q$3209,"&lt;"&amp;$A500+1)/$AH500)))</f>
        <v/>
      </c>
      <c r="I500" s="54">
        <f>IF($B500=0,NA(),IF($C500="",NA(),IF(C$8="",NA(),IF(N(C$8)=0,NA(),IF(Inputs!$C$17="Rebased to 100",$C500/C$8*100,$C500)))))</f>
        <v/>
      </c>
      <c r="J500" s="54">
        <f>IF($B500=0,NA(),IF($D500="",NA(),IF(D$8="",NA(),IF(N(D$8)=0,NA(),IF(Inputs!$C$17="Rebased to 100",$D500/D$8*100,$D500)))))</f>
        <v/>
      </c>
      <c r="K500" s="54">
        <f>IF($B500=0,NA(),IF($E500="",NA(),IF(E$8="",NA(),IF(N(E$8)=0,NA(),IF(Inputs!$C$17="Rebased to 100",$E500/E$8*100,$E500)))))</f>
        <v/>
      </c>
      <c r="L500" s="54">
        <f>IF($B500=0,NA(),IF($F500="",NA(),IF(F$8="",NA(),IF(N(F$8)=0,NA(),IF(Inputs!$C$17="Rebased to 100",$F500/F$8*100,$F500)))))</f>
        <v/>
      </c>
      <c r="M500" s="54">
        <f>IF($B500=0,NA(),IF($G500="",NA(),IF(G$8="",NA(),IF(N(G$8)=0,NA(),IF(Inputs!$C$17="Rebased to 100",$G500/G$8*100,$G500)))))</f>
        <v/>
      </c>
      <c r="N500" s="54">
        <f>IF($B500=0,NA(),IF(Inputs!$C$18&lt;&gt;"Yes",NA(),IF(COUNT(I500,J500,K500,L500,M500)=0,NA(),MIN(I500,J500,K500,L500,M500))))</f>
        <v/>
      </c>
      <c r="O500" s="54">
        <f>IF($B500=0,NA(),IF(Inputs!$B$24&lt;&gt;"Yes",NA(),Inputs!$D$24*Inputs!$C$35))</f>
        <v/>
      </c>
      <c r="P500" s="54">
        <f>IF($B500=0,NA(),IF(Inputs!$B$25&lt;&gt;"Yes",NA(),Inputs!$D$25*Inputs!$C$35))</f>
        <v/>
      </c>
      <c r="Q500" s="54">
        <f>IF($B500=0,NA(),IF(Inputs!$B$26&lt;&gt;"Yes",NA(),Inputs!$D$26*Inputs!$C$35))</f>
        <v/>
      </c>
      <c r="R500" s="54">
        <f>IF($B500=0,NA(),IF(Inputs!$B$27&lt;&gt;"Yes",NA(),Inputs!$D$27*Inputs!$C$35))</f>
        <v/>
      </c>
      <c r="S500" s="54">
        <f>IF($B500=0,NA(),IF(Inputs!$B$28&lt;&gt;"Yes",NA(),Inputs!$D$28*Inputs!$C$35))</f>
        <v/>
      </c>
      <c r="T500" s="54">
        <f>IF($B500=0,NA(),IF(Inputs!$B$29&lt;&gt;"Yes",NA(),Inputs!$D$29*Inputs!$C$35))</f>
        <v/>
      </c>
      <c r="AD500">
        <f>IF($B500=0,0,IF(Inputs!$B$6="",0,COUNTIFS(Data!$A$10:$A$3209,"&gt;="&amp;$A500,Data!$A$10:$A$3209,"&lt;"&amp;$A500+1)))</f>
        <v/>
      </c>
      <c r="AE500">
        <f>IF($B500=0,0,IF(Inputs!$B$7="",0,COUNTIFS(Data!$E$10:$E$3209,"&gt;="&amp;$A500,Data!$E$10:$E$3209,"&lt;"&amp;$A500+1)))</f>
        <v/>
      </c>
      <c r="AF500">
        <f>IF($B500=0,0,IF(Inputs!$B$8="",0,COUNTIFS(Data!$I$10:$I$3209,"&gt;="&amp;$A500,Data!$I$10:$I$3209,"&lt;"&amp;$A500+1)))</f>
        <v/>
      </c>
      <c r="AG500">
        <f>IF($B500=0,0,IF(Inputs!$B$9="",0,COUNTIFS(Data!$M$10:$M$3209,"&gt;="&amp;$A500,Data!$M$10:$M$3209,"&lt;"&amp;$A500+1)))</f>
        <v/>
      </c>
      <c r="AH500">
        <f>IF($B500=0,0,IF(Inputs!$B$10="",0,COUNTIFS(Data!$Q$10:$Q$3209,"&gt;="&amp;$A500,Data!$Q$10:$Q$3209,"&lt;"&amp;$A500+1)))</f>
        <v/>
      </c>
    </row>
    <row r="501">
      <c r="A501" s="55">
        <f>MIN(Inputs!$C$15,$A500+IF(WEEKDAY($A500,2)=5,3,1))</f>
        <v/>
      </c>
      <c r="B501">
        <f>IF($A501&gt;$A500,1,0)</f>
        <v/>
      </c>
      <c r="C501" s="56">
        <f>IF($B501=0,"",IF(Inputs!$B$6="","",IF($AD501=0,C500,SUMIFS(Data!$B$10:$B$3209,Data!$A$10:$A$3209,"&gt;="&amp;$A501,Data!$A$10:$A$3209,"&lt;"&amp;$A501+1)/$AD501)))</f>
        <v/>
      </c>
      <c r="D501" s="56">
        <f>IF($B501=0,"",IF(Inputs!$B$7="","",IF($AE501=0,D500,SUMIFS(Data!$F$10:$F$3209,Data!$E$10:$E$3209,"&gt;="&amp;$A501,Data!$E$10:$E$3209,"&lt;"&amp;$A501+1)/$AE501)))</f>
        <v/>
      </c>
      <c r="E501" s="56">
        <f>IF($B501=0,"",IF(Inputs!$B$8="","",IF($AF501=0,E500,SUMIFS(Data!$J$10:$J$3209,Data!$I$10:$I$3209,"&gt;="&amp;$A501,Data!$I$10:$I$3209,"&lt;"&amp;$A501+1)/$AF501)))</f>
        <v/>
      </c>
      <c r="F501" s="56">
        <f>IF($B501=0,"",IF(Inputs!$B$9="","",IF($AG501=0,F500,SUMIFS(Data!$N$10:$N$3209,Data!$M$10:$M$3209,"&gt;="&amp;$A501,Data!$M$10:$M$3209,"&lt;"&amp;$A501+1)/$AG501)))</f>
        <v/>
      </c>
      <c r="G501" s="56">
        <f>IF($B501=0,"",IF(Inputs!$B$10="","",IF($AH501=0,G500,SUMIFS(Data!$R$10:$R$3209,Data!$Q$10:$Q$3209,"&gt;="&amp;$A501,Data!$Q$10:$Q$3209,"&lt;"&amp;$A501+1)/$AH501)))</f>
        <v/>
      </c>
      <c r="I501" s="54">
        <f>IF($B501=0,NA(),IF($C501="",NA(),IF(C$8="",NA(),IF(N(C$8)=0,NA(),IF(Inputs!$C$17="Rebased to 100",$C501/C$8*100,$C501)))))</f>
        <v/>
      </c>
      <c r="J501" s="54">
        <f>IF($B501=0,NA(),IF($D501="",NA(),IF(D$8="",NA(),IF(N(D$8)=0,NA(),IF(Inputs!$C$17="Rebased to 100",$D501/D$8*100,$D501)))))</f>
        <v/>
      </c>
      <c r="K501" s="54">
        <f>IF($B501=0,NA(),IF($E501="",NA(),IF(E$8="",NA(),IF(N(E$8)=0,NA(),IF(Inputs!$C$17="Rebased to 100",$E501/E$8*100,$E501)))))</f>
        <v/>
      </c>
      <c r="L501" s="54">
        <f>IF($B501=0,NA(),IF($F501="",NA(),IF(F$8="",NA(),IF(N(F$8)=0,NA(),IF(Inputs!$C$17="Rebased to 100",$F501/F$8*100,$F501)))))</f>
        <v/>
      </c>
      <c r="M501" s="54">
        <f>IF($B501=0,NA(),IF($G501="",NA(),IF(G$8="",NA(),IF(N(G$8)=0,NA(),IF(Inputs!$C$17="Rebased to 100",$G501/G$8*100,$G501)))))</f>
        <v/>
      </c>
      <c r="N501" s="54">
        <f>IF($B501=0,NA(),IF(Inputs!$C$18&lt;&gt;"Yes",NA(),IF(COUNT(I501,J501,K501,L501,M501)=0,NA(),MIN(I501,J501,K501,L501,M501))))</f>
        <v/>
      </c>
      <c r="O501" s="54">
        <f>IF($B501=0,NA(),IF(Inputs!$B$24&lt;&gt;"Yes",NA(),Inputs!$D$24*Inputs!$C$35))</f>
        <v/>
      </c>
      <c r="P501" s="54">
        <f>IF($B501=0,NA(),IF(Inputs!$B$25&lt;&gt;"Yes",NA(),Inputs!$D$25*Inputs!$C$35))</f>
        <v/>
      </c>
      <c r="Q501" s="54">
        <f>IF($B501=0,NA(),IF(Inputs!$B$26&lt;&gt;"Yes",NA(),Inputs!$D$26*Inputs!$C$35))</f>
        <v/>
      </c>
      <c r="R501" s="54">
        <f>IF($B501=0,NA(),IF(Inputs!$B$27&lt;&gt;"Yes",NA(),Inputs!$D$27*Inputs!$C$35))</f>
        <v/>
      </c>
      <c r="S501" s="54">
        <f>IF($B501=0,NA(),IF(Inputs!$B$28&lt;&gt;"Yes",NA(),Inputs!$D$28*Inputs!$C$35))</f>
        <v/>
      </c>
      <c r="T501" s="54">
        <f>IF($B501=0,NA(),IF(Inputs!$B$29&lt;&gt;"Yes",NA(),Inputs!$D$29*Inputs!$C$35))</f>
        <v/>
      </c>
      <c r="AD501">
        <f>IF($B501=0,0,IF(Inputs!$B$6="",0,COUNTIFS(Data!$A$10:$A$3209,"&gt;="&amp;$A501,Data!$A$10:$A$3209,"&lt;"&amp;$A501+1)))</f>
        <v/>
      </c>
      <c r="AE501">
        <f>IF($B501=0,0,IF(Inputs!$B$7="",0,COUNTIFS(Data!$E$10:$E$3209,"&gt;="&amp;$A501,Data!$E$10:$E$3209,"&lt;"&amp;$A501+1)))</f>
        <v/>
      </c>
      <c r="AF501">
        <f>IF($B501=0,0,IF(Inputs!$B$8="",0,COUNTIFS(Data!$I$10:$I$3209,"&gt;="&amp;$A501,Data!$I$10:$I$3209,"&lt;"&amp;$A501+1)))</f>
        <v/>
      </c>
      <c r="AG501">
        <f>IF($B501=0,0,IF(Inputs!$B$9="",0,COUNTIFS(Data!$M$10:$M$3209,"&gt;="&amp;$A501,Data!$M$10:$M$3209,"&lt;"&amp;$A501+1)))</f>
        <v/>
      </c>
      <c r="AH501">
        <f>IF($B501=0,0,IF(Inputs!$B$10="",0,COUNTIFS(Data!$Q$10:$Q$3209,"&gt;="&amp;$A501,Data!$Q$10:$Q$3209,"&lt;"&amp;$A501+1)))</f>
        <v/>
      </c>
    </row>
    <row r="502">
      <c r="A502" s="55">
        <f>MIN(Inputs!$C$15,$A501+IF(WEEKDAY($A501,2)=5,3,1))</f>
        <v/>
      </c>
      <c r="B502">
        <f>IF($A502&gt;$A501,1,0)</f>
        <v/>
      </c>
      <c r="C502" s="56">
        <f>IF($B502=0,"",IF(Inputs!$B$6="","",IF($AD502=0,C501,SUMIFS(Data!$B$10:$B$3209,Data!$A$10:$A$3209,"&gt;="&amp;$A502,Data!$A$10:$A$3209,"&lt;"&amp;$A502+1)/$AD502)))</f>
        <v/>
      </c>
      <c r="D502" s="56">
        <f>IF($B502=0,"",IF(Inputs!$B$7="","",IF($AE502=0,D501,SUMIFS(Data!$F$10:$F$3209,Data!$E$10:$E$3209,"&gt;="&amp;$A502,Data!$E$10:$E$3209,"&lt;"&amp;$A502+1)/$AE502)))</f>
        <v/>
      </c>
      <c r="E502" s="56">
        <f>IF($B502=0,"",IF(Inputs!$B$8="","",IF($AF502=0,E501,SUMIFS(Data!$J$10:$J$3209,Data!$I$10:$I$3209,"&gt;="&amp;$A502,Data!$I$10:$I$3209,"&lt;"&amp;$A502+1)/$AF502)))</f>
        <v/>
      </c>
      <c r="F502" s="56">
        <f>IF($B502=0,"",IF(Inputs!$B$9="","",IF($AG502=0,F501,SUMIFS(Data!$N$10:$N$3209,Data!$M$10:$M$3209,"&gt;="&amp;$A502,Data!$M$10:$M$3209,"&lt;"&amp;$A502+1)/$AG502)))</f>
        <v/>
      </c>
      <c r="G502" s="56">
        <f>IF($B502=0,"",IF(Inputs!$B$10="","",IF($AH502=0,G501,SUMIFS(Data!$R$10:$R$3209,Data!$Q$10:$Q$3209,"&gt;="&amp;$A502,Data!$Q$10:$Q$3209,"&lt;"&amp;$A502+1)/$AH502)))</f>
        <v/>
      </c>
      <c r="I502" s="54">
        <f>IF($B502=0,NA(),IF($C502="",NA(),IF(C$8="",NA(),IF(N(C$8)=0,NA(),IF(Inputs!$C$17="Rebased to 100",$C502/C$8*100,$C502)))))</f>
        <v/>
      </c>
      <c r="J502" s="54">
        <f>IF($B502=0,NA(),IF($D502="",NA(),IF(D$8="",NA(),IF(N(D$8)=0,NA(),IF(Inputs!$C$17="Rebased to 100",$D502/D$8*100,$D502)))))</f>
        <v/>
      </c>
      <c r="K502" s="54">
        <f>IF($B502=0,NA(),IF($E502="",NA(),IF(E$8="",NA(),IF(N(E$8)=0,NA(),IF(Inputs!$C$17="Rebased to 100",$E502/E$8*100,$E502)))))</f>
        <v/>
      </c>
      <c r="L502" s="54">
        <f>IF($B502=0,NA(),IF($F502="",NA(),IF(F$8="",NA(),IF(N(F$8)=0,NA(),IF(Inputs!$C$17="Rebased to 100",$F502/F$8*100,$F502)))))</f>
        <v/>
      </c>
      <c r="M502" s="54">
        <f>IF($B502=0,NA(),IF($G502="",NA(),IF(G$8="",NA(),IF(N(G$8)=0,NA(),IF(Inputs!$C$17="Rebased to 100",$G502/G$8*100,$G502)))))</f>
        <v/>
      </c>
      <c r="N502" s="54">
        <f>IF($B502=0,NA(),IF(Inputs!$C$18&lt;&gt;"Yes",NA(),IF(COUNT(I502,J502,K502,L502,M502)=0,NA(),MIN(I502,J502,K502,L502,M502))))</f>
        <v/>
      </c>
      <c r="O502" s="54">
        <f>IF($B502=0,NA(),IF(Inputs!$B$24&lt;&gt;"Yes",NA(),Inputs!$D$24*Inputs!$C$35))</f>
        <v/>
      </c>
      <c r="P502" s="54">
        <f>IF($B502=0,NA(),IF(Inputs!$B$25&lt;&gt;"Yes",NA(),Inputs!$D$25*Inputs!$C$35))</f>
        <v/>
      </c>
      <c r="Q502" s="54">
        <f>IF($B502=0,NA(),IF(Inputs!$B$26&lt;&gt;"Yes",NA(),Inputs!$D$26*Inputs!$C$35))</f>
        <v/>
      </c>
      <c r="R502" s="54">
        <f>IF($B502=0,NA(),IF(Inputs!$B$27&lt;&gt;"Yes",NA(),Inputs!$D$27*Inputs!$C$35))</f>
        <v/>
      </c>
      <c r="S502" s="54">
        <f>IF($B502=0,NA(),IF(Inputs!$B$28&lt;&gt;"Yes",NA(),Inputs!$D$28*Inputs!$C$35))</f>
        <v/>
      </c>
      <c r="T502" s="54">
        <f>IF($B502=0,NA(),IF(Inputs!$B$29&lt;&gt;"Yes",NA(),Inputs!$D$29*Inputs!$C$35))</f>
        <v/>
      </c>
      <c r="AD502">
        <f>IF($B502=0,0,IF(Inputs!$B$6="",0,COUNTIFS(Data!$A$10:$A$3209,"&gt;="&amp;$A502,Data!$A$10:$A$3209,"&lt;"&amp;$A502+1)))</f>
        <v/>
      </c>
      <c r="AE502">
        <f>IF($B502=0,0,IF(Inputs!$B$7="",0,COUNTIFS(Data!$E$10:$E$3209,"&gt;="&amp;$A502,Data!$E$10:$E$3209,"&lt;"&amp;$A502+1)))</f>
        <v/>
      </c>
      <c r="AF502">
        <f>IF($B502=0,0,IF(Inputs!$B$8="",0,COUNTIFS(Data!$I$10:$I$3209,"&gt;="&amp;$A502,Data!$I$10:$I$3209,"&lt;"&amp;$A502+1)))</f>
        <v/>
      </c>
      <c r="AG502">
        <f>IF($B502=0,0,IF(Inputs!$B$9="",0,COUNTIFS(Data!$M$10:$M$3209,"&gt;="&amp;$A502,Data!$M$10:$M$3209,"&lt;"&amp;$A502+1)))</f>
        <v/>
      </c>
      <c r="AH502">
        <f>IF($B502=0,0,IF(Inputs!$B$10="",0,COUNTIFS(Data!$Q$10:$Q$3209,"&gt;="&amp;$A502,Data!$Q$10:$Q$3209,"&lt;"&amp;$A502+1)))</f>
        <v/>
      </c>
    </row>
    <row r="503">
      <c r="A503" s="55">
        <f>MIN(Inputs!$C$15,$A502+IF(WEEKDAY($A502,2)=5,3,1))</f>
        <v/>
      </c>
      <c r="B503">
        <f>IF($A503&gt;$A502,1,0)</f>
        <v/>
      </c>
      <c r="C503" s="56">
        <f>IF($B503=0,"",IF(Inputs!$B$6="","",IF($AD503=0,C502,SUMIFS(Data!$B$10:$B$3209,Data!$A$10:$A$3209,"&gt;="&amp;$A503,Data!$A$10:$A$3209,"&lt;"&amp;$A503+1)/$AD503)))</f>
        <v/>
      </c>
      <c r="D503" s="56">
        <f>IF($B503=0,"",IF(Inputs!$B$7="","",IF($AE503=0,D502,SUMIFS(Data!$F$10:$F$3209,Data!$E$10:$E$3209,"&gt;="&amp;$A503,Data!$E$10:$E$3209,"&lt;"&amp;$A503+1)/$AE503)))</f>
        <v/>
      </c>
      <c r="E503" s="56">
        <f>IF($B503=0,"",IF(Inputs!$B$8="","",IF($AF503=0,E502,SUMIFS(Data!$J$10:$J$3209,Data!$I$10:$I$3209,"&gt;="&amp;$A503,Data!$I$10:$I$3209,"&lt;"&amp;$A503+1)/$AF503)))</f>
        <v/>
      </c>
      <c r="F503" s="56">
        <f>IF($B503=0,"",IF(Inputs!$B$9="","",IF($AG503=0,F502,SUMIFS(Data!$N$10:$N$3209,Data!$M$10:$M$3209,"&gt;="&amp;$A503,Data!$M$10:$M$3209,"&lt;"&amp;$A503+1)/$AG503)))</f>
        <v/>
      </c>
      <c r="G503" s="56">
        <f>IF($B503=0,"",IF(Inputs!$B$10="","",IF($AH503=0,G502,SUMIFS(Data!$R$10:$R$3209,Data!$Q$10:$Q$3209,"&gt;="&amp;$A503,Data!$Q$10:$Q$3209,"&lt;"&amp;$A503+1)/$AH503)))</f>
        <v/>
      </c>
      <c r="I503" s="54">
        <f>IF($B503=0,NA(),IF($C503="",NA(),IF(C$8="",NA(),IF(N(C$8)=0,NA(),IF(Inputs!$C$17="Rebased to 100",$C503/C$8*100,$C503)))))</f>
        <v/>
      </c>
      <c r="J503" s="54">
        <f>IF($B503=0,NA(),IF($D503="",NA(),IF(D$8="",NA(),IF(N(D$8)=0,NA(),IF(Inputs!$C$17="Rebased to 100",$D503/D$8*100,$D503)))))</f>
        <v/>
      </c>
      <c r="K503" s="54">
        <f>IF($B503=0,NA(),IF($E503="",NA(),IF(E$8="",NA(),IF(N(E$8)=0,NA(),IF(Inputs!$C$17="Rebased to 100",$E503/E$8*100,$E503)))))</f>
        <v/>
      </c>
      <c r="L503" s="54">
        <f>IF($B503=0,NA(),IF($F503="",NA(),IF(F$8="",NA(),IF(N(F$8)=0,NA(),IF(Inputs!$C$17="Rebased to 100",$F503/F$8*100,$F503)))))</f>
        <v/>
      </c>
      <c r="M503" s="54">
        <f>IF($B503=0,NA(),IF($G503="",NA(),IF(G$8="",NA(),IF(N(G$8)=0,NA(),IF(Inputs!$C$17="Rebased to 100",$G503/G$8*100,$G503)))))</f>
        <v/>
      </c>
      <c r="N503" s="54">
        <f>IF($B503=0,NA(),IF(Inputs!$C$18&lt;&gt;"Yes",NA(),IF(COUNT(I503,J503,K503,L503,M503)=0,NA(),MIN(I503,J503,K503,L503,M503))))</f>
        <v/>
      </c>
      <c r="O503" s="54">
        <f>IF($B503=0,NA(),IF(Inputs!$B$24&lt;&gt;"Yes",NA(),Inputs!$D$24*Inputs!$C$35))</f>
        <v/>
      </c>
      <c r="P503" s="54">
        <f>IF($B503=0,NA(),IF(Inputs!$B$25&lt;&gt;"Yes",NA(),Inputs!$D$25*Inputs!$C$35))</f>
        <v/>
      </c>
      <c r="Q503" s="54">
        <f>IF($B503=0,NA(),IF(Inputs!$B$26&lt;&gt;"Yes",NA(),Inputs!$D$26*Inputs!$C$35))</f>
        <v/>
      </c>
      <c r="R503" s="54">
        <f>IF($B503=0,NA(),IF(Inputs!$B$27&lt;&gt;"Yes",NA(),Inputs!$D$27*Inputs!$C$35))</f>
        <v/>
      </c>
      <c r="S503" s="54">
        <f>IF($B503=0,NA(),IF(Inputs!$B$28&lt;&gt;"Yes",NA(),Inputs!$D$28*Inputs!$C$35))</f>
        <v/>
      </c>
      <c r="T503" s="54">
        <f>IF($B503=0,NA(),IF(Inputs!$B$29&lt;&gt;"Yes",NA(),Inputs!$D$29*Inputs!$C$35))</f>
        <v/>
      </c>
      <c r="AD503">
        <f>IF($B503=0,0,IF(Inputs!$B$6="",0,COUNTIFS(Data!$A$10:$A$3209,"&gt;="&amp;$A503,Data!$A$10:$A$3209,"&lt;"&amp;$A503+1)))</f>
        <v/>
      </c>
      <c r="AE503">
        <f>IF($B503=0,0,IF(Inputs!$B$7="",0,COUNTIFS(Data!$E$10:$E$3209,"&gt;="&amp;$A503,Data!$E$10:$E$3209,"&lt;"&amp;$A503+1)))</f>
        <v/>
      </c>
      <c r="AF503">
        <f>IF($B503=0,0,IF(Inputs!$B$8="",0,COUNTIFS(Data!$I$10:$I$3209,"&gt;="&amp;$A503,Data!$I$10:$I$3209,"&lt;"&amp;$A503+1)))</f>
        <v/>
      </c>
      <c r="AG503">
        <f>IF($B503=0,0,IF(Inputs!$B$9="",0,COUNTIFS(Data!$M$10:$M$3209,"&gt;="&amp;$A503,Data!$M$10:$M$3209,"&lt;"&amp;$A503+1)))</f>
        <v/>
      </c>
      <c r="AH503">
        <f>IF($B503=0,0,IF(Inputs!$B$10="",0,COUNTIFS(Data!$Q$10:$Q$3209,"&gt;="&amp;$A503,Data!$Q$10:$Q$3209,"&lt;"&amp;$A503+1)))</f>
        <v/>
      </c>
    </row>
    <row r="504">
      <c r="A504" s="55">
        <f>MIN(Inputs!$C$15,$A503+IF(WEEKDAY($A503,2)=5,3,1))</f>
        <v/>
      </c>
      <c r="B504">
        <f>IF($A504&gt;$A503,1,0)</f>
        <v/>
      </c>
      <c r="C504" s="56">
        <f>IF($B504=0,"",IF(Inputs!$B$6="","",IF($AD504=0,C503,SUMIFS(Data!$B$10:$B$3209,Data!$A$10:$A$3209,"&gt;="&amp;$A504,Data!$A$10:$A$3209,"&lt;"&amp;$A504+1)/$AD504)))</f>
        <v/>
      </c>
      <c r="D504" s="56">
        <f>IF($B504=0,"",IF(Inputs!$B$7="","",IF($AE504=0,D503,SUMIFS(Data!$F$10:$F$3209,Data!$E$10:$E$3209,"&gt;="&amp;$A504,Data!$E$10:$E$3209,"&lt;"&amp;$A504+1)/$AE504)))</f>
        <v/>
      </c>
      <c r="E504" s="56">
        <f>IF($B504=0,"",IF(Inputs!$B$8="","",IF($AF504=0,E503,SUMIFS(Data!$J$10:$J$3209,Data!$I$10:$I$3209,"&gt;="&amp;$A504,Data!$I$10:$I$3209,"&lt;"&amp;$A504+1)/$AF504)))</f>
        <v/>
      </c>
      <c r="F504" s="56">
        <f>IF($B504=0,"",IF(Inputs!$B$9="","",IF($AG504=0,F503,SUMIFS(Data!$N$10:$N$3209,Data!$M$10:$M$3209,"&gt;="&amp;$A504,Data!$M$10:$M$3209,"&lt;"&amp;$A504+1)/$AG504)))</f>
        <v/>
      </c>
      <c r="G504" s="56">
        <f>IF($B504=0,"",IF(Inputs!$B$10="","",IF($AH504=0,G503,SUMIFS(Data!$R$10:$R$3209,Data!$Q$10:$Q$3209,"&gt;="&amp;$A504,Data!$Q$10:$Q$3209,"&lt;"&amp;$A504+1)/$AH504)))</f>
        <v/>
      </c>
      <c r="I504" s="54">
        <f>IF($B504=0,NA(),IF($C504="",NA(),IF(C$8="",NA(),IF(N(C$8)=0,NA(),IF(Inputs!$C$17="Rebased to 100",$C504/C$8*100,$C504)))))</f>
        <v/>
      </c>
      <c r="J504" s="54">
        <f>IF($B504=0,NA(),IF($D504="",NA(),IF(D$8="",NA(),IF(N(D$8)=0,NA(),IF(Inputs!$C$17="Rebased to 100",$D504/D$8*100,$D504)))))</f>
        <v/>
      </c>
      <c r="K504" s="54">
        <f>IF($B504=0,NA(),IF($E504="",NA(),IF(E$8="",NA(),IF(N(E$8)=0,NA(),IF(Inputs!$C$17="Rebased to 100",$E504/E$8*100,$E504)))))</f>
        <v/>
      </c>
      <c r="L504" s="54">
        <f>IF($B504=0,NA(),IF($F504="",NA(),IF(F$8="",NA(),IF(N(F$8)=0,NA(),IF(Inputs!$C$17="Rebased to 100",$F504/F$8*100,$F504)))))</f>
        <v/>
      </c>
      <c r="M504" s="54">
        <f>IF($B504=0,NA(),IF($G504="",NA(),IF(G$8="",NA(),IF(N(G$8)=0,NA(),IF(Inputs!$C$17="Rebased to 100",$G504/G$8*100,$G504)))))</f>
        <v/>
      </c>
      <c r="N504" s="54">
        <f>IF($B504=0,NA(),IF(Inputs!$C$18&lt;&gt;"Yes",NA(),IF(COUNT(I504,J504,K504,L504,M504)=0,NA(),MIN(I504,J504,K504,L504,M504))))</f>
        <v/>
      </c>
      <c r="O504" s="54">
        <f>IF($B504=0,NA(),IF(Inputs!$B$24&lt;&gt;"Yes",NA(),Inputs!$D$24*Inputs!$C$35))</f>
        <v/>
      </c>
      <c r="P504" s="54">
        <f>IF($B504=0,NA(),IF(Inputs!$B$25&lt;&gt;"Yes",NA(),Inputs!$D$25*Inputs!$C$35))</f>
        <v/>
      </c>
      <c r="Q504" s="54">
        <f>IF($B504=0,NA(),IF(Inputs!$B$26&lt;&gt;"Yes",NA(),Inputs!$D$26*Inputs!$C$35))</f>
        <v/>
      </c>
      <c r="R504" s="54">
        <f>IF($B504=0,NA(),IF(Inputs!$B$27&lt;&gt;"Yes",NA(),Inputs!$D$27*Inputs!$C$35))</f>
        <v/>
      </c>
      <c r="S504" s="54">
        <f>IF($B504=0,NA(),IF(Inputs!$B$28&lt;&gt;"Yes",NA(),Inputs!$D$28*Inputs!$C$35))</f>
        <v/>
      </c>
      <c r="T504" s="54">
        <f>IF($B504=0,NA(),IF(Inputs!$B$29&lt;&gt;"Yes",NA(),Inputs!$D$29*Inputs!$C$35))</f>
        <v/>
      </c>
      <c r="AD504">
        <f>IF($B504=0,0,IF(Inputs!$B$6="",0,COUNTIFS(Data!$A$10:$A$3209,"&gt;="&amp;$A504,Data!$A$10:$A$3209,"&lt;"&amp;$A504+1)))</f>
        <v/>
      </c>
      <c r="AE504">
        <f>IF($B504=0,0,IF(Inputs!$B$7="",0,COUNTIFS(Data!$E$10:$E$3209,"&gt;="&amp;$A504,Data!$E$10:$E$3209,"&lt;"&amp;$A504+1)))</f>
        <v/>
      </c>
      <c r="AF504">
        <f>IF($B504=0,0,IF(Inputs!$B$8="",0,COUNTIFS(Data!$I$10:$I$3209,"&gt;="&amp;$A504,Data!$I$10:$I$3209,"&lt;"&amp;$A504+1)))</f>
        <v/>
      </c>
      <c r="AG504">
        <f>IF($B504=0,0,IF(Inputs!$B$9="",0,COUNTIFS(Data!$M$10:$M$3209,"&gt;="&amp;$A504,Data!$M$10:$M$3209,"&lt;"&amp;$A504+1)))</f>
        <v/>
      </c>
      <c r="AH504">
        <f>IF($B504=0,0,IF(Inputs!$B$10="",0,COUNTIFS(Data!$Q$10:$Q$3209,"&gt;="&amp;$A504,Data!$Q$10:$Q$3209,"&lt;"&amp;$A504+1)))</f>
        <v/>
      </c>
    </row>
    <row r="505">
      <c r="A505" s="55">
        <f>MIN(Inputs!$C$15,$A504+IF(WEEKDAY($A504,2)=5,3,1))</f>
        <v/>
      </c>
      <c r="B505">
        <f>IF($A505&gt;$A504,1,0)</f>
        <v/>
      </c>
      <c r="C505" s="56">
        <f>IF($B505=0,"",IF(Inputs!$B$6="","",IF($AD505=0,C504,SUMIFS(Data!$B$10:$B$3209,Data!$A$10:$A$3209,"&gt;="&amp;$A505,Data!$A$10:$A$3209,"&lt;"&amp;$A505+1)/$AD505)))</f>
        <v/>
      </c>
      <c r="D505" s="56">
        <f>IF($B505=0,"",IF(Inputs!$B$7="","",IF($AE505=0,D504,SUMIFS(Data!$F$10:$F$3209,Data!$E$10:$E$3209,"&gt;="&amp;$A505,Data!$E$10:$E$3209,"&lt;"&amp;$A505+1)/$AE505)))</f>
        <v/>
      </c>
      <c r="E505" s="56">
        <f>IF($B505=0,"",IF(Inputs!$B$8="","",IF($AF505=0,E504,SUMIFS(Data!$J$10:$J$3209,Data!$I$10:$I$3209,"&gt;="&amp;$A505,Data!$I$10:$I$3209,"&lt;"&amp;$A505+1)/$AF505)))</f>
        <v/>
      </c>
      <c r="F505" s="56">
        <f>IF($B505=0,"",IF(Inputs!$B$9="","",IF($AG505=0,F504,SUMIFS(Data!$N$10:$N$3209,Data!$M$10:$M$3209,"&gt;="&amp;$A505,Data!$M$10:$M$3209,"&lt;"&amp;$A505+1)/$AG505)))</f>
        <v/>
      </c>
      <c r="G505" s="56">
        <f>IF($B505=0,"",IF(Inputs!$B$10="","",IF($AH505=0,G504,SUMIFS(Data!$R$10:$R$3209,Data!$Q$10:$Q$3209,"&gt;="&amp;$A505,Data!$Q$10:$Q$3209,"&lt;"&amp;$A505+1)/$AH505)))</f>
        <v/>
      </c>
      <c r="I505" s="54">
        <f>IF($B505=0,NA(),IF($C505="",NA(),IF(C$8="",NA(),IF(N(C$8)=0,NA(),IF(Inputs!$C$17="Rebased to 100",$C505/C$8*100,$C505)))))</f>
        <v/>
      </c>
      <c r="J505" s="54">
        <f>IF($B505=0,NA(),IF($D505="",NA(),IF(D$8="",NA(),IF(N(D$8)=0,NA(),IF(Inputs!$C$17="Rebased to 100",$D505/D$8*100,$D505)))))</f>
        <v/>
      </c>
      <c r="K505" s="54">
        <f>IF($B505=0,NA(),IF($E505="",NA(),IF(E$8="",NA(),IF(N(E$8)=0,NA(),IF(Inputs!$C$17="Rebased to 100",$E505/E$8*100,$E505)))))</f>
        <v/>
      </c>
      <c r="L505" s="54">
        <f>IF($B505=0,NA(),IF($F505="",NA(),IF(F$8="",NA(),IF(N(F$8)=0,NA(),IF(Inputs!$C$17="Rebased to 100",$F505/F$8*100,$F505)))))</f>
        <v/>
      </c>
      <c r="M505" s="54">
        <f>IF($B505=0,NA(),IF($G505="",NA(),IF(G$8="",NA(),IF(N(G$8)=0,NA(),IF(Inputs!$C$17="Rebased to 100",$G505/G$8*100,$G505)))))</f>
        <v/>
      </c>
      <c r="N505" s="54">
        <f>IF($B505=0,NA(),IF(Inputs!$C$18&lt;&gt;"Yes",NA(),IF(COUNT(I505,J505,K505,L505,M505)=0,NA(),MIN(I505,J505,K505,L505,M505))))</f>
        <v/>
      </c>
      <c r="O505" s="54">
        <f>IF($B505=0,NA(),IF(Inputs!$B$24&lt;&gt;"Yes",NA(),Inputs!$D$24*Inputs!$C$35))</f>
        <v/>
      </c>
      <c r="P505" s="54">
        <f>IF($B505=0,NA(),IF(Inputs!$B$25&lt;&gt;"Yes",NA(),Inputs!$D$25*Inputs!$C$35))</f>
        <v/>
      </c>
      <c r="Q505" s="54">
        <f>IF($B505=0,NA(),IF(Inputs!$B$26&lt;&gt;"Yes",NA(),Inputs!$D$26*Inputs!$C$35))</f>
        <v/>
      </c>
      <c r="R505" s="54">
        <f>IF($B505=0,NA(),IF(Inputs!$B$27&lt;&gt;"Yes",NA(),Inputs!$D$27*Inputs!$C$35))</f>
        <v/>
      </c>
      <c r="S505" s="54">
        <f>IF($B505=0,NA(),IF(Inputs!$B$28&lt;&gt;"Yes",NA(),Inputs!$D$28*Inputs!$C$35))</f>
        <v/>
      </c>
      <c r="T505" s="54">
        <f>IF($B505=0,NA(),IF(Inputs!$B$29&lt;&gt;"Yes",NA(),Inputs!$D$29*Inputs!$C$35))</f>
        <v/>
      </c>
      <c r="AD505">
        <f>IF($B505=0,0,IF(Inputs!$B$6="",0,COUNTIFS(Data!$A$10:$A$3209,"&gt;="&amp;$A505,Data!$A$10:$A$3209,"&lt;"&amp;$A505+1)))</f>
        <v/>
      </c>
      <c r="AE505">
        <f>IF($B505=0,0,IF(Inputs!$B$7="",0,COUNTIFS(Data!$E$10:$E$3209,"&gt;="&amp;$A505,Data!$E$10:$E$3209,"&lt;"&amp;$A505+1)))</f>
        <v/>
      </c>
      <c r="AF505">
        <f>IF($B505=0,0,IF(Inputs!$B$8="",0,COUNTIFS(Data!$I$10:$I$3209,"&gt;="&amp;$A505,Data!$I$10:$I$3209,"&lt;"&amp;$A505+1)))</f>
        <v/>
      </c>
      <c r="AG505">
        <f>IF($B505=0,0,IF(Inputs!$B$9="",0,COUNTIFS(Data!$M$10:$M$3209,"&gt;="&amp;$A505,Data!$M$10:$M$3209,"&lt;"&amp;$A505+1)))</f>
        <v/>
      </c>
      <c r="AH505">
        <f>IF($B505=0,0,IF(Inputs!$B$10="",0,COUNTIFS(Data!$Q$10:$Q$3209,"&gt;="&amp;$A505,Data!$Q$10:$Q$3209,"&lt;"&amp;$A505+1)))</f>
        <v/>
      </c>
    </row>
    <row r="506">
      <c r="A506" s="55">
        <f>MIN(Inputs!$C$15,$A505+IF(WEEKDAY($A505,2)=5,3,1))</f>
        <v/>
      </c>
      <c r="B506">
        <f>IF($A506&gt;$A505,1,0)</f>
        <v/>
      </c>
      <c r="C506" s="56">
        <f>IF($B506=0,"",IF(Inputs!$B$6="","",IF($AD506=0,C505,SUMIFS(Data!$B$10:$B$3209,Data!$A$10:$A$3209,"&gt;="&amp;$A506,Data!$A$10:$A$3209,"&lt;"&amp;$A506+1)/$AD506)))</f>
        <v/>
      </c>
      <c r="D506" s="56">
        <f>IF($B506=0,"",IF(Inputs!$B$7="","",IF($AE506=0,D505,SUMIFS(Data!$F$10:$F$3209,Data!$E$10:$E$3209,"&gt;="&amp;$A506,Data!$E$10:$E$3209,"&lt;"&amp;$A506+1)/$AE506)))</f>
        <v/>
      </c>
      <c r="E506" s="56">
        <f>IF($B506=0,"",IF(Inputs!$B$8="","",IF($AF506=0,E505,SUMIFS(Data!$J$10:$J$3209,Data!$I$10:$I$3209,"&gt;="&amp;$A506,Data!$I$10:$I$3209,"&lt;"&amp;$A506+1)/$AF506)))</f>
        <v/>
      </c>
      <c r="F506" s="56">
        <f>IF($B506=0,"",IF(Inputs!$B$9="","",IF($AG506=0,F505,SUMIFS(Data!$N$10:$N$3209,Data!$M$10:$M$3209,"&gt;="&amp;$A506,Data!$M$10:$M$3209,"&lt;"&amp;$A506+1)/$AG506)))</f>
        <v/>
      </c>
      <c r="G506" s="56">
        <f>IF($B506=0,"",IF(Inputs!$B$10="","",IF($AH506=0,G505,SUMIFS(Data!$R$10:$R$3209,Data!$Q$10:$Q$3209,"&gt;="&amp;$A506,Data!$Q$10:$Q$3209,"&lt;"&amp;$A506+1)/$AH506)))</f>
        <v/>
      </c>
      <c r="I506" s="54">
        <f>IF($B506=0,NA(),IF($C506="",NA(),IF(C$8="",NA(),IF(N(C$8)=0,NA(),IF(Inputs!$C$17="Rebased to 100",$C506/C$8*100,$C506)))))</f>
        <v/>
      </c>
      <c r="J506" s="54">
        <f>IF($B506=0,NA(),IF($D506="",NA(),IF(D$8="",NA(),IF(N(D$8)=0,NA(),IF(Inputs!$C$17="Rebased to 100",$D506/D$8*100,$D506)))))</f>
        <v/>
      </c>
      <c r="K506" s="54">
        <f>IF($B506=0,NA(),IF($E506="",NA(),IF(E$8="",NA(),IF(N(E$8)=0,NA(),IF(Inputs!$C$17="Rebased to 100",$E506/E$8*100,$E506)))))</f>
        <v/>
      </c>
      <c r="L506" s="54">
        <f>IF($B506=0,NA(),IF($F506="",NA(),IF(F$8="",NA(),IF(N(F$8)=0,NA(),IF(Inputs!$C$17="Rebased to 100",$F506/F$8*100,$F506)))))</f>
        <v/>
      </c>
      <c r="M506" s="54">
        <f>IF($B506=0,NA(),IF($G506="",NA(),IF(G$8="",NA(),IF(N(G$8)=0,NA(),IF(Inputs!$C$17="Rebased to 100",$G506/G$8*100,$G506)))))</f>
        <v/>
      </c>
      <c r="N506" s="54">
        <f>IF($B506=0,NA(),IF(Inputs!$C$18&lt;&gt;"Yes",NA(),IF(COUNT(I506,J506,K506,L506,M506)=0,NA(),MIN(I506,J506,K506,L506,M506))))</f>
        <v/>
      </c>
      <c r="O506" s="54">
        <f>IF($B506=0,NA(),IF(Inputs!$B$24&lt;&gt;"Yes",NA(),Inputs!$D$24*Inputs!$C$35))</f>
        <v/>
      </c>
      <c r="P506" s="54">
        <f>IF($B506=0,NA(),IF(Inputs!$B$25&lt;&gt;"Yes",NA(),Inputs!$D$25*Inputs!$C$35))</f>
        <v/>
      </c>
      <c r="Q506" s="54">
        <f>IF($B506=0,NA(),IF(Inputs!$B$26&lt;&gt;"Yes",NA(),Inputs!$D$26*Inputs!$C$35))</f>
        <v/>
      </c>
      <c r="R506" s="54">
        <f>IF($B506=0,NA(),IF(Inputs!$B$27&lt;&gt;"Yes",NA(),Inputs!$D$27*Inputs!$C$35))</f>
        <v/>
      </c>
      <c r="S506" s="54">
        <f>IF($B506=0,NA(),IF(Inputs!$B$28&lt;&gt;"Yes",NA(),Inputs!$D$28*Inputs!$C$35))</f>
        <v/>
      </c>
      <c r="T506" s="54">
        <f>IF($B506=0,NA(),IF(Inputs!$B$29&lt;&gt;"Yes",NA(),Inputs!$D$29*Inputs!$C$35))</f>
        <v/>
      </c>
      <c r="AD506">
        <f>IF($B506=0,0,IF(Inputs!$B$6="",0,COUNTIFS(Data!$A$10:$A$3209,"&gt;="&amp;$A506,Data!$A$10:$A$3209,"&lt;"&amp;$A506+1)))</f>
        <v/>
      </c>
      <c r="AE506">
        <f>IF($B506=0,0,IF(Inputs!$B$7="",0,COUNTIFS(Data!$E$10:$E$3209,"&gt;="&amp;$A506,Data!$E$10:$E$3209,"&lt;"&amp;$A506+1)))</f>
        <v/>
      </c>
      <c r="AF506">
        <f>IF($B506=0,0,IF(Inputs!$B$8="",0,COUNTIFS(Data!$I$10:$I$3209,"&gt;="&amp;$A506,Data!$I$10:$I$3209,"&lt;"&amp;$A506+1)))</f>
        <v/>
      </c>
      <c r="AG506">
        <f>IF($B506=0,0,IF(Inputs!$B$9="",0,COUNTIFS(Data!$M$10:$M$3209,"&gt;="&amp;$A506,Data!$M$10:$M$3209,"&lt;"&amp;$A506+1)))</f>
        <v/>
      </c>
      <c r="AH506">
        <f>IF($B506=0,0,IF(Inputs!$B$10="",0,COUNTIFS(Data!$Q$10:$Q$3209,"&gt;="&amp;$A506,Data!$Q$10:$Q$3209,"&lt;"&amp;$A506+1)))</f>
        <v/>
      </c>
    </row>
    <row r="507">
      <c r="A507" s="55">
        <f>MIN(Inputs!$C$15,$A506+IF(WEEKDAY($A506,2)=5,3,1))</f>
        <v/>
      </c>
      <c r="B507">
        <f>IF($A507&gt;$A506,1,0)</f>
        <v/>
      </c>
      <c r="C507" s="56">
        <f>IF($B507=0,"",IF(Inputs!$B$6="","",IF($AD507=0,C506,SUMIFS(Data!$B$10:$B$3209,Data!$A$10:$A$3209,"&gt;="&amp;$A507,Data!$A$10:$A$3209,"&lt;"&amp;$A507+1)/$AD507)))</f>
        <v/>
      </c>
      <c r="D507" s="56">
        <f>IF($B507=0,"",IF(Inputs!$B$7="","",IF($AE507=0,D506,SUMIFS(Data!$F$10:$F$3209,Data!$E$10:$E$3209,"&gt;="&amp;$A507,Data!$E$10:$E$3209,"&lt;"&amp;$A507+1)/$AE507)))</f>
        <v/>
      </c>
      <c r="E507" s="56">
        <f>IF($B507=0,"",IF(Inputs!$B$8="","",IF($AF507=0,E506,SUMIFS(Data!$J$10:$J$3209,Data!$I$10:$I$3209,"&gt;="&amp;$A507,Data!$I$10:$I$3209,"&lt;"&amp;$A507+1)/$AF507)))</f>
        <v/>
      </c>
      <c r="F507" s="56">
        <f>IF($B507=0,"",IF(Inputs!$B$9="","",IF($AG507=0,F506,SUMIFS(Data!$N$10:$N$3209,Data!$M$10:$M$3209,"&gt;="&amp;$A507,Data!$M$10:$M$3209,"&lt;"&amp;$A507+1)/$AG507)))</f>
        <v/>
      </c>
      <c r="G507" s="56">
        <f>IF($B507=0,"",IF(Inputs!$B$10="","",IF($AH507=0,G506,SUMIFS(Data!$R$10:$R$3209,Data!$Q$10:$Q$3209,"&gt;="&amp;$A507,Data!$Q$10:$Q$3209,"&lt;"&amp;$A507+1)/$AH507)))</f>
        <v/>
      </c>
      <c r="I507" s="54">
        <f>IF($B507=0,NA(),IF($C507="",NA(),IF(C$8="",NA(),IF(N(C$8)=0,NA(),IF(Inputs!$C$17="Rebased to 100",$C507/C$8*100,$C507)))))</f>
        <v/>
      </c>
      <c r="J507" s="54">
        <f>IF($B507=0,NA(),IF($D507="",NA(),IF(D$8="",NA(),IF(N(D$8)=0,NA(),IF(Inputs!$C$17="Rebased to 100",$D507/D$8*100,$D507)))))</f>
        <v/>
      </c>
      <c r="K507" s="54">
        <f>IF($B507=0,NA(),IF($E507="",NA(),IF(E$8="",NA(),IF(N(E$8)=0,NA(),IF(Inputs!$C$17="Rebased to 100",$E507/E$8*100,$E507)))))</f>
        <v/>
      </c>
      <c r="L507" s="54">
        <f>IF($B507=0,NA(),IF($F507="",NA(),IF(F$8="",NA(),IF(N(F$8)=0,NA(),IF(Inputs!$C$17="Rebased to 100",$F507/F$8*100,$F507)))))</f>
        <v/>
      </c>
      <c r="M507" s="54">
        <f>IF($B507=0,NA(),IF($G507="",NA(),IF(G$8="",NA(),IF(N(G$8)=0,NA(),IF(Inputs!$C$17="Rebased to 100",$G507/G$8*100,$G507)))))</f>
        <v/>
      </c>
      <c r="N507" s="54">
        <f>IF($B507=0,NA(),IF(Inputs!$C$18&lt;&gt;"Yes",NA(),IF(COUNT(I507,J507,K507,L507,M507)=0,NA(),MIN(I507,J507,K507,L507,M507))))</f>
        <v/>
      </c>
      <c r="O507" s="54">
        <f>IF($B507=0,NA(),IF(Inputs!$B$24&lt;&gt;"Yes",NA(),Inputs!$D$24*Inputs!$C$35))</f>
        <v/>
      </c>
      <c r="P507" s="54">
        <f>IF($B507=0,NA(),IF(Inputs!$B$25&lt;&gt;"Yes",NA(),Inputs!$D$25*Inputs!$C$35))</f>
        <v/>
      </c>
      <c r="Q507" s="54">
        <f>IF($B507=0,NA(),IF(Inputs!$B$26&lt;&gt;"Yes",NA(),Inputs!$D$26*Inputs!$C$35))</f>
        <v/>
      </c>
      <c r="R507" s="54">
        <f>IF($B507=0,NA(),IF(Inputs!$B$27&lt;&gt;"Yes",NA(),Inputs!$D$27*Inputs!$C$35))</f>
        <v/>
      </c>
      <c r="S507" s="54">
        <f>IF($B507=0,NA(),IF(Inputs!$B$28&lt;&gt;"Yes",NA(),Inputs!$D$28*Inputs!$C$35))</f>
        <v/>
      </c>
      <c r="T507" s="54">
        <f>IF($B507=0,NA(),IF(Inputs!$B$29&lt;&gt;"Yes",NA(),Inputs!$D$29*Inputs!$C$35))</f>
        <v/>
      </c>
      <c r="AD507">
        <f>IF($B507=0,0,IF(Inputs!$B$6="",0,COUNTIFS(Data!$A$10:$A$3209,"&gt;="&amp;$A507,Data!$A$10:$A$3209,"&lt;"&amp;$A507+1)))</f>
        <v/>
      </c>
      <c r="AE507">
        <f>IF($B507=0,0,IF(Inputs!$B$7="",0,COUNTIFS(Data!$E$10:$E$3209,"&gt;="&amp;$A507,Data!$E$10:$E$3209,"&lt;"&amp;$A507+1)))</f>
        <v/>
      </c>
      <c r="AF507">
        <f>IF($B507=0,0,IF(Inputs!$B$8="",0,COUNTIFS(Data!$I$10:$I$3209,"&gt;="&amp;$A507,Data!$I$10:$I$3209,"&lt;"&amp;$A507+1)))</f>
        <v/>
      </c>
      <c r="AG507">
        <f>IF($B507=0,0,IF(Inputs!$B$9="",0,COUNTIFS(Data!$M$10:$M$3209,"&gt;="&amp;$A507,Data!$M$10:$M$3209,"&lt;"&amp;$A507+1)))</f>
        <v/>
      </c>
      <c r="AH507">
        <f>IF($B507=0,0,IF(Inputs!$B$10="",0,COUNTIFS(Data!$Q$10:$Q$3209,"&gt;="&amp;$A507,Data!$Q$10:$Q$3209,"&lt;"&amp;$A507+1)))</f>
        <v/>
      </c>
    </row>
    <row r="508">
      <c r="A508" s="55">
        <f>MIN(Inputs!$C$15,$A507+IF(WEEKDAY($A507,2)=5,3,1))</f>
        <v/>
      </c>
      <c r="B508">
        <f>IF($A508&gt;$A507,1,0)</f>
        <v/>
      </c>
      <c r="C508" s="56">
        <f>IF($B508=0,"",IF(Inputs!$B$6="","",IF($AD508=0,C507,SUMIFS(Data!$B$10:$B$3209,Data!$A$10:$A$3209,"&gt;="&amp;$A508,Data!$A$10:$A$3209,"&lt;"&amp;$A508+1)/$AD508)))</f>
        <v/>
      </c>
      <c r="D508" s="56">
        <f>IF($B508=0,"",IF(Inputs!$B$7="","",IF($AE508=0,D507,SUMIFS(Data!$F$10:$F$3209,Data!$E$10:$E$3209,"&gt;="&amp;$A508,Data!$E$10:$E$3209,"&lt;"&amp;$A508+1)/$AE508)))</f>
        <v/>
      </c>
      <c r="E508" s="56">
        <f>IF($B508=0,"",IF(Inputs!$B$8="","",IF($AF508=0,E507,SUMIFS(Data!$J$10:$J$3209,Data!$I$10:$I$3209,"&gt;="&amp;$A508,Data!$I$10:$I$3209,"&lt;"&amp;$A508+1)/$AF508)))</f>
        <v/>
      </c>
      <c r="F508" s="56">
        <f>IF($B508=0,"",IF(Inputs!$B$9="","",IF($AG508=0,F507,SUMIFS(Data!$N$10:$N$3209,Data!$M$10:$M$3209,"&gt;="&amp;$A508,Data!$M$10:$M$3209,"&lt;"&amp;$A508+1)/$AG508)))</f>
        <v/>
      </c>
      <c r="G508" s="56">
        <f>IF($B508=0,"",IF(Inputs!$B$10="","",IF($AH508=0,G507,SUMIFS(Data!$R$10:$R$3209,Data!$Q$10:$Q$3209,"&gt;="&amp;$A508,Data!$Q$10:$Q$3209,"&lt;"&amp;$A508+1)/$AH508)))</f>
        <v/>
      </c>
      <c r="I508" s="54">
        <f>IF($B508=0,NA(),IF($C508="",NA(),IF(C$8="",NA(),IF(N(C$8)=0,NA(),IF(Inputs!$C$17="Rebased to 100",$C508/C$8*100,$C508)))))</f>
        <v/>
      </c>
      <c r="J508" s="54">
        <f>IF($B508=0,NA(),IF($D508="",NA(),IF(D$8="",NA(),IF(N(D$8)=0,NA(),IF(Inputs!$C$17="Rebased to 100",$D508/D$8*100,$D508)))))</f>
        <v/>
      </c>
      <c r="K508" s="54">
        <f>IF($B508=0,NA(),IF($E508="",NA(),IF(E$8="",NA(),IF(N(E$8)=0,NA(),IF(Inputs!$C$17="Rebased to 100",$E508/E$8*100,$E508)))))</f>
        <v/>
      </c>
      <c r="L508" s="54">
        <f>IF($B508=0,NA(),IF($F508="",NA(),IF(F$8="",NA(),IF(N(F$8)=0,NA(),IF(Inputs!$C$17="Rebased to 100",$F508/F$8*100,$F508)))))</f>
        <v/>
      </c>
      <c r="M508" s="54">
        <f>IF($B508=0,NA(),IF($G508="",NA(),IF(G$8="",NA(),IF(N(G$8)=0,NA(),IF(Inputs!$C$17="Rebased to 100",$G508/G$8*100,$G508)))))</f>
        <v/>
      </c>
      <c r="N508" s="54">
        <f>IF($B508=0,NA(),IF(Inputs!$C$18&lt;&gt;"Yes",NA(),IF(COUNT(I508,J508,K508,L508,M508)=0,NA(),MIN(I508,J508,K508,L508,M508))))</f>
        <v/>
      </c>
      <c r="O508" s="54">
        <f>IF($B508=0,NA(),IF(Inputs!$B$24&lt;&gt;"Yes",NA(),Inputs!$D$24*Inputs!$C$35))</f>
        <v/>
      </c>
      <c r="P508" s="54">
        <f>IF($B508=0,NA(),IF(Inputs!$B$25&lt;&gt;"Yes",NA(),Inputs!$D$25*Inputs!$C$35))</f>
        <v/>
      </c>
      <c r="Q508" s="54">
        <f>IF($B508=0,NA(),IF(Inputs!$B$26&lt;&gt;"Yes",NA(),Inputs!$D$26*Inputs!$C$35))</f>
        <v/>
      </c>
      <c r="R508" s="54">
        <f>IF($B508=0,NA(),IF(Inputs!$B$27&lt;&gt;"Yes",NA(),Inputs!$D$27*Inputs!$C$35))</f>
        <v/>
      </c>
      <c r="S508" s="54">
        <f>IF($B508=0,NA(),IF(Inputs!$B$28&lt;&gt;"Yes",NA(),Inputs!$D$28*Inputs!$C$35))</f>
        <v/>
      </c>
      <c r="T508" s="54">
        <f>IF($B508=0,NA(),IF(Inputs!$B$29&lt;&gt;"Yes",NA(),Inputs!$D$29*Inputs!$C$35))</f>
        <v/>
      </c>
      <c r="AD508">
        <f>IF($B508=0,0,IF(Inputs!$B$6="",0,COUNTIFS(Data!$A$10:$A$3209,"&gt;="&amp;$A508,Data!$A$10:$A$3209,"&lt;"&amp;$A508+1)))</f>
        <v/>
      </c>
      <c r="AE508">
        <f>IF($B508=0,0,IF(Inputs!$B$7="",0,COUNTIFS(Data!$E$10:$E$3209,"&gt;="&amp;$A508,Data!$E$10:$E$3209,"&lt;"&amp;$A508+1)))</f>
        <v/>
      </c>
      <c r="AF508">
        <f>IF($B508=0,0,IF(Inputs!$B$8="",0,COUNTIFS(Data!$I$10:$I$3209,"&gt;="&amp;$A508,Data!$I$10:$I$3209,"&lt;"&amp;$A508+1)))</f>
        <v/>
      </c>
      <c r="AG508">
        <f>IF($B508=0,0,IF(Inputs!$B$9="",0,COUNTIFS(Data!$M$10:$M$3209,"&gt;="&amp;$A508,Data!$M$10:$M$3209,"&lt;"&amp;$A508+1)))</f>
        <v/>
      </c>
      <c r="AH508">
        <f>IF($B508=0,0,IF(Inputs!$B$10="",0,COUNTIFS(Data!$Q$10:$Q$3209,"&gt;="&amp;$A508,Data!$Q$10:$Q$3209,"&lt;"&amp;$A508+1)))</f>
        <v/>
      </c>
    </row>
    <row r="509">
      <c r="A509" s="55">
        <f>MIN(Inputs!$C$15,$A508+IF(WEEKDAY($A508,2)=5,3,1))</f>
        <v/>
      </c>
      <c r="B509">
        <f>IF($A509&gt;$A508,1,0)</f>
        <v/>
      </c>
      <c r="C509" s="56">
        <f>IF($B509=0,"",IF(Inputs!$B$6="","",IF($AD509=0,C508,SUMIFS(Data!$B$10:$B$3209,Data!$A$10:$A$3209,"&gt;="&amp;$A509,Data!$A$10:$A$3209,"&lt;"&amp;$A509+1)/$AD509)))</f>
        <v/>
      </c>
      <c r="D509" s="56">
        <f>IF($B509=0,"",IF(Inputs!$B$7="","",IF($AE509=0,D508,SUMIFS(Data!$F$10:$F$3209,Data!$E$10:$E$3209,"&gt;="&amp;$A509,Data!$E$10:$E$3209,"&lt;"&amp;$A509+1)/$AE509)))</f>
        <v/>
      </c>
      <c r="E509" s="56">
        <f>IF($B509=0,"",IF(Inputs!$B$8="","",IF($AF509=0,E508,SUMIFS(Data!$J$10:$J$3209,Data!$I$10:$I$3209,"&gt;="&amp;$A509,Data!$I$10:$I$3209,"&lt;"&amp;$A509+1)/$AF509)))</f>
        <v/>
      </c>
      <c r="F509" s="56">
        <f>IF($B509=0,"",IF(Inputs!$B$9="","",IF($AG509=0,F508,SUMIFS(Data!$N$10:$N$3209,Data!$M$10:$M$3209,"&gt;="&amp;$A509,Data!$M$10:$M$3209,"&lt;"&amp;$A509+1)/$AG509)))</f>
        <v/>
      </c>
      <c r="G509" s="56">
        <f>IF($B509=0,"",IF(Inputs!$B$10="","",IF($AH509=0,G508,SUMIFS(Data!$R$10:$R$3209,Data!$Q$10:$Q$3209,"&gt;="&amp;$A509,Data!$Q$10:$Q$3209,"&lt;"&amp;$A509+1)/$AH509)))</f>
        <v/>
      </c>
      <c r="I509" s="54">
        <f>IF($B509=0,NA(),IF($C509="",NA(),IF(C$8="",NA(),IF(N(C$8)=0,NA(),IF(Inputs!$C$17="Rebased to 100",$C509/C$8*100,$C509)))))</f>
        <v/>
      </c>
      <c r="J509" s="54">
        <f>IF($B509=0,NA(),IF($D509="",NA(),IF(D$8="",NA(),IF(N(D$8)=0,NA(),IF(Inputs!$C$17="Rebased to 100",$D509/D$8*100,$D509)))))</f>
        <v/>
      </c>
      <c r="K509" s="54">
        <f>IF($B509=0,NA(),IF($E509="",NA(),IF(E$8="",NA(),IF(N(E$8)=0,NA(),IF(Inputs!$C$17="Rebased to 100",$E509/E$8*100,$E509)))))</f>
        <v/>
      </c>
      <c r="L509" s="54">
        <f>IF($B509=0,NA(),IF($F509="",NA(),IF(F$8="",NA(),IF(N(F$8)=0,NA(),IF(Inputs!$C$17="Rebased to 100",$F509/F$8*100,$F509)))))</f>
        <v/>
      </c>
      <c r="M509" s="54">
        <f>IF($B509=0,NA(),IF($G509="",NA(),IF(G$8="",NA(),IF(N(G$8)=0,NA(),IF(Inputs!$C$17="Rebased to 100",$G509/G$8*100,$G509)))))</f>
        <v/>
      </c>
      <c r="N509" s="54">
        <f>IF($B509=0,NA(),IF(Inputs!$C$18&lt;&gt;"Yes",NA(),IF(COUNT(I509,J509,K509,L509,M509)=0,NA(),MIN(I509,J509,K509,L509,M509))))</f>
        <v/>
      </c>
      <c r="O509" s="54">
        <f>IF($B509=0,NA(),IF(Inputs!$B$24&lt;&gt;"Yes",NA(),Inputs!$D$24*Inputs!$C$35))</f>
        <v/>
      </c>
      <c r="P509" s="54">
        <f>IF($B509=0,NA(),IF(Inputs!$B$25&lt;&gt;"Yes",NA(),Inputs!$D$25*Inputs!$C$35))</f>
        <v/>
      </c>
      <c r="Q509" s="54">
        <f>IF($B509=0,NA(),IF(Inputs!$B$26&lt;&gt;"Yes",NA(),Inputs!$D$26*Inputs!$C$35))</f>
        <v/>
      </c>
      <c r="R509" s="54">
        <f>IF($B509=0,NA(),IF(Inputs!$B$27&lt;&gt;"Yes",NA(),Inputs!$D$27*Inputs!$C$35))</f>
        <v/>
      </c>
      <c r="S509" s="54">
        <f>IF($B509=0,NA(),IF(Inputs!$B$28&lt;&gt;"Yes",NA(),Inputs!$D$28*Inputs!$C$35))</f>
        <v/>
      </c>
      <c r="T509" s="54">
        <f>IF($B509=0,NA(),IF(Inputs!$B$29&lt;&gt;"Yes",NA(),Inputs!$D$29*Inputs!$C$35))</f>
        <v/>
      </c>
      <c r="AD509">
        <f>IF($B509=0,0,IF(Inputs!$B$6="",0,COUNTIFS(Data!$A$10:$A$3209,"&gt;="&amp;$A509,Data!$A$10:$A$3209,"&lt;"&amp;$A509+1)))</f>
        <v/>
      </c>
      <c r="AE509">
        <f>IF($B509=0,0,IF(Inputs!$B$7="",0,COUNTIFS(Data!$E$10:$E$3209,"&gt;="&amp;$A509,Data!$E$10:$E$3209,"&lt;"&amp;$A509+1)))</f>
        <v/>
      </c>
      <c r="AF509">
        <f>IF($B509=0,0,IF(Inputs!$B$8="",0,COUNTIFS(Data!$I$10:$I$3209,"&gt;="&amp;$A509,Data!$I$10:$I$3209,"&lt;"&amp;$A509+1)))</f>
        <v/>
      </c>
      <c r="AG509">
        <f>IF($B509=0,0,IF(Inputs!$B$9="",0,COUNTIFS(Data!$M$10:$M$3209,"&gt;="&amp;$A509,Data!$M$10:$M$3209,"&lt;"&amp;$A509+1)))</f>
        <v/>
      </c>
      <c r="AH509">
        <f>IF($B509=0,0,IF(Inputs!$B$10="",0,COUNTIFS(Data!$Q$10:$Q$3209,"&gt;="&amp;$A509,Data!$Q$10:$Q$3209,"&lt;"&amp;$A509+1)))</f>
        <v/>
      </c>
    </row>
    <row r="510">
      <c r="A510" s="55">
        <f>MIN(Inputs!$C$15,$A509+IF(WEEKDAY($A509,2)=5,3,1))</f>
        <v/>
      </c>
      <c r="B510">
        <f>IF($A510&gt;$A509,1,0)</f>
        <v/>
      </c>
      <c r="C510" s="56">
        <f>IF($B510=0,"",IF(Inputs!$B$6="","",IF($AD510=0,C509,SUMIFS(Data!$B$10:$B$3209,Data!$A$10:$A$3209,"&gt;="&amp;$A510,Data!$A$10:$A$3209,"&lt;"&amp;$A510+1)/$AD510)))</f>
        <v/>
      </c>
      <c r="D510" s="56">
        <f>IF($B510=0,"",IF(Inputs!$B$7="","",IF($AE510=0,D509,SUMIFS(Data!$F$10:$F$3209,Data!$E$10:$E$3209,"&gt;="&amp;$A510,Data!$E$10:$E$3209,"&lt;"&amp;$A510+1)/$AE510)))</f>
        <v/>
      </c>
      <c r="E510" s="56">
        <f>IF($B510=0,"",IF(Inputs!$B$8="","",IF($AF510=0,E509,SUMIFS(Data!$J$10:$J$3209,Data!$I$10:$I$3209,"&gt;="&amp;$A510,Data!$I$10:$I$3209,"&lt;"&amp;$A510+1)/$AF510)))</f>
        <v/>
      </c>
      <c r="F510" s="56">
        <f>IF($B510=0,"",IF(Inputs!$B$9="","",IF($AG510=0,F509,SUMIFS(Data!$N$10:$N$3209,Data!$M$10:$M$3209,"&gt;="&amp;$A510,Data!$M$10:$M$3209,"&lt;"&amp;$A510+1)/$AG510)))</f>
        <v/>
      </c>
      <c r="G510" s="56">
        <f>IF($B510=0,"",IF(Inputs!$B$10="","",IF($AH510=0,G509,SUMIFS(Data!$R$10:$R$3209,Data!$Q$10:$Q$3209,"&gt;="&amp;$A510,Data!$Q$10:$Q$3209,"&lt;"&amp;$A510+1)/$AH510)))</f>
        <v/>
      </c>
      <c r="I510" s="54">
        <f>IF($B510=0,NA(),IF($C510="",NA(),IF(C$8="",NA(),IF(N(C$8)=0,NA(),IF(Inputs!$C$17="Rebased to 100",$C510/C$8*100,$C510)))))</f>
        <v/>
      </c>
      <c r="J510" s="54">
        <f>IF($B510=0,NA(),IF($D510="",NA(),IF(D$8="",NA(),IF(N(D$8)=0,NA(),IF(Inputs!$C$17="Rebased to 100",$D510/D$8*100,$D510)))))</f>
        <v/>
      </c>
      <c r="K510" s="54">
        <f>IF($B510=0,NA(),IF($E510="",NA(),IF(E$8="",NA(),IF(N(E$8)=0,NA(),IF(Inputs!$C$17="Rebased to 100",$E510/E$8*100,$E510)))))</f>
        <v/>
      </c>
      <c r="L510" s="54">
        <f>IF($B510=0,NA(),IF($F510="",NA(),IF(F$8="",NA(),IF(N(F$8)=0,NA(),IF(Inputs!$C$17="Rebased to 100",$F510/F$8*100,$F510)))))</f>
        <v/>
      </c>
      <c r="M510" s="54">
        <f>IF($B510=0,NA(),IF($G510="",NA(),IF(G$8="",NA(),IF(N(G$8)=0,NA(),IF(Inputs!$C$17="Rebased to 100",$G510/G$8*100,$G510)))))</f>
        <v/>
      </c>
      <c r="N510" s="54">
        <f>IF($B510=0,NA(),IF(Inputs!$C$18&lt;&gt;"Yes",NA(),IF(COUNT(I510,J510,K510,L510,M510)=0,NA(),MIN(I510,J510,K510,L510,M510))))</f>
        <v/>
      </c>
      <c r="O510" s="54">
        <f>IF($B510=0,NA(),IF(Inputs!$B$24&lt;&gt;"Yes",NA(),Inputs!$D$24*Inputs!$C$35))</f>
        <v/>
      </c>
      <c r="P510" s="54">
        <f>IF($B510=0,NA(),IF(Inputs!$B$25&lt;&gt;"Yes",NA(),Inputs!$D$25*Inputs!$C$35))</f>
        <v/>
      </c>
      <c r="Q510" s="54">
        <f>IF($B510=0,NA(),IF(Inputs!$B$26&lt;&gt;"Yes",NA(),Inputs!$D$26*Inputs!$C$35))</f>
        <v/>
      </c>
      <c r="R510" s="54">
        <f>IF($B510=0,NA(),IF(Inputs!$B$27&lt;&gt;"Yes",NA(),Inputs!$D$27*Inputs!$C$35))</f>
        <v/>
      </c>
      <c r="S510" s="54">
        <f>IF($B510=0,NA(),IF(Inputs!$B$28&lt;&gt;"Yes",NA(),Inputs!$D$28*Inputs!$C$35))</f>
        <v/>
      </c>
      <c r="T510" s="54">
        <f>IF($B510=0,NA(),IF(Inputs!$B$29&lt;&gt;"Yes",NA(),Inputs!$D$29*Inputs!$C$35))</f>
        <v/>
      </c>
      <c r="AD510">
        <f>IF($B510=0,0,IF(Inputs!$B$6="",0,COUNTIFS(Data!$A$10:$A$3209,"&gt;="&amp;$A510,Data!$A$10:$A$3209,"&lt;"&amp;$A510+1)))</f>
        <v/>
      </c>
      <c r="AE510">
        <f>IF($B510=0,0,IF(Inputs!$B$7="",0,COUNTIFS(Data!$E$10:$E$3209,"&gt;="&amp;$A510,Data!$E$10:$E$3209,"&lt;"&amp;$A510+1)))</f>
        <v/>
      </c>
      <c r="AF510">
        <f>IF($B510=0,0,IF(Inputs!$B$8="",0,COUNTIFS(Data!$I$10:$I$3209,"&gt;="&amp;$A510,Data!$I$10:$I$3209,"&lt;"&amp;$A510+1)))</f>
        <v/>
      </c>
      <c r="AG510">
        <f>IF($B510=0,0,IF(Inputs!$B$9="",0,COUNTIFS(Data!$M$10:$M$3209,"&gt;="&amp;$A510,Data!$M$10:$M$3209,"&lt;"&amp;$A510+1)))</f>
        <v/>
      </c>
      <c r="AH510">
        <f>IF($B510=0,0,IF(Inputs!$B$10="",0,COUNTIFS(Data!$Q$10:$Q$3209,"&gt;="&amp;$A510,Data!$Q$10:$Q$3209,"&lt;"&amp;$A510+1)))</f>
        <v/>
      </c>
    </row>
    <row r="511">
      <c r="A511" s="55">
        <f>MIN(Inputs!$C$15,$A510+IF(WEEKDAY($A510,2)=5,3,1))</f>
        <v/>
      </c>
      <c r="B511">
        <f>IF($A511&gt;$A510,1,0)</f>
        <v/>
      </c>
      <c r="C511" s="56">
        <f>IF($B511=0,"",IF(Inputs!$B$6="","",IF($AD511=0,C510,SUMIFS(Data!$B$10:$B$3209,Data!$A$10:$A$3209,"&gt;="&amp;$A511,Data!$A$10:$A$3209,"&lt;"&amp;$A511+1)/$AD511)))</f>
        <v/>
      </c>
      <c r="D511" s="56">
        <f>IF($B511=0,"",IF(Inputs!$B$7="","",IF($AE511=0,D510,SUMIFS(Data!$F$10:$F$3209,Data!$E$10:$E$3209,"&gt;="&amp;$A511,Data!$E$10:$E$3209,"&lt;"&amp;$A511+1)/$AE511)))</f>
        <v/>
      </c>
      <c r="E511" s="56">
        <f>IF($B511=0,"",IF(Inputs!$B$8="","",IF($AF511=0,E510,SUMIFS(Data!$J$10:$J$3209,Data!$I$10:$I$3209,"&gt;="&amp;$A511,Data!$I$10:$I$3209,"&lt;"&amp;$A511+1)/$AF511)))</f>
        <v/>
      </c>
      <c r="F511" s="56">
        <f>IF($B511=0,"",IF(Inputs!$B$9="","",IF($AG511=0,F510,SUMIFS(Data!$N$10:$N$3209,Data!$M$10:$M$3209,"&gt;="&amp;$A511,Data!$M$10:$M$3209,"&lt;"&amp;$A511+1)/$AG511)))</f>
        <v/>
      </c>
      <c r="G511" s="56">
        <f>IF($B511=0,"",IF(Inputs!$B$10="","",IF($AH511=0,G510,SUMIFS(Data!$R$10:$R$3209,Data!$Q$10:$Q$3209,"&gt;="&amp;$A511,Data!$Q$10:$Q$3209,"&lt;"&amp;$A511+1)/$AH511)))</f>
        <v/>
      </c>
      <c r="I511" s="54">
        <f>IF($B511=0,NA(),IF($C511="",NA(),IF(C$8="",NA(),IF(N(C$8)=0,NA(),IF(Inputs!$C$17="Rebased to 100",$C511/C$8*100,$C511)))))</f>
        <v/>
      </c>
      <c r="J511" s="54">
        <f>IF($B511=0,NA(),IF($D511="",NA(),IF(D$8="",NA(),IF(N(D$8)=0,NA(),IF(Inputs!$C$17="Rebased to 100",$D511/D$8*100,$D511)))))</f>
        <v/>
      </c>
      <c r="K511" s="54">
        <f>IF($B511=0,NA(),IF($E511="",NA(),IF(E$8="",NA(),IF(N(E$8)=0,NA(),IF(Inputs!$C$17="Rebased to 100",$E511/E$8*100,$E511)))))</f>
        <v/>
      </c>
      <c r="L511" s="54">
        <f>IF($B511=0,NA(),IF($F511="",NA(),IF(F$8="",NA(),IF(N(F$8)=0,NA(),IF(Inputs!$C$17="Rebased to 100",$F511/F$8*100,$F511)))))</f>
        <v/>
      </c>
      <c r="M511" s="54">
        <f>IF($B511=0,NA(),IF($G511="",NA(),IF(G$8="",NA(),IF(N(G$8)=0,NA(),IF(Inputs!$C$17="Rebased to 100",$G511/G$8*100,$G511)))))</f>
        <v/>
      </c>
      <c r="N511" s="54">
        <f>IF($B511=0,NA(),IF(Inputs!$C$18&lt;&gt;"Yes",NA(),IF(COUNT(I511,J511,K511,L511,M511)=0,NA(),MIN(I511,J511,K511,L511,M511))))</f>
        <v/>
      </c>
      <c r="O511" s="54">
        <f>IF($B511=0,NA(),IF(Inputs!$B$24&lt;&gt;"Yes",NA(),Inputs!$D$24*Inputs!$C$35))</f>
        <v/>
      </c>
      <c r="P511" s="54">
        <f>IF($B511=0,NA(),IF(Inputs!$B$25&lt;&gt;"Yes",NA(),Inputs!$D$25*Inputs!$C$35))</f>
        <v/>
      </c>
      <c r="Q511" s="54">
        <f>IF($B511=0,NA(),IF(Inputs!$B$26&lt;&gt;"Yes",NA(),Inputs!$D$26*Inputs!$C$35))</f>
        <v/>
      </c>
      <c r="R511" s="54">
        <f>IF($B511=0,NA(),IF(Inputs!$B$27&lt;&gt;"Yes",NA(),Inputs!$D$27*Inputs!$C$35))</f>
        <v/>
      </c>
      <c r="S511" s="54">
        <f>IF($B511=0,NA(),IF(Inputs!$B$28&lt;&gt;"Yes",NA(),Inputs!$D$28*Inputs!$C$35))</f>
        <v/>
      </c>
      <c r="T511" s="54">
        <f>IF($B511=0,NA(),IF(Inputs!$B$29&lt;&gt;"Yes",NA(),Inputs!$D$29*Inputs!$C$35))</f>
        <v/>
      </c>
      <c r="AD511">
        <f>IF($B511=0,0,IF(Inputs!$B$6="",0,COUNTIFS(Data!$A$10:$A$3209,"&gt;="&amp;$A511,Data!$A$10:$A$3209,"&lt;"&amp;$A511+1)))</f>
        <v/>
      </c>
      <c r="AE511">
        <f>IF($B511=0,0,IF(Inputs!$B$7="",0,COUNTIFS(Data!$E$10:$E$3209,"&gt;="&amp;$A511,Data!$E$10:$E$3209,"&lt;"&amp;$A511+1)))</f>
        <v/>
      </c>
      <c r="AF511">
        <f>IF($B511=0,0,IF(Inputs!$B$8="",0,COUNTIFS(Data!$I$10:$I$3209,"&gt;="&amp;$A511,Data!$I$10:$I$3209,"&lt;"&amp;$A511+1)))</f>
        <v/>
      </c>
      <c r="AG511">
        <f>IF($B511=0,0,IF(Inputs!$B$9="",0,COUNTIFS(Data!$M$10:$M$3209,"&gt;="&amp;$A511,Data!$M$10:$M$3209,"&lt;"&amp;$A511+1)))</f>
        <v/>
      </c>
      <c r="AH511">
        <f>IF($B511=0,0,IF(Inputs!$B$10="",0,COUNTIFS(Data!$Q$10:$Q$3209,"&gt;="&amp;$A511,Data!$Q$10:$Q$3209,"&lt;"&amp;$A511+1)))</f>
        <v/>
      </c>
    </row>
    <row r="512">
      <c r="A512" s="55">
        <f>MIN(Inputs!$C$15,$A511+IF(WEEKDAY($A511,2)=5,3,1))</f>
        <v/>
      </c>
      <c r="B512">
        <f>IF($A512&gt;$A511,1,0)</f>
        <v/>
      </c>
      <c r="C512" s="56">
        <f>IF($B512=0,"",IF(Inputs!$B$6="","",IF($AD512=0,C511,SUMIFS(Data!$B$10:$B$3209,Data!$A$10:$A$3209,"&gt;="&amp;$A512,Data!$A$10:$A$3209,"&lt;"&amp;$A512+1)/$AD512)))</f>
        <v/>
      </c>
      <c r="D512" s="56">
        <f>IF($B512=0,"",IF(Inputs!$B$7="","",IF($AE512=0,D511,SUMIFS(Data!$F$10:$F$3209,Data!$E$10:$E$3209,"&gt;="&amp;$A512,Data!$E$10:$E$3209,"&lt;"&amp;$A512+1)/$AE512)))</f>
        <v/>
      </c>
      <c r="E512" s="56">
        <f>IF($B512=0,"",IF(Inputs!$B$8="","",IF($AF512=0,E511,SUMIFS(Data!$J$10:$J$3209,Data!$I$10:$I$3209,"&gt;="&amp;$A512,Data!$I$10:$I$3209,"&lt;"&amp;$A512+1)/$AF512)))</f>
        <v/>
      </c>
      <c r="F512" s="56">
        <f>IF($B512=0,"",IF(Inputs!$B$9="","",IF($AG512=0,F511,SUMIFS(Data!$N$10:$N$3209,Data!$M$10:$M$3209,"&gt;="&amp;$A512,Data!$M$10:$M$3209,"&lt;"&amp;$A512+1)/$AG512)))</f>
        <v/>
      </c>
      <c r="G512" s="56">
        <f>IF($B512=0,"",IF(Inputs!$B$10="","",IF($AH512=0,G511,SUMIFS(Data!$R$10:$R$3209,Data!$Q$10:$Q$3209,"&gt;="&amp;$A512,Data!$Q$10:$Q$3209,"&lt;"&amp;$A512+1)/$AH512)))</f>
        <v/>
      </c>
      <c r="I512" s="54">
        <f>IF($B512=0,NA(),IF($C512="",NA(),IF(C$8="",NA(),IF(N(C$8)=0,NA(),IF(Inputs!$C$17="Rebased to 100",$C512/C$8*100,$C512)))))</f>
        <v/>
      </c>
      <c r="J512" s="54">
        <f>IF($B512=0,NA(),IF($D512="",NA(),IF(D$8="",NA(),IF(N(D$8)=0,NA(),IF(Inputs!$C$17="Rebased to 100",$D512/D$8*100,$D512)))))</f>
        <v/>
      </c>
      <c r="K512" s="54">
        <f>IF($B512=0,NA(),IF($E512="",NA(),IF(E$8="",NA(),IF(N(E$8)=0,NA(),IF(Inputs!$C$17="Rebased to 100",$E512/E$8*100,$E512)))))</f>
        <v/>
      </c>
      <c r="L512" s="54">
        <f>IF($B512=0,NA(),IF($F512="",NA(),IF(F$8="",NA(),IF(N(F$8)=0,NA(),IF(Inputs!$C$17="Rebased to 100",$F512/F$8*100,$F512)))))</f>
        <v/>
      </c>
      <c r="M512" s="54">
        <f>IF($B512=0,NA(),IF($G512="",NA(),IF(G$8="",NA(),IF(N(G$8)=0,NA(),IF(Inputs!$C$17="Rebased to 100",$G512/G$8*100,$G512)))))</f>
        <v/>
      </c>
      <c r="N512" s="54">
        <f>IF($B512=0,NA(),IF(Inputs!$C$18&lt;&gt;"Yes",NA(),IF(COUNT(I512,J512,K512,L512,M512)=0,NA(),MIN(I512,J512,K512,L512,M512))))</f>
        <v/>
      </c>
      <c r="O512" s="54">
        <f>IF($B512=0,NA(),IF(Inputs!$B$24&lt;&gt;"Yes",NA(),Inputs!$D$24*Inputs!$C$35))</f>
        <v/>
      </c>
      <c r="P512" s="54">
        <f>IF($B512=0,NA(),IF(Inputs!$B$25&lt;&gt;"Yes",NA(),Inputs!$D$25*Inputs!$C$35))</f>
        <v/>
      </c>
      <c r="Q512" s="54">
        <f>IF($B512=0,NA(),IF(Inputs!$B$26&lt;&gt;"Yes",NA(),Inputs!$D$26*Inputs!$C$35))</f>
        <v/>
      </c>
      <c r="R512" s="54">
        <f>IF($B512=0,NA(),IF(Inputs!$B$27&lt;&gt;"Yes",NA(),Inputs!$D$27*Inputs!$C$35))</f>
        <v/>
      </c>
      <c r="S512" s="54">
        <f>IF($B512=0,NA(),IF(Inputs!$B$28&lt;&gt;"Yes",NA(),Inputs!$D$28*Inputs!$C$35))</f>
        <v/>
      </c>
      <c r="T512" s="54">
        <f>IF($B512=0,NA(),IF(Inputs!$B$29&lt;&gt;"Yes",NA(),Inputs!$D$29*Inputs!$C$35))</f>
        <v/>
      </c>
      <c r="AD512">
        <f>IF($B512=0,0,IF(Inputs!$B$6="",0,COUNTIFS(Data!$A$10:$A$3209,"&gt;="&amp;$A512,Data!$A$10:$A$3209,"&lt;"&amp;$A512+1)))</f>
        <v/>
      </c>
      <c r="AE512">
        <f>IF($B512=0,0,IF(Inputs!$B$7="",0,COUNTIFS(Data!$E$10:$E$3209,"&gt;="&amp;$A512,Data!$E$10:$E$3209,"&lt;"&amp;$A512+1)))</f>
        <v/>
      </c>
      <c r="AF512">
        <f>IF($B512=0,0,IF(Inputs!$B$8="",0,COUNTIFS(Data!$I$10:$I$3209,"&gt;="&amp;$A512,Data!$I$10:$I$3209,"&lt;"&amp;$A512+1)))</f>
        <v/>
      </c>
      <c r="AG512">
        <f>IF($B512=0,0,IF(Inputs!$B$9="",0,COUNTIFS(Data!$M$10:$M$3209,"&gt;="&amp;$A512,Data!$M$10:$M$3209,"&lt;"&amp;$A512+1)))</f>
        <v/>
      </c>
      <c r="AH512">
        <f>IF($B512=0,0,IF(Inputs!$B$10="",0,COUNTIFS(Data!$Q$10:$Q$3209,"&gt;="&amp;$A512,Data!$Q$10:$Q$3209,"&lt;"&amp;$A512+1)))</f>
        <v/>
      </c>
    </row>
    <row r="513">
      <c r="A513" s="55">
        <f>MIN(Inputs!$C$15,$A512+IF(WEEKDAY($A512,2)=5,3,1))</f>
        <v/>
      </c>
      <c r="B513">
        <f>IF($A513&gt;$A512,1,0)</f>
        <v/>
      </c>
      <c r="C513" s="56">
        <f>IF($B513=0,"",IF(Inputs!$B$6="","",IF($AD513=0,C512,SUMIFS(Data!$B$10:$B$3209,Data!$A$10:$A$3209,"&gt;="&amp;$A513,Data!$A$10:$A$3209,"&lt;"&amp;$A513+1)/$AD513)))</f>
        <v/>
      </c>
      <c r="D513" s="56">
        <f>IF($B513=0,"",IF(Inputs!$B$7="","",IF($AE513=0,D512,SUMIFS(Data!$F$10:$F$3209,Data!$E$10:$E$3209,"&gt;="&amp;$A513,Data!$E$10:$E$3209,"&lt;"&amp;$A513+1)/$AE513)))</f>
        <v/>
      </c>
      <c r="E513" s="56">
        <f>IF($B513=0,"",IF(Inputs!$B$8="","",IF($AF513=0,E512,SUMIFS(Data!$J$10:$J$3209,Data!$I$10:$I$3209,"&gt;="&amp;$A513,Data!$I$10:$I$3209,"&lt;"&amp;$A513+1)/$AF513)))</f>
        <v/>
      </c>
      <c r="F513" s="56">
        <f>IF($B513=0,"",IF(Inputs!$B$9="","",IF($AG513=0,F512,SUMIFS(Data!$N$10:$N$3209,Data!$M$10:$M$3209,"&gt;="&amp;$A513,Data!$M$10:$M$3209,"&lt;"&amp;$A513+1)/$AG513)))</f>
        <v/>
      </c>
      <c r="G513" s="56">
        <f>IF($B513=0,"",IF(Inputs!$B$10="","",IF($AH513=0,G512,SUMIFS(Data!$R$10:$R$3209,Data!$Q$10:$Q$3209,"&gt;="&amp;$A513,Data!$Q$10:$Q$3209,"&lt;"&amp;$A513+1)/$AH513)))</f>
        <v/>
      </c>
      <c r="I513" s="54">
        <f>IF($B513=0,NA(),IF($C513="",NA(),IF(C$8="",NA(),IF(N(C$8)=0,NA(),IF(Inputs!$C$17="Rebased to 100",$C513/C$8*100,$C513)))))</f>
        <v/>
      </c>
      <c r="J513" s="54">
        <f>IF($B513=0,NA(),IF($D513="",NA(),IF(D$8="",NA(),IF(N(D$8)=0,NA(),IF(Inputs!$C$17="Rebased to 100",$D513/D$8*100,$D513)))))</f>
        <v/>
      </c>
      <c r="K513" s="54">
        <f>IF($B513=0,NA(),IF($E513="",NA(),IF(E$8="",NA(),IF(N(E$8)=0,NA(),IF(Inputs!$C$17="Rebased to 100",$E513/E$8*100,$E513)))))</f>
        <v/>
      </c>
      <c r="L513" s="54">
        <f>IF($B513=0,NA(),IF($F513="",NA(),IF(F$8="",NA(),IF(N(F$8)=0,NA(),IF(Inputs!$C$17="Rebased to 100",$F513/F$8*100,$F513)))))</f>
        <v/>
      </c>
      <c r="M513" s="54">
        <f>IF($B513=0,NA(),IF($G513="",NA(),IF(G$8="",NA(),IF(N(G$8)=0,NA(),IF(Inputs!$C$17="Rebased to 100",$G513/G$8*100,$G513)))))</f>
        <v/>
      </c>
      <c r="N513" s="54">
        <f>IF($B513=0,NA(),IF(Inputs!$C$18&lt;&gt;"Yes",NA(),IF(COUNT(I513,J513,K513,L513,M513)=0,NA(),MIN(I513,J513,K513,L513,M513))))</f>
        <v/>
      </c>
      <c r="O513" s="54">
        <f>IF($B513=0,NA(),IF(Inputs!$B$24&lt;&gt;"Yes",NA(),Inputs!$D$24*Inputs!$C$35))</f>
        <v/>
      </c>
      <c r="P513" s="54">
        <f>IF($B513=0,NA(),IF(Inputs!$B$25&lt;&gt;"Yes",NA(),Inputs!$D$25*Inputs!$C$35))</f>
        <v/>
      </c>
      <c r="Q513" s="54">
        <f>IF($B513=0,NA(),IF(Inputs!$B$26&lt;&gt;"Yes",NA(),Inputs!$D$26*Inputs!$C$35))</f>
        <v/>
      </c>
      <c r="R513" s="54">
        <f>IF($B513=0,NA(),IF(Inputs!$B$27&lt;&gt;"Yes",NA(),Inputs!$D$27*Inputs!$C$35))</f>
        <v/>
      </c>
      <c r="S513" s="54">
        <f>IF($B513=0,NA(),IF(Inputs!$B$28&lt;&gt;"Yes",NA(),Inputs!$D$28*Inputs!$C$35))</f>
        <v/>
      </c>
      <c r="T513" s="54">
        <f>IF($B513=0,NA(),IF(Inputs!$B$29&lt;&gt;"Yes",NA(),Inputs!$D$29*Inputs!$C$35))</f>
        <v/>
      </c>
      <c r="AD513">
        <f>IF($B513=0,0,IF(Inputs!$B$6="",0,COUNTIFS(Data!$A$10:$A$3209,"&gt;="&amp;$A513,Data!$A$10:$A$3209,"&lt;"&amp;$A513+1)))</f>
        <v/>
      </c>
      <c r="AE513">
        <f>IF($B513=0,0,IF(Inputs!$B$7="",0,COUNTIFS(Data!$E$10:$E$3209,"&gt;="&amp;$A513,Data!$E$10:$E$3209,"&lt;"&amp;$A513+1)))</f>
        <v/>
      </c>
      <c r="AF513">
        <f>IF($B513=0,0,IF(Inputs!$B$8="",0,COUNTIFS(Data!$I$10:$I$3209,"&gt;="&amp;$A513,Data!$I$10:$I$3209,"&lt;"&amp;$A513+1)))</f>
        <v/>
      </c>
      <c r="AG513">
        <f>IF($B513=0,0,IF(Inputs!$B$9="",0,COUNTIFS(Data!$M$10:$M$3209,"&gt;="&amp;$A513,Data!$M$10:$M$3209,"&lt;"&amp;$A513+1)))</f>
        <v/>
      </c>
      <c r="AH513">
        <f>IF($B513=0,0,IF(Inputs!$B$10="",0,COUNTIFS(Data!$Q$10:$Q$3209,"&gt;="&amp;$A513,Data!$Q$10:$Q$3209,"&lt;"&amp;$A513+1)))</f>
        <v/>
      </c>
    </row>
    <row r="514">
      <c r="A514" s="55">
        <f>MIN(Inputs!$C$15,$A513+IF(WEEKDAY($A513,2)=5,3,1))</f>
        <v/>
      </c>
      <c r="B514">
        <f>IF($A514&gt;$A513,1,0)</f>
        <v/>
      </c>
      <c r="C514" s="56">
        <f>IF($B514=0,"",IF(Inputs!$B$6="","",IF($AD514=0,C513,SUMIFS(Data!$B$10:$B$3209,Data!$A$10:$A$3209,"&gt;="&amp;$A514,Data!$A$10:$A$3209,"&lt;"&amp;$A514+1)/$AD514)))</f>
        <v/>
      </c>
      <c r="D514" s="56">
        <f>IF($B514=0,"",IF(Inputs!$B$7="","",IF($AE514=0,D513,SUMIFS(Data!$F$10:$F$3209,Data!$E$10:$E$3209,"&gt;="&amp;$A514,Data!$E$10:$E$3209,"&lt;"&amp;$A514+1)/$AE514)))</f>
        <v/>
      </c>
      <c r="E514" s="56">
        <f>IF($B514=0,"",IF(Inputs!$B$8="","",IF($AF514=0,E513,SUMIFS(Data!$J$10:$J$3209,Data!$I$10:$I$3209,"&gt;="&amp;$A514,Data!$I$10:$I$3209,"&lt;"&amp;$A514+1)/$AF514)))</f>
        <v/>
      </c>
      <c r="F514" s="56">
        <f>IF($B514=0,"",IF(Inputs!$B$9="","",IF($AG514=0,F513,SUMIFS(Data!$N$10:$N$3209,Data!$M$10:$M$3209,"&gt;="&amp;$A514,Data!$M$10:$M$3209,"&lt;"&amp;$A514+1)/$AG514)))</f>
        <v/>
      </c>
      <c r="G514" s="56">
        <f>IF($B514=0,"",IF(Inputs!$B$10="","",IF($AH514=0,G513,SUMIFS(Data!$R$10:$R$3209,Data!$Q$10:$Q$3209,"&gt;="&amp;$A514,Data!$Q$10:$Q$3209,"&lt;"&amp;$A514+1)/$AH514)))</f>
        <v/>
      </c>
      <c r="I514" s="54">
        <f>IF($B514=0,NA(),IF($C514="",NA(),IF(C$8="",NA(),IF(N(C$8)=0,NA(),IF(Inputs!$C$17="Rebased to 100",$C514/C$8*100,$C514)))))</f>
        <v/>
      </c>
      <c r="J514" s="54">
        <f>IF($B514=0,NA(),IF($D514="",NA(),IF(D$8="",NA(),IF(N(D$8)=0,NA(),IF(Inputs!$C$17="Rebased to 100",$D514/D$8*100,$D514)))))</f>
        <v/>
      </c>
      <c r="K514" s="54">
        <f>IF($B514=0,NA(),IF($E514="",NA(),IF(E$8="",NA(),IF(N(E$8)=0,NA(),IF(Inputs!$C$17="Rebased to 100",$E514/E$8*100,$E514)))))</f>
        <v/>
      </c>
      <c r="L514" s="54">
        <f>IF($B514=0,NA(),IF($F514="",NA(),IF(F$8="",NA(),IF(N(F$8)=0,NA(),IF(Inputs!$C$17="Rebased to 100",$F514/F$8*100,$F514)))))</f>
        <v/>
      </c>
      <c r="M514" s="54">
        <f>IF($B514=0,NA(),IF($G514="",NA(),IF(G$8="",NA(),IF(N(G$8)=0,NA(),IF(Inputs!$C$17="Rebased to 100",$G514/G$8*100,$G514)))))</f>
        <v/>
      </c>
      <c r="N514" s="54">
        <f>IF($B514=0,NA(),IF(Inputs!$C$18&lt;&gt;"Yes",NA(),IF(COUNT(I514,J514,K514,L514,M514)=0,NA(),MIN(I514,J514,K514,L514,M514))))</f>
        <v/>
      </c>
      <c r="O514" s="54">
        <f>IF($B514=0,NA(),IF(Inputs!$B$24&lt;&gt;"Yes",NA(),Inputs!$D$24*Inputs!$C$35))</f>
        <v/>
      </c>
      <c r="P514" s="54">
        <f>IF($B514=0,NA(),IF(Inputs!$B$25&lt;&gt;"Yes",NA(),Inputs!$D$25*Inputs!$C$35))</f>
        <v/>
      </c>
      <c r="Q514" s="54">
        <f>IF($B514=0,NA(),IF(Inputs!$B$26&lt;&gt;"Yes",NA(),Inputs!$D$26*Inputs!$C$35))</f>
        <v/>
      </c>
      <c r="R514" s="54">
        <f>IF($B514=0,NA(),IF(Inputs!$B$27&lt;&gt;"Yes",NA(),Inputs!$D$27*Inputs!$C$35))</f>
        <v/>
      </c>
      <c r="S514" s="54">
        <f>IF($B514=0,NA(),IF(Inputs!$B$28&lt;&gt;"Yes",NA(),Inputs!$D$28*Inputs!$C$35))</f>
        <v/>
      </c>
      <c r="T514" s="54">
        <f>IF($B514=0,NA(),IF(Inputs!$B$29&lt;&gt;"Yes",NA(),Inputs!$D$29*Inputs!$C$35))</f>
        <v/>
      </c>
      <c r="AD514">
        <f>IF($B514=0,0,IF(Inputs!$B$6="",0,COUNTIFS(Data!$A$10:$A$3209,"&gt;="&amp;$A514,Data!$A$10:$A$3209,"&lt;"&amp;$A514+1)))</f>
        <v/>
      </c>
      <c r="AE514">
        <f>IF($B514=0,0,IF(Inputs!$B$7="",0,COUNTIFS(Data!$E$10:$E$3209,"&gt;="&amp;$A514,Data!$E$10:$E$3209,"&lt;"&amp;$A514+1)))</f>
        <v/>
      </c>
      <c r="AF514">
        <f>IF($B514=0,0,IF(Inputs!$B$8="",0,COUNTIFS(Data!$I$10:$I$3209,"&gt;="&amp;$A514,Data!$I$10:$I$3209,"&lt;"&amp;$A514+1)))</f>
        <v/>
      </c>
      <c r="AG514">
        <f>IF($B514=0,0,IF(Inputs!$B$9="",0,COUNTIFS(Data!$M$10:$M$3209,"&gt;="&amp;$A514,Data!$M$10:$M$3209,"&lt;"&amp;$A514+1)))</f>
        <v/>
      </c>
      <c r="AH514">
        <f>IF($B514=0,0,IF(Inputs!$B$10="",0,COUNTIFS(Data!$Q$10:$Q$3209,"&gt;="&amp;$A514,Data!$Q$10:$Q$3209,"&lt;"&amp;$A514+1)))</f>
        <v/>
      </c>
    </row>
    <row r="515">
      <c r="A515" s="55">
        <f>MIN(Inputs!$C$15,$A514+IF(WEEKDAY($A514,2)=5,3,1))</f>
        <v/>
      </c>
      <c r="B515">
        <f>IF($A515&gt;$A514,1,0)</f>
        <v/>
      </c>
      <c r="C515" s="56">
        <f>IF($B515=0,"",IF(Inputs!$B$6="","",IF($AD515=0,C514,SUMIFS(Data!$B$10:$B$3209,Data!$A$10:$A$3209,"&gt;="&amp;$A515,Data!$A$10:$A$3209,"&lt;"&amp;$A515+1)/$AD515)))</f>
        <v/>
      </c>
      <c r="D515" s="56">
        <f>IF($B515=0,"",IF(Inputs!$B$7="","",IF($AE515=0,D514,SUMIFS(Data!$F$10:$F$3209,Data!$E$10:$E$3209,"&gt;="&amp;$A515,Data!$E$10:$E$3209,"&lt;"&amp;$A515+1)/$AE515)))</f>
        <v/>
      </c>
      <c r="E515" s="56">
        <f>IF($B515=0,"",IF(Inputs!$B$8="","",IF($AF515=0,E514,SUMIFS(Data!$J$10:$J$3209,Data!$I$10:$I$3209,"&gt;="&amp;$A515,Data!$I$10:$I$3209,"&lt;"&amp;$A515+1)/$AF515)))</f>
        <v/>
      </c>
      <c r="F515" s="56">
        <f>IF($B515=0,"",IF(Inputs!$B$9="","",IF($AG515=0,F514,SUMIFS(Data!$N$10:$N$3209,Data!$M$10:$M$3209,"&gt;="&amp;$A515,Data!$M$10:$M$3209,"&lt;"&amp;$A515+1)/$AG515)))</f>
        <v/>
      </c>
      <c r="G515" s="56">
        <f>IF($B515=0,"",IF(Inputs!$B$10="","",IF($AH515=0,G514,SUMIFS(Data!$R$10:$R$3209,Data!$Q$10:$Q$3209,"&gt;="&amp;$A515,Data!$Q$10:$Q$3209,"&lt;"&amp;$A515+1)/$AH515)))</f>
        <v/>
      </c>
      <c r="I515" s="54">
        <f>IF($B515=0,NA(),IF($C515="",NA(),IF(C$8="",NA(),IF(N(C$8)=0,NA(),IF(Inputs!$C$17="Rebased to 100",$C515/C$8*100,$C515)))))</f>
        <v/>
      </c>
      <c r="J515" s="54">
        <f>IF($B515=0,NA(),IF($D515="",NA(),IF(D$8="",NA(),IF(N(D$8)=0,NA(),IF(Inputs!$C$17="Rebased to 100",$D515/D$8*100,$D515)))))</f>
        <v/>
      </c>
      <c r="K515" s="54">
        <f>IF($B515=0,NA(),IF($E515="",NA(),IF(E$8="",NA(),IF(N(E$8)=0,NA(),IF(Inputs!$C$17="Rebased to 100",$E515/E$8*100,$E515)))))</f>
        <v/>
      </c>
      <c r="L515" s="54">
        <f>IF($B515=0,NA(),IF($F515="",NA(),IF(F$8="",NA(),IF(N(F$8)=0,NA(),IF(Inputs!$C$17="Rebased to 100",$F515/F$8*100,$F515)))))</f>
        <v/>
      </c>
      <c r="M515" s="54">
        <f>IF($B515=0,NA(),IF($G515="",NA(),IF(G$8="",NA(),IF(N(G$8)=0,NA(),IF(Inputs!$C$17="Rebased to 100",$G515/G$8*100,$G515)))))</f>
        <v/>
      </c>
      <c r="N515" s="54">
        <f>IF($B515=0,NA(),IF(Inputs!$C$18&lt;&gt;"Yes",NA(),IF(COUNT(I515,J515,K515,L515,M515)=0,NA(),MIN(I515,J515,K515,L515,M515))))</f>
        <v/>
      </c>
      <c r="O515" s="54">
        <f>IF($B515=0,NA(),IF(Inputs!$B$24&lt;&gt;"Yes",NA(),Inputs!$D$24*Inputs!$C$35))</f>
        <v/>
      </c>
      <c r="P515" s="54">
        <f>IF($B515=0,NA(),IF(Inputs!$B$25&lt;&gt;"Yes",NA(),Inputs!$D$25*Inputs!$C$35))</f>
        <v/>
      </c>
      <c r="Q515" s="54">
        <f>IF($B515=0,NA(),IF(Inputs!$B$26&lt;&gt;"Yes",NA(),Inputs!$D$26*Inputs!$C$35))</f>
        <v/>
      </c>
      <c r="R515" s="54">
        <f>IF($B515=0,NA(),IF(Inputs!$B$27&lt;&gt;"Yes",NA(),Inputs!$D$27*Inputs!$C$35))</f>
        <v/>
      </c>
      <c r="S515" s="54">
        <f>IF($B515=0,NA(),IF(Inputs!$B$28&lt;&gt;"Yes",NA(),Inputs!$D$28*Inputs!$C$35))</f>
        <v/>
      </c>
      <c r="T515" s="54">
        <f>IF($B515=0,NA(),IF(Inputs!$B$29&lt;&gt;"Yes",NA(),Inputs!$D$29*Inputs!$C$35))</f>
        <v/>
      </c>
      <c r="AD515">
        <f>IF($B515=0,0,IF(Inputs!$B$6="",0,COUNTIFS(Data!$A$10:$A$3209,"&gt;="&amp;$A515,Data!$A$10:$A$3209,"&lt;"&amp;$A515+1)))</f>
        <v/>
      </c>
      <c r="AE515">
        <f>IF($B515=0,0,IF(Inputs!$B$7="",0,COUNTIFS(Data!$E$10:$E$3209,"&gt;="&amp;$A515,Data!$E$10:$E$3209,"&lt;"&amp;$A515+1)))</f>
        <v/>
      </c>
      <c r="AF515">
        <f>IF($B515=0,0,IF(Inputs!$B$8="",0,COUNTIFS(Data!$I$10:$I$3209,"&gt;="&amp;$A515,Data!$I$10:$I$3209,"&lt;"&amp;$A515+1)))</f>
        <v/>
      </c>
      <c r="AG515">
        <f>IF($B515=0,0,IF(Inputs!$B$9="",0,COUNTIFS(Data!$M$10:$M$3209,"&gt;="&amp;$A515,Data!$M$10:$M$3209,"&lt;"&amp;$A515+1)))</f>
        <v/>
      </c>
      <c r="AH515">
        <f>IF($B515=0,0,IF(Inputs!$B$10="",0,COUNTIFS(Data!$Q$10:$Q$3209,"&gt;="&amp;$A515,Data!$Q$10:$Q$3209,"&lt;"&amp;$A515+1)))</f>
        <v/>
      </c>
    </row>
    <row r="516">
      <c r="A516" s="55">
        <f>MIN(Inputs!$C$15,$A515+IF(WEEKDAY($A515,2)=5,3,1))</f>
        <v/>
      </c>
      <c r="B516">
        <f>IF($A516&gt;$A515,1,0)</f>
        <v/>
      </c>
      <c r="C516" s="56">
        <f>IF($B516=0,"",IF(Inputs!$B$6="","",IF($AD516=0,C515,SUMIFS(Data!$B$10:$B$3209,Data!$A$10:$A$3209,"&gt;="&amp;$A516,Data!$A$10:$A$3209,"&lt;"&amp;$A516+1)/$AD516)))</f>
        <v/>
      </c>
      <c r="D516" s="56">
        <f>IF($B516=0,"",IF(Inputs!$B$7="","",IF($AE516=0,D515,SUMIFS(Data!$F$10:$F$3209,Data!$E$10:$E$3209,"&gt;="&amp;$A516,Data!$E$10:$E$3209,"&lt;"&amp;$A516+1)/$AE516)))</f>
        <v/>
      </c>
      <c r="E516" s="56">
        <f>IF($B516=0,"",IF(Inputs!$B$8="","",IF($AF516=0,E515,SUMIFS(Data!$J$10:$J$3209,Data!$I$10:$I$3209,"&gt;="&amp;$A516,Data!$I$10:$I$3209,"&lt;"&amp;$A516+1)/$AF516)))</f>
        <v/>
      </c>
      <c r="F516" s="56">
        <f>IF($B516=0,"",IF(Inputs!$B$9="","",IF($AG516=0,F515,SUMIFS(Data!$N$10:$N$3209,Data!$M$10:$M$3209,"&gt;="&amp;$A516,Data!$M$10:$M$3209,"&lt;"&amp;$A516+1)/$AG516)))</f>
        <v/>
      </c>
      <c r="G516" s="56">
        <f>IF($B516=0,"",IF(Inputs!$B$10="","",IF($AH516=0,G515,SUMIFS(Data!$R$10:$R$3209,Data!$Q$10:$Q$3209,"&gt;="&amp;$A516,Data!$Q$10:$Q$3209,"&lt;"&amp;$A516+1)/$AH516)))</f>
        <v/>
      </c>
      <c r="I516" s="54">
        <f>IF($B516=0,NA(),IF($C516="",NA(),IF(C$8="",NA(),IF(N(C$8)=0,NA(),IF(Inputs!$C$17="Rebased to 100",$C516/C$8*100,$C516)))))</f>
        <v/>
      </c>
      <c r="J516" s="54">
        <f>IF($B516=0,NA(),IF($D516="",NA(),IF(D$8="",NA(),IF(N(D$8)=0,NA(),IF(Inputs!$C$17="Rebased to 100",$D516/D$8*100,$D516)))))</f>
        <v/>
      </c>
      <c r="K516" s="54">
        <f>IF($B516=0,NA(),IF($E516="",NA(),IF(E$8="",NA(),IF(N(E$8)=0,NA(),IF(Inputs!$C$17="Rebased to 100",$E516/E$8*100,$E516)))))</f>
        <v/>
      </c>
      <c r="L516" s="54">
        <f>IF($B516=0,NA(),IF($F516="",NA(),IF(F$8="",NA(),IF(N(F$8)=0,NA(),IF(Inputs!$C$17="Rebased to 100",$F516/F$8*100,$F516)))))</f>
        <v/>
      </c>
      <c r="M516" s="54">
        <f>IF($B516=0,NA(),IF($G516="",NA(),IF(G$8="",NA(),IF(N(G$8)=0,NA(),IF(Inputs!$C$17="Rebased to 100",$G516/G$8*100,$G516)))))</f>
        <v/>
      </c>
      <c r="N516" s="54">
        <f>IF($B516=0,NA(),IF(Inputs!$C$18&lt;&gt;"Yes",NA(),IF(COUNT(I516,J516,K516,L516,M516)=0,NA(),MIN(I516,J516,K516,L516,M516))))</f>
        <v/>
      </c>
      <c r="O516" s="54">
        <f>IF($B516=0,NA(),IF(Inputs!$B$24&lt;&gt;"Yes",NA(),Inputs!$D$24*Inputs!$C$35))</f>
        <v/>
      </c>
      <c r="P516" s="54">
        <f>IF($B516=0,NA(),IF(Inputs!$B$25&lt;&gt;"Yes",NA(),Inputs!$D$25*Inputs!$C$35))</f>
        <v/>
      </c>
      <c r="Q516" s="54">
        <f>IF($B516=0,NA(),IF(Inputs!$B$26&lt;&gt;"Yes",NA(),Inputs!$D$26*Inputs!$C$35))</f>
        <v/>
      </c>
      <c r="R516" s="54">
        <f>IF($B516=0,NA(),IF(Inputs!$B$27&lt;&gt;"Yes",NA(),Inputs!$D$27*Inputs!$C$35))</f>
        <v/>
      </c>
      <c r="S516" s="54">
        <f>IF($B516=0,NA(),IF(Inputs!$B$28&lt;&gt;"Yes",NA(),Inputs!$D$28*Inputs!$C$35))</f>
        <v/>
      </c>
      <c r="T516" s="54">
        <f>IF($B516=0,NA(),IF(Inputs!$B$29&lt;&gt;"Yes",NA(),Inputs!$D$29*Inputs!$C$35))</f>
        <v/>
      </c>
      <c r="AD516">
        <f>IF($B516=0,0,IF(Inputs!$B$6="",0,COUNTIFS(Data!$A$10:$A$3209,"&gt;="&amp;$A516,Data!$A$10:$A$3209,"&lt;"&amp;$A516+1)))</f>
        <v/>
      </c>
      <c r="AE516">
        <f>IF($B516=0,0,IF(Inputs!$B$7="",0,COUNTIFS(Data!$E$10:$E$3209,"&gt;="&amp;$A516,Data!$E$10:$E$3209,"&lt;"&amp;$A516+1)))</f>
        <v/>
      </c>
      <c r="AF516">
        <f>IF($B516=0,0,IF(Inputs!$B$8="",0,COUNTIFS(Data!$I$10:$I$3209,"&gt;="&amp;$A516,Data!$I$10:$I$3209,"&lt;"&amp;$A516+1)))</f>
        <v/>
      </c>
      <c r="AG516">
        <f>IF($B516=0,0,IF(Inputs!$B$9="",0,COUNTIFS(Data!$M$10:$M$3209,"&gt;="&amp;$A516,Data!$M$10:$M$3209,"&lt;"&amp;$A516+1)))</f>
        <v/>
      </c>
      <c r="AH516">
        <f>IF($B516=0,0,IF(Inputs!$B$10="",0,COUNTIFS(Data!$Q$10:$Q$3209,"&gt;="&amp;$A516,Data!$Q$10:$Q$3209,"&lt;"&amp;$A516+1)))</f>
        <v/>
      </c>
    </row>
    <row r="517">
      <c r="A517" s="55">
        <f>MIN(Inputs!$C$15,$A516+IF(WEEKDAY($A516,2)=5,3,1))</f>
        <v/>
      </c>
      <c r="B517">
        <f>IF($A517&gt;$A516,1,0)</f>
        <v/>
      </c>
      <c r="C517" s="56">
        <f>IF($B517=0,"",IF(Inputs!$B$6="","",IF($AD517=0,C516,SUMIFS(Data!$B$10:$B$3209,Data!$A$10:$A$3209,"&gt;="&amp;$A517,Data!$A$10:$A$3209,"&lt;"&amp;$A517+1)/$AD517)))</f>
        <v/>
      </c>
      <c r="D517" s="56">
        <f>IF($B517=0,"",IF(Inputs!$B$7="","",IF($AE517=0,D516,SUMIFS(Data!$F$10:$F$3209,Data!$E$10:$E$3209,"&gt;="&amp;$A517,Data!$E$10:$E$3209,"&lt;"&amp;$A517+1)/$AE517)))</f>
        <v/>
      </c>
      <c r="E517" s="56">
        <f>IF($B517=0,"",IF(Inputs!$B$8="","",IF($AF517=0,E516,SUMIFS(Data!$J$10:$J$3209,Data!$I$10:$I$3209,"&gt;="&amp;$A517,Data!$I$10:$I$3209,"&lt;"&amp;$A517+1)/$AF517)))</f>
        <v/>
      </c>
      <c r="F517" s="56">
        <f>IF($B517=0,"",IF(Inputs!$B$9="","",IF($AG517=0,F516,SUMIFS(Data!$N$10:$N$3209,Data!$M$10:$M$3209,"&gt;="&amp;$A517,Data!$M$10:$M$3209,"&lt;"&amp;$A517+1)/$AG517)))</f>
        <v/>
      </c>
      <c r="G517" s="56">
        <f>IF($B517=0,"",IF(Inputs!$B$10="","",IF($AH517=0,G516,SUMIFS(Data!$R$10:$R$3209,Data!$Q$10:$Q$3209,"&gt;="&amp;$A517,Data!$Q$10:$Q$3209,"&lt;"&amp;$A517+1)/$AH517)))</f>
        <v/>
      </c>
      <c r="I517" s="54">
        <f>IF($B517=0,NA(),IF($C517="",NA(),IF(C$8="",NA(),IF(N(C$8)=0,NA(),IF(Inputs!$C$17="Rebased to 100",$C517/C$8*100,$C517)))))</f>
        <v/>
      </c>
      <c r="J517" s="54">
        <f>IF($B517=0,NA(),IF($D517="",NA(),IF(D$8="",NA(),IF(N(D$8)=0,NA(),IF(Inputs!$C$17="Rebased to 100",$D517/D$8*100,$D517)))))</f>
        <v/>
      </c>
      <c r="K517" s="54">
        <f>IF($B517=0,NA(),IF($E517="",NA(),IF(E$8="",NA(),IF(N(E$8)=0,NA(),IF(Inputs!$C$17="Rebased to 100",$E517/E$8*100,$E517)))))</f>
        <v/>
      </c>
      <c r="L517" s="54">
        <f>IF($B517=0,NA(),IF($F517="",NA(),IF(F$8="",NA(),IF(N(F$8)=0,NA(),IF(Inputs!$C$17="Rebased to 100",$F517/F$8*100,$F517)))))</f>
        <v/>
      </c>
      <c r="M517" s="54">
        <f>IF($B517=0,NA(),IF($G517="",NA(),IF(G$8="",NA(),IF(N(G$8)=0,NA(),IF(Inputs!$C$17="Rebased to 100",$G517/G$8*100,$G517)))))</f>
        <v/>
      </c>
      <c r="N517" s="54">
        <f>IF($B517=0,NA(),IF(Inputs!$C$18&lt;&gt;"Yes",NA(),IF(COUNT(I517,J517,K517,L517,M517)=0,NA(),MIN(I517,J517,K517,L517,M517))))</f>
        <v/>
      </c>
      <c r="O517" s="54">
        <f>IF($B517=0,NA(),IF(Inputs!$B$24&lt;&gt;"Yes",NA(),Inputs!$D$24*Inputs!$C$35))</f>
        <v/>
      </c>
      <c r="P517" s="54">
        <f>IF($B517=0,NA(),IF(Inputs!$B$25&lt;&gt;"Yes",NA(),Inputs!$D$25*Inputs!$C$35))</f>
        <v/>
      </c>
      <c r="Q517" s="54">
        <f>IF($B517=0,NA(),IF(Inputs!$B$26&lt;&gt;"Yes",NA(),Inputs!$D$26*Inputs!$C$35))</f>
        <v/>
      </c>
      <c r="R517" s="54">
        <f>IF($B517=0,NA(),IF(Inputs!$B$27&lt;&gt;"Yes",NA(),Inputs!$D$27*Inputs!$C$35))</f>
        <v/>
      </c>
      <c r="S517" s="54">
        <f>IF($B517=0,NA(),IF(Inputs!$B$28&lt;&gt;"Yes",NA(),Inputs!$D$28*Inputs!$C$35))</f>
        <v/>
      </c>
      <c r="T517" s="54">
        <f>IF($B517=0,NA(),IF(Inputs!$B$29&lt;&gt;"Yes",NA(),Inputs!$D$29*Inputs!$C$35))</f>
        <v/>
      </c>
      <c r="AD517">
        <f>IF($B517=0,0,IF(Inputs!$B$6="",0,COUNTIFS(Data!$A$10:$A$3209,"&gt;="&amp;$A517,Data!$A$10:$A$3209,"&lt;"&amp;$A517+1)))</f>
        <v/>
      </c>
      <c r="AE517">
        <f>IF($B517=0,0,IF(Inputs!$B$7="",0,COUNTIFS(Data!$E$10:$E$3209,"&gt;="&amp;$A517,Data!$E$10:$E$3209,"&lt;"&amp;$A517+1)))</f>
        <v/>
      </c>
      <c r="AF517">
        <f>IF($B517=0,0,IF(Inputs!$B$8="",0,COUNTIFS(Data!$I$10:$I$3209,"&gt;="&amp;$A517,Data!$I$10:$I$3209,"&lt;"&amp;$A517+1)))</f>
        <v/>
      </c>
      <c r="AG517">
        <f>IF($B517=0,0,IF(Inputs!$B$9="",0,COUNTIFS(Data!$M$10:$M$3209,"&gt;="&amp;$A517,Data!$M$10:$M$3209,"&lt;"&amp;$A517+1)))</f>
        <v/>
      </c>
      <c r="AH517">
        <f>IF($B517=0,0,IF(Inputs!$B$10="",0,COUNTIFS(Data!$Q$10:$Q$3209,"&gt;="&amp;$A517,Data!$Q$10:$Q$3209,"&lt;"&amp;$A517+1)))</f>
        <v/>
      </c>
    </row>
    <row r="518">
      <c r="A518" s="55">
        <f>MIN(Inputs!$C$15,$A517+IF(WEEKDAY($A517,2)=5,3,1))</f>
        <v/>
      </c>
      <c r="B518">
        <f>IF($A518&gt;$A517,1,0)</f>
        <v/>
      </c>
      <c r="C518" s="56">
        <f>IF($B518=0,"",IF(Inputs!$B$6="","",IF($AD518=0,C517,SUMIFS(Data!$B$10:$B$3209,Data!$A$10:$A$3209,"&gt;="&amp;$A518,Data!$A$10:$A$3209,"&lt;"&amp;$A518+1)/$AD518)))</f>
        <v/>
      </c>
      <c r="D518" s="56">
        <f>IF($B518=0,"",IF(Inputs!$B$7="","",IF($AE518=0,D517,SUMIFS(Data!$F$10:$F$3209,Data!$E$10:$E$3209,"&gt;="&amp;$A518,Data!$E$10:$E$3209,"&lt;"&amp;$A518+1)/$AE518)))</f>
        <v/>
      </c>
      <c r="E518" s="56">
        <f>IF($B518=0,"",IF(Inputs!$B$8="","",IF($AF518=0,E517,SUMIFS(Data!$J$10:$J$3209,Data!$I$10:$I$3209,"&gt;="&amp;$A518,Data!$I$10:$I$3209,"&lt;"&amp;$A518+1)/$AF518)))</f>
        <v/>
      </c>
      <c r="F518" s="56">
        <f>IF($B518=0,"",IF(Inputs!$B$9="","",IF($AG518=0,F517,SUMIFS(Data!$N$10:$N$3209,Data!$M$10:$M$3209,"&gt;="&amp;$A518,Data!$M$10:$M$3209,"&lt;"&amp;$A518+1)/$AG518)))</f>
        <v/>
      </c>
      <c r="G518" s="56">
        <f>IF($B518=0,"",IF(Inputs!$B$10="","",IF($AH518=0,G517,SUMIFS(Data!$R$10:$R$3209,Data!$Q$10:$Q$3209,"&gt;="&amp;$A518,Data!$Q$10:$Q$3209,"&lt;"&amp;$A518+1)/$AH518)))</f>
        <v/>
      </c>
      <c r="I518" s="54">
        <f>IF($B518=0,NA(),IF($C518="",NA(),IF(C$8="",NA(),IF(N(C$8)=0,NA(),IF(Inputs!$C$17="Rebased to 100",$C518/C$8*100,$C518)))))</f>
        <v/>
      </c>
      <c r="J518" s="54">
        <f>IF($B518=0,NA(),IF($D518="",NA(),IF(D$8="",NA(),IF(N(D$8)=0,NA(),IF(Inputs!$C$17="Rebased to 100",$D518/D$8*100,$D518)))))</f>
        <v/>
      </c>
      <c r="K518" s="54">
        <f>IF($B518=0,NA(),IF($E518="",NA(),IF(E$8="",NA(),IF(N(E$8)=0,NA(),IF(Inputs!$C$17="Rebased to 100",$E518/E$8*100,$E518)))))</f>
        <v/>
      </c>
      <c r="L518" s="54">
        <f>IF($B518=0,NA(),IF($F518="",NA(),IF(F$8="",NA(),IF(N(F$8)=0,NA(),IF(Inputs!$C$17="Rebased to 100",$F518/F$8*100,$F518)))))</f>
        <v/>
      </c>
      <c r="M518" s="54">
        <f>IF($B518=0,NA(),IF($G518="",NA(),IF(G$8="",NA(),IF(N(G$8)=0,NA(),IF(Inputs!$C$17="Rebased to 100",$G518/G$8*100,$G518)))))</f>
        <v/>
      </c>
      <c r="N518" s="54">
        <f>IF($B518=0,NA(),IF(Inputs!$C$18&lt;&gt;"Yes",NA(),IF(COUNT(I518,J518,K518,L518,M518)=0,NA(),MIN(I518,J518,K518,L518,M518))))</f>
        <v/>
      </c>
      <c r="O518" s="54">
        <f>IF($B518=0,NA(),IF(Inputs!$B$24&lt;&gt;"Yes",NA(),Inputs!$D$24*Inputs!$C$35))</f>
        <v/>
      </c>
      <c r="P518" s="54">
        <f>IF($B518=0,NA(),IF(Inputs!$B$25&lt;&gt;"Yes",NA(),Inputs!$D$25*Inputs!$C$35))</f>
        <v/>
      </c>
      <c r="Q518" s="54">
        <f>IF($B518=0,NA(),IF(Inputs!$B$26&lt;&gt;"Yes",NA(),Inputs!$D$26*Inputs!$C$35))</f>
        <v/>
      </c>
      <c r="R518" s="54">
        <f>IF($B518=0,NA(),IF(Inputs!$B$27&lt;&gt;"Yes",NA(),Inputs!$D$27*Inputs!$C$35))</f>
        <v/>
      </c>
      <c r="S518" s="54">
        <f>IF($B518=0,NA(),IF(Inputs!$B$28&lt;&gt;"Yes",NA(),Inputs!$D$28*Inputs!$C$35))</f>
        <v/>
      </c>
      <c r="T518" s="54">
        <f>IF($B518=0,NA(),IF(Inputs!$B$29&lt;&gt;"Yes",NA(),Inputs!$D$29*Inputs!$C$35))</f>
        <v/>
      </c>
      <c r="AD518">
        <f>IF($B518=0,0,IF(Inputs!$B$6="",0,COUNTIFS(Data!$A$10:$A$3209,"&gt;="&amp;$A518,Data!$A$10:$A$3209,"&lt;"&amp;$A518+1)))</f>
        <v/>
      </c>
      <c r="AE518">
        <f>IF($B518=0,0,IF(Inputs!$B$7="",0,COUNTIFS(Data!$E$10:$E$3209,"&gt;="&amp;$A518,Data!$E$10:$E$3209,"&lt;"&amp;$A518+1)))</f>
        <v/>
      </c>
      <c r="AF518">
        <f>IF($B518=0,0,IF(Inputs!$B$8="",0,COUNTIFS(Data!$I$10:$I$3209,"&gt;="&amp;$A518,Data!$I$10:$I$3209,"&lt;"&amp;$A518+1)))</f>
        <v/>
      </c>
      <c r="AG518">
        <f>IF($B518=0,0,IF(Inputs!$B$9="",0,COUNTIFS(Data!$M$10:$M$3209,"&gt;="&amp;$A518,Data!$M$10:$M$3209,"&lt;"&amp;$A518+1)))</f>
        <v/>
      </c>
      <c r="AH518">
        <f>IF($B518=0,0,IF(Inputs!$B$10="",0,COUNTIFS(Data!$Q$10:$Q$3209,"&gt;="&amp;$A518,Data!$Q$10:$Q$3209,"&lt;"&amp;$A518+1)))</f>
        <v/>
      </c>
    </row>
    <row r="519">
      <c r="A519" s="55">
        <f>MIN(Inputs!$C$15,$A518+IF(WEEKDAY($A518,2)=5,3,1))</f>
        <v/>
      </c>
      <c r="B519">
        <f>IF($A519&gt;$A518,1,0)</f>
        <v/>
      </c>
      <c r="C519" s="56">
        <f>IF($B519=0,"",IF(Inputs!$B$6="","",IF($AD519=0,C518,SUMIFS(Data!$B$10:$B$3209,Data!$A$10:$A$3209,"&gt;="&amp;$A519,Data!$A$10:$A$3209,"&lt;"&amp;$A519+1)/$AD519)))</f>
        <v/>
      </c>
      <c r="D519" s="56">
        <f>IF($B519=0,"",IF(Inputs!$B$7="","",IF($AE519=0,D518,SUMIFS(Data!$F$10:$F$3209,Data!$E$10:$E$3209,"&gt;="&amp;$A519,Data!$E$10:$E$3209,"&lt;"&amp;$A519+1)/$AE519)))</f>
        <v/>
      </c>
      <c r="E519" s="56">
        <f>IF($B519=0,"",IF(Inputs!$B$8="","",IF($AF519=0,E518,SUMIFS(Data!$J$10:$J$3209,Data!$I$10:$I$3209,"&gt;="&amp;$A519,Data!$I$10:$I$3209,"&lt;"&amp;$A519+1)/$AF519)))</f>
        <v/>
      </c>
      <c r="F519" s="56">
        <f>IF($B519=0,"",IF(Inputs!$B$9="","",IF($AG519=0,F518,SUMIFS(Data!$N$10:$N$3209,Data!$M$10:$M$3209,"&gt;="&amp;$A519,Data!$M$10:$M$3209,"&lt;"&amp;$A519+1)/$AG519)))</f>
        <v/>
      </c>
      <c r="G519" s="56">
        <f>IF($B519=0,"",IF(Inputs!$B$10="","",IF($AH519=0,G518,SUMIFS(Data!$R$10:$R$3209,Data!$Q$10:$Q$3209,"&gt;="&amp;$A519,Data!$Q$10:$Q$3209,"&lt;"&amp;$A519+1)/$AH519)))</f>
        <v/>
      </c>
      <c r="I519" s="54">
        <f>IF($B519=0,NA(),IF($C519="",NA(),IF(C$8="",NA(),IF(N(C$8)=0,NA(),IF(Inputs!$C$17="Rebased to 100",$C519/C$8*100,$C519)))))</f>
        <v/>
      </c>
      <c r="J519" s="54">
        <f>IF($B519=0,NA(),IF($D519="",NA(),IF(D$8="",NA(),IF(N(D$8)=0,NA(),IF(Inputs!$C$17="Rebased to 100",$D519/D$8*100,$D519)))))</f>
        <v/>
      </c>
      <c r="K519" s="54">
        <f>IF($B519=0,NA(),IF($E519="",NA(),IF(E$8="",NA(),IF(N(E$8)=0,NA(),IF(Inputs!$C$17="Rebased to 100",$E519/E$8*100,$E519)))))</f>
        <v/>
      </c>
      <c r="L519" s="54">
        <f>IF($B519=0,NA(),IF($F519="",NA(),IF(F$8="",NA(),IF(N(F$8)=0,NA(),IF(Inputs!$C$17="Rebased to 100",$F519/F$8*100,$F519)))))</f>
        <v/>
      </c>
      <c r="M519" s="54">
        <f>IF($B519=0,NA(),IF($G519="",NA(),IF(G$8="",NA(),IF(N(G$8)=0,NA(),IF(Inputs!$C$17="Rebased to 100",$G519/G$8*100,$G519)))))</f>
        <v/>
      </c>
      <c r="N519" s="54">
        <f>IF($B519=0,NA(),IF(Inputs!$C$18&lt;&gt;"Yes",NA(),IF(COUNT(I519,J519,K519,L519,M519)=0,NA(),MIN(I519,J519,K519,L519,M519))))</f>
        <v/>
      </c>
      <c r="O519" s="54">
        <f>IF($B519=0,NA(),IF(Inputs!$B$24&lt;&gt;"Yes",NA(),Inputs!$D$24*Inputs!$C$35))</f>
        <v/>
      </c>
      <c r="P519" s="54">
        <f>IF($B519=0,NA(),IF(Inputs!$B$25&lt;&gt;"Yes",NA(),Inputs!$D$25*Inputs!$C$35))</f>
        <v/>
      </c>
      <c r="Q519" s="54">
        <f>IF($B519=0,NA(),IF(Inputs!$B$26&lt;&gt;"Yes",NA(),Inputs!$D$26*Inputs!$C$35))</f>
        <v/>
      </c>
      <c r="R519" s="54">
        <f>IF($B519=0,NA(),IF(Inputs!$B$27&lt;&gt;"Yes",NA(),Inputs!$D$27*Inputs!$C$35))</f>
        <v/>
      </c>
      <c r="S519" s="54">
        <f>IF($B519=0,NA(),IF(Inputs!$B$28&lt;&gt;"Yes",NA(),Inputs!$D$28*Inputs!$C$35))</f>
        <v/>
      </c>
      <c r="T519" s="54">
        <f>IF($B519=0,NA(),IF(Inputs!$B$29&lt;&gt;"Yes",NA(),Inputs!$D$29*Inputs!$C$35))</f>
        <v/>
      </c>
      <c r="AD519">
        <f>IF($B519=0,0,IF(Inputs!$B$6="",0,COUNTIFS(Data!$A$10:$A$3209,"&gt;="&amp;$A519,Data!$A$10:$A$3209,"&lt;"&amp;$A519+1)))</f>
        <v/>
      </c>
      <c r="AE519">
        <f>IF($B519=0,0,IF(Inputs!$B$7="",0,COUNTIFS(Data!$E$10:$E$3209,"&gt;="&amp;$A519,Data!$E$10:$E$3209,"&lt;"&amp;$A519+1)))</f>
        <v/>
      </c>
      <c r="AF519">
        <f>IF($B519=0,0,IF(Inputs!$B$8="",0,COUNTIFS(Data!$I$10:$I$3209,"&gt;="&amp;$A519,Data!$I$10:$I$3209,"&lt;"&amp;$A519+1)))</f>
        <v/>
      </c>
      <c r="AG519">
        <f>IF($B519=0,0,IF(Inputs!$B$9="",0,COUNTIFS(Data!$M$10:$M$3209,"&gt;="&amp;$A519,Data!$M$10:$M$3209,"&lt;"&amp;$A519+1)))</f>
        <v/>
      </c>
      <c r="AH519">
        <f>IF($B519=0,0,IF(Inputs!$B$10="",0,COUNTIFS(Data!$Q$10:$Q$3209,"&gt;="&amp;$A519,Data!$Q$10:$Q$3209,"&lt;"&amp;$A519+1)))</f>
        <v/>
      </c>
    </row>
    <row r="520">
      <c r="A520" s="55">
        <f>MIN(Inputs!$C$15,$A519+IF(WEEKDAY($A519,2)=5,3,1))</f>
        <v/>
      </c>
      <c r="B520">
        <f>IF($A520&gt;$A519,1,0)</f>
        <v/>
      </c>
      <c r="C520" s="56">
        <f>IF($B520=0,"",IF(Inputs!$B$6="","",IF($AD520=0,C519,SUMIFS(Data!$B$10:$B$3209,Data!$A$10:$A$3209,"&gt;="&amp;$A520,Data!$A$10:$A$3209,"&lt;"&amp;$A520+1)/$AD520)))</f>
        <v/>
      </c>
      <c r="D520" s="56">
        <f>IF($B520=0,"",IF(Inputs!$B$7="","",IF($AE520=0,D519,SUMIFS(Data!$F$10:$F$3209,Data!$E$10:$E$3209,"&gt;="&amp;$A520,Data!$E$10:$E$3209,"&lt;"&amp;$A520+1)/$AE520)))</f>
        <v/>
      </c>
      <c r="E520" s="56">
        <f>IF($B520=0,"",IF(Inputs!$B$8="","",IF($AF520=0,E519,SUMIFS(Data!$J$10:$J$3209,Data!$I$10:$I$3209,"&gt;="&amp;$A520,Data!$I$10:$I$3209,"&lt;"&amp;$A520+1)/$AF520)))</f>
        <v/>
      </c>
      <c r="F520" s="56">
        <f>IF($B520=0,"",IF(Inputs!$B$9="","",IF($AG520=0,F519,SUMIFS(Data!$N$10:$N$3209,Data!$M$10:$M$3209,"&gt;="&amp;$A520,Data!$M$10:$M$3209,"&lt;"&amp;$A520+1)/$AG520)))</f>
        <v/>
      </c>
      <c r="G520" s="56">
        <f>IF($B520=0,"",IF(Inputs!$B$10="","",IF($AH520=0,G519,SUMIFS(Data!$R$10:$R$3209,Data!$Q$10:$Q$3209,"&gt;="&amp;$A520,Data!$Q$10:$Q$3209,"&lt;"&amp;$A520+1)/$AH520)))</f>
        <v/>
      </c>
      <c r="I520" s="54">
        <f>IF($B520=0,NA(),IF($C520="",NA(),IF(C$8="",NA(),IF(N(C$8)=0,NA(),IF(Inputs!$C$17="Rebased to 100",$C520/C$8*100,$C520)))))</f>
        <v/>
      </c>
      <c r="J520" s="54">
        <f>IF($B520=0,NA(),IF($D520="",NA(),IF(D$8="",NA(),IF(N(D$8)=0,NA(),IF(Inputs!$C$17="Rebased to 100",$D520/D$8*100,$D520)))))</f>
        <v/>
      </c>
      <c r="K520" s="54">
        <f>IF($B520=0,NA(),IF($E520="",NA(),IF(E$8="",NA(),IF(N(E$8)=0,NA(),IF(Inputs!$C$17="Rebased to 100",$E520/E$8*100,$E520)))))</f>
        <v/>
      </c>
      <c r="L520" s="54">
        <f>IF($B520=0,NA(),IF($F520="",NA(),IF(F$8="",NA(),IF(N(F$8)=0,NA(),IF(Inputs!$C$17="Rebased to 100",$F520/F$8*100,$F520)))))</f>
        <v/>
      </c>
      <c r="M520" s="54">
        <f>IF($B520=0,NA(),IF($G520="",NA(),IF(G$8="",NA(),IF(N(G$8)=0,NA(),IF(Inputs!$C$17="Rebased to 100",$G520/G$8*100,$G520)))))</f>
        <v/>
      </c>
      <c r="N520" s="54">
        <f>IF($B520=0,NA(),IF(Inputs!$C$18&lt;&gt;"Yes",NA(),IF(COUNT(I520,J520,K520,L520,M520)=0,NA(),MIN(I520,J520,K520,L520,M520))))</f>
        <v/>
      </c>
      <c r="O520" s="54">
        <f>IF($B520=0,NA(),IF(Inputs!$B$24&lt;&gt;"Yes",NA(),Inputs!$D$24*Inputs!$C$35))</f>
        <v/>
      </c>
      <c r="P520" s="54">
        <f>IF($B520=0,NA(),IF(Inputs!$B$25&lt;&gt;"Yes",NA(),Inputs!$D$25*Inputs!$C$35))</f>
        <v/>
      </c>
      <c r="Q520" s="54">
        <f>IF($B520=0,NA(),IF(Inputs!$B$26&lt;&gt;"Yes",NA(),Inputs!$D$26*Inputs!$C$35))</f>
        <v/>
      </c>
      <c r="R520" s="54">
        <f>IF($B520=0,NA(),IF(Inputs!$B$27&lt;&gt;"Yes",NA(),Inputs!$D$27*Inputs!$C$35))</f>
        <v/>
      </c>
      <c r="S520" s="54">
        <f>IF($B520=0,NA(),IF(Inputs!$B$28&lt;&gt;"Yes",NA(),Inputs!$D$28*Inputs!$C$35))</f>
        <v/>
      </c>
      <c r="T520" s="54">
        <f>IF($B520=0,NA(),IF(Inputs!$B$29&lt;&gt;"Yes",NA(),Inputs!$D$29*Inputs!$C$35))</f>
        <v/>
      </c>
      <c r="AD520">
        <f>IF($B520=0,0,IF(Inputs!$B$6="",0,COUNTIFS(Data!$A$10:$A$3209,"&gt;="&amp;$A520,Data!$A$10:$A$3209,"&lt;"&amp;$A520+1)))</f>
        <v/>
      </c>
      <c r="AE520">
        <f>IF($B520=0,0,IF(Inputs!$B$7="",0,COUNTIFS(Data!$E$10:$E$3209,"&gt;="&amp;$A520,Data!$E$10:$E$3209,"&lt;"&amp;$A520+1)))</f>
        <v/>
      </c>
      <c r="AF520">
        <f>IF($B520=0,0,IF(Inputs!$B$8="",0,COUNTIFS(Data!$I$10:$I$3209,"&gt;="&amp;$A520,Data!$I$10:$I$3209,"&lt;"&amp;$A520+1)))</f>
        <v/>
      </c>
      <c r="AG520">
        <f>IF($B520=0,0,IF(Inputs!$B$9="",0,COUNTIFS(Data!$M$10:$M$3209,"&gt;="&amp;$A520,Data!$M$10:$M$3209,"&lt;"&amp;$A520+1)))</f>
        <v/>
      </c>
      <c r="AH520">
        <f>IF($B520=0,0,IF(Inputs!$B$10="",0,COUNTIFS(Data!$Q$10:$Q$3209,"&gt;="&amp;$A520,Data!$Q$10:$Q$3209,"&lt;"&amp;$A520+1)))</f>
        <v/>
      </c>
    </row>
    <row r="521">
      <c r="A521" s="55">
        <f>MIN(Inputs!$C$15,$A520+IF(WEEKDAY($A520,2)=5,3,1))</f>
        <v/>
      </c>
      <c r="B521">
        <f>IF($A521&gt;$A520,1,0)</f>
        <v/>
      </c>
      <c r="C521" s="56">
        <f>IF($B521=0,"",IF(Inputs!$B$6="","",IF($AD521=0,C520,SUMIFS(Data!$B$10:$B$3209,Data!$A$10:$A$3209,"&gt;="&amp;$A521,Data!$A$10:$A$3209,"&lt;"&amp;$A521+1)/$AD521)))</f>
        <v/>
      </c>
      <c r="D521" s="56">
        <f>IF($B521=0,"",IF(Inputs!$B$7="","",IF($AE521=0,D520,SUMIFS(Data!$F$10:$F$3209,Data!$E$10:$E$3209,"&gt;="&amp;$A521,Data!$E$10:$E$3209,"&lt;"&amp;$A521+1)/$AE521)))</f>
        <v/>
      </c>
      <c r="E521" s="56">
        <f>IF($B521=0,"",IF(Inputs!$B$8="","",IF($AF521=0,E520,SUMIFS(Data!$J$10:$J$3209,Data!$I$10:$I$3209,"&gt;="&amp;$A521,Data!$I$10:$I$3209,"&lt;"&amp;$A521+1)/$AF521)))</f>
        <v/>
      </c>
      <c r="F521" s="56">
        <f>IF($B521=0,"",IF(Inputs!$B$9="","",IF($AG521=0,F520,SUMIFS(Data!$N$10:$N$3209,Data!$M$10:$M$3209,"&gt;="&amp;$A521,Data!$M$10:$M$3209,"&lt;"&amp;$A521+1)/$AG521)))</f>
        <v/>
      </c>
      <c r="G521" s="56">
        <f>IF($B521=0,"",IF(Inputs!$B$10="","",IF($AH521=0,G520,SUMIFS(Data!$R$10:$R$3209,Data!$Q$10:$Q$3209,"&gt;="&amp;$A521,Data!$Q$10:$Q$3209,"&lt;"&amp;$A521+1)/$AH521)))</f>
        <v/>
      </c>
      <c r="I521" s="54">
        <f>IF($B521=0,NA(),IF($C521="",NA(),IF(C$8="",NA(),IF(N(C$8)=0,NA(),IF(Inputs!$C$17="Rebased to 100",$C521/C$8*100,$C521)))))</f>
        <v/>
      </c>
      <c r="J521" s="54">
        <f>IF($B521=0,NA(),IF($D521="",NA(),IF(D$8="",NA(),IF(N(D$8)=0,NA(),IF(Inputs!$C$17="Rebased to 100",$D521/D$8*100,$D521)))))</f>
        <v/>
      </c>
      <c r="K521" s="54">
        <f>IF($B521=0,NA(),IF($E521="",NA(),IF(E$8="",NA(),IF(N(E$8)=0,NA(),IF(Inputs!$C$17="Rebased to 100",$E521/E$8*100,$E521)))))</f>
        <v/>
      </c>
      <c r="L521" s="54">
        <f>IF($B521=0,NA(),IF($F521="",NA(),IF(F$8="",NA(),IF(N(F$8)=0,NA(),IF(Inputs!$C$17="Rebased to 100",$F521/F$8*100,$F521)))))</f>
        <v/>
      </c>
      <c r="M521" s="54">
        <f>IF($B521=0,NA(),IF($G521="",NA(),IF(G$8="",NA(),IF(N(G$8)=0,NA(),IF(Inputs!$C$17="Rebased to 100",$G521/G$8*100,$G521)))))</f>
        <v/>
      </c>
      <c r="N521" s="54">
        <f>IF($B521=0,NA(),IF(Inputs!$C$18&lt;&gt;"Yes",NA(),IF(COUNT(I521,J521,K521,L521,M521)=0,NA(),MIN(I521,J521,K521,L521,M521))))</f>
        <v/>
      </c>
      <c r="O521" s="54">
        <f>IF($B521=0,NA(),IF(Inputs!$B$24&lt;&gt;"Yes",NA(),Inputs!$D$24*Inputs!$C$35))</f>
        <v/>
      </c>
      <c r="P521" s="54">
        <f>IF($B521=0,NA(),IF(Inputs!$B$25&lt;&gt;"Yes",NA(),Inputs!$D$25*Inputs!$C$35))</f>
        <v/>
      </c>
      <c r="Q521" s="54">
        <f>IF($B521=0,NA(),IF(Inputs!$B$26&lt;&gt;"Yes",NA(),Inputs!$D$26*Inputs!$C$35))</f>
        <v/>
      </c>
      <c r="R521" s="54">
        <f>IF($B521=0,NA(),IF(Inputs!$B$27&lt;&gt;"Yes",NA(),Inputs!$D$27*Inputs!$C$35))</f>
        <v/>
      </c>
      <c r="S521" s="54">
        <f>IF($B521=0,NA(),IF(Inputs!$B$28&lt;&gt;"Yes",NA(),Inputs!$D$28*Inputs!$C$35))</f>
        <v/>
      </c>
      <c r="T521" s="54">
        <f>IF($B521=0,NA(),IF(Inputs!$B$29&lt;&gt;"Yes",NA(),Inputs!$D$29*Inputs!$C$35))</f>
        <v/>
      </c>
      <c r="AD521">
        <f>IF($B521=0,0,IF(Inputs!$B$6="",0,COUNTIFS(Data!$A$10:$A$3209,"&gt;="&amp;$A521,Data!$A$10:$A$3209,"&lt;"&amp;$A521+1)))</f>
        <v/>
      </c>
      <c r="AE521">
        <f>IF($B521=0,0,IF(Inputs!$B$7="",0,COUNTIFS(Data!$E$10:$E$3209,"&gt;="&amp;$A521,Data!$E$10:$E$3209,"&lt;"&amp;$A521+1)))</f>
        <v/>
      </c>
      <c r="AF521">
        <f>IF($B521=0,0,IF(Inputs!$B$8="",0,COUNTIFS(Data!$I$10:$I$3209,"&gt;="&amp;$A521,Data!$I$10:$I$3209,"&lt;"&amp;$A521+1)))</f>
        <v/>
      </c>
      <c r="AG521">
        <f>IF($B521=0,0,IF(Inputs!$B$9="",0,COUNTIFS(Data!$M$10:$M$3209,"&gt;="&amp;$A521,Data!$M$10:$M$3209,"&lt;"&amp;$A521+1)))</f>
        <v/>
      </c>
      <c r="AH521">
        <f>IF($B521=0,0,IF(Inputs!$B$10="",0,COUNTIFS(Data!$Q$10:$Q$3209,"&gt;="&amp;$A521,Data!$Q$10:$Q$3209,"&lt;"&amp;$A521+1)))</f>
        <v/>
      </c>
    </row>
    <row r="522">
      <c r="A522" s="55">
        <f>MIN(Inputs!$C$15,$A521+IF(WEEKDAY($A521,2)=5,3,1))</f>
        <v/>
      </c>
      <c r="B522">
        <f>IF($A522&gt;$A521,1,0)</f>
        <v/>
      </c>
      <c r="C522" s="56">
        <f>IF($B522=0,"",IF(Inputs!$B$6="","",IF($AD522=0,C521,SUMIFS(Data!$B$10:$B$3209,Data!$A$10:$A$3209,"&gt;="&amp;$A522,Data!$A$10:$A$3209,"&lt;"&amp;$A522+1)/$AD522)))</f>
        <v/>
      </c>
      <c r="D522" s="56">
        <f>IF($B522=0,"",IF(Inputs!$B$7="","",IF($AE522=0,D521,SUMIFS(Data!$F$10:$F$3209,Data!$E$10:$E$3209,"&gt;="&amp;$A522,Data!$E$10:$E$3209,"&lt;"&amp;$A522+1)/$AE522)))</f>
        <v/>
      </c>
      <c r="E522" s="56">
        <f>IF($B522=0,"",IF(Inputs!$B$8="","",IF($AF522=0,E521,SUMIFS(Data!$J$10:$J$3209,Data!$I$10:$I$3209,"&gt;="&amp;$A522,Data!$I$10:$I$3209,"&lt;"&amp;$A522+1)/$AF522)))</f>
        <v/>
      </c>
      <c r="F522" s="56">
        <f>IF($B522=0,"",IF(Inputs!$B$9="","",IF($AG522=0,F521,SUMIFS(Data!$N$10:$N$3209,Data!$M$10:$M$3209,"&gt;="&amp;$A522,Data!$M$10:$M$3209,"&lt;"&amp;$A522+1)/$AG522)))</f>
        <v/>
      </c>
      <c r="G522" s="56">
        <f>IF($B522=0,"",IF(Inputs!$B$10="","",IF($AH522=0,G521,SUMIFS(Data!$R$10:$R$3209,Data!$Q$10:$Q$3209,"&gt;="&amp;$A522,Data!$Q$10:$Q$3209,"&lt;"&amp;$A522+1)/$AH522)))</f>
        <v/>
      </c>
      <c r="I522" s="54">
        <f>IF($B522=0,NA(),IF($C522="",NA(),IF(C$8="",NA(),IF(N(C$8)=0,NA(),IF(Inputs!$C$17="Rebased to 100",$C522/C$8*100,$C522)))))</f>
        <v/>
      </c>
      <c r="J522" s="54">
        <f>IF($B522=0,NA(),IF($D522="",NA(),IF(D$8="",NA(),IF(N(D$8)=0,NA(),IF(Inputs!$C$17="Rebased to 100",$D522/D$8*100,$D522)))))</f>
        <v/>
      </c>
      <c r="K522" s="54">
        <f>IF($B522=0,NA(),IF($E522="",NA(),IF(E$8="",NA(),IF(N(E$8)=0,NA(),IF(Inputs!$C$17="Rebased to 100",$E522/E$8*100,$E522)))))</f>
        <v/>
      </c>
      <c r="L522" s="54">
        <f>IF($B522=0,NA(),IF($F522="",NA(),IF(F$8="",NA(),IF(N(F$8)=0,NA(),IF(Inputs!$C$17="Rebased to 100",$F522/F$8*100,$F522)))))</f>
        <v/>
      </c>
      <c r="M522" s="54">
        <f>IF($B522=0,NA(),IF($G522="",NA(),IF(G$8="",NA(),IF(N(G$8)=0,NA(),IF(Inputs!$C$17="Rebased to 100",$G522/G$8*100,$G522)))))</f>
        <v/>
      </c>
      <c r="N522" s="54">
        <f>IF($B522=0,NA(),IF(Inputs!$C$18&lt;&gt;"Yes",NA(),IF(COUNT(I522,J522,K522,L522,M522)=0,NA(),MIN(I522,J522,K522,L522,M522))))</f>
        <v/>
      </c>
      <c r="O522" s="54">
        <f>IF($B522=0,NA(),IF(Inputs!$B$24&lt;&gt;"Yes",NA(),Inputs!$D$24*Inputs!$C$35))</f>
        <v/>
      </c>
      <c r="P522" s="54">
        <f>IF($B522=0,NA(),IF(Inputs!$B$25&lt;&gt;"Yes",NA(),Inputs!$D$25*Inputs!$C$35))</f>
        <v/>
      </c>
      <c r="Q522" s="54">
        <f>IF($B522=0,NA(),IF(Inputs!$B$26&lt;&gt;"Yes",NA(),Inputs!$D$26*Inputs!$C$35))</f>
        <v/>
      </c>
      <c r="R522" s="54">
        <f>IF($B522=0,NA(),IF(Inputs!$B$27&lt;&gt;"Yes",NA(),Inputs!$D$27*Inputs!$C$35))</f>
        <v/>
      </c>
      <c r="S522" s="54">
        <f>IF($B522=0,NA(),IF(Inputs!$B$28&lt;&gt;"Yes",NA(),Inputs!$D$28*Inputs!$C$35))</f>
        <v/>
      </c>
      <c r="T522" s="54">
        <f>IF($B522=0,NA(),IF(Inputs!$B$29&lt;&gt;"Yes",NA(),Inputs!$D$29*Inputs!$C$35))</f>
        <v/>
      </c>
      <c r="AD522">
        <f>IF($B522=0,0,IF(Inputs!$B$6="",0,COUNTIFS(Data!$A$10:$A$3209,"&gt;="&amp;$A522,Data!$A$10:$A$3209,"&lt;"&amp;$A522+1)))</f>
        <v/>
      </c>
      <c r="AE522">
        <f>IF($B522=0,0,IF(Inputs!$B$7="",0,COUNTIFS(Data!$E$10:$E$3209,"&gt;="&amp;$A522,Data!$E$10:$E$3209,"&lt;"&amp;$A522+1)))</f>
        <v/>
      </c>
      <c r="AF522">
        <f>IF($B522=0,0,IF(Inputs!$B$8="",0,COUNTIFS(Data!$I$10:$I$3209,"&gt;="&amp;$A522,Data!$I$10:$I$3209,"&lt;"&amp;$A522+1)))</f>
        <v/>
      </c>
      <c r="AG522">
        <f>IF($B522=0,0,IF(Inputs!$B$9="",0,COUNTIFS(Data!$M$10:$M$3209,"&gt;="&amp;$A522,Data!$M$10:$M$3209,"&lt;"&amp;$A522+1)))</f>
        <v/>
      </c>
      <c r="AH522">
        <f>IF($B522=0,0,IF(Inputs!$B$10="",0,COUNTIFS(Data!$Q$10:$Q$3209,"&gt;="&amp;$A522,Data!$Q$10:$Q$3209,"&lt;"&amp;$A522+1)))</f>
        <v/>
      </c>
    </row>
    <row r="523">
      <c r="A523" s="55">
        <f>MIN(Inputs!$C$15,$A522+IF(WEEKDAY($A522,2)=5,3,1))</f>
        <v/>
      </c>
      <c r="B523">
        <f>IF($A523&gt;$A522,1,0)</f>
        <v/>
      </c>
      <c r="C523" s="56">
        <f>IF($B523=0,"",IF(Inputs!$B$6="","",IF($AD523=0,C522,SUMIFS(Data!$B$10:$B$3209,Data!$A$10:$A$3209,"&gt;="&amp;$A523,Data!$A$10:$A$3209,"&lt;"&amp;$A523+1)/$AD523)))</f>
        <v/>
      </c>
      <c r="D523" s="56">
        <f>IF($B523=0,"",IF(Inputs!$B$7="","",IF($AE523=0,D522,SUMIFS(Data!$F$10:$F$3209,Data!$E$10:$E$3209,"&gt;="&amp;$A523,Data!$E$10:$E$3209,"&lt;"&amp;$A523+1)/$AE523)))</f>
        <v/>
      </c>
      <c r="E523" s="56">
        <f>IF($B523=0,"",IF(Inputs!$B$8="","",IF($AF523=0,E522,SUMIFS(Data!$J$10:$J$3209,Data!$I$10:$I$3209,"&gt;="&amp;$A523,Data!$I$10:$I$3209,"&lt;"&amp;$A523+1)/$AF523)))</f>
        <v/>
      </c>
      <c r="F523" s="56">
        <f>IF($B523=0,"",IF(Inputs!$B$9="","",IF($AG523=0,F522,SUMIFS(Data!$N$10:$N$3209,Data!$M$10:$M$3209,"&gt;="&amp;$A523,Data!$M$10:$M$3209,"&lt;"&amp;$A523+1)/$AG523)))</f>
        <v/>
      </c>
      <c r="G523" s="56">
        <f>IF($B523=0,"",IF(Inputs!$B$10="","",IF($AH523=0,G522,SUMIFS(Data!$R$10:$R$3209,Data!$Q$10:$Q$3209,"&gt;="&amp;$A523,Data!$Q$10:$Q$3209,"&lt;"&amp;$A523+1)/$AH523)))</f>
        <v/>
      </c>
      <c r="I523" s="54">
        <f>IF($B523=0,NA(),IF($C523="",NA(),IF(C$8="",NA(),IF(N(C$8)=0,NA(),IF(Inputs!$C$17="Rebased to 100",$C523/C$8*100,$C523)))))</f>
        <v/>
      </c>
      <c r="J523" s="54">
        <f>IF($B523=0,NA(),IF($D523="",NA(),IF(D$8="",NA(),IF(N(D$8)=0,NA(),IF(Inputs!$C$17="Rebased to 100",$D523/D$8*100,$D523)))))</f>
        <v/>
      </c>
      <c r="K523" s="54">
        <f>IF($B523=0,NA(),IF($E523="",NA(),IF(E$8="",NA(),IF(N(E$8)=0,NA(),IF(Inputs!$C$17="Rebased to 100",$E523/E$8*100,$E523)))))</f>
        <v/>
      </c>
      <c r="L523" s="54">
        <f>IF($B523=0,NA(),IF($F523="",NA(),IF(F$8="",NA(),IF(N(F$8)=0,NA(),IF(Inputs!$C$17="Rebased to 100",$F523/F$8*100,$F523)))))</f>
        <v/>
      </c>
      <c r="M523" s="54">
        <f>IF($B523=0,NA(),IF($G523="",NA(),IF(G$8="",NA(),IF(N(G$8)=0,NA(),IF(Inputs!$C$17="Rebased to 100",$G523/G$8*100,$G523)))))</f>
        <v/>
      </c>
      <c r="N523" s="54">
        <f>IF($B523=0,NA(),IF(Inputs!$C$18&lt;&gt;"Yes",NA(),IF(COUNT(I523,J523,K523,L523,M523)=0,NA(),MIN(I523,J523,K523,L523,M523))))</f>
        <v/>
      </c>
      <c r="O523" s="54">
        <f>IF($B523=0,NA(),IF(Inputs!$B$24&lt;&gt;"Yes",NA(),Inputs!$D$24*Inputs!$C$35))</f>
        <v/>
      </c>
      <c r="P523" s="54">
        <f>IF($B523=0,NA(),IF(Inputs!$B$25&lt;&gt;"Yes",NA(),Inputs!$D$25*Inputs!$C$35))</f>
        <v/>
      </c>
      <c r="Q523" s="54">
        <f>IF($B523=0,NA(),IF(Inputs!$B$26&lt;&gt;"Yes",NA(),Inputs!$D$26*Inputs!$C$35))</f>
        <v/>
      </c>
      <c r="R523" s="54">
        <f>IF($B523=0,NA(),IF(Inputs!$B$27&lt;&gt;"Yes",NA(),Inputs!$D$27*Inputs!$C$35))</f>
        <v/>
      </c>
      <c r="S523" s="54">
        <f>IF($B523=0,NA(),IF(Inputs!$B$28&lt;&gt;"Yes",NA(),Inputs!$D$28*Inputs!$C$35))</f>
        <v/>
      </c>
      <c r="T523" s="54">
        <f>IF($B523=0,NA(),IF(Inputs!$B$29&lt;&gt;"Yes",NA(),Inputs!$D$29*Inputs!$C$35))</f>
        <v/>
      </c>
      <c r="AD523">
        <f>IF($B523=0,0,IF(Inputs!$B$6="",0,COUNTIFS(Data!$A$10:$A$3209,"&gt;="&amp;$A523,Data!$A$10:$A$3209,"&lt;"&amp;$A523+1)))</f>
        <v/>
      </c>
      <c r="AE523">
        <f>IF($B523=0,0,IF(Inputs!$B$7="",0,COUNTIFS(Data!$E$10:$E$3209,"&gt;="&amp;$A523,Data!$E$10:$E$3209,"&lt;"&amp;$A523+1)))</f>
        <v/>
      </c>
      <c r="AF523">
        <f>IF($B523=0,0,IF(Inputs!$B$8="",0,COUNTIFS(Data!$I$10:$I$3209,"&gt;="&amp;$A523,Data!$I$10:$I$3209,"&lt;"&amp;$A523+1)))</f>
        <v/>
      </c>
      <c r="AG523">
        <f>IF($B523=0,0,IF(Inputs!$B$9="",0,COUNTIFS(Data!$M$10:$M$3209,"&gt;="&amp;$A523,Data!$M$10:$M$3209,"&lt;"&amp;$A523+1)))</f>
        <v/>
      </c>
      <c r="AH523">
        <f>IF($B523=0,0,IF(Inputs!$B$10="",0,COUNTIFS(Data!$Q$10:$Q$3209,"&gt;="&amp;$A523,Data!$Q$10:$Q$3209,"&lt;"&amp;$A523+1)))</f>
        <v/>
      </c>
    </row>
    <row r="524">
      <c r="A524" s="55">
        <f>MIN(Inputs!$C$15,$A523+IF(WEEKDAY($A523,2)=5,3,1))</f>
        <v/>
      </c>
      <c r="B524">
        <f>IF($A524&gt;$A523,1,0)</f>
        <v/>
      </c>
      <c r="C524" s="56">
        <f>IF($B524=0,"",IF(Inputs!$B$6="","",IF($AD524=0,C523,SUMIFS(Data!$B$10:$B$3209,Data!$A$10:$A$3209,"&gt;="&amp;$A524,Data!$A$10:$A$3209,"&lt;"&amp;$A524+1)/$AD524)))</f>
        <v/>
      </c>
      <c r="D524" s="56">
        <f>IF($B524=0,"",IF(Inputs!$B$7="","",IF($AE524=0,D523,SUMIFS(Data!$F$10:$F$3209,Data!$E$10:$E$3209,"&gt;="&amp;$A524,Data!$E$10:$E$3209,"&lt;"&amp;$A524+1)/$AE524)))</f>
        <v/>
      </c>
      <c r="E524" s="56">
        <f>IF($B524=0,"",IF(Inputs!$B$8="","",IF($AF524=0,E523,SUMIFS(Data!$J$10:$J$3209,Data!$I$10:$I$3209,"&gt;="&amp;$A524,Data!$I$10:$I$3209,"&lt;"&amp;$A524+1)/$AF524)))</f>
        <v/>
      </c>
      <c r="F524" s="56">
        <f>IF($B524=0,"",IF(Inputs!$B$9="","",IF($AG524=0,F523,SUMIFS(Data!$N$10:$N$3209,Data!$M$10:$M$3209,"&gt;="&amp;$A524,Data!$M$10:$M$3209,"&lt;"&amp;$A524+1)/$AG524)))</f>
        <v/>
      </c>
      <c r="G524" s="56">
        <f>IF($B524=0,"",IF(Inputs!$B$10="","",IF($AH524=0,G523,SUMIFS(Data!$R$10:$R$3209,Data!$Q$10:$Q$3209,"&gt;="&amp;$A524,Data!$Q$10:$Q$3209,"&lt;"&amp;$A524+1)/$AH524)))</f>
        <v/>
      </c>
      <c r="I524" s="54">
        <f>IF($B524=0,NA(),IF($C524="",NA(),IF(C$8="",NA(),IF(N(C$8)=0,NA(),IF(Inputs!$C$17="Rebased to 100",$C524/C$8*100,$C524)))))</f>
        <v/>
      </c>
      <c r="J524" s="54">
        <f>IF($B524=0,NA(),IF($D524="",NA(),IF(D$8="",NA(),IF(N(D$8)=0,NA(),IF(Inputs!$C$17="Rebased to 100",$D524/D$8*100,$D524)))))</f>
        <v/>
      </c>
      <c r="K524" s="54">
        <f>IF($B524=0,NA(),IF($E524="",NA(),IF(E$8="",NA(),IF(N(E$8)=0,NA(),IF(Inputs!$C$17="Rebased to 100",$E524/E$8*100,$E524)))))</f>
        <v/>
      </c>
      <c r="L524" s="54">
        <f>IF($B524=0,NA(),IF($F524="",NA(),IF(F$8="",NA(),IF(N(F$8)=0,NA(),IF(Inputs!$C$17="Rebased to 100",$F524/F$8*100,$F524)))))</f>
        <v/>
      </c>
      <c r="M524" s="54">
        <f>IF($B524=0,NA(),IF($G524="",NA(),IF(G$8="",NA(),IF(N(G$8)=0,NA(),IF(Inputs!$C$17="Rebased to 100",$G524/G$8*100,$G524)))))</f>
        <v/>
      </c>
      <c r="N524" s="54">
        <f>IF($B524=0,NA(),IF(Inputs!$C$18&lt;&gt;"Yes",NA(),IF(COUNT(I524,J524,K524,L524,M524)=0,NA(),MIN(I524,J524,K524,L524,M524))))</f>
        <v/>
      </c>
      <c r="O524" s="54">
        <f>IF($B524=0,NA(),IF(Inputs!$B$24&lt;&gt;"Yes",NA(),Inputs!$D$24*Inputs!$C$35))</f>
        <v/>
      </c>
      <c r="P524" s="54">
        <f>IF($B524=0,NA(),IF(Inputs!$B$25&lt;&gt;"Yes",NA(),Inputs!$D$25*Inputs!$C$35))</f>
        <v/>
      </c>
      <c r="Q524" s="54">
        <f>IF($B524=0,NA(),IF(Inputs!$B$26&lt;&gt;"Yes",NA(),Inputs!$D$26*Inputs!$C$35))</f>
        <v/>
      </c>
      <c r="R524" s="54">
        <f>IF($B524=0,NA(),IF(Inputs!$B$27&lt;&gt;"Yes",NA(),Inputs!$D$27*Inputs!$C$35))</f>
        <v/>
      </c>
      <c r="S524" s="54">
        <f>IF($B524=0,NA(),IF(Inputs!$B$28&lt;&gt;"Yes",NA(),Inputs!$D$28*Inputs!$C$35))</f>
        <v/>
      </c>
      <c r="T524" s="54">
        <f>IF($B524=0,NA(),IF(Inputs!$B$29&lt;&gt;"Yes",NA(),Inputs!$D$29*Inputs!$C$35))</f>
        <v/>
      </c>
      <c r="AD524">
        <f>IF($B524=0,0,IF(Inputs!$B$6="",0,COUNTIFS(Data!$A$10:$A$3209,"&gt;="&amp;$A524,Data!$A$10:$A$3209,"&lt;"&amp;$A524+1)))</f>
        <v/>
      </c>
      <c r="AE524">
        <f>IF($B524=0,0,IF(Inputs!$B$7="",0,COUNTIFS(Data!$E$10:$E$3209,"&gt;="&amp;$A524,Data!$E$10:$E$3209,"&lt;"&amp;$A524+1)))</f>
        <v/>
      </c>
      <c r="AF524">
        <f>IF($B524=0,0,IF(Inputs!$B$8="",0,COUNTIFS(Data!$I$10:$I$3209,"&gt;="&amp;$A524,Data!$I$10:$I$3209,"&lt;"&amp;$A524+1)))</f>
        <v/>
      </c>
      <c r="AG524">
        <f>IF($B524=0,0,IF(Inputs!$B$9="",0,COUNTIFS(Data!$M$10:$M$3209,"&gt;="&amp;$A524,Data!$M$10:$M$3209,"&lt;"&amp;$A524+1)))</f>
        <v/>
      </c>
      <c r="AH524">
        <f>IF($B524=0,0,IF(Inputs!$B$10="",0,COUNTIFS(Data!$Q$10:$Q$3209,"&gt;="&amp;$A524,Data!$Q$10:$Q$3209,"&lt;"&amp;$A524+1)))</f>
        <v/>
      </c>
    </row>
    <row r="525">
      <c r="A525" s="55">
        <f>MIN(Inputs!$C$15,$A524+IF(WEEKDAY($A524,2)=5,3,1))</f>
        <v/>
      </c>
      <c r="B525">
        <f>IF($A525&gt;$A524,1,0)</f>
        <v/>
      </c>
      <c r="C525" s="56">
        <f>IF($B525=0,"",IF(Inputs!$B$6="","",IF($AD525=0,C524,SUMIFS(Data!$B$10:$B$3209,Data!$A$10:$A$3209,"&gt;="&amp;$A525,Data!$A$10:$A$3209,"&lt;"&amp;$A525+1)/$AD525)))</f>
        <v/>
      </c>
      <c r="D525" s="56">
        <f>IF($B525=0,"",IF(Inputs!$B$7="","",IF($AE525=0,D524,SUMIFS(Data!$F$10:$F$3209,Data!$E$10:$E$3209,"&gt;="&amp;$A525,Data!$E$10:$E$3209,"&lt;"&amp;$A525+1)/$AE525)))</f>
        <v/>
      </c>
      <c r="E525" s="56">
        <f>IF($B525=0,"",IF(Inputs!$B$8="","",IF($AF525=0,E524,SUMIFS(Data!$J$10:$J$3209,Data!$I$10:$I$3209,"&gt;="&amp;$A525,Data!$I$10:$I$3209,"&lt;"&amp;$A525+1)/$AF525)))</f>
        <v/>
      </c>
      <c r="F525" s="56">
        <f>IF($B525=0,"",IF(Inputs!$B$9="","",IF($AG525=0,F524,SUMIFS(Data!$N$10:$N$3209,Data!$M$10:$M$3209,"&gt;="&amp;$A525,Data!$M$10:$M$3209,"&lt;"&amp;$A525+1)/$AG525)))</f>
        <v/>
      </c>
      <c r="G525" s="56">
        <f>IF($B525=0,"",IF(Inputs!$B$10="","",IF($AH525=0,G524,SUMIFS(Data!$R$10:$R$3209,Data!$Q$10:$Q$3209,"&gt;="&amp;$A525,Data!$Q$10:$Q$3209,"&lt;"&amp;$A525+1)/$AH525)))</f>
        <v/>
      </c>
      <c r="I525" s="54">
        <f>IF($B525=0,NA(),IF($C525="",NA(),IF(C$8="",NA(),IF(N(C$8)=0,NA(),IF(Inputs!$C$17="Rebased to 100",$C525/C$8*100,$C525)))))</f>
        <v/>
      </c>
      <c r="J525" s="54">
        <f>IF($B525=0,NA(),IF($D525="",NA(),IF(D$8="",NA(),IF(N(D$8)=0,NA(),IF(Inputs!$C$17="Rebased to 100",$D525/D$8*100,$D525)))))</f>
        <v/>
      </c>
      <c r="K525" s="54">
        <f>IF($B525=0,NA(),IF($E525="",NA(),IF(E$8="",NA(),IF(N(E$8)=0,NA(),IF(Inputs!$C$17="Rebased to 100",$E525/E$8*100,$E525)))))</f>
        <v/>
      </c>
      <c r="L525" s="54">
        <f>IF($B525=0,NA(),IF($F525="",NA(),IF(F$8="",NA(),IF(N(F$8)=0,NA(),IF(Inputs!$C$17="Rebased to 100",$F525/F$8*100,$F525)))))</f>
        <v/>
      </c>
      <c r="M525" s="54">
        <f>IF($B525=0,NA(),IF($G525="",NA(),IF(G$8="",NA(),IF(N(G$8)=0,NA(),IF(Inputs!$C$17="Rebased to 100",$G525/G$8*100,$G525)))))</f>
        <v/>
      </c>
      <c r="N525" s="54">
        <f>IF($B525=0,NA(),IF(Inputs!$C$18&lt;&gt;"Yes",NA(),IF(COUNT(I525,J525,K525,L525,M525)=0,NA(),MIN(I525,J525,K525,L525,M525))))</f>
        <v/>
      </c>
      <c r="O525" s="54">
        <f>IF($B525=0,NA(),IF(Inputs!$B$24&lt;&gt;"Yes",NA(),Inputs!$D$24*Inputs!$C$35))</f>
        <v/>
      </c>
      <c r="P525" s="54">
        <f>IF($B525=0,NA(),IF(Inputs!$B$25&lt;&gt;"Yes",NA(),Inputs!$D$25*Inputs!$C$35))</f>
        <v/>
      </c>
      <c r="Q525" s="54">
        <f>IF($B525=0,NA(),IF(Inputs!$B$26&lt;&gt;"Yes",NA(),Inputs!$D$26*Inputs!$C$35))</f>
        <v/>
      </c>
      <c r="R525" s="54">
        <f>IF($B525=0,NA(),IF(Inputs!$B$27&lt;&gt;"Yes",NA(),Inputs!$D$27*Inputs!$C$35))</f>
        <v/>
      </c>
      <c r="S525" s="54">
        <f>IF($B525=0,NA(),IF(Inputs!$B$28&lt;&gt;"Yes",NA(),Inputs!$D$28*Inputs!$C$35))</f>
        <v/>
      </c>
      <c r="T525" s="54">
        <f>IF($B525=0,NA(),IF(Inputs!$B$29&lt;&gt;"Yes",NA(),Inputs!$D$29*Inputs!$C$35))</f>
        <v/>
      </c>
      <c r="AD525">
        <f>IF($B525=0,0,IF(Inputs!$B$6="",0,COUNTIFS(Data!$A$10:$A$3209,"&gt;="&amp;$A525,Data!$A$10:$A$3209,"&lt;"&amp;$A525+1)))</f>
        <v/>
      </c>
      <c r="AE525">
        <f>IF($B525=0,0,IF(Inputs!$B$7="",0,COUNTIFS(Data!$E$10:$E$3209,"&gt;="&amp;$A525,Data!$E$10:$E$3209,"&lt;"&amp;$A525+1)))</f>
        <v/>
      </c>
      <c r="AF525">
        <f>IF($B525=0,0,IF(Inputs!$B$8="",0,COUNTIFS(Data!$I$10:$I$3209,"&gt;="&amp;$A525,Data!$I$10:$I$3209,"&lt;"&amp;$A525+1)))</f>
        <v/>
      </c>
      <c r="AG525">
        <f>IF($B525=0,0,IF(Inputs!$B$9="",0,COUNTIFS(Data!$M$10:$M$3209,"&gt;="&amp;$A525,Data!$M$10:$M$3209,"&lt;"&amp;$A525+1)))</f>
        <v/>
      </c>
      <c r="AH525">
        <f>IF($B525=0,0,IF(Inputs!$B$10="",0,COUNTIFS(Data!$Q$10:$Q$3209,"&gt;="&amp;$A525,Data!$Q$10:$Q$3209,"&lt;"&amp;$A525+1)))</f>
        <v/>
      </c>
    </row>
    <row r="526">
      <c r="A526" s="55">
        <f>MIN(Inputs!$C$15,$A525+IF(WEEKDAY($A525,2)=5,3,1))</f>
        <v/>
      </c>
      <c r="B526">
        <f>IF($A526&gt;$A525,1,0)</f>
        <v/>
      </c>
      <c r="C526" s="56">
        <f>IF($B526=0,"",IF(Inputs!$B$6="","",IF($AD526=0,C525,SUMIFS(Data!$B$10:$B$3209,Data!$A$10:$A$3209,"&gt;="&amp;$A526,Data!$A$10:$A$3209,"&lt;"&amp;$A526+1)/$AD526)))</f>
        <v/>
      </c>
      <c r="D526" s="56">
        <f>IF($B526=0,"",IF(Inputs!$B$7="","",IF($AE526=0,D525,SUMIFS(Data!$F$10:$F$3209,Data!$E$10:$E$3209,"&gt;="&amp;$A526,Data!$E$10:$E$3209,"&lt;"&amp;$A526+1)/$AE526)))</f>
        <v/>
      </c>
      <c r="E526" s="56">
        <f>IF($B526=0,"",IF(Inputs!$B$8="","",IF($AF526=0,E525,SUMIFS(Data!$J$10:$J$3209,Data!$I$10:$I$3209,"&gt;="&amp;$A526,Data!$I$10:$I$3209,"&lt;"&amp;$A526+1)/$AF526)))</f>
        <v/>
      </c>
      <c r="F526" s="56">
        <f>IF($B526=0,"",IF(Inputs!$B$9="","",IF($AG526=0,F525,SUMIFS(Data!$N$10:$N$3209,Data!$M$10:$M$3209,"&gt;="&amp;$A526,Data!$M$10:$M$3209,"&lt;"&amp;$A526+1)/$AG526)))</f>
        <v/>
      </c>
      <c r="G526" s="56">
        <f>IF($B526=0,"",IF(Inputs!$B$10="","",IF($AH526=0,G525,SUMIFS(Data!$R$10:$R$3209,Data!$Q$10:$Q$3209,"&gt;="&amp;$A526,Data!$Q$10:$Q$3209,"&lt;"&amp;$A526+1)/$AH526)))</f>
        <v/>
      </c>
      <c r="I526" s="54">
        <f>IF($B526=0,NA(),IF($C526="",NA(),IF(C$8="",NA(),IF(N(C$8)=0,NA(),IF(Inputs!$C$17="Rebased to 100",$C526/C$8*100,$C526)))))</f>
        <v/>
      </c>
      <c r="J526" s="54">
        <f>IF($B526=0,NA(),IF($D526="",NA(),IF(D$8="",NA(),IF(N(D$8)=0,NA(),IF(Inputs!$C$17="Rebased to 100",$D526/D$8*100,$D526)))))</f>
        <v/>
      </c>
      <c r="K526" s="54">
        <f>IF($B526=0,NA(),IF($E526="",NA(),IF(E$8="",NA(),IF(N(E$8)=0,NA(),IF(Inputs!$C$17="Rebased to 100",$E526/E$8*100,$E526)))))</f>
        <v/>
      </c>
      <c r="L526" s="54">
        <f>IF($B526=0,NA(),IF($F526="",NA(),IF(F$8="",NA(),IF(N(F$8)=0,NA(),IF(Inputs!$C$17="Rebased to 100",$F526/F$8*100,$F526)))))</f>
        <v/>
      </c>
      <c r="M526" s="54">
        <f>IF($B526=0,NA(),IF($G526="",NA(),IF(G$8="",NA(),IF(N(G$8)=0,NA(),IF(Inputs!$C$17="Rebased to 100",$G526/G$8*100,$G526)))))</f>
        <v/>
      </c>
      <c r="N526" s="54">
        <f>IF($B526=0,NA(),IF(Inputs!$C$18&lt;&gt;"Yes",NA(),IF(COUNT(I526,J526,K526,L526,M526)=0,NA(),MIN(I526,J526,K526,L526,M526))))</f>
        <v/>
      </c>
      <c r="O526" s="54">
        <f>IF($B526=0,NA(),IF(Inputs!$B$24&lt;&gt;"Yes",NA(),Inputs!$D$24*Inputs!$C$35))</f>
        <v/>
      </c>
      <c r="P526" s="54">
        <f>IF($B526=0,NA(),IF(Inputs!$B$25&lt;&gt;"Yes",NA(),Inputs!$D$25*Inputs!$C$35))</f>
        <v/>
      </c>
      <c r="Q526" s="54">
        <f>IF($B526=0,NA(),IF(Inputs!$B$26&lt;&gt;"Yes",NA(),Inputs!$D$26*Inputs!$C$35))</f>
        <v/>
      </c>
      <c r="R526" s="54">
        <f>IF($B526=0,NA(),IF(Inputs!$B$27&lt;&gt;"Yes",NA(),Inputs!$D$27*Inputs!$C$35))</f>
        <v/>
      </c>
      <c r="S526" s="54">
        <f>IF($B526=0,NA(),IF(Inputs!$B$28&lt;&gt;"Yes",NA(),Inputs!$D$28*Inputs!$C$35))</f>
        <v/>
      </c>
      <c r="T526" s="54">
        <f>IF($B526=0,NA(),IF(Inputs!$B$29&lt;&gt;"Yes",NA(),Inputs!$D$29*Inputs!$C$35))</f>
        <v/>
      </c>
      <c r="AD526">
        <f>IF($B526=0,0,IF(Inputs!$B$6="",0,COUNTIFS(Data!$A$10:$A$3209,"&gt;="&amp;$A526,Data!$A$10:$A$3209,"&lt;"&amp;$A526+1)))</f>
        <v/>
      </c>
      <c r="AE526">
        <f>IF($B526=0,0,IF(Inputs!$B$7="",0,COUNTIFS(Data!$E$10:$E$3209,"&gt;="&amp;$A526,Data!$E$10:$E$3209,"&lt;"&amp;$A526+1)))</f>
        <v/>
      </c>
      <c r="AF526">
        <f>IF($B526=0,0,IF(Inputs!$B$8="",0,COUNTIFS(Data!$I$10:$I$3209,"&gt;="&amp;$A526,Data!$I$10:$I$3209,"&lt;"&amp;$A526+1)))</f>
        <v/>
      </c>
      <c r="AG526">
        <f>IF($B526=0,0,IF(Inputs!$B$9="",0,COUNTIFS(Data!$M$10:$M$3209,"&gt;="&amp;$A526,Data!$M$10:$M$3209,"&lt;"&amp;$A526+1)))</f>
        <v/>
      </c>
      <c r="AH526">
        <f>IF($B526=0,0,IF(Inputs!$B$10="",0,COUNTIFS(Data!$Q$10:$Q$3209,"&gt;="&amp;$A526,Data!$Q$10:$Q$3209,"&lt;"&amp;$A526+1)))</f>
        <v/>
      </c>
    </row>
    <row r="527">
      <c r="A527" s="55">
        <f>MIN(Inputs!$C$15,$A526+IF(WEEKDAY($A526,2)=5,3,1))</f>
        <v/>
      </c>
      <c r="B527">
        <f>IF($A527&gt;$A526,1,0)</f>
        <v/>
      </c>
      <c r="C527" s="56">
        <f>IF($B527=0,"",IF(Inputs!$B$6="","",IF($AD527=0,C526,SUMIFS(Data!$B$10:$B$3209,Data!$A$10:$A$3209,"&gt;="&amp;$A527,Data!$A$10:$A$3209,"&lt;"&amp;$A527+1)/$AD527)))</f>
        <v/>
      </c>
      <c r="D527" s="56">
        <f>IF($B527=0,"",IF(Inputs!$B$7="","",IF($AE527=0,D526,SUMIFS(Data!$F$10:$F$3209,Data!$E$10:$E$3209,"&gt;="&amp;$A527,Data!$E$10:$E$3209,"&lt;"&amp;$A527+1)/$AE527)))</f>
        <v/>
      </c>
      <c r="E527" s="56">
        <f>IF($B527=0,"",IF(Inputs!$B$8="","",IF($AF527=0,E526,SUMIFS(Data!$J$10:$J$3209,Data!$I$10:$I$3209,"&gt;="&amp;$A527,Data!$I$10:$I$3209,"&lt;"&amp;$A527+1)/$AF527)))</f>
        <v/>
      </c>
      <c r="F527" s="56">
        <f>IF($B527=0,"",IF(Inputs!$B$9="","",IF($AG527=0,F526,SUMIFS(Data!$N$10:$N$3209,Data!$M$10:$M$3209,"&gt;="&amp;$A527,Data!$M$10:$M$3209,"&lt;"&amp;$A527+1)/$AG527)))</f>
        <v/>
      </c>
      <c r="G527" s="56">
        <f>IF($B527=0,"",IF(Inputs!$B$10="","",IF($AH527=0,G526,SUMIFS(Data!$R$10:$R$3209,Data!$Q$10:$Q$3209,"&gt;="&amp;$A527,Data!$Q$10:$Q$3209,"&lt;"&amp;$A527+1)/$AH527)))</f>
        <v/>
      </c>
      <c r="I527" s="54">
        <f>IF($B527=0,NA(),IF($C527="",NA(),IF(C$8="",NA(),IF(N(C$8)=0,NA(),IF(Inputs!$C$17="Rebased to 100",$C527/C$8*100,$C527)))))</f>
        <v/>
      </c>
      <c r="J527" s="54">
        <f>IF($B527=0,NA(),IF($D527="",NA(),IF(D$8="",NA(),IF(N(D$8)=0,NA(),IF(Inputs!$C$17="Rebased to 100",$D527/D$8*100,$D527)))))</f>
        <v/>
      </c>
      <c r="K527" s="54">
        <f>IF($B527=0,NA(),IF($E527="",NA(),IF(E$8="",NA(),IF(N(E$8)=0,NA(),IF(Inputs!$C$17="Rebased to 100",$E527/E$8*100,$E527)))))</f>
        <v/>
      </c>
      <c r="L527" s="54">
        <f>IF($B527=0,NA(),IF($F527="",NA(),IF(F$8="",NA(),IF(N(F$8)=0,NA(),IF(Inputs!$C$17="Rebased to 100",$F527/F$8*100,$F527)))))</f>
        <v/>
      </c>
      <c r="M527" s="54">
        <f>IF($B527=0,NA(),IF($G527="",NA(),IF(G$8="",NA(),IF(N(G$8)=0,NA(),IF(Inputs!$C$17="Rebased to 100",$G527/G$8*100,$G527)))))</f>
        <v/>
      </c>
      <c r="N527" s="54">
        <f>IF($B527=0,NA(),IF(Inputs!$C$18&lt;&gt;"Yes",NA(),IF(COUNT(I527,J527,K527,L527,M527)=0,NA(),MIN(I527,J527,K527,L527,M527))))</f>
        <v/>
      </c>
      <c r="O527" s="54">
        <f>IF($B527=0,NA(),IF(Inputs!$B$24&lt;&gt;"Yes",NA(),Inputs!$D$24*Inputs!$C$35))</f>
        <v/>
      </c>
      <c r="P527" s="54">
        <f>IF($B527=0,NA(),IF(Inputs!$B$25&lt;&gt;"Yes",NA(),Inputs!$D$25*Inputs!$C$35))</f>
        <v/>
      </c>
      <c r="Q527" s="54">
        <f>IF($B527=0,NA(),IF(Inputs!$B$26&lt;&gt;"Yes",NA(),Inputs!$D$26*Inputs!$C$35))</f>
        <v/>
      </c>
      <c r="R527" s="54">
        <f>IF($B527=0,NA(),IF(Inputs!$B$27&lt;&gt;"Yes",NA(),Inputs!$D$27*Inputs!$C$35))</f>
        <v/>
      </c>
      <c r="S527" s="54">
        <f>IF($B527=0,NA(),IF(Inputs!$B$28&lt;&gt;"Yes",NA(),Inputs!$D$28*Inputs!$C$35))</f>
        <v/>
      </c>
      <c r="T527" s="54">
        <f>IF($B527=0,NA(),IF(Inputs!$B$29&lt;&gt;"Yes",NA(),Inputs!$D$29*Inputs!$C$35))</f>
        <v/>
      </c>
      <c r="AD527">
        <f>IF($B527=0,0,IF(Inputs!$B$6="",0,COUNTIFS(Data!$A$10:$A$3209,"&gt;="&amp;$A527,Data!$A$10:$A$3209,"&lt;"&amp;$A527+1)))</f>
        <v/>
      </c>
      <c r="AE527">
        <f>IF($B527=0,0,IF(Inputs!$B$7="",0,COUNTIFS(Data!$E$10:$E$3209,"&gt;="&amp;$A527,Data!$E$10:$E$3209,"&lt;"&amp;$A527+1)))</f>
        <v/>
      </c>
      <c r="AF527">
        <f>IF($B527=0,0,IF(Inputs!$B$8="",0,COUNTIFS(Data!$I$10:$I$3209,"&gt;="&amp;$A527,Data!$I$10:$I$3209,"&lt;"&amp;$A527+1)))</f>
        <v/>
      </c>
      <c r="AG527">
        <f>IF($B527=0,0,IF(Inputs!$B$9="",0,COUNTIFS(Data!$M$10:$M$3209,"&gt;="&amp;$A527,Data!$M$10:$M$3209,"&lt;"&amp;$A527+1)))</f>
        <v/>
      </c>
      <c r="AH527">
        <f>IF($B527=0,0,IF(Inputs!$B$10="",0,COUNTIFS(Data!$Q$10:$Q$3209,"&gt;="&amp;$A527,Data!$Q$10:$Q$3209,"&lt;"&amp;$A527+1)))</f>
        <v/>
      </c>
    </row>
    <row r="528">
      <c r="A528" s="55">
        <f>MIN(Inputs!$C$15,$A527+IF(WEEKDAY($A527,2)=5,3,1))</f>
        <v/>
      </c>
      <c r="B528">
        <f>IF($A528&gt;$A527,1,0)</f>
        <v/>
      </c>
      <c r="C528" s="56">
        <f>IF($B528=0,"",IF(Inputs!$B$6="","",IF($AD528=0,C527,SUMIFS(Data!$B$10:$B$3209,Data!$A$10:$A$3209,"&gt;="&amp;$A528,Data!$A$10:$A$3209,"&lt;"&amp;$A528+1)/$AD528)))</f>
        <v/>
      </c>
      <c r="D528" s="56">
        <f>IF($B528=0,"",IF(Inputs!$B$7="","",IF($AE528=0,D527,SUMIFS(Data!$F$10:$F$3209,Data!$E$10:$E$3209,"&gt;="&amp;$A528,Data!$E$10:$E$3209,"&lt;"&amp;$A528+1)/$AE528)))</f>
        <v/>
      </c>
      <c r="E528" s="56">
        <f>IF($B528=0,"",IF(Inputs!$B$8="","",IF($AF528=0,E527,SUMIFS(Data!$J$10:$J$3209,Data!$I$10:$I$3209,"&gt;="&amp;$A528,Data!$I$10:$I$3209,"&lt;"&amp;$A528+1)/$AF528)))</f>
        <v/>
      </c>
      <c r="F528" s="56">
        <f>IF($B528=0,"",IF(Inputs!$B$9="","",IF($AG528=0,F527,SUMIFS(Data!$N$10:$N$3209,Data!$M$10:$M$3209,"&gt;="&amp;$A528,Data!$M$10:$M$3209,"&lt;"&amp;$A528+1)/$AG528)))</f>
        <v/>
      </c>
      <c r="G528" s="56">
        <f>IF($B528=0,"",IF(Inputs!$B$10="","",IF($AH528=0,G527,SUMIFS(Data!$R$10:$R$3209,Data!$Q$10:$Q$3209,"&gt;="&amp;$A528,Data!$Q$10:$Q$3209,"&lt;"&amp;$A528+1)/$AH528)))</f>
        <v/>
      </c>
      <c r="I528" s="54">
        <f>IF($B528=0,NA(),IF($C528="",NA(),IF(C$8="",NA(),IF(N(C$8)=0,NA(),IF(Inputs!$C$17="Rebased to 100",$C528/C$8*100,$C528)))))</f>
        <v/>
      </c>
      <c r="J528" s="54">
        <f>IF($B528=0,NA(),IF($D528="",NA(),IF(D$8="",NA(),IF(N(D$8)=0,NA(),IF(Inputs!$C$17="Rebased to 100",$D528/D$8*100,$D528)))))</f>
        <v/>
      </c>
      <c r="K528" s="54">
        <f>IF($B528=0,NA(),IF($E528="",NA(),IF(E$8="",NA(),IF(N(E$8)=0,NA(),IF(Inputs!$C$17="Rebased to 100",$E528/E$8*100,$E528)))))</f>
        <v/>
      </c>
      <c r="L528" s="54">
        <f>IF($B528=0,NA(),IF($F528="",NA(),IF(F$8="",NA(),IF(N(F$8)=0,NA(),IF(Inputs!$C$17="Rebased to 100",$F528/F$8*100,$F528)))))</f>
        <v/>
      </c>
      <c r="M528" s="54">
        <f>IF($B528=0,NA(),IF($G528="",NA(),IF(G$8="",NA(),IF(N(G$8)=0,NA(),IF(Inputs!$C$17="Rebased to 100",$G528/G$8*100,$G528)))))</f>
        <v/>
      </c>
      <c r="N528" s="54">
        <f>IF($B528=0,NA(),IF(Inputs!$C$18&lt;&gt;"Yes",NA(),IF(COUNT(I528,J528,K528,L528,M528)=0,NA(),MIN(I528,J528,K528,L528,M528))))</f>
        <v/>
      </c>
      <c r="O528" s="54">
        <f>IF($B528=0,NA(),IF(Inputs!$B$24&lt;&gt;"Yes",NA(),Inputs!$D$24*Inputs!$C$35))</f>
        <v/>
      </c>
      <c r="P528" s="54">
        <f>IF($B528=0,NA(),IF(Inputs!$B$25&lt;&gt;"Yes",NA(),Inputs!$D$25*Inputs!$C$35))</f>
        <v/>
      </c>
      <c r="Q528" s="54">
        <f>IF($B528=0,NA(),IF(Inputs!$B$26&lt;&gt;"Yes",NA(),Inputs!$D$26*Inputs!$C$35))</f>
        <v/>
      </c>
      <c r="R528" s="54">
        <f>IF($B528=0,NA(),IF(Inputs!$B$27&lt;&gt;"Yes",NA(),Inputs!$D$27*Inputs!$C$35))</f>
        <v/>
      </c>
      <c r="S528" s="54">
        <f>IF($B528=0,NA(),IF(Inputs!$B$28&lt;&gt;"Yes",NA(),Inputs!$D$28*Inputs!$C$35))</f>
        <v/>
      </c>
      <c r="T528" s="54">
        <f>IF($B528=0,NA(),IF(Inputs!$B$29&lt;&gt;"Yes",NA(),Inputs!$D$29*Inputs!$C$35))</f>
        <v/>
      </c>
      <c r="AD528">
        <f>IF($B528=0,0,IF(Inputs!$B$6="",0,COUNTIFS(Data!$A$10:$A$3209,"&gt;="&amp;$A528,Data!$A$10:$A$3209,"&lt;"&amp;$A528+1)))</f>
        <v/>
      </c>
      <c r="AE528">
        <f>IF($B528=0,0,IF(Inputs!$B$7="",0,COUNTIFS(Data!$E$10:$E$3209,"&gt;="&amp;$A528,Data!$E$10:$E$3209,"&lt;"&amp;$A528+1)))</f>
        <v/>
      </c>
      <c r="AF528">
        <f>IF($B528=0,0,IF(Inputs!$B$8="",0,COUNTIFS(Data!$I$10:$I$3209,"&gt;="&amp;$A528,Data!$I$10:$I$3209,"&lt;"&amp;$A528+1)))</f>
        <v/>
      </c>
      <c r="AG528">
        <f>IF($B528=0,0,IF(Inputs!$B$9="",0,COUNTIFS(Data!$M$10:$M$3209,"&gt;="&amp;$A528,Data!$M$10:$M$3209,"&lt;"&amp;$A528+1)))</f>
        <v/>
      </c>
      <c r="AH528">
        <f>IF($B528=0,0,IF(Inputs!$B$10="",0,COUNTIFS(Data!$Q$10:$Q$3209,"&gt;="&amp;$A528,Data!$Q$10:$Q$3209,"&lt;"&amp;$A528+1)))</f>
        <v/>
      </c>
    </row>
    <row r="529">
      <c r="A529" s="55">
        <f>MIN(Inputs!$C$15,$A528+IF(WEEKDAY($A528,2)=5,3,1))</f>
        <v/>
      </c>
      <c r="B529">
        <f>IF($A529&gt;$A528,1,0)</f>
        <v/>
      </c>
      <c r="C529" s="56">
        <f>IF($B529=0,"",IF(Inputs!$B$6="","",IF($AD529=0,C528,SUMIFS(Data!$B$10:$B$3209,Data!$A$10:$A$3209,"&gt;="&amp;$A529,Data!$A$10:$A$3209,"&lt;"&amp;$A529+1)/$AD529)))</f>
        <v/>
      </c>
      <c r="D529" s="56">
        <f>IF($B529=0,"",IF(Inputs!$B$7="","",IF($AE529=0,D528,SUMIFS(Data!$F$10:$F$3209,Data!$E$10:$E$3209,"&gt;="&amp;$A529,Data!$E$10:$E$3209,"&lt;"&amp;$A529+1)/$AE529)))</f>
        <v/>
      </c>
      <c r="E529" s="56">
        <f>IF($B529=0,"",IF(Inputs!$B$8="","",IF($AF529=0,E528,SUMIFS(Data!$J$10:$J$3209,Data!$I$10:$I$3209,"&gt;="&amp;$A529,Data!$I$10:$I$3209,"&lt;"&amp;$A529+1)/$AF529)))</f>
        <v/>
      </c>
      <c r="F529" s="56">
        <f>IF($B529=0,"",IF(Inputs!$B$9="","",IF($AG529=0,F528,SUMIFS(Data!$N$10:$N$3209,Data!$M$10:$M$3209,"&gt;="&amp;$A529,Data!$M$10:$M$3209,"&lt;"&amp;$A529+1)/$AG529)))</f>
        <v/>
      </c>
      <c r="G529" s="56">
        <f>IF($B529=0,"",IF(Inputs!$B$10="","",IF($AH529=0,G528,SUMIFS(Data!$R$10:$R$3209,Data!$Q$10:$Q$3209,"&gt;="&amp;$A529,Data!$Q$10:$Q$3209,"&lt;"&amp;$A529+1)/$AH529)))</f>
        <v/>
      </c>
      <c r="I529" s="54">
        <f>IF($B529=0,NA(),IF($C529="",NA(),IF(C$8="",NA(),IF(N(C$8)=0,NA(),IF(Inputs!$C$17="Rebased to 100",$C529/C$8*100,$C529)))))</f>
        <v/>
      </c>
      <c r="J529" s="54">
        <f>IF($B529=0,NA(),IF($D529="",NA(),IF(D$8="",NA(),IF(N(D$8)=0,NA(),IF(Inputs!$C$17="Rebased to 100",$D529/D$8*100,$D529)))))</f>
        <v/>
      </c>
      <c r="K529" s="54">
        <f>IF($B529=0,NA(),IF($E529="",NA(),IF(E$8="",NA(),IF(N(E$8)=0,NA(),IF(Inputs!$C$17="Rebased to 100",$E529/E$8*100,$E529)))))</f>
        <v/>
      </c>
      <c r="L529" s="54">
        <f>IF($B529=0,NA(),IF($F529="",NA(),IF(F$8="",NA(),IF(N(F$8)=0,NA(),IF(Inputs!$C$17="Rebased to 100",$F529/F$8*100,$F529)))))</f>
        <v/>
      </c>
      <c r="M529" s="54">
        <f>IF($B529=0,NA(),IF($G529="",NA(),IF(G$8="",NA(),IF(N(G$8)=0,NA(),IF(Inputs!$C$17="Rebased to 100",$G529/G$8*100,$G529)))))</f>
        <v/>
      </c>
      <c r="N529" s="54">
        <f>IF($B529=0,NA(),IF(Inputs!$C$18&lt;&gt;"Yes",NA(),IF(COUNT(I529,J529,K529,L529,M529)=0,NA(),MIN(I529,J529,K529,L529,M529))))</f>
        <v/>
      </c>
      <c r="O529" s="54">
        <f>IF($B529=0,NA(),IF(Inputs!$B$24&lt;&gt;"Yes",NA(),Inputs!$D$24*Inputs!$C$35))</f>
        <v/>
      </c>
      <c r="P529" s="54">
        <f>IF($B529=0,NA(),IF(Inputs!$B$25&lt;&gt;"Yes",NA(),Inputs!$D$25*Inputs!$C$35))</f>
        <v/>
      </c>
      <c r="Q529" s="54">
        <f>IF($B529=0,NA(),IF(Inputs!$B$26&lt;&gt;"Yes",NA(),Inputs!$D$26*Inputs!$C$35))</f>
        <v/>
      </c>
      <c r="R529" s="54">
        <f>IF($B529=0,NA(),IF(Inputs!$B$27&lt;&gt;"Yes",NA(),Inputs!$D$27*Inputs!$C$35))</f>
        <v/>
      </c>
      <c r="S529" s="54">
        <f>IF($B529=0,NA(),IF(Inputs!$B$28&lt;&gt;"Yes",NA(),Inputs!$D$28*Inputs!$C$35))</f>
        <v/>
      </c>
      <c r="T529" s="54">
        <f>IF($B529=0,NA(),IF(Inputs!$B$29&lt;&gt;"Yes",NA(),Inputs!$D$29*Inputs!$C$35))</f>
        <v/>
      </c>
      <c r="AD529">
        <f>IF($B529=0,0,IF(Inputs!$B$6="",0,COUNTIFS(Data!$A$10:$A$3209,"&gt;="&amp;$A529,Data!$A$10:$A$3209,"&lt;"&amp;$A529+1)))</f>
        <v/>
      </c>
      <c r="AE529">
        <f>IF($B529=0,0,IF(Inputs!$B$7="",0,COUNTIFS(Data!$E$10:$E$3209,"&gt;="&amp;$A529,Data!$E$10:$E$3209,"&lt;"&amp;$A529+1)))</f>
        <v/>
      </c>
      <c r="AF529">
        <f>IF($B529=0,0,IF(Inputs!$B$8="",0,COUNTIFS(Data!$I$10:$I$3209,"&gt;="&amp;$A529,Data!$I$10:$I$3209,"&lt;"&amp;$A529+1)))</f>
        <v/>
      </c>
      <c r="AG529">
        <f>IF($B529=0,0,IF(Inputs!$B$9="",0,COUNTIFS(Data!$M$10:$M$3209,"&gt;="&amp;$A529,Data!$M$10:$M$3209,"&lt;"&amp;$A529+1)))</f>
        <v/>
      </c>
      <c r="AH529">
        <f>IF($B529=0,0,IF(Inputs!$B$10="",0,COUNTIFS(Data!$Q$10:$Q$3209,"&gt;="&amp;$A529,Data!$Q$10:$Q$3209,"&lt;"&amp;$A529+1)))</f>
        <v/>
      </c>
    </row>
    <row r="530">
      <c r="A530" s="55">
        <f>MIN(Inputs!$C$15,$A529+IF(WEEKDAY($A529,2)=5,3,1))</f>
        <v/>
      </c>
      <c r="B530">
        <f>IF($A530&gt;$A529,1,0)</f>
        <v/>
      </c>
      <c r="C530" s="56">
        <f>IF($B530=0,"",IF(Inputs!$B$6="","",IF($AD530=0,C529,SUMIFS(Data!$B$10:$B$3209,Data!$A$10:$A$3209,"&gt;="&amp;$A530,Data!$A$10:$A$3209,"&lt;"&amp;$A530+1)/$AD530)))</f>
        <v/>
      </c>
      <c r="D530" s="56">
        <f>IF($B530=0,"",IF(Inputs!$B$7="","",IF($AE530=0,D529,SUMIFS(Data!$F$10:$F$3209,Data!$E$10:$E$3209,"&gt;="&amp;$A530,Data!$E$10:$E$3209,"&lt;"&amp;$A530+1)/$AE530)))</f>
        <v/>
      </c>
      <c r="E530" s="56">
        <f>IF($B530=0,"",IF(Inputs!$B$8="","",IF($AF530=0,E529,SUMIFS(Data!$J$10:$J$3209,Data!$I$10:$I$3209,"&gt;="&amp;$A530,Data!$I$10:$I$3209,"&lt;"&amp;$A530+1)/$AF530)))</f>
        <v/>
      </c>
      <c r="F530" s="56">
        <f>IF($B530=0,"",IF(Inputs!$B$9="","",IF($AG530=0,F529,SUMIFS(Data!$N$10:$N$3209,Data!$M$10:$M$3209,"&gt;="&amp;$A530,Data!$M$10:$M$3209,"&lt;"&amp;$A530+1)/$AG530)))</f>
        <v/>
      </c>
      <c r="G530" s="56">
        <f>IF($B530=0,"",IF(Inputs!$B$10="","",IF($AH530=0,G529,SUMIFS(Data!$R$10:$R$3209,Data!$Q$10:$Q$3209,"&gt;="&amp;$A530,Data!$Q$10:$Q$3209,"&lt;"&amp;$A530+1)/$AH530)))</f>
        <v/>
      </c>
      <c r="I530" s="54">
        <f>IF($B530=0,NA(),IF($C530="",NA(),IF(C$8="",NA(),IF(N(C$8)=0,NA(),IF(Inputs!$C$17="Rebased to 100",$C530/C$8*100,$C530)))))</f>
        <v/>
      </c>
      <c r="J530" s="54">
        <f>IF($B530=0,NA(),IF($D530="",NA(),IF(D$8="",NA(),IF(N(D$8)=0,NA(),IF(Inputs!$C$17="Rebased to 100",$D530/D$8*100,$D530)))))</f>
        <v/>
      </c>
      <c r="K530" s="54">
        <f>IF($B530=0,NA(),IF($E530="",NA(),IF(E$8="",NA(),IF(N(E$8)=0,NA(),IF(Inputs!$C$17="Rebased to 100",$E530/E$8*100,$E530)))))</f>
        <v/>
      </c>
      <c r="L530" s="54">
        <f>IF($B530=0,NA(),IF($F530="",NA(),IF(F$8="",NA(),IF(N(F$8)=0,NA(),IF(Inputs!$C$17="Rebased to 100",$F530/F$8*100,$F530)))))</f>
        <v/>
      </c>
      <c r="M530" s="54">
        <f>IF($B530=0,NA(),IF($G530="",NA(),IF(G$8="",NA(),IF(N(G$8)=0,NA(),IF(Inputs!$C$17="Rebased to 100",$G530/G$8*100,$G530)))))</f>
        <v/>
      </c>
      <c r="N530" s="54">
        <f>IF($B530=0,NA(),IF(Inputs!$C$18&lt;&gt;"Yes",NA(),IF(COUNT(I530,J530,K530,L530,M530)=0,NA(),MIN(I530,J530,K530,L530,M530))))</f>
        <v/>
      </c>
      <c r="O530" s="54">
        <f>IF($B530=0,NA(),IF(Inputs!$B$24&lt;&gt;"Yes",NA(),Inputs!$D$24*Inputs!$C$35))</f>
        <v/>
      </c>
      <c r="P530" s="54">
        <f>IF($B530=0,NA(),IF(Inputs!$B$25&lt;&gt;"Yes",NA(),Inputs!$D$25*Inputs!$C$35))</f>
        <v/>
      </c>
      <c r="Q530" s="54">
        <f>IF($B530=0,NA(),IF(Inputs!$B$26&lt;&gt;"Yes",NA(),Inputs!$D$26*Inputs!$C$35))</f>
        <v/>
      </c>
      <c r="R530" s="54">
        <f>IF($B530=0,NA(),IF(Inputs!$B$27&lt;&gt;"Yes",NA(),Inputs!$D$27*Inputs!$C$35))</f>
        <v/>
      </c>
      <c r="S530" s="54">
        <f>IF($B530=0,NA(),IF(Inputs!$B$28&lt;&gt;"Yes",NA(),Inputs!$D$28*Inputs!$C$35))</f>
        <v/>
      </c>
      <c r="T530" s="54">
        <f>IF($B530=0,NA(),IF(Inputs!$B$29&lt;&gt;"Yes",NA(),Inputs!$D$29*Inputs!$C$35))</f>
        <v/>
      </c>
      <c r="AD530">
        <f>IF($B530=0,0,IF(Inputs!$B$6="",0,COUNTIFS(Data!$A$10:$A$3209,"&gt;="&amp;$A530,Data!$A$10:$A$3209,"&lt;"&amp;$A530+1)))</f>
        <v/>
      </c>
      <c r="AE530">
        <f>IF($B530=0,0,IF(Inputs!$B$7="",0,COUNTIFS(Data!$E$10:$E$3209,"&gt;="&amp;$A530,Data!$E$10:$E$3209,"&lt;"&amp;$A530+1)))</f>
        <v/>
      </c>
      <c r="AF530">
        <f>IF($B530=0,0,IF(Inputs!$B$8="",0,COUNTIFS(Data!$I$10:$I$3209,"&gt;="&amp;$A530,Data!$I$10:$I$3209,"&lt;"&amp;$A530+1)))</f>
        <v/>
      </c>
      <c r="AG530">
        <f>IF($B530=0,0,IF(Inputs!$B$9="",0,COUNTIFS(Data!$M$10:$M$3209,"&gt;="&amp;$A530,Data!$M$10:$M$3209,"&lt;"&amp;$A530+1)))</f>
        <v/>
      </c>
      <c r="AH530">
        <f>IF($B530=0,0,IF(Inputs!$B$10="",0,COUNTIFS(Data!$Q$10:$Q$3209,"&gt;="&amp;$A530,Data!$Q$10:$Q$3209,"&lt;"&amp;$A530+1)))</f>
        <v/>
      </c>
    </row>
    <row r="531">
      <c r="A531" s="55">
        <f>MIN(Inputs!$C$15,$A530+IF(WEEKDAY($A530,2)=5,3,1))</f>
        <v/>
      </c>
      <c r="B531">
        <f>IF($A531&gt;$A530,1,0)</f>
        <v/>
      </c>
      <c r="C531" s="56">
        <f>IF($B531=0,"",IF(Inputs!$B$6="","",IF($AD531=0,C530,SUMIFS(Data!$B$10:$B$3209,Data!$A$10:$A$3209,"&gt;="&amp;$A531,Data!$A$10:$A$3209,"&lt;"&amp;$A531+1)/$AD531)))</f>
        <v/>
      </c>
      <c r="D531" s="56">
        <f>IF($B531=0,"",IF(Inputs!$B$7="","",IF($AE531=0,D530,SUMIFS(Data!$F$10:$F$3209,Data!$E$10:$E$3209,"&gt;="&amp;$A531,Data!$E$10:$E$3209,"&lt;"&amp;$A531+1)/$AE531)))</f>
        <v/>
      </c>
      <c r="E531" s="56">
        <f>IF($B531=0,"",IF(Inputs!$B$8="","",IF($AF531=0,E530,SUMIFS(Data!$J$10:$J$3209,Data!$I$10:$I$3209,"&gt;="&amp;$A531,Data!$I$10:$I$3209,"&lt;"&amp;$A531+1)/$AF531)))</f>
        <v/>
      </c>
      <c r="F531" s="56">
        <f>IF($B531=0,"",IF(Inputs!$B$9="","",IF($AG531=0,F530,SUMIFS(Data!$N$10:$N$3209,Data!$M$10:$M$3209,"&gt;="&amp;$A531,Data!$M$10:$M$3209,"&lt;"&amp;$A531+1)/$AG531)))</f>
        <v/>
      </c>
      <c r="G531" s="56">
        <f>IF($B531=0,"",IF(Inputs!$B$10="","",IF($AH531=0,G530,SUMIFS(Data!$R$10:$R$3209,Data!$Q$10:$Q$3209,"&gt;="&amp;$A531,Data!$Q$10:$Q$3209,"&lt;"&amp;$A531+1)/$AH531)))</f>
        <v/>
      </c>
      <c r="I531" s="54">
        <f>IF($B531=0,NA(),IF($C531="",NA(),IF(C$8="",NA(),IF(N(C$8)=0,NA(),IF(Inputs!$C$17="Rebased to 100",$C531/C$8*100,$C531)))))</f>
        <v/>
      </c>
      <c r="J531" s="54">
        <f>IF($B531=0,NA(),IF($D531="",NA(),IF(D$8="",NA(),IF(N(D$8)=0,NA(),IF(Inputs!$C$17="Rebased to 100",$D531/D$8*100,$D531)))))</f>
        <v/>
      </c>
      <c r="K531" s="54">
        <f>IF($B531=0,NA(),IF($E531="",NA(),IF(E$8="",NA(),IF(N(E$8)=0,NA(),IF(Inputs!$C$17="Rebased to 100",$E531/E$8*100,$E531)))))</f>
        <v/>
      </c>
      <c r="L531" s="54">
        <f>IF($B531=0,NA(),IF($F531="",NA(),IF(F$8="",NA(),IF(N(F$8)=0,NA(),IF(Inputs!$C$17="Rebased to 100",$F531/F$8*100,$F531)))))</f>
        <v/>
      </c>
      <c r="M531" s="54">
        <f>IF($B531=0,NA(),IF($G531="",NA(),IF(G$8="",NA(),IF(N(G$8)=0,NA(),IF(Inputs!$C$17="Rebased to 100",$G531/G$8*100,$G531)))))</f>
        <v/>
      </c>
      <c r="N531" s="54">
        <f>IF($B531=0,NA(),IF(Inputs!$C$18&lt;&gt;"Yes",NA(),IF(COUNT(I531,J531,K531,L531,M531)=0,NA(),MIN(I531,J531,K531,L531,M531))))</f>
        <v/>
      </c>
      <c r="O531" s="54">
        <f>IF($B531=0,NA(),IF(Inputs!$B$24&lt;&gt;"Yes",NA(),Inputs!$D$24*Inputs!$C$35))</f>
        <v/>
      </c>
      <c r="P531" s="54">
        <f>IF($B531=0,NA(),IF(Inputs!$B$25&lt;&gt;"Yes",NA(),Inputs!$D$25*Inputs!$C$35))</f>
        <v/>
      </c>
      <c r="Q531" s="54">
        <f>IF($B531=0,NA(),IF(Inputs!$B$26&lt;&gt;"Yes",NA(),Inputs!$D$26*Inputs!$C$35))</f>
        <v/>
      </c>
      <c r="R531" s="54">
        <f>IF($B531=0,NA(),IF(Inputs!$B$27&lt;&gt;"Yes",NA(),Inputs!$D$27*Inputs!$C$35))</f>
        <v/>
      </c>
      <c r="S531" s="54">
        <f>IF($B531=0,NA(),IF(Inputs!$B$28&lt;&gt;"Yes",NA(),Inputs!$D$28*Inputs!$C$35))</f>
        <v/>
      </c>
      <c r="T531" s="54">
        <f>IF($B531=0,NA(),IF(Inputs!$B$29&lt;&gt;"Yes",NA(),Inputs!$D$29*Inputs!$C$35))</f>
        <v/>
      </c>
      <c r="AD531">
        <f>IF($B531=0,0,IF(Inputs!$B$6="",0,COUNTIFS(Data!$A$10:$A$3209,"&gt;="&amp;$A531,Data!$A$10:$A$3209,"&lt;"&amp;$A531+1)))</f>
        <v/>
      </c>
      <c r="AE531">
        <f>IF($B531=0,0,IF(Inputs!$B$7="",0,COUNTIFS(Data!$E$10:$E$3209,"&gt;="&amp;$A531,Data!$E$10:$E$3209,"&lt;"&amp;$A531+1)))</f>
        <v/>
      </c>
      <c r="AF531">
        <f>IF($B531=0,0,IF(Inputs!$B$8="",0,COUNTIFS(Data!$I$10:$I$3209,"&gt;="&amp;$A531,Data!$I$10:$I$3209,"&lt;"&amp;$A531+1)))</f>
        <v/>
      </c>
      <c r="AG531">
        <f>IF($B531=0,0,IF(Inputs!$B$9="",0,COUNTIFS(Data!$M$10:$M$3209,"&gt;="&amp;$A531,Data!$M$10:$M$3209,"&lt;"&amp;$A531+1)))</f>
        <v/>
      </c>
      <c r="AH531">
        <f>IF($B531=0,0,IF(Inputs!$B$10="",0,COUNTIFS(Data!$Q$10:$Q$3209,"&gt;="&amp;$A531,Data!$Q$10:$Q$3209,"&lt;"&amp;$A531+1)))</f>
        <v/>
      </c>
    </row>
    <row r="532">
      <c r="A532" s="55">
        <f>MIN(Inputs!$C$15,$A531+IF(WEEKDAY($A531,2)=5,3,1))</f>
        <v/>
      </c>
      <c r="B532">
        <f>IF($A532&gt;$A531,1,0)</f>
        <v/>
      </c>
      <c r="C532" s="56">
        <f>IF($B532=0,"",IF(Inputs!$B$6="","",IF($AD532=0,C531,SUMIFS(Data!$B$10:$B$3209,Data!$A$10:$A$3209,"&gt;="&amp;$A532,Data!$A$10:$A$3209,"&lt;"&amp;$A532+1)/$AD532)))</f>
        <v/>
      </c>
      <c r="D532" s="56">
        <f>IF($B532=0,"",IF(Inputs!$B$7="","",IF($AE532=0,D531,SUMIFS(Data!$F$10:$F$3209,Data!$E$10:$E$3209,"&gt;="&amp;$A532,Data!$E$10:$E$3209,"&lt;"&amp;$A532+1)/$AE532)))</f>
        <v/>
      </c>
      <c r="E532" s="56">
        <f>IF($B532=0,"",IF(Inputs!$B$8="","",IF($AF532=0,E531,SUMIFS(Data!$J$10:$J$3209,Data!$I$10:$I$3209,"&gt;="&amp;$A532,Data!$I$10:$I$3209,"&lt;"&amp;$A532+1)/$AF532)))</f>
        <v/>
      </c>
      <c r="F532" s="56">
        <f>IF($B532=0,"",IF(Inputs!$B$9="","",IF($AG532=0,F531,SUMIFS(Data!$N$10:$N$3209,Data!$M$10:$M$3209,"&gt;="&amp;$A532,Data!$M$10:$M$3209,"&lt;"&amp;$A532+1)/$AG532)))</f>
        <v/>
      </c>
      <c r="G532" s="56">
        <f>IF($B532=0,"",IF(Inputs!$B$10="","",IF($AH532=0,G531,SUMIFS(Data!$R$10:$R$3209,Data!$Q$10:$Q$3209,"&gt;="&amp;$A532,Data!$Q$10:$Q$3209,"&lt;"&amp;$A532+1)/$AH532)))</f>
        <v/>
      </c>
      <c r="I532" s="54">
        <f>IF($B532=0,NA(),IF($C532="",NA(),IF(C$8="",NA(),IF(N(C$8)=0,NA(),IF(Inputs!$C$17="Rebased to 100",$C532/C$8*100,$C532)))))</f>
        <v/>
      </c>
      <c r="J532" s="54">
        <f>IF($B532=0,NA(),IF($D532="",NA(),IF(D$8="",NA(),IF(N(D$8)=0,NA(),IF(Inputs!$C$17="Rebased to 100",$D532/D$8*100,$D532)))))</f>
        <v/>
      </c>
      <c r="K532" s="54">
        <f>IF($B532=0,NA(),IF($E532="",NA(),IF(E$8="",NA(),IF(N(E$8)=0,NA(),IF(Inputs!$C$17="Rebased to 100",$E532/E$8*100,$E532)))))</f>
        <v/>
      </c>
      <c r="L532" s="54">
        <f>IF($B532=0,NA(),IF($F532="",NA(),IF(F$8="",NA(),IF(N(F$8)=0,NA(),IF(Inputs!$C$17="Rebased to 100",$F532/F$8*100,$F532)))))</f>
        <v/>
      </c>
      <c r="M532" s="54">
        <f>IF($B532=0,NA(),IF($G532="",NA(),IF(G$8="",NA(),IF(N(G$8)=0,NA(),IF(Inputs!$C$17="Rebased to 100",$G532/G$8*100,$G532)))))</f>
        <v/>
      </c>
      <c r="N532" s="54">
        <f>IF($B532=0,NA(),IF(Inputs!$C$18&lt;&gt;"Yes",NA(),IF(COUNT(I532,J532,K532,L532,M532)=0,NA(),MIN(I532,J532,K532,L532,M532))))</f>
        <v/>
      </c>
      <c r="O532" s="54">
        <f>IF($B532=0,NA(),IF(Inputs!$B$24&lt;&gt;"Yes",NA(),Inputs!$D$24*Inputs!$C$35))</f>
        <v/>
      </c>
      <c r="P532" s="54">
        <f>IF($B532=0,NA(),IF(Inputs!$B$25&lt;&gt;"Yes",NA(),Inputs!$D$25*Inputs!$C$35))</f>
        <v/>
      </c>
      <c r="Q532" s="54">
        <f>IF($B532=0,NA(),IF(Inputs!$B$26&lt;&gt;"Yes",NA(),Inputs!$D$26*Inputs!$C$35))</f>
        <v/>
      </c>
      <c r="R532" s="54">
        <f>IF($B532=0,NA(),IF(Inputs!$B$27&lt;&gt;"Yes",NA(),Inputs!$D$27*Inputs!$C$35))</f>
        <v/>
      </c>
      <c r="S532" s="54">
        <f>IF($B532=0,NA(),IF(Inputs!$B$28&lt;&gt;"Yes",NA(),Inputs!$D$28*Inputs!$C$35))</f>
        <v/>
      </c>
      <c r="T532" s="54">
        <f>IF($B532=0,NA(),IF(Inputs!$B$29&lt;&gt;"Yes",NA(),Inputs!$D$29*Inputs!$C$35))</f>
        <v/>
      </c>
      <c r="AD532">
        <f>IF($B532=0,0,IF(Inputs!$B$6="",0,COUNTIFS(Data!$A$10:$A$3209,"&gt;="&amp;$A532,Data!$A$10:$A$3209,"&lt;"&amp;$A532+1)))</f>
        <v/>
      </c>
      <c r="AE532">
        <f>IF($B532=0,0,IF(Inputs!$B$7="",0,COUNTIFS(Data!$E$10:$E$3209,"&gt;="&amp;$A532,Data!$E$10:$E$3209,"&lt;"&amp;$A532+1)))</f>
        <v/>
      </c>
      <c r="AF532">
        <f>IF($B532=0,0,IF(Inputs!$B$8="",0,COUNTIFS(Data!$I$10:$I$3209,"&gt;="&amp;$A532,Data!$I$10:$I$3209,"&lt;"&amp;$A532+1)))</f>
        <v/>
      </c>
      <c r="AG532">
        <f>IF($B532=0,0,IF(Inputs!$B$9="",0,COUNTIFS(Data!$M$10:$M$3209,"&gt;="&amp;$A532,Data!$M$10:$M$3209,"&lt;"&amp;$A532+1)))</f>
        <v/>
      </c>
      <c r="AH532">
        <f>IF($B532=0,0,IF(Inputs!$B$10="",0,COUNTIFS(Data!$Q$10:$Q$3209,"&gt;="&amp;$A532,Data!$Q$10:$Q$3209,"&lt;"&amp;$A532+1)))</f>
        <v/>
      </c>
    </row>
    <row r="533">
      <c r="A533" s="55">
        <f>MIN(Inputs!$C$15,$A532+IF(WEEKDAY($A532,2)=5,3,1))</f>
        <v/>
      </c>
      <c r="B533">
        <f>IF($A533&gt;$A532,1,0)</f>
        <v/>
      </c>
      <c r="C533" s="56">
        <f>IF($B533=0,"",IF(Inputs!$B$6="","",IF($AD533=0,C532,SUMIFS(Data!$B$10:$B$3209,Data!$A$10:$A$3209,"&gt;="&amp;$A533,Data!$A$10:$A$3209,"&lt;"&amp;$A533+1)/$AD533)))</f>
        <v/>
      </c>
      <c r="D533" s="56">
        <f>IF($B533=0,"",IF(Inputs!$B$7="","",IF($AE533=0,D532,SUMIFS(Data!$F$10:$F$3209,Data!$E$10:$E$3209,"&gt;="&amp;$A533,Data!$E$10:$E$3209,"&lt;"&amp;$A533+1)/$AE533)))</f>
        <v/>
      </c>
      <c r="E533" s="56">
        <f>IF($B533=0,"",IF(Inputs!$B$8="","",IF($AF533=0,E532,SUMIFS(Data!$J$10:$J$3209,Data!$I$10:$I$3209,"&gt;="&amp;$A533,Data!$I$10:$I$3209,"&lt;"&amp;$A533+1)/$AF533)))</f>
        <v/>
      </c>
      <c r="F533" s="56">
        <f>IF($B533=0,"",IF(Inputs!$B$9="","",IF($AG533=0,F532,SUMIFS(Data!$N$10:$N$3209,Data!$M$10:$M$3209,"&gt;="&amp;$A533,Data!$M$10:$M$3209,"&lt;"&amp;$A533+1)/$AG533)))</f>
        <v/>
      </c>
      <c r="G533" s="56">
        <f>IF($B533=0,"",IF(Inputs!$B$10="","",IF($AH533=0,G532,SUMIFS(Data!$R$10:$R$3209,Data!$Q$10:$Q$3209,"&gt;="&amp;$A533,Data!$Q$10:$Q$3209,"&lt;"&amp;$A533+1)/$AH533)))</f>
        <v/>
      </c>
      <c r="I533" s="54">
        <f>IF($B533=0,NA(),IF($C533="",NA(),IF(C$8="",NA(),IF(N(C$8)=0,NA(),IF(Inputs!$C$17="Rebased to 100",$C533/C$8*100,$C533)))))</f>
        <v/>
      </c>
      <c r="J533" s="54">
        <f>IF($B533=0,NA(),IF($D533="",NA(),IF(D$8="",NA(),IF(N(D$8)=0,NA(),IF(Inputs!$C$17="Rebased to 100",$D533/D$8*100,$D533)))))</f>
        <v/>
      </c>
      <c r="K533" s="54">
        <f>IF($B533=0,NA(),IF($E533="",NA(),IF(E$8="",NA(),IF(N(E$8)=0,NA(),IF(Inputs!$C$17="Rebased to 100",$E533/E$8*100,$E533)))))</f>
        <v/>
      </c>
      <c r="L533" s="54">
        <f>IF($B533=0,NA(),IF($F533="",NA(),IF(F$8="",NA(),IF(N(F$8)=0,NA(),IF(Inputs!$C$17="Rebased to 100",$F533/F$8*100,$F533)))))</f>
        <v/>
      </c>
      <c r="M533" s="54">
        <f>IF($B533=0,NA(),IF($G533="",NA(),IF(G$8="",NA(),IF(N(G$8)=0,NA(),IF(Inputs!$C$17="Rebased to 100",$G533/G$8*100,$G533)))))</f>
        <v/>
      </c>
      <c r="N533" s="54">
        <f>IF($B533=0,NA(),IF(Inputs!$C$18&lt;&gt;"Yes",NA(),IF(COUNT(I533,J533,K533,L533,M533)=0,NA(),MIN(I533,J533,K533,L533,M533))))</f>
        <v/>
      </c>
      <c r="O533" s="54">
        <f>IF($B533=0,NA(),IF(Inputs!$B$24&lt;&gt;"Yes",NA(),Inputs!$D$24*Inputs!$C$35))</f>
        <v/>
      </c>
      <c r="P533" s="54">
        <f>IF($B533=0,NA(),IF(Inputs!$B$25&lt;&gt;"Yes",NA(),Inputs!$D$25*Inputs!$C$35))</f>
        <v/>
      </c>
      <c r="Q533" s="54">
        <f>IF($B533=0,NA(),IF(Inputs!$B$26&lt;&gt;"Yes",NA(),Inputs!$D$26*Inputs!$C$35))</f>
        <v/>
      </c>
      <c r="R533" s="54">
        <f>IF($B533=0,NA(),IF(Inputs!$B$27&lt;&gt;"Yes",NA(),Inputs!$D$27*Inputs!$C$35))</f>
        <v/>
      </c>
      <c r="S533" s="54">
        <f>IF($B533=0,NA(),IF(Inputs!$B$28&lt;&gt;"Yes",NA(),Inputs!$D$28*Inputs!$C$35))</f>
        <v/>
      </c>
      <c r="T533" s="54">
        <f>IF($B533=0,NA(),IF(Inputs!$B$29&lt;&gt;"Yes",NA(),Inputs!$D$29*Inputs!$C$35))</f>
        <v/>
      </c>
      <c r="AD533">
        <f>IF($B533=0,0,IF(Inputs!$B$6="",0,COUNTIFS(Data!$A$10:$A$3209,"&gt;="&amp;$A533,Data!$A$10:$A$3209,"&lt;"&amp;$A533+1)))</f>
        <v/>
      </c>
      <c r="AE533">
        <f>IF($B533=0,0,IF(Inputs!$B$7="",0,COUNTIFS(Data!$E$10:$E$3209,"&gt;="&amp;$A533,Data!$E$10:$E$3209,"&lt;"&amp;$A533+1)))</f>
        <v/>
      </c>
      <c r="AF533">
        <f>IF($B533=0,0,IF(Inputs!$B$8="",0,COUNTIFS(Data!$I$10:$I$3209,"&gt;="&amp;$A533,Data!$I$10:$I$3209,"&lt;"&amp;$A533+1)))</f>
        <v/>
      </c>
      <c r="AG533">
        <f>IF($B533=0,0,IF(Inputs!$B$9="",0,COUNTIFS(Data!$M$10:$M$3209,"&gt;="&amp;$A533,Data!$M$10:$M$3209,"&lt;"&amp;$A533+1)))</f>
        <v/>
      </c>
      <c r="AH533">
        <f>IF($B533=0,0,IF(Inputs!$B$10="",0,COUNTIFS(Data!$Q$10:$Q$3209,"&gt;="&amp;$A533,Data!$Q$10:$Q$3209,"&lt;"&amp;$A533+1)))</f>
        <v/>
      </c>
    </row>
    <row r="534">
      <c r="A534" s="55">
        <f>MIN(Inputs!$C$15,$A533+IF(WEEKDAY($A533,2)=5,3,1))</f>
        <v/>
      </c>
      <c r="B534">
        <f>IF($A534&gt;$A533,1,0)</f>
        <v/>
      </c>
      <c r="C534" s="56">
        <f>IF($B534=0,"",IF(Inputs!$B$6="","",IF($AD534=0,C533,SUMIFS(Data!$B$10:$B$3209,Data!$A$10:$A$3209,"&gt;="&amp;$A534,Data!$A$10:$A$3209,"&lt;"&amp;$A534+1)/$AD534)))</f>
        <v/>
      </c>
      <c r="D534" s="56">
        <f>IF($B534=0,"",IF(Inputs!$B$7="","",IF($AE534=0,D533,SUMIFS(Data!$F$10:$F$3209,Data!$E$10:$E$3209,"&gt;="&amp;$A534,Data!$E$10:$E$3209,"&lt;"&amp;$A534+1)/$AE534)))</f>
        <v/>
      </c>
      <c r="E534" s="56">
        <f>IF($B534=0,"",IF(Inputs!$B$8="","",IF($AF534=0,E533,SUMIFS(Data!$J$10:$J$3209,Data!$I$10:$I$3209,"&gt;="&amp;$A534,Data!$I$10:$I$3209,"&lt;"&amp;$A534+1)/$AF534)))</f>
        <v/>
      </c>
      <c r="F534" s="56">
        <f>IF($B534=0,"",IF(Inputs!$B$9="","",IF($AG534=0,F533,SUMIFS(Data!$N$10:$N$3209,Data!$M$10:$M$3209,"&gt;="&amp;$A534,Data!$M$10:$M$3209,"&lt;"&amp;$A534+1)/$AG534)))</f>
        <v/>
      </c>
      <c r="G534" s="56">
        <f>IF($B534=0,"",IF(Inputs!$B$10="","",IF($AH534=0,G533,SUMIFS(Data!$R$10:$R$3209,Data!$Q$10:$Q$3209,"&gt;="&amp;$A534,Data!$Q$10:$Q$3209,"&lt;"&amp;$A534+1)/$AH534)))</f>
        <v/>
      </c>
      <c r="I534" s="54">
        <f>IF($B534=0,NA(),IF($C534="",NA(),IF(C$8="",NA(),IF(N(C$8)=0,NA(),IF(Inputs!$C$17="Rebased to 100",$C534/C$8*100,$C534)))))</f>
        <v/>
      </c>
      <c r="J534" s="54">
        <f>IF($B534=0,NA(),IF($D534="",NA(),IF(D$8="",NA(),IF(N(D$8)=0,NA(),IF(Inputs!$C$17="Rebased to 100",$D534/D$8*100,$D534)))))</f>
        <v/>
      </c>
      <c r="K534" s="54">
        <f>IF($B534=0,NA(),IF($E534="",NA(),IF(E$8="",NA(),IF(N(E$8)=0,NA(),IF(Inputs!$C$17="Rebased to 100",$E534/E$8*100,$E534)))))</f>
        <v/>
      </c>
      <c r="L534" s="54">
        <f>IF($B534=0,NA(),IF($F534="",NA(),IF(F$8="",NA(),IF(N(F$8)=0,NA(),IF(Inputs!$C$17="Rebased to 100",$F534/F$8*100,$F534)))))</f>
        <v/>
      </c>
      <c r="M534" s="54">
        <f>IF($B534=0,NA(),IF($G534="",NA(),IF(G$8="",NA(),IF(N(G$8)=0,NA(),IF(Inputs!$C$17="Rebased to 100",$G534/G$8*100,$G534)))))</f>
        <v/>
      </c>
      <c r="N534" s="54">
        <f>IF($B534=0,NA(),IF(Inputs!$C$18&lt;&gt;"Yes",NA(),IF(COUNT(I534,J534,K534,L534,M534)=0,NA(),MIN(I534,J534,K534,L534,M534))))</f>
        <v/>
      </c>
      <c r="O534" s="54">
        <f>IF($B534=0,NA(),IF(Inputs!$B$24&lt;&gt;"Yes",NA(),Inputs!$D$24*Inputs!$C$35))</f>
        <v/>
      </c>
      <c r="P534" s="54">
        <f>IF($B534=0,NA(),IF(Inputs!$B$25&lt;&gt;"Yes",NA(),Inputs!$D$25*Inputs!$C$35))</f>
        <v/>
      </c>
      <c r="Q534" s="54">
        <f>IF($B534=0,NA(),IF(Inputs!$B$26&lt;&gt;"Yes",NA(),Inputs!$D$26*Inputs!$C$35))</f>
        <v/>
      </c>
      <c r="R534" s="54">
        <f>IF($B534=0,NA(),IF(Inputs!$B$27&lt;&gt;"Yes",NA(),Inputs!$D$27*Inputs!$C$35))</f>
        <v/>
      </c>
      <c r="S534" s="54">
        <f>IF($B534=0,NA(),IF(Inputs!$B$28&lt;&gt;"Yes",NA(),Inputs!$D$28*Inputs!$C$35))</f>
        <v/>
      </c>
      <c r="T534" s="54">
        <f>IF($B534=0,NA(),IF(Inputs!$B$29&lt;&gt;"Yes",NA(),Inputs!$D$29*Inputs!$C$35))</f>
        <v/>
      </c>
      <c r="AD534">
        <f>IF($B534=0,0,IF(Inputs!$B$6="",0,COUNTIFS(Data!$A$10:$A$3209,"&gt;="&amp;$A534,Data!$A$10:$A$3209,"&lt;"&amp;$A534+1)))</f>
        <v/>
      </c>
      <c r="AE534">
        <f>IF($B534=0,0,IF(Inputs!$B$7="",0,COUNTIFS(Data!$E$10:$E$3209,"&gt;="&amp;$A534,Data!$E$10:$E$3209,"&lt;"&amp;$A534+1)))</f>
        <v/>
      </c>
      <c r="AF534">
        <f>IF($B534=0,0,IF(Inputs!$B$8="",0,COUNTIFS(Data!$I$10:$I$3209,"&gt;="&amp;$A534,Data!$I$10:$I$3209,"&lt;"&amp;$A534+1)))</f>
        <v/>
      </c>
      <c r="AG534">
        <f>IF($B534=0,0,IF(Inputs!$B$9="",0,COUNTIFS(Data!$M$10:$M$3209,"&gt;="&amp;$A534,Data!$M$10:$M$3209,"&lt;"&amp;$A534+1)))</f>
        <v/>
      </c>
      <c r="AH534">
        <f>IF($B534=0,0,IF(Inputs!$B$10="",0,COUNTIFS(Data!$Q$10:$Q$3209,"&gt;="&amp;$A534,Data!$Q$10:$Q$3209,"&lt;"&amp;$A534+1)))</f>
        <v/>
      </c>
    </row>
    <row r="535">
      <c r="A535" s="55">
        <f>MIN(Inputs!$C$15,$A534+IF(WEEKDAY($A534,2)=5,3,1))</f>
        <v/>
      </c>
      <c r="B535">
        <f>IF($A535&gt;$A534,1,0)</f>
        <v/>
      </c>
      <c r="C535" s="56">
        <f>IF($B535=0,"",IF(Inputs!$B$6="","",IF($AD535=0,C534,SUMIFS(Data!$B$10:$B$3209,Data!$A$10:$A$3209,"&gt;="&amp;$A535,Data!$A$10:$A$3209,"&lt;"&amp;$A535+1)/$AD535)))</f>
        <v/>
      </c>
      <c r="D535" s="56">
        <f>IF($B535=0,"",IF(Inputs!$B$7="","",IF($AE535=0,D534,SUMIFS(Data!$F$10:$F$3209,Data!$E$10:$E$3209,"&gt;="&amp;$A535,Data!$E$10:$E$3209,"&lt;"&amp;$A535+1)/$AE535)))</f>
        <v/>
      </c>
      <c r="E535" s="56">
        <f>IF($B535=0,"",IF(Inputs!$B$8="","",IF($AF535=0,E534,SUMIFS(Data!$J$10:$J$3209,Data!$I$10:$I$3209,"&gt;="&amp;$A535,Data!$I$10:$I$3209,"&lt;"&amp;$A535+1)/$AF535)))</f>
        <v/>
      </c>
      <c r="F535" s="56">
        <f>IF($B535=0,"",IF(Inputs!$B$9="","",IF($AG535=0,F534,SUMIFS(Data!$N$10:$N$3209,Data!$M$10:$M$3209,"&gt;="&amp;$A535,Data!$M$10:$M$3209,"&lt;"&amp;$A535+1)/$AG535)))</f>
        <v/>
      </c>
      <c r="G535" s="56">
        <f>IF($B535=0,"",IF(Inputs!$B$10="","",IF($AH535=0,G534,SUMIFS(Data!$R$10:$R$3209,Data!$Q$10:$Q$3209,"&gt;="&amp;$A535,Data!$Q$10:$Q$3209,"&lt;"&amp;$A535+1)/$AH535)))</f>
        <v/>
      </c>
      <c r="I535" s="54">
        <f>IF($B535=0,NA(),IF($C535="",NA(),IF(C$8="",NA(),IF(N(C$8)=0,NA(),IF(Inputs!$C$17="Rebased to 100",$C535/C$8*100,$C535)))))</f>
        <v/>
      </c>
      <c r="J535" s="54">
        <f>IF($B535=0,NA(),IF($D535="",NA(),IF(D$8="",NA(),IF(N(D$8)=0,NA(),IF(Inputs!$C$17="Rebased to 100",$D535/D$8*100,$D535)))))</f>
        <v/>
      </c>
      <c r="K535" s="54">
        <f>IF($B535=0,NA(),IF($E535="",NA(),IF(E$8="",NA(),IF(N(E$8)=0,NA(),IF(Inputs!$C$17="Rebased to 100",$E535/E$8*100,$E535)))))</f>
        <v/>
      </c>
      <c r="L535" s="54">
        <f>IF($B535=0,NA(),IF($F535="",NA(),IF(F$8="",NA(),IF(N(F$8)=0,NA(),IF(Inputs!$C$17="Rebased to 100",$F535/F$8*100,$F535)))))</f>
        <v/>
      </c>
      <c r="M535" s="54">
        <f>IF($B535=0,NA(),IF($G535="",NA(),IF(G$8="",NA(),IF(N(G$8)=0,NA(),IF(Inputs!$C$17="Rebased to 100",$G535/G$8*100,$G535)))))</f>
        <v/>
      </c>
      <c r="N535" s="54">
        <f>IF($B535=0,NA(),IF(Inputs!$C$18&lt;&gt;"Yes",NA(),IF(COUNT(I535,J535,K535,L535,M535)=0,NA(),MIN(I535,J535,K535,L535,M535))))</f>
        <v/>
      </c>
      <c r="O535" s="54">
        <f>IF($B535=0,NA(),IF(Inputs!$B$24&lt;&gt;"Yes",NA(),Inputs!$D$24*Inputs!$C$35))</f>
        <v/>
      </c>
      <c r="P535" s="54">
        <f>IF($B535=0,NA(),IF(Inputs!$B$25&lt;&gt;"Yes",NA(),Inputs!$D$25*Inputs!$C$35))</f>
        <v/>
      </c>
      <c r="Q535" s="54">
        <f>IF($B535=0,NA(),IF(Inputs!$B$26&lt;&gt;"Yes",NA(),Inputs!$D$26*Inputs!$C$35))</f>
        <v/>
      </c>
      <c r="R535" s="54">
        <f>IF($B535=0,NA(),IF(Inputs!$B$27&lt;&gt;"Yes",NA(),Inputs!$D$27*Inputs!$C$35))</f>
        <v/>
      </c>
      <c r="S535" s="54">
        <f>IF($B535=0,NA(),IF(Inputs!$B$28&lt;&gt;"Yes",NA(),Inputs!$D$28*Inputs!$C$35))</f>
        <v/>
      </c>
      <c r="T535" s="54">
        <f>IF($B535=0,NA(),IF(Inputs!$B$29&lt;&gt;"Yes",NA(),Inputs!$D$29*Inputs!$C$35))</f>
        <v/>
      </c>
      <c r="AD535">
        <f>IF($B535=0,0,IF(Inputs!$B$6="",0,COUNTIFS(Data!$A$10:$A$3209,"&gt;="&amp;$A535,Data!$A$10:$A$3209,"&lt;"&amp;$A535+1)))</f>
        <v/>
      </c>
      <c r="AE535">
        <f>IF($B535=0,0,IF(Inputs!$B$7="",0,COUNTIFS(Data!$E$10:$E$3209,"&gt;="&amp;$A535,Data!$E$10:$E$3209,"&lt;"&amp;$A535+1)))</f>
        <v/>
      </c>
      <c r="AF535">
        <f>IF($B535=0,0,IF(Inputs!$B$8="",0,COUNTIFS(Data!$I$10:$I$3209,"&gt;="&amp;$A535,Data!$I$10:$I$3209,"&lt;"&amp;$A535+1)))</f>
        <v/>
      </c>
      <c r="AG535">
        <f>IF($B535=0,0,IF(Inputs!$B$9="",0,COUNTIFS(Data!$M$10:$M$3209,"&gt;="&amp;$A535,Data!$M$10:$M$3209,"&lt;"&amp;$A535+1)))</f>
        <v/>
      </c>
      <c r="AH535">
        <f>IF($B535=0,0,IF(Inputs!$B$10="",0,COUNTIFS(Data!$Q$10:$Q$3209,"&gt;="&amp;$A535,Data!$Q$10:$Q$3209,"&lt;"&amp;$A535+1)))</f>
        <v/>
      </c>
    </row>
    <row r="536">
      <c r="A536" s="55">
        <f>MIN(Inputs!$C$15,$A535+IF(WEEKDAY($A535,2)=5,3,1))</f>
        <v/>
      </c>
      <c r="B536">
        <f>IF($A536&gt;$A535,1,0)</f>
        <v/>
      </c>
      <c r="C536" s="56">
        <f>IF($B536=0,"",IF(Inputs!$B$6="","",IF($AD536=0,C535,SUMIFS(Data!$B$10:$B$3209,Data!$A$10:$A$3209,"&gt;="&amp;$A536,Data!$A$10:$A$3209,"&lt;"&amp;$A536+1)/$AD536)))</f>
        <v/>
      </c>
      <c r="D536" s="56">
        <f>IF($B536=0,"",IF(Inputs!$B$7="","",IF($AE536=0,D535,SUMIFS(Data!$F$10:$F$3209,Data!$E$10:$E$3209,"&gt;="&amp;$A536,Data!$E$10:$E$3209,"&lt;"&amp;$A536+1)/$AE536)))</f>
        <v/>
      </c>
      <c r="E536" s="56">
        <f>IF($B536=0,"",IF(Inputs!$B$8="","",IF($AF536=0,E535,SUMIFS(Data!$J$10:$J$3209,Data!$I$10:$I$3209,"&gt;="&amp;$A536,Data!$I$10:$I$3209,"&lt;"&amp;$A536+1)/$AF536)))</f>
        <v/>
      </c>
      <c r="F536" s="56">
        <f>IF($B536=0,"",IF(Inputs!$B$9="","",IF($AG536=0,F535,SUMIFS(Data!$N$10:$N$3209,Data!$M$10:$M$3209,"&gt;="&amp;$A536,Data!$M$10:$M$3209,"&lt;"&amp;$A536+1)/$AG536)))</f>
        <v/>
      </c>
      <c r="G536" s="56">
        <f>IF($B536=0,"",IF(Inputs!$B$10="","",IF($AH536=0,G535,SUMIFS(Data!$R$10:$R$3209,Data!$Q$10:$Q$3209,"&gt;="&amp;$A536,Data!$Q$10:$Q$3209,"&lt;"&amp;$A536+1)/$AH536)))</f>
        <v/>
      </c>
      <c r="I536" s="54">
        <f>IF($B536=0,NA(),IF($C536="",NA(),IF(C$8="",NA(),IF(N(C$8)=0,NA(),IF(Inputs!$C$17="Rebased to 100",$C536/C$8*100,$C536)))))</f>
        <v/>
      </c>
      <c r="J536" s="54">
        <f>IF($B536=0,NA(),IF($D536="",NA(),IF(D$8="",NA(),IF(N(D$8)=0,NA(),IF(Inputs!$C$17="Rebased to 100",$D536/D$8*100,$D536)))))</f>
        <v/>
      </c>
      <c r="K536" s="54">
        <f>IF($B536=0,NA(),IF($E536="",NA(),IF(E$8="",NA(),IF(N(E$8)=0,NA(),IF(Inputs!$C$17="Rebased to 100",$E536/E$8*100,$E536)))))</f>
        <v/>
      </c>
      <c r="L536" s="54">
        <f>IF($B536=0,NA(),IF($F536="",NA(),IF(F$8="",NA(),IF(N(F$8)=0,NA(),IF(Inputs!$C$17="Rebased to 100",$F536/F$8*100,$F536)))))</f>
        <v/>
      </c>
      <c r="M536" s="54">
        <f>IF($B536=0,NA(),IF($G536="",NA(),IF(G$8="",NA(),IF(N(G$8)=0,NA(),IF(Inputs!$C$17="Rebased to 100",$G536/G$8*100,$G536)))))</f>
        <v/>
      </c>
      <c r="N536" s="54">
        <f>IF($B536=0,NA(),IF(Inputs!$C$18&lt;&gt;"Yes",NA(),IF(COUNT(I536,J536,K536,L536,M536)=0,NA(),MIN(I536,J536,K536,L536,M536))))</f>
        <v/>
      </c>
      <c r="O536" s="54">
        <f>IF($B536=0,NA(),IF(Inputs!$B$24&lt;&gt;"Yes",NA(),Inputs!$D$24*Inputs!$C$35))</f>
        <v/>
      </c>
      <c r="P536" s="54">
        <f>IF($B536=0,NA(),IF(Inputs!$B$25&lt;&gt;"Yes",NA(),Inputs!$D$25*Inputs!$C$35))</f>
        <v/>
      </c>
      <c r="Q536" s="54">
        <f>IF($B536=0,NA(),IF(Inputs!$B$26&lt;&gt;"Yes",NA(),Inputs!$D$26*Inputs!$C$35))</f>
        <v/>
      </c>
      <c r="R536" s="54">
        <f>IF($B536=0,NA(),IF(Inputs!$B$27&lt;&gt;"Yes",NA(),Inputs!$D$27*Inputs!$C$35))</f>
        <v/>
      </c>
      <c r="S536" s="54">
        <f>IF($B536=0,NA(),IF(Inputs!$B$28&lt;&gt;"Yes",NA(),Inputs!$D$28*Inputs!$C$35))</f>
        <v/>
      </c>
      <c r="T536" s="54">
        <f>IF($B536=0,NA(),IF(Inputs!$B$29&lt;&gt;"Yes",NA(),Inputs!$D$29*Inputs!$C$35))</f>
        <v/>
      </c>
      <c r="AD536">
        <f>IF($B536=0,0,IF(Inputs!$B$6="",0,COUNTIFS(Data!$A$10:$A$3209,"&gt;="&amp;$A536,Data!$A$10:$A$3209,"&lt;"&amp;$A536+1)))</f>
        <v/>
      </c>
      <c r="AE536">
        <f>IF($B536=0,0,IF(Inputs!$B$7="",0,COUNTIFS(Data!$E$10:$E$3209,"&gt;="&amp;$A536,Data!$E$10:$E$3209,"&lt;"&amp;$A536+1)))</f>
        <v/>
      </c>
      <c r="AF536">
        <f>IF($B536=0,0,IF(Inputs!$B$8="",0,COUNTIFS(Data!$I$10:$I$3209,"&gt;="&amp;$A536,Data!$I$10:$I$3209,"&lt;"&amp;$A536+1)))</f>
        <v/>
      </c>
      <c r="AG536">
        <f>IF($B536=0,0,IF(Inputs!$B$9="",0,COUNTIFS(Data!$M$10:$M$3209,"&gt;="&amp;$A536,Data!$M$10:$M$3209,"&lt;"&amp;$A536+1)))</f>
        <v/>
      </c>
      <c r="AH536">
        <f>IF($B536=0,0,IF(Inputs!$B$10="",0,COUNTIFS(Data!$Q$10:$Q$3209,"&gt;="&amp;$A536,Data!$Q$10:$Q$3209,"&lt;"&amp;$A536+1)))</f>
        <v/>
      </c>
    </row>
    <row r="537">
      <c r="A537" s="55">
        <f>MIN(Inputs!$C$15,$A536+IF(WEEKDAY($A536,2)=5,3,1))</f>
        <v/>
      </c>
      <c r="B537">
        <f>IF($A537&gt;$A536,1,0)</f>
        <v/>
      </c>
      <c r="C537" s="56">
        <f>IF($B537=0,"",IF(Inputs!$B$6="","",IF($AD537=0,C536,SUMIFS(Data!$B$10:$B$3209,Data!$A$10:$A$3209,"&gt;="&amp;$A537,Data!$A$10:$A$3209,"&lt;"&amp;$A537+1)/$AD537)))</f>
        <v/>
      </c>
      <c r="D537" s="56">
        <f>IF($B537=0,"",IF(Inputs!$B$7="","",IF($AE537=0,D536,SUMIFS(Data!$F$10:$F$3209,Data!$E$10:$E$3209,"&gt;="&amp;$A537,Data!$E$10:$E$3209,"&lt;"&amp;$A537+1)/$AE537)))</f>
        <v/>
      </c>
      <c r="E537" s="56">
        <f>IF($B537=0,"",IF(Inputs!$B$8="","",IF($AF537=0,E536,SUMIFS(Data!$J$10:$J$3209,Data!$I$10:$I$3209,"&gt;="&amp;$A537,Data!$I$10:$I$3209,"&lt;"&amp;$A537+1)/$AF537)))</f>
        <v/>
      </c>
      <c r="F537" s="56">
        <f>IF($B537=0,"",IF(Inputs!$B$9="","",IF($AG537=0,F536,SUMIFS(Data!$N$10:$N$3209,Data!$M$10:$M$3209,"&gt;="&amp;$A537,Data!$M$10:$M$3209,"&lt;"&amp;$A537+1)/$AG537)))</f>
        <v/>
      </c>
      <c r="G537" s="56">
        <f>IF($B537=0,"",IF(Inputs!$B$10="","",IF($AH537=0,G536,SUMIFS(Data!$R$10:$R$3209,Data!$Q$10:$Q$3209,"&gt;="&amp;$A537,Data!$Q$10:$Q$3209,"&lt;"&amp;$A537+1)/$AH537)))</f>
        <v/>
      </c>
      <c r="I537" s="54">
        <f>IF($B537=0,NA(),IF($C537="",NA(),IF(C$8="",NA(),IF(N(C$8)=0,NA(),IF(Inputs!$C$17="Rebased to 100",$C537/C$8*100,$C537)))))</f>
        <v/>
      </c>
      <c r="J537" s="54">
        <f>IF($B537=0,NA(),IF($D537="",NA(),IF(D$8="",NA(),IF(N(D$8)=0,NA(),IF(Inputs!$C$17="Rebased to 100",$D537/D$8*100,$D537)))))</f>
        <v/>
      </c>
      <c r="K537" s="54">
        <f>IF($B537=0,NA(),IF($E537="",NA(),IF(E$8="",NA(),IF(N(E$8)=0,NA(),IF(Inputs!$C$17="Rebased to 100",$E537/E$8*100,$E537)))))</f>
        <v/>
      </c>
      <c r="L537" s="54">
        <f>IF($B537=0,NA(),IF($F537="",NA(),IF(F$8="",NA(),IF(N(F$8)=0,NA(),IF(Inputs!$C$17="Rebased to 100",$F537/F$8*100,$F537)))))</f>
        <v/>
      </c>
      <c r="M537" s="54">
        <f>IF($B537=0,NA(),IF($G537="",NA(),IF(G$8="",NA(),IF(N(G$8)=0,NA(),IF(Inputs!$C$17="Rebased to 100",$G537/G$8*100,$G537)))))</f>
        <v/>
      </c>
      <c r="N537" s="54">
        <f>IF($B537=0,NA(),IF(Inputs!$C$18&lt;&gt;"Yes",NA(),IF(COUNT(I537,J537,K537,L537,M537)=0,NA(),MIN(I537,J537,K537,L537,M537))))</f>
        <v/>
      </c>
      <c r="O537" s="54">
        <f>IF($B537=0,NA(),IF(Inputs!$B$24&lt;&gt;"Yes",NA(),Inputs!$D$24*Inputs!$C$35))</f>
        <v/>
      </c>
      <c r="P537" s="54">
        <f>IF($B537=0,NA(),IF(Inputs!$B$25&lt;&gt;"Yes",NA(),Inputs!$D$25*Inputs!$C$35))</f>
        <v/>
      </c>
      <c r="Q537" s="54">
        <f>IF($B537=0,NA(),IF(Inputs!$B$26&lt;&gt;"Yes",NA(),Inputs!$D$26*Inputs!$C$35))</f>
        <v/>
      </c>
      <c r="R537" s="54">
        <f>IF($B537=0,NA(),IF(Inputs!$B$27&lt;&gt;"Yes",NA(),Inputs!$D$27*Inputs!$C$35))</f>
        <v/>
      </c>
      <c r="S537" s="54">
        <f>IF($B537=0,NA(),IF(Inputs!$B$28&lt;&gt;"Yes",NA(),Inputs!$D$28*Inputs!$C$35))</f>
        <v/>
      </c>
      <c r="T537" s="54">
        <f>IF($B537=0,NA(),IF(Inputs!$B$29&lt;&gt;"Yes",NA(),Inputs!$D$29*Inputs!$C$35))</f>
        <v/>
      </c>
      <c r="AD537">
        <f>IF($B537=0,0,IF(Inputs!$B$6="",0,COUNTIFS(Data!$A$10:$A$3209,"&gt;="&amp;$A537,Data!$A$10:$A$3209,"&lt;"&amp;$A537+1)))</f>
        <v/>
      </c>
      <c r="AE537">
        <f>IF($B537=0,0,IF(Inputs!$B$7="",0,COUNTIFS(Data!$E$10:$E$3209,"&gt;="&amp;$A537,Data!$E$10:$E$3209,"&lt;"&amp;$A537+1)))</f>
        <v/>
      </c>
      <c r="AF537">
        <f>IF($B537=0,0,IF(Inputs!$B$8="",0,COUNTIFS(Data!$I$10:$I$3209,"&gt;="&amp;$A537,Data!$I$10:$I$3209,"&lt;"&amp;$A537+1)))</f>
        <v/>
      </c>
      <c r="AG537">
        <f>IF($B537=0,0,IF(Inputs!$B$9="",0,COUNTIFS(Data!$M$10:$M$3209,"&gt;="&amp;$A537,Data!$M$10:$M$3209,"&lt;"&amp;$A537+1)))</f>
        <v/>
      </c>
      <c r="AH537">
        <f>IF($B537=0,0,IF(Inputs!$B$10="",0,COUNTIFS(Data!$Q$10:$Q$3209,"&gt;="&amp;$A537,Data!$Q$10:$Q$3209,"&lt;"&amp;$A537+1)))</f>
        <v/>
      </c>
    </row>
    <row r="538">
      <c r="A538" s="55">
        <f>MIN(Inputs!$C$15,$A537+IF(WEEKDAY($A537,2)=5,3,1))</f>
        <v/>
      </c>
      <c r="B538">
        <f>IF($A538&gt;$A537,1,0)</f>
        <v/>
      </c>
      <c r="C538" s="56">
        <f>IF($B538=0,"",IF(Inputs!$B$6="","",IF($AD538=0,C537,SUMIFS(Data!$B$10:$B$3209,Data!$A$10:$A$3209,"&gt;="&amp;$A538,Data!$A$10:$A$3209,"&lt;"&amp;$A538+1)/$AD538)))</f>
        <v/>
      </c>
      <c r="D538" s="56">
        <f>IF($B538=0,"",IF(Inputs!$B$7="","",IF($AE538=0,D537,SUMIFS(Data!$F$10:$F$3209,Data!$E$10:$E$3209,"&gt;="&amp;$A538,Data!$E$10:$E$3209,"&lt;"&amp;$A538+1)/$AE538)))</f>
        <v/>
      </c>
      <c r="E538" s="56">
        <f>IF($B538=0,"",IF(Inputs!$B$8="","",IF($AF538=0,E537,SUMIFS(Data!$J$10:$J$3209,Data!$I$10:$I$3209,"&gt;="&amp;$A538,Data!$I$10:$I$3209,"&lt;"&amp;$A538+1)/$AF538)))</f>
        <v/>
      </c>
      <c r="F538" s="56">
        <f>IF($B538=0,"",IF(Inputs!$B$9="","",IF($AG538=0,F537,SUMIFS(Data!$N$10:$N$3209,Data!$M$10:$M$3209,"&gt;="&amp;$A538,Data!$M$10:$M$3209,"&lt;"&amp;$A538+1)/$AG538)))</f>
        <v/>
      </c>
      <c r="G538" s="56">
        <f>IF($B538=0,"",IF(Inputs!$B$10="","",IF($AH538=0,G537,SUMIFS(Data!$R$10:$R$3209,Data!$Q$10:$Q$3209,"&gt;="&amp;$A538,Data!$Q$10:$Q$3209,"&lt;"&amp;$A538+1)/$AH538)))</f>
        <v/>
      </c>
      <c r="I538" s="54">
        <f>IF($B538=0,NA(),IF($C538="",NA(),IF(C$8="",NA(),IF(N(C$8)=0,NA(),IF(Inputs!$C$17="Rebased to 100",$C538/C$8*100,$C538)))))</f>
        <v/>
      </c>
      <c r="J538" s="54">
        <f>IF($B538=0,NA(),IF($D538="",NA(),IF(D$8="",NA(),IF(N(D$8)=0,NA(),IF(Inputs!$C$17="Rebased to 100",$D538/D$8*100,$D538)))))</f>
        <v/>
      </c>
      <c r="K538" s="54">
        <f>IF($B538=0,NA(),IF($E538="",NA(),IF(E$8="",NA(),IF(N(E$8)=0,NA(),IF(Inputs!$C$17="Rebased to 100",$E538/E$8*100,$E538)))))</f>
        <v/>
      </c>
      <c r="L538" s="54">
        <f>IF($B538=0,NA(),IF($F538="",NA(),IF(F$8="",NA(),IF(N(F$8)=0,NA(),IF(Inputs!$C$17="Rebased to 100",$F538/F$8*100,$F538)))))</f>
        <v/>
      </c>
      <c r="M538" s="54">
        <f>IF($B538=0,NA(),IF($G538="",NA(),IF(G$8="",NA(),IF(N(G$8)=0,NA(),IF(Inputs!$C$17="Rebased to 100",$G538/G$8*100,$G538)))))</f>
        <v/>
      </c>
      <c r="N538" s="54">
        <f>IF($B538=0,NA(),IF(Inputs!$C$18&lt;&gt;"Yes",NA(),IF(COUNT(I538,J538,K538,L538,M538)=0,NA(),MIN(I538,J538,K538,L538,M538))))</f>
        <v/>
      </c>
      <c r="O538" s="54">
        <f>IF($B538=0,NA(),IF(Inputs!$B$24&lt;&gt;"Yes",NA(),Inputs!$D$24*Inputs!$C$35))</f>
        <v/>
      </c>
      <c r="P538" s="54">
        <f>IF($B538=0,NA(),IF(Inputs!$B$25&lt;&gt;"Yes",NA(),Inputs!$D$25*Inputs!$C$35))</f>
        <v/>
      </c>
      <c r="Q538" s="54">
        <f>IF($B538=0,NA(),IF(Inputs!$B$26&lt;&gt;"Yes",NA(),Inputs!$D$26*Inputs!$C$35))</f>
        <v/>
      </c>
      <c r="R538" s="54">
        <f>IF($B538=0,NA(),IF(Inputs!$B$27&lt;&gt;"Yes",NA(),Inputs!$D$27*Inputs!$C$35))</f>
        <v/>
      </c>
      <c r="S538" s="54">
        <f>IF($B538=0,NA(),IF(Inputs!$B$28&lt;&gt;"Yes",NA(),Inputs!$D$28*Inputs!$C$35))</f>
        <v/>
      </c>
      <c r="T538" s="54">
        <f>IF($B538=0,NA(),IF(Inputs!$B$29&lt;&gt;"Yes",NA(),Inputs!$D$29*Inputs!$C$35))</f>
        <v/>
      </c>
      <c r="AD538">
        <f>IF($B538=0,0,IF(Inputs!$B$6="",0,COUNTIFS(Data!$A$10:$A$3209,"&gt;="&amp;$A538,Data!$A$10:$A$3209,"&lt;"&amp;$A538+1)))</f>
        <v/>
      </c>
      <c r="AE538">
        <f>IF($B538=0,0,IF(Inputs!$B$7="",0,COUNTIFS(Data!$E$10:$E$3209,"&gt;="&amp;$A538,Data!$E$10:$E$3209,"&lt;"&amp;$A538+1)))</f>
        <v/>
      </c>
      <c r="AF538">
        <f>IF($B538=0,0,IF(Inputs!$B$8="",0,COUNTIFS(Data!$I$10:$I$3209,"&gt;="&amp;$A538,Data!$I$10:$I$3209,"&lt;"&amp;$A538+1)))</f>
        <v/>
      </c>
      <c r="AG538">
        <f>IF($B538=0,0,IF(Inputs!$B$9="",0,COUNTIFS(Data!$M$10:$M$3209,"&gt;="&amp;$A538,Data!$M$10:$M$3209,"&lt;"&amp;$A538+1)))</f>
        <v/>
      </c>
      <c r="AH538">
        <f>IF($B538=0,0,IF(Inputs!$B$10="",0,COUNTIFS(Data!$Q$10:$Q$3209,"&gt;="&amp;$A538,Data!$Q$10:$Q$3209,"&lt;"&amp;$A538+1)))</f>
        <v/>
      </c>
    </row>
    <row r="539">
      <c r="A539" s="55">
        <f>MIN(Inputs!$C$15,$A538+IF(WEEKDAY($A538,2)=5,3,1))</f>
        <v/>
      </c>
      <c r="B539">
        <f>IF($A539&gt;$A538,1,0)</f>
        <v/>
      </c>
      <c r="C539" s="56">
        <f>IF($B539=0,"",IF(Inputs!$B$6="","",IF($AD539=0,C538,SUMIFS(Data!$B$10:$B$3209,Data!$A$10:$A$3209,"&gt;="&amp;$A539,Data!$A$10:$A$3209,"&lt;"&amp;$A539+1)/$AD539)))</f>
        <v/>
      </c>
      <c r="D539" s="56">
        <f>IF($B539=0,"",IF(Inputs!$B$7="","",IF($AE539=0,D538,SUMIFS(Data!$F$10:$F$3209,Data!$E$10:$E$3209,"&gt;="&amp;$A539,Data!$E$10:$E$3209,"&lt;"&amp;$A539+1)/$AE539)))</f>
        <v/>
      </c>
      <c r="E539" s="56">
        <f>IF($B539=0,"",IF(Inputs!$B$8="","",IF($AF539=0,E538,SUMIFS(Data!$J$10:$J$3209,Data!$I$10:$I$3209,"&gt;="&amp;$A539,Data!$I$10:$I$3209,"&lt;"&amp;$A539+1)/$AF539)))</f>
        <v/>
      </c>
      <c r="F539" s="56">
        <f>IF($B539=0,"",IF(Inputs!$B$9="","",IF($AG539=0,F538,SUMIFS(Data!$N$10:$N$3209,Data!$M$10:$M$3209,"&gt;="&amp;$A539,Data!$M$10:$M$3209,"&lt;"&amp;$A539+1)/$AG539)))</f>
        <v/>
      </c>
      <c r="G539" s="56">
        <f>IF($B539=0,"",IF(Inputs!$B$10="","",IF($AH539=0,G538,SUMIFS(Data!$R$10:$R$3209,Data!$Q$10:$Q$3209,"&gt;="&amp;$A539,Data!$Q$10:$Q$3209,"&lt;"&amp;$A539+1)/$AH539)))</f>
        <v/>
      </c>
      <c r="I539" s="54">
        <f>IF($B539=0,NA(),IF($C539="",NA(),IF(C$8="",NA(),IF(N(C$8)=0,NA(),IF(Inputs!$C$17="Rebased to 100",$C539/C$8*100,$C539)))))</f>
        <v/>
      </c>
      <c r="J539" s="54">
        <f>IF($B539=0,NA(),IF($D539="",NA(),IF(D$8="",NA(),IF(N(D$8)=0,NA(),IF(Inputs!$C$17="Rebased to 100",$D539/D$8*100,$D539)))))</f>
        <v/>
      </c>
      <c r="K539" s="54">
        <f>IF($B539=0,NA(),IF($E539="",NA(),IF(E$8="",NA(),IF(N(E$8)=0,NA(),IF(Inputs!$C$17="Rebased to 100",$E539/E$8*100,$E539)))))</f>
        <v/>
      </c>
      <c r="L539" s="54">
        <f>IF($B539=0,NA(),IF($F539="",NA(),IF(F$8="",NA(),IF(N(F$8)=0,NA(),IF(Inputs!$C$17="Rebased to 100",$F539/F$8*100,$F539)))))</f>
        <v/>
      </c>
      <c r="M539" s="54">
        <f>IF($B539=0,NA(),IF($G539="",NA(),IF(G$8="",NA(),IF(N(G$8)=0,NA(),IF(Inputs!$C$17="Rebased to 100",$G539/G$8*100,$G539)))))</f>
        <v/>
      </c>
      <c r="N539" s="54">
        <f>IF($B539=0,NA(),IF(Inputs!$C$18&lt;&gt;"Yes",NA(),IF(COUNT(I539,J539,K539,L539,M539)=0,NA(),MIN(I539,J539,K539,L539,M539))))</f>
        <v/>
      </c>
      <c r="O539" s="54">
        <f>IF($B539=0,NA(),IF(Inputs!$B$24&lt;&gt;"Yes",NA(),Inputs!$D$24*Inputs!$C$35))</f>
        <v/>
      </c>
      <c r="P539" s="54">
        <f>IF($B539=0,NA(),IF(Inputs!$B$25&lt;&gt;"Yes",NA(),Inputs!$D$25*Inputs!$C$35))</f>
        <v/>
      </c>
      <c r="Q539" s="54">
        <f>IF($B539=0,NA(),IF(Inputs!$B$26&lt;&gt;"Yes",NA(),Inputs!$D$26*Inputs!$C$35))</f>
        <v/>
      </c>
      <c r="R539" s="54">
        <f>IF($B539=0,NA(),IF(Inputs!$B$27&lt;&gt;"Yes",NA(),Inputs!$D$27*Inputs!$C$35))</f>
        <v/>
      </c>
      <c r="S539" s="54">
        <f>IF($B539=0,NA(),IF(Inputs!$B$28&lt;&gt;"Yes",NA(),Inputs!$D$28*Inputs!$C$35))</f>
        <v/>
      </c>
      <c r="T539" s="54">
        <f>IF($B539=0,NA(),IF(Inputs!$B$29&lt;&gt;"Yes",NA(),Inputs!$D$29*Inputs!$C$35))</f>
        <v/>
      </c>
      <c r="AD539">
        <f>IF($B539=0,0,IF(Inputs!$B$6="",0,COUNTIFS(Data!$A$10:$A$3209,"&gt;="&amp;$A539,Data!$A$10:$A$3209,"&lt;"&amp;$A539+1)))</f>
        <v/>
      </c>
      <c r="AE539">
        <f>IF($B539=0,0,IF(Inputs!$B$7="",0,COUNTIFS(Data!$E$10:$E$3209,"&gt;="&amp;$A539,Data!$E$10:$E$3209,"&lt;"&amp;$A539+1)))</f>
        <v/>
      </c>
      <c r="AF539">
        <f>IF($B539=0,0,IF(Inputs!$B$8="",0,COUNTIFS(Data!$I$10:$I$3209,"&gt;="&amp;$A539,Data!$I$10:$I$3209,"&lt;"&amp;$A539+1)))</f>
        <v/>
      </c>
      <c r="AG539">
        <f>IF($B539=0,0,IF(Inputs!$B$9="",0,COUNTIFS(Data!$M$10:$M$3209,"&gt;="&amp;$A539,Data!$M$10:$M$3209,"&lt;"&amp;$A539+1)))</f>
        <v/>
      </c>
      <c r="AH539">
        <f>IF($B539=0,0,IF(Inputs!$B$10="",0,COUNTIFS(Data!$Q$10:$Q$3209,"&gt;="&amp;$A539,Data!$Q$10:$Q$3209,"&lt;"&amp;$A539+1)))</f>
        <v/>
      </c>
    </row>
    <row r="540">
      <c r="A540" s="55">
        <f>MIN(Inputs!$C$15,$A539+IF(WEEKDAY($A539,2)=5,3,1))</f>
        <v/>
      </c>
      <c r="B540">
        <f>IF($A540&gt;$A539,1,0)</f>
        <v/>
      </c>
      <c r="C540" s="56">
        <f>IF($B540=0,"",IF(Inputs!$B$6="","",IF($AD540=0,C539,SUMIFS(Data!$B$10:$B$3209,Data!$A$10:$A$3209,"&gt;="&amp;$A540,Data!$A$10:$A$3209,"&lt;"&amp;$A540+1)/$AD540)))</f>
        <v/>
      </c>
      <c r="D540" s="56">
        <f>IF($B540=0,"",IF(Inputs!$B$7="","",IF($AE540=0,D539,SUMIFS(Data!$F$10:$F$3209,Data!$E$10:$E$3209,"&gt;="&amp;$A540,Data!$E$10:$E$3209,"&lt;"&amp;$A540+1)/$AE540)))</f>
        <v/>
      </c>
      <c r="E540" s="56">
        <f>IF($B540=0,"",IF(Inputs!$B$8="","",IF($AF540=0,E539,SUMIFS(Data!$J$10:$J$3209,Data!$I$10:$I$3209,"&gt;="&amp;$A540,Data!$I$10:$I$3209,"&lt;"&amp;$A540+1)/$AF540)))</f>
        <v/>
      </c>
      <c r="F540" s="56">
        <f>IF($B540=0,"",IF(Inputs!$B$9="","",IF($AG540=0,F539,SUMIFS(Data!$N$10:$N$3209,Data!$M$10:$M$3209,"&gt;="&amp;$A540,Data!$M$10:$M$3209,"&lt;"&amp;$A540+1)/$AG540)))</f>
        <v/>
      </c>
      <c r="G540" s="56">
        <f>IF($B540=0,"",IF(Inputs!$B$10="","",IF($AH540=0,G539,SUMIFS(Data!$R$10:$R$3209,Data!$Q$10:$Q$3209,"&gt;="&amp;$A540,Data!$Q$10:$Q$3209,"&lt;"&amp;$A540+1)/$AH540)))</f>
        <v/>
      </c>
      <c r="I540" s="54">
        <f>IF($B540=0,NA(),IF($C540="",NA(),IF(C$8="",NA(),IF(N(C$8)=0,NA(),IF(Inputs!$C$17="Rebased to 100",$C540/C$8*100,$C540)))))</f>
        <v/>
      </c>
      <c r="J540" s="54">
        <f>IF($B540=0,NA(),IF($D540="",NA(),IF(D$8="",NA(),IF(N(D$8)=0,NA(),IF(Inputs!$C$17="Rebased to 100",$D540/D$8*100,$D540)))))</f>
        <v/>
      </c>
      <c r="K540" s="54">
        <f>IF($B540=0,NA(),IF($E540="",NA(),IF(E$8="",NA(),IF(N(E$8)=0,NA(),IF(Inputs!$C$17="Rebased to 100",$E540/E$8*100,$E540)))))</f>
        <v/>
      </c>
      <c r="L540" s="54">
        <f>IF($B540=0,NA(),IF($F540="",NA(),IF(F$8="",NA(),IF(N(F$8)=0,NA(),IF(Inputs!$C$17="Rebased to 100",$F540/F$8*100,$F540)))))</f>
        <v/>
      </c>
      <c r="M540" s="54">
        <f>IF($B540=0,NA(),IF($G540="",NA(),IF(G$8="",NA(),IF(N(G$8)=0,NA(),IF(Inputs!$C$17="Rebased to 100",$G540/G$8*100,$G540)))))</f>
        <v/>
      </c>
      <c r="N540" s="54">
        <f>IF($B540=0,NA(),IF(Inputs!$C$18&lt;&gt;"Yes",NA(),IF(COUNT(I540,J540,K540,L540,M540)=0,NA(),MIN(I540,J540,K540,L540,M540))))</f>
        <v/>
      </c>
      <c r="O540" s="54">
        <f>IF($B540=0,NA(),IF(Inputs!$B$24&lt;&gt;"Yes",NA(),Inputs!$D$24*Inputs!$C$35))</f>
        <v/>
      </c>
      <c r="P540" s="54">
        <f>IF($B540=0,NA(),IF(Inputs!$B$25&lt;&gt;"Yes",NA(),Inputs!$D$25*Inputs!$C$35))</f>
        <v/>
      </c>
      <c r="Q540" s="54">
        <f>IF($B540=0,NA(),IF(Inputs!$B$26&lt;&gt;"Yes",NA(),Inputs!$D$26*Inputs!$C$35))</f>
        <v/>
      </c>
      <c r="R540" s="54">
        <f>IF($B540=0,NA(),IF(Inputs!$B$27&lt;&gt;"Yes",NA(),Inputs!$D$27*Inputs!$C$35))</f>
        <v/>
      </c>
      <c r="S540" s="54">
        <f>IF($B540=0,NA(),IF(Inputs!$B$28&lt;&gt;"Yes",NA(),Inputs!$D$28*Inputs!$C$35))</f>
        <v/>
      </c>
      <c r="T540" s="54">
        <f>IF($B540=0,NA(),IF(Inputs!$B$29&lt;&gt;"Yes",NA(),Inputs!$D$29*Inputs!$C$35))</f>
        <v/>
      </c>
      <c r="AD540">
        <f>IF($B540=0,0,IF(Inputs!$B$6="",0,COUNTIFS(Data!$A$10:$A$3209,"&gt;="&amp;$A540,Data!$A$10:$A$3209,"&lt;"&amp;$A540+1)))</f>
        <v/>
      </c>
      <c r="AE540">
        <f>IF($B540=0,0,IF(Inputs!$B$7="",0,COUNTIFS(Data!$E$10:$E$3209,"&gt;="&amp;$A540,Data!$E$10:$E$3209,"&lt;"&amp;$A540+1)))</f>
        <v/>
      </c>
      <c r="AF540">
        <f>IF($B540=0,0,IF(Inputs!$B$8="",0,COUNTIFS(Data!$I$10:$I$3209,"&gt;="&amp;$A540,Data!$I$10:$I$3209,"&lt;"&amp;$A540+1)))</f>
        <v/>
      </c>
      <c r="AG540">
        <f>IF($B540=0,0,IF(Inputs!$B$9="",0,COUNTIFS(Data!$M$10:$M$3209,"&gt;="&amp;$A540,Data!$M$10:$M$3209,"&lt;"&amp;$A540+1)))</f>
        <v/>
      </c>
      <c r="AH540">
        <f>IF($B540=0,0,IF(Inputs!$B$10="",0,COUNTIFS(Data!$Q$10:$Q$3209,"&gt;="&amp;$A540,Data!$Q$10:$Q$3209,"&lt;"&amp;$A540+1)))</f>
        <v/>
      </c>
    </row>
    <row r="541">
      <c r="A541" s="55">
        <f>MIN(Inputs!$C$15,$A540+IF(WEEKDAY($A540,2)=5,3,1))</f>
        <v/>
      </c>
      <c r="B541">
        <f>IF($A541&gt;$A540,1,0)</f>
        <v/>
      </c>
      <c r="C541" s="56">
        <f>IF($B541=0,"",IF(Inputs!$B$6="","",IF($AD541=0,C540,SUMIFS(Data!$B$10:$B$3209,Data!$A$10:$A$3209,"&gt;="&amp;$A541,Data!$A$10:$A$3209,"&lt;"&amp;$A541+1)/$AD541)))</f>
        <v/>
      </c>
      <c r="D541" s="56">
        <f>IF($B541=0,"",IF(Inputs!$B$7="","",IF($AE541=0,D540,SUMIFS(Data!$F$10:$F$3209,Data!$E$10:$E$3209,"&gt;="&amp;$A541,Data!$E$10:$E$3209,"&lt;"&amp;$A541+1)/$AE541)))</f>
        <v/>
      </c>
      <c r="E541" s="56">
        <f>IF($B541=0,"",IF(Inputs!$B$8="","",IF($AF541=0,E540,SUMIFS(Data!$J$10:$J$3209,Data!$I$10:$I$3209,"&gt;="&amp;$A541,Data!$I$10:$I$3209,"&lt;"&amp;$A541+1)/$AF541)))</f>
        <v/>
      </c>
      <c r="F541" s="56">
        <f>IF($B541=0,"",IF(Inputs!$B$9="","",IF($AG541=0,F540,SUMIFS(Data!$N$10:$N$3209,Data!$M$10:$M$3209,"&gt;="&amp;$A541,Data!$M$10:$M$3209,"&lt;"&amp;$A541+1)/$AG541)))</f>
        <v/>
      </c>
      <c r="G541" s="56">
        <f>IF($B541=0,"",IF(Inputs!$B$10="","",IF($AH541=0,G540,SUMIFS(Data!$R$10:$R$3209,Data!$Q$10:$Q$3209,"&gt;="&amp;$A541,Data!$Q$10:$Q$3209,"&lt;"&amp;$A541+1)/$AH541)))</f>
        <v/>
      </c>
      <c r="I541" s="54">
        <f>IF($B541=0,NA(),IF($C541="",NA(),IF(C$8="",NA(),IF(N(C$8)=0,NA(),IF(Inputs!$C$17="Rebased to 100",$C541/C$8*100,$C541)))))</f>
        <v/>
      </c>
      <c r="J541" s="54">
        <f>IF($B541=0,NA(),IF($D541="",NA(),IF(D$8="",NA(),IF(N(D$8)=0,NA(),IF(Inputs!$C$17="Rebased to 100",$D541/D$8*100,$D541)))))</f>
        <v/>
      </c>
      <c r="K541" s="54">
        <f>IF($B541=0,NA(),IF($E541="",NA(),IF(E$8="",NA(),IF(N(E$8)=0,NA(),IF(Inputs!$C$17="Rebased to 100",$E541/E$8*100,$E541)))))</f>
        <v/>
      </c>
      <c r="L541" s="54">
        <f>IF($B541=0,NA(),IF($F541="",NA(),IF(F$8="",NA(),IF(N(F$8)=0,NA(),IF(Inputs!$C$17="Rebased to 100",$F541/F$8*100,$F541)))))</f>
        <v/>
      </c>
      <c r="M541" s="54">
        <f>IF($B541=0,NA(),IF($G541="",NA(),IF(G$8="",NA(),IF(N(G$8)=0,NA(),IF(Inputs!$C$17="Rebased to 100",$G541/G$8*100,$G541)))))</f>
        <v/>
      </c>
      <c r="N541" s="54">
        <f>IF($B541=0,NA(),IF(Inputs!$C$18&lt;&gt;"Yes",NA(),IF(COUNT(I541,J541,K541,L541,M541)=0,NA(),MIN(I541,J541,K541,L541,M541))))</f>
        <v/>
      </c>
      <c r="O541" s="54">
        <f>IF($B541=0,NA(),IF(Inputs!$B$24&lt;&gt;"Yes",NA(),Inputs!$D$24*Inputs!$C$35))</f>
        <v/>
      </c>
      <c r="P541" s="54">
        <f>IF($B541=0,NA(),IF(Inputs!$B$25&lt;&gt;"Yes",NA(),Inputs!$D$25*Inputs!$C$35))</f>
        <v/>
      </c>
      <c r="Q541" s="54">
        <f>IF($B541=0,NA(),IF(Inputs!$B$26&lt;&gt;"Yes",NA(),Inputs!$D$26*Inputs!$C$35))</f>
        <v/>
      </c>
      <c r="R541" s="54">
        <f>IF($B541=0,NA(),IF(Inputs!$B$27&lt;&gt;"Yes",NA(),Inputs!$D$27*Inputs!$C$35))</f>
        <v/>
      </c>
      <c r="S541" s="54">
        <f>IF($B541=0,NA(),IF(Inputs!$B$28&lt;&gt;"Yes",NA(),Inputs!$D$28*Inputs!$C$35))</f>
        <v/>
      </c>
      <c r="T541" s="54">
        <f>IF($B541=0,NA(),IF(Inputs!$B$29&lt;&gt;"Yes",NA(),Inputs!$D$29*Inputs!$C$35))</f>
        <v/>
      </c>
      <c r="AD541">
        <f>IF($B541=0,0,IF(Inputs!$B$6="",0,COUNTIFS(Data!$A$10:$A$3209,"&gt;="&amp;$A541,Data!$A$10:$A$3209,"&lt;"&amp;$A541+1)))</f>
        <v/>
      </c>
      <c r="AE541">
        <f>IF($B541=0,0,IF(Inputs!$B$7="",0,COUNTIFS(Data!$E$10:$E$3209,"&gt;="&amp;$A541,Data!$E$10:$E$3209,"&lt;"&amp;$A541+1)))</f>
        <v/>
      </c>
      <c r="AF541">
        <f>IF($B541=0,0,IF(Inputs!$B$8="",0,COUNTIFS(Data!$I$10:$I$3209,"&gt;="&amp;$A541,Data!$I$10:$I$3209,"&lt;"&amp;$A541+1)))</f>
        <v/>
      </c>
      <c r="AG541">
        <f>IF($B541=0,0,IF(Inputs!$B$9="",0,COUNTIFS(Data!$M$10:$M$3209,"&gt;="&amp;$A541,Data!$M$10:$M$3209,"&lt;"&amp;$A541+1)))</f>
        <v/>
      </c>
      <c r="AH541">
        <f>IF($B541=0,0,IF(Inputs!$B$10="",0,COUNTIFS(Data!$Q$10:$Q$3209,"&gt;="&amp;$A541,Data!$Q$10:$Q$3209,"&lt;"&amp;$A541+1)))</f>
        <v/>
      </c>
    </row>
    <row r="542">
      <c r="A542" s="55">
        <f>MIN(Inputs!$C$15,$A541+IF(WEEKDAY($A541,2)=5,3,1))</f>
        <v/>
      </c>
      <c r="B542">
        <f>IF($A542&gt;$A541,1,0)</f>
        <v/>
      </c>
      <c r="C542" s="56">
        <f>IF($B542=0,"",IF(Inputs!$B$6="","",IF($AD542=0,C541,SUMIFS(Data!$B$10:$B$3209,Data!$A$10:$A$3209,"&gt;="&amp;$A542,Data!$A$10:$A$3209,"&lt;"&amp;$A542+1)/$AD542)))</f>
        <v/>
      </c>
      <c r="D542" s="56">
        <f>IF($B542=0,"",IF(Inputs!$B$7="","",IF($AE542=0,D541,SUMIFS(Data!$F$10:$F$3209,Data!$E$10:$E$3209,"&gt;="&amp;$A542,Data!$E$10:$E$3209,"&lt;"&amp;$A542+1)/$AE542)))</f>
        <v/>
      </c>
      <c r="E542" s="56">
        <f>IF($B542=0,"",IF(Inputs!$B$8="","",IF($AF542=0,E541,SUMIFS(Data!$J$10:$J$3209,Data!$I$10:$I$3209,"&gt;="&amp;$A542,Data!$I$10:$I$3209,"&lt;"&amp;$A542+1)/$AF542)))</f>
        <v/>
      </c>
      <c r="F542" s="56">
        <f>IF($B542=0,"",IF(Inputs!$B$9="","",IF($AG542=0,F541,SUMIFS(Data!$N$10:$N$3209,Data!$M$10:$M$3209,"&gt;="&amp;$A542,Data!$M$10:$M$3209,"&lt;"&amp;$A542+1)/$AG542)))</f>
        <v/>
      </c>
      <c r="G542" s="56">
        <f>IF($B542=0,"",IF(Inputs!$B$10="","",IF($AH542=0,G541,SUMIFS(Data!$R$10:$R$3209,Data!$Q$10:$Q$3209,"&gt;="&amp;$A542,Data!$Q$10:$Q$3209,"&lt;"&amp;$A542+1)/$AH542)))</f>
        <v/>
      </c>
      <c r="I542" s="54">
        <f>IF($B542=0,NA(),IF($C542="",NA(),IF(C$8="",NA(),IF(N(C$8)=0,NA(),IF(Inputs!$C$17="Rebased to 100",$C542/C$8*100,$C542)))))</f>
        <v/>
      </c>
      <c r="J542" s="54">
        <f>IF($B542=0,NA(),IF($D542="",NA(),IF(D$8="",NA(),IF(N(D$8)=0,NA(),IF(Inputs!$C$17="Rebased to 100",$D542/D$8*100,$D542)))))</f>
        <v/>
      </c>
      <c r="K542" s="54">
        <f>IF($B542=0,NA(),IF($E542="",NA(),IF(E$8="",NA(),IF(N(E$8)=0,NA(),IF(Inputs!$C$17="Rebased to 100",$E542/E$8*100,$E542)))))</f>
        <v/>
      </c>
      <c r="L542" s="54">
        <f>IF($B542=0,NA(),IF($F542="",NA(),IF(F$8="",NA(),IF(N(F$8)=0,NA(),IF(Inputs!$C$17="Rebased to 100",$F542/F$8*100,$F542)))))</f>
        <v/>
      </c>
      <c r="M542" s="54">
        <f>IF($B542=0,NA(),IF($G542="",NA(),IF(G$8="",NA(),IF(N(G$8)=0,NA(),IF(Inputs!$C$17="Rebased to 100",$G542/G$8*100,$G542)))))</f>
        <v/>
      </c>
      <c r="N542" s="54">
        <f>IF($B542=0,NA(),IF(Inputs!$C$18&lt;&gt;"Yes",NA(),IF(COUNT(I542,J542,K542,L542,M542)=0,NA(),MIN(I542,J542,K542,L542,M542))))</f>
        <v/>
      </c>
      <c r="O542" s="54">
        <f>IF($B542=0,NA(),IF(Inputs!$B$24&lt;&gt;"Yes",NA(),Inputs!$D$24*Inputs!$C$35))</f>
        <v/>
      </c>
      <c r="P542" s="54">
        <f>IF($B542=0,NA(),IF(Inputs!$B$25&lt;&gt;"Yes",NA(),Inputs!$D$25*Inputs!$C$35))</f>
        <v/>
      </c>
      <c r="Q542" s="54">
        <f>IF($B542=0,NA(),IF(Inputs!$B$26&lt;&gt;"Yes",NA(),Inputs!$D$26*Inputs!$C$35))</f>
        <v/>
      </c>
      <c r="R542" s="54">
        <f>IF($B542=0,NA(),IF(Inputs!$B$27&lt;&gt;"Yes",NA(),Inputs!$D$27*Inputs!$C$35))</f>
        <v/>
      </c>
      <c r="S542" s="54">
        <f>IF($B542=0,NA(),IF(Inputs!$B$28&lt;&gt;"Yes",NA(),Inputs!$D$28*Inputs!$C$35))</f>
        <v/>
      </c>
      <c r="T542" s="54">
        <f>IF($B542=0,NA(),IF(Inputs!$B$29&lt;&gt;"Yes",NA(),Inputs!$D$29*Inputs!$C$35))</f>
        <v/>
      </c>
      <c r="AD542">
        <f>IF($B542=0,0,IF(Inputs!$B$6="",0,COUNTIFS(Data!$A$10:$A$3209,"&gt;="&amp;$A542,Data!$A$10:$A$3209,"&lt;"&amp;$A542+1)))</f>
        <v/>
      </c>
      <c r="AE542">
        <f>IF($B542=0,0,IF(Inputs!$B$7="",0,COUNTIFS(Data!$E$10:$E$3209,"&gt;="&amp;$A542,Data!$E$10:$E$3209,"&lt;"&amp;$A542+1)))</f>
        <v/>
      </c>
      <c r="AF542">
        <f>IF($B542=0,0,IF(Inputs!$B$8="",0,COUNTIFS(Data!$I$10:$I$3209,"&gt;="&amp;$A542,Data!$I$10:$I$3209,"&lt;"&amp;$A542+1)))</f>
        <v/>
      </c>
      <c r="AG542">
        <f>IF($B542=0,0,IF(Inputs!$B$9="",0,COUNTIFS(Data!$M$10:$M$3209,"&gt;="&amp;$A542,Data!$M$10:$M$3209,"&lt;"&amp;$A542+1)))</f>
        <v/>
      </c>
      <c r="AH542">
        <f>IF($B542=0,0,IF(Inputs!$B$10="",0,COUNTIFS(Data!$Q$10:$Q$3209,"&gt;="&amp;$A542,Data!$Q$10:$Q$3209,"&lt;"&amp;$A542+1)))</f>
        <v/>
      </c>
    </row>
    <row r="543">
      <c r="A543" s="55">
        <f>MIN(Inputs!$C$15,$A542+IF(WEEKDAY($A542,2)=5,3,1))</f>
        <v/>
      </c>
      <c r="B543">
        <f>IF($A543&gt;$A542,1,0)</f>
        <v/>
      </c>
      <c r="C543" s="56">
        <f>IF($B543=0,"",IF(Inputs!$B$6="","",IF($AD543=0,C542,SUMIFS(Data!$B$10:$B$3209,Data!$A$10:$A$3209,"&gt;="&amp;$A543,Data!$A$10:$A$3209,"&lt;"&amp;$A543+1)/$AD543)))</f>
        <v/>
      </c>
      <c r="D543" s="56">
        <f>IF($B543=0,"",IF(Inputs!$B$7="","",IF($AE543=0,D542,SUMIFS(Data!$F$10:$F$3209,Data!$E$10:$E$3209,"&gt;="&amp;$A543,Data!$E$10:$E$3209,"&lt;"&amp;$A543+1)/$AE543)))</f>
        <v/>
      </c>
      <c r="E543" s="56">
        <f>IF($B543=0,"",IF(Inputs!$B$8="","",IF($AF543=0,E542,SUMIFS(Data!$J$10:$J$3209,Data!$I$10:$I$3209,"&gt;="&amp;$A543,Data!$I$10:$I$3209,"&lt;"&amp;$A543+1)/$AF543)))</f>
        <v/>
      </c>
      <c r="F543" s="56">
        <f>IF($B543=0,"",IF(Inputs!$B$9="","",IF($AG543=0,F542,SUMIFS(Data!$N$10:$N$3209,Data!$M$10:$M$3209,"&gt;="&amp;$A543,Data!$M$10:$M$3209,"&lt;"&amp;$A543+1)/$AG543)))</f>
        <v/>
      </c>
      <c r="G543" s="56">
        <f>IF($B543=0,"",IF(Inputs!$B$10="","",IF($AH543=0,G542,SUMIFS(Data!$R$10:$R$3209,Data!$Q$10:$Q$3209,"&gt;="&amp;$A543,Data!$Q$10:$Q$3209,"&lt;"&amp;$A543+1)/$AH543)))</f>
        <v/>
      </c>
      <c r="I543" s="54">
        <f>IF($B543=0,NA(),IF($C543="",NA(),IF(C$8="",NA(),IF(N(C$8)=0,NA(),IF(Inputs!$C$17="Rebased to 100",$C543/C$8*100,$C543)))))</f>
        <v/>
      </c>
      <c r="J543" s="54">
        <f>IF($B543=0,NA(),IF($D543="",NA(),IF(D$8="",NA(),IF(N(D$8)=0,NA(),IF(Inputs!$C$17="Rebased to 100",$D543/D$8*100,$D543)))))</f>
        <v/>
      </c>
      <c r="K543" s="54">
        <f>IF($B543=0,NA(),IF($E543="",NA(),IF(E$8="",NA(),IF(N(E$8)=0,NA(),IF(Inputs!$C$17="Rebased to 100",$E543/E$8*100,$E543)))))</f>
        <v/>
      </c>
      <c r="L543" s="54">
        <f>IF($B543=0,NA(),IF($F543="",NA(),IF(F$8="",NA(),IF(N(F$8)=0,NA(),IF(Inputs!$C$17="Rebased to 100",$F543/F$8*100,$F543)))))</f>
        <v/>
      </c>
      <c r="M543" s="54">
        <f>IF($B543=0,NA(),IF($G543="",NA(),IF(G$8="",NA(),IF(N(G$8)=0,NA(),IF(Inputs!$C$17="Rebased to 100",$G543/G$8*100,$G543)))))</f>
        <v/>
      </c>
      <c r="N543" s="54">
        <f>IF($B543=0,NA(),IF(Inputs!$C$18&lt;&gt;"Yes",NA(),IF(COUNT(I543,J543,K543,L543,M543)=0,NA(),MIN(I543,J543,K543,L543,M543))))</f>
        <v/>
      </c>
      <c r="O543" s="54">
        <f>IF($B543=0,NA(),IF(Inputs!$B$24&lt;&gt;"Yes",NA(),Inputs!$D$24*Inputs!$C$35))</f>
        <v/>
      </c>
      <c r="P543" s="54">
        <f>IF($B543=0,NA(),IF(Inputs!$B$25&lt;&gt;"Yes",NA(),Inputs!$D$25*Inputs!$C$35))</f>
        <v/>
      </c>
      <c r="Q543" s="54">
        <f>IF($B543=0,NA(),IF(Inputs!$B$26&lt;&gt;"Yes",NA(),Inputs!$D$26*Inputs!$C$35))</f>
        <v/>
      </c>
      <c r="R543" s="54">
        <f>IF($B543=0,NA(),IF(Inputs!$B$27&lt;&gt;"Yes",NA(),Inputs!$D$27*Inputs!$C$35))</f>
        <v/>
      </c>
      <c r="S543" s="54">
        <f>IF($B543=0,NA(),IF(Inputs!$B$28&lt;&gt;"Yes",NA(),Inputs!$D$28*Inputs!$C$35))</f>
        <v/>
      </c>
      <c r="T543" s="54">
        <f>IF($B543=0,NA(),IF(Inputs!$B$29&lt;&gt;"Yes",NA(),Inputs!$D$29*Inputs!$C$35))</f>
        <v/>
      </c>
      <c r="AD543">
        <f>IF($B543=0,0,IF(Inputs!$B$6="",0,COUNTIFS(Data!$A$10:$A$3209,"&gt;="&amp;$A543,Data!$A$10:$A$3209,"&lt;"&amp;$A543+1)))</f>
        <v/>
      </c>
      <c r="AE543">
        <f>IF($B543=0,0,IF(Inputs!$B$7="",0,COUNTIFS(Data!$E$10:$E$3209,"&gt;="&amp;$A543,Data!$E$10:$E$3209,"&lt;"&amp;$A543+1)))</f>
        <v/>
      </c>
      <c r="AF543">
        <f>IF($B543=0,0,IF(Inputs!$B$8="",0,COUNTIFS(Data!$I$10:$I$3209,"&gt;="&amp;$A543,Data!$I$10:$I$3209,"&lt;"&amp;$A543+1)))</f>
        <v/>
      </c>
      <c r="AG543">
        <f>IF($B543=0,0,IF(Inputs!$B$9="",0,COUNTIFS(Data!$M$10:$M$3209,"&gt;="&amp;$A543,Data!$M$10:$M$3209,"&lt;"&amp;$A543+1)))</f>
        <v/>
      </c>
      <c r="AH543">
        <f>IF($B543=0,0,IF(Inputs!$B$10="",0,COUNTIFS(Data!$Q$10:$Q$3209,"&gt;="&amp;$A543,Data!$Q$10:$Q$3209,"&lt;"&amp;$A543+1)))</f>
        <v/>
      </c>
    </row>
    <row r="544">
      <c r="A544" s="55">
        <f>MIN(Inputs!$C$15,$A543+IF(WEEKDAY($A543,2)=5,3,1))</f>
        <v/>
      </c>
      <c r="B544">
        <f>IF($A544&gt;$A543,1,0)</f>
        <v/>
      </c>
      <c r="C544" s="56">
        <f>IF($B544=0,"",IF(Inputs!$B$6="","",IF($AD544=0,C543,SUMIFS(Data!$B$10:$B$3209,Data!$A$10:$A$3209,"&gt;="&amp;$A544,Data!$A$10:$A$3209,"&lt;"&amp;$A544+1)/$AD544)))</f>
        <v/>
      </c>
      <c r="D544" s="56">
        <f>IF($B544=0,"",IF(Inputs!$B$7="","",IF($AE544=0,D543,SUMIFS(Data!$F$10:$F$3209,Data!$E$10:$E$3209,"&gt;="&amp;$A544,Data!$E$10:$E$3209,"&lt;"&amp;$A544+1)/$AE544)))</f>
        <v/>
      </c>
      <c r="E544" s="56">
        <f>IF($B544=0,"",IF(Inputs!$B$8="","",IF($AF544=0,E543,SUMIFS(Data!$J$10:$J$3209,Data!$I$10:$I$3209,"&gt;="&amp;$A544,Data!$I$10:$I$3209,"&lt;"&amp;$A544+1)/$AF544)))</f>
        <v/>
      </c>
      <c r="F544" s="56">
        <f>IF($B544=0,"",IF(Inputs!$B$9="","",IF($AG544=0,F543,SUMIFS(Data!$N$10:$N$3209,Data!$M$10:$M$3209,"&gt;="&amp;$A544,Data!$M$10:$M$3209,"&lt;"&amp;$A544+1)/$AG544)))</f>
        <v/>
      </c>
      <c r="G544" s="56">
        <f>IF($B544=0,"",IF(Inputs!$B$10="","",IF($AH544=0,G543,SUMIFS(Data!$R$10:$R$3209,Data!$Q$10:$Q$3209,"&gt;="&amp;$A544,Data!$Q$10:$Q$3209,"&lt;"&amp;$A544+1)/$AH544)))</f>
        <v/>
      </c>
      <c r="I544" s="54">
        <f>IF($B544=0,NA(),IF($C544="",NA(),IF(C$8="",NA(),IF(N(C$8)=0,NA(),IF(Inputs!$C$17="Rebased to 100",$C544/C$8*100,$C544)))))</f>
        <v/>
      </c>
      <c r="J544" s="54">
        <f>IF($B544=0,NA(),IF($D544="",NA(),IF(D$8="",NA(),IF(N(D$8)=0,NA(),IF(Inputs!$C$17="Rebased to 100",$D544/D$8*100,$D544)))))</f>
        <v/>
      </c>
      <c r="K544" s="54">
        <f>IF($B544=0,NA(),IF($E544="",NA(),IF(E$8="",NA(),IF(N(E$8)=0,NA(),IF(Inputs!$C$17="Rebased to 100",$E544/E$8*100,$E544)))))</f>
        <v/>
      </c>
      <c r="L544" s="54">
        <f>IF($B544=0,NA(),IF($F544="",NA(),IF(F$8="",NA(),IF(N(F$8)=0,NA(),IF(Inputs!$C$17="Rebased to 100",$F544/F$8*100,$F544)))))</f>
        <v/>
      </c>
      <c r="M544" s="54">
        <f>IF($B544=0,NA(),IF($G544="",NA(),IF(G$8="",NA(),IF(N(G$8)=0,NA(),IF(Inputs!$C$17="Rebased to 100",$G544/G$8*100,$G544)))))</f>
        <v/>
      </c>
      <c r="N544" s="54">
        <f>IF($B544=0,NA(),IF(Inputs!$C$18&lt;&gt;"Yes",NA(),IF(COUNT(I544,J544,K544,L544,M544)=0,NA(),MIN(I544,J544,K544,L544,M544))))</f>
        <v/>
      </c>
      <c r="O544" s="54">
        <f>IF($B544=0,NA(),IF(Inputs!$B$24&lt;&gt;"Yes",NA(),Inputs!$D$24*Inputs!$C$35))</f>
        <v/>
      </c>
      <c r="P544" s="54">
        <f>IF($B544=0,NA(),IF(Inputs!$B$25&lt;&gt;"Yes",NA(),Inputs!$D$25*Inputs!$C$35))</f>
        <v/>
      </c>
      <c r="Q544" s="54">
        <f>IF($B544=0,NA(),IF(Inputs!$B$26&lt;&gt;"Yes",NA(),Inputs!$D$26*Inputs!$C$35))</f>
        <v/>
      </c>
      <c r="R544" s="54">
        <f>IF($B544=0,NA(),IF(Inputs!$B$27&lt;&gt;"Yes",NA(),Inputs!$D$27*Inputs!$C$35))</f>
        <v/>
      </c>
      <c r="S544" s="54">
        <f>IF($B544=0,NA(),IF(Inputs!$B$28&lt;&gt;"Yes",NA(),Inputs!$D$28*Inputs!$C$35))</f>
        <v/>
      </c>
      <c r="T544" s="54">
        <f>IF($B544=0,NA(),IF(Inputs!$B$29&lt;&gt;"Yes",NA(),Inputs!$D$29*Inputs!$C$35))</f>
        <v/>
      </c>
      <c r="AD544">
        <f>IF($B544=0,0,IF(Inputs!$B$6="",0,COUNTIFS(Data!$A$10:$A$3209,"&gt;="&amp;$A544,Data!$A$10:$A$3209,"&lt;"&amp;$A544+1)))</f>
        <v/>
      </c>
      <c r="AE544">
        <f>IF($B544=0,0,IF(Inputs!$B$7="",0,COUNTIFS(Data!$E$10:$E$3209,"&gt;="&amp;$A544,Data!$E$10:$E$3209,"&lt;"&amp;$A544+1)))</f>
        <v/>
      </c>
      <c r="AF544">
        <f>IF($B544=0,0,IF(Inputs!$B$8="",0,COUNTIFS(Data!$I$10:$I$3209,"&gt;="&amp;$A544,Data!$I$10:$I$3209,"&lt;"&amp;$A544+1)))</f>
        <v/>
      </c>
      <c r="AG544">
        <f>IF($B544=0,0,IF(Inputs!$B$9="",0,COUNTIFS(Data!$M$10:$M$3209,"&gt;="&amp;$A544,Data!$M$10:$M$3209,"&lt;"&amp;$A544+1)))</f>
        <v/>
      </c>
      <c r="AH544">
        <f>IF($B544=0,0,IF(Inputs!$B$10="",0,COUNTIFS(Data!$Q$10:$Q$3209,"&gt;="&amp;$A544,Data!$Q$10:$Q$3209,"&lt;"&amp;$A544+1)))</f>
        <v/>
      </c>
    </row>
    <row r="545">
      <c r="A545" s="55">
        <f>MIN(Inputs!$C$15,$A544+IF(WEEKDAY($A544,2)=5,3,1))</f>
        <v/>
      </c>
      <c r="B545">
        <f>IF($A545&gt;$A544,1,0)</f>
        <v/>
      </c>
      <c r="C545" s="56">
        <f>IF($B545=0,"",IF(Inputs!$B$6="","",IF($AD545=0,C544,SUMIFS(Data!$B$10:$B$3209,Data!$A$10:$A$3209,"&gt;="&amp;$A545,Data!$A$10:$A$3209,"&lt;"&amp;$A545+1)/$AD545)))</f>
        <v/>
      </c>
      <c r="D545" s="56">
        <f>IF($B545=0,"",IF(Inputs!$B$7="","",IF($AE545=0,D544,SUMIFS(Data!$F$10:$F$3209,Data!$E$10:$E$3209,"&gt;="&amp;$A545,Data!$E$10:$E$3209,"&lt;"&amp;$A545+1)/$AE545)))</f>
        <v/>
      </c>
      <c r="E545" s="56">
        <f>IF($B545=0,"",IF(Inputs!$B$8="","",IF($AF545=0,E544,SUMIFS(Data!$J$10:$J$3209,Data!$I$10:$I$3209,"&gt;="&amp;$A545,Data!$I$10:$I$3209,"&lt;"&amp;$A545+1)/$AF545)))</f>
        <v/>
      </c>
      <c r="F545" s="56">
        <f>IF($B545=0,"",IF(Inputs!$B$9="","",IF($AG545=0,F544,SUMIFS(Data!$N$10:$N$3209,Data!$M$10:$M$3209,"&gt;="&amp;$A545,Data!$M$10:$M$3209,"&lt;"&amp;$A545+1)/$AG545)))</f>
        <v/>
      </c>
      <c r="G545" s="56">
        <f>IF($B545=0,"",IF(Inputs!$B$10="","",IF($AH545=0,G544,SUMIFS(Data!$R$10:$R$3209,Data!$Q$10:$Q$3209,"&gt;="&amp;$A545,Data!$Q$10:$Q$3209,"&lt;"&amp;$A545+1)/$AH545)))</f>
        <v/>
      </c>
      <c r="I545" s="54">
        <f>IF($B545=0,NA(),IF($C545="",NA(),IF(C$8="",NA(),IF(N(C$8)=0,NA(),IF(Inputs!$C$17="Rebased to 100",$C545/C$8*100,$C545)))))</f>
        <v/>
      </c>
      <c r="J545" s="54">
        <f>IF($B545=0,NA(),IF($D545="",NA(),IF(D$8="",NA(),IF(N(D$8)=0,NA(),IF(Inputs!$C$17="Rebased to 100",$D545/D$8*100,$D545)))))</f>
        <v/>
      </c>
      <c r="K545" s="54">
        <f>IF($B545=0,NA(),IF($E545="",NA(),IF(E$8="",NA(),IF(N(E$8)=0,NA(),IF(Inputs!$C$17="Rebased to 100",$E545/E$8*100,$E545)))))</f>
        <v/>
      </c>
      <c r="L545" s="54">
        <f>IF($B545=0,NA(),IF($F545="",NA(),IF(F$8="",NA(),IF(N(F$8)=0,NA(),IF(Inputs!$C$17="Rebased to 100",$F545/F$8*100,$F545)))))</f>
        <v/>
      </c>
      <c r="M545" s="54">
        <f>IF($B545=0,NA(),IF($G545="",NA(),IF(G$8="",NA(),IF(N(G$8)=0,NA(),IF(Inputs!$C$17="Rebased to 100",$G545/G$8*100,$G545)))))</f>
        <v/>
      </c>
      <c r="N545" s="54">
        <f>IF($B545=0,NA(),IF(Inputs!$C$18&lt;&gt;"Yes",NA(),IF(COUNT(I545,J545,K545,L545,M545)=0,NA(),MIN(I545,J545,K545,L545,M545))))</f>
        <v/>
      </c>
      <c r="O545" s="54">
        <f>IF($B545=0,NA(),IF(Inputs!$B$24&lt;&gt;"Yes",NA(),Inputs!$D$24*Inputs!$C$35))</f>
        <v/>
      </c>
      <c r="P545" s="54">
        <f>IF($B545=0,NA(),IF(Inputs!$B$25&lt;&gt;"Yes",NA(),Inputs!$D$25*Inputs!$C$35))</f>
        <v/>
      </c>
      <c r="Q545" s="54">
        <f>IF($B545=0,NA(),IF(Inputs!$B$26&lt;&gt;"Yes",NA(),Inputs!$D$26*Inputs!$C$35))</f>
        <v/>
      </c>
      <c r="R545" s="54">
        <f>IF($B545=0,NA(),IF(Inputs!$B$27&lt;&gt;"Yes",NA(),Inputs!$D$27*Inputs!$C$35))</f>
        <v/>
      </c>
      <c r="S545" s="54">
        <f>IF($B545=0,NA(),IF(Inputs!$B$28&lt;&gt;"Yes",NA(),Inputs!$D$28*Inputs!$C$35))</f>
        <v/>
      </c>
      <c r="T545" s="54">
        <f>IF($B545=0,NA(),IF(Inputs!$B$29&lt;&gt;"Yes",NA(),Inputs!$D$29*Inputs!$C$35))</f>
        <v/>
      </c>
      <c r="AD545">
        <f>IF($B545=0,0,IF(Inputs!$B$6="",0,COUNTIFS(Data!$A$10:$A$3209,"&gt;="&amp;$A545,Data!$A$10:$A$3209,"&lt;"&amp;$A545+1)))</f>
        <v/>
      </c>
      <c r="AE545">
        <f>IF($B545=0,0,IF(Inputs!$B$7="",0,COUNTIFS(Data!$E$10:$E$3209,"&gt;="&amp;$A545,Data!$E$10:$E$3209,"&lt;"&amp;$A545+1)))</f>
        <v/>
      </c>
      <c r="AF545">
        <f>IF($B545=0,0,IF(Inputs!$B$8="",0,COUNTIFS(Data!$I$10:$I$3209,"&gt;="&amp;$A545,Data!$I$10:$I$3209,"&lt;"&amp;$A545+1)))</f>
        <v/>
      </c>
      <c r="AG545">
        <f>IF($B545=0,0,IF(Inputs!$B$9="",0,COUNTIFS(Data!$M$10:$M$3209,"&gt;="&amp;$A545,Data!$M$10:$M$3209,"&lt;"&amp;$A545+1)))</f>
        <v/>
      </c>
      <c r="AH545">
        <f>IF($B545=0,0,IF(Inputs!$B$10="",0,COUNTIFS(Data!$Q$10:$Q$3209,"&gt;="&amp;$A545,Data!$Q$10:$Q$3209,"&lt;"&amp;$A545+1)))</f>
        <v/>
      </c>
    </row>
    <row r="546">
      <c r="A546" s="55">
        <f>MIN(Inputs!$C$15,$A545+IF(WEEKDAY($A545,2)=5,3,1))</f>
        <v/>
      </c>
      <c r="B546">
        <f>IF($A546&gt;$A545,1,0)</f>
        <v/>
      </c>
      <c r="C546" s="56">
        <f>IF($B546=0,"",IF(Inputs!$B$6="","",IF($AD546=0,C545,SUMIFS(Data!$B$10:$B$3209,Data!$A$10:$A$3209,"&gt;="&amp;$A546,Data!$A$10:$A$3209,"&lt;"&amp;$A546+1)/$AD546)))</f>
        <v/>
      </c>
      <c r="D546" s="56">
        <f>IF($B546=0,"",IF(Inputs!$B$7="","",IF($AE546=0,D545,SUMIFS(Data!$F$10:$F$3209,Data!$E$10:$E$3209,"&gt;="&amp;$A546,Data!$E$10:$E$3209,"&lt;"&amp;$A546+1)/$AE546)))</f>
        <v/>
      </c>
      <c r="E546" s="56">
        <f>IF($B546=0,"",IF(Inputs!$B$8="","",IF($AF546=0,E545,SUMIFS(Data!$J$10:$J$3209,Data!$I$10:$I$3209,"&gt;="&amp;$A546,Data!$I$10:$I$3209,"&lt;"&amp;$A546+1)/$AF546)))</f>
        <v/>
      </c>
      <c r="F546" s="56">
        <f>IF($B546=0,"",IF(Inputs!$B$9="","",IF($AG546=0,F545,SUMIFS(Data!$N$10:$N$3209,Data!$M$10:$M$3209,"&gt;="&amp;$A546,Data!$M$10:$M$3209,"&lt;"&amp;$A546+1)/$AG546)))</f>
        <v/>
      </c>
      <c r="G546" s="56">
        <f>IF($B546=0,"",IF(Inputs!$B$10="","",IF($AH546=0,G545,SUMIFS(Data!$R$10:$R$3209,Data!$Q$10:$Q$3209,"&gt;="&amp;$A546,Data!$Q$10:$Q$3209,"&lt;"&amp;$A546+1)/$AH546)))</f>
        <v/>
      </c>
      <c r="I546" s="54">
        <f>IF($B546=0,NA(),IF($C546="",NA(),IF(C$8="",NA(),IF(N(C$8)=0,NA(),IF(Inputs!$C$17="Rebased to 100",$C546/C$8*100,$C546)))))</f>
        <v/>
      </c>
      <c r="J546" s="54">
        <f>IF($B546=0,NA(),IF($D546="",NA(),IF(D$8="",NA(),IF(N(D$8)=0,NA(),IF(Inputs!$C$17="Rebased to 100",$D546/D$8*100,$D546)))))</f>
        <v/>
      </c>
      <c r="K546" s="54">
        <f>IF($B546=0,NA(),IF($E546="",NA(),IF(E$8="",NA(),IF(N(E$8)=0,NA(),IF(Inputs!$C$17="Rebased to 100",$E546/E$8*100,$E546)))))</f>
        <v/>
      </c>
      <c r="L546" s="54">
        <f>IF($B546=0,NA(),IF($F546="",NA(),IF(F$8="",NA(),IF(N(F$8)=0,NA(),IF(Inputs!$C$17="Rebased to 100",$F546/F$8*100,$F546)))))</f>
        <v/>
      </c>
      <c r="M546" s="54">
        <f>IF($B546=0,NA(),IF($G546="",NA(),IF(G$8="",NA(),IF(N(G$8)=0,NA(),IF(Inputs!$C$17="Rebased to 100",$G546/G$8*100,$G546)))))</f>
        <v/>
      </c>
      <c r="N546" s="54">
        <f>IF($B546=0,NA(),IF(Inputs!$C$18&lt;&gt;"Yes",NA(),IF(COUNT(I546,J546,K546,L546,M546)=0,NA(),MIN(I546,J546,K546,L546,M546))))</f>
        <v/>
      </c>
      <c r="O546" s="54">
        <f>IF($B546=0,NA(),IF(Inputs!$B$24&lt;&gt;"Yes",NA(),Inputs!$D$24*Inputs!$C$35))</f>
        <v/>
      </c>
      <c r="P546" s="54">
        <f>IF($B546=0,NA(),IF(Inputs!$B$25&lt;&gt;"Yes",NA(),Inputs!$D$25*Inputs!$C$35))</f>
        <v/>
      </c>
      <c r="Q546" s="54">
        <f>IF($B546=0,NA(),IF(Inputs!$B$26&lt;&gt;"Yes",NA(),Inputs!$D$26*Inputs!$C$35))</f>
        <v/>
      </c>
      <c r="R546" s="54">
        <f>IF($B546=0,NA(),IF(Inputs!$B$27&lt;&gt;"Yes",NA(),Inputs!$D$27*Inputs!$C$35))</f>
        <v/>
      </c>
      <c r="S546" s="54">
        <f>IF($B546=0,NA(),IF(Inputs!$B$28&lt;&gt;"Yes",NA(),Inputs!$D$28*Inputs!$C$35))</f>
        <v/>
      </c>
      <c r="T546" s="54">
        <f>IF($B546=0,NA(),IF(Inputs!$B$29&lt;&gt;"Yes",NA(),Inputs!$D$29*Inputs!$C$35))</f>
        <v/>
      </c>
      <c r="AD546">
        <f>IF($B546=0,0,IF(Inputs!$B$6="",0,COUNTIFS(Data!$A$10:$A$3209,"&gt;="&amp;$A546,Data!$A$10:$A$3209,"&lt;"&amp;$A546+1)))</f>
        <v/>
      </c>
      <c r="AE546">
        <f>IF($B546=0,0,IF(Inputs!$B$7="",0,COUNTIFS(Data!$E$10:$E$3209,"&gt;="&amp;$A546,Data!$E$10:$E$3209,"&lt;"&amp;$A546+1)))</f>
        <v/>
      </c>
      <c r="AF546">
        <f>IF($B546=0,0,IF(Inputs!$B$8="",0,COUNTIFS(Data!$I$10:$I$3209,"&gt;="&amp;$A546,Data!$I$10:$I$3209,"&lt;"&amp;$A546+1)))</f>
        <v/>
      </c>
      <c r="AG546">
        <f>IF($B546=0,0,IF(Inputs!$B$9="",0,COUNTIFS(Data!$M$10:$M$3209,"&gt;="&amp;$A546,Data!$M$10:$M$3209,"&lt;"&amp;$A546+1)))</f>
        <v/>
      </c>
      <c r="AH546">
        <f>IF($B546=0,0,IF(Inputs!$B$10="",0,COUNTIFS(Data!$Q$10:$Q$3209,"&gt;="&amp;$A546,Data!$Q$10:$Q$3209,"&lt;"&amp;$A546+1)))</f>
        <v/>
      </c>
    </row>
    <row r="547">
      <c r="A547" s="55">
        <f>MIN(Inputs!$C$15,$A546+IF(WEEKDAY($A546,2)=5,3,1))</f>
        <v/>
      </c>
      <c r="B547">
        <f>IF($A547&gt;$A546,1,0)</f>
        <v/>
      </c>
      <c r="C547" s="56">
        <f>IF($B547=0,"",IF(Inputs!$B$6="","",IF($AD547=0,C546,SUMIFS(Data!$B$10:$B$3209,Data!$A$10:$A$3209,"&gt;="&amp;$A547,Data!$A$10:$A$3209,"&lt;"&amp;$A547+1)/$AD547)))</f>
        <v/>
      </c>
      <c r="D547" s="56">
        <f>IF($B547=0,"",IF(Inputs!$B$7="","",IF($AE547=0,D546,SUMIFS(Data!$F$10:$F$3209,Data!$E$10:$E$3209,"&gt;="&amp;$A547,Data!$E$10:$E$3209,"&lt;"&amp;$A547+1)/$AE547)))</f>
        <v/>
      </c>
      <c r="E547" s="56">
        <f>IF($B547=0,"",IF(Inputs!$B$8="","",IF($AF547=0,E546,SUMIFS(Data!$J$10:$J$3209,Data!$I$10:$I$3209,"&gt;="&amp;$A547,Data!$I$10:$I$3209,"&lt;"&amp;$A547+1)/$AF547)))</f>
        <v/>
      </c>
      <c r="F547" s="56">
        <f>IF($B547=0,"",IF(Inputs!$B$9="","",IF($AG547=0,F546,SUMIFS(Data!$N$10:$N$3209,Data!$M$10:$M$3209,"&gt;="&amp;$A547,Data!$M$10:$M$3209,"&lt;"&amp;$A547+1)/$AG547)))</f>
        <v/>
      </c>
      <c r="G547" s="56">
        <f>IF($B547=0,"",IF(Inputs!$B$10="","",IF($AH547=0,G546,SUMIFS(Data!$R$10:$R$3209,Data!$Q$10:$Q$3209,"&gt;="&amp;$A547,Data!$Q$10:$Q$3209,"&lt;"&amp;$A547+1)/$AH547)))</f>
        <v/>
      </c>
      <c r="I547" s="54">
        <f>IF($B547=0,NA(),IF($C547="",NA(),IF(C$8="",NA(),IF(N(C$8)=0,NA(),IF(Inputs!$C$17="Rebased to 100",$C547/C$8*100,$C547)))))</f>
        <v/>
      </c>
      <c r="J547" s="54">
        <f>IF($B547=0,NA(),IF($D547="",NA(),IF(D$8="",NA(),IF(N(D$8)=0,NA(),IF(Inputs!$C$17="Rebased to 100",$D547/D$8*100,$D547)))))</f>
        <v/>
      </c>
      <c r="K547" s="54">
        <f>IF($B547=0,NA(),IF($E547="",NA(),IF(E$8="",NA(),IF(N(E$8)=0,NA(),IF(Inputs!$C$17="Rebased to 100",$E547/E$8*100,$E547)))))</f>
        <v/>
      </c>
      <c r="L547" s="54">
        <f>IF($B547=0,NA(),IF($F547="",NA(),IF(F$8="",NA(),IF(N(F$8)=0,NA(),IF(Inputs!$C$17="Rebased to 100",$F547/F$8*100,$F547)))))</f>
        <v/>
      </c>
      <c r="M547" s="54">
        <f>IF($B547=0,NA(),IF($G547="",NA(),IF(G$8="",NA(),IF(N(G$8)=0,NA(),IF(Inputs!$C$17="Rebased to 100",$G547/G$8*100,$G547)))))</f>
        <v/>
      </c>
      <c r="N547" s="54">
        <f>IF($B547=0,NA(),IF(Inputs!$C$18&lt;&gt;"Yes",NA(),IF(COUNT(I547,J547,K547,L547,M547)=0,NA(),MIN(I547,J547,K547,L547,M547))))</f>
        <v/>
      </c>
      <c r="O547" s="54">
        <f>IF($B547=0,NA(),IF(Inputs!$B$24&lt;&gt;"Yes",NA(),Inputs!$D$24*Inputs!$C$35))</f>
        <v/>
      </c>
      <c r="P547" s="54">
        <f>IF($B547=0,NA(),IF(Inputs!$B$25&lt;&gt;"Yes",NA(),Inputs!$D$25*Inputs!$C$35))</f>
        <v/>
      </c>
      <c r="Q547" s="54">
        <f>IF($B547=0,NA(),IF(Inputs!$B$26&lt;&gt;"Yes",NA(),Inputs!$D$26*Inputs!$C$35))</f>
        <v/>
      </c>
      <c r="R547" s="54">
        <f>IF($B547=0,NA(),IF(Inputs!$B$27&lt;&gt;"Yes",NA(),Inputs!$D$27*Inputs!$C$35))</f>
        <v/>
      </c>
      <c r="S547" s="54">
        <f>IF($B547=0,NA(),IF(Inputs!$B$28&lt;&gt;"Yes",NA(),Inputs!$D$28*Inputs!$C$35))</f>
        <v/>
      </c>
      <c r="T547" s="54">
        <f>IF($B547=0,NA(),IF(Inputs!$B$29&lt;&gt;"Yes",NA(),Inputs!$D$29*Inputs!$C$35))</f>
        <v/>
      </c>
      <c r="AD547">
        <f>IF($B547=0,0,IF(Inputs!$B$6="",0,COUNTIFS(Data!$A$10:$A$3209,"&gt;="&amp;$A547,Data!$A$10:$A$3209,"&lt;"&amp;$A547+1)))</f>
        <v/>
      </c>
      <c r="AE547">
        <f>IF($B547=0,0,IF(Inputs!$B$7="",0,COUNTIFS(Data!$E$10:$E$3209,"&gt;="&amp;$A547,Data!$E$10:$E$3209,"&lt;"&amp;$A547+1)))</f>
        <v/>
      </c>
      <c r="AF547">
        <f>IF($B547=0,0,IF(Inputs!$B$8="",0,COUNTIFS(Data!$I$10:$I$3209,"&gt;="&amp;$A547,Data!$I$10:$I$3209,"&lt;"&amp;$A547+1)))</f>
        <v/>
      </c>
      <c r="AG547">
        <f>IF($B547=0,0,IF(Inputs!$B$9="",0,COUNTIFS(Data!$M$10:$M$3209,"&gt;="&amp;$A547,Data!$M$10:$M$3209,"&lt;"&amp;$A547+1)))</f>
        <v/>
      </c>
      <c r="AH547">
        <f>IF($B547=0,0,IF(Inputs!$B$10="",0,COUNTIFS(Data!$Q$10:$Q$3209,"&gt;="&amp;$A547,Data!$Q$10:$Q$3209,"&lt;"&amp;$A547+1)))</f>
        <v/>
      </c>
    </row>
    <row r="548">
      <c r="A548" s="55">
        <f>MIN(Inputs!$C$15,$A547+IF(WEEKDAY($A547,2)=5,3,1))</f>
        <v/>
      </c>
      <c r="B548">
        <f>IF($A548&gt;$A547,1,0)</f>
        <v/>
      </c>
      <c r="C548" s="56">
        <f>IF($B548=0,"",IF(Inputs!$B$6="","",IF($AD548=0,C547,SUMIFS(Data!$B$10:$B$3209,Data!$A$10:$A$3209,"&gt;="&amp;$A548,Data!$A$10:$A$3209,"&lt;"&amp;$A548+1)/$AD548)))</f>
        <v/>
      </c>
      <c r="D548" s="56">
        <f>IF($B548=0,"",IF(Inputs!$B$7="","",IF($AE548=0,D547,SUMIFS(Data!$F$10:$F$3209,Data!$E$10:$E$3209,"&gt;="&amp;$A548,Data!$E$10:$E$3209,"&lt;"&amp;$A548+1)/$AE548)))</f>
        <v/>
      </c>
      <c r="E548" s="56">
        <f>IF($B548=0,"",IF(Inputs!$B$8="","",IF($AF548=0,E547,SUMIFS(Data!$J$10:$J$3209,Data!$I$10:$I$3209,"&gt;="&amp;$A548,Data!$I$10:$I$3209,"&lt;"&amp;$A548+1)/$AF548)))</f>
        <v/>
      </c>
      <c r="F548" s="56">
        <f>IF($B548=0,"",IF(Inputs!$B$9="","",IF($AG548=0,F547,SUMIFS(Data!$N$10:$N$3209,Data!$M$10:$M$3209,"&gt;="&amp;$A548,Data!$M$10:$M$3209,"&lt;"&amp;$A548+1)/$AG548)))</f>
        <v/>
      </c>
      <c r="G548" s="56">
        <f>IF($B548=0,"",IF(Inputs!$B$10="","",IF($AH548=0,G547,SUMIFS(Data!$R$10:$R$3209,Data!$Q$10:$Q$3209,"&gt;="&amp;$A548,Data!$Q$10:$Q$3209,"&lt;"&amp;$A548+1)/$AH548)))</f>
        <v/>
      </c>
      <c r="I548" s="54">
        <f>IF($B548=0,NA(),IF($C548="",NA(),IF(C$8="",NA(),IF(N(C$8)=0,NA(),IF(Inputs!$C$17="Rebased to 100",$C548/C$8*100,$C548)))))</f>
        <v/>
      </c>
      <c r="J548" s="54">
        <f>IF($B548=0,NA(),IF($D548="",NA(),IF(D$8="",NA(),IF(N(D$8)=0,NA(),IF(Inputs!$C$17="Rebased to 100",$D548/D$8*100,$D548)))))</f>
        <v/>
      </c>
      <c r="K548" s="54">
        <f>IF($B548=0,NA(),IF($E548="",NA(),IF(E$8="",NA(),IF(N(E$8)=0,NA(),IF(Inputs!$C$17="Rebased to 100",$E548/E$8*100,$E548)))))</f>
        <v/>
      </c>
      <c r="L548" s="54">
        <f>IF($B548=0,NA(),IF($F548="",NA(),IF(F$8="",NA(),IF(N(F$8)=0,NA(),IF(Inputs!$C$17="Rebased to 100",$F548/F$8*100,$F548)))))</f>
        <v/>
      </c>
      <c r="M548" s="54">
        <f>IF($B548=0,NA(),IF($G548="",NA(),IF(G$8="",NA(),IF(N(G$8)=0,NA(),IF(Inputs!$C$17="Rebased to 100",$G548/G$8*100,$G548)))))</f>
        <v/>
      </c>
      <c r="N548" s="54">
        <f>IF($B548=0,NA(),IF(Inputs!$C$18&lt;&gt;"Yes",NA(),IF(COUNT(I548,J548,K548,L548,M548)=0,NA(),MIN(I548,J548,K548,L548,M548))))</f>
        <v/>
      </c>
      <c r="O548" s="54">
        <f>IF($B548=0,NA(),IF(Inputs!$B$24&lt;&gt;"Yes",NA(),Inputs!$D$24*Inputs!$C$35))</f>
        <v/>
      </c>
      <c r="P548" s="54">
        <f>IF($B548=0,NA(),IF(Inputs!$B$25&lt;&gt;"Yes",NA(),Inputs!$D$25*Inputs!$C$35))</f>
        <v/>
      </c>
      <c r="Q548" s="54">
        <f>IF($B548=0,NA(),IF(Inputs!$B$26&lt;&gt;"Yes",NA(),Inputs!$D$26*Inputs!$C$35))</f>
        <v/>
      </c>
      <c r="R548" s="54">
        <f>IF($B548=0,NA(),IF(Inputs!$B$27&lt;&gt;"Yes",NA(),Inputs!$D$27*Inputs!$C$35))</f>
        <v/>
      </c>
      <c r="S548" s="54">
        <f>IF($B548=0,NA(),IF(Inputs!$B$28&lt;&gt;"Yes",NA(),Inputs!$D$28*Inputs!$C$35))</f>
        <v/>
      </c>
      <c r="T548" s="54">
        <f>IF($B548=0,NA(),IF(Inputs!$B$29&lt;&gt;"Yes",NA(),Inputs!$D$29*Inputs!$C$35))</f>
        <v/>
      </c>
      <c r="AD548">
        <f>IF($B548=0,0,IF(Inputs!$B$6="",0,COUNTIFS(Data!$A$10:$A$3209,"&gt;="&amp;$A548,Data!$A$10:$A$3209,"&lt;"&amp;$A548+1)))</f>
        <v/>
      </c>
      <c r="AE548">
        <f>IF($B548=0,0,IF(Inputs!$B$7="",0,COUNTIFS(Data!$E$10:$E$3209,"&gt;="&amp;$A548,Data!$E$10:$E$3209,"&lt;"&amp;$A548+1)))</f>
        <v/>
      </c>
      <c r="AF548">
        <f>IF($B548=0,0,IF(Inputs!$B$8="",0,COUNTIFS(Data!$I$10:$I$3209,"&gt;="&amp;$A548,Data!$I$10:$I$3209,"&lt;"&amp;$A548+1)))</f>
        <v/>
      </c>
      <c r="AG548">
        <f>IF($B548=0,0,IF(Inputs!$B$9="",0,COUNTIFS(Data!$M$10:$M$3209,"&gt;="&amp;$A548,Data!$M$10:$M$3209,"&lt;"&amp;$A548+1)))</f>
        <v/>
      </c>
      <c r="AH548">
        <f>IF($B548=0,0,IF(Inputs!$B$10="",0,COUNTIFS(Data!$Q$10:$Q$3209,"&gt;="&amp;$A548,Data!$Q$10:$Q$3209,"&lt;"&amp;$A548+1)))</f>
        <v/>
      </c>
    </row>
    <row r="549">
      <c r="A549" s="55">
        <f>MIN(Inputs!$C$15,$A548+IF(WEEKDAY($A548,2)=5,3,1))</f>
        <v/>
      </c>
      <c r="B549">
        <f>IF($A549&gt;$A548,1,0)</f>
        <v/>
      </c>
      <c r="C549" s="56">
        <f>IF($B549=0,"",IF(Inputs!$B$6="","",IF($AD549=0,C548,SUMIFS(Data!$B$10:$B$3209,Data!$A$10:$A$3209,"&gt;="&amp;$A549,Data!$A$10:$A$3209,"&lt;"&amp;$A549+1)/$AD549)))</f>
        <v/>
      </c>
      <c r="D549" s="56">
        <f>IF($B549=0,"",IF(Inputs!$B$7="","",IF($AE549=0,D548,SUMIFS(Data!$F$10:$F$3209,Data!$E$10:$E$3209,"&gt;="&amp;$A549,Data!$E$10:$E$3209,"&lt;"&amp;$A549+1)/$AE549)))</f>
        <v/>
      </c>
      <c r="E549" s="56">
        <f>IF($B549=0,"",IF(Inputs!$B$8="","",IF($AF549=0,E548,SUMIFS(Data!$J$10:$J$3209,Data!$I$10:$I$3209,"&gt;="&amp;$A549,Data!$I$10:$I$3209,"&lt;"&amp;$A549+1)/$AF549)))</f>
        <v/>
      </c>
      <c r="F549" s="56">
        <f>IF($B549=0,"",IF(Inputs!$B$9="","",IF($AG549=0,F548,SUMIFS(Data!$N$10:$N$3209,Data!$M$10:$M$3209,"&gt;="&amp;$A549,Data!$M$10:$M$3209,"&lt;"&amp;$A549+1)/$AG549)))</f>
        <v/>
      </c>
      <c r="G549" s="56">
        <f>IF($B549=0,"",IF(Inputs!$B$10="","",IF($AH549=0,G548,SUMIFS(Data!$R$10:$R$3209,Data!$Q$10:$Q$3209,"&gt;="&amp;$A549,Data!$Q$10:$Q$3209,"&lt;"&amp;$A549+1)/$AH549)))</f>
        <v/>
      </c>
      <c r="I549" s="54">
        <f>IF($B549=0,NA(),IF($C549="",NA(),IF(C$8="",NA(),IF(N(C$8)=0,NA(),IF(Inputs!$C$17="Rebased to 100",$C549/C$8*100,$C549)))))</f>
        <v/>
      </c>
      <c r="J549" s="54">
        <f>IF($B549=0,NA(),IF($D549="",NA(),IF(D$8="",NA(),IF(N(D$8)=0,NA(),IF(Inputs!$C$17="Rebased to 100",$D549/D$8*100,$D549)))))</f>
        <v/>
      </c>
      <c r="K549" s="54">
        <f>IF($B549=0,NA(),IF($E549="",NA(),IF(E$8="",NA(),IF(N(E$8)=0,NA(),IF(Inputs!$C$17="Rebased to 100",$E549/E$8*100,$E549)))))</f>
        <v/>
      </c>
      <c r="L549" s="54">
        <f>IF($B549=0,NA(),IF($F549="",NA(),IF(F$8="",NA(),IF(N(F$8)=0,NA(),IF(Inputs!$C$17="Rebased to 100",$F549/F$8*100,$F549)))))</f>
        <v/>
      </c>
      <c r="M549" s="54">
        <f>IF($B549=0,NA(),IF($G549="",NA(),IF(G$8="",NA(),IF(N(G$8)=0,NA(),IF(Inputs!$C$17="Rebased to 100",$G549/G$8*100,$G549)))))</f>
        <v/>
      </c>
      <c r="N549" s="54">
        <f>IF($B549=0,NA(),IF(Inputs!$C$18&lt;&gt;"Yes",NA(),IF(COUNT(I549,J549,K549,L549,M549)=0,NA(),MIN(I549,J549,K549,L549,M549))))</f>
        <v/>
      </c>
      <c r="O549" s="54">
        <f>IF($B549=0,NA(),IF(Inputs!$B$24&lt;&gt;"Yes",NA(),Inputs!$D$24*Inputs!$C$35))</f>
        <v/>
      </c>
      <c r="P549" s="54">
        <f>IF($B549=0,NA(),IF(Inputs!$B$25&lt;&gt;"Yes",NA(),Inputs!$D$25*Inputs!$C$35))</f>
        <v/>
      </c>
      <c r="Q549" s="54">
        <f>IF($B549=0,NA(),IF(Inputs!$B$26&lt;&gt;"Yes",NA(),Inputs!$D$26*Inputs!$C$35))</f>
        <v/>
      </c>
      <c r="R549" s="54">
        <f>IF($B549=0,NA(),IF(Inputs!$B$27&lt;&gt;"Yes",NA(),Inputs!$D$27*Inputs!$C$35))</f>
        <v/>
      </c>
      <c r="S549" s="54">
        <f>IF($B549=0,NA(),IF(Inputs!$B$28&lt;&gt;"Yes",NA(),Inputs!$D$28*Inputs!$C$35))</f>
        <v/>
      </c>
      <c r="T549" s="54">
        <f>IF($B549=0,NA(),IF(Inputs!$B$29&lt;&gt;"Yes",NA(),Inputs!$D$29*Inputs!$C$35))</f>
        <v/>
      </c>
      <c r="AD549">
        <f>IF($B549=0,0,IF(Inputs!$B$6="",0,COUNTIFS(Data!$A$10:$A$3209,"&gt;="&amp;$A549,Data!$A$10:$A$3209,"&lt;"&amp;$A549+1)))</f>
        <v/>
      </c>
      <c r="AE549">
        <f>IF($B549=0,0,IF(Inputs!$B$7="",0,COUNTIFS(Data!$E$10:$E$3209,"&gt;="&amp;$A549,Data!$E$10:$E$3209,"&lt;"&amp;$A549+1)))</f>
        <v/>
      </c>
      <c r="AF549">
        <f>IF($B549=0,0,IF(Inputs!$B$8="",0,COUNTIFS(Data!$I$10:$I$3209,"&gt;="&amp;$A549,Data!$I$10:$I$3209,"&lt;"&amp;$A549+1)))</f>
        <v/>
      </c>
      <c r="AG549">
        <f>IF($B549=0,0,IF(Inputs!$B$9="",0,COUNTIFS(Data!$M$10:$M$3209,"&gt;="&amp;$A549,Data!$M$10:$M$3209,"&lt;"&amp;$A549+1)))</f>
        <v/>
      </c>
      <c r="AH549">
        <f>IF($B549=0,0,IF(Inputs!$B$10="",0,COUNTIFS(Data!$Q$10:$Q$3209,"&gt;="&amp;$A549,Data!$Q$10:$Q$3209,"&lt;"&amp;$A549+1)))</f>
        <v/>
      </c>
    </row>
    <row r="550">
      <c r="A550" s="55">
        <f>MIN(Inputs!$C$15,$A549+IF(WEEKDAY($A549,2)=5,3,1))</f>
        <v/>
      </c>
      <c r="B550">
        <f>IF($A550&gt;$A549,1,0)</f>
        <v/>
      </c>
      <c r="C550" s="56">
        <f>IF($B550=0,"",IF(Inputs!$B$6="","",IF($AD550=0,C549,SUMIFS(Data!$B$10:$B$3209,Data!$A$10:$A$3209,"&gt;="&amp;$A550,Data!$A$10:$A$3209,"&lt;"&amp;$A550+1)/$AD550)))</f>
        <v/>
      </c>
      <c r="D550" s="56">
        <f>IF($B550=0,"",IF(Inputs!$B$7="","",IF($AE550=0,D549,SUMIFS(Data!$F$10:$F$3209,Data!$E$10:$E$3209,"&gt;="&amp;$A550,Data!$E$10:$E$3209,"&lt;"&amp;$A550+1)/$AE550)))</f>
        <v/>
      </c>
      <c r="E550" s="56">
        <f>IF($B550=0,"",IF(Inputs!$B$8="","",IF($AF550=0,E549,SUMIFS(Data!$J$10:$J$3209,Data!$I$10:$I$3209,"&gt;="&amp;$A550,Data!$I$10:$I$3209,"&lt;"&amp;$A550+1)/$AF550)))</f>
        <v/>
      </c>
      <c r="F550" s="56">
        <f>IF($B550=0,"",IF(Inputs!$B$9="","",IF($AG550=0,F549,SUMIFS(Data!$N$10:$N$3209,Data!$M$10:$M$3209,"&gt;="&amp;$A550,Data!$M$10:$M$3209,"&lt;"&amp;$A550+1)/$AG550)))</f>
        <v/>
      </c>
      <c r="G550" s="56">
        <f>IF($B550=0,"",IF(Inputs!$B$10="","",IF($AH550=0,G549,SUMIFS(Data!$R$10:$R$3209,Data!$Q$10:$Q$3209,"&gt;="&amp;$A550,Data!$Q$10:$Q$3209,"&lt;"&amp;$A550+1)/$AH550)))</f>
        <v/>
      </c>
      <c r="I550" s="54">
        <f>IF($B550=0,NA(),IF($C550="",NA(),IF(C$8="",NA(),IF(N(C$8)=0,NA(),IF(Inputs!$C$17="Rebased to 100",$C550/C$8*100,$C550)))))</f>
        <v/>
      </c>
      <c r="J550" s="54">
        <f>IF($B550=0,NA(),IF($D550="",NA(),IF(D$8="",NA(),IF(N(D$8)=0,NA(),IF(Inputs!$C$17="Rebased to 100",$D550/D$8*100,$D550)))))</f>
        <v/>
      </c>
      <c r="K550" s="54">
        <f>IF($B550=0,NA(),IF($E550="",NA(),IF(E$8="",NA(),IF(N(E$8)=0,NA(),IF(Inputs!$C$17="Rebased to 100",$E550/E$8*100,$E550)))))</f>
        <v/>
      </c>
      <c r="L550" s="54">
        <f>IF($B550=0,NA(),IF($F550="",NA(),IF(F$8="",NA(),IF(N(F$8)=0,NA(),IF(Inputs!$C$17="Rebased to 100",$F550/F$8*100,$F550)))))</f>
        <v/>
      </c>
      <c r="M550" s="54">
        <f>IF($B550=0,NA(),IF($G550="",NA(),IF(G$8="",NA(),IF(N(G$8)=0,NA(),IF(Inputs!$C$17="Rebased to 100",$G550/G$8*100,$G550)))))</f>
        <v/>
      </c>
      <c r="N550" s="54">
        <f>IF($B550=0,NA(),IF(Inputs!$C$18&lt;&gt;"Yes",NA(),IF(COUNT(I550,J550,K550,L550,M550)=0,NA(),MIN(I550,J550,K550,L550,M550))))</f>
        <v/>
      </c>
      <c r="O550" s="54">
        <f>IF($B550=0,NA(),IF(Inputs!$B$24&lt;&gt;"Yes",NA(),Inputs!$D$24*Inputs!$C$35))</f>
        <v/>
      </c>
      <c r="P550" s="54">
        <f>IF($B550=0,NA(),IF(Inputs!$B$25&lt;&gt;"Yes",NA(),Inputs!$D$25*Inputs!$C$35))</f>
        <v/>
      </c>
      <c r="Q550" s="54">
        <f>IF($B550=0,NA(),IF(Inputs!$B$26&lt;&gt;"Yes",NA(),Inputs!$D$26*Inputs!$C$35))</f>
        <v/>
      </c>
      <c r="R550" s="54">
        <f>IF($B550=0,NA(),IF(Inputs!$B$27&lt;&gt;"Yes",NA(),Inputs!$D$27*Inputs!$C$35))</f>
        <v/>
      </c>
      <c r="S550" s="54">
        <f>IF($B550=0,NA(),IF(Inputs!$B$28&lt;&gt;"Yes",NA(),Inputs!$D$28*Inputs!$C$35))</f>
        <v/>
      </c>
      <c r="T550" s="54">
        <f>IF($B550=0,NA(),IF(Inputs!$B$29&lt;&gt;"Yes",NA(),Inputs!$D$29*Inputs!$C$35))</f>
        <v/>
      </c>
      <c r="AD550">
        <f>IF($B550=0,0,IF(Inputs!$B$6="",0,COUNTIFS(Data!$A$10:$A$3209,"&gt;="&amp;$A550,Data!$A$10:$A$3209,"&lt;"&amp;$A550+1)))</f>
        <v/>
      </c>
      <c r="AE550">
        <f>IF($B550=0,0,IF(Inputs!$B$7="",0,COUNTIFS(Data!$E$10:$E$3209,"&gt;="&amp;$A550,Data!$E$10:$E$3209,"&lt;"&amp;$A550+1)))</f>
        <v/>
      </c>
      <c r="AF550">
        <f>IF($B550=0,0,IF(Inputs!$B$8="",0,COUNTIFS(Data!$I$10:$I$3209,"&gt;="&amp;$A550,Data!$I$10:$I$3209,"&lt;"&amp;$A550+1)))</f>
        <v/>
      </c>
      <c r="AG550">
        <f>IF($B550=0,0,IF(Inputs!$B$9="",0,COUNTIFS(Data!$M$10:$M$3209,"&gt;="&amp;$A550,Data!$M$10:$M$3209,"&lt;"&amp;$A550+1)))</f>
        <v/>
      </c>
      <c r="AH550">
        <f>IF($B550=0,0,IF(Inputs!$B$10="",0,COUNTIFS(Data!$Q$10:$Q$3209,"&gt;="&amp;$A550,Data!$Q$10:$Q$3209,"&lt;"&amp;$A550+1)))</f>
        <v/>
      </c>
    </row>
    <row r="551">
      <c r="A551" s="55">
        <f>MIN(Inputs!$C$15,$A550+IF(WEEKDAY($A550,2)=5,3,1))</f>
        <v/>
      </c>
      <c r="B551">
        <f>IF($A551&gt;$A550,1,0)</f>
        <v/>
      </c>
      <c r="C551" s="56">
        <f>IF($B551=0,"",IF(Inputs!$B$6="","",IF($AD551=0,C550,SUMIFS(Data!$B$10:$B$3209,Data!$A$10:$A$3209,"&gt;="&amp;$A551,Data!$A$10:$A$3209,"&lt;"&amp;$A551+1)/$AD551)))</f>
        <v/>
      </c>
      <c r="D551" s="56">
        <f>IF($B551=0,"",IF(Inputs!$B$7="","",IF($AE551=0,D550,SUMIFS(Data!$F$10:$F$3209,Data!$E$10:$E$3209,"&gt;="&amp;$A551,Data!$E$10:$E$3209,"&lt;"&amp;$A551+1)/$AE551)))</f>
        <v/>
      </c>
      <c r="E551" s="56">
        <f>IF($B551=0,"",IF(Inputs!$B$8="","",IF($AF551=0,E550,SUMIFS(Data!$J$10:$J$3209,Data!$I$10:$I$3209,"&gt;="&amp;$A551,Data!$I$10:$I$3209,"&lt;"&amp;$A551+1)/$AF551)))</f>
        <v/>
      </c>
      <c r="F551" s="56">
        <f>IF($B551=0,"",IF(Inputs!$B$9="","",IF($AG551=0,F550,SUMIFS(Data!$N$10:$N$3209,Data!$M$10:$M$3209,"&gt;="&amp;$A551,Data!$M$10:$M$3209,"&lt;"&amp;$A551+1)/$AG551)))</f>
        <v/>
      </c>
      <c r="G551" s="56">
        <f>IF($B551=0,"",IF(Inputs!$B$10="","",IF($AH551=0,G550,SUMIFS(Data!$R$10:$R$3209,Data!$Q$10:$Q$3209,"&gt;="&amp;$A551,Data!$Q$10:$Q$3209,"&lt;"&amp;$A551+1)/$AH551)))</f>
        <v/>
      </c>
      <c r="I551" s="54">
        <f>IF($B551=0,NA(),IF($C551="",NA(),IF(C$8="",NA(),IF(N(C$8)=0,NA(),IF(Inputs!$C$17="Rebased to 100",$C551/C$8*100,$C551)))))</f>
        <v/>
      </c>
      <c r="J551" s="54">
        <f>IF($B551=0,NA(),IF($D551="",NA(),IF(D$8="",NA(),IF(N(D$8)=0,NA(),IF(Inputs!$C$17="Rebased to 100",$D551/D$8*100,$D551)))))</f>
        <v/>
      </c>
      <c r="K551" s="54">
        <f>IF($B551=0,NA(),IF($E551="",NA(),IF(E$8="",NA(),IF(N(E$8)=0,NA(),IF(Inputs!$C$17="Rebased to 100",$E551/E$8*100,$E551)))))</f>
        <v/>
      </c>
      <c r="L551" s="54">
        <f>IF($B551=0,NA(),IF($F551="",NA(),IF(F$8="",NA(),IF(N(F$8)=0,NA(),IF(Inputs!$C$17="Rebased to 100",$F551/F$8*100,$F551)))))</f>
        <v/>
      </c>
      <c r="M551" s="54">
        <f>IF($B551=0,NA(),IF($G551="",NA(),IF(G$8="",NA(),IF(N(G$8)=0,NA(),IF(Inputs!$C$17="Rebased to 100",$G551/G$8*100,$G551)))))</f>
        <v/>
      </c>
      <c r="N551" s="54">
        <f>IF($B551=0,NA(),IF(Inputs!$C$18&lt;&gt;"Yes",NA(),IF(COUNT(I551,J551,K551,L551,M551)=0,NA(),MIN(I551,J551,K551,L551,M551))))</f>
        <v/>
      </c>
      <c r="O551" s="54">
        <f>IF($B551=0,NA(),IF(Inputs!$B$24&lt;&gt;"Yes",NA(),Inputs!$D$24*Inputs!$C$35))</f>
        <v/>
      </c>
      <c r="P551" s="54">
        <f>IF($B551=0,NA(),IF(Inputs!$B$25&lt;&gt;"Yes",NA(),Inputs!$D$25*Inputs!$C$35))</f>
        <v/>
      </c>
      <c r="Q551" s="54">
        <f>IF($B551=0,NA(),IF(Inputs!$B$26&lt;&gt;"Yes",NA(),Inputs!$D$26*Inputs!$C$35))</f>
        <v/>
      </c>
      <c r="R551" s="54">
        <f>IF($B551=0,NA(),IF(Inputs!$B$27&lt;&gt;"Yes",NA(),Inputs!$D$27*Inputs!$C$35))</f>
        <v/>
      </c>
      <c r="S551" s="54">
        <f>IF($B551=0,NA(),IF(Inputs!$B$28&lt;&gt;"Yes",NA(),Inputs!$D$28*Inputs!$C$35))</f>
        <v/>
      </c>
      <c r="T551" s="54">
        <f>IF($B551=0,NA(),IF(Inputs!$B$29&lt;&gt;"Yes",NA(),Inputs!$D$29*Inputs!$C$35))</f>
        <v/>
      </c>
      <c r="AD551">
        <f>IF($B551=0,0,IF(Inputs!$B$6="",0,COUNTIFS(Data!$A$10:$A$3209,"&gt;="&amp;$A551,Data!$A$10:$A$3209,"&lt;"&amp;$A551+1)))</f>
        <v/>
      </c>
      <c r="AE551">
        <f>IF($B551=0,0,IF(Inputs!$B$7="",0,COUNTIFS(Data!$E$10:$E$3209,"&gt;="&amp;$A551,Data!$E$10:$E$3209,"&lt;"&amp;$A551+1)))</f>
        <v/>
      </c>
      <c r="AF551">
        <f>IF($B551=0,0,IF(Inputs!$B$8="",0,COUNTIFS(Data!$I$10:$I$3209,"&gt;="&amp;$A551,Data!$I$10:$I$3209,"&lt;"&amp;$A551+1)))</f>
        <v/>
      </c>
      <c r="AG551">
        <f>IF($B551=0,0,IF(Inputs!$B$9="",0,COUNTIFS(Data!$M$10:$M$3209,"&gt;="&amp;$A551,Data!$M$10:$M$3209,"&lt;"&amp;$A551+1)))</f>
        <v/>
      </c>
      <c r="AH551">
        <f>IF($B551=0,0,IF(Inputs!$B$10="",0,COUNTIFS(Data!$Q$10:$Q$3209,"&gt;="&amp;$A551,Data!$Q$10:$Q$3209,"&lt;"&amp;$A551+1)))</f>
        <v/>
      </c>
    </row>
    <row r="552">
      <c r="A552" s="55">
        <f>MIN(Inputs!$C$15,$A551+IF(WEEKDAY($A551,2)=5,3,1))</f>
        <v/>
      </c>
      <c r="B552">
        <f>IF($A552&gt;$A551,1,0)</f>
        <v/>
      </c>
      <c r="C552" s="56">
        <f>IF($B552=0,"",IF(Inputs!$B$6="","",IF($AD552=0,C551,SUMIFS(Data!$B$10:$B$3209,Data!$A$10:$A$3209,"&gt;="&amp;$A552,Data!$A$10:$A$3209,"&lt;"&amp;$A552+1)/$AD552)))</f>
        <v/>
      </c>
      <c r="D552" s="56">
        <f>IF($B552=0,"",IF(Inputs!$B$7="","",IF($AE552=0,D551,SUMIFS(Data!$F$10:$F$3209,Data!$E$10:$E$3209,"&gt;="&amp;$A552,Data!$E$10:$E$3209,"&lt;"&amp;$A552+1)/$AE552)))</f>
        <v/>
      </c>
      <c r="E552" s="56">
        <f>IF($B552=0,"",IF(Inputs!$B$8="","",IF($AF552=0,E551,SUMIFS(Data!$J$10:$J$3209,Data!$I$10:$I$3209,"&gt;="&amp;$A552,Data!$I$10:$I$3209,"&lt;"&amp;$A552+1)/$AF552)))</f>
        <v/>
      </c>
      <c r="F552" s="56">
        <f>IF($B552=0,"",IF(Inputs!$B$9="","",IF($AG552=0,F551,SUMIFS(Data!$N$10:$N$3209,Data!$M$10:$M$3209,"&gt;="&amp;$A552,Data!$M$10:$M$3209,"&lt;"&amp;$A552+1)/$AG552)))</f>
        <v/>
      </c>
      <c r="G552" s="56">
        <f>IF($B552=0,"",IF(Inputs!$B$10="","",IF($AH552=0,G551,SUMIFS(Data!$R$10:$R$3209,Data!$Q$10:$Q$3209,"&gt;="&amp;$A552,Data!$Q$10:$Q$3209,"&lt;"&amp;$A552+1)/$AH552)))</f>
        <v/>
      </c>
      <c r="I552" s="54">
        <f>IF($B552=0,NA(),IF($C552="",NA(),IF(C$8="",NA(),IF(N(C$8)=0,NA(),IF(Inputs!$C$17="Rebased to 100",$C552/C$8*100,$C552)))))</f>
        <v/>
      </c>
      <c r="J552" s="54">
        <f>IF($B552=0,NA(),IF($D552="",NA(),IF(D$8="",NA(),IF(N(D$8)=0,NA(),IF(Inputs!$C$17="Rebased to 100",$D552/D$8*100,$D552)))))</f>
        <v/>
      </c>
      <c r="K552" s="54">
        <f>IF($B552=0,NA(),IF($E552="",NA(),IF(E$8="",NA(),IF(N(E$8)=0,NA(),IF(Inputs!$C$17="Rebased to 100",$E552/E$8*100,$E552)))))</f>
        <v/>
      </c>
      <c r="L552" s="54">
        <f>IF($B552=0,NA(),IF($F552="",NA(),IF(F$8="",NA(),IF(N(F$8)=0,NA(),IF(Inputs!$C$17="Rebased to 100",$F552/F$8*100,$F552)))))</f>
        <v/>
      </c>
      <c r="M552" s="54">
        <f>IF($B552=0,NA(),IF($G552="",NA(),IF(G$8="",NA(),IF(N(G$8)=0,NA(),IF(Inputs!$C$17="Rebased to 100",$G552/G$8*100,$G552)))))</f>
        <v/>
      </c>
      <c r="N552" s="54">
        <f>IF($B552=0,NA(),IF(Inputs!$C$18&lt;&gt;"Yes",NA(),IF(COUNT(I552,J552,K552,L552,M552)=0,NA(),MIN(I552,J552,K552,L552,M552))))</f>
        <v/>
      </c>
      <c r="O552" s="54">
        <f>IF($B552=0,NA(),IF(Inputs!$B$24&lt;&gt;"Yes",NA(),Inputs!$D$24*Inputs!$C$35))</f>
        <v/>
      </c>
      <c r="P552" s="54">
        <f>IF($B552=0,NA(),IF(Inputs!$B$25&lt;&gt;"Yes",NA(),Inputs!$D$25*Inputs!$C$35))</f>
        <v/>
      </c>
      <c r="Q552" s="54">
        <f>IF($B552=0,NA(),IF(Inputs!$B$26&lt;&gt;"Yes",NA(),Inputs!$D$26*Inputs!$C$35))</f>
        <v/>
      </c>
      <c r="R552" s="54">
        <f>IF($B552=0,NA(),IF(Inputs!$B$27&lt;&gt;"Yes",NA(),Inputs!$D$27*Inputs!$C$35))</f>
        <v/>
      </c>
      <c r="S552" s="54">
        <f>IF($B552=0,NA(),IF(Inputs!$B$28&lt;&gt;"Yes",NA(),Inputs!$D$28*Inputs!$C$35))</f>
        <v/>
      </c>
      <c r="T552" s="54">
        <f>IF($B552=0,NA(),IF(Inputs!$B$29&lt;&gt;"Yes",NA(),Inputs!$D$29*Inputs!$C$35))</f>
        <v/>
      </c>
      <c r="AD552">
        <f>IF($B552=0,0,IF(Inputs!$B$6="",0,COUNTIFS(Data!$A$10:$A$3209,"&gt;="&amp;$A552,Data!$A$10:$A$3209,"&lt;"&amp;$A552+1)))</f>
        <v/>
      </c>
      <c r="AE552">
        <f>IF($B552=0,0,IF(Inputs!$B$7="",0,COUNTIFS(Data!$E$10:$E$3209,"&gt;="&amp;$A552,Data!$E$10:$E$3209,"&lt;"&amp;$A552+1)))</f>
        <v/>
      </c>
      <c r="AF552">
        <f>IF($B552=0,0,IF(Inputs!$B$8="",0,COUNTIFS(Data!$I$10:$I$3209,"&gt;="&amp;$A552,Data!$I$10:$I$3209,"&lt;"&amp;$A552+1)))</f>
        <v/>
      </c>
      <c r="AG552">
        <f>IF($B552=0,0,IF(Inputs!$B$9="",0,COUNTIFS(Data!$M$10:$M$3209,"&gt;="&amp;$A552,Data!$M$10:$M$3209,"&lt;"&amp;$A552+1)))</f>
        <v/>
      </c>
      <c r="AH552">
        <f>IF($B552=0,0,IF(Inputs!$B$10="",0,COUNTIFS(Data!$Q$10:$Q$3209,"&gt;="&amp;$A552,Data!$Q$10:$Q$3209,"&lt;"&amp;$A552+1)))</f>
        <v/>
      </c>
    </row>
    <row r="553">
      <c r="A553" s="55">
        <f>MIN(Inputs!$C$15,$A552+IF(WEEKDAY($A552,2)=5,3,1))</f>
        <v/>
      </c>
      <c r="B553">
        <f>IF($A553&gt;$A552,1,0)</f>
        <v/>
      </c>
      <c r="C553" s="56">
        <f>IF($B553=0,"",IF(Inputs!$B$6="","",IF($AD553=0,C552,SUMIFS(Data!$B$10:$B$3209,Data!$A$10:$A$3209,"&gt;="&amp;$A553,Data!$A$10:$A$3209,"&lt;"&amp;$A553+1)/$AD553)))</f>
        <v/>
      </c>
      <c r="D553" s="56">
        <f>IF($B553=0,"",IF(Inputs!$B$7="","",IF($AE553=0,D552,SUMIFS(Data!$F$10:$F$3209,Data!$E$10:$E$3209,"&gt;="&amp;$A553,Data!$E$10:$E$3209,"&lt;"&amp;$A553+1)/$AE553)))</f>
        <v/>
      </c>
      <c r="E553" s="56">
        <f>IF($B553=0,"",IF(Inputs!$B$8="","",IF($AF553=0,E552,SUMIFS(Data!$J$10:$J$3209,Data!$I$10:$I$3209,"&gt;="&amp;$A553,Data!$I$10:$I$3209,"&lt;"&amp;$A553+1)/$AF553)))</f>
        <v/>
      </c>
      <c r="F553" s="56">
        <f>IF($B553=0,"",IF(Inputs!$B$9="","",IF($AG553=0,F552,SUMIFS(Data!$N$10:$N$3209,Data!$M$10:$M$3209,"&gt;="&amp;$A553,Data!$M$10:$M$3209,"&lt;"&amp;$A553+1)/$AG553)))</f>
        <v/>
      </c>
      <c r="G553" s="56">
        <f>IF($B553=0,"",IF(Inputs!$B$10="","",IF($AH553=0,G552,SUMIFS(Data!$R$10:$R$3209,Data!$Q$10:$Q$3209,"&gt;="&amp;$A553,Data!$Q$10:$Q$3209,"&lt;"&amp;$A553+1)/$AH553)))</f>
        <v/>
      </c>
      <c r="I553" s="54">
        <f>IF($B553=0,NA(),IF($C553="",NA(),IF(C$8="",NA(),IF(N(C$8)=0,NA(),IF(Inputs!$C$17="Rebased to 100",$C553/C$8*100,$C553)))))</f>
        <v/>
      </c>
      <c r="J553" s="54">
        <f>IF($B553=0,NA(),IF($D553="",NA(),IF(D$8="",NA(),IF(N(D$8)=0,NA(),IF(Inputs!$C$17="Rebased to 100",$D553/D$8*100,$D553)))))</f>
        <v/>
      </c>
      <c r="K553" s="54">
        <f>IF($B553=0,NA(),IF($E553="",NA(),IF(E$8="",NA(),IF(N(E$8)=0,NA(),IF(Inputs!$C$17="Rebased to 100",$E553/E$8*100,$E553)))))</f>
        <v/>
      </c>
      <c r="L553" s="54">
        <f>IF($B553=0,NA(),IF($F553="",NA(),IF(F$8="",NA(),IF(N(F$8)=0,NA(),IF(Inputs!$C$17="Rebased to 100",$F553/F$8*100,$F553)))))</f>
        <v/>
      </c>
      <c r="M553" s="54">
        <f>IF($B553=0,NA(),IF($G553="",NA(),IF(G$8="",NA(),IF(N(G$8)=0,NA(),IF(Inputs!$C$17="Rebased to 100",$G553/G$8*100,$G553)))))</f>
        <v/>
      </c>
      <c r="N553" s="54">
        <f>IF($B553=0,NA(),IF(Inputs!$C$18&lt;&gt;"Yes",NA(),IF(COUNT(I553,J553,K553,L553,M553)=0,NA(),MIN(I553,J553,K553,L553,M553))))</f>
        <v/>
      </c>
      <c r="O553" s="54">
        <f>IF($B553=0,NA(),IF(Inputs!$B$24&lt;&gt;"Yes",NA(),Inputs!$D$24*Inputs!$C$35))</f>
        <v/>
      </c>
      <c r="P553" s="54">
        <f>IF($B553=0,NA(),IF(Inputs!$B$25&lt;&gt;"Yes",NA(),Inputs!$D$25*Inputs!$C$35))</f>
        <v/>
      </c>
      <c r="Q553" s="54">
        <f>IF($B553=0,NA(),IF(Inputs!$B$26&lt;&gt;"Yes",NA(),Inputs!$D$26*Inputs!$C$35))</f>
        <v/>
      </c>
      <c r="R553" s="54">
        <f>IF($B553=0,NA(),IF(Inputs!$B$27&lt;&gt;"Yes",NA(),Inputs!$D$27*Inputs!$C$35))</f>
        <v/>
      </c>
      <c r="S553" s="54">
        <f>IF($B553=0,NA(),IF(Inputs!$B$28&lt;&gt;"Yes",NA(),Inputs!$D$28*Inputs!$C$35))</f>
        <v/>
      </c>
      <c r="T553" s="54">
        <f>IF($B553=0,NA(),IF(Inputs!$B$29&lt;&gt;"Yes",NA(),Inputs!$D$29*Inputs!$C$35))</f>
        <v/>
      </c>
      <c r="AD553">
        <f>IF($B553=0,0,IF(Inputs!$B$6="",0,COUNTIFS(Data!$A$10:$A$3209,"&gt;="&amp;$A553,Data!$A$10:$A$3209,"&lt;"&amp;$A553+1)))</f>
        <v/>
      </c>
      <c r="AE553">
        <f>IF($B553=0,0,IF(Inputs!$B$7="",0,COUNTIFS(Data!$E$10:$E$3209,"&gt;="&amp;$A553,Data!$E$10:$E$3209,"&lt;"&amp;$A553+1)))</f>
        <v/>
      </c>
      <c r="AF553">
        <f>IF($B553=0,0,IF(Inputs!$B$8="",0,COUNTIFS(Data!$I$10:$I$3209,"&gt;="&amp;$A553,Data!$I$10:$I$3209,"&lt;"&amp;$A553+1)))</f>
        <v/>
      </c>
      <c r="AG553">
        <f>IF($B553=0,0,IF(Inputs!$B$9="",0,COUNTIFS(Data!$M$10:$M$3209,"&gt;="&amp;$A553,Data!$M$10:$M$3209,"&lt;"&amp;$A553+1)))</f>
        <v/>
      </c>
      <c r="AH553">
        <f>IF($B553=0,0,IF(Inputs!$B$10="",0,COUNTIFS(Data!$Q$10:$Q$3209,"&gt;="&amp;$A553,Data!$Q$10:$Q$3209,"&lt;"&amp;$A553+1)))</f>
        <v/>
      </c>
    </row>
    <row r="554">
      <c r="A554" s="55">
        <f>MIN(Inputs!$C$15,$A553+IF(WEEKDAY($A553,2)=5,3,1))</f>
        <v/>
      </c>
      <c r="B554">
        <f>IF($A554&gt;$A553,1,0)</f>
        <v/>
      </c>
      <c r="C554" s="56">
        <f>IF($B554=0,"",IF(Inputs!$B$6="","",IF($AD554=0,C553,SUMIFS(Data!$B$10:$B$3209,Data!$A$10:$A$3209,"&gt;="&amp;$A554,Data!$A$10:$A$3209,"&lt;"&amp;$A554+1)/$AD554)))</f>
        <v/>
      </c>
      <c r="D554" s="56">
        <f>IF($B554=0,"",IF(Inputs!$B$7="","",IF($AE554=0,D553,SUMIFS(Data!$F$10:$F$3209,Data!$E$10:$E$3209,"&gt;="&amp;$A554,Data!$E$10:$E$3209,"&lt;"&amp;$A554+1)/$AE554)))</f>
        <v/>
      </c>
      <c r="E554" s="56">
        <f>IF($B554=0,"",IF(Inputs!$B$8="","",IF($AF554=0,E553,SUMIFS(Data!$J$10:$J$3209,Data!$I$10:$I$3209,"&gt;="&amp;$A554,Data!$I$10:$I$3209,"&lt;"&amp;$A554+1)/$AF554)))</f>
        <v/>
      </c>
      <c r="F554" s="56">
        <f>IF($B554=0,"",IF(Inputs!$B$9="","",IF($AG554=0,F553,SUMIFS(Data!$N$10:$N$3209,Data!$M$10:$M$3209,"&gt;="&amp;$A554,Data!$M$10:$M$3209,"&lt;"&amp;$A554+1)/$AG554)))</f>
        <v/>
      </c>
      <c r="G554" s="56">
        <f>IF($B554=0,"",IF(Inputs!$B$10="","",IF($AH554=0,G553,SUMIFS(Data!$R$10:$R$3209,Data!$Q$10:$Q$3209,"&gt;="&amp;$A554,Data!$Q$10:$Q$3209,"&lt;"&amp;$A554+1)/$AH554)))</f>
        <v/>
      </c>
      <c r="I554" s="54">
        <f>IF($B554=0,NA(),IF($C554="",NA(),IF(C$8="",NA(),IF(N(C$8)=0,NA(),IF(Inputs!$C$17="Rebased to 100",$C554/C$8*100,$C554)))))</f>
        <v/>
      </c>
      <c r="J554" s="54">
        <f>IF($B554=0,NA(),IF($D554="",NA(),IF(D$8="",NA(),IF(N(D$8)=0,NA(),IF(Inputs!$C$17="Rebased to 100",$D554/D$8*100,$D554)))))</f>
        <v/>
      </c>
      <c r="K554" s="54">
        <f>IF($B554=0,NA(),IF($E554="",NA(),IF(E$8="",NA(),IF(N(E$8)=0,NA(),IF(Inputs!$C$17="Rebased to 100",$E554/E$8*100,$E554)))))</f>
        <v/>
      </c>
      <c r="L554" s="54">
        <f>IF($B554=0,NA(),IF($F554="",NA(),IF(F$8="",NA(),IF(N(F$8)=0,NA(),IF(Inputs!$C$17="Rebased to 100",$F554/F$8*100,$F554)))))</f>
        <v/>
      </c>
      <c r="M554" s="54">
        <f>IF($B554=0,NA(),IF($G554="",NA(),IF(G$8="",NA(),IF(N(G$8)=0,NA(),IF(Inputs!$C$17="Rebased to 100",$G554/G$8*100,$G554)))))</f>
        <v/>
      </c>
      <c r="N554" s="54">
        <f>IF($B554=0,NA(),IF(Inputs!$C$18&lt;&gt;"Yes",NA(),IF(COUNT(I554,J554,K554,L554,M554)=0,NA(),MIN(I554,J554,K554,L554,M554))))</f>
        <v/>
      </c>
      <c r="O554" s="54">
        <f>IF($B554=0,NA(),IF(Inputs!$B$24&lt;&gt;"Yes",NA(),Inputs!$D$24*Inputs!$C$35))</f>
        <v/>
      </c>
      <c r="P554" s="54">
        <f>IF($B554=0,NA(),IF(Inputs!$B$25&lt;&gt;"Yes",NA(),Inputs!$D$25*Inputs!$C$35))</f>
        <v/>
      </c>
      <c r="Q554" s="54">
        <f>IF($B554=0,NA(),IF(Inputs!$B$26&lt;&gt;"Yes",NA(),Inputs!$D$26*Inputs!$C$35))</f>
        <v/>
      </c>
      <c r="R554" s="54">
        <f>IF($B554=0,NA(),IF(Inputs!$B$27&lt;&gt;"Yes",NA(),Inputs!$D$27*Inputs!$C$35))</f>
        <v/>
      </c>
      <c r="S554" s="54">
        <f>IF($B554=0,NA(),IF(Inputs!$B$28&lt;&gt;"Yes",NA(),Inputs!$D$28*Inputs!$C$35))</f>
        <v/>
      </c>
      <c r="T554" s="54">
        <f>IF($B554=0,NA(),IF(Inputs!$B$29&lt;&gt;"Yes",NA(),Inputs!$D$29*Inputs!$C$35))</f>
        <v/>
      </c>
      <c r="AD554">
        <f>IF($B554=0,0,IF(Inputs!$B$6="",0,COUNTIFS(Data!$A$10:$A$3209,"&gt;="&amp;$A554,Data!$A$10:$A$3209,"&lt;"&amp;$A554+1)))</f>
        <v/>
      </c>
      <c r="AE554">
        <f>IF($B554=0,0,IF(Inputs!$B$7="",0,COUNTIFS(Data!$E$10:$E$3209,"&gt;="&amp;$A554,Data!$E$10:$E$3209,"&lt;"&amp;$A554+1)))</f>
        <v/>
      </c>
      <c r="AF554">
        <f>IF($B554=0,0,IF(Inputs!$B$8="",0,COUNTIFS(Data!$I$10:$I$3209,"&gt;="&amp;$A554,Data!$I$10:$I$3209,"&lt;"&amp;$A554+1)))</f>
        <v/>
      </c>
      <c r="AG554">
        <f>IF($B554=0,0,IF(Inputs!$B$9="",0,COUNTIFS(Data!$M$10:$M$3209,"&gt;="&amp;$A554,Data!$M$10:$M$3209,"&lt;"&amp;$A554+1)))</f>
        <v/>
      </c>
      <c r="AH554">
        <f>IF($B554=0,0,IF(Inputs!$B$10="",0,COUNTIFS(Data!$Q$10:$Q$3209,"&gt;="&amp;$A554,Data!$Q$10:$Q$3209,"&lt;"&amp;$A554+1)))</f>
        <v/>
      </c>
    </row>
    <row r="555">
      <c r="A555" s="55">
        <f>MIN(Inputs!$C$15,$A554+IF(WEEKDAY($A554,2)=5,3,1))</f>
        <v/>
      </c>
      <c r="B555">
        <f>IF($A555&gt;$A554,1,0)</f>
        <v/>
      </c>
      <c r="C555" s="56">
        <f>IF($B555=0,"",IF(Inputs!$B$6="","",IF($AD555=0,C554,SUMIFS(Data!$B$10:$B$3209,Data!$A$10:$A$3209,"&gt;="&amp;$A555,Data!$A$10:$A$3209,"&lt;"&amp;$A555+1)/$AD555)))</f>
        <v/>
      </c>
      <c r="D555" s="56">
        <f>IF($B555=0,"",IF(Inputs!$B$7="","",IF($AE555=0,D554,SUMIFS(Data!$F$10:$F$3209,Data!$E$10:$E$3209,"&gt;="&amp;$A555,Data!$E$10:$E$3209,"&lt;"&amp;$A555+1)/$AE555)))</f>
        <v/>
      </c>
      <c r="E555" s="56">
        <f>IF($B555=0,"",IF(Inputs!$B$8="","",IF($AF555=0,E554,SUMIFS(Data!$J$10:$J$3209,Data!$I$10:$I$3209,"&gt;="&amp;$A555,Data!$I$10:$I$3209,"&lt;"&amp;$A555+1)/$AF555)))</f>
        <v/>
      </c>
      <c r="F555" s="56">
        <f>IF($B555=0,"",IF(Inputs!$B$9="","",IF($AG555=0,F554,SUMIFS(Data!$N$10:$N$3209,Data!$M$10:$M$3209,"&gt;="&amp;$A555,Data!$M$10:$M$3209,"&lt;"&amp;$A555+1)/$AG555)))</f>
        <v/>
      </c>
      <c r="G555" s="56">
        <f>IF($B555=0,"",IF(Inputs!$B$10="","",IF($AH555=0,G554,SUMIFS(Data!$R$10:$R$3209,Data!$Q$10:$Q$3209,"&gt;="&amp;$A555,Data!$Q$10:$Q$3209,"&lt;"&amp;$A555+1)/$AH555)))</f>
        <v/>
      </c>
      <c r="I555" s="54">
        <f>IF($B555=0,NA(),IF($C555="",NA(),IF(C$8="",NA(),IF(N(C$8)=0,NA(),IF(Inputs!$C$17="Rebased to 100",$C555/C$8*100,$C555)))))</f>
        <v/>
      </c>
      <c r="J555" s="54">
        <f>IF($B555=0,NA(),IF($D555="",NA(),IF(D$8="",NA(),IF(N(D$8)=0,NA(),IF(Inputs!$C$17="Rebased to 100",$D555/D$8*100,$D555)))))</f>
        <v/>
      </c>
      <c r="K555" s="54">
        <f>IF($B555=0,NA(),IF($E555="",NA(),IF(E$8="",NA(),IF(N(E$8)=0,NA(),IF(Inputs!$C$17="Rebased to 100",$E555/E$8*100,$E555)))))</f>
        <v/>
      </c>
      <c r="L555" s="54">
        <f>IF($B555=0,NA(),IF($F555="",NA(),IF(F$8="",NA(),IF(N(F$8)=0,NA(),IF(Inputs!$C$17="Rebased to 100",$F555/F$8*100,$F555)))))</f>
        <v/>
      </c>
      <c r="M555" s="54">
        <f>IF($B555=0,NA(),IF($G555="",NA(),IF(G$8="",NA(),IF(N(G$8)=0,NA(),IF(Inputs!$C$17="Rebased to 100",$G555/G$8*100,$G555)))))</f>
        <v/>
      </c>
      <c r="N555" s="54">
        <f>IF($B555=0,NA(),IF(Inputs!$C$18&lt;&gt;"Yes",NA(),IF(COUNT(I555,J555,K555,L555,M555)=0,NA(),MIN(I555,J555,K555,L555,M555))))</f>
        <v/>
      </c>
      <c r="O555" s="54">
        <f>IF($B555=0,NA(),IF(Inputs!$B$24&lt;&gt;"Yes",NA(),Inputs!$D$24*Inputs!$C$35))</f>
        <v/>
      </c>
      <c r="P555" s="54">
        <f>IF($B555=0,NA(),IF(Inputs!$B$25&lt;&gt;"Yes",NA(),Inputs!$D$25*Inputs!$C$35))</f>
        <v/>
      </c>
      <c r="Q555" s="54">
        <f>IF($B555=0,NA(),IF(Inputs!$B$26&lt;&gt;"Yes",NA(),Inputs!$D$26*Inputs!$C$35))</f>
        <v/>
      </c>
      <c r="R555" s="54">
        <f>IF($B555=0,NA(),IF(Inputs!$B$27&lt;&gt;"Yes",NA(),Inputs!$D$27*Inputs!$C$35))</f>
        <v/>
      </c>
      <c r="S555" s="54">
        <f>IF($B555=0,NA(),IF(Inputs!$B$28&lt;&gt;"Yes",NA(),Inputs!$D$28*Inputs!$C$35))</f>
        <v/>
      </c>
      <c r="T555" s="54">
        <f>IF($B555=0,NA(),IF(Inputs!$B$29&lt;&gt;"Yes",NA(),Inputs!$D$29*Inputs!$C$35))</f>
        <v/>
      </c>
      <c r="AD555">
        <f>IF($B555=0,0,IF(Inputs!$B$6="",0,COUNTIFS(Data!$A$10:$A$3209,"&gt;="&amp;$A555,Data!$A$10:$A$3209,"&lt;"&amp;$A555+1)))</f>
        <v/>
      </c>
      <c r="AE555">
        <f>IF($B555=0,0,IF(Inputs!$B$7="",0,COUNTIFS(Data!$E$10:$E$3209,"&gt;="&amp;$A555,Data!$E$10:$E$3209,"&lt;"&amp;$A555+1)))</f>
        <v/>
      </c>
      <c r="AF555">
        <f>IF($B555=0,0,IF(Inputs!$B$8="",0,COUNTIFS(Data!$I$10:$I$3209,"&gt;="&amp;$A555,Data!$I$10:$I$3209,"&lt;"&amp;$A555+1)))</f>
        <v/>
      </c>
      <c r="AG555">
        <f>IF($B555=0,0,IF(Inputs!$B$9="",0,COUNTIFS(Data!$M$10:$M$3209,"&gt;="&amp;$A555,Data!$M$10:$M$3209,"&lt;"&amp;$A555+1)))</f>
        <v/>
      </c>
      <c r="AH555">
        <f>IF($B555=0,0,IF(Inputs!$B$10="",0,COUNTIFS(Data!$Q$10:$Q$3209,"&gt;="&amp;$A555,Data!$Q$10:$Q$3209,"&lt;"&amp;$A555+1)))</f>
        <v/>
      </c>
    </row>
    <row r="556">
      <c r="A556" s="55">
        <f>MIN(Inputs!$C$15,$A555+IF(WEEKDAY($A555,2)=5,3,1))</f>
        <v/>
      </c>
      <c r="B556">
        <f>IF($A556&gt;$A555,1,0)</f>
        <v/>
      </c>
      <c r="C556" s="56">
        <f>IF($B556=0,"",IF(Inputs!$B$6="","",IF($AD556=0,C555,SUMIFS(Data!$B$10:$B$3209,Data!$A$10:$A$3209,"&gt;="&amp;$A556,Data!$A$10:$A$3209,"&lt;"&amp;$A556+1)/$AD556)))</f>
        <v/>
      </c>
      <c r="D556" s="56">
        <f>IF($B556=0,"",IF(Inputs!$B$7="","",IF($AE556=0,D555,SUMIFS(Data!$F$10:$F$3209,Data!$E$10:$E$3209,"&gt;="&amp;$A556,Data!$E$10:$E$3209,"&lt;"&amp;$A556+1)/$AE556)))</f>
        <v/>
      </c>
      <c r="E556" s="56">
        <f>IF($B556=0,"",IF(Inputs!$B$8="","",IF($AF556=0,E555,SUMIFS(Data!$J$10:$J$3209,Data!$I$10:$I$3209,"&gt;="&amp;$A556,Data!$I$10:$I$3209,"&lt;"&amp;$A556+1)/$AF556)))</f>
        <v/>
      </c>
      <c r="F556" s="56">
        <f>IF($B556=0,"",IF(Inputs!$B$9="","",IF($AG556=0,F555,SUMIFS(Data!$N$10:$N$3209,Data!$M$10:$M$3209,"&gt;="&amp;$A556,Data!$M$10:$M$3209,"&lt;"&amp;$A556+1)/$AG556)))</f>
        <v/>
      </c>
      <c r="G556" s="56">
        <f>IF($B556=0,"",IF(Inputs!$B$10="","",IF($AH556=0,G555,SUMIFS(Data!$R$10:$R$3209,Data!$Q$10:$Q$3209,"&gt;="&amp;$A556,Data!$Q$10:$Q$3209,"&lt;"&amp;$A556+1)/$AH556)))</f>
        <v/>
      </c>
      <c r="I556" s="54">
        <f>IF($B556=0,NA(),IF($C556="",NA(),IF(C$8="",NA(),IF(N(C$8)=0,NA(),IF(Inputs!$C$17="Rebased to 100",$C556/C$8*100,$C556)))))</f>
        <v/>
      </c>
      <c r="J556" s="54">
        <f>IF($B556=0,NA(),IF($D556="",NA(),IF(D$8="",NA(),IF(N(D$8)=0,NA(),IF(Inputs!$C$17="Rebased to 100",$D556/D$8*100,$D556)))))</f>
        <v/>
      </c>
      <c r="K556" s="54">
        <f>IF($B556=0,NA(),IF($E556="",NA(),IF(E$8="",NA(),IF(N(E$8)=0,NA(),IF(Inputs!$C$17="Rebased to 100",$E556/E$8*100,$E556)))))</f>
        <v/>
      </c>
      <c r="L556" s="54">
        <f>IF($B556=0,NA(),IF($F556="",NA(),IF(F$8="",NA(),IF(N(F$8)=0,NA(),IF(Inputs!$C$17="Rebased to 100",$F556/F$8*100,$F556)))))</f>
        <v/>
      </c>
      <c r="M556" s="54">
        <f>IF($B556=0,NA(),IF($G556="",NA(),IF(G$8="",NA(),IF(N(G$8)=0,NA(),IF(Inputs!$C$17="Rebased to 100",$G556/G$8*100,$G556)))))</f>
        <v/>
      </c>
      <c r="N556" s="54">
        <f>IF($B556=0,NA(),IF(Inputs!$C$18&lt;&gt;"Yes",NA(),IF(COUNT(I556,J556,K556,L556,M556)=0,NA(),MIN(I556,J556,K556,L556,M556))))</f>
        <v/>
      </c>
      <c r="O556" s="54">
        <f>IF($B556=0,NA(),IF(Inputs!$B$24&lt;&gt;"Yes",NA(),Inputs!$D$24*Inputs!$C$35))</f>
        <v/>
      </c>
      <c r="P556" s="54">
        <f>IF($B556=0,NA(),IF(Inputs!$B$25&lt;&gt;"Yes",NA(),Inputs!$D$25*Inputs!$C$35))</f>
        <v/>
      </c>
      <c r="Q556" s="54">
        <f>IF($B556=0,NA(),IF(Inputs!$B$26&lt;&gt;"Yes",NA(),Inputs!$D$26*Inputs!$C$35))</f>
        <v/>
      </c>
      <c r="R556" s="54">
        <f>IF($B556=0,NA(),IF(Inputs!$B$27&lt;&gt;"Yes",NA(),Inputs!$D$27*Inputs!$C$35))</f>
        <v/>
      </c>
      <c r="S556" s="54">
        <f>IF($B556=0,NA(),IF(Inputs!$B$28&lt;&gt;"Yes",NA(),Inputs!$D$28*Inputs!$C$35))</f>
        <v/>
      </c>
      <c r="T556" s="54">
        <f>IF($B556=0,NA(),IF(Inputs!$B$29&lt;&gt;"Yes",NA(),Inputs!$D$29*Inputs!$C$35))</f>
        <v/>
      </c>
      <c r="AD556">
        <f>IF($B556=0,0,IF(Inputs!$B$6="",0,COUNTIFS(Data!$A$10:$A$3209,"&gt;="&amp;$A556,Data!$A$10:$A$3209,"&lt;"&amp;$A556+1)))</f>
        <v/>
      </c>
      <c r="AE556">
        <f>IF($B556=0,0,IF(Inputs!$B$7="",0,COUNTIFS(Data!$E$10:$E$3209,"&gt;="&amp;$A556,Data!$E$10:$E$3209,"&lt;"&amp;$A556+1)))</f>
        <v/>
      </c>
      <c r="AF556">
        <f>IF($B556=0,0,IF(Inputs!$B$8="",0,COUNTIFS(Data!$I$10:$I$3209,"&gt;="&amp;$A556,Data!$I$10:$I$3209,"&lt;"&amp;$A556+1)))</f>
        <v/>
      </c>
      <c r="AG556">
        <f>IF($B556=0,0,IF(Inputs!$B$9="",0,COUNTIFS(Data!$M$10:$M$3209,"&gt;="&amp;$A556,Data!$M$10:$M$3209,"&lt;"&amp;$A556+1)))</f>
        <v/>
      </c>
      <c r="AH556">
        <f>IF($B556=0,0,IF(Inputs!$B$10="",0,COUNTIFS(Data!$Q$10:$Q$3209,"&gt;="&amp;$A556,Data!$Q$10:$Q$3209,"&lt;"&amp;$A556+1)))</f>
        <v/>
      </c>
    </row>
    <row r="557">
      <c r="A557" s="55">
        <f>MIN(Inputs!$C$15,$A556+IF(WEEKDAY($A556,2)=5,3,1))</f>
        <v/>
      </c>
      <c r="B557">
        <f>IF($A557&gt;$A556,1,0)</f>
        <v/>
      </c>
      <c r="C557" s="56">
        <f>IF($B557=0,"",IF(Inputs!$B$6="","",IF($AD557=0,C556,SUMIFS(Data!$B$10:$B$3209,Data!$A$10:$A$3209,"&gt;="&amp;$A557,Data!$A$10:$A$3209,"&lt;"&amp;$A557+1)/$AD557)))</f>
        <v/>
      </c>
      <c r="D557" s="56">
        <f>IF($B557=0,"",IF(Inputs!$B$7="","",IF($AE557=0,D556,SUMIFS(Data!$F$10:$F$3209,Data!$E$10:$E$3209,"&gt;="&amp;$A557,Data!$E$10:$E$3209,"&lt;"&amp;$A557+1)/$AE557)))</f>
        <v/>
      </c>
      <c r="E557" s="56">
        <f>IF($B557=0,"",IF(Inputs!$B$8="","",IF($AF557=0,E556,SUMIFS(Data!$J$10:$J$3209,Data!$I$10:$I$3209,"&gt;="&amp;$A557,Data!$I$10:$I$3209,"&lt;"&amp;$A557+1)/$AF557)))</f>
        <v/>
      </c>
      <c r="F557" s="56">
        <f>IF($B557=0,"",IF(Inputs!$B$9="","",IF($AG557=0,F556,SUMIFS(Data!$N$10:$N$3209,Data!$M$10:$M$3209,"&gt;="&amp;$A557,Data!$M$10:$M$3209,"&lt;"&amp;$A557+1)/$AG557)))</f>
        <v/>
      </c>
      <c r="G557" s="56">
        <f>IF($B557=0,"",IF(Inputs!$B$10="","",IF($AH557=0,G556,SUMIFS(Data!$R$10:$R$3209,Data!$Q$10:$Q$3209,"&gt;="&amp;$A557,Data!$Q$10:$Q$3209,"&lt;"&amp;$A557+1)/$AH557)))</f>
        <v/>
      </c>
      <c r="I557" s="54">
        <f>IF($B557=0,NA(),IF($C557="",NA(),IF(C$8="",NA(),IF(N(C$8)=0,NA(),IF(Inputs!$C$17="Rebased to 100",$C557/C$8*100,$C557)))))</f>
        <v/>
      </c>
      <c r="J557" s="54">
        <f>IF($B557=0,NA(),IF($D557="",NA(),IF(D$8="",NA(),IF(N(D$8)=0,NA(),IF(Inputs!$C$17="Rebased to 100",$D557/D$8*100,$D557)))))</f>
        <v/>
      </c>
      <c r="K557" s="54">
        <f>IF($B557=0,NA(),IF($E557="",NA(),IF(E$8="",NA(),IF(N(E$8)=0,NA(),IF(Inputs!$C$17="Rebased to 100",$E557/E$8*100,$E557)))))</f>
        <v/>
      </c>
      <c r="L557" s="54">
        <f>IF($B557=0,NA(),IF($F557="",NA(),IF(F$8="",NA(),IF(N(F$8)=0,NA(),IF(Inputs!$C$17="Rebased to 100",$F557/F$8*100,$F557)))))</f>
        <v/>
      </c>
      <c r="M557" s="54">
        <f>IF($B557=0,NA(),IF($G557="",NA(),IF(G$8="",NA(),IF(N(G$8)=0,NA(),IF(Inputs!$C$17="Rebased to 100",$G557/G$8*100,$G557)))))</f>
        <v/>
      </c>
      <c r="N557" s="54">
        <f>IF($B557=0,NA(),IF(Inputs!$C$18&lt;&gt;"Yes",NA(),IF(COUNT(I557,J557,K557,L557,M557)=0,NA(),MIN(I557,J557,K557,L557,M557))))</f>
        <v/>
      </c>
      <c r="O557" s="54">
        <f>IF($B557=0,NA(),IF(Inputs!$B$24&lt;&gt;"Yes",NA(),Inputs!$D$24*Inputs!$C$35))</f>
        <v/>
      </c>
      <c r="P557" s="54">
        <f>IF($B557=0,NA(),IF(Inputs!$B$25&lt;&gt;"Yes",NA(),Inputs!$D$25*Inputs!$C$35))</f>
        <v/>
      </c>
      <c r="Q557" s="54">
        <f>IF($B557=0,NA(),IF(Inputs!$B$26&lt;&gt;"Yes",NA(),Inputs!$D$26*Inputs!$C$35))</f>
        <v/>
      </c>
      <c r="R557" s="54">
        <f>IF($B557=0,NA(),IF(Inputs!$B$27&lt;&gt;"Yes",NA(),Inputs!$D$27*Inputs!$C$35))</f>
        <v/>
      </c>
      <c r="S557" s="54">
        <f>IF($B557=0,NA(),IF(Inputs!$B$28&lt;&gt;"Yes",NA(),Inputs!$D$28*Inputs!$C$35))</f>
        <v/>
      </c>
      <c r="T557" s="54">
        <f>IF($B557=0,NA(),IF(Inputs!$B$29&lt;&gt;"Yes",NA(),Inputs!$D$29*Inputs!$C$35))</f>
        <v/>
      </c>
      <c r="AD557">
        <f>IF($B557=0,0,IF(Inputs!$B$6="",0,COUNTIFS(Data!$A$10:$A$3209,"&gt;="&amp;$A557,Data!$A$10:$A$3209,"&lt;"&amp;$A557+1)))</f>
        <v/>
      </c>
      <c r="AE557">
        <f>IF($B557=0,0,IF(Inputs!$B$7="",0,COUNTIFS(Data!$E$10:$E$3209,"&gt;="&amp;$A557,Data!$E$10:$E$3209,"&lt;"&amp;$A557+1)))</f>
        <v/>
      </c>
      <c r="AF557">
        <f>IF($B557=0,0,IF(Inputs!$B$8="",0,COUNTIFS(Data!$I$10:$I$3209,"&gt;="&amp;$A557,Data!$I$10:$I$3209,"&lt;"&amp;$A557+1)))</f>
        <v/>
      </c>
      <c r="AG557">
        <f>IF($B557=0,0,IF(Inputs!$B$9="",0,COUNTIFS(Data!$M$10:$M$3209,"&gt;="&amp;$A557,Data!$M$10:$M$3209,"&lt;"&amp;$A557+1)))</f>
        <v/>
      </c>
      <c r="AH557">
        <f>IF($B557=0,0,IF(Inputs!$B$10="",0,COUNTIFS(Data!$Q$10:$Q$3209,"&gt;="&amp;$A557,Data!$Q$10:$Q$3209,"&lt;"&amp;$A557+1)))</f>
        <v/>
      </c>
    </row>
    <row r="558">
      <c r="A558" s="55">
        <f>MIN(Inputs!$C$15,$A557+IF(WEEKDAY($A557,2)=5,3,1))</f>
        <v/>
      </c>
      <c r="B558">
        <f>IF($A558&gt;$A557,1,0)</f>
        <v/>
      </c>
      <c r="C558" s="56">
        <f>IF($B558=0,"",IF(Inputs!$B$6="","",IF($AD558=0,C557,SUMIFS(Data!$B$10:$B$3209,Data!$A$10:$A$3209,"&gt;="&amp;$A558,Data!$A$10:$A$3209,"&lt;"&amp;$A558+1)/$AD558)))</f>
        <v/>
      </c>
      <c r="D558" s="56">
        <f>IF($B558=0,"",IF(Inputs!$B$7="","",IF($AE558=0,D557,SUMIFS(Data!$F$10:$F$3209,Data!$E$10:$E$3209,"&gt;="&amp;$A558,Data!$E$10:$E$3209,"&lt;"&amp;$A558+1)/$AE558)))</f>
        <v/>
      </c>
      <c r="E558" s="56">
        <f>IF($B558=0,"",IF(Inputs!$B$8="","",IF($AF558=0,E557,SUMIFS(Data!$J$10:$J$3209,Data!$I$10:$I$3209,"&gt;="&amp;$A558,Data!$I$10:$I$3209,"&lt;"&amp;$A558+1)/$AF558)))</f>
        <v/>
      </c>
      <c r="F558" s="56">
        <f>IF($B558=0,"",IF(Inputs!$B$9="","",IF($AG558=0,F557,SUMIFS(Data!$N$10:$N$3209,Data!$M$10:$M$3209,"&gt;="&amp;$A558,Data!$M$10:$M$3209,"&lt;"&amp;$A558+1)/$AG558)))</f>
        <v/>
      </c>
      <c r="G558" s="56">
        <f>IF($B558=0,"",IF(Inputs!$B$10="","",IF($AH558=0,G557,SUMIFS(Data!$R$10:$R$3209,Data!$Q$10:$Q$3209,"&gt;="&amp;$A558,Data!$Q$10:$Q$3209,"&lt;"&amp;$A558+1)/$AH558)))</f>
        <v/>
      </c>
      <c r="I558" s="54">
        <f>IF($B558=0,NA(),IF($C558="",NA(),IF(C$8="",NA(),IF(N(C$8)=0,NA(),IF(Inputs!$C$17="Rebased to 100",$C558/C$8*100,$C558)))))</f>
        <v/>
      </c>
      <c r="J558" s="54">
        <f>IF($B558=0,NA(),IF($D558="",NA(),IF(D$8="",NA(),IF(N(D$8)=0,NA(),IF(Inputs!$C$17="Rebased to 100",$D558/D$8*100,$D558)))))</f>
        <v/>
      </c>
      <c r="K558" s="54">
        <f>IF($B558=0,NA(),IF($E558="",NA(),IF(E$8="",NA(),IF(N(E$8)=0,NA(),IF(Inputs!$C$17="Rebased to 100",$E558/E$8*100,$E558)))))</f>
        <v/>
      </c>
      <c r="L558" s="54">
        <f>IF($B558=0,NA(),IF($F558="",NA(),IF(F$8="",NA(),IF(N(F$8)=0,NA(),IF(Inputs!$C$17="Rebased to 100",$F558/F$8*100,$F558)))))</f>
        <v/>
      </c>
      <c r="M558" s="54">
        <f>IF($B558=0,NA(),IF($G558="",NA(),IF(G$8="",NA(),IF(N(G$8)=0,NA(),IF(Inputs!$C$17="Rebased to 100",$G558/G$8*100,$G558)))))</f>
        <v/>
      </c>
      <c r="N558" s="54">
        <f>IF($B558=0,NA(),IF(Inputs!$C$18&lt;&gt;"Yes",NA(),IF(COUNT(I558,J558,K558,L558,M558)=0,NA(),MIN(I558,J558,K558,L558,M558))))</f>
        <v/>
      </c>
      <c r="O558" s="54">
        <f>IF($B558=0,NA(),IF(Inputs!$B$24&lt;&gt;"Yes",NA(),Inputs!$D$24*Inputs!$C$35))</f>
        <v/>
      </c>
      <c r="P558" s="54">
        <f>IF($B558=0,NA(),IF(Inputs!$B$25&lt;&gt;"Yes",NA(),Inputs!$D$25*Inputs!$C$35))</f>
        <v/>
      </c>
      <c r="Q558" s="54">
        <f>IF($B558=0,NA(),IF(Inputs!$B$26&lt;&gt;"Yes",NA(),Inputs!$D$26*Inputs!$C$35))</f>
        <v/>
      </c>
      <c r="R558" s="54">
        <f>IF($B558=0,NA(),IF(Inputs!$B$27&lt;&gt;"Yes",NA(),Inputs!$D$27*Inputs!$C$35))</f>
        <v/>
      </c>
      <c r="S558" s="54">
        <f>IF($B558=0,NA(),IF(Inputs!$B$28&lt;&gt;"Yes",NA(),Inputs!$D$28*Inputs!$C$35))</f>
        <v/>
      </c>
      <c r="T558" s="54">
        <f>IF($B558=0,NA(),IF(Inputs!$B$29&lt;&gt;"Yes",NA(),Inputs!$D$29*Inputs!$C$35))</f>
        <v/>
      </c>
      <c r="AD558">
        <f>IF($B558=0,0,IF(Inputs!$B$6="",0,COUNTIFS(Data!$A$10:$A$3209,"&gt;="&amp;$A558,Data!$A$10:$A$3209,"&lt;"&amp;$A558+1)))</f>
        <v/>
      </c>
      <c r="AE558">
        <f>IF($B558=0,0,IF(Inputs!$B$7="",0,COUNTIFS(Data!$E$10:$E$3209,"&gt;="&amp;$A558,Data!$E$10:$E$3209,"&lt;"&amp;$A558+1)))</f>
        <v/>
      </c>
      <c r="AF558">
        <f>IF($B558=0,0,IF(Inputs!$B$8="",0,COUNTIFS(Data!$I$10:$I$3209,"&gt;="&amp;$A558,Data!$I$10:$I$3209,"&lt;"&amp;$A558+1)))</f>
        <v/>
      </c>
      <c r="AG558">
        <f>IF($B558=0,0,IF(Inputs!$B$9="",0,COUNTIFS(Data!$M$10:$M$3209,"&gt;="&amp;$A558,Data!$M$10:$M$3209,"&lt;"&amp;$A558+1)))</f>
        <v/>
      </c>
      <c r="AH558">
        <f>IF($B558=0,0,IF(Inputs!$B$10="",0,COUNTIFS(Data!$Q$10:$Q$3209,"&gt;="&amp;$A558,Data!$Q$10:$Q$3209,"&lt;"&amp;$A558+1)))</f>
        <v/>
      </c>
    </row>
    <row r="559">
      <c r="A559" s="55">
        <f>MIN(Inputs!$C$15,$A558+IF(WEEKDAY($A558,2)=5,3,1))</f>
        <v/>
      </c>
      <c r="B559">
        <f>IF($A559&gt;$A558,1,0)</f>
        <v/>
      </c>
      <c r="C559" s="56">
        <f>IF($B559=0,"",IF(Inputs!$B$6="","",IF($AD559=0,C558,SUMIFS(Data!$B$10:$B$3209,Data!$A$10:$A$3209,"&gt;="&amp;$A559,Data!$A$10:$A$3209,"&lt;"&amp;$A559+1)/$AD559)))</f>
        <v/>
      </c>
      <c r="D559" s="56">
        <f>IF($B559=0,"",IF(Inputs!$B$7="","",IF($AE559=0,D558,SUMIFS(Data!$F$10:$F$3209,Data!$E$10:$E$3209,"&gt;="&amp;$A559,Data!$E$10:$E$3209,"&lt;"&amp;$A559+1)/$AE559)))</f>
        <v/>
      </c>
      <c r="E559" s="56">
        <f>IF($B559=0,"",IF(Inputs!$B$8="","",IF($AF559=0,E558,SUMIFS(Data!$J$10:$J$3209,Data!$I$10:$I$3209,"&gt;="&amp;$A559,Data!$I$10:$I$3209,"&lt;"&amp;$A559+1)/$AF559)))</f>
        <v/>
      </c>
      <c r="F559" s="56">
        <f>IF($B559=0,"",IF(Inputs!$B$9="","",IF($AG559=0,F558,SUMIFS(Data!$N$10:$N$3209,Data!$M$10:$M$3209,"&gt;="&amp;$A559,Data!$M$10:$M$3209,"&lt;"&amp;$A559+1)/$AG559)))</f>
        <v/>
      </c>
      <c r="G559" s="56">
        <f>IF($B559=0,"",IF(Inputs!$B$10="","",IF($AH559=0,G558,SUMIFS(Data!$R$10:$R$3209,Data!$Q$10:$Q$3209,"&gt;="&amp;$A559,Data!$Q$10:$Q$3209,"&lt;"&amp;$A559+1)/$AH559)))</f>
        <v/>
      </c>
      <c r="I559" s="54">
        <f>IF($B559=0,NA(),IF($C559="",NA(),IF(C$8="",NA(),IF(N(C$8)=0,NA(),IF(Inputs!$C$17="Rebased to 100",$C559/C$8*100,$C559)))))</f>
        <v/>
      </c>
      <c r="J559" s="54">
        <f>IF($B559=0,NA(),IF($D559="",NA(),IF(D$8="",NA(),IF(N(D$8)=0,NA(),IF(Inputs!$C$17="Rebased to 100",$D559/D$8*100,$D559)))))</f>
        <v/>
      </c>
      <c r="K559" s="54">
        <f>IF($B559=0,NA(),IF($E559="",NA(),IF(E$8="",NA(),IF(N(E$8)=0,NA(),IF(Inputs!$C$17="Rebased to 100",$E559/E$8*100,$E559)))))</f>
        <v/>
      </c>
      <c r="L559" s="54">
        <f>IF($B559=0,NA(),IF($F559="",NA(),IF(F$8="",NA(),IF(N(F$8)=0,NA(),IF(Inputs!$C$17="Rebased to 100",$F559/F$8*100,$F559)))))</f>
        <v/>
      </c>
      <c r="M559" s="54">
        <f>IF($B559=0,NA(),IF($G559="",NA(),IF(G$8="",NA(),IF(N(G$8)=0,NA(),IF(Inputs!$C$17="Rebased to 100",$G559/G$8*100,$G559)))))</f>
        <v/>
      </c>
      <c r="N559" s="54">
        <f>IF($B559=0,NA(),IF(Inputs!$C$18&lt;&gt;"Yes",NA(),IF(COUNT(I559,J559,K559,L559,M559)=0,NA(),MIN(I559,J559,K559,L559,M559))))</f>
        <v/>
      </c>
      <c r="O559" s="54">
        <f>IF($B559=0,NA(),IF(Inputs!$B$24&lt;&gt;"Yes",NA(),Inputs!$D$24*Inputs!$C$35))</f>
        <v/>
      </c>
      <c r="P559" s="54">
        <f>IF($B559=0,NA(),IF(Inputs!$B$25&lt;&gt;"Yes",NA(),Inputs!$D$25*Inputs!$C$35))</f>
        <v/>
      </c>
      <c r="Q559" s="54">
        <f>IF($B559=0,NA(),IF(Inputs!$B$26&lt;&gt;"Yes",NA(),Inputs!$D$26*Inputs!$C$35))</f>
        <v/>
      </c>
      <c r="R559" s="54">
        <f>IF($B559=0,NA(),IF(Inputs!$B$27&lt;&gt;"Yes",NA(),Inputs!$D$27*Inputs!$C$35))</f>
        <v/>
      </c>
      <c r="S559" s="54">
        <f>IF($B559=0,NA(),IF(Inputs!$B$28&lt;&gt;"Yes",NA(),Inputs!$D$28*Inputs!$C$35))</f>
        <v/>
      </c>
      <c r="T559" s="54">
        <f>IF($B559=0,NA(),IF(Inputs!$B$29&lt;&gt;"Yes",NA(),Inputs!$D$29*Inputs!$C$35))</f>
        <v/>
      </c>
      <c r="AD559">
        <f>IF($B559=0,0,IF(Inputs!$B$6="",0,COUNTIFS(Data!$A$10:$A$3209,"&gt;="&amp;$A559,Data!$A$10:$A$3209,"&lt;"&amp;$A559+1)))</f>
        <v/>
      </c>
      <c r="AE559">
        <f>IF($B559=0,0,IF(Inputs!$B$7="",0,COUNTIFS(Data!$E$10:$E$3209,"&gt;="&amp;$A559,Data!$E$10:$E$3209,"&lt;"&amp;$A559+1)))</f>
        <v/>
      </c>
      <c r="AF559">
        <f>IF($B559=0,0,IF(Inputs!$B$8="",0,COUNTIFS(Data!$I$10:$I$3209,"&gt;="&amp;$A559,Data!$I$10:$I$3209,"&lt;"&amp;$A559+1)))</f>
        <v/>
      </c>
      <c r="AG559">
        <f>IF($B559=0,0,IF(Inputs!$B$9="",0,COUNTIFS(Data!$M$10:$M$3209,"&gt;="&amp;$A559,Data!$M$10:$M$3209,"&lt;"&amp;$A559+1)))</f>
        <v/>
      </c>
      <c r="AH559">
        <f>IF($B559=0,0,IF(Inputs!$B$10="",0,COUNTIFS(Data!$Q$10:$Q$3209,"&gt;="&amp;$A559,Data!$Q$10:$Q$3209,"&lt;"&amp;$A559+1)))</f>
        <v/>
      </c>
    </row>
    <row r="560">
      <c r="A560" s="55">
        <f>MIN(Inputs!$C$15,$A559+IF(WEEKDAY($A559,2)=5,3,1))</f>
        <v/>
      </c>
      <c r="B560">
        <f>IF($A560&gt;$A559,1,0)</f>
        <v/>
      </c>
      <c r="C560" s="56">
        <f>IF($B560=0,"",IF(Inputs!$B$6="","",IF($AD560=0,C559,SUMIFS(Data!$B$10:$B$3209,Data!$A$10:$A$3209,"&gt;="&amp;$A560,Data!$A$10:$A$3209,"&lt;"&amp;$A560+1)/$AD560)))</f>
        <v/>
      </c>
      <c r="D560" s="56">
        <f>IF($B560=0,"",IF(Inputs!$B$7="","",IF($AE560=0,D559,SUMIFS(Data!$F$10:$F$3209,Data!$E$10:$E$3209,"&gt;="&amp;$A560,Data!$E$10:$E$3209,"&lt;"&amp;$A560+1)/$AE560)))</f>
        <v/>
      </c>
      <c r="E560" s="56">
        <f>IF($B560=0,"",IF(Inputs!$B$8="","",IF($AF560=0,E559,SUMIFS(Data!$J$10:$J$3209,Data!$I$10:$I$3209,"&gt;="&amp;$A560,Data!$I$10:$I$3209,"&lt;"&amp;$A560+1)/$AF560)))</f>
        <v/>
      </c>
      <c r="F560" s="56">
        <f>IF($B560=0,"",IF(Inputs!$B$9="","",IF($AG560=0,F559,SUMIFS(Data!$N$10:$N$3209,Data!$M$10:$M$3209,"&gt;="&amp;$A560,Data!$M$10:$M$3209,"&lt;"&amp;$A560+1)/$AG560)))</f>
        <v/>
      </c>
      <c r="G560" s="56">
        <f>IF($B560=0,"",IF(Inputs!$B$10="","",IF($AH560=0,G559,SUMIFS(Data!$R$10:$R$3209,Data!$Q$10:$Q$3209,"&gt;="&amp;$A560,Data!$Q$10:$Q$3209,"&lt;"&amp;$A560+1)/$AH560)))</f>
        <v/>
      </c>
      <c r="I560" s="54">
        <f>IF($B560=0,NA(),IF($C560="",NA(),IF(C$8="",NA(),IF(N(C$8)=0,NA(),IF(Inputs!$C$17="Rebased to 100",$C560/C$8*100,$C560)))))</f>
        <v/>
      </c>
      <c r="J560" s="54">
        <f>IF($B560=0,NA(),IF($D560="",NA(),IF(D$8="",NA(),IF(N(D$8)=0,NA(),IF(Inputs!$C$17="Rebased to 100",$D560/D$8*100,$D560)))))</f>
        <v/>
      </c>
      <c r="K560" s="54">
        <f>IF($B560=0,NA(),IF($E560="",NA(),IF(E$8="",NA(),IF(N(E$8)=0,NA(),IF(Inputs!$C$17="Rebased to 100",$E560/E$8*100,$E560)))))</f>
        <v/>
      </c>
      <c r="L560" s="54">
        <f>IF($B560=0,NA(),IF($F560="",NA(),IF(F$8="",NA(),IF(N(F$8)=0,NA(),IF(Inputs!$C$17="Rebased to 100",$F560/F$8*100,$F560)))))</f>
        <v/>
      </c>
      <c r="M560" s="54">
        <f>IF($B560=0,NA(),IF($G560="",NA(),IF(G$8="",NA(),IF(N(G$8)=0,NA(),IF(Inputs!$C$17="Rebased to 100",$G560/G$8*100,$G560)))))</f>
        <v/>
      </c>
      <c r="N560" s="54">
        <f>IF($B560=0,NA(),IF(Inputs!$C$18&lt;&gt;"Yes",NA(),IF(COUNT(I560,J560,K560,L560,M560)=0,NA(),MIN(I560,J560,K560,L560,M560))))</f>
        <v/>
      </c>
      <c r="O560" s="54">
        <f>IF($B560=0,NA(),IF(Inputs!$B$24&lt;&gt;"Yes",NA(),Inputs!$D$24*Inputs!$C$35))</f>
        <v/>
      </c>
      <c r="P560" s="54">
        <f>IF($B560=0,NA(),IF(Inputs!$B$25&lt;&gt;"Yes",NA(),Inputs!$D$25*Inputs!$C$35))</f>
        <v/>
      </c>
      <c r="Q560" s="54">
        <f>IF($B560=0,NA(),IF(Inputs!$B$26&lt;&gt;"Yes",NA(),Inputs!$D$26*Inputs!$C$35))</f>
        <v/>
      </c>
      <c r="R560" s="54">
        <f>IF($B560=0,NA(),IF(Inputs!$B$27&lt;&gt;"Yes",NA(),Inputs!$D$27*Inputs!$C$35))</f>
        <v/>
      </c>
      <c r="S560" s="54">
        <f>IF($B560=0,NA(),IF(Inputs!$B$28&lt;&gt;"Yes",NA(),Inputs!$D$28*Inputs!$C$35))</f>
        <v/>
      </c>
      <c r="T560" s="54">
        <f>IF($B560=0,NA(),IF(Inputs!$B$29&lt;&gt;"Yes",NA(),Inputs!$D$29*Inputs!$C$35))</f>
        <v/>
      </c>
      <c r="AD560">
        <f>IF($B560=0,0,IF(Inputs!$B$6="",0,COUNTIFS(Data!$A$10:$A$3209,"&gt;="&amp;$A560,Data!$A$10:$A$3209,"&lt;"&amp;$A560+1)))</f>
        <v/>
      </c>
      <c r="AE560">
        <f>IF($B560=0,0,IF(Inputs!$B$7="",0,COUNTIFS(Data!$E$10:$E$3209,"&gt;="&amp;$A560,Data!$E$10:$E$3209,"&lt;"&amp;$A560+1)))</f>
        <v/>
      </c>
      <c r="AF560">
        <f>IF($B560=0,0,IF(Inputs!$B$8="",0,COUNTIFS(Data!$I$10:$I$3209,"&gt;="&amp;$A560,Data!$I$10:$I$3209,"&lt;"&amp;$A560+1)))</f>
        <v/>
      </c>
      <c r="AG560">
        <f>IF($B560=0,0,IF(Inputs!$B$9="",0,COUNTIFS(Data!$M$10:$M$3209,"&gt;="&amp;$A560,Data!$M$10:$M$3209,"&lt;"&amp;$A560+1)))</f>
        <v/>
      </c>
      <c r="AH560">
        <f>IF($B560=0,0,IF(Inputs!$B$10="",0,COUNTIFS(Data!$Q$10:$Q$3209,"&gt;="&amp;$A560,Data!$Q$10:$Q$3209,"&lt;"&amp;$A560+1)))</f>
        <v/>
      </c>
    </row>
    <row r="561">
      <c r="A561" s="55">
        <f>MIN(Inputs!$C$15,$A560+IF(WEEKDAY($A560,2)=5,3,1))</f>
        <v/>
      </c>
      <c r="B561">
        <f>IF($A561&gt;$A560,1,0)</f>
        <v/>
      </c>
      <c r="C561" s="56">
        <f>IF($B561=0,"",IF(Inputs!$B$6="","",IF($AD561=0,C560,SUMIFS(Data!$B$10:$B$3209,Data!$A$10:$A$3209,"&gt;="&amp;$A561,Data!$A$10:$A$3209,"&lt;"&amp;$A561+1)/$AD561)))</f>
        <v/>
      </c>
      <c r="D561" s="56">
        <f>IF($B561=0,"",IF(Inputs!$B$7="","",IF($AE561=0,D560,SUMIFS(Data!$F$10:$F$3209,Data!$E$10:$E$3209,"&gt;="&amp;$A561,Data!$E$10:$E$3209,"&lt;"&amp;$A561+1)/$AE561)))</f>
        <v/>
      </c>
      <c r="E561" s="56">
        <f>IF($B561=0,"",IF(Inputs!$B$8="","",IF($AF561=0,E560,SUMIFS(Data!$J$10:$J$3209,Data!$I$10:$I$3209,"&gt;="&amp;$A561,Data!$I$10:$I$3209,"&lt;"&amp;$A561+1)/$AF561)))</f>
        <v/>
      </c>
      <c r="F561" s="56">
        <f>IF($B561=0,"",IF(Inputs!$B$9="","",IF($AG561=0,F560,SUMIFS(Data!$N$10:$N$3209,Data!$M$10:$M$3209,"&gt;="&amp;$A561,Data!$M$10:$M$3209,"&lt;"&amp;$A561+1)/$AG561)))</f>
        <v/>
      </c>
      <c r="G561" s="56">
        <f>IF($B561=0,"",IF(Inputs!$B$10="","",IF($AH561=0,G560,SUMIFS(Data!$R$10:$R$3209,Data!$Q$10:$Q$3209,"&gt;="&amp;$A561,Data!$Q$10:$Q$3209,"&lt;"&amp;$A561+1)/$AH561)))</f>
        <v/>
      </c>
      <c r="I561" s="54">
        <f>IF($B561=0,NA(),IF($C561="",NA(),IF(C$8="",NA(),IF(N(C$8)=0,NA(),IF(Inputs!$C$17="Rebased to 100",$C561/C$8*100,$C561)))))</f>
        <v/>
      </c>
      <c r="J561" s="54">
        <f>IF($B561=0,NA(),IF($D561="",NA(),IF(D$8="",NA(),IF(N(D$8)=0,NA(),IF(Inputs!$C$17="Rebased to 100",$D561/D$8*100,$D561)))))</f>
        <v/>
      </c>
      <c r="K561" s="54">
        <f>IF($B561=0,NA(),IF($E561="",NA(),IF(E$8="",NA(),IF(N(E$8)=0,NA(),IF(Inputs!$C$17="Rebased to 100",$E561/E$8*100,$E561)))))</f>
        <v/>
      </c>
      <c r="L561" s="54">
        <f>IF($B561=0,NA(),IF($F561="",NA(),IF(F$8="",NA(),IF(N(F$8)=0,NA(),IF(Inputs!$C$17="Rebased to 100",$F561/F$8*100,$F561)))))</f>
        <v/>
      </c>
      <c r="M561" s="54">
        <f>IF($B561=0,NA(),IF($G561="",NA(),IF(G$8="",NA(),IF(N(G$8)=0,NA(),IF(Inputs!$C$17="Rebased to 100",$G561/G$8*100,$G561)))))</f>
        <v/>
      </c>
      <c r="N561" s="54">
        <f>IF($B561=0,NA(),IF(Inputs!$C$18&lt;&gt;"Yes",NA(),IF(COUNT(I561,J561,K561,L561,M561)=0,NA(),MIN(I561,J561,K561,L561,M561))))</f>
        <v/>
      </c>
      <c r="O561" s="54">
        <f>IF($B561=0,NA(),IF(Inputs!$B$24&lt;&gt;"Yes",NA(),Inputs!$D$24*Inputs!$C$35))</f>
        <v/>
      </c>
      <c r="P561" s="54">
        <f>IF($B561=0,NA(),IF(Inputs!$B$25&lt;&gt;"Yes",NA(),Inputs!$D$25*Inputs!$C$35))</f>
        <v/>
      </c>
      <c r="Q561" s="54">
        <f>IF($B561=0,NA(),IF(Inputs!$B$26&lt;&gt;"Yes",NA(),Inputs!$D$26*Inputs!$C$35))</f>
        <v/>
      </c>
      <c r="R561" s="54">
        <f>IF($B561=0,NA(),IF(Inputs!$B$27&lt;&gt;"Yes",NA(),Inputs!$D$27*Inputs!$C$35))</f>
        <v/>
      </c>
      <c r="S561" s="54">
        <f>IF($B561=0,NA(),IF(Inputs!$B$28&lt;&gt;"Yes",NA(),Inputs!$D$28*Inputs!$C$35))</f>
        <v/>
      </c>
      <c r="T561" s="54">
        <f>IF($B561=0,NA(),IF(Inputs!$B$29&lt;&gt;"Yes",NA(),Inputs!$D$29*Inputs!$C$35))</f>
        <v/>
      </c>
      <c r="AD561">
        <f>IF($B561=0,0,IF(Inputs!$B$6="",0,COUNTIFS(Data!$A$10:$A$3209,"&gt;="&amp;$A561,Data!$A$10:$A$3209,"&lt;"&amp;$A561+1)))</f>
        <v/>
      </c>
      <c r="AE561">
        <f>IF($B561=0,0,IF(Inputs!$B$7="",0,COUNTIFS(Data!$E$10:$E$3209,"&gt;="&amp;$A561,Data!$E$10:$E$3209,"&lt;"&amp;$A561+1)))</f>
        <v/>
      </c>
      <c r="AF561">
        <f>IF($B561=0,0,IF(Inputs!$B$8="",0,COUNTIFS(Data!$I$10:$I$3209,"&gt;="&amp;$A561,Data!$I$10:$I$3209,"&lt;"&amp;$A561+1)))</f>
        <v/>
      </c>
      <c r="AG561">
        <f>IF($B561=0,0,IF(Inputs!$B$9="",0,COUNTIFS(Data!$M$10:$M$3209,"&gt;="&amp;$A561,Data!$M$10:$M$3209,"&lt;"&amp;$A561+1)))</f>
        <v/>
      </c>
      <c r="AH561">
        <f>IF($B561=0,0,IF(Inputs!$B$10="",0,COUNTIFS(Data!$Q$10:$Q$3209,"&gt;="&amp;$A561,Data!$Q$10:$Q$3209,"&lt;"&amp;$A561+1)))</f>
        <v/>
      </c>
    </row>
    <row r="562">
      <c r="A562" s="55">
        <f>MIN(Inputs!$C$15,$A561+IF(WEEKDAY($A561,2)=5,3,1))</f>
        <v/>
      </c>
      <c r="B562">
        <f>IF($A562&gt;$A561,1,0)</f>
        <v/>
      </c>
      <c r="C562" s="56">
        <f>IF($B562=0,"",IF(Inputs!$B$6="","",IF($AD562=0,C561,SUMIFS(Data!$B$10:$B$3209,Data!$A$10:$A$3209,"&gt;="&amp;$A562,Data!$A$10:$A$3209,"&lt;"&amp;$A562+1)/$AD562)))</f>
        <v/>
      </c>
      <c r="D562" s="56">
        <f>IF($B562=0,"",IF(Inputs!$B$7="","",IF($AE562=0,D561,SUMIFS(Data!$F$10:$F$3209,Data!$E$10:$E$3209,"&gt;="&amp;$A562,Data!$E$10:$E$3209,"&lt;"&amp;$A562+1)/$AE562)))</f>
        <v/>
      </c>
      <c r="E562" s="56">
        <f>IF($B562=0,"",IF(Inputs!$B$8="","",IF($AF562=0,E561,SUMIFS(Data!$J$10:$J$3209,Data!$I$10:$I$3209,"&gt;="&amp;$A562,Data!$I$10:$I$3209,"&lt;"&amp;$A562+1)/$AF562)))</f>
        <v/>
      </c>
      <c r="F562" s="56">
        <f>IF($B562=0,"",IF(Inputs!$B$9="","",IF($AG562=0,F561,SUMIFS(Data!$N$10:$N$3209,Data!$M$10:$M$3209,"&gt;="&amp;$A562,Data!$M$10:$M$3209,"&lt;"&amp;$A562+1)/$AG562)))</f>
        <v/>
      </c>
      <c r="G562" s="56">
        <f>IF($B562=0,"",IF(Inputs!$B$10="","",IF($AH562=0,G561,SUMIFS(Data!$R$10:$R$3209,Data!$Q$10:$Q$3209,"&gt;="&amp;$A562,Data!$Q$10:$Q$3209,"&lt;"&amp;$A562+1)/$AH562)))</f>
        <v/>
      </c>
      <c r="I562" s="54">
        <f>IF($B562=0,NA(),IF($C562="",NA(),IF(C$8="",NA(),IF(N(C$8)=0,NA(),IF(Inputs!$C$17="Rebased to 100",$C562/C$8*100,$C562)))))</f>
        <v/>
      </c>
      <c r="J562" s="54">
        <f>IF($B562=0,NA(),IF($D562="",NA(),IF(D$8="",NA(),IF(N(D$8)=0,NA(),IF(Inputs!$C$17="Rebased to 100",$D562/D$8*100,$D562)))))</f>
        <v/>
      </c>
      <c r="K562" s="54">
        <f>IF($B562=0,NA(),IF($E562="",NA(),IF(E$8="",NA(),IF(N(E$8)=0,NA(),IF(Inputs!$C$17="Rebased to 100",$E562/E$8*100,$E562)))))</f>
        <v/>
      </c>
      <c r="L562" s="54">
        <f>IF($B562=0,NA(),IF($F562="",NA(),IF(F$8="",NA(),IF(N(F$8)=0,NA(),IF(Inputs!$C$17="Rebased to 100",$F562/F$8*100,$F562)))))</f>
        <v/>
      </c>
      <c r="M562" s="54">
        <f>IF($B562=0,NA(),IF($G562="",NA(),IF(G$8="",NA(),IF(N(G$8)=0,NA(),IF(Inputs!$C$17="Rebased to 100",$G562/G$8*100,$G562)))))</f>
        <v/>
      </c>
      <c r="N562" s="54">
        <f>IF($B562=0,NA(),IF(Inputs!$C$18&lt;&gt;"Yes",NA(),IF(COUNT(I562,J562,K562,L562,M562)=0,NA(),MIN(I562,J562,K562,L562,M562))))</f>
        <v/>
      </c>
      <c r="O562" s="54">
        <f>IF($B562=0,NA(),IF(Inputs!$B$24&lt;&gt;"Yes",NA(),Inputs!$D$24*Inputs!$C$35))</f>
        <v/>
      </c>
      <c r="P562" s="54">
        <f>IF($B562=0,NA(),IF(Inputs!$B$25&lt;&gt;"Yes",NA(),Inputs!$D$25*Inputs!$C$35))</f>
        <v/>
      </c>
      <c r="Q562" s="54">
        <f>IF($B562=0,NA(),IF(Inputs!$B$26&lt;&gt;"Yes",NA(),Inputs!$D$26*Inputs!$C$35))</f>
        <v/>
      </c>
      <c r="R562" s="54">
        <f>IF($B562=0,NA(),IF(Inputs!$B$27&lt;&gt;"Yes",NA(),Inputs!$D$27*Inputs!$C$35))</f>
        <v/>
      </c>
      <c r="S562" s="54">
        <f>IF($B562=0,NA(),IF(Inputs!$B$28&lt;&gt;"Yes",NA(),Inputs!$D$28*Inputs!$C$35))</f>
        <v/>
      </c>
      <c r="T562" s="54">
        <f>IF($B562=0,NA(),IF(Inputs!$B$29&lt;&gt;"Yes",NA(),Inputs!$D$29*Inputs!$C$35))</f>
        <v/>
      </c>
      <c r="AD562">
        <f>IF($B562=0,0,IF(Inputs!$B$6="",0,COUNTIFS(Data!$A$10:$A$3209,"&gt;="&amp;$A562,Data!$A$10:$A$3209,"&lt;"&amp;$A562+1)))</f>
        <v/>
      </c>
      <c r="AE562">
        <f>IF($B562=0,0,IF(Inputs!$B$7="",0,COUNTIFS(Data!$E$10:$E$3209,"&gt;="&amp;$A562,Data!$E$10:$E$3209,"&lt;"&amp;$A562+1)))</f>
        <v/>
      </c>
      <c r="AF562">
        <f>IF($B562=0,0,IF(Inputs!$B$8="",0,COUNTIFS(Data!$I$10:$I$3209,"&gt;="&amp;$A562,Data!$I$10:$I$3209,"&lt;"&amp;$A562+1)))</f>
        <v/>
      </c>
      <c r="AG562">
        <f>IF($B562=0,0,IF(Inputs!$B$9="",0,COUNTIFS(Data!$M$10:$M$3209,"&gt;="&amp;$A562,Data!$M$10:$M$3209,"&lt;"&amp;$A562+1)))</f>
        <v/>
      </c>
      <c r="AH562">
        <f>IF($B562=0,0,IF(Inputs!$B$10="",0,COUNTIFS(Data!$Q$10:$Q$3209,"&gt;="&amp;$A562,Data!$Q$10:$Q$3209,"&lt;"&amp;$A562+1)))</f>
        <v/>
      </c>
    </row>
    <row r="563">
      <c r="A563" s="55">
        <f>MIN(Inputs!$C$15,$A562+IF(WEEKDAY($A562,2)=5,3,1))</f>
        <v/>
      </c>
      <c r="B563">
        <f>IF($A563&gt;$A562,1,0)</f>
        <v/>
      </c>
      <c r="C563" s="56">
        <f>IF($B563=0,"",IF(Inputs!$B$6="","",IF($AD563=0,C562,SUMIFS(Data!$B$10:$B$3209,Data!$A$10:$A$3209,"&gt;="&amp;$A563,Data!$A$10:$A$3209,"&lt;"&amp;$A563+1)/$AD563)))</f>
        <v/>
      </c>
      <c r="D563" s="56">
        <f>IF($B563=0,"",IF(Inputs!$B$7="","",IF($AE563=0,D562,SUMIFS(Data!$F$10:$F$3209,Data!$E$10:$E$3209,"&gt;="&amp;$A563,Data!$E$10:$E$3209,"&lt;"&amp;$A563+1)/$AE563)))</f>
        <v/>
      </c>
      <c r="E563" s="56">
        <f>IF($B563=0,"",IF(Inputs!$B$8="","",IF($AF563=0,E562,SUMIFS(Data!$J$10:$J$3209,Data!$I$10:$I$3209,"&gt;="&amp;$A563,Data!$I$10:$I$3209,"&lt;"&amp;$A563+1)/$AF563)))</f>
        <v/>
      </c>
      <c r="F563" s="56">
        <f>IF($B563=0,"",IF(Inputs!$B$9="","",IF($AG563=0,F562,SUMIFS(Data!$N$10:$N$3209,Data!$M$10:$M$3209,"&gt;="&amp;$A563,Data!$M$10:$M$3209,"&lt;"&amp;$A563+1)/$AG563)))</f>
        <v/>
      </c>
      <c r="G563" s="56">
        <f>IF($B563=0,"",IF(Inputs!$B$10="","",IF($AH563=0,G562,SUMIFS(Data!$R$10:$R$3209,Data!$Q$10:$Q$3209,"&gt;="&amp;$A563,Data!$Q$10:$Q$3209,"&lt;"&amp;$A563+1)/$AH563)))</f>
        <v/>
      </c>
      <c r="I563" s="54">
        <f>IF($B563=0,NA(),IF($C563="",NA(),IF(C$8="",NA(),IF(N(C$8)=0,NA(),IF(Inputs!$C$17="Rebased to 100",$C563/C$8*100,$C563)))))</f>
        <v/>
      </c>
      <c r="J563" s="54">
        <f>IF($B563=0,NA(),IF($D563="",NA(),IF(D$8="",NA(),IF(N(D$8)=0,NA(),IF(Inputs!$C$17="Rebased to 100",$D563/D$8*100,$D563)))))</f>
        <v/>
      </c>
      <c r="K563" s="54">
        <f>IF($B563=0,NA(),IF($E563="",NA(),IF(E$8="",NA(),IF(N(E$8)=0,NA(),IF(Inputs!$C$17="Rebased to 100",$E563/E$8*100,$E563)))))</f>
        <v/>
      </c>
      <c r="L563" s="54">
        <f>IF($B563=0,NA(),IF($F563="",NA(),IF(F$8="",NA(),IF(N(F$8)=0,NA(),IF(Inputs!$C$17="Rebased to 100",$F563/F$8*100,$F563)))))</f>
        <v/>
      </c>
      <c r="M563" s="54">
        <f>IF($B563=0,NA(),IF($G563="",NA(),IF(G$8="",NA(),IF(N(G$8)=0,NA(),IF(Inputs!$C$17="Rebased to 100",$G563/G$8*100,$G563)))))</f>
        <v/>
      </c>
      <c r="N563" s="54">
        <f>IF($B563=0,NA(),IF(Inputs!$C$18&lt;&gt;"Yes",NA(),IF(COUNT(I563,J563,K563,L563,M563)=0,NA(),MIN(I563,J563,K563,L563,M563))))</f>
        <v/>
      </c>
      <c r="O563" s="54">
        <f>IF($B563=0,NA(),IF(Inputs!$B$24&lt;&gt;"Yes",NA(),Inputs!$D$24*Inputs!$C$35))</f>
        <v/>
      </c>
      <c r="P563" s="54">
        <f>IF($B563=0,NA(),IF(Inputs!$B$25&lt;&gt;"Yes",NA(),Inputs!$D$25*Inputs!$C$35))</f>
        <v/>
      </c>
      <c r="Q563" s="54">
        <f>IF($B563=0,NA(),IF(Inputs!$B$26&lt;&gt;"Yes",NA(),Inputs!$D$26*Inputs!$C$35))</f>
        <v/>
      </c>
      <c r="R563" s="54">
        <f>IF($B563=0,NA(),IF(Inputs!$B$27&lt;&gt;"Yes",NA(),Inputs!$D$27*Inputs!$C$35))</f>
        <v/>
      </c>
      <c r="S563" s="54">
        <f>IF($B563=0,NA(),IF(Inputs!$B$28&lt;&gt;"Yes",NA(),Inputs!$D$28*Inputs!$C$35))</f>
        <v/>
      </c>
      <c r="T563" s="54">
        <f>IF($B563=0,NA(),IF(Inputs!$B$29&lt;&gt;"Yes",NA(),Inputs!$D$29*Inputs!$C$35))</f>
        <v/>
      </c>
      <c r="AD563">
        <f>IF($B563=0,0,IF(Inputs!$B$6="",0,COUNTIFS(Data!$A$10:$A$3209,"&gt;="&amp;$A563,Data!$A$10:$A$3209,"&lt;"&amp;$A563+1)))</f>
        <v/>
      </c>
      <c r="AE563">
        <f>IF($B563=0,0,IF(Inputs!$B$7="",0,COUNTIFS(Data!$E$10:$E$3209,"&gt;="&amp;$A563,Data!$E$10:$E$3209,"&lt;"&amp;$A563+1)))</f>
        <v/>
      </c>
      <c r="AF563">
        <f>IF($B563=0,0,IF(Inputs!$B$8="",0,COUNTIFS(Data!$I$10:$I$3209,"&gt;="&amp;$A563,Data!$I$10:$I$3209,"&lt;"&amp;$A563+1)))</f>
        <v/>
      </c>
      <c r="AG563">
        <f>IF($B563=0,0,IF(Inputs!$B$9="",0,COUNTIFS(Data!$M$10:$M$3209,"&gt;="&amp;$A563,Data!$M$10:$M$3209,"&lt;"&amp;$A563+1)))</f>
        <v/>
      </c>
      <c r="AH563">
        <f>IF($B563=0,0,IF(Inputs!$B$10="",0,COUNTIFS(Data!$Q$10:$Q$3209,"&gt;="&amp;$A563,Data!$Q$10:$Q$3209,"&lt;"&amp;$A563+1)))</f>
        <v/>
      </c>
    </row>
    <row r="564">
      <c r="A564" s="55">
        <f>MIN(Inputs!$C$15,$A563+IF(WEEKDAY($A563,2)=5,3,1))</f>
        <v/>
      </c>
      <c r="B564">
        <f>IF($A564&gt;$A563,1,0)</f>
        <v/>
      </c>
      <c r="C564" s="56">
        <f>IF($B564=0,"",IF(Inputs!$B$6="","",IF($AD564=0,C563,SUMIFS(Data!$B$10:$B$3209,Data!$A$10:$A$3209,"&gt;="&amp;$A564,Data!$A$10:$A$3209,"&lt;"&amp;$A564+1)/$AD564)))</f>
        <v/>
      </c>
      <c r="D564" s="56">
        <f>IF($B564=0,"",IF(Inputs!$B$7="","",IF($AE564=0,D563,SUMIFS(Data!$F$10:$F$3209,Data!$E$10:$E$3209,"&gt;="&amp;$A564,Data!$E$10:$E$3209,"&lt;"&amp;$A564+1)/$AE564)))</f>
        <v/>
      </c>
      <c r="E564" s="56">
        <f>IF($B564=0,"",IF(Inputs!$B$8="","",IF($AF564=0,E563,SUMIFS(Data!$J$10:$J$3209,Data!$I$10:$I$3209,"&gt;="&amp;$A564,Data!$I$10:$I$3209,"&lt;"&amp;$A564+1)/$AF564)))</f>
        <v/>
      </c>
      <c r="F564" s="56">
        <f>IF($B564=0,"",IF(Inputs!$B$9="","",IF($AG564=0,F563,SUMIFS(Data!$N$10:$N$3209,Data!$M$10:$M$3209,"&gt;="&amp;$A564,Data!$M$10:$M$3209,"&lt;"&amp;$A564+1)/$AG564)))</f>
        <v/>
      </c>
      <c r="G564" s="56">
        <f>IF($B564=0,"",IF(Inputs!$B$10="","",IF($AH564=0,G563,SUMIFS(Data!$R$10:$R$3209,Data!$Q$10:$Q$3209,"&gt;="&amp;$A564,Data!$Q$10:$Q$3209,"&lt;"&amp;$A564+1)/$AH564)))</f>
        <v/>
      </c>
      <c r="I564" s="54">
        <f>IF($B564=0,NA(),IF($C564="",NA(),IF(C$8="",NA(),IF(N(C$8)=0,NA(),IF(Inputs!$C$17="Rebased to 100",$C564/C$8*100,$C564)))))</f>
        <v/>
      </c>
      <c r="J564" s="54">
        <f>IF($B564=0,NA(),IF($D564="",NA(),IF(D$8="",NA(),IF(N(D$8)=0,NA(),IF(Inputs!$C$17="Rebased to 100",$D564/D$8*100,$D564)))))</f>
        <v/>
      </c>
      <c r="K564" s="54">
        <f>IF($B564=0,NA(),IF($E564="",NA(),IF(E$8="",NA(),IF(N(E$8)=0,NA(),IF(Inputs!$C$17="Rebased to 100",$E564/E$8*100,$E564)))))</f>
        <v/>
      </c>
      <c r="L564" s="54">
        <f>IF($B564=0,NA(),IF($F564="",NA(),IF(F$8="",NA(),IF(N(F$8)=0,NA(),IF(Inputs!$C$17="Rebased to 100",$F564/F$8*100,$F564)))))</f>
        <v/>
      </c>
      <c r="M564" s="54">
        <f>IF($B564=0,NA(),IF($G564="",NA(),IF(G$8="",NA(),IF(N(G$8)=0,NA(),IF(Inputs!$C$17="Rebased to 100",$G564/G$8*100,$G564)))))</f>
        <v/>
      </c>
      <c r="N564" s="54">
        <f>IF($B564=0,NA(),IF(Inputs!$C$18&lt;&gt;"Yes",NA(),IF(COUNT(I564,J564,K564,L564,M564)=0,NA(),MIN(I564,J564,K564,L564,M564))))</f>
        <v/>
      </c>
      <c r="O564" s="54">
        <f>IF($B564=0,NA(),IF(Inputs!$B$24&lt;&gt;"Yes",NA(),Inputs!$D$24*Inputs!$C$35))</f>
        <v/>
      </c>
      <c r="P564" s="54">
        <f>IF($B564=0,NA(),IF(Inputs!$B$25&lt;&gt;"Yes",NA(),Inputs!$D$25*Inputs!$C$35))</f>
        <v/>
      </c>
      <c r="Q564" s="54">
        <f>IF($B564=0,NA(),IF(Inputs!$B$26&lt;&gt;"Yes",NA(),Inputs!$D$26*Inputs!$C$35))</f>
        <v/>
      </c>
      <c r="R564" s="54">
        <f>IF($B564=0,NA(),IF(Inputs!$B$27&lt;&gt;"Yes",NA(),Inputs!$D$27*Inputs!$C$35))</f>
        <v/>
      </c>
      <c r="S564" s="54">
        <f>IF($B564=0,NA(),IF(Inputs!$B$28&lt;&gt;"Yes",NA(),Inputs!$D$28*Inputs!$C$35))</f>
        <v/>
      </c>
      <c r="T564" s="54">
        <f>IF($B564=0,NA(),IF(Inputs!$B$29&lt;&gt;"Yes",NA(),Inputs!$D$29*Inputs!$C$35))</f>
        <v/>
      </c>
      <c r="AD564">
        <f>IF($B564=0,0,IF(Inputs!$B$6="",0,COUNTIFS(Data!$A$10:$A$3209,"&gt;="&amp;$A564,Data!$A$10:$A$3209,"&lt;"&amp;$A564+1)))</f>
        <v/>
      </c>
      <c r="AE564">
        <f>IF($B564=0,0,IF(Inputs!$B$7="",0,COUNTIFS(Data!$E$10:$E$3209,"&gt;="&amp;$A564,Data!$E$10:$E$3209,"&lt;"&amp;$A564+1)))</f>
        <v/>
      </c>
      <c r="AF564">
        <f>IF($B564=0,0,IF(Inputs!$B$8="",0,COUNTIFS(Data!$I$10:$I$3209,"&gt;="&amp;$A564,Data!$I$10:$I$3209,"&lt;"&amp;$A564+1)))</f>
        <v/>
      </c>
      <c r="AG564">
        <f>IF($B564=0,0,IF(Inputs!$B$9="",0,COUNTIFS(Data!$M$10:$M$3209,"&gt;="&amp;$A564,Data!$M$10:$M$3209,"&lt;"&amp;$A564+1)))</f>
        <v/>
      </c>
      <c r="AH564">
        <f>IF($B564=0,0,IF(Inputs!$B$10="",0,COUNTIFS(Data!$Q$10:$Q$3209,"&gt;="&amp;$A564,Data!$Q$10:$Q$3209,"&lt;"&amp;$A564+1)))</f>
        <v/>
      </c>
    </row>
    <row r="565">
      <c r="A565" s="55">
        <f>MIN(Inputs!$C$15,$A564+IF(WEEKDAY($A564,2)=5,3,1))</f>
        <v/>
      </c>
      <c r="B565">
        <f>IF($A565&gt;$A564,1,0)</f>
        <v/>
      </c>
      <c r="C565" s="56">
        <f>IF($B565=0,"",IF(Inputs!$B$6="","",IF($AD565=0,C564,SUMIFS(Data!$B$10:$B$3209,Data!$A$10:$A$3209,"&gt;="&amp;$A565,Data!$A$10:$A$3209,"&lt;"&amp;$A565+1)/$AD565)))</f>
        <v/>
      </c>
      <c r="D565" s="56">
        <f>IF($B565=0,"",IF(Inputs!$B$7="","",IF($AE565=0,D564,SUMIFS(Data!$F$10:$F$3209,Data!$E$10:$E$3209,"&gt;="&amp;$A565,Data!$E$10:$E$3209,"&lt;"&amp;$A565+1)/$AE565)))</f>
        <v/>
      </c>
      <c r="E565" s="56">
        <f>IF($B565=0,"",IF(Inputs!$B$8="","",IF($AF565=0,E564,SUMIFS(Data!$J$10:$J$3209,Data!$I$10:$I$3209,"&gt;="&amp;$A565,Data!$I$10:$I$3209,"&lt;"&amp;$A565+1)/$AF565)))</f>
        <v/>
      </c>
      <c r="F565" s="56">
        <f>IF($B565=0,"",IF(Inputs!$B$9="","",IF($AG565=0,F564,SUMIFS(Data!$N$10:$N$3209,Data!$M$10:$M$3209,"&gt;="&amp;$A565,Data!$M$10:$M$3209,"&lt;"&amp;$A565+1)/$AG565)))</f>
        <v/>
      </c>
      <c r="G565" s="56">
        <f>IF($B565=0,"",IF(Inputs!$B$10="","",IF($AH565=0,G564,SUMIFS(Data!$R$10:$R$3209,Data!$Q$10:$Q$3209,"&gt;="&amp;$A565,Data!$Q$10:$Q$3209,"&lt;"&amp;$A565+1)/$AH565)))</f>
        <v/>
      </c>
      <c r="I565" s="54">
        <f>IF($B565=0,NA(),IF($C565="",NA(),IF(C$8="",NA(),IF(N(C$8)=0,NA(),IF(Inputs!$C$17="Rebased to 100",$C565/C$8*100,$C565)))))</f>
        <v/>
      </c>
      <c r="J565" s="54">
        <f>IF($B565=0,NA(),IF($D565="",NA(),IF(D$8="",NA(),IF(N(D$8)=0,NA(),IF(Inputs!$C$17="Rebased to 100",$D565/D$8*100,$D565)))))</f>
        <v/>
      </c>
      <c r="K565" s="54">
        <f>IF($B565=0,NA(),IF($E565="",NA(),IF(E$8="",NA(),IF(N(E$8)=0,NA(),IF(Inputs!$C$17="Rebased to 100",$E565/E$8*100,$E565)))))</f>
        <v/>
      </c>
      <c r="L565" s="54">
        <f>IF($B565=0,NA(),IF($F565="",NA(),IF(F$8="",NA(),IF(N(F$8)=0,NA(),IF(Inputs!$C$17="Rebased to 100",$F565/F$8*100,$F565)))))</f>
        <v/>
      </c>
      <c r="M565" s="54">
        <f>IF($B565=0,NA(),IF($G565="",NA(),IF(G$8="",NA(),IF(N(G$8)=0,NA(),IF(Inputs!$C$17="Rebased to 100",$G565/G$8*100,$G565)))))</f>
        <v/>
      </c>
      <c r="N565" s="54">
        <f>IF($B565=0,NA(),IF(Inputs!$C$18&lt;&gt;"Yes",NA(),IF(COUNT(I565,J565,K565,L565,M565)=0,NA(),MIN(I565,J565,K565,L565,M565))))</f>
        <v/>
      </c>
      <c r="O565" s="54">
        <f>IF($B565=0,NA(),IF(Inputs!$B$24&lt;&gt;"Yes",NA(),Inputs!$D$24*Inputs!$C$35))</f>
        <v/>
      </c>
      <c r="P565" s="54">
        <f>IF($B565=0,NA(),IF(Inputs!$B$25&lt;&gt;"Yes",NA(),Inputs!$D$25*Inputs!$C$35))</f>
        <v/>
      </c>
      <c r="Q565" s="54">
        <f>IF($B565=0,NA(),IF(Inputs!$B$26&lt;&gt;"Yes",NA(),Inputs!$D$26*Inputs!$C$35))</f>
        <v/>
      </c>
      <c r="R565" s="54">
        <f>IF($B565=0,NA(),IF(Inputs!$B$27&lt;&gt;"Yes",NA(),Inputs!$D$27*Inputs!$C$35))</f>
        <v/>
      </c>
      <c r="S565" s="54">
        <f>IF($B565=0,NA(),IF(Inputs!$B$28&lt;&gt;"Yes",NA(),Inputs!$D$28*Inputs!$C$35))</f>
        <v/>
      </c>
      <c r="T565" s="54">
        <f>IF($B565=0,NA(),IF(Inputs!$B$29&lt;&gt;"Yes",NA(),Inputs!$D$29*Inputs!$C$35))</f>
        <v/>
      </c>
      <c r="AD565">
        <f>IF($B565=0,0,IF(Inputs!$B$6="",0,COUNTIFS(Data!$A$10:$A$3209,"&gt;="&amp;$A565,Data!$A$10:$A$3209,"&lt;"&amp;$A565+1)))</f>
        <v/>
      </c>
      <c r="AE565">
        <f>IF($B565=0,0,IF(Inputs!$B$7="",0,COUNTIFS(Data!$E$10:$E$3209,"&gt;="&amp;$A565,Data!$E$10:$E$3209,"&lt;"&amp;$A565+1)))</f>
        <v/>
      </c>
      <c r="AF565">
        <f>IF($B565=0,0,IF(Inputs!$B$8="",0,COUNTIFS(Data!$I$10:$I$3209,"&gt;="&amp;$A565,Data!$I$10:$I$3209,"&lt;"&amp;$A565+1)))</f>
        <v/>
      </c>
      <c r="AG565">
        <f>IF($B565=0,0,IF(Inputs!$B$9="",0,COUNTIFS(Data!$M$10:$M$3209,"&gt;="&amp;$A565,Data!$M$10:$M$3209,"&lt;"&amp;$A565+1)))</f>
        <v/>
      </c>
      <c r="AH565">
        <f>IF($B565=0,0,IF(Inputs!$B$10="",0,COUNTIFS(Data!$Q$10:$Q$3209,"&gt;="&amp;$A565,Data!$Q$10:$Q$3209,"&lt;"&amp;$A565+1)))</f>
        <v/>
      </c>
    </row>
    <row r="566">
      <c r="A566" s="55">
        <f>MIN(Inputs!$C$15,$A565+IF(WEEKDAY($A565,2)=5,3,1))</f>
        <v/>
      </c>
      <c r="B566">
        <f>IF($A566&gt;$A565,1,0)</f>
        <v/>
      </c>
      <c r="C566" s="56">
        <f>IF($B566=0,"",IF(Inputs!$B$6="","",IF($AD566=0,C565,SUMIFS(Data!$B$10:$B$3209,Data!$A$10:$A$3209,"&gt;="&amp;$A566,Data!$A$10:$A$3209,"&lt;"&amp;$A566+1)/$AD566)))</f>
        <v/>
      </c>
      <c r="D566" s="56">
        <f>IF($B566=0,"",IF(Inputs!$B$7="","",IF($AE566=0,D565,SUMIFS(Data!$F$10:$F$3209,Data!$E$10:$E$3209,"&gt;="&amp;$A566,Data!$E$10:$E$3209,"&lt;"&amp;$A566+1)/$AE566)))</f>
        <v/>
      </c>
      <c r="E566" s="56">
        <f>IF($B566=0,"",IF(Inputs!$B$8="","",IF($AF566=0,E565,SUMIFS(Data!$J$10:$J$3209,Data!$I$10:$I$3209,"&gt;="&amp;$A566,Data!$I$10:$I$3209,"&lt;"&amp;$A566+1)/$AF566)))</f>
        <v/>
      </c>
      <c r="F566" s="56">
        <f>IF($B566=0,"",IF(Inputs!$B$9="","",IF($AG566=0,F565,SUMIFS(Data!$N$10:$N$3209,Data!$M$10:$M$3209,"&gt;="&amp;$A566,Data!$M$10:$M$3209,"&lt;"&amp;$A566+1)/$AG566)))</f>
        <v/>
      </c>
      <c r="G566" s="56">
        <f>IF($B566=0,"",IF(Inputs!$B$10="","",IF($AH566=0,G565,SUMIFS(Data!$R$10:$R$3209,Data!$Q$10:$Q$3209,"&gt;="&amp;$A566,Data!$Q$10:$Q$3209,"&lt;"&amp;$A566+1)/$AH566)))</f>
        <v/>
      </c>
      <c r="I566" s="54">
        <f>IF($B566=0,NA(),IF($C566="",NA(),IF(C$8="",NA(),IF(N(C$8)=0,NA(),IF(Inputs!$C$17="Rebased to 100",$C566/C$8*100,$C566)))))</f>
        <v/>
      </c>
      <c r="J566" s="54">
        <f>IF($B566=0,NA(),IF($D566="",NA(),IF(D$8="",NA(),IF(N(D$8)=0,NA(),IF(Inputs!$C$17="Rebased to 100",$D566/D$8*100,$D566)))))</f>
        <v/>
      </c>
      <c r="K566" s="54">
        <f>IF($B566=0,NA(),IF($E566="",NA(),IF(E$8="",NA(),IF(N(E$8)=0,NA(),IF(Inputs!$C$17="Rebased to 100",$E566/E$8*100,$E566)))))</f>
        <v/>
      </c>
      <c r="L566" s="54">
        <f>IF($B566=0,NA(),IF($F566="",NA(),IF(F$8="",NA(),IF(N(F$8)=0,NA(),IF(Inputs!$C$17="Rebased to 100",$F566/F$8*100,$F566)))))</f>
        <v/>
      </c>
      <c r="M566" s="54">
        <f>IF($B566=0,NA(),IF($G566="",NA(),IF(G$8="",NA(),IF(N(G$8)=0,NA(),IF(Inputs!$C$17="Rebased to 100",$G566/G$8*100,$G566)))))</f>
        <v/>
      </c>
      <c r="N566" s="54">
        <f>IF($B566=0,NA(),IF(Inputs!$C$18&lt;&gt;"Yes",NA(),IF(COUNT(I566,J566,K566,L566,M566)=0,NA(),MIN(I566,J566,K566,L566,M566))))</f>
        <v/>
      </c>
      <c r="O566" s="54">
        <f>IF($B566=0,NA(),IF(Inputs!$B$24&lt;&gt;"Yes",NA(),Inputs!$D$24*Inputs!$C$35))</f>
        <v/>
      </c>
      <c r="P566" s="54">
        <f>IF($B566=0,NA(),IF(Inputs!$B$25&lt;&gt;"Yes",NA(),Inputs!$D$25*Inputs!$C$35))</f>
        <v/>
      </c>
      <c r="Q566" s="54">
        <f>IF($B566=0,NA(),IF(Inputs!$B$26&lt;&gt;"Yes",NA(),Inputs!$D$26*Inputs!$C$35))</f>
        <v/>
      </c>
      <c r="R566" s="54">
        <f>IF($B566=0,NA(),IF(Inputs!$B$27&lt;&gt;"Yes",NA(),Inputs!$D$27*Inputs!$C$35))</f>
        <v/>
      </c>
      <c r="S566" s="54">
        <f>IF($B566=0,NA(),IF(Inputs!$B$28&lt;&gt;"Yes",NA(),Inputs!$D$28*Inputs!$C$35))</f>
        <v/>
      </c>
      <c r="T566" s="54">
        <f>IF($B566=0,NA(),IF(Inputs!$B$29&lt;&gt;"Yes",NA(),Inputs!$D$29*Inputs!$C$35))</f>
        <v/>
      </c>
      <c r="AD566">
        <f>IF($B566=0,0,IF(Inputs!$B$6="",0,COUNTIFS(Data!$A$10:$A$3209,"&gt;="&amp;$A566,Data!$A$10:$A$3209,"&lt;"&amp;$A566+1)))</f>
        <v/>
      </c>
      <c r="AE566">
        <f>IF($B566=0,0,IF(Inputs!$B$7="",0,COUNTIFS(Data!$E$10:$E$3209,"&gt;="&amp;$A566,Data!$E$10:$E$3209,"&lt;"&amp;$A566+1)))</f>
        <v/>
      </c>
      <c r="AF566">
        <f>IF($B566=0,0,IF(Inputs!$B$8="",0,COUNTIFS(Data!$I$10:$I$3209,"&gt;="&amp;$A566,Data!$I$10:$I$3209,"&lt;"&amp;$A566+1)))</f>
        <v/>
      </c>
      <c r="AG566">
        <f>IF($B566=0,0,IF(Inputs!$B$9="",0,COUNTIFS(Data!$M$10:$M$3209,"&gt;="&amp;$A566,Data!$M$10:$M$3209,"&lt;"&amp;$A566+1)))</f>
        <v/>
      </c>
      <c r="AH566">
        <f>IF($B566=0,0,IF(Inputs!$B$10="",0,COUNTIFS(Data!$Q$10:$Q$3209,"&gt;="&amp;$A566,Data!$Q$10:$Q$3209,"&lt;"&amp;$A566+1)))</f>
        <v/>
      </c>
    </row>
    <row r="567">
      <c r="A567" s="55">
        <f>MIN(Inputs!$C$15,$A566+IF(WEEKDAY($A566,2)=5,3,1))</f>
        <v/>
      </c>
      <c r="B567">
        <f>IF($A567&gt;$A566,1,0)</f>
        <v/>
      </c>
      <c r="C567" s="56">
        <f>IF($B567=0,"",IF(Inputs!$B$6="","",IF($AD567=0,C566,SUMIFS(Data!$B$10:$B$3209,Data!$A$10:$A$3209,"&gt;="&amp;$A567,Data!$A$10:$A$3209,"&lt;"&amp;$A567+1)/$AD567)))</f>
        <v/>
      </c>
      <c r="D567" s="56">
        <f>IF($B567=0,"",IF(Inputs!$B$7="","",IF($AE567=0,D566,SUMIFS(Data!$F$10:$F$3209,Data!$E$10:$E$3209,"&gt;="&amp;$A567,Data!$E$10:$E$3209,"&lt;"&amp;$A567+1)/$AE567)))</f>
        <v/>
      </c>
      <c r="E567" s="56">
        <f>IF($B567=0,"",IF(Inputs!$B$8="","",IF($AF567=0,E566,SUMIFS(Data!$J$10:$J$3209,Data!$I$10:$I$3209,"&gt;="&amp;$A567,Data!$I$10:$I$3209,"&lt;"&amp;$A567+1)/$AF567)))</f>
        <v/>
      </c>
      <c r="F567" s="56">
        <f>IF($B567=0,"",IF(Inputs!$B$9="","",IF($AG567=0,F566,SUMIFS(Data!$N$10:$N$3209,Data!$M$10:$M$3209,"&gt;="&amp;$A567,Data!$M$10:$M$3209,"&lt;"&amp;$A567+1)/$AG567)))</f>
        <v/>
      </c>
      <c r="G567" s="56">
        <f>IF($B567=0,"",IF(Inputs!$B$10="","",IF($AH567=0,G566,SUMIFS(Data!$R$10:$R$3209,Data!$Q$10:$Q$3209,"&gt;="&amp;$A567,Data!$Q$10:$Q$3209,"&lt;"&amp;$A567+1)/$AH567)))</f>
        <v/>
      </c>
      <c r="I567" s="54">
        <f>IF($B567=0,NA(),IF($C567="",NA(),IF(C$8="",NA(),IF(N(C$8)=0,NA(),IF(Inputs!$C$17="Rebased to 100",$C567/C$8*100,$C567)))))</f>
        <v/>
      </c>
      <c r="J567" s="54">
        <f>IF($B567=0,NA(),IF($D567="",NA(),IF(D$8="",NA(),IF(N(D$8)=0,NA(),IF(Inputs!$C$17="Rebased to 100",$D567/D$8*100,$D567)))))</f>
        <v/>
      </c>
      <c r="K567" s="54">
        <f>IF($B567=0,NA(),IF($E567="",NA(),IF(E$8="",NA(),IF(N(E$8)=0,NA(),IF(Inputs!$C$17="Rebased to 100",$E567/E$8*100,$E567)))))</f>
        <v/>
      </c>
      <c r="L567" s="54">
        <f>IF($B567=0,NA(),IF($F567="",NA(),IF(F$8="",NA(),IF(N(F$8)=0,NA(),IF(Inputs!$C$17="Rebased to 100",$F567/F$8*100,$F567)))))</f>
        <v/>
      </c>
      <c r="M567" s="54">
        <f>IF($B567=0,NA(),IF($G567="",NA(),IF(G$8="",NA(),IF(N(G$8)=0,NA(),IF(Inputs!$C$17="Rebased to 100",$G567/G$8*100,$G567)))))</f>
        <v/>
      </c>
      <c r="N567" s="54">
        <f>IF($B567=0,NA(),IF(Inputs!$C$18&lt;&gt;"Yes",NA(),IF(COUNT(I567,J567,K567,L567,M567)=0,NA(),MIN(I567,J567,K567,L567,M567))))</f>
        <v/>
      </c>
      <c r="O567" s="54">
        <f>IF($B567=0,NA(),IF(Inputs!$B$24&lt;&gt;"Yes",NA(),Inputs!$D$24*Inputs!$C$35))</f>
        <v/>
      </c>
      <c r="P567" s="54">
        <f>IF($B567=0,NA(),IF(Inputs!$B$25&lt;&gt;"Yes",NA(),Inputs!$D$25*Inputs!$C$35))</f>
        <v/>
      </c>
      <c r="Q567" s="54">
        <f>IF($B567=0,NA(),IF(Inputs!$B$26&lt;&gt;"Yes",NA(),Inputs!$D$26*Inputs!$C$35))</f>
        <v/>
      </c>
      <c r="R567" s="54">
        <f>IF($B567=0,NA(),IF(Inputs!$B$27&lt;&gt;"Yes",NA(),Inputs!$D$27*Inputs!$C$35))</f>
        <v/>
      </c>
      <c r="S567" s="54">
        <f>IF($B567=0,NA(),IF(Inputs!$B$28&lt;&gt;"Yes",NA(),Inputs!$D$28*Inputs!$C$35))</f>
        <v/>
      </c>
      <c r="T567" s="54">
        <f>IF($B567=0,NA(),IF(Inputs!$B$29&lt;&gt;"Yes",NA(),Inputs!$D$29*Inputs!$C$35))</f>
        <v/>
      </c>
      <c r="AD567">
        <f>IF($B567=0,0,IF(Inputs!$B$6="",0,COUNTIFS(Data!$A$10:$A$3209,"&gt;="&amp;$A567,Data!$A$10:$A$3209,"&lt;"&amp;$A567+1)))</f>
        <v/>
      </c>
      <c r="AE567">
        <f>IF($B567=0,0,IF(Inputs!$B$7="",0,COUNTIFS(Data!$E$10:$E$3209,"&gt;="&amp;$A567,Data!$E$10:$E$3209,"&lt;"&amp;$A567+1)))</f>
        <v/>
      </c>
      <c r="AF567">
        <f>IF($B567=0,0,IF(Inputs!$B$8="",0,COUNTIFS(Data!$I$10:$I$3209,"&gt;="&amp;$A567,Data!$I$10:$I$3209,"&lt;"&amp;$A567+1)))</f>
        <v/>
      </c>
      <c r="AG567">
        <f>IF($B567=0,0,IF(Inputs!$B$9="",0,COUNTIFS(Data!$M$10:$M$3209,"&gt;="&amp;$A567,Data!$M$10:$M$3209,"&lt;"&amp;$A567+1)))</f>
        <v/>
      </c>
      <c r="AH567">
        <f>IF($B567=0,0,IF(Inputs!$B$10="",0,COUNTIFS(Data!$Q$10:$Q$3209,"&gt;="&amp;$A567,Data!$Q$10:$Q$3209,"&lt;"&amp;$A567+1)))</f>
        <v/>
      </c>
    </row>
    <row r="568">
      <c r="A568" s="55">
        <f>MIN(Inputs!$C$15,$A567+IF(WEEKDAY($A567,2)=5,3,1))</f>
        <v/>
      </c>
      <c r="B568">
        <f>IF($A568&gt;$A567,1,0)</f>
        <v/>
      </c>
      <c r="C568" s="56">
        <f>IF($B568=0,"",IF(Inputs!$B$6="","",IF($AD568=0,C567,SUMIFS(Data!$B$10:$B$3209,Data!$A$10:$A$3209,"&gt;="&amp;$A568,Data!$A$10:$A$3209,"&lt;"&amp;$A568+1)/$AD568)))</f>
        <v/>
      </c>
      <c r="D568" s="56">
        <f>IF($B568=0,"",IF(Inputs!$B$7="","",IF($AE568=0,D567,SUMIFS(Data!$F$10:$F$3209,Data!$E$10:$E$3209,"&gt;="&amp;$A568,Data!$E$10:$E$3209,"&lt;"&amp;$A568+1)/$AE568)))</f>
        <v/>
      </c>
      <c r="E568" s="56">
        <f>IF($B568=0,"",IF(Inputs!$B$8="","",IF($AF568=0,E567,SUMIFS(Data!$J$10:$J$3209,Data!$I$10:$I$3209,"&gt;="&amp;$A568,Data!$I$10:$I$3209,"&lt;"&amp;$A568+1)/$AF568)))</f>
        <v/>
      </c>
      <c r="F568" s="56">
        <f>IF($B568=0,"",IF(Inputs!$B$9="","",IF($AG568=0,F567,SUMIFS(Data!$N$10:$N$3209,Data!$M$10:$M$3209,"&gt;="&amp;$A568,Data!$M$10:$M$3209,"&lt;"&amp;$A568+1)/$AG568)))</f>
        <v/>
      </c>
      <c r="G568" s="56">
        <f>IF($B568=0,"",IF(Inputs!$B$10="","",IF($AH568=0,G567,SUMIFS(Data!$R$10:$R$3209,Data!$Q$10:$Q$3209,"&gt;="&amp;$A568,Data!$Q$10:$Q$3209,"&lt;"&amp;$A568+1)/$AH568)))</f>
        <v/>
      </c>
      <c r="I568" s="54">
        <f>IF($B568=0,NA(),IF($C568="",NA(),IF(C$8="",NA(),IF(N(C$8)=0,NA(),IF(Inputs!$C$17="Rebased to 100",$C568/C$8*100,$C568)))))</f>
        <v/>
      </c>
      <c r="J568" s="54">
        <f>IF($B568=0,NA(),IF($D568="",NA(),IF(D$8="",NA(),IF(N(D$8)=0,NA(),IF(Inputs!$C$17="Rebased to 100",$D568/D$8*100,$D568)))))</f>
        <v/>
      </c>
      <c r="K568" s="54">
        <f>IF($B568=0,NA(),IF($E568="",NA(),IF(E$8="",NA(),IF(N(E$8)=0,NA(),IF(Inputs!$C$17="Rebased to 100",$E568/E$8*100,$E568)))))</f>
        <v/>
      </c>
      <c r="L568" s="54">
        <f>IF($B568=0,NA(),IF($F568="",NA(),IF(F$8="",NA(),IF(N(F$8)=0,NA(),IF(Inputs!$C$17="Rebased to 100",$F568/F$8*100,$F568)))))</f>
        <v/>
      </c>
      <c r="M568" s="54">
        <f>IF($B568=0,NA(),IF($G568="",NA(),IF(G$8="",NA(),IF(N(G$8)=0,NA(),IF(Inputs!$C$17="Rebased to 100",$G568/G$8*100,$G568)))))</f>
        <v/>
      </c>
      <c r="N568" s="54">
        <f>IF($B568=0,NA(),IF(Inputs!$C$18&lt;&gt;"Yes",NA(),IF(COUNT(I568,J568,K568,L568,M568)=0,NA(),MIN(I568,J568,K568,L568,M568))))</f>
        <v/>
      </c>
      <c r="O568" s="54">
        <f>IF($B568=0,NA(),IF(Inputs!$B$24&lt;&gt;"Yes",NA(),Inputs!$D$24*Inputs!$C$35))</f>
        <v/>
      </c>
      <c r="P568" s="54">
        <f>IF($B568=0,NA(),IF(Inputs!$B$25&lt;&gt;"Yes",NA(),Inputs!$D$25*Inputs!$C$35))</f>
        <v/>
      </c>
      <c r="Q568" s="54">
        <f>IF($B568=0,NA(),IF(Inputs!$B$26&lt;&gt;"Yes",NA(),Inputs!$D$26*Inputs!$C$35))</f>
        <v/>
      </c>
      <c r="R568" s="54">
        <f>IF($B568=0,NA(),IF(Inputs!$B$27&lt;&gt;"Yes",NA(),Inputs!$D$27*Inputs!$C$35))</f>
        <v/>
      </c>
      <c r="S568" s="54">
        <f>IF($B568=0,NA(),IF(Inputs!$B$28&lt;&gt;"Yes",NA(),Inputs!$D$28*Inputs!$C$35))</f>
        <v/>
      </c>
      <c r="T568" s="54">
        <f>IF($B568=0,NA(),IF(Inputs!$B$29&lt;&gt;"Yes",NA(),Inputs!$D$29*Inputs!$C$35))</f>
        <v/>
      </c>
      <c r="AD568">
        <f>IF($B568=0,0,IF(Inputs!$B$6="",0,COUNTIFS(Data!$A$10:$A$3209,"&gt;="&amp;$A568,Data!$A$10:$A$3209,"&lt;"&amp;$A568+1)))</f>
        <v/>
      </c>
      <c r="AE568">
        <f>IF($B568=0,0,IF(Inputs!$B$7="",0,COUNTIFS(Data!$E$10:$E$3209,"&gt;="&amp;$A568,Data!$E$10:$E$3209,"&lt;"&amp;$A568+1)))</f>
        <v/>
      </c>
      <c r="AF568">
        <f>IF($B568=0,0,IF(Inputs!$B$8="",0,COUNTIFS(Data!$I$10:$I$3209,"&gt;="&amp;$A568,Data!$I$10:$I$3209,"&lt;"&amp;$A568+1)))</f>
        <v/>
      </c>
      <c r="AG568">
        <f>IF($B568=0,0,IF(Inputs!$B$9="",0,COUNTIFS(Data!$M$10:$M$3209,"&gt;="&amp;$A568,Data!$M$10:$M$3209,"&lt;"&amp;$A568+1)))</f>
        <v/>
      </c>
      <c r="AH568">
        <f>IF($B568=0,0,IF(Inputs!$B$10="",0,COUNTIFS(Data!$Q$10:$Q$3209,"&gt;="&amp;$A568,Data!$Q$10:$Q$3209,"&lt;"&amp;$A568+1)))</f>
        <v/>
      </c>
    </row>
    <row r="569">
      <c r="A569" s="55">
        <f>MIN(Inputs!$C$15,$A568+IF(WEEKDAY($A568,2)=5,3,1))</f>
        <v/>
      </c>
      <c r="B569">
        <f>IF($A569&gt;$A568,1,0)</f>
        <v/>
      </c>
      <c r="C569" s="56">
        <f>IF($B569=0,"",IF(Inputs!$B$6="","",IF($AD569=0,C568,SUMIFS(Data!$B$10:$B$3209,Data!$A$10:$A$3209,"&gt;="&amp;$A569,Data!$A$10:$A$3209,"&lt;"&amp;$A569+1)/$AD569)))</f>
        <v/>
      </c>
      <c r="D569" s="56">
        <f>IF($B569=0,"",IF(Inputs!$B$7="","",IF($AE569=0,D568,SUMIFS(Data!$F$10:$F$3209,Data!$E$10:$E$3209,"&gt;="&amp;$A569,Data!$E$10:$E$3209,"&lt;"&amp;$A569+1)/$AE569)))</f>
        <v/>
      </c>
      <c r="E569" s="56">
        <f>IF($B569=0,"",IF(Inputs!$B$8="","",IF($AF569=0,E568,SUMIFS(Data!$J$10:$J$3209,Data!$I$10:$I$3209,"&gt;="&amp;$A569,Data!$I$10:$I$3209,"&lt;"&amp;$A569+1)/$AF569)))</f>
        <v/>
      </c>
      <c r="F569" s="56">
        <f>IF($B569=0,"",IF(Inputs!$B$9="","",IF($AG569=0,F568,SUMIFS(Data!$N$10:$N$3209,Data!$M$10:$M$3209,"&gt;="&amp;$A569,Data!$M$10:$M$3209,"&lt;"&amp;$A569+1)/$AG569)))</f>
        <v/>
      </c>
      <c r="G569" s="56">
        <f>IF($B569=0,"",IF(Inputs!$B$10="","",IF($AH569=0,G568,SUMIFS(Data!$R$10:$R$3209,Data!$Q$10:$Q$3209,"&gt;="&amp;$A569,Data!$Q$10:$Q$3209,"&lt;"&amp;$A569+1)/$AH569)))</f>
        <v/>
      </c>
      <c r="I569" s="54">
        <f>IF($B569=0,NA(),IF($C569="",NA(),IF(C$8="",NA(),IF(N(C$8)=0,NA(),IF(Inputs!$C$17="Rebased to 100",$C569/C$8*100,$C569)))))</f>
        <v/>
      </c>
      <c r="J569" s="54">
        <f>IF($B569=0,NA(),IF($D569="",NA(),IF(D$8="",NA(),IF(N(D$8)=0,NA(),IF(Inputs!$C$17="Rebased to 100",$D569/D$8*100,$D569)))))</f>
        <v/>
      </c>
      <c r="K569" s="54">
        <f>IF($B569=0,NA(),IF($E569="",NA(),IF(E$8="",NA(),IF(N(E$8)=0,NA(),IF(Inputs!$C$17="Rebased to 100",$E569/E$8*100,$E569)))))</f>
        <v/>
      </c>
      <c r="L569" s="54">
        <f>IF($B569=0,NA(),IF($F569="",NA(),IF(F$8="",NA(),IF(N(F$8)=0,NA(),IF(Inputs!$C$17="Rebased to 100",$F569/F$8*100,$F569)))))</f>
        <v/>
      </c>
      <c r="M569" s="54">
        <f>IF($B569=0,NA(),IF($G569="",NA(),IF(G$8="",NA(),IF(N(G$8)=0,NA(),IF(Inputs!$C$17="Rebased to 100",$G569/G$8*100,$G569)))))</f>
        <v/>
      </c>
      <c r="N569" s="54">
        <f>IF($B569=0,NA(),IF(Inputs!$C$18&lt;&gt;"Yes",NA(),IF(COUNT(I569,J569,K569,L569,M569)=0,NA(),MIN(I569,J569,K569,L569,M569))))</f>
        <v/>
      </c>
      <c r="O569" s="54">
        <f>IF($B569=0,NA(),IF(Inputs!$B$24&lt;&gt;"Yes",NA(),Inputs!$D$24*Inputs!$C$35))</f>
        <v/>
      </c>
      <c r="P569" s="54">
        <f>IF($B569=0,NA(),IF(Inputs!$B$25&lt;&gt;"Yes",NA(),Inputs!$D$25*Inputs!$C$35))</f>
        <v/>
      </c>
      <c r="Q569" s="54">
        <f>IF($B569=0,NA(),IF(Inputs!$B$26&lt;&gt;"Yes",NA(),Inputs!$D$26*Inputs!$C$35))</f>
        <v/>
      </c>
      <c r="R569" s="54">
        <f>IF($B569=0,NA(),IF(Inputs!$B$27&lt;&gt;"Yes",NA(),Inputs!$D$27*Inputs!$C$35))</f>
        <v/>
      </c>
      <c r="S569" s="54">
        <f>IF($B569=0,NA(),IF(Inputs!$B$28&lt;&gt;"Yes",NA(),Inputs!$D$28*Inputs!$C$35))</f>
        <v/>
      </c>
      <c r="T569" s="54">
        <f>IF($B569=0,NA(),IF(Inputs!$B$29&lt;&gt;"Yes",NA(),Inputs!$D$29*Inputs!$C$35))</f>
        <v/>
      </c>
      <c r="AD569">
        <f>IF($B569=0,0,IF(Inputs!$B$6="",0,COUNTIFS(Data!$A$10:$A$3209,"&gt;="&amp;$A569,Data!$A$10:$A$3209,"&lt;"&amp;$A569+1)))</f>
        <v/>
      </c>
      <c r="AE569">
        <f>IF($B569=0,0,IF(Inputs!$B$7="",0,COUNTIFS(Data!$E$10:$E$3209,"&gt;="&amp;$A569,Data!$E$10:$E$3209,"&lt;"&amp;$A569+1)))</f>
        <v/>
      </c>
      <c r="AF569">
        <f>IF($B569=0,0,IF(Inputs!$B$8="",0,COUNTIFS(Data!$I$10:$I$3209,"&gt;="&amp;$A569,Data!$I$10:$I$3209,"&lt;"&amp;$A569+1)))</f>
        <v/>
      </c>
      <c r="AG569">
        <f>IF($B569=0,0,IF(Inputs!$B$9="",0,COUNTIFS(Data!$M$10:$M$3209,"&gt;="&amp;$A569,Data!$M$10:$M$3209,"&lt;"&amp;$A569+1)))</f>
        <v/>
      </c>
      <c r="AH569">
        <f>IF($B569=0,0,IF(Inputs!$B$10="",0,COUNTIFS(Data!$Q$10:$Q$3209,"&gt;="&amp;$A569,Data!$Q$10:$Q$3209,"&lt;"&amp;$A569+1)))</f>
        <v/>
      </c>
    </row>
    <row r="570">
      <c r="A570" s="55">
        <f>MIN(Inputs!$C$15,$A569+IF(WEEKDAY($A569,2)=5,3,1))</f>
        <v/>
      </c>
      <c r="B570">
        <f>IF($A570&gt;$A569,1,0)</f>
        <v/>
      </c>
      <c r="C570" s="56">
        <f>IF($B570=0,"",IF(Inputs!$B$6="","",IF($AD570=0,C569,SUMIFS(Data!$B$10:$B$3209,Data!$A$10:$A$3209,"&gt;="&amp;$A570,Data!$A$10:$A$3209,"&lt;"&amp;$A570+1)/$AD570)))</f>
        <v/>
      </c>
      <c r="D570" s="56">
        <f>IF($B570=0,"",IF(Inputs!$B$7="","",IF($AE570=0,D569,SUMIFS(Data!$F$10:$F$3209,Data!$E$10:$E$3209,"&gt;="&amp;$A570,Data!$E$10:$E$3209,"&lt;"&amp;$A570+1)/$AE570)))</f>
        <v/>
      </c>
      <c r="E570" s="56">
        <f>IF($B570=0,"",IF(Inputs!$B$8="","",IF($AF570=0,E569,SUMIFS(Data!$J$10:$J$3209,Data!$I$10:$I$3209,"&gt;="&amp;$A570,Data!$I$10:$I$3209,"&lt;"&amp;$A570+1)/$AF570)))</f>
        <v/>
      </c>
      <c r="F570" s="56">
        <f>IF($B570=0,"",IF(Inputs!$B$9="","",IF($AG570=0,F569,SUMIFS(Data!$N$10:$N$3209,Data!$M$10:$M$3209,"&gt;="&amp;$A570,Data!$M$10:$M$3209,"&lt;"&amp;$A570+1)/$AG570)))</f>
        <v/>
      </c>
      <c r="G570" s="56">
        <f>IF($B570=0,"",IF(Inputs!$B$10="","",IF($AH570=0,G569,SUMIFS(Data!$R$10:$R$3209,Data!$Q$10:$Q$3209,"&gt;="&amp;$A570,Data!$Q$10:$Q$3209,"&lt;"&amp;$A570+1)/$AH570)))</f>
        <v/>
      </c>
      <c r="I570" s="54">
        <f>IF($B570=0,NA(),IF($C570="",NA(),IF(C$8="",NA(),IF(N(C$8)=0,NA(),IF(Inputs!$C$17="Rebased to 100",$C570/C$8*100,$C570)))))</f>
        <v/>
      </c>
      <c r="J570" s="54">
        <f>IF($B570=0,NA(),IF($D570="",NA(),IF(D$8="",NA(),IF(N(D$8)=0,NA(),IF(Inputs!$C$17="Rebased to 100",$D570/D$8*100,$D570)))))</f>
        <v/>
      </c>
      <c r="K570" s="54">
        <f>IF($B570=0,NA(),IF($E570="",NA(),IF(E$8="",NA(),IF(N(E$8)=0,NA(),IF(Inputs!$C$17="Rebased to 100",$E570/E$8*100,$E570)))))</f>
        <v/>
      </c>
      <c r="L570" s="54">
        <f>IF($B570=0,NA(),IF($F570="",NA(),IF(F$8="",NA(),IF(N(F$8)=0,NA(),IF(Inputs!$C$17="Rebased to 100",$F570/F$8*100,$F570)))))</f>
        <v/>
      </c>
      <c r="M570" s="54">
        <f>IF($B570=0,NA(),IF($G570="",NA(),IF(G$8="",NA(),IF(N(G$8)=0,NA(),IF(Inputs!$C$17="Rebased to 100",$G570/G$8*100,$G570)))))</f>
        <v/>
      </c>
      <c r="N570" s="54">
        <f>IF($B570=0,NA(),IF(Inputs!$C$18&lt;&gt;"Yes",NA(),IF(COUNT(I570,J570,K570,L570,M570)=0,NA(),MIN(I570,J570,K570,L570,M570))))</f>
        <v/>
      </c>
      <c r="O570" s="54">
        <f>IF($B570=0,NA(),IF(Inputs!$B$24&lt;&gt;"Yes",NA(),Inputs!$D$24*Inputs!$C$35))</f>
        <v/>
      </c>
      <c r="P570" s="54">
        <f>IF($B570=0,NA(),IF(Inputs!$B$25&lt;&gt;"Yes",NA(),Inputs!$D$25*Inputs!$C$35))</f>
        <v/>
      </c>
      <c r="Q570" s="54">
        <f>IF($B570=0,NA(),IF(Inputs!$B$26&lt;&gt;"Yes",NA(),Inputs!$D$26*Inputs!$C$35))</f>
        <v/>
      </c>
      <c r="R570" s="54">
        <f>IF($B570=0,NA(),IF(Inputs!$B$27&lt;&gt;"Yes",NA(),Inputs!$D$27*Inputs!$C$35))</f>
        <v/>
      </c>
      <c r="S570" s="54">
        <f>IF($B570=0,NA(),IF(Inputs!$B$28&lt;&gt;"Yes",NA(),Inputs!$D$28*Inputs!$C$35))</f>
        <v/>
      </c>
      <c r="T570" s="54">
        <f>IF($B570=0,NA(),IF(Inputs!$B$29&lt;&gt;"Yes",NA(),Inputs!$D$29*Inputs!$C$35))</f>
        <v/>
      </c>
      <c r="AD570">
        <f>IF($B570=0,0,IF(Inputs!$B$6="",0,COUNTIFS(Data!$A$10:$A$3209,"&gt;="&amp;$A570,Data!$A$10:$A$3209,"&lt;"&amp;$A570+1)))</f>
        <v/>
      </c>
      <c r="AE570">
        <f>IF($B570=0,0,IF(Inputs!$B$7="",0,COUNTIFS(Data!$E$10:$E$3209,"&gt;="&amp;$A570,Data!$E$10:$E$3209,"&lt;"&amp;$A570+1)))</f>
        <v/>
      </c>
      <c r="AF570">
        <f>IF($B570=0,0,IF(Inputs!$B$8="",0,COUNTIFS(Data!$I$10:$I$3209,"&gt;="&amp;$A570,Data!$I$10:$I$3209,"&lt;"&amp;$A570+1)))</f>
        <v/>
      </c>
      <c r="AG570">
        <f>IF($B570=0,0,IF(Inputs!$B$9="",0,COUNTIFS(Data!$M$10:$M$3209,"&gt;="&amp;$A570,Data!$M$10:$M$3209,"&lt;"&amp;$A570+1)))</f>
        <v/>
      </c>
      <c r="AH570">
        <f>IF($B570=0,0,IF(Inputs!$B$10="",0,COUNTIFS(Data!$Q$10:$Q$3209,"&gt;="&amp;$A570,Data!$Q$10:$Q$3209,"&lt;"&amp;$A570+1)))</f>
        <v/>
      </c>
    </row>
    <row r="571">
      <c r="A571" s="55">
        <f>MIN(Inputs!$C$15,$A570+IF(WEEKDAY($A570,2)=5,3,1))</f>
        <v/>
      </c>
      <c r="B571">
        <f>IF($A571&gt;$A570,1,0)</f>
        <v/>
      </c>
      <c r="C571" s="56">
        <f>IF($B571=0,"",IF(Inputs!$B$6="","",IF($AD571=0,C570,SUMIFS(Data!$B$10:$B$3209,Data!$A$10:$A$3209,"&gt;="&amp;$A571,Data!$A$10:$A$3209,"&lt;"&amp;$A571+1)/$AD571)))</f>
        <v/>
      </c>
      <c r="D571" s="56">
        <f>IF($B571=0,"",IF(Inputs!$B$7="","",IF($AE571=0,D570,SUMIFS(Data!$F$10:$F$3209,Data!$E$10:$E$3209,"&gt;="&amp;$A571,Data!$E$10:$E$3209,"&lt;"&amp;$A571+1)/$AE571)))</f>
        <v/>
      </c>
      <c r="E571" s="56">
        <f>IF($B571=0,"",IF(Inputs!$B$8="","",IF($AF571=0,E570,SUMIFS(Data!$J$10:$J$3209,Data!$I$10:$I$3209,"&gt;="&amp;$A571,Data!$I$10:$I$3209,"&lt;"&amp;$A571+1)/$AF571)))</f>
        <v/>
      </c>
      <c r="F571" s="56">
        <f>IF($B571=0,"",IF(Inputs!$B$9="","",IF($AG571=0,F570,SUMIFS(Data!$N$10:$N$3209,Data!$M$10:$M$3209,"&gt;="&amp;$A571,Data!$M$10:$M$3209,"&lt;"&amp;$A571+1)/$AG571)))</f>
        <v/>
      </c>
      <c r="G571" s="56">
        <f>IF($B571=0,"",IF(Inputs!$B$10="","",IF($AH571=0,G570,SUMIFS(Data!$R$10:$R$3209,Data!$Q$10:$Q$3209,"&gt;="&amp;$A571,Data!$Q$10:$Q$3209,"&lt;"&amp;$A571+1)/$AH571)))</f>
        <v/>
      </c>
      <c r="I571" s="54">
        <f>IF($B571=0,NA(),IF($C571="",NA(),IF(C$8="",NA(),IF(N(C$8)=0,NA(),IF(Inputs!$C$17="Rebased to 100",$C571/C$8*100,$C571)))))</f>
        <v/>
      </c>
      <c r="J571" s="54">
        <f>IF($B571=0,NA(),IF($D571="",NA(),IF(D$8="",NA(),IF(N(D$8)=0,NA(),IF(Inputs!$C$17="Rebased to 100",$D571/D$8*100,$D571)))))</f>
        <v/>
      </c>
      <c r="K571" s="54">
        <f>IF($B571=0,NA(),IF($E571="",NA(),IF(E$8="",NA(),IF(N(E$8)=0,NA(),IF(Inputs!$C$17="Rebased to 100",$E571/E$8*100,$E571)))))</f>
        <v/>
      </c>
      <c r="L571" s="54">
        <f>IF($B571=0,NA(),IF($F571="",NA(),IF(F$8="",NA(),IF(N(F$8)=0,NA(),IF(Inputs!$C$17="Rebased to 100",$F571/F$8*100,$F571)))))</f>
        <v/>
      </c>
      <c r="M571" s="54">
        <f>IF($B571=0,NA(),IF($G571="",NA(),IF(G$8="",NA(),IF(N(G$8)=0,NA(),IF(Inputs!$C$17="Rebased to 100",$G571/G$8*100,$G571)))))</f>
        <v/>
      </c>
      <c r="N571" s="54">
        <f>IF($B571=0,NA(),IF(Inputs!$C$18&lt;&gt;"Yes",NA(),IF(COUNT(I571,J571,K571,L571,M571)=0,NA(),MIN(I571,J571,K571,L571,M571))))</f>
        <v/>
      </c>
      <c r="O571" s="54">
        <f>IF($B571=0,NA(),IF(Inputs!$B$24&lt;&gt;"Yes",NA(),Inputs!$D$24*Inputs!$C$35))</f>
        <v/>
      </c>
      <c r="P571" s="54">
        <f>IF($B571=0,NA(),IF(Inputs!$B$25&lt;&gt;"Yes",NA(),Inputs!$D$25*Inputs!$C$35))</f>
        <v/>
      </c>
      <c r="Q571" s="54">
        <f>IF($B571=0,NA(),IF(Inputs!$B$26&lt;&gt;"Yes",NA(),Inputs!$D$26*Inputs!$C$35))</f>
        <v/>
      </c>
      <c r="R571" s="54">
        <f>IF($B571=0,NA(),IF(Inputs!$B$27&lt;&gt;"Yes",NA(),Inputs!$D$27*Inputs!$C$35))</f>
        <v/>
      </c>
      <c r="S571" s="54">
        <f>IF($B571=0,NA(),IF(Inputs!$B$28&lt;&gt;"Yes",NA(),Inputs!$D$28*Inputs!$C$35))</f>
        <v/>
      </c>
      <c r="T571" s="54">
        <f>IF($B571=0,NA(),IF(Inputs!$B$29&lt;&gt;"Yes",NA(),Inputs!$D$29*Inputs!$C$35))</f>
        <v/>
      </c>
      <c r="AD571">
        <f>IF($B571=0,0,IF(Inputs!$B$6="",0,COUNTIFS(Data!$A$10:$A$3209,"&gt;="&amp;$A571,Data!$A$10:$A$3209,"&lt;"&amp;$A571+1)))</f>
        <v/>
      </c>
      <c r="AE571">
        <f>IF($B571=0,0,IF(Inputs!$B$7="",0,COUNTIFS(Data!$E$10:$E$3209,"&gt;="&amp;$A571,Data!$E$10:$E$3209,"&lt;"&amp;$A571+1)))</f>
        <v/>
      </c>
      <c r="AF571">
        <f>IF($B571=0,0,IF(Inputs!$B$8="",0,COUNTIFS(Data!$I$10:$I$3209,"&gt;="&amp;$A571,Data!$I$10:$I$3209,"&lt;"&amp;$A571+1)))</f>
        <v/>
      </c>
      <c r="AG571">
        <f>IF($B571=0,0,IF(Inputs!$B$9="",0,COUNTIFS(Data!$M$10:$M$3209,"&gt;="&amp;$A571,Data!$M$10:$M$3209,"&lt;"&amp;$A571+1)))</f>
        <v/>
      </c>
      <c r="AH571">
        <f>IF($B571=0,0,IF(Inputs!$B$10="",0,COUNTIFS(Data!$Q$10:$Q$3209,"&gt;="&amp;$A571,Data!$Q$10:$Q$3209,"&lt;"&amp;$A571+1)))</f>
        <v/>
      </c>
    </row>
    <row r="572">
      <c r="A572" s="55">
        <f>MIN(Inputs!$C$15,$A571+IF(WEEKDAY($A571,2)=5,3,1))</f>
        <v/>
      </c>
      <c r="B572">
        <f>IF($A572&gt;$A571,1,0)</f>
        <v/>
      </c>
      <c r="C572" s="56">
        <f>IF($B572=0,"",IF(Inputs!$B$6="","",IF($AD572=0,C571,SUMIFS(Data!$B$10:$B$3209,Data!$A$10:$A$3209,"&gt;="&amp;$A572,Data!$A$10:$A$3209,"&lt;"&amp;$A572+1)/$AD572)))</f>
        <v/>
      </c>
      <c r="D572" s="56">
        <f>IF($B572=0,"",IF(Inputs!$B$7="","",IF($AE572=0,D571,SUMIFS(Data!$F$10:$F$3209,Data!$E$10:$E$3209,"&gt;="&amp;$A572,Data!$E$10:$E$3209,"&lt;"&amp;$A572+1)/$AE572)))</f>
        <v/>
      </c>
      <c r="E572" s="56">
        <f>IF($B572=0,"",IF(Inputs!$B$8="","",IF($AF572=0,E571,SUMIFS(Data!$J$10:$J$3209,Data!$I$10:$I$3209,"&gt;="&amp;$A572,Data!$I$10:$I$3209,"&lt;"&amp;$A572+1)/$AF572)))</f>
        <v/>
      </c>
      <c r="F572" s="56">
        <f>IF($B572=0,"",IF(Inputs!$B$9="","",IF($AG572=0,F571,SUMIFS(Data!$N$10:$N$3209,Data!$M$10:$M$3209,"&gt;="&amp;$A572,Data!$M$10:$M$3209,"&lt;"&amp;$A572+1)/$AG572)))</f>
        <v/>
      </c>
      <c r="G572" s="56">
        <f>IF($B572=0,"",IF(Inputs!$B$10="","",IF($AH572=0,G571,SUMIFS(Data!$R$10:$R$3209,Data!$Q$10:$Q$3209,"&gt;="&amp;$A572,Data!$Q$10:$Q$3209,"&lt;"&amp;$A572+1)/$AH572)))</f>
        <v/>
      </c>
      <c r="I572" s="54">
        <f>IF($B572=0,NA(),IF($C572="",NA(),IF(C$8="",NA(),IF(N(C$8)=0,NA(),IF(Inputs!$C$17="Rebased to 100",$C572/C$8*100,$C572)))))</f>
        <v/>
      </c>
      <c r="J572" s="54">
        <f>IF($B572=0,NA(),IF($D572="",NA(),IF(D$8="",NA(),IF(N(D$8)=0,NA(),IF(Inputs!$C$17="Rebased to 100",$D572/D$8*100,$D572)))))</f>
        <v/>
      </c>
      <c r="K572" s="54">
        <f>IF($B572=0,NA(),IF($E572="",NA(),IF(E$8="",NA(),IF(N(E$8)=0,NA(),IF(Inputs!$C$17="Rebased to 100",$E572/E$8*100,$E572)))))</f>
        <v/>
      </c>
      <c r="L572" s="54">
        <f>IF($B572=0,NA(),IF($F572="",NA(),IF(F$8="",NA(),IF(N(F$8)=0,NA(),IF(Inputs!$C$17="Rebased to 100",$F572/F$8*100,$F572)))))</f>
        <v/>
      </c>
      <c r="M572" s="54">
        <f>IF($B572=0,NA(),IF($G572="",NA(),IF(G$8="",NA(),IF(N(G$8)=0,NA(),IF(Inputs!$C$17="Rebased to 100",$G572/G$8*100,$G572)))))</f>
        <v/>
      </c>
      <c r="N572" s="54">
        <f>IF($B572=0,NA(),IF(Inputs!$C$18&lt;&gt;"Yes",NA(),IF(COUNT(I572,J572,K572,L572,M572)=0,NA(),MIN(I572,J572,K572,L572,M572))))</f>
        <v/>
      </c>
      <c r="O572" s="54">
        <f>IF($B572=0,NA(),IF(Inputs!$B$24&lt;&gt;"Yes",NA(),Inputs!$D$24*Inputs!$C$35))</f>
        <v/>
      </c>
      <c r="P572" s="54">
        <f>IF($B572=0,NA(),IF(Inputs!$B$25&lt;&gt;"Yes",NA(),Inputs!$D$25*Inputs!$C$35))</f>
        <v/>
      </c>
      <c r="Q572" s="54">
        <f>IF($B572=0,NA(),IF(Inputs!$B$26&lt;&gt;"Yes",NA(),Inputs!$D$26*Inputs!$C$35))</f>
        <v/>
      </c>
      <c r="R572" s="54">
        <f>IF($B572=0,NA(),IF(Inputs!$B$27&lt;&gt;"Yes",NA(),Inputs!$D$27*Inputs!$C$35))</f>
        <v/>
      </c>
      <c r="S572" s="54">
        <f>IF($B572=0,NA(),IF(Inputs!$B$28&lt;&gt;"Yes",NA(),Inputs!$D$28*Inputs!$C$35))</f>
        <v/>
      </c>
      <c r="T572" s="54">
        <f>IF($B572=0,NA(),IF(Inputs!$B$29&lt;&gt;"Yes",NA(),Inputs!$D$29*Inputs!$C$35))</f>
        <v/>
      </c>
      <c r="AD572">
        <f>IF($B572=0,0,IF(Inputs!$B$6="",0,COUNTIFS(Data!$A$10:$A$3209,"&gt;="&amp;$A572,Data!$A$10:$A$3209,"&lt;"&amp;$A572+1)))</f>
        <v/>
      </c>
      <c r="AE572">
        <f>IF($B572=0,0,IF(Inputs!$B$7="",0,COUNTIFS(Data!$E$10:$E$3209,"&gt;="&amp;$A572,Data!$E$10:$E$3209,"&lt;"&amp;$A572+1)))</f>
        <v/>
      </c>
      <c r="AF572">
        <f>IF($B572=0,0,IF(Inputs!$B$8="",0,COUNTIFS(Data!$I$10:$I$3209,"&gt;="&amp;$A572,Data!$I$10:$I$3209,"&lt;"&amp;$A572+1)))</f>
        <v/>
      </c>
      <c r="AG572">
        <f>IF($B572=0,0,IF(Inputs!$B$9="",0,COUNTIFS(Data!$M$10:$M$3209,"&gt;="&amp;$A572,Data!$M$10:$M$3209,"&lt;"&amp;$A572+1)))</f>
        <v/>
      </c>
      <c r="AH572">
        <f>IF($B572=0,0,IF(Inputs!$B$10="",0,COUNTIFS(Data!$Q$10:$Q$3209,"&gt;="&amp;$A572,Data!$Q$10:$Q$3209,"&lt;"&amp;$A572+1)))</f>
        <v/>
      </c>
    </row>
    <row r="573">
      <c r="A573" s="55">
        <f>MIN(Inputs!$C$15,$A572+IF(WEEKDAY($A572,2)=5,3,1))</f>
        <v/>
      </c>
      <c r="B573">
        <f>IF($A573&gt;$A572,1,0)</f>
        <v/>
      </c>
      <c r="C573" s="56">
        <f>IF($B573=0,"",IF(Inputs!$B$6="","",IF($AD573=0,C572,SUMIFS(Data!$B$10:$B$3209,Data!$A$10:$A$3209,"&gt;="&amp;$A573,Data!$A$10:$A$3209,"&lt;"&amp;$A573+1)/$AD573)))</f>
        <v/>
      </c>
      <c r="D573" s="56">
        <f>IF($B573=0,"",IF(Inputs!$B$7="","",IF($AE573=0,D572,SUMIFS(Data!$F$10:$F$3209,Data!$E$10:$E$3209,"&gt;="&amp;$A573,Data!$E$10:$E$3209,"&lt;"&amp;$A573+1)/$AE573)))</f>
        <v/>
      </c>
      <c r="E573" s="56">
        <f>IF($B573=0,"",IF(Inputs!$B$8="","",IF($AF573=0,E572,SUMIFS(Data!$J$10:$J$3209,Data!$I$10:$I$3209,"&gt;="&amp;$A573,Data!$I$10:$I$3209,"&lt;"&amp;$A573+1)/$AF573)))</f>
        <v/>
      </c>
      <c r="F573" s="56">
        <f>IF($B573=0,"",IF(Inputs!$B$9="","",IF($AG573=0,F572,SUMIFS(Data!$N$10:$N$3209,Data!$M$10:$M$3209,"&gt;="&amp;$A573,Data!$M$10:$M$3209,"&lt;"&amp;$A573+1)/$AG573)))</f>
        <v/>
      </c>
      <c r="G573" s="56">
        <f>IF($B573=0,"",IF(Inputs!$B$10="","",IF($AH573=0,G572,SUMIFS(Data!$R$10:$R$3209,Data!$Q$10:$Q$3209,"&gt;="&amp;$A573,Data!$Q$10:$Q$3209,"&lt;"&amp;$A573+1)/$AH573)))</f>
        <v/>
      </c>
      <c r="I573" s="54">
        <f>IF($B573=0,NA(),IF($C573="",NA(),IF(C$8="",NA(),IF(N(C$8)=0,NA(),IF(Inputs!$C$17="Rebased to 100",$C573/C$8*100,$C573)))))</f>
        <v/>
      </c>
      <c r="J573" s="54">
        <f>IF($B573=0,NA(),IF($D573="",NA(),IF(D$8="",NA(),IF(N(D$8)=0,NA(),IF(Inputs!$C$17="Rebased to 100",$D573/D$8*100,$D573)))))</f>
        <v/>
      </c>
      <c r="K573" s="54">
        <f>IF($B573=0,NA(),IF($E573="",NA(),IF(E$8="",NA(),IF(N(E$8)=0,NA(),IF(Inputs!$C$17="Rebased to 100",$E573/E$8*100,$E573)))))</f>
        <v/>
      </c>
      <c r="L573" s="54">
        <f>IF($B573=0,NA(),IF($F573="",NA(),IF(F$8="",NA(),IF(N(F$8)=0,NA(),IF(Inputs!$C$17="Rebased to 100",$F573/F$8*100,$F573)))))</f>
        <v/>
      </c>
      <c r="M573" s="54">
        <f>IF($B573=0,NA(),IF($G573="",NA(),IF(G$8="",NA(),IF(N(G$8)=0,NA(),IF(Inputs!$C$17="Rebased to 100",$G573/G$8*100,$G573)))))</f>
        <v/>
      </c>
      <c r="N573" s="54">
        <f>IF($B573=0,NA(),IF(Inputs!$C$18&lt;&gt;"Yes",NA(),IF(COUNT(I573,J573,K573,L573,M573)=0,NA(),MIN(I573,J573,K573,L573,M573))))</f>
        <v/>
      </c>
      <c r="O573" s="54">
        <f>IF($B573=0,NA(),IF(Inputs!$B$24&lt;&gt;"Yes",NA(),Inputs!$D$24*Inputs!$C$35))</f>
        <v/>
      </c>
      <c r="P573" s="54">
        <f>IF($B573=0,NA(),IF(Inputs!$B$25&lt;&gt;"Yes",NA(),Inputs!$D$25*Inputs!$C$35))</f>
        <v/>
      </c>
      <c r="Q573" s="54">
        <f>IF($B573=0,NA(),IF(Inputs!$B$26&lt;&gt;"Yes",NA(),Inputs!$D$26*Inputs!$C$35))</f>
        <v/>
      </c>
      <c r="R573" s="54">
        <f>IF($B573=0,NA(),IF(Inputs!$B$27&lt;&gt;"Yes",NA(),Inputs!$D$27*Inputs!$C$35))</f>
        <v/>
      </c>
      <c r="S573" s="54">
        <f>IF($B573=0,NA(),IF(Inputs!$B$28&lt;&gt;"Yes",NA(),Inputs!$D$28*Inputs!$C$35))</f>
        <v/>
      </c>
      <c r="T573" s="54">
        <f>IF($B573=0,NA(),IF(Inputs!$B$29&lt;&gt;"Yes",NA(),Inputs!$D$29*Inputs!$C$35))</f>
        <v/>
      </c>
      <c r="AD573">
        <f>IF($B573=0,0,IF(Inputs!$B$6="",0,COUNTIFS(Data!$A$10:$A$3209,"&gt;="&amp;$A573,Data!$A$10:$A$3209,"&lt;"&amp;$A573+1)))</f>
        <v/>
      </c>
      <c r="AE573">
        <f>IF($B573=0,0,IF(Inputs!$B$7="",0,COUNTIFS(Data!$E$10:$E$3209,"&gt;="&amp;$A573,Data!$E$10:$E$3209,"&lt;"&amp;$A573+1)))</f>
        <v/>
      </c>
      <c r="AF573">
        <f>IF($B573=0,0,IF(Inputs!$B$8="",0,COUNTIFS(Data!$I$10:$I$3209,"&gt;="&amp;$A573,Data!$I$10:$I$3209,"&lt;"&amp;$A573+1)))</f>
        <v/>
      </c>
      <c r="AG573">
        <f>IF($B573=0,0,IF(Inputs!$B$9="",0,COUNTIFS(Data!$M$10:$M$3209,"&gt;="&amp;$A573,Data!$M$10:$M$3209,"&lt;"&amp;$A573+1)))</f>
        <v/>
      </c>
      <c r="AH573">
        <f>IF($B573=0,0,IF(Inputs!$B$10="",0,COUNTIFS(Data!$Q$10:$Q$3209,"&gt;="&amp;$A573,Data!$Q$10:$Q$3209,"&lt;"&amp;$A573+1)))</f>
        <v/>
      </c>
    </row>
    <row r="574">
      <c r="A574" s="55">
        <f>MIN(Inputs!$C$15,$A573+IF(WEEKDAY($A573,2)=5,3,1))</f>
        <v/>
      </c>
      <c r="B574">
        <f>IF($A574&gt;$A573,1,0)</f>
        <v/>
      </c>
      <c r="C574" s="56">
        <f>IF($B574=0,"",IF(Inputs!$B$6="","",IF($AD574=0,C573,SUMIFS(Data!$B$10:$B$3209,Data!$A$10:$A$3209,"&gt;="&amp;$A574,Data!$A$10:$A$3209,"&lt;"&amp;$A574+1)/$AD574)))</f>
        <v/>
      </c>
      <c r="D574" s="56">
        <f>IF($B574=0,"",IF(Inputs!$B$7="","",IF($AE574=0,D573,SUMIFS(Data!$F$10:$F$3209,Data!$E$10:$E$3209,"&gt;="&amp;$A574,Data!$E$10:$E$3209,"&lt;"&amp;$A574+1)/$AE574)))</f>
        <v/>
      </c>
      <c r="E574" s="56">
        <f>IF($B574=0,"",IF(Inputs!$B$8="","",IF($AF574=0,E573,SUMIFS(Data!$J$10:$J$3209,Data!$I$10:$I$3209,"&gt;="&amp;$A574,Data!$I$10:$I$3209,"&lt;"&amp;$A574+1)/$AF574)))</f>
        <v/>
      </c>
      <c r="F574" s="56">
        <f>IF($B574=0,"",IF(Inputs!$B$9="","",IF($AG574=0,F573,SUMIFS(Data!$N$10:$N$3209,Data!$M$10:$M$3209,"&gt;="&amp;$A574,Data!$M$10:$M$3209,"&lt;"&amp;$A574+1)/$AG574)))</f>
        <v/>
      </c>
      <c r="G574" s="56">
        <f>IF($B574=0,"",IF(Inputs!$B$10="","",IF($AH574=0,G573,SUMIFS(Data!$R$10:$R$3209,Data!$Q$10:$Q$3209,"&gt;="&amp;$A574,Data!$Q$10:$Q$3209,"&lt;"&amp;$A574+1)/$AH574)))</f>
        <v/>
      </c>
      <c r="I574" s="54">
        <f>IF($B574=0,NA(),IF($C574="",NA(),IF(C$8="",NA(),IF(N(C$8)=0,NA(),IF(Inputs!$C$17="Rebased to 100",$C574/C$8*100,$C574)))))</f>
        <v/>
      </c>
      <c r="J574" s="54">
        <f>IF($B574=0,NA(),IF($D574="",NA(),IF(D$8="",NA(),IF(N(D$8)=0,NA(),IF(Inputs!$C$17="Rebased to 100",$D574/D$8*100,$D574)))))</f>
        <v/>
      </c>
      <c r="K574" s="54">
        <f>IF($B574=0,NA(),IF($E574="",NA(),IF(E$8="",NA(),IF(N(E$8)=0,NA(),IF(Inputs!$C$17="Rebased to 100",$E574/E$8*100,$E574)))))</f>
        <v/>
      </c>
      <c r="L574" s="54">
        <f>IF($B574=0,NA(),IF($F574="",NA(),IF(F$8="",NA(),IF(N(F$8)=0,NA(),IF(Inputs!$C$17="Rebased to 100",$F574/F$8*100,$F574)))))</f>
        <v/>
      </c>
      <c r="M574" s="54">
        <f>IF($B574=0,NA(),IF($G574="",NA(),IF(G$8="",NA(),IF(N(G$8)=0,NA(),IF(Inputs!$C$17="Rebased to 100",$G574/G$8*100,$G574)))))</f>
        <v/>
      </c>
      <c r="N574" s="54">
        <f>IF($B574=0,NA(),IF(Inputs!$C$18&lt;&gt;"Yes",NA(),IF(COUNT(I574,J574,K574,L574,M574)=0,NA(),MIN(I574,J574,K574,L574,M574))))</f>
        <v/>
      </c>
      <c r="O574" s="54">
        <f>IF($B574=0,NA(),IF(Inputs!$B$24&lt;&gt;"Yes",NA(),Inputs!$D$24*Inputs!$C$35))</f>
        <v/>
      </c>
      <c r="P574" s="54">
        <f>IF($B574=0,NA(),IF(Inputs!$B$25&lt;&gt;"Yes",NA(),Inputs!$D$25*Inputs!$C$35))</f>
        <v/>
      </c>
      <c r="Q574" s="54">
        <f>IF($B574=0,NA(),IF(Inputs!$B$26&lt;&gt;"Yes",NA(),Inputs!$D$26*Inputs!$C$35))</f>
        <v/>
      </c>
      <c r="R574" s="54">
        <f>IF($B574=0,NA(),IF(Inputs!$B$27&lt;&gt;"Yes",NA(),Inputs!$D$27*Inputs!$C$35))</f>
        <v/>
      </c>
      <c r="S574" s="54">
        <f>IF($B574=0,NA(),IF(Inputs!$B$28&lt;&gt;"Yes",NA(),Inputs!$D$28*Inputs!$C$35))</f>
        <v/>
      </c>
      <c r="T574" s="54">
        <f>IF($B574=0,NA(),IF(Inputs!$B$29&lt;&gt;"Yes",NA(),Inputs!$D$29*Inputs!$C$35))</f>
        <v/>
      </c>
      <c r="AD574">
        <f>IF($B574=0,0,IF(Inputs!$B$6="",0,COUNTIFS(Data!$A$10:$A$3209,"&gt;="&amp;$A574,Data!$A$10:$A$3209,"&lt;"&amp;$A574+1)))</f>
        <v/>
      </c>
      <c r="AE574">
        <f>IF($B574=0,0,IF(Inputs!$B$7="",0,COUNTIFS(Data!$E$10:$E$3209,"&gt;="&amp;$A574,Data!$E$10:$E$3209,"&lt;"&amp;$A574+1)))</f>
        <v/>
      </c>
      <c r="AF574">
        <f>IF($B574=0,0,IF(Inputs!$B$8="",0,COUNTIFS(Data!$I$10:$I$3209,"&gt;="&amp;$A574,Data!$I$10:$I$3209,"&lt;"&amp;$A574+1)))</f>
        <v/>
      </c>
      <c r="AG574">
        <f>IF($B574=0,0,IF(Inputs!$B$9="",0,COUNTIFS(Data!$M$10:$M$3209,"&gt;="&amp;$A574,Data!$M$10:$M$3209,"&lt;"&amp;$A574+1)))</f>
        <v/>
      </c>
      <c r="AH574">
        <f>IF($B574=0,0,IF(Inputs!$B$10="",0,COUNTIFS(Data!$Q$10:$Q$3209,"&gt;="&amp;$A574,Data!$Q$10:$Q$3209,"&lt;"&amp;$A574+1)))</f>
        <v/>
      </c>
    </row>
    <row r="575">
      <c r="A575" s="55">
        <f>MIN(Inputs!$C$15,$A574+IF(WEEKDAY($A574,2)=5,3,1))</f>
        <v/>
      </c>
      <c r="B575">
        <f>IF($A575&gt;$A574,1,0)</f>
        <v/>
      </c>
      <c r="C575" s="56">
        <f>IF($B575=0,"",IF(Inputs!$B$6="","",IF($AD575=0,C574,SUMIFS(Data!$B$10:$B$3209,Data!$A$10:$A$3209,"&gt;="&amp;$A575,Data!$A$10:$A$3209,"&lt;"&amp;$A575+1)/$AD575)))</f>
        <v/>
      </c>
      <c r="D575" s="56">
        <f>IF($B575=0,"",IF(Inputs!$B$7="","",IF($AE575=0,D574,SUMIFS(Data!$F$10:$F$3209,Data!$E$10:$E$3209,"&gt;="&amp;$A575,Data!$E$10:$E$3209,"&lt;"&amp;$A575+1)/$AE575)))</f>
        <v/>
      </c>
      <c r="E575" s="56">
        <f>IF($B575=0,"",IF(Inputs!$B$8="","",IF($AF575=0,E574,SUMIFS(Data!$J$10:$J$3209,Data!$I$10:$I$3209,"&gt;="&amp;$A575,Data!$I$10:$I$3209,"&lt;"&amp;$A575+1)/$AF575)))</f>
        <v/>
      </c>
      <c r="F575" s="56">
        <f>IF($B575=0,"",IF(Inputs!$B$9="","",IF($AG575=0,F574,SUMIFS(Data!$N$10:$N$3209,Data!$M$10:$M$3209,"&gt;="&amp;$A575,Data!$M$10:$M$3209,"&lt;"&amp;$A575+1)/$AG575)))</f>
        <v/>
      </c>
      <c r="G575" s="56">
        <f>IF($B575=0,"",IF(Inputs!$B$10="","",IF($AH575=0,G574,SUMIFS(Data!$R$10:$R$3209,Data!$Q$10:$Q$3209,"&gt;="&amp;$A575,Data!$Q$10:$Q$3209,"&lt;"&amp;$A575+1)/$AH575)))</f>
        <v/>
      </c>
      <c r="I575" s="54">
        <f>IF($B575=0,NA(),IF($C575="",NA(),IF(C$8="",NA(),IF(N(C$8)=0,NA(),IF(Inputs!$C$17="Rebased to 100",$C575/C$8*100,$C575)))))</f>
        <v/>
      </c>
      <c r="J575" s="54">
        <f>IF($B575=0,NA(),IF($D575="",NA(),IF(D$8="",NA(),IF(N(D$8)=0,NA(),IF(Inputs!$C$17="Rebased to 100",$D575/D$8*100,$D575)))))</f>
        <v/>
      </c>
      <c r="K575" s="54">
        <f>IF($B575=0,NA(),IF($E575="",NA(),IF(E$8="",NA(),IF(N(E$8)=0,NA(),IF(Inputs!$C$17="Rebased to 100",$E575/E$8*100,$E575)))))</f>
        <v/>
      </c>
      <c r="L575" s="54">
        <f>IF($B575=0,NA(),IF($F575="",NA(),IF(F$8="",NA(),IF(N(F$8)=0,NA(),IF(Inputs!$C$17="Rebased to 100",$F575/F$8*100,$F575)))))</f>
        <v/>
      </c>
      <c r="M575" s="54">
        <f>IF($B575=0,NA(),IF($G575="",NA(),IF(G$8="",NA(),IF(N(G$8)=0,NA(),IF(Inputs!$C$17="Rebased to 100",$G575/G$8*100,$G575)))))</f>
        <v/>
      </c>
      <c r="N575" s="54">
        <f>IF($B575=0,NA(),IF(Inputs!$C$18&lt;&gt;"Yes",NA(),IF(COUNT(I575,J575,K575,L575,M575)=0,NA(),MIN(I575,J575,K575,L575,M575))))</f>
        <v/>
      </c>
      <c r="O575" s="54">
        <f>IF($B575=0,NA(),IF(Inputs!$B$24&lt;&gt;"Yes",NA(),Inputs!$D$24*Inputs!$C$35))</f>
        <v/>
      </c>
      <c r="P575" s="54">
        <f>IF($B575=0,NA(),IF(Inputs!$B$25&lt;&gt;"Yes",NA(),Inputs!$D$25*Inputs!$C$35))</f>
        <v/>
      </c>
      <c r="Q575" s="54">
        <f>IF($B575=0,NA(),IF(Inputs!$B$26&lt;&gt;"Yes",NA(),Inputs!$D$26*Inputs!$C$35))</f>
        <v/>
      </c>
      <c r="R575" s="54">
        <f>IF($B575=0,NA(),IF(Inputs!$B$27&lt;&gt;"Yes",NA(),Inputs!$D$27*Inputs!$C$35))</f>
        <v/>
      </c>
      <c r="S575" s="54">
        <f>IF($B575=0,NA(),IF(Inputs!$B$28&lt;&gt;"Yes",NA(),Inputs!$D$28*Inputs!$C$35))</f>
        <v/>
      </c>
      <c r="T575" s="54">
        <f>IF($B575=0,NA(),IF(Inputs!$B$29&lt;&gt;"Yes",NA(),Inputs!$D$29*Inputs!$C$35))</f>
        <v/>
      </c>
      <c r="AD575">
        <f>IF($B575=0,0,IF(Inputs!$B$6="",0,COUNTIFS(Data!$A$10:$A$3209,"&gt;="&amp;$A575,Data!$A$10:$A$3209,"&lt;"&amp;$A575+1)))</f>
        <v/>
      </c>
      <c r="AE575">
        <f>IF($B575=0,0,IF(Inputs!$B$7="",0,COUNTIFS(Data!$E$10:$E$3209,"&gt;="&amp;$A575,Data!$E$10:$E$3209,"&lt;"&amp;$A575+1)))</f>
        <v/>
      </c>
      <c r="AF575">
        <f>IF($B575=0,0,IF(Inputs!$B$8="",0,COUNTIFS(Data!$I$10:$I$3209,"&gt;="&amp;$A575,Data!$I$10:$I$3209,"&lt;"&amp;$A575+1)))</f>
        <v/>
      </c>
      <c r="AG575">
        <f>IF($B575=0,0,IF(Inputs!$B$9="",0,COUNTIFS(Data!$M$10:$M$3209,"&gt;="&amp;$A575,Data!$M$10:$M$3209,"&lt;"&amp;$A575+1)))</f>
        <v/>
      </c>
      <c r="AH575">
        <f>IF($B575=0,0,IF(Inputs!$B$10="",0,COUNTIFS(Data!$Q$10:$Q$3209,"&gt;="&amp;$A575,Data!$Q$10:$Q$3209,"&lt;"&amp;$A575+1)))</f>
        <v/>
      </c>
    </row>
    <row r="576">
      <c r="A576" s="55">
        <f>MIN(Inputs!$C$15,$A575+IF(WEEKDAY($A575,2)=5,3,1))</f>
        <v/>
      </c>
      <c r="B576">
        <f>IF($A576&gt;$A575,1,0)</f>
        <v/>
      </c>
      <c r="C576" s="56">
        <f>IF($B576=0,"",IF(Inputs!$B$6="","",IF($AD576=0,C575,SUMIFS(Data!$B$10:$B$3209,Data!$A$10:$A$3209,"&gt;="&amp;$A576,Data!$A$10:$A$3209,"&lt;"&amp;$A576+1)/$AD576)))</f>
        <v/>
      </c>
      <c r="D576" s="56">
        <f>IF($B576=0,"",IF(Inputs!$B$7="","",IF($AE576=0,D575,SUMIFS(Data!$F$10:$F$3209,Data!$E$10:$E$3209,"&gt;="&amp;$A576,Data!$E$10:$E$3209,"&lt;"&amp;$A576+1)/$AE576)))</f>
        <v/>
      </c>
      <c r="E576" s="56">
        <f>IF($B576=0,"",IF(Inputs!$B$8="","",IF($AF576=0,E575,SUMIFS(Data!$J$10:$J$3209,Data!$I$10:$I$3209,"&gt;="&amp;$A576,Data!$I$10:$I$3209,"&lt;"&amp;$A576+1)/$AF576)))</f>
        <v/>
      </c>
      <c r="F576" s="56">
        <f>IF($B576=0,"",IF(Inputs!$B$9="","",IF($AG576=0,F575,SUMIFS(Data!$N$10:$N$3209,Data!$M$10:$M$3209,"&gt;="&amp;$A576,Data!$M$10:$M$3209,"&lt;"&amp;$A576+1)/$AG576)))</f>
        <v/>
      </c>
      <c r="G576" s="56">
        <f>IF($B576=0,"",IF(Inputs!$B$10="","",IF($AH576=0,G575,SUMIFS(Data!$R$10:$R$3209,Data!$Q$10:$Q$3209,"&gt;="&amp;$A576,Data!$Q$10:$Q$3209,"&lt;"&amp;$A576+1)/$AH576)))</f>
        <v/>
      </c>
      <c r="I576" s="54">
        <f>IF($B576=0,NA(),IF($C576="",NA(),IF(C$8="",NA(),IF(N(C$8)=0,NA(),IF(Inputs!$C$17="Rebased to 100",$C576/C$8*100,$C576)))))</f>
        <v/>
      </c>
      <c r="J576" s="54">
        <f>IF($B576=0,NA(),IF($D576="",NA(),IF(D$8="",NA(),IF(N(D$8)=0,NA(),IF(Inputs!$C$17="Rebased to 100",$D576/D$8*100,$D576)))))</f>
        <v/>
      </c>
      <c r="K576" s="54">
        <f>IF($B576=0,NA(),IF($E576="",NA(),IF(E$8="",NA(),IF(N(E$8)=0,NA(),IF(Inputs!$C$17="Rebased to 100",$E576/E$8*100,$E576)))))</f>
        <v/>
      </c>
      <c r="L576" s="54">
        <f>IF($B576=0,NA(),IF($F576="",NA(),IF(F$8="",NA(),IF(N(F$8)=0,NA(),IF(Inputs!$C$17="Rebased to 100",$F576/F$8*100,$F576)))))</f>
        <v/>
      </c>
      <c r="M576" s="54">
        <f>IF($B576=0,NA(),IF($G576="",NA(),IF(G$8="",NA(),IF(N(G$8)=0,NA(),IF(Inputs!$C$17="Rebased to 100",$G576/G$8*100,$G576)))))</f>
        <v/>
      </c>
      <c r="N576" s="54">
        <f>IF($B576=0,NA(),IF(Inputs!$C$18&lt;&gt;"Yes",NA(),IF(COUNT(I576,J576,K576,L576,M576)=0,NA(),MIN(I576,J576,K576,L576,M576))))</f>
        <v/>
      </c>
      <c r="O576" s="54">
        <f>IF($B576=0,NA(),IF(Inputs!$B$24&lt;&gt;"Yes",NA(),Inputs!$D$24*Inputs!$C$35))</f>
        <v/>
      </c>
      <c r="P576" s="54">
        <f>IF($B576=0,NA(),IF(Inputs!$B$25&lt;&gt;"Yes",NA(),Inputs!$D$25*Inputs!$C$35))</f>
        <v/>
      </c>
      <c r="Q576" s="54">
        <f>IF($B576=0,NA(),IF(Inputs!$B$26&lt;&gt;"Yes",NA(),Inputs!$D$26*Inputs!$C$35))</f>
        <v/>
      </c>
      <c r="R576" s="54">
        <f>IF($B576=0,NA(),IF(Inputs!$B$27&lt;&gt;"Yes",NA(),Inputs!$D$27*Inputs!$C$35))</f>
        <v/>
      </c>
      <c r="S576" s="54">
        <f>IF($B576=0,NA(),IF(Inputs!$B$28&lt;&gt;"Yes",NA(),Inputs!$D$28*Inputs!$C$35))</f>
        <v/>
      </c>
      <c r="T576" s="54">
        <f>IF($B576=0,NA(),IF(Inputs!$B$29&lt;&gt;"Yes",NA(),Inputs!$D$29*Inputs!$C$35))</f>
        <v/>
      </c>
      <c r="AD576">
        <f>IF($B576=0,0,IF(Inputs!$B$6="",0,COUNTIFS(Data!$A$10:$A$3209,"&gt;="&amp;$A576,Data!$A$10:$A$3209,"&lt;"&amp;$A576+1)))</f>
        <v/>
      </c>
      <c r="AE576">
        <f>IF($B576=0,0,IF(Inputs!$B$7="",0,COUNTIFS(Data!$E$10:$E$3209,"&gt;="&amp;$A576,Data!$E$10:$E$3209,"&lt;"&amp;$A576+1)))</f>
        <v/>
      </c>
      <c r="AF576">
        <f>IF($B576=0,0,IF(Inputs!$B$8="",0,COUNTIFS(Data!$I$10:$I$3209,"&gt;="&amp;$A576,Data!$I$10:$I$3209,"&lt;"&amp;$A576+1)))</f>
        <v/>
      </c>
      <c r="AG576">
        <f>IF($B576=0,0,IF(Inputs!$B$9="",0,COUNTIFS(Data!$M$10:$M$3209,"&gt;="&amp;$A576,Data!$M$10:$M$3209,"&lt;"&amp;$A576+1)))</f>
        <v/>
      </c>
      <c r="AH576">
        <f>IF($B576=0,0,IF(Inputs!$B$10="",0,COUNTIFS(Data!$Q$10:$Q$3209,"&gt;="&amp;$A576,Data!$Q$10:$Q$3209,"&lt;"&amp;$A576+1)))</f>
        <v/>
      </c>
    </row>
    <row r="577">
      <c r="A577" s="55">
        <f>MIN(Inputs!$C$15,$A576+IF(WEEKDAY($A576,2)=5,3,1))</f>
        <v/>
      </c>
      <c r="B577">
        <f>IF($A577&gt;$A576,1,0)</f>
        <v/>
      </c>
      <c r="C577" s="56">
        <f>IF($B577=0,"",IF(Inputs!$B$6="","",IF($AD577=0,C576,SUMIFS(Data!$B$10:$B$3209,Data!$A$10:$A$3209,"&gt;="&amp;$A577,Data!$A$10:$A$3209,"&lt;"&amp;$A577+1)/$AD577)))</f>
        <v/>
      </c>
      <c r="D577" s="56">
        <f>IF($B577=0,"",IF(Inputs!$B$7="","",IF($AE577=0,D576,SUMIFS(Data!$F$10:$F$3209,Data!$E$10:$E$3209,"&gt;="&amp;$A577,Data!$E$10:$E$3209,"&lt;"&amp;$A577+1)/$AE577)))</f>
        <v/>
      </c>
      <c r="E577" s="56">
        <f>IF($B577=0,"",IF(Inputs!$B$8="","",IF($AF577=0,E576,SUMIFS(Data!$J$10:$J$3209,Data!$I$10:$I$3209,"&gt;="&amp;$A577,Data!$I$10:$I$3209,"&lt;"&amp;$A577+1)/$AF577)))</f>
        <v/>
      </c>
      <c r="F577" s="56">
        <f>IF($B577=0,"",IF(Inputs!$B$9="","",IF($AG577=0,F576,SUMIFS(Data!$N$10:$N$3209,Data!$M$10:$M$3209,"&gt;="&amp;$A577,Data!$M$10:$M$3209,"&lt;"&amp;$A577+1)/$AG577)))</f>
        <v/>
      </c>
      <c r="G577" s="56">
        <f>IF($B577=0,"",IF(Inputs!$B$10="","",IF($AH577=0,G576,SUMIFS(Data!$R$10:$R$3209,Data!$Q$10:$Q$3209,"&gt;="&amp;$A577,Data!$Q$10:$Q$3209,"&lt;"&amp;$A577+1)/$AH577)))</f>
        <v/>
      </c>
      <c r="I577" s="54">
        <f>IF($B577=0,NA(),IF($C577="",NA(),IF(C$8="",NA(),IF(N(C$8)=0,NA(),IF(Inputs!$C$17="Rebased to 100",$C577/C$8*100,$C577)))))</f>
        <v/>
      </c>
      <c r="J577" s="54">
        <f>IF($B577=0,NA(),IF($D577="",NA(),IF(D$8="",NA(),IF(N(D$8)=0,NA(),IF(Inputs!$C$17="Rebased to 100",$D577/D$8*100,$D577)))))</f>
        <v/>
      </c>
      <c r="K577" s="54">
        <f>IF($B577=0,NA(),IF($E577="",NA(),IF(E$8="",NA(),IF(N(E$8)=0,NA(),IF(Inputs!$C$17="Rebased to 100",$E577/E$8*100,$E577)))))</f>
        <v/>
      </c>
      <c r="L577" s="54">
        <f>IF($B577=0,NA(),IF($F577="",NA(),IF(F$8="",NA(),IF(N(F$8)=0,NA(),IF(Inputs!$C$17="Rebased to 100",$F577/F$8*100,$F577)))))</f>
        <v/>
      </c>
      <c r="M577" s="54">
        <f>IF($B577=0,NA(),IF($G577="",NA(),IF(G$8="",NA(),IF(N(G$8)=0,NA(),IF(Inputs!$C$17="Rebased to 100",$G577/G$8*100,$G577)))))</f>
        <v/>
      </c>
      <c r="N577" s="54">
        <f>IF($B577=0,NA(),IF(Inputs!$C$18&lt;&gt;"Yes",NA(),IF(COUNT(I577,J577,K577,L577,M577)=0,NA(),MIN(I577,J577,K577,L577,M577))))</f>
        <v/>
      </c>
      <c r="O577" s="54">
        <f>IF($B577=0,NA(),IF(Inputs!$B$24&lt;&gt;"Yes",NA(),Inputs!$D$24*Inputs!$C$35))</f>
        <v/>
      </c>
      <c r="P577" s="54">
        <f>IF($B577=0,NA(),IF(Inputs!$B$25&lt;&gt;"Yes",NA(),Inputs!$D$25*Inputs!$C$35))</f>
        <v/>
      </c>
      <c r="Q577" s="54">
        <f>IF($B577=0,NA(),IF(Inputs!$B$26&lt;&gt;"Yes",NA(),Inputs!$D$26*Inputs!$C$35))</f>
        <v/>
      </c>
      <c r="R577" s="54">
        <f>IF($B577=0,NA(),IF(Inputs!$B$27&lt;&gt;"Yes",NA(),Inputs!$D$27*Inputs!$C$35))</f>
        <v/>
      </c>
      <c r="S577" s="54">
        <f>IF($B577=0,NA(),IF(Inputs!$B$28&lt;&gt;"Yes",NA(),Inputs!$D$28*Inputs!$C$35))</f>
        <v/>
      </c>
      <c r="T577" s="54">
        <f>IF($B577=0,NA(),IF(Inputs!$B$29&lt;&gt;"Yes",NA(),Inputs!$D$29*Inputs!$C$35))</f>
        <v/>
      </c>
      <c r="AD577">
        <f>IF($B577=0,0,IF(Inputs!$B$6="",0,COUNTIFS(Data!$A$10:$A$3209,"&gt;="&amp;$A577,Data!$A$10:$A$3209,"&lt;"&amp;$A577+1)))</f>
        <v/>
      </c>
      <c r="AE577">
        <f>IF($B577=0,0,IF(Inputs!$B$7="",0,COUNTIFS(Data!$E$10:$E$3209,"&gt;="&amp;$A577,Data!$E$10:$E$3209,"&lt;"&amp;$A577+1)))</f>
        <v/>
      </c>
      <c r="AF577">
        <f>IF($B577=0,0,IF(Inputs!$B$8="",0,COUNTIFS(Data!$I$10:$I$3209,"&gt;="&amp;$A577,Data!$I$10:$I$3209,"&lt;"&amp;$A577+1)))</f>
        <v/>
      </c>
      <c r="AG577">
        <f>IF($B577=0,0,IF(Inputs!$B$9="",0,COUNTIFS(Data!$M$10:$M$3209,"&gt;="&amp;$A577,Data!$M$10:$M$3209,"&lt;"&amp;$A577+1)))</f>
        <v/>
      </c>
      <c r="AH577">
        <f>IF($B577=0,0,IF(Inputs!$B$10="",0,COUNTIFS(Data!$Q$10:$Q$3209,"&gt;="&amp;$A577,Data!$Q$10:$Q$3209,"&lt;"&amp;$A577+1)))</f>
        <v/>
      </c>
    </row>
    <row r="578">
      <c r="A578" s="55">
        <f>MIN(Inputs!$C$15,$A577+IF(WEEKDAY($A577,2)=5,3,1))</f>
        <v/>
      </c>
      <c r="B578">
        <f>IF($A578&gt;$A577,1,0)</f>
        <v/>
      </c>
      <c r="C578" s="56">
        <f>IF($B578=0,"",IF(Inputs!$B$6="","",IF($AD578=0,C577,SUMIFS(Data!$B$10:$B$3209,Data!$A$10:$A$3209,"&gt;="&amp;$A578,Data!$A$10:$A$3209,"&lt;"&amp;$A578+1)/$AD578)))</f>
        <v/>
      </c>
      <c r="D578" s="56">
        <f>IF($B578=0,"",IF(Inputs!$B$7="","",IF($AE578=0,D577,SUMIFS(Data!$F$10:$F$3209,Data!$E$10:$E$3209,"&gt;="&amp;$A578,Data!$E$10:$E$3209,"&lt;"&amp;$A578+1)/$AE578)))</f>
        <v/>
      </c>
      <c r="E578" s="56">
        <f>IF($B578=0,"",IF(Inputs!$B$8="","",IF($AF578=0,E577,SUMIFS(Data!$J$10:$J$3209,Data!$I$10:$I$3209,"&gt;="&amp;$A578,Data!$I$10:$I$3209,"&lt;"&amp;$A578+1)/$AF578)))</f>
        <v/>
      </c>
      <c r="F578" s="56">
        <f>IF($B578=0,"",IF(Inputs!$B$9="","",IF($AG578=0,F577,SUMIFS(Data!$N$10:$N$3209,Data!$M$10:$M$3209,"&gt;="&amp;$A578,Data!$M$10:$M$3209,"&lt;"&amp;$A578+1)/$AG578)))</f>
        <v/>
      </c>
      <c r="G578" s="56">
        <f>IF($B578=0,"",IF(Inputs!$B$10="","",IF($AH578=0,G577,SUMIFS(Data!$R$10:$R$3209,Data!$Q$10:$Q$3209,"&gt;="&amp;$A578,Data!$Q$10:$Q$3209,"&lt;"&amp;$A578+1)/$AH578)))</f>
        <v/>
      </c>
      <c r="I578" s="54">
        <f>IF($B578=0,NA(),IF($C578="",NA(),IF(C$8="",NA(),IF(N(C$8)=0,NA(),IF(Inputs!$C$17="Rebased to 100",$C578/C$8*100,$C578)))))</f>
        <v/>
      </c>
      <c r="J578" s="54">
        <f>IF($B578=0,NA(),IF($D578="",NA(),IF(D$8="",NA(),IF(N(D$8)=0,NA(),IF(Inputs!$C$17="Rebased to 100",$D578/D$8*100,$D578)))))</f>
        <v/>
      </c>
      <c r="K578" s="54">
        <f>IF($B578=0,NA(),IF($E578="",NA(),IF(E$8="",NA(),IF(N(E$8)=0,NA(),IF(Inputs!$C$17="Rebased to 100",$E578/E$8*100,$E578)))))</f>
        <v/>
      </c>
      <c r="L578" s="54">
        <f>IF($B578=0,NA(),IF($F578="",NA(),IF(F$8="",NA(),IF(N(F$8)=0,NA(),IF(Inputs!$C$17="Rebased to 100",$F578/F$8*100,$F578)))))</f>
        <v/>
      </c>
      <c r="M578" s="54">
        <f>IF($B578=0,NA(),IF($G578="",NA(),IF(G$8="",NA(),IF(N(G$8)=0,NA(),IF(Inputs!$C$17="Rebased to 100",$G578/G$8*100,$G578)))))</f>
        <v/>
      </c>
      <c r="N578" s="54">
        <f>IF($B578=0,NA(),IF(Inputs!$C$18&lt;&gt;"Yes",NA(),IF(COUNT(I578,J578,K578,L578,M578)=0,NA(),MIN(I578,J578,K578,L578,M578))))</f>
        <v/>
      </c>
      <c r="O578" s="54">
        <f>IF($B578=0,NA(),IF(Inputs!$B$24&lt;&gt;"Yes",NA(),Inputs!$D$24*Inputs!$C$35))</f>
        <v/>
      </c>
      <c r="P578" s="54">
        <f>IF($B578=0,NA(),IF(Inputs!$B$25&lt;&gt;"Yes",NA(),Inputs!$D$25*Inputs!$C$35))</f>
        <v/>
      </c>
      <c r="Q578" s="54">
        <f>IF($B578=0,NA(),IF(Inputs!$B$26&lt;&gt;"Yes",NA(),Inputs!$D$26*Inputs!$C$35))</f>
        <v/>
      </c>
      <c r="R578" s="54">
        <f>IF($B578=0,NA(),IF(Inputs!$B$27&lt;&gt;"Yes",NA(),Inputs!$D$27*Inputs!$C$35))</f>
        <v/>
      </c>
      <c r="S578" s="54">
        <f>IF($B578=0,NA(),IF(Inputs!$B$28&lt;&gt;"Yes",NA(),Inputs!$D$28*Inputs!$C$35))</f>
        <v/>
      </c>
      <c r="T578" s="54">
        <f>IF($B578=0,NA(),IF(Inputs!$B$29&lt;&gt;"Yes",NA(),Inputs!$D$29*Inputs!$C$35))</f>
        <v/>
      </c>
      <c r="AD578">
        <f>IF($B578=0,0,IF(Inputs!$B$6="",0,COUNTIFS(Data!$A$10:$A$3209,"&gt;="&amp;$A578,Data!$A$10:$A$3209,"&lt;"&amp;$A578+1)))</f>
        <v/>
      </c>
      <c r="AE578">
        <f>IF($B578=0,0,IF(Inputs!$B$7="",0,COUNTIFS(Data!$E$10:$E$3209,"&gt;="&amp;$A578,Data!$E$10:$E$3209,"&lt;"&amp;$A578+1)))</f>
        <v/>
      </c>
      <c r="AF578">
        <f>IF($B578=0,0,IF(Inputs!$B$8="",0,COUNTIFS(Data!$I$10:$I$3209,"&gt;="&amp;$A578,Data!$I$10:$I$3209,"&lt;"&amp;$A578+1)))</f>
        <v/>
      </c>
      <c r="AG578">
        <f>IF($B578=0,0,IF(Inputs!$B$9="",0,COUNTIFS(Data!$M$10:$M$3209,"&gt;="&amp;$A578,Data!$M$10:$M$3209,"&lt;"&amp;$A578+1)))</f>
        <v/>
      </c>
      <c r="AH578">
        <f>IF($B578=0,0,IF(Inputs!$B$10="",0,COUNTIFS(Data!$Q$10:$Q$3209,"&gt;="&amp;$A578,Data!$Q$10:$Q$3209,"&lt;"&amp;$A578+1)))</f>
        <v/>
      </c>
    </row>
    <row r="579">
      <c r="A579" s="55">
        <f>MIN(Inputs!$C$15,$A578+IF(WEEKDAY($A578,2)=5,3,1))</f>
        <v/>
      </c>
      <c r="B579">
        <f>IF($A579&gt;$A578,1,0)</f>
        <v/>
      </c>
      <c r="C579" s="56">
        <f>IF($B579=0,"",IF(Inputs!$B$6="","",IF($AD579=0,C578,SUMIFS(Data!$B$10:$B$3209,Data!$A$10:$A$3209,"&gt;="&amp;$A579,Data!$A$10:$A$3209,"&lt;"&amp;$A579+1)/$AD579)))</f>
        <v/>
      </c>
      <c r="D579" s="56">
        <f>IF($B579=0,"",IF(Inputs!$B$7="","",IF($AE579=0,D578,SUMIFS(Data!$F$10:$F$3209,Data!$E$10:$E$3209,"&gt;="&amp;$A579,Data!$E$10:$E$3209,"&lt;"&amp;$A579+1)/$AE579)))</f>
        <v/>
      </c>
      <c r="E579" s="56">
        <f>IF($B579=0,"",IF(Inputs!$B$8="","",IF($AF579=0,E578,SUMIFS(Data!$J$10:$J$3209,Data!$I$10:$I$3209,"&gt;="&amp;$A579,Data!$I$10:$I$3209,"&lt;"&amp;$A579+1)/$AF579)))</f>
        <v/>
      </c>
      <c r="F579" s="56">
        <f>IF($B579=0,"",IF(Inputs!$B$9="","",IF($AG579=0,F578,SUMIFS(Data!$N$10:$N$3209,Data!$M$10:$M$3209,"&gt;="&amp;$A579,Data!$M$10:$M$3209,"&lt;"&amp;$A579+1)/$AG579)))</f>
        <v/>
      </c>
      <c r="G579" s="56">
        <f>IF($B579=0,"",IF(Inputs!$B$10="","",IF($AH579=0,G578,SUMIFS(Data!$R$10:$R$3209,Data!$Q$10:$Q$3209,"&gt;="&amp;$A579,Data!$Q$10:$Q$3209,"&lt;"&amp;$A579+1)/$AH579)))</f>
        <v/>
      </c>
      <c r="I579" s="54">
        <f>IF($B579=0,NA(),IF($C579="",NA(),IF(C$8="",NA(),IF(N(C$8)=0,NA(),IF(Inputs!$C$17="Rebased to 100",$C579/C$8*100,$C579)))))</f>
        <v/>
      </c>
      <c r="J579" s="54">
        <f>IF($B579=0,NA(),IF($D579="",NA(),IF(D$8="",NA(),IF(N(D$8)=0,NA(),IF(Inputs!$C$17="Rebased to 100",$D579/D$8*100,$D579)))))</f>
        <v/>
      </c>
      <c r="K579" s="54">
        <f>IF($B579=0,NA(),IF($E579="",NA(),IF(E$8="",NA(),IF(N(E$8)=0,NA(),IF(Inputs!$C$17="Rebased to 100",$E579/E$8*100,$E579)))))</f>
        <v/>
      </c>
      <c r="L579" s="54">
        <f>IF($B579=0,NA(),IF($F579="",NA(),IF(F$8="",NA(),IF(N(F$8)=0,NA(),IF(Inputs!$C$17="Rebased to 100",$F579/F$8*100,$F579)))))</f>
        <v/>
      </c>
      <c r="M579" s="54">
        <f>IF($B579=0,NA(),IF($G579="",NA(),IF(G$8="",NA(),IF(N(G$8)=0,NA(),IF(Inputs!$C$17="Rebased to 100",$G579/G$8*100,$G579)))))</f>
        <v/>
      </c>
      <c r="N579" s="54">
        <f>IF($B579=0,NA(),IF(Inputs!$C$18&lt;&gt;"Yes",NA(),IF(COUNT(I579,J579,K579,L579,M579)=0,NA(),MIN(I579,J579,K579,L579,M579))))</f>
        <v/>
      </c>
      <c r="O579" s="54">
        <f>IF($B579=0,NA(),IF(Inputs!$B$24&lt;&gt;"Yes",NA(),Inputs!$D$24*Inputs!$C$35))</f>
        <v/>
      </c>
      <c r="P579" s="54">
        <f>IF($B579=0,NA(),IF(Inputs!$B$25&lt;&gt;"Yes",NA(),Inputs!$D$25*Inputs!$C$35))</f>
        <v/>
      </c>
      <c r="Q579" s="54">
        <f>IF($B579=0,NA(),IF(Inputs!$B$26&lt;&gt;"Yes",NA(),Inputs!$D$26*Inputs!$C$35))</f>
        <v/>
      </c>
      <c r="R579" s="54">
        <f>IF($B579=0,NA(),IF(Inputs!$B$27&lt;&gt;"Yes",NA(),Inputs!$D$27*Inputs!$C$35))</f>
        <v/>
      </c>
      <c r="S579" s="54">
        <f>IF($B579=0,NA(),IF(Inputs!$B$28&lt;&gt;"Yes",NA(),Inputs!$D$28*Inputs!$C$35))</f>
        <v/>
      </c>
      <c r="T579" s="54">
        <f>IF($B579=0,NA(),IF(Inputs!$B$29&lt;&gt;"Yes",NA(),Inputs!$D$29*Inputs!$C$35))</f>
        <v/>
      </c>
      <c r="AD579">
        <f>IF($B579=0,0,IF(Inputs!$B$6="",0,COUNTIFS(Data!$A$10:$A$3209,"&gt;="&amp;$A579,Data!$A$10:$A$3209,"&lt;"&amp;$A579+1)))</f>
        <v/>
      </c>
      <c r="AE579">
        <f>IF($B579=0,0,IF(Inputs!$B$7="",0,COUNTIFS(Data!$E$10:$E$3209,"&gt;="&amp;$A579,Data!$E$10:$E$3209,"&lt;"&amp;$A579+1)))</f>
        <v/>
      </c>
      <c r="AF579">
        <f>IF($B579=0,0,IF(Inputs!$B$8="",0,COUNTIFS(Data!$I$10:$I$3209,"&gt;="&amp;$A579,Data!$I$10:$I$3209,"&lt;"&amp;$A579+1)))</f>
        <v/>
      </c>
      <c r="AG579">
        <f>IF($B579=0,0,IF(Inputs!$B$9="",0,COUNTIFS(Data!$M$10:$M$3209,"&gt;="&amp;$A579,Data!$M$10:$M$3209,"&lt;"&amp;$A579+1)))</f>
        <v/>
      </c>
      <c r="AH579">
        <f>IF($B579=0,0,IF(Inputs!$B$10="",0,COUNTIFS(Data!$Q$10:$Q$3209,"&gt;="&amp;$A579,Data!$Q$10:$Q$3209,"&lt;"&amp;$A579+1)))</f>
        <v/>
      </c>
    </row>
    <row r="580">
      <c r="A580" s="55">
        <f>MIN(Inputs!$C$15,$A579+IF(WEEKDAY($A579,2)=5,3,1))</f>
        <v/>
      </c>
      <c r="B580">
        <f>IF($A580&gt;$A579,1,0)</f>
        <v/>
      </c>
      <c r="C580" s="56">
        <f>IF($B580=0,"",IF(Inputs!$B$6="","",IF($AD580=0,C579,SUMIFS(Data!$B$10:$B$3209,Data!$A$10:$A$3209,"&gt;="&amp;$A580,Data!$A$10:$A$3209,"&lt;"&amp;$A580+1)/$AD580)))</f>
        <v/>
      </c>
      <c r="D580" s="56">
        <f>IF($B580=0,"",IF(Inputs!$B$7="","",IF($AE580=0,D579,SUMIFS(Data!$F$10:$F$3209,Data!$E$10:$E$3209,"&gt;="&amp;$A580,Data!$E$10:$E$3209,"&lt;"&amp;$A580+1)/$AE580)))</f>
        <v/>
      </c>
      <c r="E580" s="56">
        <f>IF($B580=0,"",IF(Inputs!$B$8="","",IF($AF580=0,E579,SUMIFS(Data!$J$10:$J$3209,Data!$I$10:$I$3209,"&gt;="&amp;$A580,Data!$I$10:$I$3209,"&lt;"&amp;$A580+1)/$AF580)))</f>
        <v/>
      </c>
      <c r="F580" s="56">
        <f>IF($B580=0,"",IF(Inputs!$B$9="","",IF($AG580=0,F579,SUMIFS(Data!$N$10:$N$3209,Data!$M$10:$M$3209,"&gt;="&amp;$A580,Data!$M$10:$M$3209,"&lt;"&amp;$A580+1)/$AG580)))</f>
        <v/>
      </c>
      <c r="G580" s="56">
        <f>IF($B580=0,"",IF(Inputs!$B$10="","",IF($AH580=0,G579,SUMIFS(Data!$R$10:$R$3209,Data!$Q$10:$Q$3209,"&gt;="&amp;$A580,Data!$Q$10:$Q$3209,"&lt;"&amp;$A580+1)/$AH580)))</f>
        <v/>
      </c>
      <c r="I580" s="54">
        <f>IF($B580=0,NA(),IF($C580="",NA(),IF(C$8="",NA(),IF(N(C$8)=0,NA(),IF(Inputs!$C$17="Rebased to 100",$C580/C$8*100,$C580)))))</f>
        <v/>
      </c>
      <c r="J580" s="54">
        <f>IF($B580=0,NA(),IF($D580="",NA(),IF(D$8="",NA(),IF(N(D$8)=0,NA(),IF(Inputs!$C$17="Rebased to 100",$D580/D$8*100,$D580)))))</f>
        <v/>
      </c>
      <c r="K580" s="54">
        <f>IF($B580=0,NA(),IF($E580="",NA(),IF(E$8="",NA(),IF(N(E$8)=0,NA(),IF(Inputs!$C$17="Rebased to 100",$E580/E$8*100,$E580)))))</f>
        <v/>
      </c>
      <c r="L580" s="54">
        <f>IF($B580=0,NA(),IF($F580="",NA(),IF(F$8="",NA(),IF(N(F$8)=0,NA(),IF(Inputs!$C$17="Rebased to 100",$F580/F$8*100,$F580)))))</f>
        <v/>
      </c>
      <c r="M580" s="54">
        <f>IF($B580=0,NA(),IF($G580="",NA(),IF(G$8="",NA(),IF(N(G$8)=0,NA(),IF(Inputs!$C$17="Rebased to 100",$G580/G$8*100,$G580)))))</f>
        <v/>
      </c>
      <c r="N580" s="54">
        <f>IF($B580=0,NA(),IF(Inputs!$C$18&lt;&gt;"Yes",NA(),IF(COUNT(I580,J580,K580,L580,M580)=0,NA(),MIN(I580,J580,K580,L580,M580))))</f>
        <v/>
      </c>
      <c r="O580" s="54">
        <f>IF($B580=0,NA(),IF(Inputs!$B$24&lt;&gt;"Yes",NA(),Inputs!$D$24*Inputs!$C$35))</f>
        <v/>
      </c>
      <c r="P580" s="54">
        <f>IF($B580=0,NA(),IF(Inputs!$B$25&lt;&gt;"Yes",NA(),Inputs!$D$25*Inputs!$C$35))</f>
        <v/>
      </c>
      <c r="Q580" s="54">
        <f>IF($B580=0,NA(),IF(Inputs!$B$26&lt;&gt;"Yes",NA(),Inputs!$D$26*Inputs!$C$35))</f>
        <v/>
      </c>
      <c r="R580" s="54">
        <f>IF($B580=0,NA(),IF(Inputs!$B$27&lt;&gt;"Yes",NA(),Inputs!$D$27*Inputs!$C$35))</f>
        <v/>
      </c>
      <c r="S580" s="54">
        <f>IF($B580=0,NA(),IF(Inputs!$B$28&lt;&gt;"Yes",NA(),Inputs!$D$28*Inputs!$C$35))</f>
        <v/>
      </c>
      <c r="T580" s="54">
        <f>IF($B580=0,NA(),IF(Inputs!$B$29&lt;&gt;"Yes",NA(),Inputs!$D$29*Inputs!$C$35))</f>
        <v/>
      </c>
      <c r="AD580">
        <f>IF($B580=0,0,IF(Inputs!$B$6="",0,COUNTIFS(Data!$A$10:$A$3209,"&gt;="&amp;$A580,Data!$A$10:$A$3209,"&lt;"&amp;$A580+1)))</f>
        <v/>
      </c>
      <c r="AE580">
        <f>IF($B580=0,0,IF(Inputs!$B$7="",0,COUNTIFS(Data!$E$10:$E$3209,"&gt;="&amp;$A580,Data!$E$10:$E$3209,"&lt;"&amp;$A580+1)))</f>
        <v/>
      </c>
      <c r="AF580">
        <f>IF($B580=0,0,IF(Inputs!$B$8="",0,COUNTIFS(Data!$I$10:$I$3209,"&gt;="&amp;$A580,Data!$I$10:$I$3209,"&lt;"&amp;$A580+1)))</f>
        <v/>
      </c>
      <c r="AG580">
        <f>IF($B580=0,0,IF(Inputs!$B$9="",0,COUNTIFS(Data!$M$10:$M$3209,"&gt;="&amp;$A580,Data!$M$10:$M$3209,"&lt;"&amp;$A580+1)))</f>
        <v/>
      </c>
      <c r="AH580">
        <f>IF($B580=0,0,IF(Inputs!$B$10="",0,COUNTIFS(Data!$Q$10:$Q$3209,"&gt;="&amp;$A580,Data!$Q$10:$Q$3209,"&lt;"&amp;$A580+1)))</f>
        <v/>
      </c>
    </row>
    <row r="581">
      <c r="A581" s="55">
        <f>MIN(Inputs!$C$15,$A580+IF(WEEKDAY($A580,2)=5,3,1))</f>
        <v/>
      </c>
      <c r="B581">
        <f>IF($A581&gt;$A580,1,0)</f>
        <v/>
      </c>
      <c r="C581" s="56">
        <f>IF($B581=0,"",IF(Inputs!$B$6="","",IF($AD581=0,C580,SUMIFS(Data!$B$10:$B$3209,Data!$A$10:$A$3209,"&gt;="&amp;$A581,Data!$A$10:$A$3209,"&lt;"&amp;$A581+1)/$AD581)))</f>
        <v/>
      </c>
      <c r="D581" s="56">
        <f>IF($B581=0,"",IF(Inputs!$B$7="","",IF($AE581=0,D580,SUMIFS(Data!$F$10:$F$3209,Data!$E$10:$E$3209,"&gt;="&amp;$A581,Data!$E$10:$E$3209,"&lt;"&amp;$A581+1)/$AE581)))</f>
        <v/>
      </c>
      <c r="E581" s="56">
        <f>IF($B581=0,"",IF(Inputs!$B$8="","",IF($AF581=0,E580,SUMIFS(Data!$J$10:$J$3209,Data!$I$10:$I$3209,"&gt;="&amp;$A581,Data!$I$10:$I$3209,"&lt;"&amp;$A581+1)/$AF581)))</f>
        <v/>
      </c>
      <c r="F581" s="56">
        <f>IF($B581=0,"",IF(Inputs!$B$9="","",IF($AG581=0,F580,SUMIFS(Data!$N$10:$N$3209,Data!$M$10:$M$3209,"&gt;="&amp;$A581,Data!$M$10:$M$3209,"&lt;"&amp;$A581+1)/$AG581)))</f>
        <v/>
      </c>
      <c r="G581" s="56">
        <f>IF($B581=0,"",IF(Inputs!$B$10="","",IF($AH581=0,G580,SUMIFS(Data!$R$10:$R$3209,Data!$Q$10:$Q$3209,"&gt;="&amp;$A581,Data!$Q$10:$Q$3209,"&lt;"&amp;$A581+1)/$AH581)))</f>
        <v/>
      </c>
      <c r="I581" s="54">
        <f>IF($B581=0,NA(),IF($C581="",NA(),IF(C$8="",NA(),IF(N(C$8)=0,NA(),IF(Inputs!$C$17="Rebased to 100",$C581/C$8*100,$C581)))))</f>
        <v/>
      </c>
      <c r="J581" s="54">
        <f>IF($B581=0,NA(),IF($D581="",NA(),IF(D$8="",NA(),IF(N(D$8)=0,NA(),IF(Inputs!$C$17="Rebased to 100",$D581/D$8*100,$D581)))))</f>
        <v/>
      </c>
      <c r="K581" s="54">
        <f>IF($B581=0,NA(),IF($E581="",NA(),IF(E$8="",NA(),IF(N(E$8)=0,NA(),IF(Inputs!$C$17="Rebased to 100",$E581/E$8*100,$E581)))))</f>
        <v/>
      </c>
      <c r="L581" s="54">
        <f>IF($B581=0,NA(),IF($F581="",NA(),IF(F$8="",NA(),IF(N(F$8)=0,NA(),IF(Inputs!$C$17="Rebased to 100",$F581/F$8*100,$F581)))))</f>
        <v/>
      </c>
      <c r="M581" s="54">
        <f>IF($B581=0,NA(),IF($G581="",NA(),IF(G$8="",NA(),IF(N(G$8)=0,NA(),IF(Inputs!$C$17="Rebased to 100",$G581/G$8*100,$G581)))))</f>
        <v/>
      </c>
      <c r="N581" s="54">
        <f>IF($B581=0,NA(),IF(Inputs!$C$18&lt;&gt;"Yes",NA(),IF(COUNT(I581,J581,K581,L581,M581)=0,NA(),MIN(I581,J581,K581,L581,M581))))</f>
        <v/>
      </c>
      <c r="O581" s="54">
        <f>IF($B581=0,NA(),IF(Inputs!$B$24&lt;&gt;"Yes",NA(),Inputs!$D$24*Inputs!$C$35))</f>
        <v/>
      </c>
      <c r="P581" s="54">
        <f>IF($B581=0,NA(),IF(Inputs!$B$25&lt;&gt;"Yes",NA(),Inputs!$D$25*Inputs!$C$35))</f>
        <v/>
      </c>
      <c r="Q581" s="54">
        <f>IF($B581=0,NA(),IF(Inputs!$B$26&lt;&gt;"Yes",NA(),Inputs!$D$26*Inputs!$C$35))</f>
        <v/>
      </c>
      <c r="R581" s="54">
        <f>IF($B581=0,NA(),IF(Inputs!$B$27&lt;&gt;"Yes",NA(),Inputs!$D$27*Inputs!$C$35))</f>
        <v/>
      </c>
      <c r="S581" s="54">
        <f>IF($B581=0,NA(),IF(Inputs!$B$28&lt;&gt;"Yes",NA(),Inputs!$D$28*Inputs!$C$35))</f>
        <v/>
      </c>
      <c r="T581" s="54">
        <f>IF($B581=0,NA(),IF(Inputs!$B$29&lt;&gt;"Yes",NA(),Inputs!$D$29*Inputs!$C$35))</f>
        <v/>
      </c>
      <c r="AD581">
        <f>IF($B581=0,0,IF(Inputs!$B$6="",0,COUNTIFS(Data!$A$10:$A$3209,"&gt;="&amp;$A581,Data!$A$10:$A$3209,"&lt;"&amp;$A581+1)))</f>
        <v/>
      </c>
      <c r="AE581">
        <f>IF($B581=0,0,IF(Inputs!$B$7="",0,COUNTIFS(Data!$E$10:$E$3209,"&gt;="&amp;$A581,Data!$E$10:$E$3209,"&lt;"&amp;$A581+1)))</f>
        <v/>
      </c>
      <c r="AF581">
        <f>IF($B581=0,0,IF(Inputs!$B$8="",0,COUNTIFS(Data!$I$10:$I$3209,"&gt;="&amp;$A581,Data!$I$10:$I$3209,"&lt;"&amp;$A581+1)))</f>
        <v/>
      </c>
      <c r="AG581">
        <f>IF($B581=0,0,IF(Inputs!$B$9="",0,COUNTIFS(Data!$M$10:$M$3209,"&gt;="&amp;$A581,Data!$M$10:$M$3209,"&lt;"&amp;$A581+1)))</f>
        <v/>
      </c>
      <c r="AH581">
        <f>IF($B581=0,0,IF(Inputs!$B$10="",0,COUNTIFS(Data!$Q$10:$Q$3209,"&gt;="&amp;$A581,Data!$Q$10:$Q$3209,"&lt;"&amp;$A581+1)))</f>
        <v/>
      </c>
    </row>
    <row r="582">
      <c r="A582" s="55">
        <f>MIN(Inputs!$C$15,$A581+IF(WEEKDAY($A581,2)=5,3,1))</f>
        <v/>
      </c>
      <c r="B582">
        <f>IF($A582&gt;$A581,1,0)</f>
        <v/>
      </c>
      <c r="C582" s="56">
        <f>IF($B582=0,"",IF(Inputs!$B$6="","",IF($AD582=0,C581,SUMIFS(Data!$B$10:$B$3209,Data!$A$10:$A$3209,"&gt;="&amp;$A582,Data!$A$10:$A$3209,"&lt;"&amp;$A582+1)/$AD582)))</f>
        <v/>
      </c>
      <c r="D582" s="56">
        <f>IF($B582=0,"",IF(Inputs!$B$7="","",IF($AE582=0,D581,SUMIFS(Data!$F$10:$F$3209,Data!$E$10:$E$3209,"&gt;="&amp;$A582,Data!$E$10:$E$3209,"&lt;"&amp;$A582+1)/$AE582)))</f>
        <v/>
      </c>
      <c r="E582" s="56">
        <f>IF($B582=0,"",IF(Inputs!$B$8="","",IF($AF582=0,E581,SUMIFS(Data!$J$10:$J$3209,Data!$I$10:$I$3209,"&gt;="&amp;$A582,Data!$I$10:$I$3209,"&lt;"&amp;$A582+1)/$AF582)))</f>
        <v/>
      </c>
      <c r="F582" s="56">
        <f>IF($B582=0,"",IF(Inputs!$B$9="","",IF($AG582=0,F581,SUMIFS(Data!$N$10:$N$3209,Data!$M$10:$M$3209,"&gt;="&amp;$A582,Data!$M$10:$M$3209,"&lt;"&amp;$A582+1)/$AG582)))</f>
        <v/>
      </c>
      <c r="G582" s="56">
        <f>IF($B582=0,"",IF(Inputs!$B$10="","",IF($AH582=0,G581,SUMIFS(Data!$R$10:$R$3209,Data!$Q$10:$Q$3209,"&gt;="&amp;$A582,Data!$Q$10:$Q$3209,"&lt;"&amp;$A582+1)/$AH582)))</f>
        <v/>
      </c>
      <c r="I582" s="54">
        <f>IF($B582=0,NA(),IF($C582="",NA(),IF(C$8="",NA(),IF(N(C$8)=0,NA(),IF(Inputs!$C$17="Rebased to 100",$C582/C$8*100,$C582)))))</f>
        <v/>
      </c>
      <c r="J582" s="54">
        <f>IF($B582=0,NA(),IF($D582="",NA(),IF(D$8="",NA(),IF(N(D$8)=0,NA(),IF(Inputs!$C$17="Rebased to 100",$D582/D$8*100,$D582)))))</f>
        <v/>
      </c>
      <c r="K582" s="54">
        <f>IF($B582=0,NA(),IF($E582="",NA(),IF(E$8="",NA(),IF(N(E$8)=0,NA(),IF(Inputs!$C$17="Rebased to 100",$E582/E$8*100,$E582)))))</f>
        <v/>
      </c>
      <c r="L582" s="54">
        <f>IF($B582=0,NA(),IF($F582="",NA(),IF(F$8="",NA(),IF(N(F$8)=0,NA(),IF(Inputs!$C$17="Rebased to 100",$F582/F$8*100,$F582)))))</f>
        <v/>
      </c>
      <c r="M582" s="54">
        <f>IF($B582=0,NA(),IF($G582="",NA(),IF(G$8="",NA(),IF(N(G$8)=0,NA(),IF(Inputs!$C$17="Rebased to 100",$G582/G$8*100,$G582)))))</f>
        <v/>
      </c>
      <c r="N582" s="54">
        <f>IF($B582=0,NA(),IF(Inputs!$C$18&lt;&gt;"Yes",NA(),IF(COUNT(I582,J582,K582,L582,M582)=0,NA(),MIN(I582,J582,K582,L582,M582))))</f>
        <v/>
      </c>
      <c r="O582" s="54">
        <f>IF($B582=0,NA(),IF(Inputs!$B$24&lt;&gt;"Yes",NA(),Inputs!$D$24*Inputs!$C$35))</f>
        <v/>
      </c>
      <c r="P582" s="54">
        <f>IF($B582=0,NA(),IF(Inputs!$B$25&lt;&gt;"Yes",NA(),Inputs!$D$25*Inputs!$C$35))</f>
        <v/>
      </c>
      <c r="Q582" s="54">
        <f>IF($B582=0,NA(),IF(Inputs!$B$26&lt;&gt;"Yes",NA(),Inputs!$D$26*Inputs!$C$35))</f>
        <v/>
      </c>
      <c r="R582" s="54">
        <f>IF($B582=0,NA(),IF(Inputs!$B$27&lt;&gt;"Yes",NA(),Inputs!$D$27*Inputs!$C$35))</f>
        <v/>
      </c>
      <c r="S582" s="54">
        <f>IF($B582=0,NA(),IF(Inputs!$B$28&lt;&gt;"Yes",NA(),Inputs!$D$28*Inputs!$C$35))</f>
        <v/>
      </c>
      <c r="T582" s="54">
        <f>IF($B582=0,NA(),IF(Inputs!$B$29&lt;&gt;"Yes",NA(),Inputs!$D$29*Inputs!$C$35))</f>
        <v/>
      </c>
      <c r="AD582">
        <f>IF($B582=0,0,IF(Inputs!$B$6="",0,COUNTIFS(Data!$A$10:$A$3209,"&gt;="&amp;$A582,Data!$A$10:$A$3209,"&lt;"&amp;$A582+1)))</f>
        <v/>
      </c>
      <c r="AE582">
        <f>IF($B582=0,0,IF(Inputs!$B$7="",0,COUNTIFS(Data!$E$10:$E$3209,"&gt;="&amp;$A582,Data!$E$10:$E$3209,"&lt;"&amp;$A582+1)))</f>
        <v/>
      </c>
      <c r="AF582">
        <f>IF($B582=0,0,IF(Inputs!$B$8="",0,COUNTIFS(Data!$I$10:$I$3209,"&gt;="&amp;$A582,Data!$I$10:$I$3209,"&lt;"&amp;$A582+1)))</f>
        <v/>
      </c>
      <c r="AG582">
        <f>IF($B582=0,0,IF(Inputs!$B$9="",0,COUNTIFS(Data!$M$10:$M$3209,"&gt;="&amp;$A582,Data!$M$10:$M$3209,"&lt;"&amp;$A582+1)))</f>
        <v/>
      </c>
      <c r="AH582">
        <f>IF($B582=0,0,IF(Inputs!$B$10="",0,COUNTIFS(Data!$Q$10:$Q$3209,"&gt;="&amp;$A582,Data!$Q$10:$Q$3209,"&lt;"&amp;$A582+1)))</f>
        <v/>
      </c>
    </row>
    <row r="583">
      <c r="A583" s="55">
        <f>MIN(Inputs!$C$15,$A582+IF(WEEKDAY($A582,2)=5,3,1))</f>
        <v/>
      </c>
      <c r="B583">
        <f>IF($A583&gt;$A582,1,0)</f>
        <v/>
      </c>
      <c r="C583" s="56">
        <f>IF($B583=0,"",IF(Inputs!$B$6="","",IF($AD583=0,C582,SUMIFS(Data!$B$10:$B$3209,Data!$A$10:$A$3209,"&gt;="&amp;$A583,Data!$A$10:$A$3209,"&lt;"&amp;$A583+1)/$AD583)))</f>
        <v/>
      </c>
      <c r="D583" s="56">
        <f>IF($B583=0,"",IF(Inputs!$B$7="","",IF($AE583=0,D582,SUMIFS(Data!$F$10:$F$3209,Data!$E$10:$E$3209,"&gt;="&amp;$A583,Data!$E$10:$E$3209,"&lt;"&amp;$A583+1)/$AE583)))</f>
        <v/>
      </c>
      <c r="E583" s="56">
        <f>IF($B583=0,"",IF(Inputs!$B$8="","",IF($AF583=0,E582,SUMIFS(Data!$J$10:$J$3209,Data!$I$10:$I$3209,"&gt;="&amp;$A583,Data!$I$10:$I$3209,"&lt;"&amp;$A583+1)/$AF583)))</f>
        <v/>
      </c>
      <c r="F583" s="56">
        <f>IF($B583=0,"",IF(Inputs!$B$9="","",IF($AG583=0,F582,SUMIFS(Data!$N$10:$N$3209,Data!$M$10:$M$3209,"&gt;="&amp;$A583,Data!$M$10:$M$3209,"&lt;"&amp;$A583+1)/$AG583)))</f>
        <v/>
      </c>
      <c r="G583" s="56">
        <f>IF($B583=0,"",IF(Inputs!$B$10="","",IF($AH583=0,G582,SUMIFS(Data!$R$10:$R$3209,Data!$Q$10:$Q$3209,"&gt;="&amp;$A583,Data!$Q$10:$Q$3209,"&lt;"&amp;$A583+1)/$AH583)))</f>
        <v/>
      </c>
      <c r="I583" s="54">
        <f>IF($B583=0,NA(),IF($C583="",NA(),IF(C$8="",NA(),IF(N(C$8)=0,NA(),IF(Inputs!$C$17="Rebased to 100",$C583/C$8*100,$C583)))))</f>
        <v/>
      </c>
      <c r="J583" s="54">
        <f>IF($B583=0,NA(),IF($D583="",NA(),IF(D$8="",NA(),IF(N(D$8)=0,NA(),IF(Inputs!$C$17="Rebased to 100",$D583/D$8*100,$D583)))))</f>
        <v/>
      </c>
      <c r="K583" s="54">
        <f>IF($B583=0,NA(),IF($E583="",NA(),IF(E$8="",NA(),IF(N(E$8)=0,NA(),IF(Inputs!$C$17="Rebased to 100",$E583/E$8*100,$E583)))))</f>
        <v/>
      </c>
      <c r="L583" s="54">
        <f>IF($B583=0,NA(),IF($F583="",NA(),IF(F$8="",NA(),IF(N(F$8)=0,NA(),IF(Inputs!$C$17="Rebased to 100",$F583/F$8*100,$F583)))))</f>
        <v/>
      </c>
      <c r="M583" s="54">
        <f>IF($B583=0,NA(),IF($G583="",NA(),IF(G$8="",NA(),IF(N(G$8)=0,NA(),IF(Inputs!$C$17="Rebased to 100",$G583/G$8*100,$G583)))))</f>
        <v/>
      </c>
      <c r="N583" s="54">
        <f>IF($B583=0,NA(),IF(Inputs!$C$18&lt;&gt;"Yes",NA(),IF(COUNT(I583,J583,K583,L583,M583)=0,NA(),MIN(I583,J583,K583,L583,M583))))</f>
        <v/>
      </c>
      <c r="O583" s="54">
        <f>IF($B583=0,NA(),IF(Inputs!$B$24&lt;&gt;"Yes",NA(),Inputs!$D$24*Inputs!$C$35))</f>
        <v/>
      </c>
      <c r="P583" s="54">
        <f>IF($B583=0,NA(),IF(Inputs!$B$25&lt;&gt;"Yes",NA(),Inputs!$D$25*Inputs!$C$35))</f>
        <v/>
      </c>
      <c r="Q583" s="54">
        <f>IF($B583=0,NA(),IF(Inputs!$B$26&lt;&gt;"Yes",NA(),Inputs!$D$26*Inputs!$C$35))</f>
        <v/>
      </c>
      <c r="R583" s="54">
        <f>IF($B583=0,NA(),IF(Inputs!$B$27&lt;&gt;"Yes",NA(),Inputs!$D$27*Inputs!$C$35))</f>
        <v/>
      </c>
      <c r="S583" s="54">
        <f>IF($B583=0,NA(),IF(Inputs!$B$28&lt;&gt;"Yes",NA(),Inputs!$D$28*Inputs!$C$35))</f>
        <v/>
      </c>
      <c r="T583" s="54">
        <f>IF($B583=0,NA(),IF(Inputs!$B$29&lt;&gt;"Yes",NA(),Inputs!$D$29*Inputs!$C$35))</f>
        <v/>
      </c>
      <c r="AD583">
        <f>IF($B583=0,0,IF(Inputs!$B$6="",0,COUNTIFS(Data!$A$10:$A$3209,"&gt;="&amp;$A583,Data!$A$10:$A$3209,"&lt;"&amp;$A583+1)))</f>
        <v/>
      </c>
      <c r="AE583">
        <f>IF($B583=0,0,IF(Inputs!$B$7="",0,COUNTIFS(Data!$E$10:$E$3209,"&gt;="&amp;$A583,Data!$E$10:$E$3209,"&lt;"&amp;$A583+1)))</f>
        <v/>
      </c>
      <c r="AF583">
        <f>IF($B583=0,0,IF(Inputs!$B$8="",0,COUNTIFS(Data!$I$10:$I$3209,"&gt;="&amp;$A583,Data!$I$10:$I$3209,"&lt;"&amp;$A583+1)))</f>
        <v/>
      </c>
      <c r="AG583">
        <f>IF($B583=0,0,IF(Inputs!$B$9="",0,COUNTIFS(Data!$M$10:$M$3209,"&gt;="&amp;$A583,Data!$M$10:$M$3209,"&lt;"&amp;$A583+1)))</f>
        <v/>
      </c>
      <c r="AH583">
        <f>IF($B583=0,0,IF(Inputs!$B$10="",0,COUNTIFS(Data!$Q$10:$Q$3209,"&gt;="&amp;$A583,Data!$Q$10:$Q$3209,"&lt;"&amp;$A583+1)))</f>
        <v/>
      </c>
    </row>
    <row r="584">
      <c r="A584" s="55">
        <f>MIN(Inputs!$C$15,$A583+IF(WEEKDAY($A583,2)=5,3,1))</f>
        <v/>
      </c>
      <c r="B584">
        <f>IF($A584&gt;$A583,1,0)</f>
        <v/>
      </c>
      <c r="C584" s="56">
        <f>IF($B584=0,"",IF(Inputs!$B$6="","",IF($AD584=0,C583,SUMIFS(Data!$B$10:$B$3209,Data!$A$10:$A$3209,"&gt;="&amp;$A584,Data!$A$10:$A$3209,"&lt;"&amp;$A584+1)/$AD584)))</f>
        <v/>
      </c>
      <c r="D584" s="56">
        <f>IF($B584=0,"",IF(Inputs!$B$7="","",IF($AE584=0,D583,SUMIFS(Data!$F$10:$F$3209,Data!$E$10:$E$3209,"&gt;="&amp;$A584,Data!$E$10:$E$3209,"&lt;"&amp;$A584+1)/$AE584)))</f>
        <v/>
      </c>
      <c r="E584" s="56">
        <f>IF($B584=0,"",IF(Inputs!$B$8="","",IF($AF584=0,E583,SUMIFS(Data!$J$10:$J$3209,Data!$I$10:$I$3209,"&gt;="&amp;$A584,Data!$I$10:$I$3209,"&lt;"&amp;$A584+1)/$AF584)))</f>
        <v/>
      </c>
      <c r="F584" s="56">
        <f>IF($B584=0,"",IF(Inputs!$B$9="","",IF($AG584=0,F583,SUMIFS(Data!$N$10:$N$3209,Data!$M$10:$M$3209,"&gt;="&amp;$A584,Data!$M$10:$M$3209,"&lt;"&amp;$A584+1)/$AG584)))</f>
        <v/>
      </c>
      <c r="G584" s="56">
        <f>IF($B584=0,"",IF(Inputs!$B$10="","",IF($AH584=0,G583,SUMIFS(Data!$R$10:$R$3209,Data!$Q$10:$Q$3209,"&gt;="&amp;$A584,Data!$Q$10:$Q$3209,"&lt;"&amp;$A584+1)/$AH584)))</f>
        <v/>
      </c>
      <c r="I584" s="54">
        <f>IF($B584=0,NA(),IF($C584="",NA(),IF(C$8="",NA(),IF(N(C$8)=0,NA(),IF(Inputs!$C$17="Rebased to 100",$C584/C$8*100,$C584)))))</f>
        <v/>
      </c>
      <c r="J584" s="54">
        <f>IF($B584=0,NA(),IF($D584="",NA(),IF(D$8="",NA(),IF(N(D$8)=0,NA(),IF(Inputs!$C$17="Rebased to 100",$D584/D$8*100,$D584)))))</f>
        <v/>
      </c>
      <c r="K584" s="54">
        <f>IF($B584=0,NA(),IF($E584="",NA(),IF(E$8="",NA(),IF(N(E$8)=0,NA(),IF(Inputs!$C$17="Rebased to 100",$E584/E$8*100,$E584)))))</f>
        <v/>
      </c>
      <c r="L584" s="54">
        <f>IF($B584=0,NA(),IF($F584="",NA(),IF(F$8="",NA(),IF(N(F$8)=0,NA(),IF(Inputs!$C$17="Rebased to 100",$F584/F$8*100,$F584)))))</f>
        <v/>
      </c>
      <c r="M584" s="54">
        <f>IF($B584=0,NA(),IF($G584="",NA(),IF(G$8="",NA(),IF(N(G$8)=0,NA(),IF(Inputs!$C$17="Rebased to 100",$G584/G$8*100,$G584)))))</f>
        <v/>
      </c>
      <c r="N584" s="54">
        <f>IF($B584=0,NA(),IF(Inputs!$C$18&lt;&gt;"Yes",NA(),IF(COUNT(I584,J584,K584,L584,M584)=0,NA(),MIN(I584,J584,K584,L584,M584))))</f>
        <v/>
      </c>
      <c r="O584" s="54">
        <f>IF($B584=0,NA(),IF(Inputs!$B$24&lt;&gt;"Yes",NA(),Inputs!$D$24*Inputs!$C$35))</f>
        <v/>
      </c>
      <c r="P584" s="54">
        <f>IF($B584=0,NA(),IF(Inputs!$B$25&lt;&gt;"Yes",NA(),Inputs!$D$25*Inputs!$C$35))</f>
        <v/>
      </c>
      <c r="Q584" s="54">
        <f>IF($B584=0,NA(),IF(Inputs!$B$26&lt;&gt;"Yes",NA(),Inputs!$D$26*Inputs!$C$35))</f>
        <v/>
      </c>
      <c r="R584" s="54">
        <f>IF($B584=0,NA(),IF(Inputs!$B$27&lt;&gt;"Yes",NA(),Inputs!$D$27*Inputs!$C$35))</f>
        <v/>
      </c>
      <c r="S584" s="54">
        <f>IF($B584=0,NA(),IF(Inputs!$B$28&lt;&gt;"Yes",NA(),Inputs!$D$28*Inputs!$C$35))</f>
        <v/>
      </c>
      <c r="T584" s="54">
        <f>IF($B584=0,NA(),IF(Inputs!$B$29&lt;&gt;"Yes",NA(),Inputs!$D$29*Inputs!$C$35))</f>
        <v/>
      </c>
      <c r="AD584">
        <f>IF($B584=0,0,IF(Inputs!$B$6="",0,COUNTIFS(Data!$A$10:$A$3209,"&gt;="&amp;$A584,Data!$A$10:$A$3209,"&lt;"&amp;$A584+1)))</f>
        <v/>
      </c>
      <c r="AE584">
        <f>IF($B584=0,0,IF(Inputs!$B$7="",0,COUNTIFS(Data!$E$10:$E$3209,"&gt;="&amp;$A584,Data!$E$10:$E$3209,"&lt;"&amp;$A584+1)))</f>
        <v/>
      </c>
      <c r="AF584">
        <f>IF($B584=0,0,IF(Inputs!$B$8="",0,COUNTIFS(Data!$I$10:$I$3209,"&gt;="&amp;$A584,Data!$I$10:$I$3209,"&lt;"&amp;$A584+1)))</f>
        <v/>
      </c>
      <c r="AG584">
        <f>IF($B584=0,0,IF(Inputs!$B$9="",0,COUNTIFS(Data!$M$10:$M$3209,"&gt;="&amp;$A584,Data!$M$10:$M$3209,"&lt;"&amp;$A584+1)))</f>
        <v/>
      </c>
      <c r="AH584">
        <f>IF($B584=0,0,IF(Inputs!$B$10="",0,COUNTIFS(Data!$Q$10:$Q$3209,"&gt;="&amp;$A584,Data!$Q$10:$Q$3209,"&lt;"&amp;$A584+1)))</f>
        <v/>
      </c>
    </row>
    <row r="585">
      <c r="A585" s="55">
        <f>MIN(Inputs!$C$15,$A584+IF(WEEKDAY($A584,2)=5,3,1))</f>
        <v/>
      </c>
      <c r="B585">
        <f>IF($A585&gt;$A584,1,0)</f>
        <v/>
      </c>
      <c r="C585" s="56">
        <f>IF($B585=0,"",IF(Inputs!$B$6="","",IF($AD585=0,C584,SUMIFS(Data!$B$10:$B$3209,Data!$A$10:$A$3209,"&gt;="&amp;$A585,Data!$A$10:$A$3209,"&lt;"&amp;$A585+1)/$AD585)))</f>
        <v/>
      </c>
      <c r="D585" s="56">
        <f>IF($B585=0,"",IF(Inputs!$B$7="","",IF($AE585=0,D584,SUMIFS(Data!$F$10:$F$3209,Data!$E$10:$E$3209,"&gt;="&amp;$A585,Data!$E$10:$E$3209,"&lt;"&amp;$A585+1)/$AE585)))</f>
        <v/>
      </c>
      <c r="E585" s="56">
        <f>IF($B585=0,"",IF(Inputs!$B$8="","",IF($AF585=0,E584,SUMIFS(Data!$J$10:$J$3209,Data!$I$10:$I$3209,"&gt;="&amp;$A585,Data!$I$10:$I$3209,"&lt;"&amp;$A585+1)/$AF585)))</f>
        <v/>
      </c>
      <c r="F585" s="56">
        <f>IF($B585=0,"",IF(Inputs!$B$9="","",IF($AG585=0,F584,SUMIFS(Data!$N$10:$N$3209,Data!$M$10:$M$3209,"&gt;="&amp;$A585,Data!$M$10:$M$3209,"&lt;"&amp;$A585+1)/$AG585)))</f>
        <v/>
      </c>
      <c r="G585" s="56">
        <f>IF($B585=0,"",IF(Inputs!$B$10="","",IF($AH585=0,G584,SUMIFS(Data!$R$10:$R$3209,Data!$Q$10:$Q$3209,"&gt;="&amp;$A585,Data!$Q$10:$Q$3209,"&lt;"&amp;$A585+1)/$AH585)))</f>
        <v/>
      </c>
      <c r="I585" s="54">
        <f>IF($B585=0,NA(),IF($C585="",NA(),IF(C$8="",NA(),IF(N(C$8)=0,NA(),IF(Inputs!$C$17="Rebased to 100",$C585/C$8*100,$C585)))))</f>
        <v/>
      </c>
      <c r="J585" s="54">
        <f>IF($B585=0,NA(),IF($D585="",NA(),IF(D$8="",NA(),IF(N(D$8)=0,NA(),IF(Inputs!$C$17="Rebased to 100",$D585/D$8*100,$D585)))))</f>
        <v/>
      </c>
      <c r="K585" s="54">
        <f>IF($B585=0,NA(),IF($E585="",NA(),IF(E$8="",NA(),IF(N(E$8)=0,NA(),IF(Inputs!$C$17="Rebased to 100",$E585/E$8*100,$E585)))))</f>
        <v/>
      </c>
      <c r="L585" s="54">
        <f>IF($B585=0,NA(),IF($F585="",NA(),IF(F$8="",NA(),IF(N(F$8)=0,NA(),IF(Inputs!$C$17="Rebased to 100",$F585/F$8*100,$F585)))))</f>
        <v/>
      </c>
      <c r="M585" s="54">
        <f>IF($B585=0,NA(),IF($G585="",NA(),IF(G$8="",NA(),IF(N(G$8)=0,NA(),IF(Inputs!$C$17="Rebased to 100",$G585/G$8*100,$G585)))))</f>
        <v/>
      </c>
      <c r="N585" s="54">
        <f>IF($B585=0,NA(),IF(Inputs!$C$18&lt;&gt;"Yes",NA(),IF(COUNT(I585,J585,K585,L585,M585)=0,NA(),MIN(I585,J585,K585,L585,M585))))</f>
        <v/>
      </c>
      <c r="O585" s="54">
        <f>IF($B585=0,NA(),IF(Inputs!$B$24&lt;&gt;"Yes",NA(),Inputs!$D$24*Inputs!$C$35))</f>
        <v/>
      </c>
      <c r="P585" s="54">
        <f>IF($B585=0,NA(),IF(Inputs!$B$25&lt;&gt;"Yes",NA(),Inputs!$D$25*Inputs!$C$35))</f>
        <v/>
      </c>
      <c r="Q585" s="54">
        <f>IF($B585=0,NA(),IF(Inputs!$B$26&lt;&gt;"Yes",NA(),Inputs!$D$26*Inputs!$C$35))</f>
        <v/>
      </c>
      <c r="R585" s="54">
        <f>IF($B585=0,NA(),IF(Inputs!$B$27&lt;&gt;"Yes",NA(),Inputs!$D$27*Inputs!$C$35))</f>
        <v/>
      </c>
      <c r="S585" s="54">
        <f>IF($B585=0,NA(),IF(Inputs!$B$28&lt;&gt;"Yes",NA(),Inputs!$D$28*Inputs!$C$35))</f>
        <v/>
      </c>
      <c r="T585" s="54">
        <f>IF($B585=0,NA(),IF(Inputs!$B$29&lt;&gt;"Yes",NA(),Inputs!$D$29*Inputs!$C$35))</f>
        <v/>
      </c>
      <c r="AD585">
        <f>IF($B585=0,0,IF(Inputs!$B$6="",0,COUNTIFS(Data!$A$10:$A$3209,"&gt;="&amp;$A585,Data!$A$10:$A$3209,"&lt;"&amp;$A585+1)))</f>
        <v/>
      </c>
      <c r="AE585">
        <f>IF($B585=0,0,IF(Inputs!$B$7="",0,COUNTIFS(Data!$E$10:$E$3209,"&gt;="&amp;$A585,Data!$E$10:$E$3209,"&lt;"&amp;$A585+1)))</f>
        <v/>
      </c>
      <c r="AF585">
        <f>IF($B585=0,0,IF(Inputs!$B$8="",0,COUNTIFS(Data!$I$10:$I$3209,"&gt;="&amp;$A585,Data!$I$10:$I$3209,"&lt;"&amp;$A585+1)))</f>
        <v/>
      </c>
      <c r="AG585">
        <f>IF($B585=0,0,IF(Inputs!$B$9="",0,COUNTIFS(Data!$M$10:$M$3209,"&gt;="&amp;$A585,Data!$M$10:$M$3209,"&lt;"&amp;$A585+1)))</f>
        <v/>
      </c>
      <c r="AH585">
        <f>IF($B585=0,0,IF(Inputs!$B$10="",0,COUNTIFS(Data!$Q$10:$Q$3209,"&gt;="&amp;$A585,Data!$Q$10:$Q$3209,"&lt;"&amp;$A585+1)))</f>
        <v/>
      </c>
    </row>
    <row r="586">
      <c r="A586" s="55">
        <f>MIN(Inputs!$C$15,$A585+IF(WEEKDAY($A585,2)=5,3,1))</f>
        <v/>
      </c>
      <c r="B586">
        <f>IF($A586&gt;$A585,1,0)</f>
        <v/>
      </c>
      <c r="C586" s="56">
        <f>IF($B586=0,"",IF(Inputs!$B$6="","",IF($AD586=0,C585,SUMIFS(Data!$B$10:$B$3209,Data!$A$10:$A$3209,"&gt;="&amp;$A586,Data!$A$10:$A$3209,"&lt;"&amp;$A586+1)/$AD586)))</f>
        <v/>
      </c>
      <c r="D586" s="56">
        <f>IF($B586=0,"",IF(Inputs!$B$7="","",IF($AE586=0,D585,SUMIFS(Data!$F$10:$F$3209,Data!$E$10:$E$3209,"&gt;="&amp;$A586,Data!$E$10:$E$3209,"&lt;"&amp;$A586+1)/$AE586)))</f>
        <v/>
      </c>
      <c r="E586" s="56">
        <f>IF($B586=0,"",IF(Inputs!$B$8="","",IF($AF586=0,E585,SUMIFS(Data!$J$10:$J$3209,Data!$I$10:$I$3209,"&gt;="&amp;$A586,Data!$I$10:$I$3209,"&lt;"&amp;$A586+1)/$AF586)))</f>
        <v/>
      </c>
      <c r="F586" s="56">
        <f>IF($B586=0,"",IF(Inputs!$B$9="","",IF($AG586=0,F585,SUMIFS(Data!$N$10:$N$3209,Data!$M$10:$M$3209,"&gt;="&amp;$A586,Data!$M$10:$M$3209,"&lt;"&amp;$A586+1)/$AG586)))</f>
        <v/>
      </c>
      <c r="G586" s="56">
        <f>IF($B586=0,"",IF(Inputs!$B$10="","",IF($AH586=0,G585,SUMIFS(Data!$R$10:$R$3209,Data!$Q$10:$Q$3209,"&gt;="&amp;$A586,Data!$Q$10:$Q$3209,"&lt;"&amp;$A586+1)/$AH586)))</f>
        <v/>
      </c>
      <c r="I586" s="54">
        <f>IF($B586=0,NA(),IF($C586="",NA(),IF(C$8="",NA(),IF(N(C$8)=0,NA(),IF(Inputs!$C$17="Rebased to 100",$C586/C$8*100,$C586)))))</f>
        <v/>
      </c>
      <c r="J586" s="54">
        <f>IF($B586=0,NA(),IF($D586="",NA(),IF(D$8="",NA(),IF(N(D$8)=0,NA(),IF(Inputs!$C$17="Rebased to 100",$D586/D$8*100,$D586)))))</f>
        <v/>
      </c>
      <c r="K586" s="54">
        <f>IF($B586=0,NA(),IF($E586="",NA(),IF(E$8="",NA(),IF(N(E$8)=0,NA(),IF(Inputs!$C$17="Rebased to 100",$E586/E$8*100,$E586)))))</f>
        <v/>
      </c>
      <c r="L586" s="54">
        <f>IF($B586=0,NA(),IF($F586="",NA(),IF(F$8="",NA(),IF(N(F$8)=0,NA(),IF(Inputs!$C$17="Rebased to 100",$F586/F$8*100,$F586)))))</f>
        <v/>
      </c>
      <c r="M586" s="54">
        <f>IF($B586=0,NA(),IF($G586="",NA(),IF(G$8="",NA(),IF(N(G$8)=0,NA(),IF(Inputs!$C$17="Rebased to 100",$G586/G$8*100,$G586)))))</f>
        <v/>
      </c>
      <c r="N586" s="54">
        <f>IF($B586=0,NA(),IF(Inputs!$C$18&lt;&gt;"Yes",NA(),IF(COUNT(I586,J586,K586,L586,M586)=0,NA(),MIN(I586,J586,K586,L586,M586))))</f>
        <v/>
      </c>
      <c r="O586" s="54">
        <f>IF($B586=0,NA(),IF(Inputs!$B$24&lt;&gt;"Yes",NA(),Inputs!$D$24*Inputs!$C$35))</f>
        <v/>
      </c>
      <c r="P586" s="54">
        <f>IF($B586=0,NA(),IF(Inputs!$B$25&lt;&gt;"Yes",NA(),Inputs!$D$25*Inputs!$C$35))</f>
        <v/>
      </c>
      <c r="Q586" s="54">
        <f>IF($B586=0,NA(),IF(Inputs!$B$26&lt;&gt;"Yes",NA(),Inputs!$D$26*Inputs!$C$35))</f>
        <v/>
      </c>
      <c r="R586" s="54">
        <f>IF($B586=0,NA(),IF(Inputs!$B$27&lt;&gt;"Yes",NA(),Inputs!$D$27*Inputs!$C$35))</f>
        <v/>
      </c>
      <c r="S586" s="54">
        <f>IF($B586=0,NA(),IF(Inputs!$B$28&lt;&gt;"Yes",NA(),Inputs!$D$28*Inputs!$C$35))</f>
        <v/>
      </c>
      <c r="T586" s="54">
        <f>IF($B586=0,NA(),IF(Inputs!$B$29&lt;&gt;"Yes",NA(),Inputs!$D$29*Inputs!$C$35))</f>
        <v/>
      </c>
      <c r="AD586">
        <f>IF($B586=0,0,IF(Inputs!$B$6="",0,COUNTIFS(Data!$A$10:$A$3209,"&gt;="&amp;$A586,Data!$A$10:$A$3209,"&lt;"&amp;$A586+1)))</f>
        <v/>
      </c>
      <c r="AE586">
        <f>IF($B586=0,0,IF(Inputs!$B$7="",0,COUNTIFS(Data!$E$10:$E$3209,"&gt;="&amp;$A586,Data!$E$10:$E$3209,"&lt;"&amp;$A586+1)))</f>
        <v/>
      </c>
      <c r="AF586">
        <f>IF($B586=0,0,IF(Inputs!$B$8="",0,COUNTIFS(Data!$I$10:$I$3209,"&gt;="&amp;$A586,Data!$I$10:$I$3209,"&lt;"&amp;$A586+1)))</f>
        <v/>
      </c>
      <c r="AG586">
        <f>IF($B586=0,0,IF(Inputs!$B$9="",0,COUNTIFS(Data!$M$10:$M$3209,"&gt;="&amp;$A586,Data!$M$10:$M$3209,"&lt;"&amp;$A586+1)))</f>
        <v/>
      </c>
      <c r="AH586">
        <f>IF($B586=0,0,IF(Inputs!$B$10="",0,COUNTIFS(Data!$Q$10:$Q$3209,"&gt;="&amp;$A586,Data!$Q$10:$Q$3209,"&lt;"&amp;$A586+1)))</f>
        <v/>
      </c>
    </row>
    <row r="587">
      <c r="A587" s="55">
        <f>MIN(Inputs!$C$15,$A586+IF(WEEKDAY($A586,2)=5,3,1))</f>
        <v/>
      </c>
      <c r="B587">
        <f>IF($A587&gt;$A586,1,0)</f>
        <v/>
      </c>
      <c r="C587" s="56">
        <f>IF($B587=0,"",IF(Inputs!$B$6="","",IF($AD587=0,C586,SUMIFS(Data!$B$10:$B$3209,Data!$A$10:$A$3209,"&gt;="&amp;$A587,Data!$A$10:$A$3209,"&lt;"&amp;$A587+1)/$AD587)))</f>
        <v/>
      </c>
      <c r="D587" s="56">
        <f>IF($B587=0,"",IF(Inputs!$B$7="","",IF($AE587=0,D586,SUMIFS(Data!$F$10:$F$3209,Data!$E$10:$E$3209,"&gt;="&amp;$A587,Data!$E$10:$E$3209,"&lt;"&amp;$A587+1)/$AE587)))</f>
        <v/>
      </c>
      <c r="E587" s="56">
        <f>IF($B587=0,"",IF(Inputs!$B$8="","",IF($AF587=0,E586,SUMIFS(Data!$J$10:$J$3209,Data!$I$10:$I$3209,"&gt;="&amp;$A587,Data!$I$10:$I$3209,"&lt;"&amp;$A587+1)/$AF587)))</f>
        <v/>
      </c>
      <c r="F587" s="56">
        <f>IF($B587=0,"",IF(Inputs!$B$9="","",IF($AG587=0,F586,SUMIFS(Data!$N$10:$N$3209,Data!$M$10:$M$3209,"&gt;="&amp;$A587,Data!$M$10:$M$3209,"&lt;"&amp;$A587+1)/$AG587)))</f>
        <v/>
      </c>
      <c r="G587" s="56">
        <f>IF($B587=0,"",IF(Inputs!$B$10="","",IF($AH587=0,G586,SUMIFS(Data!$R$10:$R$3209,Data!$Q$10:$Q$3209,"&gt;="&amp;$A587,Data!$Q$10:$Q$3209,"&lt;"&amp;$A587+1)/$AH587)))</f>
        <v/>
      </c>
      <c r="I587" s="54">
        <f>IF($B587=0,NA(),IF($C587="",NA(),IF(C$8="",NA(),IF(N(C$8)=0,NA(),IF(Inputs!$C$17="Rebased to 100",$C587/C$8*100,$C587)))))</f>
        <v/>
      </c>
      <c r="J587" s="54">
        <f>IF($B587=0,NA(),IF($D587="",NA(),IF(D$8="",NA(),IF(N(D$8)=0,NA(),IF(Inputs!$C$17="Rebased to 100",$D587/D$8*100,$D587)))))</f>
        <v/>
      </c>
      <c r="K587" s="54">
        <f>IF($B587=0,NA(),IF($E587="",NA(),IF(E$8="",NA(),IF(N(E$8)=0,NA(),IF(Inputs!$C$17="Rebased to 100",$E587/E$8*100,$E587)))))</f>
        <v/>
      </c>
      <c r="L587" s="54">
        <f>IF($B587=0,NA(),IF($F587="",NA(),IF(F$8="",NA(),IF(N(F$8)=0,NA(),IF(Inputs!$C$17="Rebased to 100",$F587/F$8*100,$F587)))))</f>
        <v/>
      </c>
      <c r="M587" s="54">
        <f>IF($B587=0,NA(),IF($G587="",NA(),IF(G$8="",NA(),IF(N(G$8)=0,NA(),IF(Inputs!$C$17="Rebased to 100",$G587/G$8*100,$G587)))))</f>
        <v/>
      </c>
      <c r="N587" s="54">
        <f>IF($B587=0,NA(),IF(Inputs!$C$18&lt;&gt;"Yes",NA(),IF(COUNT(I587,J587,K587,L587,M587)=0,NA(),MIN(I587,J587,K587,L587,M587))))</f>
        <v/>
      </c>
      <c r="O587" s="54">
        <f>IF($B587=0,NA(),IF(Inputs!$B$24&lt;&gt;"Yes",NA(),Inputs!$D$24*Inputs!$C$35))</f>
        <v/>
      </c>
      <c r="P587" s="54">
        <f>IF($B587=0,NA(),IF(Inputs!$B$25&lt;&gt;"Yes",NA(),Inputs!$D$25*Inputs!$C$35))</f>
        <v/>
      </c>
      <c r="Q587" s="54">
        <f>IF($B587=0,NA(),IF(Inputs!$B$26&lt;&gt;"Yes",NA(),Inputs!$D$26*Inputs!$C$35))</f>
        <v/>
      </c>
      <c r="R587" s="54">
        <f>IF($B587=0,NA(),IF(Inputs!$B$27&lt;&gt;"Yes",NA(),Inputs!$D$27*Inputs!$C$35))</f>
        <v/>
      </c>
      <c r="S587" s="54">
        <f>IF($B587=0,NA(),IF(Inputs!$B$28&lt;&gt;"Yes",NA(),Inputs!$D$28*Inputs!$C$35))</f>
        <v/>
      </c>
      <c r="T587" s="54">
        <f>IF($B587=0,NA(),IF(Inputs!$B$29&lt;&gt;"Yes",NA(),Inputs!$D$29*Inputs!$C$35))</f>
        <v/>
      </c>
      <c r="AD587">
        <f>IF($B587=0,0,IF(Inputs!$B$6="",0,COUNTIFS(Data!$A$10:$A$3209,"&gt;="&amp;$A587,Data!$A$10:$A$3209,"&lt;"&amp;$A587+1)))</f>
        <v/>
      </c>
      <c r="AE587">
        <f>IF($B587=0,0,IF(Inputs!$B$7="",0,COUNTIFS(Data!$E$10:$E$3209,"&gt;="&amp;$A587,Data!$E$10:$E$3209,"&lt;"&amp;$A587+1)))</f>
        <v/>
      </c>
      <c r="AF587">
        <f>IF($B587=0,0,IF(Inputs!$B$8="",0,COUNTIFS(Data!$I$10:$I$3209,"&gt;="&amp;$A587,Data!$I$10:$I$3209,"&lt;"&amp;$A587+1)))</f>
        <v/>
      </c>
      <c r="AG587">
        <f>IF($B587=0,0,IF(Inputs!$B$9="",0,COUNTIFS(Data!$M$10:$M$3209,"&gt;="&amp;$A587,Data!$M$10:$M$3209,"&lt;"&amp;$A587+1)))</f>
        <v/>
      </c>
      <c r="AH587">
        <f>IF($B587=0,0,IF(Inputs!$B$10="",0,COUNTIFS(Data!$Q$10:$Q$3209,"&gt;="&amp;$A587,Data!$Q$10:$Q$3209,"&lt;"&amp;$A587+1)))</f>
        <v/>
      </c>
    </row>
    <row r="588">
      <c r="A588" s="55">
        <f>MIN(Inputs!$C$15,$A587+IF(WEEKDAY($A587,2)=5,3,1))</f>
        <v/>
      </c>
      <c r="B588">
        <f>IF($A588&gt;$A587,1,0)</f>
        <v/>
      </c>
      <c r="C588" s="56">
        <f>IF($B588=0,"",IF(Inputs!$B$6="","",IF($AD588=0,C587,SUMIFS(Data!$B$10:$B$3209,Data!$A$10:$A$3209,"&gt;="&amp;$A588,Data!$A$10:$A$3209,"&lt;"&amp;$A588+1)/$AD588)))</f>
        <v/>
      </c>
      <c r="D588" s="56">
        <f>IF($B588=0,"",IF(Inputs!$B$7="","",IF($AE588=0,D587,SUMIFS(Data!$F$10:$F$3209,Data!$E$10:$E$3209,"&gt;="&amp;$A588,Data!$E$10:$E$3209,"&lt;"&amp;$A588+1)/$AE588)))</f>
        <v/>
      </c>
      <c r="E588" s="56">
        <f>IF($B588=0,"",IF(Inputs!$B$8="","",IF($AF588=0,E587,SUMIFS(Data!$J$10:$J$3209,Data!$I$10:$I$3209,"&gt;="&amp;$A588,Data!$I$10:$I$3209,"&lt;"&amp;$A588+1)/$AF588)))</f>
        <v/>
      </c>
      <c r="F588" s="56">
        <f>IF($B588=0,"",IF(Inputs!$B$9="","",IF($AG588=0,F587,SUMIFS(Data!$N$10:$N$3209,Data!$M$10:$M$3209,"&gt;="&amp;$A588,Data!$M$10:$M$3209,"&lt;"&amp;$A588+1)/$AG588)))</f>
        <v/>
      </c>
      <c r="G588" s="56">
        <f>IF($B588=0,"",IF(Inputs!$B$10="","",IF($AH588=0,G587,SUMIFS(Data!$R$10:$R$3209,Data!$Q$10:$Q$3209,"&gt;="&amp;$A588,Data!$Q$10:$Q$3209,"&lt;"&amp;$A588+1)/$AH588)))</f>
        <v/>
      </c>
      <c r="I588" s="54">
        <f>IF($B588=0,NA(),IF($C588="",NA(),IF(C$8="",NA(),IF(N(C$8)=0,NA(),IF(Inputs!$C$17="Rebased to 100",$C588/C$8*100,$C588)))))</f>
        <v/>
      </c>
      <c r="J588" s="54">
        <f>IF($B588=0,NA(),IF($D588="",NA(),IF(D$8="",NA(),IF(N(D$8)=0,NA(),IF(Inputs!$C$17="Rebased to 100",$D588/D$8*100,$D588)))))</f>
        <v/>
      </c>
      <c r="K588" s="54">
        <f>IF($B588=0,NA(),IF($E588="",NA(),IF(E$8="",NA(),IF(N(E$8)=0,NA(),IF(Inputs!$C$17="Rebased to 100",$E588/E$8*100,$E588)))))</f>
        <v/>
      </c>
      <c r="L588" s="54">
        <f>IF($B588=0,NA(),IF($F588="",NA(),IF(F$8="",NA(),IF(N(F$8)=0,NA(),IF(Inputs!$C$17="Rebased to 100",$F588/F$8*100,$F588)))))</f>
        <v/>
      </c>
      <c r="M588" s="54">
        <f>IF($B588=0,NA(),IF($G588="",NA(),IF(G$8="",NA(),IF(N(G$8)=0,NA(),IF(Inputs!$C$17="Rebased to 100",$G588/G$8*100,$G588)))))</f>
        <v/>
      </c>
      <c r="N588" s="54">
        <f>IF($B588=0,NA(),IF(Inputs!$C$18&lt;&gt;"Yes",NA(),IF(COUNT(I588,J588,K588,L588,M588)=0,NA(),MIN(I588,J588,K588,L588,M588))))</f>
        <v/>
      </c>
      <c r="O588" s="54">
        <f>IF($B588=0,NA(),IF(Inputs!$B$24&lt;&gt;"Yes",NA(),Inputs!$D$24*Inputs!$C$35))</f>
        <v/>
      </c>
      <c r="P588" s="54">
        <f>IF($B588=0,NA(),IF(Inputs!$B$25&lt;&gt;"Yes",NA(),Inputs!$D$25*Inputs!$C$35))</f>
        <v/>
      </c>
      <c r="Q588" s="54">
        <f>IF($B588=0,NA(),IF(Inputs!$B$26&lt;&gt;"Yes",NA(),Inputs!$D$26*Inputs!$C$35))</f>
        <v/>
      </c>
      <c r="R588" s="54">
        <f>IF($B588=0,NA(),IF(Inputs!$B$27&lt;&gt;"Yes",NA(),Inputs!$D$27*Inputs!$C$35))</f>
        <v/>
      </c>
      <c r="S588" s="54">
        <f>IF($B588=0,NA(),IF(Inputs!$B$28&lt;&gt;"Yes",NA(),Inputs!$D$28*Inputs!$C$35))</f>
        <v/>
      </c>
      <c r="T588" s="54">
        <f>IF($B588=0,NA(),IF(Inputs!$B$29&lt;&gt;"Yes",NA(),Inputs!$D$29*Inputs!$C$35))</f>
        <v/>
      </c>
      <c r="AD588">
        <f>IF($B588=0,0,IF(Inputs!$B$6="",0,COUNTIFS(Data!$A$10:$A$3209,"&gt;="&amp;$A588,Data!$A$10:$A$3209,"&lt;"&amp;$A588+1)))</f>
        <v/>
      </c>
      <c r="AE588">
        <f>IF($B588=0,0,IF(Inputs!$B$7="",0,COUNTIFS(Data!$E$10:$E$3209,"&gt;="&amp;$A588,Data!$E$10:$E$3209,"&lt;"&amp;$A588+1)))</f>
        <v/>
      </c>
      <c r="AF588">
        <f>IF($B588=0,0,IF(Inputs!$B$8="",0,COUNTIFS(Data!$I$10:$I$3209,"&gt;="&amp;$A588,Data!$I$10:$I$3209,"&lt;"&amp;$A588+1)))</f>
        <v/>
      </c>
      <c r="AG588">
        <f>IF($B588=0,0,IF(Inputs!$B$9="",0,COUNTIFS(Data!$M$10:$M$3209,"&gt;="&amp;$A588,Data!$M$10:$M$3209,"&lt;"&amp;$A588+1)))</f>
        <v/>
      </c>
      <c r="AH588">
        <f>IF($B588=0,0,IF(Inputs!$B$10="",0,COUNTIFS(Data!$Q$10:$Q$3209,"&gt;="&amp;$A588,Data!$Q$10:$Q$3209,"&lt;"&amp;$A588+1)))</f>
        <v/>
      </c>
    </row>
    <row r="589">
      <c r="A589" s="55">
        <f>MIN(Inputs!$C$15,$A588+IF(WEEKDAY($A588,2)=5,3,1))</f>
        <v/>
      </c>
      <c r="B589">
        <f>IF($A589&gt;$A588,1,0)</f>
        <v/>
      </c>
      <c r="C589" s="56">
        <f>IF($B589=0,"",IF(Inputs!$B$6="","",IF($AD589=0,C588,SUMIFS(Data!$B$10:$B$3209,Data!$A$10:$A$3209,"&gt;="&amp;$A589,Data!$A$10:$A$3209,"&lt;"&amp;$A589+1)/$AD589)))</f>
        <v/>
      </c>
      <c r="D589" s="56">
        <f>IF($B589=0,"",IF(Inputs!$B$7="","",IF($AE589=0,D588,SUMIFS(Data!$F$10:$F$3209,Data!$E$10:$E$3209,"&gt;="&amp;$A589,Data!$E$10:$E$3209,"&lt;"&amp;$A589+1)/$AE589)))</f>
        <v/>
      </c>
      <c r="E589" s="56">
        <f>IF($B589=0,"",IF(Inputs!$B$8="","",IF($AF589=0,E588,SUMIFS(Data!$J$10:$J$3209,Data!$I$10:$I$3209,"&gt;="&amp;$A589,Data!$I$10:$I$3209,"&lt;"&amp;$A589+1)/$AF589)))</f>
        <v/>
      </c>
      <c r="F589" s="56">
        <f>IF($B589=0,"",IF(Inputs!$B$9="","",IF($AG589=0,F588,SUMIFS(Data!$N$10:$N$3209,Data!$M$10:$M$3209,"&gt;="&amp;$A589,Data!$M$10:$M$3209,"&lt;"&amp;$A589+1)/$AG589)))</f>
        <v/>
      </c>
      <c r="G589" s="56">
        <f>IF($B589=0,"",IF(Inputs!$B$10="","",IF($AH589=0,G588,SUMIFS(Data!$R$10:$R$3209,Data!$Q$10:$Q$3209,"&gt;="&amp;$A589,Data!$Q$10:$Q$3209,"&lt;"&amp;$A589+1)/$AH589)))</f>
        <v/>
      </c>
      <c r="I589" s="54">
        <f>IF($B589=0,NA(),IF($C589="",NA(),IF(C$8="",NA(),IF(N(C$8)=0,NA(),IF(Inputs!$C$17="Rebased to 100",$C589/C$8*100,$C589)))))</f>
        <v/>
      </c>
      <c r="J589" s="54">
        <f>IF($B589=0,NA(),IF($D589="",NA(),IF(D$8="",NA(),IF(N(D$8)=0,NA(),IF(Inputs!$C$17="Rebased to 100",$D589/D$8*100,$D589)))))</f>
        <v/>
      </c>
      <c r="K589" s="54">
        <f>IF($B589=0,NA(),IF($E589="",NA(),IF(E$8="",NA(),IF(N(E$8)=0,NA(),IF(Inputs!$C$17="Rebased to 100",$E589/E$8*100,$E589)))))</f>
        <v/>
      </c>
      <c r="L589" s="54">
        <f>IF($B589=0,NA(),IF($F589="",NA(),IF(F$8="",NA(),IF(N(F$8)=0,NA(),IF(Inputs!$C$17="Rebased to 100",$F589/F$8*100,$F589)))))</f>
        <v/>
      </c>
      <c r="M589" s="54">
        <f>IF($B589=0,NA(),IF($G589="",NA(),IF(G$8="",NA(),IF(N(G$8)=0,NA(),IF(Inputs!$C$17="Rebased to 100",$G589/G$8*100,$G589)))))</f>
        <v/>
      </c>
      <c r="N589" s="54">
        <f>IF($B589=0,NA(),IF(Inputs!$C$18&lt;&gt;"Yes",NA(),IF(COUNT(I589,J589,K589,L589,M589)=0,NA(),MIN(I589,J589,K589,L589,M589))))</f>
        <v/>
      </c>
      <c r="O589" s="54">
        <f>IF($B589=0,NA(),IF(Inputs!$B$24&lt;&gt;"Yes",NA(),Inputs!$D$24*Inputs!$C$35))</f>
        <v/>
      </c>
      <c r="P589" s="54">
        <f>IF($B589=0,NA(),IF(Inputs!$B$25&lt;&gt;"Yes",NA(),Inputs!$D$25*Inputs!$C$35))</f>
        <v/>
      </c>
      <c r="Q589" s="54">
        <f>IF($B589=0,NA(),IF(Inputs!$B$26&lt;&gt;"Yes",NA(),Inputs!$D$26*Inputs!$C$35))</f>
        <v/>
      </c>
      <c r="R589" s="54">
        <f>IF($B589=0,NA(),IF(Inputs!$B$27&lt;&gt;"Yes",NA(),Inputs!$D$27*Inputs!$C$35))</f>
        <v/>
      </c>
      <c r="S589" s="54">
        <f>IF($B589=0,NA(),IF(Inputs!$B$28&lt;&gt;"Yes",NA(),Inputs!$D$28*Inputs!$C$35))</f>
        <v/>
      </c>
      <c r="T589" s="54">
        <f>IF($B589=0,NA(),IF(Inputs!$B$29&lt;&gt;"Yes",NA(),Inputs!$D$29*Inputs!$C$35))</f>
        <v/>
      </c>
      <c r="AD589">
        <f>IF($B589=0,0,IF(Inputs!$B$6="",0,COUNTIFS(Data!$A$10:$A$3209,"&gt;="&amp;$A589,Data!$A$10:$A$3209,"&lt;"&amp;$A589+1)))</f>
        <v/>
      </c>
      <c r="AE589">
        <f>IF($B589=0,0,IF(Inputs!$B$7="",0,COUNTIFS(Data!$E$10:$E$3209,"&gt;="&amp;$A589,Data!$E$10:$E$3209,"&lt;"&amp;$A589+1)))</f>
        <v/>
      </c>
      <c r="AF589">
        <f>IF($B589=0,0,IF(Inputs!$B$8="",0,COUNTIFS(Data!$I$10:$I$3209,"&gt;="&amp;$A589,Data!$I$10:$I$3209,"&lt;"&amp;$A589+1)))</f>
        <v/>
      </c>
      <c r="AG589">
        <f>IF($B589=0,0,IF(Inputs!$B$9="",0,COUNTIFS(Data!$M$10:$M$3209,"&gt;="&amp;$A589,Data!$M$10:$M$3209,"&lt;"&amp;$A589+1)))</f>
        <v/>
      </c>
      <c r="AH589">
        <f>IF($B589=0,0,IF(Inputs!$B$10="",0,COUNTIFS(Data!$Q$10:$Q$3209,"&gt;="&amp;$A589,Data!$Q$10:$Q$3209,"&lt;"&amp;$A589+1)))</f>
        <v/>
      </c>
    </row>
    <row r="590">
      <c r="A590" s="55">
        <f>MIN(Inputs!$C$15,$A589+IF(WEEKDAY($A589,2)=5,3,1))</f>
        <v/>
      </c>
      <c r="B590">
        <f>IF($A590&gt;$A589,1,0)</f>
        <v/>
      </c>
      <c r="C590" s="56">
        <f>IF($B590=0,"",IF(Inputs!$B$6="","",IF($AD590=0,C589,SUMIFS(Data!$B$10:$B$3209,Data!$A$10:$A$3209,"&gt;="&amp;$A590,Data!$A$10:$A$3209,"&lt;"&amp;$A590+1)/$AD590)))</f>
        <v/>
      </c>
      <c r="D590" s="56">
        <f>IF($B590=0,"",IF(Inputs!$B$7="","",IF($AE590=0,D589,SUMIFS(Data!$F$10:$F$3209,Data!$E$10:$E$3209,"&gt;="&amp;$A590,Data!$E$10:$E$3209,"&lt;"&amp;$A590+1)/$AE590)))</f>
        <v/>
      </c>
      <c r="E590" s="56">
        <f>IF($B590=0,"",IF(Inputs!$B$8="","",IF($AF590=0,E589,SUMIFS(Data!$J$10:$J$3209,Data!$I$10:$I$3209,"&gt;="&amp;$A590,Data!$I$10:$I$3209,"&lt;"&amp;$A590+1)/$AF590)))</f>
        <v/>
      </c>
      <c r="F590" s="56">
        <f>IF($B590=0,"",IF(Inputs!$B$9="","",IF($AG590=0,F589,SUMIFS(Data!$N$10:$N$3209,Data!$M$10:$M$3209,"&gt;="&amp;$A590,Data!$M$10:$M$3209,"&lt;"&amp;$A590+1)/$AG590)))</f>
        <v/>
      </c>
      <c r="G590" s="56">
        <f>IF($B590=0,"",IF(Inputs!$B$10="","",IF($AH590=0,G589,SUMIFS(Data!$R$10:$R$3209,Data!$Q$10:$Q$3209,"&gt;="&amp;$A590,Data!$Q$10:$Q$3209,"&lt;"&amp;$A590+1)/$AH590)))</f>
        <v/>
      </c>
      <c r="I590" s="54">
        <f>IF($B590=0,NA(),IF($C590="",NA(),IF(C$8="",NA(),IF(N(C$8)=0,NA(),IF(Inputs!$C$17="Rebased to 100",$C590/C$8*100,$C590)))))</f>
        <v/>
      </c>
      <c r="J590" s="54">
        <f>IF($B590=0,NA(),IF($D590="",NA(),IF(D$8="",NA(),IF(N(D$8)=0,NA(),IF(Inputs!$C$17="Rebased to 100",$D590/D$8*100,$D590)))))</f>
        <v/>
      </c>
      <c r="K590" s="54">
        <f>IF($B590=0,NA(),IF($E590="",NA(),IF(E$8="",NA(),IF(N(E$8)=0,NA(),IF(Inputs!$C$17="Rebased to 100",$E590/E$8*100,$E590)))))</f>
        <v/>
      </c>
      <c r="L590" s="54">
        <f>IF($B590=0,NA(),IF($F590="",NA(),IF(F$8="",NA(),IF(N(F$8)=0,NA(),IF(Inputs!$C$17="Rebased to 100",$F590/F$8*100,$F590)))))</f>
        <v/>
      </c>
      <c r="M590" s="54">
        <f>IF($B590=0,NA(),IF($G590="",NA(),IF(G$8="",NA(),IF(N(G$8)=0,NA(),IF(Inputs!$C$17="Rebased to 100",$G590/G$8*100,$G590)))))</f>
        <v/>
      </c>
      <c r="N590" s="54">
        <f>IF($B590=0,NA(),IF(Inputs!$C$18&lt;&gt;"Yes",NA(),IF(COUNT(I590,J590,K590,L590,M590)=0,NA(),MIN(I590,J590,K590,L590,M590))))</f>
        <v/>
      </c>
      <c r="O590" s="54">
        <f>IF($B590=0,NA(),IF(Inputs!$B$24&lt;&gt;"Yes",NA(),Inputs!$D$24*Inputs!$C$35))</f>
        <v/>
      </c>
      <c r="P590" s="54">
        <f>IF($B590=0,NA(),IF(Inputs!$B$25&lt;&gt;"Yes",NA(),Inputs!$D$25*Inputs!$C$35))</f>
        <v/>
      </c>
      <c r="Q590" s="54">
        <f>IF($B590=0,NA(),IF(Inputs!$B$26&lt;&gt;"Yes",NA(),Inputs!$D$26*Inputs!$C$35))</f>
        <v/>
      </c>
      <c r="R590" s="54">
        <f>IF($B590=0,NA(),IF(Inputs!$B$27&lt;&gt;"Yes",NA(),Inputs!$D$27*Inputs!$C$35))</f>
        <v/>
      </c>
      <c r="S590" s="54">
        <f>IF($B590=0,NA(),IF(Inputs!$B$28&lt;&gt;"Yes",NA(),Inputs!$D$28*Inputs!$C$35))</f>
        <v/>
      </c>
      <c r="T590" s="54">
        <f>IF($B590=0,NA(),IF(Inputs!$B$29&lt;&gt;"Yes",NA(),Inputs!$D$29*Inputs!$C$35))</f>
        <v/>
      </c>
      <c r="AD590">
        <f>IF($B590=0,0,IF(Inputs!$B$6="",0,COUNTIFS(Data!$A$10:$A$3209,"&gt;="&amp;$A590,Data!$A$10:$A$3209,"&lt;"&amp;$A590+1)))</f>
        <v/>
      </c>
      <c r="AE590">
        <f>IF($B590=0,0,IF(Inputs!$B$7="",0,COUNTIFS(Data!$E$10:$E$3209,"&gt;="&amp;$A590,Data!$E$10:$E$3209,"&lt;"&amp;$A590+1)))</f>
        <v/>
      </c>
      <c r="AF590">
        <f>IF($B590=0,0,IF(Inputs!$B$8="",0,COUNTIFS(Data!$I$10:$I$3209,"&gt;="&amp;$A590,Data!$I$10:$I$3209,"&lt;"&amp;$A590+1)))</f>
        <v/>
      </c>
      <c r="AG590">
        <f>IF($B590=0,0,IF(Inputs!$B$9="",0,COUNTIFS(Data!$M$10:$M$3209,"&gt;="&amp;$A590,Data!$M$10:$M$3209,"&lt;"&amp;$A590+1)))</f>
        <v/>
      </c>
      <c r="AH590">
        <f>IF($B590=0,0,IF(Inputs!$B$10="",0,COUNTIFS(Data!$Q$10:$Q$3209,"&gt;="&amp;$A590,Data!$Q$10:$Q$3209,"&lt;"&amp;$A590+1)))</f>
        <v/>
      </c>
    </row>
    <row r="591">
      <c r="A591" s="55">
        <f>MIN(Inputs!$C$15,$A590+IF(WEEKDAY($A590,2)=5,3,1))</f>
        <v/>
      </c>
      <c r="B591">
        <f>IF($A591&gt;$A590,1,0)</f>
        <v/>
      </c>
      <c r="C591" s="56">
        <f>IF($B591=0,"",IF(Inputs!$B$6="","",IF($AD591=0,C590,SUMIFS(Data!$B$10:$B$3209,Data!$A$10:$A$3209,"&gt;="&amp;$A591,Data!$A$10:$A$3209,"&lt;"&amp;$A591+1)/$AD591)))</f>
        <v/>
      </c>
      <c r="D591" s="56">
        <f>IF($B591=0,"",IF(Inputs!$B$7="","",IF($AE591=0,D590,SUMIFS(Data!$F$10:$F$3209,Data!$E$10:$E$3209,"&gt;="&amp;$A591,Data!$E$10:$E$3209,"&lt;"&amp;$A591+1)/$AE591)))</f>
        <v/>
      </c>
      <c r="E591" s="56">
        <f>IF($B591=0,"",IF(Inputs!$B$8="","",IF($AF591=0,E590,SUMIFS(Data!$J$10:$J$3209,Data!$I$10:$I$3209,"&gt;="&amp;$A591,Data!$I$10:$I$3209,"&lt;"&amp;$A591+1)/$AF591)))</f>
        <v/>
      </c>
      <c r="F591" s="56">
        <f>IF($B591=0,"",IF(Inputs!$B$9="","",IF($AG591=0,F590,SUMIFS(Data!$N$10:$N$3209,Data!$M$10:$M$3209,"&gt;="&amp;$A591,Data!$M$10:$M$3209,"&lt;"&amp;$A591+1)/$AG591)))</f>
        <v/>
      </c>
      <c r="G591" s="56">
        <f>IF($B591=0,"",IF(Inputs!$B$10="","",IF($AH591=0,G590,SUMIFS(Data!$R$10:$R$3209,Data!$Q$10:$Q$3209,"&gt;="&amp;$A591,Data!$Q$10:$Q$3209,"&lt;"&amp;$A591+1)/$AH591)))</f>
        <v/>
      </c>
      <c r="I591" s="54">
        <f>IF($B591=0,NA(),IF($C591="",NA(),IF(C$8="",NA(),IF(N(C$8)=0,NA(),IF(Inputs!$C$17="Rebased to 100",$C591/C$8*100,$C591)))))</f>
        <v/>
      </c>
      <c r="J591" s="54">
        <f>IF($B591=0,NA(),IF($D591="",NA(),IF(D$8="",NA(),IF(N(D$8)=0,NA(),IF(Inputs!$C$17="Rebased to 100",$D591/D$8*100,$D591)))))</f>
        <v/>
      </c>
      <c r="K591" s="54">
        <f>IF($B591=0,NA(),IF($E591="",NA(),IF(E$8="",NA(),IF(N(E$8)=0,NA(),IF(Inputs!$C$17="Rebased to 100",$E591/E$8*100,$E591)))))</f>
        <v/>
      </c>
      <c r="L591" s="54">
        <f>IF($B591=0,NA(),IF($F591="",NA(),IF(F$8="",NA(),IF(N(F$8)=0,NA(),IF(Inputs!$C$17="Rebased to 100",$F591/F$8*100,$F591)))))</f>
        <v/>
      </c>
      <c r="M591" s="54">
        <f>IF($B591=0,NA(),IF($G591="",NA(),IF(G$8="",NA(),IF(N(G$8)=0,NA(),IF(Inputs!$C$17="Rebased to 100",$G591/G$8*100,$G591)))))</f>
        <v/>
      </c>
      <c r="N591" s="54">
        <f>IF($B591=0,NA(),IF(Inputs!$C$18&lt;&gt;"Yes",NA(),IF(COUNT(I591,J591,K591,L591,M591)=0,NA(),MIN(I591,J591,K591,L591,M591))))</f>
        <v/>
      </c>
      <c r="O591" s="54">
        <f>IF($B591=0,NA(),IF(Inputs!$B$24&lt;&gt;"Yes",NA(),Inputs!$D$24*Inputs!$C$35))</f>
        <v/>
      </c>
      <c r="P591" s="54">
        <f>IF($B591=0,NA(),IF(Inputs!$B$25&lt;&gt;"Yes",NA(),Inputs!$D$25*Inputs!$C$35))</f>
        <v/>
      </c>
      <c r="Q591" s="54">
        <f>IF($B591=0,NA(),IF(Inputs!$B$26&lt;&gt;"Yes",NA(),Inputs!$D$26*Inputs!$C$35))</f>
        <v/>
      </c>
      <c r="R591" s="54">
        <f>IF($B591=0,NA(),IF(Inputs!$B$27&lt;&gt;"Yes",NA(),Inputs!$D$27*Inputs!$C$35))</f>
        <v/>
      </c>
      <c r="S591" s="54">
        <f>IF($B591=0,NA(),IF(Inputs!$B$28&lt;&gt;"Yes",NA(),Inputs!$D$28*Inputs!$C$35))</f>
        <v/>
      </c>
      <c r="T591" s="54">
        <f>IF($B591=0,NA(),IF(Inputs!$B$29&lt;&gt;"Yes",NA(),Inputs!$D$29*Inputs!$C$35))</f>
        <v/>
      </c>
      <c r="AD591">
        <f>IF($B591=0,0,IF(Inputs!$B$6="",0,COUNTIFS(Data!$A$10:$A$3209,"&gt;="&amp;$A591,Data!$A$10:$A$3209,"&lt;"&amp;$A591+1)))</f>
        <v/>
      </c>
      <c r="AE591">
        <f>IF($B591=0,0,IF(Inputs!$B$7="",0,COUNTIFS(Data!$E$10:$E$3209,"&gt;="&amp;$A591,Data!$E$10:$E$3209,"&lt;"&amp;$A591+1)))</f>
        <v/>
      </c>
      <c r="AF591">
        <f>IF($B591=0,0,IF(Inputs!$B$8="",0,COUNTIFS(Data!$I$10:$I$3209,"&gt;="&amp;$A591,Data!$I$10:$I$3209,"&lt;"&amp;$A591+1)))</f>
        <v/>
      </c>
      <c r="AG591">
        <f>IF($B591=0,0,IF(Inputs!$B$9="",0,COUNTIFS(Data!$M$10:$M$3209,"&gt;="&amp;$A591,Data!$M$10:$M$3209,"&lt;"&amp;$A591+1)))</f>
        <v/>
      </c>
      <c r="AH591">
        <f>IF($B591=0,0,IF(Inputs!$B$10="",0,COUNTIFS(Data!$Q$10:$Q$3209,"&gt;="&amp;$A591,Data!$Q$10:$Q$3209,"&lt;"&amp;$A591+1)))</f>
        <v/>
      </c>
    </row>
    <row r="592">
      <c r="A592" s="55">
        <f>MIN(Inputs!$C$15,$A591+IF(WEEKDAY($A591,2)=5,3,1))</f>
        <v/>
      </c>
      <c r="B592">
        <f>IF($A592&gt;$A591,1,0)</f>
        <v/>
      </c>
      <c r="C592" s="56">
        <f>IF($B592=0,"",IF(Inputs!$B$6="","",IF($AD592=0,C591,SUMIFS(Data!$B$10:$B$3209,Data!$A$10:$A$3209,"&gt;="&amp;$A592,Data!$A$10:$A$3209,"&lt;"&amp;$A592+1)/$AD592)))</f>
        <v/>
      </c>
      <c r="D592" s="56">
        <f>IF($B592=0,"",IF(Inputs!$B$7="","",IF($AE592=0,D591,SUMIFS(Data!$F$10:$F$3209,Data!$E$10:$E$3209,"&gt;="&amp;$A592,Data!$E$10:$E$3209,"&lt;"&amp;$A592+1)/$AE592)))</f>
        <v/>
      </c>
      <c r="E592" s="56">
        <f>IF($B592=0,"",IF(Inputs!$B$8="","",IF($AF592=0,E591,SUMIFS(Data!$J$10:$J$3209,Data!$I$10:$I$3209,"&gt;="&amp;$A592,Data!$I$10:$I$3209,"&lt;"&amp;$A592+1)/$AF592)))</f>
        <v/>
      </c>
      <c r="F592" s="56">
        <f>IF($B592=0,"",IF(Inputs!$B$9="","",IF($AG592=0,F591,SUMIFS(Data!$N$10:$N$3209,Data!$M$10:$M$3209,"&gt;="&amp;$A592,Data!$M$10:$M$3209,"&lt;"&amp;$A592+1)/$AG592)))</f>
        <v/>
      </c>
      <c r="G592" s="56">
        <f>IF($B592=0,"",IF(Inputs!$B$10="","",IF($AH592=0,G591,SUMIFS(Data!$R$10:$R$3209,Data!$Q$10:$Q$3209,"&gt;="&amp;$A592,Data!$Q$10:$Q$3209,"&lt;"&amp;$A592+1)/$AH592)))</f>
        <v/>
      </c>
      <c r="I592" s="54">
        <f>IF($B592=0,NA(),IF($C592="",NA(),IF(C$8="",NA(),IF(N(C$8)=0,NA(),IF(Inputs!$C$17="Rebased to 100",$C592/C$8*100,$C592)))))</f>
        <v/>
      </c>
      <c r="J592" s="54">
        <f>IF($B592=0,NA(),IF($D592="",NA(),IF(D$8="",NA(),IF(N(D$8)=0,NA(),IF(Inputs!$C$17="Rebased to 100",$D592/D$8*100,$D592)))))</f>
        <v/>
      </c>
      <c r="K592" s="54">
        <f>IF($B592=0,NA(),IF($E592="",NA(),IF(E$8="",NA(),IF(N(E$8)=0,NA(),IF(Inputs!$C$17="Rebased to 100",$E592/E$8*100,$E592)))))</f>
        <v/>
      </c>
      <c r="L592" s="54">
        <f>IF($B592=0,NA(),IF($F592="",NA(),IF(F$8="",NA(),IF(N(F$8)=0,NA(),IF(Inputs!$C$17="Rebased to 100",$F592/F$8*100,$F592)))))</f>
        <v/>
      </c>
      <c r="M592" s="54">
        <f>IF($B592=0,NA(),IF($G592="",NA(),IF(G$8="",NA(),IF(N(G$8)=0,NA(),IF(Inputs!$C$17="Rebased to 100",$G592/G$8*100,$G592)))))</f>
        <v/>
      </c>
      <c r="N592" s="54">
        <f>IF($B592=0,NA(),IF(Inputs!$C$18&lt;&gt;"Yes",NA(),IF(COUNT(I592,J592,K592,L592,M592)=0,NA(),MIN(I592,J592,K592,L592,M592))))</f>
        <v/>
      </c>
      <c r="O592" s="54">
        <f>IF($B592=0,NA(),IF(Inputs!$B$24&lt;&gt;"Yes",NA(),Inputs!$D$24*Inputs!$C$35))</f>
        <v/>
      </c>
      <c r="P592" s="54">
        <f>IF($B592=0,NA(),IF(Inputs!$B$25&lt;&gt;"Yes",NA(),Inputs!$D$25*Inputs!$C$35))</f>
        <v/>
      </c>
      <c r="Q592" s="54">
        <f>IF($B592=0,NA(),IF(Inputs!$B$26&lt;&gt;"Yes",NA(),Inputs!$D$26*Inputs!$C$35))</f>
        <v/>
      </c>
      <c r="R592" s="54">
        <f>IF($B592=0,NA(),IF(Inputs!$B$27&lt;&gt;"Yes",NA(),Inputs!$D$27*Inputs!$C$35))</f>
        <v/>
      </c>
      <c r="S592" s="54">
        <f>IF($B592=0,NA(),IF(Inputs!$B$28&lt;&gt;"Yes",NA(),Inputs!$D$28*Inputs!$C$35))</f>
        <v/>
      </c>
      <c r="T592" s="54">
        <f>IF($B592=0,NA(),IF(Inputs!$B$29&lt;&gt;"Yes",NA(),Inputs!$D$29*Inputs!$C$35))</f>
        <v/>
      </c>
      <c r="AD592">
        <f>IF($B592=0,0,IF(Inputs!$B$6="",0,COUNTIFS(Data!$A$10:$A$3209,"&gt;="&amp;$A592,Data!$A$10:$A$3209,"&lt;"&amp;$A592+1)))</f>
        <v/>
      </c>
      <c r="AE592">
        <f>IF($B592=0,0,IF(Inputs!$B$7="",0,COUNTIFS(Data!$E$10:$E$3209,"&gt;="&amp;$A592,Data!$E$10:$E$3209,"&lt;"&amp;$A592+1)))</f>
        <v/>
      </c>
      <c r="AF592">
        <f>IF($B592=0,0,IF(Inputs!$B$8="",0,COUNTIFS(Data!$I$10:$I$3209,"&gt;="&amp;$A592,Data!$I$10:$I$3209,"&lt;"&amp;$A592+1)))</f>
        <v/>
      </c>
      <c r="AG592">
        <f>IF($B592=0,0,IF(Inputs!$B$9="",0,COUNTIFS(Data!$M$10:$M$3209,"&gt;="&amp;$A592,Data!$M$10:$M$3209,"&lt;"&amp;$A592+1)))</f>
        <v/>
      </c>
      <c r="AH592">
        <f>IF($B592=0,0,IF(Inputs!$B$10="",0,COUNTIFS(Data!$Q$10:$Q$3209,"&gt;="&amp;$A592,Data!$Q$10:$Q$3209,"&lt;"&amp;$A592+1)))</f>
        <v/>
      </c>
    </row>
    <row r="593">
      <c r="A593" s="55">
        <f>MIN(Inputs!$C$15,$A592+IF(WEEKDAY($A592,2)=5,3,1))</f>
        <v/>
      </c>
      <c r="B593">
        <f>IF($A593&gt;$A592,1,0)</f>
        <v/>
      </c>
      <c r="C593" s="56">
        <f>IF($B593=0,"",IF(Inputs!$B$6="","",IF($AD593=0,C592,SUMIFS(Data!$B$10:$B$3209,Data!$A$10:$A$3209,"&gt;="&amp;$A593,Data!$A$10:$A$3209,"&lt;"&amp;$A593+1)/$AD593)))</f>
        <v/>
      </c>
      <c r="D593" s="56">
        <f>IF($B593=0,"",IF(Inputs!$B$7="","",IF($AE593=0,D592,SUMIFS(Data!$F$10:$F$3209,Data!$E$10:$E$3209,"&gt;="&amp;$A593,Data!$E$10:$E$3209,"&lt;"&amp;$A593+1)/$AE593)))</f>
        <v/>
      </c>
      <c r="E593" s="56">
        <f>IF($B593=0,"",IF(Inputs!$B$8="","",IF($AF593=0,E592,SUMIFS(Data!$J$10:$J$3209,Data!$I$10:$I$3209,"&gt;="&amp;$A593,Data!$I$10:$I$3209,"&lt;"&amp;$A593+1)/$AF593)))</f>
        <v/>
      </c>
      <c r="F593" s="56">
        <f>IF($B593=0,"",IF(Inputs!$B$9="","",IF($AG593=0,F592,SUMIFS(Data!$N$10:$N$3209,Data!$M$10:$M$3209,"&gt;="&amp;$A593,Data!$M$10:$M$3209,"&lt;"&amp;$A593+1)/$AG593)))</f>
        <v/>
      </c>
      <c r="G593" s="56">
        <f>IF($B593=0,"",IF(Inputs!$B$10="","",IF($AH593=0,G592,SUMIFS(Data!$R$10:$R$3209,Data!$Q$10:$Q$3209,"&gt;="&amp;$A593,Data!$Q$10:$Q$3209,"&lt;"&amp;$A593+1)/$AH593)))</f>
        <v/>
      </c>
      <c r="I593" s="54">
        <f>IF($B593=0,NA(),IF($C593="",NA(),IF(C$8="",NA(),IF(N(C$8)=0,NA(),IF(Inputs!$C$17="Rebased to 100",$C593/C$8*100,$C593)))))</f>
        <v/>
      </c>
      <c r="J593" s="54">
        <f>IF($B593=0,NA(),IF($D593="",NA(),IF(D$8="",NA(),IF(N(D$8)=0,NA(),IF(Inputs!$C$17="Rebased to 100",$D593/D$8*100,$D593)))))</f>
        <v/>
      </c>
      <c r="K593" s="54">
        <f>IF($B593=0,NA(),IF($E593="",NA(),IF(E$8="",NA(),IF(N(E$8)=0,NA(),IF(Inputs!$C$17="Rebased to 100",$E593/E$8*100,$E593)))))</f>
        <v/>
      </c>
      <c r="L593" s="54">
        <f>IF($B593=0,NA(),IF($F593="",NA(),IF(F$8="",NA(),IF(N(F$8)=0,NA(),IF(Inputs!$C$17="Rebased to 100",$F593/F$8*100,$F593)))))</f>
        <v/>
      </c>
      <c r="M593" s="54">
        <f>IF($B593=0,NA(),IF($G593="",NA(),IF(G$8="",NA(),IF(N(G$8)=0,NA(),IF(Inputs!$C$17="Rebased to 100",$G593/G$8*100,$G593)))))</f>
        <v/>
      </c>
      <c r="N593" s="54">
        <f>IF($B593=0,NA(),IF(Inputs!$C$18&lt;&gt;"Yes",NA(),IF(COUNT(I593,J593,K593,L593,M593)=0,NA(),MIN(I593,J593,K593,L593,M593))))</f>
        <v/>
      </c>
      <c r="O593" s="54">
        <f>IF($B593=0,NA(),IF(Inputs!$B$24&lt;&gt;"Yes",NA(),Inputs!$D$24*Inputs!$C$35))</f>
        <v/>
      </c>
      <c r="P593" s="54">
        <f>IF($B593=0,NA(),IF(Inputs!$B$25&lt;&gt;"Yes",NA(),Inputs!$D$25*Inputs!$C$35))</f>
        <v/>
      </c>
      <c r="Q593" s="54">
        <f>IF($B593=0,NA(),IF(Inputs!$B$26&lt;&gt;"Yes",NA(),Inputs!$D$26*Inputs!$C$35))</f>
        <v/>
      </c>
      <c r="R593" s="54">
        <f>IF($B593=0,NA(),IF(Inputs!$B$27&lt;&gt;"Yes",NA(),Inputs!$D$27*Inputs!$C$35))</f>
        <v/>
      </c>
      <c r="S593" s="54">
        <f>IF($B593=0,NA(),IF(Inputs!$B$28&lt;&gt;"Yes",NA(),Inputs!$D$28*Inputs!$C$35))</f>
        <v/>
      </c>
      <c r="T593" s="54">
        <f>IF($B593=0,NA(),IF(Inputs!$B$29&lt;&gt;"Yes",NA(),Inputs!$D$29*Inputs!$C$35))</f>
        <v/>
      </c>
      <c r="AD593">
        <f>IF($B593=0,0,IF(Inputs!$B$6="",0,COUNTIFS(Data!$A$10:$A$3209,"&gt;="&amp;$A593,Data!$A$10:$A$3209,"&lt;"&amp;$A593+1)))</f>
        <v/>
      </c>
      <c r="AE593">
        <f>IF($B593=0,0,IF(Inputs!$B$7="",0,COUNTIFS(Data!$E$10:$E$3209,"&gt;="&amp;$A593,Data!$E$10:$E$3209,"&lt;"&amp;$A593+1)))</f>
        <v/>
      </c>
      <c r="AF593">
        <f>IF($B593=0,0,IF(Inputs!$B$8="",0,COUNTIFS(Data!$I$10:$I$3209,"&gt;="&amp;$A593,Data!$I$10:$I$3209,"&lt;"&amp;$A593+1)))</f>
        <v/>
      </c>
      <c r="AG593">
        <f>IF($B593=0,0,IF(Inputs!$B$9="",0,COUNTIFS(Data!$M$10:$M$3209,"&gt;="&amp;$A593,Data!$M$10:$M$3209,"&lt;"&amp;$A593+1)))</f>
        <v/>
      </c>
      <c r="AH593">
        <f>IF($B593=0,0,IF(Inputs!$B$10="",0,COUNTIFS(Data!$Q$10:$Q$3209,"&gt;="&amp;$A593,Data!$Q$10:$Q$3209,"&lt;"&amp;$A593+1)))</f>
        <v/>
      </c>
    </row>
    <row r="594">
      <c r="A594" s="55">
        <f>MIN(Inputs!$C$15,$A593+IF(WEEKDAY($A593,2)=5,3,1))</f>
        <v/>
      </c>
      <c r="B594">
        <f>IF($A594&gt;$A593,1,0)</f>
        <v/>
      </c>
      <c r="C594" s="56">
        <f>IF($B594=0,"",IF(Inputs!$B$6="","",IF($AD594=0,C593,SUMIFS(Data!$B$10:$B$3209,Data!$A$10:$A$3209,"&gt;="&amp;$A594,Data!$A$10:$A$3209,"&lt;"&amp;$A594+1)/$AD594)))</f>
        <v/>
      </c>
      <c r="D594" s="56">
        <f>IF($B594=0,"",IF(Inputs!$B$7="","",IF($AE594=0,D593,SUMIFS(Data!$F$10:$F$3209,Data!$E$10:$E$3209,"&gt;="&amp;$A594,Data!$E$10:$E$3209,"&lt;"&amp;$A594+1)/$AE594)))</f>
        <v/>
      </c>
      <c r="E594" s="56">
        <f>IF($B594=0,"",IF(Inputs!$B$8="","",IF($AF594=0,E593,SUMIFS(Data!$J$10:$J$3209,Data!$I$10:$I$3209,"&gt;="&amp;$A594,Data!$I$10:$I$3209,"&lt;"&amp;$A594+1)/$AF594)))</f>
        <v/>
      </c>
      <c r="F594" s="56">
        <f>IF($B594=0,"",IF(Inputs!$B$9="","",IF($AG594=0,F593,SUMIFS(Data!$N$10:$N$3209,Data!$M$10:$M$3209,"&gt;="&amp;$A594,Data!$M$10:$M$3209,"&lt;"&amp;$A594+1)/$AG594)))</f>
        <v/>
      </c>
      <c r="G594" s="56">
        <f>IF($B594=0,"",IF(Inputs!$B$10="","",IF($AH594=0,G593,SUMIFS(Data!$R$10:$R$3209,Data!$Q$10:$Q$3209,"&gt;="&amp;$A594,Data!$Q$10:$Q$3209,"&lt;"&amp;$A594+1)/$AH594)))</f>
        <v/>
      </c>
      <c r="I594" s="54">
        <f>IF($B594=0,NA(),IF($C594="",NA(),IF(C$8="",NA(),IF(N(C$8)=0,NA(),IF(Inputs!$C$17="Rebased to 100",$C594/C$8*100,$C594)))))</f>
        <v/>
      </c>
      <c r="J594" s="54">
        <f>IF($B594=0,NA(),IF($D594="",NA(),IF(D$8="",NA(),IF(N(D$8)=0,NA(),IF(Inputs!$C$17="Rebased to 100",$D594/D$8*100,$D594)))))</f>
        <v/>
      </c>
      <c r="K594" s="54">
        <f>IF($B594=0,NA(),IF($E594="",NA(),IF(E$8="",NA(),IF(N(E$8)=0,NA(),IF(Inputs!$C$17="Rebased to 100",$E594/E$8*100,$E594)))))</f>
        <v/>
      </c>
      <c r="L594" s="54">
        <f>IF($B594=0,NA(),IF($F594="",NA(),IF(F$8="",NA(),IF(N(F$8)=0,NA(),IF(Inputs!$C$17="Rebased to 100",$F594/F$8*100,$F594)))))</f>
        <v/>
      </c>
      <c r="M594" s="54">
        <f>IF($B594=0,NA(),IF($G594="",NA(),IF(G$8="",NA(),IF(N(G$8)=0,NA(),IF(Inputs!$C$17="Rebased to 100",$G594/G$8*100,$G594)))))</f>
        <v/>
      </c>
      <c r="N594" s="54">
        <f>IF($B594=0,NA(),IF(Inputs!$C$18&lt;&gt;"Yes",NA(),IF(COUNT(I594,J594,K594,L594,M594)=0,NA(),MIN(I594,J594,K594,L594,M594))))</f>
        <v/>
      </c>
      <c r="O594" s="54">
        <f>IF($B594=0,NA(),IF(Inputs!$B$24&lt;&gt;"Yes",NA(),Inputs!$D$24*Inputs!$C$35))</f>
        <v/>
      </c>
      <c r="P594" s="54">
        <f>IF($B594=0,NA(),IF(Inputs!$B$25&lt;&gt;"Yes",NA(),Inputs!$D$25*Inputs!$C$35))</f>
        <v/>
      </c>
      <c r="Q594" s="54">
        <f>IF($B594=0,NA(),IF(Inputs!$B$26&lt;&gt;"Yes",NA(),Inputs!$D$26*Inputs!$C$35))</f>
        <v/>
      </c>
      <c r="R594" s="54">
        <f>IF($B594=0,NA(),IF(Inputs!$B$27&lt;&gt;"Yes",NA(),Inputs!$D$27*Inputs!$C$35))</f>
        <v/>
      </c>
      <c r="S594" s="54">
        <f>IF($B594=0,NA(),IF(Inputs!$B$28&lt;&gt;"Yes",NA(),Inputs!$D$28*Inputs!$C$35))</f>
        <v/>
      </c>
      <c r="T594" s="54">
        <f>IF($B594=0,NA(),IF(Inputs!$B$29&lt;&gt;"Yes",NA(),Inputs!$D$29*Inputs!$C$35))</f>
        <v/>
      </c>
      <c r="AD594">
        <f>IF($B594=0,0,IF(Inputs!$B$6="",0,COUNTIFS(Data!$A$10:$A$3209,"&gt;="&amp;$A594,Data!$A$10:$A$3209,"&lt;"&amp;$A594+1)))</f>
        <v/>
      </c>
      <c r="AE594">
        <f>IF($B594=0,0,IF(Inputs!$B$7="",0,COUNTIFS(Data!$E$10:$E$3209,"&gt;="&amp;$A594,Data!$E$10:$E$3209,"&lt;"&amp;$A594+1)))</f>
        <v/>
      </c>
      <c r="AF594">
        <f>IF($B594=0,0,IF(Inputs!$B$8="",0,COUNTIFS(Data!$I$10:$I$3209,"&gt;="&amp;$A594,Data!$I$10:$I$3209,"&lt;"&amp;$A594+1)))</f>
        <v/>
      </c>
      <c r="AG594">
        <f>IF($B594=0,0,IF(Inputs!$B$9="",0,COUNTIFS(Data!$M$10:$M$3209,"&gt;="&amp;$A594,Data!$M$10:$M$3209,"&lt;"&amp;$A594+1)))</f>
        <v/>
      </c>
      <c r="AH594">
        <f>IF($B594=0,0,IF(Inputs!$B$10="",0,COUNTIFS(Data!$Q$10:$Q$3209,"&gt;="&amp;$A594,Data!$Q$10:$Q$3209,"&lt;"&amp;$A594+1)))</f>
        <v/>
      </c>
    </row>
    <row r="595">
      <c r="A595" s="55">
        <f>MIN(Inputs!$C$15,$A594+IF(WEEKDAY($A594,2)=5,3,1))</f>
        <v/>
      </c>
      <c r="B595">
        <f>IF($A595&gt;$A594,1,0)</f>
        <v/>
      </c>
      <c r="C595" s="56">
        <f>IF($B595=0,"",IF(Inputs!$B$6="","",IF($AD595=0,C594,SUMIFS(Data!$B$10:$B$3209,Data!$A$10:$A$3209,"&gt;="&amp;$A595,Data!$A$10:$A$3209,"&lt;"&amp;$A595+1)/$AD595)))</f>
        <v/>
      </c>
      <c r="D595" s="56">
        <f>IF($B595=0,"",IF(Inputs!$B$7="","",IF($AE595=0,D594,SUMIFS(Data!$F$10:$F$3209,Data!$E$10:$E$3209,"&gt;="&amp;$A595,Data!$E$10:$E$3209,"&lt;"&amp;$A595+1)/$AE595)))</f>
        <v/>
      </c>
      <c r="E595" s="56">
        <f>IF($B595=0,"",IF(Inputs!$B$8="","",IF($AF595=0,E594,SUMIFS(Data!$J$10:$J$3209,Data!$I$10:$I$3209,"&gt;="&amp;$A595,Data!$I$10:$I$3209,"&lt;"&amp;$A595+1)/$AF595)))</f>
        <v/>
      </c>
      <c r="F595" s="56">
        <f>IF($B595=0,"",IF(Inputs!$B$9="","",IF($AG595=0,F594,SUMIFS(Data!$N$10:$N$3209,Data!$M$10:$M$3209,"&gt;="&amp;$A595,Data!$M$10:$M$3209,"&lt;"&amp;$A595+1)/$AG595)))</f>
        <v/>
      </c>
      <c r="G595" s="56">
        <f>IF($B595=0,"",IF(Inputs!$B$10="","",IF($AH595=0,G594,SUMIFS(Data!$R$10:$R$3209,Data!$Q$10:$Q$3209,"&gt;="&amp;$A595,Data!$Q$10:$Q$3209,"&lt;"&amp;$A595+1)/$AH595)))</f>
        <v/>
      </c>
      <c r="I595" s="54">
        <f>IF($B595=0,NA(),IF($C595="",NA(),IF(C$8="",NA(),IF(N(C$8)=0,NA(),IF(Inputs!$C$17="Rebased to 100",$C595/C$8*100,$C595)))))</f>
        <v/>
      </c>
      <c r="J595" s="54">
        <f>IF($B595=0,NA(),IF($D595="",NA(),IF(D$8="",NA(),IF(N(D$8)=0,NA(),IF(Inputs!$C$17="Rebased to 100",$D595/D$8*100,$D595)))))</f>
        <v/>
      </c>
      <c r="K595" s="54">
        <f>IF($B595=0,NA(),IF($E595="",NA(),IF(E$8="",NA(),IF(N(E$8)=0,NA(),IF(Inputs!$C$17="Rebased to 100",$E595/E$8*100,$E595)))))</f>
        <v/>
      </c>
      <c r="L595" s="54">
        <f>IF($B595=0,NA(),IF($F595="",NA(),IF(F$8="",NA(),IF(N(F$8)=0,NA(),IF(Inputs!$C$17="Rebased to 100",$F595/F$8*100,$F595)))))</f>
        <v/>
      </c>
      <c r="M595" s="54">
        <f>IF($B595=0,NA(),IF($G595="",NA(),IF(G$8="",NA(),IF(N(G$8)=0,NA(),IF(Inputs!$C$17="Rebased to 100",$G595/G$8*100,$G595)))))</f>
        <v/>
      </c>
      <c r="N595" s="54">
        <f>IF($B595=0,NA(),IF(Inputs!$C$18&lt;&gt;"Yes",NA(),IF(COUNT(I595,J595,K595,L595,M595)=0,NA(),MIN(I595,J595,K595,L595,M595))))</f>
        <v/>
      </c>
      <c r="O595" s="54">
        <f>IF($B595=0,NA(),IF(Inputs!$B$24&lt;&gt;"Yes",NA(),Inputs!$D$24*Inputs!$C$35))</f>
        <v/>
      </c>
      <c r="P595" s="54">
        <f>IF($B595=0,NA(),IF(Inputs!$B$25&lt;&gt;"Yes",NA(),Inputs!$D$25*Inputs!$C$35))</f>
        <v/>
      </c>
      <c r="Q595" s="54">
        <f>IF($B595=0,NA(),IF(Inputs!$B$26&lt;&gt;"Yes",NA(),Inputs!$D$26*Inputs!$C$35))</f>
        <v/>
      </c>
      <c r="R595" s="54">
        <f>IF($B595=0,NA(),IF(Inputs!$B$27&lt;&gt;"Yes",NA(),Inputs!$D$27*Inputs!$C$35))</f>
        <v/>
      </c>
      <c r="S595" s="54">
        <f>IF($B595=0,NA(),IF(Inputs!$B$28&lt;&gt;"Yes",NA(),Inputs!$D$28*Inputs!$C$35))</f>
        <v/>
      </c>
      <c r="T595" s="54">
        <f>IF($B595=0,NA(),IF(Inputs!$B$29&lt;&gt;"Yes",NA(),Inputs!$D$29*Inputs!$C$35))</f>
        <v/>
      </c>
      <c r="AD595">
        <f>IF($B595=0,0,IF(Inputs!$B$6="",0,COUNTIFS(Data!$A$10:$A$3209,"&gt;="&amp;$A595,Data!$A$10:$A$3209,"&lt;"&amp;$A595+1)))</f>
        <v/>
      </c>
      <c r="AE595">
        <f>IF($B595=0,0,IF(Inputs!$B$7="",0,COUNTIFS(Data!$E$10:$E$3209,"&gt;="&amp;$A595,Data!$E$10:$E$3209,"&lt;"&amp;$A595+1)))</f>
        <v/>
      </c>
      <c r="AF595">
        <f>IF($B595=0,0,IF(Inputs!$B$8="",0,COUNTIFS(Data!$I$10:$I$3209,"&gt;="&amp;$A595,Data!$I$10:$I$3209,"&lt;"&amp;$A595+1)))</f>
        <v/>
      </c>
      <c r="AG595">
        <f>IF($B595=0,0,IF(Inputs!$B$9="",0,COUNTIFS(Data!$M$10:$M$3209,"&gt;="&amp;$A595,Data!$M$10:$M$3209,"&lt;"&amp;$A595+1)))</f>
        <v/>
      </c>
      <c r="AH595">
        <f>IF($B595=0,0,IF(Inputs!$B$10="",0,COUNTIFS(Data!$Q$10:$Q$3209,"&gt;="&amp;$A595,Data!$Q$10:$Q$3209,"&lt;"&amp;$A595+1)))</f>
        <v/>
      </c>
    </row>
    <row r="596">
      <c r="A596" s="55">
        <f>MIN(Inputs!$C$15,$A595+IF(WEEKDAY($A595,2)=5,3,1))</f>
        <v/>
      </c>
      <c r="B596">
        <f>IF($A596&gt;$A595,1,0)</f>
        <v/>
      </c>
      <c r="C596" s="56">
        <f>IF($B596=0,"",IF(Inputs!$B$6="","",IF($AD596=0,C595,SUMIFS(Data!$B$10:$B$3209,Data!$A$10:$A$3209,"&gt;="&amp;$A596,Data!$A$10:$A$3209,"&lt;"&amp;$A596+1)/$AD596)))</f>
        <v/>
      </c>
      <c r="D596" s="56">
        <f>IF($B596=0,"",IF(Inputs!$B$7="","",IF($AE596=0,D595,SUMIFS(Data!$F$10:$F$3209,Data!$E$10:$E$3209,"&gt;="&amp;$A596,Data!$E$10:$E$3209,"&lt;"&amp;$A596+1)/$AE596)))</f>
        <v/>
      </c>
      <c r="E596" s="56">
        <f>IF($B596=0,"",IF(Inputs!$B$8="","",IF($AF596=0,E595,SUMIFS(Data!$J$10:$J$3209,Data!$I$10:$I$3209,"&gt;="&amp;$A596,Data!$I$10:$I$3209,"&lt;"&amp;$A596+1)/$AF596)))</f>
        <v/>
      </c>
      <c r="F596" s="56">
        <f>IF($B596=0,"",IF(Inputs!$B$9="","",IF($AG596=0,F595,SUMIFS(Data!$N$10:$N$3209,Data!$M$10:$M$3209,"&gt;="&amp;$A596,Data!$M$10:$M$3209,"&lt;"&amp;$A596+1)/$AG596)))</f>
        <v/>
      </c>
      <c r="G596" s="56">
        <f>IF($B596=0,"",IF(Inputs!$B$10="","",IF($AH596=0,G595,SUMIFS(Data!$R$10:$R$3209,Data!$Q$10:$Q$3209,"&gt;="&amp;$A596,Data!$Q$10:$Q$3209,"&lt;"&amp;$A596+1)/$AH596)))</f>
        <v/>
      </c>
      <c r="I596" s="54">
        <f>IF($B596=0,NA(),IF($C596="",NA(),IF(C$8="",NA(),IF(N(C$8)=0,NA(),IF(Inputs!$C$17="Rebased to 100",$C596/C$8*100,$C596)))))</f>
        <v/>
      </c>
      <c r="J596" s="54">
        <f>IF($B596=0,NA(),IF($D596="",NA(),IF(D$8="",NA(),IF(N(D$8)=0,NA(),IF(Inputs!$C$17="Rebased to 100",$D596/D$8*100,$D596)))))</f>
        <v/>
      </c>
      <c r="K596" s="54">
        <f>IF($B596=0,NA(),IF($E596="",NA(),IF(E$8="",NA(),IF(N(E$8)=0,NA(),IF(Inputs!$C$17="Rebased to 100",$E596/E$8*100,$E596)))))</f>
        <v/>
      </c>
      <c r="L596" s="54">
        <f>IF($B596=0,NA(),IF($F596="",NA(),IF(F$8="",NA(),IF(N(F$8)=0,NA(),IF(Inputs!$C$17="Rebased to 100",$F596/F$8*100,$F596)))))</f>
        <v/>
      </c>
      <c r="M596" s="54">
        <f>IF($B596=0,NA(),IF($G596="",NA(),IF(G$8="",NA(),IF(N(G$8)=0,NA(),IF(Inputs!$C$17="Rebased to 100",$G596/G$8*100,$G596)))))</f>
        <v/>
      </c>
      <c r="N596" s="54">
        <f>IF($B596=0,NA(),IF(Inputs!$C$18&lt;&gt;"Yes",NA(),IF(COUNT(I596,J596,K596,L596,M596)=0,NA(),MIN(I596,J596,K596,L596,M596))))</f>
        <v/>
      </c>
      <c r="O596" s="54">
        <f>IF($B596=0,NA(),IF(Inputs!$B$24&lt;&gt;"Yes",NA(),Inputs!$D$24*Inputs!$C$35))</f>
        <v/>
      </c>
      <c r="P596" s="54">
        <f>IF($B596=0,NA(),IF(Inputs!$B$25&lt;&gt;"Yes",NA(),Inputs!$D$25*Inputs!$C$35))</f>
        <v/>
      </c>
      <c r="Q596" s="54">
        <f>IF($B596=0,NA(),IF(Inputs!$B$26&lt;&gt;"Yes",NA(),Inputs!$D$26*Inputs!$C$35))</f>
        <v/>
      </c>
      <c r="R596" s="54">
        <f>IF($B596=0,NA(),IF(Inputs!$B$27&lt;&gt;"Yes",NA(),Inputs!$D$27*Inputs!$C$35))</f>
        <v/>
      </c>
      <c r="S596" s="54">
        <f>IF($B596=0,NA(),IF(Inputs!$B$28&lt;&gt;"Yes",NA(),Inputs!$D$28*Inputs!$C$35))</f>
        <v/>
      </c>
      <c r="T596" s="54">
        <f>IF($B596=0,NA(),IF(Inputs!$B$29&lt;&gt;"Yes",NA(),Inputs!$D$29*Inputs!$C$35))</f>
        <v/>
      </c>
      <c r="AD596">
        <f>IF($B596=0,0,IF(Inputs!$B$6="",0,COUNTIFS(Data!$A$10:$A$3209,"&gt;="&amp;$A596,Data!$A$10:$A$3209,"&lt;"&amp;$A596+1)))</f>
        <v/>
      </c>
      <c r="AE596">
        <f>IF($B596=0,0,IF(Inputs!$B$7="",0,COUNTIFS(Data!$E$10:$E$3209,"&gt;="&amp;$A596,Data!$E$10:$E$3209,"&lt;"&amp;$A596+1)))</f>
        <v/>
      </c>
      <c r="AF596">
        <f>IF($B596=0,0,IF(Inputs!$B$8="",0,COUNTIFS(Data!$I$10:$I$3209,"&gt;="&amp;$A596,Data!$I$10:$I$3209,"&lt;"&amp;$A596+1)))</f>
        <v/>
      </c>
      <c r="AG596">
        <f>IF($B596=0,0,IF(Inputs!$B$9="",0,COUNTIFS(Data!$M$10:$M$3209,"&gt;="&amp;$A596,Data!$M$10:$M$3209,"&lt;"&amp;$A596+1)))</f>
        <v/>
      </c>
      <c r="AH596">
        <f>IF($B596=0,0,IF(Inputs!$B$10="",0,COUNTIFS(Data!$Q$10:$Q$3209,"&gt;="&amp;$A596,Data!$Q$10:$Q$3209,"&lt;"&amp;$A596+1)))</f>
        <v/>
      </c>
    </row>
    <row r="597">
      <c r="A597" s="55">
        <f>MIN(Inputs!$C$15,$A596+IF(WEEKDAY($A596,2)=5,3,1))</f>
        <v/>
      </c>
      <c r="B597">
        <f>IF($A597&gt;$A596,1,0)</f>
        <v/>
      </c>
      <c r="C597" s="56">
        <f>IF($B597=0,"",IF(Inputs!$B$6="","",IF($AD597=0,C596,SUMIFS(Data!$B$10:$B$3209,Data!$A$10:$A$3209,"&gt;="&amp;$A597,Data!$A$10:$A$3209,"&lt;"&amp;$A597+1)/$AD597)))</f>
        <v/>
      </c>
      <c r="D597" s="56">
        <f>IF($B597=0,"",IF(Inputs!$B$7="","",IF($AE597=0,D596,SUMIFS(Data!$F$10:$F$3209,Data!$E$10:$E$3209,"&gt;="&amp;$A597,Data!$E$10:$E$3209,"&lt;"&amp;$A597+1)/$AE597)))</f>
        <v/>
      </c>
      <c r="E597" s="56">
        <f>IF($B597=0,"",IF(Inputs!$B$8="","",IF($AF597=0,E596,SUMIFS(Data!$J$10:$J$3209,Data!$I$10:$I$3209,"&gt;="&amp;$A597,Data!$I$10:$I$3209,"&lt;"&amp;$A597+1)/$AF597)))</f>
        <v/>
      </c>
      <c r="F597" s="56">
        <f>IF($B597=0,"",IF(Inputs!$B$9="","",IF($AG597=0,F596,SUMIFS(Data!$N$10:$N$3209,Data!$M$10:$M$3209,"&gt;="&amp;$A597,Data!$M$10:$M$3209,"&lt;"&amp;$A597+1)/$AG597)))</f>
        <v/>
      </c>
      <c r="G597" s="56">
        <f>IF($B597=0,"",IF(Inputs!$B$10="","",IF($AH597=0,G596,SUMIFS(Data!$R$10:$R$3209,Data!$Q$10:$Q$3209,"&gt;="&amp;$A597,Data!$Q$10:$Q$3209,"&lt;"&amp;$A597+1)/$AH597)))</f>
        <v/>
      </c>
      <c r="I597" s="54">
        <f>IF($B597=0,NA(),IF($C597="",NA(),IF(C$8="",NA(),IF(N(C$8)=0,NA(),IF(Inputs!$C$17="Rebased to 100",$C597/C$8*100,$C597)))))</f>
        <v/>
      </c>
      <c r="J597" s="54">
        <f>IF($B597=0,NA(),IF($D597="",NA(),IF(D$8="",NA(),IF(N(D$8)=0,NA(),IF(Inputs!$C$17="Rebased to 100",$D597/D$8*100,$D597)))))</f>
        <v/>
      </c>
      <c r="K597" s="54">
        <f>IF($B597=0,NA(),IF($E597="",NA(),IF(E$8="",NA(),IF(N(E$8)=0,NA(),IF(Inputs!$C$17="Rebased to 100",$E597/E$8*100,$E597)))))</f>
        <v/>
      </c>
      <c r="L597" s="54">
        <f>IF($B597=0,NA(),IF($F597="",NA(),IF(F$8="",NA(),IF(N(F$8)=0,NA(),IF(Inputs!$C$17="Rebased to 100",$F597/F$8*100,$F597)))))</f>
        <v/>
      </c>
      <c r="M597" s="54">
        <f>IF($B597=0,NA(),IF($G597="",NA(),IF(G$8="",NA(),IF(N(G$8)=0,NA(),IF(Inputs!$C$17="Rebased to 100",$G597/G$8*100,$G597)))))</f>
        <v/>
      </c>
      <c r="N597" s="54">
        <f>IF($B597=0,NA(),IF(Inputs!$C$18&lt;&gt;"Yes",NA(),IF(COUNT(I597,J597,K597,L597,M597)=0,NA(),MIN(I597,J597,K597,L597,M597))))</f>
        <v/>
      </c>
      <c r="O597" s="54">
        <f>IF($B597=0,NA(),IF(Inputs!$B$24&lt;&gt;"Yes",NA(),Inputs!$D$24*Inputs!$C$35))</f>
        <v/>
      </c>
      <c r="P597" s="54">
        <f>IF($B597=0,NA(),IF(Inputs!$B$25&lt;&gt;"Yes",NA(),Inputs!$D$25*Inputs!$C$35))</f>
        <v/>
      </c>
      <c r="Q597" s="54">
        <f>IF($B597=0,NA(),IF(Inputs!$B$26&lt;&gt;"Yes",NA(),Inputs!$D$26*Inputs!$C$35))</f>
        <v/>
      </c>
      <c r="R597" s="54">
        <f>IF($B597=0,NA(),IF(Inputs!$B$27&lt;&gt;"Yes",NA(),Inputs!$D$27*Inputs!$C$35))</f>
        <v/>
      </c>
      <c r="S597" s="54">
        <f>IF($B597=0,NA(),IF(Inputs!$B$28&lt;&gt;"Yes",NA(),Inputs!$D$28*Inputs!$C$35))</f>
        <v/>
      </c>
      <c r="T597" s="54">
        <f>IF($B597=0,NA(),IF(Inputs!$B$29&lt;&gt;"Yes",NA(),Inputs!$D$29*Inputs!$C$35))</f>
        <v/>
      </c>
      <c r="AD597">
        <f>IF($B597=0,0,IF(Inputs!$B$6="",0,COUNTIFS(Data!$A$10:$A$3209,"&gt;="&amp;$A597,Data!$A$10:$A$3209,"&lt;"&amp;$A597+1)))</f>
        <v/>
      </c>
      <c r="AE597">
        <f>IF($B597=0,0,IF(Inputs!$B$7="",0,COUNTIFS(Data!$E$10:$E$3209,"&gt;="&amp;$A597,Data!$E$10:$E$3209,"&lt;"&amp;$A597+1)))</f>
        <v/>
      </c>
      <c r="AF597">
        <f>IF($B597=0,0,IF(Inputs!$B$8="",0,COUNTIFS(Data!$I$10:$I$3209,"&gt;="&amp;$A597,Data!$I$10:$I$3209,"&lt;"&amp;$A597+1)))</f>
        <v/>
      </c>
      <c r="AG597">
        <f>IF($B597=0,0,IF(Inputs!$B$9="",0,COUNTIFS(Data!$M$10:$M$3209,"&gt;="&amp;$A597,Data!$M$10:$M$3209,"&lt;"&amp;$A597+1)))</f>
        <v/>
      </c>
      <c r="AH597">
        <f>IF($B597=0,0,IF(Inputs!$B$10="",0,COUNTIFS(Data!$Q$10:$Q$3209,"&gt;="&amp;$A597,Data!$Q$10:$Q$3209,"&lt;"&amp;$A597+1)))</f>
        <v/>
      </c>
    </row>
    <row r="598">
      <c r="A598" s="55">
        <f>MIN(Inputs!$C$15,$A597+IF(WEEKDAY($A597,2)=5,3,1))</f>
        <v/>
      </c>
      <c r="B598">
        <f>IF($A598&gt;$A597,1,0)</f>
        <v/>
      </c>
      <c r="C598" s="56">
        <f>IF($B598=0,"",IF(Inputs!$B$6="","",IF($AD598=0,C597,SUMIFS(Data!$B$10:$B$3209,Data!$A$10:$A$3209,"&gt;="&amp;$A598,Data!$A$10:$A$3209,"&lt;"&amp;$A598+1)/$AD598)))</f>
        <v/>
      </c>
      <c r="D598" s="56">
        <f>IF($B598=0,"",IF(Inputs!$B$7="","",IF($AE598=0,D597,SUMIFS(Data!$F$10:$F$3209,Data!$E$10:$E$3209,"&gt;="&amp;$A598,Data!$E$10:$E$3209,"&lt;"&amp;$A598+1)/$AE598)))</f>
        <v/>
      </c>
      <c r="E598" s="56">
        <f>IF($B598=0,"",IF(Inputs!$B$8="","",IF($AF598=0,E597,SUMIFS(Data!$J$10:$J$3209,Data!$I$10:$I$3209,"&gt;="&amp;$A598,Data!$I$10:$I$3209,"&lt;"&amp;$A598+1)/$AF598)))</f>
        <v/>
      </c>
      <c r="F598" s="56">
        <f>IF($B598=0,"",IF(Inputs!$B$9="","",IF($AG598=0,F597,SUMIFS(Data!$N$10:$N$3209,Data!$M$10:$M$3209,"&gt;="&amp;$A598,Data!$M$10:$M$3209,"&lt;"&amp;$A598+1)/$AG598)))</f>
        <v/>
      </c>
      <c r="G598" s="56">
        <f>IF($B598=0,"",IF(Inputs!$B$10="","",IF($AH598=0,G597,SUMIFS(Data!$R$10:$R$3209,Data!$Q$10:$Q$3209,"&gt;="&amp;$A598,Data!$Q$10:$Q$3209,"&lt;"&amp;$A598+1)/$AH598)))</f>
        <v/>
      </c>
      <c r="I598" s="54">
        <f>IF($B598=0,NA(),IF($C598="",NA(),IF(C$8="",NA(),IF(N(C$8)=0,NA(),IF(Inputs!$C$17="Rebased to 100",$C598/C$8*100,$C598)))))</f>
        <v/>
      </c>
      <c r="J598" s="54">
        <f>IF($B598=0,NA(),IF($D598="",NA(),IF(D$8="",NA(),IF(N(D$8)=0,NA(),IF(Inputs!$C$17="Rebased to 100",$D598/D$8*100,$D598)))))</f>
        <v/>
      </c>
      <c r="K598" s="54">
        <f>IF($B598=0,NA(),IF($E598="",NA(),IF(E$8="",NA(),IF(N(E$8)=0,NA(),IF(Inputs!$C$17="Rebased to 100",$E598/E$8*100,$E598)))))</f>
        <v/>
      </c>
      <c r="L598" s="54">
        <f>IF($B598=0,NA(),IF($F598="",NA(),IF(F$8="",NA(),IF(N(F$8)=0,NA(),IF(Inputs!$C$17="Rebased to 100",$F598/F$8*100,$F598)))))</f>
        <v/>
      </c>
      <c r="M598" s="54">
        <f>IF($B598=0,NA(),IF($G598="",NA(),IF(G$8="",NA(),IF(N(G$8)=0,NA(),IF(Inputs!$C$17="Rebased to 100",$G598/G$8*100,$G598)))))</f>
        <v/>
      </c>
      <c r="N598" s="54">
        <f>IF($B598=0,NA(),IF(Inputs!$C$18&lt;&gt;"Yes",NA(),IF(COUNT(I598,J598,K598,L598,M598)=0,NA(),MIN(I598,J598,K598,L598,M598))))</f>
        <v/>
      </c>
      <c r="O598" s="54">
        <f>IF($B598=0,NA(),IF(Inputs!$B$24&lt;&gt;"Yes",NA(),Inputs!$D$24*Inputs!$C$35))</f>
        <v/>
      </c>
      <c r="P598" s="54">
        <f>IF($B598=0,NA(),IF(Inputs!$B$25&lt;&gt;"Yes",NA(),Inputs!$D$25*Inputs!$C$35))</f>
        <v/>
      </c>
      <c r="Q598" s="54">
        <f>IF($B598=0,NA(),IF(Inputs!$B$26&lt;&gt;"Yes",NA(),Inputs!$D$26*Inputs!$C$35))</f>
        <v/>
      </c>
      <c r="R598" s="54">
        <f>IF($B598=0,NA(),IF(Inputs!$B$27&lt;&gt;"Yes",NA(),Inputs!$D$27*Inputs!$C$35))</f>
        <v/>
      </c>
      <c r="S598" s="54">
        <f>IF($B598=0,NA(),IF(Inputs!$B$28&lt;&gt;"Yes",NA(),Inputs!$D$28*Inputs!$C$35))</f>
        <v/>
      </c>
      <c r="T598" s="54">
        <f>IF($B598=0,NA(),IF(Inputs!$B$29&lt;&gt;"Yes",NA(),Inputs!$D$29*Inputs!$C$35))</f>
        <v/>
      </c>
      <c r="AD598">
        <f>IF($B598=0,0,IF(Inputs!$B$6="",0,COUNTIFS(Data!$A$10:$A$3209,"&gt;="&amp;$A598,Data!$A$10:$A$3209,"&lt;"&amp;$A598+1)))</f>
        <v/>
      </c>
      <c r="AE598">
        <f>IF($B598=0,0,IF(Inputs!$B$7="",0,COUNTIFS(Data!$E$10:$E$3209,"&gt;="&amp;$A598,Data!$E$10:$E$3209,"&lt;"&amp;$A598+1)))</f>
        <v/>
      </c>
      <c r="AF598">
        <f>IF($B598=0,0,IF(Inputs!$B$8="",0,COUNTIFS(Data!$I$10:$I$3209,"&gt;="&amp;$A598,Data!$I$10:$I$3209,"&lt;"&amp;$A598+1)))</f>
        <v/>
      </c>
      <c r="AG598">
        <f>IF($B598=0,0,IF(Inputs!$B$9="",0,COUNTIFS(Data!$M$10:$M$3209,"&gt;="&amp;$A598,Data!$M$10:$M$3209,"&lt;"&amp;$A598+1)))</f>
        <v/>
      </c>
      <c r="AH598">
        <f>IF($B598=0,0,IF(Inputs!$B$10="",0,COUNTIFS(Data!$Q$10:$Q$3209,"&gt;="&amp;$A598,Data!$Q$10:$Q$3209,"&lt;"&amp;$A598+1)))</f>
        <v/>
      </c>
    </row>
    <row r="599">
      <c r="A599" s="55">
        <f>MIN(Inputs!$C$15,$A598+IF(WEEKDAY($A598,2)=5,3,1))</f>
        <v/>
      </c>
      <c r="B599">
        <f>IF($A599&gt;$A598,1,0)</f>
        <v/>
      </c>
      <c r="C599" s="56">
        <f>IF($B599=0,"",IF(Inputs!$B$6="","",IF($AD599=0,C598,SUMIFS(Data!$B$10:$B$3209,Data!$A$10:$A$3209,"&gt;="&amp;$A599,Data!$A$10:$A$3209,"&lt;"&amp;$A599+1)/$AD599)))</f>
        <v/>
      </c>
      <c r="D599" s="56">
        <f>IF($B599=0,"",IF(Inputs!$B$7="","",IF($AE599=0,D598,SUMIFS(Data!$F$10:$F$3209,Data!$E$10:$E$3209,"&gt;="&amp;$A599,Data!$E$10:$E$3209,"&lt;"&amp;$A599+1)/$AE599)))</f>
        <v/>
      </c>
      <c r="E599" s="56">
        <f>IF($B599=0,"",IF(Inputs!$B$8="","",IF($AF599=0,E598,SUMIFS(Data!$J$10:$J$3209,Data!$I$10:$I$3209,"&gt;="&amp;$A599,Data!$I$10:$I$3209,"&lt;"&amp;$A599+1)/$AF599)))</f>
        <v/>
      </c>
      <c r="F599" s="56">
        <f>IF($B599=0,"",IF(Inputs!$B$9="","",IF($AG599=0,F598,SUMIFS(Data!$N$10:$N$3209,Data!$M$10:$M$3209,"&gt;="&amp;$A599,Data!$M$10:$M$3209,"&lt;"&amp;$A599+1)/$AG599)))</f>
        <v/>
      </c>
      <c r="G599" s="56">
        <f>IF($B599=0,"",IF(Inputs!$B$10="","",IF($AH599=0,G598,SUMIFS(Data!$R$10:$R$3209,Data!$Q$10:$Q$3209,"&gt;="&amp;$A599,Data!$Q$10:$Q$3209,"&lt;"&amp;$A599+1)/$AH599)))</f>
        <v/>
      </c>
      <c r="I599" s="54">
        <f>IF($B599=0,NA(),IF($C599="",NA(),IF(C$8="",NA(),IF(N(C$8)=0,NA(),IF(Inputs!$C$17="Rebased to 100",$C599/C$8*100,$C599)))))</f>
        <v/>
      </c>
      <c r="J599" s="54">
        <f>IF($B599=0,NA(),IF($D599="",NA(),IF(D$8="",NA(),IF(N(D$8)=0,NA(),IF(Inputs!$C$17="Rebased to 100",$D599/D$8*100,$D599)))))</f>
        <v/>
      </c>
      <c r="K599" s="54">
        <f>IF($B599=0,NA(),IF($E599="",NA(),IF(E$8="",NA(),IF(N(E$8)=0,NA(),IF(Inputs!$C$17="Rebased to 100",$E599/E$8*100,$E599)))))</f>
        <v/>
      </c>
      <c r="L599" s="54">
        <f>IF($B599=0,NA(),IF($F599="",NA(),IF(F$8="",NA(),IF(N(F$8)=0,NA(),IF(Inputs!$C$17="Rebased to 100",$F599/F$8*100,$F599)))))</f>
        <v/>
      </c>
      <c r="M599" s="54">
        <f>IF($B599=0,NA(),IF($G599="",NA(),IF(G$8="",NA(),IF(N(G$8)=0,NA(),IF(Inputs!$C$17="Rebased to 100",$G599/G$8*100,$G599)))))</f>
        <v/>
      </c>
      <c r="N599" s="54">
        <f>IF($B599=0,NA(),IF(Inputs!$C$18&lt;&gt;"Yes",NA(),IF(COUNT(I599,J599,K599,L599,M599)=0,NA(),MIN(I599,J599,K599,L599,M599))))</f>
        <v/>
      </c>
      <c r="O599" s="54">
        <f>IF($B599=0,NA(),IF(Inputs!$B$24&lt;&gt;"Yes",NA(),Inputs!$D$24*Inputs!$C$35))</f>
        <v/>
      </c>
      <c r="P599" s="54">
        <f>IF($B599=0,NA(),IF(Inputs!$B$25&lt;&gt;"Yes",NA(),Inputs!$D$25*Inputs!$C$35))</f>
        <v/>
      </c>
      <c r="Q599" s="54">
        <f>IF($B599=0,NA(),IF(Inputs!$B$26&lt;&gt;"Yes",NA(),Inputs!$D$26*Inputs!$C$35))</f>
        <v/>
      </c>
      <c r="R599" s="54">
        <f>IF($B599=0,NA(),IF(Inputs!$B$27&lt;&gt;"Yes",NA(),Inputs!$D$27*Inputs!$C$35))</f>
        <v/>
      </c>
      <c r="S599" s="54">
        <f>IF($B599=0,NA(),IF(Inputs!$B$28&lt;&gt;"Yes",NA(),Inputs!$D$28*Inputs!$C$35))</f>
        <v/>
      </c>
      <c r="T599" s="54">
        <f>IF($B599=0,NA(),IF(Inputs!$B$29&lt;&gt;"Yes",NA(),Inputs!$D$29*Inputs!$C$35))</f>
        <v/>
      </c>
      <c r="AD599">
        <f>IF($B599=0,0,IF(Inputs!$B$6="",0,COUNTIFS(Data!$A$10:$A$3209,"&gt;="&amp;$A599,Data!$A$10:$A$3209,"&lt;"&amp;$A599+1)))</f>
        <v/>
      </c>
      <c r="AE599">
        <f>IF($B599=0,0,IF(Inputs!$B$7="",0,COUNTIFS(Data!$E$10:$E$3209,"&gt;="&amp;$A599,Data!$E$10:$E$3209,"&lt;"&amp;$A599+1)))</f>
        <v/>
      </c>
      <c r="AF599">
        <f>IF($B599=0,0,IF(Inputs!$B$8="",0,COUNTIFS(Data!$I$10:$I$3209,"&gt;="&amp;$A599,Data!$I$10:$I$3209,"&lt;"&amp;$A599+1)))</f>
        <v/>
      </c>
      <c r="AG599">
        <f>IF($B599=0,0,IF(Inputs!$B$9="",0,COUNTIFS(Data!$M$10:$M$3209,"&gt;="&amp;$A599,Data!$M$10:$M$3209,"&lt;"&amp;$A599+1)))</f>
        <v/>
      </c>
      <c r="AH599">
        <f>IF($B599=0,0,IF(Inputs!$B$10="",0,COUNTIFS(Data!$Q$10:$Q$3209,"&gt;="&amp;$A599,Data!$Q$10:$Q$3209,"&lt;"&amp;$A599+1)))</f>
        <v/>
      </c>
    </row>
    <row r="600">
      <c r="A600" s="55">
        <f>MIN(Inputs!$C$15,$A599+IF(WEEKDAY($A599,2)=5,3,1))</f>
        <v/>
      </c>
      <c r="B600">
        <f>IF($A600&gt;$A599,1,0)</f>
        <v/>
      </c>
      <c r="C600" s="56">
        <f>IF($B600=0,"",IF(Inputs!$B$6="","",IF($AD600=0,C599,SUMIFS(Data!$B$10:$B$3209,Data!$A$10:$A$3209,"&gt;="&amp;$A600,Data!$A$10:$A$3209,"&lt;"&amp;$A600+1)/$AD600)))</f>
        <v/>
      </c>
      <c r="D600" s="56">
        <f>IF($B600=0,"",IF(Inputs!$B$7="","",IF($AE600=0,D599,SUMIFS(Data!$F$10:$F$3209,Data!$E$10:$E$3209,"&gt;="&amp;$A600,Data!$E$10:$E$3209,"&lt;"&amp;$A600+1)/$AE600)))</f>
        <v/>
      </c>
      <c r="E600" s="56">
        <f>IF($B600=0,"",IF(Inputs!$B$8="","",IF($AF600=0,E599,SUMIFS(Data!$J$10:$J$3209,Data!$I$10:$I$3209,"&gt;="&amp;$A600,Data!$I$10:$I$3209,"&lt;"&amp;$A600+1)/$AF600)))</f>
        <v/>
      </c>
      <c r="F600" s="56">
        <f>IF($B600=0,"",IF(Inputs!$B$9="","",IF($AG600=0,F599,SUMIFS(Data!$N$10:$N$3209,Data!$M$10:$M$3209,"&gt;="&amp;$A600,Data!$M$10:$M$3209,"&lt;"&amp;$A600+1)/$AG600)))</f>
        <v/>
      </c>
      <c r="G600" s="56">
        <f>IF($B600=0,"",IF(Inputs!$B$10="","",IF($AH600=0,G599,SUMIFS(Data!$R$10:$R$3209,Data!$Q$10:$Q$3209,"&gt;="&amp;$A600,Data!$Q$10:$Q$3209,"&lt;"&amp;$A600+1)/$AH600)))</f>
        <v/>
      </c>
      <c r="I600" s="54">
        <f>IF($B600=0,NA(),IF($C600="",NA(),IF(C$8="",NA(),IF(N(C$8)=0,NA(),IF(Inputs!$C$17="Rebased to 100",$C600/C$8*100,$C600)))))</f>
        <v/>
      </c>
      <c r="J600" s="54">
        <f>IF($B600=0,NA(),IF($D600="",NA(),IF(D$8="",NA(),IF(N(D$8)=0,NA(),IF(Inputs!$C$17="Rebased to 100",$D600/D$8*100,$D600)))))</f>
        <v/>
      </c>
      <c r="K600" s="54">
        <f>IF($B600=0,NA(),IF($E600="",NA(),IF(E$8="",NA(),IF(N(E$8)=0,NA(),IF(Inputs!$C$17="Rebased to 100",$E600/E$8*100,$E600)))))</f>
        <v/>
      </c>
      <c r="L600" s="54">
        <f>IF($B600=0,NA(),IF($F600="",NA(),IF(F$8="",NA(),IF(N(F$8)=0,NA(),IF(Inputs!$C$17="Rebased to 100",$F600/F$8*100,$F600)))))</f>
        <v/>
      </c>
      <c r="M600" s="54">
        <f>IF($B600=0,NA(),IF($G600="",NA(),IF(G$8="",NA(),IF(N(G$8)=0,NA(),IF(Inputs!$C$17="Rebased to 100",$G600/G$8*100,$G600)))))</f>
        <v/>
      </c>
      <c r="N600" s="54">
        <f>IF($B600=0,NA(),IF(Inputs!$C$18&lt;&gt;"Yes",NA(),IF(COUNT(I600,J600,K600,L600,M600)=0,NA(),MIN(I600,J600,K600,L600,M600))))</f>
        <v/>
      </c>
      <c r="O600" s="54">
        <f>IF($B600=0,NA(),IF(Inputs!$B$24&lt;&gt;"Yes",NA(),Inputs!$D$24*Inputs!$C$35))</f>
        <v/>
      </c>
      <c r="P600" s="54">
        <f>IF($B600=0,NA(),IF(Inputs!$B$25&lt;&gt;"Yes",NA(),Inputs!$D$25*Inputs!$C$35))</f>
        <v/>
      </c>
      <c r="Q600" s="54">
        <f>IF($B600=0,NA(),IF(Inputs!$B$26&lt;&gt;"Yes",NA(),Inputs!$D$26*Inputs!$C$35))</f>
        <v/>
      </c>
      <c r="R600" s="54">
        <f>IF($B600=0,NA(),IF(Inputs!$B$27&lt;&gt;"Yes",NA(),Inputs!$D$27*Inputs!$C$35))</f>
        <v/>
      </c>
      <c r="S600" s="54">
        <f>IF($B600=0,NA(),IF(Inputs!$B$28&lt;&gt;"Yes",NA(),Inputs!$D$28*Inputs!$C$35))</f>
        <v/>
      </c>
      <c r="T600" s="54">
        <f>IF($B600=0,NA(),IF(Inputs!$B$29&lt;&gt;"Yes",NA(),Inputs!$D$29*Inputs!$C$35))</f>
        <v/>
      </c>
      <c r="AD600">
        <f>IF($B600=0,0,IF(Inputs!$B$6="",0,COUNTIFS(Data!$A$10:$A$3209,"&gt;="&amp;$A600,Data!$A$10:$A$3209,"&lt;"&amp;$A600+1)))</f>
        <v/>
      </c>
      <c r="AE600">
        <f>IF($B600=0,0,IF(Inputs!$B$7="",0,COUNTIFS(Data!$E$10:$E$3209,"&gt;="&amp;$A600,Data!$E$10:$E$3209,"&lt;"&amp;$A600+1)))</f>
        <v/>
      </c>
      <c r="AF600">
        <f>IF($B600=0,0,IF(Inputs!$B$8="",0,COUNTIFS(Data!$I$10:$I$3209,"&gt;="&amp;$A600,Data!$I$10:$I$3209,"&lt;"&amp;$A600+1)))</f>
        <v/>
      </c>
      <c r="AG600">
        <f>IF($B600=0,0,IF(Inputs!$B$9="",0,COUNTIFS(Data!$M$10:$M$3209,"&gt;="&amp;$A600,Data!$M$10:$M$3209,"&lt;"&amp;$A600+1)))</f>
        <v/>
      </c>
      <c r="AH600">
        <f>IF($B600=0,0,IF(Inputs!$B$10="",0,COUNTIFS(Data!$Q$10:$Q$3209,"&gt;="&amp;$A600,Data!$Q$10:$Q$3209,"&lt;"&amp;$A600+1)))</f>
        <v/>
      </c>
    </row>
    <row r="601">
      <c r="A601" s="55">
        <f>MIN(Inputs!$C$15,$A600+IF(WEEKDAY($A600,2)=5,3,1))</f>
        <v/>
      </c>
      <c r="B601">
        <f>IF($A601&gt;$A600,1,0)</f>
        <v/>
      </c>
      <c r="C601" s="56">
        <f>IF($B601=0,"",IF(Inputs!$B$6="","",IF($AD601=0,C600,SUMIFS(Data!$B$10:$B$3209,Data!$A$10:$A$3209,"&gt;="&amp;$A601,Data!$A$10:$A$3209,"&lt;"&amp;$A601+1)/$AD601)))</f>
        <v/>
      </c>
      <c r="D601" s="56">
        <f>IF($B601=0,"",IF(Inputs!$B$7="","",IF($AE601=0,D600,SUMIFS(Data!$F$10:$F$3209,Data!$E$10:$E$3209,"&gt;="&amp;$A601,Data!$E$10:$E$3209,"&lt;"&amp;$A601+1)/$AE601)))</f>
        <v/>
      </c>
      <c r="E601" s="56">
        <f>IF($B601=0,"",IF(Inputs!$B$8="","",IF($AF601=0,E600,SUMIFS(Data!$J$10:$J$3209,Data!$I$10:$I$3209,"&gt;="&amp;$A601,Data!$I$10:$I$3209,"&lt;"&amp;$A601+1)/$AF601)))</f>
        <v/>
      </c>
      <c r="F601" s="56">
        <f>IF($B601=0,"",IF(Inputs!$B$9="","",IF($AG601=0,F600,SUMIFS(Data!$N$10:$N$3209,Data!$M$10:$M$3209,"&gt;="&amp;$A601,Data!$M$10:$M$3209,"&lt;"&amp;$A601+1)/$AG601)))</f>
        <v/>
      </c>
      <c r="G601" s="56">
        <f>IF($B601=0,"",IF(Inputs!$B$10="","",IF($AH601=0,G600,SUMIFS(Data!$R$10:$R$3209,Data!$Q$10:$Q$3209,"&gt;="&amp;$A601,Data!$Q$10:$Q$3209,"&lt;"&amp;$A601+1)/$AH601)))</f>
        <v/>
      </c>
      <c r="I601" s="54">
        <f>IF($B601=0,NA(),IF($C601="",NA(),IF(C$8="",NA(),IF(N(C$8)=0,NA(),IF(Inputs!$C$17="Rebased to 100",$C601/C$8*100,$C601)))))</f>
        <v/>
      </c>
      <c r="J601" s="54">
        <f>IF($B601=0,NA(),IF($D601="",NA(),IF(D$8="",NA(),IF(N(D$8)=0,NA(),IF(Inputs!$C$17="Rebased to 100",$D601/D$8*100,$D601)))))</f>
        <v/>
      </c>
      <c r="K601" s="54">
        <f>IF($B601=0,NA(),IF($E601="",NA(),IF(E$8="",NA(),IF(N(E$8)=0,NA(),IF(Inputs!$C$17="Rebased to 100",$E601/E$8*100,$E601)))))</f>
        <v/>
      </c>
      <c r="L601" s="54">
        <f>IF($B601=0,NA(),IF($F601="",NA(),IF(F$8="",NA(),IF(N(F$8)=0,NA(),IF(Inputs!$C$17="Rebased to 100",$F601/F$8*100,$F601)))))</f>
        <v/>
      </c>
      <c r="M601" s="54">
        <f>IF($B601=0,NA(),IF($G601="",NA(),IF(G$8="",NA(),IF(N(G$8)=0,NA(),IF(Inputs!$C$17="Rebased to 100",$G601/G$8*100,$G601)))))</f>
        <v/>
      </c>
      <c r="N601" s="54">
        <f>IF($B601=0,NA(),IF(Inputs!$C$18&lt;&gt;"Yes",NA(),IF(COUNT(I601,J601,K601,L601,M601)=0,NA(),MIN(I601,J601,K601,L601,M601))))</f>
        <v/>
      </c>
      <c r="O601" s="54">
        <f>IF($B601=0,NA(),IF(Inputs!$B$24&lt;&gt;"Yes",NA(),Inputs!$D$24*Inputs!$C$35))</f>
        <v/>
      </c>
      <c r="P601" s="54">
        <f>IF($B601=0,NA(),IF(Inputs!$B$25&lt;&gt;"Yes",NA(),Inputs!$D$25*Inputs!$C$35))</f>
        <v/>
      </c>
      <c r="Q601" s="54">
        <f>IF($B601=0,NA(),IF(Inputs!$B$26&lt;&gt;"Yes",NA(),Inputs!$D$26*Inputs!$C$35))</f>
        <v/>
      </c>
      <c r="R601" s="54">
        <f>IF($B601=0,NA(),IF(Inputs!$B$27&lt;&gt;"Yes",NA(),Inputs!$D$27*Inputs!$C$35))</f>
        <v/>
      </c>
      <c r="S601" s="54">
        <f>IF($B601=0,NA(),IF(Inputs!$B$28&lt;&gt;"Yes",NA(),Inputs!$D$28*Inputs!$C$35))</f>
        <v/>
      </c>
      <c r="T601" s="54">
        <f>IF($B601=0,NA(),IF(Inputs!$B$29&lt;&gt;"Yes",NA(),Inputs!$D$29*Inputs!$C$35))</f>
        <v/>
      </c>
      <c r="AD601">
        <f>IF($B601=0,0,IF(Inputs!$B$6="",0,COUNTIFS(Data!$A$10:$A$3209,"&gt;="&amp;$A601,Data!$A$10:$A$3209,"&lt;"&amp;$A601+1)))</f>
        <v/>
      </c>
      <c r="AE601">
        <f>IF($B601=0,0,IF(Inputs!$B$7="",0,COUNTIFS(Data!$E$10:$E$3209,"&gt;="&amp;$A601,Data!$E$10:$E$3209,"&lt;"&amp;$A601+1)))</f>
        <v/>
      </c>
      <c r="AF601">
        <f>IF($B601=0,0,IF(Inputs!$B$8="",0,COUNTIFS(Data!$I$10:$I$3209,"&gt;="&amp;$A601,Data!$I$10:$I$3209,"&lt;"&amp;$A601+1)))</f>
        <v/>
      </c>
      <c r="AG601">
        <f>IF($B601=0,0,IF(Inputs!$B$9="",0,COUNTIFS(Data!$M$10:$M$3209,"&gt;="&amp;$A601,Data!$M$10:$M$3209,"&lt;"&amp;$A601+1)))</f>
        <v/>
      </c>
      <c r="AH601">
        <f>IF($B601=0,0,IF(Inputs!$B$10="",0,COUNTIFS(Data!$Q$10:$Q$3209,"&gt;="&amp;$A601,Data!$Q$10:$Q$3209,"&lt;"&amp;$A601+1)))</f>
        <v/>
      </c>
    </row>
    <row r="602">
      <c r="A602" s="55">
        <f>MIN(Inputs!$C$15,$A601+IF(WEEKDAY($A601,2)=5,3,1))</f>
        <v/>
      </c>
      <c r="B602">
        <f>IF($A602&gt;$A601,1,0)</f>
        <v/>
      </c>
      <c r="C602" s="56">
        <f>IF($B602=0,"",IF(Inputs!$B$6="","",IF($AD602=0,C601,SUMIFS(Data!$B$10:$B$3209,Data!$A$10:$A$3209,"&gt;="&amp;$A602,Data!$A$10:$A$3209,"&lt;"&amp;$A602+1)/$AD602)))</f>
        <v/>
      </c>
      <c r="D602" s="56">
        <f>IF($B602=0,"",IF(Inputs!$B$7="","",IF($AE602=0,D601,SUMIFS(Data!$F$10:$F$3209,Data!$E$10:$E$3209,"&gt;="&amp;$A602,Data!$E$10:$E$3209,"&lt;"&amp;$A602+1)/$AE602)))</f>
        <v/>
      </c>
      <c r="E602" s="56">
        <f>IF($B602=0,"",IF(Inputs!$B$8="","",IF($AF602=0,E601,SUMIFS(Data!$J$10:$J$3209,Data!$I$10:$I$3209,"&gt;="&amp;$A602,Data!$I$10:$I$3209,"&lt;"&amp;$A602+1)/$AF602)))</f>
        <v/>
      </c>
      <c r="F602" s="56">
        <f>IF($B602=0,"",IF(Inputs!$B$9="","",IF($AG602=0,F601,SUMIFS(Data!$N$10:$N$3209,Data!$M$10:$M$3209,"&gt;="&amp;$A602,Data!$M$10:$M$3209,"&lt;"&amp;$A602+1)/$AG602)))</f>
        <v/>
      </c>
      <c r="G602" s="56">
        <f>IF($B602=0,"",IF(Inputs!$B$10="","",IF($AH602=0,G601,SUMIFS(Data!$R$10:$R$3209,Data!$Q$10:$Q$3209,"&gt;="&amp;$A602,Data!$Q$10:$Q$3209,"&lt;"&amp;$A602+1)/$AH602)))</f>
        <v/>
      </c>
      <c r="I602" s="54">
        <f>IF($B602=0,NA(),IF($C602="",NA(),IF(C$8="",NA(),IF(N(C$8)=0,NA(),IF(Inputs!$C$17="Rebased to 100",$C602/C$8*100,$C602)))))</f>
        <v/>
      </c>
      <c r="J602" s="54">
        <f>IF($B602=0,NA(),IF($D602="",NA(),IF(D$8="",NA(),IF(N(D$8)=0,NA(),IF(Inputs!$C$17="Rebased to 100",$D602/D$8*100,$D602)))))</f>
        <v/>
      </c>
      <c r="K602" s="54">
        <f>IF($B602=0,NA(),IF($E602="",NA(),IF(E$8="",NA(),IF(N(E$8)=0,NA(),IF(Inputs!$C$17="Rebased to 100",$E602/E$8*100,$E602)))))</f>
        <v/>
      </c>
      <c r="L602" s="54">
        <f>IF($B602=0,NA(),IF($F602="",NA(),IF(F$8="",NA(),IF(N(F$8)=0,NA(),IF(Inputs!$C$17="Rebased to 100",$F602/F$8*100,$F602)))))</f>
        <v/>
      </c>
      <c r="M602" s="54">
        <f>IF($B602=0,NA(),IF($G602="",NA(),IF(G$8="",NA(),IF(N(G$8)=0,NA(),IF(Inputs!$C$17="Rebased to 100",$G602/G$8*100,$G602)))))</f>
        <v/>
      </c>
      <c r="N602" s="54">
        <f>IF($B602=0,NA(),IF(Inputs!$C$18&lt;&gt;"Yes",NA(),IF(COUNT(I602,J602,K602,L602,M602)=0,NA(),MIN(I602,J602,K602,L602,M602))))</f>
        <v/>
      </c>
      <c r="O602" s="54">
        <f>IF($B602=0,NA(),IF(Inputs!$B$24&lt;&gt;"Yes",NA(),Inputs!$D$24*Inputs!$C$35))</f>
        <v/>
      </c>
      <c r="P602" s="54">
        <f>IF($B602=0,NA(),IF(Inputs!$B$25&lt;&gt;"Yes",NA(),Inputs!$D$25*Inputs!$C$35))</f>
        <v/>
      </c>
      <c r="Q602" s="54">
        <f>IF($B602=0,NA(),IF(Inputs!$B$26&lt;&gt;"Yes",NA(),Inputs!$D$26*Inputs!$C$35))</f>
        <v/>
      </c>
      <c r="R602" s="54">
        <f>IF($B602=0,NA(),IF(Inputs!$B$27&lt;&gt;"Yes",NA(),Inputs!$D$27*Inputs!$C$35))</f>
        <v/>
      </c>
      <c r="S602" s="54">
        <f>IF($B602=0,NA(),IF(Inputs!$B$28&lt;&gt;"Yes",NA(),Inputs!$D$28*Inputs!$C$35))</f>
        <v/>
      </c>
      <c r="T602" s="54">
        <f>IF($B602=0,NA(),IF(Inputs!$B$29&lt;&gt;"Yes",NA(),Inputs!$D$29*Inputs!$C$35))</f>
        <v/>
      </c>
      <c r="AD602">
        <f>IF($B602=0,0,IF(Inputs!$B$6="",0,COUNTIFS(Data!$A$10:$A$3209,"&gt;="&amp;$A602,Data!$A$10:$A$3209,"&lt;"&amp;$A602+1)))</f>
        <v/>
      </c>
      <c r="AE602">
        <f>IF($B602=0,0,IF(Inputs!$B$7="",0,COUNTIFS(Data!$E$10:$E$3209,"&gt;="&amp;$A602,Data!$E$10:$E$3209,"&lt;"&amp;$A602+1)))</f>
        <v/>
      </c>
      <c r="AF602">
        <f>IF($B602=0,0,IF(Inputs!$B$8="",0,COUNTIFS(Data!$I$10:$I$3209,"&gt;="&amp;$A602,Data!$I$10:$I$3209,"&lt;"&amp;$A602+1)))</f>
        <v/>
      </c>
      <c r="AG602">
        <f>IF($B602=0,0,IF(Inputs!$B$9="",0,COUNTIFS(Data!$M$10:$M$3209,"&gt;="&amp;$A602,Data!$M$10:$M$3209,"&lt;"&amp;$A602+1)))</f>
        <v/>
      </c>
      <c r="AH602">
        <f>IF($B602=0,0,IF(Inputs!$B$10="",0,COUNTIFS(Data!$Q$10:$Q$3209,"&gt;="&amp;$A602,Data!$Q$10:$Q$3209,"&lt;"&amp;$A602+1)))</f>
        <v/>
      </c>
    </row>
    <row r="603">
      <c r="A603" s="55">
        <f>MIN(Inputs!$C$15,$A602+IF(WEEKDAY($A602,2)=5,3,1))</f>
        <v/>
      </c>
      <c r="B603">
        <f>IF($A603&gt;$A602,1,0)</f>
        <v/>
      </c>
      <c r="C603" s="56">
        <f>IF($B603=0,"",IF(Inputs!$B$6="","",IF($AD603=0,C602,SUMIFS(Data!$B$10:$B$3209,Data!$A$10:$A$3209,"&gt;="&amp;$A603,Data!$A$10:$A$3209,"&lt;"&amp;$A603+1)/$AD603)))</f>
        <v/>
      </c>
      <c r="D603" s="56">
        <f>IF($B603=0,"",IF(Inputs!$B$7="","",IF($AE603=0,D602,SUMIFS(Data!$F$10:$F$3209,Data!$E$10:$E$3209,"&gt;="&amp;$A603,Data!$E$10:$E$3209,"&lt;"&amp;$A603+1)/$AE603)))</f>
        <v/>
      </c>
      <c r="E603" s="56">
        <f>IF($B603=0,"",IF(Inputs!$B$8="","",IF($AF603=0,E602,SUMIFS(Data!$J$10:$J$3209,Data!$I$10:$I$3209,"&gt;="&amp;$A603,Data!$I$10:$I$3209,"&lt;"&amp;$A603+1)/$AF603)))</f>
        <v/>
      </c>
      <c r="F603" s="56">
        <f>IF($B603=0,"",IF(Inputs!$B$9="","",IF($AG603=0,F602,SUMIFS(Data!$N$10:$N$3209,Data!$M$10:$M$3209,"&gt;="&amp;$A603,Data!$M$10:$M$3209,"&lt;"&amp;$A603+1)/$AG603)))</f>
        <v/>
      </c>
      <c r="G603" s="56">
        <f>IF($B603=0,"",IF(Inputs!$B$10="","",IF($AH603=0,G602,SUMIFS(Data!$R$10:$R$3209,Data!$Q$10:$Q$3209,"&gt;="&amp;$A603,Data!$Q$10:$Q$3209,"&lt;"&amp;$A603+1)/$AH603)))</f>
        <v/>
      </c>
      <c r="I603" s="54">
        <f>IF($B603=0,NA(),IF($C603="",NA(),IF(C$8="",NA(),IF(N(C$8)=0,NA(),IF(Inputs!$C$17="Rebased to 100",$C603/C$8*100,$C603)))))</f>
        <v/>
      </c>
      <c r="J603" s="54">
        <f>IF($B603=0,NA(),IF($D603="",NA(),IF(D$8="",NA(),IF(N(D$8)=0,NA(),IF(Inputs!$C$17="Rebased to 100",$D603/D$8*100,$D603)))))</f>
        <v/>
      </c>
      <c r="K603" s="54">
        <f>IF($B603=0,NA(),IF($E603="",NA(),IF(E$8="",NA(),IF(N(E$8)=0,NA(),IF(Inputs!$C$17="Rebased to 100",$E603/E$8*100,$E603)))))</f>
        <v/>
      </c>
      <c r="L603" s="54">
        <f>IF($B603=0,NA(),IF($F603="",NA(),IF(F$8="",NA(),IF(N(F$8)=0,NA(),IF(Inputs!$C$17="Rebased to 100",$F603/F$8*100,$F603)))))</f>
        <v/>
      </c>
      <c r="M603" s="54">
        <f>IF($B603=0,NA(),IF($G603="",NA(),IF(G$8="",NA(),IF(N(G$8)=0,NA(),IF(Inputs!$C$17="Rebased to 100",$G603/G$8*100,$G603)))))</f>
        <v/>
      </c>
      <c r="N603" s="54">
        <f>IF($B603=0,NA(),IF(Inputs!$C$18&lt;&gt;"Yes",NA(),IF(COUNT(I603,J603,K603,L603,M603)=0,NA(),MIN(I603,J603,K603,L603,M603))))</f>
        <v/>
      </c>
      <c r="O603" s="54">
        <f>IF($B603=0,NA(),IF(Inputs!$B$24&lt;&gt;"Yes",NA(),Inputs!$D$24*Inputs!$C$35))</f>
        <v/>
      </c>
      <c r="P603" s="54">
        <f>IF($B603=0,NA(),IF(Inputs!$B$25&lt;&gt;"Yes",NA(),Inputs!$D$25*Inputs!$C$35))</f>
        <v/>
      </c>
      <c r="Q603" s="54">
        <f>IF($B603=0,NA(),IF(Inputs!$B$26&lt;&gt;"Yes",NA(),Inputs!$D$26*Inputs!$C$35))</f>
        <v/>
      </c>
      <c r="R603" s="54">
        <f>IF($B603=0,NA(),IF(Inputs!$B$27&lt;&gt;"Yes",NA(),Inputs!$D$27*Inputs!$C$35))</f>
        <v/>
      </c>
      <c r="S603" s="54">
        <f>IF($B603=0,NA(),IF(Inputs!$B$28&lt;&gt;"Yes",NA(),Inputs!$D$28*Inputs!$C$35))</f>
        <v/>
      </c>
      <c r="T603" s="54">
        <f>IF($B603=0,NA(),IF(Inputs!$B$29&lt;&gt;"Yes",NA(),Inputs!$D$29*Inputs!$C$35))</f>
        <v/>
      </c>
      <c r="AD603">
        <f>IF($B603=0,0,IF(Inputs!$B$6="",0,COUNTIFS(Data!$A$10:$A$3209,"&gt;="&amp;$A603,Data!$A$10:$A$3209,"&lt;"&amp;$A603+1)))</f>
        <v/>
      </c>
      <c r="AE603">
        <f>IF($B603=0,0,IF(Inputs!$B$7="",0,COUNTIFS(Data!$E$10:$E$3209,"&gt;="&amp;$A603,Data!$E$10:$E$3209,"&lt;"&amp;$A603+1)))</f>
        <v/>
      </c>
      <c r="AF603">
        <f>IF($B603=0,0,IF(Inputs!$B$8="",0,COUNTIFS(Data!$I$10:$I$3209,"&gt;="&amp;$A603,Data!$I$10:$I$3209,"&lt;"&amp;$A603+1)))</f>
        <v/>
      </c>
      <c r="AG603">
        <f>IF($B603=0,0,IF(Inputs!$B$9="",0,COUNTIFS(Data!$M$10:$M$3209,"&gt;="&amp;$A603,Data!$M$10:$M$3209,"&lt;"&amp;$A603+1)))</f>
        <v/>
      </c>
      <c r="AH603">
        <f>IF($B603=0,0,IF(Inputs!$B$10="",0,COUNTIFS(Data!$Q$10:$Q$3209,"&gt;="&amp;$A603,Data!$Q$10:$Q$3209,"&lt;"&amp;$A603+1)))</f>
        <v/>
      </c>
    </row>
    <row r="604">
      <c r="A604" s="55">
        <f>MIN(Inputs!$C$15,$A603+IF(WEEKDAY($A603,2)=5,3,1))</f>
        <v/>
      </c>
      <c r="B604">
        <f>IF($A604&gt;$A603,1,0)</f>
        <v/>
      </c>
      <c r="C604" s="56">
        <f>IF($B604=0,"",IF(Inputs!$B$6="","",IF($AD604=0,C603,SUMIFS(Data!$B$10:$B$3209,Data!$A$10:$A$3209,"&gt;="&amp;$A604,Data!$A$10:$A$3209,"&lt;"&amp;$A604+1)/$AD604)))</f>
        <v/>
      </c>
      <c r="D604" s="56">
        <f>IF($B604=0,"",IF(Inputs!$B$7="","",IF($AE604=0,D603,SUMIFS(Data!$F$10:$F$3209,Data!$E$10:$E$3209,"&gt;="&amp;$A604,Data!$E$10:$E$3209,"&lt;"&amp;$A604+1)/$AE604)))</f>
        <v/>
      </c>
      <c r="E604" s="56">
        <f>IF($B604=0,"",IF(Inputs!$B$8="","",IF($AF604=0,E603,SUMIFS(Data!$J$10:$J$3209,Data!$I$10:$I$3209,"&gt;="&amp;$A604,Data!$I$10:$I$3209,"&lt;"&amp;$A604+1)/$AF604)))</f>
        <v/>
      </c>
      <c r="F604" s="56">
        <f>IF($B604=0,"",IF(Inputs!$B$9="","",IF($AG604=0,F603,SUMIFS(Data!$N$10:$N$3209,Data!$M$10:$M$3209,"&gt;="&amp;$A604,Data!$M$10:$M$3209,"&lt;"&amp;$A604+1)/$AG604)))</f>
        <v/>
      </c>
      <c r="G604" s="56">
        <f>IF($B604=0,"",IF(Inputs!$B$10="","",IF($AH604=0,G603,SUMIFS(Data!$R$10:$R$3209,Data!$Q$10:$Q$3209,"&gt;="&amp;$A604,Data!$Q$10:$Q$3209,"&lt;"&amp;$A604+1)/$AH604)))</f>
        <v/>
      </c>
      <c r="I604" s="54">
        <f>IF($B604=0,NA(),IF($C604="",NA(),IF(C$8="",NA(),IF(N(C$8)=0,NA(),IF(Inputs!$C$17="Rebased to 100",$C604/C$8*100,$C604)))))</f>
        <v/>
      </c>
      <c r="J604" s="54">
        <f>IF($B604=0,NA(),IF($D604="",NA(),IF(D$8="",NA(),IF(N(D$8)=0,NA(),IF(Inputs!$C$17="Rebased to 100",$D604/D$8*100,$D604)))))</f>
        <v/>
      </c>
      <c r="K604" s="54">
        <f>IF($B604=0,NA(),IF($E604="",NA(),IF(E$8="",NA(),IF(N(E$8)=0,NA(),IF(Inputs!$C$17="Rebased to 100",$E604/E$8*100,$E604)))))</f>
        <v/>
      </c>
      <c r="L604" s="54">
        <f>IF($B604=0,NA(),IF($F604="",NA(),IF(F$8="",NA(),IF(N(F$8)=0,NA(),IF(Inputs!$C$17="Rebased to 100",$F604/F$8*100,$F604)))))</f>
        <v/>
      </c>
      <c r="M604" s="54">
        <f>IF($B604=0,NA(),IF($G604="",NA(),IF(G$8="",NA(),IF(N(G$8)=0,NA(),IF(Inputs!$C$17="Rebased to 100",$G604/G$8*100,$G604)))))</f>
        <v/>
      </c>
      <c r="N604" s="54">
        <f>IF($B604=0,NA(),IF(Inputs!$C$18&lt;&gt;"Yes",NA(),IF(COUNT(I604,J604,K604,L604,M604)=0,NA(),MIN(I604,J604,K604,L604,M604))))</f>
        <v/>
      </c>
      <c r="O604" s="54">
        <f>IF($B604=0,NA(),IF(Inputs!$B$24&lt;&gt;"Yes",NA(),Inputs!$D$24*Inputs!$C$35))</f>
        <v/>
      </c>
      <c r="P604" s="54">
        <f>IF($B604=0,NA(),IF(Inputs!$B$25&lt;&gt;"Yes",NA(),Inputs!$D$25*Inputs!$C$35))</f>
        <v/>
      </c>
      <c r="Q604" s="54">
        <f>IF($B604=0,NA(),IF(Inputs!$B$26&lt;&gt;"Yes",NA(),Inputs!$D$26*Inputs!$C$35))</f>
        <v/>
      </c>
      <c r="R604" s="54">
        <f>IF($B604=0,NA(),IF(Inputs!$B$27&lt;&gt;"Yes",NA(),Inputs!$D$27*Inputs!$C$35))</f>
        <v/>
      </c>
      <c r="S604" s="54">
        <f>IF($B604=0,NA(),IF(Inputs!$B$28&lt;&gt;"Yes",NA(),Inputs!$D$28*Inputs!$C$35))</f>
        <v/>
      </c>
      <c r="T604" s="54">
        <f>IF($B604=0,NA(),IF(Inputs!$B$29&lt;&gt;"Yes",NA(),Inputs!$D$29*Inputs!$C$35))</f>
        <v/>
      </c>
      <c r="AD604">
        <f>IF($B604=0,0,IF(Inputs!$B$6="",0,COUNTIFS(Data!$A$10:$A$3209,"&gt;="&amp;$A604,Data!$A$10:$A$3209,"&lt;"&amp;$A604+1)))</f>
        <v/>
      </c>
      <c r="AE604">
        <f>IF($B604=0,0,IF(Inputs!$B$7="",0,COUNTIFS(Data!$E$10:$E$3209,"&gt;="&amp;$A604,Data!$E$10:$E$3209,"&lt;"&amp;$A604+1)))</f>
        <v/>
      </c>
      <c r="AF604">
        <f>IF($B604=0,0,IF(Inputs!$B$8="",0,COUNTIFS(Data!$I$10:$I$3209,"&gt;="&amp;$A604,Data!$I$10:$I$3209,"&lt;"&amp;$A604+1)))</f>
        <v/>
      </c>
      <c r="AG604">
        <f>IF($B604=0,0,IF(Inputs!$B$9="",0,COUNTIFS(Data!$M$10:$M$3209,"&gt;="&amp;$A604,Data!$M$10:$M$3209,"&lt;"&amp;$A604+1)))</f>
        <v/>
      </c>
      <c r="AH604">
        <f>IF($B604=0,0,IF(Inputs!$B$10="",0,COUNTIFS(Data!$Q$10:$Q$3209,"&gt;="&amp;$A604,Data!$Q$10:$Q$3209,"&lt;"&amp;$A604+1)))</f>
        <v/>
      </c>
    </row>
    <row r="605">
      <c r="A605" s="55">
        <f>MIN(Inputs!$C$15,$A604+IF(WEEKDAY($A604,2)=5,3,1))</f>
        <v/>
      </c>
      <c r="B605">
        <f>IF($A605&gt;$A604,1,0)</f>
        <v/>
      </c>
      <c r="C605" s="56">
        <f>IF($B605=0,"",IF(Inputs!$B$6="","",IF($AD605=0,C604,SUMIFS(Data!$B$10:$B$3209,Data!$A$10:$A$3209,"&gt;="&amp;$A605,Data!$A$10:$A$3209,"&lt;"&amp;$A605+1)/$AD605)))</f>
        <v/>
      </c>
      <c r="D605" s="56">
        <f>IF($B605=0,"",IF(Inputs!$B$7="","",IF($AE605=0,D604,SUMIFS(Data!$F$10:$F$3209,Data!$E$10:$E$3209,"&gt;="&amp;$A605,Data!$E$10:$E$3209,"&lt;"&amp;$A605+1)/$AE605)))</f>
        <v/>
      </c>
      <c r="E605" s="56">
        <f>IF($B605=0,"",IF(Inputs!$B$8="","",IF($AF605=0,E604,SUMIFS(Data!$J$10:$J$3209,Data!$I$10:$I$3209,"&gt;="&amp;$A605,Data!$I$10:$I$3209,"&lt;"&amp;$A605+1)/$AF605)))</f>
        <v/>
      </c>
      <c r="F605" s="56">
        <f>IF($B605=0,"",IF(Inputs!$B$9="","",IF($AG605=0,F604,SUMIFS(Data!$N$10:$N$3209,Data!$M$10:$M$3209,"&gt;="&amp;$A605,Data!$M$10:$M$3209,"&lt;"&amp;$A605+1)/$AG605)))</f>
        <v/>
      </c>
      <c r="G605" s="56">
        <f>IF($B605=0,"",IF(Inputs!$B$10="","",IF($AH605=0,G604,SUMIFS(Data!$R$10:$R$3209,Data!$Q$10:$Q$3209,"&gt;="&amp;$A605,Data!$Q$10:$Q$3209,"&lt;"&amp;$A605+1)/$AH605)))</f>
        <v/>
      </c>
      <c r="I605" s="54">
        <f>IF($B605=0,NA(),IF($C605="",NA(),IF(C$8="",NA(),IF(N(C$8)=0,NA(),IF(Inputs!$C$17="Rebased to 100",$C605/C$8*100,$C605)))))</f>
        <v/>
      </c>
      <c r="J605" s="54">
        <f>IF($B605=0,NA(),IF($D605="",NA(),IF(D$8="",NA(),IF(N(D$8)=0,NA(),IF(Inputs!$C$17="Rebased to 100",$D605/D$8*100,$D605)))))</f>
        <v/>
      </c>
      <c r="K605" s="54">
        <f>IF($B605=0,NA(),IF($E605="",NA(),IF(E$8="",NA(),IF(N(E$8)=0,NA(),IF(Inputs!$C$17="Rebased to 100",$E605/E$8*100,$E605)))))</f>
        <v/>
      </c>
      <c r="L605" s="54">
        <f>IF($B605=0,NA(),IF($F605="",NA(),IF(F$8="",NA(),IF(N(F$8)=0,NA(),IF(Inputs!$C$17="Rebased to 100",$F605/F$8*100,$F605)))))</f>
        <v/>
      </c>
      <c r="M605" s="54">
        <f>IF($B605=0,NA(),IF($G605="",NA(),IF(G$8="",NA(),IF(N(G$8)=0,NA(),IF(Inputs!$C$17="Rebased to 100",$G605/G$8*100,$G605)))))</f>
        <v/>
      </c>
      <c r="N605" s="54">
        <f>IF($B605=0,NA(),IF(Inputs!$C$18&lt;&gt;"Yes",NA(),IF(COUNT(I605,J605,K605,L605,M605)=0,NA(),MIN(I605,J605,K605,L605,M605))))</f>
        <v/>
      </c>
      <c r="O605" s="54">
        <f>IF($B605=0,NA(),IF(Inputs!$B$24&lt;&gt;"Yes",NA(),Inputs!$D$24*Inputs!$C$35))</f>
        <v/>
      </c>
      <c r="P605" s="54">
        <f>IF($B605=0,NA(),IF(Inputs!$B$25&lt;&gt;"Yes",NA(),Inputs!$D$25*Inputs!$C$35))</f>
        <v/>
      </c>
      <c r="Q605" s="54">
        <f>IF($B605=0,NA(),IF(Inputs!$B$26&lt;&gt;"Yes",NA(),Inputs!$D$26*Inputs!$C$35))</f>
        <v/>
      </c>
      <c r="R605" s="54">
        <f>IF($B605=0,NA(),IF(Inputs!$B$27&lt;&gt;"Yes",NA(),Inputs!$D$27*Inputs!$C$35))</f>
        <v/>
      </c>
      <c r="S605" s="54">
        <f>IF($B605=0,NA(),IF(Inputs!$B$28&lt;&gt;"Yes",NA(),Inputs!$D$28*Inputs!$C$35))</f>
        <v/>
      </c>
      <c r="T605" s="54">
        <f>IF($B605=0,NA(),IF(Inputs!$B$29&lt;&gt;"Yes",NA(),Inputs!$D$29*Inputs!$C$35))</f>
        <v/>
      </c>
      <c r="AD605">
        <f>IF($B605=0,0,IF(Inputs!$B$6="",0,COUNTIFS(Data!$A$10:$A$3209,"&gt;="&amp;$A605,Data!$A$10:$A$3209,"&lt;"&amp;$A605+1)))</f>
        <v/>
      </c>
      <c r="AE605">
        <f>IF($B605=0,0,IF(Inputs!$B$7="",0,COUNTIFS(Data!$E$10:$E$3209,"&gt;="&amp;$A605,Data!$E$10:$E$3209,"&lt;"&amp;$A605+1)))</f>
        <v/>
      </c>
      <c r="AF605">
        <f>IF($B605=0,0,IF(Inputs!$B$8="",0,COUNTIFS(Data!$I$10:$I$3209,"&gt;="&amp;$A605,Data!$I$10:$I$3209,"&lt;"&amp;$A605+1)))</f>
        <v/>
      </c>
      <c r="AG605">
        <f>IF($B605=0,0,IF(Inputs!$B$9="",0,COUNTIFS(Data!$M$10:$M$3209,"&gt;="&amp;$A605,Data!$M$10:$M$3209,"&lt;"&amp;$A605+1)))</f>
        <v/>
      </c>
      <c r="AH605">
        <f>IF($B605=0,0,IF(Inputs!$B$10="",0,COUNTIFS(Data!$Q$10:$Q$3209,"&gt;="&amp;$A605,Data!$Q$10:$Q$3209,"&lt;"&amp;$A605+1)))</f>
        <v/>
      </c>
    </row>
    <row r="606">
      <c r="A606" s="55">
        <f>MIN(Inputs!$C$15,$A605+IF(WEEKDAY($A605,2)=5,3,1))</f>
        <v/>
      </c>
      <c r="B606">
        <f>IF($A606&gt;$A605,1,0)</f>
        <v/>
      </c>
      <c r="C606" s="56">
        <f>IF($B606=0,"",IF(Inputs!$B$6="","",IF($AD606=0,C605,SUMIFS(Data!$B$10:$B$3209,Data!$A$10:$A$3209,"&gt;="&amp;$A606,Data!$A$10:$A$3209,"&lt;"&amp;$A606+1)/$AD606)))</f>
        <v/>
      </c>
      <c r="D606" s="56">
        <f>IF($B606=0,"",IF(Inputs!$B$7="","",IF($AE606=0,D605,SUMIFS(Data!$F$10:$F$3209,Data!$E$10:$E$3209,"&gt;="&amp;$A606,Data!$E$10:$E$3209,"&lt;"&amp;$A606+1)/$AE606)))</f>
        <v/>
      </c>
      <c r="E606" s="56">
        <f>IF($B606=0,"",IF(Inputs!$B$8="","",IF($AF606=0,E605,SUMIFS(Data!$J$10:$J$3209,Data!$I$10:$I$3209,"&gt;="&amp;$A606,Data!$I$10:$I$3209,"&lt;"&amp;$A606+1)/$AF606)))</f>
        <v/>
      </c>
      <c r="F606" s="56">
        <f>IF($B606=0,"",IF(Inputs!$B$9="","",IF($AG606=0,F605,SUMIFS(Data!$N$10:$N$3209,Data!$M$10:$M$3209,"&gt;="&amp;$A606,Data!$M$10:$M$3209,"&lt;"&amp;$A606+1)/$AG606)))</f>
        <v/>
      </c>
      <c r="G606" s="56">
        <f>IF($B606=0,"",IF(Inputs!$B$10="","",IF($AH606=0,G605,SUMIFS(Data!$R$10:$R$3209,Data!$Q$10:$Q$3209,"&gt;="&amp;$A606,Data!$Q$10:$Q$3209,"&lt;"&amp;$A606+1)/$AH606)))</f>
        <v/>
      </c>
      <c r="I606" s="54">
        <f>IF($B606=0,NA(),IF($C606="",NA(),IF(C$8="",NA(),IF(N(C$8)=0,NA(),IF(Inputs!$C$17="Rebased to 100",$C606/C$8*100,$C606)))))</f>
        <v/>
      </c>
      <c r="J606" s="54">
        <f>IF($B606=0,NA(),IF($D606="",NA(),IF(D$8="",NA(),IF(N(D$8)=0,NA(),IF(Inputs!$C$17="Rebased to 100",$D606/D$8*100,$D606)))))</f>
        <v/>
      </c>
      <c r="K606" s="54">
        <f>IF($B606=0,NA(),IF($E606="",NA(),IF(E$8="",NA(),IF(N(E$8)=0,NA(),IF(Inputs!$C$17="Rebased to 100",$E606/E$8*100,$E606)))))</f>
        <v/>
      </c>
      <c r="L606" s="54">
        <f>IF($B606=0,NA(),IF($F606="",NA(),IF(F$8="",NA(),IF(N(F$8)=0,NA(),IF(Inputs!$C$17="Rebased to 100",$F606/F$8*100,$F606)))))</f>
        <v/>
      </c>
      <c r="M606" s="54">
        <f>IF($B606=0,NA(),IF($G606="",NA(),IF(G$8="",NA(),IF(N(G$8)=0,NA(),IF(Inputs!$C$17="Rebased to 100",$G606/G$8*100,$G606)))))</f>
        <v/>
      </c>
      <c r="N606" s="54">
        <f>IF($B606=0,NA(),IF(Inputs!$C$18&lt;&gt;"Yes",NA(),IF(COUNT(I606,J606,K606,L606,M606)=0,NA(),MIN(I606,J606,K606,L606,M606))))</f>
        <v/>
      </c>
      <c r="O606" s="54">
        <f>IF($B606=0,NA(),IF(Inputs!$B$24&lt;&gt;"Yes",NA(),Inputs!$D$24*Inputs!$C$35))</f>
        <v/>
      </c>
      <c r="P606" s="54">
        <f>IF($B606=0,NA(),IF(Inputs!$B$25&lt;&gt;"Yes",NA(),Inputs!$D$25*Inputs!$C$35))</f>
        <v/>
      </c>
      <c r="Q606" s="54">
        <f>IF($B606=0,NA(),IF(Inputs!$B$26&lt;&gt;"Yes",NA(),Inputs!$D$26*Inputs!$C$35))</f>
        <v/>
      </c>
      <c r="R606" s="54">
        <f>IF($B606=0,NA(),IF(Inputs!$B$27&lt;&gt;"Yes",NA(),Inputs!$D$27*Inputs!$C$35))</f>
        <v/>
      </c>
      <c r="S606" s="54">
        <f>IF($B606=0,NA(),IF(Inputs!$B$28&lt;&gt;"Yes",NA(),Inputs!$D$28*Inputs!$C$35))</f>
        <v/>
      </c>
      <c r="T606" s="54">
        <f>IF($B606=0,NA(),IF(Inputs!$B$29&lt;&gt;"Yes",NA(),Inputs!$D$29*Inputs!$C$35))</f>
        <v/>
      </c>
      <c r="AD606">
        <f>IF($B606=0,0,IF(Inputs!$B$6="",0,COUNTIFS(Data!$A$10:$A$3209,"&gt;="&amp;$A606,Data!$A$10:$A$3209,"&lt;"&amp;$A606+1)))</f>
        <v/>
      </c>
      <c r="AE606">
        <f>IF($B606=0,0,IF(Inputs!$B$7="",0,COUNTIFS(Data!$E$10:$E$3209,"&gt;="&amp;$A606,Data!$E$10:$E$3209,"&lt;"&amp;$A606+1)))</f>
        <v/>
      </c>
      <c r="AF606">
        <f>IF($B606=0,0,IF(Inputs!$B$8="",0,COUNTIFS(Data!$I$10:$I$3209,"&gt;="&amp;$A606,Data!$I$10:$I$3209,"&lt;"&amp;$A606+1)))</f>
        <v/>
      </c>
      <c r="AG606">
        <f>IF($B606=0,0,IF(Inputs!$B$9="",0,COUNTIFS(Data!$M$10:$M$3209,"&gt;="&amp;$A606,Data!$M$10:$M$3209,"&lt;"&amp;$A606+1)))</f>
        <v/>
      </c>
      <c r="AH606">
        <f>IF($B606=0,0,IF(Inputs!$B$10="",0,COUNTIFS(Data!$Q$10:$Q$3209,"&gt;="&amp;$A606,Data!$Q$10:$Q$3209,"&lt;"&amp;$A606+1)))</f>
        <v/>
      </c>
    </row>
    <row r="607">
      <c r="A607" s="55">
        <f>MIN(Inputs!$C$15,$A606+IF(WEEKDAY($A606,2)=5,3,1))</f>
        <v/>
      </c>
      <c r="B607">
        <f>IF($A607&gt;$A606,1,0)</f>
        <v/>
      </c>
      <c r="C607" s="56">
        <f>IF($B607=0,"",IF(Inputs!$B$6="","",IF($AD607=0,C606,SUMIFS(Data!$B$10:$B$3209,Data!$A$10:$A$3209,"&gt;="&amp;$A607,Data!$A$10:$A$3209,"&lt;"&amp;$A607+1)/$AD607)))</f>
        <v/>
      </c>
      <c r="D607" s="56">
        <f>IF($B607=0,"",IF(Inputs!$B$7="","",IF($AE607=0,D606,SUMIFS(Data!$F$10:$F$3209,Data!$E$10:$E$3209,"&gt;="&amp;$A607,Data!$E$10:$E$3209,"&lt;"&amp;$A607+1)/$AE607)))</f>
        <v/>
      </c>
      <c r="E607" s="56">
        <f>IF($B607=0,"",IF(Inputs!$B$8="","",IF($AF607=0,E606,SUMIFS(Data!$J$10:$J$3209,Data!$I$10:$I$3209,"&gt;="&amp;$A607,Data!$I$10:$I$3209,"&lt;"&amp;$A607+1)/$AF607)))</f>
        <v/>
      </c>
      <c r="F607" s="56">
        <f>IF($B607=0,"",IF(Inputs!$B$9="","",IF($AG607=0,F606,SUMIFS(Data!$N$10:$N$3209,Data!$M$10:$M$3209,"&gt;="&amp;$A607,Data!$M$10:$M$3209,"&lt;"&amp;$A607+1)/$AG607)))</f>
        <v/>
      </c>
      <c r="G607" s="56">
        <f>IF($B607=0,"",IF(Inputs!$B$10="","",IF($AH607=0,G606,SUMIFS(Data!$R$10:$R$3209,Data!$Q$10:$Q$3209,"&gt;="&amp;$A607,Data!$Q$10:$Q$3209,"&lt;"&amp;$A607+1)/$AH607)))</f>
        <v/>
      </c>
      <c r="I607" s="54">
        <f>IF($B607=0,NA(),IF($C607="",NA(),IF(C$8="",NA(),IF(N(C$8)=0,NA(),IF(Inputs!$C$17="Rebased to 100",$C607/C$8*100,$C607)))))</f>
        <v/>
      </c>
      <c r="J607" s="54">
        <f>IF($B607=0,NA(),IF($D607="",NA(),IF(D$8="",NA(),IF(N(D$8)=0,NA(),IF(Inputs!$C$17="Rebased to 100",$D607/D$8*100,$D607)))))</f>
        <v/>
      </c>
      <c r="K607" s="54">
        <f>IF($B607=0,NA(),IF($E607="",NA(),IF(E$8="",NA(),IF(N(E$8)=0,NA(),IF(Inputs!$C$17="Rebased to 100",$E607/E$8*100,$E607)))))</f>
        <v/>
      </c>
      <c r="L607" s="54">
        <f>IF($B607=0,NA(),IF($F607="",NA(),IF(F$8="",NA(),IF(N(F$8)=0,NA(),IF(Inputs!$C$17="Rebased to 100",$F607/F$8*100,$F607)))))</f>
        <v/>
      </c>
      <c r="M607" s="54">
        <f>IF($B607=0,NA(),IF($G607="",NA(),IF(G$8="",NA(),IF(N(G$8)=0,NA(),IF(Inputs!$C$17="Rebased to 100",$G607/G$8*100,$G607)))))</f>
        <v/>
      </c>
      <c r="N607" s="54">
        <f>IF($B607=0,NA(),IF(Inputs!$C$18&lt;&gt;"Yes",NA(),IF(COUNT(I607,J607,K607,L607,M607)=0,NA(),MIN(I607,J607,K607,L607,M607))))</f>
        <v/>
      </c>
      <c r="O607" s="54">
        <f>IF($B607=0,NA(),IF(Inputs!$B$24&lt;&gt;"Yes",NA(),Inputs!$D$24*Inputs!$C$35))</f>
        <v/>
      </c>
      <c r="P607" s="54">
        <f>IF($B607=0,NA(),IF(Inputs!$B$25&lt;&gt;"Yes",NA(),Inputs!$D$25*Inputs!$C$35))</f>
        <v/>
      </c>
      <c r="Q607" s="54">
        <f>IF($B607=0,NA(),IF(Inputs!$B$26&lt;&gt;"Yes",NA(),Inputs!$D$26*Inputs!$C$35))</f>
        <v/>
      </c>
      <c r="R607" s="54">
        <f>IF($B607=0,NA(),IF(Inputs!$B$27&lt;&gt;"Yes",NA(),Inputs!$D$27*Inputs!$C$35))</f>
        <v/>
      </c>
      <c r="S607" s="54">
        <f>IF($B607=0,NA(),IF(Inputs!$B$28&lt;&gt;"Yes",NA(),Inputs!$D$28*Inputs!$C$35))</f>
        <v/>
      </c>
      <c r="T607" s="54">
        <f>IF($B607=0,NA(),IF(Inputs!$B$29&lt;&gt;"Yes",NA(),Inputs!$D$29*Inputs!$C$35))</f>
        <v/>
      </c>
      <c r="AD607">
        <f>IF($B607=0,0,IF(Inputs!$B$6="",0,COUNTIFS(Data!$A$10:$A$3209,"&gt;="&amp;$A607,Data!$A$10:$A$3209,"&lt;"&amp;$A607+1)))</f>
        <v/>
      </c>
      <c r="AE607">
        <f>IF($B607=0,0,IF(Inputs!$B$7="",0,COUNTIFS(Data!$E$10:$E$3209,"&gt;="&amp;$A607,Data!$E$10:$E$3209,"&lt;"&amp;$A607+1)))</f>
        <v/>
      </c>
      <c r="AF607">
        <f>IF($B607=0,0,IF(Inputs!$B$8="",0,COUNTIFS(Data!$I$10:$I$3209,"&gt;="&amp;$A607,Data!$I$10:$I$3209,"&lt;"&amp;$A607+1)))</f>
        <v/>
      </c>
      <c r="AG607">
        <f>IF($B607=0,0,IF(Inputs!$B$9="",0,COUNTIFS(Data!$M$10:$M$3209,"&gt;="&amp;$A607,Data!$M$10:$M$3209,"&lt;"&amp;$A607+1)))</f>
        <v/>
      </c>
      <c r="AH607">
        <f>IF($B607=0,0,IF(Inputs!$B$10="",0,COUNTIFS(Data!$Q$10:$Q$3209,"&gt;="&amp;$A607,Data!$Q$10:$Q$3209,"&lt;"&amp;$A607+1)))</f>
        <v/>
      </c>
    </row>
    <row r="608">
      <c r="A608" s="55">
        <f>MIN(Inputs!$C$15,$A607+IF(WEEKDAY($A607,2)=5,3,1))</f>
        <v/>
      </c>
      <c r="B608">
        <f>IF($A608&gt;$A607,1,0)</f>
        <v/>
      </c>
      <c r="C608" s="56">
        <f>IF($B608=0,"",IF(Inputs!$B$6="","",IF($AD608=0,C607,SUMIFS(Data!$B$10:$B$3209,Data!$A$10:$A$3209,"&gt;="&amp;$A608,Data!$A$10:$A$3209,"&lt;"&amp;$A608+1)/$AD608)))</f>
        <v/>
      </c>
      <c r="D608" s="56">
        <f>IF($B608=0,"",IF(Inputs!$B$7="","",IF($AE608=0,D607,SUMIFS(Data!$F$10:$F$3209,Data!$E$10:$E$3209,"&gt;="&amp;$A608,Data!$E$10:$E$3209,"&lt;"&amp;$A608+1)/$AE608)))</f>
        <v/>
      </c>
      <c r="E608" s="56">
        <f>IF($B608=0,"",IF(Inputs!$B$8="","",IF($AF608=0,E607,SUMIFS(Data!$J$10:$J$3209,Data!$I$10:$I$3209,"&gt;="&amp;$A608,Data!$I$10:$I$3209,"&lt;"&amp;$A608+1)/$AF608)))</f>
        <v/>
      </c>
      <c r="F608" s="56">
        <f>IF($B608=0,"",IF(Inputs!$B$9="","",IF($AG608=0,F607,SUMIFS(Data!$N$10:$N$3209,Data!$M$10:$M$3209,"&gt;="&amp;$A608,Data!$M$10:$M$3209,"&lt;"&amp;$A608+1)/$AG608)))</f>
        <v/>
      </c>
      <c r="G608" s="56">
        <f>IF($B608=0,"",IF(Inputs!$B$10="","",IF($AH608=0,G607,SUMIFS(Data!$R$10:$R$3209,Data!$Q$10:$Q$3209,"&gt;="&amp;$A608,Data!$Q$10:$Q$3209,"&lt;"&amp;$A608+1)/$AH608)))</f>
        <v/>
      </c>
      <c r="I608" s="54">
        <f>IF($B608=0,NA(),IF($C608="",NA(),IF(C$8="",NA(),IF(N(C$8)=0,NA(),IF(Inputs!$C$17="Rebased to 100",$C608/C$8*100,$C608)))))</f>
        <v/>
      </c>
      <c r="J608" s="54">
        <f>IF($B608=0,NA(),IF($D608="",NA(),IF(D$8="",NA(),IF(N(D$8)=0,NA(),IF(Inputs!$C$17="Rebased to 100",$D608/D$8*100,$D608)))))</f>
        <v/>
      </c>
      <c r="K608" s="54">
        <f>IF($B608=0,NA(),IF($E608="",NA(),IF(E$8="",NA(),IF(N(E$8)=0,NA(),IF(Inputs!$C$17="Rebased to 100",$E608/E$8*100,$E608)))))</f>
        <v/>
      </c>
      <c r="L608" s="54">
        <f>IF($B608=0,NA(),IF($F608="",NA(),IF(F$8="",NA(),IF(N(F$8)=0,NA(),IF(Inputs!$C$17="Rebased to 100",$F608/F$8*100,$F608)))))</f>
        <v/>
      </c>
      <c r="M608" s="54">
        <f>IF($B608=0,NA(),IF($G608="",NA(),IF(G$8="",NA(),IF(N(G$8)=0,NA(),IF(Inputs!$C$17="Rebased to 100",$G608/G$8*100,$G608)))))</f>
        <v/>
      </c>
      <c r="N608" s="54">
        <f>IF($B608=0,NA(),IF(Inputs!$C$18&lt;&gt;"Yes",NA(),IF(COUNT(I608,J608,K608,L608,M608)=0,NA(),MIN(I608,J608,K608,L608,M608))))</f>
        <v/>
      </c>
      <c r="O608" s="54">
        <f>IF($B608=0,NA(),IF(Inputs!$B$24&lt;&gt;"Yes",NA(),Inputs!$D$24*Inputs!$C$35))</f>
        <v/>
      </c>
      <c r="P608" s="54">
        <f>IF($B608=0,NA(),IF(Inputs!$B$25&lt;&gt;"Yes",NA(),Inputs!$D$25*Inputs!$C$35))</f>
        <v/>
      </c>
      <c r="Q608" s="54">
        <f>IF($B608=0,NA(),IF(Inputs!$B$26&lt;&gt;"Yes",NA(),Inputs!$D$26*Inputs!$C$35))</f>
        <v/>
      </c>
      <c r="R608" s="54">
        <f>IF($B608=0,NA(),IF(Inputs!$B$27&lt;&gt;"Yes",NA(),Inputs!$D$27*Inputs!$C$35))</f>
        <v/>
      </c>
      <c r="S608" s="54">
        <f>IF($B608=0,NA(),IF(Inputs!$B$28&lt;&gt;"Yes",NA(),Inputs!$D$28*Inputs!$C$35))</f>
        <v/>
      </c>
      <c r="T608" s="54">
        <f>IF($B608=0,NA(),IF(Inputs!$B$29&lt;&gt;"Yes",NA(),Inputs!$D$29*Inputs!$C$35))</f>
        <v/>
      </c>
      <c r="AD608">
        <f>IF($B608=0,0,IF(Inputs!$B$6="",0,COUNTIFS(Data!$A$10:$A$3209,"&gt;="&amp;$A608,Data!$A$10:$A$3209,"&lt;"&amp;$A608+1)))</f>
        <v/>
      </c>
      <c r="AE608">
        <f>IF($B608=0,0,IF(Inputs!$B$7="",0,COUNTIFS(Data!$E$10:$E$3209,"&gt;="&amp;$A608,Data!$E$10:$E$3209,"&lt;"&amp;$A608+1)))</f>
        <v/>
      </c>
      <c r="AF608">
        <f>IF($B608=0,0,IF(Inputs!$B$8="",0,COUNTIFS(Data!$I$10:$I$3209,"&gt;="&amp;$A608,Data!$I$10:$I$3209,"&lt;"&amp;$A608+1)))</f>
        <v/>
      </c>
      <c r="AG608">
        <f>IF($B608=0,0,IF(Inputs!$B$9="",0,COUNTIFS(Data!$M$10:$M$3209,"&gt;="&amp;$A608,Data!$M$10:$M$3209,"&lt;"&amp;$A608+1)))</f>
        <v/>
      </c>
      <c r="AH608">
        <f>IF($B608=0,0,IF(Inputs!$B$10="",0,COUNTIFS(Data!$Q$10:$Q$3209,"&gt;="&amp;$A608,Data!$Q$10:$Q$3209,"&lt;"&amp;$A608+1)))</f>
        <v/>
      </c>
    </row>
    <row r="609">
      <c r="A609" s="55">
        <f>MIN(Inputs!$C$15,$A608+IF(WEEKDAY($A608,2)=5,3,1))</f>
        <v/>
      </c>
      <c r="B609">
        <f>IF($A609&gt;$A608,1,0)</f>
        <v/>
      </c>
      <c r="C609" s="56">
        <f>IF($B609=0,"",IF(Inputs!$B$6="","",IF($AD609=0,C608,SUMIFS(Data!$B$10:$B$3209,Data!$A$10:$A$3209,"&gt;="&amp;$A609,Data!$A$10:$A$3209,"&lt;"&amp;$A609+1)/$AD609)))</f>
        <v/>
      </c>
      <c r="D609" s="56">
        <f>IF($B609=0,"",IF(Inputs!$B$7="","",IF($AE609=0,D608,SUMIFS(Data!$F$10:$F$3209,Data!$E$10:$E$3209,"&gt;="&amp;$A609,Data!$E$10:$E$3209,"&lt;"&amp;$A609+1)/$AE609)))</f>
        <v/>
      </c>
      <c r="E609" s="56">
        <f>IF($B609=0,"",IF(Inputs!$B$8="","",IF($AF609=0,E608,SUMIFS(Data!$J$10:$J$3209,Data!$I$10:$I$3209,"&gt;="&amp;$A609,Data!$I$10:$I$3209,"&lt;"&amp;$A609+1)/$AF609)))</f>
        <v/>
      </c>
      <c r="F609" s="56">
        <f>IF($B609=0,"",IF(Inputs!$B$9="","",IF($AG609=0,F608,SUMIFS(Data!$N$10:$N$3209,Data!$M$10:$M$3209,"&gt;="&amp;$A609,Data!$M$10:$M$3209,"&lt;"&amp;$A609+1)/$AG609)))</f>
        <v/>
      </c>
      <c r="G609" s="56">
        <f>IF($B609=0,"",IF(Inputs!$B$10="","",IF($AH609=0,G608,SUMIFS(Data!$R$10:$R$3209,Data!$Q$10:$Q$3209,"&gt;="&amp;$A609,Data!$Q$10:$Q$3209,"&lt;"&amp;$A609+1)/$AH609)))</f>
        <v/>
      </c>
      <c r="I609" s="54">
        <f>IF($B609=0,NA(),IF($C609="",NA(),IF(C$8="",NA(),IF(N(C$8)=0,NA(),IF(Inputs!$C$17="Rebased to 100",$C609/C$8*100,$C609)))))</f>
        <v/>
      </c>
      <c r="J609" s="54">
        <f>IF($B609=0,NA(),IF($D609="",NA(),IF(D$8="",NA(),IF(N(D$8)=0,NA(),IF(Inputs!$C$17="Rebased to 100",$D609/D$8*100,$D609)))))</f>
        <v/>
      </c>
      <c r="K609" s="54">
        <f>IF($B609=0,NA(),IF($E609="",NA(),IF(E$8="",NA(),IF(N(E$8)=0,NA(),IF(Inputs!$C$17="Rebased to 100",$E609/E$8*100,$E609)))))</f>
        <v/>
      </c>
      <c r="L609" s="54">
        <f>IF($B609=0,NA(),IF($F609="",NA(),IF(F$8="",NA(),IF(N(F$8)=0,NA(),IF(Inputs!$C$17="Rebased to 100",$F609/F$8*100,$F609)))))</f>
        <v/>
      </c>
      <c r="M609" s="54">
        <f>IF($B609=0,NA(),IF($G609="",NA(),IF(G$8="",NA(),IF(N(G$8)=0,NA(),IF(Inputs!$C$17="Rebased to 100",$G609/G$8*100,$G609)))))</f>
        <v/>
      </c>
      <c r="N609" s="54">
        <f>IF($B609=0,NA(),IF(Inputs!$C$18&lt;&gt;"Yes",NA(),IF(COUNT(I609,J609,K609,L609,M609)=0,NA(),MIN(I609,J609,K609,L609,M609))))</f>
        <v/>
      </c>
      <c r="O609" s="54">
        <f>IF($B609=0,NA(),IF(Inputs!$B$24&lt;&gt;"Yes",NA(),Inputs!$D$24*Inputs!$C$35))</f>
        <v/>
      </c>
      <c r="P609" s="54">
        <f>IF($B609=0,NA(),IF(Inputs!$B$25&lt;&gt;"Yes",NA(),Inputs!$D$25*Inputs!$C$35))</f>
        <v/>
      </c>
      <c r="Q609" s="54">
        <f>IF($B609=0,NA(),IF(Inputs!$B$26&lt;&gt;"Yes",NA(),Inputs!$D$26*Inputs!$C$35))</f>
        <v/>
      </c>
      <c r="R609" s="54">
        <f>IF($B609=0,NA(),IF(Inputs!$B$27&lt;&gt;"Yes",NA(),Inputs!$D$27*Inputs!$C$35))</f>
        <v/>
      </c>
      <c r="S609" s="54">
        <f>IF($B609=0,NA(),IF(Inputs!$B$28&lt;&gt;"Yes",NA(),Inputs!$D$28*Inputs!$C$35))</f>
        <v/>
      </c>
      <c r="T609" s="54">
        <f>IF($B609=0,NA(),IF(Inputs!$B$29&lt;&gt;"Yes",NA(),Inputs!$D$29*Inputs!$C$35))</f>
        <v/>
      </c>
      <c r="AD609">
        <f>IF($B609=0,0,IF(Inputs!$B$6="",0,COUNTIFS(Data!$A$10:$A$3209,"&gt;="&amp;$A609,Data!$A$10:$A$3209,"&lt;"&amp;$A609+1)))</f>
        <v/>
      </c>
      <c r="AE609">
        <f>IF($B609=0,0,IF(Inputs!$B$7="",0,COUNTIFS(Data!$E$10:$E$3209,"&gt;="&amp;$A609,Data!$E$10:$E$3209,"&lt;"&amp;$A609+1)))</f>
        <v/>
      </c>
      <c r="AF609">
        <f>IF($B609=0,0,IF(Inputs!$B$8="",0,COUNTIFS(Data!$I$10:$I$3209,"&gt;="&amp;$A609,Data!$I$10:$I$3209,"&lt;"&amp;$A609+1)))</f>
        <v/>
      </c>
      <c r="AG609">
        <f>IF($B609=0,0,IF(Inputs!$B$9="",0,COUNTIFS(Data!$M$10:$M$3209,"&gt;="&amp;$A609,Data!$M$10:$M$3209,"&lt;"&amp;$A609+1)))</f>
        <v/>
      </c>
      <c r="AH609">
        <f>IF($B609=0,0,IF(Inputs!$B$10="",0,COUNTIFS(Data!$Q$10:$Q$3209,"&gt;="&amp;$A609,Data!$Q$10:$Q$3209,"&lt;"&amp;$A609+1)))</f>
        <v/>
      </c>
    </row>
    <row r="610">
      <c r="A610" s="55">
        <f>MIN(Inputs!$C$15,$A609+IF(WEEKDAY($A609,2)=5,3,1))</f>
        <v/>
      </c>
      <c r="B610">
        <f>IF($A610&gt;$A609,1,0)</f>
        <v/>
      </c>
      <c r="C610" s="56">
        <f>IF($B610=0,"",IF(Inputs!$B$6="","",IF($AD610=0,C609,SUMIFS(Data!$B$10:$B$3209,Data!$A$10:$A$3209,"&gt;="&amp;$A610,Data!$A$10:$A$3209,"&lt;"&amp;$A610+1)/$AD610)))</f>
        <v/>
      </c>
      <c r="D610" s="56">
        <f>IF($B610=0,"",IF(Inputs!$B$7="","",IF($AE610=0,D609,SUMIFS(Data!$F$10:$F$3209,Data!$E$10:$E$3209,"&gt;="&amp;$A610,Data!$E$10:$E$3209,"&lt;"&amp;$A610+1)/$AE610)))</f>
        <v/>
      </c>
      <c r="E610" s="56">
        <f>IF($B610=0,"",IF(Inputs!$B$8="","",IF($AF610=0,E609,SUMIFS(Data!$J$10:$J$3209,Data!$I$10:$I$3209,"&gt;="&amp;$A610,Data!$I$10:$I$3209,"&lt;"&amp;$A610+1)/$AF610)))</f>
        <v/>
      </c>
      <c r="F610" s="56">
        <f>IF($B610=0,"",IF(Inputs!$B$9="","",IF($AG610=0,F609,SUMIFS(Data!$N$10:$N$3209,Data!$M$10:$M$3209,"&gt;="&amp;$A610,Data!$M$10:$M$3209,"&lt;"&amp;$A610+1)/$AG610)))</f>
        <v/>
      </c>
      <c r="G610" s="56">
        <f>IF($B610=0,"",IF(Inputs!$B$10="","",IF($AH610=0,G609,SUMIFS(Data!$R$10:$R$3209,Data!$Q$10:$Q$3209,"&gt;="&amp;$A610,Data!$Q$10:$Q$3209,"&lt;"&amp;$A610+1)/$AH610)))</f>
        <v/>
      </c>
      <c r="I610" s="54">
        <f>IF($B610=0,NA(),IF($C610="",NA(),IF(C$8="",NA(),IF(N(C$8)=0,NA(),IF(Inputs!$C$17="Rebased to 100",$C610/C$8*100,$C610)))))</f>
        <v/>
      </c>
      <c r="J610" s="54">
        <f>IF($B610=0,NA(),IF($D610="",NA(),IF(D$8="",NA(),IF(N(D$8)=0,NA(),IF(Inputs!$C$17="Rebased to 100",$D610/D$8*100,$D610)))))</f>
        <v/>
      </c>
      <c r="K610" s="54">
        <f>IF($B610=0,NA(),IF($E610="",NA(),IF(E$8="",NA(),IF(N(E$8)=0,NA(),IF(Inputs!$C$17="Rebased to 100",$E610/E$8*100,$E610)))))</f>
        <v/>
      </c>
      <c r="L610" s="54">
        <f>IF($B610=0,NA(),IF($F610="",NA(),IF(F$8="",NA(),IF(N(F$8)=0,NA(),IF(Inputs!$C$17="Rebased to 100",$F610/F$8*100,$F610)))))</f>
        <v/>
      </c>
      <c r="M610" s="54">
        <f>IF($B610=0,NA(),IF($G610="",NA(),IF(G$8="",NA(),IF(N(G$8)=0,NA(),IF(Inputs!$C$17="Rebased to 100",$G610/G$8*100,$G610)))))</f>
        <v/>
      </c>
      <c r="N610" s="54">
        <f>IF($B610=0,NA(),IF(Inputs!$C$18&lt;&gt;"Yes",NA(),IF(COUNT(I610,J610,K610,L610,M610)=0,NA(),MIN(I610,J610,K610,L610,M610))))</f>
        <v/>
      </c>
      <c r="O610" s="54">
        <f>IF($B610=0,NA(),IF(Inputs!$B$24&lt;&gt;"Yes",NA(),Inputs!$D$24*Inputs!$C$35))</f>
        <v/>
      </c>
      <c r="P610" s="54">
        <f>IF($B610=0,NA(),IF(Inputs!$B$25&lt;&gt;"Yes",NA(),Inputs!$D$25*Inputs!$C$35))</f>
        <v/>
      </c>
      <c r="Q610" s="54">
        <f>IF($B610=0,NA(),IF(Inputs!$B$26&lt;&gt;"Yes",NA(),Inputs!$D$26*Inputs!$C$35))</f>
        <v/>
      </c>
      <c r="R610" s="54">
        <f>IF($B610=0,NA(),IF(Inputs!$B$27&lt;&gt;"Yes",NA(),Inputs!$D$27*Inputs!$C$35))</f>
        <v/>
      </c>
      <c r="S610" s="54">
        <f>IF($B610=0,NA(),IF(Inputs!$B$28&lt;&gt;"Yes",NA(),Inputs!$D$28*Inputs!$C$35))</f>
        <v/>
      </c>
      <c r="T610" s="54">
        <f>IF($B610=0,NA(),IF(Inputs!$B$29&lt;&gt;"Yes",NA(),Inputs!$D$29*Inputs!$C$35))</f>
        <v/>
      </c>
      <c r="AD610">
        <f>IF($B610=0,0,IF(Inputs!$B$6="",0,COUNTIFS(Data!$A$10:$A$3209,"&gt;="&amp;$A610,Data!$A$10:$A$3209,"&lt;"&amp;$A610+1)))</f>
        <v/>
      </c>
      <c r="AE610">
        <f>IF($B610=0,0,IF(Inputs!$B$7="",0,COUNTIFS(Data!$E$10:$E$3209,"&gt;="&amp;$A610,Data!$E$10:$E$3209,"&lt;"&amp;$A610+1)))</f>
        <v/>
      </c>
      <c r="AF610">
        <f>IF($B610=0,0,IF(Inputs!$B$8="",0,COUNTIFS(Data!$I$10:$I$3209,"&gt;="&amp;$A610,Data!$I$10:$I$3209,"&lt;"&amp;$A610+1)))</f>
        <v/>
      </c>
      <c r="AG610">
        <f>IF($B610=0,0,IF(Inputs!$B$9="",0,COUNTIFS(Data!$M$10:$M$3209,"&gt;="&amp;$A610,Data!$M$10:$M$3209,"&lt;"&amp;$A610+1)))</f>
        <v/>
      </c>
      <c r="AH610">
        <f>IF($B610=0,0,IF(Inputs!$B$10="",0,COUNTIFS(Data!$Q$10:$Q$3209,"&gt;="&amp;$A610,Data!$Q$10:$Q$3209,"&lt;"&amp;$A610+1)))</f>
        <v/>
      </c>
    </row>
    <row r="611">
      <c r="A611" s="55">
        <f>MIN(Inputs!$C$15,$A610+IF(WEEKDAY($A610,2)=5,3,1))</f>
        <v/>
      </c>
      <c r="B611">
        <f>IF($A611&gt;$A610,1,0)</f>
        <v/>
      </c>
      <c r="C611" s="56">
        <f>IF($B611=0,"",IF(Inputs!$B$6="","",IF($AD611=0,C610,SUMIFS(Data!$B$10:$B$3209,Data!$A$10:$A$3209,"&gt;="&amp;$A611,Data!$A$10:$A$3209,"&lt;"&amp;$A611+1)/$AD611)))</f>
        <v/>
      </c>
      <c r="D611" s="56">
        <f>IF($B611=0,"",IF(Inputs!$B$7="","",IF($AE611=0,D610,SUMIFS(Data!$F$10:$F$3209,Data!$E$10:$E$3209,"&gt;="&amp;$A611,Data!$E$10:$E$3209,"&lt;"&amp;$A611+1)/$AE611)))</f>
        <v/>
      </c>
      <c r="E611" s="56">
        <f>IF($B611=0,"",IF(Inputs!$B$8="","",IF($AF611=0,E610,SUMIFS(Data!$J$10:$J$3209,Data!$I$10:$I$3209,"&gt;="&amp;$A611,Data!$I$10:$I$3209,"&lt;"&amp;$A611+1)/$AF611)))</f>
        <v/>
      </c>
      <c r="F611" s="56">
        <f>IF($B611=0,"",IF(Inputs!$B$9="","",IF($AG611=0,F610,SUMIFS(Data!$N$10:$N$3209,Data!$M$10:$M$3209,"&gt;="&amp;$A611,Data!$M$10:$M$3209,"&lt;"&amp;$A611+1)/$AG611)))</f>
        <v/>
      </c>
      <c r="G611" s="56">
        <f>IF($B611=0,"",IF(Inputs!$B$10="","",IF($AH611=0,G610,SUMIFS(Data!$R$10:$R$3209,Data!$Q$10:$Q$3209,"&gt;="&amp;$A611,Data!$Q$10:$Q$3209,"&lt;"&amp;$A611+1)/$AH611)))</f>
        <v/>
      </c>
      <c r="I611" s="54">
        <f>IF($B611=0,NA(),IF($C611="",NA(),IF(C$8="",NA(),IF(N(C$8)=0,NA(),IF(Inputs!$C$17="Rebased to 100",$C611/C$8*100,$C611)))))</f>
        <v/>
      </c>
      <c r="J611" s="54">
        <f>IF($B611=0,NA(),IF($D611="",NA(),IF(D$8="",NA(),IF(N(D$8)=0,NA(),IF(Inputs!$C$17="Rebased to 100",$D611/D$8*100,$D611)))))</f>
        <v/>
      </c>
      <c r="K611" s="54">
        <f>IF($B611=0,NA(),IF($E611="",NA(),IF(E$8="",NA(),IF(N(E$8)=0,NA(),IF(Inputs!$C$17="Rebased to 100",$E611/E$8*100,$E611)))))</f>
        <v/>
      </c>
      <c r="L611" s="54">
        <f>IF($B611=0,NA(),IF($F611="",NA(),IF(F$8="",NA(),IF(N(F$8)=0,NA(),IF(Inputs!$C$17="Rebased to 100",$F611/F$8*100,$F611)))))</f>
        <v/>
      </c>
      <c r="M611" s="54">
        <f>IF($B611=0,NA(),IF($G611="",NA(),IF(G$8="",NA(),IF(N(G$8)=0,NA(),IF(Inputs!$C$17="Rebased to 100",$G611/G$8*100,$G611)))))</f>
        <v/>
      </c>
      <c r="N611" s="54">
        <f>IF($B611=0,NA(),IF(Inputs!$C$18&lt;&gt;"Yes",NA(),IF(COUNT(I611,J611,K611,L611,M611)=0,NA(),MIN(I611,J611,K611,L611,M611))))</f>
        <v/>
      </c>
      <c r="O611" s="54">
        <f>IF($B611=0,NA(),IF(Inputs!$B$24&lt;&gt;"Yes",NA(),Inputs!$D$24*Inputs!$C$35))</f>
        <v/>
      </c>
      <c r="P611" s="54">
        <f>IF($B611=0,NA(),IF(Inputs!$B$25&lt;&gt;"Yes",NA(),Inputs!$D$25*Inputs!$C$35))</f>
        <v/>
      </c>
      <c r="Q611" s="54">
        <f>IF($B611=0,NA(),IF(Inputs!$B$26&lt;&gt;"Yes",NA(),Inputs!$D$26*Inputs!$C$35))</f>
        <v/>
      </c>
      <c r="R611" s="54">
        <f>IF($B611=0,NA(),IF(Inputs!$B$27&lt;&gt;"Yes",NA(),Inputs!$D$27*Inputs!$C$35))</f>
        <v/>
      </c>
      <c r="S611" s="54">
        <f>IF($B611=0,NA(),IF(Inputs!$B$28&lt;&gt;"Yes",NA(),Inputs!$D$28*Inputs!$C$35))</f>
        <v/>
      </c>
      <c r="T611" s="54">
        <f>IF($B611=0,NA(),IF(Inputs!$B$29&lt;&gt;"Yes",NA(),Inputs!$D$29*Inputs!$C$35))</f>
        <v/>
      </c>
      <c r="AD611">
        <f>IF($B611=0,0,IF(Inputs!$B$6="",0,COUNTIFS(Data!$A$10:$A$3209,"&gt;="&amp;$A611,Data!$A$10:$A$3209,"&lt;"&amp;$A611+1)))</f>
        <v/>
      </c>
      <c r="AE611">
        <f>IF($B611=0,0,IF(Inputs!$B$7="",0,COUNTIFS(Data!$E$10:$E$3209,"&gt;="&amp;$A611,Data!$E$10:$E$3209,"&lt;"&amp;$A611+1)))</f>
        <v/>
      </c>
      <c r="AF611">
        <f>IF($B611=0,0,IF(Inputs!$B$8="",0,COUNTIFS(Data!$I$10:$I$3209,"&gt;="&amp;$A611,Data!$I$10:$I$3209,"&lt;"&amp;$A611+1)))</f>
        <v/>
      </c>
      <c r="AG611">
        <f>IF($B611=0,0,IF(Inputs!$B$9="",0,COUNTIFS(Data!$M$10:$M$3209,"&gt;="&amp;$A611,Data!$M$10:$M$3209,"&lt;"&amp;$A611+1)))</f>
        <v/>
      </c>
      <c r="AH611">
        <f>IF($B611=0,0,IF(Inputs!$B$10="",0,COUNTIFS(Data!$Q$10:$Q$3209,"&gt;="&amp;$A611,Data!$Q$10:$Q$3209,"&lt;"&amp;$A611+1)))</f>
        <v/>
      </c>
    </row>
    <row r="612">
      <c r="A612" s="55">
        <f>MIN(Inputs!$C$15,$A611+IF(WEEKDAY($A611,2)=5,3,1))</f>
        <v/>
      </c>
      <c r="B612">
        <f>IF($A612&gt;$A611,1,0)</f>
        <v/>
      </c>
      <c r="C612" s="56">
        <f>IF($B612=0,"",IF(Inputs!$B$6="","",IF($AD612=0,C611,SUMIFS(Data!$B$10:$B$3209,Data!$A$10:$A$3209,"&gt;="&amp;$A612,Data!$A$10:$A$3209,"&lt;"&amp;$A612+1)/$AD612)))</f>
        <v/>
      </c>
      <c r="D612" s="56">
        <f>IF($B612=0,"",IF(Inputs!$B$7="","",IF($AE612=0,D611,SUMIFS(Data!$F$10:$F$3209,Data!$E$10:$E$3209,"&gt;="&amp;$A612,Data!$E$10:$E$3209,"&lt;"&amp;$A612+1)/$AE612)))</f>
        <v/>
      </c>
      <c r="E612" s="56">
        <f>IF($B612=0,"",IF(Inputs!$B$8="","",IF($AF612=0,E611,SUMIFS(Data!$J$10:$J$3209,Data!$I$10:$I$3209,"&gt;="&amp;$A612,Data!$I$10:$I$3209,"&lt;"&amp;$A612+1)/$AF612)))</f>
        <v/>
      </c>
      <c r="F612" s="56">
        <f>IF($B612=0,"",IF(Inputs!$B$9="","",IF($AG612=0,F611,SUMIFS(Data!$N$10:$N$3209,Data!$M$10:$M$3209,"&gt;="&amp;$A612,Data!$M$10:$M$3209,"&lt;"&amp;$A612+1)/$AG612)))</f>
        <v/>
      </c>
      <c r="G612" s="56">
        <f>IF($B612=0,"",IF(Inputs!$B$10="","",IF($AH612=0,G611,SUMIFS(Data!$R$10:$R$3209,Data!$Q$10:$Q$3209,"&gt;="&amp;$A612,Data!$Q$10:$Q$3209,"&lt;"&amp;$A612+1)/$AH612)))</f>
        <v/>
      </c>
      <c r="I612" s="54">
        <f>IF($B612=0,NA(),IF($C612="",NA(),IF(C$8="",NA(),IF(N(C$8)=0,NA(),IF(Inputs!$C$17="Rebased to 100",$C612/C$8*100,$C612)))))</f>
        <v/>
      </c>
      <c r="J612" s="54">
        <f>IF($B612=0,NA(),IF($D612="",NA(),IF(D$8="",NA(),IF(N(D$8)=0,NA(),IF(Inputs!$C$17="Rebased to 100",$D612/D$8*100,$D612)))))</f>
        <v/>
      </c>
      <c r="K612" s="54">
        <f>IF($B612=0,NA(),IF($E612="",NA(),IF(E$8="",NA(),IF(N(E$8)=0,NA(),IF(Inputs!$C$17="Rebased to 100",$E612/E$8*100,$E612)))))</f>
        <v/>
      </c>
      <c r="L612" s="54">
        <f>IF($B612=0,NA(),IF($F612="",NA(),IF(F$8="",NA(),IF(N(F$8)=0,NA(),IF(Inputs!$C$17="Rebased to 100",$F612/F$8*100,$F612)))))</f>
        <v/>
      </c>
      <c r="M612" s="54">
        <f>IF($B612=0,NA(),IF($G612="",NA(),IF(G$8="",NA(),IF(N(G$8)=0,NA(),IF(Inputs!$C$17="Rebased to 100",$G612/G$8*100,$G612)))))</f>
        <v/>
      </c>
      <c r="N612" s="54">
        <f>IF($B612=0,NA(),IF(Inputs!$C$18&lt;&gt;"Yes",NA(),IF(COUNT(I612,J612,K612,L612,M612)=0,NA(),MIN(I612,J612,K612,L612,M612))))</f>
        <v/>
      </c>
      <c r="O612" s="54">
        <f>IF($B612=0,NA(),IF(Inputs!$B$24&lt;&gt;"Yes",NA(),Inputs!$D$24*Inputs!$C$35))</f>
        <v/>
      </c>
      <c r="P612" s="54">
        <f>IF($B612=0,NA(),IF(Inputs!$B$25&lt;&gt;"Yes",NA(),Inputs!$D$25*Inputs!$C$35))</f>
        <v/>
      </c>
      <c r="Q612" s="54">
        <f>IF($B612=0,NA(),IF(Inputs!$B$26&lt;&gt;"Yes",NA(),Inputs!$D$26*Inputs!$C$35))</f>
        <v/>
      </c>
      <c r="R612" s="54">
        <f>IF($B612=0,NA(),IF(Inputs!$B$27&lt;&gt;"Yes",NA(),Inputs!$D$27*Inputs!$C$35))</f>
        <v/>
      </c>
      <c r="S612" s="54">
        <f>IF($B612=0,NA(),IF(Inputs!$B$28&lt;&gt;"Yes",NA(),Inputs!$D$28*Inputs!$C$35))</f>
        <v/>
      </c>
      <c r="T612" s="54">
        <f>IF($B612=0,NA(),IF(Inputs!$B$29&lt;&gt;"Yes",NA(),Inputs!$D$29*Inputs!$C$35))</f>
        <v/>
      </c>
      <c r="AD612">
        <f>IF($B612=0,0,IF(Inputs!$B$6="",0,COUNTIFS(Data!$A$10:$A$3209,"&gt;="&amp;$A612,Data!$A$10:$A$3209,"&lt;"&amp;$A612+1)))</f>
        <v/>
      </c>
      <c r="AE612">
        <f>IF($B612=0,0,IF(Inputs!$B$7="",0,COUNTIFS(Data!$E$10:$E$3209,"&gt;="&amp;$A612,Data!$E$10:$E$3209,"&lt;"&amp;$A612+1)))</f>
        <v/>
      </c>
      <c r="AF612">
        <f>IF($B612=0,0,IF(Inputs!$B$8="",0,COUNTIFS(Data!$I$10:$I$3209,"&gt;="&amp;$A612,Data!$I$10:$I$3209,"&lt;"&amp;$A612+1)))</f>
        <v/>
      </c>
      <c r="AG612">
        <f>IF($B612=0,0,IF(Inputs!$B$9="",0,COUNTIFS(Data!$M$10:$M$3209,"&gt;="&amp;$A612,Data!$M$10:$M$3209,"&lt;"&amp;$A612+1)))</f>
        <v/>
      </c>
      <c r="AH612">
        <f>IF($B612=0,0,IF(Inputs!$B$10="",0,COUNTIFS(Data!$Q$10:$Q$3209,"&gt;="&amp;$A612,Data!$Q$10:$Q$3209,"&lt;"&amp;$A612+1)))</f>
        <v/>
      </c>
    </row>
    <row r="613">
      <c r="A613" s="55">
        <f>MIN(Inputs!$C$15,$A612+IF(WEEKDAY($A612,2)=5,3,1))</f>
        <v/>
      </c>
      <c r="B613">
        <f>IF($A613&gt;$A612,1,0)</f>
        <v/>
      </c>
      <c r="C613" s="56">
        <f>IF($B613=0,"",IF(Inputs!$B$6="","",IF($AD613=0,C612,SUMIFS(Data!$B$10:$B$3209,Data!$A$10:$A$3209,"&gt;="&amp;$A613,Data!$A$10:$A$3209,"&lt;"&amp;$A613+1)/$AD613)))</f>
        <v/>
      </c>
      <c r="D613" s="56">
        <f>IF($B613=0,"",IF(Inputs!$B$7="","",IF($AE613=0,D612,SUMIFS(Data!$F$10:$F$3209,Data!$E$10:$E$3209,"&gt;="&amp;$A613,Data!$E$10:$E$3209,"&lt;"&amp;$A613+1)/$AE613)))</f>
        <v/>
      </c>
      <c r="E613" s="56">
        <f>IF($B613=0,"",IF(Inputs!$B$8="","",IF($AF613=0,E612,SUMIFS(Data!$J$10:$J$3209,Data!$I$10:$I$3209,"&gt;="&amp;$A613,Data!$I$10:$I$3209,"&lt;"&amp;$A613+1)/$AF613)))</f>
        <v/>
      </c>
      <c r="F613" s="56">
        <f>IF($B613=0,"",IF(Inputs!$B$9="","",IF($AG613=0,F612,SUMIFS(Data!$N$10:$N$3209,Data!$M$10:$M$3209,"&gt;="&amp;$A613,Data!$M$10:$M$3209,"&lt;"&amp;$A613+1)/$AG613)))</f>
        <v/>
      </c>
      <c r="G613" s="56">
        <f>IF($B613=0,"",IF(Inputs!$B$10="","",IF($AH613=0,G612,SUMIFS(Data!$R$10:$R$3209,Data!$Q$10:$Q$3209,"&gt;="&amp;$A613,Data!$Q$10:$Q$3209,"&lt;"&amp;$A613+1)/$AH613)))</f>
        <v/>
      </c>
      <c r="I613" s="54">
        <f>IF($B613=0,NA(),IF($C613="",NA(),IF(C$8="",NA(),IF(N(C$8)=0,NA(),IF(Inputs!$C$17="Rebased to 100",$C613/C$8*100,$C613)))))</f>
        <v/>
      </c>
      <c r="J613" s="54">
        <f>IF($B613=0,NA(),IF($D613="",NA(),IF(D$8="",NA(),IF(N(D$8)=0,NA(),IF(Inputs!$C$17="Rebased to 100",$D613/D$8*100,$D613)))))</f>
        <v/>
      </c>
      <c r="K613" s="54">
        <f>IF($B613=0,NA(),IF($E613="",NA(),IF(E$8="",NA(),IF(N(E$8)=0,NA(),IF(Inputs!$C$17="Rebased to 100",$E613/E$8*100,$E613)))))</f>
        <v/>
      </c>
      <c r="L613" s="54">
        <f>IF($B613=0,NA(),IF($F613="",NA(),IF(F$8="",NA(),IF(N(F$8)=0,NA(),IF(Inputs!$C$17="Rebased to 100",$F613/F$8*100,$F613)))))</f>
        <v/>
      </c>
      <c r="M613" s="54">
        <f>IF($B613=0,NA(),IF($G613="",NA(),IF(G$8="",NA(),IF(N(G$8)=0,NA(),IF(Inputs!$C$17="Rebased to 100",$G613/G$8*100,$G613)))))</f>
        <v/>
      </c>
      <c r="N613" s="54">
        <f>IF($B613=0,NA(),IF(Inputs!$C$18&lt;&gt;"Yes",NA(),IF(COUNT(I613,J613,K613,L613,M613)=0,NA(),MIN(I613,J613,K613,L613,M613))))</f>
        <v/>
      </c>
      <c r="O613" s="54">
        <f>IF($B613=0,NA(),IF(Inputs!$B$24&lt;&gt;"Yes",NA(),Inputs!$D$24*Inputs!$C$35))</f>
        <v/>
      </c>
      <c r="P613" s="54">
        <f>IF($B613=0,NA(),IF(Inputs!$B$25&lt;&gt;"Yes",NA(),Inputs!$D$25*Inputs!$C$35))</f>
        <v/>
      </c>
      <c r="Q613" s="54">
        <f>IF($B613=0,NA(),IF(Inputs!$B$26&lt;&gt;"Yes",NA(),Inputs!$D$26*Inputs!$C$35))</f>
        <v/>
      </c>
      <c r="R613" s="54">
        <f>IF($B613=0,NA(),IF(Inputs!$B$27&lt;&gt;"Yes",NA(),Inputs!$D$27*Inputs!$C$35))</f>
        <v/>
      </c>
      <c r="S613" s="54">
        <f>IF($B613=0,NA(),IF(Inputs!$B$28&lt;&gt;"Yes",NA(),Inputs!$D$28*Inputs!$C$35))</f>
        <v/>
      </c>
      <c r="T613" s="54">
        <f>IF($B613=0,NA(),IF(Inputs!$B$29&lt;&gt;"Yes",NA(),Inputs!$D$29*Inputs!$C$35))</f>
        <v/>
      </c>
      <c r="AD613">
        <f>IF($B613=0,0,IF(Inputs!$B$6="",0,COUNTIFS(Data!$A$10:$A$3209,"&gt;="&amp;$A613,Data!$A$10:$A$3209,"&lt;"&amp;$A613+1)))</f>
        <v/>
      </c>
      <c r="AE613">
        <f>IF($B613=0,0,IF(Inputs!$B$7="",0,COUNTIFS(Data!$E$10:$E$3209,"&gt;="&amp;$A613,Data!$E$10:$E$3209,"&lt;"&amp;$A613+1)))</f>
        <v/>
      </c>
      <c r="AF613">
        <f>IF($B613=0,0,IF(Inputs!$B$8="",0,COUNTIFS(Data!$I$10:$I$3209,"&gt;="&amp;$A613,Data!$I$10:$I$3209,"&lt;"&amp;$A613+1)))</f>
        <v/>
      </c>
      <c r="AG613">
        <f>IF($B613=0,0,IF(Inputs!$B$9="",0,COUNTIFS(Data!$M$10:$M$3209,"&gt;="&amp;$A613,Data!$M$10:$M$3209,"&lt;"&amp;$A613+1)))</f>
        <v/>
      </c>
      <c r="AH613">
        <f>IF($B613=0,0,IF(Inputs!$B$10="",0,COUNTIFS(Data!$Q$10:$Q$3209,"&gt;="&amp;$A613,Data!$Q$10:$Q$3209,"&lt;"&amp;$A613+1)))</f>
        <v/>
      </c>
    </row>
    <row r="614">
      <c r="A614" s="55">
        <f>MIN(Inputs!$C$15,$A613+IF(WEEKDAY($A613,2)=5,3,1))</f>
        <v/>
      </c>
      <c r="B614">
        <f>IF($A614&gt;$A613,1,0)</f>
        <v/>
      </c>
      <c r="C614" s="56">
        <f>IF($B614=0,"",IF(Inputs!$B$6="","",IF($AD614=0,C613,SUMIFS(Data!$B$10:$B$3209,Data!$A$10:$A$3209,"&gt;="&amp;$A614,Data!$A$10:$A$3209,"&lt;"&amp;$A614+1)/$AD614)))</f>
        <v/>
      </c>
      <c r="D614" s="56">
        <f>IF($B614=0,"",IF(Inputs!$B$7="","",IF($AE614=0,D613,SUMIFS(Data!$F$10:$F$3209,Data!$E$10:$E$3209,"&gt;="&amp;$A614,Data!$E$10:$E$3209,"&lt;"&amp;$A614+1)/$AE614)))</f>
        <v/>
      </c>
      <c r="E614" s="56">
        <f>IF($B614=0,"",IF(Inputs!$B$8="","",IF($AF614=0,E613,SUMIFS(Data!$J$10:$J$3209,Data!$I$10:$I$3209,"&gt;="&amp;$A614,Data!$I$10:$I$3209,"&lt;"&amp;$A614+1)/$AF614)))</f>
        <v/>
      </c>
      <c r="F614" s="56">
        <f>IF($B614=0,"",IF(Inputs!$B$9="","",IF($AG614=0,F613,SUMIFS(Data!$N$10:$N$3209,Data!$M$10:$M$3209,"&gt;="&amp;$A614,Data!$M$10:$M$3209,"&lt;"&amp;$A614+1)/$AG614)))</f>
        <v/>
      </c>
      <c r="G614" s="56">
        <f>IF($B614=0,"",IF(Inputs!$B$10="","",IF($AH614=0,G613,SUMIFS(Data!$R$10:$R$3209,Data!$Q$10:$Q$3209,"&gt;="&amp;$A614,Data!$Q$10:$Q$3209,"&lt;"&amp;$A614+1)/$AH614)))</f>
        <v/>
      </c>
      <c r="I614" s="54">
        <f>IF($B614=0,NA(),IF($C614="",NA(),IF(C$8="",NA(),IF(N(C$8)=0,NA(),IF(Inputs!$C$17="Rebased to 100",$C614/C$8*100,$C614)))))</f>
        <v/>
      </c>
      <c r="J614" s="54">
        <f>IF($B614=0,NA(),IF($D614="",NA(),IF(D$8="",NA(),IF(N(D$8)=0,NA(),IF(Inputs!$C$17="Rebased to 100",$D614/D$8*100,$D614)))))</f>
        <v/>
      </c>
      <c r="K614" s="54">
        <f>IF($B614=0,NA(),IF($E614="",NA(),IF(E$8="",NA(),IF(N(E$8)=0,NA(),IF(Inputs!$C$17="Rebased to 100",$E614/E$8*100,$E614)))))</f>
        <v/>
      </c>
      <c r="L614" s="54">
        <f>IF($B614=0,NA(),IF($F614="",NA(),IF(F$8="",NA(),IF(N(F$8)=0,NA(),IF(Inputs!$C$17="Rebased to 100",$F614/F$8*100,$F614)))))</f>
        <v/>
      </c>
      <c r="M614" s="54">
        <f>IF($B614=0,NA(),IF($G614="",NA(),IF(G$8="",NA(),IF(N(G$8)=0,NA(),IF(Inputs!$C$17="Rebased to 100",$G614/G$8*100,$G614)))))</f>
        <v/>
      </c>
      <c r="N614" s="54">
        <f>IF($B614=0,NA(),IF(Inputs!$C$18&lt;&gt;"Yes",NA(),IF(COUNT(I614,J614,K614,L614,M614)=0,NA(),MIN(I614,J614,K614,L614,M614))))</f>
        <v/>
      </c>
      <c r="O614" s="54">
        <f>IF($B614=0,NA(),IF(Inputs!$B$24&lt;&gt;"Yes",NA(),Inputs!$D$24*Inputs!$C$35))</f>
        <v/>
      </c>
      <c r="P614" s="54">
        <f>IF($B614=0,NA(),IF(Inputs!$B$25&lt;&gt;"Yes",NA(),Inputs!$D$25*Inputs!$C$35))</f>
        <v/>
      </c>
      <c r="Q614" s="54">
        <f>IF($B614=0,NA(),IF(Inputs!$B$26&lt;&gt;"Yes",NA(),Inputs!$D$26*Inputs!$C$35))</f>
        <v/>
      </c>
      <c r="R614" s="54">
        <f>IF($B614=0,NA(),IF(Inputs!$B$27&lt;&gt;"Yes",NA(),Inputs!$D$27*Inputs!$C$35))</f>
        <v/>
      </c>
      <c r="S614" s="54">
        <f>IF($B614=0,NA(),IF(Inputs!$B$28&lt;&gt;"Yes",NA(),Inputs!$D$28*Inputs!$C$35))</f>
        <v/>
      </c>
      <c r="T614" s="54">
        <f>IF($B614=0,NA(),IF(Inputs!$B$29&lt;&gt;"Yes",NA(),Inputs!$D$29*Inputs!$C$35))</f>
        <v/>
      </c>
      <c r="AD614">
        <f>IF($B614=0,0,IF(Inputs!$B$6="",0,COUNTIFS(Data!$A$10:$A$3209,"&gt;="&amp;$A614,Data!$A$10:$A$3209,"&lt;"&amp;$A614+1)))</f>
        <v/>
      </c>
      <c r="AE614">
        <f>IF($B614=0,0,IF(Inputs!$B$7="",0,COUNTIFS(Data!$E$10:$E$3209,"&gt;="&amp;$A614,Data!$E$10:$E$3209,"&lt;"&amp;$A614+1)))</f>
        <v/>
      </c>
      <c r="AF614">
        <f>IF($B614=0,0,IF(Inputs!$B$8="",0,COUNTIFS(Data!$I$10:$I$3209,"&gt;="&amp;$A614,Data!$I$10:$I$3209,"&lt;"&amp;$A614+1)))</f>
        <v/>
      </c>
      <c r="AG614">
        <f>IF($B614=0,0,IF(Inputs!$B$9="",0,COUNTIFS(Data!$M$10:$M$3209,"&gt;="&amp;$A614,Data!$M$10:$M$3209,"&lt;"&amp;$A614+1)))</f>
        <v/>
      </c>
      <c r="AH614">
        <f>IF($B614=0,0,IF(Inputs!$B$10="",0,COUNTIFS(Data!$Q$10:$Q$3209,"&gt;="&amp;$A614,Data!$Q$10:$Q$3209,"&lt;"&amp;$A614+1)))</f>
        <v/>
      </c>
    </row>
    <row r="615">
      <c r="A615" s="55">
        <f>MIN(Inputs!$C$15,$A614+IF(WEEKDAY($A614,2)=5,3,1))</f>
        <v/>
      </c>
      <c r="B615">
        <f>IF($A615&gt;$A614,1,0)</f>
        <v/>
      </c>
      <c r="C615" s="56">
        <f>IF($B615=0,"",IF(Inputs!$B$6="","",IF($AD615=0,C614,SUMIFS(Data!$B$10:$B$3209,Data!$A$10:$A$3209,"&gt;="&amp;$A615,Data!$A$10:$A$3209,"&lt;"&amp;$A615+1)/$AD615)))</f>
        <v/>
      </c>
      <c r="D615" s="56">
        <f>IF($B615=0,"",IF(Inputs!$B$7="","",IF($AE615=0,D614,SUMIFS(Data!$F$10:$F$3209,Data!$E$10:$E$3209,"&gt;="&amp;$A615,Data!$E$10:$E$3209,"&lt;"&amp;$A615+1)/$AE615)))</f>
        <v/>
      </c>
      <c r="E615" s="56">
        <f>IF($B615=0,"",IF(Inputs!$B$8="","",IF($AF615=0,E614,SUMIFS(Data!$J$10:$J$3209,Data!$I$10:$I$3209,"&gt;="&amp;$A615,Data!$I$10:$I$3209,"&lt;"&amp;$A615+1)/$AF615)))</f>
        <v/>
      </c>
      <c r="F615" s="56">
        <f>IF($B615=0,"",IF(Inputs!$B$9="","",IF($AG615=0,F614,SUMIFS(Data!$N$10:$N$3209,Data!$M$10:$M$3209,"&gt;="&amp;$A615,Data!$M$10:$M$3209,"&lt;"&amp;$A615+1)/$AG615)))</f>
        <v/>
      </c>
      <c r="G615" s="56">
        <f>IF($B615=0,"",IF(Inputs!$B$10="","",IF($AH615=0,G614,SUMIFS(Data!$R$10:$R$3209,Data!$Q$10:$Q$3209,"&gt;="&amp;$A615,Data!$Q$10:$Q$3209,"&lt;"&amp;$A615+1)/$AH615)))</f>
        <v/>
      </c>
      <c r="I615" s="54">
        <f>IF($B615=0,NA(),IF($C615="",NA(),IF(C$8="",NA(),IF(N(C$8)=0,NA(),IF(Inputs!$C$17="Rebased to 100",$C615/C$8*100,$C615)))))</f>
        <v/>
      </c>
      <c r="J615" s="54">
        <f>IF($B615=0,NA(),IF($D615="",NA(),IF(D$8="",NA(),IF(N(D$8)=0,NA(),IF(Inputs!$C$17="Rebased to 100",$D615/D$8*100,$D615)))))</f>
        <v/>
      </c>
      <c r="K615" s="54">
        <f>IF($B615=0,NA(),IF($E615="",NA(),IF(E$8="",NA(),IF(N(E$8)=0,NA(),IF(Inputs!$C$17="Rebased to 100",$E615/E$8*100,$E615)))))</f>
        <v/>
      </c>
      <c r="L615" s="54">
        <f>IF($B615=0,NA(),IF($F615="",NA(),IF(F$8="",NA(),IF(N(F$8)=0,NA(),IF(Inputs!$C$17="Rebased to 100",$F615/F$8*100,$F615)))))</f>
        <v/>
      </c>
      <c r="M615" s="54">
        <f>IF($B615=0,NA(),IF($G615="",NA(),IF(G$8="",NA(),IF(N(G$8)=0,NA(),IF(Inputs!$C$17="Rebased to 100",$G615/G$8*100,$G615)))))</f>
        <v/>
      </c>
      <c r="N615" s="54">
        <f>IF($B615=0,NA(),IF(Inputs!$C$18&lt;&gt;"Yes",NA(),IF(COUNT(I615,J615,K615,L615,M615)=0,NA(),MIN(I615,J615,K615,L615,M615))))</f>
        <v/>
      </c>
      <c r="O615" s="54">
        <f>IF($B615=0,NA(),IF(Inputs!$B$24&lt;&gt;"Yes",NA(),Inputs!$D$24*Inputs!$C$35))</f>
        <v/>
      </c>
      <c r="P615" s="54">
        <f>IF($B615=0,NA(),IF(Inputs!$B$25&lt;&gt;"Yes",NA(),Inputs!$D$25*Inputs!$C$35))</f>
        <v/>
      </c>
      <c r="Q615" s="54">
        <f>IF($B615=0,NA(),IF(Inputs!$B$26&lt;&gt;"Yes",NA(),Inputs!$D$26*Inputs!$C$35))</f>
        <v/>
      </c>
      <c r="R615" s="54">
        <f>IF($B615=0,NA(),IF(Inputs!$B$27&lt;&gt;"Yes",NA(),Inputs!$D$27*Inputs!$C$35))</f>
        <v/>
      </c>
      <c r="S615" s="54">
        <f>IF($B615=0,NA(),IF(Inputs!$B$28&lt;&gt;"Yes",NA(),Inputs!$D$28*Inputs!$C$35))</f>
        <v/>
      </c>
      <c r="T615" s="54">
        <f>IF($B615=0,NA(),IF(Inputs!$B$29&lt;&gt;"Yes",NA(),Inputs!$D$29*Inputs!$C$35))</f>
        <v/>
      </c>
      <c r="AD615">
        <f>IF($B615=0,0,IF(Inputs!$B$6="",0,COUNTIFS(Data!$A$10:$A$3209,"&gt;="&amp;$A615,Data!$A$10:$A$3209,"&lt;"&amp;$A615+1)))</f>
        <v/>
      </c>
      <c r="AE615">
        <f>IF($B615=0,0,IF(Inputs!$B$7="",0,COUNTIFS(Data!$E$10:$E$3209,"&gt;="&amp;$A615,Data!$E$10:$E$3209,"&lt;"&amp;$A615+1)))</f>
        <v/>
      </c>
      <c r="AF615">
        <f>IF($B615=0,0,IF(Inputs!$B$8="",0,COUNTIFS(Data!$I$10:$I$3209,"&gt;="&amp;$A615,Data!$I$10:$I$3209,"&lt;"&amp;$A615+1)))</f>
        <v/>
      </c>
      <c r="AG615">
        <f>IF($B615=0,0,IF(Inputs!$B$9="",0,COUNTIFS(Data!$M$10:$M$3209,"&gt;="&amp;$A615,Data!$M$10:$M$3209,"&lt;"&amp;$A615+1)))</f>
        <v/>
      </c>
      <c r="AH615">
        <f>IF($B615=0,0,IF(Inputs!$B$10="",0,COUNTIFS(Data!$Q$10:$Q$3209,"&gt;="&amp;$A615,Data!$Q$10:$Q$3209,"&lt;"&amp;$A615+1)))</f>
        <v/>
      </c>
    </row>
    <row r="616">
      <c r="A616" s="55">
        <f>MIN(Inputs!$C$15,$A615+IF(WEEKDAY($A615,2)=5,3,1))</f>
        <v/>
      </c>
      <c r="B616">
        <f>IF($A616&gt;$A615,1,0)</f>
        <v/>
      </c>
      <c r="C616" s="56">
        <f>IF($B616=0,"",IF(Inputs!$B$6="","",IF($AD616=0,C615,SUMIFS(Data!$B$10:$B$3209,Data!$A$10:$A$3209,"&gt;="&amp;$A616,Data!$A$10:$A$3209,"&lt;"&amp;$A616+1)/$AD616)))</f>
        <v/>
      </c>
      <c r="D616" s="56">
        <f>IF($B616=0,"",IF(Inputs!$B$7="","",IF($AE616=0,D615,SUMIFS(Data!$F$10:$F$3209,Data!$E$10:$E$3209,"&gt;="&amp;$A616,Data!$E$10:$E$3209,"&lt;"&amp;$A616+1)/$AE616)))</f>
        <v/>
      </c>
      <c r="E616" s="56">
        <f>IF($B616=0,"",IF(Inputs!$B$8="","",IF($AF616=0,E615,SUMIFS(Data!$J$10:$J$3209,Data!$I$10:$I$3209,"&gt;="&amp;$A616,Data!$I$10:$I$3209,"&lt;"&amp;$A616+1)/$AF616)))</f>
        <v/>
      </c>
      <c r="F616" s="56">
        <f>IF($B616=0,"",IF(Inputs!$B$9="","",IF($AG616=0,F615,SUMIFS(Data!$N$10:$N$3209,Data!$M$10:$M$3209,"&gt;="&amp;$A616,Data!$M$10:$M$3209,"&lt;"&amp;$A616+1)/$AG616)))</f>
        <v/>
      </c>
      <c r="G616" s="56">
        <f>IF($B616=0,"",IF(Inputs!$B$10="","",IF($AH616=0,G615,SUMIFS(Data!$R$10:$R$3209,Data!$Q$10:$Q$3209,"&gt;="&amp;$A616,Data!$Q$10:$Q$3209,"&lt;"&amp;$A616+1)/$AH616)))</f>
        <v/>
      </c>
      <c r="I616" s="54">
        <f>IF($B616=0,NA(),IF($C616="",NA(),IF(C$8="",NA(),IF(N(C$8)=0,NA(),IF(Inputs!$C$17="Rebased to 100",$C616/C$8*100,$C616)))))</f>
        <v/>
      </c>
      <c r="J616" s="54">
        <f>IF($B616=0,NA(),IF($D616="",NA(),IF(D$8="",NA(),IF(N(D$8)=0,NA(),IF(Inputs!$C$17="Rebased to 100",$D616/D$8*100,$D616)))))</f>
        <v/>
      </c>
      <c r="K616" s="54">
        <f>IF($B616=0,NA(),IF($E616="",NA(),IF(E$8="",NA(),IF(N(E$8)=0,NA(),IF(Inputs!$C$17="Rebased to 100",$E616/E$8*100,$E616)))))</f>
        <v/>
      </c>
      <c r="L616" s="54">
        <f>IF($B616=0,NA(),IF($F616="",NA(),IF(F$8="",NA(),IF(N(F$8)=0,NA(),IF(Inputs!$C$17="Rebased to 100",$F616/F$8*100,$F616)))))</f>
        <v/>
      </c>
      <c r="M616" s="54">
        <f>IF($B616=0,NA(),IF($G616="",NA(),IF(G$8="",NA(),IF(N(G$8)=0,NA(),IF(Inputs!$C$17="Rebased to 100",$G616/G$8*100,$G616)))))</f>
        <v/>
      </c>
      <c r="N616" s="54">
        <f>IF($B616=0,NA(),IF(Inputs!$C$18&lt;&gt;"Yes",NA(),IF(COUNT(I616,J616,K616,L616,M616)=0,NA(),MIN(I616,J616,K616,L616,M616))))</f>
        <v/>
      </c>
      <c r="O616" s="54">
        <f>IF($B616=0,NA(),IF(Inputs!$B$24&lt;&gt;"Yes",NA(),Inputs!$D$24*Inputs!$C$35))</f>
        <v/>
      </c>
      <c r="P616" s="54">
        <f>IF($B616=0,NA(),IF(Inputs!$B$25&lt;&gt;"Yes",NA(),Inputs!$D$25*Inputs!$C$35))</f>
        <v/>
      </c>
      <c r="Q616" s="54">
        <f>IF($B616=0,NA(),IF(Inputs!$B$26&lt;&gt;"Yes",NA(),Inputs!$D$26*Inputs!$C$35))</f>
        <v/>
      </c>
      <c r="R616" s="54">
        <f>IF($B616=0,NA(),IF(Inputs!$B$27&lt;&gt;"Yes",NA(),Inputs!$D$27*Inputs!$C$35))</f>
        <v/>
      </c>
      <c r="S616" s="54">
        <f>IF($B616=0,NA(),IF(Inputs!$B$28&lt;&gt;"Yes",NA(),Inputs!$D$28*Inputs!$C$35))</f>
        <v/>
      </c>
      <c r="T616" s="54">
        <f>IF($B616=0,NA(),IF(Inputs!$B$29&lt;&gt;"Yes",NA(),Inputs!$D$29*Inputs!$C$35))</f>
        <v/>
      </c>
      <c r="AD616">
        <f>IF($B616=0,0,IF(Inputs!$B$6="",0,COUNTIFS(Data!$A$10:$A$3209,"&gt;="&amp;$A616,Data!$A$10:$A$3209,"&lt;"&amp;$A616+1)))</f>
        <v/>
      </c>
      <c r="AE616">
        <f>IF($B616=0,0,IF(Inputs!$B$7="",0,COUNTIFS(Data!$E$10:$E$3209,"&gt;="&amp;$A616,Data!$E$10:$E$3209,"&lt;"&amp;$A616+1)))</f>
        <v/>
      </c>
      <c r="AF616">
        <f>IF($B616=0,0,IF(Inputs!$B$8="",0,COUNTIFS(Data!$I$10:$I$3209,"&gt;="&amp;$A616,Data!$I$10:$I$3209,"&lt;"&amp;$A616+1)))</f>
        <v/>
      </c>
      <c r="AG616">
        <f>IF($B616=0,0,IF(Inputs!$B$9="",0,COUNTIFS(Data!$M$10:$M$3209,"&gt;="&amp;$A616,Data!$M$10:$M$3209,"&lt;"&amp;$A616+1)))</f>
        <v/>
      </c>
      <c r="AH616">
        <f>IF($B616=0,0,IF(Inputs!$B$10="",0,COUNTIFS(Data!$Q$10:$Q$3209,"&gt;="&amp;$A616,Data!$Q$10:$Q$3209,"&lt;"&amp;$A616+1)))</f>
        <v/>
      </c>
    </row>
    <row r="617">
      <c r="A617" s="55">
        <f>MIN(Inputs!$C$15,$A616+IF(WEEKDAY($A616,2)=5,3,1))</f>
        <v/>
      </c>
      <c r="B617">
        <f>IF($A617&gt;$A616,1,0)</f>
        <v/>
      </c>
      <c r="C617" s="56">
        <f>IF($B617=0,"",IF(Inputs!$B$6="","",IF($AD617=0,C616,SUMIFS(Data!$B$10:$B$3209,Data!$A$10:$A$3209,"&gt;="&amp;$A617,Data!$A$10:$A$3209,"&lt;"&amp;$A617+1)/$AD617)))</f>
        <v/>
      </c>
      <c r="D617" s="56">
        <f>IF($B617=0,"",IF(Inputs!$B$7="","",IF($AE617=0,D616,SUMIFS(Data!$F$10:$F$3209,Data!$E$10:$E$3209,"&gt;="&amp;$A617,Data!$E$10:$E$3209,"&lt;"&amp;$A617+1)/$AE617)))</f>
        <v/>
      </c>
      <c r="E617" s="56">
        <f>IF($B617=0,"",IF(Inputs!$B$8="","",IF($AF617=0,E616,SUMIFS(Data!$J$10:$J$3209,Data!$I$10:$I$3209,"&gt;="&amp;$A617,Data!$I$10:$I$3209,"&lt;"&amp;$A617+1)/$AF617)))</f>
        <v/>
      </c>
      <c r="F617" s="56">
        <f>IF($B617=0,"",IF(Inputs!$B$9="","",IF($AG617=0,F616,SUMIFS(Data!$N$10:$N$3209,Data!$M$10:$M$3209,"&gt;="&amp;$A617,Data!$M$10:$M$3209,"&lt;"&amp;$A617+1)/$AG617)))</f>
        <v/>
      </c>
      <c r="G617" s="56">
        <f>IF($B617=0,"",IF(Inputs!$B$10="","",IF($AH617=0,G616,SUMIFS(Data!$R$10:$R$3209,Data!$Q$10:$Q$3209,"&gt;="&amp;$A617,Data!$Q$10:$Q$3209,"&lt;"&amp;$A617+1)/$AH617)))</f>
        <v/>
      </c>
      <c r="I617" s="54">
        <f>IF($B617=0,NA(),IF($C617="",NA(),IF(C$8="",NA(),IF(N(C$8)=0,NA(),IF(Inputs!$C$17="Rebased to 100",$C617/C$8*100,$C617)))))</f>
        <v/>
      </c>
      <c r="J617" s="54">
        <f>IF($B617=0,NA(),IF($D617="",NA(),IF(D$8="",NA(),IF(N(D$8)=0,NA(),IF(Inputs!$C$17="Rebased to 100",$D617/D$8*100,$D617)))))</f>
        <v/>
      </c>
      <c r="K617" s="54">
        <f>IF($B617=0,NA(),IF($E617="",NA(),IF(E$8="",NA(),IF(N(E$8)=0,NA(),IF(Inputs!$C$17="Rebased to 100",$E617/E$8*100,$E617)))))</f>
        <v/>
      </c>
      <c r="L617" s="54">
        <f>IF($B617=0,NA(),IF($F617="",NA(),IF(F$8="",NA(),IF(N(F$8)=0,NA(),IF(Inputs!$C$17="Rebased to 100",$F617/F$8*100,$F617)))))</f>
        <v/>
      </c>
      <c r="M617" s="54">
        <f>IF($B617=0,NA(),IF($G617="",NA(),IF(G$8="",NA(),IF(N(G$8)=0,NA(),IF(Inputs!$C$17="Rebased to 100",$G617/G$8*100,$G617)))))</f>
        <v/>
      </c>
      <c r="N617" s="54">
        <f>IF($B617=0,NA(),IF(Inputs!$C$18&lt;&gt;"Yes",NA(),IF(COUNT(I617,J617,K617,L617,M617)=0,NA(),MIN(I617,J617,K617,L617,M617))))</f>
        <v/>
      </c>
      <c r="O617" s="54">
        <f>IF($B617=0,NA(),IF(Inputs!$B$24&lt;&gt;"Yes",NA(),Inputs!$D$24*Inputs!$C$35))</f>
        <v/>
      </c>
      <c r="P617" s="54">
        <f>IF($B617=0,NA(),IF(Inputs!$B$25&lt;&gt;"Yes",NA(),Inputs!$D$25*Inputs!$C$35))</f>
        <v/>
      </c>
      <c r="Q617" s="54">
        <f>IF($B617=0,NA(),IF(Inputs!$B$26&lt;&gt;"Yes",NA(),Inputs!$D$26*Inputs!$C$35))</f>
        <v/>
      </c>
      <c r="R617" s="54">
        <f>IF($B617=0,NA(),IF(Inputs!$B$27&lt;&gt;"Yes",NA(),Inputs!$D$27*Inputs!$C$35))</f>
        <v/>
      </c>
      <c r="S617" s="54">
        <f>IF($B617=0,NA(),IF(Inputs!$B$28&lt;&gt;"Yes",NA(),Inputs!$D$28*Inputs!$C$35))</f>
        <v/>
      </c>
      <c r="T617" s="54">
        <f>IF($B617=0,NA(),IF(Inputs!$B$29&lt;&gt;"Yes",NA(),Inputs!$D$29*Inputs!$C$35))</f>
        <v/>
      </c>
      <c r="AD617">
        <f>IF($B617=0,0,IF(Inputs!$B$6="",0,COUNTIFS(Data!$A$10:$A$3209,"&gt;="&amp;$A617,Data!$A$10:$A$3209,"&lt;"&amp;$A617+1)))</f>
        <v/>
      </c>
      <c r="AE617">
        <f>IF($B617=0,0,IF(Inputs!$B$7="",0,COUNTIFS(Data!$E$10:$E$3209,"&gt;="&amp;$A617,Data!$E$10:$E$3209,"&lt;"&amp;$A617+1)))</f>
        <v/>
      </c>
      <c r="AF617">
        <f>IF($B617=0,0,IF(Inputs!$B$8="",0,COUNTIFS(Data!$I$10:$I$3209,"&gt;="&amp;$A617,Data!$I$10:$I$3209,"&lt;"&amp;$A617+1)))</f>
        <v/>
      </c>
      <c r="AG617">
        <f>IF($B617=0,0,IF(Inputs!$B$9="",0,COUNTIFS(Data!$M$10:$M$3209,"&gt;="&amp;$A617,Data!$M$10:$M$3209,"&lt;"&amp;$A617+1)))</f>
        <v/>
      </c>
      <c r="AH617">
        <f>IF($B617=0,0,IF(Inputs!$B$10="",0,COUNTIFS(Data!$Q$10:$Q$3209,"&gt;="&amp;$A617,Data!$Q$10:$Q$3209,"&lt;"&amp;$A617+1)))</f>
        <v/>
      </c>
    </row>
    <row r="618">
      <c r="A618" s="55">
        <f>MIN(Inputs!$C$15,$A617+IF(WEEKDAY($A617,2)=5,3,1))</f>
        <v/>
      </c>
      <c r="B618">
        <f>IF($A618&gt;$A617,1,0)</f>
        <v/>
      </c>
      <c r="C618" s="56">
        <f>IF($B618=0,"",IF(Inputs!$B$6="","",IF($AD618=0,C617,SUMIFS(Data!$B$10:$B$3209,Data!$A$10:$A$3209,"&gt;="&amp;$A618,Data!$A$10:$A$3209,"&lt;"&amp;$A618+1)/$AD618)))</f>
        <v/>
      </c>
      <c r="D618" s="56">
        <f>IF($B618=0,"",IF(Inputs!$B$7="","",IF($AE618=0,D617,SUMIFS(Data!$F$10:$F$3209,Data!$E$10:$E$3209,"&gt;="&amp;$A618,Data!$E$10:$E$3209,"&lt;"&amp;$A618+1)/$AE618)))</f>
        <v/>
      </c>
      <c r="E618" s="56">
        <f>IF($B618=0,"",IF(Inputs!$B$8="","",IF($AF618=0,E617,SUMIFS(Data!$J$10:$J$3209,Data!$I$10:$I$3209,"&gt;="&amp;$A618,Data!$I$10:$I$3209,"&lt;"&amp;$A618+1)/$AF618)))</f>
        <v/>
      </c>
      <c r="F618" s="56">
        <f>IF($B618=0,"",IF(Inputs!$B$9="","",IF($AG618=0,F617,SUMIFS(Data!$N$10:$N$3209,Data!$M$10:$M$3209,"&gt;="&amp;$A618,Data!$M$10:$M$3209,"&lt;"&amp;$A618+1)/$AG618)))</f>
        <v/>
      </c>
      <c r="G618" s="56">
        <f>IF($B618=0,"",IF(Inputs!$B$10="","",IF($AH618=0,G617,SUMIFS(Data!$R$10:$R$3209,Data!$Q$10:$Q$3209,"&gt;="&amp;$A618,Data!$Q$10:$Q$3209,"&lt;"&amp;$A618+1)/$AH618)))</f>
        <v/>
      </c>
      <c r="I618" s="54">
        <f>IF($B618=0,NA(),IF($C618="",NA(),IF(C$8="",NA(),IF(N(C$8)=0,NA(),IF(Inputs!$C$17="Rebased to 100",$C618/C$8*100,$C618)))))</f>
        <v/>
      </c>
      <c r="J618" s="54">
        <f>IF($B618=0,NA(),IF($D618="",NA(),IF(D$8="",NA(),IF(N(D$8)=0,NA(),IF(Inputs!$C$17="Rebased to 100",$D618/D$8*100,$D618)))))</f>
        <v/>
      </c>
      <c r="K618" s="54">
        <f>IF($B618=0,NA(),IF($E618="",NA(),IF(E$8="",NA(),IF(N(E$8)=0,NA(),IF(Inputs!$C$17="Rebased to 100",$E618/E$8*100,$E618)))))</f>
        <v/>
      </c>
      <c r="L618" s="54">
        <f>IF($B618=0,NA(),IF($F618="",NA(),IF(F$8="",NA(),IF(N(F$8)=0,NA(),IF(Inputs!$C$17="Rebased to 100",$F618/F$8*100,$F618)))))</f>
        <v/>
      </c>
      <c r="M618" s="54">
        <f>IF($B618=0,NA(),IF($G618="",NA(),IF(G$8="",NA(),IF(N(G$8)=0,NA(),IF(Inputs!$C$17="Rebased to 100",$G618/G$8*100,$G618)))))</f>
        <v/>
      </c>
      <c r="N618" s="54">
        <f>IF($B618=0,NA(),IF(Inputs!$C$18&lt;&gt;"Yes",NA(),IF(COUNT(I618,J618,K618,L618,M618)=0,NA(),MIN(I618,J618,K618,L618,M618))))</f>
        <v/>
      </c>
      <c r="O618" s="54">
        <f>IF($B618=0,NA(),IF(Inputs!$B$24&lt;&gt;"Yes",NA(),Inputs!$D$24*Inputs!$C$35))</f>
        <v/>
      </c>
      <c r="P618" s="54">
        <f>IF($B618=0,NA(),IF(Inputs!$B$25&lt;&gt;"Yes",NA(),Inputs!$D$25*Inputs!$C$35))</f>
        <v/>
      </c>
      <c r="Q618" s="54">
        <f>IF($B618=0,NA(),IF(Inputs!$B$26&lt;&gt;"Yes",NA(),Inputs!$D$26*Inputs!$C$35))</f>
        <v/>
      </c>
      <c r="R618" s="54">
        <f>IF($B618=0,NA(),IF(Inputs!$B$27&lt;&gt;"Yes",NA(),Inputs!$D$27*Inputs!$C$35))</f>
        <v/>
      </c>
      <c r="S618" s="54">
        <f>IF($B618=0,NA(),IF(Inputs!$B$28&lt;&gt;"Yes",NA(),Inputs!$D$28*Inputs!$C$35))</f>
        <v/>
      </c>
      <c r="T618" s="54">
        <f>IF($B618=0,NA(),IF(Inputs!$B$29&lt;&gt;"Yes",NA(),Inputs!$D$29*Inputs!$C$35))</f>
        <v/>
      </c>
      <c r="AD618">
        <f>IF($B618=0,0,IF(Inputs!$B$6="",0,COUNTIFS(Data!$A$10:$A$3209,"&gt;="&amp;$A618,Data!$A$10:$A$3209,"&lt;"&amp;$A618+1)))</f>
        <v/>
      </c>
      <c r="AE618">
        <f>IF($B618=0,0,IF(Inputs!$B$7="",0,COUNTIFS(Data!$E$10:$E$3209,"&gt;="&amp;$A618,Data!$E$10:$E$3209,"&lt;"&amp;$A618+1)))</f>
        <v/>
      </c>
      <c r="AF618">
        <f>IF($B618=0,0,IF(Inputs!$B$8="",0,COUNTIFS(Data!$I$10:$I$3209,"&gt;="&amp;$A618,Data!$I$10:$I$3209,"&lt;"&amp;$A618+1)))</f>
        <v/>
      </c>
      <c r="AG618">
        <f>IF($B618=0,0,IF(Inputs!$B$9="",0,COUNTIFS(Data!$M$10:$M$3209,"&gt;="&amp;$A618,Data!$M$10:$M$3209,"&lt;"&amp;$A618+1)))</f>
        <v/>
      </c>
      <c r="AH618">
        <f>IF($B618=0,0,IF(Inputs!$B$10="",0,COUNTIFS(Data!$Q$10:$Q$3209,"&gt;="&amp;$A618,Data!$Q$10:$Q$3209,"&lt;"&amp;$A618+1)))</f>
        <v/>
      </c>
    </row>
    <row r="619">
      <c r="A619" s="55">
        <f>MIN(Inputs!$C$15,$A618+IF(WEEKDAY($A618,2)=5,3,1))</f>
        <v/>
      </c>
      <c r="B619">
        <f>IF($A619&gt;$A618,1,0)</f>
        <v/>
      </c>
      <c r="C619" s="56">
        <f>IF($B619=0,"",IF(Inputs!$B$6="","",IF($AD619=0,C618,SUMIFS(Data!$B$10:$B$3209,Data!$A$10:$A$3209,"&gt;="&amp;$A619,Data!$A$10:$A$3209,"&lt;"&amp;$A619+1)/$AD619)))</f>
        <v/>
      </c>
      <c r="D619" s="56">
        <f>IF($B619=0,"",IF(Inputs!$B$7="","",IF($AE619=0,D618,SUMIFS(Data!$F$10:$F$3209,Data!$E$10:$E$3209,"&gt;="&amp;$A619,Data!$E$10:$E$3209,"&lt;"&amp;$A619+1)/$AE619)))</f>
        <v/>
      </c>
      <c r="E619" s="56">
        <f>IF($B619=0,"",IF(Inputs!$B$8="","",IF($AF619=0,E618,SUMIFS(Data!$J$10:$J$3209,Data!$I$10:$I$3209,"&gt;="&amp;$A619,Data!$I$10:$I$3209,"&lt;"&amp;$A619+1)/$AF619)))</f>
        <v/>
      </c>
      <c r="F619" s="56">
        <f>IF($B619=0,"",IF(Inputs!$B$9="","",IF($AG619=0,F618,SUMIFS(Data!$N$10:$N$3209,Data!$M$10:$M$3209,"&gt;="&amp;$A619,Data!$M$10:$M$3209,"&lt;"&amp;$A619+1)/$AG619)))</f>
        <v/>
      </c>
      <c r="G619" s="56">
        <f>IF($B619=0,"",IF(Inputs!$B$10="","",IF($AH619=0,G618,SUMIFS(Data!$R$10:$R$3209,Data!$Q$10:$Q$3209,"&gt;="&amp;$A619,Data!$Q$10:$Q$3209,"&lt;"&amp;$A619+1)/$AH619)))</f>
        <v/>
      </c>
      <c r="I619" s="54">
        <f>IF($B619=0,NA(),IF($C619="",NA(),IF(C$8="",NA(),IF(N(C$8)=0,NA(),IF(Inputs!$C$17="Rebased to 100",$C619/C$8*100,$C619)))))</f>
        <v/>
      </c>
      <c r="J619" s="54">
        <f>IF($B619=0,NA(),IF($D619="",NA(),IF(D$8="",NA(),IF(N(D$8)=0,NA(),IF(Inputs!$C$17="Rebased to 100",$D619/D$8*100,$D619)))))</f>
        <v/>
      </c>
      <c r="K619" s="54">
        <f>IF($B619=0,NA(),IF($E619="",NA(),IF(E$8="",NA(),IF(N(E$8)=0,NA(),IF(Inputs!$C$17="Rebased to 100",$E619/E$8*100,$E619)))))</f>
        <v/>
      </c>
      <c r="L619" s="54">
        <f>IF($B619=0,NA(),IF($F619="",NA(),IF(F$8="",NA(),IF(N(F$8)=0,NA(),IF(Inputs!$C$17="Rebased to 100",$F619/F$8*100,$F619)))))</f>
        <v/>
      </c>
      <c r="M619" s="54">
        <f>IF($B619=0,NA(),IF($G619="",NA(),IF(G$8="",NA(),IF(N(G$8)=0,NA(),IF(Inputs!$C$17="Rebased to 100",$G619/G$8*100,$G619)))))</f>
        <v/>
      </c>
      <c r="N619" s="54">
        <f>IF($B619=0,NA(),IF(Inputs!$C$18&lt;&gt;"Yes",NA(),IF(COUNT(I619,J619,K619,L619,M619)=0,NA(),MIN(I619,J619,K619,L619,M619))))</f>
        <v/>
      </c>
      <c r="O619" s="54">
        <f>IF($B619=0,NA(),IF(Inputs!$B$24&lt;&gt;"Yes",NA(),Inputs!$D$24*Inputs!$C$35))</f>
        <v/>
      </c>
      <c r="P619" s="54">
        <f>IF($B619=0,NA(),IF(Inputs!$B$25&lt;&gt;"Yes",NA(),Inputs!$D$25*Inputs!$C$35))</f>
        <v/>
      </c>
      <c r="Q619" s="54">
        <f>IF($B619=0,NA(),IF(Inputs!$B$26&lt;&gt;"Yes",NA(),Inputs!$D$26*Inputs!$C$35))</f>
        <v/>
      </c>
      <c r="R619" s="54">
        <f>IF($B619=0,NA(),IF(Inputs!$B$27&lt;&gt;"Yes",NA(),Inputs!$D$27*Inputs!$C$35))</f>
        <v/>
      </c>
      <c r="S619" s="54">
        <f>IF($B619=0,NA(),IF(Inputs!$B$28&lt;&gt;"Yes",NA(),Inputs!$D$28*Inputs!$C$35))</f>
        <v/>
      </c>
      <c r="T619" s="54">
        <f>IF($B619=0,NA(),IF(Inputs!$B$29&lt;&gt;"Yes",NA(),Inputs!$D$29*Inputs!$C$35))</f>
        <v/>
      </c>
      <c r="AD619">
        <f>IF($B619=0,0,IF(Inputs!$B$6="",0,COUNTIFS(Data!$A$10:$A$3209,"&gt;="&amp;$A619,Data!$A$10:$A$3209,"&lt;"&amp;$A619+1)))</f>
        <v/>
      </c>
      <c r="AE619">
        <f>IF($B619=0,0,IF(Inputs!$B$7="",0,COUNTIFS(Data!$E$10:$E$3209,"&gt;="&amp;$A619,Data!$E$10:$E$3209,"&lt;"&amp;$A619+1)))</f>
        <v/>
      </c>
      <c r="AF619">
        <f>IF($B619=0,0,IF(Inputs!$B$8="",0,COUNTIFS(Data!$I$10:$I$3209,"&gt;="&amp;$A619,Data!$I$10:$I$3209,"&lt;"&amp;$A619+1)))</f>
        <v/>
      </c>
      <c r="AG619">
        <f>IF($B619=0,0,IF(Inputs!$B$9="",0,COUNTIFS(Data!$M$10:$M$3209,"&gt;="&amp;$A619,Data!$M$10:$M$3209,"&lt;"&amp;$A619+1)))</f>
        <v/>
      </c>
      <c r="AH619">
        <f>IF($B619=0,0,IF(Inputs!$B$10="",0,COUNTIFS(Data!$Q$10:$Q$3209,"&gt;="&amp;$A619,Data!$Q$10:$Q$3209,"&lt;"&amp;$A619+1)))</f>
        <v/>
      </c>
    </row>
    <row r="620">
      <c r="A620" s="55">
        <f>MIN(Inputs!$C$15,$A619+IF(WEEKDAY($A619,2)=5,3,1))</f>
        <v/>
      </c>
      <c r="B620">
        <f>IF($A620&gt;$A619,1,0)</f>
        <v/>
      </c>
      <c r="C620" s="56">
        <f>IF($B620=0,"",IF(Inputs!$B$6="","",IF($AD620=0,C619,SUMIFS(Data!$B$10:$B$3209,Data!$A$10:$A$3209,"&gt;="&amp;$A620,Data!$A$10:$A$3209,"&lt;"&amp;$A620+1)/$AD620)))</f>
        <v/>
      </c>
      <c r="D620" s="56">
        <f>IF($B620=0,"",IF(Inputs!$B$7="","",IF($AE620=0,D619,SUMIFS(Data!$F$10:$F$3209,Data!$E$10:$E$3209,"&gt;="&amp;$A620,Data!$E$10:$E$3209,"&lt;"&amp;$A620+1)/$AE620)))</f>
        <v/>
      </c>
      <c r="E620" s="56">
        <f>IF($B620=0,"",IF(Inputs!$B$8="","",IF($AF620=0,E619,SUMIFS(Data!$J$10:$J$3209,Data!$I$10:$I$3209,"&gt;="&amp;$A620,Data!$I$10:$I$3209,"&lt;"&amp;$A620+1)/$AF620)))</f>
        <v/>
      </c>
      <c r="F620" s="56">
        <f>IF($B620=0,"",IF(Inputs!$B$9="","",IF($AG620=0,F619,SUMIFS(Data!$N$10:$N$3209,Data!$M$10:$M$3209,"&gt;="&amp;$A620,Data!$M$10:$M$3209,"&lt;"&amp;$A620+1)/$AG620)))</f>
        <v/>
      </c>
      <c r="G620" s="56">
        <f>IF($B620=0,"",IF(Inputs!$B$10="","",IF($AH620=0,G619,SUMIFS(Data!$R$10:$R$3209,Data!$Q$10:$Q$3209,"&gt;="&amp;$A620,Data!$Q$10:$Q$3209,"&lt;"&amp;$A620+1)/$AH620)))</f>
        <v/>
      </c>
      <c r="I620" s="54">
        <f>IF($B620=0,NA(),IF($C620="",NA(),IF(C$8="",NA(),IF(N(C$8)=0,NA(),IF(Inputs!$C$17="Rebased to 100",$C620/C$8*100,$C620)))))</f>
        <v/>
      </c>
      <c r="J620" s="54">
        <f>IF($B620=0,NA(),IF($D620="",NA(),IF(D$8="",NA(),IF(N(D$8)=0,NA(),IF(Inputs!$C$17="Rebased to 100",$D620/D$8*100,$D620)))))</f>
        <v/>
      </c>
      <c r="K620" s="54">
        <f>IF($B620=0,NA(),IF($E620="",NA(),IF(E$8="",NA(),IF(N(E$8)=0,NA(),IF(Inputs!$C$17="Rebased to 100",$E620/E$8*100,$E620)))))</f>
        <v/>
      </c>
      <c r="L620" s="54">
        <f>IF($B620=0,NA(),IF($F620="",NA(),IF(F$8="",NA(),IF(N(F$8)=0,NA(),IF(Inputs!$C$17="Rebased to 100",$F620/F$8*100,$F620)))))</f>
        <v/>
      </c>
      <c r="M620" s="54">
        <f>IF($B620=0,NA(),IF($G620="",NA(),IF(G$8="",NA(),IF(N(G$8)=0,NA(),IF(Inputs!$C$17="Rebased to 100",$G620/G$8*100,$G620)))))</f>
        <v/>
      </c>
      <c r="N620" s="54">
        <f>IF($B620=0,NA(),IF(Inputs!$C$18&lt;&gt;"Yes",NA(),IF(COUNT(I620,J620,K620,L620,M620)=0,NA(),MIN(I620,J620,K620,L620,M620))))</f>
        <v/>
      </c>
      <c r="O620" s="54">
        <f>IF($B620=0,NA(),IF(Inputs!$B$24&lt;&gt;"Yes",NA(),Inputs!$D$24*Inputs!$C$35))</f>
        <v/>
      </c>
      <c r="P620" s="54">
        <f>IF($B620=0,NA(),IF(Inputs!$B$25&lt;&gt;"Yes",NA(),Inputs!$D$25*Inputs!$C$35))</f>
        <v/>
      </c>
      <c r="Q620" s="54">
        <f>IF($B620=0,NA(),IF(Inputs!$B$26&lt;&gt;"Yes",NA(),Inputs!$D$26*Inputs!$C$35))</f>
        <v/>
      </c>
      <c r="R620" s="54">
        <f>IF($B620=0,NA(),IF(Inputs!$B$27&lt;&gt;"Yes",NA(),Inputs!$D$27*Inputs!$C$35))</f>
        <v/>
      </c>
      <c r="S620" s="54">
        <f>IF($B620=0,NA(),IF(Inputs!$B$28&lt;&gt;"Yes",NA(),Inputs!$D$28*Inputs!$C$35))</f>
        <v/>
      </c>
      <c r="T620" s="54">
        <f>IF($B620=0,NA(),IF(Inputs!$B$29&lt;&gt;"Yes",NA(),Inputs!$D$29*Inputs!$C$35))</f>
        <v/>
      </c>
      <c r="AD620">
        <f>IF($B620=0,0,IF(Inputs!$B$6="",0,COUNTIFS(Data!$A$10:$A$3209,"&gt;="&amp;$A620,Data!$A$10:$A$3209,"&lt;"&amp;$A620+1)))</f>
        <v/>
      </c>
      <c r="AE620">
        <f>IF($B620=0,0,IF(Inputs!$B$7="",0,COUNTIFS(Data!$E$10:$E$3209,"&gt;="&amp;$A620,Data!$E$10:$E$3209,"&lt;"&amp;$A620+1)))</f>
        <v/>
      </c>
      <c r="AF620">
        <f>IF($B620=0,0,IF(Inputs!$B$8="",0,COUNTIFS(Data!$I$10:$I$3209,"&gt;="&amp;$A620,Data!$I$10:$I$3209,"&lt;"&amp;$A620+1)))</f>
        <v/>
      </c>
      <c r="AG620">
        <f>IF($B620=0,0,IF(Inputs!$B$9="",0,COUNTIFS(Data!$M$10:$M$3209,"&gt;="&amp;$A620,Data!$M$10:$M$3209,"&lt;"&amp;$A620+1)))</f>
        <v/>
      </c>
      <c r="AH620">
        <f>IF($B620=0,0,IF(Inputs!$B$10="",0,COUNTIFS(Data!$Q$10:$Q$3209,"&gt;="&amp;$A620,Data!$Q$10:$Q$3209,"&lt;"&amp;$A620+1)))</f>
        <v/>
      </c>
    </row>
    <row r="621">
      <c r="A621" s="55">
        <f>MIN(Inputs!$C$15,$A620+IF(WEEKDAY($A620,2)=5,3,1))</f>
        <v/>
      </c>
      <c r="B621">
        <f>IF($A621&gt;$A620,1,0)</f>
        <v/>
      </c>
      <c r="C621" s="56">
        <f>IF($B621=0,"",IF(Inputs!$B$6="","",IF($AD621=0,C620,SUMIFS(Data!$B$10:$B$3209,Data!$A$10:$A$3209,"&gt;="&amp;$A621,Data!$A$10:$A$3209,"&lt;"&amp;$A621+1)/$AD621)))</f>
        <v/>
      </c>
      <c r="D621" s="56">
        <f>IF($B621=0,"",IF(Inputs!$B$7="","",IF($AE621=0,D620,SUMIFS(Data!$F$10:$F$3209,Data!$E$10:$E$3209,"&gt;="&amp;$A621,Data!$E$10:$E$3209,"&lt;"&amp;$A621+1)/$AE621)))</f>
        <v/>
      </c>
      <c r="E621" s="56">
        <f>IF($B621=0,"",IF(Inputs!$B$8="","",IF($AF621=0,E620,SUMIFS(Data!$J$10:$J$3209,Data!$I$10:$I$3209,"&gt;="&amp;$A621,Data!$I$10:$I$3209,"&lt;"&amp;$A621+1)/$AF621)))</f>
        <v/>
      </c>
      <c r="F621" s="56">
        <f>IF($B621=0,"",IF(Inputs!$B$9="","",IF($AG621=0,F620,SUMIFS(Data!$N$10:$N$3209,Data!$M$10:$M$3209,"&gt;="&amp;$A621,Data!$M$10:$M$3209,"&lt;"&amp;$A621+1)/$AG621)))</f>
        <v/>
      </c>
      <c r="G621" s="56">
        <f>IF($B621=0,"",IF(Inputs!$B$10="","",IF($AH621=0,G620,SUMIFS(Data!$R$10:$R$3209,Data!$Q$10:$Q$3209,"&gt;="&amp;$A621,Data!$Q$10:$Q$3209,"&lt;"&amp;$A621+1)/$AH621)))</f>
        <v/>
      </c>
      <c r="I621" s="54">
        <f>IF($B621=0,NA(),IF($C621="",NA(),IF(C$8="",NA(),IF(N(C$8)=0,NA(),IF(Inputs!$C$17="Rebased to 100",$C621/C$8*100,$C621)))))</f>
        <v/>
      </c>
      <c r="J621" s="54">
        <f>IF($B621=0,NA(),IF($D621="",NA(),IF(D$8="",NA(),IF(N(D$8)=0,NA(),IF(Inputs!$C$17="Rebased to 100",$D621/D$8*100,$D621)))))</f>
        <v/>
      </c>
      <c r="K621" s="54">
        <f>IF($B621=0,NA(),IF($E621="",NA(),IF(E$8="",NA(),IF(N(E$8)=0,NA(),IF(Inputs!$C$17="Rebased to 100",$E621/E$8*100,$E621)))))</f>
        <v/>
      </c>
      <c r="L621" s="54">
        <f>IF($B621=0,NA(),IF($F621="",NA(),IF(F$8="",NA(),IF(N(F$8)=0,NA(),IF(Inputs!$C$17="Rebased to 100",$F621/F$8*100,$F621)))))</f>
        <v/>
      </c>
      <c r="M621" s="54">
        <f>IF($B621=0,NA(),IF($G621="",NA(),IF(G$8="",NA(),IF(N(G$8)=0,NA(),IF(Inputs!$C$17="Rebased to 100",$G621/G$8*100,$G621)))))</f>
        <v/>
      </c>
      <c r="N621" s="54">
        <f>IF($B621=0,NA(),IF(Inputs!$C$18&lt;&gt;"Yes",NA(),IF(COUNT(I621,J621,K621,L621,M621)=0,NA(),MIN(I621,J621,K621,L621,M621))))</f>
        <v/>
      </c>
      <c r="O621" s="54">
        <f>IF($B621=0,NA(),IF(Inputs!$B$24&lt;&gt;"Yes",NA(),Inputs!$D$24*Inputs!$C$35))</f>
        <v/>
      </c>
      <c r="P621" s="54">
        <f>IF($B621=0,NA(),IF(Inputs!$B$25&lt;&gt;"Yes",NA(),Inputs!$D$25*Inputs!$C$35))</f>
        <v/>
      </c>
      <c r="Q621" s="54">
        <f>IF($B621=0,NA(),IF(Inputs!$B$26&lt;&gt;"Yes",NA(),Inputs!$D$26*Inputs!$C$35))</f>
        <v/>
      </c>
      <c r="R621" s="54">
        <f>IF($B621=0,NA(),IF(Inputs!$B$27&lt;&gt;"Yes",NA(),Inputs!$D$27*Inputs!$C$35))</f>
        <v/>
      </c>
      <c r="S621" s="54">
        <f>IF($B621=0,NA(),IF(Inputs!$B$28&lt;&gt;"Yes",NA(),Inputs!$D$28*Inputs!$C$35))</f>
        <v/>
      </c>
      <c r="T621" s="54">
        <f>IF($B621=0,NA(),IF(Inputs!$B$29&lt;&gt;"Yes",NA(),Inputs!$D$29*Inputs!$C$35))</f>
        <v/>
      </c>
      <c r="AD621">
        <f>IF($B621=0,0,IF(Inputs!$B$6="",0,COUNTIFS(Data!$A$10:$A$3209,"&gt;="&amp;$A621,Data!$A$10:$A$3209,"&lt;"&amp;$A621+1)))</f>
        <v/>
      </c>
      <c r="AE621">
        <f>IF($B621=0,0,IF(Inputs!$B$7="",0,COUNTIFS(Data!$E$10:$E$3209,"&gt;="&amp;$A621,Data!$E$10:$E$3209,"&lt;"&amp;$A621+1)))</f>
        <v/>
      </c>
      <c r="AF621">
        <f>IF($B621=0,0,IF(Inputs!$B$8="",0,COUNTIFS(Data!$I$10:$I$3209,"&gt;="&amp;$A621,Data!$I$10:$I$3209,"&lt;"&amp;$A621+1)))</f>
        <v/>
      </c>
      <c r="AG621">
        <f>IF($B621=0,0,IF(Inputs!$B$9="",0,COUNTIFS(Data!$M$10:$M$3209,"&gt;="&amp;$A621,Data!$M$10:$M$3209,"&lt;"&amp;$A621+1)))</f>
        <v/>
      </c>
      <c r="AH621">
        <f>IF($B621=0,0,IF(Inputs!$B$10="",0,COUNTIFS(Data!$Q$10:$Q$3209,"&gt;="&amp;$A621,Data!$Q$10:$Q$3209,"&lt;"&amp;$A621+1)))</f>
        <v/>
      </c>
    </row>
    <row r="622">
      <c r="A622" s="55">
        <f>MIN(Inputs!$C$15,$A621+IF(WEEKDAY($A621,2)=5,3,1))</f>
        <v/>
      </c>
      <c r="B622">
        <f>IF($A622&gt;$A621,1,0)</f>
        <v/>
      </c>
      <c r="C622" s="56">
        <f>IF($B622=0,"",IF(Inputs!$B$6="","",IF($AD622=0,C621,SUMIFS(Data!$B$10:$B$3209,Data!$A$10:$A$3209,"&gt;="&amp;$A622,Data!$A$10:$A$3209,"&lt;"&amp;$A622+1)/$AD622)))</f>
        <v/>
      </c>
      <c r="D622" s="56">
        <f>IF($B622=0,"",IF(Inputs!$B$7="","",IF($AE622=0,D621,SUMIFS(Data!$F$10:$F$3209,Data!$E$10:$E$3209,"&gt;="&amp;$A622,Data!$E$10:$E$3209,"&lt;"&amp;$A622+1)/$AE622)))</f>
        <v/>
      </c>
      <c r="E622" s="56">
        <f>IF($B622=0,"",IF(Inputs!$B$8="","",IF($AF622=0,E621,SUMIFS(Data!$J$10:$J$3209,Data!$I$10:$I$3209,"&gt;="&amp;$A622,Data!$I$10:$I$3209,"&lt;"&amp;$A622+1)/$AF622)))</f>
        <v/>
      </c>
      <c r="F622" s="56">
        <f>IF($B622=0,"",IF(Inputs!$B$9="","",IF($AG622=0,F621,SUMIFS(Data!$N$10:$N$3209,Data!$M$10:$M$3209,"&gt;="&amp;$A622,Data!$M$10:$M$3209,"&lt;"&amp;$A622+1)/$AG622)))</f>
        <v/>
      </c>
      <c r="G622" s="56">
        <f>IF($B622=0,"",IF(Inputs!$B$10="","",IF($AH622=0,G621,SUMIFS(Data!$R$10:$R$3209,Data!$Q$10:$Q$3209,"&gt;="&amp;$A622,Data!$Q$10:$Q$3209,"&lt;"&amp;$A622+1)/$AH622)))</f>
        <v/>
      </c>
      <c r="I622" s="54">
        <f>IF($B622=0,NA(),IF($C622="",NA(),IF(C$8="",NA(),IF(N(C$8)=0,NA(),IF(Inputs!$C$17="Rebased to 100",$C622/C$8*100,$C622)))))</f>
        <v/>
      </c>
      <c r="J622" s="54">
        <f>IF($B622=0,NA(),IF($D622="",NA(),IF(D$8="",NA(),IF(N(D$8)=0,NA(),IF(Inputs!$C$17="Rebased to 100",$D622/D$8*100,$D622)))))</f>
        <v/>
      </c>
      <c r="K622" s="54">
        <f>IF($B622=0,NA(),IF($E622="",NA(),IF(E$8="",NA(),IF(N(E$8)=0,NA(),IF(Inputs!$C$17="Rebased to 100",$E622/E$8*100,$E622)))))</f>
        <v/>
      </c>
      <c r="L622" s="54">
        <f>IF($B622=0,NA(),IF($F622="",NA(),IF(F$8="",NA(),IF(N(F$8)=0,NA(),IF(Inputs!$C$17="Rebased to 100",$F622/F$8*100,$F622)))))</f>
        <v/>
      </c>
      <c r="M622" s="54">
        <f>IF($B622=0,NA(),IF($G622="",NA(),IF(G$8="",NA(),IF(N(G$8)=0,NA(),IF(Inputs!$C$17="Rebased to 100",$G622/G$8*100,$G622)))))</f>
        <v/>
      </c>
      <c r="N622" s="54">
        <f>IF($B622=0,NA(),IF(Inputs!$C$18&lt;&gt;"Yes",NA(),IF(COUNT(I622,J622,K622,L622,M622)=0,NA(),MIN(I622,J622,K622,L622,M622))))</f>
        <v/>
      </c>
      <c r="O622" s="54">
        <f>IF($B622=0,NA(),IF(Inputs!$B$24&lt;&gt;"Yes",NA(),Inputs!$D$24*Inputs!$C$35))</f>
        <v/>
      </c>
      <c r="P622" s="54">
        <f>IF($B622=0,NA(),IF(Inputs!$B$25&lt;&gt;"Yes",NA(),Inputs!$D$25*Inputs!$C$35))</f>
        <v/>
      </c>
      <c r="Q622" s="54">
        <f>IF($B622=0,NA(),IF(Inputs!$B$26&lt;&gt;"Yes",NA(),Inputs!$D$26*Inputs!$C$35))</f>
        <v/>
      </c>
      <c r="R622" s="54">
        <f>IF($B622=0,NA(),IF(Inputs!$B$27&lt;&gt;"Yes",NA(),Inputs!$D$27*Inputs!$C$35))</f>
        <v/>
      </c>
      <c r="S622" s="54">
        <f>IF($B622=0,NA(),IF(Inputs!$B$28&lt;&gt;"Yes",NA(),Inputs!$D$28*Inputs!$C$35))</f>
        <v/>
      </c>
      <c r="T622" s="54">
        <f>IF($B622=0,NA(),IF(Inputs!$B$29&lt;&gt;"Yes",NA(),Inputs!$D$29*Inputs!$C$35))</f>
        <v/>
      </c>
      <c r="AD622">
        <f>IF($B622=0,0,IF(Inputs!$B$6="",0,COUNTIFS(Data!$A$10:$A$3209,"&gt;="&amp;$A622,Data!$A$10:$A$3209,"&lt;"&amp;$A622+1)))</f>
        <v/>
      </c>
      <c r="AE622">
        <f>IF($B622=0,0,IF(Inputs!$B$7="",0,COUNTIFS(Data!$E$10:$E$3209,"&gt;="&amp;$A622,Data!$E$10:$E$3209,"&lt;"&amp;$A622+1)))</f>
        <v/>
      </c>
      <c r="AF622">
        <f>IF($B622=0,0,IF(Inputs!$B$8="",0,COUNTIFS(Data!$I$10:$I$3209,"&gt;="&amp;$A622,Data!$I$10:$I$3209,"&lt;"&amp;$A622+1)))</f>
        <v/>
      </c>
      <c r="AG622">
        <f>IF($B622=0,0,IF(Inputs!$B$9="",0,COUNTIFS(Data!$M$10:$M$3209,"&gt;="&amp;$A622,Data!$M$10:$M$3209,"&lt;"&amp;$A622+1)))</f>
        <v/>
      </c>
      <c r="AH622">
        <f>IF($B622=0,0,IF(Inputs!$B$10="",0,COUNTIFS(Data!$Q$10:$Q$3209,"&gt;="&amp;$A622,Data!$Q$10:$Q$3209,"&lt;"&amp;$A622+1)))</f>
        <v/>
      </c>
    </row>
    <row r="623">
      <c r="A623" s="55">
        <f>MIN(Inputs!$C$15,$A622+IF(WEEKDAY($A622,2)=5,3,1))</f>
        <v/>
      </c>
      <c r="B623">
        <f>IF($A623&gt;$A622,1,0)</f>
        <v/>
      </c>
      <c r="C623" s="56">
        <f>IF($B623=0,"",IF(Inputs!$B$6="","",IF($AD623=0,C622,SUMIFS(Data!$B$10:$B$3209,Data!$A$10:$A$3209,"&gt;="&amp;$A623,Data!$A$10:$A$3209,"&lt;"&amp;$A623+1)/$AD623)))</f>
        <v/>
      </c>
      <c r="D623" s="56">
        <f>IF($B623=0,"",IF(Inputs!$B$7="","",IF($AE623=0,D622,SUMIFS(Data!$F$10:$F$3209,Data!$E$10:$E$3209,"&gt;="&amp;$A623,Data!$E$10:$E$3209,"&lt;"&amp;$A623+1)/$AE623)))</f>
        <v/>
      </c>
      <c r="E623" s="56">
        <f>IF($B623=0,"",IF(Inputs!$B$8="","",IF($AF623=0,E622,SUMIFS(Data!$J$10:$J$3209,Data!$I$10:$I$3209,"&gt;="&amp;$A623,Data!$I$10:$I$3209,"&lt;"&amp;$A623+1)/$AF623)))</f>
        <v/>
      </c>
      <c r="F623" s="56">
        <f>IF($B623=0,"",IF(Inputs!$B$9="","",IF($AG623=0,F622,SUMIFS(Data!$N$10:$N$3209,Data!$M$10:$M$3209,"&gt;="&amp;$A623,Data!$M$10:$M$3209,"&lt;"&amp;$A623+1)/$AG623)))</f>
        <v/>
      </c>
      <c r="G623" s="56">
        <f>IF($B623=0,"",IF(Inputs!$B$10="","",IF($AH623=0,G622,SUMIFS(Data!$R$10:$R$3209,Data!$Q$10:$Q$3209,"&gt;="&amp;$A623,Data!$Q$10:$Q$3209,"&lt;"&amp;$A623+1)/$AH623)))</f>
        <v/>
      </c>
      <c r="I623" s="54">
        <f>IF($B623=0,NA(),IF($C623="",NA(),IF(C$8="",NA(),IF(N(C$8)=0,NA(),IF(Inputs!$C$17="Rebased to 100",$C623/C$8*100,$C623)))))</f>
        <v/>
      </c>
      <c r="J623" s="54">
        <f>IF($B623=0,NA(),IF($D623="",NA(),IF(D$8="",NA(),IF(N(D$8)=0,NA(),IF(Inputs!$C$17="Rebased to 100",$D623/D$8*100,$D623)))))</f>
        <v/>
      </c>
      <c r="K623" s="54">
        <f>IF($B623=0,NA(),IF($E623="",NA(),IF(E$8="",NA(),IF(N(E$8)=0,NA(),IF(Inputs!$C$17="Rebased to 100",$E623/E$8*100,$E623)))))</f>
        <v/>
      </c>
      <c r="L623" s="54">
        <f>IF($B623=0,NA(),IF($F623="",NA(),IF(F$8="",NA(),IF(N(F$8)=0,NA(),IF(Inputs!$C$17="Rebased to 100",$F623/F$8*100,$F623)))))</f>
        <v/>
      </c>
      <c r="M623" s="54">
        <f>IF($B623=0,NA(),IF($G623="",NA(),IF(G$8="",NA(),IF(N(G$8)=0,NA(),IF(Inputs!$C$17="Rebased to 100",$G623/G$8*100,$G623)))))</f>
        <v/>
      </c>
      <c r="N623" s="54">
        <f>IF($B623=0,NA(),IF(Inputs!$C$18&lt;&gt;"Yes",NA(),IF(COUNT(I623,J623,K623,L623,M623)=0,NA(),MIN(I623,J623,K623,L623,M623))))</f>
        <v/>
      </c>
      <c r="O623" s="54">
        <f>IF($B623=0,NA(),IF(Inputs!$B$24&lt;&gt;"Yes",NA(),Inputs!$D$24*Inputs!$C$35))</f>
        <v/>
      </c>
      <c r="P623" s="54">
        <f>IF($B623=0,NA(),IF(Inputs!$B$25&lt;&gt;"Yes",NA(),Inputs!$D$25*Inputs!$C$35))</f>
        <v/>
      </c>
      <c r="Q623" s="54">
        <f>IF($B623=0,NA(),IF(Inputs!$B$26&lt;&gt;"Yes",NA(),Inputs!$D$26*Inputs!$C$35))</f>
        <v/>
      </c>
      <c r="R623" s="54">
        <f>IF($B623=0,NA(),IF(Inputs!$B$27&lt;&gt;"Yes",NA(),Inputs!$D$27*Inputs!$C$35))</f>
        <v/>
      </c>
      <c r="S623" s="54">
        <f>IF($B623=0,NA(),IF(Inputs!$B$28&lt;&gt;"Yes",NA(),Inputs!$D$28*Inputs!$C$35))</f>
        <v/>
      </c>
      <c r="T623" s="54">
        <f>IF($B623=0,NA(),IF(Inputs!$B$29&lt;&gt;"Yes",NA(),Inputs!$D$29*Inputs!$C$35))</f>
        <v/>
      </c>
      <c r="AD623">
        <f>IF($B623=0,0,IF(Inputs!$B$6="",0,COUNTIFS(Data!$A$10:$A$3209,"&gt;="&amp;$A623,Data!$A$10:$A$3209,"&lt;"&amp;$A623+1)))</f>
        <v/>
      </c>
      <c r="AE623">
        <f>IF($B623=0,0,IF(Inputs!$B$7="",0,COUNTIFS(Data!$E$10:$E$3209,"&gt;="&amp;$A623,Data!$E$10:$E$3209,"&lt;"&amp;$A623+1)))</f>
        <v/>
      </c>
      <c r="AF623">
        <f>IF($B623=0,0,IF(Inputs!$B$8="",0,COUNTIFS(Data!$I$10:$I$3209,"&gt;="&amp;$A623,Data!$I$10:$I$3209,"&lt;"&amp;$A623+1)))</f>
        <v/>
      </c>
      <c r="AG623">
        <f>IF($B623=0,0,IF(Inputs!$B$9="",0,COUNTIFS(Data!$M$10:$M$3209,"&gt;="&amp;$A623,Data!$M$10:$M$3209,"&lt;"&amp;$A623+1)))</f>
        <v/>
      </c>
      <c r="AH623">
        <f>IF($B623=0,0,IF(Inputs!$B$10="",0,COUNTIFS(Data!$Q$10:$Q$3209,"&gt;="&amp;$A623,Data!$Q$10:$Q$3209,"&lt;"&amp;$A623+1)))</f>
        <v/>
      </c>
    </row>
    <row r="624">
      <c r="A624" s="55">
        <f>MIN(Inputs!$C$15,$A623+IF(WEEKDAY($A623,2)=5,3,1))</f>
        <v/>
      </c>
      <c r="B624">
        <f>IF($A624&gt;$A623,1,0)</f>
        <v/>
      </c>
      <c r="C624" s="56">
        <f>IF($B624=0,"",IF(Inputs!$B$6="","",IF($AD624=0,C623,SUMIFS(Data!$B$10:$B$3209,Data!$A$10:$A$3209,"&gt;="&amp;$A624,Data!$A$10:$A$3209,"&lt;"&amp;$A624+1)/$AD624)))</f>
        <v/>
      </c>
      <c r="D624" s="56">
        <f>IF($B624=0,"",IF(Inputs!$B$7="","",IF($AE624=0,D623,SUMIFS(Data!$F$10:$F$3209,Data!$E$10:$E$3209,"&gt;="&amp;$A624,Data!$E$10:$E$3209,"&lt;"&amp;$A624+1)/$AE624)))</f>
        <v/>
      </c>
      <c r="E624" s="56">
        <f>IF($B624=0,"",IF(Inputs!$B$8="","",IF($AF624=0,E623,SUMIFS(Data!$J$10:$J$3209,Data!$I$10:$I$3209,"&gt;="&amp;$A624,Data!$I$10:$I$3209,"&lt;"&amp;$A624+1)/$AF624)))</f>
        <v/>
      </c>
      <c r="F624" s="56">
        <f>IF($B624=0,"",IF(Inputs!$B$9="","",IF($AG624=0,F623,SUMIFS(Data!$N$10:$N$3209,Data!$M$10:$M$3209,"&gt;="&amp;$A624,Data!$M$10:$M$3209,"&lt;"&amp;$A624+1)/$AG624)))</f>
        <v/>
      </c>
      <c r="G624" s="56">
        <f>IF($B624=0,"",IF(Inputs!$B$10="","",IF($AH624=0,G623,SUMIFS(Data!$R$10:$R$3209,Data!$Q$10:$Q$3209,"&gt;="&amp;$A624,Data!$Q$10:$Q$3209,"&lt;"&amp;$A624+1)/$AH624)))</f>
        <v/>
      </c>
      <c r="I624" s="54">
        <f>IF($B624=0,NA(),IF($C624="",NA(),IF(C$8="",NA(),IF(N(C$8)=0,NA(),IF(Inputs!$C$17="Rebased to 100",$C624/C$8*100,$C624)))))</f>
        <v/>
      </c>
      <c r="J624" s="54">
        <f>IF($B624=0,NA(),IF($D624="",NA(),IF(D$8="",NA(),IF(N(D$8)=0,NA(),IF(Inputs!$C$17="Rebased to 100",$D624/D$8*100,$D624)))))</f>
        <v/>
      </c>
      <c r="K624" s="54">
        <f>IF($B624=0,NA(),IF($E624="",NA(),IF(E$8="",NA(),IF(N(E$8)=0,NA(),IF(Inputs!$C$17="Rebased to 100",$E624/E$8*100,$E624)))))</f>
        <v/>
      </c>
      <c r="L624" s="54">
        <f>IF($B624=0,NA(),IF($F624="",NA(),IF(F$8="",NA(),IF(N(F$8)=0,NA(),IF(Inputs!$C$17="Rebased to 100",$F624/F$8*100,$F624)))))</f>
        <v/>
      </c>
      <c r="M624" s="54">
        <f>IF($B624=0,NA(),IF($G624="",NA(),IF(G$8="",NA(),IF(N(G$8)=0,NA(),IF(Inputs!$C$17="Rebased to 100",$G624/G$8*100,$G624)))))</f>
        <v/>
      </c>
      <c r="N624" s="54">
        <f>IF($B624=0,NA(),IF(Inputs!$C$18&lt;&gt;"Yes",NA(),IF(COUNT(I624,J624,K624,L624,M624)=0,NA(),MIN(I624,J624,K624,L624,M624))))</f>
        <v/>
      </c>
      <c r="O624" s="54">
        <f>IF($B624=0,NA(),IF(Inputs!$B$24&lt;&gt;"Yes",NA(),Inputs!$D$24*Inputs!$C$35))</f>
        <v/>
      </c>
      <c r="P624" s="54">
        <f>IF($B624=0,NA(),IF(Inputs!$B$25&lt;&gt;"Yes",NA(),Inputs!$D$25*Inputs!$C$35))</f>
        <v/>
      </c>
      <c r="Q624" s="54">
        <f>IF($B624=0,NA(),IF(Inputs!$B$26&lt;&gt;"Yes",NA(),Inputs!$D$26*Inputs!$C$35))</f>
        <v/>
      </c>
      <c r="R624" s="54">
        <f>IF($B624=0,NA(),IF(Inputs!$B$27&lt;&gt;"Yes",NA(),Inputs!$D$27*Inputs!$C$35))</f>
        <v/>
      </c>
      <c r="S624" s="54">
        <f>IF($B624=0,NA(),IF(Inputs!$B$28&lt;&gt;"Yes",NA(),Inputs!$D$28*Inputs!$C$35))</f>
        <v/>
      </c>
      <c r="T624" s="54">
        <f>IF($B624=0,NA(),IF(Inputs!$B$29&lt;&gt;"Yes",NA(),Inputs!$D$29*Inputs!$C$35))</f>
        <v/>
      </c>
      <c r="AD624">
        <f>IF($B624=0,0,IF(Inputs!$B$6="",0,COUNTIFS(Data!$A$10:$A$3209,"&gt;="&amp;$A624,Data!$A$10:$A$3209,"&lt;"&amp;$A624+1)))</f>
        <v/>
      </c>
      <c r="AE624">
        <f>IF($B624=0,0,IF(Inputs!$B$7="",0,COUNTIFS(Data!$E$10:$E$3209,"&gt;="&amp;$A624,Data!$E$10:$E$3209,"&lt;"&amp;$A624+1)))</f>
        <v/>
      </c>
      <c r="AF624">
        <f>IF($B624=0,0,IF(Inputs!$B$8="",0,COUNTIFS(Data!$I$10:$I$3209,"&gt;="&amp;$A624,Data!$I$10:$I$3209,"&lt;"&amp;$A624+1)))</f>
        <v/>
      </c>
      <c r="AG624">
        <f>IF($B624=0,0,IF(Inputs!$B$9="",0,COUNTIFS(Data!$M$10:$M$3209,"&gt;="&amp;$A624,Data!$M$10:$M$3209,"&lt;"&amp;$A624+1)))</f>
        <v/>
      </c>
      <c r="AH624">
        <f>IF($B624=0,0,IF(Inputs!$B$10="",0,COUNTIFS(Data!$Q$10:$Q$3209,"&gt;="&amp;$A624,Data!$Q$10:$Q$3209,"&lt;"&amp;$A624+1)))</f>
        <v/>
      </c>
    </row>
    <row r="625">
      <c r="A625" s="55">
        <f>MIN(Inputs!$C$15,$A624+IF(WEEKDAY($A624,2)=5,3,1))</f>
        <v/>
      </c>
      <c r="B625">
        <f>IF($A625&gt;$A624,1,0)</f>
        <v/>
      </c>
      <c r="C625" s="56">
        <f>IF($B625=0,"",IF(Inputs!$B$6="","",IF($AD625=0,C624,SUMIFS(Data!$B$10:$B$3209,Data!$A$10:$A$3209,"&gt;="&amp;$A625,Data!$A$10:$A$3209,"&lt;"&amp;$A625+1)/$AD625)))</f>
        <v/>
      </c>
      <c r="D625" s="56">
        <f>IF($B625=0,"",IF(Inputs!$B$7="","",IF($AE625=0,D624,SUMIFS(Data!$F$10:$F$3209,Data!$E$10:$E$3209,"&gt;="&amp;$A625,Data!$E$10:$E$3209,"&lt;"&amp;$A625+1)/$AE625)))</f>
        <v/>
      </c>
      <c r="E625" s="56">
        <f>IF($B625=0,"",IF(Inputs!$B$8="","",IF($AF625=0,E624,SUMIFS(Data!$J$10:$J$3209,Data!$I$10:$I$3209,"&gt;="&amp;$A625,Data!$I$10:$I$3209,"&lt;"&amp;$A625+1)/$AF625)))</f>
        <v/>
      </c>
      <c r="F625" s="56">
        <f>IF($B625=0,"",IF(Inputs!$B$9="","",IF($AG625=0,F624,SUMIFS(Data!$N$10:$N$3209,Data!$M$10:$M$3209,"&gt;="&amp;$A625,Data!$M$10:$M$3209,"&lt;"&amp;$A625+1)/$AG625)))</f>
        <v/>
      </c>
      <c r="G625" s="56">
        <f>IF($B625=0,"",IF(Inputs!$B$10="","",IF($AH625=0,G624,SUMIFS(Data!$R$10:$R$3209,Data!$Q$10:$Q$3209,"&gt;="&amp;$A625,Data!$Q$10:$Q$3209,"&lt;"&amp;$A625+1)/$AH625)))</f>
        <v/>
      </c>
      <c r="I625" s="54">
        <f>IF($B625=0,NA(),IF($C625="",NA(),IF(C$8="",NA(),IF(N(C$8)=0,NA(),IF(Inputs!$C$17="Rebased to 100",$C625/C$8*100,$C625)))))</f>
        <v/>
      </c>
      <c r="J625" s="54">
        <f>IF($B625=0,NA(),IF($D625="",NA(),IF(D$8="",NA(),IF(N(D$8)=0,NA(),IF(Inputs!$C$17="Rebased to 100",$D625/D$8*100,$D625)))))</f>
        <v/>
      </c>
      <c r="K625" s="54">
        <f>IF($B625=0,NA(),IF($E625="",NA(),IF(E$8="",NA(),IF(N(E$8)=0,NA(),IF(Inputs!$C$17="Rebased to 100",$E625/E$8*100,$E625)))))</f>
        <v/>
      </c>
      <c r="L625" s="54">
        <f>IF($B625=0,NA(),IF($F625="",NA(),IF(F$8="",NA(),IF(N(F$8)=0,NA(),IF(Inputs!$C$17="Rebased to 100",$F625/F$8*100,$F625)))))</f>
        <v/>
      </c>
      <c r="M625" s="54">
        <f>IF($B625=0,NA(),IF($G625="",NA(),IF(G$8="",NA(),IF(N(G$8)=0,NA(),IF(Inputs!$C$17="Rebased to 100",$G625/G$8*100,$G625)))))</f>
        <v/>
      </c>
      <c r="N625" s="54">
        <f>IF($B625=0,NA(),IF(Inputs!$C$18&lt;&gt;"Yes",NA(),IF(COUNT(I625,J625,K625,L625,M625)=0,NA(),MIN(I625,J625,K625,L625,M625))))</f>
        <v/>
      </c>
      <c r="O625" s="54">
        <f>IF($B625=0,NA(),IF(Inputs!$B$24&lt;&gt;"Yes",NA(),Inputs!$D$24*Inputs!$C$35))</f>
        <v/>
      </c>
      <c r="P625" s="54">
        <f>IF($B625=0,NA(),IF(Inputs!$B$25&lt;&gt;"Yes",NA(),Inputs!$D$25*Inputs!$C$35))</f>
        <v/>
      </c>
      <c r="Q625" s="54">
        <f>IF($B625=0,NA(),IF(Inputs!$B$26&lt;&gt;"Yes",NA(),Inputs!$D$26*Inputs!$C$35))</f>
        <v/>
      </c>
      <c r="R625" s="54">
        <f>IF($B625=0,NA(),IF(Inputs!$B$27&lt;&gt;"Yes",NA(),Inputs!$D$27*Inputs!$C$35))</f>
        <v/>
      </c>
      <c r="S625" s="54">
        <f>IF($B625=0,NA(),IF(Inputs!$B$28&lt;&gt;"Yes",NA(),Inputs!$D$28*Inputs!$C$35))</f>
        <v/>
      </c>
      <c r="T625" s="54">
        <f>IF($B625=0,NA(),IF(Inputs!$B$29&lt;&gt;"Yes",NA(),Inputs!$D$29*Inputs!$C$35))</f>
        <v/>
      </c>
      <c r="AD625">
        <f>IF($B625=0,0,IF(Inputs!$B$6="",0,COUNTIFS(Data!$A$10:$A$3209,"&gt;="&amp;$A625,Data!$A$10:$A$3209,"&lt;"&amp;$A625+1)))</f>
        <v/>
      </c>
      <c r="AE625">
        <f>IF($B625=0,0,IF(Inputs!$B$7="",0,COUNTIFS(Data!$E$10:$E$3209,"&gt;="&amp;$A625,Data!$E$10:$E$3209,"&lt;"&amp;$A625+1)))</f>
        <v/>
      </c>
      <c r="AF625">
        <f>IF($B625=0,0,IF(Inputs!$B$8="",0,COUNTIFS(Data!$I$10:$I$3209,"&gt;="&amp;$A625,Data!$I$10:$I$3209,"&lt;"&amp;$A625+1)))</f>
        <v/>
      </c>
      <c r="AG625">
        <f>IF($B625=0,0,IF(Inputs!$B$9="",0,COUNTIFS(Data!$M$10:$M$3209,"&gt;="&amp;$A625,Data!$M$10:$M$3209,"&lt;"&amp;$A625+1)))</f>
        <v/>
      </c>
      <c r="AH625">
        <f>IF($B625=0,0,IF(Inputs!$B$10="",0,COUNTIFS(Data!$Q$10:$Q$3209,"&gt;="&amp;$A625,Data!$Q$10:$Q$3209,"&lt;"&amp;$A625+1)))</f>
        <v/>
      </c>
    </row>
    <row r="626">
      <c r="A626" s="55">
        <f>MIN(Inputs!$C$15,$A625+IF(WEEKDAY($A625,2)=5,3,1))</f>
        <v/>
      </c>
      <c r="B626">
        <f>IF($A626&gt;$A625,1,0)</f>
        <v/>
      </c>
      <c r="C626" s="56">
        <f>IF($B626=0,"",IF(Inputs!$B$6="","",IF($AD626=0,C625,SUMIFS(Data!$B$10:$B$3209,Data!$A$10:$A$3209,"&gt;="&amp;$A626,Data!$A$10:$A$3209,"&lt;"&amp;$A626+1)/$AD626)))</f>
        <v/>
      </c>
      <c r="D626" s="56">
        <f>IF($B626=0,"",IF(Inputs!$B$7="","",IF($AE626=0,D625,SUMIFS(Data!$F$10:$F$3209,Data!$E$10:$E$3209,"&gt;="&amp;$A626,Data!$E$10:$E$3209,"&lt;"&amp;$A626+1)/$AE626)))</f>
        <v/>
      </c>
      <c r="E626" s="56">
        <f>IF($B626=0,"",IF(Inputs!$B$8="","",IF($AF626=0,E625,SUMIFS(Data!$J$10:$J$3209,Data!$I$10:$I$3209,"&gt;="&amp;$A626,Data!$I$10:$I$3209,"&lt;"&amp;$A626+1)/$AF626)))</f>
        <v/>
      </c>
      <c r="F626" s="56">
        <f>IF($B626=0,"",IF(Inputs!$B$9="","",IF($AG626=0,F625,SUMIFS(Data!$N$10:$N$3209,Data!$M$10:$M$3209,"&gt;="&amp;$A626,Data!$M$10:$M$3209,"&lt;"&amp;$A626+1)/$AG626)))</f>
        <v/>
      </c>
      <c r="G626" s="56">
        <f>IF($B626=0,"",IF(Inputs!$B$10="","",IF($AH626=0,G625,SUMIFS(Data!$R$10:$R$3209,Data!$Q$10:$Q$3209,"&gt;="&amp;$A626,Data!$Q$10:$Q$3209,"&lt;"&amp;$A626+1)/$AH626)))</f>
        <v/>
      </c>
      <c r="I626" s="54">
        <f>IF($B626=0,NA(),IF($C626="",NA(),IF(C$8="",NA(),IF(N(C$8)=0,NA(),IF(Inputs!$C$17="Rebased to 100",$C626/C$8*100,$C626)))))</f>
        <v/>
      </c>
      <c r="J626" s="54">
        <f>IF($B626=0,NA(),IF($D626="",NA(),IF(D$8="",NA(),IF(N(D$8)=0,NA(),IF(Inputs!$C$17="Rebased to 100",$D626/D$8*100,$D626)))))</f>
        <v/>
      </c>
      <c r="K626" s="54">
        <f>IF($B626=0,NA(),IF($E626="",NA(),IF(E$8="",NA(),IF(N(E$8)=0,NA(),IF(Inputs!$C$17="Rebased to 100",$E626/E$8*100,$E626)))))</f>
        <v/>
      </c>
      <c r="L626" s="54">
        <f>IF($B626=0,NA(),IF($F626="",NA(),IF(F$8="",NA(),IF(N(F$8)=0,NA(),IF(Inputs!$C$17="Rebased to 100",$F626/F$8*100,$F626)))))</f>
        <v/>
      </c>
      <c r="M626" s="54">
        <f>IF($B626=0,NA(),IF($G626="",NA(),IF(G$8="",NA(),IF(N(G$8)=0,NA(),IF(Inputs!$C$17="Rebased to 100",$G626/G$8*100,$G626)))))</f>
        <v/>
      </c>
      <c r="N626" s="54">
        <f>IF($B626=0,NA(),IF(Inputs!$C$18&lt;&gt;"Yes",NA(),IF(COUNT(I626,J626,K626,L626,M626)=0,NA(),MIN(I626,J626,K626,L626,M626))))</f>
        <v/>
      </c>
      <c r="O626" s="54">
        <f>IF($B626=0,NA(),IF(Inputs!$B$24&lt;&gt;"Yes",NA(),Inputs!$D$24*Inputs!$C$35))</f>
        <v/>
      </c>
      <c r="P626" s="54">
        <f>IF($B626=0,NA(),IF(Inputs!$B$25&lt;&gt;"Yes",NA(),Inputs!$D$25*Inputs!$C$35))</f>
        <v/>
      </c>
      <c r="Q626" s="54">
        <f>IF($B626=0,NA(),IF(Inputs!$B$26&lt;&gt;"Yes",NA(),Inputs!$D$26*Inputs!$C$35))</f>
        <v/>
      </c>
      <c r="R626" s="54">
        <f>IF($B626=0,NA(),IF(Inputs!$B$27&lt;&gt;"Yes",NA(),Inputs!$D$27*Inputs!$C$35))</f>
        <v/>
      </c>
      <c r="S626" s="54">
        <f>IF($B626=0,NA(),IF(Inputs!$B$28&lt;&gt;"Yes",NA(),Inputs!$D$28*Inputs!$C$35))</f>
        <v/>
      </c>
      <c r="T626" s="54">
        <f>IF($B626=0,NA(),IF(Inputs!$B$29&lt;&gt;"Yes",NA(),Inputs!$D$29*Inputs!$C$35))</f>
        <v/>
      </c>
      <c r="AD626">
        <f>IF($B626=0,0,IF(Inputs!$B$6="",0,COUNTIFS(Data!$A$10:$A$3209,"&gt;="&amp;$A626,Data!$A$10:$A$3209,"&lt;"&amp;$A626+1)))</f>
        <v/>
      </c>
      <c r="AE626">
        <f>IF($B626=0,0,IF(Inputs!$B$7="",0,COUNTIFS(Data!$E$10:$E$3209,"&gt;="&amp;$A626,Data!$E$10:$E$3209,"&lt;"&amp;$A626+1)))</f>
        <v/>
      </c>
      <c r="AF626">
        <f>IF($B626=0,0,IF(Inputs!$B$8="",0,COUNTIFS(Data!$I$10:$I$3209,"&gt;="&amp;$A626,Data!$I$10:$I$3209,"&lt;"&amp;$A626+1)))</f>
        <v/>
      </c>
      <c r="AG626">
        <f>IF($B626=0,0,IF(Inputs!$B$9="",0,COUNTIFS(Data!$M$10:$M$3209,"&gt;="&amp;$A626,Data!$M$10:$M$3209,"&lt;"&amp;$A626+1)))</f>
        <v/>
      </c>
      <c r="AH626">
        <f>IF($B626=0,0,IF(Inputs!$B$10="",0,COUNTIFS(Data!$Q$10:$Q$3209,"&gt;="&amp;$A626,Data!$Q$10:$Q$3209,"&lt;"&amp;$A626+1)))</f>
        <v/>
      </c>
    </row>
    <row r="627">
      <c r="A627" s="55">
        <f>MIN(Inputs!$C$15,$A626+IF(WEEKDAY($A626,2)=5,3,1))</f>
        <v/>
      </c>
      <c r="B627">
        <f>IF($A627&gt;$A626,1,0)</f>
        <v/>
      </c>
      <c r="C627" s="56">
        <f>IF($B627=0,"",IF(Inputs!$B$6="","",IF($AD627=0,C626,SUMIFS(Data!$B$10:$B$3209,Data!$A$10:$A$3209,"&gt;="&amp;$A627,Data!$A$10:$A$3209,"&lt;"&amp;$A627+1)/$AD627)))</f>
        <v/>
      </c>
      <c r="D627" s="56">
        <f>IF($B627=0,"",IF(Inputs!$B$7="","",IF($AE627=0,D626,SUMIFS(Data!$F$10:$F$3209,Data!$E$10:$E$3209,"&gt;="&amp;$A627,Data!$E$10:$E$3209,"&lt;"&amp;$A627+1)/$AE627)))</f>
        <v/>
      </c>
      <c r="E627" s="56">
        <f>IF($B627=0,"",IF(Inputs!$B$8="","",IF($AF627=0,E626,SUMIFS(Data!$J$10:$J$3209,Data!$I$10:$I$3209,"&gt;="&amp;$A627,Data!$I$10:$I$3209,"&lt;"&amp;$A627+1)/$AF627)))</f>
        <v/>
      </c>
      <c r="F627" s="56">
        <f>IF($B627=0,"",IF(Inputs!$B$9="","",IF($AG627=0,F626,SUMIFS(Data!$N$10:$N$3209,Data!$M$10:$M$3209,"&gt;="&amp;$A627,Data!$M$10:$M$3209,"&lt;"&amp;$A627+1)/$AG627)))</f>
        <v/>
      </c>
      <c r="G627" s="56">
        <f>IF($B627=0,"",IF(Inputs!$B$10="","",IF($AH627=0,G626,SUMIFS(Data!$R$10:$R$3209,Data!$Q$10:$Q$3209,"&gt;="&amp;$A627,Data!$Q$10:$Q$3209,"&lt;"&amp;$A627+1)/$AH627)))</f>
        <v/>
      </c>
      <c r="I627" s="54">
        <f>IF($B627=0,NA(),IF($C627="",NA(),IF(C$8="",NA(),IF(N(C$8)=0,NA(),IF(Inputs!$C$17="Rebased to 100",$C627/C$8*100,$C627)))))</f>
        <v/>
      </c>
      <c r="J627" s="54">
        <f>IF($B627=0,NA(),IF($D627="",NA(),IF(D$8="",NA(),IF(N(D$8)=0,NA(),IF(Inputs!$C$17="Rebased to 100",$D627/D$8*100,$D627)))))</f>
        <v/>
      </c>
      <c r="K627" s="54">
        <f>IF($B627=0,NA(),IF($E627="",NA(),IF(E$8="",NA(),IF(N(E$8)=0,NA(),IF(Inputs!$C$17="Rebased to 100",$E627/E$8*100,$E627)))))</f>
        <v/>
      </c>
      <c r="L627" s="54">
        <f>IF($B627=0,NA(),IF($F627="",NA(),IF(F$8="",NA(),IF(N(F$8)=0,NA(),IF(Inputs!$C$17="Rebased to 100",$F627/F$8*100,$F627)))))</f>
        <v/>
      </c>
      <c r="M627" s="54">
        <f>IF($B627=0,NA(),IF($G627="",NA(),IF(G$8="",NA(),IF(N(G$8)=0,NA(),IF(Inputs!$C$17="Rebased to 100",$G627/G$8*100,$G627)))))</f>
        <v/>
      </c>
      <c r="N627" s="54">
        <f>IF($B627=0,NA(),IF(Inputs!$C$18&lt;&gt;"Yes",NA(),IF(COUNT(I627,J627,K627,L627,M627)=0,NA(),MIN(I627,J627,K627,L627,M627))))</f>
        <v/>
      </c>
      <c r="O627" s="54">
        <f>IF($B627=0,NA(),IF(Inputs!$B$24&lt;&gt;"Yes",NA(),Inputs!$D$24*Inputs!$C$35))</f>
        <v/>
      </c>
      <c r="P627" s="54">
        <f>IF($B627=0,NA(),IF(Inputs!$B$25&lt;&gt;"Yes",NA(),Inputs!$D$25*Inputs!$C$35))</f>
        <v/>
      </c>
      <c r="Q627" s="54">
        <f>IF($B627=0,NA(),IF(Inputs!$B$26&lt;&gt;"Yes",NA(),Inputs!$D$26*Inputs!$C$35))</f>
        <v/>
      </c>
      <c r="R627" s="54">
        <f>IF($B627=0,NA(),IF(Inputs!$B$27&lt;&gt;"Yes",NA(),Inputs!$D$27*Inputs!$C$35))</f>
        <v/>
      </c>
      <c r="S627" s="54">
        <f>IF($B627=0,NA(),IF(Inputs!$B$28&lt;&gt;"Yes",NA(),Inputs!$D$28*Inputs!$C$35))</f>
        <v/>
      </c>
      <c r="T627" s="54">
        <f>IF($B627=0,NA(),IF(Inputs!$B$29&lt;&gt;"Yes",NA(),Inputs!$D$29*Inputs!$C$35))</f>
        <v/>
      </c>
      <c r="AD627">
        <f>IF($B627=0,0,IF(Inputs!$B$6="",0,COUNTIFS(Data!$A$10:$A$3209,"&gt;="&amp;$A627,Data!$A$10:$A$3209,"&lt;"&amp;$A627+1)))</f>
        <v/>
      </c>
      <c r="AE627">
        <f>IF($B627=0,0,IF(Inputs!$B$7="",0,COUNTIFS(Data!$E$10:$E$3209,"&gt;="&amp;$A627,Data!$E$10:$E$3209,"&lt;"&amp;$A627+1)))</f>
        <v/>
      </c>
      <c r="AF627">
        <f>IF($B627=0,0,IF(Inputs!$B$8="",0,COUNTIFS(Data!$I$10:$I$3209,"&gt;="&amp;$A627,Data!$I$10:$I$3209,"&lt;"&amp;$A627+1)))</f>
        <v/>
      </c>
      <c r="AG627">
        <f>IF($B627=0,0,IF(Inputs!$B$9="",0,COUNTIFS(Data!$M$10:$M$3209,"&gt;="&amp;$A627,Data!$M$10:$M$3209,"&lt;"&amp;$A627+1)))</f>
        <v/>
      </c>
      <c r="AH627">
        <f>IF($B627=0,0,IF(Inputs!$B$10="",0,COUNTIFS(Data!$Q$10:$Q$3209,"&gt;="&amp;$A627,Data!$Q$10:$Q$3209,"&lt;"&amp;$A627+1)))</f>
        <v/>
      </c>
    </row>
    <row r="628">
      <c r="A628" s="55">
        <f>MIN(Inputs!$C$15,$A627+IF(WEEKDAY($A627,2)=5,3,1))</f>
        <v/>
      </c>
      <c r="B628">
        <f>IF($A628&gt;$A627,1,0)</f>
        <v/>
      </c>
      <c r="C628" s="56">
        <f>IF($B628=0,"",IF(Inputs!$B$6="","",IF($AD628=0,C627,SUMIFS(Data!$B$10:$B$3209,Data!$A$10:$A$3209,"&gt;="&amp;$A628,Data!$A$10:$A$3209,"&lt;"&amp;$A628+1)/$AD628)))</f>
        <v/>
      </c>
      <c r="D628" s="56">
        <f>IF($B628=0,"",IF(Inputs!$B$7="","",IF($AE628=0,D627,SUMIFS(Data!$F$10:$F$3209,Data!$E$10:$E$3209,"&gt;="&amp;$A628,Data!$E$10:$E$3209,"&lt;"&amp;$A628+1)/$AE628)))</f>
        <v/>
      </c>
      <c r="E628" s="56">
        <f>IF($B628=0,"",IF(Inputs!$B$8="","",IF($AF628=0,E627,SUMIFS(Data!$J$10:$J$3209,Data!$I$10:$I$3209,"&gt;="&amp;$A628,Data!$I$10:$I$3209,"&lt;"&amp;$A628+1)/$AF628)))</f>
        <v/>
      </c>
      <c r="F628" s="56">
        <f>IF($B628=0,"",IF(Inputs!$B$9="","",IF($AG628=0,F627,SUMIFS(Data!$N$10:$N$3209,Data!$M$10:$M$3209,"&gt;="&amp;$A628,Data!$M$10:$M$3209,"&lt;"&amp;$A628+1)/$AG628)))</f>
        <v/>
      </c>
      <c r="G628" s="56">
        <f>IF($B628=0,"",IF(Inputs!$B$10="","",IF($AH628=0,G627,SUMIFS(Data!$R$10:$R$3209,Data!$Q$10:$Q$3209,"&gt;="&amp;$A628,Data!$Q$10:$Q$3209,"&lt;"&amp;$A628+1)/$AH628)))</f>
        <v/>
      </c>
      <c r="I628" s="54">
        <f>IF($B628=0,NA(),IF($C628="",NA(),IF(C$8="",NA(),IF(N(C$8)=0,NA(),IF(Inputs!$C$17="Rebased to 100",$C628/C$8*100,$C628)))))</f>
        <v/>
      </c>
      <c r="J628" s="54">
        <f>IF($B628=0,NA(),IF($D628="",NA(),IF(D$8="",NA(),IF(N(D$8)=0,NA(),IF(Inputs!$C$17="Rebased to 100",$D628/D$8*100,$D628)))))</f>
        <v/>
      </c>
      <c r="K628" s="54">
        <f>IF($B628=0,NA(),IF($E628="",NA(),IF(E$8="",NA(),IF(N(E$8)=0,NA(),IF(Inputs!$C$17="Rebased to 100",$E628/E$8*100,$E628)))))</f>
        <v/>
      </c>
      <c r="L628" s="54">
        <f>IF($B628=0,NA(),IF($F628="",NA(),IF(F$8="",NA(),IF(N(F$8)=0,NA(),IF(Inputs!$C$17="Rebased to 100",$F628/F$8*100,$F628)))))</f>
        <v/>
      </c>
      <c r="M628" s="54">
        <f>IF($B628=0,NA(),IF($G628="",NA(),IF(G$8="",NA(),IF(N(G$8)=0,NA(),IF(Inputs!$C$17="Rebased to 100",$G628/G$8*100,$G628)))))</f>
        <v/>
      </c>
      <c r="N628" s="54">
        <f>IF($B628=0,NA(),IF(Inputs!$C$18&lt;&gt;"Yes",NA(),IF(COUNT(I628,J628,K628,L628,M628)=0,NA(),MIN(I628,J628,K628,L628,M628))))</f>
        <v/>
      </c>
      <c r="O628" s="54">
        <f>IF($B628=0,NA(),IF(Inputs!$B$24&lt;&gt;"Yes",NA(),Inputs!$D$24*Inputs!$C$35))</f>
        <v/>
      </c>
      <c r="P628" s="54">
        <f>IF($B628=0,NA(),IF(Inputs!$B$25&lt;&gt;"Yes",NA(),Inputs!$D$25*Inputs!$C$35))</f>
        <v/>
      </c>
      <c r="Q628" s="54">
        <f>IF($B628=0,NA(),IF(Inputs!$B$26&lt;&gt;"Yes",NA(),Inputs!$D$26*Inputs!$C$35))</f>
        <v/>
      </c>
      <c r="R628" s="54">
        <f>IF($B628=0,NA(),IF(Inputs!$B$27&lt;&gt;"Yes",NA(),Inputs!$D$27*Inputs!$C$35))</f>
        <v/>
      </c>
      <c r="S628" s="54">
        <f>IF($B628=0,NA(),IF(Inputs!$B$28&lt;&gt;"Yes",NA(),Inputs!$D$28*Inputs!$C$35))</f>
        <v/>
      </c>
      <c r="T628" s="54">
        <f>IF($B628=0,NA(),IF(Inputs!$B$29&lt;&gt;"Yes",NA(),Inputs!$D$29*Inputs!$C$35))</f>
        <v/>
      </c>
      <c r="AD628">
        <f>IF($B628=0,0,IF(Inputs!$B$6="",0,COUNTIFS(Data!$A$10:$A$3209,"&gt;="&amp;$A628,Data!$A$10:$A$3209,"&lt;"&amp;$A628+1)))</f>
        <v/>
      </c>
      <c r="AE628">
        <f>IF($B628=0,0,IF(Inputs!$B$7="",0,COUNTIFS(Data!$E$10:$E$3209,"&gt;="&amp;$A628,Data!$E$10:$E$3209,"&lt;"&amp;$A628+1)))</f>
        <v/>
      </c>
      <c r="AF628">
        <f>IF($B628=0,0,IF(Inputs!$B$8="",0,COUNTIFS(Data!$I$10:$I$3209,"&gt;="&amp;$A628,Data!$I$10:$I$3209,"&lt;"&amp;$A628+1)))</f>
        <v/>
      </c>
      <c r="AG628">
        <f>IF($B628=0,0,IF(Inputs!$B$9="",0,COUNTIFS(Data!$M$10:$M$3209,"&gt;="&amp;$A628,Data!$M$10:$M$3209,"&lt;"&amp;$A628+1)))</f>
        <v/>
      </c>
      <c r="AH628">
        <f>IF($B628=0,0,IF(Inputs!$B$10="",0,COUNTIFS(Data!$Q$10:$Q$3209,"&gt;="&amp;$A628,Data!$Q$10:$Q$3209,"&lt;"&amp;$A628+1)))</f>
        <v/>
      </c>
    </row>
    <row r="629">
      <c r="A629" s="55">
        <f>MIN(Inputs!$C$15,$A628+IF(WEEKDAY($A628,2)=5,3,1))</f>
        <v/>
      </c>
      <c r="B629">
        <f>IF($A629&gt;$A628,1,0)</f>
        <v/>
      </c>
      <c r="C629" s="56">
        <f>IF($B629=0,"",IF(Inputs!$B$6="","",IF($AD629=0,C628,SUMIFS(Data!$B$10:$B$3209,Data!$A$10:$A$3209,"&gt;="&amp;$A629,Data!$A$10:$A$3209,"&lt;"&amp;$A629+1)/$AD629)))</f>
        <v/>
      </c>
      <c r="D629" s="56">
        <f>IF($B629=0,"",IF(Inputs!$B$7="","",IF($AE629=0,D628,SUMIFS(Data!$F$10:$F$3209,Data!$E$10:$E$3209,"&gt;="&amp;$A629,Data!$E$10:$E$3209,"&lt;"&amp;$A629+1)/$AE629)))</f>
        <v/>
      </c>
      <c r="E629" s="56">
        <f>IF($B629=0,"",IF(Inputs!$B$8="","",IF($AF629=0,E628,SUMIFS(Data!$J$10:$J$3209,Data!$I$10:$I$3209,"&gt;="&amp;$A629,Data!$I$10:$I$3209,"&lt;"&amp;$A629+1)/$AF629)))</f>
        <v/>
      </c>
      <c r="F629" s="56">
        <f>IF($B629=0,"",IF(Inputs!$B$9="","",IF($AG629=0,F628,SUMIFS(Data!$N$10:$N$3209,Data!$M$10:$M$3209,"&gt;="&amp;$A629,Data!$M$10:$M$3209,"&lt;"&amp;$A629+1)/$AG629)))</f>
        <v/>
      </c>
      <c r="G629" s="56">
        <f>IF($B629=0,"",IF(Inputs!$B$10="","",IF($AH629=0,G628,SUMIFS(Data!$R$10:$R$3209,Data!$Q$10:$Q$3209,"&gt;="&amp;$A629,Data!$Q$10:$Q$3209,"&lt;"&amp;$A629+1)/$AH629)))</f>
        <v/>
      </c>
      <c r="I629" s="54">
        <f>IF($B629=0,NA(),IF($C629="",NA(),IF(C$8="",NA(),IF(N(C$8)=0,NA(),IF(Inputs!$C$17="Rebased to 100",$C629/C$8*100,$C629)))))</f>
        <v/>
      </c>
      <c r="J629" s="54">
        <f>IF($B629=0,NA(),IF($D629="",NA(),IF(D$8="",NA(),IF(N(D$8)=0,NA(),IF(Inputs!$C$17="Rebased to 100",$D629/D$8*100,$D629)))))</f>
        <v/>
      </c>
      <c r="K629" s="54">
        <f>IF($B629=0,NA(),IF($E629="",NA(),IF(E$8="",NA(),IF(N(E$8)=0,NA(),IF(Inputs!$C$17="Rebased to 100",$E629/E$8*100,$E629)))))</f>
        <v/>
      </c>
      <c r="L629" s="54">
        <f>IF($B629=0,NA(),IF($F629="",NA(),IF(F$8="",NA(),IF(N(F$8)=0,NA(),IF(Inputs!$C$17="Rebased to 100",$F629/F$8*100,$F629)))))</f>
        <v/>
      </c>
      <c r="M629" s="54">
        <f>IF($B629=0,NA(),IF($G629="",NA(),IF(G$8="",NA(),IF(N(G$8)=0,NA(),IF(Inputs!$C$17="Rebased to 100",$G629/G$8*100,$G629)))))</f>
        <v/>
      </c>
      <c r="N629" s="54">
        <f>IF($B629=0,NA(),IF(Inputs!$C$18&lt;&gt;"Yes",NA(),IF(COUNT(I629,J629,K629,L629,M629)=0,NA(),MIN(I629,J629,K629,L629,M629))))</f>
        <v/>
      </c>
      <c r="O629" s="54">
        <f>IF($B629=0,NA(),IF(Inputs!$B$24&lt;&gt;"Yes",NA(),Inputs!$D$24*Inputs!$C$35))</f>
        <v/>
      </c>
      <c r="P629" s="54">
        <f>IF($B629=0,NA(),IF(Inputs!$B$25&lt;&gt;"Yes",NA(),Inputs!$D$25*Inputs!$C$35))</f>
        <v/>
      </c>
      <c r="Q629" s="54">
        <f>IF($B629=0,NA(),IF(Inputs!$B$26&lt;&gt;"Yes",NA(),Inputs!$D$26*Inputs!$C$35))</f>
        <v/>
      </c>
      <c r="R629" s="54">
        <f>IF($B629=0,NA(),IF(Inputs!$B$27&lt;&gt;"Yes",NA(),Inputs!$D$27*Inputs!$C$35))</f>
        <v/>
      </c>
      <c r="S629" s="54">
        <f>IF($B629=0,NA(),IF(Inputs!$B$28&lt;&gt;"Yes",NA(),Inputs!$D$28*Inputs!$C$35))</f>
        <v/>
      </c>
      <c r="T629" s="54">
        <f>IF($B629=0,NA(),IF(Inputs!$B$29&lt;&gt;"Yes",NA(),Inputs!$D$29*Inputs!$C$35))</f>
        <v/>
      </c>
      <c r="AD629">
        <f>IF($B629=0,0,IF(Inputs!$B$6="",0,COUNTIFS(Data!$A$10:$A$3209,"&gt;="&amp;$A629,Data!$A$10:$A$3209,"&lt;"&amp;$A629+1)))</f>
        <v/>
      </c>
      <c r="AE629">
        <f>IF($B629=0,0,IF(Inputs!$B$7="",0,COUNTIFS(Data!$E$10:$E$3209,"&gt;="&amp;$A629,Data!$E$10:$E$3209,"&lt;"&amp;$A629+1)))</f>
        <v/>
      </c>
      <c r="AF629">
        <f>IF($B629=0,0,IF(Inputs!$B$8="",0,COUNTIFS(Data!$I$10:$I$3209,"&gt;="&amp;$A629,Data!$I$10:$I$3209,"&lt;"&amp;$A629+1)))</f>
        <v/>
      </c>
      <c r="AG629">
        <f>IF($B629=0,0,IF(Inputs!$B$9="",0,COUNTIFS(Data!$M$10:$M$3209,"&gt;="&amp;$A629,Data!$M$10:$M$3209,"&lt;"&amp;$A629+1)))</f>
        <v/>
      </c>
      <c r="AH629">
        <f>IF($B629=0,0,IF(Inputs!$B$10="",0,COUNTIFS(Data!$Q$10:$Q$3209,"&gt;="&amp;$A629,Data!$Q$10:$Q$3209,"&lt;"&amp;$A629+1)))</f>
        <v/>
      </c>
    </row>
    <row r="630">
      <c r="A630" s="55">
        <f>MIN(Inputs!$C$15,$A629+IF(WEEKDAY($A629,2)=5,3,1))</f>
        <v/>
      </c>
      <c r="B630">
        <f>IF($A630&gt;$A629,1,0)</f>
        <v/>
      </c>
      <c r="C630" s="56">
        <f>IF($B630=0,"",IF(Inputs!$B$6="","",IF($AD630=0,C629,SUMIFS(Data!$B$10:$B$3209,Data!$A$10:$A$3209,"&gt;="&amp;$A630,Data!$A$10:$A$3209,"&lt;"&amp;$A630+1)/$AD630)))</f>
        <v/>
      </c>
      <c r="D630" s="56">
        <f>IF($B630=0,"",IF(Inputs!$B$7="","",IF($AE630=0,D629,SUMIFS(Data!$F$10:$F$3209,Data!$E$10:$E$3209,"&gt;="&amp;$A630,Data!$E$10:$E$3209,"&lt;"&amp;$A630+1)/$AE630)))</f>
        <v/>
      </c>
      <c r="E630" s="56">
        <f>IF($B630=0,"",IF(Inputs!$B$8="","",IF($AF630=0,E629,SUMIFS(Data!$J$10:$J$3209,Data!$I$10:$I$3209,"&gt;="&amp;$A630,Data!$I$10:$I$3209,"&lt;"&amp;$A630+1)/$AF630)))</f>
        <v/>
      </c>
      <c r="F630" s="56">
        <f>IF($B630=0,"",IF(Inputs!$B$9="","",IF($AG630=0,F629,SUMIFS(Data!$N$10:$N$3209,Data!$M$10:$M$3209,"&gt;="&amp;$A630,Data!$M$10:$M$3209,"&lt;"&amp;$A630+1)/$AG630)))</f>
        <v/>
      </c>
      <c r="G630" s="56">
        <f>IF($B630=0,"",IF(Inputs!$B$10="","",IF($AH630=0,G629,SUMIFS(Data!$R$10:$R$3209,Data!$Q$10:$Q$3209,"&gt;="&amp;$A630,Data!$Q$10:$Q$3209,"&lt;"&amp;$A630+1)/$AH630)))</f>
        <v/>
      </c>
      <c r="I630" s="54">
        <f>IF($B630=0,NA(),IF($C630="",NA(),IF(C$8="",NA(),IF(N(C$8)=0,NA(),IF(Inputs!$C$17="Rebased to 100",$C630/C$8*100,$C630)))))</f>
        <v/>
      </c>
      <c r="J630" s="54">
        <f>IF($B630=0,NA(),IF($D630="",NA(),IF(D$8="",NA(),IF(N(D$8)=0,NA(),IF(Inputs!$C$17="Rebased to 100",$D630/D$8*100,$D630)))))</f>
        <v/>
      </c>
      <c r="K630" s="54">
        <f>IF($B630=0,NA(),IF($E630="",NA(),IF(E$8="",NA(),IF(N(E$8)=0,NA(),IF(Inputs!$C$17="Rebased to 100",$E630/E$8*100,$E630)))))</f>
        <v/>
      </c>
      <c r="L630" s="54">
        <f>IF($B630=0,NA(),IF($F630="",NA(),IF(F$8="",NA(),IF(N(F$8)=0,NA(),IF(Inputs!$C$17="Rebased to 100",$F630/F$8*100,$F630)))))</f>
        <v/>
      </c>
      <c r="M630" s="54">
        <f>IF($B630=0,NA(),IF($G630="",NA(),IF(G$8="",NA(),IF(N(G$8)=0,NA(),IF(Inputs!$C$17="Rebased to 100",$G630/G$8*100,$G630)))))</f>
        <v/>
      </c>
      <c r="N630" s="54">
        <f>IF($B630=0,NA(),IF(Inputs!$C$18&lt;&gt;"Yes",NA(),IF(COUNT(I630,J630,K630,L630,M630)=0,NA(),MIN(I630,J630,K630,L630,M630))))</f>
        <v/>
      </c>
      <c r="O630" s="54">
        <f>IF($B630=0,NA(),IF(Inputs!$B$24&lt;&gt;"Yes",NA(),Inputs!$D$24*Inputs!$C$35))</f>
        <v/>
      </c>
      <c r="P630" s="54">
        <f>IF($B630=0,NA(),IF(Inputs!$B$25&lt;&gt;"Yes",NA(),Inputs!$D$25*Inputs!$C$35))</f>
        <v/>
      </c>
      <c r="Q630" s="54">
        <f>IF($B630=0,NA(),IF(Inputs!$B$26&lt;&gt;"Yes",NA(),Inputs!$D$26*Inputs!$C$35))</f>
        <v/>
      </c>
      <c r="R630" s="54">
        <f>IF($B630=0,NA(),IF(Inputs!$B$27&lt;&gt;"Yes",NA(),Inputs!$D$27*Inputs!$C$35))</f>
        <v/>
      </c>
      <c r="S630" s="54">
        <f>IF($B630=0,NA(),IF(Inputs!$B$28&lt;&gt;"Yes",NA(),Inputs!$D$28*Inputs!$C$35))</f>
        <v/>
      </c>
      <c r="T630" s="54">
        <f>IF($B630=0,NA(),IF(Inputs!$B$29&lt;&gt;"Yes",NA(),Inputs!$D$29*Inputs!$C$35))</f>
        <v/>
      </c>
      <c r="AD630">
        <f>IF($B630=0,0,IF(Inputs!$B$6="",0,COUNTIFS(Data!$A$10:$A$3209,"&gt;="&amp;$A630,Data!$A$10:$A$3209,"&lt;"&amp;$A630+1)))</f>
        <v/>
      </c>
      <c r="AE630">
        <f>IF($B630=0,0,IF(Inputs!$B$7="",0,COUNTIFS(Data!$E$10:$E$3209,"&gt;="&amp;$A630,Data!$E$10:$E$3209,"&lt;"&amp;$A630+1)))</f>
        <v/>
      </c>
      <c r="AF630">
        <f>IF($B630=0,0,IF(Inputs!$B$8="",0,COUNTIFS(Data!$I$10:$I$3209,"&gt;="&amp;$A630,Data!$I$10:$I$3209,"&lt;"&amp;$A630+1)))</f>
        <v/>
      </c>
      <c r="AG630">
        <f>IF($B630=0,0,IF(Inputs!$B$9="",0,COUNTIFS(Data!$M$10:$M$3209,"&gt;="&amp;$A630,Data!$M$10:$M$3209,"&lt;"&amp;$A630+1)))</f>
        <v/>
      </c>
      <c r="AH630">
        <f>IF($B630=0,0,IF(Inputs!$B$10="",0,COUNTIFS(Data!$Q$10:$Q$3209,"&gt;="&amp;$A630,Data!$Q$10:$Q$3209,"&lt;"&amp;$A630+1)))</f>
        <v/>
      </c>
    </row>
    <row r="631">
      <c r="A631" s="55">
        <f>MIN(Inputs!$C$15,$A630+IF(WEEKDAY($A630,2)=5,3,1))</f>
        <v/>
      </c>
      <c r="B631">
        <f>IF($A631&gt;$A630,1,0)</f>
        <v/>
      </c>
      <c r="C631" s="56">
        <f>IF($B631=0,"",IF(Inputs!$B$6="","",IF($AD631=0,C630,SUMIFS(Data!$B$10:$B$3209,Data!$A$10:$A$3209,"&gt;="&amp;$A631,Data!$A$10:$A$3209,"&lt;"&amp;$A631+1)/$AD631)))</f>
        <v/>
      </c>
      <c r="D631" s="56">
        <f>IF($B631=0,"",IF(Inputs!$B$7="","",IF($AE631=0,D630,SUMIFS(Data!$F$10:$F$3209,Data!$E$10:$E$3209,"&gt;="&amp;$A631,Data!$E$10:$E$3209,"&lt;"&amp;$A631+1)/$AE631)))</f>
        <v/>
      </c>
      <c r="E631" s="56">
        <f>IF($B631=0,"",IF(Inputs!$B$8="","",IF($AF631=0,E630,SUMIFS(Data!$J$10:$J$3209,Data!$I$10:$I$3209,"&gt;="&amp;$A631,Data!$I$10:$I$3209,"&lt;"&amp;$A631+1)/$AF631)))</f>
        <v/>
      </c>
      <c r="F631" s="56">
        <f>IF($B631=0,"",IF(Inputs!$B$9="","",IF($AG631=0,F630,SUMIFS(Data!$N$10:$N$3209,Data!$M$10:$M$3209,"&gt;="&amp;$A631,Data!$M$10:$M$3209,"&lt;"&amp;$A631+1)/$AG631)))</f>
        <v/>
      </c>
      <c r="G631" s="56">
        <f>IF($B631=0,"",IF(Inputs!$B$10="","",IF($AH631=0,G630,SUMIFS(Data!$R$10:$R$3209,Data!$Q$10:$Q$3209,"&gt;="&amp;$A631,Data!$Q$10:$Q$3209,"&lt;"&amp;$A631+1)/$AH631)))</f>
        <v/>
      </c>
      <c r="I631" s="54">
        <f>IF($B631=0,NA(),IF($C631="",NA(),IF(C$8="",NA(),IF(N(C$8)=0,NA(),IF(Inputs!$C$17="Rebased to 100",$C631/C$8*100,$C631)))))</f>
        <v/>
      </c>
      <c r="J631" s="54">
        <f>IF($B631=0,NA(),IF($D631="",NA(),IF(D$8="",NA(),IF(N(D$8)=0,NA(),IF(Inputs!$C$17="Rebased to 100",$D631/D$8*100,$D631)))))</f>
        <v/>
      </c>
      <c r="K631" s="54">
        <f>IF($B631=0,NA(),IF($E631="",NA(),IF(E$8="",NA(),IF(N(E$8)=0,NA(),IF(Inputs!$C$17="Rebased to 100",$E631/E$8*100,$E631)))))</f>
        <v/>
      </c>
      <c r="L631" s="54">
        <f>IF($B631=0,NA(),IF($F631="",NA(),IF(F$8="",NA(),IF(N(F$8)=0,NA(),IF(Inputs!$C$17="Rebased to 100",$F631/F$8*100,$F631)))))</f>
        <v/>
      </c>
      <c r="M631" s="54">
        <f>IF($B631=0,NA(),IF($G631="",NA(),IF(G$8="",NA(),IF(N(G$8)=0,NA(),IF(Inputs!$C$17="Rebased to 100",$G631/G$8*100,$G631)))))</f>
        <v/>
      </c>
      <c r="N631" s="54">
        <f>IF($B631=0,NA(),IF(Inputs!$C$18&lt;&gt;"Yes",NA(),IF(COUNT(I631,J631,K631,L631,M631)=0,NA(),MIN(I631,J631,K631,L631,M631))))</f>
        <v/>
      </c>
      <c r="O631" s="54">
        <f>IF($B631=0,NA(),IF(Inputs!$B$24&lt;&gt;"Yes",NA(),Inputs!$D$24*Inputs!$C$35))</f>
        <v/>
      </c>
      <c r="P631" s="54">
        <f>IF($B631=0,NA(),IF(Inputs!$B$25&lt;&gt;"Yes",NA(),Inputs!$D$25*Inputs!$C$35))</f>
        <v/>
      </c>
      <c r="Q631" s="54">
        <f>IF($B631=0,NA(),IF(Inputs!$B$26&lt;&gt;"Yes",NA(),Inputs!$D$26*Inputs!$C$35))</f>
        <v/>
      </c>
      <c r="R631" s="54">
        <f>IF($B631=0,NA(),IF(Inputs!$B$27&lt;&gt;"Yes",NA(),Inputs!$D$27*Inputs!$C$35))</f>
        <v/>
      </c>
      <c r="S631" s="54">
        <f>IF($B631=0,NA(),IF(Inputs!$B$28&lt;&gt;"Yes",NA(),Inputs!$D$28*Inputs!$C$35))</f>
        <v/>
      </c>
      <c r="T631" s="54">
        <f>IF($B631=0,NA(),IF(Inputs!$B$29&lt;&gt;"Yes",NA(),Inputs!$D$29*Inputs!$C$35))</f>
        <v/>
      </c>
      <c r="AD631">
        <f>IF($B631=0,0,IF(Inputs!$B$6="",0,COUNTIFS(Data!$A$10:$A$3209,"&gt;="&amp;$A631,Data!$A$10:$A$3209,"&lt;"&amp;$A631+1)))</f>
        <v/>
      </c>
      <c r="AE631">
        <f>IF($B631=0,0,IF(Inputs!$B$7="",0,COUNTIFS(Data!$E$10:$E$3209,"&gt;="&amp;$A631,Data!$E$10:$E$3209,"&lt;"&amp;$A631+1)))</f>
        <v/>
      </c>
      <c r="AF631">
        <f>IF($B631=0,0,IF(Inputs!$B$8="",0,COUNTIFS(Data!$I$10:$I$3209,"&gt;="&amp;$A631,Data!$I$10:$I$3209,"&lt;"&amp;$A631+1)))</f>
        <v/>
      </c>
      <c r="AG631">
        <f>IF($B631=0,0,IF(Inputs!$B$9="",0,COUNTIFS(Data!$M$10:$M$3209,"&gt;="&amp;$A631,Data!$M$10:$M$3209,"&lt;"&amp;$A631+1)))</f>
        <v/>
      </c>
      <c r="AH631">
        <f>IF($B631=0,0,IF(Inputs!$B$10="",0,COUNTIFS(Data!$Q$10:$Q$3209,"&gt;="&amp;$A631,Data!$Q$10:$Q$3209,"&lt;"&amp;$A631+1)))</f>
        <v/>
      </c>
    </row>
    <row r="632">
      <c r="A632" s="55">
        <f>MIN(Inputs!$C$15,$A631+IF(WEEKDAY($A631,2)=5,3,1))</f>
        <v/>
      </c>
      <c r="B632">
        <f>IF($A632&gt;$A631,1,0)</f>
        <v/>
      </c>
      <c r="C632" s="56">
        <f>IF($B632=0,"",IF(Inputs!$B$6="","",IF($AD632=0,C631,SUMIFS(Data!$B$10:$B$3209,Data!$A$10:$A$3209,"&gt;="&amp;$A632,Data!$A$10:$A$3209,"&lt;"&amp;$A632+1)/$AD632)))</f>
        <v/>
      </c>
      <c r="D632" s="56">
        <f>IF($B632=0,"",IF(Inputs!$B$7="","",IF($AE632=0,D631,SUMIFS(Data!$F$10:$F$3209,Data!$E$10:$E$3209,"&gt;="&amp;$A632,Data!$E$10:$E$3209,"&lt;"&amp;$A632+1)/$AE632)))</f>
        <v/>
      </c>
      <c r="E632" s="56">
        <f>IF($B632=0,"",IF(Inputs!$B$8="","",IF($AF632=0,E631,SUMIFS(Data!$J$10:$J$3209,Data!$I$10:$I$3209,"&gt;="&amp;$A632,Data!$I$10:$I$3209,"&lt;"&amp;$A632+1)/$AF632)))</f>
        <v/>
      </c>
      <c r="F632" s="56">
        <f>IF($B632=0,"",IF(Inputs!$B$9="","",IF($AG632=0,F631,SUMIFS(Data!$N$10:$N$3209,Data!$M$10:$M$3209,"&gt;="&amp;$A632,Data!$M$10:$M$3209,"&lt;"&amp;$A632+1)/$AG632)))</f>
        <v/>
      </c>
      <c r="G632" s="56">
        <f>IF($B632=0,"",IF(Inputs!$B$10="","",IF($AH632=0,G631,SUMIFS(Data!$R$10:$R$3209,Data!$Q$10:$Q$3209,"&gt;="&amp;$A632,Data!$Q$10:$Q$3209,"&lt;"&amp;$A632+1)/$AH632)))</f>
        <v/>
      </c>
      <c r="I632" s="54">
        <f>IF($B632=0,NA(),IF($C632="",NA(),IF(C$8="",NA(),IF(N(C$8)=0,NA(),IF(Inputs!$C$17="Rebased to 100",$C632/C$8*100,$C632)))))</f>
        <v/>
      </c>
      <c r="J632" s="54">
        <f>IF($B632=0,NA(),IF($D632="",NA(),IF(D$8="",NA(),IF(N(D$8)=0,NA(),IF(Inputs!$C$17="Rebased to 100",$D632/D$8*100,$D632)))))</f>
        <v/>
      </c>
      <c r="K632" s="54">
        <f>IF($B632=0,NA(),IF($E632="",NA(),IF(E$8="",NA(),IF(N(E$8)=0,NA(),IF(Inputs!$C$17="Rebased to 100",$E632/E$8*100,$E632)))))</f>
        <v/>
      </c>
      <c r="L632" s="54">
        <f>IF($B632=0,NA(),IF($F632="",NA(),IF(F$8="",NA(),IF(N(F$8)=0,NA(),IF(Inputs!$C$17="Rebased to 100",$F632/F$8*100,$F632)))))</f>
        <v/>
      </c>
      <c r="M632" s="54">
        <f>IF($B632=0,NA(),IF($G632="",NA(),IF(G$8="",NA(),IF(N(G$8)=0,NA(),IF(Inputs!$C$17="Rebased to 100",$G632/G$8*100,$G632)))))</f>
        <v/>
      </c>
      <c r="N632" s="54">
        <f>IF($B632=0,NA(),IF(Inputs!$C$18&lt;&gt;"Yes",NA(),IF(COUNT(I632,J632,K632,L632,M632)=0,NA(),MIN(I632,J632,K632,L632,M632))))</f>
        <v/>
      </c>
      <c r="O632" s="54">
        <f>IF($B632=0,NA(),IF(Inputs!$B$24&lt;&gt;"Yes",NA(),Inputs!$D$24*Inputs!$C$35))</f>
        <v/>
      </c>
      <c r="P632" s="54">
        <f>IF($B632=0,NA(),IF(Inputs!$B$25&lt;&gt;"Yes",NA(),Inputs!$D$25*Inputs!$C$35))</f>
        <v/>
      </c>
      <c r="Q632" s="54">
        <f>IF($B632=0,NA(),IF(Inputs!$B$26&lt;&gt;"Yes",NA(),Inputs!$D$26*Inputs!$C$35))</f>
        <v/>
      </c>
      <c r="R632" s="54">
        <f>IF($B632=0,NA(),IF(Inputs!$B$27&lt;&gt;"Yes",NA(),Inputs!$D$27*Inputs!$C$35))</f>
        <v/>
      </c>
      <c r="S632" s="54">
        <f>IF($B632=0,NA(),IF(Inputs!$B$28&lt;&gt;"Yes",NA(),Inputs!$D$28*Inputs!$C$35))</f>
        <v/>
      </c>
      <c r="T632" s="54">
        <f>IF($B632=0,NA(),IF(Inputs!$B$29&lt;&gt;"Yes",NA(),Inputs!$D$29*Inputs!$C$35))</f>
        <v/>
      </c>
      <c r="AD632">
        <f>IF($B632=0,0,IF(Inputs!$B$6="",0,COUNTIFS(Data!$A$10:$A$3209,"&gt;="&amp;$A632,Data!$A$10:$A$3209,"&lt;"&amp;$A632+1)))</f>
        <v/>
      </c>
      <c r="AE632">
        <f>IF($B632=0,0,IF(Inputs!$B$7="",0,COUNTIFS(Data!$E$10:$E$3209,"&gt;="&amp;$A632,Data!$E$10:$E$3209,"&lt;"&amp;$A632+1)))</f>
        <v/>
      </c>
      <c r="AF632">
        <f>IF($B632=0,0,IF(Inputs!$B$8="",0,COUNTIFS(Data!$I$10:$I$3209,"&gt;="&amp;$A632,Data!$I$10:$I$3209,"&lt;"&amp;$A632+1)))</f>
        <v/>
      </c>
      <c r="AG632">
        <f>IF($B632=0,0,IF(Inputs!$B$9="",0,COUNTIFS(Data!$M$10:$M$3209,"&gt;="&amp;$A632,Data!$M$10:$M$3209,"&lt;"&amp;$A632+1)))</f>
        <v/>
      </c>
      <c r="AH632">
        <f>IF($B632=0,0,IF(Inputs!$B$10="",0,COUNTIFS(Data!$Q$10:$Q$3209,"&gt;="&amp;$A632,Data!$Q$10:$Q$3209,"&lt;"&amp;$A632+1)))</f>
        <v/>
      </c>
    </row>
    <row r="633">
      <c r="A633" s="55">
        <f>MIN(Inputs!$C$15,$A632+IF(WEEKDAY($A632,2)=5,3,1))</f>
        <v/>
      </c>
      <c r="B633">
        <f>IF($A633&gt;$A632,1,0)</f>
        <v/>
      </c>
      <c r="C633" s="56">
        <f>IF($B633=0,"",IF(Inputs!$B$6="","",IF($AD633=0,C632,SUMIFS(Data!$B$10:$B$3209,Data!$A$10:$A$3209,"&gt;="&amp;$A633,Data!$A$10:$A$3209,"&lt;"&amp;$A633+1)/$AD633)))</f>
        <v/>
      </c>
      <c r="D633" s="56">
        <f>IF($B633=0,"",IF(Inputs!$B$7="","",IF($AE633=0,D632,SUMIFS(Data!$F$10:$F$3209,Data!$E$10:$E$3209,"&gt;="&amp;$A633,Data!$E$10:$E$3209,"&lt;"&amp;$A633+1)/$AE633)))</f>
        <v/>
      </c>
      <c r="E633" s="56">
        <f>IF($B633=0,"",IF(Inputs!$B$8="","",IF($AF633=0,E632,SUMIFS(Data!$J$10:$J$3209,Data!$I$10:$I$3209,"&gt;="&amp;$A633,Data!$I$10:$I$3209,"&lt;"&amp;$A633+1)/$AF633)))</f>
        <v/>
      </c>
      <c r="F633" s="56">
        <f>IF($B633=0,"",IF(Inputs!$B$9="","",IF($AG633=0,F632,SUMIFS(Data!$N$10:$N$3209,Data!$M$10:$M$3209,"&gt;="&amp;$A633,Data!$M$10:$M$3209,"&lt;"&amp;$A633+1)/$AG633)))</f>
        <v/>
      </c>
      <c r="G633" s="56">
        <f>IF($B633=0,"",IF(Inputs!$B$10="","",IF($AH633=0,G632,SUMIFS(Data!$R$10:$R$3209,Data!$Q$10:$Q$3209,"&gt;="&amp;$A633,Data!$Q$10:$Q$3209,"&lt;"&amp;$A633+1)/$AH633)))</f>
        <v/>
      </c>
      <c r="I633" s="54">
        <f>IF($B633=0,NA(),IF($C633="",NA(),IF(C$8="",NA(),IF(N(C$8)=0,NA(),IF(Inputs!$C$17="Rebased to 100",$C633/C$8*100,$C633)))))</f>
        <v/>
      </c>
      <c r="J633" s="54">
        <f>IF($B633=0,NA(),IF($D633="",NA(),IF(D$8="",NA(),IF(N(D$8)=0,NA(),IF(Inputs!$C$17="Rebased to 100",$D633/D$8*100,$D633)))))</f>
        <v/>
      </c>
      <c r="K633" s="54">
        <f>IF($B633=0,NA(),IF($E633="",NA(),IF(E$8="",NA(),IF(N(E$8)=0,NA(),IF(Inputs!$C$17="Rebased to 100",$E633/E$8*100,$E633)))))</f>
        <v/>
      </c>
      <c r="L633" s="54">
        <f>IF($B633=0,NA(),IF($F633="",NA(),IF(F$8="",NA(),IF(N(F$8)=0,NA(),IF(Inputs!$C$17="Rebased to 100",$F633/F$8*100,$F633)))))</f>
        <v/>
      </c>
      <c r="M633" s="54">
        <f>IF($B633=0,NA(),IF($G633="",NA(),IF(G$8="",NA(),IF(N(G$8)=0,NA(),IF(Inputs!$C$17="Rebased to 100",$G633/G$8*100,$G633)))))</f>
        <v/>
      </c>
      <c r="N633" s="54">
        <f>IF($B633=0,NA(),IF(Inputs!$C$18&lt;&gt;"Yes",NA(),IF(COUNT(I633,J633,K633,L633,M633)=0,NA(),MIN(I633,J633,K633,L633,M633))))</f>
        <v/>
      </c>
      <c r="O633" s="54">
        <f>IF($B633=0,NA(),IF(Inputs!$B$24&lt;&gt;"Yes",NA(),Inputs!$D$24*Inputs!$C$35))</f>
        <v/>
      </c>
      <c r="P633" s="54">
        <f>IF($B633=0,NA(),IF(Inputs!$B$25&lt;&gt;"Yes",NA(),Inputs!$D$25*Inputs!$C$35))</f>
        <v/>
      </c>
      <c r="Q633" s="54">
        <f>IF($B633=0,NA(),IF(Inputs!$B$26&lt;&gt;"Yes",NA(),Inputs!$D$26*Inputs!$C$35))</f>
        <v/>
      </c>
      <c r="R633" s="54">
        <f>IF($B633=0,NA(),IF(Inputs!$B$27&lt;&gt;"Yes",NA(),Inputs!$D$27*Inputs!$C$35))</f>
        <v/>
      </c>
      <c r="S633" s="54">
        <f>IF($B633=0,NA(),IF(Inputs!$B$28&lt;&gt;"Yes",NA(),Inputs!$D$28*Inputs!$C$35))</f>
        <v/>
      </c>
      <c r="T633" s="54">
        <f>IF($B633=0,NA(),IF(Inputs!$B$29&lt;&gt;"Yes",NA(),Inputs!$D$29*Inputs!$C$35))</f>
        <v/>
      </c>
      <c r="AD633">
        <f>IF($B633=0,0,IF(Inputs!$B$6="",0,COUNTIFS(Data!$A$10:$A$3209,"&gt;="&amp;$A633,Data!$A$10:$A$3209,"&lt;"&amp;$A633+1)))</f>
        <v/>
      </c>
      <c r="AE633">
        <f>IF($B633=0,0,IF(Inputs!$B$7="",0,COUNTIFS(Data!$E$10:$E$3209,"&gt;="&amp;$A633,Data!$E$10:$E$3209,"&lt;"&amp;$A633+1)))</f>
        <v/>
      </c>
      <c r="AF633">
        <f>IF($B633=0,0,IF(Inputs!$B$8="",0,COUNTIFS(Data!$I$10:$I$3209,"&gt;="&amp;$A633,Data!$I$10:$I$3209,"&lt;"&amp;$A633+1)))</f>
        <v/>
      </c>
      <c r="AG633">
        <f>IF($B633=0,0,IF(Inputs!$B$9="",0,COUNTIFS(Data!$M$10:$M$3209,"&gt;="&amp;$A633,Data!$M$10:$M$3209,"&lt;"&amp;$A633+1)))</f>
        <v/>
      </c>
      <c r="AH633">
        <f>IF($B633=0,0,IF(Inputs!$B$10="",0,COUNTIFS(Data!$Q$10:$Q$3209,"&gt;="&amp;$A633,Data!$Q$10:$Q$3209,"&lt;"&amp;$A633+1)))</f>
        <v/>
      </c>
    </row>
    <row r="634">
      <c r="A634" s="55">
        <f>MIN(Inputs!$C$15,$A633+IF(WEEKDAY($A633,2)=5,3,1))</f>
        <v/>
      </c>
      <c r="B634">
        <f>IF($A634&gt;$A633,1,0)</f>
        <v/>
      </c>
      <c r="C634" s="56">
        <f>IF($B634=0,"",IF(Inputs!$B$6="","",IF($AD634=0,C633,SUMIFS(Data!$B$10:$B$3209,Data!$A$10:$A$3209,"&gt;="&amp;$A634,Data!$A$10:$A$3209,"&lt;"&amp;$A634+1)/$AD634)))</f>
        <v/>
      </c>
      <c r="D634" s="56">
        <f>IF($B634=0,"",IF(Inputs!$B$7="","",IF($AE634=0,D633,SUMIFS(Data!$F$10:$F$3209,Data!$E$10:$E$3209,"&gt;="&amp;$A634,Data!$E$10:$E$3209,"&lt;"&amp;$A634+1)/$AE634)))</f>
        <v/>
      </c>
      <c r="E634" s="56">
        <f>IF($B634=0,"",IF(Inputs!$B$8="","",IF($AF634=0,E633,SUMIFS(Data!$J$10:$J$3209,Data!$I$10:$I$3209,"&gt;="&amp;$A634,Data!$I$10:$I$3209,"&lt;"&amp;$A634+1)/$AF634)))</f>
        <v/>
      </c>
      <c r="F634" s="56">
        <f>IF($B634=0,"",IF(Inputs!$B$9="","",IF($AG634=0,F633,SUMIFS(Data!$N$10:$N$3209,Data!$M$10:$M$3209,"&gt;="&amp;$A634,Data!$M$10:$M$3209,"&lt;"&amp;$A634+1)/$AG634)))</f>
        <v/>
      </c>
      <c r="G634" s="56">
        <f>IF($B634=0,"",IF(Inputs!$B$10="","",IF($AH634=0,G633,SUMIFS(Data!$R$10:$R$3209,Data!$Q$10:$Q$3209,"&gt;="&amp;$A634,Data!$Q$10:$Q$3209,"&lt;"&amp;$A634+1)/$AH634)))</f>
        <v/>
      </c>
      <c r="I634" s="54">
        <f>IF($B634=0,NA(),IF($C634="",NA(),IF(C$8="",NA(),IF(N(C$8)=0,NA(),IF(Inputs!$C$17="Rebased to 100",$C634/C$8*100,$C634)))))</f>
        <v/>
      </c>
      <c r="J634" s="54">
        <f>IF($B634=0,NA(),IF($D634="",NA(),IF(D$8="",NA(),IF(N(D$8)=0,NA(),IF(Inputs!$C$17="Rebased to 100",$D634/D$8*100,$D634)))))</f>
        <v/>
      </c>
      <c r="K634" s="54">
        <f>IF($B634=0,NA(),IF($E634="",NA(),IF(E$8="",NA(),IF(N(E$8)=0,NA(),IF(Inputs!$C$17="Rebased to 100",$E634/E$8*100,$E634)))))</f>
        <v/>
      </c>
      <c r="L634" s="54">
        <f>IF($B634=0,NA(),IF($F634="",NA(),IF(F$8="",NA(),IF(N(F$8)=0,NA(),IF(Inputs!$C$17="Rebased to 100",$F634/F$8*100,$F634)))))</f>
        <v/>
      </c>
      <c r="M634" s="54">
        <f>IF($B634=0,NA(),IF($G634="",NA(),IF(G$8="",NA(),IF(N(G$8)=0,NA(),IF(Inputs!$C$17="Rebased to 100",$G634/G$8*100,$G634)))))</f>
        <v/>
      </c>
      <c r="N634" s="54">
        <f>IF($B634=0,NA(),IF(Inputs!$C$18&lt;&gt;"Yes",NA(),IF(COUNT(I634,J634,K634,L634,M634)=0,NA(),MIN(I634,J634,K634,L634,M634))))</f>
        <v/>
      </c>
      <c r="O634" s="54">
        <f>IF($B634=0,NA(),IF(Inputs!$B$24&lt;&gt;"Yes",NA(),Inputs!$D$24*Inputs!$C$35))</f>
        <v/>
      </c>
      <c r="P634" s="54">
        <f>IF($B634=0,NA(),IF(Inputs!$B$25&lt;&gt;"Yes",NA(),Inputs!$D$25*Inputs!$C$35))</f>
        <v/>
      </c>
      <c r="Q634" s="54">
        <f>IF($B634=0,NA(),IF(Inputs!$B$26&lt;&gt;"Yes",NA(),Inputs!$D$26*Inputs!$C$35))</f>
        <v/>
      </c>
      <c r="R634" s="54">
        <f>IF($B634=0,NA(),IF(Inputs!$B$27&lt;&gt;"Yes",NA(),Inputs!$D$27*Inputs!$C$35))</f>
        <v/>
      </c>
      <c r="S634" s="54">
        <f>IF($B634=0,NA(),IF(Inputs!$B$28&lt;&gt;"Yes",NA(),Inputs!$D$28*Inputs!$C$35))</f>
        <v/>
      </c>
      <c r="T634" s="54">
        <f>IF($B634=0,NA(),IF(Inputs!$B$29&lt;&gt;"Yes",NA(),Inputs!$D$29*Inputs!$C$35))</f>
        <v/>
      </c>
      <c r="AD634">
        <f>IF($B634=0,0,IF(Inputs!$B$6="",0,COUNTIFS(Data!$A$10:$A$3209,"&gt;="&amp;$A634,Data!$A$10:$A$3209,"&lt;"&amp;$A634+1)))</f>
        <v/>
      </c>
      <c r="AE634">
        <f>IF($B634=0,0,IF(Inputs!$B$7="",0,COUNTIFS(Data!$E$10:$E$3209,"&gt;="&amp;$A634,Data!$E$10:$E$3209,"&lt;"&amp;$A634+1)))</f>
        <v/>
      </c>
      <c r="AF634">
        <f>IF($B634=0,0,IF(Inputs!$B$8="",0,COUNTIFS(Data!$I$10:$I$3209,"&gt;="&amp;$A634,Data!$I$10:$I$3209,"&lt;"&amp;$A634+1)))</f>
        <v/>
      </c>
      <c r="AG634">
        <f>IF($B634=0,0,IF(Inputs!$B$9="",0,COUNTIFS(Data!$M$10:$M$3209,"&gt;="&amp;$A634,Data!$M$10:$M$3209,"&lt;"&amp;$A634+1)))</f>
        <v/>
      </c>
      <c r="AH634">
        <f>IF($B634=0,0,IF(Inputs!$B$10="",0,COUNTIFS(Data!$Q$10:$Q$3209,"&gt;="&amp;$A634,Data!$Q$10:$Q$3209,"&lt;"&amp;$A634+1)))</f>
        <v/>
      </c>
    </row>
    <row r="635">
      <c r="A635" s="55">
        <f>MIN(Inputs!$C$15,$A634+IF(WEEKDAY($A634,2)=5,3,1))</f>
        <v/>
      </c>
      <c r="B635">
        <f>IF($A635&gt;$A634,1,0)</f>
        <v/>
      </c>
      <c r="C635" s="56">
        <f>IF($B635=0,"",IF(Inputs!$B$6="","",IF($AD635=0,C634,SUMIFS(Data!$B$10:$B$3209,Data!$A$10:$A$3209,"&gt;="&amp;$A635,Data!$A$10:$A$3209,"&lt;"&amp;$A635+1)/$AD635)))</f>
        <v/>
      </c>
      <c r="D635" s="56">
        <f>IF($B635=0,"",IF(Inputs!$B$7="","",IF($AE635=0,D634,SUMIFS(Data!$F$10:$F$3209,Data!$E$10:$E$3209,"&gt;="&amp;$A635,Data!$E$10:$E$3209,"&lt;"&amp;$A635+1)/$AE635)))</f>
        <v/>
      </c>
      <c r="E635" s="56">
        <f>IF($B635=0,"",IF(Inputs!$B$8="","",IF($AF635=0,E634,SUMIFS(Data!$J$10:$J$3209,Data!$I$10:$I$3209,"&gt;="&amp;$A635,Data!$I$10:$I$3209,"&lt;"&amp;$A635+1)/$AF635)))</f>
        <v/>
      </c>
      <c r="F635" s="56">
        <f>IF($B635=0,"",IF(Inputs!$B$9="","",IF($AG635=0,F634,SUMIFS(Data!$N$10:$N$3209,Data!$M$10:$M$3209,"&gt;="&amp;$A635,Data!$M$10:$M$3209,"&lt;"&amp;$A635+1)/$AG635)))</f>
        <v/>
      </c>
      <c r="G635" s="56">
        <f>IF($B635=0,"",IF(Inputs!$B$10="","",IF($AH635=0,G634,SUMIFS(Data!$R$10:$R$3209,Data!$Q$10:$Q$3209,"&gt;="&amp;$A635,Data!$Q$10:$Q$3209,"&lt;"&amp;$A635+1)/$AH635)))</f>
        <v/>
      </c>
      <c r="I635" s="54">
        <f>IF($B635=0,NA(),IF($C635="",NA(),IF(C$8="",NA(),IF(N(C$8)=0,NA(),IF(Inputs!$C$17="Rebased to 100",$C635/C$8*100,$C635)))))</f>
        <v/>
      </c>
      <c r="J635" s="54">
        <f>IF($B635=0,NA(),IF($D635="",NA(),IF(D$8="",NA(),IF(N(D$8)=0,NA(),IF(Inputs!$C$17="Rebased to 100",$D635/D$8*100,$D635)))))</f>
        <v/>
      </c>
      <c r="K635" s="54">
        <f>IF($B635=0,NA(),IF($E635="",NA(),IF(E$8="",NA(),IF(N(E$8)=0,NA(),IF(Inputs!$C$17="Rebased to 100",$E635/E$8*100,$E635)))))</f>
        <v/>
      </c>
      <c r="L635" s="54">
        <f>IF($B635=0,NA(),IF($F635="",NA(),IF(F$8="",NA(),IF(N(F$8)=0,NA(),IF(Inputs!$C$17="Rebased to 100",$F635/F$8*100,$F635)))))</f>
        <v/>
      </c>
      <c r="M635" s="54">
        <f>IF($B635=0,NA(),IF($G635="",NA(),IF(G$8="",NA(),IF(N(G$8)=0,NA(),IF(Inputs!$C$17="Rebased to 100",$G635/G$8*100,$G635)))))</f>
        <v/>
      </c>
      <c r="N635" s="54">
        <f>IF($B635=0,NA(),IF(Inputs!$C$18&lt;&gt;"Yes",NA(),IF(COUNT(I635,J635,K635,L635,M635)=0,NA(),MIN(I635,J635,K635,L635,M635))))</f>
        <v/>
      </c>
      <c r="O635" s="54">
        <f>IF($B635=0,NA(),IF(Inputs!$B$24&lt;&gt;"Yes",NA(),Inputs!$D$24*Inputs!$C$35))</f>
        <v/>
      </c>
      <c r="P635" s="54">
        <f>IF($B635=0,NA(),IF(Inputs!$B$25&lt;&gt;"Yes",NA(),Inputs!$D$25*Inputs!$C$35))</f>
        <v/>
      </c>
      <c r="Q635" s="54">
        <f>IF($B635=0,NA(),IF(Inputs!$B$26&lt;&gt;"Yes",NA(),Inputs!$D$26*Inputs!$C$35))</f>
        <v/>
      </c>
      <c r="R635" s="54">
        <f>IF($B635=0,NA(),IF(Inputs!$B$27&lt;&gt;"Yes",NA(),Inputs!$D$27*Inputs!$C$35))</f>
        <v/>
      </c>
      <c r="S635" s="54">
        <f>IF($B635=0,NA(),IF(Inputs!$B$28&lt;&gt;"Yes",NA(),Inputs!$D$28*Inputs!$C$35))</f>
        <v/>
      </c>
      <c r="T635" s="54">
        <f>IF($B635=0,NA(),IF(Inputs!$B$29&lt;&gt;"Yes",NA(),Inputs!$D$29*Inputs!$C$35))</f>
        <v/>
      </c>
      <c r="AD635">
        <f>IF($B635=0,0,IF(Inputs!$B$6="",0,COUNTIFS(Data!$A$10:$A$3209,"&gt;="&amp;$A635,Data!$A$10:$A$3209,"&lt;"&amp;$A635+1)))</f>
        <v/>
      </c>
      <c r="AE635">
        <f>IF($B635=0,0,IF(Inputs!$B$7="",0,COUNTIFS(Data!$E$10:$E$3209,"&gt;="&amp;$A635,Data!$E$10:$E$3209,"&lt;"&amp;$A635+1)))</f>
        <v/>
      </c>
      <c r="AF635">
        <f>IF($B635=0,0,IF(Inputs!$B$8="",0,COUNTIFS(Data!$I$10:$I$3209,"&gt;="&amp;$A635,Data!$I$10:$I$3209,"&lt;"&amp;$A635+1)))</f>
        <v/>
      </c>
      <c r="AG635">
        <f>IF($B635=0,0,IF(Inputs!$B$9="",0,COUNTIFS(Data!$M$10:$M$3209,"&gt;="&amp;$A635,Data!$M$10:$M$3209,"&lt;"&amp;$A635+1)))</f>
        <v/>
      </c>
      <c r="AH635">
        <f>IF($B635=0,0,IF(Inputs!$B$10="",0,COUNTIFS(Data!$Q$10:$Q$3209,"&gt;="&amp;$A635,Data!$Q$10:$Q$3209,"&lt;"&amp;$A635+1)))</f>
        <v/>
      </c>
    </row>
    <row r="636">
      <c r="A636" s="55">
        <f>MIN(Inputs!$C$15,$A635+IF(WEEKDAY($A635,2)=5,3,1))</f>
        <v/>
      </c>
      <c r="B636">
        <f>IF($A636&gt;$A635,1,0)</f>
        <v/>
      </c>
      <c r="C636" s="56">
        <f>IF($B636=0,"",IF(Inputs!$B$6="","",IF($AD636=0,C635,SUMIFS(Data!$B$10:$B$3209,Data!$A$10:$A$3209,"&gt;="&amp;$A636,Data!$A$10:$A$3209,"&lt;"&amp;$A636+1)/$AD636)))</f>
        <v/>
      </c>
      <c r="D636" s="56">
        <f>IF($B636=0,"",IF(Inputs!$B$7="","",IF($AE636=0,D635,SUMIFS(Data!$F$10:$F$3209,Data!$E$10:$E$3209,"&gt;="&amp;$A636,Data!$E$10:$E$3209,"&lt;"&amp;$A636+1)/$AE636)))</f>
        <v/>
      </c>
      <c r="E636" s="56">
        <f>IF($B636=0,"",IF(Inputs!$B$8="","",IF($AF636=0,E635,SUMIFS(Data!$J$10:$J$3209,Data!$I$10:$I$3209,"&gt;="&amp;$A636,Data!$I$10:$I$3209,"&lt;"&amp;$A636+1)/$AF636)))</f>
        <v/>
      </c>
      <c r="F636" s="56">
        <f>IF($B636=0,"",IF(Inputs!$B$9="","",IF($AG636=0,F635,SUMIFS(Data!$N$10:$N$3209,Data!$M$10:$M$3209,"&gt;="&amp;$A636,Data!$M$10:$M$3209,"&lt;"&amp;$A636+1)/$AG636)))</f>
        <v/>
      </c>
      <c r="G636" s="56">
        <f>IF($B636=0,"",IF(Inputs!$B$10="","",IF($AH636=0,G635,SUMIFS(Data!$R$10:$R$3209,Data!$Q$10:$Q$3209,"&gt;="&amp;$A636,Data!$Q$10:$Q$3209,"&lt;"&amp;$A636+1)/$AH636)))</f>
        <v/>
      </c>
      <c r="I636" s="54">
        <f>IF($B636=0,NA(),IF($C636="",NA(),IF(C$8="",NA(),IF(N(C$8)=0,NA(),IF(Inputs!$C$17="Rebased to 100",$C636/C$8*100,$C636)))))</f>
        <v/>
      </c>
      <c r="J636" s="54">
        <f>IF($B636=0,NA(),IF($D636="",NA(),IF(D$8="",NA(),IF(N(D$8)=0,NA(),IF(Inputs!$C$17="Rebased to 100",$D636/D$8*100,$D636)))))</f>
        <v/>
      </c>
      <c r="K636" s="54">
        <f>IF($B636=0,NA(),IF($E636="",NA(),IF(E$8="",NA(),IF(N(E$8)=0,NA(),IF(Inputs!$C$17="Rebased to 100",$E636/E$8*100,$E636)))))</f>
        <v/>
      </c>
      <c r="L636" s="54">
        <f>IF($B636=0,NA(),IF($F636="",NA(),IF(F$8="",NA(),IF(N(F$8)=0,NA(),IF(Inputs!$C$17="Rebased to 100",$F636/F$8*100,$F636)))))</f>
        <v/>
      </c>
      <c r="M636" s="54">
        <f>IF($B636=0,NA(),IF($G636="",NA(),IF(G$8="",NA(),IF(N(G$8)=0,NA(),IF(Inputs!$C$17="Rebased to 100",$G636/G$8*100,$G636)))))</f>
        <v/>
      </c>
      <c r="N636" s="54">
        <f>IF($B636=0,NA(),IF(Inputs!$C$18&lt;&gt;"Yes",NA(),IF(COUNT(I636,J636,K636,L636,M636)=0,NA(),MIN(I636,J636,K636,L636,M636))))</f>
        <v/>
      </c>
      <c r="O636" s="54">
        <f>IF($B636=0,NA(),IF(Inputs!$B$24&lt;&gt;"Yes",NA(),Inputs!$D$24*Inputs!$C$35))</f>
        <v/>
      </c>
      <c r="P636" s="54">
        <f>IF($B636=0,NA(),IF(Inputs!$B$25&lt;&gt;"Yes",NA(),Inputs!$D$25*Inputs!$C$35))</f>
        <v/>
      </c>
      <c r="Q636" s="54">
        <f>IF($B636=0,NA(),IF(Inputs!$B$26&lt;&gt;"Yes",NA(),Inputs!$D$26*Inputs!$C$35))</f>
        <v/>
      </c>
      <c r="R636" s="54">
        <f>IF($B636=0,NA(),IF(Inputs!$B$27&lt;&gt;"Yes",NA(),Inputs!$D$27*Inputs!$C$35))</f>
        <v/>
      </c>
      <c r="S636" s="54">
        <f>IF($B636=0,NA(),IF(Inputs!$B$28&lt;&gt;"Yes",NA(),Inputs!$D$28*Inputs!$C$35))</f>
        <v/>
      </c>
      <c r="T636" s="54">
        <f>IF($B636=0,NA(),IF(Inputs!$B$29&lt;&gt;"Yes",NA(),Inputs!$D$29*Inputs!$C$35))</f>
        <v/>
      </c>
      <c r="AD636">
        <f>IF($B636=0,0,IF(Inputs!$B$6="",0,COUNTIFS(Data!$A$10:$A$3209,"&gt;="&amp;$A636,Data!$A$10:$A$3209,"&lt;"&amp;$A636+1)))</f>
        <v/>
      </c>
      <c r="AE636">
        <f>IF($B636=0,0,IF(Inputs!$B$7="",0,COUNTIFS(Data!$E$10:$E$3209,"&gt;="&amp;$A636,Data!$E$10:$E$3209,"&lt;"&amp;$A636+1)))</f>
        <v/>
      </c>
      <c r="AF636">
        <f>IF($B636=0,0,IF(Inputs!$B$8="",0,COUNTIFS(Data!$I$10:$I$3209,"&gt;="&amp;$A636,Data!$I$10:$I$3209,"&lt;"&amp;$A636+1)))</f>
        <v/>
      </c>
      <c r="AG636">
        <f>IF($B636=0,0,IF(Inputs!$B$9="",0,COUNTIFS(Data!$M$10:$M$3209,"&gt;="&amp;$A636,Data!$M$10:$M$3209,"&lt;"&amp;$A636+1)))</f>
        <v/>
      </c>
      <c r="AH636">
        <f>IF($B636=0,0,IF(Inputs!$B$10="",0,COUNTIFS(Data!$Q$10:$Q$3209,"&gt;="&amp;$A636,Data!$Q$10:$Q$3209,"&lt;"&amp;$A636+1)))</f>
        <v/>
      </c>
    </row>
    <row r="637">
      <c r="A637" s="55">
        <f>MIN(Inputs!$C$15,$A636+IF(WEEKDAY($A636,2)=5,3,1))</f>
        <v/>
      </c>
      <c r="B637">
        <f>IF($A637&gt;$A636,1,0)</f>
        <v/>
      </c>
      <c r="C637" s="56">
        <f>IF($B637=0,"",IF(Inputs!$B$6="","",IF($AD637=0,C636,SUMIFS(Data!$B$10:$B$3209,Data!$A$10:$A$3209,"&gt;="&amp;$A637,Data!$A$10:$A$3209,"&lt;"&amp;$A637+1)/$AD637)))</f>
        <v/>
      </c>
      <c r="D637" s="56">
        <f>IF($B637=0,"",IF(Inputs!$B$7="","",IF($AE637=0,D636,SUMIFS(Data!$F$10:$F$3209,Data!$E$10:$E$3209,"&gt;="&amp;$A637,Data!$E$10:$E$3209,"&lt;"&amp;$A637+1)/$AE637)))</f>
        <v/>
      </c>
      <c r="E637" s="56">
        <f>IF($B637=0,"",IF(Inputs!$B$8="","",IF($AF637=0,E636,SUMIFS(Data!$J$10:$J$3209,Data!$I$10:$I$3209,"&gt;="&amp;$A637,Data!$I$10:$I$3209,"&lt;"&amp;$A637+1)/$AF637)))</f>
        <v/>
      </c>
      <c r="F637" s="56">
        <f>IF($B637=0,"",IF(Inputs!$B$9="","",IF($AG637=0,F636,SUMIFS(Data!$N$10:$N$3209,Data!$M$10:$M$3209,"&gt;="&amp;$A637,Data!$M$10:$M$3209,"&lt;"&amp;$A637+1)/$AG637)))</f>
        <v/>
      </c>
      <c r="G637" s="56">
        <f>IF($B637=0,"",IF(Inputs!$B$10="","",IF($AH637=0,G636,SUMIFS(Data!$R$10:$R$3209,Data!$Q$10:$Q$3209,"&gt;="&amp;$A637,Data!$Q$10:$Q$3209,"&lt;"&amp;$A637+1)/$AH637)))</f>
        <v/>
      </c>
      <c r="I637" s="54">
        <f>IF($B637=0,NA(),IF($C637="",NA(),IF(C$8="",NA(),IF(N(C$8)=0,NA(),IF(Inputs!$C$17="Rebased to 100",$C637/C$8*100,$C637)))))</f>
        <v/>
      </c>
      <c r="J637" s="54">
        <f>IF($B637=0,NA(),IF($D637="",NA(),IF(D$8="",NA(),IF(N(D$8)=0,NA(),IF(Inputs!$C$17="Rebased to 100",$D637/D$8*100,$D637)))))</f>
        <v/>
      </c>
      <c r="K637" s="54">
        <f>IF($B637=0,NA(),IF($E637="",NA(),IF(E$8="",NA(),IF(N(E$8)=0,NA(),IF(Inputs!$C$17="Rebased to 100",$E637/E$8*100,$E637)))))</f>
        <v/>
      </c>
      <c r="L637" s="54">
        <f>IF($B637=0,NA(),IF($F637="",NA(),IF(F$8="",NA(),IF(N(F$8)=0,NA(),IF(Inputs!$C$17="Rebased to 100",$F637/F$8*100,$F637)))))</f>
        <v/>
      </c>
      <c r="M637" s="54">
        <f>IF($B637=0,NA(),IF($G637="",NA(),IF(G$8="",NA(),IF(N(G$8)=0,NA(),IF(Inputs!$C$17="Rebased to 100",$G637/G$8*100,$G637)))))</f>
        <v/>
      </c>
      <c r="N637" s="54">
        <f>IF($B637=0,NA(),IF(Inputs!$C$18&lt;&gt;"Yes",NA(),IF(COUNT(I637,J637,K637,L637,M637)=0,NA(),MIN(I637,J637,K637,L637,M637))))</f>
        <v/>
      </c>
      <c r="O637" s="54">
        <f>IF($B637=0,NA(),IF(Inputs!$B$24&lt;&gt;"Yes",NA(),Inputs!$D$24*Inputs!$C$35))</f>
        <v/>
      </c>
      <c r="P637" s="54">
        <f>IF($B637=0,NA(),IF(Inputs!$B$25&lt;&gt;"Yes",NA(),Inputs!$D$25*Inputs!$C$35))</f>
        <v/>
      </c>
      <c r="Q637" s="54">
        <f>IF($B637=0,NA(),IF(Inputs!$B$26&lt;&gt;"Yes",NA(),Inputs!$D$26*Inputs!$C$35))</f>
        <v/>
      </c>
      <c r="R637" s="54">
        <f>IF($B637=0,NA(),IF(Inputs!$B$27&lt;&gt;"Yes",NA(),Inputs!$D$27*Inputs!$C$35))</f>
        <v/>
      </c>
      <c r="S637" s="54">
        <f>IF($B637=0,NA(),IF(Inputs!$B$28&lt;&gt;"Yes",NA(),Inputs!$D$28*Inputs!$C$35))</f>
        <v/>
      </c>
      <c r="T637" s="54">
        <f>IF($B637=0,NA(),IF(Inputs!$B$29&lt;&gt;"Yes",NA(),Inputs!$D$29*Inputs!$C$35))</f>
        <v/>
      </c>
      <c r="AD637">
        <f>IF($B637=0,0,IF(Inputs!$B$6="",0,COUNTIFS(Data!$A$10:$A$3209,"&gt;="&amp;$A637,Data!$A$10:$A$3209,"&lt;"&amp;$A637+1)))</f>
        <v/>
      </c>
      <c r="AE637">
        <f>IF($B637=0,0,IF(Inputs!$B$7="",0,COUNTIFS(Data!$E$10:$E$3209,"&gt;="&amp;$A637,Data!$E$10:$E$3209,"&lt;"&amp;$A637+1)))</f>
        <v/>
      </c>
      <c r="AF637">
        <f>IF($B637=0,0,IF(Inputs!$B$8="",0,COUNTIFS(Data!$I$10:$I$3209,"&gt;="&amp;$A637,Data!$I$10:$I$3209,"&lt;"&amp;$A637+1)))</f>
        <v/>
      </c>
      <c r="AG637">
        <f>IF($B637=0,0,IF(Inputs!$B$9="",0,COUNTIFS(Data!$M$10:$M$3209,"&gt;="&amp;$A637,Data!$M$10:$M$3209,"&lt;"&amp;$A637+1)))</f>
        <v/>
      </c>
      <c r="AH637">
        <f>IF($B637=0,0,IF(Inputs!$B$10="",0,COUNTIFS(Data!$Q$10:$Q$3209,"&gt;="&amp;$A637,Data!$Q$10:$Q$3209,"&lt;"&amp;$A637+1)))</f>
        <v/>
      </c>
    </row>
    <row r="638">
      <c r="A638" s="55">
        <f>MIN(Inputs!$C$15,$A637+IF(WEEKDAY($A637,2)=5,3,1))</f>
        <v/>
      </c>
      <c r="B638">
        <f>IF($A638&gt;$A637,1,0)</f>
        <v/>
      </c>
      <c r="C638" s="56">
        <f>IF($B638=0,"",IF(Inputs!$B$6="","",IF($AD638=0,C637,SUMIFS(Data!$B$10:$B$3209,Data!$A$10:$A$3209,"&gt;="&amp;$A638,Data!$A$10:$A$3209,"&lt;"&amp;$A638+1)/$AD638)))</f>
        <v/>
      </c>
      <c r="D638" s="56">
        <f>IF($B638=0,"",IF(Inputs!$B$7="","",IF($AE638=0,D637,SUMIFS(Data!$F$10:$F$3209,Data!$E$10:$E$3209,"&gt;="&amp;$A638,Data!$E$10:$E$3209,"&lt;"&amp;$A638+1)/$AE638)))</f>
        <v/>
      </c>
      <c r="E638" s="56">
        <f>IF($B638=0,"",IF(Inputs!$B$8="","",IF($AF638=0,E637,SUMIFS(Data!$J$10:$J$3209,Data!$I$10:$I$3209,"&gt;="&amp;$A638,Data!$I$10:$I$3209,"&lt;"&amp;$A638+1)/$AF638)))</f>
        <v/>
      </c>
      <c r="F638" s="56">
        <f>IF($B638=0,"",IF(Inputs!$B$9="","",IF($AG638=0,F637,SUMIFS(Data!$N$10:$N$3209,Data!$M$10:$M$3209,"&gt;="&amp;$A638,Data!$M$10:$M$3209,"&lt;"&amp;$A638+1)/$AG638)))</f>
        <v/>
      </c>
      <c r="G638" s="56">
        <f>IF($B638=0,"",IF(Inputs!$B$10="","",IF($AH638=0,G637,SUMIFS(Data!$R$10:$R$3209,Data!$Q$10:$Q$3209,"&gt;="&amp;$A638,Data!$Q$10:$Q$3209,"&lt;"&amp;$A638+1)/$AH638)))</f>
        <v/>
      </c>
      <c r="I638" s="54">
        <f>IF($B638=0,NA(),IF($C638="",NA(),IF(C$8="",NA(),IF(N(C$8)=0,NA(),IF(Inputs!$C$17="Rebased to 100",$C638/C$8*100,$C638)))))</f>
        <v/>
      </c>
      <c r="J638" s="54">
        <f>IF($B638=0,NA(),IF($D638="",NA(),IF(D$8="",NA(),IF(N(D$8)=0,NA(),IF(Inputs!$C$17="Rebased to 100",$D638/D$8*100,$D638)))))</f>
        <v/>
      </c>
      <c r="K638" s="54">
        <f>IF($B638=0,NA(),IF($E638="",NA(),IF(E$8="",NA(),IF(N(E$8)=0,NA(),IF(Inputs!$C$17="Rebased to 100",$E638/E$8*100,$E638)))))</f>
        <v/>
      </c>
      <c r="L638" s="54">
        <f>IF($B638=0,NA(),IF($F638="",NA(),IF(F$8="",NA(),IF(N(F$8)=0,NA(),IF(Inputs!$C$17="Rebased to 100",$F638/F$8*100,$F638)))))</f>
        <v/>
      </c>
      <c r="M638" s="54">
        <f>IF($B638=0,NA(),IF($G638="",NA(),IF(G$8="",NA(),IF(N(G$8)=0,NA(),IF(Inputs!$C$17="Rebased to 100",$G638/G$8*100,$G638)))))</f>
        <v/>
      </c>
      <c r="N638" s="54">
        <f>IF($B638=0,NA(),IF(Inputs!$C$18&lt;&gt;"Yes",NA(),IF(COUNT(I638,J638,K638,L638,M638)=0,NA(),MIN(I638,J638,K638,L638,M638))))</f>
        <v/>
      </c>
      <c r="O638" s="54">
        <f>IF($B638=0,NA(),IF(Inputs!$B$24&lt;&gt;"Yes",NA(),Inputs!$D$24*Inputs!$C$35))</f>
        <v/>
      </c>
      <c r="P638" s="54">
        <f>IF($B638=0,NA(),IF(Inputs!$B$25&lt;&gt;"Yes",NA(),Inputs!$D$25*Inputs!$C$35))</f>
        <v/>
      </c>
      <c r="Q638" s="54">
        <f>IF($B638=0,NA(),IF(Inputs!$B$26&lt;&gt;"Yes",NA(),Inputs!$D$26*Inputs!$C$35))</f>
        <v/>
      </c>
      <c r="R638" s="54">
        <f>IF($B638=0,NA(),IF(Inputs!$B$27&lt;&gt;"Yes",NA(),Inputs!$D$27*Inputs!$C$35))</f>
        <v/>
      </c>
      <c r="S638" s="54">
        <f>IF($B638=0,NA(),IF(Inputs!$B$28&lt;&gt;"Yes",NA(),Inputs!$D$28*Inputs!$C$35))</f>
        <v/>
      </c>
      <c r="T638" s="54">
        <f>IF($B638=0,NA(),IF(Inputs!$B$29&lt;&gt;"Yes",NA(),Inputs!$D$29*Inputs!$C$35))</f>
        <v/>
      </c>
      <c r="AD638">
        <f>IF($B638=0,0,IF(Inputs!$B$6="",0,COUNTIFS(Data!$A$10:$A$3209,"&gt;="&amp;$A638,Data!$A$10:$A$3209,"&lt;"&amp;$A638+1)))</f>
        <v/>
      </c>
      <c r="AE638">
        <f>IF($B638=0,0,IF(Inputs!$B$7="",0,COUNTIFS(Data!$E$10:$E$3209,"&gt;="&amp;$A638,Data!$E$10:$E$3209,"&lt;"&amp;$A638+1)))</f>
        <v/>
      </c>
      <c r="AF638">
        <f>IF($B638=0,0,IF(Inputs!$B$8="",0,COUNTIFS(Data!$I$10:$I$3209,"&gt;="&amp;$A638,Data!$I$10:$I$3209,"&lt;"&amp;$A638+1)))</f>
        <v/>
      </c>
      <c r="AG638">
        <f>IF($B638=0,0,IF(Inputs!$B$9="",0,COUNTIFS(Data!$M$10:$M$3209,"&gt;="&amp;$A638,Data!$M$10:$M$3209,"&lt;"&amp;$A638+1)))</f>
        <v/>
      </c>
      <c r="AH638">
        <f>IF($B638=0,0,IF(Inputs!$B$10="",0,COUNTIFS(Data!$Q$10:$Q$3209,"&gt;="&amp;$A638,Data!$Q$10:$Q$3209,"&lt;"&amp;$A638+1)))</f>
        <v/>
      </c>
    </row>
    <row r="639">
      <c r="A639" s="55">
        <f>MIN(Inputs!$C$15,$A638+IF(WEEKDAY($A638,2)=5,3,1))</f>
        <v/>
      </c>
      <c r="B639">
        <f>IF($A639&gt;$A638,1,0)</f>
        <v/>
      </c>
      <c r="C639" s="56">
        <f>IF($B639=0,"",IF(Inputs!$B$6="","",IF($AD639=0,C638,SUMIFS(Data!$B$10:$B$3209,Data!$A$10:$A$3209,"&gt;="&amp;$A639,Data!$A$10:$A$3209,"&lt;"&amp;$A639+1)/$AD639)))</f>
        <v/>
      </c>
      <c r="D639" s="56">
        <f>IF($B639=0,"",IF(Inputs!$B$7="","",IF($AE639=0,D638,SUMIFS(Data!$F$10:$F$3209,Data!$E$10:$E$3209,"&gt;="&amp;$A639,Data!$E$10:$E$3209,"&lt;"&amp;$A639+1)/$AE639)))</f>
        <v/>
      </c>
      <c r="E639" s="56">
        <f>IF($B639=0,"",IF(Inputs!$B$8="","",IF($AF639=0,E638,SUMIFS(Data!$J$10:$J$3209,Data!$I$10:$I$3209,"&gt;="&amp;$A639,Data!$I$10:$I$3209,"&lt;"&amp;$A639+1)/$AF639)))</f>
        <v/>
      </c>
      <c r="F639" s="56">
        <f>IF($B639=0,"",IF(Inputs!$B$9="","",IF($AG639=0,F638,SUMIFS(Data!$N$10:$N$3209,Data!$M$10:$M$3209,"&gt;="&amp;$A639,Data!$M$10:$M$3209,"&lt;"&amp;$A639+1)/$AG639)))</f>
        <v/>
      </c>
      <c r="G639" s="56">
        <f>IF($B639=0,"",IF(Inputs!$B$10="","",IF($AH639=0,G638,SUMIFS(Data!$R$10:$R$3209,Data!$Q$10:$Q$3209,"&gt;="&amp;$A639,Data!$Q$10:$Q$3209,"&lt;"&amp;$A639+1)/$AH639)))</f>
        <v/>
      </c>
      <c r="I639" s="54">
        <f>IF($B639=0,NA(),IF($C639="",NA(),IF(C$8="",NA(),IF(N(C$8)=0,NA(),IF(Inputs!$C$17="Rebased to 100",$C639/C$8*100,$C639)))))</f>
        <v/>
      </c>
      <c r="J639" s="54">
        <f>IF($B639=0,NA(),IF($D639="",NA(),IF(D$8="",NA(),IF(N(D$8)=0,NA(),IF(Inputs!$C$17="Rebased to 100",$D639/D$8*100,$D639)))))</f>
        <v/>
      </c>
      <c r="K639" s="54">
        <f>IF($B639=0,NA(),IF($E639="",NA(),IF(E$8="",NA(),IF(N(E$8)=0,NA(),IF(Inputs!$C$17="Rebased to 100",$E639/E$8*100,$E639)))))</f>
        <v/>
      </c>
      <c r="L639" s="54">
        <f>IF($B639=0,NA(),IF($F639="",NA(),IF(F$8="",NA(),IF(N(F$8)=0,NA(),IF(Inputs!$C$17="Rebased to 100",$F639/F$8*100,$F639)))))</f>
        <v/>
      </c>
      <c r="M639" s="54">
        <f>IF($B639=0,NA(),IF($G639="",NA(),IF(G$8="",NA(),IF(N(G$8)=0,NA(),IF(Inputs!$C$17="Rebased to 100",$G639/G$8*100,$G639)))))</f>
        <v/>
      </c>
      <c r="N639" s="54">
        <f>IF($B639=0,NA(),IF(Inputs!$C$18&lt;&gt;"Yes",NA(),IF(COUNT(I639,J639,K639,L639,M639)=0,NA(),MIN(I639,J639,K639,L639,M639))))</f>
        <v/>
      </c>
      <c r="O639" s="54">
        <f>IF($B639=0,NA(),IF(Inputs!$B$24&lt;&gt;"Yes",NA(),Inputs!$D$24*Inputs!$C$35))</f>
        <v/>
      </c>
      <c r="P639" s="54">
        <f>IF($B639=0,NA(),IF(Inputs!$B$25&lt;&gt;"Yes",NA(),Inputs!$D$25*Inputs!$C$35))</f>
        <v/>
      </c>
      <c r="Q639" s="54">
        <f>IF($B639=0,NA(),IF(Inputs!$B$26&lt;&gt;"Yes",NA(),Inputs!$D$26*Inputs!$C$35))</f>
        <v/>
      </c>
      <c r="R639" s="54">
        <f>IF($B639=0,NA(),IF(Inputs!$B$27&lt;&gt;"Yes",NA(),Inputs!$D$27*Inputs!$C$35))</f>
        <v/>
      </c>
      <c r="S639" s="54">
        <f>IF($B639=0,NA(),IF(Inputs!$B$28&lt;&gt;"Yes",NA(),Inputs!$D$28*Inputs!$C$35))</f>
        <v/>
      </c>
      <c r="T639" s="54">
        <f>IF($B639=0,NA(),IF(Inputs!$B$29&lt;&gt;"Yes",NA(),Inputs!$D$29*Inputs!$C$35))</f>
        <v/>
      </c>
      <c r="AD639">
        <f>IF($B639=0,0,IF(Inputs!$B$6="",0,COUNTIFS(Data!$A$10:$A$3209,"&gt;="&amp;$A639,Data!$A$10:$A$3209,"&lt;"&amp;$A639+1)))</f>
        <v/>
      </c>
      <c r="AE639">
        <f>IF($B639=0,0,IF(Inputs!$B$7="",0,COUNTIFS(Data!$E$10:$E$3209,"&gt;="&amp;$A639,Data!$E$10:$E$3209,"&lt;"&amp;$A639+1)))</f>
        <v/>
      </c>
      <c r="AF639">
        <f>IF($B639=0,0,IF(Inputs!$B$8="",0,COUNTIFS(Data!$I$10:$I$3209,"&gt;="&amp;$A639,Data!$I$10:$I$3209,"&lt;"&amp;$A639+1)))</f>
        <v/>
      </c>
      <c r="AG639">
        <f>IF($B639=0,0,IF(Inputs!$B$9="",0,COUNTIFS(Data!$M$10:$M$3209,"&gt;="&amp;$A639,Data!$M$10:$M$3209,"&lt;"&amp;$A639+1)))</f>
        <v/>
      </c>
      <c r="AH639">
        <f>IF($B639=0,0,IF(Inputs!$B$10="",0,COUNTIFS(Data!$Q$10:$Q$3209,"&gt;="&amp;$A639,Data!$Q$10:$Q$3209,"&lt;"&amp;$A639+1)))</f>
        <v/>
      </c>
    </row>
    <row r="640">
      <c r="A640" s="55">
        <f>MIN(Inputs!$C$15,$A639+IF(WEEKDAY($A639,2)=5,3,1))</f>
        <v/>
      </c>
      <c r="B640">
        <f>IF($A640&gt;$A639,1,0)</f>
        <v/>
      </c>
      <c r="C640" s="56">
        <f>IF($B640=0,"",IF(Inputs!$B$6="","",IF($AD640=0,C639,SUMIFS(Data!$B$10:$B$3209,Data!$A$10:$A$3209,"&gt;="&amp;$A640,Data!$A$10:$A$3209,"&lt;"&amp;$A640+1)/$AD640)))</f>
        <v/>
      </c>
      <c r="D640" s="56">
        <f>IF($B640=0,"",IF(Inputs!$B$7="","",IF($AE640=0,D639,SUMIFS(Data!$F$10:$F$3209,Data!$E$10:$E$3209,"&gt;="&amp;$A640,Data!$E$10:$E$3209,"&lt;"&amp;$A640+1)/$AE640)))</f>
        <v/>
      </c>
      <c r="E640" s="56">
        <f>IF($B640=0,"",IF(Inputs!$B$8="","",IF($AF640=0,E639,SUMIFS(Data!$J$10:$J$3209,Data!$I$10:$I$3209,"&gt;="&amp;$A640,Data!$I$10:$I$3209,"&lt;"&amp;$A640+1)/$AF640)))</f>
        <v/>
      </c>
      <c r="F640" s="56">
        <f>IF($B640=0,"",IF(Inputs!$B$9="","",IF($AG640=0,F639,SUMIFS(Data!$N$10:$N$3209,Data!$M$10:$M$3209,"&gt;="&amp;$A640,Data!$M$10:$M$3209,"&lt;"&amp;$A640+1)/$AG640)))</f>
        <v/>
      </c>
      <c r="G640" s="56">
        <f>IF($B640=0,"",IF(Inputs!$B$10="","",IF($AH640=0,G639,SUMIFS(Data!$R$10:$R$3209,Data!$Q$10:$Q$3209,"&gt;="&amp;$A640,Data!$Q$10:$Q$3209,"&lt;"&amp;$A640+1)/$AH640)))</f>
        <v/>
      </c>
      <c r="I640" s="54">
        <f>IF($B640=0,NA(),IF($C640="",NA(),IF(C$8="",NA(),IF(N(C$8)=0,NA(),IF(Inputs!$C$17="Rebased to 100",$C640/C$8*100,$C640)))))</f>
        <v/>
      </c>
      <c r="J640" s="54">
        <f>IF($B640=0,NA(),IF($D640="",NA(),IF(D$8="",NA(),IF(N(D$8)=0,NA(),IF(Inputs!$C$17="Rebased to 100",$D640/D$8*100,$D640)))))</f>
        <v/>
      </c>
      <c r="K640" s="54">
        <f>IF($B640=0,NA(),IF($E640="",NA(),IF(E$8="",NA(),IF(N(E$8)=0,NA(),IF(Inputs!$C$17="Rebased to 100",$E640/E$8*100,$E640)))))</f>
        <v/>
      </c>
      <c r="L640" s="54">
        <f>IF($B640=0,NA(),IF($F640="",NA(),IF(F$8="",NA(),IF(N(F$8)=0,NA(),IF(Inputs!$C$17="Rebased to 100",$F640/F$8*100,$F640)))))</f>
        <v/>
      </c>
      <c r="M640" s="54">
        <f>IF($B640=0,NA(),IF($G640="",NA(),IF(G$8="",NA(),IF(N(G$8)=0,NA(),IF(Inputs!$C$17="Rebased to 100",$G640/G$8*100,$G640)))))</f>
        <v/>
      </c>
      <c r="N640" s="54">
        <f>IF($B640=0,NA(),IF(Inputs!$C$18&lt;&gt;"Yes",NA(),IF(COUNT(I640,J640,K640,L640,M640)=0,NA(),MIN(I640,J640,K640,L640,M640))))</f>
        <v/>
      </c>
      <c r="O640" s="54">
        <f>IF($B640=0,NA(),IF(Inputs!$B$24&lt;&gt;"Yes",NA(),Inputs!$D$24*Inputs!$C$35))</f>
        <v/>
      </c>
      <c r="P640" s="54">
        <f>IF($B640=0,NA(),IF(Inputs!$B$25&lt;&gt;"Yes",NA(),Inputs!$D$25*Inputs!$C$35))</f>
        <v/>
      </c>
      <c r="Q640" s="54">
        <f>IF($B640=0,NA(),IF(Inputs!$B$26&lt;&gt;"Yes",NA(),Inputs!$D$26*Inputs!$C$35))</f>
        <v/>
      </c>
      <c r="R640" s="54">
        <f>IF($B640=0,NA(),IF(Inputs!$B$27&lt;&gt;"Yes",NA(),Inputs!$D$27*Inputs!$C$35))</f>
        <v/>
      </c>
      <c r="S640" s="54">
        <f>IF($B640=0,NA(),IF(Inputs!$B$28&lt;&gt;"Yes",NA(),Inputs!$D$28*Inputs!$C$35))</f>
        <v/>
      </c>
      <c r="T640" s="54">
        <f>IF($B640=0,NA(),IF(Inputs!$B$29&lt;&gt;"Yes",NA(),Inputs!$D$29*Inputs!$C$35))</f>
        <v/>
      </c>
      <c r="AD640">
        <f>IF($B640=0,0,IF(Inputs!$B$6="",0,COUNTIFS(Data!$A$10:$A$3209,"&gt;="&amp;$A640,Data!$A$10:$A$3209,"&lt;"&amp;$A640+1)))</f>
        <v/>
      </c>
      <c r="AE640">
        <f>IF($B640=0,0,IF(Inputs!$B$7="",0,COUNTIFS(Data!$E$10:$E$3209,"&gt;="&amp;$A640,Data!$E$10:$E$3209,"&lt;"&amp;$A640+1)))</f>
        <v/>
      </c>
      <c r="AF640">
        <f>IF($B640=0,0,IF(Inputs!$B$8="",0,COUNTIFS(Data!$I$10:$I$3209,"&gt;="&amp;$A640,Data!$I$10:$I$3209,"&lt;"&amp;$A640+1)))</f>
        <v/>
      </c>
      <c r="AG640">
        <f>IF($B640=0,0,IF(Inputs!$B$9="",0,COUNTIFS(Data!$M$10:$M$3209,"&gt;="&amp;$A640,Data!$M$10:$M$3209,"&lt;"&amp;$A640+1)))</f>
        <v/>
      </c>
      <c r="AH640">
        <f>IF($B640=0,0,IF(Inputs!$B$10="",0,COUNTIFS(Data!$Q$10:$Q$3209,"&gt;="&amp;$A640,Data!$Q$10:$Q$3209,"&lt;"&amp;$A640+1)))</f>
        <v/>
      </c>
    </row>
    <row r="641">
      <c r="A641" s="55">
        <f>MIN(Inputs!$C$15,$A640+IF(WEEKDAY($A640,2)=5,3,1))</f>
        <v/>
      </c>
      <c r="B641">
        <f>IF($A641&gt;$A640,1,0)</f>
        <v/>
      </c>
      <c r="C641" s="56">
        <f>IF($B641=0,"",IF(Inputs!$B$6="","",IF($AD641=0,C640,SUMIFS(Data!$B$10:$B$3209,Data!$A$10:$A$3209,"&gt;="&amp;$A641,Data!$A$10:$A$3209,"&lt;"&amp;$A641+1)/$AD641)))</f>
        <v/>
      </c>
      <c r="D641" s="56">
        <f>IF($B641=0,"",IF(Inputs!$B$7="","",IF($AE641=0,D640,SUMIFS(Data!$F$10:$F$3209,Data!$E$10:$E$3209,"&gt;="&amp;$A641,Data!$E$10:$E$3209,"&lt;"&amp;$A641+1)/$AE641)))</f>
        <v/>
      </c>
      <c r="E641" s="56">
        <f>IF($B641=0,"",IF(Inputs!$B$8="","",IF($AF641=0,E640,SUMIFS(Data!$J$10:$J$3209,Data!$I$10:$I$3209,"&gt;="&amp;$A641,Data!$I$10:$I$3209,"&lt;"&amp;$A641+1)/$AF641)))</f>
        <v/>
      </c>
      <c r="F641" s="56">
        <f>IF($B641=0,"",IF(Inputs!$B$9="","",IF($AG641=0,F640,SUMIFS(Data!$N$10:$N$3209,Data!$M$10:$M$3209,"&gt;="&amp;$A641,Data!$M$10:$M$3209,"&lt;"&amp;$A641+1)/$AG641)))</f>
        <v/>
      </c>
      <c r="G641" s="56">
        <f>IF($B641=0,"",IF(Inputs!$B$10="","",IF($AH641=0,G640,SUMIFS(Data!$R$10:$R$3209,Data!$Q$10:$Q$3209,"&gt;="&amp;$A641,Data!$Q$10:$Q$3209,"&lt;"&amp;$A641+1)/$AH641)))</f>
        <v/>
      </c>
      <c r="I641" s="54">
        <f>IF($B641=0,NA(),IF($C641="",NA(),IF(C$8="",NA(),IF(N(C$8)=0,NA(),IF(Inputs!$C$17="Rebased to 100",$C641/C$8*100,$C641)))))</f>
        <v/>
      </c>
      <c r="J641" s="54">
        <f>IF($B641=0,NA(),IF($D641="",NA(),IF(D$8="",NA(),IF(N(D$8)=0,NA(),IF(Inputs!$C$17="Rebased to 100",$D641/D$8*100,$D641)))))</f>
        <v/>
      </c>
      <c r="K641" s="54">
        <f>IF($B641=0,NA(),IF($E641="",NA(),IF(E$8="",NA(),IF(N(E$8)=0,NA(),IF(Inputs!$C$17="Rebased to 100",$E641/E$8*100,$E641)))))</f>
        <v/>
      </c>
      <c r="L641" s="54">
        <f>IF($B641=0,NA(),IF($F641="",NA(),IF(F$8="",NA(),IF(N(F$8)=0,NA(),IF(Inputs!$C$17="Rebased to 100",$F641/F$8*100,$F641)))))</f>
        <v/>
      </c>
      <c r="M641" s="54">
        <f>IF($B641=0,NA(),IF($G641="",NA(),IF(G$8="",NA(),IF(N(G$8)=0,NA(),IF(Inputs!$C$17="Rebased to 100",$G641/G$8*100,$G641)))))</f>
        <v/>
      </c>
      <c r="N641" s="54">
        <f>IF($B641=0,NA(),IF(Inputs!$C$18&lt;&gt;"Yes",NA(),IF(COUNT(I641,J641,K641,L641,M641)=0,NA(),MIN(I641,J641,K641,L641,M641))))</f>
        <v/>
      </c>
      <c r="O641" s="54">
        <f>IF($B641=0,NA(),IF(Inputs!$B$24&lt;&gt;"Yes",NA(),Inputs!$D$24*Inputs!$C$35))</f>
        <v/>
      </c>
      <c r="P641" s="54">
        <f>IF($B641=0,NA(),IF(Inputs!$B$25&lt;&gt;"Yes",NA(),Inputs!$D$25*Inputs!$C$35))</f>
        <v/>
      </c>
      <c r="Q641" s="54">
        <f>IF($B641=0,NA(),IF(Inputs!$B$26&lt;&gt;"Yes",NA(),Inputs!$D$26*Inputs!$C$35))</f>
        <v/>
      </c>
      <c r="R641" s="54">
        <f>IF($B641=0,NA(),IF(Inputs!$B$27&lt;&gt;"Yes",NA(),Inputs!$D$27*Inputs!$C$35))</f>
        <v/>
      </c>
      <c r="S641" s="54">
        <f>IF($B641=0,NA(),IF(Inputs!$B$28&lt;&gt;"Yes",NA(),Inputs!$D$28*Inputs!$C$35))</f>
        <v/>
      </c>
      <c r="T641" s="54">
        <f>IF($B641=0,NA(),IF(Inputs!$B$29&lt;&gt;"Yes",NA(),Inputs!$D$29*Inputs!$C$35))</f>
        <v/>
      </c>
      <c r="AD641">
        <f>IF($B641=0,0,IF(Inputs!$B$6="",0,COUNTIFS(Data!$A$10:$A$3209,"&gt;="&amp;$A641,Data!$A$10:$A$3209,"&lt;"&amp;$A641+1)))</f>
        <v/>
      </c>
      <c r="AE641">
        <f>IF($B641=0,0,IF(Inputs!$B$7="",0,COUNTIFS(Data!$E$10:$E$3209,"&gt;="&amp;$A641,Data!$E$10:$E$3209,"&lt;"&amp;$A641+1)))</f>
        <v/>
      </c>
      <c r="AF641">
        <f>IF($B641=0,0,IF(Inputs!$B$8="",0,COUNTIFS(Data!$I$10:$I$3209,"&gt;="&amp;$A641,Data!$I$10:$I$3209,"&lt;"&amp;$A641+1)))</f>
        <v/>
      </c>
      <c r="AG641">
        <f>IF($B641=0,0,IF(Inputs!$B$9="",0,COUNTIFS(Data!$M$10:$M$3209,"&gt;="&amp;$A641,Data!$M$10:$M$3209,"&lt;"&amp;$A641+1)))</f>
        <v/>
      </c>
      <c r="AH641">
        <f>IF($B641=0,0,IF(Inputs!$B$10="",0,COUNTIFS(Data!$Q$10:$Q$3209,"&gt;="&amp;$A641,Data!$Q$10:$Q$3209,"&lt;"&amp;$A641+1)))</f>
        <v/>
      </c>
    </row>
    <row r="642">
      <c r="A642" s="55">
        <f>MIN(Inputs!$C$15,$A641+IF(WEEKDAY($A641,2)=5,3,1))</f>
        <v/>
      </c>
      <c r="B642">
        <f>IF($A642&gt;$A641,1,0)</f>
        <v/>
      </c>
      <c r="C642" s="56">
        <f>IF($B642=0,"",IF(Inputs!$B$6="","",IF($AD642=0,C641,SUMIFS(Data!$B$10:$B$3209,Data!$A$10:$A$3209,"&gt;="&amp;$A642,Data!$A$10:$A$3209,"&lt;"&amp;$A642+1)/$AD642)))</f>
        <v/>
      </c>
      <c r="D642" s="56">
        <f>IF($B642=0,"",IF(Inputs!$B$7="","",IF($AE642=0,D641,SUMIFS(Data!$F$10:$F$3209,Data!$E$10:$E$3209,"&gt;="&amp;$A642,Data!$E$10:$E$3209,"&lt;"&amp;$A642+1)/$AE642)))</f>
        <v/>
      </c>
      <c r="E642" s="56">
        <f>IF($B642=0,"",IF(Inputs!$B$8="","",IF($AF642=0,E641,SUMIFS(Data!$J$10:$J$3209,Data!$I$10:$I$3209,"&gt;="&amp;$A642,Data!$I$10:$I$3209,"&lt;"&amp;$A642+1)/$AF642)))</f>
        <v/>
      </c>
      <c r="F642" s="56">
        <f>IF($B642=0,"",IF(Inputs!$B$9="","",IF($AG642=0,F641,SUMIFS(Data!$N$10:$N$3209,Data!$M$10:$M$3209,"&gt;="&amp;$A642,Data!$M$10:$M$3209,"&lt;"&amp;$A642+1)/$AG642)))</f>
        <v/>
      </c>
      <c r="G642" s="56">
        <f>IF($B642=0,"",IF(Inputs!$B$10="","",IF($AH642=0,G641,SUMIFS(Data!$R$10:$R$3209,Data!$Q$10:$Q$3209,"&gt;="&amp;$A642,Data!$Q$10:$Q$3209,"&lt;"&amp;$A642+1)/$AH642)))</f>
        <v/>
      </c>
      <c r="I642" s="54">
        <f>IF($B642=0,NA(),IF($C642="",NA(),IF(C$8="",NA(),IF(N(C$8)=0,NA(),IF(Inputs!$C$17="Rebased to 100",$C642/C$8*100,$C642)))))</f>
        <v/>
      </c>
      <c r="J642" s="54">
        <f>IF($B642=0,NA(),IF($D642="",NA(),IF(D$8="",NA(),IF(N(D$8)=0,NA(),IF(Inputs!$C$17="Rebased to 100",$D642/D$8*100,$D642)))))</f>
        <v/>
      </c>
      <c r="K642" s="54">
        <f>IF($B642=0,NA(),IF($E642="",NA(),IF(E$8="",NA(),IF(N(E$8)=0,NA(),IF(Inputs!$C$17="Rebased to 100",$E642/E$8*100,$E642)))))</f>
        <v/>
      </c>
      <c r="L642" s="54">
        <f>IF($B642=0,NA(),IF($F642="",NA(),IF(F$8="",NA(),IF(N(F$8)=0,NA(),IF(Inputs!$C$17="Rebased to 100",$F642/F$8*100,$F642)))))</f>
        <v/>
      </c>
      <c r="M642" s="54">
        <f>IF($B642=0,NA(),IF($G642="",NA(),IF(G$8="",NA(),IF(N(G$8)=0,NA(),IF(Inputs!$C$17="Rebased to 100",$G642/G$8*100,$G642)))))</f>
        <v/>
      </c>
      <c r="N642" s="54">
        <f>IF($B642=0,NA(),IF(Inputs!$C$18&lt;&gt;"Yes",NA(),IF(COUNT(I642,J642,K642,L642,M642)=0,NA(),MIN(I642,J642,K642,L642,M642))))</f>
        <v/>
      </c>
      <c r="O642" s="54">
        <f>IF($B642=0,NA(),IF(Inputs!$B$24&lt;&gt;"Yes",NA(),Inputs!$D$24*Inputs!$C$35))</f>
        <v/>
      </c>
      <c r="P642" s="54">
        <f>IF($B642=0,NA(),IF(Inputs!$B$25&lt;&gt;"Yes",NA(),Inputs!$D$25*Inputs!$C$35))</f>
        <v/>
      </c>
      <c r="Q642" s="54">
        <f>IF($B642=0,NA(),IF(Inputs!$B$26&lt;&gt;"Yes",NA(),Inputs!$D$26*Inputs!$C$35))</f>
        <v/>
      </c>
      <c r="R642" s="54">
        <f>IF($B642=0,NA(),IF(Inputs!$B$27&lt;&gt;"Yes",NA(),Inputs!$D$27*Inputs!$C$35))</f>
        <v/>
      </c>
      <c r="S642" s="54">
        <f>IF($B642=0,NA(),IF(Inputs!$B$28&lt;&gt;"Yes",NA(),Inputs!$D$28*Inputs!$C$35))</f>
        <v/>
      </c>
      <c r="T642" s="54">
        <f>IF($B642=0,NA(),IF(Inputs!$B$29&lt;&gt;"Yes",NA(),Inputs!$D$29*Inputs!$C$35))</f>
        <v/>
      </c>
      <c r="AD642">
        <f>IF($B642=0,0,IF(Inputs!$B$6="",0,COUNTIFS(Data!$A$10:$A$3209,"&gt;="&amp;$A642,Data!$A$10:$A$3209,"&lt;"&amp;$A642+1)))</f>
        <v/>
      </c>
      <c r="AE642">
        <f>IF($B642=0,0,IF(Inputs!$B$7="",0,COUNTIFS(Data!$E$10:$E$3209,"&gt;="&amp;$A642,Data!$E$10:$E$3209,"&lt;"&amp;$A642+1)))</f>
        <v/>
      </c>
      <c r="AF642">
        <f>IF($B642=0,0,IF(Inputs!$B$8="",0,COUNTIFS(Data!$I$10:$I$3209,"&gt;="&amp;$A642,Data!$I$10:$I$3209,"&lt;"&amp;$A642+1)))</f>
        <v/>
      </c>
      <c r="AG642">
        <f>IF($B642=0,0,IF(Inputs!$B$9="",0,COUNTIFS(Data!$M$10:$M$3209,"&gt;="&amp;$A642,Data!$M$10:$M$3209,"&lt;"&amp;$A642+1)))</f>
        <v/>
      </c>
      <c r="AH642">
        <f>IF($B642=0,0,IF(Inputs!$B$10="",0,COUNTIFS(Data!$Q$10:$Q$3209,"&gt;="&amp;$A642,Data!$Q$10:$Q$3209,"&lt;"&amp;$A642+1)))</f>
        <v/>
      </c>
    </row>
    <row r="643">
      <c r="A643" s="55">
        <f>MIN(Inputs!$C$15,$A642+IF(WEEKDAY($A642,2)=5,3,1))</f>
        <v/>
      </c>
      <c r="B643">
        <f>IF($A643&gt;$A642,1,0)</f>
        <v/>
      </c>
      <c r="C643" s="56">
        <f>IF($B643=0,"",IF(Inputs!$B$6="","",IF($AD643=0,C642,SUMIFS(Data!$B$10:$B$3209,Data!$A$10:$A$3209,"&gt;="&amp;$A643,Data!$A$10:$A$3209,"&lt;"&amp;$A643+1)/$AD643)))</f>
        <v/>
      </c>
      <c r="D643" s="56">
        <f>IF($B643=0,"",IF(Inputs!$B$7="","",IF($AE643=0,D642,SUMIFS(Data!$F$10:$F$3209,Data!$E$10:$E$3209,"&gt;="&amp;$A643,Data!$E$10:$E$3209,"&lt;"&amp;$A643+1)/$AE643)))</f>
        <v/>
      </c>
      <c r="E643" s="56">
        <f>IF($B643=0,"",IF(Inputs!$B$8="","",IF($AF643=0,E642,SUMIFS(Data!$J$10:$J$3209,Data!$I$10:$I$3209,"&gt;="&amp;$A643,Data!$I$10:$I$3209,"&lt;"&amp;$A643+1)/$AF643)))</f>
        <v/>
      </c>
      <c r="F643" s="56">
        <f>IF($B643=0,"",IF(Inputs!$B$9="","",IF($AG643=0,F642,SUMIFS(Data!$N$10:$N$3209,Data!$M$10:$M$3209,"&gt;="&amp;$A643,Data!$M$10:$M$3209,"&lt;"&amp;$A643+1)/$AG643)))</f>
        <v/>
      </c>
      <c r="G643" s="56">
        <f>IF($B643=0,"",IF(Inputs!$B$10="","",IF($AH643=0,G642,SUMIFS(Data!$R$10:$R$3209,Data!$Q$10:$Q$3209,"&gt;="&amp;$A643,Data!$Q$10:$Q$3209,"&lt;"&amp;$A643+1)/$AH643)))</f>
        <v/>
      </c>
      <c r="I643" s="54">
        <f>IF($B643=0,NA(),IF($C643="",NA(),IF(C$8="",NA(),IF(N(C$8)=0,NA(),IF(Inputs!$C$17="Rebased to 100",$C643/C$8*100,$C643)))))</f>
        <v/>
      </c>
      <c r="J643" s="54">
        <f>IF($B643=0,NA(),IF($D643="",NA(),IF(D$8="",NA(),IF(N(D$8)=0,NA(),IF(Inputs!$C$17="Rebased to 100",$D643/D$8*100,$D643)))))</f>
        <v/>
      </c>
      <c r="K643" s="54">
        <f>IF($B643=0,NA(),IF($E643="",NA(),IF(E$8="",NA(),IF(N(E$8)=0,NA(),IF(Inputs!$C$17="Rebased to 100",$E643/E$8*100,$E643)))))</f>
        <v/>
      </c>
      <c r="L643" s="54">
        <f>IF($B643=0,NA(),IF($F643="",NA(),IF(F$8="",NA(),IF(N(F$8)=0,NA(),IF(Inputs!$C$17="Rebased to 100",$F643/F$8*100,$F643)))))</f>
        <v/>
      </c>
      <c r="M643" s="54">
        <f>IF($B643=0,NA(),IF($G643="",NA(),IF(G$8="",NA(),IF(N(G$8)=0,NA(),IF(Inputs!$C$17="Rebased to 100",$G643/G$8*100,$G643)))))</f>
        <v/>
      </c>
      <c r="N643" s="54">
        <f>IF($B643=0,NA(),IF(Inputs!$C$18&lt;&gt;"Yes",NA(),IF(COUNT(I643,J643,K643,L643,M643)=0,NA(),MIN(I643,J643,K643,L643,M643))))</f>
        <v/>
      </c>
      <c r="O643" s="54">
        <f>IF($B643=0,NA(),IF(Inputs!$B$24&lt;&gt;"Yes",NA(),Inputs!$D$24*Inputs!$C$35))</f>
        <v/>
      </c>
      <c r="P643" s="54">
        <f>IF($B643=0,NA(),IF(Inputs!$B$25&lt;&gt;"Yes",NA(),Inputs!$D$25*Inputs!$C$35))</f>
        <v/>
      </c>
      <c r="Q643" s="54">
        <f>IF($B643=0,NA(),IF(Inputs!$B$26&lt;&gt;"Yes",NA(),Inputs!$D$26*Inputs!$C$35))</f>
        <v/>
      </c>
      <c r="R643" s="54">
        <f>IF($B643=0,NA(),IF(Inputs!$B$27&lt;&gt;"Yes",NA(),Inputs!$D$27*Inputs!$C$35))</f>
        <v/>
      </c>
      <c r="S643" s="54">
        <f>IF($B643=0,NA(),IF(Inputs!$B$28&lt;&gt;"Yes",NA(),Inputs!$D$28*Inputs!$C$35))</f>
        <v/>
      </c>
      <c r="T643" s="54">
        <f>IF($B643=0,NA(),IF(Inputs!$B$29&lt;&gt;"Yes",NA(),Inputs!$D$29*Inputs!$C$35))</f>
        <v/>
      </c>
      <c r="AD643">
        <f>IF($B643=0,0,IF(Inputs!$B$6="",0,COUNTIFS(Data!$A$10:$A$3209,"&gt;="&amp;$A643,Data!$A$10:$A$3209,"&lt;"&amp;$A643+1)))</f>
        <v/>
      </c>
      <c r="AE643">
        <f>IF($B643=0,0,IF(Inputs!$B$7="",0,COUNTIFS(Data!$E$10:$E$3209,"&gt;="&amp;$A643,Data!$E$10:$E$3209,"&lt;"&amp;$A643+1)))</f>
        <v/>
      </c>
      <c r="AF643">
        <f>IF($B643=0,0,IF(Inputs!$B$8="",0,COUNTIFS(Data!$I$10:$I$3209,"&gt;="&amp;$A643,Data!$I$10:$I$3209,"&lt;"&amp;$A643+1)))</f>
        <v/>
      </c>
      <c r="AG643">
        <f>IF($B643=0,0,IF(Inputs!$B$9="",0,COUNTIFS(Data!$M$10:$M$3209,"&gt;="&amp;$A643,Data!$M$10:$M$3209,"&lt;"&amp;$A643+1)))</f>
        <v/>
      </c>
      <c r="AH643">
        <f>IF($B643=0,0,IF(Inputs!$B$10="",0,COUNTIFS(Data!$Q$10:$Q$3209,"&gt;="&amp;$A643,Data!$Q$10:$Q$3209,"&lt;"&amp;$A643+1)))</f>
        <v/>
      </c>
    </row>
    <row r="644">
      <c r="A644" s="55">
        <f>MIN(Inputs!$C$15,$A643+IF(WEEKDAY($A643,2)=5,3,1))</f>
        <v/>
      </c>
      <c r="B644">
        <f>IF($A644&gt;$A643,1,0)</f>
        <v/>
      </c>
      <c r="C644" s="56">
        <f>IF($B644=0,"",IF(Inputs!$B$6="","",IF($AD644=0,C643,SUMIFS(Data!$B$10:$B$3209,Data!$A$10:$A$3209,"&gt;="&amp;$A644,Data!$A$10:$A$3209,"&lt;"&amp;$A644+1)/$AD644)))</f>
        <v/>
      </c>
      <c r="D644" s="56">
        <f>IF($B644=0,"",IF(Inputs!$B$7="","",IF($AE644=0,D643,SUMIFS(Data!$F$10:$F$3209,Data!$E$10:$E$3209,"&gt;="&amp;$A644,Data!$E$10:$E$3209,"&lt;"&amp;$A644+1)/$AE644)))</f>
        <v/>
      </c>
      <c r="E644" s="56">
        <f>IF($B644=0,"",IF(Inputs!$B$8="","",IF($AF644=0,E643,SUMIFS(Data!$J$10:$J$3209,Data!$I$10:$I$3209,"&gt;="&amp;$A644,Data!$I$10:$I$3209,"&lt;"&amp;$A644+1)/$AF644)))</f>
        <v/>
      </c>
      <c r="F644" s="56">
        <f>IF($B644=0,"",IF(Inputs!$B$9="","",IF($AG644=0,F643,SUMIFS(Data!$N$10:$N$3209,Data!$M$10:$M$3209,"&gt;="&amp;$A644,Data!$M$10:$M$3209,"&lt;"&amp;$A644+1)/$AG644)))</f>
        <v/>
      </c>
      <c r="G644" s="56">
        <f>IF($B644=0,"",IF(Inputs!$B$10="","",IF($AH644=0,G643,SUMIFS(Data!$R$10:$R$3209,Data!$Q$10:$Q$3209,"&gt;="&amp;$A644,Data!$Q$10:$Q$3209,"&lt;"&amp;$A644+1)/$AH644)))</f>
        <v/>
      </c>
      <c r="I644" s="54">
        <f>IF($B644=0,NA(),IF($C644="",NA(),IF(C$8="",NA(),IF(N(C$8)=0,NA(),IF(Inputs!$C$17="Rebased to 100",$C644/C$8*100,$C644)))))</f>
        <v/>
      </c>
      <c r="J644" s="54">
        <f>IF($B644=0,NA(),IF($D644="",NA(),IF(D$8="",NA(),IF(N(D$8)=0,NA(),IF(Inputs!$C$17="Rebased to 100",$D644/D$8*100,$D644)))))</f>
        <v/>
      </c>
      <c r="K644" s="54">
        <f>IF($B644=0,NA(),IF($E644="",NA(),IF(E$8="",NA(),IF(N(E$8)=0,NA(),IF(Inputs!$C$17="Rebased to 100",$E644/E$8*100,$E644)))))</f>
        <v/>
      </c>
      <c r="L644" s="54">
        <f>IF($B644=0,NA(),IF($F644="",NA(),IF(F$8="",NA(),IF(N(F$8)=0,NA(),IF(Inputs!$C$17="Rebased to 100",$F644/F$8*100,$F644)))))</f>
        <v/>
      </c>
      <c r="M644" s="54">
        <f>IF($B644=0,NA(),IF($G644="",NA(),IF(G$8="",NA(),IF(N(G$8)=0,NA(),IF(Inputs!$C$17="Rebased to 100",$G644/G$8*100,$G644)))))</f>
        <v/>
      </c>
      <c r="N644" s="54">
        <f>IF($B644=0,NA(),IF(Inputs!$C$18&lt;&gt;"Yes",NA(),IF(COUNT(I644,J644,K644,L644,M644)=0,NA(),MIN(I644,J644,K644,L644,M644))))</f>
        <v/>
      </c>
      <c r="O644" s="54">
        <f>IF($B644=0,NA(),IF(Inputs!$B$24&lt;&gt;"Yes",NA(),Inputs!$D$24*Inputs!$C$35))</f>
        <v/>
      </c>
      <c r="P644" s="54">
        <f>IF($B644=0,NA(),IF(Inputs!$B$25&lt;&gt;"Yes",NA(),Inputs!$D$25*Inputs!$C$35))</f>
        <v/>
      </c>
      <c r="Q644" s="54">
        <f>IF($B644=0,NA(),IF(Inputs!$B$26&lt;&gt;"Yes",NA(),Inputs!$D$26*Inputs!$C$35))</f>
        <v/>
      </c>
      <c r="R644" s="54">
        <f>IF($B644=0,NA(),IF(Inputs!$B$27&lt;&gt;"Yes",NA(),Inputs!$D$27*Inputs!$C$35))</f>
        <v/>
      </c>
      <c r="S644" s="54">
        <f>IF($B644=0,NA(),IF(Inputs!$B$28&lt;&gt;"Yes",NA(),Inputs!$D$28*Inputs!$C$35))</f>
        <v/>
      </c>
      <c r="T644" s="54">
        <f>IF($B644=0,NA(),IF(Inputs!$B$29&lt;&gt;"Yes",NA(),Inputs!$D$29*Inputs!$C$35))</f>
        <v/>
      </c>
      <c r="AD644">
        <f>IF($B644=0,0,IF(Inputs!$B$6="",0,COUNTIFS(Data!$A$10:$A$3209,"&gt;="&amp;$A644,Data!$A$10:$A$3209,"&lt;"&amp;$A644+1)))</f>
        <v/>
      </c>
      <c r="AE644">
        <f>IF($B644=0,0,IF(Inputs!$B$7="",0,COUNTIFS(Data!$E$10:$E$3209,"&gt;="&amp;$A644,Data!$E$10:$E$3209,"&lt;"&amp;$A644+1)))</f>
        <v/>
      </c>
      <c r="AF644">
        <f>IF($B644=0,0,IF(Inputs!$B$8="",0,COUNTIFS(Data!$I$10:$I$3209,"&gt;="&amp;$A644,Data!$I$10:$I$3209,"&lt;"&amp;$A644+1)))</f>
        <v/>
      </c>
      <c r="AG644">
        <f>IF($B644=0,0,IF(Inputs!$B$9="",0,COUNTIFS(Data!$M$10:$M$3209,"&gt;="&amp;$A644,Data!$M$10:$M$3209,"&lt;"&amp;$A644+1)))</f>
        <v/>
      </c>
      <c r="AH644">
        <f>IF($B644=0,0,IF(Inputs!$B$10="",0,COUNTIFS(Data!$Q$10:$Q$3209,"&gt;="&amp;$A644,Data!$Q$10:$Q$3209,"&lt;"&amp;$A644+1)))</f>
        <v/>
      </c>
    </row>
    <row r="645">
      <c r="A645" s="55">
        <f>MIN(Inputs!$C$15,$A644+IF(WEEKDAY($A644,2)=5,3,1))</f>
        <v/>
      </c>
      <c r="B645">
        <f>IF($A645&gt;$A644,1,0)</f>
        <v/>
      </c>
      <c r="C645" s="56">
        <f>IF($B645=0,"",IF(Inputs!$B$6="","",IF($AD645=0,C644,SUMIFS(Data!$B$10:$B$3209,Data!$A$10:$A$3209,"&gt;="&amp;$A645,Data!$A$10:$A$3209,"&lt;"&amp;$A645+1)/$AD645)))</f>
        <v/>
      </c>
      <c r="D645" s="56">
        <f>IF($B645=0,"",IF(Inputs!$B$7="","",IF($AE645=0,D644,SUMIFS(Data!$F$10:$F$3209,Data!$E$10:$E$3209,"&gt;="&amp;$A645,Data!$E$10:$E$3209,"&lt;"&amp;$A645+1)/$AE645)))</f>
        <v/>
      </c>
      <c r="E645" s="56">
        <f>IF($B645=0,"",IF(Inputs!$B$8="","",IF($AF645=0,E644,SUMIFS(Data!$J$10:$J$3209,Data!$I$10:$I$3209,"&gt;="&amp;$A645,Data!$I$10:$I$3209,"&lt;"&amp;$A645+1)/$AF645)))</f>
        <v/>
      </c>
      <c r="F645" s="56">
        <f>IF($B645=0,"",IF(Inputs!$B$9="","",IF($AG645=0,F644,SUMIFS(Data!$N$10:$N$3209,Data!$M$10:$M$3209,"&gt;="&amp;$A645,Data!$M$10:$M$3209,"&lt;"&amp;$A645+1)/$AG645)))</f>
        <v/>
      </c>
      <c r="G645" s="56">
        <f>IF($B645=0,"",IF(Inputs!$B$10="","",IF($AH645=0,G644,SUMIFS(Data!$R$10:$R$3209,Data!$Q$10:$Q$3209,"&gt;="&amp;$A645,Data!$Q$10:$Q$3209,"&lt;"&amp;$A645+1)/$AH645)))</f>
        <v/>
      </c>
      <c r="I645" s="54">
        <f>IF($B645=0,NA(),IF($C645="",NA(),IF(C$8="",NA(),IF(N(C$8)=0,NA(),IF(Inputs!$C$17="Rebased to 100",$C645/C$8*100,$C645)))))</f>
        <v/>
      </c>
      <c r="J645" s="54">
        <f>IF($B645=0,NA(),IF($D645="",NA(),IF(D$8="",NA(),IF(N(D$8)=0,NA(),IF(Inputs!$C$17="Rebased to 100",$D645/D$8*100,$D645)))))</f>
        <v/>
      </c>
      <c r="K645" s="54">
        <f>IF($B645=0,NA(),IF($E645="",NA(),IF(E$8="",NA(),IF(N(E$8)=0,NA(),IF(Inputs!$C$17="Rebased to 100",$E645/E$8*100,$E645)))))</f>
        <v/>
      </c>
      <c r="L645" s="54">
        <f>IF($B645=0,NA(),IF($F645="",NA(),IF(F$8="",NA(),IF(N(F$8)=0,NA(),IF(Inputs!$C$17="Rebased to 100",$F645/F$8*100,$F645)))))</f>
        <v/>
      </c>
      <c r="M645" s="54">
        <f>IF($B645=0,NA(),IF($G645="",NA(),IF(G$8="",NA(),IF(N(G$8)=0,NA(),IF(Inputs!$C$17="Rebased to 100",$G645/G$8*100,$G645)))))</f>
        <v/>
      </c>
      <c r="N645" s="54">
        <f>IF($B645=0,NA(),IF(Inputs!$C$18&lt;&gt;"Yes",NA(),IF(COUNT(I645,J645,K645,L645,M645)=0,NA(),MIN(I645,J645,K645,L645,M645))))</f>
        <v/>
      </c>
      <c r="O645" s="54">
        <f>IF($B645=0,NA(),IF(Inputs!$B$24&lt;&gt;"Yes",NA(),Inputs!$D$24*Inputs!$C$35))</f>
        <v/>
      </c>
      <c r="P645" s="54">
        <f>IF($B645=0,NA(),IF(Inputs!$B$25&lt;&gt;"Yes",NA(),Inputs!$D$25*Inputs!$C$35))</f>
        <v/>
      </c>
      <c r="Q645" s="54">
        <f>IF($B645=0,NA(),IF(Inputs!$B$26&lt;&gt;"Yes",NA(),Inputs!$D$26*Inputs!$C$35))</f>
        <v/>
      </c>
      <c r="R645" s="54">
        <f>IF($B645=0,NA(),IF(Inputs!$B$27&lt;&gt;"Yes",NA(),Inputs!$D$27*Inputs!$C$35))</f>
        <v/>
      </c>
      <c r="S645" s="54">
        <f>IF($B645=0,NA(),IF(Inputs!$B$28&lt;&gt;"Yes",NA(),Inputs!$D$28*Inputs!$C$35))</f>
        <v/>
      </c>
      <c r="T645" s="54">
        <f>IF($B645=0,NA(),IF(Inputs!$B$29&lt;&gt;"Yes",NA(),Inputs!$D$29*Inputs!$C$35))</f>
        <v/>
      </c>
      <c r="AD645">
        <f>IF($B645=0,0,IF(Inputs!$B$6="",0,COUNTIFS(Data!$A$10:$A$3209,"&gt;="&amp;$A645,Data!$A$10:$A$3209,"&lt;"&amp;$A645+1)))</f>
        <v/>
      </c>
      <c r="AE645">
        <f>IF($B645=0,0,IF(Inputs!$B$7="",0,COUNTIFS(Data!$E$10:$E$3209,"&gt;="&amp;$A645,Data!$E$10:$E$3209,"&lt;"&amp;$A645+1)))</f>
        <v/>
      </c>
      <c r="AF645">
        <f>IF($B645=0,0,IF(Inputs!$B$8="",0,COUNTIFS(Data!$I$10:$I$3209,"&gt;="&amp;$A645,Data!$I$10:$I$3209,"&lt;"&amp;$A645+1)))</f>
        <v/>
      </c>
      <c r="AG645">
        <f>IF($B645=0,0,IF(Inputs!$B$9="",0,COUNTIFS(Data!$M$10:$M$3209,"&gt;="&amp;$A645,Data!$M$10:$M$3209,"&lt;"&amp;$A645+1)))</f>
        <v/>
      </c>
      <c r="AH645">
        <f>IF($B645=0,0,IF(Inputs!$B$10="",0,COUNTIFS(Data!$Q$10:$Q$3209,"&gt;="&amp;$A645,Data!$Q$10:$Q$3209,"&lt;"&amp;$A645+1)))</f>
        <v/>
      </c>
    </row>
    <row r="646">
      <c r="A646" s="55">
        <f>MIN(Inputs!$C$15,$A645+IF(WEEKDAY($A645,2)=5,3,1))</f>
        <v/>
      </c>
      <c r="B646">
        <f>IF($A646&gt;$A645,1,0)</f>
        <v/>
      </c>
      <c r="C646" s="56">
        <f>IF($B646=0,"",IF(Inputs!$B$6="","",IF($AD646=0,C645,SUMIFS(Data!$B$10:$B$3209,Data!$A$10:$A$3209,"&gt;="&amp;$A646,Data!$A$10:$A$3209,"&lt;"&amp;$A646+1)/$AD646)))</f>
        <v/>
      </c>
      <c r="D646" s="56">
        <f>IF($B646=0,"",IF(Inputs!$B$7="","",IF($AE646=0,D645,SUMIFS(Data!$F$10:$F$3209,Data!$E$10:$E$3209,"&gt;="&amp;$A646,Data!$E$10:$E$3209,"&lt;"&amp;$A646+1)/$AE646)))</f>
        <v/>
      </c>
      <c r="E646" s="56">
        <f>IF($B646=0,"",IF(Inputs!$B$8="","",IF($AF646=0,E645,SUMIFS(Data!$J$10:$J$3209,Data!$I$10:$I$3209,"&gt;="&amp;$A646,Data!$I$10:$I$3209,"&lt;"&amp;$A646+1)/$AF646)))</f>
        <v/>
      </c>
      <c r="F646" s="56">
        <f>IF($B646=0,"",IF(Inputs!$B$9="","",IF($AG646=0,F645,SUMIFS(Data!$N$10:$N$3209,Data!$M$10:$M$3209,"&gt;="&amp;$A646,Data!$M$10:$M$3209,"&lt;"&amp;$A646+1)/$AG646)))</f>
        <v/>
      </c>
      <c r="G646" s="56">
        <f>IF($B646=0,"",IF(Inputs!$B$10="","",IF($AH646=0,G645,SUMIFS(Data!$R$10:$R$3209,Data!$Q$10:$Q$3209,"&gt;="&amp;$A646,Data!$Q$10:$Q$3209,"&lt;"&amp;$A646+1)/$AH646)))</f>
        <v/>
      </c>
      <c r="I646" s="54">
        <f>IF($B646=0,NA(),IF($C646="",NA(),IF(C$8="",NA(),IF(N(C$8)=0,NA(),IF(Inputs!$C$17="Rebased to 100",$C646/C$8*100,$C646)))))</f>
        <v/>
      </c>
      <c r="J646" s="54">
        <f>IF($B646=0,NA(),IF($D646="",NA(),IF(D$8="",NA(),IF(N(D$8)=0,NA(),IF(Inputs!$C$17="Rebased to 100",$D646/D$8*100,$D646)))))</f>
        <v/>
      </c>
      <c r="K646" s="54">
        <f>IF($B646=0,NA(),IF($E646="",NA(),IF(E$8="",NA(),IF(N(E$8)=0,NA(),IF(Inputs!$C$17="Rebased to 100",$E646/E$8*100,$E646)))))</f>
        <v/>
      </c>
      <c r="L646" s="54">
        <f>IF($B646=0,NA(),IF($F646="",NA(),IF(F$8="",NA(),IF(N(F$8)=0,NA(),IF(Inputs!$C$17="Rebased to 100",$F646/F$8*100,$F646)))))</f>
        <v/>
      </c>
      <c r="M646" s="54">
        <f>IF($B646=0,NA(),IF($G646="",NA(),IF(G$8="",NA(),IF(N(G$8)=0,NA(),IF(Inputs!$C$17="Rebased to 100",$G646/G$8*100,$G646)))))</f>
        <v/>
      </c>
      <c r="N646" s="54">
        <f>IF($B646=0,NA(),IF(Inputs!$C$18&lt;&gt;"Yes",NA(),IF(COUNT(I646,J646,K646,L646,M646)=0,NA(),MIN(I646,J646,K646,L646,M646))))</f>
        <v/>
      </c>
      <c r="O646" s="54">
        <f>IF($B646=0,NA(),IF(Inputs!$B$24&lt;&gt;"Yes",NA(),Inputs!$D$24*Inputs!$C$35))</f>
        <v/>
      </c>
      <c r="P646" s="54">
        <f>IF($B646=0,NA(),IF(Inputs!$B$25&lt;&gt;"Yes",NA(),Inputs!$D$25*Inputs!$C$35))</f>
        <v/>
      </c>
      <c r="Q646" s="54">
        <f>IF($B646=0,NA(),IF(Inputs!$B$26&lt;&gt;"Yes",NA(),Inputs!$D$26*Inputs!$C$35))</f>
        <v/>
      </c>
      <c r="R646" s="54">
        <f>IF($B646=0,NA(),IF(Inputs!$B$27&lt;&gt;"Yes",NA(),Inputs!$D$27*Inputs!$C$35))</f>
        <v/>
      </c>
      <c r="S646" s="54">
        <f>IF($B646=0,NA(),IF(Inputs!$B$28&lt;&gt;"Yes",NA(),Inputs!$D$28*Inputs!$C$35))</f>
        <v/>
      </c>
      <c r="T646" s="54">
        <f>IF($B646=0,NA(),IF(Inputs!$B$29&lt;&gt;"Yes",NA(),Inputs!$D$29*Inputs!$C$35))</f>
        <v/>
      </c>
      <c r="AD646">
        <f>IF($B646=0,0,IF(Inputs!$B$6="",0,COUNTIFS(Data!$A$10:$A$3209,"&gt;="&amp;$A646,Data!$A$10:$A$3209,"&lt;"&amp;$A646+1)))</f>
        <v/>
      </c>
      <c r="AE646">
        <f>IF($B646=0,0,IF(Inputs!$B$7="",0,COUNTIFS(Data!$E$10:$E$3209,"&gt;="&amp;$A646,Data!$E$10:$E$3209,"&lt;"&amp;$A646+1)))</f>
        <v/>
      </c>
      <c r="AF646">
        <f>IF($B646=0,0,IF(Inputs!$B$8="",0,COUNTIFS(Data!$I$10:$I$3209,"&gt;="&amp;$A646,Data!$I$10:$I$3209,"&lt;"&amp;$A646+1)))</f>
        <v/>
      </c>
      <c r="AG646">
        <f>IF($B646=0,0,IF(Inputs!$B$9="",0,COUNTIFS(Data!$M$10:$M$3209,"&gt;="&amp;$A646,Data!$M$10:$M$3209,"&lt;"&amp;$A646+1)))</f>
        <v/>
      </c>
      <c r="AH646">
        <f>IF($B646=0,0,IF(Inputs!$B$10="",0,COUNTIFS(Data!$Q$10:$Q$3209,"&gt;="&amp;$A646,Data!$Q$10:$Q$3209,"&lt;"&amp;$A646+1)))</f>
        <v/>
      </c>
    </row>
    <row r="647">
      <c r="A647" s="55">
        <f>MIN(Inputs!$C$15,$A646+IF(WEEKDAY($A646,2)=5,3,1))</f>
        <v/>
      </c>
      <c r="B647">
        <f>IF($A647&gt;$A646,1,0)</f>
        <v/>
      </c>
      <c r="C647" s="56">
        <f>IF($B647=0,"",IF(Inputs!$B$6="","",IF($AD647=0,C646,SUMIFS(Data!$B$10:$B$3209,Data!$A$10:$A$3209,"&gt;="&amp;$A647,Data!$A$10:$A$3209,"&lt;"&amp;$A647+1)/$AD647)))</f>
        <v/>
      </c>
      <c r="D647" s="56">
        <f>IF($B647=0,"",IF(Inputs!$B$7="","",IF($AE647=0,D646,SUMIFS(Data!$F$10:$F$3209,Data!$E$10:$E$3209,"&gt;="&amp;$A647,Data!$E$10:$E$3209,"&lt;"&amp;$A647+1)/$AE647)))</f>
        <v/>
      </c>
      <c r="E647" s="56">
        <f>IF($B647=0,"",IF(Inputs!$B$8="","",IF($AF647=0,E646,SUMIFS(Data!$J$10:$J$3209,Data!$I$10:$I$3209,"&gt;="&amp;$A647,Data!$I$10:$I$3209,"&lt;"&amp;$A647+1)/$AF647)))</f>
        <v/>
      </c>
      <c r="F647" s="56">
        <f>IF($B647=0,"",IF(Inputs!$B$9="","",IF($AG647=0,F646,SUMIFS(Data!$N$10:$N$3209,Data!$M$10:$M$3209,"&gt;="&amp;$A647,Data!$M$10:$M$3209,"&lt;"&amp;$A647+1)/$AG647)))</f>
        <v/>
      </c>
      <c r="G647" s="56">
        <f>IF($B647=0,"",IF(Inputs!$B$10="","",IF($AH647=0,G646,SUMIFS(Data!$R$10:$R$3209,Data!$Q$10:$Q$3209,"&gt;="&amp;$A647,Data!$Q$10:$Q$3209,"&lt;"&amp;$A647+1)/$AH647)))</f>
        <v/>
      </c>
      <c r="I647" s="54">
        <f>IF($B647=0,NA(),IF($C647="",NA(),IF(C$8="",NA(),IF(N(C$8)=0,NA(),IF(Inputs!$C$17="Rebased to 100",$C647/C$8*100,$C647)))))</f>
        <v/>
      </c>
      <c r="J647" s="54">
        <f>IF($B647=0,NA(),IF($D647="",NA(),IF(D$8="",NA(),IF(N(D$8)=0,NA(),IF(Inputs!$C$17="Rebased to 100",$D647/D$8*100,$D647)))))</f>
        <v/>
      </c>
      <c r="K647" s="54">
        <f>IF($B647=0,NA(),IF($E647="",NA(),IF(E$8="",NA(),IF(N(E$8)=0,NA(),IF(Inputs!$C$17="Rebased to 100",$E647/E$8*100,$E647)))))</f>
        <v/>
      </c>
      <c r="L647" s="54">
        <f>IF($B647=0,NA(),IF($F647="",NA(),IF(F$8="",NA(),IF(N(F$8)=0,NA(),IF(Inputs!$C$17="Rebased to 100",$F647/F$8*100,$F647)))))</f>
        <v/>
      </c>
      <c r="M647" s="54">
        <f>IF($B647=0,NA(),IF($G647="",NA(),IF(G$8="",NA(),IF(N(G$8)=0,NA(),IF(Inputs!$C$17="Rebased to 100",$G647/G$8*100,$G647)))))</f>
        <v/>
      </c>
      <c r="N647" s="54">
        <f>IF($B647=0,NA(),IF(Inputs!$C$18&lt;&gt;"Yes",NA(),IF(COUNT(I647,J647,K647,L647,M647)=0,NA(),MIN(I647,J647,K647,L647,M647))))</f>
        <v/>
      </c>
      <c r="O647" s="54">
        <f>IF($B647=0,NA(),IF(Inputs!$B$24&lt;&gt;"Yes",NA(),Inputs!$D$24*Inputs!$C$35))</f>
        <v/>
      </c>
      <c r="P647" s="54">
        <f>IF($B647=0,NA(),IF(Inputs!$B$25&lt;&gt;"Yes",NA(),Inputs!$D$25*Inputs!$C$35))</f>
        <v/>
      </c>
      <c r="Q647" s="54">
        <f>IF($B647=0,NA(),IF(Inputs!$B$26&lt;&gt;"Yes",NA(),Inputs!$D$26*Inputs!$C$35))</f>
        <v/>
      </c>
      <c r="R647" s="54">
        <f>IF($B647=0,NA(),IF(Inputs!$B$27&lt;&gt;"Yes",NA(),Inputs!$D$27*Inputs!$C$35))</f>
        <v/>
      </c>
      <c r="S647" s="54">
        <f>IF($B647=0,NA(),IF(Inputs!$B$28&lt;&gt;"Yes",NA(),Inputs!$D$28*Inputs!$C$35))</f>
        <v/>
      </c>
      <c r="T647" s="54">
        <f>IF($B647=0,NA(),IF(Inputs!$B$29&lt;&gt;"Yes",NA(),Inputs!$D$29*Inputs!$C$35))</f>
        <v/>
      </c>
      <c r="AD647">
        <f>IF($B647=0,0,IF(Inputs!$B$6="",0,COUNTIFS(Data!$A$10:$A$3209,"&gt;="&amp;$A647,Data!$A$10:$A$3209,"&lt;"&amp;$A647+1)))</f>
        <v/>
      </c>
      <c r="AE647">
        <f>IF($B647=0,0,IF(Inputs!$B$7="",0,COUNTIFS(Data!$E$10:$E$3209,"&gt;="&amp;$A647,Data!$E$10:$E$3209,"&lt;"&amp;$A647+1)))</f>
        <v/>
      </c>
      <c r="AF647">
        <f>IF($B647=0,0,IF(Inputs!$B$8="",0,COUNTIFS(Data!$I$10:$I$3209,"&gt;="&amp;$A647,Data!$I$10:$I$3209,"&lt;"&amp;$A647+1)))</f>
        <v/>
      </c>
      <c r="AG647">
        <f>IF($B647=0,0,IF(Inputs!$B$9="",0,COUNTIFS(Data!$M$10:$M$3209,"&gt;="&amp;$A647,Data!$M$10:$M$3209,"&lt;"&amp;$A647+1)))</f>
        <v/>
      </c>
      <c r="AH647">
        <f>IF($B647=0,0,IF(Inputs!$B$10="",0,COUNTIFS(Data!$Q$10:$Q$3209,"&gt;="&amp;$A647,Data!$Q$10:$Q$3209,"&lt;"&amp;$A647+1)))</f>
        <v/>
      </c>
    </row>
    <row r="648">
      <c r="A648" s="55">
        <f>MIN(Inputs!$C$15,$A647+IF(WEEKDAY($A647,2)=5,3,1))</f>
        <v/>
      </c>
      <c r="B648">
        <f>IF($A648&gt;$A647,1,0)</f>
        <v/>
      </c>
      <c r="C648" s="56">
        <f>IF($B648=0,"",IF(Inputs!$B$6="","",IF($AD648=0,C647,SUMIFS(Data!$B$10:$B$3209,Data!$A$10:$A$3209,"&gt;="&amp;$A648,Data!$A$10:$A$3209,"&lt;"&amp;$A648+1)/$AD648)))</f>
        <v/>
      </c>
      <c r="D648" s="56">
        <f>IF($B648=0,"",IF(Inputs!$B$7="","",IF($AE648=0,D647,SUMIFS(Data!$F$10:$F$3209,Data!$E$10:$E$3209,"&gt;="&amp;$A648,Data!$E$10:$E$3209,"&lt;"&amp;$A648+1)/$AE648)))</f>
        <v/>
      </c>
      <c r="E648" s="56">
        <f>IF($B648=0,"",IF(Inputs!$B$8="","",IF($AF648=0,E647,SUMIFS(Data!$J$10:$J$3209,Data!$I$10:$I$3209,"&gt;="&amp;$A648,Data!$I$10:$I$3209,"&lt;"&amp;$A648+1)/$AF648)))</f>
        <v/>
      </c>
      <c r="F648" s="56">
        <f>IF($B648=0,"",IF(Inputs!$B$9="","",IF($AG648=0,F647,SUMIFS(Data!$N$10:$N$3209,Data!$M$10:$M$3209,"&gt;="&amp;$A648,Data!$M$10:$M$3209,"&lt;"&amp;$A648+1)/$AG648)))</f>
        <v/>
      </c>
      <c r="G648" s="56">
        <f>IF($B648=0,"",IF(Inputs!$B$10="","",IF($AH648=0,G647,SUMIFS(Data!$R$10:$R$3209,Data!$Q$10:$Q$3209,"&gt;="&amp;$A648,Data!$Q$10:$Q$3209,"&lt;"&amp;$A648+1)/$AH648)))</f>
        <v/>
      </c>
      <c r="I648" s="54">
        <f>IF($B648=0,NA(),IF($C648="",NA(),IF(C$8="",NA(),IF(N(C$8)=0,NA(),IF(Inputs!$C$17="Rebased to 100",$C648/C$8*100,$C648)))))</f>
        <v/>
      </c>
      <c r="J648" s="54">
        <f>IF($B648=0,NA(),IF($D648="",NA(),IF(D$8="",NA(),IF(N(D$8)=0,NA(),IF(Inputs!$C$17="Rebased to 100",$D648/D$8*100,$D648)))))</f>
        <v/>
      </c>
      <c r="K648" s="54">
        <f>IF($B648=0,NA(),IF($E648="",NA(),IF(E$8="",NA(),IF(N(E$8)=0,NA(),IF(Inputs!$C$17="Rebased to 100",$E648/E$8*100,$E648)))))</f>
        <v/>
      </c>
      <c r="L648" s="54">
        <f>IF($B648=0,NA(),IF($F648="",NA(),IF(F$8="",NA(),IF(N(F$8)=0,NA(),IF(Inputs!$C$17="Rebased to 100",$F648/F$8*100,$F648)))))</f>
        <v/>
      </c>
      <c r="M648" s="54">
        <f>IF($B648=0,NA(),IF($G648="",NA(),IF(G$8="",NA(),IF(N(G$8)=0,NA(),IF(Inputs!$C$17="Rebased to 100",$G648/G$8*100,$G648)))))</f>
        <v/>
      </c>
      <c r="N648" s="54">
        <f>IF($B648=0,NA(),IF(Inputs!$C$18&lt;&gt;"Yes",NA(),IF(COUNT(I648,J648,K648,L648,M648)=0,NA(),MIN(I648,J648,K648,L648,M648))))</f>
        <v/>
      </c>
      <c r="O648" s="54">
        <f>IF($B648=0,NA(),IF(Inputs!$B$24&lt;&gt;"Yes",NA(),Inputs!$D$24*Inputs!$C$35))</f>
        <v/>
      </c>
      <c r="P648" s="54">
        <f>IF($B648=0,NA(),IF(Inputs!$B$25&lt;&gt;"Yes",NA(),Inputs!$D$25*Inputs!$C$35))</f>
        <v/>
      </c>
      <c r="Q648" s="54">
        <f>IF($B648=0,NA(),IF(Inputs!$B$26&lt;&gt;"Yes",NA(),Inputs!$D$26*Inputs!$C$35))</f>
        <v/>
      </c>
      <c r="R648" s="54">
        <f>IF($B648=0,NA(),IF(Inputs!$B$27&lt;&gt;"Yes",NA(),Inputs!$D$27*Inputs!$C$35))</f>
        <v/>
      </c>
      <c r="S648" s="54">
        <f>IF($B648=0,NA(),IF(Inputs!$B$28&lt;&gt;"Yes",NA(),Inputs!$D$28*Inputs!$C$35))</f>
        <v/>
      </c>
      <c r="T648" s="54">
        <f>IF($B648=0,NA(),IF(Inputs!$B$29&lt;&gt;"Yes",NA(),Inputs!$D$29*Inputs!$C$35))</f>
        <v/>
      </c>
      <c r="AD648">
        <f>IF($B648=0,0,IF(Inputs!$B$6="",0,COUNTIFS(Data!$A$10:$A$3209,"&gt;="&amp;$A648,Data!$A$10:$A$3209,"&lt;"&amp;$A648+1)))</f>
        <v/>
      </c>
      <c r="AE648">
        <f>IF($B648=0,0,IF(Inputs!$B$7="",0,COUNTIFS(Data!$E$10:$E$3209,"&gt;="&amp;$A648,Data!$E$10:$E$3209,"&lt;"&amp;$A648+1)))</f>
        <v/>
      </c>
      <c r="AF648">
        <f>IF($B648=0,0,IF(Inputs!$B$8="",0,COUNTIFS(Data!$I$10:$I$3209,"&gt;="&amp;$A648,Data!$I$10:$I$3209,"&lt;"&amp;$A648+1)))</f>
        <v/>
      </c>
      <c r="AG648">
        <f>IF($B648=0,0,IF(Inputs!$B$9="",0,COUNTIFS(Data!$M$10:$M$3209,"&gt;="&amp;$A648,Data!$M$10:$M$3209,"&lt;"&amp;$A648+1)))</f>
        <v/>
      </c>
      <c r="AH648">
        <f>IF($B648=0,0,IF(Inputs!$B$10="",0,COUNTIFS(Data!$Q$10:$Q$3209,"&gt;="&amp;$A648,Data!$Q$10:$Q$3209,"&lt;"&amp;$A648+1)))</f>
        <v/>
      </c>
    </row>
    <row r="649">
      <c r="A649" s="55">
        <f>MIN(Inputs!$C$15,$A648+IF(WEEKDAY($A648,2)=5,3,1))</f>
        <v/>
      </c>
      <c r="B649">
        <f>IF($A649&gt;$A648,1,0)</f>
        <v/>
      </c>
      <c r="C649" s="56">
        <f>IF($B649=0,"",IF(Inputs!$B$6="","",IF($AD649=0,C648,SUMIFS(Data!$B$10:$B$3209,Data!$A$10:$A$3209,"&gt;="&amp;$A649,Data!$A$10:$A$3209,"&lt;"&amp;$A649+1)/$AD649)))</f>
        <v/>
      </c>
      <c r="D649" s="56">
        <f>IF($B649=0,"",IF(Inputs!$B$7="","",IF($AE649=0,D648,SUMIFS(Data!$F$10:$F$3209,Data!$E$10:$E$3209,"&gt;="&amp;$A649,Data!$E$10:$E$3209,"&lt;"&amp;$A649+1)/$AE649)))</f>
        <v/>
      </c>
      <c r="E649" s="56">
        <f>IF($B649=0,"",IF(Inputs!$B$8="","",IF($AF649=0,E648,SUMIFS(Data!$J$10:$J$3209,Data!$I$10:$I$3209,"&gt;="&amp;$A649,Data!$I$10:$I$3209,"&lt;"&amp;$A649+1)/$AF649)))</f>
        <v/>
      </c>
      <c r="F649" s="56">
        <f>IF($B649=0,"",IF(Inputs!$B$9="","",IF($AG649=0,F648,SUMIFS(Data!$N$10:$N$3209,Data!$M$10:$M$3209,"&gt;="&amp;$A649,Data!$M$10:$M$3209,"&lt;"&amp;$A649+1)/$AG649)))</f>
        <v/>
      </c>
      <c r="G649" s="56">
        <f>IF($B649=0,"",IF(Inputs!$B$10="","",IF($AH649=0,G648,SUMIFS(Data!$R$10:$R$3209,Data!$Q$10:$Q$3209,"&gt;="&amp;$A649,Data!$Q$10:$Q$3209,"&lt;"&amp;$A649+1)/$AH649)))</f>
        <v/>
      </c>
      <c r="I649" s="54">
        <f>IF($B649=0,NA(),IF($C649="",NA(),IF(C$8="",NA(),IF(N(C$8)=0,NA(),IF(Inputs!$C$17="Rebased to 100",$C649/C$8*100,$C649)))))</f>
        <v/>
      </c>
      <c r="J649" s="54">
        <f>IF($B649=0,NA(),IF($D649="",NA(),IF(D$8="",NA(),IF(N(D$8)=0,NA(),IF(Inputs!$C$17="Rebased to 100",$D649/D$8*100,$D649)))))</f>
        <v/>
      </c>
      <c r="K649" s="54">
        <f>IF($B649=0,NA(),IF($E649="",NA(),IF(E$8="",NA(),IF(N(E$8)=0,NA(),IF(Inputs!$C$17="Rebased to 100",$E649/E$8*100,$E649)))))</f>
        <v/>
      </c>
      <c r="L649" s="54">
        <f>IF($B649=0,NA(),IF($F649="",NA(),IF(F$8="",NA(),IF(N(F$8)=0,NA(),IF(Inputs!$C$17="Rebased to 100",$F649/F$8*100,$F649)))))</f>
        <v/>
      </c>
      <c r="M649" s="54">
        <f>IF($B649=0,NA(),IF($G649="",NA(),IF(G$8="",NA(),IF(N(G$8)=0,NA(),IF(Inputs!$C$17="Rebased to 100",$G649/G$8*100,$G649)))))</f>
        <v/>
      </c>
      <c r="N649" s="54">
        <f>IF($B649=0,NA(),IF(Inputs!$C$18&lt;&gt;"Yes",NA(),IF(COUNT(I649,J649,K649,L649,M649)=0,NA(),MIN(I649,J649,K649,L649,M649))))</f>
        <v/>
      </c>
      <c r="O649" s="54">
        <f>IF($B649=0,NA(),IF(Inputs!$B$24&lt;&gt;"Yes",NA(),Inputs!$D$24*Inputs!$C$35))</f>
        <v/>
      </c>
      <c r="P649" s="54">
        <f>IF($B649=0,NA(),IF(Inputs!$B$25&lt;&gt;"Yes",NA(),Inputs!$D$25*Inputs!$C$35))</f>
        <v/>
      </c>
      <c r="Q649" s="54">
        <f>IF($B649=0,NA(),IF(Inputs!$B$26&lt;&gt;"Yes",NA(),Inputs!$D$26*Inputs!$C$35))</f>
        <v/>
      </c>
      <c r="R649" s="54">
        <f>IF($B649=0,NA(),IF(Inputs!$B$27&lt;&gt;"Yes",NA(),Inputs!$D$27*Inputs!$C$35))</f>
        <v/>
      </c>
      <c r="S649" s="54">
        <f>IF($B649=0,NA(),IF(Inputs!$B$28&lt;&gt;"Yes",NA(),Inputs!$D$28*Inputs!$C$35))</f>
        <v/>
      </c>
      <c r="T649" s="54">
        <f>IF($B649=0,NA(),IF(Inputs!$B$29&lt;&gt;"Yes",NA(),Inputs!$D$29*Inputs!$C$35))</f>
        <v/>
      </c>
      <c r="AD649">
        <f>IF($B649=0,0,IF(Inputs!$B$6="",0,COUNTIFS(Data!$A$10:$A$3209,"&gt;="&amp;$A649,Data!$A$10:$A$3209,"&lt;"&amp;$A649+1)))</f>
        <v/>
      </c>
      <c r="AE649">
        <f>IF($B649=0,0,IF(Inputs!$B$7="",0,COUNTIFS(Data!$E$10:$E$3209,"&gt;="&amp;$A649,Data!$E$10:$E$3209,"&lt;"&amp;$A649+1)))</f>
        <v/>
      </c>
      <c r="AF649">
        <f>IF($B649=0,0,IF(Inputs!$B$8="",0,COUNTIFS(Data!$I$10:$I$3209,"&gt;="&amp;$A649,Data!$I$10:$I$3209,"&lt;"&amp;$A649+1)))</f>
        <v/>
      </c>
      <c r="AG649">
        <f>IF($B649=0,0,IF(Inputs!$B$9="",0,COUNTIFS(Data!$M$10:$M$3209,"&gt;="&amp;$A649,Data!$M$10:$M$3209,"&lt;"&amp;$A649+1)))</f>
        <v/>
      </c>
      <c r="AH649">
        <f>IF($B649=0,0,IF(Inputs!$B$10="",0,COUNTIFS(Data!$Q$10:$Q$3209,"&gt;="&amp;$A649,Data!$Q$10:$Q$3209,"&lt;"&amp;$A649+1)))</f>
        <v/>
      </c>
    </row>
    <row r="650">
      <c r="A650" s="55">
        <f>MIN(Inputs!$C$15,$A649+IF(WEEKDAY($A649,2)=5,3,1))</f>
        <v/>
      </c>
      <c r="B650">
        <f>IF($A650&gt;$A649,1,0)</f>
        <v/>
      </c>
      <c r="C650" s="56">
        <f>IF($B650=0,"",IF(Inputs!$B$6="","",IF($AD650=0,C649,SUMIFS(Data!$B$10:$B$3209,Data!$A$10:$A$3209,"&gt;="&amp;$A650,Data!$A$10:$A$3209,"&lt;"&amp;$A650+1)/$AD650)))</f>
        <v/>
      </c>
      <c r="D650" s="56">
        <f>IF($B650=0,"",IF(Inputs!$B$7="","",IF($AE650=0,D649,SUMIFS(Data!$F$10:$F$3209,Data!$E$10:$E$3209,"&gt;="&amp;$A650,Data!$E$10:$E$3209,"&lt;"&amp;$A650+1)/$AE650)))</f>
        <v/>
      </c>
      <c r="E650" s="56">
        <f>IF($B650=0,"",IF(Inputs!$B$8="","",IF($AF650=0,E649,SUMIFS(Data!$J$10:$J$3209,Data!$I$10:$I$3209,"&gt;="&amp;$A650,Data!$I$10:$I$3209,"&lt;"&amp;$A650+1)/$AF650)))</f>
        <v/>
      </c>
      <c r="F650" s="56">
        <f>IF($B650=0,"",IF(Inputs!$B$9="","",IF($AG650=0,F649,SUMIFS(Data!$N$10:$N$3209,Data!$M$10:$M$3209,"&gt;="&amp;$A650,Data!$M$10:$M$3209,"&lt;"&amp;$A650+1)/$AG650)))</f>
        <v/>
      </c>
      <c r="G650" s="56">
        <f>IF($B650=0,"",IF(Inputs!$B$10="","",IF($AH650=0,G649,SUMIFS(Data!$R$10:$R$3209,Data!$Q$10:$Q$3209,"&gt;="&amp;$A650,Data!$Q$10:$Q$3209,"&lt;"&amp;$A650+1)/$AH650)))</f>
        <v/>
      </c>
      <c r="I650" s="54">
        <f>IF($B650=0,NA(),IF($C650="",NA(),IF(C$8="",NA(),IF(N(C$8)=0,NA(),IF(Inputs!$C$17="Rebased to 100",$C650/C$8*100,$C650)))))</f>
        <v/>
      </c>
      <c r="J650" s="54">
        <f>IF($B650=0,NA(),IF($D650="",NA(),IF(D$8="",NA(),IF(N(D$8)=0,NA(),IF(Inputs!$C$17="Rebased to 100",$D650/D$8*100,$D650)))))</f>
        <v/>
      </c>
      <c r="K650" s="54">
        <f>IF($B650=0,NA(),IF($E650="",NA(),IF(E$8="",NA(),IF(N(E$8)=0,NA(),IF(Inputs!$C$17="Rebased to 100",$E650/E$8*100,$E650)))))</f>
        <v/>
      </c>
      <c r="L650" s="54">
        <f>IF($B650=0,NA(),IF($F650="",NA(),IF(F$8="",NA(),IF(N(F$8)=0,NA(),IF(Inputs!$C$17="Rebased to 100",$F650/F$8*100,$F650)))))</f>
        <v/>
      </c>
      <c r="M650" s="54">
        <f>IF($B650=0,NA(),IF($G650="",NA(),IF(G$8="",NA(),IF(N(G$8)=0,NA(),IF(Inputs!$C$17="Rebased to 100",$G650/G$8*100,$G650)))))</f>
        <v/>
      </c>
      <c r="N650" s="54">
        <f>IF($B650=0,NA(),IF(Inputs!$C$18&lt;&gt;"Yes",NA(),IF(COUNT(I650,J650,K650,L650,M650)=0,NA(),MIN(I650,J650,K650,L650,M650))))</f>
        <v/>
      </c>
      <c r="O650" s="54">
        <f>IF($B650=0,NA(),IF(Inputs!$B$24&lt;&gt;"Yes",NA(),Inputs!$D$24*Inputs!$C$35))</f>
        <v/>
      </c>
      <c r="P650" s="54">
        <f>IF($B650=0,NA(),IF(Inputs!$B$25&lt;&gt;"Yes",NA(),Inputs!$D$25*Inputs!$C$35))</f>
        <v/>
      </c>
      <c r="Q650" s="54">
        <f>IF($B650=0,NA(),IF(Inputs!$B$26&lt;&gt;"Yes",NA(),Inputs!$D$26*Inputs!$C$35))</f>
        <v/>
      </c>
      <c r="R650" s="54">
        <f>IF($B650=0,NA(),IF(Inputs!$B$27&lt;&gt;"Yes",NA(),Inputs!$D$27*Inputs!$C$35))</f>
        <v/>
      </c>
      <c r="S650" s="54">
        <f>IF($B650=0,NA(),IF(Inputs!$B$28&lt;&gt;"Yes",NA(),Inputs!$D$28*Inputs!$C$35))</f>
        <v/>
      </c>
      <c r="T650" s="54">
        <f>IF($B650=0,NA(),IF(Inputs!$B$29&lt;&gt;"Yes",NA(),Inputs!$D$29*Inputs!$C$35))</f>
        <v/>
      </c>
      <c r="AD650">
        <f>IF($B650=0,0,IF(Inputs!$B$6="",0,COUNTIFS(Data!$A$10:$A$3209,"&gt;="&amp;$A650,Data!$A$10:$A$3209,"&lt;"&amp;$A650+1)))</f>
        <v/>
      </c>
      <c r="AE650">
        <f>IF($B650=0,0,IF(Inputs!$B$7="",0,COUNTIFS(Data!$E$10:$E$3209,"&gt;="&amp;$A650,Data!$E$10:$E$3209,"&lt;"&amp;$A650+1)))</f>
        <v/>
      </c>
      <c r="AF650">
        <f>IF($B650=0,0,IF(Inputs!$B$8="",0,COUNTIFS(Data!$I$10:$I$3209,"&gt;="&amp;$A650,Data!$I$10:$I$3209,"&lt;"&amp;$A650+1)))</f>
        <v/>
      </c>
      <c r="AG650">
        <f>IF($B650=0,0,IF(Inputs!$B$9="",0,COUNTIFS(Data!$M$10:$M$3209,"&gt;="&amp;$A650,Data!$M$10:$M$3209,"&lt;"&amp;$A650+1)))</f>
        <v/>
      </c>
      <c r="AH650">
        <f>IF($B650=0,0,IF(Inputs!$B$10="",0,COUNTIFS(Data!$Q$10:$Q$3209,"&gt;="&amp;$A650,Data!$Q$10:$Q$3209,"&lt;"&amp;$A650+1)))</f>
        <v/>
      </c>
    </row>
    <row r="651">
      <c r="A651" s="55">
        <f>MIN(Inputs!$C$15,$A650+IF(WEEKDAY($A650,2)=5,3,1))</f>
        <v/>
      </c>
      <c r="B651">
        <f>IF($A651&gt;$A650,1,0)</f>
        <v/>
      </c>
      <c r="C651" s="56">
        <f>IF($B651=0,"",IF(Inputs!$B$6="","",IF($AD651=0,C650,SUMIFS(Data!$B$10:$B$3209,Data!$A$10:$A$3209,"&gt;="&amp;$A651,Data!$A$10:$A$3209,"&lt;"&amp;$A651+1)/$AD651)))</f>
        <v/>
      </c>
      <c r="D651" s="56">
        <f>IF($B651=0,"",IF(Inputs!$B$7="","",IF($AE651=0,D650,SUMIFS(Data!$F$10:$F$3209,Data!$E$10:$E$3209,"&gt;="&amp;$A651,Data!$E$10:$E$3209,"&lt;"&amp;$A651+1)/$AE651)))</f>
        <v/>
      </c>
      <c r="E651" s="56">
        <f>IF($B651=0,"",IF(Inputs!$B$8="","",IF($AF651=0,E650,SUMIFS(Data!$J$10:$J$3209,Data!$I$10:$I$3209,"&gt;="&amp;$A651,Data!$I$10:$I$3209,"&lt;"&amp;$A651+1)/$AF651)))</f>
        <v/>
      </c>
      <c r="F651" s="56">
        <f>IF($B651=0,"",IF(Inputs!$B$9="","",IF($AG651=0,F650,SUMIFS(Data!$N$10:$N$3209,Data!$M$10:$M$3209,"&gt;="&amp;$A651,Data!$M$10:$M$3209,"&lt;"&amp;$A651+1)/$AG651)))</f>
        <v/>
      </c>
      <c r="G651" s="56">
        <f>IF($B651=0,"",IF(Inputs!$B$10="","",IF($AH651=0,G650,SUMIFS(Data!$R$10:$R$3209,Data!$Q$10:$Q$3209,"&gt;="&amp;$A651,Data!$Q$10:$Q$3209,"&lt;"&amp;$A651+1)/$AH651)))</f>
        <v/>
      </c>
      <c r="I651" s="54">
        <f>IF($B651=0,NA(),IF($C651="",NA(),IF(C$8="",NA(),IF(N(C$8)=0,NA(),IF(Inputs!$C$17="Rebased to 100",$C651/C$8*100,$C651)))))</f>
        <v/>
      </c>
      <c r="J651" s="54">
        <f>IF($B651=0,NA(),IF($D651="",NA(),IF(D$8="",NA(),IF(N(D$8)=0,NA(),IF(Inputs!$C$17="Rebased to 100",$D651/D$8*100,$D651)))))</f>
        <v/>
      </c>
      <c r="K651" s="54">
        <f>IF($B651=0,NA(),IF($E651="",NA(),IF(E$8="",NA(),IF(N(E$8)=0,NA(),IF(Inputs!$C$17="Rebased to 100",$E651/E$8*100,$E651)))))</f>
        <v/>
      </c>
      <c r="L651" s="54">
        <f>IF($B651=0,NA(),IF($F651="",NA(),IF(F$8="",NA(),IF(N(F$8)=0,NA(),IF(Inputs!$C$17="Rebased to 100",$F651/F$8*100,$F651)))))</f>
        <v/>
      </c>
      <c r="M651" s="54">
        <f>IF($B651=0,NA(),IF($G651="",NA(),IF(G$8="",NA(),IF(N(G$8)=0,NA(),IF(Inputs!$C$17="Rebased to 100",$G651/G$8*100,$G651)))))</f>
        <v/>
      </c>
      <c r="N651" s="54">
        <f>IF($B651=0,NA(),IF(Inputs!$C$18&lt;&gt;"Yes",NA(),IF(COUNT(I651,J651,K651,L651,M651)=0,NA(),MIN(I651,J651,K651,L651,M651))))</f>
        <v/>
      </c>
      <c r="O651" s="54">
        <f>IF($B651=0,NA(),IF(Inputs!$B$24&lt;&gt;"Yes",NA(),Inputs!$D$24*Inputs!$C$35))</f>
        <v/>
      </c>
      <c r="P651" s="54">
        <f>IF($B651=0,NA(),IF(Inputs!$B$25&lt;&gt;"Yes",NA(),Inputs!$D$25*Inputs!$C$35))</f>
        <v/>
      </c>
      <c r="Q651" s="54">
        <f>IF($B651=0,NA(),IF(Inputs!$B$26&lt;&gt;"Yes",NA(),Inputs!$D$26*Inputs!$C$35))</f>
        <v/>
      </c>
      <c r="R651" s="54">
        <f>IF($B651=0,NA(),IF(Inputs!$B$27&lt;&gt;"Yes",NA(),Inputs!$D$27*Inputs!$C$35))</f>
        <v/>
      </c>
      <c r="S651" s="54">
        <f>IF($B651=0,NA(),IF(Inputs!$B$28&lt;&gt;"Yes",NA(),Inputs!$D$28*Inputs!$C$35))</f>
        <v/>
      </c>
      <c r="T651" s="54">
        <f>IF($B651=0,NA(),IF(Inputs!$B$29&lt;&gt;"Yes",NA(),Inputs!$D$29*Inputs!$C$35))</f>
        <v/>
      </c>
      <c r="AD651">
        <f>IF($B651=0,0,IF(Inputs!$B$6="",0,COUNTIFS(Data!$A$10:$A$3209,"&gt;="&amp;$A651,Data!$A$10:$A$3209,"&lt;"&amp;$A651+1)))</f>
        <v/>
      </c>
      <c r="AE651">
        <f>IF($B651=0,0,IF(Inputs!$B$7="",0,COUNTIFS(Data!$E$10:$E$3209,"&gt;="&amp;$A651,Data!$E$10:$E$3209,"&lt;"&amp;$A651+1)))</f>
        <v/>
      </c>
      <c r="AF651">
        <f>IF($B651=0,0,IF(Inputs!$B$8="",0,COUNTIFS(Data!$I$10:$I$3209,"&gt;="&amp;$A651,Data!$I$10:$I$3209,"&lt;"&amp;$A651+1)))</f>
        <v/>
      </c>
      <c r="AG651">
        <f>IF($B651=0,0,IF(Inputs!$B$9="",0,COUNTIFS(Data!$M$10:$M$3209,"&gt;="&amp;$A651,Data!$M$10:$M$3209,"&lt;"&amp;$A651+1)))</f>
        <v/>
      </c>
      <c r="AH651">
        <f>IF($B651=0,0,IF(Inputs!$B$10="",0,COUNTIFS(Data!$Q$10:$Q$3209,"&gt;="&amp;$A651,Data!$Q$10:$Q$3209,"&lt;"&amp;$A651+1)))</f>
        <v/>
      </c>
    </row>
    <row r="652">
      <c r="A652" s="55">
        <f>MIN(Inputs!$C$15,$A651+IF(WEEKDAY($A651,2)=5,3,1))</f>
        <v/>
      </c>
      <c r="B652">
        <f>IF($A652&gt;$A651,1,0)</f>
        <v/>
      </c>
      <c r="C652" s="56">
        <f>IF($B652=0,"",IF(Inputs!$B$6="","",IF($AD652=0,C651,SUMIFS(Data!$B$10:$B$3209,Data!$A$10:$A$3209,"&gt;="&amp;$A652,Data!$A$10:$A$3209,"&lt;"&amp;$A652+1)/$AD652)))</f>
        <v/>
      </c>
      <c r="D652" s="56">
        <f>IF($B652=0,"",IF(Inputs!$B$7="","",IF($AE652=0,D651,SUMIFS(Data!$F$10:$F$3209,Data!$E$10:$E$3209,"&gt;="&amp;$A652,Data!$E$10:$E$3209,"&lt;"&amp;$A652+1)/$AE652)))</f>
        <v/>
      </c>
      <c r="E652" s="56">
        <f>IF($B652=0,"",IF(Inputs!$B$8="","",IF($AF652=0,E651,SUMIFS(Data!$J$10:$J$3209,Data!$I$10:$I$3209,"&gt;="&amp;$A652,Data!$I$10:$I$3209,"&lt;"&amp;$A652+1)/$AF652)))</f>
        <v/>
      </c>
      <c r="F652" s="56">
        <f>IF($B652=0,"",IF(Inputs!$B$9="","",IF($AG652=0,F651,SUMIFS(Data!$N$10:$N$3209,Data!$M$10:$M$3209,"&gt;="&amp;$A652,Data!$M$10:$M$3209,"&lt;"&amp;$A652+1)/$AG652)))</f>
        <v/>
      </c>
      <c r="G652" s="56">
        <f>IF($B652=0,"",IF(Inputs!$B$10="","",IF($AH652=0,G651,SUMIFS(Data!$R$10:$R$3209,Data!$Q$10:$Q$3209,"&gt;="&amp;$A652,Data!$Q$10:$Q$3209,"&lt;"&amp;$A652+1)/$AH652)))</f>
        <v/>
      </c>
      <c r="I652" s="54">
        <f>IF($B652=0,NA(),IF($C652="",NA(),IF(C$8="",NA(),IF(N(C$8)=0,NA(),IF(Inputs!$C$17="Rebased to 100",$C652/C$8*100,$C652)))))</f>
        <v/>
      </c>
      <c r="J652" s="54">
        <f>IF($B652=0,NA(),IF($D652="",NA(),IF(D$8="",NA(),IF(N(D$8)=0,NA(),IF(Inputs!$C$17="Rebased to 100",$D652/D$8*100,$D652)))))</f>
        <v/>
      </c>
      <c r="K652" s="54">
        <f>IF($B652=0,NA(),IF($E652="",NA(),IF(E$8="",NA(),IF(N(E$8)=0,NA(),IF(Inputs!$C$17="Rebased to 100",$E652/E$8*100,$E652)))))</f>
        <v/>
      </c>
      <c r="L652" s="54">
        <f>IF($B652=0,NA(),IF($F652="",NA(),IF(F$8="",NA(),IF(N(F$8)=0,NA(),IF(Inputs!$C$17="Rebased to 100",$F652/F$8*100,$F652)))))</f>
        <v/>
      </c>
      <c r="M652" s="54">
        <f>IF($B652=0,NA(),IF($G652="",NA(),IF(G$8="",NA(),IF(N(G$8)=0,NA(),IF(Inputs!$C$17="Rebased to 100",$G652/G$8*100,$G652)))))</f>
        <v/>
      </c>
      <c r="N652" s="54">
        <f>IF($B652=0,NA(),IF(Inputs!$C$18&lt;&gt;"Yes",NA(),IF(COUNT(I652,J652,K652,L652,M652)=0,NA(),MIN(I652,J652,K652,L652,M652))))</f>
        <v/>
      </c>
      <c r="O652" s="54">
        <f>IF($B652=0,NA(),IF(Inputs!$B$24&lt;&gt;"Yes",NA(),Inputs!$D$24*Inputs!$C$35))</f>
        <v/>
      </c>
      <c r="P652" s="54">
        <f>IF($B652=0,NA(),IF(Inputs!$B$25&lt;&gt;"Yes",NA(),Inputs!$D$25*Inputs!$C$35))</f>
        <v/>
      </c>
      <c r="Q652" s="54">
        <f>IF($B652=0,NA(),IF(Inputs!$B$26&lt;&gt;"Yes",NA(),Inputs!$D$26*Inputs!$C$35))</f>
        <v/>
      </c>
      <c r="R652" s="54">
        <f>IF($B652=0,NA(),IF(Inputs!$B$27&lt;&gt;"Yes",NA(),Inputs!$D$27*Inputs!$C$35))</f>
        <v/>
      </c>
      <c r="S652" s="54">
        <f>IF($B652=0,NA(),IF(Inputs!$B$28&lt;&gt;"Yes",NA(),Inputs!$D$28*Inputs!$C$35))</f>
        <v/>
      </c>
      <c r="T652" s="54">
        <f>IF($B652=0,NA(),IF(Inputs!$B$29&lt;&gt;"Yes",NA(),Inputs!$D$29*Inputs!$C$35))</f>
        <v/>
      </c>
      <c r="AD652">
        <f>IF($B652=0,0,IF(Inputs!$B$6="",0,COUNTIFS(Data!$A$10:$A$3209,"&gt;="&amp;$A652,Data!$A$10:$A$3209,"&lt;"&amp;$A652+1)))</f>
        <v/>
      </c>
      <c r="AE652">
        <f>IF($B652=0,0,IF(Inputs!$B$7="",0,COUNTIFS(Data!$E$10:$E$3209,"&gt;="&amp;$A652,Data!$E$10:$E$3209,"&lt;"&amp;$A652+1)))</f>
        <v/>
      </c>
      <c r="AF652">
        <f>IF($B652=0,0,IF(Inputs!$B$8="",0,COUNTIFS(Data!$I$10:$I$3209,"&gt;="&amp;$A652,Data!$I$10:$I$3209,"&lt;"&amp;$A652+1)))</f>
        <v/>
      </c>
      <c r="AG652">
        <f>IF($B652=0,0,IF(Inputs!$B$9="",0,COUNTIFS(Data!$M$10:$M$3209,"&gt;="&amp;$A652,Data!$M$10:$M$3209,"&lt;"&amp;$A652+1)))</f>
        <v/>
      </c>
      <c r="AH652">
        <f>IF($B652=0,0,IF(Inputs!$B$10="",0,COUNTIFS(Data!$Q$10:$Q$3209,"&gt;="&amp;$A652,Data!$Q$10:$Q$3209,"&lt;"&amp;$A652+1)))</f>
        <v/>
      </c>
    </row>
    <row r="653">
      <c r="A653" s="55">
        <f>MIN(Inputs!$C$15,$A652+IF(WEEKDAY($A652,2)=5,3,1))</f>
        <v/>
      </c>
      <c r="B653">
        <f>IF($A653&gt;$A652,1,0)</f>
        <v/>
      </c>
      <c r="C653" s="56">
        <f>IF($B653=0,"",IF(Inputs!$B$6="","",IF($AD653=0,C652,SUMIFS(Data!$B$10:$B$3209,Data!$A$10:$A$3209,"&gt;="&amp;$A653,Data!$A$10:$A$3209,"&lt;"&amp;$A653+1)/$AD653)))</f>
        <v/>
      </c>
      <c r="D653" s="56">
        <f>IF($B653=0,"",IF(Inputs!$B$7="","",IF($AE653=0,D652,SUMIFS(Data!$F$10:$F$3209,Data!$E$10:$E$3209,"&gt;="&amp;$A653,Data!$E$10:$E$3209,"&lt;"&amp;$A653+1)/$AE653)))</f>
        <v/>
      </c>
      <c r="E653" s="56">
        <f>IF($B653=0,"",IF(Inputs!$B$8="","",IF($AF653=0,E652,SUMIFS(Data!$J$10:$J$3209,Data!$I$10:$I$3209,"&gt;="&amp;$A653,Data!$I$10:$I$3209,"&lt;"&amp;$A653+1)/$AF653)))</f>
        <v/>
      </c>
      <c r="F653" s="56">
        <f>IF($B653=0,"",IF(Inputs!$B$9="","",IF($AG653=0,F652,SUMIFS(Data!$N$10:$N$3209,Data!$M$10:$M$3209,"&gt;="&amp;$A653,Data!$M$10:$M$3209,"&lt;"&amp;$A653+1)/$AG653)))</f>
        <v/>
      </c>
      <c r="G653" s="56">
        <f>IF($B653=0,"",IF(Inputs!$B$10="","",IF($AH653=0,G652,SUMIFS(Data!$R$10:$R$3209,Data!$Q$10:$Q$3209,"&gt;="&amp;$A653,Data!$Q$10:$Q$3209,"&lt;"&amp;$A653+1)/$AH653)))</f>
        <v/>
      </c>
      <c r="I653" s="54">
        <f>IF($B653=0,NA(),IF($C653="",NA(),IF(C$8="",NA(),IF(N(C$8)=0,NA(),IF(Inputs!$C$17="Rebased to 100",$C653/C$8*100,$C653)))))</f>
        <v/>
      </c>
      <c r="J653" s="54">
        <f>IF($B653=0,NA(),IF($D653="",NA(),IF(D$8="",NA(),IF(N(D$8)=0,NA(),IF(Inputs!$C$17="Rebased to 100",$D653/D$8*100,$D653)))))</f>
        <v/>
      </c>
      <c r="K653" s="54">
        <f>IF($B653=0,NA(),IF($E653="",NA(),IF(E$8="",NA(),IF(N(E$8)=0,NA(),IF(Inputs!$C$17="Rebased to 100",$E653/E$8*100,$E653)))))</f>
        <v/>
      </c>
      <c r="L653" s="54">
        <f>IF($B653=0,NA(),IF($F653="",NA(),IF(F$8="",NA(),IF(N(F$8)=0,NA(),IF(Inputs!$C$17="Rebased to 100",$F653/F$8*100,$F653)))))</f>
        <v/>
      </c>
      <c r="M653" s="54">
        <f>IF($B653=0,NA(),IF($G653="",NA(),IF(G$8="",NA(),IF(N(G$8)=0,NA(),IF(Inputs!$C$17="Rebased to 100",$G653/G$8*100,$G653)))))</f>
        <v/>
      </c>
      <c r="N653" s="54">
        <f>IF($B653=0,NA(),IF(Inputs!$C$18&lt;&gt;"Yes",NA(),IF(COUNT(I653,J653,K653,L653,M653)=0,NA(),MIN(I653,J653,K653,L653,M653))))</f>
        <v/>
      </c>
      <c r="O653" s="54">
        <f>IF($B653=0,NA(),IF(Inputs!$B$24&lt;&gt;"Yes",NA(),Inputs!$D$24*Inputs!$C$35))</f>
        <v/>
      </c>
      <c r="P653" s="54">
        <f>IF($B653=0,NA(),IF(Inputs!$B$25&lt;&gt;"Yes",NA(),Inputs!$D$25*Inputs!$C$35))</f>
        <v/>
      </c>
      <c r="Q653" s="54">
        <f>IF($B653=0,NA(),IF(Inputs!$B$26&lt;&gt;"Yes",NA(),Inputs!$D$26*Inputs!$C$35))</f>
        <v/>
      </c>
      <c r="R653" s="54">
        <f>IF($B653=0,NA(),IF(Inputs!$B$27&lt;&gt;"Yes",NA(),Inputs!$D$27*Inputs!$C$35))</f>
        <v/>
      </c>
      <c r="S653" s="54">
        <f>IF($B653=0,NA(),IF(Inputs!$B$28&lt;&gt;"Yes",NA(),Inputs!$D$28*Inputs!$C$35))</f>
        <v/>
      </c>
      <c r="T653" s="54">
        <f>IF($B653=0,NA(),IF(Inputs!$B$29&lt;&gt;"Yes",NA(),Inputs!$D$29*Inputs!$C$35))</f>
        <v/>
      </c>
      <c r="AD653">
        <f>IF($B653=0,0,IF(Inputs!$B$6="",0,COUNTIFS(Data!$A$10:$A$3209,"&gt;="&amp;$A653,Data!$A$10:$A$3209,"&lt;"&amp;$A653+1)))</f>
        <v/>
      </c>
      <c r="AE653">
        <f>IF($B653=0,0,IF(Inputs!$B$7="",0,COUNTIFS(Data!$E$10:$E$3209,"&gt;="&amp;$A653,Data!$E$10:$E$3209,"&lt;"&amp;$A653+1)))</f>
        <v/>
      </c>
      <c r="AF653">
        <f>IF($B653=0,0,IF(Inputs!$B$8="",0,COUNTIFS(Data!$I$10:$I$3209,"&gt;="&amp;$A653,Data!$I$10:$I$3209,"&lt;"&amp;$A653+1)))</f>
        <v/>
      </c>
      <c r="AG653">
        <f>IF($B653=0,0,IF(Inputs!$B$9="",0,COUNTIFS(Data!$M$10:$M$3209,"&gt;="&amp;$A653,Data!$M$10:$M$3209,"&lt;"&amp;$A653+1)))</f>
        <v/>
      </c>
      <c r="AH653">
        <f>IF($B653=0,0,IF(Inputs!$B$10="",0,COUNTIFS(Data!$Q$10:$Q$3209,"&gt;="&amp;$A653,Data!$Q$10:$Q$3209,"&lt;"&amp;$A653+1)))</f>
        <v/>
      </c>
    </row>
    <row r="654">
      <c r="A654" s="55">
        <f>MIN(Inputs!$C$15,$A653+IF(WEEKDAY($A653,2)=5,3,1))</f>
        <v/>
      </c>
      <c r="B654">
        <f>IF($A654&gt;$A653,1,0)</f>
        <v/>
      </c>
      <c r="C654" s="56">
        <f>IF($B654=0,"",IF(Inputs!$B$6="","",IF($AD654=0,C653,SUMIFS(Data!$B$10:$B$3209,Data!$A$10:$A$3209,"&gt;="&amp;$A654,Data!$A$10:$A$3209,"&lt;"&amp;$A654+1)/$AD654)))</f>
        <v/>
      </c>
      <c r="D654" s="56">
        <f>IF($B654=0,"",IF(Inputs!$B$7="","",IF($AE654=0,D653,SUMIFS(Data!$F$10:$F$3209,Data!$E$10:$E$3209,"&gt;="&amp;$A654,Data!$E$10:$E$3209,"&lt;"&amp;$A654+1)/$AE654)))</f>
        <v/>
      </c>
      <c r="E654" s="56">
        <f>IF($B654=0,"",IF(Inputs!$B$8="","",IF($AF654=0,E653,SUMIFS(Data!$J$10:$J$3209,Data!$I$10:$I$3209,"&gt;="&amp;$A654,Data!$I$10:$I$3209,"&lt;"&amp;$A654+1)/$AF654)))</f>
        <v/>
      </c>
      <c r="F654" s="56">
        <f>IF($B654=0,"",IF(Inputs!$B$9="","",IF($AG654=0,F653,SUMIFS(Data!$N$10:$N$3209,Data!$M$10:$M$3209,"&gt;="&amp;$A654,Data!$M$10:$M$3209,"&lt;"&amp;$A654+1)/$AG654)))</f>
        <v/>
      </c>
      <c r="G654" s="56">
        <f>IF($B654=0,"",IF(Inputs!$B$10="","",IF($AH654=0,G653,SUMIFS(Data!$R$10:$R$3209,Data!$Q$10:$Q$3209,"&gt;="&amp;$A654,Data!$Q$10:$Q$3209,"&lt;"&amp;$A654+1)/$AH654)))</f>
        <v/>
      </c>
      <c r="I654" s="54">
        <f>IF($B654=0,NA(),IF($C654="",NA(),IF(C$8="",NA(),IF(N(C$8)=0,NA(),IF(Inputs!$C$17="Rebased to 100",$C654/C$8*100,$C654)))))</f>
        <v/>
      </c>
      <c r="J654" s="54">
        <f>IF($B654=0,NA(),IF($D654="",NA(),IF(D$8="",NA(),IF(N(D$8)=0,NA(),IF(Inputs!$C$17="Rebased to 100",$D654/D$8*100,$D654)))))</f>
        <v/>
      </c>
      <c r="K654" s="54">
        <f>IF($B654=0,NA(),IF($E654="",NA(),IF(E$8="",NA(),IF(N(E$8)=0,NA(),IF(Inputs!$C$17="Rebased to 100",$E654/E$8*100,$E654)))))</f>
        <v/>
      </c>
      <c r="L654" s="54">
        <f>IF($B654=0,NA(),IF($F654="",NA(),IF(F$8="",NA(),IF(N(F$8)=0,NA(),IF(Inputs!$C$17="Rebased to 100",$F654/F$8*100,$F654)))))</f>
        <v/>
      </c>
      <c r="M654" s="54">
        <f>IF($B654=0,NA(),IF($G654="",NA(),IF(G$8="",NA(),IF(N(G$8)=0,NA(),IF(Inputs!$C$17="Rebased to 100",$G654/G$8*100,$G654)))))</f>
        <v/>
      </c>
      <c r="N654" s="54">
        <f>IF($B654=0,NA(),IF(Inputs!$C$18&lt;&gt;"Yes",NA(),IF(COUNT(I654,J654,K654,L654,M654)=0,NA(),MIN(I654,J654,K654,L654,M654))))</f>
        <v/>
      </c>
      <c r="O654" s="54">
        <f>IF($B654=0,NA(),IF(Inputs!$B$24&lt;&gt;"Yes",NA(),Inputs!$D$24*Inputs!$C$35))</f>
        <v/>
      </c>
      <c r="P654" s="54">
        <f>IF($B654=0,NA(),IF(Inputs!$B$25&lt;&gt;"Yes",NA(),Inputs!$D$25*Inputs!$C$35))</f>
        <v/>
      </c>
      <c r="Q654" s="54">
        <f>IF($B654=0,NA(),IF(Inputs!$B$26&lt;&gt;"Yes",NA(),Inputs!$D$26*Inputs!$C$35))</f>
        <v/>
      </c>
      <c r="R654" s="54">
        <f>IF($B654=0,NA(),IF(Inputs!$B$27&lt;&gt;"Yes",NA(),Inputs!$D$27*Inputs!$C$35))</f>
        <v/>
      </c>
      <c r="S654" s="54">
        <f>IF($B654=0,NA(),IF(Inputs!$B$28&lt;&gt;"Yes",NA(),Inputs!$D$28*Inputs!$C$35))</f>
        <v/>
      </c>
      <c r="T654" s="54">
        <f>IF($B654=0,NA(),IF(Inputs!$B$29&lt;&gt;"Yes",NA(),Inputs!$D$29*Inputs!$C$35))</f>
        <v/>
      </c>
      <c r="AD654">
        <f>IF($B654=0,0,IF(Inputs!$B$6="",0,COUNTIFS(Data!$A$10:$A$3209,"&gt;="&amp;$A654,Data!$A$10:$A$3209,"&lt;"&amp;$A654+1)))</f>
        <v/>
      </c>
      <c r="AE654">
        <f>IF($B654=0,0,IF(Inputs!$B$7="",0,COUNTIFS(Data!$E$10:$E$3209,"&gt;="&amp;$A654,Data!$E$10:$E$3209,"&lt;"&amp;$A654+1)))</f>
        <v/>
      </c>
      <c r="AF654">
        <f>IF($B654=0,0,IF(Inputs!$B$8="",0,COUNTIFS(Data!$I$10:$I$3209,"&gt;="&amp;$A654,Data!$I$10:$I$3209,"&lt;"&amp;$A654+1)))</f>
        <v/>
      </c>
      <c r="AG654">
        <f>IF($B654=0,0,IF(Inputs!$B$9="",0,COUNTIFS(Data!$M$10:$M$3209,"&gt;="&amp;$A654,Data!$M$10:$M$3209,"&lt;"&amp;$A654+1)))</f>
        <v/>
      </c>
      <c r="AH654">
        <f>IF($B654=0,0,IF(Inputs!$B$10="",0,COUNTIFS(Data!$Q$10:$Q$3209,"&gt;="&amp;$A654,Data!$Q$10:$Q$3209,"&lt;"&amp;$A654+1)))</f>
        <v/>
      </c>
    </row>
    <row r="655">
      <c r="A655" s="55">
        <f>MIN(Inputs!$C$15,$A654+IF(WEEKDAY($A654,2)=5,3,1))</f>
        <v/>
      </c>
      <c r="B655">
        <f>IF($A655&gt;$A654,1,0)</f>
        <v/>
      </c>
      <c r="C655" s="56">
        <f>IF($B655=0,"",IF(Inputs!$B$6="","",IF($AD655=0,C654,SUMIFS(Data!$B$10:$B$3209,Data!$A$10:$A$3209,"&gt;="&amp;$A655,Data!$A$10:$A$3209,"&lt;"&amp;$A655+1)/$AD655)))</f>
        <v/>
      </c>
      <c r="D655" s="56">
        <f>IF($B655=0,"",IF(Inputs!$B$7="","",IF($AE655=0,D654,SUMIFS(Data!$F$10:$F$3209,Data!$E$10:$E$3209,"&gt;="&amp;$A655,Data!$E$10:$E$3209,"&lt;"&amp;$A655+1)/$AE655)))</f>
        <v/>
      </c>
      <c r="E655" s="56">
        <f>IF($B655=0,"",IF(Inputs!$B$8="","",IF($AF655=0,E654,SUMIFS(Data!$J$10:$J$3209,Data!$I$10:$I$3209,"&gt;="&amp;$A655,Data!$I$10:$I$3209,"&lt;"&amp;$A655+1)/$AF655)))</f>
        <v/>
      </c>
      <c r="F655" s="56">
        <f>IF($B655=0,"",IF(Inputs!$B$9="","",IF($AG655=0,F654,SUMIFS(Data!$N$10:$N$3209,Data!$M$10:$M$3209,"&gt;="&amp;$A655,Data!$M$10:$M$3209,"&lt;"&amp;$A655+1)/$AG655)))</f>
        <v/>
      </c>
      <c r="G655" s="56">
        <f>IF($B655=0,"",IF(Inputs!$B$10="","",IF($AH655=0,G654,SUMIFS(Data!$R$10:$R$3209,Data!$Q$10:$Q$3209,"&gt;="&amp;$A655,Data!$Q$10:$Q$3209,"&lt;"&amp;$A655+1)/$AH655)))</f>
        <v/>
      </c>
      <c r="I655" s="54">
        <f>IF($B655=0,NA(),IF($C655="",NA(),IF(C$8="",NA(),IF(N(C$8)=0,NA(),IF(Inputs!$C$17="Rebased to 100",$C655/C$8*100,$C655)))))</f>
        <v/>
      </c>
      <c r="J655" s="54">
        <f>IF($B655=0,NA(),IF($D655="",NA(),IF(D$8="",NA(),IF(N(D$8)=0,NA(),IF(Inputs!$C$17="Rebased to 100",$D655/D$8*100,$D655)))))</f>
        <v/>
      </c>
      <c r="K655" s="54">
        <f>IF($B655=0,NA(),IF($E655="",NA(),IF(E$8="",NA(),IF(N(E$8)=0,NA(),IF(Inputs!$C$17="Rebased to 100",$E655/E$8*100,$E655)))))</f>
        <v/>
      </c>
      <c r="L655" s="54">
        <f>IF($B655=0,NA(),IF($F655="",NA(),IF(F$8="",NA(),IF(N(F$8)=0,NA(),IF(Inputs!$C$17="Rebased to 100",$F655/F$8*100,$F655)))))</f>
        <v/>
      </c>
      <c r="M655" s="54">
        <f>IF($B655=0,NA(),IF($G655="",NA(),IF(G$8="",NA(),IF(N(G$8)=0,NA(),IF(Inputs!$C$17="Rebased to 100",$G655/G$8*100,$G655)))))</f>
        <v/>
      </c>
      <c r="N655" s="54">
        <f>IF($B655=0,NA(),IF(Inputs!$C$18&lt;&gt;"Yes",NA(),IF(COUNT(I655,J655,K655,L655,M655)=0,NA(),MIN(I655,J655,K655,L655,M655))))</f>
        <v/>
      </c>
      <c r="O655" s="54">
        <f>IF($B655=0,NA(),IF(Inputs!$B$24&lt;&gt;"Yes",NA(),Inputs!$D$24*Inputs!$C$35))</f>
        <v/>
      </c>
      <c r="P655" s="54">
        <f>IF($B655=0,NA(),IF(Inputs!$B$25&lt;&gt;"Yes",NA(),Inputs!$D$25*Inputs!$C$35))</f>
        <v/>
      </c>
      <c r="Q655" s="54">
        <f>IF($B655=0,NA(),IF(Inputs!$B$26&lt;&gt;"Yes",NA(),Inputs!$D$26*Inputs!$C$35))</f>
        <v/>
      </c>
      <c r="R655" s="54">
        <f>IF($B655=0,NA(),IF(Inputs!$B$27&lt;&gt;"Yes",NA(),Inputs!$D$27*Inputs!$C$35))</f>
        <v/>
      </c>
      <c r="S655" s="54">
        <f>IF($B655=0,NA(),IF(Inputs!$B$28&lt;&gt;"Yes",NA(),Inputs!$D$28*Inputs!$C$35))</f>
        <v/>
      </c>
      <c r="T655" s="54">
        <f>IF($B655=0,NA(),IF(Inputs!$B$29&lt;&gt;"Yes",NA(),Inputs!$D$29*Inputs!$C$35))</f>
        <v/>
      </c>
      <c r="AD655">
        <f>IF($B655=0,0,IF(Inputs!$B$6="",0,COUNTIFS(Data!$A$10:$A$3209,"&gt;="&amp;$A655,Data!$A$10:$A$3209,"&lt;"&amp;$A655+1)))</f>
        <v/>
      </c>
      <c r="AE655">
        <f>IF($B655=0,0,IF(Inputs!$B$7="",0,COUNTIFS(Data!$E$10:$E$3209,"&gt;="&amp;$A655,Data!$E$10:$E$3209,"&lt;"&amp;$A655+1)))</f>
        <v/>
      </c>
      <c r="AF655">
        <f>IF($B655=0,0,IF(Inputs!$B$8="",0,COUNTIFS(Data!$I$10:$I$3209,"&gt;="&amp;$A655,Data!$I$10:$I$3209,"&lt;"&amp;$A655+1)))</f>
        <v/>
      </c>
      <c r="AG655">
        <f>IF($B655=0,0,IF(Inputs!$B$9="",0,COUNTIFS(Data!$M$10:$M$3209,"&gt;="&amp;$A655,Data!$M$10:$M$3209,"&lt;"&amp;$A655+1)))</f>
        <v/>
      </c>
      <c r="AH655">
        <f>IF($B655=0,0,IF(Inputs!$B$10="",0,COUNTIFS(Data!$Q$10:$Q$3209,"&gt;="&amp;$A655,Data!$Q$10:$Q$3209,"&lt;"&amp;$A655+1)))</f>
        <v/>
      </c>
    </row>
    <row r="656">
      <c r="A656" s="55">
        <f>MIN(Inputs!$C$15,$A655+IF(WEEKDAY($A655,2)=5,3,1))</f>
        <v/>
      </c>
      <c r="B656">
        <f>IF($A656&gt;$A655,1,0)</f>
        <v/>
      </c>
      <c r="C656" s="56">
        <f>IF($B656=0,"",IF(Inputs!$B$6="","",IF($AD656=0,C655,SUMIFS(Data!$B$10:$B$3209,Data!$A$10:$A$3209,"&gt;="&amp;$A656,Data!$A$10:$A$3209,"&lt;"&amp;$A656+1)/$AD656)))</f>
        <v/>
      </c>
      <c r="D656" s="56">
        <f>IF($B656=0,"",IF(Inputs!$B$7="","",IF($AE656=0,D655,SUMIFS(Data!$F$10:$F$3209,Data!$E$10:$E$3209,"&gt;="&amp;$A656,Data!$E$10:$E$3209,"&lt;"&amp;$A656+1)/$AE656)))</f>
        <v/>
      </c>
      <c r="E656" s="56">
        <f>IF($B656=0,"",IF(Inputs!$B$8="","",IF($AF656=0,E655,SUMIFS(Data!$J$10:$J$3209,Data!$I$10:$I$3209,"&gt;="&amp;$A656,Data!$I$10:$I$3209,"&lt;"&amp;$A656+1)/$AF656)))</f>
        <v/>
      </c>
      <c r="F656" s="56">
        <f>IF($B656=0,"",IF(Inputs!$B$9="","",IF($AG656=0,F655,SUMIFS(Data!$N$10:$N$3209,Data!$M$10:$M$3209,"&gt;="&amp;$A656,Data!$M$10:$M$3209,"&lt;"&amp;$A656+1)/$AG656)))</f>
        <v/>
      </c>
      <c r="G656" s="56">
        <f>IF($B656=0,"",IF(Inputs!$B$10="","",IF($AH656=0,G655,SUMIFS(Data!$R$10:$R$3209,Data!$Q$10:$Q$3209,"&gt;="&amp;$A656,Data!$Q$10:$Q$3209,"&lt;"&amp;$A656+1)/$AH656)))</f>
        <v/>
      </c>
      <c r="I656" s="54">
        <f>IF($B656=0,NA(),IF($C656="",NA(),IF(C$8="",NA(),IF(N(C$8)=0,NA(),IF(Inputs!$C$17="Rebased to 100",$C656/C$8*100,$C656)))))</f>
        <v/>
      </c>
      <c r="J656" s="54">
        <f>IF($B656=0,NA(),IF($D656="",NA(),IF(D$8="",NA(),IF(N(D$8)=0,NA(),IF(Inputs!$C$17="Rebased to 100",$D656/D$8*100,$D656)))))</f>
        <v/>
      </c>
      <c r="K656" s="54">
        <f>IF($B656=0,NA(),IF($E656="",NA(),IF(E$8="",NA(),IF(N(E$8)=0,NA(),IF(Inputs!$C$17="Rebased to 100",$E656/E$8*100,$E656)))))</f>
        <v/>
      </c>
      <c r="L656" s="54">
        <f>IF($B656=0,NA(),IF($F656="",NA(),IF(F$8="",NA(),IF(N(F$8)=0,NA(),IF(Inputs!$C$17="Rebased to 100",$F656/F$8*100,$F656)))))</f>
        <v/>
      </c>
      <c r="M656" s="54">
        <f>IF($B656=0,NA(),IF($G656="",NA(),IF(G$8="",NA(),IF(N(G$8)=0,NA(),IF(Inputs!$C$17="Rebased to 100",$G656/G$8*100,$G656)))))</f>
        <v/>
      </c>
      <c r="N656" s="54">
        <f>IF($B656=0,NA(),IF(Inputs!$C$18&lt;&gt;"Yes",NA(),IF(COUNT(I656,J656,K656,L656,M656)=0,NA(),MIN(I656,J656,K656,L656,M656))))</f>
        <v/>
      </c>
      <c r="O656" s="54">
        <f>IF($B656=0,NA(),IF(Inputs!$B$24&lt;&gt;"Yes",NA(),Inputs!$D$24*Inputs!$C$35))</f>
        <v/>
      </c>
      <c r="P656" s="54">
        <f>IF($B656=0,NA(),IF(Inputs!$B$25&lt;&gt;"Yes",NA(),Inputs!$D$25*Inputs!$C$35))</f>
        <v/>
      </c>
      <c r="Q656" s="54">
        <f>IF($B656=0,NA(),IF(Inputs!$B$26&lt;&gt;"Yes",NA(),Inputs!$D$26*Inputs!$C$35))</f>
        <v/>
      </c>
      <c r="R656" s="54">
        <f>IF($B656=0,NA(),IF(Inputs!$B$27&lt;&gt;"Yes",NA(),Inputs!$D$27*Inputs!$C$35))</f>
        <v/>
      </c>
      <c r="S656" s="54">
        <f>IF($B656=0,NA(),IF(Inputs!$B$28&lt;&gt;"Yes",NA(),Inputs!$D$28*Inputs!$C$35))</f>
        <v/>
      </c>
      <c r="T656" s="54">
        <f>IF($B656=0,NA(),IF(Inputs!$B$29&lt;&gt;"Yes",NA(),Inputs!$D$29*Inputs!$C$35))</f>
        <v/>
      </c>
      <c r="AD656">
        <f>IF($B656=0,0,IF(Inputs!$B$6="",0,COUNTIFS(Data!$A$10:$A$3209,"&gt;="&amp;$A656,Data!$A$10:$A$3209,"&lt;"&amp;$A656+1)))</f>
        <v/>
      </c>
      <c r="AE656">
        <f>IF($B656=0,0,IF(Inputs!$B$7="",0,COUNTIFS(Data!$E$10:$E$3209,"&gt;="&amp;$A656,Data!$E$10:$E$3209,"&lt;"&amp;$A656+1)))</f>
        <v/>
      </c>
      <c r="AF656">
        <f>IF($B656=0,0,IF(Inputs!$B$8="",0,COUNTIFS(Data!$I$10:$I$3209,"&gt;="&amp;$A656,Data!$I$10:$I$3209,"&lt;"&amp;$A656+1)))</f>
        <v/>
      </c>
      <c r="AG656">
        <f>IF($B656=0,0,IF(Inputs!$B$9="",0,COUNTIFS(Data!$M$10:$M$3209,"&gt;="&amp;$A656,Data!$M$10:$M$3209,"&lt;"&amp;$A656+1)))</f>
        <v/>
      </c>
      <c r="AH656">
        <f>IF($B656=0,0,IF(Inputs!$B$10="",0,COUNTIFS(Data!$Q$10:$Q$3209,"&gt;="&amp;$A656,Data!$Q$10:$Q$3209,"&lt;"&amp;$A656+1)))</f>
        <v/>
      </c>
    </row>
    <row r="657">
      <c r="A657" s="55">
        <f>MIN(Inputs!$C$15,$A656+IF(WEEKDAY($A656,2)=5,3,1))</f>
        <v/>
      </c>
      <c r="B657">
        <f>IF($A657&gt;$A656,1,0)</f>
        <v/>
      </c>
      <c r="C657" s="56">
        <f>IF($B657=0,"",IF(Inputs!$B$6="","",IF($AD657=0,C656,SUMIFS(Data!$B$10:$B$3209,Data!$A$10:$A$3209,"&gt;="&amp;$A657,Data!$A$10:$A$3209,"&lt;"&amp;$A657+1)/$AD657)))</f>
        <v/>
      </c>
      <c r="D657" s="56">
        <f>IF($B657=0,"",IF(Inputs!$B$7="","",IF($AE657=0,D656,SUMIFS(Data!$F$10:$F$3209,Data!$E$10:$E$3209,"&gt;="&amp;$A657,Data!$E$10:$E$3209,"&lt;"&amp;$A657+1)/$AE657)))</f>
        <v/>
      </c>
      <c r="E657" s="56">
        <f>IF($B657=0,"",IF(Inputs!$B$8="","",IF($AF657=0,E656,SUMIFS(Data!$J$10:$J$3209,Data!$I$10:$I$3209,"&gt;="&amp;$A657,Data!$I$10:$I$3209,"&lt;"&amp;$A657+1)/$AF657)))</f>
        <v/>
      </c>
      <c r="F657" s="56">
        <f>IF($B657=0,"",IF(Inputs!$B$9="","",IF($AG657=0,F656,SUMIFS(Data!$N$10:$N$3209,Data!$M$10:$M$3209,"&gt;="&amp;$A657,Data!$M$10:$M$3209,"&lt;"&amp;$A657+1)/$AG657)))</f>
        <v/>
      </c>
      <c r="G657" s="56">
        <f>IF($B657=0,"",IF(Inputs!$B$10="","",IF($AH657=0,G656,SUMIFS(Data!$R$10:$R$3209,Data!$Q$10:$Q$3209,"&gt;="&amp;$A657,Data!$Q$10:$Q$3209,"&lt;"&amp;$A657+1)/$AH657)))</f>
        <v/>
      </c>
      <c r="I657" s="54">
        <f>IF($B657=0,NA(),IF($C657="",NA(),IF(C$8="",NA(),IF(N(C$8)=0,NA(),IF(Inputs!$C$17="Rebased to 100",$C657/C$8*100,$C657)))))</f>
        <v/>
      </c>
      <c r="J657" s="54">
        <f>IF($B657=0,NA(),IF($D657="",NA(),IF(D$8="",NA(),IF(N(D$8)=0,NA(),IF(Inputs!$C$17="Rebased to 100",$D657/D$8*100,$D657)))))</f>
        <v/>
      </c>
      <c r="K657" s="54">
        <f>IF($B657=0,NA(),IF($E657="",NA(),IF(E$8="",NA(),IF(N(E$8)=0,NA(),IF(Inputs!$C$17="Rebased to 100",$E657/E$8*100,$E657)))))</f>
        <v/>
      </c>
      <c r="L657" s="54">
        <f>IF($B657=0,NA(),IF($F657="",NA(),IF(F$8="",NA(),IF(N(F$8)=0,NA(),IF(Inputs!$C$17="Rebased to 100",$F657/F$8*100,$F657)))))</f>
        <v/>
      </c>
      <c r="M657" s="54">
        <f>IF($B657=0,NA(),IF($G657="",NA(),IF(G$8="",NA(),IF(N(G$8)=0,NA(),IF(Inputs!$C$17="Rebased to 100",$G657/G$8*100,$G657)))))</f>
        <v/>
      </c>
      <c r="N657" s="54">
        <f>IF($B657=0,NA(),IF(Inputs!$C$18&lt;&gt;"Yes",NA(),IF(COUNT(I657,J657,K657,L657,M657)=0,NA(),MIN(I657,J657,K657,L657,M657))))</f>
        <v/>
      </c>
      <c r="O657" s="54">
        <f>IF($B657=0,NA(),IF(Inputs!$B$24&lt;&gt;"Yes",NA(),Inputs!$D$24*Inputs!$C$35))</f>
        <v/>
      </c>
      <c r="P657" s="54">
        <f>IF($B657=0,NA(),IF(Inputs!$B$25&lt;&gt;"Yes",NA(),Inputs!$D$25*Inputs!$C$35))</f>
        <v/>
      </c>
      <c r="Q657" s="54">
        <f>IF($B657=0,NA(),IF(Inputs!$B$26&lt;&gt;"Yes",NA(),Inputs!$D$26*Inputs!$C$35))</f>
        <v/>
      </c>
      <c r="R657" s="54">
        <f>IF($B657=0,NA(),IF(Inputs!$B$27&lt;&gt;"Yes",NA(),Inputs!$D$27*Inputs!$C$35))</f>
        <v/>
      </c>
      <c r="S657" s="54">
        <f>IF($B657=0,NA(),IF(Inputs!$B$28&lt;&gt;"Yes",NA(),Inputs!$D$28*Inputs!$C$35))</f>
        <v/>
      </c>
      <c r="T657" s="54">
        <f>IF($B657=0,NA(),IF(Inputs!$B$29&lt;&gt;"Yes",NA(),Inputs!$D$29*Inputs!$C$35))</f>
        <v/>
      </c>
      <c r="AD657">
        <f>IF($B657=0,0,IF(Inputs!$B$6="",0,COUNTIFS(Data!$A$10:$A$3209,"&gt;="&amp;$A657,Data!$A$10:$A$3209,"&lt;"&amp;$A657+1)))</f>
        <v/>
      </c>
      <c r="AE657">
        <f>IF($B657=0,0,IF(Inputs!$B$7="",0,COUNTIFS(Data!$E$10:$E$3209,"&gt;="&amp;$A657,Data!$E$10:$E$3209,"&lt;"&amp;$A657+1)))</f>
        <v/>
      </c>
      <c r="AF657">
        <f>IF($B657=0,0,IF(Inputs!$B$8="",0,COUNTIFS(Data!$I$10:$I$3209,"&gt;="&amp;$A657,Data!$I$10:$I$3209,"&lt;"&amp;$A657+1)))</f>
        <v/>
      </c>
      <c r="AG657">
        <f>IF($B657=0,0,IF(Inputs!$B$9="",0,COUNTIFS(Data!$M$10:$M$3209,"&gt;="&amp;$A657,Data!$M$10:$M$3209,"&lt;"&amp;$A657+1)))</f>
        <v/>
      </c>
      <c r="AH657">
        <f>IF($B657=0,0,IF(Inputs!$B$10="",0,COUNTIFS(Data!$Q$10:$Q$3209,"&gt;="&amp;$A657,Data!$Q$10:$Q$3209,"&lt;"&amp;$A657+1)))</f>
        <v/>
      </c>
    </row>
    <row r="658">
      <c r="A658" s="55">
        <f>MIN(Inputs!$C$15,$A657+IF(WEEKDAY($A657,2)=5,3,1))</f>
        <v/>
      </c>
      <c r="B658">
        <f>IF($A658&gt;$A657,1,0)</f>
        <v/>
      </c>
      <c r="C658" s="56">
        <f>IF($B658=0,"",IF(Inputs!$B$6="","",IF($AD658=0,C657,SUMIFS(Data!$B$10:$B$3209,Data!$A$10:$A$3209,"&gt;="&amp;$A658,Data!$A$10:$A$3209,"&lt;"&amp;$A658+1)/$AD658)))</f>
        <v/>
      </c>
      <c r="D658" s="56">
        <f>IF($B658=0,"",IF(Inputs!$B$7="","",IF($AE658=0,D657,SUMIFS(Data!$F$10:$F$3209,Data!$E$10:$E$3209,"&gt;="&amp;$A658,Data!$E$10:$E$3209,"&lt;"&amp;$A658+1)/$AE658)))</f>
        <v/>
      </c>
      <c r="E658" s="56">
        <f>IF($B658=0,"",IF(Inputs!$B$8="","",IF($AF658=0,E657,SUMIFS(Data!$J$10:$J$3209,Data!$I$10:$I$3209,"&gt;="&amp;$A658,Data!$I$10:$I$3209,"&lt;"&amp;$A658+1)/$AF658)))</f>
        <v/>
      </c>
      <c r="F658" s="56">
        <f>IF($B658=0,"",IF(Inputs!$B$9="","",IF($AG658=0,F657,SUMIFS(Data!$N$10:$N$3209,Data!$M$10:$M$3209,"&gt;="&amp;$A658,Data!$M$10:$M$3209,"&lt;"&amp;$A658+1)/$AG658)))</f>
        <v/>
      </c>
      <c r="G658" s="56">
        <f>IF($B658=0,"",IF(Inputs!$B$10="","",IF($AH658=0,G657,SUMIFS(Data!$R$10:$R$3209,Data!$Q$10:$Q$3209,"&gt;="&amp;$A658,Data!$Q$10:$Q$3209,"&lt;"&amp;$A658+1)/$AH658)))</f>
        <v/>
      </c>
      <c r="I658" s="54">
        <f>IF($B658=0,NA(),IF($C658="",NA(),IF(C$8="",NA(),IF(N(C$8)=0,NA(),IF(Inputs!$C$17="Rebased to 100",$C658/C$8*100,$C658)))))</f>
        <v/>
      </c>
      <c r="J658" s="54">
        <f>IF($B658=0,NA(),IF($D658="",NA(),IF(D$8="",NA(),IF(N(D$8)=0,NA(),IF(Inputs!$C$17="Rebased to 100",$D658/D$8*100,$D658)))))</f>
        <v/>
      </c>
      <c r="K658" s="54">
        <f>IF($B658=0,NA(),IF($E658="",NA(),IF(E$8="",NA(),IF(N(E$8)=0,NA(),IF(Inputs!$C$17="Rebased to 100",$E658/E$8*100,$E658)))))</f>
        <v/>
      </c>
      <c r="L658" s="54">
        <f>IF($B658=0,NA(),IF($F658="",NA(),IF(F$8="",NA(),IF(N(F$8)=0,NA(),IF(Inputs!$C$17="Rebased to 100",$F658/F$8*100,$F658)))))</f>
        <v/>
      </c>
      <c r="M658" s="54">
        <f>IF($B658=0,NA(),IF($G658="",NA(),IF(G$8="",NA(),IF(N(G$8)=0,NA(),IF(Inputs!$C$17="Rebased to 100",$G658/G$8*100,$G658)))))</f>
        <v/>
      </c>
      <c r="N658" s="54">
        <f>IF($B658=0,NA(),IF(Inputs!$C$18&lt;&gt;"Yes",NA(),IF(COUNT(I658,J658,K658,L658,M658)=0,NA(),MIN(I658,J658,K658,L658,M658))))</f>
        <v/>
      </c>
      <c r="O658" s="54">
        <f>IF($B658=0,NA(),IF(Inputs!$B$24&lt;&gt;"Yes",NA(),Inputs!$D$24*Inputs!$C$35))</f>
        <v/>
      </c>
      <c r="P658" s="54">
        <f>IF($B658=0,NA(),IF(Inputs!$B$25&lt;&gt;"Yes",NA(),Inputs!$D$25*Inputs!$C$35))</f>
        <v/>
      </c>
      <c r="Q658" s="54">
        <f>IF($B658=0,NA(),IF(Inputs!$B$26&lt;&gt;"Yes",NA(),Inputs!$D$26*Inputs!$C$35))</f>
        <v/>
      </c>
      <c r="R658" s="54">
        <f>IF($B658=0,NA(),IF(Inputs!$B$27&lt;&gt;"Yes",NA(),Inputs!$D$27*Inputs!$C$35))</f>
        <v/>
      </c>
      <c r="S658" s="54">
        <f>IF($B658=0,NA(),IF(Inputs!$B$28&lt;&gt;"Yes",NA(),Inputs!$D$28*Inputs!$C$35))</f>
        <v/>
      </c>
      <c r="T658" s="54">
        <f>IF($B658=0,NA(),IF(Inputs!$B$29&lt;&gt;"Yes",NA(),Inputs!$D$29*Inputs!$C$35))</f>
        <v/>
      </c>
      <c r="AD658">
        <f>IF($B658=0,0,IF(Inputs!$B$6="",0,COUNTIFS(Data!$A$10:$A$3209,"&gt;="&amp;$A658,Data!$A$10:$A$3209,"&lt;"&amp;$A658+1)))</f>
        <v/>
      </c>
      <c r="AE658">
        <f>IF($B658=0,0,IF(Inputs!$B$7="",0,COUNTIFS(Data!$E$10:$E$3209,"&gt;="&amp;$A658,Data!$E$10:$E$3209,"&lt;"&amp;$A658+1)))</f>
        <v/>
      </c>
      <c r="AF658">
        <f>IF($B658=0,0,IF(Inputs!$B$8="",0,COUNTIFS(Data!$I$10:$I$3209,"&gt;="&amp;$A658,Data!$I$10:$I$3209,"&lt;"&amp;$A658+1)))</f>
        <v/>
      </c>
      <c r="AG658">
        <f>IF($B658=0,0,IF(Inputs!$B$9="",0,COUNTIFS(Data!$M$10:$M$3209,"&gt;="&amp;$A658,Data!$M$10:$M$3209,"&lt;"&amp;$A658+1)))</f>
        <v/>
      </c>
      <c r="AH658">
        <f>IF($B658=0,0,IF(Inputs!$B$10="",0,COUNTIFS(Data!$Q$10:$Q$3209,"&gt;="&amp;$A658,Data!$Q$10:$Q$3209,"&lt;"&amp;$A658+1)))</f>
        <v/>
      </c>
    </row>
    <row r="659">
      <c r="A659" s="55">
        <f>MIN(Inputs!$C$15,$A658+IF(WEEKDAY($A658,2)=5,3,1))</f>
        <v/>
      </c>
      <c r="B659">
        <f>IF($A659&gt;$A658,1,0)</f>
        <v/>
      </c>
      <c r="C659" s="56">
        <f>IF($B659=0,"",IF(Inputs!$B$6="","",IF($AD659=0,C658,SUMIFS(Data!$B$10:$B$3209,Data!$A$10:$A$3209,"&gt;="&amp;$A659,Data!$A$10:$A$3209,"&lt;"&amp;$A659+1)/$AD659)))</f>
        <v/>
      </c>
      <c r="D659" s="56">
        <f>IF($B659=0,"",IF(Inputs!$B$7="","",IF($AE659=0,D658,SUMIFS(Data!$F$10:$F$3209,Data!$E$10:$E$3209,"&gt;="&amp;$A659,Data!$E$10:$E$3209,"&lt;"&amp;$A659+1)/$AE659)))</f>
        <v/>
      </c>
      <c r="E659" s="56">
        <f>IF($B659=0,"",IF(Inputs!$B$8="","",IF($AF659=0,E658,SUMIFS(Data!$J$10:$J$3209,Data!$I$10:$I$3209,"&gt;="&amp;$A659,Data!$I$10:$I$3209,"&lt;"&amp;$A659+1)/$AF659)))</f>
        <v/>
      </c>
      <c r="F659" s="56">
        <f>IF($B659=0,"",IF(Inputs!$B$9="","",IF($AG659=0,F658,SUMIFS(Data!$N$10:$N$3209,Data!$M$10:$M$3209,"&gt;="&amp;$A659,Data!$M$10:$M$3209,"&lt;"&amp;$A659+1)/$AG659)))</f>
        <v/>
      </c>
      <c r="G659" s="56">
        <f>IF($B659=0,"",IF(Inputs!$B$10="","",IF($AH659=0,G658,SUMIFS(Data!$R$10:$R$3209,Data!$Q$10:$Q$3209,"&gt;="&amp;$A659,Data!$Q$10:$Q$3209,"&lt;"&amp;$A659+1)/$AH659)))</f>
        <v/>
      </c>
      <c r="I659" s="54">
        <f>IF($B659=0,NA(),IF($C659="",NA(),IF(C$8="",NA(),IF(N(C$8)=0,NA(),IF(Inputs!$C$17="Rebased to 100",$C659/C$8*100,$C659)))))</f>
        <v/>
      </c>
      <c r="J659" s="54">
        <f>IF($B659=0,NA(),IF($D659="",NA(),IF(D$8="",NA(),IF(N(D$8)=0,NA(),IF(Inputs!$C$17="Rebased to 100",$D659/D$8*100,$D659)))))</f>
        <v/>
      </c>
      <c r="K659" s="54">
        <f>IF($B659=0,NA(),IF($E659="",NA(),IF(E$8="",NA(),IF(N(E$8)=0,NA(),IF(Inputs!$C$17="Rebased to 100",$E659/E$8*100,$E659)))))</f>
        <v/>
      </c>
      <c r="L659" s="54">
        <f>IF($B659=0,NA(),IF($F659="",NA(),IF(F$8="",NA(),IF(N(F$8)=0,NA(),IF(Inputs!$C$17="Rebased to 100",$F659/F$8*100,$F659)))))</f>
        <v/>
      </c>
      <c r="M659" s="54">
        <f>IF($B659=0,NA(),IF($G659="",NA(),IF(G$8="",NA(),IF(N(G$8)=0,NA(),IF(Inputs!$C$17="Rebased to 100",$G659/G$8*100,$G659)))))</f>
        <v/>
      </c>
      <c r="N659" s="54">
        <f>IF($B659=0,NA(),IF(Inputs!$C$18&lt;&gt;"Yes",NA(),IF(COUNT(I659,J659,K659,L659,M659)=0,NA(),MIN(I659,J659,K659,L659,M659))))</f>
        <v/>
      </c>
      <c r="O659" s="54">
        <f>IF($B659=0,NA(),IF(Inputs!$B$24&lt;&gt;"Yes",NA(),Inputs!$D$24*Inputs!$C$35))</f>
        <v/>
      </c>
      <c r="P659" s="54">
        <f>IF($B659=0,NA(),IF(Inputs!$B$25&lt;&gt;"Yes",NA(),Inputs!$D$25*Inputs!$C$35))</f>
        <v/>
      </c>
      <c r="Q659" s="54">
        <f>IF($B659=0,NA(),IF(Inputs!$B$26&lt;&gt;"Yes",NA(),Inputs!$D$26*Inputs!$C$35))</f>
        <v/>
      </c>
      <c r="R659" s="54">
        <f>IF($B659=0,NA(),IF(Inputs!$B$27&lt;&gt;"Yes",NA(),Inputs!$D$27*Inputs!$C$35))</f>
        <v/>
      </c>
      <c r="S659" s="54">
        <f>IF($B659=0,NA(),IF(Inputs!$B$28&lt;&gt;"Yes",NA(),Inputs!$D$28*Inputs!$C$35))</f>
        <v/>
      </c>
      <c r="T659" s="54">
        <f>IF($B659=0,NA(),IF(Inputs!$B$29&lt;&gt;"Yes",NA(),Inputs!$D$29*Inputs!$C$35))</f>
        <v/>
      </c>
      <c r="AD659">
        <f>IF($B659=0,0,IF(Inputs!$B$6="",0,COUNTIFS(Data!$A$10:$A$3209,"&gt;="&amp;$A659,Data!$A$10:$A$3209,"&lt;"&amp;$A659+1)))</f>
        <v/>
      </c>
      <c r="AE659">
        <f>IF($B659=0,0,IF(Inputs!$B$7="",0,COUNTIFS(Data!$E$10:$E$3209,"&gt;="&amp;$A659,Data!$E$10:$E$3209,"&lt;"&amp;$A659+1)))</f>
        <v/>
      </c>
      <c r="AF659">
        <f>IF($B659=0,0,IF(Inputs!$B$8="",0,COUNTIFS(Data!$I$10:$I$3209,"&gt;="&amp;$A659,Data!$I$10:$I$3209,"&lt;"&amp;$A659+1)))</f>
        <v/>
      </c>
      <c r="AG659">
        <f>IF($B659=0,0,IF(Inputs!$B$9="",0,COUNTIFS(Data!$M$10:$M$3209,"&gt;="&amp;$A659,Data!$M$10:$M$3209,"&lt;"&amp;$A659+1)))</f>
        <v/>
      </c>
      <c r="AH659">
        <f>IF($B659=0,0,IF(Inputs!$B$10="",0,COUNTIFS(Data!$Q$10:$Q$3209,"&gt;="&amp;$A659,Data!$Q$10:$Q$3209,"&lt;"&amp;$A659+1)))</f>
        <v/>
      </c>
    </row>
    <row r="660">
      <c r="A660" s="55">
        <f>MIN(Inputs!$C$15,$A659+IF(WEEKDAY($A659,2)=5,3,1))</f>
        <v/>
      </c>
      <c r="B660">
        <f>IF($A660&gt;$A659,1,0)</f>
        <v/>
      </c>
      <c r="C660" s="56">
        <f>IF($B660=0,"",IF(Inputs!$B$6="","",IF($AD660=0,C659,SUMIFS(Data!$B$10:$B$3209,Data!$A$10:$A$3209,"&gt;="&amp;$A660,Data!$A$10:$A$3209,"&lt;"&amp;$A660+1)/$AD660)))</f>
        <v/>
      </c>
      <c r="D660" s="56">
        <f>IF($B660=0,"",IF(Inputs!$B$7="","",IF($AE660=0,D659,SUMIFS(Data!$F$10:$F$3209,Data!$E$10:$E$3209,"&gt;="&amp;$A660,Data!$E$10:$E$3209,"&lt;"&amp;$A660+1)/$AE660)))</f>
        <v/>
      </c>
      <c r="E660" s="56">
        <f>IF($B660=0,"",IF(Inputs!$B$8="","",IF($AF660=0,E659,SUMIFS(Data!$J$10:$J$3209,Data!$I$10:$I$3209,"&gt;="&amp;$A660,Data!$I$10:$I$3209,"&lt;"&amp;$A660+1)/$AF660)))</f>
        <v/>
      </c>
      <c r="F660" s="56">
        <f>IF($B660=0,"",IF(Inputs!$B$9="","",IF($AG660=0,F659,SUMIFS(Data!$N$10:$N$3209,Data!$M$10:$M$3209,"&gt;="&amp;$A660,Data!$M$10:$M$3209,"&lt;"&amp;$A660+1)/$AG660)))</f>
        <v/>
      </c>
      <c r="G660" s="56">
        <f>IF($B660=0,"",IF(Inputs!$B$10="","",IF($AH660=0,G659,SUMIFS(Data!$R$10:$R$3209,Data!$Q$10:$Q$3209,"&gt;="&amp;$A660,Data!$Q$10:$Q$3209,"&lt;"&amp;$A660+1)/$AH660)))</f>
        <v/>
      </c>
      <c r="I660" s="54">
        <f>IF($B660=0,NA(),IF($C660="",NA(),IF(C$8="",NA(),IF(N(C$8)=0,NA(),IF(Inputs!$C$17="Rebased to 100",$C660/C$8*100,$C660)))))</f>
        <v/>
      </c>
      <c r="J660" s="54">
        <f>IF($B660=0,NA(),IF($D660="",NA(),IF(D$8="",NA(),IF(N(D$8)=0,NA(),IF(Inputs!$C$17="Rebased to 100",$D660/D$8*100,$D660)))))</f>
        <v/>
      </c>
      <c r="K660" s="54">
        <f>IF($B660=0,NA(),IF($E660="",NA(),IF(E$8="",NA(),IF(N(E$8)=0,NA(),IF(Inputs!$C$17="Rebased to 100",$E660/E$8*100,$E660)))))</f>
        <v/>
      </c>
      <c r="L660" s="54">
        <f>IF($B660=0,NA(),IF($F660="",NA(),IF(F$8="",NA(),IF(N(F$8)=0,NA(),IF(Inputs!$C$17="Rebased to 100",$F660/F$8*100,$F660)))))</f>
        <v/>
      </c>
      <c r="M660" s="54">
        <f>IF($B660=0,NA(),IF($G660="",NA(),IF(G$8="",NA(),IF(N(G$8)=0,NA(),IF(Inputs!$C$17="Rebased to 100",$G660/G$8*100,$G660)))))</f>
        <v/>
      </c>
      <c r="N660" s="54">
        <f>IF($B660=0,NA(),IF(Inputs!$C$18&lt;&gt;"Yes",NA(),IF(COUNT(I660,J660,K660,L660,M660)=0,NA(),MIN(I660,J660,K660,L660,M660))))</f>
        <v/>
      </c>
      <c r="O660" s="54">
        <f>IF($B660=0,NA(),IF(Inputs!$B$24&lt;&gt;"Yes",NA(),Inputs!$D$24*Inputs!$C$35))</f>
        <v/>
      </c>
      <c r="P660" s="54">
        <f>IF($B660=0,NA(),IF(Inputs!$B$25&lt;&gt;"Yes",NA(),Inputs!$D$25*Inputs!$C$35))</f>
        <v/>
      </c>
      <c r="Q660" s="54">
        <f>IF($B660=0,NA(),IF(Inputs!$B$26&lt;&gt;"Yes",NA(),Inputs!$D$26*Inputs!$C$35))</f>
        <v/>
      </c>
      <c r="R660" s="54">
        <f>IF($B660=0,NA(),IF(Inputs!$B$27&lt;&gt;"Yes",NA(),Inputs!$D$27*Inputs!$C$35))</f>
        <v/>
      </c>
      <c r="S660" s="54">
        <f>IF($B660=0,NA(),IF(Inputs!$B$28&lt;&gt;"Yes",NA(),Inputs!$D$28*Inputs!$C$35))</f>
        <v/>
      </c>
      <c r="T660" s="54">
        <f>IF($B660=0,NA(),IF(Inputs!$B$29&lt;&gt;"Yes",NA(),Inputs!$D$29*Inputs!$C$35))</f>
        <v/>
      </c>
      <c r="AD660">
        <f>IF($B660=0,0,IF(Inputs!$B$6="",0,COUNTIFS(Data!$A$10:$A$3209,"&gt;="&amp;$A660,Data!$A$10:$A$3209,"&lt;"&amp;$A660+1)))</f>
        <v/>
      </c>
      <c r="AE660">
        <f>IF($B660=0,0,IF(Inputs!$B$7="",0,COUNTIFS(Data!$E$10:$E$3209,"&gt;="&amp;$A660,Data!$E$10:$E$3209,"&lt;"&amp;$A660+1)))</f>
        <v/>
      </c>
      <c r="AF660">
        <f>IF($B660=0,0,IF(Inputs!$B$8="",0,COUNTIFS(Data!$I$10:$I$3209,"&gt;="&amp;$A660,Data!$I$10:$I$3209,"&lt;"&amp;$A660+1)))</f>
        <v/>
      </c>
      <c r="AG660">
        <f>IF($B660=0,0,IF(Inputs!$B$9="",0,COUNTIFS(Data!$M$10:$M$3209,"&gt;="&amp;$A660,Data!$M$10:$M$3209,"&lt;"&amp;$A660+1)))</f>
        <v/>
      </c>
      <c r="AH660">
        <f>IF($B660=0,0,IF(Inputs!$B$10="",0,COUNTIFS(Data!$Q$10:$Q$3209,"&gt;="&amp;$A660,Data!$Q$10:$Q$3209,"&lt;"&amp;$A660+1)))</f>
        <v/>
      </c>
    </row>
    <row r="661">
      <c r="A661" s="55">
        <f>MIN(Inputs!$C$15,$A660+IF(WEEKDAY($A660,2)=5,3,1))</f>
        <v/>
      </c>
      <c r="B661">
        <f>IF($A661&gt;$A660,1,0)</f>
        <v/>
      </c>
      <c r="C661" s="56">
        <f>IF($B661=0,"",IF(Inputs!$B$6="","",IF($AD661=0,C660,SUMIFS(Data!$B$10:$B$3209,Data!$A$10:$A$3209,"&gt;="&amp;$A661,Data!$A$10:$A$3209,"&lt;"&amp;$A661+1)/$AD661)))</f>
        <v/>
      </c>
      <c r="D661" s="56">
        <f>IF($B661=0,"",IF(Inputs!$B$7="","",IF($AE661=0,D660,SUMIFS(Data!$F$10:$F$3209,Data!$E$10:$E$3209,"&gt;="&amp;$A661,Data!$E$10:$E$3209,"&lt;"&amp;$A661+1)/$AE661)))</f>
        <v/>
      </c>
      <c r="E661" s="56">
        <f>IF($B661=0,"",IF(Inputs!$B$8="","",IF($AF661=0,E660,SUMIFS(Data!$J$10:$J$3209,Data!$I$10:$I$3209,"&gt;="&amp;$A661,Data!$I$10:$I$3209,"&lt;"&amp;$A661+1)/$AF661)))</f>
        <v/>
      </c>
      <c r="F661" s="56">
        <f>IF($B661=0,"",IF(Inputs!$B$9="","",IF($AG661=0,F660,SUMIFS(Data!$N$10:$N$3209,Data!$M$10:$M$3209,"&gt;="&amp;$A661,Data!$M$10:$M$3209,"&lt;"&amp;$A661+1)/$AG661)))</f>
        <v/>
      </c>
      <c r="G661" s="56">
        <f>IF($B661=0,"",IF(Inputs!$B$10="","",IF($AH661=0,G660,SUMIFS(Data!$R$10:$R$3209,Data!$Q$10:$Q$3209,"&gt;="&amp;$A661,Data!$Q$10:$Q$3209,"&lt;"&amp;$A661+1)/$AH661)))</f>
        <v/>
      </c>
      <c r="I661" s="54">
        <f>IF($B661=0,NA(),IF($C661="",NA(),IF(C$8="",NA(),IF(N(C$8)=0,NA(),IF(Inputs!$C$17="Rebased to 100",$C661/C$8*100,$C661)))))</f>
        <v/>
      </c>
      <c r="J661" s="54">
        <f>IF($B661=0,NA(),IF($D661="",NA(),IF(D$8="",NA(),IF(N(D$8)=0,NA(),IF(Inputs!$C$17="Rebased to 100",$D661/D$8*100,$D661)))))</f>
        <v/>
      </c>
      <c r="K661" s="54">
        <f>IF($B661=0,NA(),IF($E661="",NA(),IF(E$8="",NA(),IF(N(E$8)=0,NA(),IF(Inputs!$C$17="Rebased to 100",$E661/E$8*100,$E661)))))</f>
        <v/>
      </c>
      <c r="L661" s="54">
        <f>IF($B661=0,NA(),IF($F661="",NA(),IF(F$8="",NA(),IF(N(F$8)=0,NA(),IF(Inputs!$C$17="Rebased to 100",$F661/F$8*100,$F661)))))</f>
        <v/>
      </c>
      <c r="M661" s="54">
        <f>IF($B661=0,NA(),IF($G661="",NA(),IF(G$8="",NA(),IF(N(G$8)=0,NA(),IF(Inputs!$C$17="Rebased to 100",$G661/G$8*100,$G661)))))</f>
        <v/>
      </c>
      <c r="N661" s="54">
        <f>IF($B661=0,NA(),IF(Inputs!$C$18&lt;&gt;"Yes",NA(),IF(COUNT(I661,J661,K661,L661,M661)=0,NA(),MIN(I661,J661,K661,L661,M661))))</f>
        <v/>
      </c>
      <c r="O661" s="54">
        <f>IF($B661=0,NA(),IF(Inputs!$B$24&lt;&gt;"Yes",NA(),Inputs!$D$24*Inputs!$C$35))</f>
        <v/>
      </c>
      <c r="P661" s="54">
        <f>IF($B661=0,NA(),IF(Inputs!$B$25&lt;&gt;"Yes",NA(),Inputs!$D$25*Inputs!$C$35))</f>
        <v/>
      </c>
      <c r="Q661" s="54">
        <f>IF($B661=0,NA(),IF(Inputs!$B$26&lt;&gt;"Yes",NA(),Inputs!$D$26*Inputs!$C$35))</f>
        <v/>
      </c>
      <c r="R661" s="54">
        <f>IF($B661=0,NA(),IF(Inputs!$B$27&lt;&gt;"Yes",NA(),Inputs!$D$27*Inputs!$C$35))</f>
        <v/>
      </c>
      <c r="S661" s="54">
        <f>IF($B661=0,NA(),IF(Inputs!$B$28&lt;&gt;"Yes",NA(),Inputs!$D$28*Inputs!$C$35))</f>
        <v/>
      </c>
      <c r="T661" s="54">
        <f>IF($B661=0,NA(),IF(Inputs!$B$29&lt;&gt;"Yes",NA(),Inputs!$D$29*Inputs!$C$35))</f>
        <v/>
      </c>
      <c r="AD661">
        <f>IF($B661=0,0,IF(Inputs!$B$6="",0,COUNTIFS(Data!$A$10:$A$3209,"&gt;="&amp;$A661,Data!$A$10:$A$3209,"&lt;"&amp;$A661+1)))</f>
        <v/>
      </c>
      <c r="AE661">
        <f>IF($B661=0,0,IF(Inputs!$B$7="",0,COUNTIFS(Data!$E$10:$E$3209,"&gt;="&amp;$A661,Data!$E$10:$E$3209,"&lt;"&amp;$A661+1)))</f>
        <v/>
      </c>
      <c r="AF661">
        <f>IF($B661=0,0,IF(Inputs!$B$8="",0,COUNTIFS(Data!$I$10:$I$3209,"&gt;="&amp;$A661,Data!$I$10:$I$3209,"&lt;"&amp;$A661+1)))</f>
        <v/>
      </c>
      <c r="AG661">
        <f>IF($B661=0,0,IF(Inputs!$B$9="",0,COUNTIFS(Data!$M$10:$M$3209,"&gt;="&amp;$A661,Data!$M$10:$M$3209,"&lt;"&amp;$A661+1)))</f>
        <v/>
      </c>
      <c r="AH661">
        <f>IF($B661=0,0,IF(Inputs!$B$10="",0,COUNTIFS(Data!$Q$10:$Q$3209,"&gt;="&amp;$A661,Data!$Q$10:$Q$3209,"&lt;"&amp;$A661+1)))</f>
        <v/>
      </c>
    </row>
    <row r="662">
      <c r="A662" s="55">
        <f>MIN(Inputs!$C$15,$A661+IF(WEEKDAY($A661,2)=5,3,1))</f>
        <v/>
      </c>
      <c r="B662">
        <f>IF($A662&gt;$A661,1,0)</f>
        <v/>
      </c>
      <c r="C662" s="56">
        <f>IF($B662=0,"",IF(Inputs!$B$6="","",IF($AD662=0,C661,SUMIFS(Data!$B$10:$B$3209,Data!$A$10:$A$3209,"&gt;="&amp;$A662,Data!$A$10:$A$3209,"&lt;"&amp;$A662+1)/$AD662)))</f>
        <v/>
      </c>
      <c r="D662" s="56">
        <f>IF($B662=0,"",IF(Inputs!$B$7="","",IF($AE662=0,D661,SUMIFS(Data!$F$10:$F$3209,Data!$E$10:$E$3209,"&gt;="&amp;$A662,Data!$E$10:$E$3209,"&lt;"&amp;$A662+1)/$AE662)))</f>
        <v/>
      </c>
      <c r="E662" s="56">
        <f>IF($B662=0,"",IF(Inputs!$B$8="","",IF($AF662=0,E661,SUMIFS(Data!$J$10:$J$3209,Data!$I$10:$I$3209,"&gt;="&amp;$A662,Data!$I$10:$I$3209,"&lt;"&amp;$A662+1)/$AF662)))</f>
        <v/>
      </c>
      <c r="F662" s="56">
        <f>IF($B662=0,"",IF(Inputs!$B$9="","",IF($AG662=0,F661,SUMIFS(Data!$N$10:$N$3209,Data!$M$10:$M$3209,"&gt;="&amp;$A662,Data!$M$10:$M$3209,"&lt;"&amp;$A662+1)/$AG662)))</f>
        <v/>
      </c>
      <c r="G662" s="56">
        <f>IF($B662=0,"",IF(Inputs!$B$10="","",IF($AH662=0,G661,SUMIFS(Data!$R$10:$R$3209,Data!$Q$10:$Q$3209,"&gt;="&amp;$A662,Data!$Q$10:$Q$3209,"&lt;"&amp;$A662+1)/$AH662)))</f>
        <v/>
      </c>
      <c r="I662" s="54">
        <f>IF($B662=0,NA(),IF($C662="",NA(),IF(C$8="",NA(),IF(N(C$8)=0,NA(),IF(Inputs!$C$17="Rebased to 100",$C662/C$8*100,$C662)))))</f>
        <v/>
      </c>
      <c r="J662" s="54">
        <f>IF($B662=0,NA(),IF($D662="",NA(),IF(D$8="",NA(),IF(N(D$8)=0,NA(),IF(Inputs!$C$17="Rebased to 100",$D662/D$8*100,$D662)))))</f>
        <v/>
      </c>
      <c r="K662" s="54">
        <f>IF($B662=0,NA(),IF($E662="",NA(),IF(E$8="",NA(),IF(N(E$8)=0,NA(),IF(Inputs!$C$17="Rebased to 100",$E662/E$8*100,$E662)))))</f>
        <v/>
      </c>
      <c r="L662" s="54">
        <f>IF($B662=0,NA(),IF($F662="",NA(),IF(F$8="",NA(),IF(N(F$8)=0,NA(),IF(Inputs!$C$17="Rebased to 100",$F662/F$8*100,$F662)))))</f>
        <v/>
      </c>
      <c r="M662" s="54">
        <f>IF($B662=0,NA(),IF($G662="",NA(),IF(G$8="",NA(),IF(N(G$8)=0,NA(),IF(Inputs!$C$17="Rebased to 100",$G662/G$8*100,$G662)))))</f>
        <v/>
      </c>
      <c r="N662" s="54">
        <f>IF($B662=0,NA(),IF(Inputs!$C$18&lt;&gt;"Yes",NA(),IF(COUNT(I662,J662,K662,L662,M662)=0,NA(),MIN(I662,J662,K662,L662,M662))))</f>
        <v/>
      </c>
      <c r="O662" s="54">
        <f>IF($B662=0,NA(),IF(Inputs!$B$24&lt;&gt;"Yes",NA(),Inputs!$D$24*Inputs!$C$35))</f>
        <v/>
      </c>
      <c r="P662" s="54">
        <f>IF($B662=0,NA(),IF(Inputs!$B$25&lt;&gt;"Yes",NA(),Inputs!$D$25*Inputs!$C$35))</f>
        <v/>
      </c>
      <c r="Q662" s="54">
        <f>IF($B662=0,NA(),IF(Inputs!$B$26&lt;&gt;"Yes",NA(),Inputs!$D$26*Inputs!$C$35))</f>
        <v/>
      </c>
      <c r="R662" s="54">
        <f>IF($B662=0,NA(),IF(Inputs!$B$27&lt;&gt;"Yes",NA(),Inputs!$D$27*Inputs!$C$35))</f>
        <v/>
      </c>
      <c r="S662" s="54">
        <f>IF($B662=0,NA(),IF(Inputs!$B$28&lt;&gt;"Yes",NA(),Inputs!$D$28*Inputs!$C$35))</f>
        <v/>
      </c>
      <c r="T662" s="54">
        <f>IF($B662=0,NA(),IF(Inputs!$B$29&lt;&gt;"Yes",NA(),Inputs!$D$29*Inputs!$C$35))</f>
        <v/>
      </c>
      <c r="AD662">
        <f>IF($B662=0,0,IF(Inputs!$B$6="",0,COUNTIFS(Data!$A$10:$A$3209,"&gt;="&amp;$A662,Data!$A$10:$A$3209,"&lt;"&amp;$A662+1)))</f>
        <v/>
      </c>
      <c r="AE662">
        <f>IF($B662=0,0,IF(Inputs!$B$7="",0,COUNTIFS(Data!$E$10:$E$3209,"&gt;="&amp;$A662,Data!$E$10:$E$3209,"&lt;"&amp;$A662+1)))</f>
        <v/>
      </c>
      <c r="AF662">
        <f>IF($B662=0,0,IF(Inputs!$B$8="",0,COUNTIFS(Data!$I$10:$I$3209,"&gt;="&amp;$A662,Data!$I$10:$I$3209,"&lt;"&amp;$A662+1)))</f>
        <v/>
      </c>
      <c r="AG662">
        <f>IF($B662=0,0,IF(Inputs!$B$9="",0,COUNTIFS(Data!$M$10:$M$3209,"&gt;="&amp;$A662,Data!$M$10:$M$3209,"&lt;"&amp;$A662+1)))</f>
        <v/>
      </c>
      <c r="AH662">
        <f>IF($B662=0,0,IF(Inputs!$B$10="",0,COUNTIFS(Data!$Q$10:$Q$3209,"&gt;="&amp;$A662,Data!$Q$10:$Q$3209,"&lt;"&amp;$A662+1)))</f>
        <v/>
      </c>
    </row>
    <row r="663">
      <c r="A663" s="55">
        <f>MIN(Inputs!$C$15,$A662+IF(WEEKDAY($A662,2)=5,3,1))</f>
        <v/>
      </c>
      <c r="B663">
        <f>IF($A663&gt;$A662,1,0)</f>
        <v/>
      </c>
      <c r="C663" s="56">
        <f>IF($B663=0,"",IF(Inputs!$B$6="","",IF($AD663=0,C662,SUMIFS(Data!$B$10:$B$3209,Data!$A$10:$A$3209,"&gt;="&amp;$A663,Data!$A$10:$A$3209,"&lt;"&amp;$A663+1)/$AD663)))</f>
        <v/>
      </c>
      <c r="D663" s="56">
        <f>IF($B663=0,"",IF(Inputs!$B$7="","",IF($AE663=0,D662,SUMIFS(Data!$F$10:$F$3209,Data!$E$10:$E$3209,"&gt;="&amp;$A663,Data!$E$10:$E$3209,"&lt;"&amp;$A663+1)/$AE663)))</f>
        <v/>
      </c>
      <c r="E663" s="56">
        <f>IF($B663=0,"",IF(Inputs!$B$8="","",IF($AF663=0,E662,SUMIFS(Data!$J$10:$J$3209,Data!$I$10:$I$3209,"&gt;="&amp;$A663,Data!$I$10:$I$3209,"&lt;"&amp;$A663+1)/$AF663)))</f>
        <v/>
      </c>
      <c r="F663" s="56">
        <f>IF($B663=0,"",IF(Inputs!$B$9="","",IF($AG663=0,F662,SUMIFS(Data!$N$10:$N$3209,Data!$M$10:$M$3209,"&gt;="&amp;$A663,Data!$M$10:$M$3209,"&lt;"&amp;$A663+1)/$AG663)))</f>
        <v/>
      </c>
      <c r="G663" s="56">
        <f>IF($B663=0,"",IF(Inputs!$B$10="","",IF($AH663=0,G662,SUMIFS(Data!$R$10:$R$3209,Data!$Q$10:$Q$3209,"&gt;="&amp;$A663,Data!$Q$10:$Q$3209,"&lt;"&amp;$A663+1)/$AH663)))</f>
        <v/>
      </c>
      <c r="I663" s="54">
        <f>IF($B663=0,NA(),IF($C663="",NA(),IF(C$8="",NA(),IF(N(C$8)=0,NA(),IF(Inputs!$C$17="Rebased to 100",$C663/C$8*100,$C663)))))</f>
        <v/>
      </c>
      <c r="J663" s="54">
        <f>IF($B663=0,NA(),IF($D663="",NA(),IF(D$8="",NA(),IF(N(D$8)=0,NA(),IF(Inputs!$C$17="Rebased to 100",$D663/D$8*100,$D663)))))</f>
        <v/>
      </c>
      <c r="K663" s="54">
        <f>IF($B663=0,NA(),IF($E663="",NA(),IF(E$8="",NA(),IF(N(E$8)=0,NA(),IF(Inputs!$C$17="Rebased to 100",$E663/E$8*100,$E663)))))</f>
        <v/>
      </c>
      <c r="L663" s="54">
        <f>IF($B663=0,NA(),IF($F663="",NA(),IF(F$8="",NA(),IF(N(F$8)=0,NA(),IF(Inputs!$C$17="Rebased to 100",$F663/F$8*100,$F663)))))</f>
        <v/>
      </c>
      <c r="M663" s="54">
        <f>IF($B663=0,NA(),IF($G663="",NA(),IF(G$8="",NA(),IF(N(G$8)=0,NA(),IF(Inputs!$C$17="Rebased to 100",$G663/G$8*100,$G663)))))</f>
        <v/>
      </c>
      <c r="N663" s="54">
        <f>IF($B663=0,NA(),IF(Inputs!$C$18&lt;&gt;"Yes",NA(),IF(COUNT(I663,J663,K663,L663,M663)=0,NA(),MIN(I663,J663,K663,L663,M663))))</f>
        <v/>
      </c>
      <c r="O663" s="54">
        <f>IF($B663=0,NA(),IF(Inputs!$B$24&lt;&gt;"Yes",NA(),Inputs!$D$24*Inputs!$C$35))</f>
        <v/>
      </c>
      <c r="P663" s="54">
        <f>IF($B663=0,NA(),IF(Inputs!$B$25&lt;&gt;"Yes",NA(),Inputs!$D$25*Inputs!$C$35))</f>
        <v/>
      </c>
      <c r="Q663" s="54">
        <f>IF($B663=0,NA(),IF(Inputs!$B$26&lt;&gt;"Yes",NA(),Inputs!$D$26*Inputs!$C$35))</f>
        <v/>
      </c>
      <c r="R663" s="54">
        <f>IF($B663=0,NA(),IF(Inputs!$B$27&lt;&gt;"Yes",NA(),Inputs!$D$27*Inputs!$C$35))</f>
        <v/>
      </c>
      <c r="S663" s="54">
        <f>IF($B663=0,NA(),IF(Inputs!$B$28&lt;&gt;"Yes",NA(),Inputs!$D$28*Inputs!$C$35))</f>
        <v/>
      </c>
      <c r="T663" s="54">
        <f>IF($B663=0,NA(),IF(Inputs!$B$29&lt;&gt;"Yes",NA(),Inputs!$D$29*Inputs!$C$35))</f>
        <v/>
      </c>
      <c r="AD663">
        <f>IF($B663=0,0,IF(Inputs!$B$6="",0,COUNTIFS(Data!$A$10:$A$3209,"&gt;="&amp;$A663,Data!$A$10:$A$3209,"&lt;"&amp;$A663+1)))</f>
        <v/>
      </c>
      <c r="AE663">
        <f>IF($B663=0,0,IF(Inputs!$B$7="",0,COUNTIFS(Data!$E$10:$E$3209,"&gt;="&amp;$A663,Data!$E$10:$E$3209,"&lt;"&amp;$A663+1)))</f>
        <v/>
      </c>
      <c r="AF663">
        <f>IF($B663=0,0,IF(Inputs!$B$8="",0,COUNTIFS(Data!$I$10:$I$3209,"&gt;="&amp;$A663,Data!$I$10:$I$3209,"&lt;"&amp;$A663+1)))</f>
        <v/>
      </c>
      <c r="AG663">
        <f>IF($B663=0,0,IF(Inputs!$B$9="",0,COUNTIFS(Data!$M$10:$M$3209,"&gt;="&amp;$A663,Data!$M$10:$M$3209,"&lt;"&amp;$A663+1)))</f>
        <v/>
      </c>
      <c r="AH663">
        <f>IF($B663=0,0,IF(Inputs!$B$10="",0,COUNTIFS(Data!$Q$10:$Q$3209,"&gt;="&amp;$A663,Data!$Q$10:$Q$3209,"&lt;"&amp;$A663+1)))</f>
        <v/>
      </c>
    </row>
    <row r="664">
      <c r="A664" s="55">
        <f>MIN(Inputs!$C$15,$A663+IF(WEEKDAY($A663,2)=5,3,1))</f>
        <v/>
      </c>
      <c r="B664">
        <f>IF($A664&gt;$A663,1,0)</f>
        <v/>
      </c>
      <c r="C664" s="56">
        <f>IF($B664=0,"",IF(Inputs!$B$6="","",IF($AD664=0,C663,SUMIFS(Data!$B$10:$B$3209,Data!$A$10:$A$3209,"&gt;="&amp;$A664,Data!$A$10:$A$3209,"&lt;"&amp;$A664+1)/$AD664)))</f>
        <v/>
      </c>
      <c r="D664" s="56">
        <f>IF($B664=0,"",IF(Inputs!$B$7="","",IF($AE664=0,D663,SUMIFS(Data!$F$10:$F$3209,Data!$E$10:$E$3209,"&gt;="&amp;$A664,Data!$E$10:$E$3209,"&lt;"&amp;$A664+1)/$AE664)))</f>
        <v/>
      </c>
      <c r="E664" s="56">
        <f>IF($B664=0,"",IF(Inputs!$B$8="","",IF($AF664=0,E663,SUMIFS(Data!$J$10:$J$3209,Data!$I$10:$I$3209,"&gt;="&amp;$A664,Data!$I$10:$I$3209,"&lt;"&amp;$A664+1)/$AF664)))</f>
        <v/>
      </c>
      <c r="F664" s="56">
        <f>IF($B664=0,"",IF(Inputs!$B$9="","",IF($AG664=0,F663,SUMIFS(Data!$N$10:$N$3209,Data!$M$10:$M$3209,"&gt;="&amp;$A664,Data!$M$10:$M$3209,"&lt;"&amp;$A664+1)/$AG664)))</f>
        <v/>
      </c>
      <c r="G664" s="56">
        <f>IF($B664=0,"",IF(Inputs!$B$10="","",IF($AH664=0,G663,SUMIFS(Data!$R$10:$R$3209,Data!$Q$10:$Q$3209,"&gt;="&amp;$A664,Data!$Q$10:$Q$3209,"&lt;"&amp;$A664+1)/$AH664)))</f>
        <v/>
      </c>
      <c r="I664" s="54">
        <f>IF($B664=0,NA(),IF($C664="",NA(),IF(C$8="",NA(),IF(N(C$8)=0,NA(),IF(Inputs!$C$17="Rebased to 100",$C664/C$8*100,$C664)))))</f>
        <v/>
      </c>
      <c r="J664" s="54">
        <f>IF($B664=0,NA(),IF($D664="",NA(),IF(D$8="",NA(),IF(N(D$8)=0,NA(),IF(Inputs!$C$17="Rebased to 100",$D664/D$8*100,$D664)))))</f>
        <v/>
      </c>
      <c r="K664" s="54">
        <f>IF($B664=0,NA(),IF($E664="",NA(),IF(E$8="",NA(),IF(N(E$8)=0,NA(),IF(Inputs!$C$17="Rebased to 100",$E664/E$8*100,$E664)))))</f>
        <v/>
      </c>
      <c r="L664" s="54">
        <f>IF($B664=0,NA(),IF($F664="",NA(),IF(F$8="",NA(),IF(N(F$8)=0,NA(),IF(Inputs!$C$17="Rebased to 100",$F664/F$8*100,$F664)))))</f>
        <v/>
      </c>
      <c r="M664" s="54">
        <f>IF($B664=0,NA(),IF($G664="",NA(),IF(G$8="",NA(),IF(N(G$8)=0,NA(),IF(Inputs!$C$17="Rebased to 100",$G664/G$8*100,$G664)))))</f>
        <v/>
      </c>
      <c r="N664" s="54">
        <f>IF($B664=0,NA(),IF(Inputs!$C$18&lt;&gt;"Yes",NA(),IF(COUNT(I664,J664,K664,L664,M664)=0,NA(),MIN(I664,J664,K664,L664,M664))))</f>
        <v/>
      </c>
      <c r="O664" s="54">
        <f>IF($B664=0,NA(),IF(Inputs!$B$24&lt;&gt;"Yes",NA(),Inputs!$D$24*Inputs!$C$35))</f>
        <v/>
      </c>
      <c r="P664" s="54">
        <f>IF($B664=0,NA(),IF(Inputs!$B$25&lt;&gt;"Yes",NA(),Inputs!$D$25*Inputs!$C$35))</f>
        <v/>
      </c>
      <c r="Q664" s="54">
        <f>IF($B664=0,NA(),IF(Inputs!$B$26&lt;&gt;"Yes",NA(),Inputs!$D$26*Inputs!$C$35))</f>
        <v/>
      </c>
      <c r="R664" s="54">
        <f>IF($B664=0,NA(),IF(Inputs!$B$27&lt;&gt;"Yes",NA(),Inputs!$D$27*Inputs!$C$35))</f>
        <v/>
      </c>
      <c r="S664" s="54">
        <f>IF($B664=0,NA(),IF(Inputs!$B$28&lt;&gt;"Yes",NA(),Inputs!$D$28*Inputs!$C$35))</f>
        <v/>
      </c>
      <c r="T664" s="54">
        <f>IF($B664=0,NA(),IF(Inputs!$B$29&lt;&gt;"Yes",NA(),Inputs!$D$29*Inputs!$C$35))</f>
        <v/>
      </c>
      <c r="AD664">
        <f>IF($B664=0,0,IF(Inputs!$B$6="",0,COUNTIFS(Data!$A$10:$A$3209,"&gt;="&amp;$A664,Data!$A$10:$A$3209,"&lt;"&amp;$A664+1)))</f>
        <v/>
      </c>
      <c r="AE664">
        <f>IF($B664=0,0,IF(Inputs!$B$7="",0,COUNTIFS(Data!$E$10:$E$3209,"&gt;="&amp;$A664,Data!$E$10:$E$3209,"&lt;"&amp;$A664+1)))</f>
        <v/>
      </c>
      <c r="AF664">
        <f>IF($B664=0,0,IF(Inputs!$B$8="",0,COUNTIFS(Data!$I$10:$I$3209,"&gt;="&amp;$A664,Data!$I$10:$I$3209,"&lt;"&amp;$A664+1)))</f>
        <v/>
      </c>
      <c r="AG664">
        <f>IF($B664=0,0,IF(Inputs!$B$9="",0,COUNTIFS(Data!$M$10:$M$3209,"&gt;="&amp;$A664,Data!$M$10:$M$3209,"&lt;"&amp;$A664+1)))</f>
        <v/>
      </c>
      <c r="AH664">
        <f>IF($B664=0,0,IF(Inputs!$B$10="",0,COUNTIFS(Data!$Q$10:$Q$3209,"&gt;="&amp;$A664,Data!$Q$10:$Q$3209,"&lt;"&amp;$A664+1)))</f>
        <v/>
      </c>
    </row>
    <row r="665">
      <c r="A665" s="55">
        <f>MIN(Inputs!$C$15,$A664+IF(WEEKDAY($A664,2)=5,3,1))</f>
        <v/>
      </c>
      <c r="B665">
        <f>IF($A665&gt;$A664,1,0)</f>
        <v/>
      </c>
      <c r="C665" s="56">
        <f>IF($B665=0,"",IF(Inputs!$B$6="","",IF($AD665=0,C664,SUMIFS(Data!$B$10:$B$3209,Data!$A$10:$A$3209,"&gt;="&amp;$A665,Data!$A$10:$A$3209,"&lt;"&amp;$A665+1)/$AD665)))</f>
        <v/>
      </c>
      <c r="D665" s="56">
        <f>IF($B665=0,"",IF(Inputs!$B$7="","",IF($AE665=0,D664,SUMIFS(Data!$F$10:$F$3209,Data!$E$10:$E$3209,"&gt;="&amp;$A665,Data!$E$10:$E$3209,"&lt;"&amp;$A665+1)/$AE665)))</f>
        <v/>
      </c>
      <c r="E665" s="56">
        <f>IF($B665=0,"",IF(Inputs!$B$8="","",IF($AF665=0,E664,SUMIFS(Data!$J$10:$J$3209,Data!$I$10:$I$3209,"&gt;="&amp;$A665,Data!$I$10:$I$3209,"&lt;"&amp;$A665+1)/$AF665)))</f>
        <v/>
      </c>
      <c r="F665" s="56">
        <f>IF($B665=0,"",IF(Inputs!$B$9="","",IF($AG665=0,F664,SUMIFS(Data!$N$10:$N$3209,Data!$M$10:$M$3209,"&gt;="&amp;$A665,Data!$M$10:$M$3209,"&lt;"&amp;$A665+1)/$AG665)))</f>
        <v/>
      </c>
      <c r="G665" s="56">
        <f>IF($B665=0,"",IF(Inputs!$B$10="","",IF($AH665=0,G664,SUMIFS(Data!$R$10:$R$3209,Data!$Q$10:$Q$3209,"&gt;="&amp;$A665,Data!$Q$10:$Q$3209,"&lt;"&amp;$A665+1)/$AH665)))</f>
        <v/>
      </c>
      <c r="I665" s="54">
        <f>IF($B665=0,NA(),IF($C665="",NA(),IF(C$8="",NA(),IF(N(C$8)=0,NA(),IF(Inputs!$C$17="Rebased to 100",$C665/C$8*100,$C665)))))</f>
        <v/>
      </c>
      <c r="J665" s="54">
        <f>IF($B665=0,NA(),IF($D665="",NA(),IF(D$8="",NA(),IF(N(D$8)=0,NA(),IF(Inputs!$C$17="Rebased to 100",$D665/D$8*100,$D665)))))</f>
        <v/>
      </c>
      <c r="K665" s="54">
        <f>IF($B665=0,NA(),IF($E665="",NA(),IF(E$8="",NA(),IF(N(E$8)=0,NA(),IF(Inputs!$C$17="Rebased to 100",$E665/E$8*100,$E665)))))</f>
        <v/>
      </c>
      <c r="L665" s="54">
        <f>IF($B665=0,NA(),IF($F665="",NA(),IF(F$8="",NA(),IF(N(F$8)=0,NA(),IF(Inputs!$C$17="Rebased to 100",$F665/F$8*100,$F665)))))</f>
        <v/>
      </c>
      <c r="M665" s="54">
        <f>IF($B665=0,NA(),IF($G665="",NA(),IF(G$8="",NA(),IF(N(G$8)=0,NA(),IF(Inputs!$C$17="Rebased to 100",$G665/G$8*100,$G665)))))</f>
        <v/>
      </c>
      <c r="N665" s="54">
        <f>IF($B665=0,NA(),IF(Inputs!$C$18&lt;&gt;"Yes",NA(),IF(COUNT(I665,J665,K665,L665,M665)=0,NA(),MIN(I665,J665,K665,L665,M665))))</f>
        <v/>
      </c>
      <c r="O665" s="54">
        <f>IF($B665=0,NA(),IF(Inputs!$B$24&lt;&gt;"Yes",NA(),Inputs!$D$24*Inputs!$C$35))</f>
        <v/>
      </c>
      <c r="P665" s="54">
        <f>IF($B665=0,NA(),IF(Inputs!$B$25&lt;&gt;"Yes",NA(),Inputs!$D$25*Inputs!$C$35))</f>
        <v/>
      </c>
      <c r="Q665" s="54">
        <f>IF($B665=0,NA(),IF(Inputs!$B$26&lt;&gt;"Yes",NA(),Inputs!$D$26*Inputs!$C$35))</f>
        <v/>
      </c>
      <c r="R665" s="54">
        <f>IF($B665=0,NA(),IF(Inputs!$B$27&lt;&gt;"Yes",NA(),Inputs!$D$27*Inputs!$C$35))</f>
        <v/>
      </c>
      <c r="S665" s="54">
        <f>IF($B665=0,NA(),IF(Inputs!$B$28&lt;&gt;"Yes",NA(),Inputs!$D$28*Inputs!$C$35))</f>
        <v/>
      </c>
      <c r="T665" s="54">
        <f>IF($B665=0,NA(),IF(Inputs!$B$29&lt;&gt;"Yes",NA(),Inputs!$D$29*Inputs!$C$35))</f>
        <v/>
      </c>
      <c r="AD665">
        <f>IF($B665=0,0,IF(Inputs!$B$6="",0,COUNTIFS(Data!$A$10:$A$3209,"&gt;="&amp;$A665,Data!$A$10:$A$3209,"&lt;"&amp;$A665+1)))</f>
        <v/>
      </c>
      <c r="AE665">
        <f>IF($B665=0,0,IF(Inputs!$B$7="",0,COUNTIFS(Data!$E$10:$E$3209,"&gt;="&amp;$A665,Data!$E$10:$E$3209,"&lt;"&amp;$A665+1)))</f>
        <v/>
      </c>
      <c r="AF665">
        <f>IF($B665=0,0,IF(Inputs!$B$8="",0,COUNTIFS(Data!$I$10:$I$3209,"&gt;="&amp;$A665,Data!$I$10:$I$3209,"&lt;"&amp;$A665+1)))</f>
        <v/>
      </c>
      <c r="AG665">
        <f>IF($B665=0,0,IF(Inputs!$B$9="",0,COUNTIFS(Data!$M$10:$M$3209,"&gt;="&amp;$A665,Data!$M$10:$M$3209,"&lt;"&amp;$A665+1)))</f>
        <v/>
      </c>
      <c r="AH665">
        <f>IF($B665=0,0,IF(Inputs!$B$10="",0,COUNTIFS(Data!$Q$10:$Q$3209,"&gt;="&amp;$A665,Data!$Q$10:$Q$3209,"&lt;"&amp;$A665+1)))</f>
        <v/>
      </c>
    </row>
    <row r="666">
      <c r="A666" s="55">
        <f>MIN(Inputs!$C$15,$A665+IF(WEEKDAY($A665,2)=5,3,1))</f>
        <v/>
      </c>
      <c r="B666">
        <f>IF($A666&gt;$A665,1,0)</f>
        <v/>
      </c>
      <c r="C666" s="56">
        <f>IF($B666=0,"",IF(Inputs!$B$6="","",IF($AD666=0,C665,SUMIFS(Data!$B$10:$B$3209,Data!$A$10:$A$3209,"&gt;="&amp;$A666,Data!$A$10:$A$3209,"&lt;"&amp;$A666+1)/$AD666)))</f>
        <v/>
      </c>
      <c r="D666" s="56">
        <f>IF($B666=0,"",IF(Inputs!$B$7="","",IF($AE666=0,D665,SUMIFS(Data!$F$10:$F$3209,Data!$E$10:$E$3209,"&gt;="&amp;$A666,Data!$E$10:$E$3209,"&lt;"&amp;$A666+1)/$AE666)))</f>
        <v/>
      </c>
      <c r="E666" s="56">
        <f>IF($B666=0,"",IF(Inputs!$B$8="","",IF($AF666=0,E665,SUMIFS(Data!$J$10:$J$3209,Data!$I$10:$I$3209,"&gt;="&amp;$A666,Data!$I$10:$I$3209,"&lt;"&amp;$A666+1)/$AF666)))</f>
        <v/>
      </c>
      <c r="F666" s="56">
        <f>IF($B666=0,"",IF(Inputs!$B$9="","",IF($AG666=0,F665,SUMIFS(Data!$N$10:$N$3209,Data!$M$10:$M$3209,"&gt;="&amp;$A666,Data!$M$10:$M$3209,"&lt;"&amp;$A666+1)/$AG666)))</f>
        <v/>
      </c>
      <c r="G666" s="56">
        <f>IF($B666=0,"",IF(Inputs!$B$10="","",IF($AH666=0,G665,SUMIFS(Data!$R$10:$R$3209,Data!$Q$10:$Q$3209,"&gt;="&amp;$A666,Data!$Q$10:$Q$3209,"&lt;"&amp;$A666+1)/$AH666)))</f>
        <v/>
      </c>
      <c r="I666" s="54">
        <f>IF($B666=0,NA(),IF($C666="",NA(),IF(C$8="",NA(),IF(N(C$8)=0,NA(),IF(Inputs!$C$17="Rebased to 100",$C666/C$8*100,$C666)))))</f>
        <v/>
      </c>
      <c r="J666" s="54">
        <f>IF($B666=0,NA(),IF($D666="",NA(),IF(D$8="",NA(),IF(N(D$8)=0,NA(),IF(Inputs!$C$17="Rebased to 100",$D666/D$8*100,$D666)))))</f>
        <v/>
      </c>
      <c r="K666" s="54">
        <f>IF($B666=0,NA(),IF($E666="",NA(),IF(E$8="",NA(),IF(N(E$8)=0,NA(),IF(Inputs!$C$17="Rebased to 100",$E666/E$8*100,$E666)))))</f>
        <v/>
      </c>
      <c r="L666" s="54">
        <f>IF($B666=0,NA(),IF($F666="",NA(),IF(F$8="",NA(),IF(N(F$8)=0,NA(),IF(Inputs!$C$17="Rebased to 100",$F666/F$8*100,$F666)))))</f>
        <v/>
      </c>
      <c r="M666" s="54">
        <f>IF($B666=0,NA(),IF($G666="",NA(),IF(G$8="",NA(),IF(N(G$8)=0,NA(),IF(Inputs!$C$17="Rebased to 100",$G666/G$8*100,$G666)))))</f>
        <v/>
      </c>
      <c r="N666" s="54">
        <f>IF($B666=0,NA(),IF(Inputs!$C$18&lt;&gt;"Yes",NA(),IF(COUNT(I666,J666,K666,L666,M666)=0,NA(),MIN(I666,J666,K666,L666,M666))))</f>
        <v/>
      </c>
      <c r="O666" s="54">
        <f>IF($B666=0,NA(),IF(Inputs!$B$24&lt;&gt;"Yes",NA(),Inputs!$D$24*Inputs!$C$35))</f>
        <v/>
      </c>
      <c r="P666" s="54">
        <f>IF($B666=0,NA(),IF(Inputs!$B$25&lt;&gt;"Yes",NA(),Inputs!$D$25*Inputs!$C$35))</f>
        <v/>
      </c>
      <c r="Q666" s="54">
        <f>IF($B666=0,NA(),IF(Inputs!$B$26&lt;&gt;"Yes",NA(),Inputs!$D$26*Inputs!$C$35))</f>
        <v/>
      </c>
      <c r="R666" s="54">
        <f>IF($B666=0,NA(),IF(Inputs!$B$27&lt;&gt;"Yes",NA(),Inputs!$D$27*Inputs!$C$35))</f>
        <v/>
      </c>
      <c r="S666" s="54">
        <f>IF($B666=0,NA(),IF(Inputs!$B$28&lt;&gt;"Yes",NA(),Inputs!$D$28*Inputs!$C$35))</f>
        <v/>
      </c>
      <c r="T666" s="54">
        <f>IF($B666=0,NA(),IF(Inputs!$B$29&lt;&gt;"Yes",NA(),Inputs!$D$29*Inputs!$C$35))</f>
        <v/>
      </c>
      <c r="AD666">
        <f>IF($B666=0,0,IF(Inputs!$B$6="",0,COUNTIFS(Data!$A$10:$A$3209,"&gt;="&amp;$A666,Data!$A$10:$A$3209,"&lt;"&amp;$A666+1)))</f>
        <v/>
      </c>
      <c r="AE666">
        <f>IF($B666=0,0,IF(Inputs!$B$7="",0,COUNTIFS(Data!$E$10:$E$3209,"&gt;="&amp;$A666,Data!$E$10:$E$3209,"&lt;"&amp;$A666+1)))</f>
        <v/>
      </c>
      <c r="AF666">
        <f>IF($B666=0,0,IF(Inputs!$B$8="",0,COUNTIFS(Data!$I$10:$I$3209,"&gt;="&amp;$A666,Data!$I$10:$I$3209,"&lt;"&amp;$A666+1)))</f>
        <v/>
      </c>
      <c r="AG666">
        <f>IF($B666=0,0,IF(Inputs!$B$9="",0,COUNTIFS(Data!$M$10:$M$3209,"&gt;="&amp;$A666,Data!$M$10:$M$3209,"&lt;"&amp;$A666+1)))</f>
        <v/>
      </c>
      <c r="AH666">
        <f>IF($B666=0,0,IF(Inputs!$B$10="",0,COUNTIFS(Data!$Q$10:$Q$3209,"&gt;="&amp;$A666,Data!$Q$10:$Q$3209,"&lt;"&amp;$A666+1)))</f>
        <v/>
      </c>
    </row>
    <row r="667">
      <c r="A667" s="55">
        <f>MIN(Inputs!$C$15,$A666+IF(WEEKDAY($A666,2)=5,3,1))</f>
        <v/>
      </c>
      <c r="B667">
        <f>IF($A667&gt;$A666,1,0)</f>
        <v/>
      </c>
      <c r="C667" s="56">
        <f>IF($B667=0,"",IF(Inputs!$B$6="","",IF($AD667=0,C666,SUMIFS(Data!$B$10:$B$3209,Data!$A$10:$A$3209,"&gt;="&amp;$A667,Data!$A$10:$A$3209,"&lt;"&amp;$A667+1)/$AD667)))</f>
        <v/>
      </c>
      <c r="D667" s="56">
        <f>IF($B667=0,"",IF(Inputs!$B$7="","",IF($AE667=0,D666,SUMIFS(Data!$F$10:$F$3209,Data!$E$10:$E$3209,"&gt;="&amp;$A667,Data!$E$10:$E$3209,"&lt;"&amp;$A667+1)/$AE667)))</f>
        <v/>
      </c>
      <c r="E667" s="56">
        <f>IF($B667=0,"",IF(Inputs!$B$8="","",IF($AF667=0,E666,SUMIFS(Data!$J$10:$J$3209,Data!$I$10:$I$3209,"&gt;="&amp;$A667,Data!$I$10:$I$3209,"&lt;"&amp;$A667+1)/$AF667)))</f>
        <v/>
      </c>
      <c r="F667" s="56">
        <f>IF($B667=0,"",IF(Inputs!$B$9="","",IF($AG667=0,F666,SUMIFS(Data!$N$10:$N$3209,Data!$M$10:$M$3209,"&gt;="&amp;$A667,Data!$M$10:$M$3209,"&lt;"&amp;$A667+1)/$AG667)))</f>
        <v/>
      </c>
      <c r="G667" s="56">
        <f>IF($B667=0,"",IF(Inputs!$B$10="","",IF($AH667=0,G666,SUMIFS(Data!$R$10:$R$3209,Data!$Q$10:$Q$3209,"&gt;="&amp;$A667,Data!$Q$10:$Q$3209,"&lt;"&amp;$A667+1)/$AH667)))</f>
        <v/>
      </c>
      <c r="I667" s="54">
        <f>IF($B667=0,NA(),IF($C667="",NA(),IF(C$8="",NA(),IF(N(C$8)=0,NA(),IF(Inputs!$C$17="Rebased to 100",$C667/C$8*100,$C667)))))</f>
        <v/>
      </c>
      <c r="J667" s="54">
        <f>IF($B667=0,NA(),IF($D667="",NA(),IF(D$8="",NA(),IF(N(D$8)=0,NA(),IF(Inputs!$C$17="Rebased to 100",$D667/D$8*100,$D667)))))</f>
        <v/>
      </c>
      <c r="K667" s="54">
        <f>IF($B667=0,NA(),IF($E667="",NA(),IF(E$8="",NA(),IF(N(E$8)=0,NA(),IF(Inputs!$C$17="Rebased to 100",$E667/E$8*100,$E667)))))</f>
        <v/>
      </c>
      <c r="L667" s="54">
        <f>IF($B667=0,NA(),IF($F667="",NA(),IF(F$8="",NA(),IF(N(F$8)=0,NA(),IF(Inputs!$C$17="Rebased to 100",$F667/F$8*100,$F667)))))</f>
        <v/>
      </c>
      <c r="M667" s="54">
        <f>IF($B667=0,NA(),IF($G667="",NA(),IF(G$8="",NA(),IF(N(G$8)=0,NA(),IF(Inputs!$C$17="Rebased to 100",$G667/G$8*100,$G667)))))</f>
        <v/>
      </c>
      <c r="N667" s="54">
        <f>IF($B667=0,NA(),IF(Inputs!$C$18&lt;&gt;"Yes",NA(),IF(COUNT(I667,J667,K667,L667,M667)=0,NA(),MIN(I667,J667,K667,L667,M667))))</f>
        <v/>
      </c>
      <c r="O667" s="54">
        <f>IF($B667=0,NA(),IF(Inputs!$B$24&lt;&gt;"Yes",NA(),Inputs!$D$24*Inputs!$C$35))</f>
        <v/>
      </c>
      <c r="P667" s="54">
        <f>IF($B667=0,NA(),IF(Inputs!$B$25&lt;&gt;"Yes",NA(),Inputs!$D$25*Inputs!$C$35))</f>
        <v/>
      </c>
      <c r="Q667" s="54">
        <f>IF($B667=0,NA(),IF(Inputs!$B$26&lt;&gt;"Yes",NA(),Inputs!$D$26*Inputs!$C$35))</f>
        <v/>
      </c>
      <c r="R667" s="54">
        <f>IF($B667=0,NA(),IF(Inputs!$B$27&lt;&gt;"Yes",NA(),Inputs!$D$27*Inputs!$C$35))</f>
        <v/>
      </c>
      <c r="S667" s="54">
        <f>IF($B667=0,NA(),IF(Inputs!$B$28&lt;&gt;"Yes",NA(),Inputs!$D$28*Inputs!$C$35))</f>
        <v/>
      </c>
      <c r="T667" s="54">
        <f>IF($B667=0,NA(),IF(Inputs!$B$29&lt;&gt;"Yes",NA(),Inputs!$D$29*Inputs!$C$35))</f>
        <v/>
      </c>
      <c r="AD667">
        <f>IF($B667=0,0,IF(Inputs!$B$6="",0,COUNTIFS(Data!$A$10:$A$3209,"&gt;="&amp;$A667,Data!$A$10:$A$3209,"&lt;"&amp;$A667+1)))</f>
        <v/>
      </c>
      <c r="AE667">
        <f>IF($B667=0,0,IF(Inputs!$B$7="",0,COUNTIFS(Data!$E$10:$E$3209,"&gt;="&amp;$A667,Data!$E$10:$E$3209,"&lt;"&amp;$A667+1)))</f>
        <v/>
      </c>
      <c r="AF667">
        <f>IF($B667=0,0,IF(Inputs!$B$8="",0,COUNTIFS(Data!$I$10:$I$3209,"&gt;="&amp;$A667,Data!$I$10:$I$3209,"&lt;"&amp;$A667+1)))</f>
        <v/>
      </c>
      <c r="AG667">
        <f>IF($B667=0,0,IF(Inputs!$B$9="",0,COUNTIFS(Data!$M$10:$M$3209,"&gt;="&amp;$A667,Data!$M$10:$M$3209,"&lt;"&amp;$A667+1)))</f>
        <v/>
      </c>
      <c r="AH667">
        <f>IF($B667=0,0,IF(Inputs!$B$10="",0,COUNTIFS(Data!$Q$10:$Q$3209,"&gt;="&amp;$A667,Data!$Q$10:$Q$3209,"&lt;"&amp;$A667+1)))</f>
        <v/>
      </c>
    </row>
    <row r="668">
      <c r="A668" s="55">
        <f>MIN(Inputs!$C$15,$A667+IF(WEEKDAY($A667,2)=5,3,1))</f>
        <v/>
      </c>
      <c r="B668">
        <f>IF($A668&gt;$A667,1,0)</f>
        <v/>
      </c>
      <c r="C668" s="56">
        <f>IF($B668=0,"",IF(Inputs!$B$6="","",IF($AD668=0,C667,SUMIFS(Data!$B$10:$B$3209,Data!$A$10:$A$3209,"&gt;="&amp;$A668,Data!$A$10:$A$3209,"&lt;"&amp;$A668+1)/$AD668)))</f>
        <v/>
      </c>
      <c r="D668" s="56">
        <f>IF($B668=0,"",IF(Inputs!$B$7="","",IF($AE668=0,D667,SUMIFS(Data!$F$10:$F$3209,Data!$E$10:$E$3209,"&gt;="&amp;$A668,Data!$E$10:$E$3209,"&lt;"&amp;$A668+1)/$AE668)))</f>
        <v/>
      </c>
      <c r="E668" s="56">
        <f>IF($B668=0,"",IF(Inputs!$B$8="","",IF($AF668=0,E667,SUMIFS(Data!$J$10:$J$3209,Data!$I$10:$I$3209,"&gt;="&amp;$A668,Data!$I$10:$I$3209,"&lt;"&amp;$A668+1)/$AF668)))</f>
        <v/>
      </c>
      <c r="F668" s="56">
        <f>IF($B668=0,"",IF(Inputs!$B$9="","",IF($AG668=0,F667,SUMIFS(Data!$N$10:$N$3209,Data!$M$10:$M$3209,"&gt;="&amp;$A668,Data!$M$10:$M$3209,"&lt;"&amp;$A668+1)/$AG668)))</f>
        <v/>
      </c>
      <c r="G668" s="56">
        <f>IF($B668=0,"",IF(Inputs!$B$10="","",IF($AH668=0,G667,SUMIFS(Data!$R$10:$R$3209,Data!$Q$10:$Q$3209,"&gt;="&amp;$A668,Data!$Q$10:$Q$3209,"&lt;"&amp;$A668+1)/$AH668)))</f>
        <v/>
      </c>
      <c r="I668" s="54">
        <f>IF($B668=0,NA(),IF($C668="",NA(),IF(C$8="",NA(),IF(N(C$8)=0,NA(),IF(Inputs!$C$17="Rebased to 100",$C668/C$8*100,$C668)))))</f>
        <v/>
      </c>
      <c r="J668" s="54">
        <f>IF($B668=0,NA(),IF($D668="",NA(),IF(D$8="",NA(),IF(N(D$8)=0,NA(),IF(Inputs!$C$17="Rebased to 100",$D668/D$8*100,$D668)))))</f>
        <v/>
      </c>
      <c r="K668" s="54">
        <f>IF($B668=0,NA(),IF($E668="",NA(),IF(E$8="",NA(),IF(N(E$8)=0,NA(),IF(Inputs!$C$17="Rebased to 100",$E668/E$8*100,$E668)))))</f>
        <v/>
      </c>
      <c r="L668" s="54">
        <f>IF($B668=0,NA(),IF($F668="",NA(),IF(F$8="",NA(),IF(N(F$8)=0,NA(),IF(Inputs!$C$17="Rebased to 100",$F668/F$8*100,$F668)))))</f>
        <v/>
      </c>
      <c r="M668" s="54">
        <f>IF($B668=0,NA(),IF($G668="",NA(),IF(G$8="",NA(),IF(N(G$8)=0,NA(),IF(Inputs!$C$17="Rebased to 100",$G668/G$8*100,$G668)))))</f>
        <v/>
      </c>
      <c r="N668" s="54">
        <f>IF($B668=0,NA(),IF(Inputs!$C$18&lt;&gt;"Yes",NA(),IF(COUNT(I668,J668,K668,L668,M668)=0,NA(),MIN(I668,J668,K668,L668,M668))))</f>
        <v/>
      </c>
      <c r="O668" s="54">
        <f>IF($B668=0,NA(),IF(Inputs!$B$24&lt;&gt;"Yes",NA(),Inputs!$D$24*Inputs!$C$35))</f>
        <v/>
      </c>
      <c r="P668" s="54">
        <f>IF($B668=0,NA(),IF(Inputs!$B$25&lt;&gt;"Yes",NA(),Inputs!$D$25*Inputs!$C$35))</f>
        <v/>
      </c>
      <c r="Q668" s="54">
        <f>IF($B668=0,NA(),IF(Inputs!$B$26&lt;&gt;"Yes",NA(),Inputs!$D$26*Inputs!$C$35))</f>
        <v/>
      </c>
      <c r="R668" s="54">
        <f>IF($B668=0,NA(),IF(Inputs!$B$27&lt;&gt;"Yes",NA(),Inputs!$D$27*Inputs!$C$35))</f>
        <v/>
      </c>
      <c r="S668" s="54">
        <f>IF($B668=0,NA(),IF(Inputs!$B$28&lt;&gt;"Yes",NA(),Inputs!$D$28*Inputs!$C$35))</f>
        <v/>
      </c>
      <c r="T668" s="54">
        <f>IF($B668=0,NA(),IF(Inputs!$B$29&lt;&gt;"Yes",NA(),Inputs!$D$29*Inputs!$C$35))</f>
        <v/>
      </c>
      <c r="AD668">
        <f>IF($B668=0,0,IF(Inputs!$B$6="",0,COUNTIFS(Data!$A$10:$A$3209,"&gt;="&amp;$A668,Data!$A$10:$A$3209,"&lt;"&amp;$A668+1)))</f>
        <v/>
      </c>
      <c r="AE668">
        <f>IF($B668=0,0,IF(Inputs!$B$7="",0,COUNTIFS(Data!$E$10:$E$3209,"&gt;="&amp;$A668,Data!$E$10:$E$3209,"&lt;"&amp;$A668+1)))</f>
        <v/>
      </c>
      <c r="AF668">
        <f>IF($B668=0,0,IF(Inputs!$B$8="",0,COUNTIFS(Data!$I$10:$I$3209,"&gt;="&amp;$A668,Data!$I$10:$I$3209,"&lt;"&amp;$A668+1)))</f>
        <v/>
      </c>
      <c r="AG668">
        <f>IF($B668=0,0,IF(Inputs!$B$9="",0,COUNTIFS(Data!$M$10:$M$3209,"&gt;="&amp;$A668,Data!$M$10:$M$3209,"&lt;"&amp;$A668+1)))</f>
        <v/>
      </c>
      <c r="AH668">
        <f>IF($B668=0,0,IF(Inputs!$B$10="",0,COUNTIFS(Data!$Q$10:$Q$3209,"&gt;="&amp;$A668,Data!$Q$10:$Q$3209,"&lt;"&amp;$A668+1)))</f>
        <v/>
      </c>
    </row>
    <row r="669">
      <c r="A669" s="55">
        <f>MIN(Inputs!$C$15,$A668+IF(WEEKDAY($A668,2)=5,3,1))</f>
        <v/>
      </c>
      <c r="B669">
        <f>IF($A669&gt;$A668,1,0)</f>
        <v/>
      </c>
      <c r="C669" s="56">
        <f>IF($B669=0,"",IF(Inputs!$B$6="","",IF($AD669=0,C668,SUMIFS(Data!$B$10:$B$3209,Data!$A$10:$A$3209,"&gt;="&amp;$A669,Data!$A$10:$A$3209,"&lt;"&amp;$A669+1)/$AD669)))</f>
        <v/>
      </c>
      <c r="D669" s="56">
        <f>IF($B669=0,"",IF(Inputs!$B$7="","",IF($AE669=0,D668,SUMIFS(Data!$F$10:$F$3209,Data!$E$10:$E$3209,"&gt;="&amp;$A669,Data!$E$10:$E$3209,"&lt;"&amp;$A669+1)/$AE669)))</f>
        <v/>
      </c>
      <c r="E669" s="56">
        <f>IF($B669=0,"",IF(Inputs!$B$8="","",IF($AF669=0,E668,SUMIFS(Data!$J$10:$J$3209,Data!$I$10:$I$3209,"&gt;="&amp;$A669,Data!$I$10:$I$3209,"&lt;"&amp;$A669+1)/$AF669)))</f>
        <v/>
      </c>
      <c r="F669" s="56">
        <f>IF($B669=0,"",IF(Inputs!$B$9="","",IF($AG669=0,F668,SUMIFS(Data!$N$10:$N$3209,Data!$M$10:$M$3209,"&gt;="&amp;$A669,Data!$M$10:$M$3209,"&lt;"&amp;$A669+1)/$AG669)))</f>
        <v/>
      </c>
      <c r="G669" s="56">
        <f>IF($B669=0,"",IF(Inputs!$B$10="","",IF($AH669=0,G668,SUMIFS(Data!$R$10:$R$3209,Data!$Q$10:$Q$3209,"&gt;="&amp;$A669,Data!$Q$10:$Q$3209,"&lt;"&amp;$A669+1)/$AH669)))</f>
        <v/>
      </c>
      <c r="I669" s="54">
        <f>IF($B669=0,NA(),IF($C669="",NA(),IF(C$8="",NA(),IF(N(C$8)=0,NA(),IF(Inputs!$C$17="Rebased to 100",$C669/C$8*100,$C669)))))</f>
        <v/>
      </c>
      <c r="J669" s="54">
        <f>IF($B669=0,NA(),IF($D669="",NA(),IF(D$8="",NA(),IF(N(D$8)=0,NA(),IF(Inputs!$C$17="Rebased to 100",$D669/D$8*100,$D669)))))</f>
        <v/>
      </c>
      <c r="K669" s="54">
        <f>IF($B669=0,NA(),IF($E669="",NA(),IF(E$8="",NA(),IF(N(E$8)=0,NA(),IF(Inputs!$C$17="Rebased to 100",$E669/E$8*100,$E669)))))</f>
        <v/>
      </c>
      <c r="L669" s="54">
        <f>IF($B669=0,NA(),IF($F669="",NA(),IF(F$8="",NA(),IF(N(F$8)=0,NA(),IF(Inputs!$C$17="Rebased to 100",$F669/F$8*100,$F669)))))</f>
        <v/>
      </c>
      <c r="M669" s="54">
        <f>IF($B669=0,NA(),IF($G669="",NA(),IF(G$8="",NA(),IF(N(G$8)=0,NA(),IF(Inputs!$C$17="Rebased to 100",$G669/G$8*100,$G669)))))</f>
        <v/>
      </c>
      <c r="N669" s="54">
        <f>IF($B669=0,NA(),IF(Inputs!$C$18&lt;&gt;"Yes",NA(),IF(COUNT(I669,J669,K669,L669,M669)=0,NA(),MIN(I669,J669,K669,L669,M669))))</f>
        <v/>
      </c>
      <c r="O669" s="54">
        <f>IF($B669=0,NA(),IF(Inputs!$B$24&lt;&gt;"Yes",NA(),Inputs!$D$24*Inputs!$C$35))</f>
        <v/>
      </c>
      <c r="P669" s="54">
        <f>IF($B669=0,NA(),IF(Inputs!$B$25&lt;&gt;"Yes",NA(),Inputs!$D$25*Inputs!$C$35))</f>
        <v/>
      </c>
      <c r="Q669" s="54">
        <f>IF($B669=0,NA(),IF(Inputs!$B$26&lt;&gt;"Yes",NA(),Inputs!$D$26*Inputs!$C$35))</f>
        <v/>
      </c>
      <c r="R669" s="54">
        <f>IF($B669=0,NA(),IF(Inputs!$B$27&lt;&gt;"Yes",NA(),Inputs!$D$27*Inputs!$C$35))</f>
        <v/>
      </c>
      <c r="S669" s="54">
        <f>IF($B669=0,NA(),IF(Inputs!$B$28&lt;&gt;"Yes",NA(),Inputs!$D$28*Inputs!$C$35))</f>
        <v/>
      </c>
      <c r="T669" s="54">
        <f>IF($B669=0,NA(),IF(Inputs!$B$29&lt;&gt;"Yes",NA(),Inputs!$D$29*Inputs!$C$35))</f>
        <v/>
      </c>
      <c r="AD669">
        <f>IF($B669=0,0,IF(Inputs!$B$6="",0,COUNTIFS(Data!$A$10:$A$3209,"&gt;="&amp;$A669,Data!$A$10:$A$3209,"&lt;"&amp;$A669+1)))</f>
        <v/>
      </c>
      <c r="AE669">
        <f>IF($B669=0,0,IF(Inputs!$B$7="",0,COUNTIFS(Data!$E$10:$E$3209,"&gt;="&amp;$A669,Data!$E$10:$E$3209,"&lt;"&amp;$A669+1)))</f>
        <v/>
      </c>
      <c r="AF669">
        <f>IF($B669=0,0,IF(Inputs!$B$8="",0,COUNTIFS(Data!$I$10:$I$3209,"&gt;="&amp;$A669,Data!$I$10:$I$3209,"&lt;"&amp;$A669+1)))</f>
        <v/>
      </c>
      <c r="AG669">
        <f>IF($B669=0,0,IF(Inputs!$B$9="",0,COUNTIFS(Data!$M$10:$M$3209,"&gt;="&amp;$A669,Data!$M$10:$M$3209,"&lt;"&amp;$A669+1)))</f>
        <v/>
      </c>
      <c r="AH669">
        <f>IF($B669=0,0,IF(Inputs!$B$10="",0,COUNTIFS(Data!$Q$10:$Q$3209,"&gt;="&amp;$A669,Data!$Q$10:$Q$3209,"&lt;"&amp;$A669+1)))</f>
        <v/>
      </c>
    </row>
    <row r="670">
      <c r="A670" s="55">
        <f>MIN(Inputs!$C$15,$A669+IF(WEEKDAY($A669,2)=5,3,1))</f>
        <v/>
      </c>
      <c r="B670">
        <f>IF($A670&gt;$A669,1,0)</f>
        <v/>
      </c>
      <c r="C670" s="56">
        <f>IF($B670=0,"",IF(Inputs!$B$6="","",IF($AD670=0,C669,SUMIFS(Data!$B$10:$B$3209,Data!$A$10:$A$3209,"&gt;="&amp;$A670,Data!$A$10:$A$3209,"&lt;"&amp;$A670+1)/$AD670)))</f>
        <v/>
      </c>
      <c r="D670" s="56">
        <f>IF($B670=0,"",IF(Inputs!$B$7="","",IF($AE670=0,D669,SUMIFS(Data!$F$10:$F$3209,Data!$E$10:$E$3209,"&gt;="&amp;$A670,Data!$E$10:$E$3209,"&lt;"&amp;$A670+1)/$AE670)))</f>
        <v/>
      </c>
      <c r="E670" s="56">
        <f>IF($B670=0,"",IF(Inputs!$B$8="","",IF($AF670=0,E669,SUMIFS(Data!$J$10:$J$3209,Data!$I$10:$I$3209,"&gt;="&amp;$A670,Data!$I$10:$I$3209,"&lt;"&amp;$A670+1)/$AF670)))</f>
        <v/>
      </c>
      <c r="F670" s="56">
        <f>IF($B670=0,"",IF(Inputs!$B$9="","",IF($AG670=0,F669,SUMIFS(Data!$N$10:$N$3209,Data!$M$10:$M$3209,"&gt;="&amp;$A670,Data!$M$10:$M$3209,"&lt;"&amp;$A670+1)/$AG670)))</f>
        <v/>
      </c>
      <c r="G670" s="56">
        <f>IF($B670=0,"",IF(Inputs!$B$10="","",IF($AH670=0,G669,SUMIFS(Data!$R$10:$R$3209,Data!$Q$10:$Q$3209,"&gt;="&amp;$A670,Data!$Q$10:$Q$3209,"&lt;"&amp;$A670+1)/$AH670)))</f>
        <v/>
      </c>
      <c r="I670" s="54">
        <f>IF($B670=0,NA(),IF($C670="",NA(),IF(C$8="",NA(),IF(N(C$8)=0,NA(),IF(Inputs!$C$17="Rebased to 100",$C670/C$8*100,$C670)))))</f>
        <v/>
      </c>
      <c r="J670" s="54">
        <f>IF($B670=0,NA(),IF($D670="",NA(),IF(D$8="",NA(),IF(N(D$8)=0,NA(),IF(Inputs!$C$17="Rebased to 100",$D670/D$8*100,$D670)))))</f>
        <v/>
      </c>
      <c r="K670" s="54">
        <f>IF($B670=0,NA(),IF($E670="",NA(),IF(E$8="",NA(),IF(N(E$8)=0,NA(),IF(Inputs!$C$17="Rebased to 100",$E670/E$8*100,$E670)))))</f>
        <v/>
      </c>
      <c r="L670" s="54">
        <f>IF($B670=0,NA(),IF($F670="",NA(),IF(F$8="",NA(),IF(N(F$8)=0,NA(),IF(Inputs!$C$17="Rebased to 100",$F670/F$8*100,$F670)))))</f>
        <v/>
      </c>
      <c r="M670" s="54">
        <f>IF($B670=0,NA(),IF($G670="",NA(),IF(G$8="",NA(),IF(N(G$8)=0,NA(),IF(Inputs!$C$17="Rebased to 100",$G670/G$8*100,$G670)))))</f>
        <v/>
      </c>
      <c r="N670" s="54">
        <f>IF($B670=0,NA(),IF(Inputs!$C$18&lt;&gt;"Yes",NA(),IF(COUNT(I670,J670,K670,L670,M670)=0,NA(),MIN(I670,J670,K670,L670,M670))))</f>
        <v/>
      </c>
      <c r="O670" s="54">
        <f>IF($B670=0,NA(),IF(Inputs!$B$24&lt;&gt;"Yes",NA(),Inputs!$D$24*Inputs!$C$35))</f>
        <v/>
      </c>
      <c r="P670" s="54">
        <f>IF($B670=0,NA(),IF(Inputs!$B$25&lt;&gt;"Yes",NA(),Inputs!$D$25*Inputs!$C$35))</f>
        <v/>
      </c>
      <c r="Q670" s="54">
        <f>IF($B670=0,NA(),IF(Inputs!$B$26&lt;&gt;"Yes",NA(),Inputs!$D$26*Inputs!$C$35))</f>
        <v/>
      </c>
      <c r="R670" s="54">
        <f>IF($B670=0,NA(),IF(Inputs!$B$27&lt;&gt;"Yes",NA(),Inputs!$D$27*Inputs!$C$35))</f>
        <v/>
      </c>
      <c r="S670" s="54">
        <f>IF($B670=0,NA(),IF(Inputs!$B$28&lt;&gt;"Yes",NA(),Inputs!$D$28*Inputs!$C$35))</f>
        <v/>
      </c>
      <c r="T670" s="54">
        <f>IF($B670=0,NA(),IF(Inputs!$B$29&lt;&gt;"Yes",NA(),Inputs!$D$29*Inputs!$C$35))</f>
        <v/>
      </c>
      <c r="AD670">
        <f>IF($B670=0,0,IF(Inputs!$B$6="",0,COUNTIFS(Data!$A$10:$A$3209,"&gt;="&amp;$A670,Data!$A$10:$A$3209,"&lt;"&amp;$A670+1)))</f>
        <v/>
      </c>
      <c r="AE670">
        <f>IF($B670=0,0,IF(Inputs!$B$7="",0,COUNTIFS(Data!$E$10:$E$3209,"&gt;="&amp;$A670,Data!$E$10:$E$3209,"&lt;"&amp;$A670+1)))</f>
        <v/>
      </c>
      <c r="AF670">
        <f>IF($B670=0,0,IF(Inputs!$B$8="",0,COUNTIFS(Data!$I$10:$I$3209,"&gt;="&amp;$A670,Data!$I$10:$I$3209,"&lt;"&amp;$A670+1)))</f>
        <v/>
      </c>
      <c r="AG670">
        <f>IF($B670=0,0,IF(Inputs!$B$9="",0,COUNTIFS(Data!$M$10:$M$3209,"&gt;="&amp;$A670,Data!$M$10:$M$3209,"&lt;"&amp;$A670+1)))</f>
        <v/>
      </c>
      <c r="AH670">
        <f>IF($B670=0,0,IF(Inputs!$B$10="",0,COUNTIFS(Data!$Q$10:$Q$3209,"&gt;="&amp;$A670,Data!$Q$10:$Q$3209,"&lt;"&amp;$A670+1)))</f>
        <v/>
      </c>
    </row>
    <row r="671">
      <c r="A671" s="55">
        <f>MIN(Inputs!$C$15,$A670+IF(WEEKDAY($A670,2)=5,3,1))</f>
        <v/>
      </c>
      <c r="B671">
        <f>IF($A671&gt;$A670,1,0)</f>
        <v/>
      </c>
      <c r="C671" s="56">
        <f>IF($B671=0,"",IF(Inputs!$B$6="","",IF($AD671=0,C670,SUMIFS(Data!$B$10:$B$3209,Data!$A$10:$A$3209,"&gt;="&amp;$A671,Data!$A$10:$A$3209,"&lt;"&amp;$A671+1)/$AD671)))</f>
        <v/>
      </c>
      <c r="D671" s="56">
        <f>IF($B671=0,"",IF(Inputs!$B$7="","",IF($AE671=0,D670,SUMIFS(Data!$F$10:$F$3209,Data!$E$10:$E$3209,"&gt;="&amp;$A671,Data!$E$10:$E$3209,"&lt;"&amp;$A671+1)/$AE671)))</f>
        <v/>
      </c>
      <c r="E671" s="56">
        <f>IF($B671=0,"",IF(Inputs!$B$8="","",IF($AF671=0,E670,SUMIFS(Data!$J$10:$J$3209,Data!$I$10:$I$3209,"&gt;="&amp;$A671,Data!$I$10:$I$3209,"&lt;"&amp;$A671+1)/$AF671)))</f>
        <v/>
      </c>
      <c r="F671" s="56">
        <f>IF($B671=0,"",IF(Inputs!$B$9="","",IF($AG671=0,F670,SUMIFS(Data!$N$10:$N$3209,Data!$M$10:$M$3209,"&gt;="&amp;$A671,Data!$M$10:$M$3209,"&lt;"&amp;$A671+1)/$AG671)))</f>
        <v/>
      </c>
      <c r="G671" s="56">
        <f>IF($B671=0,"",IF(Inputs!$B$10="","",IF($AH671=0,G670,SUMIFS(Data!$R$10:$R$3209,Data!$Q$10:$Q$3209,"&gt;="&amp;$A671,Data!$Q$10:$Q$3209,"&lt;"&amp;$A671+1)/$AH671)))</f>
        <v/>
      </c>
      <c r="I671" s="54">
        <f>IF($B671=0,NA(),IF($C671="",NA(),IF(C$8="",NA(),IF(N(C$8)=0,NA(),IF(Inputs!$C$17="Rebased to 100",$C671/C$8*100,$C671)))))</f>
        <v/>
      </c>
      <c r="J671" s="54">
        <f>IF($B671=0,NA(),IF($D671="",NA(),IF(D$8="",NA(),IF(N(D$8)=0,NA(),IF(Inputs!$C$17="Rebased to 100",$D671/D$8*100,$D671)))))</f>
        <v/>
      </c>
      <c r="K671" s="54">
        <f>IF($B671=0,NA(),IF($E671="",NA(),IF(E$8="",NA(),IF(N(E$8)=0,NA(),IF(Inputs!$C$17="Rebased to 100",$E671/E$8*100,$E671)))))</f>
        <v/>
      </c>
      <c r="L671" s="54">
        <f>IF($B671=0,NA(),IF($F671="",NA(),IF(F$8="",NA(),IF(N(F$8)=0,NA(),IF(Inputs!$C$17="Rebased to 100",$F671/F$8*100,$F671)))))</f>
        <v/>
      </c>
      <c r="M671" s="54">
        <f>IF($B671=0,NA(),IF($G671="",NA(),IF(G$8="",NA(),IF(N(G$8)=0,NA(),IF(Inputs!$C$17="Rebased to 100",$G671/G$8*100,$G671)))))</f>
        <v/>
      </c>
      <c r="N671" s="54">
        <f>IF($B671=0,NA(),IF(Inputs!$C$18&lt;&gt;"Yes",NA(),IF(COUNT(I671,J671,K671,L671,M671)=0,NA(),MIN(I671,J671,K671,L671,M671))))</f>
        <v/>
      </c>
      <c r="O671" s="54">
        <f>IF($B671=0,NA(),IF(Inputs!$B$24&lt;&gt;"Yes",NA(),Inputs!$D$24*Inputs!$C$35))</f>
        <v/>
      </c>
      <c r="P671" s="54">
        <f>IF($B671=0,NA(),IF(Inputs!$B$25&lt;&gt;"Yes",NA(),Inputs!$D$25*Inputs!$C$35))</f>
        <v/>
      </c>
      <c r="Q671" s="54">
        <f>IF($B671=0,NA(),IF(Inputs!$B$26&lt;&gt;"Yes",NA(),Inputs!$D$26*Inputs!$C$35))</f>
        <v/>
      </c>
      <c r="R671" s="54">
        <f>IF($B671=0,NA(),IF(Inputs!$B$27&lt;&gt;"Yes",NA(),Inputs!$D$27*Inputs!$C$35))</f>
        <v/>
      </c>
      <c r="S671" s="54">
        <f>IF($B671=0,NA(),IF(Inputs!$B$28&lt;&gt;"Yes",NA(),Inputs!$D$28*Inputs!$C$35))</f>
        <v/>
      </c>
      <c r="T671" s="54">
        <f>IF($B671=0,NA(),IF(Inputs!$B$29&lt;&gt;"Yes",NA(),Inputs!$D$29*Inputs!$C$35))</f>
        <v/>
      </c>
      <c r="AD671">
        <f>IF($B671=0,0,IF(Inputs!$B$6="",0,COUNTIFS(Data!$A$10:$A$3209,"&gt;="&amp;$A671,Data!$A$10:$A$3209,"&lt;"&amp;$A671+1)))</f>
        <v/>
      </c>
      <c r="AE671">
        <f>IF($B671=0,0,IF(Inputs!$B$7="",0,COUNTIFS(Data!$E$10:$E$3209,"&gt;="&amp;$A671,Data!$E$10:$E$3209,"&lt;"&amp;$A671+1)))</f>
        <v/>
      </c>
      <c r="AF671">
        <f>IF($B671=0,0,IF(Inputs!$B$8="",0,COUNTIFS(Data!$I$10:$I$3209,"&gt;="&amp;$A671,Data!$I$10:$I$3209,"&lt;"&amp;$A671+1)))</f>
        <v/>
      </c>
      <c r="AG671">
        <f>IF($B671=0,0,IF(Inputs!$B$9="",0,COUNTIFS(Data!$M$10:$M$3209,"&gt;="&amp;$A671,Data!$M$10:$M$3209,"&lt;"&amp;$A671+1)))</f>
        <v/>
      </c>
      <c r="AH671">
        <f>IF($B671=0,0,IF(Inputs!$B$10="",0,COUNTIFS(Data!$Q$10:$Q$3209,"&gt;="&amp;$A671,Data!$Q$10:$Q$3209,"&lt;"&amp;$A671+1)))</f>
        <v/>
      </c>
    </row>
    <row r="672">
      <c r="A672" s="55">
        <f>MIN(Inputs!$C$15,$A671+IF(WEEKDAY($A671,2)=5,3,1))</f>
        <v/>
      </c>
      <c r="B672">
        <f>IF($A672&gt;$A671,1,0)</f>
        <v/>
      </c>
      <c r="C672" s="56">
        <f>IF($B672=0,"",IF(Inputs!$B$6="","",IF($AD672=0,C671,SUMIFS(Data!$B$10:$B$3209,Data!$A$10:$A$3209,"&gt;="&amp;$A672,Data!$A$10:$A$3209,"&lt;"&amp;$A672+1)/$AD672)))</f>
        <v/>
      </c>
      <c r="D672" s="56">
        <f>IF($B672=0,"",IF(Inputs!$B$7="","",IF($AE672=0,D671,SUMIFS(Data!$F$10:$F$3209,Data!$E$10:$E$3209,"&gt;="&amp;$A672,Data!$E$10:$E$3209,"&lt;"&amp;$A672+1)/$AE672)))</f>
        <v/>
      </c>
      <c r="E672" s="56">
        <f>IF($B672=0,"",IF(Inputs!$B$8="","",IF($AF672=0,E671,SUMIFS(Data!$J$10:$J$3209,Data!$I$10:$I$3209,"&gt;="&amp;$A672,Data!$I$10:$I$3209,"&lt;"&amp;$A672+1)/$AF672)))</f>
        <v/>
      </c>
      <c r="F672" s="56">
        <f>IF($B672=0,"",IF(Inputs!$B$9="","",IF($AG672=0,F671,SUMIFS(Data!$N$10:$N$3209,Data!$M$10:$M$3209,"&gt;="&amp;$A672,Data!$M$10:$M$3209,"&lt;"&amp;$A672+1)/$AG672)))</f>
        <v/>
      </c>
      <c r="G672" s="56">
        <f>IF($B672=0,"",IF(Inputs!$B$10="","",IF($AH672=0,G671,SUMIFS(Data!$R$10:$R$3209,Data!$Q$10:$Q$3209,"&gt;="&amp;$A672,Data!$Q$10:$Q$3209,"&lt;"&amp;$A672+1)/$AH672)))</f>
        <v/>
      </c>
      <c r="I672" s="54">
        <f>IF($B672=0,NA(),IF($C672="",NA(),IF(C$8="",NA(),IF(N(C$8)=0,NA(),IF(Inputs!$C$17="Rebased to 100",$C672/C$8*100,$C672)))))</f>
        <v/>
      </c>
      <c r="J672" s="54">
        <f>IF($B672=0,NA(),IF($D672="",NA(),IF(D$8="",NA(),IF(N(D$8)=0,NA(),IF(Inputs!$C$17="Rebased to 100",$D672/D$8*100,$D672)))))</f>
        <v/>
      </c>
      <c r="K672" s="54">
        <f>IF($B672=0,NA(),IF($E672="",NA(),IF(E$8="",NA(),IF(N(E$8)=0,NA(),IF(Inputs!$C$17="Rebased to 100",$E672/E$8*100,$E672)))))</f>
        <v/>
      </c>
      <c r="L672" s="54">
        <f>IF($B672=0,NA(),IF($F672="",NA(),IF(F$8="",NA(),IF(N(F$8)=0,NA(),IF(Inputs!$C$17="Rebased to 100",$F672/F$8*100,$F672)))))</f>
        <v/>
      </c>
      <c r="M672" s="54">
        <f>IF($B672=0,NA(),IF($G672="",NA(),IF(G$8="",NA(),IF(N(G$8)=0,NA(),IF(Inputs!$C$17="Rebased to 100",$G672/G$8*100,$G672)))))</f>
        <v/>
      </c>
      <c r="N672" s="54">
        <f>IF($B672=0,NA(),IF(Inputs!$C$18&lt;&gt;"Yes",NA(),IF(COUNT(I672,J672,K672,L672,M672)=0,NA(),MIN(I672,J672,K672,L672,M672))))</f>
        <v/>
      </c>
      <c r="O672" s="54">
        <f>IF($B672=0,NA(),IF(Inputs!$B$24&lt;&gt;"Yes",NA(),Inputs!$D$24*Inputs!$C$35))</f>
        <v/>
      </c>
      <c r="P672" s="54">
        <f>IF($B672=0,NA(),IF(Inputs!$B$25&lt;&gt;"Yes",NA(),Inputs!$D$25*Inputs!$C$35))</f>
        <v/>
      </c>
      <c r="Q672" s="54">
        <f>IF($B672=0,NA(),IF(Inputs!$B$26&lt;&gt;"Yes",NA(),Inputs!$D$26*Inputs!$C$35))</f>
        <v/>
      </c>
      <c r="R672" s="54">
        <f>IF($B672=0,NA(),IF(Inputs!$B$27&lt;&gt;"Yes",NA(),Inputs!$D$27*Inputs!$C$35))</f>
        <v/>
      </c>
      <c r="S672" s="54">
        <f>IF($B672=0,NA(),IF(Inputs!$B$28&lt;&gt;"Yes",NA(),Inputs!$D$28*Inputs!$C$35))</f>
        <v/>
      </c>
      <c r="T672" s="54">
        <f>IF($B672=0,NA(),IF(Inputs!$B$29&lt;&gt;"Yes",NA(),Inputs!$D$29*Inputs!$C$35))</f>
        <v/>
      </c>
      <c r="AD672">
        <f>IF($B672=0,0,IF(Inputs!$B$6="",0,COUNTIFS(Data!$A$10:$A$3209,"&gt;="&amp;$A672,Data!$A$10:$A$3209,"&lt;"&amp;$A672+1)))</f>
        <v/>
      </c>
      <c r="AE672">
        <f>IF($B672=0,0,IF(Inputs!$B$7="",0,COUNTIFS(Data!$E$10:$E$3209,"&gt;="&amp;$A672,Data!$E$10:$E$3209,"&lt;"&amp;$A672+1)))</f>
        <v/>
      </c>
      <c r="AF672">
        <f>IF($B672=0,0,IF(Inputs!$B$8="",0,COUNTIFS(Data!$I$10:$I$3209,"&gt;="&amp;$A672,Data!$I$10:$I$3209,"&lt;"&amp;$A672+1)))</f>
        <v/>
      </c>
      <c r="AG672">
        <f>IF($B672=0,0,IF(Inputs!$B$9="",0,COUNTIFS(Data!$M$10:$M$3209,"&gt;="&amp;$A672,Data!$M$10:$M$3209,"&lt;"&amp;$A672+1)))</f>
        <v/>
      </c>
      <c r="AH672">
        <f>IF($B672=0,0,IF(Inputs!$B$10="",0,COUNTIFS(Data!$Q$10:$Q$3209,"&gt;="&amp;$A672,Data!$Q$10:$Q$3209,"&lt;"&amp;$A672+1)))</f>
        <v/>
      </c>
    </row>
    <row r="673">
      <c r="A673" s="55">
        <f>MIN(Inputs!$C$15,$A672+IF(WEEKDAY($A672,2)=5,3,1))</f>
        <v/>
      </c>
      <c r="B673">
        <f>IF($A673&gt;$A672,1,0)</f>
        <v/>
      </c>
      <c r="C673" s="56">
        <f>IF($B673=0,"",IF(Inputs!$B$6="","",IF($AD673=0,C672,SUMIFS(Data!$B$10:$B$3209,Data!$A$10:$A$3209,"&gt;="&amp;$A673,Data!$A$10:$A$3209,"&lt;"&amp;$A673+1)/$AD673)))</f>
        <v/>
      </c>
      <c r="D673" s="56">
        <f>IF($B673=0,"",IF(Inputs!$B$7="","",IF($AE673=0,D672,SUMIFS(Data!$F$10:$F$3209,Data!$E$10:$E$3209,"&gt;="&amp;$A673,Data!$E$10:$E$3209,"&lt;"&amp;$A673+1)/$AE673)))</f>
        <v/>
      </c>
      <c r="E673" s="56">
        <f>IF($B673=0,"",IF(Inputs!$B$8="","",IF($AF673=0,E672,SUMIFS(Data!$J$10:$J$3209,Data!$I$10:$I$3209,"&gt;="&amp;$A673,Data!$I$10:$I$3209,"&lt;"&amp;$A673+1)/$AF673)))</f>
        <v/>
      </c>
      <c r="F673" s="56">
        <f>IF($B673=0,"",IF(Inputs!$B$9="","",IF($AG673=0,F672,SUMIFS(Data!$N$10:$N$3209,Data!$M$10:$M$3209,"&gt;="&amp;$A673,Data!$M$10:$M$3209,"&lt;"&amp;$A673+1)/$AG673)))</f>
        <v/>
      </c>
      <c r="G673" s="56">
        <f>IF($B673=0,"",IF(Inputs!$B$10="","",IF($AH673=0,G672,SUMIFS(Data!$R$10:$R$3209,Data!$Q$10:$Q$3209,"&gt;="&amp;$A673,Data!$Q$10:$Q$3209,"&lt;"&amp;$A673+1)/$AH673)))</f>
        <v/>
      </c>
      <c r="I673" s="54">
        <f>IF($B673=0,NA(),IF($C673="",NA(),IF(C$8="",NA(),IF(N(C$8)=0,NA(),IF(Inputs!$C$17="Rebased to 100",$C673/C$8*100,$C673)))))</f>
        <v/>
      </c>
      <c r="J673" s="54">
        <f>IF($B673=0,NA(),IF($D673="",NA(),IF(D$8="",NA(),IF(N(D$8)=0,NA(),IF(Inputs!$C$17="Rebased to 100",$D673/D$8*100,$D673)))))</f>
        <v/>
      </c>
      <c r="K673" s="54">
        <f>IF($B673=0,NA(),IF($E673="",NA(),IF(E$8="",NA(),IF(N(E$8)=0,NA(),IF(Inputs!$C$17="Rebased to 100",$E673/E$8*100,$E673)))))</f>
        <v/>
      </c>
      <c r="L673" s="54">
        <f>IF($B673=0,NA(),IF($F673="",NA(),IF(F$8="",NA(),IF(N(F$8)=0,NA(),IF(Inputs!$C$17="Rebased to 100",$F673/F$8*100,$F673)))))</f>
        <v/>
      </c>
      <c r="M673" s="54">
        <f>IF($B673=0,NA(),IF($G673="",NA(),IF(G$8="",NA(),IF(N(G$8)=0,NA(),IF(Inputs!$C$17="Rebased to 100",$G673/G$8*100,$G673)))))</f>
        <v/>
      </c>
      <c r="N673" s="54">
        <f>IF($B673=0,NA(),IF(Inputs!$C$18&lt;&gt;"Yes",NA(),IF(COUNT(I673,J673,K673,L673,M673)=0,NA(),MIN(I673,J673,K673,L673,M673))))</f>
        <v/>
      </c>
      <c r="O673" s="54">
        <f>IF($B673=0,NA(),IF(Inputs!$B$24&lt;&gt;"Yes",NA(),Inputs!$D$24*Inputs!$C$35))</f>
        <v/>
      </c>
      <c r="P673" s="54">
        <f>IF($B673=0,NA(),IF(Inputs!$B$25&lt;&gt;"Yes",NA(),Inputs!$D$25*Inputs!$C$35))</f>
        <v/>
      </c>
      <c r="Q673" s="54">
        <f>IF($B673=0,NA(),IF(Inputs!$B$26&lt;&gt;"Yes",NA(),Inputs!$D$26*Inputs!$C$35))</f>
        <v/>
      </c>
      <c r="R673" s="54">
        <f>IF($B673=0,NA(),IF(Inputs!$B$27&lt;&gt;"Yes",NA(),Inputs!$D$27*Inputs!$C$35))</f>
        <v/>
      </c>
      <c r="S673" s="54">
        <f>IF($B673=0,NA(),IF(Inputs!$B$28&lt;&gt;"Yes",NA(),Inputs!$D$28*Inputs!$C$35))</f>
        <v/>
      </c>
      <c r="T673" s="54">
        <f>IF($B673=0,NA(),IF(Inputs!$B$29&lt;&gt;"Yes",NA(),Inputs!$D$29*Inputs!$C$35))</f>
        <v/>
      </c>
      <c r="AD673">
        <f>IF($B673=0,0,IF(Inputs!$B$6="",0,COUNTIFS(Data!$A$10:$A$3209,"&gt;="&amp;$A673,Data!$A$10:$A$3209,"&lt;"&amp;$A673+1)))</f>
        <v/>
      </c>
      <c r="AE673">
        <f>IF($B673=0,0,IF(Inputs!$B$7="",0,COUNTIFS(Data!$E$10:$E$3209,"&gt;="&amp;$A673,Data!$E$10:$E$3209,"&lt;"&amp;$A673+1)))</f>
        <v/>
      </c>
      <c r="AF673">
        <f>IF($B673=0,0,IF(Inputs!$B$8="",0,COUNTIFS(Data!$I$10:$I$3209,"&gt;="&amp;$A673,Data!$I$10:$I$3209,"&lt;"&amp;$A673+1)))</f>
        <v/>
      </c>
      <c r="AG673">
        <f>IF($B673=0,0,IF(Inputs!$B$9="",0,COUNTIFS(Data!$M$10:$M$3209,"&gt;="&amp;$A673,Data!$M$10:$M$3209,"&lt;"&amp;$A673+1)))</f>
        <v/>
      </c>
      <c r="AH673">
        <f>IF($B673=0,0,IF(Inputs!$B$10="",0,COUNTIFS(Data!$Q$10:$Q$3209,"&gt;="&amp;$A673,Data!$Q$10:$Q$3209,"&lt;"&amp;$A673+1)))</f>
        <v/>
      </c>
    </row>
    <row r="674">
      <c r="A674" s="55">
        <f>MIN(Inputs!$C$15,$A673+IF(WEEKDAY($A673,2)=5,3,1))</f>
        <v/>
      </c>
      <c r="B674">
        <f>IF($A674&gt;$A673,1,0)</f>
        <v/>
      </c>
      <c r="C674" s="56">
        <f>IF($B674=0,"",IF(Inputs!$B$6="","",IF($AD674=0,C673,SUMIFS(Data!$B$10:$B$3209,Data!$A$10:$A$3209,"&gt;="&amp;$A674,Data!$A$10:$A$3209,"&lt;"&amp;$A674+1)/$AD674)))</f>
        <v/>
      </c>
      <c r="D674" s="56">
        <f>IF($B674=0,"",IF(Inputs!$B$7="","",IF($AE674=0,D673,SUMIFS(Data!$F$10:$F$3209,Data!$E$10:$E$3209,"&gt;="&amp;$A674,Data!$E$10:$E$3209,"&lt;"&amp;$A674+1)/$AE674)))</f>
        <v/>
      </c>
      <c r="E674" s="56">
        <f>IF($B674=0,"",IF(Inputs!$B$8="","",IF($AF674=0,E673,SUMIFS(Data!$J$10:$J$3209,Data!$I$10:$I$3209,"&gt;="&amp;$A674,Data!$I$10:$I$3209,"&lt;"&amp;$A674+1)/$AF674)))</f>
        <v/>
      </c>
      <c r="F674" s="56">
        <f>IF($B674=0,"",IF(Inputs!$B$9="","",IF($AG674=0,F673,SUMIFS(Data!$N$10:$N$3209,Data!$M$10:$M$3209,"&gt;="&amp;$A674,Data!$M$10:$M$3209,"&lt;"&amp;$A674+1)/$AG674)))</f>
        <v/>
      </c>
      <c r="G674" s="56">
        <f>IF($B674=0,"",IF(Inputs!$B$10="","",IF($AH674=0,G673,SUMIFS(Data!$R$10:$R$3209,Data!$Q$10:$Q$3209,"&gt;="&amp;$A674,Data!$Q$10:$Q$3209,"&lt;"&amp;$A674+1)/$AH674)))</f>
        <v/>
      </c>
      <c r="I674" s="54">
        <f>IF($B674=0,NA(),IF($C674="",NA(),IF(C$8="",NA(),IF(N(C$8)=0,NA(),IF(Inputs!$C$17="Rebased to 100",$C674/C$8*100,$C674)))))</f>
        <v/>
      </c>
      <c r="J674" s="54">
        <f>IF($B674=0,NA(),IF($D674="",NA(),IF(D$8="",NA(),IF(N(D$8)=0,NA(),IF(Inputs!$C$17="Rebased to 100",$D674/D$8*100,$D674)))))</f>
        <v/>
      </c>
      <c r="K674" s="54">
        <f>IF($B674=0,NA(),IF($E674="",NA(),IF(E$8="",NA(),IF(N(E$8)=0,NA(),IF(Inputs!$C$17="Rebased to 100",$E674/E$8*100,$E674)))))</f>
        <v/>
      </c>
      <c r="L674" s="54">
        <f>IF($B674=0,NA(),IF($F674="",NA(),IF(F$8="",NA(),IF(N(F$8)=0,NA(),IF(Inputs!$C$17="Rebased to 100",$F674/F$8*100,$F674)))))</f>
        <v/>
      </c>
      <c r="M674" s="54">
        <f>IF($B674=0,NA(),IF($G674="",NA(),IF(G$8="",NA(),IF(N(G$8)=0,NA(),IF(Inputs!$C$17="Rebased to 100",$G674/G$8*100,$G674)))))</f>
        <v/>
      </c>
      <c r="N674" s="54">
        <f>IF($B674=0,NA(),IF(Inputs!$C$18&lt;&gt;"Yes",NA(),IF(COUNT(I674,J674,K674,L674,M674)=0,NA(),MIN(I674,J674,K674,L674,M674))))</f>
        <v/>
      </c>
      <c r="O674" s="54">
        <f>IF($B674=0,NA(),IF(Inputs!$B$24&lt;&gt;"Yes",NA(),Inputs!$D$24*Inputs!$C$35))</f>
        <v/>
      </c>
      <c r="P674" s="54">
        <f>IF($B674=0,NA(),IF(Inputs!$B$25&lt;&gt;"Yes",NA(),Inputs!$D$25*Inputs!$C$35))</f>
        <v/>
      </c>
      <c r="Q674" s="54">
        <f>IF($B674=0,NA(),IF(Inputs!$B$26&lt;&gt;"Yes",NA(),Inputs!$D$26*Inputs!$C$35))</f>
        <v/>
      </c>
      <c r="R674" s="54">
        <f>IF($B674=0,NA(),IF(Inputs!$B$27&lt;&gt;"Yes",NA(),Inputs!$D$27*Inputs!$C$35))</f>
        <v/>
      </c>
      <c r="S674" s="54">
        <f>IF($B674=0,NA(),IF(Inputs!$B$28&lt;&gt;"Yes",NA(),Inputs!$D$28*Inputs!$C$35))</f>
        <v/>
      </c>
      <c r="T674" s="54">
        <f>IF($B674=0,NA(),IF(Inputs!$B$29&lt;&gt;"Yes",NA(),Inputs!$D$29*Inputs!$C$35))</f>
        <v/>
      </c>
      <c r="AD674">
        <f>IF($B674=0,0,IF(Inputs!$B$6="",0,COUNTIFS(Data!$A$10:$A$3209,"&gt;="&amp;$A674,Data!$A$10:$A$3209,"&lt;"&amp;$A674+1)))</f>
        <v/>
      </c>
      <c r="AE674">
        <f>IF($B674=0,0,IF(Inputs!$B$7="",0,COUNTIFS(Data!$E$10:$E$3209,"&gt;="&amp;$A674,Data!$E$10:$E$3209,"&lt;"&amp;$A674+1)))</f>
        <v/>
      </c>
      <c r="AF674">
        <f>IF($B674=0,0,IF(Inputs!$B$8="",0,COUNTIFS(Data!$I$10:$I$3209,"&gt;="&amp;$A674,Data!$I$10:$I$3209,"&lt;"&amp;$A674+1)))</f>
        <v/>
      </c>
      <c r="AG674">
        <f>IF($B674=0,0,IF(Inputs!$B$9="",0,COUNTIFS(Data!$M$10:$M$3209,"&gt;="&amp;$A674,Data!$M$10:$M$3209,"&lt;"&amp;$A674+1)))</f>
        <v/>
      </c>
      <c r="AH674">
        <f>IF($B674=0,0,IF(Inputs!$B$10="",0,COUNTIFS(Data!$Q$10:$Q$3209,"&gt;="&amp;$A674,Data!$Q$10:$Q$3209,"&lt;"&amp;$A674+1)))</f>
        <v/>
      </c>
    </row>
    <row r="675">
      <c r="A675" s="55">
        <f>MIN(Inputs!$C$15,$A674+IF(WEEKDAY($A674,2)=5,3,1))</f>
        <v/>
      </c>
      <c r="B675">
        <f>IF($A675&gt;$A674,1,0)</f>
        <v/>
      </c>
      <c r="C675" s="56">
        <f>IF($B675=0,"",IF(Inputs!$B$6="","",IF($AD675=0,C674,SUMIFS(Data!$B$10:$B$3209,Data!$A$10:$A$3209,"&gt;="&amp;$A675,Data!$A$10:$A$3209,"&lt;"&amp;$A675+1)/$AD675)))</f>
        <v/>
      </c>
      <c r="D675" s="56">
        <f>IF($B675=0,"",IF(Inputs!$B$7="","",IF($AE675=0,D674,SUMIFS(Data!$F$10:$F$3209,Data!$E$10:$E$3209,"&gt;="&amp;$A675,Data!$E$10:$E$3209,"&lt;"&amp;$A675+1)/$AE675)))</f>
        <v/>
      </c>
      <c r="E675" s="56">
        <f>IF($B675=0,"",IF(Inputs!$B$8="","",IF($AF675=0,E674,SUMIFS(Data!$J$10:$J$3209,Data!$I$10:$I$3209,"&gt;="&amp;$A675,Data!$I$10:$I$3209,"&lt;"&amp;$A675+1)/$AF675)))</f>
        <v/>
      </c>
      <c r="F675" s="56">
        <f>IF($B675=0,"",IF(Inputs!$B$9="","",IF($AG675=0,F674,SUMIFS(Data!$N$10:$N$3209,Data!$M$10:$M$3209,"&gt;="&amp;$A675,Data!$M$10:$M$3209,"&lt;"&amp;$A675+1)/$AG675)))</f>
        <v/>
      </c>
      <c r="G675" s="56">
        <f>IF($B675=0,"",IF(Inputs!$B$10="","",IF($AH675=0,G674,SUMIFS(Data!$R$10:$R$3209,Data!$Q$10:$Q$3209,"&gt;="&amp;$A675,Data!$Q$10:$Q$3209,"&lt;"&amp;$A675+1)/$AH675)))</f>
        <v/>
      </c>
      <c r="I675" s="54">
        <f>IF($B675=0,NA(),IF($C675="",NA(),IF(C$8="",NA(),IF(N(C$8)=0,NA(),IF(Inputs!$C$17="Rebased to 100",$C675/C$8*100,$C675)))))</f>
        <v/>
      </c>
      <c r="J675" s="54">
        <f>IF($B675=0,NA(),IF($D675="",NA(),IF(D$8="",NA(),IF(N(D$8)=0,NA(),IF(Inputs!$C$17="Rebased to 100",$D675/D$8*100,$D675)))))</f>
        <v/>
      </c>
      <c r="K675" s="54">
        <f>IF($B675=0,NA(),IF($E675="",NA(),IF(E$8="",NA(),IF(N(E$8)=0,NA(),IF(Inputs!$C$17="Rebased to 100",$E675/E$8*100,$E675)))))</f>
        <v/>
      </c>
      <c r="L675" s="54">
        <f>IF($B675=0,NA(),IF($F675="",NA(),IF(F$8="",NA(),IF(N(F$8)=0,NA(),IF(Inputs!$C$17="Rebased to 100",$F675/F$8*100,$F675)))))</f>
        <v/>
      </c>
      <c r="M675" s="54">
        <f>IF($B675=0,NA(),IF($G675="",NA(),IF(G$8="",NA(),IF(N(G$8)=0,NA(),IF(Inputs!$C$17="Rebased to 100",$G675/G$8*100,$G675)))))</f>
        <v/>
      </c>
      <c r="N675" s="54">
        <f>IF($B675=0,NA(),IF(Inputs!$C$18&lt;&gt;"Yes",NA(),IF(COUNT(I675,J675,K675,L675,M675)=0,NA(),MIN(I675,J675,K675,L675,M675))))</f>
        <v/>
      </c>
      <c r="O675" s="54">
        <f>IF($B675=0,NA(),IF(Inputs!$B$24&lt;&gt;"Yes",NA(),Inputs!$D$24*Inputs!$C$35))</f>
        <v/>
      </c>
      <c r="P675" s="54">
        <f>IF($B675=0,NA(),IF(Inputs!$B$25&lt;&gt;"Yes",NA(),Inputs!$D$25*Inputs!$C$35))</f>
        <v/>
      </c>
      <c r="Q675" s="54">
        <f>IF($B675=0,NA(),IF(Inputs!$B$26&lt;&gt;"Yes",NA(),Inputs!$D$26*Inputs!$C$35))</f>
        <v/>
      </c>
      <c r="R675" s="54">
        <f>IF($B675=0,NA(),IF(Inputs!$B$27&lt;&gt;"Yes",NA(),Inputs!$D$27*Inputs!$C$35))</f>
        <v/>
      </c>
      <c r="S675" s="54">
        <f>IF($B675=0,NA(),IF(Inputs!$B$28&lt;&gt;"Yes",NA(),Inputs!$D$28*Inputs!$C$35))</f>
        <v/>
      </c>
      <c r="T675" s="54">
        <f>IF($B675=0,NA(),IF(Inputs!$B$29&lt;&gt;"Yes",NA(),Inputs!$D$29*Inputs!$C$35))</f>
        <v/>
      </c>
      <c r="AD675">
        <f>IF($B675=0,0,IF(Inputs!$B$6="",0,COUNTIFS(Data!$A$10:$A$3209,"&gt;="&amp;$A675,Data!$A$10:$A$3209,"&lt;"&amp;$A675+1)))</f>
        <v/>
      </c>
      <c r="AE675">
        <f>IF($B675=0,0,IF(Inputs!$B$7="",0,COUNTIFS(Data!$E$10:$E$3209,"&gt;="&amp;$A675,Data!$E$10:$E$3209,"&lt;"&amp;$A675+1)))</f>
        <v/>
      </c>
      <c r="AF675">
        <f>IF($B675=0,0,IF(Inputs!$B$8="",0,COUNTIFS(Data!$I$10:$I$3209,"&gt;="&amp;$A675,Data!$I$10:$I$3209,"&lt;"&amp;$A675+1)))</f>
        <v/>
      </c>
      <c r="AG675">
        <f>IF($B675=0,0,IF(Inputs!$B$9="",0,COUNTIFS(Data!$M$10:$M$3209,"&gt;="&amp;$A675,Data!$M$10:$M$3209,"&lt;"&amp;$A675+1)))</f>
        <v/>
      </c>
      <c r="AH675">
        <f>IF($B675=0,0,IF(Inputs!$B$10="",0,COUNTIFS(Data!$Q$10:$Q$3209,"&gt;="&amp;$A675,Data!$Q$10:$Q$3209,"&lt;"&amp;$A675+1)))</f>
        <v/>
      </c>
    </row>
    <row r="676">
      <c r="A676" s="55">
        <f>MIN(Inputs!$C$15,$A675+IF(WEEKDAY($A675,2)=5,3,1))</f>
        <v/>
      </c>
      <c r="B676">
        <f>IF($A676&gt;$A675,1,0)</f>
        <v/>
      </c>
      <c r="C676" s="56">
        <f>IF($B676=0,"",IF(Inputs!$B$6="","",IF($AD676=0,C675,SUMIFS(Data!$B$10:$B$3209,Data!$A$10:$A$3209,"&gt;="&amp;$A676,Data!$A$10:$A$3209,"&lt;"&amp;$A676+1)/$AD676)))</f>
        <v/>
      </c>
      <c r="D676" s="56">
        <f>IF($B676=0,"",IF(Inputs!$B$7="","",IF($AE676=0,D675,SUMIFS(Data!$F$10:$F$3209,Data!$E$10:$E$3209,"&gt;="&amp;$A676,Data!$E$10:$E$3209,"&lt;"&amp;$A676+1)/$AE676)))</f>
        <v/>
      </c>
      <c r="E676" s="56">
        <f>IF($B676=0,"",IF(Inputs!$B$8="","",IF($AF676=0,E675,SUMIFS(Data!$J$10:$J$3209,Data!$I$10:$I$3209,"&gt;="&amp;$A676,Data!$I$10:$I$3209,"&lt;"&amp;$A676+1)/$AF676)))</f>
        <v/>
      </c>
      <c r="F676" s="56">
        <f>IF($B676=0,"",IF(Inputs!$B$9="","",IF($AG676=0,F675,SUMIFS(Data!$N$10:$N$3209,Data!$M$10:$M$3209,"&gt;="&amp;$A676,Data!$M$10:$M$3209,"&lt;"&amp;$A676+1)/$AG676)))</f>
        <v/>
      </c>
      <c r="G676" s="56">
        <f>IF($B676=0,"",IF(Inputs!$B$10="","",IF($AH676=0,G675,SUMIFS(Data!$R$10:$R$3209,Data!$Q$10:$Q$3209,"&gt;="&amp;$A676,Data!$Q$10:$Q$3209,"&lt;"&amp;$A676+1)/$AH676)))</f>
        <v/>
      </c>
      <c r="I676" s="54">
        <f>IF($B676=0,NA(),IF($C676="",NA(),IF(C$8="",NA(),IF(N(C$8)=0,NA(),IF(Inputs!$C$17="Rebased to 100",$C676/C$8*100,$C676)))))</f>
        <v/>
      </c>
      <c r="J676" s="54">
        <f>IF($B676=0,NA(),IF($D676="",NA(),IF(D$8="",NA(),IF(N(D$8)=0,NA(),IF(Inputs!$C$17="Rebased to 100",$D676/D$8*100,$D676)))))</f>
        <v/>
      </c>
      <c r="K676" s="54">
        <f>IF($B676=0,NA(),IF($E676="",NA(),IF(E$8="",NA(),IF(N(E$8)=0,NA(),IF(Inputs!$C$17="Rebased to 100",$E676/E$8*100,$E676)))))</f>
        <v/>
      </c>
      <c r="L676" s="54">
        <f>IF($B676=0,NA(),IF($F676="",NA(),IF(F$8="",NA(),IF(N(F$8)=0,NA(),IF(Inputs!$C$17="Rebased to 100",$F676/F$8*100,$F676)))))</f>
        <v/>
      </c>
      <c r="M676" s="54">
        <f>IF($B676=0,NA(),IF($G676="",NA(),IF(G$8="",NA(),IF(N(G$8)=0,NA(),IF(Inputs!$C$17="Rebased to 100",$G676/G$8*100,$G676)))))</f>
        <v/>
      </c>
      <c r="N676" s="54">
        <f>IF($B676=0,NA(),IF(Inputs!$C$18&lt;&gt;"Yes",NA(),IF(COUNT(I676,J676,K676,L676,M676)=0,NA(),MIN(I676,J676,K676,L676,M676))))</f>
        <v/>
      </c>
      <c r="O676" s="54">
        <f>IF($B676=0,NA(),IF(Inputs!$B$24&lt;&gt;"Yes",NA(),Inputs!$D$24*Inputs!$C$35))</f>
        <v/>
      </c>
      <c r="P676" s="54">
        <f>IF($B676=0,NA(),IF(Inputs!$B$25&lt;&gt;"Yes",NA(),Inputs!$D$25*Inputs!$C$35))</f>
        <v/>
      </c>
      <c r="Q676" s="54">
        <f>IF($B676=0,NA(),IF(Inputs!$B$26&lt;&gt;"Yes",NA(),Inputs!$D$26*Inputs!$C$35))</f>
        <v/>
      </c>
      <c r="R676" s="54">
        <f>IF($B676=0,NA(),IF(Inputs!$B$27&lt;&gt;"Yes",NA(),Inputs!$D$27*Inputs!$C$35))</f>
        <v/>
      </c>
      <c r="S676" s="54">
        <f>IF($B676=0,NA(),IF(Inputs!$B$28&lt;&gt;"Yes",NA(),Inputs!$D$28*Inputs!$C$35))</f>
        <v/>
      </c>
      <c r="T676" s="54">
        <f>IF($B676=0,NA(),IF(Inputs!$B$29&lt;&gt;"Yes",NA(),Inputs!$D$29*Inputs!$C$35))</f>
        <v/>
      </c>
      <c r="AD676">
        <f>IF($B676=0,0,IF(Inputs!$B$6="",0,COUNTIFS(Data!$A$10:$A$3209,"&gt;="&amp;$A676,Data!$A$10:$A$3209,"&lt;"&amp;$A676+1)))</f>
        <v/>
      </c>
      <c r="AE676">
        <f>IF($B676=0,0,IF(Inputs!$B$7="",0,COUNTIFS(Data!$E$10:$E$3209,"&gt;="&amp;$A676,Data!$E$10:$E$3209,"&lt;"&amp;$A676+1)))</f>
        <v/>
      </c>
      <c r="AF676">
        <f>IF($B676=0,0,IF(Inputs!$B$8="",0,COUNTIFS(Data!$I$10:$I$3209,"&gt;="&amp;$A676,Data!$I$10:$I$3209,"&lt;"&amp;$A676+1)))</f>
        <v/>
      </c>
      <c r="AG676">
        <f>IF($B676=0,0,IF(Inputs!$B$9="",0,COUNTIFS(Data!$M$10:$M$3209,"&gt;="&amp;$A676,Data!$M$10:$M$3209,"&lt;"&amp;$A676+1)))</f>
        <v/>
      </c>
      <c r="AH676">
        <f>IF($B676=0,0,IF(Inputs!$B$10="",0,COUNTIFS(Data!$Q$10:$Q$3209,"&gt;="&amp;$A676,Data!$Q$10:$Q$3209,"&lt;"&amp;$A676+1)))</f>
        <v/>
      </c>
    </row>
    <row r="677">
      <c r="A677" s="55">
        <f>MIN(Inputs!$C$15,$A676+IF(WEEKDAY($A676,2)=5,3,1))</f>
        <v/>
      </c>
      <c r="B677">
        <f>IF($A677&gt;$A676,1,0)</f>
        <v/>
      </c>
      <c r="C677" s="56">
        <f>IF($B677=0,"",IF(Inputs!$B$6="","",IF($AD677=0,C676,SUMIFS(Data!$B$10:$B$3209,Data!$A$10:$A$3209,"&gt;="&amp;$A677,Data!$A$10:$A$3209,"&lt;"&amp;$A677+1)/$AD677)))</f>
        <v/>
      </c>
      <c r="D677" s="56">
        <f>IF($B677=0,"",IF(Inputs!$B$7="","",IF($AE677=0,D676,SUMIFS(Data!$F$10:$F$3209,Data!$E$10:$E$3209,"&gt;="&amp;$A677,Data!$E$10:$E$3209,"&lt;"&amp;$A677+1)/$AE677)))</f>
        <v/>
      </c>
      <c r="E677" s="56">
        <f>IF($B677=0,"",IF(Inputs!$B$8="","",IF($AF677=0,E676,SUMIFS(Data!$J$10:$J$3209,Data!$I$10:$I$3209,"&gt;="&amp;$A677,Data!$I$10:$I$3209,"&lt;"&amp;$A677+1)/$AF677)))</f>
        <v/>
      </c>
      <c r="F677" s="56">
        <f>IF($B677=0,"",IF(Inputs!$B$9="","",IF($AG677=0,F676,SUMIFS(Data!$N$10:$N$3209,Data!$M$10:$M$3209,"&gt;="&amp;$A677,Data!$M$10:$M$3209,"&lt;"&amp;$A677+1)/$AG677)))</f>
        <v/>
      </c>
      <c r="G677" s="56">
        <f>IF($B677=0,"",IF(Inputs!$B$10="","",IF($AH677=0,G676,SUMIFS(Data!$R$10:$R$3209,Data!$Q$10:$Q$3209,"&gt;="&amp;$A677,Data!$Q$10:$Q$3209,"&lt;"&amp;$A677+1)/$AH677)))</f>
        <v/>
      </c>
      <c r="I677" s="54">
        <f>IF($B677=0,NA(),IF($C677="",NA(),IF(C$8="",NA(),IF(N(C$8)=0,NA(),IF(Inputs!$C$17="Rebased to 100",$C677/C$8*100,$C677)))))</f>
        <v/>
      </c>
      <c r="J677" s="54">
        <f>IF($B677=0,NA(),IF($D677="",NA(),IF(D$8="",NA(),IF(N(D$8)=0,NA(),IF(Inputs!$C$17="Rebased to 100",$D677/D$8*100,$D677)))))</f>
        <v/>
      </c>
      <c r="K677" s="54">
        <f>IF($B677=0,NA(),IF($E677="",NA(),IF(E$8="",NA(),IF(N(E$8)=0,NA(),IF(Inputs!$C$17="Rebased to 100",$E677/E$8*100,$E677)))))</f>
        <v/>
      </c>
      <c r="L677" s="54">
        <f>IF($B677=0,NA(),IF($F677="",NA(),IF(F$8="",NA(),IF(N(F$8)=0,NA(),IF(Inputs!$C$17="Rebased to 100",$F677/F$8*100,$F677)))))</f>
        <v/>
      </c>
      <c r="M677" s="54">
        <f>IF($B677=0,NA(),IF($G677="",NA(),IF(G$8="",NA(),IF(N(G$8)=0,NA(),IF(Inputs!$C$17="Rebased to 100",$G677/G$8*100,$G677)))))</f>
        <v/>
      </c>
      <c r="N677" s="54">
        <f>IF($B677=0,NA(),IF(Inputs!$C$18&lt;&gt;"Yes",NA(),IF(COUNT(I677,J677,K677,L677,M677)=0,NA(),MIN(I677,J677,K677,L677,M677))))</f>
        <v/>
      </c>
      <c r="O677" s="54">
        <f>IF($B677=0,NA(),IF(Inputs!$B$24&lt;&gt;"Yes",NA(),Inputs!$D$24*Inputs!$C$35))</f>
        <v/>
      </c>
      <c r="P677" s="54">
        <f>IF($B677=0,NA(),IF(Inputs!$B$25&lt;&gt;"Yes",NA(),Inputs!$D$25*Inputs!$C$35))</f>
        <v/>
      </c>
      <c r="Q677" s="54">
        <f>IF($B677=0,NA(),IF(Inputs!$B$26&lt;&gt;"Yes",NA(),Inputs!$D$26*Inputs!$C$35))</f>
        <v/>
      </c>
      <c r="R677" s="54">
        <f>IF($B677=0,NA(),IF(Inputs!$B$27&lt;&gt;"Yes",NA(),Inputs!$D$27*Inputs!$C$35))</f>
        <v/>
      </c>
      <c r="S677" s="54">
        <f>IF($B677=0,NA(),IF(Inputs!$B$28&lt;&gt;"Yes",NA(),Inputs!$D$28*Inputs!$C$35))</f>
        <v/>
      </c>
      <c r="T677" s="54">
        <f>IF($B677=0,NA(),IF(Inputs!$B$29&lt;&gt;"Yes",NA(),Inputs!$D$29*Inputs!$C$35))</f>
        <v/>
      </c>
      <c r="AD677">
        <f>IF($B677=0,0,IF(Inputs!$B$6="",0,COUNTIFS(Data!$A$10:$A$3209,"&gt;="&amp;$A677,Data!$A$10:$A$3209,"&lt;"&amp;$A677+1)))</f>
        <v/>
      </c>
      <c r="AE677">
        <f>IF($B677=0,0,IF(Inputs!$B$7="",0,COUNTIFS(Data!$E$10:$E$3209,"&gt;="&amp;$A677,Data!$E$10:$E$3209,"&lt;"&amp;$A677+1)))</f>
        <v/>
      </c>
      <c r="AF677">
        <f>IF($B677=0,0,IF(Inputs!$B$8="",0,COUNTIFS(Data!$I$10:$I$3209,"&gt;="&amp;$A677,Data!$I$10:$I$3209,"&lt;"&amp;$A677+1)))</f>
        <v/>
      </c>
      <c r="AG677">
        <f>IF($B677=0,0,IF(Inputs!$B$9="",0,COUNTIFS(Data!$M$10:$M$3209,"&gt;="&amp;$A677,Data!$M$10:$M$3209,"&lt;"&amp;$A677+1)))</f>
        <v/>
      </c>
      <c r="AH677">
        <f>IF($B677=0,0,IF(Inputs!$B$10="",0,COUNTIFS(Data!$Q$10:$Q$3209,"&gt;="&amp;$A677,Data!$Q$10:$Q$3209,"&lt;"&amp;$A677+1)))</f>
        <v/>
      </c>
    </row>
    <row r="678">
      <c r="A678" s="55">
        <f>MIN(Inputs!$C$15,$A677+IF(WEEKDAY($A677,2)=5,3,1))</f>
        <v/>
      </c>
      <c r="B678">
        <f>IF($A678&gt;$A677,1,0)</f>
        <v/>
      </c>
      <c r="C678" s="56">
        <f>IF($B678=0,"",IF(Inputs!$B$6="","",IF($AD678=0,C677,SUMIFS(Data!$B$10:$B$3209,Data!$A$10:$A$3209,"&gt;="&amp;$A678,Data!$A$10:$A$3209,"&lt;"&amp;$A678+1)/$AD678)))</f>
        <v/>
      </c>
      <c r="D678" s="56">
        <f>IF($B678=0,"",IF(Inputs!$B$7="","",IF($AE678=0,D677,SUMIFS(Data!$F$10:$F$3209,Data!$E$10:$E$3209,"&gt;="&amp;$A678,Data!$E$10:$E$3209,"&lt;"&amp;$A678+1)/$AE678)))</f>
        <v/>
      </c>
      <c r="E678" s="56">
        <f>IF($B678=0,"",IF(Inputs!$B$8="","",IF($AF678=0,E677,SUMIFS(Data!$J$10:$J$3209,Data!$I$10:$I$3209,"&gt;="&amp;$A678,Data!$I$10:$I$3209,"&lt;"&amp;$A678+1)/$AF678)))</f>
        <v/>
      </c>
      <c r="F678" s="56">
        <f>IF($B678=0,"",IF(Inputs!$B$9="","",IF($AG678=0,F677,SUMIFS(Data!$N$10:$N$3209,Data!$M$10:$M$3209,"&gt;="&amp;$A678,Data!$M$10:$M$3209,"&lt;"&amp;$A678+1)/$AG678)))</f>
        <v/>
      </c>
      <c r="G678" s="56">
        <f>IF($B678=0,"",IF(Inputs!$B$10="","",IF($AH678=0,G677,SUMIFS(Data!$R$10:$R$3209,Data!$Q$10:$Q$3209,"&gt;="&amp;$A678,Data!$Q$10:$Q$3209,"&lt;"&amp;$A678+1)/$AH678)))</f>
        <v/>
      </c>
      <c r="I678" s="54">
        <f>IF($B678=0,NA(),IF($C678="",NA(),IF(C$8="",NA(),IF(N(C$8)=0,NA(),IF(Inputs!$C$17="Rebased to 100",$C678/C$8*100,$C678)))))</f>
        <v/>
      </c>
      <c r="J678" s="54">
        <f>IF($B678=0,NA(),IF($D678="",NA(),IF(D$8="",NA(),IF(N(D$8)=0,NA(),IF(Inputs!$C$17="Rebased to 100",$D678/D$8*100,$D678)))))</f>
        <v/>
      </c>
      <c r="K678" s="54">
        <f>IF($B678=0,NA(),IF($E678="",NA(),IF(E$8="",NA(),IF(N(E$8)=0,NA(),IF(Inputs!$C$17="Rebased to 100",$E678/E$8*100,$E678)))))</f>
        <v/>
      </c>
      <c r="L678" s="54">
        <f>IF($B678=0,NA(),IF($F678="",NA(),IF(F$8="",NA(),IF(N(F$8)=0,NA(),IF(Inputs!$C$17="Rebased to 100",$F678/F$8*100,$F678)))))</f>
        <v/>
      </c>
      <c r="M678" s="54">
        <f>IF($B678=0,NA(),IF($G678="",NA(),IF(G$8="",NA(),IF(N(G$8)=0,NA(),IF(Inputs!$C$17="Rebased to 100",$G678/G$8*100,$G678)))))</f>
        <v/>
      </c>
      <c r="N678" s="54">
        <f>IF($B678=0,NA(),IF(Inputs!$C$18&lt;&gt;"Yes",NA(),IF(COUNT(I678,J678,K678,L678,M678)=0,NA(),MIN(I678,J678,K678,L678,M678))))</f>
        <v/>
      </c>
      <c r="O678" s="54">
        <f>IF($B678=0,NA(),IF(Inputs!$B$24&lt;&gt;"Yes",NA(),Inputs!$D$24*Inputs!$C$35))</f>
        <v/>
      </c>
      <c r="P678" s="54">
        <f>IF($B678=0,NA(),IF(Inputs!$B$25&lt;&gt;"Yes",NA(),Inputs!$D$25*Inputs!$C$35))</f>
        <v/>
      </c>
      <c r="Q678" s="54">
        <f>IF($B678=0,NA(),IF(Inputs!$B$26&lt;&gt;"Yes",NA(),Inputs!$D$26*Inputs!$C$35))</f>
        <v/>
      </c>
      <c r="R678" s="54">
        <f>IF($B678=0,NA(),IF(Inputs!$B$27&lt;&gt;"Yes",NA(),Inputs!$D$27*Inputs!$C$35))</f>
        <v/>
      </c>
      <c r="S678" s="54">
        <f>IF($B678=0,NA(),IF(Inputs!$B$28&lt;&gt;"Yes",NA(),Inputs!$D$28*Inputs!$C$35))</f>
        <v/>
      </c>
      <c r="T678" s="54">
        <f>IF($B678=0,NA(),IF(Inputs!$B$29&lt;&gt;"Yes",NA(),Inputs!$D$29*Inputs!$C$35))</f>
        <v/>
      </c>
      <c r="AD678">
        <f>IF($B678=0,0,IF(Inputs!$B$6="",0,COUNTIFS(Data!$A$10:$A$3209,"&gt;="&amp;$A678,Data!$A$10:$A$3209,"&lt;"&amp;$A678+1)))</f>
        <v/>
      </c>
      <c r="AE678">
        <f>IF($B678=0,0,IF(Inputs!$B$7="",0,COUNTIFS(Data!$E$10:$E$3209,"&gt;="&amp;$A678,Data!$E$10:$E$3209,"&lt;"&amp;$A678+1)))</f>
        <v/>
      </c>
      <c r="AF678">
        <f>IF($B678=0,0,IF(Inputs!$B$8="",0,COUNTIFS(Data!$I$10:$I$3209,"&gt;="&amp;$A678,Data!$I$10:$I$3209,"&lt;"&amp;$A678+1)))</f>
        <v/>
      </c>
      <c r="AG678">
        <f>IF($B678=0,0,IF(Inputs!$B$9="",0,COUNTIFS(Data!$M$10:$M$3209,"&gt;="&amp;$A678,Data!$M$10:$M$3209,"&lt;"&amp;$A678+1)))</f>
        <v/>
      </c>
      <c r="AH678">
        <f>IF($B678=0,0,IF(Inputs!$B$10="",0,COUNTIFS(Data!$Q$10:$Q$3209,"&gt;="&amp;$A678,Data!$Q$10:$Q$3209,"&lt;"&amp;$A678+1)))</f>
        <v/>
      </c>
    </row>
    <row r="679">
      <c r="A679" s="55">
        <f>MIN(Inputs!$C$15,$A678+IF(WEEKDAY($A678,2)=5,3,1))</f>
        <v/>
      </c>
      <c r="B679">
        <f>IF($A679&gt;$A678,1,0)</f>
        <v/>
      </c>
      <c r="C679" s="56">
        <f>IF($B679=0,"",IF(Inputs!$B$6="","",IF($AD679=0,C678,SUMIFS(Data!$B$10:$B$3209,Data!$A$10:$A$3209,"&gt;="&amp;$A679,Data!$A$10:$A$3209,"&lt;"&amp;$A679+1)/$AD679)))</f>
        <v/>
      </c>
      <c r="D679" s="56">
        <f>IF($B679=0,"",IF(Inputs!$B$7="","",IF($AE679=0,D678,SUMIFS(Data!$F$10:$F$3209,Data!$E$10:$E$3209,"&gt;="&amp;$A679,Data!$E$10:$E$3209,"&lt;"&amp;$A679+1)/$AE679)))</f>
        <v/>
      </c>
      <c r="E679" s="56">
        <f>IF($B679=0,"",IF(Inputs!$B$8="","",IF($AF679=0,E678,SUMIFS(Data!$J$10:$J$3209,Data!$I$10:$I$3209,"&gt;="&amp;$A679,Data!$I$10:$I$3209,"&lt;"&amp;$A679+1)/$AF679)))</f>
        <v/>
      </c>
      <c r="F679" s="56">
        <f>IF($B679=0,"",IF(Inputs!$B$9="","",IF($AG679=0,F678,SUMIFS(Data!$N$10:$N$3209,Data!$M$10:$M$3209,"&gt;="&amp;$A679,Data!$M$10:$M$3209,"&lt;"&amp;$A679+1)/$AG679)))</f>
        <v/>
      </c>
      <c r="G679" s="56">
        <f>IF($B679=0,"",IF(Inputs!$B$10="","",IF($AH679=0,G678,SUMIFS(Data!$R$10:$R$3209,Data!$Q$10:$Q$3209,"&gt;="&amp;$A679,Data!$Q$10:$Q$3209,"&lt;"&amp;$A679+1)/$AH679)))</f>
        <v/>
      </c>
      <c r="I679" s="54">
        <f>IF($B679=0,NA(),IF($C679="",NA(),IF(C$8="",NA(),IF(N(C$8)=0,NA(),IF(Inputs!$C$17="Rebased to 100",$C679/C$8*100,$C679)))))</f>
        <v/>
      </c>
      <c r="J679" s="54">
        <f>IF($B679=0,NA(),IF($D679="",NA(),IF(D$8="",NA(),IF(N(D$8)=0,NA(),IF(Inputs!$C$17="Rebased to 100",$D679/D$8*100,$D679)))))</f>
        <v/>
      </c>
      <c r="K679" s="54">
        <f>IF($B679=0,NA(),IF($E679="",NA(),IF(E$8="",NA(),IF(N(E$8)=0,NA(),IF(Inputs!$C$17="Rebased to 100",$E679/E$8*100,$E679)))))</f>
        <v/>
      </c>
      <c r="L679" s="54">
        <f>IF($B679=0,NA(),IF($F679="",NA(),IF(F$8="",NA(),IF(N(F$8)=0,NA(),IF(Inputs!$C$17="Rebased to 100",$F679/F$8*100,$F679)))))</f>
        <v/>
      </c>
      <c r="M679" s="54">
        <f>IF($B679=0,NA(),IF($G679="",NA(),IF(G$8="",NA(),IF(N(G$8)=0,NA(),IF(Inputs!$C$17="Rebased to 100",$G679/G$8*100,$G679)))))</f>
        <v/>
      </c>
      <c r="N679" s="54">
        <f>IF($B679=0,NA(),IF(Inputs!$C$18&lt;&gt;"Yes",NA(),IF(COUNT(I679,J679,K679,L679,M679)=0,NA(),MIN(I679,J679,K679,L679,M679))))</f>
        <v/>
      </c>
      <c r="O679" s="54">
        <f>IF($B679=0,NA(),IF(Inputs!$B$24&lt;&gt;"Yes",NA(),Inputs!$D$24*Inputs!$C$35))</f>
        <v/>
      </c>
      <c r="P679" s="54">
        <f>IF($B679=0,NA(),IF(Inputs!$B$25&lt;&gt;"Yes",NA(),Inputs!$D$25*Inputs!$C$35))</f>
        <v/>
      </c>
      <c r="Q679" s="54">
        <f>IF($B679=0,NA(),IF(Inputs!$B$26&lt;&gt;"Yes",NA(),Inputs!$D$26*Inputs!$C$35))</f>
        <v/>
      </c>
      <c r="R679" s="54">
        <f>IF($B679=0,NA(),IF(Inputs!$B$27&lt;&gt;"Yes",NA(),Inputs!$D$27*Inputs!$C$35))</f>
        <v/>
      </c>
      <c r="S679" s="54">
        <f>IF($B679=0,NA(),IF(Inputs!$B$28&lt;&gt;"Yes",NA(),Inputs!$D$28*Inputs!$C$35))</f>
        <v/>
      </c>
      <c r="T679" s="54">
        <f>IF($B679=0,NA(),IF(Inputs!$B$29&lt;&gt;"Yes",NA(),Inputs!$D$29*Inputs!$C$35))</f>
        <v/>
      </c>
      <c r="AD679">
        <f>IF($B679=0,0,IF(Inputs!$B$6="",0,COUNTIFS(Data!$A$10:$A$3209,"&gt;="&amp;$A679,Data!$A$10:$A$3209,"&lt;"&amp;$A679+1)))</f>
        <v/>
      </c>
      <c r="AE679">
        <f>IF($B679=0,0,IF(Inputs!$B$7="",0,COUNTIFS(Data!$E$10:$E$3209,"&gt;="&amp;$A679,Data!$E$10:$E$3209,"&lt;"&amp;$A679+1)))</f>
        <v/>
      </c>
      <c r="AF679">
        <f>IF($B679=0,0,IF(Inputs!$B$8="",0,COUNTIFS(Data!$I$10:$I$3209,"&gt;="&amp;$A679,Data!$I$10:$I$3209,"&lt;"&amp;$A679+1)))</f>
        <v/>
      </c>
      <c r="AG679">
        <f>IF($B679=0,0,IF(Inputs!$B$9="",0,COUNTIFS(Data!$M$10:$M$3209,"&gt;="&amp;$A679,Data!$M$10:$M$3209,"&lt;"&amp;$A679+1)))</f>
        <v/>
      </c>
      <c r="AH679">
        <f>IF($B679=0,0,IF(Inputs!$B$10="",0,COUNTIFS(Data!$Q$10:$Q$3209,"&gt;="&amp;$A679,Data!$Q$10:$Q$3209,"&lt;"&amp;$A679+1)))</f>
        <v/>
      </c>
    </row>
    <row r="680">
      <c r="A680" s="55">
        <f>MIN(Inputs!$C$15,$A679+IF(WEEKDAY($A679,2)=5,3,1))</f>
        <v/>
      </c>
      <c r="B680">
        <f>IF($A680&gt;$A679,1,0)</f>
        <v/>
      </c>
      <c r="C680" s="56">
        <f>IF($B680=0,"",IF(Inputs!$B$6="","",IF($AD680=0,C679,SUMIFS(Data!$B$10:$B$3209,Data!$A$10:$A$3209,"&gt;="&amp;$A680,Data!$A$10:$A$3209,"&lt;"&amp;$A680+1)/$AD680)))</f>
        <v/>
      </c>
      <c r="D680" s="56">
        <f>IF($B680=0,"",IF(Inputs!$B$7="","",IF($AE680=0,D679,SUMIFS(Data!$F$10:$F$3209,Data!$E$10:$E$3209,"&gt;="&amp;$A680,Data!$E$10:$E$3209,"&lt;"&amp;$A680+1)/$AE680)))</f>
        <v/>
      </c>
      <c r="E680" s="56">
        <f>IF($B680=0,"",IF(Inputs!$B$8="","",IF($AF680=0,E679,SUMIFS(Data!$J$10:$J$3209,Data!$I$10:$I$3209,"&gt;="&amp;$A680,Data!$I$10:$I$3209,"&lt;"&amp;$A680+1)/$AF680)))</f>
        <v/>
      </c>
      <c r="F680" s="56">
        <f>IF($B680=0,"",IF(Inputs!$B$9="","",IF($AG680=0,F679,SUMIFS(Data!$N$10:$N$3209,Data!$M$10:$M$3209,"&gt;="&amp;$A680,Data!$M$10:$M$3209,"&lt;"&amp;$A680+1)/$AG680)))</f>
        <v/>
      </c>
      <c r="G680" s="56">
        <f>IF($B680=0,"",IF(Inputs!$B$10="","",IF($AH680=0,G679,SUMIFS(Data!$R$10:$R$3209,Data!$Q$10:$Q$3209,"&gt;="&amp;$A680,Data!$Q$10:$Q$3209,"&lt;"&amp;$A680+1)/$AH680)))</f>
        <v/>
      </c>
      <c r="I680" s="54">
        <f>IF($B680=0,NA(),IF($C680="",NA(),IF(C$8="",NA(),IF(N(C$8)=0,NA(),IF(Inputs!$C$17="Rebased to 100",$C680/C$8*100,$C680)))))</f>
        <v/>
      </c>
      <c r="J680" s="54">
        <f>IF($B680=0,NA(),IF($D680="",NA(),IF(D$8="",NA(),IF(N(D$8)=0,NA(),IF(Inputs!$C$17="Rebased to 100",$D680/D$8*100,$D680)))))</f>
        <v/>
      </c>
      <c r="K680" s="54">
        <f>IF($B680=0,NA(),IF($E680="",NA(),IF(E$8="",NA(),IF(N(E$8)=0,NA(),IF(Inputs!$C$17="Rebased to 100",$E680/E$8*100,$E680)))))</f>
        <v/>
      </c>
      <c r="L680" s="54">
        <f>IF($B680=0,NA(),IF($F680="",NA(),IF(F$8="",NA(),IF(N(F$8)=0,NA(),IF(Inputs!$C$17="Rebased to 100",$F680/F$8*100,$F680)))))</f>
        <v/>
      </c>
      <c r="M680" s="54">
        <f>IF($B680=0,NA(),IF($G680="",NA(),IF(G$8="",NA(),IF(N(G$8)=0,NA(),IF(Inputs!$C$17="Rebased to 100",$G680/G$8*100,$G680)))))</f>
        <v/>
      </c>
      <c r="N680" s="54">
        <f>IF($B680=0,NA(),IF(Inputs!$C$18&lt;&gt;"Yes",NA(),IF(COUNT(I680,J680,K680,L680,M680)=0,NA(),MIN(I680,J680,K680,L680,M680))))</f>
        <v/>
      </c>
      <c r="O680" s="54">
        <f>IF($B680=0,NA(),IF(Inputs!$B$24&lt;&gt;"Yes",NA(),Inputs!$D$24*Inputs!$C$35))</f>
        <v/>
      </c>
      <c r="P680" s="54">
        <f>IF($B680=0,NA(),IF(Inputs!$B$25&lt;&gt;"Yes",NA(),Inputs!$D$25*Inputs!$C$35))</f>
        <v/>
      </c>
      <c r="Q680" s="54">
        <f>IF($B680=0,NA(),IF(Inputs!$B$26&lt;&gt;"Yes",NA(),Inputs!$D$26*Inputs!$C$35))</f>
        <v/>
      </c>
      <c r="R680" s="54">
        <f>IF($B680=0,NA(),IF(Inputs!$B$27&lt;&gt;"Yes",NA(),Inputs!$D$27*Inputs!$C$35))</f>
        <v/>
      </c>
      <c r="S680" s="54">
        <f>IF($B680=0,NA(),IF(Inputs!$B$28&lt;&gt;"Yes",NA(),Inputs!$D$28*Inputs!$C$35))</f>
        <v/>
      </c>
      <c r="T680" s="54">
        <f>IF($B680=0,NA(),IF(Inputs!$B$29&lt;&gt;"Yes",NA(),Inputs!$D$29*Inputs!$C$35))</f>
        <v/>
      </c>
      <c r="AD680">
        <f>IF($B680=0,0,IF(Inputs!$B$6="",0,COUNTIFS(Data!$A$10:$A$3209,"&gt;="&amp;$A680,Data!$A$10:$A$3209,"&lt;"&amp;$A680+1)))</f>
        <v/>
      </c>
      <c r="AE680">
        <f>IF($B680=0,0,IF(Inputs!$B$7="",0,COUNTIFS(Data!$E$10:$E$3209,"&gt;="&amp;$A680,Data!$E$10:$E$3209,"&lt;"&amp;$A680+1)))</f>
        <v/>
      </c>
      <c r="AF680">
        <f>IF($B680=0,0,IF(Inputs!$B$8="",0,COUNTIFS(Data!$I$10:$I$3209,"&gt;="&amp;$A680,Data!$I$10:$I$3209,"&lt;"&amp;$A680+1)))</f>
        <v/>
      </c>
      <c r="AG680">
        <f>IF($B680=0,0,IF(Inputs!$B$9="",0,COUNTIFS(Data!$M$10:$M$3209,"&gt;="&amp;$A680,Data!$M$10:$M$3209,"&lt;"&amp;$A680+1)))</f>
        <v/>
      </c>
      <c r="AH680">
        <f>IF($B680=0,0,IF(Inputs!$B$10="",0,COUNTIFS(Data!$Q$10:$Q$3209,"&gt;="&amp;$A680,Data!$Q$10:$Q$3209,"&lt;"&amp;$A680+1)))</f>
        <v/>
      </c>
    </row>
    <row r="681">
      <c r="A681" s="55">
        <f>MIN(Inputs!$C$15,$A680+IF(WEEKDAY($A680,2)=5,3,1))</f>
        <v/>
      </c>
      <c r="B681">
        <f>IF($A681&gt;$A680,1,0)</f>
        <v/>
      </c>
      <c r="C681" s="56">
        <f>IF($B681=0,"",IF(Inputs!$B$6="","",IF($AD681=0,C680,SUMIFS(Data!$B$10:$B$3209,Data!$A$10:$A$3209,"&gt;="&amp;$A681,Data!$A$10:$A$3209,"&lt;"&amp;$A681+1)/$AD681)))</f>
        <v/>
      </c>
      <c r="D681" s="56">
        <f>IF($B681=0,"",IF(Inputs!$B$7="","",IF($AE681=0,D680,SUMIFS(Data!$F$10:$F$3209,Data!$E$10:$E$3209,"&gt;="&amp;$A681,Data!$E$10:$E$3209,"&lt;"&amp;$A681+1)/$AE681)))</f>
        <v/>
      </c>
      <c r="E681" s="56">
        <f>IF($B681=0,"",IF(Inputs!$B$8="","",IF($AF681=0,E680,SUMIFS(Data!$J$10:$J$3209,Data!$I$10:$I$3209,"&gt;="&amp;$A681,Data!$I$10:$I$3209,"&lt;"&amp;$A681+1)/$AF681)))</f>
        <v/>
      </c>
      <c r="F681" s="56">
        <f>IF($B681=0,"",IF(Inputs!$B$9="","",IF($AG681=0,F680,SUMIFS(Data!$N$10:$N$3209,Data!$M$10:$M$3209,"&gt;="&amp;$A681,Data!$M$10:$M$3209,"&lt;"&amp;$A681+1)/$AG681)))</f>
        <v/>
      </c>
      <c r="G681" s="56">
        <f>IF($B681=0,"",IF(Inputs!$B$10="","",IF($AH681=0,G680,SUMIFS(Data!$R$10:$R$3209,Data!$Q$10:$Q$3209,"&gt;="&amp;$A681,Data!$Q$10:$Q$3209,"&lt;"&amp;$A681+1)/$AH681)))</f>
        <v/>
      </c>
      <c r="I681" s="54">
        <f>IF($B681=0,NA(),IF($C681="",NA(),IF(C$8="",NA(),IF(N(C$8)=0,NA(),IF(Inputs!$C$17="Rebased to 100",$C681/C$8*100,$C681)))))</f>
        <v/>
      </c>
      <c r="J681" s="54">
        <f>IF($B681=0,NA(),IF($D681="",NA(),IF(D$8="",NA(),IF(N(D$8)=0,NA(),IF(Inputs!$C$17="Rebased to 100",$D681/D$8*100,$D681)))))</f>
        <v/>
      </c>
      <c r="K681" s="54">
        <f>IF($B681=0,NA(),IF($E681="",NA(),IF(E$8="",NA(),IF(N(E$8)=0,NA(),IF(Inputs!$C$17="Rebased to 100",$E681/E$8*100,$E681)))))</f>
        <v/>
      </c>
      <c r="L681" s="54">
        <f>IF($B681=0,NA(),IF($F681="",NA(),IF(F$8="",NA(),IF(N(F$8)=0,NA(),IF(Inputs!$C$17="Rebased to 100",$F681/F$8*100,$F681)))))</f>
        <v/>
      </c>
      <c r="M681" s="54">
        <f>IF($B681=0,NA(),IF($G681="",NA(),IF(G$8="",NA(),IF(N(G$8)=0,NA(),IF(Inputs!$C$17="Rebased to 100",$G681/G$8*100,$G681)))))</f>
        <v/>
      </c>
      <c r="N681" s="54">
        <f>IF($B681=0,NA(),IF(Inputs!$C$18&lt;&gt;"Yes",NA(),IF(COUNT(I681,J681,K681,L681,M681)=0,NA(),MIN(I681,J681,K681,L681,M681))))</f>
        <v/>
      </c>
      <c r="O681" s="54">
        <f>IF($B681=0,NA(),IF(Inputs!$B$24&lt;&gt;"Yes",NA(),Inputs!$D$24*Inputs!$C$35))</f>
        <v/>
      </c>
      <c r="P681" s="54">
        <f>IF($B681=0,NA(),IF(Inputs!$B$25&lt;&gt;"Yes",NA(),Inputs!$D$25*Inputs!$C$35))</f>
        <v/>
      </c>
      <c r="Q681" s="54">
        <f>IF($B681=0,NA(),IF(Inputs!$B$26&lt;&gt;"Yes",NA(),Inputs!$D$26*Inputs!$C$35))</f>
        <v/>
      </c>
      <c r="R681" s="54">
        <f>IF($B681=0,NA(),IF(Inputs!$B$27&lt;&gt;"Yes",NA(),Inputs!$D$27*Inputs!$C$35))</f>
        <v/>
      </c>
      <c r="S681" s="54">
        <f>IF($B681=0,NA(),IF(Inputs!$B$28&lt;&gt;"Yes",NA(),Inputs!$D$28*Inputs!$C$35))</f>
        <v/>
      </c>
      <c r="T681" s="54">
        <f>IF($B681=0,NA(),IF(Inputs!$B$29&lt;&gt;"Yes",NA(),Inputs!$D$29*Inputs!$C$35))</f>
        <v/>
      </c>
      <c r="AD681">
        <f>IF($B681=0,0,IF(Inputs!$B$6="",0,COUNTIFS(Data!$A$10:$A$3209,"&gt;="&amp;$A681,Data!$A$10:$A$3209,"&lt;"&amp;$A681+1)))</f>
        <v/>
      </c>
      <c r="AE681">
        <f>IF($B681=0,0,IF(Inputs!$B$7="",0,COUNTIFS(Data!$E$10:$E$3209,"&gt;="&amp;$A681,Data!$E$10:$E$3209,"&lt;"&amp;$A681+1)))</f>
        <v/>
      </c>
      <c r="AF681">
        <f>IF($B681=0,0,IF(Inputs!$B$8="",0,COUNTIFS(Data!$I$10:$I$3209,"&gt;="&amp;$A681,Data!$I$10:$I$3209,"&lt;"&amp;$A681+1)))</f>
        <v/>
      </c>
      <c r="AG681">
        <f>IF($B681=0,0,IF(Inputs!$B$9="",0,COUNTIFS(Data!$M$10:$M$3209,"&gt;="&amp;$A681,Data!$M$10:$M$3209,"&lt;"&amp;$A681+1)))</f>
        <v/>
      </c>
      <c r="AH681">
        <f>IF($B681=0,0,IF(Inputs!$B$10="",0,COUNTIFS(Data!$Q$10:$Q$3209,"&gt;="&amp;$A681,Data!$Q$10:$Q$3209,"&lt;"&amp;$A681+1)))</f>
        <v/>
      </c>
    </row>
    <row r="682">
      <c r="A682" s="55">
        <f>MIN(Inputs!$C$15,$A681+IF(WEEKDAY($A681,2)=5,3,1))</f>
        <v/>
      </c>
      <c r="B682">
        <f>IF($A682&gt;$A681,1,0)</f>
        <v/>
      </c>
      <c r="C682" s="56">
        <f>IF($B682=0,"",IF(Inputs!$B$6="","",IF($AD682=0,C681,SUMIFS(Data!$B$10:$B$3209,Data!$A$10:$A$3209,"&gt;="&amp;$A682,Data!$A$10:$A$3209,"&lt;"&amp;$A682+1)/$AD682)))</f>
        <v/>
      </c>
      <c r="D682" s="56">
        <f>IF($B682=0,"",IF(Inputs!$B$7="","",IF($AE682=0,D681,SUMIFS(Data!$F$10:$F$3209,Data!$E$10:$E$3209,"&gt;="&amp;$A682,Data!$E$10:$E$3209,"&lt;"&amp;$A682+1)/$AE682)))</f>
        <v/>
      </c>
      <c r="E682" s="56">
        <f>IF($B682=0,"",IF(Inputs!$B$8="","",IF($AF682=0,E681,SUMIFS(Data!$J$10:$J$3209,Data!$I$10:$I$3209,"&gt;="&amp;$A682,Data!$I$10:$I$3209,"&lt;"&amp;$A682+1)/$AF682)))</f>
        <v/>
      </c>
      <c r="F682" s="56">
        <f>IF($B682=0,"",IF(Inputs!$B$9="","",IF($AG682=0,F681,SUMIFS(Data!$N$10:$N$3209,Data!$M$10:$M$3209,"&gt;="&amp;$A682,Data!$M$10:$M$3209,"&lt;"&amp;$A682+1)/$AG682)))</f>
        <v/>
      </c>
      <c r="G682" s="56">
        <f>IF($B682=0,"",IF(Inputs!$B$10="","",IF($AH682=0,G681,SUMIFS(Data!$R$10:$R$3209,Data!$Q$10:$Q$3209,"&gt;="&amp;$A682,Data!$Q$10:$Q$3209,"&lt;"&amp;$A682+1)/$AH682)))</f>
        <v/>
      </c>
      <c r="I682" s="54">
        <f>IF($B682=0,NA(),IF($C682="",NA(),IF(C$8="",NA(),IF(N(C$8)=0,NA(),IF(Inputs!$C$17="Rebased to 100",$C682/C$8*100,$C682)))))</f>
        <v/>
      </c>
      <c r="J682" s="54">
        <f>IF($B682=0,NA(),IF($D682="",NA(),IF(D$8="",NA(),IF(N(D$8)=0,NA(),IF(Inputs!$C$17="Rebased to 100",$D682/D$8*100,$D682)))))</f>
        <v/>
      </c>
      <c r="K682" s="54">
        <f>IF($B682=0,NA(),IF($E682="",NA(),IF(E$8="",NA(),IF(N(E$8)=0,NA(),IF(Inputs!$C$17="Rebased to 100",$E682/E$8*100,$E682)))))</f>
        <v/>
      </c>
      <c r="L682" s="54">
        <f>IF($B682=0,NA(),IF($F682="",NA(),IF(F$8="",NA(),IF(N(F$8)=0,NA(),IF(Inputs!$C$17="Rebased to 100",$F682/F$8*100,$F682)))))</f>
        <v/>
      </c>
      <c r="M682" s="54">
        <f>IF($B682=0,NA(),IF($G682="",NA(),IF(G$8="",NA(),IF(N(G$8)=0,NA(),IF(Inputs!$C$17="Rebased to 100",$G682/G$8*100,$G682)))))</f>
        <v/>
      </c>
      <c r="N682" s="54">
        <f>IF($B682=0,NA(),IF(Inputs!$C$18&lt;&gt;"Yes",NA(),IF(COUNT(I682,J682,K682,L682,M682)=0,NA(),MIN(I682,J682,K682,L682,M682))))</f>
        <v/>
      </c>
      <c r="O682" s="54">
        <f>IF($B682=0,NA(),IF(Inputs!$B$24&lt;&gt;"Yes",NA(),Inputs!$D$24*Inputs!$C$35))</f>
        <v/>
      </c>
      <c r="P682" s="54">
        <f>IF($B682=0,NA(),IF(Inputs!$B$25&lt;&gt;"Yes",NA(),Inputs!$D$25*Inputs!$C$35))</f>
        <v/>
      </c>
      <c r="Q682" s="54">
        <f>IF($B682=0,NA(),IF(Inputs!$B$26&lt;&gt;"Yes",NA(),Inputs!$D$26*Inputs!$C$35))</f>
        <v/>
      </c>
      <c r="R682" s="54">
        <f>IF($B682=0,NA(),IF(Inputs!$B$27&lt;&gt;"Yes",NA(),Inputs!$D$27*Inputs!$C$35))</f>
        <v/>
      </c>
      <c r="S682" s="54">
        <f>IF($B682=0,NA(),IF(Inputs!$B$28&lt;&gt;"Yes",NA(),Inputs!$D$28*Inputs!$C$35))</f>
        <v/>
      </c>
      <c r="T682" s="54">
        <f>IF($B682=0,NA(),IF(Inputs!$B$29&lt;&gt;"Yes",NA(),Inputs!$D$29*Inputs!$C$35))</f>
        <v/>
      </c>
      <c r="AD682">
        <f>IF($B682=0,0,IF(Inputs!$B$6="",0,COUNTIFS(Data!$A$10:$A$3209,"&gt;="&amp;$A682,Data!$A$10:$A$3209,"&lt;"&amp;$A682+1)))</f>
        <v/>
      </c>
      <c r="AE682">
        <f>IF($B682=0,0,IF(Inputs!$B$7="",0,COUNTIFS(Data!$E$10:$E$3209,"&gt;="&amp;$A682,Data!$E$10:$E$3209,"&lt;"&amp;$A682+1)))</f>
        <v/>
      </c>
      <c r="AF682">
        <f>IF($B682=0,0,IF(Inputs!$B$8="",0,COUNTIFS(Data!$I$10:$I$3209,"&gt;="&amp;$A682,Data!$I$10:$I$3209,"&lt;"&amp;$A682+1)))</f>
        <v/>
      </c>
      <c r="AG682">
        <f>IF($B682=0,0,IF(Inputs!$B$9="",0,COUNTIFS(Data!$M$10:$M$3209,"&gt;="&amp;$A682,Data!$M$10:$M$3209,"&lt;"&amp;$A682+1)))</f>
        <v/>
      </c>
      <c r="AH682">
        <f>IF($B682=0,0,IF(Inputs!$B$10="",0,COUNTIFS(Data!$Q$10:$Q$3209,"&gt;="&amp;$A682,Data!$Q$10:$Q$3209,"&lt;"&amp;$A682+1)))</f>
        <v/>
      </c>
    </row>
    <row r="683">
      <c r="A683" s="55">
        <f>MIN(Inputs!$C$15,$A682+IF(WEEKDAY($A682,2)=5,3,1))</f>
        <v/>
      </c>
      <c r="B683">
        <f>IF($A683&gt;$A682,1,0)</f>
        <v/>
      </c>
      <c r="C683" s="56">
        <f>IF($B683=0,"",IF(Inputs!$B$6="","",IF($AD683=0,C682,SUMIFS(Data!$B$10:$B$3209,Data!$A$10:$A$3209,"&gt;="&amp;$A683,Data!$A$10:$A$3209,"&lt;"&amp;$A683+1)/$AD683)))</f>
        <v/>
      </c>
      <c r="D683" s="56">
        <f>IF($B683=0,"",IF(Inputs!$B$7="","",IF($AE683=0,D682,SUMIFS(Data!$F$10:$F$3209,Data!$E$10:$E$3209,"&gt;="&amp;$A683,Data!$E$10:$E$3209,"&lt;"&amp;$A683+1)/$AE683)))</f>
        <v/>
      </c>
      <c r="E683" s="56">
        <f>IF($B683=0,"",IF(Inputs!$B$8="","",IF($AF683=0,E682,SUMIFS(Data!$J$10:$J$3209,Data!$I$10:$I$3209,"&gt;="&amp;$A683,Data!$I$10:$I$3209,"&lt;"&amp;$A683+1)/$AF683)))</f>
        <v/>
      </c>
      <c r="F683" s="56">
        <f>IF($B683=0,"",IF(Inputs!$B$9="","",IF($AG683=0,F682,SUMIFS(Data!$N$10:$N$3209,Data!$M$10:$M$3209,"&gt;="&amp;$A683,Data!$M$10:$M$3209,"&lt;"&amp;$A683+1)/$AG683)))</f>
        <v/>
      </c>
      <c r="G683" s="56">
        <f>IF($B683=0,"",IF(Inputs!$B$10="","",IF($AH683=0,G682,SUMIFS(Data!$R$10:$R$3209,Data!$Q$10:$Q$3209,"&gt;="&amp;$A683,Data!$Q$10:$Q$3209,"&lt;"&amp;$A683+1)/$AH683)))</f>
        <v/>
      </c>
      <c r="I683" s="54">
        <f>IF($B683=0,NA(),IF($C683="",NA(),IF(C$8="",NA(),IF(N(C$8)=0,NA(),IF(Inputs!$C$17="Rebased to 100",$C683/C$8*100,$C683)))))</f>
        <v/>
      </c>
      <c r="J683" s="54">
        <f>IF($B683=0,NA(),IF($D683="",NA(),IF(D$8="",NA(),IF(N(D$8)=0,NA(),IF(Inputs!$C$17="Rebased to 100",$D683/D$8*100,$D683)))))</f>
        <v/>
      </c>
      <c r="K683" s="54">
        <f>IF($B683=0,NA(),IF($E683="",NA(),IF(E$8="",NA(),IF(N(E$8)=0,NA(),IF(Inputs!$C$17="Rebased to 100",$E683/E$8*100,$E683)))))</f>
        <v/>
      </c>
      <c r="L683" s="54">
        <f>IF($B683=0,NA(),IF($F683="",NA(),IF(F$8="",NA(),IF(N(F$8)=0,NA(),IF(Inputs!$C$17="Rebased to 100",$F683/F$8*100,$F683)))))</f>
        <v/>
      </c>
      <c r="M683" s="54">
        <f>IF($B683=0,NA(),IF($G683="",NA(),IF(G$8="",NA(),IF(N(G$8)=0,NA(),IF(Inputs!$C$17="Rebased to 100",$G683/G$8*100,$G683)))))</f>
        <v/>
      </c>
      <c r="N683" s="54">
        <f>IF($B683=0,NA(),IF(Inputs!$C$18&lt;&gt;"Yes",NA(),IF(COUNT(I683,J683,K683,L683,M683)=0,NA(),MIN(I683,J683,K683,L683,M683))))</f>
        <v/>
      </c>
      <c r="O683" s="54">
        <f>IF($B683=0,NA(),IF(Inputs!$B$24&lt;&gt;"Yes",NA(),Inputs!$D$24*Inputs!$C$35))</f>
        <v/>
      </c>
      <c r="P683" s="54">
        <f>IF($B683=0,NA(),IF(Inputs!$B$25&lt;&gt;"Yes",NA(),Inputs!$D$25*Inputs!$C$35))</f>
        <v/>
      </c>
      <c r="Q683" s="54">
        <f>IF($B683=0,NA(),IF(Inputs!$B$26&lt;&gt;"Yes",NA(),Inputs!$D$26*Inputs!$C$35))</f>
        <v/>
      </c>
      <c r="R683" s="54">
        <f>IF($B683=0,NA(),IF(Inputs!$B$27&lt;&gt;"Yes",NA(),Inputs!$D$27*Inputs!$C$35))</f>
        <v/>
      </c>
      <c r="S683" s="54">
        <f>IF($B683=0,NA(),IF(Inputs!$B$28&lt;&gt;"Yes",NA(),Inputs!$D$28*Inputs!$C$35))</f>
        <v/>
      </c>
      <c r="T683" s="54">
        <f>IF($B683=0,NA(),IF(Inputs!$B$29&lt;&gt;"Yes",NA(),Inputs!$D$29*Inputs!$C$35))</f>
        <v/>
      </c>
      <c r="AD683">
        <f>IF($B683=0,0,IF(Inputs!$B$6="",0,COUNTIFS(Data!$A$10:$A$3209,"&gt;="&amp;$A683,Data!$A$10:$A$3209,"&lt;"&amp;$A683+1)))</f>
        <v/>
      </c>
      <c r="AE683">
        <f>IF($B683=0,0,IF(Inputs!$B$7="",0,COUNTIFS(Data!$E$10:$E$3209,"&gt;="&amp;$A683,Data!$E$10:$E$3209,"&lt;"&amp;$A683+1)))</f>
        <v/>
      </c>
      <c r="AF683">
        <f>IF($B683=0,0,IF(Inputs!$B$8="",0,COUNTIFS(Data!$I$10:$I$3209,"&gt;="&amp;$A683,Data!$I$10:$I$3209,"&lt;"&amp;$A683+1)))</f>
        <v/>
      </c>
      <c r="AG683">
        <f>IF($B683=0,0,IF(Inputs!$B$9="",0,COUNTIFS(Data!$M$10:$M$3209,"&gt;="&amp;$A683,Data!$M$10:$M$3209,"&lt;"&amp;$A683+1)))</f>
        <v/>
      </c>
      <c r="AH683">
        <f>IF($B683=0,0,IF(Inputs!$B$10="",0,COUNTIFS(Data!$Q$10:$Q$3209,"&gt;="&amp;$A683,Data!$Q$10:$Q$3209,"&lt;"&amp;$A683+1)))</f>
        <v/>
      </c>
    </row>
    <row r="684">
      <c r="A684" s="55">
        <f>MIN(Inputs!$C$15,$A683+IF(WEEKDAY($A683,2)=5,3,1))</f>
        <v/>
      </c>
      <c r="B684">
        <f>IF($A684&gt;$A683,1,0)</f>
        <v/>
      </c>
      <c r="C684" s="56">
        <f>IF($B684=0,"",IF(Inputs!$B$6="","",IF($AD684=0,C683,SUMIFS(Data!$B$10:$B$3209,Data!$A$10:$A$3209,"&gt;="&amp;$A684,Data!$A$10:$A$3209,"&lt;"&amp;$A684+1)/$AD684)))</f>
        <v/>
      </c>
      <c r="D684" s="56">
        <f>IF($B684=0,"",IF(Inputs!$B$7="","",IF($AE684=0,D683,SUMIFS(Data!$F$10:$F$3209,Data!$E$10:$E$3209,"&gt;="&amp;$A684,Data!$E$10:$E$3209,"&lt;"&amp;$A684+1)/$AE684)))</f>
        <v/>
      </c>
      <c r="E684" s="56">
        <f>IF($B684=0,"",IF(Inputs!$B$8="","",IF($AF684=0,E683,SUMIFS(Data!$J$10:$J$3209,Data!$I$10:$I$3209,"&gt;="&amp;$A684,Data!$I$10:$I$3209,"&lt;"&amp;$A684+1)/$AF684)))</f>
        <v/>
      </c>
      <c r="F684" s="56">
        <f>IF($B684=0,"",IF(Inputs!$B$9="","",IF($AG684=0,F683,SUMIFS(Data!$N$10:$N$3209,Data!$M$10:$M$3209,"&gt;="&amp;$A684,Data!$M$10:$M$3209,"&lt;"&amp;$A684+1)/$AG684)))</f>
        <v/>
      </c>
      <c r="G684" s="56">
        <f>IF($B684=0,"",IF(Inputs!$B$10="","",IF($AH684=0,G683,SUMIFS(Data!$R$10:$R$3209,Data!$Q$10:$Q$3209,"&gt;="&amp;$A684,Data!$Q$10:$Q$3209,"&lt;"&amp;$A684+1)/$AH684)))</f>
        <v/>
      </c>
      <c r="I684" s="54">
        <f>IF($B684=0,NA(),IF($C684="",NA(),IF(C$8="",NA(),IF(N(C$8)=0,NA(),IF(Inputs!$C$17="Rebased to 100",$C684/C$8*100,$C684)))))</f>
        <v/>
      </c>
      <c r="J684" s="54">
        <f>IF($B684=0,NA(),IF($D684="",NA(),IF(D$8="",NA(),IF(N(D$8)=0,NA(),IF(Inputs!$C$17="Rebased to 100",$D684/D$8*100,$D684)))))</f>
        <v/>
      </c>
      <c r="K684" s="54">
        <f>IF($B684=0,NA(),IF($E684="",NA(),IF(E$8="",NA(),IF(N(E$8)=0,NA(),IF(Inputs!$C$17="Rebased to 100",$E684/E$8*100,$E684)))))</f>
        <v/>
      </c>
      <c r="L684" s="54">
        <f>IF($B684=0,NA(),IF($F684="",NA(),IF(F$8="",NA(),IF(N(F$8)=0,NA(),IF(Inputs!$C$17="Rebased to 100",$F684/F$8*100,$F684)))))</f>
        <v/>
      </c>
      <c r="M684" s="54">
        <f>IF($B684=0,NA(),IF($G684="",NA(),IF(G$8="",NA(),IF(N(G$8)=0,NA(),IF(Inputs!$C$17="Rebased to 100",$G684/G$8*100,$G684)))))</f>
        <v/>
      </c>
      <c r="N684" s="54">
        <f>IF($B684=0,NA(),IF(Inputs!$C$18&lt;&gt;"Yes",NA(),IF(COUNT(I684,J684,K684,L684,M684)=0,NA(),MIN(I684,J684,K684,L684,M684))))</f>
        <v/>
      </c>
      <c r="O684" s="54">
        <f>IF($B684=0,NA(),IF(Inputs!$B$24&lt;&gt;"Yes",NA(),Inputs!$D$24*Inputs!$C$35))</f>
        <v/>
      </c>
      <c r="P684" s="54">
        <f>IF($B684=0,NA(),IF(Inputs!$B$25&lt;&gt;"Yes",NA(),Inputs!$D$25*Inputs!$C$35))</f>
        <v/>
      </c>
      <c r="Q684" s="54">
        <f>IF($B684=0,NA(),IF(Inputs!$B$26&lt;&gt;"Yes",NA(),Inputs!$D$26*Inputs!$C$35))</f>
        <v/>
      </c>
      <c r="R684" s="54">
        <f>IF($B684=0,NA(),IF(Inputs!$B$27&lt;&gt;"Yes",NA(),Inputs!$D$27*Inputs!$C$35))</f>
        <v/>
      </c>
      <c r="S684" s="54">
        <f>IF($B684=0,NA(),IF(Inputs!$B$28&lt;&gt;"Yes",NA(),Inputs!$D$28*Inputs!$C$35))</f>
        <v/>
      </c>
      <c r="T684" s="54">
        <f>IF($B684=0,NA(),IF(Inputs!$B$29&lt;&gt;"Yes",NA(),Inputs!$D$29*Inputs!$C$35))</f>
        <v/>
      </c>
      <c r="AD684">
        <f>IF($B684=0,0,IF(Inputs!$B$6="",0,COUNTIFS(Data!$A$10:$A$3209,"&gt;="&amp;$A684,Data!$A$10:$A$3209,"&lt;"&amp;$A684+1)))</f>
        <v/>
      </c>
      <c r="AE684">
        <f>IF($B684=0,0,IF(Inputs!$B$7="",0,COUNTIFS(Data!$E$10:$E$3209,"&gt;="&amp;$A684,Data!$E$10:$E$3209,"&lt;"&amp;$A684+1)))</f>
        <v/>
      </c>
      <c r="AF684">
        <f>IF($B684=0,0,IF(Inputs!$B$8="",0,COUNTIFS(Data!$I$10:$I$3209,"&gt;="&amp;$A684,Data!$I$10:$I$3209,"&lt;"&amp;$A684+1)))</f>
        <v/>
      </c>
      <c r="AG684">
        <f>IF($B684=0,0,IF(Inputs!$B$9="",0,COUNTIFS(Data!$M$10:$M$3209,"&gt;="&amp;$A684,Data!$M$10:$M$3209,"&lt;"&amp;$A684+1)))</f>
        <v/>
      </c>
      <c r="AH684">
        <f>IF($B684=0,0,IF(Inputs!$B$10="",0,COUNTIFS(Data!$Q$10:$Q$3209,"&gt;="&amp;$A684,Data!$Q$10:$Q$3209,"&lt;"&amp;$A684+1)))</f>
        <v/>
      </c>
    </row>
    <row r="685">
      <c r="A685" s="55">
        <f>MIN(Inputs!$C$15,$A684+IF(WEEKDAY($A684,2)=5,3,1))</f>
        <v/>
      </c>
      <c r="B685">
        <f>IF($A685&gt;$A684,1,0)</f>
        <v/>
      </c>
      <c r="C685" s="56">
        <f>IF($B685=0,"",IF(Inputs!$B$6="","",IF($AD685=0,C684,SUMIFS(Data!$B$10:$B$3209,Data!$A$10:$A$3209,"&gt;="&amp;$A685,Data!$A$10:$A$3209,"&lt;"&amp;$A685+1)/$AD685)))</f>
        <v/>
      </c>
      <c r="D685" s="56">
        <f>IF($B685=0,"",IF(Inputs!$B$7="","",IF($AE685=0,D684,SUMIFS(Data!$F$10:$F$3209,Data!$E$10:$E$3209,"&gt;="&amp;$A685,Data!$E$10:$E$3209,"&lt;"&amp;$A685+1)/$AE685)))</f>
        <v/>
      </c>
      <c r="E685" s="56">
        <f>IF($B685=0,"",IF(Inputs!$B$8="","",IF($AF685=0,E684,SUMIFS(Data!$J$10:$J$3209,Data!$I$10:$I$3209,"&gt;="&amp;$A685,Data!$I$10:$I$3209,"&lt;"&amp;$A685+1)/$AF685)))</f>
        <v/>
      </c>
      <c r="F685" s="56">
        <f>IF($B685=0,"",IF(Inputs!$B$9="","",IF($AG685=0,F684,SUMIFS(Data!$N$10:$N$3209,Data!$M$10:$M$3209,"&gt;="&amp;$A685,Data!$M$10:$M$3209,"&lt;"&amp;$A685+1)/$AG685)))</f>
        <v/>
      </c>
      <c r="G685" s="56">
        <f>IF($B685=0,"",IF(Inputs!$B$10="","",IF($AH685=0,G684,SUMIFS(Data!$R$10:$R$3209,Data!$Q$10:$Q$3209,"&gt;="&amp;$A685,Data!$Q$10:$Q$3209,"&lt;"&amp;$A685+1)/$AH685)))</f>
        <v/>
      </c>
      <c r="I685" s="54">
        <f>IF($B685=0,NA(),IF($C685="",NA(),IF(C$8="",NA(),IF(N(C$8)=0,NA(),IF(Inputs!$C$17="Rebased to 100",$C685/C$8*100,$C685)))))</f>
        <v/>
      </c>
      <c r="J685" s="54">
        <f>IF($B685=0,NA(),IF($D685="",NA(),IF(D$8="",NA(),IF(N(D$8)=0,NA(),IF(Inputs!$C$17="Rebased to 100",$D685/D$8*100,$D685)))))</f>
        <v/>
      </c>
      <c r="K685" s="54">
        <f>IF($B685=0,NA(),IF($E685="",NA(),IF(E$8="",NA(),IF(N(E$8)=0,NA(),IF(Inputs!$C$17="Rebased to 100",$E685/E$8*100,$E685)))))</f>
        <v/>
      </c>
      <c r="L685" s="54">
        <f>IF($B685=0,NA(),IF($F685="",NA(),IF(F$8="",NA(),IF(N(F$8)=0,NA(),IF(Inputs!$C$17="Rebased to 100",$F685/F$8*100,$F685)))))</f>
        <v/>
      </c>
      <c r="M685" s="54">
        <f>IF($B685=0,NA(),IF($G685="",NA(),IF(G$8="",NA(),IF(N(G$8)=0,NA(),IF(Inputs!$C$17="Rebased to 100",$G685/G$8*100,$G685)))))</f>
        <v/>
      </c>
      <c r="N685" s="54">
        <f>IF($B685=0,NA(),IF(Inputs!$C$18&lt;&gt;"Yes",NA(),IF(COUNT(I685,J685,K685,L685,M685)=0,NA(),MIN(I685,J685,K685,L685,M685))))</f>
        <v/>
      </c>
      <c r="O685" s="54">
        <f>IF($B685=0,NA(),IF(Inputs!$B$24&lt;&gt;"Yes",NA(),Inputs!$D$24*Inputs!$C$35))</f>
        <v/>
      </c>
      <c r="P685" s="54">
        <f>IF($B685=0,NA(),IF(Inputs!$B$25&lt;&gt;"Yes",NA(),Inputs!$D$25*Inputs!$C$35))</f>
        <v/>
      </c>
      <c r="Q685" s="54">
        <f>IF($B685=0,NA(),IF(Inputs!$B$26&lt;&gt;"Yes",NA(),Inputs!$D$26*Inputs!$C$35))</f>
        <v/>
      </c>
      <c r="R685" s="54">
        <f>IF($B685=0,NA(),IF(Inputs!$B$27&lt;&gt;"Yes",NA(),Inputs!$D$27*Inputs!$C$35))</f>
        <v/>
      </c>
      <c r="S685" s="54">
        <f>IF($B685=0,NA(),IF(Inputs!$B$28&lt;&gt;"Yes",NA(),Inputs!$D$28*Inputs!$C$35))</f>
        <v/>
      </c>
      <c r="T685" s="54">
        <f>IF($B685=0,NA(),IF(Inputs!$B$29&lt;&gt;"Yes",NA(),Inputs!$D$29*Inputs!$C$35))</f>
        <v/>
      </c>
      <c r="AD685">
        <f>IF($B685=0,0,IF(Inputs!$B$6="",0,COUNTIFS(Data!$A$10:$A$3209,"&gt;="&amp;$A685,Data!$A$10:$A$3209,"&lt;"&amp;$A685+1)))</f>
        <v/>
      </c>
      <c r="AE685">
        <f>IF($B685=0,0,IF(Inputs!$B$7="",0,COUNTIFS(Data!$E$10:$E$3209,"&gt;="&amp;$A685,Data!$E$10:$E$3209,"&lt;"&amp;$A685+1)))</f>
        <v/>
      </c>
      <c r="AF685">
        <f>IF($B685=0,0,IF(Inputs!$B$8="",0,COUNTIFS(Data!$I$10:$I$3209,"&gt;="&amp;$A685,Data!$I$10:$I$3209,"&lt;"&amp;$A685+1)))</f>
        <v/>
      </c>
      <c r="AG685">
        <f>IF($B685=0,0,IF(Inputs!$B$9="",0,COUNTIFS(Data!$M$10:$M$3209,"&gt;="&amp;$A685,Data!$M$10:$M$3209,"&lt;"&amp;$A685+1)))</f>
        <v/>
      </c>
      <c r="AH685">
        <f>IF($B685=0,0,IF(Inputs!$B$10="",0,COUNTIFS(Data!$Q$10:$Q$3209,"&gt;="&amp;$A685,Data!$Q$10:$Q$3209,"&lt;"&amp;$A685+1)))</f>
        <v/>
      </c>
    </row>
    <row r="686">
      <c r="A686" s="55">
        <f>MIN(Inputs!$C$15,$A685+IF(WEEKDAY($A685,2)=5,3,1))</f>
        <v/>
      </c>
      <c r="B686">
        <f>IF($A686&gt;$A685,1,0)</f>
        <v/>
      </c>
      <c r="C686" s="56">
        <f>IF($B686=0,"",IF(Inputs!$B$6="","",IF($AD686=0,C685,SUMIFS(Data!$B$10:$B$3209,Data!$A$10:$A$3209,"&gt;="&amp;$A686,Data!$A$10:$A$3209,"&lt;"&amp;$A686+1)/$AD686)))</f>
        <v/>
      </c>
      <c r="D686" s="56">
        <f>IF($B686=0,"",IF(Inputs!$B$7="","",IF($AE686=0,D685,SUMIFS(Data!$F$10:$F$3209,Data!$E$10:$E$3209,"&gt;="&amp;$A686,Data!$E$10:$E$3209,"&lt;"&amp;$A686+1)/$AE686)))</f>
        <v/>
      </c>
      <c r="E686" s="56">
        <f>IF($B686=0,"",IF(Inputs!$B$8="","",IF($AF686=0,E685,SUMIFS(Data!$J$10:$J$3209,Data!$I$10:$I$3209,"&gt;="&amp;$A686,Data!$I$10:$I$3209,"&lt;"&amp;$A686+1)/$AF686)))</f>
        <v/>
      </c>
      <c r="F686" s="56">
        <f>IF($B686=0,"",IF(Inputs!$B$9="","",IF($AG686=0,F685,SUMIFS(Data!$N$10:$N$3209,Data!$M$10:$M$3209,"&gt;="&amp;$A686,Data!$M$10:$M$3209,"&lt;"&amp;$A686+1)/$AG686)))</f>
        <v/>
      </c>
      <c r="G686" s="56">
        <f>IF($B686=0,"",IF(Inputs!$B$10="","",IF($AH686=0,G685,SUMIFS(Data!$R$10:$R$3209,Data!$Q$10:$Q$3209,"&gt;="&amp;$A686,Data!$Q$10:$Q$3209,"&lt;"&amp;$A686+1)/$AH686)))</f>
        <v/>
      </c>
      <c r="I686" s="54">
        <f>IF($B686=0,NA(),IF($C686="",NA(),IF(C$8="",NA(),IF(N(C$8)=0,NA(),IF(Inputs!$C$17="Rebased to 100",$C686/C$8*100,$C686)))))</f>
        <v/>
      </c>
      <c r="J686" s="54">
        <f>IF($B686=0,NA(),IF($D686="",NA(),IF(D$8="",NA(),IF(N(D$8)=0,NA(),IF(Inputs!$C$17="Rebased to 100",$D686/D$8*100,$D686)))))</f>
        <v/>
      </c>
      <c r="K686" s="54">
        <f>IF($B686=0,NA(),IF($E686="",NA(),IF(E$8="",NA(),IF(N(E$8)=0,NA(),IF(Inputs!$C$17="Rebased to 100",$E686/E$8*100,$E686)))))</f>
        <v/>
      </c>
      <c r="L686" s="54">
        <f>IF($B686=0,NA(),IF($F686="",NA(),IF(F$8="",NA(),IF(N(F$8)=0,NA(),IF(Inputs!$C$17="Rebased to 100",$F686/F$8*100,$F686)))))</f>
        <v/>
      </c>
      <c r="M686" s="54">
        <f>IF($B686=0,NA(),IF($G686="",NA(),IF(G$8="",NA(),IF(N(G$8)=0,NA(),IF(Inputs!$C$17="Rebased to 100",$G686/G$8*100,$G686)))))</f>
        <v/>
      </c>
      <c r="N686" s="54">
        <f>IF($B686=0,NA(),IF(Inputs!$C$18&lt;&gt;"Yes",NA(),IF(COUNT(I686,J686,K686,L686,M686)=0,NA(),MIN(I686,J686,K686,L686,M686))))</f>
        <v/>
      </c>
      <c r="O686" s="54">
        <f>IF($B686=0,NA(),IF(Inputs!$B$24&lt;&gt;"Yes",NA(),Inputs!$D$24*Inputs!$C$35))</f>
        <v/>
      </c>
      <c r="P686" s="54">
        <f>IF($B686=0,NA(),IF(Inputs!$B$25&lt;&gt;"Yes",NA(),Inputs!$D$25*Inputs!$C$35))</f>
        <v/>
      </c>
      <c r="Q686" s="54">
        <f>IF($B686=0,NA(),IF(Inputs!$B$26&lt;&gt;"Yes",NA(),Inputs!$D$26*Inputs!$C$35))</f>
        <v/>
      </c>
      <c r="R686" s="54">
        <f>IF($B686=0,NA(),IF(Inputs!$B$27&lt;&gt;"Yes",NA(),Inputs!$D$27*Inputs!$C$35))</f>
        <v/>
      </c>
      <c r="S686" s="54">
        <f>IF($B686=0,NA(),IF(Inputs!$B$28&lt;&gt;"Yes",NA(),Inputs!$D$28*Inputs!$C$35))</f>
        <v/>
      </c>
      <c r="T686" s="54">
        <f>IF($B686=0,NA(),IF(Inputs!$B$29&lt;&gt;"Yes",NA(),Inputs!$D$29*Inputs!$C$35))</f>
        <v/>
      </c>
      <c r="AD686">
        <f>IF($B686=0,0,IF(Inputs!$B$6="",0,COUNTIFS(Data!$A$10:$A$3209,"&gt;="&amp;$A686,Data!$A$10:$A$3209,"&lt;"&amp;$A686+1)))</f>
        <v/>
      </c>
      <c r="AE686">
        <f>IF($B686=0,0,IF(Inputs!$B$7="",0,COUNTIFS(Data!$E$10:$E$3209,"&gt;="&amp;$A686,Data!$E$10:$E$3209,"&lt;"&amp;$A686+1)))</f>
        <v/>
      </c>
      <c r="AF686">
        <f>IF($B686=0,0,IF(Inputs!$B$8="",0,COUNTIFS(Data!$I$10:$I$3209,"&gt;="&amp;$A686,Data!$I$10:$I$3209,"&lt;"&amp;$A686+1)))</f>
        <v/>
      </c>
      <c r="AG686">
        <f>IF($B686=0,0,IF(Inputs!$B$9="",0,COUNTIFS(Data!$M$10:$M$3209,"&gt;="&amp;$A686,Data!$M$10:$M$3209,"&lt;"&amp;$A686+1)))</f>
        <v/>
      </c>
      <c r="AH686">
        <f>IF($B686=0,0,IF(Inputs!$B$10="",0,COUNTIFS(Data!$Q$10:$Q$3209,"&gt;="&amp;$A686,Data!$Q$10:$Q$3209,"&lt;"&amp;$A686+1)))</f>
        <v/>
      </c>
    </row>
    <row r="687">
      <c r="A687" s="55">
        <f>MIN(Inputs!$C$15,$A686+IF(WEEKDAY($A686,2)=5,3,1))</f>
        <v/>
      </c>
      <c r="B687">
        <f>IF($A687&gt;$A686,1,0)</f>
        <v/>
      </c>
      <c r="C687" s="56">
        <f>IF($B687=0,"",IF(Inputs!$B$6="","",IF($AD687=0,C686,SUMIFS(Data!$B$10:$B$3209,Data!$A$10:$A$3209,"&gt;="&amp;$A687,Data!$A$10:$A$3209,"&lt;"&amp;$A687+1)/$AD687)))</f>
        <v/>
      </c>
      <c r="D687" s="56">
        <f>IF($B687=0,"",IF(Inputs!$B$7="","",IF($AE687=0,D686,SUMIFS(Data!$F$10:$F$3209,Data!$E$10:$E$3209,"&gt;="&amp;$A687,Data!$E$10:$E$3209,"&lt;"&amp;$A687+1)/$AE687)))</f>
        <v/>
      </c>
      <c r="E687" s="56">
        <f>IF($B687=0,"",IF(Inputs!$B$8="","",IF($AF687=0,E686,SUMIFS(Data!$J$10:$J$3209,Data!$I$10:$I$3209,"&gt;="&amp;$A687,Data!$I$10:$I$3209,"&lt;"&amp;$A687+1)/$AF687)))</f>
        <v/>
      </c>
      <c r="F687" s="56">
        <f>IF($B687=0,"",IF(Inputs!$B$9="","",IF($AG687=0,F686,SUMIFS(Data!$N$10:$N$3209,Data!$M$10:$M$3209,"&gt;="&amp;$A687,Data!$M$10:$M$3209,"&lt;"&amp;$A687+1)/$AG687)))</f>
        <v/>
      </c>
      <c r="G687" s="56">
        <f>IF($B687=0,"",IF(Inputs!$B$10="","",IF($AH687=0,G686,SUMIFS(Data!$R$10:$R$3209,Data!$Q$10:$Q$3209,"&gt;="&amp;$A687,Data!$Q$10:$Q$3209,"&lt;"&amp;$A687+1)/$AH687)))</f>
        <v/>
      </c>
      <c r="I687" s="54">
        <f>IF($B687=0,NA(),IF($C687="",NA(),IF(C$8="",NA(),IF(N(C$8)=0,NA(),IF(Inputs!$C$17="Rebased to 100",$C687/C$8*100,$C687)))))</f>
        <v/>
      </c>
      <c r="J687" s="54">
        <f>IF($B687=0,NA(),IF($D687="",NA(),IF(D$8="",NA(),IF(N(D$8)=0,NA(),IF(Inputs!$C$17="Rebased to 100",$D687/D$8*100,$D687)))))</f>
        <v/>
      </c>
      <c r="K687" s="54">
        <f>IF($B687=0,NA(),IF($E687="",NA(),IF(E$8="",NA(),IF(N(E$8)=0,NA(),IF(Inputs!$C$17="Rebased to 100",$E687/E$8*100,$E687)))))</f>
        <v/>
      </c>
      <c r="L687" s="54">
        <f>IF($B687=0,NA(),IF($F687="",NA(),IF(F$8="",NA(),IF(N(F$8)=0,NA(),IF(Inputs!$C$17="Rebased to 100",$F687/F$8*100,$F687)))))</f>
        <v/>
      </c>
      <c r="M687" s="54">
        <f>IF($B687=0,NA(),IF($G687="",NA(),IF(G$8="",NA(),IF(N(G$8)=0,NA(),IF(Inputs!$C$17="Rebased to 100",$G687/G$8*100,$G687)))))</f>
        <v/>
      </c>
      <c r="N687" s="54">
        <f>IF($B687=0,NA(),IF(Inputs!$C$18&lt;&gt;"Yes",NA(),IF(COUNT(I687,J687,K687,L687,M687)=0,NA(),MIN(I687,J687,K687,L687,M687))))</f>
        <v/>
      </c>
      <c r="O687" s="54">
        <f>IF($B687=0,NA(),IF(Inputs!$B$24&lt;&gt;"Yes",NA(),Inputs!$D$24*Inputs!$C$35))</f>
        <v/>
      </c>
      <c r="P687" s="54">
        <f>IF($B687=0,NA(),IF(Inputs!$B$25&lt;&gt;"Yes",NA(),Inputs!$D$25*Inputs!$C$35))</f>
        <v/>
      </c>
      <c r="Q687" s="54">
        <f>IF($B687=0,NA(),IF(Inputs!$B$26&lt;&gt;"Yes",NA(),Inputs!$D$26*Inputs!$C$35))</f>
        <v/>
      </c>
      <c r="R687" s="54">
        <f>IF($B687=0,NA(),IF(Inputs!$B$27&lt;&gt;"Yes",NA(),Inputs!$D$27*Inputs!$C$35))</f>
        <v/>
      </c>
      <c r="S687" s="54">
        <f>IF($B687=0,NA(),IF(Inputs!$B$28&lt;&gt;"Yes",NA(),Inputs!$D$28*Inputs!$C$35))</f>
        <v/>
      </c>
      <c r="T687" s="54">
        <f>IF($B687=0,NA(),IF(Inputs!$B$29&lt;&gt;"Yes",NA(),Inputs!$D$29*Inputs!$C$35))</f>
        <v/>
      </c>
      <c r="AD687">
        <f>IF($B687=0,0,IF(Inputs!$B$6="",0,COUNTIFS(Data!$A$10:$A$3209,"&gt;="&amp;$A687,Data!$A$10:$A$3209,"&lt;"&amp;$A687+1)))</f>
        <v/>
      </c>
      <c r="AE687">
        <f>IF($B687=0,0,IF(Inputs!$B$7="",0,COUNTIFS(Data!$E$10:$E$3209,"&gt;="&amp;$A687,Data!$E$10:$E$3209,"&lt;"&amp;$A687+1)))</f>
        <v/>
      </c>
      <c r="AF687">
        <f>IF($B687=0,0,IF(Inputs!$B$8="",0,COUNTIFS(Data!$I$10:$I$3209,"&gt;="&amp;$A687,Data!$I$10:$I$3209,"&lt;"&amp;$A687+1)))</f>
        <v/>
      </c>
      <c r="AG687">
        <f>IF($B687=0,0,IF(Inputs!$B$9="",0,COUNTIFS(Data!$M$10:$M$3209,"&gt;="&amp;$A687,Data!$M$10:$M$3209,"&lt;"&amp;$A687+1)))</f>
        <v/>
      </c>
      <c r="AH687">
        <f>IF($B687=0,0,IF(Inputs!$B$10="",0,COUNTIFS(Data!$Q$10:$Q$3209,"&gt;="&amp;$A687,Data!$Q$10:$Q$3209,"&lt;"&amp;$A687+1)))</f>
        <v/>
      </c>
    </row>
    <row r="688">
      <c r="A688" s="55">
        <f>MIN(Inputs!$C$15,$A687+IF(WEEKDAY($A687,2)=5,3,1))</f>
        <v/>
      </c>
      <c r="B688">
        <f>IF($A688&gt;$A687,1,0)</f>
        <v/>
      </c>
      <c r="C688" s="56">
        <f>IF($B688=0,"",IF(Inputs!$B$6="","",IF($AD688=0,C687,SUMIFS(Data!$B$10:$B$3209,Data!$A$10:$A$3209,"&gt;="&amp;$A688,Data!$A$10:$A$3209,"&lt;"&amp;$A688+1)/$AD688)))</f>
        <v/>
      </c>
      <c r="D688" s="56">
        <f>IF($B688=0,"",IF(Inputs!$B$7="","",IF($AE688=0,D687,SUMIFS(Data!$F$10:$F$3209,Data!$E$10:$E$3209,"&gt;="&amp;$A688,Data!$E$10:$E$3209,"&lt;"&amp;$A688+1)/$AE688)))</f>
        <v/>
      </c>
      <c r="E688" s="56">
        <f>IF($B688=0,"",IF(Inputs!$B$8="","",IF($AF688=0,E687,SUMIFS(Data!$J$10:$J$3209,Data!$I$10:$I$3209,"&gt;="&amp;$A688,Data!$I$10:$I$3209,"&lt;"&amp;$A688+1)/$AF688)))</f>
        <v/>
      </c>
      <c r="F688" s="56">
        <f>IF($B688=0,"",IF(Inputs!$B$9="","",IF($AG688=0,F687,SUMIFS(Data!$N$10:$N$3209,Data!$M$10:$M$3209,"&gt;="&amp;$A688,Data!$M$10:$M$3209,"&lt;"&amp;$A688+1)/$AG688)))</f>
        <v/>
      </c>
      <c r="G688" s="56">
        <f>IF($B688=0,"",IF(Inputs!$B$10="","",IF($AH688=0,G687,SUMIFS(Data!$R$10:$R$3209,Data!$Q$10:$Q$3209,"&gt;="&amp;$A688,Data!$Q$10:$Q$3209,"&lt;"&amp;$A688+1)/$AH688)))</f>
        <v/>
      </c>
      <c r="I688" s="54">
        <f>IF($B688=0,NA(),IF($C688="",NA(),IF(C$8="",NA(),IF(N(C$8)=0,NA(),IF(Inputs!$C$17="Rebased to 100",$C688/C$8*100,$C688)))))</f>
        <v/>
      </c>
      <c r="J688" s="54">
        <f>IF($B688=0,NA(),IF($D688="",NA(),IF(D$8="",NA(),IF(N(D$8)=0,NA(),IF(Inputs!$C$17="Rebased to 100",$D688/D$8*100,$D688)))))</f>
        <v/>
      </c>
      <c r="K688" s="54">
        <f>IF($B688=0,NA(),IF($E688="",NA(),IF(E$8="",NA(),IF(N(E$8)=0,NA(),IF(Inputs!$C$17="Rebased to 100",$E688/E$8*100,$E688)))))</f>
        <v/>
      </c>
      <c r="L688" s="54">
        <f>IF($B688=0,NA(),IF($F688="",NA(),IF(F$8="",NA(),IF(N(F$8)=0,NA(),IF(Inputs!$C$17="Rebased to 100",$F688/F$8*100,$F688)))))</f>
        <v/>
      </c>
      <c r="M688" s="54">
        <f>IF($B688=0,NA(),IF($G688="",NA(),IF(G$8="",NA(),IF(N(G$8)=0,NA(),IF(Inputs!$C$17="Rebased to 100",$G688/G$8*100,$G688)))))</f>
        <v/>
      </c>
      <c r="N688" s="54">
        <f>IF($B688=0,NA(),IF(Inputs!$C$18&lt;&gt;"Yes",NA(),IF(COUNT(I688,J688,K688,L688,M688)=0,NA(),MIN(I688,J688,K688,L688,M688))))</f>
        <v/>
      </c>
      <c r="O688" s="54">
        <f>IF($B688=0,NA(),IF(Inputs!$B$24&lt;&gt;"Yes",NA(),Inputs!$D$24*Inputs!$C$35))</f>
        <v/>
      </c>
      <c r="P688" s="54">
        <f>IF($B688=0,NA(),IF(Inputs!$B$25&lt;&gt;"Yes",NA(),Inputs!$D$25*Inputs!$C$35))</f>
        <v/>
      </c>
      <c r="Q688" s="54">
        <f>IF($B688=0,NA(),IF(Inputs!$B$26&lt;&gt;"Yes",NA(),Inputs!$D$26*Inputs!$C$35))</f>
        <v/>
      </c>
      <c r="R688" s="54">
        <f>IF($B688=0,NA(),IF(Inputs!$B$27&lt;&gt;"Yes",NA(),Inputs!$D$27*Inputs!$C$35))</f>
        <v/>
      </c>
      <c r="S688" s="54">
        <f>IF($B688=0,NA(),IF(Inputs!$B$28&lt;&gt;"Yes",NA(),Inputs!$D$28*Inputs!$C$35))</f>
        <v/>
      </c>
      <c r="T688" s="54">
        <f>IF($B688=0,NA(),IF(Inputs!$B$29&lt;&gt;"Yes",NA(),Inputs!$D$29*Inputs!$C$35))</f>
        <v/>
      </c>
      <c r="AD688">
        <f>IF($B688=0,0,IF(Inputs!$B$6="",0,COUNTIFS(Data!$A$10:$A$3209,"&gt;="&amp;$A688,Data!$A$10:$A$3209,"&lt;"&amp;$A688+1)))</f>
        <v/>
      </c>
      <c r="AE688">
        <f>IF($B688=0,0,IF(Inputs!$B$7="",0,COUNTIFS(Data!$E$10:$E$3209,"&gt;="&amp;$A688,Data!$E$10:$E$3209,"&lt;"&amp;$A688+1)))</f>
        <v/>
      </c>
      <c r="AF688">
        <f>IF($B688=0,0,IF(Inputs!$B$8="",0,COUNTIFS(Data!$I$10:$I$3209,"&gt;="&amp;$A688,Data!$I$10:$I$3209,"&lt;"&amp;$A688+1)))</f>
        <v/>
      </c>
      <c r="AG688">
        <f>IF($B688=0,0,IF(Inputs!$B$9="",0,COUNTIFS(Data!$M$10:$M$3209,"&gt;="&amp;$A688,Data!$M$10:$M$3209,"&lt;"&amp;$A688+1)))</f>
        <v/>
      </c>
      <c r="AH688">
        <f>IF($B688=0,0,IF(Inputs!$B$10="",0,COUNTIFS(Data!$Q$10:$Q$3209,"&gt;="&amp;$A688,Data!$Q$10:$Q$3209,"&lt;"&amp;$A688+1)))</f>
        <v/>
      </c>
    </row>
    <row r="689">
      <c r="A689" s="55">
        <f>MIN(Inputs!$C$15,$A688+IF(WEEKDAY($A688,2)=5,3,1))</f>
        <v/>
      </c>
      <c r="B689">
        <f>IF($A689&gt;$A688,1,0)</f>
        <v/>
      </c>
      <c r="C689" s="56">
        <f>IF($B689=0,"",IF(Inputs!$B$6="","",IF($AD689=0,C688,SUMIFS(Data!$B$10:$B$3209,Data!$A$10:$A$3209,"&gt;="&amp;$A689,Data!$A$10:$A$3209,"&lt;"&amp;$A689+1)/$AD689)))</f>
        <v/>
      </c>
      <c r="D689" s="56">
        <f>IF($B689=0,"",IF(Inputs!$B$7="","",IF($AE689=0,D688,SUMIFS(Data!$F$10:$F$3209,Data!$E$10:$E$3209,"&gt;="&amp;$A689,Data!$E$10:$E$3209,"&lt;"&amp;$A689+1)/$AE689)))</f>
        <v/>
      </c>
      <c r="E689" s="56">
        <f>IF($B689=0,"",IF(Inputs!$B$8="","",IF($AF689=0,E688,SUMIFS(Data!$J$10:$J$3209,Data!$I$10:$I$3209,"&gt;="&amp;$A689,Data!$I$10:$I$3209,"&lt;"&amp;$A689+1)/$AF689)))</f>
        <v/>
      </c>
      <c r="F689" s="56">
        <f>IF($B689=0,"",IF(Inputs!$B$9="","",IF($AG689=0,F688,SUMIFS(Data!$N$10:$N$3209,Data!$M$10:$M$3209,"&gt;="&amp;$A689,Data!$M$10:$M$3209,"&lt;"&amp;$A689+1)/$AG689)))</f>
        <v/>
      </c>
      <c r="G689" s="56">
        <f>IF($B689=0,"",IF(Inputs!$B$10="","",IF($AH689=0,G688,SUMIFS(Data!$R$10:$R$3209,Data!$Q$10:$Q$3209,"&gt;="&amp;$A689,Data!$Q$10:$Q$3209,"&lt;"&amp;$A689+1)/$AH689)))</f>
        <v/>
      </c>
      <c r="I689" s="54">
        <f>IF($B689=0,NA(),IF($C689="",NA(),IF(C$8="",NA(),IF(N(C$8)=0,NA(),IF(Inputs!$C$17="Rebased to 100",$C689/C$8*100,$C689)))))</f>
        <v/>
      </c>
      <c r="J689" s="54">
        <f>IF($B689=0,NA(),IF($D689="",NA(),IF(D$8="",NA(),IF(N(D$8)=0,NA(),IF(Inputs!$C$17="Rebased to 100",$D689/D$8*100,$D689)))))</f>
        <v/>
      </c>
      <c r="K689" s="54">
        <f>IF($B689=0,NA(),IF($E689="",NA(),IF(E$8="",NA(),IF(N(E$8)=0,NA(),IF(Inputs!$C$17="Rebased to 100",$E689/E$8*100,$E689)))))</f>
        <v/>
      </c>
      <c r="L689" s="54">
        <f>IF($B689=0,NA(),IF($F689="",NA(),IF(F$8="",NA(),IF(N(F$8)=0,NA(),IF(Inputs!$C$17="Rebased to 100",$F689/F$8*100,$F689)))))</f>
        <v/>
      </c>
      <c r="M689" s="54">
        <f>IF($B689=0,NA(),IF($G689="",NA(),IF(G$8="",NA(),IF(N(G$8)=0,NA(),IF(Inputs!$C$17="Rebased to 100",$G689/G$8*100,$G689)))))</f>
        <v/>
      </c>
      <c r="N689" s="54">
        <f>IF($B689=0,NA(),IF(Inputs!$C$18&lt;&gt;"Yes",NA(),IF(COUNT(I689,J689,K689,L689,M689)=0,NA(),MIN(I689,J689,K689,L689,M689))))</f>
        <v/>
      </c>
      <c r="O689" s="54">
        <f>IF($B689=0,NA(),IF(Inputs!$B$24&lt;&gt;"Yes",NA(),Inputs!$D$24*Inputs!$C$35))</f>
        <v/>
      </c>
      <c r="P689" s="54">
        <f>IF($B689=0,NA(),IF(Inputs!$B$25&lt;&gt;"Yes",NA(),Inputs!$D$25*Inputs!$C$35))</f>
        <v/>
      </c>
      <c r="Q689" s="54">
        <f>IF($B689=0,NA(),IF(Inputs!$B$26&lt;&gt;"Yes",NA(),Inputs!$D$26*Inputs!$C$35))</f>
        <v/>
      </c>
      <c r="R689" s="54">
        <f>IF($B689=0,NA(),IF(Inputs!$B$27&lt;&gt;"Yes",NA(),Inputs!$D$27*Inputs!$C$35))</f>
        <v/>
      </c>
      <c r="S689" s="54">
        <f>IF($B689=0,NA(),IF(Inputs!$B$28&lt;&gt;"Yes",NA(),Inputs!$D$28*Inputs!$C$35))</f>
        <v/>
      </c>
      <c r="T689" s="54">
        <f>IF($B689=0,NA(),IF(Inputs!$B$29&lt;&gt;"Yes",NA(),Inputs!$D$29*Inputs!$C$35))</f>
        <v/>
      </c>
      <c r="AD689">
        <f>IF($B689=0,0,IF(Inputs!$B$6="",0,COUNTIFS(Data!$A$10:$A$3209,"&gt;="&amp;$A689,Data!$A$10:$A$3209,"&lt;"&amp;$A689+1)))</f>
        <v/>
      </c>
      <c r="AE689">
        <f>IF($B689=0,0,IF(Inputs!$B$7="",0,COUNTIFS(Data!$E$10:$E$3209,"&gt;="&amp;$A689,Data!$E$10:$E$3209,"&lt;"&amp;$A689+1)))</f>
        <v/>
      </c>
      <c r="AF689">
        <f>IF($B689=0,0,IF(Inputs!$B$8="",0,COUNTIFS(Data!$I$10:$I$3209,"&gt;="&amp;$A689,Data!$I$10:$I$3209,"&lt;"&amp;$A689+1)))</f>
        <v/>
      </c>
      <c r="AG689">
        <f>IF($B689=0,0,IF(Inputs!$B$9="",0,COUNTIFS(Data!$M$10:$M$3209,"&gt;="&amp;$A689,Data!$M$10:$M$3209,"&lt;"&amp;$A689+1)))</f>
        <v/>
      </c>
      <c r="AH689">
        <f>IF($B689=0,0,IF(Inputs!$B$10="",0,COUNTIFS(Data!$Q$10:$Q$3209,"&gt;="&amp;$A689,Data!$Q$10:$Q$3209,"&lt;"&amp;$A689+1)))</f>
        <v/>
      </c>
    </row>
    <row r="690">
      <c r="A690" s="55">
        <f>MIN(Inputs!$C$15,$A689+IF(WEEKDAY($A689,2)=5,3,1))</f>
        <v/>
      </c>
      <c r="B690">
        <f>IF($A690&gt;$A689,1,0)</f>
        <v/>
      </c>
      <c r="C690" s="56">
        <f>IF($B690=0,"",IF(Inputs!$B$6="","",IF($AD690=0,C689,SUMIFS(Data!$B$10:$B$3209,Data!$A$10:$A$3209,"&gt;="&amp;$A690,Data!$A$10:$A$3209,"&lt;"&amp;$A690+1)/$AD690)))</f>
        <v/>
      </c>
      <c r="D690" s="56">
        <f>IF($B690=0,"",IF(Inputs!$B$7="","",IF($AE690=0,D689,SUMIFS(Data!$F$10:$F$3209,Data!$E$10:$E$3209,"&gt;="&amp;$A690,Data!$E$10:$E$3209,"&lt;"&amp;$A690+1)/$AE690)))</f>
        <v/>
      </c>
      <c r="E690" s="56">
        <f>IF($B690=0,"",IF(Inputs!$B$8="","",IF($AF690=0,E689,SUMIFS(Data!$J$10:$J$3209,Data!$I$10:$I$3209,"&gt;="&amp;$A690,Data!$I$10:$I$3209,"&lt;"&amp;$A690+1)/$AF690)))</f>
        <v/>
      </c>
      <c r="F690" s="56">
        <f>IF($B690=0,"",IF(Inputs!$B$9="","",IF($AG690=0,F689,SUMIFS(Data!$N$10:$N$3209,Data!$M$10:$M$3209,"&gt;="&amp;$A690,Data!$M$10:$M$3209,"&lt;"&amp;$A690+1)/$AG690)))</f>
        <v/>
      </c>
      <c r="G690" s="56">
        <f>IF($B690=0,"",IF(Inputs!$B$10="","",IF($AH690=0,G689,SUMIFS(Data!$R$10:$R$3209,Data!$Q$10:$Q$3209,"&gt;="&amp;$A690,Data!$Q$10:$Q$3209,"&lt;"&amp;$A690+1)/$AH690)))</f>
        <v/>
      </c>
      <c r="I690" s="54">
        <f>IF($B690=0,NA(),IF($C690="",NA(),IF(C$8="",NA(),IF(N(C$8)=0,NA(),IF(Inputs!$C$17="Rebased to 100",$C690/C$8*100,$C690)))))</f>
        <v/>
      </c>
      <c r="J690" s="54">
        <f>IF($B690=0,NA(),IF($D690="",NA(),IF(D$8="",NA(),IF(N(D$8)=0,NA(),IF(Inputs!$C$17="Rebased to 100",$D690/D$8*100,$D690)))))</f>
        <v/>
      </c>
      <c r="K690" s="54">
        <f>IF($B690=0,NA(),IF($E690="",NA(),IF(E$8="",NA(),IF(N(E$8)=0,NA(),IF(Inputs!$C$17="Rebased to 100",$E690/E$8*100,$E690)))))</f>
        <v/>
      </c>
      <c r="L690" s="54">
        <f>IF($B690=0,NA(),IF($F690="",NA(),IF(F$8="",NA(),IF(N(F$8)=0,NA(),IF(Inputs!$C$17="Rebased to 100",$F690/F$8*100,$F690)))))</f>
        <v/>
      </c>
      <c r="M690" s="54">
        <f>IF($B690=0,NA(),IF($G690="",NA(),IF(G$8="",NA(),IF(N(G$8)=0,NA(),IF(Inputs!$C$17="Rebased to 100",$G690/G$8*100,$G690)))))</f>
        <v/>
      </c>
      <c r="N690" s="54">
        <f>IF($B690=0,NA(),IF(Inputs!$C$18&lt;&gt;"Yes",NA(),IF(COUNT(I690,J690,K690,L690,M690)=0,NA(),MIN(I690,J690,K690,L690,M690))))</f>
        <v/>
      </c>
      <c r="O690" s="54">
        <f>IF($B690=0,NA(),IF(Inputs!$B$24&lt;&gt;"Yes",NA(),Inputs!$D$24*Inputs!$C$35))</f>
        <v/>
      </c>
      <c r="P690" s="54">
        <f>IF($B690=0,NA(),IF(Inputs!$B$25&lt;&gt;"Yes",NA(),Inputs!$D$25*Inputs!$C$35))</f>
        <v/>
      </c>
      <c r="Q690" s="54">
        <f>IF($B690=0,NA(),IF(Inputs!$B$26&lt;&gt;"Yes",NA(),Inputs!$D$26*Inputs!$C$35))</f>
        <v/>
      </c>
      <c r="R690" s="54">
        <f>IF($B690=0,NA(),IF(Inputs!$B$27&lt;&gt;"Yes",NA(),Inputs!$D$27*Inputs!$C$35))</f>
        <v/>
      </c>
      <c r="S690" s="54">
        <f>IF($B690=0,NA(),IF(Inputs!$B$28&lt;&gt;"Yes",NA(),Inputs!$D$28*Inputs!$C$35))</f>
        <v/>
      </c>
      <c r="T690" s="54">
        <f>IF($B690=0,NA(),IF(Inputs!$B$29&lt;&gt;"Yes",NA(),Inputs!$D$29*Inputs!$C$35))</f>
        <v/>
      </c>
      <c r="AD690">
        <f>IF($B690=0,0,IF(Inputs!$B$6="",0,COUNTIFS(Data!$A$10:$A$3209,"&gt;="&amp;$A690,Data!$A$10:$A$3209,"&lt;"&amp;$A690+1)))</f>
        <v/>
      </c>
      <c r="AE690">
        <f>IF($B690=0,0,IF(Inputs!$B$7="",0,COUNTIFS(Data!$E$10:$E$3209,"&gt;="&amp;$A690,Data!$E$10:$E$3209,"&lt;"&amp;$A690+1)))</f>
        <v/>
      </c>
      <c r="AF690">
        <f>IF($B690=0,0,IF(Inputs!$B$8="",0,COUNTIFS(Data!$I$10:$I$3209,"&gt;="&amp;$A690,Data!$I$10:$I$3209,"&lt;"&amp;$A690+1)))</f>
        <v/>
      </c>
      <c r="AG690">
        <f>IF($B690=0,0,IF(Inputs!$B$9="",0,COUNTIFS(Data!$M$10:$M$3209,"&gt;="&amp;$A690,Data!$M$10:$M$3209,"&lt;"&amp;$A690+1)))</f>
        <v/>
      </c>
      <c r="AH690">
        <f>IF($B690=0,0,IF(Inputs!$B$10="",0,COUNTIFS(Data!$Q$10:$Q$3209,"&gt;="&amp;$A690,Data!$Q$10:$Q$3209,"&lt;"&amp;$A690+1)))</f>
        <v/>
      </c>
    </row>
    <row r="691">
      <c r="A691" s="55">
        <f>MIN(Inputs!$C$15,$A690+IF(WEEKDAY($A690,2)=5,3,1))</f>
        <v/>
      </c>
      <c r="B691">
        <f>IF($A691&gt;$A690,1,0)</f>
        <v/>
      </c>
      <c r="C691" s="56">
        <f>IF($B691=0,"",IF(Inputs!$B$6="","",IF($AD691=0,C690,SUMIFS(Data!$B$10:$B$3209,Data!$A$10:$A$3209,"&gt;="&amp;$A691,Data!$A$10:$A$3209,"&lt;"&amp;$A691+1)/$AD691)))</f>
        <v/>
      </c>
      <c r="D691" s="56">
        <f>IF($B691=0,"",IF(Inputs!$B$7="","",IF($AE691=0,D690,SUMIFS(Data!$F$10:$F$3209,Data!$E$10:$E$3209,"&gt;="&amp;$A691,Data!$E$10:$E$3209,"&lt;"&amp;$A691+1)/$AE691)))</f>
        <v/>
      </c>
      <c r="E691" s="56">
        <f>IF($B691=0,"",IF(Inputs!$B$8="","",IF($AF691=0,E690,SUMIFS(Data!$J$10:$J$3209,Data!$I$10:$I$3209,"&gt;="&amp;$A691,Data!$I$10:$I$3209,"&lt;"&amp;$A691+1)/$AF691)))</f>
        <v/>
      </c>
      <c r="F691" s="56">
        <f>IF($B691=0,"",IF(Inputs!$B$9="","",IF($AG691=0,F690,SUMIFS(Data!$N$10:$N$3209,Data!$M$10:$M$3209,"&gt;="&amp;$A691,Data!$M$10:$M$3209,"&lt;"&amp;$A691+1)/$AG691)))</f>
        <v/>
      </c>
      <c r="G691" s="56">
        <f>IF($B691=0,"",IF(Inputs!$B$10="","",IF($AH691=0,G690,SUMIFS(Data!$R$10:$R$3209,Data!$Q$10:$Q$3209,"&gt;="&amp;$A691,Data!$Q$10:$Q$3209,"&lt;"&amp;$A691+1)/$AH691)))</f>
        <v/>
      </c>
      <c r="I691" s="54">
        <f>IF($B691=0,NA(),IF($C691="",NA(),IF(C$8="",NA(),IF(N(C$8)=0,NA(),IF(Inputs!$C$17="Rebased to 100",$C691/C$8*100,$C691)))))</f>
        <v/>
      </c>
      <c r="J691" s="54">
        <f>IF($B691=0,NA(),IF($D691="",NA(),IF(D$8="",NA(),IF(N(D$8)=0,NA(),IF(Inputs!$C$17="Rebased to 100",$D691/D$8*100,$D691)))))</f>
        <v/>
      </c>
      <c r="K691" s="54">
        <f>IF($B691=0,NA(),IF($E691="",NA(),IF(E$8="",NA(),IF(N(E$8)=0,NA(),IF(Inputs!$C$17="Rebased to 100",$E691/E$8*100,$E691)))))</f>
        <v/>
      </c>
      <c r="L691" s="54">
        <f>IF($B691=0,NA(),IF($F691="",NA(),IF(F$8="",NA(),IF(N(F$8)=0,NA(),IF(Inputs!$C$17="Rebased to 100",$F691/F$8*100,$F691)))))</f>
        <v/>
      </c>
      <c r="M691" s="54">
        <f>IF($B691=0,NA(),IF($G691="",NA(),IF(G$8="",NA(),IF(N(G$8)=0,NA(),IF(Inputs!$C$17="Rebased to 100",$G691/G$8*100,$G691)))))</f>
        <v/>
      </c>
      <c r="N691" s="54">
        <f>IF($B691=0,NA(),IF(Inputs!$C$18&lt;&gt;"Yes",NA(),IF(COUNT(I691,J691,K691,L691,M691)=0,NA(),MIN(I691,J691,K691,L691,M691))))</f>
        <v/>
      </c>
      <c r="O691" s="54">
        <f>IF($B691=0,NA(),IF(Inputs!$B$24&lt;&gt;"Yes",NA(),Inputs!$D$24*Inputs!$C$35))</f>
        <v/>
      </c>
      <c r="P691" s="54">
        <f>IF($B691=0,NA(),IF(Inputs!$B$25&lt;&gt;"Yes",NA(),Inputs!$D$25*Inputs!$C$35))</f>
        <v/>
      </c>
      <c r="Q691" s="54">
        <f>IF($B691=0,NA(),IF(Inputs!$B$26&lt;&gt;"Yes",NA(),Inputs!$D$26*Inputs!$C$35))</f>
        <v/>
      </c>
      <c r="R691" s="54">
        <f>IF($B691=0,NA(),IF(Inputs!$B$27&lt;&gt;"Yes",NA(),Inputs!$D$27*Inputs!$C$35))</f>
        <v/>
      </c>
      <c r="S691" s="54">
        <f>IF($B691=0,NA(),IF(Inputs!$B$28&lt;&gt;"Yes",NA(),Inputs!$D$28*Inputs!$C$35))</f>
        <v/>
      </c>
      <c r="T691" s="54">
        <f>IF($B691=0,NA(),IF(Inputs!$B$29&lt;&gt;"Yes",NA(),Inputs!$D$29*Inputs!$C$35))</f>
        <v/>
      </c>
      <c r="AD691">
        <f>IF($B691=0,0,IF(Inputs!$B$6="",0,COUNTIFS(Data!$A$10:$A$3209,"&gt;="&amp;$A691,Data!$A$10:$A$3209,"&lt;"&amp;$A691+1)))</f>
        <v/>
      </c>
      <c r="AE691">
        <f>IF($B691=0,0,IF(Inputs!$B$7="",0,COUNTIFS(Data!$E$10:$E$3209,"&gt;="&amp;$A691,Data!$E$10:$E$3209,"&lt;"&amp;$A691+1)))</f>
        <v/>
      </c>
      <c r="AF691">
        <f>IF($B691=0,0,IF(Inputs!$B$8="",0,COUNTIFS(Data!$I$10:$I$3209,"&gt;="&amp;$A691,Data!$I$10:$I$3209,"&lt;"&amp;$A691+1)))</f>
        <v/>
      </c>
      <c r="AG691">
        <f>IF($B691=0,0,IF(Inputs!$B$9="",0,COUNTIFS(Data!$M$10:$M$3209,"&gt;="&amp;$A691,Data!$M$10:$M$3209,"&lt;"&amp;$A691+1)))</f>
        <v/>
      </c>
      <c r="AH691">
        <f>IF($B691=0,0,IF(Inputs!$B$10="",0,COUNTIFS(Data!$Q$10:$Q$3209,"&gt;="&amp;$A691,Data!$Q$10:$Q$3209,"&lt;"&amp;$A691+1)))</f>
        <v/>
      </c>
    </row>
    <row r="692">
      <c r="A692" s="55">
        <f>MIN(Inputs!$C$15,$A691+IF(WEEKDAY($A691,2)=5,3,1))</f>
        <v/>
      </c>
      <c r="B692">
        <f>IF($A692&gt;$A691,1,0)</f>
        <v/>
      </c>
      <c r="C692" s="56">
        <f>IF($B692=0,"",IF(Inputs!$B$6="","",IF($AD692=0,C691,SUMIFS(Data!$B$10:$B$3209,Data!$A$10:$A$3209,"&gt;="&amp;$A692,Data!$A$10:$A$3209,"&lt;"&amp;$A692+1)/$AD692)))</f>
        <v/>
      </c>
      <c r="D692" s="56">
        <f>IF($B692=0,"",IF(Inputs!$B$7="","",IF($AE692=0,D691,SUMIFS(Data!$F$10:$F$3209,Data!$E$10:$E$3209,"&gt;="&amp;$A692,Data!$E$10:$E$3209,"&lt;"&amp;$A692+1)/$AE692)))</f>
        <v/>
      </c>
      <c r="E692" s="56">
        <f>IF($B692=0,"",IF(Inputs!$B$8="","",IF($AF692=0,E691,SUMIFS(Data!$J$10:$J$3209,Data!$I$10:$I$3209,"&gt;="&amp;$A692,Data!$I$10:$I$3209,"&lt;"&amp;$A692+1)/$AF692)))</f>
        <v/>
      </c>
      <c r="F692" s="56">
        <f>IF($B692=0,"",IF(Inputs!$B$9="","",IF($AG692=0,F691,SUMIFS(Data!$N$10:$N$3209,Data!$M$10:$M$3209,"&gt;="&amp;$A692,Data!$M$10:$M$3209,"&lt;"&amp;$A692+1)/$AG692)))</f>
        <v/>
      </c>
      <c r="G692" s="56">
        <f>IF($B692=0,"",IF(Inputs!$B$10="","",IF($AH692=0,G691,SUMIFS(Data!$R$10:$R$3209,Data!$Q$10:$Q$3209,"&gt;="&amp;$A692,Data!$Q$10:$Q$3209,"&lt;"&amp;$A692+1)/$AH692)))</f>
        <v/>
      </c>
      <c r="I692" s="54">
        <f>IF($B692=0,NA(),IF($C692="",NA(),IF(C$8="",NA(),IF(N(C$8)=0,NA(),IF(Inputs!$C$17="Rebased to 100",$C692/C$8*100,$C692)))))</f>
        <v/>
      </c>
      <c r="J692" s="54">
        <f>IF($B692=0,NA(),IF($D692="",NA(),IF(D$8="",NA(),IF(N(D$8)=0,NA(),IF(Inputs!$C$17="Rebased to 100",$D692/D$8*100,$D692)))))</f>
        <v/>
      </c>
      <c r="K692" s="54">
        <f>IF($B692=0,NA(),IF($E692="",NA(),IF(E$8="",NA(),IF(N(E$8)=0,NA(),IF(Inputs!$C$17="Rebased to 100",$E692/E$8*100,$E692)))))</f>
        <v/>
      </c>
      <c r="L692" s="54">
        <f>IF($B692=0,NA(),IF($F692="",NA(),IF(F$8="",NA(),IF(N(F$8)=0,NA(),IF(Inputs!$C$17="Rebased to 100",$F692/F$8*100,$F692)))))</f>
        <v/>
      </c>
      <c r="M692" s="54">
        <f>IF($B692=0,NA(),IF($G692="",NA(),IF(G$8="",NA(),IF(N(G$8)=0,NA(),IF(Inputs!$C$17="Rebased to 100",$G692/G$8*100,$G692)))))</f>
        <v/>
      </c>
      <c r="N692" s="54">
        <f>IF($B692=0,NA(),IF(Inputs!$C$18&lt;&gt;"Yes",NA(),IF(COUNT(I692,J692,K692,L692,M692)=0,NA(),MIN(I692,J692,K692,L692,M692))))</f>
        <v/>
      </c>
      <c r="O692" s="54">
        <f>IF($B692=0,NA(),IF(Inputs!$B$24&lt;&gt;"Yes",NA(),Inputs!$D$24*Inputs!$C$35))</f>
        <v/>
      </c>
      <c r="P692" s="54">
        <f>IF($B692=0,NA(),IF(Inputs!$B$25&lt;&gt;"Yes",NA(),Inputs!$D$25*Inputs!$C$35))</f>
        <v/>
      </c>
      <c r="Q692" s="54">
        <f>IF($B692=0,NA(),IF(Inputs!$B$26&lt;&gt;"Yes",NA(),Inputs!$D$26*Inputs!$C$35))</f>
        <v/>
      </c>
      <c r="R692" s="54">
        <f>IF($B692=0,NA(),IF(Inputs!$B$27&lt;&gt;"Yes",NA(),Inputs!$D$27*Inputs!$C$35))</f>
        <v/>
      </c>
      <c r="S692" s="54">
        <f>IF($B692=0,NA(),IF(Inputs!$B$28&lt;&gt;"Yes",NA(),Inputs!$D$28*Inputs!$C$35))</f>
        <v/>
      </c>
      <c r="T692" s="54">
        <f>IF($B692=0,NA(),IF(Inputs!$B$29&lt;&gt;"Yes",NA(),Inputs!$D$29*Inputs!$C$35))</f>
        <v/>
      </c>
      <c r="AD692">
        <f>IF($B692=0,0,IF(Inputs!$B$6="",0,COUNTIFS(Data!$A$10:$A$3209,"&gt;="&amp;$A692,Data!$A$10:$A$3209,"&lt;"&amp;$A692+1)))</f>
        <v/>
      </c>
      <c r="AE692">
        <f>IF($B692=0,0,IF(Inputs!$B$7="",0,COUNTIFS(Data!$E$10:$E$3209,"&gt;="&amp;$A692,Data!$E$10:$E$3209,"&lt;"&amp;$A692+1)))</f>
        <v/>
      </c>
      <c r="AF692">
        <f>IF($B692=0,0,IF(Inputs!$B$8="",0,COUNTIFS(Data!$I$10:$I$3209,"&gt;="&amp;$A692,Data!$I$10:$I$3209,"&lt;"&amp;$A692+1)))</f>
        <v/>
      </c>
      <c r="AG692">
        <f>IF($B692=0,0,IF(Inputs!$B$9="",0,COUNTIFS(Data!$M$10:$M$3209,"&gt;="&amp;$A692,Data!$M$10:$M$3209,"&lt;"&amp;$A692+1)))</f>
        <v/>
      </c>
      <c r="AH692">
        <f>IF($B692=0,0,IF(Inputs!$B$10="",0,COUNTIFS(Data!$Q$10:$Q$3209,"&gt;="&amp;$A692,Data!$Q$10:$Q$3209,"&lt;"&amp;$A692+1)))</f>
        <v/>
      </c>
    </row>
    <row r="693">
      <c r="A693" s="55">
        <f>MIN(Inputs!$C$15,$A692+IF(WEEKDAY($A692,2)=5,3,1))</f>
        <v/>
      </c>
      <c r="B693">
        <f>IF($A693&gt;$A692,1,0)</f>
        <v/>
      </c>
      <c r="C693" s="56">
        <f>IF($B693=0,"",IF(Inputs!$B$6="","",IF($AD693=0,C692,SUMIFS(Data!$B$10:$B$3209,Data!$A$10:$A$3209,"&gt;="&amp;$A693,Data!$A$10:$A$3209,"&lt;"&amp;$A693+1)/$AD693)))</f>
        <v/>
      </c>
      <c r="D693" s="56">
        <f>IF($B693=0,"",IF(Inputs!$B$7="","",IF($AE693=0,D692,SUMIFS(Data!$F$10:$F$3209,Data!$E$10:$E$3209,"&gt;="&amp;$A693,Data!$E$10:$E$3209,"&lt;"&amp;$A693+1)/$AE693)))</f>
        <v/>
      </c>
      <c r="E693" s="56">
        <f>IF($B693=0,"",IF(Inputs!$B$8="","",IF($AF693=0,E692,SUMIFS(Data!$J$10:$J$3209,Data!$I$10:$I$3209,"&gt;="&amp;$A693,Data!$I$10:$I$3209,"&lt;"&amp;$A693+1)/$AF693)))</f>
        <v/>
      </c>
      <c r="F693" s="56">
        <f>IF($B693=0,"",IF(Inputs!$B$9="","",IF($AG693=0,F692,SUMIFS(Data!$N$10:$N$3209,Data!$M$10:$M$3209,"&gt;="&amp;$A693,Data!$M$10:$M$3209,"&lt;"&amp;$A693+1)/$AG693)))</f>
        <v/>
      </c>
      <c r="G693" s="56">
        <f>IF($B693=0,"",IF(Inputs!$B$10="","",IF($AH693=0,G692,SUMIFS(Data!$R$10:$R$3209,Data!$Q$10:$Q$3209,"&gt;="&amp;$A693,Data!$Q$10:$Q$3209,"&lt;"&amp;$A693+1)/$AH693)))</f>
        <v/>
      </c>
      <c r="I693" s="54">
        <f>IF($B693=0,NA(),IF($C693="",NA(),IF(C$8="",NA(),IF(N(C$8)=0,NA(),IF(Inputs!$C$17="Rebased to 100",$C693/C$8*100,$C693)))))</f>
        <v/>
      </c>
      <c r="J693" s="54">
        <f>IF($B693=0,NA(),IF($D693="",NA(),IF(D$8="",NA(),IF(N(D$8)=0,NA(),IF(Inputs!$C$17="Rebased to 100",$D693/D$8*100,$D693)))))</f>
        <v/>
      </c>
      <c r="K693" s="54">
        <f>IF($B693=0,NA(),IF($E693="",NA(),IF(E$8="",NA(),IF(N(E$8)=0,NA(),IF(Inputs!$C$17="Rebased to 100",$E693/E$8*100,$E693)))))</f>
        <v/>
      </c>
      <c r="L693" s="54">
        <f>IF($B693=0,NA(),IF($F693="",NA(),IF(F$8="",NA(),IF(N(F$8)=0,NA(),IF(Inputs!$C$17="Rebased to 100",$F693/F$8*100,$F693)))))</f>
        <v/>
      </c>
      <c r="M693" s="54">
        <f>IF($B693=0,NA(),IF($G693="",NA(),IF(G$8="",NA(),IF(N(G$8)=0,NA(),IF(Inputs!$C$17="Rebased to 100",$G693/G$8*100,$G693)))))</f>
        <v/>
      </c>
      <c r="N693" s="54">
        <f>IF($B693=0,NA(),IF(Inputs!$C$18&lt;&gt;"Yes",NA(),IF(COUNT(I693,J693,K693,L693,M693)=0,NA(),MIN(I693,J693,K693,L693,M693))))</f>
        <v/>
      </c>
      <c r="O693" s="54">
        <f>IF($B693=0,NA(),IF(Inputs!$B$24&lt;&gt;"Yes",NA(),Inputs!$D$24*Inputs!$C$35))</f>
        <v/>
      </c>
      <c r="P693" s="54">
        <f>IF($B693=0,NA(),IF(Inputs!$B$25&lt;&gt;"Yes",NA(),Inputs!$D$25*Inputs!$C$35))</f>
        <v/>
      </c>
      <c r="Q693" s="54">
        <f>IF($B693=0,NA(),IF(Inputs!$B$26&lt;&gt;"Yes",NA(),Inputs!$D$26*Inputs!$C$35))</f>
        <v/>
      </c>
      <c r="R693" s="54">
        <f>IF($B693=0,NA(),IF(Inputs!$B$27&lt;&gt;"Yes",NA(),Inputs!$D$27*Inputs!$C$35))</f>
        <v/>
      </c>
      <c r="S693" s="54">
        <f>IF($B693=0,NA(),IF(Inputs!$B$28&lt;&gt;"Yes",NA(),Inputs!$D$28*Inputs!$C$35))</f>
        <v/>
      </c>
      <c r="T693" s="54">
        <f>IF($B693=0,NA(),IF(Inputs!$B$29&lt;&gt;"Yes",NA(),Inputs!$D$29*Inputs!$C$35))</f>
        <v/>
      </c>
      <c r="AD693">
        <f>IF($B693=0,0,IF(Inputs!$B$6="",0,COUNTIFS(Data!$A$10:$A$3209,"&gt;="&amp;$A693,Data!$A$10:$A$3209,"&lt;"&amp;$A693+1)))</f>
        <v/>
      </c>
      <c r="AE693">
        <f>IF($B693=0,0,IF(Inputs!$B$7="",0,COUNTIFS(Data!$E$10:$E$3209,"&gt;="&amp;$A693,Data!$E$10:$E$3209,"&lt;"&amp;$A693+1)))</f>
        <v/>
      </c>
      <c r="AF693">
        <f>IF($B693=0,0,IF(Inputs!$B$8="",0,COUNTIFS(Data!$I$10:$I$3209,"&gt;="&amp;$A693,Data!$I$10:$I$3209,"&lt;"&amp;$A693+1)))</f>
        <v/>
      </c>
      <c r="AG693">
        <f>IF($B693=0,0,IF(Inputs!$B$9="",0,COUNTIFS(Data!$M$10:$M$3209,"&gt;="&amp;$A693,Data!$M$10:$M$3209,"&lt;"&amp;$A693+1)))</f>
        <v/>
      </c>
      <c r="AH693">
        <f>IF($B693=0,0,IF(Inputs!$B$10="",0,COUNTIFS(Data!$Q$10:$Q$3209,"&gt;="&amp;$A693,Data!$Q$10:$Q$3209,"&lt;"&amp;$A693+1)))</f>
        <v/>
      </c>
    </row>
    <row r="694">
      <c r="A694" s="55">
        <f>MIN(Inputs!$C$15,$A693+IF(WEEKDAY($A693,2)=5,3,1))</f>
        <v/>
      </c>
      <c r="B694">
        <f>IF($A694&gt;$A693,1,0)</f>
        <v/>
      </c>
      <c r="C694" s="56">
        <f>IF($B694=0,"",IF(Inputs!$B$6="","",IF($AD694=0,C693,SUMIFS(Data!$B$10:$B$3209,Data!$A$10:$A$3209,"&gt;="&amp;$A694,Data!$A$10:$A$3209,"&lt;"&amp;$A694+1)/$AD694)))</f>
        <v/>
      </c>
      <c r="D694" s="56">
        <f>IF($B694=0,"",IF(Inputs!$B$7="","",IF($AE694=0,D693,SUMIFS(Data!$F$10:$F$3209,Data!$E$10:$E$3209,"&gt;="&amp;$A694,Data!$E$10:$E$3209,"&lt;"&amp;$A694+1)/$AE694)))</f>
        <v/>
      </c>
      <c r="E694" s="56">
        <f>IF($B694=0,"",IF(Inputs!$B$8="","",IF($AF694=0,E693,SUMIFS(Data!$J$10:$J$3209,Data!$I$10:$I$3209,"&gt;="&amp;$A694,Data!$I$10:$I$3209,"&lt;"&amp;$A694+1)/$AF694)))</f>
        <v/>
      </c>
      <c r="F694" s="56">
        <f>IF($B694=0,"",IF(Inputs!$B$9="","",IF($AG694=0,F693,SUMIFS(Data!$N$10:$N$3209,Data!$M$10:$M$3209,"&gt;="&amp;$A694,Data!$M$10:$M$3209,"&lt;"&amp;$A694+1)/$AG694)))</f>
        <v/>
      </c>
      <c r="G694" s="56">
        <f>IF($B694=0,"",IF(Inputs!$B$10="","",IF($AH694=0,G693,SUMIFS(Data!$R$10:$R$3209,Data!$Q$10:$Q$3209,"&gt;="&amp;$A694,Data!$Q$10:$Q$3209,"&lt;"&amp;$A694+1)/$AH694)))</f>
        <v/>
      </c>
      <c r="I694" s="54">
        <f>IF($B694=0,NA(),IF($C694="",NA(),IF(C$8="",NA(),IF(N(C$8)=0,NA(),IF(Inputs!$C$17="Rebased to 100",$C694/C$8*100,$C694)))))</f>
        <v/>
      </c>
      <c r="J694" s="54">
        <f>IF($B694=0,NA(),IF($D694="",NA(),IF(D$8="",NA(),IF(N(D$8)=0,NA(),IF(Inputs!$C$17="Rebased to 100",$D694/D$8*100,$D694)))))</f>
        <v/>
      </c>
      <c r="K694" s="54">
        <f>IF($B694=0,NA(),IF($E694="",NA(),IF(E$8="",NA(),IF(N(E$8)=0,NA(),IF(Inputs!$C$17="Rebased to 100",$E694/E$8*100,$E694)))))</f>
        <v/>
      </c>
      <c r="L694" s="54">
        <f>IF($B694=0,NA(),IF($F694="",NA(),IF(F$8="",NA(),IF(N(F$8)=0,NA(),IF(Inputs!$C$17="Rebased to 100",$F694/F$8*100,$F694)))))</f>
        <v/>
      </c>
      <c r="M694" s="54">
        <f>IF($B694=0,NA(),IF($G694="",NA(),IF(G$8="",NA(),IF(N(G$8)=0,NA(),IF(Inputs!$C$17="Rebased to 100",$G694/G$8*100,$G694)))))</f>
        <v/>
      </c>
      <c r="N694" s="54">
        <f>IF($B694=0,NA(),IF(Inputs!$C$18&lt;&gt;"Yes",NA(),IF(COUNT(I694,J694,K694,L694,M694)=0,NA(),MIN(I694,J694,K694,L694,M694))))</f>
        <v/>
      </c>
      <c r="O694" s="54">
        <f>IF($B694=0,NA(),IF(Inputs!$B$24&lt;&gt;"Yes",NA(),Inputs!$D$24*Inputs!$C$35))</f>
        <v/>
      </c>
      <c r="P694" s="54">
        <f>IF($B694=0,NA(),IF(Inputs!$B$25&lt;&gt;"Yes",NA(),Inputs!$D$25*Inputs!$C$35))</f>
        <v/>
      </c>
      <c r="Q694" s="54">
        <f>IF($B694=0,NA(),IF(Inputs!$B$26&lt;&gt;"Yes",NA(),Inputs!$D$26*Inputs!$C$35))</f>
        <v/>
      </c>
      <c r="R694" s="54">
        <f>IF($B694=0,NA(),IF(Inputs!$B$27&lt;&gt;"Yes",NA(),Inputs!$D$27*Inputs!$C$35))</f>
        <v/>
      </c>
      <c r="S694" s="54">
        <f>IF($B694=0,NA(),IF(Inputs!$B$28&lt;&gt;"Yes",NA(),Inputs!$D$28*Inputs!$C$35))</f>
        <v/>
      </c>
      <c r="T694" s="54">
        <f>IF($B694=0,NA(),IF(Inputs!$B$29&lt;&gt;"Yes",NA(),Inputs!$D$29*Inputs!$C$35))</f>
        <v/>
      </c>
      <c r="AD694">
        <f>IF($B694=0,0,IF(Inputs!$B$6="",0,COUNTIFS(Data!$A$10:$A$3209,"&gt;="&amp;$A694,Data!$A$10:$A$3209,"&lt;"&amp;$A694+1)))</f>
        <v/>
      </c>
      <c r="AE694">
        <f>IF($B694=0,0,IF(Inputs!$B$7="",0,COUNTIFS(Data!$E$10:$E$3209,"&gt;="&amp;$A694,Data!$E$10:$E$3209,"&lt;"&amp;$A694+1)))</f>
        <v/>
      </c>
      <c r="AF694">
        <f>IF($B694=0,0,IF(Inputs!$B$8="",0,COUNTIFS(Data!$I$10:$I$3209,"&gt;="&amp;$A694,Data!$I$10:$I$3209,"&lt;"&amp;$A694+1)))</f>
        <v/>
      </c>
      <c r="AG694">
        <f>IF($B694=0,0,IF(Inputs!$B$9="",0,COUNTIFS(Data!$M$10:$M$3209,"&gt;="&amp;$A694,Data!$M$10:$M$3209,"&lt;"&amp;$A694+1)))</f>
        <v/>
      </c>
      <c r="AH694">
        <f>IF($B694=0,0,IF(Inputs!$B$10="",0,COUNTIFS(Data!$Q$10:$Q$3209,"&gt;="&amp;$A694,Data!$Q$10:$Q$3209,"&lt;"&amp;$A694+1)))</f>
        <v/>
      </c>
    </row>
    <row r="695">
      <c r="A695" s="55">
        <f>MIN(Inputs!$C$15,$A694+IF(WEEKDAY($A694,2)=5,3,1))</f>
        <v/>
      </c>
      <c r="B695">
        <f>IF($A695&gt;$A694,1,0)</f>
        <v/>
      </c>
      <c r="C695" s="56">
        <f>IF($B695=0,"",IF(Inputs!$B$6="","",IF($AD695=0,C694,SUMIFS(Data!$B$10:$B$3209,Data!$A$10:$A$3209,"&gt;="&amp;$A695,Data!$A$10:$A$3209,"&lt;"&amp;$A695+1)/$AD695)))</f>
        <v/>
      </c>
      <c r="D695" s="56">
        <f>IF($B695=0,"",IF(Inputs!$B$7="","",IF($AE695=0,D694,SUMIFS(Data!$F$10:$F$3209,Data!$E$10:$E$3209,"&gt;="&amp;$A695,Data!$E$10:$E$3209,"&lt;"&amp;$A695+1)/$AE695)))</f>
        <v/>
      </c>
      <c r="E695" s="56">
        <f>IF($B695=0,"",IF(Inputs!$B$8="","",IF($AF695=0,E694,SUMIFS(Data!$J$10:$J$3209,Data!$I$10:$I$3209,"&gt;="&amp;$A695,Data!$I$10:$I$3209,"&lt;"&amp;$A695+1)/$AF695)))</f>
        <v/>
      </c>
      <c r="F695" s="56">
        <f>IF($B695=0,"",IF(Inputs!$B$9="","",IF($AG695=0,F694,SUMIFS(Data!$N$10:$N$3209,Data!$M$10:$M$3209,"&gt;="&amp;$A695,Data!$M$10:$M$3209,"&lt;"&amp;$A695+1)/$AG695)))</f>
        <v/>
      </c>
      <c r="G695" s="56">
        <f>IF($B695=0,"",IF(Inputs!$B$10="","",IF($AH695=0,G694,SUMIFS(Data!$R$10:$R$3209,Data!$Q$10:$Q$3209,"&gt;="&amp;$A695,Data!$Q$10:$Q$3209,"&lt;"&amp;$A695+1)/$AH695)))</f>
        <v/>
      </c>
      <c r="I695" s="54">
        <f>IF($B695=0,NA(),IF($C695="",NA(),IF(C$8="",NA(),IF(N(C$8)=0,NA(),IF(Inputs!$C$17="Rebased to 100",$C695/C$8*100,$C695)))))</f>
        <v/>
      </c>
      <c r="J695" s="54">
        <f>IF($B695=0,NA(),IF($D695="",NA(),IF(D$8="",NA(),IF(N(D$8)=0,NA(),IF(Inputs!$C$17="Rebased to 100",$D695/D$8*100,$D695)))))</f>
        <v/>
      </c>
      <c r="K695" s="54">
        <f>IF($B695=0,NA(),IF($E695="",NA(),IF(E$8="",NA(),IF(N(E$8)=0,NA(),IF(Inputs!$C$17="Rebased to 100",$E695/E$8*100,$E695)))))</f>
        <v/>
      </c>
      <c r="L695" s="54">
        <f>IF($B695=0,NA(),IF($F695="",NA(),IF(F$8="",NA(),IF(N(F$8)=0,NA(),IF(Inputs!$C$17="Rebased to 100",$F695/F$8*100,$F695)))))</f>
        <v/>
      </c>
      <c r="M695" s="54">
        <f>IF($B695=0,NA(),IF($G695="",NA(),IF(G$8="",NA(),IF(N(G$8)=0,NA(),IF(Inputs!$C$17="Rebased to 100",$G695/G$8*100,$G695)))))</f>
        <v/>
      </c>
      <c r="N695" s="54">
        <f>IF($B695=0,NA(),IF(Inputs!$C$18&lt;&gt;"Yes",NA(),IF(COUNT(I695,J695,K695,L695,M695)=0,NA(),MIN(I695,J695,K695,L695,M695))))</f>
        <v/>
      </c>
      <c r="O695" s="54">
        <f>IF($B695=0,NA(),IF(Inputs!$B$24&lt;&gt;"Yes",NA(),Inputs!$D$24*Inputs!$C$35))</f>
        <v/>
      </c>
      <c r="P695" s="54">
        <f>IF($B695=0,NA(),IF(Inputs!$B$25&lt;&gt;"Yes",NA(),Inputs!$D$25*Inputs!$C$35))</f>
        <v/>
      </c>
      <c r="Q695" s="54">
        <f>IF($B695=0,NA(),IF(Inputs!$B$26&lt;&gt;"Yes",NA(),Inputs!$D$26*Inputs!$C$35))</f>
        <v/>
      </c>
      <c r="R695" s="54">
        <f>IF($B695=0,NA(),IF(Inputs!$B$27&lt;&gt;"Yes",NA(),Inputs!$D$27*Inputs!$C$35))</f>
        <v/>
      </c>
      <c r="S695" s="54">
        <f>IF($B695=0,NA(),IF(Inputs!$B$28&lt;&gt;"Yes",NA(),Inputs!$D$28*Inputs!$C$35))</f>
        <v/>
      </c>
      <c r="T695" s="54">
        <f>IF($B695=0,NA(),IF(Inputs!$B$29&lt;&gt;"Yes",NA(),Inputs!$D$29*Inputs!$C$35))</f>
        <v/>
      </c>
      <c r="AD695">
        <f>IF($B695=0,0,IF(Inputs!$B$6="",0,COUNTIFS(Data!$A$10:$A$3209,"&gt;="&amp;$A695,Data!$A$10:$A$3209,"&lt;"&amp;$A695+1)))</f>
        <v/>
      </c>
      <c r="AE695">
        <f>IF($B695=0,0,IF(Inputs!$B$7="",0,COUNTIFS(Data!$E$10:$E$3209,"&gt;="&amp;$A695,Data!$E$10:$E$3209,"&lt;"&amp;$A695+1)))</f>
        <v/>
      </c>
      <c r="AF695">
        <f>IF($B695=0,0,IF(Inputs!$B$8="",0,COUNTIFS(Data!$I$10:$I$3209,"&gt;="&amp;$A695,Data!$I$10:$I$3209,"&lt;"&amp;$A695+1)))</f>
        <v/>
      </c>
      <c r="AG695">
        <f>IF($B695=0,0,IF(Inputs!$B$9="",0,COUNTIFS(Data!$M$10:$M$3209,"&gt;="&amp;$A695,Data!$M$10:$M$3209,"&lt;"&amp;$A695+1)))</f>
        <v/>
      </c>
      <c r="AH695">
        <f>IF($B695=0,0,IF(Inputs!$B$10="",0,COUNTIFS(Data!$Q$10:$Q$3209,"&gt;="&amp;$A695,Data!$Q$10:$Q$3209,"&lt;"&amp;$A695+1)))</f>
        <v/>
      </c>
    </row>
    <row r="696">
      <c r="A696" s="55">
        <f>MIN(Inputs!$C$15,$A695+IF(WEEKDAY($A695,2)=5,3,1))</f>
        <v/>
      </c>
      <c r="B696">
        <f>IF($A696&gt;$A695,1,0)</f>
        <v/>
      </c>
      <c r="C696" s="56">
        <f>IF($B696=0,"",IF(Inputs!$B$6="","",IF($AD696=0,C695,SUMIFS(Data!$B$10:$B$3209,Data!$A$10:$A$3209,"&gt;="&amp;$A696,Data!$A$10:$A$3209,"&lt;"&amp;$A696+1)/$AD696)))</f>
        <v/>
      </c>
      <c r="D696" s="56">
        <f>IF($B696=0,"",IF(Inputs!$B$7="","",IF($AE696=0,D695,SUMIFS(Data!$F$10:$F$3209,Data!$E$10:$E$3209,"&gt;="&amp;$A696,Data!$E$10:$E$3209,"&lt;"&amp;$A696+1)/$AE696)))</f>
        <v/>
      </c>
      <c r="E696" s="56">
        <f>IF($B696=0,"",IF(Inputs!$B$8="","",IF($AF696=0,E695,SUMIFS(Data!$J$10:$J$3209,Data!$I$10:$I$3209,"&gt;="&amp;$A696,Data!$I$10:$I$3209,"&lt;"&amp;$A696+1)/$AF696)))</f>
        <v/>
      </c>
      <c r="F696" s="56">
        <f>IF($B696=0,"",IF(Inputs!$B$9="","",IF($AG696=0,F695,SUMIFS(Data!$N$10:$N$3209,Data!$M$10:$M$3209,"&gt;="&amp;$A696,Data!$M$10:$M$3209,"&lt;"&amp;$A696+1)/$AG696)))</f>
        <v/>
      </c>
      <c r="G696" s="56">
        <f>IF($B696=0,"",IF(Inputs!$B$10="","",IF($AH696=0,G695,SUMIFS(Data!$R$10:$R$3209,Data!$Q$10:$Q$3209,"&gt;="&amp;$A696,Data!$Q$10:$Q$3209,"&lt;"&amp;$A696+1)/$AH696)))</f>
        <v/>
      </c>
      <c r="I696" s="54">
        <f>IF($B696=0,NA(),IF($C696="",NA(),IF(C$8="",NA(),IF(N(C$8)=0,NA(),IF(Inputs!$C$17="Rebased to 100",$C696/C$8*100,$C696)))))</f>
        <v/>
      </c>
      <c r="J696" s="54">
        <f>IF($B696=0,NA(),IF($D696="",NA(),IF(D$8="",NA(),IF(N(D$8)=0,NA(),IF(Inputs!$C$17="Rebased to 100",$D696/D$8*100,$D696)))))</f>
        <v/>
      </c>
      <c r="K696" s="54">
        <f>IF($B696=0,NA(),IF($E696="",NA(),IF(E$8="",NA(),IF(N(E$8)=0,NA(),IF(Inputs!$C$17="Rebased to 100",$E696/E$8*100,$E696)))))</f>
        <v/>
      </c>
      <c r="L696" s="54">
        <f>IF($B696=0,NA(),IF($F696="",NA(),IF(F$8="",NA(),IF(N(F$8)=0,NA(),IF(Inputs!$C$17="Rebased to 100",$F696/F$8*100,$F696)))))</f>
        <v/>
      </c>
      <c r="M696" s="54">
        <f>IF($B696=0,NA(),IF($G696="",NA(),IF(G$8="",NA(),IF(N(G$8)=0,NA(),IF(Inputs!$C$17="Rebased to 100",$G696/G$8*100,$G696)))))</f>
        <v/>
      </c>
      <c r="N696" s="54">
        <f>IF($B696=0,NA(),IF(Inputs!$C$18&lt;&gt;"Yes",NA(),IF(COUNT(I696,J696,K696,L696,M696)=0,NA(),MIN(I696,J696,K696,L696,M696))))</f>
        <v/>
      </c>
      <c r="O696" s="54">
        <f>IF($B696=0,NA(),IF(Inputs!$B$24&lt;&gt;"Yes",NA(),Inputs!$D$24*Inputs!$C$35))</f>
        <v/>
      </c>
      <c r="P696" s="54">
        <f>IF($B696=0,NA(),IF(Inputs!$B$25&lt;&gt;"Yes",NA(),Inputs!$D$25*Inputs!$C$35))</f>
        <v/>
      </c>
      <c r="Q696" s="54">
        <f>IF($B696=0,NA(),IF(Inputs!$B$26&lt;&gt;"Yes",NA(),Inputs!$D$26*Inputs!$C$35))</f>
        <v/>
      </c>
      <c r="R696" s="54">
        <f>IF($B696=0,NA(),IF(Inputs!$B$27&lt;&gt;"Yes",NA(),Inputs!$D$27*Inputs!$C$35))</f>
        <v/>
      </c>
      <c r="S696" s="54">
        <f>IF($B696=0,NA(),IF(Inputs!$B$28&lt;&gt;"Yes",NA(),Inputs!$D$28*Inputs!$C$35))</f>
        <v/>
      </c>
      <c r="T696" s="54">
        <f>IF($B696=0,NA(),IF(Inputs!$B$29&lt;&gt;"Yes",NA(),Inputs!$D$29*Inputs!$C$35))</f>
        <v/>
      </c>
      <c r="AD696">
        <f>IF($B696=0,0,IF(Inputs!$B$6="",0,COUNTIFS(Data!$A$10:$A$3209,"&gt;="&amp;$A696,Data!$A$10:$A$3209,"&lt;"&amp;$A696+1)))</f>
        <v/>
      </c>
      <c r="AE696">
        <f>IF($B696=0,0,IF(Inputs!$B$7="",0,COUNTIFS(Data!$E$10:$E$3209,"&gt;="&amp;$A696,Data!$E$10:$E$3209,"&lt;"&amp;$A696+1)))</f>
        <v/>
      </c>
      <c r="AF696">
        <f>IF($B696=0,0,IF(Inputs!$B$8="",0,COUNTIFS(Data!$I$10:$I$3209,"&gt;="&amp;$A696,Data!$I$10:$I$3209,"&lt;"&amp;$A696+1)))</f>
        <v/>
      </c>
      <c r="AG696">
        <f>IF($B696=0,0,IF(Inputs!$B$9="",0,COUNTIFS(Data!$M$10:$M$3209,"&gt;="&amp;$A696,Data!$M$10:$M$3209,"&lt;"&amp;$A696+1)))</f>
        <v/>
      </c>
      <c r="AH696">
        <f>IF($B696=0,0,IF(Inputs!$B$10="",0,COUNTIFS(Data!$Q$10:$Q$3209,"&gt;="&amp;$A696,Data!$Q$10:$Q$3209,"&lt;"&amp;$A696+1)))</f>
        <v/>
      </c>
    </row>
    <row r="697">
      <c r="A697" s="55">
        <f>MIN(Inputs!$C$15,$A696+IF(WEEKDAY($A696,2)=5,3,1))</f>
        <v/>
      </c>
      <c r="B697">
        <f>IF($A697&gt;$A696,1,0)</f>
        <v/>
      </c>
      <c r="C697" s="56">
        <f>IF($B697=0,"",IF(Inputs!$B$6="","",IF($AD697=0,C696,SUMIFS(Data!$B$10:$B$3209,Data!$A$10:$A$3209,"&gt;="&amp;$A697,Data!$A$10:$A$3209,"&lt;"&amp;$A697+1)/$AD697)))</f>
        <v/>
      </c>
      <c r="D697" s="56">
        <f>IF($B697=0,"",IF(Inputs!$B$7="","",IF($AE697=0,D696,SUMIFS(Data!$F$10:$F$3209,Data!$E$10:$E$3209,"&gt;="&amp;$A697,Data!$E$10:$E$3209,"&lt;"&amp;$A697+1)/$AE697)))</f>
        <v/>
      </c>
      <c r="E697" s="56">
        <f>IF($B697=0,"",IF(Inputs!$B$8="","",IF($AF697=0,E696,SUMIFS(Data!$J$10:$J$3209,Data!$I$10:$I$3209,"&gt;="&amp;$A697,Data!$I$10:$I$3209,"&lt;"&amp;$A697+1)/$AF697)))</f>
        <v/>
      </c>
      <c r="F697" s="56">
        <f>IF($B697=0,"",IF(Inputs!$B$9="","",IF($AG697=0,F696,SUMIFS(Data!$N$10:$N$3209,Data!$M$10:$M$3209,"&gt;="&amp;$A697,Data!$M$10:$M$3209,"&lt;"&amp;$A697+1)/$AG697)))</f>
        <v/>
      </c>
      <c r="G697" s="56">
        <f>IF($B697=0,"",IF(Inputs!$B$10="","",IF($AH697=0,G696,SUMIFS(Data!$R$10:$R$3209,Data!$Q$10:$Q$3209,"&gt;="&amp;$A697,Data!$Q$10:$Q$3209,"&lt;"&amp;$A697+1)/$AH697)))</f>
        <v/>
      </c>
      <c r="I697" s="54">
        <f>IF($B697=0,NA(),IF($C697="",NA(),IF(C$8="",NA(),IF(N(C$8)=0,NA(),IF(Inputs!$C$17="Rebased to 100",$C697/C$8*100,$C697)))))</f>
        <v/>
      </c>
      <c r="J697" s="54">
        <f>IF($B697=0,NA(),IF($D697="",NA(),IF(D$8="",NA(),IF(N(D$8)=0,NA(),IF(Inputs!$C$17="Rebased to 100",$D697/D$8*100,$D697)))))</f>
        <v/>
      </c>
      <c r="K697" s="54">
        <f>IF($B697=0,NA(),IF($E697="",NA(),IF(E$8="",NA(),IF(N(E$8)=0,NA(),IF(Inputs!$C$17="Rebased to 100",$E697/E$8*100,$E697)))))</f>
        <v/>
      </c>
      <c r="L697" s="54">
        <f>IF($B697=0,NA(),IF($F697="",NA(),IF(F$8="",NA(),IF(N(F$8)=0,NA(),IF(Inputs!$C$17="Rebased to 100",$F697/F$8*100,$F697)))))</f>
        <v/>
      </c>
      <c r="M697" s="54">
        <f>IF($B697=0,NA(),IF($G697="",NA(),IF(G$8="",NA(),IF(N(G$8)=0,NA(),IF(Inputs!$C$17="Rebased to 100",$G697/G$8*100,$G697)))))</f>
        <v/>
      </c>
      <c r="N697" s="54">
        <f>IF($B697=0,NA(),IF(Inputs!$C$18&lt;&gt;"Yes",NA(),IF(COUNT(I697,J697,K697,L697,M697)=0,NA(),MIN(I697,J697,K697,L697,M697))))</f>
        <v/>
      </c>
      <c r="O697" s="54">
        <f>IF($B697=0,NA(),IF(Inputs!$B$24&lt;&gt;"Yes",NA(),Inputs!$D$24*Inputs!$C$35))</f>
        <v/>
      </c>
      <c r="P697" s="54">
        <f>IF($B697=0,NA(),IF(Inputs!$B$25&lt;&gt;"Yes",NA(),Inputs!$D$25*Inputs!$C$35))</f>
        <v/>
      </c>
      <c r="Q697" s="54">
        <f>IF($B697=0,NA(),IF(Inputs!$B$26&lt;&gt;"Yes",NA(),Inputs!$D$26*Inputs!$C$35))</f>
        <v/>
      </c>
      <c r="R697" s="54">
        <f>IF($B697=0,NA(),IF(Inputs!$B$27&lt;&gt;"Yes",NA(),Inputs!$D$27*Inputs!$C$35))</f>
        <v/>
      </c>
      <c r="S697" s="54">
        <f>IF($B697=0,NA(),IF(Inputs!$B$28&lt;&gt;"Yes",NA(),Inputs!$D$28*Inputs!$C$35))</f>
        <v/>
      </c>
      <c r="T697" s="54">
        <f>IF($B697=0,NA(),IF(Inputs!$B$29&lt;&gt;"Yes",NA(),Inputs!$D$29*Inputs!$C$35))</f>
        <v/>
      </c>
      <c r="AD697">
        <f>IF($B697=0,0,IF(Inputs!$B$6="",0,COUNTIFS(Data!$A$10:$A$3209,"&gt;="&amp;$A697,Data!$A$10:$A$3209,"&lt;"&amp;$A697+1)))</f>
        <v/>
      </c>
      <c r="AE697">
        <f>IF($B697=0,0,IF(Inputs!$B$7="",0,COUNTIFS(Data!$E$10:$E$3209,"&gt;="&amp;$A697,Data!$E$10:$E$3209,"&lt;"&amp;$A697+1)))</f>
        <v/>
      </c>
      <c r="AF697">
        <f>IF($B697=0,0,IF(Inputs!$B$8="",0,COUNTIFS(Data!$I$10:$I$3209,"&gt;="&amp;$A697,Data!$I$10:$I$3209,"&lt;"&amp;$A697+1)))</f>
        <v/>
      </c>
      <c r="AG697">
        <f>IF($B697=0,0,IF(Inputs!$B$9="",0,COUNTIFS(Data!$M$10:$M$3209,"&gt;="&amp;$A697,Data!$M$10:$M$3209,"&lt;"&amp;$A697+1)))</f>
        <v/>
      </c>
      <c r="AH697">
        <f>IF($B697=0,0,IF(Inputs!$B$10="",0,COUNTIFS(Data!$Q$10:$Q$3209,"&gt;="&amp;$A697,Data!$Q$10:$Q$3209,"&lt;"&amp;$A697+1)))</f>
        <v/>
      </c>
    </row>
    <row r="698">
      <c r="A698" s="55">
        <f>MIN(Inputs!$C$15,$A697+IF(WEEKDAY($A697,2)=5,3,1))</f>
        <v/>
      </c>
      <c r="B698">
        <f>IF($A698&gt;$A697,1,0)</f>
        <v/>
      </c>
      <c r="C698" s="56">
        <f>IF($B698=0,"",IF(Inputs!$B$6="","",IF($AD698=0,C697,SUMIFS(Data!$B$10:$B$3209,Data!$A$10:$A$3209,"&gt;="&amp;$A698,Data!$A$10:$A$3209,"&lt;"&amp;$A698+1)/$AD698)))</f>
        <v/>
      </c>
      <c r="D698" s="56">
        <f>IF($B698=0,"",IF(Inputs!$B$7="","",IF($AE698=0,D697,SUMIFS(Data!$F$10:$F$3209,Data!$E$10:$E$3209,"&gt;="&amp;$A698,Data!$E$10:$E$3209,"&lt;"&amp;$A698+1)/$AE698)))</f>
        <v/>
      </c>
      <c r="E698" s="56">
        <f>IF($B698=0,"",IF(Inputs!$B$8="","",IF($AF698=0,E697,SUMIFS(Data!$J$10:$J$3209,Data!$I$10:$I$3209,"&gt;="&amp;$A698,Data!$I$10:$I$3209,"&lt;"&amp;$A698+1)/$AF698)))</f>
        <v/>
      </c>
      <c r="F698" s="56">
        <f>IF($B698=0,"",IF(Inputs!$B$9="","",IF($AG698=0,F697,SUMIFS(Data!$N$10:$N$3209,Data!$M$10:$M$3209,"&gt;="&amp;$A698,Data!$M$10:$M$3209,"&lt;"&amp;$A698+1)/$AG698)))</f>
        <v/>
      </c>
      <c r="G698" s="56">
        <f>IF($B698=0,"",IF(Inputs!$B$10="","",IF($AH698=0,G697,SUMIFS(Data!$R$10:$R$3209,Data!$Q$10:$Q$3209,"&gt;="&amp;$A698,Data!$Q$10:$Q$3209,"&lt;"&amp;$A698+1)/$AH698)))</f>
        <v/>
      </c>
      <c r="I698" s="54">
        <f>IF($B698=0,NA(),IF($C698="",NA(),IF(C$8="",NA(),IF(N(C$8)=0,NA(),IF(Inputs!$C$17="Rebased to 100",$C698/C$8*100,$C698)))))</f>
        <v/>
      </c>
      <c r="J698" s="54">
        <f>IF($B698=0,NA(),IF($D698="",NA(),IF(D$8="",NA(),IF(N(D$8)=0,NA(),IF(Inputs!$C$17="Rebased to 100",$D698/D$8*100,$D698)))))</f>
        <v/>
      </c>
      <c r="K698" s="54">
        <f>IF($B698=0,NA(),IF($E698="",NA(),IF(E$8="",NA(),IF(N(E$8)=0,NA(),IF(Inputs!$C$17="Rebased to 100",$E698/E$8*100,$E698)))))</f>
        <v/>
      </c>
      <c r="L698" s="54">
        <f>IF($B698=0,NA(),IF($F698="",NA(),IF(F$8="",NA(),IF(N(F$8)=0,NA(),IF(Inputs!$C$17="Rebased to 100",$F698/F$8*100,$F698)))))</f>
        <v/>
      </c>
      <c r="M698" s="54">
        <f>IF($B698=0,NA(),IF($G698="",NA(),IF(G$8="",NA(),IF(N(G$8)=0,NA(),IF(Inputs!$C$17="Rebased to 100",$G698/G$8*100,$G698)))))</f>
        <v/>
      </c>
      <c r="N698" s="54">
        <f>IF($B698=0,NA(),IF(Inputs!$C$18&lt;&gt;"Yes",NA(),IF(COUNT(I698,J698,K698,L698,M698)=0,NA(),MIN(I698,J698,K698,L698,M698))))</f>
        <v/>
      </c>
      <c r="O698" s="54">
        <f>IF($B698=0,NA(),IF(Inputs!$B$24&lt;&gt;"Yes",NA(),Inputs!$D$24*Inputs!$C$35))</f>
        <v/>
      </c>
      <c r="P698" s="54">
        <f>IF($B698=0,NA(),IF(Inputs!$B$25&lt;&gt;"Yes",NA(),Inputs!$D$25*Inputs!$C$35))</f>
        <v/>
      </c>
      <c r="Q698" s="54">
        <f>IF($B698=0,NA(),IF(Inputs!$B$26&lt;&gt;"Yes",NA(),Inputs!$D$26*Inputs!$C$35))</f>
        <v/>
      </c>
      <c r="R698" s="54">
        <f>IF($B698=0,NA(),IF(Inputs!$B$27&lt;&gt;"Yes",NA(),Inputs!$D$27*Inputs!$C$35))</f>
        <v/>
      </c>
      <c r="S698" s="54">
        <f>IF($B698=0,NA(),IF(Inputs!$B$28&lt;&gt;"Yes",NA(),Inputs!$D$28*Inputs!$C$35))</f>
        <v/>
      </c>
      <c r="T698" s="54">
        <f>IF($B698=0,NA(),IF(Inputs!$B$29&lt;&gt;"Yes",NA(),Inputs!$D$29*Inputs!$C$35))</f>
        <v/>
      </c>
      <c r="AD698">
        <f>IF($B698=0,0,IF(Inputs!$B$6="",0,COUNTIFS(Data!$A$10:$A$3209,"&gt;="&amp;$A698,Data!$A$10:$A$3209,"&lt;"&amp;$A698+1)))</f>
        <v/>
      </c>
      <c r="AE698">
        <f>IF($B698=0,0,IF(Inputs!$B$7="",0,COUNTIFS(Data!$E$10:$E$3209,"&gt;="&amp;$A698,Data!$E$10:$E$3209,"&lt;"&amp;$A698+1)))</f>
        <v/>
      </c>
      <c r="AF698">
        <f>IF($B698=0,0,IF(Inputs!$B$8="",0,COUNTIFS(Data!$I$10:$I$3209,"&gt;="&amp;$A698,Data!$I$10:$I$3209,"&lt;"&amp;$A698+1)))</f>
        <v/>
      </c>
      <c r="AG698">
        <f>IF($B698=0,0,IF(Inputs!$B$9="",0,COUNTIFS(Data!$M$10:$M$3209,"&gt;="&amp;$A698,Data!$M$10:$M$3209,"&lt;"&amp;$A698+1)))</f>
        <v/>
      </c>
      <c r="AH698">
        <f>IF($B698=0,0,IF(Inputs!$B$10="",0,COUNTIFS(Data!$Q$10:$Q$3209,"&gt;="&amp;$A698,Data!$Q$10:$Q$3209,"&lt;"&amp;$A698+1)))</f>
        <v/>
      </c>
    </row>
    <row r="699">
      <c r="A699" s="55">
        <f>MIN(Inputs!$C$15,$A698+IF(WEEKDAY($A698,2)=5,3,1))</f>
        <v/>
      </c>
      <c r="B699">
        <f>IF($A699&gt;$A698,1,0)</f>
        <v/>
      </c>
      <c r="C699" s="56">
        <f>IF($B699=0,"",IF(Inputs!$B$6="","",IF($AD699=0,C698,SUMIFS(Data!$B$10:$B$3209,Data!$A$10:$A$3209,"&gt;="&amp;$A699,Data!$A$10:$A$3209,"&lt;"&amp;$A699+1)/$AD699)))</f>
        <v/>
      </c>
      <c r="D699" s="56">
        <f>IF($B699=0,"",IF(Inputs!$B$7="","",IF($AE699=0,D698,SUMIFS(Data!$F$10:$F$3209,Data!$E$10:$E$3209,"&gt;="&amp;$A699,Data!$E$10:$E$3209,"&lt;"&amp;$A699+1)/$AE699)))</f>
        <v/>
      </c>
      <c r="E699" s="56">
        <f>IF($B699=0,"",IF(Inputs!$B$8="","",IF($AF699=0,E698,SUMIFS(Data!$J$10:$J$3209,Data!$I$10:$I$3209,"&gt;="&amp;$A699,Data!$I$10:$I$3209,"&lt;"&amp;$A699+1)/$AF699)))</f>
        <v/>
      </c>
      <c r="F699" s="56">
        <f>IF($B699=0,"",IF(Inputs!$B$9="","",IF($AG699=0,F698,SUMIFS(Data!$N$10:$N$3209,Data!$M$10:$M$3209,"&gt;="&amp;$A699,Data!$M$10:$M$3209,"&lt;"&amp;$A699+1)/$AG699)))</f>
        <v/>
      </c>
      <c r="G699" s="56">
        <f>IF($B699=0,"",IF(Inputs!$B$10="","",IF($AH699=0,G698,SUMIFS(Data!$R$10:$R$3209,Data!$Q$10:$Q$3209,"&gt;="&amp;$A699,Data!$Q$10:$Q$3209,"&lt;"&amp;$A699+1)/$AH699)))</f>
        <v/>
      </c>
      <c r="I699" s="54">
        <f>IF($B699=0,NA(),IF($C699="",NA(),IF(C$8="",NA(),IF(N(C$8)=0,NA(),IF(Inputs!$C$17="Rebased to 100",$C699/C$8*100,$C699)))))</f>
        <v/>
      </c>
      <c r="J699" s="54">
        <f>IF($B699=0,NA(),IF($D699="",NA(),IF(D$8="",NA(),IF(N(D$8)=0,NA(),IF(Inputs!$C$17="Rebased to 100",$D699/D$8*100,$D699)))))</f>
        <v/>
      </c>
      <c r="K699" s="54">
        <f>IF($B699=0,NA(),IF($E699="",NA(),IF(E$8="",NA(),IF(N(E$8)=0,NA(),IF(Inputs!$C$17="Rebased to 100",$E699/E$8*100,$E699)))))</f>
        <v/>
      </c>
      <c r="L699" s="54">
        <f>IF($B699=0,NA(),IF($F699="",NA(),IF(F$8="",NA(),IF(N(F$8)=0,NA(),IF(Inputs!$C$17="Rebased to 100",$F699/F$8*100,$F699)))))</f>
        <v/>
      </c>
      <c r="M699" s="54">
        <f>IF($B699=0,NA(),IF($G699="",NA(),IF(G$8="",NA(),IF(N(G$8)=0,NA(),IF(Inputs!$C$17="Rebased to 100",$G699/G$8*100,$G699)))))</f>
        <v/>
      </c>
      <c r="N699" s="54">
        <f>IF($B699=0,NA(),IF(Inputs!$C$18&lt;&gt;"Yes",NA(),IF(COUNT(I699,J699,K699,L699,M699)=0,NA(),MIN(I699,J699,K699,L699,M699))))</f>
        <v/>
      </c>
      <c r="O699" s="54">
        <f>IF($B699=0,NA(),IF(Inputs!$B$24&lt;&gt;"Yes",NA(),Inputs!$D$24*Inputs!$C$35))</f>
        <v/>
      </c>
      <c r="P699" s="54">
        <f>IF($B699=0,NA(),IF(Inputs!$B$25&lt;&gt;"Yes",NA(),Inputs!$D$25*Inputs!$C$35))</f>
        <v/>
      </c>
      <c r="Q699" s="54">
        <f>IF($B699=0,NA(),IF(Inputs!$B$26&lt;&gt;"Yes",NA(),Inputs!$D$26*Inputs!$C$35))</f>
        <v/>
      </c>
      <c r="R699" s="54">
        <f>IF($B699=0,NA(),IF(Inputs!$B$27&lt;&gt;"Yes",NA(),Inputs!$D$27*Inputs!$C$35))</f>
        <v/>
      </c>
      <c r="S699" s="54">
        <f>IF($B699=0,NA(),IF(Inputs!$B$28&lt;&gt;"Yes",NA(),Inputs!$D$28*Inputs!$C$35))</f>
        <v/>
      </c>
      <c r="T699" s="54">
        <f>IF($B699=0,NA(),IF(Inputs!$B$29&lt;&gt;"Yes",NA(),Inputs!$D$29*Inputs!$C$35))</f>
        <v/>
      </c>
      <c r="AD699">
        <f>IF($B699=0,0,IF(Inputs!$B$6="",0,COUNTIFS(Data!$A$10:$A$3209,"&gt;="&amp;$A699,Data!$A$10:$A$3209,"&lt;"&amp;$A699+1)))</f>
        <v/>
      </c>
      <c r="AE699">
        <f>IF($B699=0,0,IF(Inputs!$B$7="",0,COUNTIFS(Data!$E$10:$E$3209,"&gt;="&amp;$A699,Data!$E$10:$E$3209,"&lt;"&amp;$A699+1)))</f>
        <v/>
      </c>
      <c r="AF699">
        <f>IF($B699=0,0,IF(Inputs!$B$8="",0,COUNTIFS(Data!$I$10:$I$3209,"&gt;="&amp;$A699,Data!$I$10:$I$3209,"&lt;"&amp;$A699+1)))</f>
        <v/>
      </c>
      <c r="AG699">
        <f>IF($B699=0,0,IF(Inputs!$B$9="",0,COUNTIFS(Data!$M$10:$M$3209,"&gt;="&amp;$A699,Data!$M$10:$M$3209,"&lt;"&amp;$A699+1)))</f>
        <v/>
      </c>
      <c r="AH699">
        <f>IF($B699=0,0,IF(Inputs!$B$10="",0,COUNTIFS(Data!$Q$10:$Q$3209,"&gt;="&amp;$A699,Data!$Q$10:$Q$3209,"&lt;"&amp;$A699+1)))</f>
        <v/>
      </c>
    </row>
    <row r="700">
      <c r="A700" s="55">
        <f>MIN(Inputs!$C$15,$A699+IF(WEEKDAY($A699,2)=5,3,1))</f>
        <v/>
      </c>
      <c r="B700">
        <f>IF($A700&gt;$A699,1,0)</f>
        <v/>
      </c>
      <c r="C700" s="56">
        <f>IF($B700=0,"",IF(Inputs!$B$6="","",IF($AD700=0,C699,SUMIFS(Data!$B$10:$B$3209,Data!$A$10:$A$3209,"&gt;="&amp;$A700,Data!$A$10:$A$3209,"&lt;"&amp;$A700+1)/$AD700)))</f>
        <v/>
      </c>
      <c r="D700" s="56">
        <f>IF($B700=0,"",IF(Inputs!$B$7="","",IF($AE700=0,D699,SUMIFS(Data!$F$10:$F$3209,Data!$E$10:$E$3209,"&gt;="&amp;$A700,Data!$E$10:$E$3209,"&lt;"&amp;$A700+1)/$AE700)))</f>
        <v/>
      </c>
      <c r="E700" s="56">
        <f>IF($B700=0,"",IF(Inputs!$B$8="","",IF($AF700=0,E699,SUMIFS(Data!$J$10:$J$3209,Data!$I$10:$I$3209,"&gt;="&amp;$A700,Data!$I$10:$I$3209,"&lt;"&amp;$A700+1)/$AF700)))</f>
        <v/>
      </c>
      <c r="F700" s="56">
        <f>IF($B700=0,"",IF(Inputs!$B$9="","",IF($AG700=0,F699,SUMIFS(Data!$N$10:$N$3209,Data!$M$10:$M$3209,"&gt;="&amp;$A700,Data!$M$10:$M$3209,"&lt;"&amp;$A700+1)/$AG700)))</f>
        <v/>
      </c>
      <c r="G700" s="56">
        <f>IF($B700=0,"",IF(Inputs!$B$10="","",IF($AH700=0,G699,SUMIFS(Data!$R$10:$R$3209,Data!$Q$10:$Q$3209,"&gt;="&amp;$A700,Data!$Q$10:$Q$3209,"&lt;"&amp;$A700+1)/$AH700)))</f>
        <v/>
      </c>
      <c r="I700" s="54">
        <f>IF($B700=0,NA(),IF($C700="",NA(),IF(C$8="",NA(),IF(N(C$8)=0,NA(),IF(Inputs!$C$17="Rebased to 100",$C700/C$8*100,$C700)))))</f>
        <v/>
      </c>
      <c r="J700" s="54">
        <f>IF($B700=0,NA(),IF($D700="",NA(),IF(D$8="",NA(),IF(N(D$8)=0,NA(),IF(Inputs!$C$17="Rebased to 100",$D700/D$8*100,$D700)))))</f>
        <v/>
      </c>
      <c r="K700" s="54">
        <f>IF($B700=0,NA(),IF($E700="",NA(),IF(E$8="",NA(),IF(N(E$8)=0,NA(),IF(Inputs!$C$17="Rebased to 100",$E700/E$8*100,$E700)))))</f>
        <v/>
      </c>
      <c r="L700" s="54">
        <f>IF($B700=0,NA(),IF($F700="",NA(),IF(F$8="",NA(),IF(N(F$8)=0,NA(),IF(Inputs!$C$17="Rebased to 100",$F700/F$8*100,$F700)))))</f>
        <v/>
      </c>
      <c r="M700" s="54">
        <f>IF($B700=0,NA(),IF($G700="",NA(),IF(G$8="",NA(),IF(N(G$8)=0,NA(),IF(Inputs!$C$17="Rebased to 100",$G700/G$8*100,$G700)))))</f>
        <v/>
      </c>
      <c r="N700" s="54">
        <f>IF($B700=0,NA(),IF(Inputs!$C$18&lt;&gt;"Yes",NA(),IF(COUNT(I700,J700,K700,L700,M700)=0,NA(),MIN(I700,J700,K700,L700,M700))))</f>
        <v/>
      </c>
      <c r="O700" s="54">
        <f>IF($B700=0,NA(),IF(Inputs!$B$24&lt;&gt;"Yes",NA(),Inputs!$D$24*Inputs!$C$35))</f>
        <v/>
      </c>
      <c r="P700" s="54">
        <f>IF($B700=0,NA(),IF(Inputs!$B$25&lt;&gt;"Yes",NA(),Inputs!$D$25*Inputs!$C$35))</f>
        <v/>
      </c>
      <c r="Q700" s="54">
        <f>IF($B700=0,NA(),IF(Inputs!$B$26&lt;&gt;"Yes",NA(),Inputs!$D$26*Inputs!$C$35))</f>
        <v/>
      </c>
      <c r="R700" s="54">
        <f>IF($B700=0,NA(),IF(Inputs!$B$27&lt;&gt;"Yes",NA(),Inputs!$D$27*Inputs!$C$35))</f>
        <v/>
      </c>
      <c r="S700" s="54">
        <f>IF($B700=0,NA(),IF(Inputs!$B$28&lt;&gt;"Yes",NA(),Inputs!$D$28*Inputs!$C$35))</f>
        <v/>
      </c>
      <c r="T700" s="54">
        <f>IF($B700=0,NA(),IF(Inputs!$B$29&lt;&gt;"Yes",NA(),Inputs!$D$29*Inputs!$C$35))</f>
        <v/>
      </c>
      <c r="AD700">
        <f>IF($B700=0,0,IF(Inputs!$B$6="",0,COUNTIFS(Data!$A$10:$A$3209,"&gt;="&amp;$A700,Data!$A$10:$A$3209,"&lt;"&amp;$A700+1)))</f>
        <v/>
      </c>
      <c r="AE700">
        <f>IF($B700=0,0,IF(Inputs!$B$7="",0,COUNTIFS(Data!$E$10:$E$3209,"&gt;="&amp;$A700,Data!$E$10:$E$3209,"&lt;"&amp;$A700+1)))</f>
        <v/>
      </c>
      <c r="AF700">
        <f>IF($B700=0,0,IF(Inputs!$B$8="",0,COUNTIFS(Data!$I$10:$I$3209,"&gt;="&amp;$A700,Data!$I$10:$I$3209,"&lt;"&amp;$A700+1)))</f>
        <v/>
      </c>
      <c r="AG700">
        <f>IF($B700=0,0,IF(Inputs!$B$9="",0,COUNTIFS(Data!$M$10:$M$3209,"&gt;="&amp;$A700,Data!$M$10:$M$3209,"&lt;"&amp;$A700+1)))</f>
        <v/>
      </c>
      <c r="AH700">
        <f>IF($B700=0,0,IF(Inputs!$B$10="",0,COUNTIFS(Data!$Q$10:$Q$3209,"&gt;="&amp;$A700,Data!$Q$10:$Q$3209,"&lt;"&amp;$A700+1)))</f>
        <v/>
      </c>
    </row>
    <row r="701">
      <c r="A701" s="55">
        <f>MIN(Inputs!$C$15,$A700+IF(WEEKDAY($A700,2)=5,3,1))</f>
        <v/>
      </c>
      <c r="B701">
        <f>IF($A701&gt;$A700,1,0)</f>
        <v/>
      </c>
      <c r="C701" s="56">
        <f>IF($B701=0,"",IF(Inputs!$B$6="","",IF($AD701=0,C700,SUMIFS(Data!$B$10:$B$3209,Data!$A$10:$A$3209,"&gt;="&amp;$A701,Data!$A$10:$A$3209,"&lt;"&amp;$A701+1)/$AD701)))</f>
        <v/>
      </c>
      <c r="D701" s="56">
        <f>IF($B701=0,"",IF(Inputs!$B$7="","",IF($AE701=0,D700,SUMIFS(Data!$F$10:$F$3209,Data!$E$10:$E$3209,"&gt;="&amp;$A701,Data!$E$10:$E$3209,"&lt;"&amp;$A701+1)/$AE701)))</f>
        <v/>
      </c>
      <c r="E701" s="56">
        <f>IF($B701=0,"",IF(Inputs!$B$8="","",IF($AF701=0,E700,SUMIFS(Data!$J$10:$J$3209,Data!$I$10:$I$3209,"&gt;="&amp;$A701,Data!$I$10:$I$3209,"&lt;"&amp;$A701+1)/$AF701)))</f>
        <v/>
      </c>
      <c r="F701" s="56">
        <f>IF($B701=0,"",IF(Inputs!$B$9="","",IF($AG701=0,F700,SUMIFS(Data!$N$10:$N$3209,Data!$M$10:$M$3209,"&gt;="&amp;$A701,Data!$M$10:$M$3209,"&lt;"&amp;$A701+1)/$AG701)))</f>
        <v/>
      </c>
      <c r="G701" s="56">
        <f>IF($B701=0,"",IF(Inputs!$B$10="","",IF($AH701=0,G700,SUMIFS(Data!$R$10:$R$3209,Data!$Q$10:$Q$3209,"&gt;="&amp;$A701,Data!$Q$10:$Q$3209,"&lt;"&amp;$A701+1)/$AH701)))</f>
        <v/>
      </c>
      <c r="I701" s="54">
        <f>IF($B701=0,NA(),IF($C701="",NA(),IF(C$8="",NA(),IF(N(C$8)=0,NA(),IF(Inputs!$C$17="Rebased to 100",$C701/C$8*100,$C701)))))</f>
        <v/>
      </c>
      <c r="J701" s="54">
        <f>IF($B701=0,NA(),IF($D701="",NA(),IF(D$8="",NA(),IF(N(D$8)=0,NA(),IF(Inputs!$C$17="Rebased to 100",$D701/D$8*100,$D701)))))</f>
        <v/>
      </c>
      <c r="K701" s="54">
        <f>IF($B701=0,NA(),IF($E701="",NA(),IF(E$8="",NA(),IF(N(E$8)=0,NA(),IF(Inputs!$C$17="Rebased to 100",$E701/E$8*100,$E701)))))</f>
        <v/>
      </c>
      <c r="L701" s="54">
        <f>IF($B701=0,NA(),IF($F701="",NA(),IF(F$8="",NA(),IF(N(F$8)=0,NA(),IF(Inputs!$C$17="Rebased to 100",$F701/F$8*100,$F701)))))</f>
        <v/>
      </c>
      <c r="M701" s="54">
        <f>IF($B701=0,NA(),IF($G701="",NA(),IF(G$8="",NA(),IF(N(G$8)=0,NA(),IF(Inputs!$C$17="Rebased to 100",$G701/G$8*100,$G701)))))</f>
        <v/>
      </c>
      <c r="N701" s="54">
        <f>IF($B701=0,NA(),IF(Inputs!$C$18&lt;&gt;"Yes",NA(),IF(COUNT(I701,J701,K701,L701,M701)=0,NA(),MIN(I701,J701,K701,L701,M701))))</f>
        <v/>
      </c>
      <c r="O701" s="54">
        <f>IF($B701=0,NA(),IF(Inputs!$B$24&lt;&gt;"Yes",NA(),Inputs!$D$24*Inputs!$C$35))</f>
        <v/>
      </c>
      <c r="P701" s="54">
        <f>IF($B701=0,NA(),IF(Inputs!$B$25&lt;&gt;"Yes",NA(),Inputs!$D$25*Inputs!$C$35))</f>
        <v/>
      </c>
      <c r="Q701" s="54">
        <f>IF($B701=0,NA(),IF(Inputs!$B$26&lt;&gt;"Yes",NA(),Inputs!$D$26*Inputs!$C$35))</f>
        <v/>
      </c>
      <c r="R701" s="54">
        <f>IF($B701=0,NA(),IF(Inputs!$B$27&lt;&gt;"Yes",NA(),Inputs!$D$27*Inputs!$C$35))</f>
        <v/>
      </c>
      <c r="S701" s="54">
        <f>IF($B701=0,NA(),IF(Inputs!$B$28&lt;&gt;"Yes",NA(),Inputs!$D$28*Inputs!$C$35))</f>
        <v/>
      </c>
      <c r="T701" s="54">
        <f>IF($B701=0,NA(),IF(Inputs!$B$29&lt;&gt;"Yes",NA(),Inputs!$D$29*Inputs!$C$35))</f>
        <v/>
      </c>
      <c r="AD701">
        <f>IF($B701=0,0,IF(Inputs!$B$6="",0,COUNTIFS(Data!$A$10:$A$3209,"&gt;="&amp;$A701,Data!$A$10:$A$3209,"&lt;"&amp;$A701+1)))</f>
        <v/>
      </c>
      <c r="AE701">
        <f>IF($B701=0,0,IF(Inputs!$B$7="",0,COUNTIFS(Data!$E$10:$E$3209,"&gt;="&amp;$A701,Data!$E$10:$E$3209,"&lt;"&amp;$A701+1)))</f>
        <v/>
      </c>
      <c r="AF701">
        <f>IF($B701=0,0,IF(Inputs!$B$8="",0,COUNTIFS(Data!$I$10:$I$3209,"&gt;="&amp;$A701,Data!$I$10:$I$3209,"&lt;"&amp;$A701+1)))</f>
        <v/>
      </c>
      <c r="AG701">
        <f>IF($B701=0,0,IF(Inputs!$B$9="",0,COUNTIFS(Data!$M$10:$M$3209,"&gt;="&amp;$A701,Data!$M$10:$M$3209,"&lt;"&amp;$A701+1)))</f>
        <v/>
      </c>
      <c r="AH701">
        <f>IF($B701=0,0,IF(Inputs!$B$10="",0,COUNTIFS(Data!$Q$10:$Q$3209,"&gt;="&amp;$A701,Data!$Q$10:$Q$3209,"&lt;"&amp;$A701+1)))</f>
        <v/>
      </c>
    </row>
    <row r="702">
      <c r="A702" s="55">
        <f>MIN(Inputs!$C$15,$A701+IF(WEEKDAY($A701,2)=5,3,1))</f>
        <v/>
      </c>
      <c r="B702">
        <f>IF($A702&gt;$A701,1,0)</f>
        <v/>
      </c>
      <c r="C702" s="56">
        <f>IF($B702=0,"",IF(Inputs!$B$6="","",IF($AD702=0,C701,SUMIFS(Data!$B$10:$B$3209,Data!$A$10:$A$3209,"&gt;="&amp;$A702,Data!$A$10:$A$3209,"&lt;"&amp;$A702+1)/$AD702)))</f>
        <v/>
      </c>
      <c r="D702" s="56">
        <f>IF($B702=0,"",IF(Inputs!$B$7="","",IF($AE702=0,D701,SUMIFS(Data!$F$10:$F$3209,Data!$E$10:$E$3209,"&gt;="&amp;$A702,Data!$E$10:$E$3209,"&lt;"&amp;$A702+1)/$AE702)))</f>
        <v/>
      </c>
      <c r="E702" s="56">
        <f>IF($B702=0,"",IF(Inputs!$B$8="","",IF($AF702=0,E701,SUMIFS(Data!$J$10:$J$3209,Data!$I$10:$I$3209,"&gt;="&amp;$A702,Data!$I$10:$I$3209,"&lt;"&amp;$A702+1)/$AF702)))</f>
        <v/>
      </c>
      <c r="F702" s="56">
        <f>IF($B702=0,"",IF(Inputs!$B$9="","",IF($AG702=0,F701,SUMIFS(Data!$N$10:$N$3209,Data!$M$10:$M$3209,"&gt;="&amp;$A702,Data!$M$10:$M$3209,"&lt;"&amp;$A702+1)/$AG702)))</f>
        <v/>
      </c>
      <c r="G702" s="56">
        <f>IF($B702=0,"",IF(Inputs!$B$10="","",IF($AH702=0,G701,SUMIFS(Data!$R$10:$R$3209,Data!$Q$10:$Q$3209,"&gt;="&amp;$A702,Data!$Q$10:$Q$3209,"&lt;"&amp;$A702+1)/$AH702)))</f>
        <v/>
      </c>
      <c r="I702" s="54">
        <f>IF($B702=0,NA(),IF($C702="",NA(),IF(C$8="",NA(),IF(N(C$8)=0,NA(),IF(Inputs!$C$17="Rebased to 100",$C702/C$8*100,$C702)))))</f>
        <v/>
      </c>
      <c r="J702" s="54">
        <f>IF($B702=0,NA(),IF($D702="",NA(),IF(D$8="",NA(),IF(N(D$8)=0,NA(),IF(Inputs!$C$17="Rebased to 100",$D702/D$8*100,$D702)))))</f>
        <v/>
      </c>
      <c r="K702" s="54">
        <f>IF($B702=0,NA(),IF($E702="",NA(),IF(E$8="",NA(),IF(N(E$8)=0,NA(),IF(Inputs!$C$17="Rebased to 100",$E702/E$8*100,$E702)))))</f>
        <v/>
      </c>
      <c r="L702" s="54">
        <f>IF($B702=0,NA(),IF($F702="",NA(),IF(F$8="",NA(),IF(N(F$8)=0,NA(),IF(Inputs!$C$17="Rebased to 100",$F702/F$8*100,$F702)))))</f>
        <v/>
      </c>
      <c r="M702" s="54">
        <f>IF($B702=0,NA(),IF($G702="",NA(),IF(G$8="",NA(),IF(N(G$8)=0,NA(),IF(Inputs!$C$17="Rebased to 100",$G702/G$8*100,$G702)))))</f>
        <v/>
      </c>
      <c r="N702" s="54">
        <f>IF($B702=0,NA(),IF(Inputs!$C$18&lt;&gt;"Yes",NA(),IF(COUNT(I702,J702,K702,L702,M702)=0,NA(),MIN(I702,J702,K702,L702,M702))))</f>
        <v/>
      </c>
      <c r="O702" s="54">
        <f>IF($B702=0,NA(),IF(Inputs!$B$24&lt;&gt;"Yes",NA(),Inputs!$D$24*Inputs!$C$35))</f>
        <v/>
      </c>
      <c r="P702" s="54">
        <f>IF($B702=0,NA(),IF(Inputs!$B$25&lt;&gt;"Yes",NA(),Inputs!$D$25*Inputs!$C$35))</f>
        <v/>
      </c>
      <c r="Q702" s="54">
        <f>IF($B702=0,NA(),IF(Inputs!$B$26&lt;&gt;"Yes",NA(),Inputs!$D$26*Inputs!$C$35))</f>
        <v/>
      </c>
      <c r="R702" s="54">
        <f>IF($B702=0,NA(),IF(Inputs!$B$27&lt;&gt;"Yes",NA(),Inputs!$D$27*Inputs!$C$35))</f>
        <v/>
      </c>
      <c r="S702" s="54">
        <f>IF($B702=0,NA(),IF(Inputs!$B$28&lt;&gt;"Yes",NA(),Inputs!$D$28*Inputs!$C$35))</f>
        <v/>
      </c>
      <c r="T702" s="54">
        <f>IF($B702=0,NA(),IF(Inputs!$B$29&lt;&gt;"Yes",NA(),Inputs!$D$29*Inputs!$C$35))</f>
        <v/>
      </c>
      <c r="AD702">
        <f>IF($B702=0,0,IF(Inputs!$B$6="",0,COUNTIFS(Data!$A$10:$A$3209,"&gt;="&amp;$A702,Data!$A$10:$A$3209,"&lt;"&amp;$A702+1)))</f>
        <v/>
      </c>
      <c r="AE702">
        <f>IF($B702=0,0,IF(Inputs!$B$7="",0,COUNTIFS(Data!$E$10:$E$3209,"&gt;="&amp;$A702,Data!$E$10:$E$3209,"&lt;"&amp;$A702+1)))</f>
        <v/>
      </c>
      <c r="AF702">
        <f>IF($B702=0,0,IF(Inputs!$B$8="",0,COUNTIFS(Data!$I$10:$I$3209,"&gt;="&amp;$A702,Data!$I$10:$I$3209,"&lt;"&amp;$A702+1)))</f>
        <v/>
      </c>
      <c r="AG702">
        <f>IF($B702=0,0,IF(Inputs!$B$9="",0,COUNTIFS(Data!$M$10:$M$3209,"&gt;="&amp;$A702,Data!$M$10:$M$3209,"&lt;"&amp;$A702+1)))</f>
        <v/>
      </c>
      <c r="AH702">
        <f>IF($B702=0,0,IF(Inputs!$B$10="",0,COUNTIFS(Data!$Q$10:$Q$3209,"&gt;="&amp;$A702,Data!$Q$10:$Q$3209,"&lt;"&amp;$A702+1)))</f>
        <v/>
      </c>
    </row>
    <row r="703">
      <c r="A703" s="55">
        <f>MIN(Inputs!$C$15,$A702+IF(WEEKDAY($A702,2)=5,3,1))</f>
        <v/>
      </c>
      <c r="B703">
        <f>IF($A703&gt;$A702,1,0)</f>
        <v/>
      </c>
      <c r="C703" s="56">
        <f>IF($B703=0,"",IF(Inputs!$B$6="","",IF($AD703=0,C702,SUMIFS(Data!$B$10:$B$3209,Data!$A$10:$A$3209,"&gt;="&amp;$A703,Data!$A$10:$A$3209,"&lt;"&amp;$A703+1)/$AD703)))</f>
        <v/>
      </c>
      <c r="D703" s="56">
        <f>IF($B703=0,"",IF(Inputs!$B$7="","",IF($AE703=0,D702,SUMIFS(Data!$F$10:$F$3209,Data!$E$10:$E$3209,"&gt;="&amp;$A703,Data!$E$10:$E$3209,"&lt;"&amp;$A703+1)/$AE703)))</f>
        <v/>
      </c>
      <c r="E703" s="56">
        <f>IF($B703=0,"",IF(Inputs!$B$8="","",IF($AF703=0,E702,SUMIFS(Data!$J$10:$J$3209,Data!$I$10:$I$3209,"&gt;="&amp;$A703,Data!$I$10:$I$3209,"&lt;"&amp;$A703+1)/$AF703)))</f>
        <v/>
      </c>
      <c r="F703" s="56">
        <f>IF($B703=0,"",IF(Inputs!$B$9="","",IF($AG703=0,F702,SUMIFS(Data!$N$10:$N$3209,Data!$M$10:$M$3209,"&gt;="&amp;$A703,Data!$M$10:$M$3209,"&lt;"&amp;$A703+1)/$AG703)))</f>
        <v/>
      </c>
      <c r="G703" s="56">
        <f>IF($B703=0,"",IF(Inputs!$B$10="","",IF($AH703=0,G702,SUMIFS(Data!$R$10:$R$3209,Data!$Q$10:$Q$3209,"&gt;="&amp;$A703,Data!$Q$10:$Q$3209,"&lt;"&amp;$A703+1)/$AH703)))</f>
        <v/>
      </c>
      <c r="I703" s="54">
        <f>IF($B703=0,NA(),IF($C703="",NA(),IF(C$8="",NA(),IF(N(C$8)=0,NA(),IF(Inputs!$C$17="Rebased to 100",$C703/C$8*100,$C703)))))</f>
        <v/>
      </c>
      <c r="J703" s="54">
        <f>IF($B703=0,NA(),IF($D703="",NA(),IF(D$8="",NA(),IF(N(D$8)=0,NA(),IF(Inputs!$C$17="Rebased to 100",$D703/D$8*100,$D703)))))</f>
        <v/>
      </c>
      <c r="K703" s="54">
        <f>IF($B703=0,NA(),IF($E703="",NA(),IF(E$8="",NA(),IF(N(E$8)=0,NA(),IF(Inputs!$C$17="Rebased to 100",$E703/E$8*100,$E703)))))</f>
        <v/>
      </c>
      <c r="L703" s="54">
        <f>IF($B703=0,NA(),IF($F703="",NA(),IF(F$8="",NA(),IF(N(F$8)=0,NA(),IF(Inputs!$C$17="Rebased to 100",$F703/F$8*100,$F703)))))</f>
        <v/>
      </c>
      <c r="M703" s="54">
        <f>IF($B703=0,NA(),IF($G703="",NA(),IF(G$8="",NA(),IF(N(G$8)=0,NA(),IF(Inputs!$C$17="Rebased to 100",$G703/G$8*100,$G703)))))</f>
        <v/>
      </c>
      <c r="N703" s="54">
        <f>IF($B703=0,NA(),IF(Inputs!$C$18&lt;&gt;"Yes",NA(),IF(COUNT(I703,J703,K703,L703,M703)=0,NA(),MIN(I703,J703,K703,L703,M703))))</f>
        <v/>
      </c>
      <c r="O703" s="54">
        <f>IF($B703=0,NA(),IF(Inputs!$B$24&lt;&gt;"Yes",NA(),Inputs!$D$24*Inputs!$C$35))</f>
        <v/>
      </c>
      <c r="P703" s="54">
        <f>IF($B703=0,NA(),IF(Inputs!$B$25&lt;&gt;"Yes",NA(),Inputs!$D$25*Inputs!$C$35))</f>
        <v/>
      </c>
      <c r="Q703" s="54">
        <f>IF($B703=0,NA(),IF(Inputs!$B$26&lt;&gt;"Yes",NA(),Inputs!$D$26*Inputs!$C$35))</f>
        <v/>
      </c>
      <c r="R703" s="54">
        <f>IF($B703=0,NA(),IF(Inputs!$B$27&lt;&gt;"Yes",NA(),Inputs!$D$27*Inputs!$C$35))</f>
        <v/>
      </c>
      <c r="S703" s="54">
        <f>IF($B703=0,NA(),IF(Inputs!$B$28&lt;&gt;"Yes",NA(),Inputs!$D$28*Inputs!$C$35))</f>
        <v/>
      </c>
      <c r="T703" s="54">
        <f>IF($B703=0,NA(),IF(Inputs!$B$29&lt;&gt;"Yes",NA(),Inputs!$D$29*Inputs!$C$35))</f>
        <v/>
      </c>
      <c r="AD703">
        <f>IF($B703=0,0,IF(Inputs!$B$6="",0,COUNTIFS(Data!$A$10:$A$3209,"&gt;="&amp;$A703,Data!$A$10:$A$3209,"&lt;"&amp;$A703+1)))</f>
        <v/>
      </c>
      <c r="AE703">
        <f>IF($B703=0,0,IF(Inputs!$B$7="",0,COUNTIFS(Data!$E$10:$E$3209,"&gt;="&amp;$A703,Data!$E$10:$E$3209,"&lt;"&amp;$A703+1)))</f>
        <v/>
      </c>
      <c r="AF703">
        <f>IF($B703=0,0,IF(Inputs!$B$8="",0,COUNTIFS(Data!$I$10:$I$3209,"&gt;="&amp;$A703,Data!$I$10:$I$3209,"&lt;"&amp;$A703+1)))</f>
        <v/>
      </c>
      <c r="AG703">
        <f>IF($B703=0,0,IF(Inputs!$B$9="",0,COUNTIFS(Data!$M$10:$M$3209,"&gt;="&amp;$A703,Data!$M$10:$M$3209,"&lt;"&amp;$A703+1)))</f>
        <v/>
      </c>
      <c r="AH703">
        <f>IF($B703=0,0,IF(Inputs!$B$10="",0,COUNTIFS(Data!$Q$10:$Q$3209,"&gt;="&amp;$A703,Data!$Q$10:$Q$3209,"&lt;"&amp;$A703+1)))</f>
        <v/>
      </c>
    </row>
    <row r="704">
      <c r="A704" s="55">
        <f>MIN(Inputs!$C$15,$A703+IF(WEEKDAY($A703,2)=5,3,1))</f>
        <v/>
      </c>
      <c r="B704">
        <f>IF($A704&gt;$A703,1,0)</f>
        <v/>
      </c>
      <c r="C704" s="56">
        <f>IF($B704=0,"",IF(Inputs!$B$6="","",IF($AD704=0,C703,SUMIFS(Data!$B$10:$B$3209,Data!$A$10:$A$3209,"&gt;="&amp;$A704,Data!$A$10:$A$3209,"&lt;"&amp;$A704+1)/$AD704)))</f>
        <v/>
      </c>
      <c r="D704" s="56">
        <f>IF($B704=0,"",IF(Inputs!$B$7="","",IF($AE704=0,D703,SUMIFS(Data!$F$10:$F$3209,Data!$E$10:$E$3209,"&gt;="&amp;$A704,Data!$E$10:$E$3209,"&lt;"&amp;$A704+1)/$AE704)))</f>
        <v/>
      </c>
      <c r="E704" s="56">
        <f>IF($B704=0,"",IF(Inputs!$B$8="","",IF($AF704=0,E703,SUMIFS(Data!$J$10:$J$3209,Data!$I$10:$I$3209,"&gt;="&amp;$A704,Data!$I$10:$I$3209,"&lt;"&amp;$A704+1)/$AF704)))</f>
        <v/>
      </c>
      <c r="F704" s="56">
        <f>IF($B704=0,"",IF(Inputs!$B$9="","",IF($AG704=0,F703,SUMIFS(Data!$N$10:$N$3209,Data!$M$10:$M$3209,"&gt;="&amp;$A704,Data!$M$10:$M$3209,"&lt;"&amp;$A704+1)/$AG704)))</f>
        <v/>
      </c>
      <c r="G704" s="56">
        <f>IF($B704=0,"",IF(Inputs!$B$10="","",IF($AH704=0,G703,SUMIFS(Data!$R$10:$R$3209,Data!$Q$10:$Q$3209,"&gt;="&amp;$A704,Data!$Q$10:$Q$3209,"&lt;"&amp;$A704+1)/$AH704)))</f>
        <v/>
      </c>
      <c r="I704" s="54">
        <f>IF($B704=0,NA(),IF($C704="",NA(),IF(C$8="",NA(),IF(N(C$8)=0,NA(),IF(Inputs!$C$17="Rebased to 100",$C704/C$8*100,$C704)))))</f>
        <v/>
      </c>
      <c r="J704" s="54">
        <f>IF($B704=0,NA(),IF($D704="",NA(),IF(D$8="",NA(),IF(N(D$8)=0,NA(),IF(Inputs!$C$17="Rebased to 100",$D704/D$8*100,$D704)))))</f>
        <v/>
      </c>
      <c r="K704" s="54">
        <f>IF($B704=0,NA(),IF($E704="",NA(),IF(E$8="",NA(),IF(N(E$8)=0,NA(),IF(Inputs!$C$17="Rebased to 100",$E704/E$8*100,$E704)))))</f>
        <v/>
      </c>
      <c r="L704" s="54">
        <f>IF($B704=0,NA(),IF($F704="",NA(),IF(F$8="",NA(),IF(N(F$8)=0,NA(),IF(Inputs!$C$17="Rebased to 100",$F704/F$8*100,$F704)))))</f>
        <v/>
      </c>
      <c r="M704" s="54">
        <f>IF($B704=0,NA(),IF($G704="",NA(),IF(G$8="",NA(),IF(N(G$8)=0,NA(),IF(Inputs!$C$17="Rebased to 100",$G704/G$8*100,$G704)))))</f>
        <v/>
      </c>
      <c r="N704" s="54">
        <f>IF($B704=0,NA(),IF(Inputs!$C$18&lt;&gt;"Yes",NA(),IF(COUNT(I704,J704,K704,L704,M704)=0,NA(),MIN(I704,J704,K704,L704,M704))))</f>
        <v/>
      </c>
      <c r="O704" s="54">
        <f>IF($B704=0,NA(),IF(Inputs!$B$24&lt;&gt;"Yes",NA(),Inputs!$D$24*Inputs!$C$35))</f>
        <v/>
      </c>
      <c r="P704" s="54">
        <f>IF($B704=0,NA(),IF(Inputs!$B$25&lt;&gt;"Yes",NA(),Inputs!$D$25*Inputs!$C$35))</f>
        <v/>
      </c>
      <c r="Q704" s="54">
        <f>IF($B704=0,NA(),IF(Inputs!$B$26&lt;&gt;"Yes",NA(),Inputs!$D$26*Inputs!$C$35))</f>
        <v/>
      </c>
      <c r="R704" s="54">
        <f>IF($B704=0,NA(),IF(Inputs!$B$27&lt;&gt;"Yes",NA(),Inputs!$D$27*Inputs!$C$35))</f>
        <v/>
      </c>
      <c r="S704" s="54">
        <f>IF($B704=0,NA(),IF(Inputs!$B$28&lt;&gt;"Yes",NA(),Inputs!$D$28*Inputs!$C$35))</f>
        <v/>
      </c>
      <c r="T704" s="54">
        <f>IF($B704=0,NA(),IF(Inputs!$B$29&lt;&gt;"Yes",NA(),Inputs!$D$29*Inputs!$C$35))</f>
        <v/>
      </c>
      <c r="AD704">
        <f>IF($B704=0,0,IF(Inputs!$B$6="",0,COUNTIFS(Data!$A$10:$A$3209,"&gt;="&amp;$A704,Data!$A$10:$A$3209,"&lt;"&amp;$A704+1)))</f>
        <v/>
      </c>
      <c r="AE704">
        <f>IF($B704=0,0,IF(Inputs!$B$7="",0,COUNTIFS(Data!$E$10:$E$3209,"&gt;="&amp;$A704,Data!$E$10:$E$3209,"&lt;"&amp;$A704+1)))</f>
        <v/>
      </c>
      <c r="AF704">
        <f>IF($B704=0,0,IF(Inputs!$B$8="",0,COUNTIFS(Data!$I$10:$I$3209,"&gt;="&amp;$A704,Data!$I$10:$I$3209,"&lt;"&amp;$A704+1)))</f>
        <v/>
      </c>
      <c r="AG704">
        <f>IF($B704=0,0,IF(Inputs!$B$9="",0,COUNTIFS(Data!$M$10:$M$3209,"&gt;="&amp;$A704,Data!$M$10:$M$3209,"&lt;"&amp;$A704+1)))</f>
        <v/>
      </c>
      <c r="AH704">
        <f>IF($B704=0,0,IF(Inputs!$B$10="",0,COUNTIFS(Data!$Q$10:$Q$3209,"&gt;="&amp;$A704,Data!$Q$10:$Q$3209,"&lt;"&amp;$A704+1)))</f>
        <v/>
      </c>
    </row>
    <row r="705">
      <c r="A705" s="55">
        <f>MIN(Inputs!$C$15,$A704+IF(WEEKDAY($A704,2)=5,3,1))</f>
        <v/>
      </c>
      <c r="B705">
        <f>IF($A705&gt;$A704,1,0)</f>
        <v/>
      </c>
      <c r="C705" s="56">
        <f>IF($B705=0,"",IF(Inputs!$B$6="","",IF($AD705=0,C704,SUMIFS(Data!$B$10:$B$3209,Data!$A$10:$A$3209,"&gt;="&amp;$A705,Data!$A$10:$A$3209,"&lt;"&amp;$A705+1)/$AD705)))</f>
        <v/>
      </c>
      <c r="D705" s="56">
        <f>IF($B705=0,"",IF(Inputs!$B$7="","",IF($AE705=0,D704,SUMIFS(Data!$F$10:$F$3209,Data!$E$10:$E$3209,"&gt;="&amp;$A705,Data!$E$10:$E$3209,"&lt;"&amp;$A705+1)/$AE705)))</f>
        <v/>
      </c>
      <c r="E705" s="56">
        <f>IF($B705=0,"",IF(Inputs!$B$8="","",IF($AF705=0,E704,SUMIFS(Data!$J$10:$J$3209,Data!$I$10:$I$3209,"&gt;="&amp;$A705,Data!$I$10:$I$3209,"&lt;"&amp;$A705+1)/$AF705)))</f>
        <v/>
      </c>
      <c r="F705" s="56">
        <f>IF($B705=0,"",IF(Inputs!$B$9="","",IF($AG705=0,F704,SUMIFS(Data!$N$10:$N$3209,Data!$M$10:$M$3209,"&gt;="&amp;$A705,Data!$M$10:$M$3209,"&lt;"&amp;$A705+1)/$AG705)))</f>
        <v/>
      </c>
      <c r="G705" s="56">
        <f>IF($B705=0,"",IF(Inputs!$B$10="","",IF($AH705=0,G704,SUMIFS(Data!$R$10:$R$3209,Data!$Q$10:$Q$3209,"&gt;="&amp;$A705,Data!$Q$10:$Q$3209,"&lt;"&amp;$A705+1)/$AH705)))</f>
        <v/>
      </c>
      <c r="I705" s="54">
        <f>IF($B705=0,NA(),IF($C705="",NA(),IF(C$8="",NA(),IF(N(C$8)=0,NA(),IF(Inputs!$C$17="Rebased to 100",$C705/C$8*100,$C705)))))</f>
        <v/>
      </c>
      <c r="J705" s="54">
        <f>IF($B705=0,NA(),IF($D705="",NA(),IF(D$8="",NA(),IF(N(D$8)=0,NA(),IF(Inputs!$C$17="Rebased to 100",$D705/D$8*100,$D705)))))</f>
        <v/>
      </c>
      <c r="K705" s="54">
        <f>IF($B705=0,NA(),IF($E705="",NA(),IF(E$8="",NA(),IF(N(E$8)=0,NA(),IF(Inputs!$C$17="Rebased to 100",$E705/E$8*100,$E705)))))</f>
        <v/>
      </c>
      <c r="L705" s="54">
        <f>IF($B705=0,NA(),IF($F705="",NA(),IF(F$8="",NA(),IF(N(F$8)=0,NA(),IF(Inputs!$C$17="Rebased to 100",$F705/F$8*100,$F705)))))</f>
        <v/>
      </c>
      <c r="M705" s="54">
        <f>IF($B705=0,NA(),IF($G705="",NA(),IF(G$8="",NA(),IF(N(G$8)=0,NA(),IF(Inputs!$C$17="Rebased to 100",$G705/G$8*100,$G705)))))</f>
        <v/>
      </c>
      <c r="N705" s="54">
        <f>IF($B705=0,NA(),IF(Inputs!$C$18&lt;&gt;"Yes",NA(),IF(COUNT(I705,J705,K705,L705,M705)=0,NA(),MIN(I705,J705,K705,L705,M705))))</f>
        <v/>
      </c>
      <c r="O705" s="54">
        <f>IF($B705=0,NA(),IF(Inputs!$B$24&lt;&gt;"Yes",NA(),Inputs!$D$24*Inputs!$C$35))</f>
        <v/>
      </c>
      <c r="P705" s="54">
        <f>IF($B705=0,NA(),IF(Inputs!$B$25&lt;&gt;"Yes",NA(),Inputs!$D$25*Inputs!$C$35))</f>
        <v/>
      </c>
      <c r="Q705" s="54">
        <f>IF($B705=0,NA(),IF(Inputs!$B$26&lt;&gt;"Yes",NA(),Inputs!$D$26*Inputs!$C$35))</f>
        <v/>
      </c>
      <c r="R705" s="54">
        <f>IF($B705=0,NA(),IF(Inputs!$B$27&lt;&gt;"Yes",NA(),Inputs!$D$27*Inputs!$C$35))</f>
        <v/>
      </c>
      <c r="S705" s="54">
        <f>IF($B705=0,NA(),IF(Inputs!$B$28&lt;&gt;"Yes",NA(),Inputs!$D$28*Inputs!$C$35))</f>
        <v/>
      </c>
      <c r="T705" s="54">
        <f>IF($B705=0,NA(),IF(Inputs!$B$29&lt;&gt;"Yes",NA(),Inputs!$D$29*Inputs!$C$35))</f>
        <v/>
      </c>
      <c r="AD705">
        <f>IF($B705=0,0,IF(Inputs!$B$6="",0,COUNTIFS(Data!$A$10:$A$3209,"&gt;="&amp;$A705,Data!$A$10:$A$3209,"&lt;"&amp;$A705+1)))</f>
        <v/>
      </c>
      <c r="AE705">
        <f>IF($B705=0,0,IF(Inputs!$B$7="",0,COUNTIFS(Data!$E$10:$E$3209,"&gt;="&amp;$A705,Data!$E$10:$E$3209,"&lt;"&amp;$A705+1)))</f>
        <v/>
      </c>
      <c r="AF705">
        <f>IF($B705=0,0,IF(Inputs!$B$8="",0,COUNTIFS(Data!$I$10:$I$3209,"&gt;="&amp;$A705,Data!$I$10:$I$3209,"&lt;"&amp;$A705+1)))</f>
        <v/>
      </c>
      <c r="AG705">
        <f>IF($B705=0,0,IF(Inputs!$B$9="",0,COUNTIFS(Data!$M$10:$M$3209,"&gt;="&amp;$A705,Data!$M$10:$M$3209,"&lt;"&amp;$A705+1)))</f>
        <v/>
      </c>
      <c r="AH705">
        <f>IF($B705=0,0,IF(Inputs!$B$10="",0,COUNTIFS(Data!$Q$10:$Q$3209,"&gt;="&amp;$A705,Data!$Q$10:$Q$3209,"&lt;"&amp;$A705+1)))</f>
        <v/>
      </c>
    </row>
    <row r="706">
      <c r="A706" s="55">
        <f>MIN(Inputs!$C$15,$A705+IF(WEEKDAY($A705,2)=5,3,1))</f>
        <v/>
      </c>
      <c r="B706">
        <f>IF($A706&gt;$A705,1,0)</f>
        <v/>
      </c>
      <c r="C706" s="56">
        <f>IF($B706=0,"",IF(Inputs!$B$6="","",IF($AD706=0,C705,SUMIFS(Data!$B$10:$B$3209,Data!$A$10:$A$3209,"&gt;="&amp;$A706,Data!$A$10:$A$3209,"&lt;"&amp;$A706+1)/$AD706)))</f>
        <v/>
      </c>
      <c r="D706" s="56">
        <f>IF($B706=0,"",IF(Inputs!$B$7="","",IF($AE706=0,D705,SUMIFS(Data!$F$10:$F$3209,Data!$E$10:$E$3209,"&gt;="&amp;$A706,Data!$E$10:$E$3209,"&lt;"&amp;$A706+1)/$AE706)))</f>
        <v/>
      </c>
      <c r="E706" s="56">
        <f>IF($B706=0,"",IF(Inputs!$B$8="","",IF($AF706=0,E705,SUMIFS(Data!$J$10:$J$3209,Data!$I$10:$I$3209,"&gt;="&amp;$A706,Data!$I$10:$I$3209,"&lt;"&amp;$A706+1)/$AF706)))</f>
        <v/>
      </c>
      <c r="F706" s="56">
        <f>IF($B706=0,"",IF(Inputs!$B$9="","",IF($AG706=0,F705,SUMIFS(Data!$N$10:$N$3209,Data!$M$10:$M$3209,"&gt;="&amp;$A706,Data!$M$10:$M$3209,"&lt;"&amp;$A706+1)/$AG706)))</f>
        <v/>
      </c>
      <c r="G706" s="56">
        <f>IF($B706=0,"",IF(Inputs!$B$10="","",IF($AH706=0,G705,SUMIFS(Data!$R$10:$R$3209,Data!$Q$10:$Q$3209,"&gt;="&amp;$A706,Data!$Q$10:$Q$3209,"&lt;"&amp;$A706+1)/$AH706)))</f>
        <v/>
      </c>
      <c r="I706" s="54">
        <f>IF($B706=0,NA(),IF($C706="",NA(),IF(C$8="",NA(),IF(N(C$8)=0,NA(),IF(Inputs!$C$17="Rebased to 100",$C706/C$8*100,$C706)))))</f>
        <v/>
      </c>
      <c r="J706" s="54">
        <f>IF($B706=0,NA(),IF($D706="",NA(),IF(D$8="",NA(),IF(N(D$8)=0,NA(),IF(Inputs!$C$17="Rebased to 100",$D706/D$8*100,$D706)))))</f>
        <v/>
      </c>
      <c r="K706" s="54">
        <f>IF($B706=0,NA(),IF($E706="",NA(),IF(E$8="",NA(),IF(N(E$8)=0,NA(),IF(Inputs!$C$17="Rebased to 100",$E706/E$8*100,$E706)))))</f>
        <v/>
      </c>
      <c r="L706" s="54">
        <f>IF($B706=0,NA(),IF($F706="",NA(),IF(F$8="",NA(),IF(N(F$8)=0,NA(),IF(Inputs!$C$17="Rebased to 100",$F706/F$8*100,$F706)))))</f>
        <v/>
      </c>
      <c r="M706" s="54">
        <f>IF($B706=0,NA(),IF($G706="",NA(),IF(G$8="",NA(),IF(N(G$8)=0,NA(),IF(Inputs!$C$17="Rebased to 100",$G706/G$8*100,$G706)))))</f>
        <v/>
      </c>
      <c r="N706" s="54">
        <f>IF($B706=0,NA(),IF(Inputs!$C$18&lt;&gt;"Yes",NA(),IF(COUNT(I706,J706,K706,L706,M706)=0,NA(),MIN(I706,J706,K706,L706,M706))))</f>
        <v/>
      </c>
      <c r="O706" s="54">
        <f>IF($B706=0,NA(),IF(Inputs!$B$24&lt;&gt;"Yes",NA(),Inputs!$D$24*Inputs!$C$35))</f>
        <v/>
      </c>
      <c r="P706" s="54">
        <f>IF($B706=0,NA(),IF(Inputs!$B$25&lt;&gt;"Yes",NA(),Inputs!$D$25*Inputs!$C$35))</f>
        <v/>
      </c>
      <c r="Q706" s="54">
        <f>IF($B706=0,NA(),IF(Inputs!$B$26&lt;&gt;"Yes",NA(),Inputs!$D$26*Inputs!$C$35))</f>
        <v/>
      </c>
      <c r="R706" s="54">
        <f>IF($B706=0,NA(),IF(Inputs!$B$27&lt;&gt;"Yes",NA(),Inputs!$D$27*Inputs!$C$35))</f>
        <v/>
      </c>
      <c r="S706" s="54">
        <f>IF($B706=0,NA(),IF(Inputs!$B$28&lt;&gt;"Yes",NA(),Inputs!$D$28*Inputs!$C$35))</f>
        <v/>
      </c>
      <c r="T706" s="54">
        <f>IF($B706=0,NA(),IF(Inputs!$B$29&lt;&gt;"Yes",NA(),Inputs!$D$29*Inputs!$C$35))</f>
        <v/>
      </c>
      <c r="AD706">
        <f>IF($B706=0,0,IF(Inputs!$B$6="",0,COUNTIFS(Data!$A$10:$A$3209,"&gt;="&amp;$A706,Data!$A$10:$A$3209,"&lt;"&amp;$A706+1)))</f>
        <v/>
      </c>
      <c r="AE706">
        <f>IF($B706=0,0,IF(Inputs!$B$7="",0,COUNTIFS(Data!$E$10:$E$3209,"&gt;="&amp;$A706,Data!$E$10:$E$3209,"&lt;"&amp;$A706+1)))</f>
        <v/>
      </c>
      <c r="AF706">
        <f>IF($B706=0,0,IF(Inputs!$B$8="",0,COUNTIFS(Data!$I$10:$I$3209,"&gt;="&amp;$A706,Data!$I$10:$I$3209,"&lt;"&amp;$A706+1)))</f>
        <v/>
      </c>
      <c r="AG706">
        <f>IF($B706=0,0,IF(Inputs!$B$9="",0,COUNTIFS(Data!$M$10:$M$3209,"&gt;="&amp;$A706,Data!$M$10:$M$3209,"&lt;"&amp;$A706+1)))</f>
        <v/>
      </c>
      <c r="AH706">
        <f>IF($B706=0,0,IF(Inputs!$B$10="",0,COUNTIFS(Data!$Q$10:$Q$3209,"&gt;="&amp;$A706,Data!$Q$10:$Q$3209,"&lt;"&amp;$A706+1)))</f>
        <v/>
      </c>
    </row>
    <row r="707">
      <c r="A707" s="55">
        <f>MIN(Inputs!$C$15,$A706+IF(WEEKDAY($A706,2)=5,3,1))</f>
        <v/>
      </c>
      <c r="B707">
        <f>IF($A707&gt;$A706,1,0)</f>
        <v/>
      </c>
      <c r="C707" s="56">
        <f>IF($B707=0,"",IF(Inputs!$B$6="","",IF($AD707=0,C706,SUMIFS(Data!$B$10:$B$3209,Data!$A$10:$A$3209,"&gt;="&amp;$A707,Data!$A$10:$A$3209,"&lt;"&amp;$A707+1)/$AD707)))</f>
        <v/>
      </c>
      <c r="D707" s="56">
        <f>IF($B707=0,"",IF(Inputs!$B$7="","",IF($AE707=0,D706,SUMIFS(Data!$F$10:$F$3209,Data!$E$10:$E$3209,"&gt;="&amp;$A707,Data!$E$10:$E$3209,"&lt;"&amp;$A707+1)/$AE707)))</f>
        <v/>
      </c>
      <c r="E707" s="56">
        <f>IF($B707=0,"",IF(Inputs!$B$8="","",IF($AF707=0,E706,SUMIFS(Data!$J$10:$J$3209,Data!$I$10:$I$3209,"&gt;="&amp;$A707,Data!$I$10:$I$3209,"&lt;"&amp;$A707+1)/$AF707)))</f>
        <v/>
      </c>
      <c r="F707" s="56">
        <f>IF($B707=0,"",IF(Inputs!$B$9="","",IF($AG707=0,F706,SUMIFS(Data!$N$10:$N$3209,Data!$M$10:$M$3209,"&gt;="&amp;$A707,Data!$M$10:$M$3209,"&lt;"&amp;$A707+1)/$AG707)))</f>
        <v/>
      </c>
      <c r="G707" s="56">
        <f>IF($B707=0,"",IF(Inputs!$B$10="","",IF($AH707=0,G706,SUMIFS(Data!$R$10:$R$3209,Data!$Q$10:$Q$3209,"&gt;="&amp;$A707,Data!$Q$10:$Q$3209,"&lt;"&amp;$A707+1)/$AH707)))</f>
        <v/>
      </c>
      <c r="I707" s="54">
        <f>IF($B707=0,NA(),IF($C707="",NA(),IF(C$8="",NA(),IF(N(C$8)=0,NA(),IF(Inputs!$C$17="Rebased to 100",$C707/C$8*100,$C707)))))</f>
        <v/>
      </c>
      <c r="J707" s="54">
        <f>IF($B707=0,NA(),IF($D707="",NA(),IF(D$8="",NA(),IF(N(D$8)=0,NA(),IF(Inputs!$C$17="Rebased to 100",$D707/D$8*100,$D707)))))</f>
        <v/>
      </c>
      <c r="K707" s="54">
        <f>IF($B707=0,NA(),IF($E707="",NA(),IF(E$8="",NA(),IF(N(E$8)=0,NA(),IF(Inputs!$C$17="Rebased to 100",$E707/E$8*100,$E707)))))</f>
        <v/>
      </c>
      <c r="L707" s="54">
        <f>IF($B707=0,NA(),IF($F707="",NA(),IF(F$8="",NA(),IF(N(F$8)=0,NA(),IF(Inputs!$C$17="Rebased to 100",$F707/F$8*100,$F707)))))</f>
        <v/>
      </c>
      <c r="M707" s="54">
        <f>IF($B707=0,NA(),IF($G707="",NA(),IF(G$8="",NA(),IF(N(G$8)=0,NA(),IF(Inputs!$C$17="Rebased to 100",$G707/G$8*100,$G707)))))</f>
        <v/>
      </c>
      <c r="N707" s="54">
        <f>IF($B707=0,NA(),IF(Inputs!$C$18&lt;&gt;"Yes",NA(),IF(COUNT(I707,J707,K707,L707,M707)=0,NA(),MIN(I707,J707,K707,L707,M707))))</f>
        <v/>
      </c>
      <c r="O707" s="54">
        <f>IF($B707=0,NA(),IF(Inputs!$B$24&lt;&gt;"Yes",NA(),Inputs!$D$24*Inputs!$C$35))</f>
        <v/>
      </c>
      <c r="P707" s="54">
        <f>IF($B707=0,NA(),IF(Inputs!$B$25&lt;&gt;"Yes",NA(),Inputs!$D$25*Inputs!$C$35))</f>
        <v/>
      </c>
      <c r="Q707" s="54">
        <f>IF($B707=0,NA(),IF(Inputs!$B$26&lt;&gt;"Yes",NA(),Inputs!$D$26*Inputs!$C$35))</f>
        <v/>
      </c>
      <c r="R707" s="54">
        <f>IF($B707=0,NA(),IF(Inputs!$B$27&lt;&gt;"Yes",NA(),Inputs!$D$27*Inputs!$C$35))</f>
        <v/>
      </c>
      <c r="S707" s="54">
        <f>IF($B707=0,NA(),IF(Inputs!$B$28&lt;&gt;"Yes",NA(),Inputs!$D$28*Inputs!$C$35))</f>
        <v/>
      </c>
      <c r="T707" s="54">
        <f>IF($B707=0,NA(),IF(Inputs!$B$29&lt;&gt;"Yes",NA(),Inputs!$D$29*Inputs!$C$35))</f>
        <v/>
      </c>
      <c r="AD707">
        <f>IF($B707=0,0,IF(Inputs!$B$6="",0,COUNTIFS(Data!$A$10:$A$3209,"&gt;="&amp;$A707,Data!$A$10:$A$3209,"&lt;"&amp;$A707+1)))</f>
        <v/>
      </c>
      <c r="AE707">
        <f>IF($B707=0,0,IF(Inputs!$B$7="",0,COUNTIFS(Data!$E$10:$E$3209,"&gt;="&amp;$A707,Data!$E$10:$E$3209,"&lt;"&amp;$A707+1)))</f>
        <v/>
      </c>
      <c r="AF707">
        <f>IF($B707=0,0,IF(Inputs!$B$8="",0,COUNTIFS(Data!$I$10:$I$3209,"&gt;="&amp;$A707,Data!$I$10:$I$3209,"&lt;"&amp;$A707+1)))</f>
        <v/>
      </c>
      <c r="AG707">
        <f>IF($B707=0,0,IF(Inputs!$B$9="",0,COUNTIFS(Data!$M$10:$M$3209,"&gt;="&amp;$A707,Data!$M$10:$M$3209,"&lt;"&amp;$A707+1)))</f>
        <v/>
      </c>
      <c r="AH707">
        <f>IF($B707=0,0,IF(Inputs!$B$10="",0,COUNTIFS(Data!$Q$10:$Q$3209,"&gt;="&amp;$A707,Data!$Q$10:$Q$3209,"&lt;"&amp;$A707+1)))</f>
        <v/>
      </c>
    </row>
    <row r="708">
      <c r="A708" s="55">
        <f>MIN(Inputs!$C$15,$A707+IF(WEEKDAY($A707,2)=5,3,1))</f>
        <v/>
      </c>
      <c r="B708">
        <f>IF($A708&gt;$A707,1,0)</f>
        <v/>
      </c>
      <c r="C708" s="56">
        <f>IF($B708=0,"",IF(Inputs!$B$6="","",IF($AD708=0,C707,SUMIFS(Data!$B$10:$B$3209,Data!$A$10:$A$3209,"&gt;="&amp;$A708,Data!$A$10:$A$3209,"&lt;"&amp;$A708+1)/$AD708)))</f>
        <v/>
      </c>
      <c r="D708" s="56">
        <f>IF($B708=0,"",IF(Inputs!$B$7="","",IF($AE708=0,D707,SUMIFS(Data!$F$10:$F$3209,Data!$E$10:$E$3209,"&gt;="&amp;$A708,Data!$E$10:$E$3209,"&lt;"&amp;$A708+1)/$AE708)))</f>
        <v/>
      </c>
      <c r="E708" s="56">
        <f>IF($B708=0,"",IF(Inputs!$B$8="","",IF($AF708=0,E707,SUMIFS(Data!$J$10:$J$3209,Data!$I$10:$I$3209,"&gt;="&amp;$A708,Data!$I$10:$I$3209,"&lt;"&amp;$A708+1)/$AF708)))</f>
        <v/>
      </c>
      <c r="F708" s="56">
        <f>IF($B708=0,"",IF(Inputs!$B$9="","",IF($AG708=0,F707,SUMIFS(Data!$N$10:$N$3209,Data!$M$10:$M$3209,"&gt;="&amp;$A708,Data!$M$10:$M$3209,"&lt;"&amp;$A708+1)/$AG708)))</f>
        <v/>
      </c>
      <c r="G708" s="56">
        <f>IF($B708=0,"",IF(Inputs!$B$10="","",IF($AH708=0,G707,SUMIFS(Data!$R$10:$R$3209,Data!$Q$10:$Q$3209,"&gt;="&amp;$A708,Data!$Q$10:$Q$3209,"&lt;"&amp;$A708+1)/$AH708)))</f>
        <v/>
      </c>
      <c r="I708" s="54">
        <f>IF($B708=0,NA(),IF($C708="",NA(),IF(C$8="",NA(),IF(N(C$8)=0,NA(),IF(Inputs!$C$17="Rebased to 100",$C708/C$8*100,$C708)))))</f>
        <v/>
      </c>
      <c r="J708" s="54">
        <f>IF($B708=0,NA(),IF($D708="",NA(),IF(D$8="",NA(),IF(N(D$8)=0,NA(),IF(Inputs!$C$17="Rebased to 100",$D708/D$8*100,$D708)))))</f>
        <v/>
      </c>
      <c r="K708" s="54">
        <f>IF($B708=0,NA(),IF($E708="",NA(),IF(E$8="",NA(),IF(N(E$8)=0,NA(),IF(Inputs!$C$17="Rebased to 100",$E708/E$8*100,$E708)))))</f>
        <v/>
      </c>
      <c r="L708" s="54">
        <f>IF($B708=0,NA(),IF($F708="",NA(),IF(F$8="",NA(),IF(N(F$8)=0,NA(),IF(Inputs!$C$17="Rebased to 100",$F708/F$8*100,$F708)))))</f>
        <v/>
      </c>
      <c r="M708" s="54">
        <f>IF($B708=0,NA(),IF($G708="",NA(),IF(G$8="",NA(),IF(N(G$8)=0,NA(),IF(Inputs!$C$17="Rebased to 100",$G708/G$8*100,$G708)))))</f>
        <v/>
      </c>
      <c r="N708" s="54">
        <f>IF($B708=0,NA(),IF(Inputs!$C$18&lt;&gt;"Yes",NA(),IF(COUNT(I708,J708,K708,L708,M708)=0,NA(),MIN(I708,J708,K708,L708,M708))))</f>
        <v/>
      </c>
      <c r="O708" s="54">
        <f>IF($B708=0,NA(),IF(Inputs!$B$24&lt;&gt;"Yes",NA(),Inputs!$D$24*Inputs!$C$35))</f>
        <v/>
      </c>
      <c r="P708" s="54">
        <f>IF($B708=0,NA(),IF(Inputs!$B$25&lt;&gt;"Yes",NA(),Inputs!$D$25*Inputs!$C$35))</f>
        <v/>
      </c>
      <c r="Q708" s="54">
        <f>IF($B708=0,NA(),IF(Inputs!$B$26&lt;&gt;"Yes",NA(),Inputs!$D$26*Inputs!$C$35))</f>
        <v/>
      </c>
      <c r="R708" s="54">
        <f>IF($B708=0,NA(),IF(Inputs!$B$27&lt;&gt;"Yes",NA(),Inputs!$D$27*Inputs!$C$35))</f>
        <v/>
      </c>
      <c r="S708" s="54">
        <f>IF($B708=0,NA(),IF(Inputs!$B$28&lt;&gt;"Yes",NA(),Inputs!$D$28*Inputs!$C$35))</f>
        <v/>
      </c>
      <c r="T708" s="54">
        <f>IF($B708=0,NA(),IF(Inputs!$B$29&lt;&gt;"Yes",NA(),Inputs!$D$29*Inputs!$C$35))</f>
        <v/>
      </c>
      <c r="AD708">
        <f>IF($B708=0,0,IF(Inputs!$B$6="",0,COUNTIFS(Data!$A$10:$A$3209,"&gt;="&amp;$A708,Data!$A$10:$A$3209,"&lt;"&amp;$A708+1)))</f>
        <v/>
      </c>
      <c r="AE708">
        <f>IF($B708=0,0,IF(Inputs!$B$7="",0,COUNTIFS(Data!$E$10:$E$3209,"&gt;="&amp;$A708,Data!$E$10:$E$3209,"&lt;"&amp;$A708+1)))</f>
        <v/>
      </c>
      <c r="AF708">
        <f>IF($B708=0,0,IF(Inputs!$B$8="",0,COUNTIFS(Data!$I$10:$I$3209,"&gt;="&amp;$A708,Data!$I$10:$I$3209,"&lt;"&amp;$A708+1)))</f>
        <v/>
      </c>
      <c r="AG708">
        <f>IF($B708=0,0,IF(Inputs!$B$9="",0,COUNTIFS(Data!$M$10:$M$3209,"&gt;="&amp;$A708,Data!$M$10:$M$3209,"&lt;"&amp;$A708+1)))</f>
        <v/>
      </c>
      <c r="AH708">
        <f>IF($B708=0,0,IF(Inputs!$B$10="",0,COUNTIFS(Data!$Q$10:$Q$3209,"&gt;="&amp;$A708,Data!$Q$10:$Q$3209,"&lt;"&amp;$A708+1)))</f>
        <v/>
      </c>
    </row>
    <row r="709">
      <c r="A709" s="55">
        <f>MIN(Inputs!$C$15,$A708+IF(WEEKDAY($A708,2)=5,3,1))</f>
        <v/>
      </c>
      <c r="B709">
        <f>IF($A709&gt;$A708,1,0)</f>
        <v/>
      </c>
      <c r="C709" s="56">
        <f>IF($B709=0,"",IF(Inputs!$B$6="","",IF($AD709=0,C708,SUMIFS(Data!$B$10:$B$3209,Data!$A$10:$A$3209,"&gt;="&amp;$A709,Data!$A$10:$A$3209,"&lt;"&amp;$A709+1)/$AD709)))</f>
        <v/>
      </c>
      <c r="D709" s="56">
        <f>IF($B709=0,"",IF(Inputs!$B$7="","",IF($AE709=0,D708,SUMIFS(Data!$F$10:$F$3209,Data!$E$10:$E$3209,"&gt;="&amp;$A709,Data!$E$10:$E$3209,"&lt;"&amp;$A709+1)/$AE709)))</f>
        <v/>
      </c>
      <c r="E709" s="56">
        <f>IF($B709=0,"",IF(Inputs!$B$8="","",IF($AF709=0,E708,SUMIFS(Data!$J$10:$J$3209,Data!$I$10:$I$3209,"&gt;="&amp;$A709,Data!$I$10:$I$3209,"&lt;"&amp;$A709+1)/$AF709)))</f>
        <v/>
      </c>
      <c r="F709" s="56">
        <f>IF($B709=0,"",IF(Inputs!$B$9="","",IF($AG709=0,F708,SUMIFS(Data!$N$10:$N$3209,Data!$M$10:$M$3209,"&gt;="&amp;$A709,Data!$M$10:$M$3209,"&lt;"&amp;$A709+1)/$AG709)))</f>
        <v/>
      </c>
      <c r="G709" s="56">
        <f>IF($B709=0,"",IF(Inputs!$B$10="","",IF($AH709=0,G708,SUMIFS(Data!$R$10:$R$3209,Data!$Q$10:$Q$3209,"&gt;="&amp;$A709,Data!$Q$10:$Q$3209,"&lt;"&amp;$A709+1)/$AH709)))</f>
        <v/>
      </c>
      <c r="I709" s="54">
        <f>IF($B709=0,NA(),IF($C709="",NA(),IF(C$8="",NA(),IF(N(C$8)=0,NA(),IF(Inputs!$C$17="Rebased to 100",$C709/C$8*100,$C709)))))</f>
        <v/>
      </c>
      <c r="J709" s="54">
        <f>IF($B709=0,NA(),IF($D709="",NA(),IF(D$8="",NA(),IF(N(D$8)=0,NA(),IF(Inputs!$C$17="Rebased to 100",$D709/D$8*100,$D709)))))</f>
        <v/>
      </c>
      <c r="K709" s="54">
        <f>IF($B709=0,NA(),IF($E709="",NA(),IF(E$8="",NA(),IF(N(E$8)=0,NA(),IF(Inputs!$C$17="Rebased to 100",$E709/E$8*100,$E709)))))</f>
        <v/>
      </c>
      <c r="L709" s="54">
        <f>IF($B709=0,NA(),IF($F709="",NA(),IF(F$8="",NA(),IF(N(F$8)=0,NA(),IF(Inputs!$C$17="Rebased to 100",$F709/F$8*100,$F709)))))</f>
        <v/>
      </c>
      <c r="M709" s="54">
        <f>IF($B709=0,NA(),IF($G709="",NA(),IF(G$8="",NA(),IF(N(G$8)=0,NA(),IF(Inputs!$C$17="Rebased to 100",$G709/G$8*100,$G709)))))</f>
        <v/>
      </c>
      <c r="N709" s="54">
        <f>IF($B709=0,NA(),IF(Inputs!$C$18&lt;&gt;"Yes",NA(),IF(COUNT(I709,J709,K709,L709,M709)=0,NA(),MIN(I709,J709,K709,L709,M709))))</f>
        <v/>
      </c>
      <c r="O709" s="54">
        <f>IF($B709=0,NA(),IF(Inputs!$B$24&lt;&gt;"Yes",NA(),Inputs!$D$24*Inputs!$C$35))</f>
        <v/>
      </c>
      <c r="P709" s="54">
        <f>IF($B709=0,NA(),IF(Inputs!$B$25&lt;&gt;"Yes",NA(),Inputs!$D$25*Inputs!$C$35))</f>
        <v/>
      </c>
      <c r="Q709" s="54">
        <f>IF($B709=0,NA(),IF(Inputs!$B$26&lt;&gt;"Yes",NA(),Inputs!$D$26*Inputs!$C$35))</f>
        <v/>
      </c>
      <c r="R709" s="54">
        <f>IF($B709=0,NA(),IF(Inputs!$B$27&lt;&gt;"Yes",NA(),Inputs!$D$27*Inputs!$C$35))</f>
        <v/>
      </c>
      <c r="S709" s="54">
        <f>IF($B709=0,NA(),IF(Inputs!$B$28&lt;&gt;"Yes",NA(),Inputs!$D$28*Inputs!$C$35))</f>
        <v/>
      </c>
      <c r="T709" s="54">
        <f>IF($B709=0,NA(),IF(Inputs!$B$29&lt;&gt;"Yes",NA(),Inputs!$D$29*Inputs!$C$35))</f>
        <v/>
      </c>
      <c r="AD709">
        <f>IF($B709=0,0,IF(Inputs!$B$6="",0,COUNTIFS(Data!$A$10:$A$3209,"&gt;="&amp;$A709,Data!$A$10:$A$3209,"&lt;"&amp;$A709+1)))</f>
        <v/>
      </c>
      <c r="AE709">
        <f>IF($B709=0,0,IF(Inputs!$B$7="",0,COUNTIFS(Data!$E$10:$E$3209,"&gt;="&amp;$A709,Data!$E$10:$E$3209,"&lt;"&amp;$A709+1)))</f>
        <v/>
      </c>
      <c r="AF709">
        <f>IF($B709=0,0,IF(Inputs!$B$8="",0,COUNTIFS(Data!$I$10:$I$3209,"&gt;="&amp;$A709,Data!$I$10:$I$3209,"&lt;"&amp;$A709+1)))</f>
        <v/>
      </c>
      <c r="AG709">
        <f>IF($B709=0,0,IF(Inputs!$B$9="",0,COUNTIFS(Data!$M$10:$M$3209,"&gt;="&amp;$A709,Data!$M$10:$M$3209,"&lt;"&amp;$A709+1)))</f>
        <v/>
      </c>
      <c r="AH709">
        <f>IF($B709=0,0,IF(Inputs!$B$10="",0,COUNTIFS(Data!$Q$10:$Q$3209,"&gt;="&amp;$A709,Data!$Q$10:$Q$3209,"&lt;"&amp;$A709+1)))</f>
        <v/>
      </c>
    </row>
    <row r="710">
      <c r="A710" s="55">
        <f>MIN(Inputs!$C$15,$A709+IF(WEEKDAY($A709,2)=5,3,1))</f>
        <v/>
      </c>
      <c r="B710">
        <f>IF($A710&gt;$A709,1,0)</f>
        <v/>
      </c>
      <c r="C710" s="56">
        <f>IF($B710=0,"",IF(Inputs!$B$6="","",IF($AD710=0,C709,SUMIFS(Data!$B$10:$B$3209,Data!$A$10:$A$3209,"&gt;="&amp;$A710,Data!$A$10:$A$3209,"&lt;"&amp;$A710+1)/$AD710)))</f>
        <v/>
      </c>
      <c r="D710" s="56">
        <f>IF($B710=0,"",IF(Inputs!$B$7="","",IF($AE710=0,D709,SUMIFS(Data!$F$10:$F$3209,Data!$E$10:$E$3209,"&gt;="&amp;$A710,Data!$E$10:$E$3209,"&lt;"&amp;$A710+1)/$AE710)))</f>
        <v/>
      </c>
      <c r="E710" s="56">
        <f>IF($B710=0,"",IF(Inputs!$B$8="","",IF($AF710=0,E709,SUMIFS(Data!$J$10:$J$3209,Data!$I$10:$I$3209,"&gt;="&amp;$A710,Data!$I$10:$I$3209,"&lt;"&amp;$A710+1)/$AF710)))</f>
        <v/>
      </c>
      <c r="F710" s="56">
        <f>IF($B710=0,"",IF(Inputs!$B$9="","",IF($AG710=0,F709,SUMIFS(Data!$N$10:$N$3209,Data!$M$10:$M$3209,"&gt;="&amp;$A710,Data!$M$10:$M$3209,"&lt;"&amp;$A710+1)/$AG710)))</f>
        <v/>
      </c>
      <c r="G710" s="56">
        <f>IF($B710=0,"",IF(Inputs!$B$10="","",IF($AH710=0,G709,SUMIFS(Data!$R$10:$R$3209,Data!$Q$10:$Q$3209,"&gt;="&amp;$A710,Data!$Q$10:$Q$3209,"&lt;"&amp;$A710+1)/$AH710)))</f>
        <v/>
      </c>
      <c r="I710" s="54">
        <f>IF($B710=0,NA(),IF($C710="",NA(),IF(C$8="",NA(),IF(N(C$8)=0,NA(),IF(Inputs!$C$17="Rebased to 100",$C710/C$8*100,$C710)))))</f>
        <v/>
      </c>
      <c r="J710" s="54">
        <f>IF($B710=0,NA(),IF($D710="",NA(),IF(D$8="",NA(),IF(N(D$8)=0,NA(),IF(Inputs!$C$17="Rebased to 100",$D710/D$8*100,$D710)))))</f>
        <v/>
      </c>
      <c r="K710" s="54">
        <f>IF($B710=0,NA(),IF($E710="",NA(),IF(E$8="",NA(),IF(N(E$8)=0,NA(),IF(Inputs!$C$17="Rebased to 100",$E710/E$8*100,$E710)))))</f>
        <v/>
      </c>
      <c r="L710" s="54">
        <f>IF($B710=0,NA(),IF($F710="",NA(),IF(F$8="",NA(),IF(N(F$8)=0,NA(),IF(Inputs!$C$17="Rebased to 100",$F710/F$8*100,$F710)))))</f>
        <v/>
      </c>
      <c r="M710" s="54">
        <f>IF($B710=0,NA(),IF($G710="",NA(),IF(G$8="",NA(),IF(N(G$8)=0,NA(),IF(Inputs!$C$17="Rebased to 100",$G710/G$8*100,$G710)))))</f>
        <v/>
      </c>
      <c r="N710" s="54">
        <f>IF($B710=0,NA(),IF(Inputs!$C$18&lt;&gt;"Yes",NA(),IF(COUNT(I710,J710,K710,L710,M710)=0,NA(),MIN(I710,J710,K710,L710,M710))))</f>
        <v/>
      </c>
      <c r="O710" s="54">
        <f>IF($B710=0,NA(),IF(Inputs!$B$24&lt;&gt;"Yes",NA(),Inputs!$D$24*Inputs!$C$35))</f>
        <v/>
      </c>
      <c r="P710" s="54">
        <f>IF($B710=0,NA(),IF(Inputs!$B$25&lt;&gt;"Yes",NA(),Inputs!$D$25*Inputs!$C$35))</f>
        <v/>
      </c>
      <c r="Q710" s="54">
        <f>IF($B710=0,NA(),IF(Inputs!$B$26&lt;&gt;"Yes",NA(),Inputs!$D$26*Inputs!$C$35))</f>
        <v/>
      </c>
      <c r="R710" s="54">
        <f>IF($B710=0,NA(),IF(Inputs!$B$27&lt;&gt;"Yes",NA(),Inputs!$D$27*Inputs!$C$35))</f>
        <v/>
      </c>
      <c r="S710" s="54">
        <f>IF($B710=0,NA(),IF(Inputs!$B$28&lt;&gt;"Yes",NA(),Inputs!$D$28*Inputs!$C$35))</f>
        <v/>
      </c>
      <c r="T710" s="54">
        <f>IF($B710=0,NA(),IF(Inputs!$B$29&lt;&gt;"Yes",NA(),Inputs!$D$29*Inputs!$C$35))</f>
        <v/>
      </c>
      <c r="AD710">
        <f>IF($B710=0,0,IF(Inputs!$B$6="",0,COUNTIFS(Data!$A$10:$A$3209,"&gt;="&amp;$A710,Data!$A$10:$A$3209,"&lt;"&amp;$A710+1)))</f>
        <v/>
      </c>
      <c r="AE710">
        <f>IF($B710=0,0,IF(Inputs!$B$7="",0,COUNTIFS(Data!$E$10:$E$3209,"&gt;="&amp;$A710,Data!$E$10:$E$3209,"&lt;"&amp;$A710+1)))</f>
        <v/>
      </c>
      <c r="AF710">
        <f>IF($B710=0,0,IF(Inputs!$B$8="",0,COUNTIFS(Data!$I$10:$I$3209,"&gt;="&amp;$A710,Data!$I$10:$I$3209,"&lt;"&amp;$A710+1)))</f>
        <v/>
      </c>
      <c r="AG710">
        <f>IF($B710=0,0,IF(Inputs!$B$9="",0,COUNTIFS(Data!$M$10:$M$3209,"&gt;="&amp;$A710,Data!$M$10:$M$3209,"&lt;"&amp;$A710+1)))</f>
        <v/>
      </c>
      <c r="AH710">
        <f>IF($B710=0,0,IF(Inputs!$B$10="",0,COUNTIFS(Data!$Q$10:$Q$3209,"&gt;="&amp;$A710,Data!$Q$10:$Q$3209,"&lt;"&amp;$A710+1)))</f>
        <v/>
      </c>
    </row>
    <row r="711">
      <c r="A711" s="55">
        <f>MIN(Inputs!$C$15,$A710+IF(WEEKDAY($A710,2)=5,3,1))</f>
        <v/>
      </c>
      <c r="B711">
        <f>IF($A711&gt;$A710,1,0)</f>
        <v/>
      </c>
      <c r="C711" s="56">
        <f>IF($B711=0,"",IF(Inputs!$B$6="","",IF($AD711=0,C710,SUMIFS(Data!$B$10:$B$3209,Data!$A$10:$A$3209,"&gt;="&amp;$A711,Data!$A$10:$A$3209,"&lt;"&amp;$A711+1)/$AD711)))</f>
        <v/>
      </c>
      <c r="D711" s="56">
        <f>IF($B711=0,"",IF(Inputs!$B$7="","",IF($AE711=0,D710,SUMIFS(Data!$F$10:$F$3209,Data!$E$10:$E$3209,"&gt;="&amp;$A711,Data!$E$10:$E$3209,"&lt;"&amp;$A711+1)/$AE711)))</f>
        <v/>
      </c>
      <c r="E711" s="56">
        <f>IF($B711=0,"",IF(Inputs!$B$8="","",IF($AF711=0,E710,SUMIFS(Data!$J$10:$J$3209,Data!$I$10:$I$3209,"&gt;="&amp;$A711,Data!$I$10:$I$3209,"&lt;"&amp;$A711+1)/$AF711)))</f>
        <v/>
      </c>
      <c r="F711" s="56">
        <f>IF($B711=0,"",IF(Inputs!$B$9="","",IF($AG711=0,F710,SUMIFS(Data!$N$10:$N$3209,Data!$M$10:$M$3209,"&gt;="&amp;$A711,Data!$M$10:$M$3209,"&lt;"&amp;$A711+1)/$AG711)))</f>
        <v/>
      </c>
      <c r="G711" s="56">
        <f>IF($B711=0,"",IF(Inputs!$B$10="","",IF($AH711=0,G710,SUMIFS(Data!$R$10:$R$3209,Data!$Q$10:$Q$3209,"&gt;="&amp;$A711,Data!$Q$10:$Q$3209,"&lt;"&amp;$A711+1)/$AH711)))</f>
        <v/>
      </c>
      <c r="I711" s="54">
        <f>IF($B711=0,NA(),IF($C711="",NA(),IF(C$8="",NA(),IF(N(C$8)=0,NA(),IF(Inputs!$C$17="Rebased to 100",$C711/C$8*100,$C711)))))</f>
        <v/>
      </c>
      <c r="J711" s="54">
        <f>IF($B711=0,NA(),IF($D711="",NA(),IF(D$8="",NA(),IF(N(D$8)=0,NA(),IF(Inputs!$C$17="Rebased to 100",$D711/D$8*100,$D711)))))</f>
        <v/>
      </c>
      <c r="K711" s="54">
        <f>IF($B711=0,NA(),IF($E711="",NA(),IF(E$8="",NA(),IF(N(E$8)=0,NA(),IF(Inputs!$C$17="Rebased to 100",$E711/E$8*100,$E711)))))</f>
        <v/>
      </c>
      <c r="L711" s="54">
        <f>IF($B711=0,NA(),IF($F711="",NA(),IF(F$8="",NA(),IF(N(F$8)=0,NA(),IF(Inputs!$C$17="Rebased to 100",$F711/F$8*100,$F711)))))</f>
        <v/>
      </c>
      <c r="M711" s="54">
        <f>IF($B711=0,NA(),IF($G711="",NA(),IF(G$8="",NA(),IF(N(G$8)=0,NA(),IF(Inputs!$C$17="Rebased to 100",$G711/G$8*100,$G711)))))</f>
        <v/>
      </c>
      <c r="N711" s="54">
        <f>IF($B711=0,NA(),IF(Inputs!$C$18&lt;&gt;"Yes",NA(),IF(COUNT(I711,J711,K711,L711,M711)=0,NA(),MIN(I711,J711,K711,L711,M711))))</f>
        <v/>
      </c>
      <c r="O711" s="54">
        <f>IF($B711=0,NA(),IF(Inputs!$B$24&lt;&gt;"Yes",NA(),Inputs!$D$24*Inputs!$C$35))</f>
        <v/>
      </c>
      <c r="P711" s="54">
        <f>IF($B711=0,NA(),IF(Inputs!$B$25&lt;&gt;"Yes",NA(),Inputs!$D$25*Inputs!$C$35))</f>
        <v/>
      </c>
      <c r="Q711" s="54">
        <f>IF($B711=0,NA(),IF(Inputs!$B$26&lt;&gt;"Yes",NA(),Inputs!$D$26*Inputs!$C$35))</f>
        <v/>
      </c>
      <c r="R711" s="54">
        <f>IF($B711=0,NA(),IF(Inputs!$B$27&lt;&gt;"Yes",NA(),Inputs!$D$27*Inputs!$C$35))</f>
        <v/>
      </c>
      <c r="S711" s="54">
        <f>IF($B711=0,NA(),IF(Inputs!$B$28&lt;&gt;"Yes",NA(),Inputs!$D$28*Inputs!$C$35))</f>
        <v/>
      </c>
      <c r="T711" s="54">
        <f>IF($B711=0,NA(),IF(Inputs!$B$29&lt;&gt;"Yes",NA(),Inputs!$D$29*Inputs!$C$35))</f>
        <v/>
      </c>
      <c r="AD711">
        <f>IF($B711=0,0,IF(Inputs!$B$6="",0,COUNTIFS(Data!$A$10:$A$3209,"&gt;="&amp;$A711,Data!$A$10:$A$3209,"&lt;"&amp;$A711+1)))</f>
        <v/>
      </c>
      <c r="AE711">
        <f>IF($B711=0,0,IF(Inputs!$B$7="",0,COUNTIFS(Data!$E$10:$E$3209,"&gt;="&amp;$A711,Data!$E$10:$E$3209,"&lt;"&amp;$A711+1)))</f>
        <v/>
      </c>
      <c r="AF711">
        <f>IF($B711=0,0,IF(Inputs!$B$8="",0,COUNTIFS(Data!$I$10:$I$3209,"&gt;="&amp;$A711,Data!$I$10:$I$3209,"&lt;"&amp;$A711+1)))</f>
        <v/>
      </c>
      <c r="AG711">
        <f>IF($B711=0,0,IF(Inputs!$B$9="",0,COUNTIFS(Data!$M$10:$M$3209,"&gt;="&amp;$A711,Data!$M$10:$M$3209,"&lt;"&amp;$A711+1)))</f>
        <v/>
      </c>
      <c r="AH711">
        <f>IF($B711=0,0,IF(Inputs!$B$10="",0,COUNTIFS(Data!$Q$10:$Q$3209,"&gt;="&amp;$A711,Data!$Q$10:$Q$3209,"&lt;"&amp;$A711+1)))</f>
        <v/>
      </c>
    </row>
    <row r="712">
      <c r="A712" s="55">
        <f>MIN(Inputs!$C$15,$A711+IF(WEEKDAY($A711,2)=5,3,1))</f>
        <v/>
      </c>
      <c r="B712">
        <f>IF($A712&gt;$A711,1,0)</f>
        <v/>
      </c>
      <c r="C712" s="56">
        <f>IF($B712=0,"",IF(Inputs!$B$6="","",IF($AD712=0,C711,SUMIFS(Data!$B$10:$B$3209,Data!$A$10:$A$3209,"&gt;="&amp;$A712,Data!$A$10:$A$3209,"&lt;"&amp;$A712+1)/$AD712)))</f>
        <v/>
      </c>
      <c r="D712" s="56">
        <f>IF($B712=0,"",IF(Inputs!$B$7="","",IF($AE712=0,D711,SUMIFS(Data!$F$10:$F$3209,Data!$E$10:$E$3209,"&gt;="&amp;$A712,Data!$E$10:$E$3209,"&lt;"&amp;$A712+1)/$AE712)))</f>
        <v/>
      </c>
      <c r="E712" s="56">
        <f>IF($B712=0,"",IF(Inputs!$B$8="","",IF($AF712=0,E711,SUMIFS(Data!$J$10:$J$3209,Data!$I$10:$I$3209,"&gt;="&amp;$A712,Data!$I$10:$I$3209,"&lt;"&amp;$A712+1)/$AF712)))</f>
        <v/>
      </c>
      <c r="F712" s="56">
        <f>IF($B712=0,"",IF(Inputs!$B$9="","",IF($AG712=0,F711,SUMIFS(Data!$N$10:$N$3209,Data!$M$10:$M$3209,"&gt;="&amp;$A712,Data!$M$10:$M$3209,"&lt;"&amp;$A712+1)/$AG712)))</f>
        <v/>
      </c>
      <c r="G712" s="56">
        <f>IF($B712=0,"",IF(Inputs!$B$10="","",IF($AH712=0,G711,SUMIFS(Data!$R$10:$R$3209,Data!$Q$10:$Q$3209,"&gt;="&amp;$A712,Data!$Q$10:$Q$3209,"&lt;"&amp;$A712+1)/$AH712)))</f>
        <v/>
      </c>
      <c r="I712" s="54">
        <f>IF($B712=0,NA(),IF($C712="",NA(),IF(C$8="",NA(),IF(N(C$8)=0,NA(),IF(Inputs!$C$17="Rebased to 100",$C712/C$8*100,$C712)))))</f>
        <v/>
      </c>
      <c r="J712" s="54">
        <f>IF($B712=0,NA(),IF($D712="",NA(),IF(D$8="",NA(),IF(N(D$8)=0,NA(),IF(Inputs!$C$17="Rebased to 100",$D712/D$8*100,$D712)))))</f>
        <v/>
      </c>
      <c r="K712" s="54">
        <f>IF($B712=0,NA(),IF($E712="",NA(),IF(E$8="",NA(),IF(N(E$8)=0,NA(),IF(Inputs!$C$17="Rebased to 100",$E712/E$8*100,$E712)))))</f>
        <v/>
      </c>
      <c r="L712" s="54">
        <f>IF($B712=0,NA(),IF($F712="",NA(),IF(F$8="",NA(),IF(N(F$8)=0,NA(),IF(Inputs!$C$17="Rebased to 100",$F712/F$8*100,$F712)))))</f>
        <v/>
      </c>
      <c r="M712" s="54">
        <f>IF($B712=0,NA(),IF($G712="",NA(),IF(G$8="",NA(),IF(N(G$8)=0,NA(),IF(Inputs!$C$17="Rebased to 100",$G712/G$8*100,$G712)))))</f>
        <v/>
      </c>
      <c r="N712" s="54">
        <f>IF($B712=0,NA(),IF(Inputs!$C$18&lt;&gt;"Yes",NA(),IF(COUNT(I712,J712,K712,L712,M712)=0,NA(),MIN(I712,J712,K712,L712,M712))))</f>
        <v/>
      </c>
      <c r="O712" s="54">
        <f>IF($B712=0,NA(),IF(Inputs!$B$24&lt;&gt;"Yes",NA(),Inputs!$D$24*Inputs!$C$35))</f>
        <v/>
      </c>
      <c r="P712" s="54">
        <f>IF($B712=0,NA(),IF(Inputs!$B$25&lt;&gt;"Yes",NA(),Inputs!$D$25*Inputs!$C$35))</f>
        <v/>
      </c>
      <c r="Q712" s="54">
        <f>IF($B712=0,NA(),IF(Inputs!$B$26&lt;&gt;"Yes",NA(),Inputs!$D$26*Inputs!$C$35))</f>
        <v/>
      </c>
      <c r="R712" s="54">
        <f>IF($B712=0,NA(),IF(Inputs!$B$27&lt;&gt;"Yes",NA(),Inputs!$D$27*Inputs!$C$35))</f>
        <v/>
      </c>
      <c r="S712" s="54">
        <f>IF($B712=0,NA(),IF(Inputs!$B$28&lt;&gt;"Yes",NA(),Inputs!$D$28*Inputs!$C$35))</f>
        <v/>
      </c>
      <c r="T712" s="54">
        <f>IF($B712=0,NA(),IF(Inputs!$B$29&lt;&gt;"Yes",NA(),Inputs!$D$29*Inputs!$C$35))</f>
        <v/>
      </c>
      <c r="AD712">
        <f>IF($B712=0,0,IF(Inputs!$B$6="",0,COUNTIFS(Data!$A$10:$A$3209,"&gt;="&amp;$A712,Data!$A$10:$A$3209,"&lt;"&amp;$A712+1)))</f>
        <v/>
      </c>
      <c r="AE712">
        <f>IF($B712=0,0,IF(Inputs!$B$7="",0,COUNTIFS(Data!$E$10:$E$3209,"&gt;="&amp;$A712,Data!$E$10:$E$3209,"&lt;"&amp;$A712+1)))</f>
        <v/>
      </c>
      <c r="AF712">
        <f>IF($B712=0,0,IF(Inputs!$B$8="",0,COUNTIFS(Data!$I$10:$I$3209,"&gt;="&amp;$A712,Data!$I$10:$I$3209,"&lt;"&amp;$A712+1)))</f>
        <v/>
      </c>
      <c r="AG712">
        <f>IF($B712=0,0,IF(Inputs!$B$9="",0,COUNTIFS(Data!$M$10:$M$3209,"&gt;="&amp;$A712,Data!$M$10:$M$3209,"&lt;"&amp;$A712+1)))</f>
        <v/>
      </c>
      <c r="AH712">
        <f>IF($B712=0,0,IF(Inputs!$B$10="",0,COUNTIFS(Data!$Q$10:$Q$3209,"&gt;="&amp;$A712,Data!$Q$10:$Q$3209,"&lt;"&amp;$A712+1)))</f>
        <v/>
      </c>
    </row>
    <row r="713">
      <c r="A713" s="55">
        <f>MIN(Inputs!$C$15,$A712+IF(WEEKDAY($A712,2)=5,3,1))</f>
        <v/>
      </c>
      <c r="B713">
        <f>IF($A713&gt;$A712,1,0)</f>
        <v/>
      </c>
      <c r="C713" s="56">
        <f>IF($B713=0,"",IF(Inputs!$B$6="","",IF($AD713=0,C712,SUMIFS(Data!$B$10:$B$3209,Data!$A$10:$A$3209,"&gt;="&amp;$A713,Data!$A$10:$A$3209,"&lt;"&amp;$A713+1)/$AD713)))</f>
        <v/>
      </c>
      <c r="D713" s="56">
        <f>IF($B713=0,"",IF(Inputs!$B$7="","",IF($AE713=0,D712,SUMIFS(Data!$F$10:$F$3209,Data!$E$10:$E$3209,"&gt;="&amp;$A713,Data!$E$10:$E$3209,"&lt;"&amp;$A713+1)/$AE713)))</f>
        <v/>
      </c>
      <c r="E713" s="56">
        <f>IF($B713=0,"",IF(Inputs!$B$8="","",IF($AF713=0,E712,SUMIFS(Data!$J$10:$J$3209,Data!$I$10:$I$3209,"&gt;="&amp;$A713,Data!$I$10:$I$3209,"&lt;"&amp;$A713+1)/$AF713)))</f>
        <v/>
      </c>
      <c r="F713" s="56">
        <f>IF($B713=0,"",IF(Inputs!$B$9="","",IF($AG713=0,F712,SUMIFS(Data!$N$10:$N$3209,Data!$M$10:$M$3209,"&gt;="&amp;$A713,Data!$M$10:$M$3209,"&lt;"&amp;$A713+1)/$AG713)))</f>
        <v/>
      </c>
      <c r="G713" s="56">
        <f>IF($B713=0,"",IF(Inputs!$B$10="","",IF($AH713=0,G712,SUMIFS(Data!$R$10:$R$3209,Data!$Q$10:$Q$3209,"&gt;="&amp;$A713,Data!$Q$10:$Q$3209,"&lt;"&amp;$A713+1)/$AH713)))</f>
        <v/>
      </c>
      <c r="I713" s="54">
        <f>IF($B713=0,NA(),IF($C713="",NA(),IF(C$8="",NA(),IF(N(C$8)=0,NA(),IF(Inputs!$C$17="Rebased to 100",$C713/C$8*100,$C713)))))</f>
        <v/>
      </c>
      <c r="J713" s="54">
        <f>IF($B713=0,NA(),IF($D713="",NA(),IF(D$8="",NA(),IF(N(D$8)=0,NA(),IF(Inputs!$C$17="Rebased to 100",$D713/D$8*100,$D713)))))</f>
        <v/>
      </c>
      <c r="K713" s="54">
        <f>IF($B713=0,NA(),IF($E713="",NA(),IF(E$8="",NA(),IF(N(E$8)=0,NA(),IF(Inputs!$C$17="Rebased to 100",$E713/E$8*100,$E713)))))</f>
        <v/>
      </c>
      <c r="L713" s="54">
        <f>IF($B713=0,NA(),IF($F713="",NA(),IF(F$8="",NA(),IF(N(F$8)=0,NA(),IF(Inputs!$C$17="Rebased to 100",$F713/F$8*100,$F713)))))</f>
        <v/>
      </c>
      <c r="M713" s="54">
        <f>IF($B713=0,NA(),IF($G713="",NA(),IF(G$8="",NA(),IF(N(G$8)=0,NA(),IF(Inputs!$C$17="Rebased to 100",$G713/G$8*100,$G713)))))</f>
        <v/>
      </c>
      <c r="N713" s="54">
        <f>IF($B713=0,NA(),IF(Inputs!$C$18&lt;&gt;"Yes",NA(),IF(COUNT(I713,J713,K713,L713,M713)=0,NA(),MIN(I713,J713,K713,L713,M713))))</f>
        <v/>
      </c>
      <c r="O713" s="54">
        <f>IF($B713=0,NA(),IF(Inputs!$B$24&lt;&gt;"Yes",NA(),Inputs!$D$24*Inputs!$C$35))</f>
        <v/>
      </c>
      <c r="P713" s="54">
        <f>IF($B713=0,NA(),IF(Inputs!$B$25&lt;&gt;"Yes",NA(),Inputs!$D$25*Inputs!$C$35))</f>
        <v/>
      </c>
      <c r="Q713" s="54">
        <f>IF($B713=0,NA(),IF(Inputs!$B$26&lt;&gt;"Yes",NA(),Inputs!$D$26*Inputs!$C$35))</f>
        <v/>
      </c>
      <c r="R713" s="54">
        <f>IF($B713=0,NA(),IF(Inputs!$B$27&lt;&gt;"Yes",NA(),Inputs!$D$27*Inputs!$C$35))</f>
        <v/>
      </c>
      <c r="S713" s="54">
        <f>IF($B713=0,NA(),IF(Inputs!$B$28&lt;&gt;"Yes",NA(),Inputs!$D$28*Inputs!$C$35))</f>
        <v/>
      </c>
      <c r="T713" s="54">
        <f>IF($B713=0,NA(),IF(Inputs!$B$29&lt;&gt;"Yes",NA(),Inputs!$D$29*Inputs!$C$35))</f>
        <v/>
      </c>
      <c r="AD713">
        <f>IF($B713=0,0,IF(Inputs!$B$6="",0,COUNTIFS(Data!$A$10:$A$3209,"&gt;="&amp;$A713,Data!$A$10:$A$3209,"&lt;"&amp;$A713+1)))</f>
        <v/>
      </c>
      <c r="AE713">
        <f>IF($B713=0,0,IF(Inputs!$B$7="",0,COUNTIFS(Data!$E$10:$E$3209,"&gt;="&amp;$A713,Data!$E$10:$E$3209,"&lt;"&amp;$A713+1)))</f>
        <v/>
      </c>
      <c r="AF713">
        <f>IF($B713=0,0,IF(Inputs!$B$8="",0,COUNTIFS(Data!$I$10:$I$3209,"&gt;="&amp;$A713,Data!$I$10:$I$3209,"&lt;"&amp;$A713+1)))</f>
        <v/>
      </c>
      <c r="AG713">
        <f>IF($B713=0,0,IF(Inputs!$B$9="",0,COUNTIFS(Data!$M$10:$M$3209,"&gt;="&amp;$A713,Data!$M$10:$M$3209,"&lt;"&amp;$A713+1)))</f>
        <v/>
      </c>
      <c r="AH713">
        <f>IF($B713=0,0,IF(Inputs!$B$10="",0,COUNTIFS(Data!$Q$10:$Q$3209,"&gt;="&amp;$A713,Data!$Q$10:$Q$3209,"&lt;"&amp;$A713+1)))</f>
        <v/>
      </c>
    </row>
    <row r="714">
      <c r="A714" s="55">
        <f>MIN(Inputs!$C$15,$A713+IF(WEEKDAY($A713,2)=5,3,1))</f>
        <v/>
      </c>
      <c r="B714">
        <f>IF($A714&gt;$A713,1,0)</f>
        <v/>
      </c>
      <c r="C714" s="56">
        <f>IF($B714=0,"",IF(Inputs!$B$6="","",IF($AD714=0,C713,SUMIFS(Data!$B$10:$B$3209,Data!$A$10:$A$3209,"&gt;="&amp;$A714,Data!$A$10:$A$3209,"&lt;"&amp;$A714+1)/$AD714)))</f>
        <v/>
      </c>
      <c r="D714" s="56">
        <f>IF($B714=0,"",IF(Inputs!$B$7="","",IF($AE714=0,D713,SUMIFS(Data!$F$10:$F$3209,Data!$E$10:$E$3209,"&gt;="&amp;$A714,Data!$E$10:$E$3209,"&lt;"&amp;$A714+1)/$AE714)))</f>
        <v/>
      </c>
      <c r="E714" s="56">
        <f>IF($B714=0,"",IF(Inputs!$B$8="","",IF($AF714=0,E713,SUMIFS(Data!$J$10:$J$3209,Data!$I$10:$I$3209,"&gt;="&amp;$A714,Data!$I$10:$I$3209,"&lt;"&amp;$A714+1)/$AF714)))</f>
        <v/>
      </c>
      <c r="F714" s="56">
        <f>IF($B714=0,"",IF(Inputs!$B$9="","",IF($AG714=0,F713,SUMIFS(Data!$N$10:$N$3209,Data!$M$10:$M$3209,"&gt;="&amp;$A714,Data!$M$10:$M$3209,"&lt;"&amp;$A714+1)/$AG714)))</f>
        <v/>
      </c>
      <c r="G714" s="56">
        <f>IF($B714=0,"",IF(Inputs!$B$10="","",IF($AH714=0,G713,SUMIFS(Data!$R$10:$R$3209,Data!$Q$10:$Q$3209,"&gt;="&amp;$A714,Data!$Q$10:$Q$3209,"&lt;"&amp;$A714+1)/$AH714)))</f>
        <v/>
      </c>
      <c r="I714" s="54">
        <f>IF($B714=0,NA(),IF($C714="",NA(),IF(C$8="",NA(),IF(N(C$8)=0,NA(),IF(Inputs!$C$17="Rebased to 100",$C714/C$8*100,$C714)))))</f>
        <v/>
      </c>
      <c r="J714" s="54">
        <f>IF($B714=0,NA(),IF($D714="",NA(),IF(D$8="",NA(),IF(N(D$8)=0,NA(),IF(Inputs!$C$17="Rebased to 100",$D714/D$8*100,$D714)))))</f>
        <v/>
      </c>
      <c r="K714" s="54">
        <f>IF($B714=0,NA(),IF($E714="",NA(),IF(E$8="",NA(),IF(N(E$8)=0,NA(),IF(Inputs!$C$17="Rebased to 100",$E714/E$8*100,$E714)))))</f>
        <v/>
      </c>
      <c r="L714" s="54">
        <f>IF($B714=0,NA(),IF($F714="",NA(),IF(F$8="",NA(),IF(N(F$8)=0,NA(),IF(Inputs!$C$17="Rebased to 100",$F714/F$8*100,$F714)))))</f>
        <v/>
      </c>
      <c r="M714" s="54">
        <f>IF($B714=0,NA(),IF($G714="",NA(),IF(G$8="",NA(),IF(N(G$8)=0,NA(),IF(Inputs!$C$17="Rebased to 100",$G714/G$8*100,$G714)))))</f>
        <v/>
      </c>
      <c r="N714" s="54">
        <f>IF($B714=0,NA(),IF(Inputs!$C$18&lt;&gt;"Yes",NA(),IF(COUNT(I714,J714,K714,L714,M714)=0,NA(),MIN(I714,J714,K714,L714,M714))))</f>
        <v/>
      </c>
      <c r="O714" s="54">
        <f>IF($B714=0,NA(),IF(Inputs!$B$24&lt;&gt;"Yes",NA(),Inputs!$D$24*Inputs!$C$35))</f>
        <v/>
      </c>
      <c r="P714" s="54">
        <f>IF($B714=0,NA(),IF(Inputs!$B$25&lt;&gt;"Yes",NA(),Inputs!$D$25*Inputs!$C$35))</f>
        <v/>
      </c>
      <c r="Q714" s="54">
        <f>IF($B714=0,NA(),IF(Inputs!$B$26&lt;&gt;"Yes",NA(),Inputs!$D$26*Inputs!$C$35))</f>
        <v/>
      </c>
      <c r="R714" s="54">
        <f>IF($B714=0,NA(),IF(Inputs!$B$27&lt;&gt;"Yes",NA(),Inputs!$D$27*Inputs!$C$35))</f>
        <v/>
      </c>
      <c r="S714" s="54">
        <f>IF($B714=0,NA(),IF(Inputs!$B$28&lt;&gt;"Yes",NA(),Inputs!$D$28*Inputs!$C$35))</f>
        <v/>
      </c>
      <c r="T714" s="54">
        <f>IF($B714=0,NA(),IF(Inputs!$B$29&lt;&gt;"Yes",NA(),Inputs!$D$29*Inputs!$C$35))</f>
        <v/>
      </c>
      <c r="AD714">
        <f>IF($B714=0,0,IF(Inputs!$B$6="",0,COUNTIFS(Data!$A$10:$A$3209,"&gt;="&amp;$A714,Data!$A$10:$A$3209,"&lt;"&amp;$A714+1)))</f>
        <v/>
      </c>
      <c r="AE714">
        <f>IF($B714=0,0,IF(Inputs!$B$7="",0,COUNTIFS(Data!$E$10:$E$3209,"&gt;="&amp;$A714,Data!$E$10:$E$3209,"&lt;"&amp;$A714+1)))</f>
        <v/>
      </c>
      <c r="AF714">
        <f>IF($B714=0,0,IF(Inputs!$B$8="",0,COUNTIFS(Data!$I$10:$I$3209,"&gt;="&amp;$A714,Data!$I$10:$I$3209,"&lt;"&amp;$A714+1)))</f>
        <v/>
      </c>
      <c r="AG714">
        <f>IF($B714=0,0,IF(Inputs!$B$9="",0,COUNTIFS(Data!$M$10:$M$3209,"&gt;="&amp;$A714,Data!$M$10:$M$3209,"&lt;"&amp;$A714+1)))</f>
        <v/>
      </c>
      <c r="AH714">
        <f>IF($B714=0,0,IF(Inputs!$B$10="",0,COUNTIFS(Data!$Q$10:$Q$3209,"&gt;="&amp;$A714,Data!$Q$10:$Q$3209,"&lt;"&amp;$A714+1)))</f>
        <v/>
      </c>
    </row>
    <row r="715">
      <c r="A715" s="55">
        <f>MIN(Inputs!$C$15,$A714+IF(WEEKDAY($A714,2)=5,3,1))</f>
        <v/>
      </c>
      <c r="B715">
        <f>IF($A715&gt;$A714,1,0)</f>
        <v/>
      </c>
      <c r="C715" s="56">
        <f>IF($B715=0,"",IF(Inputs!$B$6="","",IF($AD715=0,C714,SUMIFS(Data!$B$10:$B$3209,Data!$A$10:$A$3209,"&gt;="&amp;$A715,Data!$A$10:$A$3209,"&lt;"&amp;$A715+1)/$AD715)))</f>
        <v/>
      </c>
      <c r="D715" s="56">
        <f>IF($B715=0,"",IF(Inputs!$B$7="","",IF($AE715=0,D714,SUMIFS(Data!$F$10:$F$3209,Data!$E$10:$E$3209,"&gt;="&amp;$A715,Data!$E$10:$E$3209,"&lt;"&amp;$A715+1)/$AE715)))</f>
        <v/>
      </c>
      <c r="E715" s="56">
        <f>IF($B715=0,"",IF(Inputs!$B$8="","",IF($AF715=0,E714,SUMIFS(Data!$J$10:$J$3209,Data!$I$10:$I$3209,"&gt;="&amp;$A715,Data!$I$10:$I$3209,"&lt;"&amp;$A715+1)/$AF715)))</f>
        <v/>
      </c>
      <c r="F715" s="56">
        <f>IF($B715=0,"",IF(Inputs!$B$9="","",IF($AG715=0,F714,SUMIFS(Data!$N$10:$N$3209,Data!$M$10:$M$3209,"&gt;="&amp;$A715,Data!$M$10:$M$3209,"&lt;"&amp;$A715+1)/$AG715)))</f>
        <v/>
      </c>
      <c r="G715" s="56">
        <f>IF($B715=0,"",IF(Inputs!$B$10="","",IF($AH715=0,G714,SUMIFS(Data!$R$10:$R$3209,Data!$Q$10:$Q$3209,"&gt;="&amp;$A715,Data!$Q$10:$Q$3209,"&lt;"&amp;$A715+1)/$AH715)))</f>
        <v/>
      </c>
      <c r="I715" s="54">
        <f>IF($B715=0,NA(),IF($C715="",NA(),IF(C$8="",NA(),IF(N(C$8)=0,NA(),IF(Inputs!$C$17="Rebased to 100",$C715/C$8*100,$C715)))))</f>
        <v/>
      </c>
      <c r="J715" s="54">
        <f>IF($B715=0,NA(),IF($D715="",NA(),IF(D$8="",NA(),IF(N(D$8)=0,NA(),IF(Inputs!$C$17="Rebased to 100",$D715/D$8*100,$D715)))))</f>
        <v/>
      </c>
      <c r="K715" s="54">
        <f>IF($B715=0,NA(),IF($E715="",NA(),IF(E$8="",NA(),IF(N(E$8)=0,NA(),IF(Inputs!$C$17="Rebased to 100",$E715/E$8*100,$E715)))))</f>
        <v/>
      </c>
      <c r="L715" s="54">
        <f>IF($B715=0,NA(),IF($F715="",NA(),IF(F$8="",NA(),IF(N(F$8)=0,NA(),IF(Inputs!$C$17="Rebased to 100",$F715/F$8*100,$F715)))))</f>
        <v/>
      </c>
      <c r="M715" s="54">
        <f>IF($B715=0,NA(),IF($G715="",NA(),IF(G$8="",NA(),IF(N(G$8)=0,NA(),IF(Inputs!$C$17="Rebased to 100",$G715/G$8*100,$G715)))))</f>
        <v/>
      </c>
      <c r="N715" s="54">
        <f>IF($B715=0,NA(),IF(Inputs!$C$18&lt;&gt;"Yes",NA(),IF(COUNT(I715,J715,K715,L715,M715)=0,NA(),MIN(I715,J715,K715,L715,M715))))</f>
        <v/>
      </c>
      <c r="O715" s="54">
        <f>IF($B715=0,NA(),IF(Inputs!$B$24&lt;&gt;"Yes",NA(),Inputs!$D$24*Inputs!$C$35))</f>
        <v/>
      </c>
      <c r="P715" s="54">
        <f>IF($B715=0,NA(),IF(Inputs!$B$25&lt;&gt;"Yes",NA(),Inputs!$D$25*Inputs!$C$35))</f>
        <v/>
      </c>
      <c r="Q715" s="54">
        <f>IF($B715=0,NA(),IF(Inputs!$B$26&lt;&gt;"Yes",NA(),Inputs!$D$26*Inputs!$C$35))</f>
        <v/>
      </c>
      <c r="R715" s="54">
        <f>IF($B715=0,NA(),IF(Inputs!$B$27&lt;&gt;"Yes",NA(),Inputs!$D$27*Inputs!$C$35))</f>
        <v/>
      </c>
      <c r="S715" s="54">
        <f>IF($B715=0,NA(),IF(Inputs!$B$28&lt;&gt;"Yes",NA(),Inputs!$D$28*Inputs!$C$35))</f>
        <v/>
      </c>
      <c r="T715" s="54">
        <f>IF($B715=0,NA(),IF(Inputs!$B$29&lt;&gt;"Yes",NA(),Inputs!$D$29*Inputs!$C$35))</f>
        <v/>
      </c>
      <c r="AD715">
        <f>IF($B715=0,0,IF(Inputs!$B$6="",0,COUNTIFS(Data!$A$10:$A$3209,"&gt;="&amp;$A715,Data!$A$10:$A$3209,"&lt;"&amp;$A715+1)))</f>
        <v/>
      </c>
      <c r="AE715">
        <f>IF($B715=0,0,IF(Inputs!$B$7="",0,COUNTIFS(Data!$E$10:$E$3209,"&gt;="&amp;$A715,Data!$E$10:$E$3209,"&lt;"&amp;$A715+1)))</f>
        <v/>
      </c>
      <c r="AF715">
        <f>IF($B715=0,0,IF(Inputs!$B$8="",0,COUNTIFS(Data!$I$10:$I$3209,"&gt;="&amp;$A715,Data!$I$10:$I$3209,"&lt;"&amp;$A715+1)))</f>
        <v/>
      </c>
      <c r="AG715">
        <f>IF($B715=0,0,IF(Inputs!$B$9="",0,COUNTIFS(Data!$M$10:$M$3209,"&gt;="&amp;$A715,Data!$M$10:$M$3209,"&lt;"&amp;$A715+1)))</f>
        <v/>
      </c>
      <c r="AH715">
        <f>IF($B715=0,0,IF(Inputs!$B$10="",0,COUNTIFS(Data!$Q$10:$Q$3209,"&gt;="&amp;$A715,Data!$Q$10:$Q$3209,"&lt;"&amp;$A715+1)))</f>
        <v/>
      </c>
    </row>
    <row r="716">
      <c r="A716" s="55">
        <f>MIN(Inputs!$C$15,$A715+IF(WEEKDAY($A715,2)=5,3,1))</f>
        <v/>
      </c>
      <c r="B716">
        <f>IF($A716&gt;$A715,1,0)</f>
        <v/>
      </c>
      <c r="C716" s="56">
        <f>IF($B716=0,"",IF(Inputs!$B$6="","",IF($AD716=0,C715,SUMIFS(Data!$B$10:$B$3209,Data!$A$10:$A$3209,"&gt;="&amp;$A716,Data!$A$10:$A$3209,"&lt;"&amp;$A716+1)/$AD716)))</f>
        <v/>
      </c>
      <c r="D716" s="56">
        <f>IF($B716=0,"",IF(Inputs!$B$7="","",IF($AE716=0,D715,SUMIFS(Data!$F$10:$F$3209,Data!$E$10:$E$3209,"&gt;="&amp;$A716,Data!$E$10:$E$3209,"&lt;"&amp;$A716+1)/$AE716)))</f>
        <v/>
      </c>
      <c r="E716" s="56">
        <f>IF($B716=0,"",IF(Inputs!$B$8="","",IF($AF716=0,E715,SUMIFS(Data!$J$10:$J$3209,Data!$I$10:$I$3209,"&gt;="&amp;$A716,Data!$I$10:$I$3209,"&lt;"&amp;$A716+1)/$AF716)))</f>
        <v/>
      </c>
      <c r="F716" s="56">
        <f>IF($B716=0,"",IF(Inputs!$B$9="","",IF($AG716=0,F715,SUMIFS(Data!$N$10:$N$3209,Data!$M$10:$M$3209,"&gt;="&amp;$A716,Data!$M$10:$M$3209,"&lt;"&amp;$A716+1)/$AG716)))</f>
        <v/>
      </c>
      <c r="G716" s="56">
        <f>IF($B716=0,"",IF(Inputs!$B$10="","",IF($AH716=0,G715,SUMIFS(Data!$R$10:$R$3209,Data!$Q$10:$Q$3209,"&gt;="&amp;$A716,Data!$Q$10:$Q$3209,"&lt;"&amp;$A716+1)/$AH716)))</f>
        <v/>
      </c>
      <c r="I716" s="54">
        <f>IF($B716=0,NA(),IF($C716="",NA(),IF(C$8="",NA(),IF(N(C$8)=0,NA(),IF(Inputs!$C$17="Rebased to 100",$C716/C$8*100,$C716)))))</f>
        <v/>
      </c>
      <c r="J716" s="54">
        <f>IF($B716=0,NA(),IF($D716="",NA(),IF(D$8="",NA(),IF(N(D$8)=0,NA(),IF(Inputs!$C$17="Rebased to 100",$D716/D$8*100,$D716)))))</f>
        <v/>
      </c>
      <c r="K716" s="54">
        <f>IF($B716=0,NA(),IF($E716="",NA(),IF(E$8="",NA(),IF(N(E$8)=0,NA(),IF(Inputs!$C$17="Rebased to 100",$E716/E$8*100,$E716)))))</f>
        <v/>
      </c>
      <c r="L716" s="54">
        <f>IF($B716=0,NA(),IF($F716="",NA(),IF(F$8="",NA(),IF(N(F$8)=0,NA(),IF(Inputs!$C$17="Rebased to 100",$F716/F$8*100,$F716)))))</f>
        <v/>
      </c>
      <c r="M716" s="54">
        <f>IF($B716=0,NA(),IF($G716="",NA(),IF(G$8="",NA(),IF(N(G$8)=0,NA(),IF(Inputs!$C$17="Rebased to 100",$G716/G$8*100,$G716)))))</f>
        <v/>
      </c>
      <c r="N716" s="54">
        <f>IF($B716=0,NA(),IF(Inputs!$C$18&lt;&gt;"Yes",NA(),IF(COUNT(I716,J716,K716,L716,M716)=0,NA(),MIN(I716,J716,K716,L716,M716))))</f>
        <v/>
      </c>
      <c r="O716" s="54">
        <f>IF($B716=0,NA(),IF(Inputs!$B$24&lt;&gt;"Yes",NA(),Inputs!$D$24*Inputs!$C$35))</f>
        <v/>
      </c>
      <c r="P716" s="54">
        <f>IF($B716=0,NA(),IF(Inputs!$B$25&lt;&gt;"Yes",NA(),Inputs!$D$25*Inputs!$C$35))</f>
        <v/>
      </c>
      <c r="Q716" s="54">
        <f>IF($B716=0,NA(),IF(Inputs!$B$26&lt;&gt;"Yes",NA(),Inputs!$D$26*Inputs!$C$35))</f>
        <v/>
      </c>
      <c r="R716" s="54">
        <f>IF($B716=0,NA(),IF(Inputs!$B$27&lt;&gt;"Yes",NA(),Inputs!$D$27*Inputs!$C$35))</f>
        <v/>
      </c>
      <c r="S716" s="54">
        <f>IF($B716=0,NA(),IF(Inputs!$B$28&lt;&gt;"Yes",NA(),Inputs!$D$28*Inputs!$C$35))</f>
        <v/>
      </c>
      <c r="T716" s="54">
        <f>IF($B716=0,NA(),IF(Inputs!$B$29&lt;&gt;"Yes",NA(),Inputs!$D$29*Inputs!$C$35))</f>
        <v/>
      </c>
      <c r="AD716">
        <f>IF($B716=0,0,IF(Inputs!$B$6="",0,COUNTIFS(Data!$A$10:$A$3209,"&gt;="&amp;$A716,Data!$A$10:$A$3209,"&lt;"&amp;$A716+1)))</f>
        <v/>
      </c>
      <c r="AE716">
        <f>IF($B716=0,0,IF(Inputs!$B$7="",0,COUNTIFS(Data!$E$10:$E$3209,"&gt;="&amp;$A716,Data!$E$10:$E$3209,"&lt;"&amp;$A716+1)))</f>
        <v/>
      </c>
      <c r="AF716">
        <f>IF($B716=0,0,IF(Inputs!$B$8="",0,COUNTIFS(Data!$I$10:$I$3209,"&gt;="&amp;$A716,Data!$I$10:$I$3209,"&lt;"&amp;$A716+1)))</f>
        <v/>
      </c>
      <c r="AG716">
        <f>IF($B716=0,0,IF(Inputs!$B$9="",0,COUNTIFS(Data!$M$10:$M$3209,"&gt;="&amp;$A716,Data!$M$10:$M$3209,"&lt;"&amp;$A716+1)))</f>
        <v/>
      </c>
      <c r="AH716">
        <f>IF($B716=0,0,IF(Inputs!$B$10="",0,COUNTIFS(Data!$Q$10:$Q$3209,"&gt;="&amp;$A716,Data!$Q$10:$Q$3209,"&lt;"&amp;$A716+1)))</f>
        <v/>
      </c>
    </row>
    <row r="717">
      <c r="A717" s="55">
        <f>MIN(Inputs!$C$15,$A716+IF(WEEKDAY($A716,2)=5,3,1))</f>
        <v/>
      </c>
      <c r="B717">
        <f>IF($A717&gt;$A716,1,0)</f>
        <v/>
      </c>
      <c r="C717" s="56">
        <f>IF($B717=0,"",IF(Inputs!$B$6="","",IF($AD717=0,C716,SUMIFS(Data!$B$10:$B$3209,Data!$A$10:$A$3209,"&gt;="&amp;$A717,Data!$A$10:$A$3209,"&lt;"&amp;$A717+1)/$AD717)))</f>
        <v/>
      </c>
      <c r="D717" s="56">
        <f>IF($B717=0,"",IF(Inputs!$B$7="","",IF($AE717=0,D716,SUMIFS(Data!$F$10:$F$3209,Data!$E$10:$E$3209,"&gt;="&amp;$A717,Data!$E$10:$E$3209,"&lt;"&amp;$A717+1)/$AE717)))</f>
        <v/>
      </c>
      <c r="E717" s="56">
        <f>IF($B717=0,"",IF(Inputs!$B$8="","",IF($AF717=0,E716,SUMIFS(Data!$J$10:$J$3209,Data!$I$10:$I$3209,"&gt;="&amp;$A717,Data!$I$10:$I$3209,"&lt;"&amp;$A717+1)/$AF717)))</f>
        <v/>
      </c>
      <c r="F717" s="56">
        <f>IF($B717=0,"",IF(Inputs!$B$9="","",IF($AG717=0,F716,SUMIFS(Data!$N$10:$N$3209,Data!$M$10:$M$3209,"&gt;="&amp;$A717,Data!$M$10:$M$3209,"&lt;"&amp;$A717+1)/$AG717)))</f>
        <v/>
      </c>
      <c r="G717" s="56">
        <f>IF($B717=0,"",IF(Inputs!$B$10="","",IF($AH717=0,G716,SUMIFS(Data!$R$10:$R$3209,Data!$Q$10:$Q$3209,"&gt;="&amp;$A717,Data!$Q$10:$Q$3209,"&lt;"&amp;$A717+1)/$AH717)))</f>
        <v/>
      </c>
      <c r="I717" s="54">
        <f>IF($B717=0,NA(),IF($C717="",NA(),IF(C$8="",NA(),IF(N(C$8)=0,NA(),IF(Inputs!$C$17="Rebased to 100",$C717/C$8*100,$C717)))))</f>
        <v/>
      </c>
      <c r="J717" s="54">
        <f>IF($B717=0,NA(),IF($D717="",NA(),IF(D$8="",NA(),IF(N(D$8)=0,NA(),IF(Inputs!$C$17="Rebased to 100",$D717/D$8*100,$D717)))))</f>
        <v/>
      </c>
      <c r="K717" s="54">
        <f>IF($B717=0,NA(),IF($E717="",NA(),IF(E$8="",NA(),IF(N(E$8)=0,NA(),IF(Inputs!$C$17="Rebased to 100",$E717/E$8*100,$E717)))))</f>
        <v/>
      </c>
      <c r="L717" s="54">
        <f>IF($B717=0,NA(),IF($F717="",NA(),IF(F$8="",NA(),IF(N(F$8)=0,NA(),IF(Inputs!$C$17="Rebased to 100",$F717/F$8*100,$F717)))))</f>
        <v/>
      </c>
      <c r="M717" s="54">
        <f>IF($B717=0,NA(),IF($G717="",NA(),IF(G$8="",NA(),IF(N(G$8)=0,NA(),IF(Inputs!$C$17="Rebased to 100",$G717/G$8*100,$G717)))))</f>
        <v/>
      </c>
      <c r="N717" s="54">
        <f>IF($B717=0,NA(),IF(Inputs!$C$18&lt;&gt;"Yes",NA(),IF(COUNT(I717,J717,K717,L717,M717)=0,NA(),MIN(I717,J717,K717,L717,M717))))</f>
        <v/>
      </c>
      <c r="O717" s="54">
        <f>IF($B717=0,NA(),IF(Inputs!$B$24&lt;&gt;"Yes",NA(),Inputs!$D$24*Inputs!$C$35))</f>
        <v/>
      </c>
      <c r="P717" s="54">
        <f>IF($B717=0,NA(),IF(Inputs!$B$25&lt;&gt;"Yes",NA(),Inputs!$D$25*Inputs!$C$35))</f>
        <v/>
      </c>
      <c r="Q717" s="54">
        <f>IF($B717=0,NA(),IF(Inputs!$B$26&lt;&gt;"Yes",NA(),Inputs!$D$26*Inputs!$C$35))</f>
        <v/>
      </c>
      <c r="R717" s="54">
        <f>IF($B717=0,NA(),IF(Inputs!$B$27&lt;&gt;"Yes",NA(),Inputs!$D$27*Inputs!$C$35))</f>
        <v/>
      </c>
      <c r="S717" s="54">
        <f>IF($B717=0,NA(),IF(Inputs!$B$28&lt;&gt;"Yes",NA(),Inputs!$D$28*Inputs!$C$35))</f>
        <v/>
      </c>
      <c r="T717" s="54">
        <f>IF($B717=0,NA(),IF(Inputs!$B$29&lt;&gt;"Yes",NA(),Inputs!$D$29*Inputs!$C$35))</f>
        <v/>
      </c>
      <c r="AD717">
        <f>IF($B717=0,0,IF(Inputs!$B$6="",0,COUNTIFS(Data!$A$10:$A$3209,"&gt;="&amp;$A717,Data!$A$10:$A$3209,"&lt;"&amp;$A717+1)))</f>
        <v/>
      </c>
      <c r="AE717">
        <f>IF($B717=0,0,IF(Inputs!$B$7="",0,COUNTIFS(Data!$E$10:$E$3209,"&gt;="&amp;$A717,Data!$E$10:$E$3209,"&lt;"&amp;$A717+1)))</f>
        <v/>
      </c>
      <c r="AF717">
        <f>IF($B717=0,0,IF(Inputs!$B$8="",0,COUNTIFS(Data!$I$10:$I$3209,"&gt;="&amp;$A717,Data!$I$10:$I$3209,"&lt;"&amp;$A717+1)))</f>
        <v/>
      </c>
      <c r="AG717">
        <f>IF($B717=0,0,IF(Inputs!$B$9="",0,COUNTIFS(Data!$M$10:$M$3209,"&gt;="&amp;$A717,Data!$M$10:$M$3209,"&lt;"&amp;$A717+1)))</f>
        <v/>
      </c>
      <c r="AH717">
        <f>IF($B717=0,0,IF(Inputs!$B$10="",0,COUNTIFS(Data!$Q$10:$Q$3209,"&gt;="&amp;$A717,Data!$Q$10:$Q$3209,"&lt;"&amp;$A717+1)))</f>
        <v/>
      </c>
    </row>
    <row r="718">
      <c r="A718" s="55">
        <f>MIN(Inputs!$C$15,$A717+IF(WEEKDAY($A717,2)=5,3,1))</f>
        <v/>
      </c>
      <c r="B718">
        <f>IF($A718&gt;$A717,1,0)</f>
        <v/>
      </c>
      <c r="C718" s="56">
        <f>IF($B718=0,"",IF(Inputs!$B$6="","",IF($AD718=0,C717,SUMIFS(Data!$B$10:$B$3209,Data!$A$10:$A$3209,"&gt;="&amp;$A718,Data!$A$10:$A$3209,"&lt;"&amp;$A718+1)/$AD718)))</f>
        <v/>
      </c>
      <c r="D718" s="56">
        <f>IF($B718=0,"",IF(Inputs!$B$7="","",IF($AE718=0,D717,SUMIFS(Data!$F$10:$F$3209,Data!$E$10:$E$3209,"&gt;="&amp;$A718,Data!$E$10:$E$3209,"&lt;"&amp;$A718+1)/$AE718)))</f>
        <v/>
      </c>
      <c r="E718" s="56">
        <f>IF($B718=0,"",IF(Inputs!$B$8="","",IF($AF718=0,E717,SUMIFS(Data!$J$10:$J$3209,Data!$I$10:$I$3209,"&gt;="&amp;$A718,Data!$I$10:$I$3209,"&lt;"&amp;$A718+1)/$AF718)))</f>
        <v/>
      </c>
      <c r="F718" s="56">
        <f>IF($B718=0,"",IF(Inputs!$B$9="","",IF($AG718=0,F717,SUMIFS(Data!$N$10:$N$3209,Data!$M$10:$M$3209,"&gt;="&amp;$A718,Data!$M$10:$M$3209,"&lt;"&amp;$A718+1)/$AG718)))</f>
        <v/>
      </c>
      <c r="G718" s="56">
        <f>IF($B718=0,"",IF(Inputs!$B$10="","",IF($AH718=0,G717,SUMIFS(Data!$R$10:$R$3209,Data!$Q$10:$Q$3209,"&gt;="&amp;$A718,Data!$Q$10:$Q$3209,"&lt;"&amp;$A718+1)/$AH718)))</f>
        <v/>
      </c>
      <c r="I718" s="54">
        <f>IF($B718=0,NA(),IF($C718="",NA(),IF(C$8="",NA(),IF(N(C$8)=0,NA(),IF(Inputs!$C$17="Rebased to 100",$C718/C$8*100,$C718)))))</f>
        <v/>
      </c>
      <c r="J718" s="54">
        <f>IF($B718=0,NA(),IF($D718="",NA(),IF(D$8="",NA(),IF(N(D$8)=0,NA(),IF(Inputs!$C$17="Rebased to 100",$D718/D$8*100,$D718)))))</f>
        <v/>
      </c>
      <c r="K718" s="54">
        <f>IF($B718=0,NA(),IF($E718="",NA(),IF(E$8="",NA(),IF(N(E$8)=0,NA(),IF(Inputs!$C$17="Rebased to 100",$E718/E$8*100,$E718)))))</f>
        <v/>
      </c>
      <c r="L718" s="54">
        <f>IF($B718=0,NA(),IF($F718="",NA(),IF(F$8="",NA(),IF(N(F$8)=0,NA(),IF(Inputs!$C$17="Rebased to 100",$F718/F$8*100,$F718)))))</f>
        <v/>
      </c>
      <c r="M718" s="54">
        <f>IF($B718=0,NA(),IF($G718="",NA(),IF(G$8="",NA(),IF(N(G$8)=0,NA(),IF(Inputs!$C$17="Rebased to 100",$G718/G$8*100,$G718)))))</f>
        <v/>
      </c>
      <c r="N718" s="54">
        <f>IF($B718=0,NA(),IF(Inputs!$C$18&lt;&gt;"Yes",NA(),IF(COUNT(I718,J718,K718,L718,M718)=0,NA(),MIN(I718,J718,K718,L718,M718))))</f>
        <v/>
      </c>
      <c r="O718" s="54">
        <f>IF($B718=0,NA(),IF(Inputs!$B$24&lt;&gt;"Yes",NA(),Inputs!$D$24*Inputs!$C$35))</f>
        <v/>
      </c>
      <c r="P718" s="54">
        <f>IF($B718=0,NA(),IF(Inputs!$B$25&lt;&gt;"Yes",NA(),Inputs!$D$25*Inputs!$C$35))</f>
        <v/>
      </c>
      <c r="Q718" s="54">
        <f>IF($B718=0,NA(),IF(Inputs!$B$26&lt;&gt;"Yes",NA(),Inputs!$D$26*Inputs!$C$35))</f>
        <v/>
      </c>
      <c r="R718" s="54">
        <f>IF($B718=0,NA(),IF(Inputs!$B$27&lt;&gt;"Yes",NA(),Inputs!$D$27*Inputs!$C$35))</f>
        <v/>
      </c>
      <c r="S718" s="54">
        <f>IF($B718=0,NA(),IF(Inputs!$B$28&lt;&gt;"Yes",NA(),Inputs!$D$28*Inputs!$C$35))</f>
        <v/>
      </c>
      <c r="T718" s="54">
        <f>IF($B718=0,NA(),IF(Inputs!$B$29&lt;&gt;"Yes",NA(),Inputs!$D$29*Inputs!$C$35))</f>
        <v/>
      </c>
      <c r="AD718">
        <f>IF($B718=0,0,IF(Inputs!$B$6="",0,COUNTIFS(Data!$A$10:$A$3209,"&gt;="&amp;$A718,Data!$A$10:$A$3209,"&lt;"&amp;$A718+1)))</f>
        <v/>
      </c>
      <c r="AE718">
        <f>IF($B718=0,0,IF(Inputs!$B$7="",0,COUNTIFS(Data!$E$10:$E$3209,"&gt;="&amp;$A718,Data!$E$10:$E$3209,"&lt;"&amp;$A718+1)))</f>
        <v/>
      </c>
      <c r="AF718">
        <f>IF($B718=0,0,IF(Inputs!$B$8="",0,COUNTIFS(Data!$I$10:$I$3209,"&gt;="&amp;$A718,Data!$I$10:$I$3209,"&lt;"&amp;$A718+1)))</f>
        <v/>
      </c>
      <c r="AG718">
        <f>IF($B718=0,0,IF(Inputs!$B$9="",0,COUNTIFS(Data!$M$10:$M$3209,"&gt;="&amp;$A718,Data!$M$10:$M$3209,"&lt;"&amp;$A718+1)))</f>
        <v/>
      </c>
      <c r="AH718">
        <f>IF($B718=0,0,IF(Inputs!$B$10="",0,COUNTIFS(Data!$Q$10:$Q$3209,"&gt;="&amp;$A718,Data!$Q$10:$Q$3209,"&lt;"&amp;$A718+1)))</f>
        <v/>
      </c>
    </row>
    <row r="719">
      <c r="A719" s="55">
        <f>MIN(Inputs!$C$15,$A718+IF(WEEKDAY($A718,2)=5,3,1))</f>
        <v/>
      </c>
      <c r="B719">
        <f>IF($A719&gt;$A718,1,0)</f>
        <v/>
      </c>
      <c r="C719" s="56">
        <f>IF($B719=0,"",IF(Inputs!$B$6="","",IF($AD719=0,C718,SUMIFS(Data!$B$10:$B$3209,Data!$A$10:$A$3209,"&gt;="&amp;$A719,Data!$A$10:$A$3209,"&lt;"&amp;$A719+1)/$AD719)))</f>
        <v/>
      </c>
      <c r="D719" s="56">
        <f>IF($B719=0,"",IF(Inputs!$B$7="","",IF($AE719=0,D718,SUMIFS(Data!$F$10:$F$3209,Data!$E$10:$E$3209,"&gt;="&amp;$A719,Data!$E$10:$E$3209,"&lt;"&amp;$A719+1)/$AE719)))</f>
        <v/>
      </c>
      <c r="E719" s="56">
        <f>IF($B719=0,"",IF(Inputs!$B$8="","",IF($AF719=0,E718,SUMIFS(Data!$J$10:$J$3209,Data!$I$10:$I$3209,"&gt;="&amp;$A719,Data!$I$10:$I$3209,"&lt;"&amp;$A719+1)/$AF719)))</f>
        <v/>
      </c>
      <c r="F719" s="56">
        <f>IF($B719=0,"",IF(Inputs!$B$9="","",IF($AG719=0,F718,SUMIFS(Data!$N$10:$N$3209,Data!$M$10:$M$3209,"&gt;="&amp;$A719,Data!$M$10:$M$3209,"&lt;"&amp;$A719+1)/$AG719)))</f>
        <v/>
      </c>
      <c r="G719" s="56">
        <f>IF($B719=0,"",IF(Inputs!$B$10="","",IF($AH719=0,G718,SUMIFS(Data!$R$10:$R$3209,Data!$Q$10:$Q$3209,"&gt;="&amp;$A719,Data!$Q$10:$Q$3209,"&lt;"&amp;$A719+1)/$AH719)))</f>
        <v/>
      </c>
      <c r="I719" s="54">
        <f>IF($B719=0,NA(),IF($C719="",NA(),IF(C$8="",NA(),IF(N(C$8)=0,NA(),IF(Inputs!$C$17="Rebased to 100",$C719/C$8*100,$C719)))))</f>
        <v/>
      </c>
      <c r="J719" s="54">
        <f>IF($B719=0,NA(),IF($D719="",NA(),IF(D$8="",NA(),IF(N(D$8)=0,NA(),IF(Inputs!$C$17="Rebased to 100",$D719/D$8*100,$D719)))))</f>
        <v/>
      </c>
      <c r="K719" s="54">
        <f>IF($B719=0,NA(),IF($E719="",NA(),IF(E$8="",NA(),IF(N(E$8)=0,NA(),IF(Inputs!$C$17="Rebased to 100",$E719/E$8*100,$E719)))))</f>
        <v/>
      </c>
      <c r="L719" s="54">
        <f>IF($B719=0,NA(),IF($F719="",NA(),IF(F$8="",NA(),IF(N(F$8)=0,NA(),IF(Inputs!$C$17="Rebased to 100",$F719/F$8*100,$F719)))))</f>
        <v/>
      </c>
      <c r="M719" s="54">
        <f>IF($B719=0,NA(),IF($G719="",NA(),IF(G$8="",NA(),IF(N(G$8)=0,NA(),IF(Inputs!$C$17="Rebased to 100",$G719/G$8*100,$G719)))))</f>
        <v/>
      </c>
      <c r="N719" s="54">
        <f>IF($B719=0,NA(),IF(Inputs!$C$18&lt;&gt;"Yes",NA(),IF(COUNT(I719,J719,K719,L719,M719)=0,NA(),MIN(I719,J719,K719,L719,M719))))</f>
        <v/>
      </c>
      <c r="O719" s="54">
        <f>IF($B719=0,NA(),IF(Inputs!$B$24&lt;&gt;"Yes",NA(),Inputs!$D$24*Inputs!$C$35))</f>
        <v/>
      </c>
      <c r="P719" s="54">
        <f>IF($B719=0,NA(),IF(Inputs!$B$25&lt;&gt;"Yes",NA(),Inputs!$D$25*Inputs!$C$35))</f>
        <v/>
      </c>
      <c r="Q719" s="54">
        <f>IF($B719=0,NA(),IF(Inputs!$B$26&lt;&gt;"Yes",NA(),Inputs!$D$26*Inputs!$C$35))</f>
        <v/>
      </c>
      <c r="R719" s="54">
        <f>IF($B719=0,NA(),IF(Inputs!$B$27&lt;&gt;"Yes",NA(),Inputs!$D$27*Inputs!$C$35))</f>
        <v/>
      </c>
      <c r="S719" s="54">
        <f>IF($B719=0,NA(),IF(Inputs!$B$28&lt;&gt;"Yes",NA(),Inputs!$D$28*Inputs!$C$35))</f>
        <v/>
      </c>
      <c r="T719" s="54">
        <f>IF($B719=0,NA(),IF(Inputs!$B$29&lt;&gt;"Yes",NA(),Inputs!$D$29*Inputs!$C$35))</f>
        <v/>
      </c>
      <c r="AD719">
        <f>IF($B719=0,0,IF(Inputs!$B$6="",0,COUNTIFS(Data!$A$10:$A$3209,"&gt;="&amp;$A719,Data!$A$10:$A$3209,"&lt;"&amp;$A719+1)))</f>
        <v/>
      </c>
      <c r="AE719">
        <f>IF($B719=0,0,IF(Inputs!$B$7="",0,COUNTIFS(Data!$E$10:$E$3209,"&gt;="&amp;$A719,Data!$E$10:$E$3209,"&lt;"&amp;$A719+1)))</f>
        <v/>
      </c>
      <c r="AF719">
        <f>IF($B719=0,0,IF(Inputs!$B$8="",0,COUNTIFS(Data!$I$10:$I$3209,"&gt;="&amp;$A719,Data!$I$10:$I$3209,"&lt;"&amp;$A719+1)))</f>
        <v/>
      </c>
      <c r="AG719">
        <f>IF($B719=0,0,IF(Inputs!$B$9="",0,COUNTIFS(Data!$M$10:$M$3209,"&gt;="&amp;$A719,Data!$M$10:$M$3209,"&lt;"&amp;$A719+1)))</f>
        <v/>
      </c>
      <c r="AH719">
        <f>IF($B719=0,0,IF(Inputs!$B$10="",0,COUNTIFS(Data!$Q$10:$Q$3209,"&gt;="&amp;$A719,Data!$Q$10:$Q$3209,"&lt;"&amp;$A719+1)))</f>
        <v/>
      </c>
    </row>
    <row r="720">
      <c r="A720" s="55">
        <f>MIN(Inputs!$C$15,$A719+IF(WEEKDAY($A719,2)=5,3,1))</f>
        <v/>
      </c>
      <c r="B720">
        <f>IF($A720&gt;$A719,1,0)</f>
        <v/>
      </c>
      <c r="C720" s="56">
        <f>IF($B720=0,"",IF(Inputs!$B$6="","",IF($AD720=0,C719,SUMIFS(Data!$B$10:$B$3209,Data!$A$10:$A$3209,"&gt;="&amp;$A720,Data!$A$10:$A$3209,"&lt;"&amp;$A720+1)/$AD720)))</f>
        <v/>
      </c>
      <c r="D720" s="56">
        <f>IF($B720=0,"",IF(Inputs!$B$7="","",IF($AE720=0,D719,SUMIFS(Data!$F$10:$F$3209,Data!$E$10:$E$3209,"&gt;="&amp;$A720,Data!$E$10:$E$3209,"&lt;"&amp;$A720+1)/$AE720)))</f>
        <v/>
      </c>
      <c r="E720" s="56">
        <f>IF($B720=0,"",IF(Inputs!$B$8="","",IF($AF720=0,E719,SUMIFS(Data!$J$10:$J$3209,Data!$I$10:$I$3209,"&gt;="&amp;$A720,Data!$I$10:$I$3209,"&lt;"&amp;$A720+1)/$AF720)))</f>
        <v/>
      </c>
      <c r="F720" s="56">
        <f>IF($B720=0,"",IF(Inputs!$B$9="","",IF($AG720=0,F719,SUMIFS(Data!$N$10:$N$3209,Data!$M$10:$M$3209,"&gt;="&amp;$A720,Data!$M$10:$M$3209,"&lt;"&amp;$A720+1)/$AG720)))</f>
        <v/>
      </c>
      <c r="G720" s="56">
        <f>IF($B720=0,"",IF(Inputs!$B$10="","",IF($AH720=0,G719,SUMIFS(Data!$R$10:$R$3209,Data!$Q$10:$Q$3209,"&gt;="&amp;$A720,Data!$Q$10:$Q$3209,"&lt;"&amp;$A720+1)/$AH720)))</f>
        <v/>
      </c>
      <c r="I720" s="54">
        <f>IF($B720=0,NA(),IF($C720="",NA(),IF(C$8="",NA(),IF(N(C$8)=0,NA(),IF(Inputs!$C$17="Rebased to 100",$C720/C$8*100,$C720)))))</f>
        <v/>
      </c>
      <c r="J720" s="54">
        <f>IF($B720=0,NA(),IF($D720="",NA(),IF(D$8="",NA(),IF(N(D$8)=0,NA(),IF(Inputs!$C$17="Rebased to 100",$D720/D$8*100,$D720)))))</f>
        <v/>
      </c>
      <c r="K720" s="54">
        <f>IF($B720=0,NA(),IF($E720="",NA(),IF(E$8="",NA(),IF(N(E$8)=0,NA(),IF(Inputs!$C$17="Rebased to 100",$E720/E$8*100,$E720)))))</f>
        <v/>
      </c>
      <c r="L720" s="54">
        <f>IF($B720=0,NA(),IF($F720="",NA(),IF(F$8="",NA(),IF(N(F$8)=0,NA(),IF(Inputs!$C$17="Rebased to 100",$F720/F$8*100,$F720)))))</f>
        <v/>
      </c>
      <c r="M720" s="54">
        <f>IF($B720=0,NA(),IF($G720="",NA(),IF(G$8="",NA(),IF(N(G$8)=0,NA(),IF(Inputs!$C$17="Rebased to 100",$G720/G$8*100,$G720)))))</f>
        <v/>
      </c>
      <c r="N720" s="54">
        <f>IF($B720=0,NA(),IF(Inputs!$C$18&lt;&gt;"Yes",NA(),IF(COUNT(I720,J720,K720,L720,M720)=0,NA(),MIN(I720,J720,K720,L720,M720))))</f>
        <v/>
      </c>
      <c r="O720" s="54">
        <f>IF($B720=0,NA(),IF(Inputs!$B$24&lt;&gt;"Yes",NA(),Inputs!$D$24*Inputs!$C$35))</f>
        <v/>
      </c>
      <c r="P720" s="54">
        <f>IF($B720=0,NA(),IF(Inputs!$B$25&lt;&gt;"Yes",NA(),Inputs!$D$25*Inputs!$C$35))</f>
        <v/>
      </c>
      <c r="Q720" s="54">
        <f>IF($B720=0,NA(),IF(Inputs!$B$26&lt;&gt;"Yes",NA(),Inputs!$D$26*Inputs!$C$35))</f>
        <v/>
      </c>
      <c r="R720" s="54">
        <f>IF($B720=0,NA(),IF(Inputs!$B$27&lt;&gt;"Yes",NA(),Inputs!$D$27*Inputs!$C$35))</f>
        <v/>
      </c>
      <c r="S720" s="54">
        <f>IF($B720=0,NA(),IF(Inputs!$B$28&lt;&gt;"Yes",NA(),Inputs!$D$28*Inputs!$C$35))</f>
        <v/>
      </c>
      <c r="T720" s="54">
        <f>IF($B720=0,NA(),IF(Inputs!$B$29&lt;&gt;"Yes",NA(),Inputs!$D$29*Inputs!$C$35))</f>
        <v/>
      </c>
      <c r="AD720">
        <f>IF($B720=0,0,IF(Inputs!$B$6="",0,COUNTIFS(Data!$A$10:$A$3209,"&gt;="&amp;$A720,Data!$A$10:$A$3209,"&lt;"&amp;$A720+1)))</f>
        <v/>
      </c>
      <c r="AE720">
        <f>IF($B720=0,0,IF(Inputs!$B$7="",0,COUNTIFS(Data!$E$10:$E$3209,"&gt;="&amp;$A720,Data!$E$10:$E$3209,"&lt;"&amp;$A720+1)))</f>
        <v/>
      </c>
      <c r="AF720">
        <f>IF($B720=0,0,IF(Inputs!$B$8="",0,COUNTIFS(Data!$I$10:$I$3209,"&gt;="&amp;$A720,Data!$I$10:$I$3209,"&lt;"&amp;$A720+1)))</f>
        <v/>
      </c>
      <c r="AG720">
        <f>IF($B720=0,0,IF(Inputs!$B$9="",0,COUNTIFS(Data!$M$10:$M$3209,"&gt;="&amp;$A720,Data!$M$10:$M$3209,"&lt;"&amp;$A720+1)))</f>
        <v/>
      </c>
      <c r="AH720">
        <f>IF($B720=0,0,IF(Inputs!$B$10="",0,COUNTIFS(Data!$Q$10:$Q$3209,"&gt;="&amp;$A720,Data!$Q$10:$Q$3209,"&lt;"&amp;$A720+1)))</f>
        <v/>
      </c>
    </row>
    <row r="721">
      <c r="A721" s="55">
        <f>MIN(Inputs!$C$15,$A720+IF(WEEKDAY($A720,2)=5,3,1))</f>
        <v/>
      </c>
      <c r="B721">
        <f>IF($A721&gt;$A720,1,0)</f>
        <v/>
      </c>
      <c r="C721" s="56">
        <f>IF($B721=0,"",IF(Inputs!$B$6="","",IF($AD721=0,C720,SUMIFS(Data!$B$10:$B$3209,Data!$A$10:$A$3209,"&gt;="&amp;$A721,Data!$A$10:$A$3209,"&lt;"&amp;$A721+1)/$AD721)))</f>
        <v/>
      </c>
      <c r="D721" s="56">
        <f>IF($B721=0,"",IF(Inputs!$B$7="","",IF($AE721=0,D720,SUMIFS(Data!$F$10:$F$3209,Data!$E$10:$E$3209,"&gt;="&amp;$A721,Data!$E$10:$E$3209,"&lt;"&amp;$A721+1)/$AE721)))</f>
        <v/>
      </c>
      <c r="E721" s="56">
        <f>IF($B721=0,"",IF(Inputs!$B$8="","",IF($AF721=0,E720,SUMIFS(Data!$J$10:$J$3209,Data!$I$10:$I$3209,"&gt;="&amp;$A721,Data!$I$10:$I$3209,"&lt;"&amp;$A721+1)/$AF721)))</f>
        <v/>
      </c>
      <c r="F721" s="56">
        <f>IF($B721=0,"",IF(Inputs!$B$9="","",IF($AG721=0,F720,SUMIFS(Data!$N$10:$N$3209,Data!$M$10:$M$3209,"&gt;="&amp;$A721,Data!$M$10:$M$3209,"&lt;"&amp;$A721+1)/$AG721)))</f>
        <v/>
      </c>
      <c r="G721" s="56">
        <f>IF($B721=0,"",IF(Inputs!$B$10="","",IF($AH721=0,G720,SUMIFS(Data!$R$10:$R$3209,Data!$Q$10:$Q$3209,"&gt;="&amp;$A721,Data!$Q$10:$Q$3209,"&lt;"&amp;$A721+1)/$AH721)))</f>
        <v/>
      </c>
      <c r="I721" s="54">
        <f>IF($B721=0,NA(),IF($C721="",NA(),IF(C$8="",NA(),IF(N(C$8)=0,NA(),IF(Inputs!$C$17="Rebased to 100",$C721/C$8*100,$C721)))))</f>
        <v/>
      </c>
      <c r="J721" s="54">
        <f>IF($B721=0,NA(),IF($D721="",NA(),IF(D$8="",NA(),IF(N(D$8)=0,NA(),IF(Inputs!$C$17="Rebased to 100",$D721/D$8*100,$D721)))))</f>
        <v/>
      </c>
      <c r="K721" s="54">
        <f>IF($B721=0,NA(),IF($E721="",NA(),IF(E$8="",NA(),IF(N(E$8)=0,NA(),IF(Inputs!$C$17="Rebased to 100",$E721/E$8*100,$E721)))))</f>
        <v/>
      </c>
      <c r="L721" s="54">
        <f>IF($B721=0,NA(),IF($F721="",NA(),IF(F$8="",NA(),IF(N(F$8)=0,NA(),IF(Inputs!$C$17="Rebased to 100",$F721/F$8*100,$F721)))))</f>
        <v/>
      </c>
      <c r="M721" s="54">
        <f>IF($B721=0,NA(),IF($G721="",NA(),IF(G$8="",NA(),IF(N(G$8)=0,NA(),IF(Inputs!$C$17="Rebased to 100",$G721/G$8*100,$G721)))))</f>
        <v/>
      </c>
      <c r="N721" s="54">
        <f>IF($B721=0,NA(),IF(Inputs!$C$18&lt;&gt;"Yes",NA(),IF(COUNT(I721,J721,K721,L721,M721)=0,NA(),MIN(I721,J721,K721,L721,M721))))</f>
        <v/>
      </c>
      <c r="O721" s="54">
        <f>IF($B721=0,NA(),IF(Inputs!$B$24&lt;&gt;"Yes",NA(),Inputs!$D$24*Inputs!$C$35))</f>
        <v/>
      </c>
      <c r="P721" s="54">
        <f>IF($B721=0,NA(),IF(Inputs!$B$25&lt;&gt;"Yes",NA(),Inputs!$D$25*Inputs!$C$35))</f>
        <v/>
      </c>
      <c r="Q721" s="54">
        <f>IF($B721=0,NA(),IF(Inputs!$B$26&lt;&gt;"Yes",NA(),Inputs!$D$26*Inputs!$C$35))</f>
        <v/>
      </c>
      <c r="R721" s="54">
        <f>IF($B721=0,NA(),IF(Inputs!$B$27&lt;&gt;"Yes",NA(),Inputs!$D$27*Inputs!$C$35))</f>
        <v/>
      </c>
      <c r="S721" s="54">
        <f>IF($B721=0,NA(),IF(Inputs!$B$28&lt;&gt;"Yes",NA(),Inputs!$D$28*Inputs!$C$35))</f>
        <v/>
      </c>
      <c r="T721" s="54">
        <f>IF($B721=0,NA(),IF(Inputs!$B$29&lt;&gt;"Yes",NA(),Inputs!$D$29*Inputs!$C$35))</f>
        <v/>
      </c>
      <c r="AD721">
        <f>IF($B721=0,0,IF(Inputs!$B$6="",0,COUNTIFS(Data!$A$10:$A$3209,"&gt;="&amp;$A721,Data!$A$10:$A$3209,"&lt;"&amp;$A721+1)))</f>
        <v/>
      </c>
      <c r="AE721">
        <f>IF($B721=0,0,IF(Inputs!$B$7="",0,COUNTIFS(Data!$E$10:$E$3209,"&gt;="&amp;$A721,Data!$E$10:$E$3209,"&lt;"&amp;$A721+1)))</f>
        <v/>
      </c>
      <c r="AF721">
        <f>IF($B721=0,0,IF(Inputs!$B$8="",0,COUNTIFS(Data!$I$10:$I$3209,"&gt;="&amp;$A721,Data!$I$10:$I$3209,"&lt;"&amp;$A721+1)))</f>
        <v/>
      </c>
      <c r="AG721">
        <f>IF($B721=0,0,IF(Inputs!$B$9="",0,COUNTIFS(Data!$M$10:$M$3209,"&gt;="&amp;$A721,Data!$M$10:$M$3209,"&lt;"&amp;$A721+1)))</f>
        <v/>
      </c>
      <c r="AH721">
        <f>IF($B721=0,0,IF(Inputs!$B$10="",0,COUNTIFS(Data!$Q$10:$Q$3209,"&gt;="&amp;$A721,Data!$Q$10:$Q$3209,"&lt;"&amp;$A721+1)))</f>
        <v/>
      </c>
    </row>
    <row r="722">
      <c r="A722" s="55">
        <f>MIN(Inputs!$C$15,$A721+IF(WEEKDAY($A721,2)=5,3,1))</f>
        <v/>
      </c>
      <c r="B722">
        <f>IF($A722&gt;$A721,1,0)</f>
        <v/>
      </c>
      <c r="C722" s="56">
        <f>IF($B722=0,"",IF(Inputs!$B$6="","",IF($AD722=0,C721,SUMIFS(Data!$B$10:$B$3209,Data!$A$10:$A$3209,"&gt;="&amp;$A722,Data!$A$10:$A$3209,"&lt;"&amp;$A722+1)/$AD722)))</f>
        <v/>
      </c>
      <c r="D722" s="56">
        <f>IF($B722=0,"",IF(Inputs!$B$7="","",IF($AE722=0,D721,SUMIFS(Data!$F$10:$F$3209,Data!$E$10:$E$3209,"&gt;="&amp;$A722,Data!$E$10:$E$3209,"&lt;"&amp;$A722+1)/$AE722)))</f>
        <v/>
      </c>
      <c r="E722" s="56">
        <f>IF($B722=0,"",IF(Inputs!$B$8="","",IF($AF722=0,E721,SUMIFS(Data!$J$10:$J$3209,Data!$I$10:$I$3209,"&gt;="&amp;$A722,Data!$I$10:$I$3209,"&lt;"&amp;$A722+1)/$AF722)))</f>
        <v/>
      </c>
      <c r="F722" s="56">
        <f>IF($B722=0,"",IF(Inputs!$B$9="","",IF($AG722=0,F721,SUMIFS(Data!$N$10:$N$3209,Data!$M$10:$M$3209,"&gt;="&amp;$A722,Data!$M$10:$M$3209,"&lt;"&amp;$A722+1)/$AG722)))</f>
        <v/>
      </c>
      <c r="G722" s="56">
        <f>IF($B722=0,"",IF(Inputs!$B$10="","",IF($AH722=0,G721,SUMIFS(Data!$R$10:$R$3209,Data!$Q$10:$Q$3209,"&gt;="&amp;$A722,Data!$Q$10:$Q$3209,"&lt;"&amp;$A722+1)/$AH722)))</f>
        <v/>
      </c>
      <c r="I722" s="54">
        <f>IF($B722=0,NA(),IF($C722="",NA(),IF(C$8="",NA(),IF(N(C$8)=0,NA(),IF(Inputs!$C$17="Rebased to 100",$C722/C$8*100,$C722)))))</f>
        <v/>
      </c>
      <c r="J722" s="54">
        <f>IF($B722=0,NA(),IF($D722="",NA(),IF(D$8="",NA(),IF(N(D$8)=0,NA(),IF(Inputs!$C$17="Rebased to 100",$D722/D$8*100,$D722)))))</f>
        <v/>
      </c>
      <c r="K722" s="54">
        <f>IF($B722=0,NA(),IF($E722="",NA(),IF(E$8="",NA(),IF(N(E$8)=0,NA(),IF(Inputs!$C$17="Rebased to 100",$E722/E$8*100,$E722)))))</f>
        <v/>
      </c>
      <c r="L722" s="54">
        <f>IF($B722=0,NA(),IF($F722="",NA(),IF(F$8="",NA(),IF(N(F$8)=0,NA(),IF(Inputs!$C$17="Rebased to 100",$F722/F$8*100,$F722)))))</f>
        <v/>
      </c>
      <c r="M722" s="54">
        <f>IF($B722=0,NA(),IF($G722="",NA(),IF(G$8="",NA(),IF(N(G$8)=0,NA(),IF(Inputs!$C$17="Rebased to 100",$G722/G$8*100,$G722)))))</f>
        <v/>
      </c>
      <c r="N722" s="54">
        <f>IF($B722=0,NA(),IF(Inputs!$C$18&lt;&gt;"Yes",NA(),IF(COUNT(I722,J722,K722,L722,M722)=0,NA(),MIN(I722,J722,K722,L722,M722))))</f>
        <v/>
      </c>
      <c r="O722" s="54">
        <f>IF($B722=0,NA(),IF(Inputs!$B$24&lt;&gt;"Yes",NA(),Inputs!$D$24*Inputs!$C$35))</f>
        <v/>
      </c>
      <c r="P722" s="54">
        <f>IF($B722=0,NA(),IF(Inputs!$B$25&lt;&gt;"Yes",NA(),Inputs!$D$25*Inputs!$C$35))</f>
        <v/>
      </c>
      <c r="Q722" s="54">
        <f>IF($B722=0,NA(),IF(Inputs!$B$26&lt;&gt;"Yes",NA(),Inputs!$D$26*Inputs!$C$35))</f>
        <v/>
      </c>
      <c r="R722" s="54">
        <f>IF($B722=0,NA(),IF(Inputs!$B$27&lt;&gt;"Yes",NA(),Inputs!$D$27*Inputs!$C$35))</f>
        <v/>
      </c>
      <c r="S722" s="54">
        <f>IF($B722=0,NA(),IF(Inputs!$B$28&lt;&gt;"Yes",NA(),Inputs!$D$28*Inputs!$C$35))</f>
        <v/>
      </c>
      <c r="T722" s="54">
        <f>IF($B722=0,NA(),IF(Inputs!$B$29&lt;&gt;"Yes",NA(),Inputs!$D$29*Inputs!$C$35))</f>
        <v/>
      </c>
      <c r="AD722">
        <f>IF($B722=0,0,IF(Inputs!$B$6="",0,COUNTIFS(Data!$A$10:$A$3209,"&gt;="&amp;$A722,Data!$A$10:$A$3209,"&lt;"&amp;$A722+1)))</f>
        <v/>
      </c>
      <c r="AE722">
        <f>IF($B722=0,0,IF(Inputs!$B$7="",0,COUNTIFS(Data!$E$10:$E$3209,"&gt;="&amp;$A722,Data!$E$10:$E$3209,"&lt;"&amp;$A722+1)))</f>
        <v/>
      </c>
      <c r="AF722">
        <f>IF($B722=0,0,IF(Inputs!$B$8="",0,COUNTIFS(Data!$I$10:$I$3209,"&gt;="&amp;$A722,Data!$I$10:$I$3209,"&lt;"&amp;$A722+1)))</f>
        <v/>
      </c>
      <c r="AG722">
        <f>IF($B722=0,0,IF(Inputs!$B$9="",0,COUNTIFS(Data!$M$10:$M$3209,"&gt;="&amp;$A722,Data!$M$10:$M$3209,"&lt;"&amp;$A722+1)))</f>
        <v/>
      </c>
      <c r="AH722">
        <f>IF($B722=0,0,IF(Inputs!$B$10="",0,COUNTIFS(Data!$Q$10:$Q$3209,"&gt;="&amp;$A722,Data!$Q$10:$Q$3209,"&lt;"&amp;$A722+1)))</f>
        <v/>
      </c>
    </row>
    <row r="723">
      <c r="A723" s="55">
        <f>MIN(Inputs!$C$15,$A722+IF(WEEKDAY($A722,2)=5,3,1))</f>
        <v/>
      </c>
      <c r="B723">
        <f>IF($A723&gt;$A722,1,0)</f>
        <v/>
      </c>
      <c r="C723" s="56">
        <f>IF($B723=0,"",IF(Inputs!$B$6="","",IF($AD723=0,C722,SUMIFS(Data!$B$10:$B$3209,Data!$A$10:$A$3209,"&gt;="&amp;$A723,Data!$A$10:$A$3209,"&lt;"&amp;$A723+1)/$AD723)))</f>
        <v/>
      </c>
      <c r="D723" s="56">
        <f>IF($B723=0,"",IF(Inputs!$B$7="","",IF($AE723=0,D722,SUMIFS(Data!$F$10:$F$3209,Data!$E$10:$E$3209,"&gt;="&amp;$A723,Data!$E$10:$E$3209,"&lt;"&amp;$A723+1)/$AE723)))</f>
        <v/>
      </c>
      <c r="E723" s="56">
        <f>IF($B723=0,"",IF(Inputs!$B$8="","",IF($AF723=0,E722,SUMIFS(Data!$J$10:$J$3209,Data!$I$10:$I$3209,"&gt;="&amp;$A723,Data!$I$10:$I$3209,"&lt;"&amp;$A723+1)/$AF723)))</f>
        <v/>
      </c>
      <c r="F723" s="56">
        <f>IF($B723=0,"",IF(Inputs!$B$9="","",IF($AG723=0,F722,SUMIFS(Data!$N$10:$N$3209,Data!$M$10:$M$3209,"&gt;="&amp;$A723,Data!$M$10:$M$3209,"&lt;"&amp;$A723+1)/$AG723)))</f>
        <v/>
      </c>
      <c r="G723" s="56">
        <f>IF($B723=0,"",IF(Inputs!$B$10="","",IF($AH723=0,G722,SUMIFS(Data!$R$10:$R$3209,Data!$Q$10:$Q$3209,"&gt;="&amp;$A723,Data!$Q$10:$Q$3209,"&lt;"&amp;$A723+1)/$AH723)))</f>
        <v/>
      </c>
      <c r="I723" s="54">
        <f>IF($B723=0,NA(),IF($C723="",NA(),IF(C$8="",NA(),IF(N(C$8)=0,NA(),IF(Inputs!$C$17="Rebased to 100",$C723/C$8*100,$C723)))))</f>
        <v/>
      </c>
      <c r="J723" s="54">
        <f>IF($B723=0,NA(),IF($D723="",NA(),IF(D$8="",NA(),IF(N(D$8)=0,NA(),IF(Inputs!$C$17="Rebased to 100",$D723/D$8*100,$D723)))))</f>
        <v/>
      </c>
      <c r="K723" s="54">
        <f>IF($B723=0,NA(),IF($E723="",NA(),IF(E$8="",NA(),IF(N(E$8)=0,NA(),IF(Inputs!$C$17="Rebased to 100",$E723/E$8*100,$E723)))))</f>
        <v/>
      </c>
      <c r="L723" s="54">
        <f>IF($B723=0,NA(),IF($F723="",NA(),IF(F$8="",NA(),IF(N(F$8)=0,NA(),IF(Inputs!$C$17="Rebased to 100",$F723/F$8*100,$F723)))))</f>
        <v/>
      </c>
      <c r="M723" s="54">
        <f>IF($B723=0,NA(),IF($G723="",NA(),IF(G$8="",NA(),IF(N(G$8)=0,NA(),IF(Inputs!$C$17="Rebased to 100",$G723/G$8*100,$G723)))))</f>
        <v/>
      </c>
      <c r="N723" s="54">
        <f>IF($B723=0,NA(),IF(Inputs!$C$18&lt;&gt;"Yes",NA(),IF(COUNT(I723,J723,K723,L723,M723)=0,NA(),MIN(I723,J723,K723,L723,M723))))</f>
        <v/>
      </c>
      <c r="O723" s="54">
        <f>IF($B723=0,NA(),IF(Inputs!$B$24&lt;&gt;"Yes",NA(),Inputs!$D$24*Inputs!$C$35))</f>
        <v/>
      </c>
      <c r="P723" s="54">
        <f>IF($B723=0,NA(),IF(Inputs!$B$25&lt;&gt;"Yes",NA(),Inputs!$D$25*Inputs!$C$35))</f>
        <v/>
      </c>
      <c r="Q723" s="54">
        <f>IF($B723=0,NA(),IF(Inputs!$B$26&lt;&gt;"Yes",NA(),Inputs!$D$26*Inputs!$C$35))</f>
        <v/>
      </c>
      <c r="R723" s="54">
        <f>IF($B723=0,NA(),IF(Inputs!$B$27&lt;&gt;"Yes",NA(),Inputs!$D$27*Inputs!$C$35))</f>
        <v/>
      </c>
      <c r="S723" s="54">
        <f>IF($B723=0,NA(),IF(Inputs!$B$28&lt;&gt;"Yes",NA(),Inputs!$D$28*Inputs!$C$35))</f>
        <v/>
      </c>
      <c r="T723" s="54">
        <f>IF($B723=0,NA(),IF(Inputs!$B$29&lt;&gt;"Yes",NA(),Inputs!$D$29*Inputs!$C$35))</f>
        <v/>
      </c>
      <c r="AD723">
        <f>IF($B723=0,0,IF(Inputs!$B$6="",0,COUNTIFS(Data!$A$10:$A$3209,"&gt;="&amp;$A723,Data!$A$10:$A$3209,"&lt;"&amp;$A723+1)))</f>
        <v/>
      </c>
      <c r="AE723">
        <f>IF($B723=0,0,IF(Inputs!$B$7="",0,COUNTIFS(Data!$E$10:$E$3209,"&gt;="&amp;$A723,Data!$E$10:$E$3209,"&lt;"&amp;$A723+1)))</f>
        <v/>
      </c>
      <c r="AF723">
        <f>IF($B723=0,0,IF(Inputs!$B$8="",0,COUNTIFS(Data!$I$10:$I$3209,"&gt;="&amp;$A723,Data!$I$10:$I$3209,"&lt;"&amp;$A723+1)))</f>
        <v/>
      </c>
      <c r="AG723">
        <f>IF($B723=0,0,IF(Inputs!$B$9="",0,COUNTIFS(Data!$M$10:$M$3209,"&gt;="&amp;$A723,Data!$M$10:$M$3209,"&lt;"&amp;$A723+1)))</f>
        <v/>
      </c>
      <c r="AH723">
        <f>IF($B723=0,0,IF(Inputs!$B$10="",0,COUNTIFS(Data!$Q$10:$Q$3209,"&gt;="&amp;$A723,Data!$Q$10:$Q$3209,"&lt;"&amp;$A723+1)))</f>
        <v/>
      </c>
    </row>
    <row r="724">
      <c r="A724" s="55">
        <f>MIN(Inputs!$C$15,$A723+IF(WEEKDAY($A723,2)=5,3,1))</f>
        <v/>
      </c>
      <c r="B724">
        <f>IF($A724&gt;$A723,1,0)</f>
        <v/>
      </c>
      <c r="C724" s="56">
        <f>IF($B724=0,"",IF(Inputs!$B$6="","",IF($AD724=0,C723,SUMIFS(Data!$B$10:$B$3209,Data!$A$10:$A$3209,"&gt;="&amp;$A724,Data!$A$10:$A$3209,"&lt;"&amp;$A724+1)/$AD724)))</f>
        <v/>
      </c>
      <c r="D724" s="56">
        <f>IF($B724=0,"",IF(Inputs!$B$7="","",IF($AE724=0,D723,SUMIFS(Data!$F$10:$F$3209,Data!$E$10:$E$3209,"&gt;="&amp;$A724,Data!$E$10:$E$3209,"&lt;"&amp;$A724+1)/$AE724)))</f>
        <v/>
      </c>
      <c r="E724" s="56">
        <f>IF($B724=0,"",IF(Inputs!$B$8="","",IF($AF724=0,E723,SUMIFS(Data!$J$10:$J$3209,Data!$I$10:$I$3209,"&gt;="&amp;$A724,Data!$I$10:$I$3209,"&lt;"&amp;$A724+1)/$AF724)))</f>
        <v/>
      </c>
      <c r="F724" s="56">
        <f>IF($B724=0,"",IF(Inputs!$B$9="","",IF($AG724=0,F723,SUMIFS(Data!$N$10:$N$3209,Data!$M$10:$M$3209,"&gt;="&amp;$A724,Data!$M$10:$M$3209,"&lt;"&amp;$A724+1)/$AG724)))</f>
        <v/>
      </c>
      <c r="G724" s="56">
        <f>IF($B724=0,"",IF(Inputs!$B$10="","",IF($AH724=0,G723,SUMIFS(Data!$R$10:$R$3209,Data!$Q$10:$Q$3209,"&gt;="&amp;$A724,Data!$Q$10:$Q$3209,"&lt;"&amp;$A724+1)/$AH724)))</f>
        <v/>
      </c>
      <c r="I724" s="54">
        <f>IF($B724=0,NA(),IF($C724="",NA(),IF(C$8="",NA(),IF(N(C$8)=0,NA(),IF(Inputs!$C$17="Rebased to 100",$C724/C$8*100,$C724)))))</f>
        <v/>
      </c>
      <c r="J724" s="54">
        <f>IF($B724=0,NA(),IF($D724="",NA(),IF(D$8="",NA(),IF(N(D$8)=0,NA(),IF(Inputs!$C$17="Rebased to 100",$D724/D$8*100,$D724)))))</f>
        <v/>
      </c>
      <c r="K724" s="54">
        <f>IF($B724=0,NA(),IF($E724="",NA(),IF(E$8="",NA(),IF(N(E$8)=0,NA(),IF(Inputs!$C$17="Rebased to 100",$E724/E$8*100,$E724)))))</f>
        <v/>
      </c>
      <c r="L724" s="54">
        <f>IF($B724=0,NA(),IF($F724="",NA(),IF(F$8="",NA(),IF(N(F$8)=0,NA(),IF(Inputs!$C$17="Rebased to 100",$F724/F$8*100,$F724)))))</f>
        <v/>
      </c>
      <c r="M724" s="54">
        <f>IF($B724=0,NA(),IF($G724="",NA(),IF(G$8="",NA(),IF(N(G$8)=0,NA(),IF(Inputs!$C$17="Rebased to 100",$G724/G$8*100,$G724)))))</f>
        <v/>
      </c>
      <c r="N724" s="54">
        <f>IF($B724=0,NA(),IF(Inputs!$C$18&lt;&gt;"Yes",NA(),IF(COUNT(I724,J724,K724,L724,M724)=0,NA(),MIN(I724,J724,K724,L724,M724))))</f>
        <v/>
      </c>
      <c r="O724" s="54">
        <f>IF($B724=0,NA(),IF(Inputs!$B$24&lt;&gt;"Yes",NA(),Inputs!$D$24*Inputs!$C$35))</f>
        <v/>
      </c>
      <c r="P724" s="54">
        <f>IF($B724=0,NA(),IF(Inputs!$B$25&lt;&gt;"Yes",NA(),Inputs!$D$25*Inputs!$C$35))</f>
        <v/>
      </c>
      <c r="Q724" s="54">
        <f>IF($B724=0,NA(),IF(Inputs!$B$26&lt;&gt;"Yes",NA(),Inputs!$D$26*Inputs!$C$35))</f>
        <v/>
      </c>
      <c r="R724" s="54">
        <f>IF($B724=0,NA(),IF(Inputs!$B$27&lt;&gt;"Yes",NA(),Inputs!$D$27*Inputs!$C$35))</f>
        <v/>
      </c>
      <c r="S724" s="54">
        <f>IF($B724=0,NA(),IF(Inputs!$B$28&lt;&gt;"Yes",NA(),Inputs!$D$28*Inputs!$C$35))</f>
        <v/>
      </c>
      <c r="T724" s="54">
        <f>IF($B724=0,NA(),IF(Inputs!$B$29&lt;&gt;"Yes",NA(),Inputs!$D$29*Inputs!$C$35))</f>
        <v/>
      </c>
      <c r="AD724">
        <f>IF($B724=0,0,IF(Inputs!$B$6="",0,COUNTIFS(Data!$A$10:$A$3209,"&gt;="&amp;$A724,Data!$A$10:$A$3209,"&lt;"&amp;$A724+1)))</f>
        <v/>
      </c>
      <c r="AE724">
        <f>IF($B724=0,0,IF(Inputs!$B$7="",0,COUNTIFS(Data!$E$10:$E$3209,"&gt;="&amp;$A724,Data!$E$10:$E$3209,"&lt;"&amp;$A724+1)))</f>
        <v/>
      </c>
      <c r="AF724">
        <f>IF($B724=0,0,IF(Inputs!$B$8="",0,COUNTIFS(Data!$I$10:$I$3209,"&gt;="&amp;$A724,Data!$I$10:$I$3209,"&lt;"&amp;$A724+1)))</f>
        <v/>
      </c>
      <c r="AG724">
        <f>IF($B724=0,0,IF(Inputs!$B$9="",0,COUNTIFS(Data!$M$10:$M$3209,"&gt;="&amp;$A724,Data!$M$10:$M$3209,"&lt;"&amp;$A724+1)))</f>
        <v/>
      </c>
      <c r="AH724">
        <f>IF($B724=0,0,IF(Inputs!$B$10="",0,COUNTIFS(Data!$Q$10:$Q$3209,"&gt;="&amp;$A724,Data!$Q$10:$Q$3209,"&lt;"&amp;$A724+1)))</f>
        <v/>
      </c>
    </row>
    <row r="725">
      <c r="A725" s="55">
        <f>MIN(Inputs!$C$15,$A724+IF(WEEKDAY($A724,2)=5,3,1))</f>
        <v/>
      </c>
      <c r="B725">
        <f>IF($A725&gt;$A724,1,0)</f>
        <v/>
      </c>
      <c r="C725" s="56">
        <f>IF($B725=0,"",IF(Inputs!$B$6="","",IF($AD725=0,C724,SUMIFS(Data!$B$10:$B$3209,Data!$A$10:$A$3209,"&gt;="&amp;$A725,Data!$A$10:$A$3209,"&lt;"&amp;$A725+1)/$AD725)))</f>
        <v/>
      </c>
      <c r="D725" s="56">
        <f>IF($B725=0,"",IF(Inputs!$B$7="","",IF($AE725=0,D724,SUMIFS(Data!$F$10:$F$3209,Data!$E$10:$E$3209,"&gt;="&amp;$A725,Data!$E$10:$E$3209,"&lt;"&amp;$A725+1)/$AE725)))</f>
        <v/>
      </c>
      <c r="E725" s="56">
        <f>IF($B725=0,"",IF(Inputs!$B$8="","",IF($AF725=0,E724,SUMIFS(Data!$J$10:$J$3209,Data!$I$10:$I$3209,"&gt;="&amp;$A725,Data!$I$10:$I$3209,"&lt;"&amp;$A725+1)/$AF725)))</f>
        <v/>
      </c>
      <c r="F725" s="56">
        <f>IF($B725=0,"",IF(Inputs!$B$9="","",IF($AG725=0,F724,SUMIFS(Data!$N$10:$N$3209,Data!$M$10:$M$3209,"&gt;="&amp;$A725,Data!$M$10:$M$3209,"&lt;"&amp;$A725+1)/$AG725)))</f>
        <v/>
      </c>
      <c r="G725" s="56">
        <f>IF($B725=0,"",IF(Inputs!$B$10="","",IF($AH725=0,G724,SUMIFS(Data!$R$10:$R$3209,Data!$Q$10:$Q$3209,"&gt;="&amp;$A725,Data!$Q$10:$Q$3209,"&lt;"&amp;$A725+1)/$AH725)))</f>
        <v/>
      </c>
      <c r="I725" s="54">
        <f>IF($B725=0,NA(),IF($C725="",NA(),IF(C$8="",NA(),IF(N(C$8)=0,NA(),IF(Inputs!$C$17="Rebased to 100",$C725/C$8*100,$C725)))))</f>
        <v/>
      </c>
      <c r="J725" s="54">
        <f>IF($B725=0,NA(),IF($D725="",NA(),IF(D$8="",NA(),IF(N(D$8)=0,NA(),IF(Inputs!$C$17="Rebased to 100",$D725/D$8*100,$D725)))))</f>
        <v/>
      </c>
      <c r="K725" s="54">
        <f>IF($B725=0,NA(),IF($E725="",NA(),IF(E$8="",NA(),IF(N(E$8)=0,NA(),IF(Inputs!$C$17="Rebased to 100",$E725/E$8*100,$E725)))))</f>
        <v/>
      </c>
      <c r="L725" s="54">
        <f>IF($B725=0,NA(),IF($F725="",NA(),IF(F$8="",NA(),IF(N(F$8)=0,NA(),IF(Inputs!$C$17="Rebased to 100",$F725/F$8*100,$F725)))))</f>
        <v/>
      </c>
      <c r="M725" s="54">
        <f>IF($B725=0,NA(),IF($G725="",NA(),IF(G$8="",NA(),IF(N(G$8)=0,NA(),IF(Inputs!$C$17="Rebased to 100",$G725/G$8*100,$G725)))))</f>
        <v/>
      </c>
      <c r="N725" s="54">
        <f>IF($B725=0,NA(),IF(Inputs!$C$18&lt;&gt;"Yes",NA(),IF(COUNT(I725,J725,K725,L725,M725)=0,NA(),MIN(I725,J725,K725,L725,M725))))</f>
        <v/>
      </c>
      <c r="O725" s="54">
        <f>IF($B725=0,NA(),IF(Inputs!$B$24&lt;&gt;"Yes",NA(),Inputs!$D$24*Inputs!$C$35))</f>
        <v/>
      </c>
      <c r="P725" s="54">
        <f>IF($B725=0,NA(),IF(Inputs!$B$25&lt;&gt;"Yes",NA(),Inputs!$D$25*Inputs!$C$35))</f>
        <v/>
      </c>
      <c r="Q725" s="54">
        <f>IF($B725=0,NA(),IF(Inputs!$B$26&lt;&gt;"Yes",NA(),Inputs!$D$26*Inputs!$C$35))</f>
        <v/>
      </c>
      <c r="R725" s="54">
        <f>IF($B725=0,NA(),IF(Inputs!$B$27&lt;&gt;"Yes",NA(),Inputs!$D$27*Inputs!$C$35))</f>
        <v/>
      </c>
      <c r="S725" s="54">
        <f>IF($B725=0,NA(),IF(Inputs!$B$28&lt;&gt;"Yes",NA(),Inputs!$D$28*Inputs!$C$35))</f>
        <v/>
      </c>
      <c r="T725" s="54">
        <f>IF($B725=0,NA(),IF(Inputs!$B$29&lt;&gt;"Yes",NA(),Inputs!$D$29*Inputs!$C$35))</f>
        <v/>
      </c>
      <c r="AD725">
        <f>IF($B725=0,0,IF(Inputs!$B$6="",0,COUNTIFS(Data!$A$10:$A$3209,"&gt;="&amp;$A725,Data!$A$10:$A$3209,"&lt;"&amp;$A725+1)))</f>
        <v/>
      </c>
      <c r="AE725">
        <f>IF($B725=0,0,IF(Inputs!$B$7="",0,COUNTIFS(Data!$E$10:$E$3209,"&gt;="&amp;$A725,Data!$E$10:$E$3209,"&lt;"&amp;$A725+1)))</f>
        <v/>
      </c>
      <c r="AF725">
        <f>IF($B725=0,0,IF(Inputs!$B$8="",0,COUNTIFS(Data!$I$10:$I$3209,"&gt;="&amp;$A725,Data!$I$10:$I$3209,"&lt;"&amp;$A725+1)))</f>
        <v/>
      </c>
      <c r="AG725">
        <f>IF($B725=0,0,IF(Inputs!$B$9="",0,COUNTIFS(Data!$M$10:$M$3209,"&gt;="&amp;$A725,Data!$M$10:$M$3209,"&lt;"&amp;$A725+1)))</f>
        <v/>
      </c>
      <c r="AH725">
        <f>IF($B725=0,0,IF(Inputs!$B$10="",0,COUNTIFS(Data!$Q$10:$Q$3209,"&gt;="&amp;$A725,Data!$Q$10:$Q$3209,"&lt;"&amp;$A725+1)))</f>
        <v/>
      </c>
    </row>
    <row r="726">
      <c r="A726" s="55">
        <f>MIN(Inputs!$C$15,$A725+IF(WEEKDAY($A725,2)=5,3,1))</f>
        <v/>
      </c>
      <c r="B726">
        <f>IF($A726&gt;$A725,1,0)</f>
        <v/>
      </c>
      <c r="C726" s="56">
        <f>IF($B726=0,"",IF(Inputs!$B$6="","",IF($AD726=0,C725,SUMIFS(Data!$B$10:$B$3209,Data!$A$10:$A$3209,"&gt;="&amp;$A726,Data!$A$10:$A$3209,"&lt;"&amp;$A726+1)/$AD726)))</f>
        <v/>
      </c>
      <c r="D726" s="56">
        <f>IF($B726=0,"",IF(Inputs!$B$7="","",IF($AE726=0,D725,SUMIFS(Data!$F$10:$F$3209,Data!$E$10:$E$3209,"&gt;="&amp;$A726,Data!$E$10:$E$3209,"&lt;"&amp;$A726+1)/$AE726)))</f>
        <v/>
      </c>
      <c r="E726" s="56">
        <f>IF($B726=0,"",IF(Inputs!$B$8="","",IF($AF726=0,E725,SUMIFS(Data!$J$10:$J$3209,Data!$I$10:$I$3209,"&gt;="&amp;$A726,Data!$I$10:$I$3209,"&lt;"&amp;$A726+1)/$AF726)))</f>
        <v/>
      </c>
      <c r="F726" s="56">
        <f>IF($B726=0,"",IF(Inputs!$B$9="","",IF($AG726=0,F725,SUMIFS(Data!$N$10:$N$3209,Data!$M$10:$M$3209,"&gt;="&amp;$A726,Data!$M$10:$M$3209,"&lt;"&amp;$A726+1)/$AG726)))</f>
        <v/>
      </c>
      <c r="G726" s="56">
        <f>IF($B726=0,"",IF(Inputs!$B$10="","",IF($AH726=0,G725,SUMIFS(Data!$R$10:$R$3209,Data!$Q$10:$Q$3209,"&gt;="&amp;$A726,Data!$Q$10:$Q$3209,"&lt;"&amp;$A726+1)/$AH726)))</f>
        <v/>
      </c>
      <c r="I726" s="54">
        <f>IF($B726=0,NA(),IF($C726="",NA(),IF(C$8="",NA(),IF(N(C$8)=0,NA(),IF(Inputs!$C$17="Rebased to 100",$C726/C$8*100,$C726)))))</f>
        <v/>
      </c>
      <c r="J726" s="54">
        <f>IF($B726=0,NA(),IF($D726="",NA(),IF(D$8="",NA(),IF(N(D$8)=0,NA(),IF(Inputs!$C$17="Rebased to 100",$D726/D$8*100,$D726)))))</f>
        <v/>
      </c>
      <c r="K726" s="54">
        <f>IF($B726=0,NA(),IF($E726="",NA(),IF(E$8="",NA(),IF(N(E$8)=0,NA(),IF(Inputs!$C$17="Rebased to 100",$E726/E$8*100,$E726)))))</f>
        <v/>
      </c>
      <c r="L726" s="54">
        <f>IF($B726=0,NA(),IF($F726="",NA(),IF(F$8="",NA(),IF(N(F$8)=0,NA(),IF(Inputs!$C$17="Rebased to 100",$F726/F$8*100,$F726)))))</f>
        <v/>
      </c>
      <c r="M726" s="54">
        <f>IF($B726=0,NA(),IF($G726="",NA(),IF(G$8="",NA(),IF(N(G$8)=0,NA(),IF(Inputs!$C$17="Rebased to 100",$G726/G$8*100,$G726)))))</f>
        <v/>
      </c>
      <c r="N726" s="54">
        <f>IF($B726=0,NA(),IF(Inputs!$C$18&lt;&gt;"Yes",NA(),IF(COUNT(I726,J726,K726,L726,M726)=0,NA(),MIN(I726,J726,K726,L726,M726))))</f>
        <v/>
      </c>
      <c r="O726" s="54">
        <f>IF($B726=0,NA(),IF(Inputs!$B$24&lt;&gt;"Yes",NA(),Inputs!$D$24*Inputs!$C$35))</f>
        <v/>
      </c>
      <c r="P726" s="54">
        <f>IF($B726=0,NA(),IF(Inputs!$B$25&lt;&gt;"Yes",NA(),Inputs!$D$25*Inputs!$C$35))</f>
        <v/>
      </c>
      <c r="Q726" s="54">
        <f>IF($B726=0,NA(),IF(Inputs!$B$26&lt;&gt;"Yes",NA(),Inputs!$D$26*Inputs!$C$35))</f>
        <v/>
      </c>
      <c r="R726" s="54">
        <f>IF($B726=0,NA(),IF(Inputs!$B$27&lt;&gt;"Yes",NA(),Inputs!$D$27*Inputs!$C$35))</f>
        <v/>
      </c>
      <c r="S726" s="54">
        <f>IF($B726=0,NA(),IF(Inputs!$B$28&lt;&gt;"Yes",NA(),Inputs!$D$28*Inputs!$C$35))</f>
        <v/>
      </c>
      <c r="T726" s="54">
        <f>IF($B726=0,NA(),IF(Inputs!$B$29&lt;&gt;"Yes",NA(),Inputs!$D$29*Inputs!$C$35))</f>
        <v/>
      </c>
      <c r="AD726">
        <f>IF($B726=0,0,IF(Inputs!$B$6="",0,COUNTIFS(Data!$A$10:$A$3209,"&gt;="&amp;$A726,Data!$A$10:$A$3209,"&lt;"&amp;$A726+1)))</f>
        <v/>
      </c>
      <c r="AE726">
        <f>IF($B726=0,0,IF(Inputs!$B$7="",0,COUNTIFS(Data!$E$10:$E$3209,"&gt;="&amp;$A726,Data!$E$10:$E$3209,"&lt;"&amp;$A726+1)))</f>
        <v/>
      </c>
      <c r="AF726">
        <f>IF($B726=0,0,IF(Inputs!$B$8="",0,COUNTIFS(Data!$I$10:$I$3209,"&gt;="&amp;$A726,Data!$I$10:$I$3209,"&lt;"&amp;$A726+1)))</f>
        <v/>
      </c>
      <c r="AG726">
        <f>IF($B726=0,0,IF(Inputs!$B$9="",0,COUNTIFS(Data!$M$10:$M$3209,"&gt;="&amp;$A726,Data!$M$10:$M$3209,"&lt;"&amp;$A726+1)))</f>
        <v/>
      </c>
      <c r="AH726">
        <f>IF($B726=0,0,IF(Inputs!$B$10="",0,COUNTIFS(Data!$Q$10:$Q$3209,"&gt;="&amp;$A726,Data!$Q$10:$Q$3209,"&lt;"&amp;$A726+1)))</f>
        <v/>
      </c>
    </row>
    <row r="727">
      <c r="A727" s="55">
        <f>MIN(Inputs!$C$15,$A726+IF(WEEKDAY($A726,2)=5,3,1))</f>
        <v/>
      </c>
      <c r="B727">
        <f>IF($A727&gt;$A726,1,0)</f>
        <v/>
      </c>
      <c r="C727" s="56">
        <f>IF($B727=0,"",IF(Inputs!$B$6="","",IF($AD727=0,C726,SUMIFS(Data!$B$10:$B$3209,Data!$A$10:$A$3209,"&gt;="&amp;$A727,Data!$A$10:$A$3209,"&lt;"&amp;$A727+1)/$AD727)))</f>
        <v/>
      </c>
      <c r="D727" s="56">
        <f>IF($B727=0,"",IF(Inputs!$B$7="","",IF($AE727=0,D726,SUMIFS(Data!$F$10:$F$3209,Data!$E$10:$E$3209,"&gt;="&amp;$A727,Data!$E$10:$E$3209,"&lt;"&amp;$A727+1)/$AE727)))</f>
        <v/>
      </c>
      <c r="E727" s="56">
        <f>IF($B727=0,"",IF(Inputs!$B$8="","",IF($AF727=0,E726,SUMIFS(Data!$J$10:$J$3209,Data!$I$10:$I$3209,"&gt;="&amp;$A727,Data!$I$10:$I$3209,"&lt;"&amp;$A727+1)/$AF727)))</f>
        <v/>
      </c>
      <c r="F727" s="56">
        <f>IF($B727=0,"",IF(Inputs!$B$9="","",IF($AG727=0,F726,SUMIFS(Data!$N$10:$N$3209,Data!$M$10:$M$3209,"&gt;="&amp;$A727,Data!$M$10:$M$3209,"&lt;"&amp;$A727+1)/$AG727)))</f>
        <v/>
      </c>
      <c r="G727" s="56">
        <f>IF($B727=0,"",IF(Inputs!$B$10="","",IF($AH727=0,G726,SUMIFS(Data!$R$10:$R$3209,Data!$Q$10:$Q$3209,"&gt;="&amp;$A727,Data!$Q$10:$Q$3209,"&lt;"&amp;$A727+1)/$AH727)))</f>
        <v/>
      </c>
      <c r="I727" s="54">
        <f>IF($B727=0,NA(),IF($C727="",NA(),IF(C$8="",NA(),IF(N(C$8)=0,NA(),IF(Inputs!$C$17="Rebased to 100",$C727/C$8*100,$C727)))))</f>
        <v/>
      </c>
      <c r="J727" s="54">
        <f>IF($B727=0,NA(),IF($D727="",NA(),IF(D$8="",NA(),IF(N(D$8)=0,NA(),IF(Inputs!$C$17="Rebased to 100",$D727/D$8*100,$D727)))))</f>
        <v/>
      </c>
      <c r="K727" s="54">
        <f>IF($B727=0,NA(),IF($E727="",NA(),IF(E$8="",NA(),IF(N(E$8)=0,NA(),IF(Inputs!$C$17="Rebased to 100",$E727/E$8*100,$E727)))))</f>
        <v/>
      </c>
      <c r="L727" s="54">
        <f>IF($B727=0,NA(),IF($F727="",NA(),IF(F$8="",NA(),IF(N(F$8)=0,NA(),IF(Inputs!$C$17="Rebased to 100",$F727/F$8*100,$F727)))))</f>
        <v/>
      </c>
      <c r="M727" s="54">
        <f>IF($B727=0,NA(),IF($G727="",NA(),IF(G$8="",NA(),IF(N(G$8)=0,NA(),IF(Inputs!$C$17="Rebased to 100",$G727/G$8*100,$G727)))))</f>
        <v/>
      </c>
      <c r="N727" s="54">
        <f>IF($B727=0,NA(),IF(Inputs!$C$18&lt;&gt;"Yes",NA(),IF(COUNT(I727,J727,K727,L727,M727)=0,NA(),MIN(I727,J727,K727,L727,M727))))</f>
        <v/>
      </c>
      <c r="O727" s="54">
        <f>IF($B727=0,NA(),IF(Inputs!$B$24&lt;&gt;"Yes",NA(),Inputs!$D$24*Inputs!$C$35))</f>
        <v/>
      </c>
      <c r="P727" s="54">
        <f>IF($B727=0,NA(),IF(Inputs!$B$25&lt;&gt;"Yes",NA(),Inputs!$D$25*Inputs!$C$35))</f>
        <v/>
      </c>
      <c r="Q727" s="54">
        <f>IF($B727=0,NA(),IF(Inputs!$B$26&lt;&gt;"Yes",NA(),Inputs!$D$26*Inputs!$C$35))</f>
        <v/>
      </c>
      <c r="R727" s="54">
        <f>IF($B727=0,NA(),IF(Inputs!$B$27&lt;&gt;"Yes",NA(),Inputs!$D$27*Inputs!$C$35))</f>
        <v/>
      </c>
      <c r="S727" s="54">
        <f>IF($B727=0,NA(),IF(Inputs!$B$28&lt;&gt;"Yes",NA(),Inputs!$D$28*Inputs!$C$35))</f>
        <v/>
      </c>
      <c r="T727" s="54">
        <f>IF($B727=0,NA(),IF(Inputs!$B$29&lt;&gt;"Yes",NA(),Inputs!$D$29*Inputs!$C$35))</f>
        <v/>
      </c>
      <c r="AD727">
        <f>IF($B727=0,0,IF(Inputs!$B$6="",0,COUNTIFS(Data!$A$10:$A$3209,"&gt;="&amp;$A727,Data!$A$10:$A$3209,"&lt;"&amp;$A727+1)))</f>
        <v/>
      </c>
      <c r="AE727">
        <f>IF($B727=0,0,IF(Inputs!$B$7="",0,COUNTIFS(Data!$E$10:$E$3209,"&gt;="&amp;$A727,Data!$E$10:$E$3209,"&lt;"&amp;$A727+1)))</f>
        <v/>
      </c>
      <c r="AF727">
        <f>IF($B727=0,0,IF(Inputs!$B$8="",0,COUNTIFS(Data!$I$10:$I$3209,"&gt;="&amp;$A727,Data!$I$10:$I$3209,"&lt;"&amp;$A727+1)))</f>
        <v/>
      </c>
      <c r="AG727">
        <f>IF($B727=0,0,IF(Inputs!$B$9="",0,COUNTIFS(Data!$M$10:$M$3209,"&gt;="&amp;$A727,Data!$M$10:$M$3209,"&lt;"&amp;$A727+1)))</f>
        <v/>
      </c>
      <c r="AH727">
        <f>IF($B727=0,0,IF(Inputs!$B$10="",0,COUNTIFS(Data!$Q$10:$Q$3209,"&gt;="&amp;$A727,Data!$Q$10:$Q$3209,"&lt;"&amp;$A727+1)))</f>
        <v/>
      </c>
    </row>
    <row r="728">
      <c r="A728" s="55">
        <f>MIN(Inputs!$C$15,$A727+IF(WEEKDAY($A727,2)=5,3,1))</f>
        <v/>
      </c>
      <c r="B728">
        <f>IF($A728&gt;$A727,1,0)</f>
        <v/>
      </c>
      <c r="C728" s="56">
        <f>IF($B728=0,"",IF(Inputs!$B$6="","",IF($AD728=0,C727,SUMIFS(Data!$B$10:$B$3209,Data!$A$10:$A$3209,"&gt;="&amp;$A728,Data!$A$10:$A$3209,"&lt;"&amp;$A728+1)/$AD728)))</f>
        <v/>
      </c>
      <c r="D728" s="56">
        <f>IF($B728=0,"",IF(Inputs!$B$7="","",IF($AE728=0,D727,SUMIFS(Data!$F$10:$F$3209,Data!$E$10:$E$3209,"&gt;="&amp;$A728,Data!$E$10:$E$3209,"&lt;"&amp;$A728+1)/$AE728)))</f>
        <v/>
      </c>
      <c r="E728" s="56">
        <f>IF($B728=0,"",IF(Inputs!$B$8="","",IF($AF728=0,E727,SUMIFS(Data!$J$10:$J$3209,Data!$I$10:$I$3209,"&gt;="&amp;$A728,Data!$I$10:$I$3209,"&lt;"&amp;$A728+1)/$AF728)))</f>
        <v/>
      </c>
      <c r="F728" s="56">
        <f>IF($B728=0,"",IF(Inputs!$B$9="","",IF($AG728=0,F727,SUMIFS(Data!$N$10:$N$3209,Data!$M$10:$M$3209,"&gt;="&amp;$A728,Data!$M$10:$M$3209,"&lt;"&amp;$A728+1)/$AG728)))</f>
        <v/>
      </c>
      <c r="G728" s="56">
        <f>IF($B728=0,"",IF(Inputs!$B$10="","",IF($AH728=0,G727,SUMIFS(Data!$R$10:$R$3209,Data!$Q$10:$Q$3209,"&gt;="&amp;$A728,Data!$Q$10:$Q$3209,"&lt;"&amp;$A728+1)/$AH728)))</f>
        <v/>
      </c>
      <c r="I728" s="54">
        <f>IF($B728=0,NA(),IF($C728="",NA(),IF(C$8="",NA(),IF(N(C$8)=0,NA(),IF(Inputs!$C$17="Rebased to 100",$C728/C$8*100,$C728)))))</f>
        <v/>
      </c>
      <c r="J728" s="54">
        <f>IF($B728=0,NA(),IF($D728="",NA(),IF(D$8="",NA(),IF(N(D$8)=0,NA(),IF(Inputs!$C$17="Rebased to 100",$D728/D$8*100,$D728)))))</f>
        <v/>
      </c>
      <c r="K728" s="54">
        <f>IF($B728=0,NA(),IF($E728="",NA(),IF(E$8="",NA(),IF(N(E$8)=0,NA(),IF(Inputs!$C$17="Rebased to 100",$E728/E$8*100,$E728)))))</f>
        <v/>
      </c>
      <c r="L728" s="54">
        <f>IF($B728=0,NA(),IF($F728="",NA(),IF(F$8="",NA(),IF(N(F$8)=0,NA(),IF(Inputs!$C$17="Rebased to 100",$F728/F$8*100,$F728)))))</f>
        <v/>
      </c>
      <c r="M728" s="54">
        <f>IF($B728=0,NA(),IF($G728="",NA(),IF(G$8="",NA(),IF(N(G$8)=0,NA(),IF(Inputs!$C$17="Rebased to 100",$G728/G$8*100,$G728)))))</f>
        <v/>
      </c>
      <c r="N728" s="54">
        <f>IF($B728=0,NA(),IF(Inputs!$C$18&lt;&gt;"Yes",NA(),IF(COUNT(I728,J728,K728,L728,M728)=0,NA(),MIN(I728,J728,K728,L728,M728))))</f>
        <v/>
      </c>
      <c r="O728" s="54">
        <f>IF($B728=0,NA(),IF(Inputs!$B$24&lt;&gt;"Yes",NA(),Inputs!$D$24*Inputs!$C$35))</f>
        <v/>
      </c>
      <c r="P728" s="54">
        <f>IF($B728=0,NA(),IF(Inputs!$B$25&lt;&gt;"Yes",NA(),Inputs!$D$25*Inputs!$C$35))</f>
        <v/>
      </c>
      <c r="Q728" s="54">
        <f>IF($B728=0,NA(),IF(Inputs!$B$26&lt;&gt;"Yes",NA(),Inputs!$D$26*Inputs!$C$35))</f>
        <v/>
      </c>
      <c r="R728" s="54">
        <f>IF($B728=0,NA(),IF(Inputs!$B$27&lt;&gt;"Yes",NA(),Inputs!$D$27*Inputs!$C$35))</f>
        <v/>
      </c>
      <c r="S728" s="54">
        <f>IF($B728=0,NA(),IF(Inputs!$B$28&lt;&gt;"Yes",NA(),Inputs!$D$28*Inputs!$C$35))</f>
        <v/>
      </c>
      <c r="T728" s="54">
        <f>IF($B728=0,NA(),IF(Inputs!$B$29&lt;&gt;"Yes",NA(),Inputs!$D$29*Inputs!$C$35))</f>
        <v/>
      </c>
      <c r="AD728">
        <f>IF($B728=0,0,IF(Inputs!$B$6="",0,COUNTIFS(Data!$A$10:$A$3209,"&gt;="&amp;$A728,Data!$A$10:$A$3209,"&lt;"&amp;$A728+1)))</f>
        <v/>
      </c>
      <c r="AE728">
        <f>IF($B728=0,0,IF(Inputs!$B$7="",0,COUNTIFS(Data!$E$10:$E$3209,"&gt;="&amp;$A728,Data!$E$10:$E$3209,"&lt;"&amp;$A728+1)))</f>
        <v/>
      </c>
      <c r="AF728">
        <f>IF($B728=0,0,IF(Inputs!$B$8="",0,COUNTIFS(Data!$I$10:$I$3209,"&gt;="&amp;$A728,Data!$I$10:$I$3209,"&lt;"&amp;$A728+1)))</f>
        <v/>
      </c>
      <c r="AG728">
        <f>IF($B728=0,0,IF(Inputs!$B$9="",0,COUNTIFS(Data!$M$10:$M$3209,"&gt;="&amp;$A728,Data!$M$10:$M$3209,"&lt;"&amp;$A728+1)))</f>
        <v/>
      </c>
      <c r="AH728">
        <f>IF($B728=0,0,IF(Inputs!$B$10="",0,COUNTIFS(Data!$Q$10:$Q$3209,"&gt;="&amp;$A728,Data!$Q$10:$Q$3209,"&lt;"&amp;$A728+1)))</f>
        <v/>
      </c>
    </row>
    <row r="729">
      <c r="A729" s="55">
        <f>MIN(Inputs!$C$15,$A728+IF(WEEKDAY($A728,2)=5,3,1))</f>
        <v/>
      </c>
      <c r="B729">
        <f>IF($A729&gt;$A728,1,0)</f>
        <v/>
      </c>
      <c r="C729" s="56">
        <f>IF($B729=0,"",IF(Inputs!$B$6="","",IF($AD729=0,C728,SUMIFS(Data!$B$10:$B$3209,Data!$A$10:$A$3209,"&gt;="&amp;$A729,Data!$A$10:$A$3209,"&lt;"&amp;$A729+1)/$AD729)))</f>
        <v/>
      </c>
      <c r="D729" s="56">
        <f>IF($B729=0,"",IF(Inputs!$B$7="","",IF($AE729=0,D728,SUMIFS(Data!$F$10:$F$3209,Data!$E$10:$E$3209,"&gt;="&amp;$A729,Data!$E$10:$E$3209,"&lt;"&amp;$A729+1)/$AE729)))</f>
        <v/>
      </c>
      <c r="E729" s="56">
        <f>IF($B729=0,"",IF(Inputs!$B$8="","",IF($AF729=0,E728,SUMIFS(Data!$J$10:$J$3209,Data!$I$10:$I$3209,"&gt;="&amp;$A729,Data!$I$10:$I$3209,"&lt;"&amp;$A729+1)/$AF729)))</f>
        <v/>
      </c>
      <c r="F729" s="56">
        <f>IF($B729=0,"",IF(Inputs!$B$9="","",IF($AG729=0,F728,SUMIFS(Data!$N$10:$N$3209,Data!$M$10:$M$3209,"&gt;="&amp;$A729,Data!$M$10:$M$3209,"&lt;"&amp;$A729+1)/$AG729)))</f>
        <v/>
      </c>
      <c r="G729" s="56">
        <f>IF($B729=0,"",IF(Inputs!$B$10="","",IF($AH729=0,G728,SUMIFS(Data!$R$10:$R$3209,Data!$Q$10:$Q$3209,"&gt;="&amp;$A729,Data!$Q$10:$Q$3209,"&lt;"&amp;$A729+1)/$AH729)))</f>
        <v/>
      </c>
      <c r="I729" s="54">
        <f>IF($B729=0,NA(),IF($C729="",NA(),IF(C$8="",NA(),IF(N(C$8)=0,NA(),IF(Inputs!$C$17="Rebased to 100",$C729/C$8*100,$C729)))))</f>
        <v/>
      </c>
      <c r="J729" s="54">
        <f>IF($B729=0,NA(),IF($D729="",NA(),IF(D$8="",NA(),IF(N(D$8)=0,NA(),IF(Inputs!$C$17="Rebased to 100",$D729/D$8*100,$D729)))))</f>
        <v/>
      </c>
      <c r="K729" s="54">
        <f>IF($B729=0,NA(),IF($E729="",NA(),IF(E$8="",NA(),IF(N(E$8)=0,NA(),IF(Inputs!$C$17="Rebased to 100",$E729/E$8*100,$E729)))))</f>
        <v/>
      </c>
      <c r="L729" s="54">
        <f>IF($B729=0,NA(),IF($F729="",NA(),IF(F$8="",NA(),IF(N(F$8)=0,NA(),IF(Inputs!$C$17="Rebased to 100",$F729/F$8*100,$F729)))))</f>
        <v/>
      </c>
      <c r="M729" s="54">
        <f>IF($B729=0,NA(),IF($G729="",NA(),IF(G$8="",NA(),IF(N(G$8)=0,NA(),IF(Inputs!$C$17="Rebased to 100",$G729/G$8*100,$G729)))))</f>
        <v/>
      </c>
      <c r="N729" s="54">
        <f>IF($B729=0,NA(),IF(Inputs!$C$18&lt;&gt;"Yes",NA(),IF(COUNT(I729,J729,K729,L729,M729)=0,NA(),MIN(I729,J729,K729,L729,M729))))</f>
        <v/>
      </c>
      <c r="O729" s="54">
        <f>IF($B729=0,NA(),IF(Inputs!$B$24&lt;&gt;"Yes",NA(),Inputs!$D$24*Inputs!$C$35))</f>
        <v/>
      </c>
      <c r="P729" s="54">
        <f>IF($B729=0,NA(),IF(Inputs!$B$25&lt;&gt;"Yes",NA(),Inputs!$D$25*Inputs!$C$35))</f>
        <v/>
      </c>
      <c r="Q729" s="54">
        <f>IF($B729=0,NA(),IF(Inputs!$B$26&lt;&gt;"Yes",NA(),Inputs!$D$26*Inputs!$C$35))</f>
        <v/>
      </c>
      <c r="R729" s="54">
        <f>IF($B729=0,NA(),IF(Inputs!$B$27&lt;&gt;"Yes",NA(),Inputs!$D$27*Inputs!$C$35))</f>
        <v/>
      </c>
      <c r="S729" s="54">
        <f>IF($B729=0,NA(),IF(Inputs!$B$28&lt;&gt;"Yes",NA(),Inputs!$D$28*Inputs!$C$35))</f>
        <v/>
      </c>
      <c r="T729" s="54">
        <f>IF($B729=0,NA(),IF(Inputs!$B$29&lt;&gt;"Yes",NA(),Inputs!$D$29*Inputs!$C$35))</f>
        <v/>
      </c>
      <c r="AD729">
        <f>IF($B729=0,0,IF(Inputs!$B$6="",0,COUNTIFS(Data!$A$10:$A$3209,"&gt;="&amp;$A729,Data!$A$10:$A$3209,"&lt;"&amp;$A729+1)))</f>
        <v/>
      </c>
      <c r="AE729">
        <f>IF($B729=0,0,IF(Inputs!$B$7="",0,COUNTIFS(Data!$E$10:$E$3209,"&gt;="&amp;$A729,Data!$E$10:$E$3209,"&lt;"&amp;$A729+1)))</f>
        <v/>
      </c>
      <c r="AF729">
        <f>IF($B729=0,0,IF(Inputs!$B$8="",0,COUNTIFS(Data!$I$10:$I$3209,"&gt;="&amp;$A729,Data!$I$10:$I$3209,"&lt;"&amp;$A729+1)))</f>
        <v/>
      </c>
      <c r="AG729">
        <f>IF($B729=0,0,IF(Inputs!$B$9="",0,COUNTIFS(Data!$M$10:$M$3209,"&gt;="&amp;$A729,Data!$M$10:$M$3209,"&lt;"&amp;$A729+1)))</f>
        <v/>
      </c>
      <c r="AH729">
        <f>IF($B729=0,0,IF(Inputs!$B$10="",0,COUNTIFS(Data!$Q$10:$Q$3209,"&gt;="&amp;$A729,Data!$Q$10:$Q$3209,"&lt;"&amp;$A729+1)))</f>
        <v/>
      </c>
    </row>
    <row r="730">
      <c r="A730" s="55">
        <f>MIN(Inputs!$C$15,$A729+IF(WEEKDAY($A729,2)=5,3,1))</f>
        <v/>
      </c>
      <c r="B730">
        <f>IF($A730&gt;$A729,1,0)</f>
        <v/>
      </c>
      <c r="C730" s="56">
        <f>IF($B730=0,"",IF(Inputs!$B$6="","",IF($AD730=0,C729,SUMIFS(Data!$B$10:$B$3209,Data!$A$10:$A$3209,"&gt;="&amp;$A730,Data!$A$10:$A$3209,"&lt;"&amp;$A730+1)/$AD730)))</f>
        <v/>
      </c>
      <c r="D730" s="56">
        <f>IF($B730=0,"",IF(Inputs!$B$7="","",IF($AE730=0,D729,SUMIFS(Data!$F$10:$F$3209,Data!$E$10:$E$3209,"&gt;="&amp;$A730,Data!$E$10:$E$3209,"&lt;"&amp;$A730+1)/$AE730)))</f>
        <v/>
      </c>
      <c r="E730" s="56">
        <f>IF($B730=0,"",IF(Inputs!$B$8="","",IF($AF730=0,E729,SUMIFS(Data!$J$10:$J$3209,Data!$I$10:$I$3209,"&gt;="&amp;$A730,Data!$I$10:$I$3209,"&lt;"&amp;$A730+1)/$AF730)))</f>
        <v/>
      </c>
      <c r="F730" s="56">
        <f>IF($B730=0,"",IF(Inputs!$B$9="","",IF($AG730=0,F729,SUMIFS(Data!$N$10:$N$3209,Data!$M$10:$M$3209,"&gt;="&amp;$A730,Data!$M$10:$M$3209,"&lt;"&amp;$A730+1)/$AG730)))</f>
        <v/>
      </c>
      <c r="G730" s="56">
        <f>IF($B730=0,"",IF(Inputs!$B$10="","",IF($AH730=0,G729,SUMIFS(Data!$R$10:$R$3209,Data!$Q$10:$Q$3209,"&gt;="&amp;$A730,Data!$Q$10:$Q$3209,"&lt;"&amp;$A730+1)/$AH730)))</f>
        <v/>
      </c>
      <c r="I730" s="54">
        <f>IF($B730=0,NA(),IF($C730="",NA(),IF(C$8="",NA(),IF(N(C$8)=0,NA(),IF(Inputs!$C$17="Rebased to 100",$C730/C$8*100,$C730)))))</f>
        <v/>
      </c>
      <c r="J730" s="54">
        <f>IF($B730=0,NA(),IF($D730="",NA(),IF(D$8="",NA(),IF(N(D$8)=0,NA(),IF(Inputs!$C$17="Rebased to 100",$D730/D$8*100,$D730)))))</f>
        <v/>
      </c>
      <c r="K730" s="54">
        <f>IF($B730=0,NA(),IF($E730="",NA(),IF(E$8="",NA(),IF(N(E$8)=0,NA(),IF(Inputs!$C$17="Rebased to 100",$E730/E$8*100,$E730)))))</f>
        <v/>
      </c>
      <c r="L730" s="54">
        <f>IF($B730=0,NA(),IF($F730="",NA(),IF(F$8="",NA(),IF(N(F$8)=0,NA(),IF(Inputs!$C$17="Rebased to 100",$F730/F$8*100,$F730)))))</f>
        <v/>
      </c>
      <c r="M730" s="54">
        <f>IF($B730=0,NA(),IF($G730="",NA(),IF(G$8="",NA(),IF(N(G$8)=0,NA(),IF(Inputs!$C$17="Rebased to 100",$G730/G$8*100,$G730)))))</f>
        <v/>
      </c>
      <c r="N730" s="54">
        <f>IF($B730=0,NA(),IF(Inputs!$C$18&lt;&gt;"Yes",NA(),IF(COUNT(I730,J730,K730,L730,M730)=0,NA(),MIN(I730,J730,K730,L730,M730))))</f>
        <v/>
      </c>
      <c r="O730" s="54">
        <f>IF($B730=0,NA(),IF(Inputs!$B$24&lt;&gt;"Yes",NA(),Inputs!$D$24*Inputs!$C$35))</f>
        <v/>
      </c>
      <c r="P730" s="54">
        <f>IF($B730=0,NA(),IF(Inputs!$B$25&lt;&gt;"Yes",NA(),Inputs!$D$25*Inputs!$C$35))</f>
        <v/>
      </c>
      <c r="Q730" s="54">
        <f>IF($B730=0,NA(),IF(Inputs!$B$26&lt;&gt;"Yes",NA(),Inputs!$D$26*Inputs!$C$35))</f>
        <v/>
      </c>
      <c r="R730" s="54">
        <f>IF($B730=0,NA(),IF(Inputs!$B$27&lt;&gt;"Yes",NA(),Inputs!$D$27*Inputs!$C$35))</f>
        <v/>
      </c>
      <c r="S730" s="54">
        <f>IF($B730=0,NA(),IF(Inputs!$B$28&lt;&gt;"Yes",NA(),Inputs!$D$28*Inputs!$C$35))</f>
        <v/>
      </c>
      <c r="T730" s="54">
        <f>IF($B730=0,NA(),IF(Inputs!$B$29&lt;&gt;"Yes",NA(),Inputs!$D$29*Inputs!$C$35))</f>
        <v/>
      </c>
      <c r="AD730">
        <f>IF($B730=0,0,IF(Inputs!$B$6="",0,COUNTIFS(Data!$A$10:$A$3209,"&gt;="&amp;$A730,Data!$A$10:$A$3209,"&lt;"&amp;$A730+1)))</f>
        <v/>
      </c>
      <c r="AE730">
        <f>IF($B730=0,0,IF(Inputs!$B$7="",0,COUNTIFS(Data!$E$10:$E$3209,"&gt;="&amp;$A730,Data!$E$10:$E$3209,"&lt;"&amp;$A730+1)))</f>
        <v/>
      </c>
      <c r="AF730">
        <f>IF($B730=0,0,IF(Inputs!$B$8="",0,COUNTIFS(Data!$I$10:$I$3209,"&gt;="&amp;$A730,Data!$I$10:$I$3209,"&lt;"&amp;$A730+1)))</f>
        <v/>
      </c>
      <c r="AG730">
        <f>IF($B730=0,0,IF(Inputs!$B$9="",0,COUNTIFS(Data!$M$10:$M$3209,"&gt;="&amp;$A730,Data!$M$10:$M$3209,"&lt;"&amp;$A730+1)))</f>
        <v/>
      </c>
      <c r="AH730">
        <f>IF($B730=0,0,IF(Inputs!$B$10="",0,COUNTIFS(Data!$Q$10:$Q$3209,"&gt;="&amp;$A730,Data!$Q$10:$Q$3209,"&lt;"&amp;$A730+1)))</f>
        <v/>
      </c>
    </row>
    <row r="731">
      <c r="A731" s="55">
        <f>MIN(Inputs!$C$15,$A730+IF(WEEKDAY($A730,2)=5,3,1))</f>
        <v/>
      </c>
      <c r="B731">
        <f>IF($A731&gt;$A730,1,0)</f>
        <v/>
      </c>
      <c r="C731" s="56">
        <f>IF($B731=0,"",IF(Inputs!$B$6="","",IF($AD731=0,C730,SUMIFS(Data!$B$10:$B$3209,Data!$A$10:$A$3209,"&gt;="&amp;$A731,Data!$A$10:$A$3209,"&lt;"&amp;$A731+1)/$AD731)))</f>
        <v/>
      </c>
      <c r="D731" s="56">
        <f>IF($B731=0,"",IF(Inputs!$B$7="","",IF($AE731=0,D730,SUMIFS(Data!$F$10:$F$3209,Data!$E$10:$E$3209,"&gt;="&amp;$A731,Data!$E$10:$E$3209,"&lt;"&amp;$A731+1)/$AE731)))</f>
        <v/>
      </c>
      <c r="E731" s="56">
        <f>IF($B731=0,"",IF(Inputs!$B$8="","",IF($AF731=0,E730,SUMIFS(Data!$J$10:$J$3209,Data!$I$10:$I$3209,"&gt;="&amp;$A731,Data!$I$10:$I$3209,"&lt;"&amp;$A731+1)/$AF731)))</f>
        <v/>
      </c>
      <c r="F731" s="56">
        <f>IF($B731=0,"",IF(Inputs!$B$9="","",IF($AG731=0,F730,SUMIFS(Data!$N$10:$N$3209,Data!$M$10:$M$3209,"&gt;="&amp;$A731,Data!$M$10:$M$3209,"&lt;"&amp;$A731+1)/$AG731)))</f>
        <v/>
      </c>
      <c r="G731" s="56">
        <f>IF($B731=0,"",IF(Inputs!$B$10="","",IF($AH731=0,G730,SUMIFS(Data!$R$10:$R$3209,Data!$Q$10:$Q$3209,"&gt;="&amp;$A731,Data!$Q$10:$Q$3209,"&lt;"&amp;$A731+1)/$AH731)))</f>
        <v/>
      </c>
      <c r="I731" s="54">
        <f>IF($B731=0,NA(),IF($C731="",NA(),IF(C$8="",NA(),IF(N(C$8)=0,NA(),IF(Inputs!$C$17="Rebased to 100",$C731/C$8*100,$C731)))))</f>
        <v/>
      </c>
      <c r="J731" s="54">
        <f>IF($B731=0,NA(),IF($D731="",NA(),IF(D$8="",NA(),IF(N(D$8)=0,NA(),IF(Inputs!$C$17="Rebased to 100",$D731/D$8*100,$D731)))))</f>
        <v/>
      </c>
      <c r="K731" s="54">
        <f>IF($B731=0,NA(),IF($E731="",NA(),IF(E$8="",NA(),IF(N(E$8)=0,NA(),IF(Inputs!$C$17="Rebased to 100",$E731/E$8*100,$E731)))))</f>
        <v/>
      </c>
      <c r="L731" s="54">
        <f>IF($B731=0,NA(),IF($F731="",NA(),IF(F$8="",NA(),IF(N(F$8)=0,NA(),IF(Inputs!$C$17="Rebased to 100",$F731/F$8*100,$F731)))))</f>
        <v/>
      </c>
      <c r="M731" s="54">
        <f>IF($B731=0,NA(),IF($G731="",NA(),IF(G$8="",NA(),IF(N(G$8)=0,NA(),IF(Inputs!$C$17="Rebased to 100",$G731/G$8*100,$G731)))))</f>
        <v/>
      </c>
      <c r="N731" s="54">
        <f>IF($B731=0,NA(),IF(Inputs!$C$18&lt;&gt;"Yes",NA(),IF(COUNT(I731,J731,K731,L731,M731)=0,NA(),MIN(I731,J731,K731,L731,M731))))</f>
        <v/>
      </c>
      <c r="O731" s="54">
        <f>IF($B731=0,NA(),IF(Inputs!$B$24&lt;&gt;"Yes",NA(),Inputs!$D$24*Inputs!$C$35))</f>
        <v/>
      </c>
      <c r="P731" s="54">
        <f>IF($B731=0,NA(),IF(Inputs!$B$25&lt;&gt;"Yes",NA(),Inputs!$D$25*Inputs!$C$35))</f>
        <v/>
      </c>
      <c r="Q731" s="54">
        <f>IF($B731=0,NA(),IF(Inputs!$B$26&lt;&gt;"Yes",NA(),Inputs!$D$26*Inputs!$C$35))</f>
        <v/>
      </c>
      <c r="R731" s="54">
        <f>IF($B731=0,NA(),IF(Inputs!$B$27&lt;&gt;"Yes",NA(),Inputs!$D$27*Inputs!$C$35))</f>
        <v/>
      </c>
      <c r="S731" s="54">
        <f>IF($B731=0,NA(),IF(Inputs!$B$28&lt;&gt;"Yes",NA(),Inputs!$D$28*Inputs!$C$35))</f>
        <v/>
      </c>
      <c r="T731" s="54">
        <f>IF($B731=0,NA(),IF(Inputs!$B$29&lt;&gt;"Yes",NA(),Inputs!$D$29*Inputs!$C$35))</f>
        <v/>
      </c>
      <c r="AD731">
        <f>IF($B731=0,0,IF(Inputs!$B$6="",0,COUNTIFS(Data!$A$10:$A$3209,"&gt;="&amp;$A731,Data!$A$10:$A$3209,"&lt;"&amp;$A731+1)))</f>
        <v/>
      </c>
      <c r="AE731">
        <f>IF($B731=0,0,IF(Inputs!$B$7="",0,COUNTIFS(Data!$E$10:$E$3209,"&gt;="&amp;$A731,Data!$E$10:$E$3209,"&lt;"&amp;$A731+1)))</f>
        <v/>
      </c>
      <c r="AF731">
        <f>IF($B731=0,0,IF(Inputs!$B$8="",0,COUNTIFS(Data!$I$10:$I$3209,"&gt;="&amp;$A731,Data!$I$10:$I$3209,"&lt;"&amp;$A731+1)))</f>
        <v/>
      </c>
      <c r="AG731">
        <f>IF($B731=0,0,IF(Inputs!$B$9="",0,COUNTIFS(Data!$M$10:$M$3209,"&gt;="&amp;$A731,Data!$M$10:$M$3209,"&lt;"&amp;$A731+1)))</f>
        <v/>
      </c>
      <c r="AH731">
        <f>IF($B731=0,0,IF(Inputs!$B$10="",0,COUNTIFS(Data!$Q$10:$Q$3209,"&gt;="&amp;$A731,Data!$Q$10:$Q$3209,"&lt;"&amp;$A731+1)))</f>
        <v/>
      </c>
    </row>
    <row r="732">
      <c r="A732" s="55">
        <f>MIN(Inputs!$C$15,$A731+IF(WEEKDAY($A731,2)=5,3,1))</f>
        <v/>
      </c>
      <c r="B732">
        <f>IF($A732&gt;$A731,1,0)</f>
        <v/>
      </c>
      <c r="C732" s="56">
        <f>IF($B732=0,"",IF(Inputs!$B$6="","",IF($AD732=0,C731,SUMIFS(Data!$B$10:$B$3209,Data!$A$10:$A$3209,"&gt;="&amp;$A732,Data!$A$10:$A$3209,"&lt;"&amp;$A732+1)/$AD732)))</f>
        <v/>
      </c>
      <c r="D732" s="56">
        <f>IF($B732=0,"",IF(Inputs!$B$7="","",IF($AE732=0,D731,SUMIFS(Data!$F$10:$F$3209,Data!$E$10:$E$3209,"&gt;="&amp;$A732,Data!$E$10:$E$3209,"&lt;"&amp;$A732+1)/$AE732)))</f>
        <v/>
      </c>
      <c r="E732" s="56">
        <f>IF($B732=0,"",IF(Inputs!$B$8="","",IF($AF732=0,E731,SUMIFS(Data!$J$10:$J$3209,Data!$I$10:$I$3209,"&gt;="&amp;$A732,Data!$I$10:$I$3209,"&lt;"&amp;$A732+1)/$AF732)))</f>
        <v/>
      </c>
      <c r="F732" s="56">
        <f>IF($B732=0,"",IF(Inputs!$B$9="","",IF($AG732=0,F731,SUMIFS(Data!$N$10:$N$3209,Data!$M$10:$M$3209,"&gt;="&amp;$A732,Data!$M$10:$M$3209,"&lt;"&amp;$A732+1)/$AG732)))</f>
        <v/>
      </c>
      <c r="G732" s="56">
        <f>IF($B732=0,"",IF(Inputs!$B$10="","",IF($AH732=0,G731,SUMIFS(Data!$R$10:$R$3209,Data!$Q$10:$Q$3209,"&gt;="&amp;$A732,Data!$Q$10:$Q$3209,"&lt;"&amp;$A732+1)/$AH732)))</f>
        <v/>
      </c>
      <c r="I732" s="54">
        <f>IF($B732=0,NA(),IF($C732="",NA(),IF(C$8="",NA(),IF(N(C$8)=0,NA(),IF(Inputs!$C$17="Rebased to 100",$C732/C$8*100,$C732)))))</f>
        <v/>
      </c>
      <c r="J732" s="54">
        <f>IF($B732=0,NA(),IF($D732="",NA(),IF(D$8="",NA(),IF(N(D$8)=0,NA(),IF(Inputs!$C$17="Rebased to 100",$D732/D$8*100,$D732)))))</f>
        <v/>
      </c>
      <c r="K732" s="54">
        <f>IF($B732=0,NA(),IF($E732="",NA(),IF(E$8="",NA(),IF(N(E$8)=0,NA(),IF(Inputs!$C$17="Rebased to 100",$E732/E$8*100,$E732)))))</f>
        <v/>
      </c>
      <c r="L732" s="54">
        <f>IF($B732=0,NA(),IF($F732="",NA(),IF(F$8="",NA(),IF(N(F$8)=0,NA(),IF(Inputs!$C$17="Rebased to 100",$F732/F$8*100,$F732)))))</f>
        <v/>
      </c>
      <c r="M732" s="54">
        <f>IF($B732=0,NA(),IF($G732="",NA(),IF(G$8="",NA(),IF(N(G$8)=0,NA(),IF(Inputs!$C$17="Rebased to 100",$G732/G$8*100,$G732)))))</f>
        <v/>
      </c>
      <c r="N732" s="54">
        <f>IF($B732=0,NA(),IF(Inputs!$C$18&lt;&gt;"Yes",NA(),IF(COUNT(I732,J732,K732,L732,M732)=0,NA(),MIN(I732,J732,K732,L732,M732))))</f>
        <v/>
      </c>
      <c r="O732" s="54">
        <f>IF($B732=0,NA(),IF(Inputs!$B$24&lt;&gt;"Yes",NA(),Inputs!$D$24*Inputs!$C$35))</f>
        <v/>
      </c>
      <c r="P732" s="54">
        <f>IF($B732=0,NA(),IF(Inputs!$B$25&lt;&gt;"Yes",NA(),Inputs!$D$25*Inputs!$C$35))</f>
        <v/>
      </c>
      <c r="Q732" s="54">
        <f>IF($B732=0,NA(),IF(Inputs!$B$26&lt;&gt;"Yes",NA(),Inputs!$D$26*Inputs!$C$35))</f>
        <v/>
      </c>
      <c r="R732" s="54">
        <f>IF($B732=0,NA(),IF(Inputs!$B$27&lt;&gt;"Yes",NA(),Inputs!$D$27*Inputs!$C$35))</f>
        <v/>
      </c>
      <c r="S732" s="54">
        <f>IF($B732=0,NA(),IF(Inputs!$B$28&lt;&gt;"Yes",NA(),Inputs!$D$28*Inputs!$C$35))</f>
        <v/>
      </c>
      <c r="T732" s="54">
        <f>IF($B732=0,NA(),IF(Inputs!$B$29&lt;&gt;"Yes",NA(),Inputs!$D$29*Inputs!$C$35))</f>
        <v/>
      </c>
      <c r="AD732">
        <f>IF($B732=0,0,IF(Inputs!$B$6="",0,COUNTIFS(Data!$A$10:$A$3209,"&gt;="&amp;$A732,Data!$A$10:$A$3209,"&lt;"&amp;$A732+1)))</f>
        <v/>
      </c>
      <c r="AE732">
        <f>IF($B732=0,0,IF(Inputs!$B$7="",0,COUNTIFS(Data!$E$10:$E$3209,"&gt;="&amp;$A732,Data!$E$10:$E$3209,"&lt;"&amp;$A732+1)))</f>
        <v/>
      </c>
      <c r="AF732">
        <f>IF($B732=0,0,IF(Inputs!$B$8="",0,COUNTIFS(Data!$I$10:$I$3209,"&gt;="&amp;$A732,Data!$I$10:$I$3209,"&lt;"&amp;$A732+1)))</f>
        <v/>
      </c>
      <c r="AG732">
        <f>IF($B732=0,0,IF(Inputs!$B$9="",0,COUNTIFS(Data!$M$10:$M$3209,"&gt;="&amp;$A732,Data!$M$10:$M$3209,"&lt;"&amp;$A732+1)))</f>
        <v/>
      </c>
      <c r="AH732">
        <f>IF($B732=0,0,IF(Inputs!$B$10="",0,COUNTIFS(Data!$Q$10:$Q$3209,"&gt;="&amp;$A732,Data!$Q$10:$Q$3209,"&lt;"&amp;$A732+1)))</f>
        <v/>
      </c>
    </row>
    <row r="733">
      <c r="A733" s="55">
        <f>MIN(Inputs!$C$15,$A732+IF(WEEKDAY($A732,2)=5,3,1))</f>
        <v/>
      </c>
      <c r="B733">
        <f>IF($A733&gt;$A732,1,0)</f>
        <v/>
      </c>
      <c r="C733" s="56">
        <f>IF($B733=0,"",IF(Inputs!$B$6="","",IF($AD733=0,C732,SUMIFS(Data!$B$10:$B$3209,Data!$A$10:$A$3209,"&gt;="&amp;$A733,Data!$A$10:$A$3209,"&lt;"&amp;$A733+1)/$AD733)))</f>
        <v/>
      </c>
      <c r="D733" s="56">
        <f>IF($B733=0,"",IF(Inputs!$B$7="","",IF($AE733=0,D732,SUMIFS(Data!$F$10:$F$3209,Data!$E$10:$E$3209,"&gt;="&amp;$A733,Data!$E$10:$E$3209,"&lt;"&amp;$A733+1)/$AE733)))</f>
        <v/>
      </c>
      <c r="E733" s="56">
        <f>IF($B733=0,"",IF(Inputs!$B$8="","",IF($AF733=0,E732,SUMIFS(Data!$J$10:$J$3209,Data!$I$10:$I$3209,"&gt;="&amp;$A733,Data!$I$10:$I$3209,"&lt;"&amp;$A733+1)/$AF733)))</f>
        <v/>
      </c>
      <c r="F733" s="56">
        <f>IF($B733=0,"",IF(Inputs!$B$9="","",IF($AG733=0,F732,SUMIFS(Data!$N$10:$N$3209,Data!$M$10:$M$3209,"&gt;="&amp;$A733,Data!$M$10:$M$3209,"&lt;"&amp;$A733+1)/$AG733)))</f>
        <v/>
      </c>
      <c r="G733" s="56">
        <f>IF($B733=0,"",IF(Inputs!$B$10="","",IF($AH733=0,G732,SUMIFS(Data!$R$10:$R$3209,Data!$Q$10:$Q$3209,"&gt;="&amp;$A733,Data!$Q$10:$Q$3209,"&lt;"&amp;$A733+1)/$AH733)))</f>
        <v/>
      </c>
      <c r="I733" s="54">
        <f>IF($B733=0,NA(),IF($C733="",NA(),IF(C$8="",NA(),IF(N(C$8)=0,NA(),IF(Inputs!$C$17="Rebased to 100",$C733/C$8*100,$C733)))))</f>
        <v/>
      </c>
      <c r="J733" s="54">
        <f>IF($B733=0,NA(),IF($D733="",NA(),IF(D$8="",NA(),IF(N(D$8)=0,NA(),IF(Inputs!$C$17="Rebased to 100",$D733/D$8*100,$D733)))))</f>
        <v/>
      </c>
      <c r="K733" s="54">
        <f>IF($B733=0,NA(),IF($E733="",NA(),IF(E$8="",NA(),IF(N(E$8)=0,NA(),IF(Inputs!$C$17="Rebased to 100",$E733/E$8*100,$E733)))))</f>
        <v/>
      </c>
      <c r="L733" s="54">
        <f>IF($B733=0,NA(),IF($F733="",NA(),IF(F$8="",NA(),IF(N(F$8)=0,NA(),IF(Inputs!$C$17="Rebased to 100",$F733/F$8*100,$F733)))))</f>
        <v/>
      </c>
      <c r="M733" s="54">
        <f>IF($B733=0,NA(),IF($G733="",NA(),IF(G$8="",NA(),IF(N(G$8)=0,NA(),IF(Inputs!$C$17="Rebased to 100",$G733/G$8*100,$G733)))))</f>
        <v/>
      </c>
      <c r="N733" s="54">
        <f>IF($B733=0,NA(),IF(Inputs!$C$18&lt;&gt;"Yes",NA(),IF(COUNT(I733,J733,K733,L733,M733)=0,NA(),MIN(I733,J733,K733,L733,M733))))</f>
        <v/>
      </c>
      <c r="O733" s="54">
        <f>IF($B733=0,NA(),IF(Inputs!$B$24&lt;&gt;"Yes",NA(),Inputs!$D$24*Inputs!$C$35))</f>
        <v/>
      </c>
      <c r="P733" s="54">
        <f>IF($B733=0,NA(),IF(Inputs!$B$25&lt;&gt;"Yes",NA(),Inputs!$D$25*Inputs!$C$35))</f>
        <v/>
      </c>
      <c r="Q733" s="54">
        <f>IF($B733=0,NA(),IF(Inputs!$B$26&lt;&gt;"Yes",NA(),Inputs!$D$26*Inputs!$C$35))</f>
        <v/>
      </c>
      <c r="R733" s="54">
        <f>IF($B733=0,NA(),IF(Inputs!$B$27&lt;&gt;"Yes",NA(),Inputs!$D$27*Inputs!$C$35))</f>
        <v/>
      </c>
      <c r="S733" s="54">
        <f>IF($B733=0,NA(),IF(Inputs!$B$28&lt;&gt;"Yes",NA(),Inputs!$D$28*Inputs!$C$35))</f>
        <v/>
      </c>
      <c r="T733" s="54">
        <f>IF($B733=0,NA(),IF(Inputs!$B$29&lt;&gt;"Yes",NA(),Inputs!$D$29*Inputs!$C$35))</f>
        <v/>
      </c>
      <c r="AD733">
        <f>IF($B733=0,0,IF(Inputs!$B$6="",0,COUNTIFS(Data!$A$10:$A$3209,"&gt;="&amp;$A733,Data!$A$10:$A$3209,"&lt;"&amp;$A733+1)))</f>
        <v/>
      </c>
      <c r="AE733">
        <f>IF($B733=0,0,IF(Inputs!$B$7="",0,COUNTIFS(Data!$E$10:$E$3209,"&gt;="&amp;$A733,Data!$E$10:$E$3209,"&lt;"&amp;$A733+1)))</f>
        <v/>
      </c>
      <c r="AF733">
        <f>IF($B733=0,0,IF(Inputs!$B$8="",0,COUNTIFS(Data!$I$10:$I$3209,"&gt;="&amp;$A733,Data!$I$10:$I$3209,"&lt;"&amp;$A733+1)))</f>
        <v/>
      </c>
      <c r="AG733">
        <f>IF($B733=0,0,IF(Inputs!$B$9="",0,COUNTIFS(Data!$M$10:$M$3209,"&gt;="&amp;$A733,Data!$M$10:$M$3209,"&lt;"&amp;$A733+1)))</f>
        <v/>
      </c>
      <c r="AH733">
        <f>IF($B733=0,0,IF(Inputs!$B$10="",0,COUNTIFS(Data!$Q$10:$Q$3209,"&gt;="&amp;$A733,Data!$Q$10:$Q$3209,"&lt;"&amp;$A733+1)))</f>
        <v/>
      </c>
    </row>
    <row r="734">
      <c r="A734" s="55">
        <f>MIN(Inputs!$C$15,$A733+IF(WEEKDAY($A733,2)=5,3,1))</f>
        <v/>
      </c>
      <c r="B734">
        <f>IF($A734&gt;$A733,1,0)</f>
        <v/>
      </c>
      <c r="C734" s="56">
        <f>IF($B734=0,"",IF(Inputs!$B$6="","",IF($AD734=0,C733,SUMIFS(Data!$B$10:$B$3209,Data!$A$10:$A$3209,"&gt;="&amp;$A734,Data!$A$10:$A$3209,"&lt;"&amp;$A734+1)/$AD734)))</f>
        <v/>
      </c>
      <c r="D734" s="56">
        <f>IF($B734=0,"",IF(Inputs!$B$7="","",IF($AE734=0,D733,SUMIFS(Data!$F$10:$F$3209,Data!$E$10:$E$3209,"&gt;="&amp;$A734,Data!$E$10:$E$3209,"&lt;"&amp;$A734+1)/$AE734)))</f>
        <v/>
      </c>
      <c r="E734" s="56">
        <f>IF($B734=0,"",IF(Inputs!$B$8="","",IF($AF734=0,E733,SUMIFS(Data!$J$10:$J$3209,Data!$I$10:$I$3209,"&gt;="&amp;$A734,Data!$I$10:$I$3209,"&lt;"&amp;$A734+1)/$AF734)))</f>
        <v/>
      </c>
      <c r="F734" s="56">
        <f>IF($B734=0,"",IF(Inputs!$B$9="","",IF($AG734=0,F733,SUMIFS(Data!$N$10:$N$3209,Data!$M$10:$M$3209,"&gt;="&amp;$A734,Data!$M$10:$M$3209,"&lt;"&amp;$A734+1)/$AG734)))</f>
        <v/>
      </c>
      <c r="G734" s="56">
        <f>IF($B734=0,"",IF(Inputs!$B$10="","",IF($AH734=0,G733,SUMIFS(Data!$R$10:$R$3209,Data!$Q$10:$Q$3209,"&gt;="&amp;$A734,Data!$Q$10:$Q$3209,"&lt;"&amp;$A734+1)/$AH734)))</f>
        <v/>
      </c>
      <c r="I734" s="54">
        <f>IF($B734=0,NA(),IF($C734="",NA(),IF(C$8="",NA(),IF(N(C$8)=0,NA(),IF(Inputs!$C$17="Rebased to 100",$C734/C$8*100,$C734)))))</f>
        <v/>
      </c>
      <c r="J734" s="54">
        <f>IF($B734=0,NA(),IF($D734="",NA(),IF(D$8="",NA(),IF(N(D$8)=0,NA(),IF(Inputs!$C$17="Rebased to 100",$D734/D$8*100,$D734)))))</f>
        <v/>
      </c>
      <c r="K734" s="54">
        <f>IF($B734=0,NA(),IF($E734="",NA(),IF(E$8="",NA(),IF(N(E$8)=0,NA(),IF(Inputs!$C$17="Rebased to 100",$E734/E$8*100,$E734)))))</f>
        <v/>
      </c>
      <c r="L734" s="54">
        <f>IF($B734=0,NA(),IF($F734="",NA(),IF(F$8="",NA(),IF(N(F$8)=0,NA(),IF(Inputs!$C$17="Rebased to 100",$F734/F$8*100,$F734)))))</f>
        <v/>
      </c>
      <c r="M734" s="54">
        <f>IF($B734=0,NA(),IF($G734="",NA(),IF(G$8="",NA(),IF(N(G$8)=0,NA(),IF(Inputs!$C$17="Rebased to 100",$G734/G$8*100,$G734)))))</f>
        <v/>
      </c>
      <c r="N734" s="54">
        <f>IF($B734=0,NA(),IF(Inputs!$C$18&lt;&gt;"Yes",NA(),IF(COUNT(I734,J734,K734,L734,M734)=0,NA(),MIN(I734,J734,K734,L734,M734))))</f>
        <v/>
      </c>
      <c r="O734" s="54">
        <f>IF($B734=0,NA(),IF(Inputs!$B$24&lt;&gt;"Yes",NA(),Inputs!$D$24*Inputs!$C$35))</f>
        <v/>
      </c>
      <c r="P734" s="54">
        <f>IF($B734=0,NA(),IF(Inputs!$B$25&lt;&gt;"Yes",NA(),Inputs!$D$25*Inputs!$C$35))</f>
        <v/>
      </c>
      <c r="Q734" s="54">
        <f>IF($B734=0,NA(),IF(Inputs!$B$26&lt;&gt;"Yes",NA(),Inputs!$D$26*Inputs!$C$35))</f>
        <v/>
      </c>
      <c r="R734" s="54">
        <f>IF($B734=0,NA(),IF(Inputs!$B$27&lt;&gt;"Yes",NA(),Inputs!$D$27*Inputs!$C$35))</f>
        <v/>
      </c>
      <c r="S734" s="54">
        <f>IF($B734=0,NA(),IF(Inputs!$B$28&lt;&gt;"Yes",NA(),Inputs!$D$28*Inputs!$C$35))</f>
        <v/>
      </c>
      <c r="T734" s="54">
        <f>IF($B734=0,NA(),IF(Inputs!$B$29&lt;&gt;"Yes",NA(),Inputs!$D$29*Inputs!$C$35))</f>
        <v/>
      </c>
      <c r="AD734">
        <f>IF($B734=0,0,IF(Inputs!$B$6="",0,COUNTIFS(Data!$A$10:$A$3209,"&gt;="&amp;$A734,Data!$A$10:$A$3209,"&lt;"&amp;$A734+1)))</f>
        <v/>
      </c>
      <c r="AE734">
        <f>IF($B734=0,0,IF(Inputs!$B$7="",0,COUNTIFS(Data!$E$10:$E$3209,"&gt;="&amp;$A734,Data!$E$10:$E$3209,"&lt;"&amp;$A734+1)))</f>
        <v/>
      </c>
      <c r="AF734">
        <f>IF($B734=0,0,IF(Inputs!$B$8="",0,COUNTIFS(Data!$I$10:$I$3209,"&gt;="&amp;$A734,Data!$I$10:$I$3209,"&lt;"&amp;$A734+1)))</f>
        <v/>
      </c>
      <c r="AG734">
        <f>IF($B734=0,0,IF(Inputs!$B$9="",0,COUNTIFS(Data!$M$10:$M$3209,"&gt;="&amp;$A734,Data!$M$10:$M$3209,"&lt;"&amp;$A734+1)))</f>
        <v/>
      </c>
      <c r="AH734">
        <f>IF($B734=0,0,IF(Inputs!$B$10="",0,COUNTIFS(Data!$Q$10:$Q$3209,"&gt;="&amp;$A734,Data!$Q$10:$Q$3209,"&lt;"&amp;$A734+1)))</f>
        <v/>
      </c>
    </row>
    <row r="735">
      <c r="A735" s="55">
        <f>MIN(Inputs!$C$15,$A734+IF(WEEKDAY($A734,2)=5,3,1))</f>
        <v/>
      </c>
      <c r="B735">
        <f>IF($A735&gt;$A734,1,0)</f>
        <v/>
      </c>
      <c r="C735" s="56">
        <f>IF($B735=0,"",IF(Inputs!$B$6="","",IF($AD735=0,C734,SUMIFS(Data!$B$10:$B$3209,Data!$A$10:$A$3209,"&gt;="&amp;$A735,Data!$A$10:$A$3209,"&lt;"&amp;$A735+1)/$AD735)))</f>
        <v/>
      </c>
      <c r="D735" s="56">
        <f>IF($B735=0,"",IF(Inputs!$B$7="","",IF($AE735=0,D734,SUMIFS(Data!$F$10:$F$3209,Data!$E$10:$E$3209,"&gt;="&amp;$A735,Data!$E$10:$E$3209,"&lt;"&amp;$A735+1)/$AE735)))</f>
        <v/>
      </c>
      <c r="E735" s="56">
        <f>IF($B735=0,"",IF(Inputs!$B$8="","",IF($AF735=0,E734,SUMIFS(Data!$J$10:$J$3209,Data!$I$10:$I$3209,"&gt;="&amp;$A735,Data!$I$10:$I$3209,"&lt;"&amp;$A735+1)/$AF735)))</f>
        <v/>
      </c>
      <c r="F735" s="56">
        <f>IF($B735=0,"",IF(Inputs!$B$9="","",IF($AG735=0,F734,SUMIFS(Data!$N$10:$N$3209,Data!$M$10:$M$3209,"&gt;="&amp;$A735,Data!$M$10:$M$3209,"&lt;"&amp;$A735+1)/$AG735)))</f>
        <v/>
      </c>
      <c r="G735" s="56">
        <f>IF($B735=0,"",IF(Inputs!$B$10="","",IF($AH735=0,G734,SUMIFS(Data!$R$10:$R$3209,Data!$Q$10:$Q$3209,"&gt;="&amp;$A735,Data!$Q$10:$Q$3209,"&lt;"&amp;$A735+1)/$AH735)))</f>
        <v/>
      </c>
      <c r="I735" s="54">
        <f>IF($B735=0,NA(),IF($C735="",NA(),IF(C$8="",NA(),IF(N(C$8)=0,NA(),IF(Inputs!$C$17="Rebased to 100",$C735/C$8*100,$C735)))))</f>
        <v/>
      </c>
      <c r="J735" s="54">
        <f>IF($B735=0,NA(),IF($D735="",NA(),IF(D$8="",NA(),IF(N(D$8)=0,NA(),IF(Inputs!$C$17="Rebased to 100",$D735/D$8*100,$D735)))))</f>
        <v/>
      </c>
      <c r="K735" s="54">
        <f>IF($B735=0,NA(),IF($E735="",NA(),IF(E$8="",NA(),IF(N(E$8)=0,NA(),IF(Inputs!$C$17="Rebased to 100",$E735/E$8*100,$E735)))))</f>
        <v/>
      </c>
      <c r="L735" s="54">
        <f>IF($B735=0,NA(),IF($F735="",NA(),IF(F$8="",NA(),IF(N(F$8)=0,NA(),IF(Inputs!$C$17="Rebased to 100",$F735/F$8*100,$F735)))))</f>
        <v/>
      </c>
      <c r="M735" s="54">
        <f>IF($B735=0,NA(),IF($G735="",NA(),IF(G$8="",NA(),IF(N(G$8)=0,NA(),IF(Inputs!$C$17="Rebased to 100",$G735/G$8*100,$G735)))))</f>
        <v/>
      </c>
      <c r="N735" s="54">
        <f>IF($B735=0,NA(),IF(Inputs!$C$18&lt;&gt;"Yes",NA(),IF(COUNT(I735,J735,K735,L735,M735)=0,NA(),MIN(I735,J735,K735,L735,M735))))</f>
        <v/>
      </c>
      <c r="O735" s="54">
        <f>IF($B735=0,NA(),IF(Inputs!$B$24&lt;&gt;"Yes",NA(),Inputs!$D$24*Inputs!$C$35))</f>
        <v/>
      </c>
      <c r="P735" s="54">
        <f>IF($B735=0,NA(),IF(Inputs!$B$25&lt;&gt;"Yes",NA(),Inputs!$D$25*Inputs!$C$35))</f>
        <v/>
      </c>
      <c r="Q735" s="54">
        <f>IF($B735=0,NA(),IF(Inputs!$B$26&lt;&gt;"Yes",NA(),Inputs!$D$26*Inputs!$C$35))</f>
        <v/>
      </c>
      <c r="R735" s="54">
        <f>IF($B735=0,NA(),IF(Inputs!$B$27&lt;&gt;"Yes",NA(),Inputs!$D$27*Inputs!$C$35))</f>
        <v/>
      </c>
      <c r="S735" s="54">
        <f>IF($B735=0,NA(),IF(Inputs!$B$28&lt;&gt;"Yes",NA(),Inputs!$D$28*Inputs!$C$35))</f>
        <v/>
      </c>
      <c r="T735" s="54">
        <f>IF($B735=0,NA(),IF(Inputs!$B$29&lt;&gt;"Yes",NA(),Inputs!$D$29*Inputs!$C$35))</f>
        <v/>
      </c>
      <c r="AD735">
        <f>IF($B735=0,0,IF(Inputs!$B$6="",0,COUNTIFS(Data!$A$10:$A$3209,"&gt;="&amp;$A735,Data!$A$10:$A$3209,"&lt;"&amp;$A735+1)))</f>
        <v/>
      </c>
      <c r="AE735">
        <f>IF($B735=0,0,IF(Inputs!$B$7="",0,COUNTIFS(Data!$E$10:$E$3209,"&gt;="&amp;$A735,Data!$E$10:$E$3209,"&lt;"&amp;$A735+1)))</f>
        <v/>
      </c>
      <c r="AF735">
        <f>IF($B735=0,0,IF(Inputs!$B$8="",0,COUNTIFS(Data!$I$10:$I$3209,"&gt;="&amp;$A735,Data!$I$10:$I$3209,"&lt;"&amp;$A735+1)))</f>
        <v/>
      </c>
      <c r="AG735">
        <f>IF($B735=0,0,IF(Inputs!$B$9="",0,COUNTIFS(Data!$M$10:$M$3209,"&gt;="&amp;$A735,Data!$M$10:$M$3209,"&lt;"&amp;$A735+1)))</f>
        <v/>
      </c>
      <c r="AH735">
        <f>IF($B735=0,0,IF(Inputs!$B$10="",0,COUNTIFS(Data!$Q$10:$Q$3209,"&gt;="&amp;$A735,Data!$Q$10:$Q$3209,"&lt;"&amp;$A735+1)))</f>
        <v/>
      </c>
    </row>
    <row r="736">
      <c r="A736" s="55">
        <f>MIN(Inputs!$C$15,$A735+IF(WEEKDAY($A735,2)=5,3,1))</f>
        <v/>
      </c>
      <c r="B736">
        <f>IF($A736&gt;$A735,1,0)</f>
        <v/>
      </c>
      <c r="C736" s="56">
        <f>IF($B736=0,"",IF(Inputs!$B$6="","",IF($AD736=0,C735,SUMIFS(Data!$B$10:$B$3209,Data!$A$10:$A$3209,"&gt;="&amp;$A736,Data!$A$10:$A$3209,"&lt;"&amp;$A736+1)/$AD736)))</f>
        <v/>
      </c>
      <c r="D736" s="56">
        <f>IF($B736=0,"",IF(Inputs!$B$7="","",IF($AE736=0,D735,SUMIFS(Data!$F$10:$F$3209,Data!$E$10:$E$3209,"&gt;="&amp;$A736,Data!$E$10:$E$3209,"&lt;"&amp;$A736+1)/$AE736)))</f>
        <v/>
      </c>
      <c r="E736" s="56">
        <f>IF($B736=0,"",IF(Inputs!$B$8="","",IF($AF736=0,E735,SUMIFS(Data!$J$10:$J$3209,Data!$I$10:$I$3209,"&gt;="&amp;$A736,Data!$I$10:$I$3209,"&lt;"&amp;$A736+1)/$AF736)))</f>
        <v/>
      </c>
      <c r="F736" s="56">
        <f>IF($B736=0,"",IF(Inputs!$B$9="","",IF($AG736=0,F735,SUMIFS(Data!$N$10:$N$3209,Data!$M$10:$M$3209,"&gt;="&amp;$A736,Data!$M$10:$M$3209,"&lt;"&amp;$A736+1)/$AG736)))</f>
        <v/>
      </c>
      <c r="G736" s="56">
        <f>IF($B736=0,"",IF(Inputs!$B$10="","",IF($AH736=0,G735,SUMIFS(Data!$R$10:$R$3209,Data!$Q$10:$Q$3209,"&gt;="&amp;$A736,Data!$Q$10:$Q$3209,"&lt;"&amp;$A736+1)/$AH736)))</f>
        <v/>
      </c>
      <c r="I736" s="54">
        <f>IF($B736=0,NA(),IF($C736="",NA(),IF(C$8="",NA(),IF(N(C$8)=0,NA(),IF(Inputs!$C$17="Rebased to 100",$C736/C$8*100,$C736)))))</f>
        <v/>
      </c>
      <c r="J736" s="54">
        <f>IF($B736=0,NA(),IF($D736="",NA(),IF(D$8="",NA(),IF(N(D$8)=0,NA(),IF(Inputs!$C$17="Rebased to 100",$D736/D$8*100,$D736)))))</f>
        <v/>
      </c>
      <c r="K736" s="54">
        <f>IF($B736=0,NA(),IF($E736="",NA(),IF(E$8="",NA(),IF(N(E$8)=0,NA(),IF(Inputs!$C$17="Rebased to 100",$E736/E$8*100,$E736)))))</f>
        <v/>
      </c>
      <c r="L736" s="54">
        <f>IF($B736=0,NA(),IF($F736="",NA(),IF(F$8="",NA(),IF(N(F$8)=0,NA(),IF(Inputs!$C$17="Rebased to 100",$F736/F$8*100,$F736)))))</f>
        <v/>
      </c>
      <c r="M736" s="54">
        <f>IF($B736=0,NA(),IF($G736="",NA(),IF(G$8="",NA(),IF(N(G$8)=0,NA(),IF(Inputs!$C$17="Rebased to 100",$G736/G$8*100,$G736)))))</f>
        <v/>
      </c>
      <c r="N736" s="54">
        <f>IF($B736=0,NA(),IF(Inputs!$C$18&lt;&gt;"Yes",NA(),IF(COUNT(I736,J736,K736,L736,M736)=0,NA(),MIN(I736,J736,K736,L736,M736))))</f>
        <v/>
      </c>
      <c r="O736" s="54">
        <f>IF($B736=0,NA(),IF(Inputs!$B$24&lt;&gt;"Yes",NA(),Inputs!$D$24*Inputs!$C$35))</f>
        <v/>
      </c>
      <c r="P736" s="54">
        <f>IF($B736=0,NA(),IF(Inputs!$B$25&lt;&gt;"Yes",NA(),Inputs!$D$25*Inputs!$C$35))</f>
        <v/>
      </c>
      <c r="Q736" s="54">
        <f>IF($B736=0,NA(),IF(Inputs!$B$26&lt;&gt;"Yes",NA(),Inputs!$D$26*Inputs!$C$35))</f>
        <v/>
      </c>
      <c r="R736" s="54">
        <f>IF($B736=0,NA(),IF(Inputs!$B$27&lt;&gt;"Yes",NA(),Inputs!$D$27*Inputs!$C$35))</f>
        <v/>
      </c>
      <c r="S736" s="54">
        <f>IF($B736=0,NA(),IF(Inputs!$B$28&lt;&gt;"Yes",NA(),Inputs!$D$28*Inputs!$C$35))</f>
        <v/>
      </c>
      <c r="T736" s="54">
        <f>IF($B736=0,NA(),IF(Inputs!$B$29&lt;&gt;"Yes",NA(),Inputs!$D$29*Inputs!$C$35))</f>
        <v/>
      </c>
      <c r="AD736">
        <f>IF($B736=0,0,IF(Inputs!$B$6="",0,COUNTIFS(Data!$A$10:$A$3209,"&gt;="&amp;$A736,Data!$A$10:$A$3209,"&lt;"&amp;$A736+1)))</f>
        <v/>
      </c>
      <c r="AE736">
        <f>IF($B736=0,0,IF(Inputs!$B$7="",0,COUNTIFS(Data!$E$10:$E$3209,"&gt;="&amp;$A736,Data!$E$10:$E$3209,"&lt;"&amp;$A736+1)))</f>
        <v/>
      </c>
      <c r="AF736">
        <f>IF($B736=0,0,IF(Inputs!$B$8="",0,COUNTIFS(Data!$I$10:$I$3209,"&gt;="&amp;$A736,Data!$I$10:$I$3209,"&lt;"&amp;$A736+1)))</f>
        <v/>
      </c>
      <c r="AG736">
        <f>IF($B736=0,0,IF(Inputs!$B$9="",0,COUNTIFS(Data!$M$10:$M$3209,"&gt;="&amp;$A736,Data!$M$10:$M$3209,"&lt;"&amp;$A736+1)))</f>
        <v/>
      </c>
      <c r="AH736">
        <f>IF($B736=0,0,IF(Inputs!$B$10="",0,COUNTIFS(Data!$Q$10:$Q$3209,"&gt;="&amp;$A736,Data!$Q$10:$Q$3209,"&lt;"&amp;$A736+1)))</f>
        <v/>
      </c>
    </row>
    <row r="737">
      <c r="A737" s="55">
        <f>MIN(Inputs!$C$15,$A736+IF(WEEKDAY($A736,2)=5,3,1))</f>
        <v/>
      </c>
      <c r="B737">
        <f>IF($A737&gt;$A736,1,0)</f>
        <v/>
      </c>
      <c r="C737" s="56">
        <f>IF($B737=0,"",IF(Inputs!$B$6="","",IF($AD737=0,C736,SUMIFS(Data!$B$10:$B$3209,Data!$A$10:$A$3209,"&gt;="&amp;$A737,Data!$A$10:$A$3209,"&lt;"&amp;$A737+1)/$AD737)))</f>
        <v/>
      </c>
      <c r="D737" s="56">
        <f>IF($B737=0,"",IF(Inputs!$B$7="","",IF($AE737=0,D736,SUMIFS(Data!$F$10:$F$3209,Data!$E$10:$E$3209,"&gt;="&amp;$A737,Data!$E$10:$E$3209,"&lt;"&amp;$A737+1)/$AE737)))</f>
        <v/>
      </c>
      <c r="E737" s="56">
        <f>IF($B737=0,"",IF(Inputs!$B$8="","",IF($AF737=0,E736,SUMIFS(Data!$J$10:$J$3209,Data!$I$10:$I$3209,"&gt;="&amp;$A737,Data!$I$10:$I$3209,"&lt;"&amp;$A737+1)/$AF737)))</f>
        <v/>
      </c>
      <c r="F737" s="56">
        <f>IF($B737=0,"",IF(Inputs!$B$9="","",IF($AG737=0,F736,SUMIFS(Data!$N$10:$N$3209,Data!$M$10:$M$3209,"&gt;="&amp;$A737,Data!$M$10:$M$3209,"&lt;"&amp;$A737+1)/$AG737)))</f>
        <v/>
      </c>
      <c r="G737" s="56">
        <f>IF($B737=0,"",IF(Inputs!$B$10="","",IF($AH737=0,G736,SUMIFS(Data!$R$10:$R$3209,Data!$Q$10:$Q$3209,"&gt;="&amp;$A737,Data!$Q$10:$Q$3209,"&lt;"&amp;$A737+1)/$AH737)))</f>
        <v/>
      </c>
      <c r="I737" s="54">
        <f>IF($B737=0,NA(),IF($C737="",NA(),IF(C$8="",NA(),IF(N(C$8)=0,NA(),IF(Inputs!$C$17="Rebased to 100",$C737/C$8*100,$C737)))))</f>
        <v/>
      </c>
      <c r="J737" s="54">
        <f>IF($B737=0,NA(),IF($D737="",NA(),IF(D$8="",NA(),IF(N(D$8)=0,NA(),IF(Inputs!$C$17="Rebased to 100",$D737/D$8*100,$D737)))))</f>
        <v/>
      </c>
      <c r="K737" s="54">
        <f>IF($B737=0,NA(),IF($E737="",NA(),IF(E$8="",NA(),IF(N(E$8)=0,NA(),IF(Inputs!$C$17="Rebased to 100",$E737/E$8*100,$E737)))))</f>
        <v/>
      </c>
      <c r="L737" s="54">
        <f>IF($B737=0,NA(),IF($F737="",NA(),IF(F$8="",NA(),IF(N(F$8)=0,NA(),IF(Inputs!$C$17="Rebased to 100",$F737/F$8*100,$F737)))))</f>
        <v/>
      </c>
      <c r="M737" s="54">
        <f>IF($B737=0,NA(),IF($G737="",NA(),IF(G$8="",NA(),IF(N(G$8)=0,NA(),IF(Inputs!$C$17="Rebased to 100",$G737/G$8*100,$G737)))))</f>
        <v/>
      </c>
      <c r="N737" s="54">
        <f>IF($B737=0,NA(),IF(Inputs!$C$18&lt;&gt;"Yes",NA(),IF(COUNT(I737,J737,K737,L737,M737)=0,NA(),MIN(I737,J737,K737,L737,M737))))</f>
        <v/>
      </c>
      <c r="O737" s="54">
        <f>IF($B737=0,NA(),IF(Inputs!$B$24&lt;&gt;"Yes",NA(),Inputs!$D$24*Inputs!$C$35))</f>
        <v/>
      </c>
      <c r="P737" s="54">
        <f>IF($B737=0,NA(),IF(Inputs!$B$25&lt;&gt;"Yes",NA(),Inputs!$D$25*Inputs!$C$35))</f>
        <v/>
      </c>
      <c r="Q737" s="54">
        <f>IF($B737=0,NA(),IF(Inputs!$B$26&lt;&gt;"Yes",NA(),Inputs!$D$26*Inputs!$C$35))</f>
        <v/>
      </c>
      <c r="R737" s="54">
        <f>IF($B737=0,NA(),IF(Inputs!$B$27&lt;&gt;"Yes",NA(),Inputs!$D$27*Inputs!$C$35))</f>
        <v/>
      </c>
      <c r="S737" s="54">
        <f>IF($B737=0,NA(),IF(Inputs!$B$28&lt;&gt;"Yes",NA(),Inputs!$D$28*Inputs!$C$35))</f>
        <v/>
      </c>
      <c r="T737" s="54">
        <f>IF($B737=0,NA(),IF(Inputs!$B$29&lt;&gt;"Yes",NA(),Inputs!$D$29*Inputs!$C$35))</f>
        <v/>
      </c>
      <c r="AD737">
        <f>IF($B737=0,0,IF(Inputs!$B$6="",0,COUNTIFS(Data!$A$10:$A$3209,"&gt;="&amp;$A737,Data!$A$10:$A$3209,"&lt;"&amp;$A737+1)))</f>
        <v/>
      </c>
      <c r="AE737">
        <f>IF($B737=0,0,IF(Inputs!$B$7="",0,COUNTIFS(Data!$E$10:$E$3209,"&gt;="&amp;$A737,Data!$E$10:$E$3209,"&lt;"&amp;$A737+1)))</f>
        <v/>
      </c>
      <c r="AF737">
        <f>IF($B737=0,0,IF(Inputs!$B$8="",0,COUNTIFS(Data!$I$10:$I$3209,"&gt;="&amp;$A737,Data!$I$10:$I$3209,"&lt;"&amp;$A737+1)))</f>
        <v/>
      </c>
      <c r="AG737">
        <f>IF($B737=0,0,IF(Inputs!$B$9="",0,COUNTIFS(Data!$M$10:$M$3209,"&gt;="&amp;$A737,Data!$M$10:$M$3209,"&lt;"&amp;$A737+1)))</f>
        <v/>
      </c>
      <c r="AH737">
        <f>IF($B737=0,0,IF(Inputs!$B$10="",0,COUNTIFS(Data!$Q$10:$Q$3209,"&gt;="&amp;$A737,Data!$Q$10:$Q$3209,"&lt;"&amp;$A737+1)))</f>
        <v/>
      </c>
    </row>
    <row r="738">
      <c r="A738" s="55">
        <f>MIN(Inputs!$C$15,$A737+IF(WEEKDAY($A737,2)=5,3,1))</f>
        <v/>
      </c>
      <c r="B738">
        <f>IF($A738&gt;$A737,1,0)</f>
        <v/>
      </c>
      <c r="C738" s="56">
        <f>IF($B738=0,"",IF(Inputs!$B$6="","",IF($AD738=0,C737,SUMIFS(Data!$B$10:$B$3209,Data!$A$10:$A$3209,"&gt;="&amp;$A738,Data!$A$10:$A$3209,"&lt;"&amp;$A738+1)/$AD738)))</f>
        <v/>
      </c>
      <c r="D738" s="56">
        <f>IF($B738=0,"",IF(Inputs!$B$7="","",IF($AE738=0,D737,SUMIFS(Data!$F$10:$F$3209,Data!$E$10:$E$3209,"&gt;="&amp;$A738,Data!$E$10:$E$3209,"&lt;"&amp;$A738+1)/$AE738)))</f>
        <v/>
      </c>
      <c r="E738" s="56">
        <f>IF($B738=0,"",IF(Inputs!$B$8="","",IF($AF738=0,E737,SUMIFS(Data!$J$10:$J$3209,Data!$I$10:$I$3209,"&gt;="&amp;$A738,Data!$I$10:$I$3209,"&lt;"&amp;$A738+1)/$AF738)))</f>
        <v/>
      </c>
      <c r="F738" s="56">
        <f>IF($B738=0,"",IF(Inputs!$B$9="","",IF($AG738=0,F737,SUMIFS(Data!$N$10:$N$3209,Data!$M$10:$M$3209,"&gt;="&amp;$A738,Data!$M$10:$M$3209,"&lt;"&amp;$A738+1)/$AG738)))</f>
        <v/>
      </c>
      <c r="G738" s="56">
        <f>IF($B738=0,"",IF(Inputs!$B$10="","",IF($AH738=0,G737,SUMIFS(Data!$R$10:$R$3209,Data!$Q$10:$Q$3209,"&gt;="&amp;$A738,Data!$Q$10:$Q$3209,"&lt;"&amp;$A738+1)/$AH738)))</f>
        <v/>
      </c>
      <c r="I738" s="54">
        <f>IF($B738=0,NA(),IF($C738="",NA(),IF(C$8="",NA(),IF(N(C$8)=0,NA(),IF(Inputs!$C$17="Rebased to 100",$C738/C$8*100,$C738)))))</f>
        <v/>
      </c>
      <c r="J738" s="54">
        <f>IF($B738=0,NA(),IF($D738="",NA(),IF(D$8="",NA(),IF(N(D$8)=0,NA(),IF(Inputs!$C$17="Rebased to 100",$D738/D$8*100,$D738)))))</f>
        <v/>
      </c>
      <c r="K738" s="54">
        <f>IF($B738=0,NA(),IF($E738="",NA(),IF(E$8="",NA(),IF(N(E$8)=0,NA(),IF(Inputs!$C$17="Rebased to 100",$E738/E$8*100,$E738)))))</f>
        <v/>
      </c>
      <c r="L738" s="54">
        <f>IF($B738=0,NA(),IF($F738="",NA(),IF(F$8="",NA(),IF(N(F$8)=0,NA(),IF(Inputs!$C$17="Rebased to 100",$F738/F$8*100,$F738)))))</f>
        <v/>
      </c>
      <c r="M738" s="54">
        <f>IF($B738=0,NA(),IF($G738="",NA(),IF(G$8="",NA(),IF(N(G$8)=0,NA(),IF(Inputs!$C$17="Rebased to 100",$G738/G$8*100,$G738)))))</f>
        <v/>
      </c>
      <c r="N738" s="54">
        <f>IF($B738=0,NA(),IF(Inputs!$C$18&lt;&gt;"Yes",NA(),IF(COUNT(I738,J738,K738,L738,M738)=0,NA(),MIN(I738,J738,K738,L738,M738))))</f>
        <v/>
      </c>
      <c r="O738" s="54">
        <f>IF($B738=0,NA(),IF(Inputs!$B$24&lt;&gt;"Yes",NA(),Inputs!$D$24*Inputs!$C$35))</f>
        <v/>
      </c>
      <c r="P738" s="54">
        <f>IF($B738=0,NA(),IF(Inputs!$B$25&lt;&gt;"Yes",NA(),Inputs!$D$25*Inputs!$C$35))</f>
        <v/>
      </c>
      <c r="Q738" s="54">
        <f>IF($B738=0,NA(),IF(Inputs!$B$26&lt;&gt;"Yes",NA(),Inputs!$D$26*Inputs!$C$35))</f>
        <v/>
      </c>
      <c r="R738" s="54">
        <f>IF($B738=0,NA(),IF(Inputs!$B$27&lt;&gt;"Yes",NA(),Inputs!$D$27*Inputs!$C$35))</f>
        <v/>
      </c>
      <c r="S738" s="54">
        <f>IF($B738=0,NA(),IF(Inputs!$B$28&lt;&gt;"Yes",NA(),Inputs!$D$28*Inputs!$C$35))</f>
        <v/>
      </c>
      <c r="T738" s="54">
        <f>IF($B738=0,NA(),IF(Inputs!$B$29&lt;&gt;"Yes",NA(),Inputs!$D$29*Inputs!$C$35))</f>
        <v/>
      </c>
      <c r="AD738">
        <f>IF($B738=0,0,IF(Inputs!$B$6="",0,COUNTIFS(Data!$A$10:$A$3209,"&gt;="&amp;$A738,Data!$A$10:$A$3209,"&lt;"&amp;$A738+1)))</f>
        <v/>
      </c>
      <c r="AE738">
        <f>IF($B738=0,0,IF(Inputs!$B$7="",0,COUNTIFS(Data!$E$10:$E$3209,"&gt;="&amp;$A738,Data!$E$10:$E$3209,"&lt;"&amp;$A738+1)))</f>
        <v/>
      </c>
      <c r="AF738">
        <f>IF($B738=0,0,IF(Inputs!$B$8="",0,COUNTIFS(Data!$I$10:$I$3209,"&gt;="&amp;$A738,Data!$I$10:$I$3209,"&lt;"&amp;$A738+1)))</f>
        <v/>
      </c>
      <c r="AG738">
        <f>IF($B738=0,0,IF(Inputs!$B$9="",0,COUNTIFS(Data!$M$10:$M$3209,"&gt;="&amp;$A738,Data!$M$10:$M$3209,"&lt;"&amp;$A738+1)))</f>
        <v/>
      </c>
      <c r="AH738">
        <f>IF($B738=0,0,IF(Inputs!$B$10="",0,COUNTIFS(Data!$Q$10:$Q$3209,"&gt;="&amp;$A738,Data!$Q$10:$Q$3209,"&lt;"&amp;$A738+1)))</f>
        <v/>
      </c>
    </row>
    <row r="739">
      <c r="A739" s="55">
        <f>MIN(Inputs!$C$15,$A738+IF(WEEKDAY($A738,2)=5,3,1))</f>
        <v/>
      </c>
      <c r="B739">
        <f>IF($A739&gt;$A738,1,0)</f>
        <v/>
      </c>
      <c r="C739" s="56">
        <f>IF($B739=0,"",IF(Inputs!$B$6="","",IF($AD739=0,C738,SUMIFS(Data!$B$10:$B$3209,Data!$A$10:$A$3209,"&gt;="&amp;$A739,Data!$A$10:$A$3209,"&lt;"&amp;$A739+1)/$AD739)))</f>
        <v/>
      </c>
      <c r="D739" s="56">
        <f>IF($B739=0,"",IF(Inputs!$B$7="","",IF($AE739=0,D738,SUMIFS(Data!$F$10:$F$3209,Data!$E$10:$E$3209,"&gt;="&amp;$A739,Data!$E$10:$E$3209,"&lt;"&amp;$A739+1)/$AE739)))</f>
        <v/>
      </c>
      <c r="E739" s="56">
        <f>IF($B739=0,"",IF(Inputs!$B$8="","",IF($AF739=0,E738,SUMIFS(Data!$J$10:$J$3209,Data!$I$10:$I$3209,"&gt;="&amp;$A739,Data!$I$10:$I$3209,"&lt;"&amp;$A739+1)/$AF739)))</f>
        <v/>
      </c>
      <c r="F739" s="56">
        <f>IF($B739=0,"",IF(Inputs!$B$9="","",IF($AG739=0,F738,SUMIFS(Data!$N$10:$N$3209,Data!$M$10:$M$3209,"&gt;="&amp;$A739,Data!$M$10:$M$3209,"&lt;"&amp;$A739+1)/$AG739)))</f>
        <v/>
      </c>
      <c r="G739" s="56">
        <f>IF($B739=0,"",IF(Inputs!$B$10="","",IF($AH739=0,G738,SUMIFS(Data!$R$10:$R$3209,Data!$Q$10:$Q$3209,"&gt;="&amp;$A739,Data!$Q$10:$Q$3209,"&lt;"&amp;$A739+1)/$AH739)))</f>
        <v/>
      </c>
      <c r="I739" s="54">
        <f>IF($B739=0,NA(),IF($C739="",NA(),IF(C$8="",NA(),IF(N(C$8)=0,NA(),IF(Inputs!$C$17="Rebased to 100",$C739/C$8*100,$C739)))))</f>
        <v/>
      </c>
      <c r="J739" s="54">
        <f>IF($B739=0,NA(),IF($D739="",NA(),IF(D$8="",NA(),IF(N(D$8)=0,NA(),IF(Inputs!$C$17="Rebased to 100",$D739/D$8*100,$D739)))))</f>
        <v/>
      </c>
      <c r="K739" s="54">
        <f>IF($B739=0,NA(),IF($E739="",NA(),IF(E$8="",NA(),IF(N(E$8)=0,NA(),IF(Inputs!$C$17="Rebased to 100",$E739/E$8*100,$E739)))))</f>
        <v/>
      </c>
      <c r="L739" s="54">
        <f>IF($B739=0,NA(),IF($F739="",NA(),IF(F$8="",NA(),IF(N(F$8)=0,NA(),IF(Inputs!$C$17="Rebased to 100",$F739/F$8*100,$F739)))))</f>
        <v/>
      </c>
      <c r="M739" s="54">
        <f>IF($B739=0,NA(),IF($G739="",NA(),IF(G$8="",NA(),IF(N(G$8)=0,NA(),IF(Inputs!$C$17="Rebased to 100",$G739/G$8*100,$G739)))))</f>
        <v/>
      </c>
      <c r="N739" s="54">
        <f>IF($B739=0,NA(),IF(Inputs!$C$18&lt;&gt;"Yes",NA(),IF(COUNT(I739,J739,K739,L739,M739)=0,NA(),MIN(I739,J739,K739,L739,M739))))</f>
        <v/>
      </c>
      <c r="O739" s="54">
        <f>IF($B739=0,NA(),IF(Inputs!$B$24&lt;&gt;"Yes",NA(),Inputs!$D$24*Inputs!$C$35))</f>
        <v/>
      </c>
      <c r="P739" s="54">
        <f>IF($B739=0,NA(),IF(Inputs!$B$25&lt;&gt;"Yes",NA(),Inputs!$D$25*Inputs!$C$35))</f>
        <v/>
      </c>
      <c r="Q739" s="54">
        <f>IF($B739=0,NA(),IF(Inputs!$B$26&lt;&gt;"Yes",NA(),Inputs!$D$26*Inputs!$C$35))</f>
        <v/>
      </c>
      <c r="R739" s="54">
        <f>IF($B739=0,NA(),IF(Inputs!$B$27&lt;&gt;"Yes",NA(),Inputs!$D$27*Inputs!$C$35))</f>
        <v/>
      </c>
      <c r="S739" s="54">
        <f>IF($B739=0,NA(),IF(Inputs!$B$28&lt;&gt;"Yes",NA(),Inputs!$D$28*Inputs!$C$35))</f>
        <v/>
      </c>
      <c r="T739" s="54">
        <f>IF($B739=0,NA(),IF(Inputs!$B$29&lt;&gt;"Yes",NA(),Inputs!$D$29*Inputs!$C$35))</f>
        <v/>
      </c>
      <c r="AD739">
        <f>IF($B739=0,0,IF(Inputs!$B$6="",0,COUNTIFS(Data!$A$10:$A$3209,"&gt;="&amp;$A739,Data!$A$10:$A$3209,"&lt;"&amp;$A739+1)))</f>
        <v/>
      </c>
      <c r="AE739">
        <f>IF($B739=0,0,IF(Inputs!$B$7="",0,COUNTIFS(Data!$E$10:$E$3209,"&gt;="&amp;$A739,Data!$E$10:$E$3209,"&lt;"&amp;$A739+1)))</f>
        <v/>
      </c>
      <c r="AF739">
        <f>IF($B739=0,0,IF(Inputs!$B$8="",0,COUNTIFS(Data!$I$10:$I$3209,"&gt;="&amp;$A739,Data!$I$10:$I$3209,"&lt;"&amp;$A739+1)))</f>
        <v/>
      </c>
      <c r="AG739">
        <f>IF($B739=0,0,IF(Inputs!$B$9="",0,COUNTIFS(Data!$M$10:$M$3209,"&gt;="&amp;$A739,Data!$M$10:$M$3209,"&lt;"&amp;$A739+1)))</f>
        <v/>
      </c>
      <c r="AH739">
        <f>IF($B739=0,0,IF(Inputs!$B$10="",0,COUNTIFS(Data!$Q$10:$Q$3209,"&gt;="&amp;$A739,Data!$Q$10:$Q$3209,"&lt;"&amp;$A739+1)))</f>
        <v/>
      </c>
    </row>
    <row r="740">
      <c r="A740" s="55">
        <f>MIN(Inputs!$C$15,$A739+IF(WEEKDAY($A739,2)=5,3,1))</f>
        <v/>
      </c>
      <c r="B740">
        <f>IF($A740&gt;$A739,1,0)</f>
        <v/>
      </c>
      <c r="C740" s="56">
        <f>IF($B740=0,"",IF(Inputs!$B$6="","",IF($AD740=0,C739,SUMIFS(Data!$B$10:$B$3209,Data!$A$10:$A$3209,"&gt;="&amp;$A740,Data!$A$10:$A$3209,"&lt;"&amp;$A740+1)/$AD740)))</f>
        <v/>
      </c>
      <c r="D740" s="56">
        <f>IF($B740=0,"",IF(Inputs!$B$7="","",IF($AE740=0,D739,SUMIFS(Data!$F$10:$F$3209,Data!$E$10:$E$3209,"&gt;="&amp;$A740,Data!$E$10:$E$3209,"&lt;"&amp;$A740+1)/$AE740)))</f>
        <v/>
      </c>
      <c r="E740" s="56">
        <f>IF($B740=0,"",IF(Inputs!$B$8="","",IF($AF740=0,E739,SUMIFS(Data!$J$10:$J$3209,Data!$I$10:$I$3209,"&gt;="&amp;$A740,Data!$I$10:$I$3209,"&lt;"&amp;$A740+1)/$AF740)))</f>
        <v/>
      </c>
      <c r="F740" s="56">
        <f>IF($B740=0,"",IF(Inputs!$B$9="","",IF($AG740=0,F739,SUMIFS(Data!$N$10:$N$3209,Data!$M$10:$M$3209,"&gt;="&amp;$A740,Data!$M$10:$M$3209,"&lt;"&amp;$A740+1)/$AG740)))</f>
        <v/>
      </c>
      <c r="G740" s="56">
        <f>IF($B740=0,"",IF(Inputs!$B$10="","",IF($AH740=0,G739,SUMIFS(Data!$R$10:$R$3209,Data!$Q$10:$Q$3209,"&gt;="&amp;$A740,Data!$Q$10:$Q$3209,"&lt;"&amp;$A740+1)/$AH740)))</f>
        <v/>
      </c>
      <c r="I740" s="54">
        <f>IF($B740=0,NA(),IF($C740="",NA(),IF(C$8="",NA(),IF(N(C$8)=0,NA(),IF(Inputs!$C$17="Rebased to 100",$C740/C$8*100,$C740)))))</f>
        <v/>
      </c>
      <c r="J740" s="54">
        <f>IF($B740=0,NA(),IF($D740="",NA(),IF(D$8="",NA(),IF(N(D$8)=0,NA(),IF(Inputs!$C$17="Rebased to 100",$D740/D$8*100,$D740)))))</f>
        <v/>
      </c>
      <c r="K740" s="54">
        <f>IF($B740=0,NA(),IF($E740="",NA(),IF(E$8="",NA(),IF(N(E$8)=0,NA(),IF(Inputs!$C$17="Rebased to 100",$E740/E$8*100,$E740)))))</f>
        <v/>
      </c>
      <c r="L740" s="54">
        <f>IF($B740=0,NA(),IF($F740="",NA(),IF(F$8="",NA(),IF(N(F$8)=0,NA(),IF(Inputs!$C$17="Rebased to 100",$F740/F$8*100,$F740)))))</f>
        <v/>
      </c>
      <c r="M740" s="54">
        <f>IF($B740=0,NA(),IF($G740="",NA(),IF(G$8="",NA(),IF(N(G$8)=0,NA(),IF(Inputs!$C$17="Rebased to 100",$G740/G$8*100,$G740)))))</f>
        <v/>
      </c>
      <c r="N740" s="54">
        <f>IF($B740=0,NA(),IF(Inputs!$C$18&lt;&gt;"Yes",NA(),IF(COUNT(I740,J740,K740,L740,M740)=0,NA(),MIN(I740,J740,K740,L740,M740))))</f>
        <v/>
      </c>
      <c r="O740" s="54">
        <f>IF($B740=0,NA(),IF(Inputs!$B$24&lt;&gt;"Yes",NA(),Inputs!$D$24*Inputs!$C$35))</f>
        <v/>
      </c>
      <c r="P740" s="54">
        <f>IF($B740=0,NA(),IF(Inputs!$B$25&lt;&gt;"Yes",NA(),Inputs!$D$25*Inputs!$C$35))</f>
        <v/>
      </c>
      <c r="Q740" s="54">
        <f>IF($B740=0,NA(),IF(Inputs!$B$26&lt;&gt;"Yes",NA(),Inputs!$D$26*Inputs!$C$35))</f>
        <v/>
      </c>
      <c r="R740" s="54">
        <f>IF($B740=0,NA(),IF(Inputs!$B$27&lt;&gt;"Yes",NA(),Inputs!$D$27*Inputs!$C$35))</f>
        <v/>
      </c>
      <c r="S740" s="54">
        <f>IF($B740=0,NA(),IF(Inputs!$B$28&lt;&gt;"Yes",NA(),Inputs!$D$28*Inputs!$C$35))</f>
        <v/>
      </c>
      <c r="T740" s="54">
        <f>IF($B740=0,NA(),IF(Inputs!$B$29&lt;&gt;"Yes",NA(),Inputs!$D$29*Inputs!$C$35))</f>
        <v/>
      </c>
      <c r="AD740">
        <f>IF($B740=0,0,IF(Inputs!$B$6="",0,COUNTIFS(Data!$A$10:$A$3209,"&gt;="&amp;$A740,Data!$A$10:$A$3209,"&lt;"&amp;$A740+1)))</f>
        <v/>
      </c>
      <c r="AE740">
        <f>IF($B740=0,0,IF(Inputs!$B$7="",0,COUNTIFS(Data!$E$10:$E$3209,"&gt;="&amp;$A740,Data!$E$10:$E$3209,"&lt;"&amp;$A740+1)))</f>
        <v/>
      </c>
      <c r="AF740">
        <f>IF($B740=0,0,IF(Inputs!$B$8="",0,COUNTIFS(Data!$I$10:$I$3209,"&gt;="&amp;$A740,Data!$I$10:$I$3209,"&lt;"&amp;$A740+1)))</f>
        <v/>
      </c>
      <c r="AG740">
        <f>IF($B740=0,0,IF(Inputs!$B$9="",0,COUNTIFS(Data!$M$10:$M$3209,"&gt;="&amp;$A740,Data!$M$10:$M$3209,"&lt;"&amp;$A740+1)))</f>
        <v/>
      </c>
      <c r="AH740">
        <f>IF($B740=0,0,IF(Inputs!$B$10="",0,COUNTIFS(Data!$Q$10:$Q$3209,"&gt;="&amp;$A740,Data!$Q$10:$Q$3209,"&lt;"&amp;$A740+1)))</f>
        <v/>
      </c>
    </row>
    <row r="741">
      <c r="A741" s="55">
        <f>MIN(Inputs!$C$15,$A740+IF(WEEKDAY($A740,2)=5,3,1))</f>
        <v/>
      </c>
      <c r="B741">
        <f>IF($A741&gt;$A740,1,0)</f>
        <v/>
      </c>
      <c r="C741" s="56">
        <f>IF($B741=0,"",IF(Inputs!$B$6="","",IF($AD741=0,C740,SUMIFS(Data!$B$10:$B$3209,Data!$A$10:$A$3209,"&gt;="&amp;$A741,Data!$A$10:$A$3209,"&lt;"&amp;$A741+1)/$AD741)))</f>
        <v/>
      </c>
      <c r="D741" s="56">
        <f>IF($B741=0,"",IF(Inputs!$B$7="","",IF($AE741=0,D740,SUMIFS(Data!$F$10:$F$3209,Data!$E$10:$E$3209,"&gt;="&amp;$A741,Data!$E$10:$E$3209,"&lt;"&amp;$A741+1)/$AE741)))</f>
        <v/>
      </c>
      <c r="E741" s="56">
        <f>IF($B741=0,"",IF(Inputs!$B$8="","",IF($AF741=0,E740,SUMIFS(Data!$J$10:$J$3209,Data!$I$10:$I$3209,"&gt;="&amp;$A741,Data!$I$10:$I$3209,"&lt;"&amp;$A741+1)/$AF741)))</f>
        <v/>
      </c>
      <c r="F741" s="56">
        <f>IF($B741=0,"",IF(Inputs!$B$9="","",IF($AG741=0,F740,SUMIFS(Data!$N$10:$N$3209,Data!$M$10:$M$3209,"&gt;="&amp;$A741,Data!$M$10:$M$3209,"&lt;"&amp;$A741+1)/$AG741)))</f>
        <v/>
      </c>
      <c r="G741" s="56">
        <f>IF($B741=0,"",IF(Inputs!$B$10="","",IF($AH741=0,G740,SUMIFS(Data!$R$10:$R$3209,Data!$Q$10:$Q$3209,"&gt;="&amp;$A741,Data!$Q$10:$Q$3209,"&lt;"&amp;$A741+1)/$AH741)))</f>
        <v/>
      </c>
      <c r="I741" s="54">
        <f>IF($B741=0,NA(),IF($C741="",NA(),IF(C$8="",NA(),IF(N(C$8)=0,NA(),IF(Inputs!$C$17="Rebased to 100",$C741/C$8*100,$C741)))))</f>
        <v/>
      </c>
      <c r="J741" s="54">
        <f>IF($B741=0,NA(),IF($D741="",NA(),IF(D$8="",NA(),IF(N(D$8)=0,NA(),IF(Inputs!$C$17="Rebased to 100",$D741/D$8*100,$D741)))))</f>
        <v/>
      </c>
      <c r="K741" s="54">
        <f>IF($B741=0,NA(),IF($E741="",NA(),IF(E$8="",NA(),IF(N(E$8)=0,NA(),IF(Inputs!$C$17="Rebased to 100",$E741/E$8*100,$E741)))))</f>
        <v/>
      </c>
      <c r="L741" s="54">
        <f>IF($B741=0,NA(),IF($F741="",NA(),IF(F$8="",NA(),IF(N(F$8)=0,NA(),IF(Inputs!$C$17="Rebased to 100",$F741/F$8*100,$F741)))))</f>
        <v/>
      </c>
      <c r="M741" s="54">
        <f>IF($B741=0,NA(),IF($G741="",NA(),IF(G$8="",NA(),IF(N(G$8)=0,NA(),IF(Inputs!$C$17="Rebased to 100",$G741/G$8*100,$G741)))))</f>
        <v/>
      </c>
      <c r="N741" s="54">
        <f>IF($B741=0,NA(),IF(Inputs!$C$18&lt;&gt;"Yes",NA(),IF(COUNT(I741,J741,K741,L741,M741)=0,NA(),MIN(I741,J741,K741,L741,M741))))</f>
        <v/>
      </c>
      <c r="O741" s="54">
        <f>IF($B741=0,NA(),IF(Inputs!$B$24&lt;&gt;"Yes",NA(),Inputs!$D$24*Inputs!$C$35))</f>
        <v/>
      </c>
      <c r="P741" s="54">
        <f>IF($B741=0,NA(),IF(Inputs!$B$25&lt;&gt;"Yes",NA(),Inputs!$D$25*Inputs!$C$35))</f>
        <v/>
      </c>
      <c r="Q741" s="54">
        <f>IF($B741=0,NA(),IF(Inputs!$B$26&lt;&gt;"Yes",NA(),Inputs!$D$26*Inputs!$C$35))</f>
        <v/>
      </c>
      <c r="R741" s="54">
        <f>IF($B741=0,NA(),IF(Inputs!$B$27&lt;&gt;"Yes",NA(),Inputs!$D$27*Inputs!$C$35))</f>
        <v/>
      </c>
      <c r="S741" s="54">
        <f>IF($B741=0,NA(),IF(Inputs!$B$28&lt;&gt;"Yes",NA(),Inputs!$D$28*Inputs!$C$35))</f>
        <v/>
      </c>
      <c r="T741" s="54">
        <f>IF($B741=0,NA(),IF(Inputs!$B$29&lt;&gt;"Yes",NA(),Inputs!$D$29*Inputs!$C$35))</f>
        <v/>
      </c>
      <c r="AD741">
        <f>IF($B741=0,0,IF(Inputs!$B$6="",0,COUNTIFS(Data!$A$10:$A$3209,"&gt;="&amp;$A741,Data!$A$10:$A$3209,"&lt;"&amp;$A741+1)))</f>
        <v/>
      </c>
      <c r="AE741">
        <f>IF($B741=0,0,IF(Inputs!$B$7="",0,COUNTIFS(Data!$E$10:$E$3209,"&gt;="&amp;$A741,Data!$E$10:$E$3209,"&lt;"&amp;$A741+1)))</f>
        <v/>
      </c>
      <c r="AF741">
        <f>IF($B741=0,0,IF(Inputs!$B$8="",0,COUNTIFS(Data!$I$10:$I$3209,"&gt;="&amp;$A741,Data!$I$10:$I$3209,"&lt;"&amp;$A741+1)))</f>
        <v/>
      </c>
      <c r="AG741">
        <f>IF($B741=0,0,IF(Inputs!$B$9="",0,COUNTIFS(Data!$M$10:$M$3209,"&gt;="&amp;$A741,Data!$M$10:$M$3209,"&lt;"&amp;$A741+1)))</f>
        <v/>
      </c>
      <c r="AH741">
        <f>IF($B741=0,0,IF(Inputs!$B$10="",0,COUNTIFS(Data!$Q$10:$Q$3209,"&gt;="&amp;$A741,Data!$Q$10:$Q$3209,"&lt;"&amp;$A741+1)))</f>
        <v/>
      </c>
    </row>
    <row r="742">
      <c r="A742" s="55">
        <f>MIN(Inputs!$C$15,$A741+IF(WEEKDAY($A741,2)=5,3,1))</f>
        <v/>
      </c>
      <c r="B742">
        <f>IF($A742&gt;$A741,1,0)</f>
        <v/>
      </c>
      <c r="C742" s="56">
        <f>IF($B742=0,"",IF(Inputs!$B$6="","",IF($AD742=0,C741,SUMIFS(Data!$B$10:$B$3209,Data!$A$10:$A$3209,"&gt;="&amp;$A742,Data!$A$10:$A$3209,"&lt;"&amp;$A742+1)/$AD742)))</f>
        <v/>
      </c>
      <c r="D742" s="56">
        <f>IF($B742=0,"",IF(Inputs!$B$7="","",IF($AE742=0,D741,SUMIFS(Data!$F$10:$F$3209,Data!$E$10:$E$3209,"&gt;="&amp;$A742,Data!$E$10:$E$3209,"&lt;"&amp;$A742+1)/$AE742)))</f>
        <v/>
      </c>
      <c r="E742" s="56">
        <f>IF($B742=0,"",IF(Inputs!$B$8="","",IF($AF742=0,E741,SUMIFS(Data!$J$10:$J$3209,Data!$I$10:$I$3209,"&gt;="&amp;$A742,Data!$I$10:$I$3209,"&lt;"&amp;$A742+1)/$AF742)))</f>
        <v/>
      </c>
      <c r="F742" s="56">
        <f>IF($B742=0,"",IF(Inputs!$B$9="","",IF($AG742=0,F741,SUMIFS(Data!$N$10:$N$3209,Data!$M$10:$M$3209,"&gt;="&amp;$A742,Data!$M$10:$M$3209,"&lt;"&amp;$A742+1)/$AG742)))</f>
        <v/>
      </c>
      <c r="G742" s="56">
        <f>IF($B742=0,"",IF(Inputs!$B$10="","",IF($AH742=0,G741,SUMIFS(Data!$R$10:$R$3209,Data!$Q$10:$Q$3209,"&gt;="&amp;$A742,Data!$Q$10:$Q$3209,"&lt;"&amp;$A742+1)/$AH742)))</f>
        <v/>
      </c>
      <c r="I742" s="54">
        <f>IF($B742=0,NA(),IF($C742="",NA(),IF(C$8="",NA(),IF(N(C$8)=0,NA(),IF(Inputs!$C$17="Rebased to 100",$C742/C$8*100,$C742)))))</f>
        <v/>
      </c>
      <c r="J742" s="54">
        <f>IF($B742=0,NA(),IF($D742="",NA(),IF(D$8="",NA(),IF(N(D$8)=0,NA(),IF(Inputs!$C$17="Rebased to 100",$D742/D$8*100,$D742)))))</f>
        <v/>
      </c>
      <c r="K742" s="54">
        <f>IF($B742=0,NA(),IF($E742="",NA(),IF(E$8="",NA(),IF(N(E$8)=0,NA(),IF(Inputs!$C$17="Rebased to 100",$E742/E$8*100,$E742)))))</f>
        <v/>
      </c>
      <c r="L742" s="54">
        <f>IF($B742=0,NA(),IF($F742="",NA(),IF(F$8="",NA(),IF(N(F$8)=0,NA(),IF(Inputs!$C$17="Rebased to 100",$F742/F$8*100,$F742)))))</f>
        <v/>
      </c>
      <c r="M742" s="54">
        <f>IF($B742=0,NA(),IF($G742="",NA(),IF(G$8="",NA(),IF(N(G$8)=0,NA(),IF(Inputs!$C$17="Rebased to 100",$G742/G$8*100,$G742)))))</f>
        <v/>
      </c>
      <c r="N742" s="54">
        <f>IF($B742=0,NA(),IF(Inputs!$C$18&lt;&gt;"Yes",NA(),IF(COUNT(I742,J742,K742,L742,M742)=0,NA(),MIN(I742,J742,K742,L742,M742))))</f>
        <v/>
      </c>
      <c r="O742" s="54">
        <f>IF($B742=0,NA(),IF(Inputs!$B$24&lt;&gt;"Yes",NA(),Inputs!$D$24*Inputs!$C$35))</f>
        <v/>
      </c>
      <c r="P742" s="54">
        <f>IF($B742=0,NA(),IF(Inputs!$B$25&lt;&gt;"Yes",NA(),Inputs!$D$25*Inputs!$C$35))</f>
        <v/>
      </c>
      <c r="Q742" s="54">
        <f>IF($B742=0,NA(),IF(Inputs!$B$26&lt;&gt;"Yes",NA(),Inputs!$D$26*Inputs!$C$35))</f>
        <v/>
      </c>
      <c r="R742" s="54">
        <f>IF($B742=0,NA(),IF(Inputs!$B$27&lt;&gt;"Yes",NA(),Inputs!$D$27*Inputs!$C$35))</f>
        <v/>
      </c>
      <c r="S742" s="54">
        <f>IF($B742=0,NA(),IF(Inputs!$B$28&lt;&gt;"Yes",NA(),Inputs!$D$28*Inputs!$C$35))</f>
        <v/>
      </c>
      <c r="T742" s="54">
        <f>IF($B742=0,NA(),IF(Inputs!$B$29&lt;&gt;"Yes",NA(),Inputs!$D$29*Inputs!$C$35))</f>
        <v/>
      </c>
      <c r="AD742">
        <f>IF($B742=0,0,IF(Inputs!$B$6="",0,COUNTIFS(Data!$A$10:$A$3209,"&gt;="&amp;$A742,Data!$A$10:$A$3209,"&lt;"&amp;$A742+1)))</f>
        <v/>
      </c>
      <c r="AE742">
        <f>IF($B742=0,0,IF(Inputs!$B$7="",0,COUNTIFS(Data!$E$10:$E$3209,"&gt;="&amp;$A742,Data!$E$10:$E$3209,"&lt;"&amp;$A742+1)))</f>
        <v/>
      </c>
      <c r="AF742">
        <f>IF($B742=0,0,IF(Inputs!$B$8="",0,COUNTIFS(Data!$I$10:$I$3209,"&gt;="&amp;$A742,Data!$I$10:$I$3209,"&lt;"&amp;$A742+1)))</f>
        <v/>
      </c>
      <c r="AG742">
        <f>IF($B742=0,0,IF(Inputs!$B$9="",0,COUNTIFS(Data!$M$10:$M$3209,"&gt;="&amp;$A742,Data!$M$10:$M$3209,"&lt;"&amp;$A742+1)))</f>
        <v/>
      </c>
      <c r="AH742">
        <f>IF($B742=0,0,IF(Inputs!$B$10="",0,COUNTIFS(Data!$Q$10:$Q$3209,"&gt;="&amp;$A742,Data!$Q$10:$Q$3209,"&lt;"&amp;$A742+1)))</f>
        <v/>
      </c>
    </row>
    <row r="743">
      <c r="A743" s="55">
        <f>MIN(Inputs!$C$15,$A742+IF(WEEKDAY($A742,2)=5,3,1))</f>
        <v/>
      </c>
      <c r="B743">
        <f>IF($A743&gt;$A742,1,0)</f>
        <v/>
      </c>
      <c r="C743" s="56">
        <f>IF($B743=0,"",IF(Inputs!$B$6="","",IF($AD743=0,C742,SUMIFS(Data!$B$10:$B$3209,Data!$A$10:$A$3209,"&gt;="&amp;$A743,Data!$A$10:$A$3209,"&lt;"&amp;$A743+1)/$AD743)))</f>
        <v/>
      </c>
      <c r="D743" s="56">
        <f>IF($B743=0,"",IF(Inputs!$B$7="","",IF($AE743=0,D742,SUMIFS(Data!$F$10:$F$3209,Data!$E$10:$E$3209,"&gt;="&amp;$A743,Data!$E$10:$E$3209,"&lt;"&amp;$A743+1)/$AE743)))</f>
        <v/>
      </c>
      <c r="E743" s="56">
        <f>IF($B743=0,"",IF(Inputs!$B$8="","",IF($AF743=0,E742,SUMIFS(Data!$J$10:$J$3209,Data!$I$10:$I$3209,"&gt;="&amp;$A743,Data!$I$10:$I$3209,"&lt;"&amp;$A743+1)/$AF743)))</f>
        <v/>
      </c>
      <c r="F743" s="56">
        <f>IF($B743=0,"",IF(Inputs!$B$9="","",IF($AG743=0,F742,SUMIFS(Data!$N$10:$N$3209,Data!$M$10:$M$3209,"&gt;="&amp;$A743,Data!$M$10:$M$3209,"&lt;"&amp;$A743+1)/$AG743)))</f>
        <v/>
      </c>
      <c r="G743" s="56">
        <f>IF($B743=0,"",IF(Inputs!$B$10="","",IF($AH743=0,G742,SUMIFS(Data!$R$10:$R$3209,Data!$Q$10:$Q$3209,"&gt;="&amp;$A743,Data!$Q$10:$Q$3209,"&lt;"&amp;$A743+1)/$AH743)))</f>
        <v/>
      </c>
      <c r="I743" s="54">
        <f>IF($B743=0,NA(),IF($C743="",NA(),IF(C$8="",NA(),IF(N(C$8)=0,NA(),IF(Inputs!$C$17="Rebased to 100",$C743/C$8*100,$C743)))))</f>
        <v/>
      </c>
      <c r="J743" s="54">
        <f>IF($B743=0,NA(),IF($D743="",NA(),IF(D$8="",NA(),IF(N(D$8)=0,NA(),IF(Inputs!$C$17="Rebased to 100",$D743/D$8*100,$D743)))))</f>
        <v/>
      </c>
      <c r="K743" s="54">
        <f>IF($B743=0,NA(),IF($E743="",NA(),IF(E$8="",NA(),IF(N(E$8)=0,NA(),IF(Inputs!$C$17="Rebased to 100",$E743/E$8*100,$E743)))))</f>
        <v/>
      </c>
      <c r="L743" s="54">
        <f>IF($B743=0,NA(),IF($F743="",NA(),IF(F$8="",NA(),IF(N(F$8)=0,NA(),IF(Inputs!$C$17="Rebased to 100",$F743/F$8*100,$F743)))))</f>
        <v/>
      </c>
      <c r="M743" s="54">
        <f>IF($B743=0,NA(),IF($G743="",NA(),IF(G$8="",NA(),IF(N(G$8)=0,NA(),IF(Inputs!$C$17="Rebased to 100",$G743/G$8*100,$G743)))))</f>
        <v/>
      </c>
      <c r="N743" s="54">
        <f>IF($B743=0,NA(),IF(Inputs!$C$18&lt;&gt;"Yes",NA(),IF(COUNT(I743,J743,K743,L743,M743)=0,NA(),MIN(I743,J743,K743,L743,M743))))</f>
        <v/>
      </c>
      <c r="O743" s="54">
        <f>IF($B743=0,NA(),IF(Inputs!$B$24&lt;&gt;"Yes",NA(),Inputs!$D$24*Inputs!$C$35))</f>
        <v/>
      </c>
      <c r="P743" s="54">
        <f>IF($B743=0,NA(),IF(Inputs!$B$25&lt;&gt;"Yes",NA(),Inputs!$D$25*Inputs!$C$35))</f>
        <v/>
      </c>
      <c r="Q743" s="54">
        <f>IF($B743=0,NA(),IF(Inputs!$B$26&lt;&gt;"Yes",NA(),Inputs!$D$26*Inputs!$C$35))</f>
        <v/>
      </c>
      <c r="R743" s="54">
        <f>IF($B743=0,NA(),IF(Inputs!$B$27&lt;&gt;"Yes",NA(),Inputs!$D$27*Inputs!$C$35))</f>
        <v/>
      </c>
      <c r="S743" s="54">
        <f>IF($B743=0,NA(),IF(Inputs!$B$28&lt;&gt;"Yes",NA(),Inputs!$D$28*Inputs!$C$35))</f>
        <v/>
      </c>
      <c r="T743" s="54">
        <f>IF($B743=0,NA(),IF(Inputs!$B$29&lt;&gt;"Yes",NA(),Inputs!$D$29*Inputs!$C$35))</f>
        <v/>
      </c>
      <c r="AD743">
        <f>IF($B743=0,0,IF(Inputs!$B$6="",0,COUNTIFS(Data!$A$10:$A$3209,"&gt;="&amp;$A743,Data!$A$10:$A$3209,"&lt;"&amp;$A743+1)))</f>
        <v/>
      </c>
      <c r="AE743">
        <f>IF($B743=0,0,IF(Inputs!$B$7="",0,COUNTIFS(Data!$E$10:$E$3209,"&gt;="&amp;$A743,Data!$E$10:$E$3209,"&lt;"&amp;$A743+1)))</f>
        <v/>
      </c>
      <c r="AF743">
        <f>IF($B743=0,0,IF(Inputs!$B$8="",0,COUNTIFS(Data!$I$10:$I$3209,"&gt;="&amp;$A743,Data!$I$10:$I$3209,"&lt;"&amp;$A743+1)))</f>
        <v/>
      </c>
      <c r="AG743">
        <f>IF($B743=0,0,IF(Inputs!$B$9="",0,COUNTIFS(Data!$M$10:$M$3209,"&gt;="&amp;$A743,Data!$M$10:$M$3209,"&lt;"&amp;$A743+1)))</f>
        <v/>
      </c>
      <c r="AH743">
        <f>IF($B743=0,0,IF(Inputs!$B$10="",0,COUNTIFS(Data!$Q$10:$Q$3209,"&gt;="&amp;$A743,Data!$Q$10:$Q$3209,"&lt;"&amp;$A743+1)))</f>
        <v/>
      </c>
    </row>
    <row r="744">
      <c r="A744" s="55">
        <f>MIN(Inputs!$C$15,$A743+IF(WEEKDAY($A743,2)=5,3,1))</f>
        <v/>
      </c>
      <c r="B744">
        <f>IF($A744&gt;$A743,1,0)</f>
        <v/>
      </c>
      <c r="C744" s="56">
        <f>IF($B744=0,"",IF(Inputs!$B$6="","",IF($AD744=0,C743,SUMIFS(Data!$B$10:$B$3209,Data!$A$10:$A$3209,"&gt;="&amp;$A744,Data!$A$10:$A$3209,"&lt;"&amp;$A744+1)/$AD744)))</f>
        <v/>
      </c>
      <c r="D744" s="56">
        <f>IF($B744=0,"",IF(Inputs!$B$7="","",IF($AE744=0,D743,SUMIFS(Data!$F$10:$F$3209,Data!$E$10:$E$3209,"&gt;="&amp;$A744,Data!$E$10:$E$3209,"&lt;"&amp;$A744+1)/$AE744)))</f>
        <v/>
      </c>
      <c r="E744" s="56">
        <f>IF($B744=0,"",IF(Inputs!$B$8="","",IF($AF744=0,E743,SUMIFS(Data!$J$10:$J$3209,Data!$I$10:$I$3209,"&gt;="&amp;$A744,Data!$I$10:$I$3209,"&lt;"&amp;$A744+1)/$AF744)))</f>
        <v/>
      </c>
      <c r="F744" s="56">
        <f>IF($B744=0,"",IF(Inputs!$B$9="","",IF($AG744=0,F743,SUMIFS(Data!$N$10:$N$3209,Data!$M$10:$M$3209,"&gt;="&amp;$A744,Data!$M$10:$M$3209,"&lt;"&amp;$A744+1)/$AG744)))</f>
        <v/>
      </c>
      <c r="G744" s="56">
        <f>IF($B744=0,"",IF(Inputs!$B$10="","",IF($AH744=0,G743,SUMIFS(Data!$R$10:$R$3209,Data!$Q$10:$Q$3209,"&gt;="&amp;$A744,Data!$Q$10:$Q$3209,"&lt;"&amp;$A744+1)/$AH744)))</f>
        <v/>
      </c>
      <c r="I744" s="54">
        <f>IF($B744=0,NA(),IF($C744="",NA(),IF(C$8="",NA(),IF(N(C$8)=0,NA(),IF(Inputs!$C$17="Rebased to 100",$C744/C$8*100,$C744)))))</f>
        <v/>
      </c>
      <c r="J744" s="54">
        <f>IF($B744=0,NA(),IF($D744="",NA(),IF(D$8="",NA(),IF(N(D$8)=0,NA(),IF(Inputs!$C$17="Rebased to 100",$D744/D$8*100,$D744)))))</f>
        <v/>
      </c>
      <c r="K744" s="54">
        <f>IF($B744=0,NA(),IF($E744="",NA(),IF(E$8="",NA(),IF(N(E$8)=0,NA(),IF(Inputs!$C$17="Rebased to 100",$E744/E$8*100,$E744)))))</f>
        <v/>
      </c>
      <c r="L744" s="54">
        <f>IF($B744=0,NA(),IF($F744="",NA(),IF(F$8="",NA(),IF(N(F$8)=0,NA(),IF(Inputs!$C$17="Rebased to 100",$F744/F$8*100,$F744)))))</f>
        <v/>
      </c>
      <c r="M744" s="54">
        <f>IF($B744=0,NA(),IF($G744="",NA(),IF(G$8="",NA(),IF(N(G$8)=0,NA(),IF(Inputs!$C$17="Rebased to 100",$G744/G$8*100,$G744)))))</f>
        <v/>
      </c>
      <c r="N744" s="54">
        <f>IF($B744=0,NA(),IF(Inputs!$C$18&lt;&gt;"Yes",NA(),IF(COUNT(I744,J744,K744,L744,M744)=0,NA(),MIN(I744,J744,K744,L744,M744))))</f>
        <v/>
      </c>
      <c r="O744" s="54">
        <f>IF($B744=0,NA(),IF(Inputs!$B$24&lt;&gt;"Yes",NA(),Inputs!$D$24*Inputs!$C$35))</f>
        <v/>
      </c>
      <c r="P744" s="54">
        <f>IF($B744=0,NA(),IF(Inputs!$B$25&lt;&gt;"Yes",NA(),Inputs!$D$25*Inputs!$C$35))</f>
        <v/>
      </c>
      <c r="Q744" s="54">
        <f>IF($B744=0,NA(),IF(Inputs!$B$26&lt;&gt;"Yes",NA(),Inputs!$D$26*Inputs!$C$35))</f>
        <v/>
      </c>
      <c r="R744" s="54">
        <f>IF($B744=0,NA(),IF(Inputs!$B$27&lt;&gt;"Yes",NA(),Inputs!$D$27*Inputs!$C$35))</f>
        <v/>
      </c>
      <c r="S744" s="54">
        <f>IF($B744=0,NA(),IF(Inputs!$B$28&lt;&gt;"Yes",NA(),Inputs!$D$28*Inputs!$C$35))</f>
        <v/>
      </c>
      <c r="T744" s="54">
        <f>IF($B744=0,NA(),IF(Inputs!$B$29&lt;&gt;"Yes",NA(),Inputs!$D$29*Inputs!$C$35))</f>
        <v/>
      </c>
      <c r="AD744">
        <f>IF($B744=0,0,IF(Inputs!$B$6="",0,COUNTIFS(Data!$A$10:$A$3209,"&gt;="&amp;$A744,Data!$A$10:$A$3209,"&lt;"&amp;$A744+1)))</f>
        <v/>
      </c>
      <c r="AE744">
        <f>IF($B744=0,0,IF(Inputs!$B$7="",0,COUNTIFS(Data!$E$10:$E$3209,"&gt;="&amp;$A744,Data!$E$10:$E$3209,"&lt;"&amp;$A744+1)))</f>
        <v/>
      </c>
      <c r="AF744">
        <f>IF($B744=0,0,IF(Inputs!$B$8="",0,COUNTIFS(Data!$I$10:$I$3209,"&gt;="&amp;$A744,Data!$I$10:$I$3209,"&lt;"&amp;$A744+1)))</f>
        <v/>
      </c>
      <c r="AG744">
        <f>IF($B744=0,0,IF(Inputs!$B$9="",0,COUNTIFS(Data!$M$10:$M$3209,"&gt;="&amp;$A744,Data!$M$10:$M$3209,"&lt;"&amp;$A744+1)))</f>
        <v/>
      </c>
      <c r="AH744">
        <f>IF($B744=0,0,IF(Inputs!$B$10="",0,COUNTIFS(Data!$Q$10:$Q$3209,"&gt;="&amp;$A744,Data!$Q$10:$Q$3209,"&lt;"&amp;$A744+1)))</f>
        <v/>
      </c>
    </row>
    <row r="745">
      <c r="A745" s="55">
        <f>MIN(Inputs!$C$15,$A744+IF(WEEKDAY($A744,2)=5,3,1))</f>
        <v/>
      </c>
      <c r="B745">
        <f>IF($A745&gt;$A744,1,0)</f>
        <v/>
      </c>
      <c r="C745" s="56">
        <f>IF($B745=0,"",IF(Inputs!$B$6="","",IF($AD745=0,C744,SUMIFS(Data!$B$10:$B$3209,Data!$A$10:$A$3209,"&gt;="&amp;$A745,Data!$A$10:$A$3209,"&lt;"&amp;$A745+1)/$AD745)))</f>
        <v/>
      </c>
      <c r="D745" s="56">
        <f>IF($B745=0,"",IF(Inputs!$B$7="","",IF($AE745=0,D744,SUMIFS(Data!$F$10:$F$3209,Data!$E$10:$E$3209,"&gt;="&amp;$A745,Data!$E$10:$E$3209,"&lt;"&amp;$A745+1)/$AE745)))</f>
        <v/>
      </c>
      <c r="E745" s="56">
        <f>IF($B745=0,"",IF(Inputs!$B$8="","",IF($AF745=0,E744,SUMIFS(Data!$J$10:$J$3209,Data!$I$10:$I$3209,"&gt;="&amp;$A745,Data!$I$10:$I$3209,"&lt;"&amp;$A745+1)/$AF745)))</f>
        <v/>
      </c>
      <c r="F745" s="56">
        <f>IF($B745=0,"",IF(Inputs!$B$9="","",IF($AG745=0,F744,SUMIFS(Data!$N$10:$N$3209,Data!$M$10:$M$3209,"&gt;="&amp;$A745,Data!$M$10:$M$3209,"&lt;"&amp;$A745+1)/$AG745)))</f>
        <v/>
      </c>
      <c r="G745" s="56">
        <f>IF($B745=0,"",IF(Inputs!$B$10="","",IF($AH745=0,G744,SUMIFS(Data!$R$10:$R$3209,Data!$Q$10:$Q$3209,"&gt;="&amp;$A745,Data!$Q$10:$Q$3209,"&lt;"&amp;$A745+1)/$AH745)))</f>
        <v/>
      </c>
      <c r="I745" s="54">
        <f>IF($B745=0,NA(),IF($C745="",NA(),IF(C$8="",NA(),IF(N(C$8)=0,NA(),IF(Inputs!$C$17="Rebased to 100",$C745/C$8*100,$C745)))))</f>
        <v/>
      </c>
      <c r="J745" s="54">
        <f>IF($B745=0,NA(),IF($D745="",NA(),IF(D$8="",NA(),IF(N(D$8)=0,NA(),IF(Inputs!$C$17="Rebased to 100",$D745/D$8*100,$D745)))))</f>
        <v/>
      </c>
      <c r="K745" s="54">
        <f>IF($B745=0,NA(),IF($E745="",NA(),IF(E$8="",NA(),IF(N(E$8)=0,NA(),IF(Inputs!$C$17="Rebased to 100",$E745/E$8*100,$E745)))))</f>
        <v/>
      </c>
      <c r="L745" s="54">
        <f>IF($B745=0,NA(),IF($F745="",NA(),IF(F$8="",NA(),IF(N(F$8)=0,NA(),IF(Inputs!$C$17="Rebased to 100",$F745/F$8*100,$F745)))))</f>
        <v/>
      </c>
      <c r="M745" s="54">
        <f>IF($B745=0,NA(),IF($G745="",NA(),IF(G$8="",NA(),IF(N(G$8)=0,NA(),IF(Inputs!$C$17="Rebased to 100",$G745/G$8*100,$G745)))))</f>
        <v/>
      </c>
      <c r="N745" s="54">
        <f>IF($B745=0,NA(),IF(Inputs!$C$18&lt;&gt;"Yes",NA(),IF(COUNT(I745,J745,K745,L745,M745)=0,NA(),MIN(I745,J745,K745,L745,M745))))</f>
        <v/>
      </c>
      <c r="O745" s="54">
        <f>IF($B745=0,NA(),IF(Inputs!$B$24&lt;&gt;"Yes",NA(),Inputs!$D$24*Inputs!$C$35))</f>
        <v/>
      </c>
      <c r="P745" s="54">
        <f>IF($B745=0,NA(),IF(Inputs!$B$25&lt;&gt;"Yes",NA(),Inputs!$D$25*Inputs!$C$35))</f>
        <v/>
      </c>
      <c r="Q745" s="54">
        <f>IF($B745=0,NA(),IF(Inputs!$B$26&lt;&gt;"Yes",NA(),Inputs!$D$26*Inputs!$C$35))</f>
        <v/>
      </c>
      <c r="R745" s="54">
        <f>IF($B745=0,NA(),IF(Inputs!$B$27&lt;&gt;"Yes",NA(),Inputs!$D$27*Inputs!$C$35))</f>
        <v/>
      </c>
      <c r="S745" s="54">
        <f>IF($B745=0,NA(),IF(Inputs!$B$28&lt;&gt;"Yes",NA(),Inputs!$D$28*Inputs!$C$35))</f>
        <v/>
      </c>
      <c r="T745" s="54">
        <f>IF($B745=0,NA(),IF(Inputs!$B$29&lt;&gt;"Yes",NA(),Inputs!$D$29*Inputs!$C$35))</f>
        <v/>
      </c>
      <c r="AD745">
        <f>IF($B745=0,0,IF(Inputs!$B$6="",0,COUNTIFS(Data!$A$10:$A$3209,"&gt;="&amp;$A745,Data!$A$10:$A$3209,"&lt;"&amp;$A745+1)))</f>
        <v/>
      </c>
      <c r="AE745">
        <f>IF($B745=0,0,IF(Inputs!$B$7="",0,COUNTIFS(Data!$E$10:$E$3209,"&gt;="&amp;$A745,Data!$E$10:$E$3209,"&lt;"&amp;$A745+1)))</f>
        <v/>
      </c>
      <c r="AF745">
        <f>IF($B745=0,0,IF(Inputs!$B$8="",0,COUNTIFS(Data!$I$10:$I$3209,"&gt;="&amp;$A745,Data!$I$10:$I$3209,"&lt;"&amp;$A745+1)))</f>
        <v/>
      </c>
      <c r="AG745">
        <f>IF($B745=0,0,IF(Inputs!$B$9="",0,COUNTIFS(Data!$M$10:$M$3209,"&gt;="&amp;$A745,Data!$M$10:$M$3209,"&lt;"&amp;$A745+1)))</f>
        <v/>
      </c>
      <c r="AH745">
        <f>IF($B745=0,0,IF(Inputs!$B$10="",0,COUNTIFS(Data!$Q$10:$Q$3209,"&gt;="&amp;$A745,Data!$Q$10:$Q$3209,"&lt;"&amp;$A745+1)))</f>
        <v/>
      </c>
    </row>
    <row r="746">
      <c r="A746" s="55">
        <f>MIN(Inputs!$C$15,$A745+IF(WEEKDAY($A745,2)=5,3,1))</f>
        <v/>
      </c>
      <c r="B746">
        <f>IF($A746&gt;$A745,1,0)</f>
        <v/>
      </c>
      <c r="C746" s="56">
        <f>IF($B746=0,"",IF(Inputs!$B$6="","",IF($AD746=0,C745,SUMIFS(Data!$B$10:$B$3209,Data!$A$10:$A$3209,"&gt;="&amp;$A746,Data!$A$10:$A$3209,"&lt;"&amp;$A746+1)/$AD746)))</f>
        <v/>
      </c>
      <c r="D746" s="56">
        <f>IF($B746=0,"",IF(Inputs!$B$7="","",IF($AE746=0,D745,SUMIFS(Data!$F$10:$F$3209,Data!$E$10:$E$3209,"&gt;="&amp;$A746,Data!$E$10:$E$3209,"&lt;"&amp;$A746+1)/$AE746)))</f>
        <v/>
      </c>
      <c r="E746" s="56">
        <f>IF($B746=0,"",IF(Inputs!$B$8="","",IF($AF746=0,E745,SUMIFS(Data!$J$10:$J$3209,Data!$I$10:$I$3209,"&gt;="&amp;$A746,Data!$I$10:$I$3209,"&lt;"&amp;$A746+1)/$AF746)))</f>
        <v/>
      </c>
      <c r="F746" s="56">
        <f>IF($B746=0,"",IF(Inputs!$B$9="","",IF($AG746=0,F745,SUMIFS(Data!$N$10:$N$3209,Data!$M$10:$M$3209,"&gt;="&amp;$A746,Data!$M$10:$M$3209,"&lt;"&amp;$A746+1)/$AG746)))</f>
        <v/>
      </c>
      <c r="G746" s="56">
        <f>IF($B746=0,"",IF(Inputs!$B$10="","",IF($AH746=0,G745,SUMIFS(Data!$R$10:$R$3209,Data!$Q$10:$Q$3209,"&gt;="&amp;$A746,Data!$Q$10:$Q$3209,"&lt;"&amp;$A746+1)/$AH746)))</f>
        <v/>
      </c>
      <c r="I746" s="54">
        <f>IF($B746=0,NA(),IF($C746="",NA(),IF(C$8="",NA(),IF(N(C$8)=0,NA(),IF(Inputs!$C$17="Rebased to 100",$C746/C$8*100,$C746)))))</f>
        <v/>
      </c>
      <c r="J746" s="54">
        <f>IF($B746=0,NA(),IF($D746="",NA(),IF(D$8="",NA(),IF(N(D$8)=0,NA(),IF(Inputs!$C$17="Rebased to 100",$D746/D$8*100,$D746)))))</f>
        <v/>
      </c>
      <c r="K746" s="54">
        <f>IF($B746=0,NA(),IF($E746="",NA(),IF(E$8="",NA(),IF(N(E$8)=0,NA(),IF(Inputs!$C$17="Rebased to 100",$E746/E$8*100,$E746)))))</f>
        <v/>
      </c>
      <c r="L746" s="54">
        <f>IF($B746=0,NA(),IF($F746="",NA(),IF(F$8="",NA(),IF(N(F$8)=0,NA(),IF(Inputs!$C$17="Rebased to 100",$F746/F$8*100,$F746)))))</f>
        <v/>
      </c>
      <c r="M746" s="54">
        <f>IF($B746=0,NA(),IF($G746="",NA(),IF(G$8="",NA(),IF(N(G$8)=0,NA(),IF(Inputs!$C$17="Rebased to 100",$G746/G$8*100,$G746)))))</f>
        <v/>
      </c>
      <c r="N746" s="54">
        <f>IF($B746=0,NA(),IF(Inputs!$C$18&lt;&gt;"Yes",NA(),IF(COUNT(I746,J746,K746,L746,M746)=0,NA(),MIN(I746,J746,K746,L746,M746))))</f>
        <v/>
      </c>
      <c r="O746" s="54">
        <f>IF($B746=0,NA(),IF(Inputs!$B$24&lt;&gt;"Yes",NA(),Inputs!$D$24*Inputs!$C$35))</f>
        <v/>
      </c>
      <c r="P746" s="54">
        <f>IF($B746=0,NA(),IF(Inputs!$B$25&lt;&gt;"Yes",NA(),Inputs!$D$25*Inputs!$C$35))</f>
        <v/>
      </c>
      <c r="Q746" s="54">
        <f>IF($B746=0,NA(),IF(Inputs!$B$26&lt;&gt;"Yes",NA(),Inputs!$D$26*Inputs!$C$35))</f>
        <v/>
      </c>
      <c r="R746" s="54">
        <f>IF($B746=0,NA(),IF(Inputs!$B$27&lt;&gt;"Yes",NA(),Inputs!$D$27*Inputs!$C$35))</f>
        <v/>
      </c>
      <c r="S746" s="54">
        <f>IF($B746=0,NA(),IF(Inputs!$B$28&lt;&gt;"Yes",NA(),Inputs!$D$28*Inputs!$C$35))</f>
        <v/>
      </c>
      <c r="T746" s="54">
        <f>IF($B746=0,NA(),IF(Inputs!$B$29&lt;&gt;"Yes",NA(),Inputs!$D$29*Inputs!$C$35))</f>
        <v/>
      </c>
      <c r="AD746">
        <f>IF($B746=0,0,IF(Inputs!$B$6="",0,COUNTIFS(Data!$A$10:$A$3209,"&gt;="&amp;$A746,Data!$A$10:$A$3209,"&lt;"&amp;$A746+1)))</f>
        <v/>
      </c>
      <c r="AE746">
        <f>IF($B746=0,0,IF(Inputs!$B$7="",0,COUNTIFS(Data!$E$10:$E$3209,"&gt;="&amp;$A746,Data!$E$10:$E$3209,"&lt;"&amp;$A746+1)))</f>
        <v/>
      </c>
      <c r="AF746">
        <f>IF($B746=0,0,IF(Inputs!$B$8="",0,COUNTIFS(Data!$I$10:$I$3209,"&gt;="&amp;$A746,Data!$I$10:$I$3209,"&lt;"&amp;$A746+1)))</f>
        <v/>
      </c>
      <c r="AG746">
        <f>IF($B746=0,0,IF(Inputs!$B$9="",0,COUNTIFS(Data!$M$10:$M$3209,"&gt;="&amp;$A746,Data!$M$10:$M$3209,"&lt;"&amp;$A746+1)))</f>
        <v/>
      </c>
      <c r="AH746">
        <f>IF($B746=0,0,IF(Inputs!$B$10="",0,COUNTIFS(Data!$Q$10:$Q$3209,"&gt;="&amp;$A746,Data!$Q$10:$Q$3209,"&lt;"&amp;$A746+1)))</f>
        <v/>
      </c>
    </row>
    <row r="747">
      <c r="A747" s="55">
        <f>MIN(Inputs!$C$15,$A746+IF(WEEKDAY($A746,2)=5,3,1))</f>
        <v/>
      </c>
      <c r="B747">
        <f>IF($A747&gt;$A746,1,0)</f>
        <v/>
      </c>
      <c r="C747" s="56">
        <f>IF($B747=0,"",IF(Inputs!$B$6="","",IF($AD747=0,C746,SUMIFS(Data!$B$10:$B$3209,Data!$A$10:$A$3209,"&gt;="&amp;$A747,Data!$A$10:$A$3209,"&lt;"&amp;$A747+1)/$AD747)))</f>
        <v/>
      </c>
      <c r="D747" s="56">
        <f>IF($B747=0,"",IF(Inputs!$B$7="","",IF($AE747=0,D746,SUMIFS(Data!$F$10:$F$3209,Data!$E$10:$E$3209,"&gt;="&amp;$A747,Data!$E$10:$E$3209,"&lt;"&amp;$A747+1)/$AE747)))</f>
        <v/>
      </c>
      <c r="E747" s="56">
        <f>IF($B747=0,"",IF(Inputs!$B$8="","",IF($AF747=0,E746,SUMIFS(Data!$J$10:$J$3209,Data!$I$10:$I$3209,"&gt;="&amp;$A747,Data!$I$10:$I$3209,"&lt;"&amp;$A747+1)/$AF747)))</f>
        <v/>
      </c>
      <c r="F747" s="56">
        <f>IF($B747=0,"",IF(Inputs!$B$9="","",IF($AG747=0,F746,SUMIFS(Data!$N$10:$N$3209,Data!$M$10:$M$3209,"&gt;="&amp;$A747,Data!$M$10:$M$3209,"&lt;"&amp;$A747+1)/$AG747)))</f>
        <v/>
      </c>
      <c r="G747" s="56">
        <f>IF($B747=0,"",IF(Inputs!$B$10="","",IF($AH747=0,G746,SUMIFS(Data!$R$10:$R$3209,Data!$Q$10:$Q$3209,"&gt;="&amp;$A747,Data!$Q$10:$Q$3209,"&lt;"&amp;$A747+1)/$AH747)))</f>
        <v/>
      </c>
      <c r="I747" s="54">
        <f>IF($B747=0,NA(),IF($C747="",NA(),IF(C$8="",NA(),IF(N(C$8)=0,NA(),IF(Inputs!$C$17="Rebased to 100",$C747/C$8*100,$C747)))))</f>
        <v/>
      </c>
      <c r="J747" s="54">
        <f>IF($B747=0,NA(),IF($D747="",NA(),IF(D$8="",NA(),IF(N(D$8)=0,NA(),IF(Inputs!$C$17="Rebased to 100",$D747/D$8*100,$D747)))))</f>
        <v/>
      </c>
      <c r="K747" s="54">
        <f>IF($B747=0,NA(),IF($E747="",NA(),IF(E$8="",NA(),IF(N(E$8)=0,NA(),IF(Inputs!$C$17="Rebased to 100",$E747/E$8*100,$E747)))))</f>
        <v/>
      </c>
      <c r="L747" s="54">
        <f>IF($B747=0,NA(),IF($F747="",NA(),IF(F$8="",NA(),IF(N(F$8)=0,NA(),IF(Inputs!$C$17="Rebased to 100",$F747/F$8*100,$F747)))))</f>
        <v/>
      </c>
      <c r="M747" s="54">
        <f>IF($B747=0,NA(),IF($G747="",NA(),IF(G$8="",NA(),IF(N(G$8)=0,NA(),IF(Inputs!$C$17="Rebased to 100",$G747/G$8*100,$G747)))))</f>
        <v/>
      </c>
      <c r="N747" s="54">
        <f>IF($B747=0,NA(),IF(Inputs!$C$18&lt;&gt;"Yes",NA(),IF(COUNT(I747,J747,K747,L747,M747)=0,NA(),MIN(I747,J747,K747,L747,M747))))</f>
        <v/>
      </c>
      <c r="O747" s="54">
        <f>IF($B747=0,NA(),IF(Inputs!$B$24&lt;&gt;"Yes",NA(),Inputs!$D$24*Inputs!$C$35))</f>
        <v/>
      </c>
      <c r="P747" s="54">
        <f>IF($B747=0,NA(),IF(Inputs!$B$25&lt;&gt;"Yes",NA(),Inputs!$D$25*Inputs!$C$35))</f>
        <v/>
      </c>
      <c r="Q747" s="54">
        <f>IF($B747=0,NA(),IF(Inputs!$B$26&lt;&gt;"Yes",NA(),Inputs!$D$26*Inputs!$C$35))</f>
        <v/>
      </c>
      <c r="R747" s="54">
        <f>IF($B747=0,NA(),IF(Inputs!$B$27&lt;&gt;"Yes",NA(),Inputs!$D$27*Inputs!$C$35))</f>
        <v/>
      </c>
      <c r="S747" s="54">
        <f>IF($B747=0,NA(),IF(Inputs!$B$28&lt;&gt;"Yes",NA(),Inputs!$D$28*Inputs!$C$35))</f>
        <v/>
      </c>
      <c r="T747" s="54">
        <f>IF($B747=0,NA(),IF(Inputs!$B$29&lt;&gt;"Yes",NA(),Inputs!$D$29*Inputs!$C$35))</f>
        <v/>
      </c>
      <c r="AD747">
        <f>IF($B747=0,0,IF(Inputs!$B$6="",0,COUNTIFS(Data!$A$10:$A$3209,"&gt;="&amp;$A747,Data!$A$10:$A$3209,"&lt;"&amp;$A747+1)))</f>
        <v/>
      </c>
      <c r="AE747">
        <f>IF($B747=0,0,IF(Inputs!$B$7="",0,COUNTIFS(Data!$E$10:$E$3209,"&gt;="&amp;$A747,Data!$E$10:$E$3209,"&lt;"&amp;$A747+1)))</f>
        <v/>
      </c>
      <c r="AF747">
        <f>IF($B747=0,0,IF(Inputs!$B$8="",0,COUNTIFS(Data!$I$10:$I$3209,"&gt;="&amp;$A747,Data!$I$10:$I$3209,"&lt;"&amp;$A747+1)))</f>
        <v/>
      </c>
      <c r="AG747">
        <f>IF($B747=0,0,IF(Inputs!$B$9="",0,COUNTIFS(Data!$M$10:$M$3209,"&gt;="&amp;$A747,Data!$M$10:$M$3209,"&lt;"&amp;$A747+1)))</f>
        <v/>
      </c>
      <c r="AH747">
        <f>IF($B747=0,0,IF(Inputs!$B$10="",0,COUNTIFS(Data!$Q$10:$Q$3209,"&gt;="&amp;$A747,Data!$Q$10:$Q$3209,"&lt;"&amp;$A747+1)))</f>
        <v/>
      </c>
    </row>
    <row r="748">
      <c r="A748" s="55">
        <f>MIN(Inputs!$C$15,$A747+IF(WEEKDAY($A747,2)=5,3,1))</f>
        <v/>
      </c>
      <c r="B748">
        <f>IF($A748&gt;$A747,1,0)</f>
        <v/>
      </c>
      <c r="C748" s="56">
        <f>IF($B748=0,"",IF(Inputs!$B$6="","",IF($AD748=0,C747,SUMIFS(Data!$B$10:$B$3209,Data!$A$10:$A$3209,"&gt;="&amp;$A748,Data!$A$10:$A$3209,"&lt;"&amp;$A748+1)/$AD748)))</f>
        <v/>
      </c>
      <c r="D748" s="56">
        <f>IF($B748=0,"",IF(Inputs!$B$7="","",IF($AE748=0,D747,SUMIFS(Data!$F$10:$F$3209,Data!$E$10:$E$3209,"&gt;="&amp;$A748,Data!$E$10:$E$3209,"&lt;"&amp;$A748+1)/$AE748)))</f>
        <v/>
      </c>
      <c r="E748" s="56">
        <f>IF($B748=0,"",IF(Inputs!$B$8="","",IF($AF748=0,E747,SUMIFS(Data!$J$10:$J$3209,Data!$I$10:$I$3209,"&gt;="&amp;$A748,Data!$I$10:$I$3209,"&lt;"&amp;$A748+1)/$AF748)))</f>
        <v/>
      </c>
      <c r="F748" s="56">
        <f>IF($B748=0,"",IF(Inputs!$B$9="","",IF($AG748=0,F747,SUMIFS(Data!$N$10:$N$3209,Data!$M$10:$M$3209,"&gt;="&amp;$A748,Data!$M$10:$M$3209,"&lt;"&amp;$A748+1)/$AG748)))</f>
        <v/>
      </c>
      <c r="G748" s="56">
        <f>IF($B748=0,"",IF(Inputs!$B$10="","",IF($AH748=0,G747,SUMIFS(Data!$R$10:$R$3209,Data!$Q$10:$Q$3209,"&gt;="&amp;$A748,Data!$Q$10:$Q$3209,"&lt;"&amp;$A748+1)/$AH748)))</f>
        <v/>
      </c>
      <c r="I748" s="54">
        <f>IF($B748=0,NA(),IF($C748="",NA(),IF(C$8="",NA(),IF(N(C$8)=0,NA(),IF(Inputs!$C$17="Rebased to 100",$C748/C$8*100,$C748)))))</f>
        <v/>
      </c>
      <c r="J748" s="54">
        <f>IF($B748=0,NA(),IF($D748="",NA(),IF(D$8="",NA(),IF(N(D$8)=0,NA(),IF(Inputs!$C$17="Rebased to 100",$D748/D$8*100,$D748)))))</f>
        <v/>
      </c>
      <c r="K748" s="54">
        <f>IF($B748=0,NA(),IF($E748="",NA(),IF(E$8="",NA(),IF(N(E$8)=0,NA(),IF(Inputs!$C$17="Rebased to 100",$E748/E$8*100,$E748)))))</f>
        <v/>
      </c>
      <c r="L748" s="54">
        <f>IF($B748=0,NA(),IF($F748="",NA(),IF(F$8="",NA(),IF(N(F$8)=0,NA(),IF(Inputs!$C$17="Rebased to 100",$F748/F$8*100,$F748)))))</f>
        <v/>
      </c>
      <c r="M748" s="54">
        <f>IF($B748=0,NA(),IF($G748="",NA(),IF(G$8="",NA(),IF(N(G$8)=0,NA(),IF(Inputs!$C$17="Rebased to 100",$G748/G$8*100,$G748)))))</f>
        <v/>
      </c>
      <c r="N748" s="54">
        <f>IF($B748=0,NA(),IF(Inputs!$C$18&lt;&gt;"Yes",NA(),IF(COUNT(I748,J748,K748,L748,M748)=0,NA(),MIN(I748,J748,K748,L748,M748))))</f>
        <v/>
      </c>
      <c r="O748" s="54">
        <f>IF($B748=0,NA(),IF(Inputs!$B$24&lt;&gt;"Yes",NA(),Inputs!$D$24*Inputs!$C$35))</f>
        <v/>
      </c>
      <c r="P748" s="54">
        <f>IF($B748=0,NA(),IF(Inputs!$B$25&lt;&gt;"Yes",NA(),Inputs!$D$25*Inputs!$C$35))</f>
        <v/>
      </c>
      <c r="Q748" s="54">
        <f>IF($B748=0,NA(),IF(Inputs!$B$26&lt;&gt;"Yes",NA(),Inputs!$D$26*Inputs!$C$35))</f>
        <v/>
      </c>
      <c r="R748" s="54">
        <f>IF($B748=0,NA(),IF(Inputs!$B$27&lt;&gt;"Yes",NA(),Inputs!$D$27*Inputs!$C$35))</f>
        <v/>
      </c>
      <c r="S748" s="54">
        <f>IF($B748=0,NA(),IF(Inputs!$B$28&lt;&gt;"Yes",NA(),Inputs!$D$28*Inputs!$C$35))</f>
        <v/>
      </c>
      <c r="T748" s="54">
        <f>IF($B748=0,NA(),IF(Inputs!$B$29&lt;&gt;"Yes",NA(),Inputs!$D$29*Inputs!$C$35))</f>
        <v/>
      </c>
      <c r="AD748">
        <f>IF($B748=0,0,IF(Inputs!$B$6="",0,COUNTIFS(Data!$A$10:$A$3209,"&gt;="&amp;$A748,Data!$A$10:$A$3209,"&lt;"&amp;$A748+1)))</f>
        <v/>
      </c>
      <c r="AE748">
        <f>IF($B748=0,0,IF(Inputs!$B$7="",0,COUNTIFS(Data!$E$10:$E$3209,"&gt;="&amp;$A748,Data!$E$10:$E$3209,"&lt;"&amp;$A748+1)))</f>
        <v/>
      </c>
      <c r="AF748">
        <f>IF($B748=0,0,IF(Inputs!$B$8="",0,COUNTIFS(Data!$I$10:$I$3209,"&gt;="&amp;$A748,Data!$I$10:$I$3209,"&lt;"&amp;$A748+1)))</f>
        <v/>
      </c>
      <c r="AG748">
        <f>IF($B748=0,0,IF(Inputs!$B$9="",0,COUNTIFS(Data!$M$10:$M$3209,"&gt;="&amp;$A748,Data!$M$10:$M$3209,"&lt;"&amp;$A748+1)))</f>
        <v/>
      </c>
      <c r="AH748">
        <f>IF($B748=0,0,IF(Inputs!$B$10="",0,COUNTIFS(Data!$Q$10:$Q$3209,"&gt;="&amp;$A748,Data!$Q$10:$Q$3209,"&lt;"&amp;$A748+1)))</f>
        <v/>
      </c>
    </row>
    <row r="749">
      <c r="A749" s="55">
        <f>MIN(Inputs!$C$15,$A748+IF(WEEKDAY($A748,2)=5,3,1))</f>
        <v/>
      </c>
      <c r="B749">
        <f>IF($A749&gt;$A748,1,0)</f>
        <v/>
      </c>
      <c r="C749" s="56">
        <f>IF($B749=0,"",IF(Inputs!$B$6="","",IF($AD749=0,C748,SUMIFS(Data!$B$10:$B$3209,Data!$A$10:$A$3209,"&gt;="&amp;$A749,Data!$A$10:$A$3209,"&lt;"&amp;$A749+1)/$AD749)))</f>
        <v/>
      </c>
      <c r="D749" s="56">
        <f>IF($B749=0,"",IF(Inputs!$B$7="","",IF($AE749=0,D748,SUMIFS(Data!$F$10:$F$3209,Data!$E$10:$E$3209,"&gt;="&amp;$A749,Data!$E$10:$E$3209,"&lt;"&amp;$A749+1)/$AE749)))</f>
        <v/>
      </c>
      <c r="E749" s="56">
        <f>IF($B749=0,"",IF(Inputs!$B$8="","",IF($AF749=0,E748,SUMIFS(Data!$J$10:$J$3209,Data!$I$10:$I$3209,"&gt;="&amp;$A749,Data!$I$10:$I$3209,"&lt;"&amp;$A749+1)/$AF749)))</f>
        <v/>
      </c>
      <c r="F749" s="56">
        <f>IF($B749=0,"",IF(Inputs!$B$9="","",IF($AG749=0,F748,SUMIFS(Data!$N$10:$N$3209,Data!$M$10:$M$3209,"&gt;="&amp;$A749,Data!$M$10:$M$3209,"&lt;"&amp;$A749+1)/$AG749)))</f>
        <v/>
      </c>
      <c r="G749" s="56">
        <f>IF($B749=0,"",IF(Inputs!$B$10="","",IF($AH749=0,G748,SUMIFS(Data!$R$10:$R$3209,Data!$Q$10:$Q$3209,"&gt;="&amp;$A749,Data!$Q$10:$Q$3209,"&lt;"&amp;$A749+1)/$AH749)))</f>
        <v/>
      </c>
      <c r="I749" s="54">
        <f>IF($B749=0,NA(),IF($C749="",NA(),IF(C$8="",NA(),IF(N(C$8)=0,NA(),IF(Inputs!$C$17="Rebased to 100",$C749/C$8*100,$C749)))))</f>
        <v/>
      </c>
      <c r="J749" s="54">
        <f>IF($B749=0,NA(),IF($D749="",NA(),IF(D$8="",NA(),IF(N(D$8)=0,NA(),IF(Inputs!$C$17="Rebased to 100",$D749/D$8*100,$D749)))))</f>
        <v/>
      </c>
      <c r="K749" s="54">
        <f>IF($B749=0,NA(),IF($E749="",NA(),IF(E$8="",NA(),IF(N(E$8)=0,NA(),IF(Inputs!$C$17="Rebased to 100",$E749/E$8*100,$E749)))))</f>
        <v/>
      </c>
      <c r="L749" s="54">
        <f>IF($B749=0,NA(),IF($F749="",NA(),IF(F$8="",NA(),IF(N(F$8)=0,NA(),IF(Inputs!$C$17="Rebased to 100",$F749/F$8*100,$F749)))))</f>
        <v/>
      </c>
      <c r="M749" s="54">
        <f>IF($B749=0,NA(),IF($G749="",NA(),IF(G$8="",NA(),IF(N(G$8)=0,NA(),IF(Inputs!$C$17="Rebased to 100",$G749/G$8*100,$G749)))))</f>
        <v/>
      </c>
      <c r="N749" s="54">
        <f>IF($B749=0,NA(),IF(Inputs!$C$18&lt;&gt;"Yes",NA(),IF(COUNT(I749,J749,K749,L749,M749)=0,NA(),MIN(I749,J749,K749,L749,M749))))</f>
        <v/>
      </c>
      <c r="O749" s="54">
        <f>IF($B749=0,NA(),IF(Inputs!$B$24&lt;&gt;"Yes",NA(),Inputs!$D$24*Inputs!$C$35))</f>
        <v/>
      </c>
      <c r="P749" s="54">
        <f>IF($B749=0,NA(),IF(Inputs!$B$25&lt;&gt;"Yes",NA(),Inputs!$D$25*Inputs!$C$35))</f>
        <v/>
      </c>
      <c r="Q749" s="54">
        <f>IF($B749=0,NA(),IF(Inputs!$B$26&lt;&gt;"Yes",NA(),Inputs!$D$26*Inputs!$C$35))</f>
        <v/>
      </c>
      <c r="R749" s="54">
        <f>IF($B749=0,NA(),IF(Inputs!$B$27&lt;&gt;"Yes",NA(),Inputs!$D$27*Inputs!$C$35))</f>
        <v/>
      </c>
      <c r="S749" s="54">
        <f>IF($B749=0,NA(),IF(Inputs!$B$28&lt;&gt;"Yes",NA(),Inputs!$D$28*Inputs!$C$35))</f>
        <v/>
      </c>
      <c r="T749" s="54">
        <f>IF($B749=0,NA(),IF(Inputs!$B$29&lt;&gt;"Yes",NA(),Inputs!$D$29*Inputs!$C$35))</f>
        <v/>
      </c>
      <c r="AD749">
        <f>IF($B749=0,0,IF(Inputs!$B$6="",0,COUNTIFS(Data!$A$10:$A$3209,"&gt;="&amp;$A749,Data!$A$10:$A$3209,"&lt;"&amp;$A749+1)))</f>
        <v/>
      </c>
      <c r="AE749">
        <f>IF($B749=0,0,IF(Inputs!$B$7="",0,COUNTIFS(Data!$E$10:$E$3209,"&gt;="&amp;$A749,Data!$E$10:$E$3209,"&lt;"&amp;$A749+1)))</f>
        <v/>
      </c>
      <c r="AF749">
        <f>IF($B749=0,0,IF(Inputs!$B$8="",0,COUNTIFS(Data!$I$10:$I$3209,"&gt;="&amp;$A749,Data!$I$10:$I$3209,"&lt;"&amp;$A749+1)))</f>
        <v/>
      </c>
      <c r="AG749">
        <f>IF($B749=0,0,IF(Inputs!$B$9="",0,COUNTIFS(Data!$M$10:$M$3209,"&gt;="&amp;$A749,Data!$M$10:$M$3209,"&lt;"&amp;$A749+1)))</f>
        <v/>
      </c>
      <c r="AH749">
        <f>IF($B749=0,0,IF(Inputs!$B$10="",0,COUNTIFS(Data!$Q$10:$Q$3209,"&gt;="&amp;$A749,Data!$Q$10:$Q$3209,"&lt;"&amp;$A749+1)))</f>
        <v/>
      </c>
    </row>
    <row r="750">
      <c r="A750" s="55">
        <f>MIN(Inputs!$C$15,$A749+IF(WEEKDAY($A749,2)=5,3,1))</f>
        <v/>
      </c>
      <c r="B750">
        <f>IF($A750&gt;$A749,1,0)</f>
        <v/>
      </c>
      <c r="C750" s="56">
        <f>IF($B750=0,"",IF(Inputs!$B$6="","",IF($AD750=0,C749,SUMIFS(Data!$B$10:$B$3209,Data!$A$10:$A$3209,"&gt;="&amp;$A750,Data!$A$10:$A$3209,"&lt;"&amp;$A750+1)/$AD750)))</f>
        <v/>
      </c>
      <c r="D750" s="56">
        <f>IF($B750=0,"",IF(Inputs!$B$7="","",IF($AE750=0,D749,SUMIFS(Data!$F$10:$F$3209,Data!$E$10:$E$3209,"&gt;="&amp;$A750,Data!$E$10:$E$3209,"&lt;"&amp;$A750+1)/$AE750)))</f>
        <v/>
      </c>
      <c r="E750" s="56">
        <f>IF($B750=0,"",IF(Inputs!$B$8="","",IF($AF750=0,E749,SUMIFS(Data!$J$10:$J$3209,Data!$I$10:$I$3209,"&gt;="&amp;$A750,Data!$I$10:$I$3209,"&lt;"&amp;$A750+1)/$AF750)))</f>
        <v/>
      </c>
      <c r="F750" s="56">
        <f>IF($B750=0,"",IF(Inputs!$B$9="","",IF($AG750=0,F749,SUMIFS(Data!$N$10:$N$3209,Data!$M$10:$M$3209,"&gt;="&amp;$A750,Data!$M$10:$M$3209,"&lt;"&amp;$A750+1)/$AG750)))</f>
        <v/>
      </c>
      <c r="G750" s="56">
        <f>IF($B750=0,"",IF(Inputs!$B$10="","",IF($AH750=0,G749,SUMIFS(Data!$R$10:$R$3209,Data!$Q$10:$Q$3209,"&gt;="&amp;$A750,Data!$Q$10:$Q$3209,"&lt;"&amp;$A750+1)/$AH750)))</f>
        <v/>
      </c>
      <c r="I750" s="54">
        <f>IF($B750=0,NA(),IF($C750="",NA(),IF(C$8="",NA(),IF(N(C$8)=0,NA(),IF(Inputs!$C$17="Rebased to 100",$C750/C$8*100,$C750)))))</f>
        <v/>
      </c>
      <c r="J750" s="54">
        <f>IF($B750=0,NA(),IF($D750="",NA(),IF(D$8="",NA(),IF(N(D$8)=0,NA(),IF(Inputs!$C$17="Rebased to 100",$D750/D$8*100,$D750)))))</f>
        <v/>
      </c>
      <c r="K750" s="54">
        <f>IF($B750=0,NA(),IF($E750="",NA(),IF(E$8="",NA(),IF(N(E$8)=0,NA(),IF(Inputs!$C$17="Rebased to 100",$E750/E$8*100,$E750)))))</f>
        <v/>
      </c>
      <c r="L750" s="54">
        <f>IF($B750=0,NA(),IF($F750="",NA(),IF(F$8="",NA(),IF(N(F$8)=0,NA(),IF(Inputs!$C$17="Rebased to 100",$F750/F$8*100,$F750)))))</f>
        <v/>
      </c>
      <c r="M750" s="54">
        <f>IF($B750=0,NA(),IF($G750="",NA(),IF(G$8="",NA(),IF(N(G$8)=0,NA(),IF(Inputs!$C$17="Rebased to 100",$G750/G$8*100,$G750)))))</f>
        <v/>
      </c>
      <c r="N750" s="54">
        <f>IF($B750=0,NA(),IF(Inputs!$C$18&lt;&gt;"Yes",NA(),IF(COUNT(I750,J750,K750,L750,M750)=0,NA(),MIN(I750,J750,K750,L750,M750))))</f>
        <v/>
      </c>
      <c r="O750" s="54">
        <f>IF($B750=0,NA(),IF(Inputs!$B$24&lt;&gt;"Yes",NA(),Inputs!$D$24*Inputs!$C$35))</f>
        <v/>
      </c>
      <c r="P750" s="54">
        <f>IF($B750=0,NA(),IF(Inputs!$B$25&lt;&gt;"Yes",NA(),Inputs!$D$25*Inputs!$C$35))</f>
        <v/>
      </c>
      <c r="Q750" s="54">
        <f>IF($B750=0,NA(),IF(Inputs!$B$26&lt;&gt;"Yes",NA(),Inputs!$D$26*Inputs!$C$35))</f>
        <v/>
      </c>
      <c r="R750" s="54">
        <f>IF($B750=0,NA(),IF(Inputs!$B$27&lt;&gt;"Yes",NA(),Inputs!$D$27*Inputs!$C$35))</f>
        <v/>
      </c>
      <c r="S750" s="54">
        <f>IF($B750=0,NA(),IF(Inputs!$B$28&lt;&gt;"Yes",NA(),Inputs!$D$28*Inputs!$C$35))</f>
        <v/>
      </c>
      <c r="T750" s="54">
        <f>IF($B750=0,NA(),IF(Inputs!$B$29&lt;&gt;"Yes",NA(),Inputs!$D$29*Inputs!$C$35))</f>
        <v/>
      </c>
      <c r="AD750">
        <f>IF($B750=0,0,IF(Inputs!$B$6="",0,COUNTIFS(Data!$A$10:$A$3209,"&gt;="&amp;$A750,Data!$A$10:$A$3209,"&lt;"&amp;$A750+1)))</f>
        <v/>
      </c>
      <c r="AE750">
        <f>IF($B750=0,0,IF(Inputs!$B$7="",0,COUNTIFS(Data!$E$10:$E$3209,"&gt;="&amp;$A750,Data!$E$10:$E$3209,"&lt;"&amp;$A750+1)))</f>
        <v/>
      </c>
      <c r="AF750">
        <f>IF($B750=0,0,IF(Inputs!$B$8="",0,COUNTIFS(Data!$I$10:$I$3209,"&gt;="&amp;$A750,Data!$I$10:$I$3209,"&lt;"&amp;$A750+1)))</f>
        <v/>
      </c>
      <c r="AG750">
        <f>IF($B750=0,0,IF(Inputs!$B$9="",0,COUNTIFS(Data!$M$10:$M$3209,"&gt;="&amp;$A750,Data!$M$10:$M$3209,"&lt;"&amp;$A750+1)))</f>
        <v/>
      </c>
      <c r="AH750">
        <f>IF($B750=0,0,IF(Inputs!$B$10="",0,COUNTIFS(Data!$Q$10:$Q$3209,"&gt;="&amp;$A750,Data!$Q$10:$Q$3209,"&lt;"&amp;$A750+1)))</f>
        <v/>
      </c>
    </row>
    <row r="751">
      <c r="A751" s="55">
        <f>MIN(Inputs!$C$15,$A750+IF(WEEKDAY($A750,2)=5,3,1))</f>
        <v/>
      </c>
      <c r="B751">
        <f>IF($A751&gt;$A750,1,0)</f>
        <v/>
      </c>
      <c r="C751" s="56">
        <f>IF($B751=0,"",IF(Inputs!$B$6="","",IF($AD751=0,C750,SUMIFS(Data!$B$10:$B$3209,Data!$A$10:$A$3209,"&gt;="&amp;$A751,Data!$A$10:$A$3209,"&lt;"&amp;$A751+1)/$AD751)))</f>
        <v/>
      </c>
      <c r="D751" s="56">
        <f>IF($B751=0,"",IF(Inputs!$B$7="","",IF($AE751=0,D750,SUMIFS(Data!$F$10:$F$3209,Data!$E$10:$E$3209,"&gt;="&amp;$A751,Data!$E$10:$E$3209,"&lt;"&amp;$A751+1)/$AE751)))</f>
        <v/>
      </c>
      <c r="E751" s="56">
        <f>IF($B751=0,"",IF(Inputs!$B$8="","",IF($AF751=0,E750,SUMIFS(Data!$J$10:$J$3209,Data!$I$10:$I$3209,"&gt;="&amp;$A751,Data!$I$10:$I$3209,"&lt;"&amp;$A751+1)/$AF751)))</f>
        <v/>
      </c>
      <c r="F751" s="56">
        <f>IF($B751=0,"",IF(Inputs!$B$9="","",IF($AG751=0,F750,SUMIFS(Data!$N$10:$N$3209,Data!$M$10:$M$3209,"&gt;="&amp;$A751,Data!$M$10:$M$3209,"&lt;"&amp;$A751+1)/$AG751)))</f>
        <v/>
      </c>
      <c r="G751" s="56">
        <f>IF($B751=0,"",IF(Inputs!$B$10="","",IF($AH751=0,G750,SUMIFS(Data!$R$10:$R$3209,Data!$Q$10:$Q$3209,"&gt;="&amp;$A751,Data!$Q$10:$Q$3209,"&lt;"&amp;$A751+1)/$AH751)))</f>
        <v/>
      </c>
      <c r="I751" s="54">
        <f>IF($B751=0,NA(),IF($C751="",NA(),IF(C$8="",NA(),IF(N(C$8)=0,NA(),IF(Inputs!$C$17="Rebased to 100",$C751/C$8*100,$C751)))))</f>
        <v/>
      </c>
      <c r="J751" s="54">
        <f>IF($B751=0,NA(),IF($D751="",NA(),IF(D$8="",NA(),IF(N(D$8)=0,NA(),IF(Inputs!$C$17="Rebased to 100",$D751/D$8*100,$D751)))))</f>
        <v/>
      </c>
      <c r="K751" s="54">
        <f>IF($B751=0,NA(),IF($E751="",NA(),IF(E$8="",NA(),IF(N(E$8)=0,NA(),IF(Inputs!$C$17="Rebased to 100",$E751/E$8*100,$E751)))))</f>
        <v/>
      </c>
      <c r="L751" s="54">
        <f>IF($B751=0,NA(),IF($F751="",NA(),IF(F$8="",NA(),IF(N(F$8)=0,NA(),IF(Inputs!$C$17="Rebased to 100",$F751/F$8*100,$F751)))))</f>
        <v/>
      </c>
      <c r="M751" s="54">
        <f>IF($B751=0,NA(),IF($G751="",NA(),IF(G$8="",NA(),IF(N(G$8)=0,NA(),IF(Inputs!$C$17="Rebased to 100",$G751/G$8*100,$G751)))))</f>
        <v/>
      </c>
      <c r="N751" s="54">
        <f>IF($B751=0,NA(),IF(Inputs!$C$18&lt;&gt;"Yes",NA(),IF(COUNT(I751,J751,K751,L751,M751)=0,NA(),MIN(I751,J751,K751,L751,M751))))</f>
        <v/>
      </c>
      <c r="O751" s="54">
        <f>IF($B751=0,NA(),IF(Inputs!$B$24&lt;&gt;"Yes",NA(),Inputs!$D$24*Inputs!$C$35))</f>
        <v/>
      </c>
      <c r="P751" s="54">
        <f>IF($B751=0,NA(),IF(Inputs!$B$25&lt;&gt;"Yes",NA(),Inputs!$D$25*Inputs!$C$35))</f>
        <v/>
      </c>
      <c r="Q751" s="54">
        <f>IF($B751=0,NA(),IF(Inputs!$B$26&lt;&gt;"Yes",NA(),Inputs!$D$26*Inputs!$C$35))</f>
        <v/>
      </c>
      <c r="R751" s="54">
        <f>IF($B751=0,NA(),IF(Inputs!$B$27&lt;&gt;"Yes",NA(),Inputs!$D$27*Inputs!$C$35))</f>
        <v/>
      </c>
      <c r="S751" s="54">
        <f>IF($B751=0,NA(),IF(Inputs!$B$28&lt;&gt;"Yes",NA(),Inputs!$D$28*Inputs!$C$35))</f>
        <v/>
      </c>
      <c r="T751" s="54">
        <f>IF($B751=0,NA(),IF(Inputs!$B$29&lt;&gt;"Yes",NA(),Inputs!$D$29*Inputs!$C$35))</f>
        <v/>
      </c>
      <c r="AD751">
        <f>IF($B751=0,0,IF(Inputs!$B$6="",0,COUNTIFS(Data!$A$10:$A$3209,"&gt;="&amp;$A751,Data!$A$10:$A$3209,"&lt;"&amp;$A751+1)))</f>
        <v/>
      </c>
      <c r="AE751">
        <f>IF($B751=0,0,IF(Inputs!$B$7="",0,COUNTIFS(Data!$E$10:$E$3209,"&gt;="&amp;$A751,Data!$E$10:$E$3209,"&lt;"&amp;$A751+1)))</f>
        <v/>
      </c>
      <c r="AF751">
        <f>IF($B751=0,0,IF(Inputs!$B$8="",0,COUNTIFS(Data!$I$10:$I$3209,"&gt;="&amp;$A751,Data!$I$10:$I$3209,"&lt;"&amp;$A751+1)))</f>
        <v/>
      </c>
      <c r="AG751">
        <f>IF($B751=0,0,IF(Inputs!$B$9="",0,COUNTIFS(Data!$M$10:$M$3209,"&gt;="&amp;$A751,Data!$M$10:$M$3209,"&lt;"&amp;$A751+1)))</f>
        <v/>
      </c>
      <c r="AH751">
        <f>IF($B751=0,0,IF(Inputs!$B$10="",0,COUNTIFS(Data!$Q$10:$Q$3209,"&gt;="&amp;$A751,Data!$Q$10:$Q$3209,"&lt;"&amp;$A751+1)))</f>
        <v/>
      </c>
    </row>
    <row r="752">
      <c r="A752" s="55">
        <f>MIN(Inputs!$C$15,$A751+IF(WEEKDAY($A751,2)=5,3,1))</f>
        <v/>
      </c>
      <c r="B752">
        <f>IF($A752&gt;$A751,1,0)</f>
        <v/>
      </c>
      <c r="C752" s="56">
        <f>IF($B752=0,"",IF(Inputs!$B$6="","",IF($AD752=0,C751,SUMIFS(Data!$B$10:$B$3209,Data!$A$10:$A$3209,"&gt;="&amp;$A752,Data!$A$10:$A$3209,"&lt;"&amp;$A752+1)/$AD752)))</f>
        <v/>
      </c>
      <c r="D752" s="56">
        <f>IF($B752=0,"",IF(Inputs!$B$7="","",IF($AE752=0,D751,SUMIFS(Data!$F$10:$F$3209,Data!$E$10:$E$3209,"&gt;="&amp;$A752,Data!$E$10:$E$3209,"&lt;"&amp;$A752+1)/$AE752)))</f>
        <v/>
      </c>
      <c r="E752" s="56">
        <f>IF($B752=0,"",IF(Inputs!$B$8="","",IF($AF752=0,E751,SUMIFS(Data!$J$10:$J$3209,Data!$I$10:$I$3209,"&gt;="&amp;$A752,Data!$I$10:$I$3209,"&lt;"&amp;$A752+1)/$AF752)))</f>
        <v/>
      </c>
      <c r="F752" s="56">
        <f>IF($B752=0,"",IF(Inputs!$B$9="","",IF($AG752=0,F751,SUMIFS(Data!$N$10:$N$3209,Data!$M$10:$M$3209,"&gt;="&amp;$A752,Data!$M$10:$M$3209,"&lt;"&amp;$A752+1)/$AG752)))</f>
        <v/>
      </c>
      <c r="G752" s="56">
        <f>IF($B752=0,"",IF(Inputs!$B$10="","",IF($AH752=0,G751,SUMIFS(Data!$R$10:$R$3209,Data!$Q$10:$Q$3209,"&gt;="&amp;$A752,Data!$Q$10:$Q$3209,"&lt;"&amp;$A752+1)/$AH752)))</f>
        <v/>
      </c>
      <c r="I752" s="54">
        <f>IF($B752=0,NA(),IF($C752="",NA(),IF(C$8="",NA(),IF(N(C$8)=0,NA(),IF(Inputs!$C$17="Rebased to 100",$C752/C$8*100,$C752)))))</f>
        <v/>
      </c>
      <c r="J752" s="54">
        <f>IF($B752=0,NA(),IF($D752="",NA(),IF(D$8="",NA(),IF(N(D$8)=0,NA(),IF(Inputs!$C$17="Rebased to 100",$D752/D$8*100,$D752)))))</f>
        <v/>
      </c>
      <c r="K752" s="54">
        <f>IF($B752=0,NA(),IF($E752="",NA(),IF(E$8="",NA(),IF(N(E$8)=0,NA(),IF(Inputs!$C$17="Rebased to 100",$E752/E$8*100,$E752)))))</f>
        <v/>
      </c>
      <c r="L752" s="54">
        <f>IF($B752=0,NA(),IF($F752="",NA(),IF(F$8="",NA(),IF(N(F$8)=0,NA(),IF(Inputs!$C$17="Rebased to 100",$F752/F$8*100,$F752)))))</f>
        <v/>
      </c>
      <c r="M752" s="54">
        <f>IF($B752=0,NA(),IF($G752="",NA(),IF(G$8="",NA(),IF(N(G$8)=0,NA(),IF(Inputs!$C$17="Rebased to 100",$G752/G$8*100,$G752)))))</f>
        <v/>
      </c>
      <c r="N752" s="54">
        <f>IF($B752=0,NA(),IF(Inputs!$C$18&lt;&gt;"Yes",NA(),IF(COUNT(I752,J752,K752,L752,M752)=0,NA(),MIN(I752,J752,K752,L752,M752))))</f>
        <v/>
      </c>
      <c r="O752" s="54">
        <f>IF($B752=0,NA(),IF(Inputs!$B$24&lt;&gt;"Yes",NA(),Inputs!$D$24*Inputs!$C$35))</f>
        <v/>
      </c>
      <c r="P752" s="54">
        <f>IF($B752=0,NA(),IF(Inputs!$B$25&lt;&gt;"Yes",NA(),Inputs!$D$25*Inputs!$C$35))</f>
        <v/>
      </c>
      <c r="Q752" s="54">
        <f>IF($B752=0,NA(),IF(Inputs!$B$26&lt;&gt;"Yes",NA(),Inputs!$D$26*Inputs!$C$35))</f>
        <v/>
      </c>
      <c r="R752" s="54">
        <f>IF($B752=0,NA(),IF(Inputs!$B$27&lt;&gt;"Yes",NA(),Inputs!$D$27*Inputs!$C$35))</f>
        <v/>
      </c>
      <c r="S752" s="54">
        <f>IF($B752=0,NA(),IF(Inputs!$B$28&lt;&gt;"Yes",NA(),Inputs!$D$28*Inputs!$C$35))</f>
        <v/>
      </c>
      <c r="T752" s="54">
        <f>IF($B752=0,NA(),IF(Inputs!$B$29&lt;&gt;"Yes",NA(),Inputs!$D$29*Inputs!$C$35))</f>
        <v/>
      </c>
      <c r="AD752">
        <f>IF($B752=0,0,IF(Inputs!$B$6="",0,COUNTIFS(Data!$A$10:$A$3209,"&gt;="&amp;$A752,Data!$A$10:$A$3209,"&lt;"&amp;$A752+1)))</f>
        <v/>
      </c>
      <c r="AE752">
        <f>IF($B752=0,0,IF(Inputs!$B$7="",0,COUNTIFS(Data!$E$10:$E$3209,"&gt;="&amp;$A752,Data!$E$10:$E$3209,"&lt;"&amp;$A752+1)))</f>
        <v/>
      </c>
      <c r="AF752">
        <f>IF($B752=0,0,IF(Inputs!$B$8="",0,COUNTIFS(Data!$I$10:$I$3209,"&gt;="&amp;$A752,Data!$I$10:$I$3209,"&lt;"&amp;$A752+1)))</f>
        <v/>
      </c>
      <c r="AG752">
        <f>IF($B752=0,0,IF(Inputs!$B$9="",0,COUNTIFS(Data!$M$10:$M$3209,"&gt;="&amp;$A752,Data!$M$10:$M$3209,"&lt;"&amp;$A752+1)))</f>
        <v/>
      </c>
      <c r="AH752">
        <f>IF($B752=0,0,IF(Inputs!$B$10="",0,COUNTIFS(Data!$Q$10:$Q$3209,"&gt;="&amp;$A752,Data!$Q$10:$Q$3209,"&lt;"&amp;$A752+1)))</f>
        <v/>
      </c>
    </row>
    <row r="753">
      <c r="A753" s="55">
        <f>MIN(Inputs!$C$15,$A752+IF(WEEKDAY($A752,2)=5,3,1))</f>
        <v/>
      </c>
      <c r="B753">
        <f>IF($A753&gt;$A752,1,0)</f>
        <v/>
      </c>
      <c r="C753" s="56">
        <f>IF($B753=0,"",IF(Inputs!$B$6="","",IF($AD753=0,C752,SUMIFS(Data!$B$10:$B$3209,Data!$A$10:$A$3209,"&gt;="&amp;$A753,Data!$A$10:$A$3209,"&lt;"&amp;$A753+1)/$AD753)))</f>
        <v/>
      </c>
      <c r="D753" s="56">
        <f>IF($B753=0,"",IF(Inputs!$B$7="","",IF($AE753=0,D752,SUMIFS(Data!$F$10:$F$3209,Data!$E$10:$E$3209,"&gt;="&amp;$A753,Data!$E$10:$E$3209,"&lt;"&amp;$A753+1)/$AE753)))</f>
        <v/>
      </c>
      <c r="E753" s="56">
        <f>IF($B753=0,"",IF(Inputs!$B$8="","",IF($AF753=0,E752,SUMIFS(Data!$J$10:$J$3209,Data!$I$10:$I$3209,"&gt;="&amp;$A753,Data!$I$10:$I$3209,"&lt;"&amp;$A753+1)/$AF753)))</f>
        <v/>
      </c>
      <c r="F753" s="56">
        <f>IF($B753=0,"",IF(Inputs!$B$9="","",IF($AG753=0,F752,SUMIFS(Data!$N$10:$N$3209,Data!$M$10:$M$3209,"&gt;="&amp;$A753,Data!$M$10:$M$3209,"&lt;"&amp;$A753+1)/$AG753)))</f>
        <v/>
      </c>
      <c r="G753" s="56">
        <f>IF($B753=0,"",IF(Inputs!$B$10="","",IF($AH753=0,G752,SUMIFS(Data!$R$10:$R$3209,Data!$Q$10:$Q$3209,"&gt;="&amp;$A753,Data!$Q$10:$Q$3209,"&lt;"&amp;$A753+1)/$AH753)))</f>
        <v/>
      </c>
      <c r="I753" s="54">
        <f>IF($B753=0,NA(),IF($C753="",NA(),IF(C$8="",NA(),IF(N(C$8)=0,NA(),IF(Inputs!$C$17="Rebased to 100",$C753/C$8*100,$C753)))))</f>
        <v/>
      </c>
      <c r="J753" s="54">
        <f>IF($B753=0,NA(),IF($D753="",NA(),IF(D$8="",NA(),IF(N(D$8)=0,NA(),IF(Inputs!$C$17="Rebased to 100",$D753/D$8*100,$D753)))))</f>
        <v/>
      </c>
      <c r="K753" s="54">
        <f>IF($B753=0,NA(),IF($E753="",NA(),IF(E$8="",NA(),IF(N(E$8)=0,NA(),IF(Inputs!$C$17="Rebased to 100",$E753/E$8*100,$E753)))))</f>
        <v/>
      </c>
      <c r="L753" s="54">
        <f>IF($B753=0,NA(),IF($F753="",NA(),IF(F$8="",NA(),IF(N(F$8)=0,NA(),IF(Inputs!$C$17="Rebased to 100",$F753/F$8*100,$F753)))))</f>
        <v/>
      </c>
      <c r="M753" s="54">
        <f>IF($B753=0,NA(),IF($G753="",NA(),IF(G$8="",NA(),IF(N(G$8)=0,NA(),IF(Inputs!$C$17="Rebased to 100",$G753/G$8*100,$G753)))))</f>
        <v/>
      </c>
      <c r="N753" s="54">
        <f>IF($B753=0,NA(),IF(Inputs!$C$18&lt;&gt;"Yes",NA(),IF(COUNT(I753,J753,K753,L753,M753)=0,NA(),MIN(I753,J753,K753,L753,M753))))</f>
        <v/>
      </c>
      <c r="O753" s="54">
        <f>IF($B753=0,NA(),IF(Inputs!$B$24&lt;&gt;"Yes",NA(),Inputs!$D$24*Inputs!$C$35))</f>
        <v/>
      </c>
      <c r="P753" s="54">
        <f>IF($B753=0,NA(),IF(Inputs!$B$25&lt;&gt;"Yes",NA(),Inputs!$D$25*Inputs!$C$35))</f>
        <v/>
      </c>
      <c r="Q753" s="54">
        <f>IF($B753=0,NA(),IF(Inputs!$B$26&lt;&gt;"Yes",NA(),Inputs!$D$26*Inputs!$C$35))</f>
        <v/>
      </c>
      <c r="R753" s="54">
        <f>IF($B753=0,NA(),IF(Inputs!$B$27&lt;&gt;"Yes",NA(),Inputs!$D$27*Inputs!$C$35))</f>
        <v/>
      </c>
      <c r="S753" s="54">
        <f>IF($B753=0,NA(),IF(Inputs!$B$28&lt;&gt;"Yes",NA(),Inputs!$D$28*Inputs!$C$35))</f>
        <v/>
      </c>
      <c r="T753" s="54">
        <f>IF($B753=0,NA(),IF(Inputs!$B$29&lt;&gt;"Yes",NA(),Inputs!$D$29*Inputs!$C$35))</f>
        <v/>
      </c>
      <c r="AD753">
        <f>IF($B753=0,0,IF(Inputs!$B$6="",0,COUNTIFS(Data!$A$10:$A$3209,"&gt;="&amp;$A753,Data!$A$10:$A$3209,"&lt;"&amp;$A753+1)))</f>
        <v/>
      </c>
      <c r="AE753">
        <f>IF($B753=0,0,IF(Inputs!$B$7="",0,COUNTIFS(Data!$E$10:$E$3209,"&gt;="&amp;$A753,Data!$E$10:$E$3209,"&lt;"&amp;$A753+1)))</f>
        <v/>
      </c>
      <c r="AF753">
        <f>IF($B753=0,0,IF(Inputs!$B$8="",0,COUNTIFS(Data!$I$10:$I$3209,"&gt;="&amp;$A753,Data!$I$10:$I$3209,"&lt;"&amp;$A753+1)))</f>
        <v/>
      </c>
      <c r="AG753">
        <f>IF($B753=0,0,IF(Inputs!$B$9="",0,COUNTIFS(Data!$M$10:$M$3209,"&gt;="&amp;$A753,Data!$M$10:$M$3209,"&lt;"&amp;$A753+1)))</f>
        <v/>
      </c>
      <c r="AH753">
        <f>IF($B753=0,0,IF(Inputs!$B$10="",0,COUNTIFS(Data!$Q$10:$Q$3209,"&gt;="&amp;$A753,Data!$Q$10:$Q$3209,"&lt;"&amp;$A753+1)))</f>
        <v/>
      </c>
    </row>
    <row r="754">
      <c r="A754" s="55">
        <f>MIN(Inputs!$C$15,$A753+IF(WEEKDAY($A753,2)=5,3,1))</f>
        <v/>
      </c>
      <c r="B754">
        <f>IF($A754&gt;$A753,1,0)</f>
        <v/>
      </c>
      <c r="C754" s="56">
        <f>IF($B754=0,"",IF(Inputs!$B$6="","",IF($AD754=0,C753,SUMIFS(Data!$B$10:$B$3209,Data!$A$10:$A$3209,"&gt;="&amp;$A754,Data!$A$10:$A$3209,"&lt;"&amp;$A754+1)/$AD754)))</f>
        <v/>
      </c>
      <c r="D754" s="56">
        <f>IF($B754=0,"",IF(Inputs!$B$7="","",IF($AE754=0,D753,SUMIFS(Data!$F$10:$F$3209,Data!$E$10:$E$3209,"&gt;="&amp;$A754,Data!$E$10:$E$3209,"&lt;"&amp;$A754+1)/$AE754)))</f>
        <v/>
      </c>
      <c r="E754" s="56">
        <f>IF($B754=0,"",IF(Inputs!$B$8="","",IF($AF754=0,E753,SUMIFS(Data!$J$10:$J$3209,Data!$I$10:$I$3209,"&gt;="&amp;$A754,Data!$I$10:$I$3209,"&lt;"&amp;$A754+1)/$AF754)))</f>
        <v/>
      </c>
      <c r="F754" s="56">
        <f>IF($B754=0,"",IF(Inputs!$B$9="","",IF($AG754=0,F753,SUMIFS(Data!$N$10:$N$3209,Data!$M$10:$M$3209,"&gt;="&amp;$A754,Data!$M$10:$M$3209,"&lt;"&amp;$A754+1)/$AG754)))</f>
        <v/>
      </c>
      <c r="G754" s="56">
        <f>IF($B754=0,"",IF(Inputs!$B$10="","",IF($AH754=0,G753,SUMIFS(Data!$R$10:$R$3209,Data!$Q$10:$Q$3209,"&gt;="&amp;$A754,Data!$Q$10:$Q$3209,"&lt;"&amp;$A754+1)/$AH754)))</f>
        <v/>
      </c>
      <c r="I754" s="54">
        <f>IF($B754=0,NA(),IF($C754="",NA(),IF(C$8="",NA(),IF(N(C$8)=0,NA(),IF(Inputs!$C$17="Rebased to 100",$C754/C$8*100,$C754)))))</f>
        <v/>
      </c>
      <c r="J754" s="54">
        <f>IF($B754=0,NA(),IF($D754="",NA(),IF(D$8="",NA(),IF(N(D$8)=0,NA(),IF(Inputs!$C$17="Rebased to 100",$D754/D$8*100,$D754)))))</f>
        <v/>
      </c>
      <c r="K754" s="54">
        <f>IF($B754=0,NA(),IF($E754="",NA(),IF(E$8="",NA(),IF(N(E$8)=0,NA(),IF(Inputs!$C$17="Rebased to 100",$E754/E$8*100,$E754)))))</f>
        <v/>
      </c>
      <c r="L754" s="54">
        <f>IF($B754=0,NA(),IF($F754="",NA(),IF(F$8="",NA(),IF(N(F$8)=0,NA(),IF(Inputs!$C$17="Rebased to 100",$F754/F$8*100,$F754)))))</f>
        <v/>
      </c>
      <c r="M754" s="54">
        <f>IF($B754=0,NA(),IF($G754="",NA(),IF(G$8="",NA(),IF(N(G$8)=0,NA(),IF(Inputs!$C$17="Rebased to 100",$G754/G$8*100,$G754)))))</f>
        <v/>
      </c>
      <c r="N754" s="54">
        <f>IF($B754=0,NA(),IF(Inputs!$C$18&lt;&gt;"Yes",NA(),IF(COUNT(I754,J754,K754,L754,M754)=0,NA(),MIN(I754,J754,K754,L754,M754))))</f>
        <v/>
      </c>
      <c r="O754" s="54">
        <f>IF($B754=0,NA(),IF(Inputs!$B$24&lt;&gt;"Yes",NA(),Inputs!$D$24*Inputs!$C$35))</f>
        <v/>
      </c>
      <c r="P754" s="54">
        <f>IF($B754=0,NA(),IF(Inputs!$B$25&lt;&gt;"Yes",NA(),Inputs!$D$25*Inputs!$C$35))</f>
        <v/>
      </c>
      <c r="Q754" s="54">
        <f>IF($B754=0,NA(),IF(Inputs!$B$26&lt;&gt;"Yes",NA(),Inputs!$D$26*Inputs!$C$35))</f>
        <v/>
      </c>
      <c r="R754" s="54">
        <f>IF($B754=0,NA(),IF(Inputs!$B$27&lt;&gt;"Yes",NA(),Inputs!$D$27*Inputs!$C$35))</f>
        <v/>
      </c>
      <c r="S754" s="54">
        <f>IF($B754=0,NA(),IF(Inputs!$B$28&lt;&gt;"Yes",NA(),Inputs!$D$28*Inputs!$C$35))</f>
        <v/>
      </c>
      <c r="T754" s="54">
        <f>IF($B754=0,NA(),IF(Inputs!$B$29&lt;&gt;"Yes",NA(),Inputs!$D$29*Inputs!$C$35))</f>
        <v/>
      </c>
      <c r="AD754">
        <f>IF($B754=0,0,IF(Inputs!$B$6="",0,COUNTIFS(Data!$A$10:$A$3209,"&gt;="&amp;$A754,Data!$A$10:$A$3209,"&lt;"&amp;$A754+1)))</f>
        <v/>
      </c>
      <c r="AE754">
        <f>IF($B754=0,0,IF(Inputs!$B$7="",0,COUNTIFS(Data!$E$10:$E$3209,"&gt;="&amp;$A754,Data!$E$10:$E$3209,"&lt;"&amp;$A754+1)))</f>
        <v/>
      </c>
      <c r="AF754">
        <f>IF($B754=0,0,IF(Inputs!$B$8="",0,COUNTIFS(Data!$I$10:$I$3209,"&gt;="&amp;$A754,Data!$I$10:$I$3209,"&lt;"&amp;$A754+1)))</f>
        <v/>
      </c>
      <c r="AG754">
        <f>IF($B754=0,0,IF(Inputs!$B$9="",0,COUNTIFS(Data!$M$10:$M$3209,"&gt;="&amp;$A754,Data!$M$10:$M$3209,"&lt;"&amp;$A754+1)))</f>
        <v/>
      </c>
      <c r="AH754">
        <f>IF($B754=0,0,IF(Inputs!$B$10="",0,COUNTIFS(Data!$Q$10:$Q$3209,"&gt;="&amp;$A754,Data!$Q$10:$Q$3209,"&lt;"&amp;$A754+1)))</f>
        <v/>
      </c>
    </row>
    <row r="755">
      <c r="A755" s="55">
        <f>MIN(Inputs!$C$15,$A754+IF(WEEKDAY($A754,2)=5,3,1))</f>
        <v/>
      </c>
      <c r="B755">
        <f>IF($A755&gt;$A754,1,0)</f>
        <v/>
      </c>
      <c r="C755" s="56">
        <f>IF($B755=0,"",IF(Inputs!$B$6="","",IF($AD755=0,C754,SUMIFS(Data!$B$10:$B$3209,Data!$A$10:$A$3209,"&gt;="&amp;$A755,Data!$A$10:$A$3209,"&lt;"&amp;$A755+1)/$AD755)))</f>
        <v/>
      </c>
      <c r="D755" s="56">
        <f>IF($B755=0,"",IF(Inputs!$B$7="","",IF($AE755=0,D754,SUMIFS(Data!$F$10:$F$3209,Data!$E$10:$E$3209,"&gt;="&amp;$A755,Data!$E$10:$E$3209,"&lt;"&amp;$A755+1)/$AE755)))</f>
        <v/>
      </c>
      <c r="E755" s="56">
        <f>IF($B755=0,"",IF(Inputs!$B$8="","",IF($AF755=0,E754,SUMIFS(Data!$J$10:$J$3209,Data!$I$10:$I$3209,"&gt;="&amp;$A755,Data!$I$10:$I$3209,"&lt;"&amp;$A755+1)/$AF755)))</f>
        <v/>
      </c>
      <c r="F755" s="56">
        <f>IF($B755=0,"",IF(Inputs!$B$9="","",IF($AG755=0,F754,SUMIFS(Data!$N$10:$N$3209,Data!$M$10:$M$3209,"&gt;="&amp;$A755,Data!$M$10:$M$3209,"&lt;"&amp;$A755+1)/$AG755)))</f>
        <v/>
      </c>
      <c r="G755" s="56">
        <f>IF($B755=0,"",IF(Inputs!$B$10="","",IF($AH755=0,G754,SUMIFS(Data!$R$10:$R$3209,Data!$Q$10:$Q$3209,"&gt;="&amp;$A755,Data!$Q$10:$Q$3209,"&lt;"&amp;$A755+1)/$AH755)))</f>
        <v/>
      </c>
      <c r="I755" s="54">
        <f>IF($B755=0,NA(),IF($C755="",NA(),IF(C$8="",NA(),IF(N(C$8)=0,NA(),IF(Inputs!$C$17="Rebased to 100",$C755/C$8*100,$C755)))))</f>
        <v/>
      </c>
      <c r="J755" s="54">
        <f>IF($B755=0,NA(),IF($D755="",NA(),IF(D$8="",NA(),IF(N(D$8)=0,NA(),IF(Inputs!$C$17="Rebased to 100",$D755/D$8*100,$D755)))))</f>
        <v/>
      </c>
      <c r="K755" s="54">
        <f>IF($B755=0,NA(),IF($E755="",NA(),IF(E$8="",NA(),IF(N(E$8)=0,NA(),IF(Inputs!$C$17="Rebased to 100",$E755/E$8*100,$E755)))))</f>
        <v/>
      </c>
      <c r="L755" s="54">
        <f>IF($B755=0,NA(),IF($F755="",NA(),IF(F$8="",NA(),IF(N(F$8)=0,NA(),IF(Inputs!$C$17="Rebased to 100",$F755/F$8*100,$F755)))))</f>
        <v/>
      </c>
      <c r="M755" s="54">
        <f>IF($B755=0,NA(),IF($G755="",NA(),IF(G$8="",NA(),IF(N(G$8)=0,NA(),IF(Inputs!$C$17="Rebased to 100",$G755/G$8*100,$G755)))))</f>
        <v/>
      </c>
      <c r="N755" s="54">
        <f>IF($B755=0,NA(),IF(Inputs!$C$18&lt;&gt;"Yes",NA(),IF(COUNT(I755,J755,K755,L755,M755)=0,NA(),MIN(I755,J755,K755,L755,M755))))</f>
        <v/>
      </c>
      <c r="O755" s="54">
        <f>IF($B755=0,NA(),IF(Inputs!$B$24&lt;&gt;"Yes",NA(),Inputs!$D$24*Inputs!$C$35))</f>
        <v/>
      </c>
      <c r="P755" s="54">
        <f>IF($B755=0,NA(),IF(Inputs!$B$25&lt;&gt;"Yes",NA(),Inputs!$D$25*Inputs!$C$35))</f>
        <v/>
      </c>
      <c r="Q755" s="54">
        <f>IF($B755=0,NA(),IF(Inputs!$B$26&lt;&gt;"Yes",NA(),Inputs!$D$26*Inputs!$C$35))</f>
        <v/>
      </c>
      <c r="R755" s="54">
        <f>IF($B755=0,NA(),IF(Inputs!$B$27&lt;&gt;"Yes",NA(),Inputs!$D$27*Inputs!$C$35))</f>
        <v/>
      </c>
      <c r="S755" s="54">
        <f>IF($B755=0,NA(),IF(Inputs!$B$28&lt;&gt;"Yes",NA(),Inputs!$D$28*Inputs!$C$35))</f>
        <v/>
      </c>
      <c r="T755" s="54">
        <f>IF($B755=0,NA(),IF(Inputs!$B$29&lt;&gt;"Yes",NA(),Inputs!$D$29*Inputs!$C$35))</f>
        <v/>
      </c>
      <c r="AD755">
        <f>IF($B755=0,0,IF(Inputs!$B$6="",0,COUNTIFS(Data!$A$10:$A$3209,"&gt;="&amp;$A755,Data!$A$10:$A$3209,"&lt;"&amp;$A755+1)))</f>
        <v/>
      </c>
      <c r="AE755">
        <f>IF($B755=0,0,IF(Inputs!$B$7="",0,COUNTIFS(Data!$E$10:$E$3209,"&gt;="&amp;$A755,Data!$E$10:$E$3209,"&lt;"&amp;$A755+1)))</f>
        <v/>
      </c>
      <c r="AF755">
        <f>IF($B755=0,0,IF(Inputs!$B$8="",0,COUNTIFS(Data!$I$10:$I$3209,"&gt;="&amp;$A755,Data!$I$10:$I$3209,"&lt;"&amp;$A755+1)))</f>
        <v/>
      </c>
      <c r="AG755">
        <f>IF($B755=0,0,IF(Inputs!$B$9="",0,COUNTIFS(Data!$M$10:$M$3209,"&gt;="&amp;$A755,Data!$M$10:$M$3209,"&lt;"&amp;$A755+1)))</f>
        <v/>
      </c>
      <c r="AH755">
        <f>IF($B755=0,0,IF(Inputs!$B$10="",0,COUNTIFS(Data!$Q$10:$Q$3209,"&gt;="&amp;$A755,Data!$Q$10:$Q$3209,"&lt;"&amp;$A755+1)))</f>
        <v/>
      </c>
    </row>
    <row r="756">
      <c r="A756" s="55">
        <f>MIN(Inputs!$C$15,$A755+IF(WEEKDAY($A755,2)=5,3,1))</f>
        <v/>
      </c>
      <c r="B756">
        <f>IF($A756&gt;$A755,1,0)</f>
        <v/>
      </c>
      <c r="C756" s="56">
        <f>IF($B756=0,"",IF(Inputs!$B$6="","",IF($AD756=0,C755,SUMIFS(Data!$B$10:$B$3209,Data!$A$10:$A$3209,"&gt;="&amp;$A756,Data!$A$10:$A$3209,"&lt;"&amp;$A756+1)/$AD756)))</f>
        <v/>
      </c>
      <c r="D756" s="56">
        <f>IF($B756=0,"",IF(Inputs!$B$7="","",IF($AE756=0,D755,SUMIFS(Data!$F$10:$F$3209,Data!$E$10:$E$3209,"&gt;="&amp;$A756,Data!$E$10:$E$3209,"&lt;"&amp;$A756+1)/$AE756)))</f>
        <v/>
      </c>
      <c r="E756" s="56">
        <f>IF($B756=0,"",IF(Inputs!$B$8="","",IF($AF756=0,E755,SUMIFS(Data!$J$10:$J$3209,Data!$I$10:$I$3209,"&gt;="&amp;$A756,Data!$I$10:$I$3209,"&lt;"&amp;$A756+1)/$AF756)))</f>
        <v/>
      </c>
      <c r="F756" s="56">
        <f>IF($B756=0,"",IF(Inputs!$B$9="","",IF($AG756=0,F755,SUMIFS(Data!$N$10:$N$3209,Data!$M$10:$M$3209,"&gt;="&amp;$A756,Data!$M$10:$M$3209,"&lt;"&amp;$A756+1)/$AG756)))</f>
        <v/>
      </c>
      <c r="G756" s="56">
        <f>IF($B756=0,"",IF(Inputs!$B$10="","",IF($AH756=0,G755,SUMIFS(Data!$R$10:$R$3209,Data!$Q$10:$Q$3209,"&gt;="&amp;$A756,Data!$Q$10:$Q$3209,"&lt;"&amp;$A756+1)/$AH756)))</f>
        <v/>
      </c>
      <c r="I756" s="54">
        <f>IF($B756=0,NA(),IF($C756="",NA(),IF(C$8="",NA(),IF(N(C$8)=0,NA(),IF(Inputs!$C$17="Rebased to 100",$C756/C$8*100,$C756)))))</f>
        <v/>
      </c>
      <c r="J756" s="54">
        <f>IF($B756=0,NA(),IF($D756="",NA(),IF(D$8="",NA(),IF(N(D$8)=0,NA(),IF(Inputs!$C$17="Rebased to 100",$D756/D$8*100,$D756)))))</f>
        <v/>
      </c>
      <c r="K756" s="54">
        <f>IF($B756=0,NA(),IF($E756="",NA(),IF(E$8="",NA(),IF(N(E$8)=0,NA(),IF(Inputs!$C$17="Rebased to 100",$E756/E$8*100,$E756)))))</f>
        <v/>
      </c>
      <c r="L756" s="54">
        <f>IF($B756=0,NA(),IF($F756="",NA(),IF(F$8="",NA(),IF(N(F$8)=0,NA(),IF(Inputs!$C$17="Rebased to 100",$F756/F$8*100,$F756)))))</f>
        <v/>
      </c>
      <c r="M756" s="54">
        <f>IF($B756=0,NA(),IF($G756="",NA(),IF(G$8="",NA(),IF(N(G$8)=0,NA(),IF(Inputs!$C$17="Rebased to 100",$G756/G$8*100,$G756)))))</f>
        <v/>
      </c>
      <c r="N756" s="54">
        <f>IF($B756=0,NA(),IF(Inputs!$C$18&lt;&gt;"Yes",NA(),IF(COUNT(I756,J756,K756,L756,M756)=0,NA(),MIN(I756,J756,K756,L756,M756))))</f>
        <v/>
      </c>
      <c r="O756" s="54">
        <f>IF($B756=0,NA(),IF(Inputs!$B$24&lt;&gt;"Yes",NA(),Inputs!$D$24*Inputs!$C$35))</f>
        <v/>
      </c>
      <c r="P756" s="54">
        <f>IF($B756=0,NA(),IF(Inputs!$B$25&lt;&gt;"Yes",NA(),Inputs!$D$25*Inputs!$C$35))</f>
        <v/>
      </c>
      <c r="Q756" s="54">
        <f>IF($B756=0,NA(),IF(Inputs!$B$26&lt;&gt;"Yes",NA(),Inputs!$D$26*Inputs!$C$35))</f>
        <v/>
      </c>
      <c r="R756" s="54">
        <f>IF($B756=0,NA(),IF(Inputs!$B$27&lt;&gt;"Yes",NA(),Inputs!$D$27*Inputs!$C$35))</f>
        <v/>
      </c>
      <c r="S756" s="54">
        <f>IF($B756=0,NA(),IF(Inputs!$B$28&lt;&gt;"Yes",NA(),Inputs!$D$28*Inputs!$C$35))</f>
        <v/>
      </c>
      <c r="T756" s="54">
        <f>IF($B756=0,NA(),IF(Inputs!$B$29&lt;&gt;"Yes",NA(),Inputs!$D$29*Inputs!$C$35))</f>
        <v/>
      </c>
      <c r="AD756">
        <f>IF($B756=0,0,IF(Inputs!$B$6="",0,COUNTIFS(Data!$A$10:$A$3209,"&gt;="&amp;$A756,Data!$A$10:$A$3209,"&lt;"&amp;$A756+1)))</f>
        <v/>
      </c>
      <c r="AE756">
        <f>IF($B756=0,0,IF(Inputs!$B$7="",0,COUNTIFS(Data!$E$10:$E$3209,"&gt;="&amp;$A756,Data!$E$10:$E$3209,"&lt;"&amp;$A756+1)))</f>
        <v/>
      </c>
      <c r="AF756">
        <f>IF($B756=0,0,IF(Inputs!$B$8="",0,COUNTIFS(Data!$I$10:$I$3209,"&gt;="&amp;$A756,Data!$I$10:$I$3209,"&lt;"&amp;$A756+1)))</f>
        <v/>
      </c>
      <c r="AG756">
        <f>IF($B756=0,0,IF(Inputs!$B$9="",0,COUNTIFS(Data!$M$10:$M$3209,"&gt;="&amp;$A756,Data!$M$10:$M$3209,"&lt;"&amp;$A756+1)))</f>
        <v/>
      </c>
      <c r="AH756">
        <f>IF($B756=0,0,IF(Inputs!$B$10="",0,COUNTIFS(Data!$Q$10:$Q$3209,"&gt;="&amp;$A756,Data!$Q$10:$Q$3209,"&lt;"&amp;$A756+1)))</f>
        <v/>
      </c>
    </row>
    <row r="757">
      <c r="A757" s="55">
        <f>MIN(Inputs!$C$15,$A756+IF(WEEKDAY($A756,2)=5,3,1))</f>
        <v/>
      </c>
      <c r="B757">
        <f>IF($A757&gt;$A756,1,0)</f>
        <v/>
      </c>
      <c r="C757" s="56">
        <f>IF($B757=0,"",IF(Inputs!$B$6="","",IF($AD757=0,C756,SUMIFS(Data!$B$10:$B$3209,Data!$A$10:$A$3209,"&gt;="&amp;$A757,Data!$A$10:$A$3209,"&lt;"&amp;$A757+1)/$AD757)))</f>
        <v/>
      </c>
      <c r="D757" s="56">
        <f>IF($B757=0,"",IF(Inputs!$B$7="","",IF($AE757=0,D756,SUMIFS(Data!$F$10:$F$3209,Data!$E$10:$E$3209,"&gt;="&amp;$A757,Data!$E$10:$E$3209,"&lt;"&amp;$A757+1)/$AE757)))</f>
        <v/>
      </c>
      <c r="E757" s="56">
        <f>IF($B757=0,"",IF(Inputs!$B$8="","",IF($AF757=0,E756,SUMIFS(Data!$J$10:$J$3209,Data!$I$10:$I$3209,"&gt;="&amp;$A757,Data!$I$10:$I$3209,"&lt;"&amp;$A757+1)/$AF757)))</f>
        <v/>
      </c>
      <c r="F757" s="56">
        <f>IF($B757=0,"",IF(Inputs!$B$9="","",IF($AG757=0,F756,SUMIFS(Data!$N$10:$N$3209,Data!$M$10:$M$3209,"&gt;="&amp;$A757,Data!$M$10:$M$3209,"&lt;"&amp;$A757+1)/$AG757)))</f>
        <v/>
      </c>
      <c r="G757" s="56">
        <f>IF($B757=0,"",IF(Inputs!$B$10="","",IF($AH757=0,G756,SUMIFS(Data!$R$10:$R$3209,Data!$Q$10:$Q$3209,"&gt;="&amp;$A757,Data!$Q$10:$Q$3209,"&lt;"&amp;$A757+1)/$AH757)))</f>
        <v/>
      </c>
      <c r="I757" s="54">
        <f>IF($B757=0,NA(),IF($C757="",NA(),IF(C$8="",NA(),IF(N(C$8)=0,NA(),IF(Inputs!$C$17="Rebased to 100",$C757/C$8*100,$C757)))))</f>
        <v/>
      </c>
      <c r="J757" s="54">
        <f>IF($B757=0,NA(),IF($D757="",NA(),IF(D$8="",NA(),IF(N(D$8)=0,NA(),IF(Inputs!$C$17="Rebased to 100",$D757/D$8*100,$D757)))))</f>
        <v/>
      </c>
      <c r="K757" s="54">
        <f>IF($B757=0,NA(),IF($E757="",NA(),IF(E$8="",NA(),IF(N(E$8)=0,NA(),IF(Inputs!$C$17="Rebased to 100",$E757/E$8*100,$E757)))))</f>
        <v/>
      </c>
      <c r="L757" s="54">
        <f>IF($B757=0,NA(),IF($F757="",NA(),IF(F$8="",NA(),IF(N(F$8)=0,NA(),IF(Inputs!$C$17="Rebased to 100",$F757/F$8*100,$F757)))))</f>
        <v/>
      </c>
      <c r="M757" s="54">
        <f>IF($B757=0,NA(),IF($G757="",NA(),IF(G$8="",NA(),IF(N(G$8)=0,NA(),IF(Inputs!$C$17="Rebased to 100",$G757/G$8*100,$G757)))))</f>
        <v/>
      </c>
      <c r="N757" s="54">
        <f>IF($B757=0,NA(),IF(Inputs!$C$18&lt;&gt;"Yes",NA(),IF(COUNT(I757,J757,K757,L757,M757)=0,NA(),MIN(I757,J757,K757,L757,M757))))</f>
        <v/>
      </c>
      <c r="O757" s="54">
        <f>IF($B757=0,NA(),IF(Inputs!$B$24&lt;&gt;"Yes",NA(),Inputs!$D$24*Inputs!$C$35))</f>
        <v/>
      </c>
      <c r="P757" s="54">
        <f>IF($B757=0,NA(),IF(Inputs!$B$25&lt;&gt;"Yes",NA(),Inputs!$D$25*Inputs!$C$35))</f>
        <v/>
      </c>
      <c r="Q757" s="54">
        <f>IF($B757=0,NA(),IF(Inputs!$B$26&lt;&gt;"Yes",NA(),Inputs!$D$26*Inputs!$C$35))</f>
        <v/>
      </c>
      <c r="R757" s="54">
        <f>IF($B757=0,NA(),IF(Inputs!$B$27&lt;&gt;"Yes",NA(),Inputs!$D$27*Inputs!$C$35))</f>
        <v/>
      </c>
      <c r="S757" s="54">
        <f>IF($B757=0,NA(),IF(Inputs!$B$28&lt;&gt;"Yes",NA(),Inputs!$D$28*Inputs!$C$35))</f>
        <v/>
      </c>
      <c r="T757" s="54">
        <f>IF($B757=0,NA(),IF(Inputs!$B$29&lt;&gt;"Yes",NA(),Inputs!$D$29*Inputs!$C$35))</f>
        <v/>
      </c>
      <c r="AD757">
        <f>IF($B757=0,0,IF(Inputs!$B$6="",0,COUNTIFS(Data!$A$10:$A$3209,"&gt;="&amp;$A757,Data!$A$10:$A$3209,"&lt;"&amp;$A757+1)))</f>
        <v/>
      </c>
      <c r="AE757">
        <f>IF($B757=0,0,IF(Inputs!$B$7="",0,COUNTIFS(Data!$E$10:$E$3209,"&gt;="&amp;$A757,Data!$E$10:$E$3209,"&lt;"&amp;$A757+1)))</f>
        <v/>
      </c>
      <c r="AF757">
        <f>IF($B757=0,0,IF(Inputs!$B$8="",0,COUNTIFS(Data!$I$10:$I$3209,"&gt;="&amp;$A757,Data!$I$10:$I$3209,"&lt;"&amp;$A757+1)))</f>
        <v/>
      </c>
      <c r="AG757">
        <f>IF($B757=0,0,IF(Inputs!$B$9="",0,COUNTIFS(Data!$M$10:$M$3209,"&gt;="&amp;$A757,Data!$M$10:$M$3209,"&lt;"&amp;$A757+1)))</f>
        <v/>
      </c>
      <c r="AH757">
        <f>IF($B757=0,0,IF(Inputs!$B$10="",0,COUNTIFS(Data!$Q$10:$Q$3209,"&gt;="&amp;$A757,Data!$Q$10:$Q$3209,"&lt;"&amp;$A757+1)))</f>
        <v/>
      </c>
    </row>
    <row r="758">
      <c r="A758" s="55">
        <f>MIN(Inputs!$C$15,$A757+IF(WEEKDAY($A757,2)=5,3,1))</f>
        <v/>
      </c>
      <c r="B758">
        <f>IF($A758&gt;$A757,1,0)</f>
        <v/>
      </c>
      <c r="C758" s="56">
        <f>IF($B758=0,"",IF(Inputs!$B$6="","",IF($AD758=0,C757,SUMIFS(Data!$B$10:$B$3209,Data!$A$10:$A$3209,"&gt;="&amp;$A758,Data!$A$10:$A$3209,"&lt;"&amp;$A758+1)/$AD758)))</f>
        <v/>
      </c>
      <c r="D758" s="56">
        <f>IF($B758=0,"",IF(Inputs!$B$7="","",IF($AE758=0,D757,SUMIFS(Data!$F$10:$F$3209,Data!$E$10:$E$3209,"&gt;="&amp;$A758,Data!$E$10:$E$3209,"&lt;"&amp;$A758+1)/$AE758)))</f>
        <v/>
      </c>
      <c r="E758" s="56">
        <f>IF($B758=0,"",IF(Inputs!$B$8="","",IF($AF758=0,E757,SUMIFS(Data!$J$10:$J$3209,Data!$I$10:$I$3209,"&gt;="&amp;$A758,Data!$I$10:$I$3209,"&lt;"&amp;$A758+1)/$AF758)))</f>
        <v/>
      </c>
      <c r="F758" s="56">
        <f>IF($B758=0,"",IF(Inputs!$B$9="","",IF($AG758=0,F757,SUMIFS(Data!$N$10:$N$3209,Data!$M$10:$M$3209,"&gt;="&amp;$A758,Data!$M$10:$M$3209,"&lt;"&amp;$A758+1)/$AG758)))</f>
        <v/>
      </c>
      <c r="G758" s="56">
        <f>IF($B758=0,"",IF(Inputs!$B$10="","",IF($AH758=0,G757,SUMIFS(Data!$R$10:$R$3209,Data!$Q$10:$Q$3209,"&gt;="&amp;$A758,Data!$Q$10:$Q$3209,"&lt;"&amp;$A758+1)/$AH758)))</f>
        <v/>
      </c>
      <c r="I758" s="54">
        <f>IF($B758=0,NA(),IF($C758="",NA(),IF(C$8="",NA(),IF(N(C$8)=0,NA(),IF(Inputs!$C$17="Rebased to 100",$C758/C$8*100,$C758)))))</f>
        <v/>
      </c>
      <c r="J758" s="54">
        <f>IF($B758=0,NA(),IF($D758="",NA(),IF(D$8="",NA(),IF(N(D$8)=0,NA(),IF(Inputs!$C$17="Rebased to 100",$D758/D$8*100,$D758)))))</f>
        <v/>
      </c>
      <c r="K758" s="54">
        <f>IF($B758=0,NA(),IF($E758="",NA(),IF(E$8="",NA(),IF(N(E$8)=0,NA(),IF(Inputs!$C$17="Rebased to 100",$E758/E$8*100,$E758)))))</f>
        <v/>
      </c>
      <c r="L758" s="54">
        <f>IF($B758=0,NA(),IF($F758="",NA(),IF(F$8="",NA(),IF(N(F$8)=0,NA(),IF(Inputs!$C$17="Rebased to 100",$F758/F$8*100,$F758)))))</f>
        <v/>
      </c>
      <c r="M758" s="54">
        <f>IF($B758=0,NA(),IF($G758="",NA(),IF(G$8="",NA(),IF(N(G$8)=0,NA(),IF(Inputs!$C$17="Rebased to 100",$G758/G$8*100,$G758)))))</f>
        <v/>
      </c>
      <c r="N758" s="54">
        <f>IF($B758=0,NA(),IF(Inputs!$C$18&lt;&gt;"Yes",NA(),IF(COUNT(I758,J758,K758,L758,M758)=0,NA(),MIN(I758,J758,K758,L758,M758))))</f>
        <v/>
      </c>
      <c r="O758" s="54">
        <f>IF($B758=0,NA(),IF(Inputs!$B$24&lt;&gt;"Yes",NA(),Inputs!$D$24*Inputs!$C$35))</f>
        <v/>
      </c>
      <c r="P758" s="54">
        <f>IF($B758=0,NA(),IF(Inputs!$B$25&lt;&gt;"Yes",NA(),Inputs!$D$25*Inputs!$C$35))</f>
        <v/>
      </c>
      <c r="Q758" s="54">
        <f>IF($B758=0,NA(),IF(Inputs!$B$26&lt;&gt;"Yes",NA(),Inputs!$D$26*Inputs!$C$35))</f>
        <v/>
      </c>
      <c r="R758" s="54">
        <f>IF($B758=0,NA(),IF(Inputs!$B$27&lt;&gt;"Yes",NA(),Inputs!$D$27*Inputs!$C$35))</f>
        <v/>
      </c>
      <c r="S758" s="54">
        <f>IF($B758=0,NA(),IF(Inputs!$B$28&lt;&gt;"Yes",NA(),Inputs!$D$28*Inputs!$C$35))</f>
        <v/>
      </c>
      <c r="T758" s="54">
        <f>IF($B758=0,NA(),IF(Inputs!$B$29&lt;&gt;"Yes",NA(),Inputs!$D$29*Inputs!$C$35))</f>
        <v/>
      </c>
      <c r="AD758">
        <f>IF($B758=0,0,IF(Inputs!$B$6="",0,COUNTIFS(Data!$A$10:$A$3209,"&gt;="&amp;$A758,Data!$A$10:$A$3209,"&lt;"&amp;$A758+1)))</f>
        <v/>
      </c>
      <c r="AE758">
        <f>IF($B758=0,0,IF(Inputs!$B$7="",0,COUNTIFS(Data!$E$10:$E$3209,"&gt;="&amp;$A758,Data!$E$10:$E$3209,"&lt;"&amp;$A758+1)))</f>
        <v/>
      </c>
      <c r="AF758">
        <f>IF($B758=0,0,IF(Inputs!$B$8="",0,COUNTIFS(Data!$I$10:$I$3209,"&gt;="&amp;$A758,Data!$I$10:$I$3209,"&lt;"&amp;$A758+1)))</f>
        <v/>
      </c>
      <c r="AG758">
        <f>IF($B758=0,0,IF(Inputs!$B$9="",0,COUNTIFS(Data!$M$10:$M$3209,"&gt;="&amp;$A758,Data!$M$10:$M$3209,"&lt;"&amp;$A758+1)))</f>
        <v/>
      </c>
      <c r="AH758">
        <f>IF($B758=0,0,IF(Inputs!$B$10="",0,COUNTIFS(Data!$Q$10:$Q$3209,"&gt;="&amp;$A758,Data!$Q$10:$Q$3209,"&lt;"&amp;$A758+1)))</f>
        <v/>
      </c>
    </row>
    <row r="759">
      <c r="A759" s="55">
        <f>MIN(Inputs!$C$15,$A758+IF(WEEKDAY($A758,2)=5,3,1))</f>
        <v/>
      </c>
      <c r="B759">
        <f>IF($A759&gt;$A758,1,0)</f>
        <v/>
      </c>
      <c r="C759" s="56">
        <f>IF($B759=0,"",IF(Inputs!$B$6="","",IF($AD759=0,C758,SUMIFS(Data!$B$10:$B$3209,Data!$A$10:$A$3209,"&gt;="&amp;$A759,Data!$A$10:$A$3209,"&lt;"&amp;$A759+1)/$AD759)))</f>
        <v/>
      </c>
      <c r="D759" s="56">
        <f>IF($B759=0,"",IF(Inputs!$B$7="","",IF($AE759=0,D758,SUMIFS(Data!$F$10:$F$3209,Data!$E$10:$E$3209,"&gt;="&amp;$A759,Data!$E$10:$E$3209,"&lt;"&amp;$A759+1)/$AE759)))</f>
        <v/>
      </c>
      <c r="E759" s="56">
        <f>IF($B759=0,"",IF(Inputs!$B$8="","",IF($AF759=0,E758,SUMIFS(Data!$J$10:$J$3209,Data!$I$10:$I$3209,"&gt;="&amp;$A759,Data!$I$10:$I$3209,"&lt;"&amp;$A759+1)/$AF759)))</f>
        <v/>
      </c>
      <c r="F759" s="56">
        <f>IF($B759=0,"",IF(Inputs!$B$9="","",IF($AG759=0,F758,SUMIFS(Data!$N$10:$N$3209,Data!$M$10:$M$3209,"&gt;="&amp;$A759,Data!$M$10:$M$3209,"&lt;"&amp;$A759+1)/$AG759)))</f>
        <v/>
      </c>
      <c r="G759" s="56">
        <f>IF($B759=0,"",IF(Inputs!$B$10="","",IF($AH759=0,G758,SUMIFS(Data!$R$10:$R$3209,Data!$Q$10:$Q$3209,"&gt;="&amp;$A759,Data!$Q$10:$Q$3209,"&lt;"&amp;$A759+1)/$AH759)))</f>
        <v/>
      </c>
      <c r="I759" s="54">
        <f>IF($B759=0,NA(),IF($C759="",NA(),IF(C$8="",NA(),IF(N(C$8)=0,NA(),IF(Inputs!$C$17="Rebased to 100",$C759/C$8*100,$C759)))))</f>
        <v/>
      </c>
      <c r="J759" s="54">
        <f>IF($B759=0,NA(),IF($D759="",NA(),IF(D$8="",NA(),IF(N(D$8)=0,NA(),IF(Inputs!$C$17="Rebased to 100",$D759/D$8*100,$D759)))))</f>
        <v/>
      </c>
      <c r="K759" s="54">
        <f>IF($B759=0,NA(),IF($E759="",NA(),IF(E$8="",NA(),IF(N(E$8)=0,NA(),IF(Inputs!$C$17="Rebased to 100",$E759/E$8*100,$E759)))))</f>
        <v/>
      </c>
      <c r="L759" s="54">
        <f>IF($B759=0,NA(),IF($F759="",NA(),IF(F$8="",NA(),IF(N(F$8)=0,NA(),IF(Inputs!$C$17="Rebased to 100",$F759/F$8*100,$F759)))))</f>
        <v/>
      </c>
      <c r="M759" s="54">
        <f>IF($B759=0,NA(),IF($G759="",NA(),IF(G$8="",NA(),IF(N(G$8)=0,NA(),IF(Inputs!$C$17="Rebased to 100",$G759/G$8*100,$G759)))))</f>
        <v/>
      </c>
      <c r="N759" s="54">
        <f>IF($B759=0,NA(),IF(Inputs!$C$18&lt;&gt;"Yes",NA(),IF(COUNT(I759,J759,K759,L759,M759)=0,NA(),MIN(I759,J759,K759,L759,M759))))</f>
        <v/>
      </c>
      <c r="O759" s="54">
        <f>IF($B759=0,NA(),IF(Inputs!$B$24&lt;&gt;"Yes",NA(),Inputs!$D$24*Inputs!$C$35))</f>
        <v/>
      </c>
      <c r="P759" s="54">
        <f>IF($B759=0,NA(),IF(Inputs!$B$25&lt;&gt;"Yes",NA(),Inputs!$D$25*Inputs!$C$35))</f>
        <v/>
      </c>
      <c r="Q759" s="54">
        <f>IF($B759=0,NA(),IF(Inputs!$B$26&lt;&gt;"Yes",NA(),Inputs!$D$26*Inputs!$C$35))</f>
        <v/>
      </c>
      <c r="R759" s="54">
        <f>IF($B759=0,NA(),IF(Inputs!$B$27&lt;&gt;"Yes",NA(),Inputs!$D$27*Inputs!$C$35))</f>
        <v/>
      </c>
      <c r="S759" s="54">
        <f>IF($B759=0,NA(),IF(Inputs!$B$28&lt;&gt;"Yes",NA(),Inputs!$D$28*Inputs!$C$35))</f>
        <v/>
      </c>
      <c r="T759" s="54">
        <f>IF($B759=0,NA(),IF(Inputs!$B$29&lt;&gt;"Yes",NA(),Inputs!$D$29*Inputs!$C$35))</f>
        <v/>
      </c>
      <c r="AD759">
        <f>IF($B759=0,0,IF(Inputs!$B$6="",0,COUNTIFS(Data!$A$10:$A$3209,"&gt;="&amp;$A759,Data!$A$10:$A$3209,"&lt;"&amp;$A759+1)))</f>
        <v/>
      </c>
      <c r="AE759">
        <f>IF($B759=0,0,IF(Inputs!$B$7="",0,COUNTIFS(Data!$E$10:$E$3209,"&gt;="&amp;$A759,Data!$E$10:$E$3209,"&lt;"&amp;$A759+1)))</f>
        <v/>
      </c>
      <c r="AF759">
        <f>IF($B759=0,0,IF(Inputs!$B$8="",0,COUNTIFS(Data!$I$10:$I$3209,"&gt;="&amp;$A759,Data!$I$10:$I$3209,"&lt;"&amp;$A759+1)))</f>
        <v/>
      </c>
      <c r="AG759">
        <f>IF($B759=0,0,IF(Inputs!$B$9="",0,COUNTIFS(Data!$M$10:$M$3209,"&gt;="&amp;$A759,Data!$M$10:$M$3209,"&lt;"&amp;$A759+1)))</f>
        <v/>
      </c>
      <c r="AH759">
        <f>IF($B759=0,0,IF(Inputs!$B$10="",0,COUNTIFS(Data!$Q$10:$Q$3209,"&gt;="&amp;$A759,Data!$Q$10:$Q$3209,"&lt;"&amp;$A759+1)))</f>
        <v/>
      </c>
    </row>
    <row r="760">
      <c r="A760" s="55">
        <f>MIN(Inputs!$C$15,$A759+IF(WEEKDAY($A759,2)=5,3,1))</f>
        <v/>
      </c>
      <c r="B760">
        <f>IF($A760&gt;$A759,1,0)</f>
        <v/>
      </c>
      <c r="C760" s="56">
        <f>IF($B760=0,"",IF(Inputs!$B$6="","",IF($AD760=0,C759,SUMIFS(Data!$B$10:$B$3209,Data!$A$10:$A$3209,"&gt;="&amp;$A760,Data!$A$10:$A$3209,"&lt;"&amp;$A760+1)/$AD760)))</f>
        <v/>
      </c>
      <c r="D760" s="56">
        <f>IF($B760=0,"",IF(Inputs!$B$7="","",IF($AE760=0,D759,SUMIFS(Data!$F$10:$F$3209,Data!$E$10:$E$3209,"&gt;="&amp;$A760,Data!$E$10:$E$3209,"&lt;"&amp;$A760+1)/$AE760)))</f>
        <v/>
      </c>
      <c r="E760" s="56">
        <f>IF($B760=0,"",IF(Inputs!$B$8="","",IF($AF760=0,E759,SUMIFS(Data!$J$10:$J$3209,Data!$I$10:$I$3209,"&gt;="&amp;$A760,Data!$I$10:$I$3209,"&lt;"&amp;$A760+1)/$AF760)))</f>
        <v/>
      </c>
      <c r="F760" s="56">
        <f>IF($B760=0,"",IF(Inputs!$B$9="","",IF($AG760=0,F759,SUMIFS(Data!$N$10:$N$3209,Data!$M$10:$M$3209,"&gt;="&amp;$A760,Data!$M$10:$M$3209,"&lt;"&amp;$A760+1)/$AG760)))</f>
        <v/>
      </c>
      <c r="G760" s="56">
        <f>IF($B760=0,"",IF(Inputs!$B$10="","",IF($AH760=0,G759,SUMIFS(Data!$R$10:$R$3209,Data!$Q$10:$Q$3209,"&gt;="&amp;$A760,Data!$Q$10:$Q$3209,"&lt;"&amp;$A760+1)/$AH760)))</f>
        <v/>
      </c>
      <c r="I760" s="54">
        <f>IF($B760=0,NA(),IF($C760="",NA(),IF(C$8="",NA(),IF(N(C$8)=0,NA(),IF(Inputs!$C$17="Rebased to 100",$C760/C$8*100,$C760)))))</f>
        <v/>
      </c>
      <c r="J760" s="54">
        <f>IF($B760=0,NA(),IF($D760="",NA(),IF(D$8="",NA(),IF(N(D$8)=0,NA(),IF(Inputs!$C$17="Rebased to 100",$D760/D$8*100,$D760)))))</f>
        <v/>
      </c>
      <c r="K760" s="54">
        <f>IF($B760=0,NA(),IF($E760="",NA(),IF(E$8="",NA(),IF(N(E$8)=0,NA(),IF(Inputs!$C$17="Rebased to 100",$E760/E$8*100,$E760)))))</f>
        <v/>
      </c>
      <c r="L760" s="54">
        <f>IF($B760=0,NA(),IF($F760="",NA(),IF(F$8="",NA(),IF(N(F$8)=0,NA(),IF(Inputs!$C$17="Rebased to 100",$F760/F$8*100,$F760)))))</f>
        <v/>
      </c>
      <c r="M760" s="54">
        <f>IF($B760=0,NA(),IF($G760="",NA(),IF(G$8="",NA(),IF(N(G$8)=0,NA(),IF(Inputs!$C$17="Rebased to 100",$G760/G$8*100,$G760)))))</f>
        <v/>
      </c>
      <c r="N760" s="54">
        <f>IF($B760=0,NA(),IF(Inputs!$C$18&lt;&gt;"Yes",NA(),IF(COUNT(I760,J760,K760,L760,M760)=0,NA(),MIN(I760,J760,K760,L760,M760))))</f>
        <v/>
      </c>
      <c r="O760" s="54">
        <f>IF($B760=0,NA(),IF(Inputs!$B$24&lt;&gt;"Yes",NA(),Inputs!$D$24*Inputs!$C$35))</f>
        <v/>
      </c>
      <c r="P760" s="54">
        <f>IF($B760=0,NA(),IF(Inputs!$B$25&lt;&gt;"Yes",NA(),Inputs!$D$25*Inputs!$C$35))</f>
        <v/>
      </c>
      <c r="Q760" s="54">
        <f>IF($B760=0,NA(),IF(Inputs!$B$26&lt;&gt;"Yes",NA(),Inputs!$D$26*Inputs!$C$35))</f>
        <v/>
      </c>
      <c r="R760" s="54">
        <f>IF($B760=0,NA(),IF(Inputs!$B$27&lt;&gt;"Yes",NA(),Inputs!$D$27*Inputs!$C$35))</f>
        <v/>
      </c>
      <c r="S760" s="54">
        <f>IF($B760=0,NA(),IF(Inputs!$B$28&lt;&gt;"Yes",NA(),Inputs!$D$28*Inputs!$C$35))</f>
        <v/>
      </c>
      <c r="T760" s="54">
        <f>IF($B760=0,NA(),IF(Inputs!$B$29&lt;&gt;"Yes",NA(),Inputs!$D$29*Inputs!$C$35))</f>
        <v/>
      </c>
      <c r="AD760">
        <f>IF($B760=0,0,IF(Inputs!$B$6="",0,COUNTIFS(Data!$A$10:$A$3209,"&gt;="&amp;$A760,Data!$A$10:$A$3209,"&lt;"&amp;$A760+1)))</f>
        <v/>
      </c>
      <c r="AE760">
        <f>IF($B760=0,0,IF(Inputs!$B$7="",0,COUNTIFS(Data!$E$10:$E$3209,"&gt;="&amp;$A760,Data!$E$10:$E$3209,"&lt;"&amp;$A760+1)))</f>
        <v/>
      </c>
      <c r="AF760">
        <f>IF($B760=0,0,IF(Inputs!$B$8="",0,COUNTIFS(Data!$I$10:$I$3209,"&gt;="&amp;$A760,Data!$I$10:$I$3209,"&lt;"&amp;$A760+1)))</f>
        <v/>
      </c>
      <c r="AG760">
        <f>IF($B760=0,0,IF(Inputs!$B$9="",0,COUNTIFS(Data!$M$10:$M$3209,"&gt;="&amp;$A760,Data!$M$10:$M$3209,"&lt;"&amp;$A760+1)))</f>
        <v/>
      </c>
      <c r="AH760">
        <f>IF($B760=0,0,IF(Inputs!$B$10="",0,COUNTIFS(Data!$Q$10:$Q$3209,"&gt;="&amp;$A760,Data!$Q$10:$Q$3209,"&lt;"&amp;$A760+1)))</f>
        <v/>
      </c>
    </row>
    <row r="761">
      <c r="A761" s="55">
        <f>MIN(Inputs!$C$15,$A760+IF(WEEKDAY($A760,2)=5,3,1))</f>
        <v/>
      </c>
      <c r="B761">
        <f>IF($A761&gt;$A760,1,0)</f>
        <v/>
      </c>
      <c r="C761" s="56">
        <f>IF($B761=0,"",IF(Inputs!$B$6="","",IF($AD761=0,C760,SUMIFS(Data!$B$10:$B$3209,Data!$A$10:$A$3209,"&gt;="&amp;$A761,Data!$A$10:$A$3209,"&lt;"&amp;$A761+1)/$AD761)))</f>
        <v/>
      </c>
      <c r="D761" s="56">
        <f>IF($B761=0,"",IF(Inputs!$B$7="","",IF($AE761=0,D760,SUMIFS(Data!$F$10:$F$3209,Data!$E$10:$E$3209,"&gt;="&amp;$A761,Data!$E$10:$E$3209,"&lt;"&amp;$A761+1)/$AE761)))</f>
        <v/>
      </c>
      <c r="E761" s="56">
        <f>IF($B761=0,"",IF(Inputs!$B$8="","",IF($AF761=0,E760,SUMIFS(Data!$J$10:$J$3209,Data!$I$10:$I$3209,"&gt;="&amp;$A761,Data!$I$10:$I$3209,"&lt;"&amp;$A761+1)/$AF761)))</f>
        <v/>
      </c>
      <c r="F761" s="56">
        <f>IF($B761=0,"",IF(Inputs!$B$9="","",IF($AG761=0,F760,SUMIFS(Data!$N$10:$N$3209,Data!$M$10:$M$3209,"&gt;="&amp;$A761,Data!$M$10:$M$3209,"&lt;"&amp;$A761+1)/$AG761)))</f>
        <v/>
      </c>
      <c r="G761" s="56">
        <f>IF($B761=0,"",IF(Inputs!$B$10="","",IF($AH761=0,G760,SUMIFS(Data!$R$10:$R$3209,Data!$Q$10:$Q$3209,"&gt;="&amp;$A761,Data!$Q$10:$Q$3209,"&lt;"&amp;$A761+1)/$AH761)))</f>
        <v/>
      </c>
      <c r="I761" s="54">
        <f>IF($B761=0,NA(),IF($C761="",NA(),IF(C$8="",NA(),IF(N(C$8)=0,NA(),IF(Inputs!$C$17="Rebased to 100",$C761/C$8*100,$C761)))))</f>
        <v/>
      </c>
      <c r="J761" s="54">
        <f>IF($B761=0,NA(),IF($D761="",NA(),IF(D$8="",NA(),IF(N(D$8)=0,NA(),IF(Inputs!$C$17="Rebased to 100",$D761/D$8*100,$D761)))))</f>
        <v/>
      </c>
      <c r="K761" s="54">
        <f>IF($B761=0,NA(),IF($E761="",NA(),IF(E$8="",NA(),IF(N(E$8)=0,NA(),IF(Inputs!$C$17="Rebased to 100",$E761/E$8*100,$E761)))))</f>
        <v/>
      </c>
      <c r="L761" s="54">
        <f>IF($B761=0,NA(),IF($F761="",NA(),IF(F$8="",NA(),IF(N(F$8)=0,NA(),IF(Inputs!$C$17="Rebased to 100",$F761/F$8*100,$F761)))))</f>
        <v/>
      </c>
      <c r="M761" s="54">
        <f>IF($B761=0,NA(),IF($G761="",NA(),IF(G$8="",NA(),IF(N(G$8)=0,NA(),IF(Inputs!$C$17="Rebased to 100",$G761/G$8*100,$G761)))))</f>
        <v/>
      </c>
      <c r="N761" s="54">
        <f>IF($B761=0,NA(),IF(Inputs!$C$18&lt;&gt;"Yes",NA(),IF(COUNT(I761,J761,K761,L761,M761)=0,NA(),MIN(I761,J761,K761,L761,M761))))</f>
        <v/>
      </c>
      <c r="O761" s="54">
        <f>IF($B761=0,NA(),IF(Inputs!$B$24&lt;&gt;"Yes",NA(),Inputs!$D$24*Inputs!$C$35))</f>
        <v/>
      </c>
      <c r="P761" s="54">
        <f>IF($B761=0,NA(),IF(Inputs!$B$25&lt;&gt;"Yes",NA(),Inputs!$D$25*Inputs!$C$35))</f>
        <v/>
      </c>
      <c r="Q761" s="54">
        <f>IF($B761=0,NA(),IF(Inputs!$B$26&lt;&gt;"Yes",NA(),Inputs!$D$26*Inputs!$C$35))</f>
        <v/>
      </c>
      <c r="R761" s="54">
        <f>IF($B761=0,NA(),IF(Inputs!$B$27&lt;&gt;"Yes",NA(),Inputs!$D$27*Inputs!$C$35))</f>
        <v/>
      </c>
      <c r="S761" s="54">
        <f>IF($B761=0,NA(),IF(Inputs!$B$28&lt;&gt;"Yes",NA(),Inputs!$D$28*Inputs!$C$35))</f>
        <v/>
      </c>
      <c r="T761" s="54">
        <f>IF($B761=0,NA(),IF(Inputs!$B$29&lt;&gt;"Yes",NA(),Inputs!$D$29*Inputs!$C$35))</f>
        <v/>
      </c>
      <c r="AD761">
        <f>IF($B761=0,0,IF(Inputs!$B$6="",0,COUNTIFS(Data!$A$10:$A$3209,"&gt;="&amp;$A761,Data!$A$10:$A$3209,"&lt;"&amp;$A761+1)))</f>
        <v/>
      </c>
      <c r="AE761">
        <f>IF($B761=0,0,IF(Inputs!$B$7="",0,COUNTIFS(Data!$E$10:$E$3209,"&gt;="&amp;$A761,Data!$E$10:$E$3209,"&lt;"&amp;$A761+1)))</f>
        <v/>
      </c>
      <c r="AF761">
        <f>IF($B761=0,0,IF(Inputs!$B$8="",0,COUNTIFS(Data!$I$10:$I$3209,"&gt;="&amp;$A761,Data!$I$10:$I$3209,"&lt;"&amp;$A761+1)))</f>
        <v/>
      </c>
      <c r="AG761">
        <f>IF($B761=0,0,IF(Inputs!$B$9="",0,COUNTIFS(Data!$M$10:$M$3209,"&gt;="&amp;$A761,Data!$M$10:$M$3209,"&lt;"&amp;$A761+1)))</f>
        <v/>
      </c>
      <c r="AH761">
        <f>IF($B761=0,0,IF(Inputs!$B$10="",0,COUNTIFS(Data!$Q$10:$Q$3209,"&gt;="&amp;$A761,Data!$Q$10:$Q$3209,"&lt;"&amp;$A761+1)))</f>
        <v/>
      </c>
    </row>
    <row r="762">
      <c r="A762" s="55">
        <f>MIN(Inputs!$C$15,$A761+IF(WEEKDAY($A761,2)=5,3,1))</f>
        <v/>
      </c>
      <c r="B762">
        <f>IF($A762&gt;$A761,1,0)</f>
        <v/>
      </c>
      <c r="C762" s="56">
        <f>IF($B762=0,"",IF(Inputs!$B$6="","",IF($AD762=0,C761,SUMIFS(Data!$B$10:$B$3209,Data!$A$10:$A$3209,"&gt;="&amp;$A762,Data!$A$10:$A$3209,"&lt;"&amp;$A762+1)/$AD762)))</f>
        <v/>
      </c>
      <c r="D762" s="56">
        <f>IF($B762=0,"",IF(Inputs!$B$7="","",IF($AE762=0,D761,SUMIFS(Data!$F$10:$F$3209,Data!$E$10:$E$3209,"&gt;="&amp;$A762,Data!$E$10:$E$3209,"&lt;"&amp;$A762+1)/$AE762)))</f>
        <v/>
      </c>
      <c r="E762" s="56">
        <f>IF($B762=0,"",IF(Inputs!$B$8="","",IF($AF762=0,E761,SUMIFS(Data!$J$10:$J$3209,Data!$I$10:$I$3209,"&gt;="&amp;$A762,Data!$I$10:$I$3209,"&lt;"&amp;$A762+1)/$AF762)))</f>
        <v/>
      </c>
      <c r="F762" s="56">
        <f>IF($B762=0,"",IF(Inputs!$B$9="","",IF($AG762=0,F761,SUMIFS(Data!$N$10:$N$3209,Data!$M$10:$M$3209,"&gt;="&amp;$A762,Data!$M$10:$M$3209,"&lt;"&amp;$A762+1)/$AG762)))</f>
        <v/>
      </c>
      <c r="G762" s="56">
        <f>IF($B762=0,"",IF(Inputs!$B$10="","",IF($AH762=0,G761,SUMIFS(Data!$R$10:$R$3209,Data!$Q$10:$Q$3209,"&gt;="&amp;$A762,Data!$Q$10:$Q$3209,"&lt;"&amp;$A762+1)/$AH762)))</f>
        <v/>
      </c>
      <c r="I762" s="54">
        <f>IF($B762=0,NA(),IF($C762="",NA(),IF(C$8="",NA(),IF(N(C$8)=0,NA(),IF(Inputs!$C$17="Rebased to 100",$C762/C$8*100,$C762)))))</f>
        <v/>
      </c>
      <c r="J762" s="54">
        <f>IF($B762=0,NA(),IF($D762="",NA(),IF(D$8="",NA(),IF(N(D$8)=0,NA(),IF(Inputs!$C$17="Rebased to 100",$D762/D$8*100,$D762)))))</f>
        <v/>
      </c>
      <c r="K762" s="54">
        <f>IF($B762=0,NA(),IF($E762="",NA(),IF(E$8="",NA(),IF(N(E$8)=0,NA(),IF(Inputs!$C$17="Rebased to 100",$E762/E$8*100,$E762)))))</f>
        <v/>
      </c>
      <c r="L762" s="54">
        <f>IF($B762=0,NA(),IF($F762="",NA(),IF(F$8="",NA(),IF(N(F$8)=0,NA(),IF(Inputs!$C$17="Rebased to 100",$F762/F$8*100,$F762)))))</f>
        <v/>
      </c>
      <c r="M762" s="54">
        <f>IF($B762=0,NA(),IF($G762="",NA(),IF(G$8="",NA(),IF(N(G$8)=0,NA(),IF(Inputs!$C$17="Rebased to 100",$G762/G$8*100,$G762)))))</f>
        <v/>
      </c>
      <c r="N762" s="54">
        <f>IF($B762=0,NA(),IF(Inputs!$C$18&lt;&gt;"Yes",NA(),IF(COUNT(I762,J762,K762,L762,M762)=0,NA(),MIN(I762,J762,K762,L762,M762))))</f>
        <v/>
      </c>
      <c r="O762" s="54">
        <f>IF($B762=0,NA(),IF(Inputs!$B$24&lt;&gt;"Yes",NA(),Inputs!$D$24*Inputs!$C$35))</f>
        <v/>
      </c>
      <c r="P762" s="54">
        <f>IF($B762=0,NA(),IF(Inputs!$B$25&lt;&gt;"Yes",NA(),Inputs!$D$25*Inputs!$C$35))</f>
        <v/>
      </c>
      <c r="Q762" s="54">
        <f>IF($B762=0,NA(),IF(Inputs!$B$26&lt;&gt;"Yes",NA(),Inputs!$D$26*Inputs!$C$35))</f>
        <v/>
      </c>
      <c r="R762" s="54">
        <f>IF($B762=0,NA(),IF(Inputs!$B$27&lt;&gt;"Yes",NA(),Inputs!$D$27*Inputs!$C$35))</f>
        <v/>
      </c>
      <c r="S762" s="54">
        <f>IF($B762=0,NA(),IF(Inputs!$B$28&lt;&gt;"Yes",NA(),Inputs!$D$28*Inputs!$C$35))</f>
        <v/>
      </c>
      <c r="T762" s="54">
        <f>IF($B762=0,NA(),IF(Inputs!$B$29&lt;&gt;"Yes",NA(),Inputs!$D$29*Inputs!$C$35))</f>
        <v/>
      </c>
      <c r="AD762">
        <f>IF($B762=0,0,IF(Inputs!$B$6="",0,COUNTIFS(Data!$A$10:$A$3209,"&gt;="&amp;$A762,Data!$A$10:$A$3209,"&lt;"&amp;$A762+1)))</f>
        <v/>
      </c>
      <c r="AE762">
        <f>IF($B762=0,0,IF(Inputs!$B$7="",0,COUNTIFS(Data!$E$10:$E$3209,"&gt;="&amp;$A762,Data!$E$10:$E$3209,"&lt;"&amp;$A762+1)))</f>
        <v/>
      </c>
      <c r="AF762">
        <f>IF($B762=0,0,IF(Inputs!$B$8="",0,COUNTIFS(Data!$I$10:$I$3209,"&gt;="&amp;$A762,Data!$I$10:$I$3209,"&lt;"&amp;$A762+1)))</f>
        <v/>
      </c>
      <c r="AG762">
        <f>IF($B762=0,0,IF(Inputs!$B$9="",0,COUNTIFS(Data!$M$10:$M$3209,"&gt;="&amp;$A762,Data!$M$10:$M$3209,"&lt;"&amp;$A762+1)))</f>
        <v/>
      </c>
      <c r="AH762">
        <f>IF($B762=0,0,IF(Inputs!$B$10="",0,COUNTIFS(Data!$Q$10:$Q$3209,"&gt;="&amp;$A762,Data!$Q$10:$Q$3209,"&lt;"&amp;$A762+1)))</f>
        <v/>
      </c>
    </row>
    <row r="763">
      <c r="A763" s="55">
        <f>MIN(Inputs!$C$15,$A762+IF(WEEKDAY($A762,2)=5,3,1))</f>
        <v/>
      </c>
      <c r="B763">
        <f>IF($A763&gt;$A762,1,0)</f>
        <v/>
      </c>
      <c r="C763" s="56">
        <f>IF($B763=0,"",IF(Inputs!$B$6="","",IF($AD763=0,C762,SUMIFS(Data!$B$10:$B$3209,Data!$A$10:$A$3209,"&gt;="&amp;$A763,Data!$A$10:$A$3209,"&lt;"&amp;$A763+1)/$AD763)))</f>
        <v/>
      </c>
      <c r="D763" s="56">
        <f>IF($B763=0,"",IF(Inputs!$B$7="","",IF($AE763=0,D762,SUMIFS(Data!$F$10:$F$3209,Data!$E$10:$E$3209,"&gt;="&amp;$A763,Data!$E$10:$E$3209,"&lt;"&amp;$A763+1)/$AE763)))</f>
        <v/>
      </c>
      <c r="E763" s="56">
        <f>IF($B763=0,"",IF(Inputs!$B$8="","",IF($AF763=0,E762,SUMIFS(Data!$J$10:$J$3209,Data!$I$10:$I$3209,"&gt;="&amp;$A763,Data!$I$10:$I$3209,"&lt;"&amp;$A763+1)/$AF763)))</f>
        <v/>
      </c>
      <c r="F763" s="56">
        <f>IF($B763=0,"",IF(Inputs!$B$9="","",IF($AG763=0,F762,SUMIFS(Data!$N$10:$N$3209,Data!$M$10:$M$3209,"&gt;="&amp;$A763,Data!$M$10:$M$3209,"&lt;"&amp;$A763+1)/$AG763)))</f>
        <v/>
      </c>
      <c r="G763" s="56">
        <f>IF($B763=0,"",IF(Inputs!$B$10="","",IF($AH763=0,G762,SUMIFS(Data!$R$10:$R$3209,Data!$Q$10:$Q$3209,"&gt;="&amp;$A763,Data!$Q$10:$Q$3209,"&lt;"&amp;$A763+1)/$AH763)))</f>
        <v/>
      </c>
      <c r="I763" s="54">
        <f>IF($B763=0,NA(),IF($C763="",NA(),IF(C$8="",NA(),IF(N(C$8)=0,NA(),IF(Inputs!$C$17="Rebased to 100",$C763/C$8*100,$C763)))))</f>
        <v/>
      </c>
      <c r="J763" s="54">
        <f>IF($B763=0,NA(),IF($D763="",NA(),IF(D$8="",NA(),IF(N(D$8)=0,NA(),IF(Inputs!$C$17="Rebased to 100",$D763/D$8*100,$D763)))))</f>
        <v/>
      </c>
      <c r="K763" s="54">
        <f>IF($B763=0,NA(),IF($E763="",NA(),IF(E$8="",NA(),IF(N(E$8)=0,NA(),IF(Inputs!$C$17="Rebased to 100",$E763/E$8*100,$E763)))))</f>
        <v/>
      </c>
      <c r="L763" s="54">
        <f>IF($B763=0,NA(),IF($F763="",NA(),IF(F$8="",NA(),IF(N(F$8)=0,NA(),IF(Inputs!$C$17="Rebased to 100",$F763/F$8*100,$F763)))))</f>
        <v/>
      </c>
      <c r="M763" s="54">
        <f>IF($B763=0,NA(),IF($G763="",NA(),IF(G$8="",NA(),IF(N(G$8)=0,NA(),IF(Inputs!$C$17="Rebased to 100",$G763/G$8*100,$G763)))))</f>
        <v/>
      </c>
      <c r="N763" s="54">
        <f>IF($B763=0,NA(),IF(Inputs!$C$18&lt;&gt;"Yes",NA(),IF(COUNT(I763,J763,K763,L763,M763)=0,NA(),MIN(I763,J763,K763,L763,M763))))</f>
        <v/>
      </c>
      <c r="O763" s="54">
        <f>IF($B763=0,NA(),IF(Inputs!$B$24&lt;&gt;"Yes",NA(),Inputs!$D$24*Inputs!$C$35))</f>
        <v/>
      </c>
      <c r="P763" s="54">
        <f>IF($B763=0,NA(),IF(Inputs!$B$25&lt;&gt;"Yes",NA(),Inputs!$D$25*Inputs!$C$35))</f>
        <v/>
      </c>
      <c r="Q763" s="54">
        <f>IF($B763=0,NA(),IF(Inputs!$B$26&lt;&gt;"Yes",NA(),Inputs!$D$26*Inputs!$C$35))</f>
        <v/>
      </c>
      <c r="R763" s="54">
        <f>IF($B763=0,NA(),IF(Inputs!$B$27&lt;&gt;"Yes",NA(),Inputs!$D$27*Inputs!$C$35))</f>
        <v/>
      </c>
      <c r="S763" s="54">
        <f>IF($B763=0,NA(),IF(Inputs!$B$28&lt;&gt;"Yes",NA(),Inputs!$D$28*Inputs!$C$35))</f>
        <v/>
      </c>
      <c r="T763" s="54">
        <f>IF($B763=0,NA(),IF(Inputs!$B$29&lt;&gt;"Yes",NA(),Inputs!$D$29*Inputs!$C$35))</f>
        <v/>
      </c>
      <c r="AD763">
        <f>IF($B763=0,0,IF(Inputs!$B$6="",0,COUNTIFS(Data!$A$10:$A$3209,"&gt;="&amp;$A763,Data!$A$10:$A$3209,"&lt;"&amp;$A763+1)))</f>
        <v/>
      </c>
      <c r="AE763">
        <f>IF($B763=0,0,IF(Inputs!$B$7="",0,COUNTIFS(Data!$E$10:$E$3209,"&gt;="&amp;$A763,Data!$E$10:$E$3209,"&lt;"&amp;$A763+1)))</f>
        <v/>
      </c>
      <c r="AF763">
        <f>IF($B763=0,0,IF(Inputs!$B$8="",0,COUNTIFS(Data!$I$10:$I$3209,"&gt;="&amp;$A763,Data!$I$10:$I$3209,"&lt;"&amp;$A763+1)))</f>
        <v/>
      </c>
      <c r="AG763">
        <f>IF($B763=0,0,IF(Inputs!$B$9="",0,COUNTIFS(Data!$M$10:$M$3209,"&gt;="&amp;$A763,Data!$M$10:$M$3209,"&lt;"&amp;$A763+1)))</f>
        <v/>
      </c>
      <c r="AH763">
        <f>IF($B763=0,0,IF(Inputs!$B$10="",0,COUNTIFS(Data!$Q$10:$Q$3209,"&gt;="&amp;$A763,Data!$Q$10:$Q$3209,"&lt;"&amp;$A763+1)))</f>
        <v/>
      </c>
    </row>
    <row r="764">
      <c r="A764" s="55">
        <f>MIN(Inputs!$C$15,$A763+IF(WEEKDAY($A763,2)=5,3,1))</f>
        <v/>
      </c>
      <c r="B764">
        <f>IF($A764&gt;$A763,1,0)</f>
        <v/>
      </c>
      <c r="C764" s="56">
        <f>IF($B764=0,"",IF(Inputs!$B$6="","",IF($AD764=0,C763,SUMIFS(Data!$B$10:$B$3209,Data!$A$10:$A$3209,"&gt;="&amp;$A764,Data!$A$10:$A$3209,"&lt;"&amp;$A764+1)/$AD764)))</f>
        <v/>
      </c>
      <c r="D764" s="56">
        <f>IF($B764=0,"",IF(Inputs!$B$7="","",IF($AE764=0,D763,SUMIFS(Data!$F$10:$F$3209,Data!$E$10:$E$3209,"&gt;="&amp;$A764,Data!$E$10:$E$3209,"&lt;"&amp;$A764+1)/$AE764)))</f>
        <v/>
      </c>
      <c r="E764" s="56">
        <f>IF($B764=0,"",IF(Inputs!$B$8="","",IF($AF764=0,E763,SUMIFS(Data!$J$10:$J$3209,Data!$I$10:$I$3209,"&gt;="&amp;$A764,Data!$I$10:$I$3209,"&lt;"&amp;$A764+1)/$AF764)))</f>
        <v/>
      </c>
      <c r="F764" s="56">
        <f>IF($B764=0,"",IF(Inputs!$B$9="","",IF($AG764=0,F763,SUMIFS(Data!$N$10:$N$3209,Data!$M$10:$M$3209,"&gt;="&amp;$A764,Data!$M$10:$M$3209,"&lt;"&amp;$A764+1)/$AG764)))</f>
        <v/>
      </c>
      <c r="G764" s="56">
        <f>IF($B764=0,"",IF(Inputs!$B$10="","",IF($AH764=0,G763,SUMIFS(Data!$R$10:$R$3209,Data!$Q$10:$Q$3209,"&gt;="&amp;$A764,Data!$Q$10:$Q$3209,"&lt;"&amp;$A764+1)/$AH764)))</f>
        <v/>
      </c>
      <c r="I764" s="54">
        <f>IF($B764=0,NA(),IF($C764="",NA(),IF(C$8="",NA(),IF(N(C$8)=0,NA(),IF(Inputs!$C$17="Rebased to 100",$C764/C$8*100,$C764)))))</f>
        <v/>
      </c>
      <c r="J764" s="54">
        <f>IF($B764=0,NA(),IF($D764="",NA(),IF(D$8="",NA(),IF(N(D$8)=0,NA(),IF(Inputs!$C$17="Rebased to 100",$D764/D$8*100,$D764)))))</f>
        <v/>
      </c>
      <c r="K764" s="54">
        <f>IF($B764=0,NA(),IF($E764="",NA(),IF(E$8="",NA(),IF(N(E$8)=0,NA(),IF(Inputs!$C$17="Rebased to 100",$E764/E$8*100,$E764)))))</f>
        <v/>
      </c>
      <c r="L764" s="54">
        <f>IF($B764=0,NA(),IF($F764="",NA(),IF(F$8="",NA(),IF(N(F$8)=0,NA(),IF(Inputs!$C$17="Rebased to 100",$F764/F$8*100,$F764)))))</f>
        <v/>
      </c>
      <c r="M764" s="54">
        <f>IF($B764=0,NA(),IF($G764="",NA(),IF(G$8="",NA(),IF(N(G$8)=0,NA(),IF(Inputs!$C$17="Rebased to 100",$G764/G$8*100,$G764)))))</f>
        <v/>
      </c>
      <c r="N764" s="54">
        <f>IF($B764=0,NA(),IF(Inputs!$C$18&lt;&gt;"Yes",NA(),IF(COUNT(I764,J764,K764,L764,M764)=0,NA(),MIN(I764,J764,K764,L764,M764))))</f>
        <v/>
      </c>
      <c r="O764" s="54">
        <f>IF($B764=0,NA(),IF(Inputs!$B$24&lt;&gt;"Yes",NA(),Inputs!$D$24*Inputs!$C$35))</f>
        <v/>
      </c>
      <c r="P764" s="54">
        <f>IF($B764=0,NA(),IF(Inputs!$B$25&lt;&gt;"Yes",NA(),Inputs!$D$25*Inputs!$C$35))</f>
        <v/>
      </c>
      <c r="Q764" s="54">
        <f>IF($B764=0,NA(),IF(Inputs!$B$26&lt;&gt;"Yes",NA(),Inputs!$D$26*Inputs!$C$35))</f>
        <v/>
      </c>
      <c r="R764" s="54">
        <f>IF($B764=0,NA(),IF(Inputs!$B$27&lt;&gt;"Yes",NA(),Inputs!$D$27*Inputs!$C$35))</f>
        <v/>
      </c>
      <c r="S764" s="54">
        <f>IF($B764=0,NA(),IF(Inputs!$B$28&lt;&gt;"Yes",NA(),Inputs!$D$28*Inputs!$C$35))</f>
        <v/>
      </c>
      <c r="T764" s="54">
        <f>IF($B764=0,NA(),IF(Inputs!$B$29&lt;&gt;"Yes",NA(),Inputs!$D$29*Inputs!$C$35))</f>
        <v/>
      </c>
      <c r="AD764">
        <f>IF($B764=0,0,IF(Inputs!$B$6="",0,COUNTIFS(Data!$A$10:$A$3209,"&gt;="&amp;$A764,Data!$A$10:$A$3209,"&lt;"&amp;$A764+1)))</f>
        <v/>
      </c>
      <c r="AE764">
        <f>IF($B764=0,0,IF(Inputs!$B$7="",0,COUNTIFS(Data!$E$10:$E$3209,"&gt;="&amp;$A764,Data!$E$10:$E$3209,"&lt;"&amp;$A764+1)))</f>
        <v/>
      </c>
      <c r="AF764">
        <f>IF($B764=0,0,IF(Inputs!$B$8="",0,COUNTIFS(Data!$I$10:$I$3209,"&gt;="&amp;$A764,Data!$I$10:$I$3209,"&lt;"&amp;$A764+1)))</f>
        <v/>
      </c>
      <c r="AG764">
        <f>IF($B764=0,0,IF(Inputs!$B$9="",0,COUNTIFS(Data!$M$10:$M$3209,"&gt;="&amp;$A764,Data!$M$10:$M$3209,"&lt;"&amp;$A764+1)))</f>
        <v/>
      </c>
      <c r="AH764">
        <f>IF($B764=0,0,IF(Inputs!$B$10="",0,COUNTIFS(Data!$Q$10:$Q$3209,"&gt;="&amp;$A764,Data!$Q$10:$Q$3209,"&lt;"&amp;$A764+1)))</f>
        <v/>
      </c>
    </row>
    <row r="765">
      <c r="A765" s="55">
        <f>MIN(Inputs!$C$15,$A764+IF(WEEKDAY($A764,2)=5,3,1))</f>
        <v/>
      </c>
      <c r="B765">
        <f>IF($A765&gt;$A764,1,0)</f>
        <v/>
      </c>
      <c r="C765" s="56">
        <f>IF($B765=0,"",IF(Inputs!$B$6="","",IF($AD765=0,C764,SUMIFS(Data!$B$10:$B$3209,Data!$A$10:$A$3209,"&gt;="&amp;$A765,Data!$A$10:$A$3209,"&lt;"&amp;$A765+1)/$AD765)))</f>
        <v/>
      </c>
      <c r="D765" s="56">
        <f>IF($B765=0,"",IF(Inputs!$B$7="","",IF($AE765=0,D764,SUMIFS(Data!$F$10:$F$3209,Data!$E$10:$E$3209,"&gt;="&amp;$A765,Data!$E$10:$E$3209,"&lt;"&amp;$A765+1)/$AE765)))</f>
        <v/>
      </c>
      <c r="E765" s="56">
        <f>IF($B765=0,"",IF(Inputs!$B$8="","",IF($AF765=0,E764,SUMIFS(Data!$J$10:$J$3209,Data!$I$10:$I$3209,"&gt;="&amp;$A765,Data!$I$10:$I$3209,"&lt;"&amp;$A765+1)/$AF765)))</f>
        <v/>
      </c>
      <c r="F765" s="56">
        <f>IF($B765=0,"",IF(Inputs!$B$9="","",IF($AG765=0,F764,SUMIFS(Data!$N$10:$N$3209,Data!$M$10:$M$3209,"&gt;="&amp;$A765,Data!$M$10:$M$3209,"&lt;"&amp;$A765+1)/$AG765)))</f>
        <v/>
      </c>
      <c r="G765" s="56">
        <f>IF($B765=0,"",IF(Inputs!$B$10="","",IF($AH765=0,G764,SUMIFS(Data!$R$10:$R$3209,Data!$Q$10:$Q$3209,"&gt;="&amp;$A765,Data!$Q$10:$Q$3209,"&lt;"&amp;$A765+1)/$AH765)))</f>
        <v/>
      </c>
      <c r="I765" s="54">
        <f>IF($B765=0,NA(),IF($C765="",NA(),IF(C$8="",NA(),IF(N(C$8)=0,NA(),IF(Inputs!$C$17="Rebased to 100",$C765/C$8*100,$C765)))))</f>
        <v/>
      </c>
      <c r="J765" s="54">
        <f>IF($B765=0,NA(),IF($D765="",NA(),IF(D$8="",NA(),IF(N(D$8)=0,NA(),IF(Inputs!$C$17="Rebased to 100",$D765/D$8*100,$D765)))))</f>
        <v/>
      </c>
      <c r="K765" s="54">
        <f>IF($B765=0,NA(),IF($E765="",NA(),IF(E$8="",NA(),IF(N(E$8)=0,NA(),IF(Inputs!$C$17="Rebased to 100",$E765/E$8*100,$E765)))))</f>
        <v/>
      </c>
      <c r="L765" s="54">
        <f>IF($B765=0,NA(),IF($F765="",NA(),IF(F$8="",NA(),IF(N(F$8)=0,NA(),IF(Inputs!$C$17="Rebased to 100",$F765/F$8*100,$F765)))))</f>
        <v/>
      </c>
      <c r="M765" s="54">
        <f>IF($B765=0,NA(),IF($G765="",NA(),IF(G$8="",NA(),IF(N(G$8)=0,NA(),IF(Inputs!$C$17="Rebased to 100",$G765/G$8*100,$G765)))))</f>
        <v/>
      </c>
      <c r="N765" s="54">
        <f>IF($B765=0,NA(),IF(Inputs!$C$18&lt;&gt;"Yes",NA(),IF(COUNT(I765,J765,K765,L765,M765)=0,NA(),MIN(I765,J765,K765,L765,M765))))</f>
        <v/>
      </c>
      <c r="O765" s="54">
        <f>IF($B765=0,NA(),IF(Inputs!$B$24&lt;&gt;"Yes",NA(),Inputs!$D$24*Inputs!$C$35))</f>
        <v/>
      </c>
      <c r="P765" s="54">
        <f>IF($B765=0,NA(),IF(Inputs!$B$25&lt;&gt;"Yes",NA(),Inputs!$D$25*Inputs!$C$35))</f>
        <v/>
      </c>
      <c r="Q765" s="54">
        <f>IF($B765=0,NA(),IF(Inputs!$B$26&lt;&gt;"Yes",NA(),Inputs!$D$26*Inputs!$C$35))</f>
        <v/>
      </c>
      <c r="R765" s="54">
        <f>IF($B765=0,NA(),IF(Inputs!$B$27&lt;&gt;"Yes",NA(),Inputs!$D$27*Inputs!$C$35))</f>
        <v/>
      </c>
      <c r="S765" s="54">
        <f>IF($B765=0,NA(),IF(Inputs!$B$28&lt;&gt;"Yes",NA(),Inputs!$D$28*Inputs!$C$35))</f>
        <v/>
      </c>
      <c r="T765" s="54">
        <f>IF($B765=0,NA(),IF(Inputs!$B$29&lt;&gt;"Yes",NA(),Inputs!$D$29*Inputs!$C$35))</f>
        <v/>
      </c>
      <c r="AD765">
        <f>IF($B765=0,0,IF(Inputs!$B$6="",0,COUNTIFS(Data!$A$10:$A$3209,"&gt;="&amp;$A765,Data!$A$10:$A$3209,"&lt;"&amp;$A765+1)))</f>
        <v/>
      </c>
      <c r="AE765">
        <f>IF($B765=0,0,IF(Inputs!$B$7="",0,COUNTIFS(Data!$E$10:$E$3209,"&gt;="&amp;$A765,Data!$E$10:$E$3209,"&lt;"&amp;$A765+1)))</f>
        <v/>
      </c>
      <c r="AF765">
        <f>IF($B765=0,0,IF(Inputs!$B$8="",0,COUNTIFS(Data!$I$10:$I$3209,"&gt;="&amp;$A765,Data!$I$10:$I$3209,"&lt;"&amp;$A765+1)))</f>
        <v/>
      </c>
      <c r="AG765">
        <f>IF($B765=0,0,IF(Inputs!$B$9="",0,COUNTIFS(Data!$M$10:$M$3209,"&gt;="&amp;$A765,Data!$M$10:$M$3209,"&lt;"&amp;$A765+1)))</f>
        <v/>
      </c>
      <c r="AH765">
        <f>IF($B765=0,0,IF(Inputs!$B$10="",0,COUNTIFS(Data!$Q$10:$Q$3209,"&gt;="&amp;$A765,Data!$Q$10:$Q$3209,"&lt;"&amp;$A765+1)))</f>
        <v/>
      </c>
    </row>
    <row r="766">
      <c r="A766" s="55">
        <f>MIN(Inputs!$C$15,$A765+IF(WEEKDAY($A765,2)=5,3,1))</f>
        <v/>
      </c>
      <c r="B766">
        <f>IF($A766&gt;$A765,1,0)</f>
        <v/>
      </c>
      <c r="C766" s="56">
        <f>IF($B766=0,"",IF(Inputs!$B$6="","",IF($AD766=0,C765,SUMIFS(Data!$B$10:$B$3209,Data!$A$10:$A$3209,"&gt;="&amp;$A766,Data!$A$10:$A$3209,"&lt;"&amp;$A766+1)/$AD766)))</f>
        <v/>
      </c>
      <c r="D766" s="56">
        <f>IF($B766=0,"",IF(Inputs!$B$7="","",IF($AE766=0,D765,SUMIFS(Data!$F$10:$F$3209,Data!$E$10:$E$3209,"&gt;="&amp;$A766,Data!$E$10:$E$3209,"&lt;"&amp;$A766+1)/$AE766)))</f>
        <v/>
      </c>
      <c r="E766" s="56">
        <f>IF($B766=0,"",IF(Inputs!$B$8="","",IF($AF766=0,E765,SUMIFS(Data!$J$10:$J$3209,Data!$I$10:$I$3209,"&gt;="&amp;$A766,Data!$I$10:$I$3209,"&lt;"&amp;$A766+1)/$AF766)))</f>
        <v/>
      </c>
      <c r="F766" s="56">
        <f>IF($B766=0,"",IF(Inputs!$B$9="","",IF($AG766=0,F765,SUMIFS(Data!$N$10:$N$3209,Data!$M$10:$M$3209,"&gt;="&amp;$A766,Data!$M$10:$M$3209,"&lt;"&amp;$A766+1)/$AG766)))</f>
        <v/>
      </c>
      <c r="G766" s="56">
        <f>IF($B766=0,"",IF(Inputs!$B$10="","",IF($AH766=0,G765,SUMIFS(Data!$R$10:$R$3209,Data!$Q$10:$Q$3209,"&gt;="&amp;$A766,Data!$Q$10:$Q$3209,"&lt;"&amp;$A766+1)/$AH766)))</f>
        <v/>
      </c>
      <c r="I766" s="54">
        <f>IF($B766=0,NA(),IF($C766="",NA(),IF(C$8="",NA(),IF(N(C$8)=0,NA(),IF(Inputs!$C$17="Rebased to 100",$C766/C$8*100,$C766)))))</f>
        <v/>
      </c>
      <c r="J766" s="54">
        <f>IF($B766=0,NA(),IF($D766="",NA(),IF(D$8="",NA(),IF(N(D$8)=0,NA(),IF(Inputs!$C$17="Rebased to 100",$D766/D$8*100,$D766)))))</f>
        <v/>
      </c>
      <c r="K766" s="54">
        <f>IF($B766=0,NA(),IF($E766="",NA(),IF(E$8="",NA(),IF(N(E$8)=0,NA(),IF(Inputs!$C$17="Rebased to 100",$E766/E$8*100,$E766)))))</f>
        <v/>
      </c>
      <c r="L766" s="54">
        <f>IF($B766=0,NA(),IF($F766="",NA(),IF(F$8="",NA(),IF(N(F$8)=0,NA(),IF(Inputs!$C$17="Rebased to 100",$F766/F$8*100,$F766)))))</f>
        <v/>
      </c>
      <c r="M766" s="54">
        <f>IF($B766=0,NA(),IF($G766="",NA(),IF(G$8="",NA(),IF(N(G$8)=0,NA(),IF(Inputs!$C$17="Rebased to 100",$G766/G$8*100,$G766)))))</f>
        <v/>
      </c>
      <c r="N766" s="54">
        <f>IF($B766=0,NA(),IF(Inputs!$C$18&lt;&gt;"Yes",NA(),IF(COUNT(I766,J766,K766,L766,M766)=0,NA(),MIN(I766,J766,K766,L766,M766))))</f>
        <v/>
      </c>
      <c r="O766" s="54">
        <f>IF($B766=0,NA(),IF(Inputs!$B$24&lt;&gt;"Yes",NA(),Inputs!$D$24*Inputs!$C$35))</f>
        <v/>
      </c>
      <c r="P766" s="54">
        <f>IF($B766=0,NA(),IF(Inputs!$B$25&lt;&gt;"Yes",NA(),Inputs!$D$25*Inputs!$C$35))</f>
        <v/>
      </c>
      <c r="Q766" s="54">
        <f>IF($B766=0,NA(),IF(Inputs!$B$26&lt;&gt;"Yes",NA(),Inputs!$D$26*Inputs!$C$35))</f>
        <v/>
      </c>
      <c r="R766" s="54">
        <f>IF($B766=0,NA(),IF(Inputs!$B$27&lt;&gt;"Yes",NA(),Inputs!$D$27*Inputs!$C$35))</f>
        <v/>
      </c>
      <c r="S766" s="54">
        <f>IF($B766=0,NA(),IF(Inputs!$B$28&lt;&gt;"Yes",NA(),Inputs!$D$28*Inputs!$C$35))</f>
        <v/>
      </c>
      <c r="T766" s="54">
        <f>IF($B766=0,NA(),IF(Inputs!$B$29&lt;&gt;"Yes",NA(),Inputs!$D$29*Inputs!$C$35))</f>
        <v/>
      </c>
      <c r="AD766">
        <f>IF($B766=0,0,IF(Inputs!$B$6="",0,COUNTIFS(Data!$A$10:$A$3209,"&gt;="&amp;$A766,Data!$A$10:$A$3209,"&lt;"&amp;$A766+1)))</f>
        <v/>
      </c>
      <c r="AE766">
        <f>IF($B766=0,0,IF(Inputs!$B$7="",0,COUNTIFS(Data!$E$10:$E$3209,"&gt;="&amp;$A766,Data!$E$10:$E$3209,"&lt;"&amp;$A766+1)))</f>
        <v/>
      </c>
      <c r="AF766">
        <f>IF($B766=0,0,IF(Inputs!$B$8="",0,COUNTIFS(Data!$I$10:$I$3209,"&gt;="&amp;$A766,Data!$I$10:$I$3209,"&lt;"&amp;$A766+1)))</f>
        <v/>
      </c>
      <c r="AG766">
        <f>IF($B766=0,0,IF(Inputs!$B$9="",0,COUNTIFS(Data!$M$10:$M$3209,"&gt;="&amp;$A766,Data!$M$10:$M$3209,"&lt;"&amp;$A766+1)))</f>
        <v/>
      </c>
      <c r="AH766">
        <f>IF($B766=0,0,IF(Inputs!$B$10="",0,COUNTIFS(Data!$Q$10:$Q$3209,"&gt;="&amp;$A766,Data!$Q$10:$Q$3209,"&lt;"&amp;$A766+1)))</f>
        <v/>
      </c>
    </row>
    <row r="767">
      <c r="A767" s="55">
        <f>MIN(Inputs!$C$15,$A766+IF(WEEKDAY($A766,2)=5,3,1))</f>
        <v/>
      </c>
      <c r="B767">
        <f>IF($A767&gt;$A766,1,0)</f>
        <v/>
      </c>
      <c r="C767" s="56">
        <f>IF($B767=0,"",IF(Inputs!$B$6="","",IF($AD767=0,C766,SUMIFS(Data!$B$10:$B$3209,Data!$A$10:$A$3209,"&gt;="&amp;$A767,Data!$A$10:$A$3209,"&lt;"&amp;$A767+1)/$AD767)))</f>
        <v/>
      </c>
      <c r="D767" s="56">
        <f>IF($B767=0,"",IF(Inputs!$B$7="","",IF($AE767=0,D766,SUMIFS(Data!$F$10:$F$3209,Data!$E$10:$E$3209,"&gt;="&amp;$A767,Data!$E$10:$E$3209,"&lt;"&amp;$A767+1)/$AE767)))</f>
        <v/>
      </c>
      <c r="E767" s="56">
        <f>IF($B767=0,"",IF(Inputs!$B$8="","",IF($AF767=0,E766,SUMIFS(Data!$J$10:$J$3209,Data!$I$10:$I$3209,"&gt;="&amp;$A767,Data!$I$10:$I$3209,"&lt;"&amp;$A767+1)/$AF767)))</f>
        <v/>
      </c>
      <c r="F767" s="56">
        <f>IF($B767=0,"",IF(Inputs!$B$9="","",IF($AG767=0,F766,SUMIFS(Data!$N$10:$N$3209,Data!$M$10:$M$3209,"&gt;="&amp;$A767,Data!$M$10:$M$3209,"&lt;"&amp;$A767+1)/$AG767)))</f>
        <v/>
      </c>
      <c r="G767" s="56">
        <f>IF($B767=0,"",IF(Inputs!$B$10="","",IF($AH767=0,G766,SUMIFS(Data!$R$10:$R$3209,Data!$Q$10:$Q$3209,"&gt;="&amp;$A767,Data!$Q$10:$Q$3209,"&lt;"&amp;$A767+1)/$AH767)))</f>
        <v/>
      </c>
      <c r="I767" s="54">
        <f>IF($B767=0,NA(),IF($C767="",NA(),IF(C$8="",NA(),IF(N(C$8)=0,NA(),IF(Inputs!$C$17="Rebased to 100",$C767/C$8*100,$C767)))))</f>
        <v/>
      </c>
      <c r="J767" s="54">
        <f>IF($B767=0,NA(),IF($D767="",NA(),IF(D$8="",NA(),IF(N(D$8)=0,NA(),IF(Inputs!$C$17="Rebased to 100",$D767/D$8*100,$D767)))))</f>
        <v/>
      </c>
      <c r="K767" s="54">
        <f>IF($B767=0,NA(),IF($E767="",NA(),IF(E$8="",NA(),IF(N(E$8)=0,NA(),IF(Inputs!$C$17="Rebased to 100",$E767/E$8*100,$E767)))))</f>
        <v/>
      </c>
      <c r="L767" s="54">
        <f>IF($B767=0,NA(),IF($F767="",NA(),IF(F$8="",NA(),IF(N(F$8)=0,NA(),IF(Inputs!$C$17="Rebased to 100",$F767/F$8*100,$F767)))))</f>
        <v/>
      </c>
      <c r="M767" s="54">
        <f>IF($B767=0,NA(),IF($G767="",NA(),IF(G$8="",NA(),IF(N(G$8)=0,NA(),IF(Inputs!$C$17="Rebased to 100",$G767/G$8*100,$G767)))))</f>
        <v/>
      </c>
      <c r="N767" s="54">
        <f>IF($B767=0,NA(),IF(Inputs!$C$18&lt;&gt;"Yes",NA(),IF(COUNT(I767,J767,K767,L767,M767)=0,NA(),MIN(I767,J767,K767,L767,M767))))</f>
        <v/>
      </c>
      <c r="O767" s="54">
        <f>IF($B767=0,NA(),IF(Inputs!$B$24&lt;&gt;"Yes",NA(),Inputs!$D$24*Inputs!$C$35))</f>
        <v/>
      </c>
      <c r="P767" s="54">
        <f>IF($B767=0,NA(),IF(Inputs!$B$25&lt;&gt;"Yes",NA(),Inputs!$D$25*Inputs!$C$35))</f>
        <v/>
      </c>
      <c r="Q767" s="54">
        <f>IF($B767=0,NA(),IF(Inputs!$B$26&lt;&gt;"Yes",NA(),Inputs!$D$26*Inputs!$C$35))</f>
        <v/>
      </c>
      <c r="R767" s="54">
        <f>IF($B767=0,NA(),IF(Inputs!$B$27&lt;&gt;"Yes",NA(),Inputs!$D$27*Inputs!$C$35))</f>
        <v/>
      </c>
      <c r="S767" s="54">
        <f>IF($B767=0,NA(),IF(Inputs!$B$28&lt;&gt;"Yes",NA(),Inputs!$D$28*Inputs!$C$35))</f>
        <v/>
      </c>
      <c r="T767" s="54">
        <f>IF($B767=0,NA(),IF(Inputs!$B$29&lt;&gt;"Yes",NA(),Inputs!$D$29*Inputs!$C$35))</f>
        <v/>
      </c>
      <c r="AD767">
        <f>IF($B767=0,0,IF(Inputs!$B$6="",0,COUNTIFS(Data!$A$10:$A$3209,"&gt;="&amp;$A767,Data!$A$10:$A$3209,"&lt;"&amp;$A767+1)))</f>
        <v/>
      </c>
      <c r="AE767">
        <f>IF($B767=0,0,IF(Inputs!$B$7="",0,COUNTIFS(Data!$E$10:$E$3209,"&gt;="&amp;$A767,Data!$E$10:$E$3209,"&lt;"&amp;$A767+1)))</f>
        <v/>
      </c>
      <c r="AF767">
        <f>IF($B767=0,0,IF(Inputs!$B$8="",0,COUNTIFS(Data!$I$10:$I$3209,"&gt;="&amp;$A767,Data!$I$10:$I$3209,"&lt;"&amp;$A767+1)))</f>
        <v/>
      </c>
      <c r="AG767">
        <f>IF($B767=0,0,IF(Inputs!$B$9="",0,COUNTIFS(Data!$M$10:$M$3209,"&gt;="&amp;$A767,Data!$M$10:$M$3209,"&lt;"&amp;$A767+1)))</f>
        <v/>
      </c>
      <c r="AH767">
        <f>IF($B767=0,0,IF(Inputs!$B$10="",0,COUNTIFS(Data!$Q$10:$Q$3209,"&gt;="&amp;$A767,Data!$Q$10:$Q$3209,"&lt;"&amp;$A767+1)))</f>
        <v/>
      </c>
    </row>
    <row r="768">
      <c r="A768" s="55">
        <f>MIN(Inputs!$C$15,$A767+IF(WEEKDAY($A767,2)=5,3,1))</f>
        <v/>
      </c>
      <c r="B768">
        <f>IF($A768&gt;$A767,1,0)</f>
        <v/>
      </c>
      <c r="C768" s="56">
        <f>IF($B768=0,"",IF(Inputs!$B$6="","",IF($AD768=0,C767,SUMIFS(Data!$B$10:$B$3209,Data!$A$10:$A$3209,"&gt;="&amp;$A768,Data!$A$10:$A$3209,"&lt;"&amp;$A768+1)/$AD768)))</f>
        <v/>
      </c>
      <c r="D768" s="56">
        <f>IF($B768=0,"",IF(Inputs!$B$7="","",IF($AE768=0,D767,SUMIFS(Data!$F$10:$F$3209,Data!$E$10:$E$3209,"&gt;="&amp;$A768,Data!$E$10:$E$3209,"&lt;"&amp;$A768+1)/$AE768)))</f>
        <v/>
      </c>
      <c r="E768" s="56">
        <f>IF($B768=0,"",IF(Inputs!$B$8="","",IF($AF768=0,E767,SUMIFS(Data!$J$10:$J$3209,Data!$I$10:$I$3209,"&gt;="&amp;$A768,Data!$I$10:$I$3209,"&lt;"&amp;$A768+1)/$AF768)))</f>
        <v/>
      </c>
      <c r="F768" s="56">
        <f>IF($B768=0,"",IF(Inputs!$B$9="","",IF($AG768=0,F767,SUMIFS(Data!$N$10:$N$3209,Data!$M$10:$M$3209,"&gt;="&amp;$A768,Data!$M$10:$M$3209,"&lt;"&amp;$A768+1)/$AG768)))</f>
        <v/>
      </c>
      <c r="G768" s="56">
        <f>IF($B768=0,"",IF(Inputs!$B$10="","",IF($AH768=0,G767,SUMIFS(Data!$R$10:$R$3209,Data!$Q$10:$Q$3209,"&gt;="&amp;$A768,Data!$Q$10:$Q$3209,"&lt;"&amp;$A768+1)/$AH768)))</f>
        <v/>
      </c>
      <c r="I768" s="54">
        <f>IF($B768=0,NA(),IF($C768="",NA(),IF(C$8="",NA(),IF(N(C$8)=0,NA(),IF(Inputs!$C$17="Rebased to 100",$C768/C$8*100,$C768)))))</f>
        <v/>
      </c>
      <c r="J768" s="54">
        <f>IF($B768=0,NA(),IF($D768="",NA(),IF(D$8="",NA(),IF(N(D$8)=0,NA(),IF(Inputs!$C$17="Rebased to 100",$D768/D$8*100,$D768)))))</f>
        <v/>
      </c>
      <c r="K768" s="54">
        <f>IF($B768=0,NA(),IF($E768="",NA(),IF(E$8="",NA(),IF(N(E$8)=0,NA(),IF(Inputs!$C$17="Rebased to 100",$E768/E$8*100,$E768)))))</f>
        <v/>
      </c>
      <c r="L768" s="54">
        <f>IF($B768=0,NA(),IF($F768="",NA(),IF(F$8="",NA(),IF(N(F$8)=0,NA(),IF(Inputs!$C$17="Rebased to 100",$F768/F$8*100,$F768)))))</f>
        <v/>
      </c>
      <c r="M768" s="54">
        <f>IF($B768=0,NA(),IF($G768="",NA(),IF(G$8="",NA(),IF(N(G$8)=0,NA(),IF(Inputs!$C$17="Rebased to 100",$G768/G$8*100,$G768)))))</f>
        <v/>
      </c>
      <c r="N768" s="54">
        <f>IF($B768=0,NA(),IF(Inputs!$C$18&lt;&gt;"Yes",NA(),IF(COUNT(I768,J768,K768,L768,M768)=0,NA(),MIN(I768,J768,K768,L768,M768))))</f>
        <v/>
      </c>
      <c r="O768" s="54">
        <f>IF($B768=0,NA(),IF(Inputs!$B$24&lt;&gt;"Yes",NA(),Inputs!$D$24*Inputs!$C$35))</f>
        <v/>
      </c>
      <c r="P768" s="54">
        <f>IF($B768=0,NA(),IF(Inputs!$B$25&lt;&gt;"Yes",NA(),Inputs!$D$25*Inputs!$C$35))</f>
        <v/>
      </c>
      <c r="Q768" s="54">
        <f>IF($B768=0,NA(),IF(Inputs!$B$26&lt;&gt;"Yes",NA(),Inputs!$D$26*Inputs!$C$35))</f>
        <v/>
      </c>
      <c r="R768" s="54">
        <f>IF($B768=0,NA(),IF(Inputs!$B$27&lt;&gt;"Yes",NA(),Inputs!$D$27*Inputs!$C$35))</f>
        <v/>
      </c>
      <c r="S768" s="54">
        <f>IF($B768=0,NA(),IF(Inputs!$B$28&lt;&gt;"Yes",NA(),Inputs!$D$28*Inputs!$C$35))</f>
        <v/>
      </c>
      <c r="T768" s="54">
        <f>IF($B768=0,NA(),IF(Inputs!$B$29&lt;&gt;"Yes",NA(),Inputs!$D$29*Inputs!$C$35))</f>
        <v/>
      </c>
      <c r="AD768">
        <f>IF($B768=0,0,IF(Inputs!$B$6="",0,COUNTIFS(Data!$A$10:$A$3209,"&gt;="&amp;$A768,Data!$A$10:$A$3209,"&lt;"&amp;$A768+1)))</f>
        <v/>
      </c>
      <c r="AE768">
        <f>IF($B768=0,0,IF(Inputs!$B$7="",0,COUNTIFS(Data!$E$10:$E$3209,"&gt;="&amp;$A768,Data!$E$10:$E$3209,"&lt;"&amp;$A768+1)))</f>
        <v/>
      </c>
      <c r="AF768">
        <f>IF($B768=0,0,IF(Inputs!$B$8="",0,COUNTIFS(Data!$I$10:$I$3209,"&gt;="&amp;$A768,Data!$I$10:$I$3209,"&lt;"&amp;$A768+1)))</f>
        <v/>
      </c>
      <c r="AG768">
        <f>IF($B768=0,0,IF(Inputs!$B$9="",0,COUNTIFS(Data!$M$10:$M$3209,"&gt;="&amp;$A768,Data!$M$10:$M$3209,"&lt;"&amp;$A768+1)))</f>
        <v/>
      </c>
      <c r="AH768">
        <f>IF($B768=0,0,IF(Inputs!$B$10="",0,COUNTIFS(Data!$Q$10:$Q$3209,"&gt;="&amp;$A768,Data!$Q$10:$Q$3209,"&lt;"&amp;$A768+1)))</f>
        <v/>
      </c>
    </row>
    <row r="769">
      <c r="A769" s="55">
        <f>MIN(Inputs!$C$15,$A768+IF(WEEKDAY($A768,2)=5,3,1))</f>
        <v/>
      </c>
      <c r="B769">
        <f>IF($A769&gt;$A768,1,0)</f>
        <v/>
      </c>
      <c r="C769" s="56">
        <f>IF($B769=0,"",IF(Inputs!$B$6="","",IF($AD769=0,C768,SUMIFS(Data!$B$10:$B$3209,Data!$A$10:$A$3209,"&gt;="&amp;$A769,Data!$A$10:$A$3209,"&lt;"&amp;$A769+1)/$AD769)))</f>
        <v/>
      </c>
      <c r="D769" s="56">
        <f>IF($B769=0,"",IF(Inputs!$B$7="","",IF($AE769=0,D768,SUMIFS(Data!$F$10:$F$3209,Data!$E$10:$E$3209,"&gt;="&amp;$A769,Data!$E$10:$E$3209,"&lt;"&amp;$A769+1)/$AE769)))</f>
        <v/>
      </c>
      <c r="E769" s="56">
        <f>IF($B769=0,"",IF(Inputs!$B$8="","",IF($AF769=0,E768,SUMIFS(Data!$J$10:$J$3209,Data!$I$10:$I$3209,"&gt;="&amp;$A769,Data!$I$10:$I$3209,"&lt;"&amp;$A769+1)/$AF769)))</f>
        <v/>
      </c>
      <c r="F769" s="56">
        <f>IF($B769=0,"",IF(Inputs!$B$9="","",IF($AG769=0,F768,SUMIFS(Data!$N$10:$N$3209,Data!$M$10:$M$3209,"&gt;="&amp;$A769,Data!$M$10:$M$3209,"&lt;"&amp;$A769+1)/$AG769)))</f>
        <v/>
      </c>
      <c r="G769" s="56">
        <f>IF($B769=0,"",IF(Inputs!$B$10="","",IF($AH769=0,G768,SUMIFS(Data!$R$10:$R$3209,Data!$Q$10:$Q$3209,"&gt;="&amp;$A769,Data!$Q$10:$Q$3209,"&lt;"&amp;$A769+1)/$AH769)))</f>
        <v/>
      </c>
      <c r="I769" s="54">
        <f>IF($B769=0,NA(),IF($C769="",NA(),IF(C$8="",NA(),IF(N(C$8)=0,NA(),IF(Inputs!$C$17="Rebased to 100",$C769/C$8*100,$C769)))))</f>
        <v/>
      </c>
      <c r="J769" s="54">
        <f>IF($B769=0,NA(),IF($D769="",NA(),IF(D$8="",NA(),IF(N(D$8)=0,NA(),IF(Inputs!$C$17="Rebased to 100",$D769/D$8*100,$D769)))))</f>
        <v/>
      </c>
      <c r="K769" s="54">
        <f>IF($B769=0,NA(),IF($E769="",NA(),IF(E$8="",NA(),IF(N(E$8)=0,NA(),IF(Inputs!$C$17="Rebased to 100",$E769/E$8*100,$E769)))))</f>
        <v/>
      </c>
      <c r="L769" s="54">
        <f>IF($B769=0,NA(),IF($F769="",NA(),IF(F$8="",NA(),IF(N(F$8)=0,NA(),IF(Inputs!$C$17="Rebased to 100",$F769/F$8*100,$F769)))))</f>
        <v/>
      </c>
      <c r="M769" s="54">
        <f>IF($B769=0,NA(),IF($G769="",NA(),IF(G$8="",NA(),IF(N(G$8)=0,NA(),IF(Inputs!$C$17="Rebased to 100",$G769/G$8*100,$G769)))))</f>
        <v/>
      </c>
      <c r="N769" s="54">
        <f>IF($B769=0,NA(),IF(Inputs!$C$18&lt;&gt;"Yes",NA(),IF(COUNT(I769,J769,K769,L769,M769)=0,NA(),MIN(I769,J769,K769,L769,M769))))</f>
        <v/>
      </c>
      <c r="O769" s="54">
        <f>IF($B769=0,NA(),IF(Inputs!$B$24&lt;&gt;"Yes",NA(),Inputs!$D$24*Inputs!$C$35))</f>
        <v/>
      </c>
      <c r="P769" s="54">
        <f>IF($B769=0,NA(),IF(Inputs!$B$25&lt;&gt;"Yes",NA(),Inputs!$D$25*Inputs!$C$35))</f>
        <v/>
      </c>
      <c r="Q769" s="54">
        <f>IF($B769=0,NA(),IF(Inputs!$B$26&lt;&gt;"Yes",NA(),Inputs!$D$26*Inputs!$C$35))</f>
        <v/>
      </c>
      <c r="R769" s="54">
        <f>IF($B769=0,NA(),IF(Inputs!$B$27&lt;&gt;"Yes",NA(),Inputs!$D$27*Inputs!$C$35))</f>
        <v/>
      </c>
      <c r="S769" s="54">
        <f>IF($B769=0,NA(),IF(Inputs!$B$28&lt;&gt;"Yes",NA(),Inputs!$D$28*Inputs!$C$35))</f>
        <v/>
      </c>
      <c r="T769" s="54">
        <f>IF($B769=0,NA(),IF(Inputs!$B$29&lt;&gt;"Yes",NA(),Inputs!$D$29*Inputs!$C$35))</f>
        <v/>
      </c>
      <c r="AD769">
        <f>IF($B769=0,0,IF(Inputs!$B$6="",0,COUNTIFS(Data!$A$10:$A$3209,"&gt;="&amp;$A769,Data!$A$10:$A$3209,"&lt;"&amp;$A769+1)))</f>
        <v/>
      </c>
      <c r="AE769">
        <f>IF($B769=0,0,IF(Inputs!$B$7="",0,COUNTIFS(Data!$E$10:$E$3209,"&gt;="&amp;$A769,Data!$E$10:$E$3209,"&lt;"&amp;$A769+1)))</f>
        <v/>
      </c>
      <c r="AF769">
        <f>IF($B769=0,0,IF(Inputs!$B$8="",0,COUNTIFS(Data!$I$10:$I$3209,"&gt;="&amp;$A769,Data!$I$10:$I$3209,"&lt;"&amp;$A769+1)))</f>
        <v/>
      </c>
      <c r="AG769">
        <f>IF($B769=0,0,IF(Inputs!$B$9="",0,COUNTIFS(Data!$M$10:$M$3209,"&gt;="&amp;$A769,Data!$M$10:$M$3209,"&lt;"&amp;$A769+1)))</f>
        <v/>
      </c>
      <c r="AH769">
        <f>IF($B769=0,0,IF(Inputs!$B$10="",0,COUNTIFS(Data!$Q$10:$Q$3209,"&gt;="&amp;$A769,Data!$Q$10:$Q$3209,"&lt;"&amp;$A769+1)))</f>
        <v/>
      </c>
    </row>
    <row r="770">
      <c r="A770" s="55">
        <f>MIN(Inputs!$C$15,$A769+IF(WEEKDAY($A769,2)=5,3,1))</f>
        <v/>
      </c>
      <c r="B770">
        <f>IF($A770&gt;$A769,1,0)</f>
        <v/>
      </c>
      <c r="C770" s="56">
        <f>IF($B770=0,"",IF(Inputs!$B$6="","",IF($AD770=0,C769,SUMIFS(Data!$B$10:$B$3209,Data!$A$10:$A$3209,"&gt;="&amp;$A770,Data!$A$10:$A$3209,"&lt;"&amp;$A770+1)/$AD770)))</f>
        <v/>
      </c>
      <c r="D770" s="56">
        <f>IF($B770=0,"",IF(Inputs!$B$7="","",IF($AE770=0,D769,SUMIFS(Data!$F$10:$F$3209,Data!$E$10:$E$3209,"&gt;="&amp;$A770,Data!$E$10:$E$3209,"&lt;"&amp;$A770+1)/$AE770)))</f>
        <v/>
      </c>
      <c r="E770" s="56">
        <f>IF($B770=0,"",IF(Inputs!$B$8="","",IF($AF770=0,E769,SUMIFS(Data!$J$10:$J$3209,Data!$I$10:$I$3209,"&gt;="&amp;$A770,Data!$I$10:$I$3209,"&lt;"&amp;$A770+1)/$AF770)))</f>
        <v/>
      </c>
      <c r="F770" s="56">
        <f>IF($B770=0,"",IF(Inputs!$B$9="","",IF($AG770=0,F769,SUMIFS(Data!$N$10:$N$3209,Data!$M$10:$M$3209,"&gt;="&amp;$A770,Data!$M$10:$M$3209,"&lt;"&amp;$A770+1)/$AG770)))</f>
        <v/>
      </c>
      <c r="G770" s="56">
        <f>IF($B770=0,"",IF(Inputs!$B$10="","",IF($AH770=0,G769,SUMIFS(Data!$R$10:$R$3209,Data!$Q$10:$Q$3209,"&gt;="&amp;$A770,Data!$Q$10:$Q$3209,"&lt;"&amp;$A770+1)/$AH770)))</f>
        <v/>
      </c>
      <c r="I770" s="54">
        <f>IF($B770=0,NA(),IF($C770="",NA(),IF(C$8="",NA(),IF(N(C$8)=0,NA(),IF(Inputs!$C$17="Rebased to 100",$C770/C$8*100,$C770)))))</f>
        <v/>
      </c>
      <c r="J770" s="54">
        <f>IF($B770=0,NA(),IF($D770="",NA(),IF(D$8="",NA(),IF(N(D$8)=0,NA(),IF(Inputs!$C$17="Rebased to 100",$D770/D$8*100,$D770)))))</f>
        <v/>
      </c>
      <c r="K770" s="54">
        <f>IF($B770=0,NA(),IF($E770="",NA(),IF(E$8="",NA(),IF(N(E$8)=0,NA(),IF(Inputs!$C$17="Rebased to 100",$E770/E$8*100,$E770)))))</f>
        <v/>
      </c>
      <c r="L770" s="54">
        <f>IF($B770=0,NA(),IF($F770="",NA(),IF(F$8="",NA(),IF(N(F$8)=0,NA(),IF(Inputs!$C$17="Rebased to 100",$F770/F$8*100,$F770)))))</f>
        <v/>
      </c>
      <c r="M770" s="54">
        <f>IF($B770=0,NA(),IF($G770="",NA(),IF(G$8="",NA(),IF(N(G$8)=0,NA(),IF(Inputs!$C$17="Rebased to 100",$G770/G$8*100,$G770)))))</f>
        <v/>
      </c>
      <c r="N770" s="54">
        <f>IF($B770=0,NA(),IF(Inputs!$C$18&lt;&gt;"Yes",NA(),IF(COUNT(I770,J770,K770,L770,M770)=0,NA(),MIN(I770,J770,K770,L770,M770))))</f>
        <v/>
      </c>
      <c r="O770" s="54">
        <f>IF($B770=0,NA(),IF(Inputs!$B$24&lt;&gt;"Yes",NA(),Inputs!$D$24*Inputs!$C$35))</f>
        <v/>
      </c>
      <c r="P770" s="54">
        <f>IF($B770=0,NA(),IF(Inputs!$B$25&lt;&gt;"Yes",NA(),Inputs!$D$25*Inputs!$C$35))</f>
        <v/>
      </c>
      <c r="Q770" s="54">
        <f>IF($B770=0,NA(),IF(Inputs!$B$26&lt;&gt;"Yes",NA(),Inputs!$D$26*Inputs!$C$35))</f>
        <v/>
      </c>
      <c r="R770" s="54">
        <f>IF($B770=0,NA(),IF(Inputs!$B$27&lt;&gt;"Yes",NA(),Inputs!$D$27*Inputs!$C$35))</f>
        <v/>
      </c>
      <c r="S770" s="54">
        <f>IF($B770=0,NA(),IF(Inputs!$B$28&lt;&gt;"Yes",NA(),Inputs!$D$28*Inputs!$C$35))</f>
        <v/>
      </c>
      <c r="T770" s="54">
        <f>IF($B770=0,NA(),IF(Inputs!$B$29&lt;&gt;"Yes",NA(),Inputs!$D$29*Inputs!$C$35))</f>
        <v/>
      </c>
      <c r="AD770">
        <f>IF($B770=0,0,IF(Inputs!$B$6="",0,COUNTIFS(Data!$A$10:$A$3209,"&gt;="&amp;$A770,Data!$A$10:$A$3209,"&lt;"&amp;$A770+1)))</f>
        <v/>
      </c>
      <c r="AE770">
        <f>IF($B770=0,0,IF(Inputs!$B$7="",0,COUNTIFS(Data!$E$10:$E$3209,"&gt;="&amp;$A770,Data!$E$10:$E$3209,"&lt;"&amp;$A770+1)))</f>
        <v/>
      </c>
      <c r="AF770">
        <f>IF($B770=0,0,IF(Inputs!$B$8="",0,COUNTIFS(Data!$I$10:$I$3209,"&gt;="&amp;$A770,Data!$I$10:$I$3209,"&lt;"&amp;$A770+1)))</f>
        <v/>
      </c>
      <c r="AG770">
        <f>IF($B770=0,0,IF(Inputs!$B$9="",0,COUNTIFS(Data!$M$10:$M$3209,"&gt;="&amp;$A770,Data!$M$10:$M$3209,"&lt;"&amp;$A770+1)))</f>
        <v/>
      </c>
      <c r="AH770">
        <f>IF($B770=0,0,IF(Inputs!$B$10="",0,COUNTIFS(Data!$Q$10:$Q$3209,"&gt;="&amp;$A770,Data!$Q$10:$Q$3209,"&lt;"&amp;$A770+1)))</f>
        <v/>
      </c>
    </row>
    <row r="771">
      <c r="A771" s="55">
        <f>MIN(Inputs!$C$15,$A770+IF(WEEKDAY($A770,2)=5,3,1))</f>
        <v/>
      </c>
      <c r="B771">
        <f>IF($A771&gt;$A770,1,0)</f>
        <v/>
      </c>
      <c r="C771" s="56">
        <f>IF($B771=0,"",IF(Inputs!$B$6="","",IF($AD771=0,C770,SUMIFS(Data!$B$10:$B$3209,Data!$A$10:$A$3209,"&gt;="&amp;$A771,Data!$A$10:$A$3209,"&lt;"&amp;$A771+1)/$AD771)))</f>
        <v/>
      </c>
      <c r="D771" s="56">
        <f>IF($B771=0,"",IF(Inputs!$B$7="","",IF($AE771=0,D770,SUMIFS(Data!$F$10:$F$3209,Data!$E$10:$E$3209,"&gt;="&amp;$A771,Data!$E$10:$E$3209,"&lt;"&amp;$A771+1)/$AE771)))</f>
        <v/>
      </c>
      <c r="E771" s="56">
        <f>IF($B771=0,"",IF(Inputs!$B$8="","",IF($AF771=0,E770,SUMIFS(Data!$J$10:$J$3209,Data!$I$10:$I$3209,"&gt;="&amp;$A771,Data!$I$10:$I$3209,"&lt;"&amp;$A771+1)/$AF771)))</f>
        <v/>
      </c>
      <c r="F771" s="56">
        <f>IF($B771=0,"",IF(Inputs!$B$9="","",IF($AG771=0,F770,SUMIFS(Data!$N$10:$N$3209,Data!$M$10:$M$3209,"&gt;="&amp;$A771,Data!$M$10:$M$3209,"&lt;"&amp;$A771+1)/$AG771)))</f>
        <v/>
      </c>
      <c r="G771" s="56">
        <f>IF($B771=0,"",IF(Inputs!$B$10="","",IF($AH771=0,G770,SUMIFS(Data!$R$10:$R$3209,Data!$Q$10:$Q$3209,"&gt;="&amp;$A771,Data!$Q$10:$Q$3209,"&lt;"&amp;$A771+1)/$AH771)))</f>
        <v/>
      </c>
      <c r="I771" s="54">
        <f>IF($B771=0,NA(),IF($C771="",NA(),IF(C$8="",NA(),IF(N(C$8)=0,NA(),IF(Inputs!$C$17="Rebased to 100",$C771/C$8*100,$C771)))))</f>
        <v/>
      </c>
      <c r="J771" s="54">
        <f>IF($B771=0,NA(),IF($D771="",NA(),IF(D$8="",NA(),IF(N(D$8)=0,NA(),IF(Inputs!$C$17="Rebased to 100",$D771/D$8*100,$D771)))))</f>
        <v/>
      </c>
      <c r="K771" s="54">
        <f>IF($B771=0,NA(),IF($E771="",NA(),IF(E$8="",NA(),IF(N(E$8)=0,NA(),IF(Inputs!$C$17="Rebased to 100",$E771/E$8*100,$E771)))))</f>
        <v/>
      </c>
      <c r="L771" s="54">
        <f>IF($B771=0,NA(),IF($F771="",NA(),IF(F$8="",NA(),IF(N(F$8)=0,NA(),IF(Inputs!$C$17="Rebased to 100",$F771/F$8*100,$F771)))))</f>
        <v/>
      </c>
      <c r="M771" s="54">
        <f>IF($B771=0,NA(),IF($G771="",NA(),IF(G$8="",NA(),IF(N(G$8)=0,NA(),IF(Inputs!$C$17="Rebased to 100",$G771/G$8*100,$G771)))))</f>
        <v/>
      </c>
      <c r="N771" s="54">
        <f>IF($B771=0,NA(),IF(Inputs!$C$18&lt;&gt;"Yes",NA(),IF(COUNT(I771,J771,K771,L771,M771)=0,NA(),MIN(I771,J771,K771,L771,M771))))</f>
        <v/>
      </c>
      <c r="O771" s="54">
        <f>IF($B771=0,NA(),IF(Inputs!$B$24&lt;&gt;"Yes",NA(),Inputs!$D$24*Inputs!$C$35))</f>
        <v/>
      </c>
      <c r="P771" s="54">
        <f>IF($B771=0,NA(),IF(Inputs!$B$25&lt;&gt;"Yes",NA(),Inputs!$D$25*Inputs!$C$35))</f>
        <v/>
      </c>
      <c r="Q771" s="54">
        <f>IF($B771=0,NA(),IF(Inputs!$B$26&lt;&gt;"Yes",NA(),Inputs!$D$26*Inputs!$C$35))</f>
        <v/>
      </c>
      <c r="R771" s="54">
        <f>IF($B771=0,NA(),IF(Inputs!$B$27&lt;&gt;"Yes",NA(),Inputs!$D$27*Inputs!$C$35))</f>
        <v/>
      </c>
      <c r="S771" s="54">
        <f>IF($B771=0,NA(),IF(Inputs!$B$28&lt;&gt;"Yes",NA(),Inputs!$D$28*Inputs!$C$35))</f>
        <v/>
      </c>
      <c r="T771" s="54">
        <f>IF($B771=0,NA(),IF(Inputs!$B$29&lt;&gt;"Yes",NA(),Inputs!$D$29*Inputs!$C$35))</f>
        <v/>
      </c>
      <c r="AD771">
        <f>IF($B771=0,0,IF(Inputs!$B$6="",0,COUNTIFS(Data!$A$10:$A$3209,"&gt;="&amp;$A771,Data!$A$10:$A$3209,"&lt;"&amp;$A771+1)))</f>
        <v/>
      </c>
      <c r="AE771">
        <f>IF($B771=0,0,IF(Inputs!$B$7="",0,COUNTIFS(Data!$E$10:$E$3209,"&gt;="&amp;$A771,Data!$E$10:$E$3209,"&lt;"&amp;$A771+1)))</f>
        <v/>
      </c>
      <c r="AF771">
        <f>IF($B771=0,0,IF(Inputs!$B$8="",0,COUNTIFS(Data!$I$10:$I$3209,"&gt;="&amp;$A771,Data!$I$10:$I$3209,"&lt;"&amp;$A771+1)))</f>
        <v/>
      </c>
      <c r="AG771">
        <f>IF($B771=0,0,IF(Inputs!$B$9="",0,COUNTIFS(Data!$M$10:$M$3209,"&gt;="&amp;$A771,Data!$M$10:$M$3209,"&lt;"&amp;$A771+1)))</f>
        <v/>
      </c>
      <c r="AH771">
        <f>IF($B771=0,0,IF(Inputs!$B$10="",0,COUNTIFS(Data!$Q$10:$Q$3209,"&gt;="&amp;$A771,Data!$Q$10:$Q$3209,"&lt;"&amp;$A771+1)))</f>
        <v/>
      </c>
    </row>
    <row r="772">
      <c r="A772" s="55">
        <f>MIN(Inputs!$C$15,$A771+IF(WEEKDAY($A771,2)=5,3,1))</f>
        <v/>
      </c>
      <c r="B772">
        <f>IF($A772&gt;$A771,1,0)</f>
        <v/>
      </c>
      <c r="C772" s="56">
        <f>IF($B772=0,"",IF(Inputs!$B$6="","",IF($AD772=0,C771,SUMIFS(Data!$B$10:$B$3209,Data!$A$10:$A$3209,"&gt;="&amp;$A772,Data!$A$10:$A$3209,"&lt;"&amp;$A772+1)/$AD772)))</f>
        <v/>
      </c>
      <c r="D772" s="56">
        <f>IF($B772=0,"",IF(Inputs!$B$7="","",IF($AE772=0,D771,SUMIFS(Data!$F$10:$F$3209,Data!$E$10:$E$3209,"&gt;="&amp;$A772,Data!$E$10:$E$3209,"&lt;"&amp;$A772+1)/$AE772)))</f>
        <v/>
      </c>
      <c r="E772" s="56">
        <f>IF($B772=0,"",IF(Inputs!$B$8="","",IF($AF772=0,E771,SUMIFS(Data!$J$10:$J$3209,Data!$I$10:$I$3209,"&gt;="&amp;$A772,Data!$I$10:$I$3209,"&lt;"&amp;$A772+1)/$AF772)))</f>
        <v/>
      </c>
      <c r="F772" s="56">
        <f>IF($B772=0,"",IF(Inputs!$B$9="","",IF($AG772=0,F771,SUMIFS(Data!$N$10:$N$3209,Data!$M$10:$M$3209,"&gt;="&amp;$A772,Data!$M$10:$M$3209,"&lt;"&amp;$A772+1)/$AG772)))</f>
        <v/>
      </c>
      <c r="G772" s="56">
        <f>IF($B772=0,"",IF(Inputs!$B$10="","",IF($AH772=0,G771,SUMIFS(Data!$R$10:$R$3209,Data!$Q$10:$Q$3209,"&gt;="&amp;$A772,Data!$Q$10:$Q$3209,"&lt;"&amp;$A772+1)/$AH772)))</f>
        <v/>
      </c>
      <c r="I772" s="54">
        <f>IF($B772=0,NA(),IF($C772="",NA(),IF(C$8="",NA(),IF(N(C$8)=0,NA(),IF(Inputs!$C$17="Rebased to 100",$C772/C$8*100,$C772)))))</f>
        <v/>
      </c>
      <c r="J772" s="54">
        <f>IF($B772=0,NA(),IF($D772="",NA(),IF(D$8="",NA(),IF(N(D$8)=0,NA(),IF(Inputs!$C$17="Rebased to 100",$D772/D$8*100,$D772)))))</f>
        <v/>
      </c>
      <c r="K772" s="54">
        <f>IF($B772=0,NA(),IF($E772="",NA(),IF(E$8="",NA(),IF(N(E$8)=0,NA(),IF(Inputs!$C$17="Rebased to 100",$E772/E$8*100,$E772)))))</f>
        <v/>
      </c>
      <c r="L772" s="54">
        <f>IF($B772=0,NA(),IF($F772="",NA(),IF(F$8="",NA(),IF(N(F$8)=0,NA(),IF(Inputs!$C$17="Rebased to 100",$F772/F$8*100,$F772)))))</f>
        <v/>
      </c>
      <c r="M772" s="54">
        <f>IF($B772=0,NA(),IF($G772="",NA(),IF(G$8="",NA(),IF(N(G$8)=0,NA(),IF(Inputs!$C$17="Rebased to 100",$G772/G$8*100,$G772)))))</f>
        <v/>
      </c>
      <c r="N772" s="54">
        <f>IF($B772=0,NA(),IF(Inputs!$C$18&lt;&gt;"Yes",NA(),IF(COUNT(I772,J772,K772,L772,M772)=0,NA(),MIN(I772,J772,K772,L772,M772))))</f>
        <v/>
      </c>
      <c r="O772" s="54">
        <f>IF($B772=0,NA(),IF(Inputs!$B$24&lt;&gt;"Yes",NA(),Inputs!$D$24*Inputs!$C$35))</f>
        <v/>
      </c>
      <c r="P772" s="54">
        <f>IF($B772=0,NA(),IF(Inputs!$B$25&lt;&gt;"Yes",NA(),Inputs!$D$25*Inputs!$C$35))</f>
        <v/>
      </c>
      <c r="Q772" s="54">
        <f>IF($B772=0,NA(),IF(Inputs!$B$26&lt;&gt;"Yes",NA(),Inputs!$D$26*Inputs!$C$35))</f>
        <v/>
      </c>
      <c r="R772" s="54">
        <f>IF($B772=0,NA(),IF(Inputs!$B$27&lt;&gt;"Yes",NA(),Inputs!$D$27*Inputs!$C$35))</f>
        <v/>
      </c>
      <c r="S772" s="54">
        <f>IF($B772=0,NA(),IF(Inputs!$B$28&lt;&gt;"Yes",NA(),Inputs!$D$28*Inputs!$C$35))</f>
        <v/>
      </c>
      <c r="T772" s="54">
        <f>IF($B772=0,NA(),IF(Inputs!$B$29&lt;&gt;"Yes",NA(),Inputs!$D$29*Inputs!$C$35))</f>
        <v/>
      </c>
      <c r="AD772">
        <f>IF($B772=0,0,IF(Inputs!$B$6="",0,COUNTIFS(Data!$A$10:$A$3209,"&gt;="&amp;$A772,Data!$A$10:$A$3209,"&lt;"&amp;$A772+1)))</f>
        <v/>
      </c>
      <c r="AE772">
        <f>IF($B772=0,0,IF(Inputs!$B$7="",0,COUNTIFS(Data!$E$10:$E$3209,"&gt;="&amp;$A772,Data!$E$10:$E$3209,"&lt;"&amp;$A772+1)))</f>
        <v/>
      </c>
      <c r="AF772">
        <f>IF($B772=0,0,IF(Inputs!$B$8="",0,COUNTIFS(Data!$I$10:$I$3209,"&gt;="&amp;$A772,Data!$I$10:$I$3209,"&lt;"&amp;$A772+1)))</f>
        <v/>
      </c>
      <c r="AG772">
        <f>IF($B772=0,0,IF(Inputs!$B$9="",0,COUNTIFS(Data!$M$10:$M$3209,"&gt;="&amp;$A772,Data!$M$10:$M$3209,"&lt;"&amp;$A772+1)))</f>
        <v/>
      </c>
      <c r="AH772">
        <f>IF($B772=0,0,IF(Inputs!$B$10="",0,COUNTIFS(Data!$Q$10:$Q$3209,"&gt;="&amp;$A772,Data!$Q$10:$Q$3209,"&lt;"&amp;$A772+1)))</f>
        <v/>
      </c>
    </row>
    <row r="773">
      <c r="A773" s="55">
        <f>MIN(Inputs!$C$15,$A772+IF(WEEKDAY($A772,2)=5,3,1))</f>
        <v/>
      </c>
      <c r="B773">
        <f>IF($A773&gt;$A772,1,0)</f>
        <v/>
      </c>
      <c r="C773" s="56">
        <f>IF($B773=0,"",IF(Inputs!$B$6="","",IF($AD773=0,C772,SUMIFS(Data!$B$10:$B$3209,Data!$A$10:$A$3209,"&gt;="&amp;$A773,Data!$A$10:$A$3209,"&lt;"&amp;$A773+1)/$AD773)))</f>
        <v/>
      </c>
      <c r="D773" s="56">
        <f>IF($B773=0,"",IF(Inputs!$B$7="","",IF($AE773=0,D772,SUMIFS(Data!$F$10:$F$3209,Data!$E$10:$E$3209,"&gt;="&amp;$A773,Data!$E$10:$E$3209,"&lt;"&amp;$A773+1)/$AE773)))</f>
        <v/>
      </c>
      <c r="E773" s="56">
        <f>IF($B773=0,"",IF(Inputs!$B$8="","",IF($AF773=0,E772,SUMIFS(Data!$J$10:$J$3209,Data!$I$10:$I$3209,"&gt;="&amp;$A773,Data!$I$10:$I$3209,"&lt;"&amp;$A773+1)/$AF773)))</f>
        <v/>
      </c>
      <c r="F773" s="56">
        <f>IF($B773=0,"",IF(Inputs!$B$9="","",IF($AG773=0,F772,SUMIFS(Data!$N$10:$N$3209,Data!$M$10:$M$3209,"&gt;="&amp;$A773,Data!$M$10:$M$3209,"&lt;"&amp;$A773+1)/$AG773)))</f>
        <v/>
      </c>
      <c r="G773" s="56">
        <f>IF($B773=0,"",IF(Inputs!$B$10="","",IF($AH773=0,G772,SUMIFS(Data!$R$10:$R$3209,Data!$Q$10:$Q$3209,"&gt;="&amp;$A773,Data!$Q$10:$Q$3209,"&lt;"&amp;$A773+1)/$AH773)))</f>
        <v/>
      </c>
      <c r="I773" s="54">
        <f>IF($B773=0,NA(),IF($C773="",NA(),IF(C$8="",NA(),IF(N(C$8)=0,NA(),IF(Inputs!$C$17="Rebased to 100",$C773/C$8*100,$C773)))))</f>
        <v/>
      </c>
      <c r="J773" s="54">
        <f>IF($B773=0,NA(),IF($D773="",NA(),IF(D$8="",NA(),IF(N(D$8)=0,NA(),IF(Inputs!$C$17="Rebased to 100",$D773/D$8*100,$D773)))))</f>
        <v/>
      </c>
      <c r="K773" s="54">
        <f>IF($B773=0,NA(),IF($E773="",NA(),IF(E$8="",NA(),IF(N(E$8)=0,NA(),IF(Inputs!$C$17="Rebased to 100",$E773/E$8*100,$E773)))))</f>
        <v/>
      </c>
      <c r="L773" s="54">
        <f>IF($B773=0,NA(),IF($F773="",NA(),IF(F$8="",NA(),IF(N(F$8)=0,NA(),IF(Inputs!$C$17="Rebased to 100",$F773/F$8*100,$F773)))))</f>
        <v/>
      </c>
      <c r="M773" s="54">
        <f>IF($B773=0,NA(),IF($G773="",NA(),IF(G$8="",NA(),IF(N(G$8)=0,NA(),IF(Inputs!$C$17="Rebased to 100",$G773/G$8*100,$G773)))))</f>
        <v/>
      </c>
      <c r="N773" s="54">
        <f>IF($B773=0,NA(),IF(Inputs!$C$18&lt;&gt;"Yes",NA(),IF(COUNT(I773,J773,K773,L773,M773)=0,NA(),MIN(I773,J773,K773,L773,M773))))</f>
        <v/>
      </c>
      <c r="O773" s="54">
        <f>IF($B773=0,NA(),IF(Inputs!$B$24&lt;&gt;"Yes",NA(),Inputs!$D$24*Inputs!$C$35))</f>
        <v/>
      </c>
      <c r="P773" s="54">
        <f>IF($B773=0,NA(),IF(Inputs!$B$25&lt;&gt;"Yes",NA(),Inputs!$D$25*Inputs!$C$35))</f>
        <v/>
      </c>
      <c r="Q773" s="54">
        <f>IF($B773=0,NA(),IF(Inputs!$B$26&lt;&gt;"Yes",NA(),Inputs!$D$26*Inputs!$C$35))</f>
        <v/>
      </c>
      <c r="R773" s="54">
        <f>IF($B773=0,NA(),IF(Inputs!$B$27&lt;&gt;"Yes",NA(),Inputs!$D$27*Inputs!$C$35))</f>
        <v/>
      </c>
      <c r="S773" s="54">
        <f>IF($B773=0,NA(),IF(Inputs!$B$28&lt;&gt;"Yes",NA(),Inputs!$D$28*Inputs!$C$35))</f>
        <v/>
      </c>
      <c r="T773" s="54">
        <f>IF($B773=0,NA(),IF(Inputs!$B$29&lt;&gt;"Yes",NA(),Inputs!$D$29*Inputs!$C$35))</f>
        <v/>
      </c>
      <c r="AD773">
        <f>IF($B773=0,0,IF(Inputs!$B$6="",0,COUNTIFS(Data!$A$10:$A$3209,"&gt;="&amp;$A773,Data!$A$10:$A$3209,"&lt;"&amp;$A773+1)))</f>
        <v/>
      </c>
      <c r="AE773">
        <f>IF($B773=0,0,IF(Inputs!$B$7="",0,COUNTIFS(Data!$E$10:$E$3209,"&gt;="&amp;$A773,Data!$E$10:$E$3209,"&lt;"&amp;$A773+1)))</f>
        <v/>
      </c>
      <c r="AF773">
        <f>IF($B773=0,0,IF(Inputs!$B$8="",0,COUNTIFS(Data!$I$10:$I$3209,"&gt;="&amp;$A773,Data!$I$10:$I$3209,"&lt;"&amp;$A773+1)))</f>
        <v/>
      </c>
      <c r="AG773">
        <f>IF($B773=0,0,IF(Inputs!$B$9="",0,COUNTIFS(Data!$M$10:$M$3209,"&gt;="&amp;$A773,Data!$M$10:$M$3209,"&lt;"&amp;$A773+1)))</f>
        <v/>
      </c>
      <c r="AH773">
        <f>IF($B773=0,0,IF(Inputs!$B$10="",0,COUNTIFS(Data!$Q$10:$Q$3209,"&gt;="&amp;$A773,Data!$Q$10:$Q$3209,"&lt;"&amp;$A773+1)))</f>
        <v/>
      </c>
    </row>
    <row r="774">
      <c r="A774" s="55">
        <f>MIN(Inputs!$C$15,$A773+IF(WEEKDAY($A773,2)=5,3,1))</f>
        <v/>
      </c>
      <c r="B774">
        <f>IF($A774&gt;$A773,1,0)</f>
        <v/>
      </c>
      <c r="C774" s="56">
        <f>IF($B774=0,"",IF(Inputs!$B$6="","",IF($AD774=0,C773,SUMIFS(Data!$B$10:$B$3209,Data!$A$10:$A$3209,"&gt;="&amp;$A774,Data!$A$10:$A$3209,"&lt;"&amp;$A774+1)/$AD774)))</f>
        <v/>
      </c>
      <c r="D774" s="56">
        <f>IF($B774=0,"",IF(Inputs!$B$7="","",IF($AE774=0,D773,SUMIFS(Data!$F$10:$F$3209,Data!$E$10:$E$3209,"&gt;="&amp;$A774,Data!$E$10:$E$3209,"&lt;"&amp;$A774+1)/$AE774)))</f>
        <v/>
      </c>
      <c r="E774" s="56">
        <f>IF($B774=0,"",IF(Inputs!$B$8="","",IF($AF774=0,E773,SUMIFS(Data!$J$10:$J$3209,Data!$I$10:$I$3209,"&gt;="&amp;$A774,Data!$I$10:$I$3209,"&lt;"&amp;$A774+1)/$AF774)))</f>
        <v/>
      </c>
      <c r="F774" s="56">
        <f>IF($B774=0,"",IF(Inputs!$B$9="","",IF($AG774=0,F773,SUMIFS(Data!$N$10:$N$3209,Data!$M$10:$M$3209,"&gt;="&amp;$A774,Data!$M$10:$M$3209,"&lt;"&amp;$A774+1)/$AG774)))</f>
        <v/>
      </c>
      <c r="G774" s="56">
        <f>IF($B774=0,"",IF(Inputs!$B$10="","",IF($AH774=0,G773,SUMIFS(Data!$R$10:$R$3209,Data!$Q$10:$Q$3209,"&gt;="&amp;$A774,Data!$Q$10:$Q$3209,"&lt;"&amp;$A774+1)/$AH774)))</f>
        <v/>
      </c>
      <c r="I774" s="54">
        <f>IF($B774=0,NA(),IF($C774="",NA(),IF(C$8="",NA(),IF(N(C$8)=0,NA(),IF(Inputs!$C$17="Rebased to 100",$C774/C$8*100,$C774)))))</f>
        <v/>
      </c>
      <c r="J774" s="54">
        <f>IF($B774=0,NA(),IF($D774="",NA(),IF(D$8="",NA(),IF(N(D$8)=0,NA(),IF(Inputs!$C$17="Rebased to 100",$D774/D$8*100,$D774)))))</f>
        <v/>
      </c>
      <c r="K774" s="54">
        <f>IF($B774=0,NA(),IF($E774="",NA(),IF(E$8="",NA(),IF(N(E$8)=0,NA(),IF(Inputs!$C$17="Rebased to 100",$E774/E$8*100,$E774)))))</f>
        <v/>
      </c>
      <c r="L774" s="54">
        <f>IF($B774=0,NA(),IF($F774="",NA(),IF(F$8="",NA(),IF(N(F$8)=0,NA(),IF(Inputs!$C$17="Rebased to 100",$F774/F$8*100,$F774)))))</f>
        <v/>
      </c>
      <c r="M774" s="54">
        <f>IF($B774=0,NA(),IF($G774="",NA(),IF(G$8="",NA(),IF(N(G$8)=0,NA(),IF(Inputs!$C$17="Rebased to 100",$G774/G$8*100,$G774)))))</f>
        <v/>
      </c>
      <c r="N774" s="54">
        <f>IF($B774=0,NA(),IF(Inputs!$C$18&lt;&gt;"Yes",NA(),IF(COUNT(I774,J774,K774,L774,M774)=0,NA(),MIN(I774,J774,K774,L774,M774))))</f>
        <v/>
      </c>
      <c r="O774" s="54">
        <f>IF($B774=0,NA(),IF(Inputs!$B$24&lt;&gt;"Yes",NA(),Inputs!$D$24*Inputs!$C$35))</f>
        <v/>
      </c>
      <c r="P774" s="54">
        <f>IF($B774=0,NA(),IF(Inputs!$B$25&lt;&gt;"Yes",NA(),Inputs!$D$25*Inputs!$C$35))</f>
        <v/>
      </c>
      <c r="Q774" s="54">
        <f>IF($B774=0,NA(),IF(Inputs!$B$26&lt;&gt;"Yes",NA(),Inputs!$D$26*Inputs!$C$35))</f>
        <v/>
      </c>
      <c r="R774" s="54">
        <f>IF($B774=0,NA(),IF(Inputs!$B$27&lt;&gt;"Yes",NA(),Inputs!$D$27*Inputs!$C$35))</f>
        <v/>
      </c>
      <c r="S774" s="54">
        <f>IF($B774=0,NA(),IF(Inputs!$B$28&lt;&gt;"Yes",NA(),Inputs!$D$28*Inputs!$C$35))</f>
        <v/>
      </c>
      <c r="T774" s="54">
        <f>IF($B774=0,NA(),IF(Inputs!$B$29&lt;&gt;"Yes",NA(),Inputs!$D$29*Inputs!$C$35))</f>
        <v/>
      </c>
      <c r="AD774">
        <f>IF($B774=0,0,IF(Inputs!$B$6="",0,COUNTIFS(Data!$A$10:$A$3209,"&gt;="&amp;$A774,Data!$A$10:$A$3209,"&lt;"&amp;$A774+1)))</f>
        <v/>
      </c>
      <c r="AE774">
        <f>IF($B774=0,0,IF(Inputs!$B$7="",0,COUNTIFS(Data!$E$10:$E$3209,"&gt;="&amp;$A774,Data!$E$10:$E$3209,"&lt;"&amp;$A774+1)))</f>
        <v/>
      </c>
      <c r="AF774">
        <f>IF($B774=0,0,IF(Inputs!$B$8="",0,COUNTIFS(Data!$I$10:$I$3209,"&gt;="&amp;$A774,Data!$I$10:$I$3209,"&lt;"&amp;$A774+1)))</f>
        <v/>
      </c>
      <c r="AG774">
        <f>IF($B774=0,0,IF(Inputs!$B$9="",0,COUNTIFS(Data!$M$10:$M$3209,"&gt;="&amp;$A774,Data!$M$10:$M$3209,"&lt;"&amp;$A774+1)))</f>
        <v/>
      </c>
      <c r="AH774">
        <f>IF($B774=0,0,IF(Inputs!$B$10="",0,COUNTIFS(Data!$Q$10:$Q$3209,"&gt;="&amp;$A774,Data!$Q$10:$Q$3209,"&lt;"&amp;$A774+1)))</f>
        <v/>
      </c>
    </row>
    <row r="775">
      <c r="A775" s="55">
        <f>MIN(Inputs!$C$15,$A774+IF(WEEKDAY($A774,2)=5,3,1))</f>
        <v/>
      </c>
      <c r="B775">
        <f>IF($A775&gt;$A774,1,0)</f>
        <v/>
      </c>
      <c r="C775" s="56">
        <f>IF($B775=0,"",IF(Inputs!$B$6="","",IF($AD775=0,C774,SUMIFS(Data!$B$10:$B$3209,Data!$A$10:$A$3209,"&gt;="&amp;$A775,Data!$A$10:$A$3209,"&lt;"&amp;$A775+1)/$AD775)))</f>
        <v/>
      </c>
      <c r="D775" s="56">
        <f>IF($B775=0,"",IF(Inputs!$B$7="","",IF($AE775=0,D774,SUMIFS(Data!$F$10:$F$3209,Data!$E$10:$E$3209,"&gt;="&amp;$A775,Data!$E$10:$E$3209,"&lt;"&amp;$A775+1)/$AE775)))</f>
        <v/>
      </c>
      <c r="E775" s="56">
        <f>IF($B775=0,"",IF(Inputs!$B$8="","",IF($AF775=0,E774,SUMIFS(Data!$J$10:$J$3209,Data!$I$10:$I$3209,"&gt;="&amp;$A775,Data!$I$10:$I$3209,"&lt;"&amp;$A775+1)/$AF775)))</f>
        <v/>
      </c>
      <c r="F775" s="56">
        <f>IF($B775=0,"",IF(Inputs!$B$9="","",IF($AG775=0,F774,SUMIFS(Data!$N$10:$N$3209,Data!$M$10:$M$3209,"&gt;="&amp;$A775,Data!$M$10:$M$3209,"&lt;"&amp;$A775+1)/$AG775)))</f>
        <v/>
      </c>
      <c r="G775" s="56">
        <f>IF($B775=0,"",IF(Inputs!$B$10="","",IF($AH775=0,G774,SUMIFS(Data!$R$10:$R$3209,Data!$Q$10:$Q$3209,"&gt;="&amp;$A775,Data!$Q$10:$Q$3209,"&lt;"&amp;$A775+1)/$AH775)))</f>
        <v/>
      </c>
      <c r="I775" s="54">
        <f>IF($B775=0,NA(),IF($C775="",NA(),IF(C$8="",NA(),IF(N(C$8)=0,NA(),IF(Inputs!$C$17="Rebased to 100",$C775/C$8*100,$C775)))))</f>
        <v/>
      </c>
      <c r="J775" s="54">
        <f>IF($B775=0,NA(),IF($D775="",NA(),IF(D$8="",NA(),IF(N(D$8)=0,NA(),IF(Inputs!$C$17="Rebased to 100",$D775/D$8*100,$D775)))))</f>
        <v/>
      </c>
      <c r="K775" s="54">
        <f>IF($B775=0,NA(),IF($E775="",NA(),IF(E$8="",NA(),IF(N(E$8)=0,NA(),IF(Inputs!$C$17="Rebased to 100",$E775/E$8*100,$E775)))))</f>
        <v/>
      </c>
      <c r="L775" s="54">
        <f>IF($B775=0,NA(),IF($F775="",NA(),IF(F$8="",NA(),IF(N(F$8)=0,NA(),IF(Inputs!$C$17="Rebased to 100",$F775/F$8*100,$F775)))))</f>
        <v/>
      </c>
      <c r="M775" s="54">
        <f>IF($B775=0,NA(),IF($G775="",NA(),IF(G$8="",NA(),IF(N(G$8)=0,NA(),IF(Inputs!$C$17="Rebased to 100",$G775/G$8*100,$G775)))))</f>
        <v/>
      </c>
      <c r="N775" s="54">
        <f>IF($B775=0,NA(),IF(Inputs!$C$18&lt;&gt;"Yes",NA(),IF(COUNT(I775,J775,K775,L775,M775)=0,NA(),MIN(I775,J775,K775,L775,M775))))</f>
        <v/>
      </c>
      <c r="O775" s="54">
        <f>IF($B775=0,NA(),IF(Inputs!$B$24&lt;&gt;"Yes",NA(),Inputs!$D$24*Inputs!$C$35))</f>
        <v/>
      </c>
      <c r="P775" s="54">
        <f>IF($B775=0,NA(),IF(Inputs!$B$25&lt;&gt;"Yes",NA(),Inputs!$D$25*Inputs!$C$35))</f>
        <v/>
      </c>
      <c r="Q775" s="54">
        <f>IF($B775=0,NA(),IF(Inputs!$B$26&lt;&gt;"Yes",NA(),Inputs!$D$26*Inputs!$C$35))</f>
        <v/>
      </c>
      <c r="R775" s="54">
        <f>IF($B775=0,NA(),IF(Inputs!$B$27&lt;&gt;"Yes",NA(),Inputs!$D$27*Inputs!$C$35))</f>
        <v/>
      </c>
      <c r="S775" s="54">
        <f>IF($B775=0,NA(),IF(Inputs!$B$28&lt;&gt;"Yes",NA(),Inputs!$D$28*Inputs!$C$35))</f>
        <v/>
      </c>
      <c r="T775" s="54">
        <f>IF($B775=0,NA(),IF(Inputs!$B$29&lt;&gt;"Yes",NA(),Inputs!$D$29*Inputs!$C$35))</f>
        <v/>
      </c>
      <c r="AD775">
        <f>IF($B775=0,0,IF(Inputs!$B$6="",0,COUNTIFS(Data!$A$10:$A$3209,"&gt;="&amp;$A775,Data!$A$10:$A$3209,"&lt;"&amp;$A775+1)))</f>
        <v/>
      </c>
      <c r="AE775">
        <f>IF($B775=0,0,IF(Inputs!$B$7="",0,COUNTIFS(Data!$E$10:$E$3209,"&gt;="&amp;$A775,Data!$E$10:$E$3209,"&lt;"&amp;$A775+1)))</f>
        <v/>
      </c>
      <c r="AF775">
        <f>IF($B775=0,0,IF(Inputs!$B$8="",0,COUNTIFS(Data!$I$10:$I$3209,"&gt;="&amp;$A775,Data!$I$10:$I$3209,"&lt;"&amp;$A775+1)))</f>
        <v/>
      </c>
      <c r="AG775">
        <f>IF($B775=0,0,IF(Inputs!$B$9="",0,COUNTIFS(Data!$M$10:$M$3209,"&gt;="&amp;$A775,Data!$M$10:$M$3209,"&lt;"&amp;$A775+1)))</f>
        <v/>
      </c>
      <c r="AH775">
        <f>IF($B775=0,0,IF(Inputs!$B$10="",0,COUNTIFS(Data!$Q$10:$Q$3209,"&gt;="&amp;$A775,Data!$Q$10:$Q$3209,"&lt;"&amp;$A775+1)))</f>
        <v/>
      </c>
    </row>
    <row r="776">
      <c r="A776" s="55">
        <f>MIN(Inputs!$C$15,$A775+IF(WEEKDAY($A775,2)=5,3,1))</f>
        <v/>
      </c>
      <c r="B776">
        <f>IF($A776&gt;$A775,1,0)</f>
        <v/>
      </c>
      <c r="C776" s="56">
        <f>IF($B776=0,"",IF(Inputs!$B$6="","",IF($AD776=0,C775,SUMIFS(Data!$B$10:$B$3209,Data!$A$10:$A$3209,"&gt;="&amp;$A776,Data!$A$10:$A$3209,"&lt;"&amp;$A776+1)/$AD776)))</f>
        <v/>
      </c>
      <c r="D776" s="56">
        <f>IF($B776=0,"",IF(Inputs!$B$7="","",IF($AE776=0,D775,SUMIFS(Data!$F$10:$F$3209,Data!$E$10:$E$3209,"&gt;="&amp;$A776,Data!$E$10:$E$3209,"&lt;"&amp;$A776+1)/$AE776)))</f>
        <v/>
      </c>
      <c r="E776" s="56">
        <f>IF($B776=0,"",IF(Inputs!$B$8="","",IF($AF776=0,E775,SUMIFS(Data!$J$10:$J$3209,Data!$I$10:$I$3209,"&gt;="&amp;$A776,Data!$I$10:$I$3209,"&lt;"&amp;$A776+1)/$AF776)))</f>
        <v/>
      </c>
      <c r="F776" s="56">
        <f>IF($B776=0,"",IF(Inputs!$B$9="","",IF($AG776=0,F775,SUMIFS(Data!$N$10:$N$3209,Data!$M$10:$M$3209,"&gt;="&amp;$A776,Data!$M$10:$M$3209,"&lt;"&amp;$A776+1)/$AG776)))</f>
        <v/>
      </c>
      <c r="G776" s="56">
        <f>IF($B776=0,"",IF(Inputs!$B$10="","",IF($AH776=0,G775,SUMIFS(Data!$R$10:$R$3209,Data!$Q$10:$Q$3209,"&gt;="&amp;$A776,Data!$Q$10:$Q$3209,"&lt;"&amp;$A776+1)/$AH776)))</f>
        <v/>
      </c>
      <c r="I776" s="54">
        <f>IF($B776=0,NA(),IF($C776="",NA(),IF(C$8="",NA(),IF(N(C$8)=0,NA(),IF(Inputs!$C$17="Rebased to 100",$C776/C$8*100,$C776)))))</f>
        <v/>
      </c>
      <c r="J776" s="54">
        <f>IF($B776=0,NA(),IF($D776="",NA(),IF(D$8="",NA(),IF(N(D$8)=0,NA(),IF(Inputs!$C$17="Rebased to 100",$D776/D$8*100,$D776)))))</f>
        <v/>
      </c>
      <c r="K776" s="54">
        <f>IF($B776=0,NA(),IF($E776="",NA(),IF(E$8="",NA(),IF(N(E$8)=0,NA(),IF(Inputs!$C$17="Rebased to 100",$E776/E$8*100,$E776)))))</f>
        <v/>
      </c>
      <c r="L776" s="54">
        <f>IF($B776=0,NA(),IF($F776="",NA(),IF(F$8="",NA(),IF(N(F$8)=0,NA(),IF(Inputs!$C$17="Rebased to 100",$F776/F$8*100,$F776)))))</f>
        <v/>
      </c>
      <c r="M776" s="54">
        <f>IF($B776=0,NA(),IF($G776="",NA(),IF(G$8="",NA(),IF(N(G$8)=0,NA(),IF(Inputs!$C$17="Rebased to 100",$G776/G$8*100,$G776)))))</f>
        <v/>
      </c>
      <c r="N776" s="54">
        <f>IF($B776=0,NA(),IF(Inputs!$C$18&lt;&gt;"Yes",NA(),IF(COUNT(I776,J776,K776,L776,M776)=0,NA(),MIN(I776,J776,K776,L776,M776))))</f>
        <v/>
      </c>
      <c r="O776" s="54">
        <f>IF($B776=0,NA(),IF(Inputs!$B$24&lt;&gt;"Yes",NA(),Inputs!$D$24*Inputs!$C$35))</f>
        <v/>
      </c>
      <c r="P776" s="54">
        <f>IF($B776=0,NA(),IF(Inputs!$B$25&lt;&gt;"Yes",NA(),Inputs!$D$25*Inputs!$C$35))</f>
        <v/>
      </c>
      <c r="Q776" s="54">
        <f>IF($B776=0,NA(),IF(Inputs!$B$26&lt;&gt;"Yes",NA(),Inputs!$D$26*Inputs!$C$35))</f>
        <v/>
      </c>
      <c r="R776" s="54">
        <f>IF($B776=0,NA(),IF(Inputs!$B$27&lt;&gt;"Yes",NA(),Inputs!$D$27*Inputs!$C$35))</f>
        <v/>
      </c>
      <c r="S776" s="54">
        <f>IF($B776=0,NA(),IF(Inputs!$B$28&lt;&gt;"Yes",NA(),Inputs!$D$28*Inputs!$C$35))</f>
        <v/>
      </c>
      <c r="T776" s="54">
        <f>IF($B776=0,NA(),IF(Inputs!$B$29&lt;&gt;"Yes",NA(),Inputs!$D$29*Inputs!$C$35))</f>
        <v/>
      </c>
      <c r="AD776">
        <f>IF($B776=0,0,IF(Inputs!$B$6="",0,COUNTIFS(Data!$A$10:$A$3209,"&gt;="&amp;$A776,Data!$A$10:$A$3209,"&lt;"&amp;$A776+1)))</f>
        <v/>
      </c>
      <c r="AE776">
        <f>IF($B776=0,0,IF(Inputs!$B$7="",0,COUNTIFS(Data!$E$10:$E$3209,"&gt;="&amp;$A776,Data!$E$10:$E$3209,"&lt;"&amp;$A776+1)))</f>
        <v/>
      </c>
      <c r="AF776">
        <f>IF($B776=0,0,IF(Inputs!$B$8="",0,COUNTIFS(Data!$I$10:$I$3209,"&gt;="&amp;$A776,Data!$I$10:$I$3209,"&lt;"&amp;$A776+1)))</f>
        <v/>
      </c>
      <c r="AG776">
        <f>IF($B776=0,0,IF(Inputs!$B$9="",0,COUNTIFS(Data!$M$10:$M$3209,"&gt;="&amp;$A776,Data!$M$10:$M$3209,"&lt;"&amp;$A776+1)))</f>
        <v/>
      </c>
      <c r="AH776">
        <f>IF($B776=0,0,IF(Inputs!$B$10="",0,COUNTIFS(Data!$Q$10:$Q$3209,"&gt;="&amp;$A776,Data!$Q$10:$Q$3209,"&lt;"&amp;$A776+1)))</f>
        <v/>
      </c>
    </row>
    <row r="777">
      <c r="A777" s="55">
        <f>MIN(Inputs!$C$15,$A776+IF(WEEKDAY($A776,2)=5,3,1))</f>
        <v/>
      </c>
      <c r="B777">
        <f>IF($A777&gt;$A776,1,0)</f>
        <v/>
      </c>
      <c r="C777" s="56">
        <f>IF($B777=0,"",IF(Inputs!$B$6="","",IF($AD777=0,C776,SUMIFS(Data!$B$10:$B$3209,Data!$A$10:$A$3209,"&gt;="&amp;$A777,Data!$A$10:$A$3209,"&lt;"&amp;$A777+1)/$AD777)))</f>
        <v/>
      </c>
      <c r="D777" s="56">
        <f>IF($B777=0,"",IF(Inputs!$B$7="","",IF($AE777=0,D776,SUMIFS(Data!$F$10:$F$3209,Data!$E$10:$E$3209,"&gt;="&amp;$A777,Data!$E$10:$E$3209,"&lt;"&amp;$A777+1)/$AE777)))</f>
        <v/>
      </c>
      <c r="E777" s="56">
        <f>IF($B777=0,"",IF(Inputs!$B$8="","",IF($AF777=0,E776,SUMIFS(Data!$J$10:$J$3209,Data!$I$10:$I$3209,"&gt;="&amp;$A777,Data!$I$10:$I$3209,"&lt;"&amp;$A777+1)/$AF777)))</f>
        <v/>
      </c>
      <c r="F777" s="56">
        <f>IF($B777=0,"",IF(Inputs!$B$9="","",IF($AG777=0,F776,SUMIFS(Data!$N$10:$N$3209,Data!$M$10:$M$3209,"&gt;="&amp;$A777,Data!$M$10:$M$3209,"&lt;"&amp;$A777+1)/$AG777)))</f>
        <v/>
      </c>
      <c r="G777" s="56">
        <f>IF($B777=0,"",IF(Inputs!$B$10="","",IF($AH777=0,G776,SUMIFS(Data!$R$10:$R$3209,Data!$Q$10:$Q$3209,"&gt;="&amp;$A777,Data!$Q$10:$Q$3209,"&lt;"&amp;$A777+1)/$AH777)))</f>
        <v/>
      </c>
      <c r="I777" s="54">
        <f>IF($B777=0,NA(),IF($C777="",NA(),IF(C$8="",NA(),IF(N(C$8)=0,NA(),IF(Inputs!$C$17="Rebased to 100",$C777/C$8*100,$C777)))))</f>
        <v/>
      </c>
      <c r="J777" s="54">
        <f>IF($B777=0,NA(),IF($D777="",NA(),IF(D$8="",NA(),IF(N(D$8)=0,NA(),IF(Inputs!$C$17="Rebased to 100",$D777/D$8*100,$D777)))))</f>
        <v/>
      </c>
      <c r="K777" s="54">
        <f>IF($B777=0,NA(),IF($E777="",NA(),IF(E$8="",NA(),IF(N(E$8)=0,NA(),IF(Inputs!$C$17="Rebased to 100",$E777/E$8*100,$E777)))))</f>
        <v/>
      </c>
      <c r="L777" s="54">
        <f>IF($B777=0,NA(),IF($F777="",NA(),IF(F$8="",NA(),IF(N(F$8)=0,NA(),IF(Inputs!$C$17="Rebased to 100",$F777/F$8*100,$F777)))))</f>
        <v/>
      </c>
      <c r="M777" s="54">
        <f>IF($B777=0,NA(),IF($G777="",NA(),IF(G$8="",NA(),IF(N(G$8)=0,NA(),IF(Inputs!$C$17="Rebased to 100",$G777/G$8*100,$G777)))))</f>
        <v/>
      </c>
      <c r="N777" s="54">
        <f>IF($B777=0,NA(),IF(Inputs!$C$18&lt;&gt;"Yes",NA(),IF(COUNT(I777,J777,K777,L777,M777)=0,NA(),MIN(I777,J777,K777,L777,M777))))</f>
        <v/>
      </c>
      <c r="O777" s="54">
        <f>IF($B777=0,NA(),IF(Inputs!$B$24&lt;&gt;"Yes",NA(),Inputs!$D$24*Inputs!$C$35))</f>
        <v/>
      </c>
      <c r="P777" s="54">
        <f>IF($B777=0,NA(),IF(Inputs!$B$25&lt;&gt;"Yes",NA(),Inputs!$D$25*Inputs!$C$35))</f>
        <v/>
      </c>
      <c r="Q777" s="54">
        <f>IF($B777=0,NA(),IF(Inputs!$B$26&lt;&gt;"Yes",NA(),Inputs!$D$26*Inputs!$C$35))</f>
        <v/>
      </c>
      <c r="R777" s="54">
        <f>IF($B777=0,NA(),IF(Inputs!$B$27&lt;&gt;"Yes",NA(),Inputs!$D$27*Inputs!$C$35))</f>
        <v/>
      </c>
      <c r="S777" s="54">
        <f>IF($B777=0,NA(),IF(Inputs!$B$28&lt;&gt;"Yes",NA(),Inputs!$D$28*Inputs!$C$35))</f>
        <v/>
      </c>
      <c r="T777" s="54">
        <f>IF($B777=0,NA(),IF(Inputs!$B$29&lt;&gt;"Yes",NA(),Inputs!$D$29*Inputs!$C$35))</f>
        <v/>
      </c>
      <c r="AD777">
        <f>IF($B777=0,0,IF(Inputs!$B$6="",0,COUNTIFS(Data!$A$10:$A$3209,"&gt;="&amp;$A777,Data!$A$10:$A$3209,"&lt;"&amp;$A777+1)))</f>
        <v/>
      </c>
      <c r="AE777">
        <f>IF($B777=0,0,IF(Inputs!$B$7="",0,COUNTIFS(Data!$E$10:$E$3209,"&gt;="&amp;$A777,Data!$E$10:$E$3209,"&lt;"&amp;$A777+1)))</f>
        <v/>
      </c>
      <c r="AF777">
        <f>IF($B777=0,0,IF(Inputs!$B$8="",0,COUNTIFS(Data!$I$10:$I$3209,"&gt;="&amp;$A777,Data!$I$10:$I$3209,"&lt;"&amp;$A777+1)))</f>
        <v/>
      </c>
      <c r="AG777">
        <f>IF($B777=0,0,IF(Inputs!$B$9="",0,COUNTIFS(Data!$M$10:$M$3209,"&gt;="&amp;$A777,Data!$M$10:$M$3209,"&lt;"&amp;$A777+1)))</f>
        <v/>
      </c>
      <c r="AH777">
        <f>IF($B777=0,0,IF(Inputs!$B$10="",0,COUNTIFS(Data!$Q$10:$Q$3209,"&gt;="&amp;$A777,Data!$Q$10:$Q$3209,"&lt;"&amp;$A777+1)))</f>
        <v/>
      </c>
    </row>
    <row r="778">
      <c r="A778" s="55">
        <f>MIN(Inputs!$C$15,$A777+IF(WEEKDAY($A777,2)=5,3,1))</f>
        <v/>
      </c>
      <c r="B778">
        <f>IF($A778&gt;$A777,1,0)</f>
        <v/>
      </c>
      <c r="C778" s="56">
        <f>IF($B778=0,"",IF(Inputs!$B$6="","",IF($AD778=0,C777,SUMIFS(Data!$B$10:$B$3209,Data!$A$10:$A$3209,"&gt;="&amp;$A778,Data!$A$10:$A$3209,"&lt;"&amp;$A778+1)/$AD778)))</f>
        <v/>
      </c>
      <c r="D778" s="56">
        <f>IF($B778=0,"",IF(Inputs!$B$7="","",IF($AE778=0,D777,SUMIFS(Data!$F$10:$F$3209,Data!$E$10:$E$3209,"&gt;="&amp;$A778,Data!$E$10:$E$3209,"&lt;"&amp;$A778+1)/$AE778)))</f>
        <v/>
      </c>
      <c r="E778" s="56">
        <f>IF($B778=0,"",IF(Inputs!$B$8="","",IF($AF778=0,E777,SUMIFS(Data!$J$10:$J$3209,Data!$I$10:$I$3209,"&gt;="&amp;$A778,Data!$I$10:$I$3209,"&lt;"&amp;$A778+1)/$AF778)))</f>
        <v/>
      </c>
      <c r="F778" s="56">
        <f>IF($B778=0,"",IF(Inputs!$B$9="","",IF($AG778=0,F777,SUMIFS(Data!$N$10:$N$3209,Data!$M$10:$M$3209,"&gt;="&amp;$A778,Data!$M$10:$M$3209,"&lt;"&amp;$A778+1)/$AG778)))</f>
        <v/>
      </c>
      <c r="G778" s="56">
        <f>IF($B778=0,"",IF(Inputs!$B$10="","",IF($AH778=0,G777,SUMIFS(Data!$R$10:$R$3209,Data!$Q$10:$Q$3209,"&gt;="&amp;$A778,Data!$Q$10:$Q$3209,"&lt;"&amp;$A778+1)/$AH778)))</f>
        <v/>
      </c>
      <c r="I778" s="54">
        <f>IF($B778=0,NA(),IF($C778="",NA(),IF(C$8="",NA(),IF(N(C$8)=0,NA(),IF(Inputs!$C$17="Rebased to 100",$C778/C$8*100,$C778)))))</f>
        <v/>
      </c>
      <c r="J778" s="54">
        <f>IF($B778=0,NA(),IF($D778="",NA(),IF(D$8="",NA(),IF(N(D$8)=0,NA(),IF(Inputs!$C$17="Rebased to 100",$D778/D$8*100,$D778)))))</f>
        <v/>
      </c>
      <c r="K778" s="54">
        <f>IF($B778=0,NA(),IF($E778="",NA(),IF(E$8="",NA(),IF(N(E$8)=0,NA(),IF(Inputs!$C$17="Rebased to 100",$E778/E$8*100,$E778)))))</f>
        <v/>
      </c>
      <c r="L778" s="54">
        <f>IF($B778=0,NA(),IF($F778="",NA(),IF(F$8="",NA(),IF(N(F$8)=0,NA(),IF(Inputs!$C$17="Rebased to 100",$F778/F$8*100,$F778)))))</f>
        <v/>
      </c>
      <c r="M778" s="54">
        <f>IF($B778=0,NA(),IF($G778="",NA(),IF(G$8="",NA(),IF(N(G$8)=0,NA(),IF(Inputs!$C$17="Rebased to 100",$G778/G$8*100,$G778)))))</f>
        <v/>
      </c>
      <c r="N778" s="54">
        <f>IF($B778=0,NA(),IF(Inputs!$C$18&lt;&gt;"Yes",NA(),IF(COUNT(I778,J778,K778,L778,M778)=0,NA(),MIN(I778,J778,K778,L778,M778))))</f>
        <v/>
      </c>
      <c r="O778" s="54">
        <f>IF($B778=0,NA(),IF(Inputs!$B$24&lt;&gt;"Yes",NA(),Inputs!$D$24*Inputs!$C$35))</f>
        <v/>
      </c>
      <c r="P778" s="54">
        <f>IF($B778=0,NA(),IF(Inputs!$B$25&lt;&gt;"Yes",NA(),Inputs!$D$25*Inputs!$C$35))</f>
        <v/>
      </c>
      <c r="Q778" s="54">
        <f>IF($B778=0,NA(),IF(Inputs!$B$26&lt;&gt;"Yes",NA(),Inputs!$D$26*Inputs!$C$35))</f>
        <v/>
      </c>
      <c r="R778" s="54">
        <f>IF($B778=0,NA(),IF(Inputs!$B$27&lt;&gt;"Yes",NA(),Inputs!$D$27*Inputs!$C$35))</f>
        <v/>
      </c>
      <c r="S778" s="54">
        <f>IF($B778=0,NA(),IF(Inputs!$B$28&lt;&gt;"Yes",NA(),Inputs!$D$28*Inputs!$C$35))</f>
        <v/>
      </c>
      <c r="T778" s="54">
        <f>IF($B778=0,NA(),IF(Inputs!$B$29&lt;&gt;"Yes",NA(),Inputs!$D$29*Inputs!$C$35))</f>
        <v/>
      </c>
      <c r="AD778">
        <f>IF($B778=0,0,IF(Inputs!$B$6="",0,COUNTIFS(Data!$A$10:$A$3209,"&gt;="&amp;$A778,Data!$A$10:$A$3209,"&lt;"&amp;$A778+1)))</f>
        <v/>
      </c>
      <c r="AE778">
        <f>IF($B778=0,0,IF(Inputs!$B$7="",0,COUNTIFS(Data!$E$10:$E$3209,"&gt;="&amp;$A778,Data!$E$10:$E$3209,"&lt;"&amp;$A778+1)))</f>
        <v/>
      </c>
      <c r="AF778">
        <f>IF($B778=0,0,IF(Inputs!$B$8="",0,COUNTIFS(Data!$I$10:$I$3209,"&gt;="&amp;$A778,Data!$I$10:$I$3209,"&lt;"&amp;$A778+1)))</f>
        <v/>
      </c>
      <c r="AG778">
        <f>IF($B778=0,0,IF(Inputs!$B$9="",0,COUNTIFS(Data!$M$10:$M$3209,"&gt;="&amp;$A778,Data!$M$10:$M$3209,"&lt;"&amp;$A778+1)))</f>
        <v/>
      </c>
      <c r="AH778">
        <f>IF($B778=0,0,IF(Inputs!$B$10="",0,COUNTIFS(Data!$Q$10:$Q$3209,"&gt;="&amp;$A778,Data!$Q$10:$Q$3209,"&lt;"&amp;$A778+1)))</f>
        <v/>
      </c>
    </row>
    <row r="779">
      <c r="A779" s="55">
        <f>MIN(Inputs!$C$15,$A778+IF(WEEKDAY($A778,2)=5,3,1))</f>
        <v/>
      </c>
      <c r="B779">
        <f>IF($A779&gt;$A778,1,0)</f>
        <v/>
      </c>
      <c r="C779" s="56">
        <f>IF($B779=0,"",IF(Inputs!$B$6="","",IF($AD779=0,C778,SUMIFS(Data!$B$10:$B$3209,Data!$A$10:$A$3209,"&gt;="&amp;$A779,Data!$A$10:$A$3209,"&lt;"&amp;$A779+1)/$AD779)))</f>
        <v/>
      </c>
      <c r="D779" s="56">
        <f>IF($B779=0,"",IF(Inputs!$B$7="","",IF($AE779=0,D778,SUMIFS(Data!$F$10:$F$3209,Data!$E$10:$E$3209,"&gt;="&amp;$A779,Data!$E$10:$E$3209,"&lt;"&amp;$A779+1)/$AE779)))</f>
        <v/>
      </c>
      <c r="E779" s="56">
        <f>IF($B779=0,"",IF(Inputs!$B$8="","",IF($AF779=0,E778,SUMIFS(Data!$J$10:$J$3209,Data!$I$10:$I$3209,"&gt;="&amp;$A779,Data!$I$10:$I$3209,"&lt;"&amp;$A779+1)/$AF779)))</f>
        <v/>
      </c>
      <c r="F779" s="56">
        <f>IF($B779=0,"",IF(Inputs!$B$9="","",IF($AG779=0,F778,SUMIFS(Data!$N$10:$N$3209,Data!$M$10:$M$3209,"&gt;="&amp;$A779,Data!$M$10:$M$3209,"&lt;"&amp;$A779+1)/$AG779)))</f>
        <v/>
      </c>
      <c r="G779" s="56">
        <f>IF($B779=0,"",IF(Inputs!$B$10="","",IF($AH779=0,G778,SUMIFS(Data!$R$10:$R$3209,Data!$Q$10:$Q$3209,"&gt;="&amp;$A779,Data!$Q$10:$Q$3209,"&lt;"&amp;$A779+1)/$AH779)))</f>
        <v/>
      </c>
      <c r="I779" s="54">
        <f>IF($B779=0,NA(),IF($C779="",NA(),IF(C$8="",NA(),IF(N(C$8)=0,NA(),IF(Inputs!$C$17="Rebased to 100",$C779/C$8*100,$C779)))))</f>
        <v/>
      </c>
      <c r="J779" s="54">
        <f>IF($B779=0,NA(),IF($D779="",NA(),IF(D$8="",NA(),IF(N(D$8)=0,NA(),IF(Inputs!$C$17="Rebased to 100",$D779/D$8*100,$D779)))))</f>
        <v/>
      </c>
      <c r="K779" s="54">
        <f>IF($B779=0,NA(),IF($E779="",NA(),IF(E$8="",NA(),IF(N(E$8)=0,NA(),IF(Inputs!$C$17="Rebased to 100",$E779/E$8*100,$E779)))))</f>
        <v/>
      </c>
      <c r="L779" s="54">
        <f>IF($B779=0,NA(),IF($F779="",NA(),IF(F$8="",NA(),IF(N(F$8)=0,NA(),IF(Inputs!$C$17="Rebased to 100",$F779/F$8*100,$F779)))))</f>
        <v/>
      </c>
      <c r="M779" s="54">
        <f>IF($B779=0,NA(),IF($G779="",NA(),IF(G$8="",NA(),IF(N(G$8)=0,NA(),IF(Inputs!$C$17="Rebased to 100",$G779/G$8*100,$G779)))))</f>
        <v/>
      </c>
      <c r="N779" s="54">
        <f>IF($B779=0,NA(),IF(Inputs!$C$18&lt;&gt;"Yes",NA(),IF(COUNT(I779,J779,K779,L779,M779)=0,NA(),MIN(I779,J779,K779,L779,M779))))</f>
        <v/>
      </c>
      <c r="O779" s="54">
        <f>IF($B779=0,NA(),IF(Inputs!$B$24&lt;&gt;"Yes",NA(),Inputs!$D$24*Inputs!$C$35))</f>
        <v/>
      </c>
      <c r="P779" s="54">
        <f>IF($B779=0,NA(),IF(Inputs!$B$25&lt;&gt;"Yes",NA(),Inputs!$D$25*Inputs!$C$35))</f>
        <v/>
      </c>
      <c r="Q779" s="54">
        <f>IF($B779=0,NA(),IF(Inputs!$B$26&lt;&gt;"Yes",NA(),Inputs!$D$26*Inputs!$C$35))</f>
        <v/>
      </c>
      <c r="R779" s="54">
        <f>IF($B779=0,NA(),IF(Inputs!$B$27&lt;&gt;"Yes",NA(),Inputs!$D$27*Inputs!$C$35))</f>
        <v/>
      </c>
      <c r="S779" s="54">
        <f>IF($B779=0,NA(),IF(Inputs!$B$28&lt;&gt;"Yes",NA(),Inputs!$D$28*Inputs!$C$35))</f>
        <v/>
      </c>
      <c r="T779" s="54">
        <f>IF($B779=0,NA(),IF(Inputs!$B$29&lt;&gt;"Yes",NA(),Inputs!$D$29*Inputs!$C$35))</f>
        <v/>
      </c>
      <c r="AD779">
        <f>IF($B779=0,0,IF(Inputs!$B$6="",0,COUNTIFS(Data!$A$10:$A$3209,"&gt;="&amp;$A779,Data!$A$10:$A$3209,"&lt;"&amp;$A779+1)))</f>
        <v/>
      </c>
      <c r="AE779">
        <f>IF($B779=0,0,IF(Inputs!$B$7="",0,COUNTIFS(Data!$E$10:$E$3209,"&gt;="&amp;$A779,Data!$E$10:$E$3209,"&lt;"&amp;$A779+1)))</f>
        <v/>
      </c>
      <c r="AF779">
        <f>IF($B779=0,0,IF(Inputs!$B$8="",0,COUNTIFS(Data!$I$10:$I$3209,"&gt;="&amp;$A779,Data!$I$10:$I$3209,"&lt;"&amp;$A779+1)))</f>
        <v/>
      </c>
      <c r="AG779">
        <f>IF($B779=0,0,IF(Inputs!$B$9="",0,COUNTIFS(Data!$M$10:$M$3209,"&gt;="&amp;$A779,Data!$M$10:$M$3209,"&lt;"&amp;$A779+1)))</f>
        <v/>
      </c>
      <c r="AH779">
        <f>IF($B779=0,0,IF(Inputs!$B$10="",0,COUNTIFS(Data!$Q$10:$Q$3209,"&gt;="&amp;$A779,Data!$Q$10:$Q$3209,"&lt;"&amp;$A779+1)))</f>
        <v/>
      </c>
    </row>
    <row r="780">
      <c r="A780" s="55">
        <f>MIN(Inputs!$C$15,$A779+IF(WEEKDAY($A779,2)=5,3,1))</f>
        <v/>
      </c>
      <c r="B780">
        <f>IF($A780&gt;$A779,1,0)</f>
        <v/>
      </c>
      <c r="C780" s="56">
        <f>IF($B780=0,"",IF(Inputs!$B$6="","",IF($AD780=0,C779,SUMIFS(Data!$B$10:$B$3209,Data!$A$10:$A$3209,"&gt;="&amp;$A780,Data!$A$10:$A$3209,"&lt;"&amp;$A780+1)/$AD780)))</f>
        <v/>
      </c>
      <c r="D780" s="56">
        <f>IF($B780=0,"",IF(Inputs!$B$7="","",IF($AE780=0,D779,SUMIFS(Data!$F$10:$F$3209,Data!$E$10:$E$3209,"&gt;="&amp;$A780,Data!$E$10:$E$3209,"&lt;"&amp;$A780+1)/$AE780)))</f>
        <v/>
      </c>
      <c r="E780" s="56">
        <f>IF($B780=0,"",IF(Inputs!$B$8="","",IF($AF780=0,E779,SUMIFS(Data!$J$10:$J$3209,Data!$I$10:$I$3209,"&gt;="&amp;$A780,Data!$I$10:$I$3209,"&lt;"&amp;$A780+1)/$AF780)))</f>
        <v/>
      </c>
      <c r="F780" s="56">
        <f>IF($B780=0,"",IF(Inputs!$B$9="","",IF($AG780=0,F779,SUMIFS(Data!$N$10:$N$3209,Data!$M$10:$M$3209,"&gt;="&amp;$A780,Data!$M$10:$M$3209,"&lt;"&amp;$A780+1)/$AG780)))</f>
        <v/>
      </c>
      <c r="G780" s="56">
        <f>IF($B780=0,"",IF(Inputs!$B$10="","",IF($AH780=0,G779,SUMIFS(Data!$R$10:$R$3209,Data!$Q$10:$Q$3209,"&gt;="&amp;$A780,Data!$Q$10:$Q$3209,"&lt;"&amp;$A780+1)/$AH780)))</f>
        <v/>
      </c>
      <c r="I780" s="54">
        <f>IF($B780=0,NA(),IF($C780="",NA(),IF(C$8="",NA(),IF(N(C$8)=0,NA(),IF(Inputs!$C$17="Rebased to 100",$C780/C$8*100,$C780)))))</f>
        <v/>
      </c>
      <c r="J780" s="54">
        <f>IF($B780=0,NA(),IF($D780="",NA(),IF(D$8="",NA(),IF(N(D$8)=0,NA(),IF(Inputs!$C$17="Rebased to 100",$D780/D$8*100,$D780)))))</f>
        <v/>
      </c>
      <c r="K780" s="54">
        <f>IF($B780=0,NA(),IF($E780="",NA(),IF(E$8="",NA(),IF(N(E$8)=0,NA(),IF(Inputs!$C$17="Rebased to 100",$E780/E$8*100,$E780)))))</f>
        <v/>
      </c>
      <c r="L780" s="54">
        <f>IF($B780=0,NA(),IF($F780="",NA(),IF(F$8="",NA(),IF(N(F$8)=0,NA(),IF(Inputs!$C$17="Rebased to 100",$F780/F$8*100,$F780)))))</f>
        <v/>
      </c>
      <c r="M780" s="54">
        <f>IF($B780=0,NA(),IF($G780="",NA(),IF(G$8="",NA(),IF(N(G$8)=0,NA(),IF(Inputs!$C$17="Rebased to 100",$G780/G$8*100,$G780)))))</f>
        <v/>
      </c>
      <c r="N780" s="54">
        <f>IF($B780=0,NA(),IF(Inputs!$C$18&lt;&gt;"Yes",NA(),IF(COUNT(I780,J780,K780,L780,M780)=0,NA(),MIN(I780,J780,K780,L780,M780))))</f>
        <v/>
      </c>
      <c r="O780" s="54">
        <f>IF($B780=0,NA(),IF(Inputs!$B$24&lt;&gt;"Yes",NA(),Inputs!$D$24*Inputs!$C$35))</f>
        <v/>
      </c>
      <c r="P780" s="54">
        <f>IF($B780=0,NA(),IF(Inputs!$B$25&lt;&gt;"Yes",NA(),Inputs!$D$25*Inputs!$C$35))</f>
        <v/>
      </c>
      <c r="Q780" s="54">
        <f>IF($B780=0,NA(),IF(Inputs!$B$26&lt;&gt;"Yes",NA(),Inputs!$D$26*Inputs!$C$35))</f>
        <v/>
      </c>
      <c r="R780" s="54">
        <f>IF($B780=0,NA(),IF(Inputs!$B$27&lt;&gt;"Yes",NA(),Inputs!$D$27*Inputs!$C$35))</f>
        <v/>
      </c>
      <c r="S780" s="54">
        <f>IF($B780=0,NA(),IF(Inputs!$B$28&lt;&gt;"Yes",NA(),Inputs!$D$28*Inputs!$C$35))</f>
        <v/>
      </c>
      <c r="T780" s="54">
        <f>IF($B780=0,NA(),IF(Inputs!$B$29&lt;&gt;"Yes",NA(),Inputs!$D$29*Inputs!$C$35))</f>
        <v/>
      </c>
      <c r="AD780">
        <f>IF($B780=0,0,IF(Inputs!$B$6="",0,COUNTIFS(Data!$A$10:$A$3209,"&gt;="&amp;$A780,Data!$A$10:$A$3209,"&lt;"&amp;$A780+1)))</f>
        <v/>
      </c>
      <c r="AE780">
        <f>IF($B780=0,0,IF(Inputs!$B$7="",0,COUNTIFS(Data!$E$10:$E$3209,"&gt;="&amp;$A780,Data!$E$10:$E$3209,"&lt;"&amp;$A780+1)))</f>
        <v/>
      </c>
      <c r="AF780">
        <f>IF($B780=0,0,IF(Inputs!$B$8="",0,COUNTIFS(Data!$I$10:$I$3209,"&gt;="&amp;$A780,Data!$I$10:$I$3209,"&lt;"&amp;$A780+1)))</f>
        <v/>
      </c>
      <c r="AG780">
        <f>IF($B780=0,0,IF(Inputs!$B$9="",0,COUNTIFS(Data!$M$10:$M$3209,"&gt;="&amp;$A780,Data!$M$10:$M$3209,"&lt;"&amp;$A780+1)))</f>
        <v/>
      </c>
      <c r="AH780">
        <f>IF($B780=0,0,IF(Inputs!$B$10="",0,COUNTIFS(Data!$Q$10:$Q$3209,"&gt;="&amp;$A780,Data!$Q$10:$Q$3209,"&lt;"&amp;$A780+1)))</f>
        <v/>
      </c>
    </row>
    <row r="781">
      <c r="A781" s="55">
        <f>MIN(Inputs!$C$15,$A780+IF(WEEKDAY($A780,2)=5,3,1))</f>
        <v/>
      </c>
      <c r="B781">
        <f>IF($A781&gt;$A780,1,0)</f>
        <v/>
      </c>
      <c r="C781" s="56">
        <f>IF($B781=0,"",IF(Inputs!$B$6="","",IF($AD781=0,C780,SUMIFS(Data!$B$10:$B$3209,Data!$A$10:$A$3209,"&gt;="&amp;$A781,Data!$A$10:$A$3209,"&lt;"&amp;$A781+1)/$AD781)))</f>
        <v/>
      </c>
      <c r="D781" s="56">
        <f>IF($B781=0,"",IF(Inputs!$B$7="","",IF($AE781=0,D780,SUMIFS(Data!$F$10:$F$3209,Data!$E$10:$E$3209,"&gt;="&amp;$A781,Data!$E$10:$E$3209,"&lt;"&amp;$A781+1)/$AE781)))</f>
        <v/>
      </c>
      <c r="E781" s="56">
        <f>IF($B781=0,"",IF(Inputs!$B$8="","",IF($AF781=0,E780,SUMIFS(Data!$J$10:$J$3209,Data!$I$10:$I$3209,"&gt;="&amp;$A781,Data!$I$10:$I$3209,"&lt;"&amp;$A781+1)/$AF781)))</f>
        <v/>
      </c>
      <c r="F781" s="56">
        <f>IF($B781=0,"",IF(Inputs!$B$9="","",IF($AG781=0,F780,SUMIFS(Data!$N$10:$N$3209,Data!$M$10:$M$3209,"&gt;="&amp;$A781,Data!$M$10:$M$3209,"&lt;"&amp;$A781+1)/$AG781)))</f>
        <v/>
      </c>
      <c r="G781" s="56">
        <f>IF($B781=0,"",IF(Inputs!$B$10="","",IF($AH781=0,G780,SUMIFS(Data!$R$10:$R$3209,Data!$Q$10:$Q$3209,"&gt;="&amp;$A781,Data!$Q$10:$Q$3209,"&lt;"&amp;$A781+1)/$AH781)))</f>
        <v/>
      </c>
      <c r="I781" s="54">
        <f>IF($B781=0,NA(),IF($C781="",NA(),IF(C$8="",NA(),IF(N(C$8)=0,NA(),IF(Inputs!$C$17="Rebased to 100",$C781/C$8*100,$C781)))))</f>
        <v/>
      </c>
      <c r="J781" s="54">
        <f>IF($B781=0,NA(),IF($D781="",NA(),IF(D$8="",NA(),IF(N(D$8)=0,NA(),IF(Inputs!$C$17="Rebased to 100",$D781/D$8*100,$D781)))))</f>
        <v/>
      </c>
      <c r="K781" s="54">
        <f>IF($B781=0,NA(),IF($E781="",NA(),IF(E$8="",NA(),IF(N(E$8)=0,NA(),IF(Inputs!$C$17="Rebased to 100",$E781/E$8*100,$E781)))))</f>
        <v/>
      </c>
      <c r="L781" s="54">
        <f>IF($B781=0,NA(),IF($F781="",NA(),IF(F$8="",NA(),IF(N(F$8)=0,NA(),IF(Inputs!$C$17="Rebased to 100",$F781/F$8*100,$F781)))))</f>
        <v/>
      </c>
      <c r="M781" s="54">
        <f>IF($B781=0,NA(),IF($G781="",NA(),IF(G$8="",NA(),IF(N(G$8)=0,NA(),IF(Inputs!$C$17="Rebased to 100",$G781/G$8*100,$G781)))))</f>
        <v/>
      </c>
      <c r="N781" s="54">
        <f>IF($B781=0,NA(),IF(Inputs!$C$18&lt;&gt;"Yes",NA(),IF(COUNT(I781,J781,K781,L781,M781)=0,NA(),MIN(I781,J781,K781,L781,M781))))</f>
        <v/>
      </c>
      <c r="O781" s="54">
        <f>IF($B781=0,NA(),IF(Inputs!$B$24&lt;&gt;"Yes",NA(),Inputs!$D$24*Inputs!$C$35))</f>
        <v/>
      </c>
      <c r="P781" s="54">
        <f>IF($B781=0,NA(),IF(Inputs!$B$25&lt;&gt;"Yes",NA(),Inputs!$D$25*Inputs!$C$35))</f>
        <v/>
      </c>
      <c r="Q781" s="54">
        <f>IF($B781=0,NA(),IF(Inputs!$B$26&lt;&gt;"Yes",NA(),Inputs!$D$26*Inputs!$C$35))</f>
        <v/>
      </c>
      <c r="R781" s="54">
        <f>IF($B781=0,NA(),IF(Inputs!$B$27&lt;&gt;"Yes",NA(),Inputs!$D$27*Inputs!$C$35))</f>
        <v/>
      </c>
      <c r="S781" s="54">
        <f>IF($B781=0,NA(),IF(Inputs!$B$28&lt;&gt;"Yes",NA(),Inputs!$D$28*Inputs!$C$35))</f>
        <v/>
      </c>
      <c r="T781" s="54">
        <f>IF($B781=0,NA(),IF(Inputs!$B$29&lt;&gt;"Yes",NA(),Inputs!$D$29*Inputs!$C$35))</f>
        <v/>
      </c>
      <c r="AD781">
        <f>IF($B781=0,0,IF(Inputs!$B$6="",0,COUNTIFS(Data!$A$10:$A$3209,"&gt;="&amp;$A781,Data!$A$10:$A$3209,"&lt;"&amp;$A781+1)))</f>
        <v/>
      </c>
      <c r="AE781">
        <f>IF($B781=0,0,IF(Inputs!$B$7="",0,COUNTIFS(Data!$E$10:$E$3209,"&gt;="&amp;$A781,Data!$E$10:$E$3209,"&lt;"&amp;$A781+1)))</f>
        <v/>
      </c>
      <c r="AF781">
        <f>IF($B781=0,0,IF(Inputs!$B$8="",0,COUNTIFS(Data!$I$10:$I$3209,"&gt;="&amp;$A781,Data!$I$10:$I$3209,"&lt;"&amp;$A781+1)))</f>
        <v/>
      </c>
      <c r="AG781">
        <f>IF($B781=0,0,IF(Inputs!$B$9="",0,COUNTIFS(Data!$M$10:$M$3209,"&gt;="&amp;$A781,Data!$M$10:$M$3209,"&lt;"&amp;$A781+1)))</f>
        <v/>
      </c>
      <c r="AH781">
        <f>IF($B781=0,0,IF(Inputs!$B$10="",0,COUNTIFS(Data!$Q$10:$Q$3209,"&gt;="&amp;$A781,Data!$Q$10:$Q$3209,"&lt;"&amp;$A781+1)))</f>
        <v/>
      </c>
    </row>
    <row r="782">
      <c r="A782" s="55">
        <f>MIN(Inputs!$C$15,$A781+IF(WEEKDAY($A781,2)=5,3,1))</f>
        <v/>
      </c>
      <c r="B782">
        <f>IF($A782&gt;$A781,1,0)</f>
        <v/>
      </c>
      <c r="C782" s="56">
        <f>IF($B782=0,"",IF(Inputs!$B$6="","",IF($AD782=0,C781,SUMIFS(Data!$B$10:$B$3209,Data!$A$10:$A$3209,"&gt;="&amp;$A782,Data!$A$10:$A$3209,"&lt;"&amp;$A782+1)/$AD782)))</f>
        <v/>
      </c>
      <c r="D782" s="56">
        <f>IF($B782=0,"",IF(Inputs!$B$7="","",IF($AE782=0,D781,SUMIFS(Data!$F$10:$F$3209,Data!$E$10:$E$3209,"&gt;="&amp;$A782,Data!$E$10:$E$3209,"&lt;"&amp;$A782+1)/$AE782)))</f>
        <v/>
      </c>
      <c r="E782" s="56">
        <f>IF($B782=0,"",IF(Inputs!$B$8="","",IF($AF782=0,E781,SUMIFS(Data!$J$10:$J$3209,Data!$I$10:$I$3209,"&gt;="&amp;$A782,Data!$I$10:$I$3209,"&lt;"&amp;$A782+1)/$AF782)))</f>
        <v/>
      </c>
      <c r="F782" s="56">
        <f>IF($B782=0,"",IF(Inputs!$B$9="","",IF($AG782=0,F781,SUMIFS(Data!$N$10:$N$3209,Data!$M$10:$M$3209,"&gt;="&amp;$A782,Data!$M$10:$M$3209,"&lt;"&amp;$A782+1)/$AG782)))</f>
        <v/>
      </c>
      <c r="G782" s="56">
        <f>IF($B782=0,"",IF(Inputs!$B$10="","",IF($AH782=0,G781,SUMIFS(Data!$R$10:$R$3209,Data!$Q$10:$Q$3209,"&gt;="&amp;$A782,Data!$Q$10:$Q$3209,"&lt;"&amp;$A782+1)/$AH782)))</f>
        <v/>
      </c>
      <c r="I782" s="54">
        <f>IF($B782=0,NA(),IF($C782="",NA(),IF(C$8="",NA(),IF(N(C$8)=0,NA(),IF(Inputs!$C$17="Rebased to 100",$C782/C$8*100,$C782)))))</f>
        <v/>
      </c>
      <c r="J782" s="54">
        <f>IF($B782=0,NA(),IF($D782="",NA(),IF(D$8="",NA(),IF(N(D$8)=0,NA(),IF(Inputs!$C$17="Rebased to 100",$D782/D$8*100,$D782)))))</f>
        <v/>
      </c>
      <c r="K782" s="54">
        <f>IF($B782=0,NA(),IF($E782="",NA(),IF(E$8="",NA(),IF(N(E$8)=0,NA(),IF(Inputs!$C$17="Rebased to 100",$E782/E$8*100,$E782)))))</f>
        <v/>
      </c>
      <c r="L782" s="54">
        <f>IF($B782=0,NA(),IF($F782="",NA(),IF(F$8="",NA(),IF(N(F$8)=0,NA(),IF(Inputs!$C$17="Rebased to 100",$F782/F$8*100,$F782)))))</f>
        <v/>
      </c>
      <c r="M782" s="54">
        <f>IF($B782=0,NA(),IF($G782="",NA(),IF(G$8="",NA(),IF(N(G$8)=0,NA(),IF(Inputs!$C$17="Rebased to 100",$G782/G$8*100,$G782)))))</f>
        <v/>
      </c>
      <c r="N782" s="54">
        <f>IF($B782=0,NA(),IF(Inputs!$C$18&lt;&gt;"Yes",NA(),IF(COUNT(I782,J782,K782,L782,M782)=0,NA(),MIN(I782,J782,K782,L782,M782))))</f>
        <v/>
      </c>
      <c r="O782" s="54">
        <f>IF($B782=0,NA(),IF(Inputs!$B$24&lt;&gt;"Yes",NA(),Inputs!$D$24*Inputs!$C$35))</f>
        <v/>
      </c>
      <c r="P782" s="54">
        <f>IF($B782=0,NA(),IF(Inputs!$B$25&lt;&gt;"Yes",NA(),Inputs!$D$25*Inputs!$C$35))</f>
        <v/>
      </c>
      <c r="Q782" s="54">
        <f>IF($B782=0,NA(),IF(Inputs!$B$26&lt;&gt;"Yes",NA(),Inputs!$D$26*Inputs!$C$35))</f>
        <v/>
      </c>
      <c r="R782" s="54">
        <f>IF($B782=0,NA(),IF(Inputs!$B$27&lt;&gt;"Yes",NA(),Inputs!$D$27*Inputs!$C$35))</f>
        <v/>
      </c>
      <c r="S782" s="54">
        <f>IF($B782=0,NA(),IF(Inputs!$B$28&lt;&gt;"Yes",NA(),Inputs!$D$28*Inputs!$C$35))</f>
        <v/>
      </c>
      <c r="T782" s="54">
        <f>IF($B782=0,NA(),IF(Inputs!$B$29&lt;&gt;"Yes",NA(),Inputs!$D$29*Inputs!$C$35))</f>
        <v/>
      </c>
      <c r="AD782">
        <f>IF($B782=0,0,IF(Inputs!$B$6="",0,COUNTIFS(Data!$A$10:$A$3209,"&gt;="&amp;$A782,Data!$A$10:$A$3209,"&lt;"&amp;$A782+1)))</f>
        <v/>
      </c>
      <c r="AE782">
        <f>IF($B782=0,0,IF(Inputs!$B$7="",0,COUNTIFS(Data!$E$10:$E$3209,"&gt;="&amp;$A782,Data!$E$10:$E$3209,"&lt;"&amp;$A782+1)))</f>
        <v/>
      </c>
      <c r="AF782">
        <f>IF($B782=0,0,IF(Inputs!$B$8="",0,COUNTIFS(Data!$I$10:$I$3209,"&gt;="&amp;$A782,Data!$I$10:$I$3209,"&lt;"&amp;$A782+1)))</f>
        <v/>
      </c>
      <c r="AG782">
        <f>IF($B782=0,0,IF(Inputs!$B$9="",0,COUNTIFS(Data!$M$10:$M$3209,"&gt;="&amp;$A782,Data!$M$10:$M$3209,"&lt;"&amp;$A782+1)))</f>
        <v/>
      </c>
      <c r="AH782">
        <f>IF($B782=0,0,IF(Inputs!$B$10="",0,COUNTIFS(Data!$Q$10:$Q$3209,"&gt;="&amp;$A782,Data!$Q$10:$Q$3209,"&lt;"&amp;$A782+1)))</f>
        <v/>
      </c>
    </row>
    <row r="783">
      <c r="A783" s="55">
        <f>MIN(Inputs!$C$15,$A782+IF(WEEKDAY($A782,2)=5,3,1))</f>
        <v/>
      </c>
      <c r="B783">
        <f>IF($A783&gt;$A782,1,0)</f>
        <v/>
      </c>
      <c r="C783" s="56">
        <f>IF($B783=0,"",IF(Inputs!$B$6="","",IF($AD783=0,C782,SUMIFS(Data!$B$10:$B$3209,Data!$A$10:$A$3209,"&gt;="&amp;$A783,Data!$A$10:$A$3209,"&lt;"&amp;$A783+1)/$AD783)))</f>
        <v/>
      </c>
      <c r="D783" s="56">
        <f>IF($B783=0,"",IF(Inputs!$B$7="","",IF($AE783=0,D782,SUMIFS(Data!$F$10:$F$3209,Data!$E$10:$E$3209,"&gt;="&amp;$A783,Data!$E$10:$E$3209,"&lt;"&amp;$A783+1)/$AE783)))</f>
        <v/>
      </c>
      <c r="E783" s="56">
        <f>IF($B783=0,"",IF(Inputs!$B$8="","",IF($AF783=0,E782,SUMIFS(Data!$J$10:$J$3209,Data!$I$10:$I$3209,"&gt;="&amp;$A783,Data!$I$10:$I$3209,"&lt;"&amp;$A783+1)/$AF783)))</f>
        <v/>
      </c>
      <c r="F783" s="56">
        <f>IF($B783=0,"",IF(Inputs!$B$9="","",IF($AG783=0,F782,SUMIFS(Data!$N$10:$N$3209,Data!$M$10:$M$3209,"&gt;="&amp;$A783,Data!$M$10:$M$3209,"&lt;"&amp;$A783+1)/$AG783)))</f>
        <v/>
      </c>
      <c r="G783" s="56">
        <f>IF($B783=0,"",IF(Inputs!$B$10="","",IF($AH783=0,G782,SUMIFS(Data!$R$10:$R$3209,Data!$Q$10:$Q$3209,"&gt;="&amp;$A783,Data!$Q$10:$Q$3209,"&lt;"&amp;$A783+1)/$AH783)))</f>
        <v/>
      </c>
      <c r="I783" s="54">
        <f>IF($B783=0,NA(),IF($C783="",NA(),IF(C$8="",NA(),IF(N(C$8)=0,NA(),IF(Inputs!$C$17="Rebased to 100",$C783/C$8*100,$C783)))))</f>
        <v/>
      </c>
      <c r="J783" s="54">
        <f>IF($B783=0,NA(),IF($D783="",NA(),IF(D$8="",NA(),IF(N(D$8)=0,NA(),IF(Inputs!$C$17="Rebased to 100",$D783/D$8*100,$D783)))))</f>
        <v/>
      </c>
      <c r="K783" s="54">
        <f>IF($B783=0,NA(),IF($E783="",NA(),IF(E$8="",NA(),IF(N(E$8)=0,NA(),IF(Inputs!$C$17="Rebased to 100",$E783/E$8*100,$E783)))))</f>
        <v/>
      </c>
      <c r="L783" s="54">
        <f>IF($B783=0,NA(),IF($F783="",NA(),IF(F$8="",NA(),IF(N(F$8)=0,NA(),IF(Inputs!$C$17="Rebased to 100",$F783/F$8*100,$F783)))))</f>
        <v/>
      </c>
      <c r="M783" s="54">
        <f>IF($B783=0,NA(),IF($G783="",NA(),IF(G$8="",NA(),IF(N(G$8)=0,NA(),IF(Inputs!$C$17="Rebased to 100",$G783/G$8*100,$G783)))))</f>
        <v/>
      </c>
      <c r="N783" s="54">
        <f>IF($B783=0,NA(),IF(Inputs!$C$18&lt;&gt;"Yes",NA(),IF(COUNT(I783,J783,K783,L783,M783)=0,NA(),MIN(I783,J783,K783,L783,M783))))</f>
        <v/>
      </c>
      <c r="O783" s="54">
        <f>IF($B783=0,NA(),IF(Inputs!$B$24&lt;&gt;"Yes",NA(),Inputs!$D$24*Inputs!$C$35))</f>
        <v/>
      </c>
      <c r="P783" s="54">
        <f>IF($B783=0,NA(),IF(Inputs!$B$25&lt;&gt;"Yes",NA(),Inputs!$D$25*Inputs!$C$35))</f>
        <v/>
      </c>
      <c r="Q783" s="54">
        <f>IF($B783=0,NA(),IF(Inputs!$B$26&lt;&gt;"Yes",NA(),Inputs!$D$26*Inputs!$C$35))</f>
        <v/>
      </c>
      <c r="R783" s="54">
        <f>IF($B783=0,NA(),IF(Inputs!$B$27&lt;&gt;"Yes",NA(),Inputs!$D$27*Inputs!$C$35))</f>
        <v/>
      </c>
      <c r="S783" s="54">
        <f>IF($B783=0,NA(),IF(Inputs!$B$28&lt;&gt;"Yes",NA(),Inputs!$D$28*Inputs!$C$35))</f>
        <v/>
      </c>
      <c r="T783" s="54">
        <f>IF($B783=0,NA(),IF(Inputs!$B$29&lt;&gt;"Yes",NA(),Inputs!$D$29*Inputs!$C$35))</f>
        <v/>
      </c>
      <c r="AD783">
        <f>IF($B783=0,0,IF(Inputs!$B$6="",0,COUNTIFS(Data!$A$10:$A$3209,"&gt;="&amp;$A783,Data!$A$10:$A$3209,"&lt;"&amp;$A783+1)))</f>
        <v/>
      </c>
      <c r="AE783">
        <f>IF($B783=0,0,IF(Inputs!$B$7="",0,COUNTIFS(Data!$E$10:$E$3209,"&gt;="&amp;$A783,Data!$E$10:$E$3209,"&lt;"&amp;$A783+1)))</f>
        <v/>
      </c>
      <c r="AF783">
        <f>IF($B783=0,0,IF(Inputs!$B$8="",0,COUNTIFS(Data!$I$10:$I$3209,"&gt;="&amp;$A783,Data!$I$10:$I$3209,"&lt;"&amp;$A783+1)))</f>
        <v/>
      </c>
      <c r="AG783">
        <f>IF($B783=0,0,IF(Inputs!$B$9="",0,COUNTIFS(Data!$M$10:$M$3209,"&gt;="&amp;$A783,Data!$M$10:$M$3209,"&lt;"&amp;$A783+1)))</f>
        <v/>
      </c>
      <c r="AH783">
        <f>IF($B783=0,0,IF(Inputs!$B$10="",0,COUNTIFS(Data!$Q$10:$Q$3209,"&gt;="&amp;$A783,Data!$Q$10:$Q$3209,"&lt;"&amp;$A783+1)))</f>
        <v/>
      </c>
    </row>
    <row r="784">
      <c r="A784" s="55">
        <f>MIN(Inputs!$C$15,$A783+IF(WEEKDAY($A783,2)=5,3,1))</f>
        <v/>
      </c>
      <c r="B784">
        <f>IF($A784&gt;$A783,1,0)</f>
        <v/>
      </c>
      <c r="C784" s="56">
        <f>IF($B784=0,"",IF(Inputs!$B$6="","",IF($AD784=0,C783,SUMIFS(Data!$B$10:$B$3209,Data!$A$10:$A$3209,"&gt;="&amp;$A784,Data!$A$10:$A$3209,"&lt;"&amp;$A784+1)/$AD784)))</f>
        <v/>
      </c>
      <c r="D784" s="56">
        <f>IF($B784=0,"",IF(Inputs!$B$7="","",IF($AE784=0,D783,SUMIFS(Data!$F$10:$F$3209,Data!$E$10:$E$3209,"&gt;="&amp;$A784,Data!$E$10:$E$3209,"&lt;"&amp;$A784+1)/$AE784)))</f>
        <v/>
      </c>
      <c r="E784" s="56">
        <f>IF($B784=0,"",IF(Inputs!$B$8="","",IF($AF784=0,E783,SUMIFS(Data!$J$10:$J$3209,Data!$I$10:$I$3209,"&gt;="&amp;$A784,Data!$I$10:$I$3209,"&lt;"&amp;$A784+1)/$AF784)))</f>
        <v/>
      </c>
      <c r="F784" s="56">
        <f>IF($B784=0,"",IF(Inputs!$B$9="","",IF($AG784=0,F783,SUMIFS(Data!$N$10:$N$3209,Data!$M$10:$M$3209,"&gt;="&amp;$A784,Data!$M$10:$M$3209,"&lt;"&amp;$A784+1)/$AG784)))</f>
        <v/>
      </c>
      <c r="G784" s="56">
        <f>IF($B784=0,"",IF(Inputs!$B$10="","",IF($AH784=0,G783,SUMIFS(Data!$R$10:$R$3209,Data!$Q$10:$Q$3209,"&gt;="&amp;$A784,Data!$Q$10:$Q$3209,"&lt;"&amp;$A784+1)/$AH784)))</f>
        <v/>
      </c>
      <c r="I784" s="54">
        <f>IF($B784=0,NA(),IF($C784="",NA(),IF(C$8="",NA(),IF(N(C$8)=0,NA(),IF(Inputs!$C$17="Rebased to 100",$C784/C$8*100,$C784)))))</f>
        <v/>
      </c>
      <c r="J784" s="54">
        <f>IF($B784=0,NA(),IF($D784="",NA(),IF(D$8="",NA(),IF(N(D$8)=0,NA(),IF(Inputs!$C$17="Rebased to 100",$D784/D$8*100,$D784)))))</f>
        <v/>
      </c>
      <c r="K784" s="54">
        <f>IF($B784=0,NA(),IF($E784="",NA(),IF(E$8="",NA(),IF(N(E$8)=0,NA(),IF(Inputs!$C$17="Rebased to 100",$E784/E$8*100,$E784)))))</f>
        <v/>
      </c>
      <c r="L784" s="54">
        <f>IF($B784=0,NA(),IF($F784="",NA(),IF(F$8="",NA(),IF(N(F$8)=0,NA(),IF(Inputs!$C$17="Rebased to 100",$F784/F$8*100,$F784)))))</f>
        <v/>
      </c>
      <c r="M784" s="54">
        <f>IF($B784=0,NA(),IF($G784="",NA(),IF(G$8="",NA(),IF(N(G$8)=0,NA(),IF(Inputs!$C$17="Rebased to 100",$G784/G$8*100,$G784)))))</f>
        <v/>
      </c>
      <c r="N784" s="54">
        <f>IF($B784=0,NA(),IF(Inputs!$C$18&lt;&gt;"Yes",NA(),IF(COUNT(I784,J784,K784,L784,M784)=0,NA(),MIN(I784,J784,K784,L784,M784))))</f>
        <v/>
      </c>
      <c r="O784" s="54">
        <f>IF($B784=0,NA(),IF(Inputs!$B$24&lt;&gt;"Yes",NA(),Inputs!$D$24*Inputs!$C$35))</f>
        <v/>
      </c>
      <c r="P784" s="54">
        <f>IF($B784=0,NA(),IF(Inputs!$B$25&lt;&gt;"Yes",NA(),Inputs!$D$25*Inputs!$C$35))</f>
        <v/>
      </c>
      <c r="Q784" s="54">
        <f>IF($B784=0,NA(),IF(Inputs!$B$26&lt;&gt;"Yes",NA(),Inputs!$D$26*Inputs!$C$35))</f>
        <v/>
      </c>
      <c r="R784" s="54">
        <f>IF($B784=0,NA(),IF(Inputs!$B$27&lt;&gt;"Yes",NA(),Inputs!$D$27*Inputs!$C$35))</f>
        <v/>
      </c>
      <c r="S784" s="54">
        <f>IF($B784=0,NA(),IF(Inputs!$B$28&lt;&gt;"Yes",NA(),Inputs!$D$28*Inputs!$C$35))</f>
        <v/>
      </c>
      <c r="T784" s="54">
        <f>IF($B784=0,NA(),IF(Inputs!$B$29&lt;&gt;"Yes",NA(),Inputs!$D$29*Inputs!$C$35))</f>
        <v/>
      </c>
      <c r="AD784">
        <f>IF($B784=0,0,IF(Inputs!$B$6="",0,COUNTIFS(Data!$A$10:$A$3209,"&gt;="&amp;$A784,Data!$A$10:$A$3209,"&lt;"&amp;$A784+1)))</f>
        <v/>
      </c>
      <c r="AE784">
        <f>IF($B784=0,0,IF(Inputs!$B$7="",0,COUNTIFS(Data!$E$10:$E$3209,"&gt;="&amp;$A784,Data!$E$10:$E$3209,"&lt;"&amp;$A784+1)))</f>
        <v/>
      </c>
      <c r="AF784">
        <f>IF($B784=0,0,IF(Inputs!$B$8="",0,COUNTIFS(Data!$I$10:$I$3209,"&gt;="&amp;$A784,Data!$I$10:$I$3209,"&lt;"&amp;$A784+1)))</f>
        <v/>
      </c>
      <c r="AG784">
        <f>IF($B784=0,0,IF(Inputs!$B$9="",0,COUNTIFS(Data!$M$10:$M$3209,"&gt;="&amp;$A784,Data!$M$10:$M$3209,"&lt;"&amp;$A784+1)))</f>
        <v/>
      </c>
      <c r="AH784">
        <f>IF($B784=0,0,IF(Inputs!$B$10="",0,COUNTIFS(Data!$Q$10:$Q$3209,"&gt;="&amp;$A784,Data!$Q$10:$Q$3209,"&lt;"&amp;$A784+1)))</f>
        <v/>
      </c>
    </row>
    <row r="785">
      <c r="A785" s="55">
        <f>MIN(Inputs!$C$15,$A784+IF(WEEKDAY($A784,2)=5,3,1))</f>
        <v/>
      </c>
      <c r="B785">
        <f>IF($A785&gt;$A784,1,0)</f>
        <v/>
      </c>
      <c r="C785" s="56">
        <f>IF($B785=0,"",IF(Inputs!$B$6="","",IF($AD785=0,C784,SUMIFS(Data!$B$10:$B$3209,Data!$A$10:$A$3209,"&gt;="&amp;$A785,Data!$A$10:$A$3209,"&lt;"&amp;$A785+1)/$AD785)))</f>
        <v/>
      </c>
      <c r="D785" s="56">
        <f>IF($B785=0,"",IF(Inputs!$B$7="","",IF($AE785=0,D784,SUMIFS(Data!$F$10:$F$3209,Data!$E$10:$E$3209,"&gt;="&amp;$A785,Data!$E$10:$E$3209,"&lt;"&amp;$A785+1)/$AE785)))</f>
        <v/>
      </c>
      <c r="E785" s="56">
        <f>IF($B785=0,"",IF(Inputs!$B$8="","",IF($AF785=0,E784,SUMIFS(Data!$J$10:$J$3209,Data!$I$10:$I$3209,"&gt;="&amp;$A785,Data!$I$10:$I$3209,"&lt;"&amp;$A785+1)/$AF785)))</f>
        <v/>
      </c>
      <c r="F785" s="56">
        <f>IF($B785=0,"",IF(Inputs!$B$9="","",IF($AG785=0,F784,SUMIFS(Data!$N$10:$N$3209,Data!$M$10:$M$3209,"&gt;="&amp;$A785,Data!$M$10:$M$3209,"&lt;"&amp;$A785+1)/$AG785)))</f>
        <v/>
      </c>
      <c r="G785" s="56">
        <f>IF($B785=0,"",IF(Inputs!$B$10="","",IF($AH785=0,G784,SUMIFS(Data!$R$10:$R$3209,Data!$Q$10:$Q$3209,"&gt;="&amp;$A785,Data!$Q$10:$Q$3209,"&lt;"&amp;$A785+1)/$AH785)))</f>
        <v/>
      </c>
      <c r="I785" s="54">
        <f>IF($B785=0,NA(),IF($C785="",NA(),IF(C$8="",NA(),IF(N(C$8)=0,NA(),IF(Inputs!$C$17="Rebased to 100",$C785/C$8*100,$C785)))))</f>
        <v/>
      </c>
      <c r="J785" s="54">
        <f>IF($B785=0,NA(),IF($D785="",NA(),IF(D$8="",NA(),IF(N(D$8)=0,NA(),IF(Inputs!$C$17="Rebased to 100",$D785/D$8*100,$D785)))))</f>
        <v/>
      </c>
      <c r="K785" s="54">
        <f>IF($B785=0,NA(),IF($E785="",NA(),IF(E$8="",NA(),IF(N(E$8)=0,NA(),IF(Inputs!$C$17="Rebased to 100",$E785/E$8*100,$E785)))))</f>
        <v/>
      </c>
      <c r="L785" s="54">
        <f>IF($B785=0,NA(),IF($F785="",NA(),IF(F$8="",NA(),IF(N(F$8)=0,NA(),IF(Inputs!$C$17="Rebased to 100",$F785/F$8*100,$F785)))))</f>
        <v/>
      </c>
      <c r="M785" s="54">
        <f>IF($B785=0,NA(),IF($G785="",NA(),IF(G$8="",NA(),IF(N(G$8)=0,NA(),IF(Inputs!$C$17="Rebased to 100",$G785/G$8*100,$G785)))))</f>
        <v/>
      </c>
      <c r="N785" s="54">
        <f>IF($B785=0,NA(),IF(Inputs!$C$18&lt;&gt;"Yes",NA(),IF(COUNT(I785,J785,K785,L785,M785)=0,NA(),MIN(I785,J785,K785,L785,M785))))</f>
        <v/>
      </c>
      <c r="O785" s="54">
        <f>IF($B785=0,NA(),IF(Inputs!$B$24&lt;&gt;"Yes",NA(),Inputs!$D$24*Inputs!$C$35))</f>
        <v/>
      </c>
      <c r="P785" s="54">
        <f>IF($B785=0,NA(),IF(Inputs!$B$25&lt;&gt;"Yes",NA(),Inputs!$D$25*Inputs!$C$35))</f>
        <v/>
      </c>
      <c r="Q785" s="54">
        <f>IF($B785=0,NA(),IF(Inputs!$B$26&lt;&gt;"Yes",NA(),Inputs!$D$26*Inputs!$C$35))</f>
        <v/>
      </c>
      <c r="R785" s="54">
        <f>IF($B785=0,NA(),IF(Inputs!$B$27&lt;&gt;"Yes",NA(),Inputs!$D$27*Inputs!$C$35))</f>
        <v/>
      </c>
      <c r="S785" s="54">
        <f>IF($B785=0,NA(),IF(Inputs!$B$28&lt;&gt;"Yes",NA(),Inputs!$D$28*Inputs!$C$35))</f>
        <v/>
      </c>
      <c r="T785" s="54">
        <f>IF($B785=0,NA(),IF(Inputs!$B$29&lt;&gt;"Yes",NA(),Inputs!$D$29*Inputs!$C$35))</f>
        <v/>
      </c>
      <c r="AD785">
        <f>IF($B785=0,0,IF(Inputs!$B$6="",0,COUNTIFS(Data!$A$10:$A$3209,"&gt;="&amp;$A785,Data!$A$10:$A$3209,"&lt;"&amp;$A785+1)))</f>
        <v/>
      </c>
      <c r="AE785">
        <f>IF($B785=0,0,IF(Inputs!$B$7="",0,COUNTIFS(Data!$E$10:$E$3209,"&gt;="&amp;$A785,Data!$E$10:$E$3209,"&lt;"&amp;$A785+1)))</f>
        <v/>
      </c>
      <c r="AF785">
        <f>IF($B785=0,0,IF(Inputs!$B$8="",0,COUNTIFS(Data!$I$10:$I$3209,"&gt;="&amp;$A785,Data!$I$10:$I$3209,"&lt;"&amp;$A785+1)))</f>
        <v/>
      </c>
      <c r="AG785">
        <f>IF($B785=0,0,IF(Inputs!$B$9="",0,COUNTIFS(Data!$M$10:$M$3209,"&gt;="&amp;$A785,Data!$M$10:$M$3209,"&lt;"&amp;$A785+1)))</f>
        <v/>
      </c>
      <c r="AH785">
        <f>IF($B785=0,0,IF(Inputs!$B$10="",0,COUNTIFS(Data!$Q$10:$Q$3209,"&gt;="&amp;$A785,Data!$Q$10:$Q$3209,"&lt;"&amp;$A785+1)))</f>
        <v/>
      </c>
    </row>
    <row r="786">
      <c r="A786" s="55">
        <f>MIN(Inputs!$C$15,$A785+IF(WEEKDAY($A785,2)=5,3,1))</f>
        <v/>
      </c>
      <c r="B786">
        <f>IF($A786&gt;$A785,1,0)</f>
        <v/>
      </c>
      <c r="C786" s="56">
        <f>IF($B786=0,"",IF(Inputs!$B$6="","",IF($AD786=0,C785,SUMIFS(Data!$B$10:$B$3209,Data!$A$10:$A$3209,"&gt;="&amp;$A786,Data!$A$10:$A$3209,"&lt;"&amp;$A786+1)/$AD786)))</f>
        <v/>
      </c>
      <c r="D786" s="56">
        <f>IF($B786=0,"",IF(Inputs!$B$7="","",IF($AE786=0,D785,SUMIFS(Data!$F$10:$F$3209,Data!$E$10:$E$3209,"&gt;="&amp;$A786,Data!$E$10:$E$3209,"&lt;"&amp;$A786+1)/$AE786)))</f>
        <v/>
      </c>
      <c r="E786" s="56">
        <f>IF($B786=0,"",IF(Inputs!$B$8="","",IF($AF786=0,E785,SUMIFS(Data!$J$10:$J$3209,Data!$I$10:$I$3209,"&gt;="&amp;$A786,Data!$I$10:$I$3209,"&lt;"&amp;$A786+1)/$AF786)))</f>
        <v/>
      </c>
      <c r="F786" s="56">
        <f>IF($B786=0,"",IF(Inputs!$B$9="","",IF($AG786=0,F785,SUMIFS(Data!$N$10:$N$3209,Data!$M$10:$M$3209,"&gt;="&amp;$A786,Data!$M$10:$M$3209,"&lt;"&amp;$A786+1)/$AG786)))</f>
        <v/>
      </c>
      <c r="G786" s="56">
        <f>IF($B786=0,"",IF(Inputs!$B$10="","",IF($AH786=0,G785,SUMIFS(Data!$R$10:$R$3209,Data!$Q$10:$Q$3209,"&gt;="&amp;$A786,Data!$Q$10:$Q$3209,"&lt;"&amp;$A786+1)/$AH786)))</f>
        <v/>
      </c>
      <c r="I786" s="54">
        <f>IF($B786=0,NA(),IF($C786="",NA(),IF(C$8="",NA(),IF(N(C$8)=0,NA(),IF(Inputs!$C$17="Rebased to 100",$C786/C$8*100,$C786)))))</f>
        <v/>
      </c>
      <c r="J786" s="54">
        <f>IF($B786=0,NA(),IF($D786="",NA(),IF(D$8="",NA(),IF(N(D$8)=0,NA(),IF(Inputs!$C$17="Rebased to 100",$D786/D$8*100,$D786)))))</f>
        <v/>
      </c>
      <c r="K786" s="54">
        <f>IF($B786=0,NA(),IF($E786="",NA(),IF(E$8="",NA(),IF(N(E$8)=0,NA(),IF(Inputs!$C$17="Rebased to 100",$E786/E$8*100,$E786)))))</f>
        <v/>
      </c>
      <c r="L786" s="54">
        <f>IF($B786=0,NA(),IF($F786="",NA(),IF(F$8="",NA(),IF(N(F$8)=0,NA(),IF(Inputs!$C$17="Rebased to 100",$F786/F$8*100,$F786)))))</f>
        <v/>
      </c>
      <c r="M786" s="54">
        <f>IF($B786=0,NA(),IF($G786="",NA(),IF(G$8="",NA(),IF(N(G$8)=0,NA(),IF(Inputs!$C$17="Rebased to 100",$G786/G$8*100,$G786)))))</f>
        <v/>
      </c>
      <c r="N786" s="54">
        <f>IF($B786=0,NA(),IF(Inputs!$C$18&lt;&gt;"Yes",NA(),IF(COUNT(I786,J786,K786,L786,M786)=0,NA(),MIN(I786,J786,K786,L786,M786))))</f>
        <v/>
      </c>
      <c r="O786" s="54">
        <f>IF($B786=0,NA(),IF(Inputs!$B$24&lt;&gt;"Yes",NA(),Inputs!$D$24*Inputs!$C$35))</f>
        <v/>
      </c>
      <c r="P786" s="54">
        <f>IF($B786=0,NA(),IF(Inputs!$B$25&lt;&gt;"Yes",NA(),Inputs!$D$25*Inputs!$C$35))</f>
        <v/>
      </c>
      <c r="Q786" s="54">
        <f>IF($B786=0,NA(),IF(Inputs!$B$26&lt;&gt;"Yes",NA(),Inputs!$D$26*Inputs!$C$35))</f>
        <v/>
      </c>
      <c r="R786" s="54">
        <f>IF($B786=0,NA(),IF(Inputs!$B$27&lt;&gt;"Yes",NA(),Inputs!$D$27*Inputs!$C$35))</f>
        <v/>
      </c>
      <c r="S786" s="54">
        <f>IF($B786=0,NA(),IF(Inputs!$B$28&lt;&gt;"Yes",NA(),Inputs!$D$28*Inputs!$C$35))</f>
        <v/>
      </c>
      <c r="T786" s="54">
        <f>IF($B786=0,NA(),IF(Inputs!$B$29&lt;&gt;"Yes",NA(),Inputs!$D$29*Inputs!$C$35))</f>
        <v/>
      </c>
      <c r="AD786">
        <f>IF($B786=0,0,IF(Inputs!$B$6="",0,COUNTIFS(Data!$A$10:$A$3209,"&gt;="&amp;$A786,Data!$A$10:$A$3209,"&lt;"&amp;$A786+1)))</f>
        <v/>
      </c>
      <c r="AE786">
        <f>IF($B786=0,0,IF(Inputs!$B$7="",0,COUNTIFS(Data!$E$10:$E$3209,"&gt;="&amp;$A786,Data!$E$10:$E$3209,"&lt;"&amp;$A786+1)))</f>
        <v/>
      </c>
      <c r="AF786">
        <f>IF($B786=0,0,IF(Inputs!$B$8="",0,COUNTIFS(Data!$I$10:$I$3209,"&gt;="&amp;$A786,Data!$I$10:$I$3209,"&lt;"&amp;$A786+1)))</f>
        <v/>
      </c>
      <c r="AG786">
        <f>IF($B786=0,0,IF(Inputs!$B$9="",0,COUNTIFS(Data!$M$10:$M$3209,"&gt;="&amp;$A786,Data!$M$10:$M$3209,"&lt;"&amp;$A786+1)))</f>
        <v/>
      </c>
      <c r="AH786">
        <f>IF($B786=0,0,IF(Inputs!$B$10="",0,COUNTIFS(Data!$Q$10:$Q$3209,"&gt;="&amp;$A786,Data!$Q$10:$Q$3209,"&lt;"&amp;$A786+1)))</f>
        <v/>
      </c>
    </row>
    <row r="787">
      <c r="A787" s="55">
        <f>MIN(Inputs!$C$15,$A786+IF(WEEKDAY($A786,2)=5,3,1))</f>
        <v/>
      </c>
      <c r="B787">
        <f>IF($A787&gt;$A786,1,0)</f>
        <v/>
      </c>
      <c r="C787" s="56">
        <f>IF($B787=0,"",IF(Inputs!$B$6="","",IF($AD787=0,C786,SUMIFS(Data!$B$10:$B$3209,Data!$A$10:$A$3209,"&gt;="&amp;$A787,Data!$A$10:$A$3209,"&lt;"&amp;$A787+1)/$AD787)))</f>
        <v/>
      </c>
      <c r="D787" s="56">
        <f>IF($B787=0,"",IF(Inputs!$B$7="","",IF($AE787=0,D786,SUMIFS(Data!$F$10:$F$3209,Data!$E$10:$E$3209,"&gt;="&amp;$A787,Data!$E$10:$E$3209,"&lt;"&amp;$A787+1)/$AE787)))</f>
        <v/>
      </c>
      <c r="E787" s="56">
        <f>IF($B787=0,"",IF(Inputs!$B$8="","",IF($AF787=0,E786,SUMIFS(Data!$J$10:$J$3209,Data!$I$10:$I$3209,"&gt;="&amp;$A787,Data!$I$10:$I$3209,"&lt;"&amp;$A787+1)/$AF787)))</f>
        <v/>
      </c>
      <c r="F787" s="56">
        <f>IF($B787=0,"",IF(Inputs!$B$9="","",IF($AG787=0,F786,SUMIFS(Data!$N$10:$N$3209,Data!$M$10:$M$3209,"&gt;="&amp;$A787,Data!$M$10:$M$3209,"&lt;"&amp;$A787+1)/$AG787)))</f>
        <v/>
      </c>
      <c r="G787" s="56">
        <f>IF($B787=0,"",IF(Inputs!$B$10="","",IF($AH787=0,G786,SUMIFS(Data!$R$10:$R$3209,Data!$Q$10:$Q$3209,"&gt;="&amp;$A787,Data!$Q$10:$Q$3209,"&lt;"&amp;$A787+1)/$AH787)))</f>
        <v/>
      </c>
      <c r="I787" s="54">
        <f>IF($B787=0,NA(),IF($C787="",NA(),IF(C$8="",NA(),IF(N(C$8)=0,NA(),IF(Inputs!$C$17="Rebased to 100",$C787/C$8*100,$C787)))))</f>
        <v/>
      </c>
      <c r="J787" s="54">
        <f>IF($B787=0,NA(),IF($D787="",NA(),IF(D$8="",NA(),IF(N(D$8)=0,NA(),IF(Inputs!$C$17="Rebased to 100",$D787/D$8*100,$D787)))))</f>
        <v/>
      </c>
      <c r="K787" s="54">
        <f>IF($B787=0,NA(),IF($E787="",NA(),IF(E$8="",NA(),IF(N(E$8)=0,NA(),IF(Inputs!$C$17="Rebased to 100",$E787/E$8*100,$E787)))))</f>
        <v/>
      </c>
      <c r="L787" s="54">
        <f>IF($B787=0,NA(),IF($F787="",NA(),IF(F$8="",NA(),IF(N(F$8)=0,NA(),IF(Inputs!$C$17="Rebased to 100",$F787/F$8*100,$F787)))))</f>
        <v/>
      </c>
      <c r="M787" s="54">
        <f>IF($B787=0,NA(),IF($G787="",NA(),IF(G$8="",NA(),IF(N(G$8)=0,NA(),IF(Inputs!$C$17="Rebased to 100",$G787/G$8*100,$G787)))))</f>
        <v/>
      </c>
      <c r="N787" s="54">
        <f>IF($B787=0,NA(),IF(Inputs!$C$18&lt;&gt;"Yes",NA(),IF(COUNT(I787,J787,K787,L787,M787)=0,NA(),MIN(I787,J787,K787,L787,M787))))</f>
        <v/>
      </c>
      <c r="O787" s="54">
        <f>IF($B787=0,NA(),IF(Inputs!$B$24&lt;&gt;"Yes",NA(),Inputs!$D$24*Inputs!$C$35))</f>
        <v/>
      </c>
      <c r="P787" s="54">
        <f>IF($B787=0,NA(),IF(Inputs!$B$25&lt;&gt;"Yes",NA(),Inputs!$D$25*Inputs!$C$35))</f>
        <v/>
      </c>
      <c r="Q787" s="54">
        <f>IF($B787=0,NA(),IF(Inputs!$B$26&lt;&gt;"Yes",NA(),Inputs!$D$26*Inputs!$C$35))</f>
        <v/>
      </c>
      <c r="R787" s="54">
        <f>IF($B787=0,NA(),IF(Inputs!$B$27&lt;&gt;"Yes",NA(),Inputs!$D$27*Inputs!$C$35))</f>
        <v/>
      </c>
      <c r="S787" s="54">
        <f>IF($B787=0,NA(),IF(Inputs!$B$28&lt;&gt;"Yes",NA(),Inputs!$D$28*Inputs!$C$35))</f>
        <v/>
      </c>
      <c r="T787" s="54">
        <f>IF($B787=0,NA(),IF(Inputs!$B$29&lt;&gt;"Yes",NA(),Inputs!$D$29*Inputs!$C$35))</f>
        <v/>
      </c>
      <c r="AD787">
        <f>IF($B787=0,0,IF(Inputs!$B$6="",0,COUNTIFS(Data!$A$10:$A$3209,"&gt;="&amp;$A787,Data!$A$10:$A$3209,"&lt;"&amp;$A787+1)))</f>
        <v/>
      </c>
      <c r="AE787">
        <f>IF($B787=0,0,IF(Inputs!$B$7="",0,COUNTIFS(Data!$E$10:$E$3209,"&gt;="&amp;$A787,Data!$E$10:$E$3209,"&lt;"&amp;$A787+1)))</f>
        <v/>
      </c>
      <c r="AF787">
        <f>IF($B787=0,0,IF(Inputs!$B$8="",0,COUNTIFS(Data!$I$10:$I$3209,"&gt;="&amp;$A787,Data!$I$10:$I$3209,"&lt;"&amp;$A787+1)))</f>
        <v/>
      </c>
      <c r="AG787">
        <f>IF($B787=0,0,IF(Inputs!$B$9="",0,COUNTIFS(Data!$M$10:$M$3209,"&gt;="&amp;$A787,Data!$M$10:$M$3209,"&lt;"&amp;$A787+1)))</f>
        <v/>
      </c>
      <c r="AH787">
        <f>IF($B787=0,0,IF(Inputs!$B$10="",0,COUNTIFS(Data!$Q$10:$Q$3209,"&gt;="&amp;$A787,Data!$Q$10:$Q$3209,"&lt;"&amp;$A787+1)))</f>
        <v/>
      </c>
    </row>
    <row r="788">
      <c r="A788" s="55">
        <f>MIN(Inputs!$C$15,$A787+IF(WEEKDAY($A787,2)=5,3,1))</f>
        <v/>
      </c>
      <c r="B788">
        <f>IF($A788&gt;$A787,1,0)</f>
        <v/>
      </c>
      <c r="C788" s="56">
        <f>IF($B788=0,"",IF(Inputs!$B$6="","",IF($AD788=0,C787,SUMIFS(Data!$B$10:$B$3209,Data!$A$10:$A$3209,"&gt;="&amp;$A788,Data!$A$10:$A$3209,"&lt;"&amp;$A788+1)/$AD788)))</f>
        <v/>
      </c>
      <c r="D788" s="56">
        <f>IF($B788=0,"",IF(Inputs!$B$7="","",IF($AE788=0,D787,SUMIFS(Data!$F$10:$F$3209,Data!$E$10:$E$3209,"&gt;="&amp;$A788,Data!$E$10:$E$3209,"&lt;"&amp;$A788+1)/$AE788)))</f>
        <v/>
      </c>
      <c r="E788" s="56">
        <f>IF($B788=0,"",IF(Inputs!$B$8="","",IF($AF788=0,E787,SUMIFS(Data!$J$10:$J$3209,Data!$I$10:$I$3209,"&gt;="&amp;$A788,Data!$I$10:$I$3209,"&lt;"&amp;$A788+1)/$AF788)))</f>
        <v/>
      </c>
      <c r="F788" s="56">
        <f>IF($B788=0,"",IF(Inputs!$B$9="","",IF($AG788=0,F787,SUMIFS(Data!$N$10:$N$3209,Data!$M$10:$M$3209,"&gt;="&amp;$A788,Data!$M$10:$M$3209,"&lt;"&amp;$A788+1)/$AG788)))</f>
        <v/>
      </c>
      <c r="G788" s="56">
        <f>IF($B788=0,"",IF(Inputs!$B$10="","",IF($AH788=0,G787,SUMIFS(Data!$R$10:$R$3209,Data!$Q$10:$Q$3209,"&gt;="&amp;$A788,Data!$Q$10:$Q$3209,"&lt;"&amp;$A788+1)/$AH788)))</f>
        <v/>
      </c>
      <c r="I788" s="54">
        <f>IF($B788=0,NA(),IF($C788="",NA(),IF(C$8="",NA(),IF(N(C$8)=0,NA(),IF(Inputs!$C$17="Rebased to 100",$C788/C$8*100,$C788)))))</f>
        <v/>
      </c>
      <c r="J788" s="54">
        <f>IF($B788=0,NA(),IF($D788="",NA(),IF(D$8="",NA(),IF(N(D$8)=0,NA(),IF(Inputs!$C$17="Rebased to 100",$D788/D$8*100,$D788)))))</f>
        <v/>
      </c>
      <c r="K788" s="54">
        <f>IF($B788=0,NA(),IF($E788="",NA(),IF(E$8="",NA(),IF(N(E$8)=0,NA(),IF(Inputs!$C$17="Rebased to 100",$E788/E$8*100,$E788)))))</f>
        <v/>
      </c>
      <c r="L788" s="54">
        <f>IF($B788=0,NA(),IF($F788="",NA(),IF(F$8="",NA(),IF(N(F$8)=0,NA(),IF(Inputs!$C$17="Rebased to 100",$F788/F$8*100,$F788)))))</f>
        <v/>
      </c>
      <c r="M788" s="54">
        <f>IF($B788=0,NA(),IF($G788="",NA(),IF(G$8="",NA(),IF(N(G$8)=0,NA(),IF(Inputs!$C$17="Rebased to 100",$G788/G$8*100,$G788)))))</f>
        <v/>
      </c>
      <c r="N788" s="54">
        <f>IF($B788=0,NA(),IF(Inputs!$C$18&lt;&gt;"Yes",NA(),IF(COUNT(I788,J788,K788,L788,M788)=0,NA(),MIN(I788,J788,K788,L788,M788))))</f>
        <v/>
      </c>
      <c r="O788" s="54">
        <f>IF($B788=0,NA(),IF(Inputs!$B$24&lt;&gt;"Yes",NA(),Inputs!$D$24*Inputs!$C$35))</f>
        <v/>
      </c>
      <c r="P788" s="54">
        <f>IF($B788=0,NA(),IF(Inputs!$B$25&lt;&gt;"Yes",NA(),Inputs!$D$25*Inputs!$C$35))</f>
        <v/>
      </c>
      <c r="Q788" s="54">
        <f>IF($B788=0,NA(),IF(Inputs!$B$26&lt;&gt;"Yes",NA(),Inputs!$D$26*Inputs!$C$35))</f>
        <v/>
      </c>
      <c r="R788" s="54">
        <f>IF($B788=0,NA(),IF(Inputs!$B$27&lt;&gt;"Yes",NA(),Inputs!$D$27*Inputs!$C$35))</f>
        <v/>
      </c>
      <c r="S788" s="54">
        <f>IF($B788=0,NA(),IF(Inputs!$B$28&lt;&gt;"Yes",NA(),Inputs!$D$28*Inputs!$C$35))</f>
        <v/>
      </c>
      <c r="T788" s="54">
        <f>IF($B788=0,NA(),IF(Inputs!$B$29&lt;&gt;"Yes",NA(),Inputs!$D$29*Inputs!$C$35))</f>
        <v/>
      </c>
      <c r="AD788">
        <f>IF($B788=0,0,IF(Inputs!$B$6="",0,COUNTIFS(Data!$A$10:$A$3209,"&gt;="&amp;$A788,Data!$A$10:$A$3209,"&lt;"&amp;$A788+1)))</f>
        <v/>
      </c>
      <c r="AE788">
        <f>IF($B788=0,0,IF(Inputs!$B$7="",0,COUNTIFS(Data!$E$10:$E$3209,"&gt;="&amp;$A788,Data!$E$10:$E$3209,"&lt;"&amp;$A788+1)))</f>
        <v/>
      </c>
      <c r="AF788">
        <f>IF($B788=0,0,IF(Inputs!$B$8="",0,COUNTIFS(Data!$I$10:$I$3209,"&gt;="&amp;$A788,Data!$I$10:$I$3209,"&lt;"&amp;$A788+1)))</f>
        <v/>
      </c>
      <c r="AG788">
        <f>IF($B788=0,0,IF(Inputs!$B$9="",0,COUNTIFS(Data!$M$10:$M$3209,"&gt;="&amp;$A788,Data!$M$10:$M$3209,"&lt;"&amp;$A788+1)))</f>
        <v/>
      </c>
      <c r="AH788">
        <f>IF($B788=0,0,IF(Inputs!$B$10="",0,COUNTIFS(Data!$Q$10:$Q$3209,"&gt;="&amp;$A788,Data!$Q$10:$Q$3209,"&lt;"&amp;$A788+1)))</f>
        <v/>
      </c>
    </row>
    <row r="789">
      <c r="A789" s="55">
        <f>MIN(Inputs!$C$15,$A788+IF(WEEKDAY($A788,2)=5,3,1))</f>
        <v/>
      </c>
      <c r="B789">
        <f>IF($A789&gt;$A788,1,0)</f>
        <v/>
      </c>
      <c r="C789" s="56">
        <f>IF($B789=0,"",IF(Inputs!$B$6="","",IF($AD789=0,C788,SUMIFS(Data!$B$10:$B$3209,Data!$A$10:$A$3209,"&gt;="&amp;$A789,Data!$A$10:$A$3209,"&lt;"&amp;$A789+1)/$AD789)))</f>
        <v/>
      </c>
      <c r="D789" s="56">
        <f>IF($B789=0,"",IF(Inputs!$B$7="","",IF($AE789=0,D788,SUMIFS(Data!$F$10:$F$3209,Data!$E$10:$E$3209,"&gt;="&amp;$A789,Data!$E$10:$E$3209,"&lt;"&amp;$A789+1)/$AE789)))</f>
        <v/>
      </c>
      <c r="E789" s="56">
        <f>IF($B789=0,"",IF(Inputs!$B$8="","",IF($AF789=0,E788,SUMIFS(Data!$J$10:$J$3209,Data!$I$10:$I$3209,"&gt;="&amp;$A789,Data!$I$10:$I$3209,"&lt;"&amp;$A789+1)/$AF789)))</f>
        <v/>
      </c>
      <c r="F789" s="56">
        <f>IF($B789=0,"",IF(Inputs!$B$9="","",IF($AG789=0,F788,SUMIFS(Data!$N$10:$N$3209,Data!$M$10:$M$3209,"&gt;="&amp;$A789,Data!$M$10:$M$3209,"&lt;"&amp;$A789+1)/$AG789)))</f>
        <v/>
      </c>
      <c r="G789" s="56">
        <f>IF($B789=0,"",IF(Inputs!$B$10="","",IF($AH789=0,G788,SUMIFS(Data!$R$10:$R$3209,Data!$Q$10:$Q$3209,"&gt;="&amp;$A789,Data!$Q$10:$Q$3209,"&lt;"&amp;$A789+1)/$AH789)))</f>
        <v/>
      </c>
      <c r="I789" s="54">
        <f>IF($B789=0,NA(),IF($C789="",NA(),IF(C$8="",NA(),IF(N(C$8)=0,NA(),IF(Inputs!$C$17="Rebased to 100",$C789/C$8*100,$C789)))))</f>
        <v/>
      </c>
      <c r="J789" s="54">
        <f>IF($B789=0,NA(),IF($D789="",NA(),IF(D$8="",NA(),IF(N(D$8)=0,NA(),IF(Inputs!$C$17="Rebased to 100",$D789/D$8*100,$D789)))))</f>
        <v/>
      </c>
      <c r="K789" s="54">
        <f>IF($B789=0,NA(),IF($E789="",NA(),IF(E$8="",NA(),IF(N(E$8)=0,NA(),IF(Inputs!$C$17="Rebased to 100",$E789/E$8*100,$E789)))))</f>
        <v/>
      </c>
      <c r="L789" s="54">
        <f>IF($B789=0,NA(),IF($F789="",NA(),IF(F$8="",NA(),IF(N(F$8)=0,NA(),IF(Inputs!$C$17="Rebased to 100",$F789/F$8*100,$F789)))))</f>
        <v/>
      </c>
      <c r="M789" s="54">
        <f>IF($B789=0,NA(),IF($G789="",NA(),IF(G$8="",NA(),IF(N(G$8)=0,NA(),IF(Inputs!$C$17="Rebased to 100",$G789/G$8*100,$G789)))))</f>
        <v/>
      </c>
      <c r="N789" s="54">
        <f>IF($B789=0,NA(),IF(Inputs!$C$18&lt;&gt;"Yes",NA(),IF(COUNT(I789,J789,K789,L789,M789)=0,NA(),MIN(I789,J789,K789,L789,M789))))</f>
        <v/>
      </c>
      <c r="O789" s="54">
        <f>IF($B789=0,NA(),IF(Inputs!$B$24&lt;&gt;"Yes",NA(),Inputs!$D$24*Inputs!$C$35))</f>
        <v/>
      </c>
      <c r="P789" s="54">
        <f>IF($B789=0,NA(),IF(Inputs!$B$25&lt;&gt;"Yes",NA(),Inputs!$D$25*Inputs!$C$35))</f>
        <v/>
      </c>
      <c r="Q789" s="54">
        <f>IF($B789=0,NA(),IF(Inputs!$B$26&lt;&gt;"Yes",NA(),Inputs!$D$26*Inputs!$C$35))</f>
        <v/>
      </c>
      <c r="R789" s="54">
        <f>IF($B789=0,NA(),IF(Inputs!$B$27&lt;&gt;"Yes",NA(),Inputs!$D$27*Inputs!$C$35))</f>
        <v/>
      </c>
      <c r="S789" s="54">
        <f>IF($B789=0,NA(),IF(Inputs!$B$28&lt;&gt;"Yes",NA(),Inputs!$D$28*Inputs!$C$35))</f>
        <v/>
      </c>
      <c r="T789" s="54">
        <f>IF($B789=0,NA(),IF(Inputs!$B$29&lt;&gt;"Yes",NA(),Inputs!$D$29*Inputs!$C$35))</f>
        <v/>
      </c>
      <c r="AD789">
        <f>IF($B789=0,0,IF(Inputs!$B$6="",0,COUNTIFS(Data!$A$10:$A$3209,"&gt;="&amp;$A789,Data!$A$10:$A$3209,"&lt;"&amp;$A789+1)))</f>
        <v/>
      </c>
      <c r="AE789">
        <f>IF($B789=0,0,IF(Inputs!$B$7="",0,COUNTIFS(Data!$E$10:$E$3209,"&gt;="&amp;$A789,Data!$E$10:$E$3209,"&lt;"&amp;$A789+1)))</f>
        <v/>
      </c>
      <c r="AF789">
        <f>IF($B789=0,0,IF(Inputs!$B$8="",0,COUNTIFS(Data!$I$10:$I$3209,"&gt;="&amp;$A789,Data!$I$10:$I$3209,"&lt;"&amp;$A789+1)))</f>
        <v/>
      </c>
      <c r="AG789">
        <f>IF($B789=0,0,IF(Inputs!$B$9="",0,COUNTIFS(Data!$M$10:$M$3209,"&gt;="&amp;$A789,Data!$M$10:$M$3209,"&lt;"&amp;$A789+1)))</f>
        <v/>
      </c>
      <c r="AH789">
        <f>IF($B789=0,0,IF(Inputs!$B$10="",0,COUNTIFS(Data!$Q$10:$Q$3209,"&gt;="&amp;$A789,Data!$Q$10:$Q$3209,"&lt;"&amp;$A789+1)))</f>
        <v/>
      </c>
    </row>
    <row r="790">
      <c r="A790" s="55">
        <f>MIN(Inputs!$C$15,$A789+IF(WEEKDAY($A789,2)=5,3,1))</f>
        <v/>
      </c>
      <c r="B790">
        <f>IF($A790&gt;$A789,1,0)</f>
        <v/>
      </c>
      <c r="C790" s="56">
        <f>IF($B790=0,"",IF(Inputs!$B$6="","",IF($AD790=0,C789,SUMIFS(Data!$B$10:$B$3209,Data!$A$10:$A$3209,"&gt;="&amp;$A790,Data!$A$10:$A$3209,"&lt;"&amp;$A790+1)/$AD790)))</f>
        <v/>
      </c>
      <c r="D790" s="56">
        <f>IF($B790=0,"",IF(Inputs!$B$7="","",IF($AE790=0,D789,SUMIFS(Data!$F$10:$F$3209,Data!$E$10:$E$3209,"&gt;="&amp;$A790,Data!$E$10:$E$3209,"&lt;"&amp;$A790+1)/$AE790)))</f>
        <v/>
      </c>
      <c r="E790" s="56">
        <f>IF($B790=0,"",IF(Inputs!$B$8="","",IF($AF790=0,E789,SUMIFS(Data!$J$10:$J$3209,Data!$I$10:$I$3209,"&gt;="&amp;$A790,Data!$I$10:$I$3209,"&lt;"&amp;$A790+1)/$AF790)))</f>
        <v/>
      </c>
      <c r="F790" s="56">
        <f>IF($B790=0,"",IF(Inputs!$B$9="","",IF($AG790=0,F789,SUMIFS(Data!$N$10:$N$3209,Data!$M$10:$M$3209,"&gt;="&amp;$A790,Data!$M$10:$M$3209,"&lt;"&amp;$A790+1)/$AG790)))</f>
        <v/>
      </c>
      <c r="G790" s="56">
        <f>IF($B790=0,"",IF(Inputs!$B$10="","",IF($AH790=0,G789,SUMIFS(Data!$R$10:$R$3209,Data!$Q$10:$Q$3209,"&gt;="&amp;$A790,Data!$Q$10:$Q$3209,"&lt;"&amp;$A790+1)/$AH790)))</f>
        <v/>
      </c>
      <c r="I790" s="54">
        <f>IF($B790=0,NA(),IF($C790="",NA(),IF(C$8="",NA(),IF(N(C$8)=0,NA(),IF(Inputs!$C$17="Rebased to 100",$C790/C$8*100,$C790)))))</f>
        <v/>
      </c>
      <c r="J790" s="54">
        <f>IF($B790=0,NA(),IF($D790="",NA(),IF(D$8="",NA(),IF(N(D$8)=0,NA(),IF(Inputs!$C$17="Rebased to 100",$D790/D$8*100,$D790)))))</f>
        <v/>
      </c>
      <c r="K790" s="54">
        <f>IF($B790=0,NA(),IF($E790="",NA(),IF(E$8="",NA(),IF(N(E$8)=0,NA(),IF(Inputs!$C$17="Rebased to 100",$E790/E$8*100,$E790)))))</f>
        <v/>
      </c>
      <c r="L790" s="54">
        <f>IF($B790=0,NA(),IF($F790="",NA(),IF(F$8="",NA(),IF(N(F$8)=0,NA(),IF(Inputs!$C$17="Rebased to 100",$F790/F$8*100,$F790)))))</f>
        <v/>
      </c>
      <c r="M790" s="54">
        <f>IF($B790=0,NA(),IF($G790="",NA(),IF(G$8="",NA(),IF(N(G$8)=0,NA(),IF(Inputs!$C$17="Rebased to 100",$G790/G$8*100,$G790)))))</f>
        <v/>
      </c>
      <c r="N790" s="54">
        <f>IF($B790=0,NA(),IF(Inputs!$C$18&lt;&gt;"Yes",NA(),IF(COUNT(I790,J790,K790,L790,M790)=0,NA(),MIN(I790,J790,K790,L790,M790))))</f>
        <v/>
      </c>
      <c r="O790" s="54">
        <f>IF($B790=0,NA(),IF(Inputs!$B$24&lt;&gt;"Yes",NA(),Inputs!$D$24*Inputs!$C$35))</f>
        <v/>
      </c>
      <c r="P790" s="54">
        <f>IF($B790=0,NA(),IF(Inputs!$B$25&lt;&gt;"Yes",NA(),Inputs!$D$25*Inputs!$C$35))</f>
        <v/>
      </c>
      <c r="Q790" s="54">
        <f>IF($B790=0,NA(),IF(Inputs!$B$26&lt;&gt;"Yes",NA(),Inputs!$D$26*Inputs!$C$35))</f>
        <v/>
      </c>
      <c r="R790" s="54">
        <f>IF($B790=0,NA(),IF(Inputs!$B$27&lt;&gt;"Yes",NA(),Inputs!$D$27*Inputs!$C$35))</f>
        <v/>
      </c>
      <c r="S790" s="54">
        <f>IF($B790=0,NA(),IF(Inputs!$B$28&lt;&gt;"Yes",NA(),Inputs!$D$28*Inputs!$C$35))</f>
        <v/>
      </c>
      <c r="T790" s="54">
        <f>IF($B790=0,NA(),IF(Inputs!$B$29&lt;&gt;"Yes",NA(),Inputs!$D$29*Inputs!$C$35))</f>
        <v/>
      </c>
      <c r="AD790">
        <f>IF($B790=0,0,IF(Inputs!$B$6="",0,COUNTIFS(Data!$A$10:$A$3209,"&gt;="&amp;$A790,Data!$A$10:$A$3209,"&lt;"&amp;$A790+1)))</f>
        <v/>
      </c>
      <c r="AE790">
        <f>IF($B790=0,0,IF(Inputs!$B$7="",0,COUNTIFS(Data!$E$10:$E$3209,"&gt;="&amp;$A790,Data!$E$10:$E$3209,"&lt;"&amp;$A790+1)))</f>
        <v/>
      </c>
      <c r="AF790">
        <f>IF($B790=0,0,IF(Inputs!$B$8="",0,COUNTIFS(Data!$I$10:$I$3209,"&gt;="&amp;$A790,Data!$I$10:$I$3209,"&lt;"&amp;$A790+1)))</f>
        <v/>
      </c>
      <c r="AG790">
        <f>IF($B790=0,0,IF(Inputs!$B$9="",0,COUNTIFS(Data!$M$10:$M$3209,"&gt;="&amp;$A790,Data!$M$10:$M$3209,"&lt;"&amp;$A790+1)))</f>
        <v/>
      </c>
      <c r="AH790">
        <f>IF($B790=0,0,IF(Inputs!$B$10="",0,COUNTIFS(Data!$Q$10:$Q$3209,"&gt;="&amp;$A790,Data!$Q$10:$Q$3209,"&lt;"&amp;$A790+1)))</f>
        <v/>
      </c>
    </row>
    <row r="791">
      <c r="A791" s="55">
        <f>MIN(Inputs!$C$15,$A790+IF(WEEKDAY($A790,2)=5,3,1))</f>
        <v/>
      </c>
      <c r="B791">
        <f>IF($A791&gt;$A790,1,0)</f>
        <v/>
      </c>
      <c r="C791" s="56">
        <f>IF($B791=0,"",IF(Inputs!$B$6="","",IF($AD791=0,C790,SUMIFS(Data!$B$10:$B$3209,Data!$A$10:$A$3209,"&gt;="&amp;$A791,Data!$A$10:$A$3209,"&lt;"&amp;$A791+1)/$AD791)))</f>
        <v/>
      </c>
      <c r="D791" s="56">
        <f>IF($B791=0,"",IF(Inputs!$B$7="","",IF($AE791=0,D790,SUMIFS(Data!$F$10:$F$3209,Data!$E$10:$E$3209,"&gt;="&amp;$A791,Data!$E$10:$E$3209,"&lt;"&amp;$A791+1)/$AE791)))</f>
        <v/>
      </c>
      <c r="E791" s="56">
        <f>IF($B791=0,"",IF(Inputs!$B$8="","",IF($AF791=0,E790,SUMIFS(Data!$J$10:$J$3209,Data!$I$10:$I$3209,"&gt;="&amp;$A791,Data!$I$10:$I$3209,"&lt;"&amp;$A791+1)/$AF791)))</f>
        <v/>
      </c>
      <c r="F791" s="56">
        <f>IF($B791=0,"",IF(Inputs!$B$9="","",IF($AG791=0,F790,SUMIFS(Data!$N$10:$N$3209,Data!$M$10:$M$3209,"&gt;="&amp;$A791,Data!$M$10:$M$3209,"&lt;"&amp;$A791+1)/$AG791)))</f>
        <v/>
      </c>
      <c r="G791" s="56">
        <f>IF($B791=0,"",IF(Inputs!$B$10="","",IF($AH791=0,G790,SUMIFS(Data!$R$10:$R$3209,Data!$Q$10:$Q$3209,"&gt;="&amp;$A791,Data!$Q$10:$Q$3209,"&lt;"&amp;$A791+1)/$AH791)))</f>
        <v/>
      </c>
      <c r="I791" s="54">
        <f>IF($B791=0,NA(),IF($C791="",NA(),IF(C$8="",NA(),IF(N(C$8)=0,NA(),IF(Inputs!$C$17="Rebased to 100",$C791/C$8*100,$C791)))))</f>
        <v/>
      </c>
      <c r="J791" s="54">
        <f>IF($B791=0,NA(),IF($D791="",NA(),IF(D$8="",NA(),IF(N(D$8)=0,NA(),IF(Inputs!$C$17="Rebased to 100",$D791/D$8*100,$D791)))))</f>
        <v/>
      </c>
      <c r="K791" s="54">
        <f>IF($B791=0,NA(),IF($E791="",NA(),IF(E$8="",NA(),IF(N(E$8)=0,NA(),IF(Inputs!$C$17="Rebased to 100",$E791/E$8*100,$E791)))))</f>
        <v/>
      </c>
      <c r="L791" s="54">
        <f>IF($B791=0,NA(),IF($F791="",NA(),IF(F$8="",NA(),IF(N(F$8)=0,NA(),IF(Inputs!$C$17="Rebased to 100",$F791/F$8*100,$F791)))))</f>
        <v/>
      </c>
      <c r="M791" s="54">
        <f>IF($B791=0,NA(),IF($G791="",NA(),IF(G$8="",NA(),IF(N(G$8)=0,NA(),IF(Inputs!$C$17="Rebased to 100",$G791/G$8*100,$G791)))))</f>
        <v/>
      </c>
      <c r="N791" s="54">
        <f>IF($B791=0,NA(),IF(Inputs!$C$18&lt;&gt;"Yes",NA(),IF(COUNT(I791,J791,K791,L791,M791)=0,NA(),MIN(I791,J791,K791,L791,M791))))</f>
        <v/>
      </c>
      <c r="O791" s="54">
        <f>IF($B791=0,NA(),IF(Inputs!$B$24&lt;&gt;"Yes",NA(),Inputs!$D$24*Inputs!$C$35))</f>
        <v/>
      </c>
      <c r="P791" s="54">
        <f>IF($B791=0,NA(),IF(Inputs!$B$25&lt;&gt;"Yes",NA(),Inputs!$D$25*Inputs!$C$35))</f>
        <v/>
      </c>
      <c r="Q791" s="54">
        <f>IF($B791=0,NA(),IF(Inputs!$B$26&lt;&gt;"Yes",NA(),Inputs!$D$26*Inputs!$C$35))</f>
        <v/>
      </c>
      <c r="R791" s="54">
        <f>IF($B791=0,NA(),IF(Inputs!$B$27&lt;&gt;"Yes",NA(),Inputs!$D$27*Inputs!$C$35))</f>
        <v/>
      </c>
      <c r="S791" s="54">
        <f>IF($B791=0,NA(),IF(Inputs!$B$28&lt;&gt;"Yes",NA(),Inputs!$D$28*Inputs!$C$35))</f>
        <v/>
      </c>
      <c r="T791" s="54">
        <f>IF($B791=0,NA(),IF(Inputs!$B$29&lt;&gt;"Yes",NA(),Inputs!$D$29*Inputs!$C$35))</f>
        <v/>
      </c>
      <c r="AD791">
        <f>IF($B791=0,0,IF(Inputs!$B$6="",0,COUNTIFS(Data!$A$10:$A$3209,"&gt;="&amp;$A791,Data!$A$10:$A$3209,"&lt;"&amp;$A791+1)))</f>
        <v/>
      </c>
      <c r="AE791">
        <f>IF($B791=0,0,IF(Inputs!$B$7="",0,COUNTIFS(Data!$E$10:$E$3209,"&gt;="&amp;$A791,Data!$E$10:$E$3209,"&lt;"&amp;$A791+1)))</f>
        <v/>
      </c>
      <c r="AF791">
        <f>IF($B791=0,0,IF(Inputs!$B$8="",0,COUNTIFS(Data!$I$10:$I$3209,"&gt;="&amp;$A791,Data!$I$10:$I$3209,"&lt;"&amp;$A791+1)))</f>
        <v/>
      </c>
      <c r="AG791">
        <f>IF($B791=0,0,IF(Inputs!$B$9="",0,COUNTIFS(Data!$M$10:$M$3209,"&gt;="&amp;$A791,Data!$M$10:$M$3209,"&lt;"&amp;$A791+1)))</f>
        <v/>
      </c>
      <c r="AH791">
        <f>IF($B791=0,0,IF(Inputs!$B$10="",0,COUNTIFS(Data!$Q$10:$Q$3209,"&gt;="&amp;$A791,Data!$Q$10:$Q$3209,"&lt;"&amp;$A791+1)))</f>
        <v/>
      </c>
    </row>
    <row r="792">
      <c r="A792" s="55">
        <f>MIN(Inputs!$C$15,$A791+IF(WEEKDAY($A791,2)=5,3,1))</f>
        <v/>
      </c>
      <c r="B792">
        <f>IF($A792&gt;$A791,1,0)</f>
        <v/>
      </c>
      <c r="C792" s="56">
        <f>IF($B792=0,"",IF(Inputs!$B$6="","",IF($AD792=0,C791,SUMIFS(Data!$B$10:$B$3209,Data!$A$10:$A$3209,"&gt;="&amp;$A792,Data!$A$10:$A$3209,"&lt;"&amp;$A792+1)/$AD792)))</f>
        <v/>
      </c>
      <c r="D792" s="56">
        <f>IF($B792=0,"",IF(Inputs!$B$7="","",IF($AE792=0,D791,SUMIFS(Data!$F$10:$F$3209,Data!$E$10:$E$3209,"&gt;="&amp;$A792,Data!$E$10:$E$3209,"&lt;"&amp;$A792+1)/$AE792)))</f>
        <v/>
      </c>
      <c r="E792" s="56">
        <f>IF($B792=0,"",IF(Inputs!$B$8="","",IF($AF792=0,E791,SUMIFS(Data!$J$10:$J$3209,Data!$I$10:$I$3209,"&gt;="&amp;$A792,Data!$I$10:$I$3209,"&lt;"&amp;$A792+1)/$AF792)))</f>
        <v/>
      </c>
      <c r="F792" s="56">
        <f>IF($B792=0,"",IF(Inputs!$B$9="","",IF($AG792=0,F791,SUMIFS(Data!$N$10:$N$3209,Data!$M$10:$M$3209,"&gt;="&amp;$A792,Data!$M$10:$M$3209,"&lt;"&amp;$A792+1)/$AG792)))</f>
        <v/>
      </c>
      <c r="G792" s="56">
        <f>IF($B792=0,"",IF(Inputs!$B$10="","",IF($AH792=0,G791,SUMIFS(Data!$R$10:$R$3209,Data!$Q$10:$Q$3209,"&gt;="&amp;$A792,Data!$Q$10:$Q$3209,"&lt;"&amp;$A792+1)/$AH792)))</f>
        <v/>
      </c>
      <c r="I792" s="54">
        <f>IF($B792=0,NA(),IF($C792="",NA(),IF(C$8="",NA(),IF(N(C$8)=0,NA(),IF(Inputs!$C$17="Rebased to 100",$C792/C$8*100,$C792)))))</f>
        <v/>
      </c>
      <c r="J792" s="54">
        <f>IF($B792=0,NA(),IF($D792="",NA(),IF(D$8="",NA(),IF(N(D$8)=0,NA(),IF(Inputs!$C$17="Rebased to 100",$D792/D$8*100,$D792)))))</f>
        <v/>
      </c>
      <c r="K792" s="54">
        <f>IF($B792=0,NA(),IF($E792="",NA(),IF(E$8="",NA(),IF(N(E$8)=0,NA(),IF(Inputs!$C$17="Rebased to 100",$E792/E$8*100,$E792)))))</f>
        <v/>
      </c>
      <c r="L792" s="54">
        <f>IF($B792=0,NA(),IF($F792="",NA(),IF(F$8="",NA(),IF(N(F$8)=0,NA(),IF(Inputs!$C$17="Rebased to 100",$F792/F$8*100,$F792)))))</f>
        <v/>
      </c>
      <c r="M792" s="54">
        <f>IF($B792=0,NA(),IF($G792="",NA(),IF(G$8="",NA(),IF(N(G$8)=0,NA(),IF(Inputs!$C$17="Rebased to 100",$G792/G$8*100,$G792)))))</f>
        <v/>
      </c>
      <c r="N792" s="54">
        <f>IF($B792=0,NA(),IF(Inputs!$C$18&lt;&gt;"Yes",NA(),IF(COUNT(I792,J792,K792,L792,M792)=0,NA(),MIN(I792,J792,K792,L792,M792))))</f>
        <v/>
      </c>
      <c r="O792" s="54">
        <f>IF($B792=0,NA(),IF(Inputs!$B$24&lt;&gt;"Yes",NA(),Inputs!$D$24*Inputs!$C$35))</f>
        <v/>
      </c>
      <c r="P792" s="54">
        <f>IF($B792=0,NA(),IF(Inputs!$B$25&lt;&gt;"Yes",NA(),Inputs!$D$25*Inputs!$C$35))</f>
        <v/>
      </c>
      <c r="Q792" s="54">
        <f>IF($B792=0,NA(),IF(Inputs!$B$26&lt;&gt;"Yes",NA(),Inputs!$D$26*Inputs!$C$35))</f>
        <v/>
      </c>
      <c r="R792" s="54">
        <f>IF($B792=0,NA(),IF(Inputs!$B$27&lt;&gt;"Yes",NA(),Inputs!$D$27*Inputs!$C$35))</f>
        <v/>
      </c>
      <c r="S792" s="54">
        <f>IF($B792=0,NA(),IF(Inputs!$B$28&lt;&gt;"Yes",NA(),Inputs!$D$28*Inputs!$C$35))</f>
        <v/>
      </c>
      <c r="T792" s="54">
        <f>IF($B792=0,NA(),IF(Inputs!$B$29&lt;&gt;"Yes",NA(),Inputs!$D$29*Inputs!$C$35))</f>
        <v/>
      </c>
      <c r="AD792">
        <f>IF($B792=0,0,IF(Inputs!$B$6="",0,COUNTIFS(Data!$A$10:$A$3209,"&gt;="&amp;$A792,Data!$A$10:$A$3209,"&lt;"&amp;$A792+1)))</f>
        <v/>
      </c>
      <c r="AE792">
        <f>IF($B792=0,0,IF(Inputs!$B$7="",0,COUNTIFS(Data!$E$10:$E$3209,"&gt;="&amp;$A792,Data!$E$10:$E$3209,"&lt;"&amp;$A792+1)))</f>
        <v/>
      </c>
      <c r="AF792">
        <f>IF($B792=0,0,IF(Inputs!$B$8="",0,COUNTIFS(Data!$I$10:$I$3209,"&gt;="&amp;$A792,Data!$I$10:$I$3209,"&lt;"&amp;$A792+1)))</f>
        <v/>
      </c>
      <c r="AG792">
        <f>IF($B792=0,0,IF(Inputs!$B$9="",0,COUNTIFS(Data!$M$10:$M$3209,"&gt;="&amp;$A792,Data!$M$10:$M$3209,"&lt;"&amp;$A792+1)))</f>
        <v/>
      </c>
      <c r="AH792">
        <f>IF($B792=0,0,IF(Inputs!$B$10="",0,COUNTIFS(Data!$Q$10:$Q$3209,"&gt;="&amp;$A792,Data!$Q$10:$Q$3209,"&lt;"&amp;$A792+1)))</f>
        <v/>
      </c>
    </row>
    <row r="793">
      <c r="A793" s="55">
        <f>MIN(Inputs!$C$15,$A792+IF(WEEKDAY($A792,2)=5,3,1))</f>
        <v/>
      </c>
      <c r="B793">
        <f>IF($A793&gt;$A792,1,0)</f>
        <v/>
      </c>
      <c r="C793" s="56">
        <f>IF($B793=0,"",IF(Inputs!$B$6="","",IF($AD793=0,C792,SUMIFS(Data!$B$10:$B$3209,Data!$A$10:$A$3209,"&gt;="&amp;$A793,Data!$A$10:$A$3209,"&lt;"&amp;$A793+1)/$AD793)))</f>
        <v/>
      </c>
      <c r="D793" s="56">
        <f>IF($B793=0,"",IF(Inputs!$B$7="","",IF($AE793=0,D792,SUMIFS(Data!$F$10:$F$3209,Data!$E$10:$E$3209,"&gt;="&amp;$A793,Data!$E$10:$E$3209,"&lt;"&amp;$A793+1)/$AE793)))</f>
        <v/>
      </c>
      <c r="E793" s="56">
        <f>IF($B793=0,"",IF(Inputs!$B$8="","",IF($AF793=0,E792,SUMIFS(Data!$J$10:$J$3209,Data!$I$10:$I$3209,"&gt;="&amp;$A793,Data!$I$10:$I$3209,"&lt;"&amp;$A793+1)/$AF793)))</f>
        <v/>
      </c>
      <c r="F793" s="56">
        <f>IF($B793=0,"",IF(Inputs!$B$9="","",IF($AG793=0,F792,SUMIFS(Data!$N$10:$N$3209,Data!$M$10:$M$3209,"&gt;="&amp;$A793,Data!$M$10:$M$3209,"&lt;"&amp;$A793+1)/$AG793)))</f>
        <v/>
      </c>
      <c r="G793" s="56">
        <f>IF($B793=0,"",IF(Inputs!$B$10="","",IF($AH793=0,G792,SUMIFS(Data!$R$10:$R$3209,Data!$Q$10:$Q$3209,"&gt;="&amp;$A793,Data!$Q$10:$Q$3209,"&lt;"&amp;$A793+1)/$AH793)))</f>
        <v/>
      </c>
      <c r="I793" s="54">
        <f>IF($B793=0,NA(),IF($C793="",NA(),IF(C$8="",NA(),IF(N(C$8)=0,NA(),IF(Inputs!$C$17="Rebased to 100",$C793/C$8*100,$C793)))))</f>
        <v/>
      </c>
      <c r="J793" s="54">
        <f>IF($B793=0,NA(),IF($D793="",NA(),IF(D$8="",NA(),IF(N(D$8)=0,NA(),IF(Inputs!$C$17="Rebased to 100",$D793/D$8*100,$D793)))))</f>
        <v/>
      </c>
      <c r="K793" s="54">
        <f>IF($B793=0,NA(),IF($E793="",NA(),IF(E$8="",NA(),IF(N(E$8)=0,NA(),IF(Inputs!$C$17="Rebased to 100",$E793/E$8*100,$E793)))))</f>
        <v/>
      </c>
      <c r="L793" s="54">
        <f>IF($B793=0,NA(),IF($F793="",NA(),IF(F$8="",NA(),IF(N(F$8)=0,NA(),IF(Inputs!$C$17="Rebased to 100",$F793/F$8*100,$F793)))))</f>
        <v/>
      </c>
      <c r="M793" s="54">
        <f>IF($B793=0,NA(),IF($G793="",NA(),IF(G$8="",NA(),IF(N(G$8)=0,NA(),IF(Inputs!$C$17="Rebased to 100",$G793/G$8*100,$G793)))))</f>
        <v/>
      </c>
      <c r="N793" s="54">
        <f>IF($B793=0,NA(),IF(Inputs!$C$18&lt;&gt;"Yes",NA(),IF(COUNT(I793,J793,K793,L793,M793)=0,NA(),MIN(I793,J793,K793,L793,M793))))</f>
        <v/>
      </c>
      <c r="O793" s="54">
        <f>IF($B793=0,NA(),IF(Inputs!$B$24&lt;&gt;"Yes",NA(),Inputs!$D$24*Inputs!$C$35))</f>
        <v/>
      </c>
      <c r="P793" s="54">
        <f>IF($B793=0,NA(),IF(Inputs!$B$25&lt;&gt;"Yes",NA(),Inputs!$D$25*Inputs!$C$35))</f>
        <v/>
      </c>
      <c r="Q793" s="54">
        <f>IF($B793=0,NA(),IF(Inputs!$B$26&lt;&gt;"Yes",NA(),Inputs!$D$26*Inputs!$C$35))</f>
        <v/>
      </c>
      <c r="R793" s="54">
        <f>IF($B793=0,NA(),IF(Inputs!$B$27&lt;&gt;"Yes",NA(),Inputs!$D$27*Inputs!$C$35))</f>
        <v/>
      </c>
      <c r="S793" s="54">
        <f>IF($B793=0,NA(),IF(Inputs!$B$28&lt;&gt;"Yes",NA(),Inputs!$D$28*Inputs!$C$35))</f>
        <v/>
      </c>
      <c r="T793" s="54">
        <f>IF($B793=0,NA(),IF(Inputs!$B$29&lt;&gt;"Yes",NA(),Inputs!$D$29*Inputs!$C$35))</f>
        <v/>
      </c>
      <c r="AD793">
        <f>IF($B793=0,0,IF(Inputs!$B$6="",0,COUNTIFS(Data!$A$10:$A$3209,"&gt;="&amp;$A793,Data!$A$10:$A$3209,"&lt;"&amp;$A793+1)))</f>
        <v/>
      </c>
      <c r="AE793">
        <f>IF($B793=0,0,IF(Inputs!$B$7="",0,COUNTIFS(Data!$E$10:$E$3209,"&gt;="&amp;$A793,Data!$E$10:$E$3209,"&lt;"&amp;$A793+1)))</f>
        <v/>
      </c>
      <c r="AF793">
        <f>IF($B793=0,0,IF(Inputs!$B$8="",0,COUNTIFS(Data!$I$10:$I$3209,"&gt;="&amp;$A793,Data!$I$10:$I$3209,"&lt;"&amp;$A793+1)))</f>
        <v/>
      </c>
      <c r="AG793">
        <f>IF($B793=0,0,IF(Inputs!$B$9="",0,COUNTIFS(Data!$M$10:$M$3209,"&gt;="&amp;$A793,Data!$M$10:$M$3209,"&lt;"&amp;$A793+1)))</f>
        <v/>
      </c>
      <c r="AH793">
        <f>IF($B793=0,0,IF(Inputs!$B$10="",0,COUNTIFS(Data!$Q$10:$Q$3209,"&gt;="&amp;$A793,Data!$Q$10:$Q$3209,"&lt;"&amp;$A793+1)))</f>
        <v/>
      </c>
    </row>
    <row r="794">
      <c r="A794" s="55">
        <f>MIN(Inputs!$C$15,$A793+IF(WEEKDAY($A793,2)=5,3,1))</f>
        <v/>
      </c>
      <c r="B794">
        <f>IF($A794&gt;$A793,1,0)</f>
        <v/>
      </c>
      <c r="C794" s="56">
        <f>IF($B794=0,"",IF(Inputs!$B$6="","",IF($AD794=0,C793,SUMIFS(Data!$B$10:$B$3209,Data!$A$10:$A$3209,"&gt;="&amp;$A794,Data!$A$10:$A$3209,"&lt;"&amp;$A794+1)/$AD794)))</f>
        <v/>
      </c>
      <c r="D794" s="56">
        <f>IF($B794=0,"",IF(Inputs!$B$7="","",IF($AE794=0,D793,SUMIFS(Data!$F$10:$F$3209,Data!$E$10:$E$3209,"&gt;="&amp;$A794,Data!$E$10:$E$3209,"&lt;"&amp;$A794+1)/$AE794)))</f>
        <v/>
      </c>
      <c r="E794" s="56">
        <f>IF($B794=0,"",IF(Inputs!$B$8="","",IF($AF794=0,E793,SUMIFS(Data!$J$10:$J$3209,Data!$I$10:$I$3209,"&gt;="&amp;$A794,Data!$I$10:$I$3209,"&lt;"&amp;$A794+1)/$AF794)))</f>
        <v/>
      </c>
      <c r="F794" s="56">
        <f>IF($B794=0,"",IF(Inputs!$B$9="","",IF($AG794=0,F793,SUMIFS(Data!$N$10:$N$3209,Data!$M$10:$M$3209,"&gt;="&amp;$A794,Data!$M$10:$M$3209,"&lt;"&amp;$A794+1)/$AG794)))</f>
        <v/>
      </c>
      <c r="G794" s="56">
        <f>IF($B794=0,"",IF(Inputs!$B$10="","",IF($AH794=0,G793,SUMIFS(Data!$R$10:$R$3209,Data!$Q$10:$Q$3209,"&gt;="&amp;$A794,Data!$Q$10:$Q$3209,"&lt;"&amp;$A794+1)/$AH794)))</f>
        <v/>
      </c>
      <c r="I794" s="54">
        <f>IF($B794=0,NA(),IF($C794="",NA(),IF(C$8="",NA(),IF(N(C$8)=0,NA(),IF(Inputs!$C$17="Rebased to 100",$C794/C$8*100,$C794)))))</f>
        <v/>
      </c>
      <c r="J794" s="54">
        <f>IF($B794=0,NA(),IF($D794="",NA(),IF(D$8="",NA(),IF(N(D$8)=0,NA(),IF(Inputs!$C$17="Rebased to 100",$D794/D$8*100,$D794)))))</f>
        <v/>
      </c>
      <c r="K794" s="54">
        <f>IF($B794=0,NA(),IF($E794="",NA(),IF(E$8="",NA(),IF(N(E$8)=0,NA(),IF(Inputs!$C$17="Rebased to 100",$E794/E$8*100,$E794)))))</f>
        <v/>
      </c>
      <c r="L794" s="54">
        <f>IF($B794=0,NA(),IF($F794="",NA(),IF(F$8="",NA(),IF(N(F$8)=0,NA(),IF(Inputs!$C$17="Rebased to 100",$F794/F$8*100,$F794)))))</f>
        <v/>
      </c>
      <c r="M794" s="54">
        <f>IF($B794=0,NA(),IF($G794="",NA(),IF(G$8="",NA(),IF(N(G$8)=0,NA(),IF(Inputs!$C$17="Rebased to 100",$G794/G$8*100,$G794)))))</f>
        <v/>
      </c>
      <c r="N794" s="54">
        <f>IF($B794=0,NA(),IF(Inputs!$C$18&lt;&gt;"Yes",NA(),IF(COUNT(I794,J794,K794,L794,M794)=0,NA(),MIN(I794,J794,K794,L794,M794))))</f>
        <v/>
      </c>
      <c r="O794" s="54">
        <f>IF($B794=0,NA(),IF(Inputs!$B$24&lt;&gt;"Yes",NA(),Inputs!$D$24*Inputs!$C$35))</f>
        <v/>
      </c>
      <c r="P794" s="54">
        <f>IF($B794=0,NA(),IF(Inputs!$B$25&lt;&gt;"Yes",NA(),Inputs!$D$25*Inputs!$C$35))</f>
        <v/>
      </c>
      <c r="Q794" s="54">
        <f>IF($B794=0,NA(),IF(Inputs!$B$26&lt;&gt;"Yes",NA(),Inputs!$D$26*Inputs!$C$35))</f>
        <v/>
      </c>
      <c r="R794" s="54">
        <f>IF($B794=0,NA(),IF(Inputs!$B$27&lt;&gt;"Yes",NA(),Inputs!$D$27*Inputs!$C$35))</f>
        <v/>
      </c>
      <c r="S794" s="54">
        <f>IF($B794=0,NA(),IF(Inputs!$B$28&lt;&gt;"Yes",NA(),Inputs!$D$28*Inputs!$C$35))</f>
        <v/>
      </c>
      <c r="T794" s="54">
        <f>IF($B794=0,NA(),IF(Inputs!$B$29&lt;&gt;"Yes",NA(),Inputs!$D$29*Inputs!$C$35))</f>
        <v/>
      </c>
      <c r="AD794">
        <f>IF($B794=0,0,IF(Inputs!$B$6="",0,COUNTIFS(Data!$A$10:$A$3209,"&gt;="&amp;$A794,Data!$A$10:$A$3209,"&lt;"&amp;$A794+1)))</f>
        <v/>
      </c>
      <c r="AE794">
        <f>IF($B794=0,0,IF(Inputs!$B$7="",0,COUNTIFS(Data!$E$10:$E$3209,"&gt;="&amp;$A794,Data!$E$10:$E$3209,"&lt;"&amp;$A794+1)))</f>
        <v/>
      </c>
      <c r="AF794">
        <f>IF($B794=0,0,IF(Inputs!$B$8="",0,COUNTIFS(Data!$I$10:$I$3209,"&gt;="&amp;$A794,Data!$I$10:$I$3209,"&lt;"&amp;$A794+1)))</f>
        <v/>
      </c>
      <c r="AG794">
        <f>IF($B794=0,0,IF(Inputs!$B$9="",0,COUNTIFS(Data!$M$10:$M$3209,"&gt;="&amp;$A794,Data!$M$10:$M$3209,"&lt;"&amp;$A794+1)))</f>
        <v/>
      </c>
      <c r="AH794">
        <f>IF($B794=0,0,IF(Inputs!$B$10="",0,COUNTIFS(Data!$Q$10:$Q$3209,"&gt;="&amp;$A794,Data!$Q$10:$Q$3209,"&lt;"&amp;$A794+1)))</f>
        <v/>
      </c>
    </row>
    <row r="795">
      <c r="A795" s="55">
        <f>MIN(Inputs!$C$15,$A794+IF(WEEKDAY($A794,2)=5,3,1))</f>
        <v/>
      </c>
      <c r="B795">
        <f>IF($A795&gt;$A794,1,0)</f>
        <v/>
      </c>
      <c r="C795" s="56">
        <f>IF($B795=0,"",IF(Inputs!$B$6="","",IF($AD795=0,C794,SUMIFS(Data!$B$10:$B$3209,Data!$A$10:$A$3209,"&gt;="&amp;$A795,Data!$A$10:$A$3209,"&lt;"&amp;$A795+1)/$AD795)))</f>
        <v/>
      </c>
      <c r="D795" s="56">
        <f>IF($B795=0,"",IF(Inputs!$B$7="","",IF($AE795=0,D794,SUMIFS(Data!$F$10:$F$3209,Data!$E$10:$E$3209,"&gt;="&amp;$A795,Data!$E$10:$E$3209,"&lt;"&amp;$A795+1)/$AE795)))</f>
        <v/>
      </c>
      <c r="E795" s="56">
        <f>IF($B795=0,"",IF(Inputs!$B$8="","",IF($AF795=0,E794,SUMIFS(Data!$J$10:$J$3209,Data!$I$10:$I$3209,"&gt;="&amp;$A795,Data!$I$10:$I$3209,"&lt;"&amp;$A795+1)/$AF795)))</f>
        <v/>
      </c>
      <c r="F795" s="56">
        <f>IF($B795=0,"",IF(Inputs!$B$9="","",IF($AG795=0,F794,SUMIFS(Data!$N$10:$N$3209,Data!$M$10:$M$3209,"&gt;="&amp;$A795,Data!$M$10:$M$3209,"&lt;"&amp;$A795+1)/$AG795)))</f>
        <v/>
      </c>
      <c r="G795" s="56">
        <f>IF($B795=0,"",IF(Inputs!$B$10="","",IF($AH795=0,G794,SUMIFS(Data!$R$10:$R$3209,Data!$Q$10:$Q$3209,"&gt;="&amp;$A795,Data!$Q$10:$Q$3209,"&lt;"&amp;$A795+1)/$AH795)))</f>
        <v/>
      </c>
      <c r="I795" s="54">
        <f>IF($B795=0,NA(),IF($C795="",NA(),IF(C$8="",NA(),IF(N(C$8)=0,NA(),IF(Inputs!$C$17="Rebased to 100",$C795/C$8*100,$C795)))))</f>
        <v/>
      </c>
      <c r="J795" s="54">
        <f>IF($B795=0,NA(),IF($D795="",NA(),IF(D$8="",NA(),IF(N(D$8)=0,NA(),IF(Inputs!$C$17="Rebased to 100",$D795/D$8*100,$D795)))))</f>
        <v/>
      </c>
      <c r="K795" s="54">
        <f>IF($B795=0,NA(),IF($E795="",NA(),IF(E$8="",NA(),IF(N(E$8)=0,NA(),IF(Inputs!$C$17="Rebased to 100",$E795/E$8*100,$E795)))))</f>
        <v/>
      </c>
      <c r="L795" s="54">
        <f>IF($B795=0,NA(),IF($F795="",NA(),IF(F$8="",NA(),IF(N(F$8)=0,NA(),IF(Inputs!$C$17="Rebased to 100",$F795/F$8*100,$F795)))))</f>
        <v/>
      </c>
      <c r="M795" s="54">
        <f>IF($B795=0,NA(),IF($G795="",NA(),IF(G$8="",NA(),IF(N(G$8)=0,NA(),IF(Inputs!$C$17="Rebased to 100",$G795/G$8*100,$G795)))))</f>
        <v/>
      </c>
      <c r="N795" s="54">
        <f>IF($B795=0,NA(),IF(Inputs!$C$18&lt;&gt;"Yes",NA(),IF(COUNT(I795,J795,K795,L795,M795)=0,NA(),MIN(I795,J795,K795,L795,M795))))</f>
        <v/>
      </c>
      <c r="O795" s="54">
        <f>IF($B795=0,NA(),IF(Inputs!$B$24&lt;&gt;"Yes",NA(),Inputs!$D$24*Inputs!$C$35))</f>
        <v/>
      </c>
      <c r="P795" s="54">
        <f>IF($B795=0,NA(),IF(Inputs!$B$25&lt;&gt;"Yes",NA(),Inputs!$D$25*Inputs!$C$35))</f>
        <v/>
      </c>
      <c r="Q795" s="54">
        <f>IF($B795=0,NA(),IF(Inputs!$B$26&lt;&gt;"Yes",NA(),Inputs!$D$26*Inputs!$C$35))</f>
        <v/>
      </c>
      <c r="R795" s="54">
        <f>IF($B795=0,NA(),IF(Inputs!$B$27&lt;&gt;"Yes",NA(),Inputs!$D$27*Inputs!$C$35))</f>
        <v/>
      </c>
      <c r="S795" s="54">
        <f>IF($B795=0,NA(),IF(Inputs!$B$28&lt;&gt;"Yes",NA(),Inputs!$D$28*Inputs!$C$35))</f>
        <v/>
      </c>
      <c r="T795" s="54">
        <f>IF($B795=0,NA(),IF(Inputs!$B$29&lt;&gt;"Yes",NA(),Inputs!$D$29*Inputs!$C$35))</f>
        <v/>
      </c>
      <c r="AD795">
        <f>IF($B795=0,0,IF(Inputs!$B$6="",0,COUNTIFS(Data!$A$10:$A$3209,"&gt;="&amp;$A795,Data!$A$10:$A$3209,"&lt;"&amp;$A795+1)))</f>
        <v/>
      </c>
      <c r="AE795">
        <f>IF($B795=0,0,IF(Inputs!$B$7="",0,COUNTIFS(Data!$E$10:$E$3209,"&gt;="&amp;$A795,Data!$E$10:$E$3209,"&lt;"&amp;$A795+1)))</f>
        <v/>
      </c>
      <c r="AF795">
        <f>IF($B795=0,0,IF(Inputs!$B$8="",0,COUNTIFS(Data!$I$10:$I$3209,"&gt;="&amp;$A795,Data!$I$10:$I$3209,"&lt;"&amp;$A795+1)))</f>
        <v/>
      </c>
      <c r="AG795">
        <f>IF($B795=0,0,IF(Inputs!$B$9="",0,COUNTIFS(Data!$M$10:$M$3209,"&gt;="&amp;$A795,Data!$M$10:$M$3209,"&lt;"&amp;$A795+1)))</f>
        <v/>
      </c>
      <c r="AH795">
        <f>IF($B795=0,0,IF(Inputs!$B$10="",0,COUNTIFS(Data!$Q$10:$Q$3209,"&gt;="&amp;$A795,Data!$Q$10:$Q$3209,"&lt;"&amp;$A795+1)))</f>
        <v/>
      </c>
    </row>
    <row r="796">
      <c r="A796" s="55">
        <f>MIN(Inputs!$C$15,$A795+IF(WEEKDAY($A795,2)=5,3,1))</f>
        <v/>
      </c>
      <c r="B796">
        <f>IF($A796&gt;$A795,1,0)</f>
        <v/>
      </c>
      <c r="C796" s="56">
        <f>IF($B796=0,"",IF(Inputs!$B$6="","",IF($AD796=0,C795,SUMIFS(Data!$B$10:$B$3209,Data!$A$10:$A$3209,"&gt;="&amp;$A796,Data!$A$10:$A$3209,"&lt;"&amp;$A796+1)/$AD796)))</f>
        <v/>
      </c>
      <c r="D796" s="56">
        <f>IF($B796=0,"",IF(Inputs!$B$7="","",IF($AE796=0,D795,SUMIFS(Data!$F$10:$F$3209,Data!$E$10:$E$3209,"&gt;="&amp;$A796,Data!$E$10:$E$3209,"&lt;"&amp;$A796+1)/$AE796)))</f>
        <v/>
      </c>
      <c r="E796" s="56">
        <f>IF($B796=0,"",IF(Inputs!$B$8="","",IF($AF796=0,E795,SUMIFS(Data!$J$10:$J$3209,Data!$I$10:$I$3209,"&gt;="&amp;$A796,Data!$I$10:$I$3209,"&lt;"&amp;$A796+1)/$AF796)))</f>
        <v/>
      </c>
      <c r="F796" s="56">
        <f>IF($B796=0,"",IF(Inputs!$B$9="","",IF($AG796=0,F795,SUMIFS(Data!$N$10:$N$3209,Data!$M$10:$M$3209,"&gt;="&amp;$A796,Data!$M$10:$M$3209,"&lt;"&amp;$A796+1)/$AG796)))</f>
        <v/>
      </c>
      <c r="G796" s="56">
        <f>IF($B796=0,"",IF(Inputs!$B$10="","",IF($AH796=0,G795,SUMIFS(Data!$R$10:$R$3209,Data!$Q$10:$Q$3209,"&gt;="&amp;$A796,Data!$Q$10:$Q$3209,"&lt;"&amp;$A796+1)/$AH796)))</f>
        <v/>
      </c>
      <c r="I796" s="54">
        <f>IF($B796=0,NA(),IF($C796="",NA(),IF(C$8="",NA(),IF(N(C$8)=0,NA(),IF(Inputs!$C$17="Rebased to 100",$C796/C$8*100,$C796)))))</f>
        <v/>
      </c>
      <c r="J796" s="54">
        <f>IF($B796=0,NA(),IF($D796="",NA(),IF(D$8="",NA(),IF(N(D$8)=0,NA(),IF(Inputs!$C$17="Rebased to 100",$D796/D$8*100,$D796)))))</f>
        <v/>
      </c>
      <c r="K796" s="54">
        <f>IF($B796=0,NA(),IF($E796="",NA(),IF(E$8="",NA(),IF(N(E$8)=0,NA(),IF(Inputs!$C$17="Rebased to 100",$E796/E$8*100,$E796)))))</f>
        <v/>
      </c>
      <c r="L796" s="54">
        <f>IF($B796=0,NA(),IF($F796="",NA(),IF(F$8="",NA(),IF(N(F$8)=0,NA(),IF(Inputs!$C$17="Rebased to 100",$F796/F$8*100,$F796)))))</f>
        <v/>
      </c>
      <c r="M796" s="54">
        <f>IF($B796=0,NA(),IF($G796="",NA(),IF(G$8="",NA(),IF(N(G$8)=0,NA(),IF(Inputs!$C$17="Rebased to 100",$G796/G$8*100,$G796)))))</f>
        <v/>
      </c>
      <c r="N796" s="54">
        <f>IF($B796=0,NA(),IF(Inputs!$C$18&lt;&gt;"Yes",NA(),IF(COUNT(I796,J796,K796,L796,M796)=0,NA(),MIN(I796,J796,K796,L796,M796))))</f>
        <v/>
      </c>
      <c r="O796" s="54">
        <f>IF($B796=0,NA(),IF(Inputs!$B$24&lt;&gt;"Yes",NA(),Inputs!$D$24*Inputs!$C$35))</f>
        <v/>
      </c>
      <c r="P796" s="54">
        <f>IF($B796=0,NA(),IF(Inputs!$B$25&lt;&gt;"Yes",NA(),Inputs!$D$25*Inputs!$C$35))</f>
        <v/>
      </c>
      <c r="Q796" s="54">
        <f>IF($B796=0,NA(),IF(Inputs!$B$26&lt;&gt;"Yes",NA(),Inputs!$D$26*Inputs!$C$35))</f>
        <v/>
      </c>
      <c r="R796" s="54">
        <f>IF($B796=0,NA(),IF(Inputs!$B$27&lt;&gt;"Yes",NA(),Inputs!$D$27*Inputs!$C$35))</f>
        <v/>
      </c>
      <c r="S796" s="54">
        <f>IF($B796=0,NA(),IF(Inputs!$B$28&lt;&gt;"Yes",NA(),Inputs!$D$28*Inputs!$C$35))</f>
        <v/>
      </c>
      <c r="T796" s="54">
        <f>IF($B796=0,NA(),IF(Inputs!$B$29&lt;&gt;"Yes",NA(),Inputs!$D$29*Inputs!$C$35))</f>
        <v/>
      </c>
      <c r="AD796">
        <f>IF($B796=0,0,IF(Inputs!$B$6="",0,COUNTIFS(Data!$A$10:$A$3209,"&gt;="&amp;$A796,Data!$A$10:$A$3209,"&lt;"&amp;$A796+1)))</f>
        <v/>
      </c>
      <c r="AE796">
        <f>IF($B796=0,0,IF(Inputs!$B$7="",0,COUNTIFS(Data!$E$10:$E$3209,"&gt;="&amp;$A796,Data!$E$10:$E$3209,"&lt;"&amp;$A796+1)))</f>
        <v/>
      </c>
      <c r="AF796">
        <f>IF($B796=0,0,IF(Inputs!$B$8="",0,COUNTIFS(Data!$I$10:$I$3209,"&gt;="&amp;$A796,Data!$I$10:$I$3209,"&lt;"&amp;$A796+1)))</f>
        <v/>
      </c>
      <c r="AG796">
        <f>IF($B796=0,0,IF(Inputs!$B$9="",0,COUNTIFS(Data!$M$10:$M$3209,"&gt;="&amp;$A796,Data!$M$10:$M$3209,"&lt;"&amp;$A796+1)))</f>
        <v/>
      </c>
      <c r="AH796">
        <f>IF($B796=0,0,IF(Inputs!$B$10="",0,COUNTIFS(Data!$Q$10:$Q$3209,"&gt;="&amp;$A796,Data!$Q$10:$Q$3209,"&lt;"&amp;$A796+1)))</f>
        <v/>
      </c>
    </row>
    <row r="797">
      <c r="A797" s="55">
        <f>MIN(Inputs!$C$15,$A796+IF(WEEKDAY($A796,2)=5,3,1))</f>
        <v/>
      </c>
      <c r="B797">
        <f>IF($A797&gt;$A796,1,0)</f>
        <v/>
      </c>
      <c r="C797" s="56">
        <f>IF($B797=0,"",IF(Inputs!$B$6="","",IF($AD797=0,C796,SUMIFS(Data!$B$10:$B$3209,Data!$A$10:$A$3209,"&gt;="&amp;$A797,Data!$A$10:$A$3209,"&lt;"&amp;$A797+1)/$AD797)))</f>
        <v/>
      </c>
      <c r="D797" s="56">
        <f>IF($B797=0,"",IF(Inputs!$B$7="","",IF($AE797=0,D796,SUMIFS(Data!$F$10:$F$3209,Data!$E$10:$E$3209,"&gt;="&amp;$A797,Data!$E$10:$E$3209,"&lt;"&amp;$A797+1)/$AE797)))</f>
        <v/>
      </c>
      <c r="E797" s="56">
        <f>IF($B797=0,"",IF(Inputs!$B$8="","",IF($AF797=0,E796,SUMIFS(Data!$J$10:$J$3209,Data!$I$10:$I$3209,"&gt;="&amp;$A797,Data!$I$10:$I$3209,"&lt;"&amp;$A797+1)/$AF797)))</f>
        <v/>
      </c>
      <c r="F797" s="56">
        <f>IF($B797=0,"",IF(Inputs!$B$9="","",IF($AG797=0,F796,SUMIFS(Data!$N$10:$N$3209,Data!$M$10:$M$3209,"&gt;="&amp;$A797,Data!$M$10:$M$3209,"&lt;"&amp;$A797+1)/$AG797)))</f>
        <v/>
      </c>
      <c r="G797" s="56">
        <f>IF($B797=0,"",IF(Inputs!$B$10="","",IF($AH797=0,G796,SUMIFS(Data!$R$10:$R$3209,Data!$Q$10:$Q$3209,"&gt;="&amp;$A797,Data!$Q$10:$Q$3209,"&lt;"&amp;$A797+1)/$AH797)))</f>
        <v/>
      </c>
      <c r="I797" s="54">
        <f>IF($B797=0,NA(),IF($C797="",NA(),IF(C$8="",NA(),IF(N(C$8)=0,NA(),IF(Inputs!$C$17="Rebased to 100",$C797/C$8*100,$C797)))))</f>
        <v/>
      </c>
      <c r="J797" s="54">
        <f>IF($B797=0,NA(),IF($D797="",NA(),IF(D$8="",NA(),IF(N(D$8)=0,NA(),IF(Inputs!$C$17="Rebased to 100",$D797/D$8*100,$D797)))))</f>
        <v/>
      </c>
      <c r="K797" s="54">
        <f>IF($B797=0,NA(),IF($E797="",NA(),IF(E$8="",NA(),IF(N(E$8)=0,NA(),IF(Inputs!$C$17="Rebased to 100",$E797/E$8*100,$E797)))))</f>
        <v/>
      </c>
      <c r="L797" s="54">
        <f>IF($B797=0,NA(),IF($F797="",NA(),IF(F$8="",NA(),IF(N(F$8)=0,NA(),IF(Inputs!$C$17="Rebased to 100",$F797/F$8*100,$F797)))))</f>
        <v/>
      </c>
      <c r="M797" s="54">
        <f>IF($B797=0,NA(),IF($G797="",NA(),IF(G$8="",NA(),IF(N(G$8)=0,NA(),IF(Inputs!$C$17="Rebased to 100",$G797/G$8*100,$G797)))))</f>
        <v/>
      </c>
      <c r="N797" s="54">
        <f>IF($B797=0,NA(),IF(Inputs!$C$18&lt;&gt;"Yes",NA(),IF(COUNT(I797,J797,K797,L797,M797)=0,NA(),MIN(I797,J797,K797,L797,M797))))</f>
        <v/>
      </c>
      <c r="O797" s="54">
        <f>IF($B797=0,NA(),IF(Inputs!$B$24&lt;&gt;"Yes",NA(),Inputs!$D$24*Inputs!$C$35))</f>
        <v/>
      </c>
      <c r="P797" s="54">
        <f>IF($B797=0,NA(),IF(Inputs!$B$25&lt;&gt;"Yes",NA(),Inputs!$D$25*Inputs!$C$35))</f>
        <v/>
      </c>
      <c r="Q797" s="54">
        <f>IF($B797=0,NA(),IF(Inputs!$B$26&lt;&gt;"Yes",NA(),Inputs!$D$26*Inputs!$C$35))</f>
        <v/>
      </c>
      <c r="R797" s="54">
        <f>IF($B797=0,NA(),IF(Inputs!$B$27&lt;&gt;"Yes",NA(),Inputs!$D$27*Inputs!$C$35))</f>
        <v/>
      </c>
      <c r="S797" s="54">
        <f>IF($B797=0,NA(),IF(Inputs!$B$28&lt;&gt;"Yes",NA(),Inputs!$D$28*Inputs!$C$35))</f>
        <v/>
      </c>
      <c r="T797" s="54">
        <f>IF($B797=0,NA(),IF(Inputs!$B$29&lt;&gt;"Yes",NA(),Inputs!$D$29*Inputs!$C$35))</f>
        <v/>
      </c>
      <c r="AD797">
        <f>IF($B797=0,0,IF(Inputs!$B$6="",0,COUNTIFS(Data!$A$10:$A$3209,"&gt;="&amp;$A797,Data!$A$10:$A$3209,"&lt;"&amp;$A797+1)))</f>
        <v/>
      </c>
      <c r="AE797">
        <f>IF($B797=0,0,IF(Inputs!$B$7="",0,COUNTIFS(Data!$E$10:$E$3209,"&gt;="&amp;$A797,Data!$E$10:$E$3209,"&lt;"&amp;$A797+1)))</f>
        <v/>
      </c>
      <c r="AF797">
        <f>IF($B797=0,0,IF(Inputs!$B$8="",0,COUNTIFS(Data!$I$10:$I$3209,"&gt;="&amp;$A797,Data!$I$10:$I$3209,"&lt;"&amp;$A797+1)))</f>
        <v/>
      </c>
      <c r="AG797">
        <f>IF($B797=0,0,IF(Inputs!$B$9="",0,COUNTIFS(Data!$M$10:$M$3209,"&gt;="&amp;$A797,Data!$M$10:$M$3209,"&lt;"&amp;$A797+1)))</f>
        <v/>
      </c>
      <c r="AH797">
        <f>IF($B797=0,0,IF(Inputs!$B$10="",0,COUNTIFS(Data!$Q$10:$Q$3209,"&gt;="&amp;$A797,Data!$Q$10:$Q$3209,"&lt;"&amp;$A797+1)))</f>
        <v/>
      </c>
    </row>
    <row r="798">
      <c r="A798" s="55">
        <f>MIN(Inputs!$C$15,$A797+IF(WEEKDAY($A797,2)=5,3,1))</f>
        <v/>
      </c>
      <c r="B798">
        <f>IF($A798&gt;$A797,1,0)</f>
        <v/>
      </c>
      <c r="C798" s="56">
        <f>IF($B798=0,"",IF(Inputs!$B$6="","",IF($AD798=0,C797,SUMIFS(Data!$B$10:$B$3209,Data!$A$10:$A$3209,"&gt;="&amp;$A798,Data!$A$10:$A$3209,"&lt;"&amp;$A798+1)/$AD798)))</f>
        <v/>
      </c>
      <c r="D798" s="56">
        <f>IF($B798=0,"",IF(Inputs!$B$7="","",IF($AE798=0,D797,SUMIFS(Data!$F$10:$F$3209,Data!$E$10:$E$3209,"&gt;="&amp;$A798,Data!$E$10:$E$3209,"&lt;"&amp;$A798+1)/$AE798)))</f>
        <v/>
      </c>
      <c r="E798" s="56">
        <f>IF($B798=0,"",IF(Inputs!$B$8="","",IF($AF798=0,E797,SUMIFS(Data!$J$10:$J$3209,Data!$I$10:$I$3209,"&gt;="&amp;$A798,Data!$I$10:$I$3209,"&lt;"&amp;$A798+1)/$AF798)))</f>
        <v/>
      </c>
      <c r="F798" s="56">
        <f>IF($B798=0,"",IF(Inputs!$B$9="","",IF($AG798=0,F797,SUMIFS(Data!$N$10:$N$3209,Data!$M$10:$M$3209,"&gt;="&amp;$A798,Data!$M$10:$M$3209,"&lt;"&amp;$A798+1)/$AG798)))</f>
        <v/>
      </c>
      <c r="G798" s="56">
        <f>IF($B798=0,"",IF(Inputs!$B$10="","",IF($AH798=0,G797,SUMIFS(Data!$R$10:$R$3209,Data!$Q$10:$Q$3209,"&gt;="&amp;$A798,Data!$Q$10:$Q$3209,"&lt;"&amp;$A798+1)/$AH798)))</f>
        <v/>
      </c>
      <c r="I798" s="54">
        <f>IF($B798=0,NA(),IF($C798="",NA(),IF(C$8="",NA(),IF(N(C$8)=0,NA(),IF(Inputs!$C$17="Rebased to 100",$C798/C$8*100,$C798)))))</f>
        <v/>
      </c>
      <c r="J798" s="54">
        <f>IF($B798=0,NA(),IF($D798="",NA(),IF(D$8="",NA(),IF(N(D$8)=0,NA(),IF(Inputs!$C$17="Rebased to 100",$D798/D$8*100,$D798)))))</f>
        <v/>
      </c>
      <c r="K798" s="54">
        <f>IF($B798=0,NA(),IF($E798="",NA(),IF(E$8="",NA(),IF(N(E$8)=0,NA(),IF(Inputs!$C$17="Rebased to 100",$E798/E$8*100,$E798)))))</f>
        <v/>
      </c>
      <c r="L798" s="54">
        <f>IF($B798=0,NA(),IF($F798="",NA(),IF(F$8="",NA(),IF(N(F$8)=0,NA(),IF(Inputs!$C$17="Rebased to 100",$F798/F$8*100,$F798)))))</f>
        <v/>
      </c>
      <c r="M798" s="54">
        <f>IF($B798=0,NA(),IF($G798="",NA(),IF(G$8="",NA(),IF(N(G$8)=0,NA(),IF(Inputs!$C$17="Rebased to 100",$G798/G$8*100,$G798)))))</f>
        <v/>
      </c>
      <c r="N798" s="54">
        <f>IF($B798=0,NA(),IF(Inputs!$C$18&lt;&gt;"Yes",NA(),IF(COUNT(I798,J798,K798,L798,M798)=0,NA(),MIN(I798,J798,K798,L798,M798))))</f>
        <v/>
      </c>
      <c r="O798" s="54">
        <f>IF($B798=0,NA(),IF(Inputs!$B$24&lt;&gt;"Yes",NA(),Inputs!$D$24*Inputs!$C$35))</f>
        <v/>
      </c>
      <c r="P798" s="54">
        <f>IF($B798=0,NA(),IF(Inputs!$B$25&lt;&gt;"Yes",NA(),Inputs!$D$25*Inputs!$C$35))</f>
        <v/>
      </c>
      <c r="Q798" s="54">
        <f>IF($B798=0,NA(),IF(Inputs!$B$26&lt;&gt;"Yes",NA(),Inputs!$D$26*Inputs!$C$35))</f>
        <v/>
      </c>
      <c r="R798" s="54">
        <f>IF($B798=0,NA(),IF(Inputs!$B$27&lt;&gt;"Yes",NA(),Inputs!$D$27*Inputs!$C$35))</f>
        <v/>
      </c>
      <c r="S798" s="54">
        <f>IF($B798=0,NA(),IF(Inputs!$B$28&lt;&gt;"Yes",NA(),Inputs!$D$28*Inputs!$C$35))</f>
        <v/>
      </c>
      <c r="T798" s="54">
        <f>IF($B798=0,NA(),IF(Inputs!$B$29&lt;&gt;"Yes",NA(),Inputs!$D$29*Inputs!$C$35))</f>
        <v/>
      </c>
      <c r="AD798">
        <f>IF($B798=0,0,IF(Inputs!$B$6="",0,COUNTIFS(Data!$A$10:$A$3209,"&gt;="&amp;$A798,Data!$A$10:$A$3209,"&lt;"&amp;$A798+1)))</f>
        <v/>
      </c>
      <c r="AE798">
        <f>IF($B798=0,0,IF(Inputs!$B$7="",0,COUNTIFS(Data!$E$10:$E$3209,"&gt;="&amp;$A798,Data!$E$10:$E$3209,"&lt;"&amp;$A798+1)))</f>
        <v/>
      </c>
      <c r="AF798">
        <f>IF($B798=0,0,IF(Inputs!$B$8="",0,COUNTIFS(Data!$I$10:$I$3209,"&gt;="&amp;$A798,Data!$I$10:$I$3209,"&lt;"&amp;$A798+1)))</f>
        <v/>
      </c>
      <c r="AG798">
        <f>IF($B798=0,0,IF(Inputs!$B$9="",0,COUNTIFS(Data!$M$10:$M$3209,"&gt;="&amp;$A798,Data!$M$10:$M$3209,"&lt;"&amp;$A798+1)))</f>
        <v/>
      </c>
      <c r="AH798">
        <f>IF($B798=0,0,IF(Inputs!$B$10="",0,COUNTIFS(Data!$Q$10:$Q$3209,"&gt;="&amp;$A798,Data!$Q$10:$Q$3209,"&lt;"&amp;$A798+1)))</f>
        <v/>
      </c>
    </row>
    <row r="799">
      <c r="A799" s="55">
        <f>MIN(Inputs!$C$15,$A798+IF(WEEKDAY($A798,2)=5,3,1))</f>
        <v/>
      </c>
      <c r="B799">
        <f>IF($A799&gt;$A798,1,0)</f>
        <v/>
      </c>
      <c r="C799" s="56">
        <f>IF($B799=0,"",IF(Inputs!$B$6="","",IF($AD799=0,C798,SUMIFS(Data!$B$10:$B$3209,Data!$A$10:$A$3209,"&gt;="&amp;$A799,Data!$A$10:$A$3209,"&lt;"&amp;$A799+1)/$AD799)))</f>
        <v/>
      </c>
      <c r="D799" s="56">
        <f>IF($B799=0,"",IF(Inputs!$B$7="","",IF($AE799=0,D798,SUMIFS(Data!$F$10:$F$3209,Data!$E$10:$E$3209,"&gt;="&amp;$A799,Data!$E$10:$E$3209,"&lt;"&amp;$A799+1)/$AE799)))</f>
        <v/>
      </c>
      <c r="E799" s="56">
        <f>IF($B799=0,"",IF(Inputs!$B$8="","",IF($AF799=0,E798,SUMIFS(Data!$J$10:$J$3209,Data!$I$10:$I$3209,"&gt;="&amp;$A799,Data!$I$10:$I$3209,"&lt;"&amp;$A799+1)/$AF799)))</f>
        <v/>
      </c>
      <c r="F799" s="56">
        <f>IF($B799=0,"",IF(Inputs!$B$9="","",IF($AG799=0,F798,SUMIFS(Data!$N$10:$N$3209,Data!$M$10:$M$3209,"&gt;="&amp;$A799,Data!$M$10:$M$3209,"&lt;"&amp;$A799+1)/$AG799)))</f>
        <v/>
      </c>
      <c r="G799" s="56">
        <f>IF($B799=0,"",IF(Inputs!$B$10="","",IF($AH799=0,G798,SUMIFS(Data!$R$10:$R$3209,Data!$Q$10:$Q$3209,"&gt;="&amp;$A799,Data!$Q$10:$Q$3209,"&lt;"&amp;$A799+1)/$AH799)))</f>
        <v/>
      </c>
      <c r="I799" s="54">
        <f>IF($B799=0,NA(),IF($C799="",NA(),IF(C$8="",NA(),IF(N(C$8)=0,NA(),IF(Inputs!$C$17="Rebased to 100",$C799/C$8*100,$C799)))))</f>
        <v/>
      </c>
      <c r="J799" s="54">
        <f>IF($B799=0,NA(),IF($D799="",NA(),IF(D$8="",NA(),IF(N(D$8)=0,NA(),IF(Inputs!$C$17="Rebased to 100",$D799/D$8*100,$D799)))))</f>
        <v/>
      </c>
      <c r="K799" s="54">
        <f>IF($B799=0,NA(),IF($E799="",NA(),IF(E$8="",NA(),IF(N(E$8)=0,NA(),IF(Inputs!$C$17="Rebased to 100",$E799/E$8*100,$E799)))))</f>
        <v/>
      </c>
      <c r="L799" s="54">
        <f>IF($B799=0,NA(),IF($F799="",NA(),IF(F$8="",NA(),IF(N(F$8)=0,NA(),IF(Inputs!$C$17="Rebased to 100",$F799/F$8*100,$F799)))))</f>
        <v/>
      </c>
      <c r="M799" s="54">
        <f>IF($B799=0,NA(),IF($G799="",NA(),IF(G$8="",NA(),IF(N(G$8)=0,NA(),IF(Inputs!$C$17="Rebased to 100",$G799/G$8*100,$G799)))))</f>
        <v/>
      </c>
      <c r="N799" s="54">
        <f>IF($B799=0,NA(),IF(Inputs!$C$18&lt;&gt;"Yes",NA(),IF(COUNT(I799,J799,K799,L799,M799)=0,NA(),MIN(I799,J799,K799,L799,M799))))</f>
        <v/>
      </c>
      <c r="O799" s="54">
        <f>IF($B799=0,NA(),IF(Inputs!$B$24&lt;&gt;"Yes",NA(),Inputs!$D$24*Inputs!$C$35))</f>
        <v/>
      </c>
      <c r="P799" s="54">
        <f>IF($B799=0,NA(),IF(Inputs!$B$25&lt;&gt;"Yes",NA(),Inputs!$D$25*Inputs!$C$35))</f>
        <v/>
      </c>
      <c r="Q799" s="54">
        <f>IF($B799=0,NA(),IF(Inputs!$B$26&lt;&gt;"Yes",NA(),Inputs!$D$26*Inputs!$C$35))</f>
        <v/>
      </c>
      <c r="R799" s="54">
        <f>IF($B799=0,NA(),IF(Inputs!$B$27&lt;&gt;"Yes",NA(),Inputs!$D$27*Inputs!$C$35))</f>
        <v/>
      </c>
      <c r="S799" s="54">
        <f>IF($B799=0,NA(),IF(Inputs!$B$28&lt;&gt;"Yes",NA(),Inputs!$D$28*Inputs!$C$35))</f>
        <v/>
      </c>
      <c r="T799" s="54">
        <f>IF($B799=0,NA(),IF(Inputs!$B$29&lt;&gt;"Yes",NA(),Inputs!$D$29*Inputs!$C$35))</f>
        <v/>
      </c>
      <c r="AD799">
        <f>IF($B799=0,0,IF(Inputs!$B$6="",0,COUNTIFS(Data!$A$10:$A$3209,"&gt;="&amp;$A799,Data!$A$10:$A$3209,"&lt;"&amp;$A799+1)))</f>
        <v/>
      </c>
      <c r="AE799">
        <f>IF($B799=0,0,IF(Inputs!$B$7="",0,COUNTIFS(Data!$E$10:$E$3209,"&gt;="&amp;$A799,Data!$E$10:$E$3209,"&lt;"&amp;$A799+1)))</f>
        <v/>
      </c>
      <c r="AF799">
        <f>IF($B799=0,0,IF(Inputs!$B$8="",0,COUNTIFS(Data!$I$10:$I$3209,"&gt;="&amp;$A799,Data!$I$10:$I$3209,"&lt;"&amp;$A799+1)))</f>
        <v/>
      </c>
      <c r="AG799">
        <f>IF($B799=0,0,IF(Inputs!$B$9="",0,COUNTIFS(Data!$M$10:$M$3209,"&gt;="&amp;$A799,Data!$M$10:$M$3209,"&lt;"&amp;$A799+1)))</f>
        <v/>
      </c>
      <c r="AH799">
        <f>IF($B799=0,0,IF(Inputs!$B$10="",0,COUNTIFS(Data!$Q$10:$Q$3209,"&gt;="&amp;$A799,Data!$Q$10:$Q$3209,"&lt;"&amp;$A799+1)))</f>
        <v/>
      </c>
    </row>
    <row r="800">
      <c r="A800" s="55">
        <f>MIN(Inputs!$C$15,$A799+IF(WEEKDAY($A799,2)=5,3,1))</f>
        <v/>
      </c>
      <c r="B800">
        <f>IF($A800&gt;$A799,1,0)</f>
        <v/>
      </c>
      <c r="C800" s="56">
        <f>IF($B800=0,"",IF(Inputs!$B$6="","",IF($AD800=0,C799,SUMIFS(Data!$B$10:$B$3209,Data!$A$10:$A$3209,"&gt;="&amp;$A800,Data!$A$10:$A$3209,"&lt;"&amp;$A800+1)/$AD800)))</f>
        <v/>
      </c>
      <c r="D800" s="56">
        <f>IF($B800=0,"",IF(Inputs!$B$7="","",IF($AE800=0,D799,SUMIFS(Data!$F$10:$F$3209,Data!$E$10:$E$3209,"&gt;="&amp;$A800,Data!$E$10:$E$3209,"&lt;"&amp;$A800+1)/$AE800)))</f>
        <v/>
      </c>
      <c r="E800" s="56">
        <f>IF($B800=0,"",IF(Inputs!$B$8="","",IF($AF800=0,E799,SUMIFS(Data!$J$10:$J$3209,Data!$I$10:$I$3209,"&gt;="&amp;$A800,Data!$I$10:$I$3209,"&lt;"&amp;$A800+1)/$AF800)))</f>
        <v/>
      </c>
      <c r="F800" s="56">
        <f>IF($B800=0,"",IF(Inputs!$B$9="","",IF($AG800=0,F799,SUMIFS(Data!$N$10:$N$3209,Data!$M$10:$M$3209,"&gt;="&amp;$A800,Data!$M$10:$M$3209,"&lt;"&amp;$A800+1)/$AG800)))</f>
        <v/>
      </c>
      <c r="G800" s="56">
        <f>IF($B800=0,"",IF(Inputs!$B$10="","",IF($AH800=0,G799,SUMIFS(Data!$R$10:$R$3209,Data!$Q$10:$Q$3209,"&gt;="&amp;$A800,Data!$Q$10:$Q$3209,"&lt;"&amp;$A800+1)/$AH800)))</f>
        <v/>
      </c>
      <c r="I800" s="54">
        <f>IF($B800=0,NA(),IF($C800="",NA(),IF(C$8="",NA(),IF(N(C$8)=0,NA(),IF(Inputs!$C$17="Rebased to 100",$C800/C$8*100,$C800)))))</f>
        <v/>
      </c>
      <c r="J800" s="54">
        <f>IF($B800=0,NA(),IF($D800="",NA(),IF(D$8="",NA(),IF(N(D$8)=0,NA(),IF(Inputs!$C$17="Rebased to 100",$D800/D$8*100,$D800)))))</f>
        <v/>
      </c>
      <c r="K800" s="54">
        <f>IF($B800=0,NA(),IF($E800="",NA(),IF(E$8="",NA(),IF(N(E$8)=0,NA(),IF(Inputs!$C$17="Rebased to 100",$E800/E$8*100,$E800)))))</f>
        <v/>
      </c>
      <c r="L800" s="54">
        <f>IF($B800=0,NA(),IF($F800="",NA(),IF(F$8="",NA(),IF(N(F$8)=0,NA(),IF(Inputs!$C$17="Rebased to 100",$F800/F$8*100,$F800)))))</f>
        <v/>
      </c>
      <c r="M800" s="54">
        <f>IF($B800=0,NA(),IF($G800="",NA(),IF(G$8="",NA(),IF(N(G$8)=0,NA(),IF(Inputs!$C$17="Rebased to 100",$G800/G$8*100,$G800)))))</f>
        <v/>
      </c>
      <c r="N800" s="54">
        <f>IF($B800=0,NA(),IF(Inputs!$C$18&lt;&gt;"Yes",NA(),IF(COUNT(I800,J800,K800,L800,M800)=0,NA(),MIN(I800,J800,K800,L800,M800))))</f>
        <v/>
      </c>
      <c r="O800" s="54">
        <f>IF($B800=0,NA(),IF(Inputs!$B$24&lt;&gt;"Yes",NA(),Inputs!$D$24*Inputs!$C$35))</f>
        <v/>
      </c>
      <c r="P800" s="54">
        <f>IF($B800=0,NA(),IF(Inputs!$B$25&lt;&gt;"Yes",NA(),Inputs!$D$25*Inputs!$C$35))</f>
        <v/>
      </c>
      <c r="Q800" s="54">
        <f>IF($B800=0,NA(),IF(Inputs!$B$26&lt;&gt;"Yes",NA(),Inputs!$D$26*Inputs!$C$35))</f>
        <v/>
      </c>
      <c r="R800" s="54">
        <f>IF($B800=0,NA(),IF(Inputs!$B$27&lt;&gt;"Yes",NA(),Inputs!$D$27*Inputs!$C$35))</f>
        <v/>
      </c>
      <c r="S800" s="54">
        <f>IF($B800=0,NA(),IF(Inputs!$B$28&lt;&gt;"Yes",NA(),Inputs!$D$28*Inputs!$C$35))</f>
        <v/>
      </c>
      <c r="T800" s="54">
        <f>IF($B800=0,NA(),IF(Inputs!$B$29&lt;&gt;"Yes",NA(),Inputs!$D$29*Inputs!$C$35))</f>
        <v/>
      </c>
      <c r="AD800">
        <f>IF($B800=0,0,IF(Inputs!$B$6="",0,COUNTIFS(Data!$A$10:$A$3209,"&gt;="&amp;$A800,Data!$A$10:$A$3209,"&lt;"&amp;$A800+1)))</f>
        <v/>
      </c>
      <c r="AE800">
        <f>IF($B800=0,0,IF(Inputs!$B$7="",0,COUNTIFS(Data!$E$10:$E$3209,"&gt;="&amp;$A800,Data!$E$10:$E$3209,"&lt;"&amp;$A800+1)))</f>
        <v/>
      </c>
      <c r="AF800">
        <f>IF($B800=0,0,IF(Inputs!$B$8="",0,COUNTIFS(Data!$I$10:$I$3209,"&gt;="&amp;$A800,Data!$I$10:$I$3209,"&lt;"&amp;$A800+1)))</f>
        <v/>
      </c>
      <c r="AG800">
        <f>IF($B800=0,0,IF(Inputs!$B$9="",0,COUNTIFS(Data!$M$10:$M$3209,"&gt;="&amp;$A800,Data!$M$10:$M$3209,"&lt;"&amp;$A800+1)))</f>
        <v/>
      </c>
      <c r="AH800">
        <f>IF($B800=0,0,IF(Inputs!$B$10="",0,COUNTIFS(Data!$Q$10:$Q$3209,"&gt;="&amp;$A800,Data!$Q$10:$Q$3209,"&lt;"&amp;$A800+1)))</f>
        <v/>
      </c>
    </row>
    <row r="801">
      <c r="A801" s="55">
        <f>MIN(Inputs!$C$15,$A800+IF(WEEKDAY($A800,2)=5,3,1))</f>
        <v/>
      </c>
      <c r="B801">
        <f>IF($A801&gt;$A800,1,0)</f>
        <v/>
      </c>
      <c r="C801" s="56">
        <f>IF($B801=0,"",IF(Inputs!$B$6="","",IF($AD801=0,C800,SUMIFS(Data!$B$10:$B$3209,Data!$A$10:$A$3209,"&gt;="&amp;$A801,Data!$A$10:$A$3209,"&lt;"&amp;$A801+1)/$AD801)))</f>
        <v/>
      </c>
      <c r="D801" s="56">
        <f>IF($B801=0,"",IF(Inputs!$B$7="","",IF($AE801=0,D800,SUMIFS(Data!$F$10:$F$3209,Data!$E$10:$E$3209,"&gt;="&amp;$A801,Data!$E$10:$E$3209,"&lt;"&amp;$A801+1)/$AE801)))</f>
        <v/>
      </c>
      <c r="E801" s="56">
        <f>IF($B801=0,"",IF(Inputs!$B$8="","",IF($AF801=0,E800,SUMIFS(Data!$J$10:$J$3209,Data!$I$10:$I$3209,"&gt;="&amp;$A801,Data!$I$10:$I$3209,"&lt;"&amp;$A801+1)/$AF801)))</f>
        <v/>
      </c>
      <c r="F801" s="56">
        <f>IF($B801=0,"",IF(Inputs!$B$9="","",IF($AG801=0,F800,SUMIFS(Data!$N$10:$N$3209,Data!$M$10:$M$3209,"&gt;="&amp;$A801,Data!$M$10:$M$3209,"&lt;"&amp;$A801+1)/$AG801)))</f>
        <v/>
      </c>
      <c r="G801" s="56">
        <f>IF($B801=0,"",IF(Inputs!$B$10="","",IF($AH801=0,G800,SUMIFS(Data!$R$10:$R$3209,Data!$Q$10:$Q$3209,"&gt;="&amp;$A801,Data!$Q$10:$Q$3209,"&lt;"&amp;$A801+1)/$AH801)))</f>
        <v/>
      </c>
      <c r="I801" s="54">
        <f>IF($B801=0,NA(),IF($C801="",NA(),IF(C$8="",NA(),IF(N(C$8)=0,NA(),IF(Inputs!$C$17="Rebased to 100",$C801/C$8*100,$C801)))))</f>
        <v/>
      </c>
      <c r="J801" s="54">
        <f>IF($B801=0,NA(),IF($D801="",NA(),IF(D$8="",NA(),IF(N(D$8)=0,NA(),IF(Inputs!$C$17="Rebased to 100",$D801/D$8*100,$D801)))))</f>
        <v/>
      </c>
      <c r="K801" s="54">
        <f>IF($B801=0,NA(),IF($E801="",NA(),IF(E$8="",NA(),IF(N(E$8)=0,NA(),IF(Inputs!$C$17="Rebased to 100",$E801/E$8*100,$E801)))))</f>
        <v/>
      </c>
      <c r="L801" s="54">
        <f>IF($B801=0,NA(),IF($F801="",NA(),IF(F$8="",NA(),IF(N(F$8)=0,NA(),IF(Inputs!$C$17="Rebased to 100",$F801/F$8*100,$F801)))))</f>
        <v/>
      </c>
      <c r="M801" s="54">
        <f>IF($B801=0,NA(),IF($G801="",NA(),IF(G$8="",NA(),IF(N(G$8)=0,NA(),IF(Inputs!$C$17="Rebased to 100",$G801/G$8*100,$G801)))))</f>
        <v/>
      </c>
      <c r="N801" s="54">
        <f>IF($B801=0,NA(),IF(Inputs!$C$18&lt;&gt;"Yes",NA(),IF(COUNT(I801,J801,K801,L801,M801)=0,NA(),MIN(I801,J801,K801,L801,M801))))</f>
        <v/>
      </c>
      <c r="O801" s="54">
        <f>IF($B801=0,NA(),IF(Inputs!$B$24&lt;&gt;"Yes",NA(),Inputs!$D$24*Inputs!$C$35))</f>
        <v/>
      </c>
      <c r="P801" s="54">
        <f>IF($B801=0,NA(),IF(Inputs!$B$25&lt;&gt;"Yes",NA(),Inputs!$D$25*Inputs!$C$35))</f>
        <v/>
      </c>
      <c r="Q801" s="54">
        <f>IF($B801=0,NA(),IF(Inputs!$B$26&lt;&gt;"Yes",NA(),Inputs!$D$26*Inputs!$C$35))</f>
        <v/>
      </c>
      <c r="R801" s="54">
        <f>IF($B801=0,NA(),IF(Inputs!$B$27&lt;&gt;"Yes",NA(),Inputs!$D$27*Inputs!$C$35))</f>
        <v/>
      </c>
      <c r="S801" s="54">
        <f>IF($B801=0,NA(),IF(Inputs!$B$28&lt;&gt;"Yes",NA(),Inputs!$D$28*Inputs!$C$35))</f>
        <v/>
      </c>
      <c r="T801" s="54">
        <f>IF($B801=0,NA(),IF(Inputs!$B$29&lt;&gt;"Yes",NA(),Inputs!$D$29*Inputs!$C$35))</f>
        <v/>
      </c>
      <c r="AD801">
        <f>IF($B801=0,0,IF(Inputs!$B$6="",0,COUNTIFS(Data!$A$10:$A$3209,"&gt;="&amp;$A801,Data!$A$10:$A$3209,"&lt;"&amp;$A801+1)))</f>
        <v/>
      </c>
      <c r="AE801">
        <f>IF($B801=0,0,IF(Inputs!$B$7="",0,COUNTIFS(Data!$E$10:$E$3209,"&gt;="&amp;$A801,Data!$E$10:$E$3209,"&lt;"&amp;$A801+1)))</f>
        <v/>
      </c>
      <c r="AF801">
        <f>IF($B801=0,0,IF(Inputs!$B$8="",0,COUNTIFS(Data!$I$10:$I$3209,"&gt;="&amp;$A801,Data!$I$10:$I$3209,"&lt;"&amp;$A801+1)))</f>
        <v/>
      </c>
      <c r="AG801">
        <f>IF($B801=0,0,IF(Inputs!$B$9="",0,COUNTIFS(Data!$M$10:$M$3209,"&gt;="&amp;$A801,Data!$M$10:$M$3209,"&lt;"&amp;$A801+1)))</f>
        <v/>
      </c>
      <c r="AH801">
        <f>IF($B801=0,0,IF(Inputs!$B$10="",0,COUNTIFS(Data!$Q$10:$Q$3209,"&gt;="&amp;$A801,Data!$Q$10:$Q$3209,"&lt;"&amp;$A801+1)))</f>
        <v/>
      </c>
    </row>
    <row r="802">
      <c r="A802" s="55">
        <f>MIN(Inputs!$C$15,$A801+IF(WEEKDAY($A801,2)=5,3,1))</f>
        <v/>
      </c>
      <c r="B802">
        <f>IF($A802&gt;$A801,1,0)</f>
        <v/>
      </c>
      <c r="C802" s="56">
        <f>IF($B802=0,"",IF(Inputs!$B$6="","",IF($AD802=0,C801,SUMIFS(Data!$B$10:$B$3209,Data!$A$10:$A$3209,"&gt;="&amp;$A802,Data!$A$10:$A$3209,"&lt;"&amp;$A802+1)/$AD802)))</f>
        <v/>
      </c>
      <c r="D802" s="56">
        <f>IF($B802=0,"",IF(Inputs!$B$7="","",IF($AE802=0,D801,SUMIFS(Data!$F$10:$F$3209,Data!$E$10:$E$3209,"&gt;="&amp;$A802,Data!$E$10:$E$3209,"&lt;"&amp;$A802+1)/$AE802)))</f>
        <v/>
      </c>
      <c r="E802" s="56">
        <f>IF($B802=0,"",IF(Inputs!$B$8="","",IF($AF802=0,E801,SUMIFS(Data!$J$10:$J$3209,Data!$I$10:$I$3209,"&gt;="&amp;$A802,Data!$I$10:$I$3209,"&lt;"&amp;$A802+1)/$AF802)))</f>
        <v/>
      </c>
      <c r="F802" s="56">
        <f>IF($B802=0,"",IF(Inputs!$B$9="","",IF($AG802=0,F801,SUMIFS(Data!$N$10:$N$3209,Data!$M$10:$M$3209,"&gt;="&amp;$A802,Data!$M$10:$M$3209,"&lt;"&amp;$A802+1)/$AG802)))</f>
        <v/>
      </c>
      <c r="G802" s="56">
        <f>IF($B802=0,"",IF(Inputs!$B$10="","",IF($AH802=0,G801,SUMIFS(Data!$R$10:$R$3209,Data!$Q$10:$Q$3209,"&gt;="&amp;$A802,Data!$Q$10:$Q$3209,"&lt;"&amp;$A802+1)/$AH802)))</f>
        <v/>
      </c>
      <c r="I802" s="54">
        <f>IF($B802=0,NA(),IF($C802="",NA(),IF(C$8="",NA(),IF(N(C$8)=0,NA(),IF(Inputs!$C$17="Rebased to 100",$C802/C$8*100,$C802)))))</f>
        <v/>
      </c>
      <c r="J802" s="54">
        <f>IF($B802=0,NA(),IF($D802="",NA(),IF(D$8="",NA(),IF(N(D$8)=0,NA(),IF(Inputs!$C$17="Rebased to 100",$D802/D$8*100,$D802)))))</f>
        <v/>
      </c>
      <c r="K802" s="54">
        <f>IF($B802=0,NA(),IF($E802="",NA(),IF(E$8="",NA(),IF(N(E$8)=0,NA(),IF(Inputs!$C$17="Rebased to 100",$E802/E$8*100,$E802)))))</f>
        <v/>
      </c>
      <c r="L802" s="54">
        <f>IF($B802=0,NA(),IF($F802="",NA(),IF(F$8="",NA(),IF(N(F$8)=0,NA(),IF(Inputs!$C$17="Rebased to 100",$F802/F$8*100,$F802)))))</f>
        <v/>
      </c>
      <c r="M802" s="54">
        <f>IF($B802=0,NA(),IF($G802="",NA(),IF(G$8="",NA(),IF(N(G$8)=0,NA(),IF(Inputs!$C$17="Rebased to 100",$G802/G$8*100,$G802)))))</f>
        <v/>
      </c>
      <c r="N802" s="54">
        <f>IF($B802=0,NA(),IF(Inputs!$C$18&lt;&gt;"Yes",NA(),IF(COUNT(I802,J802,K802,L802,M802)=0,NA(),MIN(I802,J802,K802,L802,M802))))</f>
        <v/>
      </c>
      <c r="O802" s="54">
        <f>IF($B802=0,NA(),IF(Inputs!$B$24&lt;&gt;"Yes",NA(),Inputs!$D$24*Inputs!$C$35))</f>
        <v/>
      </c>
      <c r="P802" s="54">
        <f>IF($B802=0,NA(),IF(Inputs!$B$25&lt;&gt;"Yes",NA(),Inputs!$D$25*Inputs!$C$35))</f>
        <v/>
      </c>
      <c r="Q802" s="54">
        <f>IF($B802=0,NA(),IF(Inputs!$B$26&lt;&gt;"Yes",NA(),Inputs!$D$26*Inputs!$C$35))</f>
        <v/>
      </c>
      <c r="R802" s="54">
        <f>IF($B802=0,NA(),IF(Inputs!$B$27&lt;&gt;"Yes",NA(),Inputs!$D$27*Inputs!$C$35))</f>
        <v/>
      </c>
      <c r="S802" s="54">
        <f>IF($B802=0,NA(),IF(Inputs!$B$28&lt;&gt;"Yes",NA(),Inputs!$D$28*Inputs!$C$35))</f>
        <v/>
      </c>
      <c r="T802" s="54">
        <f>IF($B802=0,NA(),IF(Inputs!$B$29&lt;&gt;"Yes",NA(),Inputs!$D$29*Inputs!$C$35))</f>
        <v/>
      </c>
      <c r="AD802">
        <f>IF($B802=0,0,IF(Inputs!$B$6="",0,COUNTIFS(Data!$A$10:$A$3209,"&gt;="&amp;$A802,Data!$A$10:$A$3209,"&lt;"&amp;$A802+1)))</f>
        <v/>
      </c>
      <c r="AE802">
        <f>IF($B802=0,0,IF(Inputs!$B$7="",0,COUNTIFS(Data!$E$10:$E$3209,"&gt;="&amp;$A802,Data!$E$10:$E$3209,"&lt;"&amp;$A802+1)))</f>
        <v/>
      </c>
      <c r="AF802">
        <f>IF($B802=0,0,IF(Inputs!$B$8="",0,COUNTIFS(Data!$I$10:$I$3209,"&gt;="&amp;$A802,Data!$I$10:$I$3209,"&lt;"&amp;$A802+1)))</f>
        <v/>
      </c>
      <c r="AG802">
        <f>IF($B802=0,0,IF(Inputs!$B$9="",0,COUNTIFS(Data!$M$10:$M$3209,"&gt;="&amp;$A802,Data!$M$10:$M$3209,"&lt;"&amp;$A802+1)))</f>
        <v/>
      </c>
      <c r="AH802">
        <f>IF($B802=0,0,IF(Inputs!$B$10="",0,COUNTIFS(Data!$Q$10:$Q$3209,"&gt;="&amp;$A802,Data!$Q$10:$Q$3209,"&lt;"&amp;$A802+1)))</f>
        <v/>
      </c>
    </row>
    <row r="803">
      <c r="A803" s="55">
        <f>MIN(Inputs!$C$15,$A802+IF(WEEKDAY($A802,2)=5,3,1))</f>
        <v/>
      </c>
      <c r="B803">
        <f>IF($A803&gt;$A802,1,0)</f>
        <v/>
      </c>
      <c r="C803" s="56">
        <f>IF($B803=0,"",IF(Inputs!$B$6="","",IF($AD803=0,C802,SUMIFS(Data!$B$10:$B$3209,Data!$A$10:$A$3209,"&gt;="&amp;$A803,Data!$A$10:$A$3209,"&lt;"&amp;$A803+1)/$AD803)))</f>
        <v/>
      </c>
      <c r="D803" s="56">
        <f>IF($B803=0,"",IF(Inputs!$B$7="","",IF($AE803=0,D802,SUMIFS(Data!$F$10:$F$3209,Data!$E$10:$E$3209,"&gt;="&amp;$A803,Data!$E$10:$E$3209,"&lt;"&amp;$A803+1)/$AE803)))</f>
        <v/>
      </c>
      <c r="E803" s="56">
        <f>IF($B803=0,"",IF(Inputs!$B$8="","",IF($AF803=0,E802,SUMIFS(Data!$J$10:$J$3209,Data!$I$10:$I$3209,"&gt;="&amp;$A803,Data!$I$10:$I$3209,"&lt;"&amp;$A803+1)/$AF803)))</f>
        <v/>
      </c>
      <c r="F803" s="56">
        <f>IF($B803=0,"",IF(Inputs!$B$9="","",IF($AG803=0,F802,SUMIFS(Data!$N$10:$N$3209,Data!$M$10:$M$3209,"&gt;="&amp;$A803,Data!$M$10:$M$3209,"&lt;"&amp;$A803+1)/$AG803)))</f>
        <v/>
      </c>
      <c r="G803" s="56">
        <f>IF($B803=0,"",IF(Inputs!$B$10="","",IF($AH803=0,G802,SUMIFS(Data!$R$10:$R$3209,Data!$Q$10:$Q$3209,"&gt;="&amp;$A803,Data!$Q$10:$Q$3209,"&lt;"&amp;$A803+1)/$AH803)))</f>
        <v/>
      </c>
      <c r="I803" s="54">
        <f>IF($B803=0,NA(),IF($C803="",NA(),IF(C$8="",NA(),IF(N(C$8)=0,NA(),IF(Inputs!$C$17="Rebased to 100",$C803/C$8*100,$C803)))))</f>
        <v/>
      </c>
      <c r="J803" s="54">
        <f>IF($B803=0,NA(),IF($D803="",NA(),IF(D$8="",NA(),IF(N(D$8)=0,NA(),IF(Inputs!$C$17="Rebased to 100",$D803/D$8*100,$D803)))))</f>
        <v/>
      </c>
      <c r="K803" s="54">
        <f>IF($B803=0,NA(),IF($E803="",NA(),IF(E$8="",NA(),IF(N(E$8)=0,NA(),IF(Inputs!$C$17="Rebased to 100",$E803/E$8*100,$E803)))))</f>
        <v/>
      </c>
      <c r="L803" s="54">
        <f>IF($B803=0,NA(),IF($F803="",NA(),IF(F$8="",NA(),IF(N(F$8)=0,NA(),IF(Inputs!$C$17="Rebased to 100",$F803/F$8*100,$F803)))))</f>
        <v/>
      </c>
      <c r="M803" s="54">
        <f>IF($B803=0,NA(),IF($G803="",NA(),IF(G$8="",NA(),IF(N(G$8)=0,NA(),IF(Inputs!$C$17="Rebased to 100",$G803/G$8*100,$G803)))))</f>
        <v/>
      </c>
      <c r="N803" s="54">
        <f>IF($B803=0,NA(),IF(Inputs!$C$18&lt;&gt;"Yes",NA(),IF(COUNT(I803,J803,K803,L803,M803)=0,NA(),MIN(I803,J803,K803,L803,M803))))</f>
        <v/>
      </c>
      <c r="O803" s="54">
        <f>IF($B803=0,NA(),IF(Inputs!$B$24&lt;&gt;"Yes",NA(),Inputs!$D$24*Inputs!$C$35))</f>
        <v/>
      </c>
      <c r="P803" s="54">
        <f>IF($B803=0,NA(),IF(Inputs!$B$25&lt;&gt;"Yes",NA(),Inputs!$D$25*Inputs!$C$35))</f>
        <v/>
      </c>
      <c r="Q803" s="54">
        <f>IF($B803=0,NA(),IF(Inputs!$B$26&lt;&gt;"Yes",NA(),Inputs!$D$26*Inputs!$C$35))</f>
        <v/>
      </c>
      <c r="R803" s="54">
        <f>IF($B803=0,NA(),IF(Inputs!$B$27&lt;&gt;"Yes",NA(),Inputs!$D$27*Inputs!$C$35))</f>
        <v/>
      </c>
      <c r="S803" s="54">
        <f>IF($B803=0,NA(),IF(Inputs!$B$28&lt;&gt;"Yes",NA(),Inputs!$D$28*Inputs!$C$35))</f>
        <v/>
      </c>
      <c r="T803" s="54">
        <f>IF($B803=0,NA(),IF(Inputs!$B$29&lt;&gt;"Yes",NA(),Inputs!$D$29*Inputs!$C$35))</f>
        <v/>
      </c>
      <c r="AD803">
        <f>IF($B803=0,0,IF(Inputs!$B$6="",0,COUNTIFS(Data!$A$10:$A$3209,"&gt;="&amp;$A803,Data!$A$10:$A$3209,"&lt;"&amp;$A803+1)))</f>
        <v/>
      </c>
      <c r="AE803">
        <f>IF($B803=0,0,IF(Inputs!$B$7="",0,COUNTIFS(Data!$E$10:$E$3209,"&gt;="&amp;$A803,Data!$E$10:$E$3209,"&lt;"&amp;$A803+1)))</f>
        <v/>
      </c>
      <c r="AF803">
        <f>IF($B803=0,0,IF(Inputs!$B$8="",0,COUNTIFS(Data!$I$10:$I$3209,"&gt;="&amp;$A803,Data!$I$10:$I$3209,"&lt;"&amp;$A803+1)))</f>
        <v/>
      </c>
      <c r="AG803">
        <f>IF($B803=0,0,IF(Inputs!$B$9="",0,COUNTIFS(Data!$M$10:$M$3209,"&gt;="&amp;$A803,Data!$M$10:$M$3209,"&lt;"&amp;$A803+1)))</f>
        <v/>
      </c>
      <c r="AH803">
        <f>IF($B803=0,0,IF(Inputs!$B$10="",0,COUNTIFS(Data!$Q$10:$Q$3209,"&gt;="&amp;$A803,Data!$Q$10:$Q$3209,"&lt;"&amp;$A803+1)))</f>
        <v/>
      </c>
    </row>
    <row r="804">
      <c r="A804" s="55">
        <f>MIN(Inputs!$C$15,$A803+IF(WEEKDAY($A803,2)=5,3,1))</f>
        <v/>
      </c>
      <c r="B804">
        <f>IF($A804&gt;$A803,1,0)</f>
        <v/>
      </c>
      <c r="C804" s="56">
        <f>IF($B804=0,"",IF(Inputs!$B$6="","",IF($AD804=0,C803,SUMIFS(Data!$B$10:$B$3209,Data!$A$10:$A$3209,"&gt;="&amp;$A804,Data!$A$10:$A$3209,"&lt;"&amp;$A804+1)/$AD804)))</f>
        <v/>
      </c>
      <c r="D804" s="56">
        <f>IF($B804=0,"",IF(Inputs!$B$7="","",IF($AE804=0,D803,SUMIFS(Data!$F$10:$F$3209,Data!$E$10:$E$3209,"&gt;="&amp;$A804,Data!$E$10:$E$3209,"&lt;"&amp;$A804+1)/$AE804)))</f>
        <v/>
      </c>
      <c r="E804" s="56">
        <f>IF($B804=0,"",IF(Inputs!$B$8="","",IF($AF804=0,E803,SUMIFS(Data!$J$10:$J$3209,Data!$I$10:$I$3209,"&gt;="&amp;$A804,Data!$I$10:$I$3209,"&lt;"&amp;$A804+1)/$AF804)))</f>
        <v/>
      </c>
      <c r="F804" s="56">
        <f>IF($B804=0,"",IF(Inputs!$B$9="","",IF($AG804=0,F803,SUMIFS(Data!$N$10:$N$3209,Data!$M$10:$M$3209,"&gt;="&amp;$A804,Data!$M$10:$M$3209,"&lt;"&amp;$A804+1)/$AG804)))</f>
        <v/>
      </c>
      <c r="G804" s="56">
        <f>IF($B804=0,"",IF(Inputs!$B$10="","",IF($AH804=0,G803,SUMIFS(Data!$R$10:$R$3209,Data!$Q$10:$Q$3209,"&gt;="&amp;$A804,Data!$Q$10:$Q$3209,"&lt;"&amp;$A804+1)/$AH804)))</f>
        <v/>
      </c>
      <c r="I804" s="54">
        <f>IF($B804=0,NA(),IF($C804="",NA(),IF(C$8="",NA(),IF(N(C$8)=0,NA(),IF(Inputs!$C$17="Rebased to 100",$C804/C$8*100,$C804)))))</f>
        <v/>
      </c>
      <c r="J804" s="54">
        <f>IF($B804=0,NA(),IF($D804="",NA(),IF(D$8="",NA(),IF(N(D$8)=0,NA(),IF(Inputs!$C$17="Rebased to 100",$D804/D$8*100,$D804)))))</f>
        <v/>
      </c>
      <c r="K804" s="54">
        <f>IF($B804=0,NA(),IF($E804="",NA(),IF(E$8="",NA(),IF(N(E$8)=0,NA(),IF(Inputs!$C$17="Rebased to 100",$E804/E$8*100,$E804)))))</f>
        <v/>
      </c>
      <c r="L804" s="54">
        <f>IF($B804=0,NA(),IF($F804="",NA(),IF(F$8="",NA(),IF(N(F$8)=0,NA(),IF(Inputs!$C$17="Rebased to 100",$F804/F$8*100,$F804)))))</f>
        <v/>
      </c>
      <c r="M804" s="54">
        <f>IF($B804=0,NA(),IF($G804="",NA(),IF(G$8="",NA(),IF(N(G$8)=0,NA(),IF(Inputs!$C$17="Rebased to 100",$G804/G$8*100,$G804)))))</f>
        <v/>
      </c>
      <c r="N804" s="54">
        <f>IF($B804=0,NA(),IF(Inputs!$C$18&lt;&gt;"Yes",NA(),IF(COUNT(I804,J804,K804,L804,M804)=0,NA(),MIN(I804,J804,K804,L804,M804))))</f>
        <v/>
      </c>
      <c r="O804" s="54">
        <f>IF($B804=0,NA(),IF(Inputs!$B$24&lt;&gt;"Yes",NA(),Inputs!$D$24*Inputs!$C$35))</f>
        <v/>
      </c>
      <c r="P804" s="54">
        <f>IF($B804=0,NA(),IF(Inputs!$B$25&lt;&gt;"Yes",NA(),Inputs!$D$25*Inputs!$C$35))</f>
        <v/>
      </c>
      <c r="Q804" s="54">
        <f>IF($B804=0,NA(),IF(Inputs!$B$26&lt;&gt;"Yes",NA(),Inputs!$D$26*Inputs!$C$35))</f>
        <v/>
      </c>
      <c r="R804" s="54">
        <f>IF($B804=0,NA(),IF(Inputs!$B$27&lt;&gt;"Yes",NA(),Inputs!$D$27*Inputs!$C$35))</f>
        <v/>
      </c>
      <c r="S804" s="54">
        <f>IF($B804=0,NA(),IF(Inputs!$B$28&lt;&gt;"Yes",NA(),Inputs!$D$28*Inputs!$C$35))</f>
        <v/>
      </c>
      <c r="T804" s="54">
        <f>IF($B804=0,NA(),IF(Inputs!$B$29&lt;&gt;"Yes",NA(),Inputs!$D$29*Inputs!$C$35))</f>
        <v/>
      </c>
      <c r="AD804">
        <f>IF($B804=0,0,IF(Inputs!$B$6="",0,COUNTIFS(Data!$A$10:$A$3209,"&gt;="&amp;$A804,Data!$A$10:$A$3209,"&lt;"&amp;$A804+1)))</f>
        <v/>
      </c>
      <c r="AE804">
        <f>IF($B804=0,0,IF(Inputs!$B$7="",0,COUNTIFS(Data!$E$10:$E$3209,"&gt;="&amp;$A804,Data!$E$10:$E$3209,"&lt;"&amp;$A804+1)))</f>
        <v/>
      </c>
      <c r="AF804">
        <f>IF($B804=0,0,IF(Inputs!$B$8="",0,COUNTIFS(Data!$I$10:$I$3209,"&gt;="&amp;$A804,Data!$I$10:$I$3209,"&lt;"&amp;$A804+1)))</f>
        <v/>
      </c>
      <c r="AG804">
        <f>IF($B804=0,0,IF(Inputs!$B$9="",0,COUNTIFS(Data!$M$10:$M$3209,"&gt;="&amp;$A804,Data!$M$10:$M$3209,"&lt;"&amp;$A804+1)))</f>
        <v/>
      </c>
      <c r="AH804">
        <f>IF($B804=0,0,IF(Inputs!$B$10="",0,COUNTIFS(Data!$Q$10:$Q$3209,"&gt;="&amp;$A804,Data!$Q$10:$Q$3209,"&lt;"&amp;$A804+1)))</f>
        <v/>
      </c>
    </row>
    <row r="805">
      <c r="A805" s="55">
        <f>MIN(Inputs!$C$15,$A804+IF(WEEKDAY($A804,2)=5,3,1))</f>
        <v/>
      </c>
      <c r="B805">
        <f>IF($A805&gt;$A804,1,0)</f>
        <v/>
      </c>
      <c r="C805" s="56">
        <f>IF($B805=0,"",IF(Inputs!$B$6="","",IF($AD805=0,C804,SUMIFS(Data!$B$10:$B$3209,Data!$A$10:$A$3209,"&gt;="&amp;$A805,Data!$A$10:$A$3209,"&lt;"&amp;$A805+1)/$AD805)))</f>
        <v/>
      </c>
      <c r="D805" s="56">
        <f>IF($B805=0,"",IF(Inputs!$B$7="","",IF($AE805=0,D804,SUMIFS(Data!$F$10:$F$3209,Data!$E$10:$E$3209,"&gt;="&amp;$A805,Data!$E$10:$E$3209,"&lt;"&amp;$A805+1)/$AE805)))</f>
        <v/>
      </c>
      <c r="E805" s="56">
        <f>IF($B805=0,"",IF(Inputs!$B$8="","",IF($AF805=0,E804,SUMIFS(Data!$J$10:$J$3209,Data!$I$10:$I$3209,"&gt;="&amp;$A805,Data!$I$10:$I$3209,"&lt;"&amp;$A805+1)/$AF805)))</f>
        <v/>
      </c>
      <c r="F805" s="56">
        <f>IF($B805=0,"",IF(Inputs!$B$9="","",IF($AG805=0,F804,SUMIFS(Data!$N$10:$N$3209,Data!$M$10:$M$3209,"&gt;="&amp;$A805,Data!$M$10:$M$3209,"&lt;"&amp;$A805+1)/$AG805)))</f>
        <v/>
      </c>
      <c r="G805" s="56">
        <f>IF($B805=0,"",IF(Inputs!$B$10="","",IF($AH805=0,G804,SUMIFS(Data!$R$10:$R$3209,Data!$Q$10:$Q$3209,"&gt;="&amp;$A805,Data!$Q$10:$Q$3209,"&lt;"&amp;$A805+1)/$AH805)))</f>
        <v/>
      </c>
      <c r="I805" s="54">
        <f>IF($B805=0,NA(),IF($C805="",NA(),IF(C$8="",NA(),IF(N(C$8)=0,NA(),IF(Inputs!$C$17="Rebased to 100",$C805/C$8*100,$C805)))))</f>
        <v/>
      </c>
      <c r="J805" s="54">
        <f>IF($B805=0,NA(),IF($D805="",NA(),IF(D$8="",NA(),IF(N(D$8)=0,NA(),IF(Inputs!$C$17="Rebased to 100",$D805/D$8*100,$D805)))))</f>
        <v/>
      </c>
      <c r="K805" s="54">
        <f>IF($B805=0,NA(),IF($E805="",NA(),IF(E$8="",NA(),IF(N(E$8)=0,NA(),IF(Inputs!$C$17="Rebased to 100",$E805/E$8*100,$E805)))))</f>
        <v/>
      </c>
      <c r="L805" s="54">
        <f>IF($B805=0,NA(),IF($F805="",NA(),IF(F$8="",NA(),IF(N(F$8)=0,NA(),IF(Inputs!$C$17="Rebased to 100",$F805/F$8*100,$F805)))))</f>
        <v/>
      </c>
      <c r="M805" s="54">
        <f>IF($B805=0,NA(),IF($G805="",NA(),IF(G$8="",NA(),IF(N(G$8)=0,NA(),IF(Inputs!$C$17="Rebased to 100",$G805/G$8*100,$G805)))))</f>
        <v/>
      </c>
      <c r="N805" s="54">
        <f>IF($B805=0,NA(),IF(Inputs!$C$18&lt;&gt;"Yes",NA(),IF(COUNT(I805,J805,K805,L805,M805)=0,NA(),MIN(I805,J805,K805,L805,M805))))</f>
        <v/>
      </c>
      <c r="O805" s="54">
        <f>IF($B805=0,NA(),IF(Inputs!$B$24&lt;&gt;"Yes",NA(),Inputs!$D$24*Inputs!$C$35))</f>
        <v/>
      </c>
      <c r="P805" s="54">
        <f>IF($B805=0,NA(),IF(Inputs!$B$25&lt;&gt;"Yes",NA(),Inputs!$D$25*Inputs!$C$35))</f>
        <v/>
      </c>
      <c r="Q805" s="54">
        <f>IF($B805=0,NA(),IF(Inputs!$B$26&lt;&gt;"Yes",NA(),Inputs!$D$26*Inputs!$C$35))</f>
        <v/>
      </c>
      <c r="R805" s="54">
        <f>IF($B805=0,NA(),IF(Inputs!$B$27&lt;&gt;"Yes",NA(),Inputs!$D$27*Inputs!$C$35))</f>
        <v/>
      </c>
      <c r="S805" s="54">
        <f>IF($B805=0,NA(),IF(Inputs!$B$28&lt;&gt;"Yes",NA(),Inputs!$D$28*Inputs!$C$35))</f>
        <v/>
      </c>
      <c r="T805" s="54">
        <f>IF($B805=0,NA(),IF(Inputs!$B$29&lt;&gt;"Yes",NA(),Inputs!$D$29*Inputs!$C$35))</f>
        <v/>
      </c>
      <c r="AD805">
        <f>IF($B805=0,0,IF(Inputs!$B$6="",0,COUNTIFS(Data!$A$10:$A$3209,"&gt;="&amp;$A805,Data!$A$10:$A$3209,"&lt;"&amp;$A805+1)))</f>
        <v/>
      </c>
      <c r="AE805">
        <f>IF($B805=0,0,IF(Inputs!$B$7="",0,COUNTIFS(Data!$E$10:$E$3209,"&gt;="&amp;$A805,Data!$E$10:$E$3209,"&lt;"&amp;$A805+1)))</f>
        <v/>
      </c>
      <c r="AF805">
        <f>IF($B805=0,0,IF(Inputs!$B$8="",0,COUNTIFS(Data!$I$10:$I$3209,"&gt;="&amp;$A805,Data!$I$10:$I$3209,"&lt;"&amp;$A805+1)))</f>
        <v/>
      </c>
      <c r="AG805">
        <f>IF($B805=0,0,IF(Inputs!$B$9="",0,COUNTIFS(Data!$M$10:$M$3209,"&gt;="&amp;$A805,Data!$M$10:$M$3209,"&lt;"&amp;$A805+1)))</f>
        <v/>
      </c>
      <c r="AH805">
        <f>IF($B805=0,0,IF(Inputs!$B$10="",0,COUNTIFS(Data!$Q$10:$Q$3209,"&gt;="&amp;$A805,Data!$Q$10:$Q$3209,"&lt;"&amp;$A805+1)))</f>
        <v/>
      </c>
    </row>
    <row r="806">
      <c r="A806" s="55">
        <f>MIN(Inputs!$C$15,$A805+IF(WEEKDAY($A805,2)=5,3,1))</f>
        <v/>
      </c>
      <c r="B806">
        <f>IF($A806&gt;$A805,1,0)</f>
        <v/>
      </c>
      <c r="C806" s="56">
        <f>IF($B806=0,"",IF(Inputs!$B$6="","",IF($AD806=0,C805,SUMIFS(Data!$B$10:$B$3209,Data!$A$10:$A$3209,"&gt;="&amp;$A806,Data!$A$10:$A$3209,"&lt;"&amp;$A806+1)/$AD806)))</f>
        <v/>
      </c>
      <c r="D806" s="56">
        <f>IF($B806=0,"",IF(Inputs!$B$7="","",IF($AE806=0,D805,SUMIFS(Data!$F$10:$F$3209,Data!$E$10:$E$3209,"&gt;="&amp;$A806,Data!$E$10:$E$3209,"&lt;"&amp;$A806+1)/$AE806)))</f>
        <v/>
      </c>
      <c r="E806" s="56">
        <f>IF($B806=0,"",IF(Inputs!$B$8="","",IF($AF806=0,E805,SUMIFS(Data!$J$10:$J$3209,Data!$I$10:$I$3209,"&gt;="&amp;$A806,Data!$I$10:$I$3209,"&lt;"&amp;$A806+1)/$AF806)))</f>
        <v/>
      </c>
      <c r="F806" s="56">
        <f>IF($B806=0,"",IF(Inputs!$B$9="","",IF($AG806=0,F805,SUMIFS(Data!$N$10:$N$3209,Data!$M$10:$M$3209,"&gt;="&amp;$A806,Data!$M$10:$M$3209,"&lt;"&amp;$A806+1)/$AG806)))</f>
        <v/>
      </c>
      <c r="G806" s="56">
        <f>IF($B806=0,"",IF(Inputs!$B$10="","",IF($AH806=0,G805,SUMIFS(Data!$R$10:$R$3209,Data!$Q$10:$Q$3209,"&gt;="&amp;$A806,Data!$Q$10:$Q$3209,"&lt;"&amp;$A806+1)/$AH806)))</f>
        <v/>
      </c>
      <c r="I806" s="54">
        <f>IF($B806=0,NA(),IF($C806="",NA(),IF(C$8="",NA(),IF(N(C$8)=0,NA(),IF(Inputs!$C$17="Rebased to 100",$C806/C$8*100,$C806)))))</f>
        <v/>
      </c>
      <c r="J806" s="54">
        <f>IF($B806=0,NA(),IF($D806="",NA(),IF(D$8="",NA(),IF(N(D$8)=0,NA(),IF(Inputs!$C$17="Rebased to 100",$D806/D$8*100,$D806)))))</f>
        <v/>
      </c>
      <c r="K806" s="54">
        <f>IF($B806=0,NA(),IF($E806="",NA(),IF(E$8="",NA(),IF(N(E$8)=0,NA(),IF(Inputs!$C$17="Rebased to 100",$E806/E$8*100,$E806)))))</f>
        <v/>
      </c>
      <c r="L806" s="54">
        <f>IF($B806=0,NA(),IF($F806="",NA(),IF(F$8="",NA(),IF(N(F$8)=0,NA(),IF(Inputs!$C$17="Rebased to 100",$F806/F$8*100,$F806)))))</f>
        <v/>
      </c>
      <c r="M806" s="54">
        <f>IF($B806=0,NA(),IF($G806="",NA(),IF(G$8="",NA(),IF(N(G$8)=0,NA(),IF(Inputs!$C$17="Rebased to 100",$G806/G$8*100,$G806)))))</f>
        <v/>
      </c>
      <c r="N806" s="54">
        <f>IF($B806=0,NA(),IF(Inputs!$C$18&lt;&gt;"Yes",NA(),IF(COUNT(I806,J806,K806,L806,M806)=0,NA(),MIN(I806,J806,K806,L806,M806))))</f>
        <v/>
      </c>
      <c r="O806" s="54">
        <f>IF($B806=0,NA(),IF(Inputs!$B$24&lt;&gt;"Yes",NA(),Inputs!$D$24*Inputs!$C$35))</f>
        <v/>
      </c>
      <c r="P806" s="54">
        <f>IF($B806=0,NA(),IF(Inputs!$B$25&lt;&gt;"Yes",NA(),Inputs!$D$25*Inputs!$C$35))</f>
        <v/>
      </c>
      <c r="Q806" s="54">
        <f>IF($B806=0,NA(),IF(Inputs!$B$26&lt;&gt;"Yes",NA(),Inputs!$D$26*Inputs!$C$35))</f>
        <v/>
      </c>
      <c r="R806" s="54">
        <f>IF($B806=0,NA(),IF(Inputs!$B$27&lt;&gt;"Yes",NA(),Inputs!$D$27*Inputs!$C$35))</f>
        <v/>
      </c>
      <c r="S806" s="54">
        <f>IF($B806=0,NA(),IF(Inputs!$B$28&lt;&gt;"Yes",NA(),Inputs!$D$28*Inputs!$C$35))</f>
        <v/>
      </c>
      <c r="T806" s="54">
        <f>IF($B806=0,NA(),IF(Inputs!$B$29&lt;&gt;"Yes",NA(),Inputs!$D$29*Inputs!$C$35))</f>
        <v/>
      </c>
      <c r="AD806">
        <f>IF($B806=0,0,IF(Inputs!$B$6="",0,COUNTIFS(Data!$A$10:$A$3209,"&gt;="&amp;$A806,Data!$A$10:$A$3209,"&lt;"&amp;$A806+1)))</f>
        <v/>
      </c>
      <c r="AE806">
        <f>IF($B806=0,0,IF(Inputs!$B$7="",0,COUNTIFS(Data!$E$10:$E$3209,"&gt;="&amp;$A806,Data!$E$10:$E$3209,"&lt;"&amp;$A806+1)))</f>
        <v/>
      </c>
      <c r="AF806">
        <f>IF($B806=0,0,IF(Inputs!$B$8="",0,COUNTIFS(Data!$I$10:$I$3209,"&gt;="&amp;$A806,Data!$I$10:$I$3209,"&lt;"&amp;$A806+1)))</f>
        <v/>
      </c>
      <c r="AG806">
        <f>IF($B806=0,0,IF(Inputs!$B$9="",0,COUNTIFS(Data!$M$10:$M$3209,"&gt;="&amp;$A806,Data!$M$10:$M$3209,"&lt;"&amp;$A806+1)))</f>
        <v/>
      </c>
      <c r="AH806">
        <f>IF($B806=0,0,IF(Inputs!$B$10="",0,COUNTIFS(Data!$Q$10:$Q$3209,"&gt;="&amp;$A806,Data!$Q$10:$Q$3209,"&lt;"&amp;$A806+1)))</f>
        <v/>
      </c>
    </row>
    <row r="807">
      <c r="A807" s="55">
        <f>MIN(Inputs!$C$15,$A806+IF(WEEKDAY($A806,2)=5,3,1))</f>
        <v/>
      </c>
      <c r="B807">
        <f>IF($A807&gt;$A806,1,0)</f>
        <v/>
      </c>
      <c r="C807" s="56">
        <f>IF($B807=0,"",IF(Inputs!$B$6="","",IF($AD807=0,C806,SUMIFS(Data!$B$10:$B$3209,Data!$A$10:$A$3209,"&gt;="&amp;$A807,Data!$A$10:$A$3209,"&lt;"&amp;$A807+1)/$AD807)))</f>
        <v/>
      </c>
      <c r="D807" s="56">
        <f>IF($B807=0,"",IF(Inputs!$B$7="","",IF($AE807=0,D806,SUMIFS(Data!$F$10:$F$3209,Data!$E$10:$E$3209,"&gt;="&amp;$A807,Data!$E$10:$E$3209,"&lt;"&amp;$A807+1)/$AE807)))</f>
        <v/>
      </c>
      <c r="E807" s="56">
        <f>IF($B807=0,"",IF(Inputs!$B$8="","",IF($AF807=0,E806,SUMIFS(Data!$J$10:$J$3209,Data!$I$10:$I$3209,"&gt;="&amp;$A807,Data!$I$10:$I$3209,"&lt;"&amp;$A807+1)/$AF807)))</f>
        <v/>
      </c>
      <c r="F807" s="56">
        <f>IF($B807=0,"",IF(Inputs!$B$9="","",IF($AG807=0,F806,SUMIFS(Data!$N$10:$N$3209,Data!$M$10:$M$3209,"&gt;="&amp;$A807,Data!$M$10:$M$3209,"&lt;"&amp;$A807+1)/$AG807)))</f>
        <v/>
      </c>
      <c r="G807" s="56">
        <f>IF($B807=0,"",IF(Inputs!$B$10="","",IF($AH807=0,G806,SUMIFS(Data!$R$10:$R$3209,Data!$Q$10:$Q$3209,"&gt;="&amp;$A807,Data!$Q$10:$Q$3209,"&lt;"&amp;$A807+1)/$AH807)))</f>
        <v/>
      </c>
      <c r="I807" s="54">
        <f>IF($B807=0,NA(),IF($C807="",NA(),IF(C$8="",NA(),IF(N(C$8)=0,NA(),IF(Inputs!$C$17="Rebased to 100",$C807/C$8*100,$C807)))))</f>
        <v/>
      </c>
      <c r="J807" s="54">
        <f>IF($B807=0,NA(),IF($D807="",NA(),IF(D$8="",NA(),IF(N(D$8)=0,NA(),IF(Inputs!$C$17="Rebased to 100",$D807/D$8*100,$D807)))))</f>
        <v/>
      </c>
      <c r="K807" s="54">
        <f>IF($B807=0,NA(),IF($E807="",NA(),IF(E$8="",NA(),IF(N(E$8)=0,NA(),IF(Inputs!$C$17="Rebased to 100",$E807/E$8*100,$E807)))))</f>
        <v/>
      </c>
      <c r="L807" s="54">
        <f>IF($B807=0,NA(),IF($F807="",NA(),IF(F$8="",NA(),IF(N(F$8)=0,NA(),IF(Inputs!$C$17="Rebased to 100",$F807/F$8*100,$F807)))))</f>
        <v/>
      </c>
      <c r="M807" s="54">
        <f>IF($B807=0,NA(),IF($G807="",NA(),IF(G$8="",NA(),IF(N(G$8)=0,NA(),IF(Inputs!$C$17="Rebased to 100",$G807/G$8*100,$G807)))))</f>
        <v/>
      </c>
      <c r="N807" s="54">
        <f>IF($B807=0,NA(),IF(Inputs!$C$18&lt;&gt;"Yes",NA(),IF(COUNT(I807,J807,K807,L807,M807)=0,NA(),MIN(I807,J807,K807,L807,M807))))</f>
        <v/>
      </c>
      <c r="O807" s="54">
        <f>IF($B807=0,NA(),IF(Inputs!$B$24&lt;&gt;"Yes",NA(),Inputs!$D$24*Inputs!$C$35))</f>
        <v/>
      </c>
      <c r="P807" s="54">
        <f>IF($B807=0,NA(),IF(Inputs!$B$25&lt;&gt;"Yes",NA(),Inputs!$D$25*Inputs!$C$35))</f>
        <v/>
      </c>
      <c r="Q807" s="54">
        <f>IF($B807=0,NA(),IF(Inputs!$B$26&lt;&gt;"Yes",NA(),Inputs!$D$26*Inputs!$C$35))</f>
        <v/>
      </c>
      <c r="R807" s="54">
        <f>IF($B807=0,NA(),IF(Inputs!$B$27&lt;&gt;"Yes",NA(),Inputs!$D$27*Inputs!$C$35))</f>
        <v/>
      </c>
      <c r="S807" s="54">
        <f>IF($B807=0,NA(),IF(Inputs!$B$28&lt;&gt;"Yes",NA(),Inputs!$D$28*Inputs!$C$35))</f>
        <v/>
      </c>
      <c r="T807" s="54">
        <f>IF($B807=0,NA(),IF(Inputs!$B$29&lt;&gt;"Yes",NA(),Inputs!$D$29*Inputs!$C$35))</f>
        <v/>
      </c>
      <c r="AD807">
        <f>IF($B807=0,0,IF(Inputs!$B$6="",0,COUNTIFS(Data!$A$10:$A$3209,"&gt;="&amp;$A807,Data!$A$10:$A$3209,"&lt;"&amp;$A807+1)))</f>
        <v/>
      </c>
      <c r="AE807">
        <f>IF($B807=0,0,IF(Inputs!$B$7="",0,COUNTIFS(Data!$E$10:$E$3209,"&gt;="&amp;$A807,Data!$E$10:$E$3209,"&lt;"&amp;$A807+1)))</f>
        <v/>
      </c>
      <c r="AF807">
        <f>IF($B807=0,0,IF(Inputs!$B$8="",0,COUNTIFS(Data!$I$10:$I$3209,"&gt;="&amp;$A807,Data!$I$10:$I$3209,"&lt;"&amp;$A807+1)))</f>
        <v/>
      </c>
      <c r="AG807">
        <f>IF($B807=0,0,IF(Inputs!$B$9="",0,COUNTIFS(Data!$M$10:$M$3209,"&gt;="&amp;$A807,Data!$M$10:$M$3209,"&lt;"&amp;$A807+1)))</f>
        <v/>
      </c>
      <c r="AH807">
        <f>IF($B807=0,0,IF(Inputs!$B$10="",0,COUNTIFS(Data!$Q$10:$Q$3209,"&gt;="&amp;$A807,Data!$Q$10:$Q$3209,"&lt;"&amp;$A807+1)))</f>
        <v/>
      </c>
    </row>
    <row r="808">
      <c r="A808" s="55">
        <f>MIN(Inputs!$C$15,$A807+IF(WEEKDAY($A807,2)=5,3,1))</f>
        <v/>
      </c>
      <c r="B808">
        <f>IF($A808&gt;$A807,1,0)</f>
        <v/>
      </c>
      <c r="C808" s="56">
        <f>IF($B808=0,"",IF(Inputs!$B$6="","",IF($AD808=0,C807,SUMIFS(Data!$B$10:$B$3209,Data!$A$10:$A$3209,"&gt;="&amp;$A808,Data!$A$10:$A$3209,"&lt;"&amp;$A808+1)/$AD808)))</f>
        <v/>
      </c>
      <c r="D808" s="56">
        <f>IF($B808=0,"",IF(Inputs!$B$7="","",IF($AE808=0,D807,SUMIFS(Data!$F$10:$F$3209,Data!$E$10:$E$3209,"&gt;="&amp;$A808,Data!$E$10:$E$3209,"&lt;"&amp;$A808+1)/$AE808)))</f>
        <v/>
      </c>
      <c r="E808" s="56">
        <f>IF($B808=0,"",IF(Inputs!$B$8="","",IF($AF808=0,E807,SUMIFS(Data!$J$10:$J$3209,Data!$I$10:$I$3209,"&gt;="&amp;$A808,Data!$I$10:$I$3209,"&lt;"&amp;$A808+1)/$AF808)))</f>
        <v/>
      </c>
      <c r="F808" s="56">
        <f>IF($B808=0,"",IF(Inputs!$B$9="","",IF($AG808=0,F807,SUMIFS(Data!$N$10:$N$3209,Data!$M$10:$M$3209,"&gt;="&amp;$A808,Data!$M$10:$M$3209,"&lt;"&amp;$A808+1)/$AG808)))</f>
        <v/>
      </c>
      <c r="G808" s="56">
        <f>IF($B808=0,"",IF(Inputs!$B$10="","",IF($AH808=0,G807,SUMIFS(Data!$R$10:$R$3209,Data!$Q$10:$Q$3209,"&gt;="&amp;$A808,Data!$Q$10:$Q$3209,"&lt;"&amp;$A808+1)/$AH808)))</f>
        <v/>
      </c>
      <c r="I808" s="54">
        <f>IF($B808=0,NA(),IF($C808="",NA(),IF(C$8="",NA(),IF(N(C$8)=0,NA(),IF(Inputs!$C$17="Rebased to 100",$C808/C$8*100,$C808)))))</f>
        <v/>
      </c>
      <c r="J808" s="54">
        <f>IF($B808=0,NA(),IF($D808="",NA(),IF(D$8="",NA(),IF(N(D$8)=0,NA(),IF(Inputs!$C$17="Rebased to 100",$D808/D$8*100,$D808)))))</f>
        <v/>
      </c>
      <c r="K808" s="54">
        <f>IF($B808=0,NA(),IF($E808="",NA(),IF(E$8="",NA(),IF(N(E$8)=0,NA(),IF(Inputs!$C$17="Rebased to 100",$E808/E$8*100,$E808)))))</f>
        <v/>
      </c>
      <c r="L808" s="54">
        <f>IF($B808=0,NA(),IF($F808="",NA(),IF(F$8="",NA(),IF(N(F$8)=0,NA(),IF(Inputs!$C$17="Rebased to 100",$F808/F$8*100,$F808)))))</f>
        <v/>
      </c>
      <c r="M808" s="54">
        <f>IF($B808=0,NA(),IF($G808="",NA(),IF(G$8="",NA(),IF(N(G$8)=0,NA(),IF(Inputs!$C$17="Rebased to 100",$G808/G$8*100,$G808)))))</f>
        <v/>
      </c>
      <c r="N808" s="54">
        <f>IF($B808=0,NA(),IF(Inputs!$C$18&lt;&gt;"Yes",NA(),IF(COUNT(I808,J808,K808,L808,M808)=0,NA(),MIN(I808,J808,K808,L808,M808))))</f>
        <v/>
      </c>
      <c r="O808" s="54">
        <f>IF($B808=0,NA(),IF(Inputs!$B$24&lt;&gt;"Yes",NA(),Inputs!$D$24*Inputs!$C$35))</f>
        <v/>
      </c>
      <c r="P808" s="54">
        <f>IF($B808=0,NA(),IF(Inputs!$B$25&lt;&gt;"Yes",NA(),Inputs!$D$25*Inputs!$C$35))</f>
        <v/>
      </c>
      <c r="Q808" s="54">
        <f>IF($B808=0,NA(),IF(Inputs!$B$26&lt;&gt;"Yes",NA(),Inputs!$D$26*Inputs!$C$35))</f>
        <v/>
      </c>
      <c r="R808" s="54">
        <f>IF($B808=0,NA(),IF(Inputs!$B$27&lt;&gt;"Yes",NA(),Inputs!$D$27*Inputs!$C$35))</f>
        <v/>
      </c>
      <c r="S808" s="54">
        <f>IF($B808=0,NA(),IF(Inputs!$B$28&lt;&gt;"Yes",NA(),Inputs!$D$28*Inputs!$C$35))</f>
        <v/>
      </c>
      <c r="T808" s="54">
        <f>IF($B808=0,NA(),IF(Inputs!$B$29&lt;&gt;"Yes",NA(),Inputs!$D$29*Inputs!$C$35))</f>
        <v/>
      </c>
      <c r="AD808">
        <f>IF($B808=0,0,IF(Inputs!$B$6="",0,COUNTIFS(Data!$A$10:$A$3209,"&gt;="&amp;$A808,Data!$A$10:$A$3209,"&lt;"&amp;$A808+1)))</f>
        <v/>
      </c>
      <c r="AE808">
        <f>IF($B808=0,0,IF(Inputs!$B$7="",0,COUNTIFS(Data!$E$10:$E$3209,"&gt;="&amp;$A808,Data!$E$10:$E$3209,"&lt;"&amp;$A808+1)))</f>
        <v/>
      </c>
      <c r="AF808">
        <f>IF($B808=0,0,IF(Inputs!$B$8="",0,COUNTIFS(Data!$I$10:$I$3209,"&gt;="&amp;$A808,Data!$I$10:$I$3209,"&lt;"&amp;$A808+1)))</f>
        <v/>
      </c>
      <c r="AG808">
        <f>IF($B808=0,0,IF(Inputs!$B$9="",0,COUNTIFS(Data!$M$10:$M$3209,"&gt;="&amp;$A808,Data!$M$10:$M$3209,"&lt;"&amp;$A808+1)))</f>
        <v/>
      </c>
      <c r="AH808">
        <f>IF($B808=0,0,IF(Inputs!$B$10="",0,COUNTIFS(Data!$Q$10:$Q$3209,"&gt;="&amp;$A808,Data!$Q$10:$Q$3209,"&lt;"&amp;$A808+1)))</f>
        <v/>
      </c>
    </row>
    <row r="809">
      <c r="A809" s="55">
        <f>MIN(Inputs!$C$15,$A808+IF(WEEKDAY($A808,2)=5,3,1))</f>
        <v/>
      </c>
      <c r="B809">
        <f>IF($A809&gt;$A808,1,0)</f>
        <v/>
      </c>
      <c r="C809" s="56">
        <f>IF($B809=0,"",IF(Inputs!$B$6="","",IF($AD809=0,C808,SUMIFS(Data!$B$10:$B$3209,Data!$A$10:$A$3209,"&gt;="&amp;$A809,Data!$A$10:$A$3209,"&lt;"&amp;$A809+1)/$AD809)))</f>
        <v/>
      </c>
      <c r="D809" s="56">
        <f>IF($B809=0,"",IF(Inputs!$B$7="","",IF($AE809=0,D808,SUMIFS(Data!$F$10:$F$3209,Data!$E$10:$E$3209,"&gt;="&amp;$A809,Data!$E$10:$E$3209,"&lt;"&amp;$A809+1)/$AE809)))</f>
        <v/>
      </c>
      <c r="E809" s="56">
        <f>IF($B809=0,"",IF(Inputs!$B$8="","",IF($AF809=0,E808,SUMIFS(Data!$J$10:$J$3209,Data!$I$10:$I$3209,"&gt;="&amp;$A809,Data!$I$10:$I$3209,"&lt;"&amp;$A809+1)/$AF809)))</f>
        <v/>
      </c>
      <c r="F809" s="56">
        <f>IF($B809=0,"",IF(Inputs!$B$9="","",IF($AG809=0,F808,SUMIFS(Data!$N$10:$N$3209,Data!$M$10:$M$3209,"&gt;="&amp;$A809,Data!$M$10:$M$3209,"&lt;"&amp;$A809+1)/$AG809)))</f>
        <v/>
      </c>
      <c r="G809" s="56">
        <f>IF($B809=0,"",IF(Inputs!$B$10="","",IF($AH809=0,G808,SUMIFS(Data!$R$10:$R$3209,Data!$Q$10:$Q$3209,"&gt;="&amp;$A809,Data!$Q$10:$Q$3209,"&lt;"&amp;$A809+1)/$AH809)))</f>
        <v/>
      </c>
      <c r="I809" s="54">
        <f>IF($B809=0,NA(),IF($C809="",NA(),IF(C$8="",NA(),IF(N(C$8)=0,NA(),IF(Inputs!$C$17="Rebased to 100",$C809/C$8*100,$C809)))))</f>
        <v/>
      </c>
      <c r="J809" s="54">
        <f>IF($B809=0,NA(),IF($D809="",NA(),IF(D$8="",NA(),IF(N(D$8)=0,NA(),IF(Inputs!$C$17="Rebased to 100",$D809/D$8*100,$D809)))))</f>
        <v/>
      </c>
      <c r="K809" s="54">
        <f>IF($B809=0,NA(),IF($E809="",NA(),IF(E$8="",NA(),IF(N(E$8)=0,NA(),IF(Inputs!$C$17="Rebased to 100",$E809/E$8*100,$E809)))))</f>
        <v/>
      </c>
      <c r="L809" s="54">
        <f>IF($B809=0,NA(),IF($F809="",NA(),IF(F$8="",NA(),IF(N(F$8)=0,NA(),IF(Inputs!$C$17="Rebased to 100",$F809/F$8*100,$F809)))))</f>
        <v/>
      </c>
      <c r="M809" s="54">
        <f>IF($B809=0,NA(),IF($G809="",NA(),IF(G$8="",NA(),IF(N(G$8)=0,NA(),IF(Inputs!$C$17="Rebased to 100",$G809/G$8*100,$G809)))))</f>
        <v/>
      </c>
      <c r="N809" s="54">
        <f>IF($B809=0,NA(),IF(Inputs!$C$18&lt;&gt;"Yes",NA(),IF(COUNT(I809,J809,K809,L809,M809)=0,NA(),MIN(I809,J809,K809,L809,M809))))</f>
        <v/>
      </c>
      <c r="O809" s="54">
        <f>IF($B809=0,NA(),IF(Inputs!$B$24&lt;&gt;"Yes",NA(),Inputs!$D$24*Inputs!$C$35))</f>
        <v/>
      </c>
      <c r="P809" s="54">
        <f>IF($B809=0,NA(),IF(Inputs!$B$25&lt;&gt;"Yes",NA(),Inputs!$D$25*Inputs!$C$35))</f>
        <v/>
      </c>
      <c r="Q809" s="54">
        <f>IF($B809=0,NA(),IF(Inputs!$B$26&lt;&gt;"Yes",NA(),Inputs!$D$26*Inputs!$C$35))</f>
        <v/>
      </c>
      <c r="R809" s="54">
        <f>IF($B809=0,NA(),IF(Inputs!$B$27&lt;&gt;"Yes",NA(),Inputs!$D$27*Inputs!$C$35))</f>
        <v/>
      </c>
      <c r="S809" s="54">
        <f>IF($B809=0,NA(),IF(Inputs!$B$28&lt;&gt;"Yes",NA(),Inputs!$D$28*Inputs!$C$35))</f>
        <v/>
      </c>
      <c r="T809" s="54">
        <f>IF($B809=0,NA(),IF(Inputs!$B$29&lt;&gt;"Yes",NA(),Inputs!$D$29*Inputs!$C$35))</f>
        <v/>
      </c>
      <c r="AD809">
        <f>IF($B809=0,0,IF(Inputs!$B$6="",0,COUNTIFS(Data!$A$10:$A$3209,"&gt;="&amp;$A809,Data!$A$10:$A$3209,"&lt;"&amp;$A809+1)))</f>
        <v/>
      </c>
      <c r="AE809">
        <f>IF($B809=0,0,IF(Inputs!$B$7="",0,COUNTIFS(Data!$E$10:$E$3209,"&gt;="&amp;$A809,Data!$E$10:$E$3209,"&lt;"&amp;$A809+1)))</f>
        <v/>
      </c>
      <c r="AF809">
        <f>IF($B809=0,0,IF(Inputs!$B$8="",0,COUNTIFS(Data!$I$10:$I$3209,"&gt;="&amp;$A809,Data!$I$10:$I$3209,"&lt;"&amp;$A809+1)))</f>
        <v/>
      </c>
      <c r="AG809">
        <f>IF($B809=0,0,IF(Inputs!$B$9="",0,COUNTIFS(Data!$M$10:$M$3209,"&gt;="&amp;$A809,Data!$M$10:$M$3209,"&lt;"&amp;$A809+1)))</f>
        <v/>
      </c>
      <c r="AH809">
        <f>IF($B809=0,0,IF(Inputs!$B$10="",0,COUNTIFS(Data!$Q$10:$Q$3209,"&gt;="&amp;$A809,Data!$Q$10:$Q$3209,"&lt;"&amp;$A809+1)))</f>
        <v/>
      </c>
    </row>
    <row r="810">
      <c r="A810" s="55">
        <f>MIN(Inputs!$C$15,$A809+IF(WEEKDAY($A809,2)=5,3,1))</f>
        <v/>
      </c>
      <c r="B810">
        <f>IF($A810&gt;$A809,1,0)</f>
        <v/>
      </c>
      <c r="C810" s="56">
        <f>IF($B810=0,"",IF(Inputs!$B$6="","",IF($AD810=0,C809,SUMIFS(Data!$B$10:$B$3209,Data!$A$10:$A$3209,"&gt;="&amp;$A810,Data!$A$10:$A$3209,"&lt;"&amp;$A810+1)/$AD810)))</f>
        <v/>
      </c>
      <c r="D810" s="56">
        <f>IF($B810=0,"",IF(Inputs!$B$7="","",IF($AE810=0,D809,SUMIFS(Data!$F$10:$F$3209,Data!$E$10:$E$3209,"&gt;="&amp;$A810,Data!$E$10:$E$3209,"&lt;"&amp;$A810+1)/$AE810)))</f>
        <v/>
      </c>
      <c r="E810" s="56">
        <f>IF($B810=0,"",IF(Inputs!$B$8="","",IF($AF810=0,E809,SUMIFS(Data!$J$10:$J$3209,Data!$I$10:$I$3209,"&gt;="&amp;$A810,Data!$I$10:$I$3209,"&lt;"&amp;$A810+1)/$AF810)))</f>
        <v/>
      </c>
      <c r="F810" s="56">
        <f>IF($B810=0,"",IF(Inputs!$B$9="","",IF($AG810=0,F809,SUMIFS(Data!$N$10:$N$3209,Data!$M$10:$M$3209,"&gt;="&amp;$A810,Data!$M$10:$M$3209,"&lt;"&amp;$A810+1)/$AG810)))</f>
        <v/>
      </c>
      <c r="G810" s="56">
        <f>IF($B810=0,"",IF(Inputs!$B$10="","",IF($AH810=0,G809,SUMIFS(Data!$R$10:$R$3209,Data!$Q$10:$Q$3209,"&gt;="&amp;$A810,Data!$Q$10:$Q$3209,"&lt;"&amp;$A810+1)/$AH810)))</f>
        <v/>
      </c>
      <c r="I810" s="54">
        <f>IF($B810=0,NA(),IF($C810="",NA(),IF(C$8="",NA(),IF(N(C$8)=0,NA(),IF(Inputs!$C$17="Rebased to 100",$C810/C$8*100,$C810)))))</f>
        <v/>
      </c>
      <c r="J810" s="54">
        <f>IF($B810=0,NA(),IF($D810="",NA(),IF(D$8="",NA(),IF(N(D$8)=0,NA(),IF(Inputs!$C$17="Rebased to 100",$D810/D$8*100,$D810)))))</f>
        <v/>
      </c>
      <c r="K810" s="54">
        <f>IF($B810=0,NA(),IF($E810="",NA(),IF(E$8="",NA(),IF(N(E$8)=0,NA(),IF(Inputs!$C$17="Rebased to 100",$E810/E$8*100,$E810)))))</f>
        <v/>
      </c>
      <c r="L810" s="54">
        <f>IF($B810=0,NA(),IF($F810="",NA(),IF(F$8="",NA(),IF(N(F$8)=0,NA(),IF(Inputs!$C$17="Rebased to 100",$F810/F$8*100,$F810)))))</f>
        <v/>
      </c>
      <c r="M810" s="54">
        <f>IF($B810=0,NA(),IF($G810="",NA(),IF(G$8="",NA(),IF(N(G$8)=0,NA(),IF(Inputs!$C$17="Rebased to 100",$G810/G$8*100,$G810)))))</f>
        <v/>
      </c>
      <c r="N810" s="54">
        <f>IF($B810=0,NA(),IF(Inputs!$C$18&lt;&gt;"Yes",NA(),IF(COUNT(I810,J810,K810,L810,M810)=0,NA(),MIN(I810,J810,K810,L810,M810))))</f>
        <v/>
      </c>
      <c r="O810" s="54">
        <f>IF($B810=0,NA(),IF(Inputs!$B$24&lt;&gt;"Yes",NA(),Inputs!$D$24*Inputs!$C$35))</f>
        <v/>
      </c>
      <c r="P810" s="54">
        <f>IF($B810=0,NA(),IF(Inputs!$B$25&lt;&gt;"Yes",NA(),Inputs!$D$25*Inputs!$C$35))</f>
        <v/>
      </c>
      <c r="Q810" s="54">
        <f>IF($B810=0,NA(),IF(Inputs!$B$26&lt;&gt;"Yes",NA(),Inputs!$D$26*Inputs!$C$35))</f>
        <v/>
      </c>
      <c r="R810" s="54">
        <f>IF($B810=0,NA(),IF(Inputs!$B$27&lt;&gt;"Yes",NA(),Inputs!$D$27*Inputs!$C$35))</f>
        <v/>
      </c>
      <c r="S810" s="54">
        <f>IF($B810=0,NA(),IF(Inputs!$B$28&lt;&gt;"Yes",NA(),Inputs!$D$28*Inputs!$C$35))</f>
        <v/>
      </c>
      <c r="T810" s="54">
        <f>IF($B810=0,NA(),IF(Inputs!$B$29&lt;&gt;"Yes",NA(),Inputs!$D$29*Inputs!$C$35))</f>
        <v/>
      </c>
      <c r="AD810">
        <f>IF($B810=0,0,IF(Inputs!$B$6="",0,COUNTIFS(Data!$A$10:$A$3209,"&gt;="&amp;$A810,Data!$A$10:$A$3209,"&lt;"&amp;$A810+1)))</f>
        <v/>
      </c>
      <c r="AE810">
        <f>IF($B810=0,0,IF(Inputs!$B$7="",0,COUNTIFS(Data!$E$10:$E$3209,"&gt;="&amp;$A810,Data!$E$10:$E$3209,"&lt;"&amp;$A810+1)))</f>
        <v/>
      </c>
      <c r="AF810">
        <f>IF($B810=0,0,IF(Inputs!$B$8="",0,COUNTIFS(Data!$I$10:$I$3209,"&gt;="&amp;$A810,Data!$I$10:$I$3209,"&lt;"&amp;$A810+1)))</f>
        <v/>
      </c>
      <c r="AG810">
        <f>IF($B810=0,0,IF(Inputs!$B$9="",0,COUNTIFS(Data!$M$10:$M$3209,"&gt;="&amp;$A810,Data!$M$10:$M$3209,"&lt;"&amp;$A810+1)))</f>
        <v/>
      </c>
      <c r="AH810">
        <f>IF($B810=0,0,IF(Inputs!$B$10="",0,COUNTIFS(Data!$Q$10:$Q$3209,"&gt;="&amp;$A810,Data!$Q$10:$Q$3209,"&lt;"&amp;$A810+1)))</f>
        <v/>
      </c>
    </row>
    <row r="811">
      <c r="A811" s="55">
        <f>MIN(Inputs!$C$15,$A810+IF(WEEKDAY($A810,2)=5,3,1))</f>
        <v/>
      </c>
      <c r="B811">
        <f>IF($A811&gt;$A810,1,0)</f>
        <v/>
      </c>
      <c r="C811" s="56">
        <f>IF($B811=0,"",IF(Inputs!$B$6="","",IF($AD811=0,C810,SUMIFS(Data!$B$10:$B$3209,Data!$A$10:$A$3209,"&gt;="&amp;$A811,Data!$A$10:$A$3209,"&lt;"&amp;$A811+1)/$AD811)))</f>
        <v/>
      </c>
      <c r="D811" s="56">
        <f>IF($B811=0,"",IF(Inputs!$B$7="","",IF($AE811=0,D810,SUMIFS(Data!$F$10:$F$3209,Data!$E$10:$E$3209,"&gt;="&amp;$A811,Data!$E$10:$E$3209,"&lt;"&amp;$A811+1)/$AE811)))</f>
        <v/>
      </c>
      <c r="E811" s="56">
        <f>IF($B811=0,"",IF(Inputs!$B$8="","",IF($AF811=0,E810,SUMIFS(Data!$J$10:$J$3209,Data!$I$10:$I$3209,"&gt;="&amp;$A811,Data!$I$10:$I$3209,"&lt;"&amp;$A811+1)/$AF811)))</f>
        <v/>
      </c>
      <c r="F811" s="56">
        <f>IF($B811=0,"",IF(Inputs!$B$9="","",IF($AG811=0,F810,SUMIFS(Data!$N$10:$N$3209,Data!$M$10:$M$3209,"&gt;="&amp;$A811,Data!$M$10:$M$3209,"&lt;"&amp;$A811+1)/$AG811)))</f>
        <v/>
      </c>
      <c r="G811" s="56">
        <f>IF($B811=0,"",IF(Inputs!$B$10="","",IF($AH811=0,G810,SUMIFS(Data!$R$10:$R$3209,Data!$Q$10:$Q$3209,"&gt;="&amp;$A811,Data!$Q$10:$Q$3209,"&lt;"&amp;$A811+1)/$AH811)))</f>
        <v/>
      </c>
      <c r="I811" s="54">
        <f>IF($B811=0,NA(),IF($C811="",NA(),IF(C$8="",NA(),IF(N(C$8)=0,NA(),IF(Inputs!$C$17="Rebased to 100",$C811/C$8*100,$C811)))))</f>
        <v/>
      </c>
      <c r="J811" s="54">
        <f>IF($B811=0,NA(),IF($D811="",NA(),IF(D$8="",NA(),IF(N(D$8)=0,NA(),IF(Inputs!$C$17="Rebased to 100",$D811/D$8*100,$D811)))))</f>
        <v/>
      </c>
      <c r="K811" s="54">
        <f>IF($B811=0,NA(),IF($E811="",NA(),IF(E$8="",NA(),IF(N(E$8)=0,NA(),IF(Inputs!$C$17="Rebased to 100",$E811/E$8*100,$E811)))))</f>
        <v/>
      </c>
      <c r="L811" s="54">
        <f>IF($B811=0,NA(),IF($F811="",NA(),IF(F$8="",NA(),IF(N(F$8)=0,NA(),IF(Inputs!$C$17="Rebased to 100",$F811/F$8*100,$F811)))))</f>
        <v/>
      </c>
      <c r="M811" s="54">
        <f>IF($B811=0,NA(),IF($G811="",NA(),IF(G$8="",NA(),IF(N(G$8)=0,NA(),IF(Inputs!$C$17="Rebased to 100",$G811/G$8*100,$G811)))))</f>
        <v/>
      </c>
      <c r="N811" s="54">
        <f>IF($B811=0,NA(),IF(Inputs!$C$18&lt;&gt;"Yes",NA(),IF(COUNT(I811,J811,K811,L811,M811)=0,NA(),MIN(I811,J811,K811,L811,M811))))</f>
        <v/>
      </c>
      <c r="O811" s="54">
        <f>IF($B811=0,NA(),IF(Inputs!$B$24&lt;&gt;"Yes",NA(),Inputs!$D$24*Inputs!$C$35))</f>
        <v/>
      </c>
      <c r="P811" s="54">
        <f>IF($B811=0,NA(),IF(Inputs!$B$25&lt;&gt;"Yes",NA(),Inputs!$D$25*Inputs!$C$35))</f>
        <v/>
      </c>
      <c r="Q811" s="54">
        <f>IF($B811=0,NA(),IF(Inputs!$B$26&lt;&gt;"Yes",NA(),Inputs!$D$26*Inputs!$C$35))</f>
        <v/>
      </c>
      <c r="R811" s="54">
        <f>IF($B811=0,NA(),IF(Inputs!$B$27&lt;&gt;"Yes",NA(),Inputs!$D$27*Inputs!$C$35))</f>
        <v/>
      </c>
      <c r="S811" s="54">
        <f>IF($B811=0,NA(),IF(Inputs!$B$28&lt;&gt;"Yes",NA(),Inputs!$D$28*Inputs!$C$35))</f>
        <v/>
      </c>
      <c r="T811" s="54">
        <f>IF($B811=0,NA(),IF(Inputs!$B$29&lt;&gt;"Yes",NA(),Inputs!$D$29*Inputs!$C$35))</f>
        <v/>
      </c>
      <c r="AD811">
        <f>IF($B811=0,0,IF(Inputs!$B$6="",0,COUNTIFS(Data!$A$10:$A$3209,"&gt;="&amp;$A811,Data!$A$10:$A$3209,"&lt;"&amp;$A811+1)))</f>
        <v/>
      </c>
      <c r="AE811">
        <f>IF($B811=0,0,IF(Inputs!$B$7="",0,COUNTIFS(Data!$E$10:$E$3209,"&gt;="&amp;$A811,Data!$E$10:$E$3209,"&lt;"&amp;$A811+1)))</f>
        <v/>
      </c>
      <c r="AF811">
        <f>IF($B811=0,0,IF(Inputs!$B$8="",0,COUNTIFS(Data!$I$10:$I$3209,"&gt;="&amp;$A811,Data!$I$10:$I$3209,"&lt;"&amp;$A811+1)))</f>
        <v/>
      </c>
      <c r="AG811">
        <f>IF($B811=0,0,IF(Inputs!$B$9="",0,COUNTIFS(Data!$M$10:$M$3209,"&gt;="&amp;$A811,Data!$M$10:$M$3209,"&lt;"&amp;$A811+1)))</f>
        <v/>
      </c>
      <c r="AH811">
        <f>IF($B811=0,0,IF(Inputs!$B$10="",0,COUNTIFS(Data!$Q$10:$Q$3209,"&gt;="&amp;$A811,Data!$Q$10:$Q$3209,"&lt;"&amp;$A811+1)))</f>
        <v/>
      </c>
    </row>
    <row r="812">
      <c r="A812" s="55">
        <f>MIN(Inputs!$C$15,$A811+IF(WEEKDAY($A811,2)=5,3,1))</f>
        <v/>
      </c>
      <c r="B812">
        <f>IF($A812&gt;$A811,1,0)</f>
        <v/>
      </c>
      <c r="C812" s="56">
        <f>IF($B812=0,"",IF(Inputs!$B$6="","",IF($AD812=0,C811,SUMIFS(Data!$B$10:$B$3209,Data!$A$10:$A$3209,"&gt;="&amp;$A812,Data!$A$10:$A$3209,"&lt;"&amp;$A812+1)/$AD812)))</f>
        <v/>
      </c>
      <c r="D812" s="56">
        <f>IF($B812=0,"",IF(Inputs!$B$7="","",IF($AE812=0,D811,SUMIFS(Data!$F$10:$F$3209,Data!$E$10:$E$3209,"&gt;="&amp;$A812,Data!$E$10:$E$3209,"&lt;"&amp;$A812+1)/$AE812)))</f>
        <v/>
      </c>
      <c r="E812" s="56">
        <f>IF($B812=0,"",IF(Inputs!$B$8="","",IF($AF812=0,E811,SUMIFS(Data!$J$10:$J$3209,Data!$I$10:$I$3209,"&gt;="&amp;$A812,Data!$I$10:$I$3209,"&lt;"&amp;$A812+1)/$AF812)))</f>
        <v/>
      </c>
      <c r="F812" s="56">
        <f>IF($B812=0,"",IF(Inputs!$B$9="","",IF($AG812=0,F811,SUMIFS(Data!$N$10:$N$3209,Data!$M$10:$M$3209,"&gt;="&amp;$A812,Data!$M$10:$M$3209,"&lt;"&amp;$A812+1)/$AG812)))</f>
        <v/>
      </c>
      <c r="G812" s="56">
        <f>IF($B812=0,"",IF(Inputs!$B$10="","",IF($AH812=0,G811,SUMIFS(Data!$R$10:$R$3209,Data!$Q$10:$Q$3209,"&gt;="&amp;$A812,Data!$Q$10:$Q$3209,"&lt;"&amp;$A812+1)/$AH812)))</f>
        <v/>
      </c>
      <c r="I812" s="54">
        <f>IF($B812=0,NA(),IF($C812="",NA(),IF(C$8="",NA(),IF(N(C$8)=0,NA(),IF(Inputs!$C$17="Rebased to 100",$C812/C$8*100,$C812)))))</f>
        <v/>
      </c>
      <c r="J812" s="54">
        <f>IF($B812=0,NA(),IF($D812="",NA(),IF(D$8="",NA(),IF(N(D$8)=0,NA(),IF(Inputs!$C$17="Rebased to 100",$D812/D$8*100,$D812)))))</f>
        <v/>
      </c>
      <c r="K812" s="54">
        <f>IF($B812=0,NA(),IF($E812="",NA(),IF(E$8="",NA(),IF(N(E$8)=0,NA(),IF(Inputs!$C$17="Rebased to 100",$E812/E$8*100,$E812)))))</f>
        <v/>
      </c>
      <c r="L812" s="54">
        <f>IF($B812=0,NA(),IF($F812="",NA(),IF(F$8="",NA(),IF(N(F$8)=0,NA(),IF(Inputs!$C$17="Rebased to 100",$F812/F$8*100,$F812)))))</f>
        <v/>
      </c>
      <c r="M812" s="54">
        <f>IF($B812=0,NA(),IF($G812="",NA(),IF(G$8="",NA(),IF(N(G$8)=0,NA(),IF(Inputs!$C$17="Rebased to 100",$G812/G$8*100,$G812)))))</f>
        <v/>
      </c>
      <c r="N812" s="54">
        <f>IF($B812=0,NA(),IF(Inputs!$C$18&lt;&gt;"Yes",NA(),IF(COUNT(I812,J812,K812,L812,M812)=0,NA(),MIN(I812,J812,K812,L812,M812))))</f>
        <v/>
      </c>
      <c r="O812" s="54">
        <f>IF($B812=0,NA(),IF(Inputs!$B$24&lt;&gt;"Yes",NA(),Inputs!$D$24*Inputs!$C$35))</f>
        <v/>
      </c>
      <c r="P812" s="54">
        <f>IF($B812=0,NA(),IF(Inputs!$B$25&lt;&gt;"Yes",NA(),Inputs!$D$25*Inputs!$C$35))</f>
        <v/>
      </c>
      <c r="Q812" s="54">
        <f>IF($B812=0,NA(),IF(Inputs!$B$26&lt;&gt;"Yes",NA(),Inputs!$D$26*Inputs!$C$35))</f>
        <v/>
      </c>
      <c r="R812" s="54">
        <f>IF($B812=0,NA(),IF(Inputs!$B$27&lt;&gt;"Yes",NA(),Inputs!$D$27*Inputs!$C$35))</f>
        <v/>
      </c>
      <c r="S812" s="54">
        <f>IF($B812=0,NA(),IF(Inputs!$B$28&lt;&gt;"Yes",NA(),Inputs!$D$28*Inputs!$C$35))</f>
        <v/>
      </c>
      <c r="T812" s="54">
        <f>IF($B812=0,NA(),IF(Inputs!$B$29&lt;&gt;"Yes",NA(),Inputs!$D$29*Inputs!$C$35))</f>
        <v/>
      </c>
      <c r="AD812">
        <f>IF($B812=0,0,IF(Inputs!$B$6="",0,COUNTIFS(Data!$A$10:$A$3209,"&gt;="&amp;$A812,Data!$A$10:$A$3209,"&lt;"&amp;$A812+1)))</f>
        <v/>
      </c>
      <c r="AE812">
        <f>IF($B812=0,0,IF(Inputs!$B$7="",0,COUNTIFS(Data!$E$10:$E$3209,"&gt;="&amp;$A812,Data!$E$10:$E$3209,"&lt;"&amp;$A812+1)))</f>
        <v/>
      </c>
      <c r="AF812">
        <f>IF($B812=0,0,IF(Inputs!$B$8="",0,COUNTIFS(Data!$I$10:$I$3209,"&gt;="&amp;$A812,Data!$I$10:$I$3209,"&lt;"&amp;$A812+1)))</f>
        <v/>
      </c>
      <c r="AG812">
        <f>IF($B812=0,0,IF(Inputs!$B$9="",0,COUNTIFS(Data!$M$10:$M$3209,"&gt;="&amp;$A812,Data!$M$10:$M$3209,"&lt;"&amp;$A812+1)))</f>
        <v/>
      </c>
      <c r="AH812">
        <f>IF($B812=0,0,IF(Inputs!$B$10="",0,COUNTIFS(Data!$Q$10:$Q$3209,"&gt;="&amp;$A812,Data!$Q$10:$Q$3209,"&lt;"&amp;$A812+1)))</f>
        <v/>
      </c>
    </row>
    <row r="813">
      <c r="A813" s="55">
        <f>MIN(Inputs!$C$15,$A812+IF(WEEKDAY($A812,2)=5,3,1))</f>
        <v/>
      </c>
      <c r="B813">
        <f>IF($A813&gt;$A812,1,0)</f>
        <v/>
      </c>
      <c r="C813" s="56">
        <f>IF($B813=0,"",IF(Inputs!$B$6="","",IF($AD813=0,C812,SUMIFS(Data!$B$10:$B$3209,Data!$A$10:$A$3209,"&gt;="&amp;$A813,Data!$A$10:$A$3209,"&lt;"&amp;$A813+1)/$AD813)))</f>
        <v/>
      </c>
      <c r="D813" s="56">
        <f>IF($B813=0,"",IF(Inputs!$B$7="","",IF($AE813=0,D812,SUMIFS(Data!$F$10:$F$3209,Data!$E$10:$E$3209,"&gt;="&amp;$A813,Data!$E$10:$E$3209,"&lt;"&amp;$A813+1)/$AE813)))</f>
        <v/>
      </c>
      <c r="E813" s="56">
        <f>IF($B813=0,"",IF(Inputs!$B$8="","",IF($AF813=0,E812,SUMIFS(Data!$J$10:$J$3209,Data!$I$10:$I$3209,"&gt;="&amp;$A813,Data!$I$10:$I$3209,"&lt;"&amp;$A813+1)/$AF813)))</f>
        <v/>
      </c>
      <c r="F813" s="56">
        <f>IF($B813=0,"",IF(Inputs!$B$9="","",IF($AG813=0,F812,SUMIFS(Data!$N$10:$N$3209,Data!$M$10:$M$3209,"&gt;="&amp;$A813,Data!$M$10:$M$3209,"&lt;"&amp;$A813+1)/$AG813)))</f>
        <v/>
      </c>
      <c r="G813" s="56">
        <f>IF($B813=0,"",IF(Inputs!$B$10="","",IF($AH813=0,G812,SUMIFS(Data!$R$10:$R$3209,Data!$Q$10:$Q$3209,"&gt;="&amp;$A813,Data!$Q$10:$Q$3209,"&lt;"&amp;$A813+1)/$AH813)))</f>
        <v/>
      </c>
      <c r="I813" s="54">
        <f>IF($B813=0,NA(),IF($C813="",NA(),IF(C$8="",NA(),IF(N(C$8)=0,NA(),IF(Inputs!$C$17="Rebased to 100",$C813/C$8*100,$C813)))))</f>
        <v/>
      </c>
      <c r="J813" s="54">
        <f>IF($B813=0,NA(),IF($D813="",NA(),IF(D$8="",NA(),IF(N(D$8)=0,NA(),IF(Inputs!$C$17="Rebased to 100",$D813/D$8*100,$D813)))))</f>
        <v/>
      </c>
      <c r="K813" s="54">
        <f>IF($B813=0,NA(),IF($E813="",NA(),IF(E$8="",NA(),IF(N(E$8)=0,NA(),IF(Inputs!$C$17="Rebased to 100",$E813/E$8*100,$E813)))))</f>
        <v/>
      </c>
      <c r="L813" s="54">
        <f>IF($B813=0,NA(),IF($F813="",NA(),IF(F$8="",NA(),IF(N(F$8)=0,NA(),IF(Inputs!$C$17="Rebased to 100",$F813/F$8*100,$F813)))))</f>
        <v/>
      </c>
      <c r="M813" s="54">
        <f>IF($B813=0,NA(),IF($G813="",NA(),IF(G$8="",NA(),IF(N(G$8)=0,NA(),IF(Inputs!$C$17="Rebased to 100",$G813/G$8*100,$G813)))))</f>
        <v/>
      </c>
      <c r="N813" s="54">
        <f>IF($B813=0,NA(),IF(Inputs!$C$18&lt;&gt;"Yes",NA(),IF(COUNT(I813,J813,K813,L813,M813)=0,NA(),MIN(I813,J813,K813,L813,M813))))</f>
        <v/>
      </c>
      <c r="O813" s="54">
        <f>IF($B813=0,NA(),IF(Inputs!$B$24&lt;&gt;"Yes",NA(),Inputs!$D$24*Inputs!$C$35))</f>
        <v/>
      </c>
      <c r="P813" s="54">
        <f>IF($B813=0,NA(),IF(Inputs!$B$25&lt;&gt;"Yes",NA(),Inputs!$D$25*Inputs!$C$35))</f>
        <v/>
      </c>
      <c r="Q813" s="54">
        <f>IF($B813=0,NA(),IF(Inputs!$B$26&lt;&gt;"Yes",NA(),Inputs!$D$26*Inputs!$C$35))</f>
        <v/>
      </c>
      <c r="R813" s="54">
        <f>IF($B813=0,NA(),IF(Inputs!$B$27&lt;&gt;"Yes",NA(),Inputs!$D$27*Inputs!$C$35))</f>
        <v/>
      </c>
      <c r="S813" s="54">
        <f>IF($B813=0,NA(),IF(Inputs!$B$28&lt;&gt;"Yes",NA(),Inputs!$D$28*Inputs!$C$35))</f>
        <v/>
      </c>
      <c r="T813" s="54">
        <f>IF($B813=0,NA(),IF(Inputs!$B$29&lt;&gt;"Yes",NA(),Inputs!$D$29*Inputs!$C$35))</f>
        <v/>
      </c>
      <c r="AD813">
        <f>IF($B813=0,0,IF(Inputs!$B$6="",0,COUNTIFS(Data!$A$10:$A$3209,"&gt;="&amp;$A813,Data!$A$10:$A$3209,"&lt;"&amp;$A813+1)))</f>
        <v/>
      </c>
      <c r="AE813">
        <f>IF($B813=0,0,IF(Inputs!$B$7="",0,COUNTIFS(Data!$E$10:$E$3209,"&gt;="&amp;$A813,Data!$E$10:$E$3209,"&lt;"&amp;$A813+1)))</f>
        <v/>
      </c>
      <c r="AF813">
        <f>IF($B813=0,0,IF(Inputs!$B$8="",0,COUNTIFS(Data!$I$10:$I$3209,"&gt;="&amp;$A813,Data!$I$10:$I$3209,"&lt;"&amp;$A813+1)))</f>
        <v/>
      </c>
      <c r="AG813">
        <f>IF($B813=0,0,IF(Inputs!$B$9="",0,COUNTIFS(Data!$M$10:$M$3209,"&gt;="&amp;$A813,Data!$M$10:$M$3209,"&lt;"&amp;$A813+1)))</f>
        <v/>
      </c>
      <c r="AH813">
        <f>IF($B813=0,0,IF(Inputs!$B$10="",0,COUNTIFS(Data!$Q$10:$Q$3209,"&gt;="&amp;$A813,Data!$Q$10:$Q$3209,"&lt;"&amp;$A813+1)))</f>
        <v/>
      </c>
    </row>
    <row r="814">
      <c r="A814" s="55">
        <f>MIN(Inputs!$C$15,$A813+IF(WEEKDAY($A813,2)=5,3,1))</f>
        <v/>
      </c>
      <c r="B814">
        <f>IF($A814&gt;$A813,1,0)</f>
        <v/>
      </c>
      <c r="C814" s="56">
        <f>IF($B814=0,"",IF(Inputs!$B$6="","",IF($AD814=0,C813,SUMIFS(Data!$B$10:$B$3209,Data!$A$10:$A$3209,"&gt;="&amp;$A814,Data!$A$10:$A$3209,"&lt;"&amp;$A814+1)/$AD814)))</f>
        <v/>
      </c>
      <c r="D814" s="56">
        <f>IF($B814=0,"",IF(Inputs!$B$7="","",IF($AE814=0,D813,SUMIFS(Data!$F$10:$F$3209,Data!$E$10:$E$3209,"&gt;="&amp;$A814,Data!$E$10:$E$3209,"&lt;"&amp;$A814+1)/$AE814)))</f>
        <v/>
      </c>
      <c r="E814" s="56">
        <f>IF($B814=0,"",IF(Inputs!$B$8="","",IF($AF814=0,E813,SUMIFS(Data!$J$10:$J$3209,Data!$I$10:$I$3209,"&gt;="&amp;$A814,Data!$I$10:$I$3209,"&lt;"&amp;$A814+1)/$AF814)))</f>
        <v/>
      </c>
      <c r="F814" s="56">
        <f>IF($B814=0,"",IF(Inputs!$B$9="","",IF($AG814=0,F813,SUMIFS(Data!$N$10:$N$3209,Data!$M$10:$M$3209,"&gt;="&amp;$A814,Data!$M$10:$M$3209,"&lt;"&amp;$A814+1)/$AG814)))</f>
        <v/>
      </c>
      <c r="G814" s="56">
        <f>IF($B814=0,"",IF(Inputs!$B$10="","",IF($AH814=0,G813,SUMIFS(Data!$R$10:$R$3209,Data!$Q$10:$Q$3209,"&gt;="&amp;$A814,Data!$Q$10:$Q$3209,"&lt;"&amp;$A814+1)/$AH814)))</f>
        <v/>
      </c>
      <c r="I814" s="54">
        <f>IF($B814=0,NA(),IF($C814="",NA(),IF(C$8="",NA(),IF(N(C$8)=0,NA(),IF(Inputs!$C$17="Rebased to 100",$C814/C$8*100,$C814)))))</f>
        <v/>
      </c>
      <c r="J814" s="54">
        <f>IF($B814=0,NA(),IF($D814="",NA(),IF(D$8="",NA(),IF(N(D$8)=0,NA(),IF(Inputs!$C$17="Rebased to 100",$D814/D$8*100,$D814)))))</f>
        <v/>
      </c>
      <c r="K814" s="54">
        <f>IF($B814=0,NA(),IF($E814="",NA(),IF(E$8="",NA(),IF(N(E$8)=0,NA(),IF(Inputs!$C$17="Rebased to 100",$E814/E$8*100,$E814)))))</f>
        <v/>
      </c>
      <c r="L814" s="54">
        <f>IF($B814=0,NA(),IF($F814="",NA(),IF(F$8="",NA(),IF(N(F$8)=0,NA(),IF(Inputs!$C$17="Rebased to 100",$F814/F$8*100,$F814)))))</f>
        <v/>
      </c>
      <c r="M814" s="54">
        <f>IF($B814=0,NA(),IF($G814="",NA(),IF(G$8="",NA(),IF(N(G$8)=0,NA(),IF(Inputs!$C$17="Rebased to 100",$G814/G$8*100,$G814)))))</f>
        <v/>
      </c>
      <c r="N814" s="54">
        <f>IF($B814=0,NA(),IF(Inputs!$C$18&lt;&gt;"Yes",NA(),IF(COUNT(I814,J814,K814,L814,M814)=0,NA(),MIN(I814,J814,K814,L814,M814))))</f>
        <v/>
      </c>
      <c r="O814" s="54">
        <f>IF($B814=0,NA(),IF(Inputs!$B$24&lt;&gt;"Yes",NA(),Inputs!$D$24*Inputs!$C$35))</f>
        <v/>
      </c>
      <c r="P814" s="54">
        <f>IF($B814=0,NA(),IF(Inputs!$B$25&lt;&gt;"Yes",NA(),Inputs!$D$25*Inputs!$C$35))</f>
        <v/>
      </c>
      <c r="Q814" s="54">
        <f>IF($B814=0,NA(),IF(Inputs!$B$26&lt;&gt;"Yes",NA(),Inputs!$D$26*Inputs!$C$35))</f>
        <v/>
      </c>
      <c r="R814" s="54">
        <f>IF($B814=0,NA(),IF(Inputs!$B$27&lt;&gt;"Yes",NA(),Inputs!$D$27*Inputs!$C$35))</f>
        <v/>
      </c>
      <c r="S814" s="54">
        <f>IF($B814=0,NA(),IF(Inputs!$B$28&lt;&gt;"Yes",NA(),Inputs!$D$28*Inputs!$C$35))</f>
        <v/>
      </c>
      <c r="T814" s="54">
        <f>IF($B814=0,NA(),IF(Inputs!$B$29&lt;&gt;"Yes",NA(),Inputs!$D$29*Inputs!$C$35))</f>
        <v/>
      </c>
      <c r="AD814">
        <f>IF($B814=0,0,IF(Inputs!$B$6="",0,COUNTIFS(Data!$A$10:$A$3209,"&gt;="&amp;$A814,Data!$A$10:$A$3209,"&lt;"&amp;$A814+1)))</f>
        <v/>
      </c>
      <c r="AE814">
        <f>IF($B814=0,0,IF(Inputs!$B$7="",0,COUNTIFS(Data!$E$10:$E$3209,"&gt;="&amp;$A814,Data!$E$10:$E$3209,"&lt;"&amp;$A814+1)))</f>
        <v/>
      </c>
      <c r="AF814">
        <f>IF($B814=0,0,IF(Inputs!$B$8="",0,COUNTIFS(Data!$I$10:$I$3209,"&gt;="&amp;$A814,Data!$I$10:$I$3209,"&lt;"&amp;$A814+1)))</f>
        <v/>
      </c>
      <c r="AG814">
        <f>IF($B814=0,0,IF(Inputs!$B$9="",0,COUNTIFS(Data!$M$10:$M$3209,"&gt;="&amp;$A814,Data!$M$10:$M$3209,"&lt;"&amp;$A814+1)))</f>
        <v/>
      </c>
      <c r="AH814">
        <f>IF($B814=0,0,IF(Inputs!$B$10="",0,COUNTIFS(Data!$Q$10:$Q$3209,"&gt;="&amp;$A814,Data!$Q$10:$Q$3209,"&lt;"&amp;$A814+1)))</f>
        <v/>
      </c>
    </row>
    <row r="815">
      <c r="A815" s="55">
        <f>MIN(Inputs!$C$15,$A814+IF(WEEKDAY($A814,2)=5,3,1))</f>
        <v/>
      </c>
      <c r="B815">
        <f>IF($A815&gt;$A814,1,0)</f>
        <v/>
      </c>
      <c r="C815" s="56">
        <f>IF($B815=0,"",IF(Inputs!$B$6="","",IF($AD815=0,C814,SUMIFS(Data!$B$10:$B$3209,Data!$A$10:$A$3209,"&gt;="&amp;$A815,Data!$A$10:$A$3209,"&lt;"&amp;$A815+1)/$AD815)))</f>
        <v/>
      </c>
      <c r="D815" s="56">
        <f>IF($B815=0,"",IF(Inputs!$B$7="","",IF($AE815=0,D814,SUMIFS(Data!$F$10:$F$3209,Data!$E$10:$E$3209,"&gt;="&amp;$A815,Data!$E$10:$E$3209,"&lt;"&amp;$A815+1)/$AE815)))</f>
        <v/>
      </c>
      <c r="E815" s="56">
        <f>IF($B815=0,"",IF(Inputs!$B$8="","",IF($AF815=0,E814,SUMIFS(Data!$J$10:$J$3209,Data!$I$10:$I$3209,"&gt;="&amp;$A815,Data!$I$10:$I$3209,"&lt;"&amp;$A815+1)/$AF815)))</f>
        <v/>
      </c>
      <c r="F815" s="56">
        <f>IF($B815=0,"",IF(Inputs!$B$9="","",IF($AG815=0,F814,SUMIFS(Data!$N$10:$N$3209,Data!$M$10:$M$3209,"&gt;="&amp;$A815,Data!$M$10:$M$3209,"&lt;"&amp;$A815+1)/$AG815)))</f>
        <v/>
      </c>
      <c r="G815" s="56">
        <f>IF($B815=0,"",IF(Inputs!$B$10="","",IF($AH815=0,G814,SUMIFS(Data!$R$10:$R$3209,Data!$Q$10:$Q$3209,"&gt;="&amp;$A815,Data!$Q$10:$Q$3209,"&lt;"&amp;$A815+1)/$AH815)))</f>
        <v/>
      </c>
      <c r="I815" s="54">
        <f>IF($B815=0,NA(),IF($C815="",NA(),IF(C$8="",NA(),IF(N(C$8)=0,NA(),IF(Inputs!$C$17="Rebased to 100",$C815/C$8*100,$C815)))))</f>
        <v/>
      </c>
      <c r="J815" s="54">
        <f>IF($B815=0,NA(),IF($D815="",NA(),IF(D$8="",NA(),IF(N(D$8)=0,NA(),IF(Inputs!$C$17="Rebased to 100",$D815/D$8*100,$D815)))))</f>
        <v/>
      </c>
      <c r="K815" s="54">
        <f>IF($B815=0,NA(),IF($E815="",NA(),IF(E$8="",NA(),IF(N(E$8)=0,NA(),IF(Inputs!$C$17="Rebased to 100",$E815/E$8*100,$E815)))))</f>
        <v/>
      </c>
      <c r="L815" s="54">
        <f>IF($B815=0,NA(),IF($F815="",NA(),IF(F$8="",NA(),IF(N(F$8)=0,NA(),IF(Inputs!$C$17="Rebased to 100",$F815/F$8*100,$F815)))))</f>
        <v/>
      </c>
      <c r="M815" s="54">
        <f>IF($B815=0,NA(),IF($G815="",NA(),IF(G$8="",NA(),IF(N(G$8)=0,NA(),IF(Inputs!$C$17="Rebased to 100",$G815/G$8*100,$G815)))))</f>
        <v/>
      </c>
      <c r="N815" s="54">
        <f>IF($B815=0,NA(),IF(Inputs!$C$18&lt;&gt;"Yes",NA(),IF(COUNT(I815,J815,K815,L815,M815)=0,NA(),MIN(I815,J815,K815,L815,M815))))</f>
        <v/>
      </c>
      <c r="O815" s="54">
        <f>IF($B815=0,NA(),IF(Inputs!$B$24&lt;&gt;"Yes",NA(),Inputs!$D$24*Inputs!$C$35))</f>
        <v/>
      </c>
      <c r="P815" s="54">
        <f>IF($B815=0,NA(),IF(Inputs!$B$25&lt;&gt;"Yes",NA(),Inputs!$D$25*Inputs!$C$35))</f>
        <v/>
      </c>
      <c r="Q815" s="54">
        <f>IF($B815=0,NA(),IF(Inputs!$B$26&lt;&gt;"Yes",NA(),Inputs!$D$26*Inputs!$C$35))</f>
        <v/>
      </c>
      <c r="R815" s="54">
        <f>IF($B815=0,NA(),IF(Inputs!$B$27&lt;&gt;"Yes",NA(),Inputs!$D$27*Inputs!$C$35))</f>
        <v/>
      </c>
      <c r="S815" s="54">
        <f>IF($B815=0,NA(),IF(Inputs!$B$28&lt;&gt;"Yes",NA(),Inputs!$D$28*Inputs!$C$35))</f>
        <v/>
      </c>
      <c r="T815" s="54">
        <f>IF($B815=0,NA(),IF(Inputs!$B$29&lt;&gt;"Yes",NA(),Inputs!$D$29*Inputs!$C$35))</f>
        <v/>
      </c>
      <c r="AD815">
        <f>IF($B815=0,0,IF(Inputs!$B$6="",0,COUNTIFS(Data!$A$10:$A$3209,"&gt;="&amp;$A815,Data!$A$10:$A$3209,"&lt;"&amp;$A815+1)))</f>
        <v/>
      </c>
      <c r="AE815">
        <f>IF($B815=0,0,IF(Inputs!$B$7="",0,COUNTIFS(Data!$E$10:$E$3209,"&gt;="&amp;$A815,Data!$E$10:$E$3209,"&lt;"&amp;$A815+1)))</f>
        <v/>
      </c>
      <c r="AF815">
        <f>IF($B815=0,0,IF(Inputs!$B$8="",0,COUNTIFS(Data!$I$10:$I$3209,"&gt;="&amp;$A815,Data!$I$10:$I$3209,"&lt;"&amp;$A815+1)))</f>
        <v/>
      </c>
      <c r="AG815">
        <f>IF($B815=0,0,IF(Inputs!$B$9="",0,COUNTIFS(Data!$M$10:$M$3209,"&gt;="&amp;$A815,Data!$M$10:$M$3209,"&lt;"&amp;$A815+1)))</f>
        <v/>
      </c>
      <c r="AH815">
        <f>IF($B815=0,0,IF(Inputs!$B$10="",0,COUNTIFS(Data!$Q$10:$Q$3209,"&gt;="&amp;$A815,Data!$Q$10:$Q$3209,"&lt;"&amp;$A815+1)))</f>
        <v/>
      </c>
    </row>
    <row r="816">
      <c r="A816" s="55">
        <f>MIN(Inputs!$C$15,$A815+IF(WEEKDAY($A815,2)=5,3,1))</f>
        <v/>
      </c>
      <c r="B816">
        <f>IF($A816&gt;$A815,1,0)</f>
        <v/>
      </c>
      <c r="C816" s="56">
        <f>IF($B816=0,"",IF(Inputs!$B$6="","",IF($AD816=0,C815,SUMIFS(Data!$B$10:$B$3209,Data!$A$10:$A$3209,"&gt;="&amp;$A816,Data!$A$10:$A$3209,"&lt;"&amp;$A816+1)/$AD816)))</f>
        <v/>
      </c>
      <c r="D816" s="56">
        <f>IF($B816=0,"",IF(Inputs!$B$7="","",IF($AE816=0,D815,SUMIFS(Data!$F$10:$F$3209,Data!$E$10:$E$3209,"&gt;="&amp;$A816,Data!$E$10:$E$3209,"&lt;"&amp;$A816+1)/$AE816)))</f>
        <v/>
      </c>
      <c r="E816" s="56">
        <f>IF($B816=0,"",IF(Inputs!$B$8="","",IF($AF816=0,E815,SUMIFS(Data!$J$10:$J$3209,Data!$I$10:$I$3209,"&gt;="&amp;$A816,Data!$I$10:$I$3209,"&lt;"&amp;$A816+1)/$AF816)))</f>
        <v/>
      </c>
      <c r="F816" s="56">
        <f>IF($B816=0,"",IF(Inputs!$B$9="","",IF($AG816=0,F815,SUMIFS(Data!$N$10:$N$3209,Data!$M$10:$M$3209,"&gt;="&amp;$A816,Data!$M$10:$M$3209,"&lt;"&amp;$A816+1)/$AG816)))</f>
        <v/>
      </c>
      <c r="G816" s="56">
        <f>IF($B816=0,"",IF(Inputs!$B$10="","",IF($AH816=0,G815,SUMIFS(Data!$R$10:$R$3209,Data!$Q$10:$Q$3209,"&gt;="&amp;$A816,Data!$Q$10:$Q$3209,"&lt;"&amp;$A816+1)/$AH816)))</f>
        <v/>
      </c>
      <c r="I816" s="54">
        <f>IF($B816=0,NA(),IF($C816="",NA(),IF(C$8="",NA(),IF(N(C$8)=0,NA(),IF(Inputs!$C$17="Rebased to 100",$C816/C$8*100,$C816)))))</f>
        <v/>
      </c>
      <c r="J816" s="54">
        <f>IF($B816=0,NA(),IF($D816="",NA(),IF(D$8="",NA(),IF(N(D$8)=0,NA(),IF(Inputs!$C$17="Rebased to 100",$D816/D$8*100,$D816)))))</f>
        <v/>
      </c>
      <c r="K816" s="54">
        <f>IF($B816=0,NA(),IF($E816="",NA(),IF(E$8="",NA(),IF(N(E$8)=0,NA(),IF(Inputs!$C$17="Rebased to 100",$E816/E$8*100,$E816)))))</f>
        <v/>
      </c>
      <c r="L816" s="54">
        <f>IF($B816=0,NA(),IF($F816="",NA(),IF(F$8="",NA(),IF(N(F$8)=0,NA(),IF(Inputs!$C$17="Rebased to 100",$F816/F$8*100,$F816)))))</f>
        <v/>
      </c>
      <c r="M816" s="54">
        <f>IF($B816=0,NA(),IF($G816="",NA(),IF(G$8="",NA(),IF(N(G$8)=0,NA(),IF(Inputs!$C$17="Rebased to 100",$G816/G$8*100,$G816)))))</f>
        <v/>
      </c>
      <c r="N816" s="54">
        <f>IF($B816=0,NA(),IF(Inputs!$C$18&lt;&gt;"Yes",NA(),IF(COUNT(I816,J816,K816,L816,M816)=0,NA(),MIN(I816,J816,K816,L816,M816))))</f>
        <v/>
      </c>
      <c r="O816" s="54">
        <f>IF($B816=0,NA(),IF(Inputs!$B$24&lt;&gt;"Yes",NA(),Inputs!$D$24*Inputs!$C$35))</f>
        <v/>
      </c>
      <c r="P816" s="54">
        <f>IF($B816=0,NA(),IF(Inputs!$B$25&lt;&gt;"Yes",NA(),Inputs!$D$25*Inputs!$C$35))</f>
        <v/>
      </c>
      <c r="Q816" s="54">
        <f>IF($B816=0,NA(),IF(Inputs!$B$26&lt;&gt;"Yes",NA(),Inputs!$D$26*Inputs!$C$35))</f>
        <v/>
      </c>
      <c r="R816" s="54">
        <f>IF($B816=0,NA(),IF(Inputs!$B$27&lt;&gt;"Yes",NA(),Inputs!$D$27*Inputs!$C$35))</f>
        <v/>
      </c>
      <c r="S816" s="54">
        <f>IF($B816=0,NA(),IF(Inputs!$B$28&lt;&gt;"Yes",NA(),Inputs!$D$28*Inputs!$C$35))</f>
        <v/>
      </c>
      <c r="T816" s="54">
        <f>IF($B816=0,NA(),IF(Inputs!$B$29&lt;&gt;"Yes",NA(),Inputs!$D$29*Inputs!$C$35))</f>
        <v/>
      </c>
      <c r="AD816">
        <f>IF($B816=0,0,IF(Inputs!$B$6="",0,COUNTIFS(Data!$A$10:$A$3209,"&gt;="&amp;$A816,Data!$A$10:$A$3209,"&lt;"&amp;$A816+1)))</f>
        <v/>
      </c>
      <c r="AE816">
        <f>IF($B816=0,0,IF(Inputs!$B$7="",0,COUNTIFS(Data!$E$10:$E$3209,"&gt;="&amp;$A816,Data!$E$10:$E$3209,"&lt;"&amp;$A816+1)))</f>
        <v/>
      </c>
      <c r="AF816">
        <f>IF($B816=0,0,IF(Inputs!$B$8="",0,COUNTIFS(Data!$I$10:$I$3209,"&gt;="&amp;$A816,Data!$I$10:$I$3209,"&lt;"&amp;$A816+1)))</f>
        <v/>
      </c>
      <c r="AG816">
        <f>IF($B816=0,0,IF(Inputs!$B$9="",0,COUNTIFS(Data!$M$10:$M$3209,"&gt;="&amp;$A816,Data!$M$10:$M$3209,"&lt;"&amp;$A816+1)))</f>
        <v/>
      </c>
      <c r="AH816">
        <f>IF($B816=0,0,IF(Inputs!$B$10="",0,COUNTIFS(Data!$Q$10:$Q$3209,"&gt;="&amp;$A816,Data!$Q$10:$Q$3209,"&lt;"&amp;$A816+1)))</f>
        <v/>
      </c>
    </row>
    <row r="817">
      <c r="A817" s="55">
        <f>MIN(Inputs!$C$15,$A816+IF(WEEKDAY($A816,2)=5,3,1))</f>
        <v/>
      </c>
      <c r="B817">
        <f>IF($A817&gt;$A816,1,0)</f>
        <v/>
      </c>
      <c r="C817" s="56">
        <f>IF($B817=0,"",IF(Inputs!$B$6="","",IF($AD817=0,C816,SUMIFS(Data!$B$10:$B$3209,Data!$A$10:$A$3209,"&gt;="&amp;$A817,Data!$A$10:$A$3209,"&lt;"&amp;$A817+1)/$AD817)))</f>
        <v/>
      </c>
      <c r="D817" s="56">
        <f>IF($B817=0,"",IF(Inputs!$B$7="","",IF($AE817=0,D816,SUMIFS(Data!$F$10:$F$3209,Data!$E$10:$E$3209,"&gt;="&amp;$A817,Data!$E$10:$E$3209,"&lt;"&amp;$A817+1)/$AE817)))</f>
        <v/>
      </c>
      <c r="E817" s="56">
        <f>IF($B817=0,"",IF(Inputs!$B$8="","",IF($AF817=0,E816,SUMIFS(Data!$J$10:$J$3209,Data!$I$10:$I$3209,"&gt;="&amp;$A817,Data!$I$10:$I$3209,"&lt;"&amp;$A817+1)/$AF817)))</f>
        <v/>
      </c>
      <c r="F817" s="56">
        <f>IF($B817=0,"",IF(Inputs!$B$9="","",IF($AG817=0,F816,SUMIFS(Data!$N$10:$N$3209,Data!$M$10:$M$3209,"&gt;="&amp;$A817,Data!$M$10:$M$3209,"&lt;"&amp;$A817+1)/$AG817)))</f>
        <v/>
      </c>
      <c r="G817" s="56">
        <f>IF($B817=0,"",IF(Inputs!$B$10="","",IF($AH817=0,G816,SUMIFS(Data!$R$10:$R$3209,Data!$Q$10:$Q$3209,"&gt;="&amp;$A817,Data!$Q$10:$Q$3209,"&lt;"&amp;$A817+1)/$AH817)))</f>
        <v/>
      </c>
      <c r="I817" s="54">
        <f>IF($B817=0,NA(),IF($C817="",NA(),IF(C$8="",NA(),IF(N(C$8)=0,NA(),IF(Inputs!$C$17="Rebased to 100",$C817/C$8*100,$C817)))))</f>
        <v/>
      </c>
      <c r="J817" s="54">
        <f>IF($B817=0,NA(),IF($D817="",NA(),IF(D$8="",NA(),IF(N(D$8)=0,NA(),IF(Inputs!$C$17="Rebased to 100",$D817/D$8*100,$D817)))))</f>
        <v/>
      </c>
      <c r="K817" s="54">
        <f>IF($B817=0,NA(),IF($E817="",NA(),IF(E$8="",NA(),IF(N(E$8)=0,NA(),IF(Inputs!$C$17="Rebased to 100",$E817/E$8*100,$E817)))))</f>
        <v/>
      </c>
      <c r="L817" s="54">
        <f>IF($B817=0,NA(),IF($F817="",NA(),IF(F$8="",NA(),IF(N(F$8)=0,NA(),IF(Inputs!$C$17="Rebased to 100",$F817/F$8*100,$F817)))))</f>
        <v/>
      </c>
      <c r="M817" s="54">
        <f>IF($B817=0,NA(),IF($G817="",NA(),IF(G$8="",NA(),IF(N(G$8)=0,NA(),IF(Inputs!$C$17="Rebased to 100",$G817/G$8*100,$G817)))))</f>
        <v/>
      </c>
      <c r="N817" s="54">
        <f>IF($B817=0,NA(),IF(Inputs!$C$18&lt;&gt;"Yes",NA(),IF(COUNT(I817,J817,K817,L817,M817)=0,NA(),MIN(I817,J817,K817,L817,M817))))</f>
        <v/>
      </c>
      <c r="O817" s="54">
        <f>IF($B817=0,NA(),IF(Inputs!$B$24&lt;&gt;"Yes",NA(),Inputs!$D$24*Inputs!$C$35))</f>
        <v/>
      </c>
      <c r="P817" s="54">
        <f>IF($B817=0,NA(),IF(Inputs!$B$25&lt;&gt;"Yes",NA(),Inputs!$D$25*Inputs!$C$35))</f>
        <v/>
      </c>
      <c r="Q817" s="54">
        <f>IF($B817=0,NA(),IF(Inputs!$B$26&lt;&gt;"Yes",NA(),Inputs!$D$26*Inputs!$C$35))</f>
        <v/>
      </c>
      <c r="R817" s="54">
        <f>IF($B817=0,NA(),IF(Inputs!$B$27&lt;&gt;"Yes",NA(),Inputs!$D$27*Inputs!$C$35))</f>
        <v/>
      </c>
      <c r="S817" s="54">
        <f>IF($B817=0,NA(),IF(Inputs!$B$28&lt;&gt;"Yes",NA(),Inputs!$D$28*Inputs!$C$35))</f>
        <v/>
      </c>
      <c r="T817" s="54">
        <f>IF($B817=0,NA(),IF(Inputs!$B$29&lt;&gt;"Yes",NA(),Inputs!$D$29*Inputs!$C$35))</f>
        <v/>
      </c>
      <c r="AD817">
        <f>IF($B817=0,0,IF(Inputs!$B$6="",0,COUNTIFS(Data!$A$10:$A$3209,"&gt;="&amp;$A817,Data!$A$10:$A$3209,"&lt;"&amp;$A817+1)))</f>
        <v/>
      </c>
      <c r="AE817">
        <f>IF($B817=0,0,IF(Inputs!$B$7="",0,COUNTIFS(Data!$E$10:$E$3209,"&gt;="&amp;$A817,Data!$E$10:$E$3209,"&lt;"&amp;$A817+1)))</f>
        <v/>
      </c>
      <c r="AF817">
        <f>IF($B817=0,0,IF(Inputs!$B$8="",0,COUNTIFS(Data!$I$10:$I$3209,"&gt;="&amp;$A817,Data!$I$10:$I$3209,"&lt;"&amp;$A817+1)))</f>
        <v/>
      </c>
      <c r="AG817">
        <f>IF($B817=0,0,IF(Inputs!$B$9="",0,COUNTIFS(Data!$M$10:$M$3209,"&gt;="&amp;$A817,Data!$M$10:$M$3209,"&lt;"&amp;$A817+1)))</f>
        <v/>
      </c>
      <c r="AH817">
        <f>IF($B817=0,0,IF(Inputs!$B$10="",0,COUNTIFS(Data!$Q$10:$Q$3209,"&gt;="&amp;$A817,Data!$Q$10:$Q$3209,"&lt;"&amp;$A817+1)))</f>
        <v/>
      </c>
    </row>
    <row r="818">
      <c r="A818" s="55">
        <f>MIN(Inputs!$C$15,$A817+IF(WEEKDAY($A817,2)=5,3,1))</f>
        <v/>
      </c>
      <c r="B818">
        <f>IF($A818&gt;$A817,1,0)</f>
        <v/>
      </c>
      <c r="C818" s="56">
        <f>IF($B818=0,"",IF(Inputs!$B$6="","",IF($AD818=0,C817,SUMIFS(Data!$B$10:$B$3209,Data!$A$10:$A$3209,"&gt;="&amp;$A818,Data!$A$10:$A$3209,"&lt;"&amp;$A818+1)/$AD818)))</f>
        <v/>
      </c>
      <c r="D818" s="56">
        <f>IF($B818=0,"",IF(Inputs!$B$7="","",IF($AE818=0,D817,SUMIFS(Data!$F$10:$F$3209,Data!$E$10:$E$3209,"&gt;="&amp;$A818,Data!$E$10:$E$3209,"&lt;"&amp;$A818+1)/$AE818)))</f>
        <v/>
      </c>
      <c r="E818" s="56">
        <f>IF($B818=0,"",IF(Inputs!$B$8="","",IF($AF818=0,E817,SUMIFS(Data!$J$10:$J$3209,Data!$I$10:$I$3209,"&gt;="&amp;$A818,Data!$I$10:$I$3209,"&lt;"&amp;$A818+1)/$AF818)))</f>
        <v/>
      </c>
      <c r="F818" s="56">
        <f>IF($B818=0,"",IF(Inputs!$B$9="","",IF($AG818=0,F817,SUMIFS(Data!$N$10:$N$3209,Data!$M$10:$M$3209,"&gt;="&amp;$A818,Data!$M$10:$M$3209,"&lt;"&amp;$A818+1)/$AG818)))</f>
        <v/>
      </c>
      <c r="G818" s="56">
        <f>IF($B818=0,"",IF(Inputs!$B$10="","",IF($AH818=0,G817,SUMIFS(Data!$R$10:$R$3209,Data!$Q$10:$Q$3209,"&gt;="&amp;$A818,Data!$Q$10:$Q$3209,"&lt;"&amp;$A818+1)/$AH818)))</f>
        <v/>
      </c>
      <c r="I818" s="54">
        <f>IF($B818=0,NA(),IF($C818="",NA(),IF(C$8="",NA(),IF(N(C$8)=0,NA(),IF(Inputs!$C$17="Rebased to 100",$C818/C$8*100,$C818)))))</f>
        <v/>
      </c>
      <c r="J818" s="54">
        <f>IF($B818=0,NA(),IF($D818="",NA(),IF(D$8="",NA(),IF(N(D$8)=0,NA(),IF(Inputs!$C$17="Rebased to 100",$D818/D$8*100,$D818)))))</f>
        <v/>
      </c>
      <c r="K818" s="54">
        <f>IF($B818=0,NA(),IF($E818="",NA(),IF(E$8="",NA(),IF(N(E$8)=0,NA(),IF(Inputs!$C$17="Rebased to 100",$E818/E$8*100,$E818)))))</f>
        <v/>
      </c>
      <c r="L818" s="54">
        <f>IF($B818=0,NA(),IF($F818="",NA(),IF(F$8="",NA(),IF(N(F$8)=0,NA(),IF(Inputs!$C$17="Rebased to 100",$F818/F$8*100,$F818)))))</f>
        <v/>
      </c>
      <c r="M818" s="54">
        <f>IF($B818=0,NA(),IF($G818="",NA(),IF(G$8="",NA(),IF(N(G$8)=0,NA(),IF(Inputs!$C$17="Rebased to 100",$G818/G$8*100,$G818)))))</f>
        <v/>
      </c>
      <c r="N818" s="54">
        <f>IF($B818=0,NA(),IF(Inputs!$C$18&lt;&gt;"Yes",NA(),IF(COUNT(I818,J818,K818,L818,M818)=0,NA(),MIN(I818,J818,K818,L818,M818))))</f>
        <v/>
      </c>
      <c r="O818" s="54">
        <f>IF($B818=0,NA(),IF(Inputs!$B$24&lt;&gt;"Yes",NA(),Inputs!$D$24*Inputs!$C$35))</f>
        <v/>
      </c>
      <c r="P818" s="54">
        <f>IF($B818=0,NA(),IF(Inputs!$B$25&lt;&gt;"Yes",NA(),Inputs!$D$25*Inputs!$C$35))</f>
        <v/>
      </c>
      <c r="Q818" s="54">
        <f>IF($B818=0,NA(),IF(Inputs!$B$26&lt;&gt;"Yes",NA(),Inputs!$D$26*Inputs!$C$35))</f>
        <v/>
      </c>
      <c r="R818" s="54">
        <f>IF($B818=0,NA(),IF(Inputs!$B$27&lt;&gt;"Yes",NA(),Inputs!$D$27*Inputs!$C$35))</f>
        <v/>
      </c>
      <c r="S818" s="54">
        <f>IF($B818=0,NA(),IF(Inputs!$B$28&lt;&gt;"Yes",NA(),Inputs!$D$28*Inputs!$C$35))</f>
        <v/>
      </c>
      <c r="T818" s="54">
        <f>IF($B818=0,NA(),IF(Inputs!$B$29&lt;&gt;"Yes",NA(),Inputs!$D$29*Inputs!$C$35))</f>
        <v/>
      </c>
      <c r="AD818">
        <f>IF($B818=0,0,IF(Inputs!$B$6="",0,COUNTIFS(Data!$A$10:$A$3209,"&gt;="&amp;$A818,Data!$A$10:$A$3209,"&lt;"&amp;$A818+1)))</f>
        <v/>
      </c>
      <c r="AE818">
        <f>IF($B818=0,0,IF(Inputs!$B$7="",0,COUNTIFS(Data!$E$10:$E$3209,"&gt;="&amp;$A818,Data!$E$10:$E$3209,"&lt;"&amp;$A818+1)))</f>
        <v/>
      </c>
      <c r="AF818">
        <f>IF($B818=0,0,IF(Inputs!$B$8="",0,COUNTIFS(Data!$I$10:$I$3209,"&gt;="&amp;$A818,Data!$I$10:$I$3209,"&lt;"&amp;$A818+1)))</f>
        <v/>
      </c>
      <c r="AG818">
        <f>IF($B818=0,0,IF(Inputs!$B$9="",0,COUNTIFS(Data!$M$10:$M$3209,"&gt;="&amp;$A818,Data!$M$10:$M$3209,"&lt;"&amp;$A818+1)))</f>
        <v/>
      </c>
      <c r="AH818">
        <f>IF($B818=0,0,IF(Inputs!$B$10="",0,COUNTIFS(Data!$Q$10:$Q$3209,"&gt;="&amp;$A818,Data!$Q$10:$Q$3209,"&lt;"&amp;$A818+1)))</f>
        <v/>
      </c>
    </row>
    <row r="819">
      <c r="A819" s="55">
        <f>MIN(Inputs!$C$15,$A818+IF(WEEKDAY($A818,2)=5,3,1))</f>
        <v/>
      </c>
      <c r="B819">
        <f>IF($A819&gt;$A818,1,0)</f>
        <v/>
      </c>
      <c r="C819" s="56">
        <f>IF($B819=0,"",IF(Inputs!$B$6="","",IF($AD819=0,C818,SUMIFS(Data!$B$10:$B$3209,Data!$A$10:$A$3209,"&gt;="&amp;$A819,Data!$A$10:$A$3209,"&lt;"&amp;$A819+1)/$AD819)))</f>
        <v/>
      </c>
      <c r="D819" s="56">
        <f>IF($B819=0,"",IF(Inputs!$B$7="","",IF($AE819=0,D818,SUMIFS(Data!$F$10:$F$3209,Data!$E$10:$E$3209,"&gt;="&amp;$A819,Data!$E$10:$E$3209,"&lt;"&amp;$A819+1)/$AE819)))</f>
        <v/>
      </c>
      <c r="E819" s="56">
        <f>IF($B819=0,"",IF(Inputs!$B$8="","",IF($AF819=0,E818,SUMIFS(Data!$J$10:$J$3209,Data!$I$10:$I$3209,"&gt;="&amp;$A819,Data!$I$10:$I$3209,"&lt;"&amp;$A819+1)/$AF819)))</f>
        <v/>
      </c>
      <c r="F819" s="56">
        <f>IF($B819=0,"",IF(Inputs!$B$9="","",IF($AG819=0,F818,SUMIFS(Data!$N$10:$N$3209,Data!$M$10:$M$3209,"&gt;="&amp;$A819,Data!$M$10:$M$3209,"&lt;"&amp;$A819+1)/$AG819)))</f>
        <v/>
      </c>
      <c r="G819" s="56">
        <f>IF($B819=0,"",IF(Inputs!$B$10="","",IF($AH819=0,G818,SUMIFS(Data!$R$10:$R$3209,Data!$Q$10:$Q$3209,"&gt;="&amp;$A819,Data!$Q$10:$Q$3209,"&lt;"&amp;$A819+1)/$AH819)))</f>
        <v/>
      </c>
      <c r="I819" s="54">
        <f>IF($B819=0,NA(),IF($C819="",NA(),IF(C$8="",NA(),IF(N(C$8)=0,NA(),IF(Inputs!$C$17="Rebased to 100",$C819/C$8*100,$C819)))))</f>
        <v/>
      </c>
      <c r="J819" s="54">
        <f>IF($B819=0,NA(),IF($D819="",NA(),IF(D$8="",NA(),IF(N(D$8)=0,NA(),IF(Inputs!$C$17="Rebased to 100",$D819/D$8*100,$D819)))))</f>
        <v/>
      </c>
      <c r="K819" s="54">
        <f>IF($B819=0,NA(),IF($E819="",NA(),IF(E$8="",NA(),IF(N(E$8)=0,NA(),IF(Inputs!$C$17="Rebased to 100",$E819/E$8*100,$E819)))))</f>
        <v/>
      </c>
      <c r="L819" s="54">
        <f>IF($B819=0,NA(),IF($F819="",NA(),IF(F$8="",NA(),IF(N(F$8)=0,NA(),IF(Inputs!$C$17="Rebased to 100",$F819/F$8*100,$F819)))))</f>
        <v/>
      </c>
      <c r="M819" s="54">
        <f>IF($B819=0,NA(),IF($G819="",NA(),IF(G$8="",NA(),IF(N(G$8)=0,NA(),IF(Inputs!$C$17="Rebased to 100",$G819/G$8*100,$G819)))))</f>
        <v/>
      </c>
      <c r="N819" s="54">
        <f>IF($B819=0,NA(),IF(Inputs!$C$18&lt;&gt;"Yes",NA(),IF(COUNT(I819,J819,K819,L819,M819)=0,NA(),MIN(I819,J819,K819,L819,M819))))</f>
        <v/>
      </c>
      <c r="O819" s="54">
        <f>IF($B819=0,NA(),IF(Inputs!$B$24&lt;&gt;"Yes",NA(),Inputs!$D$24*Inputs!$C$35))</f>
        <v/>
      </c>
      <c r="P819" s="54">
        <f>IF($B819=0,NA(),IF(Inputs!$B$25&lt;&gt;"Yes",NA(),Inputs!$D$25*Inputs!$C$35))</f>
        <v/>
      </c>
      <c r="Q819" s="54">
        <f>IF($B819=0,NA(),IF(Inputs!$B$26&lt;&gt;"Yes",NA(),Inputs!$D$26*Inputs!$C$35))</f>
        <v/>
      </c>
      <c r="R819" s="54">
        <f>IF($B819=0,NA(),IF(Inputs!$B$27&lt;&gt;"Yes",NA(),Inputs!$D$27*Inputs!$C$35))</f>
        <v/>
      </c>
      <c r="S819" s="54">
        <f>IF($B819=0,NA(),IF(Inputs!$B$28&lt;&gt;"Yes",NA(),Inputs!$D$28*Inputs!$C$35))</f>
        <v/>
      </c>
      <c r="T819" s="54">
        <f>IF($B819=0,NA(),IF(Inputs!$B$29&lt;&gt;"Yes",NA(),Inputs!$D$29*Inputs!$C$35))</f>
        <v/>
      </c>
      <c r="AD819">
        <f>IF($B819=0,0,IF(Inputs!$B$6="",0,COUNTIFS(Data!$A$10:$A$3209,"&gt;="&amp;$A819,Data!$A$10:$A$3209,"&lt;"&amp;$A819+1)))</f>
        <v/>
      </c>
      <c r="AE819">
        <f>IF($B819=0,0,IF(Inputs!$B$7="",0,COUNTIFS(Data!$E$10:$E$3209,"&gt;="&amp;$A819,Data!$E$10:$E$3209,"&lt;"&amp;$A819+1)))</f>
        <v/>
      </c>
      <c r="AF819">
        <f>IF($B819=0,0,IF(Inputs!$B$8="",0,COUNTIFS(Data!$I$10:$I$3209,"&gt;="&amp;$A819,Data!$I$10:$I$3209,"&lt;"&amp;$A819+1)))</f>
        <v/>
      </c>
      <c r="AG819">
        <f>IF($B819=0,0,IF(Inputs!$B$9="",0,COUNTIFS(Data!$M$10:$M$3209,"&gt;="&amp;$A819,Data!$M$10:$M$3209,"&lt;"&amp;$A819+1)))</f>
        <v/>
      </c>
      <c r="AH819">
        <f>IF($B819=0,0,IF(Inputs!$B$10="",0,COUNTIFS(Data!$Q$10:$Q$3209,"&gt;="&amp;$A819,Data!$Q$10:$Q$3209,"&lt;"&amp;$A819+1)))</f>
        <v/>
      </c>
    </row>
    <row r="820">
      <c r="A820" s="55">
        <f>MIN(Inputs!$C$15,$A819+IF(WEEKDAY($A819,2)=5,3,1))</f>
        <v/>
      </c>
      <c r="B820">
        <f>IF($A820&gt;$A819,1,0)</f>
        <v/>
      </c>
      <c r="C820" s="56">
        <f>IF($B820=0,"",IF(Inputs!$B$6="","",IF($AD820=0,C819,SUMIFS(Data!$B$10:$B$3209,Data!$A$10:$A$3209,"&gt;="&amp;$A820,Data!$A$10:$A$3209,"&lt;"&amp;$A820+1)/$AD820)))</f>
        <v/>
      </c>
      <c r="D820" s="56">
        <f>IF($B820=0,"",IF(Inputs!$B$7="","",IF($AE820=0,D819,SUMIFS(Data!$F$10:$F$3209,Data!$E$10:$E$3209,"&gt;="&amp;$A820,Data!$E$10:$E$3209,"&lt;"&amp;$A820+1)/$AE820)))</f>
        <v/>
      </c>
      <c r="E820" s="56">
        <f>IF($B820=0,"",IF(Inputs!$B$8="","",IF($AF820=0,E819,SUMIFS(Data!$J$10:$J$3209,Data!$I$10:$I$3209,"&gt;="&amp;$A820,Data!$I$10:$I$3209,"&lt;"&amp;$A820+1)/$AF820)))</f>
        <v/>
      </c>
      <c r="F820" s="56">
        <f>IF($B820=0,"",IF(Inputs!$B$9="","",IF($AG820=0,F819,SUMIFS(Data!$N$10:$N$3209,Data!$M$10:$M$3209,"&gt;="&amp;$A820,Data!$M$10:$M$3209,"&lt;"&amp;$A820+1)/$AG820)))</f>
        <v/>
      </c>
      <c r="G820" s="56">
        <f>IF($B820=0,"",IF(Inputs!$B$10="","",IF($AH820=0,G819,SUMIFS(Data!$R$10:$R$3209,Data!$Q$10:$Q$3209,"&gt;="&amp;$A820,Data!$Q$10:$Q$3209,"&lt;"&amp;$A820+1)/$AH820)))</f>
        <v/>
      </c>
      <c r="I820" s="54">
        <f>IF($B820=0,NA(),IF($C820="",NA(),IF(C$8="",NA(),IF(N(C$8)=0,NA(),IF(Inputs!$C$17="Rebased to 100",$C820/C$8*100,$C820)))))</f>
        <v/>
      </c>
      <c r="J820" s="54">
        <f>IF($B820=0,NA(),IF($D820="",NA(),IF(D$8="",NA(),IF(N(D$8)=0,NA(),IF(Inputs!$C$17="Rebased to 100",$D820/D$8*100,$D820)))))</f>
        <v/>
      </c>
      <c r="K820" s="54">
        <f>IF($B820=0,NA(),IF($E820="",NA(),IF(E$8="",NA(),IF(N(E$8)=0,NA(),IF(Inputs!$C$17="Rebased to 100",$E820/E$8*100,$E820)))))</f>
        <v/>
      </c>
      <c r="L820" s="54">
        <f>IF($B820=0,NA(),IF($F820="",NA(),IF(F$8="",NA(),IF(N(F$8)=0,NA(),IF(Inputs!$C$17="Rebased to 100",$F820/F$8*100,$F820)))))</f>
        <v/>
      </c>
      <c r="M820" s="54">
        <f>IF($B820=0,NA(),IF($G820="",NA(),IF(G$8="",NA(),IF(N(G$8)=0,NA(),IF(Inputs!$C$17="Rebased to 100",$G820/G$8*100,$G820)))))</f>
        <v/>
      </c>
      <c r="N820" s="54">
        <f>IF($B820=0,NA(),IF(Inputs!$C$18&lt;&gt;"Yes",NA(),IF(COUNT(I820,J820,K820,L820,M820)=0,NA(),MIN(I820,J820,K820,L820,M820))))</f>
        <v/>
      </c>
      <c r="O820" s="54">
        <f>IF($B820=0,NA(),IF(Inputs!$B$24&lt;&gt;"Yes",NA(),Inputs!$D$24*Inputs!$C$35))</f>
        <v/>
      </c>
      <c r="P820" s="54">
        <f>IF($B820=0,NA(),IF(Inputs!$B$25&lt;&gt;"Yes",NA(),Inputs!$D$25*Inputs!$C$35))</f>
        <v/>
      </c>
      <c r="Q820" s="54">
        <f>IF($B820=0,NA(),IF(Inputs!$B$26&lt;&gt;"Yes",NA(),Inputs!$D$26*Inputs!$C$35))</f>
        <v/>
      </c>
      <c r="R820" s="54">
        <f>IF($B820=0,NA(),IF(Inputs!$B$27&lt;&gt;"Yes",NA(),Inputs!$D$27*Inputs!$C$35))</f>
        <v/>
      </c>
      <c r="S820" s="54">
        <f>IF($B820=0,NA(),IF(Inputs!$B$28&lt;&gt;"Yes",NA(),Inputs!$D$28*Inputs!$C$35))</f>
        <v/>
      </c>
      <c r="T820" s="54">
        <f>IF($B820=0,NA(),IF(Inputs!$B$29&lt;&gt;"Yes",NA(),Inputs!$D$29*Inputs!$C$35))</f>
        <v/>
      </c>
      <c r="AD820">
        <f>IF($B820=0,0,IF(Inputs!$B$6="",0,COUNTIFS(Data!$A$10:$A$3209,"&gt;="&amp;$A820,Data!$A$10:$A$3209,"&lt;"&amp;$A820+1)))</f>
        <v/>
      </c>
      <c r="AE820">
        <f>IF($B820=0,0,IF(Inputs!$B$7="",0,COUNTIFS(Data!$E$10:$E$3209,"&gt;="&amp;$A820,Data!$E$10:$E$3209,"&lt;"&amp;$A820+1)))</f>
        <v/>
      </c>
      <c r="AF820">
        <f>IF($B820=0,0,IF(Inputs!$B$8="",0,COUNTIFS(Data!$I$10:$I$3209,"&gt;="&amp;$A820,Data!$I$10:$I$3209,"&lt;"&amp;$A820+1)))</f>
        <v/>
      </c>
      <c r="AG820">
        <f>IF($B820=0,0,IF(Inputs!$B$9="",0,COUNTIFS(Data!$M$10:$M$3209,"&gt;="&amp;$A820,Data!$M$10:$M$3209,"&lt;"&amp;$A820+1)))</f>
        <v/>
      </c>
      <c r="AH820">
        <f>IF($B820=0,0,IF(Inputs!$B$10="",0,COUNTIFS(Data!$Q$10:$Q$3209,"&gt;="&amp;$A820,Data!$Q$10:$Q$3209,"&lt;"&amp;$A820+1)))</f>
        <v/>
      </c>
    </row>
    <row r="821">
      <c r="A821" s="55">
        <f>MIN(Inputs!$C$15,$A820+IF(WEEKDAY($A820,2)=5,3,1))</f>
        <v/>
      </c>
      <c r="B821">
        <f>IF($A821&gt;$A820,1,0)</f>
        <v/>
      </c>
      <c r="C821" s="56">
        <f>IF($B821=0,"",IF(Inputs!$B$6="","",IF($AD821=0,C820,SUMIFS(Data!$B$10:$B$3209,Data!$A$10:$A$3209,"&gt;="&amp;$A821,Data!$A$10:$A$3209,"&lt;"&amp;$A821+1)/$AD821)))</f>
        <v/>
      </c>
      <c r="D821" s="56">
        <f>IF($B821=0,"",IF(Inputs!$B$7="","",IF($AE821=0,D820,SUMIFS(Data!$F$10:$F$3209,Data!$E$10:$E$3209,"&gt;="&amp;$A821,Data!$E$10:$E$3209,"&lt;"&amp;$A821+1)/$AE821)))</f>
        <v/>
      </c>
      <c r="E821" s="56">
        <f>IF($B821=0,"",IF(Inputs!$B$8="","",IF($AF821=0,E820,SUMIFS(Data!$J$10:$J$3209,Data!$I$10:$I$3209,"&gt;="&amp;$A821,Data!$I$10:$I$3209,"&lt;"&amp;$A821+1)/$AF821)))</f>
        <v/>
      </c>
      <c r="F821" s="56">
        <f>IF($B821=0,"",IF(Inputs!$B$9="","",IF($AG821=0,F820,SUMIFS(Data!$N$10:$N$3209,Data!$M$10:$M$3209,"&gt;="&amp;$A821,Data!$M$10:$M$3209,"&lt;"&amp;$A821+1)/$AG821)))</f>
        <v/>
      </c>
      <c r="G821" s="56">
        <f>IF($B821=0,"",IF(Inputs!$B$10="","",IF($AH821=0,G820,SUMIFS(Data!$R$10:$R$3209,Data!$Q$10:$Q$3209,"&gt;="&amp;$A821,Data!$Q$10:$Q$3209,"&lt;"&amp;$A821+1)/$AH821)))</f>
        <v/>
      </c>
      <c r="I821" s="54">
        <f>IF($B821=0,NA(),IF($C821="",NA(),IF(C$8="",NA(),IF(N(C$8)=0,NA(),IF(Inputs!$C$17="Rebased to 100",$C821/C$8*100,$C821)))))</f>
        <v/>
      </c>
      <c r="J821" s="54">
        <f>IF($B821=0,NA(),IF($D821="",NA(),IF(D$8="",NA(),IF(N(D$8)=0,NA(),IF(Inputs!$C$17="Rebased to 100",$D821/D$8*100,$D821)))))</f>
        <v/>
      </c>
      <c r="K821" s="54">
        <f>IF($B821=0,NA(),IF($E821="",NA(),IF(E$8="",NA(),IF(N(E$8)=0,NA(),IF(Inputs!$C$17="Rebased to 100",$E821/E$8*100,$E821)))))</f>
        <v/>
      </c>
      <c r="L821" s="54">
        <f>IF($B821=0,NA(),IF($F821="",NA(),IF(F$8="",NA(),IF(N(F$8)=0,NA(),IF(Inputs!$C$17="Rebased to 100",$F821/F$8*100,$F821)))))</f>
        <v/>
      </c>
      <c r="M821" s="54">
        <f>IF($B821=0,NA(),IF($G821="",NA(),IF(G$8="",NA(),IF(N(G$8)=0,NA(),IF(Inputs!$C$17="Rebased to 100",$G821/G$8*100,$G821)))))</f>
        <v/>
      </c>
      <c r="N821" s="54">
        <f>IF($B821=0,NA(),IF(Inputs!$C$18&lt;&gt;"Yes",NA(),IF(COUNT(I821,J821,K821,L821,M821)=0,NA(),MIN(I821,J821,K821,L821,M821))))</f>
        <v/>
      </c>
      <c r="O821" s="54">
        <f>IF($B821=0,NA(),IF(Inputs!$B$24&lt;&gt;"Yes",NA(),Inputs!$D$24*Inputs!$C$35))</f>
        <v/>
      </c>
      <c r="P821" s="54">
        <f>IF($B821=0,NA(),IF(Inputs!$B$25&lt;&gt;"Yes",NA(),Inputs!$D$25*Inputs!$C$35))</f>
        <v/>
      </c>
      <c r="Q821" s="54">
        <f>IF($B821=0,NA(),IF(Inputs!$B$26&lt;&gt;"Yes",NA(),Inputs!$D$26*Inputs!$C$35))</f>
        <v/>
      </c>
      <c r="R821" s="54">
        <f>IF($B821=0,NA(),IF(Inputs!$B$27&lt;&gt;"Yes",NA(),Inputs!$D$27*Inputs!$C$35))</f>
        <v/>
      </c>
      <c r="S821" s="54">
        <f>IF($B821=0,NA(),IF(Inputs!$B$28&lt;&gt;"Yes",NA(),Inputs!$D$28*Inputs!$C$35))</f>
        <v/>
      </c>
      <c r="T821" s="54">
        <f>IF($B821=0,NA(),IF(Inputs!$B$29&lt;&gt;"Yes",NA(),Inputs!$D$29*Inputs!$C$35))</f>
        <v/>
      </c>
      <c r="AD821">
        <f>IF($B821=0,0,IF(Inputs!$B$6="",0,COUNTIFS(Data!$A$10:$A$3209,"&gt;="&amp;$A821,Data!$A$10:$A$3209,"&lt;"&amp;$A821+1)))</f>
        <v/>
      </c>
      <c r="AE821">
        <f>IF($B821=0,0,IF(Inputs!$B$7="",0,COUNTIFS(Data!$E$10:$E$3209,"&gt;="&amp;$A821,Data!$E$10:$E$3209,"&lt;"&amp;$A821+1)))</f>
        <v/>
      </c>
      <c r="AF821">
        <f>IF($B821=0,0,IF(Inputs!$B$8="",0,COUNTIFS(Data!$I$10:$I$3209,"&gt;="&amp;$A821,Data!$I$10:$I$3209,"&lt;"&amp;$A821+1)))</f>
        <v/>
      </c>
      <c r="AG821">
        <f>IF($B821=0,0,IF(Inputs!$B$9="",0,COUNTIFS(Data!$M$10:$M$3209,"&gt;="&amp;$A821,Data!$M$10:$M$3209,"&lt;"&amp;$A821+1)))</f>
        <v/>
      </c>
      <c r="AH821">
        <f>IF($B821=0,0,IF(Inputs!$B$10="",0,COUNTIFS(Data!$Q$10:$Q$3209,"&gt;="&amp;$A821,Data!$Q$10:$Q$3209,"&lt;"&amp;$A821+1)))</f>
        <v/>
      </c>
    </row>
    <row r="822">
      <c r="A822" s="55">
        <f>MIN(Inputs!$C$15,$A821+IF(WEEKDAY($A821,2)=5,3,1))</f>
        <v/>
      </c>
      <c r="B822">
        <f>IF($A822&gt;$A821,1,0)</f>
        <v/>
      </c>
      <c r="C822" s="56">
        <f>IF($B822=0,"",IF(Inputs!$B$6="","",IF($AD822=0,C821,SUMIFS(Data!$B$10:$B$3209,Data!$A$10:$A$3209,"&gt;="&amp;$A822,Data!$A$10:$A$3209,"&lt;"&amp;$A822+1)/$AD822)))</f>
        <v/>
      </c>
      <c r="D822" s="56">
        <f>IF($B822=0,"",IF(Inputs!$B$7="","",IF($AE822=0,D821,SUMIFS(Data!$F$10:$F$3209,Data!$E$10:$E$3209,"&gt;="&amp;$A822,Data!$E$10:$E$3209,"&lt;"&amp;$A822+1)/$AE822)))</f>
        <v/>
      </c>
      <c r="E822" s="56">
        <f>IF($B822=0,"",IF(Inputs!$B$8="","",IF($AF822=0,E821,SUMIFS(Data!$J$10:$J$3209,Data!$I$10:$I$3209,"&gt;="&amp;$A822,Data!$I$10:$I$3209,"&lt;"&amp;$A822+1)/$AF822)))</f>
        <v/>
      </c>
      <c r="F822" s="56">
        <f>IF($B822=0,"",IF(Inputs!$B$9="","",IF($AG822=0,F821,SUMIFS(Data!$N$10:$N$3209,Data!$M$10:$M$3209,"&gt;="&amp;$A822,Data!$M$10:$M$3209,"&lt;"&amp;$A822+1)/$AG822)))</f>
        <v/>
      </c>
      <c r="G822" s="56">
        <f>IF($B822=0,"",IF(Inputs!$B$10="","",IF($AH822=0,G821,SUMIFS(Data!$R$10:$R$3209,Data!$Q$10:$Q$3209,"&gt;="&amp;$A822,Data!$Q$10:$Q$3209,"&lt;"&amp;$A822+1)/$AH822)))</f>
        <v/>
      </c>
      <c r="I822" s="54">
        <f>IF($B822=0,NA(),IF($C822="",NA(),IF(C$8="",NA(),IF(N(C$8)=0,NA(),IF(Inputs!$C$17="Rebased to 100",$C822/C$8*100,$C822)))))</f>
        <v/>
      </c>
      <c r="J822" s="54">
        <f>IF($B822=0,NA(),IF($D822="",NA(),IF(D$8="",NA(),IF(N(D$8)=0,NA(),IF(Inputs!$C$17="Rebased to 100",$D822/D$8*100,$D822)))))</f>
        <v/>
      </c>
      <c r="K822" s="54">
        <f>IF($B822=0,NA(),IF($E822="",NA(),IF(E$8="",NA(),IF(N(E$8)=0,NA(),IF(Inputs!$C$17="Rebased to 100",$E822/E$8*100,$E822)))))</f>
        <v/>
      </c>
      <c r="L822" s="54">
        <f>IF($B822=0,NA(),IF($F822="",NA(),IF(F$8="",NA(),IF(N(F$8)=0,NA(),IF(Inputs!$C$17="Rebased to 100",$F822/F$8*100,$F822)))))</f>
        <v/>
      </c>
      <c r="M822" s="54">
        <f>IF($B822=0,NA(),IF($G822="",NA(),IF(G$8="",NA(),IF(N(G$8)=0,NA(),IF(Inputs!$C$17="Rebased to 100",$G822/G$8*100,$G822)))))</f>
        <v/>
      </c>
      <c r="N822" s="54">
        <f>IF($B822=0,NA(),IF(Inputs!$C$18&lt;&gt;"Yes",NA(),IF(COUNT(I822,J822,K822,L822,M822)=0,NA(),MIN(I822,J822,K822,L822,M822))))</f>
        <v/>
      </c>
      <c r="O822" s="54">
        <f>IF($B822=0,NA(),IF(Inputs!$B$24&lt;&gt;"Yes",NA(),Inputs!$D$24*Inputs!$C$35))</f>
        <v/>
      </c>
      <c r="P822" s="54">
        <f>IF($B822=0,NA(),IF(Inputs!$B$25&lt;&gt;"Yes",NA(),Inputs!$D$25*Inputs!$C$35))</f>
        <v/>
      </c>
      <c r="Q822" s="54">
        <f>IF($B822=0,NA(),IF(Inputs!$B$26&lt;&gt;"Yes",NA(),Inputs!$D$26*Inputs!$C$35))</f>
        <v/>
      </c>
      <c r="R822" s="54">
        <f>IF($B822=0,NA(),IF(Inputs!$B$27&lt;&gt;"Yes",NA(),Inputs!$D$27*Inputs!$C$35))</f>
        <v/>
      </c>
      <c r="S822" s="54">
        <f>IF($B822=0,NA(),IF(Inputs!$B$28&lt;&gt;"Yes",NA(),Inputs!$D$28*Inputs!$C$35))</f>
        <v/>
      </c>
      <c r="T822" s="54">
        <f>IF($B822=0,NA(),IF(Inputs!$B$29&lt;&gt;"Yes",NA(),Inputs!$D$29*Inputs!$C$35))</f>
        <v/>
      </c>
      <c r="AD822">
        <f>IF($B822=0,0,IF(Inputs!$B$6="",0,COUNTIFS(Data!$A$10:$A$3209,"&gt;="&amp;$A822,Data!$A$10:$A$3209,"&lt;"&amp;$A822+1)))</f>
        <v/>
      </c>
      <c r="AE822">
        <f>IF($B822=0,0,IF(Inputs!$B$7="",0,COUNTIFS(Data!$E$10:$E$3209,"&gt;="&amp;$A822,Data!$E$10:$E$3209,"&lt;"&amp;$A822+1)))</f>
        <v/>
      </c>
      <c r="AF822">
        <f>IF($B822=0,0,IF(Inputs!$B$8="",0,COUNTIFS(Data!$I$10:$I$3209,"&gt;="&amp;$A822,Data!$I$10:$I$3209,"&lt;"&amp;$A822+1)))</f>
        <v/>
      </c>
      <c r="AG822">
        <f>IF($B822=0,0,IF(Inputs!$B$9="",0,COUNTIFS(Data!$M$10:$M$3209,"&gt;="&amp;$A822,Data!$M$10:$M$3209,"&lt;"&amp;$A822+1)))</f>
        <v/>
      </c>
      <c r="AH822">
        <f>IF($B822=0,0,IF(Inputs!$B$10="",0,COUNTIFS(Data!$Q$10:$Q$3209,"&gt;="&amp;$A822,Data!$Q$10:$Q$3209,"&lt;"&amp;$A822+1)))</f>
        <v/>
      </c>
    </row>
    <row r="823">
      <c r="A823" s="55">
        <f>MIN(Inputs!$C$15,$A822+IF(WEEKDAY($A822,2)=5,3,1))</f>
        <v/>
      </c>
      <c r="B823">
        <f>IF($A823&gt;$A822,1,0)</f>
        <v/>
      </c>
      <c r="C823" s="56">
        <f>IF($B823=0,"",IF(Inputs!$B$6="","",IF($AD823=0,C822,SUMIFS(Data!$B$10:$B$3209,Data!$A$10:$A$3209,"&gt;="&amp;$A823,Data!$A$10:$A$3209,"&lt;"&amp;$A823+1)/$AD823)))</f>
        <v/>
      </c>
      <c r="D823" s="56">
        <f>IF($B823=0,"",IF(Inputs!$B$7="","",IF($AE823=0,D822,SUMIFS(Data!$F$10:$F$3209,Data!$E$10:$E$3209,"&gt;="&amp;$A823,Data!$E$10:$E$3209,"&lt;"&amp;$A823+1)/$AE823)))</f>
        <v/>
      </c>
      <c r="E823" s="56">
        <f>IF($B823=0,"",IF(Inputs!$B$8="","",IF($AF823=0,E822,SUMIFS(Data!$J$10:$J$3209,Data!$I$10:$I$3209,"&gt;="&amp;$A823,Data!$I$10:$I$3209,"&lt;"&amp;$A823+1)/$AF823)))</f>
        <v/>
      </c>
      <c r="F823" s="56">
        <f>IF($B823=0,"",IF(Inputs!$B$9="","",IF($AG823=0,F822,SUMIFS(Data!$N$10:$N$3209,Data!$M$10:$M$3209,"&gt;="&amp;$A823,Data!$M$10:$M$3209,"&lt;"&amp;$A823+1)/$AG823)))</f>
        <v/>
      </c>
      <c r="G823" s="56">
        <f>IF($B823=0,"",IF(Inputs!$B$10="","",IF($AH823=0,G822,SUMIFS(Data!$R$10:$R$3209,Data!$Q$10:$Q$3209,"&gt;="&amp;$A823,Data!$Q$10:$Q$3209,"&lt;"&amp;$A823+1)/$AH823)))</f>
        <v/>
      </c>
      <c r="I823" s="54">
        <f>IF($B823=0,NA(),IF($C823="",NA(),IF(C$8="",NA(),IF(N(C$8)=0,NA(),IF(Inputs!$C$17="Rebased to 100",$C823/C$8*100,$C823)))))</f>
        <v/>
      </c>
      <c r="J823" s="54">
        <f>IF($B823=0,NA(),IF($D823="",NA(),IF(D$8="",NA(),IF(N(D$8)=0,NA(),IF(Inputs!$C$17="Rebased to 100",$D823/D$8*100,$D823)))))</f>
        <v/>
      </c>
      <c r="K823" s="54">
        <f>IF($B823=0,NA(),IF($E823="",NA(),IF(E$8="",NA(),IF(N(E$8)=0,NA(),IF(Inputs!$C$17="Rebased to 100",$E823/E$8*100,$E823)))))</f>
        <v/>
      </c>
      <c r="L823" s="54">
        <f>IF($B823=0,NA(),IF($F823="",NA(),IF(F$8="",NA(),IF(N(F$8)=0,NA(),IF(Inputs!$C$17="Rebased to 100",$F823/F$8*100,$F823)))))</f>
        <v/>
      </c>
      <c r="M823" s="54">
        <f>IF($B823=0,NA(),IF($G823="",NA(),IF(G$8="",NA(),IF(N(G$8)=0,NA(),IF(Inputs!$C$17="Rebased to 100",$G823/G$8*100,$G823)))))</f>
        <v/>
      </c>
      <c r="N823" s="54">
        <f>IF($B823=0,NA(),IF(Inputs!$C$18&lt;&gt;"Yes",NA(),IF(COUNT(I823,J823,K823,L823,M823)=0,NA(),MIN(I823,J823,K823,L823,M823))))</f>
        <v/>
      </c>
      <c r="O823" s="54">
        <f>IF($B823=0,NA(),IF(Inputs!$B$24&lt;&gt;"Yes",NA(),Inputs!$D$24*Inputs!$C$35))</f>
        <v/>
      </c>
      <c r="P823" s="54">
        <f>IF($B823=0,NA(),IF(Inputs!$B$25&lt;&gt;"Yes",NA(),Inputs!$D$25*Inputs!$C$35))</f>
        <v/>
      </c>
      <c r="Q823" s="54">
        <f>IF($B823=0,NA(),IF(Inputs!$B$26&lt;&gt;"Yes",NA(),Inputs!$D$26*Inputs!$C$35))</f>
        <v/>
      </c>
      <c r="R823" s="54">
        <f>IF($B823=0,NA(),IF(Inputs!$B$27&lt;&gt;"Yes",NA(),Inputs!$D$27*Inputs!$C$35))</f>
        <v/>
      </c>
      <c r="S823" s="54">
        <f>IF($B823=0,NA(),IF(Inputs!$B$28&lt;&gt;"Yes",NA(),Inputs!$D$28*Inputs!$C$35))</f>
        <v/>
      </c>
      <c r="T823" s="54">
        <f>IF($B823=0,NA(),IF(Inputs!$B$29&lt;&gt;"Yes",NA(),Inputs!$D$29*Inputs!$C$35))</f>
        <v/>
      </c>
      <c r="AD823">
        <f>IF($B823=0,0,IF(Inputs!$B$6="",0,COUNTIFS(Data!$A$10:$A$3209,"&gt;="&amp;$A823,Data!$A$10:$A$3209,"&lt;"&amp;$A823+1)))</f>
        <v/>
      </c>
      <c r="AE823">
        <f>IF($B823=0,0,IF(Inputs!$B$7="",0,COUNTIFS(Data!$E$10:$E$3209,"&gt;="&amp;$A823,Data!$E$10:$E$3209,"&lt;"&amp;$A823+1)))</f>
        <v/>
      </c>
      <c r="AF823">
        <f>IF($B823=0,0,IF(Inputs!$B$8="",0,COUNTIFS(Data!$I$10:$I$3209,"&gt;="&amp;$A823,Data!$I$10:$I$3209,"&lt;"&amp;$A823+1)))</f>
        <v/>
      </c>
      <c r="AG823">
        <f>IF($B823=0,0,IF(Inputs!$B$9="",0,COUNTIFS(Data!$M$10:$M$3209,"&gt;="&amp;$A823,Data!$M$10:$M$3209,"&lt;"&amp;$A823+1)))</f>
        <v/>
      </c>
      <c r="AH823">
        <f>IF($B823=0,0,IF(Inputs!$B$10="",0,COUNTIFS(Data!$Q$10:$Q$3209,"&gt;="&amp;$A823,Data!$Q$10:$Q$3209,"&lt;"&amp;$A823+1)))</f>
        <v/>
      </c>
    </row>
    <row r="824">
      <c r="A824" s="55">
        <f>MIN(Inputs!$C$15,$A823+IF(WEEKDAY($A823,2)=5,3,1))</f>
        <v/>
      </c>
      <c r="B824">
        <f>IF($A824&gt;$A823,1,0)</f>
        <v/>
      </c>
      <c r="C824" s="56">
        <f>IF($B824=0,"",IF(Inputs!$B$6="","",IF($AD824=0,C823,SUMIFS(Data!$B$10:$B$3209,Data!$A$10:$A$3209,"&gt;="&amp;$A824,Data!$A$10:$A$3209,"&lt;"&amp;$A824+1)/$AD824)))</f>
        <v/>
      </c>
      <c r="D824" s="56">
        <f>IF($B824=0,"",IF(Inputs!$B$7="","",IF($AE824=0,D823,SUMIFS(Data!$F$10:$F$3209,Data!$E$10:$E$3209,"&gt;="&amp;$A824,Data!$E$10:$E$3209,"&lt;"&amp;$A824+1)/$AE824)))</f>
        <v/>
      </c>
      <c r="E824" s="56">
        <f>IF($B824=0,"",IF(Inputs!$B$8="","",IF($AF824=0,E823,SUMIFS(Data!$J$10:$J$3209,Data!$I$10:$I$3209,"&gt;="&amp;$A824,Data!$I$10:$I$3209,"&lt;"&amp;$A824+1)/$AF824)))</f>
        <v/>
      </c>
      <c r="F824" s="56">
        <f>IF($B824=0,"",IF(Inputs!$B$9="","",IF($AG824=0,F823,SUMIFS(Data!$N$10:$N$3209,Data!$M$10:$M$3209,"&gt;="&amp;$A824,Data!$M$10:$M$3209,"&lt;"&amp;$A824+1)/$AG824)))</f>
        <v/>
      </c>
      <c r="G824" s="56">
        <f>IF($B824=0,"",IF(Inputs!$B$10="","",IF($AH824=0,G823,SUMIFS(Data!$R$10:$R$3209,Data!$Q$10:$Q$3209,"&gt;="&amp;$A824,Data!$Q$10:$Q$3209,"&lt;"&amp;$A824+1)/$AH824)))</f>
        <v/>
      </c>
      <c r="I824" s="54">
        <f>IF($B824=0,NA(),IF($C824="",NA(),IF(C$8="",NA(),IF(N(C$8)=0,NA(),IF(Inputs!$C$17="Rebased to 100",$C824/C$8*100,$C824)))))</f>
        <v/>
      </c>
      <c r="J824" s="54">
        <f>IF($B824=0,NA(),IF($D824="",NA(),IF(D$8="",NA(),IF(N(D$8)=0,NA(),IF(Inputs!$C$17="Rebased to 100",$D824/D$8*100,$D824)))))</f>
        <v/>
      </c>
      <c r="K824" s="54">
        <f>IF($B824=0,NA(),IF($E824="",NA(),IF(E$8="",NA(),IF(N(E$8)=0,NA(),IF(Inputs!$C$17="Rebased to 100",$E824/E$8*100,$E824)))))</f>
        <v/>
      </c>
      <c r="L824" s="54">
        <f>IF($B824=0,NA(),IF($F824="",NA(),IF(F$8="",NA(),IF(N(F$8)=0,NA(),IF(Inputs!$C$17="Rebased to 100",$F824/F$8*100,$F824)))))</f>
        <v/>
      </c>
      <c r="M824" s="54">
        <f>IF($B824=0,NA(),IF($G824="",NA(),IF(G$8="",NA(),IF(N(G$8)=0,NA(),IF(Inputs!$C$17="Rebased to 100",$G824/G$8*100,$G824)))))</f>
        <v/>
      </c>
      <c r="N824" s="54">
        <f>IF($B824=0,NA(),IF(Inputs!$C$18&lt;&gt;"Yes",NA(),IF(COUNT(I824,J824,K824,L824,M824)=0,NA(),MIN(I824,J824,K824,L824,M824))))</f>
        <v/>
      </c>
      <c r="O824" s="54">
        <f>IF($B824=0,NA(),IF(Inputs!$B$24&lt;&gt;"Yes",NA(),Inputs!$D$24*Inputs!$C$35))</f>
        <v/>
      </c>
      <c r="P824" s="54">
        <f>IF($B824=0,NA(),IF(Inputs!$B$25&lt;&gt;"Yes",NA(),Inputs!$D$25*Inputs!$C$35))</f>
        <v/>
      </c>
      <c r="Q824" s="54">
        <f>IF($B824=0,NA(),IF(Inputs!$B$26&lt;&gt;"Yes",NA(),Inputs!$D$26*Inputs!$C$35))</f>
        <v/>
      </c>
      <c r="R824" s="54">
        <f>IF($B824=0,NA(),IF(Inputs!$B$27&lt;&gt;"Yes",NA(),Inputs!$D$27*Inputs!$C$35))</f>
        <v/>
      </c>
      <c r="S824" s="54">
        <f>IF($B824=0,NA(),IF(Inputs!$B$28&lt;&gt;"Yes",NA(),Inputs!$D$28*Inputs!$C$35))</f>
        <v/>
      </c>
      <c r="T824" s="54">
        <f>IF($B824=0,NA(),IF(Inputs!$B$29&lt;&gt;"Yes",NA(),Inputs!$D$29*Inputs!$C$35))</f>
        <v/>
      </c>
      <c r="AD824">
        <f>IF($B824=0,0,IF(Inputs!$B$6="",0,COUNTIFS(Data!$A$10:$A$3209,"&gt;="&amp;$A824,Data!$A$10:$A$3209,"&lt;"&amp;$A824+1)))</f>
        <v/>
      </c>
      <c r="AE824">
        <f>IF($B824=0,0,IF(Inputs!$B$7="",0,COUNTIFS(Data!$E$10:$E$3209,"&gt;="&amp;$A824,Data!$E$10:$E$3209,"&lt;"&amp;$A824+1)))</f>
        <v/>
      </c>
      <c r="AF824">
        <f>IF($B824=0,0,IF(Inputs!$B$8="",0,COUNTIFS(Data!$I$10:$I$3209,"&gt;="&amp;$A824,Data!$I$10:$I$3209,"&lt;"&amp;$A824+1)))</f>
        <v/>
      </c>
      <c r="AG824">
        <f>IF($B824=0,0,IF(Inputs!$B$9="",0,COUNTIFS(Data!$M$10:$M$3209,"&gt;="&amp;$A824,Data!$M$10:$M$3209,"&lt;"&amp;$A824+1)))</f>
        <v/>
      </c>
      <c r="AH824">
        <f>IF($B824=0,0,IF(Inputs!$B$10="",0,COUNTIFS(Data!$Q$10:$Q$3209,"&gt;="&amp;$A824,Data!$Q$10:$Q$3209,"&lt;"&amp;$A824+1)))</f>
        <v/>
      </c>
    </row>
    <row r="825">
      <c r="A825" s="55">
        <f>MIN(Inputs!$C$15,$A824+IF(WEEKDAY($A824,2)=5,3,1))</f>
        <v/>
      </c>
      <c r="B825">
        <f>IF($A825&gt;$A824,1,0)</f>
        <v/>
      </c>
      <c r="C825" s="56">
        <f>IF($B825=0,"",IF(Inputs!$B$6="","",IF($AD825=0,C824,SUMIFS(Data!$B$10:$B$3209,Data!$A$10:$A$3209,"&gt;="&amp;$A825,Data!$A$10:$A$3209,"&lt;"&amp;$A825+1)/$AD825)))</f>
        <v/>
      </c>
      <c r="D825" s="56">
        <f>IF($B825=0,"",IF(Inputs!$B$7="","",IF($AE825=0,D824,SUMIFS(Data!$F$10:$F$3209,Data!$E$10:$E$3209,"&gt;="&amp;$A825,Data!$E$10:$E$3209,"&lt;"&amp;$A825+1)/$AE825)))</f>
        <v/>
      </c>
      <c r="E825" s="56">
        <f>IF($B825=0,"",IF(Inputs!$B$8="","",IF($AF825=0,E824,SUMIFS(Data!$J$10:$J$3209,Data!$I$10:$I$3209,"&gt;="&amp;$A825,Data!$I$10:$I$3209,"&lt;"&amp;$A825+1)/$AF825)))</f>
        <v/>
      </c>
      <c r="F825" s="56">
        <f>IF($B825=0,"",IF(Inputs!$B$9="","",IF($AG825=0,F824,SUMIFS(Data!$N$10:$N$3209,Data!$M$10:$M$3209,"&gt;="&amp;$A825,Data!$M$10:$M$3209,"&lt;"&amp;$A825+1)/$AG825)))</f>
        <v/>
      </c>
      <c r="G825" s="56">
        <f>IF($B825=0,"",IF(Inputs!$B$10="","",IF($AH825=0,G824,SUMIFS(Data!$R$10:$R$3209,Data!$Q$10:$Q$3209,"&gt;="&amp;$A825,Data!$Q$10:$Q$3209,"&lt;"&amp;$A825+1)/$AH825)))</f>
        <v/>
      </c>
      <c r="I825" s="54">
        <f>IF($B825=0,NA(),IF($C825="",NA(),IF(C$8="",NA(),IF(N(C$8)=0,NA(),IF(Inputs!$C$17="Rebased to 100",$C825/C$8*100,$C825)))))</f>
        <v/>
      </c>
      <c r="J825" s="54">
        <f>IF($B825=0,NA(),IF($D825="",NA(),IF(D$8="",NA(),IF(N(D$8)=0,NA(),IF(Inputs!$C$17="Rebased to 100",$D825/D$8*100,$D825)))))</f>
        <v/>
      </c>
      <c r="K825" s="54">
        <f>IF($B825=0,NA(),IF($E825="",NA(),IF(E$8="",NA(),IF(N(E$8)=0,NA(),IF(Inputs!$C$17="Rebased to 100",$E825/E$8*100,$E825)))))</f>
        <v/>
      </c>
      <c r="L825" s="54">
        <f>IF($B825=0,NA(),IF($F825="",NA(),IF(F$8="",NA(),IF(N(F$8)=0,NA(),IF(Inputs!$C$17="Rebased to 100",$F825/F$8*100,$F825)))))</f>
        <v/>
      </c>
      <c r="M825" s="54">
        <f>IF($B825=0,NA(),IF($G825="",NA(),IF(G$8="",NA(),IF(N(G$8)=0,NA(),IF(Inputs!$C$17="Rebased to 100",$G825/G$8*100,$G825)))))</f>
        <v/>
      </c>
      <c r="N825" s="54">
        <f>IF($B825=0,NA(),IF(Inputs!$C$18&lt;&gt;"Yes",NA(),IF(COUNT(I825,J825,K825,L825,M825)=0,NA(),MIN(I825,J825,K825,L825,M825))))</f>
        <v/>
      </c>
      <c r="O825" s="54">
        <f>IF($B825=0,NA(),IF(Inputs!$B$24&lt;&gt;"Yes",NA(),Inputs!$D$24*Inputs!$C$35))</f>
        <v/>
      </c>
      <c r="P825" s="54">
        <f>IF($B825=0,NA(),IF(Inputs!$B$25&lt;&gt;"Yes",NA(),Inputs!$D$25*Inputs!$C$35))</f>
        <v/>
      </c>
      <c r="Q825" s="54">
        <f>IF($B825=0,NA(),IF(Inputs!$B$26&lt;&gt;"Yes",NA(),Inputs!$D$26*Inputs!$C$35))</f>
        <v/>
      </c>
      <c r="R825" s="54">
        <f>IF($B825=0,NA(),IF(Inputs!$B$27&lt;&gt;"Yes",NA(),Inputs!$D$27*Inputs!$C$35))</f>
        <v/>
      </c>
      <c r="S825" s="54">
        <f>IF($B825=0,NA(),IF(Inputs!$B$28&lt;&gt;"Yes",NA(),Inputs!$D$28*Inputs!$C$35))</f>
        <v/>
      </c>
      <c r="T825" s="54">
        <f>IF($B825=0,NA(),IF(Inputs!$B$29&lt;&gt;"Yes",NA(),Inputs!$D$29*Inputs!$C$35))</f>
        <v/>
      </c>
      <c r="AD825">
        <f>IF($B825=0,0,IF(Inputs!$B$6="",0,COUNTIFS(Data!$A$10:$A$3209,"&gt;="&amp;$A825,Data!$A$10:$A$3209,"&lt;"&amp;$A825+1)))</f>
        <v/>
      </c>
      <c r="AE825">
        <f>IF($B825=0,0,IF(Inputs!$B$7="",0,COUNTIFS(Data!$E$10:$E$3209,"&gt;="&amp;$A825,Data!$E$10:$E$3209,"&lt;"&amp;$A825+1)))</f>
        <v/>
      </c>
      <c r="AF825">
        <f>IF($B825=0,0,IF(Inputs!$B$8="",0,COUNTIFS(Data!$I$10:$I$3209,"&gt;="&amp;$A825,Data!$I$10:$I$3209,"&lt;"&amp;$A825+1)))</f>
        <v/>
      </c>
      <c r="AG825">
        <f>IF($B825=0,0,IF(Inputs!$B$9="",0,COUNTIFS(Data!$M$10:$M$3209,"&gt;="&amp;$A825,Data!$M$10:$M$3209,"&lt;"&amp;$A825+1)))</f>
        <v/>
      </c>
      <c r="AH825">
        <f>IF($B825=0,0,IF(Inputs!$B$10="",0,COUNTIFS(Data!$Q$10:$Q$3209,"&gt;="&amp;$A825,Data!$Q$10:$Q$3209,"&lt;"&amp;$A825+1)))</f>
        <v/>
      </c>
    </row>
    <row r="826">
      <c r="A826" s="55">
        <f>MIN(Inputs!$C$15,$A825+IF(WEEKDAY($A825,2)=5,3,1))</f>
        <v/>
      </c>
      <c r="B826">
        <f>IF($A826&gt;$A825,1,0)</f>
        <v/>
      </c>
      <c r="C826" s="56">
        <f>IF($B826=0,"",IF(Inputs!$B$6="","",IF($AD826=0,C825,SUMIFS(Data!$B$10:$B$3209,Data!$A$10:$A$3209,"&gt;="&amp;$A826,Data!$A$10:$A$3209,"&lt;"&amp;$A826+1)/$AD826)))</f>
        <v/>
      </c>
      <c r="D826" s="56">
        <f>IF($B826=0,"",IF(Inputs!$B$7="","",IF($AE826=0,D825,SUMIFS(Data!$F$10:$F$3209,Data!$E$10:$E$3209,"&gt;="&amp;$A826,Data!$E$10:$E$3209,"&lt;"&amp;$A826+1)/$AE826)))</f>
        <v/>
      </c>
      <c r="E826" s="56">
        <f>IF($B826=0,"",IF(Inputs!$B$8="","",IF($AF826=0,E825,SUMIFS(Data!$J$10:$J$3209,Data!$I$10:$I$3209,"&gt;="&amp;$A826,Data!$I$10:$I$3209,"&lt;"&amp;$A826+1)/$AF826)))</f>
        <v/>
      </c>
      <c r="F826" s="56">
        <f>IF($B826=0,"",IF(Inputs!$B$9="","",IF($AG826=0,F825,SUMIFS(Data!$N$10:$N$3209,Data!$M$10:$M$3209,"&gt;="&amp;$A826,Data!$M$10:$M$3209,"&lt;"&amp;$A826+1)/$AG826)))</f>
        <v/>
      </c>
      <c r="G826" s="56">
        <f>IF($B826=0,"",IF(Inputs!$B$10="","",IF($AH826=0,G825,SUMIFS(Data!$R$10:$R$3209,Data!$Q$10:$Q$3209,"&gt;="&amp;$A826,Data!$Q$10:$Q$3209,"&lt;"&amp;$A826+1)/$AH826)))</f>
        <v/>
      </c>
      <c r="I826" s="54">
        <f>IF($B826=0,NA(),IF($C826="",NA(),IF(C$8="",NA(),IF(N(C$8)=0,NA(),IF(Inputs!$C$17="Rebased to 100",$C826/C$8*100,$C826)))))</f>
        <v/>
      </c>
      <c r="J826" s="54">
        <f>IF($B826=0,NA(),IF($D826="",NA(),IF(D$8="",NA(),IF(N(D$8)=0,NA(),IF(Inputs!$C$17="Rebased to 100",$D826/D$8*100,$D826)))))</f>
        <v/>
      </c>
      <c r="K826" s="54">
        <f>IF($B826=0,NA(),IF($E826="",NA(),IF(E$8="",NA(),IF(N(E$8)=0,NA(),IF(Inputs!$C$17="Rebased to 100",$E826/E$8*100,$E826)))))</f>
        <v/>
      </c>
      <c r="L826" s="54">
        <f>IF($B826=0,NA(),IF($F826="",NA(),IF(F$8="",NA(),IF(N(F$8)=0,NA(),IF(Inputs!$C$17="Rebased to 100",$F826/F$8*100,$F826)))))</f>
        <v/>
      </c>
      <c r="M826" s="54">
        <f>IF($B826=0,NA(),IF($G826="",NA(),IF(G$8="",NA(),IF(N(G$8)=0,NA(),IF(Inputs!$C$17="Rebased to 100",$G826/G$8*100,$G826)))))</f>
        <v/>
      </c>
      <c r="N826" s="54">
        <f>IF($B826=0,NA(),IF(Inputs!$C$18&lt;&gt;"Yes",NA(),IF(COUNT(I826,J826,K826,L826,M826)=0,NA(),MIN(I826,J826,K826,L826,M826))))</f>
        <v/>
      </c>
      <c r="O826" s="54">
        <f>IF($B826=0,NA(),IF(Inputs!$B$24&lt;&gt;"Yes",NA(),Inputs!$D$24*Inputs!$C$35))</f>
        <v/>
      </c>
      <c r="P826" s="54">
        <f>IF($B826=0,NA(),IF(Inputs!$B$25&lt;&gt;"Yes",NA(),Inputs!$D$25*Inputs!$C$35))</f>
        <v/>
      </c>
      <c r="Q826" s="54">
        <f>IF($B826=0,NA(),IF(Inputs!$B$26&lt;&gt;"Yes",NA(),Inputs!$D$26*Inputs!$C$35))</f>
        <v/>
      </c>
      <c r="R826" s="54">
        <f>IF($B826=0,NA(),IF(Inputs!$B$27&lt;&gt;"Yes",NA(),Inputs!$D$27*Inputs!$C$35))</f>
        <v/>
      </c>
      <c r="S826" s="54">
        <f>IF($B826=0,NA(),IF(Inputs!$B$28&lt;&gt;"Yes",NA(),Inputs!$D$28*Inputs!$C$35))</f>
        <v/>
      </c>
      <c r="T826" s="54">
        <f>IF($B826=0,NA(),IF(Inputs!$B$29&lt;&gt;"Yes",NA(),Inputs!$D$29*Inputs!$C$35))</f>
        <v/>
      </c>
      <c r="AD826">
        <f>IF($B826=0,0,IF(Inputs!$B$6="",0,COUNTIFS(Data!$A$10:$A$3209,"&gt;="&amp;$A826,Data!$A$10:$A$3209,"&lt;"&amp;$A826+1)))</f>
        <v/>
      </c>
      <c r="AE826">
        <f>IF($B826=0,0,IF(Inputs!$B$7="",0,COUNTIFS(Data!$E$10:$E$3209,"&gt;="&amp;$A826,Data!$E$10:$E$3209,"&lt;"&amp;$A826+1)))</f>
        <v/>
      </c>
      <c r="AF826">
        <f>IF($B826=0,0,IF(Inputs!$B$8="",0,COUNTIFS(Data!$I$10:$I$3209,"&gt;="&amp;$A826,Data!$I$10:$I$3209,"&lt;"&amp;$A826+1)))</f>
        <v/>
      </c>
      <c r="AG826">
        <f>IF($B826=0,0,IF(Inputs!$B$9="",0,COUNTIFS(Data!$M$10:$M$3209,"&gt;="&amp;$A826,Data!$M$10:$M$3209,"&lt;"&amp;$A826+1)))</f>
        <v/>
      </c>
      <c r="AH826">
        <f>IF($B826=0,0,IF(Inputs!$B$10="",0,COUNTIFS(Data!$Q$10:$Q$3209,"&gt;="&amp;$A826,Data!$Q$10:$Q$3209,"&lt;"&amp;$A826+1)))</f>
        <v/>
      </c>
    </row>
    <row r="827">
      <c r="A827" s="55">
        <f>MIN(Inputs!$C$15,$A826+IF(WEEKDAY($A826,2)=5,3,1))</f>
        <v/>
      </c>
      <c r="B827">
        <f>IF($A827&gt;$A826,1,0)</f>
        <v/>
      </c>
      <c r="C827" s="56">
        <f>IF($B827=0,"",IF(Inputs!$B$6="","",IF($AD827=0,C826,SUMIFS(Data!$B$10:$B$3209,Data!$A$10:$A$3209,"&gt;="&amp;$A827,Data!$A$10:$A$3209,"&lt;"&amp;$A827+1)/$AD827)))</f>
        <v/>
      </c>
      <c r="D827" s="56">
        <f>IF($B827=0,"",IF(Inputs!$B$7="","",IF($AE827=0,D826,SUMIFS(Data!$F$10:$F$3209,Data!$E$10:$E$3209,"&gt;="&amp;$A827,Data!$E$10:$E$3209,"&lt;"&amp;$A827+1)/$AE827)))</f>
        <v/>
      </c>
      <c r="E827" s="56">
        <f>IF($B827=0,"",IF(Inputs!$B$8="","",IF($AF827=0,E826,SUMIFS(Data!$J$10:$J$3209,Data!$I$10:$I$3209,"&gt;="&amp;$A827,Data!$I$10:$I$3209,"&lt;"&amp;$A827+1)/$AF827)))</f>
        <v/>
      </c>
      <c r="F827" s="56">
        <f>IF($B827=0,"",IF(Inputs!$B$9="","",IF($AG827=0,F826,SUMIFS(Data!$N$10:$N$3209,Data!$M$10:$M$3209,"&gt;="&amp;$A827,Data!$M$10:$M$3209,"&lt;"&amp;$A827+1)/$AG827)))</f>
        <v/>
      </c>
      <c r="G827" s="56">
        <f>IF($B827=0,"",IF(Inputs!$B$10="","",IF($AH827=0,G826,SUMIFS(Data!$R$10:$R$3209,Data!$Q$10:$Q$3209,"&gt;="&amp;$A827,Data!$Q$10:$Q$3209,"&lt;"&amp;$A827+1)/$AH827)))</f>
        <v/>
      </c>
      <c r="I827" s="54">
        <f>IF($B827=0,NA(),IF($C827="",NA(),IF(C$8="",NA(),IF(N(C$8)=0,NA(),IF(Inputs!$C$17="Rebased to 100",$C827/C$8*100,$C827)))))</f>
        <v/>
      </c>
      <c r="J827" s="54">
        <f>IF($B827=0,NA(),IF($D827="",NA(),IF(D$8="",NA(),IF(N(D$8)=0,NA(),IF(Inputs!$C$17="Rebased to 100",$D827/D$8*100,$D827)))))</f>
        <v/>
      </c>
      <c r="K827" s="54">
        <f>IF($B827=0,NA(),IF($E827="",NA(),IF(E$8="",NA(),IF(N(E$8)=0,NA(),IF(Inputs!$C$17="Rebased to 100",$E827/E$8*100,$E827)))))</f>
        <v/>
      </c>
      <c r="L827" s="54">
        <f>IF($B827=0,NA(),IF($F827="",NA(),IF(F$8="",NA(),IF(N(F$8)=0,NA(),IF(Inputs!$C$17="Rebased to 100",$F827/F$8*100,$F827)))))</f>
        <v/>
      </c>
      <c r="M827" s="54">
        <f>IF($B827=0,NA(),IF($G827="",NA(),IF(G$8="",NA(),IF(N(G$8)=0,NA(),IF(Inputs!$C$17="Rebased to 100",$G827/G$8*100,$G827)))))</f>
        <v/>
      </c>
      <c r="N827" s="54">
        <f>IF($B827=0,NA(),IF(Inputs!$C$18&lt;&gt;"Yes",NA(),IF(COUNT(I827,J827,K827,L827,M827)=0,NA(),MIN(I827,J827,K827,L827,M827))))</f>
        <v/>
      </c>
      <c r="O827" s="54">
        <f>IF($B827=0,NA(),IF(Inputs!$B$24&lt;&gt;"Yes",NA(),Inputs!$D$24*Inputs!$C$35))</f>
        <v/>
      </c>
      <c r="P827" s="54">
        <f>IF($B827=0,NA(),IF(Inputs!$B$25&lt;&gt;"Yes",NA(),Inputs!$D$25*Inputs!$C$35))</f>
        <v/>
      </c>
      <c r="Q827" s="54">
        <f>IF($B827=0,NA(),IF(Inputs!$B$26&lt;&gt;"Yes",NA(),Inputs!$D$26*Inputs!$C$35))</f>
        <v/>
      </c>
      <c r="R827" s="54">
        <f>IF($B827=0,NA(),IF(Inputs!$B$27&lt;&gt;"Yes",NA(),Inputs!$D$27*Inputs!$C$35))</f>
        <v/>
      </c>
      <c r="S827" s="54">
        <f>IF($B827=0,NA(),IF(Inputs!$B$28&lt;&gt;"Yes",NA(),Inputs!$D$28*Inputs!$C$35))</f>
        <v/>
      </c>
      <c r="T827" s="54">
        <f>IF($B827=0,NA(),IF(Inputs!$B$29&lt;&gt;"Yes",NA(),Inputs!$D$29*Inputs!$C$35))</f>
        <v/>
      </c>
      <c r="AD827">
        <f>IF($B827=0,0,IF(Inputs!$B$6="",0,COUNTIFS(Data!$A$10:$A$3209,"&gt;="&amp;$A827,Data!$A$10:$A$3209,"&lt;"&amp;$A827+1)))</f>
        <v/>
      </c>
      <c r="AE827">
        <f>IF($B827=0,0,IF(Inputs!$B$7="",0,COUNTIFS(Data!$E$10:$E$3209,"&gt;="&amp;$A827,Data!$E$10:$E$3209,"&lt;"&amp;$A827+1)))</f>
        <v/>
      </c>
      <c r="AF827">
        <f>IF($B827=0,0,IF(Inputs!$B$8="",0,COUNTIFS(Data!$I$10:$I$3209,"&gt;="&amp;$A827,Data!$I$10:$I$3209,"&lt;"&amp;$A827+1)))</f>
        <v/>
      </c>
      <c r="AG827">
        <f>IF($B827=0,0,IF(Inputs!$B$9="",0,COUNTIFS(Data!$M$10:$M$3209,"&gt;="&amp;$A827,Data!$M$10:$M$3209,"&lt;"&amp;$A827+1)))</f>
        <v/>
      </c>
      <c r="AH827">
        <f>IF($B827=0,0,IF(Inputs!$B$10="",0,COUNTIFS(Data!$Q$10:$Q$3209,"&gt;="&amp;$A827,Data!$Q$10:$Q$3209,"&lt;"&amp;$A827+1)))</f>
        <v/>
      </c>
    </row>
    <row r="828">
      <c r="A828" s="55">
        <f>MIN(Inputs!$C$15,$A827+IF(WEEKDAY($A827,2)=5,3,1))</f>
        <v/>
      </c>
      <c r="B828">
        <f>IF($A828&gt;$A827,1,0)</f>
        <v/>
      </c>
      <c r="C828" s="56">
        <f>IF($B828=0,"",IF(Inputs!$B$6="","",IF($AD828=0,C827,SUMIFS(Data!$B$10:$B$3209,Data!$A$10:$A$3209,"&gt;="&amp;$A828,Data!$A$10:$A$3209,"&lt;"&amp;$A828+1)/$AD828)))</f>
        <v/>
      </c>
      <c r="D828" s="56">
        <f>IF($B828=0,"",IF(Inputs!$B$7="","",IF($AE828=0,D827,SUMIFS(Data!$F$10:$F$3209,Data!$E$10:$E$3209,"&gt;="&amp;$A828,Data!$E$10:$E$3209,"&lt;"&amp;$A828+1)/$AE828)))</f>
        <v/>
      </c>
      <c r="E828" s="56">
        <f>IF($B828=0,"",IF(Inputs!$B$8="","",IF($AF828=0,E827,SUMIFS(Data!$J$10:$J$3209,Data!$I$10:$I$3209,"&gt;="&amp;$A828,Data!$I$10:$I$3209,"&lt;"&amp;$A828+1)/$AF828)))</f>
        <v/>
      </c>
      <c r="F828" s="56">
        <f>IF($B828=0,"",IF(Inputs!$B$9="","",IF($AG828=0,F827,SUMIFS(Data!$N$10:$N$3209,Data!$M$10:$M$3209,"&gt;="&amp;$A828,Data!$M$10:$M$3209,"&lt;"&amp;$A828+1)/$AG828)))</f>
        <v/>
      </c>
      <c r="G828" s="56">
        <f>IF($B828=0,"",IF(Inputs!$B$10="","",IF($AH828=0,G827,SUMIFS(Data!$R$10:$R$3209,Data!$Q$10:$Q$3209,"&gt;="&amp;$A828,Data!$Q$10:$Q$3209,"&lt;"&amp;$A828+1)/$AH828)))</f>
        <v/>
      </c>
      <c r="I828" s="54">
        <f>IF($B828=0,NA(),IF($C828="",NA(),IF(C$8="",NA(),IF(N(C$8)=0,NA(),IF(Inputs!$C$17="Rebased to 100",$C828/C$8*100,$C828)))))</f>
        <v/>
      </c>
      <c r="J828" s="54">
        <f>IF($B828=0,NA(),IF($D828="",NA(),IF(D$8="",NA(),IF(N(D$8)=0,NA(),IF(Inputs!$C$17="Rebased to 100",$D828/D$8*100,$D828)))))</f>
        <v/>
      </c>
      <c r="K828" s="54">
        <f>IF($B828=0,NA(),IF($E828="",NA(),IF(E$8="",NA(),IF(N(E$8)=0,NA(),IF(Inputs!$C$17="Rebased to 100",$E828/E$8*100,$E828)))))</f>
        <v/>
      </c>
      <c r="L828" s="54">
        <f>IF($B828=0,NA(),IF($F828="",NA(),IF(F$8="",NA(),IF(N(F$8)=0,NA(),IF(Inputs!$C$17="Rebased to 100",$F828/F$8*100,$F828)))))</f>
        <v/>
      </c>
      <c r="M828" s="54">
        <f>IF($B828=0,NA(),IF($G828="",NA(),IF(G$8="",NA(),IF(N(G$8)=0,NA(),IF(Inputs!$C$17="Rebased to 100",$G828/G$8*100,$G828)))))</f>
        <v/>
      </c>
      <c r="N828" s="54">
        <f>IF($B828=0,NA(),IF(Inputs!$C$18&lt;&gt;"Yes",NA(),IF(COUNT(I828,J828,K828,L828,M828)=0,NA(),MIN(I828,J828,K828,L828,M828))))</f>
        <v/>
      </c>
      <c r="O828" s="54">
        <f>IF($B828=0,NA(),IF(Inputs!$B$24&lt;&gt;"Yes",NA(),Inputs!$D$24*Inputs!$C$35))</f>
        <v/>
      </c>
      <c r="P828" s="54">
        <f>IF($B828=0,NA(),IF(Inputs!$B$25&lt;&gt;"Yes",NA(),Inputs!$D$25*Inputs!$C$35))</f>
        <v/>
      </c>
      <c r="Q828" s="54">
        <f>IF($B828=0,NA(),IF(Inputs!$B$26&lt;&gt;"Yes",NA(),Inputs!$D$26*Inputs!$C$35))</f>
        <v/>
      </c>
      <c r="R828" s="54">
        <f>IF($B828=0,NA(),IF(Inputs!$B$27&lt;&gt;"Yes",NA(),Inputs!$D$27*Inputs!$C$35))</f>
        <v/>
      </c>
      <c r="S828" s="54">
        <f>IF($B828=0,NA(),IF(Inputs!$B$28&lt;&gt;"Yes",NA(),Inputs!$D$28*Inputs!$C$35))</f>
        <v/>
      </c>
      <c r="T828" s="54">
        <f>IF($B828=0,NA(),IF(Inputs!$B$29&lt;&gt;"Yes",NA(),Inputs!$D$29*Inputs!$C$35))</f>
        <v/>
      </c>
      <c r="AD828">
        <f>IF($B828=0,0,IF(Inputs!$B$6="",0,COUNTIFS(Data!$A$10:$A$3209,"&gt;="&amp;$A828,Data!$A$10:$A$3209,"&lt;"&amp;$A828+1)))</f>
        <v/>
      </c>
      <c r="AE828">
        <f>IF($B828=0,0,IF(Inputs!$B$7="",0,COUNTIFS(Data!$E$10:$E$3209,"&gt;="&amp;$A828,Data!$E$10:$E$3209,"&lt;"&amp;$A828+1)))</f>
        <v/>
      </c>
      <c r="AF828">
        <f>IF($B828=0,0,IF(Inputs!$B$8="",0,COUNTIFS(Data!$I$10:$I$3209,"&gt;="&amp;$A828,Data!$I$10:$I$3209,"&lt;"&amp;$A828+1)))</f>
        <v/>
      </c>
      <c r="AG828">
        <f>IF($B828=0,0,IF(Inputs!$B$9="",0,COUNTIFS(Data!$M$10:$M$3209,"&gt;="&amp;$A828,Data!$M$10:$M$3209,"&lt;"&amp;$A828+1)))</f>
        <v/>
      </c>
      <c r="AH828">
        <f>IF($B828=0,0,IF(Inputs!$B$10="",0,COUNTIFS(Data!$Q$10:$Q$3209,"&gt;="&amp;$A828,Data!$Q$10:$Q$3209,"&lt;"&amp;$A828+1)))</f>
        <v/>
      </c>
    </row>
    <row r="829">
      <c r="A829" s="55">
        <f>MIN(Inputs!$C$15,$A828+IF(WEEKDAY($A828,2)=5,3,1))</f>
        <v/>
      </c>
      <c r="B829">
        <f>IF($A829&gt;$A828,1,0)</f>
        <v/>
      </c>
      <c r="C829" s="56">
        <f>IF($B829=0,"",IF(Inputs!$B$6="","",IF($AD829=0,C828,SUMIFS(Data!$B$10:$B$3209,Data!$A$10:$A$3209,"&gt;="&amp;$A829,Data!$A$10:$A$3209,"&lt;"&amp;$A829+1)/$AD829)))</f>
        <v/>
      </c>
      <c r="D829" s="56">
        <f>IF($B829=0,"",IF(Inputs!$B$7="","",IF($AE829=0,D828,SUMIFS(Data!$F$10:$F$3209,Data!$E$10:$E$3209,"&gt;="&amp;$A829,Data!$E$10:$E$3209,"&lt;"&amp;$A829+1)/$AE829)))</f>
        <v/>
      </c>
      <c r="E829" s="56">
        <f>IF($B829=0,"",IF(Inputs!$B$8="","",IF($AF829=0,E828,SUMIFS(Data!$J$10:$J$3209,Data!$I$10:$I$3209,"&gt;="&amp;$A829,Data!$I$10:$I$3209,"&lt;"&amp;$A829+1)/$AF829)))</f>
        <v/>
      </c>
      <c r="F829" s="56">
        <f>IF($B829=0,"",IF(Inputs!$B$9="","",IF($AG829=0,F828,SUMIFS(Data!$N$10:$N$3209,Data!$M$10:$M$3209,"&gt;="&amp;$A829,Data!$M$10:$M$3209,"&lt;"&amp;$A829+1)/$AG829)))</f>
        <v/>
      </c>
      <c r="G829" s="56">
        <f>IF($B829=0,"",IF(Inputs!$B$10="","",IF($AH829=0,G828,SUMIFS(Data!$R$10:$R$3209,Data!$Q$10:$Q$3209,"&gt;="&amp;$A829,Data!$Q$10:$Q$3209,"&lt;"&amp;$A829+1)/$AH829)))</f>
        <v/>
      </c>
      <c r="I829" s="54">
        <f>IF($B829=0,NA(),IF($C829="",NA(),IF(C$8="",NA(),IF(N(C$8)=0,NA(),IF(Inputs!$C$17="Rebased to 100",$C829/C$8*100,$C829)))))</f>
        <v/>
      </c>
      <c r="J829" s="54">
        <f>IF($B829=0,NA(),IF($D829="",NA(),IF(D$8="",NA(),IF(N(D$8)=0,NA(),IF(Inputs!$C$17="Rebased to 100",$D829/D$8*100,$D829)))))</f>
        <v/>
      </c>
      <c r="K829" s="54">
        <f>IF($B829=0,NA(),IF($E829="",NA(),IF(E$8="",NA(),IF(N(E$8)=0,NA(),IF(Inputs!$C$17="Rebased to 100",$E829/E$8*100,$E829)))))</f>
        <v/>
      </c>
      <c r="L829" s="54">
        <f>IF($B829=0,NA(),IF($F829="",NA(),IF(F$8="",NA(),IF(N(F$8)=0,NA(),IF(Inputs!$C$17="Rebased to 100",$F829/F$8*100,$F829)))))</f>
        <v/>
      </c>
      <c r="M829" s="54">
        <f>IF($B829=0,NA(),IF($G829="",NA(),IF(G$8="",NA(),IF(N(G$8)=0,NA(),IF(Inputs!$C$17="Rebased to 100",$G829/G$8*100,$G829)))))</f>
        <v/>
      </c>
      <c r="N829" s="54">
        <f>IF($B829=0,NA(),IF(Inputs!$C$18&lt;&gt;"Yes",NA(),IF(COUNT(I829,J829,K829,L829,M829)=0,NA(),MIN(I829,J829,K829,L829,M829))))</f>
        <v/>
      </c>
      <c r="O829" s="54">
        <f>IF($B829=0,NA(),IF(Inputs!$B$24&lt;&gt;"Yes",NA(),Inputs!$D$24*Inputs!$C$35))</f>
        <v/>
      </c>
      <c r="P829" s="54">
        <f>IF($B829=0,NA(),IF(Inputs!$B$25&lt;&gt;"Yes",NA(),Inputs!$D$25*Inputs!$C$35))</f>
        <v/>
      </c>
      <c r="Q829" s="54">
        <f>IF($B829=0,NA(),IF(Inputs!$B$26&lt;&gt;"Yes",NA(),Inputs!$D$26*Inputs!$C$35))</f>
        <v/>
      </c>
      <c r="R829" s="54">
        <f>IF($B829=0,NA(),IF(Inputs!$B$27&lt;&gt;"Yes",NA(),Inputs!$D$27*Inputs!$C$35))</f>
        <v/>
      </c>
      <c r="S829" s="54">
        <f>IF($B829=0,NA(),IF(Inputs!$B$28&lt;&gt;"Yes",NA(),Inputs!$D$28*Inputs!$C$35))</f>
        <v/>
      </c>
      <c r="T829" s="54">
        <f>IF($B829=0,NA(),IF(Inputs!$B$29&lt;&gt;"Yes",NA(),Inputs!$D$29*Inputs!$C$35))</f>
        <v/>
      </c>
      <c r="AD829">
        <f>IF($B829=0,0,IF(Inputs!$B$6="",0,COUNTIFS(Data!$A$10:$A$3209,"&gt;="&amp;$A829,Data!$A$10:$A$3209,"&lt;"&amp;$A829+1)))</f>
        <v/>
      </c>
      <c r="AE829">
        <f>IF($B829=0,0,IF(Inputs!$B$7="",0,COUNTIFS(Data!$E$10:$E$3209,"&gt;="&amp;$A829,Data!$E$10:$E$3209,"&lt;"&amp;$A829+1)))</f>
        <v/>
      </c>
      <c r="AF829">
        <f>IF($B829=0,0,IF(Inputs!$B$8="",0,COUNTIFS(Data!$I$10:$I$3209,"&gt;="&amp;$A829,Data!$I$10:$I$3209,"&lt;"&amp;$A829+1)))</f>
        <v/>
      </c>
      <c r="AG829">
        <f>IF($B829=0,0,IF(Inputs!$B$9="",0,COUNTIFS(Data!$M$10:$M$3209,"&gt;="&amp;$A829,Data!$M$10:$M$3209,"&lt;"&amp;$A829+1)))</f>
        <v/>
      </c>
      <c r="AH829">
        <f>IF($B829=0,0,IF(Inputs!$B$10="",0,COUNTIFS(Data!$Q$10:$Q$3209,"&gt;="&amp;$A829,Data!$Q$10:$Q$3209,"&lt;"&amp;$A829+1)))</f>
        <v/>
      </c>
    </row>
    <row r="830">
      <c r="A830" s="55">
        <f>MIN(Inputs!$C$15,$A829+IF(WEEKDAY($A829,2)=5,3,1))</f>
        <v/>
      </c>
      <c r="B830">
        <f>IF($A830&gt;$A829,1,0)</f>
        <v/>
      </c>
      <c r="C830" s="56">
        <f>IF($B830=0,"",IF(Inputs!$B$6="","",IF($AD830=0,C829,SUMIFS(Data!$B$10:$B$3209,Data!$A$10:$A$3209,"&gt;="&amp;$A830,Data!$A$10:$A$3209,"&lt;"&amp;$A830+1)/$AD830)))</f>
        <v/>
      </c>
      <c r="D830" s="56">
        <f>IF($B830=0,"",IF(Inputs!$B$7="","",IF($AE830=0,D829,SUMIFS(Data!$F$10:$F$3209,Data!$E$10:$E$3209,"&gt;="&amp;$A830,Data!$E$10:$E$3209,"&lt;"&amp;$A830+1)/$AE830)))</f>
        <v/>
      </c>
      <c r="E830" s="56">
        <f>IF($B830=0,"",IF(Inputs!$B$8="","",IF($AF830=0,E829,SUMIFS(Data!$J$10:$J$3209,Data!$I$10:$I$3209,"&gt;="&amp;$A830,Data!$I$10:$I$3209,"&lt;"&amp;$A830+1)/$AF830)))</f>
        <v/>
      </c>
      <c r="F830" s="56">
        <f>IF($B830=0,"",IF(Inputs!$B$9="","",IF($AG830=0,F829,SUMIFS(Data!$N$10:$N$3209,Data!$M$10:$M$3209,"&gt;="&amp;$A830,Data!$M$10:$M$3209,"&lt;"&amp;$A830+1)/$AG830)))</f>
        <v/>
      </c>
      <c r="G830" s="56">
        <f>IF($B830=0,"",IF(Inputs!$B$10="","",IF($AH830=0,G829,SUMIFS(Data!$R$10:$R$3209,Data!$Q$10:$Q$3209,"&gt;="&amp;$A830,Data!$Q$10:$Q$3209,"&lt;"&amp;$A830+1)/$AH830)))</f>
        <v/>
      </c>
      <c r="I830" s="54">
        <f>IF($B830=0,NA(),IF($C830="",NA(),IF(C$8="",NA(),IF(N(C$8)=0,NA(),IF(Inputs!$C$17="Rebased to 100",$C830/C$8*100,$C830)))))</f>
        <v/>
      </c>
      <c r="J830" s="54">
        <f>IF($B830=0,NA(),IF($D830="",NA(),IF(D$8="",NA(),IF(N(D$8)=0,NA(),IF(Inputs!$C$17="Rebased to 100",$D830/D$8*100,$D830)))))</f>
        <v/>
      </c>
      <c r="K830" s="54">
        <f>IF($B830=0,NA(),IF($E830="",NA(),IF(E$8="",NA(),IF(N(E$8)=0,NA(),IF(Inputs!$C$17="Rebased to 100",$E830/E$8*100,$E830)))))</f>
        <v/>
      </c>
      <c r="L830" s="54">
        <f>IF($B830=0,NA(),IF($F830="",NA(),IF(F$8="",NA(),IF(N(F$8)=0,NA(),IF(Inputs!$C$17="Rebased to 100",$F830/F$8*100,$F830)))))</f>
        <v/>
      </c>
      <c r="M830" s="54">
        <f>IF($B830=0,NA(),IF($G830="",NA(),IF(G$8="",NA(),IF(N(G$8)=0,NA(),IF(Inputs!$C$17="Rebased to 100",$G830/G$8*100,$G830)))))</f>
        <v/>
      </c>
      <c r="N830" s="54">
        <f>IF($B830=0,NA(),IF(Inputs!$C$18&lt;&gt;"Yes",NA(),IF(COUNT(I830,J830,K830,L830,M830)=0,NA(),MIN(I830,J830,K830,L830,M830))))</f>
        <v/>
      </c>
      <c r="O830" s="54">
        <f>IF($B830=0,NA(),IF(Inputs!$B$24&lt;&gt;"Yes",NA(),Inputs!$D$24*Inputs!$C$35))</f>
        <v/>
      </c>
      <c r="P830" s="54">
        <f>IF($B830=0,NA(),IF(Inputs!$B$25&lt;&gt;"Yes",NA(),Inputs!$D$25*Inputs!$C$35))</f>
        <v/>
      </c>
      <c r="Q830" s="54">
        <f>IF($B830=0,NA(),IF(Inputs!$B$26&lt;&gt;"Yes",NA(),Inputs!$D$26*Inputs!$C$35))</f>
        <v/>
      </c>
      <c r="R830" s="54">
        <f>IF($B830=0,NA(),IF(Inputs!$B$27&lt;&gt;"Yes",NA(),Inputs!$D$27*Inputs!$C$35))</f>
        <v/>
      </c>
      <c r="S830" s="54">
        <f>IF($B830=0,NA(),IF(Inputs!$B$28&lt;&gt;"Yes",NA(),Inputs!$D$28*Inputs!$C$35))</f>
        <v/>
      </c>
      <c r="T830" s="54">
        <f>IF($B830=0,NA(),IF(Inputs!$B$29&lt;&gt;"Yes",NA(),Inputs!$D$29*Inputs!$C$35))</f>
        <v/>
      </c>
      <c r="AD830">
        <f>IF($B830=0,0,IF(Inputs!$B$6="",0,COUNTIFS(Data!$A$10:$A$3209,"&gt;="&amp;$A830,Data!$A$10:$A$3209,"&lt;"&amp;$A830+1)))</f>
        <v/>
      </c>
      <c r="AE830">
        <f>IF($B830=0,0,IF(Inputs!$B$7="",0,COUNTIFS(Data!$E$10:$E$3209,"&gt;="&amp;$A830,Data!$E$10:$E$3209,"&lt;"&amp;$A830+1)))</f>
        <v/>
      </c>
      <c r="AF830">
        <f>IF($B830=0,0,IF(Inputs!$B$8="",0,COUNTIFS(Data!$I$10:$I$3209,"&gt;="&amp;$A830,Data!$I$10:$I$3209,"&lt;"&amp;$A830+1)))</f>
        <v/>
      </c>
      <c r="AG830">
        <f>IF($B830=0,0,IF(Inputs!$B$9="",0,COUNTIFS(Data!$M$10:$M$3209,"&gt;="&amp;$A830,Data!$M$10:$M$3209,"&lt;"&amp;$A830+1)))</f>
        <v/>
      </c>
      <c r="AH830">
        <f>IF($B830=0,0,IF(Inputs!$B$10="",0,COUNTIFS(Data!$Q$10:$Q$3209,"&gt;="&amp;$A830,Data!$Q$10:$Q$3209,"&lt;"&amp;$A830+1)))</f>
        <v/>
      </c>
    </row>
    <row r="831">
      <c r="A831" s="55">
        <f>MIN(Inputs!$C$15,$A830+IF(WEEKDAY($A830,2)=5,3,1))</f>
        <v/>
      </c>
      <c r="B831">
        <f>IF($A831&gt;$A830,1,0)</f>
        <v/>
      </c>
      <c r="C831" s="56">
        <f>IF($B831=0,"",IF(Inputs!$B$6="","",IF($AD831=0,C830,SUMIFS(Data!$B$10:$B$3209,Data!$A$10:$A$3209,"&gt;="&amp;$A831,Data!$A$10:$A$3209,"&lt;"&amp;$A831+1)/$AD831)))</f>
        <v/>
      </c>
      <c r="D831" s="56">
        <f>IF($B831=0,"",IF(Inputs!$B$7="","",IF($AE831=0,D830,SUMIFS(Data!$F$10:$F$3209,Data!$E$10:$E$3209,"&gt;="&amp;$A831,Data!$E$10:$E$3209,"&lt;"&amp;$A831+1)/$AE831)))</f>
        <v/>
      </c>
      <c r="E831" s="56">
        <f>IF($B831=0,"",IF(Inputs!$B$8="","",IF($AF831=0,E830,SUMIFS(Data!$J$10:$J$3209,Data!$I$10:$I$3209,"&gt;="&amp;$A831,Data!$I$10:$I$3209,"&lt;"&amp;$A831+1)/$AF831)))</f>
        <v/>
      </c>
      <c r="F831" s="56">
        <f>IF($B831=0,"",IF(Inputs!$B$9="","",IF($AG831=0,F830,SUMIFS(Data!$N$10:$N$3209,Data!$M$10:$M$3209,"&gt;="&amp;$A831,Data!$M$10:$M$3209,"&lt;"&amp;$A831+1)/$AG831)))</f>
        <v/>
      </c>
      <c r="G831" s="56">
        <f>IF($B831=0,"",IF(Inputs!$B$10="","",IF($AH831=0,G830,SUMIFS(Data!$R$10:$R$3209,Data!$Q$10:$Q$3209,"&gt;="&amp;$A831,Data!$Q$10:$Q$3209,"&lt;"&amp;$A831+1)/$AH831)))</f>
        <v/>
      </c>
      <c r="I831" s="54">
        <f>IF($B831=0,NA(),IF($C831="",NA(),IF(C$8="",NA(),IF(N(C$8)=0,NA(),IF(Inputs!$C$17="Rebased to 100",$C831/C$8*100,$C831)))))</f>
        <v/>
      </c>
      <c r="J831" s="54">
        <f>IF($B831=0,NA(),IF($D831="",NA(),IF(D$8="",NA(),IF(N(D$8)=0,NA(),IF(Inputs!$C$17="Rebased to 100",$D831/D$8*100,$D831)))))</f>
        <v/>
      </c>
      <c r="K831" s="54">
        <f>IF($B831=0,NA(),IF($E831="",NA(),IF(E$8="",NA(),IF(N(E$8)=0,NA(),IF(Inputs!$C$17="Rebased to 100",$E831/E$8*100,$E831)))))</f>
        <v/>
      </c>
      <c r="L831" s="54">
        <f>IF($B831=0,NA(),IF($F831="",NA(),IF(F$8="",NA(),IF(N(F$8)=0,NA(),IF(Inputs!$C$17="Rebased to 100",$F831/F$8*100,$F831)))))</f>
        <v/>
      </c>
      <c r="M831" s="54">
        <f>IF($B831=0,NA(),IF($G831="",NA(),IF(G$8="",NA(),IF(N(G$8)=0,NA(),IF(Inputs!$C$17="Rebased to 100",$G831/G$8*100,$G831)))))</f>
        <v/>
      </c>
      <c r="N831" s="54">
        <f>IF($B831=0,NA(),IF(Inputs!$C$18&lt;&gt;"Yes",NA(),IF(COUNT(I831,J831,K831,L831,M831)=0,NA(),MIN(I831,J831,K831,L831,M831))))</f>
        <v/>
      </c>
      <c r="O831" s="54">
        <f>IF($B831=0,NA(),IF(Inputs!$B$24&lt;&gt;"Yes",NA(),Inputs!$D$24*Inputs!$C$35))</f>
        <v/>
      </c>
      <c r="P831" s="54">
        <f>IF($B831=0,NA(),IF(Inputs!$B$25&lt;&gt;"Yes",NA(),Inputs!$D$25*Inputs!$C$35))</f>
        <v/>
      </c>
      <c r="Q831" s="54">
        <f>IF($B831=0,NA(),IF(Inputs!$B$26&lt;&gt;"Yes",NA(),Inputs!$D$26*Inputs!$C$35))</f>
        <v/>
      </c>
      <c r="R831" s="54">
        <f>IF($B831=0,NA(),IF(Inputs!$B$27&lt;&gt;"Yes",NA(),Inputs!$D$27*Inputs!$C$35))</f>
        <v/>
      </c>
      <c r="S831" s="54">
        <f>IF($B831=0,NA(),IF(Inputs!$B$28&lt;&gt;"Yes",NA(),Inputs!$D$28*Inputs!$C$35))</f>
        <v/>
      </c>
      <c r="T831" s="54">
        <f>IF($B831=0,NA(),IF(Inputs!$B$29&lt;&gt;"Yes",NA(),Inputs!$D$29*Inputs!$C$35))</f>
        <v/>
      </c>
      <c r="AD831">
        <f>IF($B831=0,0,IF(Inputs!$B$6="",0,COUNTIFS(Data!$A$10:$A$3209,"&gt;="&amp;$A831,Data!$A$10:$A$3209,"&lt;"&amp;$A831+1)))</f>
        <v/>
      </c>
      <c r="AE831">
        <f>IF($B831=0,0,IF(Inputs!$B$7="",0,COUNTIFS(Data!$E$10:$E$3209,"&gt;="&amp;$A831,Data!$E$10:$E$3209,"&lt;"&amp;$A831+1)))</f>
        <v/>
      </c>
      <c r="AF831">
        <f>IF($B831=0,0,IF(Inputs!$B$8="",0,COUNTIFS(Data!$I$10:$I$3209,"&gt;="&amp;$A831,Data!$I$10:$I$3209,"&lt;"&amp;$A831+1)))</f>
        <v/>
      </c>
      <c r="AG831">
        <f>IF($B831=0,0,IF(Inputs!$B$9="",0,COUNTIFS(Data!$M$10:$M$3209,"&gt;="&amp;$A831,Data!$M$10:$M$3209,"&lt;"&amp;$A831+1)))</f>
        <v/>
      </c>
      <c r="AH831">
        <f>IF($B831=0,0,IF(Inputs!$B$10="",0,COUNTIFS(Data!$Q$10:$Q$3209,"&gt;="&amp;$A831,Data!$Q$10:$Q$3209,"&lt;"&amp;$A831+1)))</f>
        <v/>
      </c>
    </row>
    <row r="832">
      <c r="A832" s="55">
        <f>MIN(Inputs!$C$15,$A831+IF(WEEKDAY($A831,2)=5,3,1))</f>
        <v/>
      </c>
      <c r="B832">
        <f>IF($A832&gt;$A831,1,0)</f>
        <v/>
      </c>
      <c r="C832" s="56">
        <f>IF($B832=0,"",IF(Inputs!$B$6="","",IF($AD832=0,C831,SUMIFS(Data!$B$10:$B$3209,Data!$A$10:$A$3209,"&gt;="&amp;$A832,Data!$A$10:$A$3209,"&lt;"&amp;$A832+1)/$AD832)))</f>
        <v/>
      </c>
      <c r="D832" s="56">
        <f>IF($B832=0,"",IF(Inputs!$B$7="","",IF($AE832=0,D831,SUMIFS(Data!$F$10:$F$3209,Data!$E$10:$E$3209,"&gt;="&amp;$A832,Data!$E$10:$E$3209,"&lt;"&amp;$A832+1)/$AE832)))</f>
        <v/>
      </c>
      <c r="E832" s="56">
        <f>IF($B832=0,"",IF(Inputs!$B$8="","",IF($AF832=0,E831,SUMIFS(Data!$J$10:$J$3209,Data!$I$10:$I$3209,"&gt;="&amp;$A832,Data!$I$10:$I$3209,"&lt;"&amp;$A832+1)/$AF832)))</f>
        <v/>
      </c>
      <c r="F832" s="56">
        <f>IF($B832=0,"",IF(Inputs!$B$9="","",IF($AG832=0,F831,SUMIFS(Data!$N$10:$N$3209,Data!$M$10:$M$3209,"&gt;="&amp;$A832,Data!$M$10:$M$3209,"&lt;"&amp;$A832+1)/$AG832)))</f>
        <v/>
      </c>
      <c r="G832" s="56">
        <f>IF($B832=0,"",IF(Inputs!$B$10="","",IF($AH832=0,G831,SUMIFS(Data!$R$10:$R$3209,Data!$Q$10:$Q$3209,"&gt;="&amp;$A832,Data!$Q$10:$Q$3209,"&lt;"&amp;$A832+1)/$AH832)))</f>
        <v/>
      </c>
      <c r="I832" s="54">
        <f>IF($B832=0,NA(),IF($C832="",NA(),IF(C$8="",NA(),IF(N(C$8)=0,NA(),IF(Inputs!$C$17="Rebased to 100",$C832/C$8*100,$C832)))))</f>
        <v/>
      </c>
      <c r="J832" s="54">
        <f>IF($B832=0,NA(),IF($D832="",NA(),IF(D$8="",NA(),IF(N(D$8)=0,NA(),IF(Inputs!$C$17="Rebased to 100",$D832/D$8*100,$D832)))))</f>
        <v/>
      </c>
      <c r="K832" s="54">
        <f>IF($B832=0,NA(),IF($E832="",NA(),IF(E$8="",NA(),IF(N(E$8)=0,NA(),IF(Inputs!$C$17="Rebased to 100",$E832/E$8*100,$E832)))))</f>
        <v/>
      </c>
      <c r="L832" s="54">
        <f>IF($B832=0,NA(),IF($F832="",NA(),IF(F$8="",NA(),IF(N(F$8)=0,NA(),IF(Inputs!$C$17="Rebased to 100",$F832/F$8*100,$F832)))))</f>
        <v/>
      </c>
      <c r="M832" s="54">
        <f>IF($B832=0,NA(),IF($G832="",NA(),IF(G$8="",NA(),IF(N(G$8)=0,NA(),IF(Inputs!$C$17="Rebased to 100",$G832/G$8*100,$G832)))))</f>
        <v/>
      </c>
      <c r="N832" s="54">
        <f>IF($B832=0,NA(),IF(Inputs!$C$18&lt;&gt;"Yes",NA(),IF(COUNT(I832,J832,K832,L832,M832)=0,NA(),MIN(I832,J832,K832,L832,M832))))</f>
        <v/>
      </c>
      <c r="O832" s="54">
        <f>IF($B832=0,NA(),IF(Inputs!$B$24&lt;&gt;"Yes",NA(),Inputs!$D$24*Inputs!$C$35))</f>
        <v/>
      </c>
      <c r="P832" s="54">
        <f>IF($B832=0,NA(),IF(Inputs!$B$25&lt;&gt;"Yes",NA(),Inputs!$D$25*Inputs!$C$35))</f>
        <v/>
      </c>
      <c r="Q832" s="54">
        <f>IF($B832=0,NA(),IF(Inputs!$B$26&lt;&gt;"Yes",NA(),Inputs!$D$26*Inputs!$C$35))</f>
        <v/>
      </c>
      <c r="R832" s="54">
        <f>IF($B832=0,NA(),IF(Inputs!$B$27&lt;&gt;"Yes",NA(),Inputs!$D$27*Inputs!$C$35))</f>
        <v/>
      </c>
      <c r="S832" s="54">
        <f>IF($B832=0,NA(),IF(Inputs!$B$28&lt;&gt;"Yes",NA(),Inputs!$D$28*Inputs!$C$35))</f>
        <v/>
      </c>
      <c r="T832" s="54">
        <f>IF($B832=0,NA(),IF(Inputs!$B$29&lt;&gt;"Yes",NA(),Inputs!$D$29*Inputs!$C$35))</f>
        <v/>
      </c>
      <c r="AD832">
        <f>IF($B832=0,0,IF(Inputs!$B$6="",0,COUNTIFS(Data!$A$10:$A$3209,"&gt;="&amp;$A832,Data!$A$10:$A$3209,"&lt;"&amp;$A832+1)))</f>
        <v/>
      </c>
      <c r="AE832">
        <f>IF($B832=0,0,IF(Inputs!$B$7="",0,COUNTIFS(Data!$E$10:$E$3209,"&gt;="&amp;$A832,Data!$E$10:$E$3209,"&lt;"&amp;$A832+1)))</f>
        <v/>
      </c>
      <c r="AF832">
        <f>IF($B832=0,0,IF(Inputs!$B$8="",0,COUNTIFS(Data!$I$10:$I$3209,"&gt;="&amp;$A832,Data!$I$10:$I$3209,"&lt;"&amp;$A832+1)))</f>
        <v/>
      </c>
      <c r="AG832">
        <f>IF($B832=0,0,IF(Inputs!$B$9="",0,COUNTIFS(Data!$M$10:$M$3209,"&gt;="&amp;$A832,Data!$M$10:$M$3209,"&lt;"&amp;$A832+1)))</f>
        <v/>
      </c>
      <c r="AH832">
        <f>IF($B832=0,0,IF(Inputs!$B$10="",0,COUNTIFS(Data!$Q$10:$Q$3209,"&gt;="&amp;$A832,Data!$Q$10:$Q$3209,"&lt;"&amp;$A832+1)))</f>
        <v/>
      </c>
    </row>
    <row r="833">
      <c r="A833" s="55">
        <f>MIN(Inputs!$C$15,$A832+IF(WEEKDAY($A832,2)=5,3,1))</f>
        <v/>
      </c>
      <c r="B833">
        <f>IF($A833&gt;$A832,1,0)</f>
        <v/>
      </c>
      <c r="C833" s="56">
        <f>IF($B833=0,"",IF(Inputs!$B$6="","",IF($AD833=0,C832,SUMIFS(Data!$B$10:$B$3209,Data!$A$10:$A$3209,"&gt;="&amp;$A833,Data!$A$10:$A$3209,"&lt;"&amp;$A833+1)/$AD833)))</f>
        <v/>
      </c>
      <c r="D833" s="56">
        <f>IF($B833=0,"",IF(Inputs!$B$7="","",IF($AE833=0,D832,SUMIFS(Data!$F$10:$F$3209,Data!$E$10:$E$3209,"&gt;="&amp;$A833,Data!$E$10:$E$3209,"&lt;"&amp;$A833+1)/$AE833)))</f>
        <v/>
      </c>
      <c r="E833" s="56">
        <f>IF($B833=0,"",IF(Inputs!$B$8="","",IF($AF833=0,E832,SUMIFS(Data!$J$10:$J$3209,Data!$I$10:$I$3209,"&gt;="&amp;$A833,Data!$I$10:$I$3209,"&lt;"&amp;$A833+1)/$AF833)))</f>
        <v/>
      </c>
      <c r="F833" s="56">
        <f>IF($B833=0,"",IF(Inputs!$B$9="","",IF($AG833=0,F832,SUMIFS(Data!$N$10:$N$3209,Data!$M$10:$M$3209,"&gt;="&amp;$A833,Data!$M$10:$M$3209,"&lt;"&amp;$A833+1)/$AG833)))</f>
        <v/>
      </c>
      <c r="G833" s="56">
        <f>IF($B833=0,"",IF(Inputs!$B$10="","",IF($AH833=0,G832,SUMIFS(Data!$R$10:$R$3209,Data!$Q$10:$Q$3209,"&gt;="&amp;$A833,Data!$Q$10:$Q$3209,"&lt;"&amp;$A833+1)/$AH833)))</f>
        <v/>
      </c>
      <c r="I833" s="54">
        <f>IF($B833=0,NA(),IF($C833="",NA(),IF(C$8="",NA(),IF(N(C$8)=0,NA(),IF(Inputs!$C$17="Rebased to 100",$C833/C$8*100,$C833)))))</f>
        <v/>
      </c>
      <c r="J833" s="54">
        <f>IF($B833=0,NA(),IF($D833="",NA(),IF(D$8="",NA(),IF(N(D$8)=0,NA(),IF(Inputs!$C$17="Rebased to 100",$D833/D$8*100,$D833)))))</f>
        <v/>
      </c>
      <c r="K833" s="54">
        <f>IF($B833=0,NA(),IF($E833="",NA(),IF(E$8="",NA(),IF(N(E$8)=0,NA(),IF(Inputs!$C$17="Rebased to 100",$E833/E$8*100,$E833)))))</f>
        <v/>
      </c>
      <c r="L833" s="54">
        <f>IF($B833=0,NA(),IF($F833="",NA(),IF(F$8="",NA(),IF(N(F$8)=0,NA(),IF(Inputs!$C$17="Rebased to 100",$F833/F$8*100,$F833)))))</f>
        <v/>
      </c>
      <c r="M833" s="54">
        <f>IF($B833=0,NA(),IF($G833="",NA(),IF(G$8="",NA(),IF(N(G$8)=0,NA(),IF(Inputs!$C$17="Rebased to 100",$G833/G$8*100,$G833)))))</f>
        <v/>
      </c>
      <c r="N833" s="54">
        <f>IF($B833=0,NA(),IF(Inputs!$C$18&lt;&gt;"Yes",NA(),IF(COUNT(I833,J833,K833,L833,M833)=0,NA(),MIN(I833,J833,K833,L833,M833))))</f>
        <v/>
      </c>
      <c r="O833" s="54">
        <f>IF($B833=0,NA(),IF(Inputs!$B$24&lt;&gt;"Yes",NA(),Inputs!$D$24*Inputs!$C$35))</f>
        <v/>
      </c>
      <c r="P833" s="54">
        <f>IF($B833=0,NA(),IF(Inputs!$B$25&lt;&gt;"Yes",NA(),Inputs!$D$25*Inputs!$C$35))</f>
        <v/>
      </c>
      <c r="Q833" s="54">
        <f>IF($B833=0,NA(),IF(Inputs!$B$26&lt;&gt;"Yes",NA(),Inputs!$D$26*Inputs!$C$35))</f>
        <v/>
      </c>
      <c r="R833" s="54">
        <f>IF($B833=0,NA(),IF(Inputs!$B$27&lt;&gt;"Yes",NA(),Inputs!$D$27*Inputs!$C$35))</f>
        <v/>
      </c>
      <c r="S833" s="54">
        <f>IF($B833=0,NA(),IF(Inputs!$B$28&lt;&gt;"Yes",NA(),Inputs!$D$28*Inputs!$C$35))</f>
        <v/>
      </c>
      <c r="T833" s="54">
        <f>IF($B833=0,NA(),IF(Inputs!$B$29&lt;&gt;"Yes",NA(),Inputs!$D$29*Inputs!$C$35))</f>
        <v/>
      </c>
      <c r="AD833">
        <f>IF($B833=0,0,IF(Inputs!$B$6="",0,COUNTIFS(Data!$A$10:$A$3209,"&gt;="&amp;$A833,Data!$A$10:$A$3209,"&lt;"&amp;$A833+1)))</f>
        <v/>
      </c>
      <c r="AE833">
        <f>IF($B833=0,0,IF(Inputs!$B$7="",0,COUNTIFS(Data!$E$10:$E$3209,"&gt;="&amp;$A833,Data!$E$10:$E$3209,"&lt;"&amp;$A833+1)))</f>
        <v/>
      </c>
      <c r="AF833">
        <f>IF($B833=0,0,IF(Inputs!$B$8="",0,COUNTIFS(Data!$I$10:$I$3209,"&gt;="&amp;$A833,Data!$I$10:$I$3209,"&lt;"&amp;$A833+1)))</f>
        <v/>
      </c>
      <c r="AG833">
        <f>IF($B833=0,0,IF(Inputs!$B$9="",0,COUNTIFS(Data!$M$10:$M$3209,"&gt;="&amp;$A833,Data!$M$10:$M$3209,"&lt;"&amp;$A833+1)))</f>
        <v/>
      </c>
      <c r="AH833">
        <f>IF($B833=0,0,IF(Inputs!$B$10="",0,COUNTIFS(Data!$Q$10:$Q$3209,"&gt;="&amp;$A833,Data!$Q$10:$Q$3209,"&lt;"&amp;$A833+1)))</f>
        <v/>
      </c>
    </row>
    <row r="834">
      <c r="A834" s="55">
        <f>MIN(Inputs!$C$15,$A833+IF(WEEKDAY($A833,2)=5,3,1))</f>
        <v/>
      </c>
      <c r="B834">
        <f>IF($A834&gt;$A833,1,0)</f>
        <v/>
      </c>
      <c r="C834" s="56">
        <f>IF($B834=0,"",IF(Inputs!$B$6="","",IF($AD834=0,C833,SUMIFS(Data!$B$10:$B$3209,Data!$A$10:$A$3209,"&gt;="&amp;$A834,Data!$A$10:$A$3209,"&lt;"&amp;$A834+1)/$AD834)))</f>
        <v/>
      </c>
      <c r="D834" s="56">
        <f>IF($B834=0,"",IF(Inputs!$B$7="","",IF($AE834=0,D833,SUMIFS(Data!$F$10:$F$3209,Data!$E$10:$E$3209,"&gt;="&amp;$A834,Data!$E$10:$E$3209,"&lt;"&amp;$A834+1)/$AE834)))</f>
        <v/>
      </c>
      <c r="E834" s="56">
        <f>IF($B834=0,"",IF(Inputs!$B$8="","",IF($AF834=0,E833,SUMIFS(Data!$J$10:$J$3209,Data!$I$10:$I$3209,"&gt;="&amp;$A834,Data!$I$10:$I$3209,"&lt;"&amp;$A834+1)/$AF834)))</f>
        <v/>
      </c>
      <c r="F834" s="56">
        <f>IF($B834=0,"",IF(Inputs!$B$9="","",IF($AG834=0,F833,SUMIFS(Data!$N$10:$N$3209,Data!$M$10:$M$3209,"&gt;="&amp;$A834,Data!$M$10:$M$3209,"&lt;"&amp;$A834+1)/$AG834)))</f>
        <v/>
      </c>
      <c r="G834" s="56">
        <f>IF($B834=0,"",IF(Inputs!$B$10="","",IF($AH834=0,G833,SUMIFS(Data!$R$10:$R$3209,Data!$Q$10:$Q$3209,"&gt;="&amp;$A834,Data!$Q$10:$Q$3209,"&lt;"&amp;$A834+1)/$AH834)))</f>
        <v/>
      </c>
      <c r="I834" s="54">
        <f>IF($B834=0,NA(),IF($C834="",NA(),IF(C$8="",NA(),IF(N(C$8)=0,NA(),IF(Inputs!$C$17="Rebased to 100",$C834/C$8*100,$C834)))))</f>
        <v/>
      </c>
      <c r="J834" s="54">
        <f>IF($B834=0,NA(),IF($D834="",NA(),IF(D$8="",NA(),IF(N(D$8)=0,NA(),IF(Inputs!$C$17="Rebased to 100",$D834/D$8*100,$D834)))))</f>
        <v/>
      </c>
      <c r="K834" s="54">
        <f>IF($B834=0,NA(),IF($E834="",NA(),IF(E$8="",NA(),IF(N(E$8)=0,NA(),IF(Inputs!$C$17="Rebased to 100",$E834/E$8*100,$E834)))))</f>
        <v/>
      </c>
      <c r="L834" s="54">
        <f>IF($B834=0,NA(),IF($F834="",NA(),IF(F$8="",NA(),IF(N(F$8)=0,NA(),IF(Inputs!$C$17="Rebased to 100",$F834/F$8*100,$F834)))))</f>
        <v/>
      </c>
      <c r="M834" s="54">
        <f>IF($B834=0,NA(),IF($G834="",NA(),IF(G$8="",NA(),IF(N(G$8)=0,NA(),IF(Inputs!$C$17="Rebased to 100",$G834/G$8*100,$G834)))))</f>
        <v/>
      </c>
      <c r="N834" s="54">
        <f>IF($B834=0,NA(),IF(Inputs!$C$18&lt;&gt;"Yes",NA(),IF(COUNT(I834,J834,K834,L834,M834)=0,NA(),MIN(I834,J834,K834,L834,M834))))</f>
        <v/>
      </c>
      <c r="O834" s="54">
        <f>IF($B834=0,NA(),IF(Inputs!$B$24&lt;&gt;"Yes",NA(),Inputs!$D$24*Inputs!$C$35))</f>
        <v/>
      </c>
      <c r="P834" s="54">
        <f>IF($B834=0,NA(),IF(Inputs!$B$25&lt;&gt;"Yes",NA(),Inputs!$D$25*Inputs!$C$35))</f>
        <v/>
      </c>
      <c r="Q834" s="54">
        <f>IF($B834=0,NA(),IF(Inputs!$B$26&lt;&gt;"Yes",NA(),Inputs!$D$26*Inputs!$C$35))</f>
        <v/>
      </c>
      <c r="R834" s="54">
        <f>IF($B834=0,NA(),IF(Inputs!$B$27&lt;&gt;"Yes",NA(),Inputs!$D$27*Inputs!$C$35))</f>
        <v/>
      </c>
      <c r="S834" s="54">
        <f>IF($B834=0,NA(),IF(Inputs!$B$28&lt;&gt;"Yes",NA(),Inputs!$D$28*Inputs!$C$35))</f>
        <v/>
      </c>
      <c r="T834" s="54">
        <f>IF($B834=0,NA(),IF(Inputs!$B$29&lt;&gt;"Yes",NA(),Inputs!$D$29*Inputs!$C$35))</f>
        <v/>
      </c>
      <c r="AD834">
        <f>IF($B834=0,0,IF(Inputs!$B$6="",0,COUNTIFS(Data!$A$10:$A$3209,"&gt;="&amp;$A834,Data!$A$10:$A$3209,"&lt;"&amp;$A834+1)))</f>
        <v/>
      </c>
      <c r="AE834">
        <f>IF($B834=0,0,IF(Inputs!$B$7="",0,COUNTIFS(Data!$E$10:$E$3209,"&gt;="&amp;$A834,Data!$E$10:$E$3209,"&lt;"&amp;$A834+1)))</f>
        <v/>
      </c>
      <c r="AF834">
        <f>IF($B834=0,0,IF(Inputs!$B$8="",0,COUNTIFS(Data!$I$10:$I$3209,"&gt;="&amp;$A834,Data!$I$10:$I$3209,"&lt;"&amp;$A834+1)))</f>
        <v/>
      </c>
      <c r="AG834">
        <f>IF($B834=0,0,IF(Inputs!$B$9="",0,COUNTIFS(Data!$M$10:$M$3209,"&gt;="&amp;$A834,Data!$M$10:$M$3209,"&lt;"&amp;$A834+1)))</f>
        <v/>
      </c>
      <c r="AH834">
        <f>IF($B834=0,0,IF(Inputs!$B$10="",0,COUNTIFS(Data!$Q$10:$Q$3209,"&gt;="&amp;$A834,Data!$Q$10:$Q$3209,"&lt;"&amp;$A834+1)))</f>
        <v/>
      </c>
    </row>
    <row r="835">
      <c r="A835" s="55">
        <f>MIN(Inputs!$C$15,$A834+IF(WEEKDAY($A834,2)=5,3,1))</f>
        <v/>
      </c>
      <c r="B835">
        <f>IF($A835&gt;$A834,1,0)</f>
        <v/>
      </c>
      <c r="C835" s="56">
        <f>IF($B835=0,"",IF(Inputs!$B$6="","",IF($AD835=0,C834,SUMIFS(Data!$B$10:$B$3209,Data!$A$10:$A$3209,"&gt;="&amp;$A835,Data!$A$10:$A$3209,"&lt;"&amp;$A835+1)/$AD835)))</f>
        <v/>
      </c>
      <c r="D835" s="56">
        <f>IF($B835=0,"",IF(Inputs!$B$7="","",IF($AE835=0,D834,SUMIFS(Data!$F$10:$F$3209,Data!$E$10:$E$3209,"&gt;="&amp;$A835,Data!$E$10:$E$3209,"&lt;"&amp;$A835+1)/$AE835)))</f>
        <v/>
      </c>
      <c r="E835" s="56">
        <f>IF($B835=0,"",IF(Inputs!$B$8="","",IF($AF835=0,E834,SUMIFS(Data!$J$10:$J$3209,Data!$I$10:$I$3209,"&gt;="&amp;$A835,Data!$I$10:$I$3209,"&lt;"&amp;$A835+1)/$AF835)))</f>
        <v/>
      </c>
      <c r="F835" s="56">
        <f>IF($B835=0,"",IF(Inputs!$B$9="","",IF($AG835=0,F834,SUMIFS(Data!$N$10:$N$3209,Data!$M$10:$M$3209,"&gt;="&amp;$A835,Data!$M$10:$M$3209,"&lt;"&amp;$A835+1)/$AG835)))</f>
        <v/>
      </c>
      <c r="G835" s="56">
        <f>IF($B835=0,"",IF(Inputs!$B$10="","",IF($AH835=0,G834,SUMIFS(Data!$R$10:$R$3209,Data!$Q$10:$Q$3209,"&gt;="&amp;$A835,Data!$Q$10:$Q$3209,"&lt;"&amp;$A835+1)/$AH835)))</f>
        <v/>
      </c>
      <c r="I835" s="54">
        <f>IF($B835=0,NA(),IF($C835="",NA(),IF(C$8="",NA(),IF(N(C$8)=0,NA(),IF(Inputs!$C$17="Rebased to 100",$C835/C$8*100,$C835)))))</f>
        <v/>
      </c>
      <c r="J835" s="54">
        <f>IF($B835=0,NA(),IF($D835="",NA(),IF(D$8="",NA(),IF(N(D$8)=0,NA(),IF(Inputs!$C$17="Rebased to 100",$D835/D$8*100,$D835)))))</f>
        <v/>
      </c>
      <c r="K835" s="54">
        <f>IF($B835=0,NA(),IF($E835="",NA(),IF(E$8="",NA(),IF(N(E$8)=0,NA(),IF(Inputs!$C$17="Rebased to 100",$E835/E$8*100,$E835)))))</f>
        <v/>
      </c>
      <c r="L835" s="54">
        <f>IF($B835=0,NA(),IF($F835="",NA(),IF(F$8="",NA(),IF(N(F$8)=0,NA(),IF(Inputs!$C$17="Rebased to 100",$F835/F$8*100,$F835)))))</f>
        <v/>
      </c>
      <c r="M835" s="54">
        <f>IF($B835=0,NA(),IF($G835="",NA(),IF(G$8="",NA(),IF(N(G$8)=0,NA(),IF(Inputs!$C$17="Rebased to 100",$G835/G$8*100,$G835)))))</f>
        <v/>
      </c>
      <c r="N835" s="54">
        <f>IF($B835=0,NA(),IF(Inputs!$C$18&lt;&gt;"Yes",NA(),IF(COUNT(I835,J835,K835,L835,M835)=0,NA(),MIN(I835,J835,K835,L835,M835))))</f>
        <v/>
      </c>
      <c r="O835" s="54">
        <f>IF($B835=0,NA(),IF(Inputs!$B$24&lt;&gt;"Yes",NA(),Inputs!$D$24*Inputs!$C$35))</f>
        <v/>
      </c>
      <c r="P835" s="54">
        <f>IF($B835=0,NA(),IF(Inputs!$B$25&lt;&gt;"Yes",NA(),Inputs!$D$25*Inputs!$C$35))</f>
        <v/>
      </c>
      <c r="Q835" s="54">
        <f>IF($B835=0,NA(),IF(Inputs!$B$26&lt;&gt;"Yes",NA(),Inputs!$D$26*Inputs!$C$35))</f>
        <v/>
      </c>
      <c r="R835" s="54">
        <f>IF($B835=0,NA(),IF(Inputs!$B$27&lt;&gt;"Yes",NA(),Inputs!$D$27*Inputs!$C$35))</f>
        <v/>
      </c>
      <c r="S835" s="54">
        <f>IF($B835=0,NA(),IF(Inputs!$B$28&lt;&gt;"Yes",NA(),Inputs!$D$28*Inputs!$C$35))</f>
        <v/>
      </c>
      <c r="T835" s="54">
        <f>IF($B835=0,NA(),IF(Inputs!$B$29&lt;&gt;"Yes",NA(),Inputs!$D$29*Inputs!$C$35))</f>
        <v/>
      </c>
      <c r="AD835">
        <f>IF($B835=0,0,IF(Inputs!$B$6="",0,COUNTIFS(Data!$A$10:$A$3209,"&gt;="&amp;$A835,Data!$A$10:$A$3209,"&lt;"&amp;$A835+1)))</f>
        <v/>
      </c>
      <c r="AE835">
        <f>IF($B835=0,0,IF(Inputs!$B$7="",0,COUNTIFS(Data!$E$10:$E$3209,"&gt;="&amp;$A835,Data!$E$10:$E$3209,"&lt;"&amp;$A835+1)))</f>
        <v/>
      </c>
      <c r="AF835">
        <f>IF($B835=0,0,IF(Inputs!$B$8="",0,COUNTIFS(Data!$I$10:$I$3209,"&gt;="&amp;$A835,Data!$I$10:$I$3209,"&lt;"&amp;$A835+1)))</f>
        <v/>
      </c>
      <c r="AG835">
        <f>IF($B835=0,0,IF(Inputs!$B$9="",0,COUNTIFS(Data!$M$10:$M$3209,"&gt;="&amp;$A835,Data!$M$10:$M$3209,"&lt;"&amp;$A835+1)))</f>
        <v/>
      </c>
      <c r="AH835">
        <f>IF($B835=0,0,IF(Inputs!$B$10="",0,COUNTIFS(Data!$Q$10:$Q$3209,"&gt;="&amp;$A835,Data!$Q$10:$Q$3209,"&lt;"&amp;$A835+1)))</f>
        <v/>
      </c>
    </row>
    <row r="836">
      <c r="A836" s="55">
        <f>MIN(Inputs!$C$15,$A835+IF(WEEKDAY($A835,2)=5,3,1))</f>
        <v/>
      </c>
      <c r="B836">
        <f>IF($A836&gt;$A835,1,0)</f>
        <v/>
      </c>
      <c r="C836" s="56">
        <f>IF($B836=0,"",IF(Inputs!$B$6="","",IF($AD836=0,C835,SUMIFS(Data!$B$10:$B$3209,Data!$A$10:$A$3209,"&gt;="&amp;$A836,Data!$A$10:$A$3209,"&lt;"&amp;$A836+1)/$AD836)))</f>
        <v/>
      </c>
      <c r="D836" s="56">
        <f>IF($B836=0,"",IF(Inputs!$B$7="","",IF($AE836=0,D835,SUMIFS(Data!$F$10:$F$3209,Data!$E$10:$E$3209,"&gt;="&amp;$A836,Data!$E$10:$E$3209,"&lt;"&amp;$A836+1)/$AE836)))</f>
        <v/>
      </c>
      <c r="E836" s="56">
        <f>IF($B836=0,"",IF(Inputs!$B$8="","",IF($AF836=0,E835,SUMIFS(Data!$J$10:$J$3209,Data!$I$10:$I$3209,"&gt;="&amp;$A836,Data!$I$10:$I$3209,"&lt;"&amp;$A836+1)/$AF836)))</f>
        <v/>
      </c>
      <c r="F836" s="56">
        <f>IF($B836=0,"",IF(Inputs!$B$9="","",IF($AG836=0,F835,SUMIFS(Data!$N$10:$N$3209,Data!$M$10:$M$3209,"&gt;="&amp;$A836,Data!$M$10:$M$3209,"&lt;"&amp;$A836+1)/$AG836)))</f>
        <v/>
      </c>
      <c r="G836" s="56">
        <f>IF($B836=0,"",IF(Inputs!$B$10="","",IF($AH836=0,G835,SUMIFS(Data!$R$10:$R$3209,Data!$Q$10:$Q$3209,"&gt;="&amp;$A836,Data!$Q$10:$Q$3209,"&lt;"&amp;$A836+1)/$AH836)))</f>
        <v/>
      </c>
      <c r="I836" s="54">
        <f>IF($B836=0,NA(),IF($C836="",NA(),IF(C$8="",NA(),IF(N(C$8)=0,NA(),IF(Inputs!$C$17="Rebased to 100",$C836/C$8*100,$C836)))))</f>
        <v/>
      </c>
      <c r="J836" s="54">
        <f>IF($B836=0,NA(),IF($D836="",NA(),IF(D$8="",NA(),IF(N(D$8)=0,NA(),IF(Inputs!$C$17="Rebased to 100",$D836/D$8*100,$D836)))))</f>
        <v/>
      </c>
      <c r="K836" s="54">
        <f>IF($B836=0,NA(),IF($E836="",NA(),IF(E$8="",NA(),IF(N(E$8)=0,NA(),IF(Inputs!$C$17="Rebased to 100",$E836/E$8*100,$E836)))))</f>
        <v/>
      </c>
      <c r="L836" s="54">
        <f>IF($B836=0,NA(),IF($F836="",NA(),IF(F$8="",NA(),IF(N(F$8)=0,NA(),IF(Inputs!$C$17="Rebased to 100",$F836/F$8*100,$F836)))))</f>
        <v/>
      </c>
      <c r="M836" s="54">
        <f>IF($B836=0,NA(),IF($G836="",NA(),IF(G$8="",NA(),IF(N(G$8)=0,NA(),IF(Inputs!$C$17="Rebased to 100",$G836/G$8*100,$G836)))))</f>
        <v/>
      </c>
      <c r="N836" s="54">
        <f>IF($B836=0,NA(),IF(Inputs!$C$18&lt;&gt;"Yes",NA(),IF(COUNT(I836,J836,K836,L836,M836)=0,NA(),MIN(I836,J836,K836,L836,M836))))</f>
        <v/>
      </c>
      <c r="O836" s="54">
        <f>IF($B836=0,NA(),IF(Inputs!$B$24&lt;&gt;"Yes",NA(),Inputs!$D$24*Inputs!$C$35))</f>
        <v/>
      </c>
      <c r="P836" s="54">
        <f>IF($B836=0,NA(),IF(Inputs!$B$25&lt;&gt;"Yes",NA(),Inputs!$D$25*Inputs!$C$35))</f>
        <v/>
      </c>
      <c r="Q836" s="54">
        <f>IF($B836=0,NA(),IF(Inputs!$B$26&lt;&gt;"Yes",NA(),Inputs!$D$26*Inputs!$C$35))</f>
        <v/>
      </c>
      <c r="R836" s="54">
        <f>IF($B836=0,NA(),IF(Inputs!$B$27&lt;&gt;"Yes",NA(),Inputs!$D$27*Inputs!$C$35))</f>
        <v/>
      </c>
      <c r="S836" s="54">
        <f>IF($B836=0,NA(),IF(Inputs!$B$28&lt;&gt;"Yes",NA(),Inputs!$D$28*Inputs!$C$35))</f>
        <v/>
      </c>
      <c r="T836" s="54">
        <f>IF($B836=0,NA(),IF(Inputs!$B$29&lt;&gt;"Yes",NA(),Inputs!$D$29*Inputs!$C$35))</f>
        <v/>
      </c>
      <c r="AD836">
        <f>IF($B836=0,0,IF(Inputs!$B$6="",0,COUNTIFS(Data!$A$10:$A$3209,"&gt;="&amp;$A836,Data!$A$10:$A$3209,"&lt;"&amp;$A836+1)))</f>
        <v/>
      </c>
      <c r="AE836">
        <f>IF($B836=0,0,IF(Inputs!$B$7="",0,COUNTIFS(Data!$E$10:$E$3209,"&gt;="&amp;$A836,Data!$E$10:$E$3209,"&lt;"&amp;$A836+1)))</f>
        <v/>
      </c>
      <c r="AF836">
        <f>IF($B836=0,0,IF(Inputs!$B$8="",0,COUNTIFS(Data!$I$10:$I$3209,"&gt;="&amp;$A836,Data!$I$10:$I$3209,"&lt;"&amp;$A836+1)))</f>
        <v/>
      </c>
      <c r="AG836">
        <f>IF($B836=0,0,IF(Inputs!$B$9="",0,COUNTIFS(Data!$M$10:$M$3209,"&gt;="&amp;$A836,Data!$M$10:$M$3209,"&lt;"&amp;$A836+1)))</f>
        <v/>
      </c>
      <c r="AH836">
        <f>IF($B836=0,0,IF(Inputs!$B$10="",0,COUNTIFS(Data!$Q$10:$Q$3209,"&gt;="&amp;$A836,Data!$Q$10:$Q$3209,"&lt;"&amp;$A836+1)))</f>
        <v/>
      </c>
    </row>
    <row r="837">
      <c r="A837" s="55">
        <f>MIN(Inputs!$C$15,$A836+IF(WEEKDAY($A836,2)=5,3,1))</f>
        <v/>
      </c>
      <c r="B837">
        <f>IF($A837&gt;$A836,1,0)</f>
        <v/>
      </c>
      <c r="C837" s="56">
        <f>IF($B837=0,"",IF(Inputs!$B$6="","",IF($AD837=0,C836,SUMIFS(Data!$B$10:$B$3209,Data!$A$10:$A$3209,"&gt;="&amp;$A837,Data!$A$10:$A$3209,"&lt;"&amp;$A837+1)/$AD837)))</f>
        <v/>
      </c>
      <c r="D837" s="56">
        <f>IF($B837=0,"",IF(Inputs!$B$7="","",IF($AE837=0,D836,SUMIFS(Data!$F$10:$F$3209,Data!$E$10:$E$3209,"&gt;="&amp;$A837,Data!$E$10:$E$3209,"&lt;"&amp;$A837+1)/$AE837)))</f>
        <v/>
      </c>
      <c r="E837" s="56">
        <f>IF($B837=0,"",IF(Inputs!$B$8="","",IF($AF837=0,E836,SUMIFS(Data!$J$10:$J$3209,Data!$I$10:$I$3209,"&gt;="&amp;$A837,Data!$I$10:$I$3209,"&lt;"&amp;$A837+1)/$AF837)))</f>
        <v/>
      </c>
      <c r="F837" s="56">
        <f>IF($B837=0,"",IF(Inputs!$B$9="","",IF($AG837=0,F836,SUMIFS(Data!$N$10:$N$3209,Data!$M$10:$M$3209,"&gt;="&amp;$A837,Data!$M$10:$M$3209,"&lt;"&amp;$A837+1)/$AG837)))</f>
        <v/>
      </c>
      <c r="G837" s="56">
        <f>IF($B837=0,"",IF(Inputs!$B$10="","",IF($AH837=0,G836,SUMIFS(Data!$R$10:$R$3209,Data!$Q$10:$Q$3209,"&gt;="&amp;$A837,Data!$Q$10:$Q$3209,"&lt;"&amp;$A837+1)/$AH837)))</f>
        <v/>
      </c>
      <c r="I837" s="54">
        <f>IF($B837=0,NA(),IF($C837="",NA(),IF(C$8="",NA(),IF(N(C$8)=0,NA(),IF(Inputs!$C$17="Rebased to 100",$C837/C$8*100,$C837)))))</f>
        <v/>
      </c>
      <c r="J837" s="54">
        <f>IF($B837=0,NA(),IF($D837="",NA(),IF(D$8="",NA(),IF(N(D$8)=0,NA(),IF(Inputs!$C$17="Rebased to 100",$D837/D$8*100,$D837)))))</f>
        <v/>
      </c>
      <c r="K837" s="54">
        <f>IF($B837=0,NA(),IF($E837="",NA(),IF(E$8="",NA(),IF(N(E$8)=0,NA(),IF(Inputs!$C$17="Rebased to 100",$E837/E$8*100,$E837)))))</f>
        <v/>
      </c>
      <c r="L837" s="54">
        <f>IF($B837=0,NA(),IF($F837="",NA(),IF(F$8="",NA(),IF(N(F$8)=0,NA(),IF(Inputs!$C$17="Rebased to 100",$F837/F$8*100,$F837)))))</f>
        <v/>
      </c>
      <c r="M837" s="54">
        <f>IF($B837=0,NA(),IF($G837="",NA(),IF(G$8="",NA(),IF(N(G$8)=0,NA(),IF(Inputs!$C$17="Rebased to 100",$G837/G$8*100,$G837)))))</f>
        <v/>
      </c>
      <c r="N837" s="54">
        <f>IF($B837=0,NA(),IF(Inputs!$C$18&lt;&gt;"Yes",NA(),IF(COUNT(I837,J837,K837,L837,M837)=0,NA(),MIN(I837,J837,K837,L837,M837))))</f>
        <v/>
      </c>
      <c r="O837" s="54">
        <f>IF($B837=0,NA(),IF(Inputs!$B$24&lt;&gt;"Yes",NA(),Inputs!$D$24*Inputs!$C$35))</f>
        <v/>
      </c>
      <c r="P837" s="54">
        <f>IF($B837=0,NA(),IF(Inputs!$B$25&lt;&gt;"Yes",NA(),Inputs!$D$25*Inputs!$C$35))</f>
        <v/>
      </c>
      <c r="Q837" s="54">
        <f>IF($B837=0,NA(),IF(Inputs!$B$26&lt;&gt;"Yes",NA(),Inputs!$D$26*Inputs!$C$35))</f>
        <v/>
      </c>
      <c r="R837" s="54">
        <f>IF($B837=0,NA(),IF(Inputs!$B$27&lt;&gt;"Yes",NA(),Inputs!$D$27*Inputs!$C$35))</f>
        <v/>
      </c>
      <c r="S837" s="54">
        <f>IF($B837=0,NA(),IF(Inputs!$B$28&lt;&gt;"Yes",NA(),Inputs!$D$28*Inputs!$C$35))</f>
        <v/>
      </c>
      <c r="T837" s="54">
        <f>IF($B837=0,NA(),IF(Inputs!$B$29&lt;&gt;"Yes",NA(),Inputs!$D$29*Inputs!$C$35))</f>
        <v/>
      </c>
      <c r="AD837">
        <f>IF($B837=0,0,IF(Inputs!$B$6="",0,COUNTIFS(Data!$A$10:$A$3209,"&gt;="&amp;$A837,Data!$A$10:$A$3209,"&lt;"&amp;$A837+1)))</f>
        <v/>
      </c>
      <c r="AE837">
        <f>IF($B837=0,0,IF(Inputs!$B$7="",0,COUNTIFS(Data!$E$10:$E$3209,"&gt;="&amp;$A837,Data!$E$10:$E$3209,"&lt;"&amp;$A837+1)))</f>
        <v/>
      </c>
      <c r="AF837">
        <f>IF($B837=0,0,IF(Inputs!$B$8="",0,COUNTIFS(Data!$I$10:$I$3209,"&gt;="&amp;$A837,Data!$I$10:$I$3209,"&lt;"&amp;$A837+1)))</f>
        <v/>
      </c>
      <c r="AG837">
        <f>IF($B837=0,0,IF(Inputs!$B$9="",0,COUNTIFS(Data!$M$10:$M$3209,"&gt;="&amp;$A837,Data!$M$10:$M$3209,"&lt;"&amp;$A837+1)))</f>
        <v/>
      </c>
      <c r="AH837">
        <f>IF($B837=0,0,IF(Inputs!$B$10="",0,COUNTIFS(Data!$Q$10:$Q$3209,"&gt;="&amp;$A837,Data!$Q$10:$Q$3209,"&lt;"&amp;$A837+1)))</f>
        <v/>
      </c>
    </row>
    <row r="838">
      <c r="A838" s="55">
        <f>MIN(Inputs!$C$15,$A837+IF(WEEKDAY($A837,2)=5,3,1))</f>
        <v/>
      </c>
      <c r="B838">
        <f>IF($A838&gt;$A837,1,0)</f>
        <v/>
      </c>
      <c r="C838" s="56">
        <f>IF($B838=0,"",IF(Inputs!$B$6="","",IF($AD838=0,C837,SUMIFS(Data!$B$10:$B$3209,Data!$A$10:$A$3209,"&gt;="&amp;$A838,Data!$A$10:$A$3209,"&lt;"&amp;$A838+1)/$AD838)))</f>
        <v/>
      </c>
      <c r="D838" s="56">
        <f>IF($B838=0,"",IF(Inputs!$B$7="","",IF($AE838=0,D837,SUMIFS(Data!$F$10:$F$3209,Data!$E$10:$E$3209,"&gt;="&amp;$A838,Data!$E$10:$E$3209,"&lt;"&amp;$A838+1)/$AE838)))</f>
        <v/>
      </c>
      <c r="E838" s="56">
        <f>IF($B838=0,"",IF(Inputs!$B$8="","",IF($AF838=0,E837,SUMIFS(Data!$J$10:$J$3209,Data!$I$10:$I$3209,"&gt;="&amp;$A838,Data!$I$10:$I$3209,"&lt;"&amp;$A838+1)/$AF838)))</f>
        <v/>
      </c>
      <c r="F838" s="56">
        <f>IF($B838=0,"",IF(Inputs!$B$9="","",IF($AG838=0,F837,SUMIFS(Data!$N$10:$N$3209,Data!$M$10:$M$3209,"&gt;="&amp;$A838,Data!$M$10:$M$3209,"&lt;"&amp;$A838+1)/$AG838)))</f>
        <v/>
      </c>
      <c r="G838" s="56">
        <f>IF($B838=0,"",IF(Inputs!$B$10="","",IF($AH838=0,G837,SUMIFS(Data!$R$10:$R$3209,Data!$Q$10:$Q$3209,"&gt;="&amp;$A838,Data!$Q$10:$Q$3209,"&lt;"&amp;$A838+1)/$AH838)))</f>
        <v/>
      </c>
      <c r="I838" s="54">
        <f>IF($B838=0,NA(),IF($C838="",NA(),IF(C$8="",NA(),IF(N(C$8)=0,NA(),IF(Inputs!$C$17="Rebased to 100",$C838/C$8*100,$C838)))))</f>
        <v/>
      </c>
      <c r="J838" s="54">
        <f>IF($B838=0,NA(),IF($D838="",NA(),IF(D$8="",NA(),IF(N(D$8)=0,NA(),IF(Inputs!$C$17="Rebased to 100",$D838/D$8*100,$D838)))))</f>
        <v/>
      </c>
      <c r="K838" s="54">
        <f>IF($B838=0,NA(),IF($E838="",NA(),IF(E$8="",NA(),IF(N(E$8)=0,NA(),IF(Inputs!$C$17="Rebased to 100",$E838/E$8*100,$E838)))))</f>
        <v/>
      </c>
      <c r="L838" s="54">
        <f>IF($B838=0,NA(),IF($F838="",NA(),IF(F$8="",NA(),IF(N(F$8)=0,NA(),IF(Inputs!$C$17="Rebased to 100",$F838/F$8*100,$F838)))))</f>
        <v/>
      </c>
      <c r="M838" s="54">
        <f>IF($B838=0,NA(),IF($G838="",NA(),IF(G$8="",NA(),IF(N(G$8)=0,NA(),IF(Inputs!$C$17="Rebased to 100",$G838/G$8*100,$G838)))))</f>
        <v/>
      </c>
      <c r="N838" s="54">
        <f>IF($B838=0,NA(),IF(Inputs!$C$18&lt;&gt;"Yes",NA(),IF(COUNT(I838,J838,K838,L838,M838)=0,NA(),MIN(I838,J838,K838,L838,M838))))</f>
        <v/>
      </c>
      <c r="O838" s="54">
        <f>IF($B838=0,NA(),IF(Inputs!$B$24&lt;&gt;"Yes",NA(),Inputs!$D$24*Inputs!$C$35))</f>
        <v/>
      </c>
      <c r="P838" s="54">
        <f>IF($B838=0,NA(),IF(Inputs!$B$25&lt;&gt;"Yes",NA(),Inputs!$D$25*Inputs!$C$35))</f>
        <v/>
      </c>
      <c r="Q838" s="54">
        <f>IF($B838=0,NA(),IF(Inputs!$B$26&lt;&gt;"Yes",NA(),Inputs!$D$26*Inputs!$C$35))</f>
        <v/>
      </c>
      <c r="R838" s="54">
        <f>IF($B838=0,NA(),IF(Inputs!$B$27&lt;&gt;"Yes",NA(),Inputs!$D$27*Inputs!$C$35))</f>
        <v/>
      </c>
      <c r="S838" s="54">
        <f>IF($B838=0,NA(),IF(Inputs!$B$28&lt;&gt;"Yes",NA(),Inputs!$D$28*Inputs!$C$35))</f>
        <v/>
      </c>
      <c r="T838" s="54">
        <f>IF($B838=0,NA(),IF(Inputs!$B$29&lt;&gt;"Yes",NA(),Inputs!$D$29*Inputs!$C$35))</f>
        <v/>
      </c>
      <c r="AD838">
        <f>IF($B838=0,0,IF(Inputs!$B$6="",0,COUNTIFS(Data!$A$10:$A$3209,"&gt;="&amp;$A838,Data!$A$10:$A$3209,"&lt;"&amp;$A838+1)))</f>
        <v/>
      </c>
      <c r="AE838">
        <f>IF($B838=0,0,IF(Inputs!$B$7="",0,COUNTIFS(Data!$E$10:$E$3209,"&gt;="&amp;$A838,Data!$E$10:$E$3209,"&lt;"&amp;$A838+1)))</f>
        <v/>
      </c>
      <c r="AF838">
        <f>IF($B838=0,0,IF(Inputs!$B$8="",0,COUNTIFS(Data!$I$10:$I$3209,"&gt;="&amp;$A838,Data!$I$10:$I$3209,"&lt;"&amp;$A838+1)))</f>
        <v/>
      </c>
      <c r="AG838">
        <f>IF($B838=0,0,IF(Inputs!$B$9="",0,COUNTIFS(Data!$M$10:$M$3209,"&gt;="&amp;$A838,Data!$M$10:$M$3209,"&lt;"&amp;$A838+1)))</f>
        <v/>
      </c>
      <c r="AH838">
        <f>IF($B838=0,0,IF(Inputs!$B$10="",0,COUNTIFS(Data!$Q$10:$Q$3209,"&gt;="&amp;$A838,Data!$Q$10:$Q$3209,"&lt;"&amp;$A838+1)))</f>
        <v/>
      </c>
    </row>
    <row r="839">
      <c r="A839" s="55">
        <f>MIN(Inputs!$C$15,$A838+IF(WEEKDAY($A838,2)=5,3,1))</f>
        <v/>
      </c>
      <c r="B839">
        <f>IF($A839&gt;$A838,1,0)</f>
        <v/>
      </c>
      <c r="C839" s="56">
        <f>IF($B839=0,"",IF(Inputs!$B$6="","",IF($AD839=0,C838,SUMIFS(Data!$B$10:$B$3209,Data!$A$10:$A$3209,"&gt;="&amp;$A839,Data!$A$10:$A$3209,"&lt;"&amp;$A839+1)/$AD839)))</f>
        <v/>
      </c>
      <c r="D839" s="56">
        <f>IF($B839=0,"",IF(Inputs!$B$7="","",IF($AE839=0,D838,SUMIFS(Data!$F$10:$F$3209,Data!$E$10:$E$3209,"&gt;="&amp;$A839,Data!$E$10:$E$3209,"&lt;"&amp;$A839+1)/$AE839)))</f>
        <v/>
      </c>
      <c r="E839" s="56">
        <f>IF($B839=0,"",IF(Inputs!$B$8="","",IF($AF839=0,E838,SUMIFS(Data!$J$10:$J$3209,Data!$I$10:$I$3209,"&gt;="&amp;$A839,Data!$I$10:$I$3209,"&lt;"&amp;$A839+1)/$AF839)))</f>
        <v/>
      </c>
      <c r="F839" s="56">
        <f>IF($B839=0,"",IF(Inputs!$B$9="","",IF($AG839=0,F838,SUMIFS(Data!$N$10:$N$3209,Data!$M$10:$M$3209,"&gt;="&amp;$A839,Data!$M$10:$M$3209,"&lt;"&amp;$A839+1)/$AG839)))</f>
        <v/>
      </c>
      <c r="G839" s="56">
        <f>IF($B839=0,"",IF(Inputs!$B$10="","",IF($AH839=0,G838,SUMIFS(Data!$R$10:$R$3209,Data!$Q$10:$Q$3209,"&gt;="&amp;$A839,Data!$Q$10:$Q$3209,"&lt;"&amp;$A839+1)/$AH839)))</f>
        <v/>
      </c>
      <c r="I839" s="54">
        <f>IF($B839=0,NA(),IF($C839="",NA(),IF(C$8="",NA(),IF(N(C$8)=0,NA(),IF(Inputs!$C$17="Rebased to 100",$C839/C$8*100,$C839)))))</f>
        <v/>
      </c>
      <c r="J839" s="54">
        <f>IF($B839=0,NA(),IF($D839="",NA(),IF(D$8="",NA(),IF(N(D$8)=0,NA(),IF(Inputs!$C$17="Rebased to 100",$D839/D$8*100,$D839)))))</f>
        <v/>
      </c>
      <c r="K839" s="54">
        <f>IF($B839=0,NA(),IF($E839="",NA(),IF(E$8="",NA(),IF(N(E$8)=0,NA(),IF(Inputs!$C$17="Rebased to 100",$E839/E$8*100,$E839)))))</f>
        <v/>
      </c>
      <c r="L839" s="54">
        <f>IF($B839=0,NA(),IF($F839="",NA(),IF(F$8="",NA(),IF(N(F$8)=0,NA(),IF(Inputs!$C$17="Rebased to 100",$F839/F$8*100,$F839)))))</f>
        <v/>
      </c>
      <c r="M839" s="54">
        <f>IF($B839=0,NA(),IF($G839="",NA(),IF(G$8="",NA(),IF(N(G$8)=0,NA(),IF(Inputs!$C$17="Rebased to 100",$G839/G$8*100,$G839)))))</f>
        <v/>
      </c>
      <c r="N839" s="54">
        <f>IF($B839=0,NA(),IF(Inputs!$C$18&lt;&gt;"Yes",NA(),IF(COUNT(I839,J839,K839,L839,M839)=0,NA(),MIN(I839,J839,K839,L839,M839))))</f>
        <v/>
      </c>
      <c r="O839" s="54">
        <f>IF($B839=0,NA(),IF(Inputs!$B$24&lt;&gt;"Yes",NA(),Inputs!$D$24*Inputs!$C$35))</f>
        <v/>
      </c>
      <c r="P839" s="54">
        <f>IF($B839=0,NA(),IF(Inputs!$B$25&lt;&gt;"Yes",NA(),Inputs!$D$25*Inputs!$C$35))</f>
        <v/>
      </c>
      <c r="Q839" s="54">
        <f>IF($B839=0,NA(),IF(Inputs!$B$26&lt;&gt;"Yes",NA(),Inputs!$D$26*Inputs!$C$35))</f>
        <v/>
      </c>
      <c r="R839" s="54">
        <f>IF($B839=0,NA(),IF(Inputs!$B$27&lt;&gt;"Yes",NA(),Inputs!$D$27*Inputs!$C$35))</f>
        <v/>
      </c>
      <c r="S839" s="54">
        <f>IF($B839=0,NA(),IF(Inputs!$B$28&lt;&gt;"Yes",NA(),Inputs!$D$28*Inputs!$C$35))</f>
        <v/>
      </c>
      <c r="T839" s="54">
        <f>IF($B839=0,NA(),IF(Inputs!$B$29&lt;&gt;"Yes",NA(),Inputs!$D$29*Inputs!$C$35))</f>
        <v/>
      </c>
      <c r="AD839">
        <f>IF($B839=0,0,IF(Inputs!$B$6="",0,COUNTIFS(Data!$A$10:$A$3209,"&gt;="&amp;$A839,Data!$A$10:$A$3209,"&lt;"&amp;$A839+1)))</f>
        <v/>
      </c>
      <c r="AE839">
        <f>IF($B839=0,0,IF(Inputs!$B$7="",0,COUNTIFS(Data!$E$10:$E$3209,"&gt;="&amp;$A839,Data!$E$10:$E$3209,"&lt;"&amp;$A839+1)))</f>
        <v/>
      </c>
      <c r="AF839">
        <f>IF($B839=0,0,IF(Inputs!$B$8="",0,COUNTIFS(Data!$I$10:$I$3209,"&gt;="&amp;$A839,Data!$I$10:$I$3209,"&lt;"&amp;$A839+1)))</f>
        <v/>
      </c>
      <c r="AG839">
        <f>IF($B839=0,0,IF(Inputs!$B$9="",0,COUNTIFS(Data!$M$10:$M$3209,"&gt;="&amp;$A839,Data!$M$10:$M$3209,"&lt;"&amp;$A839+1)))</f>
        <v/>
      </c>
      <c r="AH839">
        <f>IF($B839=0,0,IF(Inputs!$B$10="",0,COUNTIFS(Data!$Q$10:$Q$3209,"&gt;="&amp;$A839,Data!$Q$10:$Q$3209,"&lt;"&amp;$A839+1)))</f>
        <v/>
      </c>
    </row>
    <row r="840">
      <c r="A840" s="55">
        <f>MIN(Inputs!$C$15,$A839+IF(WEEKDAY($A839,2)=5,3,1))</f>
        <v/>
      </c>
      <c r="B840">
        <f>IF($A840&gt;$A839,1,0)</f>
        <v/>
      </c>
      <c r="C840" s="56">
        <f>IF($B840=0,"",IF(Inputs!$B$6="","",IF($AD840=0,C839,SUMIFS(Data!$B$10:$B$3209,Data!$A$10:$A$3209,"&gt;="&amp;$A840,Data!$A$10:$A$3209,"&lt;"&amp;$A840+1)/$AD840)))</f>
        <v/>
      </c>
      <c r="D840" s="56">
        <f>IF($B840=0,"",IF(Inputs!$B$7="","",IF($AE840=0,D839,SUMIFS(Data!$F$10:$F$3209,Data!$E$10:$E$3209,"&gt;="&amp;$A840,Data!$E$10:$E$3209,"&lt;"&amp;$A840+1)/$AE840)))</f>
        <v/>
      </c>
      <c r="E840" s="56">
        <f>IF($B840=0,"",IF(Inputs!$B$8="","",IF($AF840=0,E839,SUMIFS(Data!$J$10:$J$3209,Data!$I$10:$I$3209,"&gt;="&amp;$A840,Data!$I$10:$I$3209,"&lt;"&amp;$A840+1)/$AF840)))</f>
        <v/>
      </c>
      <c r="F840" s="56">
        <f>IF($B840=0,"",IF(Inputs!$B$9="","",IF($AG840=0,F839,SUMIFS(Data!$N$10:$N$3209,Data!$M$10:$M$3209,"&gt;="&amp;$A840,Data!$M$10:$M$3209,"&lt;"&amp;$A840+1)/$AG840)))</f>
        <v/>
      </c>
      <c r="G840" s="56">
        <f>IF($B840=0,"",IF(Inputs!$B$10="","",IF($AH840=0,G839,SUMIFS(Data!$R$10:$R$3209,Data!$Q$10:$Q$3209,"&gt;="&amp;$A840,Data!$Q$10:$Q$3209,"&lt;"&amp;$A840+1)/$AH840)))</f>
        <v/>
      </c>
      <c r="I840" s="54">
        <f>IF($B840=0,NA(),IF($C840="",NA(),IF(C$8="",NA(),IF(N(C$8)=0,NA(),IF(Inputs!$C$17="Rebased to 100",$C840/C$8*100,$C840)))))</f>
        <v/>
      </c>
      <c r="J840" s="54">
        <f>IF($B840=0,NA(),IF($D840="",NA(),IF(D$8="",NA(),IF(N(D$8)=0,NA(),IF(Inputs!$C$17="Rebased to 100",$D840/D$8*100,$D840)))))</f>
        <v/>
      </c>
      <c r="K840" s="54">
        <f>IF($B840=0,NA(),IF($E840="",NA(),IF(E$8="",NA(),IF(N(E$8)=0,NA(),IF(Inputs!$C$17="Rebased to 100",$E840/E$8*100,$E840)))))</f>
        <v/>
      </c>
      <c r="L840" s="54">
        <f>IF($B840=0,NA(),IF($F840="",NA(),IF(F$8="",NA(),IF(N(F$8)=0,NA(),IF(Inputs!$C$17="Rebased to 100",$F840/F$8*100,$F840)))))</f>
        <v/>
      </c>
      <c r="M840" s="54">
        <f>IF($B840=0,NA(),IF($G840="",NA(),IF(G$8="",NA(),IF(N(G$8)=0,NA(),IF(Inputs!$C$17="Rebased to 100",$G840/G$8*100,$G840)))))</f>
        <v/>
      </c>
      <c r="N840" s="54">
        <f>IF($B840=0,NA(),IF(Inputs!$C$18&lt;&gt;"Yes",NA(),IF(COUNT(I840,J840,K840,L840,M840)=0,NA(),MIN(I840,J840,K840,L840,M840))))</f>
        <v/>
      </c>
      <c r="O840" s="54">
        <f>IF($B840=0,NA(),IF(Inputs!$B$24&lt;&gt;"Yes",NA(),Inputs!$D$24*Inputs!$C$35))</f>
        <v/>
      </c>
      <c r="P840" s="54">
        <f>IF($B840=0,NA(),IF(Inputs!$B$25&lt;&gt;"Yes",NA(),Inputs!$D$25*Inputs!$C$35))</f>
        <v/>
      </c>
      <c r="Q840" s="54">
        <f>IF($B840=0,NA(),IF(Inputs!$B$26&lt;&gt;"Yes",NA(),Inputs!$D$26*Inputs!$C$35))</f>
        <v/>
      </c>
      <c r="R840" s="54">
        <f>IF($B840=0,NA(),IF(Inputs!$B$27&lt;&gt;"Yes",NA(),Inputs!$D$27*Inputs!$C$35))</f>
        <v/>
      </c>
      <c r="S840" s="54">
        <f>IF($B840=0,NA(),IF(Inputs!$B$28&lt;&gt;"Yes",NA(),Inputs!$D$28*Inputs!$C$35))</f>
        <v/>
      </c>
      <c r="T840" s="54">
        <f>IF($B840=0,NA(),IF(Inputs!$B$29&lt;&gt;"Yes",NA(),Inputs!$D$29*Inputs!$C$35))</f>
        <v/>
      </c>
      <c r="AD840">
        <f>IF($B840=0,0,IF(Inputs!$B$6="",0,COUNTIFS(Data!$A$10:$A$3209,"&gt;="&amp;$A840,Data!$A$10:$A$3209,"&lt;"&amp;$A840+1)))</f>
        <v/>
      </c>
      <c r="AE840">
        <f>IF($B840=0,0,IF(Inputs!$B$7="",0,COUNTIFS(Data!$E$10:$E$3209,"&gt;="&amp;$A840,Data!$E$10:$E$3209,"&lt;"&amp;$A840+1)))</f>
        <v/>
      </c>
      <c r="AF840">
        <f>IF($B840=0,0,IF(Inputs!$B$8="",0,COUNTIFS(Data!$I$10:$I$3209,"&gt;="&amp;$A840,Data!$I$10:$I$3209,"&lt;"&amp;$A840+1)))</f>
        <v/>
      </c>
      <c r="AG840">
        <f>IF($B840=0,0,IF(Inputs!$B$9="",0,COUNTIFS(Data!$M$10:$M$3209,"&gt;="&amp;$A840,Data!$M$10:$M$3209,"&lt;"&amp;$A840+1)))</f>
        <v/>
      </c>
      <c r="AH840">
        <f>IF($B840=0,0,IF(Inputs!$B$10="",0,COUNTIFS(Data!$Q$10:$Q$3209,"&gt;="&amp;$A840,Data!$Q$10:$Q$3209,"&lt;"&amp;$A840+1)))</f>
        <v/>
      </c>
    </row>
    <row r="841">
      <c r="A841" s="55">
        <f>MIN(Inputs!$C$15,$A840+IF(WEEKDAY($A840,2)=5,3,1))</f>
        <v/>
      </c>
      <c r="B841">
        <f>IF($A841&gt;$A840,1,0)</f>
        <v/>
      </c>
      <c r="C841" s="56">
        <f>IF($B841=0,"",IF(Inputs!$B$6="","",IF($AD841=0,C840,SUMIFS(Data!$B$10:$B$3209,Data!$A$10:$A$3209,"&gt;="&amp;$A841,Data!$A$10:$A$3209,"&lt;"&amp;$A841+1)/$AD841)))</f>
        <v/>
      </c>
      <c r="D841" s="56">
        <f>IF($B841=0,"",IF(Inputs!$B$7="","",IF($AE841=0,D840,SUMIFS(Data!$F$10:$F$3209,Data!$E$10:$E$3209,"&gt;="&amp;$A841,Data!$E$10:$E$3209,"&lt;"&amp;$A841+1)/$AE841)))</f>
        <v/>
      </c>
      <c r="E841" s="56">
        <f>IF($B841=0,"",IF(Inputs!$B$8="","",IF($AF841=0,E840,SUMIFS(Data!$J$10:$J$3209,Data!$I$10:$I$3209,"&gt;="&amp;$A841,Data!$I$10:$I$3209,"&lt;"&amp;$A841+1)/$AF841)))</f>
        <v/>
      </c>
      <c r="F841" s="56">
        <f>IF($B841=0,"",IF(Inputs!$B$9="","",IF($AG841=0,F840,SUMIFS(Data!$N$10:$N$3209,Data!$M$10:$M$3209,"&gt;="&amp;$A841,Data!$M$10:$M$3209,"&lt;"&amp;$A841+1)/$AG841)))</f>
        <v/>
      </c>
      <c r="G841" s="56">
        <f>IF($B841=0,"",IF(Inputs!$B$10="","",IF($AH841=0,G840,SUMIFS(Data!$R$10:$R$3209,Data!$Q$10:$Q$3209,"&gt;="&amp;$A841,Data!$Q$10:$Q$3209,"&lt;"&amp;$A841+1)/$AH841)))</f>
        <v/>
      </c>
      <c r="I841" s="54">
        <f>IF($B841=0,NA(),IF($C841="",NA(),IF(C$8="",NA(),IF(N(C$8)=0,NA(),IF(Inputs!$C$17="Rebased to 100",$C841/C$8*100,$C841)))))</f>
        <v/>
      </c>
      <c r="J841" s="54">
        <f>IF($B841=0,NA(),IF($D841="",NA(),IF(D$8="",NA(),IF(N(D$8)=0,NA(),IF(Inputs!$C$17="Rebased to 100",$D841/D$8*100,$D841)))))</f>
        <v/>
      </c>
      <c r="K841" s="54">
        <f>IF($B841=0,NA(),IF($E841="",NA(),IF(E$8="",NA(),IF(N(E$8)=0,NA(),IF(Inputs!$C$17="Rebased to 100",$E841/E$8*100,$E841)))))</f>
        <v/>
      </c>
      <c r="L841" s="54">
        <f>IF($B841=0,NA(),IF($F841="",NA(),IF(F$8="",NA(),IF(N(F$8)=0,NA(),IF(Inputs!$C$17="Rebased to 100",$F841/F$8*100,$F841)))))</f>
        <v/>
      </c>
      <c r="M841" s="54">
        <f>IF($B841=0,NA(),IF($G841="",NA(),IF(G$8="",NA(),IF(N(G$8)=0,NA(),IF(Inputs!$C$17="Rebased to 100",$G841/G$8*100,$G841)))))</f>
        <v/>
      </c>
      <c r="N841" s="54">
        <f>IF($B841=0,NA(),IF(Inputs!$C$18&lt;&gt;"Yes",NA(),IF(COUNT(I841,J841,K841,L841,M841)=0,NA(),MIN(I841,J841,K841,L841,M841))))</f>
        <v/>
      </c>
      <c r="O841" s="54">
        <f>IF($B841=0,NA(),IF(Inputs!$B$24&lt;&gt;"Yes",NA(),Inputs!$D$24*Inputs!$C$35))</f>
        <v/>
      </c>
      <c r="P841" s="54">
        <f>IF($B841=0,NA(),IF(Inputs!$B$25&lt;&gt;"Yes",NA(),Inputs!$D$25*Inputs!$C$35))</f>
        <v/>
      </c>
      <c r="Q841" s="54">
        <f>IF($B841=0,NA(),IF(Inputs!$B$26&lt;&gt;"Yes",NA(),Inputs!$D$26*Inputs!$C$35))</f>
        <v/>
      </c>
      <c r="R841" s="54">
        <f>IF($B841=0,NA(),IF(Inputs!$B$27&lt;&gt;"Yes",NA(),Inputs!$D$27*Inputs!$C$35))</f>
        <v/>
      </c>
      <c r="S841" s="54">
        <f>IF($B841=0,NA(),IF(Inputs!$B$28&lt;&gt;"Yes",NA(),Inputs!$D$28*Inputs!$C$35))</f>
        <v/>
      </c>
      <c r="T841" s="54">
        <f>IF($B841=0,NA(),IF(Inputs!$B$29&lt;&gt;"Yes",NA(),Inputs!$D$29*Inputs!$C$35))</f>
        <v/>
      </c>
      <c r="AD841">
        <f>IF($B841=0,0,IF(Inputs!$B$6="",0,COUNTIFS(Data!$A$10:$A$3209,"&gt;="&amp;$A841,Data!$A$10:$A$3209,"&lt;"&amp;$A841+1)))</f>
        <v/>
      </c>
      <c r="AE841">
        <f>IF($B841=0,0,IF(Inputs!$B$7="",0,COUNTIFS(Data!$E$10:$E$3209,"&gt;="&amp;$A841,Data!$E$10:$E$3209,"&lt;"&amp;$A841+1)))</f>
        <v/>
      </c>
      <c r="AF841">
        <f>IF($B841=0,0,IF(Inputs!$B$8="",0,COUNTIFS(Data!$I$10:$I$3209,"&gt;="&amp;$A841,Data!$I$10:$I$3209,"&lt;"&amp;$A841+1)))</f>
        <v/>
      </c>
      <c r="AG841">
        <f>IF($B841=0,0,IF(Inputs!$B$9="",0,COUNTIFS(Data!$M$10:$M$3209,"&gt;="&amp;$A841,Data!$M$10:$M$3209,"&lt;"&amp;$A841+1)))</f>
        <v/>
      </c>
      <c r="AH841">
        <f>IF($B841=0,0,IF(Inputs!$B$10="",0,COUNTIFS(Data!$Q$10:$Q$3209,"&gt;="&amp;$A841,Data!$Q$10:$Q$3209,"&lt;"&amp;$A841+1)))</f>
        <v/>
      </c>
    </row>
    <row r="842">
      <c r="A842" s="55">
        <f>MIN(Inputs!$C$15,$A841+IF(WEEKDAY($A841,2)=5,3,1))</f>
        <v/>
      </c>
      <c r="B842">
        <f>IF($A842&gt;$A841,1,0)</f>
        <v/>
      </c>
      <c r="C842" s="56">
        <f>IF($B842=0,"",IF(Inputs!$B$6="","",IF($AD842=0,C841,SUMIFS(Data!$B$10:$B$3209,Data!$A$10:$A$3209,"&gt;="&amp;$A842,Data!$A$10:$A$3209,"&lt;"&amp;$A842+1)/$AD842)))</f>
        <v/>
      </c>
      <c r="D842" s="56">
        <f>IF($B842=0,"",IF(Inputs!$B$7="","",IF($AE842=0,D841,SUMIFS(Data!$F$10:$F$3209,Data!$E$10:$E$3209,"&gt;="&amp;$A842,Data!$E$10:$E$3209,"&lt;"&amp;$A842+1)/$AE842)))</f>
        <v/>
      </c>
      <c r="E842" s="56">
        <f>IF($B842=0,"",IF(Inputs!$B$8="","",IF($AF842=0,E841,SUMIFS(Data!$J$10:$J$3209,Data!$I$10:$I$3209,"&gt;="&amp;$A842,Data!$I$10:$I$3209,"&lt;"&amp;$A842+1)/$AF842)))</f>
        <v/>
      </c>
      <c r="F842" s="56">
        <f>IF($B842=0,"",IF(Inputs!$B$9="","",IF($AG842=0,F841,SUMIFS(Data!$N$10:$N$3209,Data!$M$10:$M$3209,"&gt;="&amp;$A842,Data!$M$10:$M$3209,"&lt;"&amp;$A842+1)/$AG842)))</f>
        <v/>
      </c>
      <c r="G842" s="56">
        <f>IF($B842=0,"",IF(Inputs!$B$10="","",IF($AH842=0,G841,SUMIFS(Data!$R$10:$R$3209,Data!$Q$10:$Q$3209,"&gt;="&amp;$A842,Data!$Q$10:$Q$3209,"&lt;"&amp;$A842+1)/$AH842)))</f>
        <v/>
      </c>
      <c r="I842" s="54">
        <f>IF($B842=0,NA(),IF($C842="",NA(),IF(C$8="",NA(),IF(N(C$8)=0,NA(),IF(Inputs!$C$17="Rebased to 100",$C842/C$8*100,$C842)))))</f>
        <v/>
      </c>
      <c r="J842" s="54">
        <f>IF($B842=0,NA(),IF($D842="",NA(),IF(D$8="",NA(),IF(N(D$8)=0,NA(),IF(Inputs!$C$17="Rebased to 100",$D842/D$8*100,$D842)))))</f>
        <v/>
      </c>
      <c r="K842" s="54">
        <f>IF($B842=0,NA(),IF($E842="",NA(),IF(E$8="",NA(),IF(N(E$8)=0,NA(),IF(Inputs!$C$17="Rebased to 100",$E842/E$8*100,$E842)))))</f>
        <v/>
      </c>
      <c r="L842" s="54">
        <f>IF($B842=0,NA(),IF($F842="",NA(),IF(F$8="",NA(),IF(N(F$8)=0,NA(),IF(Inputs!$C$17="Rebased to 100",$F842/F$8*100,$F842)))))</f>
        <v/>
      </c>
      <c r="M842" s="54">
        <f>IF($B842=0,NA(),IF($G842="",NA(),IF(G$8="",NA(),IF(N(G$8)=0,NA(),IF(Inputs!$C$17="Rebased to 100",$G842/G$8*100,$G842)))))</f>
        <v/>
      </c>
      <c r="N842" s="54">
        <f>IF($B842=0,NA(),IF(Inputs!$C$18&lt;&gt;"Yes",NA(),IF(COUNT(I842,J842,K842,L842,M842)=0,NA(),MIN(I842,J842,K842,L842,M842))))</f>
        <v/>
      </c>
      <c r="O842" s="54">
        <f>IF($B842=0,NA(),IF(Inputs!$B$24&lt;&gt;"Yes",NA(),Inputs!$D$24*Inputs!$C$35))</f>
        <v/>
      </c>
      <c r="P842" s="54">
        <f>IF($B842=0,NA(),IF(Inputs!$B$25&lt;&gt;"Yes",NA(),Inputs!$D$25*Inputs!$C$35))</f>
        <v/>
      </c>
      <c r="Q842" s="54">
        <f>IF($B842=0,NA(),IF(Inputs!$B$26&lt;&gt;"Yes",NA(),Inputs!$D$26*Inputs!$C$35))</f>
        <v/>
      </c>
      <c r="R842" s="54">
        <f>IF($B842=0,NA(),IF(Inputs!$B$27&lt;&gt;"Yes",NA(),Inputs!$D$27*Inputs!$C$35))</f>
        <v/>
      </c>
      <c r="S842" s="54">
        <f>IF($B842=0,NA(),IF(Inputs!$B$28&lt;&gt;"Yes",NA(),Inputs!$D$28*Inputs!$C$35))</f>
        <v/>
      </c>
      <c r="T842" s="54">
        <f>IF($B842=0,NA(),IF(Inputs!$B$29&lt;&gt;"Yes",NA(),Inputs!$D$29*Inputs!$C$35))</f>
        <v/>
      </c>
      <c r="AD842">
        <f>IF($B842=0,0,IF(Inputs!$B$6="",0,COUNTIFS(Data!$A$10:$A$3209,"&gt;="&amp;$A842,Data!$A$10:$A$3209,"&lt;"&amp;$A842+1)))</f>
        <v/>
      </c>
      <c r="AE842">
        <f>IF($B842=0,0,IF(Inputs!$B$7="",0,COUNTIFS(Data!$E$10:$E$3209,"&gt;="&amp;$A842,Data!$E$10:$E$3209,"&lt;"&amp;$A842+1)))</f>
        <v/>
      </c>
      <c r="AF842">
        <f>IF($B842=0,0,IF(Inputs!$B$8="",0,COUNTIFS(Data!$I$10:$I$3209,"&gt;="&amp;$A842,Data!$I$10:$I$3209,"&lt;"&amp;$A842+1)))</f>
        <v/>
      </c>
      <c r="AG842">
        <f>IF($B842=0,0,IF(Inputs!$B$9="",0,COUNTIFS(Data!$M$10:$M$3209,"&gt;="&amp;$A842,Data!$M$10:$M$3209,"&lt;"&amp;$A842+1)))</f>
        <v/>
      </c>
      <c r="AH842">
        <f>IF($B842=0,0,IF(Inputs!$B$10="",0,COUNTIFS(Data!$Q$10:$Q$3209,"&gt;="&amp;$A842,Data!$Q$10:$Q$3209,"&lt;"&amp;$A842+1)))</f>
        <v/>
      </c>
    </row>
    <row r="843">
      <c r="A843" s="55">
        <f>MIN(Inputs!$C$15,$A842+IF(WEEKDAY($A842,2)=5,3,1))</f>
        <v/>
      </c>
      <c r="B843">
        <f>IF($A843&gt;$A842,1,0)</f>
        <v/>
      </c>
      <c r="C843" s="56">
        <f>IF($B843=0,"",IF(Inputs!$B$6="","",IF($AD843=0,C842,SUMIFS(Data!$B$10:$B$3209,Data!$A$10:$A$3209,"&gt;="&amp;$A843,Data!$A$10:$A$3209,"&lt;"&amp;$A843+1)/$AD843)))</f>
        <v/>
      </c>
      <c r="D843" s="56">
        <f>IF($B843=0,"",IF(Inputs!$B$7="","",IF($AE843=0,D842,SUMIFS(Data!$F$10:$F$3209,Data!$E$10:$E$3209,"&gt;="&amp;$A843,Data!$E$10:$E$3209,"&lt;"&amp;$A843+1)/$AE843)))</f>
        <v/>
      </c>
      <c r="E843" s="56">
        <f>IF($B843=0,"",IF(Inputs!$B$8="","",IF($AF843=0,E842,SUMIFS(Data!$J$10:$J$3209,Data!$I$10:$I$3209,"&gt;="&amp;$A843,Data!$I$10:$I$3209,"&lt;"&amp;$A843+1)/$AF843)))</f>
        <v/>
      </c>
      <c r="F843" s="56">
        <f>IF($B843=0,"",IF(Inputs!$B$9="","",IF($AG843=0,F842,SUMIFS(Data!$N$10:$N$3209,Data!$M$10:$M$3209,"&gt;="&amp;$A843,Data!$M$10:$M$3209,"&lt;"&amp;$A843+1)/$AG843)))</f>
        <v/>
      </c>
      <c r="G843" s="56">
        <f>IF($B843=0,"",IF(Inputs!$B$10="","",IF($AH843=0,G842,SUMIFS(Data!$R$10:$R$3209,Data!$Q$10:$Q$3209,"&gt;="&amp;$A843,Data!$Q$10:$Q$3209,"&lt;"&amp;$A843+1)/$AH843)))</f>
        <v/>
      </c>
      <c r="I843" s="54">
        <f>IF($B843=0,NA(),IF($C843="",NA(),IF(C$8="",NA(),IF(N(C$8)=0,NA(),IF(Inputs!$C$17="Rebased to 100",$C843/C$8*100,$C843)))))</f>
        <v/>
      </c>
      <c r="J843" s="54">
        <f>IF($B843=0,NA(),IF($D843="",NA(),IF(D$8="",NA(),IF(N(D$8)=0,NA(),IF(Inputs!$C$17="Rebased to 100",$D843/D$8*100,$D843)))))</f>
        <v/>
      </c>
      <c r="K843" s="54">
        <f>IF($B843=0,NA(),IF($E843="",NA(),IF(E$8="",NA(),IF(N(E$8)=0,NA(),IF(Inputs!$C$17="Rebased to 100",$E843/E$8*100,$E843)))))</f>
        <v/>
      </c>
      <c r="L843" s="54">
        <f>IF($B843=0,NA(),IF($F843="",NA(),IF(F$8="",NA(),IF(N(F$8)=0,NA(),IF(Inputs!$C$17="Rebased to 100",$F843/F$8*100,$F843)))))</f>
        <v/>
      </c>
      <c r="M843" s="54">
        <f>IF($B843=0,NA(),IF($G843="",NA(),IF(G$8="",NA(),IF(N(G$8)=0,NA(),IF(Inputs!$C$17="Rebased to 100",$G843/G$8*100,$G843)))))</f>
        <v/>
      </c>
      <c r="N843" s="54">
        <f>IF($B843=0,NA(),IF(Inputs!$C$18&lt;&gt;"Yes",NA(),IF(COUNT(I843,J843,K843,L843,M843)=0,NA(),MIN(I843,J843,K843,L843,M843))))</f>
        <v/>
      </c>
      <c r="O843" s="54">
        <f>IF($B843=0,NA(),IF(Inputs!$B$24&lt;&gt;"Yes",NA(),Inputs!$D$24*Inputs!$C$35))</f>
        <v/>
      </c>
      <c r="P843" s="54">
        <f>IF($B843=0,NA(),IF(Inputs!$B$25&lt;&gt;"Yes",NA(),Inputs!$D$25*Inputs!$C$35))</f>
        <v/>
      </c>
      <c r="Q843" s="54">
        <f>IF($B843=0,NA(),IF(Inputs!$B$26&lt;&gt;"Yes",NA(),Inputs!$D$26*Inputs!$C$35))</f>
        <v/>
      </c>
      <c r="R843" s="54">
        <f>IF($B843=0,NA(),IF(Inputs!$B$27&lt;&gt;"Yes",NA(),Inputs!$D$27*Inputs!$C$35))</f>
        <v/>
      </c>
      <c r="S843" s="54">
        <f>IF($B843=0,NA(),IF(Inputs!$B$28&lt;&gt;"Yes",NA(),Inputs!$D$28*Inputs!$C$35))</f>
        <v/>
      </c>
      <c r="T843" s="54">
        <f>IF($B843=0,NA(),IF(Inputs!$B$29&lt;&gt;"Yes",NA(),Inputs!$D$29*Inputs!$C$35))</f>
        <v/>
      </c>
      <c r="AD843">
        <f>IF($B843=0,0,IF(Inputs!$B$6="",0,COUNTIFS(Data!$A$10:$A$3209,"&gt;="&amp;$A843,Data!$A$10:$A$3209,"&lt;"&amp;$A843+1)))</f>
        <v/>
      </c>
      <c r="AE843">
        <f>IF($B843=0,0,IF(Inputs!$B$7="",0,COUNTIFS(Data!$E$10:$E$3209,"&gt;="&amp;$A843,Data!$E$10:$E$3209,"&lt;"&amp;$A843+1)))</f>
        <v/>
      </c>
      <c r="AF843">
        <f>IF($B843=0,0,IF(Inputs!$B$8="",0,COUNTIFS(Data!$I$10:$I$3209,"&gt;="&amp;$A843,Data!$I$10:$I$3209,"&lt;"&amp;$A843+1)))</f>
        <v/>
      </c>
      <c r="AG843">
        <f>IF($B843=0,0,IF(Inputs!$B$9="",0,COUNTIFS(Data!$M$10:$M$3209,"&gt;="&amp;$A843,Data!$M$10:$M$3209,"&lt;"&amp;$A843+1)))</f>
        <v/>
      </c>
      <c r="AH843">
        <f>IF($B843=0,0,IF(Inputs!$B$10="",0,COUNTIFS(Data!$Q$10:$Q$3209,"&gt;="&amp;$A843,Data!$Q$10:$Q$3209,"&lt;"&amp;$A843+1)))</f>
        <v/>
      </c>
    </row>
    <row r="844">
      <c r="A844" s="55">
        <f>MIN(Inputs!$C$15,$A843+IF(WEEKDAY($A843,2)=5,3,1))</f>
        <v/>
      </c>
      <c r="B844">
        <f>IF($A844&gt;$A843,1,0)</f>
        <v/>
      </c>
      <c r="C844" s="56">
        <f>IF($B844=0,"",IF(Inputs!$B$6="","",IF($AD844=0,C843,SUMIFS(Data!$B$10:$B$3209,Data!$A$10:$A$3209,"&gt;="&amp;$A844,Data!$A$10:$A$3209,"&lt;"&amp;$A844+1)/$AD844)))</f>
        <v/>
      </c>
      <c r="D844" s="56">
        <f>IF($B844=0,"",IF(Inputs!$B$7="","",IF($AE844=0,D843,SUMIFS(Data!$F$10:$F$3209,Data!$E$10:$E$3209,"&gt;="&amp;$A844,Data!$E$10:$E$3209,"&lt;"&amp;$A844+1)/$AE844)))</f>
        <v/>
      </c>
      <c r="E844" s="56">
        <f>IF($B844=0,"",IF(Inputs!$B$8="","",IF($AF844=0,E843,SUMIFS(Data!$J$10:$J$3209,Data!$I$10:$I$3209,"&gt;="&amp;$A844,Data!$I$10:$I$3209,"&lt;"&amp;$A844+1)/$AF844)))</f>
        <v/>
      </c>
      <c r="F844" s="56">
        <f>IF($B844=0,"",IF(Inputs!$B$9="","",IF($AG844=0,F843,SUMIFS(Data!$N$10:$N$3209,Data!$M$10:$M$3209,"&gt;="&amp;$A844,Data!$M$10:$M$3209,"&lt;"&amp;$A844+1)/$AG844)))</f>
        <v/>
      </c>
      <c r="G844" s="56">
        <f>IF($B844=0,"",IF(Inputs!$B$10="","",IF($AH844=0,G843,SUMIFS(Data!$R$10:$R$3209,Data!$Q$10:$Q$3209,"&gt;="&amp;$A844,Data!$Q$10:$Q$3209,"&lt;"&amp;$A844+1)/$AH844)))</f>
        <v/>
      </c>
      <c r="I844" s="54">
        <f>IF($B844=0,NA(),IF($C844="",NA(),IF(C$8="",NA(),IF(N(C$8)=0,NA(),IF(Inputs!$C$17="Rebased to 100",$C844/C$8*100,$C844)))))</f>
        <v/>
      </c>
      <c r="J844" s="54">
        <f>IF($B844=0,NA(),IF($D844="",NA(),IF(D$8="",NA(),IF(N(D$8)=0,NA(),IF(Inputs!$C$17="Rebased to 100",$D844/D$8*100,$D844)))))</f>
        <v/>
      </c>
      <c r="K844" s="54">
        <f>IF($B844=0,NA(),IF($E844="",NA(),IF(E$8="",NA(),IF(N(E$8)=0,NA(),IF(Inputs!$C$17="Rebased to 100",$E844/E$8*100,$E844)))))</f>
        <v/>
      </c>
      <c r="L844" s="54">
        <f>IF($B844=0,NA(),IF($F844="",NA(),IF(F$8="",NA(),IF(N(F$8)=0,NA(),IF(Inputs!$C$17="Rebased to 100",$F844/F$8*100,$F844)))))</f>
        <v/>
      </c>
      <c r="M844" s="54">
        <f>IF($B844=0,NA(),IF($G844="",NA(),IF(G$8="",NA(),IF(N(G$8)=0,NA(),IF(Inputs!$C$17="Rebased to 100",$G844/G$8*100,$G844)))))</f>
        <v/>
      </c>
      <c r="N844" s="54">
        <f>IF($B844=0,NA(),IF(Inputs!$C$18&lt;&gt;"Yes",NA(),IF(COUNT(I844,J844,K844,L844,M844)=0,NA(),MIN(I844,J844,K844,L844,M844))))</f>
        <v/>
      </c>
      <c r="O844" s="54">
        <f>IF($B844=0,NA(),IF(Inputs!$B$24&lt;&gt;"Yes",NA(),Inputs!$D$24*Inputs!$C$35))</f>
        <v/>
      </c>
      <c r="P844" s="54">
        <f>IF($B844=0,NA(),IF(Inputs!$B$25&lt;&gt;"Yes",NA(),Inputs!$D$25*Inputs!$C$35))</f>
        <v/>
      </c>
      <c r="Q844" s="54">
        <f>IF($B844=0,NA(),IF(Inputs!$B$26&lt;&gt;"Yes",NA(),Inputs!$D$26*Inputs!$C$35))</f>
        <v/>
      </c>
      <c r="R844" s="54">
        <f>IF($B844=0,NA(),IF(Inputs!$B$27&lt;&gt;"Yes",NA(),Inputs!$D$27*Inputs!$C$35))</f>
        <v/>
      </c>
      <c r="S844" s="54">
        <f>IF($B844=0,NA(),IF(Inputs!$B$28&lt;&gt;"Yes",NA(),Inputs!$D$28*Inputs!$C$35))</f>
        <v/>
      </c>
      <c r="T844" s="54">
        <f>IF($B844=0,NA(),IF(Inputs!$B$29&lt;&gt;"Yes",NA(),Inputs!$D$29*Inputs!$C$35))</f>
        <v/>
      </c>
      <c r="AD844">
        <f>IF($B844=0,0,IF(Inputs!$B$6="",0,COUNTIFS(Data!$A$10:$A$3209,"&gt;="&amp;$A844,Data!$A$10:$A$3209,"&lt;"&amp;$A844+1)))</f>
        <v/>
      </c>
      <c r="AE844">
        <f>IF($B844=0,0,IF(Inputs!$B$7="",0,COUNTIFS(Data!$E$10:$E$3209,"&gt;="&amp;$A844,Data!$E$10:$E$3209,"&lt;"&amp;$A844+1)))</f>
        <v/>
      </c>
      <c r="AF844">
        <f>IF($B844=0,0,IF(Inputs!$B$8="",0,COUNTIFS(Data!$I$10:$I$3209,"&gt;="&amp;$A844,Data!$I$10:$I$3209,"&lt;"&amp;$A844+1)))</f>
        <v/>
      </c>
      <c r="AG844">
        <f>IF($B844=0,0,IF(Inputs!$B$9="",0,COUNTIFS(Data!$M$10:$M$3209,"&gt;="&amp;$A844,Data!$M$10:$M$3209,"&lt;"&amp;$A844+1)))</f>
        <v/>
      </c>
      <c r="AH844">
        <f>IF($B844=0,0,IF(Inputs!$B$10="",0,COUNTIFS(Data!$Q$10:$Q$3209,"&gt;="&amp;$A844,Data!$Q$10:$Q$3209,"&lt;"&amp;$A844+1)))</f>
        <v/>
      </c>
    </row>
    <row r="845">
      <c r="A845" s="55">
        <f>MIN(Inputs!$C$15,$A844+IF(WEEKDAY($A844,2)=5,3,1))</f>
        <v/>
      </c>
      <c r="B845">
        <f>IF($A845&gt;$A844,1,0)</f>
        <v/>
      </c>
      <c r="C845" s="56">
        <f>IF($B845=0,"",IF(Inputs!$B$6="","",IF($AD845=0,C844,SUMIFS(Data!$B$10:$B$3209,Data!$A$10:$A$3209,"&gt;="&amp;$A845,Data!$A$10:$A$3209,"&lt;"&amp;$A845+1)/$AD845)))</f>
        <v/>
      </c>
      <c r="D845" s="56">
        <f>IF($B845=0,"",IF(Inputs!$B$7="","",IF($AE845=0,D844,SUMIFS(Data!$F$10:$F$3209,Data!$E$10:$E$3209,"&gt;="&amp;$A845,Data!$E$10:$E$3209,"&lt;"&amp;$A845+1)/$AE845)))</f>
        <v/>
      </c>
      <c r="E845" s="56">
        <f>IF($B845=0,"",IF(Inputs!$B$8="","",IF($AF845=0,E844,SUMIFS(Data!$J$10:$J$3209,Data!$I$10:$I$3209,"&gt;="&amp;$A845,Data!$I$10:$I$3209,"&lt;"&amp;$A845+1)/$AF845)))</f>
        <v/>
      </c>
      <c r="F845" s="56">
        <f>IF($B845=0,"",IF(Inputs!$B$9="","",IF($AG845=0,F844,SUMIFS(Data!$N$10:$N$3209,Data!$M$10:$M$3209,"&gt;="&amp;$A845,Data!$M$10:$M$3209,"&lt;"&amp;$A845+1)/$AG845)))</f>
        <v/>
      </c>
      <c r="G845" s="56">
        <f>IF($B845=0,"",IF(Inputs!$B$10="","",IF($AH845=0,G844,SUMIFS(Data!$R$10:$R$3209,Data!$Q$10:$Q$3209,"&gt;="&amp;$A845,Data!$Q$10:$Q$3209,"&lt;"&amp;$A845+1)/$AH845)))</f>
        <v/>
      </c>
      <c r="I845" s="54">
        <f>IF($B845=0,NA(),IF($C845="",NA(),IF(C$8="",NA(),IF(N(C$8)=0,NA(),IF(Inputs!$C$17="Rebased to 100",$C845/C$8*100,$C845)))))</f>
        <v/>
      </c>
      <c r="J845" s="54">
        <f>IF($B845=0,NA(),IF($D845="",NA(),IF(D$8="",NA(),IF(N(D$8)=0,NA(),IF(Inputs!$C$17="Rebased to 100",$D845/D$8*100,$D845)))))</f>
        <v/>
      </c>
      <c r="K845" s="54">
        <f>IF($B845=0,NA(),IF($E845="",NA(),IF(E$8="",NA(),IF(N(E$8)=0,NA(),IF(Inputs!$C$17="Rebased to 100",$E845/E$8*100,$E845)))))</f>
        <v/>
      </c>
      <c r="L845" s="54">
        <f>IF($B845=0,NA(),IF($F845="",NA(),IF(F$8="",NA(),IF(N(F$8)=0,NA(),IF(Inputs!$C$17="Rebased to 100",$F845/F$8*100,$F845)))))</f>
        <v/>
      </c>
      <c r="M845" s="54">
        <f>IF($B845=0,NA(),IF($G845="",NA(),IF(G$8="",NA(),IF(N(G$8)=0,NA(),IF(Inputs!$C$17="Rebased to 100",$G845/G$8*100,$G845)))))</f>
        <v/>
      </c>
      <c r="N845" s="54">
        <f>IF($B845=0,NA(),IF(Inputs!$C$18&lt;&gt;"Yes",NA(),IF(COUNT(I845,J845,K845,L845,M845)=0,NA(),MIN(I845,J845,K845,L845,M845))))</f>
        <v/>
      </c>
      <c r="O845" s="54">
        <f>IF($B845=0,NA(),IF(Inputs!$B$24&lt;&gt;"Yes",NA(),Inputs!$D$24*Inputs!$C$35))</f>
        <v/>
      </c>
      <c r="P845" s="54">
        <f>IF($B845=0,NA(),IF(Inputs!$B$25&lt;&gt;"Yes",NA(),Inputs!$D$25*Inputs!$C$35))</f>
        <v/>
      </c>
      <c r="Q845" s="54">
        <f>IF($B845=0,NA(),IF(Inputs!$B$26&lt;&gt;"Yes",NA(),Inputs!$D$26*Inputs!$C$35))</f>
        <v/>
      </c>
      <c r="R845" s="54">
        <f>IF($B845=0,NA(),IF(Inputs!$B$27&lt;&gt;"Yes",NA(),Inputs!$D$27*Inputs!$C$35))</f>
        <v/>
      </c>
      <c r="S845" s="54">
        <f>IF($B845=0,NA(),IF(Inputs!$B$28&lt;&gt;"Yes",NA(),Inputs!$D$28*Inputs!$C$35))</f>
        <v/>
      </c>
      <c r="T845" s="54">
        <f>IF($B845=0,NA(),IF(Inputs!$B$29&lt;&gt;"Yes",NA(),Inputs!$D$29*Inputs!$C$35))</f>
        <v/>
      </c>
      <c r="AD845">
        <f>IF($B845=0,0,IF(Inputs!$B$6="",0,COUNTIFS(Data!$A$10:$A$3209,"&gt;="&amp;$A845,Data!$A$10:$A$3209,"&lt;"&amp;$A845+1)))</f>
        <v/>
      </c>
      <c r="AE845">
        <f>IF($B845=0,0,IF(Inputs!$B$7="",0,COUNTIFS(Data!$E$10:$E$3209,"&gt;="&amp;$A845,Data!$E$10:$E$3209,"&lt;"&amp;$A845+1)))</f>
        <v/>
      </c>
      <c r="AF845">
        <f>IF($B845=0,0,IF(Inputs!$B$8="",0,COUNTIFS(Data!$I$10:$I$3209,"&gt;="&amp;$A845,Data!$I$10:$I$3209,"&lt;"&amp;$A845+1)))</f>
        <v/>
      </c>
      <c r="AG845">
        <f>IF($B845=0,0,IF(Inputs!$B$9="",0,COUNTIFS(Data!$M$10:$M$3209,"&gt;="&amp;$A845,Data!$M$10:$M$3209,"&lt;"&amp;$A845+1)))</f>
        <v/>
      </c>
      <c r="AH845">
        <f>IF($B845=0,0,IF(Inputs!$B$10="",0,COUNTIFS(Data!$Q$10:$Q$3209,"&gt;="&amp;$A845,Data!$Q$10:$Q$3209,"&lt;"&amp;$A845+1)))</f>
        <v/>
      </c>
    </row>
    <row r="846">
      <c r="A846" s="55">
        <f>MIN(Inputs!$C$15,$A845+IF(WEEKDAY($A845,2)=5,3,1))</f>
        <v/>
      </c>
      <c r="B846">
        <f>IF($A846&gt;$A845,1,0)</f>
        <v/>
      </c>
      <c r="C846" s="56">
        <f>IF($B846=0,"",IF(Inputs!$B$6="","",IF($AD846=0,C845,SUMIFS(Data!$B$10:$B$3209,Data!$A$10:$A$3209,"&gt;="&amp;$A846,Data!$A$10:$A$3209,"&lt;"&amp;$A846+1)/$AD846)))</f>
        <v/>
      </c>
      <c r="D846" s="56">
        <f>IF($B846=0,"",IF(Inputs!$B$7="","",IF($AE846=0,D845,SUMIFS(Data!$F$10:$F$3209,Data!$E$10:$E$3209,"&gt;="&amp;$A846,Data!$E$10:$E$3209,"&lt;"&amp;$A846+1)/$AE846)))</f>
        <v/>
      </c>
      <c r="E846" s="56">
        <f>IF($B846=0,"",IF(Inputs!$B$8="","",IF($AF846=0,E845,SUMIFS(Data!$J$10:$J$3209,Data!$I$10:$I$3209,"&gt;="&amp;$A846,Data!$I$10:$I$3209,"&lt;"&amp;$A846+1)/$AF846)))</f>
        <v/>
      </c>
      <c r="F846" s="56">
        <f>IF($B846=0,"",IF(Inputs!$B$9="","",IF($AG846=0,F845,SUMIFS(Data!$N$10:$N$3209,Data!$M$10:$M$3209,"&gt;="&amp;$A846,Data!$M$10:$M$3209,"&lt;"&amp;$A846+1)/$AG846)))</f>
        <v/>
      </c>
      <c r="G846" s="56">
        <f>IF($B846=0,"",IF(Inputs!$B$10="","",IF($AH846=0,G845,SUMIFS(Data!$R$10:$R$3209,Data!$Q$10:$Q$3209,"&gt;="&amp;$A846,Data!$Q$10:$Q$3209,"&lt;"&amp;$A846+1)/$AH846)))</f>
        <v/>
      </c>
      <c r="I846" s="54">
        <f>IF($B846=0,NA(),IF($C846="",NA(),IF(C$8="",NA(),IF(N(C$8)=0,NA(),IF(Inputs!$C$17="Rebased to 100",$C846/C$8*100,$C846)))))</f>
        <v/>
      </c>
      <c r="J846" s="54">
        <f>IF($B846=0,NA(),IF($D846="",NA(),IF(D$8="",NA(),IF(N(D$8)=0,NA(),IF(Inputs!$C$17="Rebased to 100",$D846/D$8*100,$D846)))))</f>
        <v/>
      </c>
      <c r="K846" s="54">
        <f>IF($B846=0,NA(),IF($E846="",NA(),IF(E$8="",NA(),IF(N(E$8)=0,NA(),IF(Inputs!$C$17="Rebased to 100",$E846/E$8*100,$E846)))))</f>
        <v/>
      </c>
      <c r="L846" s="54">
        <f>IF($B846=0,NA(),IF($F846="",NA(),IF(F$8="",NA(),IF(N(F$8)=0,NA(),IF(Inputs!$C$17="Rebased to 100",$F846/F$8*100,$F846)))))</f>
        <v/>
      </c>
      <c r="M846" s="54">
        <f>IF($B846=0,NA(),IF($G846="",NA(),IF(G$8="",NA(),IF(N(G$8)=0,NA(),IF(Inputs!$C$17="Rebased to 100",$G846/G$8*100,$G846)))))</f>
        <v/>
      </c>
      <c r="N846" s="54">
        <f>IF($B846=0,NA(),IF(Inputs!$C$18&lt;&gt;"Yes",NA(),IF(COUNT(I846,J846,K846,L846,M846)=0,NA(),MIN(I846,J846,K846,L846,M846))))</f>
        <v/>
      </c>
      <c r="O846" s="54">
        <f>IF($B846=0,NA(),IF(Inputs!$B$24&lt;&gt;"Yes",NA(),Inputs!$D$24*Inputs!$C$35))</f>
        <v/>
      </c>
      <c r="P846" s="54">
        <f>IF($B846=0,NA(),IF(Inputs!$B$25&lt;&gt;"Yes",NA(),Inputs!$D$25*Inputs!$C$35))</f>
        <v/>
      </c>
      <c r="Q846" s="54">
        <f>IF($B846=0,NA(),IF(Inputs!$B$26&lt;&gt;"Yes",NA(),Inputs!$D$26*Inputs!$C$35))</f>
        <v/>
      </c>
      <c r="R846" s="54">
        <f>IF($B846=0,NA(),IF(Inputs!$B$27&lt;&gt;"Yes",NA(),Inputs!$D$27*Inputs!$C$35))</f>
        <v/>
      </c>
      <c r="S846" s="54">
        <f>IF($B846=0,NA(),IF(Inputs!$B$28&lt;&gt;"Yes",NA(),Inputs!$D$28*Inputs!$C$35))</f>
        <v/>
      </c>
      <c r="T846" s="54">
        <f>IF($B846=0,NA(),IF(Inputs!$B$29&lt;&gt;"Yes",NA(),Inputs!$D$29*Inputs!$C$35))</f>
        <v/>
      </c>
      <c r="AD846">
        <f>IF($B846=0,0,IF(Inputs!$B$6="",0,COUNTIFS(Data!$A$10:$A$3209,"&gt;="&amp;$A846,Data!$A$10:$A$3209,"&lt;"&amp;$A846+1)))</f>
        <v/>
      </c>
      <c r="AE846">
        <f>IF($B846=0,0,IF(Inputs!$B$7="",0,COUNTIFS(Data!$E$10:$E$3209,"&gt;="&amp;$A846,Data!$E$10:$E$3209,"&lt;"&amp;$A846+1)))</f>
        <v/>
      </c>
      <c r="AF846">
        <f>IF($B846=0,0,IF(Inputs!$B$8="",0,COUNTIFS(Data!$I$10:$I$3209,"&gt;="&amp;$A846,Data!$I$10:$I$3209,"&lt;"&amp;$A846+1)))</f>
        <v/>
      </c>
      <c r="AG846">
        <f>IF($B846=0,0,IF(Inputs!$B$9="",0,COUNTIFS(Data!$M$10:$M$3209,"&gt;="&amp;$A846,Data!$M$10:$M$3209,"&lt;"&amp;$A846+1)))</f>
        <v/>
      </c>
      <c r="AH846">
        <f>IF($B846=0,0,IF(Inputs!$B$10="",0,COUNTIFS(Data!$Q$10:$Q$3209,"&gt;="&amp;$A846,Data!$Q$10:$Q$3209,"&lt;"&amp;$A846+1)))</f>
        <v/>
      </c>
    </row>
    <row r="847">
      <c r="A847" s="55">
        <f>MIN(Inputs!$C$15,$A846+IF(WEEKDAY($A846,2)=5,3,1))</f>
        <v/>
      </c>
      <c r="B847">
        <f>IF($A847&gt;$A846,1,0)</f>
        <v/>
      </c>
      <c r="C847" s="56">
        <f>IF($B847=0,"",IF(Inputs!$B$6="","",IF($AD847=0,C846,SUMIFS(Data!$B$10:$B$3209,Data!$A$10:$A$3209,"&gt;="&amp;$A847,Data!$A$10:$A$3209,"&lt;"&amp;$A847+1)/$AD847)))</f>
        <v/>
      </c>
      <c r="D847" s="56">
        <f>IF($B847=0,"",IF(Inputs!$B$7="","",IF($AE847=0,D846,SUMIFS(Data!$F$10:$F$3209,Data!$E$10:$E$3209,"&gt;="&amp;$A847,Data!$E$10:$E$3209,"&lt;"&amp;$A847+1)/$AE847)))</f>
        <v/>
      </c>
      <c r="E847" s="56">
        <f>IF($B847=0,"",IF(Inputs!$B$8="","",IF($AF847=0,E846,SUMIFS(Data!$J$10:$J$3209,Data!$I$10:$I$3209,"&gt;="&amp;$A847,Data!$I$10:$I$3209,"&lt;"&amp;$A847+1)/$AF847)))</f>
        <v/>
      </c>
      <c r="F847" s="56">
        <f>IF($B847=0,"",IF(Inputs!$B$9="","",IF($AG847=0,F846,SUMIFS(Data!$N$10:$N$3209,Data!$M$10:$M$3209,"&gt;="&amp;$A847,Data!$M$10:$M$3209,"&lt;"&amp;$A847+1)/$AG847)))</f>
        <v/>
      </c>
      <c r="G847" s="56">
        <f>IF($B847=0,"",IF(Inputs!$B$10="","",IF($AH847=0,G846,SUMIFS(Data!$R$10:$R$3209,Data!$Q$10:$Q$3209,"&gt;="&amp;$A847,Data!$Q$10:$Q$3209,"&lt;"&amp;$A847+1)/$AH847)))</f>
        <v/>
      </c>
      <c r="I847" s="54">
        <f>IF($B847=0,NA(),IF($C847="",NA(),IF(C$8="",NA(),IF(N(C$8)=0,NA(),IF(Inputs!$C$17="Rebased to 100",$C847/C$8*100,$C847)))))</f>
        <v/>
      </c>
      <c r="J847" s="54">
        <f>IF($B847=0,NA(),IF($D847="",NA(),IF(D$8="",NA(),IF(N(D$8)=0,NA(),IF(Inputs!$C$17="Rebased to 100",$D847/D$8*100,$D847)))))</f>
        <v/>
      </c>
      <c r="K847" s="54">
        <f>IF($B847=0,NA(),IF($E847="",NA(),IF(E$8="",NA(),IF(N(E$8)=0,NA(),IF(Inputs!$C$17="Rebased to 100",$E847/E$8*100,$E847)))))</f>
        <v/>
      </c>
      <c r="L847" s="54">
        <f>IF($B847=0,NA(),IF($F847="",NA(),IF(F$8="",NA(),IF(N(F$8)=0,NA(),IF(Inputs!$C$17="Rebased to 100",$F847/F$8*100,$F847)))))</f>
        <v/>
      </c>
      <c r="M847" s="54">
        <f>IF($B847=0,NA(),IF($G847="",NA(),IF(G$8="",NA(),IF(N(G$8)=0,NA(),IF(Inputs!$C$17="Rebased to 100",$G847/G$8*100,$G847)))))</f>
        <v/>
      </c>
      <c r="N847" s="54">
        <f>IF($B847=0,NA(),IF(Inputs!$C$18&lt;&gt;"Yes",NA(),IF(COUNT(I847,J847,K847,L847,M847)=0,NA(),MIN(I847,J847,K847,L847,M847))))</f>
        <v/>
      </c>
      <c r="O847" s="54">
        <f>IF($B847=0,NA(),IF(Inputs!$B$24&lt;&gt;"Yes",NA(),Inputs!$D$24*Inputs!$C$35))</f>
        <v/>
      </c>
      <c r="P847" s="54">
        <f>IF($B847=0,NA(),IF(Inputs!$B$25&lt;&gt;"Yes",NA(),Inputs!$D$25*Inputs!$C$35))</f>
        <v/>
      </c>
      <c r="Q847" s="54">
        <f>IF($B847=0,NA(),IF(Inputs!$B$26&lt;&gt;"Yes",NA(),Inputs!$D$26*Inputs!$C$35))</f>
        <v/>
      </c>
      <c r="R847" s="54">
        <f>IF($B847=0,NA(),IF(Inputs!$B$27&lt;&gt;"Yes",NA(),Inputs!$D$27*Inputs!$C$35))</f>
        <v/>
      </c>
      <c r="S847" s="54">
        <f>IF($B847=0,NA(),IF(Inputs!$B$28&lt;&gt;"Yes",NA(),Inputs!$D$28*Inputs!$C$35))</f>
        <v/>
      </c>
      <c r="T847" s="54">
        <f>IF($B847=0,NA(),IF(Inputs!$B$29&lt;&gt;"Yes",NA(),Inputs!$D$29*Inputs!$C$35))</f>
        <v/>
      </c>
      <c r="AD847">
        <f>IF($B847=0,0,IF(Inputs!$B$6="",0,COUNTIFS(Data!$A$10:$A$3209,"&gt;="&amp;$A847,Data!$A$10:$A$3209,"&lt;"&amp;$A847+1)))</f>
        <v/>
      </c>
      <c r="AE847">
        <f>IF($B847=0,0,IF(Inputs!$B$7="",0,COUNTIFS(Data!$E$10:$E$3209,"&gt;="&amp;$A847,Data!$E$10:$E$3209,"&lt;"&amp;$A847+1)))</f>
        <v/>
      </c>
      <c r="AF847">
        <f>IF($B847=0,0,IF(Inputs!$B$8="",0,COUNTIFS(Data!$I$10:$I$3209,"&gt;="&amp;$A847,Data!$I$10:$I$3209,"&lt;"&amp;$A847+1)))</f>
        <v/>
      </c>
      <c r="AG847">
        <f>IF($B847=0,0,IF(Inputs!$B$9="",0,COUNTIFS(Data!$M$10:$M$3209,"&gt;="&amp;$A847,Data!$M$10:$M$3209,"&lt;"&amp;$A847+1)))</f>
        <v/>
      </c>
      <c r="AH847">
        <f>IF($B847=0,0,IF(Inputs!$B$10="",0,COUNTIFS(Data!$Q$10:$Q$3209,"&gt;="&amp;$A847,Data!$Q$10:$Q$3209,"&lt;"&amp;$A847+1)))</f>
        <v/>
      </c>
    </row>
    <row r="848">
      <c r="A848" s="55">
        <f>MIN(Inputs!$C$15,$A847+IF(WEEKDAY($A847,2)=5,3,1))</f>
        <v/>
      </c>
      <c r="B848">
        <f>IF($A848&gt;$A847,1,0)</f>
        <v/>
      </c>
      <c r="C848" s="56">
        <f>IF($B848=0,"",IF(Inputs!$B$6="","",IF($AD848=0,C847,SUMIFS(Data!$B$10:$B$3209,Data!$A$10:$A$3209,"&gt;="&amp;$A848,Data!$A$10:$A$3209,"&lt;"&amp;$A848+1)/$AD848)))</f>
        <v/>
      </c>
      <c r="D848" s="56">
        <f>IF($B848=0,"",IF(Inputs!$B$7="","",IF($AE848=0,D847,SUMIFS(Data!$F$10:$F$3209,Data!$E$10:$E$3209,"&gt;="&amp;$A848,Data!$E$10:$E$3209,"&lt;"&amp;$A848+1)/$AE848)))</f>
        <v/>
      </c>
      <c r="E848" s="56">
        <f>IF($B848=0,"",IF(Inputs!$B$8="","",IF($AF848=0,E847,SUMIFS(Data!$J$10:$J$3209,Data!$I$10:$I$3209,"&gt;="&amp;$A848,Data!$I$10:$I$3209,"&lt;"&amp;$A848+1)/$AF848)))</f>
        <v/>
      </c>
      <c r="F848" s="56">
        <f>IF($B848=0,"",IF(Inputs!$B$9="","",IF($AG848=0,F847,SUMIFS(Data!$N$10:$N$3209,Data!$M$10:$M$3209,"&gt;="&amp;$A848,Data!$M$10:$M$3209,"&lt;"&amp;$A848+1)/$AG848)))</f>
        <v/>
      </c>
      <c r="G848" s="56">
        <f>IF($B848=0,"",IF(Inputs!$B$10="","",IF($AH848=0,G847,SUMIFS(Data!$R$10:$R$3209,Data!$Q$10:$Q$3209,"&gt;="&amp;$A848,Data!$Q$10:$Q$3209,"&lt;"&amp;$A848+1)/$AH848)))</f>
        <v/>
      </c>
      <c r="I848" s="54">
        <f>IF($B848=0,NA(),IF($C848="",NA(),IF(C$8="",NA(),IF(N(C$8)=0,NA(),IF(Inputs!$C$17="Rebased to 100",$C848/C$8*100,$C848)))))</f>
        <v/>
      </c>
      <c r="J848" s="54">
        <f>IF($B848=0,NA(),IF($D848="",NA(),IF(D$8="",NA(),IF(N(D$8)=0,NA(),IF(Inputs!$C$17="Rebased to 100",$D848/D$8*100,$D848)))))</f>
        <v/>
      </c>
      <c r="K848" s="54">
        <f>IF($B848=0,NA(),IF($E848="",NA(),IF(E$8="",NA(),IF(N(E$8)=0,NA(),IF(Inputs!$C$17="Rebased to 100",$E848/E$8*100,$E848)))))</f>
        <v/>
      </c>
      <c r="L848" s="54">
        <f>IF($B848=0,NA(),IF($F848="",NA(),IF(F$8="",NA(),IF(N(F$8)=0,NA(),IF(Inputs!$C$17="Rebased to 100",$F848/F$8*100,$F848)))))</f>
        <v/>
      </c>
      <c r="M848" s="54">
        <f>IF($B848=0,NA(),IF($G848="",NA(),IF(G$8="",NA(),IF(N(G$8)=0,NA(),IF(Inputs!$C$17="Rebased to 100",$G848/G$8*100,$G848)))))</f>
        <v/>
      </c>
      <c r="N848" s="54">
        <f>IF($B848=0,NA(),IF(Inputs!$C$18&lt;&gt;"Yes",NA(),IF(COUNT(I848,J848,K848,L848,M848)=0,NA(),MIN(I848,J848,K848,L848,M848))))</f>
        <v/>
      </c>
      <c r="O848" s="54">
        <f>IF($B848=0,NA(),IF(Inputs!$B$24&lt;&gt;"Yes",NA(),Inputs!$D$24*Inputs!$C$35))</f>
        <v/>
      </c>
      <c r="P848" s="54">
        <f>IF($B848=0,NA(),IF(Inputs!$B$25&lt;&gt;"Yes",NA(),Inputs!$D$25*Inputs!$C$35))</f>
        <v/>
      </c>
      <c r="Q848" s="54">
        <f>IF($B848=0,NA(),IF(Inputs!$B$26&lt;&gt;"Yes",NA(),Inputs!$D$26*Inputs!$C$35))</f>
        <v/>
      </c>
      <c r="R848" s="54">
        <f>IF($B848=0,NA(),IF(Inputs!$B$27&lt;&gt;"Yes",NA(),Inputs!$D$27*Inputs!$C$35))</f>
        <v/>
      </c>
      <c r="S848" s="54">
        <f>IF($B848=0,NA(),IF(Inputs!$B$28&lt;&gt;"Yes",NA(),Inputs!$D$28*Inputs!$C$35))</f>
        <v/>
      </c>
      <c r="T848" s="54">
        <f>IF($B848=0,NA(),IF(Inputs!$B$29&lt;&gt;"Yes",NA(),Inputs!$D$29*Inputs!$C$35))</f>
        <v/>
      </c>
      <c r="AD848">
        <f>IF($B848=0,0,IF(Inputs!$B$6="",0,COUNTIFS(Data!$A$10:$A$3209,"&gt;="&amp;$A848,Data!$A$10:$A$3209,"&lt;"&amp;$A848+1)))</f>
        <v/>
      </c>
      <c r="AE848">
        <f>IF($B848=0,0,IF(Inputs!$B$7="",0,COUNTIFS(Data!$E$10:$E$3209,"&gt;="&amp;$A848,Data!$E$10:$E$3209,"&lt;"&amp;$A848+1)))</f>
        <v/>
      </c>
      <c r="AF848">
        <f>IF($B848=0,0,IF(Inputs!$B$8="",0,COUNTIFS(Data!$I$10:$I$3209,"&gt;="&amp;$A848,Data!$I$10:$I$3209,"&lt;"&amp;$A848+1)))</f>
        <v/>
      </c>
      <c r="AG848">
        <f>IF($B848=0,0,IF(Inputs!$B$9="",0,COUNTIFS(Data!$M$10:$M$3209,"&gt;="&amp;$A848,Data!$M$10:$M$3209,"&lt;"&amp;$A848+1)))</f>
        <v/>
      </c>
      <c r="AH848">
        <f>IF($B848=0,0,IF(Inputs!$B$10="",0,COUNTIFS(Data!$Q$10:$Q$3209,"&gt;="&amp;$A848,Data!$Q$10:$Q$3209,"&lt;"&amp;$A848+1)))</f>
        <v/>
      </c>
    </row>
    <row r="849">
      <c r="A849" s="55">
        <f>MIN(Inputs!$C$15,$A848+IF(WEEKDAY($A848,2)=5,3,1))</f>
        <v/>
      </c>
      <c r="B849">
        <f>IF($A849&gt;$A848,1,0)</f>
        <v/>
      </c>
      <c r="C849" s="56">
        <f>IF($B849=0,"",IF(Inputs!$B$6="","",IF($AD849=0,C848,SUMIFS(Data!$B$10:$B$3209,Data!$A$10:$A$3209,"&gt;="&amp;$A849,Data!$A$10:$A$3209,"&lt;"&amp;$A849+1)/$AD849)))</f>
        <v/>
      </c>
      <c r="D849" s="56">
        <f>IF($B849=0,"",IF(Inputs!$B$7="","",IF($AE849=0,D848,SUMIFS(Data!$F$10:$F$3209,Data!$E$10:$E$3209,"&gt;="&amp;$A849,Data!$E$10:$E$3209,"&lt;"&amp;$A849+1)/$AE849)))</f>
        <v/>
      </c>
      <c r="E849" s="56">
        <f>IF($B849=0,"",IF(Inputs!$B$8="","",IF($AF849=0,E848,SUMIFS(Data!$J$10:$J$3209,Data!$I$10:$I$3209,"&gt;="&amp;$A849,Data!$I$10:$I$3209,"&lt;"&amp;$A849+1)/$AF849)))</f>
        <v/>
      </c>
      <c r="F849" s="56">
        <f>IF($B849=0,"",IF(Inputs!$B$9="","",IF($AG849=0,F848,SUMIFS(Data!$N$10:$N$3209,Data!$M$10:$M$3209,"&gt;="&amp;$A849,Data!$M$10:$M$3209,"&lt;"&amp;$A849+1)/$AG849)))</f>
        <v/>
      </c>
      <c r="G849" s="56">
        <f>IF($B849=0,"",IF(Inputs!$B$10="","",IF($AH849=0,G848,SUMIFS(Data!$R$10:$R$3209,Data!$Q$10:$Q$3209,"&gt;="&amp;$A849,Data!$Q$10:$Q$3209,"&lt;"&amp;$A849+1)/$AH849)))</f>
        <v/>
      </c>
      <c r="I849" s="54">
        <f>IF($B849=0,NA(),IF($C849="",NA(),IF(C$8="",NA(),IF(N(C$8)=0,NA(),IF(Inputs!$C$17="Rebased to 100",$C849/C$8*100,$C849)))))</f>
        <v/>
      </c>
      <c r="J849" s="54">
        <f>IF($B849=0,NA(),IF($D849="",NA(),IF(D$8="",NA(),IF(N(D$8)=0,NA(),IF(Inputs!$C$17="Rebased to 100",$D849/D$8*100,$D849)))))</f>
        <v/>
      </c>
      <c r="K849" s="54">
        <f>IF($B849=0,NA(),IF($E849="",NA(),IF(E$8="",NA(),IF(N(E$8)=0,NA(),IF(Inputs!$C$17="Rebased to 100",$E849/E$8*100,$E849)))))</f>
        <v/>
      </c>
      <c r="L849" s="54">
        <f>IF($B849=0,NA(),IF($F849="",NA(),IF(F$8="",NA(),IF(N(F$8)=0,NA(),IF(Inputs!$C$17="Rebased to 100",$F849/F$8*100,$F849)))))</f>
        <v/>
      </c>
      <c r="M849" s="54">
        <f>IF($B849=0,NA(),IF($G849="",NA(),IF(G$8="",NA(),IF(N(G$8)=0,NA(),IF(Inputs!$C$17="Rebased to 100",$G849/G$8*100,$G849)))))</f>
        <v/>
      </c>
      <c r="N849" s="54">
        <f>IF($B849=0,NA(),IF(Inputs!$C$18&lt;&gt;"Yes",NA(),IF(COUNT(I849,J849,K849,L849,M849)=0,NA(),MIN(I849,J849,K849,L849,M849))))</f>
        <v/>
      </c>
      <c r="O849" s="54">
        <f>IF($B849=0,NA(),IF(Inputs!$B$24&lt;&gt;"Yes",NA(),Inputs!$D$24*Inputs!$C$35))</f>
        <v/>
      </c>
      <c r="P849" s="54">
        <f>IF($B849=0,NA(),IF(Inputs!$B$25&lt;&gt;"Yes",NA(),Inputs!$D$25*Inputs!$C$35))</f>
        <v/>
      </c>
      <c r="Q849" s="54">
        <f>IF($B849=0,NA(),IF(Inputs!$B$26&lt;&gt;"Yes",NA(),Inputs!$D$26*Inputs!$C$35))</f>
        <v/>
      </c>
      <c r="R849" s="54">
        <f>IF($B849=0,NA(),IF(Inputs!$B$27&lt;&gt;"Yes",NA(),Inputs!$D$27*Inputs!$C$35))</f>
        <v/>
      </c>
      <c r="S849" s="54">
        <f>IF($B849=0,NA(),IF(Inputs!$B$28&lt;&gt;"Yes",NA(),Inputs!$D$28*Inputs!$C$35))</f>
        <v/>
      </c>
      <c r="T849" s="54">
        <f>IF($B849=0,NA(),IF(Inputs!$B$29&lt;&gt;"Yes",NA(),Inputs!$D$29*Inputs!$C$35))</f>
        <v/>
      </c>
      <c r="AD849">
        <f>IF($B849=0,0,IF(Inputs!$B$6="",0,COUNTIFS(Data!$A$10:$A$3209,"&gt;="&amp;$A849,Data!$A$10:$A$3209,"&lt;"&amp;$A849+1)))</f>
        <v/>
      </c>
      <c r="AE849">
        <f>IF($B849=0,0,IF(Inputs!$B$7="",0,COUNTIFS(Data!$E$10:$E$3209,"&gt;="&amp;$A849,Data!$E$10:$E$3209,"&lt;"&amp;$A849+1)))</f>
        <v/>
      </c>
      <c r="AF849">
        <f>IF($B849=0,0,IF(Inputs!$B$8="",0,COUNTIFS(Data!$I$10:$I$3209,"&gt;="&amp;$A849,Data!$I$10:$I$3209,"&lt;"&amp;$A849+1)))</f>
        <v/>
      </c>
      <c r="AG849">
        <f>IF($B849=0,0,IF(Inputs!$B$9="",0,COUNTIFS(Data!$M$10:$M$3209,"&gt;="&amp;$A849,Data!$M$10:$M$3209,"&lt;"&amp;$A849+1)))</f>
        <v/>
      </c>
      <c r="AH849">
        <f>IF($B849=0,0,IF(Inputs!$B$10="",0,COUNTIFS(Data!$Q$10:$Q$3209,"&gt;="&amp;$A849,Data!$Q$10:$Q$3209,"&lt;"&amp;$A849+1)))</f>
        <v/>
      </c>
    </row>
    <row r="850">
      <c r="A850" s="55">
        <f>MIN(Inputs!$C$15,$A849+IF(WEEKDAY($A849,2)=5,3,1))</f>
        <v/>
      </c>
      <c r="B850">
        <f>IF($A850&gt;$A849,1,0)</f>
        <v/>
      </c>
      <c r="C850" s="56">
        <f>IF($B850=0,"",IF(Inputs!$B$6="","",IF($AD850=0,C849,SUMIFS(Data!$B$10:$B$3209,Data!$A$10:$A$3209,"&gt;="&amp;$A850,Data!$A$10:$A$3209,"&lt;"&amp;$A850+1)/$AD850)))</f>
        <v/>
      </c>
      <c r="D850" s="56">
        <f>IF($B850=0,"",IF(Inputs!$B$7="","",IF($AE850=0,D849,SUMIFS(Data!$F$10:$F$3209,Data!$E$10:$E$3209,"&gt;="&amp;$A850,Data!$E$10:$E$3209,"&lt;"&amp;$A850+1)/$AE850)))</f>
        <v/>
      </c>
      <c r="E850" s="56">
        <f>IF($B850=0,"",IF(Inputs!$B$8="","",IF($AF850=0,E849,SUMIFS(Data!$J$10:$J$3209,Data!$I$10:$I$3209,"&gt;="&amp;$A850,Data!$I$10:$I$3209,"&lt;"&amp;$A850+1)/$AF850)))</f>
        <v/>
      </c>
      <c r="F850" s="56">
        <f>IF($B850=0,"",IF(Inputs!$B$9="","",IF($AG850=0,F849,SUMIFS(Data!$N$10:$N$3209,Data!$M$10:$M$3209,"&gt;="&amp;$A850,Data!$M$10:$M$3209,"&lt;"&amp;$A850+1)/$AG850)))</f>
        <v/>
      </c>
      <c r="G850" s="56">
        <f>IF($B850=0,"",IF(Inputs!$B$10="","",IF($AH850=0,G849,SUMIFS(Data!$R$10:$R$3209,Data!$Q$10:$Q$3209,"&gt;="&amp;$A850,Data!$Q$10:$Q$3209,"&lt;"&amp;$A850+1)/$AH850)))</f>
        <v/>
      </c>
      <c r="I850" s="54">
        <f>IF($B850=0,NA(),IF($C850="",NA(),IF(C$8="",NA(),IF(N(C$8)=0,NA(),IF(Inputs!$C$17="Rebased to 100",$C850/C$8*100,$C850)))))</f>
        <v/>
      </c>
      <c r="J850" s="54">
        <f>IF($B850=0,NA(),IF($D850="",NA(),IF(D$8="",NA(),IF(N(D$8)=0,NA(),IF(Inputs!$C$17="Rebased to 100",$D850/D$8*100,$D850)))))</f>
        <v/>
      </c>
      <c r="K850" s="54">
        <f>IF($B850=0,NA(),IF($E850="",NA(),IF(E$8="",NA(),IF(N(E$8)=0,NA(),IF(Inputs!$C$17="Rebased to 100",$E850/E$8*100,$E850)))))</f>
        <v/>
      </c>
      <c r="L850" s="54">
        <f>IF($B850=0,NA(),IF($F850="",NA(),IF(F$8="",NA(),IF(N(F$8)=0,NA(),IF(Inputs!$C$17="Rebased to 100",$F850/F$8*100,$F850)))))</f>
        <v/>
      </c>
      <c r="M850" s="54">
        <f>IF($B850=0,NA(),IF($G850="",NA(),IF(G$8="",NA(),IF(N(G$8)=0,NA(),IF(Inputs!$C$17="Rebased to 100",$G850/G$8*100,$G850)))))</f>
        <v/>
      </c>
      <c r="N850" s="54">
        <f>IF($B850=0,NA(),IF(Inputs!$C$18&lt;&gt;"Yes",NA(),IF(COUNT(I850,J850,K850,L850,M850)=0,NA(),MIN(I850,J850,K850,L850,M850))))</f>
        <v/>
      </c>
      <c r="O850" s="54">
        <f>IF($B850=0,NA(),IF(Inputs!$B$24&lt;&gt;"Yes",NA(),Inputs!$D$24*Inputs!$C$35))</f>
        <v/>
      </c>
      <c r="P850" s="54">
        <f>IF($B850=0,NA(),IF(Inputs!$B$25&lt;&gt;"Yes",NA(),Inputs!$D$25*Inputs!$C$35))</f>
        <v/>
      </c>
      <c r="Q850" s="54">
        <f>IF($B850=0,NA(),IF(Inputs!$B$26&lt;&gt;"Yes",NA(),Inputs!$D$26*Inputs!$C$35))</f>
        <v/>
      </c>
      <c r="R850" s="54">
        <f>IF($B850=0,NA(),IF(Inputs!$B$27&lt;&gt;"Yes",NA(),Inputs!$D$27*Inputs!$C$35))</f>
        <v/>
      </c>
      <c r="S850" s="54">
        <f>IF($B850=0,NA(),IF(Inputs!$B$28&lt;&gt;"Yes",NA(),Inputs!$D$28*Inputs!$C$35))</f>
        <v/>
      </c>
      <c r="T850" s="54">
        <f>IF($B850=0,NA(),IF(Inputs!$B$29&lt;&gt;"Yes",NA(),Inputs!$D$29*Inputs!$C$35))</f>
        <v/>
      </c>
      <c r="AD850">
        <f>IF($B850=0,0,IF(Inputs!$B$6="",0,COUNTIFS(Data!$A$10:$A$3209,"&gt;="&amp;$A850,Data!$A$10:$A$3209,"&lt;"&amp;$A850+1)))</f>
        <v/>
      </c>
      <c r="AE850">
        <f>IF($B850=0,0,IF(Inputs!$B$7="",0,COUNTIFS(Data!$E$10:$E$3209,"&gt;="&amp;$A850,Data!$E$10:$E$3209,"&lt;"&amp;$A850+1)))</f>
        <v/>
      </c>
      <c r="AF850">
        <f>IF($B850=0,0,IF(Inputs!$B$8="",0,COUNTIFS(Data!$I$10:$I$3209,"&gt;="&amp;$A850,Data!$I$10:$I$3209,"&lt;"&amp;$A850+1)))</f>
        <v/>
      </c>
      <c r="AG850">
        <f>IF($B850=0,0,IF(Inputs!$B$9="",0,COUNTIFS(Data!$M$10:$M$3209,"&gt;="&amp;$A850,Data!$M$10:$M$3209,"&lt;"&amp;$A850+1)))</f>
        <v/>
      </c>
      <c r="AH850">
        <f>IF($B850=0,0,IF(Inputs!$B$10="",0,COUNTIFS(Data!$Q$10:$Q$3209,"&gt;="&amp;$A850,Data!$Q$10:$Q$3209,"&lt;"&amp;$A850+1)))</f>
        <v/>
      </c>
    </row>
    <row r="851">
      <c r="A851" s="55">
        <f>MIN(Inputs!$C$15,$A850+IF(WEEKDAY($A850,2)=5,3,1))</f>
        <v/>
      </c>
      <c r="B851">
        <f>IF($A851&gt;$A850,1,0)</f>
        <v/>
      </c>
      <c r="C851" s="56">
        <f>IF($B851=0,"",IF(Inputs!$B$6="","",IF($AD851=0,C850,SUMIFS(Data!$B$10:$B$3209,Data!$A$10:$A$3209,"&gt;="&amp;$A851,Data!$A$10:$A$3209,"&lt;"&amp;$A851+1)/$AD851)))</f>
        <v/>
      </c>
      <c r="D851" s="56">
        <f>IF($B851=0,"",IF(Inputs!$B$7="","",IF($AE851=0,D850,SUMIFS(Data!$F$10:$F$3209,Data!$E$10:$E$3209,"&gt;="&amp;$A851,Data!$E$10:$E$3209,"&lt;"&amp;$A851+1)/$AE851)))</f>
        <v/>
      </c>
      <c r="E851" s="56">
        <f>IF($B851=0,"",IF(Inputs!$B$8="","",IF($AF851=0,E850,SUMIFS(Data!$J$10:$J$3209,Data!$I$10:$I$3209,"&gt;="&amp;$A851,Data!$I$10:$I$3209,"&lt;"&amp;$A851+1)/$AF851)))</f>
        <v/>
      </c>
      <c r="F851" s="56">
        <f>IF($B851=0,"",IF(Inputs!$B$9="","",IF($AG851=0,F850,SUMIFS(Data!$N$10:$N$3209,Data!$M$10:$M$3209,"&gt;="&amp;$A851,Data!$M$10:$M$3209,"&lt;"&amp;$A851+1)/$AG851)))</f>
        <v/>
      </c>
      <c r="G851" s="56">
        <f>IF($B851=0,"",IF(Inputs!$B$10="","",IF($AH851=0,G850,SUMIFS(Data!$R$10:$R$3209,Data!$Q$10:$Q$3209,"&gt;="&amp;$A851,Data!$Q$10:$Q$3209,"&lt;"&amp;$A851+1)/$AH851)))</f>
        <v/>
      </c>
      <c r="I851" s="54">
        <f>IF($B851=0,NA(),IF($C851="",NA(),IF(C$8="",NA(),IF(N(C$8)=0,NA(),IF(Inputs!$C$17="Rebased to 100",$C851/C$8*100,$C851)))))</f>
        <v/>
      </c>
      <c r="J851" s="54">
        <f>IF($B851=0,NA(),IF($D851="",NA(),IF(D$8="",NA(),IF(N(D$8)=0,NA(),IF(Inputs!$C$17="Rebased to 100",$D851/D$8*100,$D851)))))</f>
        <v/>
      </c>
      <c r="K851" s="54">
        <f>IF($B851=0,NA(),IF($E851="",NA(),IF(E$8="",NA(),IF(N(E$8)=0,NA(),IF(Inputs!$C$17="Rebased to 100",$E851/E$8*100,$E851)))))</f>
        <v/>
      </c>
      <c r="L851" s="54">
        <f>IF($B851=0,NA(),IF($F851="",NA(),IF(F$8="",NA(),IF(N(F$8)=0,NA(),IF(Inputs!$C$17="Rebased to 100",$F851/F$8*100,$F851)))))</f>
        <v/>
      </c>
      <c r="M851" s="54">
        <f>IF($B851=0,NA(),IF($G851="",NA(),IF(G$8="",NA(),IF(N(G$8)=0,NA(),IF(Inputs!$C$17="Rebased to 100",$G851/G$8*100,$G851)))))</f>
        <v/>
      </c>
      <c r="N851" s="54">
        <f>IF($B851=0,NA(),IF(Inputs!$C$18&lt;&gt;"Yes",NA(),IF(COUNT(I851,J851,K851,L851,M851)=0,NA(),MIN(I851,J851,K851,L851,M851))))</f>
        <v/>
      </c>
      <c r="O851" s="54">
        <f>IF($B851=0,NA(),IF(Inputs!$B$24&lt;&gt;"Yes",NA(),Inputs!$D$24*Inputs!$C$35))</f>
        <v/>
      </c>
      <c r="P851" s="54">
        <f>IF($B851=0,NA(),IF(Inputs!$B$25&lt;&gt;"Yes",NA(),Inputs!$D$25*Inputs!$C$35))</f>
        <v/>
      </c>
      <c r="Q851" s="54">
        <f>IF($B851=0,NA(),IF(Inputs!$B$26&lt;&gt;"Yes",NA(),Inputs!$D$26*Inputs!$C$35))</f>
        <v/>
      </c>
      <c r="R851" s="54">
        <f>IF($B851=0,NA(),IF(Inputs!$B$27&lt;&gt;"Yes",NA(),Inputs!$D$27*Inputs!$C$35))</f>
        <v/>
      </c>
      <c r="S851" s="54">
        <f>IF($B851=0,NA(),IF(Inputs!$B$28&lt;&gt;"Yes",NA(),Inputs!$D$28*Inputs!$C$35))</f>
        <v/>
      </c>
      <c r="T851" s="54">
        <f>IF($B851=0,NA(),IF(Inputs!$B$29&lt;&gt;"Yes",NA(),Inputs!$D$29*Inputs!$C$35))</f>
        <v/>
      </c>
      <c r="AD851">
        <f>IF($B851=0,0,IF(Inputs!$B$6="",0,COUNTIFS(Data!$A$10:$A$3209,"&gt;="&amp;$A851,Data!$A$10:$A$3209,"&lt;"&amp;$A851+1)))</f>
        <v/>
      </c>
      <c r="AE851">
        <f>IF($B851=0,0,IF(Inputs!$B$7="",0,COUNTIFS(Data!$E$10:$E$3209,"&gt;="&amp;$A851,Data!$E$10:$E$3209,"&lt;"&amp;$A851+1)))</f>
        <v/>
      </c>
      <c r="AF851">
        <f>IF($B851=0,0,IF(Inputs!$B$8="",0,COUNTIFS(Data!$I$10:$I$3209,"&gt;="&amp;$A851,Data!$I$10:$I$3209,"&lt;"&amp;$A851+1)))</f>
        <v/>
      </c>
      <c r="AG851">
        <f>IF($B851=0,0,IF(Inputs!$B$9="",0,COUNTIFS(Data!$M$10:$M$3209,"&gt;="&amp;$A851,Data!$M$10:$M$3209,"&lt;"&amp;$A851+1)))</f>
        <v/>
      </c>
      <c r="AH851">
        <f>IF($B851=0,0,IF(Inputs!$B$10="",0,COUNTIFS(Data!$Q$10:$Q$3209,"&gt;="&amp;$A851,Data!$Q$10:$Q$3209,"&lt;"&amp;$A851+1)))</f>
        <v/>
      </c>
    </row>
    <row r="852">
      <c r="A852" s="55">
        <f>MIN(Inputs!$C$15,$A851+IF(WEEKDAY($A851,2)=5,3,1))</f>
        <v/>
      </c>
      <c r="B852">
        <f>IF($A852&gt;$A851,1,0)</f>
        <v/>
      </c>
      <c r="C852" s="56">
        <f>IF($B852=0,"",IF(Inputs!$B$6="","",IF($AD852=0,C851,SUMIFS(Data!$B$10:$B$3209,Data!$A$10:$A$3209,"&gt;="&amp;$A852,Data!$A$10:$A$3209,"&lt;"&amp;$A852+1)/$AD852)))</f>
        <v/>
      </c>
      <c r="D852" s="56">
        <f>IF($B852=0,"",IF(Inputs!$B$7="","",IF($AE852=0,D851,SUMIFS(Data!$F$10:$F$3209,Data!$E$10:$E$3209,"&gt;="&amp;$A852,Data!$E$10:$E$3209,"&lt;"&amp;$A852+1)/$AE852)))</f>
        <v/>
      </c>
      <c r="E852" s="56">
        <f>IF($B852=0,"",IF(Inputs!$B$8="","",IF($AF852=0,E851,SUMIFS(Data!$J$10:$J$3209,Data!$I$10:$I$3209,"&gt;="&amp;$A852,Data!$I$10:$I$3209,"&lt;"&amp;$A852+1)/$AF852)))</f>
        <v/>
      </c>
      <c r="F852" s="56">
        <f>IF($B852=0,"",IF(Inputs!$B$9="","",IF($AG852=0,F851,SUMIFS(Data!$N$10:$N$3209,Data!$M$10:$M$3209,"&gt;="&amp;$A852,Data!$M$10:$M$3209,"&lt;"&amp;$A852+1)/$AG852)))</f>
        <v/>
      </c>
      <c r="G852" s="56">
        <f>IF($B852=0,"",IF(Inputs!$B$10="","",IF($AH852=0,G851,SUMIFS(Data!$R$10:$R$3209,Data!$Q$10:$Q$3209,"&gt;="&amp;$A852,Data!$Q$10:$Q$3209,"&lt;"&amp;$A852+1)/$AH852)))</f>
        <v/>
      </c>
      <c r="I852" s="54">
        <f>IF($B852=0,NA(),IF($C852="",NA(),IF(C$8="",NA(),IF(N(C$8)=0,NA(),IF(Inputs!$C$17="Rebased to 100",$C852/C$8*100,$C852)))))</f>
        <v/>
      </c>
      <c r="J852" s="54">
        <f>IF($B852=0,NA(),IF($D852="",NA(),IF(D$8="",NA(),IF(N(D$8)=0,NA(),IF(Inputs!$C$17="Rebased to 100",$D852/D$8*100,$D852)))))</f>
        <v/>
      </c>
      <c r="K852" s="54">
        <f>IF($B852=0,NA(),IF($E852="",NA(),IF(E$8="",NA(),IF(N(E$8)=0,NA(),IF(Inputs!$C$17="Rebased to 100",$E852/E$8*100,$E852)))))</f>
        <v/>
      </c>
      <c r="L852" s="54">
        <f>IF($B852=0,NA(),IF($F852="",NA(),IF(F$8="",NA(),IF(N(F$8)=0,NA(),IF(Inputs!$C$17="Rebased to 100",$F852/F$8*100,$F852)))))</f>
        <v/>
      </c>
      <c r="M852" s="54">
        <f>IF($B852=0,NA(),IF($G852="",NA(),IF(G$8="",NA(),IF(N(G$8)=0,NA(),IF(Inputs!$C$17="Rebased to 100",$G852/G$8*100,$G852)))))</f>
        <v/>
      </c>
      <c r="N852" s="54">
        <f>IF($B852=0,NA(),IF(Inputs!$C$18&lt;&gt;"Yes",NA(),IF(COUNT(I852,J852,K852,L852,M852)=0,NA(),MIN(I852,J852,K852,L852,M852))))</f>
        <v/>
      </c>
      <c r="O852" s="54">
        <f>IF($B852=0,NA(),IF(Inputs!$B$24&lt;&gt;"Yes",NA(),Inputs!$D$24*Inputs!$C$35))</f>
        <v/>
      </c>
      <c r="P852" s="54">
        <f>IF($B852=0,NA(),IF(Inputs!$B$25&lt;&gt;"Yes",NA(),Inputs!$D$25*Inputs!$C$35))</f>
        <v/>
      </c>
      <c r="Q852" s="54">
        <f>IF($B852=0,NA(),IF(Inputs!$B$26&lt;&gt;"Yes",NA(),Inputs!$D$26*Inputs!$C$35))</f>
        <v/>
      </c>
      <c r="R852" s="54">
        <f>IF($B852=0,NA(),IF(Inputs!$B$27&lt;&gt;"Yes",NA(),Inputs!$D$27*Inputs!$C$35))</f>
        <v/>
      </c>
      <c r="S852" s="54">
        <f>IF($B852=0,NA(),IF(Inputs!$B$28&lt;&gt;"Yes",NA(),Inputs!$D$28*Inputs!$C$35))</f>
        <v/>
      </c>
      <c r="T852" s="54">
        <f>IF($B852=0,NA(),IF(Inputs!$B$29&lt;&gt;"Yes",NA(),Inputs!$D$29*Inputs!$C$35))</f>
        <v/>
      </c>
      <c r="AD852">
        <f>IF($B852=0,0,IF(Inputs!$B$6="",0,COUNTIFS(Data!$A$10:$A$3209,"&gt;="&amp;$A852,Data!$A$10:$A$3209,"&lt;"&amp;$A852+1)))</f>
        <v/>
      </c>
      <c r="AE852">
        <f>IF($B852=0,0,IF(Inputs!$B$7="",0,COUNTIFS(Data!$E$10:$E$3209,"&gt;="&amp;$A852,Data!$E$10:$E$3209,"&lt;"&amp;$A852+1)))</f>
        <v/>
      </c>
      <c r="AF852">
        <f>IF($B852=0,0,IF(Inputs!$B$8="",0,COUNTIFS(Data!$I$10:$I$3209,"&gt;="&amp;$A852,Data!$I$10:$I$3209,"&lt;"&amp;$A852+1)))</f>
        <v/>
      </c>
      <c r="AG852">
        <f>IF($B852=0,0,IF(Inputs!$B$9="",0,COUNTIFS(Data!$M$10:$M$3209,"&gt;="&amp;$A852,Data!$M$10:$M$3209,"&lt;"&amp;$A852+1)))</f>
        <v/>
      </c>
      <c r="AH852">
        <f>IF($B852=0,0,IF(Inputs!$B$10="",0,COUNTIFS(Data!$Q$10:$Q$3209,"&gt;="&amp;$A852,Data!$Q$10:$Q$3209,"&lt;"&amp;$A852+1)))</f>
        <v/>
      </c>
    </row>
    <row r="853">
      <c r="A853" s="55">
        <f>MIN(Inputs!$C$15,$A852+IF(WEEKDAY($A852,2)=5,3,1))</f>
        <v/>
      </c>
      <c r="B853">
        <f>IF($A853&gt;$A852,1,0)</f>
        <v/>
      </c>
      <c r="C853" s="56">
        <f>IF($B853=0,"",IF(Inputs!$B$6="","",IF($AD853=0,C852,SUMIFS(Data!$B$10:$B$3209,Data!$A$10:$A$3209,"&gt;="&amp;$A853,Data!$A$10:$A$3209,"&lt;"&amp;$A853+1)/$AD853)))</f>
        <v/>
      </c>
      <c r="D853" s="56">
        <f>IF($B853=0,"",IF(Inputs!$B$7="","",IF($AE853=0,D852,SUMIFS(Data!$F$10:$F$3209,Data!$E$10:$E$3209,"&gt;="&amp;$A853,Data!$E$10:$E$3209,"&lt;"&amp;$A853+1)/$AE853)))</f>
        <v/>
      </c>
      <c r="E853" s="56">
        <f>IF($B853=0,"",IF(Inputs!$B$8="","",IF($AF853=0,E852,SUMIFS(Data!$J$10:$J$3209,Data!$I$10:$I$3209,"&gt;="&amp;$A853,Data!$I$10:$I$3209,"&lt;"&amp;$A853+1)/$AF853)))</f>
        <v/>
      </c>
      <c r="F853" s="56">
        <f>IF($B853=0,"",IF(Inputs!$B$9="","",IF($AG853=0,F852,SUMIFS(Data!$N$10:$N$3209,Data!$M$10:$M$3209,"&gt;="&amp;$A853,Data!$M$10:$M$3209,"&lt;"&amp;$A853+1)/$AG853)))</f>
        <v/>
      </c>
      <c r="G853" s="56">
        <f>IF($B853=0,"",IF(Inputs!$B$10="","",IF($AH853=0,G852,SUMIFS(Data!$R$10:$R$3209,Data!$Q$10:$Q$3209,"&gt;="&amp;$A853,Data!$Q$10:$Q$3209,"&lt;"&amp;$A853+1)/$AH853)))</f>
        <v/>
      </c>
      <c r="I853" s="54">
        <f>IF($B853=0,NA(),IF($C853="",NA(),IF(C$8="",NA(),IF(N(C$8)=0,NA(),IF(Inputs!$C$17="Rebased to 100",$C853/C$8*100,$C853)))))</f>
        <v/>
      </c>
      <c r="J853" s="54">
        <f>IF($B853=0,NA(),IF($D853="",NA(),IF(D$8="",NA(),IF(N(D$8)=0,NA(),IF(Inputs!$C$17="Rebased to 100",$D853/D$8*100,$D853)))))</f>
        <v/>
      </c>
      <c r="K853" s="54">
        <f>IF($B853=0,NA(),IF($E853="",NA(),IF(E$8="",NA(),IF(N(E$8)=0,NA(),IF(Inputs!$C$17="Rebased to 100",$E853/E$8*100,$E853)))))</f>
        <v/>
      </c>
      <c r="L853" s="54">
        <f>IF($B853=0,NA(),IF($F853="",NA(),IF(F$8="",NA(),IF(N(F$8)=0,NA(),IF(Inputs!$C$17="Rebased to 100",$F853/F$8*100,$F853)))))</f>
        <v/>
      </c>
      <c r="M853" s="54">
        <f>IF($B853=0,NA(),IF($G853="",NA(),IF(G$8="",NA(),IF(N(G$8)=0,NA(),IF(Inputs!$C$17="Rebased to 100",$G853/G$8*100,$G853)))))</f>
        <v/>
      </c>
      <c r="N853" s="54">
        <f>IF($B853=0,NA(),IF(Inputs!$C$18&lt;&gt;"Yes",NA(),IF(COUNT(I853,J853,K853,L853,M853)=0,NA(),MIN(I853,J853,K853,L853,M853))))</f>
        <v/>
      </c>
      <c r="O853" s="54">
        <f>IF($B853=0,NA(),IF(Inputs!$B$24&lt;&gt;"Yes",NA(),Inputs!$D$24*Inputs!$C$35))</f>
        <v/>
      </c>
      <c r="P853" s="54">
        <f>IF($B853=0,NA(),IF(Inputs!$B$25&lt;&gt;"Yes",NA(),Inputs!$D$25*Inputs!$C$35))</f>
        <v/>
      </c>
      <c r="Q853" s="54">
        <f>IF($B853=0,NA(),IF(Inputs!$B$26&lt;&gt;"Yes",NA(),Inputs!$D$26*Inputs!$C$35))</f>
        <v/>
      </c>
      <c r="R853" s="54">
        <f>IF($B853=0,NA(),IF(Inputs!$B$27&lt;&gt;"Yes",NA(),Inputs!$D$27*Inputs!$C$35))</f>
        <v/>
      </c>
      <c r="S853" s="54">
        <f>IF($B853=0,NA(),IF(Inputs!$B$28&lt;&gt;"Yes",NA(),Inputs!$D$28*Inputs!$C$35))</f>
        <v/>
      </c>
      <c r="T853" s="54">
        <f>IF($B853=0,NA(),IF(Inputs!$B$29&lt;&gt;"Yes",NA(),Inputs!$D$29*Inputs!$C$35))</f>
        <v/>
      </c>
      <c r="AD853">
        <f>IF($B853=0,0,IF(Inputs!$B$6="",0,COUNTIFS(Data!$A$10:$A$3209,"&gt;="&amp;$A853,Data!$A$10:$A$3209,"&lt;"&amp;$A853+1)))</f>
        <v/>
      </c>
      <c r="AE853">
        <f>IF($B853=0,0,IF(Inputs!$B$7="",0,COUNTIFS(Data!$E$10:$E$3209,"&gt;="&amp;$A853,Data!$E$10:$E$3209,"&lt;"&amp;$A853+1)))</f>
        <v/>
      </c>
      <c r="AF853">
        <f>IF($B853=0,0,IF(Inputs!$B$8="",0,COUNTIFS(Data!$I$10:$I$3209,"&gt;="&amp;$A853,Data!$I$10:$I$3209,"&lt;"&amp;$A853+1)))</f>
        <v/>
      </c>
      <c r="AG853">
        <f>IF($B853=0,0,IF(Inputs!$B$9="",0,COUNTIFS(Data!$M$10:$M$3209,"&gt;="&amp;$A853,Data!$M$10:$M$3209,"&lt;"&amp;$A853+1)))</f>
        <v/>
      </c>
      <c r="AH853">
        <f>IF($B853=0,0,IF(Inputs!$B$10="",0,COUNTIFS(Data!$Q$10:$Q$3209,"&gt;="&amp;$A853,Data!$Q$10:$Q$3209,"&lt;"&amp;$A853+1)))</f>
        <v/>
      </c>
    </row>
    <row r="854">
      <c r="A854" s="55">
        <f>MIN(Inputs!$C$15,$A853+IF(WEEKDAY($A853,2)=5,3,1))</f>
        <v/>
      </c>
      <c r="B854">
        <f>IF($A854&gt;$A853,1,0)</f>
        <v/>
      </c>
      <c r="C854" s="56">
        <f>IF($B854=0,"",IF(Inputs!$B$6="","",IF($AD854=0,C853,SUMIFS(Data!$B$10:$B$3209,Data!$A$10:$A$3209,"&gt;="&amp;$A854,Data!$A$10:$A$3209,"&lt;"&amp;$A854+1)/$AD854)))</f>
        <v/>
      </c>
      <c r="D854" s="56">
        <f>IF($B854=0,"",IF(Inputs!$B$7="","",IF($AE854=0,D853,SUMIFS(Data!$F$10:$F$3209,Data!$E$10:$E$3209,"&gt;="&amp;$A854,Data!$E$10:$E$3209,"&lt;"&amp;$A854+1)/$AE854)))</f>
        <v/>
      </c>
      <c r="E854" s="56">
        <f>IF($B854=0,"",IF(Inputs!$B$8="","",IF($AF854=0,E853,SUMIFS(Data!$J$10:$J$3209,Data!$I$10:$I$3209,"&gt;="&amp;$A854,Data!$I$10:$I$3209,"&lt;"&amp;$A854+1)/$AF854)))</f>
        <v/>
      </c>
      <c r="F854" s="56">
        <f>IF($B854=0,"",IF(Inputs!$B$9="","",IF($AG854=0,F853,SUMIFS(Data!$N$10:$N$3209,Data!$M$10:$M$3209,"&gt;="&amp;$A854,Data!$M$10:$M$3209,"&lt;"&amp;$A854+1)/$AG854)))</f>
        <v/>
      </c>
      <c r="G854" s="56">
        <f>IF($B854=0,"",IF(Inputs!$B$10="","",IF($AH854=0,G853,SUMIFS(Data!$R$10:$R$3209,Data!$Q$10:$Q$3209,"&gt;="&amp;$A854,Data!$Q$10:$Q$3209,"&lt;"&amp;$A854+1)/$AH854)))</f>
        <v/>
      </c>
      <c r="I854" s="54">
        <f>IF($B854=0,NA(),IF($C854="",NA(),IF(C$8="",NA(),IF(N(C$8)=0,NA(),IF(Inputs!$C$17="Rebased to 100",$C854/C$8*100,$C854)))))</f>
        <v/>
      </c>
      <c r="J854" s="54">
        <f>IF($B854=0,NA(),IF($D854="",NA(),IF(D$8="",NA(),IF(N(D$8)=0,NA(),IF(Inputs!$C$17="Rebased to 100",$D854/D$8*100,$D854)))))</f>
        <v/>
      </c>
      <c r="K854" s="54">
        <f>IF($B854=0,NA(),IF($E854="",NA(),IF(E$8="",NA(),IF(N(E$8)=0,NA(),IF(Inputs!$C$17="Rebased to 100",$E854/E$8*100,$E854)))))</f>
        <v/>
      </c>
      <c r="L854" s="54">
        <f>IF($B854=0,NA(),IF($F854="",NA(),IF(F$8="",NA(),IF(N(F$8)=0,NA(),IF(Inputs!$C$17="Rebased to 100",$F854/F$8*100,$F854)))))</f>
        <v/>
      </c>
      <c r="M854" s="54">
        <f>IF($B854=0,NA(),IF($G854="",NA(),IF(G$8="",NA(),IF(N(G$8)=0,NA(),IF(Inputs!$C$17="Rebased to 100",$G854/G$8*100,$G854)))))</f>
        <v/>
      </c>
      <c r="N854" s="54">
        <f>IF($B854=0,NA(),IF(Inputs!$C$18&lt;&gt;"Yes",NA(),IF(COUNT(I854,J854,K854,L854,M854)=0,NA(),MIN(I854,J854,K854,L854,M854))))</f>
        <v/>
      </c>
      <c r="O854" s="54">
        <f>IF($B854=0,NA(),IF(Inputs!$B$24&lt;&gt;"Yes",NA(),Inputs!$D$24*Inputs!$C$35))</f>
        <v/>
      </c>
      <c r="P854" s="54">
        <f>IF($B854=0,NA(),IF(Inputs!$B$25&lt;&gt;"Yes",NA(),Inputs!$D$25*Inputs!$C$35))</f>
        <v/>
      </c>
      <c r="Q854" s="54">
        <f>IF($B854=0,NA(),IF(Inputs!$B$26&lt;&gt;"Yes",NA(),Inputs!$D$26*Inputs!$C$35))</f>
        <v/>
      </c>
      <c r="R854" s="54">
        <f>IF($B854=0,NA(),IF(Inputs!$B$27&lt;&gt;"Yes",NA(),Inputs!$D$27*Inputs!$C$35))</f>
        <v/>
      </c>
      <c r="S854" s="54">
        <f>IF($B854=0,NA(),IF(Inputs!$B$28&lt;&gt;"Yes",NA(),Inputs!$D$28*Inputs!$C$35))</f>
        <v/>
      </c>
      <c r="T854" s="54">
        <f>IF($B854=0,NA(),IF(Inputs!$B$29&lt;&gt;"Yes",NA(),Inputs!$D$29*Inputs!$C$35))</f>
        <v/>
      </c>
      <c r="AD854">
        <f>IF($B854=0,0,IF(Inputs!$B$6="",0,COUNTIFS(Data!$A$10:$A$3209,"&gt;="&amp;$A854,Data!$A$10:$A$3209,"&lt;"&amp;$A854+1)))</f>
        <v/>
      </c>
      <c r="AE854">
        <f>IF($B854=0,0,IF(Inputs!$B$7="",0,COUNTIFS(Data!$E$10:$E$3209,"&gt;="&amp;$A854,Data!$E$10:$E$3209,"&lt;"&amp;$A854+1)))</f>
        <v/>
      </c>
      <c r="AF854">
        <f>IF($B854=0,0,IF(Inputs!$B$8="",0,COUNTIFS(Data!$I$10:$I$3209,"&gt;="&amp;$A854,Data!$I$10:$I$3209,"&lt;"&amp;$A854+1)))</f>
        <v/>
      </c>
      <c r="AG854">
        <f>IF($B854=0,0,IF(Inputs!$B$9="",0,COUNTIFS(Data!$M$10:$M$3209,"&gt;="&amp;$A854,Data!$M$10:$M$3209,"&lt;"&amp;$A854+1)))</f>
        <v/>
      </c>
      <c r="AH854">
        <f>IF($B854=0,0,IF(Inputs!$B$10="",0,COUNTIFS(Data!$Q$10:$Q$3209,"&gt;="&amp;$A854,Data!$Q$10:$Q$3209,"&lt;"&amp;$A854+1)))</f>
        <v/>
      </c>
    </row>
    <row r="855">
      <c r="A855" s="55">
        <f>MIN(Inputs!$C$15,$A854+IF(WEEKDAY($A854,2)=5,3,1))</f>
        <v/>
      </c>
      <c r="B855">
        <f>IF($A855&gt;$A854,1,0)</f>
        <v/>
      </c>
      <c r="C855" s="56">
        <f>IF($B855=0,"",IF(Inputs!$B$6="","",IF($AD855=0,C854,SUMIFS(Data!$B$10:$B$3209,Data!$A$10:$A$3209,"&gt;="&amp;$A855,Data!$A$10:$A$3209,"&lt;"&amp;$A855+1)/$AD855)))</f>
        <v/>
      </c>
      <c r="D855" s="56">
        <f>IF($B855=0,"",IF(Inputs!$B$7="","",IF($AE855=0,D854,SUMIFS(Data!$F$10:$F$3209,Data!$E$10:$E$3209,"&gt;="&amp;$A855,Data!$E$10:$E$3209,"&lt;"&amp;$A855+1)/$AE855)))</f>
        <v/>
      </c>
      <c r="E855" s="56">
        <f>IF($B855=0,"",IF(Inputs!$B$8="","",IF($AF855=0,E854,SUMIFS(Data!$J$10:$J$3209,Data!$I$10:$I$3209,"&gt;="&amp;$A855,Data!$I$10:$I$3209,"&lt;"&amp;$A855+1)/$AF855)))</f>
        <v/>
      </c>
      <c r="F855" s="56">
        <f>IF($B855=0,"",IF(Inputs!$B$9="","",IF($AG855=0,F854,SUMIFS(Data!$N$10:$N$3209,Data!$M$10:$M$3209,"&gt;="&amp;$A855,Data!$M$10:$M$3209,"&lt;"&amp;$A855+1)/$AG855)))</f>
        <v/>
      </c>
      <c r="G855" s="56">
        <f>IF($B855=0,"",IF(Inputs!$B$10="","",IF($AH855=0,G854,SUMIFS(Data!$R$10:$R$3209,Data!$Q$10:$Q$3209,"&gt;="&amp;$A855,Data!$Q$10:$Q$3209,"&lt;"&amp;$A855+1)/$AH855)))</f>
        <v/>
      </c>
      <c r="I855" s="54">
        <f>IF($B855=0,NA(),IF($C855="",NA(),IF(C$8="",NA(),IF(N(C$8)=0,NA(),IF(Inputs!$C$17="Rebased to 100",$C855/C$8*100,$C855)))))</f>
        <v/>
      </c>
      <c r="J855" s="54">
        <f>IF($B855=0,NA(),IF($D855="",NA(),IF(D$8="",NA(),IF(N(D$8)=0,NA(),IF(Inputs!$C$17="Rebased to 100",$D855/D$8*100,$D855)))))</f>
        <v/>
      </c>
      <c r="K855" s="54">
        <f>IF($B855=0,NA(),IF($E855="",NA(),IF(E$8="",NA(),IF(N(E$8)=0,NA(),IF(Inputs!$C$17="Rebased to 100",$E855/E$8*100,$E855)))))</f>
        <v/>
      </c>
      <c r="L855" s="54">
        <f>IF($B855=0,NA(),IF($F855="",NA(),IF(F$8="",NA(),IF(N(F$8)=0,NA(),IF(Inputs!$C$17="Rebased to 100",$F855/F$8*100,$F855)))))</f>
        <v/>
      </c>
      <c r="M855" s="54">
        <f>IF($B855=0,NA(),IF($G855="",NA(),IF(G$8="",NA(),IF(N(G$8)=0,NA(),IF(Inputs!$C$17="Rebased to 100",$G855/G$8*100,$G855)))))</f>
        <v/>
      </c>
      <c r="N855" s="54">
        <f>IF($B855=0,NA(),IF(Inputs!$C$18&lt;&gt;"Yes",NA(),IF(COUNT(I855,J855,K855,L855,M855)=0,NA(),MIN(I855,J855,K855,L855,M855))))</f>
        <v/>
      </c>
      <c r="O855" s="54">
        <f>IF($B855=0,NA(),IF(Inputs!$B$24&lt;&gt;"Yes",NA(),Inputs!$D$24*Inputs!$C$35))</f>
        <v/>
      </c>
      <c r="P855" s="54">
        <f>IF($B855=0,NA(),IF(Inputs!$B$25&lt;&gt;"Yes",NA(),Inputs!$D$25*Inputs!$C$35))</f>
        <v/>
      </c>
      <c r="Q855" s="54">
        <f>IF($B855=0,NA(),IF(Inputs!$B$26&lt;&gt;"Yes",NA(),Inputs!$D$26*Inputs!$C$35))</f>
        <v/>
      </c>
      <c r="R855" s="54">
        <f>IF($B855=0,NA(),IF(Inputs!$B$27&lt;&gt;"Yes",NA(),Inputs!$D$27*Inputs!$C$35))</f>
        <v/>
      </c>
      <c r="S855" s="54">
        <f>IF($B855=0,NA(),IF(Inputs!$B$28&lt;&gt;"Yes",NA(),Inputs!$D$28*Inputs!$C$35))</f>
        <v/>
      </c>
      <c r="T855" s="54">
        <f>IF($B855=0,NA(),IF(Inputs!$B$29&lt;&gt;"Yes",NA(),Inputs!$D$29*Inputs!$C$35))</f>
        <v/>
      </c>
      <c r="AD855">
        <f>IF($B855=0,0,IF(Inputs!$B$6="",0,COUNTIFS(Data!$A$10:$A$3209,"&gt;="&amp;$A855,Data!$A$10:$A$3209,"&lt;"&amp;$A855+1)))</f>
        <v/>
      </c>
      <c r="AE855">
        <f>IF($B855=0,0,IF(Inputs!$B$7="",0,COUNTIFS(Data!$E$10:$E$3209,"&gt;="&amp;$A855,Data!$E$10:$E$3209,"&lt;"&amp;$A855+1)))</f>
        <v/>
      </c>
      <c r="AF855">
        <f>IF($B855=0,0,IF(Inputs!$B$8="",0,COUNTIFS(Data!$I$10:$I$3209,"&gt;="&amp;$A855,Data!$I$10:$I$3209,"&lt;"&amp;$A855+1)))</f>
        <v/>
      </c>
      <c r="AG855">
        <f>IF($B855=0,0,IF(Inputs!$B$9="",0,COUNTIFS(Data!$M$10:$M$3209,"&gt;="&amp;$A855,Data!$M$10:$M$3209,"&lt;"&amp;$A855+1)))</f>
        <v/>
      </c>
      <c r="AH855">
        <f>IF($B855=0,0,IF(Inputs!$B$10="",0,COUNTIFS(Data!$Q$10:$Q$3209,"&gt;="&amp;$A855,Data!$Q$10:$Q$3209,"&lt;"&amp;$A855+1)))</f>
        <v/>
      </c>
    </row>
    <row r="856">
      <c r="A856" s="55">
        <f>MIN(Inputs!$C$15,$A855+IF(WEEKDAY($A855,2)=5,3,1))</f>
        <v/>
      </c>
      <c r="B856">
        <f>IF($A856&gt;$A855,1,0)</f>
        <v/>
      </c>
      <c r="C856" s="56">
        <f>IF($B856=0,"",IF(Inputs!$B$6="","",IF($AD856=0,C855,SUMIFS(Data!$B$10:$B$3209,Data!$A$10:$A$3209,"&gt;="&amp;$A856,Data!$A$10:$A$3209,"&lt;"&amp;$A856+1)/$AD856)))</f>
        <v/>
      </c>
      <c r="D856" s="56">
        <f>IF($B856=0,"",IF(Inputs!$B$7="","",IF($AE856=0,D855,SUMIFS(Data!$F$10:$F$3209,Data!$E$10:$E$3209,"&gt;="&amp;$A856,Data!$E$10:$E$3209,"&lt;"&amp;$A856+1)/$AE856)))</f>
        <v/>
      </c>
      <c r="E856" s="56">
        <f>IF($B856=0,"",IF(Inputs!$B$8="","",IF($AF856=0,E855,SUMIFS(Data!$J$10:$J$3209,Data!$I$10:$I$3209,"&gt;="&amp;$A856,Data!$I$10:$I$3209,"&lt;"&amp;$A856+1)/$AF856)))</f>
        <v/>
      </c>
      <c r="F856" s="56">
        <f>IF($B856=0,"",IF(Inputs!$B$9="","",IF($AG856=0,F855,SUMIFS(Data!$N$10:$N$3209,Data!$M$10:$M$3209,"&gt;="&amp;$A856,Data!$M$10:$M$3209,"&lt;"&amp;$A856+1)/$AG856)))</f>
        <v/>
      </c>
      <c r="G856" s="56">
        <f>IF($B856=0,"",IF(Inputs!$B$10="","",IF($AH856=0,G855,SUMIFS(Data!$R$10:$R$3209,Data!$Q$10:$Q$3209,"&gt;="&amp;$A856,Data!$Q$10:$Q$3209,"&lt;"&amp;$A856+1)/$AH856)))</f>
        <v/>
      </c>
      <c r="I856" s="54">
        <f>IF($B856=0,NA(),IF($C856="",NA(),IF(C$8="",NA(),IF(N(C$8)=0,NA(),IF(Inputs!$C$17="Rebased to 100",$C856/C$8*100,$C856)))))</f>
        <v/>
      </c>
      <c r="J856" s="54">
        <f>IF($B856=0,NA(),IF($D856="",NA(),IF(D$8="",NA(),IF(N(D$8)=0,NA(),IF(Inputs!$C$17="Rebased to 100",$D856/D$8*100,$D856)))))</f>
        <v/>
      </c>
      <c r="K856" s="54">
        <f>IF($B856=0,NA(),IF($E856="",NA(),IF(E$8="",NA(),IF(N(E$8)=0,NA(),IF(Inputs!$C$17="Rebased to 100",$E856/E$8*100,$E856)))))</f>
        <v/>
      </c>
      <c r="L856" s="54">
        <f>IF($B856=0,NA(),IF($F856="",NA(),IF(F$8="",NA(),IF(N(F$8)=0,NA(),IF(Inputs!$C$17="Rebased to 100",$F856/F$8*100,$F856)))))</f>
        <v/>
      </c>
      <c r="M856" s="54">
        <f>IF($B856=0,NA(),IF($G856="",NA(),IF(G$8="",NA(),IF(N(G$8)=0,NA(),IF(Inputs!$C$17="Rebased to 100",$G856/G$8*100,$G856)))))</f>
        <v/>
      </c>
      <c r="N856" s="54">
        <f>IF($B856=0,NA(),IF(Inputs!$C$18&lt;&gt;"Yes",NA(),IF(COUNT(I856,J856,K856,L856,M856)=0,NA(),MIN(I856,J856,K856,L856,M856))))</f>
        <v/>
      </c>
      <c r="O856" s="54">
        <f>IF($B856=0,NA(),IF(Inputs!$B$24&lt;&gt;"Yes",NA(),Inputs!$D$24*Inputs!$C$35))</f>
        <v/>
      </c>
      <c r="P856" s="54">
        <f>IF($B856=0,NA(),IF(Inputs!$B$25&lt;&gt;"Yes",NA(),Inputs!$D$25*Inputs!$C$35))</f>
        <v/>
      </c>
      <c r="Q856" s="54">
        <f>IF($B856=0,NA(),IF(Inputs!$B$26&lt;&gt;"Yes",NA(),Inputs!$D$26*Inputs!$C$35))</f>
        <v/>
      </c>
      <c r="R856" s="54">
        <f>IF($B856=0,NA(),IF(Inputs!$B$27&lt;&gt;"Yes",NA(),Inputs!$D$27*Inputs!$C$35))</f>
        <v/>
      </c>
      <c r="S856" s="54">
        <f>IF($B856=0,NA(),IF(Inputs!$B$28&lt;&gt;"Yes",NA(),Inputs!$D$28*Inputs!$C$35))</f>
        <v/>
      </c>
      <c r="T856" s="54">
        <f>IF($B856=0,NA(),IF(Inputs!$B$29&lt;&gt;"Yes",NA(),Inputs!$D$29*Inputs!$C$35))</f>
        <v/>
      </c>
      <c r="AD856">
        <f>IF($B856=0,0,IF(Inputs!$B$6="",0,COUNTIFS(Data!$A$10:$A$3209,"&gt;="&amp;$A856,Data!$A$10:$A$3209,"&lt;"&amp;$A856+1)))</f>
        <v/>
      </c>
      <c r="AE856">
        <f>IF($B856=0,0,IF(Inputs!$B$7="",0,COUNTIFS(Data!$E$10:$E$3209,"&gt;="&amp;$A856,Data!$E$10:$E$3209,"&lt;"&amp;$A856+1)))</f>
        <v/>
      </c>
      <c r="AF856">
        <f>IF($B856=0,0,IF(Inputs!$B$8="",0,COUNTIFS(Data!$I$10:$I$3209,"&gt;="&amp;$A856,Data!$I$10:$I$3209,"&lt;"&amp;$A856+1)))</f>
        <v/>
      </c>
      <c r="AG856">
        <f>IF($B856=0,0,IF(Inputs!$B$9="",0,COUNTIFS(Data!$M$10:$M$3209,"&gt;="&amp;$A856,Data!$M$10:$M$3209,"&lt;"&amp;$A856+1)))</f>
        <v/>
      </c>
      <c r="AH856">
        <f>IF($B856=0,0,IF(Inputs!$B$10="",0,COUNTIFS(Data!$Q$10:$Q$3209,"&gt;="&amp;$A856,Data!$Q$10:$Q$3209,"&lt;"&amp;$A856+1)))</f>
        <v/>
      </c>
    </row>
    <row r="857">
      <c r="A857" s="55">
        <f>MIN(Inputs!$C$15,$A856+IF(WEEKDAY($A856,2)=5,3,1))</f>
        <v/>
      </c>
      <c r="B857">
        <f>IF($A857&gt;$A856,1,0)</f>
        <v/>
      </c>
      <c r="C857" s="56">
        <f>IF($B857=0,"",IF(Inputs!$B$6="","",IF($AD857=0,C856,SUMIFS(Data!$B$10:$B$3209,Data!$A$10:$A$3209,"&gt;="&amp;$A857,Data!$A$10:$A$3209,"&lt;"&amp;$A857+1)/$AD857)))</f>
        <v/>
      </c>
      <c r="D857" s="56">
        <f>IF($B857=0,"",IF(Inputs!$B$7="","",IF($AE857=0,D856,SUMIFS(Data!$F$10:$F$3209,Data!$E$10:$E$3209,"&gt;="&amp;$A857,Data!$E$10:$E$3209,"&lt;"&amp;$A857+1)/$AE857)))</f>
        <v/>
      </c>
      <c r="E857" s="56">
        <f>IF($B857=0,"",IF(Inputs!$B$8="","",IF($AF857=0,E856,SUMIFS(Data!$J$10:$J$3209,Data!$I$10:$I$3209,"&gt;="&amp;$A857,Data!$I$10:$I$3209,"&lt;"&amp;$A857+1)/$AF857)))</f>
        <v/>
      </c>
      <c r="F857" s="56">
        <f>IF($B857=0,"",IF(Inputs!$B$9="","",IF($AG857=0,F856,SUMIFS(Data!$N$10:$N$3209,Data!$M$10:$M$3209,"&gt;="&amp;$A857,Data!$M$10:$M$3209,"&lt;"&amp;$A857+1)/$AG857)))</f>
        <v/>
      </c>
      <c r="G857" s="56">
        <f>IF($B857=0,"",IF(Inputs!$B$10="","",IF($AH857=0,G856,SUMIFS(Data!$R$10:$R$3209,Data!$Q$10:$Q$3209,"&gt;="&amp;$A857,Data!$Q$10:$Q$3209,"&lt;"&amp;$A857+1)/$AH857)))</f>
        <v/>
      </c>
      <c r="I857" s="54">
        <f>IF($B857=0,NA(),IF($C857="",NA(),IF(C$8="",NA(),IF(N(C$8)=0,NA(),IF(Inputs!$C$17="Rebased to 100",$C857/C$8*100,$C857)))))</f>
        <v/>
      </c>
      <c r="J857" s="54">
        <f>IF($B857=0,NA(),IF($D857="",NA(),IF(D$8="",NA(),IF(N(D$8)=0,NA(),IF(Inputs!$C$17="Rebased to 100",$D857/D$8*100,$D857)))))</f>
        <v/>
      </c>
      <c r="K857" s="54">
        <f>IF($B857=0,NA(),IF($E857="",NA(),IF(E$8="",NA(),IF(N(E$8)=0,NA(),IF(Inputs!$C$17="Rebased to 100",$E857/E$8*100,$E857)))))</f>
        <v/>
      </c>
      <c r="L857" s="54">
        <f>IF($B857=0,NA(),IF($F857="",NA(),IF(F$8="",NA(),IF(N(F$8)=0,NA(),IF(Inputs!$C$17="Rebased to 100",$F857/F$8*100,$F857)))))</f>
        <v/>
      </c>
      <c r="M857" s="54">
        <f>IF($B857=0,NA(),IF($G857="",NA(),IF(G$8="",NA(),IF(N(G$8)=0,NA(),IF(Inputs!$C$17="Rebased to 100",$G857/G$8*100,$G857)))))</f>
        <v/>
      </c>
      <c r="N857" s="54">
        <f>IF($B857=0,NA(),IF(Inputs!$C$18&lt;&gt;"Yes",NA(),IF(COUNT(I857,J857,K857,L857,M857)=0,NA(),MIN(I857,J857,K857,L857,M857))))</f>
        <v/>
      </c>
      <c r="O857" s="54">
        <f>IF($B857=0,NA(),IF(Inputs!$B$24&lt;&gt;"Yes",NA(),Inputs!$D$24*Inputs!$C$35))</f>
        <v/>
      </c>
      <c r="P857" s="54">
        <f>IF($B857=0,NA(),IF(Inputs!$B$25&lt;&gt;"Yes",NA(),Inputs!$D$25*Inputs!$C$35))</f>
        <v/>
      </c>
      <c r="Q857" s="54">
        <f>IF($B857=0,NA(),IF(Inputs!$B$26&lt;&gt;"Yes",NA(),Inputs!$D$26*Inputs!$C$35))</f>
        <v/>
      </c>
      <c r="R857" s="54">
        <f>IF($B857=0,NA(),IF(Inputs!$B$27&lt;&gt;"Yes",NA(),Inputs!$D$27*Inputs!$C$35))</f>
        <v/>
      </c>
      <c r="S857" s="54">
        <f>IF($B857=0,NA(),IF(Inputs!$B$28&lt;&gt;"Yes",NA(),Inputs!$D$28*Inputs!$C$35))</f>
        <v/>
      </c>
      <c r="T857" s="54">
        <f>IF($B857=0,NA(),IF(Inputs!$B$29&lt;&gt;"Yes",NA(),Inputs!$D$29*Inputs!$C$35))</f>
        <v/>
      </c>
      <c r="AD857">
        <f>IF($B857=0,0,IF(Inputs!$B$6="",0,COUNTIFS(Data!$A$10:$A$3209,"&gt;="&amp;$A857,Data!$A$10:$A$3209,"&lt;"&amp;$A857+1)))</f>
        <v/>
      </c>
      <c r="AE857">
        <f>IF($B857=0,0,IF(Inputs!$B$7="",0,COUNTIFS(Data!$E$10:$E$3209,"&gt;="&amp;$A857,Data!$E$10:$E$3209,"&lt;"&amp;$A857+1)))</f>
        <v/>
      </c>
      <c r="AF857">
        <f>IF($B857=0,0,IF(Inputs!$B$8="",0,COUNTIFS(Data!$I$10:$I$3209,"&gt;="&amp;$A857,Data!$I$10:$I$3209,"&lt;"&amp;$A857+1)))</f>
        <v/>
      </c>
      <c r="AG857">
        <f>IF($B857=0,0,IF(Inputs!$B$9="",0,COUNTIFS(Data!$M$10:$M$3209,"&gt;="&amp;$A857,Data!$M$10:$M$3209,"&lt;"&amp;$A857+1)))</f>
        <v/>
      </c>
      <c r="AH857">
        <f>IF($B857=0,0,IF(Inputs!$B$10="",0,COUNTIFS(Data!$Q$10:$Q$3209,"&gt;="&amp;$A857,Data!$Q$10:$Q$3209,"&lt;"&amp;$A857+1)))</f>
        <v/>
      </c>
    </row>
    <row r="858">
      <c r="A858" s="55">
        <f>MIN(Inputs!$C$15,$A857+IF(WEEKDAY($A857,2)=5,3,1))</f>
        <v/>
      </c>
      <c r="B858">
        <f>IF($A858&gt;$A857,1,0)</f>
        <v/>
      </c>
      <c r="C858" s="56">
        <f>IF($B858=0,"",IF(Inputs!$B$6="","",IF($AD858=0,C857,SUMIFS(Data!$B$10:$B$3209,Data!$A$10:$A$3209,"&gt;="&amp;$A858,Data!$A$10:$A$3209,"&lt;"&amp;$A858+1)/$AD858)))</f>
        <v/>
      </c>
      <c r="D858" s="56">
        <f>IF($B858=0,"",IF(Inputs!$B$7="","",IF($AE858=0,D857,SUMIFS(Data!$F$10:$F$3209,Data!$E$10:$E$3209,"&gt;="&amp;$A858,Data!$E$10:$E$3209,"&lt;"&amp;$A858+1)/$AE858)))</f>
        <v/>
      </c>
      <c r="E858" s="56">
        <f>IF($B858=0,"",IF(Inputs!$B$8="","",IF($AF858=0,E857,SUMIFS(Data!$J$10:$J$3209,Data!$I$10:$I$3209,"&gt;="&amp;$A858,Data!$I$10:$I$3209,"&lt;"&amp;$A858+1)/$AF858)))</f>
        <v/>
      </c>
      <c r="F858" s="56">
        <f>IF($B858=0,"",IF(Inputs!$B$9="","",IF($AG858=0,F857,SUMIFS(Data!$N$10:$N$3209,Data!$M$10:$M$3209,"&gt;="&amp;$A858,Data!$M$10:$M$3209,"&lt;"&amp;$A858+1)/$AG858)))</f>
        <v/>
      </c>
      <c r="G858" s="56">
        <f>IF($B858=0,"",IF(Inputs!$B$10="","",IF($AH858=0,G857,SUMIFS(Data!$R$10:$R$3209,Data!$Q$10:$Q$3209,"&gt;="&amp;$A858,Data!$Q$10:$Q$3209,"&lt;"&amp;$A858+1)/$AH858)))</f>
        <v/>
      </c>
      <c r="I858" s="54">
        <f>IF($B858=0,NA(),IF($C858="",NA(),IF(C$8="",NA(),IF(N(C$8)=0,NA(),IF(Inputs!$C$17="Rebased to 100",$C858/C$8*100,$C858)))))</f>
        <v/>
      </c>
      <c r="J858" s="54">
        <f>IF($B858=0,NA(),IF($D858="",NA(),IF(D$8="",NA(),IF(N(D$8)=0,NA(),IF(Inputs!$C$17="Rebased to 100",$D858/D$8*100,$D858)))))</f>
        <v/>
      </c>
      <c r="K858" s="54">
        <f>IF($B858=0,NA(),IF($E858="",NA(),IF(E$8="",NA(),IF(N(E$8)=0,NA(),IF(Inputs!$C$17="Rebased to 100",$E858/E$8*100,$E858)))))</f>
        <v/>
      </c>
      <c r="L858" s="54">
        <f>IF($B858=0,NA(),IF($F858="",NA(),IF(F$8="",NA(),IF(N(F$8)=0,NA(),IF(Inputs!$C$17="Rebased to 100",$F858/F$8*100,$F858)))))</f>
        <v/>
      </c>
      <c r="M858" s="54">
        <f>IF($B858=0,NA(),IF($G858="",NA(),IF(G$8="",NA(),IF(N(G$8)=0,NA(),IF(Inputs!$C$17="Rebased to 100",$G858/G$8*100,$G858)))))</f>
        <v/>
      </c>
      <c r="N858" s="54">
        <f>IF($B858=0,NA(),IF(Inputs!$C$18&lt;&gt;"Yes",NA(),IF(COUNT(I858,J858,K858,L858,M858)=0,NA(),MIN(I858,J858,K858,L858,M858))))</f>
        <v/>
      </c>
      <c r="O858" s="54">
        <f>IF($B858=0,NA(),IF(Inputs!$B$24&lt;&gt;"Yes",NA(),Inputs!$D$24*Inputs!$C$35))</f>
        <v/>
      </c>
      <c r="P858" s="54">
        <f>IF($B858=0,NA(),IF(Inputs!$B$25&lt;&gt;"Yes",NA(),Inputs!$D$25*Inputs!$C$35))</f>
        <v/>
      </c>
      <c r="Q858" s="54">
        <f>IF($B858=0,NA(),IF(Inputs!$B$26&lt;&gt;"Yes",NA(),Inputs!$D$26*Inputs!$C$35))</f>
        <v/>
      </c>
      <c r="R858" s="54">
        <f>IF($B858=0,NA(),IF(Inputs!$B$27&lt;&gt;"Yes",NA(),Inputs!$D$27*Inputs!$C$35))</f>
        <v/>
      </c>
      <c r="S858" s="54">
        <f>IF($B858=0,NA(),IF(Inputs!$B$28&lt;&gt;"Yes",NA(),Inputs!$D$28*Inputs!$C$35))</f>
        <v/>
      </c>
      <c r="T858" s="54">
        <f>IF($B858=0,NA(),IF(Inputs!$B$29&lt;&gt;"Yes",NA(),Inputs!$D$29*Inputs!$C$35))</f>
        <v/>
      </c>
      <c r="AD858">
        <f>IF($B858=0,0,IF(Inputs!$B$6="",0,COUNTIFS(Data!$A$10:$A$3209,"&gt;="&amp;$A858,Data!$A$10:$A$3209,"&lt;"&amp;$A858+1)))</f>
        <v/>
      </c>
      <c r="AE858">
        <f>IF($B858=0,0,IF(Inputs!$B$7="",0,COUNTIFS(Data!$E$10:$E$3209,"&gt;="&amp;$A858,Data!$E$10:$E$3209,"&lt;"&amp;$A858+1)))</f>
        <v/>
      </c>
      <c r="AF858">
        <f>IF($B858=0,0,IF(Inputs!$B$8="",0,COUNTIFS(Data!$I$10:$I$3209,"&gt;="&amp;$A858,Data!$I$10:$I$3209,"&lt;"&amp;$A858+1)))</f>
        <v/>
      </c>
      <c r="AG858">
        <f>IF($B858=0,0,IF(Inputs!$B$9="",0,COUNTIFS(Data!$M$10:$M$3209,"&gt;="&amp;$A858,Data!$M$10:$M$3209,"&lt;"&amp;$A858+1)))</f>
        <v/>
      </c>
      <c r="AH858">
        <f>IF($B858=0,0,IF(Inputs!$B$10="",0,COUNTIFS(Data!$Q$10:$Q$3209,"&gt;="&amp;$A858,Data!$Q$10:$Q$3209,"&lt;"&amp;$A858+1)))</f>
        <v/>
      </c>
    </row>
    <row r="859">
      <c r="A859" s="55">
        <f>MIN(Inputs!$C$15,$A858+IF(WEEKDAY($A858,2)=5,3,1))</f>
        <v/>
      </c>
      <c r="B859">
        <f>IF($A859&gt;$A858,1,0)</f>
        <v/>
      </c>
      <c r="C859" s="56">
        <f>IF($B859=0,"",IF(Inputs!$B$6="","",IF($AD859=0,C858,SUMIFS(Data!$B$10:$B$3209,Data!$A$10:$A$3209,"&gt;="&amp;$A859,Data!$A$10:$A$3209,"&lt;"&amp;$A859+1)/$AD859)))</f>
        <v/>
      </c>
      <c r="D859" s="56">
        <f>IF($B859=0,"",IF(Inputs!$B$7="","",IF($AE859=0,D858,SUMIFS(Data!$F$10:$F$3209,Data!$E$10:$E$3209,"&gt;="&amp;$A859,Data!$E$10:$E$3209,"&lt;"&amp;$A859+1)/$AE859)))</f>
        <v/>
      </c>
      <c r="E859" s="56">
        <f>IF($B859=0,"",IF(Inputs!$B$8="","",IF($AF859=0,E858,SUMIFS(Data!$J$10:$J$3209,Data!$I$10:$I$3209,"&gt;="&amp;$A859,Data!$I$10:$I$3209,"&lt;"&amp;$A859+1)/$AF859)))</f>
        <v/>
      </c>
      <c r="F859" s="56">
        <f>IF($B859=0,"",IF(Inputs!$B$9="","",IF($AG859=0,F858,SUMIFS(Data!$N$10:$N$3209,Data!$M$10:$M$3209,"&gt;="&amp;$A859,Data!$M$10:$M$3209,"&lt;"&amp;$A859+1)/$AG859)))</f>
        <v/>
      </c>
      <c r="G859" s="56">
        <f>IF($B859=0,"",IF(Inputs!$B$10="","",IF($AH859=0,G858,SUMIFS(Data!$R$10:$R$3209,Data!$Q$10:$Q$3209,"&gt;="&amp;$A859,Data!$Q$10:$Q$3209,"&lt;"&amp;$A859+1)/$AH859)))</f>
        <v/>
      </c>
      <c r="I859" s="54">
        <f>IF($B859=0,NA(),IF($C859="",NA(),IF(C$8="",NA(),IF(N(C$8)=0,NA(),IF(Inputs!$C$17="Rebased to 100",$C859/C$8*100,$C859)))))</f>
        <v/>
      </c>
      <c r="J859" s="54">
        <f>IF($B859=0,NA(),IF($D859="",NA(),IF(D$8="",NA(),IF(N(D$8)=0,NA(),IF(Inputs!$C$17="Rebased to 100",$D859/D$8*100,$D859)))))</f>
        <v/>
      </c>
      <c r="K859" s="54">
        <f>IF($B859=0,NA(),IF($E859="",NA(),IF(E$8="",NA(),IF(N(E$8)=0,NA(),IF(Inputs!$C$17="Rebased to 100",$E859/E$8*100,$E859)))))</f>
        <v/>
      </c>
      <c r="L859" s="54">
        <f>IF($B859=0,NA(),IF($F859="",NA(),IF(F$8="",NA(),IF(N(F$8)=0,NA(),IF(Inputs!$C$17="Rebased to 100",$F859/F$8*100,$F859)))))</f>
        <v/>
      </c>
      <c r="M859" s="54">
        <f>IF($B859=0,NA(),IF($G859="",NA(),IF(G$8="",NA(),IF(N(G$8)=0,NA(),IF(Inputs!$C$17="Rebased to 100",$G859/G$8*100,$G859)))))</f>
        <v/>
      </c>
      <c r="N859" s="54">
        <f>IF($B859=0,NA(),IF(Inputs!$C$18&lt;&gt;"Yes",NA(),IF(COUNT(I859,J859,K859,L859,M859)=0,NA(),MIN(I859,J859,K859,L859,M859))))</f>
        <v/>
      </c>
      <c r="O859" s="54">
        <f>IF($B859=0,NA(),IF(Inputs!$B$24&lt;&gt;"Yes",NA(),Inputs!$D$24*Inputs!$C$35))</f>
        <v/>
      </c>
      <c r="P859" s="54">
        <f>IF($B859=0,NA(),IF(Inputs!$B$25&lt;&gt;"Yes",NA(),Inputs!$D$25*Inputs!$C$35))</f>
        <v/>
      </c>
      <c r="Q859" s="54">
        <f>IF($B859=0,NA(),IF(Inputs!$B$26&lt;&gt;"Yes",NA(),Inputs!$D$26*Inputs!$C$35))</f>
        <v/>
      </c>
      <c r="R859" s="54">
        <f>IF($B859=0,NA(),IF(Inputs!$B$27&lt;&gt;"Yes",NA(),Inputs!$D$27*Inputs!$C$35))</f>
        <v/>
      </c>
      <c r="S859" s="54">
        <f>IF($B859=0,NA(),IF(Inputs!$B$28&lt;&gt;"Yes",NA(),Inputs!$D$28*Inputs!$C$35))</f>
        <v/>
      </c>
      <c r="T859" s="54">
        <f>IF($B859=0,NA(),IF(Inputs!$B$29&lt;&gt;"Yes",NA(),Inputs!$D$29*Inputs!$C$35))</f>
        <v/>
      </c>
      <c r="AD859">
        <f>IF($B859=0,0,IF(Inputs!$B$6="",0,COUNTIFS(Data!$A$10:$A$3209,"&gt;="&amp;$A859,Data!$A$10:$A$3209,"&lt;"&amp;$A859+1)))</f>
        <v/>
      </c>
      <c r="AE859">
        <f>IF($B859=0,0,IF(Inputs!$B$7="",0,COUNTIFS(Data!$E$10:$E$3209,"&gt;="&amp;$A859,Data!$E$10:$E$3209,"&lt;"&amp;$A859+1)))</f>
        <v/>
      </c>
      <c r="AF859">
        <f>IF($B859=0,0,IF(Inputs!$B$8="",0,COUNTIFS(Data!$I$10:$I$3209,"&gt;="&amp;$A859,Data!$I$10:$I$3209,"&lt;"&amp;$A859+1)))</f>
        <v/>
      </c>
      <c r="AG859">
        <f>IF($B859=0,0,IF(Inputs!$B$9="",0,COUNTIFS(Data!$M$10:$M$3209,"&gt;="&amp;$A859,Data!$M$10:$M$3209,"&lt;"&amp;$A859+1)))</f>
        <v/>
      </c>
      <c r="AH859">
        <f>IF($B859=0,0,IF(Inputs!$B$10="",0,COUNTIFS(Data!$Q$10:$Q$3209,"&gt;="&amp;$A859,Data!$Q$10:$Q$3209,"&lt;"&amp;$A859+1)))</f>
        <v/>
      </c>
    </row>
    <row r="860">
      <c r="A860" s="55">
        <f>MIN(Inputs!$C$15,$A859+IF(WEEKDAY($A859,2)=5,3,1))</f>
        <v/>
      </c>
      <c r="B860">
        <f>IF($A860&gt;$A859,1,0)</f>
        <v/>
      </c>
      <c r="C860" s="56">
        <f>IF($B860=0,"",IF(Inputs!$B$6="","",IF($AD860=0,C859,SUMIFS(Data!$B$10:$B$3209,Data!$A$10:$A$3209,"&gt;="&amp;$A860,Data!$A$10:$A$3209,"&lt;"&amp;$A860+1)/$AD860)))</f>
        <v/>
      </c>
      <c r="D860" s="56">
        <f>IF($B860=0,"",IF(Inputs!$B$7="","",IF($AE860=0,D859,SUMIFS(Data!$F$10:$F$3209,Data!$E$10:$E$3209,"&gt;="&amp;$A860,Data!$E$10:$E$3209,"&lt;"&amp;$A860+1)/$AE860)))</f>
        <v/>
      </c>
      <c r="E860" s="56">
        <f>IF($B860=0,"",IF(Inputs!$B$8="","",IF($AF860=0,E859,SUMIFS(Data!$J$10:$J$3209,Data!$I$10:$I$3209,"&gt;="&amp;$A860,Data!$I$10:$I$3209,"&lt;"&amp;$A860+1)/$AF860)))</f>
        <v/>
      </c>
      <c r="F860" s="56">
        <f>IF($B860=0,"",IF(Inputs!$B$9="","",IF($AG860=0,F859,SUMIFS(Data!$N$10:$N$3209,Data!$M$10:$M$3209,"&gt;="&amp;$A860,Data!$M$10:$M$3209,"&lt;"&amp;$A860+1)/$AG860)))</f>
        <v/>
      </c>
      <c r="G860" s="56">
        <f>IF($B860=0,"",IF(Inputs!$B$10="","",IF($AH860=0,G859,SUMIFS(Data!$R$10:$R$3209,Data!$Q$10:$Q$3209,"&gt;="&amp;$A860,Data!$Q$10:$Q$3209,"&lt;"&amp;$A860+1)/$AH860)))</f>
        <v/>
      </c>
      <c r="I860" s="54">
        <f>IF($B860=0,NA(),IF($C860="",NA(),IF(C$8="",NA(),IF(N(C$8)=0,NA(),IF(Inputs!$C$17="Rebased to 100",$C860/C$8*100,$C860)))))</f>
        <v/>
      </c>
      <c r="J860" s="54">
        <f>IF($B860=0,NA(),IF($D860="",NA(),IF(D$8="",NA(),IF(N(D$8)=0,NA(),IF(Inputs!$C$17="Rebased to 100",$D860/D$8*100,$D860)))))</f>
        <v/>
      </c>
      <c r="K860" s="54">
        <f>IF($B860=0,NA(),IF($E860="",NA(),IF(E$8="",NA(),IF(N(E$8)=0,NA(),IF(Inputs!$C$17="Rebased to 100",$E860/E$8*100,$E860)))))</f>
        <v/>
      </c>
      <c r="L860" s="54">
        <f>IF($B860=0,NA(),IF($F860="",NA(),IF(F$8="",NA(),IF(N(F$8)=0,NA(),IF(Inputs!$C$17="Rebased to 100",$F860/F$8*100,$F860)))))</f>
        <v/>
      </c>
      <c r="M860" s="54">
        <f>IF($B860=0,NA(),IF($G860="",NA(),IF(G$8="",NA(),IF(N(G$8)=0,NA(),IF(Inputs!$C$17="Rebased to 100",$G860/G$8*100,$G860)))))</f>
        <v/>
      </c>
      <c r="N860" s="54">
        <f>IF($B860=0,NA(),IF(Inputs!$C$18&lt;&gt;"Yes",NA(),IF(COUNT(I860,J860,K860,L860,M860)=0,NA(),MIN(I860,J860,K860,L860,M860))))</f>
        <v/>
      </c>
      <c r="O860" s="54">
        <f>IF($B860=0,NA(),IF(Inputs!$B$24&lt;&gt;"Yes",NA(),Inputs!$D$24*Inputs!$C$35))</f>
        <v/>
      </c>
      <c r="P860" s="54">
        <f>IF($B860=0,NA(),IF(Inputs!$B$25&lt;&gt;"Yes",NA(),Inputs!$D$25*Inputs!$C$35))</f>
        <v/>
      </c>
      <c r="Q860" s="54">
        <f>IF($B860=0,NA(),IF(Inputs!$B$26&lt;&gt;"Yes",NA(),Inputs!$D$26*Inputs!$C$35))</f>
        <v/>
      </c>
      <c r="R860" s="54">
        <f>IF($B860=0,NA(),IF(Inputs!$B$27&lt;&gt;"Yes",NA(),Inputs!$D$27*Inputs!$C$35))</f>
        <v/>
      </c>
      <c r="S860" s="54">
        <f>IF($B860=0,NA(),IF(Inputs!$B$28&lt;&gt;"Yes",NA(),Inputs!$D$28*Inputs!$C$35))</f>
        <v/>
      </c>
      <c r="T860" s="54">
        <f>IF($B860=0,NA(),IF(Inputs!$B$29&lt;&gt;"Yes",NA(),Inputs!$D$29*Inputs!$C$35))</f>
        <v/>
      </c>
      <c r="AD860">
        <f>IF($B860=0,0,IF(Inputs!$B$6="",0,COUNTIFS(Data!$A$10:$A$3209,"&gt;="&amp;$A860,Data!$A$10:$A$3209,"&lt;"&amp;$A860+1)))</f>
        <v/>
      </c>
      <c r="AE860">
        <f>IF($B860=0,0,IF(Inputs!$B$7="",0,COUNTIFS(Data!$E$10:$E$3209,"&gt;="&amp;$A860,Data!$E$10:$E$3209,"&lt;"&amp;$A860+1)))</f>
        <v/>
      </c>
      <c r="AF860">
        <f>IF($B860=0,0,IF(Inputs!$B$8="",0,COUNTIFS(Data!$I$10:$I$3209,"&gt;="&amp;$A860,Data!$I$10:$I$3209,"&lt;"&amp;$A860+1)))</f>
        <v/>
      </c>
      <c r="AG860">
        <f>IF($B860=0,0,IF(Inputs!$B$9="",0,COUNTIFS(Data!$M$10:$M$3209,"&gt;="&amp;$A860,Data!$M$10:$M$3209,"&lt;"&amp;$A860+1)))</f>
        <v/>
      </c>
      <c r="AH860">
        <f>IF($B860=0,0,IF(Inputs!$B$10="",0,COUNTIFS(Data!$Q$10:$Q$3209,"&gt;="&amp;$A860,Data!$Q$10:$Q$3209,"&lt;"&amp;$A860+1)))</f>
        <v/>
      </c>
    </row>
    <row r="861">
      <c r="A861" s="55">
        <f>MIN(Inputs!$C$15,$A860+IF(WEEKDAY($A860,2)=5,3,1))</f>
        <v/>
      </c>
      <c r="B861">
        <f>IF($A861&gt;$A860,1,0)</f>
        <v/>
      </c>
      <c r="C861" s="56">
        <f>IF($B861=0,"",IF(Inputs!$B$6="","",IF($AD861=0,C860,SUMIFS(Data!$B$10:$B$3209,Data!$A$10:$A$3209,"&gt;="&amp;$A861,Data!$A$10:$A$3209,"&lt;"&amp;$A861+1)/$AD861)))</f>
        <v/>
      </c>
      <c r="D861" s="56">
        <f>IF($B861=0,"",IF(Inputs!$B$7="","",IF($AE861=0,D860,SUMIFS(Data!$F$10:$F$3209,Data!$E$10:$E$3209,"&gt;="&amp;$A861,Data!$E$10:$E$3209,"&lt;"&amp;$A861+1)/$AE861)))</f>
        <v/>
      </c>
      <c r="E861" s="56">
        <f>IF($B861=0,"",IF(Inputs!$B$8="","",IF($AF861=0,E860,SUMIFS(Data!$J$10:$J$3209,Data!$I$10:$I$3209,"&gt;="&amp;$A861,Data!$I$10:$I$3209,"&lt;"&amp;$A861+1)/$AF861)))</f>
        <v/>
      </c>
      <c r="F861" s="56">
        <f>IF($B861=0,"",IF(Inputs!$B$9="","",IF($AG861=0,F860,SUMIFS(Data!$N$10:$N$3209,Data!$M$10:$M$3209,"&gt;="&amp;$A861,Data!$M$10:$M$3209,"&lt;"&amp;$A861+1)/$AG861)))</f>
        <v/>
      </c>
      <c r="G861" s="56">
        <f>IF($B861=0,"",IF(Inputs!$B$10="","",IF($AH861=0,G860,SUMIFS(Data!$R$10:$R$3209,Data!$Q$10:$Q$3209,"&gt;="&amp;$A861,Data!$Q$10:$Q$3209,"&lt;"&amp;$A861+1)/$AH861)))</f>
        <v/>
      </c>
      <c r="I861" s="54">
        <f>IF($B861=0,NA(),IF($C861="",NA(),IF(C$8="",NA(),IF(N(C$8)=0,NA(),IF(Inputs!$C$17="Rebased to 100",$C861/C$8*100,$C861)))))</f>
        <v/>
      </c>
      <c r="J861" s="54">
        <f>IF($B861=0,NA(),IF($D861="",NA(),IF(D$8="",NA(),IF(N(D$8)=0,NA(),IF(Inputs!$C$17="Rebased to 100",$D861/D$8*100,$D861)))))</f>
        <v/>
      </c>
      <c r="K861" s="54">
        <f>IF($B861=0,NA(),IF($E861="",NA(),IF(E$8="",NA(),IF(N(E$8)=0,NA(),IF(Inputs!$C$17="Rebased to 100",$E861/E$8*100,$E861)))))</f>
        <v/>
      </c>
      <c r="L861" s="54">
        <f>IF($B861=0,NA(),IF($F861="",NA(),IF(F$8="",NA(),IF(N(F$8)=0,NA(),IF(Inputs!$C$17="Rebased to 100",$F861/F$8*100,$F861)))))</f>
        <v/>
      </c>
      <c r="M861" s="54">
        <f>IF($B861=0,NA(),IF($G861="",NA(),IF(G$8="",NA(),IF(N(G$8)=0,NA(),IF(Inputs!$C$17="Rebased to 100",$G861/G$8*100,$G861)))))</f>
        <v/>
      </c>
      <c r="N861" s="54">
        <f>IF($B861=0,NA(),IF(Inputs!$C$18&lt;&gt;"Yes",NA(),IF(COUNT(I861,J861,K861,L861,M861)=0,NA(),MIN(I861,J861,K861,L861,M861))))</f>
        <v/>
      </c>
      <c r="O861" s="54">
        <f>IF($B861=0,NA(),IF(Inputs!$B$24&lt;&gt;"Yes",NA(),Inputs!$D$24*Inputs!$C$35))</f>
        <v/>
      </c>
      <c r="P861" s="54">
        <f>IF($B861=0,NA(),IF(Inputs!$B$25&lt;&gt;"Yes",NA(),Inputs!$D$25*Inputs!$C$35))</f>
        <v/>
      </c>
      <c r="Q861" s="54">
        <f>IF($B861=0,NA(),IF(Inputs!$B$26&lt;&gt;"Yes",NA(),Inputs!$D$26*Inputs!$C$35))</f>
        <v/>
      </c>
      <c r="R861" s="54">
        <f>IF($B861=0,NA(),IF(Inputs!$B$27&lt;&gt;"Yes",NA(),Inputs!$D$27*Inputs!$C$35))</f>
        <v/>
      </c>
      <c r="S861" s="54">
        <f>IF($B861=0,NA(),IF(Inputs!$B$28&lt;&gt;"Yes",NA(),Inputs!$D$28*Inputs!$C$35))</f>
        <v/>
      </c>
      <c r="T861" s="54">
        <f>IF($B861=0,NA(),IF(Inputs!$B$29&lt;&gt;"Yes",NA(),Inputs!$D$29*Inputs!$C$35))</f>
        <v/>
      </c>
      <c r="AD861">
        <f>IF($B861=0,0,IF(Inputs!$B$6="",0,COUNTIFS(Data!$A$10:$A$3209,"&gt;="&amp;$A861,Data!$A$10:$A$3209,"&lt;"&amp;$A861+1)))</f>
        <v/>
      </c>
      <c r="AE861">
        <f>IF($B861=0,0,IF(Inputs!$B$7="",0,COUNTIFS(Data!$E$10:$E$3209,"&gt;="&amp;$A861,Data!$E$10:$E$3209,"&lt;"&amp;$A861+1)))</f>
        <v/>
      </c>
      <c r="AF861">
        <f>IF($B861=0,0,IF(Inputs!$B$8="",0,COUNTIFS(Data!$I$10:$I$3209,"&gt;="&amp;$A861,Data!$I$10:$I$3209,"&lt;"&amp;$A861+1)))</f>
        <v/>
      </c>
      <c r="AG861">
        <f>IF($B861=0,0,IF(Inputs!$B$9="",0,COUNTIFS(Data!$M$10:$M$3209,"&gt;="&amp;$A861,Data!$M$10:$M$3209,"&lt;"&amp;$A861+1)))</f>
        <v/>
      </c>
      <c r="AH861">
        <f>IF($B861=0,0,IF(Inputs!$B$10="",0,COUNTIFS(Data!$Q$10:$Q$3209,"&gt;="&amp;$A861,Data!$Q$10:$Q$3209,"&lt;"&amp;$A861+1)))</f>
        <v/>
      </c>
    </row>
    <row r="862">
      <c r="A862" s="55">
        <f>MIN(Inputs!$C$15,$A861+IF(WEEKDAY($A861,2)=5,3,1))</f>
        <v/>
      </c>
      <c r="B862">
        <f>IF($A862&gt;$A861,1,0)</f>
        <v/>
      </c>
      <c r="C862" s="56">
        <f>IF($B862=0,"",IF(Inputs!$B$6="","",IF($AD862=0,C861,SUMIFS(Data!$B$10:$B$3209,Data!$A$10:$A$3209,"&gt;="&amp;$A862,Data!$A$10:$A$3209,"&lt;"&amp;$A862+1)/$AD862)))</f>
        <v/>
      </c>
      <c r="D862" s="56">
        <f>IF($B862=0,"",IF(Inputs!$B$7="","",IF($AE862=0,D861,SUMIFS(Data!$F$10:$F$3209,Data!$E$10:$E$3209,"&gt;="&amp;$A862,Data!$E$10:$E$3209,"&lt;"&amp;$A862+1)/$AE862)))</f>
        <v/>
      </c>
      <c r="E862" s="56">
        <f>IF($B862=0,"",IF(Inputs!$B$8="","",IF($AF862=0,E861,SUMIFS(Data!$J$10:$J$3209,Data!$I$10:$I$3209,"&gt;="&amp;$A862,Data!$I$10:$I$3209,"&lt;"&amp;$A862+1)/$AF862)))</f>
        <v/>
      </c>
      <c r="F862" s="56">
        <f>IF($B862=0,"",IF(Inputs!$B$9="","",IF($AG862=0,F861,SUMIFS(Data!$N$10:$N$3209,Data!$M$10:$M$3209,"&gt;="&amp;$A862,Data!$M$10:$M$3209,"&lt;"&amp;$A862+1)/$AG862)))</f>
        <v/>
      </c>
      <c r="G862" s="56">
        <f>IF($B862=0,"",IF(Inputs!$B$10="","",IF($AH862=0,G861,SUMIFS(Data!$R$10:$R$3209,Data!$Q$10:$Q$3209,"&gt;="&amp;$A862,Data!$Q$10:$Q$3209,"&lt;"&amp;$A862+1)/$AH862)))</f>
        <v/>
      </c>
      <c r="I862" s="54">
        <f>IF($B862=0,NA(),IF($C862="",NA(),IF(C$8="",NA(),IF(N(C$8)=0,NA(),IF(Inputs!$C$17="Rebased to 100",$C862/C$8*100,$C862)))))</f>
        <v/>
      </c>
      <c r="J862" s="54">
        <f>IF($B862=0,NA(),IF($D862="",NA(),IF(D$8="",NA(),IF(N(D$8)=0,NA(),IF(Inputs!$C$17="Rebased to 100",$D862/D$8*100,$D862)))))</f>
        <v/>
      </c>
      <c r="K862" s="54">
        <f>IF($B862=0,NA(),IF($E862="",NA(),IF(E$8="",NA(),IF(N(E$8)=0,NA(),IF(Inputs!$C$17="Rebased to 100",$E862/E$8*100,$E862)))))</f>
        <v/>
      </c>
      <c r="L862" s="54">
        <f>IF($B862=0,NA(),IF($F862="",NA(),IF(F$8="",NA(),IF(N(F$8)=0,NA(),IF(Inputs!$C$17="Rebased to 100",$F862/F$8*100,$F862)))))</f>
        <v/>
      </c>
      <c r="M862" s="54">
        <f>IF($B862=0,NA(),IF($G862="",NA(),IF(G$8="",NA(),IF(N(G$8)=0,NA(),IF(Inputs!$C$17="Rebased to 100",$G862/G$8*100,$G862)))))</f>
        <v/>
      </c>
      <c r="N862" s="54">
        <f>IF($B862=0,NA(),IF(Inputs!$C$18&lt;&gt;"Yes",NA(),IF(COUNT(I862,J862,K862,L862,M862)=0,NA(),MIN(I862,J862,K862,L862,M862))))</f>
        <v/>
      </c>
      <c r="O862" s="54">
        <f>IF($B862=0,NA(),IF(Inputs!$B$24&lt;&gt;"Yes",NA(),Inputs!$D$24*Inputs!$C$35))</f>
        <v/>
      </c>
      <c r="P862" s="54">
        <f>IF($B862=0,NA(),IF(Inputs!$B$25&lt;&gt;"Yes",NA(),Inputs!$D$25*Inputs!$C$35))</f>
        <v/>
      </c>
      <c r="Q862" s="54">
        <f>IF($B862=0,NA(),IF(Inputs!$B$26&lt;&gt;"Yes",NA(),Inputs!$D$26*Inputs!$C$35))</f>
        <v/>
      </c>
      <c r="R862" s="54">
        <f>IF($B862=0,NA(),IF(Inputs!$B$27&lt;&gt;"Yes",NA(),Inputs!$D$27*Inputs!$C$35))</f>
        <v/>
      </c>
      <c r="S862" s="54">
        <f>IF($B862=0,NA(),IF(Inputs!$B$28&lt;&gt;"Yes",NA(),Inputs!$D$28*Inputs!$C$35))</f>
        <v/>
      </c>
      <c r="T862" s="54">
        <f>IF($B862=0,NA(),IF(Inputs!$B$29&lt;&gt;"Yes",NA(),Inputs!$D$29*Inputs!$C$35))</f>
        <v/>
      </c>
      <c r="AD862">
        <f>IF($B862=0,0,IF(Inputs!$B$6="",0,COUNTIFS(Data!$A$10:$A$3209,"&gt;="&amp;$A862,Data!$A$10:$A$3209,"&lt;"&amp;$A862+1)))</f>
        <v/>
      </c>
      <c r="AE862">
        <f>IF($B862=0,0,IF(Inputs!$B$7="",0,COUNTIFS(Data!$E$10:$E$3209,"&gt;="&amp;$A862,Data!$E$10:$E$3209,"&lt;"&amp;$A862+1)))</f>
        <v/>
      </c>
      <c r="AF862">
        <f>IF($B862=0,0,IF(Inputs!$B$8="",0,COUNTIFS(Data!$I$10:$I$3209,"&gt;="&amp;$A862,Data!$I$10:$I$3209,"&lt;"&amp;$A862+1)))</f>
        <v/>
      </c>
      <c r="AG862">
        <f>IF($B862=0,0,IF(Inputs!$B$9="",0,COUNTIFS(Data!$M$10:$M$3209,"&gt;="&amp;$A862,Data!$M$10:$M$3209,"&lt;"&amp;$A862+1)))</f>
        <v/>
      </c>
      <c r="AH862">
        <f>IF($B862=0,0,IF(Inputs!$B$10="",0,COUNTIFS(Data!$Q$10:$Q$3209,"&gt;="&amp;$A862,Data!$Q$10:$Q$3209,"&lt;"&amp;$A862+1)))</f>
        <v/>
      </c>
    </row>
    <row r="863">
      <c r="A863" s="55">
        <f>MIN(Inputs!$C$15,$A862+IF(WEEKDAY($A862,2)=5,3,1))</f>
        <v/>
      </c>
      <c r="B863">
        <f>IF($A863&gt;$A862,1,0)</f>
        <v/>
      </c>
      <c r="C863" s="56">
        <f>IF($B863=0,"",IF(Inputs!$B$6="","",IF($AD863=0,C862,SUMIFS(Data!$B$10:$B$3209,Data!$A$10:$A$3209,"&gt;="&amp;$A863,Data!$A$10:$A$3209,"&lt;"&amp;$A863+1)/$AD863)))</f>
        <v/>
      </c>
      <c r="D863" s="56">
        <f>IF($B863=0,"",IF(Inputs!$B$7="","",IF($AE863=0,D862,SUMIFS(Data!$F$10:$F$3209,Data!$E$10:$E$3209,"&gt;="&amp;$A863,Data!$E$10:$E$3209,"&lt;"&amp;$A863+1)/$AE863)))</f>
        <v/>
      </c>
      <c r="E863" s="56">
        <f>IF($B863=0,"",IF(Inputs!$B$8="","",IF($AF863=0,E862,SUMIFS(Data!$J$10:$J$3209,Data!$I$10:$I$3209,"&gt;="&amp;$A863,Data!$I$10:$I$3209,"&lt;"&amp;$A863+1)/$AF863)))</f>
        <v/>
      </c>
      <c r="F863" s="56">
        <f>IF($B863=0,"",IF(Inputs!$B$9="","",IF($AG863=0,F862,SUMIFS(Data!$N$10:$N$3209,Data!$M$10:$M$3209,"&gt;="&amp;$A863,Data!$M$10:$M$3209,"&lt;"&amp;$A863+1)/$AG863)))</f>
        <v/>
      </c>
      <c r="G863" s="56">
        <f>IF($B863=0,"",IF(Inputs!$B$10="","",IF($AH863=0,G862,SUMIFS(Data!$R$10:$R$3209,Data!$Q$10:$Q$3209,"&gt;="&amp;$A863,Data!$Q$10:$Q$3209,"&lt;"&amp;$A863+1)/$AH863)))</f>
        <v/>
      </c>
      <c r="I863" s="54">
        <f>IF($B863=0,NA(),IF($C863="",NA(),IF(C$8="",NA(),IF(N(C$8)=0,NA(),IF(Inputs!$C$17="Rebased to 100",$C863/C$8*100,$C863)))))</f>
        <v/>
      </c>
      <c r="J863" s="54">
        <f>IF($B863=0,NA(),IF($D863="",NA(),IF(D$8="",NA(),IF(N(D$8)=0,NA(),IF(Inputs!$C$17="Rebased to 100",$D863/D$8*100,$D863)))))</f>
        <v/>
      </c>
      <c r="K863" s="54">
        <f>IF($B863=0,NA(),IF($E863="",NA(),IF(E$8="",NA(),IF(N(E$8)=0,NA(),IF(Inputs!$C$17="Rebased to 100",$E863/E$8*100,$E863)))))</f>
        <v/>
      </c>
      <c r="L863" s="54">
        <f>IF($B863=0,NA(),IF($F863="",NA(),IF(F$8="",NA(),IF(N(F$8)=0,NA(),IF(Inputs!$C$17="Rebased to 100",$F863/F$8*100,$F863)))))</f>
        <v/>
      </c>
      <c r="M863" s="54">
        <f>IF($B863=0,NA(),IF($G863="",NA(),IF(G$8="",NA(),IF(N(G$8)=0,NA(),IF(Inputs!$C$17="Rebased to 100",$G863/G$8*100,$G863)))))</f>
        <v/>
      </c>
      <c r="N863" s="54">
        <f>IF($B863=0,NA(),IF(Inputs!$C$18&lt;&gt;"Yes",NA(),IF(COUNT(I863,J863,K863,L863,M863)=0,NA(),MIN(I863,J863,K863,L863,M863))))</f>
        <v/>
      </c>
      <c r="O863" s="54">
        <f>IF($B863=0,NA(),IF(Inputs!$B$24&lt;&gt;"Yes",NA(),Inputs!$D$24*Inputs!$C$35))</f>
        <v/>
      </c>
      <c r="P863" s="54">
        <f>IF($B863=0,NA(),IF(Inputs!$B$25&lt;&gt;"Yes",NA(),Inputs!$D$25*Inputs!$C$35))</f>
        <v/>
      </c>
      <c r="Q863" s="54">
        <f>IF($B863=0,NA(),IF(Inputs!$B$26&lt;&gt;"Yes",NA(),Inputs!$D$26*Inputs!$C$35))</f>
        <v/>
      </c>
      <c r="R863" s="54">
        <f>IF($B863=0,NA(),IF(Inputs!$B$27&lt;&gt;"Yes",NA(),Inputs!$D$27*Inputs!$C$35))</f>
        <v/>
      </c>
      <c r="S863" s="54">
        <f>IF($B863=0,NA(),IF(Inputs!$B$28&lt;&gt;"Yes",NA(),Inputs!$D$28*Inputs!$C$35))</f>
        <v/>
      </c>
      <c r="T863" s="54">
        <f>IF($B863=0,NA(),IF(Inputs!$B$29&lt;&gt;"Yes",NA(),Inputs!$D$29*Inputs!$C$35))</f>
        <v/>
      </c>
      <c r="AD863">
        <f>IF($B863=0,0,IF(Inputs!$B$6="",0,COUNTIFS(Data!$A$10:$A$3209,"&gt;="&amp;$A863,Data!$A$10:$A$3209,"&lt;"&amp;$A863+1)))</f>
        <v/>
      </c>
      <c r="AE863">
        <f>IF($B863=0,0,IF(Inputs!$B$7="",0,COUNTIFS(Data!$E$10:$E$3209,"&gt;="&amp;$A863,Data!$E$10:$E$3209,"&lt;"&amp;$A863+1)))</f>
        <v/>
      </c>
      <c r="AF863">
        <f>IF($B863=0,0,IF(Inputs!$B$8="",0,COUNTIFS(Data!$I$10:$I$3209,"&gt;="&amp;$A863,Data!$I$10:$I$3209,"&lt;"&amp;$A863+1)))</f>
        <v/>
      </c>
      <c r="AG863">
        <f>IF($B863=0,0,IF(Inputs!$B$9="",0,COUNTIFS(Data!$M$10:$M$3209,"&gt;="&amp;$A863,Data!$M$10:$M$3209,"&lt;"&amp;$A863+1)))</f>
        <v/>
      </c>
      <c r="AH863">
        <f>IF($B863=0,0,IF(Inputs!$B$10="",0,COUNTIFS(Data!$Q$10:$Q$3209,"&gt;="&amp;$A863,Data!$Q$10:$Q$3209,"&lt;"&amp;$A863+1)))</f>
        <v/>
      </c>
    </row>
    <row r="864">
      <c r="A864" s="55">
        <f>MIN(Inputs!$C$15,$A863+IF(WEEKDAY($A863,2)=5,3,1))</f>
        <v/>
      </c>
      <c r="B864">
        <f>IF($A864&gt;$A863,1,0)</f>
        <v/>
      </c>
      <c r="C864" s="56">
        <f>IF($B864=0,"",IF(Inputs!$B$6="","",IF($AD864=0,C863,SUMIFS(Data!$B$10:$B$3209,Data!$A$10:$A$3209,"&gt;="&amp;$A864,Data!$A$10:$A$3209,"&lt;"&amp;$A864+1)/$AD864)))</f>
        <v/>
      </c>
      <c r="D864" s="56">
        <f>IF($B864=0,"",IF(Inputs!$B$7="","",IF($AE864=0,D863,SUMIFS(Data!$F$10:$F$3209,Data!$E$10:$E$3209,"&gt;="&amp;$A864,Data!$E$10:$E$3209,"&lt;"&amp;$A864+1)/$AE864)))</f>
        <v/>
      </c>
      <c r="E864" s="56">
        <f>IF($B864=0,"",IF(Inputs!$B$8="","",IF($AF864=0,E863,SUMIFS(Data!$J$10:$J$3209,Data!$I$10:$I$3209,"&gt;="&amp;$A864,Data!$I$10:$I$3209,"&lt;"&amp;$A864+1)/$AF864)))</f>
        <v/>
      </c>
      <c r="F864" s="56">
        <f>IF($B864=0,"",IF(Inputs!$B$9="","",IF($AG864=0,F863,SUMIFS(Data!$N$10:$N$3209,Data!$M$10:$M$3209,"&gt;="&amp;$A864,Data!$M$10:$M$3209,"&lt;"&amp;$A864+1)/$AG864)))</f>
        <v/>
      </c>
      <c r="G864" s="56">
        <f>IF($B864=0,"",IF(Inputs!$B$10="","",IF($AH864=0,G863,SUMIFS(Data!$R$10:$R$3209,Data!$Q$10:$Q$3209,"&gt;="&amp;$A864,Data!$Q$10:$Q$3209,"&lt;"&amp;$A864+1)/$AH864)))</f>
        <v/>
      </c>
      <c r="I864" s="54">
        <f>IF($B864=0,NA(),IF($C864="",NA(),IF(C$8="",NA(),IF(N(C$8)=0,NA(),IF(Inputs!$C$17="Rebased to 100",$C864/C$8*100,$C864)))))</f>
        <v/>
      </c>
      <c r="J864" s="54">
        <f>IF($B864=0,NA(),IF($D864="",NA(),IF(D$8="",NA(),IF(N(D$8)=0,NA(),IF(Inputs!$C$17="Rebased to 100",$D864/D$8*100,$D864)))))</f>
        <v/>
      </c>
      <c r="K864" s="54">
        <f>IF($B864=0,NA(),IF($E864="",NA(),IF(E$8="",NA(),IF(N(E$8)=0,NA(),IF(Inputs!$C$17="Rebased to 100",$E864/E$8*100,$E864)))))</f>
        <v/>
      </c>
      <c r="L864" s="54">
        <f>IF($B864=0,NA(),IF($F864="",NA(),IF(F$8="",NA(),IF(N(F$8)=0,NA(),IF(Inputs!$C$17="Rebased to 100",$F864/F$8*100,$F864)))))</f>
        <v/>
      </c>
      <c r="M864" s="54">
        <f>IF($B864=0,NA(),IF($G864="",NA(),IF(G$8="",NA(),IF(N(G$8)=0,NA(),IF(Inputs!$C$17="Rebased to 100",$G864/G$8*100,$G864)))))</f>
        <v/>
      </c>
      <c r="N864" s="54">
        <f>IF($B864=0,NA(),IF(Inputs!$C$18&lt;&gt;"Yes",NA(),IF(COUNT(I864,J864,K864,L864,M864)=0,NA(),MIN(I864,J864,K864,L864,M864))))</f>
        <v/>
      </c>
      <c r="O864" s="54">
        <f>IF($B864=0,NA(),IF(Inputs!$B$24&lt;&gt;"Yes",NA(),Inputs!$D$24*Inputs!$C$35))</f>
        <v/>
      </c>
      <c r="P864" s="54">
        <f>IF($B864=0,NA(),IF(Inputs!$B$25&lt;&gt;"Yes",NA(),Inputs!$D$25*Inputs!$C$35))</f>
        <v/>
      </c>
      <c r="Q864" s="54">
        <f>IF($B864=0,NA(),IF(Inputs!$B$26&lt;&gt;"Yes",NA(),Inputs!$D$26*Inputs!$C$35))</f>
        <v/>
      </c>
      <c r="R864" s="54">
        <f>IF($B864=0,NA(),IF(Inputs!$B$27&lt;&gt;"Yes",NA(),Inputs!$D$27*Inputs!$C$35))</f>
        <v/>
      </c>
      <c r="S864" s="54">
        <f>IF($B864=0,NA(),IF(Inputs!$B$28&lt;&gt;"Yes",NA(),Inputs!$D$28*Inputs!$C$35))</f>
        <v/>
      </c>
      <c r="T864" s="54">
        <f>IF($B864=0,NA(),IF(Inputs!$B$29&lt;&gt;"Yes",NA(),Inputs!$D$29*Inputs!$C$35))</f>
        <v/>
      </c>
      <c r="AD864">
        <f>IF($B864=0,0,IF(Inputs!$B$6="",0,COUNTIFS(Data!$A$10:$A$3209,"&gt;="&amp;$A864,Data!$A$10:$A$3209,"&lt;"&amp;$A864+1)))</f>
        <v/>
      </c>
      <c r="AE864">
        <f>IF($B864=0,0,IF(Inputs!$B$7="",0,COUNTIFS(Data!$E$10:$E$3209,"&gt;="&amp;$A864,Data!$E$10:$E$3209,"&lt;"&amp;$A864+1)))</f>
        <v/>
      </c>
      <c r="AF864">
        <f>IF($B864=0,0,IF(Inputs!$B$8="",0,COUNTIFS(Data!$I$10:$I$3209,"&gt;="&amp;$A864,Data!$I$10:$I$3209,"&lt;"&amp;$A864+1)))</f>
        <v/>
      </c>
      <c r="AG864">
        <f>IF($B864=0,0,IF(Inputs!$B$9="",0,COUNTIFS(Data!$M$10:$M$3209,"&gt;="&amp;$A864,Data!$M$10:$M$3209,"&lt;"&amp;$A864+1)))</f>
        <v/>
      </c>
      <c r="AH864">
        <f>IF($B864=0,0,IF(Inputs!$B$10="",0,COUNTIFS(Data!$Q$10:$Q$3209,"&gt;="&amp;$A864,Data!$Q$10:$Q$3209,"&lt;"&amp;$A864+1)))</f>
        <v/>
      </c>
    </row>
    <row r="865">
      <c r="A865" s="55">
        <f>MIN(Inputs!$C$15,$A864+IF(WEEKDAY($A864,2)=5,3,1))</f>
        <v/>
      </c>
      <c r="B865">
        <f>IF($A865&gt;$A864,1,0)</f>
        <v/>
      </c>
      <c r="C865" s="56">
        <f>IF($B865=0,"",IF(Inputs!$B$6="","",IF($AD865=0,C864,SUMIFS(Data!$B$10:$B$3209,Data!$A$10:$A$3209,"&gt;="&amp;$A865,Data!$A$10:$A$3209,"&lt;"&amp;$A865+1)/$AD865)))</f>
        <v/>
      </c>
      <c r="D865" s="56">
        <f>IF($B865=0,"",IF(Inputs!$B$7="","",IF($AE865=0,D864,SUMIFS(Data!$F$10:$F$3209,Data!$E$10:$E$3209,"&gt;="&amp;$A865,Data!$E$10:$E$3209,"&lt;"&amp;$A865+1)/$AE865)))</f>
        <v/>
      </c>
      <c r="E865" s="56">
        <f>IF($B865=0,"",IF(Inputs!$B$8="","",IF($AF865=0,E864,SUMIFS(Data!$J$10:$J$3209,Data!$I$10:$I$3209,"&gt;="&amp;$A865,Data!$I$10:$I$3209,"&lt;"&amp;$A865+1)/$AF865)))</f>
        <v/>
      </c>
      <c r="F865" s="56">
        <f>IF($B865=0,"",IF(Inputs!$B$9="","",IF($AG865=0,F864,SUMIFS(Data!$N$10:$N$3209,Data!$M$10:$M$3209,"&gt;="&amp;$A865,Data!$M$10:$M$3209,"&lt;"&amp;$A865+1)/$AG865)))</f>
        <v/>
      </c>
      <c r="G865" s="56">
        <f>IF($B865=0,"",IF(Inputs!$B$10="","",IF($AH865=0,G864,SUMIFS(Data!$R$10:$R$3209,Data!$Q$10:$Q$3209,"&gt;="&amp;$A865,Data!$Q$10:$Q$3209,"&lt;"&amp;$A865+1)/$AH865)))</f>
        <v/>
      </c>
      <c r="I865" s="54">
        <f>IF($B865=0,NA(),IF($C865="",NA(),IF(C$8="",NA(),IF(N(C$8)=0,NA(),IF(Inputs!$C$17="Rebased to 100",$C865/C$8*100,$C865)))))</f>
        <v/>
      </c>
      <c r="J865" s="54">
        <f>IF($B865=0,NA(),IF($D865="",NA(),IF(D$8="",NA(),IF(N(D$8)=0,NA(),IF(Inputs!$C$17="Rebased to 100",$D865/D$8*100,$D865)))))</f>
        <v/>
      </c>
      <c r="K865" s="54">
        <f>IF($B865=0,NA(),IF($E865="",NA(),IF(E$8="",NA(),IF(N(E$8)=0,NA(),IF(Inputs!$C$17="Rebased to 100",$E865/E$8*100,$E865)))))</f>
        <v/>
      </c>
      <c r="L865" s="54">
        <f>IF($B865=0,NA(),IF($F865="",NA(),IF(F$8="",NA(),IF(N(F$8)=0,NA(),IF(Inputs!$C$17="Rebased to 100",$F865/F$8*100,$F865)))))</f>
        <v/>
      </c>
      <c r="M865" s="54">
        <f>IF($B865=0,NA(),IF($G865="",NA(),IF(G$8="",NA(),IF(N(G$8)=0,NA(),IF(Inputs!$C$17="Rebased to 100",$G865/G$8*100,$G865)))))</f>
        <v/>
      </c>
      <c r="N865" s="54">
        <f>IF($B865=0,NA(),IF(Inputs!$C$18&lt;&gt;"Yes",NA(),IF(COUNT(I865,J865,K865,L865,M865)=0,NA(),MIN(I865,J865,K865,L865,M865))))</f>
        <v/>
      </c>
      <c r="O865" s="54">
        <f>IF($B865=0,NA(),IF(Inputs!$B$24&lt;&gt;"Yes",NA(),Inputs!$D$24*Inputs!$C$35))</f>
        <v/>
      </c>
      <c r="P865" s="54">
        <f>IF($B865=0,NA(),IF(Inputs!$B$25&lt;&gt;"Yes",NA(),Inputs!$D$25*Inputs!$C$35))</f>
        <v/>
      </c>
      <c r="Q865" s="54">
        <f>IF($B865=0,NA(),IF(Inputs!$B$26&lt;&gt;"Yes",NA(),Inputs!$D$26*Inputs!$C$35))</f>
        <v/>
      </c>
      <c r="R865" s="54">
        <f>IF($B865=0,NA(),IF(Inputs!$B$27&lt;&gt;"Yes",NA(),Inputs!$D$27*Inputs!$C$35))</f>
        <v/>
      </c>
      <c r="S865" s="54">
        <f>IF($B865=0,NA(),IF(Inputs!$B$28&lt;&gt;"Yes",NA(),Inputs!$D$28*Inputs!$C$35))</f>
        <v/>
      </c>
      <c r="T865" s="54">
        <f>IF($B865=0,NA(),IF(Inputs!$B$29&lt;&gt;"Yes",NA(),Inputs!$D$29*Inputs!$C$35))</f>
        <v/>
      </c>
      <c r="AD865">
        <f>IF($B865=0,0,IF(Inputs!$B$6="",0,COUNTIFS(Data!$A$10:$A$3209,"&gt;="&amp;$A865,Data!$A$10:$A$3209,"&lt;"&amp;$A865+1)))</f>
        <v/>
      </c>
      <c r="AE865">
        <f>IF($B865=0,0,IF(Inputs!$B$7="",0,COUNTIFS(Data!$E$10:$E$3209,"&gt;="&amp;$A865,Data!$E$10:$E$3209,"&lt;"&amp;$A865+1)))</f>
        <v/>
      </c>
      <c r="AF865">
        <f>IF($B865=0,0,IF(Inputs!$B$8="",0,COUNTIFS(Data!$I$10:$I$3209,"&gt;="&amp;$A865,Data!$I$10:$I$3209,"&lt;"&amp;$A865+1)))</f>
        <v/>
      </c>
      <c r="AG865">
        <f>IF($B865=0,0,IF(Inputs!$B$9="",0,COUNTIFS(Data!$M$10:$M$3209,"&gt;="&amp;$A865,Data!$M$10:$M$3209,"&lt;"&amp;$A865+1)))</f>
        <v/>
      </c>
      <c r="AH865">
        <f>IF($B865=0,0,IF(Inputs!$B$10="",0,COUNTIFS(Data!$Q$10:$Q$3209,"&gt;="&amp;$A865,Data!$Q$10:$Q$3209,"&lt;"&amp;$A865+1)))</f>
        <v/>
      </c>
    </row>
    <row r="866">
      <c r="A866" s="55">
        <f>MIN(Inputs!$C$15,$A865+IF(WEEKDAY($A865,2)=5,3,1))</f>
        <v/>
      </c>
      <c r="B866">
        <f>IF($A866&gt;$A865,1,0)</f>
        <v/>
      </c>
      <c r="C866" s="56">
        <f>IF($B866=0,"",IF(Inputs!$B$6="","",IF($AD866=0,C865,SUMIFS(Data!$B$10:$B$3209,Data!$A$10:$A$3209,"&gt;="&amp;$A866,Data!$A$10:$A$3209,"&lt;"&amp;$A866+1)/$AD866)))</f>
        <v/>
      </c>
      <c r="D866" s="56">
        <f>IF($B866=0,"",IF(Inputs!$B$7="","",IF($AE866=0,D865,SUMIFS(Data!$F$10:$F$3209,Data!$E$10:$E$3209,"&gt;="&amp;$A866,Data!$E$10:$E$3209,"&lt;"&amp;$A866+1)/$AE866)))</f>
        <v/>
      </c>
      <c r="E866" s="56">
        <f>IF($B866=0,"",IF(Inputs!$B$8="","",IF($AF866=0,E865,SUMIFS(Data!$J$10:$J$3209,Data!$I$10:$I$3209,"&gt;="&amp;$A866,Data!$I$10:$I$3209,"&lt;"&amp;$A866+1)/$AF866)))</f>
        <v/>
      </c>
      <c r="F866" s="56">
        <f>IF($B866=0,"",IF(Inputs!$B$9="","",IF($AG866=0,F865,SUMIFS(Data!$N$10:$N$3209,Data!$M$10:$M$3209,"&gt;="&amp;$A866,Data!$M$10:$M$3209,"&lt;"&amp;$A866+1)/$AG866)))</f>
        <v/>
      </c>
      <c r="G866" s="56">
        <f>IF($B866=0,"",IF(Inputs!$B$10="","",IF($AH866=0,G865,SUMIFS(Data!$R$10:$R$3209,Data!$Q$10:$Q$3209,"&gt;="&amp;$A866,Data!$Q$10:$Q$3209,"&lt;"&amp;$A866+1)/$AH866)))</f>
        <v/>
      </c>
      <c r="I866" s="54">
        <f>IF($B866=0,NA(),IF($C866="",NA(),IF(C$8="",NA(),IF(N(C$8)=0,NA(),IF(Inputs!$C$17="Rebased to 100",$C866/C$8*100,$C866)))))</f>
        <v/>
      </c>
      <c r="J866" s="54">
        <f>IF($B866=0,NA(),IF($D866="",NA(),IF(D$8="",NA(),IF(N(D$8)=0,NA(),IF(Inputs!$C$17="Rebased to 100",$D866/D$8*100,$D866)))))</f>
        <v/>
      </c>
      <c r="K866" s="54">
        <f>IF($B866=0,NA(),IF($E866="",NA(),IF(E$8="",NA(),IF(N(E$8)=0,NA(),IF(Inputs!$C$17="Rebased to 100",$E866/E$8*100,$E866)))))</f>
        <v/>
      </c>
      <c r="L866" s="54">
        <f>IF($B866=0,NA(),IF($F866="",NA(),IF(F$8="",NA(),IF(N(F$8)=0,NA(),IF(Inputs!$C$17="Rebased to 100",$F866/F$8*100,$F866)))))</f>
        <v/>
      </c>
      <c r="M866" s="54">
        <f>IF($B866=0,NA(),IF($G866="",NA(),IF(G$8="",NA(),IF(N(G$8)=0,NA(),IF(Inputs!$C$17="Rebased to 100",$G866/G$8*100,$G866)))))</f>
        <v/>
      </c>
      <c r="N866" s="54">
        <f>IF($B866=0,NA(),IF(Inputs!$C$18&lt;&gt;"Yes",NA(),IF(COUNT(I866,J866,K866,L866,M866)=0,NA(),MIN(I866,J866,K866,L866,M866))))</f>
        <v/>
      </c>
      <c r="O866" s="54">
        <f>IF($B866=0,NA(),IF(Inputs!$B$24&lt;&gt;"Yes",NA(),Inputs!$D$24*Inputs!$C$35))</f>
        <v/>
      </c>
      <c r="P866" s="54">
        <f>IF($B866=0,NA(),IF(Inputs!$B$25&lt;&gt;"Yes",NA(),Inputs!$D$25*Inputs!$C$35))</f>
        <v/>
      </c>
      <c r="Q866" s="54">
        <f>IF($B866=0,NA(),IF(Inputs!$B$26&lt;&gt;"Yes",NA(),Inputs!$D$26*Inputs!$C$35))</f>
        <v/>
      </c>
      <c r="R866" s="54">
        <f>IF($B866=0,NA(),IF(Inputs!$B$27&lt;&gt;"Yes",NA(),Inputs!$D$27*Inputs!$C$35))</f>
        <v/>
      </c>
      <c r="S866" s="54">
        <f>IF($B866=0,NA(),IF(Inputs!$B$28&lt;&gt;"Yes",NA(),Inputs!$D$28*Inputs!$C$35))</f>
        <v/>
      </c>
      <c r="T866" s="54">
        <f>IF($B866=0,NA(),IF(Inputs!$B$29&lt;&gt;"Yes",NA(),Inputs!$D$29*Inputs!$C$35))</f>
        <v/>
      </c>
      <c r="AD866">
        <f>IF($B866=0,0,IF(Inputs!$B$6="",0,COUNTIFS(Data!$A$10:$A$3209,"&gt;="&amp;$A866,Data!$A$10:$A$3209,"&lt;"&amp;$A866+1)))</f>
        <v/>
      </c>
      <c r="AE866">
        <f>IF($B866=0,0,IF(Inputs!$B$7="",0,COUNTIFS(Data!$E$10:$E$3209,"&gt;="&amp;$A866,Data!$E$10:$E$3209,"&lt;"&amp;$A866+1)))</f>
        <v/>
      </c>
      <c r="AF866">
        <f>IF($B866=0,0,IF(Inputs!$B$8="",0,COUNTIFS(Data!$I$10:$I$3209,"&gt;="&amp;$A866,Data!$I$10:$I$3209,"&lt;"&amp;$A866+1)))</f>
        <v/>
      </c>
      <c r="AG866">
        <f>IF($B866=0,0,IF(Inputs!$B$9="",0,COUNTIFS(Data!$M$10:$M$3209,"&gt;="&amp;$A866,Data!$M$10:$M$3209,"&lt;"&amp;$A866+1)))</f>
        <v/>
      </c>
      <c r="AH866">
        <f>IF($B866=0,0,IF(Inputs!$B$10="",0,COUNTIFS(Data!$Q$10:$Q$3209,"&gt;="&amp;$A866,Data!$Q$10:$Q$3209,"&lt;"&amp;$A866+1)))</f>
        <v/>
      </c>
    </row>
    <row r="867">
      <c r="A867" s="55">
        <f>MIN(Inputs!$C$15,$A866+IF(WEEKDAY($A866,2)=5,3,1))</f>
        <v/>
      </c>
      <c r="B867">
        <f>IF($A867&gt;$A866,1,0)</f>
        <v/>
      </c>
      <c r="C867" s="56">
        <f>IF($B867=0,"",IF(Inputs!$B$6="","",IF($AD867=0,C866,SUMIFS(Data!$B$10:$B$3209,Data!$A$10:$A$3209,"&gt;="&amp;$A867,Data!$A$10:$A$3209,"&lt;"&amp;$A867+1)/$AD867)))</f>
        <v/>
      </c>
      <c r="D867" s="56">
        <f>IF($B867=0,"",IF(Inputs!$B$7="","",IF($AE867=0,D866,SUMIFS(Data!$F$10:$F$3209,Data!$E$10:$E$3209,"&gt;="&amp;$A867,Data!$E$10:$E$3209,"&lt;"&amp;$A867+1)/$AE867)))</f>
        <v/>
      </c>
      <c r="E867" s="56">
        <f>IF($B867=0,"",IF(Inputs!$B$8="","",IF($AF867=0,E866,SUMIFS(Data!$J$10:$J$3209,Data!$I$10:$I$3209,"&gt;="&amp;$A867,Data!$I$10:$I$3209,"&lt;"&amp;$A867+1)/$AF867)))</f>
        <v/>
      </c>
      <c r="F867" s="56">
        <f>IF($B867=0,"",IF(Inputs!$B$9="","",IF($AG867=0,F866,SUMIFS(Data!$N$10:$N$3209,Data!$M$10:$M$3209,"&gt;="&amp;$A867,Data!$M$10:$M$3209,"&lt;"&amp;$A867+1)/$AG867)))</f>
        <v/>
      </c>
      <c r="G867" s="56">
        <f>IF($B867=0,"",IF(Inputs!$B$10="","",IF($AH867=0,G866,SUMIFS(Data!$R$10:$R$3209,Data!$Q$10:$Q$3209,"&gt;="&amp;$A867,Data!$Q$10:$Q$3209,"&lt;"&amp;$A867+1)/$AH867)))</f>
        <v/>
      </c>
      <c r="I867" s="54">
        <f>IF($B867=0,NA(),IF($C867="",NA(),IF(C$8="",NA(),IF(N(C$8)=0,NA(),IF(Inputs!$C$17="Rebased to 100",$C867/C$8*100,$C867)))))</f>
        <v/>
      </c>
      <c r="J867" s="54">
        <f>IF($B867=0,NA(),IF($D867="",NA(),IF(D$8="",NA(),IF(N(D$8)=0,NA(),IF(Inputs!$C$17="Rebased to 100",$D867/D$8*100,$D867)))))</f>
        <v/>
      </c>
      <c r="K867" s="54">
        <f>IF($B867=0,NA(),IF($E867="",NA(),IF(E$8="",NA(),IF(N(E$8)=0,NA(),IF(Inputs!$C$17="Rebased to 100",$E867/E$8*100,$E867)))))</f>
        <v/>
      </c>
      <c r="L867" s="54">
        <f>IF($B867=0,NA(),IF($F867="",NA(),IF(F$8="",NA(),IF(N(F$8)=0,NA(),IF(Inputs!$C$17="Rebased to 100",$F867/F$8*100,$F867)))))</f>
        <v/>
      </c>
      <c r="M867" s="54">
        <f>IF($B867=0,NA(),IF($G867="",NA(),IF(G$8="",NA(),IF(N(G$8)=0,NA(),IF(Inputs!$C$17="Rebased to 100",$G867/G$8*100,$G867)))))</f>
        <v/>
      </c>
      <c r="N867" s="54">
        <f>IF($B867=0,NA(),IF(Inputs!$C$18&lt;&gt;"Yes",NA(),IF(COUNT(I867,J867,K867,L867,M867)=0,NA(),MIN(I867,J867,K867,L867,M867))))</f>
        <v/>
      </c>
      <c r="O867" s="54">
        <f>IF($B867=0,NA(),IF(Inputs!$B$24&lt;&gt;"Yes",NA(),Inputs!$D$24*Inputs!$C$35))</f>
        <v/>
      </c>
      <c r="P867" s="54">
        <f>IF($B867=0,NA(),IF(Inputs!$B$25&lt;&gt;"Yes",NA(),Inputs!$D$25*Inputs!$C$35))</f>
        <v/>
      </c>
      <c r="Q867" s="54">
        <f>IF($B867=0,NA(),IF(Inputs!$B$26&lt;&gt;"Yes",NA(),Inputs!$D$26*Inputs!$C$35))</f>
        <v/>
      </c>
      <c r="R867" s="54">
        <f>IF($B867=0,NA(),IF(Inputs!$B$27&lt;&gt;"Yes",NA(),Inputs!$D$27*Inputs!$C$35))</f>
        <v/>
      </c>
      <c r="S867" s="54">
        <f>IF($B867=0,NA(),IF(Inputs!$B$28&lt;&gt;"Yes",NA(),Inputs!$D$28*Inputs!$C$35))</f>
        <v/>
      </c>
      <c r="T867" s="54">
        <f>IF($B867=0,NA(),IF(Inputs!$B$29&lt;&gt;"Yes",NA(),Inputs!$D$29*Inputs!$C$35))</f>
        <v/>
      </c>
      <c r="AD867">
        <f>IF($B867=0,0,IF(Inputs!$B$6="",0,COUNTIFS(Data!$A$10:$A$3209,"&gt;="&amp;$A867,Data!$A$10:$A$3209,"&lt;"&amp;$A867+1)))</f>
        <v/>
      </c>
      <c r="AE867">
        <f>IF($B867=0,0,IF(Inputs!$B$7="",0,COUNTIFS(Data!$E$10:$E$3209,"&gt;="&amp;$A867,Data!$E$10:$E$3209,"&lt;"&amp;$A867+1)))</f>
        <v/>
      </c>
      <c r="AF867">
        <f>IF($B867=0,0,IF(Inputs!$B$8="",0,COUNTIFS(Data!$I$10:$I$3209,"&gt;="&amp;$A867,Data!$I$10:$I$3209,"&lt;"&amp;$A867+1)))</f>
        <v/>
      </c>
      <c r="AG867">
        <f>IF($B867=0,0,IF(Inputs!$B$9="",0,COUNTIFS(Data!$M$10:$M$3209,"&gt;="&amp;$A867,Data!$M$10:$M$3209,"&lt;"&amp;$A867+1)))</f>
        <v/>
      </c>
      <c r="AH867">
        <f>IF($B867=0,0,IF(Inputs!$B$10="",0,COUNTIFS(Data!$Q$10:$Q$3209,"&gt;="&amp;$A867,Data!$Q$10:$Q$3209,"&lt;"&amp;$A867+1)))</f>
        <v/>
      </c>
    </row>
    <row r="868">
      <c r="A868" s="55">
        <f>MIN(Inputs!$C$15,$A867+IF(WEEKDAY($A867,2)=5,3,1))</f>
        <v/>
      </c>
      <c r="B868">
        <f>IF($A868&gt;$A867,1,0)</f>
        <v/>
      </c>
      <c r="C868" s="56">
        <f>IF($B868=0,"",IF(Inputs!$B$6="","",IF($AD868=0,C867,SUMIFS(Data!$B$10:$B$3209,Data!$A$10:$A$3209,"&gt;="&amp;$A868,Data!$A$10:$A$3209,"&lt;"&amp;$A868+1)/$AD868)))</f>
        <v/>
      </c>
      <c r="D868" s="56">
        <f>IF($B868=0,"",IF(Inputs!$B$7="","",IF($AE868=0,D867,SUMIFS(Data!$F$10:$F$3209,Data!$E$10:$E$3209,"&gt;="&amp;$A868,Data!$E$10:$E$3209,"&lt;"&amp;$A868+1)/$AE868)))</f>
        <v/>
      </c>
      <c r="E868" s="56">
        <f>IF($B868=0,"",IF(Inputs!$B$8="","",IF($AF868=0,E867,SUMIFS(Data!$J$10:$J$3209,Data!$I$10:$I$3209,"&gt;="&amp;$A868,Data!$I$10:$I$3209,"&lt;"&amp;$A868+1)/$AF868)))</f>
        <v/>
      </c>
      <c r="F868" s="56">
        <f>IF($B868=0,"",IF(Inputs!$B$9="","",IF($AG868=0,F867,SUMIFS(Data!$N$10:$N$3209,Data!$M$10:$M$3209,"&gt;="&amp;$A868,Data!$M$10:$M$3209,"&lt;"&amp;$A868+1)/$AG868)))</f>
        <v/>
      </c>
      <c r="G868" s="56">
        <f>IF($B868=0,"",IF(Inputs!$B$10="","",IF($AH868=0,G867,SUMIFS(Data!$R$10:$R$3209,Data!$Q$10:$Q$3209,"&gt;="&amp;$A868,Data!$Q$10:$Q$3209,"&lt;"&amp;$A868+1)/$AH868)))</f>
        <v/>
      </c>
      <c r="I868" s="54">
        <f>IF($B868=0,NA(),IF($C868="",NA(),IF(C$8="",NA(),IF(N(C$8)=0,NA(),IF(Inputs!$C$17="Rebased to 100",$C868/C$8*100,$C868)))))</f>
        <v/>
      </c>
      <c r="J868" s="54">
        <f>IF($B868=0,NA(),IF($D868="",NA(),IF(D$8="",NA(),IF(N(D$8)=0,NA(),IF(Inputs!$C$17="Rebased to 100",$D868/D$8*100,$D868)))))</f>
        <v/>
      </c>
      <c r="K868" s="54">
        <f>IF($B868=0,NA(),IF($E868="",NA(),IF(E$8="",NA(),IF(N(E$8)=0,NA(),IF(Inputs!$C$17="Rebased to 100",$E868/E$8*100,$E868)))))</f>
        <v/>
      </c>
      <c r="L868" s="54">
        <f>IF($B868=0,NA(),IF($F868="",NA(),IF(F$8="",NA(),IF(N(F$8)=0,NA(),IF(Inputs!$C$17="Rebased to 100",$F868/F$8*100,$F868)))))</f>
        <v/>
      </c>
      <c r="M868" s="54">
        <f>IF($B868=0,NA(),IF($G868="",NA(),IF(G$8="",NA(),IF(N(G$8)=0,NA(),IF(Inputs!$C$17="Rebased to 100",$G868/G$8*100,$G868)))))</f>
        <v/>
      </c>
      <c r="N868" s="54">
        <f>IF($B868=0,NA(),IF(Inputs!$C$18&lt;&gt;"Yes",NA(),IF(COUNT(I868,J868,K868,L868,M868)=0,NA(),MIN(I868,J868,K868,L868,M868))))</f>
        <v/>
      </c>
      <c r="O868" s="54">
        <f>IF($B868=0,NA(),IF(Inputs!$B$24&lt;&gt;"Yes",NA(),Inputs!$D$24*Inputs!$C$35))</f>
        <v/>
      </c>
      <c r="P868" s="54">
        <f>IF($B868=0,NA(),IF(Inputs!$B$25&lt;&gt;"Yes",NA(),Inputs!$D$25*Inputs!$C$35))</f>
        <v/>
      </c>
      <c r="Q868" s="54">
        <f>IF($B868=0,NA(),IF(Inputs!$B$26&lt;&gt;"Yes",NA(),Inputs!$D$26*Inputs!$C$35))</f>
        <v/>
      </c>
      <c r="R868" s="54">
        <f>IF($B868=0,NA(),IF(Inputs!$B$27&lt;&gt;"Yes",NA(),Inputs!$D$27*Inputs!$C$35))</f>
        <v/>
      </c>
      <c r="S868" s="54">
        <f>IF($B868=0,NA(),IF(Inputs!$B$28&lt;&gt;"Yes",NA(),Inputs!$D$28*Inputs!$C$35))</f>
        <v/>
      </c>
      <c r="T868" s="54">
        <f>IF($B868=0,NA(),IF(Inputs!$B$29&lt;&gt;"Yes",NA(),Inputs!$D$29*Inputs!$C$35))</f>
        <v/>
      </c>
      <c r="AD868">
        <f>IF($B868=0,0,IF(Inputs!$B$6="",0,COUNTIFS(Data!$A$10:$A$3209,"&gt;="&amp;$A868,Data!$A$10:$A$3209,"&lt;"&amp;$A868+1)))</f>
        <v/>
      </c>
      <c r="AE868">
        <f>IF($B868=0,0,IF(Inputs!$B$7="",0,COUNTIFS(Data!$E$10:$E$3209,"&gt;="&amp;$A868,Data!$E$10:$E$3209,"&lt;"&amp;$A868+1)))</f>
        <v/>
      </c>
      <c r="AF868">
        <f>IF($B868=0,0,IF(Inputs!$B$8="",0,COUNTIFS(Data!$I$10:$I$3209,"&gt;="&amp;$A868,Data!$I$10:$I$3209,"&lt;"&amp;$A868+1)))</f>
        <v/>
      </c>
      <c r="AG868">
        <f>IF($B868=0,0,IF(Inputs!$B$9="",0,COUNTIFS(Data!$M$10:$M$3209,"&gt;="&amp;$A868,Data!$M$10:$M$3209,"&lt;"&amp;$A868+1)))</f>
        <v/>
      </c>
      <c r="AH868">
        <f>IF($B868=0,0,IF(Inputs!$B$10="",0,COUNTIFS(Data!$Q$10:$Q$3209,"&gt;="&amp;$A868,Data!$Q$10:$Q$3209,"&lt;"&amp;$A868+1)))</f>
        <v/>
      </c>
    </row>
    <row r="869">
      <c r="A869" s="55">
        <f>MIN(Inputs!$C$15,$A868+IF(WEEKDAY($A868,2)=5,3,1))</f>
        <v/>
      </c>
      <c r="B869">
        <f>IF($A869&gt;$A868,1,0)</f>
        <v/>
      </c>
      <c r="C869" s="56">
        <f>IF($B869=0,"",IF(Inputs!$B$6="","",IF($AD869=0,C868,SUMIFS(Data!$B$10:$B$3209,Data!$A$10:$A$3209,"&gt;="&amp;$A869,Data!$A$10:$A$3209,"&lt;"&amp;$A869+1)/$AD869)))</f>
        <v/>
      </c>
      <c r="D869" s="56">
        <f>IF($B869=0,"",IF(Inputs!$B$7="","",IF($AE869=0,D868,SUMIFS(Data!$F$10:$F$3209,Data!$E$10:$E$3209,"&gt;="&amp;$A869,Data!$E$10:$E$3209,"&lt;"&amp;$A869+1)/$AE869)))</f>
        <v/>
      </c>
      <c r="E869" s="56">
        <f>IF($B869=0,"",IF(Inputs!$B$8="","",IF($AF869=0,E868,SUMIFS(Data!$J$10:$J$3209,Data!$I$10:$I$3209,"&gt;="&amp;$A869,Data!$I$10:$I$3209,"&lt;"&amp;$A869+1)/$AF869)))</f>
        <v/>
      </c>
      <c r="F869" s="56">
        <f>IF($B869=0,"",IF(Inputs!$B$9="","",IF($AG869=0,F868,SUMIFS(Data!$N$10:$N$3209,Data!$M$10:$M$3209,"&gt;="&amp;$A869,Data!$M$10:$M$3209,"&lt;"&amp;$A869+1)/$AG869)))</f>
        <v/>
      </c>
      <c r="G869" s="56">
        <f>IF($B869=0,"",IF(Inputs!$B$10="","",IF($AH869=0,G868,SUMIFS(Data!$R$10:$R$3209,Data!$Q$10:$Q$3209,"&gt;="&amp;$A869,Data!$Q$10:$Q$3209,"&lt;"&amp;$A869+1)/$AH869)))</f>
        <v/>
      </c>
      <c r="I869" s="54">
        <f>IF($B869=0,NA(),IF($C869="",NA(),IF(C$8="",NA(),IF(N(C$8)=0,NA(),IF(Inputs!$C$17="Rebased to 100",$C869/C$8*100,$C869)))))</f>
        <v/>
      </c>
      <c r="J869" s="54">
        <f>IF($B869=0,NA(),IF($D869="",NA(),IF(D$8="",NA(),IF(N(D$8)=0,NA(),IF(Inputs!$C$17="Rebased to 100",$D869/D$8*100,$D869)))))</f>
        <v/>
      </c>
      <c r="K869" s="54">
        <f>IF($B869=0,NA(),IF($E869="",NA(),IF(E$8="",NA(),IF(N(E$8)=0,NA(),IF(Inputs!$C$17="Rebased to 100",$E869/E$8*100,$E869)))))</f>
        <v/>
      </c>
      <c r="L869" s="54">
        <f>IF($B869=0,NA(),IF($F869="",NA(),IF(F$8="",NA(),IF(N(F$8)=0,NA(),IF(Inputs!$C$17="Rebased to 100",$F869/F$8*100,$F869)))))</f>
        <v/>
      </c>
      <c r="M869" s="54">
        <f>IF($B869=0,NA(),IF($G869="",NA(),IF(G$8="",NA(),IF(N(G$8)=0,NA(),IF(Inputs!$C$17="Rebased to 100",$G869/G$8*100,$G869)))))</f>
        <v/>
      </c>
      <c r="N869" s="54">
        <f>IF($B869=0,NA(),IF(Inputs!$C$18&lt;&gt;"Yes",NA(),IF(COUNT(I869,J869,K869,L869,M869)=0,NA(),MIN(I869,J869,K869,L869,M869))))</f>
        <v/>
      </c>
      <c r="O869" s="54">
        <f>IF($B869=0,NA(),IF(Inputs!$B$24&lt;&gt;"Yes",NA(),Inputs!$D$24*Inputs!$C$35))</f>
        <v/>
      </c>
      <c r="P869" s="54">
        <f>IF($B869=0,NA(),IF(Inputs!$B$25&lt;&gt;"Yes",NA(),Inputs!$D$25*Inputs!$C$35))</f>
        <v/>
      </c>
      <c r="Q869" s="54">
        <f>IF($B869=0,NA(),IF(Inputs!$B$26&lt;&gt;"Yes",NA(),Inputs!$D$26*Inputs!$C$35))</f>
        <v/>
      </c>
      <c r="R869" s="54">
        <f>IF($B869=0,NA(),IF(Inputs!$B$27&lt;&gt;"Yes",NA(),Inputs!$D$27*Inputs!$C$35))</f>
        <v/>
      </c>
      <c r="S869" s="54">
        <f>IF($B869=0,NA(),IF(Inputs!$B$28&lt;&gt;"Yes",NA(),Inputs!$D$28*Inputs!$C$35))</f>
        <v/>
      </c>
      <c r="T869" s="54">
        <f>IF($B869=0,NA(),IF(Inputs!$B$29&lt;&gt;"Yes",NA(),Inputs!$D$29*Inputs!$C$35))</f>
        <v/>
      </c>
      <c r="AD869">
        <f>IF($B869=0,0,IF(Inputs!$B$6="",0,COUNTIFS(Data!$A$10:$A$3209,"&gt;="&amp;$A869,Data!$A$10:$A$3209,"&lt;"&amp;$A869+1)))</f>
        <v/>
      </c>
      <c r="AE869">
        <f>IF($B869=0,0,IF(Inputs!$B$7="",0,COUNTIFS(Data!$E$10:$E$3209,"&gt;="&amp;$A869,Data!$E$10:$E$3209,"&lt;"&amp;$A869+1)))</f>
        <v/>
      </c>
      <c r="AF869">
        <f>IF($B869=0,0,IF(Inputs!$B$8="",0,COUNTIFS(Data!$I$10:$I$3209,"&gt;="&amp;$A869,Data!$I$10:$I$3209,"&lt;"&amp;$A869+1)))</f>
        <v/>
      </c>
      <c r="AG869">
        <f>IF($B869=0,0,IF(Inputs!$B$9="",0,COUNTIFS(Data!$M$10:$M$3209,"&gt;="&amp;$A869,Data!$M$10:$M$3209,"&lt;"&amp;$A869+1)))</f>
        <v/>
      </c>
      <c r="AH869">
        <f>IF($B869=0,0,IF(Inputs!$B$10="",0,COUNTIFS(Data!$Q$10:$Q$3209,"&gt;="&amp;$A869,Data!$Q$10:$Q$3209,"&lt;"&amp;$A869+1)))</f>
        <v/>
      </c>
    </row>
    <row r="870">
      <c r="A870" s="55">
        <f>MIN(Inputs!$C$15,$A869+IF(WEEKDAY($A869,2)=5,3,1))</f>
        <v/>
      </c>
      <c r="B870">
        <f>IF($A870&gt;$A869,1,0)</f>
        <v/>
      </c>
      <c r="C870" s="56">
        <f>IF($B870=0,"",IF(Inputs!$B$6="","",IF($AD870=0,C869,SUMIFS(Data!$B$10:$B$3209,Data!$A$10:$A$3209,"&gt;="&amp;$A870,Data!$A$10:$A$3209,"&lt;"&amp;$A870+1)/$AD870)))</f>
        <v/>
      </c>
      <c r="D870" s="56">
        <f>IF($B870=0,"",IF(Inputs!$B$7="","",IF($AE870=0,D869,SUMIFS(Data!$F$10:$F$3209,Data!$E$10:$E$3209,"&gt;="&amp;$A870,Data!$E$10:$E$3209,"&lt;"&amp;$A870+1)/$AE870)))</f>
        <v/>
      </c>
      <c r="E870" s="56">
        <f>IF($B870=0,"",IF(Inputs!$B$8="","",IF($AF870=0,E869,SUMIFS(Data!$J$10:$J$3209,Data!$I$10:$I$3209,"&gt;="&amp;$A870,Data!$I$10:$I$3209,"&lt;"&amp;$A870+1)/$AF870)))</f>
        <v/>
      </c>
      <c r="F870" s="56">
        <f>IF($B870=0,"",IF(Inputs!$B$9="","",IF($AG870=0,F869,SUMIFS(Data!$N$10:$N$3209,Data!$M$10:$M$3209,"&gt;="&amp;$A870,Data!$M$10:$M$3209,"&lt;"&amp;$A870+1)/$AG870)))</f>
        <v/>
      </c>
      <c r="G870" s="56">
        <f>IF($B870=0,"",IF(Inputs!$B$10="","",IF($AH870=0,G869,SUMIFS(Data!$R$10:$R$3209,Data!$Q$10:$Q$3209,"&gt;="&amp;$A870,Data!$Q$10:$Q$3209,"&lt;"&amp;$A870+1)/$AH870)))</f>
        <v/>
      </c>
      <c r="I870" s="54">
        <f>IF($B870=0,NA(),IF($C870="",NA(),IF(C$8="",NA(),IF(N(C$8)=0,NA(),IF(Inputs!$C$17="Rebased to 100",$C870/C$8*100,$C870)))))</f>
        <v/>
      </c>
      <c r="J870" s="54">
        <f>IF($B870=0,NA(),IF($D870="",NA(),IF(D$8="",NA(),IF(N(D$8)=0,NA(),IF(Inputs!$C$17="Rebased to 100",$D870/D$8*100,$D870)))))</f>
        <v/>
      </c>
      <c r="K870" s="54">
        <f>IF($B870=0,NA(),IF($E870="",NA(),IF(E$8="",NA(),IF(N(E$8)=0,NA(),IF(Inputs!$C$17="Rebased to 100",$E870/E$8*100,$E870)))))</f>
        <v/>
      </c>
      <c r="L870" s="54">
        <f>IF($B870=0,NA(),IF($F870="",NA(),IF(F$8="",NA(),IF(N(F$8)=0,NA(),IF(Inputs!$C$17="Rebased to 100",$F870/F$8*100,$F870)))))</f>
        <v/>
      </c>
      <c r="M870" s="54">
        <f>IF($B870=0,NA(),IF($G870="",NA(),IF(G$8="",NA(),IF(N(G$8)=0,NA(),IF(Inputs!$C$17="Rebased to 100",$G870/G$8*100,$G870)))))</f>
        <v/>
      </c>
      <c r="N870" s="54">
        <f>IF($B870=0,NA(),IF(Inputs!$C$18&lt;&gt;"Yes",NA(),IF(COUNT(I870,J870,K870,L870,M870)=0,NA(),MIN(I870,J870,K870,L870,M870))))</f>
        <v/>
      </c>
      <c r="O870" s="54">
        <f>IF($B870=0,NA(),IF(Inputs!$B$24&lt;&gt;"Yes",NA(),Inputs!$D$24*Inputs!$C$35))</f>
        <v/>
      </c>
      <c r="P870" s="54">
        <f>IF($B870=0,NA(),IF(Inputs!$B$25&lt;&gt;"Yes",NA(),Inputs!$D$25*Inputs!$C$35))</f>
        <v/>
      </c>
      <c r="Q870" s="54">
        <f>IF($B870=0,NA(),IF(Inputs!$B$26&lt;&gt;"Yes",NA(),Inputs!$D$26*Inputs!$C$35))</f>
        <v/>
      </c>
      <c r="R870" s="54">
        <f>IF($B870=0,NA(),IF(Inputs!$B$27&lt;&gt;"Yes",NA(),Inputs!$D$27*Inputs!$C$35))</f>
        <v/>
      </c>
      <c r="S870" s="54">
        <f>IF($B870=0,NA(),IF(Inputs!$B$28&lt;&gt;"Yes",NA(),Inputs!$D$28*Inputs!$C$35))</f>
        <v/>
      </c>
      <c r="T870" s="54">
        <f>IF($B870=0,NA(),IF(Inputs!$B$29&lt;&gt;"Yes",NA(),Inputs!$D$29*Inputs!$C$35))</f>
        <v/>
      </c>
      <c r="AD870">
        <f>IF($B870=0,0,IF(Inputs!$B$6="",0,COUNTIFS(Data!$A$10:$A$3209,"&gt;="&amp;$A870,Data!$A$10:$A$3209,"&lt;"&amp;$A870+1)))</f>
        <v/>
      </c>
      <c r="AE870">
        <f>IF($B870=0,0,IF(Inputs!$B$7="",0,COUNTIFS(Data!$E$10:$E$3209,"&gt;="&amp;$A870,Data!$E$10:$E$3209,"&lt;"&amp;$A870+1)))</f>
        <v/>
      </c>
      <c r="AF870">
        <f>IF($B870=0,0,IF(Inputs!$B$8="",0,COUNTIFS(Data!$I$10:$I$3209,"&gt;="&amp;$A870,Data!$I$10:$I$3209,"&lt;"&amp;$A870+1)))</f>
        <v/>
      </c>
      <c r="AG870">
        <f>IF($B870=0,0,IF(Inputs!$B$9="",0,COUNTIFS(Data!$M$10:$M$3209,"&gt;="&amp;$A870,Data!$M$10:$M$3209,"&lt;"&amp;$A870+1)))</f>
        <v/>
      </c>
      <c r="AH870">
        <f>IF($B870=0,0,IF(Inputs!$B$10="",0,COUNTIFS(Data!$Q$10:$Q$3209,"&gt;="&amp;$A870,Data!$Q$10:$Q$3209,"&lt;"&amp;$A870+1)))</f>
        <v/>
      </c>
    </row>
    <row r="871">
      <c r="A871" s="55">
        <f>MIN(Inputs!$C$15,$A870+IF(WEEKDAY($A870,2)=5,3,1))</f>
        <v/>
      </c>
      <c r="B871">
        <f>IF($A871&gt;$A870,1,0)</f>
        <v/>
      </c>
      <c r="C871" s="56">
        <f>IF($B871=0,"",IF(Inputs!$B$6="","",IF($AD871=0,C870,SUMIFS(Data!$B$10:$B$3209,Data!$A$10:$A$3209,"&gt;="&amp;$A871,Data!$A$10:$A$3209,"&lt;"&amp;$A871+1)/$AD871)))</f>
        <v/>
      </c>
      <c r="D871" s="56">
        <f>IF($B871=0,"",IF(Inputs!$B$7="","",IF($AE871=0,D870,SUMIFS(Data!$F$10:$F$3209,Data!$E$10:$E$3209,"&gt;="&amp;$A871,Data!$E$10:$E$3209,"&lt;"&amp;$A871+1)/$AE871)))</f>
        <v/>
      </c>
      <c r="E871" s="56">
        <f>IF($B871=0,"",IF(Inputs!$B$8="","",IF($AF871=0,E870,SUMIFS(Data!$J$10:$J$3209,Data!$I$10:$I$3209,"&gt;="&amp;$A871,Data!$I$10:$I$3209,"&lt;"&amp;$A871+1)/$AF871)))</f>
        <v/>
      </c>
      <c r="F871" s="56">
        <f>IF($B871=0,"",IF(Inputs!$B$9="","",IF($AG871=0,F870,SUMIFS(Data!$N$10:$N$3209,Data!$M$10:$M$3209,"&gt;="&amp;$A871,Data!$M$10:$M$3209,"&lt;"&amp;$A871+1)/$AG871)))</f>
        <v/>
      </c>
      <c r="G871" s="56">
        <f>IF($B871=0,"",IF(Inputs!$B$10="","",IF($AH871=0,G870,SUMIFS(Data!$R$10:$R$3209,Data!$Q$10:$Q$3209,"&gt;="&amp;$A871,Data!$Q$10:$Q$3209,"&lt;"&amp;$A871+1)/$AH871)))</f>
        <v/>
      </c>
      <c r="I871" s="54">
        <f>IF($B871=0,NA(),IF($C871="",NA(),IF(C$8="",NA(),IF(N(C$8)=0,NA(),IF(Inputs!$C$17="Rebased to 100",$C871/C$8*100,$C871)))))</f>
        <v/>
      </c>
      <c r="J871" s="54">
        <f>IF($B871=0,NA(),IF($D871="",NA(),IF(D$8="",NA(),IF(N(D$8)=0,NA(),IF(Inputs!$C$17="Rebased to 100",$D871/D$8*100,$D871)))))</f>
        <v/>
      </c>
      <c r="K871" s="54">
        <f>IF($B871=0,NA(),IF($E871="",NA(),IF(E$8="",NA(),IF(N(E$8)=0,NA(),IF(Inputs!$C$17="Rebased to 100",$E871/E$8*100,$E871)))))</f>
        <v/>
      </c>
      <c r="L871" s="54">
        <f>IF($B871=0,NA(),IF($F871="",NA(),IF(F$8="",NA(),IF(N(F$8)=0,NA(),IF(Inputs!$C$17="Rebased to 100",$F871/F$8*100,$F871)))))</f>
        <v/>
      </c>
      <c r="M871" s="54">
        <f>IF($B871=0,NA(),IF($G871="",NA(),IF(G$8="",NA(),IF(N(G$8)=0,NA(),IF(Inputs!$C$17="Rebased to 100",$G871/G$8*100,$G871)))))</f>
        <v/>
      </c>
      <c r="N871" s="54">
        <f>IF($B871=0,NA(),IF(Inputs!$C$18&lt;&gt;"Yes",NA(),IF(COUNT(I871,J871,K871,L871,M871)=0,NA(),MIN(I871,J871,K871,L871,M871))))</f>
        <v/>
      </c>
      <c r="O871" s="54">
        <f>IF($B871=0,NA(),IF(Inputs!$B$24&lt;&gt;"Yes",NA(),Inputs!$D$24*Inputs!$C$35))</f>
        <v/>
      </c>
      <c r="P871" s="54">
        <f>IF($B871=0,NA(),IF(Inputs!$B$25&lt;&gt;"Yes",NA(),Inputs!$D$25*Inputs!$C$35))</f>
        <v/>
      </c>
      <c r="Q871" s="54">
        <f>IF($B871=0,NA(),IF(Inputs!$B$26&lt;&gt;"Yes",NA(),Inputs!$D$26*Inputs!$C$35))</f>
        <v/>
      </c>
      <c r="R871" s="54">
        <f>IF($B871=0,NA(),IF(Inputs!$B$27&lt;&gt;"Yes",NA(),Inputs!$D$27*Inputs!$C$35))</f>
        <v/>
      </c>
      <c r="S871" s="54">
        <f>IF($B871=0,NA(),IF(Inputs!$B$28&lt;&gt;"Yes",NA(),Inputs!$D$28*Inputs!$C$35))</f>
        <v/>
      </c>
      <c r="T871" s="54">
        <f>IF($B871=0,NA(),IF(Inputs!$B$29&lt;&gt;"Yes",NA(),Inputs!$D$29*Inputs!$C$35))</f>
        <v/>
      </c>
      <c r="AD871">
        <f>IF($B871=0,0,IF(Inputs!$B$6="",0,COUNTIFS(Data!$A$10:$A$3209,"&gt;="&amp;$A871,Data!$A$10:$A$3209,"&lt;"&amp;$A871+1)))</f>
        <v/>
      </c>
      <c r="AE871">
        <f>IF($B871=0,0,IF(Inputs!$B$7="",0,COUNTIFS(Data!$E$10:$E$3209,"&gt;="&amp;$A871,Data!$E$10:$E$3209,"&lt;"&amp;$A871+1)))</f>
        <v/>
      </c>
      <c r="AF871">
        <f>IF($B871=0,0,IF(Inputs!$B$8="",0,COUNTIFS(Data!$I$10:$I$3209,"&gt;="&amp;$A871,Data!$I$10:$I$3209,"&lt;"&amp;$A871+1)))</f>
        <v/>
      </c>
      <c r="AG871">
        <f>IF($B871=0,0,IF(Inputs!$B$9="",0,COUNTIFS(Data!$M$10:$M$3209,"&gt;="&amp;$A871,Data!$M$10:$M$3209,"&lt;"&amp;$A871+1)))</f>
        <v/>
      </c>
      <c r="AH871">
        <f>IF($B871=0,0,IF(Inputs!$B$10="",0,COUNTIFS(Data!$Q$10:$Q$3209,"&gt;="&amp;$A871,Data!$Q$10:$Q$3209,"&lt;"&amp;$A871+1)))</f>
        <v/>
      </c>
    </row>
    <row r="872">
      <c r="A872" s="55">
        <f>MIN(Inputs!$C$15,$A871+IF(WEEKDAY($A871,2)=5,3,1))</f>
        <v/>
      </c>
      <c r="B872">
        <f>IF($A872&gt;$A871,1,0)</f>
        <v/>
      </c>
      <c r="C872" s="56">
        <f>IF($B872=0,"",IF(Inputs!$B$6="","",IF($AD872=0,C871,SUMIFS(Data!$B$10:$B$3209,Data!$A$10:$A$3209,"&gt;="&amp;$A872,Data!$A$10:$A$3209,"&lt;"&amp;$A872+1)/$AD872)))</f>
        <v/>
      </c>
      <c r="D872" s="56">
        <f>IF($B872=0,"",IF(Inputs!$B$7="","",IF($AE872=0,D871,SUMIFS(Data!$F$10:$F$3209,Data!$E$10:$E$3209,"&gt;="&amp;$A872,Data!$E$10:$E$3209,"&lt;"&amp;$A872+1)/$AE872)))</f>
        <v/>
      </c>
      <c r="E872" s="56">
        <f>IF($B872=0,"",IF(Inputs!$B$8="","",IF($AF872=0,E871,SUMIFS(Data!$J$10:$J$3209,Data!$I$10:$I$3209,"&gt;="&amp;$A872,Data!$I$10:$I$3209,"&lt;"&amp;$A872+1)/$AF872)))</f>
        <v/>
      </c>
      <c r="F872" s="56">
        <f>IF($B872=0,"",IF(Inputs!$B$9="","",IF($AG872=0,F871,SUMIFS(Data!$N$10:$N$3209,Data!$M$10:$M$3209,"&gt;="&amp;$A872,Data!$M$10:$M$3209,"&lt;"&amp;$A872+1)/$AG872)))</f>
        <v/>
      </c>
      <c r="G872" s="56">
        <f>IF($B872=0,"",IF(Inputs!$B$10="","",IF($AH872=0,G871,SUMIFS(Data!$R$10:$R$3209,Data!$Q$10:$Q$3209,"&gt;="&amp;$A872,Data!$Q$10:$Q$3209,"&lt;"&amp;$A872+1)/$AH872)))</f>
        <v/>
      </c>
      <c r="I872" s="54">
        <f>IF($B872=0,NA(),IF($C872="",NA(),IF(C$8="",NA(),IF(N(C$8)=0,NA(),IF(Inputs!$C$17="Rebased to 100",$C872/C$8*100,$C872)))))</f>
        <v/>
      </c>
      <c r="J872" s="54">
        <f>IF($B872=0,NA(),IF($D872="",NA(),IF(D$8="",NA(),IF(N(D$8)=0,NA(),IF(Inputs!$C$17="Rebased to 100",$D872/D$8*100,$D872)))))</f>
        <v/>
      </c>
      <c r="K872" s="54">
        <f>IF($B872=0,NA(),IF($E872="",NA(),IF(E$8="",NA(),IF(N(E$8)=0,NA(),IF(Inputs!$C$17="Rebased to 100",$E872/E$8*100,$E872)))))</f>
        <v/>
      </c>
      <c r="L872" s="54">
        <f>IF($B872=0,NA(),IF($F872="",NA(),IF(F$8="",NA(),IF(N(F$8)=0,NA(),IF(Inputs!$C$17="Rebased to 100",$F872/F$8*100,$F872)))))</f>
        <v/>
      </c>
      <c r="M872" s="54">
        <f>IF($B872=0,NA(),IF($G872="",NA(),IF(G$8="",NA(),IF(N(G$8)=0,NA(),IF(Inputs!$C$17="Rebased to 100",$G872/G$8*100,$G872)))))</f>
        <v/>
      </c>
      <c r="N872" s="54">
        <f>IF($B872=0,NA(),IF(Inputs!$C$18&lt;&gt;"Yes",NA(),IF(COUNT(I872,J872,K872,L872,M872)=0,NA(),MIN(I872,J872,K872,L872,M872))))</f>
        <v/>
      </c>
      <c r="O872" s="54">
        <f>IF($B872=0,NA(),IF(Inputs!$B$24&lt;&gt;"Yes",NA(),Inputs!$D$24*Inputs!$C$35))</f>
        <v/>
      </c>
      <c r="P872" s="54">
        <f>IF($B872=0,NA(),IF(Inputs!$B$25&lt;&gt;"Yes",NA(),Inputs!$D$25*Inputs!$C$35))</f>
        <v/>
      </c>
      <c r="Q872" s="54">
        <f>IF($B872=0,NA(),IF(Inputs!$B$26&lt;&gt;"Yes",NA(),Inputs!$D$26*Inputs!$C$35))</f>
        <v/>
      </c>
      <c r="R872" s="54">
        <f>IF($B872=0,NA(),IF(Inputs!$B$27&lt;&gt;"Yes",NA(),Inputs!$D$27*Inputs!$C$35))</f>
        <v/>
      </c>
      <c r="S872" s="54">
        <f>IF($B872=0,NA(),IF(Inputs!$B$28&lt;&gt;"Yes",NA(),Inputs!$D$28*Inputs!$C$35))</f>
        <v/>
      </c>
      <c r="T872" s="54">
        <f>IF($B872=0,NA(),IF(Inputs!$B$29&lt;&gt;"Yes",NA(),Inputs!$D$29*Inputs!$C$35))</f>
        <v/>
      </c>
      <c r="AD872">
        <f>IF($B872=0,0,IF(Inputs!$B$6="",0,COUNTIFS(Data!$A$10:$A$3209,"&gt;="&amp;$A872,Data!$A$10:$A$3209,"&lt;"&amp;$A872+1)))</f>
        <v/>
      </c>
      <c r="AE872">
        <f>IF($B872=0,0,IF(Inputs!$B$7="",0,COUNTIFS(Data!$E$10:$E$3209,"&gt;="&amp;$A872,Data!$E$10:$E$3209,"&lt;"&amp;$A872+1)))</f>
        <v/>
      </c>
      <c r="AF872">
        <f>IF($B872=0,0,IF(Inputs!$B$8="",0,COUNTIFS(Data!$I$10:$I$3209,"&gt;="&amp;$A872,Data!$I$10:$I$3209,"&lt;"&amp;$A872+1)))</f>
        <v/>
      </c>
      <c r="AG872">
        <f>IF($B872=0,0,IF(Inputs!$B$9="",0,COUNTIFS(Data!$M$10:$M$3209,"&gt;="&amp;$A872,Data!$M$10:$M$3209,"&lt;"&amp;$A872+1)))</f>
        <v/>
      </c>
      <c r="AH872">
        <f>IF($B872=0,0,IF(Inputs!$B$10="",0,COUNTIFS(Data!$Q$10:$Q$3209,"&gt;="&amp;$A872,Data!$Q$10:$Q$3209,"&lt;"&amp;$A872+1)))</f>
        <v/>
      </c>
    </row>
    <row r="873">
      <c r="A873" s="55">
        <f>MIN(Inputs!$C$15,$A872+IF(WEEKDAY($A872,2)=5,3,1))</f>
        <v/>
      </c>
      <c r="B873">
        <f>IF($A873&gt;$A872,1,0)</f>
        <v/>
      </c>
      <c r="C873" s="56">
        <f>IF($B873=0,"",IF(Inputs!$B$6="","",IF($AD873=0,C872,SUMIFS(Data!$B$10:$B$3209,Data!$A$10:$A$3209,"&gt;="&amp;$A873,Data!$A$10:$A$3209,"&lt;"&amp;$A873+1)/$AD873)))</f>
        <v/>
      </c>
      <c r="D873" s="56">
        <f>IF($B873=0,"",IF(Inputs!$B$7="","",IF($AE873=0,D872,SUMIFS(Data!$F$10:$F$3209,Data!$E$10:$E$3209,"&gt;="&amp;$A873,Data!$E$10:$E$3209,"&lt;"&amp;$A873+1)/$AE873)))</f>
        <v/>
      </c>
      <c r="E873" s="56">
        <f>IF($B873=0,"",IF(Inputs!$B$8="","",IF($AF873=0,E872,SUMIFS(Data!$J$10:$J$3209,Data!$I$10:$I$3209,"&gt;="&amp;$A873,Data!$I$10:$I$3209,"&lt;"&amp;$A873+1)/$AF873)))</f>
        <v/>
      </c>
      <c r="F873" s="56">
        <f>IF($B873=0,"",IF(Inputs!$B$9="","",IF($AG873=0,F872,SUMIFS(Data!$N$10:$N$3209,Data!$M$10:$M$3209,"&gt;="&amp;$A873,Data!$M$10:$M$3209,"&lt;"&amp;$A873+1)/$AG873)))</f>
        <v/>
      </c>
      <c r="G873" s="56">
        <f>IF($B873=0,"",IF(Inputs!$B$10="","",IF($AH873=0,G872,SUMIFS(Data!$R$10:$R$3209,Data!$Q$10:$Q$3209,"&gt;="&amp;$A873,Data!$Q$10:$Q$3209,"&lt;"&amp;$A873+1)/$AH873)))</f>
        <v/>
      </c>
      <c r="I873" s="54">
        <f>IF($B873=0,NA(),IF($C873="",NA(),IF(C$8="",NA(),IF(N(C$8)=0,NA(),IF(Inputs!$C$17="Rebased to 100",$C873/C$8*100,$C873)))))</f>
        <v/>
      </c>
      <c r="J873" s="54">
        <f>IF($B873=0,NA(),IF($D873="",NA(),IF(D$8="",NA(),IF(N(D$8)=0,NA(),IF(Inputs!$C$17="Rebased to 100",$D873/D$8*100,$D873)))))</f>
        <v/>
      </c>
      <c r="K873" s="54">
        <f>IF($B873=0,NA(),IF($E873="",NA(),IF(E$8="",NA(),IF(N(E$8)=0,NA(),IF(Inputs!$C$17="Rebased to 100",$E873/E$8*100,$E873)))))</f>
        <v/>
      </c>
      <c r="L873" s="54">
        <f>IF($B873=0,NA(),IF($F873="",NA(),IF(F$8="",NA(),IF(N(F$8)=0,NA(),IF(Inputs!$C$17="Rebased to 100",$F873/F$8*100,$F873)))))</f>
        <v/>
      </c>
      <c r="M873" s="54">
        <f>IF($B873=0,NA(),IF($G873="",NA(),IF(G$8="",NA(),IF(N(G$8)=0,NA(),IF(Inputs!$C$17="Rebased to 100",$G873/G$8*100,$G873)))))</f>
        <v/>
      </c>
      <c r="N873" s="54">
        <f>IF($B873=0,NA(),IF(Inputs!$C$18&lt;&gt;"Yes",NA(),IF(COUNT(I873,J873,K873,L873,M873)=0,NA(),MIN(I873,J873,K873,L873,M873))))</f>
        <v/>
      </c>
      <c r="O873" s="54">
        <f>IF($B873=0,NA(),IF(Inputs!$B$24&lt;&gt;"Yes",NA(),Inputs!$D$24*Inputs!$C$35))</f>
        <v/>
      </c>
      <c r="P873" s="54">
        <f>IF($B873=0,NA(),IF(Inputs!$B$25&lt;&gt;"Yes",NA(),Inputs!$D$25*Inputs!$C$35))</f>
        <v/>
      </c>
      <c r="Q873" s="54">
        <f>IF($B873=0,NA(),IF(Inputs!$B$26&lt;&gt;"Yes",NA(),Inputs!$D$26*Inputs!$C$35))</f>
        <v/>
      </c>
      <c r="R873" s="54">
        <f>IF($B873=0,NA(),IF(Inputs!$B$27&lt;&gt;"Yes",NA(),Inputs!$D$27*Inputs!$C$35))</f>
        <v/>
      </c>
      <c r="S873" s="54">
        <f>IF($B873=0,NA(),IF(Inputs!$B$28&lt;&gt;"Yes",NA(),Inputs!$D$28*Inputs!$C$35))</f>
        <v/>
      </c>
      <c r="T873" s="54">
        <f>IF($B873=0,NA(),IF(Inputs!$B$29&lt;&gt;"Yes",NA(),Inputs!$D$29*Inputs!$C$35))</f>
        <v/>
      </c>
      <c r="AD873">
        <f>IF($B873=0,0,IF(Inputs!$B$6="",0,COUNTIFS(Data!$A$10:$A$3209,"&gt;="&amp;$A873,Data!$A$10:$A$3209,"&lt;"&amp;$A873+1)))</f>
        <v/>
      </c>
      <c r="AE873">
        <f>IF($B873=0,0,IF(Inputs!$B$7="",0,COUNTIFS(Data!$E$10:$E$3209,"&gt;="&amp;$A873,Data!$E$10:$E$3209,"&lt;"&amp;$A873+1)))</f>
        <v/>
      </c>
      <c r="AF873">
        <f>IF($B873=0,0,IF(Inputs!$B$8="",0,COUNTIFS(Data!$I$10:$I$3209,"&gt;="&amp;$A873,Data!$I$10:$I$3209,"&lt;"&amp;$A873+1)))</f>
        <v/>
      </c>
      <c r="AG873">
        <f>IF($B873=0,0,IF(Inputs!$B$9="",0,COUNTIFS(Data!$M$10:$M$3209,"&gt;="&amp;$A873,Data!$M$10:$M$3209,"&lt;"&amp;$A873+1)))</f>
        <v/>
      </c>
      <c r="AH873">
        <f>IF($B873=0,0,IF(Inputs!$B$10="",0,COUNTIFS(Data!$Q$10:$Q$3209,"&gt;="&amp;$A873,Data!$Q$10:$Q$3209,"&lt;"&amp;$A873+1)))</f>
        <v/>
      </c>
    </row>
    <row r="874">
      <c r="A874" s="55">
        <f>MIN(Inputs!$C$15,$A873+IF(WEEKDAY($A873,2)=5,3,1))</f>
        <v/>
      </c>
      <c r="B874">
        <f>IF($A874&gt;$A873,1,0)</f>
        <v/>
      </c>
      <c r="C874" s="56">
        <f>IF($B874=0,"",IF(Inputs!$B$6="","",IF($AD874=0,C873,SUMIFS(Data!$B$10:$B$3209,Data!$A$10:$A$3209,"&gt;="&amp;$A874,Data!$A$10:$A$3209,"&lt;"&amp;$A874+1)/$AD874)))</f>
        <v/>
      </c>
      <c r="D874" s="56">
        <f>IF($B874=0,"",IF(Inputs!$B$7="","",IF($AE874=0,D873,SUMIFS(Data!$F$10:$F$3209,Data!$E$10:$E$3209,"&gt;="&amp;$A874,Data!$E$10:$E$3209,"&lt;"&amp;$A874+1)/$AE874)))</f>
        <v/>
      </c>
      <c r="E874" s="56">
        <f>IF($B874=0,"",IF(Inputs!$B$8="","",IF($AF874=0,E873,SUMIFS(Data!$J$10:$J$3209,Data!$I$10:$I$3209,"&gt;="&amp;$A874,Data!$I$10:$I$3209,"&lt;"&amp;$A874+1)/$AF874)))</f>
        <v/>
      </c>
      <c r="F874" s="56">
        <f>IF($B874=0,"",IF(Inputs!$B$9="","",IF($AG874=0,F873,SUMIFS(Data!$N$10:$N$3209,Data!$M$10:$M$3209,"&gt;="&amp;$A874,Data!$M$10:$M$3209,"&lt;"&amp;$A874+1)/$AG874)))</f>
        <v/>
      </c>
      <c r="G874" s="56">
        <f>IF($B874=0,"",IF(Inputs!$B$10="","",IF($AH874=0,G873,SUMIFS(Data!$R$10:$R$3209,Data!$Q$10:$Q$3209,"&gt;="&amp;$A874,Data!$Q$10:$Q$3209,"&lt;"&amp;$A874+1)/$AH874)))</f>
        <v/>
      </c>
      <c r="I874" s="54">
        <f>IF($B874=0,NA(),IF($C874="",NA(),IF(C$8="",NA(),IF(N(C$8)=0,NA(),IF(Inputs!$C$17="Rebased to 100",$C874/C$8*100,$C874)))))</f>
        <v/>
      </c>
      <c r="J874" s="54">
        <f>IF($B874=0,NA(),IF($D874="",NA(),IF(D$8="",NA(),IF(N(D$8)=0,NA(),IF(Inputs!$C$17="Rebased to 100",$D874/D$8*100,$D874)))))</f>
        <v/>
      </c>
      <c r="K874" s="54">
        <f>IF($B874=0,NA(),IF($E874="",NA(),IF(E$8="",NA(),IF(N(E$8)=0,NA(),IF(Inputs!$C$17="Rebased to 100",$E874/E$8*100,$E874)))))</f>
        <v/>
      </c>
      <c r="L874" s="54">
        <f>IF($B874=0,NA(),IF($F874="",NA(),IF(F$8="",NA(),IF(N(F$8)=0,NA(),IF(Inputs!$C$17="Rebased to 100",$F874/F$8*100,$F874)))))</f>
        <v/>
      </c>
      <c r="M874" s="54">
        <f>IF($B874=0,NA(),IF($G874="",NA(),IF(G$8="",NA(),IF(N(G$8)=0,NA(),IF(Inputs!$C$17="Rebased to 100",$G874/G$8*100,$G874)))))</f>
        <v/>
      </c>
      <c r="N874" s="54">
        <f>IF($B874=0,NA(),IF(Inputs!$C$18&lt;&gt;"Yes",NA(),IF(COUNT(I874,J874,K874,L874,M874)=0,NA(),MIN(I874,J874,K874,L874,M874))))</f>
        <v/>
      </c>
      <c r="O874" s="54">
        <f>IF($B874=0,NA(),IF(Inputs!$B$24&lt;&gt;"Yes",NA(),Inputs!$D$24*Inputs!$C$35))</f>
        <v/>
      </c>
      <c r="P874" s="54">
        <f>IF($B874=0,NA(),IF(Inputs!$B$25&lt;&gt;"Yes",NA(),Inputs!$D$25*Inputs!$C$35))</f>
        <v/>
      </c>
      <c r="Q874" s="54">
        <f>IF($B874=0,NA(),IF(Inputs!$B$26&lt;&gt;"Yes",NA(),Inputs!$D$26*Inputs!$C$35))</f>
        <v/>
      </c>
      <c r="R874" s="54">
        <f>IF($B874=0,NA(),IF(Inputs!$B$27&lt;&gt;"Yes",NA(),Inputs!$D$27*Inputs!$C$35))</f>
        <v/>
      </c>
      <c r="S874" s="54">
        <f>IF($B874=0,NA(),IF(Inputs!$B$28&lt;&gt;"Yes",NA(),Inputs!$D$28*Inputs!$C$35))</f>
        <v/>
      </c>
      <c r="T874" s="54">
        <f>IF($B874=0,NA(),IF(Inputs!$B$29&lt;&gt;"Yes",NA(),Inputs!$D$29*Inputs!$C$35))</f>
        <v/>
      </c>
      <c r="AD874">
        <f>IF($B874=0,0,IF(Inputs!$B$6="",0,COUNTIFS(Data!$A$10:$A$3209,"&gt;="&amp;$A874,Data!$A$10:$A$3209,"&lt;"&amp;$A874+1)))</f>
        <v/>
      </c>
      <c r="AE874">
        <f>IF($B874=0,0,IF(Inputs!$B$7="",0,COUNTIFS(Data!$E$10:$E$3209,"&gt;="&amp;$A874,Data!$E$10:$E$3209,"&lt;"&amp;$A874+1)))</f>
        <v/>
      </c>
      <c r="AF874">
        <f>IF($B874=0,0,IF(Inputs!$B$8="",0,COUNTIFS(Data!$I$10:$I$3209,"&gt;="&amp;$A874,Data!$I$10:$I$3209,"&lt;"&amp;$A874+1)))</f>
        <v/>
      </c>
      <c r="AG874">
        <f>IF($B874=0,0,IF(Inputs!$B$9="",0,COUNTIFS(Data!$M$10:$M$3209,"&gt;="&amp;$A874,Data!$M$10:$M$3209,"&lt;"&amp;$A874+1)))</f>
        <v/>
      </c>
      <c r="AH874">
        <f>IF($B874=0,0,IF(Inputs!$B$10="",0,COUNTIFS(Data!$Q$10:$Q$3209,"&gt;="&amp;$A874,Data!$Q$10:$Q$3209,"&lt;"&amp;$A874+1)))</f>
        <v/>
      </c>
    </row>
    <row r="875">
      <c r="A875" s="55">
        <f>MIN(Inputs!$C$15,$A874+IF(WEEKDAY($A874,2)=5,3,1))</f>
        <v/>
      </c>
      <c r="B875">
        <f>IF($A875&gt;$A874,1,0)</f>
        <v/>
      </c>
      <c r="C875" s="56">
        <f>IF($B875=0,"",IF(Inputs!$B$6="","",IF($AD875=0,C874,SUMIFS(Data!$B$10:$B$3209,Data!$A$10:$A$3209,"&gt;="&amp;$A875,Data!$A$10:$A$3209,"&lt;"&amp;$A875+1)/$AD875)))</f>
        <v/>
      </c>
      <c r="D875" s="56">
        <f>IF($B875=0,"",IF(Inputs!$B$7="","",IF($AE875=0,D874,SUMIFS(Data!$F$10:$F$3209,Data!$E$10:$E$3209,"&gt;="&amp;$A875,Data!$E$10:$E$3209,"&lt;"&amp;$A875+1)/$AE875)))</f>
        <v/>
      </c>
      <c r="E875" s="56">
        <f>IF($B875=0,"",IF(Inputs!$B$8="","",IF($AF875=0,E874,SUMIFS(Data!$J$10:$J$3209,Data!$I$10:$I$3209,"&gt;="&amp;$A875,Data!$I$10:$I$3209,"&lt;"&amp;$A875+1)/$AF875)))</f>
        <v/>
      </c>
      <c r="F875" s="56">
        <f>IF($B875=0,"",IF(Inputs!$B$9="","",IF($AG875=0,F874,SUMIFS(Data!$N$10:$N$3209,Data!$M$10:$M$3209,"&gt;="&amp;$A875,Data!$M$10:$M$3209,"&lt;"&amp;$A875+1)/$AG875)))</f>
        <v/>
      </c>
      <c r="G875" s="56">
        <f>IF($B875=0,"",IF(Inputs!$B$10="","",IF($AH875=0,G874,SUMIFS(Data!$R$10:$R$3209,Data!$Q$10:$Q$3209,"&gt;="&amp;$A875,Data!$Q$10:$Q$3209,"&lt;"&amp;$A875+1)/$AH875)))</f>
        <v/>
      </c>
      <c r="I875" s="54">
        <f>IF($B875=0,NA(),IF($C875="",NA(),IF(C$8="",NA(),IF(N(C$8)=0,NA(),IF(Inputs!$C$17="Rebased to 100",$C875/C$8*100,$C875)))))</f>
        <v/>
      </c>
      <c r="J875" s="54">
        <f>IF($B875=0,NA(),IF($D875="",NA(),IF(D$8="",NA(),IF(N(D$8)=0,NA(),IF(Inputs!$C$17="Rebased to 100",$D875/D$8*100,$D875)))))</f>
        <v/>
      </c>
      <c r="K875" s="54">
        <f>IF($B875=0,NA(),IF($E875="",NA(),IF(E$8="",NA(),IF(N(E$8)=0,NA(),IF(Inputs!$C$17="Rebased to 100",$E875/E$8*100,$E875)))))</f>
        <v/>
      </c>
      <c r="L875" s="54">
        <f>IF($B875=0,NA(),IF($F875="",NA(),IF(F$8="",NA(),IF(N(F$8)=0,NA(),IF(Inputs!$C$17="Rebased to 100",$F875/F$8*100,$F875)))))</f>
        <v/>
      </c>
      <c r="M875" s="54">
        <f>IF($B875=0,NA(),IF($G875="",NA(),IF(G$8="",NA(),IF(N(G$8)=0,NA(),IF(Inputs!$C$17="Rebased to 100",$G875/G$8*100,$G875)))))</f>
        <v/>
      </c>
      <c r="N875" s="54">
        <f>IF($B875=0,NA(),IF(Inputs!$C$18&lt;&gt;"Yes",NA(),IF(COUNT(I875,J875,K875,L875,M875)=0,NA(),MIN(I875,J875,K875,L875,M875))))</f>
        <v/>
      </c>
      <c r="O875" s="54">
        <f>IF($B875=0,NA(),IF(Inputs!$B$24&lt;&gt;"Yes",NA(),Inputs!$D$24*Inputs!$C$35))</f>
        <v/>
      </c>
      <c r="P875" s="54">
        <f>IF($B875=0,NA(),IF(Inputs!$B$25&lt;&gt;"Yes",NA(),Inputs!$D$25*Inputs!$C$35))</f>
        <v/>
      </c>
      <c r="Q875" s="54">
        <f>IF($B875=0,NA(),IF(Inputs!$B$26&lt;&gt;"Yes",NA(),Inputs!$D$26*Inputs!$C$35))</f>
        <v/>
      </c>
      <c r="R875" s="54">
        <f>IF($B875=0,NA(),IF(Inputs!$B$27&lt;&gt;"Yes",NA(),Inputs!$D$27*Inputs!$C$35))</f>
        <v/>
      </c>
      <c r="S875" s="54">
        <f>IF($B875=0,NA(),IF(Inputs!$B$28&lt;&gt;"Yes",NA(),Inputs!$D$28*Inputs!$C$35))</f>
        <v/>
      </c>
      <c r="T875" s="54">
        <f>IF($B875=0,NA(),IF(Inputs!$B$29&lt;&gt;"Yes",NA(),Inputs!$D$29*Inputs!$C$35))</f>
        <v/>
      </c>
      <c r="AD875">
        <f>IF($B875=0,0,IF(Inputs!$B$6="",0,COUNTIFS(Data!$A$10:$A$3209,"&gt;="&amp;$A875,Data!$A$10:$A$3209,"&lt;"&amp;$A875+1)))</f>
        <v/>
      </c>
      <c r="AE875">
        <f>IF($B875=0,0,IF(Inputs!$B$7="",0,COUNTIFS(Data!$E$10:$E$3209,"&gt;="&amp;$A875,Data!$E$10:$E$3209,"&lt;"&amp;$A875+1)))</f>
        <v/>
      </c>
      <c r="AF875">
        <f>IF($B875=0,0,IF(Inputs!$B$8="",0,COUNTIFS(Data!$I$10:$I$3209,"&gt;="&amp;$A875,Data!$I$10:$I$3209,"&lt;"&amp;$A875+1)))</f>
        <v/>
      </c>
      <c r="AG875">
        <f>IF($B875=0,0,IF(Inputs!$B$9="",0,COUNTIFS(Data!$M$10:$M$3209,"&gt;="&amp;$A875,Data!$M$10:$M$3209,"&lt;"&amp;$A875+1)))</f>
        <v/>
      </c>
      <c r="AH875">
        <f>IF($B875=0,0,IF(Inputs!$B$10="",0,COUNTIFS(Data!$Q$10:$Q$3209,"&gt;="&amp;$A875,Data!$Q$10:$Q$3209,"&lt;"&amp;$A875+1)))</f>
        <v/>
      </c>
    </row>
    <row r="876">
      <c r="A876" s="55">
        <f>MIN(Inputs!$C$15,$A875+IF(WEEKDAY($A875,2)=5,3,1))</f>
        <v/>
      </c>
      <c r="B876">
        <f>IF($A876&gt;$A875,1,0)</f>
        <v/>
      </c>
      <c r="C876" s="56">
        <f>IF($B876=0,"",IF(Inputs!$B$6="","",IF($AD876=0,C875,SUMIFS(Data!$B$10:$B$3209,Data!$A$10:$A$3209,"&gt;="&amp;$A876,Data!$A$10:$A$3209,"&lt;"&amp;$A876+1)/$AD876)))</f>
        <v/>
      </c>
      <c r="D876" s="56">
        <f>IF($B876=0,"",IF(Inputs!$B$7="","",IF($AE876=0,D875,SUMIFS(Data!$F$10:$F$3209,Data!$E$10:$E$3209,"&gt;="&amp;$A876,Data!$E$10:$E$3209,"&lt;"&amp;$A876+1)/$AE876)))</f>
        <v/>
      </c>
      <c r="E876" s="56">
        <f>IF($B876=0,"",IF(Inputs!$B$8="","",IF($AF876=0,E875,SUMIFS(Data!$J$10:$J$3209,Data!$I$10:$I$3209,"&gt;="&amp;$A876,Data!$I$10:$I$3209,"&lt;"&amp;$A876+1)/$AF876)))</f>
        <v/>
      </c>
      <c r="F876" s="56">
        <f>IF($B876=0,"",IF(Inputs!$B$9="","",IF($AG876=0,F875,SUMIFS(Data!$N$10:$N$3209,Data!$M$10:$M$3209,"&gt;="&amp;$A876,Data!$M$10:$M$3209,"&lt;"&amp;$A876+1)/$AG876)))</f>
        <v/>
      </c>
      <c r="G876" s="56">
        <f>IF($B876=0,"",IF(Inputs!$B$10="","",IF($AH876=0,G875,SUMIFS(Data!$R$10:$R$3209,Data!$Q$10:$Q$3209,"&gt;="&amp;$A876,Data!$Q$10:$Q$3209,"&lt;"&amp;$A876+1)/$AH876)))</f>
        <v/>
      </c>
      <c r="I876" s="54">
        <f>IF($B876=0,NA(),IF($C876="",NA(),IF(C$8="",NA(),IF(N(C$8)=0,NA(),IF(Inputs!$C$17="Rebased to 100",$C876/C$8*100,$C876)))))</f>
        <v/>
      </c>
      <c r="J876" s="54">
        <f>IF($B876=0,NA(),IF($D876="",NA(),IF(D$8="",NA(),IF(N(D$8)=0,NA(),IF(Inputs!$C$17="Rebased to 100",$D876/D$8*100,$D876)))))</f>
        <v/>
      </c>
      <c r="K876" s="54">
        <f>IF($B876=0,NA(),IF($E876="",NA(),IF(E$8="",NA(),IF(N(E$8)=0,NA(),IF(Inputs!$C$17="Rebased to 100",$E876/E$8*100,$E876)))))</f>
        <v/>
      </c>
      <c r="L876" s="54">
        <f>IF($B876=0,NA(),IF($F876="",NA(),IF(F$8="",NA(),IF(N(F$8)=0,NA(),IF(Inputs!$C$17="Rebased to 100",$F876/F$8*100,$F876)))))</f>
        <v/>
      </c>
      <c r="M876" s="54">
        <f>IF($B876=0,NA(),IF($G876="",NA(),IF(G$8="",NA(),IF(N(G$8)=0,NA(),IF(Inputs!$C$17="Rebased to 100",$G876/G$8*100,$G876)))))</f>
        <v/>
      </c>
      <c r="N876" s="54">
        <f>IF($B876=0,NA(),IF(Inputs!$C$18&lt;&gt;"Yes",NA(),IF(COUNT(I876,J876,K876,L876,M876)=0,NA(),MIN(I876,J876,K876,L876,M876))))</f>
        <v/>
      </c>
      <c r="O876" s="54">
        <f>IF($B876=0,NA(),IF(Inputs!$B$24&lt;&gt;"Yes",NA(),Inputs!$D$24*Inputs!$C$35))</f>
        <v/>
      </c>
      <c r="P876" s="54">
        <f>IF($B876=0,NA(),IF(Inputs!$B$25&lt;&gt;"Yes",NA(),Inputs!$D$25*Inputs!$C$35))</f>
        <v/>
      </c>
      <c r="Q876" s="54">
        <f>IF($B876=0,NA(),IF(Inputs!$B$26&lt;&gt;"Yes",NA(),Inputs!$D$26*Inputs!$C$35))</f>
        <v/>
      </c>
      <c r="R876" s="54">
        <f>IF($B876=0,NA(),IF(Inputs!$B$27&lt;&gt;"Yes",NA(),Inputs!$D$27*Inputs!$C$35))</f>
        <v/>
      </c>
      <c r="S876" s="54">
        <f>IF($B876=0,NA(),IF(Inputs!$B$28&lt;&gt;"Yes",NA(),Inputs!$D$28*Inputs!$C$35))</f>
        <v/>
      </c>
      <c r="T876" s="54">
        <f>IF($B876=0,NA(),IF(Inputs!$B$29&lt;&gt;"Yes",NA(),Inputs!$D$29*Inputs!$C$35))</f>
        <v/>
      </c>
      <c r="AD876">
        <f>IF($B876=0,0,IF(Inputs!$B$6="",0,COUNTIFS(Data!$A$10:$A$3209,"&gt;="&amp;$A876,Data!$A$10:$A$3209,"&lt;"&amp;$A876+1)))</f>
        <v/>
      </c>
      <c r="AE876">
        <f>IF($B876=0,0,IF(Inputs!$B$7="",0,COUNTIFS(Data!$E$10:$E$3209,"&gt;="&amp;$A876,Data!$E$10:$E$3209,"&lt;"&amp;$A876+1)))</f>
        <v/>
      </c>
      <c r="AF876">
        <f>IF($B876=0,0,IF(Inputs!$B$8="",0,COUNTIFS(Data!$I$10:$I$3209,"&gt;="&amp;$A876,Data!$I$10:$I$3209,"&lt;"&amp;$A876+1)))</f>
        <v/>
      </c>
      <c r="AG876">
        <f>IF($B876=0,0,IF(Inputs!$B$9="",0,COUNTIFS(Data!$M$10:$M$3209,"&gt;="&amp;$A876,Data!$M$10:$M$3209,"&lt;"&amp;$A876+1)))</f>
        <v/>
      </c>
      <c r="AH876">
        <f>IF($B876=0,0,IF(Inputs!$B$10="",0,COUNTIFS(Data!$Q$10:$Q$3209,"&gt;="&amp;$A876,Data!$Q$10:$Q$3209,"&lt;"&amp;$A876+1)))</f>
        <v/>
      </c>
    </row>
    <row r="877">
      <c r="A877" s="55">
        <f>MIN(Inputs!$C$15,$A876+IF(WEEKDAY($A876,2)=5,3,1))</f>
        <v/>
      </c>
      <c r="B877">
        <f>IF($A877&gt;$A876,1,0)</f>
        <v/>
      </c>
      <c r="C877" s="56">
        <f>IF($B877=0,"",IF(Inputs!$B$6="","",IF($AD877=0,C876,SUMIFS(Data!$B$10:$B$3209,Data!$A$10:$A$3209,"&gt;="&amp;$A877,Data!$A$10:$A$3209,"&lt;"&amp;$A877+1)/$AD877)))</f>
        <v/>
      </c>
      <c r="D877" s="56">
        <f>IF($B877=0,"",IF(Inputs!$B$7="","",IF($AE877=0,D876,SUMIFS(Data!$F$10:$F$3209,Data!$E$10:$E$3209,"&gt;="&amp;$A877,Data!$E$10:$E$3209,"&lt;"&amp;$A877+1)/$AE877)))</f>
        <v/>
      </c>
      <c r="E877" s="56">
        <f>IF($B877=0,"",IF(Inputs!$B$8="","",IF($AF877=0,E876,SUMIFS(Data!$J$10:$J$3209,Data!$I$10:$I$3209,"&gt;="&amp;$A877,Data!$I$10:$I$3209,"&lt;"&amp;$A877+1)/$AF877)))</f>
        <v/>
      </c>
      <c r="F877" s="56">
        <f>IF($B877=0,"",IF(Inputs!$B$9="","",IF($AG877=0,F876,SUMIFS(Data!$N$10:$N$3209,Data!$M$10:$M$3209,"&gt;="&amp;$A877,Data!$M$10:$M$3209,"&lt;"&amp;$A877+1)/$AG877)))</f>
        <v/>
      </c>
      <c r="G877" s="56">
        <f>IF($B877=0,"",IF(Inputs!$B$10="","",IF($AH877=0,G876,SUMIFS(Data!$R$10:$R$3209,Data!$Q$10:$Q$3209,"&gt;="&amp;$A877,Data!$Q$10:$Q$3209,"&lt;"&amp;$A877+1)/$AH877)))</f>
        <v/>
      </c>
      <c r="I877" s="54">
        <f>IF($B877=0,NA(),IF($C877="",NA(),IF(C$8="",NA(),IF(N(C$8)=0,NA(),IF(Inputs!$C$17="Rebased to 100",$C877/C$8*100,$C877)))))</f>
        <v/>
      </c>
      <c r="J877" s="54">
        <f>IF($B877=0,NA(),IF($D877="",NA(),IF(D$8="",NA(),IF(N(D$8)=0,NA(),IF(Inputs!$C$17="Rebased to 100",$D877/D$8*100,$D877)))))</f>
        <v/>
      </c>
      <c r="K877" s="54">
        <f>IF($B877=0,NA(),IF($E877="",NA(),IF(E$8="",NA(),IF(N(E$8)=0,NA(),IF(Inputs!$C$17="Rebased to 100",$E877/E$8*100,$E877)))))</f>
        <v/>
      </c>
      <c r="L877" s="54">
        <f>IF($B877=0,NA(),IF($F877="",NA(),IF(F$8="",NA(),IF(N(F$8)=0,NA(),IF(Inputs!$C$17="Rebased to 100",$F877/F$8*100,$F877)))))</f>
        <v/>
      </c>
      <c r="M877" s="54">
        <f>IF($B877=0,NA(),IF($G877="",NA(),IF(G$8="",NA(),IF(N(G$8)=0,NA(),IF(Inputs!$C$17="Rebased to 100",$G877/G$8*100,$G877)))))</f>
        <v/>
      </c>
      <c r="N877" s="54">
        <f>IF($B877=0,NA(),IF(Inputs!$C$18&lt;&gt;"Yes",NA(),IF(COUNT(I877,J877,K877,L877,M877)=0,NA(),MIN(I877,J877,K877,L877,M877))))</f>
        <v/>
      </c>
      <c r="O877" s="54">
        <f>IF($B877=0,NA(),IF(Inputs!$B$24&lt;&gt;"Yes",NA(),Inputs!$D$24*Inputs!$C$35))</f>
        <v/>
      </c>
      <c r="P877" s="54">
        <f>IF($B877=0,NA(),IF(Inputs!$B$25&lt;&gt;"Yes",NA(),Inputs!$D$25*Inputs!$C$35))</f>
        <v/>
      </c>
      <c r="Q877" s="54">
        <f>IF($B877=0,NA(),IF(Inputs!$B$26&lt;&gt;"Yes",NA(),Inputs!$D$26*Inputs!$C$35))</f>
        <v/>
      </c>
      <c r="R877" s="54">
        <f>IF($B877=0,NA(),IF(Inputs!$B$27&lt;&gt;"Yes",NA(),Inputs!$D$27*Inputs!$C$35))</f>
        <v/>
      </c>
      <c r="S877" s="54">
        <f>IF($B877=0,NA(),IF(Inputs!$B$28&lt;&gt;"Yes",NA(),Inputs!$D$28*Inputs!$C$35))</f>
        <v/>
      </c>
      <c r="T877" s="54">
        <f>IF($B877=0,NA(),IF(Inputs!$B$29&lt;&gt;"Yes",NA(),Inputs!$D$29*Inputs!$C$35))</f>
        <v/>
      </c>
      <c r="AD877">
        <f>IF($B877=0,0,IF(Inputs!$B$6="",0,COUNTIFS(Data!$A$10:$A$3209,"&gt;="&amp;$A877,Data!$A$10:$A$3209,"&lt;"&amp;$A877+1)))</f>
        <v/>
      </c>
      <c r="AE877">
        <f>IF($B877=0,0,IF(Inputs!$B$7="",0,COUNTIFS(Data!$E$10:$E$3209,"&gt;="&amp;$A877,Data!$E$10:$E$3209,"&lt;"&amp;$A877+1)))</f>
        <v/>
      </c>
      <c r="AF877">
        <f>IF($B877=0,0,IF(Inputs!$B$8="",0,COUNTIFS(Data!$I$10:$I$3209,"&gt;="&amp;$A877,Data!$I$10:$I$3209,"&lt;"&amp;$A877+1)))</f>
        <v/>
      </c>
      <c r="AG877">
        <f>IF($B877=0,0,IF(Inputs!$B$9="",0,COUNTIFS(Data!$M$10:$M$3209,"&gt;="&amp;$A877,Data!$M$10:$M$3209,"&lt;"&amp;$A877+1)))</f>
        <v/>
      </c>
      <c r="AH877">
        <f>IF($B877=0,0,IF(Inputs!$B$10="",0,COUNTIFS(Data!$Q$10:$Q$3209,"&gt;="&amp;$A877,Data!$Q$10:$Q$3209,"&lt;"&amp;$A877+1)))</f>
        <v/>
      </c>
    </row>
    <row r="878">
      <c r="A878" s="55">
        <f>MIN(Inputs!$C$15,$A877+IF(WEEKDAY($A877,2)=5,3,1))</f>
        <v/>
      </c>
      <c r="B878">
        <f>IF($A878&gt;$A877,1,0)</f>
        <v/>
      </c>
      <c r="C878" s="56">
        <f>IF($B878=0,"",IF(Inputs!$B$6="","",IF($AD878=0,C877,SUMIFS(Data!$B$10:$B$3209,Data!$A$10:$A$3209,"&gt;="&amp;$A878,Data!$A$10:$A$3209,"&lt;"&amp;$A878+1)/$AD878)))</f>
        <v/>
      </c>
      <c r="D878" s="56">
        <f>IF($B878=0,"",IF(Inputs!$B$7="","",IF($AE878=0,D877,SUMIFS(Data!$F$10:$F$3209,Data!$E$10:$E$3209,"&gt;="&amp;$A878,Data!$E$10:$E$3209,"&lt;"&amp;$A878+1)/$AE878)))</f>
        <v/>
      </c>
      <c r="E878" s="56">
        <f>IF($B878=0,"",IF(Inputs!$B$8="","",IF($AF878=0,E877,SUMIFS(Data!$J$10:$J$3209,Data!$I$10:$I$3209,"&gt;="&amp;$A878,Data!$I$10:$I$3209,"&lt;"&amp;$A878+1)/$AF878)))</f>
        <v/>
      </c>
      <c r="F878" s="56">
        <f>IF($B878=0,"",IF(Inputs!$B$9="","",IF($AG878=0,F877,SUMIFS(Data!$N$10:$N$3209,Data!$M$10:$M$3209,"&gt;="&amp;$A878,Data!$M$10:$M$3209,"&lt;"&amp;$A878+1)/$AG878)))</f>
        <v/>
      </c>
      <c r="G878" s="56">
        <f>IF($B878=0,"",IF(Inputs!$B$10="","",IF($AH878=0,G877,SUMIFS(Data!$R$10:$R$3209,Data!$Q$10:$Q$3209,"&gt;="&amp;$A878,Data!$Q$10:$Q$3209,"&lt;"&amp;$A878+1)/$AH878)))</f>
        <v/>
      </c>
      <c r="I878" s="54">
        <f>IF($B878=0,NA(),IF($C878="",NA(),IF(C$8="",NA(),IF(N(C$8)=0,NA(),IF(Inputs!$C$17="Rebased to 100",$C878/C$8*100,$C878)))))</f>
        <v/>
      </c>
      <c r="J878" s="54">
        <f>IF($B878=0,NA(),IF($D878="",NA(),IF(D$8="",NA(),IF(N(D$8)=0,NA(),IF(Inputs!$C$17="Rebased to 100",$D878/D$8*100,$D878)))))</f>
        <v/>
      </c>
      <c r="K878" s="54">
        <f>IF($B878=0,NA(),IF($E878="",NA(),IF(E$8="",NA(),IF(N(E$8)=0,NA(),IF(Inputs!$C$17="Rebased to 100",$E878/E$8*100,$E878)))))</f>
        <v/>
      </c>
      <c r="L878" s="54">
        <f>IF($B878=0,NA(),IF($F878="",NA(),IF(F$8="",NA(),IF(N(F$8)=0,NA(),IF(Inputs!$C$17="Rebased to 100",$F878/F$8*100,$F878)))))</f>
        <v/>
      </c>
      <c r="M878" s="54">
        <f>IF($B878=0,NA(),IF($G878="",NA(),IF(G$8="",NA(),IF(N(G$8)=0,NA(),IF(Inputs!$C$17="Rebased to 100",$G878/G$8*100,$G878)))))</f>
        <v/>
      </c>
      <c r="N878" s="54">
        <f>IF($B878=0,NA(),IF(Inputs!$C$18&lt;&gt;"Yes",NA(),IF(COUNT(I878,J878,K878,L878,M878)=0,NA(),MIN(I878,J878,K878,L878,M878))))</f>
        <v/>
      </c>
      <c r="O878" s="54">
        <f>IF($B878=0,NA(),IF(Inputs!$B$24&lt;&gt;"Yes",NA(),Inputs!$D$24*Inputs!$C$35))</f>
        <v/>
      </c>
      <c r="P878" s="54">
        <f>IF($B878=0,NA(),IF(Inputs!$B$25&lt;&gt;"Yes",NA(),Inputs!$D$25*Inputs!$C$35))</f>
        <v/>
      </c>
      <c r="Q878" s="54">
        <f>IF($B878=0,NA(),IF(Inputs!$B$26&lt;&gt;"Yes",NA(),Inputs!$D$26*Inputs!$C$35))</f>
        <v/>
      </c>
      <c r="R878" s="54">
        <f>IF($B878=0,NA(),IF(Inputs!$B$27&lt;&gt;"Yes",NA(),Inputs!$D$27*Inputs!$C$35))</f>
        <v/>
      </c>
      <c r="S878" s="54">
        <f>IF($B878=0,NA(),IF(Inputs!$B$28&lt;&gt;"Yes",NA(),Inputs!$D$28*Inputs!$C$35))</f>
        <v/>
      </c>
      <c r="T878" s="54">
        <f>IF($B878=0,NA(),IF(Inputs!$B$29&lt;&gt;"Yes",NA(),Inputs!$D$29*Inputs!$C$35))</f>
        <v/>
      </c>
      <c r="AD878">
        <f>IF($B878=0,0,IF(Inputs!$B$6="",0,COUNTIFS(Data!$A$10:$A$3209,"&gt;="&amp;$A878,Data!$A$10:$A$3209,"&lt;"&amp;$A878+1)))</f>
        <v/>
      </c>
      <c r="AE878">
        <f>IF($B878=0,0,IF(Inputs!$B$7="",0,COUNTIFS(Data!$E$10:$E$3209,"&gt;="&amp;$A878,Data!$E$10:$E$3209,"&lt;"&amp;$A878+1)))</f>
        <v/>
      </c>
      <c r="AF878">
        <f>IF($B878=0,0,IF(Inputs!$B$8="",0,COUNTIFS(Data!$I$10:$I$3209,"&gt;="&amp;$A878,Data!$I$10:$I$3209,"&lt;"&amp;$A878+1)))</f>
        <v/>
      </c>
      <c r="AG878">
        <f>IF($B878=0,0,IF(Inputs!$B$9="",0,COUNTIFS(Data!$M$10:$M$3209,"&gt;="&amp;$A878,Data!$M$10:$M$3209,"&lt;"&amp;$A878+1)))</f>
        <v/>
      </c>
      <c r="AH878">
        <f>IF($B878=0,0,IF(Inputs!$B$10="",0,COUNTIFS(Data!$Q$10:$Q$3209,"&gt;="&amp;$A878,Data!$Q$10:$Q$3209,"&lt;"&amp;$A878+1)))</f>
        <v/>
      </c>
    </row>
    <row r="879">
      <c r="A879" s="55">
        <f>MIN(Inputs!$C$15,$A878+IF(WEEKDAY($A878,2)=5,3,1))</f>
        <v/>
      </c>
      <c r="B879">
        <f>IF($A879&gt;$A878,1,0)</f>
        <v/>
      </c>
      <c r="C879" s="56">
        <f>IF($B879=0,"",IF(Inputs!$B$6="","",IF($AD879=0,C878,SUMIFS(Data!$B$10:$B$3209,Data!$A$10:$A$3209,"&gt;="&amp;$A879,Data!$A$10:$A$3209,"&lt;"&amp;$A879+1)/$AD879)))</f>
        <v/>
      </c>
      <c r="D879" s="56">
        <f>IF($B879=0,"",IF(Inputs!$B$7="","",IF($AE879=0,D878,SUMIFS(Data!$F$10:$F$3209,Data!$E$10:$E$3209,"&gt;="&amp;$A879,Data!$E$10:$E$3209,"&lt;"&amp;$A879+1)/$AE879)))</f>
        <v/>
      </c>
      <c r="E879" s="56">
        <f>IF($B879=0,"",IF(Inputs!$B$8="","",IF($AF879=0,E878,SUMIFS(Data!$J$10:$J$3209,Data!$I$10:$I$3209,"&gt;="&amp;$A879,Data!$I$10:$I$3209,"&lt;"&amp;$A879+1)/$AF879)))</f>
        <v/>
      </c>
      <c r="F879" s="56">
        <f>IF($B879=0,"",IF(Inputs!$B$9="","",IF($AG879=0,F878,SUMIFS(Data!$N$10:$N$3209,Data!$M$10:$M$3209,"&gt;="&amp;$A879,Data!$M$10:$M$3209,"&lt;"&amp;$A879+1)/$AG879)))</f>
        <v/>
      </c>
      <c r="G879" s="56">
        <f>IF($B879=0,"",IF(Inputs!$B$10="","",IF($AH879=0,G878,SUMIFS(Data!$R$10:$R$3209,Data!$Q$10:$Q$3209,"&gt;="&amp;$A879,Data!$Q$10:$Q$3209,"&lt;"&amp;$A879+1)/$AH879)))</f>
        <v/>
      </c>
      <c r="I879" s="54">
        <f>IF($B879=0,NA(),IF($C879="",NA(),IF(C$8="",NA(),IF(N(C$8)=0,NA(),IF(Inputs!$C$17="Rebased to 100",$C879/C$8*100,$C879)))))</f>
        <v/>
      </c>
      <c r="J879" s="54">
        <f>IF($B879=0,NA(),IF($D879="",NA(),IF(D$8="",NA(),IF(N(D$8)=0,NA(),IF(Inputs!$C$17="Rebased to 100",$D879/D$8*100,$D879)))))</f>
        <v/>
      </c>
      <c r="K879" s="54">
        <f>IF($B879=0,NA(),IF($E879="",NA(),IF(E$8="",NA(),IF(N(E$8)=0,NA(),IF(Inputs!$C$17="Rebased to 100",$E879/E$8*100,$E879)))))</f>
        <v/>
      </c>
      <c r="L879" s="54">
        <f>IF($B879=0,NA(),IF($F879="",NA(),IF(F$8="",NA(),IF(N(F$8)=0,NA(),IF(Inputs!$C$17="Rebased to 100",$F879/F$8*100,$F879)))))</f>
        <v/>
      </c>
      <c r="M879" s="54">
        <f>IF($B879=0,NA(),IF($G879="",NA(),IF(G$8="",NA(),IF(N(G$8)=0,NA(),IF(Inputs!$C$17="Rebased to 100",$G879/G$8*100,$G879)))))</f>
        <v/>
      </c>
      <c r="N879" s="54">
        <f>IF($B879=0,NA(),IF(Inputs!$C$18&lt;&gt;"Yes",NA(),IF(COUNT(I879,J879,K879,L879,M879)=0,NA(),MIN(I879,J879,K879,L879,M879))))</f>
        <v/>
      </c>
      <c r="O879" s="54">
        <f>IF($B879=0,NA(),IF(Inputs!$B$24&lt;&gt;"Yes",NA(),Inputs!$D$24*Inputs!$C$35))</f>
        <v/>
      </c>
      <c r="P879" s="54">
        <f>IF($B879=0,NA(),IF(Inputs!$B$25&lt;&gt;"Yes",NA(),Inputs!$D$25*Inputs!$C$35))</f>
        <v/>
      </c>
      <c r="Q879" s="54">
        <f>IF($B879=0,NA(),IF(Inputs!$B$26&lt;&gt;"Yes",NA(),Inputs!$D$26*Inputs!$C$35))</f>
        <v/>
      </c>
      <c r="R879" s="54">
        <f>IF($B879=0,NA(),IF(Inputs!$B$27&lt;&gt;"Yes",NA(),Inputs!$D$27*Inputs!$C$35))</f>
        <v/>
      </c>
      <c r="S879" s="54">
        <f>IF($B879=0,NA(),IF(Inputs!$B$28&lt;&gt;"Yes",NA(),Inputs!$D$28*Inputs!$C$35))</f>
        <v/>
      </c>
      <c r="T879" s="54">
        <f>IF($B879=0,NA(),IF(Inputs!$B$29&lt;&gt;"Yes",NA(),Inputs!$D$29*Inputs!$C$35))</f>
        <v/>
      </c>
      <c r="AD879">
        <f>IF($B879=0,0,IF(Inputs!$B$6="",0,COUNTIFS(Data!$A$10:$A$3209,"&gt;="&amp;$A879,Data!$A$10:$A$3209,"&lt;"&amp;$A879+1)))</f>
        <v/>
      </c>
      <c r="AE879">
        <f>IF($B879=0,0,IF(Inputs!$B$7="",0,COUNTIFS(Data!$E$10:$E$3209,"&gt;="&amp;$A879,Data!$E$10:$E$3209,"&lt;"&amp;$A879+1)))</f>
        <v/>
      </c>
      <c r="AF879">
        <f>IF($B879=0,0,IF(Inputs!$B$8="",0,COUNTIFS(Data!$I$10:$I$3209,"&gt;="&amp;$A879,Data!$I$10:$I$3209,"&lt;"&amp;$A879+1)))</f>
        <v/>
      </c>
      <c r="AG879">
        <f>IF($B879=0,0,IF(Inputs!$B$9="",0,COUNTIFS(Data!$M$10:$M$3209,"&gt;="&amp;$A879,Data!$M$10:$M$3209,"&lt;"&amp;$A879+1)))</f>
        <v/>
      </c>
      <c r="AH879">
        <f>IF($B879=0,0,IF(Inputs!$B$10="",0,COUNTIFS(Data!$Q$10:$Q$3209,"&gt;="&amp;$A879,Data!$Q$10:$Q$3209,"&lt;"&amp;$A879+1)))</f>
        <v/>
      </c>
    </row>
    <row r="880">
      <c r="A880" s="55">
        <f>MIN(Inputs!$C$15,$A879+IF(WEEKDAY($A879,2)=5,3,1))</f>
        <v/>
      </c>
      <c r="B880">
        <f>IF($A880&gt;$A879,1,0)</f>
        <v/>
      </c>
      <c r="C880" s="56">
        <f>IF($B880=0,"",IF(Inputs!$B$6="","",IF($AD880=0,C879,SUMIFS(Data!$B$10:$B$3209,Data!$A$10:$A$3209,"&gt;="&amp;$A880,Data!$A$10:$A$3209,"&lt;"&amp;$A880+1)/$AD880)))</f>
        <v/>
      </c>
      <c r="D880" s="56">
        <f>IF($B880=0,"",IF(Inputs!$B$7="","",IF($AE880=0,D879,SUMIFS(Data!$F$10:$F$3209,Data!$E$10:$E$3209,"&gt;="&amp;$A880,Data!$E$10:$E$3209,"&lt;"&amp;$A880+1)/$AE880)))</f>
        <v/>
      </c>
      <c r="E880" s="56">
        <f>IF($B880=0,"",IF(Inputs!$B$8="","",IF($AF880=0,E879,SUMIFS(Data!$J$10:$J$3209,Data!$I$10:$I$3209,"&gt;="&amp;$A880,Data!$I$10:$I$3209,"&lt;"&amp;$A880+1)/$AF880)))</f>
        <v/>
      </c>
      <c r="F880" s="56">
        <f>IF($B880=0,"",IF(Inputs!$B$9="","",IF($AG880=0,F879,SUMIFS(Data!$N$10:$N$3209,Data!$M$10:$M$3209,"&gt;="&amp;$A880,Data!$M$10:$M$3209,"&lt;"&amp;$A880+1)/$AG880)))</f>
        <v/>
      </c>
      <c r="G880" s="56">
        <f>IF($B880=0,"",IF(Inputs!$B$10="","",IF($AH880=0,G879,SUMIFS(Data!$R$10:$R$3209,Data!$Q$10:$Q$3209,"&gt;="&amp;$A880,Data!$Q$10:$Q$3209,"&lt;"&amp;$A880+1)/$AH880)))</f>
        <v/>
      </c>
      <c r="I880" s="54">
        <f>IF($B880=0,NA(),IF($C880="",NA(),IF(C$8="",NA(),IF(N(C$8)=0,NA(),IF(Inputs!$C$17="Rebased to 100",$C880/C$8*100,$C880)))))</f>
        <v/>
      </c>
      <c r="J880" s="54">
        <f>IF($B880=0,NA(),IF($D880="",NA(),IF(D$8="",NA(),IF(N(D$8)=0,NA(),IF(Inputs!$C$17="Rebased to 100",$D880/D$8*100,$D880)))))</f>
        <v/>
      </c>
      <c r="K880" s="54">
        <f>IF($B880=0,NA(),IF($E880="",NA(),IF(E$8="",NA(),IF(N(E$8)=0,NA(),IF(Inputs!$C$17="Rebased to 100",$E880/E$8*100,$E880)))))</f>
        <v/>
      </c>
      <c r="L880" s="54">
        <f>IF($B880=0,NA(),IF($F880="",NA(),IF(F$8="",NA(),IF(N(F$8)=0,NA(),IF(Inputs!$C$17="Rebased to 100",$F880/F$8*100,$F880)))))</f>
        <v/>
      </c>
      <c r="M880" s="54">
        <f>IF($B880=0,NA(),IF($G880="",NA(),IF(G$8="",NA(),IF(N(G$8)=0,NA(),IF(Inputs!$C$17="Rebased to 100",$G880/G$8*100,$G880)))))</f>
        <v/>
      </c>
      <c r="N880" s="54">
        <f>IF($B880=0,NA(),IF(Inputs!$C$18&lt;&gt;"Yes",NA(),IF(COUNT(I880,J880,K880,L880,M880)=0,NA(),MIN(I880,J880,K880,L880,M880))))</f>
        <v/>
      </c>
      <c r="O880" s="54">
        <f>IF($B880=0,NA(),IF(Inputs!$B$24&lt;&gt;"Yes",NA(),Inputs!$D$24*Inputs!$C$35))</f>
        <v/>
      </c>
      <c r="P880" s="54">
        <f>IF($B880=0,NA(),IF(Inputs!$B$25&lt;&gt;"Yes",NA(),Inputs!$D$25*Inputs!$C$35))</f>
        <v/>
      </c>
      <c r="Q880" s="54">
        <f>IF($B880=0,NA(),IF(Inputs!$B$26&lt;&gt;"Yes",NA(),Inputs!$D$26*Inputs!$C$35))</f>
        <v/>
      </c>
      <c r="R880" s="54">
        <f>IF($B880=0,NA(),IF(Inputs!$B$27&lt;&gt;"Yes",NA(),Inputs!$D$27*Inputs!$C$35))</f>
        <v/>
      </c>
      <c r="S880" s="54">
        <f>IF($B880=0,NA(),IF(Inputs!$B$28&lt;&gt;"Yes",NA(),Inputs!$D$28*Inputs!$C$35))</f>
        <v/>
      </c>
      <c r="T880" s="54">
        <f>IF($B880=0,NA(),IF(Inputs!$B$29&lt;&gt;"Yes",NA(),Inputs!$D$29*Inputs!$C$35))</f>
        <v/>
      </c>
      <c r="AD880">
        <f>IF($B880=0,0,IF(Inputs!$B$6="",0,COUNTIFS(Data!$A$10:$A$3209,"&gt;="&amp;$A880,Data!$A$10:$A$3209,"&lt;"&amp;$A880+1)))</f>
        <v/>
      </c>
      <c r="AE880">
        <f>IF($B880=0,0,IF(Inputs!$B$7="",0,COUNTIFS(Data!$E$10:$E$3209,"&gt;="&amp;$A880,Data!$E$10:$E$3209,"&lt;"&amp;$A880+1)))</f>
        <v/>
      </c>
      <c r="AF880">
        <f>IF($B880=0,0,IF(Inputs!$B$8="",0,COUNTIFS(Data!$I$10:$I$3209,"&gt;="&amp;$A880,Data!$I$10:$I$3209,"&lt;"&amp;$A880+1)))</f>
        <v/>
      </c>
      <c r="AG880">
        <f>IF($B880=0,0,IF(Inputs!$B$9="",0,COUNTIFS(Data!$M$10:$M$3209,"&gt;="&amp;$A880,Data!$M$10:$M$3209,"&lt;"&amp;$A880+1)))</f>
        <v/>
      </c>
      <c r="AH880">
        <f>IF($B880=0,0,IF(Inputs!$B$10="",0,COUNTIFS(Data!$Q$10:$Q$3209,"&gt;="&amp;$A880,Data!$Q$10:$Q$3209,"&lt;"&amp;$A880+1)))</f>
        <v/>
      </c>
    </row>
    <row r="881">
      <c r="A881" s="55">
        <f>MIN(Inputs!$C$15,$A880+IF(WEEKDAY($A880,2)=5,3,1))</f>
        <v/>
      </c>
      <c r="B881">
        <f>IF($A881&gt;$A880,1,0)</f>
        <v/>
      </c>
      <c r="C881" s="56">
        <f>IF($B881=0,"",IF(Inputs!$B$6="","",IF($AD881=0,C880,SUMIFS(Data!$B$10:$B$3209,Data!$A$10:$A$3209,"&gt;="&amp;$A881,Data!$A$10:$A$3209,"&lt;"&amp;$A881+1)/$AD881)))</f>
        <v/>
      </c>
      <c r="D881" s="56">
        <f>IF($B881=0,"",IF(Inputs!$B$7="","",IF($AE881=0,D880,SUMIFS(Data!$F$10:$F$3209,Data!$E$10:$E$3209,"&gt;="&amp;$A881,Data!$E$10:$E$3209,"&lt;"&amp;$A881+1)/$AE881)))</f>
        <v/>
      </c>
      <c r="E881" s="56">
        <f>IF($B881=0,"",IF(Inputs!$B$8="","",IF($AF881=0,E880,SUMIFS(Data!$J$10:$J$3209,Data!$I$10:$I$3209,"&gt;="&amp;$A881,Data!$I$10:$I$3209,"&lt;"&amp;$A881+1)/$AF881)))</f>
        <v/>
      </c>
      <c r="F881" s="56">
        <f>IF($B881=0,"",IF(Inputs!$B$9="","",IF($AG881=0,F880,SUMIFS(Data!$N$10:$N$3209,Data!$M$10:$M$3209,"&gt;="&amp;$A881,Data!$M$10:$M$3209,"&lt;"&amp;$A881+1)/$AG881)))</f>
        <v/>
      </c>
      <c r="G881" s="56">
        <f>IF($B881=0,"",IF(Inputs!$B$10="","",IF($AH881=0,G880,SUMIFS(Data!$R$10:$R$3209,Data!$Q$10:$Q$3209,"&gt;="&amp;$A881,Data!$Q$10:$Q$3209,"&lt;"&amp;$A881+1)/$AH881)))</f>
        <v/>
      </c>
      <c r="I881" s="54">
        <f>IF($B881=0,NA(),IF($C881="",NA(),IF(C$8="",NA(),IF(N(C$8)=0,NA(),IF(Inputs!$C$17="Rebased to 100",$C881/C$8*100,$C881)))))</f>
        <v/>
      </c>
      <c r="J881" s="54">
        <f>IF($B881=0,NA(),IF($D881="",NA(),IF(D$8="",NA(),IF(N(D$8)=0,NA(),IF(Inputs!$C$17="Rebased to 100",$D881/D$8*100,$D881)))))</f>
        <v/>
      </c>
      <c r="K881" s="54">
        <f>IF($B881=0,NA(),IF($E881="",NA(),IF(E$8="",NA(),IF(N(E$8)=0,NA(),IF(Inputs!$C$17="Rebased to 100",$E881/E$8*100,$E881)))))</f>
        <v/>
      </c>
      <c r="L881" s="54">
        <f>IF($B881=0,NA(),IF($F881="",NA(),IF(F$8="",NA(),IF(N(F$8)=0,NA(),IF(Inputs!$C$17="Rebased to 100",$F881/F$8*100,$F881)))))</f>
        <v/>
      </c>
      <c r="M881" s="54">
        <f>IF($B881=0,NA(),IF($G881="",NA(),IF(G$8="",NA(),IF(N(G$8)=0,NA(),IF(Inputs!$C$17="Rebased to 100",$G881/G$8*100,$G881)))))</f>
        <v/>
      </c>
      <c r="N881" s="54">
        <f>IF($B881=0,NA(),IF(Inputs!$C$18&lt;&gt;"Yes",NA(),IF(COUNT(I881,J881,K881,L881,M881)=0,NA(),MIN(I881,J881,K881,L881,M881))))</f>
        <v/>
      </c>
      <c r="O881" s="54">
        <f>IF($B881=0,NA(),IF(Inputs!$B$24&lt;&gt;"Yes",NA(),Inputs!$D$24*Inputs!$C$35))</f>
        <v/>
      </c>
      <c r="P881" s="54">
        <f>IF($B881=0,NA(),IF(Inputs!$B$25&lt;&gt;"Yes",NA(),Inputs!$D$25*Inputs!$C$35))</f>
        <v/>
      </c>
      <c r="Q881" s="54">
        <f>IF($B881=0,NA(),IF(Inputs!$B$26&lt;&gt;"Yes",NA(),Inputs!$D$26*Inputs!$C$35))</f>
        <v/>
      </c>
      <c r="R881" s="54">
        <f>IF($B881=0,NA(),IF(Inputs!$B$27&lt;&gt;"Yes",NA(),Inputs!$D$27*Inputs!$C$35))</f>
        <v/>
      </c>
      <c r="S881" s="54">
        <f>IF($B881=0,NA(),IF(Inputs!$B$28&lt;&gt;"Yes",NA(),Inputs!$D$28*Inputs!$C$35))</f>
        <v/>
      </c>
      <c r="T881" s="54">
        <f>IF($B881=0,NA(),IF(Inputs!$B$29&lt;&gt;"Yes",NA(),Inputs!$D$29*Inputs!$C$35))</f>
        <v/>
      </c>
      <c r="AD881">
        <f>IF($B881=0,0,IF(Inputs!$B$6="",0,COUNTIFS(Data!$A$10:$A$3209,"&gt;="&amp;$A881,Data!$A$10:$A$3209,"&lt;"&amp;$A881+1)))</f>
        <v/>
      </c>
      <c r="AE881">
        <f>IF($B881=0,0,IF(Inputs!$B$7="",0,COUNTIFS(Data!$E$10:$E$3209,"&gt;="&amp;$A881,Data!$E$10:$E$3209,"&lt;"&amp;$A881+1)))</f>
        <v/>
      </c>
      <c r="AF881">
        <f>IF($B881=0,0,IF(Inputs!$B$8="",0,COUNTIFS(Data!$I$10:$I$3209,"&gt;="&amp;$A881,Data!$I$10:$I$3209,"&lt;"&amp;$A881+1)))</f>
        <v/>
      </c>
      <c r="AG881">
        <f>IF($B881=0,0,IF(Inputs!$B$9="",0,COUNTIFS(Data!$M$10:$M$3209,"&gt;="&amp;$A881,Data!$M$10:$M$3209,"&lt;"&amp;$A881+1)))</f>
        <v/>
      </c>
      <c r="AH881">
        <f>IF($B881=0,0,IF(Inputs!$B$10="",0,COUNTIFS(Data!$Q$10:$Q$3209,"&gt;="&amp;$A881,Data!$Q$10:$Q$3209,"&lt;"&amp;$A881+1)))</f>
        <v/>
      </c>
    </row>
    <row r="882">
      <c r="A882" s="55">
        <f>MIN(Inputs!$C$15,$A881+IF(WEEKDAY($A881,2)=5,3,1))</f>
        <v/>
      </c>
      <c r="B882">
        <f>IF($A882&gt;$A881,1,0)</f>
        <v/>
      </c>
      <c r="C882" s="56">
        <f>IF($B882=0,"",IF(Inputs!$B$6="","",IF($AD882=0,C881,SUMIFS(Data!$B$10:$B$3209,Data!$A$10:$A$3209,"&gt;="&amp;$A882,Data!$A$10:$A$3209,"&lt;"&amp;$A882+1)/$AD882)))</f>
        <v/>
      </c>
      <c r="D882" s="56">
        <f>IF($B882=0,"",IF(Inputs!$B$7="","",IF($AE882=0,D881,SUMIFS(Data!$F$10:$F$3209,Data!$E$10:$E$3209,"&gt;="&amp;$A882,Data!$E$10:$E$3209,"&lt;"&amp;$A882+1)/$AE882)))</f>
        <v/>
      </c>
      <c r="E882" s="56">
        <f>IF($B882=0,"",IF(Inputs!$B$8="","",IF($AF882=0,E881,SUMIFS(Data!$J$10:$J$3209,Data!$I$10:$I$3209,"&gt;="&amp;$A882,Data!$I$10:$I$3209,"&lt;"&amp;$A882+1)/$AF882)))</f>
        <v/>
      </c>
      <c r="F882" s="56">
        <f>IF($B882=0,"",IF(Inputs!$B$9="","",IF($AG882=0,F881,SUMIFS(Data!$N$10:$N$3209,Data!$M$10:$M$3209,"&gt;="&amp;$A882,Data!$M$10:$M$3209,"&lt;"&amp;$A882+1)/$AG882)))</f>
        <v/>
      </c>
      <c r="G882" s="56">
        <f>IF($B882=0,"",IF(Inputs!$B$10="","",IF($AH882=0,G881,SUMIFS(Data!$R$10:$R$3209,Data!$Q$10:$Q$3209,"&gt;="&amp;$A882,Data!$Q$10:$Q$3209,"&lt;"&amp;$A882+1)/$AH882)))</f>
        <v/>
      </c>
      <c r="I882" s="54">
        <f>IF($B882=0,NA(),IF($C882="",NA(),IF(C$8="",NA(),IF(N(C$8)=0,NA(),IF(Inputs!$C$17="Rebased to 100",$C882/C$8*100,$C882)))))</f>
        <v/>
      </c>
      <c r="J882" s="54">
        <f>IF($B882=0,NA(),IF($D882="",NA(),IF(D$8="",NA(),IF(N(D$8)=0,NA(),IF(Inputs!$C$17="Rebased to 100",$D882/D$8*100,$D882)))))</f>
        <v/>
      </c>
      <c r="K882" s="54">
        <f>IF($B882=0,NA(),IF($E882="",NA(),IF(E$8="",NA(),IF(N(E$8)=0,NA(),IF(Inputs!$C$17="Rebased to 100",$E882/E$8*100,$E882)))))</f>
        <v/>
      </c>
      <c r="L882" s="54">
        <f>IF($B882=0,NA(),IF($F882="",NA(),IF(F$8="",NA(),IF(N(F$8)=0,NA(),IF(Inputs!$C$17="Rebased to 100",$F882/F$8*100,$F882)))))</f>
        <v/>
      </c>
      <c r="M882" s="54">
        <f>IF($B882=0,NA(),IF($G882="",NA(),IF(G$8="",NA(),IF(N(G$8)=0,NA(),IF(Inputs!$C$17="Rebased to 100",$G882/G$8*100,$G882)))))</f>
        <v/>
      </c>
      <c r="N882" s="54">
        <f>IF($B882=0,NA(),IF(Inputs!$C$18&lt;&gt;"Yes",NA(),IF(COUNT(I882,J882,K882,L882,M882)=0,NA(),MIN(I882,J882,K882,L882,M882))))</f>
        <v/>
      </c>
      <c r="O882" s="54">
        <f>IF($B882=0,NA(),IF(Inputs!$B$24&lt;&gt;"Yes",NA(),Inputs!$D$24*Inputs!$C$35))</f>
        <v/>
      </c>
      <c r="P882" s="54">
        <f>IF($B882=0,NA(),IF(Inputs!$B$25&lt;&gt;"Yes",NA(),Inputs!$D$25*Inputs!$C$35))</f>
        <v/>
      </c>
      <c r="Q882" s="54">
        <f>IF($B882=0,NA(),IF(Inputs!$B$26&lt;&gt;"Yes",NA(),Inputs!$D$26*Inputs!$C$35))</f>
        <v/>
      </c>
      <c r="R882" s="54">
        <f>IF($B882=0,NA(),IF(Inputs!$B$27&lt;&gt;"Yes",NA(),Inputs!$D$27*Inputs!$C$35))</f>
        <v/>
      </c>
      <c r="S882" s="54">
        <f>IF($B882=0,NA(),IF(Inputs!$B$28&lt;&gt;"Yes",NA(),Inputs!$D$28*Inputs!$C$35))</f>
        <v/>
      </c>
      <c r="T882" s="54">
        <f>IF($B882=0,NA(),IF(Inputs!$B$29&lt;&gt;"Yes",NA(),Inputs!$D$29*Inputs!$C$35))</f>
        <v/>
      </c>
      <c r="AD882">
        <f>IF($B882=0,0,IF(Inputs!$B$6="",0,COUNTIFS(Data!$A$10:$A$3209,"&gt;="&amp;$A882,Data!$A$10:$A$3209,"&lt;"&amp;$A882+1)))</f>
        <v/>
      </c>
      <c r="AE882">
        <f>IF($B882=0,0,IF(Inputs!$B$7="",0,COUNTIFS(Data!$E$10:$E$3209,"&gt;="&amp;$A882,Data!$E$10:$E$3209,"&lt;"&amp;$A882+1)))</f>
        <v/>
      </c>
      <c r="AF882">
        <f>IF($B882=0,0,IF(Inputs!$B$8="",0,COUNTIFS(Data!$I$10:$I$3209,"&gt;="&amp;$A882,Data!$I$10:$I$3209,"&lt;"&amp;$A882+1)))</f>
        <v/>
      </c>
      <c r="AG882">
        <f>IF($B882=0,0,IF(Inputs!$B$9="",0,COUNTIFS(Data!$M$10:$M$3209,"&gt;="&amp;$A882,Data!$M$10:$M$3209,"&lt;"&amp;$A882+1)))</f>
        <v/>
      </c>
      <c r="AH882">
        <f>IF($B882=0,0,IF(Inputs!$B$10="",0,COUNTIFS(Data!$Q$10:$Q$3209,"&gt;="&amp;$A882,Data!$Q$10:$Q$3209,"&lt;"&amp;$A882+1)))</f>
        <v/>
      </c>
    </row>
    <row r="883">
      <c r="A883" s="55">
        <f>MIN(Inputs!$C$15,$A882+IF(WEEKDAY($A882,2)=5,3,1))</f>
        <v/>
      </c>
      <c r="B883">
        <f>IF($A883&gt;$A882,1,0)</f>
        <v/>
      </c>
      <c r="C883" s="56">
        <f>IF($B883=0,"",IF(Inputs!$B$6="","",IF($AD883=0,C882,SUMIFS(Data!$B$10:$B$3209,Data!$A$10:$A$3209,"&gt;="&amp;$A883,Data!$A$10:$A$3209,"&lt;"&amp;$A883+1)/$AD883)))</f>
        <v/>
      </c>
      <c r="D883" s="56">
        <f>IF($B883=0,"",IF(Inputs!$B$7="","",IF($AE883=0,D882,SUMIFS(Data!$F$10:$F$3209,Data!$E$10:$E$3209,"&gt;="&amp;$A883,Data!$E$10:$E$3209,"&lt;"&amp;$A883+1)/$AE883)))</f>
        <v/>
      </c>
      <c r="E883" s="56">
        <f>IF($B883=0,"",IF(Inputs!$B$8="","",IF($AF883=0,E882,SUMIFS(Data!$J$10:$J$3209,Data!$I$10:$I$3209,"&gt;="&amp;$A883,Data!$I$10:$I$3209,"&lt;"&amp;$A883+1)/$AF883)))</f>
        <v/>
      </c>
      <c r="F883" s="56">
        <f>IF($B883=0,"",IF(Inputs!$B$9="","",IF($AG883=0,F882,SUMIFS(Data!$N$10:$N$3209,Data!$M$10:$M$3209,"&gt;="&amp;$A883,Data!$M$10:$M$3209,"&lt;"&amp;$A883+1)/$AG883)))</f>
        <v/>
      </c>
      <c r="G883" s="56">
        <f>IF($B883=0,"",IF(Inputs!$B$10="","",IF($AH883=0,G882,SUMIFS(Data!$R$10:$R$3209,Data!$Q$10:$Q$3209,"&gt;="&amp;$A883,Data!$Q$10:$Q$3209,"&lt;"&amp;$A883+1)/$AH883)))</f>
        <v/>
      </c>
      <c r="I883" s="54">
        <f>IF($B883=0,NA(),IF($C883="",NA(),IF(C$8="",NA(),IF(N(C$8)=0,NA(),IF(Inputs!$C$17="Rebased to 100",$C883/C$8*100,$C883)))))</f>
        <v/>
      </c>
      <c r="J883" s="54">
        <f>IF($B883=0,NA(),IF($D883="",NA(),IF(D$8="",NA(),IF(N(D$8)=0,NA(),IF(Inputs!$C$17="Rebased to 100",$D883/D$8*100,$D883)))))</f>
        <v/>
      </c>
      <c r="K883" s="54">
        <f>IF($B883=0,NA(),IF($E883="",NA(),IF(E$8="",NA(),IF(N(E$8)=0,NA(),IF(Inputs!$C$17="Rebased to 100",$E883/E$8*100,$E883)))))</f>
        <v/>
      </c>
      <c r="L883" s="54">
        <f>IF($B883=0,NA(),IF($F883="",NA(),IF(F$8="",NA(),IF(N(F$8)=0,NA(),IF(Inputs!$C$17="Rebased to 100",$F883/F$8*100,$F883)))))</f>
        <v/>
      </c>
      <c r="M883" s="54">
        <f>IF($B883=0,NA(),IF($G883="",NA(),IF(G$8="",NA(),IF(N(G$8)=0,NA(),IF(Inputs!$C$17="Rebased to 100",$G883/G$8*100,$G883)))))</f>
        <v/>
      </c>
      <c r="N883" s="54">
        <f>IF($B883=0,NA(),IF(Inputs!$C$18&lt;&gt;"Yes",NA(),IF(COUNT(I883,J883,K883,L883,M883)=0,NA(),MIN(I883,J883,K883,L883,M883))))</f>
        <v/>
      </c>
      <c r="O883" s="54">
        <f>IF($B883=0,NA(),IF(Inputs!$B$24&lt;&gt;"Yes",NA(),Inputs!$D$24*Inputs!$C$35))</f>
        <v/>
      </c>
      <c r="P883" s="54">
        <f>IF($B883=0,NA(),IF(Inputs!$B$25&lt;&gt;"Yes",NA(),Inputs!$D$25*Inputs!$C$35))</f>
        <v/>
      </c>
      <c r="Q883" s="54">
        <f>IF($B883=0,NA(),IF(Inputs!$B$26&lt;&gt;"Yes",NA(),Inputs!$D$26*Inputs!$C$35))</f>
        <v/>
      </c>
      <c r="R883" s="54">
        <f>IF($B883=0,NA(),IF(Inputs!$B$27&lt;&gt;"Yes",NA(),Inputs!$D$27*Inputs!$C$35))</f>
        <v/>
      </c>
      <c r="S883" s="54">
        <f>IF($B883=0,NA(),IF(Inputs!$B$28&lt;&gt;"Yes",NA(),Inputs!$D$28*Inputs!$C$35))</f>
        <v/>
      </c>
      <c r="T883" s="54">
        <f>IF($B883=0,NA(),IF(Inputs!$B$29&lt;&gt;"Yes",NA(),Inputs!$D$29*Inputs!$C$35))</f>
        <v/>
      </c>
      <c r="AD883">
        <f>IF($B883=0,0,IF(Inputs!$B$6="",0,COUNTIFS(Data!$A$10:$A$3209,"&gt;="&amp;$A883,Data!$A$10:$A$3209,"&lt;"&amp;$A883+1)))</f>
        <v/>
      </c>
      <c r="AE883">
        <f>IF($B883=0,0,IF(Inputs!$B$7="",0,COUNTIFS(Data!$E$10:$E$3209,"&gt;="&amp;$A883,Data!$E$10:$E$3209,"&lt;"&amp;$A883+1)))</f>
        <v/>
      </c>
      <c r="AF883">
        <f>IF($B883=0,0,IF(Inputs!$B$8="",0,COUNTIFS(Data!$I$10:$I$3209,"&gt;="&amp;$A883,Data!$I$10:$I$3209,"&lt;"&amp;$A883+1)))</f>
        <v/>
      </c>
      <c r="AG883">
        <f>IF($B883=0,0,IF(Inputs!$B$9="",0,COUNTIFS(Data!$M$10:$M$3209,"&gt;="&amp;$A883,Data!$M$10:$M$3209,"&lt;"&amp;$A883+1)))</f>
        <v/>
      </c>
      <c r="AH883">
        <f>IF($B883=0,0,IF(Inputs!$B$10="",0,COUNTIFS(Data!$Q$10:$Q$3209,"&gt;="&amp;$A883,Data!$Q$10:$Q$3209,"&lt;"&amp;$A883+1)))</f>
        <v/>
      </c>
    </row>
    <row r="884">
      <c r="A884" s="55">
        <f>MIN(Inputs!$C$15,$A883+IF(WEEKDAY($A883,2)=5,3,1))</f>
        <v/>
      </c>
      <c r="B884">
        <f>IF($A884&gt;$A883,1,0)</f>
        <v/>
      </c>
      <c r="C884" s="56">
        <f>IF($B884=0,"",IF(Inputs!$B$6="","",IF($AD884=0,C883,SUMIFS(Data!$B$10:$B$3209,Data!$A$10:$A$3209,"&gt;="&amp;$A884,Data!$A$10:$A$3209,"&lt;"&amp;$A884+1)/$AD884)))</f>
        <v/>
      </c>
      <c r="D884" s="56">
        <f>IF($B884=0,"",IF(Inputs!$B$7="","",IF($AE884=0,D883,SUMIFS(Data!$F$10:$F$3209,Data!$E$10:$E$3209,"&gt;="&amp;$A884,Data!$E$10:$E$3209,"&lt;"&amp;$A884+1)/$AE884)))</f>
        <v/>
      </c>
      <c r="E884" s="56">
        <f>IF($B884=0,"",IF(Inputs!$B$8="","",IF($AF884=0,E883,SUMIFS(Data!$J$10:$J$3209,Data!$I$10:$I$3209,"&gt;="&amp;$A884,Data!$I$10:$I$3209,"&lt;"&amp;$A884+1)/$AF884)))</f>
        <v/>
      </c>
      <c r="F884" s="56">
        <f>IF($B884=0,"",IF(Inputs!$B$9="","",IF($AG884=0,F883,SUMIFS(Data!$N$10:$N$3209,Data!$M$10:$M$3209,"&gt;="&amp;$A884,Data!$M$10:$M$3209,"&lt;"&amp;$A884+1)/$AG884)))</f>
        <v/>
      </c>
      <c r="G884" s="56">
        <f>IF($B884=0,"",IF(Inputs!$B$10="","",IF($AH884=0,G883,SUMIFS(Data!$R$10:$R$3209,Data!$Q$10:$Q$3209,"&gt;="&amp;$A884,Data!$Q$10:$Q$3209,"&lt;"&amp;$A884+1)/$AH884)))</f>
        <v/>
      </c>
      <c r="I884" s="54">
        <f>IF($B884=0,NA(),IF($C884="",NA(),IF(C$8="",NA(),IF(N(C$8)=0,NA(),IF(Inputs!$C$17="Rebased to 100",$C884/C$8*100,$C884)))))</f>
        <v/>
      </c>
      <c r="J884" s="54">
        <f>IF($B884=0,NA(),IF($D884="",NA(),IF(D$8="",NA(),IF(N(D$8)=0,NA(),IF(Inputs!$C$17="Rebased to 100",$D884/D$8*100,$D884)))))</f>
        <v/>
      </c>
      <c r="K884" s="54">
        <f>IF($B884=0,NA(),IF($E884="",NA(),IF(E$8="",NA(),IF(N(E$8)=0,NA(),IF(Inputs!$C$17="Rebased to 100",$E884/E$8*100,$E884)))))</f>
        <v/>
      </c>
      <c r="L884" s="54">
        <f>IF($B884=0,NA(),IF($F884="",NA(),IF(F$8="",NA(),IF(N(F$8)=0,NA(),IF(Inputs!$C$17="Rebased to 100",$F884/F$8*100,$F884)))))</f>
        <v/>
      </c>
      <c r="M884" s="54">
        <f>IF($B884=0,NA(),IF($G884="",NA(),IF(G$8="",NA(),IF(N(G$8)=0,NA(),IF(Inputs!$C$17="Rebased to 100",$G884/G$8*100,$G884)))))</f>
        <v/>
      </c>
      <c r="N884" s="54">
        <f>IF($B884=0,NA(),IF(Inputs!$C$18&lt;&gt;"Yes",NA(),IF(COUNT(I884,J884,K884,L884,M884)=0,NA(),MIN(I884,J884,K884,L884,M884))))</f>
        <v/>
      </c>
      <c r="O884" s="54">
        <f>IF($B884=0,NA(),IF(Inputs!$B$24&lt;&gt;"Yes",NA(),Inputs!$D$24*Inputs!$C$35))</f>
        <v/>
      </c>
      <c r="P884" s="54">
        <f>IF($B884=0,NA(),IF(Inputs!$B$25&lt;&gt;"Yes",NA(),Inputs!$D$25*Inputs!$C$35))</f>
        <v/>
      </c>
      <c r="Q884" s="54">
        <f>IF($B884=0,NA(),IF(Inputs!$B$26&lt;&gt;"Yes",NA(),Inputs!$D$26*Inputs!$C$35))</f>
        <v/>
      </c>
      <c r="R884" s="54">
        <f>IF($B884=0,NA(),IF(Inputs!$B$27&lt;&gt;"Yes",NA(),Inputs!$D$27*Inputs!$C$35))</f>
        <v/>
      </c>
      <c r="S884" s="54">
        <f>IF($B884=0,NA(),IF(Inputs!$B$28&lt;&gt;"Yes",NA(),Inputs!$D$28*Inputs!$C$35))</f>
        <v/>
      </c>
      <c r="T884" s="54">
        <f>IF($B884=0,NA(),IF(Inputs!$B$29&lt;&gt;"Yes",NA(),Inputs!$D$29*Inputs!$C$35))</f>
        <v/>
      </c>
      <c r="AD884">
        <f>IF($B884=0,0,IF(Inputs!$B$6="",0,COUNTIFS(Data!$A$10:$A$3209,"&gt;="&amp;$A884,Data!$A$10:$A$3209,"&lt;"&amp;$A884+1)))</f>
        <v/>
      </c>
      <c r="AE884">
        <f>IF($B884=0,0,IF(Inputs!$B$7="",0,COUNTIFS(Data!$E$10:$E$3209,"&gt;="&amp;$A884,Data!$E$10:$E$3209,"&lt;"&amp;$A884+1)))</f>
        <v/>
      </c>
      <c r="AF884">
        <f>IF($B884=0,0,IF(Inputs!$B$8="",0,COUNTIFS(Data!$I$10:$I$3209,"&gt;="&amp;$A884,Data!$I$10:$I$3209,"&lt;"&amp;$A884+1)))</f>
        <v/>
      </c>
      <c r="AG884">
        <f>IF($B884=0,0,IF(Inputs!$B$9="",0,COUNTIFS(Data!$M$10:$M$3209,"&gt;="&amp;$A884,Data!$M$10:$M$3209,"&lt;"&amp;$A884+1)))</f>
        <v/>
      </c>
      <c r="AH884">
        <f>IF($B884=0,0,IF(Inputs!$B$10="",0,COUNTIFS(Data!$Q$10:$Q$3209,"&gt;="&amp;$A884,Data!$Q$10:$Q$3209,"&lt;"&amp;$A884+1)))</f>
        <v/>
      </c>
    </row>
    <row r="885">
      <c r="A885" s="55">
        <f>MIN(Inputs!$C$15,$A884+IF(WEEKDAY($A884,2)=5,3,1))</f>
        <v/>
      </c>
      <c r="B885">
        <f>IF($A885&gt;$A884,1,0)</f>
        <v/>
      </c>
      <c r="C885" s="56">
        <f>IF($B885=0,"",IF(Inputs!$B$6="","",IF($AD885=0,C884,SUMIFS(Data!$B$10:$B$3209,Data!$A$10:$A$3209,"&gt;="&amp;$A885,Data!$A$10:$A$3209,"&lt;"&amp;$A885+1)/$AD885)))</f>
        <v/>
      </c>
      <c r="D885" s="56">
        <f>IF($B885=0,"",IF(Inputs!$B$7="","",IF($AE885=0,D884,SUMIFS(Data!$F$10:$F$3209,Data!$E$10:$E$3209,"&gt;="&amp;$A885,Data!$E$10:$E$3209,"&lt;"&amp;$A885+1)/$AE885)))</f>
        <v/>
      </c>
      <c r="E885" s="56">
        <f>IF($B885=0,"",IF(Inputs!$B$8="","",IF($AF885=0,E884,SUMIFS(Data!$J$10:$J$3209,Data!$I$10:$I$3209,"&gt;="&amp;$A885,Data!$I$10:$I$3209,"&lt;"&amp;$A885+1)/$AF885)))</f>
        <v/>
      </c>
      <c r="F885" s="56">
        <f>IF($B885=0,"",IF(Inputs!$B$9="","",IF($AG885=0,F884,SUMIFS(Data!$N$10:$N$3209,Data!$M$10:$M$3209,"&gt;="&amp;$A885,Data!$M$10:$M$3209,"&lt;"&amp;$A885+1)/$AG885)))</f>
        <v/>
      </c>
      <c r="G885" s="56">
        <f>IF($B885=0,"",IF(Inputs!$B$10="","",IF($AH885=0,G884,SUMIFS(Data!$R$10:$R$3209,Data!$Q$10:$Q$3209,"&gt;="&amp;$A885,Data!$Q$10:$Q$3209,"&lt;"&amp;$A885+1)/$AH885)))</f>
        <v/>
      </c>
      <c r="I885" s="54">
        <f>IF($B885=0,NA(),IF($C885="",NA(),IF(C$8="",NA(),IF(N(C$8)=0,NA(),IF(Inputs!$C$17="Rebased to 100",$C885/C$8*100,$C885)))))</f>
        <v/>
      </c>
      <c r="J885" s="54">
        <f>IF($B885=0,NA(),IF($D885="",NA(),IF(D$8="",NA(),IF(N(D$8)=0,NA(),IF(Inputs!$C$17="Rebased to 100",$D885/D$8*100,$D885)))))</f>
        <v/>
      </c>
      <c r="K885" s="54">
        <f>IF($B885=0,NA(),IF($E885="",NA(),IF(E$8="",NA(),IF(N(E$8)=0,NA(),IF(Inputs!$C$17="Rebased to 100",$E885/E$8*100,$E885)))))</f>
        <v/>
      </c>
      <c r="L885" s="54">
        <f>IF($B885=0,NA(),IF($F885="",NA(),IF(F$8="",NA(),IF(N(F$8)=0,NA(),IF(Inputs!$C$17="Rebased to 100",$F885/F$8*100,$F885)))))</f>
        <v/>
      </c>
      <c r="M885" s="54">
        <f>IF($B885=0,NA(),IF($G885="",NA(),IF(G$8="",NA(),IF(N(G$8)=0,NA(),IF(Inputs!$C$17="Rebased to 100",$G885/G$8*100,$G885)))))</f>
        <v/>
      </c>
      <c r="N885" s="54">
        <f>IF($B885=0,NA(),IF(Inputs!$C$18&lt;&gt;"Yes",NA(),IF(COUNT(I885,J885,K885,L885,M885)=0,NA(),MIN(I885,J885,K885,L885,M885))))</f>
        <v/>
      </c>
      <c r="O885" s="54">
        <f>IF($B885=0,NA(),IF(Inputs!$B$24&lt;&gt;"Yes",NA(),Inputs!$D$24*Inputs!$C$35))</f>
        <v/>
      </c>
      <c r="P885" s="54">
        <f>IF($B885=0,NA(),IF(Inputs!$B$25&lt;&gt;"Yes",NA(),Inputs!$D$25*Inputs!$C$35))</f>
        <v/>
      </c>
      <c r="Q885" s="54">
        <f>IF($B885=0,NA(),IF(Inputs!$B$26&lt;&gt;"Yes",NA(),Inputs!$D$26*Inputs!$C$35))</f>
        <v/>
      </c>
      <c r="R885" s="54">
        <f>IF($B885=0,NA(),IF(Inputs!$B$27&lt;&gt;"Yes",NA(),Inputs!$D$27*Inputs!$C$35))</f>
        <v/>
      </c>
      <c r="S885" s="54">
        <f>IF($B885=0,NA(),IF(Inputs!$B$28&lt;&gt;"Yes",NA(),Inputs!$D$28*Inputs!$C$35))</f>
        <v/>
      </c>
      <c r="T885" s="54">
        <f>IF($B885=0,NA(),IF(Inputs!$B$29&lt;&gt;"Yes",NA(),Inputs!$D$29*Inputs!$C$35))</f>
        <v/>
      </c>
      <c r="AD885">
        <f>IF($B885=0,0,IF(Inputs!$B$6="",0,COUNTIFS(Data!$A$10:$A$3209,"&gt;="&amp;$A885,Data!$A$10:$A$3209,"&lt;"&amp;$A885+1)))</f>
        <v/>
      </c>
      <c r="AE885">
        <f>IF($B885=0,0,IF(Inputs!$B$7="",0,COUNTIFS(Data!$E$10:$E$3209,"&gt;="&amp;$A885,Data!$E$10:$E$3209,"&lt;"&amp;$A885+1)))</f>
        <v/>
      </c>
      <c r="AF885">
        <f>IF($B885=0,0,IF(Inputs!$B$8="",0,COUNTIFS(Data!$I$10:$I$3209,"&gt;="&amp;$A885,Data!$I$10:$I$3209,"&lt;"&amp;$A885+1)))</f>
        <v/>
      </c>
      <c r="AG885">
        <f>IF($B885=0,0,IF(Inputs!$B$9="",0,COUNTIFS(Data!$M$10:$M$3209,"&gt;="&amp;$A885,Data!$M$10:$M$3209,"&lt;"&amp;$A885+1)))</f>
        <v/>
      </c>
      <c r="AH885">
        <f>IF($B885=0,0,IF(Inputs!$B$10="",0,COUNTIFS(Data!$Q$10:$Q$3209,"&gt;="&amp;$A885,Data!$Q$10:$Q$3209,"&lt;"&amp;$A885+1)))</f>
        <v/>
      </c>
    </row>
    <row r="886">
      <c r="A886" s="55">
        <f>MIN(Inputs!$C$15,$A885+IF(WEEKDAY($A885,2)=5,3,1))</f>
        <v/>
      </c>
      <c r="B886">
        <f>IF($A886&gt;$A885,1,0)</f>
        <v/>
      </c>
      <c r="C886" s="56">
        <f>IF($B886=0,"",IF(Inputs!$B$6="","",IF($AD886=0,C885,SUMIFS(Data!$B$10:$B$3209,Data!$A$10:$A$3209,"&gt;="&amp;$A886,Data!$A$10:$A$3209,"&lt;"&amp;$A886+1)/$AD886)))</f>
        <v/>
      </c>
      <c r="D886" s="56">
        <f>IF($B886=0,"",IF(Inputs!$B$7="","",IF($AE886=0,D885,SUMIFS(Data!$F$10:$F$3209,Data!$E$10:$E$3209,"&gt;="&amp;$A886,Data!$E$10:$E$3209,"&lt;"&amp;$A886+1)/$AE886)))</f>
        <v/>
      </c>
      <c r="E886" s="56">
        <f>IF($B886=0,"",IF(Inputs!$B$8="","",IF($AF886=0,E885,SUMIFS(Data!$J$10:$J$3209,Data!$I$10:$I$3209,"&gt;="&amp;$A886,Data!$I$10:$I$3209,"&lt;"&amp;$A886+1)/$AF886)))</f>
        <v/>
      </c>
      <c r="F886" s="56">
        <f>IF($B886=0,"",IF(Inputs!$B$9="","",IF($AG886=0,F885,SUMIFS(Data!$N$10:$N$3209,Data!$M$10:$M$3209,"&gt;="&amp;$A886,Data!$M$10:$M$3209,"&lt;"&amp;$A886+1)/$AG886)))</f>
        <v/>
      </c>
      <c r="G886" s="56">
        <f>IF($B886=0,"",IF(Inputs!$B$10="","",IF($AH886=0,G885,SUMIFS(Data!$R$10:$R$3209,Data!$Q$10:$Q$3209,"&gt;="&amp;$A886,Data!$Q$10:$Q$3209,"&lt;"&amp;$A886+1)/$AH886)))</f>
        <v/>
      </c>
      <c r="I886" s="54">
        <f>IF($B886=0,NA(),IF($C886="",NA(),IF(C$8="",NA(),IF(N(C$8)=0,NA(),IF(Inputs!$C$17="Rebased to 100",$C886/C$8*100,$C886)))))</f>
        <v/>
      </c>
      <c r="J886" s="54">
        <f>IF($B886=0,NA(),IF($D886="",NA(),IF(D$8="",NA(),IF(N(D$8)=0,NA(),IF(Inputs!$C$17="Rebased to 100",$D886/D$8*100,$D886)))))</f>
        <v/>
      </c>
      <c r="K886" s="54">
        <f>IF($B886=0,NA(),IF($E886="",NA(),IF(E$8="",NA(),IF(N(E$8)=0,NA(),IF(Inputs!$C$17="Rebased to 100",$E886/E$8*100,$E886)))))</f>
        <v/>
      </c>
      <c r="L886" s="54">
        <f>IF($B886=0,NA(),IF($F886="",NA(),IF(F$8="",NA(),IF(N(F$8)=0,NA(),IF(Inputs!$C$17="Rebased to 100",$F886/F$8*100,$F886)))))</f>
        <v/>
      </c>
      <c r="M886" s="54">
        <f>IF($B886=0,NA(),IF($G886="",NA(),IF(G$8="",NA(),IF(N(G$8)=0,NA(),IF(Inputs!$C$17="Rebased to 100",$G886/G$8*100,$G886)))))</f>
        <v/>
      </c>
      <c r="N886" s="54">
        <f>IF($B886=0,NA(),IF(Inputs!$C$18&lt;&gt;"Yes",NA(),IF(COUNT(I886,J886,K886,L886,M886)=0,NA(),MIN(I886,J886,K886,L886,M886))))</f>
        <v/>
      </c>
      <c r="O886" s="54">
        <f>IF($B886=0,NA(),IF(Inputs!$B$24&lt;&gt;"Yes",NA(),Inputs!$D$24*Inputs!$C$35))</f>
        <v/>
      </c>
      <c r="P886" s="54">
        <f>IF($B886=0,NA(),IF(Inputs!$B$25&lt;&gt;"Yes",NA(),Inputs!$D$25*Inputs!$C$35))</f>
        <v/>
      </c>
      <c r="Q886" s="54">
        <f>IF($B886=0,NA(),IF(Inputs!$B$26&lt;&gt;"Yes",NA(),Inputs!$D$26*Inputs!$C$35))</f>
        <v/>
      </c>
      <c r="R886" s="54">
        <f>IF($B886=0,NA(),IF(Inputs!$B$27&lt;&gt;"Yes",NA(),Inputs!$D$27*Inputs!$C$35))</f>
        <v/>
      </c>
      <c r="S886" s="54">
        <f>IF($B886=0,NA(),IF(Inputs!$B$28&lt;&gt;"Yes",NA(),Inputs!$D$28*Inputs!$C$35))</f>
        <v/>
      </c>
      <c r="T886" s="54">
        <f>IF($B886=0,NA(),IF(Inputs!$B$29&lt;&gt;"Yes",NA(),Inputs!$D$29*Inputs!$C$35))</f>
        <v/>
      </c>
      <c r="AD886">
        <f>IF($B886=0,0,IF(Inputs!$B$6="",0,COUNTIFS(Data!$A$10:$A$3209,"&gt;="&amp;$A886,Data!$A$10:$A$3209,"&lt;"&amp;$A886+1)))</f>
        <v/>
      </c>
      <c r="AE886">
        <f>IF($B886=0,0,IF(Inputs!$B$7="",0,COUNTIFS(Data!$E$10:$E$3209,"&gt;="&amp;$A886,Data!$E$10:$E$3209,"&lt;"&amp;$A886+1)))</f>
        <v/>
      </c>
      <c r="AF886">
        <f>IF($B886=0,0,IF(Inputs!$B$8="",0,COUNTIFS(Data!$I$10:$I$3209,"&gt;="&amp;$A886,Data!$I$10:$I$3209,"&lt;"&amp;$A886+1)))</f>
        <v/>
      </c>
      <c r="AG886">
        <f>IF($B886=0,0,IF(Inputs!$B$9="",0,COUNTIFS(Data!$M$10:$M$3209,"&gt;="&amp;$A886,Data!$M$10:$M$3209,"&lt;"&amp;$A886+1)))</f>
        <v/>
      </c>
      <c r="AH886">
        <f>IF($B886=0,0,IF(Inputs!$B$10="",0,COUNTIFS(Data!$Q$10:$Q$3209,"&gt;="&amp;$A886,Data!$Q$10:$Q$3209,"&lt;"&amp;$A886+1)))</f>
        <v/>
      </c>
    </row>
    <row r="887">
      <c r="A887" s="55">
        <f>MIN(Inputs!$C$15,$A886+IF(WEEKDAY($A886,2)=5,3,1))</f>
        <v/>
      </c>
      <c r="B887">
        <f>IF($A887&gt;$A886,1,0)</f>
        <v/>
      </c>
      <c r="C887" s="56">
        <f>IF($B887=0,"",IF(Inputs!$B$6="","",IF($AD887=0,C886,SUMIFS(Data!$B$10:$B$3209,Data!$A$10:$A$3209,"&gt;="&amp;$A887,Data!$A$10:$A$3209,"&lt;"&amp;$A887+1)/$AD887)))</f>
        <v/>
      </c>
      <c r="D887" s="56">
        <f>IF($B887=0,"",IF(Inputs!$B$7="","",IF($AE887=0,D886,SUMIFS(Data!$F$10:$F$3209,Data!$E$10:$E$3209,"&gt;="&amp;$A887,Data!$E$10:$E$3209,"&lt;"&amp;$A887+1)/$AE887)))</f>
        <v/>
      </c>
      <c r="E887" s="56">
        <f>IF($B887=0,"",IF(Inputs!$B$8="","",IF($AF887=0,E886,SUMIFS(Data!$J$10:$J$3209,Data!$I$10:$I$3209,"&gt;="&amp;$A887,Data!$I$10:$I$3209,"&lt;"&amp;$A887+1)/$AF887)))</f>
        <v/>
      </c>
      <c r="F887" s="56">
        <f>IF($B887=0,"",IF(Inputs!$B$9="","",IF($AG887=0,F886,SUMIFS(Data!$N$10:$N$3209,Data!$M$10:$M$3209,"&gt;="&amp;$A887,Data!$M$10:$M$3209,"&lt;"&amp;$A887+1)/$AG887)))</f>
        <v/>
      </c>
      <c r="G887" s="56">
        <f>IF($B887=0,"",IF(Inputs!$B$10="","",IF($AH887=0,G886,SUMIFS(Data!$R$10:$R$3209,Data!$Q$10:$Q$3209,"&gt;="&amp;$A887,Data!$Q$10:$Q$3209,"&lt;"&amp;$A887+1)/$AH887)))</f>
        <v/>
      </c>
      <c r="I887" s="54">
        <f>IF($B887=0,NA(),IF($C887="",NA(),IF(C$8="",NA(),IF(N(C$8)=0,NA(),IF(Inputs!$C$17="Rebased to 100",$C887/C$8*100,$C887)))))</f>
        <v/>
      </c>
      <c r="J887" s="54">
        <f>IF($B887=0,NA(),IF($D887="",NA(),IF(D$8="",NA(),IF(N(D$8)=0,NA(),IF(Inputs!$C$17="Rebased to 100",$D887/D$8*100,$D887)))))</f>
        <v/>
      </c>
      <c r="K887" s="54">
        <f>IF($B887=0,NA(),IF($E887="",NA(),IF(E$8="",NA(),IF(N(E$8)=0,NA(),IF(Inputs!$C$17="Rebased to 100",$E887/E$8*100,$E887)))))</f>
        <v/>
      </c>
      <c r="L887" s="54">
        <f>IF($B887=0,NA(),IF($F887="",NA(),IF(F$8="",NA(),IF(N(F$8)=0,NA(),IF(Inputs!$C$17="Rebased to 100",$F887/F$8*100,$F887)))))</f>
        <v/>
      </c>
      <c r="M887" s="54">
        <f>IF($B887=0,NA(),IF($G887="",NA(),IF(G$8="",NA(),IF(N(G$8)=0,NA(),IF(Inputs!$C$17="Rebased to 100",$G887/G$8*100,$G887)))))</f>
        <v/>
      </c>
      <c r="N887" s="54">
        <f>IF($B887=0,NA(),IF(Inputs!$C$18&lt;&gt;"Yes",NA(),IF(COUNT(I887,J887,K887,L887,M887)=0,NA(),MIN(I887,J887,K887,L887,M887))))</f>
        <v/>
      </c>
      <c r="O887" s="54">
        <f>IF($B887=0,NA(),IF(Inputs!$B$24&lt;&gt;"Yes",NA(),Inputs!$D$24*Inputs!$C$35))</f>
        <v/>
      </c>
      <c r="P887" s="54">
        <f>IF($B887=0,NA(),IF(Inputs!$B$25&lt;&gt;"Yes",NA(),Inputs!$D$25*Inputs!$C$35))</f>
        <v/>
      </c>
      <c r="Q887" s="54">
        <f>IF($B887=0,NA(),IF(Inputs!$B$26&lt;&gt;"Yes",NA(),Inputs!$D$26*Inputs!$C$35))</f>
        <v/>
      </c>
      <c r="R887" s="54">
        <f>IF($B887=0,NA(),IF(Inputs!$B$27&lt;&gt;"Yes",NA(),Inputs!$D$27*Inputs!$C$35))</f>
        <v/>
      </c>
      <c r="S887" s="54">
        <f>IF($B887=0,NA(),IF(Inputs!$B$28&lt;&gt;"Yes",NA(),Inputs!$D$28*Inputs!$C$35))</f>
        <v/>
      </c>
      <c r="T887" s="54">
        <f>IF($B887=0,NA(),IF(Inputs!$B$29&lt;&gt;"Yes",NA(),Inputs!$D$29*Inputs!$C$35))</f>
        <v/>
      </c>
      <c r="AD887">
        <f>IF($B887=0,0,IF(Inputs!$B$6="",0,COUNTIFS(Data!$A$10:$A$3209,"&gt;="&amp;$A887,Data!$A$10:$A$3209,"&lt;"&amp;$A887+1)))</f>
        <v/>
      </c>
      <c r="AE887">
        <f>IF($B887=0,0,IF(Inputs!$B$7="",0,COUNTIFS(Data!$E$10:$E$3209,"&gt;="&amp;$A887,Data!$E$10:$E$3209,"&lt;"&amp;$A887+1)))</f>
        <v/>
      </c>
      <c r="AF887">
        <f>IF($B887=0,0,IF(Inputs!$B$8="",0,COUNTIFS(Data!$I$10:$I$3209,"&gt;="&amp;$A887,Data!$I$10:$I$3209,"&lt;"&amp;$A887+1)))</f>
        <v/>
      </c>
      <c r="AG887">
        <f>IF($B887=0,0,IF(Inputs!$B$9="",0,COUNTIFS(Data!$M$10:$M$3209,"&gt;="&amp;$A887,Data!$M$10:$M$3209,"&lt;"&amp;$A887+1)))</f>
        <v/>
      </c>
      <c r="AH887">
        <f>IF($B887=0,0,IF(Inputs!$B$10="",0,COUNTIFS(Data!$Q$10:$Q$3209,"&gt;="&amp;$A887,Data!$Q$10:$Q$3209,"&lt;"&amp;$A887+1)))</f>
        <v/>
      </c>
    </row>
    <row r="888">
      <c r="A888" s="55">
        <f>MIN(Inputs!$C$15,$A887+IF(WEEKDAY($A887,2)=5,3,1))</f>
        <v/>
      </c>
      <c r="B888">
        <f>IF($A888&gt;$A887,1,0)</f>
        <v/>
      </c>
      <c r="C888" s="56">
        <f>IF($B888=0,"",IF(Inputs!$B$6="","",IF($AD888=0,C887,SUMIFS(Data!$B$10:$B$3209,Data!$A$10:$A$3209,"&gt;="&amp;$A888,Data!$A$10:$A$3209,"&lt;"&amp;$A888+1)/$AD888)))</f>
        <v/>
      </c>
      <c r="D888" s="56">
        <f>IF($B888=0,"",IF(Inputs!$B$7="","",IF($AE888=0,D887,SUMIFS(Data!$F$10:$F$3209,Data!$E$10:$E$3209,"&gt;="&amp;$A888,Data!$E$10:$E$3209,"&lt;"&amp;$A888+1)/$AE888)))</f>
        <v/>
      </c>
      <c r="E888" s="56">
        <f>IF($B888=0,"",IF(Inputs!$B$8="","",IF($AF888=0,E887,SUMIFS(Data!$J$10:$J$3209,Data!$I$10:$I$3209,"&gt;="&amp;$A888,Data!$I$10:$I$3209,"&lt;"&amp;$A888+1)/$AF888)))</f>
        <v/>
      </c>
      <c r="F888" s="56">
        <f>IF($B888=0,"",IF(Inputs!$B$9="","",IF($AG888=0,F887,SUMIFS(Data!$N$10:$N$3209,Data!$M$10:$M$3209,"&gt;="&amp;$A888,Data!$M$10:$M$3209,"&lt;"&amp;$A888+1)/$AG888)))</f>
        <v/>
      </c>
      <c r="G888" s="56">
        <f>IF($B888=0,"",IF(Inputs!$B$10="","",IF($AH888=0,G887,SUMIFS(Data!$R$10:$R$3209,Data!$Q$10:$Q$3209,"&gt;="&amp;$A888,Data!$Q$10:$Q$3209,"&lt;"&amp;$A888+1)/$AH888)))</f>
        <v/>
      </c>
      <c r="I888" s="54">
        <f>IF($B888=0,NA(),IF($C888="",NA(),IF(C$8="",NA(),IF(N(C$8)=0,NA(),IF(Inputs!$C$17="Rebased to 100",$C888/C$8*100,$C888)))))</f>
        <v/>
      </c>
      <c r="J888" s="54">
        <f>IF($B888=0,NA(),IF($D888="",NA(),IF(D$8="",NA(),IF(N(D$8)=0,NA(),IF(Inputs!$C$17="Rebased to 100",$D888/D$8*100,$D888)))))</f>
        <v/>
      </c>
      <c r="K888" s="54">
        <f>IF($B888=0,NA(),IF($E888="",NA(),IF(E$8="",NA(),IF(N(E$8)=0,NA(),IF(Inputs!$C$17="Rebased to 100",$E888/E$8*100,$E888)))))</f>
        <v/>
      </c>
      <c r="L888" s="54">
        <f>IF($B888=0,NA(),IF($F888="",NA(),IF(F$8="",NA(),IF(N(F$8)=0,NA(),IF(Inputs!$C$17="Rebased to 100",$F888/F$8*100,$F888)))))</f>
        <v/>
      </c>
      <c r="M888" s="54">
        <f>IF($B888=0,NA(),IF($G888="",NA(),IF(G$8="",NA(),IF(N(G$8)=0,NA(),IF(Inputs!$C$17="Rebased to 100",$G888/G$8*100,$G888)))))</f>
        <v/>
      </c>
      <c r="N888" s="54">
        <f>IF($B888=0,NA(),IF(Inputs!$C$18&lt;&gt;"Yes",NA(),IF(COUNT(I888,J888,K888,L888,M888)=0,NA(),MIN(I888,J888,K888,L888,M888))))</f>
        <v/>
      </c>
      <c r="O888" s="54">
        <f>IF($B888=0,NA(),IF(Inputs!$B$24&lt;&gt;"Yes",NA(),Inputs!$D$24*Inputs!$C$35))</f>
        <v/>
      </c>
      <c r="P888" s="54">
        <f>IF($B888=0,NA(),IF(Inputs!$B$25&lt;&gt;"Yes",NA(),Inputs!$D$25*Inputs!$C$35))</f>
        <v/>
      </c>
      <c r="Q888" s="54">
        <f>IF($B888=0,NA(),IF(Inputs!$B$26&lt;&gt;"Yes",NA(),Inputs!$D$26*Inputs!$C$35))</f>
        <v/>
      </c>
      <c r="R888" s="54">
        <f>IF($B888=0,NA(),IF(Inputs!$B$27&lt;&gt;"Yes",NA(),Inputs!$D$27*Inputs!$C$35))</f>
        <v/>
      </c>
      <c r="S888" s="54">
        <f>IF($B888=0,NA(),IF(Inputs!$B$28&lt;&gt;"Yes",NA(),Inputs!$D$28*Inputs!$C$35))</f>
        <v/>
      </c>
      <c r="T888" s="54">
        <f>IF($B888=0,NA(),IF(Inputs!$B$29&lt;&gt;"Yes",NA(),Inputs!$D$29*Inputs!$C$35))</f>
        <v/>
      </c>
      <c r="AD888">
        <f>IF($B888=0,0,IF(Inputs!$B$6="",0,COUNTIFS(Data!$A$10:$A$3209,"&gt;="&amp;$A888,Data!$A$10:$A$3209,"&lt;"&amp;$A888+1)))</f>
        <v/>
      </c>
      <c r="AE888">
        <f>IF($B888=0,0,IF(Inputs!$B$7="",0,COUNTIFS(Data!$E$10:$E$3209,"&gt;="&amp;$A888,Data!$E$10:$E$3209,"&lt;"&amp;$A888+1)))</f>
        <v/>
      </c>
      <c r="AF888">
        <f>IF($B888=0,0,IF(Inputs!$B$8="",0,COUNTIFS(Data!$I$10:$I$3209,"&gt;="&amp;$A888,Data!$I$10:$I$3209,"&lt;"&amp;$A888+1)))</f>
        <v/>
      </c>
      <c r="AG888">
        <f>IF($B888=0,0,IF(Inputs!$B$9="",0,COUNTIFS(Data!$M$10:$M$3209,"&gt;="&amp;$A888,Data!$M$10:$M$3209,"&lt;"&amp;$A888+1)))</f>
        <v/>
      </c>
      <c r="AH888">
        <f>IF($B888=0,0,IF(Inputs!$B$10="",0,COUNTIFS(Data!$Q$10:$Q$3209,"&gt;="&amp;$A888,Data!$Q$10:$Q$3209,"&lt;"&amp;$A888+1)))</f>
        <v/>
      </c>
    </row>
    <row r="889">
      <c r="A889" s="55">
        <f>MIN(Inputs!$C$15,$A888+IF(WEEKDAY($A888,2)=5,3,1))</f>
        <v/>
      </c>
      <c r="B889">
        <f>IF($A889&gt;$A888,1,0)</f>
        <v/>
      </c>
      <c r="C889" s="56">
        <f>IF($B889=0,"",IF(Inputs!$B$6="","",IF($AD889=0,C888,SUMIFS(Data!$B$10:$B$3209,Data!$A$10:$A$3209,"&gt;="&amp;$A889,Data!$A$10:$A$3209,"&lt;"&amp;$A889+1)/$AD889)))</f>
        <v/>
      </c>
      <c r="D889" s="56">
        <f>IF($B889=0,"",IF(Inputs!$B$7="","",IF($AE889=0,D888,SUMIFS(Data!$F$10:$F$3209,Data!$E$10:$E$3209,"&gt;="&amp;$A889,Data!$E$10:$E$3209,"&lt;"&amp;$A889+1)/$AE889)))</f>
        <v/>
      </c>
      <c r="E889" s="56">
        <f>IF($B889=0,"",IF(Inputs!$B$8="","",IF($AF889=0,E888,SUMIFS(Data!$J$10:$J$3209,Data!$I$10:$I$3209,"&gt;="&amp;$A889,Data!$I$10:$I$3209,"&lt;"&amp;$A889+1)/$AF889)))</f>
        <v/>
      </c>
      <c r="F889" s="56">
        <f>IF($B889=0,"",IF(Inputs!$B$9="","",IF($AG889=0,F888,SUMIFS(Data!$N$10:$N$3209,Data!$M$10:$M$3209,"&gt;="&amp;$A889,Data!$M$10:$M$3209,"&lt;"&amp;$A889+1)/$AG889)))</f>
        <v/>
      </c>
      <c r="G889" s="56">
        <f>IF($B889=0,"",IF(Inputs!$B$10="","",IF($AH889=0,G888,SUMIFS(Data!$R$10:$R$3209,Data!$Q$10:$Q$3209,"&gt;="&amp;$A889,Data!$Q$10:$Q$3209,"&lt;"&amp;$A889+1)/$AH889)))</f>
        <v/>
      </c>
      <c r="I889" s="54">
        <f>IF($B889=0,NA(),IF($C889="",NA(),IF(C$8="",NA(),IF(N(C$8)=0,NA(),IF(Inputs!$C$17="Rebased to 100",$C889/C$8*100,$C889)))))</f>
        <v/>
      </c>
      <c r="J889" s="54">
        <f>IF($B889=0,NA(),IF($D889="",NA(),IF(D$8="",NA(),IF(N(D$8)=0,NA(),IF(Inputs!$C$17="Rebased to 100",$D889/D$8*100,$D889)))))</f>
        <v/>
      </c>
      <c r="K889" s="54">
        <f>IF($B889=0,NA(),IF($E889="",NA(),IF(E$8="",NA(),IF(N(E$8)=0,NA(),IF(Inputs!$C$17="Rebased to 100",$E889/E$8*100,$E889)))))</f>
        <v/>
      </c>
      <c r="L889" s="54">
        <f>IF($B889=0,NA(),IF($F889="",NA(),IF(F$8="",NA(),IF(N(F$8)=0,NA(),IF(Inputs!$C$17="Rebased to 100",$F889/F$8*100,$F889)))))</f>
        <v/>
      </c>
      <c r="M889" s="54">
        <f>IF($B889=0,NA(),IF($G889="",NA(),IF(G$8="",NA(),IF(N(G$8)=0,NA(),IF(Inputs!$C$17="Rebased to 100",$G889/G$8*100,$G889)))))</f>
        <v/>
      </c>
      <c r="N889" s="54">
        <f>IF($B889=0,NA(),IF(Inputs!$C$18&lt;&gt;"Yes",NA(),IF(COUNT(I889,J889,K889,L889,M889)=0,NA(),MIN(I889,J889,K889,L889,M889))))</f>
        <v/>
      </c>
      <c r="O889" s="54">
        <f>IF($B889=0,NA(),IF(Inputs!$B$24&lt;&gt;"Yes",NA(),Inputs!$D$24*Inputs!$C$35))</f>
        <v/>
      </c>
      <c r="P889" s="54">
        <f>IF($B889=0,NA(),IF(Inputs!$B$25&lt;&gt;"Yes",NA(),Inputs!$D$25*Inputs!$C$35))</f>
        <v/>
      </c>
      <c r="Q889" s="54">
        <f>IF($B889=0,NA(),IF(Inputs!$B$26&lt;&gt;"Yes",NA(),Inputs!$D$26*Inputs!$C$35))</f>
        <v/>
      </c>
      <c r="R889" s="54">
        <f>IF($B889=0,NA(),IF(Inputs!$B$27&lt;&gt;"Yes",NA(),Inputs!$D$27*Inputs!$C$35))</f>
        <v/>
      </c>
      <c r="S889" s="54">
        <f>IF($B889=0,NA(),IF(Inputs!$B$28&lt;&gt;"Yes",NA(),Inputs!$D$28*Inputs!$C$35))</f>
        <v/>
      </c>
      <c r="T889" s="54">
        <f>IF($B889=0,NA(),IF(Inputs!$B$29&lt;&gt;"Yes",NA(),Inputs!$D$29*Inputs!$C$35))</f>
        <v/>
      </c>
      <c r="AD889">
        <f>IF($B889=0,0,IF(Inputs!$B$6="",0,COUNTIFS(Data!$A$10:$A$3209,"&gt;="&amp;$A889,Data!$A$10:$A$3209,"&lt;"&amp;$A889+1)))</f>
        <v/>
      </c>
      <c r="AE889">
        <f>IF($B889=0,0,IF(Inputs!$B$7="",0,COUNTIFS(Data!$E$10:$E$3209,"&gt;="&amp;$A889,Data!$E$10:$E$3209,"&lt;"&amp;$A889+1)))</f>
        <v/>
      </c>
      <c r="AF889">
        <f>IF($B889=0,0,IF(Inputs!$B$8="",0,COUNTIFS(Data!$I$10:$I$3209,"&gt;="&amp;$A889,Data!$I$10:$I$3209,"&lt;"&amp;$A889+1)))</f>
        <v/>
      </c>
      <c r="AG889">
        <f>IF($B889=0,0,IF(Inputs!$B$9="",0,COUNTIFS(Data!$M$10:$M$3209,"&gt;="&amp;$A889,Data!$M$10:$M$3209,"&lt;"&amp;$A889+1)))</f>
        <v/>
      </c>
      <c r="AH889">
        <f>IF($B889=0,0,IF(Inputs!$B$10="",0,COUNTIFS(Data!$Q$10:$Q$3209,"&gt;="&amp;$A889,Data!$Q$10:$Q$3209,"&lt;"&amp;$A889+1)))</f>
        <v/>
      </c>
    </row>
    <row r="890">
      <c r="A890" s="55">
        <f>MIN(Inputs!$C$15,$A889+IF(WEEKDAY($A889,2)=5,3,1))</f>
        <v/>
      </c>
      <c r="B890">
        <f>IF($A890&gt;$A889,1,0)</f>
        <v/>
      </c>
      <c r="C890" s="56">
        <f>IF($B890=0,"",IF(Inputs!$B$6="","",IF($AD890=0,C889,SUMIFS(Data!$B$10:$B$3209,Data!$A$10:$A$3209,"&gt;="&amp;$A890,Data!$A$10:$A$3209,"&lt;"&amp;$A890+1)/$AD890)))</f>
        <v/>
      </c>
      <c r="D890" s="56">
        <f>IF($B890=0,"",IF(Inputs!$B$7="","",IF($AE890=0,D889,SUMIFS(Data!$F$10:$F$3209,Data!$E$10:$E$3209,"&gt;="&amp;$A890,Data!$E$10:$E$3209,"&lt;"&amp;$A890+1)/$AE890)))</f>
        <v/>
      </c>
      <c r="E890" s="56">
        <f>IF($B890=0,"",IF(Inputs!$B$8="","",IF($AF890=0,E889,SUMIFS(Data!$J$10:$J$3209,Data!$I$10:$I$3209,"&gt;="&amp;$A890,Data!$I$10:$I$3209,"&lt;"&amp;$A890+1)/$AF890)))</f>
        <v/>
      </c>
      <c r="F890" s="56">
        <f>IF($B890=0,"",IF(Inputs!$B$9="","",IF($AG890=0,F889,SUMIFS(Data!$N$10:$N$3209,Data!$M$10:$M$3209,"&gt;="&amp;$A890,Data!$M$10:$M$3209,"&lt;"&amp;$A890+1)/$AG890)))</f>
        <v/>
      </c>
      <c r="G890" s="56">
        <f>IF($B890=0,"",IF(Inputs!$B$10="","",IF($AH890=0,G889,SUMIFS(Data!$R$10:$R$3209,Data!$Q$10:$Q$3209,"&gt;="&amp;$A890,Data!$Q$10:$Q$3209,"&lt;"&amp;$A890+1)/$AH890)))</f>
        <v/>
      </c>
      <c r="I890" s="54">
        <f>IF($B890=0,NA(),IF($C890="",NA(),IF(C$8="",NA(),IF(N(C$8)=0,NA(),IF(Inputs!$C$17="Rebased to 100",$C890/C$8*100,$C890)))))</f>
        <v/>
      </c>
      <c r="J890" s="54">
        <f>IF($B890=0,NA(),IF($D890="",NA(),IF(D$8="",NA(),IF(N(D$8)=0,NA(),IF(Inputs!$C$17="Rebased to 100",$D890/D$8*100,$D890)))))</f>
        <v/>
      </c>
      <c r="K890" s="54">
        <f>IF($B890=0,NA(),IF($E890="",NA(),IF(E$8="",NA(),IF(N(E$8)=0,NA(),IF(Inputs!$C$17="Rebased to 100",$E890/E$8*100,$E890)))))</f>
        <v/>
      </c>
      <c r="L890" s="54">
        <f>IF($B890=0,NA(),IF($F890="",NA(),IF(F$8="",NA(),IF(N(F$8)=0,NA(),IF(Inputs!$C$17="Rebased to 100",$F890/F$8*100,$F890)))))</f>
        <v/>
      </c>
      <c r="M890" s="54">
        <f>IF($B890=0,NA(),IF($G890="",NA(),IF(G$8="",NA(),IF(N(G$8)=0,NA(),IF(Inputs!$C$17="Rebased to 100",$G890/G$8*100,$G890)))))</f>
        <v/>
      </c>
      <c r="N890" s="54">
        <f>IF($B890=0,NA(),IF(Inputs!$C$18&lt;&gt;"Yes",NA(),IF(COUNT(I890,J890,K890,L890,M890)=0,NA(),MIN(I890,J890,K890,L890,M890))))</f>
        <v/>
      </c>
      <c r="O890" s="54">
        <f>IF($B890=0,NA(),IF(Inputs!$B$24&lt;&gt;"Yes",NA(),Inputs!$D$24*Inputs!$C$35))</f>
        <v/>
      </c>
      <c r="P890" s="54">
        <f>IF($B890=0,NA(),IF(Inputs!$B$25&lt;&gt;"Yes",NA(),Inputs!$D$25*Inputs!$C$35))</f>
        <v/>
      </c>
      <c r="Q890" s="54">
        <f>IF($B890=0,NA(),IF(Inputs!$B$26&lt;&gt;"Yes",NA(),Inputs!$D$26*Inputs!$C$35))</f>
        <v/>
      </c>
      <c r="R890" s="54">
        <f>IF($B890=0,NA(),IF(Inputs!$B$27&lt;&gt;"Yes",NA(),Inputs!$D$27*Inputs!$C$35))</f>
        <v/>
      </c>
      <c r="S890" s="54">
        <f>IF($B890=0,NA(),IF(Inputs!$B$28&lt;&gt;"Yes",NA(),Inputs!$D$28*Inputs!$C$35))</f>
        <v/>
      </c>
      <c r="T890" s="54">
        <f>IF($B890=0,NA(),IF(Inputs!$B$29&lt;&gt;"Yes",NA(),Inputs!$D$29*Inputs!$C$35))</f>
        <v/>
      </c>
      <c r="AD890">
        <f>IF($B890=0,0,IF(Inputs!$B$6="",0,COUNTIFS(Data!$A$10:$A$3209,"&gt;="&amp;$A890,Data!$A$10:$A$3209,"&lt;"&amp;$A890+1)))</f>
        <v/>
      </c>
      <c r="AE890">
        <f>IF($B890=0,0,IF(Inputs!$B$7="",0,COUNTIFS(Data!$E$10:$E$3209,"&gt;="&amp;$A890,Data!$E$10:$E$3209,"&lt;"&amp;$A890+1)))</f>
        <v/>
      </c>
      <c r="AF890">
        <f>IF($B890=0,0,IF(Inputs!$B$8="",0,COUNTIFS(Data!$I$10:$I$3209,"&gt;="&amp;$A890,Data!$I$10:$I$3209,"&lt;"&amp;$A890+1)))</f>
        <v/>
      </c>
      <c r="AG890">
        <f>IF($B890=0,0,IF(Inputs!$B$9="",0,COUNTIFS(Data!$M$10:$M$3209,"&gt;="&amp;$A890,Data!$M$10:$M$3209,"&lt;"&amp;$A890+1)))</f>
        <v/>
      </c>
      <c r="AH890">
        <f>IF($B890=0,0,IF(Inputs!$B$10="",0,COUNTIFS(Data!$Q$10:$Q$3209,"&gt;="&amp;$A890,Data!$Q$10:$Q$3209,"&lt;"&amp;$A890+1)))</f>
        <v/>
      </c>
    </row>
    <row r="891">
      <c r="A891" s="55">
        <f>MIN(Inputs!$C$15,$A890+IF(WEEKDAY($A890,2)=5,3,1))</f>
        <v/>
      </c>
      <c r="B891">
        <f>IF($A891&gt;$A890,1,0)</f>
        <v/>
      </c>
      <c r="C891" s="56">
        <f>IF($B891=0,"",IF(Inputs!$B$6="","",IF($AD891=0,C890,SUMIFS(Data!$B$10:$B$3209,Data!$A$10:$A$3209,"&gt;="&amp;$A891,Data!$A$10:$A$3209,"&lt;"&amp;$A891+1)/$AD891)))</f>
        <v/>
      </c>
      <c r="D891" s="56">
        <f>IF($B891=0,"",IF(Inputs!$B$7="","",IF($AE891=0,D890,SUMIFS(Data!$F$10:$F$3209,Data!$E$10:$E$3209,"&gt;="&amp;$A891,Data!$E$10:$E$3209,"&lt;"&amp;$A891+1)/$AE891)))</f>
        <v/>
      </c>
      <c r="E891" s="56">
        <f>IF($B891=0,"",IF(Inputs!$B$8="","",IF($AF891=0,E890,SUMIFS(Data!$J$10:$J$3209,Data!$I$10:$I$3209,"&gt;="&amp;$A891,Data!$I$10:$I$3209,"&lt;"&amp;$A891+1)/$AF891)))</f>
        <v/>
      </c>
      <c r="F891" s="56">
        <f>IF($B891=0,"",IF(Inputs!$B$9="","",IF($AG891=0,F890,SUMIFS(Data!$N$10:$N$3209,Data!$M$10:$M$3209,"&gt;="&amp;$A891,Data!$M$10:$M$3209,"&lt;"&amp;$A891+1)/$AG891)))</f>
        <v/>
      </c>
      <c r="G891" s="56">
        <f>IF($B891=0,"",IF(Inputs!$B$10="","",IF($AH891=0,G890,SUMIFS(Data!$R$10:$R$3209,Data!$Q$10:$Q$3209,"&gt;="&amp;$A891,Data!$Q$10:$Q$3209,"&lt;"&amp;$A891+1)/$AH891)))</f>
        <v/>
      </c>
      <c r="I891" s="54">
        <f>IF($B891=0,NA(),IF($C891="",NA(),IF(C$8="",NA(),IF(N(C$8)=0,NA(),IF(Inputs!$C$17="Rebased to 100",$C891/C$8*100,$C891)))))</f>
        <v/>
      </c>
      <c r="J891" s="54">
        <f>IF($B891=0,NA(),IF($D891="",NA(),IF(D$8="",NA(),IF(N(D$8)=0,NA(),IF(Inputs!$C$17="Rebased to 100",$D891/D$8*100,$D891)))))</f>
        <v/>
      </c>
      <c r="K891" s="54">
        <f>IF($B891=0,NA(),IF($E891="",NA(),IF(E$8="",NA(),IF(N(E$8)=0,NA(),IF(Inputs!$C$17="Rebased to 100",$E891/E$8*100,$E891)))))</f>
        <v/>
      </c>
      <c r="L891" s="54">
        <f>IF($B891=0,NA(),IF($F891="",NA(),IF(F$8="",NA(),IF(N(F$8)=0,NA(),IF(Inputs!$C$17="Rebased to 100",$F891/F$8*100,$F891)))))</f>
        <v/>
      </c>
      <c r="M891" s="54">
        <f>IF($B891=0,NA(),IF($G891="",NA(),IF(G$8="",NA(),IF(N(G$8)=0,NA(),IF(Inputs!$C$17="Rebased to 100",$G891/G$8*100,$G891)))))</f>
        <v/>
      </c>
      <c r="N891" s="54">
        <f>IF($B891=0,NA(),IF(Inputs!$C$18&lt;&gt;"Yes",NA(),IF(COUNT(I891,J891,K891,L891,M891)=0,NA(),MIN(I891,J891,K891,L891,M891))))</f>
        <v/>
      </c>
      <c r="O891" s="54">
        <f>IF($B891=0,NA(),IF(Inputs!$B$24&lt;&gt;"Yes",NA(),Inputs!$D$24*Inputs!$C$35))</f>
        <v/>
      </c>
      <c r="P891" s="54">
        <f>IF($B891=0,NA(),IF(Inputs!$B$25&lt;&gt;"Yes",NA(),Inputs!$D$25*Inputs!$C$35))</f>
        <v/>
      </c>
      <c r="Q891" s="54">
        <f>IF($B891=0,NA(),IF(Inputs!$B$26&lt;&gt;"Yes",NA(),Inputs!$D$26*Inputs!$C$35))</f>
        <v/>
      </c>
      <c r="R891" s="54">
        <f>IF($B891=0,NA(),IF(Inputs!$B$27&lt;&gt;"Yes",NA(),Inputs!$D$27*Inputs!$C$35))</f>
        <v/>
      </c>
      <c r="S891" s="54">
        <f>IF($B891=0,NA(),IF(Inputs!$B$28&lt;&gt;"Yes",NA(),Inputs!$D$28*Inputs!$C$35))</f>
        <v/>
      </c>
      <c r="T891" s="54">
        <f>IF($B891=0,NA(),IF(Inputs!$B$29&lt;&gt;"Yes",NA(),Inputs!$D$29*Inputs!$C$35))</f>
        <v/>
      </c>
      <c r="AD891">
        <f>IF($B891=0,0,IF(Inputs!$B$6="",0,COUNTIFS(Data!$A$10:$A$3209,"&gt;="&amp;$A891,Data!$A$10:$A$3209,"&lt;"&amp;$A891+1)))</f>
        <v/>
      </c>
      <c r="AE891">
        <f>IF($B891=0,0,IF(Inputs!$B$7="",0,COUNTIFS(Data!$E$10:$E$3209,"&gt;="&amp;$A891,Data!$E$10:$E$3209,"&lt;"&amp;$A891+1)))</f>
        <v/>
      </c>
      <c r="AF891">
        <f>IF($B891=0,0,IF(Inputs!$B$8="",0,COUNTIFS(Data!$I$10:$I$3209,"&gt;="&amp;$A891,Data!$I$10:$I$3209,"&lt;"&amp;$A891+1)))</f>
        <v/>
      </c>
      <c r="AG891">
        <f>IF($B891=0,0,IF(Inputs!$B$9="",0,COUNTIFS(Data!$M$10:$M$3209,"&gt;="&amp;$A891,Data!$M$10:$M$3209,"&lt;"&amp;$A891+1)))</f>
        <v/>
      </c>
      <c r="AH891">
        <f>IF($B891=0,0,IF(Inputs!$B$10="",0,COUNTIFS(Data!$Q$10:$Q$3209,"&gt;="&amp;$A891,Data!$Q$10:$Q$3209,"&lt;"&amp;$A891+1)))</f>
        <v/>
      </c>
    </row>
    <row r="892">
      <c r="A892" s="55">
        <f>MIN(Inputs!$C$15,$A891+IF(WEEKDAY($A891,2)=5,3,1))</f>
        <v/>
      </c>
      <c r="B892">
        <f>IF($A892&gt;$A891,1,0)</f>
        <v/>
      </c>
      <c r="C892" s="56">
        <f>IF($B892=0,"",IF(Inputs!$B$6="","",IF($AD892=0,C891,SUMIFS(Data!$B$10:$B$3209,Data!$A$10:$A$3209,"&gt;="&amp;$A892,Data!$A$10:$A$3209,"&lt;"&amp;$A892+1)/$AD892)))</f>
        <v/>
      </c>
      <c r="D892" s="56">
        <f>IF($B892=0,"",IF(Inputs!$B$7="","",IF($AE892=0,D891,SUMIFS(Data!$F$10:$F$3209,Data!$E$10:$E$3209,"&gt;="&amp;$A892,Data!$E$10:$E$3209,"&lt;"&amp;$A892+1)/$AE892)))</f>
        <v/>
      </c>
      <c r="E892" s="56">
        <f>IF($B892=0,"",IF(Inputs!$B$8="","",IF($AF892=0,E891,SUMIFS(Data!$J$10:$J$3209,Data!$I$10:$I$3209,"&gt;="&amp;$A892,Data!$I$10:$I$3209,"&lt;"&amp;$A892+1)/$AF892)))</f>
        <v/>
      </c>
      <c r="F892" s="56">
        <f>IF($B892=0,"",IF(Inputs!$B$9="","",IF($AG892=0,F891,SUMIFS(Data!$N$10:$N$3209,Data!$M$10:$M$3209,"&gt;="&amp;$A892,Data!$M$10:$M$3209,"&lt;"&amp;$A892+1)/$AG892)))</f>
        <v/>
      </c>
      <c r="G892" s="56">
        <f>IF($B892=0,"",IF(Inputs!$B$10="","",IF($AH892=0,G891,SUMIFS(Data!$R$10:$R$3209,Data!$Q$10:$Q$3209,"&gt;="&amp;$A892,Data!$Q$10:$Q$3209,"&lt;"&amp;$A892+1)/$AH892)))</f>
        <v/>
      </c>
      <c r="I892" s="54">
        <f>IF($B892=0,NA(),IF($C892="",NA(),IF(C$8="",NA(),IF(N(C$8)=0,NA(),IF(Inputs!$C$17="Rebased to 100",$C892/C$8*100,$C892)))))</f>
        <v/>
      </c>
      <c r="J892" s="54">
        <f>IF($B892=0,NA(),IF($D892="",NA(),IF(D$8="",NA(),IF(N(D$8)=0,NA(),IF(Inputs!$C$17="Rebased to 100",$D892/D$8*100,$D892)))))</f>
        <v/>
      </c>
      <c r="K892" s="54">
        <f>IF($B892=0,NA(),IF($E892="",NA(),IF(E$8="",NA(),IF(N(E$8)=0,NA(),IF(Inputs!$C$17="Rebased to 100",$E892/E$8*100,$E892)))))</f>
        <v/>
      </c>
      <c r="L892" s="54">
        <f>IF($B892=0,NA(),IF($F892="",NA(),IF(F$8="",NA(),IF(N(F$8)=0,NA(),IF(Inputs!$C$17="Rebased to 100",$F892/F$8*100,$F892)))))</f>
        <v/>
      </c>
      <c r="M892" s="54">
        <f>IF($B892=0,NA(),IF($G892="",NA(),IF(G$8="",NA(),IF(N(G$8)=0,NA(),IF(Inputs!$C$17="Rebased to 100",$G892/G$8*100,$G892)))))</f>
        <v/>
      </c>
      <c r="N892" s="54">
        <f>IF($B892=0,NA(),IF(Inputs!$C$18&lt;&gt;"Yes",NA(),IF(COUNT(I892,J892,K892,L892,M892)=0,NA(),MIN(I892,J892,K892,L892,M892))))</f>
        <v/>
      </c>
      <c r="O892" s="54">
        <f>IF($B892=0,NA(),IF(Inputs!$B$24&lt;&gt;"Yes",NA(),Inputs!$D$24*Inputs!$C$35))</f>
        <v/>
      </c>
      <c r="P892" s="54">
        <f>IF($B892=0,NA(),IF(Inputs!$B$25&lt;&gt;"Yes",NA(),Inputs!$D$25*Inputs!$C$35))</f>
        <v/>
      </c>
      <c r="Q892" s="54">
        <f>IF($B892=0,NA(),IF(Inputs!$B$26&lt;&gt;"Yes",NA(),Inputs!$D$26*Inputs!$C$35))</f>
        <v/>
      </c>
      <c r="R892" s="54">
        <f>IF($B892=0,NA(),IF(Inputs!$B$27&lt;&gt;"Yes",NA(),Inputs!$D$27*Inputs!$C$35))</f>
        <v/>
      </c>
      <c r="S892" s="54">
        <f>IF($B892=0,NA(),IF(Inputs!$B$28&lt;&gt;"Yes",NA(),Inputs!$D$28*Inputs!$C$35))</f>
        <v/>
      </c>
      <c r="T892" s="54">
        <f>IF($B892=0,NA(),IF(Inputs!$B$29&lt;&gt;"Yes",NA(),Inputs!$D$29*Inputs!$C$35))</f>
        <v/>
      </c>
      <c r="AD892">
        <f>IF($B892=0,0,IF(Inputs!$B$6="",0,COUNTIFS(Data!$A$10:$A$3209,"&gt;="&amp;$A892,Data!$A$10:$A$3209,"&lt;"&amp;$A892+1)))</f>
        <v/>
      </c>
      <c r="AE892">
        <f>IF($B892=0,0,IF(Inputs!$B$7="",0,COUNTIFS(Data!$E$10:$E$3209,"&gt;="&amp;$A892,Data!$E$10:$E$3209,"&lt;"&amp;$A892+1)))</f>
        <v/>
      </c>
      <c r="AF892">
        <f>IF($B892=0,0,IF(Inputs!$B$8="",0,COUNTIFS(Data!$I$10:$I$3209,"&gt;="&amp;$A892,Data!$I$10:$I$3209,"&lt;"&amp;$A892+1)))</f>
        <v/>
      </c>
      <c r="AG892">
        <f>IF($B892=0,0,IF(Inputs!$B$9="",0,COUNTIFS(Data!$M$10:$M$3209,"&gt;="&amp;$A892,Data!$M$10:$M$3209,"&lt;"&amp;$A892+1)))</f>
        <v/>
      </c>
      <c r="AH892">
        <f>IF($B892=0,0,IF(Inputs!$B$10="",0,COUNTIFS(Data!$Q$10:$Q$3209,"&gt;="&amp;$A892,Data!$Q$10:$Q$3209,"&lt;"&amp;$A892+1)))</f>
        <v/>
      </c>
    </row>
    <row r="893">
      <c r="A893" s="55">
        <f>MIN(Inputs!$C$15,$A892+IF(WEEKDAY($A892,2)=5,3,1))</f>
        <v/>
      </c>
      <c r="B893">
        <f>IF($A893&gt;$A892,1,0)</f>
        <v/>
      </c>
      <c r="C893" s="56">
        <f>IF($B893=0,"",IF(Inputs!$B$6="","",IF($AD893=0,C892,SUMIFS(Data!$B$10:$B$3209,Data!$A$10:$A$3209,"&gt;="&amp;$A893,Data!$A$10:$A$3209,"&lt;"&amp;$A893+1)/$AD893)))</f>
        <v/>
      </c>
      <c r="D893" s="56">
        <f>IF($B893=0,"",IF(Inputs!$B$7="","",IF($AE893=0,D892,SUMIFS(Data!$F$10:$F$3209,Data!$E$10:$E$3209,"&gt;="&amp;$A893,Data!$E$10:$E$3209,"&lt;"&amp;$A893+1)/$AE893)))</f>
        <v/>
      </c>
      <c r="E893" s="56">
        <f>IF($B893=0,"",IF(Inputs!$B$8="","",IF($AF893=0,E892,SUMIFS(Data!$J$10:$J$3209,Data!$I$10:$I$3209,"&gt;="&amp;$A893,Data!$I$10:$I$3209,"&lt;"&amp;$A893+1)/$AF893)))</f>
        <v/>
      </c>
      <c r="F893" s="56">
        <f>IF($B893=0,"",IF(Inputs!$B$9="","",IF($AG893=0,F892,SUMIFS(Data!$N$10:$N$3209,Data!$M$10:$M$3209,"&gt;="&amp;$A893,Data!$M$10:$M$3209,"&lt;"&amp;$A893+1)/$AG893)))</f>
        <v/>
      </c>
      <c r="G893" s="56">
        <f>IF($B893=0,"",IF(Inputs!$B$10="","",IF($AH893=0,G892,SUMIFS(Data!$R$10:$R$3209,Data!$Q$10:$Q$3209,"&gt;="&amp;$A893,Data!$Q$10:$Q$3209,"&lt;"&amp;$A893+1)/$AH893)))</f>
        <v/>
      </c>
      <c r="I893" s="54">
        <f>IF($B893=0,NA(),IF($C893="",NA(),IF(C$8="",NA(),IF(N(C$8)=0,NA(),IF(Inputs!$C$17="Rebased to 100",$C893/C$8*100,$C893)))))</f>
        <v/>
      </c>
      <c r="J893" s="54">
        <f>IF($B893=0,NA(),IF($D893="",NA(),IF(D$8="",NA(),IF(N(D$8)=0,NA(),IF(Inputs!$C$17="Rebased to 100",$D893/D$8*100,$D893)))))</f>
        <v/>
      </c>
      <c r="K893" s="54">
        <f>IF($B893=0,NA(),IF($E893="",NA(),IF(E$8="",NA(),IF(N(E$8)=0,NA(),IF(Inputs!$C$17="Rebased to 100",$E893/E$8*100,$E893)))))</f>
        <v/>
      </c>
      <c r="L893" s="54">
        <f>IF($B893=0,NA(),IF($F893="",NA(),IF(F$8="",NA(),IF(N(F$8)=0,NA(),IF(Inputs!$C$17="Rebased to 100",$F893/F$8*100,$F893)))))</f>
        <v/>
      </c>
      <c r="M893" s="54">
        <f>IF($B893=0,NA(),IF($G893="",NA(),IF(G$8="",NA(),IF(N(G$8)=0,NA(),IF(Inputs!$C$17="Rebased to 100",$G893/G$8*100,$G893)))))</f>
        <v/>
      </c>
      <c r="N893" s="54">
        <f>IF($B893=0,NA(),IF(Inputs!$C$18&lt;&gt;"Yes",NA(),IF(COUNT(I893,J893,K893,L893,M893)=0,NA(),MIN(I893,J893,K893,L893,M893))))</f>
        <v/>
      </c>
      <c r="O893" s="54">
        <f>IF($B893=0,NA(),IF(Inputs!$B$24&lt;&gt;"Yes",NA(),Inputs!$D$24*Inputs!$C$35))</f>
        <v/>
      </c>
      <c r="P893" s="54">
        <f>IF($B893=0,NA(),IF(Inputs!$B$25&lt;&gt;"Yes",NA(),Inputs!$D$25*Inputs!$C$35))</f>
        <v/>
      </c>
      <c r="Q893" s="54">
        <f>IF($B893=0,NA(),IF(Inputs!$B$26&lt;&gt;"Yes",NA(),Inputs!$D$26*Inputs!$C$35))</f>
        <v/>
      </c>
      <c r="R893" s="54">
        <f>IF($B893=0,NA(),IF(Inputs!$B$27&lt;&gt;"Yes",NA(),Inputs!$D$27*Inputs!$C$35))</f>
        <v/>
      </c>
      <c r="S893" s="54">
        <f>IF($B893=0,NA(),IF(Inputs!$B$28&lt;&gt;"Yes",NA(),Inputs!$D$28*Inputs!$C$35))</f>
        <v/>
      </c>
      <c r="T893" s="54">
        <f>IF($B893=0,NA(),IF(Inputs!$B$29&lt;&gt;"Yes",NA(),Inputs!$D$29*Inputs!$C$35))</f>
        <v/>
      </c>
      <c r="AD893">
        <f>IF($B893=0,0,IF(Inputs!$B$6="",0,COUNTIFS(Data!$A$10:$A$3209,"&gt;="&amp;$A893,Data!$A$10:$A$3209,"&lt;"&amp;$A893+1)))</f>
        <v/>
      </c>
      <c r="AE893">
        <f>IF($B893=0,0,IF(Inputs!$B$7="",0,COUNTIFS(Data!$E$10:$E$3209,"&gt;="&amp;$A893,Data!$E$10:$E$3209,"&lt;"&amp;$A893+1)))</f>
        <v/>
      </c>
      <c r="AF893">
        <f>IF($B893=0,0,IF(Inputs!$B$8="",0,COUNTIFS(Data!$I$10:$I$3209,"&gt;="&amp;$A893,Data!$I$10:$I$3209,"&lt;"&amp;$A893+1)))</f>
        <v/>
      </c>
      <c r="AG893">
        <f>IF($B893=0,0,IF(Inputs!$B$9="",0,COUNTIFS(Data!$M$10:$M$3209,"&gt;="&amp;$A893,Data!$M$10:$M$3209,"&lt;"&amp;$A893+1)))</f>
        <v/>
      </c>
      <c r="AH893">
        <f>IF($B893=0,0,IF(Inputs!$B$10="",0,COUNTIFS(Data!$Q$10:$Q$3209,"&gt;="&amp;$A893,Data!$Q$10:$Q$3209,"&lt;"&amp;$A893+1)))</f>
        <v/>
      </c>
    </row>
    <row r="894">
      <c r="A894" s="55">
        <f>MIN(Inputs!$C$15,$A893+IF(WEEKDAY($A893,2)=5,3,1))</f>
        <v/>
      </c>
      <c r="B894">
        <f>IF($A894&gt;$A893,1,0)</f>
        <v/>
      </c>
      <c r="C894" s="56">
        <f>IF($B894=0,"",IF(Inputs!$B$6="","",IF($AD894=0,C893,SUMIFS(Data!$B$10:$B$3209,Data!$A$10:$A$3209,"&gt;="&amp;$A894,Data!$A$10:$A$3209,"&lt;"&amp;$A894+1)/$AD894)))</f>
        <v/>
      </c>
      <c r="D894" s="56">
        <f>IF($B894=0,"",IF(Inputs!$B$7="","",IF($AE894=0,D893,SUMIFS(Data!$F$10:$F$3209,Data!$E$10:$E$3209,"&gt;="&amp;$A894,Data!$E$10:$E$3209,"&lt;"&amp;$A894+1)/$AE894)))</f>
        <v/>
      </c>
      <c r="E894" s="56">
        <f>IF($B894=0,"",IF(Inputs!$B$8="","",IF($AF894=0,E893,SUMIFS(Data!$J$10:$J$3209,Data!$I$10:$I$3209,"&gt;="&amp;$A894,Data!$I$10:$I$3209,"&lt;"&amp;$A894+1)/$AF894)))</f>
        <v/>
      </c>
      <c r="F894" s="56">
        <f>IF($B894=0,"",IF(Inputs!$B$9="","",IF($AG894=0,F893,SUMIFS(Data!$N$10:$N$3209,Data!$M$10:$M$3209,"&gt;="&amp;$A894,Data!$M$10:$M$3209,"&lt;"&amp;$A894+1)/$AG894)))</f>
        <v/>
      </c>
      <c r="G894" s="56">
        <f>IF($B894=0,"",IF(Inputs!$B$10="","",IF($AH894=0,G893,SUMIFS(Data!$R$10:$R$3209,Data!$Q$10:$Q$3209,"&gt;="&amp;$A894,Data!$Q$10:$Q$3209,"&lt;"&amp;$A894+1)/$AH894)))</f>
        <v/>
      </c>
      <c r="I894" s="54">
        <f>IF($B894=0,NA(),IF($C894="",NA(),IF(C$8="",NA(),IF(N(C$8)=0,NA(),IF(Inputs!$C$17="Rebased to 100",$C894/C$8*100,$C894)))))</f>
        <v/>
      </c>
      <c r="J894" s="54">
        <f>IF($B894=0,NA(),IF($D894="",NA(),IF(D$8="",NA(),IF(N(D$8)=0,NA(),IF(Inputs!$C$17="Rebased to 100",$D894/D$8*100,$D894)))))</f>
        <v/>
      </c>
      <c r="K894" s="54">
        <f>IF($B894=0,NA(),IF($E894="",NA(),IF(E$8="",NA(),IF(N(E$8)=0,NA(),IF(Inputs!$C$17="Rebased to 100",$E894/E$8*100,$E894)))))</f>
        <v/>
      </c>
      <c r="L894" s="54">
        <f>IF($B894=0,NA(),IF($F894="",NA(),IF(F$8="",NA(),IF(N(F$8)=0,NA(),IF(Inputs!$C$17="Rebased to 100",$F894/F$8*100,$F894)))))</f>
        <v/>
      </c>
      <c r="M894" s="54">
        <f>IF($B894=0,NA(),IF($G894="",NA(),IF(G$8="",NA(),IF(N(G$8)=0,NA(),IF(Inputs!$C$17="Rebased to 100",$G894/G$8*100,$G894)))))</f>
        <v/>
      </c>
      <c r="N894" s="54">
        <f>IF($B894=0,NA(),IF(Inputs!$C$18&lt;&gt;"Yes",NA(),IF(COUNT(I894,J894,K894,L894,M894)=0,NA(),MIN(I894,J894,K894,L894,M894))))</f>
        <v/>
      </c>
      <c r="O894" s="54">
        <f>IF($B894=0,NA(),IF(Inputs!$B$24&lt;&gt;"Yes",NA(),Inputs!$D$24*Inputs!$C$35))</f>
        <v/>
      </c>
      <c r="P894" s="54">
        <f>IF($B894=0,NA(),IF(Inputs!$B$25&lt;&gt;"Yes",NA(),Inputs!$D$25*Inputs!$C$35))</f>
        <v/>
      </c>
      <c r="Q894" s="54">
        <f>IF($B894=0,NA(),IF(Inputs!$B$26&lt;&gt;"Yes",NA(),Inputs!$D$26*Inputs!$C$35))</f>
        <v/>
      </c>
      <c r="R894" s="54">
        <f>IF($B894=0,NA(),IF(Inputs!$B$27&lt;&gt;"Yes",NA(),Inputs!$D$27*Inputs!$C$35))</f>
        <v/>
      </c>
      <c r="S894" s="54">
        <f>IF($B894=0,NA(),IF(Inputs!$B$28&lt;&gt;"Yes",NA(),Inputs!$D$28*Inputs!$C$35))</f>
        <v/>
      </c>
      <c r="T894" s="54">
        <f>IF($B894=0,NA(),IF(Inputs!$B$29&lt;&gt;"Yes",NA(),Inputs!$D$29*Inputs!$C$35))</f>
        <v/>
      </c>
      <c r="AD894">
        <f>IF($B894=0,0,IF(Inputs!$B$6="",0,COUNTIFS(Data!$A$10:$A$3209,"&gt;="&amp;$A894,Data!$A$10:$A$3209,"&lt;"&amp;$A894+1)))</f>
        <v/>
      </c>
      <c r="AE894">
        <f>IF($B894=0,0,IF(Inputs!$B$7="",0,COUNTIFS(Data!$E$10:$E$3209,"&gt;="&amp;$A894,Data!$E$10:$E$3209,"&lt;"&amp;$A894+1)))</f>
        <v/>
      </c>
      <c r="AF894">
        <f>IF($B894=0,0,IF(Inputs!$B$8="",0,COUNTIFS(Data!$I$10:$I$3209,"&gt;="&amp;$A894,Data!$I$10:$I$3209,"&lt;"&amp;$A894+1)))</f>
        <v/>
      </c>
      <c r="AG894">
        <f>IF($B894=0,0,IF(Inputs!$B$9="",0,COUNTIFS(Data!$M$10:$M$3209,"&gt;="&amp;$A894,Data!$M$10:$M$3209,"&lt;"&amp;$A894+1)))</f>
        <v/>
      </c>
      <c r="AH894">
        <f>IF($B894=0,0,IF(Inputs!$B$10="",0,COUNTIFS(Data!$Q$10:$Q$3209,"&gt;="&amp;$A894,Data!$Q$10:$Q$3209,"&lt;"&amp;$A894+1)))</f>
        <v/>
      </c>
    </row>
    <row r="895">
      <c r="A895" s="55">
        <f>MIN(Inputs!$C$15,$A894+IF(WEEKDAY($A894,2)=5,3,1))</f>
        <v/>
      </c>
      <c r="B895">
        <f>IF($A895&gt;$A894,1,0)</f>
        <v/>
      </c>
      <c r="C895" s="56">
        <f>IF($B895=0,"",IF(Inputs!$B$6="","",IF($AD895=0,C894,SUMIFS(Data!$B$10:$B$3209,Data!$A$10:$A$3209,"&gt;="&amp;$A895,Data!$A$10:$A$3209,"&lt;"&amp;$A895+1)/$AD895)))</f>
        <v/>
      </c>
      <c r="D895" s="56">
        <f>IF($B895=0,"",IF(Inputs!$B$7="","",IF($AE895=0,D894,SUMIFS(Data!$F$10:$F$3209,Data!$E$10:$E$3209,"&gt;="&amp;$A895,Data!$E$10:$E$3209,"&lt;"&amp;$A895+1)/$AE895)))</f>
        <v/>
      </c>
      <c r="E895" s="56">
        <f>IF($B895=0,"",IF(Inputs!$B$8="","",IF($AF895=0,E894,SUMIFS(Data!$J$10:$J$3209,Data!$I$10:$I$3209,"&gt;="&amp;$A895,Data!$I$10:$I$3209,"&lt;"&amp;$A895+1)/$AF895)))</f>
        <v/>
      </c>
      <c r="F895" s="56">
        <f>IF($B895=0,"",IF(Inputs!$B$9="","",IF($AG895=0,F894,SUMIFS(Data!$N$10:$N$3209,Data!$M$10:$M$3209,"&gt;="&amp;$A895,Data!$M$10:$M$3209,"&lt;"&amp;$A895+1)/$AG895)))</f>
        <v/>
      </c>
      <c r="G895" s="56">
        <f>IF($B895=0,"",IF(Inputs!$B$10="","",IF($AH895=0,G894,SUMIFS(Data!$R$10:$R$3209,Data!$Q$10:$Q$3209,"&gt;="&amp;$A895,Data!$Q$10:$Q$3209,"&lt;"&amp;$A895+1)/$AH895)))</f>
        <v/>
      </c>
      <c r="I895" s="54">
        <f>IF($B895=0,NA(),IF($C895="",NA(),IF(C$8="",NA(),IF(N(C$8)=0,NA(),IF(Inputs!$C$17="Rebased to 100",$C895/C$8*100,$C895)))))</f>
        <v/>
      </c>
      <c r="J895" s="54">
        <f>IF($B895=0,NA(),IF($D895="",NA(),IF(D$8="",NA(),IF(N(D$8)=0,NA(),IF(Inputs!$C$17="Rebased to 100",$D895/D$8*100,$D895)))))</f>
        <v/>
      </c>
      <c r="K895" s="54">
        <f>IF($B895=0,NA(),IF($E895="",NA(),IF(E$8="",NA(),IF(N(E$8)=0,NA(),IF(Inputs!$C$17="Rebased to 100",$E895/E$8*100,$E895)))))</f>
        <v/>
      </c>
      <c r="L895" s="54">
        <f>IF($B895=0,NA(),IF($F895="",NA(),IF(F$8="",NA(),IF(N(F$8)=0,NA(),IF(Inputs!$C$17="Rebased to 100",$F895/F$8*100,$F895)))))</f>
        <v/>
      </c>
      <c r="M895" s="54">
        <f>IF($B895=0,NA(),IF($G895="",NA(),IF(G$8="",NA(),IF(N(G$8)=0,NA(),IF(Inputs!$C$17="Rebased to 100",$G895/G$8*100,$G895)))))</f>
        <v/>
      </c>
      <c r="N895" s="54">
        <f>IF($B895=0,NA(),IF(Inputs!$C$18&lt;&gt;"Yes",NA(),IF(COUNT(I895,J895,K895,L895,M895)=0,NA(),MIN(I895,J895,K895,L895,M895))))</f>
        <v/>
      </c>
      <c r="O895" s="54">
        <f>IF($B895=0,NA(),IF(Inputs!$B$24&lt;&gt;"Yes",NA(),Inputs!$D$24*Inputs!$C$35))</f>
        <v/>
      </c>
      <c r="P895" s="54">
        <f>IF($B895=0,NA(),IF(Inputs!$B$25&lt;&gt;"Yes",NA(),Inputs!$D$25*Inputs!$C$35))</f>
        <v/>
      </c>
      <c r="Q895" s="54">
        <f>IF($B895=0,NA(),IF(Inputs!$B$26&lt;&gt;"Yes",NA(),Inputs!$D$26*Inputs!$C$35))</f>
        <v/>
      </c>
      <c r="R895" s="54">
        <f>IF($B895=0,NA(),IF(Inputs!$B$27&lt;&gt;"Yes",NA(),Inputs!$D$27*Inputs!$C$35))</f>
        <v/>
      </c>
      <c r="S895" s="54">
        <f>IF($B895=0,NA(),IF(Inputs!$B$28&lt;&gt;"Yes",NA(),Inputs!$D$28*Inputs!$C$35))</f>
        <v/>
      </c>
      <c r="T895" s="54">
        <f>IF($B895=0,NA(),IF(Inputs!$B$29&lt;&gt;"Yes",NA(),Inputs!$D$29*Inputs!$C$35))</f>
        <v/>
      </c>
      <c r="AD895">
        <f>IF($B895=0,0,IF(Inputs!$B$6="",0,COUNTIFS(Data!$A$10:$A$3209,"&gt;="&amp;$A895,Data!$A$10:$A$3209,"&lt;"&amp;$A895+1)))</f>
        <v/>
      </c>
      <c r="AE895">
        <f>IF($B895=0,0,IF(Inputs!$B$7="",0,COUNTIFS(Data!$E$10:$E$3209,"&gt;="&amp;$A895,Data!$E$10:$E$3209,"&lt;"&amp;$A895+1)))</f>
        <v/>
      </c>
      <c r="AF895">
        <f>IF($B895=0,0,IF(Inputs!$B$8="",0,COUNTIFS(Data!$I$10:$I$3209,"&gt;="&amp;$A895,Data!$I$10:$I$3209,"&lt;"&amp;$A895+1)))</f>
        <v/>
      </c>
      <c r="AG895">
        <f>IF($B895=0,0,IF(Inputs!$B$9="",0,COUNTIFS(Data!$M$10:$M$3209,"&gt;="&amp;$A895,Data!$M$10:$M$3209,"&lt;"&amp;$A895+1)))</f>
        <v/>
      </c>
      <c r="AH895">
        <f>IF($B895=0,0,IF(Inputs!$B$10="",0,COUNTIFS(Data!$Q$10:$Q$3209,"&gt;="&amp;$A895,Data!$Q$10:$Q$3209,"&lt;"&amp;$A895+1)))</f>
        <v/>
      </c>
    </row>
    <row r="896">
      <c r="A896" s="55">
        <f>MIN(Inputs!$C$15,$A895+IF(WEEKDAY($A895,2)=5,3,1))</f>
        <v/>
      </c>
      <c r="B896">
        <f>IF($A896&gt;$A895,1,0)</f>
        <v/>
      </c>
      <c r="C896" s="56">
        <f>IF($B896=0,"",IF(Inputs!$B$6="","",IF($AD896=0,C895,SUMIFS(Data!$B$10:$B$3209,Data!$A$10:$A$3209,"&gt;="&amp;$A896,Data!$A$10:$A$3209,"&lt;"&amp;$A896+1)/$AD896)))</f>
        <v/>
      </c>
      <c r="D896" s="56">
        <f>IF($B896=0,"",IF(Inputs!$B$7="","",IF($AE896=0,D895,SUMIFS(Data!$F$10:$F$3209,Data!$E$10:$E$3209,"&gt;="&amp;$A896,Data!$E$10:$E$3209,"&lt;"&amp;$A896+1)/$AE896)))</f>
        <v/>
      </c>
      <c r="E896" s="56">
        <f>IF($B896=0,"",IF(Inputs!$B$8="","",IF($AF896=0,E895,SUMIFS(Data!$J$10:$J$3209,Data!$I$10:$I$3209,"&gt;="&amp;$A896,Data!$I$10:$I$3209,"&lt;"&amp;$A896+1)/$AF896)))</f>
        <v/>
      </c>
      <c r="F896" s="56">
        <f>IF($B896=0,"",IF(Inputs!$B$9="","",IF($AG896=0,F895,SUMIFS(Data!$N$10:$N$3209,Data!$M$10:$M$3209,"&gt;="&amp;$A896,Data!$M$10:$M$3209,"&lt;"&amp;$A896+1)/$AG896)))</f>
        <v/>
      </c>
      <c r="G896" s="56">
        <f>IF($B896=0,"",IF(Inputs!$B$10="","",IF($AH896=0,G895,SUMIFS(Data!$R$10:$R$3209,Data!$Q$10:$Q$3209,"&gt;="&amp;$A896,Data!$Q$10:$Q$3209,"&lt;"&amp;$A896+1)/$AH896)))</f>
        <v/>
      </c>
      <c r="I896" s="54">
        <f>IF($B896=0,NA(),IF($C896="",NA(),IF(C$8="",NA(),IF(N(C$8)=0,NA(),IF(Inputs!$C$17="Rebased to 100",$C896/C$8*100,$C896)))))</f>
        <v/>
      </c>
      <c r="J896" s="54">
        <f>IF($B896=0,NA(),IF($D896="",NA(),IF(D$8="",NA(),IF(N(D$8)=0,NA(),IF(Inputs!$C$17="Rebased to 100",$D896/D$8*100,$D896)))))</f>
        <v/>
      </c>
      <c r="K896" s="54">
        <f>IF($B896=0,NA(),IF($E896="",NA(),IF(E$8="",NA(),IF(N(E$8)=0,NA(),IF(Inputs!$C$17="Rebased to 100",$E896/E$8*100,$E896)))))</f>
        <v/>
      </c>
      <c r="L896" s="54">
        <f>IF($B896=0,NA(),IF($F896="",NA(),IF(F$8="",NA(),IF(N(F$8)=0,NA(),IF(Inputs!$C$17="Rebased to 100",$F896/F$8*100,$F896)))))</f>
        <v/>
      </c>
      <c r="M896" s="54">
        <f>IF($B896=0,NA(),IF($G896="",NA(),IF(G$8="",NA(),IF(N(G$8)=0,NA(),IF(Inputs!$C$17="Rebased to 100",$G896/G$8*100,$G896)))))</f>
        <v/>
      </c>
      <c r="N896" s="54">
        <f>IF($B896=0,NA(),IF(Inputs!$C$18&lt;&gt;"Yes",NA(),IF(COUNT(I896,J896,K896,L896,M896)=0,NA(),MIN(I896,J896,K896,L896,M896))))</f>
        <v/>
      </c>
      <c r="O896" s="54">
        <f>IF($B896=0,NA(),IF(Inputs!$B$24&lt;&gt;"Yes",NA(),Inputs!$D$24*Inputs!$C$35))</f>
        <v/>
      </c>
      <c r="P896" s="54">
        <f>IF($B896=0,NA(),IF(Inputs!$B$25&lt;&gt;"Yes",NA(),Inputs!$D$25*Inputs!$C$35))</f>
        <v/>
      </c>
      <c r="Q896" s="54">
        <f>IF($B896=0,NA(),IF(Inputs!$B$26&lt;&gt;"Yes",NA(),Inputs!$D$26*Inputs!$C$35))</f>
        <v/>
      </c>
      <c r="R896" s="54">
        <f>IF($B896=0,NA(),IF(Inputs!$B$27&lt;&gt;"Yes",NA(),Inputs!$D$27*Inputs!$C$35))</f>
        <v/>
      </c>
      <c r="S896" s="54">
        <f>IF($B896=0,NA(),IF(Inputs!$B$28&lt;&gt;"Yes",NA(),Inputs!$D$28*Inputs!$C$35))</f>
        <v/>
      </c>
      <c r="T896" s="54">
        <f>IF($B896=0,NA(),IF(Inputs!$B$29&lt;&gt;"Yes",NA(),Inputs!$D$29*Inputs!$C$35))</f>
        <v/>
      </c>
      <c r="AD896">
        <f>IF($B896=0,0,IF(Inputs!$B$6="",0,COUNTIFS(Data!$A$10:$A$3209,"&gt;="&amp;$A896,Data!$A$10:$A$3209,"&lt;"&amp;$A896+1)))</f>
        <v/>
      </c>
      <c r="AE896">
        <f>IF($B896=0,0,IF(Inputs!$B$7="",0,COUNTIFS(Data!$E$10:$E$3209,"&gt;="&amp;$A896,Data!$E$10:$E$3209,"&lt;"&amp;$A896+1)))</f>
        <v/>
      </c>
      <c r="AF896">
        <f>IF($B896=0,0,IF(Inputs!$B$8="",0,COUNTIFS(Data!$I$10:$I$3209,"&gt;="&amp;$A896,Data!$I$10:$I$3209,"&lt;"&amp;$A896+1)))</f>
        <v/>
      </c>
      <c r="AG896">
        <f>IF($B896=0,0,IF(Inputs!$B$9="",0,COUNTIFS(Data!$M$10:$M$3209,"&gt;="&amp;$A896,Data!$M$10:$M$3209,"&lt;"&amp;$A896+1)))</f>
        <v/>
      </c>
      <c r="AH896">
        <f>IF($B896=0,0,IF(Inputs!$B$10="",0,COUNTIFS(Data!$Q$10:$Q$3209,"&gt;="&amp;$A896,Data!$Q$10:$Q$3209,"&lt;"&amp;$A896+1)))</f>
        <v/>
      </c>
    </row>
    <row r="897">
      <c r="A897" s="55">
        <f>MIN(Inputs!$C$15,$A896+IF(WEEKDAY($A896,2)=5,3,1))</f>
        <v/>
      </c>
      <c r="B897">
        <f>IF($A897&gt;$A896,1,0)</f>
        <v/>
      </c>
      <c r="C897" s="56">
        <f>IF($B897=0,"",IF(Inputs!$B$6="","",IF($AD897=0,C896,SUMIFS(Data!$B$10:$B$3209,Data!$A$10:$A$3209,"&gt;="&amp;$A897,Data!$A$10:$A$3209,"&lt;"&amp;$A897+1)/$AD897)))</f>
        <v/>
      </c>
      <c r="D897" s="56">
        <f>IF($B897=0,"",IF(Inputs!$B$7="","",IF($AE897=0,D896,SUMIFS(Data!$F$10:$F$3209,Data!$E$10:$E$3209,"&gt;="&amp;$A897,Data!$E$10:$E$3209,"&lt;"&amp;$A897+1)/$AE897)))</f>
        <v/>
      </c>
      <c r="E897" s="56">
        <f>IF($B897=0,"",IF(Inputs!$B$8="","",IF($AF897=0,E896,SUMIFS(Data!$J$10:$J$3209,Data!$I$10:$I$3209,"&gt;="&amp;$A897,Data!$I$10:$I$3209,"&lt;"&amp;$A897+1)/$AF897)))</f>
        <v/>
      </c>
      <c r="F897" s="56">
        <f>IF($B897=0,"",IF(Inputs!$B$9="","",IF($AG897=0,F896,SUMIFS(Data!$N$10:$N$3209,Data!$M$10:$M$3209,"&gt;="&amp;$A897,Data!$M$10:$M$3209,"&lt;"&amp;$A897+1)/$AG897)))</f>
        <v/>
      </c>
      <c r="G897" s="56">
        <f>IF($B897=0,"",IF(Inputs!$B$10="","",IF($AH897=0,G896,SUMIFS(Data!$R$10:$R$3209,Data!$Q$10:$Q$3209,"&gt;="&amp;$A897,Data!$Q$10:$Q$3209,"&lt;"&amp;$A897+1)/$AH897)))</f>
        <v/>
      </c>
      <c r="I897" s="54">
        <f>IF($B897=0,NA(),IF($C897="",NA(),IF(C$8="",NA(),IF(N(C$8)=0,NA(),IF(Inputs!$C$17="Rebased to 100",$C897/C$8*100,$C897)))))</f>
        <v/>
      </c>
      <c r="J897" s="54">
        <f>IF($B897=0,NA(),IF($D897="",NA(),IF(D$8="",NA(),IF(N(D$8)=0,NA(),IF(Inputs!$C$17="Rebased to 100",$D897/D$8*100,$D897)))))</f>
        <v/>
      </c>
      <c r="K897" s="54">
        <f>IF($B897=0,NA(),IF($E897="",NA(),IF(E$8="",NA(),IF(N(E$8)=0,NA(),IF(Inputs!$C$17="Rebased to 100",$E897/E$8*100,$E897)))))</f>
        <v/>
      </c>
      <c r="L897" s="54">
        <f>IF($B897=0,NA(),IF($F897="",NA(),IF(F$8="",NA(),IF(N(F$8)=0,NA(),IF(Inputs!$C$17="Rebased to 100",$F897/F$8*100,$F897)))))</f>
        <v/>
      </c>
      <c r="M897" s="54">
        <f>IF($B897=0,NA(),IF($G897="",NA(),IF(G$8="",NA(),IF(N(G$8)=0,NA(),IF(Inputs!$C$17="Rebased to 100",$G897/G$8*100,$G897)))))</f>
        <v/>
      </c>
      <c r="N897" s="54">
        <f>IF($B897=0,NA(),IF(Inputs!$C$18&lt;&gt;"Yes",NA(),IF(COUNT(I897,J897,K897,L897,M897)=0,NA(),MIN(I897,J897,K897,L897,M897))))</f>
        <v/>
      </c>
      <c r="O897" s="54">
        <f>IF($B897=0,NA(),IF(Inputs!$B$24&lt;&gt;"Yes",NA(),Inputs!$D$24*Inputs!$C$35))</f>
        <v/>
      </c>
      <c r="P897" s="54">
        <f>IF($B897=0,NA(),IF(Inputs!$B$25&lt;&gt;"Yes",NA(),Inputs!$D$25*Inputs!$C$35))</f>
        <v/>
      </c>
      <c r="Q897" s="54">
        <f>IF($B897=0,NA(),IF(Inputs!$B$26&lt;&gt;"Yes",NA(),Inputs!$D$26*Inputs!$C$35))</f>
        <v/>
      </c>
      <c r="R897" s="54">
        <f>IF($B897=0,NA(),IF(Inputs!$B$27&lt;&gt;"Yes",NA(),Inputs!$D$27*Inputs!$C$35))</f>
        <v/>
      </c>
      <c r="S897" s="54">
        <f>IF($B897=0,NA(),IF(Inputs!$B$28&lt;&gt;"Yes",NA(),Inputs!$D$28*Inputs!$C$35))</f>
        <v/>
      </c>
      <c r="T897" s="54">
        <f>IF($B897=0,NA(),IF(Inputs!$B$29&lt;&gt;"Yes",NA(),Inputs!$D$29*Inputs!$C$35))</f>
        <v/>
      </c>
      <c r="AD897">
        <f>IF($B897=0,0,IF(Inputs!$B$6="",0,COUNTIFS(Data!$A$10:$A$3209,"&gt;="&amp;$A897,Data!$A$10:$A$3209,"&lt;"&amp;$A897+1)))</f>
        <v/>
      </c>
      <c r="AE897">
        <f>IF($B897=0,0,IF(Inputs!$B$7="",0,COUNTIFS(Data!$E$10:$E$3209,"&gt;="&amp;$A897,Data!$E$10:$E$3209,"&lt;"&amp;$A897+1)))</f>
        <v/>
      </c>
      <c r="AF897">
        <f>IF($B897=0,0,IF(Inputs!$B$8="",0,COUNTIFS(Data!$I$10:$I$3209,"&gt;="&amp;$A897,Data!$I$10:$I$3209,"&lt;"&amp;$A897+1)))</f>
        <v/>
      </c>
      <c r="AG897">
        <f>IF($B897=0,0,IF(Inputs!$B$9="",0,COUNTIFS(Data!$M$10:$M$3209,"&gt;="&amp;$A897,Data!$M$10:$M$3209,"&lt;"&amp;$A897+1)))</f>
        <v/>
      </c>
      <c r="AH897">
        <f>IF($B897=0,0,IF(Inputs!$B$10="",0,COUNTIFS(Data!$Q$10:$Q$3209,"&gt;="&amp;$A897,Data!$Q$10:$Q$3209,"&lt;"&amp;$A897+1)))</f>
        <v/>
      </c>
    </row>
    <row r="898">
      <c r="A898" s="55">
        <f>MIN(Inputs!$C$15,$A897+IF(WEEKDAY($A897,2)=5,3,1))</f>
        <v/>
      </c>
      <c r="B898">
        <f>IF($A898&gt;$A897,1,0)</f>
        <v/>
      </c>
      <c r="C898" s="56">
        <f>IF($B898=0,"",IF(Inputs!$B$6="","",IF($AD898=0,C897,SUMIFS(Data!$B$10:$B$3209,Data!$A$10:$A$3209,"&gt;="&amp;$A898,Data!$A$10:$A$3209,"&lt;"&amp;$A898+1)/$AD898)))</f>
        <v/>
      </c>
      <c r="D898" s="56">
        <f>IF($B898=0,"",IF(Inputs!$B$7="","",IF($AE898=0,D897,SUMIFS(Data!$F$10:$F$3209,Data!$E$10:$E$3209,"&gt;="&amp;$A898,Data!$E$10:$E$3209,"&lt;"&amp;$A898+1)/$AE898)))</f>
        <v/>
      </c>
      <c r="E898" s="56">
        <f>IF($B898=0,"",IF(Inputs!$B$8="","",IF($AF898=0,E897,SUMIFS(Data!$J$10:$J$3209,Data!$I$10:$I$3209,"&gt;="&amp;$A898,Data!$I$10:$I$3209,"&lt;"&amp;$A898+1)/$AF898)))</f>
        <v/>
      </c>
      <c r="F898" s="56">
        <f>IF($B898=0,"",IF(Inputs!$B$9="","",IF($AG898=0,F897,SUMIFS(Data!$N$10:$N$3209,Data!$M$10:$M$3209,"&gt;="&amp;$A898,Data!$M$10:$M$3209,"&lt;"&amp;$A898+1)/$AG898)))</f>
        <v/>
      </c>
      <c r="G898" s="56">
        <f>IF($B898=0,"",IF(Inputs!$B$10="","",IF($AH898=0,G897,SUMIFS(Data!$R$10:$R$3209,Data!$Q$10:$Q$3209,"&gt;="&amp;$A898,Data!$Q$10:$Q$3209,"&lt;"&amp;$A898+1)/$AH898)))</f>
        <v/>
      </c>
      <c r="I898" s="54">
        <f>IF($B898=0,NA(),IF($C898="",NA(),IF(C$8="",NA(),IF(N(C$8)=0,NA(),IF(Inputs!$C$17="Rebased to 100",$C898/C$8*100,$C898)))))</f>
        <v/>
      </c>
      <c r="J898" s="54">
        <f>IF($B898=0,NA(),IF($D898="",NA(),IF(D$8="",NA(),IF(N(D$8)=0,NA(),IF(Inputs!$C$17="Rebased to 100",$D898/D$8*100,$D898)))))</f>
        <v/>
      </c>
      <c r="K898" s="54">
        <f>IF($B898=0,NA(),IF($E898="",NA(),IF(E$8="",NA(),IF(N(E$8)=0,NA(),IF(Inputs!$C$17="Rebased to 100",$E898/E$8*100,$E898)))))</f>
        <v/>
      </c>
      <c r="L898" s="54">
        <f>IF($B898=0,NA(),IF($F898="",NA(),IF(F$8="",NA(),IF(N(F$8)=0,NA(),IF(Inputs!$C$17="Rebased to 100",$F898/F$8*100,$F898)))))</f>
        <v/>
      </c>
      <c r="M898" s="54">
        <f>IF($B898=0,NA(),IF($G898="",NA(),IF(G$8="",NA(),IF(N(G$8)=0,NA(),IF(Inputs!$C$17="Rebased to 100",$G898/G$8*100,$G898)))))</f>
        <v/>
      </c>
      <c r="N898" s="54">
        <f>IF($B898=0,NA(),IF(Inputs!$C$18&lt;&gt;"Yes",NA(),IF(COUNT(I898,J898,K898,L898,M898)=0,NA(),MIN(I898,J898,K898,L898,M898))))</f>
        <v/>
      </c>
      <c r="O898" s="54">
        <f>IF($B898=0,NA(),IF(Inputs!$B$24&lt;&gt;"Yes",NA(),Inputs!$D$24*Inputs!$C$35))</f>
        <v/>
      </c>
      <c r="P898" s="54">
        <f>IF($B898=0,NA(),IF(Inputs!$B$25&lt;&gt;"Yes",NA(),Inputs!$D$25*Inputs!$C$35))</f>
        <v/>
      </c>
      <c r="Q898" s="54">
        <f>IF($B898=0,NA(),IF(Inputs!$B$26&lt;&gt;"Yes",NA(),Inputs!$D$26*Inputs!$C$35))</f>
        <v/>
      </c>
      <c r="R898" s="54">
        <f>IF($B898=0,NA(),IF(Inputs!$B$27&lt;&gt;"Yes",NA(),Inputs!$D$27*Inputs!$C$35))</f>
        <v/>
      </c>
      <c r="S898" s="54">
        <f>IF($B898=0,NA(),IF(Inputs!$B$28&lt;&gt;"Yes",NA(),Inputs!$D$28*Inputs!$C$35))</f>
        <v/>
      </c>
      <c r="T898" s="54">
        <f>IF($B898=0,NA(),IF(Inputs!$B$29&lt;&gt;"Yes",NA(),Inputs!$D$29*Inputs!$C$35))</f>
        <v/>
      </c>
      <c r="AD898">
        <f>IF($B898=0,0,IF(Inputs!$B$6="",0,COUNTIFS(Data!$A$10:$A$3209,"&gt;="&amp;$A898,Data!$A$10:$A$3209,"&lt;"&amp;$A898+1)))</f>
        <v/>
      </c>
      <c r="AE898">
        <f>IF($B898=0,0,IF(Inputs!$B$7="",0,COUNTIFS(Data!$E$10:$E$3209,"&gt;="&amp;$A898,Data!$E$10:$E$3209,"&lt;"&amp;$A898+1)))</f>
        <v/>
      </c>
      <c r="AF898">
        <f>IF($B898=0,0,IF(Inputs!$B$8="",0,COUNTIFS(Data!$I$10:$I$3209,"&gt;="&amp;$A898,Data!$I$10:$I$3209,"&lt;"&amp;$A898+1)))</f>
        <v/>
      </c>
      <c r="AG898">
        <f>IF($B898=0,0,IF(Inputs!$B$9="",0,COUNTIFS(Data!$M$10:$M$3209,"&gt;="&amp;$A898,Data!$M$10:$M$3209,"&lt;"&amp;$A898+1)))</f>
        <v/>
      </c>
      <c r="AH898">
        <f>IF($B898=0,0,IF(Inputs!$B$10="",0,COUNTIFS(Data!$Q$10:$Q$3209,"&gt;="&amp;$A898,Data!$Q$10:$Q$3209,"&lt;"&amp;$A898+1)))</f>
        <v/>
      </c>
    </row>
    <row r="899">
      <c r="A899" s="55">
        <f>MIN(Inputs!$C$15,$A898+IF(WEEKDAY($A898,2)=5,3,1))</f>
        <v/>
      </c>
      <c r="B899">
        <f>IF($A899&gt;$A898,1,0)</f>
        <v/>
      </c>
      <c r="C899" s="56">
        <f>IF($B899=0,"",IF(Inputs!$B$6="","",IF($AD899=0,C898,SUMIFS(Data!$B$10:$B$3209,Data!$A$10:$A$3209,"&gt;="&amp;$A899,Data!$A$10:$A$3209,"&lt;"&amp;$A899+1)/$AD899)))</f>
        <v/>
      </c>
      <c r="D899" s="56">
        <f>IF($B899=0,"",IF(Inputs!$B$7="","",IF($AE899=0,D898,SUMIFS(Data!$F$10:$F$3209,Data!$E$10:$E$3209,"&gt;="&amp;$A899,Data!$E$10:$E$3209,"&lt;"&amp;$A899+1)/$AE899)))</f>
        <v/>
      </c>
      <c r="E899" s="56">
        <f>IF($B899=0,"",IF(Inputs!$B$8="","",IF($AF899=0,E898,SUMIFS(Data!$J$10:$J$3209,Data!$I$10:$I$3209,"&gt;="&amp;$A899,Data!$I$10:$I$3209,"&lt;"&amp;$A899+1)/$AF899)))</f>
        <v/>
      </c>
      <c r="F899" s="56">
        <f>IF($B899=0,"",IF(Inputs!$B$9="","",IF($AG899=0,F898,SUMIFS(Data!$N$10:$N$3209,Data!$M$10:$M$3209,"&gt;="&amp;$A899,Data!$M$10:$M$3209,"&lt;"&amp;$A899+1)/$AG899)))</f>
        <v/>
      </c>
      <c r="G899" s="56">
        <f>IF($B899=0,"",IF(Inputs!$B$10="","",IF($AH899=0,G898,SUMIFS(Data!$R$10:$R$3209,Data!$Q$10:$Q$3209,"&gt;="&amp;$A899,Data!$Q$10:$Q$3209,"&lt;"&amp;$A899+1)/$AH899)))</f>
        <v/>
      </c>
      <c r="I899" s="54">
        <f>IF($B899=0,NA(),IF($C899="",NA(),IF(C$8="",NA(),IF(N(C$8)=0,NA(),IF(Inputs!$C$17="Rebased to 100",$C899/C$8*100,$C899)))))</f>
        <v/>
      </c>
      <c r="J899" s="54">
        <f>IF($B899=0,NA(),IF($D899="",NA(),IF(D$8="",NA(),IF(N(D$8)=0,NA(),IF(Inputs!$C$17="Rebased to 100",$D899/D$8*100,$D899)))))</f>
        <v/>
      </c>
      <c r="K899" s="54">
        <f>IF($B899=0,NA(),IF($E899="",NA(),IF(E$8="",NA(),IF(N(E$8)=0,NA(),IF(Inputs!$C$17="Rebased to 100",$E899/E$8*100,$E899)))))</f>
        <v/>
      </c>
      <c r="L899" s="54">
        <f>IF($B899=0,NA(),IF($F899="",NA(),IF(F$8="",NA(),IF(N(F$8)=0,NA(),IF(Inputs!$C$17="Rebased to 100",$F899/F$8*100,$F899)))))</f>
        <v/>
      </c>
      <c r="M899" s="54">
        <f>IF($B899=0,NA(),IF($G899="",NA(),IF(G$8="",NA(),IF(N(G$8)=0,NA(),IF(Inputs!$C$17="Rebased to 100",$G899/G$8*100,$G899)))))</f>
        <v/>
      </c>
      <c r="N899" s="54">
        <f>IF($B899=0,NA(),IF(Inputs!$C$18&lt;&gt;"Yes",NA(),IF(COUNT(I899,J899,K899,L899,M899)=0,NA(),MIN(I899,J899,K899,L899,M899))))</f>
        <v/>
      </c>
      <c r="O899" s="54">
        <f>IF($B899=0,NA(),IF(Inputs!$B$24&lt;&gt;"Yes",NA(),Inputs!$D$24*Inputs!$C$35))</f>
        <v/>
      </c>
      <c r="P899" s="54">
        <f>IF($B899=0,NA(),IF(Inputs!$B$25&lt;&gt;"Yes",NA(),Inputs!$D$25*Inputs!$C$35))</f>
        <v/>
      </c>
      <c r="Q899" s="54">
        <f>IF($B899=0,NA(),IF(Inputs!$B$26&lt;&gt;"Yes",NA(),Inputs!$D$26*Inputs!$C$35))</f>
        <v/>
      </c>
      <c r="R899" s="54">
        <f>IF($B899=0,NA(),IF(Inputs!$B$27&lt;&gt;"Yes",NA(),Inputs!$D$27*Inputs!$C$35))</f>
        <v/>
      </c>
      <c r="S899" s="54">
        <f>IF($B899=0,NA(),IF(Inputs!$B$28&lt;&gt;"Yes",NA(),Inputs!$D$28*Inputs!$C$35))</f>
        <v/>
      </c>
      <c r="T899" s="54">
        <f>IF($B899=0,NA(),IF(Inputs!$B$29&lt;&gt;"Yes",NA(),Inputs!$D$29*Inputs!$C$35))</f>
        <v/>
      </c>
      <c r="AD899">
        <f>IF($B899=0,0,IF(Inputs!$B$6="",0,COUNTIFS(Data!$A$10:$A$3209,"&gt;="&amp;$A899,Data!$A$10:$A$3209,"&lt;"&amp;$A899+1)))</f>
        <v/>
      </c>
      <c r="AE899">
        <f>IF($B899=0,0,IF(Inputs!$B$7="",0,COUNTIFS(Data!$E$10:$E$3209,"&gt;="&amp;$A899,Data!$E$10:$E$3209,"&lt;"&amp;$A899+1)))</f>
        <v/>
      </c>
      <c r="AF899">
        <f>IF($B899=0,0,IF(Inputs!$B$8="",0,COUNTIFS(Data!$I$10:$I$3209,"&gt;="&amp;$A899,Data!$I$10:$I$3209,"&lt;"&amp;$A899+1)))</f>
        <v/>
      </c>
      <c r="AG899">
        <f>IF($B899=0,0,IF(Inputs!$B$9="",0,COUNTIFS(Data!$M$10:$M$3209,"&gt;="&amp;$A899,Data!$M$10:$M$3209,"&lt;"&amp;$A899+1)))</f>
        <v/>
      </c>
      <c r="AH899">
        <f>IF($B899=0,0,IF(Inputs!$B$10="",0,COUNTIFS(Data!$Q$10:$Q$3209,"&gt;="&amp;$A899,Data!$Q$10:$Q$3209,"&lt;"&amp;$A899+1)))</f>
        <v/>
      </c>
    </row>
    <row r="900">
      <c r="A900" s="55">
        <f>MIN(Inputs!$C$15,$A899+IF(WEEKDAY($A899,2)=5,3,1))</f>
        <v/>
      </c>
      <c r="B900">
        <f>IF($A900&gt;$A899,1,0)</f>
        <v/>
      </c>
      <c r="C900" s="56">
        <f>IF($B900=0,"",IF(Inputs!$B$6="","",IF($AD900=0,C899,SUMIFS(Data!$B$10:$B$3209,Data!$A$10:$A$3209,"&gt;="&amp;$A900,Data!$A$10:$A$3209,"&lt;"&amp;$A900+1)/$AD900)))</f>
        <v/>
      </c>
      <c r="D900" s="56">
        <f>IF($B900=0,"",IF(Inputs!$B$7="","",IF($AE900=0,D899,SUMIFS(Data!$F$10:$F$3209,Data!$E$10:$E$3209,"&gt;="&amp;$A900,Data!$E$10:$E$3209,"&lt;"&amp;$A900+1)/$AE900)))</f>
        <v/>
      </c>
      <c r="E900" s="56">
        <f>IF($B900=0,"",IF(Inputs!$B$8="","",IF($AF900=0,E899,SUMIFS(Data!$J$10:$J$3209,Data!$I$10:$I$3209,"&gt;="&amp;$A900,Data!$I$10:$I$3209,"&lt;"&amp;$A900+1)/$AF900)))</f>
        <v/>
      </c>
      <c r="F900" s="56">
        <f>IF($B900=0,"",IF(Inputs!$B$9="","",IF($AG900=0,F899,SUMIFS(Data!$N$10:$N$3209,Data!$M$10:$M$3209,"&gt;="&amp;$A900,Data!$M$10:$M$3209,"&lt;"&amp;$A900+1)/$AG900)))</f>
        <v/>
      </c>
      <c r="G900" s="56">
        <f>IF($B900=0,"",IF(Inputs!$B$10="","",IF($AH900=0,G899,SUMIFS(Data!$R$10:$R$3209,Data!$Q$10:$Q$3209,"&gt;="&amp;$A900,Data!$Q$10:$Q$3209,"&lt;"&amp;$A900+1)/$AH900)))</f>
        <v/>
      </c>
      <c r="I900" s="54">
        <f>IF($B900=0,NA(),IF($C900="",NA(),IF(C$8="",NA(),IF(N(C$8)=0,NA(),IF(Inputs!$C$17="Rebased to 100",$C900/C$8*100,$C900)))))</f>
        <v/>
      </c>
      <c r="J900" s="54">
        <f>IF($B900=0,NA(),IF($D900="",NA(),IF(D$8="",NA(),IF(N(D$8)=0,NA(),IF(Inputs!$C$17="Rebased to 100",$D900/D$8*100,$D900)))))</f>
        <v/>
      </c>
      <c r="K900" s="54">
        <f>IF($B900=0,NA(),IF($E900="",NA(),IF(E$8="",NA(),IF(N(E$8)=0,NA(),IF(Inputs!$C$17="Rebased to 100",$E900/E$8*100,$E900)))))</f>
        <v/>
      </c>
      <c r="L900" s="54">
        <f>IF($B900=0,NA(),IF($F900="",NA(),IF(F$8="",NA(),IF(N(F$8)=0,NA(),IF(Inputs!$C$17="Rebased to 100",$F900/F$8*100,$F900)))))</f>
        <v/>
      </c>
      <c r="M900" s="54">
        <f>IF($B900=0,NA(),IF($G900="",NA(),IF(G$8="",NA(),IF(N(G$8)=0,NA(),IF(Inputs!$C$17="Rebased to 100",$G900/G$8*100,$G900)))))</f>
        <v/>
      </c>
      <c r="N900" s="54">
        <f>IF($B900=0,NA(),IF(Inputs!$C$18&lt;&gt;"Yes",NA(),IF(COUNT(I900,J900,K900,L900,M900)=0,NA(),MIN(I900,J900,K900,L900,M900))))</f>
        <v/>
      </c>
      <c r="O900" s="54">
        <f>IF($B900=0,NA(),IF(Inputs!$B$24&lt;&gt;"Yes",NA(),Inputs!$D$24*Inputs!$C$35))</f>
        <v/>
      </c>
      <c r="P900" s="54">
        <f>IF($B900=0,NA(),IF(Inputs!$B$25&lt;&gt;"Yes",NA(),Inputs!$D$25*Inputs!$C$35))</f>
        <v/>
      </c>
      <c r="Q900" s="54">
        <f>IF($B900=0,NA(),IF(Inputs!$B$26&lt;&gt;"Yes",NA(),Inputs!$D$26*Inputs!$C$35))</f>
        <v/>
      </c>
      <c r="R900" s="54">
        <f>IF($B900=0,NA(),IF(Inputs!$B$27&lt;&gt;"Yes",NA(),Inputs!$D$27*Inputs!$C$35))</f>
        <v/>
      </c>
      <c r="S900" s="54">
        <f>IF($B900=0,NA(),IF(Inputs!$B$28&lt;&gt;"Yes",NA(),Inputs!$D$28*Inputs!$C$35))</f>
        <v/>
      </c>
      <c r="T900" s="54">
        <f>IF($B900=0,NA(),IF(Inputs!$B$29&lt;&gt;"Yes",NA(),Inputs!$D$29*Inputs!$C$35))</f>
        <v/>
      </c>
      <c r="AD900">
        <f>IF($B900=0,0,IF(Inputs!$B$6="",0,COUNTIFS(Data!$A$10:$A$3209,"&gt;="&amp;$A900,Data!$A$10:$A$3209,"&lt;"&amp;$A900+1)))</f>
        <v/>
      </c>
      <c r="AE900">
        <f>IF($B900=0,0,IF(Inputs!$B$7="",0,COUNTIFS(Data!$E$10:$E$3209,"&gt;="&amp;$A900,Data!$E$10:$E$3209,"&lt;"&amp;$A900+1)))</f>
        <v/>
      </c>
      <c r="AF900">
        <f>IF($B900=0,0,IF(Inputs!$B$8="",0,COUNTIFS(Data!$I$10:$I$3209,"&gt;="&amp;$A900,Data!$I$10:$I$3209,"&lt;"&amp;$A900+1)))</f>
        <v/>
      </c>
      <c r="AG900">
        <f>IF($B900=0,0,IF(Inputs!$B$9="",0,COUNTIFS(Data!$M$10:$M$3209,"&gt;="&amp;$A900,Data!$M$10:$M$3209,"&lt;"&amp;$A900+1)))</f>
        <v/>
      </c>
      <c r="AH900">
        <f>IF($B900=0,0,IF(Inputs!$B$10="",0,COUNTIFS(Data!$Q$10:$Q$3209,"&gt;="&amp;$A900,Data!$Q$10:$Q$3209,"&lt;"&amp;$A900+1)))</f>
        <v/>
      </c>
    </row>
    <row r="901">
      <c r="A901" s="55">
        <f>MIN(Inputs!$C$15,$A900+IF(WEEKDAY($A900,2)=5,3,1))</f>
        <v/>
      </c>
      <c r="B901">
        <f>IF($A901&gt;$A900,1,0)</f>
        <v/>
      </c>
      <c r="C901" s="56">
        <f>IF($B901=0,"",IF(Inputs!$B$6="","",IF($AD901=0,C900,SUMIFS(Data!$B$10:$B$3209,Data!$A$10:$A$3209,"&gt;="&amp;$A901,Data!$A$10:$A$3209,"&lt;"&amp;$A901+1)/$AD901)))</f>
        <v/>
      </c>
      <c r="D901" s="56">
        <f>IF($B901=0,"",IF(Inputs!$B$7="","",IF($AE901=0,D900,SUMIFS(Data!$F$10:$F$3209,Data!$E$10:$E$3209,"&gt;="&amp;$A901,Data!$E$10:$E$3209,"&lt;"&amp;$A901+1)/$AE901)))</f>
        <v/>
      </c>
      <c r="E901" s="56">
        <f>IF($B901=0,"",IF(Inputs!$B$8="","",IF($AF901=0,E900,SUMIFS(Data!$J$10:$J$3209,Data!$I$10:$I$3209,"&gt;="&amp;$A901,Data!$I$10:$I$3209,"&lt;"&amp;$A901+1)/$AF901)))</f>
        <v/>
      </c>
      <c r="F901" s="56">
        <f>IF($B901=0,"",IF(Inputs!$B$9="","",IF($AG901=0,F900,SUMIFS(Data!$N$10:$N$3209,Data!$M$10:$M$3209,"&gt;="&amp;$A901,Data!$M$10:$M$3209,"&lt;"&amp;$A901+1)/$AG901)))</f>
        <v/>
      </c>
      <c r="G901" s="56">
        <f>IF($B901=0,"",IF(Inputs!$B$10="","",IF($AH901=0,G900,SUMIFS(Data!$R$10:$R$3209,Data!$Q$10:$Q$3209,"&gt;="&amp;$A901,Data!$Q$10:$Q$3209,"&lt;"&amp;$A901+1)/$AH901)))</f>
        <v/>
      </c>
      <c r="I901" s="54">
        <f>IF($B901=0,NA(),IF($C901="",NA(),IF(C$8="",NA(),IF(N(C$8)=0,NA(),IF(Inputs!$C$17="Rebased to 100",$C901/C$8*100,$C901)))))</f>
        <v/>
      </c>
      <c r="J901" s="54">
        <f>IF($B901=0,NA(),IF($D901="",NA(),IF(D$8="",NA(),IF(N(D$8)=0,NA(),IF(Inputs!$C$17="Rebased to 100",$D901/D$8*100,$D901)))))</f>
        <v/>
      </c>
      <c r="K901" s="54">
        <f>IF($B901=0,NA(),IF($E901="",NA(),IF(E$8="",NA(),IF(N(E$8)=0,NA(),IF(Inputs!$C$17="Rebased to 100",$E901/E$8*100,$E901)))))</f>
        <v/>
      </c>
      <c r="L901" s="54">
        <f>IF($B901=0,NA(),IF($F901="",NA(),IF(F$8="",NA(),IF(N(F$8)=0,NA(),IF(Inputs!$C$17="Rebased to 100",$F901/F$8*100,$F901)))))</f>
        <v/>
      </c>
      <c r="M901" s="54">
        <f>IF($B901=0,NA(),IF($G901="",NA(),IF(G$8="",NA(),IF(N(G$8)=0,NA(),IF(Inputs!$C$17="Rebased to 100",$G901/G$8*100,$G901)))))</f>
        <v/>
      </c>
      <c r="N901" s="54">
        <f>IF($B901=0,NA(),IF(Inputs!$C$18&lt;&gt;"Yes",NA(),IF(COUNT(I901,J901,K901,L901,M901)=0,NA(),MIN(I901,J901,K901,L901,M901))))</f>
        <v/>
      </c>
      <c r="O901" s="54">
        <f>IF($B901=0,NA(),IF(Inputs!$B$24&lt;&gt;"Yes",NA(),Inputs!$D$24*Inputs!$C$35))</f>
        <v/>
      </c>
      <c r="P901" s="54">
        <f>IF($B901=0,NA(),IF(Inputs!$B$25&lt;&gt;"Yes",NA(),Inputs!$D$25*Inputs!$C$35))</f>
        <v/>
      </c>
      <c r="Q901" s="54">
        <f>IF($B901=0,NA(),IF(Inputs!$B$26&lt;&gt;"Yes",NA(),Inputs!$D$26*Inputs!$C$35))</f>
        <v/>
      </c>
      <c r="R901" s="54">
        <f>IF($B901=0,NA(),IF(Inputs!$B$27&lt;&gt;"Yes",NA(),Inputs!$D$27*Inputs!$C$35))</f>
        <v/>
      </c>
      <c r="S901" s="54">
        <f>IF($B901=0,NA(),IF(Inputs!$B$28&lt;&gt;"Yes",NA(),Inputs!$D$28*Inputs!$C$35))</f>
        <v/>
      </c>
      <c r="T901" s="54">
        <f>IF($B901=0,NA(),IF(Inputs!$B$29&lt;&gt;"Yes",NA(),Inputs!$D$29*Inputs!$C$35))</f>
        <v/>
      </c>
      <c r="AD901">
        <f>IF($B901=0,0,IF(Inputs!$B$6="",0,COUNTIFS(Data!$A$10:$A$3209,"&gt;="&amp;$A901,Data!$A$10:$A$3209,"&lt;"&amp;$A901+1)))</f>
        <v/>
      </c>
      <c r="AE901">
        <f>IF($B901=0,0,IF(Inputs!$B$7="",0,COUNTIFS(Data!$E$10:$E$3209,"&gt;="&amp;$A901,Data!$E$10:$E$3209,"&lt;"&amp;$A901+1)))</f>
        <v/>
      </c>
      <c r="AF901">
        <f>IF($B901=0,0,IF(Inputs!$B$8="",0,COUNTIFS(Data!$I$10:$I$3209,"&gt;="&amp;$A901,Data!$I$10:$I$3209,"&lt;"&amp;$A901+1)))</f>
        <v/>
      </c>
      <c r="AG901">
        <f>IF($B901=0,0,IF(Inputs!$B$9="",0,COUNTIFS(Data!$M$10:$M$3209,"&gt;="&amp;$A901,Data!$M$10:$M$3209,"&lt;"&amp;$A901+1)))</f>
        <v/>
      </c>
      <c r="AH901">
        <f>IF($B901=0,0,IF(Inputs!$B$10="",0,COUNTIFS(Data!$Q$10:$Q$3209,"&gt;="&amp;$A901,Data!$Q$10:$Q$3209,"&lt;"&amp;$A901+1)))</f>
        <v/>
      </c>
    </row>
    <row r="902">
      <c r="A902" s="55">
        <f>MIN(Inputs!$C$15,$A901+IF(WEEKDAY($A901,2)=5,3,1))</f>
        <v/>
      </c>
      <c r="B902">
        <f>IF($A902&gt;$A901,1,0)</f>
        <v/>
      </c>
      <c r="C902" s="56">
        <f>IF($B902=0,"",IF(Inputs!$B$6="","",IF($AD902=0,C901,SUMIFS(Data!$B$10:$B$3209,Data!$A$10:$A$3209,"&gt;="&amp;$A902,Data!$A$10:$A$3209,"&lt;"&amp;$A902+1)/$AD902)))</f>
        <v/>
      </c>
      <c r="D902" s="56">
        <f>IF($B902=0,"",IF(Inputs!$B$7="","",IF($AE902=0,D901,SUMIFS(Data!$F$10:$F$3209,Data!$E$10:$E$3209,"&gt;="&amp;$A902,Data!$E$10:$E$3209,"&lt;"&amp;$A902+1)/$AE902)))</f>
        <v/>
      </c>
      <c r="E902" s="56">
        <f>IF($B902=0,"",IF(Inputs!$B$8="","",IF($AF902=0,E901,SUMIFS(Data!$J$10:$J$3209,Data!$I$10:$I$3209,"&gt;="&amp;$A902,Data!$I$10:$I$3209,"&lt;"&amp;$A902+1)/$AF902)))</f>
        <v/>
      </c>
      <c r="F902" s="56">
        <f>IF($B902=0,"",IF(Inputs!$B$9="","",IF($AG902=0,F901,SUMIFS(Data!$N$10:$N$3209,Data!$M$10:$M$3209,"&gt;="&amp;$A902,Data!$M$10:$M$3209,"&lt;"&amp;$A902+1)/$AG902)))</f>
        <v/>
      </c>
      <c r="G902" s="56">
        <f>IF($B902=0,"",IF(Inputs!$B$10="","",IF($AH902=0,G901,SUMIFS(Data!$R$10:$R$3209,Data!$Q$10:$Q$3209,"&gt;="&amp;$A902,Data!$Q$10:$Q$3209,"&lt;"&amp;$A902+1)/$AH902)))</f>
        <v/>
      </c>
      <c r="I902" s="54">
        <f>IF($B902=0,NA(),IF($C902="",NA(),IF(C$8="",NA(),IF(N(C$8)=0,NA(),IF(Inputs!$C$17="Rebased to 100",$C902/C$8*100,$C902)))))</f>
        <v/>
      </c>
      <c r="J902" s="54">
        <f>IF($B902=0,NA(),IF($D902="",NA(),IF(D$8="",NA(),IF(N(D$8)=0,NA(),IF(Inputs!$C$17="Rebased to 100",$D902/D$8*100,$D902)))))</f>
        <v/>
      </c>
      <c r="K902" s="54">
        <f>IF($B902=0,NA(),IF($E902="",NA(),IF(E$8="",NA(),IF(N(E$8)=0,NA(),IF(Inputs!$C$17="Rebased to 100",$E902/E$8*100,$E902)))))</f>
        <v/>
      </c>
      <c r="L902" s="54">
        <f>IF($B902=0,NA(),IF($F902="",NA(),IF(F$8="",NA(),IF(N(F$8)=0,NA(),IF(Inputs!$C$17="Rebased to 100",$F902/F$8*100,$F902)))))</f>
        <v/>
      </c>
      <c r="M902" s="54">
        <f>IF($B902=0,NA(),IF($G902="",NA(),IF(G$8="",NA(),IF(N(G$8)=0,NA(),IF(Inputs!$C$17="Rebased to 100",$G902/G$8*100,$G902)))))</f>
        <v/>
      </c>
      <c r="N902" s="54">
        <f>IF($B902=0,NA(),IF(Inputs!$C$18&lt;&gt;"Yes",NA(),IF(COUNT(I902,J902,K902,L902,M902)=0,NA(),MIN(I902,J902,K902,L902,M902))))</f>
        <v/>
      </c>
      <c r="O902" s="54">
        <f>IF($B902=0,NA(),IF(Inputs!$B$24&lt;&gt;"Yes",NA(),Inputs!$D$24*Inputs!$C$35))</f>
        <v/>
      </c>
      <c r="P902" s="54">
        <f>IF($B902=0,NA(),IF(Inputs!$B$25&lt;&gt;"Yes",NA(),Inputs!$D$25*Inputs!$C$35))</f>
        <v/>
      </c>
      <c r="Q902" s="54">
        <f>IF($B902=0,NA(),IF(Inputs!$B$26&lt;&gt;"Yes",NA(),Inputs!$D$26*Inputs!$C$35))</f>
        <v/>
      </c>
      <c r="R902" s="54">
        <f>IF($B902=0,NA(),IF(Inputs!$B$27&lt;&gt;"Yes",NA(),Inputs!$D$27*Inputs!$C$35))</f>
        <v/>
      </c>
      <c r="S902" s="54">
        <f>IF($B902=0,NA(),IF(Inputs!$B$28&lt;&gt;"Yes",NA(),Inputs!$D$28*Inputs!$C$35))</f>
        <v/>
      </c>
      <c r="T902" s="54">
        <f>IF($B902=0,NA(),IF(Inputs!$B$29&lt;&gt;"Yes",NA(),Inputs!$D$29*Inputs!$C$35))</f>
        <v/>
      </c>
      <c r="AD902">
        <f>IF($B902=0,0,IF(Inputs!$B$6="",0,COUNTIFS(Data!$A$10:$A$3209,"&gt;="&amp;$A902,Data!$A$10:$A$3209,"&lt;"&amp;$A902+1)))</f>
        <v/>
      </c>
      <c r="AE902">
        <f>IF($B902=0,0,IF(Inputs!$B$7="",0,COUNTIFS(Data!$E$10:$E$3209,"&gt;="&amp;$A902,Data!$E$10:$E$3209,"&lt;"&amp;$A902+1)))</f>
        <v/>
      </c>
      <c r="AF902">
        <f>IF($B902=0,0,IF(Inputs!$B$8="",0,COUNTIFS(Data!$I$10:$I$3209,"&gt;="&amp;$A902,Data!$I$10:$I$3209,"&lt;"&amp;$A902+1)))</f>
        <v/>
      </c>
      <c r="AG902">
        <f>IF($B902=0,0,IF(Inputs!$B$9="",0,COUNTIFS(Data!$M$10:$M$3209,"&gt;="&amp;$A902,Data!$M$10:$M$3209,"&lt;"&amp;$A902+1)))</f>
        <v/>
      </c>
      <c r="AH902">
        <f>IF($B902=0,0,IF(Inputs!$B$10="",0,COUNTIFS(Data!$Q$10:$Q$3209,"&gt;="&amp;$A902,Data!$Q$10:$Q$3209,"&lt;"&amp;$A902+1)))</f>
        <v/>
      </c>
    </row>
    <row r="903">
      <c r="A903" s="55">
        <f>MIN(Inputs!$C$15,$A902+IF(WEEKDAY($A902,2)=5,3,1))</f>
        <v/>
      </c>
      <c r="B903">
        <f>IF($A903&gt;$A902,1,0)</f>
        <v/>
      </c>
      <c r="C903" s="56">
        <f>IF($B903=0,"",IF(Inputs!$B$6="","",IF($AD903=0,C902,SUMIFS(Data!$B$10:$B$3209,Data!$A$10:$A$3209,"&gt;="&amp;$A903,Data!$A$10:$A$3209,"&lt;"&amp;$A903+1)/$AD903)))</f>
        <v/>
      </c>
      <c r="D903" s="56">
        <f>IF($B903=0,"",IF(Inputs!$B$7="","",IF($AE903=0,D902,SUMIFS(Data!$F$10:$F$3209,Data!$E$10:$E$3209,"&gt;="&amp;$A903,Data!$E$10:$E$3209,"&lt;"&amp;$A903+1)/$AE903)))</f>
        <v/>
      </c>
      <c r="E903" s="56">
        <f>IF($B903=0,"",IF(Inputs!$B$8="","",IF($AF903=0,E902,SUMIFS(Data!$J$10:$J$3209,Data!$I$10:$I$3209,"&gt;="&amp;$A903,Data!$I$10:$I$3209,"&lt;"&amp;$A903+1)/$AF903)))</f>
        <v/>
      </c>
      <c r="F903" s="56">
        <f>IF($B903=0,"",IF(Inputs!$B$9="","",IF($AG903=0,F902,SUMIFS(Data!$N$10:$N$3209,Data!$M$10:$M$3209,"&gt;="&amp;$A903,Data!$M$10:$M$3209,"&lt;"&amp;$A903+1)/$AG903)))</f>
        <v/>
      </c>
      <c r="G903" s="56">
        <f>IF($B903=0,"",IF(Inputs!$B$10="","",IF($AH903=0,G902,SUMIFS(Data!$R$10:$R$3209,Data!$Q$10:$Q$3209,"&gt;="&amp;$A903,Data!$Q$10:$Q$3209,"&lt;"&amp;$A903+1)/$AH903)))</f>
        <v/>
      </c>
      <c r="I903" s="54">
        <f>IF($B903=0,NA(),IF($C903="",NA(),IF(C$8="",NA(),IF(N(C$8)=0,NA(),IF(Inputs!$C$17="Rebased to 100",$C903/C$8*100,$C903)))))</f>
        <v/>
      </c>
      <c r="J903" s="54">
        <f>IF($B903=0,NA(),IF($D903="",NA(),IF(D$8="",NA(),IF(N(D$8)=0,NA(),IF(Inputs!$C$17="Rebased to 100",$D903/D$8*100,$D903)))))</f>
        <v/>
      </c>
      <c r="K903" s="54">
        <f>IF($B903=0,NA(),IF($E903="",NA(),IF(E$8="",NA(),IF(N(E$8)=0,NA(),IF(Inputs!$C$17="Rebased to 100",$E903/E$8*100,$E903)))))</f>
        <v/>
      </c>
      <c r="L903" s="54">
        <f>IF($B903=0,NA(),IF($F903="",NA(),IF(F$8="",NA(),IF(N(F$8)=0,NA(),IF(Inputs!$C$17="Rebased to 100",$F903/F$8*100,$F903)))))</f>
        <v/>
      </c>
      <c r="M903" s="54">
        <f>IF($B903=0,NA(),IF($G903="",NA(),IF(G$8="",NA(),IF(N(G$8)=0,NA(),IF(Inputs!$C$17="Rebased to 100",$G903/G$8*100,$G903)))))</f>
        <v/>
      </c>
      <c r="N903" s="54">
        <f>IF($B903=0,NA(),IF(Inputs!$C$18&lt;&gt;"Yes",NA(),IF(COUNT(I903,J903,K903,L903,M903)=0,NA(),MIN(I903,J903,K903,L903,M903))))</f>
        <v/>
      </c>
      <c r="O903" s="54">
        <f>IF($B903=0,NA(),IF(Inputs!$B$24&lt;&gt;"Yes",NA(),Inputs!$D$24*Inputs!$C$35))</f>
        <v/>
      </c>
      <c r="P903" s="54">
        <f>IF($B903=0,NA(),IF(Inputs!$B$25&lt;&gt;"Yes",NA(),Inputs!$D$25*Inputs!$C$35))</f>
        <v/>
      </c>
      <c r="Q903" s="54">
        <f>IF($B903=0,NA(),IF(Inputs!$B$26&lt;&gt;"Yes",NA(),Inputs!$D$26*Inputs!$C$35))</f>
        <v/>
      </c>
      <c r="R903" s="54">
        <f>IF($B903=0,NA(),IF(Inputs!$B$27&lt;&gt;"Yes",NA(),Inputs!$D$27*Inputs!$C$35))</f>
        <v/>
      </c>
      <c r="S903" s="54">
        <f>IF($B903=0,NA(),IF(Inputs!$B$28&lt;&gt;"Yes",NA(),Inputs!$D$28*Inputs!$C$35))</f>
        <v/>
      </c>
      <c r="T903" s="54">
        <f>IF($B903=0,NA(),IF(Inputs!$B$29&lt;&gt;"Yes",NA(),Inputs!$D$29*Inputs!$C$35))</f>
        <v/>
      </c>
      <c r="AD903">
        <f>IF($B903=0,0,IF(Inputs!$B$6="",0,COUNTIFS(Data!$A$10:$A$3209,"&gt;="&amp;$A903,Data!$A$10:$A$3209,"&lt;"&amp;$A903+1)))</f>
        <v/>
      </c>
      <c r="AE903">
        <f>IF($B903=0,0,IF(Inputs!$B$7="",0,COUNTIFS(Data!$E$10:$E$3209,"&gt;="&amp;$A903,Data!$E$10:$E$3209,"&lt;"&amp;$A903+1)))</f>
        <v/>
      </c>
      <c r="AF903">
        <f>IF($B903=0,0,IF(Inputs!$B$8="",0,COUNTIFS(Data!$I$10:$I$3209,"&gt;="&amp;$A903,Data!$I$10:$I$3209,"&lt;"&amp;$A903+1)))</f>
        <v/>
      </c>
      <c r="AG903">
        <f>IF($B903=0,0,IF(Inputs!$B$9="",0,COUNTIFS(Data!$M$10:$M$3209,"&gt;="&amp;$A903,Data!$M$10:$M$3209,"&lt;"&amp;$A903+1)))</f>
        <v/>
      </c>
      <c r="AH903">
        <f>IF($B903=0,0,IF(Inputs!$B$10="",0,COUNTIFS(Data!$Q$10:$Q$3209,"&gt;="&amp;$A903,Data!$Q$10:$Q$3209,"&lt;"&amp;$A903+1)))</f>
        <v/>
      </c>
    </row>
    <row r="904">
      <c r="A904" s="55">
        <f>MIN(Inputs!$C$15,$A903+IF(WEEKDAY($A903,2)=5,3,1))</f>
        <v/>
      </c>
      <c r="B904">
        <f>IF($A904&gt;$A903,1,0)</f>
        <v/>
      </c>
      <c r="C904" s="56">
        <f>IF($B904=0,"",IF(Inputs!$B$6="","",IF($AD904=0,C903,SUMIFS(Data!$B$10:$B$3209,Data!$A$10:$A$3209,"&gt;="&amp;$A904,Data!$A$10:$A$3209,"&lt;"&amp;$A904+1)/$AD904)))</f>
        <v/>
      </c>
      <c r="D904" s="56">
        <f>IF($B904=0,"",IF(Inputs!$B$7="","",IF($AE904=0,D903,SUMIFS(Data!$F$10:$F$3209,Data!$E$10:$E$3209,"&gt;="&amp;$A904,Data!$E$10:$E$3209,"&lt;"&amp;$A904+1)/$AE904)))</f>
        <v/>
      </c>
      <c r="E904" s="56">
        <f>IF($B904=0,"",IF(Inputs!$B$8="","",IF($AF904=0,E903,SUMIFS(Data!$J$10:$J$3209,Data!$I$10:$I$3209,"&gt;="&amp;$A904,Data!$I$10:$I$3209,"&lt;"&amp;$A904+1)/$AF904)))</f>
        <v/>
      </c>
      <c r="F904" s="56">
        <f>IF($B904=0,"",IF(Inputs!$B$9="","",IF($AG904=0,F903,SUMIFS(Data!$N$10:$N$3209,Data!$M$10:$M$3209,"&gt;="&amp;$A904,Data!$M$10:$M$3209,"&lt;"&amp;$A904+1)/$AG904)))</f>
        <v/>
      </c>
      <c r="G904" s="56">
        <f>IF($B904=0,"",IF(Inputs!$B$10="","",IF($AH904=0,G903,SUMIFS(Data!$R$10:$R$3209,Data!$Q$10:$Q$3209,"&gt;="&amp;$A904,Data!$Q$10:$Q$3209,"&lt;"&amp;$A904+1)/$AH904)))</f>
        <v/>
      </c>
      <c r="I904" s="54">
        <f>IF($B904=0,NA(),IF($C904="",NA(),IF(C$8="",NA(),IF(N(C$8)=0,NA(),IF(Inputs!$C$17="Rebased to 100",$C904/C$8*100,$C904)))))</f>
        <v/>
      </c>
      <c r="J904" s="54">
        <f>IF($B904=0,NA(),IF($D904="",NA(),IF(D$8="",NA(),IF(N(D$8)=0,NA(),IF(Inputs!$C$17="Rebased to 100",$D904/D$8*100,$D904)))))</f>
        <v/>
      </c>
      <c r="K904" s="54">
        <f>IF($B904=0,NA(),IF($E904="",NA(),IF(E$8="",NA(),IF(N(E$8)=0,NA(),IF(Inputs!$C$17="Rebased to 100",$E904/E$8*100,$E904)))))</f>
        <v/>
      </c>
      <c r="L904" s="54">
        <f>IF($B904=0,NA(),IF($F904="",NA(),IF(F$8="",NA(),IF(N(F$8)=0,NA(),IF(Inputs!$C$17="Rebased to 100",$F904/F$8*100,$F904)))))</f>
        <v/>
      </c>
      <c r="M904" s="54">
        <f>IF($B904=0,NA(),IF($G904="",NA(),IF(G$8="",NA(),IF(N(G$8)=0,NA(),IF(Inputs!$C$17="Rebased to 100",$G904/G$8*100,$G904)))))</f>
        <v/>
      </c>
      <c r="N904" s="54">
        <f>IF($B904=0,NA(),IF(Inputs!$C$18&lt;&gt;"Yes",NA(),IF(COUNT(I904,J904,K904,L904,M904)=0,NA(),MIN(I904,J904,K904,L904,M904))))</f>
        <v/>
      </c>
      <c r="O904" s="54">
        <f>IF($B904=0,NA(),IF(Inputs!$B$24&lt;&gt;"Yes",NA(),Inputs!$D$24*Inputs!$C$35))</f>
        <v/>
      </c>
      <c r="P904" s="54">
        <f>IF($B904=0,NA(),IF(Inputs!$B$25&lt;&gt;"Yes",NA(),Inputs!$D$25*Inputs!$C$35))</f>
        <v/>
      </c>
      <c r="Q904" s="54">
        <f>IF($B904=0,NA(),IF(Inputs!$B$26&lt;&gt;"Yes",NA(),Inputs!$D$26*Inputs!$C$35))</f>
        <v/>
      </c>
      <c r="R904" s="54">
        <f>IF($B904=0,NA(),IF(Inputs!$B$27&lt;&gt;"Yes",NA(),Inputs!$D$27*Inputs!$C$35))</f>
        <v/>
      </c>
      <c r="S904" s="54">
        <f>IF($B904=0,NA(),IF(Inputs!$B$28&lt;&gt;"Yes",NA(),Inputs!$D$28*Inputs!$C$35))</f>
        <v/>
      </c>
      <c r="T904" s="54">
        <f>IF($B904=0,NA(),IF(Inputs!$B$29&lt;&gt;"Yes",NA(),Inputs!$D$29*Inputs!$C$35))</f>
        <v/>
      </c>
      <c r="AD904">
        <f>IF($B904=0,0,IF(Inputs!$B$6="",0,COUNTIFS(Data!$A$10:$A$3209,"&gt;="&amp;$A904,Data!$A$10:$A$3209,"&lt;"&amp;$A904+1)))</f>
        <v/>
      </c>
      <c r="AE904">
        <f>IF($B904=0,0,IF(Inputs!$B$7="",0,COUNTIFS(Data!$E$10:$E$3209,"&gt;="&amp;$A904,Data!$E$10:$E$3209,"&lt;"&amp;$A904+1)))</f>
        <v/>
      </c>
      <c r="AF904">
        <f>IF($B904=0,0,IF(Inputs!$B$8="",0,COUNTIFS(Data!$I$10:$I$3209,"&gt;="&amp;$A904,Data!$I$10:$I$3209,"&lt;"&amp;$A904+1)))</f>
        <v/>
      </c>
      <c r="AG904">
        <f>IF($B904=0,0,IF(Inputs!$B$9="",0,COUNTIFS(Data!$M$10:$M$3209,"&gt;="&amp;$A904,Data!$M$10:$M$3209,"&lt;"&amp;$A904+1)))</f>
        <v/>
      </c>
      <c r="AH904">
        <f>IF($B904=0,0,IF(Inputs!$B$10="",0,COUNTIFS(Data!$Q$10:$Q$3209,"&gt;="&amp;$A904,Data!$Q$10:$Q$3209,"&lt;"&amp;$A904+1)))</f>
        <v/>
      </c>
    </row>
    <row r="905">
      <c r="A905" s="55">
        <f>MIN(Inputs!$C$15,$A904+IF(WEEKDAY($A904,2)=5,3,1))</f>
        <v/>
      </c>
      <c r="B905">
        <f>IF($A905&gt;$A904,1,0)</f>
        <v/>
      </c>
      <c r="C905" s="56">
        <f>IF($B905=0,"",IF(Inputs!$B$6="","",IF($AD905=0,C904,SUMIFS(Data!$B$10:$B$3209,Data!$A$10:$A$3209,"&gt;="&amp;$A905,Data!$A$10:$A$3209,"&lt;"&amp;$A905+1)/$AD905)))</f>
        <v/>
      </c>
      <c r="D905" s="56">
        <f>IF($B905=0,"",IF(Inputs!$B$7="","",IF($AE905=0,D904,SUMIFS(Data!$F$10:$F$3209,Data!$E$10:$E$3209,"&gt;="&amp;$A905,Data!$E$10:$E$3209,"&lt;"&amp;$A905+1)/$AE905)))</f>
        <v/>
      </c>
      <c r="E905" s="56">
        <f>IF($B905=0,"",IF(Inputs!$B$8="","",IF($AF905=0,E904,SUMIFS(Data!$J$10:$J$3209,Data!$I$10:$I$3209,"&gt;="&amp;$A905,Data!$I$10:$I$3209,"&lt;"&amp;$A905+1)/$AF905)))</f>
        <v/>
      </c>
      <c r="F905" s="56">
        <f>IF($B905=0,"",IF(Inputs!$B$9="","",IF($AG905=0,F904,SUMIFS(Data!$N$10:$N$3209,Data!$M$10:$M$3209,"&gt;="&amp;$A905,Data!$M$10:$M$3209,"&lt;"&amp;$A905+1)/$AG905)))</f>
        <v/>
      </c>
      <c r="G905" s="56">
        <f>IF($B905=0,"",IF(Inputs!$B$10="","",IF($AH905=0,G904,SUMIFS(Data!$R$10:$R$3209,Data!$Q$10:$Q$3209,"&gt;="&amp;$A905,Data!$Q$10:$Q$3209,"&lt;"&amp;$A905+1)/$AH905)))</f>
        <v/>
      </c>
      <c r="I905" s="54">
        <f>IF($B905=0,NA(),IF($C905="",NA(),IF(C$8="",NA(),IF(N(C$8)=0,NA(),IF(Inputs!$C$17="Rebased to 100",$C905/C$8*100,$C905)))))</f>
        <v/>
      </c>
      <c r="J905" s="54">
        <f>IF($B905=0,NA(),IF($D905="",NA(),IF(D$8="",NA(),IF(N(D$8)=0,NA(),IF(Inputs!$C$17="Rebased to 100",$D905/D$8*100,$D905)))))</f>
        <v/>
      </c>
      <c r="K905" s="54">
        <f>IF($B905=0,NA(),IF($E905="",NA(),IF(E$8="",NA(),IF(N(E$8)=0,NA(),IF(Inputs!$C$17="Rebased to 100",$E905/E$8*100,$E905)))))</f>
        <v/>
      </c>
      <c r="L905" s="54">
        <f>IF($B905=0,NA(),IF($F905="",NA(),IF(F$8="",NA(),IF(N(F$8)=0,NA(),IF(Inputs!$C$17="Rebased to 100",$F905/F$8*100,$F905)))))</f>
        <v/>
      </c>
      <c r="M905" s="54">
        <f>IF($B905=0,NA(),IF($G905="",NA(),IF(G$8="",NA(),IF(N(G$8)=0,NA(),IF(Inputs!$C$17="Rebased to 100",$G905/G$8*100,$G905)))))</f>
        <v/>
      </c>
      <c r="N905" s="54">
        <f>IF($B905=0,NA(),IF(Inputs!$C$18&lt;&gt;"Yes",NA(),IF(COUNT(I905,J905,K905,L905,M905)=0,NA(),MIN(I905,J905,K905,L905,M905))))</f>
        <v/>
      </c>
      <c r="O905" s="54">
        <f>IF($B905=0,NA(),IF(Inputs!$B$24&lt;&gt;"Yes",NA(),Inputs!$D$24*Inputs!$C$35))</f>
        <v/>
      </c>
      <c r="P905" s="54">
        <f>IF($B905=0,NA(),IF(Inputs!$B$25&lt;&gt;"Yes",NA(),Inputs!$D$25*Inputs!$C$35))</f>
        <v/>
      </c>
      <c r="Q905" s="54">
        <f>IF($B905=0,NA(),IF(Inputs!$B$26&lt;&gt;"Yes",NA(),Inputs!$D$26*Inputs!$C$35))</f>
        <v/>
      </c>
      <c r="R905" s="54">
        <f>IF($B905=0,NA(),IF(Inputs!$B$27&lt;&gt;"Yes",NA(),Inputs!$D$27*Inputs!$C$35))</f>
        <v/>
      </c>
      <c r="S905" s="54">
        <f>IF($B905=0,NA(),IF(Inputs!$B$28&lt;&gt;"Yes",NA(),Inputs!$D$28*Inputs!$C$35))</f>
        <v/>
      </c>
      <c r="T905" s="54">
        <f>IF($B905=0,NA(),IF(Inputs!$B$29&lt;&gt;"Yes",NA(),Inputs!$D$29*Inputs!$C$35))</f>
        <v/>
      </c>
      <c r="AD905">
        <f>IF($B905=0,0,IF(Inputs!$B$6="",0,COUNTIFS(Data!$A$10:$A$3209,"&gt;="&amp;$A905,Data!$A$10:$A$3209,"&lt;"&amp;$A905+1)))</f>
        <v/>
      </c>
      <c r="AE905">
        <f>IF($B905=0,0,IF(Inputs!$B$7="",0,COUNTIFS(Data!$E$10:$E$3209,"&gt;="&amp;$A905,Data!$E$10:$E$3209,"&lt;"&amp;$A905+1)))</f>
        <v/>
      </c>
      <c r="AF905">
        <f>IF($B905=0,0,IF(Inputs!$B$8="",0,COUNTIFS(Data!$I$10:$I$3209,"&gt;="&amp;$A905,Data!$I$10:$I$3209,"&lt;"&amp;$A905+1)))</f>
        <v/>
      </c>
      <c r="AG905">
        <f>IF($B905=0,0,IF(Inputs!$B$9="",0,COUNTIFS(Data!$M$10:$M$3209,"&gt;="&amp;$A905,Data!$M$10:$M$3209,"&lt;"&amp;$A905+1)))</f>
        <v/>
      </c>
      <c r="AH905">
        <f>IF($B905=0,0,IF(Inputs!$B$10="",0,COUNTIFS(Data!$Q$10:$Q$3209,"&gt;="&amp;$A905,Data!$Q$10:$Q$3209,"&lt;"&amp;$A905+1)))</f>
        <v/>
      </c>
    </row>
    <row r="906">
      <c r="A906" s="55">
        <f>MIN(Inputs!$C$15,$A905+IF(WEEKDAY($A905,2)=5,3,1))</f>
        <v/>
      </c>
      <c r="B906">
        <f>IF($A906&gt;$A905,1,0)</f>
        <v/>
      </c>
      <c r="C906" s="56">
        <f>IF($B906=0,"",IF(Inputs!$B$6="","",IF($AD906=0,C905,SUMIFS(Data!$B$10:$B$3209,Data!$A$10:$A$3209,"&gt;="&amp;$A906,Data!$A$10:$A$3209,"&lt;"&amp;$A906+1)/$AD906)))</f>
        <v/>
      </c>
      <c r="D906" s="56">
        <f>IF($B906=0,"",IF(Inputs!$B$7="","",IF($AE906=0,D905,SUMIFS(Data!$F$10:$F$3209,Data!$E$10:$E$3209,"&gt;="&amp;$A906,Data!$E$10:$E$3209,"&lt;"&amp;$A906+1)/$AE906)))</f>
        <v/>
      </c>
      <c r="E906" s="56">
        <f>IF($B906=0,"",IF(Inputs!$B$8="","",IF($AF906=0,E905,SUMIFS(Data!$J$10:$J$3209,Data!$I$10:$I$3209,"&gt;="&amp;$A906,Data!$I$10:$I$3209,"&lt;"&amp;$A906+1)/$AF906)))</f>
        <v/>
      </c>
      <c r="F906" s="56">
        <f>IF($B906=0,"",IF(Inputs!$B$9="","",IF($AG906=0,F905,SUMIFS(Data!$N$10:$N$3209,Data!$M$10:$M$3209,"&gt;="&amp;$A906,Data!$M$10:$M$3209,"&lt;"&amp;$A906+1)/$AG906)))</f>
        <v/>
      </c>
      <c r="G906" s="56">
        <f>IF($B906=0,"",IF(Inputs!$B$10="","",IF($AH906=0,G905,SUMIFS(Data!$R$10:$R$3209,Data!$Q$10:$Q$3209,"&gt;="&amp;$A906,Data!$Q$10:$Q$3209,"&lt;"&amp;$A906+1)/$AH906)))</f>
        <v/>
      </c>
      <c r="I906" s="54">
        <f>IF($B906=0,NA(),IF($C906="",NA(),IF(C$8="",NA(),IF(N(C$8)=0,NA(),IF(Inputs!$C$17="Rebased to 100",$C906/C$8*100,$C906)))))</f>
        <v/>
      </c>
      <c r="J906" s="54">
        <f>IF($B906=0,NA(),IF($D906="",NA(),IF(D$8="",NA(),IF(N(D$8)=0,NA(),IF(Inputs!$C$17="Rebased to 100",$D906/D$8*100,$D906)))))</f>
        <v/>
      </c>
      <c r="K906" s="54">
        <f>IF($B906=0,NA(),IF($E906="",NA(),IF(E$8="",NA(),IF(N(E$8)=0,NA(),IF(Inputs!$C$17="Rebased to 100",$E906/E$8*100,$E906)))))</f>
        <v/>
      </c>
      <c r="L906" s="54">
        <f>IF($B906=0,NA(),IF($F906="",NA(),IF(F$8="",NA(),IF(N(F$8)=0,NA(),IF(Inputs!$C$17="Rebased to 100",$F906/F$8*100,$F906)))))</f>
        <v/>
      </c>
      <c r="M906" s="54">
        <f>IF($B906=0,NA(),IF($G906="",NA(),IF(G$8="",NA(),IF(N(G$8)=0,NA(),IF(Inputs!$C$17="Rebased to 100",$G906/G$8*100,$G906)))))</f>
        <v/>
      </c>
      <c r="N906" s="54">
        <f>IF($B906=0,NA(),IF(Inputs!$C$18&lt;&gt;"Yes",NA(),IF(COUNT(I906,J906,K906,L906,M906)=0,NA(),MIN(I906,J906,K906,L906,M906))))</f>
        <v/>
      </c>
      <c r="O906" s="54">
        <f>IF($B906=0,NA(),IF(Inputs!$B$24&lt;&gt;"Yes",NA(),Inputs!$D$24*Inputs!$C$35))</f>
        <v/>
      </c>
      <c r="P906" s="54">
        <f>IF($B906=0,NA(),IF(Inputs!$B$25&lt;&gt;"Yes",NA(),Inputs!$D$25*Inputs!$C$35))</f>
        <v/>
      </c>
      <c r="Q906" s="54">
        <f>IF($B906=0,NA(),IF(Inputs!$B$26&lt;&gt;"Yes",NA(),Inputs!$D$26*Inputs!$C$35))</f>
        <v/>
      </c>
      <c r="R906" s="54">
        <f>IF($B906=0,NA(),IF(Inputs!$B$27&lt;&gt;"Yes",NA(),Inputs!$D$27*Inputs!$C$35))</f>
        <v/>
      </c>
      <c r="S906" s="54">
        <f>IF($B906=0,NA(),IF(Inputs!$B$28&lt;&gt;"Yes",NA(),Inputs!$D$28*Inputs!$C$35))</f>
        <v/>
      </c>
      <c r="T906" s="54">
        <f>IF($B906=0,NA(),IF(Inputs!$B$29&lt;&gt;"Yes",NA(),Inputs!$D$29*Inputs!$C$35))</f>
        <v/>
      </c>
      <c r="AD906">
        <f>IF($B906=0,0,IF(Inputs!$B$6="",0,COUNTIFS(Data!$A$10:$A$3209,"&gt;="&amp;$A906,Data!$A$10:$A$3209,"&lt;"&amp;$A906+1)))</f>
        <v/>
      </c>
      <c r="AE906">
        <f>IF($B906=0,0,IF(Inputs!$B$7="",0,COUNTIFS(Data!$E$10:$E$3209,"&gt;="&amp;$A906,Data!$E$10:$E$3209,"&lt;"&amp;$A906+1)))</f>
        <v/>
      </c>
      <c r="AF906">
        <f>IF($B906=0,0,IF(Inputs!$B$8="",0,COUNTIFS(Data!$I$10:$I$3209,"&gt;="&amp;$A906,Data!$I$10:$I$3209,"&lt;"&amp;$A906+1)))</f>
        <v/>
      </c>
      <c r="AG906">
        <f>IF($B906=0,0,IF(Inputs!$B$9="",0,COUNTIFS(Data!$M$10:$M$3209,"&gt;="&amp;$A906,Data!$M$10:$M$3209,"&lt;"&amp;$A906+1)))</f>
        <v/>
      </c>
      <c r="AH906">
        <f>IF($B906=0,0,IF(Inputs!$B$10="",0,COUNTIFS(Data!$Q$10:$Q$3209,"&gt;="&amp;$A906,Data!$Q$10:$Q$3209,"&lt;"&amp;$A906+1)))</f>
        <v/>
      </c>
    </row>
    <row r="907">
      <c r="A907" s="55">
        <f>MIN(Inputs!$C$15,$A906+IF(WEEKDAY($A906,2)=5,3,1))</f>
        <v/>
      </c>
      <c r="B907">
        <f>IF($A907&gt;$A906,1,0)</f>
        <v/>
      </c>
      <c r="C907" s="56">
        <f>IF($B907=0,"",IF(Inputs!$B$6="","",IF($AD907=0,C906,SUMIFS(Data!$B$10:$B$3209,Data!$A$10:$A$3209,"&gt;="&amp;$A907,Data!$A$10:$A$3209,"&lt;"&amp;$A907+1)/$AD907)))</f>
        <v/>
      </c>
      <c r="D907" s="56">
        <f>IF($B907=0,"",IF(Inputs!$B$7="","",IF($AE907=0,D906,SUMIFS(Data!$F$10:$F$3209,Data!$E$10:$E$3209,"&gt;="&amp;$A907,Data!$E$10:$E$3209,"&lt;"&amp;$A907+1)/$AE907)))</f>
        <v/>
      </c>
      <c r="E907" s="56">
        <f>IF($B907=0,"",IF(Inputs!$B$8="","",IF($AF907=0,E906,SUMIFS(Data!$J$10:$J$3209,Data!$I$10:$I$3209,"&gt;="&amp;$A907,Data!$I$10:$I$3209,"&lt;"&amp;$A907+1)/$AF907)))</f>
        <v/>
      </c>
      <c r="F907" s="56">
        <f>IF($B907=0,"",IF(Inputs!$B$9="","",IF($AG907=0,F906,SUMIFS(Data!$N$10:$N$3209,Data!$M$10:$M$3209,"&gt;="&amp;$A907,Data!$M$10:$M$3209,"&lt;"&amp;$A907+1)/$AG907)))</f>
        <v/>
      </c>
      <c r="G907" s="56">
        <f>IF($B907=0,"",IF(Inputs!$B$10="","",IF($AH907=0,G906,SUMIFS(Data!$R$10:$R$3209,Data!$Q$10:$Q$3209,"&gt;="&amp;$A907,Data!$Q$10:$Q$3209,"&lt;"&amp;$A907+1)/$AH907)))</f>
        <v/>
      </c>
      <c r="I907" s="54">
        <f>IF($B907=0,NA(),IF($C907="",NA(),IF(C$8="",NA(),IF(N(C$8)=0,NA(),IF(Inputs!$C$17="Rebased to 100",$C907/C$8*100,$C907)))))</f>
        <v/>
      </c>
      <c r="J907" s="54">
        <f>IF($B907=0,NA(),IF($D907="",NA(),IF(D$8="",NA(),IF(N(D$8)=0,NA(),IF(Inputs!$C$17="Rebased to 100",$D907/D$8*100,$D907)))))</f>
        <v/>
      </c>
      <c r="K907" s="54">
        <f>IF($B907=0,NA(),IF($E907="",NA(),IF(E$8="",NA(),IF(N(E$8)=0,NA(),IF(Inputs!$C$17="Rebased to 100",$E907/E$8*100,$E907)))))</f>
        <v/>
      </c>
      <c r="L907" s="54">
        <f>IF($B907=0,NA(),IF($F907="",NA(),IF(F$8="",NA(),IF(N(F$8)=0,NA(),IF(Inputs!$C$17="Rebased to 100",$F907/F$8*100,$F907)))))</f>
        <v/>
      </c>
      <c r="M907" s="54">
        <f>IF($B907=0,NA(),IF($G907="",NA(),IF(G$8="",NA(),IF(N(G$8)=0,NA(),IF(Inputs!$C$17="Rebased to 100",$G907/G$8*100,$G907)))))</f>
        <v/>
      </c>
      <c r="N907" s="54">
        <f>IF($B907=0,NA(),IF(Inputs!$C$18&lt;&gt;"Yes",NA(),IF(COUNT(I907,J907,K907,L907,M907)=0,NA(),MIN(I907,J907,K907,L907,M907))))</f>
        <v/>
      </c>
      <c r="O907" s="54">
        <f>IF($B907=0,NA(),IF(Inputs!$B$24&lt;&gt;"Yes",NA(),Inputs!$D$24*Inputs!$C$35))</f>
        <v/>
      </c>
      <c r="P907" s="54">
        <f>IF($B907=0,NA(),IF(Inputs!$B$25&lt;&gt;"Yes",NA(),Inputs!$D$25*Inputs!$C$35))</f>
        <v/>
      </c>
      <c r="Q907" s="54">
        <f>IF($B907=0,NA(),IF(Inputs!$B$26&lt;&gt;"Yes",NA(),Inputs!$D$26*Inputs!$C$35))</f>
        <v/>
      </c>
      <c r="R907" s="54">
        <f>IF($B907=0,NA(),IF(Inputs!$B$27&lt;&gt;"Yes",NA(),Inputs!$D$27*Inputs!$C$35))</f>
        <v/>
      </c>
      <c r="S907" s="54">
        <f>IF($B907=0,NA(),IF(Inputs!$B$28&lt;&gt;"Yes",NA(),Inputs!$D$28*Inputs!$C$35))</f>
        <v/>
      </c>
      <c r="T907" s="54">
        <f>IF($B907=0,NA(),IF(Inputs!$B$29&lt;&gt;"Yes",NA(),Inputs!$D$29*Inputs!$C$35))</f>
        <v/>
      </c>
      <c r="AD907">
        <f>IF($B907=0,0,IF(Inputs!$B$6="",0,COUNTIFS(Data!$A$10:$A$3209,"&gt;="&amp;$A907,Data!$A$10:$A$3209,"&lt;"&amp;$A907+1)))</f>
        <v/>
      </c>
      <c r="AE907">
        <f>IF($B907=0,0,IF(Inputs!$B$7="",0,COUNTIFS(Data!$E$10:$E$3209,"&gt;="&amp;$A907,Data!$E$10:$E$3209,"&lt;"&amp;$A907+1)))</f>
        <v/>
      </c>
      <c r="AF907">
        <f>IF($B907=0,0,IF(Inputs!$B$8="",0,COUNTIFS(Data!$I$10:$I$3209,"&gt;="&amp;$A907,Data!$I$10:$I$3209,"&lt;"&amp;$A907+1)))</f>
        <v/>
      </c>
      <c r="AG907">
        <f>IF($B907=0,0,IF(Inputs!$B$9="",0,COUNTIFS(Data!$M$10:$M$3209,"&gt;="&amp;$A907,Data!$M$10:$M$3209,"&lt;"&amp;$A907+1)))</f>
        <v/>
      </c>
      <c r="AH907">
        <f>IF($B907=0,0,IF(Inputs!$B$10="",0,COUNTIFS(Data!$Q$10:$Q$3209,"&gt;="&amp;$A907,Data!$Q$10:$Q$3209,"&lt;"&amp;$A907+1)))</f>
        <v/>
      </c>
    </row>
    <row r="908">
      <c r="A908" s="55">
        <f>MIN(Inputs!$C$15,$A907+IF(WEEKDAY($A907,2)=5,3,1))</f>
        <v/>
      </c>
      <c r="B908">
        <f>IF($A908&gt;$A907,1,0)</f>
        <v/>
      </c>
      <c r="C908" s="56">
        <f>IF($B908=0,"",IF(Inputs!$B$6="","",IF($AD908=0,C907,SUMIFS(Data!$B$10:$B$3209,Data!$A$10:$A$3209,"&gt;="&amp;$A908,Data!$A$10:$A$3209,"&lt;"&amp;$A908+1)/$AD908)))</f>
        <v/>
      </c>
      <c r="D908" s="56">
        <f>IF($B908=0,"",IF(Inputs!$B$7="","",IF($AE908=0,D907,SUMIFS(Data!$F$10:$F$3209,Data!$E$10:$E$3209,"&gt;="&amp;$A908,Data!$E$10:$E$3209,"&lt;"&amp;$A908+1)/$AE908)))</f>
        <v/>
      </c>
      <c r="E908" s="56">
        <f>IF($B908=0,"",IF(Inputs!$B$8="","",IF($AF908=0,E907,SUMIFS(Data!$J$10:$J$3209,Data!$I$10:$I$3209,"&gt;="&amp;$A908,Data!$I$10:$I$3209,"&lt;"&amp;$A908+1)/$AF908)))</f>
        <v/>
      </c>
      <c r="F908" s="56">
        <f>IF($B908=0,"",IF(Inputs!$B$9="","",IF($AG908=0,F907,SUMIFS(Data!$N$10:$N$3209,Data!$M$10:$M$3209,"&gt;="&amp;$A908,Data!$M$10:$M$3209,"&lt;"&amp;$A908+1)/$AG908)))</f>
        <v/>
      </c>
      <c r="G908" s="56">
        <f>IF($B908=0,"",IF(Inputs!$B$10="","",IF($AH908=0,G907,SUMIFS(Data!$R$10:$R$3209,Data!$Q$10:$Q$3209,"&gt;="&amp;$A908,Data!$Q$10:$Q$3209,"&lt;"&amp;$A908+1)/$AH908)))</f>
        <v/>
      </c>
      <c r="I908" s="54">
        <f>IF($B908=0,NA(),IF($C908="",NA(),IF(C$8="",NA(),IF(N(C$8)=0,NA(),IF(Inputs!$C$17="Rebased to 100",$C908/C$8*100,$C908)))))</f>
        <v/>
      </c>
      <c r="J908" s="54">
        <f>IF($B908=0,NA(),IF($D908="",NA(),IF(D$8="",NA(),IF(N(D$8)=0,NA(),IF(Inputs!$C$17="Rebased to 100",$D908/D$8*100,$D908)))))</f>
        <v/>
      </c>
      <c r="K908" s="54">
        <f>IF($B908=0,NA(),IF($E908="",NA(),IF(E$8="",NA(),IF(N(E$8)=0,NA(),IF(Inputs!$C$17="Rebased to 100",$E908/E$8*100,$E908)))))</f>
        <v/>
      </c>
      <c r="L908" s="54">
        <f>IF($B908=0,NA(),IF($F908="",NA(),IF(F$8="",NA(),IF(N(F$8)=0,NA(),IF(Inputs!$C$17="Rebased to 100",$F908/F$8*100,$F908)))))</f>
        <v/>
      </c>
      <c r="M908" s="54">
        <f>IF($B908=0,NA(),IF($G908="",NA(),IF(G$8="",NA(),IF(N(G$8)=0,NA(),IF(Inputs!$C$17="Rebased to 100",$G908/G$8*100,$G908)))))</f>
        <v/>
      </c>
      <c r="N908" s="54">
        <f>IF($B908=0,NA(),IF(Inputs!$C$18&lt;&gt;"Yes",NA(),IF(COUNT(I908,J908,K908,L908,M908)=0,NA(),MIN(I908,J908,K908,L908,M908))))</f>
        <v/>
      </c>
      <c r="O908" s="54">
        <f>IF($B908=0,NA(),IF(Inputs!$B$24&lt;&gt;"Yes",NA(),Inputs!$D$24*Inputs!$C$35))</f>
        <v/>
      </c>
      <c r="P908" s="54">
        <f>IF($B908=0,NA(),IF(Inputs!$B$25&lt;&gt;"Yes",NA(),Inputs!$D$25*Inputs!$C$35))</f>
        <v/>
      </c>
      <c r="Q908" s="54">
        <f>IF($B908=0,NA(),IF(Inputs!$B$26&lt;&gt;"Yes",NA(),Inputs!$D$26*Inputs!$C$35))</f>
        <v/>
      </c>
      <c r="R908" s="54">
        <f>IF($B908=0,NA(),IF(Inputs!$B$27&lt;&gt;"Yes",NA(),Inputs!$D$27*Inputs!$C$35))</f>
        <v/>
      </c>
      <c r="S908" s="54">
        <f>IF($B908=0,NA(),IF(Inputs!$B$28&lt;&gt;"Yes",NA(),Inputs!$D$28*Inputs!$C$35))</f>
        <v/>
      </c>
      <c r="T908" s="54">
        <f>IF($B908=0,NA(),IF(Inputs!$B$29&lt;&gt;"Yes",NA(),Inputs!$D$29*Inputs!$C$35))</f>
        <v/>
      </c>
      <c r="AD908">
        <f>IF($B908=0,0,IF(Inputs!$B$6="",0,COUNTIFS(Data!$A$10:$A$3209,"&gt;="&amp;$A908,Data!$A$10:$A$3209,"&lt;"&amp;$A908+1)))</f>
        <v/>
      </c>
      <c r="AE908">
        <f>IF($B908=0,0,IF(Inputs!$B$7="",0,COUNTIFS(Data!$E$10:$E$3209,"&gt;="&amp;$A908,Data!$E$10:$E$3209,"&lt;"&amp;$A908+1)))</f>
        <v/>
      </c>
      <c r="AF908">
        <f>IF($B908=0,0,IF(Inputs!$B$8="",0,COUNTIFS(Data!$I$10:$I$3209,"&gt;="&amp;$A908,Data!$I$10:$I$3209,"&lt;"&amp;$A908+1)))</f>
        <v/>
      </c>
      <c r="AG908">
        <f>IF($B908=0,0,IF(Inputs!$B$9="",0,COUNTIFS(Data!$M$10:$M$3209,"&gt;="&amp;$A908,Data!$M$10:$M$3209,"&lt;"&amp;$A908+1)))</f>
        <v/>
      </c>
      <c r="AH908">
        <f>IF($B908=0,0,IF(Inputs!$B$10="",0,COUNTIFS(Data!$Q$10:$Q$3209,"&gt;="&amp;$A908,Data!$Q$10:$Q$3209,"&lt;"&amp;$A908+1)))</f>
        <v/>
      </c>
    </row>
    <row r="909">
      <c r="A909" s="55">
        <f>MIN(Inputs!$C$15,$A908+IF(WEEKDAY($A908,2)=5,3,1))</f>
        <v/>
      </c>
      <c r="B909">
        <f>IF($A909&gt;$A908,1,0)</f>
        <v/>
      </c>
      <c r="C909" s="56">
        <f>IF($B909=0,"",IF(Inputs!$B$6="","",IF($AD909=0,C908,SUMIFS(Data!$B$10:$B$3209,Data!$A$10:$A$3209,"&gt;="&amp;$A909,Data!$A$10:$A$3209,"&lt;"&amp;$A909+1)/$AD909)))</f>
        <v/>
      </c>
      <c r="D909" s="56">
        <f>IF($B909=0,"",IF(Inputs!$B$7="","",IF($AE909=0,D908,SUMIFS(Data!$F$10:$F$3209,Data!$E$10:$E$3209,"&gt;="&amp;$A909,Data!$E$10:$E$3209,"&lt;"&amp;$A909+1)/$AE909)))</f>
        <v/>
      </c>
      <c r="E909" s="56">
        <f>IF($B909=0,"",IF(Inputs!$B$8="","",IF($AF909=0,E908,SUMIFS(Data!$J$10:$J$3209,Data!$I$10:$I$3209,"&gt;="&amp;$A909,Data!$I$10:$I$3209,"&lt;"&amp;$A909+1)/$AF909)))</f>
        <v/>
      </c>
      <c r="F909" s="56">
        <f>IF($B909=0,"",IF(Inputs!$B$9="","",IF($AG909=0,F908,SUMIFS(Data!$N$10:$N$3209,Data!$M$10:$M$3209,"&gt;="&amp;$A909,Data!$M$10:$M$3209,"&lt;"&amp;$A909+1)/$AG909)))</f>
        <v/>
      </c>
      <c r="G909" s="56">
        <f>IF($B909=0,"",IF(Inputs!$B$10="","",IF($AH909=0,G908,SUMIFS(Data!$R$10:$R$3209,Data!$Q$10:$Q$3209,"&gt;="&amp;$A909,Data!$Q$10:$Q$3209,"&lt;"&amp;$A909+1)/$AH909)))</f>
        <v/>
      </c>
      <c r="I909" s="54">
        <f>IF($B909=0,NA(),IF($C909="",NA(),IF(C$8="",NA(),IF(N(C$8)=0,NA(),IF(Inputs!$C$17="Rebased to 100",$C909/C$8*100,$C909)))))</f>
        <v/>
      </c>
      <c r="J909" s="54">
        <f>IF($B909=0,NA(),IF($D909="",NA(),IF(D$8="",NA(),IF(N(D$8)=0,NA(),IF(Inputs!$C$17="Rebased to 100",$D909/D$8*100,$D909)))))</f>
        <v/>
      </c>
      <c r="K909" s="54">
        <f>IF($B909=0,NA(),IF($E909="",NA(),IF(E$8="",NA(),IF(N(E$8)=0,NA(),IF(Inputs!$C$17="Rebased to 100",$E909/E$8*100,$E909)))))</f>
        <v/>
      </c>
      <c r="L909" s="54">
        <f>IF($B909=0,NA(),IF($F909="",NA(),IF(F$8="",NA(),IF(N(F$8)=0,NA(),IF(Inputs!$C$17="Rebased to 100",$F909/F$8*100,$F909)))))</f>
        <v/>
      </c>
      <c r="M909" s="54">
        <f>IF($B909=0,NA(),IF($G909="",NA(),IF(G$8="",NA(),IF(N(G$8)=0,NA(),IF(Inputs!$C$17="Rebased to 100",$G909/G$8*100,$G909)))))</f>
        <v/>
      </c>
      <c r="N909" s="54">
        <f>IF($B909=0,NA(),IF(Inputs!$C$18&lt;&gt;"Yes",NA(),IF(COUNT(I909,J909,K909,L909,M909)=0,NA(),MIN(I909,J909,K909,L909,M909))))</f>
        <v/>
      </c>
      <c r="O909" s="54">
        <f>IF($B909=0,NA(),IF(Inputs!$B$24&lt;&gt;"Yes",NA(),Inputs!$D$24*Inputs!$C$35))</f>
        <v/>
      </c>
      <c r="P909" s="54">
        <f>IF($B909=0,NA(),IF(Inputs!$B$25&lt;&gt;"Yes",NA(),Inputs!$D$25*Inputs!$C$35))</f>
        <v/>
      </c>
      <c r="Q909" s="54">
        <f>IF($B909=0,NA(),IF(Inputs!$B$26&lt;&gt;"Yes",NA(),Inputs!$D$26*Inputs!$C$35))</f>
        <v/>
      </c>
      <c r="R909" s="54">
        <f>IF($B909=0,NA(),IF(Inputs!$B$27&lt;&gt;"Yes",NA(),Inputs!$D$27*Inputs!$C$35))</f>
        <v/>
      </c>
      <c r="S909" s="54">
        <f>IF($B909=0,NA(),IF(Inputs!$B$28&lt;&gt;"Yes",NA(),Inputs!$D$28*Inputs!$C$35))</f>
        <v/>
      </c>
      <c r="T909" s="54">
        <f>IF($B909=0,NA(),IF(Inputs!$B$29&lt;&gt;"Yes",NA(),Inputs!$D$29*Inputs!$C$35))</f>
        <v/>
      </c>
      <c r="AD909">
        <f>IF($B909=0,0,IF(Inputs!$B$6="",0,COUNTIFS(Data!$A$10:$A$3209,"&gt;="&amp;$A909,Data!$A$10:$A$3209,"&lt;"&amp;$A909+1)))</f>
        <v/>
      </c>
      <c r="AE909">
        <f>IF($B909=0,0,IF(Inputs!$B$7="",0,COUNTIFS(Data!$E$10:$E$3209,"&gt;="&amp;$A909,Data!$E$10:$E$3209,"&lt;"&amp;$A909+1)))</f>
        <v/>
      </c>
      <c r="AF909">
        <f>IF($B909=0,0,IF(Inputs!$B$8="",0,COUNTIFS(Data!$I$10:$I$3209,"&gt;="&amp;$A909,Data!$I$10:$I$3209,"&lt;"&amp;$A909+1)))</f>
        <v/>
      </c>
      <c r="AG909">
        <f>IF($B909=0,0,IF(Inputs!$B$9="",0,COUNTIFS(Data!$M$10:$M$3209,"&gt;="&amp;$A909,Data!$M$10:$M$3209,"&lt;"&amp;$A909+1)))</f>
        <v/>
      </c>
      <c r="AH909">
        <f>IF($B909=0,0,IF(Inputs!$B$10="",0,COUNTIFS(Data!$Q$10:$Q$3209,"&gt;="&amp;$A909,Data!$Q$10:$Q$3209,"&lt;"&amp;$A909+1)))</f>
        <v/>
      </c>
    </row>
    <row r="910">
      <c r="A910" s="55">
        <f>MIN(Inputs!$C$15,$A909+IF(WEEKDAY($A909,2)=5,3,1))</f>
        <v/>
      </c>
      <c r="B910">
        <f>IF($A910&gt;$A909,1,0)</f>
        <v/>
      </c>
      <c r="C910" s="56">
        <f>IF($B910=0,"",IF(Inputs!$B$6="","",IF($AD910=0,C909,SUMIFS(Data!$B$10:$B$3209,Data!$A$10:$A$3209,"&gt;="&amp;$A910,Data!$A$10:$A$3209,"&lt;"&amp;$A910+1)/$AD910)))</f>
        <v/>
      </c>
      <c r="D910" s="56">
        <f>IF($B910=0,"",IF(Inputs!$B$7="","",IF($AE910=0,D909,SUMIFS(Data!$F$10:$F$3209,Data!$E$10:$E$3209,"&gt;="&amp;$A910,Data!$E$10:$E$3209,"&lt;"&amp;$A910+1)/$AE910)))</f>
        <v/>
      </c>
      <c r="E910" s="56">
        <f>IF($B910=0,"",IF(Inputs!$B$8="","",IF($AF910=0,E909,SUMIFS(Data!$J$10:$J$3209,Data!$I$10:$I$3209,"&gt;="&amp;$A910,Data!$I$10:$I$3209,"&lt;"&amp;$A910+1)/$AF910)))</f>
        <v/>
      </c>
      <c r="F910" s="56">
        <f>IF($B910=0,"",IF(Inputs!$B$9="","",IF($AG910=0,F909,SUMIFS(Data!$N$10:$N$3209,Data!$M$10:$M$3209,"&gt;="&amp;$A910,Data!$M$10:$M$3209,"&lt;"&amp;$A910+1)/$AG910)))</f>
        <v/>
      </c>
      <c r="G910" s="56">
        <f>IF($B910=0,"",IF(Inputs!$B$10="","",IF($AH910=0,G909,SUMIFS(Data!$R$10:$R$3209,Data!$Q$10:$Q$3209,"&gt;="&amp;$A910,Data!$Q$10:$Q$3209,"&lt;"&amp;$A910+1)/$AH910)))</f>
        <v/>
      </c>
      <c r="I910" s="54">
        <f>IF($B910=0,NA(),IF($C910="",NA(),IF(C$8="",NA(),IF(N(C$8)=0,NA(),IF(Inputs!$C$17="Rebased to 100",$C910/C$8*100,$C910)))))</f>
        <v/>
      </c>
      <c r="J910" s="54">
        <f>IF($B910=0,NA(),IF($D910="",NA(),IF(D$8="",NA(),IF(N(D$8)=0,NA(),IF(Inputs!$C$17="Rebased to 100",$D910/D$8*100,$D910)))))</f>
        <v/>
      </c>
      <c r="K910" s="54">
        <f>IF($B910=0,NA(),IF($E910="",NA(),IF(E$8="",NA(),IF(N(E$8)=0,NA(),IF(Inputs!$C$17="Rebased to 100",$E910/E$8*100,$E910)))))</f>
        <v/>
      </c>
      <c r="L910" s="54">
        <f>IF($B910=0,NA(),IF($F910="",NA(),IF(F$8="",NA(),IF(N(F$8)=0,NA(),IF(Inputs!$C$17="Rebased to 100",$F910/F$8*100,$F910)))))</f>
        <v/>
      </c>
      <c r="M910" s="54">
        <f>IF($B910=0,NA(),IF($G910="",NA(),IF(G$8="",NA(),IF(N(G$8)=0,NA(),IF(Inputs!$C$17="Rebased to 100",$G910/G$8*100,$G910)))))</f>
        <v/>
      </c>
      <c r="N910" s="54">
        <f>IF($B910=0,NA(),IF(Inputs!$C$18&lt;&gt;"Yes",NA(),IF(COUNT(I910,J910,K910,L910,M910)=0,NA(),MIN(I910,J910,K910,L910,M910))))</f>
        <v/>
      </c>
      <c r="O910" s="54">
        <f>IF($B910=0,NA(),IF(Inputs!$B$24&lt;&gt;"Yes",NA(),Inputs!$D$24*Inputs!$C$35))</f>
        <v/>
      </c>
      <c r="P910" s="54">
        <f>IF($B910=0,NA(),IF(Inputs!$B$25&lt;&gt;"Yes",NA(),Inputs!$D$25*Inputs!$C$35))</f>
        <v/>
      </c>
      <c r="Q910" s="54">
        <f>IF($B910=0,NA(),IF(Inputs!$B$26&lt;&gt;"Yes",NA(),Inputs!$D$26*Inputs!$C$35))</f>
        <v/>
      </c>
      <c r="R910" s="54">
        <f>IF($B910=0,NA(),IF(Inputs!$B$27&lt;&gt;"Yes",NA(),Inputs!$D$27*Inputs!$C$35))</f>
        <v/>
      </c>
      <c r="S910" s="54">
        <f>IF($B910=0,NA(),IF(Inputs!$B$28&lt;&gt;"Yes",NA(),Inputs!$D$28*Inputs!$C$35))</f>
        <v/>
      </c>
      <c r="T910" s="54">
        <f>IF($B910=0,NA(),IF(Inputs!$B$29&lt;&gt;"Yes",NA(),Inputs!$D$29*Inputs!$C$35))</f>
        <v/>
      </c>
      <c r="AD910">
        <f>IF($B910=0,0,IF(Inputs!$B$6="",0,COUNTIFS(Data!$A$10:$A$3209,"&gt;="&amp;$A910,Data!$A$10:$A$3209,"&lt;"&amp;$A910+1)))</f>
        <v/>
      </c>
      <c r="AE910">
        <f>IF($B910=0,0,IF(Inputs!$B$7="",0,COUNTIFS(Data!$E$10:$E$3209,"&gt;="&amp;$A910,Data!$E$10:$E$3209,"&lt;"&amp;$A910+1)))</f>
        <v/>
      </c>
      <c r="AF910">
        <f>IF($B910=0,0,IF(Inputs!$B$8="",0,COUNTIFS(Data!$I$10:$I$3209,"&gt;="&amp;$A910,Data!$I$10:$I$3209,"&lt;"&amp;$A910+1)))</f>
        <v/>
      </c>
      <c r="AG910">
        <f>IF($B910=0,0,IF(Inputs!$B$9="",0,COUNTIFS(Data!$M$10:$M$3209,"&gt;="&amp;$A910,Data!$M$10:$M$3209,"&lt;"&amp;$A910+1)))</f>
        <v/>
      </c>
      <c r="AH910">
        <f>IF($B910=0,0,IF(Inputs!$B$10="",0,COUNTIFS(Data!$Q$10:$Q$3209,"&gt;="&amp;$A910,Data!$Q$10:$Q$3209,"&lt;"&amp;$A910+1)))</f>
        <v/>
      </c>
    </row>
    <row r="911">
      <c r="A911" s="55">
        <f>MIN(Inputs!$C$15,$A910+IF(WEEKDAY($A910,2)=5,3,1))</f>
        <v/>
      </c>
      <c r="B911">
        <f>IF($A911&gt;$A910,1,0)</f>
        <v/>
      </c>
      <c r="C911" s="56">
        <f>IF($B911=0,"",IF(Inputs!$B$6="","",IF($AD911=0,C910,SUMIFS(Data!$B$10:$B$3209,Data!$A$10:$A$3209,"&gt;="&amp;$A911,Data!$A$10:$A$3209,"&lt;"&amp;$A911+1)/$AD911)))</f>
        <v/>
      </c>
      <c r="D911" s="56">
        <f>IF($B911=0,"",IF(Inputs!$B$7="","",IF($AE911=0,D910,SUMIFS(Data!$F$10:$F$3209,Data!$E$10:$E$3209,"&gt;="&amp;$A911,Data!$E$10:$E$3209,"&lt;"&amp;$A911+1)/$AE911)))</f>
        <v/>
      </c>
      <c r="E911" s="56">
        <f>IF($B911=0,"",IF(Inputs!$B$8="","",IF($AF911=0,E910,SUMIFS(Data!$J$10:$J$3209,Data!$I$10:$I$3209,"&gt;="&amp;$A911,Data!$I$10:$I$3209,"&lt;"&amp;$A911+1)/$AF911)))</f>
        <v/>
      </c>
      <c r="F911" s="56">
        <f>IF($B911=0,"",IF(Inputs!$B$9="","",IF($AG911=0,F910,SUMIFS(Data!$N$10:$N$3209,Data!$M$10:$M$3209,"&gt;="&amp;$A911,Data!$M$10:$M$3209,"&lt;"&amp;$A911+1)/$AG911)))</f>
        <v/>
      </c>
      <c r="G911" s="56">
        <f>IF($B911=0,"",IF(Inputs!$B$10="","",IF($AH911=0,G910,SUMIFS(Data!$R$10:$R$3209,Data!$Q$10:$Q$3209,"&gt;="&amp;$A911,Data!$Q$10:$Q$3209,"&lt;"&amp;$A911+1)/$AH911)))</f>
        <v/>
      </c>
      <c r="I911" s="54">
        <f>IF($B911=0,NA(),IF($C911="",NA(),IF(C$8="",NA(),IF(N(C$8)=0,NA(),IF(Inputs!$C$17="Rebased to 100",$C911/C$8*100,$C911)))))</f>
        <v/>
      </c>
      <c r="J911" s="54">
        <f>IF($B911=0,NA(),IF($D911="",NA(),IF(D$8="",NA(),IF(N(D$8)=0,NA(),IF(Inputs!$C$17="Rebased to 100",$D911/D$8*100,$D911)))))</f>
        <v/>
      </c>
      <c r="K911" s="54">
        <f>IF($B911=0,NA(),IF($E911="",NA(),IF(E$8="",NA(),IF(N(E$8)=0,NA(),IF(Inputs!$C$17="Rebased to 100",$E911/E$8*100,$E911)))))</f>
        <v/>
      </c>
      <c r="L911" s="54">
        <f>IF($B911=0,NA(),IF($F911="",NA(),IF(F$8="",NA(),IF(N(F$8)=0,NA(),IF(Inputs!$C$17="Rebased to 100",$F911/F$8*100,$F911)))))</f>
        <v/>
      </c>
      <c r="M911" s="54">
        <f>IF($B911=0,NA(),IF($G911="",NA(),IF(G$8="",NA(),IF(N(G$8)=0,NA(),IF(Inputs!$C$17="Rebased to 100",$G911/G$8*100,$G911)))))</f>
        <v/>
      </c>
      <c r="N911" s="54">
        <f>IF($B911=0,NA(),IF(Inputs!$C$18&lt;&gt;"Yes",NA(),IF(COUNT(I911,J911,K911,L911,M911)=0,NA(),MIN(I911,J911,K911,L911,M911))))</f>
        <v/>
      </c>
      <c r="O911" s="54">
        <f>IF($B911=0,NA(),IF(Inputs!$B$24&lt;&gt;"Yes",NA(),Inputs!$D$24*Inputs!$C$35))</f>
        <v/>
      </c>
      <c r="P911" s="54">
        <f>IF($B911=0,NA(),IF(Inputs!$B$25&lt;&gt;"Yes",NA(),Inputs!$D$25*Inputs!$C$35))</f>
        <v/>
      </c>
      <c r="Q911" s="54">
        <f>IF($B911=0,NA(),IF(Inputs!$B$26&lt;&gt;"Yes",NA(),Inputs!$D$26*Inputs!$C$35))</f>
        <v/>
      </c>
      <c r="R911" s="54">
        <f>IF($B911=0,NA(),IF(Inputs!$B$27&lt;&gt;"Yes",NA(),Inputs!$D$27*Inputs!$C$35))</f>
        <v/>
      </c>
      <c r="S911" s="54">
        <f>IF($B911=0,NA(),IF(Inputs!$B$28&lt;&gt;"Yes",NA(),Inputs!$D$28*Inputs!$C$35))</f>
        <v/>
      </c>
      <c r="T911" s="54">
        <f>IF($B911=0,NA(),IF(Inputs!$B$29&lt;&gt;"Yes",NA(),Inputs!$D$29*Inputs!$C$35))</f>
        <v/>
      </c>
      <c r="AD911">
        <f>IF($B911=0,0,IF(Inputs!$B$6="",0,COUNTIFS(Data!$A$10:$A$3209,"&gt;="&amp;$A911,Data!$A$10:$A$3209,"&lt;"&amp;$A911+1)))</f>
        <v/>
      </c>
      <c r="AE911">
        <f>IF($B911=0,0,IF(Inputs!$B$7="",0,COUNTIFS(Data!$E$10:$E$3209,"&gt;="&amp;$A911,Data!$E$10:$E$3209,"&lt;"&amp;$A911+1)))</f>
        <v/>
      </c>
      <c r="AF911">
        <f>IF($B911=0,0,IF(Inputs!$B$8="",0,COUNTIFS(Data!$I$10:$I$3209,"&gt;="&amp;$A911,Data!$I$10:$I$3209,"&lt;"&amp;$A911+1)))</f>
        <v/>
      </c>
      <c r="AG911">
        <f>IF($B911=0,0,IF(Inputs!$B$9="",0,COUNTIFS(Data!$M$10:$M$3209,"&gt;="&amp;$A911,Data!$M$10:$M$3209,"&lt;"&amp;$A911+1)))</f>
        <v/>
      </c>
      <c r="AH911">
        <f>IF($B911=0,0,IF(Inputs!$B$10="",0,COUNTIFS(Data!$Q$10:$Q$3209,"&gt;="&amp;$A911,Data!$Q$10:$Q$3209,"&lt;"&amp;$A911+1)))</f>
        <v/>
      </c>
    </row>
    <row r="912">
      <c r="A912" s="55">
        <f>MIN(Inputs!$C$15,$A911+IF(WEEKDAY($A911,2)=5,3,1))</f>
        <v/>
      </c>
      <c r="B912">
        <f>IF($A912&gt;$A911,1,0)</f>
        <v/>
      </c>
      <c r="C912" s="56">
        <f>IF($B912=0,"",IF(Inputs!$B$6="","",IF($AD912=0,C911,SUMIFS(Data!$B$10:$B$3209,Data!$A$10:$A$3209,"&gt;="&amp;$A912,Data!$A$10:$A$3209,"&lt;"&amp;$A912+1)/$AD912)))</f>
        <v/>
      </c>
      <c r="D912" s="56">
        <f>IF($B912=0,"",IF(Inputs!$B$7="","",IF($AE912=0,D911,SUMIFS(Data!$F$10:$F$3209,Data!$E$10:$E$3209,"&gt;="&amp;$A912,Data!$E$10:$E$3209,"&lt;"&amp;$A912+1)/$AE912)))</f>
        <v/>
      </c>
      <c r="E912" s="56">
        <f>IF($B912=0,"",IF(Inputs!$B$8="","",IF($AF912=0,E911,SUMIFS(Data!$J$10:$J$3209,Data!$I$10:$I$3209,"&gt;="&amp;$A912,Data!$I$10:$I$3209,"&lt;"&amp;$A912+1)/$AF912)))</f>
        <v/>
      </c>
      <c r="F912" s="56">
        <f>IF($B912=0,"",IF(Inputs!$B$9="","",IF($AG912=0,F911,SUMIFS(Data!$N$10:$N$3209,Data!$M$10:$M$3209,"&gt;="&amp;$A912,Data!$M$10:$M$3209,"&lt;"&amp;$A912+1)/$AG912)))</f>
        <v/>
      </c>
      <c r="G912" s="56">
        <f>IF($B912=0,"",IF(Inputs!$B$10="","",IF($AH912=0,G911,SUMIFS(Data!$R$10:$R$3209,Data!$Q$10:$Q$3209,"&gt;="&amp;$A912,Data!$Q$10:$Q$3209,"&lt;"&amp;$A912+1)/$AH912)))</f>
        <v/>
      </c>
      <c r="I912" s="54">
        <f>IF($B912=0,NA(),IF($C912="",NA(),IF(C$8="",NA(),IF(N(C$8)=0,NA(),IF(Inputs!$C$17="Rebased to 100",$C912/C$8*100,$C912)))))</f>
        <v/>
      </c>
      <c r="J912" s="54">
        <f>IF($B912=0,NA(),IF($D912="",NA(),IF(D$8="",NA(),IF(N(D$8)=0,NA(),IF(Inputs!$C$17="Rebased to 100",$D912/D$8*100,$D912)))))</f>
        <v/>
      </c>
      <c r="K912" s="54">
        <f>IF($B912=0,NA(),IF($E912="",NA(),IF(E$8="",NA(),IF(N(E$8)=0,NA(),IF(Inputs!$C$17="Rebased to 100",$E912/E$8*100,$E912)))))</f>
        <v/>
      </c>
      <c r="L912" s="54">
        <f>IF($B912=0,NA(),IF($F912="",NA(),IF(F$8="",NA(),IF(N(F$8)=0,NA(),IF(Inputs!$C$17="Rebased to 100",$F912/F$8*100,$F912)))))</f>
        <v/>
      </c>
      <c r="M912" s="54">
        <f>IF($B912=0,NA(),IF($G912="",NA(),IF(G$8="",NA(),IF(N(G$8)=0,NA(),IF(Inputs!$C$17="Rebased to 100",$G912/G$8*100,$G912)))))</f>
        <v/>
      </c>
      <c r="N912" s="54">
        <f>IF($B912=0,NA(),IF(Inputs!$C$18&lt;&gt;"Yes",NA(),IF(COUNT(I912,J912,K912,L912,M912)=0,NA(),MIN(I912,J912,K912,L912,M912))))</f>
        <v/>
      </c>
      <c r="O912" s="54">
        <f>IF($B912=0,NA(),IF(Inputs!$B$24&lt;&gt;"Yes",NA(),Inputs!$D$24*Inputs!$C$35))</f>
        <v/>
      </c>
      <c r="P912" s="54">
        <f>IF($B912=0,NA(),IF(Inputs!$B$25&lt;&gt;"Yes",NA(),Inputs!$D$25*Inputs!$C$35))</f>
        <v/>
      </c>
      <c r="Q912" s="54">
        <f>IF($B912=0,NA(),IF(Inputs!$B$26&lt;&gt;"Yes",NA(),Inputs!$D$26*Inputs!$C$35))</f>
        <v/>
      </c>
      <c r="R912" s="54">
        <f>IF($B912=0,NA(),IF(Inputs!$B$27&lt;&gt;"Yes",NA(),Inputs!$D$27*Inputs!$C$35))</f>
        <v/>
      </c>
      <c r="S912" s="54">
        <f>IF($B912=0,NA(),IF(Inputs!$B$28&lt;&gt;"Yes",NA(),Inputs!$D$28*Inputs!$C$35))</f>
        <v/>
      </c>
      <c r="T912" s="54">
        <f>IF($B912=0,NA(),IF(Inputs!$B$29&lt;&gt;"Yes",NA(),Inputs!$D$29*Inputs!$C$35))</f>
        <v/>
      </c>
      <c r="AD912">
        <f>IF($B912=0,0,IF(Inputs!$B$6="",0,COUNTIFS(Data!$A$10:$A$3209,"&gt;="&amp;$A912,Data!$A$10:$A$3209,"&lt;"&amp;$A912+1)))</f>
        <v/>
      </c>
      <c r="AE912">
        <f>IF($B912=0,0,IF(Inputs!$B$7="",0,COUNTIFS(Data!$E$10:$E$3209,"&gt;="&amp;$A912,Data!$E$10:$E$3209,"&lt;"&amp;$A912+1)))</f>
        <v/>
      </c>
      <c r="AF912">
        <f>IF($B912=0,0,IF(Inputs!$B$8="",0,COUNTIFS(Data!$I$10:$I$3209,"&gt;="&amp;$A912,Data!$I$10:$I$3209,"&lt;"&amp;$A912+1)))</f>
        <v/>
      </c>
      <c r="AG912">
        <f>IF($B912=0,0,IF(Inputs!$B$9="",0,COUNTIFS(Data!$M$10:$M$3209,"&gt;="&amp;$A912,Data!$M$10:$M$3209,"&lt;"&amp;$A912+1)))</f>
        <v/>
      </c>
      <c r="AH912">
        <f>IF($B912=0,0,IF(Inputs!$B$10="",0,COUNTIFS(Data!$Q$10:$Q$3209,"&gt;="&amp;$A912,Data!$Q$10:$Q$3209,"&lt;"&amp;$A912+1)))</f>
        <v/>
      </c>
    </row>
    <row r="913">
      <c r="A913" s="55">
        <f>MIN(Inputs!$C$15,$A912+IF(WEEKDAY($A912,2)=5,3,1))</f>
        <v/>
      </c>
      <c r="B913">
        <f>IF($A913&gt;$A912,1,0)</f>
        <v/>
      </c>
      <c r="C913" s="56">
        <f>IF($B913=0,"",IF(Inputs!$B$6="","",IF($AD913=0,C912,SUMIFS(Data!$B$10:$B$3209,Data!$A$10:$A$3209,"&gt;="&amp;$A913,Data!$A$10:$A$3209,"&lt;"&amp;$A913+1)/$AD913)))</f>
        <v/>
      </c>
      <c r="D913" s="56">
        <f>IF($B913=0,"",IF(Inputs!$B$7="","",IF($AE913=0,D912,SUMIFS(Data!$F$10:$F$3209,Data!$E$10:$E$3209,"&gt;="&amp;$A913,Data!$E$10:$E$3209,"&lt;"&amp;$A913+1)/$AE913)))</f>
        <v/>
      </c>
      <c r="E913" s="56">
        <f>IF($B913=0,"",IF(Inputs!$B$8="","",IF($AF913=0,E912,SUMIFS(Data!$J$10:$J$3209,Data!$I$10:$I$3209,"&gt;="&amp;$A913,Data!$I$10:$I$3209,"&lt;"&amp;$A913+1)/$AF913)))</f>
        <v/>
      </c>
      <c r="F913" s="56">
        <f>IF($B913=0,"",IF(Inputs!$B$9="","",IF($AG913=0,F912,SUMIFS(Data!$N$10:$N$3209,Data!$M$10:$M$3209,"&gt;="&amp;$A913,Data!$M$10:$M$3209,"&lt;"&amp;$A913+1)/$AG913)))</f>
        <v/>
      </c>
      <c r="G913" s="56">
        <f>IF($B913=0,"",IF(Inputs!$B$10="","",IF($AH913=0,G912,SUMIFS(Data!$R$10:$R$3209,Data!$Q$10:$Q$3209,"&gt;="&amp;$A913,Data!$Q$10:$Q$3209,"&lt;"&amp;$A913+1)/$AH913)))</f>
        <v/>
      </c>
      <c r="I913" s="54">
        <f>IF($B913=0,NA(),IF($C913="",NA(),IF(C$8="",NA(),IF(N(C$8)=0,NA(),IF(Inputs!$C$17="Rebased to 100",$C913/C$8*100,$C913)))))</f>
        <v/>
      </c>
      <c r="J913" s="54">
        <f>IF($B913=0,NA(),IF($D913="",NA(),IF(D$8="",NA(),IF(N(D$8)=0,NA(),IF(Inputs!$C$17="Rebased to 100",$D913/D$8*100,$D913)))))</f>
        <v/>
      </c>
      <c r="K913" s="54">
        <f>IF($B913=0,NA(),IF($E913="",NA(),IF(E$8="",NA(),IF(N(E$8)=0,NA(),IF(Inputs!$C$17="Rebased to 100",$E913/E$8*100,$E913)))))</f>
        <v/>
      </c>
      <c r="L913" s="54">
        <f>IF($B913=0,NA(),IF($F913="",NA(),IF(F$8="",NA(),IF(N(F$8)=0,NA(),IF(Inputs!$C$17="Rebased to 100",$F913/F$8*100,$F913)))))</f>
        <v/>
      </c>
      <c r="M913" s="54">
        <f>IF($B913=0,NA(),IF($G913="",NA(),IF(G$8="",NA(),IF(N(G$8)=0,NA(),IF(Inputs!$C$17="Rebased to 100",$G913/G$8*100,$G913)))))</f>
        <v/>
      </c>
      <c r="N913" s="54">
        <f>IF($B913=0,NA(),IF(Inputs!$C$18&lt;&gt;"Yes",NA(),IF(COUNT(I913,J913,K913,L913,M913)=0,NA(),MIN(I913,J913,K913,L913,M913))))</f>
        <v/>
      </c>
      <c r="O913" s="54">
        <f>IF($B913=0,NA(),IF(Inputs!$B$24&lt;&gt;"Yes",NA(),Inputs!$D$24*Inputs!$C$35))</f>
        <v/>
      </c>
      <c r="P913" s="54">
        <f>IF($B913=0,NA(),IF(Inputs!$B$25&lt;&gt;"Yes",NA(),Inputs!$D$25*Inputs!$C$35))</f>
        <v/>
      </c>
      <c r="Q913" s="54">
        <f>IF($B913=0,NA(),IF(Inputs!$B$26&lt;&gt;"Yes",NA(),Inputs!$D$26*Inputs!$C$35))</f>
        <v/>
      </c>
      <c r="R913" s="54">
        <f>IF($B913=0,NA(),IF(Inputs!$B$27&lt;&gt;"Yes",NA(),Inputs!$D$27*Inputs!$C$35))</f>
        <v/>
      </c>
      <c r="S913" s="54">
        <f>IF($B913=0,NA(),IF(Inputs!$B$28&lt;&gt;"Yes",NA(),Inputs!$D$28*Inputs!$C$35))</f>
        <v/>
      </c>
      <c r="T913" s="54">
        <f>IF($B913=0,NA(),IF(Inputs!$B$29&lt;&gt;"Yes",NA(),Inputs!$D$29*Inputs!$C$35))</f>
        <v/>
      </c>
      <c r="AD913">
        <f>IF($B913=0,0,IF(Inputs!$B$6="",0,COUNTIFS(Data!$A$10:$A$3209,"&gt;="&amp;$A913,Data!$A$10:$A$3209,"&lt;"&amp;$A913+1)))</f>
        <v/>
      </c>
      <c r="AE913">
        <f>IF($B913=0,0,IF(Inputs!$B$7="",0,COUNTIFS(Data!$E$10:$E$3209,"&gt;="&amp;$A913,Data!$E$10:$E$3209,"&lt;"&amp;$A913+1)))</f>
        <v/>
      </c>
      <c r="AF913">
        <f>IF($B913=0,0,IF(Inputs!$B$8="",0,COUNTIFS(Data!$I$10:$I$3209,"&gt;="&amp;$A913,Data!$I$10:$I$3209,"&lt;"&amp;$A913+1)))</f>
        <v/>
      </c>
      <c r="AG913">
        <f>IF($B913=0,0,IF(Inputs!$B$9="",0,COUNTIFS(Data!$M$10:$M$3209,"&gt;="&amp;$A913,Data!$M$10:$M$3209,"&lt;"&amp;$A913+1)))</f>
        <v/>
      </c>
      <c r="AH913">
        <f>IF($B913=0,0,IF(Inputs!$B$10="",0,COUNTIFS(Data!$Q$10:$Q$3209,"&gt;="&amp;$A913,Data!$Q$10:$Q$3209,"&lt;"&amp;$A913+1)))</f>
        <v/>
      </c>
    </row>
    <row r="914">
      <c r="A914" s="55">
        <f>MIN(Inputs!$C$15,$A913+IF(WEEKDAY($A913,2)=5,3,1))</f>
        <v/>
      </c>
      <c r="B914">
        <f>IF($A914&gt;$A913,1,0)</f>
        <v/>
      </c>
      <c r="C914" s="56">
        <f>IF($B914=0,"",IF(Inputs!$B$6="","",IF($AD914=0,C913,SUMIFS(Data!$B$10:$B$3209,Data!$A$10:$A$3209,"&gt;="&amp;$A914,Data!$A$10:$A$3209,"&lt;"&amp;$A914+1)/$AD914)))</f>
        <v/>
      </c>
      <c r="D914" s="56">
        <f>IF($B914=0,"",IF(Inputs!$B$7="","",IF($AE914=0,D913,SUMIFS(Data!$F$10:$F$3209,Data!$E$10:$E$3209,"&gt;="&amp;$A914,Data!$E$10:$E$3209,"&lt;"&amp;$A914+1)/$AE914)))</f>
        <v/>
      </c>
      <c r="E914" s="56">
        <f>IF($B914=0,"",IF(Inputs!$B$8="","",IF($AF914=0,E913,SUMIFS(Data!$J$10:$J$3209,Data!$I$10:$I$3209,"&gt;="&amp;$A914,Data!$I$10:$I$3209,"&lt;"&amp;$A914+1)/$AF914)))</f>
        <v/>
      </c>
      <c r="F914" s="56">
        <f>IF($B914=0,"",IF(Inputs!$B$9="","",IF($AG914=0,F913,SUMIFS(Data!$N$10:$N$3209,Data!$M$10:$M$3209,"&gt;="&amp;$A914,Data!$M$10:$M$3209,"&lt;"&amp;$A914+1)/$AG914)))</f>
        <v/>
      </c>
      <c r="G914" s="56">
        <f>IF($B914=0,"",IF(Inputs!$B$10="","",IF($AH914=0,G913,SUMIFS(Data!$R$10:$R$3209,Data!$Q$10:$Q$3209,"&gt;="&amp;$A914,Data!$Q$10:$Q$3209,"&lt;"&amp;$A914+1)/$AH914)))</f>
        <v/>
      </c>
      <c r="I914" s="54">
        <f>IF($B914=0,NA(),IF($C914="",NA(),IF(C$8="",NA(),IF(N(C$8)=0,NA(),IF(Inputs!$C$17="Rebased to 100",$C914/C$8*100,$C914)))))</f>
        <v/>
      </c>
      <c r="J914" s="54">
        <f>IF($B914=0,NA(),IF($D914="",NA(),IF(D$8="",NA(),IF(N(D$8)=0,NA(),IF(Inputs!$C$17="Rebased to 100",$D914/D$8*100,$D914)))))</f>
        <v/>
      </c>
      <c r="K914" s="54">
        <f>IF($B914=0,NA(),IF($E914="",NA(),IF(E$8="",NA(),IF(N(E$8)=0,NA(),IF(Inputs!$C$17="Rebased to 100",$E914/E$8*100,$E914)))))</f>
        <v/>
      </c>
      <c r="L914" s="54">
        <f>IF($B914=0,NA(),IF($F914="",NA(),IF(F$8="",NA(),IF(N(F$8)=0,NA(),IF(Inputs!$C$17="Rebased to 100",$F914/F$8*100,$F914)))))</f>
        <v/>
      </c>
      <c r="M914" s="54">
        <f>IF($B914=0,NA(),IF($G914="",NA(),IF(G$8="",NA(),IF(N(G$8)=0,NA(),IF(Inputs!$C$17="Rebased to 100",$G914/G$8*100,$G914)))))</f>
        <v/>
      </c>
      <c r="N914" s="54">
        <f>IF($B914=0,NA(),IF(Inputs!$C$18&lt;&gt;"Yes",NA(),IF(COUNT(I914,J914,K914,L914,M914)=0,NA(),MIN(I914,J914,K914,L914,M914))))</f>
        <v/>
      </c>
      <c r="O914" s="54">
        <f>IF($B914=0,NA(),IF(Inputs!$B$24&lt;&gt;"Yes",NA(),Inputs!$D$24*Inputs!$C$35))</f>
        <v/>
      </c>
      <c r="P914" s="54">
        <f>IF($B914=0,NA(),IF(Inputs!$B$25&lt;&gt;"Yes",NA(),Inputs!$D$25*Inputs!$C$35))</f>
        <v/>
      </c>
      <c r="Q914" s="54">
        <f>IF($B914=0,NA(),IF(Inputs!$B$26&lt;&gt;"Yes",NA(),Inputs!$D$26*Inputs!$C$35))</f>
        <v/>
      </c>
      <c r="R914" s="54">
        <f>IF($B914=0,NA(),IF(Inputs!$B$27&lt;&gt;"Yes",NA(),Inputs!$D$27*Inputs!$C$35))</f>
        <v/>
      </c>
      <c r="S914" s="54">
        <f>IF($B914=0,NA(),IF(Inputs!$B$28&lt;&gt;"Yes",NA(),Inputs!$D$28*Inputs!$C$35))</f>
        <v/>
      </c>
      <c r="T914" s="54">
        <f>IF($B914=0,NA(),IF(Inputs!$B$29&lt;&gt;"Yes",NA(),Inputs!$D$29*Inputs!$C$35))</f>
        <v/>
      </c>
      <c r="AD914">
        <f>IF($B914=0,0,IF(Inputs!$B$6="",0,COUNTIFS(Data!$A$10:$A$3209,"&gt;="&amp;$A914,Data!$A$10:$A$3209,"&lt;"&amp;$A914+1)))</f>
        <v/>
      </c>
      <c r="AE914">
        <f>IF($B914=0,0,IF(Inputs!$B$7="",0,COUNTIFS(Data!$E$10:$E$3209,"&gt;="&amp;$A914,Data!$E$10:$E$3209,"&lt;"&amp;$A914+1)))</f>
        <v/>
      </c>
      <c r="AF914">
        <f>IF($B914=0,0,IF(Inputs!$B$8="",0,COUNTIFS(Data!$I$10:$I$3209,"&gt;="&amp;$A914,Data!$I$10:$I$3209,"&lt;"&amp;$A914+1)))</f>
        <v/>
      </c>
      <c r="AG914">
        <f>IF($B914=0,0,IF(Inputs!$B$9="",0,COUNTIFS(Data!$M$10:$M$3209,"&gt;="&amp;$A914,Data!$M$10:$M$3209,"&lt;"&amp;$A914+1)))</f>
        <v/>
      </c>
      <c r="AH914">
        <f>IF($B914=0,0,IF(Inputs!$B$10="",0,COUNTIFS(Data!$Q$10:$Q$3209,"&gt;="&amp;$A914,Data!$Q$10:$Q$3209,"&lt;"&amp;$A914+1)))</f>
        <v/>
      </c>
    </row>
    <row r="915">
      <c r="A915" s="55">
        <f>MIN(Inputs!$C$15,$A914+IF(WEEKDAY($A914,2)=5,3,1))</f>
        <v/>
      </c>
      <c r="B915">
        <f>IF($A915&gt;$A914,1,0)</f>
        <v/>
      </c>
      <c r="C915" s="56">
        <f>IF($B915=0,"",IF(Inputs!$B$6="","",IF($AD915=0,C914,SUMIFS(Data!$B$10:$B$3209,Data!$A$10:$A$3209,"&gt;="&amp;$A915,Data!$A$10:$A$3209,"&lt;"&amp;$A915+1)/$AD915)))</f>
        <v/>
      </c>
      <c r="D915" s="56">
        <f>IF($B915=0,"",IF(Inputs!$B$7="","",IF($AE915=0,D914,SUMIFS(Data!$F$10:$F$3209,Data!$E$10:$E$3209,"&gt;="&amp;$A915,Data!$E$10:$E$3209,"&lt;"&amp;$A915+1)/$AE915)))</f>
        <v/>
      </c>
      <c r="E915" s="56">
        <f>IF($B915=0,"",IF(Inputs!$B$8="","",IF($AF915=0,E914,SUMIFS(Data!$J$10:$J$3209,Data!$I$10:$I$3209,"&gt;="&amp;$A915,Data!$I$10:$I$3209,"&lt;"&amp;$A915+1)/$AF915)))</f>
        <v/>
      </c>
      <c r="F915" s="56">
        <f>IF($B915=0,"",IF(Inputs!$B$9="","",IF($AG915=0,F914,SUMIFS(Data!$N$10:$N$3209,Data!$M$10:$M$3209,"&gt;="&amp;$A915,Data!$M$10:$M$3209,"&lt;"&amp;$A915+1)/$AG915)))</f>
        <v/>
      </c>
      <c r="G915" s="56">
        <f>IF($B915=0,"",IF(Inputs!$B$10="","",IF($AH915=0,G914,SUMIFS(Data!$R$10:$R$3209,Data!$Q$10:$Q$3209,"&gt;="&amp;$A915,Data!$Q$10:$Q$3209,"&lt;"&amp;$A915+1)/$AH915)))</f>
        <v/>
      </c>
      <c r="I915" s="54">
        <f>IF($B915=0,NA(),IF($C915="",NA(),IF(C$8="",NA(),IF(N(C$8)=0,NA(),IF(Inputs!$C$17="Rebased to 100",$C915/C$8*100,$C915)))))</f>
        <v/>
      </c>
      <c r="J915" s="54">
        <f>IF($B915=0,NA(),IF($D915="",NA(),IF(D$8="",NA(),IF(N(D$8)=0,NA(),IF(Inputs!$C$17="Rebased to 100",$D915/D$8*100,$D915)))))</f>
        <v/>
      </c>
      <c r="K915" s="54">
        <f>IF($B915=0,NA(),IF($E915="",NA(),IF(E$8="",NA(),IF(N(E$8)=0,NA(),IF(Inputs!$C$17="Rebased to 100",$E915/E$8*100,$E915)))))</f>
        <v/>
      </c>
      <c r="L915" s="54">
        <f>IF($B915=0,NA(),IF($F915="",NA(),IF(F$8="",NA(),IF(N(F$8)=0,NA(),IF(Inputs!$C$17="Rebased to 100",$F915/F$8*100,$F915)))))</f>
        <v/>
      </c>
      <c r="M915" s="54">
        <f>IF($B915=0,NA(),IF($G915="",NA(),IF(G$8="",NA(),IF(N(G$8)=0,NA(),IF(Inputs!$C$17="Rebased to 100",$G915/G$8*100,$G915)))))</f>
        <v/>
      </c>
      <c r="N915" s="54">
        <f>IF($B915=0,NA(),IF(Inputs!$C$18&lt;&gt;"Yes",NA(),IF(COUNT(I915,J915,K915,L915,M915)=0,NA(),MIN(I915,J915,K915,L915,M915))))</f>
        <v/>
      </c>
      <c r="O915" s="54">
        <f>IF($B915=0,NA(),IF(Inputs!$B$24&lt;&gt;"Yes",NA(),Inputs!$D$24*Inputs!$C$35))</f>
        <v/>
      </c>
      <c r="P915" s="54">
        <f>IF($B915=0,NA(),IF(Inputs!$B$25&lt;&gt;"Yes",NA(),Inputs!$D$25*Inputs!$C$35))</f>
        <v/>
      </c>
      <c r="Q915" s="54">
        <f>IF($B915=0,NA(),IF(Inputs!$B$26&lt;&gt;"Yes",NA(),Inputs!$D$26*Inputs!$C$35))</f>
        <v/>
      </c>
      <c r="R915" s="54">
        <f>IF($B915=0,NA(),IF(Inputs!$B$27&lt;&gt;"Yes",NA(),Inputs!$D$27*Inputs!$C$35))</f>
        <v/>
      </c>
      <c r="S915" s="54">
        <f>IF($B915=0,NA(),IF(Inputs!$B$28&lt;&gt;"Yes",NA(),Inputs!$D$28*Inputs!$C$35))</f>
        <v/>
      </c>
      <c r="T915" s="54">
        <f>IF($B915=0,NA(),IF(Inputs!$B$29&lt;&gt;"Yes",NA(),Inputs!$D$29*Inputs!$C$35))</f>
        <v/>
      </c>
      <c r="AD915">
        <f>IF($B915=0,0,IF(Inputs!$B$6="",0,COUNTIFS(Data!$A$10:$A$3209,"&gt;="&amp;$A915,Data!$A$10:$A$3209,"&lt;"&amp;$A915+1)))</f>
        <v/>
      </c>
      <c r="AE915">
        <f>IF($B915=0,0,IF(Inputs!$B$7="",0,COUNTIFS(Data!$E$10:$E$3209,"&gt;="&amp;$A915,Data!$E$10:$E$3209,"&lt;"&amp;$A915+1)))</f>
        <v/>
      </c>
      <c r="AF915">
        <f>IF($B915=0,0,IF(Inputs!$B$8="",0,COUNTIFS(Data!$I$10:$I$3209,"&gt;="&amp;$A915,Data!$I$10:$I$3209,"&lt;"&amp;$A915+1)))</f>
        <v/>
      </c>
      <c r="AG915">
        <f>IF($B915=0,0,IF(Inputs!$B$9="",0,COUNTIFS(Data!$M$10:$M$3209,"&gt;="&amp;$A915,Data!$M$10:$M$3209,"&lt;"&amp;$A915+1)))</f>
        <v/>
      </c>
      <c r="AH915">
        <f>IF($B915=0,0,IF(Inputs!$B$10="",0,COUNTIFS(Data!$Q$10:$Q$3209,"&gt;="&amp;$A915,Data!$Q$10:$Q$3209,"&lt;"&amp;$A915+1)))</f>
        <v/>
      </c>
    </row>
    <row r="916">
      <c r="A916" s="55">
        <f>MIN(Inputs!$C$15,$A915+IF(WEEKDAY($A915,2)=5,3,1))</f>
        <v/>
      </c>
      <c r="B916">
        <f>IF($A916&gt;$A915,1,0)</f>
        <v/>
      </c>
      <c r="C916" s="56">
        <f>IF($B916=0,"",IF(Inputs!$B$6="","",IF($AD916=0,C915,SUMIFS(Data!$B$10:$B$3209,Data!$A$10:$A$3209,"&gt;="&amp;$A916,Data!$A$10:$A$3209,"&lt;"&amp;$A916+1)/$AD916)))</f>
        <v/>
      </c>
      <c r="D916" s="56">
        <f>IF($B916=0,"",IF(Inputs!$B$7="","",IF($AE916=0,D915,SUMIFS(Data!$F$10:$F$3209,Data!$E$10:$E$3209,"&gt;="&amp;$A916,Data!$E$10:$E$3209,"&lt;"&amp;$A916+1)/$AE916)))</f>
        <v/>
      </c>
      <c r="E916" s="56">
        <f>IF($B916=0,"",IF(Inputs!$B$8="","",IF($AF916=0,E915,SUMIFS(Data!$J$10:$J$3209,Data!$I$10:$I$3209,"&gt;="&amp;$A916,Data!$I$10:$I$3209,"&lt;"&amp;$A916+1)/$AF916)))</f>
        <v/>
      </c>
      <c r="F916" s="56">
        <f>IF($B916=0,"",IF(Inputs!$B$9="","",IF($AG916=0,F915,SUMIFS(Data!$N$10:$N$3209,Data!$M$10:$M$3209,"&gt;="&amp;$A916,Data!$M$10:$M$3209,"&lt;"&amp;$A916+1)/$AG916)))</f>
        <v/>
      </c>
      <c r="G916" s="56">
        <f>IF($B916=0,"",IF(Inputs!$B$10="","",IF($AH916=0,G915,SUMIFS(Data!$R$10:$R$3209,Data!$Q$10:$Q$3209,"&gt;="&amp;$A916,Data!$Q$10:$Q$3209,"&lt;"&amp;$A916+1)/$AH916)))</f>
        <v/>
      </c>
      <c r="I916" s="54">
        <f>IF($B916=0,NA(),IF($C916="",NA(),IF(C$8="",NA(),IF(N(C$8)=0,NA(),IF(Inputs!$C$17="Rebased to 100",$C916/C$8*100,$C916)))))</f>
        <v/>
      </c>
      <c r="J916" s="54">
        <f>IF($B916=0,NA(),IF($D916="",NA(),IF(D$8="",NA(),IF(N(D$8)=0,NA(),IF(Inputs!$C$17="Rebased to 100",$D916/D$8*100,$D916)))))</f>
        <v/>
      </c>
      <c r="K916" s="54">
        <f>IF($B916=0,NA(),IF($E916="",NA(),IF(E$8="",NA(),IF(N(E$8)=0,NA(),IF(Inputs!$C$17="Rebased to 100",$E916/E$8*100,$E916)))))</f>
        <v/>
      </c>
      <c r="L916" s="54">
        <f>IF($B916=0,NA(),IF($F916="",NA(),IF(F$8="",NA(),IF(N(F$8)=0,NA(),IF(Inputs!$C$17="Rebased to 100",$F916/F$8*100,$F916)))))</f>
        <v/>
      </c>
      <c r="M916" s="54">
        <f>IF($B916=0,NA(),IF($G916="",NA(),IF(G$8="",NA(),IF(N(G$8)=0,NA(),IF(Inputs!$C$17="Rebased to 100",$G916/G$8*100,$G916)))))</f>
        <v/>
      </c>
      <c r="N916" s="54">
        <f>IF($B916=0,NA(),IF(Inputs!$C$18&lt;&gt;"Yes",NA(),IF(COUNT(I916,J916,K916,L916,M916)=0,NA(),MIN(I916,J916,K916,L916,M916))))</f>
        <v/>
      </c>
      <c r="O916" s="54">
        <f>IF($B916=0,NA(),IF(Inputs!$B$24&lt;&gt;"Yes",NA(),Inputs!$D$24*Inputs!$C$35))</f>
        <v/>
      </c>
      <c r="P916" s="54">
        <f>IF($B916=0,NA(),IF(Inputs!$B$25&lt;&gt;"Yes",NA(),Inputs!$D$25*Inputs!$C$35))</f>
        <v/>
      </c>
      <c r="Q916" s="54">
        <f>IF($B916=0,NA(),IF(Inputs!$B$26&lt;&gt;"Yes",NA(),Inputs!$D$26*Inputs!$C$35))</f>
        <v/>
      </c>
      <c r="R916" s="54">
        <f>IF($B916=0,NA(),IF(Inputs!$B$27&lt;&gt;"Yes",NA(),Inputs!$D$27*Inputs!$C$35))</f>
        <v/>
      </c>
      <c r="S916" s="54">
        <f>IF($B916=0,NA(),IF(Inputs!$B$28&lt;&gt;"Yes",NA(),Inputs!$D$28*Inputs!$C$35))</f>
        <v/>
      </c>
      <c r="T916" s="54">
        <f>IF($B916=0,NA(),IF(Inputs!$B$29&lt;&gt;"Yes",NA(),Inputs!$D$29*Inputs!$C$35))</f>
        <v/>
      </c>
      <c r="AD916">
        <f>IF($B916=0,0,IF(Inputs!$B$6="",0,COUNTIFS(Data!$A$10:$A$3209,"&gt;="&amp;$A916,Data!$A$10:$A$3209,"&lt;"&amp;$A916+1)))</f>
        <v/>
      </c>
      <c r="AE916">
        <f>IF($B916=0,0,IF(Inputs!$B$7="",0,COUNTIFS(Data!$E$10:$E$3209,"&gt;="&amp;$A916,Data!$E$10:$E$3209,"&lt;"&amp;$A916+1)))</f>
        <v/>
      </c>
      <c r="AF916">
        <f>IF($B916=0,0,IF(Inputs!$B$8="",0,COUNTIFS(Data!$I$10:$I$3209,"&gt;="&amp;$A916,Data!$I$10:$I$3209,"&lt;"&amp;$A916+1)))</f>
        <v/>
      </c>
      <c r="AG916">
        <f>IF($B916=0,0,IF(Inputs!$B$9="",0,COUNTIFS(Data!$M$10:$M$3209,"&gt;="&amp;$A916,Data!$M$10:$M$3209,"&lt;"&amp;$A916+1)))</f>
        <v/>
      </c>
      <c r="AH916">
        <f>IF($B916=0,0,IF(Inputs!$B$10="",0,COUNTIFS(Data!$Q$10:$Q$3209,"&gt;="&amp;$A916,Data!$Q$10:$Q$3209,"&lt;"&amp;$A916+1)))</f>
        <v/>
      </c>
    </row>
    <row r="917">
      <c r="A917" s="55">
        <f>MIN(Inputs!$C$15,$A916+IF(WEEKDAY($A916,2)=5,3,1))</f>
        <v/>
      </c>
      <c r="B917">
        <f>IF($A917&gt;$A916,1,0)</f>
        <v/>
      </c>
      <c r="C917" s="56">
        <f>IF($B917=0,"",IF(Inputs!$B$6="","",IF($AD917=0,C916,SUMIFS(Data!$B$10:$B$3209,Data!$A$10:$A$3209,"&gt;="&amp;$A917,Data!$A$10:$A$3209,"&lt;"&amp;$A917+1)/$AD917)))</f>
        <v/>
      </c>
      <c r="D917" s="56">
        <f>IF($B917=0,"",IF(Inputs!$B$7="","",IF($AE917=0,D916,SUMIFS(Data!$F$10:$F$3209,Data!$E$10:$E$3209,"&gt;="&amp;$A917,Data!$E$10:$E$3209,"&lt;"&amp;$A917+1)/$AE917)))</f>
        <v/>
      </c>
      <c r="E917" s="56">
        <f>IF($B917=0,"",IF(Inputs!$B$8="","",IF($AF917=0,E916,SUMIFS(Data!$J$10:$J$3209,Data!$I$10:$I$3209,"&gt;="&amp;$A917,Data!$I$10:$I$3209,"&lt;"&amp;$A917+1)/$AF917)))</f>
        <v/>
      </c>
      <c r="F917" s="56">
        <f>IF($B917=0,"",IF(Inputs!$B$9="","",IF($AG917=0,F916,SUMIFS(Data!$N$10:$N$3209,Data!$M$10:$M$3209,"&gt;="&amp;$A917,Data!$M$10:$M$3209,"&lt;"&amp;$A917+1)/$AG917)))</f>
        <v/>
      </c>
      <c r="G917" s="56">
        <f>IF($B917=0,"",IF(Inputs!$B$10="","",IF($AH917=0,G916,SUMIFS(Data!$R$10:$R$3209,Data!$Q$10:$Q$3209,"&gt;="&amp;$A917,Data!$Q$10:$Q$3209,"&lt;"&amp;$A917+1)/$AH917)))</f>
        <v/>
      </c>
      <c r="I917" s="54">
        <f>IF($B917=0,NA(),IF($C917="",NA(),IF(C$8="",NA(),IF(N(C$8)=0,NA(),IF(Inputs!$C$17="Rebased to 100",$C917/C$8*100,$C917)))))</f>
        <v/>
      </c>
      <c r="J917" s="54">
        <f>IF($B917=0,NA(),IF($D917="",NA(),IF(D$8="",NA(),IF(N(D$8)=0,NA(),IF(Inputs!$C$17="Rebased to 100",$D917/D$8*100,$D917)))))</f>
        <v/>
      </c>
      <c r="K917" s="54">
        <f>IF($B917=0,NA(),IF($E917="",NA(),IF(E$8="",NA(),IF(N(E$8)=0,NA(),IF(Inputs!$C$17="Rebased to 100",$E917/E$8*100,$E917)))))</f>
        <v/>
      </c>
      <c r="L917" s="54">
        <f>IF($B917=0,NA(),IF($F917="",NA(),IF(F$8="",NA(),IF(N(F$8)=0,NA(),IF(Inputs!$C$17="Rebased to 100",$F917/F$8*100,$F917)))))</f>
        <v/>
      </c>
      <c r="M917" s="54">
        <f>IF($B917=0,NA(),IF($G917="",NA(),IF(G$8="",NA(),IF(N(G$8)=0,NA(),IF(Inputs!$C$17="Rebased to 100",$G917/G$8*100,$G917)))))</f>
        <v/>
      </c>
      <c r="N917" s="54">
        <f>IF($B917=0,NA(),IF(Inputs!$C$18&lt;&gt;"Yes",NA(),IF(COUNT(I917,J917,K917,L917,M917)=0,NA(),MIN(I917,J917,K917,L917,M917))))</f>
        <v/>
      </c>
      <c r="O917" s="54">
        <f>IF($B917=0,NA(),IF(Inputs!$B$24&lt;&gt;"Yes",NA(),Inputs!$D$24*Inputs!$C$35))</f>
        <v/>
      </c>
      <c r="P917" s="54">
        <f>IF($B917=0,NA(),IF(Inputs!$B$25&lt;&gt;"Yes",NA(),Inputs!$D$25*Inputs!$C$35))</f>
        <v/>
      </c>
      <c r="Q917" s="54">
        <f>IF($B917=0,NA(),IF(Inputs!$B$26&lt;&gt;"Yes",NA(),Inputs!$D$26*Inputs!$C$35))</f>
        <v/>
      </c>
      <c r="R917" s="54">
        <f>IF($B917=0,NA(),IF(Inputs!$B$27&lt;&gt;"Yes",NA(),Inputs!$D$27*Inputs!$C$35))</f>
        <v/>
      </c>
      <c r="S917" s="54">
        <f>IF($B917=0,NA(),IF(Inputs!$B$28&lt;&gt;"Yes",NA(),Inputs!$D$28*Inputs!$C$35))</f>
        <v/>
      </c>
      <c r="T917" s="54">
        <f>IF($B917=0,NA(),IF(Inputs!$B$29&lt;&gt;"Yes",NA(),Inputs!$D$29*Inputs!$C$35))</f>
        <v/>
      </c>
      <c r="AD917">
        <f>IF($B917=0,0,IF(Inputs!$B$6="",0,COUNTIFS(Data!$A$10:$A$3209,"&gt;="&amp;$A917,Data!$A$10:$A$3209,"&lt;"&amp;$A917+1)))</f>
        <v/>
      </c>
      <c r="AE917">
        <f>IF($B917=0,0,IF(Inputs!$B$7="",0,COUNTIFS(Data!$E$10:$E$3209,"&gt;="&amp;$A917,Data!$E$10:$E$3209,"&lt;"&amp;$A917+1)))</f>
        <v/>
      </c>
      <c r="AF917">
        <f>IF($B917=0,0,IF(Inputs!$B$8="",0,COUNTIFS(Data!$I$10:$I$3209,"&gt;="&amp;$A917,Data!$I$10:$I$3209,"&lt;"&amp;$A917+1)))</f>
        <v/>
      </c>
      <c r="AG917">
        <f>IF($B917=0,0,IF(Inputs!$B$9="",0,COUNTIFS(Data!$M$10:$M$3209,"&gt;="&amp;$A917,Data!$M$10:$M$3209,"&lt;"&amp;$A917+1)))</f>
        <v/>
      </c>
      <c r="AH917">
        <f>IF($B917=0,0,IF(Inputs!$B$10="",0,COUNTIFS(Data!$Q$10:$Q$3209,"&gt;="&amp;$A917,Data!$Q$10:$Q$3209,"&lt;"&amp;$A917+1)))</f>
        <v/>
      </c>
    </row>
    <row r="918">
      <c r="A918" s="55">
        <f>MIN(Inputs!$C$15,$A917+IF(WEEKDAY($A917,2)=5,3,1))</f>
        <v/>
      </c>
      <c r="B918">
        <f>IF($A918&gt;$A917,1,0)</f>
        <v/>
      </c>
      <c r="C918" s="56">
        <f>IF($B918=0,"",IF(Inputs!$B$6="","",IF($AD918=0,C917,SUMIFS(Data!$B$10:$B$3209,Data!$A$10:$A$3209,"&gt;="&amp;$A918,Data!$A$10:$A$3209,"&lt;"&amp;$A918+1)/$AD918)))</f>
        <v/>
      </c>
      <c r="D918" s="56">
        <f>IF($B918=0,"",IF(Inputs!$B$7="","",IF($AE918=0,D917,SUMIFS(Data!$F$10:$F$3209,Data!$E$10:$E$3209,"&gt;="&amp;$A918,Data!$E$10:$E$3209,"&lt;"&amp;$A918+1)/$AE918)))</f>
        <v/>
      </c>
      <c r="E918" s="56">
        <f>IF($B918=0,"",IF(Inputs!$B$8="","",IF($AF918=0,E917,SUMIFS(Data!$J$10:$J$3209,Data!$I$10:$I$3209,"&gt;="&amp;$A918,Data!$I$10:$I$3209,"&lt;"&amp;$A918+1)/$AF918)))</f>
        <v/>
      </c>
      <c r="F918" s="56">
        <f>IF($B918=0,"",IF(Inputs!$B$9="","",IF($AG918=0,F917,SUMIFS(Data!$N$10:$N$3209,Data!$M$10:$M$3209,"&gt;="&amp;$A918,Data!$M$10:$M$3209,"&lt;"&amp;$A918+1)/$AG918)))</f>
        <v/>
      </c>
      <c r="G918" s="56">
        <f>IF($B918=0,"",IF(Inputs!$B$10="","",IF($AH918=0,G917,SUMIFS(Data!$R$10:$R$3209,Data!$Q$10:$Q$3209,"&gt;="&amp;$A918,Data!$Q$10:$Q$3209,"&lt;"&amp;$A918+1)/$AH918)))</f>
        <v/>
      </c>
      <c r="I918" s="54">
        <f>IF($B918=0,NA(),IF($C918="",NA(),IF(C$8="",NA(),IF(N(C$8)=0,NA(),IF(Inputs!$C$17="Rebased to 100",$C918/C$8*100,$C918)))))</f>
        <v/>
      </c>
      <c r="J918" s="54">
        <f>IF($B918=0,NA(),IF($D918="",NA(),IF(D$8="",NA(),IF(N(D$8)=0,NA(),IF(Inputs!$C$17="Rebased to 100",$D918/D$8*100,$D918)))))</f>
        <v/>
      </c>
      <c r="K918" s="54">
        <f>IF($B918=0,NA(),IF($E918="",NA(),IF(E$8="",NA(),IF(N(E$8)=0,NA(),IF(Inputs!$C$17="Rebased to 100",$E918/E$8*100,$E918)))))</f>
        <v/>
      </c>
      <c r="L918" s="54">
        <f>IF($B918=0,NA(),IF($F918="",NA(),IF(F$8="",NA(),IF(N(F$8)=0,NA(),IF(Inputs!$C$17="Rebased to 100",$F918/F$8*100,$F918)))))</f>
        <v/>
      </c>
      <c r="M918" s="54">
        <f>IF($B918=0,NA(),IF($G918="",NA(),IF(G$8="",NA(),IF(N(G$8)=0,NA(),IF(Inputs!$C$17="Rebased to 100",$G918/G$8*100,$G918)))))</f>
        <v/>
      </c>
      <c r="N918" s="54">
        <f>IF($B918=0,NA(),IF(Inputs!$C$18&lt;&gt;"Yes",NA(),IF(COUNT(I918,J918,K918,L918,M918)=0,NA(),MIN(I918,J918,K918,L918,M918))))</f>
        <v/>
      </c>
      <c r="O918" s="54">
        <f>IF($B918=0,NA(),IF(Inputs!$B$24&lt;&gt;"Yes",NA(),Inputs!$D$24*Inputs!$C$35))</f>
        <v/>
      </c>
      <c r="P918" s="54">
        <f>IF($B918=0,NA(),IF(Inputs!$B$25&lt;&gt;"Yes",NA(),Inputs!$D$25*Inputs!$C$35))</f>
        <v/>
      </c>
      <c r="Q918" s="54">
        <f>IF($B918=0,NA(),IF(Inputs!$B$26&lt;&gt;"Yes",NA(),Inputs!$D$26*Inputs!$C$35))</f>
        <v/>
      </c>
      <c r="R918" s="54">
        <f>IF($B918=0,NA(),IF(Inputs!$B$27&lt;&gt;"Yes",NA(),Inputs!$D$27*Inputs!$C$35))</f>
        <v/>
      </c>
      <c r="S918" s="54">
        <f>IF($B918=0,NA(),IF(Inputs!$B$28&lt;&gt;"Yes",NA(),Inputs!$D$28*Inputs!$C$35))</f>
        <v/>
      </c>
      <c r="T918" s="54">
        <f>IF($B918=0,NA(),IF(Inputs!$B$29&lt;&gt;"Yes",NA(),Inputs!$D$29*Inputs!$C$35))</f>
        <v/>
      </c>
      <c r="AD918">
        <f>IF($B918=0,0,IF(Inputs!$B$6="",0,COUNTIFS(Data!$A$10:$A$3209,"&gt;="&amp;$A918,Data!$A$10:$A$3209,"&lt;"&amp;$A918+1)))</f>
        <v/>
      </c>
      <c r="AE918">
        <f>IF($B918=0,0,IF(Inputs!$B$7="",0,COUNTIFS(Data!$E$10:$E$3209,"&gt;="&amp;$A918,Data!$E$10:$E$3209,"&lt;"&amp;$A918+1)))</f>
        <v/>
      </c>
      <c r="AF918">
        <f>IF($B918=0,0,IF(Inputs!$B$8="",0,COUNTIFS(Data!$I$10:$I$3209,"&gt;="&amp;$A918,Data!$I$10:$I$3209,"&lt;"&amp;$A918+1)))</f>
        <v/>
      </c>
      <c r="AG918">
        <f>IF($B918=0,0,IF(Inputs!$B$9="",0,COUNTIFS(Data!$M$10:$M$3209,"&gt;="&amp;$A918,Data!$M$10:$M$3209,"&lt;"&amp;$A918+1)))</f>
        <v/>
      </c>
      <c r="AH918">
        <f>IF($B918=0,0,IF(Inputs!$B$10="",0,COUNTIFS(Data!$Q$10:$Q$3209,"&gt;="&amp;$A918,Data!$Q$10:$Q$3209,"&lt;"&amp;$A918+1)))</f>
        <v/>
      </c>
    </row>
    <row r="919">
      <c r="A919" s="55">
        <f>MIN(Inputs!$C$15,$A918+IF(WEEKDAY($A918,2)=5,3,1))</f>
        <v/>
      </c>
      <c r="B919">
        <f>IF($A919&gt;$A918,1,0)</f>
        <v/>
      </c>
      <c r="C919" s="56">
        <f>IF($B919=0,"",IF(Inputs!$B$6="","",IF($AD919=0,C918,SUMIFS(Data!$B$10:$B$3209,Data!$A$10:$A$3209,"&gt;="&amp;$A919,Data!$A$10:$A$3209,"&lt;"&amp;$A919+1)/$AD919)))</f>
        <v/>
      </c>
      <c r="D919" s="56">
        <f>IF($B919=0,"",IF(Inputs!$B$7="","",IF($AE919=0,D918,SUMIFS(Data!$F$10:$F$3209,Data!$E$10:$E$3209,"&gt;="&amp;$A919,Data!$E$10:$E$3209,"&lt;"&amp;$A919+1)/$AE919)))</f>
        <v/>
      </c>
      <c r="E919" s="56">
        <f>IF($B919=0,"",IF(Inputs!$B$8="","",IF($AF919=0,E918,SUMIFS(Data!$J$10:$J$3209,Data!$I$10:$I$3209,"&gt;="&amp;$A919,Data!$I$10:$I$3209,"&lt;"&amp;$A919+1)/$AF919)))</f>
        <v/>
      </c>
      <c r="F919" s="56">
        <f>IF($B919=0,"",IF(Inputs!$B$9="","",IF($AG919=0,F918,SUMIFS(Data!$N$10:$N$3209,Data!$M$10:$M$3209,"&gt;="&amp;$A919,Data!$M$10:$M$3209,"&lt;"&amp;$A919+1)/$AG919)))</f>
        <v/>
      </c>
      <c r="G919" s="56">
        <f>IF($B919=0,"",IF(Inputs!$B$10="","",IF($AH919=0,G918,SUMIFS(Data!$R$10:$R$3209,Data!$Q$10:$Q$3209,"&gt;="&amp;$A919,Data!$Q$10:$Q$3209,"&lt;"&amp;$A919+1)/$AH919)))</f>
        <v/>
      </c>
      <c r="I919" s="54">
        <f>IF($B919=0,NA(),IF($C919="",NA(),IF(C$8="",NA(),IF(N(C$8)=0,NA(),IF(Inputs!$C$17="Rebased to 100",$C919/C$8*100,$C919)))))</f>
        <v/>
      </c>
      <c r="J919" s="54">
        <f>IF($B919=0,NA(),IF($D919="",NA(),IF(D$8="",NA(),IF(N(D$8)=0,NA(),IF(Inputs!$C$17="Rebased to 100",$D919/D$8*100,$D919)))))</f>
        <v/>
      </c>
      <c r="K919" s="54">
        <f>IF($B919=0,NA(),IF($E919="",NA(),IF(E$8="",NA(),IF(N(E$8)=0,NA(),IF(Inputs!$C$17="Rebased to 100",$E919/E$8*100,$E919)))))</f>
        <v/>
      </c>
      <c r="L919" s="54">
        <f>IF($B919=0,NA(),IF($F919="",NA(),IF(F$8="",NA(),IF(N(F$8)=0,NA(),IF(Inputs!$C$17="Rebased to 100",$F919/F$8*100,$F919)))))</f>
        <v/>
      </c>
      <c r="M919" s="54">
        <f>IF($B919=0,NA(),IF($G919="",NA(),IF(G$8="",NA(),IF(N(G$8)=0,NA(),IF(Inputs!$C$17="Rebased to 100",$G919/G$8*100,$G919)))))</f>
        <v/>
      </c>
      <c r="N919" s="54">
        <f>IF($B919=0,NA(),IF(Inputs!$C$18&lt;&gt;"Yes",NA(),IF(COUNT(I919,J919,K919,L919,M919)=0,NA(),MIN(I919,J919,K919,L919,M919))))</f>
        <v/>
      </c>
      <c r="O919" s="54">
        <f>IF($B919=0,NA(),IF(Inputs!$B$24&lt;&gt;"Yes",NA(),Inputs!$D$24*Inputs!$C$35))</f>
        <v/>
      </c>
      <c r="P919" s="54">
        <f>IF($B919=0,NA(),IF(Inputs!$B$25&lt;&gt;"Yes",NA(),Inputs!$D$25*Inputs!$C$35))</f>
        <v/>
      </c>
      <c r="Q919" s="54">
        <f>IF($B919=0,NA(),IF(Inputs!$B$26&lt;&gt;"Yes",NA(),Inputs!$D$26*Inputs!$C$35))</f>
        <v/>
      </c>
      <c r="R919" s="54">
        <f>IF($B919=0,NA(),IF(Inputs!$B$27&lt;&gt;"Yes",NA(),Inputs!$D$27*Inputs!$C$35))</f>
        <v/>
      </c>
      <c r="S919" s="54">
        <f>IF($B919=0,NA(),IF(Inputs!$B$28&lt;&gt;"Yes",NA(),Inputs!$D$28*Inputs!$C$35))</f>
        <v/>
      </c>
      <c r="T919" s="54">
        <f>IF($B919=0,NA(),IF(Inputs!$B$29&lt;&gt;"Yes",NA(),Inputs!$D$29*Inputs!$C$35))</f>
        <v/>
      </c>
      <c r="AD919">
        <f>IF($B919=0,0,IF(Inputs!$B$6="",0,COUNTIFS(Data!$A$10:$A$3209,"&gt;="&amp;$A919,Data!$A$10:$A$3209,"&lt;"&amp;$A919+1)))</f>
        <v/>
      </c>
      <c r="AE919">
        <f>IF($B919=0,0,IF(Inputs!$B$7="",0,COUNTIFS(Data!$E$10:$E$3209,"&gt;="&amp;$A919,Data!$E$10:$E$3209,"&lt;"&amp;$A919+1)))</f>
        <v/>
      </c>
      <c r="AF919">
        <f>IF($B919=0,0,IF(Inputs!$B$8="",0,COUNTIFS(Data!$I$10:$I$3209,"&gt;="&amp;$A919,Data!$I$10:$I$3209,"&lt;"&amp;$A919+1)))</f>
        <v/>
      </c>
      <c r="AG919">
        <f>IF($B919=0,0,IF(Inputs!$B$9="",0,COUNTIFS(Data!$M$10:$M$3209,"&gt;="&amp;$A919,Data!$M$10:$M$3209,"&lt;"&amp;$A919+1)))</f>
        <v/>
      </c>
      <c r="AH919">
        <f>IF($B919=0,0,IF(Inputs!$B$10="",0,COUNTIFS(Data!$Q$10:$Q$3209,"&gt;="&amp;$A919,Data!$Q$10:$Q$3209,"&lt;"&amp;$A919+1)))</f>
        <v/>
      </c>
    </row>
    <row r="920">
      <c r="A920" s="55">
        <f>MIN(Inputs!$C$15,$A919+IF(WEEKDAY($A919,2)=5,3,1))</f>
        <v/>
      </c>
      <c r="B920">
        <f>IF($A920&gt;$A919,1,0)</f>
        <v/>
      </c>
      <c r="C920" s="56">
        <f>IF($B920=0,"",IF(Inputs!$B$6="","",IF($AD920=0,C919,SUMIFS(Data!$B$10:$B$3209,Data!$A$10:$A$3209,"&gt;="&amp;$A920,Data!$A$10:$A$3209,"&lt;"&amp;$A920+1)/$AD920)))</f>
        <v/>
      </c>
      <c r="D920" s="56">
        <f>IF($B920=0,"",IF(Inputs!$B$7="","",IF($AE920=0,D919,SUMIFS(Data!$F$10:$F$3209,Data!$E$10:$E$3209,"&gt;="&amp;$A920,Data!$E$10:$E$3209,"&lt;"&amp;$A920+1)/$AE920)))</f>
        <v/>
      </c>
      <c r="E920" s="56">
        <f>IF($B920=0,"",IF(Inputs!$B$8="","",IF($AF920=0,E919,SUMIFS(Data!$J$10:$J$3209,Data!$I$10:$I$3209,"&gt;="&amp;$A920,Data!$I$10:$I$3209,"&lt;"&amp;$A920+1)/$AF920)))</f>
        <v/>
      </c>
      <c r="F920" s="56">
        <f>IF($B920=0,"",IF(Inputs!$B$9="","",IF($AG920=0,F919,SUMIFS(Data!$N$10:$N$3209,Data!$M$10:$M$3209,"&gt;="&amp;$A920,Data!$M$10:$M$3209,"&lt;"&amp;$A920+1)/$AG920)))</f>
        <v/>
      </c>
      <c r="G920" s="56">
        <f>IF($B920=0,"",IF(Inputs!$B$10="","",IF($AH920=0,G919,SUMIFS(Data!$R$10:$R$3209,Data!$Q$10:$Q$3209,"&gt;="&amp;$A920,Data!$Q$10:$Q$3209,"&lt;"&amp;$A920+1)/$AH920)))</f>
        <v/>
      </c>
      <c r="I920" s="54">
        <f>IF($B920=0,NA(),IF($C920="",NA(),IF(C$8="",NA(),IF(N(C$8)=0,NA(),IF(Inputs!$C$17="Rebased to 100",$C920/C$8*100,$C920)))))</f>
        <v/>
      </c>
      <c r="J920" s="54">
        <f>IF($B920=0,NA(),IF($D920="",NA(),IF(D$8="",NA(),IF(N(D$8)=0,NA(),IF(Inputs!$C$17="Rebased to 100",$D920/D$8*100,$D920)))))</f>
        <v/>
      </c>
      <c r="K920" s="54">
        <f>IF($B920=0,NA(),IF($E920="",NA(),IF(E$8="",NA(),IF(N(E$8)=0,NA(),IF(Inputs!$C$17="Rebased to 100",$E920/E$8*100,$E920)))))</f>
        <v/>
      </c>
      <c r="L920" s="54">
        <f>IF($B920=0,NA(),IF($F920="",NA(),IF(F$8="",NA(),IF(N(F$8)=0,NA(),IF(Inputs!$C$17="Rebased to 100",$F920/F$8*100,$F920)))))</f>
        <v/>
      </c>
      <c r="M920" s="54">
        <f>IF($B920=0,NA(),IF($G920="",NA(),IF(G$8="",NA(),IF(N(G$8)=0,NA(),IF(Inputs!$C$17="Rebased to 100",$G920/G$8*100,$G920)))))</f>
        <v/>
      </c>
      <c r="N920" s="54">
        <f>IF($B920=0,NA(),IF(Inputs!$C$18&lt;&gt;"Yes",NA(),IF(COUNT(I920,J920,K920,L920,M920)=0,NA(),MIN(I920,J920,K920,L920,M920))))</f>
        <v/>
      </c>
      <c r="O920" s="54">
        <f>IF($B920=0,NA(),IF(Inputs!$B$24&lt;&gt;"Yes",NA(),Inputs!$D$24*Inputs!$C$35))</f>
        <v/>
      </c>
      <c r="P920" s="54">
        <f>IF($B920=0,NA(),IF(Inputs!$B$25&lt;&gt;"Yes",NA(),Inputs!$D$25*Inputs!$C$35))</f>
        <v/>
      </c>
      <c r="Q920" s="54">
        <f>IF($B920=0,NA(),IF(Inputs!$B$26&lt;&gt;"Yes",NA(),Inputs!$D$26*Inputs!$C$35))</f>
        <v/>
      </c>
      <c r="R920" s="54">
        <f>IF($B920=0,NA(),IF(Inputs!$B$27&lt;&gt;"Yes",NA(),Inputs!$D$27*Inputs!$C$35))</f>
        <v/>
      </c>
      <c r="S920" s="54">
        <f>IF($B920=0,NA(),IF(Inputs!$B$28&lt;&gt;"Yes",NA(),Inputs!$D$28*Inputs!$C$35))</f>
        <v/>
      </c>
      <c r="T920" s="54">
        <f>IF($B920=0,NA(),IF(Inputs!$B$29&lt;&gt;"Yes",NA(),Inputs!$D$29*Inputs!$C$35))</f>
        <v/>
      </c>
      <c r="AD920">
        <f>IF($B920=0,0,IF(Inputs!$B$6="",0,COUNTIFS(Data!$A$10:$A$3209,"&gt;="&amp;$A920,Data!$A$10:$A$3209,"&lt;"&amp;$A920+1)))</f>
        <v/>
      </c>
      <c r="AE920">
        <f>IF($B920=0,0,IF(Inputs!$B$7="",0,COUNTIFS(Data!$E$10:$E$3209,"&gt;="&amp;$A920,Data!$E$10:$E$3209,"&lt;"&amp;$A920+1)))</f>
        <v/>
      </c>
      <c r="AF920">
        <f>IF($B920=0,0,IF(Inputs!$B$8="",0,COUNTIFS(Data!$I$10:$I$3209,"&gt;="&amp;$A920,Data!$I$10:$I$3209,"&lt;"&amp;$A920+1)))</f>
        <v/>
      </c>
      <c r="AG920">
        <f>IF($B920=0,0,IF(Inputs!$B$9="",0,COUNTIFS(Data!$M$10:$M$3209,"&gt;="&amp;$A920,Data!$M$10:$M$3209,"&lt;"&amp;$A920+1)))</f>
        <v/>
      </c>
      <c r="AH920">
        <f>IF($B920=0,0,IF(Inputs!$B$10="",0,COUNTIFS(Data!$Q$10:$Q$3209,"&gt;="&amp;$A920,Data!$Q$10:$Q$3209,"&lt;"&amp;$A920+1)))</f>
        <v/>
      </c>
    </row>
    <row r="921">
      <c r="A921" s="55">
        <f>MIN(Inputs!$C$15,$A920+IF(WEEKDAY($A920,2)=5,3,1))</f>
        <v/>
      </c>
      <c r="B921">
        <f>IF($A921&gt;$A920,1,0)</f>
        <v/>
      </c>
      <c r="C921" s="56">
        <f>IF($B921=0,"",IF(Inputs!$B$6="","",IF($AD921=0,C920,SUMIFS(Data!$B$10:$B$3209,Data!$A$10:$A$3209,"&gt;="&amp;$A921,Data!$A$10:$A$3209,"&lt;"&amp;$A921+1)/$AD921)))</f>
        <v/>
      </c>
      <c r="D921" s="56">
        <f>IF($B921=0,"",IF(Inputs!$B$7="","",IF($AE921=0,D920,SUMIFS(Data!$F$10:$F$3209,Data!$E$10:$E$3209,"&gt;="&amp;$A921,Data!$E$10:$E$3209,"&lt;"&amp;$A921+1)/$AE921)))</f>
        <v/>
      </c>
      <c r="E921" s="56">
        <f>IF($B921=0,"",IF(Inputs!$B$8="","",IF($AF921=0,E920,SUMIFS(Data!$J$10:$J$3209,Data!$I$10:$I$3209,"&gt;="&amp;$A921,Data!$I$10:$I$3209,"&lt;"&amp;$A921+1)/$AF921)))</f>
        <v/>
      </c>
      <c r="F921" s="56">
        <f>IF($B921=0,"",IF(Inputs!$B$9="","",IF($AG921=0,F920,SUMIFS(Data!$N$10:$N$3209,Data!$M$10:$M$3209,"&gt;="&amp;$A921,Data!$M$10:$M$3209,"&lt;"&amp;$A921+1)/$AG921)))</f>
        <v/>
      </c>
      <c r="G921" s="56">
        <f>IF($B921=0,"",IF(Inputs!$B$10="","",IF($AH921=0,G920,SUMIFS(Data!$R$10:$R$3209,Data!$Q$10:$Q$3209,"&gt;="&amp;$A921,Data!$Q$10:$Q$3209,"&lt;"&amp;$A921+1)/$AH921)))</f>
        <v/>
      </c>
      <c r="I921" s="54">
        <f>IF($B921=0,NA(),IF($C921="",NA(),IF(C$8="",NA(),IF(N(C$8)=0,NA(),IF(Inputs!$C$17="Rebased to 100",$C921/C$8*100,$C921)))))</f>
        <v/>
      </c>
      <c r="J921" s="54">
        <f>IF($B921=0,NA(),IF($D921="",NA(),IF(D$8="",NA(),IF(N(D$8)=0,NA(),IF(Inputs!$C$17="Rebased to 100",$D921/D$8*100,$D921)))))</f>
        <v/>
      </c>
      <c r="K921" s="54">
        <f>IF($B921=0,NA(),IF($E921="",NA(),IF(E$8="",NA(),IF(N(E$8)=0,NA(),IF(Inputs!$C$17="Rebased to 100",$E921/E$8*100,$E921)))))</f>
        <v/>
      </c>
      <c r="L921" s="54">
        <f>IF($B921=0,NA(),IF($F921="",NA(),IF(F$8="",NA(),IF(N(F$8)=0,NA(),IF(Inputs!$C$17="Rebased to 100",$F921/F$8*100,$F921)))))</f>
        <v/>
      </c>
      <c r="M921" s="54">
        <f>IF($B921=0,NA(),IF($G921="",NA(),IF(G$8="",NA(),IF(N(G$8)=0,NA(),IF(Inputs!$C$17="Rebased to 100",$G921/G$8*100,$G921)))))</f>
        <v/>
      </c>
      <c r="N921" s="54">
        <f>IF($B921=0,NA(),IF(Inputs!$C$18&lt;&gt;"Yes",NA(),IF(COUNT(I921,J921,K921,L921,M921)=0,NA(),MIN(I921,J921,K921,L921,M921))))</f>
        <v/>
      </c>
      <c r="O921" s="54">
        <f>IF($B921=0,NA(),IF(Inputs!$B$24&lt;&gt;"Yes",NA(),Inputs!$D$24*Inputs!$C$35))</f>
        <v/>
      </c>
      <c r="P921" s="54">
        <f>IF($B921=0,NA(),IF(Inputs!$B$25&lt;&gt;"Yes",NA(),Inputs!$D$25*Inputs!$C$35))</f>
        <v/>
      </c>
      <c r="Q921" s="54">
        <f>IF($B921=0,NA(),IF(Inputs!$B$26&lt;&gt;"Yes",NA(),Inputs!$D$26*Inputs!$C$35))</f>
        <v/>
      </c>
      <c r="R921" s="54">
        <f>IF($B921=0,NA(),IF(Inputs!$B$27&lt;&gt;"Yes",NA(),Inputs!$D$27*Inputs!$C$35))</f>
        <v/>
      </c>
      <c r="S921" s="54">
        <f>IF($B921=0,NA(),IF(Inputs!$B$28&lt;&gt;"Yes",NA(),Inputs!$D$28*Inputs!$C$35))</f>
        <v/>
      </c>
      <c r="T921" s="54">
        <f>IF($B921=0,NA(),IF(Inputs!$B$29&lt;&gt;"Yes",NA(),Inputs!$D$29*Inputs!$C$35))</f>
        <v/>
      </c>
      <c r="AD921">
        <f>IF($B921=0,0,IF(Inputs!$B$6="",0,COUNTIFS(Data!$A$10:$A$3209,"&gt;="&amp;$A921,Data!$A$10:$A$3209,"&lt;"&amp;$A921+1)))</f>
        <v/>
      </c>
      <c r="AE921">
        <f>IF($B921=0,0,IF(Inputs!$B$7="",0,COUNTIFS(Data!$E$10:$E$3209,"&gt;="&amp;$A921,Data!$E$10:$E$3209,"&lt;"&amp;$A921+1)))</f>
        <v/>
      </c>
      <c r="AF921">
        <f>IF($B921=0,0,IF(Inputs!$B$8="",0,COUNTIFS(Data!$I$10:$I$3209,"&gt;="&amp;$A921,Data!$I$10:$I$3209,"&lt;"&amp;$A921+1)))</f>
        <v/>
      </c>
      <c r="AG921">
        <f>IF($B921=0,0,IF(Inputs!$B$9="",0,COUNTIFS(Data!$M$10:$M$3209,"&gt;="&amp;$A921,Data!$M$10:$M$3209,"&lt;"&amp;$A921+1)))</f>
        <v/>
      </c>
      <c r="AH921">
        <f>IF($B921=0,0,IF(Inputs!$B$10="",0,COUNTIFS(Data!$Q$10:$Q$3209,"&gt;="&amp;$A921,Data!$Q$10:$Q$3209,"&lt;"&amp;$A921+1)))</f>
        <v/>
      </c>
    </row>
    <row r="922">
      <c r="A922" s="55">
        <f>MIN(Inputs!$C$15,$A921+IF(WEEKDAY($A921,2)=5,3,1))</f>
        <v/>
      </c>
      <c r="B922">
        <f>IF($A922&gt;$A921,1,0)</f>
        <v/>
      </c>
      <c r="C922" s="56">
        <f>IF($B922=0,"",IF(Inputs!$B$6="","",IF($AD922=0,C921,SUMIFS(Data!$B$10:$B$3209,Data!$A$10:$A$3209,"&gt;="&amp;$A922,Data!$A$10:$A$3209,"&lt;"&amp;$A922+1)/$AD922)))</f>
        <v/>
      </c>
      <c r="D922" s="56">
        <f>IF($B922=0,"",IF(Inputs!$B$7="","",IF($AE922=0,D921,SUMIFS(Data!$F$10:$F$3209,Data!$E$10:$E$3209,"&gt;="&amp;$A922,Data!$E$10:$E$3209,"&lt;"&amp;$A922+1)/$AE922)))</f>
        <v/>
      </c>
      <c r="E922" s="56">
        <f>IF($B922=0,"",IF(Inputs!$B$8="","",IF($AF922=0,E921,SUMIFS(Data!$J$10:$J$3209,Data!$I$10:$I$3209,"&gt;="&amp;$A922,Data!$I$10:$I$3209,"&lt;"&amp;$A922+1)/$AF922)))</f>
        <v/>
      </c>
      <c r="F922" s="56">
        <f>IF($B922=0,"",IF(Inputs!$B$9="","",IF($AG922=0,F921,SUMIFS(Data!$N$10:$N$3209,Data!$M$10:$M$3209,"&gt;="&amp;$A922,Data!$M$10:$M$3209,"&lt;"&amp;$A922+1)/$AG922)))</f>
        <v/>
      </c>
      <c r="G922" s="56">
        <f>IF($B922=0,"",IF(Inputs!$B$10="","",IF($AH922=0,G921,SUMIFS(Data!$R$10:$R$3209,Data!$Q$10:$Q$3209,"&gt;="&amp;$A922,Data!$Q$10:$Q$3209,"&lt;"&amp;$A922+1)/$AH922)))</f>
        <v/>
      </c>
      <c r="I922" s="54">
        <f>IF($B922=0,NA(),IF($C922="",NA(),IF(C$8="",NA(),IF(N(C$8)=0,NA(),IF(Inputs!$C$17="Rebased to 100",$C922/C$8*100,$C922)))))</f>
        <v/>
      </c>
      <c r="J922" s="54">
        <f>IF($B922=0,NA(),IF($D922="",NA(),IF(D$8="",NA(),IF(N(D$8)=0,NA(),IF(Inputs!$C$17="Rebased to 100",$D922/D$8*100,$D922)))))</f>
        <v/>
      </c>
      <c r="K922" s="54">
        <f>IF($B922=0,NA(),IF($E922="",NA(),IF(E$8="",NA(),IF(N(E$8)=0,NA(),IF(Inputs!$C$17="Rebased to 100",$E922/E$8*100,$E922)))))</f>
        <v/>
      </c>
      <c r="L922" s="54">
        <f>IF($B922=0,NA(),IF($F922="",NA(),IF(F$8="",NA(),IF(N(F$8)=0,NA(),IF(Inputs!$C$17="Rebased to 100",$F922/F$8*100,$F922)))))</f>
        <v/>
      </c>
      <c r="M922" s="54">
        <f>IF($B922=0,NA(),IF($G922="",NA(),IF(G$8="",NA(),IF(N(G$8)=0,NA(),IF(Inputs!$C$17="Rebased to 100",$G922/G$8*100,$G922)))))</f>
        <v/>
      </c>
      <c r="N922" s="54">
        <f>IF($B922=0,NA(),IF(Inputs!$C$18&lt;&gt;"Yes",NA(),IF(COUNT(I922,J922,K922,L922,M922)=0,NA(),MIN(I922,J922,K922,L922,M922))))</f>
        <v/>
      </c>
      <c r="O922" s="54">
        <f>IF($B922=0,NA(),IF(Inputs!$B$24&lt;&gt;"Yes",NA(),Inputs!$D$24*Inputs!$C$35))</f>
        <v/>
      </c>
      <c r="P922" s="54">
        <f>IF($B922=0,NA(),IF(Inputs!$B$25&lt;&gt;"Yes",NA(),Inputs!$D$25*Inputs!$C$35))</f>
        <v/>
      </c>
      <c r="Q922" s="54">
        <f>IF($B922=0,NA(),IF(Inputs!$B$26&lt;&gt;"Yes",NA(),Inputs!$D$26*Inputs!$C$35))</f>
        <v/>
      </c>
      <c r="R922" s="54">
        <f>IF($B922=0,NA(),IF(Inputs!$B$27&lt;&gt;"Yes",NA(),Inputs!$D$27*Inputs!$C$35))</f>
        <v/>
      </c>
      <c r="S922" s="54">
        <f>IF($B922=0,NA(),IF(Inputs!$B$28&lt;&gt;"Yes",NA(),Inputs!$D$28*Inputs!$C$35))</f>
        <v/>
      </c>
      <c r="T922" s="54">
        <f>IF($B922=0,NA(),IF(Inputs!$B$29&lt;&gt;"Yes",NA(),Inputs!$D$29*Inputs!$C$35))</f>
        <v/>
      </c>
      <c r="AD922">
        <f>IF($B922=0,0,IF(Inputs!$B$6="",0,COUNTIFS(Data!$A$10:$A$3209,"&gt;="&amp;$A922,Data!$A$10:$A$3209,"&lt;"&amp;$A922+1)))</f>
        <v/>
      </c>
      <c r="AE922">
        <f>IF($B922=0,0,IF(Inputs!$B$7="",0,COUNTIFS(Data!$E$10:$E$3209,"&gt;="&amp;$A922,Data!$E$10:$E$3209,"&lt;"&amp;$A922+1)))</f>
        <v/>
      </c>
      <c r="AF922">
        <f>IF($B922=0,0,IF(Inputs!$B$8="",0,COUNTIFS(Data!$I$10:$I$3209,"&gt;="&amp;$A922,Data!$I$10:$I$3209,"&lt;"&amp;$A922+1)))</f>
        <v/>
      </c>
      <c r="AG922">
        <f>IF($B922=0,0,IF(Inputs!$B$9="",0,COUNTIFS(Data!$M$10:$M$3209,"&gt;="&amp;$A922,Data!$M$10:$M$3209,"&lt;"&amp;$A922+1)))</f>
        <v/>
      </c>
      <c r="AH922">
        <f>IF($B922=0,0,IF(Inputs!$B$10="",0,COUNTIFS(Data!$Q$10:$Q$3209,"&gt;="&amp;$A922,Data!$Q$10:$Q$3209,"&lt;"&amp;$A922+1)))</f>
        <v/>
      </c>
    </row>
    <row r="923">
      <c r="A923" s="55">
        <f>MIN(Inputs!$C$15,$A922+IF(WEEKDAY($A922,2)=5,3,1))</f>
        <v/>
      </c>
      <c r="B923">
        <f>IF($A923&gt;$A922,1,0)</f>
        <v/>
      </c>
      <c r="C923" s="56">
        <f>IF($B923=0,"",IF(Inputs!$B$6="","",IF($AD923=0,C922,SUMIFS(Data!$B$10:$B$3209,Data!$A$10:$A$3209,"&gt;="&amp;$A923,Data!$A$10:$A$3209,"&lt;"&amp;$A923+1)/$AD923)))</f>
        <v/>
      </c>
      <c r="D923" s="56">
        <f>IF($B923=0,"",IF(Inputs!$B$7="","",IF($AE923=0,D922,SUMIFS(Data!$F$10:$F$3209,Data!$E$10:$E$3209,"&gt;="&amp;$A923,Data!$E$10:$E$3209,"&lt;"&amp;$A923+1)/$AE923)))</f>
        <v/>
      </c>
      <c r="E923" s="56">
        <f>IF($B923=0,"",IF(Inputs!$B$8="","",IF($AF923=0,E922,SUMIFS(Data!$J$10:$J$3209,Data!$I$10:$I$3209,"&gt;="&amp;$A923,Data!$I$10:$I$3209,"&lt;"&amp;$A923+1)/$AF923)))</f>
        <v/>
      </c>
      <c r="F923" s="56">
        <f>IF($B923=0,"",IF(Inputs!$B$9="","",IF($AG923=0,F922,SUMIFS(Data!$N$10:$N$3209,Data!$M$10:$M$3209,"&gt;="&amp;$A923,Data!$M$10:$M$3209,"&lt;"&amp;$A923+1)/$AG923)))</f>
        <v/>
      </c>
      <c r="G923" s="56">
        <f>IF($B923=0,"",IF(Inputs!$B$10="","",IF($AH923=0,G922,SUMIFS(Data!$R$10:$R$3209,Data!$Q$10:$Q$3209,"&gt;="&amp;$A923,Data!$Q$10:$Q$3209,"&lt;"&amp;$A923+1)/$AH923)))</f>
        <v/>
      </c>
      <c r="I923" s="54">
        <f>IF($B923=0,NA(),IF($C923="",NA(),IF(C$8="",NA(),IF(N(C$8)=0,NA(),IF(Inputs!$C$17="Rebased to 100",$C923/C$8*100,$C923)))))</f>
        <v/>
      </c>
      <c r="J923" s="54">
        <f>IF($B923=0,NA(),IF($D923="",NA(),IF(D$8="",NA(),IF(N(D$8)=0,NA(),IF(Inputs!$C$17="Rebased to 100",$D923/D$8*100,$D923)))))</f>
        <v/>
      </c>
      <c r="K923" s="54">
        <f>IF($B923=0,NA(),IF($E923="",NA(),IF(E$8="",NA(),IF(N(E$8)=0,NA(),IF(Inputs!$C$17="Rebased to 100",$E923/E$8*100,$E923)))))</f>
        <v/>
      </c>
      <c r="L923" s="54">
        <f>IF($B923=0,NA(),IF($F923="",NA(),IF(F$8="",NA(),IF(N(F$8)=0,NA(),IF(Inputs!$C$17="Rebased to 100",$F923/F$8*100,$F923)))))</f>
        <v/>
      </c>
      <c r="M923" s="54">
        <f>IF($B923=0,NA(),IF($G923="",NA(),IF(G$8="",NA(),IF(N(G$8)=0,NA(),IF(Inputs!$C$17="Rebased to 100",$G923/G$8*100,$G923)))))</f>
        <v/>
      </c>
      <c r="N923" s="54">
        <f>IF($B923=0,NA(),IF(Inputs!$C$18&lt;&gt;"Yes",NA(),IF(COUNT(I923,J923,K923,L923,M923)=0,NA(),MIN(I923,J923,K923,L923,M923))))</f>
        <v/>
      </c>
      <c r="O923" s="54">
        <f>IF($B923=0,NA(),IF(Inputs!$B$24&lt;&gt;"Yes",NA(),Inputs!$D$24*Inputs!$C$35))</f>
        <v/>
      </c>
      <c r="P923" s="54">
        <f>IF($B923=0,NA(),IF(Inputs!$B$25&lt;&gt;"Yes",NA(),Inputs!$D$25*Inputs!$C$35))</f>
        <v/>
      </c>
      <c r="Q923" s="54">
        <f>IF($B923=0,NA(),IF(Inputs!$B$26&lt;&gt;"Yes",NA(),Inputs!$D$26*Inputs!$C$35))</f>
        <v/>
      </c>
      <c r="R923" s="54">
        <f>IF($B923=0,NA(),IF(Inputs!$B$27&lt;&gt;"Yes",NA(),Inputs!$D$27*Inputs!$C$35))</f>
        <v/>
      </c>
      <c r="S923" s="54">
        <f>IF($B923=0,NA(),IF(Inputs!$B$28&lt;&gt;"Yes",NA(),Inputs!$D$28*Inputs!$C$35))</f>
        <v/>
      </c>
      <c r="T923" s="54">
        <f>IF($B923=0,NA(),IF(Inputs!$B$29&lt;&gt;"Yes",NA(),Inputs!$D$29*Inputs!$C$35))</f>
        <v/>
      </c>
      <c r="AD923">
        <f>IF($B923=0,0,IF(Inputs!$B$6="",0,COUNTIFS(Data!$A$10:$A$3209,"&gt;="&amp;$A923,Data!$A$10:$A$3209,"&lt;"&amp;$A923+1)))</f>
        <v/>
      </c>
      <c r="AE923">
        <f>IF($B923=0,0,IF(Inputs!$B$7="",0,COUNTIFS(Data!$E$10:$E$3209,"&gt;="&amp;$A923,Data!$E$10:$E$3209,"&lt;"&amp;$A923+1)))</f>
        <v/>
      </c>
      <c r="AF923">
        <f>IF($B923=0,0,IF(Inputs!$B$8="",0,COUNTIFS(Data!$I$10:$I$3209,"&gt;="&amp;$A923,Data!$I$10:$I$3209,"&lt;"&amp;$A923+1)))</f>
        <v/>
      </c>
      <c r="AG923">
        <f>IF($B923=0,0,IF(Inputs!$B$9="",0,COUNTIFS(Data!$M$10:$M$3209,"&gt;="&amp;$A923,Data!$M$10:$M$3209,"&lt;"&amp;$A923+1)))</f>
        <v/>
      </c>
      <c r="AH923">
        <f>IF($B923=0,0,IF(Inputs!$B$10="",0,COUNTIFS(Data!$Q$10:$Q$3209,"&gt;="&amp;$A923,Data!$Q$10:$Q$3209,"&lt;"&amp;$A923+1)))</f>
        <v/>
      </c>
    </row>
    <row r="924">
      <c r="A924" s="55">
        <f>MIN(Inputs!$C$15,$A923+IF(WEEKDAY($A923,2)=5,3,1))</f>
        <v/>
      </c>
      <c r="B924">
        <f>IF($A924&gt;$A923,1,0)</f>
        <v/>
      </c>
      <c r="C924" s="56">
        <f>IF($B924=0,"",IF(Inputs!$B$6="","",IF($AD924=0,C923,SUMIFS(Data!$B$10:$B$3209,Data!$A$10:$A$3209,"&gt;="&amp;$A924,Data!$A$10:$A$3209,"&lt;"&amp;$A924+1)/$AD924)))</f>
        <v/>
      </c>
      <c r="D924" s="56">
        <f>IF($B924=0,"",IF(Inputs!$B$7="","",IF($AE924=0,D923,SUMIFS(Data!$F$10:$F$3209,Data!$E$10:$E$3209,"&gt;="&amp;$A924,Data!$E$10:$E$3209,"&lt;"&amp;$A924+1)/$AE924)))</f>
        <v/>
      </c>
      <c r="E924" s="56">
        <f>IF($B924=0,"",IF(Inputs!$B$8="","",IF($AF924=0,E923,SUMIFS(Data!$J$10:$J$3209,Data!$I$10:$I$3209,"&gt;="&amp;$A924,Data!$I$10:$I$3209,"&lt;"&amp;$A924+1)/$AF924)))</f>
        <v/>
      </c>
      <c r="F924" s="56">
        <f>IF($B924=0,"",IF(Inputs!$B$9="","",IF($AG924=0,F923,SUMIFS(Data!$N$10:$N$3209,Data!$M$10:$M$3209,"&gt;="&amp;$A924,Data!$M$10:$M$3209,"&lt;"&amp;$A924+1)/$AG924)))</f>
        <v/>
      </c>
      <c r="G924" s="56">
        <f>IF($B924=0,"",IF(Inputs!$B$10="","",IF($AH924=0,G923,SUMIFS(Data!$R$10:$R$3209,Data!$Q$10:$Q$3209,"&gt;="&amp;$A924,Data!$Q$10:$Q$3209,"&lt;"&amp;$A924+1)/$AH924)))</f>
        <v/>
      </c>
      <c r="I924" s="54">
        <f>IF($B924=0,NA(),IF($C924="",NA(),IF(C$8="",NA(),IF(N(C$8)=0,NA(),IF(Inputs!$C$17="Rebased to 100",$C924/C$8*100,$C924)))))</f>
        <v/>
      </c>
      <c r="J924" s="54">
        <f>IF($B924=0,NA(),IF($D924="",NA(),IF(D$8="",NA(),IF(N(D$8)=0,NA(),IF(Inputs!$C$17="Rebased to 100",$D924/D$8*100,$D924)))))</f>
        <v/>
      </c>
      <c r="K924" s="54">
        <f>IF($B924=0,NA(),IF($E924="",NA(),IF(E$8="",NA(),IF(N(E$8)=0,NA(),IF(Inputs!$C$17="Rebased to 100",$E924/E$8*100,$E924)))))</f>
        <v/>
      </c>
      <c r="L924" s="54">
        <f>IF($B924=0,NA(),IF($F924="",NA(),IF(F$8="",NA(),IF(N(F$8)=0,NA(),IF(Inputs!$C$17="Rebased to 100",$F924/F$8*100,$F924)))))</f>
        <v/>
      </c>
      <c r="M924" s="54">
        <f>IF($B924=0,NA(),IF($G924="",NA(),IF(G$8="",NA(),IF(N(G$8)=0,NA(),IF(Inputs!$C$17="Rebased to 100",$G924/G$8*100,$G924)))))</f>
        <v/>
      </c>
      <c r="N924" s="54">
        <f>IF($B924=0,NA(),IF(Inputs!$C$18&lt;&gt;"Yes",NA(),IF(COUNT(I924,J924,K924,L924,M924)=0,NA(),MIN(I924,J924,K924,L924,M924))))</f>
        <v/>
      </c>
      <c r="O924" s="54">
        <f>IF($B924=0,NA(),IF(Inputs!$B$24&lt;&gt;"Yes",NA(),Inputs!$D$24*Inputs!$C$35))</f>
        <v/>
      </c>
      <c r="P924" s="54">
        <f>IF($B924=0,NA(),IF(Inputs!$B$25&lt;&gt;"Yes",NA(),Inputs!$D$25*Inputs!$C$35))</f>
        <v/>
      </c>
      <c r="Q924" s="54">
        <f>IF($B924=0,NA(),IF(Inputs!$B$26&lt;&gt;"Yes",NA(),Inputs!$D$26*Inputs!$C$35))</f>
        <v/>
      </c>
      <c r="R924" s="54">
        <f>IF($B924=0,NA(),IF(Inputs!$B$27&lt;&gt;"Yes",NA(),Inputs!$D$27*Inputs!$C$35))</f>
        <v/>
      </c>
      <c r="S924" s="54">
        <f>IF($B924=0,NA(),IF(Inputs!$B$28&lt;&gt;"Yes",NA(),Inputs!$D$28*Inputs!$C$35))</f>
        <v/>
      </c>
      <c r="T924" s="54">
        <f>IF($B924=0,NA(),IF(Inputs!$B$29&lt;&gt;"Yes",NA(),Inputs!$D$29*Inputs!$C$35))</f>
        <v/>
      </c>
      <c r="AD924">
        <f>IF($B924=0,0,IF(Inputs!$B$6="",0,COUNTIFS(Data!$A$10:$A$3209,"&gt;="&amp;$A924,Data!$A$10:$A$3209,"&lt;"&amp;$A924+1)))</f>
        <v/>
      </c>
      <c r="AE924">
        <f>IF($B924=0,0,IF(Inputs!$B$7="",0,COUNTIFS(Data!$E$10:$E$3209,"&gt;="&amp;$A924,Data!$E$10:$E$3209,"&lt;"&amp;$A924+1)))</f>
        <v/>
      </c>
      <c r="AF924">
        <f>IF($B924=0,0,IF(Inputs!$B$8="",0,COUNTIFS(Data!$I$10:$I$3209,"&gt;="&amp;$A924,Data!$I$10:$I$3209,"&lt;"&amp;$A924+1)))</f>
        <v/>
      </c>
      <c r="AG924">
        <f>IF($B924=0,0,IF(Inputs!$B$9="",0,COUNTIFS(Data!$M$10:$M$3209,"&gt;="&amp;$A924,Data!$M$10:$M$3209,"&lt;"&amp;$A924+1)))</f>
        <v/>
      </c>
      <c r="AH924">
        <f>IF($B924=0,0,IF(Inputs!$B$10="",0,COUNTIFS(Data!$Q$10:$Q$3209,"&gt;="&amp;$A924,Data!$Q$10:$Q$3209,"&lt;"&amp;$A924+1)))</f>
        <v/>
      </c>
    </row>
    <row r="925">
      <c r="A925" s="55">
        <f>MIN(Inputs!$C$15,$A924+IF(WEEKDAY($A924,2)=5,3,1))</f>
        <v/>
      </c>
      <c r="B925">
        <f>IF($A925&gt;$A924,1,0)</f>
        <v/>
      </c>
      <c r="C925" s="56">
        <f>IF($B925=0,"",IF(Inputs!$B$6="","",IF($AD925=0,C924,SUMIFS(Data!$B$10:$B$3209,Data!$A$10:$A$3209,"&gt;="&amp;$A925,Data!$A$10:$A$3209,"&lt;"&amp;$A925+1)/$AD925)))</f>
        <v/>
      </c>
      <c r="D925" s="56">
        <f>IF($B925=0,"",IF(Inputs!$B$7="","",IF($AE925=0,D924,SUMIFS(Data!$F$10:$F$3209,Data!$E$10:$E$3209,"&gt;="&amp;$A925,Data!$E$10:$E$3209,"&lt;"&amp;$A925+1)/$AE925)))</f>
        <v/>
      </c>
      <c r="E925" s="56">
        <f>IF($B925=0,"",IF(Inputs!$B$8="","",IF($AF925=0,E924,SUMIFS(Data!$J$10:$J$3209,Data!$I$10:$I$3209,"&gt;="&amp;$A925,Data!$I$10:$I$3209,"&lt;"&amp;$A925+1)/$AF925)))</f>
        <v/>
      </c>
      <c r="F925" s="56">
        <f>IF($B925=0,"",IF(Inputs!$B$9="","",IF($AG925=0,F924,SUMIFS(Data!$N$10:$N$3209,Data!$M$10:$M$3209,"&gt;="&amp;$A925,Data!$M$10:$M$3209,"&lt;"&amp;$A925+1)/$AG925)))</f>
        <v/>
      </c>
      <c r="G925" s="56">
        <f>IF($B925=0,"",IF(Inputs!$B$10="","",IF($AH925=0,G924,SUMIFS(Data!$R$10:$R$3209,Data!$Q$10:$Q$3209,"&gt;="&amp;$A925,Data!$Q$10:$Q$3209,"&lt;"&amp;$A925+1)/$AH925)))</f>
        <v/>
      </c>
      <c r="I925" s="54">
        <f>IF($B925=0,NA(),IF($C925="",NA(),IF(C$8="",NA(),IF(N(C$8)=0,NA(),IF(Inputs!$C$17="Rebased to 100",$C925/C$8*100,$C925)))))</f>
        <v/>
      </c>
      <c r="J925" s="54">
        <f>IF($B925=0,NA(),IF($D925="",NA(),IF(D$8="",NA(),IF(N(D$8)=0,NA(),IF(Inputs!$C$17="Rebased to 100",$D925/D$8*100,$D925)))))</f>
        <v/>
      </c>
      <c r="K925" s="54">
        <f>IF($B925=0,NA(),IF($E925="",NA(),IF(E$8="",NA(),IF(N(E$8)=0,NA(),IF(Inputs!$C$17="Rebased to 100",$E925/E$8*100,$E925)))))</f>
        <v/>
      </c>
      <c r="L925" s="54">
        <f>IF($B925=0,NA(),IF($F925="",NA(),IF(F$8="",NA(),IF(N(F$8)=0,NA(),IF(Inputs!$C$17="Rebased to 100",$F925/F$8*100,$F925)))))</f>
        <v/>
      </c>
      <c r="M925" s="54">
        <f>IF($B925=0,NA(),IF($G925="",NA(),IF(G$8="",NA(),IF(N(G$8)=0,NA(),IF(Inputs!$C$17="Rebased to 100",$G925/G$8*100,$G925)))))</f>
        <v/>
      </c>
      <c r="N925" s="54">
        <f>IF($B925=0,NA(),IF(Inputs!$C$18&lt;&gt;"Yes",NA(),IF(COUNT(I925,J925,K925,L925,M925)=0,NA(),MIN(I925,J925,K925,L925,M925))))</f>
        <v/>
      </c>
      <c r="O925" s="54">
        <f>IF($B925=0,NA(),IF(Inputs!$B$24&lt;&gt;"Yes",NA(),Inputs!$D$24*Inputs!$C$35))</f>
        <v/>
      </c>
      <c r="P925" s="54">
        <f>IF($B925=0,NA(),IF(Inputs!$B$25&lt;&gt;"Yes",NA(),Inputs!$D$25*Inputs!$C$35))</f>
        <v/>
      </c>
      <c r="Q925" s="54">
        <f>IF($B925=0,NA(),IF(Inputs!$B$26&lt;&gt;"Yes",NA(),Inputs!$D$26*Inputs!$C$35))</f>
        <v/>
      </c>
      <c r="R925" s="54">
        <f>IF($B925=0,NA(),IF(Inputs!$B$27&lt;&gt;"Yes",NA(),Inputs!$D$27*Inputs!$C$35))</f>
        <v/>
      </c>
      <c r="S925" s="54">
        <f>IF($B925=0,NA(),IF(Inputs!$B$28&lt;&gt;"Yes",NA(),Inputs!$D$28*Inputs!$C$35))</f>
        <v/>
      </c>
      <c r="T925" s="54">
        <f>IF($B925=0,NA(),IF(Inputs!$B$29&lt;&gt;"Yes",NA(),Inputs!$D$29*Inputs!$C$35))</f>
        <v/>
      </c>
      <c r="AD925">
        <f>IF($B925=0,0,IF(Inputs!$B$6="",0,COUNTIFS(Data!$A$10:$A$3209,"&gt;="&amp;$A925,Data!$A$10:$A$3209,"&lt;"&amp;$A925+1)))</f>
        <v/>
      </c>
      <c r="AE925">
        <f>IF($B925=0,0,IF(Inputs!$B$7="",0,COUNTIFS(Data!$E$10:$E$3209,"&gt;="&amp;$A925,Data!$E$10:$E$3209,"&lt;"&amp;$A925+1)))</f>
        <v/>
      </c>
      <c r="AF925">
        <f>IF($B925=0,0,IF(Inputs!$B$8="",0,COUNTIFS(Data!$I$10:$I$3209,"&gt;="&amp;$A925,Data!$I$10:$I$3209,"&lt;"&amp;$A925+1)))</f>
        <v/>
      </c>
      <c r="AG925">
        <f>IF($B925=0,0,IF(Inputs!$B$9="",0,COUNTIFS(Data!$M$10:$M$3209,"&gt;="&amp;$A925,Data!$M$10:$M$3209,"&lt;"&amp;$A925+1)))</f>
        <v/>
      </c>
      <c r="AH925">
        <f>IF($B925=0,0,IF(Inputs!$B$10="",0,COUNTIFS(Data!$Q$10:$Q$3209,"&gt;="&amp;$A925,Data!$Q$10:$Q$3209,"&lt;"&amp;$A925+1)))</f>
        <v/>
      </c>
    </row>
    <row r="926">
      <c r="A926" s="55">
        <f>MIN(Inputs!$C$15,$A925+IF(WEEKDAY($A925,2)=5,3,1))</f>
        <v/>
      </c>
      <c r="B926">
        <f>IF($A926&gt;$A925,1,0)</f>
        <v/>
      </c>
      <c r="C926" s="56">
        <f>IF($B926=0,"",IF(Inputs!$B$6="","",IF($AD926=0,C925,SUMIFS(Data!$B$10:$B$3209,Data!$A$10:$A$3209,"&gt;="&amp;$A926,Data!$A$10:$A$3209,"&lt;"&amp;$A926+1)/$AD926)))</f>
        <v/>
      </c>
      <c r="D926" s="56">
        <f>IF($B926=0,"",IF(Inputs!$B$7="","",IF($AE926=0,D925,SUMIFS(Data!$F$10:$F$3209,Data!$E$10:$E$3209,"&gt;="&amp;$A926,Data!$E$10:$E$3209,"&lt;"&amp;$A926+1)/$AE926)))</f>
        <v/>
      </c>
      <c r="E926" s="56">
        <f>IF($B926=0,"",IF(Inputs!$B$8="","",IF($AF926=0,E925,SUMIFS(Data!$J$10:$J$3209,Data!$I$10:$I$3209,"&gt;="&amp;$A926,Data!$I$10:$I$3209,"&lt;"&amp;$A926+1)/$AF926)))</f>
        <v/>
      </c>
      <c r="F926" s="56">
        <f>IF($B926=0,"",IF(Inputs!$B$9="","",IF($AG926=0,F925,SUMIFS(Data!$N$10:$N$3209,Data!$M$10:$M$3209,"&gt;="&amp;$A926,Data!$M$10:$M$3209,"&lt;"&amp;$A926+1)/$AG926)))</f>
        <v/>
      </c>
      <c r="G926" s="56">
        <f>IF($B926=0,"",IF(Inputs!$B$10="","",IF($AH926=0,G925,SUMIFS(Data!$R$10:$R$3209,Data!$Q$10:$Q$3209,"&gt;="&amp;$A926,Data!$Q$10:$Q$3209,"&lt;"&amp;$A926+1)/$AH926)))</f>
        <v/>
      </c>
      <c r="I926" s="54">
        <f>IF($B926=0,NA(),IF($C926="",NA(),IF(C$8="",NA(),IF(N(C$8)=0,NA(),IF(Inputs!$C$17="Rebased to 100",$C926/C$8*100,$C926)))))</f>
        <v/>
      </c>
      <c r="J926" s="54">
        <f>IF($B926=0,NA(),IF($D926="",NA(),IF(D$8="",NA(),IF(N(D$8)=0,NA(),IF(Inputs!$C$17="Rebased to 100",$D926/D$8*100,$D926)))))</f>
        <v/>
      </c>
      <c r="K926" s="54">
        <f>IF($B926=0,NA(),IF($E926="",NA(),IF(E$8="",NA(),IF(N(E$8)=0,NA(),IF(Inputs!$C$17="Rebased to 100",$E926/E$8*100,$E926)))))</f>
        <v/>
      </c>
      <c r="L926" s="54">
        <f>IF($B926=0,NA(),IF($F926="",NA(),IF(F$8="",NA(),IF(N(F$8)=0,NA(),IF(Inputs!$C$17="Rebased to 100",$F926/F$8*100,$F926)))))</f>
        <v/>
      </c>
      <c r="M926" s="54">
        <f>IF($B926=0,NA(),IF($G926="",NA(),IF(G$8="",NA(),IF(N(G$8)=0,NA(),IF(Inputs!$C$17="Rebased to 100",$G926/G$8*100,$G926)))))</f>
        <v/>
      </c>
      <c r="N926" s="54">
        <f>IF($B926=0,NA(),IF(Inputs!$C$18&lt;&gt;"Yes",NA(),IF(COUNT(I926,J926,K926,L926,M926)=0,NA(),MIN(I926,J926,K926,L926,M926))))</f>
        <v/>
      </c>
      <c r="O926" s="54">
        <f>IF($B926=0,NA(),IF(Inputs!$B$24&lt;&gt;"Yes",NA(),Inputs!$D$24*Inputs!$C$35))</f>
        <v/>
      </c>
      <c r="P926" s="54">
        <f>IF($B926=0,NA(),IF(Inputs!$B$25&lt;&gt;"Yes",NA(),Inputs!$D$25*Inputs!$C$35))</f>
        <v/>
      </c>
      <c r="Q926" s="54">
        <f>IF($B926=0,NA(),IF(Inputs!$B$26&lt;&gt;"Yes",NA(),Inputs!$D$26*Inputs!$C$35))</f>
        <v/>
      </c>
      <c r="R926" s="54">
        <f>IF($B926=0,NA(),IF(Inputs!$B$27&lt;&gt;"Yes",NA(),Inputs!$D$27*Inputs!$C$35))</f>
        <v/>
      </c>
      <c r="S926" s="54">
        <f>IF($B926=0,NA(),IF(Inputs!$B$28&lt;&gt;"Yes",NA(),Inputs!$D$28*Inputs!$C$35))</f>
        <v/>
      </c>
      <c r="T926" s="54">
        <f>IF($B926=0,NA(),IF(Inputs!$B$29&lt;&gt;"Yes",NA(),Inputs!$D$29*Inputs!$C$35))</f>
        <v/>
      </c>
      <c r="AD926">
        <f>IF($B926=0,0,IF(Inputs!$B$6="",0,COUNTIFS(Data!$A$10:$A$3209,"&gt;="&amp;$A926,Data!$A$10:$A$3209,"&lt;"&amp;$A926+1)))</f>
        <v/>
      </c>
      <c r="AE926">
        <f>IF($B926=0,0,IF(Inputs!$B$7="",0,COUNTIFS(Data!$E$10:$E$3209,"&gt;="&amp;$A926,Data!$E$10:$E$3209,"&lt;"&amp;$A926+1)))</f>
        <v/>
      </c>
      <c r="AF926">
        <f>IF($B926=0,0,IF(Inputs!$B$8="",0,COUNTIFS(Data!$I$10:$I$3209,"&gt;="&amp;$A926,Data!$I$10:$I$3209,"&lt;"&amp;$A926+1)))</f>
        <v/>
      </c>
      <c r="AG926">
        <f>IF($B926=0,0,IF(Inputs!$B$9="",0,COUNTIFS(Data!$M$10:$M$3209,"&gt;="&amp;$A926,Data!$M$10:$M$3209,"&lt;"&amp;$A926+1)))</f>
        <v/>
      </c>
      <c r="AH926">
        <f>IF($B926=0,0,IF(Inputs!$B$10="",0,COUNTIFS(Data!$Q$10:$Q$3209,"&gt;="&amp;$A926,Data!$Q$10:$Q$3209,"&lt;"&amp;$A926+1)))</f>
        <v/>
      </c>
    </row>
    <row r="927">
      <c r="A927" s="55">
        <f>MIN(Inputs!$C$15,$A926+IF(WEEKDAY($A926,2)=5,3,1))</f>
        <v/>
      </c>
      <c r="B927">
        <f>IF($A927&gt;$A926,1,0)</f>
        <v/>
      </c>
      <c r="C927" s="56">
        <f>IF($B927=0,"",IF(Inputs!$B$6="","",IF($AD927=0,C926,SUMIFS(Data!$B$10:$B$3209,Data!$A$10:$A$3209,"&gt;="&amp;$A927,Data!$A$10:$A$3209,"&lt;"&amp;$A927+1)/$AD927)))</f>
        <v/>
      </c>
      <c r="D927" s="56">
        <f>IF($B927=0,"",IF(Inputs!$B$7="","",IF($AE927=0,D926,SUMIFS(Data!$F$10:$F$3209,Data!$E$10:$E$3209,"&gt;="&amp;$A927,Data!$E$10:$E$3209,"&lt;"&amp;$A927+1)/$AE927)))</f>
        <v/>
      </c>
      <c r="E927" s="56">
        <f>IF($B927=0,"",IF(Inputs!$B$8="","",IF($AF927=0,E926,SUMIFS(Data!$J$10:$J$3209,Data!$I$10:$I$3209,"&gt;="&amp;$A927,Data!$I$10:$I$3209,"&lt;"&amp;$A927+1)/$AF927)))</f>
        <v/>
      </c>
      <c r="F927" s="56">
        <f>IF($B927=0,"",IF(Inputs!$B$9="","",IF($AG927=0,F926,SUMIFS(Data!$N$10:$N$3209,Data!$M$10:$M$3209,"&gt;="&amp;$A927,Data!$M$10:$M$3209,"&lt;"&amp;$A927+1)/$AG927)))</f>
        <v/>
      </c>
      <c r="G927" s="56">
        <f>IF($B927=0,"",IF(Inputs!$B$10="","",IF($AH927=0,G926,SUMIFS(Data!$R$10:$R$3209,Data!$Q$10:$Q$3209,"&gt;="&amp;$A927,Data!$Q$10:$Q$3209,"&lt;"&amp;$A927+1)/$AH927)))</f>
        <v/>
      </c>
      <c r="I927" s="54">
        <f>IF($B927=0,NA(),IF($C927="",NA(),IF(C$8="",NA(),IF(N(C$8)=0,NA(),IF(Inputs!$C$17="Rebased to 100",$C927/C$8*100,$C927)))))</f>
        <v/>
      </c>
      <c r="J927" s="54">
        <f>IF($B927=0,NA(),IF($D927="",NA(),IF(D$8="",NA(),IF(N(D$8)=0,NA(),IF(Inputs!$C$17="Rebased to 100",$D927/D$8*100,$D927)))))</f>
        <v/>
      </c>
      <c r="K927" s="54">
        <f>IF($B927=0,NA(),IF($E927="",NA(),IF(E$8="",NA(),IF(N(E$8)=0,NA(),IF(Inputs!$C$17="Rebased to 100",$E927/E$8*100,$E927)))))</f>
        <v/>
      </c>
      <c r="L927" s="54">
        <f>IF($B927=0,NA(),IF($F927="",NA(),IF(F$8="",NA(),IF(N(F$8)=0,NA(),IF(Inputs!$C$17="Rebased to 100",$F927/F$8*100,$F927)))))</f>
        <v/>
      </c>
      <c r="M927" s="54">
        <f>IF($B927=0,NA(),IF($G927="",NA(),IF(G$8="",NA(),IF(N(G$8)=0,NA(),IF(Inputs!$C$17="Rebased to 100",$G927/G$8*100,$G927)))))</f>
        <v/>
      </c>
      <c r="N927" s="54">
        <f>IF($B927=0,NA(),IF(Inputs!$C$18&lt;&gt;"Yes",NA(),IF(COUNT(I927,J927,K927,L927,M927)=0,NA(),MIN(I927,J927,K927,L927,M927))))</f>
        <v/>
      </c>
      <c r="O927" s="54">
        <f>IF($B927=0,NA(),IF(Inputs!$B$24&lt;&gt;"Yes",NA(),Inputs!$D$24*Inputs!$C$35))</f>
        <v/>
      </c>
      <c r="P927" s="54">
        <f>IF($B927=0,NA(),IF(Inputs!$B$25&lt;&gt;"Yes",NA(),Inputs!$D$25*Inputs!$C$35))</f>
        <v/>
      </c>
      <c r="Q927" s="54">
        <f>IF($B927=0,NA(),IF(Inputs!$B$26&lt;&gt;"Yes",NA(),Inputs!$D$26*Inputs!$C$35))</f>
        <v/>
      </c>
      <c r="R927" s="54">
        <f>IF($B927=0,NA(),IF(Inputs!$B$27&lt;&gt;"Yes",NA(),Inputs!$D$27*Inputs!$C$35))</f>
        <v/>
      </c>
      <c r="S927" s="54">
        <f>IF($B927=0,NA(),IF(Inputs!$B$28&lt;&gt;"Yes",NA(),Inputs!$D$28*Inputs!$C$35))</f>
        <v/>
      </c>
      <c r="T927" s="54">
        <f>IF($B927=0,NA(),IF(Inputs!$B$29&lt;&gt;"Yes",NA(),Inputs!$D$29*Inputs!$C$35))</f>
        <v/>
      </c>
      <c r="AD927">
        <f>IF($B927=0,0,IF(Inputs!$B$6="",0,COUNTIFS(Data!$A$10:$A$3209,"&gt;="&amp;$A927,Data!$A$10:$A$3209,"&lt;"&amp;$A927+1)))</f>
        <v/>
      </c>
      <c r="AE927">
        <f>IF($B927=0,0,IF(Inputs!$B$7="",0,COUNTIFS(Data!$E$10:$E$3209,"&gt;="&amp;$A927,Data!$E$10:$E$3209,"&lt;"&amp;$A927+1)))</f>
        <v/>
      </c>
      <c r="AF927">
        <f>IF($B927=0,0,IF(Inputs!$B$8="",0,COUNTIFS(Data!$I$10:$I$3209,"&gt;="&amp;$A927,Data!$I$10:$I$3209,"&lt;"&amp;$A927+1)))</f>
        <v/>
      </c>
      <c r="AG927">
        <f>IF($B927=0,0,IF(Inputs!$B$9="",0,COUNTIFS(Data!$M$10:$M$3209,"&gt;="&amp;$A927,Data!$M$10:$M$3209,"&lt;"&amp;$A927+1)))</f>
        <v/>
      </c>
      <c r="AH927">
        <f>IF($B927=0,0,IF(Inputs!$B$10="",0,COUNTIFS(Data!$Q$10:$Q$3209,"&gt;="&amp;$A927,Data!$Q$10:$Q$3209,"&lt;"&amp;$A927+1)))</f>
        <v/>
      </c>
    </row>
    <row r="928">
      <c r="A928" s="55">
        <f>MIN(Inputs!$C$15,$A927+IF(WEEKDAY($A927,2)=5,3,1))</f>
        <v/>
      </c>
      <c r="B928">
        <f>IF($A928&gt;$A927,1,0)</f>
        <v/>
      </c>
      <c r="C928" s="56">
        <f>IF($B928=0,"",IF(Inputs!$B$6="","",IF($AD928=0,C927,SUMIFS(Data!$B$10:$B$3209,Data!$A$10:$A$3209,"&gt;="&amp;$A928,Data!$A$10:$A$3209,"&lt;"&amp;$A928+1)/$AD928)))</f>
        <v/>
      </c>
      <c r="D928" s="56">
        <f>IF($B928=0,"",IF(Inputs!$B$7="","",IF($AE928=0,D927,SUMIFS(Data!$F$10:$F$3209,Data!$E$10:$E$3209,"&gt;="&amp;$A928,Data!$E$10:$E$3209,"&lt;"&amp;$A928+1)/$AE928)))</f>
        <v/>
      </c>
      <c r="E928" s="56">
        <f>IF($B928=0,"",IF(Inputs!$B$8="","",IF($AF928=0,E927,SUMIFS(Data!$J$10:$J$3209,Data!$I$10:$I$3209,"&gt;="&amp;$A928,Data!$I$10:$I$3209,"&lt;"&amp;$A928+1)/$AF928)))</f>
        <v/>
      </c>
      <c r="F928" s="56">
        <f>IF($B928=0,"",IF(Inputs!$B$9="","",IF($AG928=0,F927,SUMIFS(Data!$N$10:$N$3209,Data!$M$10:$M$3209,"&gt;="&amp;$A928,Data!$M$10:$M$3209,"&lt;"&amp;$A928+1)/$AG928)))</f>
        <v/>
      </c>
      <c r="G928" s="56">
        <f>IF($B928=0,"",IF(Inputs!$B$10="","",IF($AH928=0,G927,SUMIFS(Data!$R$10:$R$3209,Data!$Q$10:$Q$3209,"&gt;="&amp;$A928,Data!$Q$10:$Q$3209,"&lt;"&amp;$A928+1)/$AH928)))</f>
        <v/>
      </c>
      <c r="I928" s="54">
        <f>IF($B928=0,NA(),IF($C928="",NA(),IF(C$8="",NA(),IF(N(C$8)=0,NA(),IF(Inputs!$C$17="Rebased to 100",$C928/C$8*100,$C928)))))</f>
        <v/>
      </c>
      <c r="J928" s="54">
        <f>IF($B928=0,NA(),IF($D928="",NA(),IF(D$8="",NA(),IF(N(D$8)=0,NA(),IF(Inputs!$C$17="Rebased to 100",$D928/D$8*100,$D928)))))</f>
        <v/>
      </c>
      <c r="K928" s="54">
        <f>IF($B928=0,NA(),IF($E928="",NA(),IF(E$8="",NA(),IF(N(E$8)=0,NA(),IF(Inputs!$C$17="Rebased to 100",$E928/E$8*100,$E928)))))</f>
        <v/>
      </c>
      <c r="L928" s="54">
        <f>IF($B928=0,NA(),IF($F928="",NA(),IF(F$8="",NA(),IF(N(F$8)=0,NA(),IF(Inputs!$C$17="Rebased to 100",$F928/F$8*100,$F928)))))</f>
        <v/>
      </c>
      <c r="M928" s="54">
        <f>IF($B928=0,NA(),IF($G928="",NA(),IF(G$8="",NA(),IF(N(G$8)=0,NA(),IF(Inputs!$C$17="Rebased to 100",$G928/G$8*100,$G928)))))</f>
        <v/>
      </c>
      <c r="N928" s="54">
        <f>IF($B928=0,NA(),IF(Inputs!$C$18&lt;&gt;"Yes",NA(),IF(COUNT(I928,J928,K928,L928,M928)=0,NA(),MIN(I928,J928,K928,L928,M928))))</f>
        <v/>
      </c>
      <c r="O928" s="54">
        <f>IF($B928=0,NA(),IF(Inputs!$B$24&lt;&gt;"Yes",NA(),Inputs!$D$24*Inputs!$C$35))</f>
        <v/>
      </c>
      <c r="P928" s="54">
        <f>IF($B928=0,NA(),IF(Inputs!$B$25&lt;&gt;"Yes",NA(),Inputs!$D$25*Inputs!$C$35))</f>
        <v/>
      </c>
      <c r="Q928" s="54">
        <f>IF($B928=0,NA(),IF(Inputs!$B$26&lt;&gt;"Yes",NA(),Inputs!$D$26*Inputs!$C$35))</f>
        <v/>
      </c>
      <c r="R928" s="54">
        <f>IF($B928=0,NA(),IF(Inputs!$B$27&lt;&gt;"Yes",NA(),Inputs!$D$27*Inputs!$C$35))</f>
        <v/>
      </c>
      <c r="S928" s="54">
        <f>IF($B928=0,NA(),IF(Inputs!$B$28&lt;&gt;"Yes",NA(),Inputs!$D$28*Inputs!$C$35))</f>
        <v/>
      </c>
      <c r="T928" s="54">
        <f>IF($B928=0,NA(),IF(Inputs!$B$29&lt;&gt;"Yes",NA(),Inputs!$D$29*Inputs!$C$35))</f>
        <v/>
      </c>
      <c r="AD928">
        <f>IF($B928=0,0,IF(Inputs!$B$6="",0,COUNTIFS(Data!$A$10:$A$3209,"&gt;="&amp;$A928,Data!$A$10:$A$3209,"&lt;"&amp;$A928+1)))</f>
        <v/>
      </c>
      <c r="AE928">
        <f>IF($B928=0,0,IF(Inputs!$B$7="",0,COUNTIFS(Data!$E$10:$E$3209,"&gt;="&amp;$A928,Data!$E$10:$E$3209,"&lt;"&amp;$A928+1)))</f>
        <v/>
      </c>
      <c r="AF928">
        <f>IF($B928=0,0,IF(Inputs!$B$8="",0,COUNTIFS(Data!$I$10:$I$3209,"&gt;="&amp;$A928,Data!$I$10:$I$3209,"&lt;"&amp;$A928+1)))</f>
        <v/>
      </c>
      <c r="AG928">
        <f>IF($B928=0,0,IF(Inputs!$B$9="",0,COUNTIFS(Data!$M$10:$M$3209,"&gt;="&amp;$A928,Data!$M$10:$M$3209,"&lt;"&amp;$A928+1)))</f>
        <v/>
      </c>
      <c r="AH928">
        <f>IF($B928=0,0,IF(Inputs!$B$10="",0,COUNTIFS(Data!$Q$10:$Q$3209,"&gt;="&amp;$A928,Data!$Q$10:$Q$3209,"&lt;"&amp;$A928+1)))</f>
        <v/>
      </c>
    </row>
    <row r="929">
      <c r="A929" s="55">
        <f>MIN(Inputs!$C$15,$A928+IF(WEEKDAY($A928,2)=5,3,1))</f>
        <v/>
      </c>
      <c r="B929">
        <f>IF($A929&gt;$A928,1,0)</f>
        <v/>
      </c>
      <c r="C929" s="56">
        <f>IF($B929=0,"",IF(Inputs!$B$6="","",IF($AD929=0,C928,SUMIFS(Data!$B$10:$B$3209,Data!$A$10:$A$3209,"&gt;="&amp;$A929,Data!$A$10:$A$3209,"&lt;"&amp;$A929+1)/$AD929)))</f>
        <v/>
      </c>
      <c r="D929" s="56">
        <f>IF($B929=0,"",IF(Inputs!$B$7="","",IF($AE929=0,D928,SUMIFS(Data!$F$10:$F$3209,Data!$E$10:$E$3209,"&gt;="&amp;$A929,Data!$E$10:$E$3209,"&lt;"&amp;$A929+1)/$AE929)))</f>
        <v/>
      </c>
      <c r="E929" s="56">
        <f>IF($B929=0,"",IF(Inputs!$B$8="","",IF($AF929=0,E928,SUMIFS(Data!$J$10:$J$3209,Data!$I$10:$I$3209,"&gt;="&amp;$A929,Data!$I$10:$I$3209,"&lt;"&amp;$A929+1)/$AF929)))</f>
        <v/>
      </c>
      <c r="F929" s="56">
        <f>IF($B929=0,"",IF(Inputs!$B$9="","",IF($AG929=0,F928,SUMIFS(Data!$N$10:$N$3209,Data!$M$10:$M$3209,"&gt;="&amp;$A929,Data!$M$10:$M$3209,"&lt;"&amp;$A929+1)/$AG929)))</f>
        <v/>
      </c>
      <c r="G929" s="56">
        <f>IF($B929=0,"",IF(Inputs!$B$10="","",IF($AH929=0,G928,SUMIFS(Data!$R$10:$R$3209,Data!$Q$10:$Q$3209,"&gt;="&amp;$A929,Data!$Q$10:$Q$3209,"&lt;"&amp;$A929+1)/$AH929)))</f>
        <v/>
      </c>
      <c r="I929" s="54">
        <f>IF($B929=0,NA(),IF($C929="",NA(),IF(C$8="",NA(),IF(N(C$8)=0,NA(),IF(Inputs!$C$17="Rebased to 100",$C929/C$8*100,$C929)))))</f>
        <v/>
      </c>
      <c r="J929" s="54">
        <f>IF($B929=0,NA(),IF($D929="",NA(),IF(D$8="",NA(),IF(N(D$8)=0,NA(),IF(Inputs!$C$17="Rebased to 100",$D929/D$8*100,$D929)))))</f>
        <v/>
      </c>
      <c r="K929" s="54">
        <f>IF($B929=0,NA(),IF($E929="",NA(),IF(E$8="",NA(),IF(N(E$8)=0,NA(),IF(Inputs!$C$17="Rebased to 100",$E929/E$8*100,$E929)))))</f>
        <v/>
      </c>
      <c r="L929" s="54">
        <f>IF($B929=0,NA(),IF($F929="",NA(),IF(F$8="",NA(),IF(N(F$8)=0,NA(),IF(Inputs!$C$17="Rebased to 100",$F929/F$8*100,$F929)))))</f>
        <v/>
      </c>
      <c r="M929" s="54">
        <f>IF($B929=0,NA(),IF($G929="",NA(),IF(G$8="",NA(),IF(N(G$8)=0,NA(),IF(Inputs!$C$17="Rebased to 100",$G929/G$8*100,$G929)))))</f>
        <v/>
      </c>
      <c r="N929" s="54">
        <f>IF($B929=0,NA(),IF(Inputs!$C$18&lt;&gt;"Yes",NA(),IF(COUNT(I929,J929,K929,L929,M929)=0,NA(),MIN(I929,J929,K929,L929,M929))))</f>
        <v/>
      </c>
      <c r="O929" s="54">
        <f>IF($B929=0,NA(),IF(Inputs!$B$24&lt;&gt;"Yes",NA(),Inputs!$D$24*Inputs!$C$35))</f>
        <v/>
      </c>
      <c r="P929" s="54">
        <f>IF($B929=0,NA(),IF(Inputs!$B$25&lt;&gt;"Yes",NA(),Inputs!$D$25*Inputs!$C$35))</f>
        <v/>
      </c>
      <c r="Q929" s="54">
        <f>IF($B929=0,NA(),IF(Inputs!$B$26&lt;&gt;"Yes",NA(),Inputs!$D$26*Inputs!$C$35))</f>
        <v/>
      </c>
      <c r="R929" s="54">
        <f>IF($B929=0,NA(),IF(Inputs!$B$27&lt;&gt;"Yes",NA(),Inputs!$D$27*Inputs!$C$35))</f>
        <v/>
      </c>
      <c r="S929" s="54">
        <f>IF($B929=0,NA(),IF(Inputs!$B$28&lt;&gt;"Yes",NA(),Inputs!$D$28*Inputs!$C$35))</f>
        <v/>
      </c>
      <c r="T929" s="54">
        <f>IF($B929=0,NA(),IF(Inputs!$B$29&lt;&gt;"Yes",NA(),Inputs!$D$29*Inputs!$C$35))</f>
        <v/>
      </c>
      <c r="AD929">
        <f>IF($B929=0,0,IF(Inputs!$B$6="",0,COUNTIFS(Data!$A$10:$A$3209,"&gt;="&amp;$A929,Data!$A$10:$A$3209,"&lt;"&amp;$A929+1)))</f>
        <v/>
      </c>
      <c r="AE929">
        <f>IF($B929=0,0,IF(Inputs!$B$7="",0,COUNTIFS(Data!$E$10:$E$3209,"&gt;="&amp;$A929,Data!$E$10:$E$3209,"&lt;"&amp;$A929+1)))</f>
        <v/>
      </c>
      <c r="AF929">
        <f>IF($B929=0,0,IF(Inputs!$B$8="",0,COUNTIFS(Data!$I$10:$I$3209,"&gt;="&amp;$A929,Data!$I$10:$I$3209,"&lt;"&amp;$A929+1)))</f>
        <v/>
      </c>
      <c r="AG929">
        <f>IF($B929=0,0,IF(Inputs!$B$9="",0,COUNTIFS(Data!$M$10:$M$3209,"&gt;="&amp;$A929,Data!$M$10:$M$3209,"&lt;"&amp;$A929+1)))</f>
        <v/>
      </c>
      <c r="AH929">
        <f>IF($B929=0,0,IF(Inputs!$B$10="",0,COUNTIFS(Data!$Q$10:$Q$3209,"&gt;="&amp;$A929,Data!$Q$10:$Q$3209,"&lt;"&amp;$A929+1)))</f>
        <v/>
      </c>
    </row>
    <row r="930">
      <c r="A930" s="55">
        <f>MIN(Inputs!$C$15,$A929+IF(WEEKDAY($A929,2)=5,3,1))</f>
        <v/>
      </c>
      <c r="B930">
        <f>IF($A930&gt;$A929,1,0)</f>
        <v/>
      </c>
      <c r="C930" s="56">
        <f>IF($B930=0,"",IF(Inputs!$B$6="","",IF($AD930=0,C929,SUMIFS(Data!$B$10:$B$3209,Data!$A$10:$A$3209,"&gt;="&amp;$A930,Data!$A$10:$A$3209,"&lt;"&amp;$A930+1)/$AD930)))</f>
        <v/>
      </c>
      <c r="D930" s="56">
        <f>IF($B930=0,"",IF(Inputs!$B$7="","",IF($AE930=0,D929,SUMIFS(Data!$F$10:$F$3209,Data!$E$10:$E$3209,"&gt;="&amp;$A930,Data!$E$10:$E$3209,"&lt;"&amp;$A930+1)/$AE930)))</f>
        <v/>
      </c>
      <c r="E930" s="56">
        <f>IF($B930=0,"",IF(Inputs!$B$8="","",IF($AF930=0,E929,SUMIFS(Data!$J$10:$J$3209,Data!$I$10:$I$3209,"&gt;="&amp;$A930,Data!$I$10:$I$3209,"&lt;"&amp;$A930+1)/$AF930)))</f>
        <v/>
      </c>
      <c r="F930" s="56">
        <f>IF($B930=0,"",IF(Inputs!$B$9="","",IF($AG930=0,F929,SUMIFS(Data!$N$10:$N$3209,Data!$M$10:$M$3209,"&gt;="&amp;$A930,Data!$M$10:$M$3209,"&lt;"&amp;$A930+1)/$AG930)))</f>
        <v/>
      </c>
      <c r="G930" s="56">
        <f>IF($B930=0,"",IF(Inputs!$B$10="","",IF($AH930=0,G929,SUMIFS(Data!$R$10:$R$3209,Data!$Q$10:$Q$3209,"&gt;="&amp;$A930,Data!$Q$10:$Q$3209,"&lt;"&amp;$A930+1)/$AH930)))</f>
        <v/>
      </c>
      <c r="I930" s="54">
        <f>IF($B930=0,NA(),IF($C930="",NA(),IF(C$8="",NA(),IF(N(C$8)=0,NA(),IF(Inputs!$C$17="Rebased to 100",$C930/C$8*100,$C930)))))</f>
        <v/>
      </c>
      <c r="J930" s="54">
        <f>IF($B930=0,NA(),IF($D930="",NA(),IF(D$8="",NA(),IF(N(D$8)=0,NA(),IF(Inputs!$C$17="Rebased to 100",$D930/D$8*100,$D930)))))</f>
        <v/>
      </c>
      <c r="K930" s="54">
        <f>IF($B930=0,NA(),IF($E930="",NA(),IF(E$8="",NA(),IF(N(E$8)=0,NA(),IF(Inputs!$C$17="Rebased to 100",$E930/E$8*100,$E930)))))</f>
        <v/>
      </c>
      <c r="L930" s="54">
        <f>IF($B930=0,NA(),IF($F930="",NA(),IF(F$8="",NA(),IF(N(F$8)=0,NA(),IF(Inputs!$C$17="Rebased to 100",$F930/F$8*100,$F930)))))</f>
        <v/>
      </c>
      <c r="M930" s="54">
        <f>IF($B930=0,NA(),IF($G930="",NA(),IF(G$8="",NA(),IF(N(G$8)=0,NA(),IF(Inputs!$C$17="Rebased to 100",$G930/G$8*100,$G930)))))</f>
        <v/>
      </c>
      <c r="N930" s="54">
        <f>IF($B930=0,NA(),IF(Inputs!$C$18&lt;&gt;"Yes",NA(),IF(COUNT(I930,J930,K930,L930,M930)=0,NA(),MIN(I930,J930,K930,L930,M930))))</f>
        <v/>
      </c>
      <c r="O930" s="54">
        <f>IF($B930=0,NA(),IF(Inputs!$B$24&lt;&gt;"Yes",NA(),Inputs!$D$24*Inputs!$C$35))</f>
        <v/>
      </c>
      <c r="P930" s="54">
        <f>IF($B930=0,NA(),IF(Inputs!$B$25&lt;&gt;"Yes",NA(),Inputs!$D$25*Inputs!$C$35))</f>
        <v/>
      </c>
      <c r="Q930" s="54">
        <f>IF($B930=0,NA(),IF(Inputs!$B$26&lt;&gt;"Yes",NA(),Inputs!$D$26*Inputs!$C$35))</f>
        <v/>
      </c>
      <c r="R930" s="54">
        <f>IF($B930=0,NA(),IF(Inputs!$B$27&lt;&gt;"Yes",NA(),Inputs!$D$27*Inputs!$C$35))</f>
        <v/>
      </c>
      <c r="S930" s="54">
        <f>IF($B930=0,NA(),IF(Inputs!$B$28&lt;&gt;"Yes",NA(),Inputs!$D$28*Inputs!$C$35))</f>
        <v/>
      </c>
      <c r="T930" s="54">
        <f>IF($B930=0,NA(),IF(Inputs!$B$29&lt;&gt;"Yes",NA(),Inputs!$D$29*Inputs!$C$35))</f>
        <v/>
      </c>
      <c r="AD930">
        <f>IF($B930=0,0,IF(Inputs!$B$6="",0,COUNTIFS(Data!$A$10:$A$3209,"&gt;="&amp;$A930,Data!$A$10:$A$3209,"&lt;"&amp;$A930+1)))</f>
        <v/>
      </c>
      <c r="AE930">
        <f>IF($B930=0,0,IF(Inputs!$B$7="",0,COUNTIFS(Data!$E$10:$E$3209,"&gt;="&amp;$A930,Data!$E$10:$E$3209,"&lt;"&amp;$A930+1)))</f>
        <v/>
      </c>
      <c r="AF930">
        <f>IF($B930=0,0,IF(Inputs!$B$8="",0,COUNTIFS(Data!$I$10:$I$3209,"&gt;="&amp;$A930,Data!$I$10:$I$3209,"&lt;"&amp;$A930+1)))</f>
        <v/>
      </c>
      <c r="AG930">
        <f>IF($B930=0,0,IF(Inputs!$B$9="",0,COUNTIFS(Data!$M$10:$M$3209,"&gt;="&amp;$A930,Data!$M$10:$M$3209,"&lt;"&amp;$A930+1)))</f>
        <v/>
      </c>
      <c r="AH930">
        <f>IF($B930=0,0,IF(Inputs!$B$10="",0,COUNTIFS(Data!$Q$10:$Q$3209,"&gt;="&amp;$A930,Data!$Q$10:$Q$3209,"&lt;"&amp;$A930+1)))</f>
        <v/>
      </c>
    </row>
    <row r="931">
      <c r="A931" s="55">
        <f>MIN(Inputs!$C$15,$A930+IF(WEEKDAY($A930,2)=5,3,1))</f>
        <v/>
      </c>
      <c r="B931">
        <f>IF($A931&gt;$A930,1,0)</f>
        <v/>
      </c>
      <c r="C931" s="56">
        <f>IF($B931=0,"",IF(Inputs!$B$6="","",IF($AD931=0,C930,SUMIFS(Data!$B$10:$B$3209,Data!$A$10:$A$3209,"&gt;="&amp;$A931,Data!$A$10:$A$3209,"&lt;"&amp;$A931+1)/$AD931)))</f>
        <v/>
      </c>
      <c r="D931" s="56">
        <f>IF($B931=0,"",IF(Inputs!$B$7="","",IF($AE931=0,D930,SUMIFS(Data!$F$10:$F$3209,Data!$E$10:$E$3209,"&gt;="&amp;$A931,Data!$E$10:$E$3209,"&lt;"&amp;$A931+1)/$AE931)))</f>
        <v/>
      </c>
      <c r="E931" s="56">
        <f>IF($B931=0,"",IF(Inputs!$B$8="","",IF($AF931=0,E930,SUMIFS(Data!$J$10:$J$3209,Data!$I$10:$I$3209,"&gt;="&amp;$A931,Data!$I$10:$I$3209,"&lt;"&amp;$A931+1)/$AF931)))</f>
        <v/>
      </c>
      <c r="F931" s="56">
        <f>IF($B931=0,"",IF(Inputs!$B$9="","",IF($AG931=0,F930,SUMIFS(Data!$N$10:$N$3209,Data!$M$10:$M$3209,"&gt;="&amp;$A931,Data!$M$10:$M$3209,"&lt;"&amp;$A931+1)/$AG931)))</f>
        <v/>
      </c>
      <c r="G931" s="56">
        <f>IF($B931=0,"",IF(Inputs!$B$10="","",IF($AH931=0,G930,SUMIFS(Data!$R$10:$R$3209,Data!$Q$10:$Q$3209,"&gt;="&amp;$A931,Data!$Q$10:$Q$3209,"&lt;"&amp;$A931+1)/$AH931)))</f>
        <v/>
      </c>
      <c r="I931" s="54">
        <f>IF($B931=0,NA(),IF($C931="",NA(),IF(C$8="",NA(),IF(N(C$8)=0,NA(),IF(Inputs!$C$17="Rebased to 100",$C931/C$8*100,$C931)))))</f>
        <v/>
      </c>
      <c r="J931" s="54">
        <f>IF($B931=0,NA(),IF($D931="",NA(),IF(D$8="",NA(),IF(N(D$8)=0,NA(),IF(Inputs!$C$17="Rebased to 100",$D931/D$8*100,$D931)))))</f>
        <v/>
      </c>
      <c r="K931" s="54">
        <f>IF($B931=0,NA(),IF($E931="",NA(),IF(E$8="",NA(),IF(N(E$8)=0,NA(),IF(Inputs!$C$17="Rebased to 100",$E931/E$8*100,$E931)))))</f>
        <v/>
      </c>
      <c r="L931" s="54">
        <f>IF($B931=0,NA(),IF($F931="",NA(),IF(F$8="",NA(),IF(N(F$8)=0,NA(),IF(Inputs!$C$17="Rebased to 100",$F931/F$8*100,$F931)))))</f>
        <v/>
      </c>
      <c r="M931" s="54">
        <f>IF($B931=0,NA(),IF($G931="",NA(),IF(G$8="",NA(),IF(N(G$8)=0,NA(),IF(Inputs!$C$17="Rebased to 100",$G931/G$8*100,$G931)))))</f>
        <v/>
      </c>
      <c r="N931" s="54">
        <f>IF($B931=0,NA(),IF(Inputs!$C$18&lt;&gt;"Yes",NA(),IF(COUNT(I931,J931,K931,L931,M931)=0,NA(),MIN(I931,J931,K931,L931,M931))))</f>
        <v/>
      </c>
      <c r="O931" s="54">
        <f>IF($B931=0,NA(),IF(Inputs!$B$24&lt;&gt;"Yes",NA(),Inputs!$D$24*Inputs!$C$35))</f>
        <v/>
      </c>
      <c r="P931" s="54">
        <f>IF($B931=0,NA(),IF(Inputs!$B$25&lt;&gt;"Yes",NA(),Inputs!$D$25*Inputs!$C$35))</f>
        <v/>
      </c>
      <c r="Q931" s="54">
        <f>IF($B931=0,NA(),IF(Inputs!$B$26&lt;&gt;"Yes",NA(),Inputs!$D$26*Inputs!$C$35))</f>
        <v/>
      </c>
      <c r="R931" s="54">
        <f>IF($B931=0,NA(),IF(Inputs!$B$27&lt;&gt;"Yes",NA(),Inputs!$D$27*Inputs!$C$35))</f>
        <v/>
      </c>
      <c r="S931" s="54">
        <f>IF($B931=0,NA(),IF(Inputs!$B$28&lt;&gt;"Yes",NA(),Inputs!$D$28*Inputs!$C$35))</f>
        <v/>
      </c>
      <c r="T931" s="54">
        <f>IF($B931=0,NA(),IF(Inputs!$B$29&lt;&gt;"Yes",NA(),Inputs!$D$29*Inputs!$C$35))</f>
        <v/>
      </c>
      <c r="AD931">
        <f>IF($B931=0,0,IF(Inputs!$B$6="",0,COUNTIFS(Data!$A$10:$A$3209,"&gt;="&amp;$A931,Data!$A$10:$A$3209,"&lt;"&amp;$A931+1)))</f>
        <v/>
      </c>
      <c r="AE931">
        <f>IF($B931=0,0,IF(Inputs!$B$7="",0,COUNTIFS(Data!$E$10:$E$3209,"&gt;="&amp;$A931,Data!$E$10:$E$3209,"&lt;"&amp;$A931+1)))</f>
        <v/>
      </c>
      <c r="AF931">
        <f>IF($B931=0,0,IF(Inputs!$B$8="",0,COUNTIFS(Data!$I$10:$I$3209,"&gt;="&amp;$A931,Data!$I$10:$I$3209,"&lt;"&amp;$A931+1)))</f>
        <v/>
      </c>
      <c r="AG931">
        <f>IF($B931=0,0,IF(Inputs!$B$9="",0,COUNTIFS(Data!$M$10:$M$3209,"&gt;="&amp;$A931,Data!$M$10:$M$3209,"&lt;"&amp;$A931+1)))</f>
        <v/>
      </c>
      <c r="AH931">
        <f>IF($B931=0,0,IF(Inputs!$B$10="",0,COUNTIFS(Data!$Q$10:$Q$3209,"&gt;="&amp;$A931,Data!$Q$10:$Q$3209,"&lt;"&amp;$A931+1)))</f>
        <v/>
      </c>
    </row>
    <row r="932">
      <c r="A932" s="55">
        <f>MIN(Inputs!$C$15,$A931+IF(WEEKDAY($A931,2)=5,3,1))</f>
        <v/>
      </c>
      <c r="B932">
        <f>IF($A932&gt;$A931,1,0)</f>
        <v/>
      </c>
      <c r="C932" s="56">
        <f>IF($B932=0,"",IF(Inputs!$B$6="","",IF($AD932=0,C931,SUMIFS(Data!$B$10:$B$3209,Data!$A$10:$A$3209,"&gt;="&amp;$A932,Data!$A$10:$A$3209,"&lt;"&amp;$A932+1)/$AD932)))</f>
        <v/>
      </c>
      <c r="D932" s="56">
        <f>IF($B932=0,"",IF(Inputs!$B$7="","",IF($AE932=0,D931,SUMIFS(Data!$F$10:$F$3209,Data!$E$10:$E$3209,"&gt;="&amp;$A932,Data!$E$10:$E$3209,"&lt;"&amp;$A932+1)/$AE932)))</f>
        <v/>
      </c>
      <c r="E932" s="56">
        <f>IF($B932=0,"",IF(Inputs!$B$8="","",IF($AF932=0,E931,SUMIFS(Data!$J$10:$J$3209,Data!$I$10:$I$3209,"&gt;="&amp;$A932,Data!$I$10:$I$3209,"&lt;"&amp;$A932+1)/$AF932)))</f>
        <v/>
      </c>
      <c r="F932" s="56">
        <f>IF($B932=0,"",IF(Inputs!$B$9="","",IF($AG932=0,F931,SUMIFS(Data!$N$10:$N$3209,Data!$M$10:$M$3209,"&gt;="&amp;$A932,Data!$M$10:$M$3209,"&lt;"&amp;$A932+1)/$AG932)))</f>
        <v/>
      </c>
      <c r="G932" s="56">
        <f>IF($B932=0,"",IF(Inputs!$B$10="","",IF($AH932=0,G931,SUMIFS(Data!$R$10:$R$3209,Data!$Q$10:$Q$3209,"&gt;="&amp;$A932,Data!$Q$10:$Q$3209,"&lt;"&amp;$A932+1)/$AH932)))</f>
        <v/>
      </c>
      <c r="I932" s="54">
        <f>IF($B932=0,NA(),IF($C932="",NA(),IF(C$8="",NA(),IF(N(C$8)=0,NA(),IF(Inputs!$C$17="Rebased to 100",$C932/C$8*100,$C932)))))</f>
        <v/>
      </c>
      <c r="J932" s="54">
        <f>IF($B932=0,NA(),IF($D932="",NA(),IF(D$8="",NA(),IF(N(D$8)=0,NA(),IF(Inputs!$C$17="Rebased to 100",$D932/D$8*100,$D932)))))</f>
        <v/>
      </c>
      <c r="K932" s="54">
        <f>IF($B932=0,NA(),IF($E932="",NA(),IF(E$8="",NA(),IF(N(E$8)=0,NA(),IF(Inputs!$C$17="Rebased to 100",$E932/E$8*100,$E932)))))</f>
        <v/>
      </c>
      <c r="L932" s="54">
        <f>IF($B932=0,NA(),IF($F932="",NA(),IF(F$8="",NA(),IF(N(F$8)=0,NA(),IF(Inputs!$C$17="Rebased to 100",$F932/F$8*100,$F932)))))</f>
        <v/>
      </c>
      <c r="M932" s="54">
        <f>IF($B932=0,NA(),IF($G932="",NA(),IF(G$8="",NA(),IF(N(G$8)=0,NA(),IF(Inputs!$C$17="Rebased to 100",$G932/G$8*100,$G932)))))</f>
        <v/>
      </c>
      <c r="N932" s="54">
        <f>IF($B932=0,NA(),IF(Inputs!$C$18&lt;&gt;"Yes",NA(),IF(COUNT(I932,J932,K932,L932,M932)=0,NA(),MIN(I932,J932,K932,L932,M932))))</f>
        <v/>
      </c>
      <c r="O932" s="54">
        <f>IF($B932=0,NA(),IF(Inputs!$B$24&lt;&gt;"Yes",NA(),Inputs!$D$24*Inputs!$C$35))</f>
        <v/>
      </c>
      <c r="P932" s="54">
        <f>IF($B932=0,NA(),IF(Inputs!$B$25&lt;&gt;"Yes",NA(),Inputs!$D$25*Inputs!$C$35))</f>
        <v/>
      </c>
      <c r="Q932" s="54">
        <f>IF($B932=0,NA(),IF(Inputs!$B$26&lt;&gt;"Yes",NA(),Inputs!$D$26*Inputs!$C$35))</f>
        <v/>
      </c>
      <c r="R932" s="54">
        <f>IF($B932=0,NA(),IF(Inputs!$B$27&lt;&gt;"Yes",NA(),Inputs!$D$27*Inputs!$C$35))</f>
        <v/>
      </c>
      <c r="S932" s="54">
        <f>IF($B932=0,NA(),IF(Inputs!$B$28&lt;&gt;"Yes",NA(),Inputs!$D$28*Inputs!$C$35))</f>
        <v/>
      </c>
      <c r="T932" s="54">
        <f>IF($B932=0,NA(),IF(Inputs!$B$29&lt;&gt;"Yes",NA(),Inputs!$D$29*Inputs!$C$35))</f>
        <v/>
      </c>
      <c r="AD932">
        <f>IF($B932=0,0,IF(Inputs!$B$6="",0,COUNTIFS(Data!$A$10:$A$3209,"&gt;="&amp;$A932,Data!$A$10:$A$3209,"&lt;"&amp;$A932+1)))</f>
        <v/>
      </c>
      <c r="AE932">
        <f>IF($B932=0,0,IF(Inputs!$B$7="",0,COUNTIFS(Data!$E$10:$E$3209,"&gt;="&amp;$A932,Data!$E$10:$E$3209,"&lt;"&amp;$A932+1)))</f>
        <v/>
      </c>
      <c r="AF932">
        <f>IF($B932=0,0,IF(Inputs!$B$8="",0,COUNTIFS(Data!$I$10:$I$3209,"&gt;="&amp;$A932,Data!$I$10:$I$3209,"&lt;"&amp;$A932+1)))</f>
        <v/>
      </c>
      <c r="AG932">
        <f>IF($B932=0,0,IF(Inputs!$B$9="",0,COUNTIFS(Data!$M$10:$M$3209,"&gt;="&amp;$A932,Data!$M$10:$M$3209,"&lt;"&amp;$A932+1)))</f>
        <v/>
      </c>
      <c r="AH932">
        <f>IF($B932=0,0,IF(Inputs!$B$10="",0,COUNTIFS(Data!$Q$10:$Q$3209,"&gt;="&amp;$A932,Data!$Q$10:$Q$3209,"&lt;"&amp;$A932+1)))</f>
        <v/>
      </c>
    </row>
    <row r="933">
      <c r="A933" s="55">
        <f>MIN(Inputs!$C$15,$A932+IF(WEEKDAY($A932,2)=5,3,1))</f>
        <v/>
      </c>
      <c r="B933">
        <f>IF($A933&gt;$A932,1,0)</f>
        <v/>
      </c>
      <c r="C933" s="56">
        <f>IF($B933=0,"",IF(Inputs!$B$6="","",IF($AD933=0,C932,SUMIFS(Data!$B$10:$B$3209,Data!$A$10:$A$3209,"&gt;="&amp;$A933,Data!$A$10:$A$3209,"&lt;"&amp;$A933+1)/$AD933)))</f>
        <v/>
      </c>
      <c r="D933" s="56">
        <f>IF($B933=0,"",IF(Inputs!$B$7="","",IF($AE933=0,D932,SUMIFS(Data!$F$10:$F$3209,Data!$E$10:$E$3209,"&gt;="&amp;$A933,Data!$E$10:$E$3209,"&lt;"&amp;$A933+1)/$AE933)))</f>
        <v/>
      </c>
      <c r="E933" s="56">
        <f>IF($B933=0,"",IF(Inputs!$B$8="","",IF($AF933=0,E932,SUMIFS(Data!$J$10:$J$3209,Data!$I$10:$I$3209,"&gt;="&amp;$A933,Data!$I$10:$I$3209,"&lt;"&amp;$A933+1)/$AF933)))</f>
        <v/>
      </c>
      <c r="F933" s="56">
        <f>IF($B933=0,"",IF(Inputs!$B$9="","",IF($AG933=0,F932,SUMIFS(Data!$N$10:$N$3209,Data!$M$10:$M$3209,"&gt;="&amp;$A933,Data!$M$10:$M$3209,"&lt;"&amp;$A933+1)/$AG933)))</f>
        <v/>
      </c>
      <c r="G933" s="56">
        <f>IF($B933=0,"",IF(Inputs!$B$10="","",IF($AH933=0,G932,SUMIFS(Data!$R$10:$R$3209,Data!$Q$10:$Q$3209,"&gt;="&amp;$A933,Data!$Q$10:$Q$3209,"&lt;"&amp;$A933+1)/$AH933)))</f>
        <v/>
      </c>
      <c r="I933" s="54">
        <f>IF($B933=0,NA(),IF($C933="",NA(),IF(C$8="",NA(),IF(N(C$8)=0,NA(),IF(Inputs!$C$17="Rebased to 100",$C933/C$8*100,$C933)))))</f>
        <v/>
      </c>
      <c r="J933" s="54">
        <f>IF($B933=0,NA(),IF($D933="",NA(),IF(D$8="",NA(),IF(N(D$8)=0,NA(),IF(Inputs!$C$17="Rebased to 100",$D933/D$8*100,$D933)))))</f>
        <v/>
      </c>
      <c r="K933" s="54">
        <f>IF($B933=0,NA(),IF($E933="",NA(),IF(E$8="",NA(),IF(N(E$8)=0,NA(),IF(Inputs!$C$17="Rebased to 100",$E933/E$8*100,$E933)))))</f>
        <v/>
      </c>
      <c r="L933" s="54">
        <f>IF($B933=0,NA(),IF($F933="",NA(),IF(F$8="",NA(),IF(N(F$8)=0,NA(),IF(Inputs!$C$17="Rebased to 100",$F933/F$8*100,$F933)))))</f>
        <v/>
      </c>
      <c r="M933" s="54">
        <f>IF($B933=0,NA(),IF($G933="",NA(),IF(G$8="",NA(),IF(N(G$8)=0,NA(),IF(Inputs!$C$17="Rebased to 100",$G933/G$8*100,$G933)))))</f>
        <v/>
      </c>
      <c r="N933" s="54">
        <f>IF($B933=0,NA(),IF(Inputs!$C$18&lt;&gt;"Yes",NA(),IF(COUNT(I933,J933,K933,L933,M933)=0,NA(),MIN(I933,J933,K933,L933,M933))))</f>
        <v/>
      </c>
      <c r="O933" s="54">
        <f>IF($B933=0,NA(),IF(Inputs!$B$24&lt;&gt;"Yes",NA(),Inputs!$D$24*Inputs!$C$35))</f>
        <v/>
      </c>
      <c r="P933" s="54">
        <f>IF($B933=0,NA(),IF(Inputs!$B$25&lt;&gt;"Yes",NA(),Inputs!$D$25*Inputs!$C$35))</f>
        <v/>
      </c>
      <c r="Q933" s="54">
        <f>IF($B933=0,NA(),IF(Inputs!$B$26&lt;&gt;"Yes",NA(),Inputs!$D$26*Inputs!$C$35))</f>
        <v/>
      </c>
      <c r="R933" s="54">
        <f>IF($B933=0,NA(),IF(Inputs!$B$27&lt;&gt;"Yes",NA(),Inputs!$D$27*Inputs!$C$35))</f>
        <v/>
      </c>
      <c r="S933" s="54">
        <f>IF($B933=0,NA(),IF(Inputs!$B$28&lt;&gt;"Yes",NA(),Inputs!$D$28*Inputs!$C$35))</f>
        <v/>
      </c>
      <c r="T933" s="54">
        <f>IF($B933=0,NA(),IF(Inputs!$B$29&lt;&gt;"Yes",NA(),Inputs!$D$29*Inputs!$C$35))</f>
        <v/>
      </c>
      <c r="AD933">
        <f>IF($B933=0,0,IF(Inputs!$B$6="",0,COUNTIFS(Data!$A$10:$A$3209,"&gt;="&amp;$A933,Data!$A$10:$A$3209,"&lt;"&amp;$A933+1)))</f>
        <v/>
      </c>
      <c r="AE933">
        <f>IF($B933=0,0,IF(Inputs!$B$7="",0,COUNTIFS(Data!$E$10:$E$3209,"&gt;="&amp;$A933,Data!$E$10:$E$3209,"&lt;"&amp;$A933+1)))</f>
        <v/>
      </c>
      <c r="AF933">
        <f>IF($B933=0,0,IF(Inputs!$B$8="",0,COUNTIFS(Data!$I$10:$I$3209,"&gt;="&amp;$A933,Data!$I$10:$I$3209,"&lt;"&amp;$A933+1)))</f>
        <v/>
      </c>
      <c r="AG933">
        <f>IF($B933=0,0,IF(Inputs!$B$9="",0,COUNTIFS(Data!$M$10:$M$3209,"&gt;="&amp;$A933,Data!$M$10:$M$3209,"&lt;"&amp;$A933+1)))</f>
        <v/>
      </c>
      <c r="AH933">
        <f>IF($B933=0,0,IF(Inputs!$B$10="",0,COUNTIFS(Data!$Q$10:$Q$3209,"&gt;="&amp;$A933,Data!$Q$10:$Q$3209,"&lt;"&amp;$A933+1)))</f>
        <v/>
      </c>
    </row>
    <row r="934">
      <c r="A934" s="55">
        <f>MIN(Inputs!$C$15,$A933+IF(WEEKDAY($A933,2)=5,3,1))</f>
        <v/>
      </c>
      <c r="B934">
        <f>IF($A934&gt;$A933,1,0)</f>
        <v/>
      </c>
      <c r="C934" s="56">
        <f>IF($B934=0,"",IF(Inputs!$B$6="","",IF($AD934=0,C933,SUMIFS(Data!$B$10:$B$3209,Data!$A$10:$A$3209,"&gt;="&amp;$A934,Data!$A$10:$A$3209,"&lt;"&amp;$A934+1)/$AD934)))</f>
        <v/>
      </c>
      <c r="D934" s="56">
        <f>IF($B934=0,"",IF(Inputs!$B$7="","",IF($AE934=0,D933,SUMIFS(Data!$F$10:$F$3209,Data!$E$10:$E$3209,"&gt;="&amp;$A934,Data!$E$10:$E$3209,"&lt;"&amp;$A934+1)/$AE934)))</f>
        <v/>
      </c>
      <c r="E934" s="56">
        <f>IF($B934=0,"",IF(Inputs!$B$8="","",IF($AF934=0,E933,SUMIFS(Data!$J$10:$J$3209,Data!$I$10:$I$3209,"&gt;="&amp;$A934,Data!$I$10:$I$3209,"&lt;"&amp;$A934+1)/$AF934)))</f>
        <v/>
      </c>
      <c r="F934" s="56">
        <f>IF($B934=0,"",IF(Inputs!$B$9="","",IF($AG934=0,F933,SUMIFS(Data!$N$10:$N$3209,Data!$M$10:$M$3209,"&gt;="&amp;$A934,Data!$M$10:$M$3209,"&lt;"&amp;$A934+1)/$AG934)))</f>
        <v/>
      </c>
      <c r="G934" s="56">
        <f>IF($B934=0,"",IF(Inputs!$B$10="","",IF($AH934=0,G933,SUMIFS(Data!$R$10:$R$3209,Data!$Q$10:$Q$3209,"&gt;="&amp;$A934,Data!$Q$10:$Q$3209,"&lt;"&amp;$A934+1)/$AH934)))</f>
        <v/>
      </c>
      <c r="I934" s="54">
        <f>IF($B934=0,NA(),IF($C934="",NA(),IF(C$8="",NA(),IF(N(C$8)=0,NA(),IF(Inputs!$C$17="Rebased to 100",$C934/C$8*100,$C934)))))</f>
        <v/>
      </c>
      <c r="J934" s="54">
        <f>IF($B934=0,NA(),IF($D934="",NA(),IF(D$8="",NA(),IF(N(D$8)=0,NA(),IF(Inputs!$C$17="Rebased to 100",$D934/D$8*100,$D934)))))</f>
        <v/>
      </c>
      <c r="K934" s="54">
        <f>IF($B934=0,NA(),IF($E934="",NA(),IF(E$8="",NA(),IF(N(E$8)=0,NA(),IF(Inputs!$C$17="Rebased to 100",$E934/E$8*100,$E934)))))</f>
        <v/>
      </c>
      <c r="L934" s="54">
        <f>IF($B934=0,NA(),IF($F934="",NA(),IF(F$8="",NA(),IF(N(F$8)=0,NA(),IF(Inputs!$C$17="Rebased to 100",$F934/F$8*100,$F934)))))</f>
        <v/>
      </c>
      <c r="M934" s="54">
        <f>IF($B934=0,NA(),IF($G934="",NA(),IF(G$8="",NA(),IF(N(G$8)=0,NA(),IF(Inputs!$C$17="Rebased to 100",$G934/G$8*100,$G934)))))</f>
        <v/>
      </c>
      <c r="N934" s="54">
        <f>IF($B934=0,NA(),IF(Inputs!$C$18&lt;&gt;"Yes",NA(),IF(COUNT(I934,J934,K934,L934,M934)=0,NA(),MIN(I934,J934,K934,L934,M934))))</f>
        <v/>
      </c>
      <c r="O934" s="54">
        <f>IF($B934=0,NA(),IF(Inputs!$B$24&lt;&gt;"Yes",NA(),Inputs!$D$24*Inputs!$C$35))</f>
        <v/>
      </c>
      <c r="P934" s="54">
        <f>IF($B934=0,NA(),IF(Inputs!$B$25&lt;&gt;"Yes",NA(),Inputs!$D$25*Inputs!$C$35))</f>
        <v/>
      </c>
      <c r="Q934" s="54">
        <f>IF($B934=0,NA(),IF(Inputs!$B$26&lt;&gt;"Yes",NA(),Inputs!$D$26*Inputs!$C$35))</f>
        <v/>
      </c>
      <c r="R934" s="54">
        <f>IF($B934=0,NA(),IF(Inputs!$B$27&lt;&gt;"Yes",NA(),Inputs!$D$27*Inputs!$C$35))</f>
        <v/>
      </c>
      <c r="S934" s="54">
        <f>IF($B934=0,NA(),IF(Inputs!$B$28&lt;&gt;"Yes",NA(),Inputs!$D$28*Inputs!$C$35))</f>
        <v/>
      </c>
      <c r="T934" s="54">
        <f>IF($B934=0,NA(),IF(Inputs!$B$29&lt;&gt;"Yes",NA(),Inputs!$D$29*Inputs!$C$35))</f>
        <v/>
      </c>
      <c r="AD934">
        <f>IF($B934=0,0,IF(Inputs!$B$6="",0,COUNTIFS(Data!$A$10:$A$3209,"&gt;="&amp;$A934,Data!$A$10:$A$3209,"&lt;"&amp;$A934+1)))</f>
        <v/>
      </c>
      <c r="AE934">
        <f>IF($B934=0,0,IF(Inputs!$B$7="",0,COUNTIFS(Data!$E$10:$E$3209,"&gt;="&amp;$A934,Data!$E$10:$E$3209,"&lt;"&amp;$A934+1)))</f>
        <v/>
      </c>
      <c r="AF934">
        <f>IF($B934=0,0,IF(Inputs!$B$8="",0,COUNTIFS(Data!$I$10:$I$3209,"&gt;="&amp;$A934,Data!$I$10:$I$3209,"&lt;"&amp;$A934+1)))</f>
        <v/>
      </c>
      <c r="AG934">
        <f>IF($B934=0,0,IF(Inputs!$B$9="",0,COUNTIFS(Data!$M$10:$M$3209,"&gt;="&amp;$A934,Data!$M$10:$M$3209,"&lt;"&amp;$A934+1)))</f>
        <v/>
      </c>
      <c r="AH934">
        <f>IF($B934=0,0,IF(Inputs!$B$10="",0,COUNTIFS(Data!$Q$10:$Q$3209,"&gt;="&amp;$A934,Data!$Q$10:$Q$3209,"&lt;"&amp;$A934+1)))</f>
        <v/>
      </c>
    </row>
    <row r="935">
      <c r="A935" s="55">
        <f>MIN(Inputs!$C$15,$A934+IF(WEEKDAY($A934,2)=5,3,1))</f>
        <v/>
      </c>
      <c r="B935">
        <f>IF($A935&gt;$A934,1,0)</f>
        <v/>
      </c>
      <c r="C935" s="56">
        <f>IF($B935=0,"",IF(Inputs!$B$6="","",IF($AD935=0,C934,SUMIFS(Data!$B$10:$B$3209,Data!$A$10:$A$3209,"&gt;="&amp;$A935,Data!$A$10:$A$3209,"&lt;"&amp;$A935+1)/$AD935)))</f>
        <v/>
      </c>
      <c r="D935" s="56">
        <f>IF($B935=0,"",IF(Inputs!$B$7="","",IF($AE935=0,D934,SUMIFS(Data!$F$10:$F$3209,Data!$E$10:$E$3209,"&gt;="&amp;$A935,Data!$E$10:$E$3209,"&lt;"&amp;$A935+1)/$AE935)))</f>
        <v/>
      </c>
      <c r="E935" s="56">
        <f>IF($B935=0,"",IF(Inputs!$B$8="","",IF($AF935=0,E934,SUMIFS(Data!$J$10:$J$3209,Data!$I$10:$I$3209,"&gt;="&amp;$A935,Data!$I$10:$I$3209,"&lt;"&amp;$A935+1)/$AF935)))</f>
        <v/>
      </c>
      <c r="F935" s="56">
        <f>IF($B935=0,"",IF(Inputs!$B$9="","",IF($AG935=0,F934,SUMIFS(Data!$N$10:$N$3209,Data!$M$10:$M$3209,"&gt;="&amp;$A935,Data!$M$10:$M$3209,"&lt;"&amp;$A935+1)/$AG935)))</f>
        <v/>
      </c>
      <c r="G935" s="56">
        <f>IF($B935=0,"",IF(Inputs!$B$10="","",IF($AH935=0,G934,SUMIFS(Data!$R$10:$R$3209,Data!$Q$10:$Q$3209,"&gt;="&amp;$A935,Data!$Q$10:$Q$3209,"&lt;"&amp;$A935+1)/$AH935)))</f>
        <v/>
      </c>
      <c r="I935" s="54">
        <f>IF($B935=0,NA(),IF($C935="",NA(),IF(C$8="",NA(),IF(N(C$8)=0,NA(),IF(Inputs!$C$17="Rebased to 100",$C935/C$8*100,$C935)))))</f>
        <v/>
      </c>
      <c r="J935" s="54">
        <f>IF($B935=0,NA(),IF($D935="",NA(),IF(D$8="",NA(),IF(N(D$8)=0,NA(),IF(Inputs!$C$17="Rebased to 100",$D935/D$8*100,$D935)))))</f>
        <v/>
      </c>
      <c r="K935" s="54">
        <f>IF($B935=0,NA(),IF($E935="",NA(),IF(E$8="",NA(),IF(N(E$8)=0,NA(),IF(Inputs!$C$17="Rebased to 100",$E935/E$8*100,$E935)))))</f>
        <v/>
      </c>
      <c r="L935" s="54">
        <f>IF($B935=0,NA(),IF($F935="",NA(),IF(F$8="",NA(),IF(N(F$8)=0,NA(),IF(Inputs!$C$17="Rebased to 100",$F935/F$8*100,$F935)))))</f>
        <v/>
      </c>
      <c r="M935" s="54">
        <f>IF($B935=0,NA(),IF($G935="",NA(),IF(G$8="",NA(),IF(N(G$8)=0,NA(),IF(Inputs!$C$17="Rebased to 100",$G935/G$8*100,$G935)))))</f>
        <v/>
      </c>
      <c r="N935" s="54">
        <f>IF($B935=0,NA(),IF(Inputs!$C$18&lt;&gt;"Yes",NA(),IF(COUNT(I935,J935,K935,L935,M935)=0,NA(),MIN(I935,J935,K935,L935,M935))))</f>
        <v/>
      </c>
      <c r="O935" s="54">
        <f>IF($B935=0,NA(),IF(Inputs!$B$24&lt;&gt;"Yes",NA(),Inputs!$D$24*Inputs!$C$35))</f>
        <v/>
      </c>
      <c r="P935" s="54">
        <f>IF($B935=0,NA(),IF(Inputs!$B$25&lt;&gt;"Yes",NA(),Inputs!$D$25*Inputs!$C$35))</f>
        <v/>
      </c>
      <c r="Q935" s="54">
        <f>IF($B935=0,NA(),IF(Inputs!$B$26&lt;&gt;"Yes",NA(),Inputs!$D$26*Inputs!$C$35))</f>
        <v/>
      </c>
      <c r="R935" s="54">
        <f>IF($B935=0,NA(),IF(Inputs!$B$27&lt;&gt;"Yes",NA(),Inputs!$D$27*Inputs!$C$35))</f>
        <v/>
      </c>
      <c r="S935" s="54">
        <f>IF($B935=0,NA(),IF(Inputs!$B$28&lt;&gt;"Yes",NA(),Inputs!$D$28*Inputs!$C$35))</f>
        <v/>
      </c>
      <c r="T935" s="54">
        <f>IF($B935=0,NA(),IF(Inputs!$B$29&lt;&gt;"Yes",NA(),Inputs!$D$29*Inputs!$C$35))</f>
        <v/>
      </c>
      <c r="AD935">
        <f>IF($B935=0,0,IF(Inputs!$B$6="",0,COUNTIFS(Data!$A$10:$A$3209,"&gt;="&amp;$A935,Data!$A$10:$A$3209,"&lt;"&amp;$A935+1)))</f>
        <v/>
      </c>
      <c r="AE935">
        <f>IF($B935=0,0,IF(Inputs!$B$7="",0,COUNTIFS(Data!$E$10:$E$3209,"&gt;="&amp;$A935,Data!$E$10:$E$3209,"&lt;"&amp;$A935+1)))</f>
        <v/>
      </c>
      <c r="AF935">
        <f>IF($B935=0,0,IF(Inputs!$B$8="",0,COUNTIFS(Data!$I$10:$I$3209,"&gt;="&amp;$A935,Data!$I$10:$I$3209,"&lt;"&amp;$A935+1)))</f>
        <v/>
      </c>
      <c r="AG935">
        <f>IF($B935=0,0,IF(Inputs!$B$9="",0,COUNTIFS(Data!$M$10:$M$3209,"&gt;="&amp;$A935,Data!$M$10:$M$3209,"&lt;"&amp;$A935+1)))</f>
        <v/>
      </c>
      <c r="AH935">
        <f>IF($B935=0,0,IF(Inputs!$B$10="",0,COUNTIFS(Data!$Q$10:$Q$3209,"&gt;="&amp;$A935,Data!$Q$10:$Q$3209,"&lt;"&amp;$A935+1)))</f>
        <v/>
      </c>
    </row>
    <row r="936">
      <c r="A936" s="55">
        <f>MIN(Inputs!$C$15,$A935+IF(WEEKDAY($A935,2)=5,3,1))</f>
        <v/>
      </c>
      <c r="B936">
        <f>IF($A936&gt;$A935,1,0)</f>
        <v/>
      </c>
      <c r="C936" s="56">
        <f>IF($B936=0,"",IF(Inputs!$B$6="","",IF($AD936=0,C935,SUMIFS(Data!$B$10:$B$3209,Data!$A$10:$A$3209,"&gt;="&amp;$A936,Data!$A$10:$A$3209,"&lt;"&amp;$A936+1)/$AD936)))</f>
        <v/>
      </c>
      <c r="D936" s="56">
        <f>IF($B936=0,"",IF(Inputs!$B$7="","",IF($AE936=0,D935,SUMIFS(Data!$F$10:$F$3209,Data!$E$10:$E$3209,"&gt;="&amp;$A936,Data!$E$10:$E$3209,"&lt;"&amp;$A936+1)/$AE936)))</f>
        <v/>
      </c>
      <c r="E936" s="56">
        <f>IF($B936=0,"",IF(Inputs!$B$8="","",IF($AF936=0,E935,SUMIFS(Data!$J$10:$J$3209,Data!$I$10:$I$3209,"&gt;="&amp;$A936,Data!$I$10:$I$3209,"&lt;"&amp;$A936+1)/$AF936)))</f>
        <v/>
      </c>
      <c r="F936" s="56">
        <f>IF($B936=0,"",IF(Inputs!$B$9="","",IF($AG936=0,F935,SUMIFS(Data!$N$10:$N$3209,Data!$M$10:$M$3209,"&gt;="&amp;$A936,Data!$M$10:$M$3209,"&lt;"&amp;$A936+1)/$AG936)))</f>
        <v/>
      </c>
      <c r="G936" s="56">
        <f>IF($B936=0,"",IF(Inputs!$B$10="","",IF($AH936=0,G935,SUMIFS(Data!$R$10:$R$3209,Data!$Q$10:$Q$3209,"&gt;="&amp;$A936,Data!$Q$10:$Q$3209,"&lt;"&amp;$A936+1)/$AH936)))</f>
        <v/>
      </c>
      <c r="I936" s="54">
        <f>IF($B936=0,NA(),IF($C936="",NA(),IF(C$8="",NA(),IF(N(C$8)=0,NA(),IF(Inputs!$C$17="Rebased to 100",$C936/C$8*100,$C936)))))</f>
        <v/>
      </c>
      <c r="J936" s="54">
        <f>IF($B936=0,NA(),IF($D936="",NA(),IF(D$8="",NA(),IF(N(D$8)=0,NA(),IF(Inputs!$C$17="Rebased to 100",$D936/D$8*100,$D936)))))</f>
        <v/>
      </c>
      <c r="K936" s="54">
        <f>IF($B936=0,NA(),IF($E936="",NA(),IF(E$8="",NA(),IF(N(E$8)=0,NA(),IF(Inputs!$C$17="Rebased to 100",$E936/E$8*100,$E936)))))</f>
        <v/>
      </c>
      <c r="L936" s="54">
        <f>IF($B936=0,NA(),IF($F936="",NA(),IF(F$8="",NA(),IF(N(F$8)=0,NA(),IF(Inputs!$C$17="Rebased to 100",$F936/F$8*100,$F936)))))</f>
        <v/>
      </c>
      <c r="M936" s="54">
        <f>IF($B936=0,NA(),IF($G936="",NA(),IF(G$8="",NA(),IF(N(G$8)=0,NA(),IF(Inputs!$C$17="Rebased to 100",$G936/G$8*100,$G936)))))</f>
        <v/>
      </c>
      <c r="N936" s="54">
        <f>IF($B936=0,NA(),IF(Inputs!$C$18&lt;&gt;"Yes",NA(),IF(COUNT(I936,J936,K936,L936,M936)=0,NA(),MIN(I936,J936,K936,L936,M936))))</f>
        <v/>
      </c>
      <c r="O936" s="54">
        <f>IF($B936=0,NA(),IF(Inputs!$B$24&lt;&gt;"Yes",NA(),Inputs!$D$24*Inputs!$C$35))</f>
        <v/>
      </c>
      <c r="P936" s="54">
        <f>IF($B936=0,NA(),IF(Inputs!$B$25&lt;&gt;"Yes",NA(),Inputs!$D$25*Inputs!$C$35))</f>
        <v/>
      </c>
      <c r="Q936" s="54">
        <f>IF($B936=0,NA(),IF(Inputs!$B$26&lt;&gt;"Yes",NA(),Inputs!$D$26*Inputs!$C$35))</f>
        <v/>
      </c>
      <c r="R936" s="54">
        <f>IF($B936=0,NA(),IF(Inputs!$B$27&lt;&gt;"Yes",NA(),Inputs!$D$27*Inputs!$C$35))</f>
        <v/>
      </c>
      <c r="S936" s="54">
        <f>IF($B936=0,NA(),IF(Inputs!$B$28&lt;&gt;"Yes",NA(),Inputs!$D$28*Inputs!$C$35))</f>
        <v/>
      </c>
      <c r="T936" s="54">
        <f>IF($B936=0,NA(),IF(Inputs!$B$29&lt;&gt;"Yes",NA(),Inputs!$D$29*Inputs!$C$35))</f>
        <v/>
      </c>
      <c r="AD936">
        <f>IF($B936=0,0,IF(Inputs!$B$6="",0,COUNTIFS(Data!$A$10:$A$3209,"&gt;="&amp;$A936,Data!$A$10:$A$3209,"&lt;"&amp;$A936+1)))</f>
        <v/>
      </c>
      <c r="AE936">
        <f>IF($B936=0,0,IF(Inputs!$B$7="",0,COUNTIFS(Data!$E$10:$E$3209,"&gt;="&amp;$A936,Data!$E$10:$E$3209,"&lt;"&amp;$A936+1)))</f>
        <v/>
      </c>
      <c r="AF936">
        <f>IF($B936=0,0,IF(Inputs!$B$8="",0,COUNTIFS(Data!$I$10:$I$3209,"&gt;="&amp;$A936,Data!$I$10:$I$3209,"&lt;"&amp;$A936+1)))</f>
        <v/>
      </c>
      <c r="AG936">
        <f>IF($B936=0,0,IF(Inputs!$B$9="",0,COUNTIFS(Data!$M$10:$M$3209,"&gt;="&amp;$A936,Data!$M$10:$M$3209,"&lt;"&amp;$A936+1)))</f>
        <v/>
      </c>
      <c r="AH936">
        <f>IF($B936=0,0,IF(Inputs!$B$10="",0,COUNTIFS(Data!$Q$10:$Q$3209,"&gt;="&amp;$A936,Data!$Q$10:$Q$3209,"&lt;"&amp;$A936+1)))</f>
        <v/>
      </c>
    </row>
    <row r="937">
      <c r="A937" s="55">
        <f>MIN(Inputs!$C$15,$A936+IF(WEEKDAY($A936,2)=5,3,1))</f>
        <v/>
      </c>
      <c r="B937">
        <f>IF($A937&gt;$A936,1,0)</f>
        <v/>
      </c>
      <c r="C937" s="56">
        <f>IF($B937=0,"",IF(Inputs!$B$6="","",IF($AD937=0,C936,SUMIFS(Data!$B$10:$B$3209,Data!$A$10:$A$3209,"&gt;="&amp;$A937,Data!$A$10:$A$3209,"&lt;"&amp;$A937+1)/$AD937)))</f>
        <v/>
      </c>
      <c r="D937" s="56">
        <f>IF($B937=0,"",IF(Inputs!$B$7="","",IF($AE937=0,D936,SUMIFS(Data!$F$10:$F$3209,Data!$E$10:$E$3209,"&gt;="&amp;$A937,Data!$E$10:$E$3209,"&lt;"&amp;$A937+1)/$AE937)))</f>
        <v/>
      </c>
      <c r="E937" s="56">
        <f>IF($B937=0,"",IF(Inputs!$B$8="","",IF($AF937=0,E936,SUMIFS(Data!$J$10:$J$3209,Data!$I$10:$I$3209,"&gt;="&amp;$A937,Data!$I$10:$I$3209,"&lt;"&amp;$A937+1)/$AF937)))</f>
        <v/>
      </c>
      <c r="F937" s="56">
        <f>IF($B937=0,"",IF(Inputs!$B$9="","",IF($AG937=0,F936,SUMIFS(Data!$N$10:$N$3209,Data!$M$10:$M$3209,"&gt;="&amp;$A937,Data!$M$10:$M$3209,"&lt;"&amp;$A937+1)/$AG937)))</f>
        <v/>
      </c>
      <c r="G937" s="56">
        <f>IF($B937=0,"",IF(Inputs!$B$10="","",IF($AH937=0,G936,SUMIFS(Data!$R$10:$R$3209,Data!$Q$10:$Q$3209,"&gt;="&amp;$A937,Data!$Q$10:$Q$3209,"&lt;"&amp;$A937+1)/$AH937)))</f>
        <v/>
      </c>
      <c r="I937" s="54">
        <f>IF($B937=0,NA(),IF($C937="",NA(),IF(C$8="",NA(),IF(N(C$8)=0,NA(),IF(Inputs!$C$17="Rebased to 100",$C937/C$8*100,$C937)))))</f>
        <v/>
      </c>
      <c r="J937" s="54">
        <f>IF($B937=0,NA(),IF($D937="",NA(),IF(D$8="",NA(),IF(N(D$8)=0,NA(),IF(Inputs!$C$17="Rebased to 100",$D937/D$8*100,$D937)))))</f>
        <v/>
      </c>
      <c r="K937" s="54">
        <f>IF($B937=0,NA(),IF($E937="",NA(),IF(E$8="",NA(),IF(N(E$8)=0,NA(),IF(Inputs!$C$17="Rebased to 100",$E937/E$8*100,$E937)))))</f>
        <v/>
      </c>
      <c r="L937" s="54">
        <f>IF($B937=0,NA(),IF($F937="",NA(),IF(F$8="",NA(),IF(N(F$8)=0,NA(),IF(Inputs!$C$17="Rebased to 100",$F937/F$8*100,$F937)))))</f>
        <v/>
      </c>
      <c r="M937" s="54">
        <f>IF($B937=0,NA(),IF($G937="",NA(),IF(G$8="",NA(),IF(N(G$8)=0,NA(),IF(Inputs!$C$17="Rebased to 100",$G937/G$8*100,$G937)))))</f>
        <v/>
      </c>
      <c r="N937" s="54">
        <f>IF($B937=0,NA(),IF(Inputs!$C$18&lt;&gt;"Yes",NA(),IF(COUNT(I937,J937,K937,L937,M937)=0,NA(),MIN(I937,J937,K937,L937,M937))))</f>
        <v/>
      </c>
      <c r="O937" s="54">
        <f>IF($B937=0,NA(),IF(Inputs!$B$24&lt;&gt;"Yes",NA(),Inputs!$D$24*Inputs!$C$35))</f>
        <v/>
      </c>
      <c r="P937" s="54">
        <f>IF($B937=0,NA(),IF(Inputs!$B$25&lt;&gt;"Yes",NA(),Inputs!$D$25*Inputs!$C$35))</f>
        <v/>
      </c>
      <c r="Q937" s="54">
        <f>IF($B937=0,NA(),IF(Inputs!$B$26&lt;&gt;"Yes",NA(),Inputs!$D$26*Inputs!$C$35))</f>
        <v/>
      </c>
      <c r="R937" s="54">
        <f>IF($B937=0,NA(),IF(Inputs!$B$27&lt;&gt;"Yes",NA(),Inputs!$D$27*Inputs!$C$35))</f>
        <v/>
      </c>
      <c r="S937" s="54">
        <f>IF($B937=0,NA(),IF(Inputs!$B$28&lt;&gt;"Yes",NA(),Inputs!$D$28*Inputs!$C$35))</f>
        <v/>
      </c>
      <c r="T937" s="54">
        <f>IF($B937=0,NA(),IF(Inputs!$B$29&lt;&gt;"Yes",NA(),Inputs!$D$29*Inputs!$C$35))</f>
        <v/>
      </c>
      <c r="AD937">
        <f>IF($B937=0,0,IF(Inputs!$B$6="",0,COUNTIFS(Data!$A$10:$A$3209,"&gt;="&amp;$A937,Data!$A$10:$A$3209,"&lt;"&amp;$A937+1)))</f>
        <v/>
      </c>
      <c r="AE937">
        <f>IF($B937=0,0,IF(Inputs!$B$7="",0,COUNTIFS(Data!$E$10:$E$3209,"&gt;="&amp;$A937,Data!$E$10:$E$3209,"&lt;"&amp;$A937+1)))</f>
        <v/>
      </c>
      <c r="AF937">
        <f>IF($B937=0,0,IF(Inputs!$B$8="",0,COUNTIFS(Data!$I$10:$I$3209,"&gt;="&amp;$A937,Data!$I$10:$I$3209,"&lt;"&amp;$A937+1)))</f>
        <v/>
      </c>
      <c r="AG937">
        <f>IF($B937=0,0,IF(Inputs!$B$9="",0,COUNTIFS(Data!$M$10:$M$3209,"&gt;="&amp;$A937,Data!$M$10:$M$3209,"&lt;"&amp;$A937+1)))</f>
        <v/>
      </c>
      <c r="AH937">
        <f>IF($B937=0,0,IF(Inputs!$B$10="",0,COUNTIFS(Data!$Q$10:$Q$3209,"&gt;="&amp;$A937,Data!$Q$10:$Q$3209,"&lt;"&amp;$A937+1)))</f>
        <v/>
      </c>
    </row>
    <row r="938">
      <c r="A938" s="55">
        <f>MIN(Inputs!$C$15,$A937+IF(WEEKDAY($A937,2)=5,3,1))</f>
        <v/>
      </c>
      <c r="B938">
        <f>IF($A938&gt;$A937,1,0)</f>
        <v/>
      </c>
      <c r="C938" s="56">
        <f>IF($B938=0,"",IF(Inputs!$B$6="","",IF($AD938=0,C937,SUMIFS(Data!$B$10:$B$3209,Data!$A$10:$A$3209,"&gt;="&amp;$A938,Data!$A$10:$A$3209,"&lt;"&amp;$A938+1)/$AD938)))</f>
        <v/>
      </c>
      <c r="D938" s="56">
        <f>IF($B938=0,"",IF(Inputs!$B$7="","",IF($AE938=0,D937,SUMIFS(Data!$F$10:$F$3209,Data!$E$10:$E$3209,"&gt;="&amp;$A938,Data!$E$10:$E$3209,"&lt;"&amp;$A938+1)/$AE938)))</f>
        <v/>
      </c>
      <c r="E938" s="56">
        <f>IF($B938=0,"",IF(Inputs!$B$8="","",IF($AF938=0,E937,SUMIFS(Data!$J$10:$J$3209,Data!$I$10:$I$3209,"&gt;="&amp;$A938,Data!$I$10:$I$3209,"&lt;"&amp;$A938+1)/$AF938)))</f>
        <v/>
      </c>
      <c r="F938" s="56">
        <f>IF($B938=0,"",IF(Inputs!$B$9="","",IF($AG938=0,F937,SUMIFS(Data!$N$10:$N$3209,Data!$M$10:$M$3209,"&gt;="&amp;$A938,Data!$M$10:$M$3209,"&lt;"&amp;$A938+1)/$AG938)))</f>
        <v/>
      </c>
      <c r="G938" s="56">
        <f>IF($B938=0,"",IF(Inputs!$B$10="","",IF($AH938=0,G937,SUMIFS(Data!$R$10:$R$3209,Data!$Q$10:$Q$3209,"&gt;="&amp;$A938,Data!$Q$10:$Q$3209,"&lt;"&amp;$A938+1)/$AH938)))</f>
        <v/>
      </c>
      <c r="I938" s="54">
        <f>IF($B938=0,NA(),IF($C938="",NA(),IF(C$8="",NA(),IF(N(C$8)=0,NA(),IF(Inputs!$C$17="Rebased to 100",$C938/C$8*100,$C938)))))</f>
        <v/>
      </c>
      <c r="J938" s="54">
        <f>IF($B938=0,NA(),IF($D938="",NA(),IF(D$8="",NA(),IF(N(D$8)=0,NA(),IF(Inputs!$C$17="Rebased to 100",$D938/D$8*100,$D938)))))</f>
        <v/>
      </c>
      <c r="K938" s="54">
        <f>IF($B938=0,NA(),IF($E938="",NA(),IF(E$8="",NA(),IF(N(E$8)=0,NA(),IF(Inputs!$C$17="Rebased to 100",$E938/E$8*100,$E938)))))</f>
        <v/>
      </c>
      <c r="L938" s="54">
        <f>IF($B938=0,NA(),IF($F938="",NA(),IF(F$8="",NA(),IF(N(F$8)=0,NA(),IF(Inputs!$C$17="Rebased to 100",$F938/F$8*100,$F938)))))</f>
        <v/>
      </c>
      <c r="M938" s="54">
        <f>IF($B938=0,NA(),IF($G938="",NA(),IF(G$8="",NA(),IF(N(G$8)=0,NA(),IF(Inputs!$C$17="Rebased to 100",$G938/G$8*100,$G938)))))</f>
        <v/>
      </c>
      <c r="N938" s="54">
        <f>IF($B938=0,NA(),IF(Inputs!$C$18&lt;&gt;"Yes",NA(),IF(COUNT(I938,J938,K938,L938,M938)=0,NA(),MIN(I938,J938,K938,L938,M938))))</f>
        <v/>
      </c>
      <c r="O938" s="54">
        <f>IF($B938=0,NA(),IF(Inputs!$B$24&lt;&gt;"Yes",NA(),Inputs!$D$24*Inputs!$C$35))</f>
        <v/>
      </c>
      <c r="P938" s="54">
        <f>IF($B938=0,NA(),IF(Inputs!$B$25&lt;&gt;"Yes",NA(),Inputs!$D$25*Inputs!$C$35))</f>
        <v/>
      </c>
      <c r="Q938" s="54">
        <f>IF($B938=0,NA(),IF(Inputs!$B$26&lt;&gt;"Yes",NA(),Inputs!$D$26*Inputs!$C$35))</f>
        <v/>
      </c>
      <c r="R938" s="54">
        <f>IF($B938=0,NA(),IF(Inputs!$B$27&lt;&gt;"Yes",NA(),Inputs!$D$27*Inputs!$C$35))</f>
        <v/>
      </c>
      <c r="S938" s="54">
        <f>IF($B938=0,NA(),IF(Inputs!$B$28&lt;&gt;"Yes",NA(),Inputs!$D$28*Inputs!$C$35))</f>
        <v/>
      </c>
      <c r="T938" s="54">
        <f>IF($B938=0,NA(),IF(Inputs!$B$29&lt;&gt;"Yes",NA(),Inputs!$D$29*Inputs!$C$35))</f>
        <v/>
      </c>
      <c r="AD938">
        <f>IF($B938=0,0,IF(Inputs!$B$6="",0,COUNTIFS(Data!$A$10:$A$3209,"&gt;="&amp;$A938,Data!$A$10:$A$3209,"&lt;"&amp;$A938+1)))</f>
        <v/>
      </c>
      <c r="AE938">
        <f>IF($B938=0,0,IF(Inputs!$B$7="",0,COUNTIFS(Data!$E$10:$E$3209,"&gt;="&amp;$A938,Data!$E$10:$E$3209,"&lt;"&amp;$A938+1)))</f>
        <v/>
      </c>
      <c r="AF938">
        <f>IF($B938=0,0,IF(Inputs!$B$8="",0,COUNTIFS(Data!$I$10:$I$3209,"&gt;="&amp;$A938,Data!$I$10:$I$3209,"&lt;"&amp;$A938+1)))</f>
        <v/>
      </c>
      <c r="AG938">
        <f>IF($B938=0,0,IF(Inputs!$B$9="",0,COUNTIFS(Data!$M$10:$M$3209,"&gt;="&amp;$A938,Data!$M$10:$M$3209,"&lt;"&amp;$A938+1)))</f>
        <v/>
      </c>
      <c r="AH938">
        <f>IF($B938=0,0,IF(Inputs!$B$10="",0,COUNTIFS(Data!$Q$10:$Q$3209,"&gt;="&amp;$A938,Data!$Q$10:$Q$3209,"&lt;"&amp;$A938+1)))</f>
        <v/>
      </c>
    </row>
    <row r="939">
      <c r="A939" s="55">
        <f>MIN(Inputs!$C$15,$A938+IF(WEEKDAY($A938,2)=5,3,1))</f>
        <v/>
      </c>
      <c r="B939">
        <f>IF($A939&gt;$A938,1,0)</f>
        <v/>
      </c>
      <c r="C939" s="56">
        <f>IF($B939=0,"",IF(Inputs!$B$6="","",IF($AD939=0,C938,SUMIFS(Data!$B$10:$B$3209,Data!$A$10:$A$3209,"&gt;="&amp;$A939,Data!$A$10:$A$3209,"&lt;"&amp;$A939+1)/$AD939)))</f>
        <v/>
      </c>
      <c r="D939" s="56">
        <f>IF($B939=0,"",IF(Inputs!$B$7="","",IF($AE939=0,D938,SUMIFS(Data!$F$10:$F$3209,Data!$E$10:$E$3209,"&gt;="&amp;$A939,Data!$E$10:$E$3209,"&lt;"&amp;$A939+1)/$AE939)))</f>
        <v/>
      </c>
      <c r="E939" s="56">
        <f>IF($B939=0,"",IF(Inputs!$B$8="","",IF($AF939=0,E938,SUMIFS(Data!$J$10:$J$3209,Data!$I$10:$I$3209,"&gt;="&amp;$A939,Data!$I$10:$I$3209,"&lt;"&amp;$A939+1)/$AF939)))</f>
        <v/>
      </c>
      <c r="F939" s="56">
        <f>IF($B939=0,"",IF(Inputs!$B$9="","",IF($AG939=0,F938,SUMIFS(Data!$N$10:$N$3209,Data!$M$10:$M$3209,"&gt;="&amp;$A939,Data!$M$10:$M$3209,"&lt;"&amp;$A939+1)/$AG939)))</f>
        <v/>
      </c>
      <c r="G939" s="56">
        <f>IF($B939=0,"",IF(Inputs!$B$10="","",IF($AH939=0,G938,SUMIFS(Data!$R$10:$R$3209,Data!$Q$10:$Q$3209,"&gt;="&amp;$A939,Data!$Q$10:$Q$3209,"&lt;"&amp;$A939+1)/$AH939)))</f>
        <v/>
      </c>
      <c r="I939" s="54">
        <f>IF($B939=0,NA(),IF($C939="",NA(),IF(C$8="",NA(),IF(N(C$8)=0,NA(),IF(Inputs!$C$17="Rebased to 100",$C939/C$8*100,$C939)))))</f>
        <v/>
      </c>
      <c r="J939" s="54">
        <f>IF($B939=0,NA(),IF($D939="",NA(),IF(D$8="",NA(),IF(N(D$8)=0,NA(),IF(Inputs!$C$17="Rebased to 100",$D939/D$8*100,$D939)))))</f>
        <v/>
      </c>
      <c r="K939" s="54">
        <f>IF($B939=0,NA(),IF($E939="",NA(),IF(E$8="",NA(),IF(N(E$8)=0,NA(),IF(Inputs!$C$17="Rebased to 100",$E939/E$8*100,$E939)))))</f>
        <v/>
      </c>
      <c r="L939" s="54">
        <f>IF($B939=0,NA(),IF($F939="",NA(),IF(F$8="",NA(),IF(N(F$8)=0,NA(),IF(Inputs!$C$17="Rebased to 100",$F939/F$8*100,$F939)))))</f>
        <v/>
      </c>
      <c r="M939" s="54">
        <f>IF($B939=0,NA(),IF($G939="",NA(),IF(G$8="",NA(),IF(N(G$8)=0,NA(),IF(Inputs!$C$17="Rebased to 100",$G939/G$8*100,$G939)))))</f>
        <v/>
      </c>
      <c r="N939" s="54">
        <f>IF($B939=0,NA(),IF(Inputs!$C$18&lt;&gt;"Yes",NA(),IF(COUNT(I939,J939,K939,L939,M939)=0,NA(),MIN(I939,J939,K939,L939,M939))))</f>
        <v/>
      </c>
      <c r="O939" s="54">
        <f>IF($B939=0,NA(),IF(Inputs!$B$24&lt;&gt;"Yes",NA(),Inputs!$D$24*Inputs!$C$35))</f>
        <v/>
      </c>
      <c r="P939" s="54">
        <f>IF($B939=0,NA(),IF(Inputs!$B$25&lt;&gt;"Yes",NA(),Inputs!$D$25*Inputs!$C$35))</f>
        <v/>
      </c>
      <c r="Q939" s="54">
        <f>IF($B939=0,NA(),IF(Inputs!$B$26&lt;&gt;"Yes",NA(),Inputs!$D$26*Inputs!$C$35))</f>
        <v/>
      </c>
      <c r="R939" s="54">
        <f>IF($B939=0,NA(),IF(Inputs!$B$27&lt;&gt;"Yes",NA(),Inputs!$D$27*Inputs!$C$35))</f>
        <v/>
      </c>
      <c r="S939" s="54">
        <f>IF($B939=0,NA(),IF(Inputs!$B$28&lt;&gt;"Yes",NA(),Inputs!$D$28*Inputs!$C$35))</f>
        <v/>
      </c>
      <c r="T939" s="54">
        <f>IF($B939=0,NA(),IF(Inputs!$B$29&lt;&gt;"Yes",NA(),Inputs!$D$29*Inputs!$C$35))</f>
        <v/>
      </c>
      <c r="AD939">
        <f>IF($B939=0,0,IF(Inputs!$B$6="",0,COUNTIFS(Data!$A$10:$A$3209,"&gt;="&amp;$A939,Data!$A$10:$A$3209,"&lt;"&amp;$A939+1)))</f>
        <v/>
      </c>
      <c r="AE939">
        <f>IF($B939=0,0,IF(Inputs!$B$7="",0,COUNTIFS(Data!$E$10:$E$3209,"&gt;="&amp;$A939,Data!$E$10:$E$3209,"&lt;"&amp;$A939+1)))</f>
        <v/>
      </c>
      <c r="AF939">
        <f>IF($B939=0,0,IF(Inputs!$B$8="",0,COUNTIFS(Data!$I$10:$I$3209,"&gt;="&amp;$A939,Data!$I$10:$I$3209,"&lt;"&amp;$A939+1)))</f>
        <v/>
      </c>
      <c r="AG939">
        <f>IF($B939=0,0,IF(Inputs!$B$9="",0,COUNTIFS(Data!$M$10:$M$3209,"&gt;="&amp;$A939,Data!$M$10:$M$3209,"&lt;"&amp;$A939+1)))</f>
        <v/>
      </c>
      <c r="AH939">
        <f>IF($B939=0,0,IF(Inputs!$B$10="",0,COUNTIFS(Data!$Q$10:$Q$3209,"&gt;="&amp;$A939,Data!$Q$10:$Q$3209,"&lt;"&amp;$A939+1)))</f>
        <v/>
      </c>
    </row>
    <row r="940">
      <c r="A940" s="55">
        <f>MIN(Inputs!$C$15,$A939+IF(WEEKDAY($A939,2)=5,3,1))</f>
        <v/>
      </c>
      <c r="B940">
        <f>IF($A940&gt;$A939,1,0)</f>
        <v/>
      </c>
      <c r="C940" s="56">
        <f>IF($B940=0,"",IF(Inputs!$B$6="","",IF($AD940=0,C939,SUMIFS(Data!$B$10:$B$3209,Data!$A$10:$A$3209,"&gt;="&amp;$A940,Data!$A$10:$A$3209,"&lt;"&amp;$A940+1)/$AD940)))</f>
        <v/>
      </c>
      <c r="D940" s="56">
        <f>IF($B940=0,"",IF(Inputs!$B$7="","",IF($AE940=0,D939,SUMIFS(Data!$F$10:$F$3209,Data!$E$10:$E$3209,"&gt;="&amp;$A940,Data!$E$10:$E$3209,"&lt;"&amp;$A940+1)/$AE940)))</f>
        <v/>
      </c>
      <c r="E940" s="56">
        <f>IF($B940=0,"",IF(Inputs!$B$8="","",IF($AF940=0,E939,SUMIFS(Data!$J$10:$J$3209,Data!$I$10:$I$3209,"&gt;="&amp;$A940,Data!$I$10:$I$3209,"&lt;"&amp;$A940+1)/$AF940)))</f>
        <v/>
      </c>
      <c r="F940" s="56">
        <f>IF($B940=0,"",IF(Inputs!$B$9="","",IF($AG940=0,F939,SUMIFS(Data!$N$10:$N$3209,Data!$M$10:$M$3209,"&gt;="&amp;$A940,Data!$M$10:$M$3209,"&lt;"&amp;$A940+1)/$AG940)))</f>
        <v/>
      </c>
      <c r="G940" s="56">
        <f>IF($B940=0,"",IF(Inputs!$B$10="","",IF($AH940=0,G939,SUMIFS(Data!$R$10:$R$3209,Data!$Q$10:$Q$3209,"&gt;="&amp;$A940,Data!$Q$10:$Q$3209,"&lt;"&amp;$A940+1)/$AH940)))</f>
        <v/>
      </c>
      <c r="I940" s="54">
        <f>IF($B940=0,NA(),IF($C940="",NA(),IF(C$8="",NA(),IF(N(C$8)=0,NA(),IF(Inputs!$C$17="Rebased to 100",$C940/C$8*100,$C940)))))</f>
        <v/>
      </c>
      <c r="J940" s="54">
        <f>IF($B940=0,NA(),IF($D940="",NA(),IF(D$8="",NA(),IF(N(D$8)=0,NA(),IF(Inputs!$C$17="Rebased to 100",$D940/D$8*100,$D940)))))</f>
        <v/>
      </c>
      <c r="K940" s="54">
        <f>IF($B940=0,NA(),IF($E940="",NA(),IF(E$8="",NA(),IF(N(E$8)=0,NA(),IF(Inputs!$C$17="Rebased to 100",$E940/E$8*100,$E940)))))</f>
        <v/>
      </c>
      <c r="L940" s="54">
        <f>IF($B940=0,NA(),IF($F940="",NA(),IF(F$8="",NA(),IF(N(F$8)=0,NA(),IF(Inputs!$C$17="Rebased to 100",$F940/F$8*100,$F940)))))</f>
        <v/>
      </c>
      <c r="M940" s="54">
        <f>IF($B940=0,NA(),IF($G940="",NA(),IF(G$8="",NA(),IF(N(G$8)=0,NA(),IF(Inputs!$C$17="Rebased to 100",$G940/G$8*100,$G940)))))</f>
        <v/>
      </c>
      <c r="N940" s="54">
        <f>IF($B940=0,NA(),IF(Inputs!$C$18&lt;&gt;"Yes",NA(),IF(COUNT(I940,J940,K940,L940,M940)=0,NA(),MIN(I940,J940,K940,L940,M940))))</f>
        <v/>
      </c>
      <c r="O940" s="54">
        <f>IF($B940=0,NA(),IF(Inputs!$B$24&lt;&gt;"Yes",NA(),Inputs!$D$24*Inputs!$C$35))</f>
        <v/>
      </c>
      <c r="P940" s="54">
        <f>IF($B940=0,NA(),IF(Inputs!$B$25&lt;&gt;"Yes",NA(),Inputs!$D$25*Inputs!$C$35))</f>
        <v/>
      </c>
      <c r="Q940" s="54">
        <f>IF($B940=0,NA(),IF(Inputs!$B$26&lt;&gt;"Yes",NA(),Inputs!$D$26*Inputs!$C$35))</f>
        <v/>
      </c>
      <c r="R940" s="54">
        <f>IF($B940=0,NA(),IF(Inputs!$B$27&lt;&gt;"Yes",NA(),Inputs!$D$27*Inputs!$C$35))</f>
        <v/>
      </c>
      <c r="S940" s="54">
        <f>IF($B940=0,NA(),IF(Inputs!$B$28&lt;&gt;"Yes",NA(),Inputs!$D$28*Inputs!$C$35))</f>
        <v/>
      </c>
      <c r="T940" s="54">
        <f>IF($B940=0,NA(),IF(Inputs!$B$29&lt;&gt;"Yes",NA(),Inputs!$D$29*Inputs!$C$35))</f>
        <v/>
      </c>
      <c r="AD940">
        <f>IF($B940=0,0,IF(Inputs!$B$6="",0,COUNTIFS(Data!$A$10:$A$3209,"&gt;="&amp;$A940,Data!$A$10:$A$3209,"&lt;"&amp;$A940+1)))</f>
        <v/>
      </c>
      <c r="AE940">
        <f>IF($B940=0,0,IF(Inputs!$B$7="",0,COUNTIFS(Data!$E$10:$E$3209,"&gt;="&amp;$A940,Data!$E$10:$E$3209,"&lt;"&amp;$A940+1)))</f>
        <v/>
      </c>
      <c r="AF940">
        <f>IF($B940=0,0,IF(Inputs!$B$8="",0,COUNTIFS(Data!$I$10:$I$3209,"&gt;="&amp;$A940,Data!$I$10:$I$3209,"&lt;"&amp;$A940+1)))</f>
        <v/>
      </c>
      <c r="AG940">
        <f>IF($B940=0,0,IF(Inputs!$B$9="",0,COUNTIFS(Data!$M$10:$M$3209,"&gt;="&amp;$A940,Data!$M$10:$M$3209,"&lt;"&amp;$A940+1)))</f>
        <v/>
      </c>
      <c r="AH940">
        <f>IF($B940=0,0,IF(Inputs!$B$10="",0,COUNTIFS(Data!$Q$10:$Q$3209,"&gt;="&amp;$A940,Data!$Q$10:$Q$3209,"&lt;"&amp;$A940+1)))</f>
        <v/>
      </c>
    </row>
    <row r="941">
      <c r="A941" s="55">
        <f>MIN(Inputs!$C$15,$A940+IF(WEEKDAY($A940,2)=5,3,1))</f>
        <v/>
      </c>
      <c r="B941">
        <f>IF($A941&gt;$A940,1,0)</f>
        <v/>
      </c>
      <c r="C941" s="56">
        <f>IF($B941=0,"",IF(Inputs!$B$6="","",IF($AD941=0,C940,SUMIFS(Data!$B$10:$B$3209,Data!$A$10:$A$3209,"&gt;="&amp;$A941,Data!$A$10:$A$3209,"&lt;"&amp;$A941+1)/$AD941)))</f>
        <v/>
      </c>
      <c r="D941" s="56">
        <f>IF($B941=0,"",IF(Inputs!$B$7="","",IF($AE941=0,D940,SUMIFS(Data!$F$10:$F$3209,Data!$E$10:$E$3209,"&gt;="&amp;$A941,Data!$E$10:$E$3209,"&lt;"&amp;$A941+1)/$AE941)))</f>
        <v/>
      </c>
      <c r="E941" s="56">
        <f>IF($B941=0,"",IF(Inputs!$B$8="","",IF($AF941=0,E940,SUMIFS(Data!$J$10:$J$3209,Data!$I$10:$I$3209,"&gt;="&amp;$A941,Data!$I$10:$I$3209,"&lt;"&amp;$A941+1)/$AF941)))</f>
        <v/>
      </c>
      <c r="F941" s="56">
        <f>IF($B941=0,"",IF(Inputs!$B$9="","",IF($AG941=0,F940,SUMIFS(Data!$N$10:$N$3209,Data!$M$10:$M$3209,"&gt;="&amp;$A941,Data!$M$10:$M$3209,"&lt;"&amp;$A941+1)/$AG941)))</f>
        <v/>
      </c>
      <c r="G941" s="56">
        <f>IF($B941=0,"",IF(Inputs!$B$10="","",IF($AH941=0,G940,SUMIFS(Data!$R$10:$R$3209,Data!$Q$10:$Q$3209,"&gt;="&amp;$A941,Data!$Q$10:$Q$3209,"&lt;"&amp;$A941+1)/$AH941)))</f>
        <v/>
      </c>
      <c r="I941" s="54">
        <f>IF($B941=0,NA(),IF($C941="",NA(),IF(C$8="",NA(),IF(N(C$8)=0,NA(),IF(Inputs!$C$17="Rebased to 100",$C941/C$8*100,$C941)))))</f>
        <v/>
      </c>
      <c r="J941" s="54">
        <f>IF($B941=0,NA(),IF($D941="",NA(),IF(D$8="",NA(),IF(N(D$8)=0,NA(),IF(Inputs!$C$17="Rebased to 100",$D941/D$8*100,$D941)))))</f>
        <v/>
      </c>
      <c r="K941" s="54">
        <f>IF($B941=0,NA(),IF($E941="",NA(),IF(E$8="",NA(),IF(N(E$8)=0,NA(),IF(Inputs!$C$17="Rebased to 100",$E941/E$8*100,$E941)))))</f>
        <v/>
      </c>
      <c r="L941" s="54">
        <f>IF($B941=0,NA(),IF($F941="",NA(),IF(F$8="",NA(),IF(N(F$8)=0,NA(),IF(Inputs!$C$17="Rebased to 100",$F941/F$8*100,$F941)))))</f>
        <v/>
      </c>
      <c r="M941" s="54">
        <f>IF($B941=0,NA(),IF($G941="",NA(),IF(G$8="",NA(),IF(N(G$8)=0,NA(),IF(Inputs!$C$17="Rebased to 100",$G941/G$8*100,$G941)))))</f>
        <v/>
      </c>
      <c r="N941" s="54">
        <f>IF($B941=0,NA(),IF(Inputs!$C$18&lt;&gt;"Yes",NA(),IF(COUNT(I941,J941,K941,L941,M941)=0,NA(),MIN(I941,J941,K941,L941,M941))))</f>
        <v/>
      </c>
      <c r="O941" s="54">
        <f>IF($B941=0,NA(),IF(Inputs!$B$24&lt;&gt;"Yes",NA(),Inputs!$D$24*Inputs!$C$35))</f>
        <v/>
      </c>
      <c r="P941" s="54">
        <f>IF($B941=0,NA(),IF(Inputs!$B$25&lt;&gt;"Yes",NA(),Inputs!$D$25*Inputs!$C$35))</f>
        <v/>
      </c>
      <c r="Q941" s="54">
        <f>IF($B941=0,NA(),IF(Inputs!$B$26&lt;&gt;"Yes",NA(),Inputs!$D$26*Inputs!$C$35))</f>
        <v/>
      </c>
      <c r="R941" s="54">
        <f>IF($B941=0,NA(),IF(Inputs!$B$27&lt;&gt;"Yes",NA(),Inputs!$D$27*Inputs!$C$35))</f>
        <v/>
      </c>
      <c r="S941" s="54">
        <f>IF($B941=0,NA(),IF(Inputs!$B$28&lt;&gt;"Yes",NA(),Inputs!$D$28*Inputs!$C$35))</f>
        <v/>
      </c>
      <c r="T941" s="54">
        <f>IF($B941=0,NA(),IF(Inputs!$B$29&lt;&gt;"Yes",NA(),Inputs!$D$29*Inputs!$C$35))</f>
        <v/>
      </c>
      <c r="AD941">
        <f>IF($B941=0,0,IF(Inputs!$B$6="",0,COUNTIFS(Data!$A$10:$A$3209,"&gt;="&amp;$A941,Data!$A$10:$A$3209,"&lt;"&amp;$A941+1)))</f>
        <v/>
      </c>
      <c r="AE941">
        <f>IF($B941=0,0,IF(Inputs!$B$7="",0,COUNTIFS(Data!$E$10:$E$3209,"&gt;="&amp;$A941,Data!$E$10:$E$3209,"&lt;"&amp;$A941+1)))</f>
        <v/>
      </c>
      <c r="AF941">
        <f>IF($B941=0,0,IF(Inputs!$B$8="",0,COUNTIFS(Data!$I$10:$I$3209,"&gt;="&amp;$A941,Data!$I$10:$I$3209,"&lt;"&amp;$A941+1)))</f>
        <v/>
      </c>
      <c r="AG941">
        <f>IF($B941=0,0,IF(Inputs!$B$9="",0,COUNTIFS(Data!$M$10:$M$3209,"&gt;="&amp;$A941,Data!$M$10:$M$3209,"&lt;"&amp;$A941+1)))</f>
        <v/>
      </c>
      <c r="AH941">
        <f>IF($B941=0,0,IF(Inputs!$B$10="",0,COUNTIFS(Data!$Q$10:$Q$3209,"&gt;="&amp;$A941,Data!$Q$10:$Q$3209,"&lt;"&amp;$A941+1)))</f>
        <v/>
      </c>
    </row>
    <row r="942">
      <c r="A942" s="55">
        <f>MIN(Inputs!$C$15,$A941+IF(WEEKDAY($A941,2)=5,3,1))</f>
        <v/>
      </c>
      <c r="B942">
        <f>IF($A942&gt;$A941,1,0)</f>
        <v/>
      </c>
      <c r="C942" s="56">
        <f>IF($B942=0,"",IF(Inputs!$B$6="","",IF($AD942=0,C941,SUMIFS(Data!$B$10:$B$3209,Data!$A$10:$A$3209,"&gt;="&amp;$A942,Data!$A$10:$A$3209,"&lt;"&amp;$A942+1)/$AD942)))</f>
        <v/>
      </c>
      <c r="D942" s="56">
        <f>IF($B942=0,"",IF(Inputs!$B$7="","",IF($AE942=0,D941,SUMIFS(Data!$F$10:$F$3209,Data!$E$10:$E$3209,"&gt;="&amp;$A942,Data!$E$10:$E$3209,"&lt;"&amp;$A942+1)/$AE942)))</f>
        <v/>
      </c>
      <c r="E942" s="56">
        <f>IF($B942=0,"",IF(Inputs!$B$8="","",IF($AF942=0,E941,SUMIFS(Data!$J$10:$J$3209,Data!$I$10:$I$3209,"&gt;="&amp;$A942,Data!$I$10:$I$3209,"&lt;"&amp;$A942+1)/$AF942)))</f>
        <v/>
      </c>
      <c r="F942" s="56">
        <f>IF($B942=0,"",IF(Inputs!$B$9="","",IF($AG942=0,F941,SUMIFS(Data!$N$10:$N$3209,Data!$M$10:$M$3209,"&gt;="&amp;$A942,Data!$M$10:$M$3209,"&lt;"&amp;$A942+1)/$AG942)))</f>
        <v/>
      </c>
      <c r="G942" s="56">
        <f>IF($B942=0,"",IF(Inputs!$B$10="","",IF($AH942=0,G941,SUMIFS(Data!$R$10:$R$3209,Data!$Q$10:$Q$3209,"&gt;="&amp;$A942,Data!$Q$10:$Q$3209,"&lt;"&amp;$A942+1)/$AH942)))</f>
        <v/>
      </c>
      <c r="I942" s="54">
        <f>IF($B942=0,NA(),IF($C942="",NA(),IF(C$8="",NA(),IF(N(C$8)=0,NA(),IF(Inputs!$C$17="Rebased to 100",$C942/C$8*100,$C942)))))</f>
        <v/>
      </c>
      <c r="J942" s="54">
        <f>IF($B942=0,NA(),IF($D942="",NA(),IF(D$8="",NA(),IF(N(D$8)=0,NA(),IF(Inputs!$C$17="Rebased to 100",$D942/D$8*100,$D942)))))</f>
        <v/>
      </c>
      <c r="K942" s="54">
        <f>IF($B942=0,NA(),IF($E942="",NA(),IF(E$8="",NA(),IF(N(E$8)=0,NA(),IF(Inputs!$C$17="Rebased to 100",$E942/E$8*100,$E942)))))</f>
        <v/>
      </c>
      <c r="L942" s="54">
        <f>IF($B942=0,NA(),IF($F942="",NA(),IF(F$8="",NA(),IF(N(F$8)=0,NA(),IF(Inputs!$C$17="Rebased to 100",$F942/F$8*100,$F942)))))</f>
        <v/>
      </c>
      <c r="M942" s="54">
        <f>IF($B942=0,NA(),IF($G942="",NA(),IF(G$8="",NA(),IF(N(G$8)=0,NA(),IF(Inputs!$C$17="Rebased to 100",$G942/G$8*100,$G942)))))</f>
        <v/>
      </c>
      <c r="N942" s="54">
        <f>IF($B942=0,NA(),IF(Inputs!$C$18&lt;&gt;"Yes",NA(),IF(COUNT(I942,J942,K942,L942,M942)=0,NA(),MIN(I942,J942,K942,L942,M942))))</f>
        <v/>
      </c>
      <c r="O942" s="54">
        <f>IF($B942=0,NA(),IF(Inputs!$B$24&lt;&gt;"Yes",NA(),Inputs!$D$24*Inputs!$C$35))</f>
        <v/>
      </c>
      <c r="P942" s="54">
        <f>IF($B942=0,NA(),IF(Inputs!$B$25&lt;&gt;"Yes",NA(),Inputs!$D$25*Inputs!$C$35))</f>
        <v/>
      </c>
      <c r="Q942" s="54">
        <f>IF($B942=0,NA(),IF(Inputs!$B$26&lt;&gt;"Yes",NA(),Inputs!$D$26*Inputs!$C$35))</f>
        <v/>
      </c>
      <c r="R942" s="54">
        <f>IF($B942=0,NA(),IF(Inputs!$B$27&lt;&gt;"Yes",NA(),Inputs!$D$27*Inputs!$C$35))</f>
        <v/>
      </c>
      <c r="S942" s="54">
        <f>IF($B942=0,NA(),IF(Inputs!$B$28&lt;&gt;"Yes",NA(),Inputs!$D$28*Inputs!$C$35))</f>
        <v/>
      </c>
      <c r="T942" s="54">
        <f>IF($B942=0,NA(),IF(Inputs!$B$29&lt;&gt;"Yes",NA(),Inputs!$D$29*Inputs!$C$35))</f>
        <v/>
      </c>
      <c r="AD942">
        <f>IF($B942=0,0,IF(Inputs!$B$6="",0,COUNTIFS(Data!$A$10:$A$3209,"&gt;="&amp;$A942,Data!$A$10:$A$3209,"&lt;"&amp;$A942+1)))</f>
        <v/>
      </c>
      <c r="AE942">
        <f>IF($B942=0,0,IF(Inputs!$B$7="",0,COUNTIFS(Data!$E$10:$E$3209,"&gt;="&amp;$A942,Data!$E$10:$E$3209,"&lt;"&amp;$A942+1)))</f>
        <v/>
      </c>
      <c r="AF942">
        <f>IF($B942=0,0,IF(Inputs!$B$8="",0,COUNTIFS(Data!$I$10:$I$3209,"&gt;="&amp;$A942,Data!$I$10:$I$3209,"&lt;"&amp;$A942+1)))</f>
        <v/>
      </c>
      <c r="AG942">
        <f>IF($B942=0,0,IF(Inputs!$B$9="",0,COUNTIFS(Data!$M$10:$M$3209,"&gt;="&amp;$A942,Data!$M$10:$M$3209,"&lt;"&amp;$A942+1)))</f>
        <v/>
      </c>
      <c r="AH942">
        <f>IF($B942=0,0,IF(Inputs!$B$10="",0,COUNTIFS(Data!$Q$10:$Q$3209,"&gt;="&amp;$A942,Data!$Q$10:$Q$3209,"&lt;"&amp;$A942+1)))</f>
        <v/>
      </c>
    </row>
    <row r="943">
      <c r="A943" s="55">
        <f>MIN(Inputs!$C$15,$A942+IF(WEEKDAY($A942,2)=5,3,1))</f>
        <v/>
      </c>
      <c r="B943">
        <f>IF($A943&gt;$A942,1,0)</f>
        <v/>
      </c>
      <c r="C943" s="56">
        <f>IF($B943=0,"",IF(Inputs!$B$6="","",IF($AD943=0,C942,SUMIFS(Data!$B$10:$B$3209,Data!$A$10:$A$3209,"&gt;="&amp;$A943,Data!$A$10:$A$3209,"&lt;"&amp;$A943+1)/$AD943)))</f>
        <v/>
      </c>
      <c r="D943" s="56">
        <f>IF($B943=0,"",IF(Inputs!$B$7="","",IF($AE943=0,D942,SUMIFS(Data!$F$10:$F$3209,Data!$E$10:$E$3209,"&gt;="&amp;$A943,Data!$E$10:$E$3209,"&lt;"&amp;$A943+1)/$AE943)))</f>
        <v/>
      </c>
      <c r="E943" s="56">
        <f>IF($B943=0,"",IF(Inputs!$B$8="","",IF($AF943=0,E942,SUMIFS(Data!$J$10:$J$3209,Data!$I$10:$I$3209,"&gt;="&amp;$A943,Data!$I$10:$I$3209,"&lt;"&amp;$A943+1)/$AF943)))</f>
        <v/>
      </c>
      <c r="F943" s="56">
        <f>IF($B943=0,"",IF(Inputs!$B$9="","",IF($AG943=0,F942,SUMIFS(Data!$N$10:$N$3209,Data!$M$10:$M$3209,"&gt;="&amp;$A943,Data!$M$10:$M$3209,"&lt;"&amp;$A943+1)/$AG943)))</f>
        <v/>
      </c>
      <c r="G943" s="56">
        <f>IF($B943=0,"",IF(Inputs!$B$10="","",IF($AH943=0,G942,SUMIFS(Data!$R$10:$R$3209,Data!$Q$10:$Q$3209,"&gt;="&amp;$A943,Data!$Q$10:$Q$3209,"&lt;"&amp;$A943+1)/$AH943)))</f>
        <v/>
      </c>
      <c r="I943" s="54">
        <f>IF($B943=0,NA(),IF($C943="",NA(),IF(C$8="",NA(),IF(N(C$8)=0,NA(),IF(Inputs!$C$17="Rebased to 100",$C943/C$8*100,$C943)))))</f>
        <v/>
      </c>
      <c r="J943" s="54">
        <f>IF($B943=0,NA(),IF($D943="",NA(),IF(D$8="",NA(),IF(N(D$8)=0,NA(),IF(Inputs!$C$17="Rebased to 100",$D943/D$8*100,$D943)))))</f>
        <v/>
      </c>
      <c r="K943" s="54">
        <f>IF($B943=0,NA(),IF($E943="",NA(),IF(E$8="",NA(),IF(N(E$8)=0,NA(),IF(Inputs!$C$17="Rebased to 100",$E943/E$8*100,$E943)))))</f>
        <v/>
      </c>
      <c r="L943" s="54">
        <f>IF($B943=0,NA(),IF($F943="",NA(),IF(F$8="",NA(),IF(N(F$8)=0,NA(),IF(Inputs!$C$17="Rebased to 100",$F943/F$8*100,$F943)))))</f>
        <v/>
      </c>
      <c r="M943" s="54">
        <f>IF($B943=0,NA(),IF($G943="",NA(),IF(G$8="",NA(),IF(N(G$8)=0,NA(),IF(Inputs!$C$17="Rebased to 100",$G943/G$8*100,$G943)))))</f>
        <v/>
      </c>
      <c r="N943" s="54">
        <f>IF($B943=0,NA(),IF(Inputs!$C$18&lt;&gt;"Yes",NA(),IF(COUNT(I943,J943,K943,L943,M943)=0,NA(),MIN(I943,J943,K943,L943,M943))))</f>
        <v/>
      </c>
      <c r="O943" s="54">
        <f>IF($B943=0,NA(),IF(Inputs!$B$24&lt;&gt;"Yes",NA(),Inputs!$D$24*Inputs!$C$35))</f>
        <v/>
      </c>
      <c r="P943" s="54">
        <f>IF($B943=0,NA(),IF(Inputs!$B$25&lt;&gt;"Yes",NA(),Inputs!$D$25*Inputs!$C$35))</f>
        <v/>
      </c>
      <c r="Q943" s="54">
        <f>IF($B943=0,NA(),IF(Inputs!$B$26&lt;&gt;"Yes",NA(),Inputs!$D$26*Inputs!$C$35))</f>
        <v/>
      </c>
      <c r="R943" s="54">
        <f>IF($B943=0,NA(),IF(Inputs!$B$27&lt;&gt;"Yes",NA(),Inputs!$D$27*Inputs!$C$35))</f>
        <v/>
      </c>
      <c r="S943" s="54">
        <f>IF($B943=0,NA(),IF(Inputs!$B$28&lt;&gt;"Yes",NA(),Inputs!$D$28*Inputs!$C$35))</f>
        <v/>
      </c>
      <c r="T943" s="54">
        <f>IF($B943=0,NA(),IF(Inputs!$B$29&lt;&gt;"Yes",NA(),Inputs!$D$29*Inputs!$C$35))</f>
        <v/>
      </c>
      <c r="AD943">
        <f>IF($B943=0,0,IF(Inputs!$B$6="",0,COUNTIFS(Data!$A$10:$A$3209,"&gt;="&amp;$A943,Data!$A$10:$A$3209,"&lt;"&amp;$A943+1)))</f>
        <v/>
      </c>
      <c r="AE943">
        <f>IF($B943=0,0,IF(Inputs!$B$7="",0,COUNTIFS(Data!$E$10:$E$3209,"&gt;="&amp;$A943,Data!$E$10:$E$3209,"&lt;"&amp;$A943+1)))</f>
        <v/>
      </c>
      <c r="AF943">
        <f>IF($B943=0,0,IF(Inputs!$B$8="",0,COUNTIFS(Data!$I$10:$I$3209,"&gt;="&amp;$A943,Data!$I$10:$I$3209,"&lt;"&amp;$A943+1)))</f>
        <v/>
      </c>
      <c r="AG943">
        <f>IF($B943=0,0,IF(Inputs!$B$9="",0,COUNTIFS(Data!$M$10:$M$3209,"&gt;="&amp;$A943,Data!$M$10:$M$3209,"&lt;"&amp;$A943+1)))</f>
        <v/>
      </c>
      <c r="AH943">
        <f>IF($B943=0,0,IF(Inputs!$B$10="",0,COUNTIFS(Data!$Q$10:$Q$3209,"&gt;="&amp;$A943,Data!$Q$10:$Q$3209,"&lt;"&amp;$A943+1)))</f>
        <v/>
      </c>
    </row>
    <row r="944">
      <c r="A944" s="55">
        <f>MIN(Inputs!$C$15,$A943+IF(WEEKDAY($A943,2)=5,3,1))</f>
        <v/>
      </c>
      <c r="B944">
        <f>IF($A944&gt;$A943,1,0)</f>
        <v/>
      </c>
      <c r="C944" s="56">
        <f>IF($B944=0,"",IF(Inputs!$B$6="","",IF($AD944=0,C943,SUMIFS(Data!$B$10:$B$3209,Data!$A$10:$A$3209,"&gt;="&amp;$A944,Data!$A$10:$A$3209,"&lt;"&amp;$A944+1)/$AD944)))</f>
        <v/>
      </c>
      <c r="D944" s="56">
        <f>IF($B944=0,"",IF(Inputs!$B$7="","",IF($AE944=0,D943,SUMIFS(Data!$F$10:$F$3209,Data!$E$10:$E$3209,"&gt;="&amp;$A944,Data!$E$10:$E$3209,"&lt;"&amp;$A944+1)/$AE944)))</f>
        <v/>
      </c>
      <c r="E944" s="56">
        <f>IF($B944=0,"",IF(Inputs!$B$8="","",IF($AF944=0,E943,SUMIFS(Data!$J$10:$J$3209,Data!$I$10:$I$3209,"&gt;="&amp;$A944,Data!$I$10:$I$3209,"&lt;"&amp;$A944+1)/$AF944)))</f>
        <v/>
      </c>
      <c r="F944" s="56">
        <f>IF($B944=0,"",IF(Inputs!$B$9="","",IF($AG944=0,F943,SUMIFS(Data!$N$10:$N$3209,Data!$M$10:$M$3209,"&gt;="&amp;$A944,Data!$M$10:$M$3209,"&lt;"&amp;$A944+1)/$AG944)))</f>
        <v/>
      </c>
      <c r="G944" s="56">
        <f>IF($B944=0,"",IF(Inputs!$B$10="","",IF($AH944=0,G943,SUMIFS(Data!$R$10:$R$3209,Data!$Q$10:$Q$3209,"&gt;="&amp;$A944,Data!$Q$10:$Q$3209,"&lt;"&amp;$A944+1)/$AH944)))</f>
        <v/>
      </c>
      <c r="I944" s="54">
        <f>IF($B944=0,NA(),IF($C944="",NA(),IF(C$8="",NA(),IF(N(C$8)=0,NA(),IF(Inputs!$C$17="Rebased to 100",$C944/C$8*100,$C944)))))</f>
        <v/>
      </c>
      <c r="J944" s="54">
        <f>IF($B944=0,NA(),IF($D944="",NA(),IF(D$8="",NA(),IF(N(D$8)=0,NA(),IF(Inputs!$C$17="Rebased to 100",$D944/D$8*100,$D944)))))</f>
        <v/>
      </c>
      <c r="K944" s="54">
        <f>IF($B944=0,NA(),IF($E944="",NA(),IF(E$8="",NA(),IF(N(E$8)=0,NA(),IF(Inputs!$C$17="Rebased to 100",$E944/E$8*100,$E944)))))</f>
        <v/>
      </c>
      <c r="L944" s="54">
        <f>IF($B944=0,NA(),IF($F944="",NA(),IF(F$8="",NA(),IF(N(F$8)=0,NA(),IF(Inputs!$C$17="Rebased to 100",$F944/F$8*100,$F944)))))</f>
        <v/>
      </c>
      <c r="M944" s="54">
        <f>IF($B944=0,NA(),IF($G944="",NA(),IF(G$8="",NA(),IF(N(G$8)=0,NA(),IF(Inputs!$C$17="Rebased to 100",$G944/G$8*100,$G944)))))</f>
        <v/>
      </c>
      <c r="N944" s="54">
        <f>IF($B944=0,NA(),IF(Inputs!$C$18&lt;&gt;"Yes",NA(),IF(COUNT(I944,J944,K944,L944,M944)=0,NA(),MIN(I944,J944,K944,L944,M944))))</f>
        <v/>
      </c>
      <c r="O944" s="54">
        <f>IF($B944=0,NA(),IF(Inputs!$B$24&lt;&gt;"Yes",NA(),Inputs!$D$24*Inputs!$C$35))</f>
        <v/>
      </c>
      <c r="P944" s="54">
        <f>IF($B944=0,NA(),IF(Inputs!$B$25&lt;&gt;"Yes",NA(),Inputs!$D$25*Inputs!$C$35))</f>
        <v/>
      </c>
      <c r="Q944" s="54">
        <f>IF($B944=0,NA(),IF(Inputs!$B$26&lt;&gt;"Yes",NA(),Inputs!$D$26*Inputs!$C$35))</f>
        <v/>
      </c>
      <c r="R944" s="54">
        <f>IF($B944=0,NA(),IF(Inputs!$B$27&lt;&gt;"Yes",NA(),Inputs!$D$27*Inputs!$C$35))</f>
        <v/>
      </c>
      <c r="S944" s="54">
        <f>IF($B944=0,NA(),IF(Inputs!$B$28&lt;&gt;"Yes",NA(),Inputs!$D$28*Inputs!$C$35))</f>
        <v/>
      </c>
      <c r="T944" s="54">
        <f>IF($B944=0,NA(),IF(Inputs!$B$29&lt;&gt;"Yes",NA(),Inputs!$D$29*Inputs!$C$35))</f>
        <v/>
      </c>
      <c r="AD944">
        <f>IF($B944=0,0,IF(Inputs!$B$6="",0,COUNTIFS(Data!$A$10:$A$3209,"&gt;="&amp;$A944,Data!$A$10:$A$3209,"&lt;"&amp;$A944+1)))</f>
        <v/>
      </c>
      <c r="AE944">
        <f>IF($B944=0,0,IF(Inputs!$B$7="",0,COUNTIFS(Data!$E$10:$E$3209,"&gt;="&amp;$A944,Data!$E$10:$E$3209,"&lt;"&amp;$A944+1)))</f>
        <v/>
      </c>
      <c r="AF944">
        <f>IF($B944=0,0,IF(Inputs!$B$8="",0,COUNTIFS(Data!$I$10:$I$3209,"&gt;="&amp;$A944,Data!$I$10:$I$3209,"&lt;"&amp;$A944+1)))</f>
        <v/>
      </c>
      <c r="AG944">
        <f>IF($B944=0,0,IF(Inputs!$B$9="",0,COUNTIFS(Data!$M$10:$M$3209,"&gt;="&amp;$A944,Data!$M$10:$M$3209,"&lt;"&amp;$A944+1)))</f>
        <v/>
      </c>
      <c r="AH944">
        <f>IF($B944=0,0,IF(Inputs!$B$10="",0,COUNTIFS(Data!$Q$10:$Q$3209,"&gt;="&amp;$A944,Data!$Q$10:$Q$3209,"&lt;"&amp;$A944+1)))</f>
        <v/>
      </c>
    </row>
    <row r="945">
      <c r="A945" s="55">
        <f>MIN(Inputs!$C$15,$A944+IF(WEEKDAY($A944,2)=5,3,1))</f>
        <v/>
      </c>
      <c r="B945">
        <f>IF($A945&gt;$A944,1,0)</f>
        <v/>
      </c>
      <c r="C945" s="56">
        <f>IF($B945=0,"",IF(Inputs!$B$6="","",IF($AD945=0,C944,SUMIFS(Data!$B$10:$B$3209,Data!$A$10:$A$3209,"&gt;="&amp;$A945,Data!$A$10:$A$3209,"&lt;"&amp;$A945+1)/$AD945)))</f>
        <v/>
      </c>
      <c r="D945" s="56">
        <f>IF($B945=0,"",IF(Inputs!$B$7="","",IF($AE945=0,D944,SUMIFS(Data!$F$10:$F$3209,Data!$E$10:$E$3209,"&gt;="&amp;$A945,Data!$E$10:$E$3209,"&lt;"&amp;$A945+1)/$AE945)))</f>
        <v/>
      </c>
      <c r="E945" s="56">
        <f>IF($B945=0,"",IF(Inputs!$B$8="","",IF($AF945=0,E944,SUMIFS(Data!$J$10:$J$3209,Data!$I$10:$I$3209,"&gt;="&amp;$A945,Data!$I$10:$I$3209,"&lt;"&amp;$A945+1)/$AF945)))</f>
        <v/>
      </c>
      <c r="F945" s="56">
        <f>IF($B945=0,"",IF(Inputs!$B$9="","",IF($AG945=0,F944,SUMIFS(Data!$N$10:$N$3209,Data!$M$10:$M$3209,"&gt;="&amp;$A945,Data!$M$10:$M$3209,"&lt;"&amp;$A945+1)/$AG945)))</f>
        <v/>
      </c>
      <c r="G945" s="56">
        <f>IF($B945=0,"",IF(Inputs!$B$10="","",IF($AH945=0,G944,SUMIFS(Data!$R$10:$R$3209,Data!$Q$10:$Q$3209,"&gt;="&amp;$A945,Data!$Q$10:$Q$3209,"&lt;"&amp;$A945+1)/$AH945)))</f>
        <v/>
      </c>
      <c r="I945" s="54">
        <f>IF($B945=0,NA(),IF($C945="",NA(),IF(C$8="",NA(),IF(N(C$8)=0,NA(),IF(Inputs!$C$17="Rebased to 100",$C945/C$8*100,$C945)))))</f>
        <v/>
      </c>
      <c r="J945" s="54">
        <f>IF($B945=0,NA(),IF($D945="",NA(),IF(D$8="",NA(),IF(N(D$8)=0,NA(),IF(Inputs!$C$17="Rebased to 100",$D945/D$8*100,$D945)))))</f>
        <v/>
      </c>
      <c r="K945" s="54">
        <f>IF($B945=0,NA(),IF($E945="",NA(),IF(E$8="",NA(),IF(N(E$8)=0,NA(),IF(Inputs!$C$17="Rebased to 100",$E945/E$8*100,$E945)))))</f>
        <v/>
      </c>
      <c r="L945" s="54">
        <f>IF($B945=0,NA(),IF($F945="",NA(),IF(F$8="",NA(),IF(N(F$8)=0,NA(),IF(Inputs!$C$17="Rebased to 100",$F945/F$8*100,$F945)))))</f>
        <v/>
      </c>
      <c r="M945" s="54">
        <f>IF($B945=0,NA(),IF($G945="",NA(),IF(G$8="",NA(),IF(N(G$8)=0,NA(),IF(Inputs!$C$17="Rebased to 100",$G945/G$8*100,$G945)))))</f>
        <v/>
      </c>
      <c r="N945" s="54">
        <f>IF($B945=0,NA(),IF(Inputs!$C$18&lt;&gt;"Yes",NA(),IF(COUNT(I945,J945,K945,L945,M945)=0,NA(),MIN(I945,J945,K945,L945,M945))))</f>
        <v/>
      </c>
      <c r="O945" s="54">
        <f>IF($B945=0,NA(),IF(Inputs!$B$24&lt;&gt;"Yes",NA(),Inputs!$D$24*Inputs!$C$35))</f>
        <v/>
      </c>
      <c r="P945" s="54">
        <f>IF($B945=0,NA(),IF(Inputs!$B$25&lt;&gt;"Yes",NA(),Inputs!$D$25*Inputs!$C$35))</f>
        <v/>
      </c>
      <c r="Q945" s="54">
        <f>IF($B945=0,NA(),IF(Inputs!$B$26&lt;&gt;"Yes",NA(),Inputs!$D$26*Inputs!$C$35))</f>
        <v/>
      </c>
      <c r="R945" s="54">
        <f>IF($B945=0,NA(),IF(Inputs!$B$27&lt;&gt;"Yes",NA(),Inputs!$D$27*Inputs!$C$35))</f>
        <v/>
      </c>
      <c r="S945" s="54">
        <f>IF($B945=0,NA(),IF(Inputs!$B$28&lt;&gt;"Yes",NA(),Inputs!$D$28*Inputs!$C$35))</f>
        <v/>
      </c>
      <c r="T945" s="54">
        <f>IF($B945=0,NA(),IF(Inputs!$B$29&lt;&gt;"Yes",NA(),Inputs!$D$29*Inputs!$C$35))</f>
        <v/>
      </c>
      <c r="AD945">
        <f>IF($B945=0,0,IF(Inputs!$B$6="",0,COUNTIFS(Data!$A$10:$A$3209,"&gt;="&amp;$A945,Data!$A$10:$A$3209,"&lt;"&amp;$A945+1)))</f>
        <v/>
      </c>
      <c r="AE945">
        <f>IF($B945=0,0,IF(Inputs!$B$7="",0,COUNTIFS(Data!$E$10:$E$3209,"&gt;="&amp;$A945,Data!$E$10:$E$3209,"&lt;"&amp;$A945+1)))</f>
        <v/>
      </c>
      <c r="AF945">
        <f>IF($B945=0,0,IF(Inputs!$B$8="",0,COUNTIFS(Data!$I$10:$I$3209,"&gt;="&amp;$A945,Data!$I$10:$I$3209,"&lt;"&amp;$A945+1)))</f>
        <v/>
      </c>
      <c r="AG945">
        <f>IF($B945=0,0,IF(Inputs!$B$9="",0,COUNTIFS(Data!$M$10:$M$3209,"&gt;="&amp;$A945,Data!$M$10:$M$3209,"&lt;"&amp;$A945+1)))</f>
        <v/>
      </c>
      <c r="AH945">
        <f>IF($B945=0,0,IF(Inputs!$B$10="",0,COUNTIFS(Data!$Q$10:$Q$3209,"&gt;="&amp;$A945,Data!$Q$10:$Q$3209,"&lt;"&amp;$A945+1)))</f>
        <v/>
      </c>
    </row>
    <row r="946">
      <c r="A946" s="55">
        <f>MIN(Inputs!$C$15,$A945+IF(WEEKDAY($A945,2)=5,3,1))</f>
        <v/>
      </c>
      <c r="B946">
        <f>IF($A946&gt;$A945,1,0)</f>
        <v/>
      </c>
      <c r="C946" s="56">
        <f>IF($B946=0,"",IF(Inputs!$B$6="","",IF($AD946=0,C945,SUMIFS(Data!$B$10:$B$3209,Data!$A$10:$A$3209,"&gt;="&amp;$A946,Data!$A$10:$A$3209,"&lt;"&amp;$A946+1)/$AD946)))</f>
        <v/>
      </c>
      <c r="D946" s="56">
        <f>IF($B946=0,"",IF(Inputs!$B$7="","",IF($AE946=0,D945,SUMIFS(Data!$F$10:$F$3209,Data!$E$10:$E$3209,"&gt;="&amp;$A946,Data!$E$10:$E$3209,"&lt;"&amp;$A946+1)/$AE946)))</f>
        <v/>
      </c>
      <c r="E946" s="56">
        <f>IF($B946=0,"",IF(Inputs!$B$8="","",IF($AF946=0,E945,SUMIFS(Data!$J$10:$J$3209,Data!$I$10:$I$3209,"&gt;="&amp;$A946,Data!$I$10:$I$3209,"&lt;"&amp;$A946+1)/$AF946)))</f>
        <v/>
      </c>
      <c r="F946" s="56">
        <f>IF($B946=0,"",IF(Inputs!$B$9="","",IF($AG946=0,F945,SUMIFS(Data!$N$10:$N$3209,Data!$M$10:$M$3209,"&gt;="&amp;$A946,Data!$M$10:$M$3209,"&lt;"&amp;$A946+1)/$AG946)))</f>
        <v/>
      </c>
      <c r="G946" s="56">
        <f>IF($B946=0,"",IF(Inputs!$B$10="","",IF($AH946=0,G945,SUMIFS(Data!$R$10:$R$3209,Data!$Q$10:$Q$3209,"&gt;="&amp;$A946,Data!$Q$10:$Q$3209,"&lt;"&amp;$A946+1)/$AH946)))</f>
        <v/>
      </c>
      <c r="I946" s="54">
        <f>IF($B946=0,NA(),IF($C946="",NA(),IF(C$8="",NA(),IF(N(C$8)=0,NA(),IF(Inputs!$C$17="Rebased to 100",$C946/C$8*100,$C946)))))</f>
        <v/>
      </c>
      <c r="J946" s="54">
        <f>IF($B946=0,NA(),IF($D946="",NA(),IF(D$8="",NA(),IF(N(D$8)=0,NA(),IF(Inputs!$C$17="Rebased to 100",$D946/D$8*100,$D946)))))</f>
        <v/>
      </c>
      <c r="K946" s="54">
        <f>IF($B946=0,NA(),IF($E946="",NA(),IF(E$8="",NA(),IF(N(E$8)=0,NA(),IF(Inputs!$C$17="Rebased to 100",$E946/E$8*100,$E946)))))</f>
        <v/>
      </c>
      <c r="L946" s="54">
        <f>IF($B946=0,NA(),IF($F946="",NA(),IF(F$8="",NA(),IF(N(F$8)=0,NA(),IF(Inputs!$C$17="Rebased to 100",$F946/F$8*100,$F946)))))</f>
        <v/>
      </c>
      <c r="M946" s="54">
        <f>IF($B946=0,NA(),IF($G946="",NA(),IF(G$8="",NA(),IF(N(G$8)=0,NA(),IF(Inputs!$C$17="Rebased to 100",$G946/G$8*100,$G946)))))</f>
        <v/>
      </c>
      <c r="N946" s="54">
        <f>IF($B946=0,NA(),IF(Inputs!$C$18&lt;&gt;"Yes",NA(),IF(COUNT(I946,J946,K946,L946,M946)=0,NA(),MIN(I946,J946,K946,L946,M946))))</f>
        <v/>
      </c>
      <c r="O946" s="54">
        <f>IF($B946=0,NA(),IF(Inputs!$B$24&lt;&gt;"Yes",NA(),Inputs!$D$24*Inputs!$C$35))</f>
        <v/>
      </c>
      <c r="P946" s="54">
        <f>IF($B946=0,NA(),IF(Inputs!$B$25&lt;&gt;"Yes",NA(),Inputs!$D$25*Inputs!$C$35))</f>
        <v/>
      </c>
      <c r="Q946" s="54">
        <f>IF($B946=0,NA(),IF(Inputs!$B$26&lt;&gt;"Yes",NA(),Inputs!$D$26*Inputs!$C$35))</f>
        <v/>
      </c>
      <c r="R946" s="54">
        <f>IF($B946=0,NA(),IF(Inputs!$B$27&lt;&gt;"Yes",NA(),Inputs!$D$27*Inputs!$C$35))</f>
        <v/>
      </c>
      <c r="S946" s="54">
        <f>IF($B946=0,NA(),IF(Inputs!$B$28&lt;&gt;"Yes",NA(),Inputs!$D$28*Inputs!$C$35))</f>
        <v/>
      </c>
      <c r="T946" s="54">
        <f>IF($B946=0,NA(),IF(Inputs!$B$29&lt;&gt;"Yes",NA(),Inputs!$D$29*Inputs!$C$35))</f>
        <v/>
      </c>
      <c r="AD946">
        <f>IF($B946=0,0,IF(Inputs!$B$6="",0,COUNTIFS(Data!$A$10:$A$3209,"&gt;="&amp;$A946,Data!$A$10:$A$3209,"&lt;"&amp;$A946+1)))</f>
        <v/>
      </c>
      <c r="AE946">
        <f>IF($B946=0,0,IF(Inputs!$B$7="",0,COUNTIFS(Data!$E$10:$E$3209,"&gt;="&amp;$A946,Data!$E$10:$E$3209,"&lt;"&amp;$A946+1)))</f>
        <v/>
      </c>
      <c r="AF946">
        <f>IF($B946=0,0,IF(Inputs!$B$8="",0,COUNTIFS(Data!$I$10:$I$3209,"&gt;="&amp;$A946,Data!$I$10:$I$3209,"&lt;"&amp;$A946+1)))</f>
        <v/>
      </c>
      <c r="AG946">
        <f>IF($B946=0,0,IF(Inputs!$B$9="",0,COUNTIFS(Data!$M$10:$M$3209,"&gt;="&amp;$A946,Data!$M$10:$M$3209,"&lt;"&amp;$A946+1)))</f>
        <v/>
      </c>
      <c r="AH946">
        <f>IF($B946=0,0,IF(Inputs!$B$10="",0,COUNTIFS(Data!$Q$10:$Q$3209,"&gt;="&amp;$A946,Data!$Q$10:$Q$3209,"&lt;"&amp;$A946+1)))</f>
        <v/>
      </c>
    </row>
    <row r="947">
      <c r="A947" s="55">
        <f>MIN(Inputs!$C$15,$A946+IF(WEEKDAY($A946,2)=5,3,1))</f>
        <v/>
      </c>
      <c r="B947">
        <f>IF($A947&gt;$A946,1,0)</f>
        <v/>
      </c>
      <c r="C947" s="56">
        <f>IF($B947=0,"",IF(Inputs!$B$6="","",IF($AD947=0,C946,SUMIFS(Data!$B$10:$B$3209,Data!$A$10:$A$3209,"&gt;="&amp;$A947,Data!$A$10:$A$3209,"&lt;"&amp;$A947+1)/$AD947)))</f>
        <v/>
      </c>
      <c r="D947" s="56">
        <f>IF($B947=0,"",IF(Inputs!$B$7="","",IF($AE947=0,D946,SUMIFS(Data!$F$10:$F$3209,Data!$E$10:$E$3209,"&gt;="&amp;$A947,Data!$E$10:$E$3209,"&lt;"&amp;$A947+1)/$AE947)))</f>
        <v/>
      </c>
      <c r="E947" s="56">
        <f>IF($B947=0,"",IF(Inputs!$B$8="","",IF($AF947=0,E946,SUMIFS(Data!$J$10:$J$3209,Data!$I$10:$I$3209,"&gt;="&amp;$A947,Data!$I$10:$I$3209,"&lt;"&amp;$A947+1)/$AF947)))</f>
        <v/>
      </c>
      <c r="F947" s="56">
        <f>IF($B947=0,"",IF(Inputs!$B$9="","",IF($AG947=0,F946,SUMIFS(Data!$N$10:$N$3209,Data!$M$10:$M$3209,"&gt;="&amp;$A947,Data!$M$10:$M$3209,"&lt;"&amp;$A947+1)/$AG947)))</f>
        <v/>
      </c>
      <c r="G947" s="56">
        <f>IF($B947=0,"",IF(Inputs!$B$10="","",IF($AH947=0,G946,SUMIFS(Data!$R$10:$R$3209,Data!$Q$10:$Q$3209,"&gt;="&amp;$A947,Data!$Q$10:$Q$3209,"&lt;"&amp;$A947+1)/$AH947)))</f>
        <v/>
      </c>
      <c r="I947" s="54">
        <f>IF($B947=0,NA(),IF($C947="",NA(),IF(C$8="",NA(),IF(N(C$8)=0,NA(),IF(Inputs!$C$17="Rebased to 100",$C947/C$8*100,$C947)))))</f>
        <v/>
      </c>
      <c r="J947" s="54">
        <f>IF($B947=0,NA(),IF($D947="",NA(),IF(D$8="",NA(),IF(N(D$8)=0,NA(),IF(Inputs!$C$17="Rebased to 100",$D947/D$8*100,$D947)))))</f>
        <v/>
      </c>
      <c r="K947" s="54">
        <f>IF($B947=0,NA(),IF($E947="",NA(),IF(E$8="",NA(),IF(N(E$8)=0,NA(),IF(Inputs!$C$17="Rebased to 100",$E947/E$8*100,$E947)))))</f>
        <v/>
      </c>
      <c r="L947" s="54">
        <f>IF($B947=0,NA(),IF($F947="",NA(),IF(F$8="",NA(),IF(N(F$8)=0,NA(),IF(Inputs!$C$17="Rebased to 100",$F947/F$8*100,$F947)))))</f>
        <v/>
      </c>
      <c r="M947" s="54">
        <f>IF($B947=0,NA(),IF($G947="",NA(),IF(G$8="",NA(),IF(N(G$8)=0,NA(),IF(Inputs!$C$17="Rebased to 100",$G947/G$8*100,$G947)))))</f>
        <v/>
      </c>
      <c r="N947" s="54">
        <f>IF($B947=0,NA(),IF(Inputs!$C$18&lt;&gt;"Yes",NA(),IF(COUNT(I947,J947,K947,L947,M947)=0,NA(),MIN(I947,J947,K947,L947,M947))))</f>
        <v/>
      </c>
      <c r="O947" s="54">
        <f>IF($B947=0,NA(),IF(Inputs!$B$24&lt;&gt;"Yes",NA(),Inputs!$D$24*Inputs!$C$35))</f>
        <v/>
      </c>
      <c r="P947" s="54">
        <f>IF($B947=0,NA(),IF(Inputs!$B$25&lt;&gt;"Yes",NA(),Inputs!$D$25*Inputs!$C$35))</f>
        <v/>
      </c>
      <c r="Q947" s="54">
        <f>IF($B947=0,NA(),IF(Inputs!$B$26&lt;&gt;"Yes",NA(),Inputs!$D$26*Inputs!$C$35))</f>
        <v/>
      </c>
      <c r="R947" s="54">
        <f>IF($B947=0,NA(),IF(Inputs!$B$27&lt;&gt;"Yes",NA(),Inputs!$D$27*Inputs!$C$35))</f>
        <v/>
      </c>
      <c r="S947" s="54">
        <f>IF($B947=0,NA(),IF(Inputs!$B$28&lt;&gt;"Yes",NA(),Inputs!$D$28*Inputs!$C$35))</f>
        <v/>
      </c>
      <c r="T947" s="54">
        <f>IF($B947=0,NA(),IF(Inputs!$B$29&lt;&gt;"Yes",NA(),Inputs!$D$29*Inputs!$C$35))</f>
        <v/>
      </c>
      <c r="AD947">
        <f>IF($B947=0,0,IF(Inputs!$B$6="",0,COUNTIFS(Data!$A$10:$A$3209,"&gt;="&amp;$A947,Data!$A$10:$A$3209,"&lt;"&amp;$A947+1)))</f>
        <v/>
      </c>
      <c r="AE947">
        <f>IF($B947=0,0,IF(Inputs!$B$7="",0,COUNTIFS(Data!$E$10:$E$3209,"&gt;="&amp;$A947,Data!$E$10:$E$3209,"&lt;"&amp;$A947+1)))</f>
        <v/>
      </c>
      <c r="AF947">
        <f>IF($B947=0,0,IF(Inputs!$B$8="",0,COUNTIFS(Data!$I$10:$I$3209,"&gt;="&amp;$A947,Data!$I$10:$I$3209,"&lt;"&amp;$A947+1)))</f>
        <v/>
      </c>
      <c r="AG947">
        <f>IF($B947=0,0,IF(Inputs!$B$9="",0,COUNTIFS(Data!$M$10:$M$3209,"&gt;="&amp;$A947,Data!$M$10:$M$3209,"&lt;"&amp;$A947+1)))</f>
        <v/>
      </c>
      <c r="AH947">
        <f>IF($B947=0,0,IF(Inputs!$B$10="",0,COUNTIFS(Data!$Q$10:$Q$3209,"&gt;="&amp;$A947,Data!$Q$10:$Q$3209,"&lt;"&amp;$A947+1)))</f>
        <v/>
      </c>
    </row>
    <row r="948">
      <c r="A948" s="55">
        <f>MIN(Inputs!$C$15,$A947+IF(WEEKDAY($A947,2)=5,3,1))</f>
        <v/>
      </c>
      <c r="B948">
        <f>IF($A948&gt;$A947,1,0)</f>
        <v/>
      </c>
      <c r="C948" s="56">
        <f>IF($B948=0,"",IF(Inputs!$B$6="","",IF($AD948=0,C947,SUMIFS(Data!$B$10:$B$3209,Data!$A$10:$A$3209,"&gt;="&amp;$A948,Data!$A$10:$A$3209,"&lt;"&amp;$A948+1)/$AD948)))</f>
        <v/>
      </c>
      <c r="D948" s="56">
        <f>IF($B948=0,"",IF(Inputs!$B$7="","",IF($AE948=0,D947,SUMIFS(Data!$F$10:$F$3209,Data!$E$10:$E$3209,"&gt;="&amp;$A948,Data!$E$10:$E$3209,"&lt;"&amp;$A948+1)/$AE948)))</f>
        <v/>
      </c>
      <c r="E948" s="56">
        <f>IF($B948=0,"",IF(Inputs!$B$8="","",IF($AF948=0,E947,SUMIFS(Data!$J$10:$J$3209,Data!$I$10:$I$3209,"&gt;="&amp;$A948,Data!$I$10:$I$3209,"&lt;"&amp;$A948+1)/$AF948)))</f>
        <v/>
      </c>
      <c r="F948" s="56">
        <f>IF($B948=0,"",IF(Inputs!$B$9="","",IF($AG948=0,F947,SUMIFS(Data!$N$10:$N$3209,Data!$M$10:$M$3209,"&gt;="&amp;$A948,Data!$M$10:$M$3209,"&lt;"&amp;$A948+1)/$AG948)))</f>
        <v/>
      </c>
      <c r="G948" s="56">
        <f>IF($B948=0,"",IF(Inputs!$B$10="","",IF($AH948=0,G947,SUMIFS(Data!$R$10:$R$3209,Data!$Q$10:$Q$3209,"&gt;="&amp;$A948,Data!$Q$10:$Q$3209,"&lt;"&amp;$A948+1)/$AH948)))</f>
        <v/>
      </c>
      <c r="I948" s="54">
        <f>IF($B948=0,NA(),IF($C948="",NA(),IF(C$8="",NA(),IF(N(C$8)=0,NA(),IF(Inputs!$C$17="Rebased to 100",$C948/C$8*100,$C948)))))</f>
        <v/>
      </c>
      <c r="J948" s="54">
        <f>IF($B948=0,NA(),IF($D948="",NA(),IF(D$8="",NA(),IF(N(D$8)=0,NA(),IF(Inputs!$C$17="Rebased to 100",$D948/D$8*100,$D948)))))</f>
        <v/>
      </c>
      <c r="K948" s="54">
        <f>IF($B948=0,NA(),IF($E948="",NA(),IF(E$8="",NA(),IF(N(E$8)=0,NA(),IF(Inputs!$C$17="Rebased to 100",$E948/E$8*100,$E948)))))</f>
        <v/>
      </c>
      <c r="L948" s="54">
        <f>IF($B948=0,NA(),IF($F948="",NA(),IF(F$8="",NA(),IF(N(F$8)=0,NA(),IF(Inputs!$C$17="Rebased to 100",$F948/F$8*100,$F948)))))</f>
        <v/>
      </c>
      <c r="M948" s="54">
        <f>IF($B948=0,NA(),IF($G948="",NA(),IF(G$8="",NA(),IF(N(G$8)=0,NA(),IF(Inputs!$C$17="Rebased to 100",$G948/G$8*100,$G948)))))</f>
        <v/>
      </c>
      <c r="N948" s="54">
        <f>IF($B948=0,NA(),IF(Inputs!$C$18&lt;&gt;"Yes",NA(),IF(COUNT(I948,J948,K948,L948,M948)=0,NA(),MIN(I948,J948,K948,L948,M948))))</f>
        <v/>
      </c>
      <c r="O948" s="54">
        <f>IF($B948=0,NA(),IF(Inputs!$B$24&lt;&gt;"Yes",NA(),Inputs!$D$24*Inputs!$C$35))</f>
        <v/>
      </c>
      <c r="P948" s="54">
        <f>IF($B948=0,NA(),IF(Inputs!$B$25&lt;&gt;"Yes",NA(),Inputs!$D$25*Inputs!$C$35))</f>
        <v/>
      </c>
      <c r="Q948" s="54">
        <f>IF($B948=0,NA(),IF(Inputs!$B$26&lt;&gt;"Yes",NA(),Inputs!$D$26*Inputs!$C$35))</f>
        <v/>
      </c>
      <c r="R948" s="54">
        <f>IF($B948=0,NA(),IF(Inputs!$B$27&lt;&gt;"Yes",NA(),Inputs!$D$27*Inputs!$C$35))</f>
        <v/>
      </c>
      <c r="S948" s="54">
        <f>IF($B948=0,NA(),IF(Inputs!$B$28&lt;&gt;"Yes",NA(),Inputs!$D$28*Inputs!$C$35))</f>
        <v/>
      </c>
      <c r="T948" s="54">
        <f>IF($B948=0,NA(),IF(Inputs!$B$29&lt;&gt;"Yes",NA(),Inputs!$D$29*Inputs!$C$35))</f>
        <v/>
      </c>
      <c r="AD948">
        <f>IF($B948=0,0,IF(Inputs!$B$6="",0,COUNTIFS(Data!$A$10:$A$3209,"&gt;="&amp;$A948,Data!$A$10:$A$3209,"&lt;"&amp;$A948+1)))</f>
        <v/>
      </c>
      <c r="AE948">
        <f>IF($B948=0,0,IF(Inputs!$B$7="",0,COUNTIFS(Data!$E$10:$E$3209,"&gt;="&amp;$A948,Data!$E$10:$E$3209,"&lt;"&amp;$A948+1)))</f>
        <v/>
      </c>
      <c r="AF948">
        <f>IF($B948=0,0,IF(Inputs!$B$8="",0,COUNTIFS(Data!$I$10:$I$3209,"&gt;="&amp;$A948,Data!$I$10:$I$3209,"&lt;"&amp;$A948+1)))</f>
        <v/>
      </c>
      <c r="AG948">
        <f>IF($B948=0,0,IF(Inputs!$B$9="",0,COUNTIFS(Data!$M$10:$M$3209,"&gt;="&amp;$A948,Data!$M$10:$M$3209,"&lt;"&amp;$A948+1)))</f>
        <v/>
      </c>
      <c r="AH948">
        <f>IF($B948=0,0,IF(Inputs!$B$10="",0,COUNTIFS(Data!$Q$10:$Q$3209,"&gt;="&amp;$A948,Data!$Q$10:$Q$3209,"&lt;"&amp;$A948+1)))</f>
        <v/>
      </c>
    </row>
    <row r="949">
      <c r="A949" s="55">
        <f>MIN(Inputs!$C$15,$A948+IF(WEEKDAY($A948,2)=5,3,1))</f>
        <v/>
      </c>
      <c r="B949">
        <f>IF($A949&gt;$A948,1,0)</f>
        <v/>
      </c>
      <c r="C949" s="56">
        <f>IF($B949=0,"",IF(Inputs!$B$6="","",IF($AD949=0,C948,SUMIFS(Data!$B$10:$B$3209,Data!$A$10:$A$3209,"&gt;="&amp;$A949,Data!$A$10:$A$3209,"&lt;"&amp;$A949+1)/$AD949)))</f>
        <v/>
      </c>
      <c r="D949" s="56">
        <f>IF($B949=0,"",IF(Inputs!$B$7="","",IF($AE949=0,D948,SUMIFS(Data!$F$10:$F$3209,Data!$E$10:$E$3209,"&gt;="&amp;$A949,Data!$E$10:$E$3209,"&lt;"&amp;$A949+1)/$AE949)))</f>
        <v/>
      </c>
      <c r="E949" s="56">
        <f>IF($B949=0,"",IF(Inputs!$B$8="","",IF($AF949=0,E948,SUMIFS(Data!$J$10:$J$3209,Data!$I$10:$I$3209,"&gt;="&amp;$A949,Data!$I$10:$I$3209,"&lt;"&amp;$A949+1)/$AF949)))</f>
        <v/>
      </c>
      <c r="F949" s="56">
        <f>IF($B949=0,"",IF(Inputs!$B$9="","",IF($AG949=0,F948,SUMIFS(Data!$N$10:$N$3209,Data!$M$10:$M$3209,"&gt;="&amp;$A949,Data!$M$10:$M$3209,"&lt;"&amp;$A949+1)/$AG949)))</f>
        <v/>
      </c>
      <c r="G949" s="56">
        <f>IF($B949=0,"",IF(Inputs!$B$10="","",IF($AH949=0,G948,SUMIFS(Data!$R$10:$R$3209,Data!$Q$10:$Q$3209,"&gt;="&amp;$A949,Data!$Q$10:$Q$3209,"&lt;"&amp;$A949+1)/$AH949)))</f>
        <v/>
      </c>
      <c r="I949" s="54">
        <f>IF($B949=0,NA(),IF($C949="",NA(),IF(C$8="",NA(),IF(N(C$8)=0,NA(),IF(Inputs!$C$17="Rebased to 100",$C949/C$8*100,$C949)))))</f>
        <v/>
      </c>
      <c r="J949" s="54">
        <f>IF($B949=0,NA(),IF($D949="",NA(),IF(D$8="",NA(),IF(N(D$8)=0,NA(),IF(Inputs!$C$17="Rebased to 100",$D949/D$8*100,$D949)))))</f>
        <v/>
      </c>
      <c r="K949" s="54">
        <f>IF($B949=0,NA(),IF($E949="",NA(),IF(E$8="",NA(),IF(N(E$8)=0,NA(),IF(Inputs!$C$17="Rebased to 100",$E949/E$8*100,$E949)))))</f>
        <v/>
      </c>
      <c r="L949" s="54">
        <f>IF($B949=0,NA(),IF($F949="",NA(),IF(F$8="",NA(),IF(N(F$8)=0,NA(),IF(Inputs!$C$17="Rebased to 100",$F949/F$8*100,$F949)))))</f>
        <v/>
      </c>
      <c r="M949" s="54">
        <f>IF($B949=0,NA(),IF($G949="",NA(),IF(G$8="",NA(),IF(N(G$8)=0,NA(),IF(Inputs!$C$17="Rebased to 100",$G949/G$8*100,$G949)))))</f>
        <v/>
      </c>
      <c r="N949" s="54">
        <f>IF($B949=0,NA(),IF(Inputs!$C$18&lt;&gt;"Yes",NA(),IF(COUNT(I949,J949,K949,L949,M949)=0,NA(),MIN(I949,J949,K949,L949,M949))))</f>
        <v/>
      </c>
      <c r="O949" s="54">
        <f>IF($B949=0,NA(),IF(Inputs!$B$24&lt;&gt;"Yes",NA(),Inputs!$D$24*Inputs!$C$35))</f>
        <v/>
      </c>
      <c r="P949" s="54">
        <f>IF($B949=0,NA(),IF(Inputs!$B$25&lt;&gt;"Yes",NA(),Inputs!$D$25*Inputs!$C$35))</f>
        <v/>
      </c>
      <c r="Q949" s="54">
        <f>IF($B949=0,NA(),IF(Inputs!$B$26&lt;&gt;"Yes",NA(),Inputs!$D$26*Inputs!$C$35))</f>
        <v/>
      </c>
      <c r="R949" s="54">
        <f>IF($B949=0,NA(),IF(Inputs!$B$27&lt;&gt;"Yes",NA(),Inputs!$D$27*Inputs!$C$35))</f>
        <v/>
      </c>
      <c r="S949" s="54">
        <f>IF($B949=0,NA(),IF(Inputs!$B$28&lt;&gt;"Yes",NA(),Inputs!$D$28*Inputs!$C$35))</f>
        <v/>
      </c>
      <c r="T949" s="54">
        <f>IF($B949=0,NA(),IF(Inputs!$B$29&lt;&gt;"Yes",NA(),Inputs!$D$29*Inputs!$C$35))</f>
        <v/>
      </c>
      <c r="AD949">
        <f>IF($B949=0,0,IF(Inputs!$B$6="",0,COUNTIFS(Data!$A$10:$A$3209,"&gt;="&amp;$A949,Data!$A$10:$A$3209,"&lt;"&amp;$A949+1)))</f>
        <v/>
      </c>
      <c r="AE949">
        <f>IF($B949=0,0,IF(Inputs!$B$7="",0,COUNTIFS(Data!$E$10:$E$3209,"&gt;="&amp;$A949,Data!$E$10:$E$3209,"&lt;"&amp;$A949+1)))</f>
        <v/>
      </c>
      <c r="AF949">
        <f>IF($B949=0,0,IF(Inputs!$B$8="",0,COUNTIFS(Data!$I$10:$I$3209,"&gt;="&amp;$A949,Data!$I$10:$I$3209,"&lt;"&amp;$A949+1)))</f>
        <v/>
      </c>
      <c r="AG949">
        <f>IF($B949=0,0,IF(Inputs!$B$9="",0,COUNTIFS(Data!$M$10:$M$3209,"&gt;="&amp;$A949,Data!$M$10:$M$3209,"&lt;"&amp;$A949+1)))</f>
        <v/>
      </c>
      <c r="AH949">
        <f>IF($B949=0,0,IF(Inputs!$B$10="",0,COUNTIFS(Data!$Q$10:$Q$3209,"&gt;="&amp;$A949,Data!$Q$10:$Q$3209,"&lt;"&amp;$A949+1)))</f>
        <v/>
      </c>
    </row>
    <row r="950">
      <c r="A950" s="55">
        <f>MIN(Inputs!$C$15,$A949+IF(WEEKDAY($A949,2)=5,3,1))</f>
        <v/>
      </c>
      <c r="B950">
        <f>IF($A950&gt;$A949,1,0)</f>
        <v/>
      </c>
      <c r="C950" s="56">
        <f>IF($B950=0,"",IF(Inputs!$B$6="","",IF($AD950=0,C949,SUMIFS(Data!$B$10:$B$3209,Data!$A$10:$A$3209,"&gt;="&amp;$A950,Data!$A$10:$A$3209,"&lt;"&amp;$A950+1)/$AD950)))</f>
        <v/>
      </c>
      <c r="D950" s="56">
        <f>IF($B950=0,"",IF(Inputs!$B$7="","",IF($AE950=0,D949,SUMIFS(Data!$F$10:$F$3209,Data!$E$10:$E$3209,"&gt;="&amp;$A950,Data!$E$10:$E$3209,"&lt;"&amp;$A950+1)/$AE950)))</f>
        <v/>
      </c>
      <c r="E950" s="56">
        <f>IF($B950=0,"",IF(Inputs!$B$8="","",IF($AF950=0,E949,SUMIFS(Data!$J$10:$J$3209,Data!$I$10:$I$3209,"&gt;="&amp;$A950,Data!$I$10:$I$3209,"&lt;"&amp;$A950+1)/$AF950)))</f>
        <v/>
      </c>
      <c r="F950" s="56">
        <f>IF($B950=0,"",IF(Inputs!$B$9="","",IF($AG950=0,F949,SUMIFS(Data!$N$10:$N$3209,Data!$M$10:$M$3209,"&gt;="&amp;$A950,Data!$M$10:$M$3209,"&lt;"&amp;$A950+1)/$AG950)))</f>
        <v/>
      </c>
      <c r="G950" s="56">
        <f>IF($B950=0,"",IF(Inputs!$B$10="","",IF($AH950=0,G949,SUMIFS(Data!$R$10:$R$3209,Data!$Q$10:$Q$3209,"&gt;="&amp;$A950,Data!$Q$10:$Q$3209,"&lt;"&amp;$A950+1)/$AH950)))</f>
        <v/>
      </c>
      <c r="I950" s="54">
        <f>IF($B950=0,NA(),IF($C950="",NA(),IF(C$8="",NA(),IF(N(C$8)=0,NA(),IF(Inputs!$C$17="Rebased to 100",$C950/C$8*100,$C950)))))</f>
        <v/>
      </c>
      <c r="J950" s="54">
        <f>IF($B950=0,NA(),IF($D950="",NA(),IF(D$8="",NA(),IF(N(D$8)=0,NA(),IF(Inputs!$C$17="Rebased to 100",$D950/D$8*100,$D950)))))</f>
        <v/>
      </c>
      <c r="K950" s="54">
        <f>IF($B950=0,NA(),IF($E950="",NA(),IF(E$8="",NA(),IF(N(E$8)=0,NA(),IF(Inputs!$C$17="Rebased to 100",$E950/E$8*100,$E950)))))</f>
        <v/>
      </c>
      <c r="L950" s="54">
        <f>IF($B950=0,NA(),IF($F950="",NA(),IF(F$8="",NA(),IF(N(F$8)=0,NA(),IF(Inputs!$C$17="Rebased to 100",$F950/F$8*100,$F950)))))</f>
        <v/>
      </c>
      <c r="M950" s="54">
        <f>IF($B950=0,NA(),IF($G950="",NA(),IF(G$8="",NA(),IF(N(G$8)=0,NA(),IF(Inputs!$C$17="Rebased to 100",$G950/G$8*100,$G950)))))</f>
        <v/>
      </c>
      <c r="N950" s="54">
        <f>IF($B950=0,NA(),IF(Inputs!$C$18&lt;&gt;"Yes",NA(),IF(COUNT(I950,J950,K950,L950,M950)=0,NA(),MIN(I950,J950,K950,L950,M950))))</f>
        <v/>
      </c>
      <c r="O950" s="54">
        <f>IF($B950=0,NA(),IF(Inputs!$B$24&lt;&gt;"Yes",NA(),Inputs!$D$24*Inputs!$C$35))</f>
        <v/>
      </c>
      <c r="P950" s="54">
        <f>IF($B950=0,NA(),IF(Inputs!$B$25&lt;&gt;"Yes",NA(),Inputs!$D$25*Inputs!$C$35))</f>
        <v/>
      </c>
      <c r="Q950" s="54">
        <f>IF($B950=0,NA(),IF(Inputs!$B$26&lt;&gt;"Yes",NA(),Inputs!$D$26*Inputs!$C$35))</f>
        <v/>
      </c>
      <c r="R950" s="54">
        <f>IF($B950=0,NA(),IF(Inputs!$B$27&lt;&gt;"Yes",NA(),Inputs!$D$27*Inputs!$C$35))</f>
        <v/>
      </c>
      <c r="S950" s="54">
        <f>IF($B950=0,NA(),IF(Inputs!$B$28&lt;&gt;"Yes",NA(),Inputs!$D$28*Inputs!$C$35))</f>
        <v/>
      </c>
      <c r="T950" s="54">
        <f>IF($B950=0,NA(),IF(Inputs!$B$29&lt;&gt;"Yes",NA(),Inputs!$D$29*Inputs!$C$35))</f>
        <v/>
      </c>
      <c r="AD950">
        <f>IF($B950=0,0,IF(Inputs!$B$6="",0,COUNTIFS(Data!$A$10:$A$3209,"&gt;="&amp;$A950,Data!$A$10:$A$3209,"&lt;"&amp;$A950+1)))</f>
        <v/>
      </c>
      <c r="AE950">
        <f>IF($B950=0,0,IF(Inputs!$B$7="",0,COUNTIFS(Data!$E$10:$E$3209,"&gt;="&amp;$A950,Data!$E$10:$E$3209,"&lt;"&amp;$A950+1)))</f>
        <v/>
      </c>
      <c r="AF950">
        <f>IF($B950=0,0,IF(Inputs!$B$8="",0,COUNTIFS(Data!$I$10:$I$3209,"&gt;="&amp;$A950,Data!$I$10:$I$3209,"&lt;"&amp;$A950+1)))</f>
        <v/>
      </c>
      <c r="AG950">
        <f>IF($B950=0,0,IF(Inputs!$B$9="",0,COUNTIFS(Data!$M$10:$M$3209,"&gt;="&amp;$A950,Data!$M$10:$M$3209,"&lt;"&amp;$A950+1)))</f>
        <v/>
      </c>
      <c r="AH950">
        <f>IF($B950=0,0,IF(Inputs!$B$10="",0,COUNTIFS(Data!$Q$10:$Q$3209,"&gt;="&amp;$A950,Data!$Q$10:$Q$3209,"&lt;"&amp;$A950+1)))</f>
        <v/>
      </c>
    </row>
    <row r="951">
      <c r="A951" s="55">
        <f>MIN(Inputs!$C$15,$A950+IF(WEEKDAY($A950,2)=5,3,1))</f>
        <v/>
      </c>
      <c r="B951">
        <f>IF($A951&gt;$A950,1,0)</f>
        <v/>
      </c>
      <c r="C951" s="56">
        <f>IF($B951=0,"",IF(Inputs!$B$6="","",IF($AD951=0,C950,SUMIFS(Data!$B$10:$B$3209,Data!$A$10:$A$3209,"&gt;="&amp;$A951,Data!$A$10:$A$3209,"&lt;"&amp;$A951+1)/$AD951)))</f>
        <v/>
      </c>
      <c r="D951" s="56">
        <f>IF($B951=0,"",IF(Inputs!$B$7="","",IF($AE951=0,D950,SUMIFS(Data!$F$10:$F$3209,Data!$E$10:$E$3209,"&gt;="&amp;$A951,Data!$E$10:$E$3209,"&lt;"&amp;$A951+1)/$AE951)))</f>
        <v/>
      </c>
      <c r="E951" s="56">
        <f>IF($B951=0,"",IF(Inputs!$B$8="","",IF($AF951=0,E950,SUMIFS(Data!$J$10:$J$3209,Data!$I$10:$I$3209,"&gt;="&amp;$A951,Data!$I$10:$I$3209,"&lt;"&amp;$A951+1)/$AF951)))</f>
        <v/>
      </c>
      <c r="F951" s="56">
        <f>IF($B951=0,"",IF(Inputs!$B$9="","",IF($AG951=0,F950,SUMIFS(Data!$N$10:$N$3209,Data!$M$10:$M$3209,"&gt;="&amp;$A951,Data!$M$10:$M$3209,"&lt;"&amp;$A951+1)/$AG951)))</f>
        <v/>
      </c>
      <c r="G951" s="56">
        <f>IF($B951=0,"",IF(Inputs!$B$10="","",IF($AH951=0,G950,SUMIFS(Data!$R$10:$R$3209,Data!$Q$10:$Q$3209,"&gt;="&amp;$A951,Data!$Q$10:$Q$3209,"&lt;"&amp;$A951+1)/$AH951)))</f>
        <v/>
      </c>
      <c r="I951" s="54">
        <f>IF($B951=0,NA(),IF($C951="",NA(),IF(C$8="",NA(),IF(N(C$8)=0,NA(),IF(Inputs!$C$17="Rebased to 100",$C951/C$8*100,$C951)))))</f>
        <v/>
      </c>
      <c r="J951" s="54">
        <f>IF($B951=0,NA(),IF($D951="",NA(),IF(D$8="",NA(),IF(N(D$8)=0,NA(),IF(Inputs!$C$17="Rebased to 100",$D951/D$8*100,$D951)))))</f>
        <v/>
      </c>
      <c r="K951" s="54">
        <f>IF($B951=0,NA(),IF($E951="",NA(),IF(E$8="",NA(),IF(N(E$8)=0,NA(),IF(Inputs!$C$17="Rebased to 100",$E951/E$8*100,$E951)))))</f>
        <v/>
      </c>
      <c r="L951" s="54">
        <f>IF($B951=0,NA(),IF($F951="",NA(),IF(F$8="",NA(),IF(N(F$8)=0,NA(),IF(Inputs!$C$17="Rebased to 100",$F951/F$8*100,$F951)))))</f>
        <v/>
      </c>
      <c r="M951" s="54">
        <f>IF($B951=0,NA(),IF($G951="",NA(),IF(G$8="",NA(),IF(N(G$8)=0,NA(),IF(Inputs!$C$17="Rebased to 100",$G951/G$8*100,$G951)))))</f>
        <v/>
      </c>
      <c r="N951" s="54">
        <f>IF($B951=0,NA(),IF(Inputs!$C$18&lt;&gt;"Yes",NA(),IF(COUNT(I951,J951,K951,L951,M951)=0,NA(),MIN(I951,J951,K951,L951,M951))))</f>
        <v/>
      </c>
      <c r="O951" s="54">
        <f>IF($B951=0,NA(),IF(Inputs!$B$24&lt;&gt;"Yes",NA(),Inputs!$D$24*Inputs!$C$35))</f>
        <v/>
      </c>
      <c r="P951" s="54">
        <f>IF($B951=0,NA(),IF(Inputs!$B$25&lt;&gt;"Yes",NA(),Inputs!$D$25*Inputs!$C$35))</f>
        <v/>
      </c>
      <c r="Q951" s="54">
        <f>IF($B951=0,NA(),IF(Inputs!$B$26&lt;&gt;"Yes",NA(),Inputs!$D$26*Inputs!$C$35))</f>
        <v/>
      </c>
      <c r="R951" s="54">
        <f>IF($B951=0,NA(),IF(Inputs!$B$27&lt;&gt;"Yes",NA(),Inputs!$D$27*Inputs!$C$35))</f>
        <v/>
      </c>
      <c r="S951" s="54">
        <f>IF($B951=0,NA(),IF(Inputs!$B$28&lt;&gt;"Yes",NA(),Inputs!$D$28*Inputs!$C$35))</f>
        <v/>
      </c>
      <c r="T951" s="54">
        <f>IF($B951=0,NA(),IF(Inputs!$B$29&lt;&gt;"Yes",NA(),Inputs!$D$29*Inputs!$C$35))</f>
        <v/>
      </c>
      <c r="AD951">
        <f>IF($B951=0,0,IF(Inputs!$B$6="",0,COUNTIFS(Data!$A$10:$A$3209,"&gt;="&amp;$A951,Data!$A$10:$A$3209,"&lt;"&amp;$A951+1)))</f>
        <v/>
      </c>
      <c r="AE951">
        <f>IF($B951=0,0,IF(Inputs!$B$7="",0,COUNTIFS(Data!$E$10:$E$3209,"&gt;="&amp;$A951,Data!$E$10:$E$3209,"&lt;"&amp;$A951+1)))</f>
        <v/>
      </c>
      <c r="AF951">
        <f>IF($B951=0,0,IF(Inputs!$B$8="",0,COUNTIFS(Data!$I$10:$I$3209,"&gt;="&amp;$A951,Data!$I$10:$I$3209,"&lt;"&amp;$A951+1)))</f>
        <v/>
      </c>
      <c r="AG951">
        <f>IF($B951=0,0,IF(Inputs!$B$9="",0,COUNTIFS(Data!$M$10:$M$3209,"&gt;="&amp;$A951,Data!$M$10:$M$3209,"&lt;"&amp;$A951+1)))</f>
        <v/>
      </c>
      <c r="AH951">
        <f>IF($B951=0,0,IF(Inputs!$B$10="",0,COUNTIFS(Data!$Q$10:$Q$3209,"&gt;="&amp;$A951,Data!$Q$10:$Q$3209,"&lt;"&amp;$A951+1)))</f>
        <v/>
      </c>
    </row>
    <row r="952">
      <c r="A952" s="55">
        <f>MIN(Inputs!$C$15,$A951+IF(WEEKDAY($A951,2)=5,3,1))</f>
        <v/>
      </c>
      <c r="B952">
        <f>IF($A952&gt;$A951,1,0)</f>
        <v/>
      </c>
      <c r="C952" s="56">
        <f>IF($B952=0,"",IF(Inputs!$B$6="","",IF($AD952=0,C951,SUMIFS(Data!$B$10:$B$3209,Data!$A$10:$A$3209,"&gt;="&amp;$A952,Data!$A$10:$A$3209,"&lt;"&amp;$A952+1)/$AD952)))</f>
        <v/>
      </c>
      <c r="D952" s="56">
        <f>IF($B952=0,"",IF(Inputs!$B$7="","",IF($AE952=0,D951,SUMIFS(Data!$F$10:$F$3209,Data!$E$10:$E$3209,"&gt;="&amp;$A952,Data!$E$10:$E$3209,"&lt;"&amp;$A952+1)/$AE952)))</f>
        <v/>
      </c>
      <c r="E952" s="56">
        <f>IF($B952=0,"",IF(Inputs!$B$8="","",IF($AF952=0,E951,SUMIFS(Data!$J$10:$J$3209,Data!$I$10:$I$3209,"&gt;="&amp;$A952,Data!$I$10:$I$3209,"&lt;"&amp;$A952+1)/$AF952)))</f>
        <v/>
      </c>
      <c r="F952" s="56">
        <f>IF($B952=0,"",IF(Inputs!$B$9="","",IF($AG952=0,F951,SUMIFS(Data!$N$10:$N$3209,Data!$M$10:$M$3209,"&gt;="&amp;$A952,Data!$M$10:$M$3209,"&lt;"&amp;$A952+1)/$AG952)))</f>
        <v/>
      </c>
      <c r="G952" s="56">
        <f>IF($B952=0,"",IF(Inputs!$B$10="","",IF($AH952=0,G951,SUMIFS(Data!$R$10:$R$3209,Data!$Q$10:$Q$3209,"&gt;="&amp;$A952,Data!$Q$10:$Q$3209,"&lt;"&amp;$A952+1)/$AH952)))</f>
        <v/>
      </c>
      <c r="I952" s="54">
        <f>IF($B952=0,NA(),IF($C952="",NA(),IF(C$8="",NA(),IF(N(C$8)=0,NA(),IF(Inputs!$C$17="Rebased to 100",$C952/C$8*100,$C952)))))</f>
        <v/>
      </c>
      <c r="J952" s="54">
        <f>IF($B952=0,NA(),IF($D952="",NA(),IF(D$8="",NA(),IF(N(D$8)=0,NA(),IF(Inputs!$C$17="Rebased to 100",$D952/D$8*100,$D952)))))</f>
        <v/>
      </c>
      <c r="K952" s="54">
        <f>IF($B952=0,NA(),IF($E952="",NA(),IF(E$8="",NA(),IF(N(E$8)=0,NA(),IF(Inputs!$C$17="Rebased to 100",$E952/E$8*100,$E952)))))</f>
        <v/>
      </c>
      <c r="L952" s="54">
        <f>IF($B952=0,NA(),IF($F952="",NA(),IF(F$8="",NA(),IF(N(F$8)=0,NA(),IF(Inputs!$C$17="Rebased to 100",$F952/F$8*100,$F952)))))</f>
        <v/>
      </c>
      <c r="M952" s="54">
        <f>IF($B952=0,NA(),IF($G952="",NA(),IF(G$8="",NA(),IF(N(G$8)=0,NA(),IF(Inputs!$C$17="Rebased to 100",$G952/G$8*100,$G952)))))</f>
        <v/>
      </c>
      <c r="N952" s="54">
        <f>IF($B952=0,NA(),IF(Inputs!$C$18&lt;&gt;"Yes",NA(),IF(COUNT(I952,J952,K952,L952,M952)=0,NA(),MIN(I952,J952,K952,L952,M952))))</f>
        <v/>
      </c>
      <c r="O952" s="54">
        <f>IF($B952=0,NA(),IF(Inputs!$B$24&lt;&gt;"Yes",NA(),Inputs!$D$24*Inputs!$C$35))</f>
        <v/>
      </c>
      <c r="P952" s="54">
        <f>IF($B952=0,NA(),IF(Inputs!$B$25&lt;&gt;"Yes",NA(),Inputs!$D$25*Inputs!$C$35))</f>
        <v/>
      </c>
      <c r="Q952" s="54">
        <f>IF($B952=0,NA(),IF(Inputs!$B$26&lt;&gt;"Yes",NA(),Inputs!$D$26*Inputs!$C$35))</f>
        <v/>
      </c>
      <c r="R952" s="54">
        <f>IF($B952=0,NA(),IF(Inputs!$B$27&lt;&gt;"Yes",NA(),Inputs!$D$27*Inputs!$C$35))</f>
        <v/>
      </c>
      <c r="S952" s="54">
        <f>IF($B952=0,NA(),IF(Inputs!$B$28&lt;&gt;"Yes",NA(),Inputs!$D$28*Inputs!$C$35))</f>
        <v/>
      </c>
      <c r="T952" s="54">
        <f>IF($B952=0,NA(),IF(Inputs!$B$29&lt;&gt;"Yes",NA(),Inputs!$D$29*Inputs!$C$35))</f>
        <v/>
      </c>
      <c r="AD952">
        <f>IF($B952=0,0,IF(Inputs!$B$6="",0,COUNTIFS(Data!$A$10:$A$3209,"&gt;="&amp;$A952,Data!$A$10:$A$3209,"&lt;"&amp;$A952+1)))</f>
        <v/>
      </c>
      <c r="AE952">
        <f>IF($B952=0,0,IF(Inputs!$B$7="",0,COUNTIFS(Data!$E$10:$E$3209,"&gt;="&amp;$A952,Data!$E$10:$E$3209,"&lt;"&amp;$A952+1)))</f>
        <v/>
      </c>
      <c r="AF952">
        <f>IF($B952=0,0,IF(Inputs!$B$8="",0,COUNTIFS(Data!$I$10:$I$3209,"&gt;="&amp;$A952,Data!$I$10:$I$3209,"&lt;"&amp;$A952+1)))</f>
        <v/>
      </c>
      <c r="AG952">
        <f>IF($B952=0,0,IF(Inputs!$B$9="",0,COUNTIFS(Data!$M$10:$M$3209,"&gt;="&amp;$A952,Data!$M$10:$M$3209,"&lt;"&amp;$A952+1)))</f>
        <v/>
      </c>
      <c r="AH952">
        <f>IF($B952=0,0,IF(Inputs!$B$10="",0,COUNTIFS(Data!$Q$10:$Q$3209,"&gt;="&amp;$A952,Data!$Q$10:$Q$3209,"&lt;"&amp;$A952+1)))</f>
        <v/>
      </c>
    </row>
    <row r="953">
      <c r="A953" s="55">
        <f>MIN(Inputs!$C$15,$A952+IF(WEEKDAY($A952,2)=5,3,1))</f>
        <v/>
      </c>
      <c r="B953">
        <f>IF($A953&gt;$A952,1,0)</f>
        <v/>
      </c>
      <c r="C953" s="56">
        <f>IF($B953=0,"",IF(Inputs!$B$6="","",IF($AD953=0,C952,SUMIFS(Data!$B$10:$B$3209,Data!$A$10:$A$3209,"&gt;="&amp;$A953,Data!$A$10:$A$3209,"&lt;"&amp;$A953+1)/$AD953)))</f>
        <v/>
      </c>
      <c r="D953" s="56">
        <f>IF($B953=0,"",IF(Inputs!$B$7="","",IF($AE953=0,D952,SUMIFS(Data!$F$10:$F$3209,Data!$E$10:$E$3209,"&gt;="&amp;$A953,Data!$E$10:$E$3209,"&lt;"&amp;$A953+1)/$AE953)))</f>
        <v/>
      </c>
      <c r="E953" s="56">
        <f>IF($B953=0,"",IF(Inputs!$B$8="","",IF($AF953=0,E952,SUMIFS(Data!$J$10:$J$3209,Data!$I$10:$I$3209,"&gt;="&amp;$A953,Data!$I$10:$I$3209,"&lt;"&amp;$A953+1)/$AF953)))</f>
        <v/>
      </c>
      <c r="F953" s="56">
        <f>IF($B953=0,"",IF(Inputs!$B$9="","",IF($AG953=0,F952,SUMIFS(Data!$N$10:$N$3209,Data!$M$10:$M$3209,"&gt;="&amp;$A953,Data!$M$10:$M$3209,"&lt;"&amp;$A953+1)/$AG953)))</f>
        <v/>
      </c>
      <c r="G953" s="56">
        <f>IF($B953=0,"",IF(Inputs!$B$10="","",IF($AH953=0,G952,SUMIFS(Data!$R$10:$R$3209,Data!$Q$10:$Q$3209,"&gt;="&amp;$A953,Data!$Q$10:$Q$3209,"&lt;"&amp;$A953+1)/$AH953)))</f>
        <v/>
      </c>
      <c r="I953" s="54">
        <f>IF($B953=0,NA(),IF($C953="",NA(),IF(C$8="",NA(),IF(N(C$8)=0,NA(),IF(Inputs!$C$17="Rebased to 100",$C953/C$8*100,$C953)))))</f>
        <v/>
      </c>
      <c r="J953" s="54">
        <f>IF($B953=0,NA(),IF($D953="",NA(),IF(D$8="",NA(),IF(N(D$8)=0,NA(),IF(Inputs!$C$17="Rebased to 100",$D953/D$8*100,$D953)))))</f>
        <v/>
      </c>
      <c r="K953" s="54">
        <f>IF($B953=0,NA(),IF($E953="",NA(),IF(E$8="",NA(),IF(N(E$8)=0,NA(),IF(Inputs!$C$17="Rebased to 100",$E953/E$8*100,$E953)))))</f>
        <v/>
      </c>
      <c r="L953" s="54">
        <f>IF($B953=0,NA(),IF($F953="",NA(),IF(F$8="",NA(),IF(N(F$8)=0,NA(),IF(Inputs!$C$17="Rebased to 100",$F953/F$8*100,$F953)))))</f>
        <v/>
      </c>
      <c r="M953" s="54">
        <f>IF($B953=0,NA(),IF($G953="",NA(),IF(G$8="",NA(),IF(N(G$8)=0,NA(),IF(Inputs!$C$17="Rebased to 100",$G953/G$8*100,$G953)))))</f>
        <v/>
      </c>
      <c r="N953" s="54">
        <f>IF($B953=0,NA(),IF(Inputs!$C$18&lt;&gt;"Yes",NA(),IF(COUNT(I953,J953,K953,L953,M953)=0,NA(),MIN(I953,J953,K953,L953,M953))))</f>
        <v/>
      </c>
      <c r="O953" s="54">
        <f>IF($B953=0,NA(),IF(Inputs!$B$24&lt;&gt;"Yes",NA(),Inputs!$D$24*Inputs!$C$35))</f>
        <v/>
      </c>
      <c r="P953" s="54">
        <f>IF($B953=0,NA(),IF(Inputs!$B$25&lt;&gt;"Yes",NA(),Inputs!$D$25*Inputs!$C$35))</f>
        <v/>
      </c>
      <c r="Q953" s="54">
        <f>IF($B953=0,NA(),IF(Inputs!$B$26&lt;&gt;"Yes",NA(),Inputs!$D$26*Inputs!$C$35))</f>
        <v/>
      </c>
      <c r="R953" s="54">
        <f>IF($B953=0,NA(),IF(Inputs!$B$27&lt;&gt;"Yes",NA(),Inputs!$D$27*Inputs!$C$35))</f>
        <v/>
      </c>
      <c r="S953" s="54">
        <f>IF($B953=0,NA(),IF(Inputs!$B$28&lt;&gt;"Yes",NA(),Inputs!$D$28*Inputs!$C$35))</f>
        <v/>
      </c>
      <c r="T953" s="54">
        <f>IF($B953=0,NA(),IF(Inputs!$B$29&lt;&gt;"Yes",NA(),Inputs!$D$29*Inputs!$C$35))</f>
        <v/>
      </c>
      <c r="AD953">
        <f>IF($B953=0,0,IF(Inputs!$B$6="",0,COUNTIFS(Data!$A$10:$A$3209,"&gt;="&amp;$A953,Data!$A$10:$A$3209,"&lt;"&amp;$A953+1)))</f>
        <v/>
      </c>
      <c r="AE953">
        <f>IF($B953=0,0,IF(Inputs!$B$7="",0,COUNTIFS(Data!$E$10:$E$3209,"&gt;="&amp;$A953,Data!$E$10:$E$3209,"&lt;"&amp;$A953+1)))</f>
        <v/>
      </c>
      <c r="AF953">
        <f>IF($B953=0,0,IF(Inputs!$B$8="",0,COUNTIFS(Data!$I$10:$I$3209,"&gt;="&amp;$A953,Data!$I$10:$I$3209,"&lt;"&amp;$A953+1)))</f>
        <v/>
      </c>
      <c r="AG953">
        <f>IF($B953=0,0,IF(Inputs!$B$9="",0,COUNTIFS(Data!$M$10:$M$3209,"&gt;="&amp;$A953,Data!$M$10:$M$3209,"&lt;"&amp;$A953+1)))</f>
        <v/>
      </c>
      <c r="AH953">
        <f>IF($B953=0,0,IF(Inputs!$B$10="",0,COUNTIFS(Data!$Q$10:$Q$3209,"&gt;="&amp;$A953,Data!$Q$10:$Q$3209,"&lt;"&amp;$A953+1)))</f>
        <v/>
      </c>
    </row>
    <row r="954">
      <c r="A954" s="55">
        <f>MIN(Inputs!$C$15,$A953+IF(WEEKDAY($A953,2)=5,3,1))</f>
        <v/>
      </c>
      <c r="B954">
        <f>IF($A954&gt;$A953,1,0)</f>
        <v/>
      </c>
      <c r="C954" s="56">
        <f>IF($B954=0,"",IF(Inputs!$B$6="","",IF($AD954=0,C953,SUMIFS(Data!$B$10:$B$3209,Data!$A$10:$A$3209,"&gt;="&amp;$A954,Data!$A$10:$A$3209,"&lt;"&amp;$A954+1)/$AD954)))</f>
        <v/>
      </c>
      <c r="D954" s="56">
        <f>IF($B954=0,"",IF(Inputs!$B$7="","",IF($AE954=0,D953,SUMIFS(Data!$F$10:$F$3209,Data!$E$10:$E$3209,"&gt;="&amp;$A954,Data!$E$10:$E$3209,"&lt;"&amp;$A954+1)/$AE954)))</f>
        <v/>
      </c>
      <c r="E954" s="56">
        <f>IF($B954=0,"",IF(Inputs!$B$8="","",IF($AF954=0,E953,SUMIFS(Data!$J$10:$J$3209,Data!$I$10:$I$3209,"&gt;="&amp;$A954,Data!$I$10:$I$3209,"&lt;"&amp;$A954+1)/$AF954)))</f>
        <v/>
      </c>
      <c r="F954" s="56">
        <f>IF($B954=0,"",IF(Inputs!$B$9="","",IF($AG954=0,F953,SUMIFS(Data!$N$10:$N$3209,Data!$M$10:$M$3209,"&gt;="&amp;$A954,Data!$M$10:$M$3209,"&lt;"&amp;$A954+1)/$AG954)))</f>
        <v/>
      </c>
      <c r="G954" s="56">
        <f>IF($B954=0,"",IF(Inputs!$B$10="","",IF($AH954=0,G953,SUMIFS(Data!$R$10:$R$3209,Data!$Q$10:$Q$3209,"&gt;="&amp;$A954,Data!$Q$10:$Q$3209,"&lt;"&amp;$A954+1)/$AH954)))</f>
        <v/>
      </c>
      <c r="I954" s="54">
        <f>IF($B954=0,NA(),IF($C954="",NA(),IF(C$8="",NA(),IF(N(C$8)=0,NA(),IF(Inputs!$C$17="Rebased to 100",$C954/C$8*100,$C954)))))</f>
        <v/>
      </c>
      <c r="J954" s="54">
        <f>IF($B954=0,NA(),IF($D954="",NA(),IF(D$8="",NA(),IF(N(D$8)=0,NA(),IF(Inputs!$C$17="Rebased to 100",$D954/D$8*100,$D954)))))</f>
        <v/>
      </c>
      <c r="K954" s="54">
        <f>IF($B954=0,NA(),IF($E954="",NA(),IF(E$8="",NA(),IF(N(E$8)=0,NA(),IF(Inputs!$C$17="Rebased to 100",$E954/E$8*100,$E954)))))</f>
        <v/>
      </c>
      <c r="L954" s="54">
        <f>IF($B954=0,NA(),IF($F954="",NA(),IF(F$8="",NA(),IF(N(F$8)=0,NA(),IF(Inputs!$C$17="Rebased to 100",$F954/F$8*100,$F954)))))</f>
        <v/>
      </c>
      <c r="M954" s="54">
        <f>IF($B954=0,NA(),IF($G954="",NA(),IF(G$8="",NA(),IF(N(G$8)=0,NA(),IF(Inputs!$C$17="Rebased to 100",$G954/G$8*100,$G954)))))</f>
        <v/>
      </c>
      <c r="N954" s="54">
        <f>IF($B954=0,NA(),IF(Inputs!$C$18&lt;&gt;"Yes",NA(),IF(COUNT(I954,J954,K954,L954,M954)=0,NA(),MIN(I954,J954,K954,L954,M954))))</f>
        <v/>
      </c>
      <c r="O954" s="54">
        <f>IF($B954=0,NA(),IF(Inputs!$B$24&lt;&gt;"Yes",NA(),Inputs!$D$24*Inputs!$C$35))</f>
        <v/>
      </c>
      <c r="P954" s="54">
        <f>IF($B954=0,NA(),IF(Inputs!$B$25&lt;&gt;"Yes",NA(),Inputs!$D$25*Inputs!$C$35))</f>
        <v/>
      </c>
      <c r="Q954" s="54">
        <f>IF($B954=0,NA(),IF(Inputs!$B$26&lt;&gt;"Yes",NA(),Inputs!$D$26*Inputs!$C$35))</f>
        <v/>
      </c>
      <c r="R954" s="54">
        <f>IF($B954=0,NA(),IF(Inputs!$B$27&lt;&gt;"Yes",NA(),Inputs!$D$27*Inputs!$C$35))</f>
        <v/>
      </c>
      <c r="S954" s="54">
        <f>IF($B954=0,NA(),IF(Inputs!$B$28&lt;&gt;"Yes",NA(),Inputs!$D$28*Inputs!$C$35))</f>
        <v/>
      </c>
      <c r="T954" s="54">
        <f>IF($B954=0,NA(),IF(Inputs!$B$29&lt;&gt;"Yes",NA(),Inputs!$D$29*Inputs!$C$35))</f>
        <v/>
      </c>
      <c r="AD954">
        <f>IF($B954=0,0,IF(Inputs!$B$6="",0,COUNTIFS(Data!$A$10:$A$3209,"&gt;="&amp;$A954,Data!$A$10:$A$3209,"&lt;"&amp;$A954+1)))</f>
        <v/>
      </c>
      <c r="AE954">
        <f>IF($B954=0,0,IF(Inputs!$B$7="",0,COUNTIFS(Data!$E$10:$E$3209,"&gt;="&amp;$A954,Data!$E$10:$E$3209,"&lt;"&amp;$A954+1)))</f>
        <v/>
      </c>
      <c r="AF954">
        <f>IF($B954=0,0,IF(Inputs!$B$8="",0,COUNTIFS(Data!$I$10:$I$3209,"&gt;="&amp;$A954,Data!$I$10:$I$3209,"&lt;"&amp;$A954+1)))</f>
        <v/>
      </c>
      <c r="AG954">
        <f>IF($B954=0,0,IF(Inputs!$B$9="",0,COUNTIFS(Data!$M$10:$M$3209,"&gt;="&amp;$A954,Data!$M$10:$M$3209,"&lt;"&amp;$A954+1)))</f>
        <v/>
      </c>
      <c r="AH954">
        <f>IF($B954=0,0,IF(Inputs!$B$10="",0,COUNTIFS(Data!$Q$10:$Q$3209,"&gt;="&amp;$A954,Data!$Q$10:$Q$3209,"&lt;"&amp;$A954+1)))</f>
        <v/>
      </c>
    </row>
    <row r="955">
      <c r="A955" s="55">
        <f>MIN(Inputs!$C$15,$A954+IF(WEEKDAY($A954,2)=5,3,1))</f>
        <v/>
      </c>
      <c r="B955">
        <f>IF($A955&gt;$A954,1,0)</f>
        <v/>
      </c>
      <c r="C955" s="56">
        <f>IF($B955=0,"",IF(Inputs!$B$6="","",IF($AD955=0,C954,SUMIFS(Data!$B$10:$B$3209,Data!$A$10:$A$3209,"&gt;="&amp;$A955,Data!$A$10:$A$3209,"&lt;"&amp;$A955+1)/$AD955)))</f>
        <v/>
      </c>
      <c r="D955" s="56">
        <f>IF($B955=0,"",IF(Inputs!$B$7="","",IF($AE955=0,D954,SUMIFS(Data!$F$10:$F$3209,Data!$E$10:$E$3209,"&gt;="&amp;$A955,Data!$E$10:$E$3209,"&lt;"&amp;$A955+1)/$AE955)))</f>
        <v/>
      </c>
      <c r="E955" s="56">
        <f>IF($B955=0,"",IF(Inputs!$B$8="","",IF($AF955=0,E954,SUMIFS(Data!$J$10:$J$3209,Data!$I$10:$I$3209,"&gt;="&amp;$A955,Data!$I$10:$I$3209,"&lt;"&amp;$A955+1)/$AF955)))</f>
        <v/>
      </c>
      <c r="F955" s="56">
        <f>IF($B955=0,"",IF(Inputs!$B$9="","",IF($AG955=0,F954,SUMIFS(Data!$N$10:$N$3209,Data!$M$10:$M$3209,"&gt;="&amp;$A955,Data!$M$10:$M$3209,"&lt;"&amp;$A955+1)/$AG955)))</f>
        <v/>
      </c>
      <c r="G955" s="56">
        <f>IF($B955=0,"",IF(Inputs!$B$10="","",IF($AH955=0,G954,SUMIFS(Data!$R$10:$R$3209,Data!$Q$10:$Q$3209,"&gt;="&amp;$A955,Data!$Q$10:$Q$3209,"&lt;"&amp;$A955+1)/$AH955)))</f>
        <v/>
      </c>
      <c r="I955" s="54">
        <f>IF($B955=0,NA(),IF($C955="",NA(),IF(C$8="",NA(),IF(N(C$8)=0,NA(),IF(Inputs!$C$17="Rebased to 100",$C955/C$8*100,$C955)))))</f>
        <v/>
      </c>
      <c r="J955" s="54">
        <f>IF($B955=0,NA(),IF($D955="",NA(),IF(D$8="",NA(),IF(N(D$8)=0,NA(),IF(Inputs!$C$17="Rebased to 100",$D955/D$8*100,$D955)))))</f>
        <v/>
      </c>
      <c r="K955" s="54">
        <f>IF($B955=0,NA(),IF($E955="",NA(),IF(E$8="",NA(),IF(N(E$8)=0,NA(),IF(Inputs!$C$17="Rebased to 100",$E955/E$8*100,$E955)))))</f>
        <v/>
      </c>
      <c r="L955" s="54">
        <f>IF($B955=0,NA(),IF($F955="",NA(),IF(F$8="",NA(),IF(N(F$8)=0,NA(),IF(Inputs!$C$17="Rebased to 100",$F955/F$8*100,$F955)))))</f>
        <v/>
      </c>
      <c r="M955" s="54">
        <f>IF($B955=0,NA(),IF($G955="",NA(),IF(G$8="",NA(),IF(N(G$8)=0,NA(),IF(Inputs!$C$17="Rebased to 100",$G955/G$8*100,$G955)))))</f>
        <v/>
      </c>
      <c r="N955" s="54">
        <f>IF($B955=0,NA(),IF(Inputs!$C$18&lt;&gt;"Yes",NA(),IF(COUNT(I955,J955,K955,L955,M955)=0,NA(),MIN(I955,J955,K955,L955,M955))))</f>
        <v/>
      </c>
      <c r="O955" s="54">
        <f>IF($B955=0,NA(),IF(Inputs!$B$24&lt;&gt;"Yes",NA(),Inputs!$D$24*Inputs!$C$35))</f>
        <v/>
      </c>
      <c r="P955" s="54">
        <f>IF($B955=0,NA(),IF(Inputs!$B$25&lt;&gt;"Yes",NA(),Inputs!$D$25*Inputs!$C$35))</f>
        <v/>
      </c>
      <c r="Q955" s="54">
        <f>IF($B955=0,NA(),IF(Inputs!$B$26&lt;&gt;"Yes",NA(),Inputs!$D$26*Inputs!$C$35))</f>
        <v/>
      </c>
      <c r="R955" s="54">
        <f>IF($B955=0,NA(),IF(Inputs!$B$27&lt;&gt;"Yes",NA(),Inputs!$D$27*Inputs!$C$35))</f>
        <v/>
      </c>
      <c r="S955" s="54">
        <f>IF($B955=0,NA(),IF(Inputs!$B$28&lt;&gt;"Yes",NA(),Inputs!$D$28*Inputs!$C$35))</f>
        <v/>
      </c>
      <c r="T955" s="54">
        <f>IF($B955=0,NA(),IF(Inputs!$B$29&lt;&gt;"Yes",NA(),Inputs!$D$29*Inputs!$C$35))</f>
        <v/>
      </c>
      <c r="AD955">
        <f>IF($B955=0,0,IF(Inputs!$B$6="",0,COUNTIFS(Data!$A$10:$A$3209,"&gt;="&amp;$A955,Data!$A$10:$A$3209,"&lt;"&amp;$A955+1)))</f>
        <v/>
      </c>
      <c r="AE955">
        <f>IF($B955=0,0,IF(Inputs!$B$7="",0,COUNTIFS(Data!$E$10:$E$3209,"&gt;="&amp;$A955,Data!$E$10:$E$3209,"&lt;"&amp;$A955+1)))</f>
        <v/>
      </c>
      <c r="AF955">
        <f>IF($B955=0,0,IF(Inputs!$B$8="",0,COUNTIFS(Data!$I$10:$I$3209,"&gt;="&amp;$A955,Data!$I$10:$I$3209,"&lt;"&amp;$A955+1)))</f>
        <v/>
      </c>
      <c r="AG955">
        <f>IF($B955=0,0,IF(Inputs!$B$9="",0,COUNTIFS(Data!$M$10:$M$3209,"&gt;="&amp;$A955,Data!$M$10:$M$3209,"&lt;"&amp;$A955+1)))</f>
        <v/>
      </c>
      <c r="AH955">
        <f>IF($B955=0,0,IF(Inputs!$B$10="",0,COUNTIFS(Data!$Q$10:$Q$3209,"&gt;="&amp;$A955,Data!$Q$10:$Q$3209,"&lt;"&amp;$A955+1)))</f>
        <v/>
      </c>
    </row>
    <row r="956">
      <c r="A956" s="55">
        <f>MIN(Inputs!$C$15,$A955+IF(WEEKDAY($A955,2)=5,3,1))</f>
        <v/>
      </c>
      <c r="B956">
        <f>IF($A956&gt;$A955,1,0)</f>
        <v/>
      </c>
      <c r="C956" s="56">
        <f>IF($B956=0,"",IF(Inputs!$B$6="","",IF($AD956=0,C955,SUMIFS(Data!$B$10:$B$3209,Data!$A$10:$A$3209,"&gt;="&amp;$A956,Data!$A$10:$A$3209,"&lt;"&amp;$A956+1)/$AD956)))</f>
        <v/>
      </c>
      <c r="D956" s="56">
        <f>IF($B956=0,"",IF(Inputs!$B$7="","",IF($AE956=0,D955,SUMIFS(Data!$F$10:$F$3209,Data!$E$10:$E$3209,"&gt;="&amp;$A956,Data!$E$10:$E$3209,"&lt;"&amp;$A956+1)/$AE956)))</f>
        <v/>
      </c>
      <c r="E956" s="56">
        <f>IF($B956=0,"",IF(Inputs!$B$8="","",IF($AF956=0,E955,SUMIFS(Data!$J$10:$J$3209,Data!$I$10:$I$3209,"&gt;="&amp;$A956,Data!$I$10:$I$3209,"&lt;"&amp;$A956+1)/$AF956)))</f>
        <v/>
      </c>
      <c r="F956" s="56">
        <f>IF($B956=0,"",IF(Inputs!$B$9="","",IF($AG956=0,F955,SUMIFS(Data!$N$10:$N$3209,Data!$M$10:$M$3209,"&gt;="&amp;$A956,Data!$M$10:$M$3209,"&lt;"&amp;$A956+1)/$AG956)))</f>
        <v/>
      </c>
      <c r="G956" s="56">
        <f>IF($B956=0,"",IF(Inputs!$B$10="","",IF($AH956=0,G955,SUMIFS(Data!$R$10:$R$3209,Data!$Q$10:$Q$3209,"&gt;="&amp;$A956,Data!$Q$10:$Q$3209,"&lt;"&amp;$A956+1)/$AH956)))</f>
        <v/>
      </c>
      <c r="I956" s="54">
        <f>IF($B956=0,NA(),IF($C956="",NA(),IF(C$8="",NA(),IF(N(C$8)=0,NA(),IF(Inputs!$C$17="Rebased to 100",$C956/C$8*100,$C956)))))</f>
        <v/>
      </c>
      <c r="J956" s="54">
        <f>IF($B956=0,NA(),IF($D956="",NA(),IF(D$8="",NA(),IF(N(D$8)=0,NA(),IF(Inputs!$C$17="Rebased to 100",$D956/D$8*100,$D956)))))</f>
        <v/>
      </c>
      <c r="K956" s="54">
        <f>IF($B956=0,NA(),IF($E956="",NA(),IF(E$8="",NA(),IF(N(E$8)=0,NA(),IF(Inputs!$C$17="Rebased to 100",$E956/E$8*100,$E956)))))</f>
        <v/>
      </c>
      <c r="L956" s="54">
        <f>IF($B956=0,NA(),IF($F956="",NA(),IF(F$8="",NA(),IF(N(F$8)=0,NA(),IF(Inputs!$C$17="Rebased to 100",$F956/F$8*100,$F956)))))</f>
        <v/>
      </c>
      <c r="M956" s="54">
        <f>IF($B956=0,NA(),IF($G956="",NA(),IF(G$8="",NA(),IF(N(G$8)=0,NA(),IF(Inputs!$C$17="Rebased to 100",$G956/G$8*100,$G956)))))</f>
        <v/>
      </c>
      <c r="N956" s="54">
        <f>IF($B956=0,NA(),IF(Inputs!$C$18&lt;&gt;"Yes",NA(),IF(COUNT(I956,J956,K956,L956,M956)=0,NA(),MIN(I956,J956,K956,L956,M956))))</f>
        <v/>
      </c>
      <c r="O956" s="54">
        <f>IF($B956=0,NA(),IF(Inputs!$B$24&lt;&gt;"Yes",NA(),Inputs!$D$24*Inputs!$C$35))</f>
        <v/>
      </c>
      <c r="P956" s="54">
        <f>IF($B956=0,NA(),IF(Inputs!$B$25&lt;&gt;"Yes",NA(),Inputs!$D$25*Inputs!$C$35))</f>
        <v/>
      </c>
      <c r="Q956" s="54">
        <f>IF($B956=0,NA(),IF(Inputs!$B$26&lt;&gt;"Yes",NA(),Inputs!$D$26*Inputs!$C$35))</f>
        <v/>
      </c>
      <c r="R956" s="54">
        <f>IF($B956=0,NA(),IF(Inputs!$B$27&lt;&gt;"Yes",NA(),Inputs!$D$27*Inputs!$C$35))</f>
        <v/>
      </c>
      <c r="S956" s="54">
        <f>IF($B956=0,NA(),IF(Inputs!$B$28&lt;&gt;"Yes",NA(),Inputs!$D$28*Inputs!$C$35))</f>
        <v/>
      </c>
      <c r="T956" s="54">
        <f>IF($B956=0,NA(),IF(Inputs!$B$29&lt;&gt;"Yes",NA(),Inputs!$D$29*Inputs!$C$35))</f>
        <v/>
      </c>
      <c r="AD956">
        <f>IF($B956=0,0,IF(Inputs!$B$6="",0,COUNTIFS(Data!$A$10:$A$3209,"&gt;="&amp;$A956,Data!$A$10:$A$3209,"&lt;"&amp;$A956+1)))</f>
        <v/>
      </c>
      <c r="AE956">
        <f>IF($B956=0,0,IF(Inputs!$B$7="",0,COUNTIFS(Data!$E$10:$E$3209,"&gt;="&amp;$A956,Data!$E$10:$E$3209,"&lt;"&amp;$A956+1)))</f>
        <v/>
      </c>
      <c r="AF956">
        <f>IF($B956=0,0,IF(Inputs!$B$8="",0,COUNTIFS(Data!$I$10:$I$3209,"&gt;="&amp;$A956,Data!$I$10:$I$3209,"&lt;"&amp;$A956+1)))</f>
        <v/>
      </c>
      <c r="AG956">
        <f>IF($B956=0,0,IF(Inputs!$B$9="",0,COUNTIFS(Data!$M$10:$M$3209,"&gt;="&amp;$A956,Data!$M$10:$M$3209,"&lt;"&amp;$A956+1)))</f>
        <v/>
      </c>
      <c r="AH956">
        <f>IF($B956=0,0,IF(Inputs!$B$10="",0,COUNTIFS(Data!$Q$10:$Q$3209,"&gt;="&amp;$A956,Data!$Q$10:$Q$3209,"&lt;"&amp;$A956+1)))</f>
        <v/>
      </c>
    </row>
    <row r="957">
      <c r="A957" s="55">
        <f>MIN(Inputs!$C$15,$A956+IF(WEEKDAY($A956,2)=5,3,1))</f>
        <v/>
      </c>
      <c r="B957">
        <f>IF($A957&gt;$A956,1,0)</f>
        <v/>
      </c>
      <c r="C957" s="56">
        <f>IF($B957=0,"",IF(Inputs!$B$6="","",IF($AD957=0,C956,SUMIFS(Data!$B$10:$B$3209,Data!$A$10:$A$3209,"&gt;="&amp;$A957,Data!$A$10:$A$3209,"&lt;"&amp;$A957+1)/$AD957)))</f>
        <v/>
      </c>
      <c r="D957" s="56">
        <f>IF($B957=0,"",IF(Inputs!$B$7="","",IF($AE957=0,D956,SUMIFS(Data!$F$10:$F$3209,Data!$E$10:$E$3209,"&gt;="&amp;$A957,Data!$E$10:$E$3209,"&lt;"&amp;$A957+1)/$AE957)))</f>
        <v/>
      </c>
      <c r="E957" s="56">
        <f>IF($B957=0,"",IF(Inputs!$B$8="","",IF($AF957=0,E956,SUMIFS(Data!$J$10:$J$3209,Data!$I$10:$I$3209,"&gt;="&amp;$A957,Data!$I$10:$I$3209,"&lt;"&amp;$A957+1)/$AF957)))</f>
        <v/>
      </c>
      <c r="F957" s="56">
        <f>IF($B957=0,"",IF(Inputs!$B$9="","",IF($AG957=0,F956,SUMIFS(Data!$N$10:$N$3209,Data!$M$10:$M$3209,"&gt;="&amp;$A957,Data!$M$10:$M$3209,"&lt;"&amp;$A957+1)/$AG957)))</f>
        <v/>
      </c>
      <c r="G957" s="56">
        <f>IF($B957=0,"",IF(Inputs!$B$10="","",IF($AH957=0,G956,SUMIFS(Data!$R$10:$R$3209,Data!$Q$10:$Q$3209,"&gt;="&amp;$A957,Data!$Q$10:$Q$3209,"&lt;"&amp;$A957+1)/$AH957)))</f>
        <v/>
      </c>
      <c r="I957" s="54">
        <f>IF($B957=0,NA(),IF($C957="",NA(),IF(C$8="",NA(),IF(N(C$8)=0,NA(),IF(Inputs!$C$17="Rebased to 100",$C957/C$8*100,$C957)))))</f>
        <v/>
      </c>
      <c r="J957" s="54">
        <f>IF($B957=0,NA(),IF($D957="",NA(),IF(D$8="",NA(),IF(N(D$8)=0,NA(),IF(Inputs!$C$17="Rebased to 100",$D957/D$8*100,$D957)))))</f>
        <v/>
      </c>
      <c r="K957" s="54">
        <f>IF($B957=0,NA(),IF($E957="",NA(),IF(E$8="",NA(),IF(N(E$8)=0,NA(),IF(Inputs!$C$17="Rebased to 100",$E957/E$8*100,$E957)))))</f>
        <v/>
      </c>
      <c r="L957" s="54">
        <f>IF($B957=0,NA(),IF($F957="",NA(),IF(F$8="",NA(),IF(N(F$8)=0,NA(),IF(Inputs!$C$17="Rebased to 100",$F957/F$8*100,$F957)))))</f>
        <v/>
      </c>
      <c r="M957" s="54">
        <f>IF($B957=0,NA(),IF($G957="",NA(),IF(G$8="",NA(),IF(N(G$8)=0,NA(),IF(Inputs!$C$17="Rebased to 100",$G957/G$8*100,$G957)))))</f>
        <v/>
      </c>
      <c r="N957" s="54">
        <f>IF($B957=0,NA(),IF(Inputs!$C$18&lt;&gt;"Yes",NA(),IF(COUNT(I957,J957,K957,L957,M957)=0,NA(),MIN(I957,J957,K957,L957,M957))))</f>
        <v/>
      </c>
      <c r="O957" s="54">
        <f>IF($B957=0,NA(),IF(Inputs!$B$24&lt;&gt;"Yes",NA(),Inputs!$D$24*Inputs!$C$35))</f>
        <v/>
      </c>
      <c r="P957" s="54">
        <f>IF($B957=0,NA(),IF(Inputs!$B$25&lt;&gt;"Yes",NA(),Inputs!$D$25*Inputs!$C$35))</f>
        <v/>
      </c>
      <c r="Q957" s="54">
        <f>IF($B957=0,NA(),IF(Inputs!$B$26&lt;&gt;"Yes",NA(),Inputs!$D$26*Inputs!$C$35))</f>
        <v/>
      </c>
      <c r="R957" s="54">
        <f>IF($B957=0,NA(),IF(Inputs!$B$27&lt;&gt;"Yes",NA(),Inputs!$D$27*Inputs!$C$35))</f>
        <v/>
      </c>
      <c r="S957" s="54">
        <f>IF($B957=0,NA(),IF(Inputs!$B$28&lt;&gt;"Yes",NA(),Inputs!$D$28*Inputs!$C$35))</f>
        <v/>
      </c>
      <c r="T957" s="54">
        <f>IF($B957=0,NA(),IF(Inputs!$B$29&lt;&gt;"Yes",NA(),Inputs!$D$29*Inputs!$C$35))</f>
        <v/>
      </c>
      <c r="AD957">
        <f>IF($B957=0,0,IF(Inputs!$B$6="",0,COUNTIFS(Data!$A$10:$A$3209,"&gt;="&amp;$A957,Data!$A$10:$A$3209,"&lt;"&amp;$A957+1)))</f>
        <v/>
      </c>
      <c r="AE957">
        <f>IF($B957=0,0,IF(Inputs!$B$7="",0,COUNTIFS(Data!$E$10:$E$3209,"&gt;="&amp;$A957,Data!$E$10:$E$3209,"&lt;"&amp;$A957+1)))</f>
        <v/>
      </c>
      <c r="AF957">
        <f>IF($B957=0,0,IF(Inputs!$B$8="",0,COUNTIFS(Data!$I$10:$I$3209,"&gt;="&amp;$A957,Data!$I$10:$I$3209,"&lt;"&amp;$A957+1)))</f>
        <v/>
      </c>
      <c r="AG957">
        <f>IF($B957=0,0,IF(Inputs!$B$9="",0,COUNTIFS(Data!$M$10:$M$3209,"&gt;="&amp;$A957,Data!$M$10:$M$3209,"&lt;"&amp;$A957+1)))</f>
        <v/>
      </c>
      <c r="AH957">
        <f>IF($B957=0,0,IF(Inputs!$B$10="",0,COUNTIFS(Data!$Q$10:$Q$3209,"&gt;="&amp;$A957,Data!$Q$10:$Q$3209,"&lt;"&amp;$A957+1)))</f>
        <v/>
      </c>
    </row>
    <row r="958">
      <c r="A958" s="55">
        <f>MIN(Inputs!$C$15,$A957+IF(WEEKDAY($A957,2)=5,3,1))</f>
        <v/>
      </c>
      <c r="B958">
        <f>IF($A958&gt;$A957,1,0)</f>
        <v/>
      </c>
      <c r="C958" s="56">
        <f>IF($B958=0,"",IF(Inputs!$B$6="","",IF($AD958=0,C957,SUMIFS(Data!$B$10:$B$3209,Data!$A$10:$A$3209,"&gt;="&amp;$A958,Data!$A$10:$A$3209,"&lt;"&amp;$A958+1)/$AD958)))</f>
        <v/>
      </c>
      <c r="D958" s="56">
        <f>IF($B958=0,"",IF(Inputs!$B$7="","",IF($AE958=0,D957,SUMIFS(Data!$F$10:$F$3209,Data!$E$10:$E$3209,"&gt;="&amp;$A958,Data!$E$10:$E$3209,"&lt;"&amp;$A958+1)/$AE958)))</f>
        <v/>
      </c>
      <c r="E958" s="56">
        <f>IF($B958=0,"",IF(Inputs!$B$8="","",IF($AF958=0,E957,SUMIFS(Data!$J$10:$J$3209,Data!$I$10:$I$3209,"&gt;="&amp;$A958,Data!$I$10:$I$3209,"&lt;"&amp;$A958+1)/$AF958)))</f>
        <v/>
      </c>
      <c r="F958" s="56">
        <f>IF($B958=0,"",IF(Inputs!$B$9="","",IF($AG958=0,F957,SUMIFS(Data!$N$10:$N$3209,Data!$M$10:$M$3209,"&gt;="&amp;$A958,Data!$M$10:$M$3209,"&lt;"&amp;$A958+1)/$AG958)))</f>
        <v/>
      </c>
      <c r="G958" s="56">
        <f>IF($B958=0,"",IF(Inputs!$B$10="","",IF($AH958=0,G957,SUMIFS(Data!$R$10:$R$3209,Data!$Q$10:$Q$3209,"&gt;="&amp;$A958,Data!$Q$10:$Q$3209,"&lt;"&amp;$A958+1)/$AH958)))</f>
        <v/>
      </c>
      <c r="I958" s="54">
        <f>IF($B958=0,NA(),IF($C958="",NA(),IF(C$8="",NA(),IF(N(C$8)=0,NA(),IF(Inputs!$C$17="Rebased to 100",$C958/C$8*100,$C958)))))</f>
        <v/>
      </c>
      <c r="J958" s="54">
        <f>IF($B958=0,NA(),IF($D958="",NA(),IF(D$8="",NA(),IF(N(D$8)=0,NA(),IF(Inputs!$C$17="Rebased to 100",$D958/D$8*100,$D958)))))</f>
        <v/>
      </c>
      <c r="K958" s="54">
        <f>IF($B958=0,NA(),IF($E958="",NA(),IF(E$8="",NA(),IF(N(E$8)=0,NA(),IF(Inputs!$C$17="Rebased to 100",$E958/E$8*100,$E958)))))</f>
        <v/>
      </c>
      <c r="L958" s="54">
        <f>IF($B958=0,NA(),IF($F958="",NA(),IF(F$8="",NA(),IF(N(F$8)=0,NA(),IF(Inputs!$C$17="Rebased to 100",$F958/F$8*100,$F958)))))</f>
        <v/>
      </c>
      <c r="M958" s="54">
        <f>IF($B958=0,NA(),IF($G958="",NA(),IF(G$8="",NA(),IF(N(G$8)=0,NA(),IF(Inputs!$C$17="Rebased to 100",$G958/G$8*100,$G958)))))</f>
        <v/>
      </c>
      <c r="N958" s="54">
        <f>IF($B958=0,NA(),IF(Inputs!$C$18&lt;&gt;"Yes",NA(),IF(COUNT(I958,J958,K958,L958,M958)=0,NA(),MIN(I958,J958,K958,L958,M958))))</f>
        <v/>
      </c>
      <c r="O958" s="54">
        <f>IF($B958=0,NA(),IF(Inputs!$B$24&lt;&gt;"Yes",NA(),Inputs!$D$24*Inputs!$C$35))</f>
        <v/>
      </c>
      <c r="P958" s="54">
        <f>IF($B958=0,NA(),IF(Inputs!$B$25&lt;&gt;"Yes",NA(),Inputs!$D$25*Inputs!$C$35))</f>
        <v/>
      </c>
      <c r="Q958" s="54">
        <f>IF($B958=0,NA(),IF(Inputs!$B$26&lt;&gt;"Yes",NA(),Inputs!$D$26*Inputs!$C$35))</f>
        <v/>
      </c>
      <c r="R958" s="54">
        <f>IF($B958=0,NA(),IF(Inputs!$B$27&lt;&gt;"Yes",NA(),Inputs!$D$27*Inputs!$C$35))</f>
        <v/>
      </c>
      <c r="S958" s="54">
        <f>IF($B958=0,NA(),IF(Inputs!$B$28&lt;&gt;"Yes",NA(),Inputs!$D$28*Inputs!$C$35))</f>
        <v/>
      </c>
      <c r="T958" s="54">
        <f>IF($B958=0,NA(),IF(Inputs!$B$29&lt;&gt;"Yes",NA(),Inputs!$D$29*Inputs!$C$35))</f>
        <v/>
      </c>
      <c r="AD958">
        <f>IF($B958=0,0,IF(Inputs!$B$6="",0,COUNTIFS(Data!$A$10:$A$3209,"&gt;="&amp;$A958,Data!$A$10:$A$3209,"&lt;"&amp;$A958+1)))</f>
        <v/>
      </c>
      <c r="AE958">
        <f>IF($B958=0,0,IF(Inputs!$B$7="",0,COUNTIFS(Data!$E$10:$E$3209,"&gt;="&amp;$A958,Data!$E$10:$E$3209,"&lt;"&amp;$A958+1)))</f>
        <v/>
      </c>
      <c r="AF958">
        <f>IF($B958=0,0,IF(Inputs!$B$8="",0,COUNTIFS(Data!$I$10:$I$3209,"&gt;="&amp;$A958,Data!$I$10:$I$3209,"&lt;"&amp;$A958+1)))</f>
        <v/>
      </c>
      <c r="AG958">
        <f>IF($B958=0,0,IF(Inputs!$B$9="",0,COUNTIFS(Data!$M$10:$M$3209,"&gt;="&amp;$A958,Data!$M$10:$M$3209,"&lt;"&amp;$A958+1)))</f>
        <v/>
      </c>
      <c r="AH958">
        <f>IF($B958=0,0,IF(Inputs!$B$10="",0,COUNTIFS(Data!$Q$10:$Q$3209,"&gt;="&amp;$A958,Data!$Q$10:$Q$3209,"&lt;"&amp;$A958+1)))</f>
        <v/>
      </c>
    </row>
    <row r="959">
      <c r="A959" s="55">
        <f>MIN(Inputs!$C$15,$A958+IF(WEEKDAY($A958,2)=5,3,1))</f>
        <v/>
      </c>
      <c r="B959">
        <f>IF($A959&gt;$A958,1,0)</f>
        <v/>
      </c>
      <c r="C959" s="56">
        <f>IF($B959=0,"",IF(Inputs!$B$6="","",IF($AD959=0,C958,SUMIFS(Data!$B$10:$B$3209,Data!$A$10:$A$3209,"&gt;="&amp;$A959,Data!$A$10:$A$3209,"&lt;"&amp;$A959+1)/$AD959)))</f>
        <v/>
      </c>
      <c r="D959" s="56">
        <f>IF($B959=0,"",IF(Inputs!$B$7="","",IF($AE959=0,D958,SUMIFS(Data!$F$10:$F$3209,Data!$E$10:$E$3209,"&gt;="&amp;$A959,Data!$E$10:$E$3209,"&lt;"&amp;$A959+1)/$AE959)))</f>
        <v/>
      </c>
      <c r="E959" s="56">
        <f>IF($B959=0,"",IF(Inputs!$B$8="","",IF($AF959=0,E958,SUMIFS(Data!$J$10:$J$3209,Data!$I$10:$I$3209,"&gt;="&amp;$A959,Data!$I$10:$I$3209,"&lt;"&amp;$A959+1)/$AF959)))</f>
        <v/>
      </c>
      <c r="F959" s="56">
        <f>IF($B959=0,"",IF(Inputs!$B$9="","",IF($AG959=0,F958,SUMIFS(Data!$N$10:$N$3209,Data!$M$10:$M$3209,"&gt;="&amp;$A959,Data!$M$10:$M$3209,"&lt;"&amp;$A959+1)/$AG959)))</f>
        <v/>
      </c>
      <c r="G959" s="56">
        <f>IF($B959=0,"",IF(Inputs!$B$10="","",IF($AH959=0,G958,SUMIFS(Data!$R$10:$R$3209,Data!$Q$10:$Q$3209,"&gt;="&amp;$A959,Data!$Q$10:$Q$3209,"&lt;"&amp;$A959+1)/$AH959)))</f>
        <v/>
      </c>
      <c r="I959" s="54">
        <f>IF($B959=0,NA(),IF($C959="",NA(),IF(C$8="",NA(),IF(N(C$8)=0,NA(),IF(Inputs!$C$17="Rebased to 100",$C959/C$8*100,$C959)))))</f>
        <v/>
      </c>
      <c r="J959" s="54">
        <f>IF($B959=0,NA(),IF($D959="",NA(),IF(D$8="",NA(),IF(N(D$8)=0,NA(),IF(Inputs!$C$17="Rebased to 100",$D959/D$8*100,$D959)))))</f>
        <v/>
      </c>
      <c r="K959" s="54">
        <f>IF($B959=0,NA(),IF($E959="",NA(),IF(E$8="",NA(),IF(N(E$8)=0,NA(),IF(Inputs!$C$17="Rebased to 100",$E959/E$8*100,$E959)))))</f>
        <v/>
      </c>
      <c r="L959" s="54">
        <f>IF($B959=0,NA(),IF($F959="",NA(),IF(F$8="",NA(),IF(N(F$8)=0,NA(),IF(Inputs!$C$17="Rebased to 100",$F959/F$8*100,$F959)))))</f>
        <v/>
      </c>
      <c r="M959" s="54">
        <f>IF($B959=0,NA(),IF($G959="",NA(),IF(G$8="",NA(),IF(N(G$8)=0,NA(),IF(Inputs!$C$17="Rebased to 100",$G959/G$8*100,$G959)))))</f>
        <v/>
      </c>
      <c r="N959" s="54">
        <f>IF($B959=0,NA(),IF(Inputs!$C$18&lt;&gt;"Yes",NA(),IF(COUNT(I959,J959,K959,L959,M959)=0,NA(),MIN(I959,J959,K959,L959,M959))))</f>
        <v/>
      </c>
      <c r="O959" s="54">
        <f>IF($B959=0,NA(),IF(Inputs!$B$24&lt;&gt;"Yes",NA(),Inputs!$D$24*Inputs!$C$35))</f>
        <v/>
      </c>
      <c r="P959" s="54">
        <f>IF($B959=0,NA(),IF(Inputs!$B$25&lt;&gt;"Yes",NA(),Inputs!$D$25*Inputs!$C$35))</f>
        <v/>
      </c>
      <c r="Q959" s="54">
        <f>IF($B959=0,NA(),IF(Inputs!$B$26&lt;&gt;"Yes",NA(),Inputs!$D$26*Inputs!$C$35))</f>
        <v/>
      </c>
      <c r="R959" s="54">
        <f>IF($B959=0,NA(),IF(Inputs!$B$27&lt;&gt;"Yes",NA(),Inputs!$D$27*Inputs!$C$35))</f>
        <v/>
      </c>
      <c r="S959" s="54">
        <f>IF($B959=0,NA(),IF(Inputs!$B$28&lt;&gt;"Yes",NA(),Inputs!$D$28*Inputs!$C$35))</f>
        <v/>
      </c>
      <c r="T959" s="54">
        <f>IF($B959=0,NA(),IF(Inputs!$B$29&lt;&gt;"Yes",NA(),Inputs!$D$29*Inputs!$C$35))</f>
        <v/>
      </c>
      <c r="AD959">
        <f>IF($B959=0,0,IF(Inputs!$B$6="",0,COUNTIFS(Data!$A$10:$A$3209,"&gt;="&amp;$A959,Data!$A$10:$A$3209,"&lt;"&amp;$A959+1)))</f>
        <v/>
      </c>
      <c r="AE959">
        <f>IF($B959=0,0,IF(Inputs!$B$7="",0,COUNTIFS(Data!$E$10:$E$3209,"&gt;="&amp;$A959,Data!$E$10:$E$3209,"&lt;"&amp;$A959+1)))</f>
        <v/>
      </c>
      <c r="AF959">
        <f>IF($B959=0,0,IF(Inputs!$B$8="",0,COUNTIFS(Data!$I$10:$I$3209,"&gt;="&amp;$A959,Data!$I$10:$I$3209,"&lt;"&amp;$A959+1)))</f>
        <v/>
      </c>
      <c r="AG959">
        <f>IF($B959=0,0,IF(Inputs!$B$9="",0,COUNTIFS(Data!$M$10:$M$3209,"&gt;="&amp;$A959,Data!$M$10:$M$3209,"&lt;"&amp;$A959+1)))</f>
        <v/>
      </c>
      <c r="AH959">
        <f>IF($B959=0,0,IF(Inputs!$B$10="",0,COUNTIFS(Data!$Q$10:$Q$3209,"&gt;="&amp;$A959,Data!$Q$10:$Q$3209,"&lt;"&amp;$A959+1)))</f>
        <v/>
      </c>
    </row>
    <row r="960">
      <c r="A960" s="55">
        <f>MIN(Inputs!$C$15,$A959+IF(WEEKDAY($A959,2)=5,3,1))</f>
        <v/>
      </c>
      <c r="B960">
        <f>IF($A960&gt;$A959,1,0)</f>
        <v/>
      </c>
      <c r="C960" s="56">
        <f>IF($B960=0,"",IF(Inputs!$B$6="","",IF($AD960=0,C959,SUMIFS(Data!$B$10:$B$3209,Data!$A$10:$A$3209,"&gt;="&amp;$A960,Data!$A$10:$A$3209,"&lt;"&amp;$A960+1)/$AD960)))</f>
        <v/>
      </c>
      <c r="D960" s="56">
        <f>IF($B960=0,"",IF(Inputs!$B$7="","",IF($AE960=0,D959,SUMIFS(Data!$F$10:$F$3209,Data!$E$10:$E$3209,"&gt;="&amp;$A960,Data!$E$10:$E$3209,"&lt;"&amp;$A960+1)/$AE960)))</f>
        <v/>
      </c>
      <c r="E960" s="56">
        <f>IF($B960=0,"",IF(Inputs!$B$8="","",IF($AF960=0,E959,SUMIFS(Data!$J$10:$J$3209,Data!$I$10:$I$3209,"&gt;="&amp;$A960,Data!$I$10:$I$3209,"&lt;"&amp;$A960+1)/$AF960)))</f>
        <v/>
      </c>
      <c r="F960" s="56">
        <f>IF($B960=0,"",IF(Inputs!$B$9="","",IF($AG960=0,F959,SUMIFS(Data!$N$10:$N$3209,Data!$M$10:$M$3209,"&gt;="&amp;$A960,Data!$M$10:$M$3209,"&lt;"&amp;$A960+1)/$AG960)))</f>
        <v/>
      </c>
      <c r="G960" s="56">
        <f>IF($B960=0,"",IF(Inputs!$B$10="","",IF($AH960=0,G959,SUMIFS(Data!$R$10:$R$3209,Data!$Q$10:$Q$3209,"&gt;="&amp;$A960,Data!$Q$10:$Q$3209,"&lt;"&amp;$A960+1)/$AH960)))</f>
        <v/>
      </c>
      <c r="I960" s="54">
        <f>IF($B960=0,NA(),IF($C960="",NA(),IF(C$8="",NA(),IF(N(C$8)=0,NA(),IF(Inputs!$C$17="Rebased to 100",$C960/C$8*100,$C960)))))</f>
        <v/>
      </c>
      <c r="J960" s="54">
        <f>IF($B960=0,NA(),IF($D960="",NA(),IF(D$8="",NA(),IF(N(D$8)=0,NA(),IF(Inputs!$C$17="Rebased to 100",$D960/D$8*100,$D960)))))</f>
        <v/>
      </c>
      <c r="K960" s="54">
        <f>IF($B960=0,NA(),IF($E960="",NA(),IF(E$8="",NA(),IF(N(E$8)=0,NA(),IF(Inputs!$C$17="Rebased to 100",$E960/E$8*100,$E960)))))</f>
        <v/>
      </c>
      <c r="L960" s="54">
        <f>IF($B960=0,NA(),IF($F960="",NA(),IF(F$8="",NA(),IF(N(F$8)=0,NA(),IF(Inputs!$C$17="Rebased to 100",$F960/F$8*100,$F960)))))</f>
        <v/>
      </c>
      <c r="M960" s="54">
        <f>IF($B960=0,NA(),IF($G960="",NA(),IF(G$8="",NA(),IF(N(G$8)=0,NA(),IF(Inputs!$C$17="Rebased to 100",$G960/G$8*100,$G960)))))</f>
        <v/>
      </c>
      <c r="N960" s="54">
        <f>IF($B960=0,NA(),IF(Inputs!$C$18&lt;&gt;"Yes",NA(),IF(COUNT(I960,J960,K960,L960,M960)=0,NA(),MIN(I960,J960,K960,L960,M960))))</f>
        <v/>
      </c>
      <c r="O960" s="54">
        <f>IF($B960=0,NA(),IF(Inputs!$B$24&lt;&gt;"Yes",NA(),Inputs!$D$24*Inputs!$C$35))</f>
        <v/>
      </c>
      <c r="P960" s="54">
        <f>IF($B960=0,NA(),IF(Inputs!$B$25&lt;&gt;"Yes",NA(),Inputs!$D$25*Inputs!$C$35))</f>
        <v/>
      </c>
      <c r="Q960" s="54">
        <f>IF($B960=0,NA(),IF(Inputs!$B$26&lt;&gt;"Yes",NA(),Inputs!$D$26*Inputs!$C$35))</f>
        <v/>
      </c>
      <c r="R960" s="54">
        <f>IF($B960=0,NA(),IF(Inputs!$B$27&lt;&gt;"Yes",NA(),Inputs!$D$27*Inputs!$C$35))</f>
        <v/>
      </c>
      <c r="S960" s="54">
        <f>IF($B960=0,NA(),IF(Inputs!$B$28&lt;&gt;"Yes",NA(),Inputs!$D$28*Inputs!$C$35))</f>
        <v/>
      </c>
      <c r="T960" s="54">
        <f>IF($B960=0,NA(),IF(Inputs!$B$29&lt;&gt;"Yes",NA(),Inputs!$D$29*Inputs!$C$35))</f>
        <v/>
      </c>
      <c r="AD960">
        <f>IF($B960=0,0,IF(Inputs!$B$6="",0,COUNTIFS(Data!$A$10:$A$3209,"&gt;="&amp;$A960,Data!$A$10:$A$3209,"&lt;"&amp;$A960+1)))</f>
        <v/>
      </c>
      <c r="AE960">
        <f>IF($B960=0,0,IF(Inputs!$B$7="",0,COUNTIFS(Data!$E$10:$E$3209,"&gt;="&amp;$A960,Data!$E$10:$E$3209,"&lt;"&amp;$A960+1)))</f>
        <v/>
      </c>
      <c r="AF960">
        <f>IF($B960=0,0,IF(Inputs!$B$8="",0,COUNTIFS(Data!$I$10:$I$3209,"&gt;="&amp;$A960,Data!$I$10:$I$3209,"&lt;"&amp;$A960+1)))</f>
        <v/>
      </c>
      <c r="AG960">
        <f>IF($B960=0,0,IF(Inputs!$B$9="",0,COUNTIFS(Data!$M$10:$M$3209,"&gt;="&amp;$A960,Data!$M$10:$M$3209,"&lt;"&amp;$A960+1)))</f>
        <v/>
      </c>
      <c r="AH960">
        <f>IF($B960=0,0,IF(Inputs!$B$10="",0,COUNTIFS(Data!$Q$10:$Q$3209,"&gt;="&amp;$A960,Data!$Q$10:$Q$3209,"&lt;"&amp;$A960+1)))</f>
        <v/>
      </c>
    </row>
    <row r="961">
      <c r="A961" s="55">
        <f>MIN(Inputs!$C$15,$A960+IF(WEEKDAY($A960,2)=5,3,1))</f>
        <v/>
      </c>
      <c r="B961">
        <f>IF($A961&gt;$A960,1,0)</f>
        <v/>
      </c>
      <c r="C961" s="56">
        <f>IF($B961=0,"",IF(Inputs!$B$6="","",IF($AD961=0,C960,SUMIFS(Data!$B$10:$B$3209,Data!$A$10:$A$3209,"&gt;="&amp;$A961,Data!$A$10:$A$3209,"&lt;"&amp;$A961+1)/$AD961)))</f>
        <v/>
      </c>
      <c r="D961" s="56">
        <f>IF($B961=0,"",IF(Inputs!$B$7="","",IF($AE961=0,D960,SUMIFS(Data!$F$10:$F$3209,Data!$E$10:$E$3209,"&gt;="&amp;$A961,Data!$E$10:$E$3209,"&lt;"&amp;$A961+1)/$AE961)))</f>
        <v/>
      </c>
      <c r="E961" s="56">
        <f>IF($B961=0,"",IF(Inputs!$B$8="","",IF($AF961=0,E960,SUMIFS(Data!$J$10:$J$3209,Data!$I$10:$I$3209,"&gt;="&amp;$A961,Data!$I$10:$I$3209,"&lt;"&amp;$A961+1)/$AF961)))</f>
        <v/>
      </c>
      <c r="F961" s="56">
        <f>IF($B961=0,"",IF(Inputs!$B$9="","",IF($AG961=0,F960,SUMIFS(Data!$N$10:$N$3209,Data!$M$10:$M$3209,"&gt;="&amp;$A961,Data!$M$10:$M$3209,"&lt;"&amp;$A961+1)/$AG961)))</f>
        <v/>
      </c>
      <c r="G961" s="56">
        <f>IF($B961=0,"",IF(Inputs!$B$10="","",IF($AH961=0,G960,SUMIFS(Data!$R$10:$R$3209,Data!$Q$10:$Q$3209,"&gt;="&amp;$A961,Data!$Q$10:$Q$3209,"&lt;"&amp;$A961+1)/$AH961)))</f>
        <v/>
      </c>
      <c r="I961" s="54">
        <f>IF($B961=0,NA(),IF($C961="",NA(),IF(C$8="",NA(),IF(N(C$8)=0,NA(),IF(Inputs!$C$17="Rebased to 100",$C961/C$8*100,$C961)))))</f>
        <v/>
      </c>
      <c r="J961" s="54">
        <f>IF($B961=0,NA(),IF($D961="",NA(),IF(D$8="",NA(),IF(N(D$8)=0,NA(),IF(Inputs!$C$17="Rebased to 100",$D961/D$8*100,$D961)))))</f>
        <v/>
      </c>
      <c r="K961" s="54">
        <f>IF($B961=0,NA(),IF($E961="",NA(),IF(E$8="",NA(),IF(N(E$8)=0,NA(),IF(Inputs!$C$17="Rebased to 100",$E961/E$8*100,$E961)))))</f>
        <v/>
      </c>
      <c r="L961" s="54">
        <f>IF($B961=0,NA(),IF($F961="",NA(),IF(F$8="",NA(),IF(N(F$8)=0,NA(),IF(Inputs!$C$17="Rebased to 100",$F961/F$8*100,$F961)))))</f>
        <v/>
      </c>
      <c r="M961" s="54">
        <f>IF($B961=0,NA(),IF($G961="",NA(),IF(G$8="",NA(),IF(N(G$8)=0,NA(),IF(Inputs!$C$17="Rebased to 100",$G961/G$8*100,$G961)))))</f>
        <v/>
      </c>
      <c r="N961" s="54">
        <f>IF($B961=0,NA(),IF(Inputs!$C$18&lt;&gt;"Yes",NA(),IF(COUNT(I961,J961,K961,L961,M961)=0,NA(),MIN(I961,J961,K961,L961,M961))))</f>
        <v/>
      </c>
      <c r="O961" s="54">
        <f>IF($B961=0,NA(),IF(Inputs!$B$24&lt;&gt;"Yes",NA(),Inputs!$D$24*Inputs!$C$35))</f>
        <v/>
      </c>
      <c r="P961" s="54">
        <f>IF($B961=0,NA(),IF(Inputs!$B$25&lt;&gt;"Yes",NA(),Inputs!$D$25*Inputs!$C$35))</f>
        <v/>
      </c>
      <c r="Q961" s="54">
        <f>IF($B961=0,NA(),IF(Inputs!$B$26&lt;&gt;"Yes",NA(),Inputs!$D$26*Inputs!$C$35))</f>
        <v/>
      </c>
      <c r="R961" s="54">
        <f>IF($B961=0,NA(),IF(Inputs!$B$27&lt;&gt;"Yes",NA(),Inputs!$D$27*Inputs!$C$35))</f>
        <v/>
      </c>
      <c r="S961" s="54">
        <f>IF($B961=0,NA(),IF(Inputs!$B$28&lt;&gt;"Yes",NA(),Inputs!$D$28*Inputs!$C$35))</f>
        <v/>
      </c>
      <c r="T961" s="54">
        <f>IF($B961=0,NA(),IF(Inputs!$B$29&lt;&gt;"Yes",NA(),Inputs!$D$29*Inputs!$C$35))</f>
        <v/>
      </c>
      <c r="AD961">
        <f>IF($B961=0,0,IF(Inputs!$B$6="",0,COUNTIFS(Data!$A$10:$A$3209,"&gt;="&amp;$A961,Data!$A$10:$A$3209,"&lt;"&amp;$A961+1)))</f>
        <v/>
      </c>
      <c r="AE961">
        <f>IF($B961=0,0,IF(Inputs!$B$7="",0,COUNTIFS(Data!$E$10:$E$3209,"&gt;="&amp;$A961,Data!$E$10:$E$3209,"&lt;"&amp;$A961+1)))</f>
        <v/>
      </c>
      <c r="AF961">
        <f>IF($B961=0,0,IF(Inputs!$B$8="",0,COUNTIFS(Data!$I$10:$I$3209,"&gt;="&amp;$A961,Data!$I$10:$I$3209,"&lt;"&amp;$A961+1)))</f>
        <v/>
      </c>
      <c r="AG961">
        <f>IF($B961=0,0,IF(Inputs!$B$9="",0,COUNTIFS(Data!$M$10:$M$3209,"&gt;="&amp;$A961,Data!$M$10:$M$3209,"&lt;"&amp;$A961+1)))</f>
        <v/>
      </c>
      <c r="AH961">
        <f>IF($B961=0,0,IF(Inputs!$B$10="",0,COUNTIFS(Data!$Q$10:$Q$3209,"&gt;="&amp;$A961,Data!$Q$10:$Q$3209,"&lt;"&amp;$A961+1)))</f>
        <v/>
      </c>
    </row>
    <row r="962">
      <c r="A962" s="55">
        <f>MIN(Inputs!$C$15,$A961+IF(WEEKDAY($A961,2)=5,3,1))</f>
        <v/>
      </c>
      <c r="B962">
        <f>IF($A962&gt;$A961,1,0)</f>
        <v/>
      </c>
      <c r="C962" s="56">
        <f>IF($B962=0,"",IF(Inputs!$B$6="","",IF($AD962=0,C961,SUMIFS(Data!$B$10:$B$3209,Data!$A$10:$A$3209,"&gt;="&amp;$A962,Data!$A$10:$A$3209,"&lt;"&amp;$A962+1)/$AD962)))</f>
        <v/>
      </c>
      <c r="D962" s="56">
        <f>IF($B962=0,"",IF(Inputs!$B$7="","",IF($AE962=0,D961,SUMIFS(Data!$F$10:$F$3209,Data!$E$10:$E$3209,"&gt;="&amp;$A962,Data!$E$10:$E$3209,"&lt;"&amp;$A962+1)/$AE962)))</f>
        <v/>
      </c>
      <c r="E962" s="56">
        <f>IF($B962=0,"",IF(Inputs!$B$8="","",IF($AF962=0,E961,SUMIFS(Data!$J$10:$J$3209,Data!$I$10:$I$3209,"&gt;="&amp;$A962,Data!$I$10:$I$3209,"&lt;"&amp;$A962+1)/$AF962)))</f>
        <v/>
      </c>
      <c r="F962" s="56">
        <f>IF($B962=0,"",IF(Inputs!$B$9="","",IF($AG962=0,F961,SUMIFS(Data!$N$10:$N$3209,Data!$M$10:$M$3209,"&gt;="&amp;$A962,Data!$M$10:$M$3209,"&lt;"&amp;$A962+1)/$AG962)))</f>
        <v/>
      </c>
      <c r="G962" s="56">
        <f>IF($B962=0,"",IF(Inputs!$B$10="","",IF($AH962=0,G961,SUMIFS(Data!$R$10:$R$3209,Data!$Q$10:$Q$3209,"&gt;="&amp;$A962,Data!$Q$10:$Q$3209,"&lt;"&amp;$A962+1)/$AH962)))</f>
        <v/>
      </c>
      <c r="I962" s="54">
        <f>IF($B962=0,NA(),IF($C962="",NA(),IF(C$8="",NA(),IF(N(C$8)=0,NA(),IF(Inputs!$C$17="Rebased to 100",$C962/C$8*100,$C962)))))</f>
        <v/>
      </c>
      <c r="J962" s="54">
        <f>IF($B962=0,NA(),IF($D962="",NA(),IF(D$8="",NA(),IF(N(D$8)=0,NA(),IF(Inputs!$C$17="Rebased to 100",$D962/D$8*100,$D962)))))</f>
        <v/>
      </c>
      <c r="K962" s="54">
        <f>IF($B962=0,NA(),IF($E962="",NA(),IF(E$8="",NA(),IF(N(E$8)=0,NA(),IF(Inputs!$C$17="Rebased to 100",$E962/E$8*100,$E962)))))</f>
        <v/>
      </c>
      <c r="L962" s="54">
        <f>IF($B962=0,NA(),IF($F962="",NA(),IF(F$8="",NA(),IF(N(F$8)=0,NA(),IF(Inputs!$C$17="Rebased to 100",$F962/F$8*100,$F962)))))</f>
        <v/>
      </c>
      <c r="M962" s="54">
        <f>IF($B962=0,NA(),IF($G962="",NA(),IF(G$8="",NA(),IF(N(G$8)=0,NA(),IF(Inputs!$C$17="Rebased to 100",$G962/G$8*100,$G962)))))</f>
        <v/>
      </c>
      <c r="N962" s="54">
        <f>IF($B962=0,NA(),IF(Inputs!$C$18&lt;&gt;"Yes",NA(),IF(COUNT(I962,J962,K962,L962,M962)=0,NA(),MIN(I962,J962,K962,L962,M962))))</f>
        <v/>
      </c>
      <c r="O962" s="54">
        <f>IF($B962=0,NA(),IF(Inputs!$B$24&lt;&gt;"Yes",NA(),Inputs!$D$24*Inputs!$C$35))</f>
        <v/>
      </c>
      <c r="P962" s="54">
        <f>IF($B962=0,NA(),IF(Inputs!$B$25&lt;&gt;"Yes",NA(),Inputs!$D$25*Inputs!$C$35))</f>
        <v/>
      </c>
      <c r="Q962" s="54">
        <f>IF($B962=0,NA(),IF(Inputs!$B$26&lt;&gt;"Yes",NA(),Inputs!$D$26*Inputs!$C$35))</f>
        <v/>
      </c>
      <c r="R962" s="54">
        <f>IF($B962=0,NA(),IF(Inputs!$B$27&lt;&gt;"Yes",NA(),Inputs!$D$27*Inputs!$C$35))</f>
        <v/>
      </c>
      <c r="S962" s="54">
        <f>IF($B962=0,NA(),IF(Inputs!$B$28&lt;&gt;"Yes",NA(),Inputs!$D$28*Inputs!$C$35))</f>
        <v/>
      </c>
      <c r="T962" s="54">
        <f>IF($B962=0,NA(),IF(Inputs!$B$29&lt;&gt;"Yes",NA(),Inputs!$D$29*Inputs!$C$35))</f>
        <v/>
      </c>
      <c r="AD962">
        <f>IF($B962=0,0,IF(Inputs!$B$6="",0,COUNTIFS(Data!$A$10:$A$3209,"&gt;="&amp;$A962,Data!$A$10:$A$3209,"&lt;"&amp;$A962+1)))</f>
        <v/>
      </c>
      <c r="AE962">
        <f>IF($B962=0,0,IF(Inputs!$B$7="",0,COUNTIFS(Data!$E$10:$E$3209,"&gt;="&amp;$A962,Data!$E$10:$E$3209,"&lt;"&amp;$A962+1)))</f>
        <v/>
      </c>
      <c r="AF962">
        <f>IF($B962=0,0,IF(Inputs!$B$8="",0,COUNTIFS(Data!$I$10:$I$3209,"&gt;="&amp;$A962,Data!$I$10:$I$3209,"&lt;"&amp;$A962+1)))</f>
        <v/>
      </c>
      <c r="AG962">
        <f>IF($B962=0,0,IF(Inputs!$B$9="",0,COUNTIFS(Data!$M$10:$M$3209,"&gt;="&amp;$A962,Data!$M$10:$M$3209,"&lt;"&amp;$A962+1)))</f>
        <v/>
      </c>
      <c r="AH962">
        <f>IF($B962=0,0,IF(Inputs!$B$10="",0,COUNTIFS(Data!$Q$10:$Q$3209,"&gt;="&amp;$A962,Data!$Q$10:$Q$3209,"&lt;"&amp;$A962+1)))</f>
        <v/>
      </c>
    </row>
    <row r="963">
      <c r="A963" s="55">
        <f>MIN(Inputs!$C$15,$A962+IF(WEEKDAY($A962,2)=5,3,1))</f>
        <v/>
      </c>
      <c r="B963">
        <f>IF($A963&gt;$A962,1,0)</f>
        <v/>
      </c>
      <c r="C963" s="56">
        <f>IF($B963=0,"",IF(Inputs!$B$6="","",IF($AD963=0,C962,SUMIFS(Data!$B$10:$B$3209,Data!$A$10:$A$3209,"&gt;="&amp;$A963,Data!$A$10:$A$3209,"&lt;"&amp;$A963+1)/$AD963)))</f>
        <v/>
      </c>
      <c r="D963" s="56">
        <f>IF($B963=0,"",IF(Inputs!$B$7="","",IF($AE963=0,D962,SUMIFS(Data!$F$10:$F$3209,Data!$E$10:$E$3209,"&gt;="&amp;$A963,Data!$E$10:$E$3209,"&lt;"&amp;$A963+1)/$AE963)))</f>
        <v/>
      </c>
      <c r="E963" s="56">
        <f>IF($B963=0,"",IF(Inputs!$B$8="","",IF($AF963=0,E962,SUMIFS(Data!$J$10:$J$3209,Data!$I$10:$I$3209,"&gt;="&amp;$A963,Data!$I$10:$I$3209,"&lt;"&amp;$A963+1)/$AF963)))</f>
        <v/>
      </c>
      <c r="F963" s="56">
        <f>IF($B963=0,"",IF(Inputs!$B$9="","",IF($AG963=0,F962,SUMIFS(Data!$N$10:$N$3209,Data!$M$10:$M$3209,"&gt;="&amp;$A963,Data!$M$10:$M$3209,"&lt;"&amp;$A963+1)/$AG963)))</f>
        <v/>
      </c>
      <c r="G963" s="56">
        <f>IF($B963=0,"",IF(Inputs!$B$10="","",IF($AH963=0,G962,SUMIFS(Data!$R$10:$R$3209,Data!$Q$10:$Q$3209,"&gt;="&amp;$A963,Data!$Q$10:$Q$3209,"&lt;"&amp;$A963+1)/$AH963)))</f>
        <v/>
      </c>
      <c r="I963" s="54">
        <f>IF($B963=0,NA(),IF($C963="",NA(),IF(C$8="",NA(),IF(N(C$8)=0,NA(),IF(Inputs!$C$17="Rebased to 100",$C963/C$8*100,$C963)))))</f>
        <v/>
      </c>
      <c r="J963" s="54">
        <f>IF($B963=0,NA(),IF($D963="",NA(),IF(D$8="",NA(),IF(N(D$8)=0,NA(),IF(Inputs!$C$17="Rebased to 100",$D963/D$8*100,$D963)))))</f>
        <v/>
      </c>
      <c r="K963" s="54">
        <f>IF($B963=0,NA(),IF($E963="",NA(),IF(E$8="",NA(),IF(N(E$8)=0,NA(),IF(Inputs!$C$17="Rebased to 100",$E963/E$8*100,$E963)))))</f>
        <v/>
      </c>
      <c r="L963" s="54">
        <f>IF($B963=0,NA(),IF($F963="",NA(),IF(F$8="",NA(),IF(N(F$8)=0,NA(),IF(Inputs!$C$17="Rebased to 100",$F963/F$8*100,$F963)))))</f>
        <v/>
      </c>
      <c r="M963" s="54">
        <f>IF($B963=0,NA(),IF($G963="",NA(),IF(G$8="",NA(),IF(N(G$8)=0,NA(),IF(Inputs!$C$17="Rebased to 100",$G963/G$8*100,$G963)))))</f>
        <v/>
      </c>
      <c r="N963" s="54">
        <f>IF($B963=0,NA(),IF(Inputs!$C$18&lt;&gt;"Yes",NA(),IF(COUNT(I963,J963,K963,L963,M963)=0,NA(),MIN(I963,J963,K963,L963,M963))))</f>
        <v/>
      </c>
      <c r="O963" s="54">
        <f>IF($B963=0,NA(),IF(Inputs!$B$24&lt;&gt;"Yes",NA(),Inputs!$D$24*Inputs!$C$35))</f>
        <v/>
      </c>
      <c r="P963" s="54">
        <f>IF($B963=0,NA(),IF(Inputs!$B$25&lt;&gt;"Yes",NA(),Inputs!$D$25*Inputs!$C$35))</f>
        <v/>
      </c>
      <c r="Q963" s="54">
        <f>IF($B963=0,NA(),IF(Inputs!$B$26&lt;&gt;"Yes",NA(),Inputs!$D$26*Inputs!$C$35))</f>
        <v/>
      </c>
      <c r="R963" s="54">
        <f>IF($B963=0,NA(),IF(Inputs!$B$27&lt;&gt;"Yes",NA(),Inputs!$D$27*Inputs!$C$35))</f>
        <v/>
      </c>
      <c r="S963" s="54">
        <f>IF($B963=0,NA(),IF(Inputs!$B$28&lt;&gt;"Yes",NA(),Inputs!$D$28*Inputs!$C$35))</f>
        <v/>
      </c>
      <c r="T963" s="54">
        <f>IF($B963=0,NA(),IF(Inputs!$B$29&lt;&gt;"Yes",NA(),Inputs!$D$29*Inputs!$C$35))</f>
        <v/>
      </c>
      <c r="AD963">
        <f>IF($B963=0,0,IF(Inputs!$B$6="",0,COUNTIFS(Data!$A$10:$A$3209,"&gt;="&amp;$A963,Data!$A$10:$A$3209,"&lt;"&amp;$A963+1)))</f>
        <v/>
      </c>
      <c r="AE963">
        <f>IF($B963=0,0,IF(Inputs!$B$7="",0,COUNTIFS(Data!$E$10:$E$3209,"&gt;="&amp;$A963,Data!$E$10:$E$3209,"&lt;"&amp;$A963+1)))</f>
        <v/>
      </c>
      <c r="AF963">
        <f>IF($B963=0,0,IF(Inputs!$B$8="",0,COUNTIFS(Data!$I$10:$I$3209,"&gt;="&amp;$A963,Data!$I$10:$I$3209,"&lt;"&amp;$A963+1)))</f>
        <v/>
      </c>
      <c r="AG963">
        <f>IF($B963=0,0,IF(Inputs!$B$9="",0,COUNTIFS(Data!$M$10:$M$3209,"&gt;="&amp;$A963,Data!$M$10:$M$3209,"&lt;"&amp;$A963+1)))</f>
        <v/>
      </c>
      <c r="AH963">
        <f>IF($B963=0,0,IF(Inputs!$B$10="",0,COUNTIFS(Data!$Q$10:$Q$3209,"&gt;="&amp;$A963,Data!$Q$10:$Q$3209,"&lt;"&amp;$A963+1)))</f>
        <v/>
      </c>
    </row>
    <row r="964">
      <c r="A964" s="55">
        <f>MIN(Inputs!$C$15,$A963+IF(WEEKDAY($A963,2)=5,3,1))</f>
        <v/>
      </c>
      <c r="B964">
        <f>IF($A964&gt;$A963,1,0)</f>
        <v/>
      </c>
      <c r="C964" s="56">
        <f>IF($B964=0,"",IF(Inputs!$B$6="","",IF($AD964=0,C963,SUMIFS(Data!$B$10:$B$3209,Data!$A$10:$A$3209,"&gt;="&amp;$A964,Data!$A$10:$A$3209,"&lt;"&amp;$A964+1)/$AD964)))</f>
        <v/>
      </c>
      <c r="D964" s="56">
        <f>IF($B964=0,"",IF(Inputs!$B$7="","",IF($AE964=0,D963,SUMIFS(Data!$F$10:$F$3209,Data!$E$10:$E$3209,"&gt;="&amp;$A964,Data!$E$10:$E$3209,"&lt;"&amp;$A964+1)/$AE964)))</f>
        <v/>
      </c>
      <c r="E964" s="56">
        <f>IF($B964=0,"",IF(Inputs!$B$8="","",IF($AF964=0,E963,SUMIFS(Data!$J$10:$J$3209,Data!$I$10:$I$3209,"&gt;="&amp;$A964,Data!$I$10:$I$3209,"&lt;"&amp;$A964+1)/$AF964)))</f>
        <v/>
      </c>
      <c r="F964" s="56">
        <f>IF($B964=0,"",IF(Inputs!$B$9="","",IF($AG964=0,F963,SUMIFS(Data!$N$10:$N$3209,Data!$M$10:$M$3209,"&gt;="&amp;$A964,Data!$M$10:$M$3209,"&lt;"&amp;$A964+1)/$AG964)))</f>
        <v/>
      </c>
      <c r="G964" s="56">
        <f>IF($B964=0,"",IF(Inputs!$B$10="","",IF($AH964=0,G963,SUMIFS(Data!$R$10:$R$3209,Data!$Q$10:$Q$3209,"&gt;="&amp;$A964,Data!$Q$10:$Q$3209,"&lt;"&amp;$A964+1)/$AH964)))</f>
        <v/>
      </c>
      <c r="I964" s="54">
        <f>IF($B964=0,NA(),IF($C964="",NA(),IF(C$8="",NA(),IF(N(C$8)=0,NA(),IF(Inputs!$C$17="Rebased to 100",$C964/C$8*100,$C964)))))</f>
        <v/>
      </c>
      <c r="J964" s="54">
        <f>IF($B964=0,NA(),IF($D964="",NA(),IF(D$8="",NA(),IF(N(D$8)=0,NA(),IF(Inputs!$C$17="Rebased to 100",$D964/D$8*100,$D964)))))</f>
        <v/>
      </c>
      <c r="K964" s="54">
        <f>IF($B964=0,NA(),IF($E964="",NA(),IF(E$8="",NA(),IF(N(E$8)=0,NA(),IF(Inputs!$C$17="Rebased to 100",$E964/E$8*100,$E964)))))</f>
        <v/>
      </c>
      <c r="L964" s="54">
        <f>IF($B964=0,NA(),IF($F964="",NA(),IF(F$8="",NA(),IF(N(F$8)=0,NA(),IF(Inputs!$C$17="Rebased to 100",$F964/F$8*100,$F964)))))</f>
        <v/>
      </c>
      <c r="M964" s="54">
        <f>IF($B964=0,NA(),IF($G964="",NA(),IF(G$8="",NA(),IF(N(G$8)=0,NA(),IF(Inputs!$C$17="Rebased to 100",$G964/G$8*100,$G964)))))</f>
        <v/>
      </c>
      <c r="N964" s="54">
        <f>IF($B964=0,NA(),IF(Inputs!$C$18&lt;&gt;"Yes",NA(),IF(COUNT(I964,J964,K964,L964,M964)=0,NA(),MIN(I964,J964,K964,L964,M964))))</f>
        <v/>
      </c>
      <c r="O964" s="54">
        <f>IF($B964=0,NA(),IF(Inputs!$B$24&lt;&gt;"Yes",NA(),Inputs!$D$24*Inputs!$C$35))</f>
        <v/>
      </c>
      <c r="P964" s="54">
        <f>IF($B964=0,NA(),IF(Inputs!$B$25&lt;&gt;"Yes",NA(),Inputs!$D$25*Inputs!$C$35))</f>
        <v/>
      </c>
      <c r="Q964" s="54">
        <f>IF($B964=0,NA(),IF(Inputs!$B$26&lt;&gt;"Yes",NA(),Inputs!$D$26*Inputs!$C$35))</f>
        <v/>
      </c>
      <c r="R964" s="54">
        <f>IF($B964=0,NA(),IF(Inputs!$B$27&lt;&gt;"Yes",NA(),Inputs!$D$27*Inputs!$C$35))</f>
        <v/>
      </c>
      <c r="S964" s="54">
        <f>IF($B964=0,NA(),IF(Inputs!$B$28&lt;&gt;"Yes",NA(),Inputs!$D$28*Inputs!$C$35))</f>
        <v/>
      </c>
      <c r="T964" s="54">
        <f>IF($B964=0,NA(),IF(Inputs!$B$29&lt;&gt;"Yes",NA(),Inputs!$D$29*Inputs!$C$35))</f>
        <v/>
      </c>
      <c r="AD964">
        <f>IF($B964=0,0,IF(Inputs!$B$6="",0,COUNTIFS(Data!$A$10:$A$3209,"&gt;="&amp;$A964,Data!$A$10:$A$3209,"&lt;"&amp;$A964+1)))</f>
        <v/>
      </c>
      <c r="AE964">
        <f>IF($B964=0,0,IF(Inputs!$B$7="",0,COUNTIFS(Data!$E$10:$E$3209,"&gt;="&amp;$A964,Data!$E$10:$E$3209,"&lt;"&amp;$A964+1)))</f>
        <v/>
      </c>
      <c r="AF964">
        <f>IF($B964=0,0,IF(Inputs!$B$8="",0,COUNTIFS(Data!$I$10:$I$3209,"&gt;="&amp;$A964,Data!$I$10:$I$3209,"&lt;"&amp;$A964+1)))</f>
        <v/>
      </c>
      <c r="AG964">
        <f>IF($B964=0,0,IF(Inputs!$B$9="",0,COUNTIFS(Data!$M$10:$M$3209,"&gt;="&amp;$A964,Data!$M$10:$M$3209,"&lt;"&amp;$A964+1)))</f>
        <v/>
      </c>
      <c r="AH964">
        <f>IF($B964=0,0,IF(Inputs!$B$10="",0,COUNTIFS(Data!$Q$10:$Q$3209,"&gt;="&amp;$A964,Data!$Q$10:$Q$3209,"&lt;"&amp;$A964+1)))</f>
        <v/>
      </c>
    </row>
    <row r="965">
      <c r="A965" s="55">
        <f>MIN(Inputs!$C$15,$A964+IF(WEEKDAY($A964,2)=5,3,1))</f>
        <v/>
      </c>
      <c r="B965">
        <f>IF($A965&gt;$A964,1,0)</f>
        <v/>
      </c>
      <c r="C965" s="56">
        <f>IF($B965=0,"",IF(Inputs!$B$6="","",IF($AD965=0,C964,SUMIFS(Data!$B$10:$B$3209,Data!$A$10:$A$3209,"&gt;="&amp;$A965,Data!$A$10:$A$3209,"&lt;"&amp;$A965+1)/$AD965)))</f>
        <v/>
      </c>
      <c r="D965" s="56">
        <f>IF($B965=0,"",IF(Inputs!$B$7="","",IF($AE965=0,D964,SUMIFS(Data!$F$10:$F$3209,Data!$E$10:$E$3209,"&gt;="&amp;$A965,Data!$E$10:$E$3209,"&lt;"&amp;$A965+1)/$AE965)))</f>
        <v/>
      </c>
      <c r="E965" s="56">
        <f>IF($B965=0,"",IF(Inputs!$B$8="","",IF($AF965=0,E964,SUMIFS(Data!$J$10:$J$3209,Data!$I$10:$I$3209,"&gt;="&amp;$A965,Data!$I$10:$I$3209,"&lt;"&amp;$A965+1)/$AF965)))</f>
        <v/>
      </c>
      <c r="F965" s="56">
        <f>IF($B965=0,"",IF(Inputs!$B$9="","",IF($AG965=0,F964,SUMIFS(Data!$N$10:$N$3209,Data!$M$10:$M$3209,"&gt;="&amp;$A965,Data!$M$10:$M$3209,"&lt;"&amp;$A965+1)/$AG965)))</f>
        <v/>
      </c>
      <c r="G965" s="56">
        <f>IF($B965=0,"",IF(Inputs!$B$10="","",IF($AH965=0,G964,SUMIFS(Data!$R$10:$R$3209,Data!$Q$10:$Q$3209,"&gt;="&amp;$A965,Data!$Q$10:$Q$3209,"&lt;"&amp;$A965+1)/$AH965)))</f>
        <v/>
      </c>
      <c r="I965" s="54">
        <f>IF($B965=0,NA(),IF($C965="",NA(),IF(C$8="",NA(),IF(N(C$8)=0,NA(),IF(Inputs!$C$17="Rebased to 100",$C965/C$8*100,$C965)))))</f>
        <v/>
      </c>
      <c r="J965" s="54">
        <f>IF($B965=0,NA(),IF($D965="",NA(),IF(D$8="",NA(),IF(N(D$8)=0,NA(),IF(Inputs!$C$17="Rebased to 100",$D965/D$8*100,$D965)))))</f>
        <v/>
      </c>
      <c r="K965" s="54">
        <f>IF($B965=0,NA(),IF($E965="",NA(),IF(E$8="",NA(),IF(N(E$8)=0,NA(),IF(Inputs!$C$17="Rebased to 100",$E965/E$8*100,$E965)))))</f>
        <v/>
      </c>
      <c r="L965" s="54">
        <f>IF($B965=0,NA(),IF($F965="",NA(),IF(F$8="",NA(),IF(N(F$8)=0,NA(),IF(Inputs!$C$17="Rebased to 100",$F965/F$8*100,$F965)))))</f>
        <v/>
      </c>
      <c r="M965" s="54">
        <f>IF($B965=0,NA(),IF($G965="",NA(),IF(G$8="",NA(),IF(N(G$8)=0,NA(),IF(Inputs!$C$17="Rebased to 100",$G965/G$8*100,$G965)))))</f>
        <v/>
      </c>
      <c r="N965" s="54">
        <f>IF($B965=0,NA(),IF(Inputs!$C$18&lt;&gt;"Yes",NA(),IF(COUNT(I965,J965,K965,L965,M965)=0,NA(),MIN(I965,J965,K965,L965,M965))))</f>
        <v/>
      </c>
      <c r="O965" s="54">
        <f>IF($B965=0,NA(),IF(Inputs!$B$24&lt;&gt;"Yes",NA(),Inputs!$D$24*Inputs!$C$35))</f>
        <v/>
      </c>
      <c r="P965" s="54">
        <f>IF($B965=0,NA(),IF(Inputs!$B$25&lt;&gt;"Yes",NA(),Inputs!$D$25*Inputs!$C$35))</f>
        <v/>
      </c>
      <c r="Q965" s="54">
        <f>IF($B965=0,NA(),IF(Inputs!$B$26&lt;&gt;"Yes",NA(),Inputs!$D$26*Inputs!$C$35))</f>
        <v/>
      </c>
      <c r="R965" s="54">
        <f>IF($B965=0,NA(),IF(Inputs!$B$27&lt;&gt;"Yes",NA(),Inputs!$D$27*Inputs!$C$35))</f>
        <v/>
      </c>
      <c r="S965" s="54">
        <f>IF($B965=0,NA(),IF(Inputs!$B$28&lt;&gt;"Yes",NA(),Inputs!$D$28*Inputs!$C$35))</f>
        <v/>
      </c>
      <c r="T965" s="54">
        <f>IF($B965=0,NA(),IF(Inputs!$B$29&lt;&gt;"Yes",NA(),Inputs!$D$29*Inputs!$C$35))</f>
        <v/>
      </c>
      <c r="AD965">
        <f>IF($B965=0,0,IF(Inputs!$B$6="",0,COUNTIFS(Data!$A$10:$A$3209,"&gt;="&amp;$A965,Data!$A$10:$A$3209,"&lt;"&amp;$A965+1)))</f>
        <v/>
      </c>
      <c r="AE965">
        <f>IF($B965=0,0,IF(Inputs!$B$7="",0,COUNTIFS(Data!$E$10:$E$3209,"&gt;="&amp;$A965,Data!$E$10:$E$3209,"&lt;"&amp;$A965+1)))</f>
        <v/>
      </c>
      <c r="AF965">
        <f>IF($B965=0,0,IF(Inputs!$B$8="",0,COUNTIFS(Data!$I$10:$I$3209,"&gt;="&amp;$A965,Data!$I$10:$I$3209,"&lt;"&amp;$A965+1)))</f>
        <v/>
      </c>
      <c r="AG965">
        <f>IF($B965=0,0,IF(Inputs!$B$9="",0,COUNTIFS(Data!$M$10:$M$3209,"&gt;="&amp;$A965,Data!$M$10:$M$3209,"&lt;"&amp;$A965+1)))</f>
        <v/>
      </c>
      <c r="AH965">
        <f>IF($B965=0,0,IF(Inputs!$B$10="",0,COUNTIFS(Data!$Q$10:$Q$3209,"&gt;="&amp;$A965,Data!$Q$10:$Q$3209,"&lt;"&amp;$A965+1)))</f>
        <v/>
      </c>
    </row>
    <row r="966">
      <c r="A966" s="55">
        <f>MIN(Inputs!$C$15,$A965+IF(WEEKDAY($A965,2)=5,3,1))</f>
        <v/>
      </c>
      <c r="B966">
        <f>IF($A966&gt;$A965,1,0)</f>
        <v/>
      </c>
      <c r="C966" s="56">
        <f>IF($B966=0,"",IF(Inputs!$B$6="","",IF($AD966=0,C965,SUMIFS(Data!$B$10:$B$3209,Data!$A$10:$A$3209,"&gt;="&amp;$A966,Data!$A$10:$A$3209,"&lt;"&amp;$A966+1)/$AD966)))</f>
        <v/>
      </c>
      <c r="D966" s="56">
        <f>IF($B966=0,"",IF(Inputs!$B$7="","",IF($AE966=0,D965,SUMIFS(Data!$F$10:$F$3209,Data!$E$10:$E$3209,"&gt;="&amp;$A966,Data!$E$10:$E$3209,"&lt;"&amp;$A966+1)/$AE966)))</f>
        <v/>
      </c>
      <c r="E966" s="56">
        <f>IF($B966=0,"",IF(Inputs!$B$8="","",IF($AF966=0,E965,SUMIFS(Data!$J$10:$J$3209,Data!$I$10:$I$3209,"&gt;="&amp;$A966,Data!$I$10:$I$3209,"&lt;"&amp;$A966+1)/$AF966)))</f>
        <v/>
      </c>
      <c r="F966" s="56">
        <f>IF($B966=0,"",IF(Inputs!$B$9="","",IF($AG966=0,F965,SUMIFS(Data!$N$10:$N$3209,Data!$M$10:$M$3209,"&gt;="&amp;$A966,Data!$M$10:$M$3209,"&lt;"&amp;$A966+1)/$AG966)))</f>
        <v/>
      </c>
      <c r="G966" s="56">
        <f>IF($B966=0,"",IF(Inputs!$B$10="","",IF($AH966=0,G965,SUMIFS(Data!$R$10:$R$3209,Data!$Q$10:$Q$3209,"&gt;="&amp;$A966,Data!$Q$10:$Q$3209,"&lt;"&amp;$A966+1)/$AH966)))</f>
        <v/>
      </c>
      <c r="I966" s="54">
        <f>IF($B966=0,NA(),IF($C966="",NA(),IF(C$8="",NA(),IF(N(C$8)=0,NA(),IF(Inputs!$C$17="Rebased to 100",$C966/C$8*100,$C966)))))</f>
        <v/>
      </c>
      <c r="J966" s="54">
        <f>IF($B966=0,NA(),IF($D966="",NA(),IF(D$8="",NA(),IF(N(D$8)=0,NA(),IF(Inputs!$C$17="Rebased to 100",$D966/D$8*100,$D966)))))</f>
        <v/>
      </c>
      <c r="K966" s="54">
        <f>IF($B966=0,NA(),IF($E966="",NA(),IF(E$8="",NA(),IF(N(E$8)=0,NA(),IF(Inputs!$C$17="Rebased to 100",$E966/E$8*100,$E966)))))</f>
        <v/>
      </c>
      <c r="L966" s="54">
        <f>IF($B966=0,NA(),IF($F966="",NA(),IF(F$8="",NA(),IF(N(F$8)=0,NA(),IF(Inputs!$C$17="Rebased to 100",$F966/F$8*100,$F966)))))</f>
        <v/>
      </c>
      <c r="M966" s="54">
        <f>IF($B966=0,NA(),IF($G966="",NA(),IF(G$8="",NA(),IF(N(G$8)=0,NA(),IF(Inputs!$C$17="Rebased to 100",$G966/G$8*100,$G966)))))</f>
        <v/>
      </c>
      <c r="N966" s="54">
        <f>IF($B966=0,NA(),IF(Inputs!$C$18&lt;&gt;"Yes",NA(),IF(COUNT(I966,J966,K966,L966,M966)=0,NA(),MIN(I966,J966,K966,L966,M966))))</f>
        <v/>
      </c>
      <c r="O966" s="54">
        <f>IF($B966=0,NA(),IF(Inputs!$B$24&lt;&gt;"Yes",NA(),Inputs!$D$24*Inputs!$C$35))</f>
        <v/>
      </c>
      <c r="P966" s="54">
        <f>IF($B966=0,NA(),IF(Inputs!$B$25&lt;&gt;"Yes",NA(),Inputs!$D$25*Inputs!$C$35))</f>
        <v/>
      </c>
      <c r="Q966" s="54">
        <f>IF($B966=0,NA(),IF(Inputs!$B$26&lt;&gt;"Yes",NA(),Inputs!$D$26*Inputs!$C$35))</f>
        <v/>
      </c>
      <c r="R966" s="54">
        <f>IF($B966=0,NA(),IF(Inputs!$B$27&lt;&gt;"Yes",NA(),Inputs!$D$27*Inputs!$C$35))</f>
        <v/>
      </c>
      <c r="S966" s="54">
        <f>IF($B966=0,NA(),IF(Inputs!$B$28&lt;&gt;"Yes",NA(),Inputs!$D$28*Inputs!$C$35))</f>
        <v/>
      </c>
      <c r="T966" s="54">
        <f>IF($B966=0,NA(),IF(Inputs!$B$29&lt;&gt;"Yes",NA(),Inputs!$D$29*Inputs!$C$35))</f>
        <v/>
      </c>
      <c r="AD966">
        <f>IF($B966=0,0,IF(Inputs!$B$6="",0,COUNTIFS(Data!$A$10:$A$3209,"&gt;="&amp;$A966,Data!$A$10:$A$3209,"&lt;"&amp;$A966+1)))</f>
        <v/>
      </c>
      <c r="AE966">
        <f>IF($B966=0,0,IF(Inputs!$B$7="",0,COUNTIFS(Data!$E$10:$E$3209,"&gt;="&amp;$A966,Data!$E$10:$E$3209,"&lt;"&amp;$A966+1)))</f>
        <v/>
      </c>
      <c r="AF966">
        <f>IF($B966=0,0,IF(Inputs!$B$8="",0,COUNTIFS(Data!$I$10:$I$3209,"&gt;="&amp;$A966,Data!$I$10:$I$3209,"&lt;"&amp;$A966+1)))</f>
        <v/>
      </c>
      <c r="AG966">
        <f>IF($B966=0,0,IF(Inputs!$B$9="",0,COUNTIFS(Data!$M$10:$M$3209,"&gt;="&amp;$A966,Data!$M$10:$M$3209,"&lt;"&amp;$A966+1)))</f>
        <v/>
      </c>
      <c r="AH966">
        <f>IF($B966=0,0,IF(Inputs!$B$10="",0,COUNTIFS(Data!$Q$10:$Q$3209,"&gt;="&amp;$A966,Data!$Q$10:$Q$3209,"&lt;"&amp;$A966+1)))</f>
        <v/>
      </c>
    </row>
    <row r="967">
      <c r="A967" s="55">
        <f>MIN(Inputs!$C$15,$A966+IF(WEEKDAY($A966,2)=5,3,1))</f>
        <v/>
      </c>
      <c r="B967">
        <f>IF($A967&gt;$A966,1,0)</f>
        <v/>
      </c>
      <c r="C967" s="56">
        <f>IF($B967=0,"",IF(Inputs!$B$6="","",IF($AD967=0,C966,SUMIFS(Data!$B$10:$B$3209,Data!$A$10:$A$3209,"&gt;="&amp;$A967,Data!$A$10:$A$3209,"&lt;"&amp;$A967+1)/$AD967)))</f>
        <v/>
      </c>
      <c r="D967" s="56">
        <f>IF($B967=0,"",IF(Inputs!$B$7="","",IF($AE967=0,D966,SUMIFS(Data!$F$10:$F$3209,Data!$E$10:$E$3209,"&gt;="&amp;$A967,Data!$E$10:$E$3209,"&lt;"&amp;$A967+1)/$AE967)))</f>
        <v/>
      </c>
      <c r="E967" s="56">
        <f>IF($B967=0,"",IF(Inputs!$B$8="","",IF($AF967=0,E966,SUMIFS(Data!$J$10:$J$3209,Data!$I$10:$I$3209,"&gt;="&amp;$A967,Data!$I$10:$I$3209,"&lt;"&amp;$A967+1)/$AF967)))</f>
        <v/>
      </c>
      <c r="F967" s="56">
        <f>IF($B967=0,"",IF(Inputs!$B$9="","",IF($AG967=0,F966,SUMIFS(Data!$N$10:$N$3209,Data!$M$10:$M$3209,"&gt;="&amp;$A967,Data!$M$10:$M$3209,"&lt;"&amp;$A967+1)/$AG967)))</f>
        <v/>
      </c>
      <c r="G967" s="56">
        <f>IF($B967=0,"",IF(Inputs!$B$10="","",IF($AH967=0,G966,SUMIFS(Data!$R$10:$R$3209,Data!$Q$10:$Q$3209,"&gt;="&amp;$A967,Data!$Q$10:$Q$3209,"&lt;"&amp;$A967+1)/$AH967)))</f>
        <v/>
      </c>
      <c r="I967" s="54">
        <f>IF($B967=0,NA(),IF($C967="",NA(),IF(C$8="",NA(),IF(N(C$8)=0,NA(),IF(Inputs!$C$17="Rebased to 100",$C967/C$8*100,$C967)))))</f>
        <v/>
      </c>
      <c r="J967" s="54">
        <f>IF($B967=0,NA(),IF($D967="",NA(),IF(D$8="",NA(),IF(N(D$8)=0,NA(),IF(Inputs!$C$17="Rebased to 100",$D967/D$8*100,$D967)))))</f>
        <v/>
      </c>
      <c r="K967" s="54">
        <f>IF($B967=0,NA(),IF($E967="",NA(),IF(E$8="",NA(),IF(N(E$8)=0,NA(),IF(Inputs!$C$17="Rebased to 100",$E967/E$8*100,$E967)))))</f>
        <v/>
      </c>
      <c r="L967" s="54">
        <f>IF($B967=0,NA(),IF($F967="",NA(),IF(F$8="",NA(),IF(N(F$8)=0,NA(),IF(Inputs!$C$17="Rebased to 100",$F967/F$8*100,$F967)))))</f>
        <v/>
      </c>
      <c r="M967" s="54">
        <f>IF($B967=0,NA(),IF($G967="",NA(),IF(G$8="",NA(),IF(N(G$8)=0,NA(),IF(Inputs!$C$17="Rebased to 100",$G967/G$8*100,$G967)))))</f>
        <v/>
      </c>
      <c r="N967" s="54">
        <f>IF($B967=0,NA(),IF(Inputs!$C$18&lt;&gt;"Yes",NA(),IF(COUNT(I967,J967,K967,L967,M967)=0,NA(),MIN(I967,J967,K967,L967,M967))))</f>
        <v/>
      </c>
      <c r="O967" s="54">
        <f>IF($B967=0,NA(),IF(Inputs!$B$24&lt;&gt;"Yes",NA(),Inputs!$D$24*Inputs!$C$35))</f>
        <v/>
      </c>
      <c r="P967" s="54">
        <f>IF($B967=0,NA(),IF(Inputs!$B$25&lt;&gt;"Yes",NA(),Inputs!$D$25*Inputs!$C$35))</f>
        <v/>
      </c>
      <c r="Q967" s="54">
        <f>IF($B967=0,NA(),IF(Inputs!$B$26&lt;&gt;"Yes",NA(),Inputs!$D$26*Inputs!$C$35))</f>
        <v/>
      </c>
      <c r="R967" s="54">
        <f>IF($B967=0,NA(),IF(Inputs!$B$27&lt;&gt;"Yes",NA(),Inputs!$D$27*Inputs!$C$35))</f>
        <v/>
      </c>
      <c r="S967" s="54">
        <f>IF($B967=0,NA(),IF(Inputs!$B$28&lt;&gt;"Yes",NA(),Inputs!$D$28*Inputs!$C$35))</f>
        <v/>
      </c>
      <c r="T967" s="54">
        <f>IF($B967=0,NA(),IF(Inputs!$B$29&lt;&gt;"Yes",NA(),Inputs!$D$29*Inputs!$C$35))</f>
        <v/>
      </c>
      <c r="AD967">
        <f>IF($B967=0,0,IF(Inputs!$B$6="",0,COUNTIFS(Data!$A$10:$A$3209,"&gt;="&amp;$A967,Data!$A$10:$A$3209,"&lt;"&amp;$A967+1)))</f>
        <v/>
      </c>
      <c r="AE967">
        <f>IF($B967=0,0,IF(Inputs!$B$7="",0,COUNTIFS(Data!$E$10:$E$3209,"&gt;="&amp;$A967,Data!$E$10:$E$3209,"&lt;"&amp;$A967+1)))</f>
        <v/>
      </c>
      <c r="AF967">
        <f>IF($B967=0,0,IF(Inputs!$B$8="",0,COUNTIFS(Data!$I$10:$I$3209,"&gt;="&amp;$A967,Data!$I$10:$I$3209,"&lt;"&amp;$A967+1)))</f>
        <v/>
      </c>
      <c r="AG967">
        <f>IF($B967=0,0,IF(Inputs!$B$9="",0,COUNTIFS(Data!$M$10:$M$3209,"&gt;="&amp;$A967,Data!$M$10:$M$3209,"&lt;"&amp;$A967+1)))</f>
        <v/>
      </c>
      <c r="AH967">
        <f>IF($B967=0,0,IF(Inputs!$B$10="",0,COUNTIFS(Data!$Q$10:$Q$3209,"&gt;="&amp;$A967,Data!$Q$10:$Q$3209,"&lt;"&amp;$A967+1)))</f>
        <v/>
      </c>
    </row>
    <row r="968">
      <c r="A968" s="55">
        <f>MIN(Inputs!$C$15,$A967+IF(WEEKDAY($A967,2)=5,3,1))</f>
        <v/>
      </c>
      <c r="B968">
        <f>IF($A968&gt;$A967,1,0)</f>
        <v/>
      </c>
      <c r="C968" s="56">
        <f>IF($B968=0,"",IF(Inputs!$B$6="","",IF($AD968=0,C967,SUMIFS(Data!$B$10:$B$3209,Data!$A$10:$A$3209,"&gt;="&amp;$A968,Data!$A$10:$A$3209,"&lt;"&amp;$A968+1)/$AD968)))</f>
        <v/>
      </c>
      <c r="D968" s="56">
        <f>IF($B968=0,"",IF(Inputs!$B$7="","",IF($AE968=0,D967,SUMIFS(Data!$F$10:$F$3209,Data!$E$10:$E$3209,"&gt;="&amp;$A968,Data!$E$10:$E$3209,"&lt;"&amp;$A968+1)/$AE968)))</f>
        <v/>
      </c>
      <c r="E968" s="56">
        <f>IF($B968=0,"",IF(Inputs!$B$8="","",IF($AF968=0,E967,SUMIFS(Data!$J$10:$J$3209,Data!$I$10:$I$3209,"&gt;="&amp;$A968,Data!$I$10:$I$3209,"&lt;"&amp;$A968+1)/$AF968)))</f>
        <v/>
      </c>
      <c r="F968" s="56">
        <f>IF($B968=0,"",IF(Inputs!$B$9="","",IF($AG968=0,F967,SUMIFS(Data!$N$10:$N$3209,Data!$M$10:$M$3209,"&gt;="&amp;$A968,Data!$M$10:$M$3209,"&lt;"&amp;$A968+1)/$AG968)))</f>
        <v/>
      </c>
      <c r="G968" s="56">
        <f>IF($B968=0,"",IF(Inputs!$B$10="","",IF($AH968=0,G967,SUMIFS(Data!$R$10:$R$3209,Data!$Q$10:$Q$3209,"&gt;="&amp;$A968,Data!$Q$10:$Q$3209,"&lt;"&amp;$A968+1)/$AH968)))</f>
        <v/>
      </c>
      <c r="I968" s="54">
        <f>IF($B968=0,NA(),IF($C968="",NA(),IF(C$8="",NA(),IF(N(C$8)=0,NA(),IF(Inputs!$C$17="Rebased to 100",$C968/C$8*100,$C968)))))</f>
        <v/>
      </c>
      <c r="J968" s="54">
        <f>IF($B968=0,NA(),IF($D968="",NA(),IF(D$8="",NA(),IF(N(D$8)=0,NA(),IF(Inputs!$C$17="Rebased to 100",$D968/D$8*100,$D968)))))</f>
        <v/>
      </c>
      <c r="K968" s="54">
        <f>IF($B968=0,NA(),IF($E968="",NA(),IF(E$8="",NA(),IF(N(E$8)=0,NA(),IF(Inputs!$C$17="Rebased to 100",$E968/E$8*100,$E968)))))</f>
        <v/>
      </c>
      <c r="L968" s="54">
        <f>IF($B968=0,NA(),IF($F968="",NA(),IF(F$8="",NA(),IF(N(F$8)=0,NA(),IF(Inputs!$C$17="Rebased to 100",$F968/F$8*100,$F968)))))</f>
        <v/>
      </c>
      <c r="M968" s="54">
        <f>IF($B968=0,NA(),IF($G968="",NA(),IF(G$8="",NA(),IF(N(G$8)=0,NA(),IF(Inputs!$C$17="Rebased to 100",$G968/G$8*100,$G968)))))</f>
        <v/>
      </c>
      <c r="N968" s="54">
        <f>IF($B968=0,NA(),IF(Inputs!$C$18&lt;&gt;"Yes",NA(),IF(COUNT(I968,J968,K968,L968,M968)=0,NA(),MIN(I968,J968,K968,L968,M968))))</f>
        <v/>
      </c>
      <c r="O968" s="54">
        <f>IF($B968=0,NA(),IF(Inputs!$B$24&lt;&gt;"Yes",NA(),Inputs!$D$24*Inputs!$C$35))</f>
        <v/>
      </c>
      <c r="P968" s="54">
        <f>IF($B968=0,NA(),IF(Inputs!$B$25&lt;&gt;"Yes",NA(),Inputs!$D$25*Inputs!$C$35))</f>
        <v/>
      </c>
      <c r="Q968" s="54">
        <f>IF($B968=0,NA(),IF(Inputs!$B$26&lt;&gt;"Yes",NA(),Inputs!$D$26*Inputs!$C$35))</f>
        <v/>
      </c>
      <c r="R968" s="54">
        <f>IF($B968=0,NA(),IF(Inputs!$B$27&lt;&gt;"Yes",NA(),Inputs!$D$27*Inputs!$C$35))</f>
        <v/>
      </c>
      <c r="S968" s="54">
        <f>IF($B968=0,NA(),IF(Inputs!$B$28&lt;&gt;"Yes",NA(),Inputs!$D$28*Inputs!$C$35))</f>
        <v/>
      </c>
      <c r="T968" s="54">
        <f>IF($B968=0,NA(),IF(Inputs!$B$29&lt;&gt;"Yes",NA(),Inputs!$D$29*Inputs!$C$35))</f>
        <v/>
      </c>
      <c r="AD968">
        <f>IF($B968=0,0,IF(Inputs!$B$6="",0,COUNTIFS(Data!$A$10:$A$3209,"&gt;="&amp;$A968,Data!$A$10:$A$3209,"&lt;"&amp;$A968+1)))</f>
        <v/>
      </c>
      <c r="AE968">
        <f>IF($B968=0,0,IF(Inputs!$B$7="",0,COUNTIFS(Data!$E$10:$E$3209,"&gt;="&amp;$A968,Data!$E$10:$E$3209,"&lt;"&amp;$A968+1)))</f>
        <v/>
      </c>
      <c r="AF968">
        <f>IF($B968=0,0,IF(Inputs!$B$8="",0,COUNTIFS(Data!$I$10:$I$3209,"&gt;="&amp;$A968,Data!$I$10:$I$3209,"&lt;"&amp;$A968+1)))</f>
        <v/>
      </c>
      <c r="AG968">
        <f>IF($B968=0,0,IF(Inputs!$B$9="",0,COUNTIFS(Data!$M$10:$M$3209,"&gt;="&amp;$A968,Data!$M$10:$M$3209,"&lt;"&amp;$A968+1)))</f>
        <v/>
      </c>
      <c r="AH968">
        <f>IF($B968=0,0,IF(Inputs!$B$10="",0,COUNTIFS(Data!$Q$10:$Q$3209,"&gt;="&amp;$A968,Data!$Q$10:$Q$3209,"&lt;"&amp;$A968+1)))</f>
        <v/>
      </c>
    </row>
    <row r="969">
      <c r="A969" s="55">
        <f>MIN(Inputs!$C$15,$A968+IF(WEEKDAY($A968,2)=5,3,1))</f>
        <v/>
      </c>
      <c r="B969">
        <f>IF($A969&gt;$A968,1,0)</f>
        <v/>
      </c>
      <c r="C969" s="56">
        <f>IF($B969=0,"",IF(Inputs!$B$6="","",IF($AD969=0,C968,SUMIFS(Data!$B$10:$B$3209,Data!$A$10:$A$3209,"&gt;="&amp;$A969,Data!$A$10:$A$3209,"&lt;"&amp;$A969+1)/$AD969)))</f>
        <v/>
      </c>
      <c r="D969" s="56">
        <f>IF($B969=0,"",IF(Inputs!$B$7="","",IF($AE969=0,D968,SUMIFS(Data!$F$10:$F$3209,Data!$E$10:$E$3209,"&gt;="&amp;$A969,Data!$E$10:$E$3209,"&lt;"&amp;$A969+1)/$AE969)))</f>
        <v/>
      </c>
      <c r="E969" s="56">
        <f>IF($B969=0,"",IF(Inputs!$B$8="","",IF($AF969=0,E968,SUMIFS(Data!$J$10:$J$3209,Data!$I$10:$I$3209,"&gt;="&amp;$A969,Data!$I$10:$I$3209,"&lt;"&amp;$A969+1)/$AF969)))</f>
        <v/>
      </c>
      <c r="F969" s="56">
        <f>IF($B969=0,"",IF(Inputs!$B$9="","",IF($AG969=0,F968,SUMIFS(Data!$N$10:$N$3209,Data!$M$10:$M$3209,"&gt;="&amp;$A969,Data!$M$10:$M$3209,"&lt;"&amp;$A969+1)/$AG969)))</f>
        <v/>
      </c>
      <c r="G969" s="56">
        <f>IF($B969=0,"",IF(Inputs!$B$10="","",IF($AH969=0,G968,SUMIFS(Data!$R$10:$R$3209,Data!$Q$10:$Q$3209,"&gt;="&amp;$A969,Data!$Q$10:$Q$3209,"&lt;"&amp;$A969+1)/$AH969)))</f>
        <v/>
      </c>
      <c r="I969" s="54">
        <f>IF($B969=0,NA(),IF($C969="",NA(),IF(C$8="",NA(),IF(N(C$8)=0,NA(),IF(Inputs!$C$17="Rebased to 100",$C969/C$8*100,$C969)))))</f>
        <v/>
      </c>
      <c r="J969" s="54">
        <f>IF($B969=0,NA(),IF($D969="",NA(),IF(D$8="",NA(),IF(N(D$8)=0,NA(),IF(Inputs!$C$17="Rebased to 100",$D969/D$8*100,$D969)))))</f>
        <v/>
      </c>
      <c r="K969" s="54">
        <f>IF($B969=0,NA(),IF($E969="",NA(),IF(E$8="",NA(),IF(N(E$8)=0,NA(),IF(Inputs!$C$17="Rebased to 100",$E969/E$8*100,$E969)))))</f>
        <v/>
      </c>
      <c r="L969" s="54">
        <f>IF($B969=0,NA(),IF($F969="",NA(),IF(F$8="",NA(),IF(N(F$8)=0,NA(),IF(Inputs!$C$17="Rebased to 100",$F969/F$8*100,$F969)))))</f>
        <v/>
      </c>
      <c r="M969" s="54">
        <f>IF($B969=0,NA(),IF($G969="",NA(),IF(G$8="",NA(),IF(N(G$8)=0,NA(),IF(Inputs!$C$17="Rebased to 100",$G969/G$8*100,$G969)))))</f>
        <v/>
      </c>
      <c r="N969" s="54">
        <f>IF($B969=0,NA(),IF(Inputs!$C$18&lt;&gt;"Yes",NA(),IF(COUNT(I969,J969,K969,L969,M969)=0,NA(),MIN(I969,J969,K969,L969,M969))))</f>
        <v/>
      </c>
      <c r="O969" s="54">
        <f>IF($B969=0,NA(),IF(Inputs!$B$24&lt;&gt;"Yes",NA(),Inputs!$D$24*Inputs!$C$35))</f>
        <v/>
      </c>
      <c r="P969" s="54">
        <f>IF($B969=0,NA(),IF(Inputs!$B$25&lt;&gt;"Yes",NA(),Inputs!$D$25*Inputs!$C$35))</f>
        <v/>
      </c>
      <c r="Q969" s="54">
        <f>IF($B969=0,NA(),IF(Inputs!$B$26&lt;&gt;"Yes",NA(),Inputs!$D$26*Inputs!$C$35))</f>
        <v/>
      </c>
      <c r="R969" s="54">
        <f>IF($B969=0,NA(),IF(Inputs!$B$27&lt;&gt;"Yes",NA(),Inputs!$D$27*Inputs!$C$35))</f>
        <v/>
      </c>
      <c r="S969" s="54">
        <f>IF($B969=0,NA(),IF(Inputs!$B$28&lt;&gt;"Yes",NA(),Inputs!$D$28*Inputs!$C$35))</f>
        <v/>
      </c>
      <c r="T969" s="54">
        <f>IF($B969=0,NA(),IF(Inputs!$B$29&lt;&gt;"Yes",NA(),Inputs!$D$29*Inputs!$C$35))</f>
        <v/>
      </c>
      <c r="AD969">
        <f>IF($B969=0,0,IF(Inputs!$B$6="",0,COUNTIFS(Data!$A$10:$A$3209,"&gt;="&amp;$A969,Data!$A$10:$A$3209,"&lt;"&amp;$A969+1)))</f>
        <v/>
      </c>
      <c r="AE969">
        <f>IF($B969=0,0,IF(Inputs!$B$7="",0,COUNTIFS(Data!$E$10:$E$3209,"&gt;="&amp;$A969,Data!$E$10:$E$3209,"&lt;"&amp;$A969+1)))</f>
        <v/>
      </c>
      <c r="AF969">
        <f>IF($B969=0,0,IF(Inputs!$B$8="",0,COUNTIFS(Data!$I$10:$I$3209,"&gt;="&amp;$A969,Data!$I$10:$I$3209,"&lt;"&amp;$A969+1)))</f>
        <v/>
      </c>
      <c r="AG969">
        <f>IF($B969=0,0,IF(Inputs!$B$9="",0,COUNTIFS(Data!$M$10:$M$3209,"&gt;="&amp;$A969,Data!$M$10:$M$3209,"&lt;"&amp;$A969+1)))</f>
        <v/>
      </c>
      <c r="AH969">
        <f>IF($B969=0,0,IF(Inputs!$B$10="",0,COUNTIFS(Data!$Q$10:$Q$3209,"&gt;="&amp;$A969,Data!$Q$10:$Q$3209,"&lt;"&amp;$A969+1)))</f>
        <v/>
      </c>
    </row>
    <row r="970">
      <c r="A970" s="55">
        <f>MIN(Inputs!$C$15,$A969+IF(WEEKDAY($A969,2)=5,3,1))</f>
        <v/>
      </c>
      <c r="B970">
        <f>IF($A970&gt;$A969,1,0)</f>
        <v/>
      </c>
      <c r="C970" s="56">
        <f>IF($B970=0,"",IF(Inputs!$B$6="","",IF($AD970=0,C969,SUMIFS(Data!$B$10:$B$3209,Data!$A$10:$A$3209,"&gt;="&amp;$A970,Data!$A$10:$A$3209,"&lt;"&amp;$A970+1)/$AD970)))</f>
        <v/>
      </c>
      <c r="D970" s="56">
        <f>IF($B970=0,"",IF(Inputs!$B$7="","",IF($AE970=0,D969,SUMIFS(Data!$F$10:$F$3209,Data!$E$10:$E$3209,"&gt;="&amp;$A970,Data!$E$10:$E$3209,"&lt;"&amp;$A970+1)/$AE970)))</f>
        <v/>
      </c>
      <c r="E970" s="56">
        <f>IF($B970=0,"",IF(Inputs!$B$8="","",IF($AF970=0,E969,SUMIFS(Data!$J$10:$J$3209,Data!$I$10:$I$3209,"&gt;="&amp;$A970,Data!$I$10:$I$3209,"&lt;"&amp;$A970+1)/$AF970)))</f>
        <v/>
      </c>
      <c r="F970" s="56">
        <f>IF($B970=0,"",IF(Inputs!$B$9="","",IF($AG970=0,F969,SUMIFS(Data!$N$10:$N$3209,Data!$M$10:$M$3209,"&gt;="&amp;$A970,Data!$M$10:$M$3209,"&lt;"&amp;$A970+1)/$AG970)))</f>
        <v/>
      </c>
      <c r="G970" s="56">
        <f>IF($B970=0,"",IF(Inputs!$B$10="","",IF($AH970=0,G969,SUMIFS(Data!$R$10:$R$3209,Data!$Q$10:$Q$3209,"&gt;="&amp;$A970,Data!$Q$10:$Q$3209,"&lt;"&amp;$A970+1)/$AH970)))</f>
        <v/>
      </c>
      <c r="I970" s="54">
        <f>IF($B970=0,NA(),IF($C970="",NA(),IF(C$8="",NA(),IF(N(C$8)=0,NA(),IF(Inputs!$C$17="Rebased to 100",$C970/C$8*100,$C970)))))</f>
        <v/>
      </c>
      <c r="J970" s="54">
        <f>IF($B970=0,NA(),IF($D970="",NA(),IF(D$8="",NA(),IF(N(D$8)=0,NA(),IF(Inputs!$C$17="Rebased to 100",$D970/D$8*100,$D970)))))</f>
        <v/>
      </c>
      <c r="K970" s="54">
        <f>IF($B970=0,NA(),IF($E970="",NA(),IF(E$8="",NA(),IF(N(E$8)=0,NA(),IF(Inputs!$C$17="Rebased to 100",$E970/E$8*100,$E970)))))</f>
        <v/>
      </c>
      <c r="L970" s="54">
        <f>IF($B970=0,NA(),IF($F970="",NA(),IF(F$8="",NA(),IF(N(F$8)=0,NA(),IF(Inputs!$C$17="Rebased to 100",$F970/F$8*100,$F970)))))</f>
        <v/>
      </c>
      <c r="M970" s="54">
        <f>IF($B970=0,NA(),IF($G970="",NA(),IF(G$8="",NA(),IF(N(G$8)=0,NA(),IF(Inputs!$C$17="Rebased to 100",$G970/G$8*100,$G970)))))</f>
        <v/>
      </c>
      <c r="N970" s="54">
        <f>IF($B970=0,NA(),IF(Inputs!$C$18&lt;&gt;"Yes",NA(),IF(COUNT(I970,J970,K970,L970,M970)=0,NA(),MIN(I970,J970,K970,L970,M970))))</f>
        <v/>
      </c>
      <c r="O970" s="54">
        <f>IF($B970=0,NA(),IF(Inputs!$B$24&lt;&gt;"Yes",NA(),Inputs!$D$24*Inputs!$C$35))</f>
        <v/>
      </c>
      <c r="P970" s="54">
        <f>IF($B970=0,NA(),IF(Inputs!$B$25&lt;&gt;"Yes",NA(),Inputs!$D$25*Inputs!$C$35))</f>
        <v/>
      </c>
      <c r="Q970" s="54">
        <f>IF($B970=0,NA(),IF(Inputs!$B$26&lt;&gt;"Yes",NA(),Inputs!$D$26*Inputs!$C$35))</f>
        <v/>
      </c>
      <c r="R970" s="54">
        <f>IF($B970=0,NA(),IF(Inputs!$B$27&lt;&gt;"Yes",NA(),Inputs!$D$27*Inputs!$C$35))</f>
        <v/>
      </c>
      <c r="S970" s="54">
        <f>IF($B970=0,NA(),IF(Inputs!$B$28&lt;&gt;"Yes",NA(),Inputs!$D$28*Inputs!$C$35))</f>
        <v/>
      </c>
      <c r="T970" s="54">
        <f>IF($B970=0,NA(),IF(Inputs!$B$29&lt;&gt;"Yes",NA(),Inputs!$D$29*Inputs!$C$35))</f>
        <v/>
      </c>
      <c r="AD970">
        <f>IF($B970=0,0,IF(Inputs!$B$6="",0,COUNTIFS(Data!$A$10:$A$3209,"&gt;="&amp;$A970,Data!$A$10:$A$3209,"&lt;"&amp;$A970+1)))</f>
        <v/>
      </c>
      <c r="AE970">
        <f>IF($B970=0,0,IF(Inputs!$B$7="",0,COUNTIFS(Data!$E$10:$E$3209,"&gt;="&amp;$A970,Data!$E$10:$E$3209,"&lt;"&amp;$A970+1)))</f>
        <v/>
      </c>
      <c r="AF970">
        <f>IF($B970=0,0,IF(Inputs!$B$8="",0,COUNTIFS(Data!$I$10:$I$3209,"&gt;="&amp;$A970,Data!$I$10:$I$3209,"&lt;"&amp;$A970+1)))</f>
        <v/>
      </c>
      <c r="AG970">
        <f>IF($B970=0,0,IF(Inputs!$B$9="",0,COUNTIFS(Data!$M$10:$M$3209,"&gt;="&amp;$A970,Data!$M$10:$M$3209,"&lt;"&amp;$A970+1)))</f>
        <v/>
      </c>
      <c r="AH970">
        <f>IF($B970=0,0,IF(Inputs!$B$10="",0,COUNTIFS(Data!$Q$10:$Q$3209,"&gt;="&amp;$A970,Data!$Q$10:$Q$3209,"&lt;"&amp;$A970+1)))</f>
        <v/>
      </c>
    </row>
    <row r="971">
      <c r="A971" s="55">
        <f>MIN(Inputs!$C$15,$A970+IF(WEEKDAY($A970,2)=5,3,1))</f>
        <v/>
      </c>
      <c r="B971">
        <f>IF($A971&gt;$A970,1,0)</f>
        <v/>
      </c>
      <c r="C971" s="56">
        <f>IF($B971=0,"",IF(Inputs!$B$6="","",IF($AD971=0,C970,SUMIFS(Data!$B$10:$B$3209,Data!$A$10:$A$3209,"&gt;="&amp;$A971,Data!$A$10:$A$3209,"&lt;"&amp;$A971+1)/$AD971)))</f>
        <v/>
      </c>
      <c r="D971" s="56">
        <f>IF($B971=0,"",IF(Inputs!$B$7="","",IF($AE971=0,D970,SUMIFS(Data!$F$10:$F$3209,Data!$E$10:$E$3209,"&gt;="&amp;$A971,Data!$E$10:$E$3209,"&lt;"&amp;$A971+1)/$AE971)))</f>
        <v/>
      </c>
      <c r="E971" s="56">
        <f>IF($B971=0,"",IF(Inputs!$B$8="","",IF($AF971=0,E970,SUMIFS(Data!$J$10:$J$3209,Data!$I$10:$I$3209,"&gt;="&amp;$A971,Data!$I$10:$I$3209,"&lt;"&amp;$A971+1)/$AF971)))</f>
        <v/>
      </c>
      <c r="F971" s="56">
        <f>IF($B971=0,"",IF(Inputs!$B$9="","",IF($AG971=0,F970,SUMIFS(Data!$N$10:$N$3209,Data!$M$10:$M$3209,"&gt;="&amp;$A971,Data!$M$10:$M$3209,"&lt;"&amp;$A971+1)/$AG971)))</f>
        <v/>
      </c>
      <c r="G971" s="56">
        <f>IF($B971=0,"",IF(Inputs!$B$10="","",IF($AH971=0,G970,SUMIFS(Data!$R$10:$R$3209,Data!$Q$10:$Q$3209,"&gt;="&amp;$A971,Data!$Q$10:$Q$3209,"&lt;"&amp;$A971+1)/$AH971)))</f>
        <v/>
      </c>
      <c r="I971" s="54">
        <f>IF($B971=0,NA(),IF($C971="",NA(),IF(C$8="",NA(),IF(N(C$8)=0,NA(),IF(Inputs!$C$17="Rebased to 100",$C971/C$8*100,$C971)))))</f>
        <v/>
      </c>
      <c r="J971" s="54">
        <f>IF($B971=0,NA(),IF($D971="",NA(),IF(D$8="",NA(),IF(N(D$8)=0,NA(),IF(Inputs!$C$17="Rebased to 100",$D971/D$8*100,$D971)))))</f>
        <v/>
      </c>
      <c r="K971" s="54">
        <f>IF($B971=0,NA(),IF($E971="",NA(),IF(E$8="",NA(),IF(N(E$8)=0,NA(),IF(Inputs!$C$17="Rebased to 100",$E971/E$8*100,$E971)))))</f>
        <v/>
      </c>
      <c r="L971" s="54">
        <f>IF($B971=0,NA(),IF($F971="",NA(),IF(F$8="",NA(),IF(N(F$8)=0,NA(),IF(Inputs!$C$17="Rebased to 100",$F971/F$8*100,$F971)))))</f>
        <v/>
      </c>
      <c r="M971" s="54">
        <f>IF($B971=0,NA(),IF($G971="",NA(),IF(G$8="",NA(),IF(N(G$8)=0,NA(),IF(Inputs!$C$17="Rebased to 100",$G971/G$8*100,$G971)))))</f>
        <v/>
      </c>
      <c r="N971" s="54">
        <f>IF($B971=0,NA(),IF(Inputs!$C$18&lt;&gt;"Yes",NA(),IF(COUNT(I971,J971,K971,L971,M971)=0,NA(),MIN(I971,J971,K971,L971,M971))))</f>
        <v/>
      </c>
      <c r="O971" s="54">
        <f>IF($B971=0,NA(),IF(Inputs!$B$24&lt;&gt;"Yes",NA(),Inputs!$D$24*Inputs!$C$35))</f>
        <v/>
      </c>
      <c r="P971" s="54">
        <f>IF($B971=0,NA(),IF(Inputs!$B$25&lt;&gt;"Yes",NA(),Inputs!$D$25*Inputs!$C$35))</f>
        <v/>
      </c>
      <c r="Q971" s="54">
        <f>IF($B971=0,NA(),IF(Inputs!$B$26&lt;&gt;"Yes",NA(),Inputs!$D$26*Inputs!$C$35))</f>
        <v/>
      </c>
      <c r="R971" s="54">
        <f>IF($B971=0,NA(),IF(Inputs!$B$27&lt;&gt;"Yes",NA(),Inputs!$D$27*Inputs!$C$35))</f>
        <v/>
      </c>
      <c r="S971" s="54">
        <f>IF($B971=0,NA(),IF(Inputs!$B$28&lt;&gt;"Yes",NA(),Inputs!$D$28*Inputs!$C$35))</f>
        <v/>
      </c>
      <c r="T971" s="54">
        <f>IF($B971=0,NA(),IF(Inputs!$B$29&lt;&gt;"Yes",NA(),Inputs!$D$29*Inputs!$C$35))</f>
        <v/>
      </c>
      <c r="AD971">
        <f>IF($B971=0,0,IF(Inputs!$B$6="",0,COUNTIFS(Data!$A$10:$A$3209,"&gt;="&amp;$A971,Data!$A$10:$A$3209,"&lt;"&amp;$A971+1)))</f>
        <v/>
      </c>
      <c r="AE971">
        <f>IF($B971=0,0,IF(Inputs!$B$7="",0,COUNTIFS(Data!$E$10:$E$3209,"&gt;="&amp;$A971,Data!$E$10:$E$3209,"&lt;"&amp;$A971+1)))</f>
        <v/>
      </c>
      <c r="AF971">
        <f>IF($B971=0,0,IF(Inputs!$B$8="",0,COUNTIFS(Data!$I$10:$I$3209,"&gt;="&amp;$A971,Data!$I$10:$I$3209,"&lt;"&amp;$A971+1)))</f>
        <v/>
      </c>
      <c r="AG971">
        <f>IF($B971=0,0,IF(Inputs!$B$9="",0,COUNTIFS(Data!$M$10:$M$3209,"&gt;="&amp;$A971,Data!$M$10:$M$3209,"&lt;"&amp;$A971+1)))</f>
        <v/>
      </c>
      <c r="AH971">
        <f>IF($B971=0,0,IF(Inputs!$B$10="",0,COUNTIFS(Data!$Q$10:$Q$3209,"&gt;="&amp;$A971,Data!$Q$10:$Q$3209,"&lt;"&amp;$A971+1)))</f>
        <v/>
      </c>
    </row>
    <row r="972">
      <c r="A972" s="55">
        <f>MIN(Inputs!$C$15,$A971+IF(WEEKDAY($A971,2)=5,3,1))</f>
        <v/>
      </c>
      <c r="B972">
        <f>IF($A972&gt;$A971,1,0)</f>
        <v/>
      </c>
      <c r="C972" s="56">
        <f>IF($B972=0,"",IF(Inputs!$B$6="","",IF($AD972=0,C971,SUMIFS(Data!$B$10:$B$3209,Data!$A$10:$A$3209,"&gt;="&amp;$A972,Data!$A$10:$A$3209,"&lt;"&amp;$A972+1)/$AD972)))</f>
        <v/>
      </c>
      <c r="D972" s="56">
        <f>IF($B972=0,"",IF(Inputs!$B$7="","",IF($AE972=0,D971,SUMIFS(Data!$F$10:$F$3209,Data!$E$10:$E$3209,"&gt;="&amp;$A972,Data!$E$10:$E$3209,"&lt;"&amp;$A972+1)/$AE972)))</f>
        <v/>
      </c>
      <c r="E972" s="56">
        <f>IF($B972=0,"",IF(Inputs!$B$8="","",IF($AF972=0,E971,SUMIFS(Data!$J$10:$J$3209,Data!$I$10:$I$3209,"&gt;="&amp;$A972,Data!$I$10:$I$3209,"&lt;"&amp;$A972+1)/$AF972)))</f>
        <v/>
      </c>
      <c r="F972" s="56">
        <f>IF($B972=0,"",IF(Inputs!$B$9="","",IF($AG972=0,F971,SUMIFS(Data!$N$10:$N$3209,Data!$M$10:$M$3209,"&gt;="&amp;$A972,Data!$M$10:$M$3209,"&lt;"&amp;$A972+1)/$AG972)))</f>
        <v/>
      </c>
      <c r="G972" s="56">
        <f>IF($B972=0,"",IF(Inputs!$B$10="","",IF($AH972=0,G971,SUMIFS(Data!$R$10:$R$3209,Data!$Q$10:$Q$3209,"&gt;="&amp;$A972,Data!$Q$10:$Q$3209,"&lt;"&amp;$A972+1)/$AH972)))</f>
        <v/>
      </c>
      <c r="I972" s="54">
        <f>IF($B972=0,NA(),IF($C972="",NA(),IF(C$8="",NA(),IF(N(C$8)=0,NA(),IF(Inputs!$C$17="Rebased to 100",$C972/C$8*100,$C972)))))</f>
        <v/>
      </c>
      <c r="J972" s="54">
        <f>IF($B972=0,NA(),IF($D972="",NA(),IF(D$8="",NA(),IF(N(D$8)=0,NA(),IF(Inputs!$C$17="Rebased to 100",$D972/D$8*100,$D972)))))</f>
        <v/>
      </c>
      <c r="K972" s="54">
        <f>IF($B972=0,NA(),IF($E972="",NA(),IF(E$8="",NA(),IF(N(E$8)=0,NA(),IF(Inputs!$C$17="Rebased to 100",$E972/E$8*100,$E972)))))</f>
        <v/>
      </c>
      <c r="L972" s="54">
        <f>IF($B972=0,NA(),IF($F972="",NA(),IF(F$8="",NA(),IF(N(F$8)=0,NA(),IF(Inputs!$C$17="Rebased to 100",$F972/F$8*100,$F972)))))</f>
        <v/>
      </c>
      <c r="M972" s="54">
        <f>IF($B972=0,NA(),IF($G972="",NA(),IF(G$8="",NA(),IF(N(G$8)=0,NA(),IF(Inputs!$C$17="Rebased to 100",$G972/G$8*100,$G972)))))</f>
        <v/>
      </c>
      <c r="N972" s="54">
        <f>IF($B972=0,NA(),IF(Inputs!$C$18&lt;&gt;"Yes",NA(),IF(COUNT(I972,J972,K972,L972,M972)=0,NA(),MIN(I972,J972,K972,L972,M972))))</f>
        <v/>
      </c>
      <c r="O972" s="54">
        <f>IF($B972=0,NA(),IF(Inputs!$B$24&lt;&gt;"Yes",NA(),Inputs!$D$24*Inputs!$C$35))</f>
        <v/>
      </c>
      <c r="P972" s="54">
        <f>IF($B972=0,NA(),IF(Inputs!$B$25&lt;&gt;"Yes",NA(),Inputs!$D$25*Inputs!$C$35))</f>
        <v/>
      </c>
      <c r="Q972" s="54">
        <f>IF($B972=0,NA(),IF(Inputs!$B$26&lt;&gt;"Yes",NA(),Inputs!$D$26*Inputs!$C$35))</f>
        <v/>
      </c>
      <c r="R972" s="54">
        <f>IF($B972=0,NA(),IF(Inputs!$B$27&lt;&gt;"Yes",NA(),Inputs!$D$27*Inputs!$C$35))</f>
        <v/>
      </c>
      <c r="S972" s="54">
        <f>IF($B972=0,NA(),IF(Inputs!$B$28&lt;&gt;"Yes",NA(),Inputs!$D$28*Inputs!$C$35))</f>
        <v/>
      </c>
      <c r="T972" s="54">
        <f>IF($B972=0,NA(),IF(Inputs!$B$29&lt;&gt;"Yes",NA(),Inputs!$D$29*Inputs!$C$35))</f>
        <v/>
      </c>
      <c r="AD972">
        <f>IF($B972=0,0,IF(Inputs!$B$6="",0,COUNTIFS(Data!$A$10:$A$3209,"&gt;="&amp;$A972,Data!$A$10:$A$3209,"&lt;"&amp;$A972+1)))</f>
        <v/>
      </c>
      <c r="AE972">
        <f>IF($B972=0,0,IF(Inputs!$B$7="",0,COUNTIFS(Data!$E$10:$E$3209,"&gt;="&amp;$A972,Data!$E$10:$E$3209,"&lt;"&amp;$A972+1)))</f>
        <v/>
      </c>
      <c r="AF972">
        <f>IF($B972=0,0,IF(Inputs!$B$8="",0,COUNTIFS(Data!$I$10:$I$3209,"&gt;="&amp;$A972,Data!$I$10:$I$3209,"&lt;"&amp;$A972+1)))</f>
        <v/>
      </c>
      <c r="AG972">
        <f>IF($B972=0,0,IF(Inputs!$B$9="",0,COUNTIFS(Data!$M$10:$M$3209,"&gt;="&amp;$A972,Data!$M$10:$M$3209,"&lt;"&amp;$A972+1)))</f>
        <v/>
      </c>
      <c r="AH972">
        <f>IF($B972=0,0,IF(Inputs!$B$10="",0,COUNTIFS(Data!$Q$10:$Q$3209,"&gt;="&amp;$A972,Data!$Q$10:$Q$3209,"&lt;"&amp;$A972+1)))</f>
        <v/>
      </c>
    </row>
    <row r="973">
      <c r="A973" s="55">
        <f>MIN(Inputs!$C$15,$A972+IF(WEEKDAY($A972,2)=5,3,1))</f>
        <v/>
      </c>
      <c r="B973">
        <f>IF($A973&gt;$A972,1,0)</f>
        <v/>
      </c>
      <c r="C973" s="56">
        <f>IF($B973=0,"",IF(Inputs!$B$6="","",IF($AD973=0,C972,SUMIFS(Data!$B$10:$B$3209,Data!$A$10:$A$3209,"&gt;="&amp;$A973,Data!$A$10:$A$3209,"&lt;"&amp;$A973+1)/$AD973)))</f>
        <v/>
      </c>
      <c r="D973" s="56">
        <f>IF($B973=0,"",IF(Inputs!$B$7="","",IF($AE973=0,D972,SUMIFS(Data!$F$10:$F$3209,Data!$E$10:$E$3209,"&gt;="&amp;$A973,Data!$E$10:$E$3209,"&lt;"&amp;$A973+1)/$AE973)))</f>
        <v/>
      </c>
      <c r="E973" s="56">
        <f>IF($B973=0,"",IF(Inputs!$B$8="","",IF($AF973=0,E972,SUMIFS(Data!$J$10:$J$3209,Data!$I$10:$I$3209,"&gt;="&amp;$A973,Data!$I$10:$I$3209,"&lt;"&amp;$A973+1)/$AF973)))</f>
        <v/>
      </c>
      <c r="F973" s="56">
        <f>IF($B973=0,"",IF(Inputs!$B$9="","",IF($AG973=0,F972,SUMIFS(Data!$N$10:$N$3209,Data!$M$10:$M$3209,"&gt;="&amp;$A973,Data!$M$10:$M$3209,"&lt;"&amp;$A973+1)/$AG973)))</f>
        <v/>
      </c>
      <c r="G973" s="56">
        <f>IF($B973=0,"",IF(Inputs!$B$10="","",IF($AH973=0,G972,SUMIFS(Data!$R$10:$R$3209,Data!$Q$10:$Q$3209,"&gt;="&amp;$A973,Data!$Q$10:$Q$3209,"&lt;"&amp;$A973+1)/$AH973)))</f>
        <v/>
      </c>
      <c r="I973" s="54">
        <f>IF($B973=0,NA(),IF($C973="",NA(),IF(C$8="",NA(),IF(N(C$8)=0,NA(),IF(Inputs!$C$17="Rebased to 100",$C973/C$8*100,$C973)))))</f>
        <v/>
      </c>
      <c r="J973" s="54">
        <f>IF($B973=0,NA(),IF($D973="",NA(),IF(D$8="",NA(),IF(N(D$8)=0,NA(),IF(Inputs!$C$17="Rebased to 100",$D973/D$8*100,$D973)))))</f>
        <v/>
      </c>
      <c r="K973" s="54">
        <f>IF($B973=0,NA(),IF($E973="",NA(),IF(E$8="",NA(),IF(N(E$8)=0,NA(),IF(Inputs!$C$17="Rebased to 100",$E973/E$8*100,$E973)))))</f>
        <v/>
      </c>
      <c r="L973" s="54">
        <f>IF($B973=0,NA(),IF($F973="",NA(),IF(F$8="",NA(),IF(N(F$8)=0,NA(),IF(Inputs!$C$17="Rebased to 100",$F973/F$8*100,$F973)))))</f>
        <v/>
      </c>
      <c r="M973" s="54">
        <f>IF($B973=0,NA(),IF($G973="",NA(),IF(G$8="",NA(),IF(N(G$8)=0,NA(),IF(Inputs!$C$17="Rebased to 100",$G973/G$8*100,$G973)))))</f>
        <v/>
      </c>
      <c r="N973" s="54">
        <f>IF($B973=0,NA(),IF(Inputs!$C$18&lt;&gt;"Yes",NA(),IF(COUNT(I973,J973,K973,L973,M973)=0,NA(),MIN(I973,J973,K973,L973,M973))))</f>
        <v/>
      </c>
      <c r="O973" s="54">
        <f>IF($B973=0,NA(),IF(Inputs!$B$24&lt;&gt;"Yes",NA(),Inputs!$D$24*Inputs!$C$35))</f>
        <v/>
      </c>
      <c r="P973" s="54">
        <f>IF($B973=0,NA(),IF(Inputs!$B$25&lt;&gt;"Yes",NA(),Inputs!$D$25*Inputs!$C$35))</f>
        <v/>
      </c>
      <c r="Q973" s="54">
        <f>IF($B973=0,NA(),IF(Inputs!$B$26&lt;&gt;"Yes",NA(),Inputs!$D$26*Inputs!$C$35))</f>
        <v/>
      </c>
      <c r="R973" s="54">
        <f>IF($B973=0,NA(),IF(Inputs!$B$27&lt;&gt;"Yes",NA(),Inputs!$D$27*Inputs!$C$35))</f>
        <v/>
      </c>
      <c r="S973" s="54">
        <f>IF($B973=0,NA(),IF(Inputs!$B$28&lt;&gt;"Yes",NA(),Inputs!$D$28*Inputs!$C$35))</f>
        <v/>
      </c>
      <c r="T973" s="54">
        <f>IF($B973=0,NA(),IF(Inputs!$B$29&lt;&gt;"Yes",NA(),Inputs!$D$29*Inputs!$C$35))</f>
        <v/>
      </c>
      <c r="AD973">
        <f>IF($B973=0,0,IF(Inputs!$B$6="",0,COUNTIFS(Data!$A$10:$A$3209,"&gt;="&amp;$A973,Data!$A$10:$A$3209,"&lt;"&amp;$A973+1)))</f>
        <v/>
      </c>
      <c r="AE973">
        <f>IF($B973=0,0,IF(Inputs!$B$7="",0,COUNTIFS(Data!$E$10:$E$3209,"&gt;="&amp;$A973,Data!$E$10:$E$3209,"&lt;"&amp;$A973+1)))</f>
        <v/>
      </c>
      <c r="AF973">
        <f>IF($B973=0,0,IF(Inputs!$B$8="",0,COUNTIFS(Data!$I$10:$I$3209,"&gt;="&amp;$A973,Data!$I$10:$I$3209,"&lt;"&amp;$A973+1)))</f>
        <v/>
      </c>
      <c r="AG973">
        <f>IF($B973=0,0,IF(Inputs!$B$9="",0,COUNTIFS(Data!$M$10:$M$3209,"&gt;="&amp;$A973,Data!$M$10:$M$3209,"&lt;"&amp;$A973+1)))</f>
        <v/>
      </c>
      <c r="AH973">
        <f>IF($B973=0,0,IF(Inputs!$B$10="",0,COUNTIFS(Data!$Q$10:$Q$3209,"&gt;="&amp;$A973,Data!$Q$10:$Q$3209,"&lt;"&amp;$A973+1)))</f>
        <v/>
      </c>
    </row>
    <row r="974">
      <c r="A974" s="55">
        <f>MIN(Inputs!$C$15,$A973+IF(WEEKDAY($A973,2)=5,3,1))</f>
        <v/>
      </c>
      <c r="B974">
        <f>IF($A974&gt;$A973,1,0)</f>
        <v/>
      </c>
      <c r="C974" s="56">
        <f>IF($B974=0,"",IF(Inputs!$B$6="","",IF($AD974=0,C973,SUMIFS(Data!$B$10:$B$3209,Data!$A$10:$A$3209,"&gt;="&amp;$A974,Data!$A$10:$A$3209,"&lt;"&amp;$A974+1)/$AD974)))</f>
        <v/>
      </c>
      <c r="D974" s="56">
        <f>IF($B974=0,"",IF(Inputs!$B$7="","",IF($AE974=0,D973,SUMIFS(Data!$F$10:$F$3209,Data!$E$10:$E$3209,"&gt;="&amp;$A974,Data!$E$10:$E$3209,"&lt;"&amp;$A974+1)/$AE974)))</f>
        <v/>
      </c>
      <c r="E974" s="56">
        <f>IF($B974=0,"",IF(Inputs!$B$8="","",IF($AF974=0,E973,SUMIFS(Data!$J$10:$J$3209,Data!$I$10:$I$3209,"&gt;="&amp;$A974,Data!$I$10:$I$3209,"&lt;"&amp;$A974+1)/$AF974)))</f>
        <v/>
      </c>
      <c r="F974" s="56">
        <f>IF($B974=0,"",IF(Inputs!$B$9="","",IF($AG974=0,F973,SUMIFS(Data!$N$10:$N$3209,Data!$M$10:$M$3209,"&gt;="&amp;$A974,Data!$M$10:$M$3209,"&lt;"&amp;$A974+1)/$AG974)))</f>
        <v/>
      </c>
      <c r="G974" s="56">
        <f>IF($B974=0,"",IF(Inputs!$B$10="","",IF($AH974=0,G973,SUMIFS(Data!$R$10:$R$3209,Data!$Q$10:$Q$3209,"&gt;="&amp;$A974,Data!$Q$10:$Q$3209,"&lt;"&amp;$A974+1)/$AH974)))</f>
        <v/>
      </c>
      <c r="I974" s="54">
        <f>IF($B974=0,NA(),IF($C974="",NA(),IF(C$8="",NA(),IF(N(C$8)=0,NA(),IF(Inputs!$C$17="Rebased to 100",$C974/C$8*100,$C974)))))</f>
        <v/>
      </c>
      <c r="J974" s="54">
        <f>IF($B974=0,NA(),IF($D974="",NA(),IF(D$8="",NA(),IF(N(D$8)=0,NA(),IF(Inputs!$C$17="Rebased to 100",$D974/D$8*100,$D974)))))</f>
        <v/>
      </c>
      <c r="K974" s="54">
        <f>IF($B974=0,NA(),IF($E974="",NA(),IF(E$8="",NA(),IF(N(E$8)=0,NA(),IF(Inputs!$C$17="Rebased to 100",$E974/E$8*100,$E974)))))</f>
        <v/>
      </c>
      <c r="L974" s="54">
        <f>IF($B974=0,NA(),IF($F974="",NA(),IF(F$8="",NA(),IF(N(F$8)=0,NA(),IF(Inputs!$C$17="Rebased to 100",$F974/F$8*100,$F974)))))</f>
        <v/>
      </c>
      <c r="M974" s="54">
        <f>IF($B974=0,NA(),IF($G974="",NA(),IF(G$8="",NA(),IF(N(G$8)=0,NA(),IF(Inputs!$C$17="Rebased to 100",$G974/G$8*100,$G974)))))</f>
        <v/>
      </c>
      <c r="N974" s="54">
        <f>IF($B974=0,NA(),IF(Inputs!$C$18&lt;&gt;"Yes",NA(),IF(COUNT(I974,J974,K974,L974,M974)=0,NA(),MIN(I974,J974,K974,L974,M974))))</f>
        <v/>
      </c>
      <c r="O974" s="54">
        <f>IF($B974=0,NA(),IF(Inputs!$B$24&lt;&gt;"Yes",NA(),Inputs!$D$24*Inputs!$C$35))</f>
        <v/>
      </c>
      <c r="P974" s="54">
        <f>IF($B974=0,NA(),IF(Inputs!$B$25&lt;&gt;"Yes",NA(),Inputs!$D$25*Inputs!$C$35))</f>
        <v/>
      </c>
      <c r="Q974" s="54">
        <f>IF($B974=0,NA(),IF(Inputs!$B$26&lt;&gt;"Yes",NA(),Inputs!$D$26*Inputs!$C$35))</f>
        <v/>
      </c>
      <c r="R974" s="54">
        <f>IF($B974=0,NA(),IF(Inputs!$B$27&lt;&gt;"Yes",NA(),Inputs!$D$27*Inputs!$C$35))</f>
        <v/>
      </c>
      <c r="S974" s="54">
        <f>IF($B974=0,NA(),IF(Inputs!$B$28&lt;&gt;"Yes",NA(),Inputs!$D$28*Inputs!$C$35))</f>
        <v/>
      </c>
      <c r="T974" s="54">
        <f>IF($B974=0,NA(),IF(Inputs!$B$29&lt;&gt;"Yes",NA(),Inputs!$D$29*Inputs!$C$35))</f>
        <v/>
      </c>
      <c r="AD974">
        <f>IF($B974=0,0,IF(Inputs!$B$6="",0,COUNTIFS(Data!$A$10:$A$3209,"&gt;="&amp;$A974,Data!$A$10:$A$3209,"&lt;"&amp;$A974+1)))</f>
        <v/>
      </c>
      <c r="AE974">
        <f>IF($B974=0,0,IF(Inputs!$B$7="",0,COUNTIFS(Data!$E$10:$E$3209,"&gt;="&amp;$A974,Data!$E$10:$E$3209,"&lt;"&amp;$A974+1)))</f>
        <v/>
      </c>
      <c r="AF974">
        <f>IF($B974=0,0,IF(Inputs!$B$8="",0,COUNTIFS(Data!$I$10:$I$3209,"&gt;="&amp;$A974,Data!$I$10:$I$3209,"&lt;"&amp;$A974+1)))</f>
        <v/>
      </c>
      <c r="AG974">
        <f>IF($B974=0,0,IF(Inputs!$B$9="",0,COUNTIFS(Data!$M$10:$M$3209,"&gt;="&amp;$A974,Data!$M$10:$M$3209,"&lt;"&amp;$A974+1)))</f>
        <v/>
      </c>
      <c r="AH974">
        <f>IF($B974=0,0,IF(Inputs!$B$10="",0,COUNTIFS(Data!$Q$10:$Q$3209,"&gt;="&amp;$A974,Data!$Q$10:$Q$3209,"&lt;"&amp;$A974+1)))</f>
        <v/>
      </c>
    </row>
    <row r="975">
      <c r="A975" s="55">
        <f>MIN(Inputs!$C$15,$A974+IF(WEEKDAY($A974,2)=5,3,1))</f>
        <v/>
      </c>
      <c r="B975">
        <f>IF($A975&gt;$A974,1,0)</f>
        <v/>
      </c>
      <c r="C975" s="56">
        <f>IF($B975=0,"",IF(Inputs!$B$6="","",IF($AD975=0,C974,SUMIFS(Data!$B$10:$B$3209,Data!$A$10:$A$3209,"&gt;="&amp;$A975,Data!$A$10:$A$3209,"&lt;"&amp;$A975+1)/$AD975)))</f>
        <v/>
      </c>
      <c r="D975" s="56">
        <f>IF($B975=0,"",IF(Inputs!$B$7="","",IF($AE975=0,D974,SUMIFS(Data!$F$10:$F$3209,Data!$E$10:$E$3209,"&gt;="&amp;$A975,Data!$E$10:$E$3209,"&lt;"&amp;$A975+1)/$AE975)))</f>
        <v/>
      </c>
      <c r="E975" s="56">
        <f>IF($B975=0,"",IF(Inputs!$B$8="","",IF($AF975=0,E974,SUMIFS(Data!$J$10:$J$3209,Data!$I$10:$I$3209,"&gt;="&amp;$A975,Data!$I$10:$I$3209,"&lt;"&amp;$A975+1)/$AF975)))</f>
        <v/>
      </c>
      <c r="F975" s="56">
        <f>IF($B975=0,"",IF(Inputs!$B$9="","",IF($AG975=0,F974,SUMIFS(Data!$N$10:$N$3209,Data!$M$10:$M$3209,"&gt;="&amp;$A975,Data!$M$10:$M$3209,"&lt;"&amp;$A975+1)/$AG975)))</f>
        <v/>
      </c>
      <c r="G975" s="56">
        <f>IF($B975=0,"",IF(Inputs!$B$10="","",IF($AH975=0,G974,SUMIFS(Data!$R$10:$R$3209,Data!$Q$10:$Q$3209,"&gt;="&amp;$A975,Data!$Q$10:$Q$3209,"&lt;"&amp;$A975+1)/$AH975)))</f>
        <v/>
      </c>
      <c r="I975" s="54">
        <f>IF($B975=0,NA(),IF($C975="",NA(),IF(C$8="",NA(),IF(N(C$8)=0,NA(),IF(Inputs!$C$17="Rebased to 100",$C975/C$8*100,$C975)))))</f>
        <v/>
      </c>
      <c r="J975" s="54">
        <f>IF($B975=0,NA(),IF($D975="",NA(),IF(D$8="",NA(),IF(N(D$8)=0,NA(),IF(Inputs!$C$17="Rebased to 100",$D975/D$8*100,$D975)))))</f>
        <v/>
      </c>
      <c r="K975" s="54">
        <f>IF($B975=0,NA(),IF($E975="",NA(),IF(E$8="",NA(),IF(N(E$8)=0,NA(),IF(Inputs!$C$17="Rebased to 100",$E975/E$8*100,$E975)))))</f>
        <v/>
      </c>
      <c r="L975" s="54">
        <f>IF($B975=0,NA(),IF($F975="",NA(),IF(F$8="",NA(),IF(N(F$8)=0,NA(),IF(Inputs!$C$17="Rebased to 100",$F975/F$8*100,$F975)))))</f>
        <v/>
      </c>
      <c r="M975" s="54">
        <f>IF($B975=0,NA(),IF($G975="",NA(),IF(G$8="",NA(),IF(N(G$8)=0,NA(),IF(Inputs!$C$17="Rebased to 100",$G975/G$8*100,$G975)))))</f>
        <v/>
      </c>
      <c r="N975" s="54">
        <f>IF($B975=0,NA(),IF(Inputs!$C$18&lt;&gt;"Yes",NA(),IF(COUNT(I975,J975,K975,L975,M975)=0,NA(),MIN(I975,J975,K975,L975,M975))))</f>
        <v/>
      </c>
      <c r="O975" s="54">
        <f>IF($B975=0,NA(),IF(Inputs!$B$24&lt;&gt;"Yes",NA(),Inputs!$D$24*Inputs!$C$35))</f>
        <v/>
      </c>
      <c r="P975" s="54">
        <f>IF($B975=0,NA(),IF(Inputs!$B$25&lt;&gt;"Yes",NA(),Inputs!$D$25*Inputs!$C$35))</f>
        <v/>
      </c>
      <c r="Q975" s="54">
        <f>IF($B975=0,NA(),IF(Inputs!$B$26&lt;&gt;"Yes",NA(),Inputs!$D$26*Inputs!$C$35))</f>
        <v/>
      </c>
      <c r="R975" s="54">
        <f>IF($B975=0,NA(),IF(Inputs!$B$27&lt;&gt;"Yes",NA(),Inputs!$D$27*Inputs!$C$35))</f>
        <v/>
      </c>
      <c r="S975" s="54">
        <f>IF($B975=0,NA(),IF(Inputs!$B$28&lt;&gt;"Yes",NA(),Inputs!$D$28*Inputs!$C$35))</f>
        <v/>
      </c>
      <c r="T975" s="54">
        <f>IF($B975=0,NA(),IF(Inputs!$B$29&lt;&gt;"Yes",NA(),Inputs!$D$29*Inputs!$C$35))</f>
        <v/>
      </c>
      <c r="AD975">
        <f>IF($B975=0,0,IF(Inputs!$B$6="",0,COUNTIFS(Data!$A$10:$A$3209,"&gt;="&amp;$A975,Data!$A$10:$A$3209,"&lt;"&amp;$A975+1)))</f>
        <v/>
      </c>
      <c r="AE975">
        <f>IF($B975=0,0,IF(Inputs!$B$7="",0,COUNTIFS(Data!$E$10:$E$3209,"&gt;="&amp;$A975,Data!$E$10:$E$3209,"&lt;"&amp;$A975+1)))</f>
        <v/>
      </c>
      <c r="AF975">
        <f>IF($B975=0,0,IF(Inputs!$B$8="",0,COUNTIFS(Data!$I$10:$I$3209,"&gt;="&amp;$A975,Data!$I$10:$I$3209,"&lt;"&amp;$A975+1)))</f>
        <v/>
      </c>
      <c r="AG975">
        <f>IF($B975=0,0,IF(Inputs!$B$9="",0,COUNTIFS(Data!$M$10:$M$3209,"&gt;="&amp;$A975,Data!$M$10:$M$3209,"&lt;"&amp;$A975+1)))</f>
        <v/>
      </c>
      <c r="AH975">
        <f>IF($B975=0,0,IF(Inputs!$B$10="",0,COUNTIFS(Data!$Q$10:$Q$3209,"&gt;="&amp;$A975,Data!$Q$10:$Q$3209,"&lt;"&amp;$A975+1)))</f>
        <v/>
      </c>
    </row>
    <row r="976">
      <c r="A976" s="55">
        <f>MIN(Inputs!$C$15,$A975+IF(WEEKDAY($A975,2)=5,3,1))</f>
        <v/>
      </c>
      <c r="B976">
        <f>IF($A976&gt;$A975,1,0)</f>
        <v/>
      </c>
      <c r="C976" s="56">
        <f>IF($B976=0,"",IF(Inputs!$B$6="","",IF($AD976=0,C975,SUMIFS(Data!$B$10:$B$3209,Data!$A$10:$A$3209,"&gt;="&amp;$A976,Data!$A$10:$A$3209,"&lt;"&amp;$A976+1)/$AD976)))</f>
        <v/>
      </c>
      <c r="D976" s="56">
        <f>IF($B976=0,"",IF(Inputs!$B$7="","",IF($AE976=0,D975,SUMIFS(Data!$F$10:$F$3209,Data!$E$10:$E$3209,"&gt;="&amp;$A976,Data!$E$10:$E$3209,"&lt;"&amp;$A976+1)/$AE976)))</f>
        <v/>
      </c>
      <c r="E976" s="56">
        <f>IF($B976=0,"",IF(Inputs!$B$8="","",IF($AF976=0,E975,SUMIFS(Data!$J$10:$J$3209,Data!$I$10:$I$3209,"&gt;="&amp;$A976,Data!$I$10:$I$3209,"&lt;"&amp;$A976+1)/$AF976)))</f>
        <v/>
      </c>
      <c r="F976" s="56">
        <f>IF($B976=0,"",IF(Inputs!$B$9="","",IF($AG976=0,F975,SUMIFS(Data!$N$10:$N$3209,Data!$M$10:$M$3209,"&gt;="&amp;$A976,Data!$M$10:$M$3209,"&lt;"&amp;$A976+1)/$AG976)))</f>
        <v/>
      </c>
      <c r="G976" s="56">
        <f>IF($B976=0,"",IF(Inputs!$B$10="","",IF($AH976=0,G975,SUMIFS(Data!$R$10:$R$3209,Data!$Q$10:$Q$3209,"&gt;="&amp;$A976,Data!$Q$10:$Q$3209,"&lt;"&amp;$A976+1)/$AH976)))</f>
        <v/>
      </c>
      <c r="I976" s="54">
        <f>IF($B976=0,NA(),IF($C976="",NA(),IF(C$8="",NA(),IF(N(C$8)=0,NA(),IF(Inputs!$C$17="Rebased to 100",$C976/C$8*100,$C976)))))</f>
        <v/>
      </c>
      <c r="J976" s="54">
        <f>IF($B976=0,NA(),IF($D976="",NA(),IF(D$8="",NA(),IF(N(D$8)=0,NA(),IF(Inputs!$C$17="Rebased to 100",$D976/D$8*100,$D976)))))</f>
        <v/>
      </c>
      <c r="K976" s="54">
        <f>IF($B976=0,NA(),IF($E976="",NA(),IF(E$8="",NA(),IF(N(E$8)=0,NA(),IF(Inputs!$C$17="Rebased to 100",$E976/E$8*100,$E976)))))</f>
        <v/>
      </c>
      <c r="L976" s="54">
        <f>IF($B976=0,NA(),IF($F976="",NA(),IF(F$8="",NA(),IF(N(F$8)=0,NA(),IF(Inputs!$C$17="Rebased to 100",$F976/F$8*100,$F976)))))</f>
        <v/>
      </c>
      <c r="M976" s="54">
        <f>IF($B976=0,NA(),IF($G976="",NA(),IF(G$8="",NA(),IF(N(G$8)=0,NA(),IF(Inputs!$C$17="Rebased to 100",$G976/G$8*100,$G976)))))</f>
        <v/>
      </c>
      <c r="N976" s="54">
        <f>IF($B976=0,NA(),IF(Inputs!$C$18&lt;&gt;"Yes",NA(),IF(COUNT(I976,J976,K976,L976,M976)=0,NA(),MIN(I976,J976,K976,L976,M976))))</f>
        <v/>
      </c>
      <c r="O976" s="54">
        <f>IF($B976=0,NA(),IF(Inputs!$B$24&lt;&gt;"Yes",NA(),Inputs!$D$24*Inputs!$C$35))</f>
        <v/>
      </c>
      <c r="P976" s="54">
        <f>IF($B976=0,NA(),IF(Inputs!$B$25&lt;&gt;"Yes",NA(),Inputs!$D$25*Inputs!$C$35))</f>
        <v/>
      </c>
      <c r="Q976" s="54">
        <f>IF($B976=0,NA(),IF(Inputs!$B$26&lt;&gt;"Yes",NA(),Inputs!$D$26*Inputs!$C$35))</f>
        <v/>
      </c>
      <c r="R976" s="54">
        <f>IF($B976=0,NA(),IF(Inputs!$B$27&lt;&gt;"Yes",NA(),Inputs!$D$27*Inputs!$C$35))</f>
        <v/>
      </c>
      <c r="S976" s="54">
        <f>IF($B976=0,NA(),IF(Inputs!$B$28&lt;&gt;"Yes",NA(),Inputs!$D$28*Inputs!$C$35))</f>
        <v/>
      </c>
      <c r="T976" s="54">
        <f>IF($B976=0,NA(),IF(Inputs!$B$29&lt;&gt;"Yes",NA(),Inputs!$D$29*Inputs!$C$35))</f>
        <v/>
      </c>
      <c r="AD976">
        <f>IF($B976=0,0,IF(Inputs!$B$6="",0,COUNTIFS(Data!$A$10:$A$3209,"&gt;="&amp;$A976,Data!$A$10:$A$3209,"&lt;"&amp;$A976+1)))</f>
        <v/>
      </c>
      <c r="AE976">
        <f>IF($B976=0,0,IF(Inputs!$B$7="",0,COUNTIFS(Data!$E$10:$E$3209,"&gt;="&amp;$A976,Data!$E$10:$E$3209,"&lt;"&amp;$A976+1)))</f>
        <v/>
      </c>
      <c r="AF976">
        <f>IF($B976=0,0,IF(Inputs!$B$8="",0,COUNTIFS(Data!$I$10:$I$3209,"&gt;="&amp;$A976,Data!$I$10:$I$3209,"&lt;"&amp;$A976+1)))</f>
        <v/>
      </c>
      <c r="AG976">
        <f>IF($B976=0,0,IF(Inputs!$B$9="",0,COUNTIFS(Data!$M$10:$M$3209,"&gt;="&amp;$A976,Data!$M$10:$M$3209,"&lt;"&amp;$A976+1)))</f>
        <v/>
      </c>
      <c r="AH976">
        <f>IF($B976=0,0,IF(Inputs!$B$10="",0,COUNTIFS(Data!$Q$10:$Q$3209,"&gt;="&amp;$A976,Data!$Q$10:$Q$3209,"&lt;"&amp;$A976+1)))</f>
        <v/>
      </c>
    </row>
    <row r="977">
      <c r="A977" s="55">
        <f>MIN(Inputs!$C$15,$A976+IF(WEEKDAY($A976,2)=5,3,1))</f>
        <v/>
      </c>
      <c r="B977">
        <f>IF($A977&gt;$A976,1,0)</f>
        <v/>
      </c>
      <c r="C977" s="56">
        <f>IF($B977=0,"",IF(Inputs!$B$6="","",IF($AD977=0,C976,SUMIFS(Data!$B$10:$B$3209,Data!$A$10:$A$3209,"&gt;="&amp;$A977,Data!$A$10:$A$3209,"&lt;"&amp;$A977+1)/$AD977)))</f>
        <v/>
      </c>
      <c r="D977" s="56">
        <f>IF($B977=0,"",IF(Inputs!$B$7="","",IF($AE977=0,D976,SUMIFS(Data!$F$10:$F$3209,Data!$E$10:$E$3209,"&gt;="&amp;$A977,Data!$E$10:$E$3209,"&lt;"&amp;$A977+1)/$AE977)))</f>
        <v/>
      </c>
      <c r="E977" s="56">
        <f>IF($B977=0,"",IF(Inputs!$B$8="","",IF($AF977=0,E976,SUMIFS(Data!$J$10:$J$3209,Data!$I$10:$I$3209,"&gt;="&amp;$A977,Data!$I$10:$I$3209,"&lt;"&amp;$A977+1)/$AF977)))</f>
        <v/>
      </c>
      <c r="F977" s="56">
        <f>IF($B977=0,"",IF(Inputs!$B$9="","",IF($AG977=0,F976,SUMIFS(Data!$N$10:$N$3209,Data!$M$10:$M$3209,"&gt;="&amp;$A977,Data!$M$10:$M$3209,"&lt;"&amp;$A977+1)/$AG977)))</f>
        <v/>
      </c>
      <c r="G977" s="56">
        <f>IF($B977=0,"",IF(Inputs!$B$10="","",IF($AH977=0,G976,SUMIFS(Data!$R$10:$R$3209,Data!$Q$10:$Q$3209,"&gt;="&amp;$A977,Data!$Q$10:$Q$3209,"&lt;"&amp;$A977+1)/$AH977)))</f>
        <v/>
      </c>
      <c r="I977" s="54">
        <f>IF($B977=0,NA(),IF($C977="",NA(),IF(C$8="",NA(),IF(N(C$8)=0,NA(),IF(Inputs!$C$17="Rebased to 100",$C977/C$8*100,$C977)))))</f>
        <v/>
      </c>
      <c r="J977" s="54">
        <f>IF($B977=0,NA(),IF($D977="",NA(),IF(D$8="",NA(),IF(N(D$8)=0,NA(),IF(Inputs!$C$17="Rebased to 100",$D977/D$8*100,$D977)))))</f>
        <v/>
      </c>
      <c r="K977" s="54">
        <f>IF($B977=0,NA(),IF($E977="",NA(),IF(E$8="",NA(),IF(N(E$8)=0,NA(),IF(Inputs!$C$17="Rebased to 100",$E977/E$8*100,$E977)))))</f>
        <v/>
      </c>
      <c r="L977" s="54">
        <f>IF($B977=0,NA(),IF($F977="",NA(),IF(F$8="",NA(),IF(N(F$8)=0,NA(),IF(Inputs!$C$17="Rebased to 100",$F977/F$8*100,$F977)))))</f>
        <v/>
      </c>
      <c r="M977" s="54">
        <f>IF($B977=0,NA(),IF($G977="",NA(),IF(G$8="",NA(),IF(N(G$8)=0,NA(),IF(Inputs!$C$17="Rebased to 100",$G977/G$8*100,$G977)))))</f>
        <v/>
      </c>
      <c r="N977" s="54">
        <f>IF($B977=0,NA(),IF(Inputs!$C$18&lt;&gt;"Yes",NA(),IF(COUNT(I977,J977,K977,L977,M977)=0,NA(),MIN(I977,J977,K977,L977,M977))))</f>
        <v/>
      </c>
      <c r="O977" s="54">
        <f>IF($B977=0,NA(),IF(Inputs!$B$24&lt;&gt;"Yes",NA(),Inputs!$D$24*Inputs!$C$35))</f>
        <v/>
      </c>
      <c r="P977" s="54">
        <f>IF($B977=0,NA(),IF(Inputs!$B$25&lt;&gt;"Yes",NA(),Inputs!$D$25*Inputs!$C$35))</f>
        <v/>
      </c>
      <c r="Q977" s="54">
        <f>IF($B977=0,NA(),IF(Inputs!$B$26&lt;&gt;"Yes",NA(),Inputs!$D$26*Inputs!$C$35))</f>
        <v/>
      </c>
      <c r="R977" s="54">
        <f>IF($B977=0,NA(),IF(Inputs!$B$27&lt;&gt;"Yes",NA(),Inputs!$D$27*Inputs!$C$35))</f>
        <v/>
      </c>
      <c r="S977" s="54">
        <f>IF($B977=0,NA(),IF(Inputs!$B$28&lt;&gt;"Yes",NA(),Inputs!$D$28*Inputs!$C$35))</f>
        <v/>
      </c>
      <c r="T977" s="54">
        <f>IF($B977=0,NA(),IF(Inputs!$B$29&lt;&gt;"Yes",NA(),Inputs!$D$29*Inputs!$C$35))</f>
        <v/>
      </c>
      <c r="AD977">
        <f>IF($B977=0,0,IF(Inputs!$B$6="",0,COUNTIFS(Data!$A$10:$A$3209,"&gt;="&amp;$A977,Data!$A$10:$A$3209,"&lt;"&amp;$A977+1)))</f>
        <v/>
      </c>
      <c r="AE977">
        <f>IF($B977=0,0,IF(Inputs!$B$7="",0,COUNTIFS(Data!$E$10:$E$3209,"&gt;="&amp;$A977,Data!$E$10:$E$3209,"&lt;"&amp;$A977+1)))</f>
        <v/>
      </c>
      <c r="AF977">
        <f>IF($B977=0,0,IF(Inputs!$B$8="",0,COUNTIFS(Data!$I$10:$I$3209,"&gt;="&amp;$A977,Data!$I$10:$I$3209,"&lt;"&amp;$A977+1)))</f>
        <v/>
      </c>
      <c r="AG977">
        <f>IF($B977=0,0,IF(Inputs!$B$9="",0,COUNTIFS(Data!$M$10:$M$3209,"&gt;="&amp;$A977,Data!$M$10:$M$3209,"&lt;"&amp;$A977+1)))</f>
        <v/>
      </c>
      <c r="AH977">
        <f>IF($B977=0,0,IF(Inputs!$B$10="",0,COUNTIFS(Data!$Q$10:$Q$3209,"&gt;="&amp;$A977,Data!$Q$10:$Q$3209,"&lt;"&amp;$A977+1)))</f>
        <v/>
      </c>
    </row>
    <row r="978">
      <c r="A978" s="55">
        <f>MIN(Inputs!$C$15,$A977+IF(WEEKDAY($A977,2)=5,3,1))</f>
        <v/>
      </c>
      <c r="B978">
        <f>IF($A978&gt;$A977,1,0)</f>
        <v/>
      </c>
      <c r="C978" s="56">
        <f>IF($B978=0,"",IF(Inputs!$B$6="","",IF($AD978=0,C977,SUMIFS(Data!$B$10:$B$3209,Data!$A$10:$A$3209,"&gt;="&amp;$A978,Data!$A$10:$A$3209,"&lt;"&amp;$A978+1)/$AD978)))</f>
        <v/>
      </c>
      <c r="D978" s="56">
        <f>IF($B978=0,"",IF(Inputs!$B$7="","",IF($AE978=0,D977,SUMIFS(Data!$F$10:$F$3209,Data!$E$10:$E$3209,"&gt;="&amp;$A978,Data!$E$10:$E$3209,"&lt;"&amp;$A978+1)/$AE978)))</f>
        <v/>
      </c>
      <c r="E978" s="56">
        <f>IF($B978=0,"",IF(Inputs!$B$8="","",IF($AF978=0,E977,SUMIFS(Data!$J$10:$J$3209,Data!$I$10:$I$3209,"&gt;="&amp;$A978,Data!$I$10:$I$3209,"&lt;"&amp;$A978+1)/$AF978)))</f>
        <v/>
      </c>
      <c r="F978" s="56">
        <f>IF($B978=0,"",IF(Inputs!$B$9="","",IF($AG978=0,F977,SUMIFS(Data!$N$10:$N$3209,Data!$M$10:$M$3209,"&gt;="&amp;$A978,Data!$M$10:$M$3209,"&lt;"&amp;$A978+1)/$AG978)))</f>
        <v/>
      </c>
      <c r="G978" s="56">
        <f>IF($B978=0,"",IF(Inputs!$B$10="","",IF($AH978=0,G977,SUMIFS(Data!$R$10:$R$3209,Data!$Q$10:$Q$3209,"&gt;="&amp;$A978,Data!$Q$10:$Q$3209,"&lt;"&amp;$A978+1)/$AH978)))</f>
        <v/>
      </c>
      <c r="I978" s="54">
        <f>IF($B978=0,NA(),IF($C978="",NA(),IF(C$8="",NA(),IF(N(C$8)=0,NA(),IF(Inputs!$C$17="Rebased to 100",$C978/C$8*100,$C978)))))</f>
        <v/>
      </c>
      <c r="J978" s="54">
        <f>IF($B978=0,NA(),IF($D978="",NA(),IF(D$8="",NA(),IF(N(D$8)=0,NA(),IF(Inputs!$C$17="Rebased to 100",$D978/D$8*100,$D978)))))</f>
        <v/>
      </c>
      <c r="K978" s="54">
        <f>IF($B978=0,NA(),IF($E978="",NA(),IF(E$8="",NA(),IF(N(E$8)=0,NA(),IF(Inputs!$C$17="Rebased to 100",$E978/E$8*100,$E978)))))</f>
        <v/>
      </c>
      <c r="L978" s="54">
        <f>IF($B978=0,NA(),IF($F978="",NA(),IF(F$8="",NA(),IF(N(F$8)=0,NA(),IF(Inputs!$C$17="Rebased to 100",$F978/F$8*100,$F978)))))</f>
        <v/>
      </c>
      <c r="M978" s="54">
        <f>IF($B978=0,NA(),IF($G978="",NA(),IF(G$8="",NA(),IF(N(G$8)=0,NA(),IF(Inputs!$C$17="Rebased to 100",$G978/G$8*100,$G978)))))</f>
        <v/>
      </c>
      <c r="N978" s="54">
        <f>IF($B978=0,NA(),IF(Inputs!$C$18&lt;&gt;"Yes",NA(),IF(COUNT(I978,J978,K978,L978,M978)=0,NA(),MIN(I978,J978,K978,L978,M978))))</f>
        <v/>
      </c>
      <c r="O978" s="54">
        <f>IF($B978=0,NA(),IF(Inputs!$B$24&lt;&gt;"Yes",NA(),Inputs!$D$24*Inputs!$C$35))</f>
        <v/>
      </c>
      <c r="P978" s="54">
        <f>IF($B978=0,NA(),IF(Inputs!$B$25&lt;&gt;"Yes",NA(),Inputs!$D$25*Inputs!$C$35))</f>
        <v/>
      </c>
      <c r="Q978" s="54">
        <f>IF($B978=0,NA(),IF(Inputs!$B$26&lt;&gt;"Yes",NA(),Inputs!$D$26*Inputs!$C$35))</f>
        <v/>
      </c>
      <c r="R978" s="54">
        <f>IF($B978=0,NA(),IF(Inputs!$B$27&lt;&gt;"Yes",NA(),Inputs!$D$27*Inputs!$C$35))</f>
        <v/>
      </c>
      <c r="S978" s="54">
        <f>IF($B978=0,NA(),IF(Inputs!$B$28&lt;&gt;"Yes",NA(),Inputs!$D$28*Inputs!$C$35))</f>
        <v/>
      </c>
      <c r="T978" s="54">
        <f>IF($B978=0,NA(),IF(Inputs!$B$29&lt;&gt;"Yes",NA(),Inputs!$D$29*Inputs!$C$35))</f>
        <v/>
      </c>
      <c r="AD978">
        <f>IF($B978=0,0,IF(Inputs!$B$6="",0,COUNTIFS(Data!$A$10:$A$3209,"&gt;="&amp;$A978,Data!$A$10:$A$3209,"&lt;"&amp;$A978+1)))</f>
        <v/>
      </c>
      <c r="AE978">
        <f>IF($B978=0,0,IF(Inputs!$B$7="",0,COUNTIFS(Data!$E$10:$E$3209,"&gt;="&amp;$A978,Data!$E$10:$E$3209,"&lt;"&amp;$A978+1)))</f>
        <v/>
      </c>
      <c r="AF978">
        <f>IF($B978=0,0,IF(Inputs!$B$8="",0,COUNTIFS(Data!$I$10:$I$3209,"&gt;="&amp;$A978,Data!$I$10:$I$3209,"&lt;"&amp;$A978+1)))</f>
        <v/>
      </c>
      <c r="AG978">
        <f>IF($B978=0,0,IF(Inputs!$B$9="",0,COUNTIFS(Data!$M$10:$M$3209,"&gt;="&amp;$A978,Data!$M$10:$M$3209,"&lt;"&amp;$A978+1)))</f>
        <v/>
      </c>
      <c r="AH978">
        <f>IF($B978=0,0,IF(Inputs!$B$10="",0,COUNTIFS(Data!$Q$10:$Q$3209,"&gt;="&amp;$A978,Data!$Q$10:$Q$3209,"&lt;"&amp;$A978+1)))</f>
        <v/>
      </c>
    </row>
    <row r="979">
      <c r="A979" s="55">
        <f>MIN(Inputs!$C$15,$A978+IF(WEEKDAY($A978,2)=5,3,1))</f>
        <v/>
      </c>
      <c r="B979">
        <f>IF($A979&gt;$A978,1,0)</f>
        <v/>
      </c>
      <c r="C979" s="56">
        <f>IF($B979=0,"",IF(Inputs!$B$6="","",IF($AD979=0,C978,SUMIFS(Data!$B$10:$B$3209,Data!$A$10:$A$3209,"&gt;="&amp;$A979,Data!$A$10:$A$3209,"&lt;"&amp;$A979+1)/$AD979)))</f>
        <v/>
      </c>
      <c r="D979" s="56">
        <f>IF($B979=0,"",IF(Inputs!$B$7="","",IF($AE979=0,D978,SUMIFS(Data!$F$10:$F$3209,Data!$E$10:$E$3209,"&gt;="&amp;$A979,Data!$E$10:$E$3209,"&lt;"&amp;$A979+1)/$AE979)))</f>
        <v/>
      </c>
      <c r="E979" s="56">
        <f>IF($B979=0,"",IF(Inputs!$B$8="","",IF($AF979=0,E978,SUMIFS(Data!$J$10:$J$3209,Data!$I$10:$I$3209,"&gt;="&amp;$A979,Data!$I$10:$I$3209,"&lt;"&amp;$A979+1)/$AF979)))</f>
        <v/>
      </c>
      <c r="F979" s="56">
        <f>IF($B979=0,"",IF(Inputs!$B$9="","",IF($AG979=0,F978,SUMIFS(Data!$N$10:$N$3209,Data!$M$10:$M$3209,"&gt;="&amp;$A979,Data!$M$10:$M$3209,"&lt;"&amp;$A979+1)/$AG979)))</f>
        <v/>
      </c>
      <c r="G979" s="56">
        <f>IF($B979=0,"",IF(Inputs!$B$10="","",IF($AH979=0,G978,SUMIFS(Data!$R$10:$R$3209,Data!$Q$10:$Q$3209,"&gt;="&amp;$A979,Data!$Q$10:$Q$3209,"&lt;"&amp;$A979+1)/$AH979)))</f>
        <v/>
      </c>
      <c r="I979" s="54">
        <f>IF($B979=0,NA(),IF($C979="",NA(),IF(C$8="",NA(),IF(N(C$8)=0,NA(),IF(Inputs!$C$17="Rebased to 100",$C979/C$8*100,$C979)))))</f>
        <v/>
      </c>
      <c r="J979" s="54">
        <f>IF($B979=0,NA(),IF($D979="",NA(),IF(D$8="",NA(),IF(N(D$8)=0,NA(),IF(Inputs!$C$17="Rebased to 100",$D979/D$8*100,$D979)))))</f>
        <v/>
      </c>
      <c r="K979" s="54">
        <f>IF($B979=0,NA(),IF($E979="",NA(),IF(E$8="",NA(),IF(N(E$8)=0,NA(),IF(Inputs!$C$17="Rebased to 100",$E979/E$8*100,$E979)))))</f>
        <v/>
      </c>
      <c r="L979" s="54">
        <f>IF($B979=0,NA(),IF($F979="",NA(),IF(F$8="",NA(),IF(N(F$8)=0,NA(),IF(Inputs!$C$17="Rebased to 100",$F979/F$8*100,$F979)))))</f>
        <v/>
      </c>
      <c r="M979" s="54">
        <f>IF($B979=0,NA(),IF($G979="",NA(),IF(G$8="",NA(),IF(N(G$8)=0,NA(),IF(Inputs!$C$17="Rebased to 100",$G979/G$8*100,$G979)))))</f>
        <v/>
      </c>
      <c r="N979" s="54">
        <f>IF($B979=0,NA(),IF(Inputs!$C$18&lt;&gt;"Yes",NA(),IF(COUNT(I979,J979,K979,L979,M979)=0,NA(),MIN(I979,J979,K979,L979,M979))))</f>
        <v/>
      </c>
      <c r="O979" s="54">
        <f>IF($B979=0,NA(),IF(Inputs!$B$24&lt;&gt;"Yes",NA(),Inputs!$D$24*Inputs!$C$35))</f>
        <v/>
      </c>
      <c r="P979" s="54">
        <f>IF($B979=0,NA(),IF(Inputs!$B$25&lt;&gt;"Yes",NA(),Inputs!$D$25*Inputs!$C$35))</f>
        <v/>
      </c>
      <c r="Q979" s="54">
        <f>IF($B979=0,NA(),IF(Inputs!$B$26&lt;&gt;"Yes",NA(),Inputs!$D$26*Inputs!$C$35))</f>
        <v/>
      </c>
      <c r="R979" s="54">
        <f>IF($B979=0,NA(),IF(Inputs!$B$27&lt;&gt;"Yes",NA(),Inputs!$D$27*Inputs!$C$35))</f>
        <v/>
      </c>
      <c r="S979" s="54">
        <f>IF($B979=0,NA(),IF(Inputs!$B$28&lt;&gt;"Yes",NA(),Inputs!$D$28*Inputs!$C$35))</f>
        <v/>
      </c>
      <c r="T979" s="54">
        <f>IF($B979=0,NA(),IF(Inputs!$B$29&lt;&gt;"Yes",NA(),Inputs!$D$29*Inputs!$C$35))</f>
        <v/>
      </c>
      <c r="AD979">
        <f>IF($B979=0,0,IF(Inputs!$B$6="",0,COUNTIFS(Data!$A$10:$A$3209,"&gt;="&amp;$A979,Data!$A$10:$A$3209,"&lt;"&amp;$A979+1)))</f>
        <v/>
      </c>
      <c r="AE979">
        <f>IF($B979=0,0,IF(Inputs!$B$7="",0,COUNTIFS(Data!$E$10:$E$3209,"&gt;="&amp;$A979,Data!$E$10:$E$3209,"&lt;"&amp;$A979+1)))</f>
        <v/>
      </c>
      <c r="AF979">
        <f>IF($B979=0,0,IF(Inputs!$B$8="",0,COUNTIFS(Data!$I$10:$I$3209,"&gt;="&amp;$A979,Data!$I$10:$I$3209,"&lt;"&amp;$A979+1)))</f>
        <v/>
      </c>
      <c r="AG979">
        <f>IF($B979=0,0,IF(Inputs!$B$9="",0,COUNTIFS(Data!$M$10:$M$3209,"&gt;="&amp;$A979,Data!$M$10:$M$3209,"&lt;"&amp;$A979+1)))</f>
        <v/>
      </c>
      <c r="AH979">
        <f>IF($B979=0,0,IF(Inputs!$B$10="",0,COUNTIFS(Data!$Q$10:$Q$3209,"&gt;="&amp;$A979,Data!$Q$10:$Q$3209,"&lt;"&amp;$A979+1)))</f>
        <v/>
      </c>
    </row>
    <row r="980">
      <c r="A980" s="55">
        <f>MIN(Inputs!$C$15,$A979+IF(WEEKDAY($A979,2)=5,3,1))</f>
        <v/>
      </c>
      <c r="B980">
        <f>IF($A980&gt;$A979,1,0)</f>
        <v/>
      </c>
      <c r="C980" s="56">
        <f>IF($B980=0,"",IF(Inputs!$B$6="","",IF($AD980=0,C979,SUMIFS(Data!$B$10:$B$3209,Data!$A$10:$A$3209,"&gt;="&amp;$A980,Data!$A$10:$A$3209,"&lt;"&amp;$A980+1)/$AD980)))</f>
        <v/>
      </c>
      <c r="D980" s="56">
        <f>IF($B980=0,"",IF(Inputs!$B$7="","",IF($AE980=0,D979,SUMIFS(Data!$F$10:$F$3209,Data!$E$10:$E$3209,"&gt;="&amp;$A980,Data!$E$10:$E$3209,"&lt;"&amp;$A980+1)/$AE980)))</f>
        <v/>
      </c>
      <c r="E980" s="56">
        <f>IF($B980=0,"",IF(Inputs!$B$8="","",IF($AF980=0,E979,SUMIFS(Data!$J$10:$J$3209,Data!$I$10:$I$3209,"&gt;="&amp;$A980,Data!$I$10:$I$3209,"&lt;"&amp;$A980+1)/$AF980)))</f>
        <v/>
      </c>
      <c r="F980" s="56">
        <f>IF($B980=0,"",IF(Inputs!$B$9="","",IF($AG980=0,F979,SUMIFS(Data!$N$10:$N$3209,Data!$M$10:$M$3209,"&gt;="&amp;$A980,Data!$M$10:$M$3209,"&lt;"&amp;$A980+1)/$AG980)))</f>
        <v/>
      </c>
      <c r="G980" s="56">
        <f>IF($B980=0,"",IF(Inputs!$B$10="","",IF($AH980=0,G979,SUMIFS(Data!$R$10:$R$3209,Data!$Q$10:$Q$3209,"&gt;="&amp;$A980,Data!$Q$10:$Q$3209,"&lt;"&amp;$A980+1)/$AH980)))</f>
        <v/>
      </c>
      <c r="I980" s="54">
        <f>IF($B980=0,NA(),IF($C980="",NA(),IF(C$8="",NA(),IF(N(C$8)=0,NA(),IF(Inputs!$C$17="Rebased to 100",$C980/C$8*100,$C980)))))</f>
        <v/>
      </c>
      <c r="J980" s="54">
        <f>IF($B980=0,NA(),IF($D980="",NA(),IF(D$8="",NA(),IF(N(D$8)=0,NA(),IF(Inputs!$C$17="Rebased to 100",$D980/D$8*100,$D980)))))</f>
        <v/>
      </c>
      <c r="K980" s="54">
        <f>IF($B980=0,NA(),IF($E980="",NA(),IF(E$8="",NA(),IF(N(E$8)=0,NA(),IF(Inputs!$C$17="Rebased to 100",$E980/E$8*100,$E980)))))</f>
        <v/>
      </c>
      <c r="L980" s="54">
        <f>IF($B980=0,NA(),IF($F980="",NA(),IF(F$8="",NA(),IF(N(F$8)=0,NA(),IF(Inputs!$C$17="Rebased to 100",$F980/F$8*100,$F980)))))</f>
        <v/>
      </c>
      <c r="M980" s="54">
        <f>IF($B980=0,NA(),IF($G980="",NA(),IF(G$8="",NA(),IF(N(G$8)=0,NA(),IF(Inputs!$C$17="Rebased to 100",$G980/G$8*100,$G980)))))</f>
        <v/>
      </c>
      <c r="N980" s="54">
        <f>IF($B980=0,NA(),IF(Inputs!$C$18&lt;&gt;"Yes",NA(),IF(COUNT(I980,J980,K980,L980,M980)=0,NA(),MIN(I980,J980,K980,L980,M980))))</f>
        <v/>
      </c>
      <c r="O980" s="54">
        <f>IF($B980=0,NA(),IF(Inputs!$B$24&lt;&gt;"Yes",NA(),Inputs!$D$24*Inputs!$C$35))</f>
        <v/>
      </c>
      <c r="P980" s="54">
        <f>IF($B980=0,NA(),IF(Inputs!$B$25&lt;&gt;"Yes",NA(),Inputs!$D$25*Inputs!$C$35))</f>
        <v/>
      </c>
      <c r="Q980" s="54">
        <f>IF($B980=0,NA(),IF(Inputs!$B$26&lt;&gt;"Yes",NA(),Inputs!$D$26*Inputs!$C$35))</f>
        <v/>
      </c>
      <c r="R980" s="54">
        <f>IF($B980=0,NA(),IF(Inputs!$B$27&lt;&gt;"Yes",NA(),Inputs!$D$27*Inputs!$C$35))</f>
        <v/>
      </c>
      <c r="S980" s="54">
        <f>IF($B980=0,NA(),IF(Inputs!$B$28&lt;&gt;"Yes",NA(),Inputs!$D$28*Inputs!$C$35))</f>
        <v/>
      </c>
      <c r="T980" s="54">
        <f>IF($B980=0,NA(),IF(Inputs!$B$29&lt;&gt;"Yes",NA(),Inputs!$D$29*Inputs!$C$35))</f>
        <v/>
      </c>
      <c r="AD980">
        <f>IF($B980=0,0,IF(Inputs!$B$6="",0,COUNTIFS(Data!$A$10:$A$3209,"&gt;="&amp;$A980,Data!$A$10:$A$3209,"&lt;"&amp;$A980+1)))</f>
        <v/>
      </c>
      <c r="AE980">
        <f>IF($B980=0,0,IF(Inputs!$B$7="",0,COUNTIFS(Data!$E$10:$E$3209,"&gt;="&amp;$A980,Data!$E$10:$E$3209,"&lt;"&amp;$A980+1)))</f>
        <v/>
      </c>
      <c r="AF980">
        <f>IF($B980=0,0,IF(Inputs!$B$8="",0,COUNTIFS(Data!$I$10:$I$3209,"&gt;="&amp;$A980,Data!$I$10:$I$3209,"&lt;"&amp;$A980+1)))</f>
        <v/>
      </c>
      <c r="AG980">
        <f>IF($B980=0,0,IF(Inputs!$B$9="",0,COUNTIFS(Data!$M$10:$M$3209,"&gt;="&amp;$A980,Data!$M$10:$M$3209,"&lt;"&amp;$A980+1)))</f>
        <v/>
      </c>
      <c r="AH980">
        <f>IF($B980=0,0,IF(Inputs!$B$10="",0,COUNTIFS(Data!$Q$10:$Q$3209,"&gt;="&amp;$A980,Data!$Q$10:$Q$3209,"&lt;"&amp;$A980+1)))</f>
        <v/>
      </c>
    </row>
    <row r="981">
      <c r="A981" s="55">
        <f>MIN(Inputs!$C$15,$A980+IF(WEEKDAY($A980,2)=5,3,1))</f>
        <v/>
      </c>
      <c r="B981">
        <f>IF($A981&gt;$A980,1,0)</f>
        <v/>
      </c>
      <c r="C981" s="56">
        <f>IF($B981=0,"",IF(Inputs!$B$6="","",IF($AD981=0,C980,SUMIFS(Data!$B$10:$B$3209,Data!$A$10:$A$3209,"&gt;="&amp;$A981,Data!$A$10:$A$3209,"&lt;"&amp;$A981+1)/$AD981)))</f>
        <v/>
      </c>
      <c r="D981" s="56">
        <f>IF($B981=0,"",IF(Inputs!$B$7="","",IF($AE981=0,D980,SUMIFS(Data!$F$10:$F$3209,Data!$E$10:$E$3209,"&gt;="&amp;$A981,Data!$E$10:$E$3209,"&lt;"&amp;$A981+1)/$AE981)))</f>
        <v/>
      </c>
      <c r="E981" s="56">
        <f>IF($B981=0,"",IF(Inputs!$B$8="","",IF($AF981=0,E980,SUMIFS(Data!$J$10:$J$3209,Data!$I$10:$I$3209,"&gt;="&amp;$A981,Data!$I$10:$I$3209,"&lt;"&amp;$A981+1)/$AF981)))</f>
        <v/>
      </c>
      <c r="F981" s="56">
        <f>IF($B981=0,"",IF(Inputs!$B$9="","",IF($AG981=0,F980,SUMIFS(Data!$N$10:$N$3209,Data!$M$10:$M$3209,"&gt;="&amp;$A981,Data!$M$10:$M$3209,"&lt;"&amp;$A981+1)/$AG981)))</f>
        <v/>
      </c>
      <c r="G981" s="56">
        <f>IF($B981=0,"",IF(Inputs!$B$10="","",IF($AH981=0,G980,SUMIFS(Data!$R$10:$R$3209,Data!$Q$10:$Q$3209,"&gt;="&amp;$A981,Data!$Q$10:$Q$3209,"&lt;"&amp;$A981+1)/$AH981)))</f>
        <v/>
      </c>
      <c r="I981" s="54">
        <f>IF($B981=0,NA(),IF($C981="",NA(),IF(C$8="",NA(),IF(N(C$8)=0,NA(),IF(Inputs!$C$17="Rebased to 100",$C981/C$8*100,$C981)))))</f>
        <v/>
      </c>
      <c r="J981" s="54">
        <f>IF($B981=0,NA(),IF($D981="",NA(),IF(D$8="",NA(),IF(N(D$8)=0,NA(),IF(Inputs!$C$17="Rebased to 100",$D981/D$8*100,$D981)))))</f>
        <v/>
      </c>
      <c r="K981" s="54">
        <f>IF($B981=0,NA(),IF($E981="",NA(),IF(E$8="",NA(),IF(N(E$8)=0,NA(),IF(Inputs!$C$17="Rebased to 100",$E981/E$8*100,$E981)))))</f>
        <v/>
      </c>
      <c r="L981" s="54">
        <f>IF($B981=0,NA(),IF($F981="",NA(),IF(F$8="",NA(),IF(N(F$8)=0,NA(),IF(Inputs!$C$17="Rebased to 100",$F981/F$8*100,$F981)))))</f>
        <v/>
      </c>
      <c r="M981" s="54">
        <f>IF($B981=0,NA(),IF($G981="",NA(),IF(G$8="",NA(),IF(N(G$8)=0,NA(),IF(Inputs!$C$17="Rebased to 100",$G981/G$8*100,$G981)))))</f>
        <v/>
      </c>
      <c r="N981" s="54">
        <f>IF($B981=0,NA(),IF(Inputs!$C$18&lt;&gt;"Yes",NA(),IF(COUNT(I981,J981,K981,L981,M981)=0,NA(),MIN(I981,J981,K981,L981,M981))))</f>
        <v/>
      </c>
      <c r="O981" s="54">
        <f>IF($B981=0,NA(),IF(Inputs!$B$24&lt;&gt;"Yes",NA(),Inputs!$D$24*Inputs!$C$35))</f>
        <v/>
      </c>
      <c r="P981" s="54">
        <f>IF($B981=0,NA(),IF(Inputs!$B$25&lt;&gt;"Yes",NA(),Inputs!$D$25*Inputs!$C$35))</f>
        <v/>
      </c>
      <c r="Q981" s="54">
        <f>IF($B981=0,NA(),IF(Inputs!$B$26&lt;&gt;"Yes",NA(),Inputs!$D$26*Inputs!$C$35))</f>
        <v/>
      </c>
      <c r="R981" s="54">
        <f>IF($B981=0,NA(),IF(Inputs!$B$27&lt;&gt;"Yes",NA(),Inputs!$D$27*Inputs!$C$35))</f>
        <v/>
      </c>
      <c r="S981" s="54">
        <f>IF($B981=0,NA(),IF(Inputs!$B$28&lt;&gt;"Yes",NA(),Inputs!$D$28*Inputs!$C$35))</f>
        <v/>
      </c>
      <c r="T981" s="54">
        <f>IF($B981=0,NA(),IF(Inputs!$B$29&lt;&gt;"Yes",NA(),Inputs!$D$29*Inputs!$C$35))</f>
        <v/>
      </c>
      <c r="AD981">
        <f>IF($B981=0,0,IF(Inputs!$B$6="",0,COUNTIFS(Data!$A$10:$A$3209,"&gt;="&amp;$A981,Data!$A$10:$A$3209,"&lt;"&amp;$A981+1)))</f>
        <v/>
      </c>
      <c r="AE981">
        <f>IF($B981=0,0,IF(Inputs!$B$7="",0,COUNTIFS(Data!$E$10:$E$3209,"&gt;="&amp;$A981,Data!$E$10:$E$3209,"&lt;"&amp;$A981+1)))</f>
        <v/>
      </c>
      <c r="AF981">
        <f>IF($B981=0,0,IF(Inputs!$B$8="",0,COUNTIFS(Data!$I$10:$I$3209,"&gt;="&amp;$A981,Data!$I$10:$I$3209,"&lt;"&amp;$A981+1)))</f>
        <v/>
      </c>
      <c r="AG981">
        <f>IF($B981=0,0,IF(Inputs!$B$9="",0,COUNTIFS(Data!$M$10:$M$3209,"&gt;="&amp;$A981,Data!$M$10:$M$3209,"&lt;"&amp;$A981+1)))</f>
        <v/>
      </c>
      <c r="AH981">
        <f>IF($B981=0,0,IF(Inputs!$B$10="",0,COUNTIFS(Data!$Q$10:$Q$3209,"&gt;="&amp;$A981,Data!$Q$10:$Q$3209,"&lt;"&amp;$A981+1)))</f>
        <v/>
      </c>
    </row>
    <row r="982">
      <c r="A982" s="55">
        <f>MIN(Inputs!$C$15,$A981+IF(WEEKDAY($A981,2)=5,3,1))</f>
        <v/>
      </c>
      <c r="B982">
        <f>IF($A982&gt;$A981,1,0)</f>
        <v/>
      </c>
      <c r="C982" s="56">
        <f>IF($B982=0,"",IF(Inputs!$B$6="","",IF($AD982=0,C981,SUMIFS(Data!$B$10:$B$3209,Data!$A$10:$A$3209,"&gt;="&amp;$A982,Data!$A$10:$A$3209,"&lt;"&amp;$A982+1)/$AD982)))</f>
        <v/>
      </c>
      <c r="D982" s="56">
        <f>IF($B982=0,"",IF(Inputs!$B$7="","",IF($AE982=0,D981,SUMIFS(Data!$F$10:$F$3209,Data!$E$10:$E$3209,"&gt;="&amp;$A982,Data!$E$10:$E$3209,"&lt;"&amp;$A982+1)/$AE982)))</f>
        <v/>
      </c>
      <c r="E982" s="56">
        <f>IF($B982=0,"",IF(Inputs!$B$8="","",IF($AF982=0,E981,SUMIFS(Data!$J$10:$J$3209,Data!$I$10:$I$3209,"&gt;="&amp;$A982,Data!$I$10:$I$3209,"&lt;"&amp;$A982+1)/$AF982)))</f>
        <v/>
      </c>
      <c r="F982" s="56">
        <f>IF($B982=0,"",IF(Inputs!$B$9="","",IF($AG982=0,F981,SUMIFS(Data!$N$10:$N$3209,Data!$M$10:$M$3209,"&gt;="&amp;$A982,Data!$M$10:$M$3209,"&lt;"&amp;$A982+1)/$AG982)))</f>
        <v/>
      </c>
      <c r="G982" s="56">
        <f>IF($B982=0,"",IF(Inputs!$B$10="","",IF($AH982=0,G981,SUMIFS(Data!$R$10:$R$3209,Data!$Q$10:$Q$3209,"&gt;="&amp;$A982,Data!$Q$10:$Q$3209,"&lt;"&amp;$A982+1)/$AH982)))</f>
        <v/>
      </c>
      <c r="I982" s="54">
        <f>IF($B982=0,NA(),IF($C982="",NA(),IF(C$8="",NA(),IF(N(C$8)=0,NA(),IF(Inputs!$C$17="Rebased to 100",$C982/C$8*100,$C982)))))</f>
        <v/>
      </c>
      <c r="J982" s="54">
        <f>IF($B982=0,NA(),IF($D982="",NA(),IF(D$8="",NA(),IF(N(D$8)=0,NA(),IF(Inputs!$C$17="Rebased to 100",$D982/D$8*100,$D982)))))</f>
        <v/>
      </c>
      <c r="K982" s="54">
        <f>IF($B982=0,NA(),IF($E982="",NA(),IF(E$8="",NA(),IF(N(E$8)=0,NA(),IF(Inputs!$C$17="Rebased to 100",$E982/E$8*100,$E982)))))</f>
        <v/>
      </c>
      <c r="L982" s="54">
        <f>IF($B982=0,NA(),IF($F982="",NA(),IF(F$8="",NA(),IF(N(F$8)=0,NA(),IF(Inputs!$C$17="Rebased to 100",$F982/F$8*100,$F982)))))</f>
        <v/>
      </c>
      <c r="M982" s="54">
        <f>IF($B982=0,NA(),IF($G982="",NA(),IF(G$8="",NA(),IF(N(G$8)=0,NA(),IF(Inputs!$C$17="Rebased to 100",$G982/G$8*100,$G982)))))</f>
        <v/>
      </c>
      <c r="N982" s="54">
        <f>IF($B982=0,NA(),IF(Inputs!$C$18&lt;&gt;"Yes",NA(),IF(COUNT(I982,J982,K982,L982,M982)=0,NA(),MIN(I982,J982,K982,L982,M982))))</f>
        <v/>
      </c>
      <c r="O982" s="54">
        <f>IF($B982=0,NA(),IF(Inputs!$B$24&lt;&gt;"Yes",NA(),Inputs!$D$24*Inputs!$C$35))</f>
        <v/>
      </c>
      <c r="P982" s="54">
        <f>IF($B982=0,NA(),IF(Inputs!$B$25&lt;&gt;"Yes",NA(),Inputs!$D$25*Inputs!$C$35))</f>
        <v/>
      </c>
      <c r="Q982" s="54">
        <f>IF($B982=0,NA(),IF(Inputs!$B$26&lt;&gt;"Yes",NA(),Inputs!$D$26*Inputs!$C$35))</f>
        <v/>
      </c>
      <c r="R982" s="54">
        <f>IF($B982=0,NA(),IF(Inputs!$B$27&lt;&gt;"Yes",NA(),Inputs!$D$27*Inputs!$C$35))</f>
        <v/>
      </c>
      <c r="S982" s="54">
        <f>IF($B982=0,NA(),IF(Inputs!$B$28&lt;&gt;"Yes",NA(),Inputs!$D$28*Inputs!$C$35))</f>
        <v/>
      </c>
      <c r="T982" s="54">
        <f>IF($B982=0,NA(),IF(Inputs!$B$29&lt;&gt;"Yes",NA(),Inputs!$D$29*Inputs!$C$35))</f>
        <v/>
      </c>
      <c r="AD982">
        <f>IF($B982=0,0,IF(Inputs!$B$6="",0,COUNTIFS(Data!$A$10:$A$3209,"&gt;="&amp;$A982,Data!$A$10:$A$3209,"&lt;"&amp;$A982+1)))</f>
        <v/>
      </c>
      <c r="AE982">
        <f>IF($B982=0,0,IF(Inputs!$B$7="",0,COUNTIFS(Data!$E$10:$E$3209,"&gt;="&amp;$A982,Data!$E$10:$E$3209,"&lt;"&amp;$A982+1)))</f>
        <v/>
      </c>
      <c r="AF982">
        <f>IF($B982=0,0,IF(Inputs!$B$8="",0,COUNTIFS(Data!$I$10:$I$3209,"&gt;="&amp;$A982,Data!$I$10:$I$3209,"&lt;"&amp;$A982+1)))</f>
        <v/>
      </c>
      <c r="AG982">
        <f>IF($B982=0,0,IF(Inputs!$B$9="",0,COUNTIFS(Data!$M$10:$M$3209,"&gt;="&amp;$A982,Data!$M$10:$M$3209,"&lt;"&amp;$A982+1)))</f>
        <v/>
      </c>
      <c r="AH982">
        <f>IF($B982=0,0,IF(Inputs!$B$10="",0,COUNTIFS(Data!$Q$10:$Q$3209,"&gt;="&amp;$A982,Data!$Q$10:$Q$3209,"&lt;"&amp;$A982+1)))</f>
        <v/>
      </c>
    </row>
    <row r="983">
      <c r="A983" s="55">
        <f>MIN(Inputs!$C$15,$A982+IF(WEEKDAY($A982,2)=5,3,1))</f>
        <v/>
      </c>
      <c r="B983">
        <f>IF($A983&gt;$A982,1,0)</f>
        <v/>
      </c>
      <c r="C983" s="56">
        <f>IF($B983=0,"",IF(Inputs!$B$6="","",IF($AD983=0,C982,SUMIFS(Data!$B$10:$B$3209,Data!$A$10:$A$3209,"&gt;="&amp;$A983,Data!$A$10:$A$3209,"&lt;"&amp;$A983+1)/$AD983)))</f>
        <v/>
      </c>
      <c r="D983" s="56">
        <f>IF($B983=0,"",IF(Inputs!$B$7="","",IF($AE983=0,D982,SUMIFS(Data!$F$10:$F$3209,Data!$E$10:$E$3209,"&gt;="&amp;$A983,Data!$E$10:$E$3209,"&lt;"&amp;$A983+1)/$AE983)))</f>
        <v/>
      </c>
      <c r="E983" s="56">
        <f>IF($B983=0,"",IF(Inputs!$B$8="","",IF($AF983=0,E982,SUMIFS(Data!$J$10:$J$3209,Data!$I$10:$I$3209,"&gt;="&amp;$A983,Data!$I$10:$I$3209,"&lt;"&amp;$A983+1)/$AF983)))</f>
        <v/>
      </c>
      <c r="F983" s="56">
        <f>IF($B983=0,"",IF(Inputs!$B$9="","",IF($AG983=0,F982,SUMIFS(Data!$N$10:$N$3209,Data!$M$10:$M$3209,"&gt;="&amp;$A983,Data!$M$10:$M$3209,"&lt;"&amp;$A983+1)/$AG983)))</f>
        <v/>
      </c>
      <c r="G983" s="56">
        <f>IF($B983=0,"",IF(Inputs!$B$10="","",IF($AH983=0,G982,SUMIFS(Data!$R$10:$R$3209,Data!$Q$10:$Q$3209,"&gt;="&amp;$A983,Data!$Q$10:$Q$3209,"&lt;"&amp;$A983+1)/$AH983)))</f>
        <v/>
      </c>
      <c r="I983" s="54">
        <f>IF($B983=0,NA(),IF($C983="",NA(),IF(C$8="",NA(),IF(N(C$8)=0,NA(),IF(Inputs!$C$17="Rebased to 100",$C983/C$8*100,$C983)))))</f>
        <v/>
      </c>
      <c r="J983" s="54">
        <f>IF($B983=0,NA(),IF($D983="",NA(),IF(D$8="",NA(),IF(N(D$8)=0,NA(),IF(Inputs!$C$17="Rebased to 100",$D983/D$8*100,$D983)))))</f>
        <v/>
      </c>
      <c r="K983" s="54">
        <f>IF($B983=0,NA(),IF($E983="",NA(),IF(E$8="",NA(),IF(N(E$8)=0,NA(),IF(Inputs!$C$17="Rebased to 100",$E983/E$8*100,$E983)))))</f>
        <v/>
      </c>
      <c r="L983" s="54">
        <f>IF($B983=0,NA(),IF($F983="",NA(),IF(F$8="",NA(),IF(N(F$8)=0,NA(),IF(Inputs!$C$17="Rebased to 100",$F983/F$8*100,$F983)))))</f>
        <v/>
      </c>
      <c r="M983" s="54">
        <f>IF($B983=0,NA(),IF($G983="",NA(),IF(G$8="",NA(),IF(N(G$8)=0,NA(),IF(Inputs!$C$17="Rebased to 100",$G983/G$8*100,$G983)))))</f>
        <v/>
      </c>
      <c r="N983" s="54">
        <f>IF($B983=0,NA(),IF(Inputs!$C$18&lt;&gt;"Yes",NA(),IF(COUNT(I983,J983,K983,L983,M983)=0,NA(),MIN(I983,J983,K983,L983,M983))))</f>
        <v/>
      </c>
      <c r="O983" s="54">
        <f>IF($B983=0,NA(),IF(Inputs!$B$24&lt;&gt;"Yes",NA(),Inputs!$D$24*Inputs!$C$35))</f>
        <v/>
      </c>
      <c r="P983" s="54">
        <f>IF($B983=0,NA(),IF(Inputs!$B$25&lt;&gt;"Yes",NA(),Inputs!$D$25*Inputs!$C$35))</f>
        <v/>
      </c>
      <c r="Q983" s="54">
        <f>IF($B983=0,NA(),IF(Inputs!$B$26&lt;&gt;"Yes",NA(),Inputs!$D$26*Inputs!$C$35))</f>
        <v/>
      </c>
      <c r="R983" s="54">
        <f>IF($B983=0,NA(),IF(Inputs!$B$27&lt;&gt;"Yes",NA(),Inputs!$D$27*Inputs!$C$35))</f>
        <v/>
      </c>
      <c r="S983" s="54">
        <f>IF($B983=0,NA(),IF(Inputs!$B$28&lt;&gt;"Yes",NA(),Inputs!$D$28*Inputs!$C$35))</f>
        <v/>
      </c>
      <c r="T983" s="54">
        <f>IF($B983=0,NA(),IF(Inputs!$B$29&lt;&gt;"Yes",NA(),Inputs!$D$29*Inputs!$C$35))</f>
        <v/>
      </c>
      <c r="AD983">
        <f>IF($B983=0,0,IF(Inputs!$B$6="",0,COUNTIFS(Data!$A$10:$A$3209,"&gt;="&amp;$A983,Data!$A$10:$A$3209,"&lt;"&amp;$A983+1)))</f>
        <v/>
      </c>
      <c r="AE983">
        <f>IF($B983=0,0,IF(Inputs!$B$7="",0,COUNTIFS(Data!$E$10:$E$3209,"&gt;="&amp;$A983,Data!$E$10:$E$3209,"&lt;"&amp;$A983+1)))</f>
        <v/>
      </c>
      <c r="AF983">
        <f>IF($B983=0,0,IF(Inputs!$B$8="",0,COUNTIFS(Data!$I$10:$I$3209,"&gt;="&amp;$A983,Data!$I$10:$I$3209,"&lt;"&amp;$A983+1)))</f>
        <v/>
      </c>
      <c r="AG983">
        <f>IF($B983=0,0,IF(Inputs!$B$9="",0,COUNTIFS(Data!$M$10:$M$3209,"&gt;="&amp;$A983,Data!$M$10:$M$3209,"&lt;"&amp;$A983+1)))</f>
        <v/>
      </c>
      <c r="AH983">
        <f>IF($B983=0,0,IF(Inputs!$B$10="",0,COUNTIFS(Data!$Q$10:$Q$3209,"&gt;="&amp;$A983,Data!$Q$10:$Q$3209,"&lt;"&amp;$A983+1)))</f>
        <v/>
      </c>
    </row>
    <row r="984">
      <c r="A984" s="55">
        <f>MIN(Inputs!$C$15,$A983+IF(WEEKDAY($A983,2)=5,3,1))</f>
        <v/>
      </c>
      <c r="B984">
        <f>IF($A984&gt;$A983,1,0)</f>
        <v/>
      </c>
      <c r="C984" s="56">
        <f>IF($B984=0,"",IF(Inputs!$B$6="","",IF($AD984=0,C983,SUMIFS(Data!$B$10:$B$3209,Data!$A$10:$A$3209,"&gt;="&amp;$A984,Data!$A$10:$A$3209,"&lt;"&amp;$A984+1)/$AD984)))</f>
        <v/>
      </c>
      <c r="D984" s="56">
        <f>IF($B984=0,"",IF(Inputs!$B$7="","",IF($AE984=0,D983,SUMIFS(Data!$F$10:$F$3209,Data!$E$10:$E$3209,"&gt;="&amp;$A984,Data!$E$10:$E$3209,"&lt;"&amp;$A984+1)/$AE984)))</f>
        <v/>
      </c>
      <c r="E984" s="56">
        <f>IF($B984=0,"",IF(Inputs!$B$8="","",IF($AF984=0,E983,SUMIFS(Data!$J$10:$J$3209,Data!$I$10:$I$3209,"&gt;="&amp;$A984,Data!$I$10:$I$3209,"&lt;"&amp;$A984+1)/$AF984)))</f>
        <v/>
      </c>
      <c r="F984" s="56">
        <f>IF($B984=0,"",IF(Inputs!$B$9="","",IF($AG984=0,F983,SUMIFS(Data!$N$10:$N$3209,Data!$M$10:$M$3209,"&gt;="&amp;$A984,Data!$M$10:$M$3209,"&lt;"&amp;$A984+1)/$AG984)))</f>
        <v/>
      </c>
      <c r="G984" s="56">
        <f>IF($B984=0,"",IF(Inputs!$B$10="","",IF($AH984=0,G983,SUMIFS(Data!$R$10:$R$3209,Data!$Q$10:$Q$3209,"&gt;="&amp;$A984,Data!$Q$10:$Q$3209,"&lt;"&amp;$A984+1)/$AH984)))</f>
        <v/>
      </c>
      <c r="I984" s="54">
        <f>IF($B984=0,NA(),IF($C984="",NA(),IF(C$8="",NA(),IF(N(C$8)=0,NA(),IF(Inputs!$C$17="Rebased to 100",$C984/C$8*100,$C984)))))</f>
        <v/>
      </c>
      <c r="J984" s="54">
        <f>IF($B984=0,NA(),IF($D984="",NA(),IF(D$8="",NA(),IF(N(D$8)=0,NA(),IF(Inputs!$C$17="Rebased to 100",$D984/D$8*100,$D984)))))</f>
        <v/>
      </c>
      <c r="K984" s="54">
        <f>IF($B984=0,NA(),IF($E984="",NA(),IF(E$8="",NA(),IF(N(E$8)=0,NA(),IF(Inputs!$C$17="Rebased to 100",$E984/E$8*100,$E984)))))</f>
        <v/>
      </c>
      <c r="L984" s="54">
        <f>IF($B984=0,NA(),IF($F984="",NA(),IF(F$8="",NA(),IF(N(F$8)=0,NA(),IF(Inputs!$C$17="Rebased to 100",$F984/F$8*100,$F984)))))</f>
        <v/>
      </c>
      <c r="M984" s="54">
        <f>IF($B984=0,NA(),IF($G984="",NA(),IF(G$8="",NA(),IF(N(G$8)=0,NA(),IF(Inputs!$C$17="Rebased to 100",$G984/G$8*100,$G984)))))</f>
        <v/>
      </c>
      <c r="N984" s="54">
        <f>IF($B984=0,NA(),IF(Inputs!$C$18&lt;&gt;"Yes",NA(),IF(COUNT(I984,J984,K984,L984,M984)=0,NA(),MIN(I984,J984,K984,L984,M984))))</f>
        <v/>
      </c>
      <c r="O984" s="54">
        <f>IF($B984=0,NA(),IF(Inputs!$B$24&lt;&gt;"Yes",NA(),Inputs!$D$24*Inputs!$C$35))</f>
        <v/>
      </c>
      <c r="P984" s="54">
        <f>IF($B984=0,NA(),IF(Inputs!$B$25&lt;&gt;"Yes",NA(),Inputs!$D$25*Inputs!$C$35))</f>
        <v/>
      </c>
      <c r="Q984" s="54">
        <f>IF($B984=0,NA(),IF(Inputs!$B$26&lt;&gt;"Yes",NA(),Inputs!$D$26*Inputs!$C$35))</f>
        <v/>
      </c>
      <c r="R984" s="54">
        <f>IF($B984=0,NA(),IF(Inputs!$B$27&lt;&gt;"Yes",NA(),Inputs!$D$27*Inputs!$C$35))</f>
        <v/>
      </c>
      <c r="S984" s="54">
        <f>IF($B984=0,NA(),IF(Inputs!$B$28&lt;&gt;"Yes",NA(),Inputs!$D$28*Inputs!$C$35))</f>
        <v/>
      </c>
      <c r="T984" s="54">
        <f>IF($B984=0,NA(),IF(Inputs!$B$29&lt;&gt;"Yes",NA(),Inputs!$D$29*Inputs!$C$35))</f>
        <v/>
      </c>
      <c r="AD984">
        <f>IF($B984=0,0,IF(Inputs!$B$6="",0,COUNTIFS(Data!$A$10:$A$3209,"&gt;="&amp;$A984,Data!$A$10:$A$3209,"&lt;"&amp;$A984+1)))</f>
        <v/>
      </c>
      <c r="AE984">
        <f>IF($B984=0,0,IF(Inputs!$B$7="",0,COUNTIFS(Data!$E$10:$E$3209,"&gt;="&amp;$A984,Data!$E$10:$E$3209,"&lt;"&amp;$A984+1)))</f>
        <v/>
      </c>
      <c r="AF984">
        <f>IF($B984=0,0,IF(Inputs!$B$8="",0,COUNTIFS(Data!$I$10:$I$3209,"&gt;="&amp;$A984,Data!$I$10:$I$3209,"&lt;"&amp;$A984+1)))</f>
        <v/>
      </c>
      <c r="AG984">
        <f>IF($B984=0,0,IF(Inputs!$B$9="",0,COUNTIFS(Data!$M$10:$M$3209,"&gt;="&amp;$A984,Data!$M$10:$M$3209,"&lt;"&amp;$A984+1)))</f>
        <v/>
      </c>
      <c r="AH984">
        <f>IF($B984=0,0,IF(Inputs!$B$10="",0,COUNTIFS(Data!$Q$10:$Q$3209,"&gt;="&amp;$A984,Data!$Q$10:$Q$3209,"&lt;"&amp;$A984+1)))</f>
        <v/>
      </c>
    </row>
    <row r="985">
      <c r="A985" s="55">
        <f>MIN(Inputs!$C$15,$A984+IF(WEEKDAY($A984,2)=5,3,1))</f>
        <v/>
      </c>
      <c r="B985">
        <f>IF($A985&gt;$A984,1,0)</f>
        <v/>
      </c>
      <c r="C985" s="56">
        <f>IF($B985=0,"",IF(Inputs!$B$6="","",IF($AD985=0,C984,SUMIFS(Data!$B$10:$B$3209,Data!$A$10:$A$3209,"&gt;="&amp;$A985,Data!$A$10:$A$3209,"&lt;"&amp;$A985+1)/$AD985)))</f>
        <v/>
      </c>
      <c r="D985" s="56">
        <f>IF($B985=0,"",IF(Inputs!$B$7="","",IF($AE985=0,D984,SUMIFS(Data!$F$10:$F$3209,Data!$E$10:$E$3209,"&gt;="&amp;$A985,Data!$E$10:$E$3209,"&lt;"&amp;$A985+1)/$AE985)))</f>
        <v/>
      </c>
      <c r="E985" s="56">
        <f>IF($B985=0,"",IF(Inputs!$B$8="","",IF($AF985=0,E984,SUMIFS(Data!$J$10:$J$3209,Data!$I$10:$I$3209,"&gt;="&amp;$A985,Data!$I$10:$I$3209,"&lt;"&amp;$A985+1)/$AF985)))</f>
        <v/>
      </c>
      <c r="F985" s="56">
        <f>IF($B985=0,"",IF(Inputs!$B$9="","",IF($AG985=0,F984,SUMIFS(Data!$N$10:$N$3209,Data!$M$10:$M$3209,"&gt;="&amp;$A985,Data!$M$10:$M$3209,"&lt;"&amp;$A985+1)/$AG985)))</f>
        <v/>
      </c>
      <c r="G985" s="56">
        <f>IF($B985=0,"",IF(Inputs!$B$10="","",IF($AH985=0,G984,SUMIFS(Data!$R$10:$R$3209,Data!$Q$10:$Q$3209,"&gt;="&amp;$A985,Data!$Q$10:$Q$3209,"&lt;"&amp;$A985+1)/$AH985)))</f>
        <v/>
      </c>
      <c r="I985" s="54">
        <f>IF($B985=0,NA(),IF($C985="",NA(),IF(C$8="",NA(),IF(N(C$8)=0,NA(),IF(Inputs!$C$17="Rebased to 100",$C985/C$8*100,$C985)))))</f>
        <v/>
      </c>
      <c r="J985" s="54">
        <f>IF($B985=0,NA(),IF($D985="",NA(),IF(D$8="",NA(),IF(N(D$8)=0,NA(),IF(Inputs!$C$17="Rebased to 100",$D985/D$8*100,$D985)))))</f>
        <v/>
      </c>
      <c r="K985" s="54">
        <f>IF($B985=0,NA(),IF($E985="",NA(),IF(E$8="",NA(),IF(N(E$8)=0,NA(),IF(Inputs!$C$17="Rebased to 100",$E985/E$8*100,$E985)))))</f>
        <v/>
      </c>
      <c r="L985" s="54">
        <f>IF($B985=0,NA(),IF($F985="",NA(),IF(F$8="",NA(),IF(N(F$8)=0,NA(),IF(Inputs!$C$17="Rebased to 100",$F985/F$8*100,$F985)))))</f>
        <v/>
      </c>
      <c r="M985" s="54">
        <f>IF($B985=0,NA(),IF($G985="",NA(),IF(G$8="",NA(),IF(N(G$8)=0,NA(),IF(Inputs!$C$17="Rebased to 100",$G985/G$8*100,$G985)))))</f>
        <v/>
      </c>
      <c r="N985" s="54">
        <f>IF($B985=0,NA(),IF(Inputs!$C$18&lt;&gt;"Yes",NA(),IF(COUNT(I985,J985,K985,L985,M985)=0,NA(),MIN(I985,J985,K985,L985,M985))))</f>
        <v/>
      </c>
      <c r="O985" s="54">
        <f>IF($B985=0,NA(),IF(Inputs!$B$24&lt;&gt;"Yes",NA(),Inputs!$D$24*Inputs!$C$35))</f>
        <v/>
      </c>
      <c r="P985" s="54">
        <f>IF($B985=0,NA(),IF(Inputs!$B$25&lt;&gt;"Yes",NA(),Inputs!$D$25*Inputs!$C$35))</f>
        <v/>
      </c>
      <c r="Q985" s="54">
        <f>IF($B985=0,NA(),IF(Inputs!$B$26&lt;&gt;"Yes",NA(),Inputs!$D$26*Inputs!$C$35))</f>
        <v/>
      </c>
      <c r="R985" s="54">
        <f>IF($B985=0,NA(),IF(Inputs!$B$27&lt;&gt;"Yes",NA(),Inputs!$D$27*Inputs!$C$35))</f>
        <v/>
      </c>
      <c r="S985" s="54">
        <f>IF($B985=0,NA(),IF(Inputs!$B$28&lt;&gt;"Yes",NA(),Inputs!$D$28*Inputs!$C$35))</f>
        <v/>
      </c>
      <c r="T985" s="54">
        <f>IF($B985=0,NA(),IF(Inputs!$B$29&lt;&gt;"Yes",NA(),Inputs!$D$29*Inputs!$C$35))</f>
        <v/>
      </c>
      <c r="AD985">
        <f>IF($B985=0,0,IF(Inputs!$B$6="",0,COUNTIFS(Data!$A$10:$A$3209,"&gt;="&amp;$A985,Data!$A$10:$A$3209,"&lt;"&amp;$A985+1)))</f>
        <v/>
      </c>
      <c r="AE985">
        <f>IF($B985=0,0,IF(Inputs!$B$7="",0,COUNTIFS(Data!$E$10:$E$3209,"&gt;="&amp;$A985,Data!$E$10:$E$3209,"&lt;"&amp;$A985+1)))</f>
        <v/>
      </c>
      <c r="AF985">
        <f>IF($B985=0,0,IF(Inputs!$B$8="",0,COUNTIFS(Data!$I$10:$I$3209,"&gt;="&amp;$A985,Data!$I$10:$I$3209,"&lt;"&amp;$A985+1)))</f>
        <v/>
      </c>
      <c r="AG985">
        <f>IF($B985=0,0,IF(Inputs!$B$9="",0,COUNTIFS(Data!$M$10:$M$3209,"&gt;="&amp;$A985,Data!$M$10:$M$3209,"&lt;"&amp;$A985+1)))</f>
        <v/>
      </c>
      <c r="AH985">
        <f>IF($B985=0,0,IF(Inputs!$B$10="",0,COUNTIFS(Data!$Q$10:$Q$3209,"&gt;="&amp;$A985,Data!$Q$10:$Q$3209,"&lt;"&amp;$A985+1)))</f>
        <v/>
      </c>
    </row>
    <row r="986">
      <c r="A986" s="55">
        <f>MIN(Inputs!$C$15,$A985+IF(WEEKDAY($A985,2)=5,3,1))</f>
        <v/>
      </c>
      <c r="B986">
        <f>IF($A986&gt;$A985,1,0)</f>
        <v/>
      </c>
      <c r="C986" s="56">
        <f>IF($B986=0,"",IF(Inputs!$B$6="","",IF($AD986=0,C985,SUMIFS(Data!$B$10:$B$3209,Data!$A$10:$A$3209,"&gt;="&amp;$A986,Data!$A$10:$A$3209,"&lt;"&amp;$A986+1)/$AD986)))</f>
        <v/>
      </c>
      <c r="D986" s="56">
        <f>IF($B986=0,"",IF(Inputs!$B$7="","",IF($AE986=0,D985,SUMIFS(Data!$F$10:$F$3209,Data!$E$10:$E$3209,"&gt;="&amp;$A986,Data!$E$10:$E$3209,"&lt;"&amp;$A986+1)/$AE986)))</f>
        <v/>
      </c>
      <c r="E986" s="56">
        <f>IF($B986=0,"",IF(Inputs!$B$8="","",IF($AF986=0,E985,SUMIFS(Data!$J$10:$J$3209,Data!$I$10:$I$3209,"&gt;="&amp;$A986,Data!$I$10:$I$3209,"&lt;"&amp;$A986+1)/$AF986)))</f>
        <v/>
      </c>
      <c r="F986" s="56">
        <f>IF($B986=0,"",IF(Inputs!$B$9="","",IF($AG986=0,F985,SUMIFS(Data!$N$10:$N$3209,Data!$M$10:$M$3209,"&gt;="&amp;$A986,Data!$M$10:$M$3209,"&lt;"&amp;$A986+1)/$AG986)))</f>
        <v/>
      </c>
      <c r="G986" s="56">
        <f>IF($B986=0,"",IF(Inputs!$B$10="","",IF($AH986=0,G985,SUMIFS(Data!$R$10:$R$3209,Data!$Q$10:$Q$3209,"&gt;="&amp;$A986,Data!$Q$10:$Q$3209,"&lt;"&amp;$A986+1)/$AH986)))</f>
        <v/>
      </c>
      <c r="I986" s="54">
        <f>IF($B986=0,NA(),IF($C986="",NA(),IF(C$8="",NA(),IF(N(C$8)=0,NA(),IF(Inputs!$C$17="Rebased to 100",$C986/C$8*100,$C986)))))</f>
        <v/>
      </c>
      <c r="J986" s="54">
        <f>IF($B986=0,NA(),IF($D986="",NA(),IF(D$8="",NA(),IF(N(D$8)=0,NA(),IF(Inputs!$C$17="Rebased to 100",$D986/D$8*100,$D986)))))</f>
        <v/>
      </c>
      <c r="K986" s="54">
        <f>IF($B986=0,NA(),IF($E986="",NA(),IF(E$8="",NA(),IF(N(E$8)=0,NA(),IF(Inputs!$C$17="Rebased to 100",$E986/E$8*100,$E986)))))</f>
        <v/>
      </c>
      <c r="L986" s="54">
        <f>IF($B986=0,NA(),IF($F986="",NA(),IF(F$8="",NA(),IF(N(F$8)=0,NA(),IF(Inputs!$C$17="Rebased to 100",$F986/F$8*100,$F986)))))</f>
        <v/>
      </c>
      <c r="M986" s="54">
        <f>IF($B986=0,NA(),IF($G986="",NA(),IF(G$8="",NA(),IF(N(G$8)=0,NA(),IF(Inputs!$C$17="Rebased to 100",$G986/G$8*100,$G986)))))</f>
        <v/>
      </c>
      <c r="N986" s="54">
        <f>IF($B986=0,NA(),IF(Inputs!$C$18&lt;&gt;"Yes",NA(),IF(COUNT(I986,J986,K986,L986,M986)=0,NA(),MIN(I986,J986,K986,L986,M986))))</f>
        <v/>
      </c>
      <c r="O986" s="54">
        <f>IF($B986=0,NA(),IF(Inputs!$B$24&lt;&gt;"Yes",NA(),Inputs!$D$24*Inputs!$C$35))</f>
        <v/>
      </c>
      <c r="P986" s="54">
        <f>IF($B986=0,NA(),IF(Inputs!$B$25&lt;&gt;"Yes",NA(),Inputs!$D$25*Inputs!$C$35))</f>
        <v/>
      </c>
      <c r="Q986" s="54">
        <f>IF($B986=0,NA(),IF(Inputs!$B$26&lt;&gt;"Yes",NA(),Inputs!$D$26*Inputs!$C$35))</f>
        <v/>
      </c>
      <c r="R986" s="54">
        <f>IF($B986=0,NA(),IF(Inputs!$B$27&lt;&gt;"Yes",NA(),Inputs!$D$27*Inputs!$C$35))</f>
        <v/>
      </c>
      <c r="S986" s="54">
        <f>IF($B986=0,NA(),IF(Inputs!$B$28&lt;&gt;"Yes",NA(),Inputs!$D$28*Inputs!$C$35))</f>
        <v/>
      </c>
      <c r="T986" s="54">
        <f>IF($B986=0,NA(),IF(Inputs!$B$29&lt;&gt;"Yes",NA(),Inputs!$D$29*Inputs!$C$35))</f>
        <v/>
      </c>
      <c r="AD986">
        <f>IF($B986=0,0,IF(Inputs!$B$6="",0,COUNTIFS(Data!$A$10:$A$3209,"&gt;="&amp;$A986,Data!$A$10:$A$3209,"&lt;"&amp;$A986+1)))</f>
        <v/>
      </c>
      <c r="AE986">
        <f>IF($B986=0,0,IF(Inputs!$B$7="",0,COUNTIFS(Data!$E$10:$E$3209,"&gt;="&amp;$A986,Data!$E$10:$E$3209,"&lt;"&amp;$A986+1)))</f>
        <v/>
      </c>
      <c r="AF986">
        <f>IF($B986=0,0,IF(Inputs!$B$8="",0,COUNTIFS(Data!$I$10:$I$3209,"&gt;="&amp;$A986,Data!$I$10:$I$3209,"&lt;"&amp;$A986+1)))</f>
        <v/>
      </c>
      <c r="AG986">
        <f>IF($B986=0,0,IF(Inputs!$B$9="",0,COUNTIFS(Data!$M$10:$M$3209,"&gt;="&amp;$A986,Data!$M$10:$M$3209,"&lt;"&amp;$A986+1)))</f>
        <v/>
      </c>
      <c r="AH986">
        <f>IF($B986=0,0,IF(Inputs!$B$10="",0,COUNTIFS(Data!$Q$10:$Q$3209,"&gt;="&amp;$A986,Data!$Q$10:$Q$3209,"&lt;"&amp;$A986+1)))</f>
        <v/>
      </c>
    </row>
    <row r="987">
      <c r="A987" s="55">
        <f>MIN(Inputs!$C$15,$A986+IF(WEEKDAY($A986,2)=5,3,1))</f>
        <v/>
      </c>
      <c r="B987">
        <f>IF($A987&gt;$A986,1,0)</f>
        <v/>
      </c>
      <c r="C987" s="56">
        <f>IF($B987=0,"",IF(Inputs!$B$6="","",IF($AD987=0,C986,SUMIFS(Data!$B$10:$B$3209,Data!$A$10:$A$3209,"&gt;="&amp;$A987,Data!$A$10:$A$3209,"&lt;"&amp;$A987+1)/$AD987)))</f>
        <v/>
      </c>
      <c r="D987" s="56">
        <f>IF($B987=0,"",IF(Inputs!$B$7="","",IF($AE987=0,D986,SUMIFS(Data!$F$10:$F$3209,Data!$E$10:$E$3209,"&gt;="&amp;$A987,Data!$E$10:$E$3209,"&lt;"&amp;$A987+1)/$AE987)))</f>
        <v/>
      </c>
      <c r="E987" s="56">
        <f>IF($B987=0,"",IF(Inputs!$B$8="","",IF($AF987=0,E986,SUMIFS(Data!$J$10:$J$3209,Data!$I$10:$I$3209,"&gt;="&amp;$A987,Data!$I$10:$I$3209,"&lt;"&amp;$A987+1)/$AF987)))</f>
        <v/>
      </c>
      <c r="F987" s="56">
        <f>IF($B987=0,"",IF(Inputs!$B$9="","",IF($AG987=0,F986,SUMIFS(Data!$N$10:$N$3209,Data!$M$10:$M$3209,"&gt;="&amp;$A987,Data!$M$10:$M$3209,"&lt;"&amp;$A987+1)/$AG987)))</f>
        <v/>
      </c>
      <c r="G987" s="56">
        <f>IF($B987=0,"",IF(Inputs!$B$10="","",IF($AH987=0,G986,SUMIFS(Data!$R$10:$R$3209,Data!$Q$10:$Q$3209,"&gt;="&amp;$A987,Data!$Q$10:$Q$3209,"&lt;"&amp;$A987+1)/$AH987)))</f>
        <v/>
      </c>
      <c r="I987" s="54">
        <f>IF($B987=0,NA(),IF($C987="",NA(),IF(C$8="",NA(),IF(N(C$8)=0,NA(),IF(Inputs!$C$17="Rebased to 100",$C987/C$8*100,$C987)))))</f>
        <v/>
      </c>
      <c r="J987" s="54">
        <f>IF($B987=0,NA(),IF($D987="",NA(),IF(D$8="",NA(),IF(N(D$8)=0,NA(),IF(Inputs!$C$17="Rebased to 100",$D987/D$8*100,$D987)))))</f>
        <v/>
      </c>
      <c r="K987" s="54">
        <f>IF($B987=0,NA(),IF($E987="",NA(),IF(E$8="",NA(),IF(N(E$8)=0,NA(),IF(Inputs!$C$17="Rebased to 100",$E987/E$8*100,$E987)))))</f>
        <v/>
      </c>
      <c r="L987" s="54">
        <f>IF($B987=0,NA(),IF($F987="",NA(),IF(F$8="",NA(),IF(N(F$8)=0,NA(),IF(Inputs!$C$17="Rebased to 100",$F987/F$8*100,$F987)))))</f>
        <v/>
      </c>
      <c r="M987" s="54">
        <f>IF($B987=0,NA(),IF($G987="",NA(),IF(G$8="",NA(),IF(N(G$8)=0,NA(),IF(Inputs!$C$17="Rebased to 100",$G987/G$8*100,$G987)))))</f>
        <v/>
      </c>
      <c r="N987" s="54">
        <f>IF($B987=0,NA(),IF(Inputs!$C$18&lt;&gt;"Yes",NA(),IF(COUNT(I987,J987,K987,L987,M987)=0,NA(),MIN(I987,J987,K987,L987,M987))))</f>
        <v/>
      </c>
      <c r="O987" s="54">
        <f>IF($B987=0,NA(),IF(Inputs!$B$24&lt;&gt;"Yes",NA(),Inputs!$D$24*Inputs!$C$35))</f>
        <v/>
      </c>
      <c r="P987" s="54">
        <f>IF($B987=0,NA(),IF(Inputs!$B$25&lt;&gt;"Yes",NA(),Inputs!$D$25*Inputs!$C$35))</f>
        <v/>
      </c>
      <c r="Q987" s="54">
        <f>IF($B987=0,NA(),IF(Inputs!$B$26&lt;&gt;"Yes",NA(),Inputs!$D$26*Inputs!$C$35))</f>
        <v/>
      </c>
      <c r="R987" s="54">
        <f>IF($B987=0,NA(),IF(Inputs!$B$27&lt;&gt;"Yes",NA(),Inputs!$D$27*Inputs!$C$35))</f>
        <v/>
      </c>
      <c r="S987" s="54">
        <f>IF($B987=0,NA(),IF(Inputs!$B$28&lt;&gt;"Yes",NA(),Inputs!$D$28*Inputs!$C$35))</f>
        <v/>
      </c>
      <c r="T987" s="54">
        <f>IF($B987=0,NA(),IF(Inputs!$B$29&lt;&gt;"Yes",NA(),Inputs!$D$29*Inputs!$C$35))</f>
        <v/>
      </c>
      <c r="AD987">
        <f>IF($B987=0,0,IF(Inputs!$B$6="",0,COUNTIFS(Data!$A$10:$A$3209,"&gt;="&amp;$A987,Data!$A$10:$A$3209,"&lt;"&amp;$A987+1)))</f>
        <v/>
      </c>
      <c r="AE987">
        <f>IF($B987=0,0,IF(Inputs!$B$7="",0,COUNTIFS(Data!$E$10:$E$3209,"&gt;="&amp;$A987,Data!$E$10:$E$3209,"&lt;"&amp;$A987+1)))</f>
        <v/>
      </c>
      <c r="AF987">
        <f>IF($B987=0,0,IF(Inputs!$B$8="",0,COUNTIFS(Data!$I$10:$I$3209,"&gt;="&amp;$A987,Data!$I$10:$I$3209,"&lt;"&amp;$A987+1)))</f>
        <v/>
      </c>
      <c r="AG987">
        <f>IF($B987=0,0,IF(Inputs!$B$9="",0,COUNTIFS(Data!$M$10:$M$3209,"&gt;="&amp;$A987,Data!$M$10:$M$3209,"&lt;"&amp;$A987+1)))</f>
        <v/>
      </c>
      <c r="AH987">
        <f>IF($B987=0,0,IF(Inputs!$B$10="",0,COUNTIFS(Data!$Q$10:$Q$3209,"&gt;="&amp;$A987,Data!$Q$10:$Q$3209,"&lt;"&amp;$A987+1)))</f>
        <v/>
      </c>
    </row>
    <row r="988">
      <c r="A988" s="55">
        <f>MIN(Inputs!$C$15,$A987+IF(WEEKDAY($A987,2)=5,3,1))</f>
        <v/>
      </c>
      <c r="B988">
        <f>IF($A988&gt;$A987,1,0)</f>
        <v/>
      </c>
      <c r="C988" s="56">
        <f>IF($B988=0,"",IF(Inputs!$B$6="","",IF($AD988=0,C987,SUMIFS(Data!$B$10:$B$3209,Data!$A$10:$A$3209,"&gt;="&amp;$A988,Data!$A$10:$A$3209,"&lt;"&amp;$A988+1)/$AD988)))</f>
        <v/>
      </c>
      <c r="D988" s="56">
        <f>IF($B988=0,"",IF(Inputs!$B$7="","",IF($AE988=0,D987,SUMIFS(Data!$F$10:$F$3209,Data!$E$10:$E$3209,"&gt;="&amp;$A988,Data!$E$10:$E$3209,"&lt;"&amp;$A988+1)/$AE988)))</f>
        <v/>
      </c>
      <c r="E988" s="56">
        <f>IF($B988=0,"",IF(Inputs!$B$8="","",IF($AF988=0,E987,SUMIFS(Data!$J$10:$J$3209,Data!$I$10:$I$3209,"&gt;="&amp;$A988,Data!$I$10:$I$3209,"&lt;"&amp;$A988+1)/$AF988)))</f>
        <v/>
      </c>
      <c r="F988" s="56">
        <f>IF($B988=0,"",IF(Inputs!$B$9="","",IF($AG988=0,F987,SUMIFS(Data!$N$10:$N$3209,Data!$M$10:$M$3209,"&gt;="&amp;$A988,Data!$M$10:$M$3209,"&lt;"&amp;$A988+1)/$AG988)))</f>
        <v/>
      </c>
      <c r="G988" s="56">
        <f>IF($B988=0,"",IF(Inputs!$B$10="","",IF($AH988=0,G987,SUMIFS(Data!$R$10:$R$3209,Data!$Q$10:$Q$3209,"&gt;="&amp;$A988,Data!$Q$10:$Q$3209,"&lt;"&amp;$A988+1)/$AH988)))</f>
        <v/>
      </c>
      <c r="I988" s="54">
        <f>IF($B988=0,NA(),IF($C988="",NA(),IF(C$8="",NA(),IF(N(C$8)=0,NA(),IF(Inputs!$C$17="Rebased to 100",$C988/C$8*100,$C988)))))</f>
        <v/>
      </c>
      <c r="J988" s="54">
        <f>IF($B988=0,NA(),IF($D988="",NA(),IF(D$8="",NA(),IF(N(D$8)=0,NA(),IF(Inputs!$C$17="Rebased to 100",$D988/D$8*100,$D988)))))</f>
        <v/>
      </c>
      <c r="K988" s="54">
        <f>IF($B988=0,NA(),IF($E988="",NA(),IF(E$8="",NA(),IF(N(E$8)=0,NA(),IF(Inputs!$C$17="Rebased to 100",$E988/E$8*100,$E988)))))</f>
        <v/>
      </c>
      <c r="L988" s="54">
        <f>IF($B988=0,NA(),IF($F988="",NA(),IF(F$8="",NA(),IF(N(F$8)=0,NA(),IF(Inputs!$C$17="Rebased to 100",$F988/F$8*100,$F988)))))</f>
        <v/>
      </c>
      <c r="M988" s="54">
        <f>IF($B988=0,NA(),IF($G988="",NA(),IF(G$8="",NA(),IF(N(G$8)=0,NA(),IF(Inputs!$C$17="Rebased to 100",$G988/G$8*100,$G988)))))</f>
        <v/>
      </c>
      <c r="N988" s="54">
        <f>IF($B988=0,NA(),IF(Inputs!$C$18&lt;&gt;"Yes",NA(),IF(COUNT(I988,J988,K988,L988,M988)=0,NA(),MIN(I988,J988,K988,L988,M988))))</f>
        <v/>
      </c>
      <c r="O988" s="54">
        <f>IF($B988=0,NA(),IF(Inputs!$B$24&lt;&gt;"Yes",NA(),Inputs!$D$24*Inputs!$C$35))</f>
        <v/>
      </c>
      <c r="P988" s="54">
        <f>IF($B988=0,NA(),IF(Inputs!$B$25&lt;&gt;"Yes",NA(),Inputs!$D$25*Inputs!$C$35))</f>
        <v/>
      </c>
      <c r="Q988" s="54">
        <f>IF($B988=0,NA(),IF(Inputs!$B$26&lt;&gt;"Yes",NA(),Inputs!$D$26*Inputs!$C$35))</f>
        <v/>
      </c>
      <c r="R988" s="54">
        <f>IF($B988=0,NA(),IF(Inputs!$B$27&lt;&gt;"Yes",NA(),Inputs!$D$27*Inputs!$C$35))</f>
        <v/>
      </c>
      <c r="S988" s="54">
        <f>IF($B988=0,NA(),IF(Inputs!$B$28&lt;&gt;"Yes",NA(),Inputs!$D$28*Inputs!$C$35))</f>
        <v/>
      </c>
      <c r="T988" s="54">
        <f>IF($B988=0,NA(),IF(Inputs!$B$29&lt;&gt;"Yes",NA(),Inputs!$D$29*Inputs!$C$35))</f>
        <v/>
      </c>
      <c r="AD988">
        <f>IF($B988=0,0,IF(Inputs!$B$6="",0,COUNTIFS(Data!$A$10:$A$3209,"&gt;="&amp;$A988,Data!$A$10:$A$3209,"&lt;"&amp;$A988+1)))</f>
        <v/>
      </c>
      <c r="AE988">
        <f>IF($B988=0,0,IF(Inputs!$B$7="",0,COUNTIFS(Data!$E$10:$E$3209,"&gt;="&amp;$A988,Data!$E$10:$E$3209,"&lt;"&amp;$A988+1)))</f>
        <v/>
      </c>
      <c r="AF988">
        <f>IF($B988=0,0,IF(Inputs!$B$8="",0,COUNTIFS(Data!$I$10:$I$3209,"&gt;="&amp;$A988,Data!$I$10:$I$3209,"&lt;"&amp;$A988+1)))</f>
        <v/>
      </c>
      <c r="AG988">
        <f>IF($B988=0,0,IF(Inputs!$B$9="",0,COUNTIFS(Data!$M$10:$M$3209,"&gt;="&amp;$A988,Data!$M$10:$M$3209,"&lt;"&amp;$A988+1)))</f>
        <v/>
      </c>
      <c r="AH988">
        <f>IF($B988=0,0,IF(Inputs!$B$10="",0,COUNTIFS(Data!$Q$10:$Q$3209,"&gt;="&amp;$A988,Data!$Q$10:$Q$3209,"&lt;"&amp;$A988+1)))</f>
        <v/>
      </c>
    </row>
    <row r="989">
      <c r="A989" s="55">
        <f>MIN(Inputs!$C$15,$A988+IF(WEEKDAY($A988,2)=5,3,1))</f>
        <v/>
      </c>
      <c r="B989">
        <f>IF($A989&gt;$A988,1,0)</f>
        <v/>
      </c>
      <c r="C989" s="56">
        <f>IF($B989=0,"",IF(Inputs!$B$6="","",IF($AD989=0,C988,SUMIFS(Data!$B$10:$B$3209,Data!$A$10:$A$3209,"&gt;="&amp;$A989,Data!$A$10:$A$3209,"&lt;"&amp;$A989+1)/$AD989)))</f>
        <v/>
      </c>
      <c r="D989" s="56">
        <f>IF($B989=0,"",IF(Inputs!$B$7="","",IF($AE989=0,D988,SUMIFS(Data!$F$10:$F$3209,Data!$E$10:$E$3209,"&gt;="&amp;$A989,Data!$E$10:$E$3209,"&lt;"&amp;$A989+1)/$AE989)))</f>
        <v/>
      </c>
      <c r="E989" s="56">
        <f>IF($B989=0,"",IF(Inputs!$B$8="","",IF($AF989=0,E988,SUMIFS(Data!$J$10:$J$3209,Data!$I$10:$I$3209,"&gt;="&amp;$A989,Data!$I$10:$I$3209,"&lt;"&amp;$A989+1)/$AF989)))</f>
        <v/>
      </c>
      <c r="F989" s="56">
        <f>IF($B989=0,"",IF(Inputs!$B$9="","",IF($AG989=0,F988,SUMIFS(Data!$N$10:$N$3209,Data!$M$10:$M$3209,"&gt;="&amp;$A989,Data!$M$10:$M$3209,"&lt;"&amp;$A989+1)/$AG989)))</f>
        <v/>
      </c>
      <c r="G989" s="56">
        <f>IF($B989=0,"",IF(Inputs!$B$10="","",IF($AH989=0,G988,SUMIFS(Data!$R$10:$R$3209,Data!$Q$10:$Q$3209,"&gt;="&amp;$A989,Data!$Q$10:$Q$3209,"&lt;"&amp;$A989+1)/$AH989)))</f>
        <v/>
      </c>
      <c r="I989" s="54">
        <f>IF($B989=0,NA(),IF($C989="",NA(),IF(C$8="",NA(),IF(N(C$8)=0,NA(),IF(Inputs!$C$17="Rebased to 100",$C989/C$8*100,$C989)))))</f>
        <v/>
      </c>
      <c r="J989" s="54">
        <f>IF($B989=0,NA(),IF($D989="",NA(),IF(D$8="",NA(),IF(N(D$8)=0,NA(),IF(Inputs!$C$17="Rebased to 100",$D989/D$8*100,$D989)))))</f>
        <v/>
      </c>
      <c r="K989" s="54">
        <f>IF($B989=0,NA(),IF($E989="",NA(),IF(E$8="",NA(),IF(N(E$8)=0,NA(),IF(Inputs!$C$17="Rebased to 100",$E989/E$8*100,$E989)))))</f>
        <v/>
      </c>
      <c r="L989" s="54">
        <f>IF($B989=0,NA(),IF($F989="",NA(),IF(F$8="",NA(),IF(N(F$8)=0,NA(),IF(Inputs!$C$17="Rebased to 100",$F989/F$8*100,$F989)))))</f>
        <v/>
      </c>
      <c r="M989" s="54">
        <f>IF($B989=0,NA(),IF($G989="",NA(),IF(G$8="",NA(),IF(N(G$8)=0,NA(),IF(Inputs!$C$17="Rebased to 100",$G989/G$8*100,$G989)))))</f>
        <v/>
      </c>
      <c r="N989" s="54">
        <f>IF($B989=0,NA(),IF(Inputs!$C$18&lt;&gt;"Yes",NA(),IF(COUNT(I989,J989,K989,L989,M989)=0,NA(),MIN(I989,J989,K989,L989,M989))))</f>
        <v/>
      </c>
      <c r="O989" s="54">
        <f>IF($B989=0,NA(),IF(Inputs!$B$24&lt;&gt;"Yes",NA(),Inputs!$D$24*Inputs!$C$35))</f>
        <v/>
      </c>
      <c r="P989" s="54">
        <f>IF($B989=0,NA(),IF(Inputs!$B$25&lt;&gt;"Yes",NA(),Inputs!$D$25*Inputs!$C$35))</f>
        <v/>
      </c>
      <c r="Q989" s="54">
        <f>IF($B989=0,NA(),IF(Inputs!$B$26&lt;&gt;"Yes",NA(),Inputs!$D$26*Inputs!$C$35))</f>
        <v/>
      </c>
      <c r="R989" s="54">
        <f>IF($B989=0,NA(),IF(Inputs!$B$27&lt;&gt;"Yes",NA(),Inputs!$D$27*Inputs!$C$35))</f>
        <v/>
      </c>
      <c r="S989" s="54">
        <f>IF($B989=0,NA(),IF(Inputs!$B$28&lt;&gt;"Yes",NA(),Inputs!$D$28*Inputs!$C$35))</f>
        <v/>
      </c>
      <c r="T989" s="54">
        <f>IF($B989=0,NA(),IF(Inputs!$B$29&lt;&gt;"Yes",NA(),Inputs!$D$29*Inputs!$C$35))</f>
        <v/>
      </c>
      <c r="AD989">
        <f>IF($B989=0,0,IF(Inputs!$B$6="",0,COUNTIFS(Data!$A$10:$A$3209,"&gt;="&amp;$A989,Data!$A$10:$A$3209,"&lt;"&amp;$A989+1)))</f>
        <v/>
      </c>
      <c r="AE989">
        <f>IF($B989=0,0,IF(Inputs!$B$7="",0,COUNTIFS(Data!$E$10:$E$3209,"&gt;="&amp;$A989,Data!$E$10:$E$3209,"&lt;"&amp;$A989+1)))</f>
        <v/>
      </c>
      <c r="AF989">
        <f>IF($B989=0,0,IF(Inputs!$B$8="",0,COUNTIFS(Data!$I$10:$I$3209,"&gt;="&amp;$A989,Data!$I$10:$I$3209,"&lt;"&amp;$A989+1)))</f>
        <v/>
      </c>
      <c r="AG989">
        <f>IF($B989=0,0,IF(Inputs!$B$9="",0,COUNTIFS(Data!$M$10:$M$3209,"&gt;="&amp;$A989,Data!$M$10:$M$3209,"&lt;"&amp;$A989+1)))</f>
        <v/>
      </c>
      <c r="AH989">
        <f>IF($B989=0,0,IF(Inputs!$B$10="",0,COUNTIFS(Data!$Q$10:$Q$3209,"&gt;="&amp;$A989,Data!$Q$10:$Q$3209,"&lt;"&amp;$A989+1)))</f>
        <v/>
      </c>
    </row>
    <row r="990">
      <c r="A990" s="55">
        <f>MIN(Inputs!$C$15,$A989+IF(WEEKDAY($A989,2)=5,3,1))</f>
        <v/>
      </c>
      <c r="B990">
        <f>IF($A990&gt;$A989,1,0)</f>
        <v/>
      </c>
      <c r="C990" s="56">
        <f>IF($B990=0,"",IF(Inputs!$B$6="","",IF($AD990=0,C989,SUMIFS(Data!$B$10:$B$3209,Data!$A$10:$A$3209,"&gt;="&amp;$A990,Data!$A$10:$A$3209,"&lt;"&amp;$A990+1)/$AD990)))</f>
        <v/>
      </c>
      <c r="D990" s="56">
        <f>IF($B990=0,"",IF(Inputs!$B$7="","",IF($AE990=0,D989,SUMIFS(Data!$F$10:$F$3209,Data!$E$10:$E$3209,"&gt;="&amp;$A990,Data!$E$10:$E$3209,"&lt;"&amp;$A990+1)/$AE990)))</f>
        <v/>
      </c>
      <c r="E990" s="56">
        <f>IF($B990=0,"",IF(Inputs!$B$8="","",IF($AF990=0,E989,SUMIFS(Data!$J$10:$J$3209,Data!$I$10:$I$3209,"&gt;="&amp;$A990,Data!$I$10:$I$3209,"&lt;"&amp;$A990+1)/$AF990)))</f>
        <v/>
      </c>
      <c r="F990" s="56">
        <f>IF($B990=0,"",IF(Inputs!$B$9="","",IF($AG990=0,F989,SUMIFS(Data!$N$10:$N$3209,Data!$M$10:$M$3209,"&gt;="&amp;$A990,Data!$M$10:$M$3209,"&lt;"&amp;$A990+1)/$AG990)))</f>
        <v/>
      </c>
      <c r="G990" s="56">
        <f>IF($B990=0,"",IF(Inputs!$B$10="","",IF($AH990=0,G989,SUMIFS(Data!$R$10:$R$3209,Data!$Q$10:$Q$3209,"&gt;="&amp;$A990,Data!$Q$10:$Q$3209,"&lt;"&amp;$A990+1)/$AH990)))</f>
        <v/>
      </c>
      <c r="I990" s="54">
        <f>IF($B990=0,NA(),IF($C990="",NA(),IF(C$8="",NA(),IF(N(C$8)=0,NA(),IF(Inputs!$C$17="Rebased to 100",$C990/C$8*100,$C990)))))</f>
        <v/>
      </c>
      <c r="J990" s="54">
        <f>IF($B990=0,NA(),IF($D990="",NA(),IF(D$8="",NA(),IF(N(D$8)=0,NA(),IF(Inputs!$C$17="Rebased to 100",$D990/D$8*100,$D990)))))</f>
        <v/>
      </c>
      <c r="K990" s="54">
        <f>IF($B990=0,NA(),IF($E990="",NA(),IF(E$8="",NA(),IF(N(E$8)=0,NA(),IF(Inputs!$C$17="Rebased to 100",$E990/E$8*100,$E990)))))</f>
        <v/>
      </c>
      <c r="L990" s="54">
        <f>IF($B990=0,NA(),IF($F990="",NA(),IF(F$8="",NA(),IF(N(F$8)=0,NA(),IF(Inputs!$C$17="Rebased to 100",$F990/F$8*100,$F990)))))</f>
        <v/>
      </c>
      <c r="M990" s="54">
        <f>IF($B990=0,NA(),IF($G990="",NA(),IF(G$8="",NA(),IF(N(G$8)=0,NA(),IF(Inputs!$C$17="Rebased to 100",$G990/G$8*100,$G990)))))</f>
        <v/>
      </c>
      <c r="N990" s="54">
        <f>IF($B990=0,NA(),IF(Inputs!$C$18&lt;&gt;"Yes",NA(),IF(COUNT(I990,J990,K990,L990,M990)=0,NA(),MIN(I990,J990,K990,L990,M990))))</f>
        <v/>
      </c>
      <c r="O990" s="54">
        <f>IF($B990=0,NA(),IF(Inputs!$B$24&lt;&gt;"Yes",NA(),Inputs!$D$24*Inputs!$C$35))</f>
        <v/>
      </c>
      <c r="P990" s="54">
        <f>IF($B990=0,NA(),IF(Inputs!$B$25&lt;&gt;"Yes",NA(),Inputs!$D$25*Inputs!$C$35))</f>
        <v/>
      </c>
      <c r="Q990" s="54">
        <f>IF($B990=0,NA(),IF(Inputs!$B$26&lt;&gt;"Yes",NA(),Inputs!$D$26*Inputs!$C$35))</f>
        <v/>
      </c>
      <c r="R990" s="54">
        <f>IF($B990=0,NA(),IF(Inputs!$B$27&lt;&gt;"Yes",NA(),Inputs!$D$27*Inputs!$C$35))</f>
        <v/>
      </c>
      <c r="S990" s="54">
        <f>IF($B990=0,NA(),IF(Inputs!$B$28&lt;&gt;"Yes",NA(),Inputs!$D$28*Inputs!$C$35))</f>
        <v/>
      </c>
      <c r="T990" s="54">
        <f>IF($B990=0,NA(),IF(Inputs!$B$29&lt;&gt;"Yes",NA(),Inputs!$D$29*Inputs!$C$35))</f>
        <v/>
      </c>
      <c r="AD990">
        <f>IF($B990=0,0,IF(Inputs!$B$6="",0,COUNTIFS(Data!$A$10:$A$3209,"&gt;="&amp;$A990,Data!$A$10:$A$3209,"&lt;"&amp;$A990+1)))</f>
        <v/>
      </c>
      <c r="AE990">
        <f>IF($B990=0,0,IF(Inputs!$B$7="",0,COUNTIFS(Data!$E$10:$E$3209,"&gt;="&amp;$A990,Data!$E$10:$E$3209,"&lt;"&amp;$A990+1)))</f>
        <v/>
      </c>
      <c r="AF990">
        <f>IF($B990=0,0,IF(Inputs!$B$8="",0,COUNTIFS(Data!$I$10:$I$3209,"&gt;="&amp;$A990,Data!$I$10:$I$3209,"&lt;"&amp;$A990+1)))</f>
        <v/>
      </c>
      <c r="AG990">
        <f>IF($B990=0,0,IF(Inputs!$B$9="",0,COUNTIFS(Data!$M$10:$M$3209,"&gt;="&amp;$A990,Data!$M$10:$M$3209,"&lt;"&amp;$A990+1)))</f>
        <v/>
      </c>
      <c r="AH990">
        <f>IF($B990=0,0,IF(Inputs!$B$10="",0,COUNTIFS(Data!$Q$10:$Q$3209,"&gt;="&amp;$A990,Data!$Q$10:$Q$3209,"&lt;"&amp;$A990+1)))</f>
        <v/>
      </c>
    </row>
    <row r="991">
      <c r="A991" s="55">
        <f>MIN(Inputs!$C$15,$A990+IF(WEEKDAY($A990,2)=5,3,1))</f>
        <v/>
      </c>
      <c r="B991">
        <f>IF($A991&gt;$A990,1,0)</f>
        <v/>
      </c>
      <c r="C991" s="56">
        <f>IF($B991=0,"",IF(Inputs!$B$6="","",IF($AD991=0,C990,SUMIFS(Data!$B$10:$B$3209,Data!$A$10:$A$3209,"&gt;="&amp;$A991,Data!$A$10:$A$3209,"&lt;"&amp;$A991+1)/$AD991)))</f>
        <v/>
      </c>
      <c r="D991" s="56">
        <f>IF($B991=0,"",IF(Inputs!$B$7="","",IF($AE991=0,D990,SUMIFS(Data!$F$10:$F$3209,Data!$E$10:$E$3209,"&gt;="&amp;$A991,Data!$E$10:$E$3209,"&lt;"&amp;$A991+1)/$AE991)))</f>
        <v/>
      </c>
      <c r="E991" s="56">
        <f>IF($B991=0,"",IF(Inputs!$B$8="","",IF($AF991=0,E990,SUMIFS(Data!$J$10:$J$3209,Data!$I$10:$I$3209,"&gt;="&amp;$A991,Data!$I$10:$I$3209,"&lt;"&amp;$A991+1)/$AF991)))</f>
        <v/>
      </c>
      <c r="F991" s="56">
        <f>IF($B991=0,"",IF(Inputs!$B$9="","",IF($AG991=0,F990,SUMIFS(Data!$N$10:$N$3209,Data!$M$10:$M$3209,"&gt;="&amp;$A991,Data!$M$10:$M$3209,"&lt;"&amp;$A991+1)/$AG991)))</f>
        <v/>
      </c>
      <c r="G991" s="56">
        <f>IF($B991=0,"",IF(Inputs!$B$10="","",IF($AH991=0,G990,SUMIFS(Data!$R$10:$R$3209,Data!$Q$10:$Q$3209,"&gt;="&amp;$A991,Data!$Q$10:$Q$3209,"&lt;"&amp;$A991+1)/$AH991)))</f>
        <v/>
      </c>
      <c r="I991" s="54">
        <f>IF($B991=0,NA(),IF($C991="",NA(),IF(C$8="",NA(),IF(N(C$8)=0,NA(),IF(Inputs!$C$17="Rebased to 100",$C991/C$8*100,$C991)))))</f>
        <v/>
      </c>
      <c r="J991" s="54">
        <f>IF($B991=0,NA(),IF($D991="",NA(),IF(D$8="",NA(),IF(N(D$8)=0,NA(),IF(Inputs!$C$17="Rebased to 100",$D991/D$8*100,$D991)))))</f>
        <v/>
      </c>
      <c r="K991" s="54">
        <f>IF($B991=0,NA(),IF($E991="",NA(),IF(E$8="",NA(),IF(N(E$8)=0,NA(),IF(Inputs!$C$17="Rebased to 100",$E991/E$8*100,$E991)))))</f>
        <v/>
      </c>
      <c r="L991" s="54">
        <f>IF($B991=0,NA(),IF($F991="",NA(),IF(F$8="",NA(),IF(N(F$8)=0,NA(),IF(Inputs!$C$17="Rebased to 100",$F991/F$8*100,$F991)))))</f>
        <v/>
      </c>
      <c r="M991" s="54">
        <f>IF($B991=0,NA(),IF($G991="",NA(),IF(G$8="",NA(),IF(N(G$8)=0,NA(),IF(Inputs!$C$17="Rebased to 100",$G991/G$8*100,$G991)))))</f>
        <v/>
      </c>
      <c r="N991" s="54">
        <f>IF($B991=0,NA(),IF(Inputs!$C$18&lt;&gt;"Yes",NA(),IF(COUNT(I991,J991,K991,L991,M991)=0,NA(),MIN(I991,J991,K991,L991,M991))))</f>
        <v/>
      </c>
      <c r="O991" s="54">
        <f>IF($B991=0,NA(),IF(Inputs!$B$24&lt;&gt;"Yes",NA(),Inputs!$D$24*Inputs!$C$35))</f>
        <v/>
      </c>
      <c r="P991" s="54">
        <f>IF($B991=0,NA(),IF(Inputs!$B$25&lt;&gt;"Yes",NA(),Inputs!$D$25*Inputs!$C$35))</f>
        <v/>
      </c>
      <c r="Q991" s="54">
        <f>IF($B991=0,NA(),IF(Inputs!$B$26&lt;&gt;"Yes",NA(),Inputs!$D$26*Inputs!$C$35))</f>
        <v/>
      </c>
      <c r="R991" s="54">
        <f>IF($B991=0,NA(),IF(Inputs!$B$27&lt;&gt;"Yes",NA(),Inputs!$D$27*Inputs!$C$35))</f>
        <v/>
      </c>
      <c r="S991" s="54">
        <f>IF($B991=0,NA(),IF(Inputs!$B$28&lt;&gt;"Yes",NA(),Inputs!$D$28*Inputs!$C$35))</f>
        <v/>
      </c>
      <c r="T991" s="54">
        <f>IF($B991=0,NA(),IF(Inputs!$B$29&lt;&gt;"Yes",NA(),Inputs!$D$29*Inputs!$C$35))</f>
        <v/>
      </c>
      <c r="AD991">
        <f>IF($B991=0,0,IF(Inputs!$B$6="",0,COUNTIFS(Data!$A$10:$A$3209,"&gt;="&amp;$A991,Data!$A$10:$A$3209,"&lt;"&amp;$A991+1)))</f>
        <v/>
      </c>
      <c r="AE991">
        <f>IF($B991=0,0,IF(Inputs!$B$7="",0,COUNTIFS(Data!$E$10:$E$3209,"&gt;="&amp;$A991,Data!$E$10:$E$3209,"&lt;"&amp;$A991+1)))</f>
        <v/>
      </c>
      <c r="AF991">
        <f>IF($B991=0,0,IF(Inputs!$B$8="",0,COUNTIFS(Data!$I$10:$I$3209,"&gt;="&amp;$A991,Data!$I$10:$I$3209,"&lt;"&amp;$A991+1)))</f>
        <v/>
      </c>
      <c r="AG991">
        <f>IF($B991=0,0,IF(Inputs!$B$9="",0,COUNTIFS(Data!$M$10:$M$3209,"&gt;="&amp;$A991,Data!$M$10:$M$3209,"&lt;"&amp;$A991+1)))</f>
        <v/>
      </c>
      <c r="AH991">
        <f>IF($B991=0,0,IF(Inputs!$B$10="",0,COUNTIFS(Data!$Q$10:$Q$3209,"&gt;="&amp;$A991,Data!$Q$10:$Q$3209,"&lt;"&amp;$A991+1)))</f>
        <v/>
      </c>
    </row>
    <row r="992">
      <c r="A992" s="55">
        <f>MIN(Inputs!$C$15,$A991+IF(WEEKDAY($A991,2)=5,3,1))</f>
        <v/>
      </c>
      <c r="B992">
        <f>IF($A992&gt;$A991,1,0)</f>
        <v/>
      </c>
      <c r="C992" s="56">
        <f>IF($B992=0,"",IF(Inputs!$B$6="","",IF($AD992=0,C991,SUMIFS(Data!$B$10:$B$3209,Data!$A$10:$A$3209,"&gt;="&amp;$A992,Data!$A$10:$A$3209,"&lt;"&amp;$A992+1)/$AD992)))</f>
        <v/>
      </c>
      <c r="D992" s="56">
        <f>IF($B992=0,"",IF(Inputs!$B$7="","",IF($AE992=0,D991,SUMIFS(Data!$F$10:$F$3209,Data!$E$10:$E$3209,"&gt;="&amp;$A992,Data!$E$10:$E$3209,"&lt;"&amp;$A992+1)/$AE992)))</f>
        <v/>
      </c>
      <c r="E992" s="56">
        <f>IF($B992=0,"",IF(Inputs!$B$8="","",IF($AF992=0,E991,SUMIFS(Data!$J$10:$J$3209,Data!$I$10:$I$3209,"&gt;="&amp;$A992,Data!$I$10:$I$3209,"&lt;"&amp;$A992+1)/$AF992)))</f>
        <v/>
      </c>
      <c r="F992" s="56">
        <f>IF($B992=0,"",IF(Inputs!$B$9="","",IF($AG992=0,F991,SUMIFS(Data!$N$10:$N$3209,Data!$M$10:$M$3209,"&gt;="&amp;$A992,Data!$M$10:$M$3209,"&lt;"&amp;$A992+1)/$AG992)))</f>
        <v/>
      </c>
      <c r="G992" s="56">
        <f>IF($B992=0,"",IF(Inputs!$B$10="","",IF($AH992=0,G991,SUMIFS(Data!$R$10:$R$3209,Data!$Q$10:$Q$3209,"&gt;="&amp;$A992,Data!$Q$10:$Q$3209,"&lt;"&amp;$A992+1)/$AH992)))</f>
        <v/>
      </c>
      <c r="I992" s="54">
        <f>IF($B992=0,NA(),IF($C992="",NA(),IF(C$8="",NA(),IF(N(C$8)=0,NA(),IF(Inputs!$C$17="Rebased to 100",$C992/C$8*100,$C992)))))</f>
        <v/>
      </c>
      <c r="J992" s="54">
        <f>IF($B992=0,NA(),IF($D992="",NA(),IF(D$8="",NA(),IF(N(D$8)=0,NA(),IF(Inputs!$C$17="Rebased to 100",$D992/D$8*100,$D992)))))</f>
        <v/>
      </c>
      <c r="K992" s="54">
        <f>IF($B992=0,NA(),IF($E992="",NA(),IF(E$8="",NA(),IF(N(E$8)=0,NA(),IF(Inputs!$C$17="Rebased to 100",$E992/E$8*100,$E992)))))</f>
        <v/>
      </c>
      <c r="L992" s="54">
        <f>IF($B992=0,NA(),IF($F992="",NA(),IF(F$8="",NA(),IF(N(F$8)=0,NA(),IF(Inputs!$C$17="Rebased to 100",$F992/F$8*100,$F992)))))</f>
        <v/>
      </c>
      <c r="M992" s="54">
        <f>IF($B992=0,NA(),IF($G992="",NA(),IF(G$8="",NA(),IF(N(G$8)=0,NA(),IF(Inputs!$C$17="Rebased to 100",$G992/G$8*100,$G992)))))</f>
        <v/>
      </c>
      <c r="N992" s="54">
        <f>IF($B992=0,NA(),IF(Inputs!$C$18&lt;&gt;"Yes",NA(),IF(COUNT(I992,J992,K992,L992,M992)=0,NA(),MIN(I992,J992,K992,L992,M992))))</f>
        <v/>
      </c>
      <c r="O992" s="54">
        <f>IF($B992=0,NA(),IF(Inputs!$B$24&lt;&gt;"Yes",NA(),Inputs!$D$24*Inputs!$C$35))</f>
        <v/>
      </c>
      <c r="P992" s="54">
        <f>IF($B992=0,NA(),IF(Inputs!$B$25&lt;&gt;"Yes",NA(),Inputs!$D$25*Inputs!$C$35))</f>
        <v/>
      </c>
      <c r="Q992" s="54">
        <f>IF($B992=0,NA(),IF(Inputs!$B$26&lt;&gt;"Yes",NA(),Inputs!$D$26*Inputs!$C$35))</f>
        <v/>
      </c>
      <c r="R992" s="54">
        <f>IF($B992=0,NA(),IF(Inputs!$B$27&lt;&gt;"Yes",NA(),Inputs!$D$27*Inputs!$C$35))</f>
        <v/>
      </c>
      <c r="S992" s="54">
        <f>IF($B992=0,NA(),IF(Inputs!$B$28&lt;&gt;"Yes",NA(),Inputs!$D$28*Inputs!$C$35))</f>
        <v/>
      </c>
      <c r="T992" s="54">
        <f>IF($B992=0,NA(),IF(Inputs!$B$29&lt;&gt;"Yes",NA(),Inputs!$D$29*Inputs!$C$35))</f>
        <v/>
      </c>
      <c r="AD992">
        <f>IF($B992=0,0,IF(Inputs!$B$6="",0,COUNTIFS(Data!$A$10:$A$3209,"&gt;="&amp;$A992,Data!$A$10:$A$3209,"&lt;"&amp;$A992+1)))</f>
        <v/>
      </c>
      <c r="AE992">
        <f>IF($B992=0,0,IF(Inputs!$B$7="",0,COUNTIFS(Data!$E$10:$E$3209,"&gt;="&amp;$A992,Data!$E$10:$E$3209,"&lt;"&amp;$A992+1)))</f>
        <v/>
      </c>
      <c r="AF992">
        <f>IF($B992=0,0,IF(Inputs!$B$8="",0,COUNTIFS(Data!$I$10:$I$3209,"&gt;="&amp;$A992,Data!$I$10:$I$3209,"&lt;"&amp;$A992+1)))</f>
        <v/>
      </c>
      <c r="AG992">
        <f>IF($B992=0,0,IF(Inputs!$B$9="",0,COUNTIFS(Data!$M$10:$M$3209,"&gt;="&amp;$A992,Data!$M$10:$M$3209,"&lt;"&amp;$A992+1)))</f>
        <v/>
      </c>
      <c r="AH992">
        <f>IF($B992=0,0,IF(Inputs!$B$10="",0,COUNTIFS(Data!$Q$10:$Q$3209,"&gt;="&amp;$A992,Data!$Q$10:$Q$3209,"&lt;"&amp;$A992+1)))</f>
        <v/>
      </c>
    </row>
    <row r="993">
      <c r="A993" s="55">
        <f>MIN(Inputs!$C$15,$A992+IF(WEEKDAY($A992,2)=5,3,1))</f>
        <v/>
      </c>
      <c r="B993">
        <f>IF($A993&gt;$A992,1,0)</f>
        <v/>
      </c>
      <c r="C993" s="56">
        <f>IF($B993=0,"",IF(Inputs!$B$6="","",IF($AD993=0,C992,SUMIFS(Data!$B$10:$B$3209,Data!$A$10:$A$3209,"&gt;="&amp;$A993,Data!$A$10:$A$3209,"&lt;"&amp;$A993+1)/$AD993)))</f>
        <v/>
      </c>
      <c r="D993" s="56">
        <f>IF($B993=0,"",IF(Inputs!$B$7="","",IF($AE993=0,D992,SUMIFS(Data!$F$10:$F$3209,Data!$E$10:$E$3209,"&gt;="&amp;$A993,Data!$E$10:$E$3209,"&lt;"&amp;$A993+1)/$AE993)))</f>
        <v/>
      </c>
      <c r="E993" s="56">
        <f>IF($B993=0,"",IF(Inputs!$B$8="","",IF($AF993=0,E992,SUMIFS(Data!$J$10:$J$3209,Data!$I$10:$I$3209,"&gt;="&amp;$A993,Data!$I$10:$I$3209,"&lt;"&amp;$A993+1)/$AF993)))</f>
        <v/>
      </c>
      <c r="F993" s="56">
        <f>IF($B993=0,"",IF(Inputs!$B$9="","",IF($AG993=0,F992,SUMIFS(Data!$N$10:$N$3209,Data!$M$10:$M$3209,"&gt;="&amp;$A993,Data!$M$10:$M$3209,"&lt;"&amp;$A993+1)/$AG993)))</f>
        <v/>
      </c>
      <c r="G993" s="56">
        <f>IF($B993=0,"",IF(Inputs!$B$10="","",IF($AH993=0,G992,SUMIFS(Data!$R$10:$R$3209,Data!$Q$10:$Q$3209,"&gt;="&amp;$A993,Data!$Q$10:$Q$3209,"&lt;"&amp;$A993+1)/$AH993)))</f>
        <v/>
      </c>
      <c r="I993" s="54">
        <f>IF($B993=0,NA(),IF($C993="",NA(),IF(C$8="",NA(),IF(N(C$8)=0,NA(),IF(Inputs!$C$17="Rebased to 100",$C993/C$8*100,$C993)))))</f>
        <v/>
      </c>
      <c r="J993" s="54">
        <f>IF($B993=0,NA(),IF($D993="",NA(),IF(D$8="",NA(),IF(N(D$8)=0,NA(),IF(Inputs!$C$17="Rebased to 100",$D993/D$8*100,$D993)))))</f>
        <v/>
      </c>
      <c r="K993" s="54">
        <f>IF($B993=0,NA(),IF($E993="",NA(),IF(E$8="",NA(),IF(N(E$8)=0,NA(),IF(Inputs!$C$17="Rebased to 100",$E993/E$8*100,$E993)))))</f>
        <v/>
      </c>
      <c r="L993" s="54">
        <f>IF($B993=0,NA(),IF($F993="",NA(),IF(F$8="",NA(),IF(N(F$8)=0,NA(),IF(Inputs!$C$17="Rebased to 100",$F993/F$8*100,$F993)))))</f>
        <v/>
      </c>
      <c r="M993" s="54">
        <f>IF($B993=0,NA(),IF($G993="",NA(),IF(G$8="",NA(),IF(N(G$8)=0,NA(),IF(Inputs!$C$17="Rebased to 100",$G993/G$8*100,$G993)))))</f>
        <v/>
      </c>
      <c r="N993" s="54">
        <f>IF($B993=0,NA(),IF(Inputs!$C$18&lt;&gt;"Yes",NA(),IF(COUNT(I993,J993,K993,L993,M993)=0,NA(),MIN(I993,J993,K993,L993,M993))))</f>
        <v/>
      </c>
      <c r="O993" s="54">
        <f>IF($B993=0,NA(),IF(Inputs!$B$24&lt;&gt;"Yes",NA(),Inputs!$D$24*Inputs!$C$35))</f>
        <v/>
      </c>
      <c r="P993" s="54">
        <f>IF($B993=0,NA(),IF(Inputs!$B$25&lt;&gt;"Yes",NA(),Inputs!$D$25*Inputs!$C$35))</f>
        <v/>
      </c>
      <c r="Q993" s="54">
        <f>IF($B993=0,NA(),IF(Inputs!$B$26&lt;&gt;"Yes",NA(),Inputs!$D$26*Inputs!$C$35))</f>
        <v/>
      </c>
      <c r="R993" s="54">
        <f>IF($B993=0,NA(),IF(Inputs!$B$27&lt;&gt;"Yes",NA(),Inputs!$D$27*Inputs!$C$35))</f>
        <v/>
      </c>
      <c r="S993" s="54">
        <f>IF($B993=0,NA(),IF(Inputs!$B$28&lt;&gt;"Yes",NA(),Inputs!$D$28*Inputs!$C$35))</f>
        <v/>
      </c>
      <c r="T993" s="54">
        <f>IF($B993=0,NA(),IF(Inputs!$B$29&lt;&gt;"Yes",NA(),Inputs!$D$29*Inputs!$C$35))</f>
        <v/>
      </c>
      <c r="AD993">
        <f>IF($B993=0,0,IF(Inputs!$B$6="",0,COUNTIFS(Data!$A$10:$A$3209,"&gt;="&amp;$A993,Data!$A$10:$A$3209,"&lt;"&amp;$A993+1)))</f>
        <v/>
      </c>
      <c r="AE993">
        <f>IF($B993=0,0,IF(Inputs!$B$7="",0,COUNTIFS(Data!$E$10:$E$3209,"&gt;="&amp;$A993,Data!$E$10:$E$3209,"&lt;"&amp;$A993+1)))</f>
        <v/>
      </c>
      <c r="AF993">
        <f>IF($B993=0,0,IF(Inputs!$B$8="",0,COUNTIFS(Data!$I$10:$I$3209,"&gt;="&amp;$A993,Data!$I$10:$I$3209,"&lt;"&amp;$A993+1)))</f>
        <v/>
      </c>
      <c r="AG993">
        <f>IF($B993=0,0,IF(Inputs!$B$9="",0,COUNTIFS(Data!$M$10:$M$3209,"&gt;="&amp;$A993,Data!$M$10:$M$3209,"&lt;"&amp;$A993+1)))</f>
        <v/>
      </c>
      <c r="AH993">
        <f>IF($B993=0,0,IF(Inputs!$B$10="",0,COUNTIFS(Data!$Q$10:$Q$3209,"&gt;="&amp;$A993,Data!$Q$10:$Q$3209,"&lt;"&amp;$A993+1)))</f>
        <v/>
      </c>
    </row>
    <row r="994">
      <c r="A994" s="55">
        <f>MIN(Inputs!$C$15,$A993+IF(WEEKDAY($A993,2)=5,3,1))</f>
        <v/>
      </c>
      <c r="B994">
        <f>IF($A994&gt;$A993,1,0)</f>
        <v/>
      </c>
      <c r="C994" s="56">
        <f>IF($B994=0,"",IF(Inputs!$B$6="","",IF($AD994=0,C993,SUMIFS(Data!$B$10:$B$3209,Data!$A$10:$A$3209,"&gt;="&amp;$A994,Data!$A$10:$A$3209,"&lt;"&amp;$A994+1)/$AD994)))</f>
        <v/>
      </c>
      <c r="D994" s="56">
        <f>IF($B994=0,"",IF(Inputs!$B$7="","",IF($AE994=0,D993,SUMIFS(Data!$F$10:$F$3209,Data!$E$10:$E$3209,"&gt;="&amp;$A994,Data!$E$10:$E$3209,"&lt;"&amp;$A994+1)/$AE994)))</f>
        <v/>
      </c>
      <c r="E994" s="56">
        <f>IF($B994=0,"",IF(Inputs!$B$8="","",IF($AF994=0,E993,SUMIFS(Data!$J$10:$J$3209,Data!$I$10:$I$3209,"&gt;="&amp;$A994,Data!$I$10:$I$3209,"&lt;"&amp;$A994+1)/$AF994)))</f>
        <v/>
      </c>
      <c r="F994" s="56">
        <f>IF($B994=0,"",IF(Inputs!$B$9="","",IF($AG994=0,F993,SUMIFS(Data!$N$10:$N$3209,Data!$M$10:$M$3209,"&gt;="&amp;$A994,Data!$M$10:$M$3209,"&lt;"&amp;$A994+1)/$AG994)))</f>
        <v/>
      </c>
      <c r="G994" s="56">
        <f>IF($B994=0,"",IF(Inputs!$B$10="","",IF($AH994=0,G993,SUMIFS(Data!$R$10:$R$3209,Data!$Q$10:$Q$3209,"&gt;="&amp;$A994,Data!$Q$10:$Q$3209,"&lt;"&amp;$A994+1)/$AH994)))</f>
        <v/>
      </c>
      <c r="I994" s="54">
        <f>IF($B994=0,NA(),IF($C994="",NA(),IF(C$8="",NA(),IF(N(C$8)=0,NA(),IF(Inputs!$C$17="Rebased to 100",$C994/C$8*100,$C994)))))</f>
        <v/>
      </c>
      <c r="J994" s="54">
        <f>IF($B994=0,NA(),IF($D994="",NA(),IF(D$8="",NA(),IF(N(D$8)=0,NA(),IF(Inputs!$C$17="Rebased to 100",$D994/D$8*100,$D994)))))</f>
        <v/>
      </c>
      <c r="K994" s="54">
        <f>IF($B994=0,NA(),IF($E994="",NA(),IF(E$8="",NA(),IF(N(E$8)=0,NA(),IF(Inputs!$C$17="Rebased to 100",$E994/E$8*100,$E994)))))</f>
        <v/>
      </c>
      <c r="L994" s="54">
        <f>IF($B994=0,NA(),IF($F994="",NA(),IF(F$8="",NA(),IF(N(F$8)=0,NA(),IF(Inputs!$C$17="Rebased to 100",$F994/F$8*100,$F994)))))</f>
        <v/>
      </c>
      <c r="M994" s="54">
        <f>IF($B994=0,NA(),IF($G994="",NA(),IF(G$8="",NA(),IF(N(G$8)=0,NA(),IF(Inputs!$C$17="Rebased to 100",$G994/G$8*100,$G994)))))</f>
        <v/>
      </c>
      <c r="N994" s="54">
        <f>IF($B994=0,NA(),IF(Inputs!$C$18&lt;&gt;"Yes",NA(),IF(COUNT(I994,J994,K994,L994,M994)=0,NA(),MIN(I994,J994,K994,L994,M994))))</f>
        <v/>
      </c>
      <c r="O994" s="54">
        <f>IF($B994=0,NA(),IF(Inputs!$B$24&lt;&gt;"Yes",NA(),Inputs!$D$24*Inputs!$C$35))</f>
        <v/>
      </c>
      <c r="P994" s="54">
        <f>IF($B994=0,NA(),IF(Inputs!$B$25&lt;&gt;"Yes",NA(),Inputs!$D$25*Inputs!$C$35))</f>
        <v/>
      </c>
      <c r="Q994" s="54">
        <f>IF($B994=0,NA(),IF(Inputs!$B$26&lt;&gt;"Yes",NA(),Inputs!$D$26*Inputs!$C$35))</f>
        <v/>
      </c>
      <c r="R994" s="54">
        <f>IF($B994=0,NA(),IF(Inputs!$B$27&lt;&gt;"Yes",NA(),Inputs!$D$27*Inputs!$C$35))</f>
        <v/>
      </c>
      <c r="S994" s="54">
        <f>IF($B994=0,NA(),IF(Inputs!$B$28&lt;&gt;"Yes",NA(),Inputs!$D$28*Inputs!$C$35))</f>
        <v/>
      </c>
      <c r="T994" s="54">
        <f>IF($B994=0,NA(),IF(Inputs!$B$29&lt;&gt;"Yes",NA(),Inputs!$D$29*Inputs!$C$35))</f>
        <v/>
      </c>
      <c r="AD994">
        <f>IF($B994=0,0,IF(Inputs!$B$6="",0,COUNTIFS(Data!$A$10:$A$3209,"&gt;="&amp;$A994,Data!$A$10:$A$3209,"&lt;"&amp;$A994+1)))</f>
        <v/>
      </c>
      <c r="AE994">
        <f>IF($B994=0,0,IF(Inputs!$B$7="",0,COUNTIFS(Data!$E$10:$E$3209,"&gt;="&amp;$A994,Data!$E$10:$E$3209,"&lt;"&amp;$A994+1)))</f>
        <v/>
      </c>
      <c r="AF994">
        <f>IF($B994=0,0,IF(Inputs!$B$8="",0,COUNTIFS(Data!$I$10:$I$3209,"&gt;="&amp;$A994,Data!$I$10:$I$3209,"&lt;"&amp;$A994+1)))</f>
        <v/>
      </c>
      <c r="AG994">
        <f>IF($B994=0,0,IF(Inputs!$B$9="",0,COUNTIFS(Data!$M$10:$M$3209,"&gt;="&amp;$A994,Data!$M$10:$M$3209,"&lt;"&amp;$A994+1)))</f>
        <v/>
      </c>
      <c r="AH994">
        <f>IF($B994=0,0,IF(Inputs!$B$10="",0,COUNTIFS(Data!$Q$10:$Q$3209,"&gt;="&amp;$A994,Data!$Q$10:$Q$3209,"&lt;"&amp;$A994+1)))</f>
        <v/>
      </c>
    </row>
    <row r="995">
      <c r="A995" s="55">
        <f>MIN(Inputs!$C$15,$A994+IF(WEEKDAY($A994,2)=5,3,1))</f>
        <v/>
      </c>
      <c r="B995">
        <f>IF($A995&gt;$A994,1,0)</f>
        <v/>
      </c>
      <c r="C995" s="56">
        <f>IF($B995=0,"",IF(Inputs!$B$6="","",IF($AD995=0,C994,SUMIFS(Data!$B$10:$B$3209,Data!$A$10:$A$3209,"&gt;="&amp;$A995,Data!$A$10:$A$3209,"&lt;"&amp;$A995+1)/$AD995)))</f>
        <v/>
      </c>
      <c r="D995" s="56">
        <f>IF($B995=0,"",IF(Inputs!$B$7="","",IF($AE995=0,D994,SUMIFS(Data!$F$10:$F$3209,Data!$E$10:$E$3209,"&gt;="&amp;$A995,Data!$E$10:$E$3209,"&lt;"&amp;$A995+1)/$AE995)))</f>
        <v/>
      </c>
      <c r="E995" s="56">
        <f>IF($B995=0,"",IF(Inputs!$B$8="","",IF($AF995=0,E994,SUMIFS(Data!$J$10:$J$3209,Data!$I$10:$I$3209,"&gt;="&amp;$A995,Data!$I$10:$I$3209,"&lt;"&amp;$A995+1)/$AF995)))</f>
        <v/>
      </c>
      <c r="F995" s="56">
        <f>IF($B995=0,"",IF(Inputs!$B$9="","",IF($AG995=0,F994,SUMIFS(Data!$N$10:$N$3209,Data!$M$10:$M$3209,"&gt;="&amp;$A995,Data!$M$10:$M$3209,"&lt;"&amp;$A995+1)/$AG995)))</f>
        <v/>
      </c>
      <c r="G995" s="56">
        <f>IF($B995=0,"",IF(Inputs!$B$10="","",IF($AH995=0,G994,SUMIFS(Data!$R$10:$R$3209,Data!$Q$10:$Q$3209,"&gt;="&amp;$A995,Data!$Q$10:$Q$3209,"&lt;"&amp;$A995+1)/$AH995)))</f>
        <v/>
      </c>
      <c r="I995" s="54">
        <f>IF($B995=0,NA(),IF($C995="",NA(),IF(C$8="",NA(),IF(N(C$8)=0,NA(),IF(Inputs!$C$17="Rebased to 100",$C995/C$8*100,$C995)))))</f>
        <v/>
      </c>
      <c r="J995" s="54">
        <f>IF($B995=0,NA(),IF($D995="",NA(),IF(D$8="",NA(),IF(N(D$8)=0,NA(),IF(Inputs!$C$17="Rebased to 100",$D995/D$8*100,$D995)))))</f>
        <v/>
      </c>
      <c r="K995" s="54">
        <f>IF($B995=0,NA(),IF($E995="",NA(),IF(E$8="",NA(),IF(N(E$8)=0,NA(),IF(Inputs!$C$17="Rebased to 100",$E995/E$8*100,$E995)))))</f>
        <v/>
      </c>
      <c r="L995" s="54">
        <f>IF($B995=0,NA(),IF($F995="",NA(),IF(F$8="",NA(),IF(N(F$8)=0,NA(),IF(Inputs!$C$17="Rebased to 100",$F995/F$8*100,$F995)))))</f>
        <v/>
      </c>
      <c r="M995" s="54">
        <f>IF($B995=0,NA(),IF($G995="",NA(),IF(G$8="",NA(),IF(N(G$8)=0,NA(),IF(Inputs!$C$17="Rebased to 100",$G995/G$8*100,$G995)))))</f>
        <v/>
      </c>
      <c r="N995" s="54">
        <f>IF($B995=0,NA(),IF(Inputs!$C$18&lt;&gt;"Yes",NA(),IF(COUNT(I995,J995,K995,L995,M995)=0,NA(),MIN(I995,J995,K995,L995,M995))))</f>
        <v/>
      </c>
      <c r="O995" s="54">
        <f>IF($B995=0,NA(),IF(Inputs!$B$24&lt;&gt;"Yes",NA(),Inputs!$D$24*Inputs!$C$35))</f>
        <v/>
      </c>
      <c r="P995" s="54">
        <f>IF($B995=0,NA(),IF(Inputs!$B$25&lt;&gt;"Yes",NA(),Inputs!$D$25*Inputs!$C$35))</f>
        <v/>
      </c>
      <c r="Q995" s="54">
        <f>IF($B995=0,NA(),IF(Inputs!$B$26&lt;&gt;"Yes",NA(),Inputs!$D$26*Inputs!$C$35))</f>
        <v/>
      </c>
      <c r="R995" s="54">
        <f>IF($B995=0,NA(),IF(Inputs!$B$27&lt;&gt;"Yes",NA(),Inputs!$D$27*Inputs!$C$35))</f>
        <v/>
      </c>
      <c r="S995" s="54">
        <f>IF($B995=0,NA(),IF(Inputs!$B$28&lt;&gt;"Yes",NA(),Inputs!$D$28*Inputs!$C$35))</f>
        <v/>
      </c>
      <c r="T995" s="54">
        <f>IF($B995=0,NA(),IF(Inputs!$B$29&lt;&gt;"Yes",NA(),Inputs!$D$29*Inputs!$C$35))</f>
        <v/>
      </c>
      <c r="AD995">
        <f>IF($B995=0,0,IF(Inputs!$B$6="",0,COUNTIFS(Data!$A$10:$A$3209,"&gt;="&amp;$A995,Data!$A$10:$A$3209,"&lt;"&amp;$A995+1)))</f>
        <v/>
      </c>
      <c r="AE995">
        <f>IF($B995=0,0,IF(Inputs!$B$7="",0,COUNTIFS(Data!$E$10:$E$3209,"&gt;="&amp;$A995,Data!$E$10:$E$3209,"&lt;"&amp;$A995+1)))</f>
        <v/>
      </c>
      <c r="AF995">
        <f>IF($B995=0,0,IF(Inputs!$B$8="",0,COUNTIFS(Data!$I$10:$I$3209,"&gt;="&amp;$A995,Data!$I$10:$I$3209,"&lt;"&amp;$A995+1)))</f>
        <v/>
      </c>
      <c r="AG995">
        <f>IF($B995=0,0,IF(Inputs!$B$9="",0,COUNTIFS(Data!$M$10:$M$3209,"&gt;="&amp;$A995,Data!$M$10:$M$3209,"&lt;"&amp;$A995+1)))</f>
        <v/>
      </c>
      <c r="AH995">
        <f>IF($B995=0,0,IF(Inputs!$B$10="",0,COUNTIFS(Data!$Q$10:$Q$3209,"&gt;="&amp;$A995,Data!$Q$10:$Q$3209,"&lt;"&amp;$A995+1)))</f>
        <v/>
      </c>
    </row>
    <row r="996">
      <c r="A996" s="55">
        <f>MIN(Inputs!$C$15,$A995+IF(WEEKDAY($A995,2)=5,3,1))</f>
        <v/>
      </c>
      <c r="B996">
        <f>IF($A996&gt;$A995,1,0)</f>
        <v/>
      </c>
      <c r="C996" s="56">
        <f>IF($B996=0,"",IF(Inputs!$B$6="","",IF($AD996=0,C995,SUMIFS(Data!$B$10:$B$3209,Data!$A$10:$A$3209,"&gt;="&amp;$A996,Data!$A$10:$A$3209,"&lt;"&amp;$A996+1)/$AD996)))</f>
        <v/>
      </c>
      <c r="D996" s="56">
        <f>IF($B996=0,"",IF(Inputs!$B$7="","",IF($AE996=0,D995,SUMIFS(Data!$F$10:$F$3209,Data!$E$10:$E$3209,"&gt;="&amp;$A996,Data!$E$10:$E$3209,"&lt;"&amp;$A996+1)/$AE996)))</f>
        <v/>
      </c>
      <c r="E996" s="56">
        <f>IF($B996=0,"",IF(Inputs!$B$8="","",IF($AF996=0,E995,SUMIFS(Data!$J$10:$J$3209,Data!$I$10:$I$3209,"&gt;="&amp;$A996,Data!$I$10:$I$3209,"&lt;"&amp;$A996+1)/$AF996)))</f>
        <v/>
      </c>
      <c r="F996" s="56">
        <f>IF($B996=0,"",IF(Inputs!$B$9="","",IF($AG996=0,F995,SUMIFS(Data!$N$10:$N$3209,Data!$M$10:$M$3209,"&gt;="&amp;$A996,Data!$M$10:$M$3209,"&lt;"&amp;$A996+1)/$AG996)))</f>
        <v/>
      </c>
      <c r="G996" s="56">
        <f>IF($B996=0,"",IF(Inputs!$B$10="","",IF($AH996=0,G995,SUMIFS(Data!$R$10:$R$3209,Data!$Q$10:$Q$3209,"&gt;="&amp;$A996,Data!$Q$10:$Q$3209,"&lt;"&amp;$A996+1)/$AH996)))</f>
        <v/>
      </c>
      <c r="I996" s="54">
        <f>IF($B996=0,NA(),IF($C996="",NA(),IF(C$8="",NA(),IF(N(C$8)=0,NA(),IF(Inputs!$C$17="Rebased to 100",$C996/C$8*100,$C996)))))</f>
        <v/>
      </c>
      <c r="J996" s="54">
        <f>IF($B996=0,NA(),IF($D996="",NA(),IF(D$8="",NA(),IF(N(D$8)=0,NA(),IF(Inputs!$C$17="Rebased to 100",$D996/D$8*100,$D996)))))</f>
        <v/>
      </c>
      <c r="K996" s="54">
        <f>IF($B996=0,NA(),IF($E996="",NA(),IF(E$8="",NA(),IF(N(E$8)=0,NA(),IF(Inputs!$C$17="Rebased to 100",$E996/E$8*100,$E996)))))</f>
        <v/>
      </c>
      <c r="L996" s="54">
        <f>IF($B996=0,NA(),IF($F996="",NA(),IF(F$8="",NA(),IF(N(F$8)=0,NA(),IF(Inputs!$C$17="Rebased to 100",$F996/F$8*100,$F996)))))</f>
        <v/>
      </c>
      <c r="M996" s="54">
        <f>IF($B996=0,NA(),IF($G996="",NA(),IF(G$8="",NA(),IF(N(G$8)=0,NA(),IF(Inputs!$C$17="Rebased to 100",$G996/G$8*100,$G996)))))</f>
        <v/>
      </c>
      <c r="N996" s="54">
        <f>IF($B996=0,NA(),IF(Inputs!$C$18&lt;&gt;"Yes",NA(),IF(COUNT(I996,J996,K996,L996,M996)=0,NA(),MIN(I996,J996,K996,L996,M996))))</f>
        <v/>
      </c>
      <c r="O996" s="54">
        <f>IF($B996=0,NA(),IF(Inputs!$B$24&lt;&gt;"Yes",NA(),Inputs!$D$24*Inputs!$C$35))</f>
        <v/>
      </c>
      <c r="P996" s="54">
        <f>IF($B996=0,NA(),IF(Inputs!$B$25&lt;&gt;"Yes",NA(),Inputs!$D$25*Inputs!$C$35))</f>
        <v/>
      </c>
      <c r="Q996" s="54">
        <f>IF($B996=0,NA(),IF(Inputs!$B$26&lt;&gt;"Yes",NA(),Inputs!$D$26*Inputs!$C$35))</f>
        <v/>
      </c>
      <c r="R996" s="54">
        <f>IF($B996=0,NA(),IF(Inputs!$B$27&lt;&gt;"Yes",NA(),Inputs!$D$27*Inputs!$C$35))</f>
        <v/>
      </c>
      <c r="S996" s="54">
        <f>IF($B996=0,NA(),IF(Inputs!$B$28&lt;&gt;"Yes",NA(),Inputs!$D$28*Inputs!$C$35))</f>
        <v/>
      </c>
      <c r="T996" s="54">
        <f>IF($B996=0,NA(),IF(Inputs!$B$29&lt;&gt;"Yes",NA(),Inputs!$D$29*Inputs!$C$35))</f>
        <v/>
      </c>
      <c r="AD996">
        <f>IF($B996=0,0,IF(Inputs!$B$6="",0,COUNTIFS(Data!$A$10:$A$3209,"&gt;="&amp;$A996,Data!$A$10:$A$3209,"&lt;"&amp;$A996+1)))</f>
        <v/>
      </c>
      <c r="AE996">
        <f>IF($B996=0,0,IF(Inputs!$B$7="",0,COUNTIFS(Data!$E$10:$E$3209,"&gt;="&amp;$A996,Data!$E$10:$E$3209,"&lt;"&amp;$A996+1)))</f>
        <v/>
      </c>
      <c r="AF996">
        <f>IF($B996=0,0,IF(Inputs!$B$8="",0,COUNTIFS(Data!$I$10:$I$3209,"&gt;="&amp;$A996,Data!$I$10:$I$3209,"&lt;"&amp;$A996+1)))</f>
        <v/>
      </c>
      <c r="AG996">
        <f>IF($B996=0,0,IF(Inputs!$B$9="",0,COUNTIFS(Data!$M$10:$M$3209,"&gt;="&amp;$A996,Data!$M$10:$M$3209,"&lt;"&amp;$A996+1)))</f>
        <v/>
      </c>
      <c r="AH996">
        <f>IF($B996=0,0,IF(Inputs!$B$10="",0,COUNTIFS(Data!$Q$10:$Q$3209,"&gt;="&amp;$A996,Data!$Q$10:$Q$3209,"&lt;"&amp;$A996+1)))</f>
        <v/>
      </c>
    </row>
    <row r="997">
      <c r="A997" s="55">
        <f>MIN(Inputs!$C$15,$A996+IF(WEEKDAY($A996,2)=5,3,1))</f>
        <v/>
      </c>
      <c r="B997">
        <f>IF($A997&gt;$A996,1,0)</f>
        <v/>
      </c>
      <c r="C997" s="56">
        <f>IF($B997=0,"",IF(Inputs!$B$6="","",IF($AD997=0,C996,SUMIFS(Data!$B$10:$B$3209,Data!$A$10:$A$3209,"&gt;="&amp;$A997,Data!$A$10:$A$3209,"&lt;"&amp;$A997+1)/$AD997)))</f>
        <v/>
      </c>
      <c r="D997" s="56">
        <f>IF($B997=0,"",IF(Inputs!$B$7="","",IF($AE997=0,D996,SUMIFS(Data!$F$10:$F$3209,Data!$E$10:$E$3209,"&gt;="&amp;$A997,Data!$E$10:$E$3209,"&lt;"&amp;$A997+1)/$AE997)))</f>
        <v/>
      </c>
      <c r="E997" s="56">
        <f>IF($B997=0,"",IF(Inputs!$B$8="","",IF($AF997=0,E996,SUMIFS(Data!$J$10:$J$3209,Data!$I$10:$I$3209,"&gt;="&amp;$A997,Data!$I$10:$I$3209,"&lt;"&amp;$A997+1)/$AF997)))</f>
        <v/>
      </c>
      <c r="F997" s="56">
        <f>IF($B997=0,"",IF(Inputs!$B$9="","",IF($AG997=0,F996,SUMIFS(Data!$N$10:$N$3209,Data!$M$10:$M$3209,"&gt;="&amp;$A997,Data!$M$10:$M$3209,"&lt;"&amp;$A997+1)/$AG997)))</f>
        <v/>
      </c>
      <c r="G997" s="56">
        <f>IF($B997=0,"",IF(Inputs!$B$10="","",IF($AH997=0,G996,SUMIFS(Data!$R$10:$R$3209,Data!$Q$10:$Q$3209,"&gt;="&amp;$A997,Data!$Q$10:$Q$3209,"&lt;"&amp;$A997+1)/$AH997)))</f>
        <v/>
      </c>
      <c r="I997" s="54">
        <f>IF($B997=0,NA(),IF($C997="",NA(),IF(C$8="",NA(),IF(N(C$8)=0,NA(),IF(Inputs!$C$17="Rebased to 100",$C997/C$8*100,$C997)))))</f>
        <v/>
      </c>
      <c r="J997" s="54">
        <f>IF($B997=0,NA(),IF($D997="",NA(),IF(D$8="",NA(),IF(N(D$8)=0,NA(),IF(Inputs!$C$17="Rebased to 100",$D997/D$8*100,$D997)))))</f>
        <v/>
      </c>
      <c r="K997" s="54">
        <f>IF($B997=0,NA(),IF($E997="",NA(),IF(E$8="",NA(),IF(N(E$8)=0,NA(),IF(Inputs!$C$17="Rebased to 100",$E997/E$8*100,$E997)))))</f>
        <v/>
      </c>
      <c r="L997" s="54">
        <f>IF($B997=0,NA(),IF($F997="",NA(),IF(F$8="",NA(),IF(N(F$8)=0,NA(),IF(Inputs!$C$17="Rebased to 100",$F997/F$8*100,$F997)))))</f>
        <v/>
      </c>
      <c r="M997" s="54">
        <f>IF($B997=0,NA(),IF($G997="",NA(),IF(G$8="",NA(),IF(N(G$8)=0,NA(),IF(Inputs!$C$17="Rebased to 100",$G997/G$8*100,$G997)))))</f>
        <v/>
      </c>
      <c r="N997" s="54">
        <f>IF($B997=0,NA(),IF(Inputs!$C$18&lt;&gt;"Yes",NA(),IF(COUNT(I997,J997,K997,L997,M997)=0,NA(),MIN(I997,J997,K997,L997,M997))))</f>
        <v/>
      </c>
      <c r="O997" s="54">
        <f>IF($B997=0,NA(),IF(Inputs!$B$24&lt;&gt;"Yes",NA(),Inputs!$D$24*Inputs!$C$35))</f>
        <v/>
      </c>
      <c r="P997" s="54">
        <f>IF($B997=0,NA(),IF(Inputs!$B$25&lt;&gt;"Yes",NA(),Inputs!$D$25*Inputs!$C$35))</f>
        <v/>
      </c>
      <c r="Q997" s="54">
        <f>IF($B997=0,NA(),IF(Inputs!$B$26&lt;&gt;"Yes",NA(),Inputs!$D$26*Inputs!$C$35))</f>
        <v/>
      </c>
      <c r="R997" s="54">
        <f>IF($B997=0,NA(),IF(Inputs!$B$27&lt;&gt;"Yes",NA(),Inputs!$D$27*Inputs!$C$35))</f>
        <v/>
      </c>
      <c r="S997" s="54">
        <f>IF($B997=0,NA(),IF(Inputs!$B$28&lt;&gt;"Yes",NA(),Inputs!$D$28*Inputs!$C$35))</f>
        <v/>
      </c>
      <c r="T997" s="54">
        <f>IF($B997=0,NA(),IF(Inputs!$B$29&lt;&gt;"Yes",NA(),Inputs!$D$29*Inputs!$C$35))</f>
        <v/>
      </c>
      <c r="AD997">
        <f>IF($B997=0,0,IF(Inputs!$B$6="",0,COUNTIFS(Data!$A$10:$A$3209,"&gt;="&amp;$A997,Data!$A$10:$A$3209,"&lt;"&amp;$A997+1)))</f>
        <v/>
      </c>
      <c r="AE997">
        <f>IF($B997=0,0,IF(Inputs!$B$7="",0,COUNTIFS(Data!$E$10:$E$3209,"&gt;="&amp;$A997,Data!$E$10:$E$3209,"&lt;"&amp;$A997+1)))</f>
        <v/>
      </c>
      <c r="AF997">
        <f>IF($B997=0,0,IF(Inputs!$B$8="",0,COUNTIFS(Data!$I$10:$I$3209,"&gt;="&amp;$A997,Data!$I$10:$I$3209,"&lt;"&amp;$A997+1)))</f>
        <v/>
      </c>
      <c r="AG997">
        <f>IF($B997=0,0,IF(Inputs!$B$9="",0,COUNTIFS(Data!$M$10:$M$3209,"&gt;="&amp;$A997,Data!$M$10:$M$3209,"&lt;"&amp;$A997+1)))</f>
        <v/>
      </c>
      <c r="AH997">
        <f>IF($B997=0,0,IF(Inputs!$B$10="",0,COUNTIFS(Data!$Q$10:$Q$3209,"&gt;="&amp;$A997,Data!$Q$10:$Q$3209,"&lt;"&amp;$A997+1)))</f>
        <v/>
      </c>
    </row>
    <row r="998">
      <c r="A998" s="55">
        <f>MIN(Inputs!$C$15,$A997+IF(WEEKDAY($A997,2)=5,3,1))</f>
        <v/>
      </c>
      <c r="B998">
        <f>IF($A998&gt;$A997,1,0)</f>
        <v/>
      </c>
      <c r="C998" s="56">
        <f>IF($B998=0,"",IF(Inputs!$B$6="","",IF($AD998=0,C997,SUMIFS(Data!$B$10:$B$3209,Data!$A$10:$A$3209,"&gt;="&amp;$A998,Data!$A$10:$A$3209,"&lt;"&amp;$A998+1)/$AD998)))</f>
        <v/>
      </c>
      <c r="D998" s="56">
        <f>IF($B998=0,"",IF(Inputs!$B$7="","",IF($AE998=0,D997,SUMIFS(Data!$F$10:$F$3209,Data!$E$10:$E$3209,"&gt;="&amp;$A998,Data!$E$10:$E$3209,"&lt;"&amp;$A998+1)/$AE998)))</f>
        <v/>
      </c>
      <c r="E998" s="56">
        <f>IF($B998=0,"",IF(Inputs!$B$8="","",IF($AF998=0,E997,SUMIFS(Data!$J$10:$J$3209,Data!$I$10:$I$3209,"&gt;="&amp;$A998,Data!$I$10:$I$3209,"&lt;"&amp;$A998+1)/$AF998)))</f>
        <v/>
      </c>
      <c r="F998" s="56">
        <f>IF($B998=0,"",IF(Inputs!$B$9="","",IF($AG998=0,F997,SUMIFS(Data!$N$10:$N$3209,Data!$M$10:$M$3209,"&gt;="&amp;$A998,Data!$M$10:$M$3209,"&lt;"&amp;$A998+1)/$AG998)))</f>
        <v/>
      </c>
      <c r="G998" s="56">
        <f>IF($B998=0,"",IF(Inputs!$B$10="","",IF($AH998=0,G997,SUMIFS(Data!$R$10:$R$3209,Data!$Q$10:$Q$3209,"&gt;="&amp;$A998,Data!$Q$10:$Q$3209,"&lt;"&amp;$A998+1)/$AH998)))</f>
        <v/>
      </c>
      <c r="I998" s="54">
        <f>IF($B998=0,NA(),IF($C998="",NA(),IF(C$8="",NA(),IF(N(C$8)=0,NA(),IF(Inputs!$C$17="Rebased to 100",$C998/C$8*100,$C998)))))</f>
        <v/>
      </c>
      <c r="J998" s="54">
        <f>IF($B998=0,NA(),IF($D998="",NA(),IF(D$8="",NA(),IF(N(D$8)=0,NA(),IF(Inputs!$C$17="Rebased to 100",$D998/D$8*100,$D998)))))</f>
        <v/>
      </c>
      <c r="K998" s="54">
        <f>IF($B998=0,NA(),IF($E998="",NA(),IF(E$8="",NA(),IF(N(E$8)=0,NA(),IF(Inputs!$C$17="Rebased to 100",$E998/E$8*100,$E998)))))</f>
        <v/>
      </c>
      <c r="L998" s="54">
        <f>IF($B998=0,NA(),IF($F998="",NA(),IF(F$8="",NA(),IF(N(F$8)=0,NA(),IF(Inputs!$C$17="Rebased to 100",$F998/F$8*100,$F998)))))</f>
        <v/>
      </c>
      <c r="M998" s="54">
        <f>IF($B998=0,NA(),IF($G998="",NA(),IF(G$8="",NA(),IF(N(G$8)=0,NA(),IF(Inputs!$C$17="Rebased to 100",$G998/G$8*100,$G998)))))</f>
        <v/>
      </c>
      <c r="N998" s="54">
        <f>IF($B998=0,NA(),IF(Inputs!$C$18&lt;&gt;"Yes",NA(),IF(COUNT(I998,J998,K998,L998,M998)=0,NA(),MIN(I998,J998,K998,L998,M998))))</f>
        <v/>
      </c>
      <c r="O998" s="54">
        <f>IF($B998=0,NA(),IF(Inputs!$B$24&lt;&gt;"Yes",NA(),Inputs!$D$24*Inputs!$C$35))</f>
        <v/>
      </c>
      <c r="P998" s="54">
        <f>IF($B998=0,NA(),IF(Inputs!$B$25&lt;&gt;"Yes",NA(),Inputs!$D$25*Inputs!$C$35))</f>
        <v/>
      </c>
      <c r="Q998" s="54">
        <f>IF($B998=0,NA(),IF(Inputs!$B$26&lt;&gt;"Yes",NA(),Inputs!$D$26*Inputs!$C$35))</f>
        <v/>
      </c>
      <c r="R998" s="54">
        <f>IF($B998=0,NA(),IF(Inputs!$B$27&lt;&gt;"Yes",NA(),Inputs!$D$27*Inputs!$C$35))</f>
        <v/>
      </c>
      <c r="S998" s="54">
        <f>IF($B998=0,NA(),IF(Inputs!$B$28&lt;&gt;"Yes",NA(),Inputs!$D$28*Inputs!$C$35))</f>
        <v/>
      </c>
      <c r="T998" s="54">
        <f>IF($B998=0,NA(),IF(Inputs!$B$29&lt;&gt;"Yes",NA(),Inputs!$D$29*Inputs!$C$35))</f>
        <v/>
      </c>
      <c r="AD998">
        <f>IF($B998=0,0,IF(Inputs!$B$6="",0,COUNTIFS(Data!$A$10:$A$3209,"&gt;="&amp;$A998,Data!$A$10:$A$3209,"&lt;"&amp;$A998+1)))</f>
        <v/>
      </c>
      <c r="AE998">
        <f>IF($B998=0,0,IF(Inputs!$B$7="",0,COUNTIFS(Data!$E$10:$E$3209,"&gt;="&amp;$A998,Data!$E$10:$E$3209,"&lt;"&amp;$A998+1)))</f>
        <v/>
      </c>
      <c r="AF998">
        <f>IF($B998=0,0,IF(Inputs!$B$8="",0,COUNTIFS(Data!$I$10:$I$3209,"&gt;="&amp;$A998,Data!$I$10:$I$3209,"&lt;"&amp;$A998+1)))</f>
        <v/>
      </c>
      <c r="AG998">
        <f>IF($B998=0,0,IF(Inputs!$B$9="",0,COUNTIFS(Data!$M$10:$M$3209,"&gt;="&amp;$A998,Data!$M$10:$M$3209,"&lt;"&amp;$A998+1)))</f>
        <v/>
      </c>
      <c r="AH998">
        <f>IF($B998=0,0,IF(Inputs!$B$10="",0,COUNTIFS(Data!$Q$10:$Q$3209,"&gt;="&amp;$A998,Data!$Q$10:$Q$3209,"&lt;"&amp;$A998+1)))</f>
        <v/>
      </c>
    </row>
    <row r="999">
      <c r="A999" s="55">
        <f>MIN(Inputs!$C$15,$A998+IF(WEEKDAY($A998,2)=5,3,1))</f>
        <v/>
      </c>
      <c r="B999">
        <f>IF($A999&gt;$A998,1,0)</f>
        <v/>
      </c>
      <c r="C999" s="56">
        <f>IF($B999=0,"",IF(Inputs!$B$6="","",IF($AD999=0,C998,SUMIFS(Data!$B$10:$B$3209,Data!$A$10:$A$3209,"&gt;="&amp;$A999,Data!$A$10:$A$3209,"&lt;"&amp;$A999+1)/$AD999)))</f>
        <v/>
      </c>
      <c r="D999" s="56">
        <f>IF($B999=0,"",IF(Inputs!$B$7="","",IF($AE999=0,D998,SUMIFS(Data!$F$10:$F$3209,Data!$E$10:$E$3209,"&gt;="&amp;$A999,Data!$E$10:$E$3209,"&lt;"&amp;$A999+1)/$AE999)))</f>
        <v/>
      </c>
      <c r="E999" s="56">
        <f>IF($B999=0,"",IF(Inputs!$B$8="","",IF($AF999=0,E998,SUMIFS(Data!$J$10:$J$3209,Data!$I$10:$I$3209,"&gt;="&amp;$A999,Data!$I$10:$I$3209,"&lt;"&amp;$A999+1)/$AF999)))</f>
        <v/>
      </c>
      <c r="F999" s="56">
        <f>IF($B999=0,"",IF(Inputs!$B$9="","",IF($AG999=0,F998,SUMIFS(Data!$N$10:$N$3209,Data!$M$10:$M$3209,"&gt;="&amp;$A999,Data!$M$10:$M$3209,"&lt;"&amp;$A999+1)/$AG999)))</f>
        <v/>
      </c>
      <c r="G999" s="56">
        <f>IF($B999=0,"",IF(Inputs!$B$10="","",IF($AH999=0,G998,SUMIFS(Data!$R$10:$R$3209,Data!$Q$10:$Q$3209,"&gt;="&amp;$A999,Data!$Q$10:$Q$3209,"&lt;"&amp;$A999+1)/$AH999)))</f>
        <v/>
      </c>
      <c r="I999" s="54">
        <f>IF($B999=0,NA(),IF($C999="",NA(),IF(C$8="",NA(),IF(N(C$8)=0,NA(),IF(Inputs!$C$17="Rebased to 100",$C999/C$8*100,$C999)))))</f>
        <v/>
      </c>
      <c r="J999" s="54">
        <f>IF($B999=0,NA(),IF($D999="",NA(),IF(D$8="",NA(),IF(N(D$8)=0,NA(),IF(Inputs!$C$17="Rebased to 100",$D999/D$8*100,$D999)))))</f>
        <v/>
      </c>
      <c r="K999" s="54">
        <f>IF($B999=0,NA(),IF($E999="",NA(),IF(E$8="",NA(),IF(N(E$8)=0,NA(),IF(Inputs!$C$17="Rebased to 100",$E999/E$8*100,$E999)))))</f>
        <v/>
      </c>
      <c r="L999" s="54">
        <f>IF($B999=0,NA(),IF($F999="",NA(),IF(F$8="",NA(),IF(N(F$8)=0,NA(),IF(Inputs!$C$17="Rebased to 100",$F999/F$8*100,$F999)))))</f>
        <v/>
      </c>
      <c r="M999" s="54">
        <f>IF($B999=0,NA(),IF($G999="",NA(),IF(G$8="",NA(),IF(N(G$8)=0,NA(),IF(Inputs!$C$17="Rebased to 100",$G999/G$8*100,$G999)))))</f>
        <v/>
      </c>
      <c r="N999" s="54">
        <f>IF($B999=0,NA(),IF(Inputs!$C$18&lt;&gt;"Yes",NA(),IF(COUNT(I999,J999,K999,L999,M999)=0,NA(),MIN(I999,J999,K999,L999,M999))))</f>
        <v/>
      </c>
      <c r="O999" s="54">
        <f>IF($B999=0,NA(),IF(Inputs!$B$24&lt;&gt;"Yes",NA(),Inputs!$D$24*Inputs!$C$35))</f>
        <v/>
      </c>
      <c r="P999" s="54">
        <f>IF($B999=0,NA(),IF(Inputs!$B$25&lt;&gt;"Yes",NA(),Inputs!$D$25*Inputs!$C$35))</f>
        <v/>
      </c>
      <c r="Q999" s="54">
        <f>IF($B999=0,NA(),IF(Inputs!$B$26&lt;&gt;"Yes",NA(),Inputs!$D$26*Inputs!$C$35))</f>
        <v/>
      </c>
      <c r="R999" s="54">
        <f>IF($B999=0,NA(),IF(Inputs!$B$27&lt;&gt;"Yes",NA(),Inputs!$D$27*Inputs!$C$35))</f>
        <v/>
      </c>
      <c r="S999" s="54">
        <f>IF($B999=0,NA(),IF(Inputs!$B$28&lt;&gt;"Yes",NA(),Inputs!$D$28*Inputs!$C$35))</f>
        <v/>
      </c>
      <c r="T999" s="54">
        <f>IF($B999=0,NA(),IF(Inputs!$B$29&lt;&gt;"Yes",NA(),Inputs!$D$29*Inputs!$C$35))</f>
        <v/>
      </c>
      <c r="AD999">
        <f>IF($B999=0,0,IF(Inputs!$B$6="",0,COUNTIFS(Data!$A$10:$A$3209,"&gt;="&amp;$A999,Data!$A$10:$A$3209,"&lt;"&amp;$A999+1)))</f>
        <v/>
      </c>
      <c r="AE999">
        <f>IF($B999=0,0,IF(Inputs!$B$7="",0,COUNTIFS(Data!$E$10:$E$3209,"&gt;="&amp;$A999,Data!$E$10:$E$3209,"&lt;"&amp;$A999+1)))</f>
        <v/>
      </c>
      <c r="AF999">
        <f>IF($B999=0,0,IF(Inputs!$B$8="",0,COUNTIFS(Data!$I$10:$I$3209,"&gt;="&amp;$A999,Data!$I$10:$I$3209,"&lt;"&amp;$A999+1)))</f>
        <v/>
      </c>
      <c r="AG999">
        <f>IF($B999=0,0,IF(Inputs!$B$9="",0,COUNTIFS(Data!$M$10:$M$3209,"&gt;="&amp;$A999,Data!$M$10:$M$3209,"&lt;"&amp;$A999+1)))</f>
        <v/>
      </c>
      <c r="AH999">
        <f>IF($B999=0,0,IF(Inputs!$B$10="",0,COUNTIFS(Data!$Q$10:$Q$3209,"&gt;="&amp;$A999,Data!$Q$10:$Q$3209,"&lt;"&amp;$A999+1)))</f>
        <v/>
      </c>
    </row>
    <row r="1000">
      <c r="A1000" s="55">
        <f>MIN(Inputs!$C$15,$A999+IF(WEEKDAY($A999,2)=5,3,1))</f>
        <v/>
      </c>
      <c r="B1000">
        <f>IF($A1000&gt;$A999,1,0)</f>
        <v/>
      </c>
      <c r="C1000" s="56">
        <f>IF($B1000=0,"",IF(Inputs!$B$6="","",IF($AD1000=0,C999,SUMIFS(Data!$B$10:$B$3209,Data!$A$10:$A$3209,"&gt;="&amp;$A1000,Data!$A$10:$A$3209,"&lt;"&amp;$A1000+1)/$AD1000)))</f>
        <v/>
      </c>
      <c r="D1000" s="56">
        <f>IF($B1000=0,"",IF(Inputs!$B$7="","",IF($AE1000=0,D999,SUMIFS(Data!$F$10:$F$3209,Data!$E$10:$E$3209,"&gt;="&amp;$A1000,Data!$E$10:$E$3209,"&lt;"&amp;$A1000+1)/$AE1000)))</f>
        <v/>
      </c>
      <c r="E1000" s="56">
        <f>IF($B1000=0,"",IF(Inputs!$B$8="","",IF($AF1000=0,E999,SUMIFS(Data!$J$10:$J$3209,Data!$I$10:$I$3209,"&gt;="&amp;$A1000,Data!$I$10:$I$3209,"&lt;"&amp;$A1000+1)/$AF1000)))</f>
        <v/>
      </c>
      <c r="F1000" s="56">
        <f>IF($B1000=0,"",IF(Inputs!$B$9="","",IF($AG1000=0,F999,SUMIFS(Data!$N$10:$N$3209,Data!$M$10:$M$3209,"&gt;="&amp;$A1000,Data!$M$10:$M$3209,"&lt;"&amp;$A1000+1)/$AG1000)))</f>
        <v/>
      </c>
      <c r="G1000" s="56">
        <f>IF($B1000=0,"",IF(Inputs!$B$10="","",IF($AH1000=0,G999,SUMIFS(Data!$R$10:$R$3209,Data!$Q$10:$Q$3209,"&gt;="&amp;$A1000,Data!$Q$10:$Q$3209,"&lt;"&amp;$A1000+1)/$AH1000)))</f>
        <v/>
      </c>
      <c r="I1000" s="54">
        <f>IF($B1000=0,NA(),IF($C1000="",NA(),IF(C$8="",NA(),IF(N(C$8)=0,NA(),IF(Inputs!$C$17="Rebased to 100",$C1000/C$8*100,$C1000)))))</f>
        <v/>
      </c>
      <c r="J1000" s="54">
        <f>IF($B1000=0,NA(),IF($D1000="",NA(),IF(D$8="",NA(),IF(N(D$8)=0,NA(),IF(Inputs!$C$17="Rebased to 100",$D1000/D$8*100,$D1000)))))</f>
        <v/>
      </c>
      <c r="K1000" s="54">
        <f>IF($B1000=0,NA(),IF($E1000="",NA(),IF(E$8="",NA(),IF(N(E$8)=0,NA(),IF(Inputs!$C$17="Rebased to 100",$E1000/E$8*100,$E1000)))))</f>
        <v/>
      </c>
      <c r="L1000" s="54">
        <f>IF($B1000=0,NA(),IF($F1000="",NA(),IF(F$8="",NA(),IF(N(F$8)=0,NA(),IF(Inputs!$C$17="Rebased to 100",$F1000/F$8*100,$F1000)))))</f>
        <v/>
      </c>
      <c r="M1000" s="54">
        <f>IF($B1000=0,NA(),IF($G1000="",NA(),IF(G$8="",NA(),IF(N(G$8)=0,NA(),IF(Inputs!$C$17="Rebased to 100",$G1000/G$8*100,$G1000)))))</f>
        <v/>
      </c>
      <c r="N1000" s="54">
        <f>IF($B1000=0,NA(),IF(Inputs!$C$18&lt;&gt;"Yes",NA(),IF(COUNT(I1000,J1000,K1000,L1000,M1000)=0,NA(),MIN(I1000,J1000,K1000,L1000,M1000))))</f>
        <v/>
      </c>
      <c r="O1000" s="54">
        <f>IF($B1000=0,NA(),IF(Inputs!$B$24&lt;&gt;"Yes",NA(),Inputs!$D$24*Inputs!$C$35))</f>
        <v/>
      </c>
      <c r="P1000" s="54">
        <f>IF($B1000=0,NA(),IF(Inputs!$B$25&lt;&gt;"Yes",NA(),Inputs!$D$25*Inputs!$C$35))</f>
        <v/>
      </c>
      <c r="Q1000" s="54">
        <f>IF($B1000=0,NA(),IF(Inputs!$B$26&lt;&gt;"Yes",NA(),Inputs!$D$26*Inputs!$C$35))</f>
        <v/>
      </c>
      <c r="R1000" s="54">
        <f>IF($B1000=0,NA(),IF(Inputs!$B$27&lt;&gt;"Yes",NA(),Inputs!$D$27*Inputs!$C$35))</f>
        <v/>
      </c>
      <c r="S1000" s="54">
        <f>IF($B1000=0,NA(),IF(Inputs!$B$28&lt;&gt;"Yes",NA(),Inputs!$D$28*Inputs!$C$35))</f>
        <v/>
      </c>
      <c r="T1000" s="54">
        <f>IF($B1000=0,NA(),IF(Inputs!$B$29&lt;&gt;"Yes",NA(),Inputs!$D$29*Inputs!$C$35))</f>
        <v/>
      </c>
      <c r="AD1000">
        <f>IF($B1000=0,0,IF(Inputs!$B$6="",0,COUNTIFS(Data!$A$10:$A$3209,"&gt;="&amp;$A1000,Data!$A$10:$A$3209,"&lt;"&amp;$A1000+1)))</f>
        <v/>
      </c>
      <c r="AE1000">
        <f>IF($B1000=0,0,IF(Inputs!$B$7="",0,COUNTIFS(Data!$E$10:$E$3209,"&gt;="&amp;$A1000,Data!$E$10:$E$3209,"&lt;"&amp;$A1000+1)))</f>
        <v/>
      </c>
      <c r="AF1000">
        <f>IF($B1000=0,0,IF(Inputs!$B$8="",0,COUNTIFS(Data!$I$10:$I$3209,"&gt;="&amp;$A1000,Data!$I$10:$I$3209,"&lt;"&amp;$A1000+1)))</f>
        <v/>
      </c>
      <c r="AG1000">
        <f>IF($B1000=0,0,IF(Inputs!$B$9="",0,COUNTIFS(Data!$M$10:$M$3209,"&gt;="&amp;$A1000,Data!$M$10:$M$3209,"&lt;"&amp;$A1000+1)))</f>
        <v/>
      </c>
      <c r="AH1000">
        <f>IF($B1000=0,0,IF(Inputs!$B$10="",0,COUNTIFS(Data!$Q$10:$Q$3209,"&gt;="&amp;$A1000,Data!$Q$10:$Q$3209,"&lt;"&amp;$A1000+1)))</f>
        <v/>
      </c>
    </row>
    <row r="1001">
      <c r="A1001" s="55">
        <f>MIN(Inputs!$C$15,$A1000+IF(WEEKDAY($A1000,2)=5,3,1))</f>
        <v/>
      </c>
      <c r="B1001">
        <f>IF($A1001&gt;$A1000,1,0)</f>
        <v/>
      </c>
      <c r="C1001" s="56">
        <f>IF($B1001=0,"",IF(Inputs!$B$6="","",IF($AD1001=0,C1000,SUMIFS(Data!$B$10:$B$3209,Data!$A$10:$A$3209,"&gt;="&amp;$A1001,Data!$A$10:$A$3209,"&lt;"&amp;$A1001+1)/$AD1001)))</f>
        <v/>
      </c>
      <c r="D1001" s="56">
        <f>IF($B1001=0,"",IF(Inputs!$B$7="","",IF($AE1001=0,D1000,SUMIFS(Data!$F$10:$F$3209,Data!$E$10:$E$3209,"&gt;="&amp;$A1001,Data!$E$10:$E$3209,"&lt;"&amp;$A1001+1)/$AE1001)))</f>
        <v/>
      </c>
      <c r="E1001" s="56">
        <f>IF($B1001=0,"",IF(Inputs!$B$8="","",IF($AF1001=0,E1000,SUMIFS(Data!$J$10:$J$3209,Data!$I$10:$I$3209,"&gt;="&amp;$A1001,Data!$I$10:$I$3209,"&lt;"&amp;$A1001+1)/$AF1001)))</f>
        <v/>
      </c>
      <c r="F1001" s="56">
        <f>IF($B1001=0,"",IF(Inputs!$B$9="","",IF($AG1001=0,F1000,SUMIFS(Data!$N$10:$N$3209,Data!$M$10:$M$3209,"&gt;="&amp;$A1001,Data!$M$10:$M$3209,"&lt;"&amp;$A1001+1)/$AG1001)))</f>
        <v/>
      </c>
      <c r="G1001" s="56">
        <f>IF($B1001=0,"",IF(Inputs!$B$10="","",IF($AH1001=0,G1000,SUMIFS(Data!$R$10:$R$3209,Data!$Q$10:$Q$3209,"&gt;="&amp;$A1001,Data!$Q$10:$Q$3209,"&lt;"&amp;$A1001+1)/$AH1001)))</f>
        <v/>
      </c>
      <c r="I1001" s="54">
        <f>IF($B1001=0,NA(),IF($C1001="",NA(),IF(C$8="",NA(),IF(N(C$8)=0,NA(),IF(Inputs!$C$17="Rebased to 100",$C1001/C$8*100,$C1001)))))</f>
        <v/>
      </c>
      <c r="J1001" s="54">
        <f>IF($B1001=0,NA(),IF($D1001="",NA(),IF(D$8="",NA(),IF(N(D$8)=0,NA(),IF(Inputs!$C$17="Rebased to 100",$D1001/D$8*100,$D1001)))))</f>
        <v/>
      </c>
      <c r="K1001" s="54">
        <f>IF($B1001=0,NA(),IF($E1001="",NA(),IF(E$8="",NA(),IF(N(E$8)=0,NA(),IF(Inputs!$C$17="Rebased to 100",$E1001/E$8*100,$E1001)))))</f>
        <v/>
      </c>
      <c r="L1001" s="54">
        <f>IF($B1001=0,NA(),IF($F1001="",NA(),IF(F$8="",NA(),IF(N(F$8)=0,NA(),IF(Inputs!$C$17="Rebased to 100",$F1001/F$8*100,$F1001)))))</f>
        <v/>
      </c>
      <c r="M1001" s="54">
        <f>IF($B1001=0,NA(),IF($G1001="",NA(),IF(G$8="",NA(),IF(N(G$8)=0,NA(),IF(Inputs!$C$17="Rebased to 100",$G1001/G$8*100,$G1001)))))</f>
        <v/>
      </c>
      <c r="N1001" s="54">
        <f>IF($B1001=0,NA(),IF(Inputs!$C$18&lt;&gt;"Yes",NA(),IF(COUNT(I1001,J1001,K1001,L1001,M1001)=0,NA(),MIN(I1001,J1001,K1001,L1001,M1001))))</f>
        <v/>
      </c>
      <c r="O1001" s="54">
        <f>IF($B1001=0,NA(),IF(Inputs!$B$24&lt;&gt;"Yes",NA(),Inputs!$D$24*Inputs!$C$35))</f>
        <v/>
      </c>
      <c r="P1001" s="54">
        <f>IF($B1001=0,NA(),IF(Inputs!$B$25&lt;&gt;"Yes",NA(),Inputs!$D$25*Inputs!$C$35))</f>
        <v/>
      </c>
      <c r="Q1001" s="54">
        <f>IF($B1001=0,NA(),IF(Inputs!$B$26&lt;&gt;"Yes",NA(),Inputs!$D$26*Inputs!$C$35))</f>
        <v/>
      </c>
      <c r="R1001" s="54">
        <f>IF($B1001=0,NA(),IF(Inputs!$B$27&lt;&gt;"Yes",NA(),Inputs!$D$27*Inputs!$C$35))</f>
        <v/>
      </c>
      <c r="S1001" s="54">
        <f>IF($B1001=0,NA(),IF(Inputs!$B$28&lt;&gt;"Yes",NA(),Inputs!$D$28*Inputs!$C$35))</f>
        <v/>
      </c>
      <c r="T1001" s="54">
        <f>IF($B1001=0,NA(),IF(Inputs!$B$29&lt;&gt;"Yes",NA(),Inputs!$D$29*Inputs!$C$35))</f>
        <v/>
      </c>
      <c r="AD1001">
        <f>IF($B1001=0,0,IF(Inputs!$B$6="",0,COUNTIFS(Data!$A$10:$A$3209,"&gt;="&amp;$A1001,Data!$A$10:$A$3209,"&lt;"&amp;$A1001+1)))</f>
        <v/>
      </c>
      <c r="AE1001">
        <f>IF($B1001=0,0,IF(Inputs!$B$7="",0,COUNTIFS(Data!$E$10:$E$3209,"&gt;="&amp;$A1001,Data!$E$10:$E$3209,"&lt;"&amp;$A1001+1)))</f>
        <v/>
      </c>
      <c r="AF1001">
        <f>IF($B1001=0,0,IF(Inputs!$B$8="",0,COUNTIFS(Data!$I$10:$I$3209,"&gt;="&amp;$A1001,Data!$I$10:$I$3209,"&lt;"&amp;$A1001+1)))</f>
        <v/>
      </c>
      <c r="AG1001">
        <f>IF($B1001=0,0,IF(Inputs!$B$9="",0,COUNTIFS(Data!$M$10:$M$3209,"&gt;="&amp;$A1001,Data!$M$10:$M$3209,"&lt;"&amp;$A1001+1)))</f>
        <v/>
      </c>
      <c r="AH1001">
        <f>IF($B1001=0,0,IF(Inputs!$B$10="",0,COUNTIFS(Data!$Q$10:$Q$3209,"&gt;="&amp;$A1001,Data!$Q$10:$Q$3209,"&lt;"&amp;$A1001+1)))</f>
        <v/>
      </c>
    </row>
    <row r="1002">
      <c r="A1002" s="55">
        <f>MIN(Inputs!$C$15,$A1001+IF(WEEKDAY($A1001,2)=5,3,1))</f>
        <v/>
      </c>
      <c r="B1002">
        <f>IF($A1002&gt;$A1001,1,0)</f>
        <v/>
      </c>
      <c r="C1002" s="56">
        <f>IF($B1002=0,"",IF(Inputs!$B$6="","",IF($AD1002=0,C1001,SUMIFS(Data!$B$10:$B$3209,Data!$A$10:$A$3209,"&gt;="&amp;$A1002,Data!$A$10:$A$3209,"&lt;"&amp;$A1002+1)/$AD1002)))</f>
        <v/>
      </c>
      <c r="D1002" s="56">
        <f>IF($B1002=0,"",IF(Inputs!$B$7="","",IF($AE1002=0,D1001,SUMIFS(Data!$F$10:$F$3209,Data!$E$10:$E$3209,"&gt;="&amp;$A1002,Data!$E$10:$E$3209,"&lt;"&amp;$A1002+1)/$AE1002)))</f>
        <v/>
      </c>
      <c r="E1002" s="56">
        <f>IF($B1002=0,"",IF(Inputs!$B$8="","",IF($AF1002=0,E1001,SUMIFS(Data!$J$10:$J$3209,Data!$I$10:$I$3209,"&gt;="&amp;$A1002,Data!$I$10:$I$3209,"&lt;"&amp;$A1002+1)/$AF1002)))</f>
        <v/>
      </c>
      <c r="F1002" s="56">
        <f>IF($B1002=0,"",IF(Inputs!$B$9="","",IF($AG1002=0,F1001,SUMIFS(Data!$N$10:$N$3209,Data!$M$10:$M$3209,"&gt;="&amp;$A1002,Data!$M$10:$M$3209,"&lt;"&amp;$A1002+1)/$AG1002)))</f>
        <v/>
      </c>
      <c r="G1002" s="56">
        <f>IF($B1002=0,"",IF(Inputs!$B$10="","",IF($AH1002=0,G1001,SUMIFS(Data!$R$10:$R$3209,Data!$Q$10:$Q$3209,"&gt;="&amp;$A1002,Data!$Q$10:$Q$3209,"&lt;"&amp;$A1002+1)/$AH1002)))</f>
        <v/>
      </c>
      <c r="I1002" s="54">
        <f>IF($B1002=0,NA(),IF($C1002="",NA(),IF(C$8="",NA(),IF(N(C$8)=0,NA(),IF(Inputs!$C$17="Rebased to 100",$C1002/C$8*100,$C1002)))))</f>
        <v/>
      </c>
      <c r="J1002" s="54">
        <f>IF($B1002=0,NA(),IF($D1002="",NA(),IF(D$8="",NA(),IF(N(D$8)=0,NA(),IF(Inputs!$C$17="Rebased to 100",$D1002/D$8*100,$D1002)))))</f>
        <v/>
      </c>
      <c r="K1002" s="54">
        <f>IF($B1002=0,NA(),IF($E1002="",NA(),IF(E$8="",NA(),IF(N(E$8)=0,NA(),IF(Inputs!$C$17="Rebased to 100",$E1002/E$8*100,$E1002)))))</f>
        <v/>
      </c>
      <c r="L1002" s="54">
        <f>IF($B1002=0,NA(),IF($F1002="",NA(),IF(F$8="",NA(),IF(N(F$8)=0,NA(),IF(Inputs!$C$17="Rebased to 100",$F1002/F$8*100,$F1002)))))</f>
        <v/>
      </c>
      <c r="M1002" s="54">
        <f>IF($B1002=0,NA(),IF($G1002="",NA(),IF(G$8="",NA(),IF(N(G$8)=0,NA(),IF(Inputs!$C$17="Rebased to 100",$G1002/G$8*100,$G1002)))))</f>
        <v/>
      </c>
      <c r="N1002" s="54">
        <f>IF($B1002=0,NA(),IF(Inputs!$C$18&lt;&gt;"Yes",NA(),IF(COUNT(I1002,J1002,K1002,L1002,M1002)=0,NA(),MIN(I1002,J1002,K1002,L1002,M1002))))</f>
        <v/>
      </c>
      <c r="O1002" s="54">
        <f>IF($B1002=0,NA(),IF(Inputs!$B$24&lt;&gt;"Yes",NA(),Inputs!$D$24*Inputs!$C$35))</f>
        <v/>
      </c>
      <c r="P1002" s="54">
        <f>IF($B1002=0,NA(),IF(Inputs!$B$25&lt;&gt;"Yes",NA(),Inputs!$D$25*Inputs!$C$35))</f>
        <v/>
      </c>
      <c r="Q1002" s="54">
        <f>IF($B1002=0,NA(),IF(Inputs!$B$26&lt;&gt;"Yes",NA(),Inputs!$D$26*Inputs!$C$35))</f>
        <v/>
      </c>
      <c r="R1002" s="54">
        <f>IF($B1002=0,NA(),IF(Inputs!$B$27&lt;&gt;"Yes",NA(),Inputs!$D$27*Inputs!$C$35))</f>
        <v/>
      </c>
      <c r="S1002" s="54">
        <f>IF($B1002=0,NA(),IF(Inputs!$B$28&lt;&gt;"Yes",NA(),Inputs!$D$28*Inputs!$C$35))</f>
        <v/>
      </c>
      <c r="T1002" s="54">
        <f>IF($B1002=0,NA(),IF(Inputs!$B$29&lt;&gt;"Yes",NA(),Inputs!$D$29*Inputs!$C$35))</f>
        <v/>
      </c>
      <c r="AD1002">
        <f>IF($B1002=0,0,IF(Inputs!$B$6="",0,COUNTIFS(Data!$A$10:$A$3209,"&gt;="&amp;$A1002,Data!$A$10:$A$3209,"&lt;"&amp;$A1002+1)))</f>
        <v/>
      </c>
      <c r="AE1002">
        <f>IF($B1002=0,0,IF(Inputs!$B$7="",0,COUNTIFS(Data!$E$10:$E$3209,"&gt;="&amp;$A1002,Data!$E$10:$E$3209,"&lt;"&amp;$A1002+1)))</f>
        <v/>
      </c>
      <c r="AF1002">
        <f>IF($B1002=0,0,IF(Inputs!$B$8="",0,COUNTIFS(Data!$I$10:$I$3209,"&gt;="&amp;$A1002,Data!$I$10:$I$3209,"&lt;"&amp;$A1002+1)))</f>
        <v/>
      </c>
      <c r="AG1002">
        <f>IF($B1002=0,0,IF(Inputs!$B$9="",0,COUNTIFS(Data!$M$10:$M$3209,"&gt;="&amp;$A1002,Data!$M$10:$M$3209,"&lt;"&amp;$A1002+1)))</f>
        <v/>
      </c>
      <c r="AH1002">
        <f>IF($B1002=0,0,IF(Inputs!$B$10="",0,COUNTIFS(Data!$Q$10:$Q$3209,"&gt;="&amp;$A1002,Data!$Q$10:$Q$3209,"&lt;"&amp;$A1002+1)))</f>
        <v/>
      </c>
    </row>
    <row r="1003">
      <c r="A1003" s="55">
        <f>MIN(Inputs!$C$15,$A1002+IF(WEEKDAY($A1002,2)=5,3,1))</f>
        <v/>
      </c>
      <c r="B1003">
        <f>IF($A1003&gt;$A1002,1,0)</f>
        <v/>
      </c>
      <c r="C1003" s="56">
        <f>IF($B1003=0,"",IF(Inputs!$B$6="","",IF($AD1003=0,C1002,SUMIFS(Data!$B$10:$B$3209,Data!$A$10:$A$3209,"&gt;="&amp;$A1003,Data!$A$10:$A$3209,"&lt;"&amp;$A1003+1)/$AD1003)))</f>
        <v/>
      </c>
      <c r="D1003" s="56">
        <f>IF($B1003=0,"",IF(Inputs!$B$7="","",IF($AE1003=0,D1002,SUMIFS(Data!$F$10:$F$3209,Data!$E$10:$E$3209,"&gt;="&amp;$A1003,Data!$E$10:$E$3209,"&lt;"&amp;$A1003+1)/$AE1003)))</f>
        <v/>
      </c>
      <c r="E1003" s="56">
        <f>IF($B1003=0,"",IF(Inputs!$B$8="","",IF($AF1003=0,E1002,SUMIFS(Data!$J$10:$J$3209,Data!$I$10:$I$3209,"&gt;="&amp;$A1003,Data!$I$10:$I$3209,"&lt;"&amp;$A1003+1)/$AF1003)))</f>
        <v/>
      </c>
      <c r="F1003" s="56">
        <f>IF($B1003=0,"",IF(Inputs!$B$9="","",IF($AG1003=0,F1002,SUMIFS(Data!$N$10:$N$3209,Data!$M$10:$M$3209,"&gt;="&amp;$A1003,Data!$M$10:$M$3209,"&lt;"&amp;$A1003+1)/$AG1003)))</f>
        <v/>
      </c>
      <c r="G1003" s="56">
        <f>IF($B1003=0,"",IF(Inputs!$B$10="","",IF($AH1003=0,G1002,SUMIFS(Data!$R$10:$R$3209,Data!$Q$10:$Q$3209,"&gt;="&amp;$A1003,Data!$Q$10:$Q$3209,"&lt;"&amp;$A1003+1)/$AH1003)))</f>
        <v/>
      </c>
      <c r="I1003" s="54">
        <f>IF($B1003=0,NA(),IF($C1003="",NA(),IF(C$8="",NA(),IF(N(C$8)=0,NA(),IF(Inputs!$C$17="Rebased to 100",$C1003/C$8*100,$C1003)))))</f>
        <v/>
      </c>
      <c r="J1003" s="54">
        <f>IF($B1003=0,NA(),IF($D1003="",NA(),IF(D$8="",NA(),IF(N(D$8)=0,NA(),IF(Inputs!$C$17="Rebased to 100",$D1003/D$8*100,$D1003)))))</f>
        <v/>
      </c>
      <c r="K1003" s="54">
        <f>IF($B1003=0,NA(),IF($E1003="",NA(),IF(E$8="",NA(),IF(N(E$8)=0,NA(),IF(Inputs!$C$17="Rebased to 100",$E1003/E$8*100,$E1003)))))</f>
        <v/>
      </c>
      <c r="L1003" s="54">
        <f>IF($B1003=0,NA(),IF($F1003="",NA(),IF(F$8="",NA(),IF(N(F$8)=0,NA(),IF(Inputs!$C$17="Rebased to 100",$F1003/F$8*100,$F1003)))))</f>
        <v/>
      </c>
      <c r="M1003" s="54">
        <f>IF($B1003=0,NA(),IF($G1003="",NA(),IF(G$8="",NA(),IF(N(G$8)=0,NA(),IF(Inputs!$C$17="Rebased to 100",$G1003/G$8*100,$G1003)))))</f>
        <v/>
      </c>
      <c r="N1003" s="54">
        <f>IF($B1003=0,NA(),IF(Inputs!$C$18&lt;&gt;"Yes",NA(),IF(COUNT(I1003,J1003,K1003,L1003,M1003)=0,NA(),MIN(I1003,J1003,K1003,L1003,M1003))))</f>
        <v/>
      </c>
      <c r="O1003" s="54">
        <f>IF($B1003=0,NA(),IF(Inputs!$B$24&lt;&gt;"Yes",NA(),Inputs!$D$24*Inputs!$C$35))</f>
        <v/>
      </c>
      <c r="P1003" s="54">
        <f>IF($B1003=0,NA(),IF(Inputs!$B$25&lt;&gt;"Yes",NA(),Inputs!$D$25*Inputs!$C$35))</f>
        <v/>
      </c>
      <c r="Q1003" s="54">
        <f>IF($B1003=0,NA(),IF(Inputs!$B$26&lt;&gt;"Yes",NA(),Inputs!$D$26*Inputs!$C$35))</f>
        <v/>
      </c>
      <c r="R1003" s="54">
        <f>IF($B1003=0,NA(),IF(Inputs!$B$27&lt;&gt;"Yes",NA(),Inputs!$D$27*Inputs!$C$35))</f>
        <v/>
      </c>
      <c r="S1003" s="54">
        <f>IF($B1003=0,NA(),IF(Inputs!$B$28&lt;&gt;"Yes",NA(),Inputs!$D$28*Inputs!$C$35))</f>
        <v/>
      </c>
      <c r="T1003" s="54">
        <f>IF($B1003=0,NA(),IF(Inputs!$B$29&lt;&gt;"Yes",NA(),Inputs!$D$29*Inputs!$C$35))</f>
        <v/>
      </c>
      <c r="AD1003">
        <f>IF($B1003=0,0,IF(Inputs!$B$6="",0,COUNTIFS(Data!$A$10:$A$3209,"&gt;="&amp;$A1003,Data!$A$10:$A$3209,"&lt;"&amp;$A1003+1)))</f>
        <v/>
      </c>
      <c r="AE1003">
        <f>IF($B1003=0,0,IF(Inputs!$B$7="",0,COUNTIFS(Data!$E$10:$E$3209,"&gt;="&amp;$A1003,Data!$E$10:$E$3209,"&lt;"&amp;$A1003+1)))</f>
        <v/>
      </c>
      <c r="AF1003">
        <f>IF($B1003=0,0,IF(Inputs!$B$8="",0,COUNTIFS(Data!$I$10:$I$3209,"&gt;="&amp;$A1003,Data!$I$10:$I$3209,"&lt;"&amp;$A1003+1)))</f>
        <v/>
      </c>
      <c r="AG1003">
        <f>IF($B1003=0,0,IF(Inputs!$B$9="",0,COUNTIFS(Data!$M$10:$M$3209,"&gt;="&amp;$A1003,Data!$M$10:$M$3209,"&lt;"&amp;$A1003+1)))</f>
        <v/>
      </c>
      <c r="AH1003">
        <f>IF($B1003=0,0,IF(Inputs!$B$10="",0,COUNTIFS(Data!$Q$10:$Q$3209,"&gt;="&amp;$A1003,Data!$Q$10:$Q$3209,"&lt;"&amp;$A1003+1)))</f>
        <v/>
      </c>
    </row>
    <row r="1004">
      <c r="A1004" s="55">
        <f>MIN(Inputs!$C$15,$A1003+IF(WEEKDAY($A1003,2)=5,3,1))</f>
        <v/>
      </c>
      <c r="B1004">
        <f>IF($A1004&gt;$A1003,1,0)</f>
        <v/>
      </c>
      <c r="C1004" s="56">
        <f>IF($B1004=0,"",IF(Inputs!$B$6="","",IF($AD1004=0,C1003,SUMIFS(Data!$B$10:$B$3209,Data!$A$10:$A$3209,"&gt;="&amp;$A1004,Data!$A$10:$A$3209,"&lt;"&amp;$A1004+1)/$AD1004)))</f>
        <v/>
      </c>
      <c r="D1004" s="56">
        <f>IF($B1004=0,"",IF(Inputs!$B$7="","",IF($AE1004=0,D1003,SUMIFS(Data!$F$10:$F$3209,Data!$E$10:$E$3209,"&gt;="&amp;$A1004,Data!$E$10:$E$3209,"&lt;"&amp;$A1004+1)/$AE1004)))</f>
        <v/>
      </c>
      <c r="E1004" s="56">
        <f>IF($B1004=0,"",IF(Inputs!$B$8="","",IF($AF1004=0,E1003,SUMIFS(Data!$J$10:$J$3209,Data!$I$10:$I$3209,"&gt;="&amp;$A1004,Data!$I$10:$I$3209,"&lt;"&amp;$A1004+1)/$AF1004)))</f>
        <v/>
      </c>
      <c r="F1004" s="56">
        <f>IF($B1004=0,"",IF(Inputs!$B$9="","",IF($AG1004=0,F1003,SUMIFS(Data!$N$10:$N$3209,Data!$M$10:$M$3209,"&gt;="&amp;$A1004,Data!$M$10:$M$3209,"&lt;"&amp;$A1004+1)/$AG1004)))</f>
        <v/>
      </c>
      <c r="G1004" s="56">
        <f>IF($B1004=0,"",IF(Inputs!$B$10="","",IF($AH1004=0,G1003,SUMIFS(Data!$R$10:$R$3209,Data!$Q$10:$Q$3209,"&gt;="&amp;$A1004,Data!$Q$10:$Q$3209,"&lt;"&amp;$A1004+1)/$AH1004)))</f>
        <v/>
      </c>
      <c r="I1004" s="54">
        <f>IF($B1004=0,NA(),IF($C1004="",NA(),IF(C$8="",NA(),IF(N(C$8)=0,NA(),IF(Inputs!$C$17="Rebased to 100",$C1004/C$8*100,$C1004)))))</f>
        <v/>
      </c>
      <c r="J1004" s="54">
        <f>IF($B1004=0,NA(),IF($D1004="",NA(),IF(D$8="",NA(),IF(N(D$8)=0,NA(),IF(Inputs!$C$17="Rebased to 100",$D1004/D$8*100,$D1004)))))</f>
        <v/>
      </c>
      <c r="K1004" s="54">
        <f>IF($B1004=0,NA(),IF($E1004="",NA(),IF(E$8="",NA(),IF(N(E$8)=0,NA(),IF(Inputs!$C$17="Rebased to 100",$E1004/E$8*100,$E1004)))))</f>
        <v/>
      </c>
      <c r="L1004" s="54">
        <f>IF($B1004=0,NA(),IF($F1004="",NA(),IF(F$8="",NA(),IF(N(F$8)=0,NA(),IF(Inputs!$C$17="Rebased to 100",$F1004/F$8*100,$F1004)))))</f>
        <v/>
      </c>
      <c r="M1004" s="54">
        <f>IF($B1004=0,NA(),IF($G1004="",NA(),IF(G$8="",NA(),IF(N(G$8)=0,NA(),IF(Inputs!$C$17="Rebased to 100",$G1004/G$8*100,$G1004)))))</f>
        <v/>
      </c>
      <c r="N1004" s="54">
        <f>IF($B1004=0,NA(),IF(Inputs!$C$18&lt;&gt;"Yes",NA(),IF(COUNT(I1004,J1004,K1004,L1004,M1004)=0,NA(),MIN(I1004,J1004,K1004,L1004,M1004))))</f>
        <v/>
      </c>
      <c r="O1004" s="54">
        <f>IF($B1004=0,NA(),IF(Inputs!$B$24&lt;&gt;"Yes",NA(),Inputs!$D$24*Inputs!$C$35))</f>
        <v/>
      </c>
      <c r="P1004" s="54">
        <f>IF($B1004=0,NA(),IF(Inputs!$B$25&lt;&gt;"Yes",NA(),Inputs!$D$25*Inputs!$C$35))</f>
        <v/>
      </c>
      <c r="Q1004" s="54">
        <f>IF($B1004=0,NA(),IF(Inputs!$B$26&lt;&gt;"Yes",NA(),Inputs!$D$26*Inputs!$C$35))</f>
        <v/>
      </c>
      <c r="R1004" s="54">
        <f>IF($B1004=0,NA(),IF(Inputs!$B$27&lt;&gt;"Yes",NA(),Inputs!$D$27*Inputs!$C$35))</f>
        <v/>
      </c>
      <c r="S1004" s="54">
        <f>IF($B1004=0,NA(),IF(Inputs!$B$28&lt;&gt;"Yes",NA(),Inputs!$D$28*Inputs!$C$35))</f>
        <v/>
      </c>
      <c r="T1004" s="54">
        <f>IF($B1004=0,NA(),IF(Inputs!$B$29&lt;&gt;"Yes",NA(),Inputs!$D$29*Inputs!$C$35))</f>
        <v/>
      </c>
      <c r="AD1004">
        <f>IF($B1004=0,0,IF(Inputs!$B$6="",0,COUNTIFS(Data!$A$10:$A$3209,"&gt;="&amp;$A1004,Data!$A$10:$A$3209,"&lt;"&amp;$A1004+1)))</f>
        <v/>
      </c>
      <c r="AE1004">
        <f>IF($B1004=0,0,IF(Inputs!$B$7="",0,COUNTIFS(Data!$E$10:$E$3209,"&gt;="&amp;$A1004,Data!$E$10:$E$3209,"&lt;"&amp;$A1004+1)))</f>
        <v/>
      </c>
      <c r="AF1004">
        <f>IF($B1004=0,0,IF(Inputs!$B$8="",0,COUNTIFS(Data!$I$10:$I$3209,"&gt;="&amp;$A1004,Data!$I$10:$I$3209,"&lt;"&amp;$A1004+1)))</f>
        <v/>
      </c>
      <c r="AG1004">
        <f>IF($B1004=0,0,IF(Inputs!$B$9="",0,COUNTIFS(Data!$M$10:$M$3209,"&gt;="&amp;$A1004,Data!$M$10:$M$3209,"&lt;"&amp;$A1004+1)))</f>
        <v/>
      </c>
      <c r="AH1004">
        <f>IF($B1004=0,0,IF(Inputs!$B$10="",0,COUNTIFS(Data!$Q$10:$Q$3209,"&gt;="&amp;$A1004,Data!$Q$10:$Q$3209,"&lt;"&amp;$A1004+1)))</f>
        <v/>
      </c>
    </row>
    <row r="1005">
      <c r="A1005" s="55">
        <f>MIN(Inputs!$C$15,$A1004+IF(WEEKDAY($A1004,2)=5,3,1))</f>
        <v/>
      </c>
      <c r="B1005">
        <f>IF($A1005&gt;$A1004,1,0)</f>
        <v/>
      </c>
      <c r="C1005" s="56">
        <f>IF($B1005=0,"",IF(Inputs!$B$6="","",IF($AD1005=0,C1004,SUMIFS(Data!$B$10:$B$3209,Data!$A$10:$A$3209,"&gt;="&amp;$A1005,Data!$A$10:$A$3209,"&lt;"&amp;$A1005+1)/$AD1005)))</f>
        <v/>
      </c>
      <c r="D1005" s="56">
        <f>IF($B1005=0,"",IF(Inputs!$B$7="","",IF($AE1005=0,D1004,SUMIFS(Data!$F$10:$F$3209,Data!$E$10:$E$3209,"&gt;="&amp;$A1005,Data!$E$10:$E$3209,"&lt;"&amp;$A1005+1)/$AE1005)))</f>
        <v/>
      </c>
      <c r="E1005" s="56">
        <f>IF($B1005=0,"",IF(Inputs!$B$8="","",IF($AF1005=0,E1004,SUMIFS(Data!$J$10:$J$3209,Data!$I$10:$I$3209,"&gt;="&amp;$A1005,Data!$I$10:$I$3209,"&lt;"&amp;$A1005+1)/$AF1005)))</f>
        <v/>
      </c>
      <c r="F1005" s="56">
        <f>IF($B1005=0,"",IF(Inputs!$B$9="","",IF($AG1005=0,F1004,SUMIFS(Data!$N$10:$N$3209,Data!$M$10:$M$3209,"&gt;="&amp;$A1005,Data!$M$10:$M$3209,"&lt;"&amp;$A1005+1)/$AG1005)))</f>
        <v/>
      </c>
      <c r="G1005" s="56">
        <f>IF($B1005=0,"",IF(Inputs!$B$10="","",IF($AH1005=0,G1004,SUMIFS(Data!$R$10:$R$3209,Data!$Q$10:$Q$3209,"&gt;="&amp;$A1005,Data!$Q$10:$Q$3209,"&lt;"&amp;$A1005+1)/$AH1005)))</f>
        <v/>
      </c>
      <c r="I1005" s="54">
        <f>IF($B1005=0,NA(),IF($C1005="",NA(),IF(C$8="",NA(),IF(N(C$8)=0,NA(),IF(Inputs!$C$17="Rebased to 100",$C1005/C$8*100,$C1005)))))</f>
        <v/>
      </c>
      <c r="J1005" s="54">
        <f>IF($B1005=0,NA(),IF($D1005="",NA(),IF(D$8="",NA(),IF(N(D$8)=0,NA(),IF(Inputs!$C$17="Rebased to 100",$D1005/D$8*100,$D1005)))))</f>
        <v/>
      </c>
      <c r="K1005" s="54">
        <f>IF($B1005=0,NA(),IF($E1005="",NA(),IF(E$8="",NA(),IF(N(E$8)=0,NA(),IF(Inputs!$C$17="Rebased to 100",$E1005/E$8*100,$E1005)))))</f>
        <v/>
      </c>
      <c r="L1005" s="54">
        <f>IF($B1005=0,NA(),IF($F1005="",NA(),IF(F$8="",NA(),IF(N(F$8)=0,NA(),IF(Inputs!$C$17="Rebased to 100",$F1005/F$8*100,$F1005)))))</f>
        <v/>
      </c>
      <c r="M1005" s="54">
        <f>IF($B1005=0,NA(),IF($G1005="",NA(),IF(G$8="",NA(),IF(N(G$8)=0,NA(),IF(Inputs!$C$17="Rebased to 100",$G1005/G$8*100,$G1005)))))</f>
        <v/>
      </c>
      <c r="N1005" s="54">
        <f>IF($B1005=0,NA(),IF(Inputs!$C$18&lt;&gt;"Yes",NA(),IF(COUNT(I1005,J1005,K1005,L1005,M1005)=0,NA(),MIN(I1005,J1005,K1005,L1005,M1005))))</f>
        <v/>
      </c>
      <c r="O1005" s="54">
        <f>IF($B1005=0,NA(),IF(Inputs!$B$24&lt;&gt;"Yes",NA(),Inputs!$D$24*Inputs!$C$35))</f>
        <v/>
      </c>
      <c r="P1005" s="54">
        <f>IF($B1005=0,NA(),IF(Inputs!$B$25&lt;&gt;"Yes",NA(),Inputs!$D$25*Inputs!$C$35))</f>
        <v/>
      </c>
      <c r="Q1005" s="54">
        <f>IF($B1005=0,NA(),IF(Inputs!$B$26&lt;&gt;"Yes",NA(),Inputs!$D$26*Inputs!$C$35))</f>
        <v/>
      </c>
      <c r="R1005" s="54">
        <f>IF($B1005=0,NA(),IF(Inputs!$B$27&lt;&gt;"Yes",NA(),Inputs!$D$27*Inputs!$C$35))</f>
        <v/>
      </c>
      <c r="S1005" s="54">
        <f>IF($B1005=0,NA(),IF(Inputs!$B$28&lt;&gt;"Yes",NA(),Inputs!$D$28*Inputs!$C$35))</f>
        <v/>
      </c>
      <c r="T1005" s="54">
        <f>IF($B1005=0,NA(),IF(Inputs!$B$29&lt;&gt;"Yes",NA(),Inputs!$D$29*Inputs!$C$35))</f>
        <v/>
      </c>
      <c r="AD1005">
        <f>IF($B1005=0,0,IF(Inputs!$B$6="",0,COUNTIFS(Data!$A$10:$A$3209,"&gt;="&amp;$A1005,Data!$A$10:$A$3209,"&lt;"&amp;$A1005+1)))</f>
        <v/>
      </c>
      <c r="AE1005">
        <f>IF($B1005=0,0,IF(Inputs!$B$7="",0,COUNTIFS(Data!$E$10:$E$3209,"&gt;="&amp;$A1005,Data!$E$10:$E$3209,"&lt;"&amp;$A1005+1)))</f>
        <v/>
      </c>
      <c r="AF1005">
        <f>IF($B1005=0,0,IF(Inputs!$B$8="",0,COUNTIFS(Data!$I$10:$I$3209,"&gt;="&amp;$A1005,Data!$I$10:$I$3209,"&lt;"&amp;$A1005+1)))</f>
        <v/>
      </c>
      <c r="AG1005">
        <f>IF($B1005=0,0,IF(Inputs!$B$9="",0,COUNTIFS(Data!$M$10:$M$3209,"&gt;="&amp;$A1005,Data!$M$10:$M$3209,"&lt;"&amp;$A1005+1)))</f>
        <v/>
      </c>
      <c r="AH1005">
        <f>IF($B1005=0,0,IF(Inputs!$B$10="",0,COUNTIFS(Data!$Q$10:$Q$3209,"&gt;="&amp;$A1005,Data!$Q$10:$Q$3209,"&lt;"&amp;$A1005+1)))</f>
        <v/>
      </c>
    </row>
    <row r="1006">
      <c r="A1006" s="55">
        <f>MIN(Inputs!$C$15,$A1005+IF(WEEKDAY($A1005,2)=5,3,1))</f>
        <v/>
      </c>
      <c r="B1006">
        <f>IF($A1006&gt;$A1005,1,0)</f>
        <v/>
      </c>
      <c r="C1006" s="56">
        <f>IF($B1006=0,"",IF(Inputs!$B$6="","",IF($AD1006=0,C1005,SUMIFS(Data!$B$10:$B$3209,Data!$A$10:$A$3209,"&gt;="&amp;$A1006,Data!$A$10:$A$3209,"&lt;"&amp;$A1006+1)/$AD1006)))</f>
        <v/>
      </c>
      <c r="D1006" s="56">
        <f>IF($B1006=0,"",IF(Inputs!$B$7="","",IF($AE1006=0,D1005,SUMIFS(Data!$F$10:$F$3209,Data!$E$10:$E$3209,"&gt;="&amp;$A1006,Data!$E$10:$E$3209,"&lt;"&amp;$A1006+1)/$AE1006)))</f>
        <v/>
      </c>
      <c r="E1006" s="56">
        <f>IF($B1006=0,"",IF(Inputs!$B$8="","",IF($AF1006=0,E1005,SUMIFS(Data!$J$10:$J$3209,Data!$I$10:$I$3209,"&gt;="&amp;$A1006,Data!$I$10:$I$3209,"&lt;"&amp;$A1006+1)/$AF1006)))</f>
        <v/>
      </c>
      <c r="F1006" s="56">
        <f>IF($B1006=0,"",IF(Inputs!$B$9="","",IF($AG1006=0,F1005,SUMIFS(Data!$N$10:$N$3209,Data!$M$10:$M$3209,"&gt;="&amp;$A1006,Data!$M$10:$M$3209,"&lt;"&amp;$A1006+1)/$AG1006)))</f>
        <v/>
      </c>
      <c r="G1006" s="56">
        <f>IF($B1006=0,"",IF(Inputs!$B$10="","",IF($AH1006=0,G1005,SUMIFS(Data!$R$10:$R$3209,Data!$Q$10:$Q$3209,"&gt;="&amp;$A1006,Data!$Q$10:$Q$3209,"&lt;"&amp;$A1006+1)/$AH1006)))</f>
        <v/>
      </c>
      <c r="I1006" s="54">
        <f>IF($B1006=0,NA(),IF($C1006="",NA(),IF(C$8="",NA(),IF(N(C$8)=0,NA(),IF(Inputs!$C$17="Rebased to 100",$C1006/C$8*100,$C1006)))))</f>
        <v/>
      </c>
      <c r="J1006" s="54">
        <f>IF($B1006=0,NA(),IF($D1006="",NA(),IF(D$8="",NA(),IF(N(D$8)=0,NA(),IF(Inputs!$C$17="Rebased to 100",$D1006/D$8*100,$D1006)))))</f>
        <v/>
      </c>
      <c r="K1006" s="54">
        <f>IF($B1006=0,NA(),IF($E1006="",NA(),IF(E$8="",NA(),IF(N(E$8)=0,NA(),IF(Inputs!$C$17="Rebased to 100",$E1006/E$8*100,$E1006)))))</f>
        <v/>
      </c>
      <c r="L1006" s="54">
        <f>IF($B1006=0,NA(),IF($F1006="",NA(),IF(F$8="",NA(),IF(N(F$8)=0,NA(),IF(Inputs!$C$17="Rebased to 100",$F1006/F$8*100,$F1006)))))</f>
        <v/>
      </c>
      <c r="M1006" s="54">
        <f>IF($B1006=0,NA(),IF($G1006="",NA(),IF(G$8="",NA(),IF(N(G$8)=0,NA(),IF(Inputs!$C$17="Rebased to 100",$G1006/G$8*100,$G1006)))))</f>
        <v/>
      </c>
      <c r="N1006" s="54">
        <f>IF($B1006=0,NA(),IF(Inputs!$C$18&lt;&gt;"Yes",NA(),IF(COUNT(I1006,J1006,K1006,L1006,M1006)=0,NA(),MIN(I1006,J1006,K1006,L1006,M1006))))</f>
        <v/>
      </c>
      <c r="O1006" s="54">
        <f>IF($B1006=0,NA(),IF(Inputs!$B$24&lt;&gt;"Yes",NA(),Inputs!$D$24*Inputs!$C$35))</f>
        <v/>
      </c>
      <c r="P1006" s="54">
        <f>IF($B1006=0,NA(),IF(Inputs!$B$25&lt;&gt;"Yes",NA(),Inputs!$D$25*Inputs!$C$35))</f>
        <v/>
      </c>
      <c r="Q1006" s="54">
        <f>IF($B1006=0,NA(),IF(Inputs!$B$26&lt;&gt;"Yes",NA(),Inputs!$D$26*Inputs!$C$35))</f>
        <v/>
      </c>
      <c r="R1006" s="54">
        <f>IF($B1006=0,NA(),IF(Inputs!$B$27&lt;&gt;"Yes",NA(),Inputs!$D$27*Inputs!$C$35))</f>
        <v/>
      </c>
      <c r="S1006" s="54">
        <f>IF($B1006=0,NA(),IF(Inputs!$B$28&lt;&gt;"Yes",NA(),Inputs!$D$28*Inputs!$C$35))</f>
        <v/>
      </c>
      <c r="T1006" s="54">
        <f>IF($B1006=0,NA(),IF(Inputs!$B$29&lt;&gt;"Yes",NA(),Inputs!$D$29*Inputs!$C$35))</f>
        <v/>
      </c>
      <c r="AD1006">
        <f>IF($B1006=0,0,IF(Inputs!$B$6="",0,COUNTIFS(Data!$A$10:$A$3209,"&gt;="&amp;$A1006,Data!$A$10:$A$3209,"&lt;"&amp;$A1006+1)))</f>
        <v/>
      </c>
      <c r="AE1006">
        <f>IF($B1006=0,0,IF(Inputs!$B$7="",0,COUNTIFS(Data!$E$10:$E$3209,"&gt;="&amp;$A1006,Data!$E$10:$E$3209,"&lt;"&amp;$A1006+1)))</f>
        <v/>
      </c>
      <c r="AF1006">
        <f>IF($B1006=0,0,IF(Inputs!$B$8="",0,COUNTIFS(Data!$I$10:$I$3209,"&gt;="&amp;$A1006,Data!$I$10:$I$3209,"&lt;"&amp;$A1006+1)))</f>
        <v/>
      </c>
      <c r="AG1006">
        <f>IF($B1006=0,0,IF(Inputs!$B$9="",0,COUNTIFS(Data!$M$10:$M$3209,"&gt;="&amp;$A1006,Data!$M$10:$M$3209,"&lt;"&amp;$A1006+1)))</f>
        <v/>
      </c>
      <c r="AH1006">
        <f>IF($B1006=0,0,IF(Inputs!$B$10="",0,COUNTIFS(Data!$Q$10:$Q$3209,"&gt;="&amp;$A1006,Data!$Q$10:$Q$3209,"&lt;"&amp;$A1006+1)))</f>
        <v/>
      </c>
    </row>
    <row r="1007">
      <c r="A1007" s="55">
        <f>MIN(Inputs!$C$15,$A1006+IF(WEEKDAY($A1006,2)=5,3,1))</f>
        <v/>
      </c>
      <c r="B1007">
        <f>IF($A1007&gt;$A1006,1,0)</f>
        <v/>
      </c>
      <c r="C1007" s="56">
        <f>IF($B1007=0,"",IF(Inputs!$B$6="","",IF($AD1007=0,C1006,SUMIFS(Data!$B$10:$B$3209,Data!$A$10:$A$3209,"&gt;="&amp;$A1007,Data!$A$10:$A$3209,"&lt;"&amp;$A1007+1)/$AD1007)))</f>
        <v/>
      </c>
      <c r="D1007" s="56">
        <f>IF($B1007=0,"",IF(Inputs!$B$7="","",IF($AE1007=0,D1006,SUMIFS(Data!$F$10:$F$3209,Data!$E$10:$E$3209,"&gt;="&amp;$A1007,Data!$E$10:$E$3209,"&lt;"&amp;$A1007+1)/$AE1007)))</f>
        <v/>
      </c>
      <c r="E1007" s="56">
        <f>IF($B1007=0,"",IF(Inputs!$B$8="","",IF($AF1007=0,E1006,SUMIFS(Data!$J$10:$J$3209,Data!$I$10:$I$3209,"&gt;="&amp;$A1007,Data!$I$10:$I$3209,"&lt;"&amp;$A1007+1)/$AF1007)))</f>
        <v/>
      </c>
      <c r="F1007" s="56">
        <f>IF($B1007=0,"",IF(Inputs!$B$9="","",IF($AG1007=0,F1006,SUMIFS(Data!$N$10:$N$3209,Data!$M$10:$M$3209,"&gt;="&amp;$A1007,Data!$M$10:$M$3209,"&lt;"&amp;$A1007+1)/$AG1007)))</f>
        <v/>
      </c>
      <c r="G1007" s="56">
        <f>IF($B1007=0,"",IF(Inputs!$B$10="","",IF($AH1007=0,G1006,SUMIFS(Data!$R$10:$R$3209,Data!$Q$10:$Q$3209,"&gt;="&amp;$A1007,Data!$Q$10:$Q$3209,"&lt;"&amp;$A1007+1)/$AH1007)))</f>
        <v/>
      </c>
      <c r="I1007" s="54">
        <f>IF($B1007=0,NA(),IF($C1007="",NA(),IF(C$8="",NA(),IF(N(C$8)=0,NA(),IF(Inputs!$C$17="Rebased to 100",$C1007/C$8*100,$C1007)))))</f>
        <v/>
      </c>
      <c r="J1007" s="54">
        <f>IF($B1007=0,NA(),IF($D1007="",NA(),IF(D$8="",NA(),IF(N(D$8)=0,NA(),IF(Inputs!$C$17="Rebased to 100",$D1007/D$8*100,$D1007)))))</f>
        <v/>
      </c>
      <c r="K1007" s="54">
        <f>IF($B1007=0,NA(),IF($E1007="",NA(),IF(E$8="",NA(),IF(N(E$8)=0,NA(),IF(Inputs!$C$17="Rebased to 100",$E1007/E$8*100,$E1007)))))</f>
        <v/>
      </c>
      <c r="L1007" s="54">
        <f>IF($B1007=0,NA(),IF($F1007="",NA(),IF(F$8="",NA(),IF(N(F$8)=0,NA(),IF(Inputs!$C$17="Rebased to 100",$F1007/F$8*100,$F1007)))))</f>
        <v/>
      </c>
      <c r="M1007" s="54">
        <f>IF($B1007=0,NA(),IF($G1007="",NA(),IF(G$8="",NA(),IF(N(G$8)=0,NA(),IF(Inputs!$C$17="Rebased to 100",$G1007/G$8*100,$G1007)))))</f>
        <v/>
      </c>
      <c r="N1007" s="54">
        <f>IF($B1007=0,NA(),IF(Inputs!$C$18&lt;&gt;"Yes",NA(),IF(COUNT(I1007,J1007,K1007,L1007,M1007)=0,NA(),MIN(I1007,J1007,K1007,L1007,M1007))))</f>
        <v/>
      </c>
      <c r="O1007" s="54">
        <f>IF($B1007=0,NA(),IF(Inputs!$B$24&lt;&gt;"Yes",NA(),Inputs!$D$24*Inputs!$C$35))</f>
        <v/>
      </c>
      <c r="P1007" s="54">
        <f>IF($B1007=0,NA(),IF(Inputs!$B$25&lt;&gt;"Yes",NA(),Inputs!$D$25*Inputs!$C$35))</f>
        <v/>
      </c>
      <c r="Q1007" s="54">
        <f>IF($B1007=0,NA(),IF(Inputs!$B$26&lt;&gt;"Yes",NA(),Inputs!$D$26*Inputs!$C$35))</f>
        <v/>
      </c>
      <c r="R1007" s="54">
        <f>IF($B1007=0,NA(),IF(Inputs!$B$27&lt;&gt;"Yes",NA(),Inputs!$D$27*Inputs!$C$35))</f>
        <v/>
      </c>
      <c r="S1007" s="54">
        <f>IF($B1007=0,NA(),IF(Inputs!$B$28&lt;&gt;"Yes",NA(),Inputs!$D$28*Inputs!$C$35))</f>
        <v/>
      </c>
      <c r="T1007" s="54">
        <f>IF($B1007=0,NA(),IF(Inputs!$B$29&lt;&gt;"Yes",NA(),Inputs!$D$29*Inputs!$C$35))</f>
        <v/>
      </c>
      <c r="AD1007">
        <f>IF($B1007=0,0,IF(Inputs!$B$6="",0,COUNTIFS(Data!$A$10:$A$3209,"&gt;="&amp;$A1007,Data!$A$10:$A$3209,"&lt;"&amp;$A1007+1)))</f>
        <v/>
      </c>
      <c r="AE1007">
        <f>IF($B1007=0,0,IF(Inputs!$B$7="",0,COUNTIFS(Data!$E$10:$E$3209,"&gt;="&amp;$A1007,Data!$E$10:$E$3209,"&lt;"&amp;$A1007+1)))</f>
        <v/>
      </c>
      <c r="AF1007">
        <f>IF($B1007=0,0,IF(Inputs!$B$8="",0,COUNTIFS(Data!$I$10:$I$3209,"&gt;="&amp;$A1007,Data!$I$10:$I$3209,"&lt;"&amp;$A1007+1)))</f>
        <v/>
      </c>
      <c r="AG1007">
        <f>IF($B1007=0,0,IF(Inputs!$B$9="",0,COUNTIFS(Data!$M$10:$M$3209,"&gt;="&amp;$A1007,Data!$M$10:$M$3209,"&lt;"&amp;$A1007+1)))</f>
        <v/>
      </c>
      <c r="AH1007">
        <f>IF($B1007=0,0,IF(Inputs!$B$10="",0,COUNTIFS(Data!$Q$10:$Q$3209,"&gt;="&amp;$A1007,Data!$Q$10:$Q$3209,"&lt;"&amp;$A1007+1)))</f>
        <v/>
      </c>
    </row>
    <row r="1008">
      <c r="A1008" s="55">
        <f>MIN(Inputs!$C$15,$A1007+IF(WEEKDAY($A1007,2)=5,3,1))</f>
        <v/>
      </c>
      <c r="B1008">
        <f>IF($A1008&gt;$A1007,1,0)</f>
        <v/>
      </c>
      <c r="C1008" s="56">
        <f>IF($B1008=0,"",IF(Inputs!$B$6="","",IF($AD1008=0,C1007,SUMIFS(Data!$B$10:$B$3209,Data!$A$10:$A$3209,"&gt;="&amp;$A1008,Data!$A$10:$A$3209,"&lt;"&amp;$A1008+1)/$AD1008)))</f>
        <v/>
      </c>
      <c r="D1008" s="56">
        <f>IF($B1008=0,"",IF(Inputs!$B$7="","",IF($AE1008=0,D1007,SUMIFS(Data!$F$10:$F$3209,Data!$E$10:$E$3209,"&gt;="&amp;$A1008,Data!$E$10:$E$3209,"&lt;"&amp;$A1008+1)/$AE1008)))</f>
        <v/>
      </c>
      <c r="E1008" s="56">
        <f>IF($B1008=0,"",IF(Inputs!$B$8="","",IF($AF1008=0,E1007,SUMIFS(Data!$J$10:$J$3209,Data!$I$10:$I$3209,"&gt;="&amp;$A1008,Data!$I$10:$I$3209,"&lt;"&amp;$A1008+1)/$AF1008)))</f>
        <v/>
      </c>
      <c r="F1008" s="56">
        <f>IF($B1008=0,"",IF(Inputs!$B$9="","",IF($AG1008=0,F1007,SUMIFS(Data!$N$10:$N$3209,Data!$M$10:$M$3209,"&gt;="&amp;$A1008,Data!$M$10:$M$3209,"&lt;"&amp;$A1008+1)/$AG1008)))</f>
        <v/>
      </c>
      <c r="G1008" s="56">
        <f>IF($B1008=0,"",IF(Inputs!$B$10="","",IF($AH1008=0,G1007,SUMIFS(Data!$R$10:$R$3209,Data!$Q$10:$Q$3209,"&gt;="&amp;$A1008,Data!$Q$10:$Q$3209,"&lt;"&amp;$A1008+1)/$AH1008)))</f>
        <v/>
      </c>
      <c r="I1008" s="54">
        <f>IF($B1008=0,NA(),IF($C1008="",NA(),IF(C$8="",NA(),IF(N(C$8)=0,NA(),IF(Inputs!$C$17="Rebased to 100",$C1008/C$8*100,$C1008)))))</f>
        <v/>
      </c>
      <c r="J1008" s="54">
        <f>IF($B1008=0,NA(),IF($D1008="",NA(),IF(D$8="",NA(),IF(N(D$8)=0,NA(),IF(Inputs!$C$17="Rebased to 100",$D1008/D$8*100,$D1008)))))</f>
        <v/>
      </c>
      <c r="K1008" s="54">
        <f>IF($B1008=0,NA(),IF($E1008="",NA(),IF(E$8="",NA(),IF(N(E$8)=0,NA(),IF(Inputs!$C$17="Rebased to 100",$E1008/E$8*100,$E1008)))))</f>
        <v/>
      </c>
      <c r="L1008" s="54">
        <f>IF($B1008=0,NA(),IF($F1008="",NA(),IF(F$8="",NA(),IF(N(F$8)=0,NA(),IF(Inputs!$C$17="Rebased to 100",$F1008/F$8*100,$F1008)))))</f>
        <v/>
      </c>
      <c r="M1008" s="54">
        <f>IF($B1008=0,NA(),IF($G1008="",NA(),IF(G$8="",NA(),IF(N(G$8)=0,NA(),IF(Inputs!$C$17="Rebased to 100",$G1008/G$8*100,$G1008)))))</f>
        <v/>
      </c>
      <c r="N1008" s="54">
        <f>IF($B1008=0,NA(),IF(Inputs!$C$18&lt;&gt;"Yes",NA(),IF(COUNT(I1008,J1008,K1008,L1008,M1008)=0,NA(),MIN(I1008,J1008,K1008,L1008,M1008))))</f>
        <v/>
      </c>
      <c r="O1008" s="54">
        <f>IF($B1008=0,NA(),IF(Inputs!$B$24&lt;&gt;"Yes",NA(),Inputs!$D$24*Inputs!$C$35))</f>
        <v/>
      </c>
      <c r="P1008" s="54">
        <f>IF($B1008=0,NA(),IF(Inputs!$B$25&lt;&gt;"Yes",NA(),Inputs!$D$25*Inputs!$C$35))</f>
        <v/>
      </c>
      <c r="Q1008" s="54">
        <f>IF($B1008=0,NA(),IF(Inputs!$B$26&lt;&gt;"Yes",NA(),Inputs!$D$26*Inputs!$C$35))</f>
        <v/>
      </c>
      <c r="R1008" s="54">
        <f>IF($B1008=0,NA(),IF(Inputs!$B$27&lt;&gt;"Yes",NA(),Inputs!$D$27*Inputs!$C$35))</f>
        <v/>
      </c>
      <c r="S1008" s="54">
        <f>IF($B1008=0,NA(),IF(Inputs!$B$28&lt;&gt;"Yes",NA(),Inputs!$D$28*Inputs!$C$35))</f>
        <v/>
      </c>
      <c r="T1008" s="54">
        <f>IF($B1008=0,NA(),IF(Inputs!$B$29&lt;&gt;"Yes",NA(),Inputs!$D$29*Inputs!$C$35))</f>
        <v/>
      </c>
      <c r="AD1008">
        <f>IF($B1008=0,0,IF(Inputs!$B$6="",0,COUNTIFS(Data!$A$10:$A$3209,"&gt;="&amp;$A1008,Data!$A$10:$A$3209,"&lt;"&amp;$A1008+1)))</f>
        <v/>
      </c>
      <c r="AE1008">
        <f>IF($B1008=0,0,IF(Inputs!$B$7="",0,COUNTIFS(Data!$E$10:$E$3209,"&gt;="&amp;$A1008,Data!$E$10:$E$3209,"&lt;"&amp;$A1008+1)))</f>
        <v/>
      </c>
      <c r="AF1008">
        <f>IF($B1008=0,0,IF(Inputs!$B$8="",0,COUNTIFS(Data!$I$10:$I$3209,"&gt;="&amp;$A1008,Data!$I$10:$I$3209,"&lt;"&amp;$A1008+1)))</f>
        <v/>
      </c>
      <c r="AG1008">
        <f>IF($B1008=0,0,IF(Inputs!$B$9="",0,COUNTIFS(Data!$M$10:$M$3209,"&gt;="&amp;$A1008,Data!$M$10:$M$3209,"&lt;"&amp;$A1008+1)))</f>
        <v/>
      </c>
      <c r="AH1008">
        <f>IF($B1008=0,0,IF(Inputs!$B$10="",0,COUNTIFS(Data!$Q$10:$Q$3209,"&gt;="&amp;$A1008,Data!$Q$10:$Q$3209,"&lt;"&amp;$A1008+1)))</f>
        <v/>
      </c>
    </row>
    <row r="1009">
      <c r="A1009" s="55">
        <f>MIN(Inputs!$C$15,$A1008+IF(WEEKDAY($A1008,2)=5,3,1))</f>
        <v/>
      </c>
      <c r="B1009">
        <f>IF($A1009&gt;$A1008,1,0)</f>
        <v/>
      </c>
      <c r="C1009" s="56">
        <f>IF($B1009=0,"",IF(Inputs!$B$6="","",IF($AD1009=0,C1008,SUMIFS(Data!$B$10:$B$3209,Data!$A$10:$A$3209,"&gt;="&amp;$A1009,Data!$A$10:$A$3209,"&lt;"&amp;$A1009+1)/$AD1009)))</f>
        <v/>
      </c>
      <c r="D1009" s="56">
        <f>IF($B1009=0,"",IF(Inputs!$B$7="","",IF($AE1009=0,D1008,SUMIFS(Data!$F$10:$F$3209,Data!$E$10:$E$3209,"&gt;="&amp;$A1009,Data!$E$10:$E$3209,"&lt;"&amp;$A1009+1)/$AE1009)))</f>
        <v/>
      </c>
      <c r="E1009" s="56">
        <f>IF($B1009=0,"",IF(Inputs!$B$8="","",IF($AF1009=0,E1008,SUMIFS(Data!$J$10:$J$3209,Data!$I$10:$I$3209,"&gt;="&amp;$A1009,Data!$I$10:$I$3209,"&lt;"&amp;$A1009+1)/$AF1009)))</f>
        <v/>
      </c>
      <c r="F1009" s="56">
        <f>IF($B1009=0,"",IF(Inputs!$B$9="","",IF($AG1009=0,F1008,SUMIFS(Data!$N$10:$N$3209,Data!$M$10:$M$3209,"&gt;="&amp;$A1009,Data!$M$10:$M$3209,"&lt;"&amp;$A1009+1)/$AG1009)))</f>
        <v/>
      </c>
      <c r="G1009" s="56">
        <f>IF($B1009=0,"",IF(Inputs!$B$10="","",IF($AH1009=0,G1008,SUMIFS(Data!$R$10:$R$3209,Data!$Q$10:$Q$3209,"&gt;="&amp;$A1009,Data!$Q$10:$Q$3209,"&lt;"&amp;$A1009+1)/$AH1009)))</f>
        <v/>
      </c>
      <c r="I1009" s="54">
        <f>IF($B1009=0,NA(),IF($C1009="",NA(),IF(C$8="",NA(),IF(N(C$8)=0,NA(),IF(Inputs!$C$17="Rebased to 100",$C1009/C$8*100,$C1009)))))</f>
        <v/>
      </c>
      <c r="J1009" s="54">
        <f>IF($B1009=0,NA(),IF($D1009="",NA(),IF(D$8="",NA(),IF(N(D$8)=0,NA(),IF(Inputs!$C$17="Rebased to 100",$D1009/D$8*100,$D1009)))))</f>
        <v/>
      </c>
      <c r="K1009" s="54">
        <f>IF($B1009=0,NA(),IF($E1009="",NA(),IF(E$8="",NA(),IF(N(E$8)=0,NA(),IF(Inputs!$C$17="Rebased to 100",$E1009/E$8*100,$E1009)))))</f>
        <v/>
      </c>
      <c r="L1009" s="54">
        <f>IF($B1009=0,NA(),IF($F1009="",NA(),IF(F$8="",NA(),IF(N(F$8)=0,NA(),IF(Inputs!$C$17="Rebased to 100",$F1009/F$8*100,$F1009)))))</f>
        <v/>
      </c>
      <c r="M1009" s="54">
        <f>IF($B1009=0,NA(),IF($G1009="",NA(),IF(G$8="",NA(),IF(N(G$8)=0,NA(),IF(Inputs!$C$17="Rebased to 100",$G1009/G$8*100,$G1009)))))</f>
        <v/>
      </c>
      <c r="N1009" s="54">
        <f>IF($B1009=0,NA(),IF(Inputs!$C$18&lt;&gt;"Yes",NA(),IF(COUNT(I1009,J1009,K1009,L1009,M1009)=0,NA(),MIN(I1009,J1009,K1009,L1009,M1009))))</f>
        <v/>
      </c>
      <c r="O1009" s="54">
        <f>IF($B1009=0,NA(),IF(Inputs!$B$24&lt;&gt;"Yes",NA(),Inputs!$D$24*Inputs!$C$35))</f>
        <v/>
      </c>
      <c r="P1009" s="54">
        <f>IF($B1009=0,NA(),IF(Inputs!$B$25&lt;&gt;"Yes",NA(),Inputs!$D$25*Inputs!$C$35))</f>
        <v/>
      </c>
      <c r="Q1009" s="54">
        <f>IF($B1009=0,NA(),IF(Inputs!$B$26&lt;&gt;"Yes",NA(),Inputs!$D$26*Inputs!$C$35))</f>
        <v/>
      </c>
      <c r="R1009" s="54">
        <f>IF($B1009=0,NA(),IF(Inputs!$B$27&lt;&gt;"Yes",NA(),Inputs!$D$27*Inputs!$C$35))</f>
        <v/>
      </c>
      <c r="S1009" s="54">
        <f>IF($B1009=0,NA(),IF(Inputs!$B$28&lt;&gt;"Yes",NA(),Inputs!$D$28*Inputs!$C$35))</f>
        <v/>
      </c>
      <c r="T1009" s="54">
        <f>IF($B1009=0,NA(),IF(Inputs!$B$29&lt;&gt;"Yes",NA(),Inputs!$D$29*Inputs!$C$35))</f>
        <v/>
      </c>
      <c r="AD1009">
        <f>IF($B1009=0,0,IF(Inputs!$B$6="",0,COUNTIFS(Data!$A$10:$A$3209,"&gt;="&amp;$A1009,Data!$A$10:$A$3209,"&lt;"&amp;$A1009+1)))</f>
        <v/>
      </c>
      <c r="AE1009">
        <f>IF($B1009=0,0,IF(Inputs!$B$7="",0,COUNTIFS(Data!$E$10:$E$3209,"&gt;="&amp;$A1009,Data!$E$10:$E$3209,"&lt;"&amp;$A1009+1)))</f>
        <v/>
      </c>
      <c r="AF1009">
        <f>IF($B1009=0,0,IF(Inputs!$B$8="",0,COUNTIFS(Data!$I$10:$I$3209,"&gt;="&amp;$A1009,Data!$I$10:$I$3209,"&lt;"&amp;$A1009+1)))</f>
        <v/>
      </c>
      <c r="AG1009">
        <f>IF($B1009=0,0,IF(Inputs!$B$9="",0,COUNTIFS(Data!$M$10:$M$3209,"&gt;="&amp;$A1009,Data!$M$10:$M$3209,"&lt;"&amp;$A1009+1)))</f>
        <v/>
      </c>
      <c r="AH1009">
        <f>IF($B1009=0,0,IF(Inputs!$B$10="",0,COUNTIFS(Data!$Q$10:$Q$3209,"&gt;="&amp;$A1009,Data!$Q$10:$Q$3209,"&lt;"&amp;$A1009+1)))</f>
        <v/>
      </c>
    </row>
    <row r="1010">
      <c r="A1010" s="55">
        <f>MIN(Inputs!$C$15,$A1009+IF(WEEKDAY($A1009,2)=5,3,1))</f>
        <v/>
      </c>
      <c r="B1010">
        <f>IF($A1010&gt;$A1009,1,0)</f>
        <v/>
      </c>
      <c r="C1010" s="56">
        <f>IF($B1010=0,"",IF(Inputs!$B$6="","",IF($AD1010=0,C1009,SUMIFS(Data!$B$10:$B$3209,Data!$A$10:$A$3209,"&gt;="&amp;$A1010,Data!$A$10:$A$3209,"&lt;"&amp;$A1010+1)/$AD1010)))</f>
        <v/>
      </c>
      <c r="D1010" s="56">
        <f>IF($B1010=0,"",IF(Inputs!$B$7="","",IF($AE1010=0,D1009,SUMIFS(Data!$F$10:$F$3209,Data!$E$10:$E$3209,"&gt;="&amp;$A1010,Data!$E$10:$E$3209,"&lt;"&amp;$A1010+1)/$AE1010)))</f>
        <v/>
      </c>
      <c r="E1010" s="56">
        <f>IF($B1010=0,"",IF(Inputs!$B$8="","",IF($AF1010=0,E1009,SUMIFS(Data!$J$10:$J$3209,Data!$I$10:$I$3209,"&gt;="&amp;$A1010,Data!$I$10:$I$3209,"&lt;"&amp;$A1010+1)/$AF1010)))</f>
        <v/>
      </c>
      <c r="F1010" s="56">
        <f>IF($B1010=0,"",IF(Inputs!$B$9="","",IF($AG1010=0,F1009,SUMIFS(Data!$N$10:$N$3209,Data!$M$10:$M$3209,"&gt;="&amp;$A1010,Data!$M$10:$M$3209,"&lt;"&amp;$A1010+1)/$AG1010)))</f>
        <v/>
      </c>
      <c r="G1010" s="56">
        <f>IF($B1010=0,"",IF(Inputs!$B$10="","",IF($AH1010=0,G1009,SUMIFS(Data!$R$10:$R$3209,Data!$Q$10:$Q$3209,"&gt;="&amp;$A1010,Data!$Q$10:$Q$3209,"&lt;"&amp;$A1010+1)/$AH1010)))</f>
        <v/>
      </c>
      <c r="I1010" s="54">
        <f>IF($B1010=0,NA(),IF($C1010="",NA(),IF(C$8="",NA(),IF(N(C$8)=0,NA(),IF(Inputs!$C$17="Rebased to 100",$C1010/C$8*100,$C1010)))))</f>
        <v/>
      </c>
      <c r="J1010" s="54">
        <f>IF($B1010=0,NA(),IF($D1010="",NA(),IF(D$8="",NA(),IF(N(D$8)=0,NA(),IF(Inputs!$C$17="Rebased to 100",$D1010/D$8*100,$D1010)))))</f>
        <v/>
      </c>
      <c r="K1010" s="54">
        <f>IF($B1010=0,NA(),IF($E1010="",NA(),IF(E$8="",NA(),IF(N(E$8)=0,NA(),IF(Inputs!$C$17="Rebased to 100",$E1010/E$8*100,$E1010)))))</f>
        <v/>
      </c>
      <c r="L1010" s="54">
        <f>IF($B1010=0,NA(),IF($F1010="",NA(),IF(F$8="",NA(),IF(N(F$8)=0,NA(),IF(Inputs!$C$17="Rebased to 100",$F1010/F$8*100,$F1010)))))</f>
        <v/>
      </c>
      <c r="M1010" s="54">
        <f>IF($B1010=0,NA(),IF($G1010="",NA(),IF(G$8="",NA(),IF(N(G$8)=0,NA(),IF(Inputs!$C$17="Rebased to 100",$G1010/G$8*100,$G1010)))))</f>
        <v/>
      </c>
      <c r="N1010" s="54">
        <f>IF($B1010=0,NA(),IF(Inputs!$C$18&lt;&gt;"Yes",NA(),IF(COUNT(I1010,J1010,K1010,L1010,M1010)=0,NA(),MIN(I1010,J1010,K1010,L1010,M1010))))</f>
        <v/>
      </c>
      <c r="O1010" s="54">
        <f>IF($B1010=0,NA(),IF(Inputs!$B$24&lt;&gt;"Yes",NA(),Inputs!$D$24*Inputs!$C$35))</f>
        <v/>
      </c>
      <c r="P1010" s="54">
        <f>IF($B1010=0,NA(),IF(Inputs!$B$25&lt;&gt;"Yes",NA(),Inputs!$D$25*Inputs!$C$35))</f>
        <v/>
      </c>
      <c r="Q1010" s="54">
        <f>IF($B1010=0,NA(),IF(Inputs!$B$26&lt;&gt;"Yes",NA(),Inputs!$D$26*Inputs!$C$35))</f>
        <v/>
      </c>
      <c r="R1010" s="54">
        <f>IF($B1010=0,NA(),IF(Inputs!$B$27&lt;&gt;"Yes",NA(),Inputs!$D$27*Inputs!$C$35))</f>
        <v/>
      </c>
      <c r="S1010" s="54">
        <f>IF($B1010=0,NA(),IF(Inputs!$B$28&lt;&gt;"Yes",NA(),Inputs!$D$28*Inputs!$C$35))</f>
        <v/>
      </c>
      <c r="T1010" s="54">
        <f>IF($B1010=0,NA(),IF(Inputs!$B$29&lt;&gt;"Yes",NA(),Inputs!$D$29*Inputs!$C$35))</f>
        <v/>
      </c>
      <c r="AD1010">
        <f>IF($B1010=0,0,IF(Inputs!$B$6="",0,COUNTIFS(Data!$A$10:$A$3209,"&gt;="&amp;$A1010,Data!$A$10:$A$3209,"&lt;"&amp;$A1010+1)))</f>
        <v/>
      </c>
      <c r="AE1010">
        <f>IF($B1010=0,0,IF(Inputs!$B$7="",0,COUNTIFS(Data!$E$10:$E$3209,"&gt;="&amp;$A1010,Data!$E$10:$E$3209,"&lt;"&amp;$A1010+1)))</f>
        <v/>
      </c>
      <c r="AF1010">
        <f>IF($B1010=0,0,IF(Inputs!$B$8="",0,COUNTIFS(Data!$I$10:$I$3209,"&gt;="&amp;$A1010,Data!$I$10:$I$3209,"&lt;"&amp;$A1010+1)))</f>
        <v/>
      </c>
      <c r="AG1010">
        <f>IF($B1010=0,0,IF(Inputs!$B$9="",0,COUNTIFS(Data!$M$10:$M$3209,"&gt;="&amp;$A1010,Data!$M$10:$M$3209,"&lt;"&amp;$A1010+1)))</f>
        <v/>
      </c>
      <c r="AH1010">
        <f>IF($B1010=0,0,IF(Inputs!$B$10="",0,COUNTIFS(Data!$Q$10:$Q$3209,"&gt;="&amp;$A1010,Data!$Q$10:$Q$3209,"&lt;"&amp;$A1010+1)))</f>
        <v/>
      </c>
    </row>
    <row r="1011">
      <c r="A1011" s="55">
        <f>MIN(Inputs!$C$15,$A1010+IF(WEEKDAY($A1010,2)=5,3,1))</f>
        <v/>
      </c>
      <c r="B1011">
        <f>IF($A1011&gt;$A1010,1,0)</f>
        <v/>
      </c>
      <c r="C1011" s="56">
        <f>IF($B1011=0,"",IF(Inputs!$B$6="","",IF($AD1011=0,C1010,SUMIFS(Data!$B$10:$B$3209,Data!$A$10:$A$3209,"&gt;="&amp;$A1011,Data!$A$10:$A$3209,"&lt;"&amp;$A1011+1)/$AD1011)))</f>
        <v/>
      </c>
      <c r="D1011" s="56">
        <f>IF($B1011=0,"",IF(Inputs!$B$7="","",IF($AE1011=0,D1010,SUMIFS(Data!$F$10:$F$3209,Data!$E$10:$E$3209,"&gt;="&amp;$A1011,Data!$E$10:$E$3209,"&lt;"&amp;$A1011+1)/$AE1011)))</f>
        <v/>
      </c>
      <c r="E1011" s="56">
        <f>IF($B1011=0,"",IF(Inputs!$B$8="","",IF($AF1011=0,E1010,SUMIFS(Data!$J$10:$J$3209,Data!$I$10:$I$3209,"&gt;="&amp;$A1011,Data!$I$10:$I$3209,"&lt;"&amp;$A1011+1)/$AF1011)))</f>
        <v/>
      </c>
      <c r="F1011" s="56">
        <f>IF($B1011=0,"",IF(Inputs!$B$9="","",IF($AG1011=0,F1010,SUMIFS(Data!$N$10:$N$3209,Data!$M$10:$M$3209,"&gt;="&amp;$A1011,Data!$M$10:$M$3209,"&lt;"&amp;$A1011+1)/$AG1011)))</f>
        <v/>
      </c>
      <c r="G1011" s="56">
        <f>IF($B1011=0,"",IF(Inputs!$B$10="","",IF($AH1011=0,G1010,SUMIFS(Data!$R$10:$R$3209,Data!$Q$10:$Q$3209,"&gt;="&amp;$A1011,Data!$Q$10:$Q$3209,"&lt;"&amp;$A1011+1)/$AH1011)))</f>
        <v/>
      </c>
      <c r="I1011" s="54">
        <f>IF($B1011=0,NA(),IF($C1011="",NA(),IF(C$8="",NA(),IF(N(C$8)=0,NA(),IF(Inputs!$C$17="Rebased to 100",$C1011/C$8*100,$C1011)))))</f>
        <v/>
      </c>
      <c r="J1011" s="54">
        <f>IF($B1011=0,NA(),IF($D1011="",NA(),IF(D$8="",NA(),IF(N(D$8)=0,NA(),IF(Inputs!$C$17="Rebased to 100",$D1011/D$8*100,$D1011)))))</f>
        <v/>
      </c>
      <c r="K1011" s="54">
        <f>IF($B1011=0,NA(),IF($E1011="",NA(),IF(E$8="",NA(),IF(N(E$8)=0,NA(),IF(Inputs!$C$17="Rebased to 100",$E1011/E$8*100,$E1011)))))</f>
        <v/>
      </c>
      <c r="L1011" s="54">
        <f>IF($B1011=0,NA(),IF($F1011="",NA(),IF(F$8="",NA(),IF(N(F$8)=0,NA(),IF(Inputs!$C$17="Rebased to 100",$F1011/F$8*100,$F1011)))))</f>
        <v/>
      </c>
      <c r="M1011" s="54">
        <f>IF($B1011=0,NA(),IF($G1011="",NA(),IF(G$8="",NA(),IF(N(G$8)=0,NA(),IF(Inputs!$C$17="Rebased to 100",$G1011/G$8*100,$G1011)))))</f>
        <v/>
      </c>
      <c r="N1011" s="54">
        <f>IF($B1011=0,NA(),IF(Inputs!$C$18&lt;&gt;"Yes",NA(),IF(COUNT(I1011,J1011,K1011,L1011,M1011)=0,NA(),MIN(I1011,J1011,K1011,L1011,M1011))))</f>
        <v/>
      </c>
      <c r="O1011" s="54">
        <f>IF($B1011=0,NA(),IF(Inputs!$B$24&lt;&gt;"Yes",NA(),Inputs!$D$24*Inputs!$C$35))</f>
        <v/>
      </c>
      <c r="P1011" s="54">
        <f>IF($B1011=0,NA(),IF(Inputs!$B$25&lt;&gt;"Yes",NA(),Inputs!$D$25*Inputs!$C$35))</f>
        <v/>
      </c>
      <c r="Q1011" s="54">
        <f>IF($B1011=0,NA(),IF(Inputs!$B$26&lt;&gt;"Yes",NA(),Inputs!$D$26*Inputs!$C$35))</f>
        <v/>
      </c>
      <c r="R1011" s="54">
        <f>IF($B1011=0,NA(),IF(Inputs!$B$27&lt;&gt;"Yes",NA(),Inputs!$D$27*Inputs!$C$35))</f>
        <v/>
      </c>
      <c r="S1011" s="54">
        <f>IF($B1011=0,NA(),IF(Inputs!$B$28&lt;&gt;"Yes",NA(),Inputs!$D$28*Inputs!$C$35))</f>
        <v/>
      </c>
      <c r="T1011" s="54">
        <f>IF($B1011=0,NA(),IF(Inputs!$B$29&lt;&gt;"Yes",NA(),Inputs!$D$29*Inputs!$C$35))</f>
        <v/>
      </c>
      <c r="AD1011">
        <f>IF($B1011=0,0,IF(Inputs!$B$6="",0,COUNTIFS(Data!$A$10:$A$3209,"&gt;="&amp;$A1011,Data!$A$10:$A$3209,"&lt;"&amp;$A1011+1)))</f>
        <v/>
      </c>
      <c r="AE1011">
        <f>IF($B1011=0,0,IF(Inputs!$B$7="",0,COUNTIFS(Data!$E$10:$E$3209,"&gt;="&amp;$A1011,Data!$E$10:$E$3209,"&lt;"&amp;$A1011+1)))</f>
        <v/>
      </c>
      <c r="AF1011">
        <f>IF($B1011=0,0,IF(Inputs!$B$8="",0,COUNTIFS(Data!$I$10:$I$3209,"&gt;="&amp;$A1011,Data!$I$10:$I$3209,"&lt;"&amp;$A1011+1)))</f>
        <v/>
      </c>
      <c r="AG1011">
        <f>IF($B1011=0,0,IF(Inputs!$B$9="",0,COUNTIFS(Data!$M$10:$M$3209,"&gt;="&amp;$A1011,Data!$M$10:$M$3209,"&lt;"&amp;$A1011+1)))</f>
        <v/>
      </c>
      <c r="AH1011">
        <f>IF($B1011=0,0,IF(Inputs!$B$10="",0,COUNTIFS(Data!$Q$10:$Q$3209,"&gt;="&amp;$A1011,Data!$Q$10:$Q$3209,"&lt;"&amp;$A1011+1)))</f>
        <v/>
      </c>
    </row>
    <row r="1012">
      <c r="A1012" s="55">
        <f>MIN(Inputs!$C$15,$A1011+IF(WEEKDAY($A1011,2)=5,3,1))</f>
        <v/>
      </c>
      <c r="B1012">
        <f>IF($A1012&gt;$A1011,1,0)</f>
        <v/>
      </c>
      <c r="C1012" s="56">
        <f>IF($B1012=0,"",IF(Inputs!$B$6="","",IF($AD1012=0,C1011,SUMIFS(Data!$B$10:$B$3209,Data!$A$10:$A$3209,"&gt;="&amp;$A1012,Data!$A$10:$A$3209,"&lt;"&amp;$A1012+1)/$AD1012)))</f>
        <v/>
      </c>
      <c r="D1012" s="56">
        <f>IF($B1012=0,"",IF(Inputs!$B$7="","",IF($AE1012=0,D1011,SUMIFS(Data!$F$10:$F$3209,Data!$E$10:$E$3209,"&gt;="&amp;$A1012,Data!$E$10:$E$3209,"&lt;"&amp;$A1012+1)/$AE1012)))</f>
        <v/>
      </c>
      <c r="E1012" s="56">
        <f>IF($B1012=0,"",IF(Inputs!$B$8="","",IF($AF1012=0,E1011,SUMIFS(Data!$J$10:$J$3209,Data!$I$10:$I$3209,"&gt;="&amp;$A1012,Data!$I$10:$I$3209,"&lt;"&amp;$A1012+1)/$AF1012)))</f>
        <v/>
      </c>
      <c r="F1012" s="56">
        <f>IF($B1012=0,"",IF(Inputs!$B$9="","",IF($AG1012=0,F1011,SUMIFS(Data!$N$10:$N$3209,Data!$M$10:$M$3209,"&gt;="&amp;$A1012,Data!$M$10:$M$3209,"&lt;"&amp;$A1012+1)/$AG1012)))</f>
        <v/>
      </c>
      <c r="G1012" s="56">
        <f>IF($B1012=0,"",IF(Inputs!$B$10="","",IF($AH1012=0,G1011,SUMIFS(Data!$R$10:$R$3209,Data!$Q$10:$Q$3209,"&gt;="&amp;$A1012,Data!$Q$10:$Q$3209,"&lt;"&amp;$A1012+1)/$AH1012)))</f>
        <v/>
      </c>
      <c r="I1012" s="54">
        <f>IF($B1012=0,NA(),IF($C1012="",NA(),IF(C$8="",NA(),IF(N(C$8)=0,NA(),IF(Inputs!$C$17="Rebased to 100",$C1012/C$8*100,$C1012)))))</f>
        <v/>
      </c>
      <c r="J1012" s="54">
        <f>IF($B1012=0,NA(),IF($D1012="",NA(),IF(D$8="",NA(),IF(N(D$8)=0,NA(),IF(Inputs!$C$17="Rebased to 100",$D1012/D$8*100,$D1012)))))</f>
        <v/>
      </c>
      <c r="K1012" s="54">
        <f>IF($B1012=0,NA(),IF($E1012="",NA(),IF(E$8="",NA(),IF(N(E$8)=0,NA(),IF(Inputs!$C$17="Rebased to 100",$E1012/E$8*100,$E1012)))))</f>
        <v/>
      </c>
      <c r="L1012" s="54">
        <f>IF($B1012=0,NA(),IF($F1012="",NA(),IF(F$8="",NA(),IF(N(F$8)=0,NA(),IF(Inputs!$C$17="Rebased to 100",$F1012/F$8*100,$F1012)))))</f>
        <v/>
      </c>
      <c r="M1012" s="54">
        <f>IF($B1012=0,NA(),IF($G1012="",NA(),IF(G$8="",NA(),IF(N(G$8)=0,NA(),IF(Inputs!$C$17="Rebased to 100",$G1012/G$8*100,$G1012)))))</f>
        <v/>
      </c>
      <c r="N1012" s="54">
        <f>IF($B1012=0,NA(),IF(Inputs!$C$18&lt;&gt;"Yes",NA(),IF(COUNT(I1012,J1012,K1012,L1012,M1012)=0,NA(),MIN(I1012,J1012,K1012,L1012,M1012))))</f>
        <v/>
      </c>
      <c r="O1012" s="54">
        <f>IF($B1012=0,NA(),IF(Inputs!$B$24&lt;&gt;"Yes",NA(),Inputs!$D$24*Inputs!$C$35))</f>
        <v/>
      </c>
      <c r="P1012" s="54">
        <f>IF($B1012=0,NA(),IF(Inputs!$B$25&lt;&gt;"Yes",NA(),Inputs!$D$25*Inputs!$C$35))</f>
        <v/>
      </c>
      <c r="Q1012" s="54">
        <f>IF($B1012=0,NA(),IF(Inputs!$B$26&lt;&gt;"Yes",NA(),Inputs!$D$26*Inputs!$C$35))</f>
        <v/>
      </c>
      <c r="R1012" s="54">
        <f>IF($B1012=0,NA(),IF(Inputs!$B$27&lt;&gt;"Yes",NA(),Inputs!$D$27*Inputs!$C$35))</f>
        <v/>
      </c>
      <c r="S1012" s="54">
        <f>IF($B1012=0,NA(),IF(Inputs!$B$28&lt;&gt;"Yes",NA(),Inputs!$D$28*Inputs!$C$35))</f>
        <v/>
      </c>
      <c r="T1012" s="54">
        <f>IF($B1012=0,NA(),IF(Inputs!$B$29&lt;&gt;"Yes",NA(),Inputs!$D$29*Inputs!$C$35))</f>
        <v/>
      </c>
      <c r="AD1012">
        <f>IF($B1012=0,0,IF(Inputs!$B$6="",0,COUNTIFS(Data!$A$10:$A$3209,"&gt;="&amp;$A1012,Data!$A$10:$A$3209,"&lt;"&amp;$A1012+1)))</f>
        <v/>
      </c>
      <c r="AE1012">
        <f>IF($B1012=0,0,IF(Inputs!$B$7="",0,COUNTIFS(Data!$E$10:$E$3209,"&gt;="&amp;$A1012,Data!$E$10:$E$3209,"&lt;"&amp;$A1012+1)))</f>
        <v/>
      </c>
      <c r="AF1012">
        <f>IF($B1012=0,0,IF(Inputs!$B$8="",0,COUNTIFS(Data!$I$10:$I$3209,"&gt;="&amp;$A1012,Data!$I$10:$I$3209,"&lt;"&amp;$A1012+1)))</f>
        <v/>
      </c>
      <c r="AG1012">
        <f>IF($B1012=0,0,IF(Inputs!$B$9="",0,COUNTIFS(Data!$M$10:$M$3209,"&gt;="&amp;$A1012,Data!$M$10:$M$3209,"&lt;"&amp;$A1012+1)))</f>
        <v/>
      </c>
      <c r="AH1012">
        <f>IF($B1012=0,0,IF(Inputs!$B$10="",0,COUNTIFS(Data!$Q$10:$Q$3209,"&gt;="&amp;$A1012,Data!$Q$10:$Q$3209,"&lt;"&amp;$A1012+1)))</f>
        <v/>
      </c>
    </row>
    <row r="1013">
      <c r="A1013" s="55">
        <f>MIN(Inputs!$C$15,$A1012+IF(WEEKDAY($A1012,2)=5,3,1))</f>
        <v/>
      </c>
      <c r="B1013">
        <f>IF($A1013&gt;$A1012,1,0)</f>
        <v/>
      </c>
      <c r="C1013" s="56">
        <f>IF($B1013=0,"",IF(Inputs!$B$6="","",IF($AD1013=0,C1012,SUMIFS(Data!$B$10:$B$3209,Data!$A$10:$A$3209,"&gt;="&amp;$A1013,Data!$A$10:$A$3209,"&lt;"&amp;$A1013+1)/$AD1013)))</f>
        <v/>
      </c>
      <c r="D1013" s="56">
        <f>IF($B1013=0,"",IF(Inputs!$B$7="","",IF($AE1013=0,D1012,SUMIFS(Data!$F$10:$F$3209,Data!$E$10:$E$3209,"&gt;="&amp;$A1013,Data!$E$10:$E$3209,"&lt;"&amp;$A1013+1)/$AE1013)))</f>
        <v/>
      </c>
      <c r="E1013" s="56">
        <f>IF($B1013=0,"",IF(Inputs!$B$8="","",IF($AF1013=0,E1012,SUMIFS(Data!$J$10:$J$3209,Data!$I$10:$I$3209,"&gt;="&amp;$A1013,Data!$I$10:$I$3209,"&lt;"&amp;$A1013+1)/$AF1013)))</f>
        <v/>
      </c>
      <c r="F1013" s="56">
        <f>IF($B1013=0,"",IF(Inputs!$B$9="","",IF($AG1013=0,F1012,SUMIFS(Data!$N$10:$N$3209,Data!$M$10:$M$3209,"&gt;="&amp;$A1013,Data!$M$10:$M$3209,"&lt;"&amp;$A1013+1)/$AG1013)))</f>
        <v/>
      </c>
      <c r="G1013" s="56">
        <f>IF($B1013=0,"",IF(Inputs!$B$10="","",IF($AH1013=0,G1012,SUMIFS(Data!$R$10:$R$3209,Data!$Q$10:$Q$3209,"&gt;="&amp;$A1013,Data!$Q$10:$Q$3209,"&lt;"&amp;$A1013+1)/$AH1013)))</f>
        <v/>
      </c>
      <c r="I1013" s="54">
        <f>IF($B1013=0,NA(),IF($C1013="",NA(),IF(C$8="",NA(),IF(N(C$8)=0,NA(),IF(Inputs!$C$17="Rebased to 100",$C1013/C$8*100,$C1013)))))</f>
        <v/>
      </c>
      <c r="J1013" s="54">
        <f>IF($B1013=0,NA(),IF($D1013="",NA(),IF(D$8="",NA(),IF(N(D$8)=0,NA(),IF(Inputs!$C$17="Rebased to 100",$D1013/D$8*100,$D1013)))))</f>
        <v/>
      </c>
      <c r="K1013" s="54">
        <f>IF($B1013=0,NA(),IF($E1013="",NA(),IF(E$8="",NA(),IF(N(E$8)=0,NA(),IF(Inputs!$C$17="Rebased to 100",$E1013/E$8*100,$E1013)))))</f>
        <v/>
      </c>
      <c r="L1013" s="54">
        <f>IF($B1013=0,NA(),IF($F1013="",NA(),IF(F$8="",NA(),IF(N(F$8)=0,NA(),IF(Inputs!$C$17="Rebased to 100",$F1013/F$8*100,$F1013)))))</f>
        <v/>
      </c>
      <c r="M1013" s="54">
        <f>IF($B1013=0,NA(),IF($G1013="",NA(),IF(G$8="",NA(),IF(N(G$8)=0,NA(),IF(Inputs!$C$17="Rebased to 100",$G1013/G$8*100,$G1013)))))</f>
        <v/>
      </c>
      <c r="N1013" s="54">
        <f>IF($B1013=0,NA(),IF(Inputs!$C$18&lt;&gt;"Yes",NA(),IF(COUNT(I1013,J1013,K1013,L1013,M1013)=0,NA(),MIN(I1013,J1013,K1013,L1013,M1013))))</f>
        <v/>
      </c>
      <c r="O1013" s="54">
        <f>IF($B1013=0,NA(),IF(Inputs!$B$24&lt;&gt;"Yes",NA(),Inputs!$D$24*Inputs!$C$35))</f>
        <v/>
      </c>
      <c r="P1013" s="54">
        <f>IF($B1013=0,NA(),IF(Inputs!$B$25&lt;&gt;"Yes",NA(),Inputs!$D$25*Inputs!$C$35))</f>
        <v/>
      </c>
      <c r="Q1013" s="54">
        <f>IF($B1013=0,NA(),IF(Inputs!$B$26&lt;&gt;"Yes",NA(),Inputs!$D$26*Inputs!$C$35))</f>
        <v/>
      </c>
      <c r="R1013" s="54">
        <f>IF($B1013=0,NA(),IF(Inputs!$B$27&lt;&gt;"Yes",NA(),Inputs!$D$27*Inputs!$C$35))</f>
        <v/>
      </c>
      <c r="S1013" s="54">
        <f>IF($B1013=0,NA(),IF(Inputs!$B$28&lt;&gt;"Yes",NA(),Inputs!$D$28*Inputs!$C$35))</f>
        <v/>
      </c>
      <c r="T1013" s="54">
        <f>IF($B1013=0,NA(),IF(Inputs!$B$29&lt;&gt;"Yes",NA(),Inputs!$D$29*Inputs!$C$35))</f>
        <v/>
      </c>
      <c r="AD1013">
        <f>IF($B1013=0,0,IF(Inputs!$B$6="",0,COUNTIFS(Data!$A$10:$A$3209,"&gt;="&amp;$A1013,Data!$A$10:$A$3209,"&lt;"&amp;$A1013+1)))</f>
        <v/>
      </c>
      <c r="AE1013">
        <f>IF($B1013=0,0,IF(Inputs!$B$7="",0,COUNTIFS(Data!$E$10:$E$3209,"&gt;="&amp;$A1013,Data!$E$10:$E$3209,"&lt;"&amp;$A1013+1)))</f>
        <v/>
      </c>
      <c r="AF1013">
        <f>IF($B1013=0,0,IF(Inputs!$B$8="",0,COUNTIFS(Data!$I$10:$I$3209,"&gt;="&amp;$A1013,Data!$I$10:$I$3209,"&lt;"&amp;$A1013+1)))</f>
        <v/>
      </c>
      <c r="AG1013">
        <f>IF($B1013=0,0,IF(Inputs!$B$9="",0,COUNTIFS(Data!$M$10:$M$3209,"&gt;="&amp;$A1013,Data!$M$10:$M$3209,"&lt;"&amp;$A1013+1)))</f>
        <v/>
      </c>
      <c r="AH1013">
        <f>IF($B1013=0,0,IF(Inputs!$B$10="",0,COUNTIFS(Data!$Q$10:$Q$3209,"&gt;="&amp;$A1013,Data!$Q$10:$Q$3209,"&lt;"&amp;$A1013+1)))</f>
        <v/>
      </c>
    </row>
    <row r="1014">
      <c r="A1014" s="55">
        <f>MIN(Inputs!$C$15,$A1013+IF(WEEKDAY($A1013,2)=5,3,1))</f>
        <v/>
      </c>
      <c r="B1014">
        <f>IF($A1014&gt;$A1013,1,0)</f>
        <v/>
      </c>
      <c r="C1014" s="56">
        <f>IF($B1014=0,"",IF(Inputs!$B$6="","",IF($AD1014=0,C1013,SUMIFS(Data!$B$10:$B$3209,Data!$A$10:$A$3209,"&gt;="&amp;$A1014,Data!$A$10:$A$3209,"&lt;"&amp;$A1014+1)/$AD1014)))</f>
        <v/>
      </c>
      <c r="D1014" s="56">
        <f>IF($B1014=0,"",IF(Inputs!$B$7="","",IF($AE1014=0,D1013,SUMIFS(Data!$F$10:$F$3209,Data!$E$10:$E$3209,"&gt;="&amp;$A1014,Data!$E$10:$E$3209,"&lt;"&amp;$A1014+1)/$AE1014)))</f>
        <v/>
      </c>
      <c r="E1014" s="56">
        <f>IF($B1014=0,"",IF(Inputs!$B$8="","",IF($AF1014=0,E1013,SUMIFS(Data!$J$10:$J$3209,Data!$I$10:$I$3209,"&gt;="&amp;$A1014,Data!$I$10:$I$3209,"&lt;"&amp;$A1014+1)/$AF1014)))</f>
        <v/>
      </c>
      <c r="F1014" s="56">
        <f>IF($B1014=0,"",IF(Inputs!$B$9="","",IF($AG1014=0,F1013,SUMIFS(Data!$N$10:$N$3209,Data!$M$10:$M$3209,"&gt;="&amp;$A1014,Data!$M$10:$M$3209,"&lt;"&amp;$A1014+1)/$AG1014)))</f>
        <v/>
      </c>
      <c r="G1014" s="56">
        <f>IF($B1014=0,"",IF(Inputs!$B$10="","",IF($AH1014=0,G1013,SUMIFS(Data!$R$10:$R$3209,Data!$Q$10:$Q$3209,"&gt;="&amp;$A1014,Data!$Q$10:$Q$3209,"&lt;"&amp;$A1014+1)/$AH1014)))</f>
        <v/>
      </c>
      <c r="I1014" s="54">
        <f>IF($B1014=0,NA(),IF($C1014="",NA(),IF(C$8="",NA(),IF(N(C$8)=0,NA(),IF(Inputs!$C$17="Rebased to 100",$C1014/C$8*100,$C1014)))))</f>
        <v/>
      </c>
      <c r="J1014" s="54">
        <f>IF($B1014=0,NA(),IF($D1014="",NA(),IF(D$8="",NA(),IF(N(D$8)=0,NA(),IF(Inputs!$C$17="Rebased to 100",$D1014/D$8*100,$D1014)))))</f>
        <v/>
      </c>
      <c r="K1014" s="54">
        <f>IF($B1014=0,NA(),IF($E1014="",NA(),IF(E$8="",NA(),IF(N(E$8)=0,NA(),IF(Inputs!$C$17="Rebased to 100",$E1014/E$8*100,$E1014)))))</f>
        <v/>
      </c>
      <c r="L1014" s="54">
        <f>IF($B1014=0,NA(),IF($F1014="",NA(),IF(F$8="",NA(),IF(N(F$8)=0,NA(),IF(Inputs!$C$17="Rebased to 100",$F1014/F$8*100,$F1014)))))</f>
        <v/>
      </c>
      <c r="M1014" s="54">
        <f>IF($B1014=0,NA(),IF($G1014="",NA(),IF(G$8="",NA(),IF(N(G$8)=0,NA(),IF(Inputs!$C$17="Rebased to 100",$G1014/G$8*100,$G1014)))))</f>
        <v/>
      </c>
      <c r="N1014" s="54">
        <f>IF($B1014=0,NA(),IF(Inputs!$C$18&lt;&gt;"Yes",NA(),IF(COUNT(I1014,J1014,K1014,L1014,M1014)=0,NA(),MIN(I1014,J1014,K1014,L1014,M1014))))</f>
        <v/>
      </c>
      <c r="O1014" s="54">
        <f>IF($B1014=0,NA(),IF(Inputs!$B$24&lt;&gt;"Yes",NA(),Inputs!$D$24*Inputs!$C$35))</f>
        <v/>
      </c>
      <c r="P1014" s="54">
        <f>IF($B1014=0,NA(),IF(Inputs!$B$25&lt;&gt;"Yes",NA(),Inputs!$D$25*Inputs!$C$35))</f>
        <v/>
      </c>
      <c r="Q1014" s="54">
        <f>IF($B1014=0,NA(),IF(Inputs!$B$26&lt;&gt;"Yes",NA(),Inputs!$D$26*Inputs!$C$35))</f>
        <v/>
      </c>
      <c r="R1014" s="54">
        <f>IF($B1014=0,NA(),IF(Inputs!$B$27&lt;&gt;"Yes",NA(),Inputs!$D$27*Inputs!$C$35))</f>
        <v/>
      </c>
      <c r="S1014" s="54">
        <f>IF($B1014=0,NA(),IF(Inputs!$B$28&lt;&gt;"Yes",NA(),Inputs!$D$28*Inputs!$C$35))</f>
        <v/>
      </c>
      <c r="T1014" s="54">
        <f>IF($B1014=0,NA(),IF(Inputs!$B$29&lt;&gt;"Yes",NA(),Inputs!$D$29*Inputs!$C$35))</f>
        <v/>
      </c>
      <c r="AD1014">
        <f>IF($B1014=0,0,IF(Inputs!$B$6="",0,COUNTIFS(Data!$A$10:$A$3209,"&gt;="&amp;$A1014,Data!$A$10:$A$3209,"&lt;"&amp;$A1014+1)))</f>
        <v/>
      </c>
      <c r="AE1014">
        <f>IF($B1014=0,0,IF(Inputs!$B$7="",0,COUNTIFS(Data!$E$10:$E$3209,"&gt;="&amp;$A1014,Data!$E$10:$E$3209,"&lt;"&amp;$A1014+1)))</f>
        <v/>
      </c>
      <c r="AF1014">
        <f>IF($B1014=0,0,IF(Inputs!$B$8="",0,COUNTIFS(Data!$I$10:$I$3209,"&gt;="&amp;$A1014,Data!$I$10:$I$3209,"&lt;"&amp;$A1014+1)))</f>
        <v/>
      </c>
      <c r="AG1014">
        <f>IF($B1014=0,0,IF(Inputs!$B$9="",0,COUNTIFS(Data!$M$10:$M$3209,"&gt;="&amp;$A1014,Data!$M$10:$M$3209,"&lt;"&amp;$A1014+1)))</f>
        <v/>
      </c>
      <c r="AH1014">
        <f>IF($B1014=0,0,IF(Inputs!$B$10="",0,COUNTIFS(Data!$Q$10:$Q$3209,"&gt;="&amp;$A1014,Data!$Q$10:$Q$3209,"&lt;"&amp;$A1014+1)))</f>
        <v/>
      </c>
    </row>
    <row r="1015">
      <c r="A1015" s="55">
        <f>MIN(Inputs!$C$15,$A1014+IF(WEEKDAY($A1014,2)=5,3,1))</f>
        <v/>
      </c>
      <c r="B1015">
        <f>IF($A1015&gt;$A1014,1,0)</f>
        <v/>
      </c>
      <c r="C1015" s="56">
        <f>IF($B1015=0,"",IF(Inputs!$B$6="","",IF($AD1015=0,C1014,SUMIFS(Data!$B$10:$B$3209,Data!$A$10:$A$3209,"&gt;="&amp;$A1015,Data!$A$10:$A$3209,"&lt;"&amp;$A1015+1)/$AD1015)))</f>
        <v/>
      </c>
      <c r="D1015" s="56">
        <f>IF($B1015=0,"",IF(Inputs!$B$7="","",IF($AE1015=0,D1014,SUMIFS(Data!$F$10:$F$3209,Data!$E$10:$E$3209,"&gt;="&amp;$A1015,Data!$E$10:$E$3209,"&lt;"&amp;$A1015+1)/$AE1015)))</f>
        <v/>
      </c>
      <c r="E1015" s="56">
        <f>IF($B1015=0,"",IF(Inputs!$B$8="","",IF($AF1015=0,E1014,SUMIFS(Data!$J$10:$J$3209,Data!$I$10:$I$3209,"&gt;="&amp;$A1015,Data!$I$10:$I$3209,"&lt;"&amp;$A1015+1)/$AF1015)))</f>
        <v/>
      </c>
      <c r="F1015" s="56">
        <f>IF($B1015=0,"",IF(Inputs!$B$9="","",IF($AG1015=0,F1014,SUMIFS(Data!$N$10:$N$3209,Data!$M$10:$M$3209,"&gt;="&amp;$A1015,Data!$M$10:$M$3209,"&lt;"&amp;$A1015+1)/$AG1015)))</f>
        <v/>
      </c>
      <c r="G1015" s="56">
        <f>IF($B1015=0,"",IF(Inputs!$B$10="","",IF($AH1015=0,G1014,SUMIFS(Data!$R$10:$R$3209,Data!$Q$10:$Q$3209,"&gt;="&amp;$A1015,Data!$Q$10:$Q$3209,"&lt;"&amp;$A1015+1)/$AH1015)))</f>
        <v/>
      </c>
      <c r="I1015" s="54">
        <f>IF($B1015=0,NA(),IF($C1015="",NA(),IF(C$8="",NA(),IF(N(C$8)=0,NA(),IF(Inputs!$C$17="Rebased to 100",$C1015/C$8*100,$C1015)))))</f>
        <v/>
      </c>
      <c r="J1015" s="54">
        <f>IF($B1015=0,NA(),IF($D1015="",NA(),IF(D$8="",NA(),IF(N(D$8)=0,NA(),IF(Inputs!$C$17="Rebased to 100",$D1015/D$8*100,$D1015)))))</f>
        <v/>
      </c>
      <c r="K1015" s="54">
        <f>IF($B1015=0,NA(),IF($E1015="",NA(),IF(E$8="",NA(),IF(N(E$8)=0,NA(),IF(Inputs!$C$17="Rebased to 100",$E1015/E$8*100,$E1015)))))</f>
        <v/>
      </c>
      <c r="L1015" s="54">
        <f>IF($B1015=0,NA(),IF($F1015="",NA(),IF(F$8="",NA(),IF(N(F$8)=0,NA(),IF(Inputs!$C$17="Rebased to 100",$F1015/F$8*100,$F1015)))))</f>
        <v/>
      </c>
      <c r="M1015" s="54">
        <f>IF($B1015=0,NA(),IF($G1015="",NA(),IF(G$8="",NA(),IF(N(G$8)=0,NA(),IF(Inputs!$C$17="Rebased to 100",$G1015/G$8*100,$G1015)))))</f>
        <v/>
      </c>
      <c r="N1015" s="54">
        <f>IF($B1015=0,NA(),IF(Inputs!$C$18&lt;&gt;"Yes",NA(),IF(COUNT(I1015,J1015,K1015,L1015,M1015)=0,NA(),MIN(I1015,J1015,K1015,L1015,M1015))))</f>
        <v/>
      </c>
      <c r="O1015" s="54">
        <f>IF($B1015=0,NA(),IF(Inputs!$B$24&lt;&gt;"Yes",NA(),Inputs!$D$24*Inputs!$C$35))</f>
        <v/>
      </c>
      <c r="P1015" s="54">
        <f>IF($B1015=0,NA(),IF(Inputs!$B$25&lt;&gt;"Yes",NA(),Inputs!$D$25*Inputs!$C$35))</f>
        <v/>
      </c>
      <c r="Q1015" s="54">
        <f>IF($B1015=0,NA(),IF(Inputs!$B$26&lt;&gt;"Yes",NA(),Inputs!$D$26*Inputs!$C$35))</f>
        <v/>
      </c>
      <c r="R1015" s="54">
        <f>IF($B1015=0,NA(),IF(Inputs!$B$27&lt;&gt;"Yes",NA(),Inputs!$D$27*Inputs!$C$35))</f>
        <v/>
      </c>
      <c r="S1015" s="54">
        <f>IF($B1015=0,NA(),IF(Inputs!$B$28&lt;&gt;"Yes",NA(),Inputs!$D$28*Inputs!$C$35))</f>
        <v/>
      </c>
      <c r="T1015" s="54">
        <f>IF($B1015=0,NA(),IF(Inputs!$B$29&lt;&gt;"Yes",NA(),Inputs!$D$29*Inputs!$C$35))</f>
        <v/>
      </c>
      <c r="AD1015">
        <f>IF($B1015=0,0,IF(Inputs!$B$6="",0,COUNTIFS(Data!$A$10:$A$3209,"&gt;="&amp;$A1015,Data!$A$10:$A$3209,"&lt;"&amp;$A1015+1)))</f>
        <v/>
      </c>
      <c r="AE1015">
        <f>IF($B1015=0,0,IF(Inputs!$B$7="",0,COUNTIFS(Data!$E$10:$E$3209,"&gt;="&amp;$A1015,Data!$E$10:$E$3209,"&lt;"&amp;$A1015+1)))</f>
        <v/>
      </c>
      <c r="AF1015">
        <f>IF($B1015=0,0,IF(Inputs!$B$8="",0,COUNTIFS(Data!$I$10:$I$3209,"&gt;="&amp;$A1015,Data!$I$10:$I$3209,"&lt;"&amp;$A1015+1)))</f>
        <v/>
      </c>
      <c r="AG1015">
        <f>IF($B1015=0,0,IF(Inputs!$B$9="",0,COUNTIFS(Data!$M$10:$M$3209,"&gt;="&amp;$A1015,Data!$M$10:$M$3209,"&lt;"&amp;$A1015+1)))</f>
        <v/>
      </c>
      <c r="AH1015">
        <f>IF($B1015=0,0,IF(Inputs!$B$10="",0,COUNTIFS(Data!$Q$10:$Q$3209,"&gt;="&amp;$A1015,Data!$Q$10:$Q$3209,"&lt;"&amp;$A1015+1)))</f>
        <v/>
      </c>
    </row>
    <row r="1016">
      <c r="A1016" s="55">
        <f>MIN(Inputs!$C$15,$A1015+IF(WEEKDAY($A1015,2)=5,3,1))</f>
        <v/>
      </c>
      <c r="B1016">
        <f>IF($A1016&gt;$A1015,1,0)</f>
        <v/>
      </c>
      <c r="C1016" s="56">
        <f>IF($B1016=0,"",IF(Inputs!$B$6="","",IF($AD1016=0,C1015,SUMIFS(Data!$B$10:$B$3209,Data!$A$10:$A$3209,"&gt;="&amp;$A1016,Data!$A$10:$A$3209,"&lt;"&amp;$A1016+1)/$AD1016)))</f>
        <v/>
      </c>
      <c r="D1016" s="56">
        <f>IF($B1016=0,"",IF(Inputs!$B$7="","",IF($AE1016=0,D1015,SUMIFS(Data!$F$10:$F$3209,Data!$E$10:$E$3209,"&gt;="&amp;$A1016,Data!$E$10:$E$3209,"&lt;"&amp;$A1016+1)/$AE1016)))</f>
        <v/>
      </c>
      <c r="E1016" s="56">
        <f>IF($B1016=0,"",IF(Inputs!$B$8="","",IF($AF1016=0,E1015,SUMIFS(Data!$J$10:$J$3209,Data!$I$10:$I$3209,"&gt;="&amp;$A1016,Data!$I$10:$I$3209,"&lt;"&amp;$A1016+1)/$AF1016)))</f>
        <v/>
      </c>
      <c r="F1016" s="56">
        <f>IF($B1016=0,"",IF(Inputs!$B$9="","",IF($AG1016=0,F1015,SUMIFS(Data!$N$10:$N$3209,Data!$M$10:$M$3209,"&gt;="&amp;$A1016,Data!$M$10:$M$3209,"&lt;"&amp;$A1016+1)/$AG1016)))</f>
        <v/>
      </c>
      <c r="G1016" s="56">
        <f>IF($B1016=0,"",IF(Inputs!$B$10="","",IF($AH1016=0,G1015,SUMIFS(Data!$R$10:$R$3209,Data!$Q$10:$Q$3209,"&gt;="&amp;$A1016,Data!$Q$10:$Q$3209,"&lt;"&amp;$A1016+1)/$AH1016)))</f>
        <v/>
      </c>
      <c r="I1016" s="54">
        <f>IF($B1016=0,NA(),IF($C1016="",NA(),IF(C$8="",NA(),IF(N(C$8)=0,NA(),IF(Inputs!$C$17="Rebased to 100",$C1016/C$8*100,$C1016)))))</f>
        <v/>
      </c>
      <c r="J1016" s="54">
        <f>IF($B1016=0,NA(),IF($D1016="",NA(),IF(D$8="",NA(),IF(N(D$8)=0,NA(),IF(Inputs!$C$17="Rebased to 100",$D1016/D$8*100,$D1016)))))</f>
        <v/>
      </c>
      <c r="K1016" s="54">
        <f>IF($B1016=0,NA(),IF($E1016="",NA(),IF(E$8="",NA(),IF(N(E$8)=0,NA(),IF(Inputs!$C$17="Rebased to 100",$E1016/E$8*100,$E1016)))))</f>
        <v/>
      </c>
      <c r="L1016" s="54">
        <f>IF($B1016=0,NA(),IF($F1016="",NA(),IF(F$8="",NA(),IF(N(F$8)=0,NA(),IF(Inputs!$C$17="Rebased to 100",$F1016/F$8*100,$F1016)))))</f>
        <v/>
      </c>
      <c r="M1016" s="54">
        <f>IF($B1016=0,NA(),IF($G1016="",NA(),IF(G$8="",NA(),IF(N(G$8)=0,NA(),IF(Inputs!$C$17="Rebased to 100",$G1016/G$8*100,$G1016)))))</f>
        <v/>
      </c>
      <c r="N1016" s="54">
        <f>IF($B1016=0,NA(),IF(Inputs!$C$18&lt;&gt;"Yes",NA(),IF(COUNT(I1016,J1016,K1016,L1016,M1016)=0,NA(),MIN(I1016,J1016,K1016,L1016,M1016))))</f>
        <v/>
      </c>
      <c r="O1016" s="54">
        <f>IF($B1016=0,NA(),IF(Inputs!$B$24&lt;&gt;"Yes",NA(),Inputs!$D$24*Inputs!$C$35))</f>
        <v/>
      </c>
      <c r="P1016" s="54">
        <f>IF($B1016=0,NA(),IF(Inputs!$B$25&lt;&gt;"Yes",NA(),Inputs!$D$25*Inputs!$C$35))</f>
        <v/>
      </c>
      <c r="Q1016" s="54">
        <f>IF($B1016=0,NA(),IF(Inputs!$B$26&lt;&gt;"Yes",NA(),Inputs!$D$26*Inputs!$C$35))</f>
        <v/>
      </c>
      <c r="R1016" s="54">
        <f>IF($B1016=0,NA(),IF(Inputs!$B$27&lt;&gt;"Yes",NA(),Inputs!$D$27*Inputs!$C$35))</f>
        <v/>
      </c>
      <c r="S1016" s="54">
        <f>IF($B1016=0,NA(),IF(Inputs!$B$28&lt;&gt;"Yes",NA(),Inputs!$D$28*Inputs!$C$35))</f>
        <v/>
      </c>
      <c r="T1016" s="54">
        <f>IF($B1016=0,NA(),IF(Inputs!$B$29&lt;&gt;"Yes",NA(),Inputs!$D$29*Inputs!$C$35))</f>
        <v/>
      </c>
      <c r="AD1016">
        <f>IF($B1016=0,0,IF(Inputs!$B$6="",0,COUNTIFS(Data!$A$10:$A$3209,"&gt;="&amp;$A1016,Data!$A$10:$A$3209,"&lt;"&amp;$A1016+1)))</f>
        <v/>
      </c>
      <c r="AE1016">
        <f>IF($B1016=0,0,IF(Inputs!$B$7="",0,COUNTIFS(Data!$E$10:$E$3209,"&gt;="&amp;$A1016,Data!$E$10:$E$3209,"&lt;"&amp;$A1016+1)))</f>
        <v/>
      </c>
      <c r="AF1016">
        <f>IF($B1016=0,0,IF(Inputs!$B$8="",0,COUNTIFS(Data!$I$10:$I$3209,"&gt;="&amp;$A1016,Data!$I$10:$I$3209,"&lt;"&amp;$A1016+1)))</f>
        <v/>
      </c>
      <c r="AG1016">
        <f>IF($B1016=0,0,IF(Inputs!$B$9="",0,COUNTIFS(Data!$M$10:$M$3209,"&gt;="&amp;$A1016,Data!$M$10:$M$3209,"&lt;"&amp;$A1016+1)))</f>
        <v/>
      </c>
      <c r="AH1016">
        <f>IF($B1016=0,0,IF(Inputs!$B$10="",0,COUNTIFS(Data!$Q$10:$Q$3209,"&gt;="&amp;$A1016,Data!$Q$10:$Q$3209,"&lt;"&amp;$A1016+1)))</f>
        <v/>
      </c>
    </row>
    <row r="1017">
      <c r="A1017" s="55">
        <f>MIN(Inputs!$C$15,$A1016+IF(WEEKDAY($A1016,2)=5,3,1))</f>
        <v/>
      </c>
      <c r="B1017">
        <f>IF($A1017&gt;$A1016,1,0)</f>
        <v/>
      </c>
      <c r="C1017" s="56">
        <f>IF($B1017=0,"",IF(Inputs!$B$6="","",IF($AD1017=0,C1016,SUMIFS(Data!$B$10:$B$3209,Data!$A$10:$A$3209,"&gt;="&amp;$A1017,Data!$A$10:$A$3209,"&lt;"&amp;$A1017+1)/$AD1017)))</f>
        <v/>
      </c>
      <c r="D1017" s="56">
        <f>IF($B1017=0,"",IF(Inputs!$B$7="","",IF($AE1017=0,D1016,SUMIFS(Data!$F$10:$F$3209,Data!$E$10:$E$3209,"&gt;="&amp;$A1017,Data!$E$10:$E$3209,"&lt;"&amp;$A1017+1)/$AE1017)))</f>
        <v/>
      </c>
      <c r="E1017" s="56">
        <f>IF($B1017=0,"",IF(Inputs!$B$8="","",IF($AF1017=0,E1016,SUMIFS(Data!$J$10:$J$3209,Data!$I$10:$I$3209,"&gt;="&amp;$A1017,Data!$I$10:$I$3209,"&lt;"&amp;$A1017+1)/$AF1017)))</f>
        <v/>
      </c>
      <c r="F1017" s="56">
        <f>IF($B1017=0,"",IF(Inputs!$B$9="","",IF($AG1017=0,F1016,SUMIFS(Data!$N$10:$N$3209,Data!$M$10:$M$3209,"&gt;="&amp;$A1017,Data!$M$10:$M$3209,"&lt;"&amp;$A1017+1)/$AG1017)))</f>
        <v/>
      </c>
      <c r="G1017" s="56">
        <f>IF($B1017=0,"",IF(Inputs!$B$10="","",IF($AH1017=0,G1016,SUMIFS(Data!$R$10:$R$3209,Data!$Q$10:$Q$3209,"&gt;="&amp;$A1017,Data!$Q$10:$Q$3209,"&lt;"&amp;$A1017+1)/$AH1017)))</f>
        <v/>
      </c>
      <c r="I1017" s="54">
        <f>IF($B1017=0,NA(),IF($C1017="",NA(),IF(C$8="",NA(),IF(N(C$8)=0,NA(),IF(Inputs!$C$17="Rebased to 100",$C1017/C$8*100,$C1017)))))</f>
        <v/>
      </c>
      <c r="J1017" s="54">
        <f>IF($B1017=0,NA(),IF($D1017="",NA(),IF(D$8="",NA(),IF(N(D$8)=0,NA(),IF(Inputs!$C$17="Rebased to 100",$D1017/D$8*100,$D1017)))))</f>
        <v/>
      </c>
      <c r="K1017" s="54">
        <f>IF($B1017=0,NA(),IF($E1017="",NA(),IF(E$8="",NA(),IF(N(E$8)=0,NA(),IF(Inputs!$C$17="Rebased to 100",$E1017/E$8*100,$E1017)))))</f>
        <v/>
      </c>
      <c r="L1017" s="54">
        <f>IF($B1017=0,NA(),IF($F1017="",NA(),IF(F$8="",NA(),IF(N(F$8)=0,NA(),IF(Inputs!$C$17="Rebased to 100",$F1017/F$8*100,$F1017)))))</f>
        <v/>
      </c>
      <c r="M1017" s="54">
        <f>IF($B1017=0,NA(),IF($G1017="",NA(),IF(G$8="",NA(),IF(N(G$8)=0,NA(),IF(Inputs!$C$17="Rebased to 100",$G1017/G$8*100,$G1017)))))</f>
        <v/>
      </c>
      <c r="N1017" s="54">
        <f>IF($B1017=0,NA(),IF(Inputs!$C$18&lt;&gt;"Yes",NA(),IF(COUNT(I1017,J1017,K1017,L1017,M1017)=0,NA(),MIN(I1017,J1017,K1017,L1017,M1017))))</f>
        <v/>
      </c>
      <c r="O1017" s="54">
        <f>IF($B1017=0,NA(),IF(Inputs!$B$24&lt;&gt;"Yes",NA(),Inputs!$D$24*Inputs!$C$35))</f>
        <v/>
      </c>
      <c r="P1017" s="54">
        <f>IF($B1017=0,NA(),IF(Inputs!$B$25&lt;&gt;"Yes",NA(),Inputs!$D$25*Inputs!$C$35))</f>
        <v/>
      </c>
      <c r="Q1017" s="54">
        <f>IF($B1017=0,NA(),IF(Inputs!$B$26&lt;&gt;"Yes",NA(),Inputs!$D$26*Inputs!$C$35))</f>
        <v/>
      </c>
      <c r="R1017" s="54">
        <f>IF($B1017=0,NA(),IF(Inputs!$B$27&lt;&gt;"Yes",NA(),Inputs!$D$27*Inputs!$C$35))</f>
        <v/>
      </c>
      <c r="S1017" s="54">
        <f>IF($B1017=0,NA(),IF(Inputs!$B$28&lt;&gt;"Yes",NA(),Inputs!$D$28*Inputs!$C$35))</f>
        <v/>
      </c>
      <c r="T1017" s="54">
        <f>IF($B1017=0,NA(),IF(Inputs!$B$29&lt;&gt;"Yes",NA(),Inputs!$D$29*Inputs!$C$35))</f>
        <v/>
      </c>
      <c r="AD1017">
        <f>IF($B1017=0,0,IF(Inputs!$B$6="",0,COUNTIFS(Data!$A$10:$A$3209,"&gt;="&amp;$A1017,Data!$A$10:$A$3209,"&lt;"&amp;$A1017+1)))</f>
        <v/>
      </c>
      <c r="AE1017">
        <f>IF($B1017=0,0,IF(Inputs!$B$7="",0,COUNTIFS(Data!$E$10:$E$3209,"&gt;="&amp;$A1017,Data!$E$10:$E$3209,"&lt;"&amp;$A1017+1)))</f>
        <v/>
      </c>
      <c r="AF1017">
        <f>IF($B1017=0,0,IF(Inputs!$B$8="",0,COUNTIFS(Data!$I$10:$I$3209,"&gt;="&amp;$A1017,Data!$I$10:$I$3209,"&lt;"&amp;$A1017+1)))</f>
        <v/>
      </c>
      <c r="AG1017">
        <f>IF($B1017=0,0,IF(Inputs!$B$9="",0,COUNTIFS(Data!$M$10:$M$3209,"&gt;="&amp;$A1017,Data!$M$10:$M$3209,"&lt;"&amp;$A1017+1)))</f>
        <v/>
      </c>
      <c r="AH1017">
        <f>IF($B1017=0,0,IF(Inputs!$B$10="",0,COUNTIFS(Data!$Q$10:$Q$3209,"&gt;="&amp;$A1017,Data!$Q$10:$Q$3209,"&lt;"&amp;$A1017+1)))</f>
        <v/>
      </c>
    </row>
    <row r="1018">
      <c r="A1018" s="55">
        <f>MIN(Inputs!$C$15,$A1017+IF(WEEKDAY($A1017,2)=5,3,1))</f>
        <v/>
      </c>
      <c r="B1018">
        <f>IF($A1018&gt;$A1017,1,0)</f>
        <v/>
      </c>
      <c r="C1018" s="56">
        <f>IF($B1018=0,"",IF(Inputs!$B$6="","",IF($AD1018=0,C1017,SUMIFS(Data!$B$10:$B$3209,Data!$A$10:$A$3209,"&gt;="&amp;$A1018,Data!$A$10:$A$3209,"&lt;"&amp;$A1018+1)/$AD1018)))</f>
        <v/>
      </c>
      <c r="D1018" s="56">
        <f>IF($B1018=0,"",IF(Inputs!$B$7="","",IF($AE1018=0,D1017,SUMIFS(Data!$F$10:$F$3209,Data!$E$10:$E$3209,"&gt;="&amp;$A1018,Data!$E$10:$E$3209,"&lt;"&amp;$A1018+1)/$AE1018)))</f>
        <v/>
      </c>
      <c r="E1018" s="56">
        <f>IF($B1018=0,"",IF(Inputs!$B$8="","",IF($AF1018=0,E1017,SUMIFS(Data!$J$10:$J$3209,Data!$I$10:$I$3209,"&gt;="&amp;$A1018,Data!$I$10:$I$3209,"&lt;"&amp;$A1018+1)/$AF1018)))</f>
        <v/>
      </c>
      <c r="F1018" s="56">
        <f>IF($B1018=0,"",IF(Inputs!$B$9="","",IF($AG1018=0,F1017,SUMIFS(Data!$N$10:$N$3209,Data!$M$10:$M$3209,"&gt;="&amp;$A1018,Data!$M$10:$M$3209,"&lt;"&amp;$A1018+1)/$AG1018)))</f>
        <v/>
      </c>
      <c r="G1018" s="56">
        <f>IF($B1018=0,"",IF(Inputs!$B$10="","",IF($AH1018=0,G1017,SUMIFS(Data!$R$10:$R$3209,Data!$Q$10:$Q$3209,"&gt;="&amp;$A1018,Data!$Q$10:$Q$3209,"&lt;"&amp;$A1018+1)/$AH1018)))</f>
        <v/>
      </c>
      <c r="I1018" s="54">
        <f>IF($B1018=0,NA(),IF($C1018="",NA(),IF(C$8="",NA(),IF(N(C$8)=0,NA(),IF(Inputs!$C$17="Rebased to 100",$C1018/C$8*100,$C1018)))))</f>
        <v/>
      </c>
      <c r="J1018" s="54">
        <f>IF($B1018=0,NA(),IF($D1018="",NA(),IF(D$8="",NA(),IF(N(D$8)=0,NA(),IF(Inputs!$C$17="Rebased to 100",$D1018/D$8*100,$D1018)))))</f>
        <v/>
      </c>
      <c r="K1018" s="54">
        <f>IF($B1018=0,NA(),IF($E1018="",NA(),IF(E$8="",NA(),IF(N(E$8)=0,NA(),IF(Inputs!$C$17="Rebased to 100",$E1018/E$8*100,$E1018)))))</f>
        <v/>
      </c>
      <c r="L1018" s="54">
        <f>IF($B1018=0,NA(),IF($F1018="",NA(),IF(F$8="",NA(),IF(N(F$8)=0,NA(),IF(Inputs!$C$17="Rebased to 100",$F1018/F$8*100,$F1018)))))</f>
        <v/>
      </c>
      <c r="M1018" s="54">
        <f>IF($B1018=0,NA(),IF($G1018="",NA(),IF(G$8="",NA(),IF(N(G$8)=0,NA(),IF(Inputs!$C$17="Rebased to 100",$G1018/G$8*100,$G1018)))))</f>
        <v/>
      </c>
      <c r="N1018" s="54">
        <f>IF($B1018=0,NA(),IF(Inputs!$C$18&lt;&gt;"Yes",NA(),IF(COUNT(I1018,J1018,K1018,L1018,M1018)=0,NA(),MIN(I1018,J1018,K1018,L1018,M1018))))</f>
        <v/>
      </c>
      <c r="O1018" s="54">
        <f>IF($B1018=0,NA(),IF(Inputs!$B$24&lt;&gt;"Yes",NA(),Inputs!$D$24*Inputs!$C$35))</f>
        <v/>
      </c>
      <c r="P1018" s="54">
        <f>IF($B1018=0,NA(),IF(Inputs!$B$25&lt;&gt;"Yes",NA(),Inputs!$D$25*Inputs!$C$35))</f>
        <v/>
      </c>
      <c r="Q1018" s="54">
        <f>IF($B1018=0,NA(),IF(Inputs!$B$26&lt;&gt;"Yes",NA(),Inputs!$D$26*Inputs!$C$35))</f>
        <v/>
      </c>
      <c r="R1018" s="54">
        <f>IF($B1018=0,NA(),IF(Inputs!$B$27&lt;&gt;"Yes",NA(),Inputs!$D$27*Inputs!$C$35))</f>
        <v/>
      </c>
      <c r="S1018" s="54">
        <f>IF($B1018=0,NA(),IF(Inputs!$B$28&lt;&gt;"Yes",NA(),Inputs!$D$28*Inputs!$C$35))</f>
        <v/>
      </c>
      <c r="T1018" s="54">
        <f>IF($B1018=0,NA(),IF(Inputs!$B$29&lt;&gt;"Yes",NA(),Inputs!$D$29*Inputs!$C$35))</f>
        <v/>
      </c>
      <c r="AD1018">
        <f>IF($B1018=0,0,IF(Inputs!$B$6="",0,COUNTIFS(Data!$A$10:$A$3209,"&gt;="&amp;$A1018,Data!$A$10:$A$3209,"&lt;"&amp;$A1018+1)))</f>
        <v/>
      </c>
      <c r="AE1018">
        <f>IF($B1018=0,0,IF(Inputs!$B$7="",0,COUNTIFS(Data!$E$10:$E$3209,"&gt;="&amp;$A1018,Data!$E$10:$E$3209,"&lt;"&amp;$A1018+1)))</f>
        <v/>
      </c>
      <c r="AF1018">
        <f>IF($B1018=0,0,IF(Inputs!$B$8="",0,COUNTIFS(Data!$I$10:$I$3209,"&gt;="&amp;$A1018,Data!$I$10:$I$3209,"&lt;"&amp;$A1018+1)))</f>
        <v/>
      </c>
      <c r="AG1018">
        <f>IF($B1018=0,0,IF(Inputs!$B$9="",0,COUNTIFS(Data!$M$10:$M$3209,"&gt;="&amp;$A1018,Data!$M$10:$M$3209,"&lt;"&amp;$A1018+1)))</f>
        <v/>
      </c>
      <c r="AH1018">
        <f>IF($B1018=0,0,IF(Inputs!$B$10="",0,COUNTIFS(Data!$Q$10:$Q$3209,"&gt;="&amp;$A1018,Data!$Q$10:$Q$3209,"&lt;"&amp;$A1018+1)))</f>
        <v/>
      </c>
    </row>
    <row r="1019">
      <c r="A1019" s="55">
        <f>MIN(Inputs!$C$15,$A1018+IF(WEEKDAY($A1018,2)=5,3,1))</f>
        <v/>
      </c>
      <c r="B1019">
        <f>IF($A1019&gt;$A1018,1,0)</f>
        <v/>
      </c>
      <c r="C1019" s="56">
        <f>IF($B1019=0,"",IF(Inputs!$B$6="","",IF($AD1019=0,C1018,SUMIFS(Data!$B$10:$B$3209,Data!$A$10:$A$3209,"&gt;="&amp;$A1019,Data!$A$10:$A$3209,"&lt;"&amp;$A1019+1)/$AD1019)))</f>
        <v/>
      </c>
      <c r="D1019" s="56">
        <f>IF($B1019=0,"",IF(Inputs!$B$7="","",IF($AE1019=0,D1018,SUMIFS(Data!$F$10:$F$3209,Data!$E$10:$E$3209,"&gt;="&amp;$A1019,Data!$E$10:$E$3209,"&lt;"&amp;$A1019+1)/$AE1019)))</f>
        <v/>
      </c>
      <c r="E1019" s="56">
        <f>IF($B1019=0,"",IF(Inputs!$B$8="","",IF($AF1019=0,E1018,SUMIFS(Data!$J$10:$J$3209,Data!$I$10:$I$3209,"&gt;="&amp;$A1019,Data!$I$10:$I$3209,"&lt;"&amp;$A1019+1)/$AF1019)))</f>
        <v/>
      </c>
      <c r="F1019" s="56">
        <f>IF($B1019=0,"",IF(Inputs!$B$9="","",IF($AG1019=0,F1018,SUMIFS(Data!$N$10:$N$3209,Data!$M$10:$M$3209,"&gt;="&amp;$A1019,Data!$M$10:$M$3209,"&lt;"&amp;$A1019+1)/$AG1019)))</f>
        <v/>
      </c>
      <c r="G1019" s="56">
        <f>IF($B1019=0,"",IF(Inputs!$B$10="","",IF($AH1019=0,G1018,SUMIFS(Data!$R$10:$R$3209,Data!$Q$10:$Q$3209,"&gt;="&amp;$A1019,Data!$Q$10:$Q$3209,"&lt;"&amp;$A1019+1)/$AH1019)))</f>
        <v/>
      </c>
      <c r="I1019" s="54">
        <f>IF($B1019=0,NA(),IF($C1019="",NA(),IF(C$8="",NA(),IF(N(C$8)=0,NA(),IF(Inputs!$C$17="Rebased to 100",$C1019/C$8*100,$C1019)))))</f>
        <v/>
      </c>
      <c r="J1019" s="54">
        <f>IF($B1019=0,NA(),IF($D1019="",NA(),IF(D$8="",NA(),IF(N(D$8)=0,NA(),IF(Inputs!$C$17="Rebased to 100",$D1019/D$8*100,$D1019)))))</f>
        <v/>
      </c>
      <c r="K1019" s="54">
        <f>IF($B1019=0,NA(),IF($E1019="",NA(),IF(E$8="",NA(),IF(N(E$8)=0,NA(),IF(Inputs!$C$17="Rebased to 100",$E1019/E$8*100,$E1019)))))</f>
        <v/>
      </c>
      <c r="L1019" s="54">
        <f>IF($B1019=0,NA(),IF($F1019="",NA(),IF(F$8="",NA(),IF(N(F$8)=0,NA(),IF(Inputs!$C$17="Rebased to 100",$F1019/F$8*100,$F1019)))))</f>
        <v/>
      </c>
      <c r="M1019" s="54">
        <f>IF($B1019=0,NA(),IF($G1019="",NA(),IF(G$8="",NA(),IF(N(G$8)=0,NA(),IF(Inputs!$C$17="Rebased to 100",$G1019/G$8*100,$G1019)))))</f>
        <v/>
      </c>
      <c r="N1019" s="54">
        <f>IF($B1019=0,NA(),IF(Inputs!$C$18&lt;&gt;"Yes",NA(),IF(COUNT(I1019,J1019,K1019,L1019,M1019)=0,NA(),MIN(I1019,J1019,K1019,L1019,M1019))))</f>
        <v/>
      </c>
      <c r="O1019" s="54">
        <f>IF($B1019=0,NA(),IF(Inputs!$B$24&lt;&gt;"Yes",NA(),Inputs!$D$24*Inputs!$C$35))</f>
        <v/>
      </c>
      <c r="P1019" s="54">
        <f>IF($B1019=0,NA(),IF(Inputs!$B$25&lt;&gt;"Yes",NA(),Inputs!$D$25*Inputs!$C$35))</f>
        <v/>
      </c>
      <c r="Q1019" s="54">
        <f>IF($B1019=0,NA(),IF(Inputs!$B$26&lt;&gt;"Yes",NA(),Inputs!$D$26*Inputs!$C$35))</f>
        <v/>
      </c>
      <c r="R1019" s="54">
        <f>IF($B1019=0,NA(),IF(Inputs!$B$27&lt;&gt;"Yes",NA(),Inputs!$D$27*Inputs!$C$35))</f>
        <v/>
      </c>
      <c r="S1019" s="54">
        <f>IF($B1019=0,NA(),IF(Inputs!$B$28&lt;&gt;"Yes",NA(),Inputs!$D$28*Inputs!$C$35))</f>
        <v/>
      </c>
      <c r="T1019" s="54">
        <f>IF($B1019=0,NA(),IF(Inputs!$B$29&lt;&gt;"Yes",NA(),Inputs!$D$29*Inputs!$C$35))</f>
        <v/>
      </c>
      <c r="AD1019">
        <f>IF($B1019=0,0,IF(Inputs!$B$6="",0,COUNTIFS(Data!$A$10:$A$3209,"&gt;="&amp;$A1019,Data!$A$10:$A$3209,"&lt;"&amp;$A1019+1)))</f>
        <v/>
      </c>
      <c r="AE1019">
        <f>IF($B1019=0,0,IF(Inputs!$B$7="",0,COUNTIFS(Data!$E$10:$E$3209,"&gt;="&amp;$A1019,Data!$E$10:$E$3209,"&lt;"&amp;$A1019+1)))</f>
        <v/>
      </c>
      <c r="AF1019">
        <f>IF($B1019=0,0,IF(Inputs!$B$8="",0,COUNTIFS(Data!$I$10:$I$3209,"&gt;="&amp;$A1019,Data!$I$10:$I$3209,"&lt;"&amp;$A1019+1)))</f>
        <v/>
      </c>
      <c r="AG1019">
        <f>IF($B1019=0,0,IF(Inputs!$B$9="",0,COUNTIFS(Data!$M$10:$M$3209,"&gt;="&amp;$A1019,Data!$M$10:$M$3209,"&lt;"&amp;$A1019+1)))</f>
        <v/>
      </c>
      <c r="AH1019">
        <f>IF($B1019=0,0,IF(Inputs!$B$10="",0,COUNTIFS(Data!$Q$10:$Q$3209,"&gt;="&amp;$A1019,Data!$Q$10:$Q$3209,"&lt;"&amp;$A1019+1)))</f>
        <v/>
      </c>
    </row>
    <row r="1020">
      <c r="A1020" s="55">
        <f>MIN(Inputs!$C$15,$A1019+IF(WEEKDAY($A1019,2)=5,3,1))</f>
        <v/>
      </c>
      <c r="B1020">
        <f>IF($A1020&gt;$A1019,1,0)</f>
        <v/>
      </c>
      <c r="C1020" s="56">
        <f>IF($B1020=0,"",IF(Inputs!$B$6="","",IF($AD1020=0,C1019,SUMIFS(Data!$B$10:$B$3209,Data!$A$10:$A$3209,"&gt;="&amp;$A1020,Data!$A$10:$A$3209,"&lt;"&amp;$A1020+1)/$AD1020)))</f>
        <v/>
      </c>
      <c r="D1020" s="56">
        <f>IF($B1020=0,"",IF(Inputs!$B$7="","",IF($AE1020=0,D1019,SUMIFS(Data!$F$10:$F$3209,Data!$E$10:$E$3209,"&gt;="&amp;$A1020,Data!$E$10:$E$3209,"&lt;"&amp;$A1020+1)/$AE1020)))</f>
        <v/>
      </c>
      <c r="E1020" s="56">
        <f>IF($B1020=0,"",IF(Inputs!$B$8="","",IF($AF1020=0,E1019,SUMIFS(Data!$J$10:$J$3209,Data!$I$10:$I$3209,"&gt;="&amp;$A1020,Data!$I$10:$I$3209,"&lt;"&amp;$A1020+1)/$AF1020)))</f>
        <v/>
      </c>
      <c r="F1020" s="56">
        <f>IF($B1020=0,"",IF(Inputs!$B$9="","",IF($AG1020=0,F1019,SUMIFS(Data!$N$10:$N$3209,Data!$M$10:$M$3209,"&gt;="&amp;$A1020,Data!$M$10:$M$3209,"&lt;"&amp;$A1020+1)/$AG1020)))</f>
        <v/>
      </c>
      <c r="G1020" s="56">
        <f>IF($B1020=0,"",IF(Inputs!$B$10="","",IF($AH1020=0,G1019,SUMIFS(Data!$R$10:$R$3209,Data!$Q$10:$Q$3209,"&gt;="&amp;$A1020,Data!$Q$10:$Q$3209,"&lt;"&amp;$A1020+1)/$AH1020)))</f>
        <v/>
      </c>
      <c r="I1020" s="54">
        <f>IF($B1020=0,NA(),IF($C1020="",NA(),IF(C$8="",NA(),IF(N(C$8)=0,NA(),IF(Inputs!$C$17="Rebased to 100",$C1020/C$8*100,$C1020)))))</f>
        <v/>
      </c>
      <c r="J1020" s="54">
        <f>IF($B1020=0,NA(),IF($D1020="",NA(),IF(D$8="",NA(),IF(N(D$8)=0,NA(),IF(Inputs!$C$17="Rebased to 100",$D1020/D$8*100,$D1020)))))</f>
        <v/>
      </c>
      <c r="K1020" s="54">
        <f>IF($B1020=0,NA(),IF($E1020="",NA(),IF(E$8="",NA(),IF(N(E$8)=0,NA(),IF(Inputs!$C$17="Rebased to 100",$E1020/E$8*100,$E1020)))))</f>
        <v/>
      </c>
      <c r="L1020" s="54">
        <f>IF($B1020=0,NA(),IF($F1020="",NA(),IF(F$8="",NA(),IF(N(F$8)=0,NA(),IF(Inputs!$C$17="Rebased to 100",$F1020/F$8*100,$F1020)))))</f>
        <v/>
      </c>
      <c r="M1020" s="54">
        <f>IF($B1020=0,NA(),IF($G1020="",NA(),IF(G$8="",NA(),IF(N(G$8)=0,NA(),IF(Inputs!$C$17="Rebased to 100",$G1020/G$8*100,$G1020)))))</f>
        <v/>
      </c>
      <c r="N1020" s="54">
        <f>IF($B1020=0,NA(),IF(Inputs!$C$18&lt;&gt;"Yes",NA(),IF(COUNT(I1020,J1020,K1020,L1020,M1020)=0,NA(),MIN(I1020,J1020,K1020,L1020,M1020))))</f>
        <v/>
      </c>
      <c r="O1020" s="54">
        <f>IF($B1020=0,NA(),IF(Inputs!$B$24&lt;&gt;"Yes",NA(),Inputs!$D$24*Inputs!$C$35))</f>
        <v/>
      </c>
      <c r="P1020" s="54">
        <f>IF($B1020=0,NA(),IF(Inputs!$B$25&lt;&gt;"Yes",NA(),Inputs!$D$25*Inputs!$C$35))</f>
        <v/>
      </c>
      <c r="Q1020" s="54">
        <f>IF($B1020=0,NA(),IF(Inputs!$B$26&lt;&gt;"Yes",NA(),Inputs!$D$26*Inputs!$C$35))</f>
        <v/>
      </c>
      <c r="R1020" s="54">
        <f>IF($B1020=0,NA(),IF(Inputs!$B$27&lt;&gt;"Yes",NA(),Inputs!$D$27*Inputs!$C$35))</f>
        <v/>
      </c>
      <c r="S1020" s="54">
        <f>IF($B1020=0,NA(),IF(Inputs!$B$28&lt;&gt;"Yes",NA(),Inputs!$D$28*Inputs!$C$35))</f>
        <v/>
      </c>
      <c r="T1020" s="54">
        <f>IF($B1020=0,NA(),IF(Inputs!$B$29&lt;&gt;"Yes",NA(),Inputs!$D$29*Inputs!$C$35))</f>
        <v/>
      </c>
      <c r="AD1020">
        <f>IF($B1020=0,0,IF(Inputs!$B$6="",0,COUNTIFS(Data!$A$10:$A$3209,"&gt;="&amp;$A1020,Data!$A$10:$A$3209,"&lt;"&amp;$A1020+1)))</f>
        <v/>
      </c>
      <c r="AE1020">
        <f>IF($B1020=0,0,IF(Inputs!$B$7="",0,COUNTIFS(Data!$E$10:$E$3209,"&gt;="&amp;$A1020,Data!$E$10:$E$3209,"&lt;"&amp;$A1020+1)))</f>
        <v/>
      </c>
      <c r="AF1020">
        <f>IF($B1020=0,0,IF(Inputs!$B$8="",0,COUNTIFS(Data!$I$10:$I$3209,"&gt;="&amp;$A1020,Data!$I$10:$I$3209,"&lt;"&amp;$A1020+1)))</f>
        <v/>
      </c>
      <c r="AG1020">
        <f>IF($B1020=0,0,IF(Inputs!$B$9="",0,COUNTIFS(Data!$M$10:$M$3209,"&gt;="&amp;$A1020,Data!$M$10:$M$3209,"&lt;"&amp;$A1020+1)))</f>
        <v/>
      </c>
      <c r="AH1020">
        <f>IF($B1020=0,0,IF(Inputs!$B$10="",0,COUNTIFS(Data!$Q$10:$Q$3209,"&gt;="&amp;$A1020,Data!$Q$10:$Q$3209,"&lt;"&amp;$A1020+1)))</f>
        <v/>
      </c>
    </row>
    <row r="1021">
      <c r="A1021" s="55">
        <f>MIN(Inputs!$C$15,$A1020+IF(WEEKDAY($A1020,2)=5,3,1))</f>
        <v/>
      </c>
      <c r="B1021">
        <f>IF($A1021&gt;$A1020,1,0)</f>
        <v/>
      </c>
      <c r="C1021" s="56">
        <f>IF($B1021=0,"",IF(Inputs!$B$6="","",IF($AD1021=0,C1020,SUMIFS(Data!$B$10:$B$3209,Data!$A$10:$A$3209,"&gt;="&amp;$A1021,Data!$A$10:$A$3209,"&lt;"&amp;$A1021+1)/$AD1021)))</f>
        <v/>
      </c>
      <c r="D1021" s="56">
        <f>IF($B1021=0,"",IF(Inputs!$B$7="","",IF($AE1021=0,D1020,SUMIFS(Data!$F$10:$F$3209,Data!$E$10:$E$3209,"&gt;="&amp;$A1021,Data!$E$10:$E$3209,"&lt;"&amp;$A1021+1)/$AE1021)))</f>
        <v/>
      </c>
      <c r="E1021" s="56">
        <f>IF($B1021=0,"",IF(Inputs!$B$8="","",IF($AF1021=0,E1020,SUMIFS(Data!$J$10:$J$3209,Data!$I$10:$I$3209,"&gt;="&amp;$A1021,Data!$I$10:$I$3209,"&lt;"&amp;$A1021+1)/$AF1021)))</f>
        <v/>
      </c>
      <c r="F1021" s="56">
        <f>IF($B1021=0,"",IF(Inputs!$B$9="","",IF($AG1021=0,F1020,SUMIFS(Data!$N$10:$N$3209,Data!$M$10:$M$3209,"&gt;="&amp;$A1021,Data!$M$10:$M$3209,"&lt;"&amp;$A1021+1)/$AG1021)))</f>
        <v/>
      </c>
      <c r="G1021" s="56">
        <f>IF($B1021=0,"",IF(Inputs!$B$10="","",IF($AH1021=0,G1020,SUMIFS(Data!$R$10:$R$3209,Data!$Q$10:$Q$3209,"&gt;="&amp;$A1021,Data!$Q$10:$Q$3209,"&lt;"&amp;$A1021+1)/$AH1021)))</f>
        <v/>
      </c>
      <c r="I1021" s="54">
        <f>IF($B1021=0,NA(),IF($C1021="",NA(),IF(C$8="",NA(),IF(N(C$8)=0,NA(),IF(Inputs!$C$17="Rebased to 100",$C1021/C$8*100,$C1021)))))</f>
        <v/>
      </c>
      <c r="J1021" s="54">
        <f>IF($B1021=0,NA(),IF($D1021="",NA(),IF(D$8="",NA(),IF(N(D$8)=0,NA(),IF(Inputs!$C$17="Rebased to 100",$D1021/D$8*100,$D1021)))))</f>
        <v/>
      </c>
      <c r="K1021" s="54">
        <f>IF($B1021=0,NA(),IF($E1021="",NA(),IF(E$8="",NA(),IF(N(E$8)=0,NA(),IF(Inputs!$C$17="Rebased to 100",$E1021/E$8*100,$E1021)))))</f>
        <v/>
      </c>
      <c r="L1021" s="54">
        <f>IF($B1021=0,NA(),IF($F1021="",NA(),IF(F$8="",NA(),IF(N(F$8)=0,NA(),IF(Inputs!$C$17="Rebased to 100",$F1021/F$8*100,$F1021)))))</f>
        <v/>
      </c>
      <c r="M1021" s="54">
        <f>IF($B1021=0,NA(),IF($G1021="",NA(),IF(G$8="",NA(),IF(N(G$8)=0,NA(),IF(Inputs!$C$17="Rebased to 100",$G1021/G$8*100,$G1021)))))</f>
        <v/>
      </c>
      <c r="N1021" s="54">
        <f>IF($B1021=0,NA(),IF(Inputs!$C$18&lt;&gt;"Yes",NA(),IF(COUNT(I1021,J1021,K1021,L1021,M1021)=0,NA(),MIN(I1021,J1021,K1021,L1021,M1021))))</f>
        <v/>
      </c>
      <c r="O1021" s="54">
        <f>IF($B1021=0,NA(),IF(Inputs!$B$24&lt;&gt;"Yes",NA(),Inputs!$D$24*Inputs!$C$35))</f>
        <v/>
      </c>
      <c r="P1021" s="54">
        <f>IF($B1021=0,NA(),IF(Inputs!$B$25&lt;&gt;"Yes",NA(),Inputs!$D$25*Inputs!$C$35))</f>
        <v/>
      </c>
      <c r="Q1021" s="54">
        <f>IF($B1021=0,NA(),IF(Inputs!$B$26&lt;&gt;"Yes",NA(),Inputs!$D$26*Inputs!$C$35))</f>
        <v/>
      </c>
      <c r="R1021" s="54">
        <f>IF($B1021=0,NA(),IF(Inputs!$B$27&lt;&gt;"Yes",NA(),Inputs!$D$27*Inputs!$C$35))</f>
        <v/>
      </c>
      <c r="S1021" s="54">
        <f>IF($B1021=0,NA(),IF(Inputs!$B$28&lt;&gt;"Yes",NA(),Inputs!$D$28*Inputs!$C$35))</f>
        <v/>
      </c>
      <c r="T1021" s="54">
        <f>IF($B1021=0,NA(),IF(Inputs!$B$29&lt;&gt;"Yes",NA(),Inputs!$D$29*Inputs!$C$35))</f>
        <v/>
      </c>
      <c r="AD1021">
        <f>IF($B1021=0,0,IF(Inputs!$B$6="",0,COUNTIFS(Data!$A$10:$A$3209,"&gt;="&amp;$A1021,Data!$A$10:$A$3209,"&lt;"&amp;$A1021+1)))</f>
        <v/>
      </c>
      <c r="AE1021">
        <f>IF($B1021=0,0,IF(Inputs!$B$7="",0,COUNTIFS(Data!$E$10:$E$3209,"&gt;="&amp;$A1021,Data!$E$10:$E$3209,"&lt;"&amp;$A1021+1)))</f>
        <v/>
      </c>
      <c r="AF1021">
        <f>IF($B1021=0,0,IF(Inputs!$B$8="",0,COUNTIFS(Data!$I$10:$I$3209,"&gt;="&amp;$A1021,Data!$I$10:$I$3209,"&lt;"&amp;$A1021+1)))</f>
        <v/>
      </c>
      <c r="AG1021">
        <f>IF($B1021=0,0,IF(Inputs!$B$9="",0,COUNTIFS(Data!$M$10:$M$3209,"&gt;="&amp;$A1021,Data!$M$10:$M$3209,"&lt;"&amp;$A1021+1)))</f>
        <v/>
      </c>
      <c r="AH1021">
        <f>IF($B1021=0,0,IF(Inputs!$B$10="",0,COUNTIFS(Data!$Q$10:$Q$3209,"&gt;="&amp;$A1021,Data!$Q$10:$Q$3209,"&lt;"&amp;$A1021+1)))</f>
        <v/>
      </c>
    </row>
    <row r="1022">
      <c r="A1022" s="55">
        <f>MIN(Inputs!$C$15,$A1021+IF(WEEKDAY($A1021,2)=5,3,1))</f>
        <v/>
      </c>
      <c r="B1022">
        <f>IF($A1022&gt;$A1021,1,0)</f>
        <v/>
      </c>
      <c r="C1022" s="56">
        <f>IF($B1022=0,"",IF(Inputs!$B$6="","",IF($AD1022=0,C1021,SUMIFS(Data!$B$10:$B$3209,Data!$A$10:$A$3209,"&gt;="&amp;$A1022,Data!$A$10:$A$3209,"&lt;"&amp;$A1022+1)/$AD1022)))</f>
        <v/>
      </c>
      <c r="D1022" s="56">
        <f>IF($B1022=0,"",IF(Inputs!$B$7="","",IF($AE1022=0,D1021,SUMIFS(Data!$F$10:$F$3209,Data!$E$10:$E$3209,"&gt;="&amp;$A1022,Data!$E$10:$E$3209,"&lt;"&amp;$A1022+1)/$AE1022)))</f>
        <v/>
      </c>
      <c r="E1022" s="56">
        <f>IF($B1022=0,"",IF(Inputs!$B$8="","",IF($AF1022=0,E1021,SUMIFS(Data!$J$10:$J$3209,Data!$I$10:$I$3209,"&gt;="&amp;$A1022,Data!$I$10:$I$3209,"&lt;"&amp;$A1022+1)/$AF1022)))</f>
        <v/>
      </c>
      <c r="F1022" s="56">
        <f>IF($B1022=0,"",IF(Inputs!$B$9="","",IF($AG1022=0,F1021,SUMIFS(Data!$N$10:$N$3209,Data!$M$10:$M$3209,"&gt;="&amp;$A1022,Data!$M$10:$M$3209,"&lt;"&amp;$A1022+1)/$AG1022)))</f>
        <v/>
      </c>
      <c r="G1022" s="56">
        <f>IF($B1022=0,"",IF(Inputs!$B$10="","",IF($AH1022=0,G1021,SUMIFS(Data!$R$10:$R$3209,Data!$Q$10:$Q$3209,"&gt;="&amp;$A1022,Data!$Q$10:$Q$3209,"&lt;"&amp;$A1022+1)/$AH1022)))</f>
        <v/>
      </c>
      <c r="I1022" s="54">
        <f>IF($B1022=0,NA(),IF($C1022="",NA(),IF(C$8="",NA(),IF(N(C$8)=0,NA(),IF(Inputs!$C$17="Rebased to 100",$C1022/C$8*100,$C1022)))))</f>
        <v/>
      </c>
      <c r="J1022" s="54">
        <f>IF($B1022=0,NA(),IF($D1022="",NA(),IF(D$8="",NA(),IF(N(D$8)=0,NA(),IF(Inputs!$C$17="Rebased to 100",$D1022/D$8*100,$D1022)))))</f>
        <v/>
      </c>
      <c r="K1022" s="54">
        <f>IF($B1022=0,NA(),IF($E1022="",NA(),IF(E$8="",NA(),IF(N(E$8)=0,NA(),IF(Inputs!$C$17="Rebased to 100",$E1022/E$8*100,$E1022)))))</f>
        <v/>
      </c>
      <c r="L1022" s="54">
        <f>IF($B1022=0,NA(),IF($F1022="",NA(),IF(F$8="",NA(),IF(N(F$8)=0,NA(),IF(Inputs!$C$17="Rebased to 100",$F1022/F$8*100,$F1022)))))</f>
        <v/>
      </c>
      <c r="M1022" s="54">
        <f>IF($B1022=0,NA(),IF($G1022="",NA(),IF(G$8="",NA(),IF(N(G$8)=0,NA(),IF(Inputs!$C$17="Rebased to 100",$G1022/G$8*100,$G1022)))))</f>
        <v/>
      </c>
      <c r="N1022" s="54">
        <f>IF($B1022=0,NA(),IF(Inputs!$C$18&lt;&gt;"Yes",NA(),IF(COUNT(I1022,J1022,K1022,L1022,M1022)=0,NA(),MIN(I1022,J1022,K1022,L1022,M1022))))</f>
        <v/>
      </c>
      <c r="O1022" s="54">
        <f>IF($B1022=0,NA(),IF(Inputs!$B$24&lt;&gt;"Yes",NA(),Inputs!$D$24*Inputs!$C$35))</f>
        <v/>
      </c>
      <c r="P1022" s="54">
        <f>IF($B1022=0,NA(),IF(Inputs!$B$25&lt;&gt;"Yes",NA(),Inputs!$D$25*Inputs!$C$35))</f>
        <v/>
      </c>
      <c r="Q1022" s="54">
        <f>IF($B1022=0,NA(),IF(Inputs!$B$26&lt;&gt;"Yes",NA(),Inputs!$D$26*Inputs!$C$35))</f>
        <v/>
      </c>
      <c r="R1022" s="54">
        <f>IF($B1022=0,NA(),IF(Inputs!$B$27&lt;&gt;"Yes",NA(),Inputs!$D$27*Inputs!$C$35))</f>
        <v/>
      </c>
      <c r="S1022" s="54">
        <f>IF($B1022=0,NA(),IF(Inputs!$B$28&lt;&gt;"Yes",NA(),Inputs!$D$28*Inputs!$C$35))</f>
        <v/>
      </c>
      <c r="T1022" s="54">
        <f>IF($B1022=0,NA(),IF(Inputs!$B$29&lt;&gt;"Yes",NA(),Inputs!$D$29*Inputs!$C$35))</f>
        <v/>
      </c>
      <c r="AD1022">
        <f>IF($B1022=0,0,IF(Inputs!$B$6="",0,COUNTIFS(Data!$A$10:$A$3209,"&gt;="&amp;$A1022,Data!$A$10:$A$3209,"&lt;"&amp;$A1022+1)))</f>
        <v/>
      </c>
      <c r="AE1022">
        <f>IF($B1022=0,0,IF(Inputs!$B$7="",0,COUNTIFS(Data!$E$10:$E$3209,"&gt;="&amp;$A1022,Data!$E$10:$E$3209,"&lt;"&amp;$A1022+1)))</f>
        <v/>
      </c>
      <c r="AF1022">
        <f>IF($B1022=0,0,IF(Inputs!$B$8="",0,COUNTIFS(Data!$I$10:$I$3209,"&gt;="&amp;$A1022,Data!$I$10:$I$3209,"&lt;"&amp;$A1022+1)))</f>
        <v/>
      </c>
      <c r="AG1022">
        <f>IF($B1022=0,0,IF(Inputs!$B$9="",0,COUNTIFS(Data!$M$10:$M$3209,"&gt;="&amp;$A1022,Data!$M$10:$M$3209,"&lt;"&amp;$A1022+1)))</f>
        <v/>
      </c>
      <c r="AH1022">
        <f>IF($B1022=0,0,IF(Inputs!$B$10="",0,COUNTIFS(Data!$Q$10:$Q$3209,"&gt;="&amp;$A1022,Data!$Q$10:$Q$3209,"&lt;"&amp;$A1022+1)))</f>
        <v/>
      </c>
    </row>
    <row r="1023">
      <c r="A1023" s="55">
        <f>MIN(Inputs!$C$15,$A1022+IF(WEEKDAY($A1022,2)=5,3,1))</f>
        <v/>
      </c>
      <c r="B1023">
        <f>IF($A1023&gt;$A1022,1,0)</f>
        <v/>
      </c>
      <c r="C1023" s="56">
        <f>IF($B1023=0,"",IF(Inputs!$B$6="","",IF($AD1023=0,C1022,SUMIFS(Data!$B$10:$B$3209,Data!$A$10:$A$3209,"&gt;="&amp;$A1023,Data!$A$10:$A$3209,"&lt;"&amp;$A1023+1)/$AD1023)))</f>
        <v/>
      </c>
      <c r="D1023" s="56">
        <f>IF($B1023=0,"",IF(Inputs!$B$7="","",IF($AE1023=0,D1022,SUMIFS(Data!$F$10:$F$3209,Data!$E$10:$E$3209,"&gt;="&amp;$A1023,Data!$E$10:$E$3209,"&lt;"&amp;$A1023+1)/$AE1023)))</f>
        <v/>
      </c>
      <c r="E1023" s="56">
        <f>IF($B1023=0,"",IF(Inputs!$B$8="","",IF($AF1023=0,E1022,SUMIFS(Data!$J$10:$J$3209,Data!$I$10:$I$3209,"&gt;="&amp;$A1023,Data!$I$10:$I$3209,"&lt;"&amp;$A1023+1)/$AF1023)))</f>
        <v/>
      </c>
      <c r="F1023" s="56">
        <f>IF($B1023=0,"",IF(Inputs!$B$9="","",IF($AG1023=0,F1022,SUMIFS(Data!$N$10:$N$3209,Data!$M$10:$M$3209,"&gt;="&amp;$A1023,Data!$M$10:$M$3209,"&lt;"&amp;$A1023+1)/$AG1023)))</f>
        <v/>
      </c>
      <c r="G1023" s="56">
        <f>IF($B1023=0,"",IF(Inputs!$B$10="","",IF($AH1023=0,G1022,SUMIFS(Data!$R$10:$R$3209,Data!$Q$10:$Q$3209,"&gt;="&amp;$A1023,Data!$Q$10:$Q$3209,"&lt;"&amp;$A1023+1)/$AH1023)))</f>
        <v/>
      </c>
      <c r="I1023" s="54">
        <f>IF($B1023=0,NA(),IF($C1023="",NA(),IF(C$8="",NA(),IF(N(C$8)=0,NA(),IF(Inputs!$C$17="Rebased to 100",$C1023/C$8*100,$C1023)))))</f>
        <v/>
      </c>
      <c r="J1023" s="54">
        <f>IF($B1023=0,NA(),IF($D1023="",NA(),IF(D$8="",NA(),IF(N(D$8)=0,NA(),IF(Inputs!$C$17="Rebased to 100",$D1023/D$8*100,$D1023)))))</f>
        <v/>
      </c>
      <c r="K1023" s="54">
        <f>IF($B1023=0,NA(),IF($E1023="",NA(),IF(E$8="",NA(),IF(N(E$8)=0,NA(),IF(Inputs!$C$17="Rebased to 100",$E1023/E$8*100,$E1023)))))</f>
        <v/>
      </c>
      <c r="L1023" s="54">
        <f>IF($B1023=0,NA(),IF($F1023="",NA(),IF(F$8="",NA(),IF(N(F$8)=0,NA(),IF(Inputs!$C$17="Rebased to 100",$F1023/F$8*100,$F1023)))))</f>
        <v/>
      </c>
      <c r="M1023" s="54">
        <f>IF($B1023=0,NA(),IF($G1023="",NA(),IF(G$8="",NA(),IF(N(G$8)=0,NA(),IF(Inputs!$C$17="Rebased to 100",$G1023/G$8*100,$G1023)))))</f>
        <v/>
      </c>
      <c r="N1023" s="54">
        <f>IF($B1023=0,NA(),IF(Inputs!$C$18&lt;&gt;"Yes",NA(),IF(COUNT(I1023,J1023,K1023,L1023,M1023)=0,NA(),MIN(I1023,J1023,K1023,L1023,M1023))))</f>
        <v/>
      </c>
      <c r="O1023" s="54">
        <f>IF($B1023=0,NA(),IF(Inputs!$B$24&lt;&gt;"Yes",NA(),Inputs!$D$24*Inputs!$C$35))</f>
        <v/>
      </c>
      <c r="P1023" s="54">
        <f>IF($B1023=0,NA(),IF(Inputs!$B$25&lt;&gt;"Yes",NA(),Inputs!$D$25*Inputs!$C$35))</f>
        <v/>
      </c>
      <c r="Q1023" s="54">
        <f>IF($B1023=0,NA(),IF(Inputs!$B$26&lt;&gt;"Yes",NA(),Inputs!$D$26*Inputs!$C$35))</f>
        <v/>
      </c>
      <c r="R1023" s="54">
        <f>IF($B1023=0,NA(),IF(Inputs!$B$27&lt;&gt;"Yes",NA(),Inputs!$D$27*Inputs!$C$35))</f>
        <v/>
      </c>
      <c r="S1023" s="54">
        <f>IF($B1023=0,NA(),IF(Inputs!$B$28&lt;&gt;"Yes",NA(),Inputs!$D$28*Inputs!$C$35))</f>
        <v/>
      </c>
      <c r="T1023" s="54">
        <f>IF($B1023=0,NA(),IF(Inputs!$B$29&lt;&gt;"Yes",NA(),Inputs!$D$29*Inputs!$C$35))</f>
        <v/>
      </c>
      <c r="AD1023">
        <f>IF($B1023=0,0,IF(Inputs!$B$6="",0,COUNTIFS(Data!$A$10:$A$3209,"&gt;="&amp;$A1023,Data!$A$10:$A$3209,"&lt;"&amp;$A1023+1)))</f>
        <v/>
      </c>
      <c r="AE1023">
        <f>IF($B1023=0,0,IF(Inputs!$B$7="",0,COUNTIFS(Data!$E$10:$E$3209,"&gt;="&amp;$A1023,Data!$E$10:$E$3209,"&lt;"&amp;$A1023+1)))</f>
        <v/>
      </c>
      <c r="AF1023">
        <f>IF($B1023=0,0,IF(Inputs!$B$8="",0,COUNTIFS(Data!$I$10:$I$3209,"&gt;="&amp;$A1023,Data!$I$10:$I$3209,"&lt;"&amp;$A1023+1)))</f>
        <v/>
      </c>
      <c r="AG1023">
        <f>IF($B1023=0,0,IF(Inputs!$B$9="",0,COUNTIFS(Data!$M$10:$M$3209,"&gt;="&amp;$A1023,Data!$M$10:$M$3209,"&lt;"&amp;$A1023+1)))</f>
        <v/>
      </c>
      <c r="AH1023">
        <f>IF($B1023=0,0,IF(Inputs!$B$10="",0,COUNTIFS(Data!$Q$10:$Q$3209,"&gt;="&amp;$A1023,Data!$Q$10:$Q$3209,"&lt;"&amp;$A1023+1)))</f>
        <v/>
      </c>
    </row>
    <row r="1024">
      <c r="A1024" s="55">
        <f>MIN(Inputs!$C$15,$A1023+IF(WEEKDAY($A1023,2)=5,3,1))</f>
        <v/>
      </c>
      <c r="B1024">
        <f>IF($A1024&gt;$A1023,1,0)</f>
        <v/>
      </c>
      <c r="C1024" s="56">
        <f>IF($B1024=0,"",IF(Inputs!$B$6="","",IF($AD1024=0,C1023,SUMIFS(Data!$B$10:$B$3209,Data!$A$10:$A$3209,"&gt;="&amp;$A1024,Data!$A$10:$A$3209,"&lt;"&amp;$A1024+1)/$AD1024)))</f>
        <v/>
      </c>
      <c r="D1024" s="56">
        <f>IF($B1024=0,"",IF(Inputs!$B$7="","",IF($AE1024=0,D1023,SUMIFS(Data!$F$10:$F$3209,Data!$E$10:$E$3209,"&gt;="&amp;$A1024,Data!$E$10:$E$3209,"&lt;"&amp;$A1024+1)/$AE1024)))</f>
        <v/>
      </c>
      <c r="E1024" s="56">
        <f>IF($B1024=0,"",IF(Inputs!$B$8="","",IF($AF1024=0,E1023,SUMIFS(Data!$J$10:$J$3209,Data!$I$10:$I$3209,"&gt;="&amp;$A1024,Data!$I$10:$I$3209,"&lt;"&amp;$A1024+1)/$AF1024)))</f>
        <v/>
      </c>
      <c r="F1024" s="56">
        <f>IF($B1024=0,"",IF(Inputs!$B$9="","",IF($AG1024=0,F1023,SUMIFS(Data!$N$10:$N$3209,Data!$M$10:$M$3209,"&gt;="&amp;$A1024,Data!$M$10:$M$3209,"&lt;"&amp;$A1024+1)/$AG1024)))</f>
        <v/>
      </c>
      <c r="G1024" s="56">
        <f>IF($B1024=0,"",IF(Inputs!$B$10="","",IF($AH1024=0,G1023,SUMIFS(Data!$R$10:$R$3209,Data!$Q$10:$Q$3209,"&gt;="&amp;$A1024,Data!$Q$10:$Q$3209,"&lt;"&amp;$A1024+1)/$AH1024)))</f>
        <v/>
      </c>
      <c r="I1024" s="54">
        <f>IF($B1024=0,NA(),IF($C1024="",NA(),IF(C$8="",NA(),IF(N(C$8)=0,NA(),IF(Inputs!$C$17="Rebased to 100",$C1024/C$8*100,$C1024)))))</f>
        <v/>
      </c>
      <c r="J1024" s="54">
        <f>IF($B1024=0,NA(),IF($D1024="",NA(),IF(D$8="",NA(),IF(N(D$8)=0,NA(),IF(Inputs!$C$17="Rebased to 100",$D1024/D$8*100,$D1024)))))</f>
        <v/>
      </c>
      <c r="K1024" s="54">
        <f>IF($B1024=0,NA(),IF($E1024="",NA(),IF(E$8="",NA(),IF(N(E$8)=0,NA(),IF(Inputs!$C$17="Rebased to 100",$E1024/E$8*100,$E1024)))))</f>
        <v/>
      </c>
      <c r="L1024" s="54">
        <f>IF($B1024=0,NA(),IF($F1024="",NA(),IF(F$8="",NA(),IF(N(F$8)=0,NA(),IF(Inputs!$C$17="Rebased to 100",$F1024/F$8*100,$F1024)))))</f>
        <v/>
      </c>
      <c r="M1024" s="54">
        <f>IF($B1024=0,NA(),IF($G1024="",NA(),IF(G$8="",NA(),IF(N(G$8)=0,NA(),IF(Inputs!$C$17="Rebased to 100",$G1024/G$8*100,$G1024)))))</f>
        <v/>
      </c>
      <c r="N1024" s="54">
        <f>IF($B1024=0,NA(),IF(Inputs!$C$18&lt;&gt;"Yes",NA(),IF(COUNT(I1024,J1024,K1024,L1024,M1024)=0,NA(),MIN(I1024,J1024,K1024,L1024,M1024))))</f>
        <v/>
      </c>
      <c r="O1024" s="54">
        <f>IF($B1024=0,NA(),IF(Inputs!$B$24&lt;&gt;"Yes",NA(),Inputs!$D$24*Inputs!$C$35))</f>
        <v/>
      </c>
      <c r="P1024" s="54">
        <f>IF($B1024=0,NA(),IF(Inputs!$B$25&lt;&gt;"Yes",NA(),Inputs!$D$25*Inputs!$C$35))</f>
        <v/>
      </c>
      <c r="Q1024" s="54">
        <f>IF($B1024=0,NA(),IF(Inputs!$B$26&lt;&gt;"Yes",NA(),Inputs!$D$26*Inputs!$C$35))</f>
        <v/>
      </c>
      <c r="R1024" s="54">
        <f>IF($B1024=0,NA(),IF(Inputs!$B$27&lt;&gt;"Yes",NA(),Inputs!$D$27*Inputs!$C$35))</f>
        <v/>
      </c>
      <c r="S1024" s="54">
        <f>IF($B1024=0,NA(),IF(Inputs!$B$28&lt;&gt;"Yes",NA(),Inputs!$D$28*Inputs!$C$35))</f>
        <v/>
      </c>
      <c r="T1024" s="54">
        <f>IF($B1024=0,NA(),IF(Inputs!$B$29&lt;&gt;"Yes",NA(),Inputs!$D$29*Inputs!$C$35))</f>
        <v/>
      </c>
      <c r="AD1024">
        <f>IF($B1024=0,0,IF(Inputs!$B$6="",0,COUNTIFS(Data!$A$10:$A$3209,"&gt;="&amp;$A1024,Data!$A$10:$A$3209,"&lt;"&amp;$A1024+1)))</f>
        <v/>
      </c>
      <c r="AE1024">
        <f>IF($B1024=0,0,IF(Inputs!$B$7="",0,COUNTIFS(Data!$E$10:$E$3209,"&gt;="&amp;$A1024,Data!$E$10:$E$3209,"&lt;"&amp;$A1024+1)))</f>
        <v/>
      </c>
      <c r="AF1024">
        <f>IF($B1024=0,0,IF(Inputs!$B$8="",0,COUNTIFS(Data!$I$10:$I$3209,"&gt;="&amp;$A1024,Data!$I$10:$I$3209,"&lt;"&amp;$A1024+1)))</f>
        <v/>
      </c>
      <c r="AG1024">
        <f>IF($B1024=0,0,IF(Inputs!$B$9="",0,COUNTIFS(Data!$M$10:$M$3209,"&gt;="&amp;$A1024,Data!$M$10:$M$3209,"&lt;"&amp;$A1024+1)))</f>
        <v/>
      </c>
      <c r="AH1024">
        <f>IF($B1024=0,0,IF(Inputs!$B$10="",0,COUNTIFS(Data!$Q$10:$Q$3209,"&gt;="&amp;$A1024,Data!$Q$10:$Q$3209,"&lt;"&amp;$A1024+1)))</f>
        <v/>
      </c>
    </row>
    <row r="1025">
      <c r="A1025" s="55">
        <f>MIN(Inputs!$C$15,$A1024+IF(WEEKDAY($A1024,2)=5,3,1))</f>
        <v/>
      </c>
      <c r="B1025">
        <f>IF($A1025&gt;$A1024,1,0)</f>
        <v/>
      </c>
      <c r="C1025" s="56">
        <f>IF($B1025=0,"",IF(Inputs!$B$6="","",IF($AD1025=0,C1024,SUMIFS(Data!$B$10:$B$3209,Data!$A$10:$A$3209,"&gt;="&amp;$A1025,Data!$A$10:$A$3209,"&lt;"&amp;$A1025+1)/$AD1025)))</f>
        <v/>
      </c>
      <c r="D1025" s="56">
        <f>IF($B1025=0,"",IF(Inputs!$B$7="","",IF($AE1025=0,D1024,SUMIFS(Data!$F$10:$F$3209,Data!$E$10:$E$3209,"&gt;="&amp;$A1025,Data!$E$10:$E$3209,"&lt;"&amp;$A1025+1)/$AE1025)))</f>
        <v/>
      </c>
      <c r="E1025" s="56">
        <f>IF($B1025=0,"",IF(Inputs!$B$8="","",IF($AF1025=0,E1024,SUMIFS(Data!$J$10:$J$3209,Data!$I$10:$I$3209,"&gt;="&amp;$A1025,Data!$I$10:$I$3209,"&lt;"&amp;$A1025+1)/$AF1025)))</f>
        <v/>
      </c>
      <c r="F1025" s="56">
        <f>IF($B1025=0,"",IF(Inputs!$B$9="","",IF($AG1025=0,F1024,SUMIFS(Data!$N$10:$N$3209,Data!$M$10:$M$3209,"&gt;="&amp;$A1025,Data!$M$10:$M$3209,"&lt;"&amp;$A1025+1)/$AG1025)))</f>
        <v/>
      </c>
      <c r="G1025" s="56">
        <f>IF($B1025=0,"",IF(Inputs!$B$10="","",IF($AH1025=0,G1024,SUMIFS(Data!$R$10:$R$3209,Data!$Q$10:$Q$3209,"&gt;="&amp;$A1025,Data!$Q$10:$Q$3209,"&lt;"&amp;$A1025+1)/$AH1025)))</f>
        <v/>
      </c>
      <c r="I1025" s="54">
        <f>IF($B1025=0,NA(),IF($C1025="",NA(),IF(C$8="",NA(),IF(N(C$8)=0,NA(),IF(Inputs!$C$17="Rebased to 100",$C1025/C$8*100,$C1025)))))</f>
        <v/>
      </c>
      <c r="J1025" s="54">
        <f>IF($B1025=0,NA(),IF($D1025="",NA(),IF(D$8="",NA(),IF(N(D$8)=0,NA(),IF(Inputs!$C$17="Rebased to 100",$D1025/D$8*100,$D1025)))))</f>
        <v/>
      </c>
      <c r="K1025" s="54">
        <f>IF($B1025=0,NA(),IF($E1025="",NA(),IF(E$8="",NA(),IF(N(E$8)=0,NA(),IF(Inputs!$C$17="Rebased to 100",$E1025/E$8*100,$E1025)))))</f>
        <v/>
      </c>
      <c r="L1025" s="54">
        <f>IF($B1025=0,NA(),IF($F1025="",NA(),IF(F$8="",NA(),IF(N(F$8)=0,NA(),IF(Inputs!$C$17="Rebased to 100",$F1025/F$8*100,$F1025)))))</f>
        <v/>
      </c>
      <c r="M1025" s="54">
        <f>IF($B1025=0,NA(),IF($G1025="",NA(),IF(G$8="",NA(),IF(N(G$8)=0,NA(),IF(Inputs!$C$17="Rebased to 100",$G1025/G$8*100,$G1025)))))</f>
        <v/>
      </c>
      <c r="N1025" s="54">
        <f>IF($B1025=0,NA(),IF(Inputs!$C$18&lt;&gt;"Yes",NA(),IF(COUNT(I1025,J1025,K1025,L1025,M1025)=0,NA(),MIN(I1025,J1025,K1025,L1025,M1025))))</f>
        <v/>
      </c>
      <c r="O1025" s="54">
        <f>IF($B1025=0,NA(),IF(Inputs!$B$24&lt;&gt;"Yes",NA(),Inputs!$D$24*Inputs!$C$35))</f>
        <v/>
      </c>
      <c r="P1025" s="54">
        <f>IF($B1025=0,NA(),IF(Inputs!$B$25&lt;&gt;"Yes",NA(),Inputs!$D$25*Inputs!$C$35))</f>
        <v/>
      </c>
      <c r="Q1025" s="54">
        <f>IF($B1025=0,NA(),IF(Inputs!$B$26&lt;&gt;"Yes",NA(),Inputs!$D$26*Inputs!$C$35))</f>
        <v/>
      </c>
      <c r="R1025" s="54">
        <f>IF($B1025=0,NA(),IF(Inputs!$B$27&lt;&gt;"Yes",NA(),Inputs!$D$27*Inputs!$C$35))</f>
        <v/>
      </c>
      <c r="S1025" s="54">
        <f>IF($B1025=0,NA(),IF(Inputs!$B$28&lt;&gt;"Yes",NA(),Inputs!$D$28*Inputs!$C$35))</f>
        <v/>
      </c>
      <c r="T1025" s="54">
        <f>IF($B1025=0,NA(),IF(Inputs!$B$29&lt;&gt;"Yes",NA(),Inputs!$D$29*Inputs!$C$35))</f>
        <v/>
      </c>
      <c r="AD1025">
        <f>IF($B1025=0,0,IF(Inputs!$B$6="",0,COUNTIFS(Data!$A$10:$A$3209,"&gt;="&amp;$A1025,Data!$A$10:$A$3209,"&lt;"&amp;$A1025+1)))</f>
        <v/>
      </c>
      <c r="AE1025">
        <f>IF($B1025=0,0,IF(Inputs!$B$7="",0,COUNTIFS(Data!$E$10:$E$3209,"&gt;="&amp;$A1025,Data!$E$10:$E$3209,"&lt;"&amp;$A1025+1)))</f>
        <v/>
      </c>
      <c r="AF1025">
        <f>IF($B1025=0,0,IF(Inputs!$B$8="",0,COUNTIFS(Data!$I$10:$I$3209,"&gt;="&amp;$A1025,Data!$I$10:$I$3209,"&lt;"&amp;$A1025+1)))</f>
        <v/>
      </c>
      <c r="AG1025">
        <f>IF($B1025=0,0,IF(Inputs!$B$9="",0,COUNTIFS(Data!$M$10:$M$3209,"&gt;="&amp;$A1025,Data!$M$10:$M$3209,"&lt;"&amp;$A1025+1)))</f>
        <v/>
      </c>
      <c r="AH1025">
        <f>IF($B1025=0,0,IF(Inputs!$B$10="",0,COUNTIFS(Data!$Q$10:$Q$3209,"&gt;="&amp;$A1025,Data!$Q$10:$Q$3209,"&lt;"&amp;$A1025+1)))</f>
        <v/>
      </c>
    </row>
    <row r="1026">
      <c r="A1026" s="55">
        <f>MIN(Inputs!$C$15,$A1025+IF(WEEKDAY($A1025,2)=5,3,1))</f>
        <v/>
      </c>
      <c r="B1026">
        <f>IF($A1026&gt;$A1025,1,0)</f>
        <v/>
      </c>
      <c r="C1026" s="56">
        <f>IF($B1026=0,"",IF(Inputs!$B$6="","",IF($AD1026=0,C1025,SUMIFS(Data!$B$10:$B$3209,Data!$A$10:$A$3209,"&gt;="&amp;$A1026,Data!$A$10:$A$3209,"&lt;"&amp;$A1026+1)/$AD1026)))</f>
        <v/>
      </c>
      <c r="D1026" s="56">
        <f>IF($B1026=0,"",IF(Inputs!$B$7="","",IF($AE1026=0,D1025,SUMIFS(Data!$F$10:$F$3209,Data!$E$10:$E$3209,"&gt;="&amp;$A1026,Data!$E$10:$E$3209,"&lt;"&amp;$A1026+1)/$AE1026)))</f>
        <v/>
      </c>
      <c r="E1026" s="56">
        <f>IF($B1026=0,"",IF(Inputs!$B$8="","",IF($AF1026=0,E1025,SUMIFS(Data!$J$10:$J$3209,Data!$I$10:$I$3209,"&gt;="&amp;$A1026,Data!$I$10:$I$3209,"&lt;"&amp;$A1026+1)/$AF1026)))</f>
        <v/>
      </c>
      <c r="F1026" s="56">
        <f>IF($B1026=0,"",IF(Inputs!$B$9="","",IF($AG1026=0,F1025,SUMIFS(Data!$N$10:$N$3209,Data!$M$10:$M$3209,"&gt;="&amp;$A1026,Data!$M$10:$M$3209,"&lt;"&amp;$A1026+1)/$AG1026)))</f>
        <v/>
      </c>
      <c r="G1026" s="56">
        <f>IF($B1026=0,"",IF(Inputs!$B$10="","",IF($AH1026=0,G1025,SUMIFS(Data!$R$10:$R$3209,Data!$Q$10:$Q$3209,"&gt;="&amp;$A1026,Data!$Q$10:$Q$3209,"&lt;"&amp;$A1026+1)/$AH1026)))</f>
        <v/>
      </c>
      <c r="I1026" s="54">
        <f>IF($B1026=0,NA(),IF($C1026="",NA(),IF(C$8="",NA(),IF(N(C$8)=0,NA(),IF(Inputs!$C$17="Rebased to 100",$C1026/C$8*100,$C1026)))))</f>
        <v/>
      </c>
      <c r="J1026" s="54">
        <f>IF($B1026=0,NA(),IF($D1026="",NA(),IF(D$8="",NA(),IF(N(D$8)=0,NA(),IF(Inputs!$C$17="Rebased to 100",$D1026/D$8*100,$D1026)))))</f>
        <v/>
      </c>
      <c r="K1026" s="54">
        <f>IF($B1026=0,NA(),IF($E1026="",NA(),IF(E$8="",NA(),IF(N(E$8)=0,NA(),IF(Inputs!$C$17="Rebased to 100",$E1026/E$8*100,$E1026)))))</f>
        <v/>
      </c>
      <c r="L1026" s="54">
        <f>IF($B1026=0,NA(),IF($F1026="",NA(),IF(F$8="",NA(),IF(N(F$8)=0,NA(),IF(Inputs!$C$17="Rebased to 100",$F1026/F$8*100,$F1026)))))</f>
        <v/>
      </c>
      <c r="M1026" s="54">
        <f>IF($B1026=0,NA(),IF($G1026="",NA(),IF(G$8="",NA(),IF(N(G$8)=0,NA(),IF(Inputs!$C$17="Rebased to 100",$G1026/G$8*100,$G1026)))))</f>
        <v/>
      </c>
      <c r="N1026" s="54">
        <f>IF($B1026=0,NA(),IF(Inputs!$C$18&lt;&gt;"Yes",NA(),IF(COUNT(I1026,J1026,K1026,L1026,M1026)=0,NA(),MIN(I1026,J1026,K1026,L1026,M1026))))</f>
        <v/>
      </c>
      <c r="O1026" s="54">
        <f>IF($B1026=0,NA(),IF(Inputs!$B$24&lt;&gt;"Yes",NA(),Inputs!$D$24*Inputs!$C$35))</f>
        <v/>
      </c>
      <c r="P1026" s="54">
        <f>IF($B1026=0,NA(),IF(Inputs!$B$25&lt;&gt;"Yes",NA(),Inputs!$D$25*Inputs!$C$35))</f>
        <v/>
      </c>
      <c r="Q1026" s="54">
        <f>IF($B1026=0,NA(),IF(Inputs!$B$26&lt;&gt;"Yes",NA(),Inputs!$D$26*Inputs!$C$35))</f>
        <v/>
      </c>
      <c r="R1026" s="54">
        <f>IF($B1026=0,NA(),IF(Inputs!$B$27&lt;&gt;"Yes",NA(),Inputs!$D$27*Inputs!$C$35))</f>
        <v/>
      </c>
      <c r="S1026" s="54">
        <f>IF($B1026=0,NA(),IF(Inputs!$B$28&lt;&gt;"Yes",NA(),Inputs!$D$28*Inputs!$C$35))</f>
        <v/>
      </c>
      <c r="T1026" s="54">
        <f>IF($B1026=0,NA(),IF(Inputs!$B$29&lt;&gt;"Yes",NA(),Inputs!$D$29*Inputs!$C$35))</f>
        <v/>
      </c>
      <c r="AD1026">
        <f>IF($B1026=0,0,IF(Inputs!$B$6="",0,COUNTIFS(Data!$A$10:$A$3209,"&gt;="&amp;$A1026,Data!$A$10:$A$3209,"&lt;"&amp;$A1026+1)))</f>
        <v/>
      </c>
      <c r="AE1026">
        <f>IF($B1026=0,0,IF(Inputs!$B$7="",0,COUNTIFS(Data!$E$10:$E$3209,"&gt;="&amp;$A1026,Data!$E$10:$E$3209,"&lt;"&amp;$A1026+1)))</f>
        <v/>
      </c>
      <c r="AF1026">
        <f>IF($B1026=0,0,IF(Inputs!$B$8="",0,COUNTIFS(Data!$I$10:$I$3209,"&gt;="&amp;$A1026,Data!$I$10:$I$3209,"&lt;"&amp;$A1026+1)))</f>
        <v/>
      </c>
      <c r="AG1026">
        <f>IF($B1026=0,0,IF(Inputs!$B$9="",0,COUNTIFS(Data!$M$10:$M$3209,"&gt;="&amp;$A1026,Data!$M$10:$M$3209,"&lt;"&amp;$A1026+1)))</f>
        <v/>
      </c>
      <c r="AH1026">
        <f>IF($B1026=0,0,IF(Inputs!$B$10="",0,COUNTIFS(Data!$Q$10:$Q$3209,"&gt;="&amp;$A1026,Data!$Q$10:$Q$3209,"&lt;"&amp;$A1026+1)))</f>
        <v/>
      </c>
    </row>
    <row r="1027">
      <c r="A1027" s="55">
        <f>MIN(Inputs!$C$15,$A1026+IF(WEEKDAY($A1026,2)=5,3,1))</f>
        <v/>
      </c>
      <c r="B1027">
        <f>IF($A1027&gt;$A1026,1,0)</f>
        <v/>
      </c>
      <c r="C1027" s="56">
        <f>IF($B1027=0,"",IF(Inputs!$B$6="","",IF($AD1027=0,C1026,SUMIFS(Data!$B$10:$B$3209,Data!$A$10:$A$3209,"&gt;="&amp;$A1027,Data!$A$10:$A$3209,"&lt;"&amp;$A1027+1)/$AD1027)))</f>
        <v/>
      </c>
      <c r="D1027" s="56">
        <f>IF($B1027=0,"",IF(Inputs!$B$7="","",IF($AE1027=0,D1026,SUMIFS(Data!$F$10:$F$3209,Data!$E$10:$E$3209,"&gt;="&amp;$A1027,Data!$E$10:$E$3209,"&lt;"&amp;$A1027+1)/$AE1027)))</f>
        <v/>
      </c>
      <c r="E1027" s="56">
        <f>IF($B1027=0,"",IF(Inputs!$B$8="","",IF($AF1027=0,E1026,SUMIFS(Data!$J$10:$J$3209,Data!$I$10:$I$3209,"&gt;="&amp;$A1027,Data!$I$10:$I$3209,"&lt;"&amp;$A1027+1)/$AF1027)))</f>
        <v/>
      </c>
      <c r="F1027" s="56">
        <f>IF($B1027=0,"",IF(Inputs!$B$9="","",IF($AG1027=0,F1026,SUMIFS(Data!$N$10:$N$3209,Data!$M$10:$M$3209,"&gt;="&amp;$A1027,Data!$M$10:$M$3209,"&lt;"&amp;$A1027+1)/$AG1027)))</f>
        <v/>
      </c>
      <c r="G1027" s="56">
        <f>IF($B1027=0,"",IF(Inputs!$B$10="","",IF($AH1027=0,G1026,SUMIFS(Data!$R$10:$R$3209,Data!$Q$10:$Q$3209,"&gt;="&amp;$A1027,Data!$Q$10:$Q$3209,"&lt;"&amp;$A1027+1)/$AH1027)))</f>
        <v/>
      </c>
      <c r="I1027" s="54">
        <f>IF($B1027=0,NA(),IF($C1027="",NA(),IF(C$8="",NA(),IF(N(C$8)=0,NA(),IF(Inputs!$C$17="Rebased to 100",$C1027/C$8*100,$C1027)))))</f>
        <v/>
      </c>
      <c r="J1027" s="54">
        <f>IF($B1027=0,NA(),IF($D1027="",NA(),IF(D$8="",NA(),IF(N(D$8)=0,NA(),IF(Inputs!$C$17="Rebased to 100",$D1027/D$8*100,$D1027)))))</f>
        <v/>
      </c>
      <c r="K1027" s="54">
        <f>IF($B1027=0,NA(),IF($E1027="",NA(),IF(E$8="",NA(),IF(N(E$8)=0,NA(),IF(Inputs!$C$17="Rebased to 100",$E1027/E$8*100,$E1027)))))</f>
        <v/>
      </c>
      <c r="L1027" s="54">
        <f>IF($B1027=0,NA(),IF($F1027="",NA(),IF(F$8="",NA(),IF(N(F$8)=0,NA(),IF(Inputs!$C$17="Rebased to 100",$F1027/F$8*100,$F1027)))))</f>
        <v/>
      </c>
      <c r="M1027" s="54">
        <f>IF($B1027=0,NA(),IF($G1027="",NA(),IF(G$8="",NA(),IF(N(G$8)=0,NA(),IF(Inputs!$C$17="Rebased to 100",$G1027/G$8*100,$G1027)))))</f>
        <v/>
      </c>
      <c r="N1027" s="54">
        <f>IF($B1027=0,NA(),IF(Inputs!$C$18&lt;&gt;"Yes",NA(),IF(COUNT(I1027,J1027,K1027,L1027,M1027)=0,NA(),MIN(I1027,J1027,K1027,L1027,M1027))))</f>
        <v/>
      </c>
      <c r="O1027" s="54">
        <f>IF($B1027=0,NA(),IF(Inputs!$B$24&lt;&gt;"Yes",NA(),Inputs!$D$24*Inputs!$C$35))</f>
        <v/>
      </c>
      <c r="P1027" s="54">
        <f>IF($B1027=0,NA(),IF(Inputs!$B$25&lt;&gt;"Yes",NA(),Inputs!$D$25*Inputs!$C$35))</f>
        <v/>
      </c>
      <c r="Q1027" s="54">
        <f>IF($B1027=0,NA(),IF(Inputs!$B$26&lt;&gt;"Yes",NA(),Inputs!$D$26*Inputs!$C$35))</f>
        <v/>
      </c>
      <c r="R1027" s="54">
        <f>IF($B1027=0,NA(),IF(Inputs!$B$27&lt;&gt;"Yes",NA(),Inputs!$D$27*Inputs!$C$35))</f>
        <v/>
      </c>
      <c r="S1027" s="54">
        <f>IF($B1027=0,NA(),IF(Inputs!$B$28&lt;&gt;"Yes",NA(),Inputs!$D$28*Inputs!$C$35))</f>
        <v/>
      </c>
      <c r="T1027" s="54">
        <f>IF($B1027=0,NA(),IF(Inputs!$B$29&lt;&gt;"Yes",NA(),Inputs!$D$29*Inputs!$C$35))</f>
        <v/>
      </c>
      <c r="AD1027">
        <f>IF($B1027=0,0,IF(Inputs!$B$6="",0,COUNTIFS(Data!$A$10:$A$3209,"&gt;="&amp;$A1027,Data!$A$10:$A$3209,"&lt;"&amp;$A1027+1)))</f>
        <v/>
      </c>
      <c r="AE1027">
        <f>IF($B1027=0,0,IF(Inputs!$B$7="",0,COUNTIFS(Data!$E$10:$E$3209,"&gt;="&amp;$A1027,Data!$E$10:$E$3209,"&lt;"&amp;$A1027+1)))</f>
        <v/>
      </c>
      <c r="AF1027">
        <f>IF($B1027=0,0,IF(Inputs!$B$8="",0,COUNTIFS(Data!$I$10:$I$3209,"&gt;="&amp;$A1027,Data!$I$10:$I$3209,"&lt;"&amp;$A1027+1)))</f>
        <v/>
      </c>
      <c r="AG1027">
        <f>IF($B1027=0,0,IF(Inputs!$B$9="",0,COUNTIFS(Data!$M$10:$M$3209,"&gt;="&amp;$A1027,Data!$M$10:$M$3209,"&lt;"&amp;$A1027+1)))</f>
        <v/>
      </c>
      <c r="AH1027">
        <f>IF($B1027=0,0,IF(Inputs!$B$10="",0,COUNTIFS(Data!$Q$10:$Q$3209,"&gt;="&amp;$A1027,Data!$Q$10:$Q$3209,"&lt;"&amp;$A1027+1)))</f>
        <v/>
      </c>
    </row>
    <row r="1028">
      <c r="A1028" s="55">
        <f>MIN(Inputs!$C$15,$A1027+IF(WEEKDAY($A1027,2)=5,3,1))</f>
        <v/>
      </c>
      <c r="B1028">
        <f>IF($A1028&gt;$A1027,1,0)</f>
        <v/>
      </c>
      <c r="C1028" s="56">
        <f>IF($B1028=0,"",IF(Inputs!$B$6="","",IF($AD1028=0,C1027,SUMIFS(Data!$B$10:$B$3209,Data!$A$10:$A$3209,"&gt;="&amp;$A1028,Data!$A$10:$A$3209,"&lt;"&amp;$A1028+1)/$AD1028)))</f>
        <v/>
      </c>
      <c r="D1028" s="56">
        <f>IF($B1028=0,"",IF(Inputs!$B$7="","",IF($AE1028=0,D1027,SUMIFS(Data!$F$10:$F$3209,Data!$E$10:$E$3209,"&gt;="&amp;$A1028,Data!$E$10:$E$3209,"&lt;"&amp;$A1028+1)/$AE1028)))</f>
        <v/>
      </c>
      <c r="E1028" s="56">
        <f>IF($B1028=0,"",IF(Inputs!$B$8="","",IF($AF1028=0,E1027,SUMIFS(Data!$J$10:$J$3209,Data!$I$10:$I$3209,"&gt;="&amp;$A1028,Data!$I$10:$I$3209,"&lt;"&amp;$A1028+1)/$AF1028)))</f>
        <v/>
      </c>
      <c r="F1028" s="56">
        <f>IF($B1028=0,"",IF(Inputs!$B$9="","",IF($AG1028=0,F1027,SUMIFS(Data!$N$10:$N$3209,Data!$M$10:$M$3209,"&gt;="&amp;$A1028,Data!$M$10:$M$3209,"&lt;"&amp;$A1028+1)/$AG1028)))</f>
        <v/>
      </c>
      <c r="G1028" s="56">
        <f>IF($B1028=0,"",IF(Inputs!$B$10="","",IF($AH1028=0,G1027,SUMIFS(Data!$R$10:$R$3209,Data!$Q$10:$Q$3209,"&gt;="&amp;$A1028,Data!$Q$10:$Q$3209,"&lt;"&amp;$A1028+1)/$AH1028)))</f>
        <v/>
      </c>
      <c r="I1028" s="54">
        <f>IF($B1028=0,NA(),IF($C1028="",NA(),IF(C$8="",NA(),IF(N(C$8)=0,NA(),IF(Inputs!$C$17="Rebased to 100",$C1028/C$8*100,$C1028)))))</f>
        <v/>
      </c>
      <c r="J1028" s="54">
        <f>IF($B1028=0,NA(),IF($D1028="",NA(),IF(D$8="",NA(),IF(N(D$8)=0,NA(),IF(Inputs!$C$17="Rebased to 100",$D1028/D$8*100,$D1028)))))</f>
        <v/>
      </c>
      <c r="K1028" s="54">
        <f>IF($B1028=0,NA(),IF($E1028="",NA(),IF(E$8="",NA(),IF(N(E$8)=0,NA(),IF(Inputs!$C$17="Rebased to 100",$E1028/E$8*100,$E1028)))))</f>
        <v/>
      </c>
      <c r="L1028" s="54">
        <f>IF($B1028=0,NA(),IF($F1028="",NA(),IF(F$8="",NA(),IF(N(F$8)=0,NA(),IF(Inputs!$C$17="Rebased to 100",$F1028/F$8*100,$F1028)))))</f>
        <v/>
      </c>
      <c r="M1028" s="54">
        <f>IF($B1028=0,NA(),IF($G1028="",NA(),IF(G$8="",NA(),IF(N(G$8)=0,NA(),IF(Inputs!$C$17="Rebased to 100",$G1028/G$8*100,$G1028)))))</f>
        <v/>
      </c>
      <c r="N1028" s="54">
        <f>IF($B1028=0,NA(),IF(Inputs!$C$18&lt;&gt;"Yes",NA(),IF(COUNT(I1028,J1028,K1028,L1028,M1028)=0,NA(),MIN(I1028,J1028,K1028,L1028,M1028))))</f>
        <v/>
      </c>
      <c r="O1028" s="54">
        <f>IF($B1028=0,NA(),IF(Inputs!$B$24&lt;&gt;"Yes",NA(),Inputs!$D$24*Inputs!$C$35))</f>
        <v/>
      </c>
      <c r="P1028" s="54">
        <f>IF($B1028=0,NA(),IF(Inputs!$B$25&lt;&gt;"Yes",NA(),Inputs!$D$25*Inputs!$C$35))</f>
        <v/>
      </c>
      <c r="Q1028" s="54">
        <f>IF($B1028=0,NA(),IF(Inputs!$B$26&lt;&gt;"Yes",NA(),Inputs!$D$26*Inputs!$C$35))</f>
        <v/>
      </c>
      <c r="R1028" s="54">
        <f>IF($B1028=0,NA(),IF(Inputs!$B$27&lt;&gt;"Yes",NA(),Inputs!$D$27*Inputs!$C$35))</f>
        <v/>
      </c>
      <c r="S1028" s="54">
        <f>IF($B1028=0,NA(),IF(Inputs!$B$28&lt;&gt;"Yes",NA(),Inputs!$D$28*Inputs!$C$35))</f>
        <v/>
      </c>
      <c r="T1028" s="54">
        <f>IF($B1028=0,NA(),IF(Inputs!$B$29&lt;&gt;"Yes",NA(),Inputs!$D$29*Inputs!$C$35))</f>
        <v/>
      </c>
      <c r="AD1028">
        <f>IF($B1028=0,0,IF(Inputs!$B$6="",0,COUNTIFS(Data!$A$10:$A$3209,"&gt;="&amp;$A1028,Data!$A$10:$A$3209,"&lt;"&amp;$A1028+1)))</f>
        <v/>
      </c>
      <c r="AE1028">
        <f>IF($B1028=0,0,IF(Inputs!$B$7="",0,COUNTIFS(Data!$E$10:$E$3209,"&gt;="&amp;$A1028,Data!$E$10:$E$3209,"&lt;"&amp;$A1028+1)))</f>
        <v/>
      </c>
      <c r="AF1028">
        <f>IF($B1028=0,0,IF(Inputs!$B$8="",0,COUNTIFS(Data!$I$10:$I$3209,"&gt;="&amp;$A1028,Data!$I$10:$I$3209,"&lt;"&amp;$A1028+1)))</f>
        <v/>
      </c>
      <c r="AG1028">
        <f>IF($B1028=0,0,IF(Inputs!$B$9="",0,COUNTIFS(Data!$M$10:$M$3209,"&gt;="&amp;$A1028,Data!$M$10:$M$3209,"&lt;"&amp;$A1028+1)))</f>
        <v/>
      </c>
      <c r="AH1028">
        <f>IF($B1028=0,0,IF(Inputs!$B$10="",0,COUNTIFS(Data!$Q$10:$Q$3209,"&gt;="&amp;$A1028,Data!$Q$10:$Q$3209,"&lt;"&amp;$A1028+1)))</f>
        <v/>
      </c>
    </row>
    <row r="1029">
      <c r="A1029" s="55">
        <f>MIN(Inputs!$C$15,$A1028+IF(WEEKDAY($A1028,2)=5,3,1))</f>
        <v/>
      </c>
      <c r="B1029">
        <f>IF($A1029&gt;$A1028,1,0)</f>
        <v/>
      </c>
      <c r="C1029" s="56">
        <f>IF($B1029=0,"",IF(Inputs!$B$6="","",IF($AD1029=0,C1028,SUMIFS(Data!$B$10:$B$3209,Data!$A$10:$A$3209,"&gt;="&amp;$A1029,Data!$A$10:$A$3209,"&lt;"&amp;$A1029+1)/$AD1029)))</f>
        <v/>
      </c>
      <c r="D1029" s="56">
        <f>IF($B1029=0,"",IF(Inputs!$B$7="","",IF($AE1029=0,D1028,SUMIFS(Data!$F$10:$F$3209,Data!$E$10:$E$3209,"&gt;="&amp;$A1029,Data!$E$10:$E$3209,"&lt;"&amp;$A1029+1)/$AE1029)))</f>
        <v/>
      </c>
      <c r="E1029" s="56">
        <f>IF($B1029=0,"",IF(Inputs!$B$8="","",IF($AF1029=0,E1028,SUMIFS(Data!$J$10:$J$3209,Data!$I$10:$I$3209,"&gt;="&amp;$A1029,Data!$I$10:$I$3209,"&lt;"&amp;$A1029+1)/$AF1029)))</f>
        <v/>
      </c>
      <c r="F1029" s="56">
        <f>IF($B1029=0,"",IF(Inputs!$B$9="","",IF($AG1029=0,F1028,SUMIFS(Data!$N$10:$N$3209,Data!$M$10:$M$3209,"&gt;="&amp;$A1029,Data!$M$10:$M$3209,"&lt;"&amp;$A1029+1)/$AG1029)))</f>
        <v/>
      </c>
      <c r="G1029" s="56">
        <f>IF($B1029=0,"",IF(Inputs!$B$10="","",IF($AH1029=0,G1028,SUMIFS(Data!$R$10:$R$3209,Data!$Q$10:$Q$3209,"&gt;="&amp;$A1029,Data!$Q$10:$Q$3209,"&lt;"&amp;$A1029+1)/$AH1029)))</f>
        <v/>
      </c>
      <c r="I1029" s="54">
        <f>IF($B1029=0,NA(),IF($C1029="",NA(),IF(C$8="",NA(),IF(N(C$8)=0,NA(),IF(Inputs!$C$17="Rebased to 100",$C1029/C$8*100,$C1029)))))</f>
        <v/>
      </c>
      <c r="J1029" s="54">
        <f>IF($B1029=0,NA(),IF($D1029="",NA(),IF(D$8="",NA(),IF(N(D$8)=0,NA(),IF(Inputs!$C$17="Rebased to 100",$D1029/D$8*100,$D1029)))))</f>
        <v/>
      </c>
      <c r="K1029" s="54">
        <f>IF($B1029=0,NA(),IF($E1029="",NA(),IF(E$8="",NA(),IF(N(E$8)=0,NA(),IF(Inputs!$C$17="Rebased to 100",$E1029/E$8*100,$E1029)))))</f>
        <v/>
      </c>
      <c r="L1029" s="54">
        <f>IF($B1029=0,NA(),IF($F1029="",NA(),IF(F$8="",NA(),IF(N(F$8)=0,NA(),IF(Inputs!$C$17="Rebased to 100",$F1029/F$8*100,$F1029)))))</f>
        <v/>
      </c>
      <c r="M1029" s="54">
        <f>IF($B1029=0,NA(),IF($G1029="",NA(),IF(G$8="",NA(),IF(N(G$8)=0,NA(),IF(Inputs!$C$17="Rebased to 100",$G1029/G$8*100,$G1029)))))</f>
        <v/>
      </c>
      <c r="N1029" s="54">
        <f>IF($B1029=0,NA(),IF(Inputs!$C$18&lt;&gt;"Yes",NA(),IF(COUNT(I1029,J1029,K1029,L1029,M1029)=0,NA(),MIN(I1029,J1029,K1029,L1029,M1029))))</f>
        <v/>
      </c>
      <c r="O1029" s="54">
        <f>IF($B1029=0,NA(),IF(Inputs!$B$24&lt;&gt;"Yes",NA(),Inputs!$D$24*Inputs!$C$35))</f>
        <v/>
      </c>
      <c r="P1029" s="54">
        <f>IF($B1029=0,NA(),IF(Inputs!$B$25&lt;&gt;"Yes",NA(),Inputs!$D$25*Inputs!$C$35))</f>
        <v/>
      </c>
      <c r="Q1029" s="54">
        <f>IF($B1029=0,NA(),IF(Inputs!$B$26&lt;&gt;"Yes",NA(),Inputs!$D$26*Inputs!$C$35))</f>
        <v/>
      </c>
      <c r="R1029" s="54">
        <f>IF($B1029=0,NA(),IF(Inputs!$B$27&lt;&gt;"Yes",NA(),Inputs!$D$27*Inputs!$C$35))</f>
        <v/>
      </c>
      <c r="S1029" s="54">
        <f>IF($B1029=0,NA(),IF(Inputs!$B$28&lt;&gt;"Yes",NA(),Inputs!$D$28*Inputs!$C$35))</f>
        <v/>
      </c>
      <c r="T1029" s="54">
        <f>IF($B1029=0,NA(),IF(Inputs!$B$29&lt;&gt;"Yes",NA(),Inputs!$D$29*Inputs!$C$35))</f>
        <v/>
      </c>
      <c r="AD1029">
        <f>IF($B1029=0,0,IF(Inputs!$B$6="",0,COUNTIFS(Data!$A$10:$A$3209,"&gt;="&amp;$A1029,Data!$A$10:$A$3209,"&lt;"&amp;$A1029+1)))</f>
        <v/>
      </c>
      <c r="AE1029">
        <f>IF($B1029=0,0,IF(Inputs!$B$7="",0,COUNTIFS(Data!$E$10:$E$3209,"&gt;="&amp;$A1029,Data!$E$10:$E$3209,"&lt;"&amp;$A1029+1)))</f>
        <v/>
      </c>
      <c r="AF1029">
        <f>IF($B1029=0,0,IF(Inputs!$B$8="",0,COUNTIFS(Data!$I$10:$I$3209,"&gt;="&amp;$A1029,Data!$I$10:$I$3209,"&lt;"&amp;$A1029+1)))</f>
        <v/>
      </c>
      <c r="AG1029">
        <f>IF($B1029=0,0,IF(Inputs!$B$9="",0,COUNTIFS(Data!$M$10:$M$3209,"&gt;="&amp;$A1029,Data!$M$10:$M$3209,"&lt;"&amp;$A1029+1)))</f>
        <v/>
      </c>
      <c r="AH1029">
        <f>IF($B1029=0,0,IF(Inputs!$B$10="",0,COUNTIFS(Data!$Q$10:$Q$3209,"&gt;="&amp;$A1029,Data!$Q$10:$Q$3209,"&lt;"&amp;$A1029+1)))</f>
        <v/>
      </c>
    </row>
    <row r="1030">
      <c r="A1030" s="55">
        <f>MIN(Inputs!$C$15,$A1029+IF(WEEKDAY($A1029,2)=5,3,1))</f>
        <v/>
      </c>
      <c r="B1030">
        <f>IF($A1030&gt;$A1029,1,0)</f>
        <v/>
      </c>
      <c r="C1030" s="56">
        <f>IF($B1030=0,"",IF(Inputs!$B$6="","",IF($AD1030=0,C1029,SUMIFS(Data!$B$10:$B$3209,Data!$A$10:$A$3209,"&gt;="&amp;$A1030,Data!$A$10:$A$3209,"&lt;"&amp;$A1030+1)/$AD1030)))</f>
        <v/>
      </c>
      <c r="D1030" s="56">
        <f>IF($B1030=0,"",IF(Inputs!$B$7="","",IF($AE1030=0,D1029,SUMIFS(Data!$F$10:$F$3209,Data!$E$10:$E$3209,"&gt;="&amp;$A1030,Data!$E$10:$E$3209,"&lt;"&amp;$A1030+1)/$AE1030)))</f>
        <v/>
      </c>
      <c r="E1030" s="56">
        <f>IF($B1030=0,"",IF(Inputs!$B$8="","",IF($AF1030=0,E1029,SUMIFS(Data!$J$10:$J$3209,Data!$I$10:$I$3209,"&gt;="&amp;$A1030,Data!$I$10:$I$3209,"&lt;"&amp;$A1030+1)/$AF1030)))</f>
        <v/>
      </c>
      <c r="F1030" s="56">
        <f>IF($B1030=0,"",IF(Inputs!$B$9="","",IF($AG1030=0,F1029,SUMIFS(Data!$N$10:$N$3209,Data!$M$10:$M$3209,"&gt;="&amp;$A1030,Data!$M$10:$M$3209,"&lt;"&amp;$A1030+1)/$AG1030)))</f>
        <v/>
      </c>
      <c r="G1030" s="56">
        <f>IF($B1030=0,"",IF(Inputs!$B$10="","",IF($AH1030=0,G1029,SUMIFS(Data!$R$10:$R$3209,Data!$Q$10:$Q$3209,"&gt;="&amp;$A1030,Data!$Q$10:$Q$3209,"&lt;"&amp;$A1030+1)/$AH1030)))</f>
        <v/>
      </c>
      <c r="I1030" s="54">
        <f>IF($B1030=0,NA(),IF($C1030="",NA(),IF(C$8="",NA(),IF(N(C$8)=0,NA(),IF(Inputs!$C$17="Rebased to 100",$C1030/C$8*100,$C1030)))))</f>
        <v/>
      </c>
      <c r="J1030" s="54">
        <f>IF($B1030=0,NA(),IF($D1030="",NA(),IF(D$8="",NA(),IF(N(D$8)=0,NA(),IF(Inputs!$C$17="Rebased to 100",$D1030/D$8*100,$D1030)))))</f>
        <v/>
      </c>
      <c r="K1030" s="54">
        <f>IF($B1030=0,NA(),IF($E1030="",NA(),IF(E$8="",NA(),IF(N(E$8)=0,NA(),IF(Inputs!$C$17="Rebased to 100",$E1030/E$8*100,$E1030)))))</f>
        <v/>
      </c>
      <c r="L1030" s="54">
        <f>IF($B1030=0,NA(),IF($F1030="",NA(),IF(F$8="",NA(),IF(N(F$8)=0,NA(),IF(Inputs!$C$17="Rebased to 100",$F1030/F$8*100,$F1030)))))</f>
        <v/>
      </c>
      <c r="M1030" s="54">
        <f>IF($B1030=0,NA(),IF($G1030="",NA(),IF(G$8="",NA(),IF(N(G$8)=0,NA(),IF(Inputs!$C$17="Rebased to 100",$G1030/G$8*100,$G1030)))))</f>
        <v/>
      </c>
      <c r="N1030" s="54">
        <f>IF($B1030=0,NA(),IF(Inputs!$C$18&lt;&gt;"Yes",NA(),IF(COUNT(I1030,J1030,K1030,L1030,M1030)=0,NA(),MIN(I1030,J1030,K1030,L1030,M1030))))</f>
        <v/>
      </c>
      <c r="O1030" s="54">
        <f>IF($B1030=0,NA(),IF(Inputs!$B$24&lt;&gt;"Yes",NA(),Inputs!$D$24*Inputs!$C$35))</f>
        <v/>
      </c>
      <c r="P1030" s="54">
        <f>IF($B1030=0,NA(),IF(Inputs!$B$25&lt;&gt;"Yes",NA(),Inputs!$D$25*Inputs!$C$35))</f>
        <v/>
      </c>
      <c r="Q1030" s="54">
        <f>IF($B1030=0,NA(),IF(Inputs!$B$26&lt;&gt;"Yes",NA(),Inputs!$D$26*Inputs!$C$35))</f>
        <v/>
      </c>
      <c r="R1030" s="54">
        <f>IF($B1030=0,NA(),IF(Inputs!$B$27&lt;&gt;"Yes",NA(),Inputs!$D$27*Inputs!$C$35))</f>
        <v/>
      </c>
      <c r="S1030" s="54">
        <f>IF($B1030=0,NA(),IF(Inputs!$B$28&lt;&gt;"Yes",NA(),Inputs!$D$28*Inputs!$C$35))</f>
        <v/>
      </c>
      <c r="T1030" s="54">
        <f>IF($B1030=0,NA(),IF(Inputs!$B$29&lt;&gt;"Yes",NA(),Inputs!$D$29*Inputs!$C$35))</f>
        <v/>
      </c>
      <c r="AD1030">
        <f>IF($B1030=0,0,IF(Inputs!$B$6="",0,COUNTIFS(Data!$A$10:$A$3209,"&gt;="&amp;$A1030,Data!$A$10:$A$3209,"&lt;"&amp;$A1030+1)))</f>
        <v/>
      </c>
      <c r="AE1030">
        <f>IF($B1030=0,0,IF(Inputs!$B$7="",0,COUNTIFS(Data!$E$10:$E$3209,"&gt;="&amp;$A1030,Data!$E$10:$E$3209,"&lt;"&amp;$A1030+1)))</f>
        <v/>
      </c>
      <c r="AF1030">
        <f>IF($B1030=0,0,IF(Inputs!$B$8="",0,COUNTIFS(Data!$I$10:$I$3209,"&gt;="&amp;$A1030,Data!$I$10:$I$3209,"&lt;"&amp;$A1030+1)))</f>
        <v/>
      </c>
      <c r="AG1030">
        <f>IF($B1030=0,0,IF(Inputs!$B$9="",0,COUNTIFS(Data!$M$10:$M$3209,"&gt;="&amp;$A1030,Data!$M$10:$M$3209,"&lt;"&amp;$A1030+1)))</f>
        <v/>
      </c>
      <c r="AH1030">
        <f>IF($B1030=0,0,IF(Inputs!$B$10="",0,COUNTIFS(Data!$Q$10:$Q$3209,"&gt;="&amp;$A1030,Data!$Q$10:$Q$3209,"&lt;"&amp;$A1030+1)))</f>
        <v/>
      </c>
    </row>
    <row r="1031">
      <c r="A1031" s="55">
        <f>MIN(Inputs!$C$15,$A1030+IF(WEEKDAY($A1030,2)=5,3,1))</f>
        <v/>
      </c>
      <c r="B1031">
        <f>IF($A1031&gt;$A1030,1,0)</f>
        <v/>
      </c>
      <c r="C1031" s="56">
        <f>IF($B1031=0,"",IF(Inputs!$B$6="","",IF($AD1031=0,C1030,SUMIFS(Data!$B$10:$B$3209,Data!$A$10:$A$3209,"&gt;="&amp;$A1031,Data!$A$10:$A$3209,"&lt;"&amp;$A1031+1)/$AD1031)))</f>
        <v/>
      </c>
      <c r="D1031" s="56">
        <f>IF($B1031=0,"",IF(Inputs!$B$7="","",IF($AE1031=0,D1030,SUMIFS(Data!$F$10:$F$3209,Data!$E$10:$E$3209,"&gt;="&amp;$A1031,Data!$E$10:$E$3209,"&lt;"&amp;$A1031+1)/$AE1031)))</f>
        <v/>
      </c>
      <c r="E1031" s="56">
        <f>IF($B1031=0,"",IF(Inputs!$B$8="","",IF($AF1031=0,E1030,SUMIFS(Data!$J$10:$J$3209,Data!$I$10:$I$3209,"&gt;="&amp;$A1031,Data!$I$10:$I$3209,"&lt;"&amp;$A1031+1)/$AF1031)))</f>
        <v/>
      </c>
      <c r="F1031" s="56">
        <f>IF($B1031=0,"",IF(Inputs!$B$9="","",IF($AG1031=0,F1030,SUMIFS(Data!$N$10:$N$3209,Data!$M$10:$M$3209,"&gt;="&amp;$A1031,Data!$M$10:$M$3209,"&lt;"&amp;$A1031+1)/$AG1031)))</f>
        <v/>
      </c>
      <c r="G1031" s="56">
        <f>IF($B1031=0,"",IF(Inputs!$B$10="","",IF($AH1031=0,G1030,SUMIFS(Data!$R$10:$R$3209,Data!$Q$10:$Q$3209,"&gt;="&amp;$A1031,Data!$Q$10:$Q$3209,"&lt;"&amp;$A1031+1)/$AH1031)))</f>
        <v/>
      </c>
      <c r="I1031" s="54">
        <f>IF($B1031=0,NA(),IF($C1031="",NA(),IF(C$8="",NA(),IF(N(C$8)=0,NA(),IF(Inputs!$C$17="Rebased to 100",$C1031/C$8*100,$C1031)))))</f>
        <v/>
      </c>
      <c r="J1031" s="54">
        <f>IF($B1031=0,NA(),IF($D1031="",NA(),IF(D$8="",NA(),IF(N(D$8)=0,NA(),IF(Inputs!$C$17="Rebased to 100",$D1031/D$8*100,$D1031)))))</f>
        <v/>
      </c>
      <c r="K1031" s="54">
        <f>IF($B1031=0,NA(),IF($E1031="",NA(),IF(E$8="",NA(),IF(N(E$8)=0,NA(),IF(Inputs!$C$17="Rebased to 100",$E1031/E$8*100,$E1031)))))</f>
        <v/>
      </c>
      <c r="L1031" s="54">
        <f>IF($B1031=0,NA(),IF($F1031="",NA(),IF(F$8="",NA(),IF(N(F$8)=0,NA(),IF(Inputs!$C$17="Rebased to 100",$F1031/F$8*100,$F1031)))))</f>
        <v/>
      </c>
      <c r="M1031" s="54">
        <f>IF($B1031=0,NA(),IF($G1031="",NA(),IF(G$8="",NA(),IF(N(G$8)=0,NA(),IF(Inputs!$C$17="Rebased to 100",$G1031/G$8*100,$G1031)))))</f>
        <v/>
      </c>
      <c r="N1031" s="54">
        <f>IF($B1031=0,NA(),IF(Inputs!$C$18&lt;&gt;"Yes",NA(),IF(COUNT(I1031,J1031,K1031,L1031,M1031)=0,NA(),MIN(I1031,J1031,K1031,L1031,M1031))))</f>
        <v/>
      </c>
      <c r="O1031" s="54">
        <f>IF($B1031=0,NA(),IF(Inputs!$B$24&lt;&gt;"Yes",NA(),Inputs!$D$24*Inputs!$C$35))</f>
        <v/>
      </c>
      <c r="P1031" s="54">
        <f>IF($B1031=0,NA(),IF(Inputs!$B$25&lt;&gt;"Yes",NA(),Inputs!$D$25*Inputs!$C$35))</f>
        <v/>
      </c>
      <c r="Q1031" s="54">
        <f>IF($B1031=0,NA(),IF(Inputs!$B$26&lt;&gt;"Yes",NA(),Inputs!$D$26*Inputs!$C$35))</f>
        <v/>
      </c>
      <c r="R1031" s="54">
        <f>IF($B1031=0,NA(),IF(Inputs!$B$27&lt;&gt;"Yes",NA(),Inputs!$D$27*Inputs!$C$35))</f>
        <v/>
      </c>
      <c r="S1031" s="54">
        <f>IF($B1031=0,NA(),IF(Inputs!$B$28&lt;&gt;"Yes",NA(),Inputs!$D$28*Inputs!$C$35))</f>
        <v/>
      </c>
      <c r="T1031" s="54">
        <f>IF($B1031=0,NA(),IF(Inputs!$B$29&lt;&gt;"Yes",NA(),Inputs!$D$29*Inputs!$C$35))</f>
        <v/>
      </c>
      <c r="AD1031">
        <f>IF($B1031=0,0,IF(Inputs!$B$6="",0,COUNTIFS(Data!$A$10:$A$3209,"&gt;="&amp;$A1031,Data!$A$10:$A$3209,"&lt;"&amp;$A1031+1)))</f>
        <v/>
      </c>
      <c r="AE1031">
        <f>IF($B1031=0,0,IF(Inputs!$B$7="",0,COUNTIFS(Data!$E$10:$E$3209,"&gt;="&amp;$A1031,Data!$E$10:$E$3209,"&lt;"&amp;$A1031+1)))</f>
        <v/>
      </c>
      <c r="AF1031">
        <f>IF($B1031=0,0,IF(Inputs!$B$8="",0,COUNTIFS(Data!$I$10:$I$3209,"&gt;="&amp;$A1031,Data!$I$10:$I$3209,"&lt;"&amp;$A1031+1)))</f>
        <v/>
      </c>
      <c r="AG1031">
        <f>IF($B1031=0,0,IF(Inputs!$B$9="",0,COUNTIFS(Data!$M$10:$M$3209,"&gt;="&amp;$A1031,Data!$M$10:$M$3209,"&lt;"&amp;$A1031+1)))</f>
        <v/>
      </c>
      <c r="AH1031">
        <f>IF($B1031=0,0,IF(Inputs!$B$10="",0,COUNTIFS(Data!$Q$10:$Q$3209,"&gt;="&amp;$A1031,Data!$Q$10:$Q$3209,"&lt;"&amp;$A1031+1)))</f>
        <v/>
      </c>
    </row>
    <row r="1032">
      <c r="A1032" s="55">
        <f>MIN(Inputs!$C$15,$A1031+IF(WEEKDAY($A1031,2)=5,3,1))</f>
        <v/>
      </c>
      <c r="B1032">
        <f>IF($A1032&gt;$A1031,1,0)</f>
        <v/>
      </c>
      <c r="C1032" s="56">
        <f>IF($B1032=0,"",IF(Inputs!$B$6="","",IF($AD1032=0,C1031,SUMIFS(Data!$B$10:$B$3209,Data!$A$10:$A$3209,"&gt;="&amp;$A1032,Data!$A$10:$A$3209,"&lt;"&amp;$A1032+1)/$AD1032)))</f>
        <v/>
      </c>
      <c r="D1032" s="56">
        <f>IF($B1032=0,"",IF(Inputs!$B$7="","",IF($AE1032=0,D1031,SUMIFS(Data!$F$10:$F$3209,Data!$E$10:$E$3209,"&gt;="&amp;$A1032,Data!$E$10:$E$3209,"&lt;"&amp;$A1032+1)/$AE1032)))</f>
        <v/>
      </c>
      <c r="E1032" s="56">
        <f>IF($B1032=0,"",IF(Inputs!$B$8="","",IF($AF1032=0,E1031,SUMIFS(Data!$J$10:$J$3209,Data!$I$10:$I$3209,"&gt;="&amp;$A1032,Data!$I$10:$I$3209,"&lt;"&amp;$A1032+1)/$AF1032)))</f>
        <v/>
      </c>
      <c r="F1032" s="56">
        <f>IF($B1032=0,"",IF(Inputs!$B$9="","",IF($AG1032=0,F1031,SUMIFS(Data!$N$10:$N$3209,Data!$M$10:$M$3209,"&gt;="&amp;$A1032,Data!$M$10:$M$3209,"&lt;"&amp;$A1032+1)/$AG1032)))</f>
        <v/>
      </c>
      <c r="G1032" s="56">
        <f>IF($B1032=0,"",IF(Inputs!$B$10="","",IF($AH1032=0,G1031,SUMIFS(Data!$R$10:$R$3209,Data!$Q$10:$Q$3209,"&gt;="&amp;$A1032,Data!$Q$10:$Q$3209,"&lt;"&amp;$A1032+1)/$AH1032)))</f>
        <v/>
      </c>
      <c r="I1032" s="54">
        <f>IF($B1032=0,NA(),IF($C1032="",NA(),IF(C$8="",NA(),IF(N(C$8)=0,NA(),IF(Inputs!$C$17="Rebased to 100",$C1032/C$8*100,$C1032)))))</f>
        <v/>
      </c>
      <c r="J1032" s="54">
        <f>IF($B1032=0,NA(),IF($D1032="",NA(),IF(D$8="",NA(),IF(N(D$8)=0,NA(),IF(Inputs!$C$17="Rebased to 100",$D1032/D$8*100,$D1032)))))</f>
        <v/>
      </c>
      <c r="K1032" s="54">
        <f>IF($B1032=0,NA(),IF($E1032="",NA(),IF(E$8="",NA(),IF(N(E$8)=0,NA(),IF(Inputs!$C$17="Rebased to 100",$E1032/E$8*100,$E1032)))))</f>
        <v/>
      </c>
      <c r="L1032" s="54">
        <f>IF($B1032=0,NA(),IF($F1032="",NA(),IF(F$8="",NA(),IF(N(F$8)=0,NA(),IF(Inputs!$C$17="Rebased to 100",$F1032/F$8*100,$F1032)))))</f>
        <v/>
      </c>
      <c r="M1032" s="54">
        <f>IF($B1032=0,NA(),IF($G1032="",NA(),IF(G$8="",NA(),IF(N(G$8)=0,NA(),IF(Inputs!$C$17="Rebased to 100",$G1032/G$8*100,$G1032)))))</f>
        <v/>
      </c>
      <c r="N1032" s="54">
        <f>IF($B1032=0,NA(),IF(Inputs!$C$18&lt;&gt;"Yes",NA(),IF(COUNT(I1032,J1032,K1032,L1032,M1032)=0,NA(),MIN(I1032,J1032,K1032,L1032,M1032))))</f>
        <v/>
      </c>
      <c r="O1032" s="54">
        <f>IF($B1032=0,NA(),IF(Inputs!$B$24&lt;&gt;"Yes",NA(),Inputs!$D$24*Inputs!$C$35))</f>
        <v/>
      </c>
      <c r="P1032" s="54">
        <f>IF($B1032=0,NA(),IF(Inputs!$B$25&lt;&gt;"Yes",NA(),Inputs!$D$25*Inputs!$C$35))</f>
        <v/>
      </c>
      <c r="Q1032" s="54">
        <f>IF($B1032=0,NA(),IF(Inputs!$B$26&lt;&gt;"Yes",NA(),Inputs!$D$26*Inputs!$C$35))</f>
        <v/>
      </c>
      <c r="R1032" s="54">
        <f>IF($B1032=0,NA(),IF(Inputs!$B$27&lt;&gt;"Yes",NA(),Inputs!$D$27*Inputs!$C$35))</f>
        <v/>
      </c>
      <c r="S1032" s="54">
        <f>IF($B1032=0,NA(),IF(Inputs!$B$28&lt;&gt;"Yes",NA(),Inputs!$D$28*Inputs!$C$35))</f>
        <v/>
      </c>
      <c r="T1032" s="54">
        <f>IF($B1032=0,NA(),IF(Inputs!$B$29&lt;&gt;"Yes",NA(),Inputs!$D$29*Inputs!$C$35))</f>
        <v/>
      </c>
      <c r="AD1032">
        <f>IF($B1032=0,0,IF(Inputs!$B$6="",0,COUNTIFS(Data!$A$10:$A$3209,"&gt;="&amp;$A1032,Data!$A$10:$A$3209,"&lt;"&amp;$A1032+1)))</f>
        <v/>
      </c>
      <c r="AE1032">
        <f>IF($B1032=0,0,IF(Inputs!$B$7="",0,COUNTIFS(Data!$E$10:$E$3209,"&gt;="&amp;$A1032,Data!$E$10:$E$3209,"&lt;"&amp;$A1032+1)))</f>
        <v/>
      </c>
      <c r="AF1032">
        <f>IF($B1032=0,0,IF(Inputs!$B$8="",0,COUNTIFS(Data!$I$10:$I$3209,"&gt;="&amp;$A1032,Data!$I$10:$I$3209,"&lt;"&amp;$A1032+1)))</f>
        <v/>
      </c>
      <c r="AG1032">
        <f>IF($B1032=0,0,IF(Inputs!$B$9="",0,COUNTIFS(Data!$M$10:$M$3209,"&gt;="&amp;$A1032,Data!$M$10:$M$3209,"&lt;"&amp;$A1032+1)))</f>
        <v/>
      </c>
      <c r="AH1032">
        <f>IF($B1032=0,0,IF(Inputs!$B$10="",0,COUNTIFS(Data!$Q$10:$Q$3209,"&gt;="&amp;$A1032,Data!$Q$10:$Q$3209,"&lt;"&amp;$A1032+1)))</f>
        <v/>
      </c>
    </row>
    <row r="1033">
      <c r="A1033" s="55">
        <f>MIN(Inputs!$C$15,$A1032+IF(WEEKDAY($A1032,2)=5,3,1))</f>
        <v/>
      </c>
      <c r="B1033">
        <f>IF($A1033&gt;$A1032,1,0)</f>
        <v/>
      </c>
      <c r="C1033" s="56">
        <f>IF($B1033=0,"",IF(Inputs!$B$6="","",IF($AD1033=0,C1032,SUMIFS(Data!$B$10:$B$3209,Data!$A$10:$A$3209,"&gt;="&amp;$A1033,Data!$A$10:$A$3209,"&lt;"&amp;$A1033+1)/$AD1033)))</f>
        <v/>
      </c>
      <c r="D1033" s="56">
        <f>IF($B1033=0,"",IF(Inputs!$B$7="","",IF($AE1033=0,D1032,SUMIFS(Data!$F$10:$F$3209,Data!$E$10:$E$3209,"&gt;="&amp;$A1033,Data!$E$10:$E$3209,"&lt;"&amp;$A1033+1)/$AE1033)))</f>
        <v/>
      </c>
      <c r="E1033" s="56">
        <f>IF($B1033=0,"",IF(Inputs!$B$8="","",IF($AF1033=0,E1032,SUMIFS(Data!$J$10:$J$3209,Data!$I$10:$I$3209,"&gt;="&amp;$A1033,Data!$I$10:$I$3209,"&lt;"&amp;$A1033+1)/$AF1033)))</f>
        <v/>
      </c>
      <c r="F1033" s="56">
        <f>IF($B1033=0,"",IF(Inputs!$B$9="","",IF($AG1033=0,F1032,SUMIFS(Data!$N$10:$N$3209,Data!$M$10:$M$3209,"&gt;="&amp;$A1033,Data!$M$10:$M$3209,"&lt;"&amp;$A1033+1)/$AG1033)))</f>
        <v/>
      </c>
      <c r="G1033" s="56">
        <f>IF($B1033=0,"",IF(Inputs!$B$10="","",IF($AH1033=0,G1032,SUMIFS(Data!$R$10:$R$3209,Data!$Q$10:$Q$3209,"&gt;="&amp;$A1033,Data!$Q$10:$Q$3209,"&lt;"&amp;$A1033+1)/$AH1033)))</f>
        <v/>
      </c>
      <c r="I1033" s="54">
        <f>IF($B1033=0,NA(),IF($C1033="",NA(),IF(C$8="",NA(),IF(N(C$8)=0,NA(),IF(Inputs!$C$17="Rebased to 100",$C1033/C$8*100,$C1033)))))</f>
        <v/>
      </c>
      <c r="J1033" s="54">
        <f>IF($B1033=0,NA(),IF($D1033="",NA(),IF(D$8="",NA(),IF(N(D$8)=0,NA(),IF(Inputs!$C$17="Rebased to 100",$D1033/D$8*100,$D1033)))))</f>
        <v/>
      </c>
      <c r="K1033" s="54">
        <f>IF($B1033=0,NA(),IF($E1033="",NA(),IF(E$8="",NA(),IF(N(E$8)=0,NA(),IF(Inputs!$C$17="Rebased to 100",$E1033/E$8*100,$E1033)))))</f>
        <v/>
      </c>
      <c r="L1033" s="54">
        <f>IF($B1033=0,NA(),IF($F1033="",NA(),IF(F$8="",NA(),IF(N(F$8)=0,NA(),IF(Inputs!$C$17="Rebased to 100",$F1033/F$8*100,$F1033)))))</f>
        <v/>
      </c>
      <c r="M1033" s="54">
        <f>IF($B1033=0,NA(),IF($G1033="",NA(),IF(G$8="",NA(),IF(N(G$8)=0,NA(),IF(Inputs!$C$17="Rebased to 100",$G1033/G$8*100,$G1033)))))</f>
        <v/>
      </c>
      <c r="N1033" s="54">
        <f>IF($B1033=0,NA(),IF(Inputs!$C$18&lt;&gt;"Yes",NA(),IF(COUNT(I1033,J1033,K1033,L1033,M1033)=0,NA(),MIN(I1033,J1033,K1033,L1033,M1033))))</f>
        <v/>
      </c>
      <c r="O1033" s="54">
        <f>IF($B1033=0,NA(),IF(Inputs!$B$24&lt;&gt;"Yes",NA(),Inputs!$D$24*Inputs!$C$35))</f>
        <v/>
      </c>
      <c r="P1033" s="54">
        <f>IF($B1033=0,NA(),IF(Inputs!$B$25&lt;&gt;"Yes",NA(),Inputs!$D$25*Inputs!$C$35))</f>
        <v/>
      </c>
      <c r="Q1033" s="54">
        <f>IF($B1033=0,NA(),IF(Inputs!$B$26&lt;&gt;"Yes",NA(),Inputs!$D$26*Inputs!$C$35))</f>
        <v/>
      </c>
      <c r="R1033" s="54">
        <f>IF($B1033=0,NA(),IF(Inputs!$B$27&lt;&gt;"Yes",NA(),Inputs!$D$27*Inputs!$C$35))</f>
        <v/>
      </c>
      <c r="S1033" s="54">
        <f>IF($B1033=0,NA(),IF(Inputs!$B$28&lt;&gt;"Yes",NA(),Inputs!$D$28*Inputs!$C$35))</f>
        <v/>
      </c>
      <c r="T1033" s="54">
        <f>IF($B1033=0,NA(),IF(Inputs!$B$29&lt;&gt;"Yes",NA(),Inputs!$D$29*Inputs!$C$35))</f>
        <v/>
      </c>
      <c r="AD1033">
        <f>IF($B1033=0,0,IF(Inputs!$B$6="",0,COUNTIFS(Data!$A$10:$A$3209,"&gt;="&amp;$A1033,Data!$A$10:$A$3209,"&lt;"&amp;$A1033+1)))</f>
        <v/>
      </c>
      <c r="AE1033">
        <f>IF($B1033=0,0,IF(Inputs!$B$7="",0,COUNTIFS(Data!$E$10:$E$3209,"&gt;="&amp;$A1033,Data!$E$10:$E$3209,"&lt;"&amp;$A1033+1)))</f>
        <v/>
      </c>
      <c r="AF1033">
        <f>IF($B1033=0,0,IF(Inputs!$B$8="",0,COUNTIFS(Data!$I$10:$I$3209,"&gt;="&amp;$A1033,Data!$I$10:$I$3209,"&lt;"&amp;$A1033+1)))</f>
        <v/>
      </c>
      <c r="AG1033">
        <f>IF($B1033=0,0,IF(Inputs!$B$9="",0,COUNTIFS(Data!$M$10:$M$3209,"&gt;="&amp;$A1033,Data!$M$10:$M$3209,"&lt;"&amp;$A1033+1)))</f>
        <v/>
      </c>
      <c r="AH1033">
        <f>IF($B1033=0,0,IF(Inputs!$B$10="",0,COUNTIFS(Data!$Q$10:$Q$3209,"&gt;="&amp;$A1033,Data!$Q$10:$Q$3209,"&lt;"&amp;$A1033+1)))</f>
        <v/>
      </c>
    </row>
    <row r="1034">
      <c r="A1034" s="55">
        <f>MIN(Inputs!$C$15,$A1033+IF(WEEKDAY($A1033,2)=5,3,1))</f>
        <v/>
      </c>
      <c r="B1034">
        <f>IF($A1034&gt;$A1033,1,0)</f>
        <v/>
      </c>
      <c r="C1034" s="56">
        <f>IF($B1034=0,"",IF(Inputs!$B$6="","",IF($AD1034=0,C1033,SUMIFS(Data!$B$10:$B$3209,Data!$A$10:$A$3209,"&gt;="&amp;$A1034,Data!$A$10:$A$3209,"&lt;"&amp;$A1034+1)/$AD1034)))</f>
        <v/>
      </c>
      <c r="D1034" s="56">
        <f>IF($B1034=0,"",IF(Inputs!$B$7="","",IF($AE1034=0,D1033,SUMIFS(Data!$F$10:$F$3209,Data!$E$10:$E$3209,"&gt;="&amp;$A1034,Data!$E$10:$E$3209,"&lt;"&amp;$A1034+1)/$AE1034)))</f>
        <v/>
      </c>
      <c r="E1034" s="56">
        <f>IF($B1034=0,"",IF(Inputs!$B$8="","",IF($AF1034=0,E1033,SUMIFS(Data!$J$10:$J$3209,Data!$I$10:$I$3209,"&gt;="&amp;$A1034,Data!$I$10:$I$3209,"&lt;"&amp;$A1034+1)/$AF1034)))</f>
        <v/>
      </c>
      <c r="F1034" s="56">
        <f>IF($B1034=0,"",IF(Inputs!$B$9="","",IF($AG1034=0,F1033,SUMIFS(Data!$N$10:$N$3209,Data!$M$10:$M$3209,"&gt;="&amp;$A1034,Data!$M$10:$M$3209,"&lt;"&amp;$A1034+1)/$AG1034)))</f>
        <v/>
      </c>
      <c r="G1034" s="56">
        <f>IF($B1034=0,"",IF(Inputs!$B$10="","",IF($AH1034=0,G1033,SUMIFS(Data!$R$10:$R$3209,Data!$Q$10:$Q$3209,"&gt;="&amp;$A1034,Data!$Q$10:$Q$3209,"&lt;"&amp;$A1034+1)/$AH1034)))</f>
        <v/>
      </c>
      <c r="I1034" s="54">
        <f>IF($B1034=0,NA(),IF($C1034="",NA(),IF(C$8="",NA(),IF(N(C$8)=0,NA(),IF(Inputs!$C$17="Rebased to 100",$C1034/C$8*100,$C1034)))))</f>
        <v/>
      </c>
      <c r="J1034" s="54">
        <f>IF($B1034=0,NA(),IF($D1034="",NA(),IF(D$8="",NA(),IF(N(D$8)=0,NA(),IF(Inputs!$C$17="Rebased to 100",$D1034/D$8*100,$D1034)))))</f>
        <v/>
      </c>
      <c r="K1034" s="54">
        <f>IF($B1034=0,NA(),IF($E1034="",NA(),IF(E$8="",NA(),IF(N(E$8)=0,NA(),IF(Inputs!$C$17="Rebased to 100",$E1034/E$8*100,$E1034)))))</f>
        <v/>
      </c>
      <c r="L1034" s="54">
        <f>IF($B1034=0,NA(),IF($F1034="",NA(),IF(F$8="",NA(),IF(N(F$8)=0,NA(),IF(Inputs!$C$17="Rebased to 100",$F1034/F$8*100,$F1034)))))</f>
        <v/>
      </c>
      <c r="M1034" s="54">
        <f>IF($B1034=0,NA(),IF($G1034="",NA(),IF(G$8="",NA(),IF(N(G$8)=0,NA(),IF(Inputs!$C$17="Rebased to 100",$G1034/G$8*100,$G1034)))))</f>
        <v/>
      </c>
      <c r="N1034" s="54">
        <f>IF($B1034=0,NA(),IF(Inputs!$C$18&lt;&gt;"Yes",NA(),IF(COUNT(I1034,J1034,K1034,L1034,M1034)=0,NA(),MIN(I1034,J1034,K1034,L1034,M1034))))</f>
        <v/>
      </c>
      <c r="O1034" s="54">
        <f>IF($B1034=0,NA(),IF(Inputs!$B$24&lt;&gt;"Yes",NA(),Inputs!$D$24*Inputs!$C$35))</f>
        <v/>
      </c>
      <c r="P1034" s="54">
        <f>IF($B1034=0,NA(),IF(Inputs!$B$25&lt;&gt;"Yes",NA(),Inputs!$D$25*Inputs!$C$35))</f>
        <v/>
      </c>
      <c r="Q1034" s="54">
        <f>IF($B1034=0,NA(),IF(Inputs!$B$26&lt;&gt;"Yes",NA(),Inputs!$D$26*Inputs!$C$35))</f>
        <v/>
      </c>
      <c r="R1034" s="54">
        <f>IF($B1034=0,NA(),IF(Inputs!$B$27&lt;&gt;"Yes",NA(),Inputs!$D$27*Inputs!$C$35))</f>
        <v/>
      </c>
      <c r="S1034" s="54">
        <f>IF($B1034=0,NA(),IF(Inputs!$B$28&lt;&gt;"Yes",NA(),Inputs!$D$28*Inputs!$C$35))</f>
        <v/>
      </c>
      <c r="T1034" s="54">
        <f>IF($B1034=0,NA(),IF(Inputs!$B$29&lt;&gt;"Yes",NA(),Inputs!$D$29*Inputs!$C$35))</f>
        <v/>
      </c>
      <c r="AD1034">
        <f>IF($B1034=0,0,IF(Inputs!$B$6="",0,COUNTIFS(Data!$A$10:$A$3209,"&gt;="&amp;$A1034,Data!$A$10:$A$3209,"&lt;"&amp;$A1034+1)))</f>
        <v/>
      </c>
      <c r="AE1034">
        <f>IF($B1034=0,0,IF(Inputs!$B$7="",0,COUNTIFS(Data!$E$10:$E$3209,"&gt;="&amp;$A1034,Data!$E$10:$E$3209,"&lt;"&amp;$A1034+1)))</f>
        <v/>
      </c>
      <c r="AF1034">
        <f>IF($B1034=0,0,IF(Inputs!$B$8="",0,COUNTIFS(Data!$I$10:$I$3209,"&gt;="&amp;$A1034,Data!$I$10:$I$3209,"&lt;"&amp;$A1034+1)))</f>
        <v/>
      </c>
      <c r="AG1034">
        <f>IF($B1034=0,0,IF(Inputs!$B$9="",0,COUNTIFS(Data!$M$10:$M$3209,"&gt;="&amp;$A1034,Data!$M$10:$M$3209,"&lt;"&amp;$A1034+1)))</f>
        <v/>
      </c>
      <c r="AH1034">
        <f>IF($B1034=0,0,IF(Inputs!$B$10="",0,COUNTIFS(Data!$Q$10:$Q$3209,"&gt;="&amp;$A1034,Data!$Q$10:$Q$3209,"&lt;"&amp;$A1034+1)))</f>
        <v/>
      </c>
    </row>
    <row r="1035">
      <c r="A1035" s="55">
        <f>MIN(Inputs!$C$15,$A1034+IF(WEEKDAY($A1034,2)=5,3,1))</f>
        <v/>
      </c>
      <c r="B1035">
        <f>IF($A1035&gt;$A1034,1,0)</f>
        <v/>
      </c>
      <c r="C1035" s="56">
        <f>IF($B1035=0,"",IF(Inputs!$B$6="","",IF($AD1035=0,C1034,SUMIFS(Data!$B$10:$B$3209,Data!$A$10:$A$3209,"&gt;="&amp;$A1035,Data!$A$10:$A$3209,"&lt;"&amp;$A1035+1)/$AD1035)))</f>
        <v/>
      </c>
      <c r="D1035" s="56">
        <f>IF($B1035=0,"",IF(Inputs!$B$7="","",IF($AE1035=0,D1034,SUMIFS(Data!$F$10:$F$3209,Data!$E$10:$E$3209,"&gt;="&amp;$A1035,Data!$E$10:$E$3209,"&lt;"&amp;$A1035+1)/$AE1035)))</f>
        <v/>
      </c>
      <c r="E1035" s="56">
        <f>IF($B1035=0,"",IF(Inputs!$B$8="","",IF($AF1035=0,E1034,SUMIFS(Data!$J$10:$J$3209,Data!$I$10:$I$3209,"&gt;="&amp;$A1035,Data!$I$10:$I$3209,"&lt;"&amp;$A1035+1)/$AF1035)))</f>
        <v/>
      </c>
      <c r="F1035" s="56">
        <f>IF($B1035=0,"",IF(Inputs!$B$9="","",IF($AG1035=0,F1034,SUMIFS(Data!$N$10:$N$3209,Data!$M$10:$M$3209,"&gt;="&amp;$A1035,Data!$M$10:$M$3209,"&lt;"&amp;$A1035+1)/$AG1035)))</f>
        <v/>
      </c>
      <c r="G1035" s="56">
        <f>IF($B1035=0,"",IF(Inputs!$B$10="","",IF($AH1035=0,G1034,SUMIFS(Data!$R$10:$R$3209,Data!$Q$10:$Q$3209,"&gt;="&amp;$A1035,Data!$Q$10:$Q$3209,"&lt;"&amp;$A1035+1)/$AH1035)))</f>
        <v/>
      </c>
      <c r="I1035" s="54">
        <f>IF($B1035=0,NA(),IF($C1035="",NA(),IF(C$8="",NA(),IF(N(C$8)=0,NA(),IF(Inputs!$C$17="Rebased to 100",$C1035/C$8*100,$C1035)))))</f>
        <v/>
      </c>
      <c r="J1035" s="54">
        <f>IF($B1035=0,NA(),IF($D1035="",NA(),IF(D$8="",NA(),IF(N(D$8)=0,NA(),IF(Inputs!$C$17="Rebased to 100",$D1035/D$8*100,$D1035)))))</f>
        <v/>
      </c>
      <c r="K1035" s="54">
        <f>IF($B1035=0,NA(),IF($E1035="",NA(),IF(E$8="",NA(),IF(N(E$8)=0,NA(),IF(Inputs!$C$17="Rebased to 100",$E1035/E$8*100,$E1035)))))</f>
        <v/>
      </c>
      <c r="L1035" s="54">
        <f>IF($B1035=0,NA(),IF($F1035="",NA(),IF(F$8="",NA(),IF(N(F$8)=0,NA(),IF(Inputs!$C$17="Rebased to 100",$F1035/F$8*100,$F1035)))))</f>
        <v/>
      </c>
      <c r="M1035" s="54">
        <f>IF($B1035=0,NA(),IF($G1035="",NA(),IF(G$8="",NA(),IF(N(G$8)=0,NA(),IF(Inputs!$C$17="Rebased to 100",$G1035/G$8*100,$G1035)))))</f>
        <v/>
      </c>
      <c r="N1035" s="54">
        <f>IF($B1035=0,NA(),IF(Inputs!$C$18&lt;&gt;"Yes",NA(),IF(COUNT(I1035,J1035,K1035,L1035,M1035)=0,NA(),MIN(I1035,J1035,K1035,L1035,M1035))))</f>
        <v/>
      </c>
      <c r="O1035" s="54">
        <f>IF($B1035=0,NA(),IF(Inputs!$B$24&lt;&gt;"Yes",NA(),Inputs!$D$24*Inputs!$C$35))</f>
        <v/>
      </c>
      <c r="P1035" s="54">
        <f>IF($B1035=0,NA(),IF(Inputs!$B$25&lt;&gt;"Yes",NA(),Inputs!$D$25*Inputs!$C$35))</f>
        <v/>
      </c>
      <c r="Q1035" s="54">
        <f>IF($B1035=0,NA(),IF(Inputs!$B$26&lt;&gt;"Yes",NA(),Inputs!$D$26*Inputs!$C$35))</f>
        <v/>
      </c>
      <c r="R1035" s="54">
        <f>IF($B1035=0,NA(),IF(Inputs!$B$27&lt;&gt;"Yes",NA(),Inputs!$D$27*Inputs!$C$35))</f>
        <v/>
      </c>
      <c r="S1035" s="54">
        <f>IF($B1035=0,NA(),IF(Inputs!$B$28&lt;&gt;"Yes",NA(),Inputs!$D$28*Inputs!$C$35))</f>
        <v/>
      </c>
      <c r="T1035" s="54">
        <f>IF($B1035=0,NA(),IF(Inputs!$B$29&lt;&gt;"Yes",NA(),Inputs!$D$29*Inputs!$C$35))</f>
        <v/>
      </c>
      <c r="AD1035">
        <f>IF($B1035=0,0,IF(Inputs!$B$6="",0,COUNTIFS(Data!$A$10:$A$3209,"&gt;="&amp;$A1035,Data!$A$10:$A$3209,"&lt;"&amp;$A1035+1)))</f>
        <v/>
      </c>
      <c r="AE1035">
        <f>IF($B1035=0,0,IF(Inputs!$B$7="",0,COUNTIFS(Data!$E$10:$E$3209,"&gt;="&amp;$A1035,Data!$E$10:$E$3209,"&lt;"&amp;$A1035+1)))</f>
        <v/>
      </c>
      <c r="AF1035">
        <f>IF($B1035=0,0,IF(Inputs!$B$8="",0,COUNTIFS(Data!$I$10:$I$3209,"&gt;="&amp;$A1035,Data!$I$10:$I$3209,"&lt;"&amp;$A1035+1)))</f>
        <v/>
      </c>
      <c r="AG1035">
        <f>IF($B1035=0,0,IF(Inputs!$B$9="",0,COUNTIFS(Data!$M$10:$M$3209,"&gt;="&amp;$A1035,Data!$M$10:$M$3209,"&lt;"&amp;$A1035+1)))</f>
        <v/>
      </c>
      <c r="AH1035">
        <f>IF($B1035=0,0,IF(Inputs!$B$10="",0,COUNTIFS(Data!$Q$10:$Q$3209,"&gt;="&amp;$A1035,Data!$Q$10:$Q$3209,"&lt;"&amp;$A1035+1)))</f>
        <v/>
      </c>
    </row>
    <row r="1036">
      <c r="A1036" s="55">
        <f>MIN(Inputs!$C$15,$A1035+IF(WEEKDAY($A1035,2)=5,3,1))</f>
        <v/>
      </c>
      <c r="B1036">
        <f>IF($A1036&gt;$A1035,1,0)</f>
        <v/>
      </c>
      <c r="C1036" s="56">
        <f>IF($B1036=0,"",IF(Inputs!$B$6="","",IF($AD1036=0,C1035,SUMIFS(Data!$B$10:$B$3209,Data!$A$10:$A$3209,"&gt;="&amp;$A1036,Data!$A$10:$A$3209,"&lt;"&amp;$A1036+1)/$AD1036)))</f>
        <v/>
      </c>
      <c r="D1036" s="56">
        <f>IF($B1036=0,"",IF(Inputs!$B$7="","",IF($AE1036=0,D1035,SUMIFS(Data!$F$10:$F$3209,Data!$E$10:$E$3209,"&gt;="&amp;$A1036,Data!$E$10:$E$3209,"&lt;"&amp;$A1036+1)/$AE1036)))</f>
        <v/>
      </c>
      <c r="E1036" s="56">
        <f>IF($B1036=0,"",IF(Inputs!$B$8="","",IF($AF1036=0,E1035,SUMIFS(Data!$J$10:$J$3209,Data!$I$10:$I$3209,"&gt;="&amp;$A1036,Data!$I$10:$I$3209,"&lt;"&amp;$A1036+1)/$AF1036)))</f>
        <v/>
      </c>
      <c r="F1036" s="56">
        <f>IF($B1036=0,"",IF(Inputs!$B$9="","",IF($AG1036=0,F1035,SUMIFS(Data!$N$10:$N$3209,Data!$M$10:$M$3209,"&gt;="&amp;$A1036,Data!$M$10:$M$3209,"&lt;"&amp;$A1036+1)/$AG1036)))</f>
        <v/>
      </c>
      <c r="G1036" s="56">
        <f>IF($B1036=0,"",IF(Inputs!$B$10="","",IF($AH1036=0,G1035,SUMIFS(Data!$R$10:$R$3209,Data!$Q$10:$Q$3209,"&gt;="&amp;$A1036,Data!$Q$10:$Q$3209,"&lt;"&amp;$A1036+1)/$AH1036)))</f>
        <v/>
      </c>
      <c r="I1036" s="54">
        <f>IF($B1036=0,NA(),IF($C1036="",NA(),IF(C$8="",NA(),IF(N(C$8)=0,NA(),IF(Inputs!$C$17="Rebased to 100",$C1036/C$8*100,$C1036)))))</f>
        <v/>
      </c>
      <c r="J1036" s="54">
        <f>IF($B1036=0,NA(),IF($D1036="",NA(),IF(D$8="",NA(),IF(N(D$8)=0,NA(),IF(Inputs!$C$17="Rebased to 100",$D1036/D$8*100,$D1036)))))</f>
        <v/>
      </c>
      <c r="K1036" s="54">
        <f>IF($B1036=0,NA(),IF($E1036="",NA(),IF(E$8="",NA(),IF(N(E$8)=0,NA(),IF(Inputs!$C$17="Rebased to 100",$E1036/E$8*100,$E1036)))))</f>
        <v/>
      </c>
      <c r="L1036" s="54">
        <f>IF($B1036=0,NA(),IF($F1036="",NA(),IF(F$8="",NA(),IF(N(F$8)=0,NA(),IF(Inputs!$C$17="Rebased to 100",$F1036/F$8*100,$F1036)))))</f>
        <v/>
      </c>
      <c r="M1036" s="54">
        <f>IF($B1036=0,NA(),IF($G1036="",NA(),IF(G$8="",NA(),IF(N(G$8)=0,NA(),IF(Inputs!$C$17="Rebased to 100",$G1036/G$8*100,$G1036)))))</f>
        <v/>
      </c>
      <c r="N1036" s="54">
        <f>IF($B1036=0,NA(),IF(Inputs!$C$18&lt;&gt;"Yes",NA(),IF(COUNT(I1036,J1036,K1036,L1036,M1036)=0,NA(),MIN(I1036,J1036,K1036,L1036,M1036))))</f>
        <v/>
      </c>
      <c r="O1036" s="54">
        <f>IF($B1036=0,NA(),IF(Inputs!$B$24&lt;&gt;"Yes",NA(),Inputs!$D$24*Inputs!$C$35))</f>
        <v/>
      </c>
      <c r="P1036" s="54">
        <f>IF($B1036=0,NA(),IF(Inputs!$B$25&lt;&gt;"Yes",NA(),Inputs!$D$25*Inputs!$C$35))</f>
        <v/>
      </c>
      <c r="Q1036" s="54">
        <f>IF($B1036=0,NA(),IF(Inputs!$B$26&lt;&gt;"Yes",NA(),Inputs!$D$26*Inputs!$C$35))</f>
        <v/>
      </c>
      <c r="R1036" s="54">
        <f>IF($B1036=0,NA(),IF(Inputs!$B$27&lt;&gt;"Yes",NA(),Inputs!$D$27*Inputs!$C$35))</f>
        <v/>
      </c>
      <c r="S1036" s="54">
        <f>IF($B1036=0,NA(),IF(Inputs!$B$28&lt;&gt;"Yes",NA(),Inputs!$D$28*Inputs!$C$35))</f>
        <v/>
      </c>
      <c r="T1036" s="54">
        <f>IF($B1036=0,NA(),IF(Inputs!$B$29&lt;&gt;"Yes",NA(),Inputs!$D$29*Inputs!$C$35))</f>
        <v/>
      </c>
      <c r="AD1036">
        <f>IF($B1036=0,0,IF(Inputs!$B$6="",0,COUNTIFS(Data!$A$10:$A$3209,"&gt;="&amp;$A1036,Data!$A$10:$A$3209,"&lt;"&amp;$A1036+1)))</f>
        <v/>
      </c>
      <c r="AE1036">
        <f>IF($B1036=0,0,IF(Inputs!$B$7="",0,COUNTIFS(Data!$E$10:$E$3209,"&gt;="&amp;$A1036,Data!$E$10:$E$3209,"&lt;"&amp;$A1036+1)))</f>
        <v/>
      </c>
      <c r="AF1036">
        <f>IF($B1036=0,0,IF(Inputs!$B$8="",0,COUNTIFS(Data!$I$10:$I$3209,"&gt;="&amp;$A1036,Data!$I$10:$I$3209,"&lt;"&amp;$A1036+1)))</f>
        <v/>
      </c>
      <c r="AG1036">
        <f>IF($B1036=0,0,IF(Inputs!$B$9="",0,COUNTIFS(Data!$M$10:$M$3209,"&gt;="&amp;$A1036,Data!$M$10:$M$3209,"&lt;"&amp;$A1036+1)))</f>
        <v/>
      </c>
      <c r="AH1036">
        <f>IF($B1036=0,0,IF(Inputs!$B$10="",0,COUNTIFS(Data!$Q$10:$Q$3209,"&gt;="&amp;$A1036,Data!$Q$10:$Q$3209,"&lt;"&amp;$A1036+1)))</f>
        <v/>
      </c>
    </row>
    <row r="1037">
      <c r="A1037" s="55">
        <f>MIN(Inputs!$C$15,$A1036+IF(WEEKDAY($A1036,2)=5,3,1))</f>
        <v/>
      </c>
      <c r="B1037">
        <f>IF($A1037&gt;$A1036,1,0)</f>
        <v/>
      </c>
      <c r="C1037" s="56">
        <f>IF($B1037=0,"",IF(Inputs!$B$6="","",IF($AD1037=0,C1036,SUMIFS(Data!$B$10:$B$3209,Data!$A$10:$A$3209,"&gt;="&amp;$A1037,Data!$A$10:$A$3209,"&lt;"&amp;$A1037+1)/$AD1037)))</f>
        <v/>
      </c>
      <c r="D1037" s="56">
        <f>IF($B1037=0,"",IF(Inputs!$B$7="","",IF($AE1037=0,D1036,SUMIFS(Data!$F$10:$F$3209,Data!$E$10:$E$3209,"&gt;="&amp;$A1037,Data!$E$10:$E$3209,"&lt;"&amp;$A1037+1)/$AE1037)))</f>
        <v/>
      </c>
      <c r="E1037" s="56">
        <f>IF($B1037=0,"",IF(Inputs!$B$8="","",IF($AF1037=0,E1036,SUMIFS(Data!$J$10:$J$3209,Data!$I$10:$I$3209,"&gt;="&amp;$A1037,Data!$I$10:$I$3209,"&lt;"&amp;$A1037+1)/$AF1037)))</f>
        <v/>
      </c>
      <c r="F1037" s="56">
        <f>IF($B1037=0,"",IF(Inputs!$B$9="","",IF($AG1037=0,F1036,SUMIFS(Data!$N$10:$N$3209,Data!$M$10:$M$3209,"&gt;="&amp;$A1037,Data!$M$10:$M$3209,"&lt;"&amp;$A1037+1)/$AG1037)))</f>
        <v/>
      </c>
      <c r="G1037" s="56">
        <f>IF($B1037=0,"",IF(Inputs!$B$10="","",IF($AH1037=0,G1036,SUMIFS(Data!$R$10:$R$3209,Data!$Q$10:$Q$3209,"&gt;="&amp;$A1037,Data!$Q$10:$Q$3209,"&lt;"&amp;$A1037+1)/$AH1037)))</f>
        <v/>
      </c>
      <c r="I1037" s="54">
        <f>IF($B1037=0,NA(),IF($C1037="",NA(),IF(C$8="",NA(),IF(N(C$8)=0,NA(),IF(Inputs!$C$17="Rebased to 100",$C1037/C$8*100,$C1037)))))</f>
        <v/>
      </c>
      <c r="J1037" s="54">
        <f>IF($B1037=0,NA(),IF($D1037="",NA(),IF(D$8="",NA(),IF(N(D$8)=0,NA(),IF(Inputs!$C$17="Rebased to 100",$D1037/D$8*100,$D1037)))))</f>
        <v/>
      </c>
      <c r="K1037" s="54">
        <f>IF($B1037=0,NA(),IF($E1037="",NA(),IF(E$8="",NA(),IF(N(E$8)=0,NA(),IF(Inputs!$C$17="Rebased to 100",$E1037/E$8*100,$E1037)))))</f>
        <v/>
      </c>
      <c r="L1037" s="54">
        <f>IF($B1037=0,NA(),IF($F1037="",NA(),IF(F$8="",NA(),IF(N(F$8)=0,NA(),IF(Inputs!$C$17="Rebased to 100",$F1037/F$8*100,$F1037)))))</f>
        <v/>
      </c>
      <c r="M1037" s="54">
        <f>IF($B1037=0,NA(),IF($G1037="",NA(),IF(G$8="",NA(),IF(N(G$8)=0,NA(),IF(Inputs!$C$17="Rebased to 100",$G1037/G$8*100,$G1037)))))</f>
        <v/>
      </c>
      <c r="N1037" s="54">
        <f>IF($B1037=0,NA(),IF(Inputs!$C$18&lt;&gt;"Yes",NA(),IF(COUNT(I1037,J1037,K1037,L1037,M1037)=0,NA(),MIN(I1037,J1037,K1037,L1037,M1037))))</f>
        <v/>
      </c>
      <c r="O1037" s="54">
        <f>IF($B1037=0,NA(),IF(Inputs!$B$24&lt;&gt;"Yes",NA(),Inputs!$D$24*Inputs!$C$35))</f>
        <v/>
      </c>
      <c r="P1037" s="54">
        <f>IF($B1037=0,NA(),IF(Inputs!$B$25&lt;&gt;"Yes",NA(),Inputs!$D$25*Inputs!$C$35))</f>
        <v/>
      </c>
      <c r="Q1037" s="54">
        <f>IF($B1037=0,NA(),IF(Inputs!$B$26&lt;&gt;"Yes",NA(),Inputs!$D$26*Inputs!$C$35))</f>
        <v/>
      </c>
      <c r="R1037" s="54">
        <f>IF($B1037=0,NA(),IF(Inputs!$B$27&lt;&gt;"Yes",NA(),Inputs!$D$27*Inputs!$C$35))</f>
        <v/>
      </c>
      <c r="S1037" s="54">
        <f>IF($B1037=0,NA(),IF(Inputs!$B$28&lt;&gt;"Yes",NA(),Inputs!$D$28*Inputs!$C$35))</f>
        <v/>
      </c>
      <c r="T1037" s="54">
        <f>IF($B1037=0,NA(),IF(Inputs!$B$29&lt;&gt;"Yes",NA(),Inputs!$D$29*Inputs!$C$35))</f>
        <v/>
      </c>
      <c r="AD1037">
        <f>IF($B1037=0,0,IF(Inputs!$B$6="",0,COUNTIFS(Data!$A$10:$A$3209,"&gt;="&amp;$A1037,Data!$A$10:$A$3209,"&lt;"&amp;$A1037+1)))</f>
        <v/>
      </c>
      <c r="AE1037">
        <f>IF($B1037=0,0,IF(Inputs!$B$7="",0,COUNTIFS(Data!$E$10:$E$3209,"&gt;="&amp;$A1037,Data!$E$10:$E$3209,"&lt;"&amp;$A1037+1)))</f>
        <v/>
      </c>
      <c r="AF1037">
        <f>IF($B1037=0,0,IF(Inputs!$B$8="",0,COUNTIFS(Data!$I$10:$I$3209,"&gt;="&amp;$A1037,Data!$I$10:$I$3209,"&lt;"&amp;$A1037+1)))</f>
        <v/>
      </c>
      <c r="AG1037">
        <f>IF($B1037=0,0,IF(Inputs!$B$9="",0,COUNTIFS(Data!$M$10:$M$3209,"&gt;="&amp;$A1037,Data!$M$10:$M$3209,"&lt;"&amp;$A1037+1)))</f>
        <v/>
      </c>
      <c r="AH1037">
        <f>IF($B1037=0,0,IF(Inputs!$B$10="",0,COUNTIFS(Data!$Q$10:$Q$3209,"&gt;="&amp;$A1037,Data!$Q$10:$Q$3209,"&lt;"&amp;$A1037+1)))</f>
        <v/>
      </c>
    </row>
    <row r="1038">
      <c r="A1038" s="55">
        <f>MIN(Inputs!$C$15,$A1037+IF(WEEKDAY($A1037,2)=5,3,1))</f>
        <v/>
      </c>
      <c r="B1038">
        <f>IF($A1038&gt;$A1037,1,0)</f>
        <v/>
      </c>
      <c r="C1038" s="56">
        <f>IF($B1038=0,"",IF(Inputs!$B$6="","",IF($AD1038=0,C1037,SUMIFS(Data!$B$10:$B$3209,Data!$A$10:$A$3209,"&gt;="&amp;$A1038,Data!$A$10:$A$3209,"&lt;"&amp;$A1038+1)/$AD1038)))</f>
        <v/>
      </c>
      <c r="D1038" s="56">
        <f>IF($B1038=0,"",IF(Inputs!$B$7="","",IF($AE1038=0,D1037,SUMIFS(Data!$F$10:$F$3209,Data!$E$10:$E$3209,"&gt;="&amp;$A1038,Data!$E$10:$E$3209,"&lt;"&amp;$A1038+1)/$AE1038)))</f>
        <v/>
      </c>
      <c r="E1038" s="56">
        <f>IF($B1038=0,"",IF(Inputs!$B$8="","",IF($AF1038=0,E1037,SUMIFS(Data!$J$10:$J$3209,Data!$I$10:$I$3209,"&gt;="&amp;$A1038,Data!$I$10:$I$3209,"&lt;"&amp;$A1038+1)/$AF1038)))</f>
        <v/>
      </c>
      <c r="F1038" s="56">
        <f>IF($B1038=0,"",IF(Inputs!$B$9="","",IF($AG1038=0,F1037,SUMIFS(Data!$N$10:$N$3209,Data!$M$10:$M$3209,"&gt;="&amp;$A1038,Data!$M$10:$M$3209,"&lt;"&amp;$A1038+1)/$AG1038)))</f>
        <v/>
      </c>
      <c r="G1038" s="56">
        <f>IF($B1038=0,"",IF(Inputs!$B$10="","",IF($AH1038=0,G1037,SUMIFS(Data!$R$10:$R$3209,Data!$Q$10:$Q$3209,"&gt;="&amp;$A1038,Data!$Q$10:$Q$3209,"&lt;"&amp;$A1038+1)/$AH1038)))</f>
        <v/>
      </c>
      <c r="I1038" s="54">
        <f>IF($B1038=0,NA(),IF($C1038="",NA(),IF(C$8="",NA(),IF(N(C$8)=0,NA(),IF(Inputs!$C$17="Rebased to 100",$C1038/C$8*100,$C1038)))))</f>
        <v/>
      </c>
      <c r="J1038" s="54">
        <f>IF($B1038=0,NA(),IF($D1038="",NA(),IF(D$8="",NA(),IF(N(D$8)=0,NA(),IF(Inputs!$C$17="Rebased to 100",$D1038/D$8*100,$D1038)))))</f>
        <v/>
      </c>
      <c r="K1038" s="54">
        <f>IF($B1038=0,NA(),IF($E1038="",NA(),IF(E$8="",NA(),IF(N(E$8)=0,NA(),IF(Inputs!$C$17="Rebased to 100",$E1038/E$8*100,$E1038)))))</f>
        <v/>
      </c>
      <c r="L1038" s="54">
        <f>IF($B1038=0,NA(),IF($F1038="",NA(),IF(F$8="",NA(),IF(N(F$8)=0,NA(),IF(Inputs!$C$17="Rebased to 100",$F1038/F$8*100,$F1038)))))</f>
        <v/>
      </c>
      <c r="M1038" s="54">
        <f>IF($B1038=0,NA(),IF($G1038="",NA(),IF(G$8="",NA(),IF(N(G$8)=0,NA(),IF(Inputs!$C$17="Rebased to 100",$G1038/G$8*100,$G1038)))))</f>
        <v/>
      </c>
      <c r="N1038" s="54">
        <f>IF($B1038=0,NA(),IF(Inputs!$C$18&lt;&gt;"Yes",NA(),IF(COUNT(I1038,J1038,K1038,L1038,M1038)=0,NA(),MIN(I1038,J1038,K1038,L1038,M1038))))</f>
        <v/>
      </c>
      <c r="O1038" s="54">
        <f>IF($B1038=0,NA(),IF(Inputs!$B$24&lt;&gt;"Yes",NA(),Inputs!$D$24*Inputs!$C$35))</f>
        <v/>
      </c>
      <c r="P1038" s="54">
        <f>IF($B1038=0,NA(),IF(Inputs!$B$25&lt;&gt;"Yes",NA(),Inputs!$D$25*Inputs!$C$35))</f>
        <v/>
      </c>
      <c r="Q1038" s="54">
        <f>IF($B1038=0,NA(),IF(Inputs!$B$26&lt;&gt;"Yes",NA(),Inputs!$D$26*Inputs!$C$35))</f>
        <v/>
      </c>
      <c r="R1038" s="54">
        <f>IF($B1038=0,NA(),IF(Inputs!$B$27&lt;&gt;"Yes",NA(),Inputs!$D$27*Inputs!$C$35))</f>
        <v/>
      </c>
      <c r="S1038" s="54">
        <f>IF($B1038=0,NA(),IF(Inputs!$B$28&lt;&gt;"Yes",NA(),Inputs!$D$28*Inputs!$C$35))</f>
        <v/>
      </c>
      <c r="T1038" s="54">
        <f>IF($B1038=0,NA(),IF(Inputs!$B$29&lt;&gt;"Yes",NA(),Inputs!$D$29*Inputs!$C$35))</f>
        <v/>
      </c>
      <c r="AD1038">
        <f>IF($B1038=0,0,IF(Inputs!$B$6="",0,COUNTIFS(Data!$A$10:$A$3209,"&gt;="&amp;$A1038,Data!$A$10:$A$3209,"&lt;"&amp;$A1038+1)))</f>
        <v/>
      </c>
      <c r="AE1038">
        <f>IF($B1038=0,0,IF(Inputs!$B$7="",0,COUNTIFS(Data!$E$10:$E$3209,"&gt;="&amp;$A1038,Data!$E$10:$E$3209,"&lt;"&amp;$A1038+1)))</f>
        <v/>
      </c>
      <c r="AF1038">
        <f>IF($B1038=0,0,IF(Inputs!$B$8="",0,COUNTIFS(Data!$I$10:$I$3209,"&gt;="&amp;$A1038,Data!$I$10:$I$3209,"&lt;"&amp;$A1038+1)))</f>
        <v/>
      </c>
      <c r="AG1038">
        <f>IF($B1038=0,0,IF(Inputs!$B$9="",0,COUNTIFS(Data!$M$10:$M$3209,"&gt;="&amp;$A1038,Data!$M$10:$M$3209,"&lt;"&amp;$A1038+1)))</f>
        <v/>
      </c>
      <c r="AH1038">
        <f>IF($B1038=0,0,IF(Inputs!$B$10="",0,COUNTIFS(Data!$Q$10:$Q$3209,"&gt;="&amp;$A1038,Data!$Q$10:$Q$3209,"&lt;"&amp;$A1038+1)))</f>
        <v/>
      </c>
    </row>
    <row r="1039">
      <c r="A1039" s="55">
        <f>MIN(Inputs!$C$15,$A1038+IF(WEEKDAY($A1038,2)=5,3,1))</f>
        <v/>
      </c>
      <c r="B1039">
        <f>IF($A1039&gt;$A1038,1,0)</f>
        <v/>
      </c>
      <c r="C1039" s="56">
        <f>IF($B1039=0,"",IF(Inputs!$B$6="","",IF($AD1039=0,C1038,SUMIFS(Data!$B$10:$B$3209,Data!$A$10:$A$3209,"&gt;="&amp;$A1039,Data!$A$10:$A$3209,"&lt;"&amp;$A1039+1)/$AD1039)))</f>
        <v/>
      </c>
      <c r="D1039" s="56">
        <f>IF($B1039=0,"",IF(Inputs!$B$7="","",IF($AE1039=0,D1038,SUMIFS(Data!$F$10:$F$3209,Data!$E$10:$E$3209,"&gt;="&amp;$A1039,Data!$E$10:$E$3209,"&lt;"&amp;$A1039+1)/$AE1039)))</f>
        <v/>
      </c>
      <c r="E1039" s="56">
        <f>IF($B1039=0,"",IF(Inputs!$B$8="","",IF($AF1039=0,E1038,SUMIFS(Data!$J$10:$J$3209,Data!$I$10:$I$3209,"&gt;="&amp;$A1039,Data!$I$10:$I$3209,"&lt;"&amp;$A1039+1)/$AF1039)))</f>
        <v/>
      </c>
      <c r="F1039" s="56">
        <f>IF($B1039=0,"",IF(Inputs!$B$9="","",IF($AG1039=0,F1038,SUMIFS(Data!$N$10:$N$3209,Data!$M$10:$M$3209,"&gt;="&amp;$A1039,Data!$M$10:$M$3209,"&lt;"&amp;$A1039+1)/$AG1039)))</f>
        <v/>
      </c>
      <c r="G1039" s="56">
        <f>IF($B1039=0,"",IF(Inputs!$B$10="","",IF($AH1039=0,G1038,SUMIFS(Data!$R$10:$R$3209,Data!$Q$10:$Q$3209,"&gt;="&amp;$A1039,Data!$Q$10:$Q$3209,"&lt;"&amp;$A1039+1)/$AH1039)))</f>
        <v/>
      </c>
      <c r="I1039" s="54">
        <f>IF($B1039=0,NA(),IF($C1039="",NA(),IF(C$8="",NA(),IF(N(C$8)=0,NA(),IF(Inputs!$C$17="Rebased to 100",$C1039/C$8*100,$C1039)))))</f>
        <v/>
      </c>
      <c r="J1039" s="54">
        <f>IF($B1039=0,NA(),IF($D1039="",NA(),IF(D$8="",NA(),IF(N(D$8)=0,NA(),IF(Inputs!$C$17="Rebased to 100",$D1039/D$8*100,$D1039)))))</f>
        <v/>
      </c>
      <c r="K1039" s="54">
        <f>IF($B1039=0,NA(),IF($E1039="",NA(),IF(E$8="",NA(),IF(N(E$8)=0,NA(),IF(Inputs!$C$17="Rebased to 100",$E1039/E$8*100,$E1039)))))</f>
        <v/>
      </c>
      <c r="L1039" s="54">
        <f>IF($B1039=0,NA(),IF($F1039="",NA(),IF(F$8="",NA(),IF(N(F$8)=0,NA(),IF(Inputs!$C$17="Rebased to 100",$F1039/F$8*100,$F1039)))))</f>
        <v/>
      </c>
      <c r="M1039" s="54">
        <f>IF($B1039=0,NA(),IF($G1039="",NA(),IF(G$8="",NA(),IF(N(G$8)=0,NA(),IF(Inputs!$C$17="Rebased to 100",$G1039/G$8*100,$G1039)))))</f>
        <v/>
      </c>
      <c r="N1039" s="54">
        <f>IF($B1039=0,NA(),IF(Inputs!$C$18&lt;&gt;"Yes",NA(),IF(COUNT(I1039,J1039,K1039,L1039,M1039)=0,NA(),MIN(I1039,J1039,K1039,L1039,M1039))))</f>
        <v/>
      </c>
      <c r="O1039" s="54">
        <f>IF($B1039=0,NA(),IF(Inputs!$B$24&lt;&gt;"Yes",NA(),Inputs!$D$24*Inputs!$C$35))</f>
        <v/>
      </c>
      <c r="P1039" s="54">
        <f>IF($B1039=0,NA(),IF(Inputs!$B$25&lt;&gt;"Yes",NA(),Inputs!$D$25*Inputs!$C$35))</f>
        <v/>
      </c>
      <c r="Q1039" s="54">
        <f>IF($B1039=0,NA(),IF(Inputs!$B$26&lt;&gt;"Yes",NA(),Inputs!$D$26*Inputs!$C$35))</f>
        <v/>
      </c>
      <c r="R1039" s="54">
        <f>IF($B1039=0,NA(),IF(Inputs!$B$27&lt;&gt;"Yes",NA(),Inputs!$D$27*Inputs!$C$35))</f>
        <v/>
      </c>
      <c r="S1039" s="54">
        <f>IF($B1039=0,NA(),IF(Inputs!$B$28&lt;&gt;"Yes",NA(),Inputs!$D$28*Inputs!$C$35))</f>
        <v/>
      </c>
      <c r="T1039" s="54">
        <f>IF($B1039=0,NA(),IF(Inputs!$B$29&lt;&gt;"Yes",NA(),Inputs!$D$29*Inputs!$C$35))</f>
        <v/>
      </c>
      <c r="AD1039">
        <f>IF($B1039=0,0,IF(Inputs!$B$6="",0,COUNTIFS(Data!$A$10:$A$3209,"&gt;="&amp;$A1039,Data!$A$10:$A$3209,"&lt;"&amp;$A1039+1)))</f>
        <v/>
      </c>
      <c r="AE1039">
        <f>IF($B1039=0,0,IF(Inputs!$B$7="",0,COUNTIFS(Data!$E$10:$E$3209,"&gt;="&amp;$A1039,Data!$E$10:$E$3209,"&lt;"&amp;$A1039+1)))</f>
        <v/>
      </c>
      <c r="AF1039">
        <f>IF($B1039=0,0,IF(Inputs!$B$8="",0,COUNTIFS(Data!$I$10:$I$3209,"&gt;="&amp;$A1039,Data!$I$10:$I$3209,"&lt;"&amp;$A1039+1)))</f>
        <v/>
      </c>
      <c r="AG1039">
        <f>IF($B1039=0,0,IF(Inputs!$B$9="",0,COUNTIFS(Data!$M$10:$M$3209,"&gt;="&amp;$A1039,Data!$M$10:$M$3209,"&lt;"&amp;$A1039+1)))</f>
        <v/>
      </c>
      <c r="AH1039">
        <f>IF($B1039=0,0,IF(Inputs!$B$10="",0,COUNTIFS(Data!$Q$10:$Q$3209,"&gt;="&amp;$A1039,Data!$Q$10:$Q$3209,"&lt;"&amp;$A1039+1)))</f>
        <v/>
      </c>
    </row>
    <row r="1040">
      <c r="A1040" s="55">
        <f>MIN(Inputs!$C$15,$A1039+IF(WEEKDAY($A1039,2)=5,3,1))</f>
        <v/>
      </c>
      <c r="B1040">
        <f>IF($A1040&gt;$A1039,1,0)</f>
        <v/>
      </c>
      <c r="C1040" s="56">
        <f>IF($B1040=0,"",IF(Inputs!$B$6="","",IF($AD1040=0,C1039,SUMIFS(Data!$B$10:$B$3209,Data!$A$10:$A$3209,"&gt;="&amp;$A1040,Data!$A$10:$A$3209,"&lt;"&amp;$A1040+1)/$AD1040)))</f>
        <v/>
      </c>
      <c r="D1040" s="56">
        <f>IF($B1040=0,"",IF(Inputs!$B$7="","",IF($AE1040=0,D1039,SUMIFS(Data!$F$10:$F$3209,Data!$E$10:$E$3209,"&gt;="&amp;$A1040,Data!$E$10:$E$3209,"&lt;"&amp;$A1040+1)/$AE1040)))</f>
        <v/>
      </c>
      <c r="E1040" s="56">
        <f>IF($B1040=0,"",IF(Inputs!$B$8="","",IF($AF1040=0,E1039,SUMIFS(Data!$J$10:$J$3209,Data!$I$10:$I$3209,"&gt;="&amp;$A1040,Data!$I$10:$I$3209,"&lt;"&amp;$A1040+1)/$AF1040)))</f>
        <v/>
      </c>
      <c r="F1040" s="56">
        <f>IF($B1040=0,"",IF(Inputs!$B$9="","",IF($AG1040=0,F1039,SUMIFS(Data!$N$10:$N$3209,Data!$M$10:$M$3209,"&gt;="&amp;$A1040,Data!$M$10:$M$3209,"&lt;"&amp;$A1040+1)/$AG1040)))</f>
        <v/>
      </c>
      <c r="G1040" s="56">
        <f>IF($B1040=0,"",IF(Inputs!$B$10="","",IF($AH1040=0,G1039,SUMIFS(Data!$R$10:$R$3209,Data!$Q$10:$Q$3209,"&gt;="&amp;$A1040,Data!$Q$10:$Q$3209,"&lt;"&amp;$A1040+1)/$AH1040)))</f>
        <v/>
      </c>
      <c r="I1040" s="54">
        <f>IF($B1040=0,NA(),IF($C1040="",NA(),IF(C$8="",NA(),IF(N(C$8)=0,NA(),IF(Inputs!$C$17="Rebased to 100",$C1040/C$8*100,$C1040)))))</f>
        <v/>
      </c>
      <c r="J1040" s="54">
        <f>IF($B1040=0,NA(),IF($D1040="",NA(),IF(D$8="",NA(),IF(N(D$8)=0,NA(),IF(Inputs!$C$17="Rebased to 100",$D1040/D$8*100,$D1040)))))</f>
        <v/>
      </c>
      <c r="K1040" s="54">
        <f>IF($B1040=0,NA(),IF($E1040="",NA(),IF(E$8="",NA(),IF(N(E$8)=0,NA(),IF(Inputs!$C$17="Rebased to 100",$E1040/E$8*100,$E1040)))))</f>
        <v/>
      </c>
      <c r="L1040" s="54">
        <f>IF($B1040=0,NA(),IF($F1040="",NA(),IF(F$8="",NA(),IF(N(F$8)=0,NA(),IF(Inputs!$C$17="Rebased to 100",$F1040/F$8*100,$F1040)))))</f>
        <v/>
      </c>
      <c r="M1040" s="54">
        <f>IF($B1040=0,NA(),IF($G1040="",NA(),IF(G$8="",NA(),IF(N(G$8)=0,NA(),IF(Inputs!$C$17="Rebased to 100",$G1040/G$8*100,$G1040)))))</f>
        <v/>
      </c>
      <c r="N1040" s="54">
        <f>IF($B1040=0,NA(),IF(Inputs!$C$18&lt;&gt;"Yes",NA(),IF(COUNT(I1040,J1040,K1040,L1040,M1040)=0,NA(),MIN(I1040,J1040,K1040,L1040,M1040))))</f>
        <v/>
      </c>
      <c r="O1040" s="54">
        <f>IF($B1040=0,NA(),IF(Inputs!$B$24&lt;&gt;"Yes",NA(),Inputs!$D$24*Inputs!$C$35))</f>
        <v/>
      </c>
      <c r="P1040" s="54">
        <f>IF($B1040=0,NA(),IF(Inputs!$B$25&lt;&gt;"Yes",NA(),Inputs!$D$25*Inputs!$C$35))</f>
        <v/>
      </c>
      <c r="Q1040" s="54">
        <f>IF($B1040=0,NA(),IF(Inputs!$B$26&lt;&gt;"Yes",NA(),Inputs!$D$26*Inputs!$C$35))</f>
        <v/>
      </c>
      <c r="R1040" s="54">
        <f>IF($B1040=0,NA(),IF(Inputs!$B$27&lt;&gt;"Yes",NA(),Inputs!$D$27*Inputs!$C$35))</f>
        <v/>
      </c>
      <c r="S1040" s="54">
        <f>IF($B1040=0,NA(),IF(Inputs!$B$28&lt;&gt;"Yes",NA(),Inputs!$D$28*Inputs!$C$35))</f>
        <v/>
      </c>
      <c r="T1040" s="54">
        <f>IF($B1040=0,NA(),IF(Inputs!$B$29&lt;&gt;"Yes",NA(),Inputs!$D$29*Inputs!$C$35))</f>
        <v/>
      </c>
      <c r="AD1040">
        <f>IF($B1040=0,0,IF(Inputs!$B$6="",0,COUNTIFS(Data!$A$10:$A$3209,"&gt;="&amp;$A1040,Data!$A$10:$A$3209,"&lt;"&amp;$A1040+1)))</f>
        <v/>
      </c>
      <c r="AE1040">
        <f>IF($B1040=0,0,IF(Inputs!$B$7="",0,COUNTIFS(Data!$E$10:$E$3209,"&gt;="&amp;$A1040,Data!$E$10:$E$3209,"&lt;"&amp;$A1040+1)))</f>
        <v/>
      </c>
      <c r="AF1040">
        <f>IF($B1040=0,0,IF(Inputs!$B$8="",0,COUNTIFS(Data!$I$10:$I$3209,"&gt;="&amp;$A1040,Data!$I$10:$I$3209,"&lt;"&amp;$A1040+1)))</f>
        <v/>
      </c>
      <c r="AG1040">
        <f>IF($B1040=0,0,IF(Inputs!$B$9="",0,COUNTIFS(Data!$M$10:$M$3209,"&gt;="&amp;$A1040,Data!$M$10:$M$3209,"&lt;"&amp;$A1040+1)))</f>
        <v/>
      </c>
      <c r="AH1040">
        <f>IF($B1040=0,0,IF(Inputs!$B$10="",0,COUNTIFS(Data!$Q$10:$Q$3209,"&gt;="&amp;$A1040,Data!$Q$10:$Q$3209,"&lt;"&amp;$A1040+1)))</f>
        <v/>
      </c>
    </row>
    <row r="1041">
      <c r="A1041" s="55">
        <f>MIN(Inputs!$C$15,$A1040+IF(WEEKDAY($A1040,2)=5,3,1))</f>
        <v/>
      </c>
      <c r="B1041">
        <f>IF($A1041&gt;$A1040,1,0)</f>
        <v/>
      </c>
      <c r="C1041" s="56">
        <f>IF($B1041=0,"",IF(Inputs!$B$6="","",IF($AD1041=0,C1040,SUMIFS(Data!$B$10:$B$3209,Data!$A$10:$A$3209,"&gt;="&amp;$A1041,Data!$A$10:$A$3209,"&lt;"&amp;$A1041+1)/$AD1041)))</f>
        <v/>
      </c>
      <c r="D1041" s="56">
        <f>IF($B1041=0,"",IF(Inputs!$B$7="","",IF($AE1041=0,D1040,SUMIFS(Data!$F$10:$F$3209,Data!$E$10:$E$3209,"&gt;="&amp;$A1041,Data!$E$10:$E$3209,"&lt;"&amp;$A1041+1)/$AE1041)))</f>
        <v/>
      </c>
      <c r="E1041" s="56">
        <f>IF($B1041=0,"",IF(Inputs!$B$8="","",IF($AF1041=0,E1040,SUMIFS(Data!$J$10:$J$3209,Data!$I$10:$I$3209,"&gt;="&amp;$A1041,Data!$I$10:$I$3209,"&lt;"&amp;$A1041+1)/$AF1041)))</f>
        <v/>
      </c>
      <c r="F1041" s="56">
        <f>IF($B1041=0,"",IF(Inputs!$B$9="","",IF($AG1041=0,F1040,SUMIFS(Data!$N$10:$N$3209,Data!$M$10:$M$3209,"&gt;="&amp;$A1041,Data!$M$10:$M$3209,"&lt;"&amp;$A1041+1)/$AG1041)))</f>
        <v/>
      </c>
      <c r="G1041" s="56">
        <f>IF($B1041=0,"",IF(Inputs!$B$10="","",IF($AH1041=0,G1040,SUMIFS(Data!$R$10:$R$3209,Data!$Q$10:$Q$3209,"&gt;="&amp;$A1041,Data!$Q$10:$Q$3209,"&lt;"&amp;$A1041+1)/$AH1041)))</f>
        <v/>
      </c>
      <c r="I1041" s="54">
        <f>IF($B1041=0,NA(),IF($C1041="",NA(),IF(C$8="",NA(),IF(N(C$8)=0,NA(),IF(Inputs!$C$17="Rebased to 100",$C1041/C$8*100,$C1041)))))</f>
        <v/>
      </c>
      <c r="J1041" s="54">
        <f>IF($B1041=0,NA(),IF($D1041="",NA(),IF(D$8="",NA(),IF(N(D$8)=0,NA(),IF(Inputs!$C$17="Rebased to 100",$D1041/D$8*100,$D1041)))))</f>
        <v/>
      </c>
      <c r="K1041" s="54">
        <f>IF($B1041=0,NA(),IF($E1041="",NA(),IF(E$8="",NA(),IF(N(E$8)=0,NA(),IF(Inputs!$C$17="Rebased to 100",$E1041/E$8*100,$E1041)))))</f>
        <v/>
      </c>
      <c r="L1041" s="54">
        <f>IF($B1041=0,NA(),IF($F1041="",NA(),IF(F$8="",NA(),IF(N(F$8)=0,NA(),IF(Inputs!$C$17="Rebased to 100",$F1041/F$8*100,$F1041)))))</f>
        <v/>
      </c>
      <c r="M1041" s="54">
        <f>IF($B1041=0,NA(),IF($G1041="",NA(),IF(G$8="",NA(),IF(N(G$8)=0,NA(),IF(Inputs!$C$17="Rebased to 100",$G1041/G$8*100,$G1041)))))</f>
        <v/>
      </c>
      <c r="N1041" s="54">
        <f>IF($B1041=0,NA(),IF(Inputs!$C$18&lt;&gt;"Yes",NA(),IF(COUNT(I1041,J1041,K1041,L1041,M1041)=0,NA(),MIN(I1041,J1041,K1041,L1041,M1041))))</f>
        <v/>
      </c>
      <c r="O1041" s="54">
        <f>IF($B1041=0,NA(),IF(Inputs!$B$24&lt;&gt;"Yes",NA(),Inputs!$D$24*Inputs!$C$35))</f>
        <v/>
      </c>
      <c r="P1041" s="54">
        <f>IF($B1041=0,NA(),IF(Inputs!$B$25&lt;&gt;"Yes",NA(),Inputs!$D$25*Inputs!$C$35))</f>
        <v/>
      </c>
      <c r="Q1041" s="54">
        <f>IF($B1041=0,NA(),IF(Inputs!$B$26&lt;&gt;"Yes",NA(),Inputs!$D$26*Inputs!$C$35))</f>
        <v/>
      </c>
      <c r="R1041" s="54">
        <f>IF($B1041=0,NA(),IF(Inputs!$B$27&lt;&gt;"Yes",NA(),Inputs!$D$27*Inputs!$C$35))</f>
        <v/>
      </c>
      <c r="S1041" s="54">
        <f>IF($B1041=0,NA(),IF(Inputs!$B$28&lt;&gt;"Yes",NA(),Inputs!$D$28*Inputs!$C$35))</f>
        <v/>
      </c>
      <c r="T1041" s="54">
        <f>IF($B1041=0,NA(),IF(Inputs!$B$29&lt;&gt;"Yes",NA(),Inputs!$D$29*Inputs!$C$35))</f>
        <v/>
      </c>
      <c r="AD1041">
        <f>IF($B1041=0,0,IF(Inputs!$B$6="",0,COUNTIFS(Data!$A$10:$A$3209,"&gt;="&amp;$A1041,Data!$A$10:$A$3209,"&lt;"&amp;$A1041+1)))</f>
        <v/>
      </c>
      <c r="AE1041">
        <f>IF($B1041=0,0,IF(Inputs!$B$7="",0,COUNTIFS(Data!$E$10:$E$3209,"&gt;="&amp;$A1041,Data!$E$10:$E$3209,"&lt;"&amp;$A1041+1)))</f>
        <v/>
      </c>
      <c r="AF1041">
        <f>IF($B1041=0,0,IF(Inputs!$B$8="",0,COUNTIFS(Data!$I$10:$I$3209,"&gt;="&amp;$A1041,Data!$I$10:$I$3209,"&lt;"&amp;$A1041+1)))</f>
        <v/>
      </c>
      <c r="AG1041">
        <f>IF($B1041=0,0,IF(Inputs!$B$9="",0,COUNTIFS(Data!$M$10:$M$3209,"&gt;="&amp;$A1041,Data!$M$10:$M$3209,"&lt;"&amp;$A1041+1)))</f>
        <v/>
      </c>
      <c r="AH1041">
        <f>IF($B1041=0,0,IF(Inputs!$B$10="",0,COUNTIFS(Data!$Q$10:$Q$3209,"&gt;="&amp;$A1041,Data!$Q$10:$Q$3209,"&lt;"&amp;$A1041+1)))</f>
        <v/>
      </c>
    </row>
    <row r="1042">
      <c r="A1042" s="55">
        <f>MIN(Inputs!$C$15,$A1041+IF(WEEKDAY($A1041,2)=5,3,1))</f>
        <v/>
      </c>
      <c r="B1042">
        <f>IF($A1042&gt;$A1041,1,0)</f>
        <v/>
      </c>
      <c r="C1042" s="56">
        <f>IF($B1042=0,"",IF(Inputs!$B$6="","",IF($AD1042=0,C1041,SUMIFS(Data!$B$10:$B$3209,Data!$A$10:$A$3209,"&gt;="&amp;$A1042,Data!$A$10:$A$3209,"&lt;"&amp;$A1042+1)/$AD1042)))</f>
        <v/>
      </c>
      <c r="D1042" s="56">
        <f>IF($B1042=0,"",IF(Inputs!$B$7="","",IF($AE1042=0,D1041,SUMIFS(Data!$F$10:$F$3209,Data!$E$10:$E$3209,"&gt;="&amp;$A1042,Data!$E$10:$E$3209,"&lt;"&amp;$A1042+1)/$AE1042)))</f>
        <v/>
      </c>
      <c r="E1042" s="56">
        <f>IF($B1042=0,"",IF(Inputs!$B$8="","",IF($AF1042=0,E1041,SUMIFS(Data!$J$10:$J$3209,Data!$I$10:$I$3209,"&gt;="&amp;$A1042,Data!$I$10:$I$3209,"&lt;"&amp;$A1042+1)/$AF1042)))</f>
        <v/>
      </c>
      <c r="F1042" s="56">
        <f>IF($B1042=0,"",IF(Inputs!$B$9="","",IF($AG1042=0,F1041,SUMIFS(Data!$N$10:$N$3209,Data!$M$10:$M$3209,"&gt;="&amp;$A1042,Data!$M$10:$M$3209,"&lt;"&amp;$A1042+1)/$AG1042)))</f>
        <v/>
      </c>
      <c r="G1042" s="56">
        <f>IF($B1042=0,"",IF(Inputs!$B$10="","",IF($AH1042=0,G1041,SUMIFS(Data!$R$10:$R$3209,Data!$Q$10:$Q$3209,"&gt;="&amp;$A1042,Data!$Q$10:$Q$3209,"&lt;"&amp;$A1042+1)/$AH1042)))</f>
        <v/>
      </c>
      <c r="I1042" s="54">
        <f>IF($B1042=0,NA(),IF($C1042="",NA(),IF(C$8="",NA(),IF(N(C$8)=0,NA(),IF(Inputs!$C$17="Rebased to 100",$C1042/C$8*100,$C1042)))))</f>
        <v/>
      </c>
      <c r="J1042" s="54">
        <f>IF($B1042=0,NA(),IF($D1042="",NA(),IF(D$8="",NA(),IF(N(D$8)=0,NA(),IF(Inputs!$C$17="Rebased to 100",$D1042/D$8*100,$D1042)))))</f>
        <v/>
      </c>
      <c r="K1042" s="54">
        <f>IF($B1042=0,NA(),IF($E1042="",NA(),IF(E$8="",NA(),IF(N(E$8)=0,NA(),IF(Inputs!$C$17="Rebased to 100",$E1042/E$8*100,$E1042)))))</f>
        <v/>
      </c>
      <c r="L1042" s="54">
        <f>IF($B1042=0,NA(),IF($F1042="",NA(),IF(F$8="",NA(),IF(N(F$8)=0,NA(),IF(Inputs!$C$17="Rebased to 100",$F1042/F$8*100,$F1042)))))</f>
        <v/>
      </c>
      <c r="M1042" s="54">
        <f>IF($B1042=0,NA(),IF($G1042="",NA(),IF(G$8="",NA(),IF(N(G$8)=0,NA(),IF(Inputs!$C$17="Rebased to 100",$G1042/G$8*100,$G1042)))))</f>
        <v/>
      </c>
      <c r="N1042" s="54">
        <f>IF($B1042=0,NA(),IF(Inputs!$C$18&lt;&gt;"Yes",NA(),IF(COUNT(I1042,J1042,K1042,L1042,M1042)=0,NA(),MIN(I1042,J1042,K1042,L1042,M1042))))</f>
        <v/>
      </c>
      <c r="O1042" s="54">
        <f>IF($B1042=0,NA(),IF(Inputs!$B$24&lt;&gt;"Yes",NA(),Inputs!$D$24*Inputs!$C$35))</f>
        <v/>
      </c>
      <c r="P1042" s="54">
        <f>IF($B1042=0,NA(),IF(Inputs!$B$25&lt;&gt;"Yes",NA(),Inputs!$D$25*Inputs!$C$35))</f>
        <v/>
      </c>
      <c r="Q1042" s="54">
        <f>IF($B1042=0,NA(),IF(Inputs!$B$26&lt;&gt;"Yes",NA(),Inputs!$D$26*Inputs!$C$35))</f>
        <v/>
      </c>
      <c r="R1042" s="54">
        <f>IF($B1042=0,NA(),IF(Inputs!$B$27&lt;&gt;"Yes",NA(),Inputs!$D$27*Inputs!$C$35))</f>
        <v/>
      </c>
      <c r="S1042" s="54">
        <f>IF($B1042=0,NA(),IF(Inputs!$B$28&lt;&gt;"Yes",NA(),Inputs!$D$28*Inputs!$C$35))</f>
        <v/>
      </c>
      <c r="T1042" s="54">
        <f>IF($B1042=0,NA(),IF(Inputs!$B$29&lt;&gt;"Yes",NA(),Inputs!$D$29*Inputs!$C$35))</f>
        <v/>
      </c>
      <c r="AD1042">
        <f>IF($B1042=0,0,IF(Inputs!$B$6="",0,COUNTIFS(Data!$A$10:$A$3209,"&gt;="&amp;$A1042,Data!$A$10:$A$3209,"&lt;"&amp;$A1042+1)))</f>
        <v/>
      </c>
      <c r="AE1042">
        <f>IF($B1042=0,0,IF(Inputs!$B$7="",0,COUNTIFS(Data!$E$10:$E$3209,"&gt;="&amp;$A1042,Data!$E$10:$E$3209,"&lt;"&amp;$A1042+1)))</f>
        <v/>
      </c>
      <c r="AF1042">
        <f>IF($B1042=0,0,IF(Inputs!$B$8="",0,COUNTIFS(Data!$I$10:$I$3209,"&gt;="&amp;$A1042,Data!$I$10:$I$3209,"&lt;"&amp;$A1042+1)))</f>
        <v/>
      </c>
      <c r="AG1042">
        <f>IF($B1042=0,0,IF(Inputs!$B$9="",0,COUNTIFS(Data!$M$10:$M$3209,"&gt;="&amp;$A1042,Data!$M$10:$M$3209,"&lt;"&amp;$A1042+1)))</f>
        <v/>
      </c>
      <c r="AH1042">
        <f>IF($B1042=0,0,IF(Inputs!$B$10="",0,COUNTIFS(Data!$Q$10:$Q$3209,"&gt;="&amp;$A1042,Data!$Q$10:$Q$3209,"&lt;"&amp;$A1042+1)))</f>
        <v/>
      </c>
    </row>
    <row r="1043">
      <c r="A1043" s="55">
        <f>MIN(Inputs!$C$15,$A1042+IF(WEEKDAY($A1042,2)=5,3,1))</f>
        <v/>
      </c>
      <c r="B1043">
        <f>IF($A1043&gt;$A1042,1,0)</f>
        <v/>
      </c>
      <c r="C1043" s="56">
        <f>IF($B1043=0,"",IF(Inputs!$B$6="","",IF($AD1043=0,C1042,SUMIFS(Data!$B$10:$B$3209,Data!$A$10:$A$3209,"&gt;="&amp;$A1043,Data!$A$10:$A$3209,"&lt;"&amp;$A1043+1)/$AD1043)))</f>
        <v/>
      </c>
      <c r="D1043" s="56">
        <f>IF($B1043=0,"",IF(Inputs!$B$7="","",IF($AE1043=0,D1042,SUMIFS(Data!$F$10:$F$3209,Data!$E$10:$E$3209,"&gt;="&amp;$A1043,Data!$E$10:$E$3209,"&lt;"&amp;$A1043+1)/$AE1043)))</f>
        <v/>
      </c>
      <c r="E1043" s="56">
        <f>IF($B1043=0,"",IF(Inputs!$B$8="","",IF($AF1043=0,E1042,SUMIFS(Data!$J$10:$J$3209,Data!$I$10:$I$3209,"&gt;="&amp;$A1043,Data!$I$10:$I$3209,"&lt;"&amp;$A1043+1)/$AF1043)))</f>
        <v/>
      </c>
      <c r="F1043" s="56">
        <f>IF($B1043=0,"",IF(Inputs!$B$9="","",IF($AG1043=0,F1042,SUMIFS(Data!$N$10:$N$3209,Data!$M$10:$M$3209,"&gt;="&amp;$A1043,Data!$M$10:$M$3209,"&lt;"&amp;$A1043+1)/$AG1043)))</f>
        <v/>
      </c>
      <c r="G1043" s="56">
        <f>IF($B1043=0,"",IF(Inputs!$B$10="","",IF($AH1043=0,G1042,SUMIFS(Data!$R$10:$R$3209,Data!$Q$10:$Q$3209,"&gt;="&amp;$A1043,Data!$Q$10:$Q$3209,"&lt;"&amp;$A1043+1)/$AH1043)))</f>
        <v/>
      </c>
      <c r="I1043" s="54">
        <f>IF($B1043=0,NA(),IF($C1043="",NA(),IF(C$8="",NA(),IF(N(C$8)=0,NA(),IF(Inputs!$C$17="Rebased to 100",$C1043/C$8*100,$C1043)))))</f>
        <v/>
      </c>
      <c r="J1043" s="54">
        <f>IF($B1043=0,NA(),IF($D1043="",NA(),IF(D$8="",NA(),IF(N(D$8)=0,NA(),IF(Inputs!$C$17="Rebased to 100",$D1043/D$8*100,$D1043)))))</f>
        <v/>
      </c>
      <c r="K1043" s="54">
        <f>IF($B1043=0,NA(),IF($E1043="",NA(),IF(E$8="",NA(),IF(N(E$8)=0,NA(),IF(Inputs!$C$17="Rebased to 100",$E1043/E$8*100,$E1043)))))</f>
        <v/>
      </c>
      <c r="L1043" s="54">
        <f>IF($B1043=0,NA(),IF($F1043="",NA(),IF(F$8="",NA(),IF(N(F$8)=0,NA(),IF(Inputs!$C$17="Rebased to 100",$F1043/F$8*100,$F1043)))))</f>
        <v/>
      </c>
      <c r="M1043" s="54">
        <f>IF($B1043=0,NA(),IF($G1043="",NA(),IF(G$8="",NA(),IF(N(G$8)=0,NA(),IF(Inputs!$C$17="Rebased to 100",$G1043/G$8*100,$G1043)))))</f>
        <v/>
      </c>
      <c r="N1043" s="54">
        <f>IF($B1043=0,NA(),IF(Inputs!$C$18&lt;&gt;"Yes",NA(),IF(COUNT(I1043,J1043,K1043,L1043,M1043)=0,NA(),MIN(I1043,J1043,K1043,L1043,M1043))))</f>
        <v/>
      </c>
      <c r="O1043" s="54">
        <f>IF($B1043=0,NA(),IF(Inputs!$B$24&lt;&gt;"Yes",NA(),Inputs!$D$24*Inputs!$C$35))</f>
        <v/>
      </c>
      <c r="P1043" s="54">
        <f>IF($B1043=0,NA(),IF(Inputs!$B$25&lt;&gt;"Yes",NA(),Inputs!$D$25*Inputs!$C$35))</f>
        <v/>
      </c>
      <c r="Q1043" s="54">
        <f>IF($B1043=0,NA(),IF(Inputs!$B$26&lt;&gt;"Yes",NA(),Inputs!$D$26*Inputs!$C$35))</f>
        <v/>
      </c>
      <c r="R1043" s="54">
        <f>IF($B1043=0,NA(),IF(Inputs!$B$27&lt;&gt;"Yes",NA(),Inputs!$D$27*Inputs!$C$35))</f>
        <v/>
      </c>
      <c r="S1043" s="54">
        <f>IF($B1043=0,NA(),IF(Inputs!$B$28&lt;&gt;"Yes",NA(),Inputs!$D$28*Inputs!$C$35))</f>
        <v/>
      </c>
      <c r="T1043" s="54">
        <f>IF($B1043=0,NA(),IF(Inputs!$B$29&lt;&gt;"Yes",NA(),Inputs!$D$29*Inputs!$C$35))</f>
        <v/>
      </c>
      <c r="AD1043">
        <f>IF($B1043=0,0,IF(Inputs!$B$6="",0,COUNTIFS(Data!$A$10:$A$3209,"&gt;="&amp;$A1043,Data!$A$10:$A$3209,"&lt;"&amp;$A1043+1)))</f>
        <v/>
      </c>
      <c r="AE1043">
        <f>IF($B1043=0,0,IF(Inputs!$B$7="",0,COUNTIFS(Data!$E$10:$E$3209,"&gt;="&amp;$A1043,Data!$E$10:$E$3209,"&lt;"&amp;$A1043+1)))</f>
        <v/>
      </c>
      <c r="AF1043">
        <f>IF($B1043=0,0,IF(Inputs!$B$8="",0,COUNTIFS(Data!$I$10:$I$3209,"&gt;="&amp;$A1043,Data!$I$10:$I$3209,"&lt;"&amp;$A1043+1)))</f>
        <v/>
      </c>
      <c r="AG1043">
        <f>IF($B1043=0,0,IF(Inputs!$B$9="",0,COUNTIFS(Data!$M$10:$M$3209,"&gt;="&amp;$A1043,Data!$M$10:$M$3209,"&lt;"&amp;$A1043+1)))</f>
        <v/>
      </c>
      <c r="AH1043">
        <f>IF($B1043=0,0,IF(Inputs!$B$10="",0,COUNTIFS(Data!$Q$10:$Q$3209,"&gt;="&amp;$A1043,Data!$Q$10:$Q$3209,"&lt;"&amp;$A1043+1)))</f>
        <v/>
      </c>
    </row>
    <row r="1044">
      <c r="A1044" s="55">
        <f>MIN(Inputs!$C$15,$A1043+IF(WEEKDAY($A1043,2)=5,3,1))</f>
        <v/>
      </c>
      <c r="B1044">
        <f>IF($A1044&gt;$A1043,1,0)</f>
        <v/>
      </c>
      <c r="C1044" s="56">
        <f>IF($B1044=0,"",IF(Inputs!$B$6="","",IF($AD1044=0,C1043,SUMIFS(Data!$B$10:$B$3209,Data!$A$10:$A$3209,"&gt;="&amp;$A1044,Data!$A$10:$A$3209,"&lt;"&amp;$A1044+1)/$AD1044)))</f>
        <v/>
      </c>
      <c r="D1044" s="56">
        <f>IF($B1044=0,"",IF(Inputs!$B$7="","",IF($AE1044=0,D1043,SUMIFS(Data!$F$10:$F$3209,Data!$E$10:$E$3209,"&gt;="&amp;$A1044,Data!$E$10:$E$3209,"&lt;"&amp;$A1044+1)/$AE1044)))</f>
        <v/>
      </c>
      <c r="E1044" s="56">
        <f>IF($B1044=0,"",IF(Inputs!$B$8="","",IF($AF1044=0,E1043,SUMIFS(Data!$J$10:$J$3209,Data!$I$10:$I$3209,"&gt;="&amp;$A1044,Data!$I$10:$I$3209,"&lt;"&amp;$A1044+1)/$AF1044)))</f>
        <v/>
      </c>
      <c r="F1044" s="56">
        <f>IF($B1044=0,"",IF(Inputs!$B$9="","",IF($AG1044=0,F1043,SUMIFS(Data!$N$10:$N$3209,Data!$M$10:$M$3209,"&gt;="&amp;$A1044,Data!$M$10:$M$3209,"&lt;"&amp;$A1044+1)/$AG1044)))</f>
        <v/>
      </c>
      <c r="G1044" s="56">
        <f>IF($B1044=0,"",IF(Inputs!$B$10="","",IF($AH1044=0,G1043,SUMIFS(Data!$R$10:$R$3209,Data!$Q$10:$Q$3209,"&gt;="&amp;$A1044,Data!$Q$10:$Q$3209,"&lt;"&amp;$A1044+1)/$AH1044)))</f>
        <v/>
      </c>
      <c r="I1044" s="54">
        <f>IF($B1044=0,NA(),IF($C1044="",NA(),IF(C$8="",NA(),IF(N(C$8)=0,NA(),IF(Inputs!$C$17="Rebased to 100",$C1044/C$8*100,$C1044)))))</f>
        <v/>
      </c>
      <c r="J1044" s="54">
        <f>IF($B1044=0,NA(),IF($D1044="",NA(),IF(D$8="",NA(),IF(N(D$8)=0,NA(),IF(Inputs!$C$17="Rebased to 100",$D1044/D$8*100,$D1044)))))</f>
        <v/>
      </c>
      <c r="K1044" s="54">
        <f>IF($B1044=0,NA(),IF($E1044="",NA(),IF(E$8="",NA(),IF(N(E$8)=0,NA(),IF(Inputs!$C$17="Rebased to 100",$E1044/E$8*100,$E1044)))))</f>
        <v/>
      </c>
      <c r="L1044" s="54">
        <f>IF($B1044=0,NA(),IF($F1044="",NA(),IF(F$8="",NA(),IF(N(F$8)=0,NA(),IF(Inputs!$C$17="Rebased to 100",$F1044/F$8*100,$F1044)))))</f>
        <v/>
      </c>
      <c r="M1044" s="54">
        <f>IF($B1044=0,NA(),IF($G1044="",NA(),IF(G$8="",NA(),IF(N(G$8)=0,NA(),IF(Inputs!$C$17="Rebased to 100",$G1044/G$8*100,$G1044)))))</f>
        <v/>
      </c>
      <c r="N1044" s="54">
        <f>IF($B1044=0,NA(),IF(Inputs!$C$18&lt;&gt;"Yes",NA(),IF(COUNT(I1044,J1044,K1044,L1044,M1044)=0,NA(),MIN(I1044,J1044,K1044,L1044,M1044))))</f>
        <v/>
      </c>
      <c r="O1044" s="54">
        <f>IF($B1044=0,NA(),IF(Inputs!$B$24&lt;&gt;"Yes",NA(),Inputs!$D$24*Inputs!$C$35))</f>
        <v/>
      </c>
      <c r="P1044" s="54">
        <f>IF($B1044=0,NA(),IF(Inputs!$B$25&lt;&gt;"Yes",NA(),Inputs!$D$25*Inputs!$C$35))</f>
        <v/>
      </c>
      <c r="Q1044" s="54">
        <f>IF($B1044=0,NA(),IF(Inputs!$B$26&lt;&gt;"Yes",NA(),Inputs!$D$26*Inputs!$C$35))</f>
        <v/>
      </c>
      <c r="R1044" s="54">
        <f>IF($B1044=0,NA(),IF(Inputs!$B$27&lt;&gt;"Yes",NA(),Inputs!$D$27*Inputs!$C$35))</f>
        <v/>
      </c>
      <c r="S1044" s="54">
        <f>IF($B1044=0,NA(),IF(Inputs!$B$28&lt;&gt;"Yes",NA(),Inputs!$D$28*Inputs!$C$35))</f>
        <v/>
      </c>
      <c r="T1044" s="54">
        <f>IF($B1044=0,NA(),IF(Inputs!$B$29&lt;&gt;"Yes",NA(),Inputs!$D$29*Inputs!$C$35))</f>
        <v/>
      </c>
      <c r="AD1044">
        <f>IF($B1044=0,0,IF(Inputs!$B$6="",0,COUNTIFS(Data!$A$10:$A$3209,"&gt;="&amp;$A1044,Data!$A$10:$A$3209,"&lt;"&amp;$A1044+1)))</f>
        <v/>
      </c>
      <c r="AE1044">
        <f>IF($B1044=0,0,IF(Inputs!$B$7="",0,COUNTIFS(Data!$E$10:$E$3209,"&gt;="&amp;$A1044,Data!$E$10:$E$3209,"&lt;"&amp;$A1044+1)))</f>
        <v/>
      </c>
      <c r="AF1044">
        <f>IF($B1044=0,0,IF(Inputs!$B$8="",0,COUNTIFS(Data!$I$10:$I$3209,"&gt;="&amp;$A1044,Data!$I$10:$I$3209,"&lt;"&amp;$A1044+1)))</f>
        <v/>
      </c>
      <c r="AG1044">
        <f>IF($B1044=0,0,IF(Inputs!$B$9="",0,COUNTIFS(Data!$M$10:$M$3209,"&gt;="&amp;$A1044,Data!$M$10:$M$3209,"&lt;"&amp;$A1044+1)))</f>
        <v/>
      </c>
      <c r="AH1044">
        <f>IF($B1044=0,0,IF(Inputs!$B$10="",0,COUNTIFS(Data!$Q$10:$Q$3209,"&gt;="&amp;$A1044,Data!$Q$10:$Q$3209,"&lt;"&amp;$A1044+1)))</f>
        <v/>
      </c>
    </row>
    <row r="1045">
      <c r="A1045" s="55">
        <f>MIN(Inputs!$C$15,$A1044+IF(WEEKDAY($A1044,2)=5,3,1))</f>
        <v/>
      </c>
      <c r="B1045">
        <f>IF($A1045&gt;$A1044,1,0)</f>
        <v/>
      </c>
      <c r="C1045" s="56">
        <f>IF($B1045=0,"",IF(Inputs!$B$6="","",IF($AD1045=0,C1044,SUMIFS(Data!$B$10:$B$3209,Data!$A$10:$A$3209,"&gt;="&amp;$A1045,Data!$A$10:$A$3209,"&lt;"&amp;$A1045+1)/$AD1045)))</f>
        <v/>
      </c>
      <c r="D1045" s="56">
        <f>IF($B1045=0,"",IF(Inputs!$B$7="","",IF($AE1045=0,D1044,SUMIFS(Data!$F$10:$F$3209,Data!$E$10:$E$3209,"&gt;="&amp;$A1045,Data!$E$10:$E$3209,"&lt;"&amp;$A1045+1)/$AE1045)))</f>
        <v/>
      </c>
      <c r="E1045" s="56">
        <f>IF($B1045=0,"",IF(Inputs!$B$8="","",IF($AF1045=0,E1044,SUMIFS(Data!$J$10:$J$3209,Data!$I$10:$I$3209,"&gt;="&amp;$A1045,Data!$I$10:$I$3209,"&lt;"&amp;$A1045+1)/$AF1045)))</f>
        <v/>
      </c>
      <c r="F1045" s="56">
        <f>IF($B1045=0,"",IF(Inputs!$B$9="","",IF($AG1045=0,F1044,SUMIFS(Data!$N$10:$N$3209,Data!$M$10:$M$3209,"&gt;="&amp;$A1045,Data!$M$10:$M$3209,"&lt;"&amp;$A1045+1)/$AG1045)))</f>
        <v/>
      </c>
      <c r="G1045" s="56">
        <f>IF($B1045=0,"",IF(Inputs!$B$10="","",IF($AH1045=0,G1044,SUMIFS(Data!$R$10:$R$3209,Data!$Q$10:$Q$3209,"&gt;="&amp;$A1045,Data!$Q$10:$Q$3209,"&lt;"&amp;$A1045+1)/$AH1045)))</f>
        <v/>
      </c>
      <c r="I1045" s="54">
        <f>IF($B1045=0,NA(),IF($C1045="",NA(),IF(C$8="",NA(),IF(N(C$8)=0,NA(),IF(Inputs!$C$17="Rebased to 100",$C1045/C$8*100,$C1045)))))</f>
        <v/>
      </c>
      <c r="J1045" s="54">
        <f>IF($B1045=0,NA(),IF($D1045="",NA(),IF(D$8="",NA(),IF(N(D$8)=0,NA(),IF(Inputs!$C$17="Rebased to 100",$D1045/D$8*100,$D1045)))))</f>
        <v/>
      </c>
      <c r="K1045" s="54">
        <f>IF($B1045=0,NA(),IF($E1045="",NA(),IF(E$8="",NA(),IF(N(E$8)=0,NA(),IF(Inputs!$C$17="Rebased to 100",$E1045/E$8*100,$E1045)))))</f>
        <v/>
      </c>
      <c r="L1045" s="54">
        <f>IF($B1045=0,NA(),IF($F1045="",NA(),IF(F$8="",NA(),IF(N(F$8)=0,NA(),IF(Inputs!$C$17="Rebased to 100",$F1045/F$8*100,$F1045)))))</f>
        <v/>
      </c>
      <c r="M1045" s="54">
        <f>IF($B1045=0,NA(),IF($G1045="",NA(),IF(G$8="",NA(),IF(N(G$8)=0,NA(),IF(Inputs!$C$17="Rebased to 100",$G1045/G$8*100,$G1045)))))</f>
        <v/>
      </c>
      <c r="N1045" s="54">
        <f>IF($B1045=0,NA(),IF(Inputs!$C$18&lt;&gt;"Yes",NA(),IF(COUNT(I1045,J1045,K1045,L1045,M1045)=0,NA(),MIN(I1045,J1045,K1045,L1045,M1045))))</f>
        <v/>
      </c>
      <c r="O1045" s="54">
        <f>IF($B1045=0,NA(),IF(Inputs!$B$24&lt;&gt;"Yes",NA(),Inputs!$D$24*Inputs!$C$35))</f>
        <v/>
      </c>
      <c r="P1045" s="54">
        <f>IF($B1045=0,NA(),IF(Inputs!$B$25&lt;&gt;"Yes",NA(),Inputs!$D$25*Inputs!$C$35))</f>
        <v/>
      </c>
      <c r="Q1045" s="54">
        <f>IF($B1045=0,NA(),IF(Inputs!$B$26&lt;&gt;"Yes",NA(),Inputs!$D$26*Inputs!$C$35))</f>
        <v/>
      </c>
      <c r="R1045" s="54">
        <f>IF($B1045=0,NA(),IF(Inputs!$B$27&lt;&gt;"Yes",NA(),Inputs!$D$27*Inputs!$C$35))</f>
        <v/>
      </c>
      <c r="S1045" s="54">
        <f>IF($B1045=0,NA(),IF(Inputs!$B$28&lt;&gt;"Yes",NA(),Inputs!$D$28*Inputs!$C$35))</f>
        <v/>
      </c>
      <c r="T1045" s="54">
        <f>IF($B1045=0,NA(),IF(Inputs!$B$29&lt;&gt;"Yes",NA(),Inputs!$D$29*Inputs!$C$35))</f>
        <v/>
      </c>
      <c r="AD1045">
        <f>IF($B1045=0,0,IF(Inputs!$B$6="",0,COUNTIFS(Data!$A$10:$A$3209,"&gt;="&amp;$A1045,Data!$A$10:$A$3209,"&lt;"&amp;$A1045+1)))</f>
        <v/>
      </c>
      <c r="AE1045">
        <f>IF($B1045=0,0,IF(Inputs!$B$7="",0,COUNTIFS(Data!$E$10:$E$3209,"&gt;="&amp;$A1045,Data!$E$10:$E$3209,"&lt;"&amp;$A1045+1)))</f>
        <v/>
      </c>
      <c r="AF1045">
        <f>IF($B1045=0,0,IF(Inputs!$B$8="",0,COUNTIFS(Data!$I$10:$I$3209,"&gt;="&amp;$A1045,Data!$I$10:$I$3209,"&lt;"&amp;$A1045+1)))</f>
        <v/>
      </c>
      <c r="AG1045">
        <f>IF($B1045=0,0,IF(Inputs!$B$9="",0,COUNTIFS(Data!$M$10:$M$3209,"&gt;="&amp;$A1045,Data!$M$10:$M$3209,"&lt;"&amp;$A1045+1)))</f>
        <v/>
      </c>
      <c r="AH1045">
        <f>IF($B1045=0,0,IF(Inputs!$B$10="",0,COUNTIFS(Data!$Q$10:$Q$3209,"&gt;="&amp;$A1045,Data!$Q$10:$Q$3209,"&lt;"&amp;$A1045+1)))</f>
        <v/>
      </c>
    </row>
    <row r="1046">
      <c r="A1046" s="55">
        <f>MIN(Inputs!$C$15,$A1045+IF(WEEKDAY($A1045,2)=5,3,1))</f>
        <v/>
      </c>
      <c r="B1046">
        <f>IF($A1046&gt;$A1045,1,0)</f>
        <v/>
      </c>
      <c r="C1046" s="56">
        <f>IF($B1046=0,"",IF(Inputs!$B$6="","",IF($AD1046=0,C1045,SUMIFS(Data!$B$10:$B$3209,Data!$A$10:$A$3209,"&gt;="&amp;$A1046,Data!$A$10:$A$3209,"&lt;"&amp;$A1046+1)/$AD1046)))</f>
        <v/>
      </c>
      <c r="D1046" s="56">
        <f>IF($B1046=0,"",IF(Inputs!$B$7="","",IF($AE1046=0,D1045,SUMIFS(Data!$F$10:$F$3209,Data!$E$10:$E$3209,"&gt;="&amp;$A1046,Data!$E$10:$E$3209,"&lt;"&amp;$A1046+1)/$AE1046)))</f>
        <v/>
      </c>
      <c r="E1046" s="56">
        <f>IF($B1046=0,"",IF(Inputs!$B$8="","",IF($AF1046=0,E1045,SUMIFS(Data!$J$10:$J$3209,Data!$I$10:$I$3209,"&gt;="&amp;$A1046,Data!$I$10:$I$3209,"&lt;"&amp;$A1046+1)/$AF1046)))</f>
        <v/>
      </c>
      <c r="F1046" s="56">
        <f>IF($B1046=0,"",IF(Inputs!$B$9="","",IF($AG1046=0,F1045,SUMIFS(Data!$N$10:$N$3209,Data!$M$10:$M$3209,"&gt;="&amp;$A1046,Data!$M$10:$M$3209,"&lt;"&amp;$A1046+1)/$AG1046)))</f>
        <v/>
      </c>
      <c r="G1046" s="56">
        <f>IF($B1046=0,"",IF(Inputs!$B$10="","",IF($AH1046=0,G1045,SUMIFS(Data!$R$10:$R$3209,Data!$Q$10:$Q$3209,"&gt;="&amp;$A1046,Data!$Q$10:$Q$3209,"&lt;"&amp;$A1046+1)/$AH1046)))</f>
        <v/>
      </c>
      <c r="I1046" s="54">
        <f>IF($B1046=0,NA(),IF($C1046="",NA(),IF(C$8="",NA(),IF(N(C$8)=0,NA(),IF(Inputs!$C$17="Rebased to 100",$C1046/C$8*100,$C1046)))))</f>
        <v/>
      </c>
      <c r="J1046" s="54">
        <f>IF($B1046=0,NA(),IF($D1046="",NA(),IF(D$8="",NA(),IF(N(D$8)=0,NA(),IF(Inputs!$C$17="Rebased to 100",$D1046/D$8*100,$D1046)))))</f>
        <v/>
      </c>
      <c r="K1046" s="54">
        <f>IF($B1046=0,NA(),IF($E1046="",NA(),IF(E$8="",NA(),IF(N(E$8)=0,NA(),IF(Inputs!$C$17="Rebased to 100",$E1046/E$8*100,$E1046)))))</f>
        <v/>
      </c>
      <c r="L1046" s="54">
        <f>IF($B1046=0,NA(),IF($F1046="",NA(),IF(F$8="",NA(),IF(N(F$8)=0,NA(),IF(Inputs!$C$17="Rebased to 100",$F1046/F$8*100,$F1046)))))</f>
        <v/>
      </c>
      <c r="M1046" s="54">
        <f>IF($B1046=0,NA(),IF($G1046="",NA(),IF(G$8="",NA(),IF(N(G$8)=0,NA(),IF(Inputs!$C$17="Rebased to 100",$G1046/G$8*100,$G1046)))))</f>
        <v/>
      </c>
      <c r="N1046" s="54">
        <f>IF($B1046=0,NA(),IF(Inputs!$C$18&lt;&gt;"Yes",NA(),IF(COUNT(I1046,J1046,K1046,L1046,M1046)=0,NA(),MIN(I1046,J1046,K1046,L1046,M1046))))</f>
        <v/>
      </c>
      <c r="O1046" s="54">
        <f>IF($B1046=0,NA(),IF(Inputs!$B$24&lt;&gt;"Yes",NA(),Inputs!$D$24*Inputs!$C$35))</f>
        <v/>
      </c>
      <c r="P1046" s="54">
        <f>IF($B1046=0,NA(),IF(Inputs!$B$25&lt;&gt;"Yes",NA(),Inputs!$D$25*Inputs!$C$35))</f>
        <v/>
      </c>
      <c r="Q1046" s="54">
        <f>IF($B1046=0,NA(),IF(Inputs!$B$26&lt;&gt;"Yes",NA(),Inputs!$D$26*Inputs!$C$35))</f>
        <v/>
      </c>
      <c r="R1046" s="54">
        <f>IF($B1046=0,NA(),IF(Inputs!$B$27&lt;&gt;"Yes",NA(),Inputs!$D$27*Inputs!$C$35))</f>
        <v/>
      </c>
      <c r="S1046" s="54">
        <f>IF($B1046=0,NA(),IF(Inputs!$B$28&lt;&gt;"Yes",NA(),Inputs!$D$28*Inputs!$C$35))</f>
        <v/>
      </c>
      <c r="T1046" s="54">
        <f>IF($B1046=0,NA(),IF(Inputs!$B$29&lt;&gt;"Yes",NA(),Inputs!$D$29*Inputs!$C$35))</f>
        <v/>
      </c>
      <c r="AD1046">
        <f>IF($B1046=0,0,IF(Inputs!$B$6="",0,COUNTIFS(Data!$A$10:$A$3209,"&gt;="&amp;$A1046,Data!$A$10:$A$3209,"&lt;"&amp;$A1046+1)))</f>
        <v/>
      </c>
      <c r="AE1046">
        <f>IF($B1046=0,0,IF(Inputs!$B$7="",0,COUNTIFS(Data!$E$10:$E$3209,"&gt;="&amp;$A1046,Data!$E$10:$E$3209,"&lt;"&amp;$A1046+1)))</f>
        <v/>
      </c>
      <c r="AF1046">
        <f>IF($B1046=0,0,IF(Inputs!$B$8="",0,COUNTIFS(Data!$I$10:$I$3209,"&gt;="&amp;$A1046,Data!$I$10:$I$3209,"&lt;"&amp;$A1046+1)))</f>
        <v/>
      </c>
      <c r="AG1046">
        <f>IF($B1046=0,0,IF(Inputs!$B$9="",0,COUNTIFS(Data!$M$10:$M$3209,"&gt;="&amp;$A1046,Data!$M$10:$M$3209,"&lt;"&amp;$A1046+1)))</f>
        <v/>
      </c>
      <c r="AH1046">
        <f>IF($B1046=0,0,IF(Inputs!$B$10="",0,COUNTIFS(Data!$Q$10:$Q$3209,"&gt;="&amp;$A1046,Data!$Q$10:$Q$3209,"&lt;"&amp;$A1046+1)))</f>
        <v/>
      </c>
    </row>
    <row r="1047">
      <c r="A1047" s="55">
        <f>MIN(Inputs!$C$15,$A1046+IF(WEEKDAY($A1046,2)=5,3,1))</f>
        <v/>
      </c>
      <c r="B1047">
        <f>IF($A1047&gt;$A1046,1,0)</f>
        <v/>
      </c>
      <c r="C1047" s="56">
        <f>IF($B1047=0,"",IF(Inputs!$B$6="","",IF($AD1047=0,C1046,SUMIFS(Data!$B$10:$B$3209,Data!$A$10:$A$3209,"&gt;="&amp;$A1047,Data!$A$10:$A$3209,"&lt;"&amp;$A1047+1)/$AD1047)))</f>
        <v/>
      </c>
      <c r="D1047" s="56">
        <f>IF($B1047=0,"",IF(Inputs!$B$7="","",IF($AE1047=0,D1046,SUMIFS(Data!$F$10:$F$3209,Data!$E$10:$E$3209,"&gt;="&amp;$A1047,Data!$E$10:$E$3209,"&lt;"&amp;$A1047+1)/$AE1047)))</f>
        <v/>
      </c>
      <c r="E1047" s="56">
        <f>IF($B1047=0,"",IF(Inputs!$B$8="","",IF($AF1047=0,E1046,SUMIFS(Data!$J$10:$J$3209,Data!$I$10:$I$3209,"&gt;="&amp;$A1047,Data!$I$10:$I$3209,"&lt;"&amp;$A1047+1)/$AF1047)))</f>
        <v/>
      </c>
      <c r="F1047" s="56">
        <f>IF($B1047=0,"",IF(Inputs!$B$9="","",IF($AG1047=0,F1046,SUMIFS(Data!$N$10:$N$3209,Data!$M$10:$M$3209,"&gt;="&amp;$A1047,Data!$M$10:$M$3209,"&lt;"&amp;$A1047+1)/$AG1047)))</f>
        <v/>
      </c>
      <c r="G1047" s="56">
        <f>IF($B1047=0,"",IF(Inputs!$B$10="","",IF($AH1047=0,G1046,SUMIFS(Data!$R$10:$R$3209,Data!$Q$10:$Q$3209,"&gt;="&amp;$A1047,Data!$Q$10:$Q$3209,"&lt;"&amp;$A1047+1)/$AH1047)))</f>
        <v/>
      </c>
      <c r="I1047" s="54">
        <f>IF($B1047=0,NA(),IF($C1047="",NA(),IF(C$8="",NA(),IF(N(C$8)=0,NA(),IF(Inputs!$C$17="Rebased to 100",$C1047/C$8*100,$C1047)))))</f>
        <v/>
      </c>
      <c r="J1047" s="54">
        <f>IF($B1047=0,NA(),IF($D1047="",NA(),IF(D$8="",NA(),IF(N(D$8)=0,NA(),IF(Inputs!$C$17="Rebased to 100",$D1047/D$8*100,$D1047)))))</f>
        <v/>
      </c>
      <c r="K1047" s="54">
        <f>IF($B1047=0,NA(),IF($E1047="",NA(),IF(E$8="",NA(),IF(N(E$8)=0,NA(),IF(Inputs!$C$17="Rebased to 100",$E1047/E$8*100,$E1047)))))</f>
        <v/>
      </c>
      <c r="L1047" s="54">
        <f>IF($B1047=0,NA(),IF($F1047="",NA(),IF(F$8="",NA(),IF(N(F$8)=0,NA(),IF(Inputs!$C$17="Rebased to 100",$F1047/F$8*100,$F1047)))))</f>
        <v/>
      </c>
      <c r="M1047" s="54">
        <f>IF($B1047=0,NA(),IF($G1047="",NA(),IF(G$8="",NA(),IF(N(G$8)=0,NA(),IF(Inputs!$C$17="Rebased to 100",$G1047/G$8*100,$G1047)))))</f>
        <v/>
      </c>
      <c r="N1047" s="54">
        <f>IF($B1047=0,NA(),IF(Inputs!$C$18&lt;&gt;"Yes",NA(),IF(COUNT(I1047,J1047,K1047,L1047,M1047)=0,NA(),MIN(I1047,J1047,K1047,L1047,M1047))))</f>
        <v/>
      </c>
      <c r="O1047" s="54">
        <f>IF($B1047=0,NA(),IF(Inputs!$B$24&lt;&gt;"Yes",NA(),Inputs!$D$24*Inputs!$C$35))</f>
        <v/>
      </c>
      <c r="P1047" s="54">
        <f>IF($B1047=0,NA(),IF(Inputs!$B$25&lt;&gt;"Yes",NA(),Inputs!$D$25*Inputs!$C$35))</f>
        <v/>
      </c>
      <c r="Q1047" s="54">
        <f>IF($B1047=0,NA(),IF(Inputs!$B$26&lt;&gt;"Yes",NA(),Inputs!$D$26*Inputs!$C$35))</f>
        <v/>
      </c>
      <c r="R1047" s="54">
        <f>IF($B1047=0,NA(),IF(Inputs!$B$27&lt;&gt;"Yes",NA(),Inputs!$D$27*Inputs!$C$35))</f>
        <v/>
      </c>
      <c r="S1047" s="54">
        <f>IF($B1047=0,NA(),IF(Inputs!$B$28&lt;&gt;"Yes",NA(),Inputs!$D$28*Inputs!$C$35))</f>
        <v/>
      </c>
      <c r="T1047" s="54">
        <f>IF($B1047=0,NA(),IF(Inputs!$B$29&lt;&gt;"Yes",NA(),Inputs!$D$29*Inputs!$C$35))</f>
        <v/>
      </c>
      <c r="AD1047">
        <f>IF($B1047=0,0,IF(Inputs!$B$6="",0,COUNTIFS(Data!$A$10:$A$3209,"&gt;="&amp;$A1047,Data!$A$10:$A$3209,"&lt;"&amp;$A1047+1)))</f>
        <v/>
      </c>
      <c r="AE1047">
        <f>IF($B1047=0,0,IF(Inputs!$B$7="",0,COUNTIFS(Data!$E$10:$E$3209,"&gt;="&amp;$A1047,Data!$E$10:$E$3209,"&lt;"&amp;$A1047+1)))</f>
        <v/>
      </c>
      <c r="AF1047">
        <f>IF($B1047=0,0,IF(Inputs!$B$8="",0,COUNTIFS(Data!$I$10:$I$3209,"&gt;="&amp;$A1047,Data!$I$10:$I$3209,"&lt;"&amp;$A1047+1)))</f>
        <v/>
      </c>
      <c r="AG1047">
        <f>IF($B1047=0,0,IF(Inputs!$B$9="",0,COUNTIFS(Data!$M$10:$M$3209,"&gt;="&amp;$A1047,Data!$M$10:$M$3209,"&lt;"&amp;$A1047+1)))</f>
        <v/>
      </c>
      <c r="AH1047">
        <f>IF($B1047=0,0,IF(Inputs!$B$10="",0,COUNTIFS(Data!$Q$10:$Q$3209,"&gt;="&amp;$A1047,Data!$Q$10:$Q$3209,"&lt;"&amp;$A1047+1)))</f>
        <v/>
      </c>
    </row>
    <row r="1048">
      <c r="A1048" s="55">
        <f>MIN(Inputs!$C$15,$A1047+IF(WEEKDAY($A1047,2)=5,3,1))</f>
        <v/>
      </c>
      <c r="B1048">
        <f>IF($A1048&gt;$A1047,1,0)</f>
        <v/>
      </c>
      <c r="C1048" s="56">
        <f>IF($B1048=0,"",IF(Inputs!$B$6="","",IF($AD1048=0,C1047,SUMIFS(Data!$B$10:$B$3209,Data!$A$10:$A$3209,"&gt;="&amp;$A1048,Data!$A$10:$A$3209,"&lt;"&amp;$A1048+1)/$AD1048)))</f>
        <v/>
      </c>
      <c r="D1048" s="56">
        <f>IF($B1048=0,"",IF(Inputs!$B$7="","",IF($AE1048=0,D1047,SUMIFS(Data!$F$10:$F$3209,Data!$E$10:$E$3209,"&gt;="&amp;$A1048,Data!$E$10:$E$3209,"&lt;"&amp;$A1048+1)/$AE1048)))</f>
        <v/>
      </c>
      <c r="E1048" s="56">
        <f>IF($B1048=0,"",IF(Inputs!$B$8="","",IF($AF1048=0,E1047,SUMIFS(Data!$J$10:$J$3209,Data!$I$10:$I$3209,"&gt;="&amp;$A1048,Data!$I$10:$I$3209,"&lt;"&amp;$A1048+1)/$AF1048)))</f>
        <v/>
      </c>
      <c r="F1048" s="56">
        <f>IF($B1048=0,"",IF(Inputs!$B$9="","",IF($AG1048=0,F1047,SUMIFS(Data!$N$10:$N$3209,Data!$M$10:$M$3209,"&gt;="&amp;$A1048,Data!$M$10:$M$3209,"&lt;"&amp;$A1048+1)/$AG1048)))</f>
        <v/>
      </c>
      <c r="G1048" s="56">
        <f>IF($B1048=0,"",IF(Inputs!$B$10="","",IF($AH1048=0,G1047,SUMIFS(Data!$R$10:$R$3209,Data!$Q$10:$Q$3209,"&gt;="&amp;$A1048,Data!$Q$10:$Q$3209,"&lt;"&amp;$A1048+1)/$AH1048)))</f>
        <v/>
      </c>
      <c r="I1048" s="54">
        <f>IF($B1048=0,NA(),IF($C1048="",NA(),IF(C$8="",NA(),IF(N(C$8)=0,NA(),IF(Inputs!$C$17="Rebased to 100",$C1048/C$8*100,$C1048)))))</f>
        <v/>
      </c>
      <c r="J1048" s="54">
        <f>IF($B1048=0,NA(),IF($D1048="",NA(),IF(D$8="",NA(),IF(N(D$8)=0,NA(),IF(Inputs!$C$17="Rebased to 100",$D1048/D$8*100,$D1048)))))</f>
        <v/>
      </c>
      <c r="K1048" s="54">
        <f>IF($B1048=0,NA(),IF($E1048="",NA(),IF(E$8="",NA(),IF(N(E$8)=0,NA(),IF(Inputs!$C$17="Rebased to 100",$E1048/E$8*100,$E1048)))))</f>
        <v/>
      </c>
      <c r="L1048" s="54">
        <f>IF($B1048=0,NA(),IF($F1048="",NA(),IF(F$8="",NA(),IF(N(F$8)=0,NA(),IF(Inputs!$C$17="Rebased to 100",$F1048/F$8*100,$F1048)))))</f>
        <v/>
      </c>
      <c r="M1048" s="54">
        <f>IF($B1048=0,NA(),IF($G1048="",NA(),IF(G$8="",NA(),IF(N(G$8)=0,NA(),IF(Inputs!$C$17="Rebased to 100",$G1048/G$8*100,$G1048)))))</f>
        <v/>
      </c>
      <c r="N1048" s="54">
        <f>IF($B1048=0,NA(),IF(Inputs!$C$18&lt;&gt;"Yes",NA(),IF(COUNT(I1048,J1048,K1048,L1048,M1048)=0,NA(),MIN(I1048,J1048,K1048,L1048,M1048))))</f>
        <v/>
      </c>
      <c r="O1048" s="54">
        <f>IF($B1048=0,NA(),IF(Inputs!$B$24&lt;&gt;"Yes",NA(),Inputs!$D$24*Inputs!$C$35))</f>
        <v/>
      </c>
      <c r="P1048" s="54">
        <f>IF($B1048=0,NA(),IF(Inputs!$B$25&lt;&gt;"Yes",NA(),Inputs!$D$25*Inputs!$C$35))</f>
        <v/>
      </c>
      <c r="Q1048" s="54">
        <f>IF($B1048=0,NA(),IF(Inputs!$B$26&lt;&gt;"Yes",NA(),Inputs!$D$26*Inputs!$C$35))</f>
        <v/>
      </c>
      <c r="R1048" s="54">
        <f>IF($B1048=0,NA(),IF(Inputs!$B$27&lt;&gt;"Yes",NA(),Inputs!$D$27*Inputs!$C$35))</f>
        <v/>
      </c>
      <c r="S1048" s="54">
        <f>IF($B1048=0,NA(),IF(Inputs!$B$28&lt;&gt;"Yes",NA(),Inputs!$D$28*Inputs!$C$35))</f>
        <v/>
      </c>
      <c r="T1048" s="54">
        <f>IF($B1048=0,NA(),IF(Inputs!$B$29&lt;&gt;"Yes",NA(),Inputs!$D$29*Inputs!$C$35))</f>
        <v/>
      </c>
      <c r="AD1048">
        <f>IF($B1048=0,0,IF(Inputs!$B$6="",0,COUNTIFS(Data!$A$10:$A$3209,"&gt;="&amp;$A1048,Data!$A$10:$A$3209,"&lt;"&amp;$A1048+1)))</f>
        <v/>
      </c>
      <c r="AE1048">
        <f>IF($B1048=0,0,IF(Inputs!$B$7="",0,COUNTIFS(Data!$E$10:$E$3209,"&gt;="&amp;$A1048,Data!$E$10:$E$3209,"&lt;"&amp;$A1048+1)))</f>
        <v/>
      </c>
      <c r="AF1048">
        <f>IF($B1048=0,0,IF(Inputs!$B$8="",0,COUNTIFS(Data!$I$10:$I$3209,"&gt;="&amp;$A1048,Data!$I$10:$I$3209,"&lt;"&amp;$A1048+1)))</f>
        <v/>
      </c>
      <c r="AG1048">
        <f>IF($B1048=0,0,IF(Inputs!$B$9="",0,COUNTIFS(Data!$M$10:$M$3209,"&gt;="&amp;$A1048,Data!$M$10:$M$3209,"&lt;"&amp;$A1048+1)))</f>
        <v/>
      </c>
      <c r="AH1048">
        <f>IF($B1048=0,0,IF(Inputs!$B$10="",0,COUNTIFS(Data!$Q$10:$Q$3209,"&gt;="&amp;$A1048,Data!$Q$10:$Q$3209,"&lt;"&amp;$A1048+1)))</f>
        <v/>
      </c>
    </row>
    <row r="1049">
      <c r="A1049" s="55">
        <f>MIN(Inputs!$C$15,$A1048+IF(WEEKDAY($A1048,2)=5,3,1))</f>
        <v/>
      </c>
      <c r="B1049">
        <f>IF($A1049&gt;$A1048,1,0)</f>
        <v/>
      </c>
      <c r="C1049" s="56">
        <f>IF($B1049=0,"",IF(Inputs!$B$6="","",IF($AD1049=0,C1048,SUMIFS(Data!$B$10:$B$3209,Data!$A$10:$A$3209,"&gt;="&amp;$A1049,Data!$A$10:$A$3209,"&lt;"&amp;$A1049+1)/$AD1049)))</f>
        <v/>
      </c>
      <c r="D1049" s="56">
        <f>IF($B1049=0,"",IF(Inputs!$B$7="","",IF($AE1049=0,D1048,SUMIFS(Data!$F$10:$F$3209,Data!$E$10:$E$3209,"&gt;="&amp;$A1049,Data!$E$10:$E$3209,"&lt;"&amp;$A1049+1)/$AE1049)))</f>
        <v/>
      </c>
      <c r="E1049" s="56">
        <f>IF($B1049=0,"",IF(Inputs!$B$8="","",IF($AF1049=0,E1048,SUMIFS(Data!$J$10:$J$3209,Data!$I$10:$I$3209,"&gt;="&amp;$A1049,Data!$I$10:$I$3209,"&lt;"&amp;$A1049+1)/$AF1049)))</f>
        <v/>
      </c>
      <c r="F1049" s="56">
        <f>IF($B1049=0,"",IF(Inputs!$B$9="","",IF($AG1049=0,F1048,SUMIFS(Data!$N$10:$N$3209,Data!$M$10:$M$3209,"&gt;="&amp;$A1049,Data!$M$10:$M$3209,"&lt;"&amp;$A1049+1)/$AG1049)))</f>
        <v/>
      </c>
      <c r="G1049" s="56">
        <f>IF($B1049=0,"",IF(Inputs!$B$10="","",IF($AH1049=0,G1048,SUMIFS(Data!$R$10:$R$3209,Data!$Q$10:$Q$3209,"&gt;="&amp;$A1049,Data!$Q$10:$Q$3209,"&lt;"&amp;$A1049+1)/$AH1049)))</f>
        <v/>
      </c>
      <c r="I1049" s="54">
        <f>IF($B1049=0,NA(),IF($C1049="",NA(),IF(C$8="",NA(),IF(N(C$8)=0,NA(),IF(Inputs!$C$17="Rebased to 100",$C1049/C$8*100,$C1049)))))</f>
        <v/>
      </c>
      <c r="J1049" s="54">
        <f>IF($B1049=0,NA(),IF($D1049="",NA(),IF(D$8="",NA(),IF(N(D$8)=0,NA(),IF(Inputs!$C$17="Rebased to 100",$D1049/D$8*100,$D1049)))))</f>
        <v/>
      </c>
      <c r="K1049" s="54">
        <f>IF($B1049=0,NA(),IF($E1049="",NA(),IF(E$8="",NA(),IF(N(E$8)=0,NA(),IF(Inputs!$C$17="Rebased to 100",$E1049/E$8*100,$E1049)))))</f>
        <v/>
      </c>
      <c r="L1049" s="54">
        <f>IF($B1049=0,NA(),IF($F1049="",NA(),IF(F$8="",NA(),IF(N(F$8)=0,NA(),IF(Inputs!$C$17="Rebased to 100",$F1049/F$8*100,$F1049)))))</f>
        <v/>
      </c>
      <c r="M1049" s="54">
        <f>IF($B1049=0,NA(),IF($G1049="",NA(),IF(G$8="",NA(),IF(N(G$8)=0,NA(),IF(Inputs!$C$17="Rebased to 100",$G1049/G$8*100,$G1049)))))</f>
        <v/>
      </c>
      <c r="N1049" s="54">
        <f>IF($B1049=0,NA(),IF(Inputs!$C$18&lt;&gt;"Yes",NA(),IF(COUNT(I1049,J1049,K1049,L1049,M1049)=0,NA(),MIN(I1049,J1049,K1049,L1049,M1049))))</f>
        <v/>
      </c>
      <c r="O1049" s="54">
        <f>IF($B1049=0,NA(),IF(Inputs!$B$24&lt;&gt;"Yes",NA(),Inputs!$D$24*Inputs!$C$35))</f>
        <v/>
      </c>
      <c r="P1049" s="54">
        <f>IF($B1049=0,NA(),IF(Inputs!$B$25&lt;&gt;"Yes",NA(),Inputs!$D$25*Inputs!$C$35))</f>
        <v/>
      </c>
      <c r="Q1049" s="54">
        <f>IF($B1049=0,NA(),IF(Inputs!$B$26&lt;&gt;"Yes",NA(),Inputs!$D$26*Inputs!$C$35))</f>
        <v/>
      </c>
      <c r="R1049" s="54">
        <f>IF($B1049=0,NA(),IF(Inputs!$B$27&lt;&gt;"Yes",NA(),Inputs!$D$27*Inputs!$C$35))</f>
        <v/>
      </c>
      <c r="S1049" s="54">
        <f>IF($B1049=0,NA(),IF(Inputs!$B$28&lt;&gt;"Yes",NA(),Inputs!$D$28*Inputs!$C$35))</f>
        <v/>
      </c>
      <c r="T1049" s="54">
        <f>IF($B1049=0,NA(),IF(Inputs!$B$29&lt;&gt;"Yes",NA(),Inputs!$D$29*Inputs!$C$35))</f>
        <v/>
      </c>
      <c r="AD1049">
        <f>IF($B1049=0,0,IF(Inputs!$B$6="",0,COUNTIFS(Data!$A$10:$A$3209,"&gt;="&amp;$A1049,Data!$A$10:$A$3209,"&lt;"&amp;$A1049+1)))</f>
        <v/>
      </c>
      <c r="AE1049">
        <f>IF($B1049=0,0,IF(Inputs!$B$7="",0,COUNTIFS(Data!$E$10:$E$3209,"&gt;="&amp;$A1049,Data!$E$10:$E$3209,"&lt;"&amp;$A1049+1)))</f>
        <v/>
      </c>
      <c r="AF1049">
        <f>IF($B1049=0,0,IF(Inputs!$B$8="",0,COUNTIFS(Data!$I$10:$I$3209,"&gt;="&amp;$A1049,Data!$I$10:$I$3209,"&lt;"&amp;$A1049+1)))</f>
        <v/>
      </c>
      <c r="AG1049">
        <f>IF($B1049=0,0,IF(Inputs!$B$9="",0,COUNTIFS(Data!$M$10:$M$3209,"&gt;="&amp;$A1049,Data!$M$10:$M$3209,"&lt;"&amp;$A1049+1)))</f>
        <v/>
      </c>
      <c r="AH1049">
        <f>IF($B1049=0,0,IF(Inputs!$B$10="",0,COUNTIFS(Data!$Q$10:$Q$3209,"&gt;="&amp;$A1049,Data!$Q$10:$Q$3209,"&lt;"&amp;$A1049+1)))</f>
        <v/>
      </c>
    </row>
    <row r="1050">
      <c r="A1050" s="55">
        <f>MIN(Inputs!$C$15,$A1049+IF(WEEKDAY($A1049,2)=5,3,1))</f>
        <v/>
      </c>
      <c r="B1050">
        <f>IF($A1050&gt;$A1049,1,0)</f>
        <v/>
      </c>
      <c r="C1050" s="56">
        <f>IF($B1050=0,"",IF(Inputs!$B$6="","",IF($AD1050=0,C1049,SUMIFS(Data!$B$10:$B$3209,Data!$A$10:$A$3209,"&gt;="&amp;$A1050,Data!$A$10:$A$3209,"&lt;"&amp;$A1050+1)/$AD1050)))</f>
        <v/>
      </c>
      <c r="D1050" s="56">
        <f>IF($B1050=0,"",IF(Inputs!$B$7="","",IF($AE1050=0,D1049,SUMIFS(Data!$F$10:$F$3209,Data!$E$10:$E$3209,"&gt;="&amp;$A1050,Data!$E$10:$E$3209,"&lt;"&amp;$A1050+1)/$AE1050)))</f>
        <v/>
      </c>
      <c r="E1050" s="56">
        <f>IF($B1050=0,"",IF(Inputs!$B$8="","",IF($AF1050=0,E1049,SUMIFS(Data!$J$10:$J$3209,Data!$I$10:$I$3209,"&gt;="&amp;$A1050,Data!$I$10:$I$3209,"&lt;"&amp;$A1050+1)/$AF1050)))</f>
        <v/>
      </c>
      <c r="F1050" s="56">
        <f>IF($B1050=0,"",IF(Inputs!$B$9="","",IF($AG1050=0,F1049,SUMIFS(Data!$N$10:$N$3209,Data!$M$10:$M$3209,"&gt;="&amp;$A1050,Data!$M$10:$M$3209,"&lt;"&amp;$A1050+1)/$AG1050)))</f>
        <v/>
      </c>
      <c r="G1050" s="56">
        <f>IF($B1050=0,"",IF(Inputs!$B$10="","",IF($AH1050=0,G1049,SUMIFS(Data!$R$10:$R$3209,Data!$Q$10:$Q$3209,"&gt;="&amp;$A1050,Data!$Q$10:$Q$3209,"&lt;"&amp;$A1050+1)/$AH1050)))</f>
        <v/>
      </c>
      <c r="I1050" s="54">
        <f>IF($B1050=0,NA(),IF($C1050="",NA(),IF(C$8="",NA(),IF(N(C$8)=0,NA(),IF(Inputs!$C$17="Rebased to 100",$C1050/C$8*100,$C1050)))))</f>
        <v/>
      </c>
      <c r="J1050" s="54">
        <f>IF($B1050=0,NA(),IF($D1050="",NA(),IF(D$8="",NA(),IF(N(D$8)=0,NA(),IF(Inputs!$C$17="Rebased to 100",$D1050/D$8*100,$D1050)))))</f>
        <v/>
      </c>
      <c r="K1050" s="54">
        <f>IF($B1050=0,NA(),IF($E1050="",NA(),IF(E$8="",NA(),IF(N(E$8)=0,NA(),IF(Inputs!$C$17="Rebased to 100",$E1050/E$8*100,$E1050)))))</f>
        <v/>
      </c>
      <c r="L1050" s="54">
        <f>IF($B1050=0,NA(),IF($F1050="",NA(),IF(F$8="",NA(),IF(N(F$8)=0,NA(),IF(Inputs!$C$17="Rebased to 100",$F1050/F$8*100,$F1050)))))</f>
        <v/>
      </c>
      <c r="M1050" s="54">
        <f>IF($B1050=0,NA(),IF($G1050="",NA(),IF(G$8="",NA(),IF(N(G$8)=0,NA(),IF(Inputs!$C$17="Rebased to 100",$G1050/G$8*100,$G1050)))))</f>
        <v/>
      </c>
      <c r="N1050" s="54">
        <f>IF($B1050=0,NA(),IF(Inputs!$C$18&lt;&gt;"Yes",NA(),IF(COUNT(I1050,J1050,K1050,L1050,M1050)=0,NA(),MIN(I1050,J1050,K1050,L1050,M1050))))</f>
        <v/>
      </c>
      <c r="O1050" s="54">
        <f>IF($B1050=0,NA(),IF(Inputs!$B$24&lt;&gt;"Yes",NA(),Inputs!$D$24*Inputs!$C$35))</f>
        <v/>
      </c>
      <c r="P1050" s="54">
        <f>IF($B1050=0,NA(),IF(Inputs!$B$25&lt;&gt;"Yes",NA(),Inputs!$D$25*Inputs!$C$35))</f>
        <v/>
      </c>
      <c r="Q1050" s="54">
        <f>IF($B1050=0,NA(),IF(Inputs!$B$26&lt;&gt;"Yes",NA(),Inputs!$D$26*Inputs!$C$35))</f>
        <v/>
      </c>
      <c r="R1050" s="54">
        <f>IF($B1050=0,NA(),IF(Inputs!$B$27&lt;&gt;"Yes",NA(),Inputs!$D$27*Inputs!$C$35))</f>
        <v/>
      </c>
      <c r="S1050" s="54">
        <f>IF($B1050=0,NA(),IF(Inputs!$B$28&lt;&gt;"Yes",NA(),Inputs!$D$28*Inputs!$C$35))</f>
        <v/>
      </c>
      <c r="T1050" s="54">
        <f>IF($B1050=0,NA(),IF(Inputs!$B$29&lt;&gt;"Yes",NA(),Inputs!$D$29*Inputs!$C$35))</f>
        <v/>
      </c>
      <c r="AD1050">
        <f>IF($B1050=0,0,IF(Inputs!$B$6="",0,COUNTIFS(Data!$A$10:$A$3209,"&gt;="&amp;$A1050,Data!$A$10:$A$3209,"&lt;"&amp;$A1050+1)))</f>
        <v/>
      </c>
      <c r="AE1050">
        <f>IF($B1050=0,0,IF(Inputs!$B$7="",0,COUNTIFS(Data!$E$10:$E$3209,"&gt;="&amp;$A1050,Data!$E$10:$E$3209,"&lt;"&amp;$A1050+1)))</f>
        <v/>
      </c>
      <c r="AF1050">
        <f>IF($B1050=0,0,IF(Inputs!$B$8="",0,COUNTIFS(Data!$I$10:$I$3209,"&gt;="&amp;$A1050,Data!$I$10:$I$3209,"&lt;"&amp;$A1050+1)))</f>
        <v/>
      </c>
      <c r="AG1050">
        <f>IF($B1050=0,0,IF(Inputs!$B$9="",0,COUNTIFS(Data!$M$10:$M$3209,"&gt;="&amp;$A1050,Data!$M$10:$M$3209,"&lt;"&amp;$A1050+1)))</f>
        <v/>
      </c>
      <c r="AH1050">
        <f>IF($B1050=0,0,IF(Inputs!$B$10="",0,COUNTIFS(Data!$Q$10:$Q$3209,"&gt;="&amp;$A1050,Data!$Q$10:$Q$3209,"&lt;"&amp;$A1050+1)))</f>
        <v/>
      </c>
    </row>
    <row r="1051">
      <c r="A1051" s="55">
        <f>MIN(Inputs!$C$15,$A1050+IF(WEEKDAY($A1050,2)=5,3,1))</f>
        <v/>
      </c>
      <c r="B1051">
        <f>IF($A1051&gt;$A1050,1,0)</f>
        <v/>
      </c>
      <c r="C1051" s="56">
        <f>IF($B1051=0,"",IF(Inputs!$B$6="","",IF($AD1051=0,C1050,SUMIFS(Data!$B$10:$B$3209,Data!$A$10:$A$3209,"&gt;="&amp;$A1051,Data!$A$10:$A$3209,"&lt;"&amp;$A1051+1)/$AD1051)))</f>
        <v/>
      </c>
      <c r="D1051" s="56">
        <f>IF($B1051=0,"",IF(Inputs!$B$7="","",IF($AE1051=0,D1050,SUMIFS(Data!$F$10:$F$3209,Data!$E$10:$E$3209,"&gt;="&amp;$A1051,Data!$E$10:$E$3209,"&lt;"&amp;$A1051+1)/$AE1051)))</f>
        <v/>
      </c>
      <c r="E1051" s="56">
        <f>IF($B1051=0,"",IF(Inputs!$B$8="","",IF($AF1051=0,E1050,SUMIFS(Data!$J$10:$J$3209,Data!$I$10:$I$3209,"&gt;="&amp;$A1051,Data!$I$10:$I$3209,"&lt;"&amp;$A1051+1)/$AF1051)))</f>
        <v/>
      </c>
      <c r="F1051" s="56">
        <f>IF($B1051=0,"",IF(Inputs!$B$9="","",IF($AG1051=0,F1050,SUMIFS(Data!$N$10:$N$3209,Data!$M$10:$M$3209,"&gt;="&amp;$A1051,Data!$M$10:$M$3209,"&lt;"&amp;$A1051+1)/$AG1051)))</f>
        <v/>
      </c>
      <c r="G1051" s="56">
        <f>IF($B1051=0,"",IF(Inputs!$B$10="","",IF($AH1051=0,G1050,SUMIFS(Data!$R$10:$R$3209,Data!$Q$10:$Q$3209,"&gt;="&amp;$A1051,Data!$Q$10:$Q$3209,"&lt;"&amp;$A1051+1)/$AH1051)))</f>
        <v/>
      </c>
      <c r="I1051" s="54">
        <f>IF($B1051=0,NA(),IF($C1051="",NA(),IF(C$8="",NA(),IF(N(C$8)=0,NA(),IF(Inputs!$C$17="Rebased to 100",$C1051/C$8*100,$C1051)))))</f>
        <v/>
      </c>
      <c r="J1051" s="54">
        <f>IF($B1051=0,NA(),IF($D1051="",NA(),IF(D$8="",NA(),IF(N(D$8)=0,NA(),IF(Inputs!$C$17="Rebased to 100",$D1051/D$8*100,$D1051)))))</f>
        <v/>
      </c>
      <c r="K1051" s="54">
        <f>IF($B1051=0,NA(),IF($E1051="",NA(),IF(E$8="",NA(),IF(N(E$8)=0,NA(),IF(Inputs!$C$17="Rebased to 100",$E1051/E$8*100,$E1051)))))</f>
        <v/>
      </c>
      <c r="L1051" s="54">
        <f>IF($B1051=0,NA(),IF($F1051="",NA(),IF(F$8="",NA(),IF(N(F$8)=0,NA(),IF(Inputs!$C$17="Rebased to 100",$F1051/F$8*100,$F1051)))))</f>
        <v/>
      </c>
      <c r="M1051" s="54">
        <f>IF($B1051=0,NA(),IF($G1051="",NA(),IF(G$8="",NA(),IF(N(G$8)=0,NA(),IF(Inputs!$C$17="Rebased to 100",$G1051/G$8*100,$G1051)))))</f>
        <v/>
      </c>
      <c r="N1051" s="54">
        <f>IF($B1051=0,NA(),IF(Inputs!$C$18&lt;&gt;"Yes",NA(),IF(COUNT(I1051,J1051,K1051,L1051,M1051)=0,NA(),MIN(I1051,J1051,K1051,L1051,M1051))))</f>
        <v/>
      </c>
      <c r="O1051" s="54">
        <f>IF($B1051=0,NA(),IF(Inputs!$B$24&lt;&gt;"Yes",NA(),Inputs!$D$24*Inputs!$C$35))</f>
        <v/>
      </c>
      <c r="P1051" s="54">
        <f>IF($B1051=0,NA(),IF(Inputs!$B$25&lt;&gt;"Yes",NA(),Inputs!$D$25*Inputs!$C$35))</f>
        <v/>
      </c>
      <c r="Q1051" s="54">
        <f>IF($B1051=0,NA(),IF(Inputs!$B$26&lt;&gt;"Yes",NA(),Inputs!$D$26*Inputs!$C$35))</f>
        <v/>
      </c>
      <c r="R1051" s="54">
        <f>IF($B1051=0,NA(),IF(Inputs!$B$27&lt;&gt;"Yes",NA(),Inputs!$D$27*Inputs!$C$35))</f>
        <v/>
      </c>
      <c r="S1051" s="54">
        <f>IF($B1051=0,NA(),IF(Inputs!$B$28&lt;&gt;"Yes",NA(),Inputs!$D$28*Inputs!$C$35))</f>
        <v/>
      </c>
      <c r="T1051" s="54">
        <f>IF($B1051=0,NA(),IF(Inputs!$B$29&lt;&gt;"Yes",NA(),Inputs!$D$29*Inputs!$C$35))</f>
        <v/>
      </c>
      <c r="AD1051">
        <f>IF($B1051=0,0,IF(Inputs!$B$6="",0,COUNTIFS(Data!$A$10:$A$3209,"&gt;="&amp;$A1051,Data!$A$10:$A$3209,"&lt;"&amp;$A1051+1)))</f>
        <v/>
      </c>
      <c r="AE1051">
        <f>IF($B1051=0,0,IF(Inputs!$B$7="",0,COUNTIFS(Data!$E$10:$E$3209,"&gt;="&amp;$A1051,Data!$E$10:$E$3209,"&lt;"&amp;$A1051+1)))</f>
        <v/>
      </c>
      <c r="AF1051">
        <f>IF($B1051=0,0,IF(Inputs!$B$8="",0,COUNTIFS(Data!$I$10:$I$3209,"&gt;="&amp;$A1051,Data!$I$10:$I$3209,"&lt;"&amp;$A1051+1)))</f>
        <v/>
      </c>
      <c r="AG1051">
        <f>IF($B1051=0,0,IF(Inputs!$B$9="",0,COUNTIFS(Data!$M$10:$M$3209,"&gt;="&amp;$A1051,Data!$M$10:$M$3209,"&lt;"&amp;$A1051+1)))</f>
        <v/>
      </c>
      <c r="AH1051">
        <f>IF($B1051=0,0,IF(Inputs!$B$10="",0,COUNTIFS(Data!$Q$10:$Q$3209,"&gt;="&amp;$A1051,Data!$Q$10:$Q$3209,"&lt;"&amp;$A1051+1)))</f>
        <v/>
      </c>
    </row>
    <row r="1052">
      <c r="A1052" s="55">
        <f>MIN(Inputs!$C$15,$A1051+IF(WEEKDAY($A1051,2)=5,3,1))</f>
        <v/>
      </c>
      <c r="B1052">
        <f>IF($A1052&gt;$A1051,1,0)</f>
        <v/>
      </c>
      <c r="C1052" s="56">
        <f>IF($B1052=0,"",IF(Inputs!$B$6="","",IF($AD1052=0,C1051,SUMIFS(Data!$B$10:$B$3209,Data!$A$10:$A$3209,"&gt;="&amp;$A1052,Data!$A$10:$A$3209,"&lt;"&amp;$A1052+1)/$AD1052)))</f>
        <v/>
      </c>
      <c r="D1052" s="56">
        <f>IF($B1052=0,"",IF(Inputs!$B$7="","",IF($AE1052=0,D1051,SUMIFS(Data!$F$10:$F$3209,Data!$E$10:$E$3209,"&gt;="&amp;$A1052,Data!$E$10:$E$3209,"&lt;"&amp;$A1052+1)/$AE1052)))</f>
        <v/>
      </c>
      <c r="E1052" s="56">
        <f>IF($B1052=0,"",IF(Inputs!$B$8="","",IF($AF1052=0,E1051,SUMIFS(Data!$J$10:$J$3209,Data!$I$10:$I$3209,"&gt;="&amp;$A1052,Data!$I$10:$I$3209,"&lt;"&amp;$A1052+1)/$AF1052)))</f>
        <v/>
      </c>
      <c r="F1052" s="56">
        <f>IF($B1052=0,"",IF(Inputs!$B$9="","",IF($AG1052=0,F1051,SUMIFS(Data!$N$10:$N$3209,Data!$M$10:$M$3209,"&gt;="&amp;$A1052,Data!$M$10:$M$3209,"&lt;"&amp;$A1052+1)/$AG1052)))</f>
        <v/>
      </c>
      <c r="G1052" s="56">
        <f>IF($B1052=0,"",IF(Inputs!$B$10="","",IF($AH1052=0,G1051,SUMIFS(Data!$R$10:$R$3209,Data!$Q$10:$Q$3209,"&gt;="&amp;$A1052,Data!$Q$10:$Q$3209,"&lt;"&amp;$A1052+1)/$AH1052)))</f>
        <v/>
      </c>
      <c r="I1052" s="54">
        <f>IF($B1052=0,NA(),IF($C1052="",NA(),IF(C$8="",NA(),IF(N(C$8)=0,NA(),IF(Inputs!$C$17="Rebased to 100",$C1052/C$8*100,$C1052)))))</f>
        <v/>
      </c>
      <c r="J1052" s="54">
        <f>IF($B1052=0,NA(),IF($D1052="",NA(),IF(D$8="",NA(),IF(N(D$8)=0,NA(),IF(Inputs!$C$17="Rebased to 100",$D1052/D$8*100,$D1052)))))</f>
        <v/>
      </c>
      <c r="K1052" s="54">
        <f>IF($B1052=0,NA(),IF($E1052="",NA(),IF(E$8="",NA(),IF(N(E$8)=0,NA(),IF(Inputs!$C$17="Rebased to 100",$E1052/E$8*100,$E1052)))))</f>
        <v/>
      </c>
      <c r="L1052" s="54">
        <f>IF($B1052=0,NA(),IF($F1052="",NA(),IF(F$8="",NA(),IF(N(F$8)=0,NA(),IF(Inputs!$C$17="Rebased to 100",$F1052/F$8*100,$F1052)))))</f>
        <v/>
      </c>
      <c r="M1052" s="54">
        <f>IF($B1052=0,NA(),IF($G1052="",NA(),IF(G$8="",NA(),IF(N(G$8)=0,NA(),IF(Inputs!$C$17="Rebased to 100",$G1052/G$8*100,$G1052)))))</f>
        <v/>
      </c>
      <c r="N1052" s="54">
        <f>IF($B1052=0,NA(),IF(Inputs!$C$18&lt;&gt;"Yes",NA(),IF(COUNT(I1052,J1052,K1052,L1052,M1052)=0,NA(),MIN(I1052,J1052,K1052,L1052,M1052))))</f>
        <v/>
      </c>
      <c r="O1052" s="54">
        <f>IF($B1052=0,NA(),IF(Inputs!$B$24&lt;&gt;"Yes",NA(),Inputs!$D$24*Inputs!$C$35))</f>
        <v/>
      </c>
      <c r="P1052" s="54">
        <f>IF($B1052=0,NA(),IF(Inputs!$B$25&lt;&gt;"Yes",NA(),Inputs!$D$25*Inputs!$C$35))</f>
        <v/>
      </c>
      <c r="Q1052" s="54">
        <f>IF($B1052=0,NA(),IF(Inputs!$B$26&lt;&gt;"Yes",NA(),Inputs!$D$26*Inputs!$C$35))</f>
        <v/>
      </c>
      <c r="R1052" s="54">
        <f>IF($B1052=0,NA(),IF(Inputs!$B$27&lt;&gt;"Yes",NA(),Inputs!$D$27*Inputs!$C$35))</f>
        <v/>
      </c>
      <c r="S1052" s="54">
        <f>IF($B1052=0,NA(),IF(Inputs!$B$28&lt;&gt;"Yes",NA(),Inputs!$D$28*Inputs!$C$35))</f>
        <v/>
      </c>
      <c r="T1052" s="54">
        <f>IF($B1052=0,NA(),IF(Inputs!$B$29&lt;&gt;"Yes",NA(),Inputs!$D$29*Inputs!$C$35))</f>
        <v/>
      </c>
      <c r="AD1052">
        <f>IF($B1052=0,0,IF(Inputs!$B$6="",0,COUNTIFS(Data!$A$10:$A$3209,"&gt;="&amp;$A1052,Data!$A$10:$A$3209,"&lt;"&amp;$A1052+1)))</f>
        <v/>
      </c>
      <c r="AE1052">
        <f>IF($B1052=0,0,IF(Inputs!$B$7="",0,COUNTIFS(Data!$E$10:$E$3209,"&gt;="&amp;$A1052,Data!$E$10:$E$3209,"&lt;"&amp;$A1052+1)))</f>
        <v/>
      </c>
      <c r="AF1052">
        <f>IF($B1052=0,0,IF(Inputs!$B$8="",0,COUNTIFS(Data!$I$10:$I$3209,"&gt;="&amp;$A1052,Data!$I$10:$I$3209,"&lt;"&amp;$A1052+1)))</f>
        <v/>
      </c>
      <c r="AG1052">
        <f>IF($B1052=0,0,IF(Inputs!$B$9="",0,COUNTIFS(Data!$M$10:$M$3209,"&gt;="&amp;$A1052,Data!$M$10:$M$3209,"&lt;"&amp;$A1052+1)))</f>
        <v/>
      </c>
      <c r="AH1052">
        <f>IF($B1052=0,0,IF(Inputs!$B$10="",0,COUNTIFS(Data!$Q$10:$Q$3209,"&gt;="&amp;$A1052,Data!$Q$10:$Q$3209,"&lt;"&amp;$A1052+1)))</f>
        <v/>
      </c>
    </row>
    <row r="1053">
      <c r="A1053" s="55">
        <f>MIN(Inputs!$C$15,$A1052+IF(WEEKDAY($A1052,2)=5,3,1))</f>
        <v/>
      </c>
      <c r="B1053">
        <f>IF($A1053&gt;$A1052,1,0)</f>
        <v/>
      </c>
      <c r="C1053" s="56">
        <f>IF($B1053=0,"",IF(Inputs!$B$6="","",IF($AD1053=0,C1052,SUMIFS(Data!$B$10:$B$3209,Data!$A$10:$A$3209,"&gt;="&amp;$A1053,Data!$A$10:$A$3209,"&lt;"&amp;$A1053+1)/$AD1053)))</f>
        <v/>
      </c>
      <c r="D1053" s="56">
        <f>IF($B1053=0,"",IF(Inputs!$B$7="","",IF($AE1053=0,D1052,SUMIFS(Data!$F$10:$F$3209,Data!$E$10:$E$3209,"&gt;="&amp;$A1053,Data!$E$10:$E$3209,"&lt;"&amp;$A1053+1)/$AE1053)))</f>
        <v/>
      </c>
      <c r="E1053" s="56">
        <f>IF($B1053=0,"",IF(Inputs!$B$8="","",IF($AF1053=0,E1052,SUMIFS(Data!$J$10:$J$3209,Data!$I$10:$I$3209,"&gt;="&amp;$A1053,Data!$I$10:$I$3209,"&lt;"&amp;$A1053+1)/$AF1053)))</f>
        <v/>
      </c>
      <c r="F1053" s="56">
        <f>IF($B1053=0,"",IF(Inputs!$B$9="","",IF($AG1053=0,F1052,SUMIFS(Data!$N$10:$N$3209,Data!$M$10:$M$3209,"&gt;="&amp;$A1053,Data!$M$10:$M$3209,"&lt;"&amp;$A1053+1)/$AG1053)))</f>
        <v/>
      </c>
      <c r="G1053" s="56">
        <f>IF($B1053=0,"",IF(Inputs!$B$10="","",IF($AH1053=0,G1052,SUMIFS(Data!$R$10:$R$3209,Data!$Q$10:$Q$3209,"&gt;="&amp;$A1053,Data!$Q$10:$Q$3209,"&lt;"&amp;$A1053+1)/$AH1053)))</f>
        <v/>
      </c>
      <c r="I1053" s="54">
        <f>IF($B1053=0,NA(),IF($C1053="",NA(),IF(C$8="",NA(),IF(N(C$8)=0,NA(),IF(Inputs!$C$17="Rebased to 100",$C1053/C$8*100,$C1053)))))</f>
        <v/>
      </c>
      <c r="J1053" s="54">
        <f>IF($B1053=0,NA(),IF($D1053="",NA(),IF(D$8="",NA(),IF(N(D$8)=0,NA(),IF(Inputs!$C$17="Rebased to 100",$D1053/D$8*100,$D1053)))))</f>
        <v/>
      </c>
      <c r="K1053" s="54">
        <f>IF($B1053=0,NA(),IF($E1053="",NA(),IF(E$8="",NA(),IF(N(E$8)=0,NA(),IF(Inputs!$C$17="Rebased to 100",$E1053/E$8*100,$E1053)))))</f>
        <v/>
      </c>
      <c r="L1053" s="54">
        <f>IF($B1053=0,NA(),IF($F1053="",NA(),IF(F$8="",NA(),IF(N(F$8)=0,NA(),IF(Inputs!$C$17="Rebased to 100",$F1053/F$8*100,$F1053)))))</f>
        <v/>
      </c>
      <c r="M1053" s="54">
        <f>IF($B1053=0,NA(),IF($G1053="",NA(),IF(G$8="",NA(),IF(N(G$8)=0,NA(),IF(Inputs!$C$17="Rebased to 100",$G1053/G$8*100,$G1053)))))</f>
        <v/>
      </c>
      <c r="N1053" s="54">
        <f>IF($B1053=0,NA(),IF(Inputs!$C$18&lt;&gt;"Yes",NA(),IF(COUNT(I1053,J1053,K1053,L1053,M1053)=0,NA(),MIN(I1053,J1053,K1053,L1053,M1053))))</f>
        <v/>
      </c>
      <c r="O1053" s="54">
        <f>IF($B1053=0,NA(),IF(Inputs!$B$24&lt;&gt;"Yes",NA(),Inputs!$D$24*Inputs!$C$35))</f>
        <v/>
      </c>
      <c r="P1053" s="54">
        <f>IF($B1053=0,NA(),IF(Inputs!$B$25&lt;&gt;"Yes",NA(),Inputs!$D$25*Inputs!$C$35))</f>
        <v/>
      </c>
      <c r="Q1053" s="54">
        <f>IF($B1053=0,NA(),IF(Inputs!$B$26&lt;&gt;"Yes",NA(),Inputs!$D$26*Inputs!$C$35))</f>
        <v/>
      </c>
      <c r="R1053" s="54">
        <f>IF($B1053=0,NA(),IF(Inputs!$B$27&lt;&gt;"Yes",NA(),Inputs!$D$27*Inputs!$C$35))</f>
        <v/>
      </c>
      <c r="S1053" s="54">
        <f>IF($B1053=0,NA(),IF(Inputs!$B$28&lt;&gt;"Yes",NA(),Inputs!$D$28*Inputs!$C$35))</f>
        <v/>
      </c>
      <c r="T1053" s="54">
        <f>IF($B1053=0,NA(),IF(Inputs!$B$29&lt;&gt;"Yes",NA(),Inputs!$D$29*Inputs!$C$35))</f>
        <v/>
      </c>
      <c r="AD1053">
        <f>IF($B1053=0,0,IF(Inputs!$B$6="",0,COUNTIFS(Data!$A$10:$A$3209,"&gt;="&amp;$A1053,Data!$A$10:$A$3209,"&lt;"&amp;$A1053+1)))</f>
        <v/>
      </c>
      <c r="AE1053">
        <f>IF($B1053=0,0,IF(Inputs!$B$7="",0,COUNTIFS(Data!$E$10:$E$3209,"&gt;="&amp;$A1053,Data!$E$10:$E$3209,"&lt;"&amp;$A1053+1)))</f>
        <v/>
      </c>
      <c r="AF1053">
        <f>IF($B1053=0,0,IF(Inputs!$B$8="",0,COUNTIFS(Data!$I$10:$I$3209,"&gt;="&amp;$A1053,Data!$I$10:$I$3209,"&lt;"&amp;$A1053+1)))</f>
        <v/>
      </c>
      <c r="AG1053">
        <f>IF($B1053=0,0,IF(Inputs!$B$9="",0,COUNTIFS(Data!$M$10:$M$3209,"&gt;="&amp;$A1053,Data!$M$10:$M$3209,"&lt;"&amp;$A1053+1)))</f>
        <v/>
      </c>
      <c r="AH1053">
        <f>IF($B1053=0,0,IF(Inputs!$B$10="",0,COUNTIFS(Data!$Q$10:$Q$3209,"&gt;="&amp;$A1053,Data!$Q$10:$Q$3209,"&lt;"&amp;$A1053+1)))</f>
        <v/>
      </c>
    </row>
    <row r="1054">
      <c r="A1054" s="55">
        <f>MIN(Inputs!$C$15,$A1053+IF(WEEKDAY($A1053,2)=5,3,1))</f>
        <v/>
      </c>
      <c r="B1054">
        <f>IF($A1054&gt;$A1053,1,0)</f>
        <v/>
      </c>
      <c r="C1054" s="56">
        <f>IF($B1054=0,"",IF(Inputs!$B$6="","",IF($AD1054=0,C1053,SUMIFS(Data!$B$10:$B$3209,Data!$A$10:$A$3209,"&gt;="&amp;$A1054,Data!$A$10:$A$3209,"&lt;"&amp;$A1054+1)/$AD1054)))</f>
        <v/>
      </c>
      <c r="D1054" s="56">
        <f>IF($B1054=0,"",IF(Inputs!$B$7="","",IF($AE1054=0,D1053,SUMIFS(Data!$F$10:$F$3209,Data!$E$10:$E$3209,"&gt;="&amp;$A1054,Data!$E$10:$E$3209,"&lt;"&amp;$A1054+1)/$AE1054)))</f>
        <v/>
      </c>
      <c r="E1054" s="56">
        <f>IF($B1054=0,"",IF(Inputs!$B$8="","",IF($AF1054=0,E1053,SUMIFS(Data!$J$10:$J$3209,Data!$I$10:$I$3209,"&gt;="&amp;$A1054,Data!$I$10:$I$3209,"&lt;"&amp;$A1054+1)/$AF1054)))</f>
        <v/>
      </c>
      <c r="F1054" s="56">
        <f>IF($B1054=0,"",IF(Inputs!$B$9="","",IF($AG1054=0,F1053,SUMIFS(Data!$N$10:$N$3209,Data!$M$10:$M$3209,"&gt;="&amp;$A1054,Data!$M$10:$M$3209,"&lt;"&amp;$A1054+1)/$AG1054)))</f>
        <v/>
      </c>
      <c r="G1054" s="56">
        <f>IF($B1054=0,"",IF(Inputs!$B$10="","",IF($AH1054=0,G1053,SUMIFS(Data!$R$10:$R$3209,Data!$Q$10:$Q$3209,"&gt;="&amp;$A1054,Data!$Q$10:$Q$3209,"&lt;"&amp;$A1054+1)/$AH1054)))</f>
        <v/>
      </c>
      <c r="I1054" s="54">
        <f>IF($B1054=0,NA(),IF($C1054="",NA(),IF(C$8="",NA(),IF(N(C$8)=0,NA(),IF(Inputs!$C$17="Rebased to 100",$C1054/C$8*100,$C1054)))))</f>
        <v/>
      </c>
      <c r="J1054" s="54">
        <f>IF($B1054=0,NA(),IF($D1054="",NA(),IF(D$8="",NA(),IF(N(D$8)=0,NA(),IF(Inputs!$C$17="Rebased to 100",$D1054/D$8*100,$D1054)))))</f>
        <v/>
      </c>
      <c r="K1054" s="54">
        <f>IF($B1054=0,NA(),IF($E1054="",NA(),IF(E$8="",NA(),IF(N(E$8)=0,NA(),IF(Inputs!$C$17="Rebased to 100",$E1054/E$8*100,$E1054)))))</f>
        <v/>
      </c>
      <c r="L1054" s="54">
        <f>IF($B1054=0,NA(),IF($F1054="",NA(),IF(F$8="",NA(),IF(N(F$8)=0,NA(),IF(Inputs!$C$17="Rebased to 100",$F1054/F$8*100,$F1054)))))</f>
        <v/>
      </c>
      <c r="M1054" s="54">
        <f>IF($B1054=0,NA(),IF($G1054="",NA(),IF(G$8="",NA(),IF(N(G$8)=0,NA(),IF(Inputs!$C$17="Rebased to 100",$G1054/G$8*100,$G1054)))))</f>
        <v/>
      </c>
      <c r="N1054" s="54">
        <f>IF($B1054=0,NA(),IF(Inputs!$C$18&lt;&gt;"Yes",NA(),IF(COUNT(I1054,J1054,K1054,L1054,M1054)=0,NA(),MIN(I1054,J1054,K1054,L1054,M1054))))</f>
        <v/>
      </c>
      <c r="O1054" s="54">
        <f>IF($B1054=0,NA(),IF(Inputs!$B$24&lt;&gt;"Yes",NA(),Inputs!$D$24*Inputs!$C$35))</f>
        <v/>
      </c>
      <c r="P1054" s="54">
        <f>IF($B1054=0,NA(),IF(Inputs!$B$25&lt;&gt;"Yes",NA(),Inputs!$D$25*Inputs!$C$35))</f>
        <v/>
      </c>
      <c r="Q1054" s="54">
        <f>IF($B1054=0,NA(),IF(Inputs!$B$26&lt;&gt;"Yes",NA(),Inputs!$D$26*Inputs!$C$35))</f>
        <v/>
      </c>
      <c r="R1054" s="54">
        <f>IF($B1054=0,NA(),IF(Inputs!$B$27&lt;&gt;"Yes",NA(),Inputs!$D$27*Inputs!$C$35))</f>
        <v/>
      </c>
      <c r="S1054" s="54">
        <f>IF($B1054=0,NA(),IF(Inputs!$B$28&lt;&gt;"Yes",NA(),Inputs!$D$28*Inputs!$C$35))</f>
        <v/>
      </c>
      <c r="T1054" s="54">
        <f>IF($B1054=0,NA(),IF(Inputs!$B$29&lt;&gt;"Yes",NA(),Inputs!$D$29*Inputs!$C$35))</f>
        <v/>
      </c>
      <c r="AD1054">
        <f>IF($B1054=0,0,IF(Inputs!$B$6="",0,COUNTIFS(Data!$A$10:$A$3209,"&gt;="&amp;$A1054,Data!$A$10:$A$3209,"&lt;"&amp;$A1054+1)))</f>
        <v/>
      </c>
      <c r="AE1054">
        <f>IF($B1054=0,0,IF(Inputs!$B$7="",0,COUNTIFS(Data!$E$10:$E$3209,"&gt;="&amp;$A1054,Data!$E$10:$E$3209,"&lt;"&amp;$A1054+1)))</f>
        <v/>
      </c>
      <c r="AF1054">
        <f>IF($B1054=0,0,IF(Inputs!$B$8="",0,COUNTIFS(Data!$I$10:$I$3209,"&gt;="&amp;$A1054,Data!$I$10:$I$3209,"&lt;"&amp;$A1054+1)))</f>
        <v/>
      </c>
      <c r="AG1054">
        <f>IF($B1054=0,0,IF(Inputs!$B$9="",0,COUNTIFS(Data!$M$10:$M$3209,"&gt;="&amp;$A1054,Data!$M$10:$M$3209,"&lt;"&amp;$A1054+1)))</f>
        <v/>
      </c>
      <c r="AH1054">
        <f>IF($B1054=0,0,IF(Inputs!$B$10="",0,COUNTIFS(Data!$Q$10:$Q$3209,"&gt;="&amp;$A1054,Data!$Q$10:$Q$3209,"&lt;"&amp;$A1054+1)))</f>
        <v/>
      </c>
    </row>
    <row r="1055">
      <c r="A1055" s="55">
        <f>MIN(Inputs!$C$15,$A1054+IF(WEEKDAY($A1054,2)=5,3,1))</f>
        <v/>
      </c>
      <c r="B1055">
        <f>IF($A1055&gt;$A1054,1,0)</f>
        <v/>
      </c>
      <c r="C1055" s="56">
        <f>IF($B1055=0,"",IF(Inputs!$B$6="","",IF($AD1055=0,C1054,SUMIFS(Data!$B$10:$B$3209,Data!$A$10:$A$3209,"&gt;="&amp;$A1055,Data!$A$10:$A$3209,"&lt;"&amp;$A1055+1)/$AD1055)))</f>
        <v/>
      </c>
      <c r="D1055" s="56">
        <f>IF($B1055=0,"",IF(Inputs!$B$7="","",IF($AE1055=0,D1054,SUMIFS(Data!$F$10:$F$3209,Data!$E$10:$E$3209,"&gt;="&amp;$A1055,Data!$E$10:$E$3209,"&lt;"&amp;$A1055+1)/$AE1055)))</f>
        <v/>
      </c>
      <c r="E1055" s="56">
        <f>IF($B1055=0,"",IF(Inputs!$B$8="","",IF($AF1055=0,E1054,SUMIFS(Data!$J$10:$J$3209,Data!$I$10:$I$3209,"&gt;="&amp;$A1055,Data!$I$10:$I$3209,"&lt;"&amp;$A1055+1)/$AF1055)))</f>
        <v/>
      </c>
      <c r="F1055" s="56">
        <f>IF($B1055=0,"",IF(Inputs!$B$9="","",IF($AG1055=0,F1054,SUMIFS(Data!$N$10:$N$3209,Data!$M$10:$M$3209,"&gt;="&amp;$A1055,Data!$M$10:$M$3209,"&lt;"&amp;$A1055+1)/$AG1055)))</f>
        <v/>
      </c>
      <c r="G1055" s="56">
        <f>IF($B1055=0,"",IF(Inputs!$B$10="","",IF($AH1055=0,G1054,SUMIFS(Data!$R$10:$R$3209,Data!$Q$10:$Q$3209,"&gt;="&amp;$A1055,Data!$Q$10:$Q$3209,"&lt;"&amp;$A1055+1)/$AH1055)))</f>
        <v/>
      </c>
      <c r="I1055" s="54">
        <f>IF($B1055=0,NA(),IF($C1055="",NA(),IF(C$8="",NA(),IF(N(C$8)=0,NA(),IF(Inputs!$C$17="Rebased to 100",$C1055/C$8*100,$C1055)))))</f>
        <v/>
      </c>
      <c r="J1055" s="54">
        <f>IF($B1055=0,NA(),IF($D1055="",NA(),IF(D$8="",NA(),IF(N(D$8)=0,NA(),IF(Inputs!$C$17="Rebased to 100",$D1055/D$8*100,$D1055)))))</f>
        <v/>
      </c>
      <c r="K1055" s="54">
        <f>IF($B1055=0,NA(),IF($E1055="",NA(),IF(E$8="",NA(),IF(N(E$8)=0,NA(),IF(Inputs!$C$17="Rebased to 100",$E1055/E$8*100,$E1055)))))</f>
        <v/>
      </c>
      <c r="L1055" s="54">
        <f>IF($B1055=0,NA(),IF($F1055="",NA(),IF(F$8="",NA(),IF(N(F$8)=0,NA(),IF(Inputs!$C$17="Rebased to 100",$F1055/F$8*100,$F1055)))))</f>
        <v/>
      </c>
      <c r="M1055" s="54">
        <f>IF($B1055=0,NA(),IF($G1055="",NA(),IF(G$8="",NA(),IF(N(G$8)=0,NA(),IF(Inputs!$C$17="Rebased to 100",$G1055/G$8*100,$G1055)))))</f>
        <v/>
      </c>
      <c r="N1055" s="54">
        <f>IF($B1055=0,NA(),IF(Inputs!$C$18&lt;&gt;"Yes",NA(),IF(COUNT(I1055,J1055,K1055,L1055,M1055)=0,NA(),MIN(I1055,J1055,K1055,L1055,M1055))))</f>
        <v/>
      </c>
      <c r="O1055" s="54">
        <f>IF($B1055=0,NA(),IF(Inputs!$B$24&lt;&gt;"Yes",NA(),Inputs!$D$24*Inputs!$C$35))</f>
        <v/>
      </c>
      <c r="P1055" s="54">
        <f>IF($B1055=0,NA(),IF(Inputs!$B$25&lt;&gt;"Yes",NA(),Inputs!$D$25*Inputs!$C$35))</f>
        <v/>
      </c>
      <c r="Q1055" s="54">
        <f>IF($B1055=0,NA(),IF(Inputs!$B$26&lt;&gt;"Yes",NA(),Inputs!$D$26*Inputs!$C$35))</f>
        <v/>
      </c>
      <c r="R1055" s="54">
        <f>IF($B1055=0,NA(),IF(Inputs!$B$27&lt;&gt;"Yes",NA(),Inputs!$D$27*Inputs!$C$35))</f>
        <v/>
      </c>
      <c r="S1055" s="54">
        <f>IF($B1055=0,NA(),IF(Inputs!$B$28&lt;&gt;"Yes",NA(),Inputs!$D$28*Inputs!$C$35))</f>
        <v/>
      </c>
      <c r="T1055" s="54">
        <f>IF($B1055=0,NA(),IF(Inputs!$B$29&lt;&gt;"Yes",NA(),Inputs!$D$29*Inputs!$C$35))</f>
        <v/>
      </c>
      <c r="AD1055">
        <f>IF($B1055=0,0,IF(Inputs!$B$6="",0,COUNTIFS(Data!$A$10:$A$3209,"&gt;="&amp;$A1055,Data!$A$10:$A$3209,"&lt;"&amp;$A1055+1)))</f>
        <v/>
      </c>
      <c r="AE1055">
        <f>IF($B1055=0,0,IF(Inputs!$B$7="",0,COUNTIFS(Data!$E$10:$E$3209,"&gt;="&amp;$A1055,Data!$E$10:$E$3209,"&lt;"&amp;$A1055+1)))</f>
        <v/>
      </c>
      <c r="AF1055">
        <f>IF($B1055=0,0,IF(Inputs!$B$8="",0,COUNTIFS(Data!$I$10:$I$3209,"&gt;="&amp;$A1055,Data!$I$10:$I$3209,"&lt;"&amp;$A1055+1)))</f>
        <v/>
      </c>
      <c r="AG1055">
        <f>IF($B1055=0,0,IF(Inputs!$B$9="",0,COUNTIFS(Data!$M$10:$M$3209,"&gt;="&amp;$A1055,Data!$M$10:$M$3209,"&lt;"&amp;$A1055+1)))</f>
        <v/>
      </c>
      <c r="AH1055">
        <f>IF($B1055=0,0,IF(Inputs!$B$10="",0,COUNTIFS(Data!$Q$10:$Q$3209,"&gt;="&amp;$A1055,Data!$Q$10:$Q$3209,"&lt;"&amp;$A1055+1)))</f>
        <v/>
      </c>
    </row>
    <row r="1056">
      <c r="A1056" s="55">
        <f>MIN(Inputs!$C$15,$A1055+IF(WEEKDAY($A1055,2)=5,3,1))</f>
        <v/>
      </c>
      <c r="B1056">
        <f>IF($A1056&gt;$A1055,1,0)</f>
        <v/>
      </c>
      <c r="C1056" s="56">
        <f>IF($B1056=0,"",IF(Inputs!$B$6="","",IF($AD1056=0,C1055,SUMIFS(Data!$B$10:$B$3209,Data!$A$10:$A$3209,"&gt;="&amp;$A1056,Data!$A$10:$A$3209,"&lt;"&amp;$A1056+1)/$AD1056)))</f>
        <v/>
      </c>
      <c r="D1056" s="56">
        <f>IF($B1056=0,"",IF(Inputs!$B$7="","",IF($AE1056=0,D1055,SUMIFS(Data!$F$10:$F$3209,Data!$E$10:$E$3209,"&gt;="&amp;$A1056,Data!$E$10:$E$3209,"&lt;"&amp;$A1056+1)/$AE1056)))</f>
        <v/>
      </c>
      <c r="E1056" s="56">
        <f>IF($B1056=0,"",IF(Inputs!$B$8="","",IF($AF1056=0,E1055,SUMIFS(Data!$J$10:$J$3209,Data!$I$10:$I$3209,"&gt;="&amp;$A1056,Data!$I$10:$I$3209,"&lt;"&amp;$A1056+1)/$AF1056)))</f>
        <v/>
      </c>
      <c r="F1056" s="56">
        <f>IF($B1056=0,"",IF(Inputs!$B$9="","",IF($AG1056=0,F1055,SUMIFS(Data!$N$10:$N$3209,Data!$M$10:$M$3209,"&gt;="&amp;$A1056,Data!$M$10:$M$3209,"&lt;"&amp;$A1056+1)/$AG1056)))</f>
        <v/>
      </c>
      <c r="G1056" s="56">
        <f>IF($B1056=0,"",IF(Inputs!$B$10="","",IF($AH1056=0,G1055,SUMIFS(Data!$R$10:$R$3209,Data!$Q$10:$Q$3209,"&gt;="&amp;$A1056,Data!$Q$10:$Q$3209,"&lt;"&amp;$A1056+1)/$AH1056)))</f>
        <v/>
      </c>
      <c r="I1056" s="54">
        <f>IF($B1056=0,NA(),IF($C1056="",NA(),IF(C$8="",NA(),IF(N(C$8)=0,NA(),IF(Inputs!$C$17="Rebased to 100",$C1056/C$8*100,$C1056)))))</f>
        <v/>
      </c>
      <c r="J1056" s="54">
        <f>IF($B1056=0,NA(),IF($D1056="",NA(),IF(D$8="",NA(),IF(N(D$8)=0,NA(),IF(Inputs!$C$17="Rebased to 100",$D1056/D$8*100,$D1056)))))</f>
        <v/>
      </c>
      <c r="K1056" s="54">
        <f>IF($B1056=0,NA(),IF($E1056="",NA(),IF(E$8="",NA(),IF(N(E$8)=0,NA(),IF(Inputs!$C$17="Rebased to 100",$E1056/E$8*100,$E1056)))))</f>
        <v/>
      </c>
      <c r="L1056" s="54">
        <f>IF($B1056=0,NA(),IF($F1056="",NA(),IF(F$8="",NA(),IF(N(F$8)=0,NA(),IF(Inputs!$C$17="Rebased to 100",$F1056/F$8*100,$F1056)))))</f>
        <v/>
      </c>
      <c r="M1056" s="54">
        <f>IF($B1056=0,NA(),IF($G1056="",NA(),IF(G$8="",NA(),IF(N(G$8)=0,NA(),IF(Inputs!$C$17="Rebased to 100",$G1056/G$8*100,$G1056)))))</f>
        <v/>
      </c>
      <c r="N1056" s="54">
        <f>IF($B1056=0,NA(),IF(Inputs!$C$18&lt;&gt;"Yes",NA(),IF(COUNT(I1056,J1056,K1056,L1056,M1056)=0,NA(),MIN(I1056,J1056,K1056,L1056,M1056))))</f>
        <v/>
      </c>
      <c r="O1056" s="54">
        <f>IF($B1056=0,NA(),IF(Inputs!$B$24&lt;&gt;"Yes",NA(),Inputs!$D$24*Inputs!$C$35))</f>
        <v/>
      </c>
      <c r="P1056" s="54">
        <f>IF($B1056=0,NA(),IF(Inputs!$B$25&lt;&gt;"Yes",NA(),Inputs!$D$25*Inputs!$C$35))</f>
        <v/>
      </c>
      <c r="Q1056" s="54">
        <f>IF($B1056=0,NA(),IF(Inputs!$B$26&lt;&gt;"Yes",NA(),Inputs!$D$26*Inputs!$C$35))</f>
        <v/>
      </c>
      <c r="R1056" s="54">
        <f>IF($B1056=0,NA(),IF(Inputs!$B$27&lt;&gt;"Yes",NA(),Inputs!$D$27*Inputs!$C$35))</f>
        <v/>
      </c>
      <c r="S1056" s="54">
        <f>IF($B1056=0,NA(),IF(Inputs!$B$28&lt;&gt;"Yes",NA(),Inputs!$D$28*Inputs!$C$35))</f>
        <v/>
      </c>
      <c r="T1056" s="54">
        <f>IF($B1056=0,NA(),IF(Inputs!$B$29&lt;&gt;"Yes",NA(),Inputs!$D$29*Inputs!$C$35))</f>
        <v/>
      </c>
      <c r="AD1056">
        <f>IF($B1056=0,0,IF(Inputs!$B$6="",0,COUNTIFS(Data!$A$10:$A$3209,"&gt;="&amp;$A1056,Data!$A$10:$A$3209,"&lt;"&amp;$A1056+1)))</f>
        <v/>
      </c>
      <c r="AE1056">
        <f>IF($B1056=0,0,IF(Inputs!$B$7="",0,COUNTIFS(Data!$E$10:$E$3209,"&gt;="&amp;$A1056,Data!$E$10:$E$3209,"&lt;"&amp;$A1056+1)))</f>
        <v/>
      </c>
      <c r="AF1056">
        <f>IF($B1056=0,0,IF(Inputs!$B$8="",0,COUNTIFS(Data!$I$10:$I$3209,"&gt;="&amp;$A1056,Data!$I$10:$I$3209,"&lt;"&amp;$A1056+1)))</f>
        <v/>
      </c>
      <c r="AG1056">
        <f>IF($B1056=0,0,IF(Inputs!$B$9="",0,COUNTIFS(Data!$M$10:$M$3209,"&gt;="&amp;$A1056,Data!$M$10:$M$3209,"&lt;"&amp;$A1056+1)))</f>
        <v/>
      </c>
      <c r="AH1056">
        <f>IF($B1056=0,0,IF(Inputs!$B$10="",0,COUNTIFS(Data!$Q$10:$Q$3209,"&gt;="&amp;$A1056,Data!$Q$10:$Q$3209,"&lt;"&amp;$A1056+1)))</f>
        <v/>
      </c>
    </row>
    <row r="1057">
      <c r="A1057" s="55">
        <f>MIN(Inputs!$C$15,$A1056+IF(WEEKDAY($A1056,2)=5,3,1))</f>
        <v/>
      </c>
      <c r="B1057">
        <f>IF($A1057&gt;$A1056,1,0)</f>
        <v/>
      </c>
      <c r="C1057" s="56">
        <f>IF($B1057=0,"",IF(Inputs!$B$6="","",IF($AD1057=0,C1056,SUMIFS(Data!$B$10:$B$3209,Data!$A$10:$A$3209,"&gt;="&amp;$A1057,Data!$A$10:$A$3209,"&lt;"&amp;$A1057+1)/$AD1057)))</f>
        <v/>
      </c>
      <c r="D1057" s="56">
        <f>IF($B1057=0,"",IF(Inputs!$B$7="","",IF($AE1057=0,D1056,SUMIFS(Data!$F$10:$F$3209,Data!$E$10:$E$3209,"&gt;="&amp;$A1057,Data!$E$10:$E$3209,"&lt;"&amp;$A1057+1)/$AE1057)))</f>
        <v/>
      </c>
      <c r="E1057" s="56">
        <f>IF($B1057=0,"",IF(Inputs!$B$8="","",IF($AF1057=0,E1056,SUMIFS(Data!$J$10:$J$3209,Data!$I$10:$I$3209,"&gt;="&amp;$A1057,Data!$I$10:$I$3209,"&lt;"&amp;$A1057+1)/$AF1057)))</f>
        <v/>
      </c>
      <c r="F1057" s="56">
        <f>IF($B1057=0,"",IF(Inputs!$B$9="","",IF($AG1057=0,F1056,SUMIFS(Data!$N$10:$N$3209,Data!$M$10:$M$3209,"&gt;="&amp;$A1057,Data!$M$10:$M$3209,"&lt;"&amp;$A1057+1)/$AG1057)))</f>
        <v/>
      </c>
      <c r="G1057" s="56">
        <f>IF($B1057=0,"",IF(Inputs!$B$10="","",IF($AH1057=0,G1056,SUMIFS(Data!$R$10:$R$3209,Data!$Q$10:$Q$3209,"&gt;="&amp;$A1057,Data!$Q$10:$Q$3209,"&lt;"&amp;$A1057+1)/$AH1057)))</f>
        <v/>
      </c>
      <c r="I1057" s="54">
        <f>IF($B1057=0,NA(),IF($C1057="",NA(),IF(C$8="",NA(),IF(N(C$8)=0,NA(),IF(Inputs!$C$17="Rebased to 100",$C1057/C$8*100,$C1057)))))</f>
        <v/>
      </c>
      <c r="J1057" s="54">
        <f>IF($B1057=0,NA(),IF($D1057="",NA(),IF(D$8="",NA(),IF(N(D$8)=0,NA(),IF(Inputs!$C$17="Rebased to 100",$D1057/D$8*100,$D1057)))))</f>
        <v/>
      </c>
      <c r="K1057" s="54">
        <f>IF($B1057=0,NA(),IF($E1057="",NA(),IF(E$8="",NA(),IF(N(E$8)=0,NA(),IF(Inputs!$C$17="Rebased to 100",$E1057/E$8*100,$E1057)))))</f>
        <v/>
      </c>
      <c r="L1057" s="54">
        <f>IF($B1057=0,NA(),IF($F1057="",NA(),IF(F$8="",NA(),IF(N(F$8)=0,NA(),IF(Inputs!$C$17="Rebased to 100",$F1057/F$8*100,$F1057)))))</f>
        <v/>
      </c>
      <c r="M1057" s="54">
        <f>IF($B1057=0,NA(),IF($G1057="",NA(),IF(G$8="",NA(),IF(N(G$8)=0,NA(),IF(Inputs!$C$17="Rebased to 100",$G1057/G$8*100,$G1057)))))</f>
        <v/>
      </c>
      <c r="N1057" s="54">
        <f>IF($B1057=0,NA(),IF(Inputs!$C$18&lt;&gt;"Yes",NA(),IF(COUNT(I1057,J1057,K1057,L1057,M1057)=0,NA(),MIN(I1057,J1057,K1057,L1057,M1057))))</f>
        <v/>
      </c>
      <c r="O1057" s="54">
        <f>IF($B1057=0,NA(),IF(Inputs!$B$24&lt;&gt;"Yes",NA(),Inputs!$D$24*Inputs!$C$35))</f>
        <v/>
      </c>
      <c r="P1057" s="54">
        <f>IF($B1057=0,NA(),IF(Inputs!$B$25&lt;&gt;"Yes",NA(),Inputs!$D$25*Inputs!$C$35))</f>
        <v/>
      </c>
      <c r="Q1057" s="54">
        <f>IF($B1057=0,NA(),IF(Inputs!$B$26&lt;&gt;"Yes",NA(),Inputs!$D$26*Inputs!$C$35))</f>
        <v/>
      </c>
      <c r="R1057" s="54">
        <f>IF($B1057=0,NA(),IF(Inputs!$B$27&lt;&gt;"Yes",NA(),Inputs!$D$27*Inputs!$C$35))</f>
        <v/>
      </c>
      <c r="S1057" s="54">
        <f>IF($B1057=0,NA(),IF(Inputs!$B$28&lt;&gt;"Yes",NA(),Inputs!$D$28*Inputs!$C$35))</f>
        <v/>
      </c>
      <c r="T1057" s="54">
        <f>IF($B1057=0,NA(),IF(Inputs!$B$29&lt;&gt;"Yes",NA(),Inputs!$D$29*Inputs!$C$35))</f>
        <v/>
      </c>
      <c r="AD1057">
        <f>IF($B1057=0,0,IF(Inputs!$B$6="",0,COUNTIFS(Data!$A$10:$A$3209,"&gt;="&amp;$A1057,Data!$A$10:$A$3209,"&lt;"&amp;$A1057+1)))</f>
        <v/>
      </c>
      <c r="AE1057">
        <f>IF($B1057=0,0,IF(Inputs!$B$7="",0,COUNTIFS(Data!$E$10:$E$3209,"&gt;="&amp;$A1057,Data!$E$10:$E$3209,"&lt;"&amp;$A1057+1)))</f>
        <v/>
      </c>
      <c r="AF1057">
        <f>IF($B1057=0,0,IF(Inputs!$B$8="",0,COUNTIFS(Data!$I$10:$I$3209,"&gt;="&amp;$A1057,Data!$I$10:$I$3209,"&lt;"&amp;$A1057+1)))</f>
        <v/>
      </c>
      <c r="AG1057">
        <f>IF($B1057=0,0,IF(Inputs!$B$9="",0,COUNTIFS(Data!$M$10:$M$3209,"&gt;="&amp;$A1057,Data!$M$10:$M$3209,"&lt;"&amp;$A1057+1)))</f>
        <v/>
      </c>
      <c r="AH1057">
        <f>IF($B1057=0,0,IF(Inputs!$B$10="",0,COUNTIFS(Data!$Q$10:$Q$3209,"&gt;="&amp;$A1057,Data!$Q$10:$Q$3209,"&lt;"&amp;$A1057+1)))</f>
        <v/>
      </c>
    </row>
    <row r="1058">
      <c r="A1058" s="55">
        <f>MIN(Inputs!$C$15,$A1057+IF(WEEKDAY($A1057,2)=5,3,1))</f>
        <v/>
      </c>
      <c r="B1058">
        <f>IF($A1058&gt;$A1057,1,0)</f>
        <v/>
      </c>
      <c r="C1058" s="56">
        <f>IF($B1058=0,"",IF(Inputs!$B$6="","",IF($AD1058=0,C1057,SUMIFS(Data!$B$10:$B$3209,Data!$A$10:$A$3209,"&gt;="&amp;$A1058,Data!$A$10:$A$3209,"&lt;"&amp;$A1058+1)/$AD1058)))</f>
        <v/>
      </c>
      <c r="D1058" s="56">
        <f>IF($B1058=0,"",IF(Inputs!$B$7="","",IF($AE1058=0,D1057,SUMIFS(Data!$F$10:$F$3209,Data!$E$10:$E$3209,"&gt;="&amp;$A1058,Data!$E$10:$E$3209,"&lt;"&amp;$A1058+1)/$AE1058)))</f>
        <v/>
      </c>
      <c r="E1058" s="56">
        <f>IF($B1058=0,"",IF(Inputs!$B$8="","",IF($AF1058=0,E1057,SUMIFS(Data!$J$10:$J$3209,Data!$I$10:$I$3209,"&gt;="&amp;$A1058,Data!$I$10:$I$3209,"&lt;"&amp;$A1058+1)/$AF1058)))</f>
        <v/>
      </c>
      <c r="F1058" s="56">
        <f>IF($B1058=0,"",IF(Inputs!$B$9="","",IF($AG1058=0,F1057,SUMIFS(Data!$N$10:$N$3209,Data!$M$10:$M$3209,"&gt;="&amp;$A1058,Data!$M$10:$M$3209,"&lt;"&amp;$A1058+1)/$AG1058)))</f>
        <v/>
      </c>
      <c r="G1058" s="56">
        <f>IF($B1058=0,"",IF(Inputs!$B$10="","",IF($AH1058=0,G1057,SUMIFS(Data!$R$10:$R$3209,Data!$Q$10:$Q$3209,"&gt;="&amp;$A1058,Data!$Q$10:$Q$3209,"&lt;"&amp;$A1058+1)/$AH1058)))</f>
        <v/>
      </c>
      <c r="I1058" s="54">
        <f>IF($B1058=0,NA(),IF($C1058="",NA(),IF(C$8="",NA(),IF(N(C$8)=0,NA(),IF(Inputs!$C$17="Rebased to 100",$C1058/C$8*100,$C1058)))))</f>
        <v/>
      </c>
      <c r="J1058" s="54">
        <f>IF($B1058=0,NA(),IF($D1058="",NA(),IF(D$8="",NA(),IF(N(D$8)=0,NA(),IF(Inputs!$C$17="Rebased to 100",$D1058/D$8*100,$D1058)))))</f>
        <v/>
      </c>
      <c r="K1058" s="54">
        <f>IF($B1058=0,NA(),IF($E1058="",NA(),IF(E$8="",NA(),IF(N(E$8)=0,NA(),IF(Inputs!$C$17="Rebased to 100",$E1058/E$8*100,$E1058)))))</f>
        <v/>
      </c>
      <c r="L1058" s="54">
        <f>IF($B1058=0,NA(),IF($F1058="",NA(),IF(F$8="",NA(),IF(N(F$8)=0,NA(),IF(Inputs!$C$17="Rebased to 100",$F1058/F$8*100,$F1058)))))</f>
        <v/>
      </c>
      <c r="M1058" s="54">
        <f>IF($B1058=0,NA(),IF($G1058="",NA(),IF(G$8="",NA(),IF(N(G$8)=0,NA(),IF(Inputs!$C$17="Rebased to 100",$G1058/G$8*100,$G1058)))))</f>
        <v/>
      </c>
      <c r="N1058" s="54">
        <f>IF($B1058=0,NA(),IF(Inputs!$C$18&lt;&gt;"Yes",NA(),IF(COUNT(I1058,J1058,K1058,L1058,M1058)=0,NA(),MIN(I1058,J1058,K1058,L1058,M1058))))</f>
        <v/>
      </c>
      <c r="O1058" s="54">
        <f>IF($B1058=0,NA(),IF(Inputs!$B$24&lt;&gt;"Yes",NA(),Inputs!$D$24*Inputs!$C$35))</f>
        <v/>
      </c>
      <c r="P1058" s="54">
        <f>IF($B1058=0,NA(),IF(Inputs!$B$25&lt;&gt;"Yes",NA(),Inputs!$D$25*Inputs!$C$35))</f>
        <v/>
      </c>
      <c r="Q1058" s="54">
        <f>IF($B1058=0,NA(),IF(Inputs!$B$26&lt;&gt;"Yes",NA(),Inputs!$D$26*Inputs!$C$35))</f>
        <v/>
      </c>
      <c r="R1058" s="54">
        <f>IF($B1058=0,NA(),IF(Inputs!$B$27&lt;&gt;"Yes",NA(),Inputs!$D$27*Inputs!$C$35))</f>
        <v/>
      </c>
      <c r="S1058" s="54">
        <f>IF($B1058=0,NA(),IF(Inputs!$B$28&lt;&gt;"Yes",NA(),Inputs!$D$28*Inputs!$C$35))</f>
        <v/>
      </c>
      <c r="T1058" s="54">
        <f>IF($B1058=0,NA(),IF(Inputs!$B$29&lt;&gt;"Yes",NA(),Inputs!$D$29*Inputs!$C$35))</f>
        <v/>
      </c>
      <c r="AD1058">
        <f>IF($B1058=0,0,IF(Inputs!$B$6="",0,COUNTIFS(Data!$A$10:$A$3209,"&gt;="&amp;$A1058,Data!$A$10:$A$3209,"&lt;"&amp;$A1058+1)))</f>
        <v/>
      </c>
      <c r="AE1058">
        <f>IF($B1058=0,0,IF(Inputs!$B$7="",0,COUNTIFS(Data!$E$10:$E$3209,"&gt;="&amp;$A1058,Data!$E$10:$E$3209,"&lt;"&amp;$A1058+1)))</f>
        <v/>
      </c>
      <c r="AF1058">
        <f>IF($B1058=0,0,IF(Inputs!$B$8="",0,COUNTIFS(Data!$I$10:$I$3209,"&gt;="&amp;$A1058,Data!$I$10:$I$3209,"&lt;"&amp;$A1058+1)))</f>
        <v/>
      </c>
      <c r="AG1058">
        <f>IF($B1058=0,0,IF(Inputs!$B$9="",0,COUNTIFS(Data!$M$10:$M$3209,"&gt;="&amp;$A1058,Data!$M$10:$M$3209,"&lt;"&amp;$A1058+1)))</f>
        <v/>
      </c>
      <c r="AH1058">
        <f>IF($B1058=0,0,IF(Inputs!$B$10="",0,COUNTIFS(Data!$Q$10:$Q$3209,"&gt;="&amp;$A1058,Data!$Q$10:$Q$3209,"&lt;"&amp;$A1058+1)))</f>
        <v/>
      </c>
    </row>
    <row r="1059">
      <c r="A1059" s="55">
        <f>MIN(Inputs!$C$15,$A1058+IF(WEEKDAY($A1058,2)=5,3,1))</f>
        <v/>
      </c>
      <c r="B1059">
        <f>IF($A1059&gt;$A1058,1,0)</f>
        <v/>
      </c>
      <c r="C1059" s="56">
        <f>IF($B1059=0,"",IF(Inputs!$B$6="","",IF($AD1059=0,C1058,SUMIFS(Data!$B$10:$B$3209,Data!$A$10:$A$3209,"&gt;="&amp;$A1059,Data!$A$10:$A$3209,"&lt;"&amp;$A1059+1)/$AD1059)))</f>
        <v/>
      </c>
      <c r="D1059" s="56">
        <f>IF($B1059=0,"",IF(Inputs!$B$7="","",IF($AE1059=0,D1058,SUMIFS(Data!$F$10:$F$3209,Data!$E$10:$E$3209,"&gt;="&amp;$A1059,Data!$E$10:$E$3209,"&lt;"&amp;$A1059+1)/$AE1059)))</f>
        <v/>
      </c>
      <c r="E1059" s="56">
        <f>IF($B1059=0,"",IF(Inputs!$B$8="","",IF($AF1059=0,E1058,SUMIFS(Data!$J$10:$J$3209,Data!$I$10:$I$3209,"&gt;="&amp;$A1059,Data!$I$10:$I$3209,"&lt;"&amp;$A1059+1)/$AF1059)))</f>
        <v/>
      </c>
      <c r="F1059" s="56">
        <f>IF($B1059=0,"",IF(Inputs!$B$9="","",IF($AG1059=0,F1058,SUMIFS(Data!$N$10:$N$3209,Data!$M$10:$M$3209,"&gt;="&amp;$A1059,Data!$M$10:$M$3209,"&lt;"&amp;$A1059+1)/$AG1059)))</f>
        <v/>
      </c>
      <c r="G1059" s="56">
        <f>IF($B1059=0,"",IF(Inputs!$B$10="","",IF($AH1059=0,G1058,SUMIFS(Data!$R$10:$R$3209,Data!$Q$10:$Q$3209,"&gt;="&amp;$A1059,Data!$Q$10:$Q$3209,"&lt;"&amp;$A1059+1)/$AH1059)))</f>
        <v/>
      </c>
      <c r="I1059" s="54">
        <f>IF($B1059=0,NA(),IF($C1059="",NA(),IF(C$8="",NA(),IF(N(C$8)=0,NA(),IF(Inputs!$C$17="Rebased to 100",$C1059/C$8*100,$C1059)))))</f>
        <v/>
      </c>
      <c r="J1059" s="54">
        <f>IF($B1059=0,NA(),IF($D1059="",NA(),IF(D$8="",NA(),IF(N(D$8)=0,NA(),IF(Inputs!$C$17="Rebased to 100",$D1059/D$8*100,$D1059)))))</f>
        <v/>
      </c>
      <c r="K1059" s="54">
        <f>IF($B1059=0,NA(),IF($E1059="",NA(),IF(E$8="",NA(),IF(N(E$8)=0,NA(),IF(Inputs!$C$17="Rebased to 100",$E1059/E$8*100,$E1059)))))</f>
        <v/>
      </c>
      <c r="L1059" s="54">
        <f>IF($B1059=0,NA(),IF($F1059="",NA(),IF(F$8="",NA(),IF(N(F$8)=0,NA(),IF(Inputs!$C$17="Rebased to 100",$F1059/F$8*100,$F1059)))))</f>
        <v/>
      </c>
      <c r="M1059" s="54">
        <f>IF($B1059=0,NA(),IF($G1059="",NA(),IF(G$8="",NA(),IF(N(G$8)=0,NA(),IF(Inputs!$C$17="Rebased to 100",$G1059/G$8*100,$G1059)))))</f>
        <v/>
      </c>
      <c r="N1059" s="54">
        <f>IF($B1059=0,NA(),IF(Inputs!$C$18&lt;&gt;"Yes",NA(),IF(COUNT(I1059,J1059,K1059,L1059,M1059)=0,NA(),MIN(I1059,J1059,K1059,L1059,M1059))))</f>
        <v/>
      </c>
      <c r="O1059" s="54">
        <f>IF($B1059=0,NA(),IF(Inputs!$B$24&lt;&gt;"Yes",NA(),Inputs!$D$24*Inputs!$C$35))</f>
        <v/>
      </c>
      <c r="P1059" s="54">
        <f>IF($B1059=0,NA(),IF(Inputs!$B$25&lt;&gt;"Yes",NA(),Inputs!$D$25*Inputs!$C$35))</f>
        <v/>
      </c>
      <c r="Q1059" s="54">
        <f>IF($B1059=0,NA(),IF(Inputs!$B$26&lt;&gt;"Yes",NA(),Inputs!$D$26*Inputs!$C$35))</f>
        <v/>
      </c>
      <c r="R1059" s="54">
        <f>IF($B1059=0,NA(),IF(Inputs!$B$27&lt;&gt;"Yes",NA(),Inputs!$D$27*Inputs!$C$35))</f>
        <v/>
      </c>
      <c r="S1059" s="54">
        <f>IF($B1059=0,NA(),IF(Inputs!$B$28&lt;&gt;"Yes",NA(),Inputs!$D$28*Inputs!$C$35))</f>
        <v/>
      </c>
      <c r="T1059" s="54">
        <f>IF($B1059=0,NA(),IF(Inputs!$B$29&lt;&gt;"Yes",NA(),Inputs!$D$29*Inputs!$C$35))</f>
        <v/>
      </c>
      <c r="AD1059">
        <f>IF($B1059=0,0,IF(Inputs!$B$6="",0,COUNTIFS(Data!$A$10:$A$3209,"&gt;="&amp;$A1059,Data!$A$10:$A$3209,"&lt;"&amp;$A1059+1)))</f>
        <v/>
      </c>
      <c r="AE1059">
        <f>IF($B1059=0,0,IF(Inputs!$B$7="",0,COUNTIFS(Data!$E$10:$E$3209,"&gt;="&amp;$A1059,Data!$E$10:$E$3209,"&lt;"&amp;$A1059+1)))</f>
        <v/>
      </c>
      <c r="AF1059">
        <f>IF($B1059=0,0,IF(Inputs!$B$8="",0,COUNTIFS(Data!$I$10:$I$3209,"&gt;="&amp;$A1059,Data!$I$10:$I$3209,"&lt;"&amp;$A1059+1)))</f>
        <v/>
      </c>
      <c r="AG1059">
        <f>IF($B1059=0,0,IF(Inputs!$B$9="",0,COUNTIFS(Data!$M$10:$M$3209,"&gt;="&amp;$A1059,Data!$M$10:$M$3209,"&lt;"&amp;$A1059+1)))</f>
        <v/>
      </c>
      <c r="AH1059">
        <f>IF($B1059=0,0,IF(Inputs!$B$10="",0,COUNTIFS(Data!$Q$10:$Q$3209,"&gt;="&amp;$A1059,Data!$Q$10:$Q$3209,"&lt;"&amp;$A1059+1)))</f>
        <v/>
      </c>
    </row>
    <row r="1060">
      <c r="A1060" s="55">
        <f>MIN(Inputs!$C$15,$A1059+IF(WEEKDAY($A1059,2)=5,3,1))</f>
        <v/>
      </c>
      <c r="B1060">
        <f>IF($A1060&gt;$A1059,1,0)</f>
        <v/>
      </c>
      <c r="C1060" s="56">
        <f>IF($B1060=0,"",IF(Inputs!$B$6="","",IF($AD1060=0,C1059,SUMIFS(Data!$B$10:$B$3209,Data!$A$10:$A$3209,"&gt;="&amp;$A1060,Data!$A$10:$A$3209,"&lt;"&amp;$A1060+1)/$AD1060)))</f>
        <v/>
      </c>
      <c r="D1060" s="56">
        <f>IF($B1060=0,"",IF(Inputs!$B$7="","",IF($AE1060=0,D1059,SUMIFS(Data!$F$10:$F$3209,Data!$E$10:$E$3209,"&gt;="&amp;$A1060,Data!$E$10:$E$3209,"&lt;"&amp;$A1060+1)/$AE1060)))</f>
        <v/>
      </c>
      <c r="E1060" s="56">
        <f>IF($B1060=0,"",IF(Inputs!$B$8="","",IF($AF1060=0,E1059,SUMIFS(Data!$J$10:$J$3209,Data!$I$10:$I$3209,"&gt;="&amp;$A1060,Data!$I$10:$I$3209,"&lt;"&amp;$A1060+1)/$AF1060)))</f>
        <v/>
      </c>
      <c r="F1060" s="56">
        <f>IF($B1060=0,"",IF(Inputs!$B$9="","",IF($AG1060=0,F1059,SUMIFS(Data!$N$10:$N$3209,Data!$M$10:$M$3209,"&gt;="&amp;$A1060,Data!$M$10:$M$3209,"&lt;"&amp;$A1060+1)/$AG1060)))</f>
        <v/>
      </c>
      <c r="G1060" s="56">
        <f>IF($B1060=0,"",IF(Inputs!$B$10="","",IF($AH1060=0,G1059,SUMIFS(Data!$R$10:$R$3209,Data!$Q$10:$Q$3209,"&gt;="&amp;$A1060,Data!$Q$10:$Q$3209,"&lt;"&amp;$A1060+1)/$AH1060)))</f>
        <v/>
      </c>
      <c r="I1060" s="54">
        <f>IF($B1060=0,NA(),IF($C1060="",NA(),IF(C$8="",NA(),IF(N(C$8)=0,NA(),IF(Inputs!$C$17="Rebased to 100",$C1060/C$8*100,$C1060)))))</f>
        <v/>
      </c>
      <c r="J1060" s="54">
        <f>IF($B1060=0,NA(),IF($D1060="",NA(),IF(D$8="",NA(),IF(N(D$8)=0,NA(),IF(Inputs!$C$17="Rebased to 100",$D1060/D$8*100,$D1060)))))</f>
        <v/>
      </c>
      <c r="K1060" s="54">
        <f>IF($B1060=0,NA(),IF($E1060="",NA(),IF(E$8="",NA(),IF(N(E$8)=0,NA(),IF(Inputs!$C$17="Rebased to 100",$E1060/E$8*100,$E1060)))))</f>
        <v/>
      </c>
      <c r="L1060" s="54">
        <f>IF($B1060=0,NA(),IF($F1060="",NA(),IF(F$8="",NA(),IF(N(F$8)=0,NA(),IF(Inputs!$C$17="Rebased to 100",$F1060/F$8*100,$F1060)))))</f>
        <v/>
      </c>
      <c r="M1060" s="54">
        <f>IF($B1060=0,NA(),IF($G1060="",NA(),IF(G$8="",NA(),IF(N(G$8)=0,NA(),IF(Inputs!$C$17="Rebased to 100",$G1060/G$8*100,$G1060)))))</f>
        <v/>
      </c>
      <c r="N1060" s="54">
        <f>IF($B1060=0,NA(),IF(Inputs!$C$18&lt;&gt;"Yes",NA(),IF(COUNT(I1060,J1060,K1060,L1060,M1060)=0,NA(),MIN(I1060,J1060,K1060,L1060,M1060))))</f>
        <v/>
      </c>
      <c r="O1060" s="54">
        <f>IF($B1060=0,NA(),IF(Inputs!$B$24&lt;&gt;"Yes",NA(),Inputs!$D$24*Inputs!$C$35))</f>
        <v/>
      </c>
      <c r="P1060" s="54">
        <f>IF($B1060=0,NA(),IF(Inputs!$B$25&lt;&gt;"Yes",NA(),Inputs!$D$25*Inputs!$C$35))</f>
        <v/>
      </c>
      <c r="Q1060" s="54">
        <f>IF($B1060=0,NA(),IF(Inputs!$B$26&lt;&gt;"Yes",NA(),Inputs!$D$26*Inputs!$C$35))</f>
        <v/>
      </c>
      <c r="R1060" s="54">
        <f>IF($B1060=0,NA(),IF(Inputs!$B$27&lt;&gt;"Yes",NA(),Inputs!$D$27*Inputs!$C$35))</f>
        <v/>
      </c>
      <c r="S1060" s="54">
        <f>IF($B1060=0,NA(),IF(Inputs!$B$28&lt;&gt;"Yes",NA(),Inputs!$D$28*Inputs!$C$35))</f>
        <v/>
      </c>
      <c r="T1060" s="54">
        <f>IF($B1060=0,NA(),IF(Inputs!$B$29&lt;&gt;"Yes",NA(),Inputs!$D$29*Inputs!$C$35))</f>
        <v/>
      </c>
      <c r="AD1060">
        <f>IF($B1060=0,0,IF(Inputs!$B$6="",0,COUNTIFS(Data!$A$10:$A$3209,"&gt;="&amp;$A1060,Data!$A$10:$A$3209,"&lt;"&amp;$A1060+1)))</f>
        <v/>
      </c>
      <c r="AE1060">
        <f>IF($B1060=0,0,IF(Inputs!$B$7="",0,COUNTIFS(Data!$E$10:$E$3209,"&gt;="&amp;$A1060,Data!$E$10:$E$3209,"&lt;"&amp;$A1060+1)))</f>
        <v/>
      </c>
      <c r="AF1060">
        <f>IF($B1060=0,0,IF(Inputs!$B$8="",0,COUNTIFS(Data!$I$10:$I$3209,"&gt;="&amp;$A1060,Data!$I$10:$I$3209,"&lt;"&amp;$A1060+1)))</f>
        <v/>
      </c>
      <c r="AG1060">
        <f>IF($B1060=0,0,IF(Inputs!$B$9="",0,COUNTIFS(Data!$M$10:$M$3209,"&gt;="&amp;$A1060,Data!$M$10:$M$3209,"&lt;"&amp;$A1060+1)))</f>
        <v/>
      </c>
      <c r="AH1060">
        <f>IF($B1060=0,0,IF(Inputs!$B$10="",0,COUNTIFS(Data!$Q$10:$Q$3209,"&gt;="&amp;$A1060,Data!$Q$10:$Q$3209,"&lt;"&amp;$A1060+1)))</f>
        <v/>
      </c>
    </row>
    <row r="1061">
      <c r="A1061" s="55">
        <f>MIN(Inputs!$C$15,$A1060+IF(WEEKDAY($A1060,2)=5,3,1))</f>
        <v/>
      </c>
      <c r="B1061">
        <f>IF($A1061&gt;$A1060,1,0)</f>
        <v/>
      </c>
      <c r="C1061" s="56">
        <f>IF($B1061=0,"",IF(Inputs!$B$6="","",IF($AD1061=0,C1060,SUMIFS(Data!$B$10:$B$3209,Data!$A$10:$A$3209,"&gt;="&amp;$A1061,Data!$A$10:$A$3209,"&lt;"&amp;$A1061+1)/$AD1061)))</f>
        <v/>
      </c>
      <c r="D1061" s="56">
        <f>IF($B1061=0,"",IF(Inputs!$B$7="","",IF($AE1061=0,D1060,SUMIFS(Data!$F$10:$F$3209,Data!$E$10:$E$3209,"&gt;="&amp;$A1061,Data!$E$10:$E$3209,"&lt;"&amp;$A1061+1)/$AE1061)))</f>
        <v/>
      </c>
      <c r="E1061" s="56">
        <f>IF($B1061=0,"",IF(Inputs!$B$8="","",IF($AF1061=0,E1060,SUMIFS(Data!$J$10:$J$3209,Data!$I$10:$I$3209,"&gt;="&amp;$A1061,Data!$I$10:$I$3209,"&lt;"&amp;$A1061+1)/$AF1061)))</f>
        <v/>
      </c>
      <c r="F1061" s="56">
        <f>IF($B1061=0,"",IF(Inputs!$B$9="","",IF($AG1061=0,F1060,SUMIFS(Data!$N$10:$N$3209,Data!$M$10:$M$3209,"&gt;="&amp;$A1061,Data!$M$10:$M$3209,"&lt;"&amp;$A1061+1)/$AG1061)))</f>
        <v/>
      </c>
      <c r="G1061" s="56">
        <f>IF($B1061=0,"",IF(Inputs!$B$10="","",IF($AH1061=0,G1060,SUMIFS(Data!$R$10:$R$3209,Data!$Q$10:$Q$3209,"&gt;="&amp;$A1061,Data!$Q$10:$Q$3209,"&lt;"&amp;$A1061+1)/$AH1061)))</f>
        <v/>
      </c>
      <c r="I1061" s="54">
        <f>IF($B1061=0,NA(),IF($C1061="",NA(),IF(C$8="",NA(),IF(N(C$8)=0,NA(),IF(Inputs!$C$17="Rebased to 100",$C1061/C$8*100,$C1061)))))</f>
        <v/>
      </c>
      <c r="J1061" s="54">
        <f>IF($B1061=0,NA(),IF($D1061="",NA(),IF(D$8="",NA(),IF(N(D$8)=0,NA(),IF(Inputs!$C$17="Rebased to 100",$D1061/D$8*100,$D1061)))))</f>
        <v/>
      </c>
      <c r="K1061" s="54">
        <f>IF($B1061=0,NA(),IF($E1061="",NA(),IF(E$8="",NA(),IF(N(E$8)=0,NA(),IF(Inputs!$C$17="Rebased to 100",$E1061/E$8*100,$E1061)))))</f>
        <v/>
      </c>
      <c r="L1061" s="54">
        <f>IF($B1061=0,NA(),IF($F1061="",NA(),IF(F$8="",NA(),IF(N(F$8)=0,NA(),IF(Inputs!$C$17="Rebased to 100",$F1061/F$8*100,$F1061)))))</f>
        <v/>
      </c>
      <c r="M1061" s="54">
        <f>IF($B1061=0,NA(),IF($G1061="",NA(),IF(G$8="",NA(),IF(N(G$8)=0,NA(),IF(Inputs!$C$17="Rebased to 100",$G1061/G$8*100,$G1061)))))</f>
        <v/>
      </c>
      <c r="N1061" s="54">
        <f>IF($B1061=0,NA(),IF(Inputs!$C$18&lt;&gt;"Yes",NA(),IF(COUNT(I1061,J1061,K1061,L1061,M1061)=0,NA(),MIN(I1061,J1061,K1061,L1061,M1061))))</f>
        <v/>
      </c>
      <c r="O1061" s="54">
        <f>IF($B1061=0,NA(),IF(Inputs!$B$24&lt;&gt;"Yes",NA(),Inputs!$D$24*Inputs!$C$35))</f>
        <v/>
      </c>
      <c r="P1061" s="54">
        <f>IF($B1061=0,NA(),IF(Inputs!$B$25&lt;&gt;"Yes",NA(),Inputs!$D$25*Inputs!$C$35))</f>
        <v/>
      </c>
      <c r="Q1061" s="54">
        <f>IF($B1061=0,NA(),IF(Inputs!$B$26&lt;&gt;"Yes",NA(),Inputs!$D$26*Inputs!$C$35))</f>
        <v/>
      </c>
      <c r="R1061" s="54">
        <f>IF($B1061=0,NA(),IF(Inputs!$B$27&lt;&gt;"Yes",NA(),Inputs!$D$27*Inputs!$C$35))</f>
        <v/>
      </c>
      <c r="S1061" s="54">
        <f>IF($B1061=0,NA(),IF(Inputs!$B$28&lt;&gt;"Yes",NA(),Inputs!$D$28*Inputs!$C$35))</f>
        <v/>
      </c>
      <c r="T1061" s="54">
        <f>IF($B1061=0,NA(),IF(Inputs!$B$29&lt;&gt;"Yes",NA(),Inputs!$D$29*Inputs!$C$35))</f>
        <v/>
      </c>
      <c r="AD1061">
        <f>IF($B1061=0,0,IF(Inputs!$B$6="",0,COUNTIFS(Data!$A$10:$A$3209,"&gt;="&amp;$A1061,Data!$A$10:$A$3209,"&lt;"&amp;$A1061+1)))</f>
        <v/>
      </c>
      <c r="AE1061">
        <f>IF($B1061=0,0,IF(Inputs!$B$7="",0,COUNTIFS(Data!$E$10:$E$3209,"&gt;="&amp;$A1061,Data!$E$10:$E$3209,"&lt;"&amp;$A1061+1)))</f>
        <v/>
      </c>
      <c r="AF1061">
        <f>IF($B1061=0,0,IF(Inputs!$B$8="",0,COUNTIFS(Data!$I$10:$I$3209,"&gt;="&amp;$A1061,Data!$I$10:$I$3209,"&lt;"&amp;$A1061+1)))</f>
        <v/>
      </c>
      <c r="AG1061">
        <f>IF($B1061=0,0,IF(Inputs!$B$9="",0,COUNTIFS(Data!$M$10:$M$3209,"&gt;="&amp;$A1061,Data!$M$10:$M$3209,"&lt;"&amp;$A1061+1)))</f>
        <v/>
      </c>
      <c r="AH1061">
        <f>IF($B1061=0,0,IF(Inputs!$B$10="",0,COUNTIFS(Data!$Q$10:$Q$3209,"&gt;="&amp;$A1061,Data!$Q$10:$Q$3209,"&lt;"&amp;$A1061+1)))</f>
        <v/>
      </c>
    </row>
    <row r="1062">
      <c r="A1062" s="55">
        <f>MIN(Inputs!$C$15,$A1061+IF(WEEKDAY($A1061,2)=5,3,1))</f>
        <v/>
      </c>
      <c r="B1062">
        <f>IF($A1062&gt;$A1061,1,0)</f>
        <v/>
      </c>
      <c r="C1062" s="56">
        <f>IF($B1062=0,"",IF(Inputs!$B$6="","",IF($AD1062=0,C1061,SUMIFS(Data!$B$10:$B$3209,Data!$A$10:$A$3209,"&gt;="&amp;$A1062,Data!$A$10:$A$3209,"&lt;"&amp;$A1062+1)/$AD1062)))</f>
        <v/>
      </c>
      <c r="D1062" s="56">
        <f>IF($B1062=0,"",IF(Inputs!$B$7="","",IF($AE1062=0,D1061,SUMIFS(Data!$F$10:$F$3209,Data!$E$10:$E$3209,"&gt;="&amp;$A1062,Data!$E$10:$E$3209,"&lt;"&amp;$A1062+1)/$AE1062)))</f>
        <v/>
      </c>
      <c r="E1062" s="56">
        <f>IF($B1062=0,"",IF(Inputs!$B$8="","",IF($AF1062=0,E1061,SUMIFS(Data!$J$10:$J$3209,Data!$I$10:$I$3209,"&gt;="&amp;$A1062,Data!$I$10:$I$3209,"&lt;"&amp;$A1062+1)/$AF1062)))</f>
        <v/>
      </c>
      <c r="F1062" s="56">
        <f>IF($B1062=0,"",IF(Inputs!$B$9="","",IF($AG1062=0,F1061,SUMIFS(Data!$N$10:$N$3209,Data!$M$10:$M$3209,"&gt;="&amp;$A1062,Data!$M$10:$M$3209,"&lt;"&amp;$A1062+1)/$AG1062)))</f>
        <v/>
      </c>
      <c r="G1062" s="56">
        <f>IF($B1062=0,"",IF(Inputs!$B$10="","",IF($AH1062=0,G1061,SUMIFS(Data!$R$10:$R$3209,Data!$Q$10:$Q$3209,"&gt;="&amp;$A1062,Data!$Q$10:$Q$3209,"&lt;"&amp;$A1062+1)/$AH1062)))</f>
        <v/>
      </c>
      <c r="I1062" s="54">
        <f>IF($B1062=0,NA(),IF($C1062="",NA(),IF(C$8="",NA(),IF(N(C$8)=0,NA(),IF(Inputs!$C$17="Rebased to 100",$C1062/C$8*100,$C1062)))))</f>
        <v/>
      </c>
      <c r="J1062" s="54">
        <f>IF($B1062=0,NA(),IF($D1062="",NA(),IF(D$8="",NA(),IF(N(D$8)=0,NA(),IF(Inputs!$C$17="Rebased to 100",$D1062/D$8*100,$D1062)))))</f>
        <v/>
      </c>
      <c r="K1062" s="54">
        <f>IF($B1062=0,NA(),IF($E1062="",NA(),IF(E$8="",NA(),IF(N(E$8)=0,NA(),IF(Inputs!$C$17="Rebased to 100",$E1062/E$8*100,$E1062)))))</f>
        <v/>
      </c>
      <c r="L1062" s="54">
        <f>IF($B1062=0,NA(),IF($F1062="",NA(),IF(F$8="",NA(),IF(N(F$8)=0,NA(),IF(Inputs!$C$17="Rebased to 100",$F1062/F$8*100,$F1062)))))</f>
        <v/>
      </c>
      <c r="M1062" s="54">
        <f>IF($B1062=0,NA(),IF($G1062="",NA(),IF(G$8="",NA(),IF(N(G$8)=0,NA(),IF(Inputs!$C$17="Rebased to 100",$G1062/G$8*100,$G1062)))))</f>
        <v/>
      </c>
      <c r="N1062" s="54">
        <f>IF($B1062=0,NA(),IF(Inputs!$C$18&lt;&gt;"Yes",NA(),IF(COUNT(I1062,J1062,K1062,L1062,M1062)=0,NA(),MIN(I1062,J1062,K1062,L1062,M1062))))</f>
        <v/>
      </c>
      <c r="O1062" s="54">
        <f>IF($B1062=0,NA(),IF(Inputs!$B$24&lt;&gt;"Yes",NA(),Inputs!$D$24*Inputs!$C$35))</f>
        <v/>
      </c>
      <c r="P1062" s="54">
        <f>IF($B1062=0,NA(),IF(Inputs!$B$25&lt;&gt;"Yes",NA(),Inputs!$D$25*Inputs!$C$35))</f>
        <v/>
      </c>
      <c r="Q1062" s="54">
        <f>IF($B1062=0,NA(),IF(Inputs!$B$26&lt;&gt;"Yes",NA(),Inputs!$D$26*Inputs!$C$35))</f>
        <v/>
      </c>
      <c r="R1062" s="54">
        <f>IF($B1062=0,NA(),IF(Inputs!$B$27&lt;&gt;"Yes",NA(),Inputs!$D$27*Inputs!$C$35))</f>
        <v/>
      </c>
      <c r="S1062" s="54">
        <f>IF($B1062=0,NA(),IF(Inputs!$B$28&lt;&gt;"Yes",NA(),Inputs!$D$28*Inputs!$C$35))</f>
        <v/>
      </c>
      <c r="T1062" s="54">
        <f>IF($B1062=0,NA(),IF(Inputs!$B$29&lt;&gt;"Yes",NA(),Inputs!$D$29*Inputs!$C$35))</f>
        <v/>
      </c>
      <c r="AD1062">
        <f>IF($B1062=0,0,IF(Inputs!$B$6="",0,COUNTIFS(Data!$A$10:$A$3209,"&gt;="&amp;$A1062,Data!$A$10:$A$3209,"&lt;"&amp;$A1062+1)))</f>
        <v/>
      </c>
      <c r="AE1062">
        <f>IF($B1062=0,0,IF(Inputs!$B$7="",0,COUNTIFS(Data!$E$10:$E$3209,"&gt;="&amp;$A1062,Data!$E$10:$E$3209,"&lt;"&amp;$A1062+1)))</f>
        <v/>
      </c>
      <c r="AF1062">
        <f>IF($B1062=0,0,IF(Inputs!$B$8="",0,COUNTIFS(Data!$I$10:$I$3209,"&gt;="&amp;$A1062,Data!$I$10:$I$3209,"&lt;"&amp;$A1062+1)))</f>
        <v/>
      </c>
      <c r="AG1062">
        <f>IF($B1062=0,0,IF(Inputs!$B$9="",0,COUNTIFS(Data!$M$10:$M$3209,"&gt;="&amp;$A1062,Data!$M$10:$M$3209,"&lt;"&amp;$A1062+1)))</f>
        <v/>
      </c>
      <c r="AH1062">
        <f>IF($B1062=0,0,IF(Inputs!$B$10="",0,COUNTIFS(Data!$Q$10:$Q$3209,"&gt;="&amp;$A1062,Data!$Q$10:$Q$3209,"&lt;"&amp;$A1062+1)))</f>
        <v/>
      </c>
    </row>
    <row r="1063">
      <c r="A1063" s="55">
        <f>MIN(Inputs!$C$15,$A1062+IF(WEEKDAY($A1062,2)=5,3,1))</f>
        <v/>
      </c>
      <c r="B1063">
        <f>IF($A1063&gt;$A1062,1,0)</f>
        <v/>
      </c>
      <c r="C1063" s="56">
        <f>IF($B1063=0,"",IF(Inputs!$B$6="","",IF($AD1063=0,C1062,SUMIFS(Data!$B$10:$B$3209,Data!$A$10:$A$3209,"&gt;="&amp;$A1063,Data!$A$10:$A$3209,"&lt;"&amp;$A1063+1)/$AD1063)))</f>
        <v/>
      </c>
      <c r="D1063" s="56">
        <f>IF($B1063=0,"",IF(Inputs!$B$7="","",IF($AE1063=0,D1062,SUMIFS(Data!$F$10:$F$3209,Data!$E$10:$E$3209,"&gt;="&amp;$A1063,Data!$E$10:$E$3209,"&lt;"&amp;$A1063+1)/$AE1063)))</f>
        <v/>
      </c>
      <c r="E1063" s="56">
        <f>IF($B1063=0,"",IF(Inputs!$B$8="","",IF($AF1063=0,E1062,SUMIFS(Data!$J$10:$J$3209,Data!$I$10:$I$3209,"&gt;="&amp;$A1063,Data!$I$10:$I$3209,"&lt;"&amp;$A1063+1)/$AF1063)))</f>
        <v/>
      </c>
      <c r="F1063" s="56">
        <f>IF($B1063=0,"",IF(Inputs!$B$9="","",IF($AG1063=0,F1062,SUMIFS(Data!$N$10:$N$3209,Data!$M$10:$M$3209,"&gt;="&amp;$A1063,Data!$M$10:$M$3209,"&lt;"&amp;$A1063+1)/$AG1063)))</f>
        <v/>
      </c>
      <c r="G1063" s="56">
        <f>IF($B1063=0,"",IF(Inputs!$B$10="","",IF($AH1063=0,G1062,SUMIFS(Data!$R$10:$R$3209,Data!$Q$10:$Q$3209,"&gt;="&amp;$A1063,Data!$Q$10:$Q$3209,"&lt;"&amp;$A1063+1)/$AH1063)))</f>
        <v/>
      </c>
      <c r="I1063" s="54">
        <f>IF($B1063=0,NA(),IF($C1063="",NA(),IF(C$8="",NA(),IF(N(C$8)=0,NA(),IF(Inputs!$C$17="Rebased to 100",$C1063/C$8*100,$C1063)))))</f>
        <v/>
      </c>
      <c r="J1063" s="54">
        <f>IF($B1063=0,NA(),IF($D1063="",NA(),IF(D$8="",NA(),IF(N(D$8)=0,NA(),IF(Inputs!$C$17="Rebased to 100",$D1063/D$8*100,$D1063)))))</f>
        <v/>
      </c>
      <c r="K1063" s="54">
        <f>IF($B1063=0,NA(),IF($E1063="",NA(),IF(E$8="",NA(),IF(N(E$8)=0,NA(),IF(Inputs!$C$17="Rebased to 100",$E1063/E$8*100,$E1063)))))</f>
        <v/>
      </c>
      <c r="L1063" s="54">
        <f>IF($B1063=0,NA(),IF($F1063="",NA(),IF(F$8="",NA(),IF(N(F$8)=0,NA(),IF(Inputs!$C$17="Rebased to 100",$F1063/F$8*100,$F1063)))))</f>
        <v/>
      </c>
      <c r="M1063" s="54">
        <f>IF($B1063=0,NA(),IF($G1063="",NA(),IF(G$8="",NA(),IF(N(G$8)=0,NA(),IF(Inputs!$C$17="Rebased to 100",$G1063/G$8*100,$G1063)))))</f>
        <v/>
      </c>
      <c r="N1063" s="54">
        <f>IF($B1063=0,NA(),IF(Inputs!$C$18&lt;&gt;"Yes",NA(),IF(COUNT(I1063,J1063,K1063,L1063,M1063)=0,NA(),MIN(I1063,J1063,K1063,L1063,M1063))))</f>
        <v/>
      </c>
      <c r="O1063" s="54">
        <f>IF($B1063=0,NA(),IF(Inputs!$B$24&lt;&gt;"Yes",NA(),Inputs!$D$24*Inputs!$C$35))</f>
        <v/>
      </c>
      <c r="P1063" s="54">
        <f>IF($B1063=0,NA(),IF(Inputs!$B$25&lt;&gt;"Yes",NA(),Inputs!$D$25*Inputs!$C$35))</f>
        <v/>
      </c>
      <c r="Q1063" s="54">
        <f>IF($B1063=0,NA(),IF(Inputs!$B$26&lt;&gt;"Yes",NA(),Inputs!$D$26*Inputs!$C$35))</f>
        <v/>
      </c>
      <c r="R1063" s="54">
        <f>IF($B1063=0,NA(),IF(Inputs!$B$27&lt;&gt;"Yes",NA(),Inputs!$D$27*Inputs!$C$35))</f>
        <v/>
      </c>
      <c r="S1063" s="54">
        <f>IF($B1063=0,NA(),IF(Inputs!$B$28&lt;&gt;"Yes",NA(),Inputs!$D$28*Inputs!$C$35))</f>
        <v/>
      </c>
      <c r="T1063" s="54">
        <f>IF($B1063=0,NA(),IF(Inputs!$B$29&lt;&gt;"Yes",NA(),Inputs!$D$29*Inputs!$C$35))</f>
        <v/>
      </c>
      <c r="AD1063">
        <f>IF($B1063=0,0,IF(Inputs!$B$6="",0,COUNTIFS(Data!$A$10:$A$3209,"&gt;="&amp;$A1063,Data!$A$10:$A$3209,"&lt;"&amp;$A1063+1)))</f>
        <v/>
      </c>
      <c r="AE1063">
        <f>IF($B1063=0,0,IF(Inputs!$B$7="",0,COUNTIFS(Data!$E$10:$E$3209,"&gt;="&amp;$A1063,Data!$E$10:$E$3209,"&lt;"&amp;$A1063+1)))</f>
        <v/>
      </c>
      <c r="AF1063">
        <f>IF($B1063=0,0,IF(Inputs!$B$8="",0,COUNTIFS(Data!$I$10:$I$3209,"&gt;="&amp;$A1063,Data!$I$10:$I$3209,"&lt;"&amp;$A1063+1)))</f>
        <v/>
      </c>
      <c r="AG1063">
        <f>IF($B1063=0,0,IF(Inputs!$B$9="",0,COUNTIFS(Data!$M$10:$M$3209,"&gt;="&amp;$A1063,Data!$M$10:$M$3209,"&lt;"&amp;$A1063+1)))</f>
        <v/>
      </c>
      <c r="AH1063">
        <f>IF($B1063=0,0,IF(Inputs!$B$10="",0,COUNTIFS(Data!$Q$10:$Q$3209,"&gt;="&amp;$A1063,Data!$Q$10:$Q$3209,"&lt;"&amp;$A1063+1)))</f>
        <v/>
      </c>
    </row>
    <row r="1064">
      <c r="A1064" s="55">
        <f>MIN(Inputs!$C$15,$A1063+IF(WEEKDAY($A1063,2)=5,3,1))</f>
        <v/>
      </c>
      <c r="B1064">
        <f>IF($A1064&gt;$A1063,1,0)</f>
        <v/>
      </c>
      <c r="C1064" s="56">
        <f>IF($B1064=0,"",IF(Inputs!$B$6="","",IF($AD1064=0,C1063,SUMIFS(Data!$B$10:$B$3209,Data!$A$10:$A$3209,"&gt;="&amp;$A1064,Data!$A$10:$A$3209,"&lt;"&amp;$A1064+1)/$AD1064)))</f>
        <v/>
      </c>
      <c r="D1064" s="56">
        <f>IF($B1064=0,"",IF(Inputs!$B$7="","",IF($AE1064=0,D1063,SUMIFS(Data!$F$10:$F$3209,Data!$E$10:$E$3209,"&gt;="&amp;$A1064,Data!$E$10:$E$3209,"&lt;"&amp;$A1064+1)/$AE1064)))</f>
        <v/>
      </c>
      <c r="E1064" s="56">
        <f>IF($B1064=0,"",IF(Inputs!$B$8="","",IF($AF1064=0,E1063,SUMIFS(Data!$J$10:$J$3209,Data!$I$10:$I$3209,"&gt;="&amp;$A1064,Data!$I$10:$I$3209,"&lt;"&amp;$A1064+1)/$AF1064)))</f>
        <v/>
      </c>
      <c r="F1064" s="56">
        <f>IF($B1064=0,"",IF(Inputs!$B$9="","",IF($AG1064=0,F1063,SUMIFS(Data!$N$10:$N$3209,Data!$M$10:$M$3209,"&gt;="&amp;$A1064,Data!$M$10:$M$3209,"&lt;"&amp;$A1064+1)/$AG1064)))</f>
        <v/>
      </c>
      <c r="G1064" s="56">
        <f>IF($B1064=0,"",IF(Inputs!$B$10="","",IF($AH1064=0,G1063,SUMIFS(Data!$R$10:$R$3209,Data!$Q$10:$Q$3209,"&gt;="&amp;$A1064,Data!$Q$10:$Q$3209,"&lt;"&amp;$A1064+1)/$AH1064)))</f>
        <v/>
      </c>
      <c r="I1064" s="54">
        <f>IF($B1064=0,NA(),IF($C1064="",NA(),IF(C$8="",NA(),IF(N(C$8)=0,NA(),IF(Inputs!$C$17="Rebased to 100",$C1064/C$8*100,$C1064)))))</f>
        <v/>
      </c>
      <c r="J1064" s="54">
        <f>IF($B1064=0,NA(),IF($D1064="",NA(),IF(D$8="",NA(),IF(N(D$8)=0,NA(),IF(Inputs!$C$17="Rebased to 100",$D1064/D$8*100,$D1064)))))</f>
        <v/>
      </c>
      <c r="K1064" s="54">
        <f>IF($B1064=0,NA(),IF($E1064="",NA(),IF(E$8="",NA(),IF(N(E$8)=0,NA(),IF(Inputs!$C$17="Rebased to 100",$E1064/E$8*100,$E1064)))))</f>
        <v/>
      </c>
      <c r="L1064" s="54">
        <f>IF($B1064=0,NA(),IF($F1064="",NA(),IF(F$8="",NA(),IF(N(F$8)=0,NA(),IF(Inputs!$C$17="Rebased to 100",$F1064/F$8*100,$F1064)))))</f>
        <v/>
      </c>
      <c r="M1064" s="54">
        <f>IF($B1064=0,NA(),IF($G1064="",NA(),IF(G$8="",NA(),IF(N(G$8)=0,NA(),IF(Inputs!$C$17="Rebased to 100",$G1064/G$8*100,$G1064)))))</f>
        <v/>
      </c>
      <c r="N1064" s="54">
        <f>IF($B1064=0,NA(),IF(Inputs!$C$18&lt;&gt;"Yes",NA(),IF(COUNT(I1064,J1064,K1064,L1064,M1064)=0,NA(),MIN(I1064,J1064,K1064,L1064,M1064))))</f>
        <v/>
      </c>
      <c r="O1064" s="54">
        <f>IF($B1064=0,NA(),IF(Inputs!$B$24&lt;&gt;"Yes",NA(),Inputs!$D$24*Inputs!$C$35))</f>
        <v/>
      </c>
      <c r="P1064" s="54">
        <f>IF($B1064=0,NA(),IF(Inputs!$B$25&lt;&gt;"Yes",NA(),Inputs!$D$25*Inputs!$C$35))</f>
        <v/>
      </c>
      <c r="Q1064" s="54">
        <f>IF($B1064=0,NA(),IF(Inputs!$B$26&lt;&gt;"Yes",NA(),Inputs!$D$26*Inputs!$C$35))</f>
        <v/>
      </c>
      <c r="R1064" s="54">
        <f>IF($B1064=0,NA(),IF(Inputs!$B$27&lt;&gt;"Yes",NA(),Inputs!$D$27*Inputs!$C$35))</f>
        <v/>
      </c>
      <c r="S1064" s="54">
        <f>IF($B1064=0,NA(),IF(Inputs!$B$28&lt;&gt;"Yes",NA(),Inputs!$D$28*Inputs!$C$35))</f>
        <v/>
      </c>
      <c r="T1064" s="54">
        <f>IF($B1064=0,NA(),IF(Inputs!$B$29&lt;&gt;"Yes",NA(),Inputs!$D$29*Inputs!$C$35))</f>
        <v/>
      </c>
      <c r="AD1064">
        <f>IF($B1064=0,0,IF(Inputs!$B$6="",0,COUNTIFS(Data!$A$10:$A$3209,"&gt;="&amp;$A1064,Data!$A$10:$A$3209,"&lt;"&amp;$A1064+1)))</f>
        <v/>
      </c>
      <c r="AE1064">
        <f>IF($B1064=0,0,IF(Inputs!$B$7="",0,COUNTIFS(Data!$E$10:$E$3209,"&gt;="&amp;$A1064,Data!$E$10:$E$3209,"&lt;"&amp;$A1064+1)))</f>
        <v/>
      </c>
      <c r="AF1064">
        <f>IF($B1064=0,0,IF(Inputs!$B$8="",0,COUNTIFS(Data!$I$10:$I$3209,"&gt;="&amp;$A1064,Data!$I$10:$I$3209,"&lt;"&amp;$A1064+1)))</f>
        <v/>
      </c>
      <c r="AG1064">
        <f>IF($B1064=0,0,IF(Inputs!$B$9="",0,COUNTIFS(Data!$M$10:$M$3209,"&gt;="&amp;$A1064,Data!$M$10:$M$3209,"&lt;"&amp;$A1064+1)))</f>
        <v/>
      </c>
      <c r="AH1064">
        <f>IF($B1064=0,0,IF(Inputs!$B$10="",0,COUNTIFS(Data!$Q$10:$Q$3209,"&gt;="&amp;$A1064,Data!$Q$10:$Q$3209,"&lt;"&amp;$A1064+1)))</f>
        <v/>
      </c>
    </row>
    <row r="1065">
      <c r="A1065" s="55">
        <f>MIN(Inputs!$C$15,$A1064+IF(WEEKDAY($A1064,2)=5,3,1))</f>
        <v/>
      </c>
      <c r="B1065">
        <f>IF($A1065&gt;$A1064,1,0)</f>
        <v/>
      </c>
      <c r="C1065" s="56">
        <f>IF($B1065=0,"",IF(Inputs!$B$6="","",IF($AD1065=0,C1064,SUMIFS(Data!$B$10:$B$3209,Data!$A$10:$A$3209,"&gt;="&amp;$A1065,Data!$A$10:$A$3209,"&lt;"&amp;$A1065+1)/$AD1065)))</f>
        <v/>
      </c>
      <c r="D1065" s="56">
        <f>IF($B1065=0,"",IF(Inputs!$B$7="","",IF($AE1065=0,D1064,SUMIFS(Data!$F$10:$F$3209,Data!$E$10:$E$3209,"&gt;="&amp;$A1065,Data!$E$10:$E$3209,"&lt;"&amp;$A1065+1)/$AE1065)))</f>
        <v/>
      </c>
      <c r="E1065" s="56">
        <f>IF($B1065=0,"",IF(Inputs!$B$8="","",IF($AF1065=0,E1064,SUMIFS(Data!$J$10:$J$3209,Data!$I$10:$I$3209,"&gt;="&amp;$A1065,Data!$I$10:$I$3209,"&lt;"&amp;$A1065+1)/$AF1065)))</f>
        <v/>
      </c>
      <c r="F1065" s="56">
        <f>IF($B1065=0,"",IF(Inputs!$B$9="","",IF($AG1065=0,F1064,SUMIFS(Data!$N$10:$N$3209,Data!$M$10:$M$3209,"&gt;="&amp;$A1065,Data!$M$10:$M$3209,"&lt;"&amp;$A1065+1)/$AG1065)))</f>
        <v/>
      </c>
      <c r="G1065" s="56">
        <f>IF($B1065=0,"",IF(Inputs!$B$10="","",IF($AH1065=0,G1064,SUMIFS(Data!$R$10:$R$3209,Data!$Q$10:$Q$3209,"&gt;="&amp;$A1065,Data!$Q$10:$Q$3209,"&lt;"&amp;$A1065+1)/$AH1065)))</f>
        <v/>
      </c>
      <c r="I1065" s="54">
        <f>IF($B1065=0,NA(),IF($C1065="",NA(),IF(C$8="",NA(),IF(N(C$8)=0,NA(),IF(Inputs!$C$17="Rebased to 100",$C1065/C$8*100,$C1065)))))</f>
        <v/>
      </c>
      <c r="J1065" s="54">
        <f>IF($B1065=0,NA(),IF($D1065="",NA(),IF(D$8="",NA(),IF(N(D$8)=0,NA(),IF(Inputs!$C$17="Rebased to 100",$D1065/D$8*100,$D1065)))))</f>
        <v/>
      </c>
      <c r="K1065" s="54">
        <f>IF($B1065=0,NA(),IF($E1065="",NA(),IF(E$8="",NA(),IF(N(E$8)=0,NA(),IF(Inputs!$C$17="Rebased to 100",$E1065/E$8*100,$E1065)))))</f>
        <v/>
      </c>
      <c r="L1065" s="54">
        <f>IF($B1065=0,NA(),IF($F1065="",NA(),IF(F$8="",NA(),IF(N(F$8)=0,NA(),IF(Inputs!$C$17="Rebased to 100",$F1065/F$8*100,$F1065)))))</f>
        <v/>
      </c>
      <c r="M1065" s="54">
        <f>IF($B1065=0,NA(),IF($G1065="",NA(),IF(G$8="",NA(),IF(N(G$8)=0,NA(),IF(Inputs!$C$17="Rebased to 100",$G1065/G$8*100,$G1065)))))</f>
        <v/>
      </c>
      <c r="N1065" s="54">
        <f>IF($B1065=0,NA(),IF(Inputs!$C$18&lt;&gt;"Yes",NA(),IF(COUNT(I1065,J1065,K1065,L1065,M1065)=0,NA(),MIN(I1065,J1065,K1065,L1065,M1065))))</f>
        <v/>
      </c>
      <c r="O1065" s="54">
        <f>IF($B1065=0,NA(),IF(Inputs!$B$24&lt;&gt;"Yes",NA(),Inputs!$D$24*Inputs!$C$35))</f>
        <v/>
      </c>
      <c r="P1065" s="54">
        <f>IF($B1065=0,NA(),IF(Inputs!$B$25&lt;&gt;"Yes",NA(),Inputs!$D$25*Inputs!$C$35))</f>
        <v/>
      </c>
      <c r="Q1065" s="54">
        <f>IF($B1065=0,NA(),IF(Inputs!$B$26&lt;&gt;"Yes",NA(),Inputs!$D$26*Inputs!$C$35))</f>
        <v/>
      </c>
      <c r="R1065" s="54">
        <f>IF($B1065=0,NA(),IF(Inputs!$B$27&lt;&gt;"Yes",NA(),Inputs!$D$27*Inputs!$C$35))</f>
        <v/>
      </c>
      <c r="S1065" s="54">
        <f>IF($B1065=0,NA(),IF(Inputs!$B$28&lt;&gt;"Yes",NA(),Inputs!$D$28*Inputs!$C$35))</f>
        <v/>
      </c>
      <c r="T1065" s="54">
        <f>IF($B1065=0,NA(),IF(Inputs!$B$29&lt;&gt;"Yes",NA(),Inputs!$D$29*Inputs!$C$35))</f>
        <v/>
      </c>
      <c r="AD1065">
        <f>IF($B1065=0,0,IF(Inputs!$B$6="",0,COUNTIFS(Data!$A$10:$A$3209,"&gt;="&amp;$A1065,Data!$A$10:$A$3209,"&lt;"&amp;$A1065+1)))</f>
        <v/>
      </c>
      <c r="AE1065">
        <f>IF($B1065=0,0,IF(Inputs!$B$7="",0,COUNTIFS(Data!$E$10:$E$3209,"&gt;="&amp;$A1065,Data!$E$10:$E$3209,"&lt;"&amp;$A1065+1)))</f>
        <v/>
      </c>
      <c r="AF1065">
        <f>IF($B1065=0,0,IF(Inputs!$B$8="",0,COUNTIFS(Data!$I$10:$I$3209,"&gt;="&amp;$A1065,Data!$I$10:$I$3209,"&lt;"&amp;$A1065+1)))</f>
        <v/>
      </c>
      <c r="AG1065">
        <f>IF($B1065=0,0,IF(Inputs!$B$9="",0,COUNTIFS(Data!$M$10:$M$3209,"&gt;="&amp;$A1065,Data!$M$10:$M$3209,"&lt;"&amp;$A1065+1)))</f>
        <v/>
      </c>
      <c r="AH1065">
        <f>IF($B1065=0,0,IF(Inputs!$B$10="",0,COUNTIFS(Data!$Q$10:$Q$3209,"&gt;="&amp;$A1065,Data!$Q$10:$Q$3209,"&lt;"&amp;$A1065+1)))</f>
        <v/>
      </c>
    </row>
    <row r="1066">
      <c r="A1066" s="55">
        <f>MIN(Inputs!$C$15,$A1065+IF(WEEKDAY($A1065,2)=5,3,1))</f>
        <v/>
      </c>
      <c r="B1066">
        <f>IF($A1066&gt;$A1065,1,0)</f>
        <v/>
      </c>
      <c r="C1066" s="56">
        <f>IF($B1066=0,"",IF(Inputs!$B$6="","",IF($AD1066=0,C1065,SUMIFS(Data!$B$10:$B$3209,Data!$A$10:$A$3209,"&gt;="&amp;$A1066,Data!$A$10:$A$3209,"&lt;"&amp;$A1066+1)/$AD1066)))</f>
        <v/>
      </c>
      <c r="D1066" s="56">
        <f>IF($B1066=0,"",IF(Inputs!$B$7="","",IF($AE1066=0,D1065,SUMIFS(Data!$F$10:$F$3209,Data!$E$10:$E$3209,"&gt;="&amp;$A1066,Data!$E$10:$E$3209,"&lt;"&amp;$A1066+1)/$AE1066)))</f>
        <v/>
      </c>
      <c r="E1066" s="56">
        <f>IF($B1066=0,"",IF(Inputs!$B$8="","",IF($AF1066=0,E1065,SUMIFS(Data!$J$10:$J$3209,Data!$I$10:$I$3209,"&gt;="&amp;$A1066,Data!$I$10:$I$3209,"&lt;"&amp;$A1066+1)/$AF1066)))</f>
        <v/>
      </c>
      <c r="F1066" s="56">
        <f>IF($B1066=0,"",IF(Inputs!$B$9="","",IF($AG1066=0,F1065,SUMIFS(Data!$N$10:$N$3209,Data!$M$10:$M$3209,"&gt;="&amp;$A1066,Data!$M$10:$M$3209,"&lt;"&amp;$A1066+1)/$AG1066)))</f>
        <v/>
      </c>
      <c r="G1066" s="56">
        <f>IF($B1066=0,"",IF(Inputs!$B$10="","",IF($AH1066=0,G1065,SUMIFS(Data!$R$10:$R$3209,Data!$Q$10:$Q$3209,"&gt;="&amp;$A1066,Data!$Q$10:$Q$3209,"&lt;"&amp;$A1066+1)/$AH1066)))</f>
        <v/>
      </c>
      <c r="I1066" s="54">
        <f>IF($B1066=0,NA(),IF($C1066="",NA(),IF(C$8="",NA(),IF(N(C$8)=0,NA(),IF(Inputs!$C$17="Rebased to 100",$C1066/C$8*100,$C1066)))))</f>
        <v/>
      </c>
      <c r="J1066" s="54">
        <f>IF($B1066=0,NA(),IF($D1066="",NA(),IF(D$8="",NA(),IF(N(D$8)=0,NA(),IF(Inputs!$C$17="Rebased to 100",$D1066/D$8*100,$D1066)))))</f>
        <v/>
      </c>
      <c r="K1066" s="54">
        <f>IF($B1066=0,NA(),IF($E1066="",NA(),IF(E$8="",NA(),IF(N(E$8)=0,NA(),IF(Inputs!$C$17="Rebased to 100",$E1066/E$8*100,$E1066)))))</f>
        <v/>
      </c>
      <c r="L1066" s="54">
        <f>IF($B1066=0,NA(),IF($F1066="",NA(),IF(F$8="",NA(),IF(N(F$8)=0,NA(),IF(Inputs!$C$17="Rebased to 100",$F1066/F$8*100,$F1066)))))</f>
        <v/>
      </c>
      <c r="M1066" s="54">
        <f>IF($B1066=0,NA(),IF($G1066="",NA(),IF(G$8="",NA(),IF(N(G$8)=0,NA(),IF(Inputs!$C$17="Rebased to 100",$G1066/G$8*100,$G1066)))))</f>
        <v/>
      </c>
      <c r="N1066" s="54">
        <f>IF($B1066=0,NA(),IF(Inputs!$C$18&lt;&gt;"Yes",NA(),IF(COUNT(I1066,J1066,K1066,L1066,M1066)=0,NA(),MIN(I1066,J1066,K1066,L1066,M1066))))</f>
        <v/>
      </c>
      <c r="O1066" s="54">
        <f>IF($B1066=0,NA(),IF(Inputs!$B$24&lt;&gt;"Yes",NA(),Inputs!$D$24*Inputs!$C$35))</f>
        <v/>
      </c>
      <c r="P1066" s="54">
        <f>IF($B1066=0,NA(),IF(Inputs!$B$25&lt;&gt;"Yes",NA(),Inputs!$D$25*Inputs!$C$35))</f>
        <v/>
      </c>
      <c r="Q1066" s="54">
        <f>IF($B1066=0,NA(),IF(Inputs!$B$26&lt;&gt;"Yes",NA(),Inputs!$D$26*Inputs!$C$35))</f>
        <v/>
      </c>
      <c r="R1066" s="54">
        <f>IF($B1066=0,NA(),IF(Inputs!$B$27&lt;&gt;"Yes",NA(),Inputs!$D$27*Inputs!$C$35))</f>
        <v/>
      </c>
      <c r="S1066" s="54">
        <f>IF($B1066=0,NA(),IF(Inputs!$B$28&lt;&gt;"Yes",NA(),Inputs!$D$28*Inputs!$C$35))</f>
        <v/>
      </c>
      <c r="T1066" s="54">
        <f>IF($B1066=0,NA(),IF(Inputs!$B$29&lt;&gt;"Yes",NA(),Inputs!$D$29*Inputs!$C$35))</f>
        <v/>
      </c>
      <c r="AD1066">
        <f>IF($B1066=0,0,IF(Inputs!$B$6="",0,COUNTIFS(Data!$A$10:$A$3209,"&gt;="&amp;$A1066,Data!$A$10:$A$3209,"&lt;"&amp;$A1066+1)))</f>
        <v/>
      </c>
      <c r="AE1066">
        <f>IF($B1066=0,0,IF(Inputs!$B$7="",0,COUNTIFS(Data!$E$10:$E$3209,"&gt;="&amp;$A1066,Data!$E$10:$E$3209,"&lt;"&amp;$A1066+1)))</f>
        <v/>
      </c>
      <c r="AF1066">
        <f>IF($B1066=0,0,IF(Inputs!$B$8="",0,COUNTIFS(Data!$I$10:$I$3209,"&gt;="&amp;$A1066,Data!$I$10:$I$3209,"&lt;"&amp;$A1066+1)))</f>
        <v/>
      </c>
      <c r="AG1066">
        <f>IF($B1066=0,0,IF(Inputs!$B$9="",0,COUNTIFS(Data!$M$10:$M$3209,"&gt;="&amp;$A1066,Data!$M$10:$M$3209,"&lt;"&amp;$A1066+1)))</f>
        <v/>
      </c>
      <c r="AH1066">
        <f>IF($B1066=0,0,IF(Inputs!$B$10="",0,COUNTIFS(Data!$Q$10:$Q$3209,"&gt;="&amp;$A1066,Data!$Q$10:$Q$3209,"&lt;"&amp;$A1066+1)))</f>
        <v/>
      </c>
    </row>
    <row r="1067">
      <c r="A1067" s="55">
        <f>MIN(Inputs!$C$15,$A1066+IF(WEEKDAY($A1066,2)=5,3,1))</f>
        <v/>
      </c>
      <c r="B1067">
        <f>IF($A1067&gt;$A1066,1,0)</f>
        <v/>
      </c>
      <c r="C1067" s="56">
        <f>IF($B1067=0,"",IF(Inputs!$B$6="","",IF($AD1067=0,C1066,SUMIFS(Data!$B$10:$B$3209,Data!$A$10:$A$3209,"&gt;="&amp;$A1067,Data!$A$10:$A$3209,"&lt;"&amp;$A1067+1)/$AD1067)))</f>
        <v/>
      </c>
      <c r="D1067" s="56">
        <f>IF($B1067=0,"",IF(Inputs!$B$7="","",IF($AE1067=0,D1066,SUMIFS(Data!$F$10:$F$3209,Data!$E$10:$E$3209,"&gt;="&amp;$A1067,Data!$E$10:$E$3209,"&lt;"&amp;$A1067+1)/$AE1067)))</f>
        <v/>
      </c>
      <c r="E1067" s="56">
        <f>IF($B1067=0,"",IF(Inputs!$B$8="","",IF($AF1067=0,E1066,SUMIFS(Data!$J$10:$J$3209,Data!$I$10:$I$3209,"&gt;="&amp;$A1067,Data!$I$10:$I$3209,"&lt;"&amp;$A1067+1)/$AF1067)))</f>
        <v/>
      </c>
      <c r="F1067" s="56">
        <f>IF($B1067=0,"",IF(Inputs!$B$9="","",IF($AG1067=0,F1066,SUMIFS(Data!$N$10:$N$3209,Data!$M$10:$M$3209,"&gt;="&amp;$A1067,Data!$M$10:$M$3209,"&lt;"&amp;$A1067+1)/$AG1067)))</f>
        <v/>
      </c>
      <c r="G1067" s="56">
        <f>IF($B1067=0,"",IF(Inputs!$B$10="","",IF($AH1067=0,G1066,SUMIFS(Data!$R$10:$R$3209,Data!$Q$10:$Q$3209,"&gt;="&amp;$A1067,Data!$Q$10:$Q$3209,"&lt;"&amp;$A1067+1)/$AH1067)))</f>
        <v/>
      </c>
      <c r="I1067" s="54">
        <f>IF($B1067=0,NA(),IF($C1067="",NA(),IF(C$8="",NA(),IF(N(C$8)=0,NA(),IF(Inputs!$C$17="Rebased to 100",$C1067/C$8*100,$C1067)))))</f>
        <v/>
      </c>
      <c r="J1067" s="54">
        <f>IF($B1067=0,NA(),IF($D1067="",NA(),IF(D$8="",NA(),IF(N(D$8)=0,NA(),IF(Inputs!$C$17="Rebased to 100",$D1067/D$8*100,$D1067)))))</f>
        <v/>
      </c>
      <c r="K1067" s="54">
        <f>IF($B1067=0,NA(),IF($E1067="",NA(),IF(E$8="",NA(),IF(N(E$8)=0,NA(),IF(Inputs!$C$17="Rebased to 100",$E1067/E$8*100,$E1067)))))</f>
        <v/>
      </c>
      <c r="L1067" s="54">
        <f>IF($B1067=0,NA(),IF($F1067="",NA(),IF(F$8="",NA(),IF(N(F$8)=0,NA(),IF(Inputs!$C$17="Rebased to 100",$F1067/F$8*100,$F1067)))))</f>
        <v/>
      </c>
      <c r="M1067" s="54">
        <f>IF($B1067=0,NA(),IF($G1067="",NA(),IF(G$8="",NA(),IF(N(G$8)=0,NA(),IF(Inputs!$C$17="Rebased to 100",$G1067/G$8*100,$G1067)))))</f>
        <v/>
      </c>
      <c r="N1067" s="54">
        <f>IF($B1067=0,NA(),IF(Inputs!$C$18&lt;&gt;"Yes",NA(),IF(COUNT(I1067,J1067,K1067,L1067,M1067)=0,NA(),MIN(I1067,J1067,K1067,L1067,M1067))))</f>
        <v/>
      </c>
      <c r="O1067" s="54">
        <f>IF($B1067=0,NA(),IF(Inputs!$B$24&lt;&gt;"Yes",NA(),Inputs!$D$24*Inputs!$C$35))</f>
        <v/>
      </c>
      <c r="P1067" s="54">
        <f>IF($B1067=0,NA(),IF(Inputs!$B$25&lt;&gt;"Yes",NA(),Inputs!$D$25*Inputs!$C$35))</f>
        <v/>
      </c>
      <c r="Q1067" s="54">
        <f>IF($B1067=0,NA(),IF(Inputs!$B$26&lt;&gt;"Yes",NA(),Inputs!$D$26*Inputs!$C$35))</f>
        <v/>
      </c>
      <c r="R1067" s="54">
        <f>IF($B1067=0,NA(),IF(Inputs!$B$27&lt;&gt;"Yes",NA(),Inputs!$D$27*Inputs!$C$35))</f>
        <v/>
      </c>
      <c r="S1067" s="54">
        <f>IF($B1067=0,NA(),IF(Inputs!$B$28&lt;&gt;"Yes",NA(),Inputs!$D$28*Inputs!$C$35))</f>
        <v/>
      </c>
      <c r="T1067" s="54">
        <f>IF($B1067=0,NA(),IF(Inputs!$B$29&lt;&gt;"Yes",NA(),Inputs!$D$29*Inputs!$C$35))</f>
        <v/>
      </c>
      <c r="AD1067">
        <f>IF($B1067=0,0,IF(Inputs!$B$6="",0,COUNTIFS(Data!$A$10:$A$3209,"&gt;="&amp;$A1067,Data!$A$10:$A$3209,"&lt;"&amp;$A1067+1)))</f>
        <v/>
      </c>
      <c r="AE1067">
        <f>IF($B1067=0,0,IF(Inputs!$B$7="",0,COUNTIFS(Data!$E$10:$E$3209,"&gt;="&amp;$A1067,Data!$E$10:$E$3209,"&lt;"&amp;$A1067+1)))</f>
        <v/>
      </c>
      <c r="AF1067">
        <f>IF($B1067=0,0,IF(Inputs!$B$8="",0,COUNTIFS(Data!$I$10:$I$3209,"&gt;="&amp;$A1067,Data!$I$10:$I$3209,"&lt;"&amp;$A1067+1)))</f>
        <v/>
      </c>
      <c r="AG1067">
        <f>IF($B1067=0,0,IF(Inputs!$B$9="",0,COUNTIFS(Data!$M$10:$M$3209,"&gt;="&amp;$A1067,Data!$M$10:$M$3209,"&lt;"&amp;$A1067+1)))</f>
        <v/>
      </c>
      <c r="AH1067">
        <f>IF($B1067=0,0,IF(Inputs!$B$10="",0,COUNTIFS(Data!$Q$10:$Q$3209,"&gt;="&amp;$A1067,Data!$Q$10:$Q$3209,"&lt;"&amp;$A1067+1)))</f>
        <v/>
      </c>
    </row>
    <row r="1068">
      <c r="A1068" s="55">
        <f>MIN(Inputs!$C$15,$A1067+IF(WEEKDAY($A1067,2)=5,3,1))</f>
        <v/>
      </c>
      <c r="B1068">
        <f>IF($A1068&gt;$A1067,1,0)</f>
        <v/>
      </c>
      <c r="C1068" s="56">
        <f>IF($B1068=0,"",IF(Inputs!$B$6="","",IF($AD1068=0,C1067,SUMIFS(Data!$B$10:$B$3209,Data!$A$10:$A$3209,"&gt;="&amp;$A1068,Data!$A$10:$A$3209,"&lt;"&amp;$A1068+1)/$AD1068)))</f>
        <v/>
      </c>
      <c r="D1068" s="56">
        <f>IF($B1068=0,"",IF(Inputs!$B$7="","",IF($AE1068=0,D1067,SUMIFS(Data!$F$10:$F$3209,Data!$E$10:$E$3209,"&gt;="&amp;$A1068,Data!$E$10:$E$3209,"&lt;"&amp;$A1068+1)/$AE1068)))</f>
        <v/>
      </c>
      <c r="E1068" s="56">
        <f>IF($B1068=0,"",IF(Inputs!$B$8="","",IF($AF1068=0,E1067,SUMIFS(Data!$J$10:$J$3209,Data!$I$10:$I$3209,"&gt;="&amp;$A1068,Data!$I$10:$I$3209,"&lt;"&amp;$A1068+1)/$AF1068)))</f>
        <v/>
      </c>
      <c r="F1068" s="56">
        <f>IF($B1068=0,"",IF(Inputs!$B$9="","",IF($AG1068=0,F1067,SUMIFS(Data!$N$10:$N$3209,Data!$M$10:$M$3209,"&gt;="&amp;$A1068,Data!$M$10:$M$3209,"&lt;"&amp;$A1068+1)/$AG1068)))</f>
        <v/>
      </c>
      <c r="G1068" s="56">
        <f>IF($B1068=0,"",IF(Inputs!$B$10="","",IF($AH1068=0,G1067,SUMIFS(Data!$R$10:$R$3209,Data!$Q$10:$Q$3209,"&gt;="&amp;$A1068,Data!$Q$10:$Q$3209,"&lt;"&amp;$A1068+1)/$AH1068)))</f>
        <v/>
      </c>
      <c r="I1068" s="54">
        <f>IF($B1068=0,NA(),IF($C1068="",NA(),IF(C$8="",NA(),IF(N(C$8)=0,NA(),IF(Inputs!$C$17="Rebased to 100",$C1068/C$8*100,$C1068)))))</f>
        <v/>
      </c>
      <c r="J1068" s="54">
        <f>IF($B1068=0,NA(),IF($D1068="",NA(),IF(D$8="",NA(),IF(N(D$8)=0,NA(),IF(Inputs!$C$17="Rebased to 100",$D1068/D$8*100,$D1068)))))</f>
        <v/>
      </c>
      <c r="K1068" s="54">
        <f>IF($B1068=0,NA(),IF($E1068="",NA(),IF(E$8="",NA(),IF(N(E$8)=0,NA(),IF(Inputs!$C$17="Rebased to 100",$E1068/E$8*100,$E1068)))))</f>
        <v/>
      </c>
      <c r="L1068" s="54">
        <f>IF($B1068=0,NA(),IF($F1068="",NA(),IF(F$8="",NA(),IF(N(F$8)=0,NA(),IF(Inputs!$C$17="Rebased to 100",$F1068/F$8*100,$F1068)))))</f>
        <v/>
      </c>
      <c r="M1068" s="54">
        <f>IF($B1068=0,NA(),IF($G1068="",NA(),IF(G$8="",NA(),IF(N(G$8)=0,NA(),IF(Inputs!$C$17="Rebased to 100",$G1068/G$8*100,$G1068)))))</f>
        <v/>
      </c>
      <c r="N1068" s="54">
        <f>IF($B1068=0,NA(),IF(Inputs!$C$18&lt;&gt;"Yes",NA(),IF(COUNT(I1068,J1068,K1068,L1068,M1068)=0,NA(),MIN(I1068,J1068,K1068,L1068,M1068))))</f>
        <v/>
      </c>
      <c r="O1068" s="54">
        <f>IF($B1068=0,NA(),IF(Inputs!$B$24&lt;&gt;"Yes",NA(),Inputs!$D$24*Inputs!$C$35))</f>
        <v/>
      </c>
      <c r="P1068" s="54">
        <f>IF($B1068=0,NA(),IF(Inputs!$B$25&lt;&gt;"Yes",NA(),Inputs!$D$25*Inputs!$C$35))</f>
        <v/>
      </c>
      <c r="Q1068" s="54">
        <f>IF($B1068=0,NA(),IF(Inputs!$B$26&lt;&gt;"Yes",NA(),Inputs!$D$26*Inputs!$C$35))</f>
        <v/>
      </c>
      <c r="R1068" s="54">
        <f>IF($B1068=0,NA(),IF(Inputs!$B$27&lt;&gt;"Yes",NA(),Inputs!$D$27*Inputs!$C$35))</f>
        <v/>
      </c>
      <c r="S1068" s="54">
        <f>IF($B1068=0,NA(),IF(Inputs!$B$28&lt;&gt;"Yes",NA(),Inputs!$D$28*Inputs!$C$35))</f>
        <v/>
      </c>
      <c r="T1068" s="54">
        <f>IF($B1068=0,NA(),IF(Inputs!$B$29&lt;&gt;"Yes",NA(),Inputs!$D$29*Inputs!$C$35))</f>
        <v/>
      </c>
      <c r="AD1068">
        <f>IF($B1068=0,0,IF(Inputs!$B$6="",0,COUNTIFS(Data!$A$10:$A$3209,"&gt;="&amp;$A1068,Data!$A$10:$A$3209,"&lt;"&amp;$A1068+1)))</f>
        <v/>
      </c>
      <c r="AE1068">
        <f>IF($B1068=0,0,IF(Inputs!$B$7="",0,COUNTIFS(Data!$E$10:$E$3209,"&gt;="&amp;$A1068,Data!$E$10:$E$3209,"&lt;"&amp;$A1068+1)))</f>
        <v/>
      </c>
      <c r="AF1068">
        <f>IF($B1068=0,0,IF(Inputs!$B$8="",0,COUNTIFS(Data!$I$10:$I$3209,"&gt;="&amp;$A1068,Data!$I$10:$I$3209,"&lt;"&amp;$A1068+1)))</f>
        <v/>
      </c>
      <c r="AG1068">
        <f>IF($B1068=0,0,IF(Inputs!$B$9="",0,COUNTIFS(Data!$M$10:$M$3209,"&gt;="&amp;$A1068,Data!$M$10:$M$3209,"&lt;"&amp;$A1068+1)))</f>
        <v/>
      </c>
      <c r="AH1068">
        <f>IF($B1068=0,0,IF(Inputs!$B$10="",0,COUNTIFS(Data!$Q$10:$Q$3209,"&gt;="&amp;$A1068,Data!$Q$10:$Q$3209,"&lt;"&amp;$A1068+1)))</f>
        <v/>
      </c>
    </row>
    <row r="1069">
      <c r="A1069" s="55">
        <f>MIN(Inputs!$C$15,$A1068+IF(WEEKDAY($A1068,2)=5,3,1))</f>
        <v/>
      </c>
      <c r="B1069">
        <f>IF($A1069&gt;$A1068,1,0)</f>
        <v/>
      </c>
      <c r="C1069" s="56">
        <f>IF($B1069=0,"",IF(Inputs!$B$6="","",IF($AD1069=0,C1068,SUMIFS(Data!$B$10:$B$3209,Data!$A$10:$A$3209,"&gt;="&amp;$A1069,Data!$A$10:$A$3209,"&lt;"&amp;$A1069+1)/$AD1069)))</f>
        <v/>
      </c>
      <c r="D1069" s="56">
        <f>IF($B1069=0,"",IF(Inputs!$B$7="","",IF($AE1069=0,D1068,SUMIFS(Data!$F$10:$F$3209,Data!$E$10:$E$3209,"&gt;="&amp;$A1069,Data!$E$10:$E$3209,"&lt;"&amp;$A1069+1)/$AE1069)))</f>
        <v/>
      </c>
      <c r="E1069" s="56">
        <f>IF($B1069=0,"",IF(Inputs!$B$8="","",IF($AF1069=0,E1068,SUMIFS(Data!$J$10:$J$3209,Data!$I$10:$I$3209,"&gt;="&amp;$A1069,Data!$I$10:$I$3209,"&lt;"&amp;$A1069+1)/$AF1069)))</f>
        <v/>
      </c>
      <c r="F1069" s="56">
        <f>IF($B1069=0,"",IF(Inputs!$B$9="","",IF($AG1069=0,F1068,SUMIFS(Data!$N$10:$N$3209,Data!$M$10:$M$3209,"&gt;="&amp;$A1069,Data!$M$10:$M$3209,"&lt;"&amp;$A1069+1)/$AG1069)))</f>
        <v/>
      </c>
      <c r="G1069" s="56">
        <f>IF($B1069=0,"",IF(Inputs!$B$10="","",IF($AH1069=0,G1068,SUMIFS(Data!$R$10:$R$3209,Data!$Q$10:$Q$3209,"&gt;="&amp;$A1069,Data!$Q$10:$Q$3209,"&lt;"&amp;$A1069+1)/$AH1069)))</f>
        <v/>
      </c>
      <c r="I1069" s="54">
        <f>IF($B1069=0,NA(),IF($C1069="",NA(),IF(C$8="",NA(),IF(N(C$8)=0,NA(),IF(Inputs!$C$17="Rebased to 100",$C1069/C$8*100,$C1069)))))</f>
        <v/>
      </c>
      <c r="J1069" s="54">
        <f>IF($B1069=0,NA(),IF($D1069="",NA(),IF(D$8="",NA(),IF(N(D$8)=0,NA(),IF(Inputs!$C$17="Rebased to 100",$D1069/D$8*100,$D1069)))))</f>
        <v/>
      </c>
      <c r="K1069" s="54">
        <f>IF($B1069=0,NA(),IF($E1069="",NA(),IF(E$8="",NA(),IF(N(E$8)=0,NA(),IF(Inputs!$C$17="Rebased to 100",$E1069/E$8*100,$E1069)))))</f>
        <v/>
      </c>
      <c r="L1069" s="54">
        <f>IF($B1069=0,NA(),IF($F1069="",NA(),IF(F$8="",NA(),IF(N(F$8)=0,NA(),IF(Inputs!$C$17="Rebased to 100",$F1069/F$8*100,$F1069)))))</f>
        <v/>
      </c>
      <c r="M1069" s="54">
        <f>IF($B1069=0,NA(),IF($G1069="",NA(),IF(G$8="",NA(),IF(N(G$8)=0,NA(),IF(Inputs!$C$17="Rebased to 100",$G1069/G$8*100,$G1069)))))</f>
        <v/>
      </c>
      <c r="N1069" s="54">
        <f>IF($B1069=0,NA(),IF(Inputs!$C$18&lt;&gt;"Yes",NA(),IF(COUNT(I1069,J1069,K1069,L1069,M1069)=0,NA(),MIN(I1069,J1069,K1069,L1069,M1069))))</f>
        <v/>
      </c>
      <c r="O1069" s="54">
        <f>IF($B1069=0,NA(),IF(Inputs!$B$24&lt;&gt;"Yes",NA(),Inputs!$D$24*Inputs!$C$35))</f>
        <v/>
      </c>
      <c r="P1069" s="54">
        <f>IF($B1069=0,NA(),IF(Inputs!$B$25&lt;&gt;"Yes",NA(),Inputs!$D$25*Inputs!$C$35))</f>
        <v/>
      </c>
      <c r="Q1069" s="54">
        <f>IF($B1069=0,NA(),IF(Inputs!$B$26&lt;&gt;"Yes",NA(),Inputs!$D$26*Inputs!$C$35))</f>
        <v/>
      </c>
      <c r="R1069" s="54">
        <f>IF($B1069=0,NA(),IF(Inputs!$B$27&lt;&gt;"Yes",NA(),Inputs!$D$27*Inputs!$C$35))</f>
        <v/>
      </c>
      <c r="S1069" s="54">
        <f>IF($B1069=0,NA(),IF(Inputs!$B$28&lt;&gt;"Yes",NA(),Inputs!$D$28*Inputs!$C$35))</f>
        <v/>
      </c>
      <c r="T1069" s="54">
        <f>IF($B1069=0,NA(),IF(Inputs!$B$29&lt;&gt;"Yes",NA(),Inputs!$D$29*Inputs!$C$35))</f>
        <v/>
      </c>
      <c r="AD1069">
        <f>IF($B1069=0,0,IF(Inputs!$B$6="",0,COUNTIFS(Data!$A$10:$A$3209,"&gt;="&amp;$A1069,Data!$A$10:$A$3209,"&lt;"&amp;$A1069+1)))</f>
        <v/>
      </c>
      <c r="AE1069">
        <f>IF($B1069=0,0,IF(Inputs!$B$7="",0,COUNTIFS(Data!$E$10:$E$3209,"&gt;="&amp;$A1069,Data!$E$10:$E$3209,"&lt;"&amp;$A1069+1)))</f>
        <v/>
      </c>
      <c r="AF1069">
        <f>IF($B1069=0,0,IF(Inputs!$B$8="",0,COUNTIFS(Data!$I$10:$I$3209,"&gt;="&amp;$A1069,Data!$I$10:$I$3209,"&lt;"&amp;$A1069+1)))</f>
        <v/>
      </c>
      <c r="AG1069">
        <f>IF($B1069=0,0,IF(Inputs!$B$9="",0,COUNTIFS(Data!$M$10:$M$3209,"&gt;="&amp;$A1069,Data!$M$10:$M$3209,"&lt;"&amp;$A1069+1)))</f>
        <v/>
      </c>
      <c r="AH1069">
        <f>IF($B1069=0,0,IF(Inputs!$B$10="",0,COUNTIFS(Data!$Q$10:$Q$3209,"&gt;="&amp;$A1069,Data!$Q$10:$Q$3209,"&lt;"&amp;$A1069+1)))</f>
        <v/>
      </c>
    </row>
    <row r="1070">
      <c r="A1070" s="55">
        <f>MIN(Inputs!$C$15,$A1069+IF(WEEKDAY($A1069,2)=5,3,1))</f>
        <v/>
      </c>
      <c r="B1070">
        <f>IF($A1070&gt;$A1069,1,0)</f>
        <v/>
      </c>
      <c r="C1070" s="56">
        <f>IF($B1070=0,"",IF(Inputs!$B$6="","",IF($AD1070=0,C1069,SUMIFS(Data!$B$10:$B$3209,Data!$A$10:$A$3209,"&gt;="&amp;$A1070,Data!$A$10:$A$3209,"&lt;"&amp;$A1070+1)/$AD1070)))</f>
        <v/>
      </c>
      <c r="D1070" s="56">
        <f>IF($B1070=0,"",IF(Inputs!$B$7="","",IF($AE1070=0,D1069,SUMIFS(Data!$F$10:$F$3209,Data!$E$10:$E$3209,"&gt;="&amp;$A1070,Data!$E$10:$E$3209,"&lt;"&amp;$A1070+1)/$AE1070)))</f>
        <v/>
      </c>
      <c r="E1070" s="56">
        <f>IF($B1070=0,"",IF(Inputs!$B$8="","",IF($AF1070=0,E1069,SUMIFS(Data!$J$10:$J$3209,Data!$I$10:$I$3209,"&gt;="&amp;$A1070,Data!$I$10:$I$3209,"&lt;"&amp;$A1070+1)/$AF1070)))</f>
        <v/>
      </c>
      <c r="F1070" s="56">
        <f>IF($B1070=0,"",IF(Inputs!$B$9="","",IF($AG1070=0,F1069,SUMIFS(Data!$N$10:$N$3209,Data!$M$10:$M$3209,"&gt;="&amp;$A1070,Data!$M$10:$M$3209,"&lt;"&amp;$A1070+1)/$AG1070)))</f>
        <v/>
      </c>
      <c r="G1070" s="56">
        <f>IF($B1070=0,"",IF(Inputs!$B$10="","",IF($AH1070=0,G1069,SUMIFS(Data!$R$10:$R$3209,Data!$Q$10:$Q$3209,"&gt;="&amp;$A1070,Data!$Q$10:$Q$3209,"&lt;"&amp;$A1070+1)/$AH1070)))</f>
        <v/>
      </c>
      <c r="I1070" s="54">
        <f>IF($B1070=0,NA(),IF($C1070="",NA(),IF(C$8="",NA(),IF(N(C$8)=0,NA(),IF(Inputs!$C$17="Rebased to 100",$C1070/C$8*100,$C1070)))))</f>
        <v/>
      </c>
      <c r="J1070" s="54">
        <f>IF($B1070=0,NA(),IF($D1070="",NA(),IF(D$8="",NA(),IF(N(D$8)=0,NA(),IF(Inputs!$C$17="Rebased to 100",$D1070/D$8*100,$D1070)))))</f>
        <v/>
      </c>
      <c r="K1070" s="54">
        <f>IF($B1070=0,NA(),IF($E1070="",NA(),IF(E$8="",NA(),IF(N(E$8)=0,NA(),IF(Inputs!$C$17="Rebased to 100",$E1070/E$8*100,$E1070)))))</f>
        <v/>
      </c>
      <c r="L1070" s="54">
        <f>IF($B1070=0,NA(),IF($F1070="",NA(),IF(F$8="",NA(),IF(N(F$8)=0,NA(),IF(Inputs!$C$17="Rebased to 100",$F1070/F$8*100,$F1070)))))</f>
        <v/>
      </c>
      <c r="M1070" s="54">
        <f>IF($B1070=0,NA(),IF($G1070="",NA(),IF(G$8="",NA(),IF(N(G$8)=0,NA(),IF(Inputs!$C$17="Rebased to 100",$G1070/G$8*100,$G1070)))))</f>
        <v/>
      </c>
      <c r="N1070" s="54">
        <f>IF($B1070=0,NA(),IF(Inputs!$C$18&lt;&gt;"Yes",NA(),IF(COUNT(I1070,J1070,K1070,L1070,M1070)=0,NA(),MIN(I1070,J1070,K1070,L1070,M1070))))</f>
        <v/>
      </c>
      <c r="O1070" s="54">
        <f>IF($B1070=0,NA(),IF(Inputs!$B$24&lt;&gt;"Yes",NA(),Inputs!$D$24*Inputs!$C$35))</f>
        <v/>
      </c>
      <c r="P1070" s="54">
        <f>IF($B1070=0,NA(),IF(Inputs!$B$25&lt;&gt;"Yes",NA(),Inputs!$D$25*Inputs!$C$35))</f>
        <v/>
      </c>
      <c r="Q1070" s="54">
        <f>IF($B1070=0,NA(),IF(Inputs!$B$26&lt;&gt;"Yes",NA(),Inputs!$D$26*Inputs!$C$35))</f>
        <v/>
      </c>
      <c r="R1070" s="54">
        <f>IF($B1070=0,NA(),IF(Inputs!$B$27&lt;&gt;"Yes",NA(),Inputs!$D$27*Inputs!$C$35))</f>
        <v/>
      </c>
      <c r="S1070" s="54">
        <f>IF($B1070=0,NA(),IF(Inputs!$B$28&lt;&gt;"Yes",NA(),Inputs!$D$28*Inputs!$C$35))</f>
        <v/>
      </c>
      <c r="T1070" s="54">
        <f>IF($B1070=0,NA(),IF(Inputs!$B$29&lt;&gt;"Yes",NA(),Inputs!$D$29*Inputs!$C$35))</f>
        <v/>
      </c>
      <c r="AD1070">
        <f>IF($B1070=0,0,IF(Inputs!$B$6="",0,COUNTIFS(Data!$A$10:$A$3209,"&gt;="&amp;$A1070,Data!$A$10:$A$3209,"&lt;"&amp;$A1070+1)))</f>
        <v/>
      </c>
      <c r="AE1070">
        <f>IF($B1070=0,0,IF(Inputs!$B$7="",0,COUNTIFS(Data!$E$10:$E$3209,"&gt;="&amp;$A1070,Data!$E$10:$E$3209,"&lt;"&amp;$A1070+1)))</f>
        <v/>
      </c>
      <c r="AF1070">
        <f>IF($B1070=0,0,IF(Inputs!$B$8="",0,COUNTIFS(Data!$I$10:$I$3209,"&gt;="&amp;$A1070,Data!$I$10:$I$3209,"&lt;"&amp;$A1070+1)))</f>
        <v/>
      </c>
      <c r="AG1070">
        <f>IF($B1070=0,0,IF(Inputs!$B$9="",0,COUNTIFS(Data!$M$10:$M$3209,"&gt;="&amp;$A1070,Data!$M$10:$M$3209,"&lt;"&amp;$A1070+1)))</f>
        <v/>
      </c>
      <c r="AH1070">
        <f>IF($B1070=0,0,IF(Inputs!$B$10="",0,COUNTIFS(Data!$Q$10:$Q$3209,"&gt;="&amp;$A1070,Data!$Q$10:$Q$3209,"&lt;"&amp;$A1070+1)))</f>
        <v/>
      </c>
    </row>
    <row r="1071">
      <c r="A1071" s="55">
        <f>MIN(Inputs!$C$15,$A1070+IF(WEEKDAY($A1070,2)=5,3,1))</f>
        <v/>
      </c>
      <c r="B1071">
        <f>IF($A1071&gt;$A1070,1,0)</f>
        <v/>
      </c>
      <c r="C1071" s="56">
        <f>IF($B1071=0,"",IF(Inputs!$B$6="","",IF($AD1071=0,C1070,SUMIFS(Data!$B$10:$B$3209,Data!$A$10:$A$3209,"&gt;="&amp;$A1071,Data!$A$10:$A$3209,"&lt;"&amp;$A1071+1)/$AD1071)))</f>
        <v/>
      </c>
      <c r="D1071" s="56">
        <f>IF($B1071=0,"",IF(Inputs!$B$7="","",IF($AE1071=0,D1070,SUMIFS(Data!$F$10:$F$3209,Data!$E$10:$E$3209,"&gt;="&amp;$A1071,Data!$E$10:$E$3209,"&lt;"&amp;$A1071+1)/$AE1071)))</f>
        <v/>
      </c>
      <c r="E1071" s="56">
        <f>IF($B1071=0,"",IF(Inputs!$B$8="","",IF($AF1071=0,E1070,SUMIFS(Data!$J$10:$J$3209,Data!$I$10:$I$3209,"&gt;="&amp;$A1071,Data!$I$10:$I$3209,"&lt;"&amp;$A1071+1)/$AF1071)))</f>
        <v/>
      </c>
      <c r="F1071" s="56">
        <f>IF($B1071=0,"",IF(Inputs!$B$9="","",IF($AG1071=0,F1070,SUMIFS(Data!$N$10:$N$3209,Data!$M$10:$M$3209,"&gt;="&amp;$A1071,Data!$M$10:$M$3209,"&lt;"&amp;$A1071+1)/$AG1071)))</f>
        <v/>
      </c>
      <c r="G1071" s="56">
        <f>IF($B1071=0,"",IF(Inputs!$B$10="","",IF($AH1071=0,G1070,SUMIFS(Data!$R$10:$R$3209,Data!$Q$10:$Q$3209,"&gt;="&amp;$A1071,Data!$Q$10:$Q$3209,"&lt;"&amp;$A1071+1)/$AH1071)))</f>
        <v/>
      </c>
      <c r="I1071" s="54">
        <f>IF($B1071=0,NA(),IF($C1071="",NA(),IF(C$8="",NA(),IF(N(C$8)=0,NA(),IF(Inputs!$C$17="Rebased to 100",$C1071/C$8*100,$C1071)))))</f>
        <v/>
      </c>
      <c r="J1071" s="54">
        <f>IF($B1071=0,NA(),IF($D1071="",NA(),IF(D$8="",NA(),IF(N(D$8)=0,NA(),IF(Inputs!$C$17="Rebased to 100",$D1071/D$8*100,$D1071)))))</f>
        <v/>
      </c>
      <c r="K1071" s="54">
        <f>IF($B1071=0,NA(),IF($E1071="",NA(),IF(E$8="",NA(),IF(N(E$8)=0,NA(),IF(Inputs!$C$17="Rebased to 100",$E1071/E$8*100,$E1071)))))</f>
        <v/>
      </c>
      <c r="L1071" s="54">
        <f>IF($B1071=0,NA(),IF($F1071="",NA(),IF(F$8="",NA(),IF(N(F$8)=0,NA(),IF(Inputs!$C$17="Rebased to 100",$F1071/F$8*100,$F1071)))))</f>
        <v/>
      </c>
      <c r="M1071" s="54">
        <f>IF($B1071=0,NA(),IF($G1071="",NA(),IF(G$8="",NA(),IF(N(G$8)=0,NA(),IF(Inputs!$C$17="Rebased to 100",$G1071/G$8*100,$G1071)))))</f>
        <v/>
      </c>
      <c r="N1071" s="54">
        <f>IF($B1071=0,NA(),IF(Inputs!$C$18&lt;&gt;"Yes",NA(),IF(COUNT(I1071,J1071,K1071,L1071,M1071)=0,NA(),MIN(I1071,J1071,K1071,L1071,M1071))))</f>
        <v/>
      </c>
      <c r="O1071" s="54">
        <f>IF($B1071=0,NA(),IF(Inputs!$B$24&lt;&gt;"Yes",NA(),Inputs!$D$24*Inputs!$C$35))</f>
        <v/>
      </c>
      <c r="P1071" s="54">
        <f>IF($B1071=0,NA(),IF(Inputs!$B$25&lt;&gt;"Yes",NA(),Inputs!$D$25*Inputs!$C$35))</f>
        <v/>
      </c>
      <c r="Q1071" s="54">
        <f>IF($B1071=0,NA(),IF(Inputs!$B$26&lt;&gt;"Yes",NA(),Inputs!$D$26*Inputs!$C$35))</f>
        <v/>
      </c>
      <c r="R1071" s="54">
        <f>IF($B1071=0,NA(),IF(Inputs!$B$27&lt;&gt;"Yes",NA(),Inputs!$D$27*Inputs!$C$35))</f>
        <v/>
      </c>
      <c r="S1071" s="54">
        <f>IF($B1071=0,NA(),IF(Inputs!$B$28&lt;&gt;"Yes",NA(),Inputs!$D$28*Inputs!$C$35))</f>
        <v/>
      </c>
      <c r="T1071" s="54">
        <f>IF($B1071=0,NA(),IF(Inputs!$B$29&lt;&gt;"Yes",NA(),Inputs!$D$29*Inputs!$C$35))</f>
        <v/>
      </c>
      <c r="AD1071">
        <f>IF($B1071=0,0,IF(Inputs!$B$6="",0,COUNTIFS(Data!$A$10:$A$3209,"&gt;="&amp;$A1071,Data!$A$10:$A$3209,"&lt;"&amp;$A1071+1)))</f>
        <v/>
      </c>
      <c r="AE1071">
        <f>IF($B1071=0,0,IF(Inputs!$B$7="",0,COUNTIFS(Data!$E$10:$E$3209,"&gt;="&amp;$A1071,Data!$E$10:$E$3209,"&lt;"&amp;$A1071+1)))</f>
        <v/>
      </c>
      <c r="AF1071">
        <f>IF($B1071=0,0,IF(Inputs!$B$8="",0,COUNTIFS(Data!$I$10:$I$3209,"&gt;="&amp;$A1071,Data!$I$10:$I$3209,"&lt;"&amp;$A1071+1)))</f>
        <v/>
      </c>
      <c r="AG1071">
        <f>IF($B1071=0,0,IF(Inputs!$B$9="",0,COUNTIFS(Data!$M$10:$M$3209,"&gt;="&amp;$A1071,Data!$M$10:$M$3209,"&lt;"&amp;$A1071+1)))</f>
        <v/>
      </c>
      <c r="AH1071">
        <f>IF($B1071=0,0,IF(Inputs!$B$10="",0,COUNTIFS(Data!$Q$10:$Q$3209,"&gt;="&amp;$A1071,Data!$Q$10:$Q$3209,"&lt;"&amp;$A1071+1)))</f>
        <v/>
      </c>
    </row>
    <row r="1072">
      <c r="A1072" s="55">
        <f>MIN(Inputs!$C$15,$A1071+IF(WEEKDAY($A1071,2)=5,3,1))</f>
        <v/>
      </c>
      <c r="B1072">
        <f>IF($A1072&gt;$A1071,1,0)</f>
        <v/>
      </c>
      <c r="C1072" s="56">
        <f>IF($B1072=0,"",IF(Inputs!$B$6="","",IF($AD1072=0,C1071,SUMIFS(Data!$B$10:$B$3209,Data!$A$10:$A$3209,"&gt;="&amp;$A1072,Data!$A$10:$A$3209,"&lt;"&amp;$A1072+1)/$AD1072)))</f>
        <v/>
      </c>
      <c r="D1072" s="56">
        <f>IF($B1072=0,"",IF(Inputs!$B$7="","",IF($AE1072=0,D1071,SUMIFS(Data!$F$10:$F$3209,Data!$E$10:$E$3209,"&gt;="&amp;$A1072,Data!$E$10:$E$3209,"&lt;"&amp;$A1072+1)/$AE1072)))</f>
        <v/>
      </c>
      <c r="E1072" s="56">
        <f>IF($B1072=0,"",IF(Inputs!$B$8="","",IF($AF1072=0,E1071,SUMIFS(Data!$J$10:$J$3209,Data!$I$10:$I$3209,"&gt;="&amp;$A1072,Data!$I$10:$I$3209,"&lt;"&amp;$A1072+1)/$AF1072)))</f>
        <v/>
      </c>
      <c r="F1072" s="56">
        <f>IF($B1072=0,"",IF(Inputs!$B$9="","",IF($AG1072=0,F1071,SUMIFS(Data!$N$10:$N$3209,Data!$M$10:$M$3209,"&gt;="&amp;$A1072,Data!$M$10:$M$3209,"&lt;"&amp;$A1072+1)/$AG1072)))</f>
        <v/>
      </c>
      <c r="G1072" s="56">
        <f>IF($B1072=0,"",IF(Inputs!$B$10="","",IF($AH1072=0,G1071,SUMIFS(Data!$R$10:$R$3209,Data!$Q$10:$Q$3209,"&gt;="&amp;$A1072,Data!$Q$10:$Q$3209,"&lt;"&amp;$A1072+1)/$AH1072)))</f>
        <v/>
      </c>
      <c r="I1072" s="54">
        <f>IF($B1072=0,NA(),IF($C1072="",NA(),IF(C$8="",NA(),IF(N(C$8)=0,NA(),IF(Inputs!$C$17="Rebased to 100",$C1072/C$8*100,$C1072)))))</f>
        <v/>
      </c>
      <c r="J1072" s="54">
        <f>IF($B1072=0,NA(),IF($D1072="",NA(),IF(D$8="",NA(),IF(N(D$8)=0,NA(),IF(Inputs!$C$17="Rebased to 100",$D1072/D$8*100,$D1072)))))</f>
        <v/>
      </c>
      <c r="K1072" s="54">
        <f>IF($B1072=0,NA(),IF($E1072="",NA(),IF(E$8="",NA(),IF(N(E$8)=0,NA(),IF(Inputs!$C$17="Rebased to 100",$E1072/E$8*100,$E1072)))))</f>
        <v/>
      </c>
      <c r="L1072" s="54">
        <f>IF($B1072=0,NA(),IF($F1072="",NA(),IF(F$8="",NA(),IF(N(F$8)=0,NA(),IF(Inputs!$C$17="Rebased to 100",$F1072/F$8*100,$F1072)))))</f>
        <v/>
      </c>
      <c r="M1072" s="54">
        <f>IF($B1072=0,NA(),IF($G1072="",NA(),IF(G$8="",NA(),IF(N(G$8)=0,NA(),IF(Inputs!$C$17="Rebased to 100",$G1072/G$8*100,$G1072)))))</f>
        <v/>
      </c>
      <c r="N1072" s="54">
        <f>IF($B1072=0,NA(),IF(Inputs!$C$18&lt;&gt;"Yes",NA(),IF(COUNT(I1072,J1072,K1072,L1072,M1072)=0,NA(),MIN(I1072,J1072,K1072,L1072,M1072))))</f>
        <v/>
      </c>
      <c r="O1072" s="54">
        <f>IF($B1072=0,NA(),IF(Inputs!$B$24&lt;&gt;"Yes",NA(),Inputs!$D$24*Inputs!$C$35))</f>
        <v/>
      </c>
      <c r="P1072" s="54">
        <f>IF($B1072=0,NA(),IF(Inputs!$B$25&lt;&gt;"Yes",NA(),Inputs!$D$25*Inputs!$C$35))</f>
        <v/>
      </c>
      <c r="Q1072" s="54">
        <f>IF($B1072=0,NA(),IF(Inputs!$B$26&lt;&gt;"Yes",NA(),Inputs!$D$26*Inputs!$C$35))</f>
        <v/>
      </c>
      <c r="R1072" s="54">
        <f>IF($B1072=0,NA(),IF(Inputs!$B$27&lt;&gt;"Yes",NA(),Inputs!$D$27*Inputs!$C$35))</f>
        <v/>
      </c>
      <c r="S1072" s="54">
        <f>IF($B1072=0,NA(),IF(Inputs!$B$28&lt;&gt;"Yes",NA(),Inputs!$D$28*Inputs!$C$35))</f>
        <v/>
      </c>
      <c r="T1072" s="54">
        <f>IF($B1072=0,NA(),IF(Inputs!$B$29&lt;&gt;"Yes",NA(),Inputs!$D$29*Inputs!$C$35))</f>
        <v/>
      </c>
      <c r="AD1072">
        <f>IF($B1072=0,0,IF(Inputs!$B$6="",0,COUNTIFS(Data!$A$10:$A$3209,"&gt;="&amp;$A1072,Data!$A$10:$A$3209,"&lt;"&amp;$A1072+1)))</f>
        <v/>
      </c>
      <c r="AE1072">
        <f>IF($B1072=0,0,IF(Inputs!$B$7="",0,COUNTIFS(Data!$E$10:$E$3209,"&gt;="&amp;$A1072,Data!$E$10:$E$3209,"&lt;"&amp;$A1072+1)))</f>
        <v/>
      </c>
      <c r="AF1072">
        <f>IF($B1072=0,0,IF(Inputs!$B$8="",0,COUNTIFS(Data!$I$10:$I$3209,"&gt;="&amp;$A1072,Data!$I$10:$I$3209,"&lt;"&amp;$A1072+1)))</f>
        <v/>
      </c>
      <c r="AG1072">
        <f>IF($B1072=0,0,IF(Inputs!$B$9="",0,COUNTIFS(Data!$M$10:$M$3209,"&gt;="&amp;$A1072,Data!$M$10:$M$3209,"&lt;"&amp;$A1072+1)))</f>
        <v/>
      </c>
      <c r="AH1072">
        <f>IF($B1072=0,0,IF(Inputs!$B$10="",0,COUNTIFS(Data!$Q$10:$Q$3209,"&gt;="&amp;$A1072,Data!$Q$10:$Q$3209,"&lt;"&amp;$A1072+1)))</f>
        <v/>
      </c>
    </row>
    <row r="1073">
      <c r="A1073" s="55">
        <f>MIN(Inputs!$C$15,$A1072+IF(WEEKDAY($A1072,2)=5,3,1))</f>
        <v/>
      </c>
      <c r="B1073">
        <f>IF($A1073&gt;$A1072,1,0)</f>
        <v/>
      </c>
      <c r="C1073" s="56">
        <f>IF($B1073=0,"",IF(Inputs!$B$6="","",IF($AD1073=0,C1072,SUMIFS(Data!$B$10:$B$3209,Data!$A$10:$A$3209,"&gt;="&amp;$A1073,Data!$A$10:$A$3209,"&lt;"&amp;$A1073+1)/$AD1073)))</f>
        <v/>
      </c>
      <c r="D1073" s="56">
        <f>IF($B1073=0,"",IF(Inputs!$B$7="","",IF($AE1073=0,D1072,SUMIFS(Data!$F$10:$F$3209,Data!$E$10:$E$3209,"&gt;="&amp;$A1073,Data!$E$10:$E$3209,"&lt;"&amp;$A1073+1)/$AE1073)))</f>
        <v/>
      </c>
      <c r="E1073" s="56">
        <f>IF($B1073=0,"",IF(Inputs!$B$8="","",IF($AF1073=0,E1072,SUMIFS(Data!$J$10:$J$3209,Data!$I$10:$I$3209,"&gt;="&amp;$A1073,Data!$I$10:$I$3209,"&lt;"&amp;$A1073+1)/$AF1073)))</f>
        <v/>
      </c>
      <c r="F1073" s="56">
        <f>IF($B1073=0,"",IF(Inputs!$B$9="","",IF($AG1073=0,F1072,SUMIFS(Data!$N$10:$N$3209,Data!$M$10:$M$3209,"&gt;="&amp;$A1073,Data!$M$10:$M$3209,"&lt;"&amp;$A1073+1)/$AG1073)))</f>
        <v/>
      </c>
      <c r="G1073" s="56">
        <f>IF($B1073=0,"",IF(Inputs!$B$10="","",IF($AH1073=0,G1072,SUMIFS(Data!$R$10:$R$3209,Data!$Q$10:$Q$3209,"&gt;="&amp;$A1073,Data!$Q$10:$Q$3209,"&lt;"&amp;$A1073+1)/$AH1073)))</f>
        <v/>
      </c>
      <c r="I1073" s="54">
        <f>IF($B1073=0,NA(),IF($C1073="",NA(),IF(C$8="",NA(),IF(N(C$8)=0,NA(),IF(Inputs!$C$17="Rebased to 100",$C1073/C$8*100,$C1073)))))</f>
        <v/>
      </c>
      <c r="J1073" s="54">
        <f>IF($B1073=0,NA(),IF($D1073="",NA(),IF(D$8="",NA(),IF(N(D$8)=0,NA(),IF(Inputs!$C$17="Rebased to 100",$D1073/D$8*100,$D1073)))))</f>
        <v/>
      </c>
      <c r="K1073" s="54">
        <f>IF($B1073=0,NA(),IF($E1073="",NA(),IF(E$8="",NA(),IF(N(E$8)=0,NA(),IF(Inputs!$C$17="Rebased to 100",$E1073/E$8*100,$E1073)))))</f>
        <v/>
      </c>
      <c r="L1073" s="54">
        <f>IF($B1073=0,NA(),IF($F1073="",NA(),IF(F$8="",NA(),IF(N(F$8)=0,NA(),IF(Inputs!$C$17="Rebased to 100",$F1073/F$8*100,$F1073)))))</f>
        <v/>
      </c>
      <c r="M1073" s="54">
        <f>IF($B1073=0,NA(),IF($G1073="",NA(),IF(G$8="",NA(),IF(N(G$8)=0,NA(),IF(Inputs!$C$17="Rebased to 100",$G1073/G$8*100,$G1073)))))</f>
        <v/>
      </c>
      <c r="N1073" s="54">
        <f>IF($B1073=0,NA(),IF(Inputs!$C$18&lt;&gt;"Yes",NA(),IF(COUNT(I1073,J1073,K1073,L1073,M1073)=0,NA(),MIN(I1073,J1073,K1073,L1073,M1073))))</f>
        <v/>
      </c>
      <c r="O1073" s="54">
        <f>IF($B1073=0,NA(),IF(Inputs!$B$24&lt;&gt;"Yes",NA(),Inputs!$D$24*Inputs!$C$35))</f>
        <v/>
      </c>
      <c r="P1073" s="54">
        <f>IF($B1073=0,NA(),IF(Inputs!$B$25&lt;&gt;"Yes",NA(),Inputs!$D$25*Inputs!$C$35))</f>
        <v/>
      </c>
      <c r="Q1073" s="54">
        <f>IF($B1073=0,NA(),IF(Inputs!$B$26&lt;&gt;"Yes",NA(),Inputs!$D$26*Inputs!$C$35))</f>
        <v/>
      </c>
      <c r="R1073" s="54">
        <f>IF($B1073=0,NA(),IF(Inputs!$B$27&lt;&gt;"Yes",NA(),Inputs!$D$27*Inputs!$C$35))</f>
        <v/>
      </c>
      <c r="S1073" s="54">
        <f>IF($B1073=0,NA(),IF(Inputs!$B$28&lt;&gt;"Yes",NA(),Inputs!$D$28*Inputs!$C$35))</f>
        <v/>
      </c>
      <c r="T1073" s="54">
        <f>IF($B1073=0,NA(),IF(Inputs!$B$29&lt;&gt;"Yes",NA(),Inputs!$D$29*Inputs!$C$35))</f>
        <v/>
      </c>
      <c r="AD1073">
        <f>IF($B1073=0,0,IF(Inputs!$B$6="",0,COUNTIFS(Data!$A$10:$A$3209,"&gt;="&amp;$A1073,Data!$A$10:$A$3209,"&lt;"&amp;$A1073+1)))</f>
        <v/>
      </c>
      <c r="AE1073">
        <f>IF($B1073=0,0,IF(Inputs!$B$7="",0,COUNTIFS(Data!$E$10:$E$3209,"&gt;="&amp;$A1073,Data!$E$10:$E$3209,"&lt;"&amp;$A1073+1)))</f>
        <v/>
      </c>
      <c r="AF1073">
        <f>IF($B1073=0,0,IF(Inputs!$B$8="",0,COUNTIFS(Data!$I$10:$I$3209,"&gt;="&amp;$A1073,Data!$I$10:$I$3209,"&lt;"&amp;$A1073+1)))</f>
        <v/>
      </c>
      <c r="AG1073">
        <f>IF($B1073=0,0,IF(Inputs!$B$9="",0,COUNTIFS(Data!$M$10:$M$3209,"&gt;="&amp;$A1073,Data!$M$10:$M$3209,"&lt;"&amp;$A1073+1)))</f>
        <v/>
      </c>
      <c r="AH1073">
        <f>IF($B1073=0,0,IF(Inputs!$B$10="",0,COUNTIFS(Data!$Q$10:$Q$3209,"&gt;="&amp;$A1073,Data!$Q$10:$Q$3209,"&lt;"&amp;$A1073+1)))</f>
        <v/>
      </c>
    </row>
    <row r="1074">
      <c r="A1074" s="55">
        <f>MIN(Inputs!$C$15,$A1073+IF(WEEKDAY($A1073,2)=5,3,1))</f>
        <v/>
      </c>
      <c r="B1074">
        <f>IF($A1074&gt;$A1073,1,0)</f>
        <v/>
      </c>
      <c r="C1074" s="56">
        <f>IF($B1074=0,"",IF(Inputs!$B$6="","",IF($AD1074=0,C1073,SUMIFS(Data!$B$10:$B$3209,Data!$A$10:$A$3209,"&gt;="&amp;$A1074,Data!$A$10:$A$3209,"&lt;"&amp;$A1074+1)/$AD1074)))</f>
        <v/>
      </c>
      <c r="D1074" s="56">
        <f>IF($B1074=0,"",IF(Inputs!$B$7="","",IF($AE1074=0,D1073,SUMIFS(Data!$F$10:$F$3209,Data!$E$10:$E$3209,"&gt;="&amp;$A1074,Data!$E$10:$E$3209,"&lt;"&amp;$A1074+1)/$AE1074)))</f>
        <v/>
      </c>
      <c r="E1074" s="56">
        <f>IF($B1074=0,"",IF(Inputs!$B$8="","",IF($AF1074=0,E1073,SUMIFS(Data!$J$10:$J$3209,Data!$I$10:$I$3209,"&gt;="&amp;$A1074,Data!$I$10:$I$3209,"&lt;"&amp;$A1074+1)/$AF1074)))</f>
        <v/>
      </c>
      <c r="F1074" s="56">
        <f>IF($B1074=0,"",IF(Inputs!$B$9="","",IF($AG1074=0,F1073,SUMIFS(Data!$N$10:$N$3209,Data!$M$10:$M$3209,"&gt;="&amp;$A1074,Data!$M$10:$M$3209,"&lt;"&amp;$A1074+1)/$AG1074)))</f>
        <v/>
      </c>
      <c r="G1074" s="56">
        <f>IF($B1074=0,"",IF(Inputs!$B$10="","",IF($AH1074=0,G1073,SUMIFS(Data!$R$10:$R$3209,Data!$Q$10:$Q$3209,"&gt;="&amp;$A1074,Data!$Q$10:$Q$3209,"&lt;"&amp;$A1074+1)/$AH1074)))</f>
        <v/>
      </c>
      <c r="I1074" s="54">
        <f>IF($B1074=0,NA(),IF($C1074="",NA(),IF(C$8="",NA(),IF(N(C$8)=0,NA(),IF(Inputs!$C$17="Rebased to 100",$C1074/C$8*100,$C1074)))))</f>
        <v/>
      </c>
      <c r="J1074" s="54">
        <f>IF($B1074=0,NA(),IF($D1074="",NA(),IF(D$8="",NA(),IF(N(D$8)=0,NA(),IF(Inputs!$C$17="Rebased to 100",$D1074/D$8*100,$D1074)))))</f>
        <v/>
      </c>
      <c r="K1074" s="54">
        <f>IF($B1074=0,NA(),IF($E1074="",NA(),IF(E$8="",NA(),IF(N(E$8)=0,NA(),IF(Inputs!$C$17="Rebased to 100",$E1074/E$8*100,$E1074)))))</f>
        <v/>
      </c>
      <c r="L1074" s="54">
        <f>IF($B1074=0,NA(),IF($F1074="",NA(),IF(F$8="",NA(),IF(N(F$8)=0,NA(),IF(Inputs!$C$17="Rebased to 100",$F1074/F$8*100,$F1074)))))</f>
        <v/>
      </c>
      <c r="M1074" s="54">
        <f>IF($B1074=0,NA(),IF($G1074="",NA(),IF(G$8="",NA(),IF(N(G$8)=0,NA(),IF(Inputs!$C$17="Rebased to 100",$G1074/G$8*100,$G1074)))))</f>
        <v/>
      </c>
      <c r="N1074" s="54">
        <f>IF($B1074=0,NA(),IF(Inputs!$C$18&lt;&gt;"Yes",NA(),IF(COUNT(I1074,J1074,K1074,L1074,M1074)=0,NA(),MIN(I1074,J1074,K1074,L1074,M1074))))</f>
        <v/>
      </c>
      <c r="O1074" s="54">
        <f>IF($B1074=0,NA(),IF(Inputs!$B$24&lt;&gt;"Yes",NA(),Inputs!$D$24*Inputs!$C$35))</f>
        <v/>
      </c>
      <c r="P1074" s="54">
        <f>IF($B1074=0,NA(),IF(Inputs!$B$25&lt;&gt;"Yes",NA(),Inputs!$D$25*Inputs!$C$35))</f>
        <v/>
      </c>
      <c r="Q1074" s="54">
        <f>IF($B1074=0,NA(),IF(Inputs!$B$26&lt;&gt;"Yes",NA(),Inputs!$D$26*Inputs!$C$35))</f>
        <v/>
      </c>
      <c r="R1074" s="54">
        <f>IF($B1074=0,NA(),IF(Inputs!$B$27&lt;&gt;"Yes",NA(),Inputs!$D$27*Inputs!$C$35))</f>
        <v/>
      </c>
      <c r="S1074" s="54">
        <f>IF($B1074=0,NA(),IF(Inputs!$B$28&lt;&gt;"Yes",NA(),Inputs!$D$28*Inputs!$C$35))</f>
        <v/>
      </c>
      <c r="T1074" s="54">
        <f>IF($B1074=0,NA(),IF(Inputs!$B$29&lt;&gt;"Yes",NA(),Inputs!$D$29*Inputs!$C$35))</f>
        <v/>
      </c>
      <c r="AD1074">
        <f>IF($B1074=0,0,IF(Inputs!$B$6="",0,COUNTIFS(Data!$A$10:$A$3209,"&gt;="&amp;$A1074,Data!$A$10:$A$3209,"&lt;"&amp;$A1074+1)))</f>
        <v/>
      </c>
      <c r="AE1074">
        <f>IF($B1074=0,0,IF(Inputs!$B$7="",0,COUNTIFS(Data!$E$10:$E$3209,"&gt;="&amp;$A1074,Data!$E$10:$E$3209,"&lt;"&amp;$A1074+1)))</f>
        <v/>
      </c>
      <c r="AF1074">
        <f>IF($B1074=0,0,IF(Inputs!$B$8="",0,COUNTIFS(Data!$I$10:$I$3209,"&gt;="&amp;$A1074,Data!$I$10:$I$3209,"&lt;"&amp;$A1074+1)))</f>
        <v/>
      </c>
      <c r="AG1074">
        <f>IF($B1074=0,0,IF(Inputs!$B$9="",0,COUNTIFS(Data!$M$10:$M$3209,"&gt;="&amp;$A1074,Data!$M$10:$M$3209,"&lt;"&amp;$A1074+1)))</f>
        <v/>
      </c>
      <c r="AH1074">
        <f>IF($B1074=0,0,IF(Inputs!$B$10="",0,COUNTIFS(Data!$Q$10:$Q$3209,"&gt;="&amp;$A1074,Data!$Q$10:$Q$3209,"&lt;"&amp;$A1074+1)))</f>
        <v/>
      </c>
    </row>
    <row r="1075">
      <c r="A1075" s="55">
        <f>MIN(Inputs!$C$15,$A1074+IF(WEEKDAY($A1074,2)=5,3,1))</f>
        <v/>
      </c>
      <c r="B1075">
        <f>IF($A1075&gt;$A1074,1,0)</f>
        <v/>
      </c>
      <c r="C1075" s="56">
        <f>IF($B1075=0,"",IF(Inputs!$B$6="","",IF($AD1075=0,C1074,SUMIFS(Data!$B$10:$B$3209,Data!$A$10:$A$3209,"&gt;="&amp;$A1075,Data!$A$10:$A$3209,"&lt;"&amp;$A1075+1)/$AD1075)))</f>
        <v/>
      </c>
      <c r="D1075" s="56">
        <f>IF($B1075=0,"",IF(Inputs!$B$7="","",IF($AE1075=0,D1074,SUMIFS(Data!$F$10:$F$3209,Data!$E$10:$E$3209,"&gt;="&amp;$A1075,Data!$E$10:$E$3209,"&lt;"&amp;$A1075+1)/$AE1075)))</f>
        <v/>
      </c>
      <c r="E1075" s="56">
        <f>IF($B1075=0,"",IF(Inputs!$B$8="","",IF($AF1075=0,E1074,SUMIFS(Data!$J$10:$J$3209,Data!$I$10:$I$3209,"&gt;="&amp;$A1075,Data!$I$10:$I$3209,"&lt;"&amp;$A1075+1)/$AF1075)))</f>
        <v/>
      </c>
      <c r="F1075" s="56">
        <f>IF($B1075=0,"",IF(Inputs!$B$9="","",IF($AG1075=0,F1074,SUMIFS(Data!$N$10:$N$3209,Data!$M$10:$M$3209,"&gt;="&amp;$A1075,Data!$M$10:$M$3209,"&lt;"&amp;$A1075+1)/$AG1075)))</f>
        <v/>
      </c>
      <c r="G1075" s="56">
        <f>IF($B1075=0,"",IF(Inputs!$B$10="","",IF($AH1075=0,G1074,SUMIFS(Data!$R$10:$R$3209,Data!$Q$10:$Q$3209,"&gt;="&amp;$A1075,Data!$Q$10:$Q$3209,"&lt;"&amp;$A1075+1)/$AH1075)))</f>
        <v/>
      </c>
      <c r="I1075" s="54">
        <f>IF($B1075=0,NA(),IF($C1075="",NA(),IF(C$8="",NA(),IF(N(C$8)=0,NA(),IF(Inputs!$C$17="Rebased to 100",$C1075/C$8*100,$C1075)))))</f>
        <v/>
      </c>
      <c r="J1075" s="54">
        <f>IF($B1075=0,NA(),IF($D1075="",NA(),IF(D$8="",NA(),IF(N(D$8)=0,NA(),IF(Inputs!$C$17="Rebased to 100",$D1075/D$8*100,$D1075)))))</f>
        <v/>
      </c>
      <c r="K1075" s="54">
        <f>IF($B1075=0,NA(),IF($E1075="",NA(),IF(E$8="",NA(),IF(N(E$8)=0,NA(),IF(Inputs!$C$17="Rebased to 100",$E1075/E$8*100,$E1075)))))</f>
        <v/>
      </c>
      <c r="L1075" s="54">
        <f>IF($B1075=0,NA(),IF($F1075="",NA(),IF(F$8="",NA(),IF(N(F$8)=0,NA(),IF(Inputs!$C$17="Rebased to 100",$F1075/F$8*100,$F1075)))))</f>
        <v/>
      </c>
      <c r="M1075" s="54">
        <f>IF($B1075=0,NA(),IF($G1075="",NA(),IF(G$8="",NA(),IF(N(G$8)=0,NA(),IF(Inputs!$C$17="Rebased to 100",$G1075/G$8*100,$G1075)))))</f>
        <v/>
      </c>
      <c r="N1075" s="54">
        <f>IF($B1075=0,NA(),IF(Inputs!$C$18&lt;&gt;"Yes",NA(),IF(COUNT(I1075,J1075,K1075,L1075,M1075)=0,NA(),MIN(I1075,J1075,K1075,L1075,M1075))))</f>
        <v/>
      </c>
      <c r="O1075" s="54">
        <f>IF($B1075=0,NA(),IF(Inputs!$B$24&lt;&gt;"Yes",NA(),Inputs!$D$24*Inputs!$C$35))</f>
        <v/>
      </c>
      <c r="P1075" s="54">
        <f>IF($B1075=0,NA(),IF(Inputs!$B$25&lt;&gt;"Yes",NA(),Inputs!$D$25*Inputs!$C$35))</f>
        <v/>
      </c>
      <c r="Q1075" s="54">
        <f>IF($B1075=0,NA(),IF(Inputs!$B$26&lt;&gt;"Yes",NA(),Inputs!$D$26*Inputs!$C$35))</f>
        <v/>
      </c>
      <c r="R1075" s="54">
        <f>IF($B1075=0,NA(),IF(Inputs!$B$27&lt;&gt;"Yes",NA(),Inputs!$D$27*Inputs!$C$35))</f>
        <v/>
      </c>
      <c r="S1075" s="54">
        <f>IF($B1075=0,NA(),IF(Inputs!$B$28&lt;&gt;"Yes",NA(),Inputs!$D$28*Inputs!$C$35))</f>
        <v/>
      </c>
      <c r="T1075" s="54">
        <f>IF($B1075=0,NA(),IF(Inputs!$B$29&lt;&gt;"Yes",NA(),Inputs!$D$29*Inputs!$C$35))</f>
        <v/>
      </c>
      <c r="AD1075">
        <f>IF($B1075=0,0,IF(Inputs!$B$6="",0,COUNTIFS(Data!$A$10:$A$3209,"&gt;="&amp;$A1075,Data!$A$10:$A$3209,"&lt;"&amp;$A1075+1)))</f>
        <v/>
      </c>
      <c r="AE1075">
        <f>IF($B1075=0,0,IF(Inputs!$B$7="",0,COUNTIFS(Data!$E$10:$E$3209,"&gt;="&amp;$A1075,Data!$E$10:$E$3209,"&lt;"&amp;$A1075+1)))</f>
        <v/>
      </c>
      <c r="AF1075">
        <f>IF($B1075=0,0,IF(Inputs!$B$8="",0,COUNTIFS(Data!$I$10:$I$3209,"&gt;="&amp;$A1075,Data!$I$10:$I$3209,"&lt;"&amp;$A1075+1)))</f>
        <v/>
      </c>
      <c r="AG1075">
        <f>IF($B1075=0,0,IF(Inputs!$B$9="",0,COUNTIFS(Data!$M$10:$M$3209,"&gt;="&amp;$A1075,Data!$M$10:$M$3209,"&lt;"&amp;$A1075+1)))</f>
        <v/>
      </c>
      <c r="AH1075">
        <f>IF($B1075=0,0,IF(Inputs!$B$10="",0,COUNTIFS(Data!$Q$10:$Q$3209,"&gt;="&amp;$A1075,Data!$Q$10:$Q$3209,"&lt;"&amp;$A1075+1)))</f>
        <v/>
      </c>
    </row>
    <row r="1076">
      <c r="A1076" s="55">
        <f>MIN(Inputs!$C$15,$A1075+IF(WEEKDAY($A1075,2)=5,3,1))</f>
        <v/>
      </c>
      <c r="B1076">
        <f>IF($A1076&gt;$A1075,1,0)</f>
        <v/>
      </c>
      <c r="C1076" s="56">
        <f>IF($B1076=0,"",IF(Inputs!$B$6="","",IF($AD1076=0,C1075,SUMIFS(Data!$B$10:$B$3209,Data!$A$10:$A$3209,"&gt;="&amp;$A1076,Data!$A$10:$A$3209,"&lt;"&amp;$A1076+1)/$AD1076)))</f>
        <v/>
      </c>
      <c r="D1076" s="56">
        <f>IF($B1076=0,"",IF(Inputs!$B$7="","",IF($AE1076=0,D1075,SUMIFS(Data!$F$10:$F$3209,Data!$E$10:$E$3209,"&gt;="&amp;$A1076,Data!$E$10:$E$3209,"&lt;"&amp;$A1076+1)/$AE1076)))</f>
        <v/>
      </c>
      <c r="E1076" s="56">
        <f>IF($B1076=0,"",IF(Inputs!$B$8="","",IF($AF1076=0,E1075,SUMIFS(Data!$J$10:$J$3209,Data!$I$10:$I$3209,"&gt;="&amp;$A1076,Data!$I$10:$I$3209,"&lt;"&amp;$A1076+1)/$AF1076)))</f>
        <v/>
      </c>
      <c r="F1076" s="56">
        <f>IF($B1076=0,"",IF(Inputs!$B$9="","",IF($AG1076=0,F1075,SUMIFS(Data!$N$10:$N$3209,Data!$M$10:$M$3209,"&gt;="&amp;$A1076,Data!$M$10:$M$3209,"&lt;"&amp;$A1076+1)/$AG1076)))</f>
        <v/>
      </c>
      <c r="G1076" s="56">
        <f>IF($B1076=0,"",IF(Inputs!$B$10="","",IF($AH1076=0,G1075,SUMIFS(Data!$R$10:$R$3209,Data!$Q$10:$Q$3209,"&gt;="&amp;$A1076,Data!$Q$10:$Q$3209,"&lt;"&amp;$A1076+1)/$AH1076)))</f>
        <v/>
      </c>
      <c r="I1076" s="54">
        <f>IF($B1076=0,NA(),IF($C1076="",NA(),IF(C$8="",NA(),IF(N(C$8)=0,NA(),IF(Inputs!$C$17="Rebased to 100",$C1076/C$8*100,$C1076)))))</f>
        <v/>
      </c>
      <c r="J1076" s="54">
        <f>IF($B1076=0,NA(),IF($D1076="",NA(),IF(D$8="",NA(),IF(N(D$8)=0,NA(),IF(Inputs!$C$17="Rebased to 100",$D1076/D$8*100,$D1076)))))</f>
        <v/>
      </c>
      <c r="K1076" s="54">
        <f>IF($B1076=0,NA(),IF($E1076="",NA(),IF(E$8="",NA(),IF(N(E$8)=0,NA(),IF(Inputs!$C$17="Rebased to 100",$E1076/E$8*100,$E1076)))))</f>
        <v/>
      </c>
      <c r="L1076" s="54">
        <f>IF($B1076=0,NA(),IF($F1076="",NA(),IF(F$8="",NA(),IF(N(F$8)=0,NA(),IF(Inputs!$C$17="Rebased to 100",$F1076/F$8*100,$F1076)))))</f>
        <v/>
      </c>
      <c r="M1076" s="54">
        <f>IF($B1076=0,NA(),IF($G1076="",NA(),IF(G$8="",NA(),IF(N(G$8)=0,NA(),IF(Inputs!$C$17="Rebased to 100",$G1076/G$8*100,$G1076)))))</f>
        <v/>
      </c>
      <c r="N1076" s="54">
        <f>IF($B1076=0,NA(),IF(Inputs!$C$18&lt;&gt;"Yes",NA(),IF(COUNT(I1076,J1076,K1076,L1076,M1076)=0,NA(),MIN(I1076,J1076,K1076,L1076,M1076))))</f>
        <v/>
      </c>
      <c r="O1076" s="54">
        <f>IF($B1076=0,NA(),IF(Inputs!$B$24&lt;&gt;"Yes",NA(),Inputs!$D$24*Inputs!$C$35))</f>
        <v/>
      </c>
      <c r="P1076" s="54">
        <f>IF($B1076=0,NA(),IF(Inputs!$B$25&lt;&gt;"Yes",NA(),Inputs!$D$25*Inputs!$C$35))</f>
        <v/>
      </c>
      <c r="Q1076" s="54">
        <f>IF($B1076=0,NA(),IF(Inputs!$B$26&lt;&gt;"Yes",NA(),Inputs!$D$26*Inputs!$C$35))</f>
        <v/>
      </c>
      <c r="R1076" s="54">
        <f>IF($B1076=0,NA(),IF(Inputs!$B$27&lt;&gt;"Yes",NA(),Inputs!$D$27*Inputs!$C$35))</f>
        <v/>
      </c>
      <c r="S1076" s="54">
        <f>IF($B1076=0,NA(),IF(Inputs!$B$28&lt;&gt;"Yes",NA(),Inputs!$D$28*Inputs!$C$35))</f>
        <v/>
      </c>
      <c r="T1076" s="54">
        <f>IF($B1076=0,NA(),IF(Inputs!$B$29&lt;&gt;"Yes",NA(),Inputs!$D$29*Inputs!$C$35))</f>
        <v/>
      </c>
      <c r="AD1076">
        <f>IF($B1076=0,0,IF(Inputs!$B$6="",0,COUNTIFS(Data!$A$10:$A$3209,"&gt;="&amp;$A1076,Data!$A$10:$A$3209,"&lt;"&amp;$A1076+1)))</f>
        <v/>
      </c>
      <c r="AE1076">
        <f>IF($B1076=0,0,IF(Inputs!$B$7="",0,COUNTIFS(Data!$E$10:$E$3209,"&gt;="&amp;$A1076,Data!$E$10:$E$3209,"&lt;"&amp;$A1076+1)))</f>
        <v/>
      </c>
      <c r="AF1076">
        <f>IF($B1076=0,0,IF(Inputs!$B$8="",0,COUNTIFS(Data!$I$10:$I$3209,"&gt;="&amp;$A1076,Data!$I$10:$I$3209,"&lt;"&amp;$A1076+1)))</f>
        <v/>
      </c>
      <c r="AG1076">
        <f>IF($B1076=0,0,IF(Inputs!$B$9="",0,COUNTIFS(Data!$M$10:$M$3209,"&gt;="&amp;$A1076,Data!$M$10:$M$3209,"&lt;"&amp;$A1076+1)))</f>
        <v/>
      </c>
      <c r="AH1076">
        <f>IF($B1076=0,0,IF(Inputs!$B$10="",0,COUNTIFS(Data!$Q$10:$Q$3209,"&gt;="&amp;$A1076,Data!$Q$10:$Q$3209,"&lt;"&amp;$A1076+1)))</f>
        <v/>
      </c>
    </row>
    <row r="1077">
      <c r="A1077" s="55">
        <f>MIN(Inputs!$C$15,$A1076+IF(WEEKDAY($A1076,2)=5,3,1))</f>
        <v/>
      </c>
      <c r="B1077">
        <f>IF($A1077&gt;$A1076,1,0)</f>
        <v/>
      </c>
      <c r="C1077" s="56">
        <f>IF($B1077=0,"",IF(Inputs!$B$6="","",IF($AD1077=0,C1076,SUMIFS(Data!$B$10:$B$3209,Data!$A$10:$A$3209,"&gt;="&amp;$A1077,Data!$A$10:$A$3209,"&lt;"&amp;$A1077+1)/$AD1077)))</f>
        <v/>
      </c>
      <c r="D1077" s="56">
        <f>IF($B1077=0,"",IF(Inputs!$B$7="","",IF($AE1077=0,D1076,SUMIFS(Data!$F$10:$F$3209,Data!$E$10:$E$3209,"&gt;="&amp;$A1077,Data!$E$10:$E$3209,"&lt;"&amp;$A1077+1)/$AE1077)))</f>
        <v/>
      </c>
      <c r="E1077" s="56">
        <f>IF($B1077=0,"",IF(Inputs!$B$8="","",IF($AF1077=0,E1076,SUMIFS(Data!$J$10:$J$3209,Data!$I$10:$I$3209,"&gt;="&amp;$A1077,Data!$I$10:$I$3209,"&lt;"&amp;$A1077+1)/$AF1077)))</f>
        <v/>
      </c>
      <c r="F1077" s="56">
        <f>IF($B1077=0,"",IF(Inputs!$B$9="","",IF($AG1077=0,F1076,SUMIFS(Data!$N$10:$N$3209,Data!$M$10:$M$3209,"&gt;="&amp;$A1077,Data!$M$10:$M$3209,"&lt;"&amp;$A1077+1)/$AG1077)))</f>
        <v/>
      </c>
      <c r="G1077" s="56">
        <f>IF($B1077=0,"",IF(Inputs!$B$10="","",IF($AH1077=0,G1076,SUMIFS(Data!$R$10:$R$3209,Data!$Q$10:$Q$3209,"&gt;="&amp;$A1077,Data!$Q$10:$Q$3209,"&lt;"&amp;$A1077+1)/$AH1077)))</f>
        <v/>
      </c>
      <c r="I1077" s="54">
        <f>IF($B1077=0,NA(),IF($C1077="",NA(),IF(C$8="",NA(),IF(N(C$8)=0,NA(),IF(Inputs!$C$17="Rebased to 100",$C1077/C$8*100,$C1077)))))</f>
        <v/>
      </c>
      <c r="J1077" s="54">
        <f>IF($B1077=0,NA(),IF($D1077="",NA(),IF(D$8="",NA(),IF(N(D$8)=0,NA(),IF(Inputs!$C$17="Rebased to 100",$D1077/D$8*100,$D1077)))))</f>
        <v/>
      </c>
      <c r="K1077" s="54">
        <f>IF($B1077=0,NA(),IF($E1077="",NA(),IF(E$8="",NA(),IF(N(E$8)=0,NA(),IF(Inputs!$C$17="Rebased to 100",$E1077/E$8*100,$E1077)))))</f>
        <v/>
      </c>
      <c r="L1077" s="54">
        <f>IF($B1077=0,NA(),IF($F1077="",NA(),IF(F$8="",NA(),IF(N(F$8)=0,NA(),IF(Inputs!$C$17="Rebased to 100",$F1077/F$8*100,$F1077)))))</f>
        <v/>
      </c>
      <c r="M1077" s="54">
        <f>IF($B1077=0,NA(),IF($G1077="",NA(),IF(G$8="",NA(),IF(N(G$8)=0,NA(),IF(Inputs!$C$17="Rebased to 100",$G1077/G$8*100,$G1077)))))</f>
        <v/>
      </c>
      <c r="N1077" s="54">
        <f>IF($B1077=0,NA(),IF(Inputs!$C$18&lt;&gt;"Yes",NA(),IF(COUNT(I1077,J1077,K1077,L1077,M1077)=0,NA(),MIN(I1077,J1077,K1077,L1077,M1077))))</f>
        <v/>
      </c>
      <c r="O1077" s="54">
        <f>IF($B1077=0,NA(),IF(Inputs!$B$24&lt;&gt;"Yes",NA(),Inputs!$D$24*Inputs!$C$35))</f>
        <v/>
      </c>
      <c r="P1077" s="54">
        <f>IF($B1077=0,NA(),IF(Inputs!$B$25&lt;&gt;"Yes",NA(),Inputs!$D$25*Inputs!$C$35))</f>
        <v/>
      </c>
      <c r="Q1077" s="54">
        <f>IF($B1077=0,NA(),IF(Inputs!$B$26&lt;&gt;"Yes",NA(),Inputs!$D$26*Inputs!$C$35))</f>
        <v/>
      </c>
      <c r="R1077" s="54">
        <f>IF($B1077=0,NA(),IF(Inputs!$B$27&lt;&gt;"Yes",NA(),Inputs!$D$27*Inputs!$C$35))</f>
        <v/>
      </c>
      <c r="S1077" s="54">
        <f>IF($B1077=0,NA(),IF(Inputs!$B$28&lt;&gt;"Yes",NA(),Inputs!$D$28*Inputs!$C$35))</f>
        <v/>
      </c>
      <c r="T1077" s="54">
        <f>IF($B1077=0,NA(),IF(Inputs!$B$29&lt;&gt;"Yes",NA(),Inputs!$D$29*Inputs!$C$35))</f>
        <v/>
      </c>
      <c r="AD1077">
        <f>IF($B1077=0,0,IF(Inputs!$B$6="",0,COUNTIFS(Data!$A$10:$A$3209,"&gt;="&amp;$A1077,Data!$A$10:$A$3209,"&lt;"&amp;$A1077+1)))</f>
        <v/>
      </c>
      <c r="AE1077">
        <f>IF($B1077=0,0,IF(Inputs!$B$7="",0,COUNTIFS(Data!$E$10:$E$3209,"&gt;="&amp;$A1077,Data!$E$10:$E$3209,"&lt;"&amp;$A1077+1)))</f>
        <v/>
      </c>
      <c r="AF1077">
        <f>IF($B1077=0,0,IF(Inputs!$B$8="",0,COUNTIFS(Data!$I$10:$I$3209,"&gt;="&amp;$A1077,Data!$I$10:$I$3209,"&lt;"&amp;$A1077+1)))</f>
        <v/>
      </c>
      <c r="AG1077">
        <f>IF($B1077=0,0,IF(Inputs!$B$9="",0,COUNTIFS(Data!$M$10:$M$3209,"&gt;="&amp;$A1077,Data!$M$10:$M$3209,"&lt;"&amp;$A1077+1)))</f>
        <v/>
      </c>
      <c r="AH1077">
        <f>IF($B1077=0,0,IF(Inputs!$B$10="",0,COUNTIFS(Data!$Q$10:$Q$3209,"&gt;="&amp;$A1077,Data!$Q$10:$Q$3209,"&lt;"&amp;$A1077+1)))</f>
        <v/>
      </c>
    </row>
    <row r="1078">
      <c r="A1078" s="55">
        <f>MIN(Inputs!$C$15,$A1077+IF(WEEKDAY($A1077,2)=5,3,1))</f>
        <v/>
      </c>
      <c r="B1078">
        <f>IF($A1078&gt;$A1077,1,0)</f>
        <v/>
      </c>
      <c r="C1078" s="56">
        <f>IF($B1078=0,"",IF(Inputs!$B$6="","",IF($AD1078=0,C1077,SUMIFS(Data!$B$10:$B$3209,Data!$A$10:$A$3209,"&gt;="&amp;$A1078,Data!$A$10:$A$3209,"&lt;"&amp;$A1078+1)/$AD1078)))</f>
        <v/>
      </c>
      <c r="D1078" s="56">
        <f>IF($B1078=0,"",IF(Inputs!$B$7="","",IF($AE1078=0,D1077,SUMIFS(Data!$F$10:$F$3209,Data!$E$10:$E$3209,"&gt;="&amp;$A1078,Data!$E$10:$E$3209,"&lt;"&amp;$A1078+1)/$AE1078)))</f>
        <v/>
      </c>
      <c r="E1078" s="56">
        <f>IF($B1078=0,"",IF(Inputs!$B$8="","",IF($AF1078=0,E1077,SUMIFS(Data!$J$10:$J$3209,Data!$I$10:$I$3209,"&gt;="&amp;$A1078,Data!$I$10:$I$3209,"&lt;"&amp;$A1078+1)/$AF1078)))</f>
        <v/>
      </c>
      <c r="F1078" s="56">
        <f>IF($B1078=0,"",IF(Inputs!$B$9="","",IF($AG1078=0,F1077,SUMIFS(Data!$N$10:$N$3209,Data!$M$10:$M$3209,"&gt;="&amp;$A1078,Data!$M$10:$M$3209,"&lt;"&amp;$A1078+1)/$AG1078)))</f>
        <v/>
      </c>
      <c r="G1078" s="56">
        <f>IF($B1078=0,"",IF(Inputs!$B$10="","",IF($AH1078=0,G1077,SUMIFS(Data!$R$10:$R$3209,Data!$Q$10:$Q$3209,"&gt;="&amp;$A1078,Data!$Q$10:$Q$3209,"&lt;"&amp;$A1078+1)/$AH1078)))</f>
        <v/>
      </c>
      <c r="I1078" s="54">
        <f>IF($B1078=0,NA(),IF($C1078="",NA(),IF(C$8="",NA(),IF(N(C$8)=0,NA(),IF(Inputs!$C$17="Rebased to 100",$C1078/C$8*100,$C1078)))))</f>
        <v/>
      </c>
      <c r="J1078" s="54">
        <f>IF($B1078=0,NA(),IF($D1078="",NA(),IF(D$8="",NA(),IF(N(D$8)=0,NA(),IF(Inputs!$C$17="Rebased to 100",$D1078/D$8*100,$D1078)))))</f>
        <v/>
      </c>
      <c r="K1078" s="54">
        <f>IF($B1078=0,NA(),IF($E1078="",NA(),IF(E$8="",NA(),IF(N(E$8)=0,NA(),IF(Inputs!$C$17="Rebased to 100",$E1078/E$8*100,$E1078)))))</f>
        <v/>
      </c>
      <c r="L1078" s="54">
        <f>IF($B1078=0,NA(),IF($F1078="",NA(),IF(F$8="",NA(),IF(N(F$8)=0,NA(),IF(Inputs!$C$17="Rebased to 100",$F1078/F$8*100,$F1078)))))</f>
        <v/>
      </c>
      <c r="M1078" s="54">
        <f>IF($B1078=0,NA(),IF($G1078="",NA(),IF(G$8="",NA(),IF(N(G$8)=0,NA(),IF(Inputs!$C$17="Rebased to 100",$G1078/G$8*100,$G1078)))))</f>
        <v/>
      </c>
      <c r="N1078" s="54">
        <f>IF($B1078=0,NA(),IF(Inputs!$C$18&lt;&gt;"Yes",NA(),IF(COUNT(I1078,J1078,K1078,L1078,M1078)=0,NA(),MIN(I1078,J1078,K1078,L1078,M1078))))</f>
        <v/>
      </c>
      <c r="O1078" s="54">
        <f>IF($B1078=0,NA(),IF(Inputs!$B$24&lt;&gt;"Yes",NA(),Inputs!$D$24*Inputs!$C$35))</f>
        <v/>
      </c>
      <c r="P1078" s="54">
        <f>IF($B1078=0,NA(),IF(Inputs!$B$25&lt;&gt;"Yes",NA(),Inputs!$D$25*Inputs!$C$35))</f>
        <v/>
      </c>
      <c r="Q1078" s="54">
        <f>IF($B1078=0,NA(),IF(Inputs!$B$26&lt;&gt;"Yes",NA(),Inputs!$D$26*Inputs!$C$35))</f>
        <v/>
      </c>
      <c r="R1078" s="54">
        <f>IF($B1078=0,NA(),IF(Inputs!$B$27&lt;&gt;"Yes",NA(),Inputs!$D$27*Inputs!$C$35))</f>
        <v/>
      </c>
      <c r="S1078" s="54">
        <f>IF($B1078=0,NA(),IF(Inputs!$B$28&lt;&gt;"Yes",NA(),Inputs!$D$28*Inputs!$C$35))</f>
        <v/>
      </c>
      <c r="T1078" s="54">
        <f>IF($B1078=0,NA(),IF(Inputs!$B$29&lt;&gt;"Yes",NA(),Inputs!$D$29*Inputs!$C$35))</f>
        <v/>
      </c>
      <c r="AD1078">
        <f>IF($B1078=0,0,IF(Inputs!$B$6="",0,COUNTIFS(Data!$A$10:$A$3209,"&gt;="&amp;$A1078,Data!$A$10:$A$3209,"&lt;"&amp;$A1078+1)))</f>
        <v/>
      </c>
      <c r="AE1078">
        <f>IF($B1078=0,0,IF(Inputs!$B$7="",0,COUNTIFS(Data!$E$10:$E$3209,"&gt;="&amp;$A1078,Data!$E$10:$E$3209,"&lt;"&amp;$A1078+1)))</f>
        <v/>
      </c>
      <c r="AF1078">
        <f>IF($B1078=0,0,IF(Inputs!$B$8="",0,COUNTIFS(Data!$I$10:$I$3209,"&gt;="&amp;$A1078,Data!$I$10:$I$3209,"&lt;"&amp;$A1078+1)))</f>
        <v/>
      </c>
      <c r="AG1078">
        <f>IF($B1078=0,0,IF(Inputs!$B$9="",0,COUNTIFS(Data!$M$10:$M$3209,"&gt;="&amp;$A1078,Data!$M$10:$M$3209,"&lt;"&amp;$A1078+1)))</f>
        <v/>
      </c>
      <c r="AH1078">
        <f>IF($B1078=0,0,IF(Inputs!$B$10="",0,COUNTIFS(Data!$Q$10:$Q$3209,"&gt;="&amp;$A1078,Data!$Q$10:$Q$3209,"&lt;"&amp;$A1078+1)))</f>
        <v/>
      </c>
    </row>
    <row r="1079">
      <c r="A1079" s="55">
        <f>MIN(Inputs!$C$15,$A1078+IF(WEEKDAY($A1078,2)=5,3,1))</f>
        <v/>
      </c>
      <c r="B1079">
        <f>IF($A1079&gt;$A1078,1,0)</f>
        <v/>
      </c>
      <c r="C1079" s="56">
        <f>IF($B1079=0,"",IF(Inputs!$B$6="","",IF($AD1079=0,C1078,SUMIFS(Data!$B$10:$B$3209,Data!$A$10:$A$3209,"&gt;="&amp;$A1079,Data!$A$10:$A$3209,"&lt;"&amp;$A1079+1)/$AD1079)))</f>
        <v/>
      </c>
      <c r="D1079" s="56">
        <f>IF($B1079=0,"",IF(Inputs!$B$7="","",IF($AE1079=0,D1078,SUMIFS(Data!$F$10:$F$3209,Data!$E$10:$E$3209,"&gt;="&amp;$A1079,Data!$E$10:$E$3209,"&lt;"&amp;$A1079+1)/$AE1079)))</f>
        <v/>
      </c>
      <c r="E1079" s="56">
        <f>IF($B1079=0,"",IF(Inputs!$B$8="","",IF($AF1079=0,E1078,SUMIFS(Data!$J$10:$J$3209,Data!$I$10:$I$3209,"&gt;="&amp;$A1079,Data!$I$10:$I$3209,"&lt;"&amp;$A1079+1)/$AF1079)))</f>
        <v/>
      </c>
      <c r="F1079" s="56">
        <f>IF($B1079=0,"",IF(Inputs!$B$9="","",IF($AG1079=0,F1078,SUMIFS(Data!$N$10:$N$3209,Data!$M$10:$M$3209,"&gt;="&amp;$A1079,Data!$M$10:$M$3209,"&lt;"&amp;$A1079+1)/$AG1079)))</f>
        <v/>
      </c>
      <c r="G1079" s="56">
        <f>IF($B1079=0,"",IF(Inputs!$B$10="","",IF($AH1079=0,G1078,SUMIFS(Data!$R$10:$R$3209,Data!$Q$10:$Q$3209,"&gt;="&amp;$A1079,Data!$Q$10:$Q$3209,"&lt;"&amp;$A1079+1)/$AH1079)))</f>
        <v/>
      </c>
      <c r="I1079" s="54">
        <f>IF($B1079=0,NA(),IF($C1079="",NA(),IF(C$8="",NA(),IF(N(C$8)=0,NA(),IF(Inputs!$C$17="Rebased to 100",$C1079/C$8*100,$C1079)))))</f>
        <v/>
      </c>
      <c r="J1079" s="54">
        <f>IF($B1079=0,NA(),IF($D1079="",NA(),IF(D$8="",NA(),IF(N(D$8)=0,NA(),IF(Inputs!$C$17="Rebased to 100",$D1079/D$8*100,$D1079)))))</f>
        <v/>
      </c>
      <c r="K1079" s="54">
        <f>IF($B1079=0,NA(),IF($E1079="",NA(),IF(E$8="",NA(),IF(N(E$8)=0,NA(),IF(Inputs!$C$17="Rebased to 100",$E1079/E$8*100,$E1079)))))</f>
        <v/>
      </c>
      <c r="L1079" s="54">
        <f>IF($B1079=0,NA(),IF($F1079="",NA(),IF(F$8="",NA(),IF(N(F$8)=0,NA(),IF(Inputs!$C$17="Rebased to 100",$F1079/F$8*100,$F1079)))))</f>
        <v/>
      </c>
      <c r="M1079" s="54">
        <f>IF($B1079=0,NA(),IF($G1079="",NA(),IF(G$8="",NA(),IF(N(G$8)=0,NA(),IF(Inputs!$C$17="Rebased to 100",$G1079/G$8*100,$G1079)))))</f>
        <v/>
      </c>
      <c r="N1079" s="54">
        <f>IF($B1079=0,NA(),IF(Inputs!$C$18&lt;&gt;"Yes",NA(),IF(COUNT(I1079,J1079,K1079,L1079,M1079)=0,NA(),MIN(I1079,J1079,K1079,L1079,M1079))))</f>
        <v/>
      </c>
      <c r="O1079" s="54">
        <f>IF($B1079=0,NA(),IF(Inputs!$B$24&lt;&gt;"Yes",NA(),Inputs!$D$24*Inputs!$C$35))</f>
        <v/>
      </c>
      <c r="P1079" s="54">
        <f>IF($B1079=0,NA(),IF(Inputs!$B$25&lt;&gt;"Yes",NA(),Inputs!$D$25*Inputs!$C$35))</f>
        <v/>
      </c>
      <c r="Q1079" s="54">
        <f>IF($B1079=0,NA(),IF(Inputs!$B$26&lt;&gt;"Yes",NA(),Inputs!$D$26*Inputs!$C$35))</f>
        <v/>
      </c>
      <c r="R1079" s="54">
        <f>IF($B1079=0,NA(),IF(Inputs!$B$27&lt;&gt;"Yes",NA(),Inputs!$D$27*Inputs!$C$35))</f>
        <v/>
      </c>
      <c r="S1079" s="54">
        <f>IF($B1079=0,NA(),IF(Inputs!$B$28&lt;&gt;"Yes",NA(),Inputs!$D$28*Inputs!$C$35))</f>
        <v/>
      </c>
      <c r="T1079" s="54">
        <f>IF($B1079=0,NA(),IF(Inputs!$B$29&lt;&gt;"Yes",NA(),Inputs!$D$29*Inputs!$C$35))</f>
        <v/>
      </c>
      <c r="AD1079">
        <f>IF($B1079=0,0,IF(Inputs!$B$6="",0,COUNTIFS(Data!$A$10:$A$3209,"&gt;="&amp;$A1079,Data!$A$10:$A$3209,"&lt;"&amp;$A1079+1)))</f>
        <v/>
      </c>
      <c r="AE1079">
        <f>IF($B1079=0,0,IF(Inputs!$B$7="",0,COUNTIFS(Data!$E$10:$E$3209,"&gt;="&amp;$A1079,Data!$E$10:$E$3209,"&lt;"&amp;$A1079+1)))</f>
        <v/>
      </c>
      <c r="AF1079">
        <f>IF($B1079=0,0,IF(Inputs!$B$8="",0,COUNTIFS(Data!$I$10:$I$3209,"&gt;="&amp;$A1079,Data!$I$10:$I$3209,"&lt;"&amp;$A1079+1)))</f>
        <v/>
      </c>
      <c r="AG1079">
        <f>IF($B1079=0,0,IF(Inputs!$B$9="",0,COUNTIFS(Data!$M$10:$M$3209,"&gt;="&amp;$A1079,Data!$M$10:$M$3209,"&lt;"&amp;$A1079+1)))</f>
        <v/>
      </c>
      <c r="AH1079">
        <f>IF($B1079=0,0,IF(Inputs!$B$10="",0,COUNTIFS(Data!$Q$10:$Q$3209,"&gt;="&amp;$A1079,Data!$Q$10:$Q$3209,"&lt;"&amp;$A1079+1)))</f>
        <v/>
      </c>
    </row>
    <row r="1080">
      <c r="A1080" s="55">
        <f>MIN(Inputs!$C$15,$A1079+IF(WEEKDAY($A1079,2)=5,3,1))</f>
        <v/>
      </c>
      <c r="B1080">
        <f>IF($A1080&gt;$A1079,1,0)</f>
        <v/>
      </c>
      <c r="C1080" s="56">
        <f>IF($B1080=0,"",IF(Inputs!$B$6="","",IF($AD1080=0,C1079,SUMIFS(Data!$B$10:$B$3209,Data!$A$10:$A$3209,"&gt;="&amp;$A1080,Data!$A$10:$A$3209,"&lt;"&amp;$A1080+1)/$AD1080)))</f>
        <v/>
      </c>
      <c r="D1080" s="56">
        <f>IF($B1080=0,"",IF(Inputs!$B$7="","",IF($AE1080=0,D1079,SUMIFS(Data!$F$10:$F$3209,Data!$E$10:$E$3209,"&gt;="&amp;$A1080,Data!$E$10:$E$3209,"&lt;"&amp;$A1080+1)/$AE1080)))</f>
        <v/>
      </c>
      <c r="E1080" s="56">
        <f>IF($B1080=0,"",IF(Inputs!$B$8="","",IF($AF1080=0,E1079,SUMIFS(Data!$J$10:$J$3209,Data!$I$10:$I$3209,"&gt;="&amp;$A1080,Data!$I$10:$I$3209,"&lt;"&amp;$A1080+1)/$AF1080)))</f>
        <v/>
      </c>
      <c r="F1080" s="56">
        <f>IF($B1080=0,"",IF(Inputs!$B$9="","",IF($AG1080=0,F1079,SUMIFS(Data!$N$10:$N$3209,Data!$M$10:$M$3209,"&gt;="&amp;$A1080,Data!$M$10:$M$3209,"&lt;"&amp;$A1080+1)/$AG1080)))</f>
        <v/>
      </c>
      <c r="G1080" s="56">
        <f>IF($B1080=0,"",IF(Inputs!$B$10="","",IF($AH1080=0,G1079,SUMIFS(Data!$R$10:$R$3209,Data!$Q$10:$Q$3209,"&gt;="&amp;$A1080,Data!$Q$10:$Q$3209,"&lt;"&amp;$A1080+1)/$AH1080)))</f>
        <v/>
      </c>
      <c r="I1080" s="54">
        <f>IF($B1080=0,NA(),IF($C1080="",NA(),IF(C$8="",NA(),IF(N(C$8)=0,NA(),IF(Inputs!$C$17="Rebased to 100",$C1080/C$8*100,$C1080)))))</f>
        <v/>
      </c>
      <c r="J1080" s="54">
        <f>IF($B1080=0,NA(),IF($D1080="",NA(),IF(D$8="",NA(),IF(N(D$8)=0,NA(),IF(Inputs!$C$17="Rebased to 100",$D1080/D$8*100,$D1080)))))</f>
        <v/>
      </c>
      <c r="K1080" s="54">
        <f>IF($B1080=0,NA(),IF($E1080="",NA(),IF(E$8="",NA(),IF(N(E$8)=0,NA(),IF(Inputs!$C$17="Rebased to 100",$E1080/E$8*100,$E1080)))))</f>
        <v/>
      </c>
      <c r="L1080" s="54">
        <f>IF($B1080=0,NA(),IF($F1080="",NA(),IF(F$8="",NA(),IF(N(F$8)=0,NA(),IF(Inputs!$C$17="Rebased to 100",$F1080/F$8*100,$F1080)))))</f>
        <v/>
      </c>
      <c r="M1080" s="54">
        <f>IF($B1080=0,NA(),IF($G1080="",NA(),IF(G$8="",NA(),IF(N(G$8)=0,NA(),IF(Inputs!$C$17="Rebased to 100",$G1080/G$8*100,$G1080)))))</f>
        <v/>
      </c>
      <c r="N1080" s="54">
        <f>IF($B1080=0,NA(),IF(Inputs!$C$18&lt;&gt;"Yes",NA(),IF(COUNT(I1080,J1080,K1080,L1080,M1080)=0,NA(),MIN(I1080,J1080,K1080,L1080,M1080))))</f>
        <v/>
      </c>
      <c r="O1080" s="54">
        <f>IF($B1080=0,NA(),IF(Inputs!$B$24&lt;&gt;"Yes",NA(),Inputs!$D$24*Inputs!$C$35))</f>
        <v/>
      </c>
      <c r="P1080" s="54">
        <f>IF($B1080=0,NA(),IF(Inputs!$B$25&lt;&gt;"Yes",NA(),Inputs!$D$25*Inputs!$C$35))</f>
        <v/>
      </c>
      <c r="Q1080" s="54">
        <f>IF($B1080=0,NA(),IF(Inputs!$B$26&lt;&gt;"Yes",NA(),Inputs!$D$26*Inputs!$C$35))</f>
        <v/>
      </c>
      <c r="R1080" s="54">
        <f>IF($B1080=0,NA(),IF(Inputs!$B$27&lt;&gt;"Yes",NA(),Inputs!$D$27*Inputs!$C$35))</f>
        <v/>
      </c>
      <c r="S1080" s="54">
        <f>IF($B1080=0,NA(),IF(Inputs!$B$28&lt;&gt;"Yes",NA(),Inputs!$D$28*Inputs!$C$35))</f>
        <v/>
      </c>
      <c r="T1080" s="54">
        <f>IF($B1080=0,NA(),IF(Inputs!$B$29&lt;&gt;"Yes",NA(),Inputs!$D$29*Inputs!$C$35))</f>
        <v/>
      </c>
      <c r="AD1080">
        <f>IF($B1080=0,0,IF(Inputs!$B$6="",0,COUNTIFS(Data!$A$10:$A$3209,"&gt;="&amp;$A1080,Data!$A$10:$A$3209,"&lt;"&amp;$A1080+1)))</f>
        <v/>
      </c>
      <c r="AE1080">
        <f>IF($B1080=0,0,IF(Inputs!$B$7="",0,COUNTIFS(Data!$E$10:$E$3209,"&gt;="&amp;$A1080,Data!$E$10:$E$3209,"&lt;"&amp;$A1080+1)))</f>
        <v/>
      </c>
      <c r="AF1080">
        <f>IF($B1080=0,0,IF(Inputs!$B$8="",0,COUNTIFS(Data!$I$10:$I$3209,"&gt;="&amp;$A1080,Data!$I$10:$I$3209,"&lt;"&amp;$A1080+1)))</f>
        <v/>
      </c>
      <c r="AG1080">
        <f>IF($B1080=0,0,IF(Inputs!$B$9="",0,COUNTIFS(Data!$M$10:$M$3209,"&gt;="&amp;$A1080,Data!$M$10:$M$3209,"&lt;"&amp;$A1080+1)))</f>
        <v/>
      </c>
      <c r="AH1080">
        <f>IF($B1080=0,0,IF(Inputs!$B$10="",0,COUNTIFS(Data!$Q$10:$Q$3209,"&gt;="&amp;$A1080,Data!$Q$10:$Q$3209,"&lt;"&amp;$A1080+1)))</f>
        <v/>
      </c>
    </row>
    <row r="1081">
      <c r="A1081" s="55">
        <f>MIN(Inputs!$C$15,$A1080+IF(WEEKDAY($A1080,2)=5,3,1))</f>
        <v/>
      </c>
      <c r="B1081">
        <f>IF($A1081&gt;$A1080,1,0)</f>
        <v/>
      </c>
      <c r="C1081" s="56">
        <f>IF($B1081=0,"",IF(Inputs!$B$6="","",IF($AD1081=0,C1080,SUMIFS(Data!$B$10:$B$3209,Data!$A$10:$A$3209,"&gt;="&amp;$A1081,Data!$A$10:$A$3209,"&lt;"&amp;$A1081+1)/$AD1081)))</f>
        <v/>
      </c>
      <c r="D1081" s="56">
        <f>IF($B1081=0,"",IF(Inputs!$B$7="","",IF($AE1081=0,D1080,SUMIFS(Data!$F$10:$F$3209,Data!$E$10:$E$3209,"&gt;="&amp;$A1081,Data!$E$10:$E$3209,"&lt;"&amp;$A1081+1)/$AE1081)))</f>
        <v/>
      </c>
      <c r="E1081" s="56">
        <f>IF($B1081=0,"",IF(Inputs!$B$8="","",IF($AF1081=0,E1080,SUMIFS(Data!$J$10:$J$3209,Data!$I$10:$I$3209,"&gt;="&amp;$A1081,Data!$I$10:$I$3209,"&lt;"&amp;$A1081+1)/$AF1081)))</f>
        <v/>
      </c>
      <c r="F1081" s="56">
        <f>IF($B1081=0,"",IF(Inputs!$B$9="","",IF($AG1081=0,F1080,SUMIFS(Data!$N$10:$N$3209,Data!$M$10:$M$3209,"&gt;="&amp;$A1081,Data!$M$10:$M$3209,"&lt;"&amp;$A1081+1)/$AG1081)))</f>
        <v/>
      </c>
      <c r="G1081" s="56">
        <f>IF($B1081=0,"",IF(Inputs!$B$10="","",IF($AH1081=0,G1080,SUMIFS(Data!$R$10:$R$3209,Data!$Q$10:$Q$3209,"&gt;="&amp;$A1081,Data!$Q$10:$Q$3209,"&lt;"&amp;$A1081+1)/$AH1081)))</f>
        <v/>
      </c>
      <c r="I1081" s="54">
        <f>IF($B1081=0,NA(),IF($C1081="",NA(),IF(C$8="",NA(),IF(N(C$8)=0,NA(),IF(Inputs!$C$17="Rebased to 100",$C1081/C$8*100,$C1081)))))</f>
        <v/>
      </c>
      <c r="J1081" s="54">
        <f>IF($B1081=0,NA(),IF($D1081="",NA(),IF(D$8="",NA(),IF(N(D$8)=0,NA(),IF(Inputs!$C$17="Rebased to 100",$D1081/D$8*100,$D1081)))))</f>
        <v/>
      </c>
      <c r="K1081" s="54">
        <f>IF($B1081=0,NA(),IF($E1081="",NA(),IF(E$8="",NA(),IF(N(E$8)=0,NA(),IF(Inputs!$C$17="Rebased to 100",$E1081/E$8*100,$E1081)))))</f>
        <v/>
      </c>
      <c r="L1081" s="54">
        <f>IF($B1081=0,NA(),IF($F1081="",NA(),IF(F$8="",NA(),IF(N(F$8)=0,NA(),IF(Inputs!$C$17="Rebased to 100",$F1081/F$8*100,$F1081)))))</f>
        <v/>
      </c>
      <c r="M1081" s="54">
        <f>IF($B1081=0,NA(),IF($G1081="",NA(),IF(G$8="",NA(),IF(N(G$8)=0,NA(),IF(Inputs!$C$17="Rebased to 100",$G1081/G$8*100,$G1081)))))</f>
        <v/>
      </c>
      <c r="N1081" s="54">
        <f>IF($B1081=0,NA(),IF(Inputs!$C$18&lt;&gt;"Yes",NA(),IF(COUNT(I1081,J1081,K1081,L1081,M1081)=0,NA(),MIN(I1081,J1081,K1081,L1081,M1081))))</f>
        <v/>
      </c>
      <c r="O1081" s="54">
        <f>IF($B1081=0,NA(),IF(Inputs!$B$24&lt;&gt;"Yes",NA(),Inputs!$D$24*Inputs!$C$35))</f>
        <v/>
      </c>
      <c r="P1081" s="54">
        <f>IF($B1081=0,NA(),IF(Inputs!$B$25&lt;&gt;"Yes",NA(),Inputs!$D$25*Inputs!$C$35))</f>
        <v/>
      </c>
      <c r="Q1081" s="54">
        <f>IF($B1081=0,NA(),IF(Inputs!$B$26&lt;&gt;"Yes",NA(),Inputs!$D$26*Inputs!$C$35))</f>
        <v/>
      </c>
      <c r="R1081" s="54">
        <f>IF($B1081=0,NA(),IF(Inputs!$B$27&lt;&gt;"Yes",NA(),Inputs!$D$27*Inputs!$C$35))</f>
        <v/>
      </c>
      <c r="S1081" s="54">
        <f>IF($B1081=0,NA(),IF(Inputs!$B$28&lt;&gt;"Yes",NA(),Inputs!$D$28*Inputs!$C$35))</f>
        <v/>
      </c>
      <c r="T1081" s="54">
        <f>IF($B1081=0,NA(),IF(Inputs!$B$29&lt;&gt;"Yes",NA(),Inputs!$D$29*Inputs!$C$35))</f>
        <v/>
      </c>
      <c r="AD1081">
        <f>IF($B1081=0,0,IF(Inputs!$B$6="",0,COUNTIFS(Data!$A$10:$A$3209,"&gt;="&amp;$A1081,Data!$A$10:$A$3209,"&lt;"&amp;$A1081+1)))</f>
        <v/>
      </c>
      <c r="AE1081">
        <f>IF($B1081=0,0,IF(Inputs!$B$7="",0,COUNTIFS(Data!$E$10:$E$3209,"&gt;="&amp;$A1081,Data!$E$10:$E$3209,"&lt;"&amp;$A1081+1)))</f>
        <v/>
      </c>
      <c r="AF1081">
        <f>IF($B1081=0,0,IF(Inputs!$B$8="",0,COUNTIFS(Data!$I$10:$I$3209,"&gt;="&amp;$A1081,Data!$I$10:$I$3209,"&lt;"&amp;$A1081+1)))</f>
        <v/>
      </c>
      <c r="AG1081">
        <f>IF($B1081=0,0,IF(Inputs!$B$9="",0,COUNTIFS(Data!$M$10:$M$3209,"&gt;="&amp;$A1081,Data!$M$10:$M$3209,"&lt;"&amp;$A1081+1)))</f>
        <v/>
      </c>
      <c r="AH1081">
        <f>IF($B1081=0,0,IF(Inputs!$B$10="",0,COUNTIFS(Data!$Q$10:$Q$3209,"&gt;="&amp;$A1081,Data!$Q$10:$Q$3209,"&lt;"&amp;$A1081+1)))</f>
        <v/>
      </c>
    </row>
    <row r="1082">
      <c r="A1082" s="55">
        <f>MIN(Inputs!$C$15,$A1081+IF(WEEKDAY($A1081,2)=5,3,1))</f>
        <v/>
      </c>
      <c r="B1082">
        <f>IF($A1082&gt;$A1081,1,0)</f>
        <v/>
      </c>
      <c r="C1082" s="56">
        <f>IF($B1082=0,"",IF(Inputs!$B$6="","",IF($AD1082=0,C1081,SUMIFS(Data!$B$10:$B$3209,Data!$A$10:$A$3209,"&gt;="&amp;$A1082,Data!$A$10:$A$3209,"&lt;"&amp;$A1082+1)/$AD1082)))</f>
        <v/>
      </c>
      <c r="D1082" s="56">
        <f>IF($B1082=0,"",IF(Inputs!$B$7="","",IF($AE1082=0,D1081,SUMIFS(Data!$F$10:$F$3209,Data!$E$10:$E$3209,"&gt;="&amp;$A1082,Data!$E$10:$E$3209,"&lt;"&amp;$A1082+1)/$AE1082)))</f>
        <v/>
      </c>
      <c r="E1082" s="56">
        <f>IF($B1082=0,"",IF(Inputs!$B$8="","",IF($AF1082=0,E1081,SUMIFS(Data!$J$10:$J$3209,Data!$I$10:$I$3209,"&gt;="&amp;$A1082,Data!$I$10:$I$3209,"&lt;"&amp;$A1082+1)/$AF1082)))</f>
        <v/>
      </c>
      <c r="F1082" s="56">
        <f>IF($B1082=0,"",IF(Inputs!$B$9="","",IF($AG1082=0,F1081,SUMIFS(Data!$N$10:$N$3209,Data!$M$10:$M$3209,"&gt;="&amp;$A1082,Data!$M$10:$M$3209,"&lt;"&amp;$A1082+1)/$AG1082)))</f>
        <v/>
      </c>
      <c r="G1082" s="56">
        <f>IF($B1082=0,"",IF(Inputs!$B$10="","",IF($AH1082=0,G1081,SUMIFS(Data!$R$10:$R$3209,Data!$Q$10:$Q$3209,"&gt;="&amp;$A1082,Data!$Q$10:$Q$3209,"&lt;"&amp;$A1082+1)/$AH1082)))</f>
        <v/>
      </c>
      <c r="I1082" s="54">
        <f>IF($B1082=0,NA(),IF($C1082="",NA(),IF(C$8="",NA(),IF(N(C$8)=0,NA(),IF(Inputs!$C$17="Rebased to 100",$C1082/C$8*100,$C1082)))))</f>
        <v/>
      </c>
      <c r="J1082" s="54">
        <f>IF($B1082=0,NA(),IF($D1082="",NA(),IF(D$8="",NA(),IF(N(D$8)=0,NA(),IF(Inputs!$C$17="Rebased to 100",$D1082/D$8*100,$D1082)))))</f>
        <v/>
      </c>
      <c r="K1082" s="54">
        <f>IF($B1082=0,NA(),IF($E1082="",NA(),IF(E$8="",NA(),IF(N(E$8)=0,NA(),IF(Inputs!$C$17="Rebased to 100",$E1082/E$8*100,$E1082)))))</f>
        <v/>
      </c>
      <c r="L1082" s="54">
        <f>IF($B1082=0,NA(),IF($F1082="",NA(),IF(F$8="",NA(),IF(N(F$8)=0,NA(),IF(Inputs!$C$17="Rebased to 100",$F1082/F$8*100,$F1082)))))</f>
        <v/>
      </c>
      <c r="M1082" s="54">
        <f>IF($B1082=0,NA(),IF($G1082="",NA(),IF(G$8="",NA(),IF(N(G$8)=0,NA(),IF(Inputs!$C$17="Rebased to 100",$G1082/G$8*100,$G1082)))))</f>
        <v/>
      </c>
      <c r="N1082" s="54">
        <f>IF($B1082=0,NA(),IF(Inputs!$C$18&lt;&gt;"Yes",NA(),IF(COUNT(I1082,J1082,K1082,L1082,M1082)=0,NA(),MIN(I1082,J1082,K1082,L1082,M1082))))</f>
        <v/>
      </c>
      <c r="O1082" s="54">
        <f>IF($B1082=0,NA(),IF(Inputs!$B$24&lt;&gt;"Yes",NA(),Inputs!$D$24*Inputs!$C$35))</f>
        <v/>
      </c>
      <c r="P1082" s="54">
        <f>IF($B1082=0,NA(),IF(Inputs!$B$25&lt;&gt;"Yes",NA(),Inputs!$D$25*Inputs!$C$35))</f>
        <v/>
      </c>
      <c r="Q1082" s="54">
        <f>IF($B1082=0,NA(),IF(Inputs!$B$26&lt;&gt;"Yes",NA(),Inputs!$D$26*Inputs!$C$35))</f>
        <v/>
      </c>
      <c r="R1082" s="54">
        <f>IF($B1082=0,NA(),IF(Inputs!$B$27&lt;&gt;"Yes",NA(),Inputs!$D$27*Inputs!$C$35))</f>
        <v/>
      </c>
      <c r="S1082" s="54">
        <f>IF($B1082=0,NA(),IF(Inputs!$B$28&lt;&gt;"Yes",NA(),Inputs!$D$28*Inputs!$C$35))</f>
        <v/>
      </c>
      <c r="T1082" s="54">
        <f>IF($B1082=0,NA(),IF(Inputs!$B$29&lt;&gt;"Yes",NA(),Inputs!$D$29*Inputs!$C$35))</f>
        <v/>
      </c>
      <c r="AD1082">
        <f>IF($B1082=0,0,IF(Inputs!$B$6="",0,COUNTIFS(Data!$A$10:$A$3209,"&gt;="&amp;$A1082,Data!$A$10:$A$3209,"&lt;"&amp;$A1082+1)))</f>
        <v/>
      </c>
      <c r="AE1082">
        <f>IF($B1082=0,0,IF(Inputs!$B$7="",0,COUNTIFS(Data!$E$10:$E$3209,"&gt;="&amp;$A1082,Data!$E$10:$E$3209,"&lt;"&amp;$A1082+1)))</f>
        <v/>
      </c>
      <c r="AF1082">
        <f>IF($B1082=0,0,IF(Inputs!$B$8="",0,COUNTIFS(Data!$I$10:$I$3209,"&gt;="&amp;$A1082,Data!$I$10:$I$3209,"&lt;"&amp;$A1082+1)))</f>
        <v/>
      </c>
      <c r="AG1082">
        <f>IF($B1082=0,0,IF(Inputs!$B$9="",0,COUNTIFS(Data!$M$10:$M$3209,"&gt;="&amp;$A1082,Data!$M$10:$M$3209,"&lt;"&amp;$A1082+1)))</f>
        <v/>
      </c>
      <c r="AH1082">
        <f>IF($B1082=0,0,IF(Inputs!$B$10="",0,COUNTIFS(Data!$Q$10:$Q$3209,"&gt;="&amp;$A1082,Data!$Q$10:$Q$3209,"&lt;"&amp;$A1082+1)))</f>
        <v/>
      </c>
    </row>
    <row r="1083">
      <c r="A1083" s="55">
        <f>MIN(Inputs!$C$15,$A1082+IF(WEEKDAY($A1082,2)=5,3,1))</f>
        <v/>
      </c>
      <c r="B1083">
        <f>IF($A1083&gt;$A1082,1,0)</f>
        <v/>
      </c>
      <c r="C1083" s="56">
        <f>IF($B1083=0,"",IF(Inputs!$B$6="","",IF($AD1083=0,C1082,SUMIFS(Data!$B$10:$B$3209,Data!$A$10:$A$3209,"&gt;="&amp;$A1083,Data!$A$10:$A$3209,"&lt;"&amp;$A1083+1)/$AD1083)))</f>
        <v/>
      </c>
      <c r="D1083" s="56">
        <f>IF($B1083=0,"",IF(Inputs!$B$7="","",IF($AE1083=0,D1082,SUMIFS(Data!$F$10:$F$3209,Data!$E$10:$E$3209,"&gt;="&amp;$A1083,Data!$E$10:$E$3209,"&lt;"&amp;$A1083+1)/$AE1083)))</f>
        <v/>
      </c>
      <c r="E1083" s="56">
        <f>IF($B1083=0,"",IF(Inputs!$B$8="","",IF($AF1083=0,E1082,SUMIFS(Data!$J$10:$J$3209,Data!$I$10:$I$3209,"&gt;="&amp;$A1083,Data!$I$10:$I$3209,"&lt;"&amp;$A1083+1)/$AF1083)))</f>
        <v/>
      </c>
      <c r="F1083" s="56">
        <f>IF($B1083=0,"",IF(Inputs!$B$9="","",IF($AG1083=0,F1082,SUMIFS(Data!$N$10:$N$3209,Data!$M$10:$M$3209,"&gt;="&amp;$A1083,Data!$M$10:$M$3209,"&lt;"&amp;$A1083+1)/$AG1083)))</f>
        <v/>
      </c>
      <c r="G1083" s="56">
        <f>IF($B1083=0,"",IF(Inputs!$B$10="","",IF($AH1083=0,G1082,SUMIFS(Data!$R$10:$R$3209,Data!$Q$10:$Q$3209,"&gt;="&amp;$A1083,Data!$Q$10:$Q$3209,"&lt;"&amp;$A1083+1)/$AH1083)))</f>
        <v/>
      </c>
      <c r="I1083" s="54">
        <f>IF($B1083=0,NA(),IF($C1083="",NA(),IF(C$8="",NA(),IF(N(C$8)=0,NA(),IF(Inputs!$C$17="Rebased to 100",$C1083/C$8*100,$C1083)))))</f>
        <v/>
      </c>
      <c r="J1083" s="54">
        <f>IF($B1083=0,NA(),IF($D1083="",NA(),IF(D$8="",NA(),IF(N(D$8)=0,NA(),IF(Inputs!$C$17="Rebased to 100",$D1083/D$8*100,$D1083)))))</f>
        <v/>
      </c>
      <c r="K1083" s="54">
        <f>IF($B1083=0,NA(),IF($E1083="",NA(),IF(E$8="",NA(),IF(N(E$8)=0,NA(),IF(Inputs!$C$17="Rebased to 100",$E1083/E$8*100,$E1083)))))</f>
        <v/>
      </c>
      <c r="L1083" s="54">
        <f>IF($B1083=0,NA(),IF($F1083="",NA(),IF(F$8="",NA(),IF(N(F$8)=0,NA(),IF(Inputs!$C$17="Rebased to 100",$F1083/F$8*100,$F1083)))))</f>
        <v/>
      </c>
      <c r="M1083" s="54">
        <f>IF($B1083=0,NA(),IF($G1083="",NA(),IF(G$8="",NA(),IF(N(G$8)=0,NA(),IF(Inputs!$C$17="Rebased to 100",$G1083/G$8*100,$G1083)))))</f>
        <v/>
      </c>
      <c r="N1083" s="54">
        <f>IF($B1083=0,NA(),IF(Inputs!$C$18&lt;&gt;"Yes",NA(),IF(COUNT(I1083,J1083,K1083,L1083,M1083)=0,NA(),MIN(I1083,J1083,K1083,L1083,M1083))))</f>
        <v/>
      </c>
      <c r="O1083" s="54">
        <f>IF($B1083=0,NA(),IF(Inputs!$B$24&lt;&gt;"Yes",NA(),Inputs!$D$24*Inputs!$C$35))</f>
        <v/>
      </c>
      <c r="P1083" s="54">
        <f>IF($B1083=0,NA(),IF(Inputs!$B$25&lt;&gt;"Yes",NA(),Inputs!$D$25*Inputs!$C$35))</f>
        <v/>
      </c>
      <c r="Q1083" s="54">
        <f>IF($B1083=0,NA(),IF(Inputs!$B$26&lt;&gt;"Yes",NA(),Inputs!$D$26*Inputs!$C$35))</f>
        <v/>
      </c>
      <c r="R1083" s="54">
        <f>IF($B1083=0,NA(),IF(Inputs!$B$27&lt;&gt;"Yes",NA(),Inputs!$D$27*Inputs!$C$35))</f>
        <v/>
      </c>
      <c r="S1083" s="54">
        <f>IF($B1083=0,NA(),IF(Inputs!$B$28&lt;&gt;"Yes",NA(),Inputs!$D$28*Inputs!$C$35))</f>
        <v/>
      </c>
      <c r="T1083" s="54">
        <f>IF($B1083=0,NA(),IF(Inputs!$B$29&lt;&gt;"Yes",NA(),Inputs!$D$29*Inputs!$C$35))</f>
        <v/>
      </c>
      <c r="AD1083">
        <f>IF($B1083=0,0,IF(Inputs!$B$6="",0,COUNTIFS(Data!$A$10:$A$3209,"&gt;="&amp;$A1083,Data!$A$10:$A$3209,"&lt;"&amp;$A1083+1)))</f>
        <v/>
      </c>
      <c r="AE1083">
        <f>IF($B1083=0,0,IF(Inputs!$B$7="",0,COUNTIFS(Data!$E$10:$E$3209,"&gt;="&amp;$A1083,Data!$E$10:$E$3209,"&lt;"&amp;$A1083+1)))</f>
        <v/>
      </c>
      <c r="AF1083">
        <f>IF($B1083=0,0,IF(Inputs!$B$8="",0,COUNTIFS(Data!$I$10:$I$3209,"&gt;="&amp;$A1083,Data!$I$10:$I$3209,"&lt;"&amp;$A1083+1)))</f>
        <v/>
      </c>
      <c r="AG1083">
        <f>IF($B1083=0,0,IF(Inputs!$B$9="",0,COUNTIFS(Data!$M$10:$M$3209,"&gt;="&amp;$A1083,Data!$M$10:$M$3209,"&lt;"&amp;$A1083+1)))</f>
        <v/>
      </c>
      <c r="AH1083">
        <f>IF($B1083=0,0,IF(Inputs!$B$10="",0,COUNTIFS(Data!$Q$10:$Q$3209,"&gt;="&amp;$A1083,Data!$Q$10:$Q$3209,"&lt;"&amp;$A1083+1)))</f>
        <v/>
      </c>
    </row>
    <row r="1084">
      <c r="A1084" s="55">
        <f>MIN(Inputs!$C$15,$A1083+IF(WEEKDAY($A1083,2)=5,3,1))</f>
        <v/>
      </c>
      <c r="B1084">
        <f>IF($A1084&gt;$A1083,1,0)</f>
        <v/>
      </c>
      <c r="C1084" s="56">
        <f>IF($B1084=0,"",IF(Inputs!$B$6="","",IF($AD1084=0,C1083,SUMIFS(Data!$B$10:$B$3209,Data!$A$10:$A$3209,"&gt;="&amp;$A1084,Data!$A$10:$A$3209,"&lt;"&amp;$A1084+1)/$AD1084)))</f>
        <v/>
      </c>
      <c r="D1084" s="56">
        <f>IF($B1084=0,"",IF(Inputs!$B$7="","",IF($AE1084=0,D1083,SUMIFS(Data!$F$10:$F$3209,Data!$E$10:$E$3209,"&gt;="&amp;$A1084,Data!$E$10:$E$3209,"&lt;"&amp;$A1084+1)/$AE1084)))</f>
        <v/>
      </c>
      <c r="E1084" s="56">
        <f>IF($B1084=0,"",IF(Inputs!$B$8="","",IF($AF1084=0,E1083,SUMIFS(Data!$J$10:$J$3209,Data!$I$10:$I$3209,"&gt;="&amp;$A1084,Data!$I$10:$I$3209,"&lt;"&amp;$A1084+1)/$AF1084)))</f>
        <v/>
      </c>
      <c r="F1084" s="56">
        <f>IF($B1084=0,"",IF(Inputs!$B$9="","",IF($AG1084=0,F1083,SUMIFS(Data!$N$10:$N$3209,Data!$M$10:$M$3209,"&gt;="&amp;$A1084,Data!$M$10:$M$3209,"&lt;"&amp;$A1084+1)/$AG1084)))</f>
        <v/>
      </c>
      <c r="G1084" s="56">
        <f>IF($B1084=0,"",IF(Inputs!$B$10="","",IF($AH1084=0,G1083,SUMIFS(Data!$R$10:$R$3209,Data!$Q$10:$Q$3209,"&gt;="&amp;$A1084,Data!$Q$10:$Q$3209,"&lt;"&amp;$A1084+1)/$AH1084)))</f>
        <v/>
      </c>
      <c r="I1084" s="54">
        <f>IF($B1084=0,NA(),IF($C1084="",NA(),IF(C$8="",NA(),IF(N(C$8)=0,NA(),IF(Inputs!$C$17="Rebased to 100",$C1084/C$8*100,$C1084)))))</f>
        <v/>
      </c>
      <c r="J1084" s="54">
        <f>IF($B1084=0,NA(),IF($D1084="",NA(),IF(D$8="",NA(),IF(N(D$8)=0,NA(),IF(Inputs!$C$17="Rebased to 100",$D1084/D$8*100,$D1084)))))</f>
        <v/>
      </c>
      <c r="K1084" s="54">
        <f>IF($B1084=0,NA(),IF($E1084="",NA(),IF(E$8="",NA(),IF(N(E$8)=0,NA(),IF(Inputs!$C$17="Rebased to 100",$E1084/E$8*100,$E1084)))))</f>
        <v/>
      </c>
      <c r="L1084" s="54">
        <f>IF($B1084=0,NA(),IF($F1084="",NA(),IF(F$8="",NA(),IF(N(F$8)=0,NA(),IF(Inputs!$C$17="Rebased to 100",$F1084/F$8*100,$F1084)))))</f>
        <v/>
      </c>
      <c r="M1084" s="54">
        <f>IF($B1084=0,NA(),IF($G1084="",NA(),IF(G$8="",NA(),IF(N(G$8)=0,NA(),IF(Inputs!$C$17="Rebased to 100",$G1084/G$8*100,$G1084)))))</f>
        <v/>
      </c>
      <c r="N1084" s="54">
        <f>IF($B1084=0,NA(),IF(Inputs!$C$18&lt;&gt;"Yes",NA(),IF(COUNT(I1084,J1084,K1084,L1084,M1084)=0,NA(),MIN(I1084,J1084,K1084,L1084,M1084))))</f>
        <v/>
      </c>
      <c r="O1084" s="54">
        <f>IF($B1084=0,NA(),IF(Inputs!$B$24&lt;&gt;"Yes",NA(),Inputs!$D$24*Inputs!$C$35))</f>
        <v/>
      </c>
      <c r="P1084" s="54">
        <f>IF($B1084=0,NA(),IF(Inputs!$B$25&lt;&gt;"Yes",NA(),Inputs!$D$25*Inputs!$C$35))</f>
        <v/>
      </c>
      <c r="Q1084" s="54">
        <f>IF($B1084=0,NA(),IF(Inputs!$B$26&lt;&gt;"Yes",NA(),Inputs!$D$26*Inputs!$C$35))</f>
        <v/>
      </c>
      <c r="R1084" s="54">
        <f>IF($B1084=0,NA(),IF(Inputs!$B$27&lt;&gt;"Yes",NA(),Inputs!$D$27*Inputs!$C$35))</f>
        <v/>
      </c>
      <c r="S1084" s="54">
        <f>IF($B1084=0,NA(),IF(Inputs!$B$28&lt;&gt;"Yes",NA(),Inputs!$D$28*Inputs!$C$35))</f>
        <v/>
      </c>
      <c r="T1084" s="54">
        <f>IF($B1084=0,NA(),IF(Inputs!$B$29&lt;&gt;"Yes",NA(),Inputs!$D$29*Inputs!$C$35))</f>
        <v/>
      </c>
      <c r="AD1084">
        <f>IF($B1084=0,0,IF(Inputs!$B$6="",0,COUNTIFS(Data!$A$10:$A$3209,"&gt;="&amp;$A1084,Data!$A$10:$A$3209,"&lt;"&amp;$A1084+1)))</f>
        <v/>
      </c>
      <c r="AE1084">
        <f>IF($B1084=0,0,IF(Inputs!$B$7="",0,COUNTIFS(Data!$E$10:$E$3209,"&gt;="&amp;$A1084,Data!$E$10:$E$3209,"&lt;"&amp;$A1084+1)))</f>
        <v/>
      </c>
      <c r="AF1084">
        <f>IF($B1084=0,0,IF(Inputs!$B$8="",0,COUNTIFS(Data!$I$10:$I$3209,"&gt;="&amp;$A1084,Data!$I$10:$I$3209,"&lt;"&amp;$A1084+1)))</f>
        <v/>
      </c>
      <c r="AG1084">
        <f>IF($B1084=0,0,IF(Inputs!$B$9="",0,COUNTIFS(Data!$M$10:$M$3209,"&gt;="&amp;$A1084,Data!$M$10:$M$3209,"&lt;"&amp;$A1084+1)))</f>
        <v/>
      </c>
      <c r="AH1084">
        <f>IF($B1084=0,0,IF(Inputs!$B$10="",0,COUNTIFS(Data!$Q$10:$Q$3209,"&gt;="&amp;$A1084,Data!$Q$10:$Q$3209,"&lt;"&amp;$A1084+1)))</f>
        <v/>
      </c>
    </row>
    <row r="1085">
      <c r="A1085" s="55">
        <f>MIN(Inputs!$C$15,$A1084+IF(WEEKDAY($A1084,2)=5,3,1))</f>
        <v/>
      </c>
      <c r="B1085">
        <f>IF($A1085&gt;$A1084,1,0)</f>
        <v/>
      </c>
      <c r="C1085" s="56">
        <f>IF($B1085=0,"",IF(Inputs!$B$6="","",IF($AD1085=0,C1084,SUMIFS(Data!$B$10:$B$3209,Data!$A$10:$A$3209,"&gt;="&amp;$A1085,Data!$A$10:$A$3209,"&lt;"&amp;$A1085+1)/$AD1085)))</f>
        <v/>
      </c>
      <c r="D1085" s="56">
        <f>IF($B1085=0,"",IF(Inputs!$B$7="","",IF($AE1085=0,D1084,SUMIFS(Data!$F$10:$F$3209,Data!$E$10:$E$3209,"&gt;="&amp;$A1085,Data!$E$10:$E$3209,"&lt;"&amp;$A1085+1)/$AE1085)))</f>
        <v/>
      </c>
      <c r="E1085" s="56">
        <f>IF($B1085=0,"",IF(Inputs!$B$8="","",IF($AF1085=0,E1084,SUMIFS(Data!$J$10:$J$3209,Data!$I$10:$I$3209,"&gt;="&amp;$A1085,Data!$I$10:$I$3209,"&lt;"&amp;$A1085+1)/$AF1085)))</f>
        <v/>
      </c>
      <c r="F1085" s="56">
        <f>IF($B1085=0,"",IF(Inputs!$B$9="","",IF($AG1085=0,F1084,SUMIFS(Data!$N$10:$N$3209,Data!$M$10:$M$3209,"&gt;="&amp;$A1085,Data!$M$10:$M$3209,"&lt;"&amp;$A1085+1)/$AG1085)))</f>
        <v/>
      </c>
      <c r="G1085" s="56">
        <f>IF($B1085=0,"",IF(Inputs!$B$10="","",IF($AH1085=0,G1084,SUMIFS(Data!$R$10:$R$3209,Data!$Q$10:$Q$3209,"&gt;="&amp;$A1085,Data!$Q$10:$Q$3209,"&lt;"&amp;$A1085+1)/$AH1085)))</f>
        <v/>
      </c>
      <c r="I1085" s="54">
        <f>IF($B1085=0,NA(),IF($C1085="",NA(),IF(C$8="",NA(),IF(N(C$8)=0,NA(),IF(Inputs!$C$17="Rebased to 100",$C1085/C$8*100,$C1085)))))</f>
        <v/>
      </c>
      <c r="J1085" s="54">
        <f>IF($B1085=0,NA(),IF($D1085="",NA(),IF(D$8="",NA(),IF(N(D$8)=0,NA(),IF(Inputs!$C$17="Rebased to 100",$D1085/D$8*100,$D1085)))))</f>
        <v/>
      </c>
      <c r="K1085" s="54">
        <f>IF($B1085=0,NA(),IF($E1085="",NA(),IF(E$8="",NA(),IF(N(E$8)=0,NA(),IF(Inputs!$C$17="Rebased to 100",$E1085/E$8*100,$E1085)))))</f>
        <v/>
      </c>
      <c r="L1085" s="54">
        <f>IF($B1085=0,NA(),IF($F1085="",NA(),IF(F$8="",NA(),IF(N(F$8)=0,NA(),IF(Inputs!$C$17="Rebased to 100",$F1085/F$8*100,$F1085)))))</f>
        <v/>
      </c>
      <c r="M1085" s="54">
        <f>IF($B1085=0,NA(),IF($G1085="",NA(),IF(G$8="",NA(),IF(N(G$8)=0,NA(),IF(Inputs!$C$17="Rebased to 100",$G1085/G$8*100,$G1085)))))</f>
        <v/>
      </c>
      <c r="N1085" s="54">
        <f>IF($B1085=0,NA(),IF(Inputs!$C$18&lt;&gt;"Yes",NA(),IF(COUNT(I1085,J1085,K1085,L1085,M1085)=0,NA(),MIN(I1085,J1085,K1085,L1085,M1085))))</f>
        <v/>
      </c>
      <c r="O1085" s="54">
        <f>IF($B1085=0,NA(),IF(Inputs!$B$24&lt;&gt;"Yes",NA(),Inputs!$D$24*Inputs!$C$35))</f>
        <v/>
      </c>
      <c r="P1085" s="54">
        <f>IF($B1085=0,NA(),IF(Inputs!$B$25&lt;&gt;"Yes",NA(),Inputs!$D$25*Inputs!$C$35))</f>
        <v/>
      </c>
      <c r="Q1085" s="54">
        <f>IF($B1085=0,NA(),IF(Inputs!$B$26&lt;&gt;"Yes",NA(),Inputs!$D$26*Inputs!$C$35))</f>
        <v/>
      </c>
      <c r="R1085" s="54">
        <f>IF($B1085=0,NA(),IF(Inputs!$B$27&lt;&gt;"Yes",NA(),Inputs!$D$27*Inputs!$C$35))</f>
        <v/>
      </c>
      <c r="S1085" s="54">
        <f>IF($B1085=0,NA(),IF(Inputs!$B$28&lt;&gt;"Yes",NA(),Inputs!$D$28*Inputs!$C$35))</f>
        <v/>
      </c>
      <c r="T1085" s="54">
        <f>IF($B1085=0,NA(),IF(Inputs!$B$29&lt;&gt;"Yes",NA(),Inputs!$D$29*Inputs!$C$35))</f>
        <v/>
      </c>
      <c r="AD1085">
        <f>IF($B1085=0,0,IF(Inputs!$B$6="",0,COUNTIFS(Data!$A$10:$A$3209,"&gt;="&amp;$A1085,Data!$A$10:$A$3209,"&lt;"&amp;$A1085+1)))</f>
        <v/>
      </c>
      <c r="AE1085">
        <f>IF($B1085=0,0,IF(Inputs!$B$7="",0,COUNTIFS(Data!$E$10:$E$3209,"&gt;="&amp;$A1085,Data!$E$10:$E$3209,"&lt;"&amp;$A1085+1)))</f>
        <v/>
      </c>
      <c r="AF1085">
        <f>IF($B1085=0,0,IF(Inputs!$B$8="",0,COUNTIFS(Data!$I$10:$I$3209,"&gt;="&amp;$A1085,Data!$I$10:$I$3209,"&lt;"&amp;$A1085+1)))</f>
        <v/>
      </c>
      <c r="AG1085">
        <f>IF($B1085=0,0,IF(Inputs!$B$9="",0,COUNTIFS(Data!$M$10:$M$3209,"&gt;="&amp;$A1085,Data!$M$10:$M$3209,"&lt;"&amp;$A1085+1)))</f>
        <v/>
      </c>
      <c r="AH1085">
        <f>IF($B1085=0,0,IF(Inputs!$B$10="",0,COUNTIFS(Data!$Q$10:$Q$3209,"&gt;="&amp;$A1085,Data!$Q$10:$Q$3209,"&lt;"&amp;$A1085+1)))</f>
        <v/>
      </c>
    </row>
    <row r="1086">
      <c r="A1086" s="55">
        <f>MIN(Inputs!$C$15,$A1085+IF(WEEKDAY($A1085,2)=5,3,1))</f>
        <v/>
      </c>
      <c r="B1086">
        <f>IF($A1086&gt;$A1085,1,0)</f>
        <v/>
      </c>
      <c r="C1086" s="56">
        <f>IF($B1086=0,"",IF(Inputs!$B$6="","",IF($AD1086=0,C1085,SUMIFS(Data!$B$10:$B$3209,Data!$A$10:$A$3209,"&gt;="&amp;$A1086,Data!$A$10:$A$3209,"&lt;"&amp;$A1086+1)/$AD1086)))</f>
        <v/>
      </c>
      <c r="D1086" s="56">
        <f>IF($B1086=0,"",IF(Inputs!$B$7="","",IF($AE1086=0,D1085,SUMIFS(Data!$F$10:$F$3209,Data!$E$10:$E$3209,"&gt;="&amp;$A1086,Data!$E$10:$E$3209,"&lt;"&amp;$A1086+1)/$AE1086)))</f>
        <v/>
      </c>
      <c r="E1086" s="56">
        <f>IF($B1086=0,"",IF(Inputs!$B$8="","",IF($AF1086=0,E1085,SUMIFS(Data!$J$10:$J$3209,Data!$I$10:$I$3209,"&gt;="&amp;$A1086,Data!$I$10:$I$3209,"&lt;"&amp;$A1086+1)/$AF1086)))</f>
        <v/>
      </c>
      <c r="F1086" s="56">
        <f>IF($B1086=0,"",IF(Inputs!$B$9="","",IF($AG1086=0,F1085,SUMIFS(Data!$N$10:$N$3209,Data!$M$10:$M$3209,"&gt;="&amp;$A1086,Data!$M$10:$M$3209,"&lt;"&amp;$A1086+1)/$AG1086)))</f>
        <v/>
      </c>
      <c r="G1086" s="56">
        <f>IF($B1086=0,"",IF(Inputs!$B$10="","",IF($AH1086=0,G1085,SUMIFS(Data!$R$10:$R$3209,Data!$Q$10:$Q$3209,"&gt;="&amp;$A1086,Data!$Q$10:$Q$3209,"&lt;"&amp;$A1086+1)/$AH1086)))</f>
        <v/>
      </c>
      <c r="I1086" s="54">
        <f>IF($B1086=0,NA(),IF($C1086="",NA(),IF(C$8="",NA(),IF(N(C$8)=0,NA(),IF(Inputs!$C$17="Rebased to 100",$C1086/C$8*100,$C1086)))))</f>
        <v/>
      </c>
      <c r="J1086" s="54">
        <f>IF($B1086=0,NA(),IF($D1086="",NA(),IF(D$8="",NA(),IF(N(D$8)=0,NA(),IF(Inputs!$C$17="Rebased to 100",$D1086/D$8*100,$D1086)))))</f>
        <v/>
      </c>
      <c r="K1086" s="54">
        <f>IF($B1086=0,NA(),IF($E1086="",NA(),IF(E$8="",NA(),IF(N(E$8)=0,NA(),IF(Inputs!$C$17="Rebased to 100",$E1086/E$8*100,$E1086)))))</f>
        <v/>
      </c>
      <c r="L1086" s="54">
        <f>IF($B1086=0,NA(),IF($F1086="",NA(),IF(F$8="",NA(),IF(N(F$8)=0,NA(),IF(Inputs!$C$17="Rebased to 100",$F1086/F$8*100,$F1086)))))</f>
        <v/>
      </c>
      <c r="M1086" s="54">
        <f>IF($B1086=0,NA(),IF($G1086="",NA(),IF(G$8="",NA(),IF(N(G$8)=0,NA(),IF(Inputs!$C$17="Rebased to 100",$G1086/G$8*100,$G1086)))))</f>
        <v/>
      </c>
      <c r="N1086" s="54">
        <f>IF($B1086=0,NA(),IF(Inputs!$C$18&lt;&gt;"Yes",NA(),IF(COUNT(I1086,J1086,K1086,L1086,M1086)=0,NA(),MIN(I1086,J1086,K1086,L1086,M1086))))</f>
        <v/>
      </c>
      <c r="O1086" s="54">
        <f>IF($B1086=0,NA(),IF(Inputs!$B$24&lt;&gt;"Yes",NA(),Inputs!$D$24*Inputs!$C$35))</f>
        <v/>
      </c>
      <c r="P1086" s="54">
        <f>IF($B1086=0,NA(),IF(Inputs!$B$25&lt;&gt;"Yes",NA(),Inputs!$D$25*Inputs!$C$35))</f>
        <v/>
      </c>
      <c r="Q1086" s="54">
        <f>IF($B1086=0,NA(),IF(Inputs!$B$26&lt;&gt;"Yes",NA(),Inputs!$D$26*Inputs!$C$35))</f>
        <v/>
      </c>
      <c r="R1086" s="54">
        <f>IF($B1086=0,NA(),IF(Inputs!$B$27&lt;&gt;"Yes",NA(),Inputs!$D$27*Inputs!$C$35))</f>
        <v/>
      </c>
      <c r="S1086" s="54">
        <f>IF($B1086=0,NA(),IF(Inputs!$B$28&lt;&gt;"Yes",NA(),Inputs!$D$28*Inputs!$C$35))</f>
        <v/>
      </c>
      <c r="T1086" s="54">
        <f>IF($B1086=0,NA(),IF(Inputs!$B$29&lt;&gt;"Yes",NA(),Inputs!$D$29*Inputs!$C$35))</f>
        <v/>
      </c>
      <c r="AD1086">
        <f>IF($B1086=0,0,IF(Inputs!$B$6="",0,COUNTIFS(Data!$A$10:$A$3209,"&gt;="&amp;$A1086,Data!$A$10:$A$3209,"&lt;"&amp;$A1086+1)))</f>
        <v/>
      </c>
      <c r="AE1086">
        <f>IF($B1086=0,0,IF(Inputs!$B$7="",0,COUNTIFS(Data!$E$10:$E$3209,"&gt;="&amp;$A1086,Data!$E$10:$E$3209,"&lt;"&amp;$A1086+1)))</f>
        <v/>
      </c>
      <c r="AF1086">
        <f>IF($B1086=0,0,IF(Inputs!$B$8="",0,COUNTIFS(Data!$I$10:$I$3209,"&gt;="&amp;$A1086,Data!$I$10:$I$3209,"&lt;"&amp;$A1086+1)))</f>
        <v/>
      </c>
      <c r="AG1086">
        <f>IF($B1086=0,0,IF(Inputs!$B$9="",0,COUNTIFS(Data!$M$10:$M$3209,"&gt;="&amp;$A1086,Data!$M$10:$M$3209,"&lt;"&amp;$A1086+1)))</f>
        <v/>
      </c>
      <c r="AH1086">
        <f>IF($B1086=0,0,IF(Inputs!$B$10="",0,COUNTIFS(Data!$Q$10:$Q$3209,"&gt;="&amp;$A1086,Data!$Q$10:$Q$3209,"&lt;"&amp;$A1086+1)))</f>
        <v/>
      </c>
    </row>
    <row r="1087">
      <c r="A1087" s="55">
        <f>MIN(Inputs!$C$15,$A1086+IF(WEEKDAY($A1086,2)=5,3,1))</f>
        <v/>
      </c>
      <c r="B1087">
        <f>IF($A1087&gt;$A1086,1,0)</f>
        <v/>
      </c>
      <c r="C1087" s="56">
        <f>IF($B1087=0,"",IF(Inputs!$B$6="","",IF($AD1087=0,C1086,SUMIFS(Data!$B$10:$B$3209,Data!$A$10:$A$3209,"&gt;="&amp;$A1087,Data!$A$10:$A$3209,"&lt;"&amp;$A1087+1)/$AD1087)))</f>
        <v/>
      </c>
      <c r="D1087" s="56">
        <f>IF($B1087=0,"",IF(Inputs!$B$7="","",IF($AE1087=0,D1086,SUMIFS(Data!$F$10:$F$3209,Data!$E$10:$E$3209,"&gt;="&amp;$A1087,Data!$E$10:$E$3209,"&lt;"&amp;$A1087+1)/$AE1087)))</f>
        <v/>
      </c>
      <c r="E1087" s="56">
        <f>IF($B1087=0,"",IF(Inputs!$B$8="","",IF($AF1087=0,E1086,SUMIFS(Data!$J$10:$J$3209,Data!$I$10:$I$3209,"&gt;="&amp;$A1087,Data!$I$10:$I$3209,"&lt;"&amp;$A1087+1)/$AF1087)))</f>
        <v/>
      </c>
      <c r="F1087" s="56">
        <f>IF($B1087=0,"",IF(Inputs!$B$9="","",IF($AG1087=0,F1086,SUMIFS(Data!$N$10:$N$3209,Data!$M$10:$M$3209,"&gt;="&amp;$A1087,Data!$M$10:$M$3209,"&lt;"&amp;$A1087+1)/$AG1087)))</f>
        <v/>
      </c>
      <c r="G1087" s="56">
        <f>IF($B1087=0,"",IF(Inputs!$B$10="","",IF($AH1087=0,G1086,SUMIFS(Data!$R$10:$R$3209,Data!$Q$10:$Q$3209,"&gt;="&amp;$A1087,Data!$Q$10:$Q$3209,"&lt;"&amp;$A1087+1)/$AH1087)))</f>
        <v/>
      </c>
      <c r="I1087" s="54">
        <f>IF($B1087=0,NA(),IF($C1087="",NA(),IF(C$8="",NA(),IF(N(C$8)=0,NA(),IF(Inputs!$C$17="Rebased to 100",$C1087/C$8*100,$C1087)))))</f>
        <v/>
      </c>
      <c r="J1087" s="54">
        <f>IF($B1087=0,NA(),IF($D1087="",NA(),IF(D$8="",NA(),IF(N(D$8)=0,NA(),IF(Inputs!$C$17="Rebased to 100",$D1087/D$8*100,$D1087)))))</f>
        <v/>
      </c>
      <c r="K1087" s="54">
        <f>IF($B1087=0,NA(),IF($E1087="",NA(),IF(E$8="",NA(),IF(N(E$8)=0,NA(),IF(Inputs!$C$17="Rebased to 100",$E1087/E$8*100,$E1087)))))</f>
        <v/>
      </c>
      <c r="L1087" s="54">
        <f>IF($B1087=0,NA(),IF($F1087="",NA(),IF(F$8="",NA(),IF(N(F$8)=0,NA(),IF(Inputs!$C$17="Rebased to 100",$F1087/F$8*100,$F1087)))))</f>
        <v/>
      </c>
      <c r="M1087" s="54">
        <f>IF($B1087=0,NA(),IF($G1087="",NA(),IF(G$8="",NA(),IF(N(G$8)=0,NA(),IF(Inputs!$C$17="Rebased to 100",$G1087/G$8*100,$G1087)))))</f>
        <v/>
      </c>
      <c r="N1087" s="54">
        <f>IF($B1087=0,NA(),IF(Inputs!$C$18&lt;&gt;"Yes",NA(),IF(COUNT(I1087,J1087,K1087,L1087,M1087)=0,NA(),MIN(I1087,J1087,K1087,L1087,M1087))))</f>
        <v/>
      </c>
      <c r="O1087" s="54">
        <f>IF($B1087=0,NA(),IF(Inputs!$B$24&lt;&gt;"Yes",NA(),Inputs!$D$24*Inputs!$C$35))</f>
        <v/>
      </c>
      <c r="P1087" s="54">
        <f>IF($B1087=0,NA(),IF(Inputs!$B$25&lt;&gt;"Yes",NA(),Inputs!$D$25*Inputs!$C$35))</f>
        <v/>
      </c>
      <c r="Q1087" s="54">
        <f>IF($B1087=0,NA(),IF(Inputs!$B$26&lt;&gt;"Yes",NA(),Inputs!$D$26*Inputs!$C$35))</f>
        <v/>
      </c>
      <c r="R1087" s="54">
        <f>IF($B1087=0,NA(),IF(Inputs!$B$27&lt;&gt;"Yes",NA(),Inputs!$D$27*Inputs!$C$35))</f>
        <v/>
      </c>
      <c r="S1087" s="54">
        <f>IF($B1087=0,NA(),IF(Inputs!$B$28&lt;&gt;"Yes",NA(),Inputs!$D$28*Inputs!$C$35))</f>
        <v/>
      </c>
      <c r="T1087" s="54">
        <f>IF($B1087=0,NA(),IF(Inputs!$B$29&lt;&gt;"Yes",NA(),Inputs!$D$29*Inputs!$C$35))</f>
        <v/>
      </c>
      <c r="AD1087">
        <f>IF($B1087=0,0,IF(Inputs!$B$6="",0,COUNTIFS(Data!$A$10:$A$3209,"&gt;="&amp;$A1087,Data!$A$10:$A$3209,"&lt;"&amp;$A1087+1)))</f>
        <v/>
      </c>
      <c r="AE1087">
        <f>IF($B1087=0,0,IF(Inputs!$B$7="",0,COUNTIFS(Data!$E$10:$E$3209,"&gt;="&amp;$A1087,Data!$E$10:$E$3209,"&lt;"&amp;$A1087+1)))</f>
        <v/>
      </c>
      <c r="AF1087">
        <f>IF($B1087=0,0,IF(Inputs!$B$8="",0,COUNTIFS(Data!$I$10:$I$3209,"&gt;="&amp;$A1087,Data!$I$10:$I$3209,"&lt;"&amp;$A1087+1)))</f>
        <v/>
      </c>
      <c r="AG1087">
        <f>IF($B1087=0,0,IF(Inputs!$B$9="",0,COUNTIFS(Data!$M$10:$M$3209,"&gt;="&amp;$A1087,Data!$M$10:$M$3209,"&lt;"&amp;$A1087+1)))</f>
        <v/>
      </c>
      <c r="AH1087">
        <f>IF($B1087=0,0,IF(Inputs!$B$10="",0,COUNTIFS(Data!$Q$10:$Q$3209,"&gt;="&amp;$A1087,Data!$Q$10:$Q$3209,"&lt;"&amp;$A1087+1)))</f>
        <v/>
      </c>
    </row>
    <row r="1088">
      <c r="A1088" s="55">
        <f>MIN(Inputs!$C$15,$A1087+IF(WEEKDAY($A1087,2)=5,3,1))</f>
        <v/>
      </c>
      <c r="B1088">
        <f>IF($A1088&gt;$A1087,1,0)</f>
        <v/>
      </c>
      <c r="C1088" s="56">
        <f>IF($B1088=0,"",IF(Inputs!$B$6="","",IF($AD1088=0,C1087,SUMIFS(Data!$B$10:$B$3209,Data!$A$10:$A$3209,"&gt;="&amp;$A1088,Data!$A$10:$A$3209,"&lt;"&amp;$A1088+1)/$AD1088)))</f>
        <v/>
      </c>
      <c r="D1088" s="56">
        <f>IF($B1088=0,"",IF(Inputs!$B$7="","",IF($AE1088=0,D1087,SUMIFS(Data!$F$10:$F$3209,Data!$E$10:$E$3209,"&gt;="&amp;$A1088,Data!$E$10:$E$3209,"&lt;"&amp;$A1088+1)/$AE1088)))</f>
        <v/>
      </c>
      <c r="E1088" s="56">
        <f>IF($B1088=0,"",IF(Inputs!$B$8="","",IF($AF1088=0,E1087,SUMIFS(Data!$J$10:$J$3209,Data!$I$10:$I$3209,"&gt;="&amp;$A1088,Data!$I$10:$I$3209,"&lt;"&amp;$A1088+1)/$AF1088)))</f>
        <v/>
      </c>
      <c r="F1088" s="56">
        <f>IF($B1088=0,"",IF(Inputs!$B$9="","",IF($AG1088=0,F1087,SUMIFS(Data!$N$10:$N$3209,Data!$M$10:$M$3209,"&gt;="&amp;$A1088,Data!$M$10:$M$3209,"&lt;"&amp;$A1088+1)/$AG1088)))</f>
        <v/>
      </c>
      <c r="G1088" s="56">
        <f>IF($B1088=0,"",IF(Inputs!$B$10="","",IF($AH1088=0,G1087,SUMIFS(Data!$R$10:$R$3209,Data!$Q$10:$Q$3209,"&gt;="&amp;$A1088,Data!$Q$10:$Q$3209,"&lt;"&amp;$A1088+1)/$AH1088)))</f>
        <v/>
      </c>
      <c r="I1088" s="54">
        <f>IF($B1088=0,NA(),IF($C1088="",NA(),IF(C$8="",NA(),IF(N(C$8)=0,NA(),IF(Inputs!$C$17="Rebased to 100",$C1088/C$8*100,$C1088)))))</f>
        <v/>
      </c>
      <c r="J1088" s="54">
        <f>IF($B1088=0,NA(),IF($D1088="",NA(),IF(D$8="",NA(),IF(N(D$8)=0,NA(),IF(Inputs!$C$17="Rebased to 100",$D1088/D$8*100,$D1088)))))</f>
        <v/>
      </c>
      <c r="K1088" s="54">
        <f>IF($B1088=0,NA(),IF($E1088="",NA(),IF(E$8="",NA(),IF(N(E$8)=0,NA(),IF(Inputs!$C$17="Rebased to 100",$E1088/E$8*100,$E1088)))))</f>
        <v/>
      </c>
      <c r="L1088" s="54">
        <f>IF($B1088=0,NA(),IF($F1088="",NA(),IF(F$8="",NA(),IF(N(F$8)=0,NA(),IF(Inputs!$C$17="Rebased to 100",$F1088/F$8*100,$F1088)))))</f>
        <v/>
      </c>
      <c r="M1088" s="54">
        <f>IF($B1088=0,NA(),IF($G1088="",NA(),IF(G$8="",NA(),IF(N(G$8)=0,NA(),IF(Inputs!$C$17="Rebased to 100",$G1088/G$8*100,$G1088)))))</f>
        <v/>
      </c>
      <c r="N1088" s="54">
        <f>IF($B1088=0,NA(),IF(Inputs!$C$18&lt;&gt;"Yes",NA(),IF(COUNT(I1088,J1088,K1088,L1088,M1088)=0,NA(),MIN(I1088,J1088,K1088,L1088,M1088))))</f>
        <v/>
      </c>
      <c r="O1088" s="54">
        <f>IF($B1088=0,NA(),IF(Inputs!$B$24&lt;&gt;"Yes",NA(),Inputs!$D$24*Inputs!$C$35))</f>
        <v/>
      </c>
      <c r="P1088" s="54">
        <f>IF($B1088=0,NA(),IF(Inputs!$B$25&lt;&gt;"Yes",NA(),Inputs!$D$25*Inputs!$C$35))</f>
        <v/>
      </c>
      <c r="Q1088" s="54">
        <f>IF($B1088=0,NA(),IF(Inputs!$B$26&lt;&gt;"Yes",NA(),Inputs!$D$26*Inputs!$C$35))</f>
        <v/>
      </c>
      <c r="R1088" s="54">
        <f>IF($B1088=0,NA(),IF(Inputs!$B$27&lt;&gt;"Yes",NA(),Inputs!$D$27*Inputs!$C$35))</f>
        <v/>
      </c>
      <c r="S1088" s="54">
        <f>IF($B1088=0,NA(),IF(Inputs!$B$28&lt;&gt;"Yes",NA(),Inputs!$D$28*Inputs!$C$35))</f>
        <v/>
      </c>
      <c r="T1088" s="54">
        <f>IF($B1088=0,NA(),IF(Inputs!$B$29&lt;&gt;"Yes",NA(),Inputs!$D$29*Inputs!$C$35))</f>
        <v/>
      </c>
      <c r="AD1088">
        <f>IF($B1088=0,0,IF(Inputs!$B$6="",0,COUNTIFS(Data!$A$10:$A$3209,"&gt;="&amp;$A1088,Data!$A$10:$A$3209,"&lt;"&amp;$A1088+1)))</f>
        <v/>
      </c>
      <c r="AE1088">
        <f>IF($B1088=0,0,IF(Inputs!$B$7="",0,COUNTIFS(Data!$E$10:$E$3209,"&gt;="&amp;$A1088,Data!$E$10:$E$3209,"&lt;"&amp;$A1088+1)))</f>
        <v/>
      </c>
      <c r="AF1088">
        <f>IF($B1088=0,0,IF(Inputs!$B$8="",0,COUNTIFS(Data!$I$10:$I$3209,"&gt;="&amp;$A1088,Data!$I$10:$I$3209,"&lt;"&amp;$A1088+1)))</f>
        <v/>
      </c>
      <c r="AG1088">
        <f>IF($B1088=0,0,IF(Inputs!$B$9="",0,COUNTIFS(Data!$M$10:$M$3209,"&gt;="&amp;$A1088,Data!$M$10:$M$3209,"&lt;"&amp;$A1088+1)))</f>
        <v/>
      </c>
      <c r="AH1088">
        <f>IF($B1088=0,0,IF(Inputs!$B$10="",0,COUNTIFS(Data!$Q$10:$Q$3209,"&gt;="&amp;$A1088,Data!$Q$10:$Q$3209,"&lt;"&amp;$A1088+1)))</f>
        <v/>
      </c>
    </row>
    <row r="1089">
      <c r="A1089" s="55">
        <f>MIN(Inputs!$C$15,$A1088+IF(WEEKDAY($A1088,2)=5,3,1))</f>
        <v/>
      </c>
      <c r="B1089">
        <f>IF($A1089&gt;$A1088,1,0)</f>
        <v/>
      </c>
      <c r="C1089" s="56">
        <f>IF($B1089=0,"",IF(Inputs!$B$6="","",IF($AD1089=0,C1088,SUMIFS(Data!$B$10:$B$3209,Data!$A$10:$A$3209,"&gt;="&amp;$A1089,Data!$A$10:$A$3209,"&lt;"&amp;$A1089+1)/$AD1089)))</f>
        <v/>
      </c>
      <c r="D1089" s="56">
        <f>IF($B1089=0,"",IF(Inputs!$B$7="","",IF($AE1089=0,D1088,SUMIFS(Data!$F$10:$F$3209,Data!$E$10:$E$3209,"&gt;="&amp;$A1089,Data!$E$10:$E$3209,"&lt;"&amp;$A1089+1)/$AE1089)))</f>
        <v/>
      </c>
      <c r="E1089" s="56">
        <f>IF($B1089=0,"",IF(Inputs!$B$8="","",IF($AF1089=0,E1088,SUMIFS(Data!$J$10:$J$3209,Data!$I$10:$I$3209,"&gt;="&amp;$A1089,Data!$I$10:$I$3209,"&lt;"&amp;$A1089+1)/$AF1089)))</f>
        <v/>
      </c>
      <c r="F1089" s="56">
        <f>IF($B1089=0,"",IF(Inputs!$B$9="","",IF($AG1089=0,F1088,SUMIFS(Data!$N$10:$N$3209,Data!$M$10:$M$3209,"&gt;="&amp;$A1089,Data!$M$10:$M$3209,"&lt;"&amp;$A1089+1)/$AG1089)))</f>
        <v/>
      </c>
      <c r="G1089" s="56">
        <f>IF($B1089=0,"",IF(Inputs!$B$10="","",IF($AH1089=0,G1088,SUMIFS(Data!$R$10:$R$3209,Data!$Q$10:$Q$3209,"&gt;="&amp;$A1089,Data!$Q$10:$Q$3209,"&lt;"&amp;$A1089+1)/$AH1089)))</f>
        <v/>
      </c>
      <c r="I1089" s="54">
        <f>IF($B1089=0,NA(),IF($C1089="",NA(),IF(C$8="",NA(),IF(N(C$8)=0,NA(),IF(Inputs!$C$17="Rebased to 100",$C1089/C$8*100,$C1089)))))</f>
        <v/>
      </c>
      <c r="J1089" s="54">
        <f>IF($B1089=0,NA(),IF($D1089="",NA(),IF(D$8="",NA(),IF(N(D$8)=0,NA(),IF(Inputs!$C$17="Rebased to 100",$D1089/D$8*100,$D1089)))))</f>
        <v/>
      </c>
      <c r="K1089" s="54">
        <f>IF($B1089=0,NA(),IF($E1089="",NA(),IF(E$8="",NA(),IF(N(E$8)=0,NA(),IF(Inputs!$C$17="Rebased to 100",$E1089/E$8*100,$E1089)))))</f>
        <v/>
      </c>
      <c r="L1089" s="54">
        <f>IF($B1089=0,NA(),IF($F1089="",NA(),IF(F$8="",NA(),IF(N(F$8)=0,NA(),IF(Inputs!$C$17="Rebased to 100",$F1089/F$8*100,$F1089)))))</f>
        <v/>
      </c>
      <c r="M1089" s="54">
        <f>IF($B1089=0,NA(),IF($G1089="",NA(),IF(G$8="",NA(),IF(N(G$8)=0,NA(),IF(Inputs!$C$17="Rebased to 100",$G1089/G$8*100,$G1089)))))</f>
        <v/>
      </c>
      <c r="N1089" s="54">
        <f>IF($B1089=0,NA(),IF(Inputs!$C$18&lt;&gt;"Yes",NA(),IF(COUNT(I1089,J1089,K1089,L1089,M1089)=0,NA(),MIN(I1089,J1089,K1089,L1089,M1089))))</f>
        <v/>
      </c>
      <c r="O1089" s="54">
        <f>IF($B1089=0,NA(),IF(Inputs!$B$24&lt;&gt;"Yes",NA(),Inputs!$D$24*Inputs!$C$35))</f>
        <v/>
      </c>
      <c r="P1089" s="54">
        <f>IF($B1089=0,NA(),IF(Inputs!$B$25&lt;&gt;"Yes",NA(),Inputs!$D$25*Inputs!$C$35))</f>
        <v/>
      </c>
      <c r="Q1089" s="54">
        <f>IF($B1089=0,NA(),IF(Inputs!$B$26&lt;&gt;"Yes",NA(),Inputs!$D$26*Inputs!$C$35))</f>
        <v/>
      </c>
      <c r="R1089" s="54">
        <f>IF($B1089=0,NA(),IF(Inputs!$B$27&lt;&gt;"Yes",NA(),Inputs!$D$27*Inputs!$C$35))</f>
        <v/>
      </c>
      <c r="S1089" s="54">
        <f>IF($B1089=0,NA(),IF(Inputs!$B$28&lt;&gt;"Yes",NA(),Inputs!$D$28*Inputs!$C$35))</f>
        <v/>
      </c>
      <c r="T1089" s="54">
        <f>IF($B1089=0,NA(),IF(Inputs!$B$29&lt;&gt;"Yes",NA(),Inputs!$D$29*Inputs!$C$35))</f>
        <v/>
      </c>
      <c r="AD1089">
        <f>IF($B1089=0,0,IF(Inputs!$B$6="",0,COUNTIFS(Data!$A$10:$A$3209,"&gt;="&amp;$A1089,Data!$A$10:$A$3209,"&lt;"&amp;$A1089+1)))</f>
        <v/>
      </c>
      <c r="AE1089">
        <f>IF($B1089=0,0,IF(Inputs!$B$7="",0,COUNTIFS(Data!$E$10:$E$3209,"&gt;="&amp;$A1089,Data!$E$10:$E$3209,"&lt;"&amp;$A1089+1)))</f>
        <v/>
      </c>
      <c r="AF1089">
        <f>IF($B1089=0,0,IF(Inputs!$B$8="",0,COUNTIFS(Data!$I$10:$I$3209,"&gt;="&amp;$A1089,Data!$I$10:$I$3209,"&lt;"&amp;$A1089+1)))</f>
        <v/>
      </c>
      <c r="AG1089">
        <f>IF($B1089=0,0,IF(Inputs!$B$9="",0,COUNTIFS(Data!$M$10:$M$3209,"&gt;="&amp;$A1089,Data!$M$10:$M$3209,"&lt;"&amp;$A1089+1)))</f>
        <v/>
      </c>
      <c r="AH1089">
        <f>IF($B1089=0,0,IF(Inputs!$B$10="",0,COUNTIFS(Data!$Q$10:$Q$3209,"&gt;="&amp;$A1089,Data!$Q$10:$Q$3209,"&lt;"&amp;$A1089+1)))</f>
        <v/>
      </c>
    </row>
    <row r="1090">
      <c r="A1090" s="55">
        <f>MIN(Inputs!$C$15,$A1089+IF(WEEKDAY($A1089,2)=5,3,1))</f>
        <v/>
      </c>
      <c r="B1090">
        <f>IF($A1090&gt;$A1089,1,0)</f>
        <v/>
      </c>
      <c r="C1090" s="56">
        <f>IF($B1090=0,"",IF(Inputs!$B$6="","",IF($AD1090=0,C1089,SUMIFS(Data!$B$10:$B$3209,Data!$A$10:$A$3209,"&gt;="&amp;$A1090,Data!$A$10:$A$3209,"&lt;"&amp;$A1090+1)/$AD1090)))</f>
        <v/>
      </c>
      <c r="D1090" s="56">
        <f>IF($B1090=0,"",IF(Inputs!$B$7="","",IF($AE1090=0,D1089,SUMIFS(Data!$F$10:$F$3209,Data!$E$10:$E$3209,"&gt;="&amp;$A1090,Data!$E$10:$E$3209,"&lt;"&amp;$A1090+1)/$AE1090)))</f>
        <v/>
      </c>
      <c r="E1090" s="56">
        <f>IF($B1090=0,"",IF(Inputs!$B$8="","",IF($AF1090=0,E1089,SUMIFS(Data!$J$10:$J$3209,Data!$I$10:$I$3209,"&gt;="&amp;$A1090,Data!$I$10:$I$3209,"&lt;"&amp;$A1090+1)/$AF1090)))</f>
        <v/>
      </c>
      <c r="F1090" s="56">
        <f>IF($B1090=0,"",IF(Inputs!$B$9="","",IF($AG1090=0,F1089,SUMIFS(Data!$N$10:$N$3209,Data!$M$10:$M$3209,"&gt;="&amp;$A1090,Data!$M$10:$M$3209,"&lt;"&amp;$A1090+1)/$AG1090)))</f>
        <v/>
      </c>
      <c r="G1090" s="56">
        <f>IF($B1090=0,"",IF(Inputs!$B$10="","",IF($AH1090=0,G1089,SUMIFS(Data!$R$10:$R$3209,Data!$Q$10:$Q$3209,"&gt;="&amp;$A1090,Data!$Q$10:$Q$3209,"&lt;"&amp;$A1090+1)/$AH1090)))</f>
        <v/>
      </c>
      <c r="I1090" s="54">
        <f>IF($B1090=0,NA(),IF($C1090="",NA(),IF(C$8="",NA(),IF(N(C$8)=0,NA(),IF(Inputs!$C$17="Rebased to 100",$C1090/C$8*100,$C1090)))))</f>
        <v/>
      </c>
      <c r="J1090" s="54">
        <f>IF($B1090=0,NA(),IF($D1090="",NA(),IF(D$8="",NA(),IF(N(D$8)=0,NA(),IF(Inputs!$C$17="Rebased to 100",$D1090/D$8*100,$D1090)))))</f>
        <v/>
      </c>
      <c r="K1090" s="54">
        <f>IF($B1090=0,NA(),IF($E1090="",NA(),IF(E$8="",NA(),IF(N(E$8)=0,NA(),IF(Inputs!$C$17="Rebased to 100",$E1090/E$8*100,$E1090)))))</f>
        <v/>
      </c>
      <c r="L1090" s="54">
        <f>IF($B1090=0,NA(),IF($F1090="",NA(),IF(F$8="",NA(),IF(N(F$8)=0,NA(),IF(Inputs!$C$17="Rebased to 100",$F1090/F$8*100,$F1090)))))</f>
        <v/>
      </c>
      <c r="M1090" s="54">
        <f>IF($B1090=0,NA(),IF($G1090="",NA(),IF(G$8="",NA(),IF(N(G$8)=0,NA(),IF(Inputs!$C$17="Rebased to 100",$G1090/G$8*100,$G1090)))))</f>
        <v/>
      </c>
      <c r="N1090" s="54">
        <f>IF($B1090=0,NA(),IF(Inputs!$C$18&lt;&gt;"Yes",NA(),IF(COUNT(I1090,J1090,K1090,L1090,M1090)=0,NA(),MIN(I1090,J1090,K1090,L1090,M1090))))</f>
        <v/>
      </c>
      <c r="O1090" s="54">
        <f>IF($B1090=0,NA(),IF(Inputs!$B$24&lt;&gt;"Yes",NA(),Inputs!$D$24*Inputs!$C$35))</f>
        <v/>
      </c>
      <c r="P1090" s="54">
        <f>IF($B1090=0,NA(),IF(Inputs!$B$25&lt;&gt;"Yes",NA(),Inputs!$D$25*Inputs!$C$35))</f>
        <v/>
      </c>
      <c r="Q1090" s="54">
        <f>IF($B1090=0,NA(),IF(Inputs!$B$26&lt;&gt;"Yes",NA(),Inputs!$D$26*Inputs!$C$35))</f>
        <v/>
      </c>
      <c r="R1090" s="54">
        <f>IF($B1090=0,NA(),IF(Inputs!$B$27&lt;&gt;"Yes",NA(),Inputs!$D$27*Inputs!$C$35))</f>
        <v/>
      </c>
      <c r="S1090" s="54">
        <f>IF($B1090=0,NA(),IF(Inputs!$B$28&lt;&gt;"Yes",NA(),Inputs!$D$28*Inputs!$C$35))</f>
        <v/>
      </c>
      <c r="T1090" s="54">
        <f>IF($B1090=0,NA(),IF(Inputs!$B$29&lt;&gt;"Yes",NA(),Inputs!$D$29*Inputs!$C$35))</f>
        <v/>
      </c>
      <c r="AD1090">
        <f>IF($B1090=0,0,IF(Inputs!$B$6="",0,COUNTIFS(Data!$A$10:$A$3209,"&gt;="&amp;$A1090,Data!$A$10:$A$3209,"&lt;"&amp;$A1090+1)))</f>
        <v/>
      </c>
      <c r="AE1090">
        <f>IF($B1090=0,0,IF(Inputs!$B$7="",0,COUNTIFS(Data!$E$10:$E$3209,"&gt;="&amp;$A1090,Data!$E$10:$E$3209,"&lt;"&amp;$A1090+1)))</f>
        <v/>
      </c>
      <c r="AF1090">
        <f>IF($B1090=0,0,IF(Inputs!$B$8="",0,COUNTIFS(Data!$I$10:$I$3209,"&gt;="&amp;$A1090,Data!$I$10:$I$3209,"&lt;"&amp;$A1090+1)))</f>
        <v/>
      </c>
      <c r="AG1090">
        <f>IF($B1090=0,0,IF(Inputs!$B$9="",0,COUNTIFS(Data!$M$10:$M$3209,"&gt;="&amp;$A1090,Data!$M$10:$M$3209,"&lt;"&amp;$A1090+1)))</f>
        <v/>
      </c>
      <c r="AH1090">
        <f>IF($B1090=0,0,IF(Inputs!$B$10="",0,COUNTIFS(Data!$Q$10:$Q$3209,"&gt;="&amp;$A1090,Data!$Q$10:$Q$3209,"&lt;"&amp;$A1090+1)))</f>
        <v/>
      </c>
    </row>
    <row r="1091">
      <c r="A1091" s="55">
        <f>MIN(Inputs!$C$15,$A1090+IF(WEEKDAY($A1090,2)=5,3,1))</f>
        <v/>
      </c>
      <c r="B1091">
        <f>IF($A1091&gt;$A1090,1,0)</f>
        <v/>
      </c>
      <c r="C1091" s="56">
        <f>IF($B1091=0,"",IF(Inputs!$B$6="","",IF($AD1091=0,C1090,SUMIFS(Data!$B$10:$B$3209,Data!$A$10:$A$3209,"&gt;="&amp;$A1091,Data!$A$10:$A$3209,"&lt;"&amp;$A1091+1)/$AD1091)))</f>
        <v/>
      </c>
      <c r="D1091" s="56">
        <f>IF($B1091=0,"",IF(Inputs!$B$7="","",IF($AE1091=0,D1090,SUMIFS(Data!$F$10:$F$3209,Data!$E$10:$E$3209,"&gt;="&amp;$A1091,Data!$E$10:$E$3209,"&lt;"&amp;$A1091+1)/$AE1091)))</f>
        <v/>
      </c>
      <c r="E1091" s="56">
        <f>IF($B1091=0,"",IF(Inputs!$B$8="","",IF($AF1091=0,E1090,SUMIFS(Data!$J$10:$J$3209,Data!$I$10:$I$3209,"&gt;="&amp;$A1091,Data!$I$10:$I$3209,"&lt;"&amp;$A1091+1)/$AF1091)))</f>
        <v/>
      </c>
      <c r="F1091" s="56">
        <f>IF($B1091=0,"",IF(Inputs!$B$9="","",IF($AG1091=0,F1090,SUMIFS(Data!$N$10:$N$3209,Data!$M$10:$M$3209,"&gt;="&amp;$A1091,Data!$M$10:$M$3209,"&lt;"&amp;$A1091+1)/$AG1091)))</f>
        <v/>
      </c>
      <c r="G1091" s="56">
        <f>IF($B1091=0,"",IF(Inputs!$B$10="","",IF($AH1091=0,G1090,SUMIFS(Data!$R$10:$R$3209,Data!$Q$10:$Q$3209,"&gt;="&amp;$A1091,Data!$Q$10:$Q$3209,"&lt;"&amp;$A1091+1)/$AH1091)))</f>
        <v/>
      </c>
      <c r="I1091" s="54">
        <f>IF($B1091=0,NA(),IF($C1091="",NA(),IF(C$8="",NA(),IF(N(C$8)=0,NA(),IF(Inputs!$C$17="Rebased to 100",$C1091/C$8*100,$C1091)))))</f>
        <v/>
      </c>
      <c r="J1091" s="54">
        <f>IF($B1091=0,NA(),IF($D1091="",NA(),IF(D$8="",NA(),IF(N(D$8)=0,NA(),IF(Inputs!$C$17="Rebased to 100",$D1091/D$8*100,$D1091)))))</f>
        <v/>
      </c>
      <c r="K1091" s="54">
        <f>IF($B1091=0,NA(),IF($E1091="",NA(),IF(E$8="",NA(),IF(N(E$8)=0,NA(),IF(Inputs!$C$17="Rebased to 100",$E1091/E$8*100,$E1091)))))</f>
        <v/>
      </c>
      <c r="L1091" s="54">
        <f>IF($B1091=0,NA(),IF($F1091="",NA(),IF(F$8="",NA(),IF(N(F$8)=0,NA(),IF(Inputs!$C$17="Rebased to 100",$F1091/F$8*100,$F1091)))))</f>
        <v/>
      </c>
      <c r="M1091" s="54">
        <f>IF($B1091=0,NA(),IF($G1091="",NA(),IF(G$8="",NA(),IF(N(G$8)=0,NA(),IF(Inputs!$C$17="Rebased to 100",$G1091/G$8*100,$G1091)))))</f>
        <v/>
      </c>
      <c r="N1091" s="54">
        <f>IF($B1091=0,NA(),IF(Inputs!$C$18&lt;&gt;"Yes",NA(),IF(COUNT(I1091,J1091,K1091,L1091,M1091)=0,NA(),MIN(I1091,J1091,K1091,L1091,M1091))))</f>
        <v/>
      </c>
      <c r="O1091" s="54">
        <f>IF($B1091=0,NA(),IF(Inputs!$B$24&lt;&gt;"Yes",NA(),Inputs!$D$24*Inputs!$C$35))</f>
        <v/>
      </c>
      <c r="P1091" s="54">
        <f>IF($B1091=0,NA(),IF(Inputs!$B$25&lt;&gt;"Yes",NA(),Inputs!$D$25*Inputs!$C$35))</f>
        <v/>
      </c>
      <c r="Q1091" s="54">
        <f>IF($B1091=0,NA(),IF(Inputs!$B$26&lt;&gt;"Yes",NA(),Inputs!$D$26*Inputs!$C$35))</f>
        <v/>
      </c>
      <c r="R1091" s="54">
        <f>IF($B1091=0,NA(),IF(Inputs!$B$27&lt;&gt;"Yes",NA(),Inputs!$D$27*Inputs!$C$35))</f>
        <v/>
      </c>
      <c r="S1091" s="54">
        <f>IF($B1091=0,NA(),IF(Inputs!$B$28&lt;&gt;"Yes",NA(),Inputs!$D$28*Inputs!$C$35))</f>
        <v/>
      </c>
      <c r="T1091" s="54">
        <f>IF($B1091=0,NA(),IF(Inputs!$B$29&lt;&gt;"Yes",NA(),Inputs!$D$29*Inputs!$C$35))</f>
        <v/>
      </c>
      <c r="AD1091">
        <f>IF($B1091=0,0,IF(Inputs!$B$6="",0,COUNTIFS(Data!$A$10:$A$3209,"&gt;="&amp;$A1091,Data!$A$10:$A$3209,"&lt;"&amp;$A1091+1)))</f>
        <v/>
      </c>
      <c r="AE1091">
        <f>IF($B1091=0,0,IF(Inputs!$B$7="",0,COUNTIFS(Data!$E$10:$E$3209,"&gt;="&amp;$A1091,Data!$E$10:$E$3209,"&lt;"&amp;$A1091+1)))</f>
        <v/>
      </c>
      <c r="AF1091">
        <f>IF($B1091=0,0,IF(Inputs!$B$8="",0,COUNTIFS(Data!$I$10:$I$3209,"&gt;="&amp;$A1091,Data!$I$10:$I$3209,"&lt;"&amp;$A1091+1)))</f>
        <v/>
      </c>
      <c r="AG1091">
        <f>IF($B1091=0,0,IF(Inputs!$B$9="",0,COUNTIFS(Data!$M$10:$M$3209,"&gt;="&amp;$A1091,Data!$M$10:$M$3209,"&lt;"&amp;$A1091+1)))</f>
        <v/>
      </c>
      <c r="AH1091">
        <f>IF($B1091=0,0,IF(Inputs!$B$10="",0,COUNTIFS(Data!$Q$10:$Q$3209,"&gt;="&amp;$A1091,Data!$Q$10:$Q$3209,"&lt;"&amp;$A1091+1)))</f>
        <v/>
      </c>
    </row>
    <row r="1092">
      <c r="A1092" s="55">
        <f>MIN(Inputs!$C$15,$A1091+IF(WEEKDAY($A1091,2)=5,3,1))</f>
        <v/>
      </c>
      <c r="B1092">
        <f>IF($A1092&gt;$A1091,1,0)</f>
        <v/>
      </c>
      <c r="C1092" s="56">
        <f>IF($B1092=0,"",IF(Inputs!$B$6="","",IF($AD1092=0,C1091,SUMIFS(Data!$B$10:$B$3209,Data!$A$10:$A$3209,"&gt;="&amp;$A1092,Data!$A$10:$A$3209,"&lt;"&amp;$A1092+1)/$AD1092)))</f>
        <v/>
      </c>
      <c r="D1092" s="56">
        <f>IF($B1092=0,"",IF(Inputs!$B$7="","",IF($AE1092=0,D1091,SUMIFS(Data!$F$10:$F$3209,Data!$E$10:$E$3209,"&gt;="&amp;$A1092,Data!$E$10:$E$3209,"&lt;"&amp;$A1092+1)/$AE1092)))</f>
        <v/>
      </c>
      <c r="E1092" s="56">
        <f>IF($B1092=0,"",IF(Inputs!$B$8="","",IF($AF1092=0,E1091,SUMIFS(Data!$J$10:$J$3209,Data!$I$10:$I$3209,"&gt;="&amp;$A1092,Data!$I$10:$I$3209,"&lt;"&amp;$A1092+1)/$AF1092)))</f>
        <v/>
      </c>
      <c r="F1092" s="56">
        <f>IF($B1092=0,"",IF(Inputs!$B$9="","",IF($AG1092=0,F1091,SUMIFS(Data!$N$10:$N$3209,Data!$M$10:$M$3209,"&gt;="&amp;$A1092,Data!$M$10:$M$3209,"&lt;"&amp;$A1092+1)/$AG1092)))</f>
        <v/>
      </c>
      <c r="G1092" s="56">
        <f>IF($B1092=0,"",IF(Inputs!$B$10="","",IF($AH1092=0,G1091,SUMIFS(Data!$R$10:$R$3209,Data!$Q$10:$Q$3209,"&gt;="&amp;$A1092,Data!$Q$10:$Q$3209,"&lt;"&amp;$A1092+1)/$AH1092)))</f>
        <v/>
      </c>
      <c r="I1092" s="54">
        <f>IF($B1092=0,NA(),IF($C1092="",NA(),IF(C$8="",NA(),IF(N(C$8)=0,NA(),IF(Inputs!$C$17="Rebased to 100",$C1092/C$8*100,$C1092)))))</f>
        <v/>
      </c>
      <c r="J1092" s="54">
        <f>IF($B1092=0,NA(),IF($D1092="",NA(),IF(D$8="",NA(),IF(N(D$8)=0,NA(),IF(Inputs!$C$17="Rebased to 100",$D1092/D$8*100,$D1092)))))</f>
        <v/>
      </c>
      <c r="K1092" s="54">
        <f>IF($B1092=0,NA(),IF($E1092="",NA(),IF(E$8="",NA(),IF(N(E$8)=0,NA(),IF(Inputs!$C$17="Rebased to 100",$E1092/E$8*100,$E1092)))))</f>
        <v/>
      </c>
      <c r="L1092" s="54">
        <f>IF($B1092=0,NA(),IF($F1092="",NA(),IF(F$8="",NA(),IF(N(F$8)=0,NA(),IF(Inputs!$C$17="Rebased to 100",$F1092/F$8*100,$F1092)))))</f>
        <v/>
      </c>
      <c r="M1092" s="54">
        <f>IF($B1092=0,NA(),IF($G1092="",NA(),IF(G$8="",NA(),IF(N(G$8)=0,NA(),IF(Inputs!$C$17="Rebased to 100",$G1092/G$8*100,$G1092)))))</f>
        <v/>
      </c>
      <c r="N1092" s="54">
        <f>IF($B1092=0,NA(),IF(Inputs!$C$18&lt;&gt;"Yes",NA(),IF(COUNT(I1092,J1092,K1092,L1092,M1092)=0,NA(),MIN(I1092,J1092,K1092,L1092,M1092))))</f>
        <v/>
      </c>
      <c r="O1092" s="54">
        <f>IF($B1092=0,NA(),IF(Inputs!$B$24&lt;&gt;"Yes",NA(),Inputs!$D$24*Inputs!$C$35))</f>
        <v/>
      </c>
      <c r="P1092" s="54">
        <f>IF($B1092=0,NA(),IF(Inputs!$B$25&lt;&gt;"Yes",NA(),Inputs!$D$25*Inputs!$C$35))</f>
        <v/>
      </c>
      <c r="Q1092" s="54">
        <f>IF($B1092=0,NA(),IF(Inputs!$B$26&lt;&gt;"Yes",NA(),Inputs!$D$26*Inputs!$C$35))</f>
        <v/>
      </c>
      <c r="R1092" s="54">
        <f>IF($B1092=0,NA(),IF(Inputs!$B$27&lt;&gt;"Yes",NA(),Inputs!$D$27*Inputs!$C$35))</f>
        <v/>
      </c>
      <c r="S1092" s="54">
        <f>IF($B1092=0,NA(),IF(Inputs!$B$28&lt;&gt;"Yes",NA(),Inputs!$D$28*Inputs!$C$35))</f>
        <v/>
      </c>
      <c r="T1092" s="54">
        <f>IF($B1092=0,NA(),IF(Inputs!$B$29&lt;&gt;"Yes",NA(),Inputs!$D$29*Inputs!$C$35))</f>
        <v/>
      </c>
      <c r="AD1092">
        <f>IF($B1092=0,0,IF(Inputs!$B$6="",0,COUNTIFS(Data!$A$10:$A$3209,"&gt;="&amp;$A1092,Data!$A$10:$A$3209,"&lt;"&amp;$A1092+1)))</f>
        <v/>
      </c>
      <c r="AE1092">
        <f>IF($B1092=0,0,IF(Inputs!$B$7="",0,COUNTIFS(Data!$E$10:$E$3209,"&gt;="&amp;$A1092,Data!$E$10:$E$3209,"&lt;"&amp;$A1092+1)))</f>
        <v/>
      </c>
      <c r="AF1092">
        <f>IF($B1092=0,0,IF(Inputs!$B$8="",0,COUNTIFS(Data!$I$10:$I$3209,"&gt;="&amp;$A1092,Data!$I$10:$I$3209,"&lt;"&amp;$A1092+1)))</f>
        <v/>
      </c>
      <c r="AG1092">
        <f>IF($B1092=0,0,IF(Inputs!$B$9="",0,COUNTIFS(Data!$M$10:$M$3209,"&gt;="&amp;$A1092,Data!$M$10:$M$3209,"&lt;"&amp;$A1092+1)))</f>
        <v/>
      </c>
      <c r="AH1092">
        <f>IF($B1092=0,0,IF(Inputs!$B$10="",0,COUNTIFS(Data!$Q$10:$Q$3209,"&gt;="&amp;$A1092,Data!$Q$10:$Q$3209,"&lt;"&amp;$A1092+1)))</f>
        <v/>
      </c>
    </row>
    <row r="1093">
      <c r="A1093" s="55">
        <f>MIN(Inputs!$C$15,$A1092+IF(WEEKDAY($A1092,2)=5,3,1))</f>
        <v/>
      </c>
      <c r="B1093">
        <f>IF($A1093&gt;$A1092,1,0)</f>
        <v/>
      </c>
      <c r="C1093" s="56">
        <f>IF($B1093=0,"",IF(Inputs!$B$6="","",IF($AD1093=0,C1092,SUMIFS(Data!$B$10:$B$3209,Data!$A$10:$A$3209,"&gt;="&amp;$A1093,Data!$A$10:$A$3209,"&lt;"&amp;$A1093+1)/$AD1093)))</f>
        <v/>
      </c>
      <c r="D1093" s="56">
        <f>IF($B1093=0,"",IF(Inputs!$B$7="","",IF($AE1093=0,D1092,SUMIFS(Data!$F$10:$F$3209,Data!$E$10:$E$3209,"&gt;="&amp;$A1093,Data!$E$10:$E$3209,"&lt;"&amp;$A1093+1)/$AE1093)))</f>
        <v/>
      </c>
      <c r="E1093" s="56">
        <f>IF($B1093=0,"",IF(Inputs!$B$8="","",IF($AF1093=0,E1092,SUMIFS(Data!$J$10:$J$3209,Data!$I$10:$I$3209,"&gt;="&amp;$A1093,Data!$I$10:$I$3209,"&lt;"&amp;$A1093+1)/$AF1093)))</f>
        <v/>
      </c>
      <c r="F1093" s="56">
        <f>IF($B1093=0,"",IF(Inputs!$B$9="","",IF($AG1093=0,F1092,SUMIFS(Data!$N$10:$N$3209,Data!$M$10:$M$3209,"&gt;="&amp;$A1093,Data!$M$10:$M$3209,"&lt;"&amp;$A1093+1)/$AG1093)))</f>
        <v/>
      </c>
      <c r="G1093" s="56">
        <f>IF($B1093=0,"",IF(Inputs!$B$10="","",IF($AH1093=0,G1092,SUMIFS(Data!$R$10:$R$3209,Data!$Q$10:$Q$3209,"&gt;="&amp;$A1093,Data!$Q$10:$Q$3209,"&lt;"&amp;$A1093+1)/$AH1093)))</f>
        <v/>
      </c>
      <c r="I1093" s="54">
        <f>IF($B1093=0,NA(),IF($C1093="",NA(),IF(C$8="",NA(),IF(N(C$8)=0,NA(),IF(Inputs!$C$17="Rebased to 100",$C1093/C$8*100,$C1093)))))</f>
        <v/>
      </c>
      <c r="J1093" s="54">
        <f>IF($B1093=0,NA(),IF($D1093="",NA(),IF(D$8="",NA(),IF(N(D$8)=0,NA(),IF(Inputs!$C$17="Rebased to 100",$D1093/D$8*100,$D1093)))))</f>
        <v/>
      </c>
      <c r="K1093" s="54">
        <f>IF($B1093=0,NA(),IF($E1093="",NA(),IF(E$8="",NA(),IF(N(E$8)=0,NA(),IF(Inputs!$C$17="Rebased to 100",$E1093/E$8*100,$E1093)))))</f>
        <v/>
      </c>
      <c r="L1093" s="54">
        <f>IF($B1093=0,NA(),IF($F1093="",NA(),IF(F$8="",NA(),IF(N(F$8)=0,NA(),IF(Inputs!$C$17="Rebased to 100",$F1093/F$8*100,$F1093)))))</f>
        <v/>
      </c>
      <c r="M1093" s="54">
        <f>IF($B1093=0,NA(),IF($G1093="",NA(),IF(G$8="",NA(),IF(N(G$8)=0,NA(),IF(Inputs!$C$17="Rebased to 100",$G1093/G$8*100,$G1093)))))</f>
        <v/>
      </c>
      <c r="N1093" s="54">
        <f>IF($B1093=0,NA(),IF(Inputs!$C$18&lt;&gt;"Yes",NA(),IF(COUNT(I1093,J1093,K1093,L1093,M1093)=0,NA(),MIN(I1093,J1093,K1093,L1093,M1093))))</f>
        <v/>
      </c>
      <c r="O1093" s="54">
        <f>IF($B1093=0,NA(),IF(Inputs!$B$24&lt;&gt;"Yes",NA(),Inputs!$D$24*Inputs!$C$35))</f>
        <v/>
      </c>
      <c r="P1093" s="54">
        <f>IF($B1093=0,NA(),IF(Inputs!$B$25&lt;&gt;"Yes",NA(),Inputs!$D$25*Inputs!$C$35))</f>
        <v/>
      </c>
      <c r="Q1093" s="54">
        <f>IF($B1093=0,NA(),IF(Inputs!$B$26&lt;&gt;"Yes",NA(),Inputs!$D$26*Inputs!$C$35))</f>
        <v/>
      </c>
      <c r="R1093" s="54">
        <f>IF($B1093=0,NA(),IF(Inputs!$B$27&lt;&gt;"Yes",NA(),Inputs!$D$27*Inputs!$C$35))</f>
        <v/>
      </c>
      <c r="S1093" s="54">
        <f>IF($B1093=0,NA(),IF(Inputs!$B$28&lt;&gt;"Yes",NA(),Inputs!$D$28*Inputs!$C$35))</f>
        <v/>
      </c>
      <c r="T1093" s="54">
        <f>IF($B1093=0,NA(),IF(Inputs!$B$29&lt;&gt;"Yes",NA(),Inputs!$D$29*Inputs!$C$35))</f>
        <v/>
      </c>
      <c r="AD1093">
        <f>IF($B1093=0,0,IF(Inputs!$B$6="",0,COUNTIFS(Data!$A$10:$A$3209,"&gt;="&amp;$A1093,Data!$A$10:$A$3209,"&lt;"&amp;$A1093+1)))</f>
        <v/>
      </c>
      <c r="AE1093">
        <f>IF($B1093=0,0,IF(Inputs!$B$7="",0,COUNTIFS(Data!$E$10:$E$3209,"&gt;="&amp;$A1093,Data!$E$10:$E$3209,"&lt;"&amp;$A1093+1)))</f>
        <v/>
      </c>
      <c r="AF1093">
        <f>IF($B1093=0,0,IF(Inputs!$B$8="",0,COUNTIFS(Data!$I$10:$I$3209,"&gt;="&amp;$A1093,Data!$I$10:$I$3209,"&lt;"&amp;$A1093+1)))</f>
        <v/>
      </c>
      <c r="AG1093">
        <f>IF($B1093=0,0,IF(Inputs!$B$9="",0,COUNTIFS(Data!$M$10:$M$3209,"&gt;="&amp;$A1093,Data!$M$10:$M$3209,"&lt;"&amp;$A1093+1)))</f>
        <v/>
      </c>
      <c r="AH1093">
        <f>IF($B1093=0,0,IF(Inputs!$B$10="",0,COUNTIFS(Data!$Q$10:$Q$3209,"&gt;="&amp;$A1093,Data!$Q$10:$Q$3209,"&lt;"&amp;$A1093+1)))</f>
        <v/>
      </c>
    </row>
    <row r="1094">
      <c r="A1094" s="55">
        <f>MIN(Inputs!$C$15,$A1093+IF(WEEKDAY($A1093,2)=5,3,1))</f>
        <v/>
      </c>
      <c r="B1094">
        <f>IF($A1094&gt;$A1093,1,0)</f>
        <v/>
      </c>
      <c r="C1094" s="56">
        <f>IF($B1094=0,"",IF(Inputs!$B$6="","",IF($AD1094=0,C1093,SUMIFS(Data!$B$10:$B$3209,Data!$A$10:$A$3209,"&gt;="&amp;$A1094,Data!$A$10:$A$3209,"&lt;"&amp;$A1094+1)/$AD1094)))</f>
        <v/>
      </c>
      <c r="D1094" s="56">
        <f>IF($B1094=0,"",IF(Inputs!$B$7="","",IF($AE1094=0,D1093,SUMIFS(Data!$F$10:$F$3209,Data!$E$10:$E$3209,"&gt;="&amp;$A1094,Data!$E$10:$E$3209,"&lt;"&amp;$A1094+1)/$AE1094)))</f>
        <v/>
      </c>
      <c r="E1094" s="56">
        <f>IF($B1094=0,"",IF(Inputs!$B$8="","",IF($AF1094=0,E1093,SUMIFS(Data!$J$10:$J$3209,Data!$I$10:$I$3209,"&gt;="&amp;$A1094,Data!$I$10:$I$3209,"&lt;"&amp;$A1094+1)/$AF1094)))</f>
        <v/>
      </c>
      <c r="F1094" s="56">
        <f>IF($B1094=0,"",IF(Inputs!$B$9="","",IF($AG1094=0,F1093,SUMIFS(Data!$N$10:$N$3209,Data!$M$10:$M$3209,"&gt;="&amp;$A1094,Data!$M$10:$M$3209,"&lt;"&amp;$A1094+1)/$AG1094)))</f>
        <v/>
      </c>
      <c r="G1094" s="56">
        <f>IF($B1094=0,"",IF(Inputs!$B$10="","",IF($AH1094=0,G1093,SUMIFS(Data!$R$10:$R$3209,Data!$Q$10:$Q$3209,"&gt;="&amp;$A1094,Data!$Q$10:$Q$3209,"&lt;"&amp;$A1094+1)/$AH1094)))</f>
        <v/>
      </c>
      <c r="I1094" s="54">
        <f>IF($B1094=0,NA(),IF($C1094="",NA(),IF(C$8="",NA(),IF(N(C$8)=0,NA(),IF(Inputs!$C$17="Rebased to 100",$C1094/C$8*100,$C1094)))))</f>
        <v/>
      </c>
      <c r="J1094" s="54">
        <f>IF($B1094=0,NA(),IF($D1094="",NA(),IF(D$8="",NA(),IF(N(D$8)=0,NA(),IF(Inputs!$C$17="Rebased to 100",$D1094/D$8*100,$D1094)))))</f>
        <v/>
      </c>
      <c r="K1094" s="54">
        <f>IF($B1094=0,NA(),IF($E1094="",NA(),IF(E$8="",NA(),IF(N(E$8)=0,NA(),IF(Inputs!$C$17="Rebased to 100",$E1094/E$8*100,$E1094)))))</f>
        <v/>
      </c>
      <c r="L1094" s="54">
        <f>IF($B1094=0,NA(),IF($F1094="",NA(),IF(F$8="",NA(),IF(N(F$8)=0,NA(),IF(Inputs!$C$17="Rebased to 100",$F1094/F$8*100,$F1094)))))</f>
        <v/>
      </c>
      <c r="M1094" s="54">
        <f>IF($B1094=0,NA(),IF($G1094="",NA(),IF(G$8="",NA(),IF(N(G$8)=0,NA(),IF(Inputs!$C$17="Rebased to 100",$G1094/G$8*100,$G1094)))))</f>
        <v/>
      </c>
      <c r="N1094" s="54">
        <f>IF($B1094=0,NA(),IF(Inputs!$C$18&lt;&gt;"Yes",NA(),IF(COUNT(I1094,J1094,K1094,L1094,M1094)=0,NA(),MIN(I1094,J1094,K1094,L1094,M1094))))</f>
        <v/>
      </c>
      <c r="O1094" s="54">
        <f>IF($B1094=0,NA(),IF(Inputs!$B$24&lt;&gt;"Yes",NA(),Inputs!$D$24*Inputs!$C$35))</f>
        <v/>
      </c>
      <c r="P1094" s="54">
        <f>IF($B1094=0,NA(),IF(Inputs!$B$25&lt;&gt;"Yes",NA(),Inputs!$D$25*Inputs!$C$35))</f>
        <v/>
      </c>
      <c r="Q1094" s="54">
        <f>IF($B1094=0,NA(),IF(Inputs!$B$26&lt;&gt;"Yes",NA(),Inputs!$D$26*Inputs!$C$35))</f>
        <v/>
      </c>
      <c r="R1094" s="54">
        <f>IF($B1094=0,NA(),IF(Inputs!$B$27&lt;&gt;"Yes",NA(),Inputs!$D$27*Inputs!$C$35))</f>
        <v/>
      </c>
      <c r="S1094" s="54">
        <f>IF($B1094=0,NA(),IF(Inputs!$B$28&lt;&gt;"Yes",NA(),Inputs!$D$28*Inputs!$C$35))</f>
        <v/>
      </c>
      <c r="T1094" s="54">
        <f>IF($B1094=0,NA(),IF(Inputs!$B$29&lt;&gt;"Yes",NA(),Inputs!$D$29*Inputs!$C$35))</f>
        <v/>
      </c>
      <c r="AD1094">
        <f>IF($B1094=0,0,IF(Inputs!$B$6="",0,COUNTIFS(Data!$A$10:$A$3209,"&gt;="&amp;$A1094,Data!$A$10:$A$3209,"&lt;"&amp;$A1094+1)))</f>
        <v/>
      </c>
      <c r="AE1094">
        <f>IF($B1094=0,0,IF(Inputs!$B$7="",0,COUNTIFS(Data!$E$10:$E$3209,"&gt;="&amp;$A1094,Data!$E$10:$E$3209,"&lt;"&amp;$A1094+1)))</f>
        <v/>
      </c>
      <c r="AF1094">
        <f>IF($B1094=0,0,IF(Inputs!$B$8="",0,COUNTIFS(Data!$I$10:$I$3209,"&gt;="&amp;$A1094,Data!$I$10:$I$3209,"&lt;"&amp;$A1094+1)))</f>
        <v/>
      </c>
      <c r="AG1094">
        <f>IF($B1094=0,0,IF(Inputs!$B$9="",0,COUNTIFS(Data!$M$10:$M$3209,"&gt;="&amp;$A1094,Data!$M$10:$M$3209,"&lt;"&amp;$A1094+1)))</f>
        <v/>
      </c>
      <c r="AH1094">
        <f>IF($B1094=0,0,IF(Inputs!$B$10="",0,COUNTIFS(Data!$Q$10:$Q$3209,"&gt;="&amp;$A1094,Data!$Q$10:$Q$3209,"&lt;"&amp;$A1094+1)))</f>
        <v/>
      </c>
    </row>
    <row r="1095">
      <c r="A1095" s="55">
        <f>MIN(Inputs!$C$15,$A1094+IF(WEEKDAY($A1094,2)=5,3,1))</f>
        <v/>
      </c>
      <c r="B1095">
        <f>IF($A1095&gt;$A1094,1,0)</f>
        <v/>
      </c>
      <c r="C1095" s="56">
        <f>IF($B1095=0,"",IF(Inputs!$B$6="","",IF($AD1095=0,C1094,SUMIFS(Data!$B$10:$B$3209,Data!$A$10:$A$3209,"&gt;="&amp;$A1095,Data!$A$10:$A$3209,"&lt;"&amp;$A1095+1)/$AD1095)))</f>
        <v/>
      </c>
      <c r="D1095" s="56">
        <f>IF($B1095=0,"",IF(Inputs!$B$7="","",IF($AE1095=0,D1094,SUMIFS(Data!$F$10:$F$3209,Data!$E$10:$E$3209,"&gt;="&amp;$A1095,Data!$E$10:$E$3209,"&lt;"&amp;$A1095+1)/$AE1095)))</f>
        <v/>
      </c>
      <c r="E1095" s="56">
        <f>IF($B1095=0,"",IF(Inputs!$B$8="","",IF($AF1095=0,E1094,SUMIFS(Data!$J$10:$J$3209,Data!$I$10:$I$3209,"&gt;="&amp;$A1095,Data!$I$10:$I$3209,"&lt;"&amp;$A1095+1)/$AF1095)))</f>
        <v/>
      </c>
      <c r="F1095" s="56">
        <f>IF($B1095=0,"",IF(Inputs!$B$9="","",IF($AG1095=0,F1094,SUMIFS(Data!$N$10:$N$3209,Data!$M$10:$M$3209,"&gt;="&amp;$A1095,Data!$M$10:$M$3209,"&lt;"&amp;$A1095+1)/$AG1095)))</f>
        <v/>
      </c>
      <c r="G1095" s="56">
        <f>IF($B1095=0,"",IF(Inputs!$B$10="","",IF($AH1095=0,G1094,SUMIFS(Data!$R$10:$R$3209,Data!$Q$10:$Q$3209,"&gt;="&amp;$A1095,Data!$Q$10:$Q$3209,"&lt;"&amp;$A1095+1)/$AH1095)))</f>
        <v/>
      </c>
      <c r="I1095" s="54">
        <f>IF($B1095=0,NA(),IF($C1095="",NA(),IF(C$8="",NA(),IF(N(C$8)=0,NA(),IF(Inputs!$C$17="Rebased to 100",$C1095/C$8*100,$C1095)))))</f>
        <v/>
      </c>
      <c r="J1095" s="54">
        <f>IF($B1095=0,NA(),IF($D1095="",NA(),IF(D$8="",NA(),IF(N(D$8)=0,NA(),IF(Inputs!$C$17="Rebased to 100",$D1095/D$8*100,$D1095)))))</f>
        <v/>
      </c>
      <c r="K1095" s="54">
        <f>IF($B1095=0,NA(),IF($E1095="",NA(),IF(E$8="",NA(),IF(N(E$8)=0,NA(),IF(Inputs!$C$17="Rebased to 100",$E1095/E$8*100,$E1095)))))</f>
        <v/>
      </c>
      <c r="L1095" s="54">
        <f>IF($B1095=0,NA(),IF($F1095="",NA(),IF(F$8="",NA(),IF(N(F$8)=0,NA(),IF(Inputs!$C$17="Rebased to 100",$F1095/F$8*100,$F1095)))))</f>
        <v/>
      </c>
      <c r="M1095" s="54">
        <f>IF($B1095=0,NA(),IF($G1095="",NA(),IF(G$8="",NA(),IF(N(G$8)=0,NA(),IF(Inputs!$C$17="Rebased to 100",$G1095/G$8*100,$G1095)))))</f>
        <v/>
      </c>
      <c r="N1095" s="54">
        <f>IF($B1095=0,NA(),IF(Inputs!$C$18&lt;&gt;"Yes",NA(),IF(COUNT(I1095,J1095,K1095,L1095,M1095)=0,NA(),MIN(I1095,J1095,K1095,L1095,M1095))))</f>
        <v/>
      </c>
      <c r="O1095" s="54">
        <f>IF($B1095=0,NA(),IF(Inputs!$B$24&lt;&gt;"Yes",NA(),Inputs!$D$24*Inputs!$C$35))</f>
        <v/>
      </c>
      <c r="P1095" s="54">
        <f>IF($B1095=0,NA(),IF(Inputs!$B$25&lt;&gt;"Yes",NA(),Inputs!$D$25*Inputs!$C$35))</f>
        <v/>
      </c>
      <c r="Q1095" s="54">
        <f>IF($B1095=0,NA(),IF(Inputs!$B$26&lt;&gt;"Yes",NA(),Inputs!$D$26*Inputs!$C$35))</f>
        <v/>
      </c>
      <c r="R1095" s="54">
        <f>IF($B1095=0,NA(),IF(Inputs!$B$27&lt;&gt;"Yes",NA(),Inputs!$D$27*Inputs!$C$35))</f>
        <v/>
      </c>
      <c r="S1095" s="54">
        <f>IF($B1095=0,NA(),IF(Inputs!$B$28&lt;&gt;"Yes",NA(),Inputs!$D$28*Inputs!$C$35))</f>
        <v/>
      </c>
      <c r="T1095" s="54">
        <f>IF($B1095=0,NA(),IF(Inputs!$B$29&lt;&gt;"Yes",NA(),Inputs!$D$29*Inputs!$C$35))</f>
        <v/>
      </c>
      <c r="AD1095">
        <f>IF($B1095=0,0,IF(Inputs!$B$6="",0,COUNTIFS(Data!$A$10:$A$3209,"&gt;="&amp;$A1095,Data!$A$10:$A$3209,"&lt;"&amp;$A1095+1)))</f>
        <v/>
      </c>
      <c r="AE1095">
        <f>IF($B1095=0,0,IF(Inputs!$B$7="",0,COUNTIFS(Data!$E$10:$E$3209,"&gt;="&amp;$A1095,Data!$E$10:$E$3209,"&lt;"&amp;$A1095+1)))</f>
        <v/>
      </c>
      <c r="AF1095">
        <f>IF($B1095=0,0,IF(Inputs!$B$8="",0,COUNTIFS(Data!$I$10:$I$3209,"&gt;="&amp;$A1095,Data!$I$10:$I$3209,"&lt;"&amp;$A1095+1)))</f>
        <v/>
      </c>
      <c r="AG1095">
        <f>IF($B1095=0,0,IF(Inputs!$B$9="",0,COUNTIFS(Data!$M$10:$M$3209,"&gt;="&amp;$A1095,Data!$M$10:$M$3209,"&lt;"&amp;$A1095+1)))</f>
        <v/>
      </c>
      <c r="AH1095">
        <f>IF($B1095=0,0,IF(Inputs!$B$10="",0,COUNTIFS(Data!$Q$10:$Q$3209,"&gt;="&amp;$A1095,Data!$Q$10:$Q$3209,"&lt;"&amp;$A1095+1)))</f>
        <v/>
      </c>
    </row>
    <row r="1096">
      <c r="A1096" s="55">
        <f>MIN(Inputs!$C$15,$A1095+IF(WEEKDAY($A1095,2)=5,3,1))</f>
        <v/>
      </c>
      <c r="B1096">
        <f>IF($A1096&gt;$A1095,1,0)</f>
        <v/>
      </c>
      <c r="C1096" s="56">
        <f>IF($B1096=0,"",IF(Inputs!$B$6="","",IF($AD1096=0,C1095,SUMIFS(Data!$B$10:$B$3209,Data!$A$10:$A$3209,"&gt;="&amp;$A1096,Data!$A$10:$A$3209,"&lt;"&amp;$A1096+1)/$AD1096)))</f>
        <v/>
      </c>
      <c r="D1096" s="56">
        <f>IF($B1096=0,"",IF(Inputs!$B$7="","",IF($AE1096=0,D1095,SUMIFS(Data!$F$10:$F$3209,Data!$E$10:$E$3209,"&gt;="&amp;$A1096,Data!$E$10:$E$3209,"&lt;"&amp;$A1096+1)/$AE1096)))</f>
        <v/>
      </c>
      <c r="E1096" s="56">
        <f>IF($B1096=0,"",IF(Inputs!$B$8="","",IF($AF1096=0,E1095,SUMIFS(Data!$J$10:$J$3209,Data!$I$10:$I$3209,"&gt;="&amp;$A1096,Data!$I$10:$I$3209,"&lt;"&amp;$A1096+1)/$AF1096)))</f>
        <v/>
      </c>
      <c r="F1096" s="56">
        <f>IF($B1096=0,"",IF(Inputs!$B$9="","",IF($AG1096=0,F1095,SUMIFS(Data!$N$10:$N$3209,Data!$M$10:$M$3209,"&gt;="&amp;$A1096,Data!$M$10:$M$3209,"&lt;"&amp;$A1096+1)/$AG1096)))</f>
        <v/>
      </c>
      <c r="G1096" s="56">
        <f>IF($B1096=0,"",IF(Inputs!$B$10="","",IF($AH1096=0,G1095,SUMIFS(Data!$R$10:$R$3209,Data!$Q$10:$Q$3209,"&gt;="&amp;$A1096,Data!$Q$10:$Q$3209,"&lt;"&amp;$A1096+1)/$AH1096)))</f>
        <v/>
      </c>
      <c r="I1096" s="54">
        <f>IF($B1096=0,NA(),IF($C1096="",NA(),IF(C$8="",NA(),IF(N(C$8)=0,NA(),IF(Inputs!$C$17="Rebased to 100",$C1096/C$8*100,$C1096)))))</f>
        <v/>
      </c>
      <c r="J1096" s="54">
        <f>IF($B1096=0,NA(),IF($D1096="",NA(),IF(D$8="",NA(),IF(N(D$8)=0,NA(),IF(Inputs!$C$17="Rebased to 100",$D1096/D$8*100,$D1096)))))</f>
        <v/>
      </c>
      <c r="K1096" s="54">
        <f>IF($B1096=0,NA(),IF($E1096="",NA(),IF(E$8="",NA(),IF(N(E$8)=0,NA(),IF(Inputs!$C$17="Rebased to 100",$E1096/E$8*100,$E1096)))))</f>
        <v/>
      </c>
      <c r="L1096" s="54">
        <f>IF($B1096=0,NA(),IF($F1096="",NA(),IF(F$8="",NA(),IF(N(F$8)=0,NA(),IF(Inputs!$C$17="Rebased to 100",$F1096/F$8*100,$F1096)))))</f>
        <v/>
      </c>
      <c r="M1096" s="54">
        <f>IF($B1096=0,NA(),IF($G1096="",NA(),IF(G$8="",NA(),IF(N(G$8)=0,NA(),IF(Inputs!$C$17="Rebased to 100",$G1096/G$8*100,$G1096)))))</f>
        <v/>
      </c>
      <c r="N1096" s="54">
        <f>IF($B1096=0,NA(),IF(Inputs!$C$18&lt;&gt;"Yes",NA(),IF(COUNT(I1096,J1096,K1096,L1096,M1096)=0,NA(),MIN(I1096,J1096,K1096,L1096,M1096))))</f>
        <v/>
      </c>
      <c r="O1096" s="54">
        <f>IF($B1096=0,NA(),IF(Inputs!$B$24&lt;&gt;"Yes",NA(),Inputs!$D$24*Inputs!$C$35))</f>
        <v/>
      </c>
      <c r="P1096" s="54">
        <f>IF($B1096=0,NA(),IF(Inputs!$B$25&lt;&gt;"Yes",NA(),Inputs!$D$25*Inputs!$C$35))</f>
        <v/>
      </c>
      <c r="Q1096" s="54">
        <f>IF($B1096=0,NA(),IF(Inputs!$B$26&lt;&gt;"Yes",NA(),Inputs!$D$26*Inputs!$C$35))</f>
        <v/>
      </c>
      <c r="R1096" s="54">
        <f>IF($B1096=0,NA(),IF(Inputs!$B$27&lt;&gt;"Yes",NA(),Inputs!$D$27*Inputs!$C$35))</f>
        <v/>
      </c>
      <c r="S1096" s="54">
        <f>IF($B1096=0,NA(),IF(Inputs!$B$28&lt;&gt;"Yes",NA(),Inputs!$D$28*Inputs!$C$35))</f>
        <v/>
      </c>
      <c r="T1096" s="54">
        <f>IF($B1096=0,NA(),IF(Inputs!$B$29&lt;&gt;"Yes",NA(),Inputs!$D$29*Inputs!$C$35))</f>
        <v/>
      </c>
      <c r="AD1096">
        <f>IF($B1096=0,0,IF(Inputs!$B$6="",0,COUNTIFS(Data!$A$10:$A$3209,"&gt;="&amp;$A1096,Data!$A$10:$A$3209,"&lt;"&amp;$A1096+1)))</f>
        <v/>
      </c>
      <c r="AE1096">
        <f>IF($B1096=0,0,IF(Inputs!$B$7="",0,COUNTIFS(Data!$E$10:$E$3209,"&gt;="&amp;$A1096,Data!$E$10:$E$3209,"&lt;"&amp;$A1096+1)))</f>
        <v/>
      </c>
      <c r="AF1096">
        <f>IF($B1096=0,0,IF(Inputs!$B$8="",0,COUNTIFS(Data!$I$10:$I$3209,"&gt;="&amp;$A1096,Data!$I$10:$I$3209,"&lt;"&amp;$A1096+1)))</f>
        <v/>
      </c>
      <c r="AG1096">
        <f>IF($B1096=0,0,IF(Inputs!$B$9="",0,COUNTIFS(Data!$M$10:$M$3209,"&gt;="&amp;$A1096,Data!$M$10:$M$3209,"&lt;"&amp;$A1096+1)))</f>
        <v/>
      </c>
      <c r="AH1096">
        <f>IF($B1096=0,0,IF(Inputs!$B$10="",0,COUNTIFS(Data!$Q$10:$Q$3209,"&gt;="&amp;$A1096,Data!$Q$10:$Q$3209,"&lt;"&amp;$A1096+1)))</f>
        <v/>
      </c>
    </row>
    <row r="1097">
      <c r="A1097" s="55">
        <f>MIN(Inputs!$C$15,$A1096+IF(WEEKDAY($A1096,2)=5,3,1))</f>
        <v/>
      </c>
      <c r="B1097">
        <f>IF($A1097&gt;$A1096,1,0)</f>
        <v/>
      </c>
      <c r="C1097" s="56">
        <f>IF($B1097=0,"",IF(Inputs!$B$6="","",IF($AD1097=0,C1096,SUMIFS(Data!$B$10:$B$3209,Data!$A$10:$A$3209,"&gt;="&amp;$A1097,Data!$A$10:$A$3209,"&lt;"&amp;$A1097+1)/$AD1097)))</f>
        <v/>
      </c>
      <c r="D1097" s="56">
        <f>IF($B1097=0,"",IF(Inputs!$B$7="","",IF($AE1097=0,D1096,SUMIFS(Data!$F$10:$F$3209,Data!$E$10:$E$3209,"&gt;="&amp;$A1097,Data!$E$10:$E$3209,"&lt;"&amp;$A1097+1)/$AE1097)))</f>
        <v/>
      </c>
      <c r="E1097" s="56">
        <f>IF($B1097=0,"",IF(Inputs!$B$8="","",IF($AF1097=0,E1096,SUMIFS(Data!$J$10:$J$3209,Data!$I$10:$I$3209,"&gt;="&amp;$A1097,Data!$I$10:$I$3209,"&lt;"&amp;$A1097+1)/$AF1097)))</f>
        <v/>
      </c>
      <c r="F1097" s="56">
        <f>IF($B1097=0,"",IF(Inputs!$B$9="","",IF($AG1097=0,F1096,SUMIFS(Data!$N$10:$N$3209,Data!$M$10:$M$3209,"&gt;="&amp;$A1097,Data!$M$10:$M$3209,"&lt;"&amp;$A1097+1)/$AG1097)))</f>
        <v/>
      </c>
      <c r="G1097" s="56">
        <f>IF($B1097=0,"",IF(Inputs!$B$10="","",IF($AH1097=0,G1096,SUMIFS(Data!$R$10:$R$3209,Data!$Q$10:$Q$3209,"&gt;="&amp;$A1097,Data!$Q$10:$Q$3209,"&lt;"&amp;$A1097+1)/$AH1097)))</f>
        <v/>
      </c>
      <c r="I1097" s="54">
        <f>IF($B1097=0,NA(),IF($C1097="",NA(),IF(C$8="",NA(),IF(N(C$8)=0,NA(),IF(Inputs!$C$17="Rebased to 100",$C1097/C$8*100,$C1097)))))</f>
        <v/>
      </c>
      <c r="J1097" s="54">
        <f>IF($B1097=0,NA(),IF($D1097="",NA(),IF(D$8="",NA(),IF(N(D$8)=0,NA(),IF(Inputs!$C$17="Rebased to 100",$D1097/D$8*100,$D1097)))))</f>
        <v/>
      </c>
      <c r="K1097" s="54">
        <f>IF($B1097=0,NA(),IF($E1097="",NA(),IF(E$8="",NA(),IF(N(E$8)=0,NA(),IF(Inputs!$C$17="Rebased to 100",$E1097/E$8*100,$E1097)))))</f>
        <v/>
      </c>
      <c r="L1097" s="54">
        <f>IF($B1097=0,NA(),IF($F1097="",NA(),IF(F$8="",NA(),IF(N(F$8)=0,NA(),IF(Inputs!$C$17="Rebased to 100",$F1097/F$8*100,$F1097)))))</f>
        <v/>
      </c>
      <c r="M1097" s="54">
        <f>IF($B1097=0,NA(),IF($G1097="",NA(),IF(G$8="",NA(),IF(N(G$8)=0,NA(),IF(Inputs!$C$17="Rebased to 100",$G1097/G$8*100,$G1097)))))</f>
        <v/>
      </c>
      <c r="N1097" s="54">
        <f>IF($B1097=0,NA(),IF(Inputs!$C$18&lt;&gt;"Yes",NA(),IF(COUNT(I1097,J1097,K1097,L1097,M1097)=0,NA(),MIN(I1097,J1097,K1097,L1097,M1097))))</f>
        <v/>
      </c>
      <c r="O1097" s="54">
        <f>IF($B1097=0,NA(),IF(Inputs!$B$24&lt;&gt;"Yes",NA(),Inputs!$D$24*Inputs!$C$35))</f>
        <v/>
      </c>
      <c r="P1097" s="54">
        <f>IF($B1097=0,NA(),IF(Inputs!$B$25&lt;&gt;"Yes",NA(),Inputs!$D$25*Inputs!$C$35))</f>
        <v/>
      </c>
      <c r="Q1097" s="54">
        <f>IF($B1097=0,NA(),IF(Inputs!$B$26&lt;&gt;"Yes",NA(),Inputs!$D$26*Inputs!$C$35))</f>
        <v/>
      </c>
      <c r="R1097" s="54">
        <f>IF($B1097=0,NA(),IF(Inputs!$B$27&lt;&gt;"Yes",NA(),Inputs!$D$27*Inputs!$C$35))</f>
        <v/>
      </c>
      <c r="S1097" s="54">
        <f>IF($B1097=0,NA(),IF(Inputs!$B$28&lt;&gt;"Yes",NA(),Inputs!$D$28*Inputs!$C$35))</f>
        <v/>
      </c>
      <c r="T1097" s="54">
        <f>IF($B1097=0,NA(),IF(Inputs!$B$29&lt;&gt;"Yes",NA(),Inputs!$D$29*Inputs!$C$35))</f>
        <v/>
      </c>
      <c r="AD1097">
        <f>IF($B1097=0,0,IF(Inputs!$B$6="",0,COUNTIFS(Data!$A$10:$A$3209,"&gt;="&amp;$A1097,Data!$A$10:$A$3209,"&lt;"&amp;$A1097+1)))</f>
        <v/>
      </c>
      <c r="AE1097">
        <f>IF($B1097=0,0,IF(Inputs!$B$7="",0,COUNTIFS(Data!$E$10:$E$3209,"&gt;="&amp;$A1097,Data!$E$10:$E$3209,"&lt;"&amp;$A1097+1)))</f>
        <v/>
      </c>
      <c r="AF1097">
        <f>IF($B1097=0,0,IF(Inputs!$B$8="",0,COUNTIFS(Data!$I$10:$I$3209,"&gt;="&amp;$A1097,Data!$I$10:$I$3209,"&lt;"&amp;$A1097+1)))</f>
        <v/>
      </c>
      <c r="AG1097">
        <f>IF($B1097=0,0,IF(Inputs!$B$9="",0,COUNTIFS(Data!$M$10:$M$3209,"&gt;="&amp;$A1097,Data!$M$10:$M$3209,"&lt;"&amp;$A1097+1)))</f>
        <v/>
      </c>
      <c r="AH1097">
        <f>IF($B1097=0,0,IF(Inputs!$B$10="",0,COUNTIFS(Data!$Q$10:$Q$3209,"&gt;="&amp;$A1097,Data!$Q$10:$Q$3209,"&lt;"&amp;$A1097+1)))</f>
        <v/>
      </c>
    </row>
    <row r="1098">
      <c r="A1098" s="55">
        <f>MIN(Inputs!$C$15,$A1097+IF(WEEKDAY($A1097,2)=5,3,1))</f>
        <v/>
      </c>
      <c r="B1098">
        <f>IF($A1098&gt;$A1097,1,0)</f>
        <v/>
      </c>
      <c r="C1098" s="56">
        <f>IF($B1098=0,"",IF(Inputs!$B$6="","",IF($AD1098=0,C1097,SUMIFS(Data!$B$10:$B$3209,Data!$A$10:$A$3209,"&gt;="&amp;$A1098,Data!$A$10:$A$3209,"&lt;"&amp;$A1098+1)/$AD1098)))</f>
        <v/>
      </c>
      <c r="D1098" s="56">
        <f>IF($B1098=0,"",IF(Inputs!$B$7="","",IF($AE1098=0,D1097,SUMIFS(Data!$F$10:$F$3209,Data!$E$10:$E$3209,"&gt;="&amp;$A1098,Data!$E$10:$E$3209,"&lt;"&amp;$A1098+1)/$AE1098)))</f>
        <v/>
      </c>
      <c r="E1098" s="56">
        <f>IF($B1098=0,"",IF(Inputs!$B$8="","",IF($AF1098=0,E1097,SUMIFS(Data!$J$10:$J$3209,Data!$I$10:$I$3209,"&gt;="&amp;$A1098,Data!$I$10:$I$3209,"&lt;"&amp;$A1098+1)/$AF1098)))</f>
        <v/>
      </c>
      <c r="F1098" s="56">
        <f>IF($B1098=0,"",IF(Inputs!$B$9="","",IF($AG1098=0,F1097,SUMIFS(Data!$N$10:$N$3209,Data!$M$10:$M$3209,"&gt;="&amp;$A1098,Data!$M$10:$M$3209,"&lt;"&amp;$A1098+1)/$AG1098)))</f>
        <v/>
      </c>
      <c r="G1098" s="56">
        <f>IF($B1098=0,"",IF(Inputs!$B$10="","",IF($AH1098=0,G1097,SUMIFS(Data!$R$10:$R$3209,Data!$Q$10:$Q$3209,"&gt;="&amp;$A1098,Data!$Q$10:$Q$3209,"&lt;"&amp;$A1098+1)/$AH1098)))</f>
        <v/>
      </c>
      <c r="I1098" s="54">
        <f>IF($B1098=0,NA(),IF($C1098="",NA(),IF(C$8="",NA(),IF(N(C$8)=0,NA(),IF(Inputs!$C$17="Rebased to 100",$C1098/C$8*100,$C1098)))))</f>
        <v/>
      </c>
      <c r="J1098" s="54">
        <f>IF($B1098=0,NA(),IF($D1098="",NA(),IF(D$8="",NA(),IF(N(D$8)=0,NA(),IF(Inputs!$C$17="Rebased to 100",$D1098/D$8*100,$D1098)))))</f>
        <v/>
      </c>
      <c r="K1098" s="54">
        <f>IF($B1098=0,NA(),IF($E1098="",NA(),IF(E$8="",NA(),IF(N(E$8)=0,NA(),IF(Inputs!$C$17="Rebased to 100",$E1098/E$8*100,$E1098)))))</f>
        <v/>
      </c>
      <c r="L1098" s="54">
        <f>IF($B1098=0,NA(),IF($F1098="",NA(),IF(F$8="",NA(),IF(N(F$8)=0,NA(),IF(Inputs!$C$17="Rebased to 100",$F1098/F$8*100,$F1098)))))</f>
        <v/>
      </c>
      <c r="M1098" s="54">
        <f>IF($B1098=0,NA(),IF($G1098="",NA(),IF(G$8="",NA(),IF(N(G$8)=0,NA(),IF(Inputs!$C$17="Rebased to 100",$G1098/G$8*100,$G1098)))))</f>
        <v/>
      </c>
      <c r="N1098" s="54">
        <f>IF($B1098=0,NA(),IF(Inputs!$C$18&lt;&gt;"Yes",NA(),IF(COUNT(I1098,J1098,K1098,L1098,M1098)=0,NA(),MIN(I1098,J1098,K1098,L1098,M1098))))</f>
        <v/>
      </c>
      <c r="O1098" s="54">
        <f>IF($B1098=0,NA(),IF(Inputs!$B$24&lt;&gt;"Yes",NA(),Inputs!$D$24*Inputs!$C$35))</f>
        <v/>
      </c>
      <c r="P1098" s="54">
        <f>IF($B1098=0,NA(),IF(Inputs!$B$25&lt;&gt;"Yes",NA(),Inputs!$D$25*Inputs!$C$35))</f>
        <v/>
      </c>
      <c r="Q1098" s="54">
        <f>IF($B1098=0,NA(),IF(Inputs!$B$26&lt;&gt;"Yes",NA(),Inputs!$D$26*Inputs!$C$35))</f>
        <v/>
      </c>
      <c r="R1098" s="54">
        <f>IF($B1098=0,NA(),IF(Inputs!$B$27&lt;&gt;"Yes",NA(),Inputs!$D$27*Inputs!$C$35))</f>
        <v/>
      </c>
      <c r="S1098" s="54">
        <f>IF($B1098=0,NA(),IF(Inputs!$B$28&lt;&gt;"Yes",NA(),Inputs!$D$28*Inputs!$C$35))</f>
        <v/>
      </c>
      <c r="T1098" s="54">
        <f>IF($B1098=0,NA(),IF(Inputs!$B$29&lt;&gt;"Yes",NA(),Inputs!$D$29*Inputs!$C$35))</f>
        <v/>
      </c>
      <c r="AD1098">
        <f>IF($B1098=0,0,IF(Inputs!$B$6="",0,COUNTIFS(Data!$A$10:$A$3209,"&gt;="&amp;$A1098,Data!$A$10:$A$3209,"&lt;"&amp;$A1098+1)))</f>
        <v/>
      </c>
      <c r="AE1098">
        <f>IF($B1098=0,0,IF(Inputs!$B$7="",0,COUNTIFS(Data!$E$10:$E$3209,"&gt;="&amp;$A1098,Data!$E$10:$E$3209,"&lt;"&amp;$A1098+1)))</f>
        <v/>
      </c>
      <c r="AF1098">
        <f>IF($B1098=0,0,IF(Inputs!$B$8="",0,COUNTIFS(Data!$I$10:$I$3209,"&gt;="&amp;$A1098,Data!$I$10:$I$3209,"&lt;"&amp;$A1098+1)))</f>
        <v/>
      </c>
      <c r="AG1098">
        <f>IF($B1098=0,0,IF(Inputs!$B$9="",0,COUNTIFS(Data!$M$10:$M$3209,"&gt;="&amp;$A1098,Data!$M$10:$M$3209,"&lt;"&amp;$A1098+1)))</f>
        <v/>
      </c>
      <c r="AH1098">
        <f>IF($B1098=0,0,IF(Inputs!$B$10="",0,COUNTIFS(Data!$Q$10:$Q$3209,"&gt;="&amp;$A1098,Data!$Q$10:$Q$3209,"&lt;"&amp;$A1098+1)))</f>
        <v/>
      </c>
    </row>
    <row r="1099">
      <c r="A1099" s="55">
        <f>MIN(Inputs!$C$15,$A1098+IF(WEEKDAY($A1098,2)=5,3,1))</f>
        <v/>
      </c>
      <c r="B1099">
        <f>IF($A1099&gt;$A1098,1,0)</f>
        <v/>
      </c>
      <c r="C1099" s="56">
        <f>IF($B1099=0,"",IF(Inputs!$B$6="","",IF($AD1099=0,C1098,SUMIFS(Data!$B$10:$B$3209,Data!$A$10:$A$3209,"&gt;="&amp;$A1099,Data!$A$10:$A$3209,"&lt;"&amp;$A1099+1)/$AD1099)))</f>
        <v/>
      </c>
      <c r="D1099" s="56">
        <f>IF($B1099=0,"",IF(Inputs!$B$7="","",IF($AE1099=0,D1098,SUMIFS(Data!$F$10:$F$3209,Data!$E$10:$E$3209,"&gt;="&amp;$A1099,Data!$E$10:$E$3209,"&lt;"&amp;$A1099+1)/$AE1099)))</f>
        <v/>
      </c>
      <c r="E1099" s="56">
        <f>IF($B1099=0,"",IF(Inputs!$B$8="","",IF($AF1099=0,E1098,SUMIFS(Data!$J$10:$J$3209,Data!$I$10:$I$3209,"&gt;="&amp;$A1099,Data!$I$10:$I$3209,"&lt;"&amp;$A1099+1)/$AF1099)))</f>
        <v/>
      </c>
      <c r="F1099" s="56">
        <f>IF($B1099=0,"",IF(Inputs!$B$9="","",IF($AG1099=0,F1098,SUMIFS(Data!$N$10:$N$3209,Data!$M$10:$M$3209,"&gt;="&amp;$A1099,Data!$M$10:$M$3209,"&lt;"&amp;$A1099+1)/$AG1099)))</f>
        <v/>
      </c>
      <c r="G1099" s="56">
        <f>IF($B1099=0,"",IF(Inputs!$B$10="","",IF($AH1099=0,G1098,SUMIFS(Data!$R$10:$R$3209,Data!$Q$10:$Q$3209,"&gt;="&amp;$A1099,Data!$Q$10:$Q$3209,"&lt;"&amp;$A1099+1)/$AH1099)))</f>
        <v/>
      </c>
      <c r="I1099" s="54">
        <f>IF($B1099=0,NA(),IF($C1099="",NA(),IF(C$8="",NA(),IF(N(C$8)=0,NA(),IF(Inputs!$C$17="Rebased to 100",$C1099/C$8*100,$C1099)))))</f>
        <v/>
      </c>
      <c r="J1099" s="54">
        <f>IF($B1099=0,NA(),IF($D1099="",NA(),IF(D$8="",NA(),IF(N(D$8)=0,NA(),IF(Inputs!$C$17="Rebased to 100",$D1099/D$8*100,$D1099)))))</f>
        <v/>
      </c>
      <c r="K1099" s="54">
        <f>IF($B1099=0,NA(),IF($E1099="",NA(),IF(E$8="",NA(),IF(N(E$8)=0,NA(),IF(Inputs!$C$17="Rebased to 100",$E1099/E$8*100,$E1099)))))</f>
        <v/>
      </c>
      <c r="L1099" s="54">
        <f>IF($B1099=0,NA(),IF($F1099="",NA(),IF(F$8="",NA(),IF(N(F$8)=0,NA(),IF(Inputs!$C$17="Rebased to 100",$F1099/F$8*100,$F1099)))))</f>
        <v/>
      </c>
      <c r="M1099" s="54">
        <f>IF($B1099=0,NA(),IF($G1099="",NA(),IF(G$8="",NA(),IF(N(G$8)=0,NA(),IF(Inputs!$C$17="Rebased to 100",$G1099/G$8*100,$G1099)))))</f>
        <v/>
      </c>
      <c r="N1099" s="54">
        <f>IF($B1099=0,NA(),IF(Inputs!$C$18&lt;&gt;"Yes",NA(),IF(COUNT(I1099,J1099,K1099,L1099,M1099)=0,NA(),MIN(I1099,J1099,K1099,L1099,M1099))))</f>
        <v/>
      </c>
      <c r="O1099" s="54">
        <f>IF($B1099=0,NA(),IF(Inputs!$B$24&lt;&gt;"Yes",NA(),Inputs!$D$24*Inputs!$C$35))</f>
        <v/>
      </c>
      <c r="P1099" s="54">
        <f>IF($B1099=0,NA(),IF(Inputs!$B$25&lt;&gt;"Yes",NA(),Inputs!$D$25*Inputs!$C$35))</f>
        <v/>
      </c>
      <c r="Q1099" s="54">
        <f>IF($B1099=0,NA(),IF(Inputs!$B$26&lt;&gt;"Yes",NA(),Inputs!$D$26*Inputs!$C$35))</f>
        <v/>
      </c>
      <c r="R1099" s="54">
        <f>IF($B1099=0,NA(),IF(Inputs!$B$27&lt;&gt;"Yes",NA(),Inputs!$D$27*Inputs!$C$35))</f>
        <v/>
      </c>
      <c r="S1099" s="54">
        <f>IF($B1099=0,NA(),IF(Inputs!$B$28&lt;&gt;"Yes",NA(),Inputs!$D$28*Inputs!$C$35))</f>
        <v/>
      </c>
      <c r="T1099" s="54">
        <f>IF($B1099=0,NA(),IF(Inputs!$B$29&lt;&gt;"Yes",NA(),Inputs!$D$29*Inputs!$C$35))</f>
        <v/>
      </c>
      <c r="AD1099">
        <f>IF($B1099=0,0,IF(Inputs!$B$6="",0,COUNTIFS(Data!$A$10:$A$3209,"&gt;="&amp;$A1099,Data!$A$10:$A$3209,"&lt;"&amp;$A1099+1)))</f>
        <v/>
      </c>
      <c r="AE1099">
        <f>IF($B1099=0,0,IF(Inputs!$B$7="",0,COUNTIFS(Data!$E$10:$E$3209,"&gt;="&amp;$A1099,Data!$E$10:$E$3209,"&lt;"&amp;$A1099+1)))</f>
        <v/>
      </c>
      <c r="AF1099">
        <f>IF($B1099=0,0,IF(Inputs!$B$8="",0,COUNTIFS(Data!$I$10:$I$3209,"&gt;="&amp;$A1099,Data!$I$10:$I$3209,"&lt;"&amp;$A1099+1)))</f>
        <v/>
      </c>
      <c r="AG1099">
        <f>IF($B1099=0,0,IF(Inputs!$B$9="",0,COUNTIFS(Data!$M$10:$M$3209,"&gt;="&amp;$A1099,Data!$M$10:$M$3209,"&lt;"&amp;$A1099+1)))</f>
        <v/>
      </c>
      <c r="AH1099">
        <f>IF($B1099=0,0,IF(Inputs!$B$10="",0,COUNTIFS(Data!$Q$10:$Q$3209,"&gt;="&amp;$A1099,Data!$Q$10:$Q$3209,"&lt;"&amp;$A1099+1)))</f>
        <v/>
      </c>
    </row>
    <row r="1100">
      <c r="A1100" s="55">
        <f>MIN(Inputs!$C$15,$A1099+IF(WEEKDAY($A1099,2)=5,3,1))</f>
        <v/>
      </c>
      <c r="B1100">
        <f>IF($A1100&gt;$A1099,1,0)</f>
        <v/>
      </c>
      <c r="C1100" s="56">
        <f>IF($B1100=0,"",IF(Inputs!$B$6="","",IF($AD1100=0,C1099,SUMIFS(Data!$B$10:$B$3209,Data!$A$10:$A$3209,"&gt;="&amp;$A1100,Data!$A$10:$A$3209,"&lt;"&amp;$A1100+1)/$AD1100)))</f>
        <v/>
      </c>
      <c r="D1100" s="56">
        <f>IF($B1100=0,"",IF(Inputs!$B$7="","",IF($AE1100=0,D1099,SUMIFS(Data!$F$10:$F$3209,Data!$E$10:$E$3209,"&gt;="&amp;$A1100,Data!$E$10:$E$3209,"&lt;"&amp;$A1100+1)/$AE1100)))</f>
        <v/>
      </c>
      <c r="E1100" s="56">
        <f>IF($B1100=0,"",IF(Inputs!$B$8="","",IF($AF1100=0,E1099,SUMIFS(Data!$J$10:$J$3209,Data!$I$10:$I$3209,"&gt;="&amp;$A1100,Data!$I$10:$I$3209,"&lt;"&amp;$A1100+1)/$AF1100)))</f>
        <v/>
      </c>
      <c r="F1100" s="56">
        <f>IF($B1100=0,"",IF(Inputs!$B$9="","",IF($AG1100=0,F1099,SUMIFS(Data!$N$10:$N$3209,Data!$M$10:$M$3209,"&gt;="&amp;$A1100,Data!$M$10:$M$3209,"&lt;"&amp;$A1100+1)/$AG1100)))</f>
        <v/>
      </c>
      <c r="G1100" s="56">
        <f>IF($B1100=0,"",IF(Inputs!$B$10="","",IF($AH1100=0,G1099,SUMIFS(Data!$R$10:$R$3209,Data!$Q$10:$Q$3209,"&gt;="&amp;$A1100,Data!$Q$10:$Q$3209,"&lt;"&amp;$A1100+1)/$AH1100)))</f>
        <v/>
      </c>
      <c r="I1100" s="54">
        <f>IF($B1100=0,NA(),IF($C1100="",NA(),IF(C$8="",NA(),IF(N(C$8)=0,NA(),IF(Inputs!$C$17="Rebased to 100",$C1100/C$8*100,$C1100)))))</f>
        <v/>
      </c>
      <c r="J1100" s="54">
        <f>IF($B1100=0,NA(),IF($D1100="",NA(),IF(D$8="",NA(),IF(N(D$8)=0,NA(),IF(Inputs!$C$17="Rebased to 100",$D1100/D$8*100,$D1100)))))</f>
        <v/>
      </c>
      <c r="K1100" s="54">
        <f>IF($B1100=0,NA(),IF($E1100="",NA(),IF(E$8="",NA(),IF(N(E$8)=0,NA(),IF(Inputs!$C$17="Rebased to 100",$E1100/E$8*100,$E1100)))))</f>
        <v/>
      </c>
      <c r="L1100" s="54">
        <f>IF($B1100=0,NA(),IF($F1100="",NA(),IF(F$8="",NA(),IF(N(F$8)=0,NA(),IF(Inputs!$C$17="Rebased to 100",$F1100/F$8*100,$F1100)))))</f>
        <v/>
      </c>
      <c r="M1100" s="54">
        <f>IF($B1100=0,NA(),IF($G1100="",NA(),IF(G$8="",NA(),IF(N(G$8)=0,NA(),IF(Inputs!$C$17="Rebased to 100",$G1100/G$8*100,$G1100)))))</f>
        <v/>
      </c>
      <c r="N1100" s="54">
        <f>IF($B1100=0,NA(),IF(Inputs!$C$18&lt;&gt;"Yes",NA(),IF(COUNT(I1100,J1100,K1100,L1100,M1100)=0,NA(),MIN(I1100,J1100,K1100,L1100,M1100))))</f>
        <v/>
      </c>
      <c r="O1100" s="54">
        <f>IF($B1100=0,NA(),IF(Inputs!$B$24&lt;&gt;"Yes",NA(),Inputs!$D$24*Inputs!$C$35))</f>
        <v/>
      </c>
      <c r="P1100" s="54">
        <f>IF($B1100=0,NA(),IF(Inputs!$B$25&lt;&gt;"Yes",NA(),Inputs!$D$25*Inputs!$C$35))</f>
        <v/>
      </c>
      <c r="Q1100" s="54">
        <f>IF($B1100=0,NA(),IF(Inputs!$B$26&lt;&gt;"Yes",NA(),Inputs!$D$26*Inputs!$C$35))</f>
        <v/>
      </c>
      <c r="R1100" s="54">
        <f>IF($B1100=0,NA(),IF(Inputs!$B$27&lt;&gt;"Yes",NA(),Inputs!$D$27*Inputs!$C$35))</f>
        <v/>
      </c>
      <c r="S1100" s="54">
        <f>IF($B1100=0,NA(),IF(Inputs!$B$28&lt;&gt;"Yes",NA(),Inputs!$D$28*Inputs!$C$35))</f>
        <v/>
      </c>
      <c r="T1100" s="54">
        <f>IF($B1100=0,NA(),IF(Inputs!$B$29&lt;&gt;"Yes",NA(),Inputs!$D$29*Inputs!$C$35))</f>
        <v/>
      </c>
      <c r="AD1100">
        <f>IF($B1100=0,0,IF(Inputs!$B$6="",0,COUNTIFS(Data!$A$10:$A$3209,"&gt;="&amp;$A1100,Data!$A$10:$A$3209,"&lt;"&amp;$A1100+1)))</f>
        <v/>
      </c>
      <c r="AE1100">
        <f>IF($B1100=0,0,IF(Inputs!$B$7="",0,COUNTIFS(Data!$E$10:$E$3209,"&gt;="&amp;$A1100,Data!$E$10:$E$3209,"&lt;"&amp;$A1100+1)))</f>
        <v/>
      </c>
      <c r="AF1100">
        <f>IF($B1100=0,0,IF(Inputs!$B$8="",0,COUNTIFS(Data!$I$10:$I$3209,"&gt;="&amp;$A1100,Data!$I$10:$I$3209,"&lt;"&amp;$A1100+1)))</f>
        <v/>
      </c>
      <c r="AG1100">
        <f>IF($B1100=0,0,IF(Inputs!$B$9="",0,COUNTIFS(Data!$M$10:$M$3209,"&gt;="&amp;$A1100,Data!$M$10:$M$3209,"&lt;"&amp;$A1100+1)))</f>
        <v/>
      </c>
      <c r="AH1100">
        <f>IF($B1100=0,0,IF(Inputs!$B$10="",0,COUNTIFS(Data!$Q$10:$Q$3209,"&gt;="&amp;$A1100,Data!$Q$10:$Q$3209,"&lt;"&amp;$A1100+1)))</f>
        <v/>
      </c>
    </row>
    <row r="1101">
      <c r="A1101" s="55">
        <f>MIN(Inputs!$C$15,$A1100+IF(WEEKDAY($A1100,2)=5,3,1))</f>
        <v/>
      </c>
      <c r="B1101">
        <f>IF($A1101&gt;$A1100,1,0)</f>
        <v/>
      </c>
      <c r="C1101" s="56">
        <f>IF($B1101=0,"",IF(Inputs!$B$6="","",IF($AD1101=0,C1100,SUMIFS(Data!$B$10:$B$3209,Data!$A$10:$A$3209,"&gt;="&amp;$A1101,Data!$A$10:$A$3209,"&lt;"&amp;$A1101+1)/$AD1101)))</f>
        <v/>
      </c>
      <c r="D1101" s="56">
        <f>IF($B1101=0,"",IF(Inputs!$B$7="","",IF($AE1101=0,D1100,SUMIFS(Data!$F$10:$F$3209,Data!$E$10:$E$3209,"&gt;="&amp;$A1101,Data!$E$10:$E$3209,"&lt;"&amp;$A1101+1)/$AE1101)))</f>
        <v/>
      </c>
      <c r="E1101" s="56">
        <f>IF($B1101=0,"",IF(Inputs!$B$8="","",IF($AF1101=0,E1100,SUMIFS(Data!$J$10:$J$3209,Data!$I$10:$I$3209,"&gt;="&amp;$A1101,Data!$I$10:$I$3209,"&lt;"&amp;$A1101+1)/$AF1101)))</f>
        <v/>
      </c>
      <c r="F1101" s="56">
        <f>IF($B1101=0,"",IF(Inputs!$B$9="","",IF($AG1101=0,F1100,SUMIFS(Data!$N$10:$N$3209,Data!$M$10:$M$3209,"&gt;="&amp;$A1101,Data!$M$10:$M$3209,"&lt;"&amp;$A1101+1)/$AG1101)))</f>
        <v/>
      </c>
      <c r="G1101" s="56">
        <f>IF($B1101=0,"",IF(Inputs!$B$10="","",IF($AH1101=0,G1100,SUMIFS(Data!$R$10:$R$3209,Data!$Q$10:$Q$3209,"&gt;="&amp;$A1101,Data!$Q$10:$Q$3209,"&lt;"&amp;$A1101+1)/$AH1101)))</f>
        <v/>
      </c>
      <c r="I1101" s="54">
        <f>IF($B1101=0,NA(),IF($C1101="",NA(),IF(C$8="",NA(),IF(N(C$8)=0,NA(),IF(Inputs!$C$17="Rebased to 100",$C1101/C$8*100,$C1101)))))</f>
        <v/>
      </c>
      <c r="J1101" s="54">
        <f>IF($B1101=0,NA(),IF($D1101="",NA(),IF(D$8="",NA(),IF(N(D$8)=0,NA(),IF(Inputs!$C$17="Rebased to 100",$D1101/D$8*100,$D1101)))))</f>
        <v/>
      </c>
      <c r="K1101" s="54">
        <f>IF($B1101=0,NA(),IF($E1101="",NA(),IF(E$8="",NA(),IF(N(E$8)=0,NA(),IF(Inputs!$C$17="Rebased to 100",$E1101/E$8*100,$E1101)))))</f>
        <v/>
      </c>
      <c r="L1101" s="54">
        <f>IF($B1101=0,NA(),IF($F1101="",NA(),IF(F$8="",NA(),IF(N(F$8)=0,NA(),IF(Inputs!$C$17="Rebased to 100",$F1101/F$8*100,$F1101)))))</f>
        <v/>
      </c>
      <c r="M1101" s="54">
        <f>IF($B1101=0,NA(),IF($G1101="",NA(),IF(G$8="",NA(),IF(N(G$8)=0,NA(),IF(Inputs!$C$17="Rebased to 100",$G1101/G$8*100,$G1101)))))</f>
        <v/>
      </c>
      <c r="N1101" s="54">
        <f>IF($B1101=0,NA(),IF(Inputs!$C$18&lt;&gt;"Yes",NA(),IF(COUNT(I1101,J1101,K1101,L1101,M1101)=0,NA(),MIN(I1101,J1101,K1101,L1101,M1101))))</f>
        <v/>
      </c>
      <c r="O1101" s="54">
        <f>IF($B1101=0,NA(),IF(Inputs!$B$24&lt;&gt;"Yes",NA(),Inputs!$D$24*Inputs!$C$35))</f>
        <v/>
      </c>
      <c r="P1101" s="54">
        <f>IF($B1101=0,NA(),IF(Inputs!$B$25&lt;&gt;"Yes",NA(),Inputs!$D$25*Inputs!$C$35))</f>
        <v/>
      </c>
      <c r="Q1101" s="54">
        <f>IF($B1101=0,NA(),IF(Inputs!$B$26&lt;&gt;"Yes",NA(),Inputs!$D$26*Inputs!$C$35))</f>
        <v/>
      </c>
      <c r="R1101" s="54">
        <f>IF($B1101=0,NA(),IF(Inputs!$B$27&lt;&gt;"Yes",NA(),Inputs!$D$27*Inputs!$C$35))</f>
        <v/>
      </c>
      <c r="S1101" s="54">
        <f>IF($B1101=0,NA(),IF(Inputs!$B$28&lt;&gt;"Yes",NA(),Inputs!$D$28*Inputs!$C$35))</f>
        <v/>
      </c>
      <c r="T1101" s="54">
        <f>IF($B1101=0,NA(),IF(Inputs!$B$29&lt;&gt;"Yes",NA(),Inputs!$D$29*Inputs!$C$35))</f>
        <v/>
      </c>
      <c r="AD1101">
        <f>IF($B1101=0,0,IF(Inputs!$B$6="",0,COUNTIFS(Data!$A$10:$A$3209,"&gt;="&amp;$A1101,Data!$A$10:$A$3209,"&lt;"&amp;$A1101+1)))</f>
        <v/>
      </c>
      <c r="AE1101">
        <f>IF($B1101=0,0,IF(Inputs!$B$7="",0,COUNTIFS(Data!$E$10:$E$3209,"&gt;="&amp;$A1101,Data!$E$10:$E$3209,"&lt;"&amp;$A1101+1)))</f>
        <v/>
      </c>
      <c r="AF1101">
        <f>IF($B1101=0,0,IF(Inputs!$B$8="",0,COUNTIFS(Data!$I$10:$I$3209,"&gt;="&amp;$A1101,Data!$I$10:$I$3209,"&lt;"&amp;$A1101+1)))</f>
        <v/>
      </c>
      <c r="AG1101">
        <f>IF($B1101=0,0,IF(Inputs!$B$9="",0,COUNTIFS(Data!$M$10:$M$3209,"&gt;="&amp;$A1101,Data!$M$10:$M$3209,"&lt;"&amp;$A1101+1)))</f>
        <v/>
      </c>
      <c r="AH1101">
        <f>IF($B1101=0,0,IF(Inputs!$B$10="",0,COUNTIFS(Data!$Q$10:$Q$3209,"&gt;="&amp;$A1101,Data!$Q$10:$Q$3209,"&lt;"&amp;$A1101+1)))</f>
        <v/>
      </c>
    </row>
    <row r="1102">
      <c r="A1102" s="55">
        <f>MIN(Inputs!$C$15,$A1101+IF(WEEKDAY($A1101,2)=5,3,1))</f>
        <v/>
      </c>
      <c r="B1102">
        <f>IF($A1102&gt;$A1101,1,0)</f>
        <v/>
      </c>
      <c r="C1102" s="56">
        <f>IF($B1102=0,"",IF(Inputs!$B$6="","",IF($AD1102=0,C1101,SUMIFS(Data!$B$10:$B$3209,Data!$A$10:$A$3209,"&gt;="&amp;$A1102,Data!$A$10:$A$3209,"&lt;"&amp;$A1102+1)/$AD1102)))</f>
        <v/>
      </c>
      <c r="D1102" s="56">
        <f>IF($B1102=0,"",IF(Inputs!$B$7="","",IF($AE1102=0,D1101,SUMIFS(Data!$F$10:$F$3209,Data!$E$10:$E$3209,"&gt;="&amp;$A1102,Data!$E$10:$E$3209,"&lt;"&amp;$A1102+1)/$AE1102)))</f>
        <v/>
      </c>
      <c r="E1102" s="56">
        <f>IF($B1102=0,"",IF(Inputs!$B$8="","",IF($AF1102=0,E1101,SUMIFS(Data!$J$10:$J$3209,Data!$I$10:$I$3209,"&gt;="&amp;$A1102,Data!$I$10:$I$3209,"&lt;"&amp;$A1102+1)/$AF1102)))</f>
        <v/>
      </c>
      <c r="F1102" s="56">
        <f>IF($B1102=0,"",IF(Inputs!$B$9="","",IF($AG1102=0,F1101,SUMIFS(Data!$N$10:$N$3209,Data!$M$10:$M$3209,"&gt;="&amp;$A1102,Data!$M$10:$M$3209,"&lt;"&amp;$A1102+1)/$AG1102)))</f>
        <v/>
      </c>
      <c r="G1102" s="56">
        <f>IF($B1102=0,"",IF(Inputs!$B$10="","",IF($AH1102=0,G1101,SUMIFS(Data!$R$10:$R$3209,Data!$Q$10:$Q$3209,"&gt;="&amp;$A1102,Data!$Q$10:$Q$3209,"&lt;"&amp;$A1102+1)/$AH1102)))</f>
        <v/>
      </c>
      <c r="I1102" s="54">
        <f>IF($B1102=0,NA(),IF($C1102="",NA(),IF(C$8="",NA(),IF(N(C$8)=0,NA(),IF(Inputs!$C$17="Rebased to 100",$C1102/C$8*100,$C1102)))))</f>
        <v/>
      </c>
      <c r="J1102" s="54">
        <f>IF($B1102=0,NA(),IF($D1102="",NA(),IF(D$8="",NA(),IF(N(D$8)=0,NA(),IF(Inputs!$C$17="Rebased to 100",$D1102/D$8*100,$D1102)))))</f>
        <v/>
      </c>
      <c r="K1102" s="54">
        <f>IF($B1102=0,NA(),IF($E1102="",NA(),IF(E$8="",NA(),IF(N(E$8)=0,NA(),IF(Inputs!$C$17="Rebased to 100",$E1102/E$8*100,$E1102)))))</f>
        <v/>
      </c>
      <c r="L1102" s="54">
        <f>IF($B1102=0,NA(),IF($F1102="",NA(),IF(F$8="",NA(),IF(N(F$8)=0,NA(),IF(Inputs!$C$17="Rebased to 100",$F1102/F$8*100,$F1102)))))</f>
        <v/>
      </c>
      <c r="M1102" s="54">
        <f>IF($B1102=0,NA(),IF($G1102="",NA(),IF(G$8="",NA(),IF(N(G$8)=0,NA(),IF(Inputs!$C$17="Rebased to 100",$G1102/G$8*100,$G1102)))))</f>
        <v/>
      </c>
      <c r="N1102" s="54">
        <f>IF($B1102=0,NA(),IF(Inputs!$C$18&lt;&gt;"Yes",NA(),IF(COUNT(I1102,J1102,K1102,L1102,M1102)=0,NA(),MIN(I1102,J1102,K1102,L1102,M1102))))</f>
        <v/>
      </c>
      <c r="O1102" s="54">
        <f>IF($B1102=0,NA(),IF(Inputs!$B$24&lt;&gt;"Yes",NA(),Inputs!$D$24*Inputs!$C$35))</f>
        <v/>
      </c>
      <c r="P1102" s="54">
        <f>IF($B1102=0,NA(),IF(Inputs!$B$25&lt;&gt;"Yes",NA(),Inputs!$D$25*Inputs!$C$35))</f>
        <v/>
      </c>
      <c r="Q1102" s="54">
        <f>IF($B1102=0,NA(),IF(Inputs!$B$26&lt;&gt;"Yes",NA(),Inputs!$D$26*Inputs!$C$35))</f>
        <v/>
      </c>
      <c r="R1102" s="54">
        <f>IF($B1102=0,NA(),IF(Inputs!$B$27&lt;&gt;"Yes",NA(),Inputs!$D$27*Inputs!$C$35))</f>
        <v/>
      </c>
      <c r="S1102" s="54">
        <f>IF($B1102=0,NA(),IF(Inputs!$B$28&lt;&gt;"Yes",NA(),Inputs!$D$28*Inputs!$C$35))</f>
        <v/>
      </c>
      <c r="T1102" s="54">
        <f>IF($B1102=0,NA(),IF(Inputs!$B$29&lt;&gt;"Yes",NA(),Inputs!$D$29*Inputs!$C$35))</f>
        <v/>
      </c>
      <c r="AD1102">
        <f>IF($B1102=0,0,IF(Inputs!$B$6="",0,COUNTIFS(Data!$A$10:$A$3209,"&gt;="&amp;$A1102,Data!$A$10:$A$3209,"&lt;"&amp;$A1102+1)))</f>
        <v/>
      </c>
      <c r="AE1102">
        <f>IF($B1102=0,0,IF(Inputs!$B$7="",0,COUNTIFS(Data!$E$10:$E$3209,"&gt;="&amp;$A1102,Data!$E$10:$E$3209,"&lt;"&amp;$A1102+1)))</f>
        <v/>
      </c>
      <c r="AF1102">
        <f>IF($B1102=0,0,IF(Inputs!$B$8="",0,COUNTIFS(Data!$I$10:$I$3209,"&gt;="&amp;$A1102,Data!$I$10:$I$3209,"&lt;"&amp;$A1102+1)))</f>
        <v/>
      </c>
      <c r="AG1102">
        <f>IF($B1102=0,0,IF(Inputs!$B$9="",0,COUNTIFS(Data!$M$10:$M$3209,"&gt;="&amp;$A1102,Data!$M$10:$M$3209,"&lt;"&amp;$A1102+1)))</f>
        <v/>
      </c>
      <c r="AH1102">
        <f>IF($B1102=0,0,IF(Inputs!$B$10="",0,COUNTIFS(Data!$Q$10:$Q$3209,"&gt;="&amp;$A1102,Data!$Q$10:$Q$3209,"&lt;"&amp;$A1102+1)))</f>
        <v/>
      </c>
    </row>
    <row r="1103">
      <c r="A1103" s="55">
        <f>MIN(Inputs!$C$15,$A1102+IF(WEEKDAY($A1102,2)=5,3,1))</f>
        <v/>
      </c>
      <c r="B1103">
        <f>IF($A1103&gt;$A1102,1,0)</f>
        <v/>
      </c>
      <c r="C1103" s="56">
        <f>IF($B1103=0,"",IF(Inputs!$B$6="","",IF($AD1103=0,C1102,SUMIFS(Data!$B$10:$B$3209,Data!$A$10:$A$3209,"&gt;="&amp;$A1103,Data!$A$10:$A$3209,"&lt;"&amp;$A1103+1)/$AD1103)))</f>
        <v/>
      </c>
      <c r="D1103" s="56">
        <f>IF($B1103=0,"",IF(Inputs!$B$7="","",IF($AE1103=0,D1102,SUMIFS(Data!$F$10:$F$3209,Data!$E$10:$E$3209,"&gt;="&amp;$A1103,Data!$E$10:$E$3209,"&lt;"&amp;$A1103+1)/$AE1103)))</f>
        <v/>
      </c>
      <c r="E1103" s="56">
        <f>IF($B1103=0,"",IF(Inputs!$B$8="","",IF($AF1103=0,E1102,SUMIFS(Data!$J$10:$J$3209,Data!$I$10:$I$3209,"&gt;="&amp;$A1103,Data!$I$10:$I$3209,"&lt;"&amp;$A1103+1)/$AF1103)))</f>
        <v/>
      </c>
      <c r="F1103" s="56">
        <f>IF($B1103=0,"",IF(Inputs!$B$9="","",IF($AG1103=0,F1102,SUMIFS(Data!$N$10:$N$3209,Data!$M$10:$M$3209,"&gt;="&amp;$A1103,Data!$M$10:$M$3209,"&lt;"&amp;$A1103+1)/$AG1103)))</f>
        <v/>
      </c>
      <c r="G1103" s="56">
        <f>IF($B1103=0,"",IF(Inputs!$B$10="","",IF($AH1103=0,G1102,SUMIFS(Data!$R$10:$R$3209,Data!$Q$10:$Q$3209,"&gt;="&amp;$A1103,Data!$Q$10:$Q$3209,"&lt;"&amp;$A1103+1)/$AH1103)))</f>
        <v/>
      </c>
      <c r="I1103" s="54">
        <f>IF($B1103=0,NA(),IF($C1103="",NA(),IF(C$8="",NA(),IF(N(C$8)=0,NA(),IF(Inputs!$C$17="Rebased to 100",$C1103/C$8*100,$C1103)))))</f>
        <v/>
      </c>
      <c r="J1103" s="54">
        <f>IF($B1103=0,NA(),IF($D1103="",NA(),IF(D$8="",NA(),IF(N(D$8)=0,NA(),IF(Inputs!$C$17="Rebased to 100",$D1103/D$8*100,$D1103)))))</f>
        <v/>
      </c>
      <c r="K1103" s="54">
        <f>IF($B1103=0,NA(),IF($E1103="",NA(),IF(E$8="",NA(),IF(N(E$8)=0,NA(),IF(Inputs!$C$17="Rebased to 100",$E1103/E$8*100,$E1103)))))</f>
        <v/>
      </c>
      <c r="L1103" s="54">
        <f>IF($B1103=0,NA(),IF($F1103="",NA(),IF(F$8="",NA(),IF(N(F$8)=0,NA(),IF(Inputs!$C$17="Rebased to 100",$F1103/F$8*100,$F1103)))))</f>
        <v/>
      </c>
      <c r="M1103" s="54">
        <f>IF($B1103=0,NA(),IF($G1103="",NA(),IF(G$8="",NA(),IF(N(G$8)=0,NA(),IF(Inputs!$C$17="Rebased to 100",$G1103/G$8*100,$G1103)))))</f>
        <v/>
      </c>
      <c r="N1103" s="54">
        <f>IF($B1103=0,NA(),IF(Inputs!$C$18&lt;&gt;"Yes",NA(),IF(COUNT(I1103,J1103,K1103,L1103,M1103)=0,NA(),MIN(I1103,J1103,K1103,L1103,M1103))))</f>
        <v/>
      </c>
      <c r="O1103" s="54">
        <f>IF($B1103=0,NA(),IF(Inputs!$B$24&lt;&gt;"Yes",NA(),Inputs!$D$24*Inputs!$C$35))</f>
        <v/>
      </c>
      <c r="P1103" s="54">
        <f>IF($B1103=0,NA(),IF(Inputs!$B$25&lt;&gt;"Yes",NA(),Inputs!$D$25*Inputs!$C$35))</f>
        <v/>
      </c>
      <c r="Q1103" s="54">
        <f>IF($B1103=0,NA(),IF(Inputs!$B$26&lt;&gt;"Yes",NA(),Inputs!$D$26*Inputs!$C$35))</f>
        <v/>
      </c>
      <c r="R1103" s="54">
        <f>IF($B1103=0,NA(),IF(Inputs!$B$27&lt;&gt;"Yes",NA(),Inputs!$D$27*Inputs!$C$35))</f>
        <v/>
      </c>
      <c r="S1103" s="54">
        <f>IF($B1103=0,NA(),IF(Inputs!$B$28&lt;&gt;"Yes",NA(),Inputs!$D$28*Inputs!$C$35))</f>
        <v/>
      </c>
      <c r="T1103" s="54">
        <f>IF($B1103=0,NA(),IF(Inputs!$B$29&lt;&gt;"Yes",NA(),Inputs!$D$29*Inputs!$C$35))</f>
        <v/>
      </c>
      <c r="AD1103">
        <f>IF($B1103=0,0,IF(Inputs!$B$6="",0,COUNTIFS(Data!$A$10:$A$3209,"&gt;="&amp;$A1103,Data!$A$10:$A$3209,"&lt;"&amp;$A1103+1)))</f>
        <v/>
      </c>
      <c r="AE1103">
        <f>IF($B1103=0,0,IF(Inputs!$B$7="",0,COUNTIFS(Data!$E$10:$E$3209,"&gt;="&amp;$A1103,Data!$E$10:$E$3209,"&lt;"&amp;$A1103+1)))</f>
        <v/>
      </c>
      <c r="AF1103">
        <f>IF($B1103=0,0,IF(Inputs!$B$8="",0,COUNTIFS(Data!$I$10:$I$3209,"&gt;="&amp;$A1103,Data!$I$10:$I$3209,"&lt;"&amp;$A1103+1)))</f>
        <v/>
      </c>
      <c r="AG1103">
        <f>IF($B1103=0,0,IF(Inputs!$B$9="",0,COUNTIFS(Data!$M$10:$M$3209,"&gt;="&amp;$A1103,Data!$M$10:$M$3209,"&lt;"&amp;$A1103+1)))</f>
        <v/>
      </c>
      <c r="AH1103">
        <f>IF($B1103=0,0,IF(Inputs!$B$10="",0,COUNTIFS(Data!$Q$10:$Q$3209,"&gt;="&amp;$A1103,Data!$Q$10:$Q$3209,"&lt;"&amp;$A1103+1)))</f>
        <v/>
      </c>
    </row>
    <row r="1104">
      <c r="A1104" s="55">
        <f>MIN(Inputs!$C$15,$A1103+IF(WEEKDAY($A1103,2)=5,3,1))</f>
        <v/>
      </c>
      <c r="B1104">
        <f>IF($A1104&gt;$A1103,1,0)</f>
        <v/>
      </c>
      <c r="C1104" s="56">
        <f>IF($B1104=0,"",IF(Inputs!$B$6="","",IF($AD1104=0,C1103,SUMIFS(Data!$B$10:$B$3209,Data!$A$10:$A$3209,"&gt;="&amp;$A1104,Data!$A$10:$A$3209,"&lt;"&amp;$A1104+1)/$AD1104)))</f>
        <v/>
      </c>
      <c r="D1104" s="56">
        <f>IF($B1104=0,"",IF(Inputs!$B$7="","",IF($AE1104=0,D1103,SUMIFS(Data!$F$10:$F$3209,Data!$E$10:$E$3209,"&gt;="&amp;$A1104,Data!$E$10:$E$3209,"&lt;"&amp;$A1104+1)/$AE1104)))</f>
        <v/>
      </c>
      <c r="E1104" s="56">
        <f>IF($B1104=0,"",IF(Inputs!$B$8="","",IF($AF1104=0,E1103,SUMIFS(Data!$J$10:$J$3209,Data!$I$10:$I$3209,"&gt;="&amp;$A1104,Data!$I$10:$I$3209,"&lt;"&amp;$A1104+1)/$AF1104)))</f>
        <v/>
      </c>
      <c r="F1104" s="56">
        <f>IF($B1104=0,"",IF(Inputs!$B$9="","",IF($AG1104=0,F1103,SUMIFS(Data!$N$10:$N$3209,Data!$M$10:$M$3209,"&gt;="&amp;$A1104,Data!$M$10:$M$3209,"&lt;"&amp;$A1104+1)/$AG1104)))</f>
        <v/>
      </c>
      <c r="G1104" s="56">
        <f>IF($B1104=0,"",IF(Inputs!$B$10="","",IF($AH1104=0,G1103,SUMIFS(Data!$R$10:$R$3209,Data!$Q$10:$Q$3209,"&gt;="&amp;$A1104,Data!$Q$10:$Q$3209,"&lt;"&amp;$A1104+1)/$AH1104)))</f>
        <v/>
      </c>
      <c r="I1104" s="54">
        <f>IF($B1104=0,NA(),IF($C1104="",NA(),IF(C$8="",NA(),IF(N(C$8)=0,NA(),IF(Inputs!$C$17="Rebased to 100",$C1104/C$8*100,$C1104)))))</f>
        <v/>
      </c>
      <c r="J1104" s="54">
        <f>IF($B1104=0,NA(),IF($D1104="",NA(),IF(D$8="",NA(),IF(N(D$8)=0,NA(),IF(Inputs!$C$17="Rebased to 100",$D1104/D$8*100,$D1104)))))</f>
        <v/>
      </c>
      <c r="K1104" s="54">
        <f>IF($B1104=0,NA(),IF($E1104="",NA(),IF(E$8="",NA(),IF(N(E$8)=0,NA(),IF(Inputs!$C$17="Rebased to 100",$E1104/E$8*100,$E1104)))))</f>
        <v/>
      </c>
      <c r="L1104" s="54">
        <f>IF($B1104=0,NA(),IF($F1104="",NA(),IF(F$8="",NA(),IF(N(F$8)=0,NA(),IF(Inputs!$C$17="Rebased to 100",$F1104/F$8*100,$F1104)))))</f>
        <v/>
      </c>
      <c r="M1104" s="54">
        <f>IF($B1104=0,NA(),IF($G1104="",NA(),IF(G$8="",NA(),IF(N(G$8)=0,NA(),IF(Inputs!$C$17="Rebased to 100",$G1104/G$8*100,$G1104)))))</f>
        <v/>
      </c>
      <c r="N1104" s="54">
        <f>IF($B1104=0,NA(),IF(Inputs!$C$18&lt;&gt;"Yes",NA(),IF(COUNT(I1104,J1104,K1104,L1104,M1104)=0,NA(),MIN(I1104,J1104,K1104,L1104,M1104))))</f>
        <v/>
      </c>
      <c r="O1104" s="54">
        <f>IF($B1104=0,NA(),IF(Inputs!$B$24&lt;&gt;"Yes",NA(),Inputs!$D$24*Inputs!$C$35))</f>
        <v/>
      </c>
      <c r="P1104" s="54">
        <f>IF($B1104=0,NA(),IF(Inputs!$B$25&lt;&gt;"Yes",NA(),Inputs!$D$25*Inputs!$C$35))</f>
        <v/>
      </c>
      <c r="Q1104" s="54">
        <f>IF($B1104=0,NA(),IF(Inputs!$B$26&lt;&gt;"Yes",NA(),Inputs!$D$26*Inputs!$C$35))</f>
        <v/>
      </c>
      <c r="R1104" s="54">
        <f>IF($B1104=0,NA(),IF(Inputs!$B$27&lt;&gt;"Yes",NA(),Inputs!$D$27*Inputs!$C$35))</f>
        <v/>
      </c>
      <c r="S1104" s="54">
        <f>IF($B1104=0,NA(),IF(Inputs!$B$28&lt;&gt;"Yes",NA(),Inputs!$D$28*Inputs!$C$35))</f>
        <v/>
      </c>
      <c r="T1104" s="54">
        <f>IF($B1104=0,NA(),IF(Inputs!$B$29&lt;&gt;"Yes",NA(),Inputs!$D$29*Inputs!$C$35))</f>
        <v/>
      </c>
      <c r="AD1104">
        <f>IF($B1104=0,0,IF(Inputs!$B$6="",0,COUNTIFS(Data!$A$10:$A$3209,"&gt;="&amp;$A1104,Data!$A$10:$A$3209,"&lt;"&amp;$A1104+1)))</f>
        <v/>
      </c>
      <c r="AE1104">
        <f>IF($B1104=0,0,IF(Inputs!$B$7="",0,COUNTIFS(Data!$E$10:$E$3209,"&gt;="&amp;$A1104,Data!$E$10:$E$3209,"&lt;"&amp;$A1104+1)))</f>
        <v/>
      </c>
      <c r="AF1104">
        <f>IF($B1104=0,0,IF(Inputs!$B$8="",0,COUNTIFS(Data!$I$10:$I$3209,"&gt;="&amp;$A1104,Data!$I$10:$I$3209,"&lt;"&amp;$A1104+1)))</f>
        <v/>
      </c>
      <c r="AG1104">
        <f>IF($B1104=0,0,IF(Inputs!$B$9="",0,COUNTIFS(Data!$M$10:$M$3209,"&gt;="&amp;$A1104,Data!$M$10:$M$3209,"&lt;"&amp;$A1104+1)))</f>
        <v/>
      </c>
      <c r="AH1104">
        <f>IF($B1104=0,0,IF(Inputs!$B$10="",0,COUNTIFS(Data!$Q$10:$Q$3209,"&gt;="&amp;$A1104,Data!$Q$10:$Q$3209,"&lt;"&amp;$A1104+1)))</f>
        <v/>
      </c>
    </row>
    <row r="1105">
      <c r="A1105" s="55">
        <f>MIN(Inputs!$C$15,$A1104+IF(WEEKDAY($A1104,2)=5,3,1))</f>
        <v/>
      </c>
      <c r="B1105">
        <f>IF($A1105&gt;$A1104,1,0)</f>
        <v/>
      </c>
      <c r="C1105" s="56">
        <f>IF($B1105=0,"",IF(Inputs!$B$6="","",IF($AD1105=0,C1104,SUMIFS(Data!$B$10:$B$3209,Data!$A$10:$A$3209,"&gt;="&amp;$A1105,Data!$A$10:$A$3209,"&lt;"&amp;$A1105+1)/$AD1105)))</f>
        <v/>
      </c>
      <c r="D1105" s="56">
        <f>IF($B1105=0,"",IF(Inputs!$B$7="","",IF($AE1105=0,D1104,SUMIFS(Data!$F$10:$F$3209,Data!$E$10:$E$3209,"&gt;="&amp;$A1105,Data!$E$10:$E$3209,"&lt;"&amp;$A1105+1)/$AE1105)))</f>
        <v/>
      </c>
      <c r="E1105" s="56">
        <f>IF($B1105=0,"",IF(Inputs!$B$8="","",IF($AF1105=0,E1104,SUMIFS(Data!$J$10:$J$3209,Data!$I$10:$I$3209,"&gt;="&amp;$A1105,Data!$I$10:$I$3209,"&lt;"&amp;$A1105+1)/$AF1105)))</f>
        <v/>
      </c>
      <c r="F1105" s="56">
        <f>IF($B1105=0,"",IF(Inputs!$B$9="","",IF($AG1105=0,F1104,SUMIFS(Data!$N$10:$N$3209,Data!$M$10:$M$3209,"&gt;="&amp;$A1105,Data!$M$10:$M$3209,"&lt;"&amp;$A1105+1)/$AG1105)))</f>
        <v/>
      </c>
      <c r="G1105" s="56">
        <f>IF($B1105=0,"",IF(Inputs!$B$10="","",IF($AH1105=0,G1104,SUMIFS(Data!$R$10:$R$3209,Data!$Q$10:$Q$3209,"&gt;="&amp;$A1105,Data!$Q$10:$Q$3209,"&lt;"&amp;$A1105+1)/$AH1105)))</f>
        <v/>
      </c>
      <c r="I1105" s="54">
        <f>IF($B1105=0,NA(),IF($C1105="",NA(),IF(C$8="",NA(),IF(N(C$8)=0,NA(),IF(Inputs!$C$17="Rebased to 100",$C1105/C$8*100,$C1105)))))</f>
        <v/>
      </c>
      <c r="J1105" s="54">
        <f>IF($B1105=0,NA(),IF($D1105="",NA(),IF(D$8="",NA(),IF(N(D$8)=0,NA(),IF(Inputs!$C$17="Rebased to 100",$D1105/D$8*100,$D1105)))))</f>
        <v/>
      </c>
      <c r="K1105" s="54">
        <f>IF($B1105=0,NA(),IF($E1105="",NA(),IF(E$8="",NA(),IF(N(E$8)=0,NA(),IF(Inputs!$C$17="Rebased to 100",$E1105/E$8*100,$E1105)))))</f>
        <v/>
      </c>
      <c r="L1105" s="54">
        <f>IF($B1105=0,NA(),IF($F1105="",NA(),IF(F$8="",NA(),IF(N(F$8)=0,NA(),IF(Inputs!$C$17="Rebased to 100",$F1105/F$8*100,$F1105)))))</f>
        <v/>
      </c>
      <c r="M1105" s="54">
        <f>IF($B1105=0,NA(),IF($G1105="",NA(),IF(G$8="",NA(),IF(N(G$8)=0,NA(),IF(Inputs!$C$17="Rebased to 100",$G1105/G$8*100,$G1105)))))</f>
        <v/>
      </c>
      <c r="N1105" s="54">
        <f>IF($B1105=0,NA(),IF(Inputs!$C$18&lt;&gt;"Yes",NA(),IF(COUNT(I1105,J1105,K1105,L1105,M1105)=0,NA(),MIN(I1105,J1105,K1105,L1105,M1105))))</f>
        <v/>
      </c>
      <c r="O1105" s="54">
        <f>IF($B1105=0,NA(),IF(Inputs!$B$24&lt;&gt;"Yes",NA(),Inputs!$D$24*Inputs!$C$35))</f>
        <v/>
      </c>
      <c r="P1105" s="54">
        <f>IF($B1105=0,NA(),IF(Inputs!$B$25&lt;&gt;"Yes",NA(),Inputs!$D$25*Inputs!$C$35))</f>
        <v/>
      </c>
      <c r="Q1105" s="54">
        <f>IF($B1105=0,NA(),IF(Inputs!$B$26&lt;&gt;"Yes",NA(),Inputs!$D$26*Inputs!$C$35))</f>
        <v/>
      </c>
      <c r="R1105" s="54">
        <f>IF($B1105=0,NA(),IF(Inputs!$B$27&lt;&gt;"Yes",NA(),Inputs!$D$27*Inputs!$C$35))</f>
        <v/>
      </c>
      <c r="S1105" s="54">
        <f>IF($B1105=0,NA(),IF(Inputs!$B$28&lt;&gt;"Yes",NA(),Inputs!$D$28*Inputs!$C$35))</f>
        <v/>
      </c>
      <c r="T1105" s="54">
        <f>IF($B1105=0,NA(),IF(Inputs!$B$29&lt;&gt;"Yes",NA(),Inputs!$D$29*Inputs!$C$35))</f>
        <v/>
      </c>
      <c r="AD1105">
        <f>IF($B1105=0,0,IF(Inputs!$B$6="",0,COUNTIFS(Data!$A$10:$A$3209,"&gt;="&amp;$A1105,Data!$A$10:$A$3209,"&lt;"&amp;$A1105+1)))</f>
        <v/>
      </c>
      <c r="AE1105">
        <f>IF($B1105=0,0,IF(Inputs!$B$7="",0,COUNTIFS(Data!$E$10:$E$3209,"&gt;="&amp;$A1105,Data!$E$10:$E$3209,"&lt;"&amp;$A1105+1)))</f>
        <v/>
      </c>
      <c r="AF1105">
        <f>IF($B1105=0,0,IF(Inputs!$B$8="",0,COUNTIFS(Data!$I$10:$I$3209,"&gt;="&amp;$A1105,Data!$I$10:$I$3209,"&lt;"&amp;$A1105+1)))</f>
        <v/>
      </c>
      <c r="AG1105">
        <f>IF($B1105=0,0,IF(Inputs!$B$9="",0,COUNTIFS(Data!$M$10:$M$3209,"&gt;="&amp;$A1105,Data!$M$10:$M$3209,"&lt;"&amp;$A1105+1)))</f>
        <v/>
      </c>
      <c r="AH1105">
        <f>IF($B1105=0,0,IF(Inputs!$B$10="",0,COUNTIFS(Data!$Q$10:$Q$3209,"&gt;="&amp;$A1105,Data!$Q$10:$Q$3209,"&lt;"&amp;$A1105+1)))</f>
        <v/>
      </c>
    </row>
    <row r="1106">
      <c r="A1106" s="55">
        <f>MIN(Inputs!$C$15,$A1105+IF(WEEKDAY($A1105,2)=5,3,1))</f>
        <v/>
      </c>
      <c r="B1106">
        <f>IF($A1106&gt;$A1105,1,0)</f>
        <v/>
      </c>
      <c r="C1106" s="56">
        <f>IF($B1106=0,"",IF(Inputs!$B$6="","",IF($AD1106=0,C1105,SUMIFS(Data!$B$10:$B$3209,Data!$A$10:$A$3209,"&gt;="&amp;$A1106,Data!$A$10:$A$3209,"&lt;"&amp;$A1106+1)/$AD1106)))</f>
        <v/>
      </c>
      <c r="D1106" s="56">
        <f>IF($B1106=0,"",IF(Inputs!$B$7="","",IF($AE1106=0,D1105,SUMIFS(Data!$F$10:$F$3209,Data!$E$10:$E$3209,"&gt;="&amp;$A1106,Data!$E$10:$E$3209,"&lt;"&amp;$A1106+1)/$AE1106)))</f>
        <v/>
      </c>
      <c r="E1106" s="56">
        <f>IF($B1106=0,"",IF(Inputs!$B$8="","",IF($AF1106=0,E1105,SUMIFS(Data!$J$10:$J$3209,Data!$I$10:$I$3209,"&gt;="&amp;$A1106,Data!$I$10:$I$3209,"&lt;"&amp;$A1106+1)/$AF1106)))</f>
        <v/>
      </c>
      <c r="F1106" s="56">
        <f>IF($B1106=0,"",IF(Inputs!$B$9="","",IF($AG1106=0,F1105,SUMIFS(Data!$N$10:$N$3209,Data!$M$10:$M$3209,"&gt;="&amp;$A1106,Data!$M$10:$M$3209,"&lt;"&amp;$A1106+1)/$AG1106)))</f>
        <v/>
      </c>
      <c r="G1106" s="56">
        <f>IF($B1106=0,"",IF(Inputs!$B$10="","",IF($AH1106=0,G1105,SUMIFS(Data!$R$10:$R$3209,Data!$Q$10:$Q$3209,"&gt;="&amp;$A1106,Data!$Q$10:$Q$3209,"&lt;"&amp;$A1106+1)/$AH1106)))</f>
        <v/>
      </c>
      <c r="I1106" s="54">
        <f>IF($B1106=0,NA(),IF($C1106="",NA(),IF(C$8="",NA(),IF(N(C$8)=0,NA(),IF(Inputs!$C$17="Rebased to 100",$C1106/C$8*100,$C1106)))))</f>
        <v/>
      </c>
      <c r="J1106" s="54">
        <f>IF($B1106=0,NA(),IF($D1106="",NA(),IF(D$8="",NA(),IF(N(D$8)=0,NA(),IF(Inputs!$C$17="Rebased to 100",$D1106/D$8*100,$D1106)))))</f>
        <v/>
      </c>
      <c r="K1106" s="54">
        <f>IF($B1106=0,NA(),IF($E1106="",NA(),IF(E$8="",NA(),IF(N(E$8)=0,NA(),IF(Inputs!$C$17="Rebased to 100",$E1106/E$8*100,$E1106)))))</f>
        <v/>
      </c>
      <c r="L1106" s="54">
        <f>IF($B1106=0,NA(),IF($F1106="",NA(),IF(F$8="",NA(),IF(N(F$8)=0,NA(),IF(Inputs!$C$17="Rebased to 100",$F1106/F$8*100,$F1106)))))</f>
        <v/>
      </c>
      <c r="M1106" s="54">
        <f>IF($B1106=0,NA(),IF($G1106="",NA(),IF(G$8="",NA(),IF(N(G$8)=0,NA(),IF(Inputs!$C$17="Rebased to 100",$G1106/G$8*100,$G1106)))))</f>
        <v/>
      </c>
      <c r="N1106" s="54">
        <f>IF($B1106=0,NA(),IF(Inputs!$C$18&lt;&gt;"Yes",NA(),IF(COUNT(I1106,J1106,K1106,L1106,M1106)=0,NA(),MIN(I1106,J1106,K1106,L1106,M1106))))</f>
        <v/>
      </c>
      <c r="O1106" s="54">
        <f>IF($B1106=0,NA(),IF(Inputs!$B$24&lt;&gt;"Yes",NA(),Inputs!$D$24*Inputs!$C$35))</f>
        <v/>
      </c>
      <c r="P1106" s="54">
        <f>IF($B1106=0,NA(),IF(Inputs!$B$25&lt;&gt;"Yes",NA(),Inputs!$D$25*Inputs!$C$35))</f>
        <v/>
      </c>
      <c r="Q1106" s="54">
        <f>IF($B1106=0,NA(),IF(Inputs!$B$26&lt;&gt;"Yes",NA(),Inputs!$D$26*Inputs!$C$35))</f>
        <v/>
      </c>
      <c r="R1106" s="54">
        <f>IF($B1106=0,NA(),IF(Inputs!$B$27&lt;&gt;"Yes",NA(),Inputs!$D$27*Inputs!$C$35))</f>
        <v/>
      </c>
      <c r="S1106" s="54">
        <f>IF($B1106=0,NA(),IF(Inputs!$B$28&lt;&gt;"Yes",NA(),Inputs!$D$28*Inputs!$C$35))</f>
        <v/>
      </c>
      <c r="T1106" s="54">
        <f>IF($B1106=0,NA(),IF(Inputs!$B$29&lt;&gt;"Yes",NA(),Inputs!$D$29*Inputs!$C$35))</f>
        <v/>
      </c>
      <c r="AD1106">
        <f>IF($B1106=0,0,IF(Inputs!$B$6="",0,COUNTIFS(Data!$A$10:$A$3209,"&gt;="&amp;$A1106,Data!$A$10:$A$3209,"&lt;"&amp;$A1106+1)))</f>
        <v/>
      </c>
      <c r="AE1106">
        <f>IF($B1106=0,0,IF(Inputs!$B$7="",0,COUNTIFS(Data!$E$10:$E$3209,"&gt;="&amp;$A1106,Data!$E$10:$E$3209,"&lt;"&amp;$A1106+1)))</f>
        <v/>
      </c>
      <c r="AF1106">
        <f>IF($B1106=0,0,IF(Inputs!$B$8="",0,COUNTIFS(Data!$I$10:$I$3209,"&gt;="&amp;$A1106,Data!$I$10:$I$3209,"&lt;"&amp;$A1106+1)))</f>
        <v/>
      </c>
      <c r="AG1106">
        <f>IF($B1106=0,0,IF(Inputs!$B$9="",0,COUNTIFS(Data!$M$10:$M$3209,"&gt;="&amp;$A1106,Data!$M$10:$M$3209,"&lt;"&amp;$A1106+1)))</f>
        <v/>
      </c>
      <c r="AH1106">
        <f>IF($B1106=0,0,IF(Inputs!$B$10="",0,COUNTIFS(Data!$Q$10:$Q$3209,"&gt;="&amp;$A1106,Data!$Q$10:$Q$3209,"&lt;"&amp;$A1106+1)))</f>
        <v/>
      </c>
    </row>
    <row r="1107">
      <c r="A1107" s="55">
        <f>MIN(Inputs!$C$15,$A1106+IF(WEEKDAY($A1106,2)=5,3,1))</f>
        <v/>
      </c>
      <c r="B1107">
        <f>IF($A1107&gt;$A1106,1,0)</f>
        <v/>
      </c>
      <c r="C1107" s="56">
        <f>IF($B1107=0,"",IF(Inputs!$B$6="","",IF($AD1107=0,C1106,SUMIFS(Data!$B$10:$B$3209,Data!$A$10:$A$3209,"&gt;="&amp;$A1107,Data!$A$10:$A$3209,"&lt;"&amp;$A1107+1)/$AD1107)))</f>
        <v/>
      </c>
      <c r="D1107" s="56">
        <f>IF($B1107=0,"",IF(Inputs!$B$7="","",IF($AE1107=0,D1106,SUMIFS(Data!$F$10:$F$3209,Data!$E$10:$E$3209,"&gt;="&amp;$A1107,Data!$E$10:$E$3209,"&lt;"&amp;$A1107+1)/$AE1107)))</f>
        <v/>
      </c>
      <c r="E1107" s="56">
        <f>IF($B1107=0,"",IF(Inputs!$B$8="","",IF($AF1107=0,E1106,SUMIFS(Data!$J$10:$J$3209,Data!$I$10:$I$3209,"&gt;="&amp;$A1107,Data!$I$10:$I$3209,"&lt;"&amp;$A1107+1)/$AF1107)))</f>
        <v/>
      </c>
      <c r="F1107" s="56">
        <f>IF($B1107=0,"",IF(Inputs!$B$9="","",IF($AG1107=0,F1106,SUMIFS(Data!$N$10:$N$3209,Data!$M$10:$M$3209,"&gt;="&amp;$A1107,Data!$M$10:$M$3209,"&lt;"&amp;$A1107+1)/$AG1107)))</f>
        <v/>
      </c>
      <c r="G1107" s="56">
        <f>IF($B1107=0,"",IF(Inputs!$B$10="","",IF($AH1107=0,G1106,SUMIFS(Data!$R$10:$R$3209,Data!$Q$10:$Q$3209,"&gt;="&amp;$A1107,Data!$Q$10:$Q$3209,"&lt;"&amp;$A1107+1)/$AH1107)))</f>
        <v/>
      </c>
      <c r="I1107" s="54">
        <f>IF($B1107=0,NA(),IF($C1107="",NA(),IF(C$8="",NA(),IF(N(C$8)=0,NA(),IF(Inputs!$C$17="Rebased to 100",$C1107/C$8*100,$C1107)))))</f>
        <v/>
      </c>
      <c r="J1107" s="54">
        <f>IF($B1107=0,NA(),IF($D1107="",NA(),IF(D$8="",NA(),IF(N(D$8)=0,NA(),IF(Inputs!$C$17="Rebased to 100",$D1107/D$8*100,$D1107)))))</f>
        <v/>
      </c>
      <c r="K1107" s="54">
        <f>IF($B1107=0,NA(),IF($E1107="",NA(),IF(E$8="",NA(),IF(N(E$8)=0,NA(),IF(Inputs!$C$17="Rebased to 100",$E1107/E$8*100,$E1107)))))</f>
        <v/>
      </c>
      <c r="L1107" s="54">
        <f>IF($B1107=0,NA(),IF($F1107="",NA(),IF(F$8="",NA(),IF(N(F$8)=0,NA(),IF(Inputs!$C$17="Rebased to 100",$F1107/F$8*100,$F1107)))))</f>
        <v/>
      </c>
      <c r="M1107" s="54">
        <f>IF($B1107=0,NA(),IF($G1107="",NA(),IF(G$8="",NA(),IF(N(G$8)=0,NA(),IF(Inputs!$C$17="Rebased to 100",$G1107/G$8*100,$G1107)))))</f>
        <v/>
      </c>
      <c r="N1107" s="54">
        <f>IF($B1107=0,NA(),IF(Inputs!$C$18&lt;&gt;"Yes",NA(),IF(COUNT(I1107,J1107,K1107,L1107,M1107)=0,NA(),MIN(I1107,J1107,K1107,L1107,M1107))))</f>
        <v/>
      </c>
      <c r="O1107" s="54">
        <f>IF($B1107=0,NA(),IF(Inputs!$B$24&lt;&gt;"Yes",NA(),Inputs!$D$24*Inputs!$C$35))</f>
        <v/>
      </c>
      <c r="P1107" s="54">
        <f>IF($B1107=0,NA(),IF(Inputs!$B$25&lt;&gt;"Yes",NA(),Inputs!$D$25*Inputs!$C$35))</f>
        <v/>
      </c>
      <c r="Q1107" s="54">
        <f>IF($B1107=0,NA(),IF(Inputs!$B$26&lt;&gt;"Yes",NA(),Inputs!$D$26*Inputs!$C$35))</f>
        <v/>
      </c>
      <c r="R1107" s="54">
        <f>IF($B1107=0,NA(),IF(Inputs!$B$27&lt;&gt;"Yes",NA(),Inputs!$D$27*Inputs!$C$35))</f>
        <v/>
      </c>
      <c r="S1107" s="54">
        <f>IF($B1107=0,NA(),IF(Inputs!$B$28&lt;&gt;"Yes",NA(),Inputs!$D$28*Inputs!$C$35))</f>
        <v/>
      </c>
      <c r="T1107" s="54">
        <f>IF($B1107=0,NA(),IF(Inputs!$B$29&lt;&gt;"Yes",NA(),Inputs!$D$29*Inputs!$C$35))</f>
        <v/>
      </c>
      <c r="AD1107">
        <f>IF($B1107=0,0,IF(Inputs!$B$6="",0,COUNTIFS(Data!$A$10:$A$3209,"&gt;="&amp;$A1107,Data!$A$10:$A$3209,"&lt;"&amp;$A1107+1)))</f>
        <v/>
      </c>
      <c r="AE1107">
        <f>IF($B1107=0,0,IF(Inputs!$B$7="",0,COUNTIFS(Data!$E$10:$E$3209,"&gt;="&amp;$A1107,Data!$E$10:$E$3209,"&lt;"&amp;$A1107+1)))</f>
        <v/>
      </c>
      <c r="AF1107">
        <f>IF($B1107=0,0,IF(Inputs!$B$8="",0,COUNTIFS(Data!$I$10:$I$3209,"&gt;="&amp;$A1107,Data!$I$10:$I$3209,"&lt;"&amp;$A1107+1)))</f>
        <v/>
      </c>
      <c r="AG1107">
        <f>IF($B1107=0,0,IF(Inputs!$B$9="",0,COUNTIFS(Data!$M$10:$M$3209,"&gt;="&amp;$A1107,Data!$M$10:$M$3209,"&lt;"&amp;$A1107+1)))</f>
        <v/>
      </c>
      <c r="AH1107">
        <f>IF($B1107=0,0,IF(Inputs!$B$10="",0,COUNTIFS(Data!$Q$10:$Q$3209,"&gt;="&amp;$A1107,Data!$Q$10:$Q$3209,"&lt;"&amp;$A1107+1)))</f>
        <v/>
      </c>
    </row>
    <row r="1108">
      <c r="A1108" s="55">
        <f>MIN(Inputs!$C$15,$A1107+IF(WEEKDAY($A1107,2)=5,3,1))</f>
        <v/>
      </c>
      <c r="B1108">
        <f>IF($A1108&gt;$A1107,1,0)</f>
        <v/>
      </c>
      <c r="C1108" s="56">
        <f>IF($B1108=0,"",IF(Inputs!$B$6="","",IF($AD1108=0,C1107,SUMIFS(Data!$B$10:$B$3209,Data!$A$10:$A$3209,"&gt;="&amp;$A1108,Data!$A$10:$A$3209,"&lt;"&amp;$A1108+1)/$AD1108)))</f>
        <v/>
      </c>
      <c r="D1108" s="56">
        <f>IF($B1108=0,"",IF(Inputs!$B$7="","",IF($AE1108=0,D1107,SUMIFS(Data!$F$10:$F$3209,Data!$E$10:$E$3209,"&gt;="&amp;$A1108,Data!$E$10:$E$3209,"&lt;"&amp;$A1108+1)/$AE1108)))</f>
        <v/>
      </c>
      <c r="E1108" s="56">
        <f>IF($B1108=0,"",IF(Inputs!$B$8="","",IF($AF1108=0,E1107,SUMIFS(Data!$J$10:$J$3209,Data!$I$10:$I$3209,"&gt;="&amp;$A1108,Data!$I$10:$I$3209,"&lt;"&amp;$A1108+1)/$AF1108)))</f>
        <v/>
      </c>
      <c r="F1108" s="56">
        <f>IF($B1108=0,"",IF(Inputs!$B$9="","",IF($AG1108=0,F1107,SUMIFS(Data!$N$10:$N$3209,Data!$M$10:$M$3209,"&gt;="&amp;$A1108,Data!$M$10:$M$3209,"&lt;"&amp;$A1108+1)/$AG1108)))</f>
        <v/>
      </c>
      <c r="G1108" s="56">
        <f>IF($B1108=0,"",IF(Inputs!$B$10="","",IF($AH1108=0,G1107,SUMIFS(Data!$R$10:$R$3209,Data!$Q$10:$Q$3209,"&gt;="&amp;$A1108,Data!$Q$10:$Q$3209,"&lt;"&amp;$A1108+1)/$AH1108)))</f>
        <v/>
      </c>
      <c r="I1108" s="54">
        <f>IF($B1108=0,NA(),IF($C1108="",NA(),IF(C$8="",NA(),IF(N(C$8)=0,NA(),IF(Inputs!$C$17="Rebased to 100",$C1108/C$8*100,$C1108)))))</f>
        <v/>
      </c>
      <c r="J1108" s="54">
        <f>IF($B1108=0,NA(),IF($D1108="",NA(),IF(D$8="",NA(),IF(N(D$8)=0,NA(),IF(Inputs!$C$17="Rebased to 100",$D1108/D$8*100,$D1108)))))</f>
        <v/>
      </c>
      <c r="K1108" s="54">
        <f>IF($B1108=0,NA(),IF($E1108="",NA(),IF(E$8="",NA(),IF(N(E$8)=0,NA(),IF(Inputs!$C$17="Rebased to 100",$E1108/E$8*100,$E1108)))))</f>
        <v/>
      </c>
      <c r="L1108" s="54">
        <f>IF($B1108=0,NA(),IF($F1108="",NA(),IF(F$8="",NA(),IF(N(F$8)=0,NA(),IF(Inputs!$C$17="Rebased to 100",$F1108/F$8*100,$F1108)))))</f>
        <v/>
      </c>
      <c r="M1108" s="54">
        <f>IF($B1108=0,NA(),IF($G1108="",NA(),IF(G$8="",NA(),IF(N(G$8)=0,NA(),IF(Inputs!$C$17="Rebased to 100",$G1108/G$8*100,$G1108)))))</f>
        <v/>
      </c>
      <c r="N1108" s="54">
        <f>IF($B1108=0,NA(),IF(Inputs!$C$18&lt;&gt;"Yes",NA(),IF(COUNT(I1108,J1108,K1108,L1108,M1108)=0,NA(),MIN(I1108,J1108,K1108,L1108,M1108))))</f>
        <v/>
      </c>
      <c r="O1108" s="54">
        <f>IF($B1108=0,NA(),IF(Inputs!$B$24&lt;&gt;"Yes",NA(),Inputs!$D$24*Inputs!$C$35))</f>
        <v/>
      </c>
      <c r="P1108" s="54">
        <f>IF($B1108=0,NA(),IF(Inputs!$B$25&lt;&gt;"Yes",NA(),Inputs!$D$25*Inputs!$C$35))</f>
        <v/>
      </c>
      <c r="Q1108" s="54">
        <f>IF($B1108=0,NA(),IF(Inputs!$B$26&lt;&gt;"Yes",NA(),Inputs!$D$26*Inputs!$C$35))</f>
        <v/>
      </c>
      <c r="R1108" s="54">
        <f>IF($B1108=0,NA(),IF(Inputs!$B$27&lt;&gt;"Yes",NA(),Inputs!$D$27*Inputs!$C$35))</f>
        <v/>
      </c>
      <c r="S1108" s="54">
        <f>IF($B1108=0,NA(),IF(Inputs!$B$28&lt;&gt;"Yes",NA(),Inputs!$D$28*Inputs!$C$35))</f>
        <v/>
      </c>
      <c r="T1108" s="54">
        <f>IF($B1108=0,NA(),IF(Inputs!$B$29&lt;&gt;"Yes",NA(),Inputs!$D$29*Inputs!$C$35))</f>
        <v/>
      </c>
      <c r="AD1108">
        <f>IF($B1108=0,0,IF(Inputs!$B$6="",0,COUNTIFS(Data!$A$10:$A$3209,"&gt;="&amp;$A1108,Data!$A$10:$A$3209,"&lt;"&amp;$A1108+1)))</f>
        <v/>
      </c>
      <c r="AE1108">
        <f>IF($B1108=0,0,IF(Inputs!$B$7="",0,COUNTIFS(Data!$E$10:$E$3209,"&gt;="&amp;$A1108,Data!$E$10:$E$3209,"&lt;"&amp;$A1108+1)))</f>
        <v/>
      </c>
      <c r="AF1108">
        <f>IF($B1108=0,0,IF(Inputs!$B$8="",0,COUNTIFS(Data!$I$10:$I$3209,"&gt;="&amp;$A1108,Data!$I$10:$I$3209,"&lt;"&amp;$A1108+1)))</f>
        <v/>
      </c>
      <c r="AG1108">
        <f>IF($B1108=0,0,IF(Inputs!$B$9="",0,COUNTIFS(Data!$M$10:$M$3209,"&gt;="&amp;$A1108,Data!$M$10:$M$3209,"&lt;"&amp;$A1108+1)))</f>
        <v/>
      </c>
      <c r="AH1108">
        <f>IF($B1108=0,0,IF(Inputs!$B$10="",0,COUNTIFS(Data!$Q$10:$Q$3209,"&gt;="&amp;$A1108,Data!$Q$10:$Q$3209,"&lt;"&amp;$A1108+1)))</f>
        <v/>
      </c>
    </row>
    <row r="1109">
      <c r="A1109" s="55">
        <f>MIN(Inputs!$C$15,$A1108+IF(WEEKDAY($A1108,2)=5,3,1))</f>
        <v/>
      </c>
      <c r="B1109">
        <f>IF($A1109&gt;$A1108,1,0)</f>
        <v/>
      </c>
      <c r="C1109" s="56">
        <f>IF($B1109=0,"",IF(Inputs!$B$6="","",IF($AD1109=0,C1108,SUMIFS(Data!$B$10:$B$3209,Data!$A$10:$A$3209,"&gt;="&amp;$A1109,Data!$A$10:$A$3209,"&lt;"&amp;$A1109+1)/$AD1109)))</f>
        <v/>
      </c>
      <c r="D1109" s="56">
        <f>IF($B1109=0,"",IF(Inputs!$B$7="","",IF($AE1109=0,D1108,SUMIFS(Data!$F$10:$F$3209,Data!$E$10:$E$3209,"&gt;="&amp;$A1109,Data!$E$10:$E$3209,"&lt;"&amp;$A1109+1)/$AE1109)))</f>
        <v/>
      </c>
      <c r="E1109" s="56">
        <f>IF($B1109=0,"",IF(Inputs!$B$8="","",IF($AF1109=0,E1108,SUMIFS(Data!$J$10:$J$3209,Data!$I$10:$I$3209,"&gt;="&amp;$A1109,Data!$I$10:$I$3209,"&lt;"&amp;$A1109+1)/$AF1109)))</f>
        <v/>
      </c>
      <c r="F1109" s="56">
        <f>IF($B1109=0,"",IF(Inputs!$B$9="","",IF($AG1109=0,F1108,SUMIFS(Data!$N$10:$N$3209,Data!$M$10:$M$3209,"&gt;="&amp;$A1109,Data!$M$10:$M$3209,"&lt;"&amp;$A1109+1)/$AG1109)))</f>
        <v/>
      </c>
      <c r="G1109" s="56">
        <f>IF($B1109=0,"",IF(Inputs!$B$10="","",IF($AH1109=0,G1108,SUMIFS(Data!$R$10:$R$3209,Data!$Q$10:$Q$3209,"&gt;="&amp;$A1109,Data!$Q$10:$Q$3209,"&lt;"&amp;$A1109+1)/$AH1109)))</f>
        <v/>
      </c>
      <c r="I1109" s="54">
        <f>IF($B1109=0,NA(),IF($C1109="",NA(),IF(C$8="",NA(),IF(N(C$8)=0,NA(),IF(Inputs!$C$17="Rebased to 100",$C1109/C$8*100,$C1109)))))</f>
        <v/>
      </c>
      <c r="J1109" s="54">
        <f>IF($B1109=0,NA(),IF($D1109="",NA(),IF(D$8="",NA(),IF(N(D$8)=0,NA(),IF(Inputs!$C$17="Rebased to 100",$D1109/D$8*100,$D1109)))))</f>
        <v/>
      </c>
      <c r="K1109" s="54">
        <f>IF($B1109=0,NA(),IF($E1109="",NA(),IF(E$8="",NA(),IF(N(E$8)=0,NA(),IF(Inputs!$C$17="Rebased to 100",$E1109/E$8*100,$E1109)))))</f>
        <v/>
      </c>
      <c r="L1109" s="54">
        <f>IF($B1109=0,NA(),IF($F1109="",NA(),IF(F$8="",NA(),IF(N(F$8)=0,NA(),IF(Inputs!$C$17="Rebased to 100",$F1109/F$8*100,$F1109)))))</f>
        <v/>
      </c>
      <c r="M1109" s="54">
        <f>IF($B1109=0,NA(),IF($G1109="",NA(),IF(G$8="",NA(),IF(N(G$8)=0,NA(),IF(Inputs!$C$17="Rebased to 100",$G1109/G$8*100,$G1109)))))</f>
        <v/>
      </c>
      <c r="N1109" s="54">
        <f>IF($B1109=0,NA(),IF(Inputs!$C$18&lt;&gt;"Yes",NA(),IF(COUNT(I1109,J1109,K1109,L1109,M1109)=0,NA(),MIN(I1109,J1109,K1109,L1109,M1109))))</f>
        <v/>
      </c>
      <c r="O1109" s="54">
        <f>IF($B1109=0,NA(),IF(Inputs!$B$24&lt;&gt;"Yes",NA(),Inputs!$D$24*Inputs!$C$35))</f>
        <v/>
      </c>
      <c r="P1109" s="54">
        <f>IF($B1109=0,NA(),IF(Inputs!$B$25&lt;&gt;"Yes",NA(),Inputs!$D$25*Inputs!$C$35))</f>
        <v/>
      </c>
      <c r="Q1109" s="54">
        <f>IF($B1109=0,NA(),IF(Inputs!$B$26&lt;&gt;"Yes",NA(),Inputs!$D$26*Inputs!$C$35))</f>
        <v/>
      </c>
      <c r="R1109" s="54">
        <f>IF($B1109=0,NA(),IF(Inputs!$B$27&lt;&gt;"Yes",NA(),Inputs!$D$27*Inputs!$C$35))</f>
        <v/>
      </c>
      <c r="S1109" s="54">
        <f>IF($B1109=0,NA(),IF(Inputs!$B$28&lt;&gt;"Yes",NA(),Inputs!$D$28*Inputs!$C$35))</f>
        <v/>
      </c>
      <c r="T1109" s="54">
        <f>IF($B1109=0,NA(),IF(Inputs!$B$29&lt;&gt;"Yes",NA(),Inputs!$D$29*Inputs!$C$35))</f>
        <v/>
      </c>
      <c r="AD1109">
        <f>IF($B1109=0,0,IF(Inputs!$B$6="",0,COUNTIFS(Data!$A$10:$A$3209,"&gt;="&amp;$A1109,Data!$A$10:$A$3209,"&lt;"&amp;$A1109+1)))</f>
        <v/>
      </c>
      <c r="AE1109">
        <f>IF($B1109=0,0,IF(Inputs!$B$7="",0,COUNTIFS(Data!$E$10:$E$3209,"&gt;="&amp;$A1109,Data!$E$10:$E$3209,"&lt;"&amp;$A1109+1)))</f>
        <v/>
      </c>
      <c r="AF1109">
        <f>IF($B1109=0,0,IF(Inputs!$B$8="",0,COUNTIFS(Data!$I$10:$I$3209,"&gt;="&amp;$A1109,Data!$I$10:$I$3209,"&lt;"&amp;$A1109+1)))</f>
        <v/>
      </c>
      <c r="AG1109">
        <f>IF($B1109=0,0,IF(Inputs!$B$9="",0,COUNTIFS(Data!$M$10:$M$3209,"&gt;="&amp;$A1109,Data!$M$10:$M$3209,"&lt;"&amp;$A1109+1)))</f>
        <v/>
      </c>
      <c r="AH1109">
        <f>IF($B1109=0,0,IF(Inputs!$B$10="",0,COUNTIFS(Data!$Q$10:$Q$3209,"&gt;="&amp;$A1109,Data!$Q$10:$Q$3209,"&lt;"&amp;$A1109+1)))</f>
        <v/>
      </c>
    </row>
    <row r="1110">
      <c r="A1110" s="55">
        <f>MIN(Inputs!$C$15,$A1109+IF(WEEKDAY($A1109,2)=5,3,1))</f>
        <v/>
      </c>
      <c r="B1110">
        <f>IF($A1110&gt;$A1109,1,0)</f>
        <v/>
      </c>
      <c r="C1110" s="56">
        <f>IF($B1110=0,"",IF(Inputs!$B$6="","",IF($AD1110=0,C1109,SUMIFS(Data!$B$10:$B$3209,Data!$A$10:$A$3209,"&gt;="&amp;$A1110,Data!$A$10:$A$3209,"&lt;"&amp;$A1110+1)/$AD1110)))</f>
        <v/>
      </c>
      <c r="D1110" s="56">
        <f>IF($B1110=0,"",IF(Inputs!$B$7="","",IF($AE1110=0,D1109,SUMIFS(Data!$F$10:$F$3209,Data!$E$10:$E$3209,"&gt;="&amp;$A1110,Data!$E$10:$E$3209,"&lt;"&amp;$A1110+1)/$AE1110)))</f>
        <v/>
      </c>
      <c r="E1110" s="56">
        <f>IF($B1110=0,"",IF(Inputs!$B$8="","",IF($AF1110=0,E1109,SUMIFS(Data!$J$10:$J$3209,Data!$I$10:$I$3209,"&gt;="&amp;$A1110,Data!$I$10:$I$3209,"&lt;"&amp;$A1110+1)/$AF1110)))</f>
        <v/>
      </c>
      <c r="F1110" s="56">
        <f>IF($B1110=0,"",IF(Inputs!$B$9="","",IF($AG1110=0,F1109,SUMIFS(Data!$N$10:$N$3209,Data!$M$10:$M$3209,"&gt;="&amp;$A1110,Data!$M$10:$M$3209,"&lt;"&amp;$A1110+1)/$AG1110)))</f>
        <v/>
      </c>
      <c r="G1110" s="56">
        <f>IF($B1110=0,"",IF(Inputs!$B$10="","",IF($AH1110=0,G1109,SUMIFS(Data!$R$10:$R$3209,Data!$Q$10:$Q$3209,"&gt;="&amp;$A1110,Data!$Q$10:$Q$3209,"&lt;"&amp;$A1110+1)/$AH1110)))</f>
        <v/>
      </c>
      <c r="I1110" s="54">
        <f>IF($B1110=0,NA(),IF($C1110="",NA(),IF(C$8="",NA(),IF(N(C$8)=0,NA(),IF(Inputs!$C$17="Rebased to 100",$C1110/C$8*100,$C1110)))))</f>
        <v/>
      </c>
      <c r="J1110" s="54">
        <f>IF($B1110=0,NA(),IF($D1110="",NA(),IF(D$8="",NA(),IF(N(D$8)=0,NA(),IF(Inputs!$C$17="Rebased to 100",$D1110/D$8*100,$D1110)))))</f>
        <v/>
      </c>
      <c r="K1110" s="54">
        <f>IF($B1110=0,NA(),IF($E1110="",NA(),IF(E$8="",NA(),IF(N(E$8)=0,NA(),IF(Inputs!$C$17="Rebased to 100",$E1110/E$8*100,$E1110)))))</f>
        <v/>
      </c>
      <c r="L1110" s="54">
        <f>IF($B1110=0,NA(),IF($F1110="",NA(),IF(F$8="",NA(),IF(N(F$8)=0,NA(),IF(Inputs!$C$17="Rebased to 100",$F1110/F$8*100,$F1110)))))</f>
        <v/>
      </c>
      <c r="M1110" s="54">
        <f>IF($B1110=0,NA(),IF($G1110="",NA(),IF(G$8="",NA(),IF(N(G$8)=0,NA(),IF(Inputs!$C$17="Rebased to 100",$G1110/G$8*100,$G1110)))))</f>
        <v/>
      </c>
      <c r="N1110" s="54">
        <f>IF($B1110=0,NA(),IF(Inputs!$C$18&lt;&gt;"Yes",NA(),IF(COUNT(I1110,J1110,K1110,L1110,M1110)=0,NA(),MIN(I1110,J1110,K1110,L1110,M1110))))</f>
        <v/>
      </c>
      <c r="O1110" s="54">
        <f>IF($B1110=0,NA(),IF(Inputs!$B$24&lt;&gt;"Yes",NA(),Inputs!$D$24*Inputs!$C$35))</f>
        <v/>
      </c>
      <c r="P1110" s="54">
        <f>IF($B1110=0,NA(),IF(Inputs!$B$25&lt;&gt;"Yes",NA(),Inputs!$D$25*Inputs!$C$35))</f>
        <v/>
      </c>
      <c r="Q1110" s="54">
        <f>IF($B1110=0,NA(),IF(Inputs!$B$26&lt;&gt;"Yes",NA(),Inputs!$D$26*Inputs!$C$35))</f>
        <v/>
      </c>
      <c r="R1110" s="54">
        <f>IF($B1110=0,NA(),IF(Inputs!$B$27&lt;&gt;"Yes",NA(),Inputs!$D$27*Inputs!$C$35))</f>
        <v/>
      </c>
      <c r="S1110" s="54">
        <f>IF($B1110=0,NA(),IF(Inputs!$B$28&lt;&gt;"Yes",NA(),Inputs!$D$28*Inputs!$C$35))</f>
        <v/>
      </c>
      <c r="T1110" s="54">
        <f>IF($B1110=0,NA(),IF(Inputs!$B$29&lt;&gt;"Yes",NA(),Inputs!$D$29*Inputs!$C$35))</f>
        <v/>
      </c>
      <c r="AD1110">
        <f>IF($B1110=0,0,IF(Inputs!$B$6="",0,COUNTIFS(Data!$A$10:$A$3209,"&gt;="&amp;$A1110,Data!$A$10:$A$3209,"&lt;"&amp;$A1110+1)))</f>
        <v/>
      </c>
      <c r="AE1110">
        <f>IF($B1110=0,0,IF(Inputs!$B$7="",0,COUNTIFS(Data!$E$10:$E$3209,"&gt;="&amp;$A1110,Data!$E$10:$E$3209,"&lt;"&amp;$A1110+1)))</f>
        <v/>
      </c>
      <c r="AF1110">
        <f>IF($B1110=0,0,IF(Inputs!$B$8="",0,COUNTIFS(Data!$I$10:$I$3209,"&gt;="&amp;$A1110,Data!$I$10:$I$3209,"&lt;"&amp;$A1110+1)))</f>
        <v/>
      </c>
      <c r="AG1110">
        <f>IF($B1110=0,0,IF(Inputs!$B$9="",0,COUNTIFS(Data!$M$10:$M$3209,"&gt;="&amp;$A1110,Data!$M$10:$M$3209,"&lt;"&amp;$A1110+1)))</f>
        <v/>
      </c>
      <c r="AH1110">
        <f>IF($B1110=0,0,IF(Inputs!$B$10="",0,COUNTIFS(Data!$Q$10:$Q$3209,"&gt;="&amp;$A1110,Data!$Q$10:$Q$3209,"&lt;"&amp;$A1110+1)))</f>
        <v/>
      </c>
    </row>
    <row r="1111">
      <c r="A1111" s="55">
        <f>MIN(Inputs!$C$15,$A1110+IF(WEEKDAY($A1110,2)=5,3,1))</f>
        <v/>
      </c>
      <c r="B1111">
        <f>IF($A1111&gt;$A1110,1,0)</f>
        <v/>
      </c>
      <c r="C1111" s="56">
        <f>IF($B1111=0,"",IF(Inputs!$B$6="","",IF($AD1111=0,C1110,SUMIFS(Data!$B$10:$B$3209,Data!$A$10:$A$3209,"&gt;="&amp;$A1111,Data!$A$10:$A$3209,"&lt;"&amp;$A1111+1)/$AD1111)))</f>
        <v/>
      </c>
      <c r="D1111" s="56">
        <f>IF($B1111=0,"",IF(Inputs!$B$7="","",IF($AE1111=0,D1110,SUMIFS(Data!$F$10:$F$3209,Data!$E$10:$E$3209,"&gt;="&amp;$A1111,Data!$E$10:$E$3209,"&lt;"&amp;$A1111+1)/$AE1111)))</f>
        <v/>
      </c>
      <c r="E1111" s="56">
        <f>IF($B1111=0,"",IF(Inputs!$B$8="","",IF($AF1111=0,E1110,SUMIFS(Data!$J$10:$J$3209,Data!$I$10:$I$3209,"&gt;="&amp;$A1111,Data!$I$10:$I$3209,"&lt;"&amp;$A1111+1)/$AF1111)))</f>
        <v/>
      </c>
      <c r="F1111" s="56">
        <f>IF($B1111=0,"",IF(Inputs!$B$9="","",IF($AG1111=0,F1110,SUMIFS(Data!$N$10:$N$3209,Data!$M$10:$M$3209,"&gt;="&amp;$A1111,Data!$M$10:$M$3209,"&lt;"&amp;$A1111+1)/$AG1111)))</f>
        <v/>
      </c>
      <c r="G1111" s="56">
        <f>IF($B1111=0,"",IF(Inputs!$B$10="","",IF($AH1111=0,G1110,SUMIFS(Data!$R$10:$R$3209,Data!$Q$10:$Q$3209,"&gt;="&amp;$A1111,Data!$Q$10:$Q$3209,"&lt;"&amp;$A1111+1)/$AH1111)))</f>
        <v/>
      </c>
      <c r="I1111" s="54">
        <f>IF($B1111=0,NA(),IF($C1111="",NA(),IF(C$8="",NA(),IF(N(C$8)=0,NA(),IF(Inputs!$C$17="Rebased to 100",$C1111/C$8*100,$C1111)))))</f>
        <v/>
      </c>
      <c r="J1111" s="54">
        <f>IF($B1111=0,NA(),IF($D1111="",NA(),IF(D$8="",NA(),IF(N(D$8)=0,NA(),IF(Inputs!$C$17="Rebased to 100",$D1111/D$8*100,$D1111)))))</f>
        <v/>
      </c>
      <c r="K1111" s="54">
        <f>IF($B1111=0,NA(),IF($E1111="",NA(),IF(E$8="",NA(),IF(N(E$8)=0,NA(),IF(Inputs!$C$17="Rebased to 100",$E1111/E$8*100,$E1111)))))</f>
        <v/>
      </c>
      <c r="L1111" s="54">
        <f>IF($B1111=0,NA(),IF($F1111="",NA(),IF(F$8="",NA(),IF(N(F$8)=0,NA(),IF(Inputs!$C$17="Rebased to 100",$F1111/F$8*100,$F1111)))))</f>
        <v/>
      </c>
      <c r="M1111" s="54">
        <f>IF($B1111=0,NA(),IF($G1111="",NA(),IF(G$8="",NA(),IF(N(G$8)=0,NA(),IF(Inputs!$C$17="Rebased to 100",$G1111/G$8*100,$G1111)))))</f>
        <v/>
      </c>
      <c r="N1111" s="54">
        <f>IF($B1111=0,NA(),IF(Inputs!$C$18&lt;&gt;"Yes",NA(),IF(COUNT(I1111,J1111,K1111,L1111,M1111)=0,NA(),MIN(I1111,J1111,K1111,L1111,M1111))))</f>
        <v/>
      </c>
      <c r="O1111" s="54">
        <f>IF($B1111=0,NA(),IF(Inputs!$B$24&lt;&gt;"Yes",NA(),Inputs!$D$24*Inputs!$C$35))</f>
        <v/>
      </c>
      <c r="P1111" s="54">
        <f>IF($B1111=0,NA(),IF(Inputs!$B$25&lt;&gt;"Yes",NA(),Inputs!$D$25*Inputs!$C$35))</f>
        <v/>
      </c>
      <c r="Q1111" s="54">
        <f>IF($B1111=0,NA(),IF(Inputs!$B$26&lt;&gt;"Yes",NA(),Inputs!$D$26*Inputs!$C$35))</f>
        <v/>
      </c>
      <c r="R1111" s="54">
        <f>IF($B1111=0,NA(),IF(Inputs!$B$27&lt;&gt;"Yes",NA(),Inputs!$D$27*Inputs!$C$35))</f>
        <v/>
      </c>
      <c r="S1111" s="54">
        <f>IF($B1111=0,NA(),IF(Inputs!$B$28&lt;&gt;"Yes",NA(),Inputs!$D$28*Inputs!$C$35))</f>
        <v/>
      </c>
      <c r="T1111" s="54">
        <f>IF($B1111=0,NA(),IF(Inputs!$B$29&lt;&gt;"Yes",NA(),Inputs!$D$29*Inputs!$C$35))</f>
        <v/>
      </c>
      <c r="AD1111">
        <f>IF($B1111=0,0,IF(Inputs!$B$6="",0,COUNTIFS(Data!$A$10:$A$3209,"&gt;="&amp;$A1111,Data!$A$10:$A$3209,"&lt;"&amp;$A1111+1)))</f>
        <v/>
      </c>
      <c r="AE1111">
        <f>IF($B1111=0,0,IF(Inputs!$B$7="",0,COUNTIFS(Data!$E$10:$E$3209,"&gt;="&amp;$A1111,Data!$E$10:$E$3209,"&lt;"&amp;$A1111+1)))</f>
        <v/>
      </c>
      <c r="AF1111">
        <f>IF($B1111=0,0,IF(Inputs!$B$8="",0,COUNTIFS(Data!$I$10:$I$3209,"&gt;="&amp;$A1111,Data!$I$10:$I$3209,"&lt;"&amp;$A1111+1)))</f>
        <v/>
      </c>
      <c r="AG1111">
        <f>IF($B1111=0,0,IF(Inputs!$B$9="",0,COUNTIFS(Data!$M$10:$M$3209,"&gt;="&amp;$A1111,Data!$M$10:$M$3209,"&lt;"&amp;$A1111+1)))</f>
        <v/>
      </c>
      <c r="AH1111">
        <f>IF($B1111=0,0,IF(Inputs!$B$10="",0,COUNTIFS(Data!$Q$10:$Q$3209,"&gt;="&amp;$A1111,Data!$Q$10:$Q$3209,"&lt;"&amp;$A1111+1)))</f>
        <v/>
      </c>
    </row>
    <row r="1112">
      <c r="A1112" s="55">
        <f>MIN(Inputs!$C$15,$A1111+IF(WEEKDAY($A1111,2)=5,3,1))</f>
        <v/>
      </c>
      <c r="B1112">
        <f>IF($A1112&gt;$A1111,1,0)</f>
        <v/>
      </c>
      <c r="C1112" s="56">
        <f>IF($B1112=0,"",IF(Inputs!$B$6="","",IF($AD1112=0,C1111,SUMIFS(Data!$B$10:$B$3209,Data!$A$10:$A$3209,"&gt;="&amp;$A1112,Data!$A$10:$A$3209,"&lt;"&amp;$A1112+1)/$AD1112)))</f>
        <v/>
      </c>
      <c r="D1112" s="56">
        <f>IF($B1112=0,"",IF(Inputs!$B$7="","",IF($AE1112=0,D1111,SUMIFS(Data!$F$10:$F$3209,Data!$E$10:$E$3209,"&gt;="&amp;$A1112,Data!$E$10:$E$3209,"&lt;"&amp;$A1112+1)/$AE1112)))</f>
        <v/>
      </c>
      <c r="E1112" s="56">
        <f>IF($B1112=0,"",IF(Inputs!$B$8="","",IF($AF1112=0,E1111,SUMIFS(Data!$J$10:$J$3209,Data!$I$10:$I$3209,"&gt;="&amp;$A1112,Data!$I$10:$I$3209,"&lt;"&amp;$A1112+1)/$AF1112)))</f>
        <v/>
      </c>
      <c r="F1112" s="56">
        <f>IF($B1112=0,"",IF(Inputs!$B$9="","",IF($AG1112=0,F1111,SUMIFS(Data!$N$10:$N$3209,Data!$M$10:$M$3209,"&gt;="&amp;$A1112,Data!$M$10:$M$3209,"&lt;"&amp;$A1112+1)/$AG1112)))</f>
        <v/>
      </c>
      <c r="G1112" s="56">
        <f>IF($B1112=0,"",IF(Inputs!$B$10="","",IF($AH1112=0,G1111,SUMIFS(Data!$R$10:$R$3209,Data!$Q$10:$Q$3209,"&gt;="&amp;$A1112,Data!$Q$10:$Q$3209,"&lt;"&amp;$A1112+1)/$AH1112)))</f>
        <v/>
      </c>
      <c r="I1112" s="54">
        <f>IF($B1112=0,NA(),IF($C1112="",NA(),IF(C$8="",NA(),IF(N(C$8)=0,NA(),IF(Inputs!$C$17="Rebased to 100",$C1112/C$8*100,$C1112)))))</f>
        <v/>
      </c>
      <c r="J1112" s="54">
        <f>IF($B1112=0,NA(),IF($D1112="",NA(),IF(D$8="",NA(),IF(N(D$8)=0,NA(),IF(Inputs!$C$17="Rebased to 100",$D1112/D$8*100,$D1112)))))</f>
        <v/>
      </c>
      <c r="K1112" s="54">
        <f>IF($B1112=0,NA(),IF($E1112="",NA(),IF(E$8="",NA(),IF(N(E$8)=0,NA(),IF(Inputs!$C$17="Rebased to 100",$E1112/E$8*100,$E1112)))))</f>
        <v/>
      </c>
      <c r="L1112" s="54">
        <f>IF($B1112=0,NA(),IF($F1112="",NA(),IF(F$8="",NA(),IF(N(F$8)=0,NA(),IF(Inputs!$C$17="Rebased to 100",$F1112/F$8*100,$F1112)))))</f>
        <v/>
      </c>
      <c r="M1112" s="54">
        <f>IF($B1112=0,NA(),IF($G1112="",NA(),IF(G$8="",NA(),IF(N(G$8)=0,NA(),IF(Inputs!$C$17="Rebased to 100",$G1112/G$8*100,$G1112)))))</f>
        <v/>
      </c>
      <c r="N1112" s="54">
        <f>IF($B1112=0,NA(),IF(Inputs!$C$18&lt;&gt;"Yes",NA(),IF(COUNT(I1112,J1112,K1112,L1112,M1112)=0,NA(),MIN(I1112,J1112,K1112,L1112,M1112))))</f>
        <v/>
      </c>
      <c r="O1112" s="54">
        <f>IF($B1112=0,NA(),IF(Inputs!$B$24&lt;&gt;"Yes",NA(),Inputs!$D$24*Inputs!$C$35))</f>
        <v/>
      </c>
      <c r="P1112" s="54">
        <f>IF($B1112=0,NA(),IF(Inputs!$B$25&lt;&gt;"Yes",NA(),Inputs!$D$25*Inputs!$C$35))</f>
        <v/>
      </c>
      <c r="Q1112" s="54">
        <f>IF($B1112=0,NA(),IF(Inputs!$B$26&lt;&gt;"Yes",NA(),Inputs!$D$26*Inputs!$C$35))</f>
        <v/>
      </c>
      <c r="R1112" s="54">
        <f>IF($B1112=0,NA(),IF(Inputs!$B$27&lt;&gt;"Yes",NA(),Inputs!$D$27*Inputs!$C$35))</f>
        <v/>
      </c>
      <c r="S1112" s="54">
        <f>IF($B1112=0,NA(),IF(Inputs!$B$28&lt;&gt;"Yes",NA(),Inputs!$D$28*Inputs!$C$35))</f>
        <v/>
      </c>
      <c r="T1112" s="54">
        <f>IF($B1112=0,NA(),IF(Inputs!$B$29&lt;&gt;"Yes",NA(),Inputs!$D$29*Inputs!$C$35))</f>
        <v/>
      </c>
      <c r="AD1112">
        <f>IF($B1112=0,0,IF(Inputs!$B$6="",0,COUNTIFS(Data!$A$10:$A$3209,"&gt;="&amp;$A1112,Data!$A$10:$A$3209,"&lt;"&amp;$A1112+1)))</f>
        <v/>
      </c>
      <c r="AE1112">
        <f>IF($B1112=0,0,IF(Inputs!$B$7="",0,COUNTIFS(Data!$E$10:$E$3209,"&gt;="&amp;$A1112,Data!$E$10:$E$3209,"&lt;"&amp;$A1112+1)))</f>
        <v/>
      </c>
      <c r="AF1112">
        <f>IF($B1112=0,0,IF(Inputs!$B$8="",0,COUNTIFS(Data!$I$10:$I$3209,"&gt;="&amp;$A1112,Data!$I$10:$I$3209,"&lt;"&amp;$A1112+1)))</f>
        <v/>
      </c>
      <c r="AG1112">
        <f>IF($B1112=0,0,IF(Inputs!$B$9="",0,COUNTIFS(Data!$M$10:$M$3209,"&gt;="&amp;$A1112,Data!$M$10:$M$3209,"&lt;"&amp;$A1112+1)))</f>
        <v/>
      </c>
      <c r="AH1112">
        <f>IF($B1112=0,0,IF(Inputs!$B$10="",0,COUNTIFS(Data!$Q$10:$Q$3209,"&gt;="&amp;$A1112,Data!$Q$10:$Q$3209,"&lt;"&amp;$A1112+1)))</f>
        <v/>
      </c>
    </row>
    <row r="1113">
      <c r="A1113" s="55">
        <f>MIN(Inputs!$C$15,$A1112+IF(WEEKDAY($A1112,2)=5,3,1))</f>
        <v/>
      </c>
      <c r="B1113">
        <f>IF($A1113&gt;$A1112,1,0)</f>
        <v/>
      </c>
      <c r="C1113" s="56">
        <f>IF($B1113=0,"",IF(Inputs!$B$6="","",IF($AD1113=0,C1112,SUMIFS(Data!$B$10:$B$3209,Data!$A$10:$A$3209,"&gt;="&amp;$A1113,Data!$A$10:$A$3209,"&lt;"&amp;$A1113+1)/$AD1113)))</f>
        <v/>
      </c>
      <c r="D1113" s="56">
        <f>IF($B1113=0,"",IF(Inputs!$B$7="","",IF($AE1113=0,D1112,SUMIFS(Data!$F$10:$F$3209,Data!$E$10:$E$3209,"&gt;="&amp;$A1113,Data!$E$10:$E$3209,"&lt;"&amp;$A1113+1)/$AE1113)))</f>
        <v/>
      </c>
      <c r="E1113" s="56">
        <f>IF($B1113=0,"",IF(Inputs!$B$8="","",IF($AF1113=0,E1112,SUMIFS(Data!$J$10:$J$3209,Data!$I$10:$I$3209,"&gt;="&amp;$A1113,Data!$I$10:$I$3209,"&lt;"&amp;$A1113+1)/$AF1113)))</f>
        <v/>
      </c>
      <c r="F1113" s="56">
        <f>IF($B1113=0,"",IF(Inputs!$B$9="","",IF($AG1113=0,F1112,SUMIFS(Data!$N$10:$N$3209,Data!$M$10:$M$3209,"&gt;="&amp;$A1113,Data!$M$10:$M$3209,"&lt;"&amp;$A1113+1)/$AG1113)))</f>
        <v/>
      </c>
      <c r="G1113" s="56">
        <f>IF($B1113=0,"",IF(Inputs!$B$10="","",IF($AH1113=0,G1112,SUMIFS(Data!$R$10:$R$3209,Data!$Q$10:$Q$3209,"&gt;="&amp;$A1113,Data!$Q$10:$Q$3209,"&lt;"&amp;$A1113+1)/$AH1113)))</f>
        <v/>
      </c>
      <c r="I1113" s="54">
        <f>IF($B1113=0,NA(),IF($C1113="",NA(),IF(C$8="",NA(),IF(N(C$8)=0,NA(),IF(Inputs!$C$17="Rebased to 100",$C1113/C$8*100,$C1113)))))</f>
        <v/>
      </c>
      <c r="J1113" s="54">
        <f>IF($B1113=0,NA(),IF($D1113="",NA(),IF(D$8="",NA(),IF(N(D$8)=0,NA(),IF(Inputs!$C$17="Rebased to 100",$D1113/D$8*100,$D1113)))))</f>
        <v/>
      </c>
      <c r="K1113" s="54">
        <f>IF($B1113=0,NA(),IF($E1113="",NA(),IF(E$8="",NA(),IF(N(E$8)=0,NA(),IF(Inputs!$C$17="Rebased to 100",$E1113/E$8*100,$E1113)))))</f>
        <v/>
      </c>
      <c r="L1113" s="54">
        <f>IF($B1113=0,NA(),IF($F1113="",NA(),IF(F$8="",NA(),IF(N(F$8)=0,NA(),IF(Inputs!$C$17="Rebased to 100",$F1113/F$8*100,$F1113)))))</f>
        <v/>
      </c>
      <c r="M1113" s="54">
        <f>IF($B1113=0,NA(),IF($G1113="",NA(),IF(G$8="",NA(),IF(N(G$8)=0,NA(),IF(Inputs!$C$17="Rebased to 100",$G1113/G$8*100,$G1113)))))</f>
        <v/>
      </c>
      <c r="N1113" s="54">
        <f>IF($B1113=0,NA(),IF(Inputs!$C$18&lt;&gt;"Yes",NA(),IF(COUNT(I1113,J1113,K1113,L1113,M1113)=0,NA(),MIN(I1113,J1113,K1113,L1113,M1113))))</f>
        <v/>
      </c>
      <c r="O1113" s="54">
        <f>IF($B1113=0,NA(),IF(Inputs!$B$24&lt;&gt;"Yes",NA(),Inputs!$D$24*Inputs!$C$35))</f>
        <v/>
      </c>
      <c r="P1113" s="54">
        <f>IF($B1113=0,NA(),IF(Inputs!$B$25&lt;&gt;"Yes",NA(),Inputs!$D$25*Inputs!$C$35))</f>
        <v/>
      </c>
      <c r="Q1113" s="54">
        <f>IF($B1113=0,NA(),IF(Inputs!$B$26&lt;&gt;"Yes",NA(),Inputs!$D$26*Inputs!$C$35))</f>
        <v/>
      </c>
      <c r="R1113" s="54">
        <f>IF($B1113=0,NA(),IF(Inputs!$B$27&lt;&gt;"Yes",NA(),Inputs!$D$27*Inputs!$C$35))</f>
        <v/>
      </c>
      <c r="S1113" s="54">
        <f>IF($B1113=0,NA(),IF(Inputs!$B$28&lt;&gt;"Yes",NA(),Inputs!$D$28*Inputs!$C$35))</f>
        <v/>
      </c>
      <c r="T1113" s="54">
        <f>IF($B1113=0,NA(),IF(Inputs!$B$29&lt;&gt;"Yes",NA(),Inputs!$D$29*Inputs!$C$35))</f>
        <v/>
      </c>
      <c r="AD1113">
        <f>IF($B1113=0,0,IF(Inputs!$B$6="",0,COUNTIFS(Data!$A$10:$A$3209,"&gt;="&amp;$A1113,Data!$A$10:$A$3209,"&lt;"&amp;$A1113+1)))</f>
        <v/>
      </c>
      <c r="AE1113">
        <f>IF($B1113=0,0,IF(Inputs!$B$7="",0,COUNTIFS(Data!$E$10:$E$3209,"&gt;="&amp;$A1113,Data!$E$10:$E$3209,"&lt;"&amp;$A1113+1)))</f>
        <v/>
      </c>
      <c r="AF1113">
        <f>IF($B1113=0,0,IF(Inputs!$B$8="",0,COUNTIFS(Data!$I$10:$I$3209,"&gt;="&amp;$A1113,Data!$I$10:$I$3209,"&lt;"&amp;$A1113+1)))</f>
        <v/>
      </c>
      <c r="AG1113">
        <f>IF($B1113=0,0,IF(Inputs!$B$9="",0,COUNTIFS(Data!$M$10:$M$3209,"&gt;="&amp;$A1113,Data!$M$10:$M$3209,"&lt;"&amp;$A1113+1)))</f>
        <v/>
      </c>
      <c r="AH1113">
        <f>IF($B1113=0,0,IF(Inputs!$B$10="",0,COUNTIFS(Data!$Q$10:$Q$3209,"&gt;="&amp;$A1113,Data!$Q$10:$Q$3209,"&lt;"&amp;$A1113+1)))</f>
        <v/>
      </c>
    </row>
    <row r="1114">
      <c r="A1114" s="55">
        <f>MIN(Inputs!$C$15,$A1113+IF(WEEKDAY($A1113,2)=5,3,1))</f>
        <v/>
      </c>
      <c r="B1114">
        <f>IF($A1114&gt;$A1113,1,0)</f>
        <v/>
      </c>
      <c r="C1114" s="56">
        <f>IF($B1114=0,"",IF(Inputs!$B$6="","",IF($AD1114=0,C1113,SUMIFS(Data!$B$10:$B$3209,Data!$A$10:$A$3209,"&gt;="&amp;$A1114,Data!$A$10:$A$3209,"&lt;"&amp;$A1114+1)/$AD1114)))</f>
        <v/>
      </c>
      <c r="D1114" s="56">
        <f>IF($B1114=0,"",IF(Inputs!$B$7="","",IF($AE1114=0,D1113,SUMIFS(Data!$F$10:$F$3209,Data!$E$10:$E$3209,"&gt;="&amp;$A1114,Data!$E$10:$E$3209,"&lt;"&amp;$A1114+1)/$AE1114)))</f>
        <v/>
      </c>
      <c r="E1114" s="56">
        <f>IF($B1114=0,"",IF(Inputs!$B$8="","",IF($AF1114=0,E1113,SUMIFS(Data!$J$10:$J$3209,Data!$I$10:$I$3209,"&gt;="&amp;$A1114,Data!$I$10:$I$3209,"&lt;"&amp;$A1114+1)/$AF1114)))</f>
        <v/>
      </c>
      <c r="F1114" s="56">
        <f>IF($B1114=0,"",IF(Inputs!$B$9="","",IF($AG1114=0,F1113,SUMIFS(Data!$N$10:$N$3209,Data!$M$10:$M$3209,"&gt;="&amp;$A1114,Data!$M$10:$M$3209,"&lt;"&amp;$A1114+1)/$AG1114)))</f>
        <v/>
      </c>
      <c r="G1114" s="56">
        <f>IF($B1114=0,"",IF(Inputs!$B$10="","",IF($AH1114=0,G1113,SUMIFS(Data!$R$10:$R$3209,Data!$Q$10:$Q$3209,"&gt;="&amp;$A1114,Data!$Q$10:$Q$3209,"&lt;"&amp;$A1114+1)/$AH1114)))</f>
        <v/>
      </c>
      <c r="I1114" s="54">
        <f>IF($B1114=0,NA(),IF($C1114="",NA(),IF(C$8="",NA(),IF(N(C$8)=0,NA(),IF(Inputs!$C$17="Rebased to 100",$C1114/C$8*100,$C1114)))))</f>
        <v/>
      </c>
      <c r="J1114" s="54">
        <f>IF($B1114=0,NA(),IF($D1114="",NA(),IF(D$8="",NA(),IF(N(D$8)=0,NA(),IF(Inputs!$C$17="Rebased to 100",$D1114/D$8*100,$D1114)))))</f>
        <v/>
      </c>
      <c r="K1114" s="54">
        <f>IF($B1114=0,NA(),IF($E1114="",NA(),IF(E$8="",NA(),IF(N(E$8)=0,NA(),IF(Inputs!$C$17="Rebased to 100",$E1114/E$8*100,$E1114)))))</f>
        <v/>
      </c>
      <c r="L1114" s="54">
        <f>IF($B1114=0,NA(),IF($F1114="",NA(),IF(F$8="",NA(),IF(N(F$8)=0,NA(),IF(Inputs!$C$17="Rebased to 100",$F1114/F$8*100,$F1114)))))</f>
        <v/>
      </c>
      <c r="M1114" s="54">
        <f>IF($B1114=0,NA(),IF($G1114="",NA(),IF(G$8="",NA(),IF(N(G$8)=0,NA(),IF(Inputs!$C$17="Rebased to 100",$G1114/G$8*100,$G1114)))))</f>
        <v/>
      </c>
      <c r="N1114" s="54">
        <f>IF($B1114=0,NA(),IF(Inputs!$C$18&lt;&gt;"Yes",NA(),IF(COUNT(I1114,J1114,K1114,L1114,M1114)=0,NA(),MIN(I1114,J1114,K1114,L1114,M1114))))</f>
        <v/>
      </c>
      <c r="O1114" s="54">
        <f>IF($B1114=0,NA(),IF(Inputs!$B$24&lt;&gt;"Yes",NA(),Inputs!$D$24*Inputs!$C$35))</f>
        <v/>
      </c>
      <c r="P1114" s="54">
        <f>IF($B1114=0,NA(),IF(Inputs!$B$25&lt;&gt;"Yes",NA(),Inputs!$D$25*Inputs!$C$35))</f>
        <v/>
      </c>
      <c r="Q1114" s="54">
        <f>IF($B1114=0,NA(),IF(Inputs!$B$26&lt;&gt;"Yes",NA(),Inputs!$D$26*Inputs!$C$35))</f>
        <v/>
      </c>
      <c r="R1114" s="54">
        <f>IF($B1114=0,NA(),IF(Inputs!$B$27&lt;&gt;"Yes",NA(),Inputs!$D$27*Inputs!$C$35))</f>
        <v/>
      </c>
      <c r="S1114" s="54">
        <f>IF($B1114=0,NA(),IF(Inputs!$B$28&lt;&gt;"Yes",NA(),Inputs!$D$28*Inputs!$C$35))</f>
        <v/>
      </c>
      <c r="T1114" s="54">
        <f>IF($B1114=0,NA(),IF(Inputs!$B$29&lt;&gt;"Yes",NA(),Inputs!$D$29*Inputs!$C$35))</f>
        <v/>
      </c>
      <c r="AD1114">
        <f>IF($B1114=0,0,IF(Inputs!$B$6="",0,COUNTIFS(Data!$A$10:$A$3209,"&gt;="&amp;$A1114,Data!$A$10:$A$3209,"&lt;"&amp;$A1114+1)))</f>
        <v/>
      </c>
      <c r="AE1114">
        <f>IF($B1114=0,0,IF(Inputs!$B$7="",0,COUNTIFS(Data!$E$10:$E$3209,"&gt;="&amp;$A1114,Data!$E$10:$E$3209,"&lt;"&amp;$A1114+1)))</f>
        <v/>
      </c>
      <c r="AF1114">
        <f>IF($B1114=0,0,IF(Inputs!$B$8="",0,COUNTIFS(Data!$I$10:$I$3209,"&gt;="&amp;$A1114,Data!$I$10:$I$3209,"&lt;"&amp;$A1114+1)))</f>
        <v/>
      </c>
      <c r="AG1114">
        <f>IF($B1114=0,0,IF(Inputs!$B$9="",0,COUNTIFS(Data!$M$10:$M$3209,"&gt;="&amp;$A1114,Data!$M$10:$M$3209,"&lt;"&amp;$A1114+1)))</f>
        <v/>
      </c>
      <c r="AH1114">
        <f>IF($B1114=0,0,IF(Inputs!$B$10="",0,COUNTIFS(Data!$Q$10:$Q$3209,"&gt;="&amp;$A1114,Data!$Q$10:$Q$3209,"&lt;"&amp;$A1114+1)))</f>
        <v/>
      </c>
    </row>
    <row r="1115">
      <c r="A1115" s="55">
        <f>MIN(Inputs!$C$15,$A1114+IF(WEEKDAY($A1114,2)=5,3,1))</f>
        <v/>
      </c>
      <c r="B1115">
        <f>IF($A1115&gt;$A1114,1,0)</f>
        <v/>
      </c>
      <c r="C1115" s="56">
        <f>IF($B1115=0,"",IF(Inputs!$B$6="","",IF($AD1115=0,C1114,SUMIFS(Data!$B$10:$B$3209,Data!$A$10:$A$3209,"&gt;="&amp;$A1115,Data!$A$10:$A$3209,"&lt;"&amp;$A1115+1)/$AD1115)))</f>
        <v/>
      </c>
      <c r="D1115" s="56">
        <f>IF($B1115=0,"",IF(Inputs!$B$7="","",IF($AE1115=0,D1114,SUMIFS(Data!$F$10:$F$3209,Data!$E$10:$E$3209,"&gt;="&amp;$A1115,Data!$E$10:$E$3209,"&lt;"&amp;$A1115+1)/$AE1115)))</f>
        <v/>
      </c>
      <c r="E1115" s="56">
        <f>IF($B1115=0,"",IF(Inputs!$B$8="","",IF($AF1115=0,E1114,SUMIFS(Data!$J$10:$J$3209,Data!$I$10:$I$3209,"&gt;="&amp;$A1115,Data!$I$10:$I$3209,"&lt;"&amp;$A1115+1)/$AF1115)))</f>
        <v/>
      </c>
      <c r="F1115" s="56">
        <f>IF($B1115=0,"",IF(Inputs!$B$9="","",IF($AG1115=0,F1114,SUMIFS(Data!$N$10:$N$3209,Data!$M$10:$M$3209,"&gt;="&amp;$A1115,Data!$M$10:$M$3209,"&lt;"&amp;$A1115+1)/$AG1115)))</f>
        <v/>
      </c>
      <c r="G1115" s="56">
        <f>IF($B1115=0,"",IF(Inputs!$B$10="","",IF($AH1115=0,G1114,SUMIFS(Data!$R$10:$R$3209,Data!$Q$10:$Q$3209,"&gt;="&amp;$A1115,Data!$Q$10:$Q$3209,"&lt;"&amp;$A1115+1)/$AH1115)))</f>
        <v/>
      </c>
      <c r="I1115" s="54">
        <f>IF($B1115=0,NA(),IF($C1115="",NA(),IF(C$8="",NA(),IF(N(C$8)=0,NA(),IF(Inputs!$C$17="Rebased to 100",$C1115/C$8*100,$C1115)))))</f>
        <v/>
      </c>
      <c r="J1115" s="54">
        <f>IF($B1115=0,NA(),IF($D1115="",NA(),IF(D$8="",NA(),IF(N(D$8)=0,NA(),IF(Inputs!$C$17="Rebased to 100",$D1115/D$8*100,$D1115)))))</f>
        <v/>
      </c>
      <c r="K1115" s="54">
        <f>IF($B1115=0,NA(),IF($E1115="",NA(),IF(E$8="",NA(),IF(N(E$8)=0,NA(),IF(Inputs!$C$17="Rebased to 100",$E1115/E$8*100,$E1115)))))</f>
        <v/>
      </c>
      <c r="L1115" s="54">
        <f>IF($B1115=0,NA(),IF($F1115="",NA(),IF(F$8="",NA(),IF(N(F$8)=0,NA(),IF(Inputs!$C$17="Rebased to 100",$F1115/F$8*100,$F1115)))))</f>
        <v/>
      </c>
      <c r="M1115" s="54">
        <f>IF($B1115=0,NA(),IF($G1115="",NA(),IF(G$8="",NA(),IF(N(G$8)=0,NA(),IF(Inputs!$C$17="Rebased to 100",$G1115/G$8*100,$G1115)))))</f>
        <v/>
      </c>
      <c r="N1115" s="54">
        <f>IF($B1115=0,NA(),IF(Inputs!$C$18&lt;&gt;"Yes",NA(),IF(COUNT(I1115,J1115,K1115,L1115,M1115)=0,NA(),MIN(I1115,J1115,K1115,L1115,M1115))))</f>
        <v/>
      </c>
      <c r="O1115" s="54">
        <f>IF($B1115=0,NA(),IF(Inputs!$B$24&lt;&gt;"Yes",NA(),Inputs!$D$24*Inputs!$C$35))</f>
        <v/>
      </c>
      <c r="P1115" s="54">
        <f>IF($B1115=0,NA(),IF(Inputs!$B$25&lt;&gt;"Yes",NA(),Inputs!$D$25*Inputs!$C$35))</f>
        <v/>
      </c>
      <c r="Q1115" s="54">
        <f>IF($B1115=0,NA(),IF(Inputs!$B$26&lt;&gt;"Yes",NA(),Inputs!$D$26*Inputs!$C$35))</f>
        <v/>
      </c>
      <c r="R1115" s="54">
        <f>IF($B1115=0,NA(),IF(Inputs!$B$27&lt;&gt;"Yes",NA(),Inputs!$D$27*Inputs!$C$35))</f>
        <v/>
      </c>
      <c r="S1115" s="54">
        <f>IF($B1115=0,NA(),IF(Inputs!$B$28&lt;&gt;"Yes",NA(),Inputs!$D$28*Inputs!$C$35))</f>
        <v/>
      </c>
      <c r="T1115" s="54">
        <f>IF($B1115=0,NA(),IF(Inputs!$B$29&lt;&gt;"Yes",NA(),Inputs!$D$29*Inputs!$C$35))</f>
        <v/>
      </c>
      <c r="AD1115">
        <f>IF($B1115=0,0,IF(Inputs!$B$6="",0,COUNTIFS(Data!$A$10:$A$3209,"&gt;="&amp;$A1115,Data!$A$10:$A$3209,"&lt;"&amp;$A1115+1)))</f>
        <v/>
      </c>
      <c r="AE1115">
        <f>IF($B1115=0,0,IF(Inputs!$B$7="",0,COUNTIFS(Data!$E$10:$E$3209,"&gt;="&amp;$A1115,Data!$E$10:$E$3209,"&lt;"&amp;$A1115+1)))</f>
        <v/>
      </c>
      <c r="AF1115">
        <f>IF($B1115=0,0,IF(Inputs!$B$8="",0,COUNTIFS(Data!$I$10:$I$3209,"&gt;="&amp;$A1115,Data!$I$10:$I$3209,"&lt;"&amp;$A1115+1)))</f>
        <v/>
      </c>
      <c r="AG1115">
        <f>IF($B1115=0,0,IF(Inputs!$B$9="",0,COUNTIFS(Data!$M$10:$M$3209,"&gt;="&amp;$A1115,Data!$M$10:$M$3209,"&lt;"&amp;$A1115+1)))</f>
        <v/>
      </c>
      <c r="AH1115">
        <f>IF($B1115=0,0,IF(Inputs!$B$10="",0,COUNTIFS(Data!$Q$10:$Q$3209,"&gt;="&amp;$A1115,Data!$Q$10:$Q$3209,"&lt;"&amp;$A1115+1)))</f>
        <v/>
      </c>
    </row>
    <row r="1116">
      <c r="A1116" s="55">
        <f>MIN(Inputs!$C$15,$A1115+IF(WEEKDAY($A1115,2)=5,3,1))</f>
        <v/>
      </c>
      <c r="B1116">
        <f>IF($A1116&gt;$A1115,1,0)</f>
        <v/>
      </c>
      <c r="C1116" s="56">
        <f>IF($B1116=0,"",IF(Inputs!$B$6="","",IF($AD1116=0,C1115,SUMIFS(Data!$B$10:$B$3209,Data!$A$10:$A$3209,"&gt;="&amp;$A1116,Data!$A$10:$A$3209,"&lt;"&amp;$A1116+1)/$AD1116)))</f>
        <v/>
      </c>
      <c r="D1116" s="56">
        <f>IF($B1116=0,"",IF(Inputs!$B$7="","",IF($AE1116=0,D1115,SUMIFS(Data!$F$10:$F$3209,Data!$E$10:$E$3209,"&gt;="&amp;$A1116,Data!$E$10:$E$3209,"&lt;"&amp;$A1116+1)/$AE1116)))</f>
        <v/>
      </c>
      <c r="E1116" s="56">
        <f>IF($B1116=0,"",IF(Inputs!$B$8="","",IF($AF1116=0,E1115,SUMIFS(Data!$J$10:$J$3209,Data!$I$10:$I$3209,"&gt;="&amp;$A1116,Data!$I$10:$I$3209,"&lt;"&amp;$A1116+1)/$AF1116)))</f>
        <v/>
      </c>
      <c r="F1116" s="56">
        <f>IF($B1116=0,"",IF(Inputs!$B$9="","",IF($AG1116=0,F1115,SUMIFS(Data!$N$10:$N$3209,Data!$M$10:$M$3209,"&gt;="&amp;$A1116,Data!$M$10:$M$3209,"&lt;"&amp;$A1116+1)/$AG1116)))</f>
        <v/>
      </c>
      <c r="G1116" s="56">
        <f>IF($B1116=0,"",IF(Inputs!$B$10="","",IF($AH1116=0,G1115,SUMIFS(Data!$R$10:$R$3209,Data!$Q$10:$Q$3209,"&gt;="&amp;$A1116,Data!$Q$10:$Q$3209,"&lt;"&amp;$A1116+1)/$AH1116)))</f>
        <v/>
      </c>
      <c r="I1116" s="54">
        <f>IF($B1116=0,NA(),IF($C1116="",NA(),IF(C$8="",NA(),IF(N(C$8)=0,NA(),IF(Inputs!$C$17="Rebased to 100",$C1116/C$8*100,$C1116)))))</f>
        <v/>
      </c>
      <c r="J1116" s="54">
        <f>IF($B1116=0,NA(),IF($D1116="",NA(),IF(D$8="",NA(),IF(N(D$8)=0,NA(),IF(Inputs!$C$17="Rebased to 100",$D1116/D$8*100,$D1116)))))</f>
        <v/>
      </c>
      <c r="K1116" s="54">
        <f>IF($B1116=0,NA(),IF($E1116="",NA(),IF(E$8="",NA(),IF(N(E$8)=0,NA(),IF(Inputs!$C$17="Rebased to 100",$E1116/E$8*100,$E1116)))))</f>
        <v/>
      </c>
      <c r="L1116" s="54">
        <f>IF($B1116=0,NA(),IF($F1116="",NA(),IF(F$8="",NA(),IF(N(F$8)=0,NA(),IF(Inputs!$C$17="Rebased to 100",$F1116/F$8*100,$F1116)))))</f>
        <v/>
      </c>
      <c r="M1116" s="54">
        <f>IF($B1116=0,NA(),IF($G1116="",NA(),IF(G$8="",NA(),IF(N(G$8)=0,NA(),IF(Inputs!$C$17="Rebased to 100",$G1116/G$8*100,$G1116)))))</f>
        <v/>
      </c>
      <c r="N1116" s="54">
        <f>IF($B1116=0,NA(),IF(Inputs!$C$18&lt;&gt;"Yes",NA(),IF(COUNT(I1116,J1116,K1116,L1116,M1116)=0,NA(),MIN(I1116,J1116,K1116,L1116,M1116))))</f>
        <v/>
      </c>
      <c r="O1116" s="54">
        <f>IF($B1116=0,NA(),IF(Inputs!$B$24&lt;&gt;"Yes",NA(),Inputs!$D$24*Inputs!$C$35))</f>
        <v/>
      </c>
      <c r="P1116" s="54">
        <f>IF($B1116=0,NA(),IF(Inputs!$B$25&lt;&gt;"Yes",NA(),Inputs!$D$25*Inputs!$C$35))</f>
        <v/>
      </c>
      <c r="Q1116" s="54">
        <f>IF($B1116=0,NA(),IF(Inputs!$B$26&lt;&gt;"Yes",NA(),Inputs!$D$26*Inputs!$C$35))</f>
        <v/>
      </c>
      <c r="R1116" s="54">
        <f>IF($B1116=0,NA(),IF(Inputs!$B$27&lt;&gt;"Yes",NA(),Inputs!$D$27*Inputs!$C$35))</f>
        <v/>
      </c>
      <c r="S1116" s="54">
        <f>IF($B1116=0,NA(),IF(Inputs!$B$28&lt;&gt;"Yes",NA(),Inputs!$D$28*Inputs!$C$35))</f>
        <v/>
      </c>
      <c r="T1116" s="54">
        <f>IF($B1116=0,NA(),IF(Inputs!$B$29&lt;&gt;"Yes",NA(),Inputs!$D$29*Inputs!$C$35))</f>
        <v/>
      </c>
      <c r="AD1116">
        <f>IF($B1116=0,0,IF(Inputs!$B$6="",0,COUNTIFS(Data!$A$10:$A$3209,"&gt;="&amp;$A1116,Data!$A$10:$A$3209,"&lt;"&amp;$A1116+1)))</f>
        <v/>
      </c>
      <c r="AE1116">
        <f>IF($B1116=0,0,IF(Inputs!$B$7="",0,COUNTIFS(Data!$E$10:$E$3209,"&gt;="&amp;$A1116,Data!$E$10:$E$3209,"&lt;"&amp;$A1116+1)))</f>
        <v/>
      </c>
      <c r="AF1116">
        <f>IF($B1116=0,0,IF(Inputs!$B$8="",0,COUNTIFS(Data!$I$10:$I$3209,"&gt;="&amp;$A1116,Data!$I$10:$I$3209,"&lt;"&amp;$A1116+1)))</f>
        <v/>
      </c>
      <c r="AG1116">
        <f>IF($B1116=0,0,IF(Inputs!$B$9="",0,COUNTIFS(Data!$M$10:$M$3209,"&gt;="&amp;$A1116,Data!$M$10:$M$3209,"&lt;"&amp;$A1116+1)))</f>
        <v/>
      </c>
      <c r="AH1116">
        <f>IF($B1116=0,0,IF(Inputs!$B$10="",0,COUNTIFS(Data!$Q$10:$Q$3209,"&gt;="&amp;$A1116,Data!$Q$10:$Q$3209,"&lt;"&amp;$A1116+1)))</f>
        <v/>
      </c>
    </row>
    <row r="1117">
      <c r="A1117" s="55">
        <f>MIN(Inputs!$C$15,$A1116+IF(WEEKDAY($A1116,2)=5,3,1))</f>
        <v/>
      </c>
      <c r="B1117">
        <f>IF($A1117&gt;$A1116,1,0)</f>
        <v/>
      </c>
      <c r="C1117" s="56">
        <f>IF($B1117=0,"",IF(Inputs!$B$6="","",IF($AD1117=0,C1116,SUMIFS(Data!$B$10:$B$3209,Data!$A$10:$A$3209,"&gt;="&amp;$A1117,Data!$A$10:$A$3209,"&lt;"&amp;$A1117+1)/$AD1117)))</f>
        <v/>
      </c>
      <c r="D1117" s="56">
        <f>IF($B1117=0,"",IF(Inputs!$B$7="","",IF($AE1117=0,D1116,SUMIFS(Data!$F$10:$F$3209,Data!$E$10:$E$3209,"&gt;="&amp;$A1117,Data!$E$10:$E$3209,"&lt;"&amp;$A1117+1)/$AE1117)))</f>
        <v/>
      </c>
      <c r="E1117" s="56">
        <f>IF($B1117=0,"",IF(Inputs!$B$8="","",IF($AF1117=0,E1116,SUMIFS(Data!$J$10:$J$3209,Data!$I$10:$I$3209,"&gt;="&amp;$A1117,Data!$I$10:$I$3209,"&lt;"&amp;$A1117+1)/$AF1117)))</f>
        <v/>
      </c>
      <c r="F1117" s="56">
        <f>IF($B1117=0,"",IF(Inputs!$B$9="","",IF($AG1117=0,F1116,SUMIFS(Data!$N$10:$N$3209,Data!$M$10:$M$3209,"&gt;="&amp;$A1117,Data!$M$10:$M$3209,"&lt;"&amp;$A1117+1)/$AG1117)))</f>
        <v/>
      </c>
      <c r="G1117" s="56">
        <f>IF($B1117=0,"",IF(Inputs!$B$10="","",IF($AH1117=0,G1116,SUMIFS(Data!$R$10:$R$3209,Data!$Q$10:$Q$3209,"&gt;="&amp;$A1117,Data!$Q$10:$Q$3209,"&lt;"&amp;$A1117+1)/$AH1117)))</f>
        <v/>
      </c>
      <c r="I1117" s="54">
        <f>IF($B1117=0,NA(),IF($C1117="",NA(),IF(C$8="",NA(),IF(N(C$8)=0,NA(),IF(Inputs!$C$17="Rebased to 100",$C1117/C$8*100,$C1117)))))</f>
        <v/>
      </c>
      <c r="J1117" s="54">
        <f>IF($B1117=0,NA(),IF($D1117="",NA(),IF(D$8="",NA(),IF(N(D$8)=0,NA(),IF(Inputs!$C$17="Rebased to 100",$D1117/D$8*100,$D1117)))))</f>
        <v/>
      </c>
      <c r="K1117" s="54">
        <f>IF($B1117=0,NA(),IF($E1117="",NA(),IF(E$8="",NA(),IF(N(E$8)=0,NA(),IF(Inputs!$C$17="Rebased to 100",$E1117/E$8*100,$E1117)))))</f>
        <v/>
      </c>
      <c r="L1117" s="54">
        <f>IF($B1117=0,NA(),IF($F1117="",NA(),IF(F$8="",NA(),IF(N(F$8)=0,NA(),IF(Inputs!$C$17="Rebased to 100",$F1117/F$8*100,$F1117)))))</f>
        <v/>
      </c>
      <c r="M1117" s="54">
        <f>IF($B1117=0,NA(),IF($G1117="",NA(),IF(G$8="",NA(),IF(N(G$8)=0,NA(),IF(Inputs!$C$17="Rebased to 100",$G1117/G$8*100,$G1117)))))</f>
        <v/>
      </c>
      <c r="N1117" s="54">
        <f>IF($B1117=0,NA(),IF(Inputs!$C$18&lt;&gt;"Yes",NA(),IF(COUNT(I1117,J1117,K1117,L1117,M1117)=0,NA(),MIN(I1117,J1117,K1117,L1117,M1117))))</f>
        <v/>
      </c>
      <c r="O1117" s="54">
        <f>IF($B1117=0,NA(),IF(Inputs!$B$24&lt;&gt;"Yes",NA(),Inputs!$D$24*Inputs!$C$35))</f>
        <v/>
      </c>
      <c r="P1117" s="54">
        <f>IF($B1117=0,NA(),IF(Inputs!$B$25&lt;&gt;"Yes",NA(),Inputs!$D$25*Inputs!$C$35))</f>
        <v/>
      </c>
      <c r="Q1117" s="54">
        <f>IF($B1117=0,NA(),IF(Inputs!$B$26&lt;&gt;"Yes",NA(),Inputs!$D$26*Inputs!$C$35))</f>
        <v/>
      </c>
      <c r="R1117" s="54">
        <f>IF($B1117=0,NA(),IF(Inputs!$B$27&lt;&gt;"Yes",NA(),Inputs!$D$27*Inputs!$C$35))</f>
        <v/>
      </c>
      <c r="S1117" s="54">
        <f>IF($B1117=0,NA(),IF(Inputs!$B$28&lt;&gt;"Yes",NA(),Inputs!$D$28*Inputs!$C$35))</f>
        <v/>
      </c>
      <c r="T1117" s="54">
        <f>IF($B1117=0,NA(),IF(Inputs!$B$29&lt;&gt;"Yes",NA(),Inputs!$D$29*Inputs!$C$35))</f>
        <v/>
      </c>
      <c r="AD1117">
        <f>IF($B1117=0,0,IF(Inputs!$B$6="",0,COUNTIFS(Data!$A$10:$A$3209,"&gt;="&amp;$A1117,Data!$A$10:$A$3209,"&lt;"&amp;$A1117+1)))</f>
        <v/>
      </c>
      <c r="AE1117">
        <f>IF($B1117=0,0,IF(Inputs!$B$7="",0,COUNTIFS(Data!$E$10:$E$3209,"&gt;="&amp;$A1117,Data!$E$10:$E$3209,"&lt;"&amp;$A1117+1)))</f>
        <v/>
      </c>
      <c r="AF1117">
        <f>IF($B1117=0,0,IF(Inputs!$B$8="",0,COUNTIFS(Data!$I$10:$I$3209,"&gt;="&amp;$A1117,Data!$I$10:$I$3209,"&lt;"&amp;$A1117+1)))</f>
        <v/>
      </c>
      <c r="AG1117">
        <f>IF($B1117=0,0,IF(Inputs!$B$9="",0,COUNTIFS(Data!$M$10:$M$3209,"&gt;="&amp;$A1117,Data!$M$10:$M$3209,"&lt;"&amp;$A1117+1)))</f>
        <v/>
      </c>
      <c r="AH1117">
        <f>IF($B1117=0,0,IF(Inputs!$B$10="",0,COUNTIFS(Data!$Q$10:$Q$3209,"&gt;="&amp;$A1117,Data!$Q$10:$Q$3209,"&lt;"&amp;$A1117+1)))</f>
        <v/>
      </c>
    </row>
    <row r="1118">
      <c r="A1118" s="55">
        <f>MIN(Inputs!$C$15,$A1117+IF(WEEKDAY($A1117,2)=5,3,1))</f>
        <v/>
      </c>
      <c r="B1118">
        <f>IF($A1118&gt;$A1117,1,0)</f>
        <v/>
      </c>
      <c r="C1118" s="56">
        <f>IF($B1118=0,"",IF(Inputs!$B$6="","",IF($AD1118=0,C1117,SUMIFS(Data!$B$10:$B$3209,Data!$A$10:$A$3209,"&gt;="&amp;$A1118,Data!$A$10:$A$3209,"&lt;"&amp;$A1118+1)/$AD1118)))</f>
        <v/>
      </c>
      <c r="D1118" s="56">
        <f>IF($B1118=0,"",IF(Inputs!$B$7="","",IF($AE1118=0,D1117,SUMIFS(Data!$F$10:$F$3209,Data!$E$10:$E$3209,"&gt;="&amp;$A1118,Data!$E$10:$E$3209,"&lt;"&amp;$A1118+1)/$AE1118)))</f>
        <v/>
      </c>
      <c r="E1118" s="56">
        <f>IF($B1118=0,"",IF(Inputs!$B$8="","",IF($AF1118=0,E1117,SUMIFS(Data!$J$10:$J$3209,Data!$I$10:$I$3209,"&gt;="&amp;$A1118,Data!$I$10:$I$3209,"&lt;"&amp;$A1118+1)/$AF1118)))</f>
        <v/>
      </c>
      <c r="F1118" s="56">
        <f>IF($B1118=0,"",IF(Inputs!$B$9="","",IF($AG1118=0,F1117,SUMIFS(Data!$N$10:$N$3209,Data!$M$10:$M$3209,"&gt;="&amp;$A1118,Data!$M$10:$M$3209,"&lt;"&amp;$A1118+1)/$AG1118)))</f>
        <v/>
      </c>
      <c r="G1118" s="56">
        <f>IF($B1118=0,"",IF(Inputs!$B$10="","",IF($AH1118=0,G1117,SUMIFS(Data!$R$10:$R$3209,Data!$Q$10:$Q$3209,"&gt;="&amp;$A1118,Data!$Q$10:$Q$3209,"&lt;"&amp;$A1118+1)/$AH1118)))</f>
        <v/>
      </c>
      <c r="I1118" s="54">
        <f>IF($B1118=0,NA(),IF($C1118="",NA(),IF(C$8="",NA(),IF(N(C$8)=0,NA(),IF(Inputs!$C$17="Rebased to 100",$C1118/C$8*100,$C1118)))))</f>
        <v/>
      </c>
      <c r="J1118" s="54">
        <f>IF($B1118=0,NA(),IF($D1118="",NA(),IF(D$8="",NA(),IF(N(D$8)=0,NA(),IF(Inputs!$C$17="Rebased to 100",$D1118/D$8*100,$D1118)))))</f>
        <v/>
      </c>
      <c r="K1118" s="54">
        <f>IF($B1118=0,NA(),IF($E1118="",NA(),IF(E$8="",NA(),IF(N(E$8)=0,NA(),IF(Inputs!$C$17="Rebased to 100",$E1118/E$8*100,$E1118)))))</f>
        <v/>
      </c>
      <c r="L1118" s="54">
        <f>IF($B1118=0,NA(),IF($F1118="",NA(),IF(F$8="",NA(),IF(N(F$8)=0,NA(),IF(Inputs!$C$17="Rebased to 100",$F1118/F$8*100,$F1118)))))</f>
        <v/>
      </c>
      <c r="M1118" s="54">
        <f>IF($B1118=0,NA(),IF($G1118="",NA(),IF(G$8="",NA(),IF(N(G$8)=0,NA(),IF(Inputs!$C$17="Rebased to 100",$G1118/G$8*100,$G1118)))))</f>
        <v/>
      </c>
      <c r="N1118" s="54">
        <f>IF($B1118=0,NA(),IF(Inputs!$C$18&lt;&gt;"Yes",NA(),IF(COUNT(I1118,J1118,K1118,L1118,M1118)=0,NA(),MIN(I1118,J1118,K1118,L1118,M1118))))</f>
        <v/>
      </c>
      <c r="O1118" s="54">
        <f>IF($B1118=0,NA(),IF(Inputs!$B$24&lt;&gt;"Yes",NA(),Inputs!$D$24*Inputs!$C$35))</f>
        <v/>
      </c>
      <c r="P1118" s="54">
        <f>IF($B1118=0,NA(),IF(Inputs!$B$25&lt;&gt;"Yes",NA(),Inputs!$D$25*Inputs!$C$35))</f>
        <v/>
      </c>
      <c r="Q1118" s="54">
        <f>IF($B1118=0,NA(),IF(Inputs!$B$26&lt;&gt;"Yes",NA(),Inputs!$D$26*Inputs!$C$35))</f>
        <v/>
      </c>
      <c r="R1118" s="54">
        <f>IF($B1118=0,NA(),IF(Inputs!$B$27&lt;&gt;"Yes",NA(),Inputs!$D$27*Inputs!$C$35))</f>
        <v/>
      </c>
      <c r="S1118" s="54">
        <f>IF($B1118=0,NA(),IF(Inputs!$B$28&lt;&gt;"Yes",NA(),Inputs!$D$28*Inputs!$C$35))</f>
        <v/>
      </c>
      <c r="T1118" s="54">
        <f>IF($B1118=0,NA(),IF(Inputs!$B$29&lt;&gt;"Yes",NA(),Inputs!$D$29*Inputs!$C$35))</f>
        <v/>
      </c>
      <c r="AD1118">
        <f>IF($B1118=0,0,IF(Inputs!$B$6="",0,COUNTIFS(Data!$A$10:$A$3209,"&gt;="&amp;$A1118,Data!$A$10:$A$3209,"&lt;"&amp;$A1118+1)))</f>
        <v/>
      </c>
      <c r="AE1118">
        <f>IF($B1118=0,0,IF(Inputs!$B$7="",0,COUNTIFS(Data!$E$10:$E$3209,"&gt;="&amp;$A1118,Data!$E$10:$E$3209,"&lt;"&amp;$A1118+1)))</f>
        <v/>
      </c>
      <c r="AF1118">
        <f>IF($B1118=0,0,IF(Inputs!$B$8="",0,COUNTIFS(Data!$I$10:$I$3209,"&gt;="&amp;$A1118,Data!$I$10:$I$3209,"&lt;"&amp;$A1118+1)))</f>
        <v/>
      </c>
      <c r="AG1118">
        <f>IF($B1118=0,0,IF(Inputs!$B$9="",0,COUNTIFS(Data!$M$10:$M$3209,"&gt;="&amp;$A1118,Data!$M$10:$M$3209,"&lt;"&amp;$A1118+1)))</f>
        <v/>
      </c>
      <c r="AH1118">
        <f>IF($B1118=0,0,IF(Inputs!$B$10="",0,COUNTIFS(Data!$Q$10:$Q$3209,"&gt;="&amp;$A1118,Data!$Q$10:$Q$3209,"&lt;"&amp;$A1118+1)))</f>
        <v/>
      </c>
    </row>
    <row r="1119">
      <c r="A1119" s="55">
        <f>MIN(Inputs!$C$15,$A1118+IF(WEEKDAY($A1118,2)=5,3,1))</f>
        <v/>
      </c>
      <c r="B1119">
        <f>IF($A1119&gt;$A1118,1,0)</f>
        <v/>
      </c>
      <c r="C1119" s="56">
        <f>IF($B1119=0,"",IF(Inputs!$B$6="","",IF($AD1119=0,C1118,SUMIFS(Data!$B$10:$B$3209,Data!$A$10:$A$3209,"&gt;="&amp;$A1119,Data!$A$10:$A$3209,"&lt;"&amp;$A1119+1)/$AD1119)))</f>
        <v/>
      </c>
      <c r="D1119" s="56">
        <f>IF($B1119=0,"",IF(Inputs!$B$7="","",IF($AE1119=0,D1118,SUMIFS(Data!$F$10:$F$3209,Data!$E$10:$E$3209,"&gt;="&amp;$A1119,Data!$E$10:$E$3209,"&lt;"&amp;$A1119+1)/$AE1119)))</f>
        <v/>
      </c>
      <c r="E1119" s="56">
        <f>IF($B1119=0,"",IF(Inputs!$B$8="","",IF($AF1119=0,E1118,SUMIFS(Data!$J$10:$J$3209,Data!$I$10:$I$3209,"&gt;="&amp;$A1119,Data!$I$10:$I$3209,"&lt;"&amp;$A1119+1)/$AF1119)))</f>
        <v/>
      </c>
      <c r="F1119" s="56">
        <f>IF($B1119=0,"",IF(Inputs!$B$9="","",IF($AG1119=0,F1118,SUMIFS(Data!$N$10:$N$3209,Data!$M$10:$M$3209,"&gt;="&amp;$A1119,Data!$M$10:$M$3209,"&lt;"&amp;$A1119+1)/$AG1119)))</f>
        <v/>
      </c>
      <c r="G1119" s="56">
        <f>IF($B1119=0,"",IF(Inputs!$B$10="","",IF($AH1119=0,G1118,SUMIFS(Data!$R$10:$R$3209,Data!$Q$10:$Q$3209,"&gt;="&amp;$A1119,Data!$Q$10:$Q$3209,"&lt;"&amp;$A1119+1)/$AH1119)))</f>
        <v/>
      </c>
      <c r="I1119" s="54">
        <f>IF($B1119=0,NA(),IF($C1119="",NA(),IF(C$8="",NA(),IF(N(C$8)=0,NA(),IF(Inputs!$C$17="Rebased to 100",$C1119/C$8*100,$C1119)))))</f>
        <v/>
      </c>
      <c r="J1119" s="54">
        <f>IF($B1119=0,NA(),IF($D1119="",NA(),IF(D$8="",NA(),IF(N(D$8)=0,NA(),IF(Inputs!$C$17="Rebased to 100",$D1119/D$8*100,$D1119)))))</f>
        <v/>
      </c>
      <c r="K1119" s="54">
        <f>IF($B1119=0,NA(),IF($E1119="",NA(),IF(E$8="",NA(),IF(N(E$8)=0,NA(),IF(Inputs!$C$17="Rebased to 100",$E1119/E$8*100,$E1119)))))</f>
        <v/>
      </c>
      <c r="L1119" s="54">
        <f>IF($B1119=0,NA(),IF($F1119="",NA(),IF(F$8="",NA(),IF(N(F$8)=0,NA(),IF(Inputs!$C$17="Rebased to 100",$F1119/F$8*100,$F1119)))))</f>
        <v/>
      </c>
      <c r="M1119" s="54">
        <f>IF($B1119=0,NA(),IF($G1119="",NA(),IF(G$8="",NA(),IF(N(G$8)=0,NA(),IF(Inputs!$C$17="Rebased to 100",$G1119/G$8*100,$G1119)))))</f>
        <v/>
      </c>
      <c r="N1119" s="54">
        <f>IF($B1119=0,NA(),IF(Inputs!$C$18&lt;&gt;"Yes",NA(),IF(COUNT(I1119,J1119,K1119,L1119,M1119)=0,NA(),MIN(I1119,J1119,K1119,L1119,M1119))))</f>
        <v/>
      </c>
      <c r="O1119" s="54">
        <f>IF($B1119=0,NA(),IF(Inputs!$B$24&lt;&gt;"Yes",NA(),Inputs!$D$24*Inputs!$C$35))</f>
        <v/>
      </c>
      <c r="P1119" s="54">
        <f>IF($B1119=0,NA(),IF(Inputs!$B$25&lt;&gt;"Yes",NA(),Inputs!$D$25*Inputs!$C$35))</f>
        <v/>
      </c>
      <c r="Q1119" s="54">
        <f>IF($B1119=0,NA(),IF(Inputs!$B$26&lt;&gt;"Yes",NA(),Inputs!$D$26*Inputs!$C$35))</f>
        <v/>
      </c>
      <c r="R1119" s="54">
        <f>IF($B1119=0,NA(),IF(Inputs!$B$27&lt;&gt;"Yes",NA(),Inputs!$D$27*Inputs!$C$35))</f>
        <v/>
      </c>
      <c r="S1119" s="54">
        <f>IF($B1119=0,NA(),IF(Inputs!$B$28&lt;&gt;"Yes",NA(),Inputs!$D$28*Inputs!$C$35))</f>
        <v/>
      </c>
      <c r="T1119" s="54">
        <f>IF($B1119=0,NA(),IF(Inputs!$B$29&lt;&gt;"Yes",NA(),Inputs!$D$29*Inputs!$C$35))</f>
        <v/>
      </c>
      <c r="AD1119">
        <f>IF($B1119=0,0,IF(Inputs!$B$6="",0,COUNTIFS(Data!$A$10:$A$3209,"&gt;="&amp;$A1119,Data!$A$10:$A$3209,"&lt;"&amp;$A1119+1)))</f>
        <v/>
      </c>
      <c r="AE1119">
        <f>IF($B1119=0,0,IF(Inputs!$B$7="",0,COUNTIFS(Data!$E$10:$E$3209,"&gt;="&amp;$A1119,Data!$E$10:$E$3209,"&lt;"&amp;$A1119+1)))</f>
        <v/>
      </c>
      <c r="AF1119">
        <f>IF($B1119=0,0,IF(Inputs!$B$8="",0,COUNTIFS(Data!$I$10:$I$3209,"&gt;="&amp;$A1119,Data!$I$10:$I$3209,"&lt;"&amp;$A1119+1)))</f>
        <v/>
      </c>
      <c r="AG1119">
        <f>IF($B1119=0,0,IF(Inputs!$B$9="",0,COUNTIFS(Data!$M$10:$M$3209,"&gt;="&amp;$A1119,Data!$M$10:$M$3209,"&lt;"&amp;$A1119+1)))</f>
        <v/>
      </c>
      <c r="AH1119">
        <f>IF($B1119=0,0,IF(Inputs!$B$10="",0,COUNTIFS(Data!$Q$10:$Q$3209,"&gt;="&amp;$A1119,Data!$Q$10:$Q$3209,"&lt;"&amp;$A1119+1)))</f>
        <v/>
      </c>
    </row>
    <row r="1120">
      <c r="A1120" s="55">
        <f>MIN(Inputs!$C$15,$A1119+IF(WEEKDAY($A1119,2)=5,3,1))</f>
        <v/>
      </c>
      <c r="B1120">
        <f>IF($A1120&gt;$A1119,1,0)</f>
        <v/>
      </c>
      <c r="C1120" s="56">
        <f>IF($B1120=0,"",IF(Inputs!$B$6="","",IF($AD1120=0,C1119,SUMIFS(Data!$B$10:$B$3209,Data!$A$10:$A$3209,"&gt;="&amp;$A1120,Data!$A$10:$A$3209,"&lt;"&amp;$A1120+1)/$AD1120)))</f>
        <v/>
      </c>
      <c r="D1120" s="56">
        <f>IF($B1120=0,"",IF(Inputs!$B$7="","",IF($AE1120=0,D1119,SUMIFS(Data!$F$10:$F$3209,Data!$E$10:$E$3209,"&gt;="&amp;$A1120,Data!$E$10:$E$3209,"&lt;"&amp;$A1120+1)/$AE1120)))</f>
        <v/>
      </c>
      <c r="E1120" s="56">
        <f>IF($B1120=0,"",IF(Inputs!$B$8="","",IF($AF1120=0,E1119,SUMIFS(Data!$J$10:$J$3209,Data!$I$10:$I$3209,"&gt;="&amp;$A1120,Data!$I$10:$I$3209,"&lt;"&amp;$A1120+1)/$AF1120)))</f>
        <v/>
      </c>
      <c r="F1120" s="56">
        <f>IF($B1120=0,"",IF(Inputs!$B$9="","",IF($AG1120=0,F1119,SUMIFS(Data!$N$10:$N$3209,Data!$M$10:$M$3209,"&gt;="&amp;$A1120,Data!$M$10:$M$3209,"&lt;"&amp;$A1120+1)/$AG1120)))</f>
        <v/>
      </c>
      <c r="G1120" s="56">
        <f>IF($B1120=0,"",IF(Inputs!$B$10="","",IF($AH1120=0,G1119,SUMIFS(Data!$R$10:$R$3209,Data!$Q$10:$Q$3209,"&gt;="&amp;$A1120,Data!$Q$10:$Q$3209,"&lt;"&amp;$A1120+1)/$AH1120)))</f>
        <v/>
      </c>
      <c r="I1120" s="54">
        <f>IF($B1120=0,NA(),IF($C1120="",NA(),IF(C$8="",NA(),IF(N(C$8)=0,NA(),IF(Inputs!$C$17="Rebased to 100",$C1120/C$8*100,$C1120)))))</f>
        <v/>
      </c>
      <c r="J1120" s="54">
        <f>IF($B1120=0,NA(),IF($D1120="",NA(),IF(D$8="",NA(),IF(N(D$8)=0,NA(),IF(Inputs!$C$17="Rebased to 100",$D1120/D$8*100,$D1120)))))</f>
        <v/>
      </c>
      <c r="K1120" s="54">
        <f>IF($B1120=0,NA(),IF($E1120="",NA(),IF(E$8="",NA(),IF(N(E$8)=0,NA(),IF(Inputs!$C$17="Rebased to 100",$E1120/E$8*100,$E1120)))))</f>
        <v/>
      </c>
      <c r="L1120" s="54">
        <f>IF($B1120=0,NA(),IF($F1120="",NA(),IF(F$8="",NA(),IF(N(F$8)=0,NA(),IF(Inputs!$C$17="Rebased to 100",$F1120/F$8*100,$F1120)))))</f>
        <v/>
      </c>
      <c r="M1120" s="54">
        <f>IF($B1120=0,NA(),IF($G1120="",NA(),IF(G$8="",NA(),IF(N(G$8)=0,NA(),IF(Inputs!$C$17="Rebased to 100",$G1120/G$8*100,$G1120)))))</f>
        <v/>
      </c>
      <c r="N1120" s="54">
        <f>IF($B1120=0,NA(),IF(Inputs!$C$18&lt;&gt;"Yes",NA(),IF(COUNT(I1120,J1120,K1120,L1120,M1120)=0,NA(),MIN(I1120,J1120,K1120,L1120,M1120))))</f>
        <v/>
      </c>
      <c r="O1120" s="54">
        <f>IF($B1120=0,NA(),IF(Inputs!$B$24&lt;&gt;"Yes",NA(),Inputs!$D$24*Inputs!$C$35))</f>
        <v/>
      </c>
      <c r="P1120" s="54">
        <f>IF($B1120=0,NA(),IF(Inputs!$B$25&lt;&gt;"Yes",NA(),Inputs!$D$25*Inputs!$C$35))</f>
        <v/>
      </c>
      <c r="Q1120" s="54">
        <f>IF($B1120=0,NA(),IF(Inputs!$B$26&lt;&gt;"Yes",NA(),Inputs!$D$26*Inputs!$C$35))</f>
        <v/>
      </c>
      <c r="R1120" s="54">
        <f>IF($B1120=0,NA(),IF(Inputs!$B$27&lt;&gt;"Yes",NA(),Inputs!$D$27*Inputs!$C$35))</f>
        <v/>
      </c>
      <c r="S1120" s="54">
        <f>IF($B1120=0,NA(),IF(Inputs!$B$28&lt;&gt;"Yes",NA(),Inputs!$D$28*Inputs!$C$35))</f>
        <v/>
      </c>
      <c r="T1120" s="54">
        <f>IF($B1120=0,NA(),IF(Inputs!$B$29&lt;&gt;"Yes",NA(),Inputs!$D$29*Inputs!$C$35))</f>
        <v/>
      </c>
      <c r="AD1120">
        <f>IF($B1120=0,0,IF(Inputs!$B$6="",0,COUNTIFS(Data!$A$10:$A$3209,"&gt;="&amp;$A1120,Data!$A$10:$A$3209,"&lt;"&amp;$A1120+1)))</f>
        <v/>
      </c>
      <c r="AE1120">
        <f>IF($B1120=0,0,IF(Inputs!$B$7="",0,COUNTIFS(Data!$E$10:$E$3209,"&gt;="&amp;$A1120,Data!$E$10:$E$3209,"&lt;"&amp;$A1120+1)))</f>
        <v/>
      </c>
      <c r="AF1120">
        <f>IF($B1120=0,0,IF(Inputs!$B$8="",0,COUNTIFS(Data!$I$10:$I$3209,"&gt;="&amp;$A1120,Data!$I$10:$I$3209,"&lt;"&amp;$A1120+1)))</f>
        <v/>
      </c>
      <c r="AG1120">
        <f>IF($B1120=0,0,IF(Inputs!$B$9="",0,COUNTIFS(Data!$M$10:$M$3209,"&gt;="&amp;$A1120,Data!$M$10:$M$3209,"&lt;"&amp;$A1120+1)))</f>
        <v/>
      </c>
      <c r="AH1120">
        <f>IF($B1120=0,0,IF(Inputs!$B$10="",0,COUNTIFS(Data!$Q$10:$Q$3209,"&gt;="&amp;$A1120,Data!$Q$10:$Q$3209,"&lt;"&amp;$A1120+1)))</f>
        <v/>
      </c>
    </row>
    <row r="1121">
      <c r="A1121" s="55">
        <f>MIN(Inputs!$C$15,$A1120+IF(WEEKDAY($A1120,2)=5,3,1))</f>
        <v/>
      </c>
      <c r="B1121">
        <f>IF($A1121&gt;$A1120,1,0)</f>
        <v/>
      </c>
      <c r="C1121" s="56">
        <f>IF($B1121=0,"",IF(Inputs!$B$6="","",IF($AD1121=0,C1120,SUMIFS(Data!$B$10:$B$3209,Data!$A$10:$A$3209,"&gt;="&amp;$A1121,Data!$A$10:$A$3209,"&lt;"&amp;$A1121+1)/$AD1121)))</f>
        <v/>
      </c>
      <c r="D1121" s="56">
        <f>IF($B1121=0,"",IF(Inputs!$B$7="","",IF($AE1121=0,D1120,SUMIFS(Data!$F$10:$F$3209,Data!$E$10:$E$3209,"&gt;="&amp;$A1121,Data!$E$10:$E$3209,"&lt;"&amp;$A1121+1)/$AE1121)))</f>
        <v/>
      </c>
      <c r="E1121" s="56">
        <f>IF($B1121=0,"",IF(Inputs!$B$8="","",IF($AF1121=0,E1120,SUMIFS(Data!$J$10:$J$3209,Data!$I$10:$I$3209,"&gt;="&amp;$A1121,Data!$I$10:$I$3209,"&lt;"&amp;$A1121+1)/$AF1121)))</f>
        <v/>
      </c>
      <c r="F1121" s="56">
        <f>IF($B1121=0,"",IF(Inputs!$B$9="","",IF($AG1121=0,F1120,SUMIFS(Data!$N$10:$N$3209,Data!$M$10:$M$3209,"&gt;="&amp;$A1121,Data!$M$10:$M$3209,"&lt;"&amp;$A1121+1)/$AG1121)))</f>
        <v/>
      </c>
      <c r="G1121" s="56">
        <f>IF($B1121=0,"",IF(Inputs!$B$10="","",IF($AH1121=0,G1120,SUMIFS(Data!$R$10:$R$3209,Data!$Q$10:$Q$3209,"&gt;="&amp;$A1121,Data!$Q$10:$Q$3209,"&lt;"&amp;$A1121+1)/$AH1121)))</f>
        <v/>
      </c>
      <c r="I1121" s="54">
        <f>IF($B1121=0,NA(),IF($C1121="",NA(),IF(C$8="",NA(),IF(N(C$8)=0,NA(),IF(Inputs!$C$17="Rebased to 100",$C1121/C$8*100,$C1121)))))</f>
        <v/>
      </c>
      <c r="J1121" s="54">
        <f>IF($B1121=0,NA(),IF($D1121="",NA(),IF(D$8="",NA(),IF(N(D$8)=0,NA(),IF(Inputs!$C$17="Rebased to 100",$D1121/D$8*100,$D1121)))))</f>
        <v/>
      </c>
      <c r="K1121" s="54">
        <f>IF($B1121=0,NA(),IF($E1121="",NA(),IF(E$8="",NA(),IF(N(E$8)=0,NA(),IF(Inputs!$C$17="Rebased to 100",$E1121/E$8*100,$E1121)))))</f>
        <v/>
      </c>
      <c r="L1121" s="54">
        <f>IF($B1121=0,NA(),IF($F1121="",NA(),IF(F$8="",NA(),IF(N(F$8)=0,NA(),IF(Inputs!$C$17="Rebased to 100",$F1121/F$8*100,$F1121)))))</f>
        <v/>
      </c>
      <c r="M1121" s="54">
        <f>IF($B1121=0,NA(),IF($G1121="",NA(),IF(G$8="",NA(),IF(N(G$8)=0,NA(),IF(Inputs!$C$17="Rebased to 100",$G1121/G$8*100,$G1121)))))</f>
        <v/>
      </c>
      <c r="N1121" s="54">
        <f>IF($B1121=0,NA(),IF(Inputs!$C$18&lt;&gt;"Yes",NA(),IF(COUNT(I1121,J1121,K1121,L1121,M1121)=0,NA(),MIN(I1121,J1121,K1121,L1121,M1121))))</f>
        <v/>
      </c>
      <c r="O1121" s="54">
        <f>IF($B1121=0,NA(),IF(Inputs!$B$24&lt;&gt;"Yes",NA(),Inputs!$D$24*Inputs!$C$35))</f>
        <v/>
      </c>
      <c r="P1121" s="54">
        <f>IF($B1121=0,NA(),IF(Inputs!$B$25&lt;&gt;"Yes",NA(),Inputs!$D$25*Inputs!$C$35))</f>
        <v/>
      </c>
      <c r="Q1121" s="54">
        <f>IF($B1121=0,NA(),IF(Inputs!$B$26&lt;&gt;"Yes",NA(),Inputs!$D$26*Inputs!$C$35))</f>
        <v/>
      </c>
      <c r="R1121" s="54">
        <f>IF($B1121=0,NA(),IF(Inputs!$B$27&lt;&gt;"Yes",NA(),Inputs!$D$27*Inputs!$C$35))</f>
        <v/>
      </c>
      <c r="S1121" s="54">
        <f>IF($B1121=0,NA(),IF(Inputs!$B$28&lt;&gt;"Yes",NA(),Inputs!$D$28*Inputs!$C$35))</f>
        <v/>
      </c>
      <c r="T1121" s="54">
        <f>IF($B1121=0,NA(),IF(Inputs!$B$29&lt;&gt;"Yes",NA(),Inputs!$D$29*Inputs!$C$35))</f>
        <v/>
      </c>
      <c r="AD1121">
        <f>IF($B1121=0,0,IF(Inputs!$B$6="",0,COUNTIFS(Data!$A$10:$A$3209,"&gt;="&amp;$A1121,Data!$A$10:$A$3209,"&lt;"&amp;$A1121+1)))</f>
        <v/>
      </c>
      <c r="AE1121">
        <f>IF($B1121=0,0,IF(Inputs!$B$7="",0,COUNTIFS(Data!$E$10:$E$3209,"&gt;="&amp;$A1121,Data!$E$10:$E$3209,"&lt;"&amp;$A1121+1)))</f>
        <v/>
      </c>
      <c r="AF1121">
        <f>IF($B1121=0,0,IF(Inputs!$B$8="",0,COUNTIFS(Data!$I$10:$I$3209,"&gt;="&amp;$A1121,Data!$I$10:$I$3209,"&lt;"&amp;$A1121+1)))</f>
        <v/>
      </c>
      <c r="AG1121">
        <f>IF($B1121=0,0,IF(Inputs!$B$9="",0,COUNTIFS(Data!$M$10:$M$3209,"&gt;="&amp;$A1121,Data!$M$10:$M$3209,"&lt;"&amp;$A1121+1)))</f>
        <v/>
      </c>
      <c r="AH1121">
        <f>IF($B1121=0,0,IF(Inputs!$B$10="",0,COUNTIFS(Data!$Q$10:$Q$3209,"&gt;="&amp;$A1121,Data!$Q$10:$Q$3209,"&lt;"&amp;$A1121+1)))</f>
        <v/>
      </c>
    </row>
    <row r="1122">
      <c r="A1122" s="55">
        <f>MIN(Inputs!$C$15,$A1121+IF(WEEKDAY($A1121,2)=5,3,1))</f>
        <v/>
      </c>
      <c r="B1122">
        <f>IF($A1122&gt;$A1121,1,0)</f>
        <v/>
      </c>
      <c r="C1122" s="56">
        <f>IF($B1122=0,"",IF(Inputs!$B$6="","",IF($AD1122=0,C1121,SUMIFS(Data!$B$10:$B$3209,Data!$A$10:$A$3209,"&gt;="&amp;$A1122,Data!$A$10:$A$3209,"&lt;"&amp;$A1122+1)/$AD1122)))</f>
        <v/>
      </c>
      <c r="D1122" s="56">
        <f>IF($B1122=0,"",IF(Inputs!$B$7="","",IF($AE1122=0,D1121,SUMIFS(Data!$F$10:$F$3209,Data!$E$10:$E$3209,"&gt;="&amp;$A1122,Data!$E$10:$E$3209,"&lt;"&amp;$A1122+1)/$AE1122)))</f>
        <v/>
      </c>
      <c r="E1122" s="56">
        <f>IF($B1122=0,"",IF(Inputs!$B$8="","",IF($AF1122=0,E1121,SUMIFS(Data!$J$10:$J$3209,Data!$I$10:$I$3209,"&gt;="&amp;$A1122,Data!$I$10:$I$3209,"&lt;"&amp;$A1122+1)/$AF1122)))</f>
        <v/>
      </c>
      <c r="F1122" s="56">
        <f>IF($B1122=0,"",IF(Inputs!$B$9="","",IF($AG1122=0,F1121,SUMIFS(Data!$N$10:$N$3209,Data!$M$10:$M$3209,"&gt;="&amp;$A1122,Data!$M$10:$M$3209,"&lt;"&amp;$A1122+1)/$AG1122)))</f>
        <v/>
      </c>
      <c r="G1122" s="56">
        <f>IF($B1122=0,"",IF(Inputs!$B$10="","",IF($AH1122=0,G1121,SUMIFS(Data!$R$10:$R$3209,Data!$Q$10:$Q$3209,"&gt;="&amp;$A1122,Data!$Q$10:$Q$3209,"&lt;"&amp;$A1122+1)/$AH1122)))</f>
        <v/>
      </c>
      <c r="I1122" s="54">
        <f>IF($B1122=0,NA(),IF($C1122="",NA(),IF(C$8="",NA(),IF(N(C$8)=0,NA(),IF(Inputs!$C$17="Rebased to 100",$C1122/C$8*100,$C1122)))))</f>
        <v/>
      </c>
      <c r="J1122" s="54">
        <f>IF($B1122=0,NA(),IF($D1122="",NA(),IF(D$8="",NA(),IF(N(D$8)=0,NA(),IF(Inputs!$C$17="Rebased to 100",$D1122/D$8*100,$D1122)))))</f>
        <v/>
      </c>
      <c r="K1122" s="54">
        <f>IF($B1122=0,NA(),IF($E1122="",NA(),IF(E$8="",NA(),IF(N(E$8)=0,NA(),IF(Inputs!$C$17="Rebased to 100",$E1122/E$8*100,$E1122)))))</f>
        <v/>
      </c>
      <c r="L1122" s="54">
        <f>IF($B1122=0,NA(),IF($F1122="",NA(),IF(F$8="",NA(),IF(N(F$8)=0,NA(),IF(Inputs!$C$17="Rebased to 100",$F1122/F$8*100,$F1122)))))</f>
        <v/>
      </c>
      <c r="M1122" s="54">
        <f>IF($B1122=0,NA(),IF($G1122="",NA(),IF(G$8="",NA(),IF(N(G$8)=0,NA(),IF(Inputs!$C$17="Rebased to 100",$G1122/G$8*100,$G1122)))))</f>
        <v/>
      </c>
      <c r="N1122" s="54">
        <f>IF($B1122=0,NA(),IF(Inputs!$C$18&lt;&gt;"Yes",NA(),IF(COUNT(I1122,J1122,K1122,L1122,M1122)=0,NA(),MIN(I1122,J1122,K1122,L1122,M1122))))</f>
        <v/>
      </c>
      <c r="O1122" s="54">
        <f>IF($B1122=0,NA(),IF(Inputs!$B$24&lt;&gt;"Yes",NA(),Inputs!$D$24*Inputs!$C$35))</f>
        <v/>
      </c>
      <c r="P1122" s="54">
        <f>IF($B1122=0,NA(),IF(Inputs!$B$25&lt;&gt;"Yes",NA(),Inputs!$D$25*Inputs!$C$35))</f>
        <v/>
      </c>
      <c r="Q1122" s="54">
        <f>IF($B1122=0,NA(),IF(Inputs!$B$26&lt;&gt;"Yes",NA(),Inputs!$D$26*Inputs!$C$35))</f>
        <v/>
      </c>
      <c r="R1122" s="54">
        <f>IF($B1122=0,NA(),IF(Inputs!$B$27&lt;&gt;"Yes",NA(),Inputs!$D$27*Inputs!$C$35))</f>
        <v/>
      </c>
      <c r="S1122" s="54">
        <f>IF($B1122=0,NA(),IF(Inputs!$B$28&lt;&gt;"Yes",NA(),Inputs!$D$28*Inputs!$C$35))</f>
        <v/>
      </c>
      <c r="T1122" s="54">
        <f>IF($B1122=0,NA(),IF(Inputs!$B$29&lt;&gt;"Yes",NA(),Inputs!$D$29*Inputs!$C$35))</f>
        <v/>
      </c>
      <c r="AD1122">
        <f>IF($B1122=0,0,IF(Inputs!$B$6="",0,COUNTIFS(Data!$A$10:$A$3209,"&gt;="&amp;$A1122,Data!$A$10:$A$3209,"&lt;"&amp;$A1122+1)))</f>
        <v/>
      </c>
      <c r="AE1122">
        <f>IF($B1122=0,0,IF(Inputs!$B$7="",0,COUNTIFS(Data!$E$10:$E$3209,"&gt;="&amp;$A1122,Data!$E$10:$E$3209,"&lt;"&amp;$A1122+1)))</f>
        <v/>
      </c>
      <c r="AF1122">
        <f>IF($B1122=0,0,IF(Inputs!$B$8="",0,COUNTIFS(Data!$I$10:$I$3209,"&gt;="&amp;$A1122,Data!$I$10:$I$3209,"&lt;"&amp;$A1122+1)))</f>
        <v/>
      </c>
      <c r="AG1122">
        <f>IF($B1122=0,0,IF(Inputs!$B$9="",0,COUNTIFS(Data!$M$10:$M$3209,"&gt;="&amp;$A1122,Data!$M$10:$M$3209,"&lt;"&amp;$A1122+1)))</f>
        <v/>
      </c>
      <c r="AH1122">
        <f>IF($B1122=0,0,IF(Inputs!$B$10="",0,COUNTIFS(Data!$Q$10:$Q$3209,"&gt;="&amp;$A1122,Data!$Q$10:$Q$3209,"&lt;"&amp;$A1122+1)))</f>
        <v/>
      </c>
    </row>
    <row r="1123">
      <c r="A1123" s="55">
        <f>MIN(Inputs!$C$15,$A1122+IF(WEEKDAY($A1122,2)=5,3,1))</f>
        <v/>
      </c>
      <c r="B1123">
        <f>IF($A1123&gt;$A1122,1,0)</f>
        <v/>
      </c>
      <c r="C1123" s="56">
        <f>IF($B1123=0,"",IF(Inputs!$B$6="","",IF($AD1123=0,C1122,SUMIFS(Data!$B$10:$B$3209,Data!$A$10:$A$3209,"&gt;="&amp;$A1123,Data!$A$10:$A$3209,"&lt;"&amp;$A1123+1)/$AD1123)))</f>
        <v/>
      </c>
      <c r="D1123" s="56">
        <f>IF($B1123=0,"",IF(Inputs!$B$7="","",IF($AE1123=0,D1122,SUMIFS(Data!$F$10:$F$3209,Data!$E$10:$E$3209,"&gt;="&amp;$A1123,Data!$E$10:$E$3209,"&lt;"&amp;$A1123+1)/$AE1123)))</f>
        <v/>
      </c>
      <c r="E1123" s="56">
        <f>IF($B1123=0,"",IF(Inputs!$B$8="","",IF($AF1123=0,E1122,SUMIFS(Data!$J$10:$J$3209,Data!$I$10:$I$3209,"&gt;="&amp;$A1123,Data!$I$10:$I$3209,"&lt;"&amp;$A1123+1)/$AF1123)))</f>
        <v/>
      </c>
      <c r="F1123" s="56">
        <f>IF($B1123=0,"",IF(Inputs!$B$9="","",IF($AG1123=0,F1122,SUMIFS(Data!$N$10:$N$3209,Data!$M$10:$M$3209,"&gt;="&amp;$A1123,Data!$M$10:$M$3209,"&lt;"&amp;$A1123+1)/$AG1123)))</f>
        <v/>
      </c>
      <c r="G1123" s="56">
        <f>IF($B1123=0,"",IF(Inputs!$B$10="","",IF($AH1123=0,G1122,SUMIFS(Data!$R$10:$R$3209,Data!$Q$10:$Q$3209,"&gt;="&amp;$A1123,Data!$Q$10:$Q$3209,"&lt;"&amp;$A1123+1)/$AH1123)))</f>
        <v/>
      </c>
      <c r="I1123" s="54">
        <f>IF($B1123=0,NA(),IF($C1123="",NA(),IF(C$8="",NA(),IF(N(C$8)=0,NA(),IF(Inputs!$C$17="Rebased to 100",$C1123/C$8*100,$C1123)))))</f>
        <v/>
      </c>
      <c r="J1123" s="54">
        <f>IF($B1123=0,NA(),IF($D1123="",NA(),IF(D$8="",NA(),IF(N(D$8)=0,NA(),IF(Inputs!$C$17="Rebased to 100",$D1123/D$8*100,$D1123)))))</f>
        <v/>
      </c>
      <c r="K1123" s="54">
        <f>IF($B1123=0,NA(),IF($E1123="",NA(),IF(E$8="",NA(),IF(N(E$8)=0,NA(),IF(Inputs!$C$17="Rebased to 100",$E1123/E$8*100,$E1123)))))</f>
        <v/>
      </c>
      <c r="L1123" s="54">
        <f>IF($B1123=0,NA(),IF($F1123="",NA(),IF(F$8="",NA(),IF(N(F$8)=0,NA(),IF(Inputs!$C$17="Rebased to 100",$F1123/F$8*100,$F1123)))))</f>
        <v/>
      </c>
      <c r="M1123" s="54">
        <f>IF($B1123=0,NA(),IF($G1123="",NA(),IF(G$8="",NA(),IF(N(G$8)=0,NA(),IF(Inputs!$C$17="Rebased to 100",$G1123/G$8*100,$G1123)))))</f>
        <v/>
      </c>
      <c r="N1123" s="54">
        <f>IF($B1123=0,NA(),IF(Inputs!$C$18&lt;&gt;"Yes",NA(),IF(COUNT(I1123,J1123,K1123,L1123,M1123)=0,NA(),MIN(I1123,J1123,K1123,L1123,M1123))))</f>
        <v/>
      </c>
      <c r="O1123" s="54">
        <f>IF($B1123=0,NA(),IF(Inputs!$B$24&lt;&gt;"Yes",NA(),Inputs!$D$24*Inputs!$C$35))</f>
        <v/>
      </c>
      <c r="P1123" s="54">
        <f>IF($B1123=0,NA(),IF(Inputs!$B$25&lt;&gt;"Yes",NA(),Inputs!$D$25*Inputs!$C$35))</f>
        <v/>
      </c>
      <c r="Q1123" s="54">
        <f>IF($B1123=0,NA(),IF(Inputs!$B$26&lt;&gt;"Yes",NA(),Inputs!$D$26*Inputs!$C$35))</f>
        <v/>
      </c>
      <c r="R1123" s="54">
        <f>IF($B1123=0,NA(),IF(Inputs!$B$27&lt;&gt;"Yes",NA(),Inputs!$D$27*Inputs!$C$35))</f>
        <v/>
      </c>
      <c r="S1123" s="54">
        <f>IF($B1123=0,NA(),IF(Inputs!$B$28&lt;&gt;"Yes",NA(),Inputs!$D$28*Inputs!$C$35))</f>
        <v/>
      </c>
      <c r="T1123" s="54">
        <f>IF($B1123=0,NA(),IF(Inputs!$B$29&lt;&gt;"Yes",NA(),Inputs!$D$29*Inputs!$C$35))</f>
        <v/>
      </c>
      <c r="AD1123">
        <f>IF($B1123=0,0,IF(Inputs!$B$6="",0,COUNTIFS(Data!$A$10:$A$3209,"&gt;="&amp;$A1123,Data!$A$10:$A$3209,"&lt;"&amp;$A1123+1)))</f>
        <v/>
      </c>
      <c r="AE1123">
        <f>IF($B1123=0,0,IF(Inputs!$B$7="",0,COUNTIFS(Data!$E$10:$E$3209,"&gt;="&amp;$A1123,Data!$E$10:$E$3209,"&lt;"&amp;$A1123+1)))</f>
        <v/>
      </c>
      <c r="AF1123">
        <f>IF($B1123=0,0,IF(Inputs!$B$8="",0,COUNTIFS(Data!$I$10:$I$3209,"&gt;="&amp;$A1123,Data!$I$10:$I$3209,"&lt;"&amp;$A1123+1)))</f>
        <v/>
      </c>
      <c r="AG1123">
        <f>IF($B1123=0,0,IF(Inputs!$B$9="",0,COUNTIFS(Data!$M$10:$M$3209,"&gt;="&amp;$A1123,Data!$M$10:$M$3209,"&lt;"&amp;$A1123+1)))</f>
        <v/>
      </c>
      <c r="AH1123">
        <f>IF($B1123=0,0,IF(Inputs!$B$10="",0,COUNTIFS(Data!$Q$10:$Q$3209,"&gt;="&amp;$A1123,Data!$Q$10:$Q$3209,"&lt;"&amp;$A1123+1)))</f>
        <v/>
      </c>
    </row>
    <row r="1124">
      <c r="A1124" s="55">
        <f>MIN(Inputs!$C$15,$A1123+IF(WEEKDAY($A1123,2)=5,3,1))</f>
        <v/>
      </c>
      <c r="B1124">
        <f>IF($A1124&gt;$A1123,1,0)</f>
        <v/>
      </c>
      <c r="C1124" s="56">
        <f>IF($B1124=0,"",IF(Inputs!$B$6="","",IF($AD1124=0,C1123,SUMIFS(Data!$B$10:$B$3209,Data!$A$10:$A$3209,"&gt;="&amp;$A1124,Data!$A$10:$A$3209,"&lt;"&amp;$A1124+1)/$AD1124)))</f>
        <v/>
      </c>
      <c r="D1124" s="56">
        <f>IF($B1124=0,"",IF(Inputs!$B$7="","",IF($AE1124=0,D1123,SUMIFS(Data!$F$10:$F$3209,Data!$E$10:$E$3209,"&gt;="&amp;$A1124,Data!$E$10:$E$3209,"&lt;"&amp;$A1124+1)/$AE1124)))</f>
        <v/>
      </c>
      <c r="E1124" s="56">
        <f>IF($B1124=0,"",IF(Inputs!$B$8="","",IF($AF1124=0,E1123,SUMIFS(Data!$J$10:$J$3209,Data!$I$10:$I$3209,"&gt;="&amp;$A1124,Data!$I$10:$I$3209,"&lt;"&amp;$A1124+1)/$AF1124)))</f>
        <v/>
      </c>
      <c r="F1124" s="56">
        <f>IF($B1124=0,"",IF(Inputs!$B$9="","",IF($AG1124=0,F1123,SUMIFS(Data!$N$10:$N$3209,Data!$M$10:$M$3209,"&gt;="&amp;$A1124,Data!$M$10:$M$3209,"&lt;"&amp;$A1124+1)/$AG1124)))</f>
        <v/>
      </c>
      <c r="G1124" s="56">
        <f>IF($B1124=0,"",IF(Inputs!$B$10="","",IF($AH1124=0,G1123,SUMIFS(Data!$R$10:$R$3209,Data!$Q$10:$Q$3209,"&gt;="&amp;$A1124,Data!$Q$10:$Q$3209,"&lt;"&amp;$A1124+1)/$AH1124)))</f>
        <v/>
      </c>
      <c r="I1124" s="54">
        <f>IF($B1124=0,NA(),IF($C1124="",NA(),IF(C$8="",NA(),IF(N(C$8)=0,NA(),IF(Inputs!$C$17="Rebased to 100",$C1124/C$8*100,$C1124)))))</f>
        <v/>
      </c>
      <c r="J1124" s="54">
        <f>IF($B1124=0,NA(),IF($D1124="",NA(),IF(D$8="",NA(),IF(N(D$8)=0,NA(),IF(Inputs!$C$17="Rebased to 100",$D1124/D$8*100,$D1124)))))</f>
        <v/>
      </c>
      <c r="K1124" s="54">
        <f>IF($B1124=0,NA(),IF($E1124="",NA(),IF(E$8="",NA(),IF(N(E$8)=0,NA(),IF(Inputs!$C$17="Rebased to 100",$E1124/E$8*100,$E1124)))))</f>
        <v/>
      </c>
      <c r="L1124" s="54">
        <f>IF($B1124=0,NA(),IF($F1124="",NA(),IF(F$8="",NA(),IF(N(F$8)=0,NA(),IF(Inputs!$C$17="Rebased to 100",$F1124/F$8*100,$F1124)))))</f>
        <v/>
      </c>
      <c r="M1124" s="54">
        <f>IF($B1124=0,NA(),IF($G1124="",NA(),IF(G$8="",NA(),IF(N(G$8)=0,NA(),IF(Inputs!$C$17="Rebased to 100",$G1124/G$8*100,$G1124)))))</f>
        <v/>
      </c>
      <c r="N1124" s="54">
        <f>IF($B1124=0,NA(),IF(Inputs!$C$18&lt;&gt;"Yes",NA(),IF(COUNT(I1124,J1124,K1124,L1124,M1124)=0,NA(),MIN(I1124,J1124,K1124,L1124,M1124))))</f>
        <v/>
      </c>
      <c r="O1124" s="54">
        <f>IF($B1124=0,NA(),IF(Inputs!$B$24&lt;&gt;"Yes",NA(),Inputs!$D$24*Inputs!$C$35))</f>
        <v/>
      </c>
      <c r="P1124" s="54">
        <f>IF($B1124=0,NA(),IF(Inputs!$B$25&lt;&gt;"Yes",NA(),Inputs!$D$25*Inputs!$C$35))</f>
        <v/>
      </c>
      <c r="Q1124" s="54">
        <f>IF($B1124=0,NA(),IF(Inputs!$B$26&lt;&gt;"Yes",NA(),Inputs!$D$26*Inputs!$C$35))</f>
        <v/>
      </c>
      <c r="R1124" s="54">
        <f>IF($B1124=0,NA(),IF(Inputs!$B$27&lt;&gt;"Yes",NA(),Inputs!$D$27*Inputs!$C$35))</f>
        <v/>
      </c>
      <c r="S1124" s="54">
        <f>IF($B1124=0,NA(),IF(Inputs!$B$28&lt;&gt;"Yes",NA(),Inputs!$D$28*Inputs!$C$35))</f>
        <v/>
      </c>
      <c r="T1124" s="54">
        <f>IF($B1124=0,NA(),IF(Inputs!$B$29&lt;&gt;"Yes",NA(),Inputs!$D$29*Inputs!$C$35))</f>
        <v/>
      </c>
      <c r="AD1124">
        <f>IF($B1124=0,0,IF(Inputs!$B$6="",0,COUNTIFS(Data!$A$10:$A$3209,"&gt;="&amp;$A1124,Data!$A$10:$A$3209,"&lt;"&amp;$A1124+1)))</f>
        <v/>
      </c>
      <c r="AE1124">
        <f>IF($B1124=0,0,IF(Inputs!$B$7="",0,COUNTIFS(Data!$E$10:$E$3209,"&gt;="&amp;$A1124,Data!$E$10:$E$3209,"&lt;"&amp;$A1124+1)))</f>
        <v/>
      </c>
      <c r="AF1124">
        <f>IF($B1124=0,0,IF(Inputs!$B$8="",0,COUNTIFS(Data!$I$10:$I$3209,"&gt;="&amp;$A1124,Data!$I$10:$I$3209,"&lt;"&amp;$A1124+1)))</f>
        <v/>
      </c>
      <c r="AG1124">
        <f>IF($B1124=0,0,IF(Inputs!$B$9="",0,COUNTIFS(Data!$M$10:$M$3209,"&gt;="&amp;$A1124,Data!$M$10:$M$3209,"&lt;"&amp;$A1124+1)))</f>
        <v/>
      </c>
      <c r="AH1124">
        <f>IF($B1124=0,0,IF(Inputs!$B$10="",0,COUNTIFS(Data!$Q$10:$Q$3209,"&gt;="&amp;$A1124,Data!$Q$10:$Q$3209,"&lt;"&amp;$A1124+1)))</f>
        <v/>
      </c>
    </row>
    <row r="1125">
      <c r="A1125" s="55">
        <f>MIN(Inputs!$C$15,$A1124+IF(WEEKDAY($A1124,2)=5,3,1))</f>
        <v/>
      </c>
      <c r="B1125">
        <f>IF($A1125&gt;$A1124,1,0)</f>
        <v/>
      </c>
      <c r="C1125" s="56">
        <f>IF($B1125=0,"",IF(Inputs!$B$6="","",IF($AD1125=0,C1124,SUMIFS(Data!$B$10:$B$3209,Data!$A$10:$A$3209,"&gt;="&amp;$A1125,Data!$A$10:$A$3209,"&lt;"&amp;$A1125+1)/$AD1125)))</f>
        <v/>
      </c>
      <c r="D1125" s="56">
        <f>IF($B1125=0,"",IF(Inputs!$B$7="","",IF($AE1125=0,D1124,SUMIFS(Data!$F$10:$F$3209,Data!$E$10:$E$3209,"&gt;="&amp;$A1125,Data!$E$10:$E$3209,"&lt;"&amp;$A1125+1)/$AE1125)))</f>
        <v/>
      </c>
      <c r="E1125" s="56">
        <f>IF($B1125=0,"",IF(Inputs!$B$8="","",IF($AF1125=0,E1124,SUMIFS(Data!$J$10:$J$3209,Data!$I$10:$I$3209,"&gt;="&amp;$A1125,Data!$I$10:$I$3209,"&lt;"&amp;$A1125+1)/$AF1125)))</f>
        <v/>
      </c>
      <c r="F1125" s="56">
        <f>IF($B1125=0,"",IF(Inputs!$B$9="","",IF($AG1125=0,F1124,SUMIFS(Data!$N$10:$N$3209,Data!$M$10:$M$3209,"&gt;="&amp;$A1125,Data!$M$10:$M$3209,"&lt;"&amp;$A1125+1)/$AG1125)))</f>
        <v/>
      </c>
      <c r="G1125" s="56">
        <f>IF($B1125=0,"",IF(Inputs!$B$10="","",IF($AH1125=0,G1124,SUMIFS(Data!$R$10:$R$3209,Data!$Q$10:$Q$3209,"&gt;="&amp;$A1125,Data!$Q$10:$Q$3209,"&lt;"&amp;$A1125+1)/$AH1125)))</f>
        <v/>
      </c>
      <c r="I1125" s="54">
        <f>IF($B1125=0,NA(),IF($C1125="",NA(),IF(C$8="",NA(),IF(N(C$8)=0,NA(),IF(Inputs!$C$17="Rebased to 100",$C1125/C$8*100,$C1125)))))</f>
        <v/>
      </c>
      <c r="J1125" s="54">
        <f>IF($B1125=0,NA(),IF($D1125="",NA(),IF(D$8="",NA(),IF(N(D$8)=0,NA(),IF(Inputs!$C$17="Rebased to 100",$D1125/D$8*100,$D1125)))))</f>
        <v/>
      </c>
      <c r="K1125" s="54">
        <f>IF($B1125=0,NA(),IF($E1125="",NA(),IF(E$8="",NA(),IF(N(E$8)=0,NA(),IF(Inputs!$C$17="Rebased to 100",$E1125/E$8*100,$E1125)))))</f>
        <v/>
      </c>
      <c r="L1125" s="54">
        <f>IF($B1125=0,NA(),IF($F1125="",NA(),IF(F$8="",NA(),IF(N(F$8)=0,NA(),IF(Inputs!$C$17="Rebased to 100",$F1125/F$8*100,$F1125)))))</f>
        <v/>
      </c>
      <c r="M1125" s="54">
        <f>IF($B1125=0,NA(),IF($G1125="",NA(),IF(G$8="",NA(),IF(N(G$8)=0,NA(),IF(Inputs!$C$17="Rebased to 100",$G1125/G$8*100,$G1125)))))</f>
        <v/>
      </c>
      <c r="N1125" s="54">
        <f>IF($B1125=0,NA(),IF(Inputs!$C$18&lt;&gt;"Yes",NA(),IF(COUNT(I1125,J1125,K1125,L1125,M1125)=0,NA(),MIN(I1125,J1125,K1125,L1125,M1125))))</f>
        <v/>
      </c>
      <c r="O1125" s="54">
        <f>IF($B1125=0,NA(),IF(Inputs!$B$24&lt;&gt;"Yes",NA(),Inputs!$D$24*Inputs!$C$35))</f>
        <v/>
      </c>
      <c r="P1125" s="54">
        <f>IF($B1125=0,NA(),IF(Inputs!$B$25&lt;&gt;"Yes",NA(),Inputs!$D$25*Inputs!$C$35))</f>
        <v/>
      </c>
      <c r="Q1125" s="54">
        <f>IF($B1125=0,NA(),IF(Inputs!$B$26&lt;&gt;"Yes",NA(),Inputs!$D$26*Inputs!$C$35))</f>
        <v/>
      </c>
      <c r="R1125" s="54">
        <f>IF($B1125=0,NA(),IF(Inputs!$B$27&lt;&gt;"Yes",NA(),Inputs!$D$27*Inputs!$C$35))</f>
        <v/>
      </c>
      <c r="S1125" s="54">
        <f>IF($B1125=0,NA(),IF(Inputs!$B$28&lt;&gt;"Yes",NA(),Inputs!$D$28*Inputs!$C$35))</f>
        <v/>
      </c>
      <c r="T1125" s="54">
        <f>IF($B1125=0,NA(),IF(Inputs!$B$29&lt;&gt;"Yes",NA(),Inputs!$D$29*Inputs!$C$35))</f>
        <v/>
      </c>
      <c r="AD1125">
        <f>IF($B1125=0,0,IF(Inputs!$B$6="",0,COUNTIFS(Data!$A$10:$A$3209,"&gt;="&amp;$A1125,Data!$A$10:$A$3209,"&lt;"&amp;$A1125+1)))</f>
        <v/>
      </c>
      <c r="AE1125">
        <f>IF($B1125=0,0,IF(Inputs!$B$7="",0,COUNTIFS(Data!$E$10:$E$3209,"&gt;="&amp;$A1125,Data!$E$10:$E$3209,"&lt;"&amp;$A1125+1)))</f>
        <v/>
      </c>
      <c r="AF1125">
        <f>IF($B1125=0,0,IF(Inputs!$B$8="",0,COUNTIFS(Data!$I$10:$I$3209,"&gt;="&amp;$A1125,Data!$I$10:$I$3209,"&lt;"&amp;$A1125+1)))</f>
        <v/>
      </c>
      <c r="AG1125">
        <f>IF($B1125=0,0,IF(Inputs!$B$9="",0,COUNTIFS(Data!$M$10:$M$3209,"&gt;="&amp;$A1125,Data!$M$10:$M$3209,"&lt;"&amp;$A1125+1)))</f>
        <v/>
      </c>
      <c r="AH1125">
        <f>IF($B1125=0,0,IF(Inputs!$B$10="",0,COUNTIFS(Data!$Q$10:$Q$3209,"&gt;="&amp;$A1125,Data!$Q$10:$Q$3209,"&lt;"&amp;$A1125+1)))</f>
        <v/>
      </c>
    </row>
    <row r="1126">
      <c r="A1126" s="55">
        <f>MIN(Inputs!$C$15,$A1125+IF(WEEKDAY($A1125,2)=5,3,1))</f>
        <v/>
      </c>
      <c r="B1126">
        <f>IF($A1126&gt;$A1125,1,0)</f>
        <v/>
      </c>
      <c r="C1126" s="56">
        <f>IF($B1126=0,"",IF(Inputs!$B$6="","",IF($AD1126=0,C1125,SUMIFS(Data!$B$10:$B$3209,Data!$A$10:$A$3209,"&gt;="&amp;$A1126,Data!$A$10:$A$3209,"&lt;"&amp;$A1126+1)/$AD1126)))</f>
        <v/>
      </c>
      <c r="D1126" s="56">
        <f>IF($B1126=0,"",IF(Inputs!$B$7="","",IF($AE1126=0,D1125,SUMIFS(Data!$F$10:$F$3209,Data!$E$10:$E$3209,"&gt;="&amp;$A1126,Data!$E$10:$E$3209,"&lt;"&amp;$A1126+1)/$AE1126)))</f>
        <v/>
      </c>
      <c r="E1126" s="56">
        <f>IF($B1126=0,"",IF(Inputs!$B$8="","",IF($AF1126=0,E1125,SUMIFS(Data!$J$10:$J$3209,Data!$I$10:$I$3209,"&gt;="&amp;$A1126,Data!$I$10:$I$3209,"&lt;"&amp;$A1126+1)/$AF1126)))</f>
        <v/>
      </c>
      <c r="F1126" s="56">
        <f>IF($B1126=0,"",IF(Inputs!$B$9="","",IF($AG1126=0,F1125,SUMIFS(Data!$N$10:$N$3209,Data!$M$10:$M$3209,"&gt;="&amp;$A1126,Data!$M$10:$M$3209,"&lt;"&amp;$A1126+1)/$AG1126)))</f>
        <v/>
      </c>
      <c r="G1126" s="56">
        <f>IF($B1126=0,"",IF(Inputs!$B$10="","",IF($AH1126=0,G1125,SUMIFS(Data!$R$10:$R$3209,Data!$Q$10:$Q$3209,"&gt;="&amp;$A1126,Data!$Q$10:$Q$3209,"&lt;"&amp;$A1126+1)/$AH1126)))</f>
        <v/>
      </c>
      <c r="I1126" s="54">
        <f>IF($B1126=0,NA(),IF($C1126="",NA(),IF(C$8="",NA(),IF(N(C$8)=0,NA(),IF(Inputs!$C$17="Rebased to 100",$C1126/C$8*100,$C1126)))))</f>
        <v/>
      </c>
      <c r="J1126" s="54">
        <f>IF($B1126=0,NA(),IF($D1126="",NA(),IF(D$8="",NA(),IF(N(D$8)=0,NA(),IF(Inputs!$C$17="Rebased to 100",$D1126/D$8*100,$D1126)))))</f>
        <v/>
      </c>
      <c r="K1126" s="54">
        <f>IF($B1126=0,NA(),IF($E1126="",NA(),IF(E$8="",NA(),IF(N(E$8)=0,NA(),IF(Inputs!$C$17="Rebased to 100",$E1126/E$8*100,$E1126)))))</f>
        <v/>
      </c>
      <c r="L1126" s="54">
        <f>IF($B1126=0,NA(),IF($F1126="",NA(),IF(F$8="",NA(),IF(N(F$8)=0,NA(),IF(Inputs!$C$17="Rebased to 100",$F1126/F$8*100,$F1126)))))</f>
        <v/>
      </c>
      <c r="M1126" s="54">
        <f>IF($B1126=0,NA(),IF($G1126="",NA(),IF(G$8="",NA(),IF(N(G$8)=0,NA(),IF(Inputs!$C$17="Rebased to 100",$G1126/G$8*100,$G1126)))))</f>
        <v/>
      </c>
      <c r="N1126" s="54">
        <f>IF($B1126=0,NA(),IF(Inputs!$C$18&lt;&gt;"Yes",NA(),IF(COUNT(I1126,J1126,K1126,L1126,M1126)=0,NA(),MIN(I1126,J1126,K1126,L1126,M1126))))</f>
        <v/>
      </c>
      <c r="O1126" s="54">
        <f>IF($B1126=0,NA(),IF(Inputs!$B$24&lt;&gt;"Yes",NA(),Inputs!$D$24*Inputs!$C$35))</f>
        <v/>
      </c>
      <c r="P1126" s="54">
        <f>IF($B1126=0,NA(),IF(Inputs!$B$25&lt;&gt;"Yes",NA(),Inputs!$D$25*Inputs!$C$35))</f>
        <v/>
      </c>
      <c r="Q1126" s="54">
        <f>IF($B1126=0,NA(),IF(Inputs!$B$26&lt;&gt;"Yes",NA(),Inputs!$D$26*Inputs!$C$35))</f>
        <v/>
      </c>
      <c r="R1126" s="54">
        <f>IF($B1126=0,NA(),IF(Inputs!$B$27&lt;&gt;"Yes",NA(),Inputs!$D$27*Inputs!$C$35))</f>
        <v/>
      </c>
      <c r="S1126" s="54">
        <f>IF($B1126=0,NA(),IF(Inputs!$B$28&lt;&gt;"Yes",NA(),Inputs!$D$28*Inputs!$C$35))</f>
        <v/>
      </c>
      <c r="T1126" s="54">
        <f>IF($B1126=0,NA(),IF(Inputs!$B$29&lt;&gt;"Yes",NA(),Inputs!$D$29*Inputs!$C$35))</f>
        <v/>
      </c>
      <c r="AD1126">
        <f>IF($B1126=0,0,IF(Inputs!$B$6="",0,COUNTIFS(Data!$A$10:$A$3209,"&gt;="&amp;$A1126,Data!$A$10:$A$3209,"&lt;"&amp;$A1126+1)))</f>
        <v/>
      </c>
      <c r="AE1126">
        <f>IF($B1126=0,0,IF(Inputs!$B$7="",0,COUNTIFS(Data!$E$10:$E$3209,"&gt;="&amp;$A1126,Data!$E$10:$E$3209,"&lt;"&amp;$A1126+1)))</f>
        <v/>
      </c>
      <c r="AF1126">
        <f>IF($B1126=0,0,IF(Inputs!$B$8="",0,COUNTIFS(Data!$I$10:$I$3209,"&gt;="&amp;$A1126,Data!$I$10:$I$3209,"&lt;"&amp;$A1126+1)))</f>
        <v/>
      </c>
      <c r="AG1126">
        <f>IF($B1126=0,0,IF(Inputs!$B$9="",0,COUNTIFS(Data!$M$10:$M$3209,"&gt;="&amp;$A1126,Data!$M$10:$M$3209,"&lt;"&amp;$A1126+1)))</f>
        <v/>
      </c>
      <c r="AH1126">
        <f>IF($B1126=0,0,IF(Inputs!$B$10="",0,COUNTIFS(Data!$Q$10:$Q$3209,"&gt;="&amp;$A1126,Data!$Q$10:$Q$3209,"&lt;"&amp;$A1126+1)))</f>
        <v/>
      </c>
    </row>
    <row r="1127">
      <c r="A1127" s="55">
        <f>MIN(Inputs!$C$15,$A1126+IF(WEEKDAY($A1126,2)=5,3,1))</f>
        <v/>
      </c>
      <c r="B1127">
        <f>IF($A1127&gt;$A1126,1,0)</f>
        <v/>
      </c>
      <c r="C1127" s="56">
        <f>IF($B1127=0,"",IF(Inputs!$B$6="","",IF($AD1127=0,C1126,SUMIFS(Data!$B$10:$B$3209,Data!$A$10:$A$3209,"&gt;="&amp;$A1127,Data!$A$10:$A$3209,"&lt;"&amp;$A1127+1)/$AD1127)))</f>
        <v/>
      </c>
      <c r="D1127" s="56">
        <f>IF($B1127=0,"",IF(Inputs!$B$7="","",IF($AE1127=0,D1126,SUMIFS(Data!$F$10:$F$3209,Data!$E$10:$E$3209,"&gt;="&amp;$A1127,Data!$E$10:$E$3209,"&lt;"&amp;$A1127+1)/$AE1127)))</f>
        <v/>
      </c>
      <c r="E1127" s="56">
        <f>IF($B1127=0,"",IF(Inputs!$B$8="","",IF($AF1127=0,E1126,SUMIFS(Data!$J$10:$J$3209,Data!$I$10:$I$3209,"&gt;="&amp;$A1127,Data!$I$10:$I$3209,"&lt;"&amp;$A1127+1)/$AF1127)))</f>
        <v/>
      </c>
      <c r="F1127" s="56">
        <f>IF($B1127=0,"",IF(Inputs!$B$9="","",IF($AG1127=0,F1126,SUMIFS(Data!$N$10:$N$3209,Data!$M$10:$M$3209,"&gt;="&amp;$A1127,Data!$M$10:$M$3209,"&lt;"&amp;$A1127+1)/$AG1127)))</f>
        <v/>
      </c>
      <c r="G1127" s="56">
        <f>IF($B1127=0,"",IF(Inputs!$B$10="","",IF($AH1127=0,G1126,SUMIFS(Data!$R$10:$R$3209,Data!$Q$10:$Q$3209,"&gt;="&amp;$A1127,Data!$Q$10:$Q$3209,"&lt;"&amp;$A1127+1)/$AH1127)))</f>
        <v/>
      </c>
      <c r="I1127" s="54">
        <f>IF($B1127=0,NA(),IF($C1127="",NA(),IF(C$8="",NA(),IF(N(C$8)=0,NA(),IF(Inputs!$C$17="Rebased to 100",$C1127/C$8*100,$C1127)))))</f>
        <v/>
      </c>
      <c r="J1127" s="54">
        <f>IF($B1127=0,NA(),IF($D1127="",NA(),IF(D$8="",NA(),IF(N(D$8)=0,NA(),IF(Inputs!$C$17="Rebased to 100",$D1127/D$8*100,$D1127)))))</f>
        <v/>
      </c>
      <c r="K1127" s="54">
        <f>IF($B1127=0,NA(),IF($E1127="",NA(),IF(E$8="",NA(),IF(N(E$8)=0,NA(),IF(Inputs!$C$17="Rebased to 100",$E1127/E$8*100,$E1127)))))</f>
        <v/>
      </c>
      <c r="L1127" s="54">
        <f>IF($B1127=0,NA(),IF($F1127="",NA(),IF(F$8="",NA(),IF(N(F$8)=0,NA(),IF(Inputs!$C$17="Rebased to 100",$F1127/F$8*100,$F1127)))))</f>
        <v/>
      </c>
      <c r="M1127" s="54">
        <f>IF($B1127=0,NA(),IF($G1127="",NA(),IF(G$8="",NA(),IF(N(G$8)=0,NA(),IF(Inputs!$C$17="Rebased to 100",$G1127/G$8*100,$G1127)))))</f>
        <v/>
      </c>
      <c r="N1127" s="54">
        <f>IF($B1127=0,NA(),IF(Inputs!$C$18&lt;&gt;"Yes",NA(),IF(COUNT(I1127,J1127,K1127,L1127,M1127)=0,NA(),MIN(I1127,J1127,K1127,L1127,M1127))))</f>
        <v/>
      </c>
      <c r="O1127" s="54">
        <f>IF($B1127=0,NA(),IF(Inputs!$B$24&lt;&gt;"Yes",NA(),Inputs!$D$24*Inputs!$C$35))</f>
        <v/>
      </c>
      <c r="P1127" s="54">
        <f>IF($B1127=0,NA(),IF(Inputs!$B$25&lt;&gt;"Yes",NA(),Inputs!$D$25*Inputs!$C$35))</f>
        <v/>
      </c>
      <c r="Q1127" s="54">
        <f>IF($B1127=0,NA(),IF(Inputs!$B$26&lt;&gt;"Yes",NA(),Inputs!$D$26*Inputs!$C$35))</f>
        <v/>
      </c>
      <c r="R1127" s="54">
        <f>IF($B1127=0,NA(),IF(Inputs!$B$27&lt;&gt;"Yes",NA(),Inputs!$D$27*Inputs!$C$35))</f>
        <v/>
      </c>
      <c r="S1127" s="54">
        <f>IF($B1127=0,NA(),IF(Inputs!$B$28&lt;&gt;"Yes",NA(),Inputs!$D$28*Inputs!$C$35))</f>
        <v/>
      </c>
      <c r="T1127" s="54">
        <f>IF($B1127=0,NA(),IF(Inputs!$B$29&lt;&gt;"Yes",NA(),Inputs!$D$29*Inputs!$C$35))</f>
        <v/>
      </c>
      <c r="AD1127">
        <f>IF($B1127=0,0,IF(Inputs!$B$6="",0,COUNTIFS(Data!$A$10:$A$3209,"&gt;="&amp;$A1127,Data!$A$10:$A$3209,"&lt;"&amp;$A1127+1)))</f>
        <v/>
      </c>
      <c r="AE1127">
        <f>IF($B1127=0,0,IF(Inputs!$B$7="",0,COUNTIFS(Data!$E$10:$E$3209,"&gt;="&amp;$A1127,Data!$E$10:$E$3209,"&lt;"&amp;$A1127+1)))</f>
        <v/>
      </c>
      <c r="AF1127">
        <f>IF($B1127=0,0,IF(Inputs!$B$8="",0,COUNTIFS(Data!$I$10:$I$3209,"&gt;="&amp;$A1127,Data!$I$10:$I$3209,"&lt;"&amp;$A1127+1)))</f>
        <v/>
      </c>
      <c r="AG1127">
        <f>IF($B1127=0,0,IF(Inputs!$B$9="",0,COUNTIFS(Data!$M$10:$M$3209,"&gt;="&amp;$A1127,Data!$M$10:$M$3209,"&lt;"&amp;$A1127+1)))</f>
        <v/>
      </c>
      <c r="AH1127">
        <f>IF($B1127=0,0,IF(Inputs!$B$10="",0,COUNTIFS(Data!$Q$10:$Q$3209,"&gt;="&amp;$A1127,Data!$Q$10:$Q$3209,"&lt;"&amp;$A1127+1)))</f>
        <v/>
      </c>
    </row>
    <row r="1128">
      <c r="A1128" s="55">
        <f>MIN(Inputs!$C$15,$A1127+IF(WEEKDAY($A1127,2)=5,3,1))</f>
        <v/>
      </c>
      <c r="B1128">
        <f>IF($A1128&gt;$A1127,1,0)</f>
        <v/>
      </c>
      <c r="C1128" s="56">
        <f>IF($B1128=0,"",IF(Inputs!$B$6="","",IF($AD1128=0,C1127,SUMIFS(Data!$B$10:$B$3209,Data!$A$10:$A$3209,"&gt;="&amp;$A1128,Data!$A$10:$A$3209,"&lt;"&amp;$A1128+1)/$AD1128)))</f>
        <v/>
      </c>
      <c r="D1128" s="56">
        <f>IF($B1128=0,"",IF(Inputs!$B$7="","",IF($AE1128=0,D1127,SUMIFS(Data!$F$10:$F$3209,Data!$E$10:$E$3209,"&gt;="&amp;$A1128,Data!$E$10:$E$3209,"&lt;"&amp;$A1128+1)/$AE1128)))</f>
        <v/>
      </c>
      <c r="E1128" s="56">
        <f>IF($B1128=0,"",IF(Inputs!$B$8="","",IF($AF1128=0,E1127,SUMIFS(Data!$J$10:$J$3209,Data!$I$10:$I$3209,"&gt;="&amp;$A1128,Data!$I$10:$I$3209,"&lt;"&amp;$A1128+1)/$AF1128)))</f>
        <v/>
      </c>
      <c r="F1128" s="56">
        <f>IF($B1128=0,"",IF(Inputs!$B$9="","",IF($AG1128=0,F1127,SUMIFS(Data!$N$10:$N$3209,Data!$M$10:$M$3209,"&gt;="&amp;$A1128,Data!$M$10:$M$3209,"&lt;"&amp;$A1128+1)/$AG1128)))</f>
        <v/>
      </c>
      <c r="G1128" s="56">
        <f>IF($B1128=0,"",IF(Inputs!$B$10="","",IF($AH1128=0,G1127,SUMIFS(Data!$R$10:$R$3209,Data!$Q$10:$Q$3209,"&gt;="&amp;$A1128,Data!$Q$10:$Q$3209,"&lt;"&amp;$A1128+1)/$AH1128)))</f>
        <v/>
      </c>
      <c r="I1128" s="54">
        <f>IF($B1128=0,NA(),IF($C1128="",NA(),IF(C$8="",NA(),IF(N(C$8)=0,NA(),IF(Inputs!$C$17="Rebased to 100",$C1128/C$8*100,$C1128)))))</f>
        <v/>
      </c>
      <c r="J1128" s="54">
        <f>IF($B1128=0,NA(),IF($D1128="",NA(),IF(D$8="",NA(),IF(N(D$8)=0,NA(),IF(Inputs!$C$17="Rebased to 100",$D1128/D$8*100,$D1128)))))</f>
        <v/>
      </c>
      <c r="K1128" s="54">
        <f>IF($B1128=0,NA(),IF($E1128="",NA(),IF(E$8="",NA(),IF(N(E$8)=0,NA(),IF(Inputs!$C$17="Rebased to 100",$E1128/E$8*100,$E1128)))))</f>
        <v/>
      </c>
      <c r="L1128" s="54">
        <f>IF($B1128=0,NA(),IF($F1128="",NA(),IF(F$8="",NA(),IF(N(F$8)=0,NA(),IF(Inputs!$C$17="Rebased to 100",$F1128/F$8*100,$F1128)))))</f>
        <v/>
      </c>
      <c r="M1128" s="54">
        <f>IF($B1128=0,NA(),IF($G1128="",NA(),IF(G$8="",NA(),IF(N(G$8)=0,NA(),IF(Inputs!$C$17="Rebased to 100",$G1128/G$8*100,$G1128)))))</f>
        <v/>
      </c>
      <c r="N1128" s="54">
        <f>IF($B1128=0,NA(),IF(Inputs!$C$18&lt;&gt;"Yes",NA(),IF(COUNT(I1128,J1128,K1128,L1128,M1128)=0,NA(),MIN(I1128,J1128,K1128,L1128,M1128))))</f>
        <v/>
      </c>
      <c r="O1128" s="54">
        <f>IF($B1128=0,NA(),IF(Inputs!$B$24&lt;&gt;"Yes",NA(),Inputs!$D$24*Inputs!$C$35))</f>
        <v/>
      </c>
      <c r="P1128" s="54">
        <f>IF($B1128=0,NA(),IF(Inputs!$B$25&lt;&gt;"Yes",NA(),Inputs!$D$25*Inputs!$C$35))</f>
        <v/>
      </c>
      <c r="Q1128" s="54">
        <f>IF($B1128=0,NA(),IF(Inputs!$B$26&lt;&gt;"Yes",NA(),Inputs!$D$26*Inputs!$C$35))</f>
        <v/>
      </c>
      <c r="R1128" s="54">
        <f>IF($B1128=0,NA(),IF(Inputs!$B$27&lt;&gt;"Yes",NA(),Inputs!$D$27*Inputs!$C$35))</f>
        <v/>
      </c>
      <c r="S1128" s="54">
        <f>IF($B1128=0,NA(),IF(Inputs!$B$28&lt;&gt;"Yes",NA(),Inputs!$D$28*Inputs!$C$35))</f>
        <v/>
      </c>
      <c r="T1128" s="54">
        <f>IF($B1128=0,NA(),IF(Inputs!$B$29&lt;&gt;"Yes",NA(),Inputs!$D$29*Inputs!$C$35))</f>
        <v/>
      </c>
      <c r="AD1128">
        <f>IF($B1128=0,0,IF(Inputs!$B$6="",0,COUNTIFS(Data!$A$10:$A$3209,"&gt;="&amp;$A1128,Data!$A$10:$A$3209,"&lt;"&amp;$A1128+1)))</f>
        <v/>
      </c>
      <c r="AE1128">
        <f>IF($B1128=0,0,IF(Inputs!$B$7="",0,COUNTIFS(Data!$E$10:$E$3209,"&gt;="&amp;$A1128,Data!$E$10:$E$3209,"&lt;"&amp;$A1128+1)))</f>
        <v/>
      </c>
      <c r="AF1128">
        <f>IF($B1128=0,0,IF(Inputs!$B$8="",0,COUNTIFS(Data!$I$10:$I$3209,"&gt;="&amp;$A1128,Data!$I$10:$I$3209,"&lt;"&amp;$A1128+1)))</f>
        <v/>
      </c>
      <c r="AG1128">
        <f>IF($B1128=0,0,IF(Inputs!$B$9="",0,COUNTIFS(Data!$M$10:$M$3209,"&gt;="&amp;$A1128,Data!$M$10:$M$3209,"&lt;"&amp;$A1128+1)))</f>
        <v/>
      </c>
      <c r="AH1128">
        <f>IF($B1128=0,0,IF(Inputs!$B$10="",0,COUNTIFS(Data!$Q$10:$Q$3209,"&gt;="&amp;$A1128,Data!$Q$10:$Q$3209,"&lt;"&amp;$A1128+1)))</f>
        <v/>
      </c>
    </row>
    <row r="1129">
      <c r="A1129" s="55">
        <f>MIN(Inputs!$C$15,$A1128+IF(WEEKDAY($A1128,2)=5,3,1))</f>
        <v/>
      </c>
      <c r="B1129">
        <f>IF($A1129&gt;$A1128,1,0)</f>
        <v/>
      </c>
      <c r="C1129" s="56">
        <f>IF($B1129=0,"",IF(Inputs!$B$6="","",IF($AD1129=0,C1128,SUMIFS(Data!$B$10:$B$3209,Data!$A$10:$A$3209,"&gt;="&amp;$A1129,Data!$A$10:$A$3209,"&lt;"&amp;$A1129+1)/$AD1129)))</f>
        <v/>
      </c>
      <c r="D1129" s="56">
        <f>IF($B1129=0,"",IF(Inputs!$B$7="","",IF($AE1129=0,D1128,SUMIFS(Data!$F$10:$F$3209,Data!$E$10:$E$3209,"&gt;="&amp;$A1129,Data!$E$10:$E$3209,"&lt;"&amp;$A1129+1)/$AE1129)))</f>
        <v/>
      </c>
      <c r="E1129" s="56">
        <f>IF($B1129=0,"",IF(Inputs!$B$8="","",IF($AF1129=0,E1128,SUMIFS(Data!$J$10:$J$3209,Data!$I$10:$I$3209,"&gt;="&amp;$A1129,Data!$I$10:$I$3209,"&lt;"&amp;$A1129+1)/$AF1129)))</f>
        <v/>
      </c>
      <c r="F1129" s="56">
        <f>IF($B1129=0,"",IF(Inputs!$B$9="","",IF($AG1129=0,F1128,SUMIFS(Data!$N$10:$N$3209,Data!$M$10:$M$3209,"&gt;="&amp;$A1129,Data!$M$10:$M$3209,"&lt;"&amp;$A1129+1)/$AG1129)))</f>
        <v/>
      </c>
      <c r="G1129" s="56">
        <f>IF($B1129=0,"",IF(Inputs!$B$10="","",IF($AH1129=0,G1128,SUMIFS(Data!$R$10:$R$3209,Data!$Q$10:$Q$3209,"&gt;="&amp;$A1129,Data!$Q$10:$Q$3209,"&lt;"&amp;$A1129+1)/$AH1129)))</f>
        <v/>
      </c>
      <c r="I1129" s="54">
        <f>IF($B1129=0,NA(),IF($C1129="",NA(),IF(C$8="",NA(),IF(N(C$8)=0,NA(),IF(Inputs!$C$17="Rebased to 100",$C1129/C$8*100,$C1129)))))</f>
        <v/>
      </c>
      <c r="J1129" s="54">
        <f>IF($B1129=0,NA(),IF($D1129="",NA(),IF(D$8="",NA(),IF(N(D$8)=0,NA(),IF(Inputs!$C$17="Rebased to 100",$D1129/D$8*100,$D1129)))))</f>
        <v/>
      </c>
      <c r="K1129" s="54">
        <f>IF($B1129=0,NA(),IF($E1129="",NA(),IF(E$8="",NA(),IF(N(E$8)=0,NA(),IF(Inputs!$C$17="Rebased to 100",$E1129/E$8*100,$E1129)))))</f>
        <v/>
      </c>
      <c r="L1129" s="54">
        <f>IF($B1129=0,NA(),IF($F1129="",NA(),IF(F$8="",NA(),IF(N(F$8)=0,NA(),IF(Inputs!$C$17="Rebased to 100",$F1129/F$8*100,$F1129)))))</f>
        <v/>
      </c>
      <c r="M1129" s="54">
        <f>IF($B1129=0,NA(),IF($G1129="",NA(),IF(G$8="",NA(),IF(N(G$8)=0,NA(),IF(Inputs!$C$17="Rebased to 100",$G1129/G$8*100,$G1129)))))</f>
        <v/>
      </c>
      <c r="N1129" s="54">
        <f>IF($B1129=0,NA(),IF(Inputs!$C$18&lt;&gt;"Yes",NA(),IF(COUNT(I1129,J1129,K1129,L1129,M1129)=0,NA(),MIN(I1129,J1129,K1129,L1129,M1129))))</f>
        <v/>
      </c>
      <c r="O1129" s="54">
        <f>IF($B1129=0,NA(),IF(Inputs!$B$24&lt;&gt;"Yes",NA(),Inputs!$D$24*Inputs!$C$35))</f>
        <v/>
      </c>
      <c r="P1129" s="54">
        <f>IF($B1129=0,NA(),IF(Inputs!$B$25&lt;&gt;"Yes",NA(),Inputs!$D$25*Inputs!$C$35))</f>
        <v/>
      </c>
      <c r="Q1129" s="54">
        <f>IF($B1129=0,NA(),IF(Inputs!$B$26&lt;&gt;"Yes",NA(),Inputs!$D$26*Inputs!$C$35))</f>
        <v/>
      </c>
      <c r="R1129" s="54">
        <f>IF($B1129=0,NA(),IF(Inputs!$B$27&lt;&gt;"Yes",NA(),Inputs!$D$27*Inputs!$C$35))</f>
        <v/>
      </c>
      <c r="S1129" s="54">
        <f>IF($B1129=0,NA(),IF(Inputs!$B$28&lt;&gt;"Yes",NA(),Inputs!$D$28*Inputs!$C$35))</f>
        <v/>
      </c>
      <c r="T1129" s="54">
        <f>IF($B1129=0,NA(),IF(Inputs!$B$29&lt;&gt;"Yes",NA(),Inputs!$D$29*Inputs!$C$35))</f>
        <v/>
      </c>
      <c r="AD1129">
        <f>IF($B1129=0,0,IF(Inputs!$B$6="",0,COUNTIFS(Data!$A$10:$A$3209,"&gt;="&amp;$A1129,Data!$A$10:$A$3209,"&lt;"&amp;$A1129+1)))</f>
        <v/>
      </c>
      <c r="AE1129">
        <f>IF($B1129=0,0,IF(Inputs!$B$7="",0,COUNTIFS(Data!$E$10:$E$3209,"&gt;="&amp;$A1129,Data!$E$10:$E$3209,"&lt;"&amp;$A1129+1)))</f>
        <v/>
      </c>
      <c r="AF1129">
        <f>IF($B1129=0,0,IF(Inputs!$B$8="",0,COUNTIFS(Data!$I$10:$I$3209,"&gt;="&amp;$A1129,Data!$I$10:$I$3209,"&lt;"&amp;$A1129+1)))</f>
        <v/>
      </c>
      <c r="AG1129">
        <f>IF($B1129=0,0,IF(Inputs!$B$9="",0,COUNTIFS(Data!$M$10:$M$3209,"&gt;="&amp;$A1129,Data!$M$10:$M$3209,"&lt;"&amp;$A1129+1)))</f>
        <v/>
      </c>
      <c r="AH1129">
        <f>IF($B1129=0,0,IF(Inputs!$B$10="",0,COUNTIFS(Data!$Q$10:$Q$3209,"&gt;="&amp;$A1129,Data!$Q$10:$Q$3209,"&lt;"&amp;$A1129+1)))</f>
        <v/>
      </c>
    </row>
    <row r="1130">
      <c r="A1130" s="55">
        <f>MIN(Inputs!$C$15,$A1129+IF(WEEKDAY($A1129,2)=5,3,1))</f>
        <v/>
      </c>
      <c r="B1130">
        <f>IF($A1130&gt;$A1129,1,0)</f>
        <v/>
      </c>
      <c r="C1130" s="56">
        <f>IF($B1130=0,"",IF(Inputs!$B$6="","",IF($AD1130=0,C1129,SUMIFS(Data!$B$10:$B$3209,Data!$A$10:$A$3209,"&gt;="&amp;$A1130,Data!$A$10:$A$3209,"&lt;"&amp;$A1130+1)/$AD1130)))</f>
        <v/>
      </c>
      <c r="D1130" s="56">
        <f>IF($B1130=0,"",IF(Inputs!$B$7="","",IF($AE1130=0,D1129,SUMIFS(Data!$F$10:$F$3209,Data!$E$10:$E$3209,"&gt;="&amp;$A1130,Data!$E$10:$E$3209,"&lt;"&amp;$A1130+1)/$AE1130)))</f>
        <v/>
      </c>
      <c r="E1130" s="56">
        <f>IF($B1130=0,"",IF(Inputs!$B$8="","",IF($AF1130=0,E1129,SUMIFS(Data!$J$10:$J$3209,Data!$I$10:$I$3209,"&gt;="&amp;$A1130,Data!$I$10:$I$3209,"&lt;"&amp;$A1130+1)/$AF1130)))</f>
        <v/>
      </c>
      <c r="F1130" s="56">
        <f>IF($B1130=0,"",IF(Inputs!$B$9="","",IF($AG1130=0,F1129,SUMIFS(Data!$N$10:$N$3209,Data!$M$10:$M$3209,"&gt;="&amp;$A1130,Data!$M$10:$M$3209,"&lt;"&amp;$A1130+1)/$AG1130)))</f>
        <v/>
      </c>
      <c r="G1130" s="56">
        <f>IF($B1130=0,"",IF(Inputs!$B$10="","",IF($AH1130=0,G1129,SUMIFS(Data!$R$10:$R$3209,Data!$Q$10:$Q$3209,"&gt;="&amp;$A1130,Data!$Q$10:$Q$3209,"&lt;"&amp;$A1130+1)/$AH1130)))</f>
        <v/>
      </c>
      <c r="I1130" s="54">
        <f>IF($B1130=0,NA(),IF($C1130="",NA(),IF(C$8="",NA(),IF(N(C$8)=0,NA(),IF(Inputs!$C$17="Rebased to 100",$C1130/C$8*100,$C1130)))))</f>
        <v/>
      </c>
      <c r="J1130" s="54">
        <f>IF($B1130=0,NA(),IF($D1130="",NA(),IF(D$8="",NA(),IF(N(D$8)=0,NA(),IF(Inputs!$C$17="Rebased to 100",$D1130/D$8*100,$D1130)))))</f>
        <v/>
      </c>
      <c r="K1130" s="54">
        <f>IF($B1130=0,NA(),IF($E1130="",NA(),IF(E$8="",NA(),IF(N(E$8)=0,NA(),IF(Inputs!$C$17="Rebased to 100",$E1130/E$8*100,$E1130)))))</f>
        <v/>
      </c>
      <c r="L1130" s="54">
        <f>IF($B1130=0,NA(),IF($F1130="",NA(),IF(F$8="",NA(),IF(N(F$8)=0,NA(),IF(Inputs!$C$17="Rebased to 100",$F1130/F$8*100,$F1130)))))</f>
        <v/>
      </c>
      <c r="M1130" s="54">
        <f>IF($B1130=0,NA(),IF($G1130="",NA(),IF(G$8="",NA(),IF(N(G$8)=0,NA(),IF(Inputs!$C$17="Rebased to 100",$G1130/G$8*100,$G1130)))))</f>
        <v/>
      </c>
      <c r="N1130" s="54">
        <f>IF($B1130=0,NA(),IF(Inputs!$C$18&lt;&gt;"Yes",NA(),IF(COUNT(I1130,J1130,K1130,L1130,M1130)=0,NA(),MIN(I1130,J1130,K1130,L1130,M1130))))</f>
        <v/>
      </c>
      <c r="O1130" s="54">
        <f>IF($B1130=0,NA(),IF(Inputs!$B$24&lt;&gt;"Yes",NA(),Inputs!$D$24*Inputs!$C$35))</f>
        <v/>
      </c>
      <c r="P1130" s="54">
        <f>IF($B1130=0,NA(),IF(Inputs!$B$25&lt;&gt;"Yes",NA(),Inputs!$D$25*Inputs!$C$35))</f>
        <v/>
      </c>
      <c r="Q1130" s="54">
        <f>IF($B1130=0,NA(),IF(Inputs!$B$26&lt;&gt;"Yes",NA(),Inputs!$D$26*Inputs!$C$35))</f>
        <v/>
      </c>
      <c r="R1130" s="54">
        <f>IF($B1130=0,NA(),IF(Inputs!$B$27&lt;&gt;"Yes",NA(),Inputs!$D$27*Inputs!$C$35))</f>
        <v/>
      </c>
      <c r="S1130" s="54">
        <f>IF($B1130=0,NA(),IF(Inputs!$B$28&lt;&gt;"Yes",NA(),Inputs!$D$28*Inputs!$C$35))</f>
        <v/>
      </c>
      <c r="T1130" s="54">
        <f>IF($B1130=0,NA(),IF(Inputs!$B$29&lt;&gt;"Yes",NA(),Inputs!$D$29*Inputs!$C$35))</f>
        <v/>
      </c>
      <c r="AD1130">
        <f>IF($B1130=0,0,IF(Inputs!$B$6="",0,COUNTIFS(Data!$A$10:$A$3209,"&gt;="&amp;$A1130,Data!$A$10:$A$3209,"&lt;"&amp;$A1130+1)))</f>
        <v/>
      </c>
      <c r="AE1130">
        <f>IF($B1130=0,0,IF(Inputs!$B$7="",0,COUNTIFS(Data!$E$10:$E$3209,"&gt;="&amp;$A1130,Data!$E$10:$E$3209,"&lt;"&amp;$A1130+1)))</f>
        <v/>
      </c>
      <c r="AF1130">
        <f>IF($B1130=0,0,IF(Inputs!$B$8="",0,COUNTIFS(Data!$I$10:$I$3209,"&gt;="&amp;$A1130,Data!$I$10:$I$3209,"&lt;"&amp;$A1130+1)))</f>
        <v/>
      </c>
      <c r="AG1130">
        <f>IF($B1130=0,0,IF(Inputs!$B$9="",0,COUNTIFS(Data!$M$10:$M$3209,"&gt;="&amp;$A1130,Data!$M$10:$M$3209,"&lt;"&amp;$A1130+1)))</f>
        <v/>
      </c>
      <c r="AH1130">
        <f>IF($B1130=0,0,IF(Inputs!$B$10="",0,COUNTIFS(Data!$Q$10:$Q$3209,"&gt;="&amp;$A1130,Data!$Q$10:$Q$3209,"&lt;"&amp;$A1130+1)))</f>
        <v/>
      </c>
    </row>
    <row r="1131">
      <c r="A1131" s="55">
        <f>MIN(Inputs!$C$15,$A1130+IF(WEEKDAY($A1130,2)=5,3,1))</f>
        <v/>
      </c>
      <c r="B1131">
        <f>IF($A1131&gt;$A1130,1,0)</f>
        <v/>
      </c>
      <c r="C1131" s="56">
        <f>IF($B1131=0,"",IF(Inputs!$B$6="","",IF($AD1131=0,C1130,SUMIFS(Data!$B$10:$B$3209,Data!$A$10:$A$3209,"&gt;="&amp;$A1131,Data!$A$10:$A$3209,"&lt;"&amp;$A1131+1)/$AD1131)))</f>
        <v/>
      </c>
      <c r="D1131" s="56">
        <f>IF($B1131=0,"",IF(Inputs!$B$7="","",IF($AE1131=0,D1130,SUMIFS(Data!$F$10:$F$3209,Data!$E$10:$E$3209,"&gt;="&amp;$A1131,Data!$E$10:$E$3209,"&lt;"&amp;$A1131+1)/$AE1131)))</f>
        <v/>
      </c>
      <c r="E1131" s="56">
        <f>IF($B1131=0,"",IF(Inputs!$B$8="","",IF($AF1131=0,E1130,SUMIFS(Data!$J$10:$J$3209,Data!$I$10:$I$3209,"&gt;="&amp;$A1131,Data!$I$10:$I$3209,"&lt;"&amp;$A1131+1)/$AF1131)))</f>
        <v/>
      </c>
      <c r="F1131" s="56">
        <f>IF($B1131=0,"",IF(Inputs!$B$9="","",IF($AG1131=0,F1130,SUMIFS(Data!$N$10:$N$3209,Data!$M$10:$M$3209,"&gt;="&amp;$A1131,Data!$M$10:$M$3209,"&lt;"&amp;$A1131+1)/$AG1131)))</f>
        <v/>
      </c>
      <c r="G1131" s="56">
        <f>IF($B1131=0,"",IF(Inputs!$B$10="","",IF($AH1131=0,G1130,SUMIFS(Data!$R$10:$R$3209,Data!$Q$10:$Q$3209,"&gt;="&amp;$A1131,Data!$Q$10:$Q$3209,"&lt;"&amp;$A1131+1)/$AH1131)))</f>
        <v/>
      </c>
      <c r="I1131" s="54">
        <f>IF($B1131=0,NA(),IF($C1131="",NA(),IF(C$8="",NA(),IF(N(C$8)=0,NA(),IF(Inputs!$C$17="Rebased to 100",$C1131/C$8*100,$C1131)))))</f>
        <v/>
      </c>
      <c r="J1131" s="54">
        <f>IF($B1131=0,NA(),IF($D1131="",NA(),IF(D$8="",NA(),IF(N(D$8)=0,NA(),IF(Inputs!$C$17="Rebased to 100",$D1131/D$8*100,$D1131)))))</f>
        <v/>
      </c>
      <c r="K1131" s="54">
        <f>IF($B1131=0,NA(),IF($E1131="",NA(),IF(E$8="",NA(),IF(N(E$8)=0,NA(),IF(Inputs!$C$17="Rebased to 100",$E1131/E$8*100,$E1131)))))</f>
        <v/>
      </c>
      <c r="L1131" s="54">
        <f>IF($B1131=0,NA(),IF($F1131="",NA(),IF(F$8="",NA(),IF(N(F$8)=0,NA(),IF(Inputs!$C$17="Rebased to 100",$F1131/F$8*100,$F1131)))))</f>
        <v/>
      </c>
      <c r="M1131" s="54">
        <f>IF($B1131=0,NA(),IF($G1131="",NA(),IF(G$8="",NA(),IF(N(G$8)=0,NA(),IF(Inputs!$C$17="Rebased to 100",$G1131/G$8*100,$G1131)))))</f>
        <v/>
      </c>
      <c r="N1131" s="54">
        <f>IF($B1131=0,NA(),IF(Inputs!$C$18&lt;&gt;"Yes",NA(),IF(COUNT(I1131,J1131,K1131,L1131,M1131)=0,NA(),MIN(I1131,J1131,K1131,L1131,M1131))))</f>
        <v/>
      </c>
      <c r="O1131" s="54">
        <f>IF($B1131=0,NA(),IF(Inputs!$B$24&lt;&gt;"Yes",NA(),Inputs!$D$24*Inputs!$C$35))</f>
        <v/>
      </c>
      <c r="P1131" s="54">
        <f>IF($B1131=0,NA(),IF(Inputs!$B$25&lt;&gt;"Yes",NA(),Inputs!$D$25*Inputs!$C$35))</f>
        <v/>
      </c>
      <c r="Q1131" s="54">
        <f>IF($B1131=0,NA(),IF(Inputs!$B$26&lt;&gt;"Yes",NA(),Inputs!$D$26*Inputs!$C$35))</f>
        <v/>
      </c>
      <c r="R1131" s="54">
        <f>IF($B1131=0,NA(),IF(Inputs!$B$27&lt;&gt;"Yes",NA(),Inputs!$D$27*Inputs!$C$35))</f>
        <v/>
      </c>
      <c r="S1131" s="54">
        <f>IF($B1131=0,NA(),IF(Inputs!$B$28&lt;&gt;"Yes",NA(),Inputs!$D$28*Inputs!$C$35))</f>
        <v/>
      </c>
      <c r="T1131" s="54">
        <f>IF($B1131=0,NA(),IF(Inputs!$B$29&lt;&gt;"Yes",NA(),Inputs!$D$29*Inputs!$C$35))</f>
        <v/>
      </c>
      <c r="AD1131">
        <f>IF($B1131=0,0,IF(Inputs!$B$6="",0,COUNTIFS(Data!$A$10:$A$3209,"&gt;="&amp;$A1131,Data!$A$10:$A$3209,"&lt;"&amp;$A1131+1)))</f>
        <v/>
      </c>
      <c r="AE1131">
        <f>IF($B1131=0,0,IF(Inputs!$B$7="",0,COUNTIFS(Data!$E$10:$E$3209,"&gt;="&amp;$A1131,Data!$E$10:$E$3209,"&lt;"&amp;$A1131+1)))</f>
        <v/>
      </c>
      <c r="AF1131">
        <f>IF($B1131=0,0,IF(Inputs!$B$8="",0,COUNTIFS(Data!$I$10:$I$3209,"&gt;="&amp;$A1131,Data!$I$10:$I$3209,"&lt;"&amp;$A1131+1)))</f>
        <v/>
      </c>
      <c r="AG1131">
        <f>IF($B1131=0,0,IF(Inputs!$B$9="",0,COUNTIFS(Data!$M$10:$M$3209,"&gt;="&amp;$A1131,Data!$M$10:$M$3209,"&lt;"&amp;$A1131+1)))</f>
        <v/>
      </c>
      <c r="AH1131">
        <f>IF($B1131=0,0,IF(Inputs!$B$10="",0,COUNTIFS(Data!$Q$10:$Q$3209,"&gt;="&amp;$A1131,Data!$Q$10:$Q$3209,"&lt;"&amp;$A1131+1)))</f>
        <v/>
      </c>
    </row>
    <row r="1132">
      <c r="A1132" s="55">
        <f>MIN(Inputs!$C$15,$A1131+IF(WEEKDAY($A1131,2)=5,3,1))</f>
        <v/>
      </c>
      <c r="B1132">
        <f>IF($A1132&gt;$A1131,1,0)</f>
        <v/>
      </c>
      <c r="C1132" s="56">
        <f>IF($B1132=0,"",IF(Inputs!$B$6="","",IF($AD1132=0,C1131,SUMIFS(Data!$B$10:$B$3209,Data!$A$10:$A$3209,"&gt;="&amp;$A1132,Data!$A$10:$A$3209,"&lt;"&amp;$A1132+1)/$AD1132)))</f>
        <v/>
      </c>
      <c r="D1132" s="56">
        <f>IF($B1132=0,"",IF(Inputs!$B$7="","",IF($AE1132=0,D1131,SUMIFS(Data!$F$10:$F$3209,Data!$E$10:$E$3209,"&gt;="&amp;$A1132,Data!$E$10:$E$3209,"&lt;"&amp;$A1132+1)/$AE1132)))</f>
        <v/>
      </c>
      <c r="E1132" s="56">
        <f>IF($B1132=0,"",IF(Inputs!$B$8="","",IF($AF1132=0,E1131,SUMIFS(Data!$J$10:$J$3209,Data!$I$10:$I$3209,"&gt;="&amp;$A1132,Data!$I$10:$I$3209,"&lt;"&amp;$A1132+1)/$AF1132)))</f>
        <v/>
      </c>
      <c r="F1132" s="56">
        <f>IF($B1132=0,"",IF(Inputs!$B$9="","",IF($AG1132=0,F1131,SUMIFS(Data!$N$10:$N$3209,Data!$M$10:$M$3209,"&gt;="&amp;$A1132,Data!$M$10:$M$3209,"&lt;"&amp;$A1132+1)/$AG1132)))</f>
        <v/>
      </c>
      <c r="G1132" s="56">
        <f>IF($B1132=0,"",IF(Inputs!$B$10="","",IF($AH1132=0,G1131,SUMIFS(Data!$R$10:$R$3209,Data!$Q$10:$Q$3209,"&gt;="&amp;$A1132,Data!$Q$10:$Q$3209,"&lt;"&amp;$A1132+1)/$AH1132)))</f>
        <v/>
      </c>
      <c r="I1132" s="54">
        <f>IF($B1132=0,NA(),IF($C1132="",NA(),IF(C$8="",NA(),IF(N(C$8)=0,NA(),IF(Inputs!$C$17="Rebased to 100",$C1132/C$8*100,$C1132)))))</f>
        <v/>
      </c>
      <c r="J1132" s="54">
        <f>IF($B1132=0,NA(),IF($D1132="",NA(),IF(D$8="",NA(),IF(N(D$8)=0,NA(),IF(Inputs!$C$17="Rebased to 100",$D1132/D$8*100,$D1132)))))</f>
        <v/>
      </c>
      <c r="K1132" s="54">
        <f>IF($B1132=0,NA(),IF($E1132="",NA(),IF(E$8="",NA(),IF(N(E$8)=0,NA(),IF(Inputs!$C$17="Rebased to 100",$E1132/E$8*100,$E1132)))))</f>
        <v/>
      </c>
      <c r="L1132" s="54">
        <f>IF($B1132=0,NA(),IF($F1132="",NA(),IF(F$8="",NA(),IF(N(F$8)=0,NA(),IF(Inputs!$C$17="Rebased to 100",$F1132/F$8*100,$F1132)))))</f>
        <v/>
      </c>
      <c r="M1132" s="54">
        <f>IF($B1132=0,NA(),IF($G1132="",NA(),IF(G$8="",NA(),IF(N(G$8)=0,NA(),IF(Inputs!$C$17="Rebased to 100",$G1132/G$8*100,$G1132)))))</f>
        <v/>
      </c>
      <c r="N1132" s="54">
        <f>IF($B1132=0,NA(),IF(Inputs!$C$18&lt;&gt;"Yes",NA(),IF(COUNT(I1132,J1132,K1132,L1132,M1132)=0,NA(),MIN(I1132,J1132,K1132,L1132,M1132))))</f>
        <v/>
      </c>
      <c r="O1132" s="54">
        <f>IF($B1132=0,NA(),IF(Inputs!$B$24&lt;&gt;"Yes",NA(),Inputs!$D$24*Inputs!$C$35))</f>
        <v/>
      </c>
      <c r="P1132" s="54">
        <f>IF($B1132=0,NA(),IF(Inputs!$B$25&lt;&gt;"Yes",NA(),Inputs!$D$25*Inputs!$C$35))</f>
        <v/>
      </c>
      <c r="Q1132" s="54">
        <f>IF($B1132=0,NA(),IF(Inputs!$B$26&lt;&gt;"Yes",NA(),Inputs!$D$26*Inputs!$C$35))</f>
        <v/>
      </c>
      <c r="R1132" s="54">
        <f>IF($B1132=0,NA(),IF(Inputs!$B$27&lt;&gt;"Yes",NA(),Inputs!$D$27*Inputs!$C$35))</f>
        <v/>
      </c>
      <c r="S1132" s="54">
        <f>IF($B1132=0,NA(),IF(Inputs!$B$28&lt;&gt;"Yes",NA(),Inputs!$D$28*Inputs!$C$35))</f>
        <v/>
      </c>
      <c r="T1132" s="54">
        <f>IF($B1132=0,NA(),IF(Inputs!$B$29&lt;&gt;"Yes",NA(),Inputs!$D$29*Inputs!$C$35))</f>
        <v/>
      </c>
      <c r="AD1132">
        <f>IF($B1132=0,0,IF(Inputs!$B$6="",0,COUNTIFS(Data!$A$10:$A$3209,"&gt;="&amp;$A1132,Data!$A$10:$A$3209,"&lt;"&amp;$A1132+1)))</f>
        <v/>
      </c>
      <c r="AE1132">
        <f>IF($B1132=0,0,IF(Inputs!$B$7="",0,COUNTIFS(Data!$E$10:$E$3209,"&gt;="&amp;$A1132,Data!$E$10:$E$3209,"&lt;"&amp;$A1132+1)))</f>
        <v/>
      </c>
      <c r="AF1132">
        <f>IF($B1132=0,0,IF(Inputs!$B$8="",0,COUNTIFS(Data!$I$10:$I$3209,"&gt;="&amp;$A1132,Data!$I$10:$I$3209,"&lt;"&amp;$A1132+1)))</f>
        <v/>
      </c>
      <c r="AG1132">
        <f>IF($B1132=0,0,IF(Inputs!$B$9="",0,COUNTIFS(Data!$M$10:$M$3209,"&gt;="&amp;$A1132,Data!$M$10:$M$3209,"&lt;"&amp;$A1132+1)))</f>
        <v/>
      </c>
      <c r="AH1132">
        <f>IF($B1132=0,0,IF(Inputs!$B$10="",0,COUNTIFS(Data!$Q$10:$Q$3209,"&gt;="&amp;$A1132,Data!$Q$10:$Q$3209,"&lt;"&amp;$A1132+1)))</f>
        <v/>
      </c>
    </row>
    <row r="1133">
      <c r="A1133" s="55">
        <f>MIN(Inputs!$C$15,$A1132+IF(WEEKDAY($A1132,2)=5,3,1))</f>
        <v/>
      </c>
      <c r="B1133">
        <f>IF($A1133&gt;$A1132,1,0)</f>
        <v/>
      </c>
      <c r="C1133" s="56">
        <f>IF($B1133=0,"",IF(Inputs!$B$6="","",IF($AD1133=0,C1132,SUMIFS(Data!$B$10:$B$3209,Data!$A$10:$A$3209,"&gt;="&amp;$A1133,Data!$A$10:$A$3209,"&lt;"&amp;$A1133+1)/$AD1133)))</f>
        <v/>
      </c>
      <c r="D1133" s="56">
        <f>IF($B1133=0,"",IF(Inputs!$B$7="","",IF($AE1133=0,D1132,SUMIFS(Data!$F$10:$F$3209,Data!$E$10:$E$3209,"&gt;="&amp;$A1133,Data!$E$10:$E$3209,"&lt;"&amp;$A1133+1)/$AE1133)))</f>
        <v/>
      </c>
      <c r="E1133" s="56">
        <f>IF($B1133=0,"",IF(Inputs!$B$8="","",IF($AF1133=0,E1132,SUMIFS(Data!$J$10:$J$3209,Data!$I$10:$I$3209,"&gt;="&amp;$A1133,Data!$I$10:$I$3209,"&lt;"&amp;$A1133+1)/$AF1133)))</f>
        <v/>
      </c>
      <c r="F1133" s="56">
        <f>IF($B1133=0,"",IF(Inputs!$B$9="","",IF($AG1133=0,F1132,SUMIFS(Data!$N$10:$N$3209,Data!$M$10:$M$3209,"&gt;="&amp;$A1133,Data!$M$10:$M$3209,"&lt;"&amp;$A1133+1)/$AG1133)))</f>
        <v/>
      </c>
      <c r="G1133" s="56">
        <f>IF($B1133=0,"",IF(Inputs!$B$10="","",IF($AH1133=0,G1132,SUMIFS(Data!$R$10:$R$3209,Data!$Q$10:$Q$3209,"&gt;="&amp;$A1133,Data!$Q$10:$Q$3209,"&lt;"&amp;$A1133+1)/$AH1133)))</f>
        <v/>
      </c>
      <c r="I1133" s="54">
        <f>IF($B1133=0,NA(),IF($C1133="",NA(),IF(C$8="",NA(),IF(N(C$8)=0,NA(),IF(Inputs!$C$17="Rebased to 100",$C1133/C$8*100,$C1133)))))</f>
        <v/>
      </c>
      <c r="J1133" s="54">
        <f>IF($B1133=0,NA(),IF($D1133="",NA(),IF(D$8="",NA(),IF(N(D$8)=0,NA(),IF(Inputs!$C$17="Rebased to 100",$D1133/D$8*100,$D1133)))))</f>
        <v/>
      </c>
      <c r="K1133" s="54">
        <f>IF($B1133=0,NA(),IF($E1133="",NA(),IF(E$8="",NA(),IF(N(E$8)=0,NA(),IF(Inputs!$C$17="Rebased to 100",$E1133/E$8*100,$E1133)))))</f>
        <v/>
      </c>
      <c r="L1133" s="54">
        <f>IF($B1133=0,NA(),IF($F1133="",NA(),IF(F$8="",NA(),IF(N(F$8)=0,NA(),IF(Inputs!$C$17="Rebased to 100",$F1133/F$8*100,$F1133)))))</f>
        <v/>
      </c>
      <c r="M1133" s="54">
        <f>IF($B1133=0,NA(),IF($G1133="",NA(),IF(G$8="",NA(),IF(N(G$8)=0,NA(),IF(Inputs!$C$17="Rebased to 100",$G1133/G$8*100,$G1133)))))</f>
        <v/>
      </c>
      <c r="N1133" s="54">
        <f>IF($B1133=0,NA(),IF(Inputs!$C$18&lt;&gt;"Yes",NA(),IF(COUNT(I1133,J1133,K1133,L1133,M1133)=0,NA(),MIN(I1133,J1133,K1133,L1133,M1133))))</f>
        <v/>
      </c>
      <c r="O1133" s="54">
        <f>IF($B1133=0,NA(),IF(Inputs!$B$24&lt;&gt;"Yes",NA(),Inputs!$D$24*Inputs!$C$35))</f>
        <v/>
      </c>
      <c r="P1133" s="54">
        <f>IF($B1133=0,NA(),IF(Inputs!$B$25&lt;&gt;"Yes",NA(),Inputs!$D$25*Inputs!$C$35))</f>
        <v/>
      </c>
      <c r="Q1133" s="54">
        <f>IF($B1133=0,NA(),IF(Inputs!$B$26&lt;&gt;"Yes",NA(),Inputs!$D$26*Inputs!$C$35))</f>
        <v/>
      </c>
      <c r="R1133" s="54">
        <f>IF($B1133=0,NA(),IF(Inputs!$B$27&lt;&gt;"Yes",NA(),Inputs!$D$27*Inputs!$C$35))</f>
        <v/>
      </c>
      <c r="S1133" s="54">
        <f>IF($B1133=0,NA(),IF(Inputs!$B$28&lt;&gt;"Yes",NA(),Inputs!$D$28*Inputs!$C$35))</f>
        <v/>
      </c>
      <c r="T1133" s="54">
        <f>IF($B1133=0,NA(),IF(Inputs!$B$29&lt;&gt;"Yes",NA(),Inputs!$D$29*Inputs!$C$35))</f>
        <v/>
      </c>
      <c r="AD1133">
        <f>IF($B1133=0,0,IF(Inputs!$B$6="",0,COUNTIFS(Data!$A$10:$A$3209,"&gt;="&amp;$A1133,Data!$A$10:$A$3209,"&lt;"&amp;$A1133+1)))</f>
        <v/>
      </c>
      <c r="AE1133">
        <f>IF($B1133=0,0,IF(Inputs!$B$7="",0,COUNTIFS(Data!$E$10:$E$3209,"&gt;="&amp;$A1133,Data!$E$10:$E$3209,"&lt;"&amp;$A1133+1)))</f>
        <v/>
      </c>
      <c r="AF1133">
        <f>IF($B1133=0,0,IF(Inputs!$B$8="",0,COUNTIFS(Data!$I$10:$I$3209,"&gt;="&amp;$A1133,Data!$I$10:$I$3209,"&lt;"&amp;$A1133+1)))</f>
        <v/>
      </c>
      <c r="AG1133">
        <f>IF($B1133=0,0,IF(Inputs!$B$9="",0,COUNTIFS(Data!$M$10:$M$3209,"&gt;="&amp;$A1133,Data!$M$10:$M$3209,"&lt;"&amp;$A1133+1)))</f>
        <v/>
      </c>
      <c r="AH1133">
        <f>IF($B1133=0,0,IF(Inputs!$B$10="",0,COUNTIFS(Data!$Q$10:$Q$3209,"&gt;="&amp;$A1133,Data!$Q$10:$Q$3209,"&lt;"&amp;$A1133+1)))</f>
        <v/>
      </c>
    </row>
    <row r="1134">
      <c r="A1134" s="55">
        <f>MIN(Inputs!$C$15,$A1133+IF(WEEKDAY($A1133,2)=5,3,1))</f>
        <v/>
      </c>
      <c r="B1134">
        <f>IF($A1134&gt;$A1133,1,0)</f>
        <v/>
      </c>
      <c r="C1134" s="56">
        <f>IF($B1134=0,"",IF(Inputs!$B$6="","",IF($AD1134=0,C1133,SUMIFS(Data!$B$10:$B$3209,Data!$A$10:$A$3209,"&gt;="&amp;$A1134,Data!$A$10:$A$3209,"&lt;"&amp;$A1134+1)/$AD1134)))</f>
        <v/>
      </c>
      <c r="D1134" s="56">
        <f>IF($B1134=0,"",IF(Inputs!$B$7="","",IF($AE1134=0,D1133,SUMIFS(Data!$F$10:$F$3209,Data!$E$10:$E$3209,"&gt;="&amp;$A1134,Data!$E$10:$E$3209,"&lt;"&amp;$A1134+1)/$AE1134)))</f>
        <v/>
      </c>
      <c r="E1134" s="56">
        <f>IF($B1134=0,"",IF(Inputs!$B$8="","",IF($AF1134=0,E1133,SUMIFS(Data!$J$10:$J$3209,Data!$I$10:$I$3209,"&gt;="&amp;$A1134,Data!$I$10:$I$3209,"&lt;"&amp;$A1134+1)/$AF1134)))</f>
        <v/>
      </c>
      <c r="F1134" s="56">
        <f>IF($B1134=0,"",IF(Inputs!$B$9="","",IF($AG1134=0,F1133,SUMIFS(Data!$N$10:$N$3209,Data!$M$10:$M$3209,"&gt;="&amp;$A1134,Data!$M$10:$M$3209,"&lt;"&amp;$A1134+1)/$AG1134)))</f>
        <v/>
      </c>
      <c r="G1134" s="56">
        <f>IF($B1134=0,"",IF(Inputs!$B$10="","",IF($AH1134=0,G1133,SUMIFS(Data!$R$10:$R$3209,Data!$Q$10:$Q$3209,"&gt;="&amp;$A1134,Data!$Q$10:$Q$3209,"&lt;"&amp;$A1134+1)/$AH1134)))</f>
        <v/>
      </c>
      <c r="I1134" s="54">
        <f>IF($B1134=0,NA(),IF($C1134="",NA(),IF(C$8="",NA(),IF(N(C$8)=0,NA(),IF(Inputs!$C$17="Rebased to 100",$C1134/C$8*100,$C1134)))))</f>
        <v/>
      </c>
      <c r="J1134" s="54">
        <f>IF($B1134=0,NA(),IF($D1134="",NA(),IF(D$8="",NA(),IF(N(D$8)=0,NA(),IF(Inputs!$C$17="Rebased to 100",$D1134/D$8*100,$D1134)))))</f>
        <v/>
      </c>
      <c r="K1134" s="54">
        <f>IF($B1134=0,NA(),IF($E1134="",NA(),IF(E$8="",NA(),IF(N(E$8)=0,NA(),IF(Inputs!$C$17="Rebased to 100",$E1134/E$8*100,$E1134)))))</f>
        <v/>
      </c>
      <c r="L1134" s="54">
        <f>IF($B1134=0,NA(),IF($F1134="",NA(),IF(F$8="",NA(),IF(N(F$8)=0,NA(),IF(Inputs!$C$17="Rebased to 100",$F1134/F$8*100,$F1134)))))</f>
        <v/>
      </c>
      <c r="M1134" s="54">
        <f>IF($B1134=0,NA(),IF($G1134="",NA(),IF(G$8="",NA(),IF(N(G$8)=0,NA(),IF(Inputs!$C$17="Rebased to 100",$G1134/G$8*100,$G1134)))))</f>
        <v/>
      </c>
      <c r="N1134" s="54">
        <f>IF($B1134=0,NA(),IF(Inputs!$C$18&lt;&gt;"Yes",NA(),IF(COUNT(I1134,J1134,K1134,L1134,M1134)=0,NA(),MIN(I1134,J1134,K1134,L1134,M1134))))</f>
        <v/>
      </c>
      <c r="O1134" s="54">
        <f>IF($B1134=0,NA(),IF(Inputs!$B$24&lt;&gt;"Yes",NA(),Inputs!$D$24*Inputs!$C$35))</f>
        <v/>
      </c>
      <c r="P1134" s="54">
        <f>IF($B1134=0,NA(),IF(Inputs!$B$25&lt;&gt;"Yes",NA(),Inputs!$D$25*Inputs!$C$35))</f>
        <v/>
      </c>
      <c r="Q1134" s="54">
        <f>IF($B1134=0,NA(),IF(Inputs!$B$26&lt;&gt;"Yes",NA(),Inputs!$D$26*Inputs!$C$35))</f>
        <v/>
      </c>
      <c r="R1134" s="54">
        <f>IF($B1134=0,NA(),IF(Inputs!$B$27&lt;&gt;"Yes",NA(),Inputs!$D$27*Inputs!$C$35))</f>
        <v/>
      </c>
      <c r="S1134" s="54">
        <f>IF($B1134=0,NA(),IF(Inputs!$B$28&lt;&gt;"Yes",NA(),Inputs!$D$28*Inputs!$C$35))</f>
        <v/>
      </c>
      <c r="T1134" s="54">
        <f>IF($B1134=0,NA(),IF(Inputs!$B$29&lt;&gt;"Yes",NA(),Inputs!$D$29*Inputs!$C$35))</f>
        <v/>
      </c>
      <c r="AD1134">
        <f>IF($B1134=0,0,IF(Inputs!$B$6="",0,COUNTIFS(Data!$A$10:$A$3209,"&gt;="&amp;$A1134,Data!$A$10:$A$3209,"&lt;"&amp;$A1134+1)))</f>
        <v/>
      </c>
      <c r="AE1134">
        <f>IF($B1134=0,0,IF(Inputs!$B$7="",0,COUNTIFS(Data!$E$10:$E$3209,"&gt;="&amp;$A1134,Data!$E$10:$E$3209,"&lt;"&amp;$A1134+1)))</f>
        <v/>
      </c>
      <c r="AF1134">
        <f>IF($B1134=0,0,IF(Inputs!$B$8="",0,COUNTIFS(Data!$I$10:$I$3209,"&gt;="&amp;$A1134,Data!$I$10:$I$3209,"&lt;"&amp;$A1134+1)))</f>
        <v/>
      </c>
      <c r="AG1134">
        <f>IF($B1134=0,0,IF(Inputs!$B$9="",0,COUNTIFS(Data!$M$10:$M$3209,"&gt;="&amp;$A1134,Data!$M$10:$M$3209,"&lt;"&amp;$A1134+1)))</f>
        <v/>
      </c>
      <c r="AH1134">
        <f>IF($B1134=0,0,IF(Inputs!$B$10="",0,COUNTIFS(Data!$Q$10:$Q$3209,"&gt;="&amp;$A1134,Data!$Q$10:$Q$3209,"&lt;"&amp;$A1134+1)))</f>
        <v/>
      </c>
    </row>
    <row r="1135">
      <c r="A1135" s="55">
        <f>MIN(Inputs!$C$15,$A1134+IF(WEEKDAY($A1134,2)=5,3,1))</f>
        <v/>
      </c>
      <c r="B1135">
        <f>IF($A1135&gt;$A1134,1,0)</f>
        <v/>
      </c>
      <c r="C1135" s="56">
        <f>IF($B1135=0,"",IF(Inputs!$B$6="","",IF($AD1135=0,C1134,SUMIFS(Data!$B$10:$B$3209,Data!$A$10:$A$3209,"&gt;="&amp;$A1135,Data!$A$10:$A$3209,"&lt;"&amp;$A1135+1)/$AD1135)))</f>
        <v/>
      </c>
      <c r="D1135" s="56">
        <f>IF($B1135=0,"",IF(Inputs!$B$7="","",IF($AE1135=0,D1134,SUMIFS(Data!$F$10:$F$3209,Data!$E$10:$E$3209,"&gt;="&amp;$A1135,Data!$E$10:$E$3209,"&lt;"&amp;$A1135+1)/$AE1135)))</f>
        <v/>
      </c>
      <c r="E1135" s="56">
        <f>IF($B1135=0,"",IF(Inputs!$B$8="","",IF($AF1135=0,E1134,SUMIFS(Data!$J$10:$J$3209,Data!$I$10:$I$3209,"&gt;="&amp;$A1135,Data!$I$10:$I$3209,"&lt;"&amp;$A1135+1)/$AF1135)))</f>
        <v/>
      </c>
      <c r="F1135" s="56">
        <f>IF($B1135=0,"",IF(Inputs!$B$9="","",IF($AG1135=0,F1134,SUMIFS(Data!$N$10:$N$3209,Data!$M$10:$M$3209,"&gt;="&amp;$A1135,Data!$M$10:$M$3209,"&lt;"&amp;$A1135+1)/$AG1135)))</f>
        <v/>
      </c>
      <c r="G1135" s="56">
        <f>IF($B1135=0,"",IF(Inputs!$B$10="","",IF($AH1135=0,G1134,SUMIFS(Data!$R$10:$R$3209,Data!$Q$10:$Q$3209,"&gt;="&amp;$A1135,Data!$Q$10:$Q$3209,"&lt;"&amp;$A1135+1)/$AH1135)))</f>
        <v/>
      </c>
      <c r="I1135" s="54">
        <f>IF($B1135=0,NA(),IF($C1135="",NA(),IF(C$8="",NA(),IF(N(C$8)=0,NA(),IF(Inputs!$C$17="Rebased to 100",$C1135/C$8*100,$C1135)))))</f>
        <v/>
      </c>
      <c r="J1135" s="54">
        <f>IF($B1135=0,NA(),IF($D1135="",NA(),IF(D$8="",NA(),IF(N(D$8)=0,NA(),IF(Inputs!$C$17="Rebased to 100",$D1135/D$8*100,$D1135)))))</f>
        <v/>
      </c>
      <c r="K1135" s="54">
        <f>IF($B1135=0,NA(),IF($E1135="",NA(),IF(E$8="",NA(),IF(N(E$8)=0,NA(),IF(Inputs!$C$17="Rebased to 100",$E1135/E$8*100,$E1135)))))</f>
        <v/>
      </c>
      <c r="L1135" s="54">
        <f>IF($B1135=0,NA(),IF($F1135="",NA(),IF(F$8="",NA(),IF(N(F$8)=0,NA(),IF(Inputs!$C$17="Rebased to 100",$F1135/F$8*100,$F1135)))))</f>
        <v/>
      </c>
      <c r="M1135" s="54">
        <f>IF($B1135=0,NA(),IF($G1135="",NA(),IF(G$8="",NA(),IF(N(G$8)=0,NA(),IF(Inputs!$C$17="Rebased to 100",$G1135/G$8*100,$G1135)))))</f>
        <v/>
      </c>
      <c r="N1135" s="54">
        <f>IF($B1135=0,NA(),IF(Inputs!$C$18&lt;&gt;"Yes",NA(),IF(COUNT(I1135,J1135,K1135,L1135,M1135)=0,NA(),MIN(I1135,J1135,K1135,L1135,M1135))))</f>
        <v/>
      </c>
      <c r="O1135" s="54">
        <f>IF($B1135=0,NA(),IF(Inputs!$B$24&lt;&gt;"Yes",NA(),Inputs!$D$24*Inputs!$C$35))</f>
        <v/>
      </c>
      <c r="P1135" s="54">
        <f>IF($B1135=0,NA(),IF(Inputs!$B$25&lt;&gt;"Yes",NA(),Inputs!$D$25*Inputs!$C$35))</f>
        <v/>
      </c>
      <c r="Q1135" s="54">
        <f>IF($B1135=0,NA(),IF(Inputs!$B$26&lt;&gt;"Yes",NA(),Inputs!$D$26*Inputs!$C$35))</f>
        <v/>
      </c>
      <c r="R1135" s="54">
        <f>IF($B1135=0,NA(),IF(Inputs!$B$27&lt;&gt;"Yes",NA(),Inputs!$D$27*Inputs!$C$35))</f>
        <v/>
      </c>
      <c r="S1135" s="54">
        <f>IF($B1135=0,NA(),IF(Inputs!$B$28&lt;&gt;"Yes",NA(),Inputs!$D$28*Inputs!$C$35))</f>
        <v/>
      </c>
      <c r="T1135" s="54">
        <f>IF($B1135=0,NA(),IF(Inputs!$B$29&lt;&gt;"Yes",NA(),Inputs!$D$29*Inputs!$C$35))</f>
        <v/>
      </c>
      <c r="AD1135">
        <f>IF($B1135=0,0,IF(Inputs!$B$6="",0,COUNTIFS(Data!$A$10:$A$3209,"&gt;="&amp;$A1135,Data!$A$10:$A$3209,"&lt;"&amp;$A1135+1)))</f>
        <v/>
      </c>
      <c r="AE1135">
        <f>IF($B1135=0,0,IF(Inputs!$B$7="",0,COUNTIFS(Data!$E$10:$E$3209,"&gt;="&amp;$A1135,Data!$E$10:$E$3209,"&lt;"&amp;$A1135+1)))</f>
        <v/>
      </c>
      <c r="AF1135">
        <f>IF($B1135=0,0,IF(Inputs!$B$8="",0,COUNTIFS(Data!$I$10:$I$3209,"&gt;="&amp;$A1135,Data!$I$10:$I$3209,"&lt;"&amp;$A1135+1)))</f>
        <v/>
      </c>
      <c r="AG1135">
        <f>IF($B1135=0,0,IF(Inputs!$B$9="",0,COUNTIFS(Data!$M$10:$M$3209,"&gt;="&amp;$A1135,Data!$M$10:$M$3209,"&lt;"&amp;$A1135+1)))</f>
        <v/>
      </c>
      <c r="AH1135">
        <f>IF($B1135=0,0,IF(Inputs!$B$10="",0,COUNTIFS(Data!$Q$10:$Q$3209,"&gt;="&amp;$A1135,Data!$Q$10:$Q$3209,"&lt;"&amp;$A1135+1)))</f>
        <v/>
      </c>
    </row>
    <row r="1136">
      <c r="A1136" s="55">
        <f>MIN(Inputs!$C$15,$A1135+IF(WEEKDAY($A1135,2)=5,3,1))</f>
        <v/>
      </c>
      <c r="B1136">
        <f>IF($A1136&gt;$A1135,1,0)</f>
        <v/>
      </c>
      <c r="C1136" s="56">
        <f>IF($B1136=0,"",IF(Inputs!$B$6="","",IF($AD1136=0,C1135,SUMIFS(Data!$B$10:$B$3209,Data!$A$10:$A$3209,"&gt;="&amp;$A1136,Data!$A$10:$A$3209,"&lt;"&amp;$A1136+1)/$AD1136)))</f>
        <v/>
      </c>
      <c r="D1136" s="56">
        <f>IF($B1136=0,"",IF(Inputs!$B$7="","",IF($AE1136=0,D1135,SUMIFS(Data!$F$10:$F$3209,Data!$E$10:$E$3209,"&gt;="&amp;$A1136,Data!$E$10:$E$3209,"&lt;"&amp;$A1136+1)/$AE1136)))</f>
        <v/>
      </c>
      <c r="E1136" s="56">
        <f>IF($B1136=0,"",IF(Inputs!$B$8="","",IF($AF1136=0,E1135,SUMIFS(Data!$J$10:$J$3209,Data!$I$10:$I$3209,"&gt;="&amp;$A1136,Data!$I$10:$I$3209,"&lt;"&amp;$A1136+1)/$AF1136)))</f>
        <v/>
      </c>
      <c r="F1136" s="56">
        <f>IF($B1136=0,"",IF(Inputs!$B$9="","",IF($AG1136=0,F1135,SUMIFS(Data!$N$10:$N$3209,Data!$M$10:$M$3209,"&gt;="&amp;$A1136,Data!$M$10:$M$3209,"&lt;"&amp;$A1136+1)/$AG1136)))</f>
        <v/>
      </c>
      <c r="G1136" s="56">
        <f>IF($B1136=0,"",IF(Inputs!$B$10="","",IF($AH1136=0,G1135,SUMIFS(Data!$R$10:$R$3209,Data!$Q$10:$Q$3209,"&gt;="&amp;$A1136,Data!$Q$10:$Q$3209,"&lt;"&amp;$A1136+1)/$AH1136)))</f>
        <v/>
      </c>
      <c r="I1136" s="54">
        <f>IF($B1136=0,NA(),IF($C1136="",NA(),IF(C$8="",NA(),IF(N(C$8)=0,NA(),IF(Inputs!$C$17="Rebased to 100",$C1136/C$8*100,$C1136)))))</f>
        <v/>
      </c>
      <c r="J1136" s="54">
        <f>IF($B1136=0,NA(),IF($D1136="",NA(),IF(D$8="",NA(),IF(N(D$8)=0,NA(),IF(Inputs!$C$17="Rebased to 100",$D1136/D$8*100,$D1136)))))</f>
        <v/>
      </c>
      <c r="K1136" s="54">
        <f>IF($B1136=0,NA(),IF($E1136="",NA(),IF(E$8="",NA(),IF(N(E$8)=0,NA(),IF(Inputs!$C$17="Rebased to 100",$E1136/E$8*100,$E1136)))))</f>
        <v/>
      </c>
      <c r="L1136" s="54">
        <f>IF($B1136=0,NA(),IF($F1136="",NA(),IF(F$8="",NA(),IF(N(F$8)=0,NA(),IF(Inputs!$C$17="Rebased to 100",$F1136/F$8*100,$F1136)))))</f>
        <v/>
      </c>
      <c r="M1136" s="54">
        <f>IF($B1136=0,NA(),IF($G1136="",NA(),IF(G$8="",NA(),IF(N(G$8)=0,NA(),IF(Inputs!$C$17="Rebased to 100",$G1136/G$8*100,$G1136)))))</f>
        <v/>
      </c>
      <c r="N1136" s="54">
        <f>IF($B1136=0,NA(),IF(Inputs!$C$18&lt;&gt;"Yes",NA(),IF(COUNT(I1136,J1136,K1136,L1136,M1136)=0,NA(),MIN(I1136,J1136,K1136,L1136,M1136))))</f>
        <v/>
      </c>
      <c r="O1136" s="54">
        <f>IF($B1136=0,NA(),IF(Inputs!$B$24&lt;&gt;"Yes",NA(),Inputs!$D$24*Inputs!$C$35))</f>
        <v/>
      </c>
      <c r="P1136" s="54">
        <f>IF($B1136=0,NA(),IF(Inputs!$B$25&lt;&gt;"Yes",NA(),Inputs!$D$25*Inputs!$C$35))</f>
        <v/>
      </c>
      <c r="Q1136" s="54">
        <f>IF($B1136=0,NA(),IF(Inputs!$B$26&lt;&gt;"Yes",NA(),Inputs!$D$26*Inputs!$C$35))</f>
        <v/>
      </c>
      <c r="R1136" s="54">
        <f>IF($B1136=0,NA(),IF(Inputs!$B$27&lt;&gt;"Yes",NA(),Inputs!$D$27*Inputs!$C$35))</f>
        <v/>
      </c>
      <c r="S1136" s="54">
        <f>IF($B1136=0,NA(),IF(Inputs!$B$28&lt;&gt;"Yes",NA(),Inputs!$D$28*Inputs!$C$35))</f>
        <v/>
      </c>
      <c r="T1136" s="54">
        <f>IF($B1136=0,NA(),IF(Inputs!$B$29&lt;&gt;"Yes",NA(),Inputs!$D$29*Inputs!$C$35))</f>
        <v/>
      </c>
      <c r="AD1136">
        <f>IF($B1136=0,0,IF(Inputs!$B$6="",0,COUNTIFS(Data!$A$10:$A$3209,"&gt;="&amp;$A1136,Data!$A$10:$A$3209,"&lt;"&amp;$A1136+1)))</f>
        <v/>
      </c>
      <c r="AE1136">
        <f>IF($B1136=0,0,IF(Inputs!$B$7="",0,COUNTIFS(Data!$E$10:$E$3209,"&gt;="&amp;$A1136,Data!$E$10:$E$3209,"&lt;"&amp;$A1136+1)))</f>
        <v/>
      </c>
      <c r="AF1136">
        <f>IF($B1136=0,0,IF(Inputs!$B$8="",0,COUNTIFS(Data!$I$10:$I$3209,"&gt;="&amp;$A1136,Data!$I$10:$I$3209,"&lt;"&amp;$A1136+1)))</f>
        <v/>
      </c>
      <c r="AG1136">
        <f>IF($B1136=0,0,IF(Inputs!$B$9="",0,COUNTIFS(Data!$M$10:$M$3209,"&gt;="&amp;$A1136,Data!$M$10:$M$3209,"&lt;"&amp;$A1136+1)))</f>
        <v/>
      </c>
      <c r="AH1136">
        <f>IF($B1136=0,0,IF(Inputs!$B$10="",0,COUNTIFS(Data!$Q$10:$Q$3209,"&gt;="&amp;$A1136,Data!$Q$10:$Q$3209,"&lt;"&amp;$A1136+1)))</f>
        <v/>
      </c>
    </row>
    <row r="1137">
      <c r="A1137" s="55">
        <f>MIN(Inputs!$C$15,$A1136+IF(WEEKDAY($A1136,2)=5,3,1))</f>
        <v/>
      </c>
      <c r="B1137">
        <f>IF($A1137&gt;$A1136,1,0)</f>
        <v/>
      </c>
      <c r="C1137" s="56">
        <f>IF($B1137=0,"",IF(Inputs!$B$6="","",IF($AD1137=0,C1136,SUMIFS(Data!$B$10:$B$3209,Data!$A$10:$A$3209,"&gt;="&amp;$A1137,Data!$A$10:$A$3209,"&lt;"&amp;$A1137+1)/$AD1137)))</f>
        <v/>
      </c>
      <c r="D1137" s="56">
        <f>IF($B1137=0,"",IF(Inputs!$B$7="","",IF($AE1137=0,D1136,SUMIFS(Data!$F$10:$F$3209,Data!$E$10:$E$3209,"&gt;="&amp;$A1137,Data!$E$10:$E$3209,"&lt;"&amp;$A1137+1)/$AE1137)))</f>
        <v/>
      </c>
      <c r="E1137" s="56">
        <f>IF($B1137=0,"",IF(Inputs!$B$8="","",IF($AF1137=0,E1136,SUMIFS(Data!$J$10:$J$3209,Data!$I$10:$I$3209,"&gt;="&amp;$A1137,Data!$I$10:$I$3209,"&lt;"&amp;$A1137+1)/$AF1137)))</f>
        <v/>
      </c>
      <c r="F1137" s="56">
        <f>IF($B1137=0,"",IF(Inputs!$B$9="","",IF($AG1137=0,F1136,SUMIFS(Data!$N$10:$N$3209,Data!$M$10:$M$3209,"&gt;="&amp;$A1137,Data!$M$10:$M$3209,"&lt;"&amp;$A1137+1)/$AG1137)))</f>
        <v/>
      </c>
      <c r="G1137" s="56">
        <f>IF($B1137=0,"",IF(Inputs!$B$10="","",IF($AH1137=0,G1136,SUMIFS(Data!$R$10:$R$3209,Data!$Q$10:$Q$3209,"&gt;="&amp;$A1137,Data!$Q$10:$Q$3209,"&lt;"&amp;$A1137+1)/$AH1137)))</f>
        <v/>
      </c>
      <c r="I1137" s="54">
        <f>IF($B1137=0,NA(),IF($C1137="",NA(),IF(C$8="",NA(),IF(N(C$8)=0,NA(),IF(Inputs!$C$17="Rebased to 100",$C1137/C$8*100,$C1137)))))</f>
        <v/>
      </c>
      <c r="J1137" s="54">
        <f>IF($B1137=0,NA(),IF($D1137="",NA(),IF(D$8="",NA(),IF(N(D$8)=0,NA(),IF(Inputs!$C$17="Rebased to 100",$D1137/D$8*100,$D1137)))))</f>
        <v/>
      </c>
      <c r="K1137" s="54">
        <f>IF($B1137=0,NA(),IF($E1137="",NA(),IF(E$8="",NA(),IF(N(E$8)=0,NA(),IF(Inputs!$C$17="Rebased to 100",$E1137/E$8*100,$E1137)))))</f>
        <v/>
      </c>
      <c r="L1137" s="54">
        <f>IF($B1137=0,NA(),IF($F1137="",NA(),IF(F$8="",NA(),IF(N(F$8)=0,NA(),IF(Inputs!$C$17="Rebased to 100",$F1137/F$8*100,$F1137)))))</f>
        <v/>
      </c>
      <c r="M1137" s="54">
        <f>IF($B1137=0,NA(),IF($G1137="",NA(),IF(G$8="",NA(),IF(N(G$8)=0,NA(),IF(Inputs!$C$17="Rebased to 100",$G1137/G$8*100,$G1137)))))</f>
        <v/>
      </c>
      <c r="N1137" s="54">
        <f>IF($B1137=0,NA(),IF(Inputs!$C$18&lt;&gt;"Yes",NA(),IF(COUNT(I1137,J1137,K1137,L1137,M1137)=0,NA(),MIN(I1137,J1137,K1137,L1137,M1137))))</f>
        <v/>
      </c>
      <c r="O1137" s="54">
        <f>IF($B1137=0,NA(),IF(Inputs!$B$24&lt;&gt;"Yes",NA(),Inputs!$D$24*Inputs!$C$35))</f>
        <v/>
      </c>
      <c r="P1137" s="54">
        <f>IF($B1137=0,NA(),IF(Inputs!$B$25&lt;&gt;"Yes",NA(),Inputs!$D$25*Inputs!$C$35))</f>
        <v/>
      </c>
      <c r="Q1137" s="54">
        <f>IF($B1137=0,NA(),IF(Inputs!$B$26&lt;&gt;"Yes",NA(),Inputs!$D$26*Inputs!$C$35))</f>
        <v/>
      </c>
      <c r="R1137" s="54">
        <f>IF($B1137=0,NA(),IF(Inputs!$B$27&lt;&gt;"Yes",NA(),Inputs!$D$27*Inputs!$C$35))</f>
        <v/>
      </c>
      <c r="S1137" s="54">
        <f>IF($B1137=0,NA(),IF(Inputs!$B$28&lt;&gt;"Yes",NA(),Inputs!$D$28*Inputs!$C$35))</f>
        <v/>
      </c>
      <c r="T1137" s="54">
        <f>IF($B1137=0,NA(),IF(Inputs!$B$29&lt;&gt;"Yes",NA(),Inputs!$D$29*Inputs!$C$35))</f>
        <v/>
      </c>
      <c r="AD1137">
        <f>IF($B1137=0,0,IF(Inputs!$B$6="",0,COUNTIFS(Data!$A$10:$A$3209,"&gt;="&amp;$A1137,Data!$A$10:$A$3209,"&lt;"&amp;$A1137+1)))</f>
        <v/>
      </c>
      <c r="AE1137">
        <f>IF($B1137=0,0,IF(Inputs!$B$7="",0,COUNTIFS(Data!$E$10:$E$3209,"&gt;="&amp;$A1137,Data!$E$10:$E$3209,"&lt;"&amp;$A1137+1)))</f>
        <v/>
      </c>
      <c r="AF1137">
        <f>IF($B1137=0,0,IF(Inputs!$B$8="",0,COUNTIFS(Data!$I$10:$I$3209,"&gt;="&amp;$A1137,Data!$I$10:$I$3209,"&lt;"&amp;$A1137+1)))</f>
        <v/>
      </c>
      <c r="AG1137">
        <f>IF($B1137=0,0,IF(Inputs!$B$9="",0,COUNTIFS(Data!$M$10:$M$3209,"&gt;="&amp;$A1137,Data!$M$10:$M$3209,"&lt;"&amp;$A1137+1)))</f>
        <v/>
      </c>
      <c r="AH1137">
        <f>IF($B1137=0,0,IF(Inputs!$B$10="",0,COUNTIFS(Data!$Q$10:$Q$3209,"&gt;="&amp;$A1137,Data!$Q$10:$Q$3209,"&lt;"&amp;$A1137+1)))</f>
        <v/>
      </c>
    </row>
    <row r="1138">
      <c r="A1138" s="55">
        <f>MIN(Inputs!$C$15,$A1137+IF(WEEKDAY($A1137,2)=5,3,1))</f>
        <v/>
      </c>
      <c r="B1138">
        <f>IF($A1138&gt;$A1137,1,0)</f>
        <v/>
      </c>
      <c r="C1138" s="56">
        <f>IF($B1138=0,"",IF(Inputs!$B$6="","",IF($AD1138=0,C1137,SUMIFS(Data!$B$10:$B$3209,Data!$A$10:$A$3209,"&gt;="&amp;$A1138,Data!$A$10:$A$3209,"&lt;"&amp;$A1138+1)/$AD1138)))</f>
        <v/>
      </c>
      <c r="D1138" s="56">
        <f>IF($B1138=0,"",IF(Inputs!$B$7="","",IF($AE1138=0,D1137,SUMIFS(Data!$F$10:$F$3209,Data!$E$10:$E$3209,"&gt;="&amp;$A1138,Data!$E$10:$E$3209,"&lt;"&amp;$A1138+1)/$AE1138)))</f>
        <v/>
      </c>
      <c r="E1138" s="56">
        <f>IF($B1138=0,"",IF(Inputs!$B$8="","",IF($AF1138=0,E1137,SUMIFS(Data!$J$10:$J$3209,Data!$I$10:$I$3209,"&gt;="&amp;$A1138,Data!$I$10:$I$3209,"&lt;"&amp;$A1138+1)/$AF1138)))</f>
        <v/>
      </c>
      <c r="F1138" s="56">
        <f>IF($B1138=0,"",IF(Inputs!$B$9="","",IF($AG1138=0,F1137,SUMIFS(Data!$N$10:$N$3209,Data!$M$10:$M$3209,"&gt;="&amp;$A1138,Data!$M$10:$M$3209,"&lt;"&amp;$A1138+1)/$AG1138)))</f>
        <v/>
      </c>
      <c r="G1138" s="56">
        <f>IF($B1138=0,"",IF(Inputs!$B$10="","",IF($AH1138=0,G1137,SUMIFS(Data!$R$10:$R$3209,Data!$Q$10:$Q$3209,"&gt;="&amp;$A1138,Data!$Q$10:$Q$3209,"&lt;"&amp;$A1138+1)/$AH1138)))</f>
        <v/>
      </c>
      <c r="I1138" s="54">
        <f>IF($B1138=0,NA(),IF($C1138="",NA(),IF(C$8="",NA(),IF(N(C$8)=0,NA(),IF(Inputs!$C$17="Rebased to 100",$C1138/C$8*100,$C1138)))))</f>
        <v/>
      </c>
      <c r="J1138" s="54">
        <f>IF($B1138=0,NA(),IF($D1138="",NA(),IF(D$8="",NA(),IF(N(D$8)=0,NA(),IF(Inputs!$C$17="Rebased to 100",$D1138/D$8*100,$D1138)))))</f>
        <v/>
      </c>
      <c r="K1138" s="54">
        <f>IF($B1138=0,NA(),IF($E1138="",NA(),IF(E$8="",NA(),IF(N(E$8)=0,NA(),IF(Inputs!$C$17="Rebased to 100",$E1138/E$8*100,$E1138)))))</f>
        <v/>
      </c>
      <c r="L1138" s="54">
        <f>IF($B1138=0,NA(),IF($F1138="",NA(),IF(F$8="",NA(),IF(N(F$8)=0,NA(),IF(Inputs!$C$17="Rebased to 100",$F1138/F$8*100,$F1138)))))</f>
        <v/>
      </c>
      <c r="M1138" s="54">
        <f>IF($B1138=0,NA(),IF($G1138="",NA(),IF(G$8="",NA(),IF(N(G$8)=0,NA(),IF(Inputs!$C$17="Rebased to 100",$G1138/G$8*100,$G1138)))))</f>
        <v/>
      </c>
      <c r="N1138" s="54">
        <f>IF($B1138=0,NA(),IF(Inputs!$C$18&lt;&gt;"Yes",NA(),IF(COUNT(I1138,J1138,K1138,L1138,M1138)=0,NA(),MIN(I1138,J1138,K1138,L1138,M1138))))</f>
        <v/>
      </c>
      <c r="O1138" s="54">
        <f>IF($B1138=0,NA(),IF(Inputs!$B$24&lt;&gt;"Yes",NA(),Inputs!$D$24*Inputs!$C$35))</f>
        <v/>
      </c>
      <c r="P1138" s="54">
        <f>IF($B1138=0,NA(),IF(Inputs!$B$25&lt;&gt;"Yes",NA(),Inputs!$D$25*Inputs!$C$35))</f>
        <v/>
      </c>
      <c r="Q1138" s="54">
        <f>IF($B1138=0,NA(),IF(Inputs!$B$26&lt;&gt;"Yes",NA(),Inputs!$D$26*Inputs!$C$35))</f>
        <v/>
      </c>
      <c r="R1138" s="54">
        <f>IF($B1138=0,NA(),IF(Inputs!$B$27&lt;&gt;"Yes",NA(),Inputs!$D$27*Inputs!$C$35))</f>
        <v/>
      </c>
      <c r="S1138" s="54">
        <f>IF($B1138=0,NA(),IF(Inputs!$B$28&lt;&gt;"Yes",NA(),Inputs!$D$28*Inputs!$C$35))</f>
        <v/>
      </c>
      <c r="T1138" s="54">
        <f>IF($B1138=0,NA(),IF(Inputs!$B$29&lt;&gt;"Yes",NA(),Inputs!$D$29*Inputs!$C$35))</f>
        <v/>
      </c>
      <c r="AD1138">
        <f>IF($B1138=0,0,IF(Inputs!$B$6="",0,COUNTIFS(Data!$A$10:$A$3209,"&gt;="&amp;$A1138,Data!$A$10:$A$3209,"&lt;"&amp;$A1138+1)))</f>
        <v/>
      </c>
      <c r="AE1138">
        <f>IF($B1138=0,0,IF(Inputs!$B$7="",0,COUNTIFS(Data!$E$10:$E$3209,"&gt;="&amp;$A1138,Data!$E$10:$E$3209,"&lt;"&amp;$A1138+1)))</f>
        <v/>
      </c>
      <c r="AF1138">
        <f>IF($B1138=0,0,IF(Inputs!$B$8="",0,COUNTIFS(Data!$I$10:$I$3209,"&gt;="&amp;$A1138,Data!$I$10:$I$3209,"&lt;"&amp;$A1138+1)))</f>
        <v/>
      </c>
      <c r="AG1138">
        <f>IF($B1138=0,0,IF(Inputs!$B$9="",0,COUNTIFS(Data!$M$10:$M$3209,"&gt;="&amp;$A1138,Data!$M$10:$M$3209,"&lt;"&amp;$A1138+1)))</f>
        <v/>
      </c>
      <c r="AH1138">
        <f>IF($B1138=0,0,IF(Inputs!$B$10="",0,COUNTIFS(Data!$Q$10:$Q$3209,"&gt;="&amp;$A1138,Data!$Q$10:$Q$3209,"&lt;"&amp;$A1138+1)))</f>
        <v/>
      </c>
    </row>
    <row r="1139">
      <c r="A1139" s="55">
        <f>MIN(Inputs!$C$15,$A1138+IF(WEEKDAY($A1138,2)=5,3,1))</f>
        <v/>
      </c>
      <c r="B1139">
        <f>IF($A1139&gt;$A1138,1,0)</f>
        <v/>
      </c>
      <c r="C1139" s="56">
        <f>IF($B1139=0,"",IF(Inputs!$B$6="","",IF($AD1139=0,C1138,SUMIFS(Data!$B$10:$B$3209,Data!$A$10:$A$3209,"&gt;="&amp;$A1139,Data!$A$10:$A$3209,"&lt;"&amp;$A1139+1)/$AD1139)))</f>
        <v/>
      </c>
      <c r="D1139" s="56">
        <f>IF($B1139=0,"",IF(Inputs!$B$7="","",IF($AE1139=0,D1138,SUMIFS(Data!$F$10:$F$3209,Data!$E$10:$E$3209,"&gt;="&amp;$A1139,Data!$E$10:$E$3209,"&lt;"&amp;$A1139+1)/$AE1139)))</f>
        <v/>
      </c>
      <c r="E1139" s="56">
        <f>IF($B1139=0,"",IF(Inputs!$B$8="","",IF($AF1139=0,E1138,SUMIFS(Data!$J$10:$J$3209,Data!$I$10:$I$3209,"&gt;="&amp;$A1139,Data!$I$10:$I$3209,"&lt;"&amp;$A1139+1)/$AF1139)))</f>
        <v/>
      </c>
      <c r="F1139" s="56">
        <f>IF($B1139=0,"",IF(Inputs!$B$9="","",IF($AG1139=0,F1138,SUMIFS(Data!$N$10:$N$3209,Data!$M$10:$M$3209,"&gt;="&amp;$A1139,Data!$M$10:$M$3209,"&lt;"&amp;$A1139+1)/$AG1139)))</f>
        <v/>
      </c>
      <c r="G1139" s="56">
        <f>IF($B1139=0,"",IF(Inputs!$B$10="","",IF($AH1139=0,G1138,SUMIFS(Data!$R$10:$R$3209,Data!$Q$10:$Q$3209,"&gt;="&amp;$A1139,Data!$Q$10:$Q$3209,"&lt;"&amp;$A1139+1)/$AH1139)))</f>
        <v/>
      </c>
      <c r="I1139" s="54">
        <f>IF($B1139=0,NA(),IF($C1139="",NA(),IF(C$8="",NA(),IF(N(C$8)=0,NA(),IF(Inputs!$C$17="Rebased to 100",$C1139/C$8*100,$C1139)))))</f>
        <v/>
      </c>
      <c r="J1139" s="54">
        <f>IF($B1139=0,NA(),IF($D1139="",NA(),IF(D$8="",NA(),IF(N(D$8)=0,NA(),IF(Inputs!$C$17="Rebased to 100",$D1139/D$8*100,$D1139)))))</f>
        <v/>
      </c>
      <c r="K1139" s="54">
        <f>IF($B1139=0,NA(),IF($E1139="",NA(),IF(E$8="",NA(),IF(N(E$8)=0,NA(),IF(Inputs!$C$17="Rebased to 100",$E1139/E$8*100,$E1139)))))</f>
        <v/>
      </c>
      <c r="L1139" s="54">
        <f>IF($B1139=0,NA(),IF($F1139="",NA(),IF(F$8="",NA(),IF(N(F$8)=0,NA(),IF(Inputs!$C$17="Rebased to 100",$F1139/F$8*100,$F1139)))))</f>
        <v/>
      </c>
      <c r="M1139" s="54">
        <f>IF($B1139=0,NA(),IF($G1139="",NA(),IF(G$8="",NA(),IF(N(G$8)=0,NA(),IF(Inputs!$C$17="Rebased to 100",$G1139/G$8*100,$G1139)))))</f>
        <v/>
      </c>
      <c r="N1139" s="54">
        <f>IF($B1139=0,NA(),IF(Inputs!$C$18&lt;&gt;"Yes",NA(),IF(COUNT(I1139,J1139,K1139,L1139,M1139)=0,NA(),MIN(I1139,J1139,K1139,L1139,M1139))))</f>
        <v/>
      </c>
      <c r="O1139" s="54">
        <f>IF($B1139=0,NA(),IF(Inputs!$B$24&lt;&gt;"Yes",NA(),Inputs!$D$24*Inputs!$C$35))</f>
        <v/>
      </c>
      <c r="P1139" s="54">
        <f>IF($B1139=0,NA(),IF(Inputs!$B$25&lt;&gt;"Yes",NA(),Inputs!$D$25*Inputs!$C$35))</f>
        <v/>
      </c>
      <c r="Q1139" s="54">
        <f>IF($B1139=0,NA(),IF(Inputs!$B$26&lt;&gt;"Yes",NA(),Inputs!$D$26*Inputs!$C$35))</f>
        <v/>
      </c>
      <c r="R1139" s="54">
        <f>IF($B1139=0,NA(),IF(Inputs!$B$27&lt;&gt;"Yes",NA(),Inputs!$D$27*Inputs!$C$35))</f>
        <v/>
      </c>
      <c r="S1139" s="54">
        <f>IF($B1139=0,NA(),IF(Inputs!$B$28&lt;&gt;"Yes",NA(),Inputs!$D$28*Inputs!$C$35))</f>
        <v/>
      </c>
      <c r="T1139" s="54">
        <f>IF($B1139=0,NA(),IF(Inputs!$B$29&lt;&gt;"Yes",NA(),Inputs!$D$29*Inputs!$C$35))</f>
        <v/>
      </c>
      <c r="AD1139">
        <f>IF($B1139=0,0,IF(Inputs!$B$6="",0,COUNTIFS(Data!$A$10:$A$3209,"&gt;="&amp;$A1139,Data!$A$10:$A$3209,"&lt;"&amp;$A1139+1)))</f>
        <v/>
      </c>
      <c r="AE1139">
        <f>IF($B1139=0,0,IF(Inputs!$B$7="",0,COUNTIFS(Data!$E$10:$E$3209,"&gt;="&amp;$A1139,Data!$E$10:$E$3209,"&lt;"&amp;$A1139+1)))</f>
        <v/>
      </c>
      <c r="AF1139">
        <f>IF($B1139=0,0,IF(Inputs!$B$8="",0,COUNTIFS(Data!$I$10:$I$3209,"&gt;="&amp;$A1139,Data!$I$10:$I$3209,"&lt;"&amp;$A1139+1)))</f>
        <v/>
      </c>
      <c r="AG1139">
        <f>IF($B1139=0,0,IF(Inputs!$B$9="",0,COUNTIFS(Data!$M$10:$M$3209,"&gt;="&amp;$A1139,Data!$M$10:$M$3209,"&lt;"&amp;$A1139+1)))</f>
        <v/>
      </c>
      <c r="AH1139">
        <f>IF($B1139=0,0,IF(Inputs!$B$10="",0,COUNTIFS(Data!$Q$10:$Q$3209,"&gt;="&amp;$A1139,Data!$Q$10:$Q$3209,"&lt;"&amp;$A1139+1)))</f>
        <v/>
      </c>
    </row>
    <row r="1140">
      <c r="A1140" s="55">
        <f>MIN(Inputs!$C$15,$A1139+IF(WEEKDAY($A1139,2)=5,3,1))</f>
        <v/>
      </c>
      <c r="B1140">
        <f>IF($A1140&gt;$A1139,1,0)</f>
        <v/>
      </c>
      <c r="C1140" s="56">
        <f>IF($B1140=0,"",IF(Inputs!$B$6="","",IF($AD1140=0,C1139,SUMIFS(Data!$B$10:$B$3209,Data!$A$10:$A$3209,"&gt;="&amp;$A1140,Data!$A$10:$A$3209,"&lt;"&amp;$A1140+1)/$AD1140)))</f>
        <v/>
      </c>
      <c r="D1140" s="56">
        <f>IF($B1140=0,"",IF(Inputs!$B$7="","",IF($AE1140=0,D1139,SUMIFS(Data!$F$10:$F$3209,Data!$E$10:$E$3209,"&gt;="&amp;$A1140,Data!$E$10:$E$3209,"&lt;"&amp;$A1140+1)/$AE1140)))</f>
        <v/>
      </c>
      <c r="E1140" s="56">
        <f>IF($B1140=0,"",IF(Inputs!$B$8="","",IF($AF1140=0,E1139,SUMIFS(Data!$J$10:$J$3209,Data!$I$10:$I$3209,"&gt;="&amp;$A1140,Data!$I$10:$I$3209,"&lt;"&amp;$A1140+1)/$AF1140)))</f>
        <v/>
      </c>
      <c r="F1140" s="56">
        <f>IF($B1140=0,"",IF(Inputs!$B$9="","",IF($AG1140=0,F1139,SUMIFS(Data!$N$10:$N$3209,Data!$M$10:$M$3209,"&gt;="&amp;$A1140,Data!$M$10:$M$3209,"&lt;"&amp;$A1140+1)/$AG1140)))</f>
        <v/>
      </c>
      <c r="G1140" s="56">
        <f>IF($B1140=0,"",IF(Inputs!$B$10="","",IF($AH1140=0,G1139,SUMIFS(Data!$R$10:$R$3209,Data!$Q$10:$Q$3209,"&gt;="&amp;$A1140,Data!$Q$10:$Q$3209,"&lt;"&amp;$A1140+1)/$AH1140)))</f>
        <v/>
      </c>
      <c r="I1140" s="54">
        <f>IF($B1140=0,NA(),IF($C1140="",NA(),IF(C$8="",NA(),IF(N(C$8)=0,NA(),IF(Inputs!$C$17="Rebased to 100",$C1140/C$8*100,$C1140)))))</f>
        <v/>
      </c>
      <c r="J1140" s="54">
        <f>IF($B1140=0,NA(),IF($D1140="",NA(),IF(D$8="",NA(),IF(N(D$8)=0,NA(),IF(Inputs!$C$17="Rebased to 100",$D1140/D$8*100,$D1140)))))</f>
        <v/>
      </c>
      <c r="K1140" s="54">
        <f>IF($B1140=0,NA(),IF($E1140="",NA(),IF(E$8="",NA(),IF(N(E$8)=0,NA(),IF(Inputs!$C$17="Rebased to 100",$E1140/E$8*100,$E1140)))))</f>
        <v/>
      </c>
      <c r="L1140" s="54">
        <f>IF($B1140=0,NA(),IF($F1140="",NA(),IF(F$8="",NA(),IF(N(F$8)=0,NA(),IF(Inputs!$C$17="Rebased to 100",$F1140/F$8*100,$F1140)))))</f>
        <v/>
      </c>
      <c r="M1140" s="54">
        <f>IF($B1140=0,NA(),IF($G1140="",NA(),IF(G$8="",NA(),IF(N(G$8)=0,NA(),IF(Inputs!$C$17="Rebased to 100",$G1140/G$8*100,$G1140)))))</f>
        <v/>
      </c>
      <c r="N1140" s="54">
        <f>IF($B1140=0,NA(),IF(Inputs!$C$18&lt;&gt;"Yes",NA(),IF(COUNT(I1140,J1140,K1140,L1140,M1140)=0,NA(),MIN(I1140,J1140,K1140,L1140,M1140))))</f>
        <v/>
      </c>
      <c r="O1140" s="54">
        <f>IF($B1140=0,NA(),IF(Inputs!$B$24&lt;&gt;"Yes",NA(),Inputs!$D$24*Inputs!$C$35))</f>
        <v/>
      </c>
      <c r="P1140" s="54">
        <f>IF($B1140=0,NA(),IF(Inputs!$B$25&lt;&gt;"Yes",NA(),Inputs!$D$25*Inputs!$C$35))</f>
        <v/>
      </c>
      <c r="Q1140" s="54">
        <f>IF($B1140=0,NA(),IF(Inputs!$B$26&lt;&gt;"Yes",NA(),Inputs!$D$26*Inputs!$C$35))</f>
        <v/>
      </c>
      <c r="R1140" s="54">
        <f>IF($B1140=0,NA(),IF(Inputs!$B$27&lt;&gt;"Yes",NA(),Inputs!$D$27*Inputs!$C$35))</f>
        <v/>
      </c>
      <c r="S1140" s="54">
        <f>IF($B1140=0,NA(),IF(Inputs!$B$28&lt;&gt;"Yes",NA(),Inputs!$D$28*Inputs!$C$35))</f>
        <v/>
      </c>
      <c r="T1140" s="54">
        <f>IF($B1140=0,NA(),IF(Inputs!$B$29&lt;&gt;"Yes",NA(),Inputs!$D$29*Inputs!$C$35))</f>
        <v/>
      </c>
      <c r="AD1140">
        <f>IF($B1140=0,0,IF(Inputs!$B$6="",0,COUNTIFS(Data!$A$10:$A$3209,"&gt;="&amp;$A1140,Data!$A$10:$A$3209,"&lt;"&amp;$A1140+1)))</f>
        <v/>
      </c>
      <c r="AE1140">
        <f>IF($B1140=0,0,IF(Inputs!$B$7="",0,COUNTIFS(Data!$E$10:$E$3209,"&gt;="&amp;$A1140,Data!$E$10:$E$3209,"&lt;"&amp;$A1140+1)))</f>
        <v/>
      </c>
      <c r="AF1140">
        <f>IF($B1140=0,0,IF(Inputs!$B$8="",0,COUNTIFS(Data!$I$10:$I$3209,"&gt;="&amp;$A1140,Data!$I$10:$I$3209,"&lt;"&amp;$A1140+1)))</f>
        <v/>
      </c>
      <c r="AG1140">
        <f>IF($B1140=0,0,IF(Inputs!$B$9="",0,COUNTIFS(Data!$M$10:$M$3209,"&gt;="&amp;$A1140,Data!$M$10:$M$3209,"&lt;"&amp;$A1140+1)))</f>
        <v/>
      </c>
      <c r="AH1140">
        <f>IF($B1140=0,0,IF(Inputs!$B$10="",0,COUNTIFS(Data!$Q$10:$Q$3209,"&gt;="&amp;$A1140,Data!$Q$10:$Q$3209,"&lt;"&amp;$A1140+1)))</f>
        <v/>
      </c>
    </row>
    <row r="1141">
      <c r="A1141" s="55">
        <f>MIN(Inputs!$C$15,$A1140+IF(WEEKDAY($A1140,2)=5,3,1))</f>
        <v/>
      </c>
      <c r="B1141">
        <f>IF($A1141&gt;$A1140,1,0)</f>
        <v/>
      </c>
      <c r="C1141" s="56">
        <f>IF($B1141=0,"",IF(Inputs!$B$6="","",IF($AD1141=0,C1140,SUMIFS(Data!$B$10:$B$3209,Data!$A$10:$A$3209,"&gt;="&amp;$A1141,Data!$A$10:$A$3209,"&lt;"&amp;$A1141+1)/$AD1141)))</f>
        <v/>
      </c>
      <c r="D1141" s="56">
        <f>IF($B1141=0,"",IF(Inputs!$B$7="","",IF($AE1141=0,D1140,SUMIFS(Data!$F$10:$F$3209,Data!$E$10:$E$3209,"&gt;="&amp;$A1141,Data!$E$10:$E$3209,"&lt;"&amp;$A1141+1)/$AE1141)))</f>
        <v/>
      </c>
      <c r="E1141" s="56">
        <f>IF($B1141=0,"",IF(Inputs!$B$8="","",IF($AF1141=0,E1140,SUMIFS(Data!$J$10:$J$3209,Data!$I$10:$I$3209,"&gt;="&amp;$A1141,Data!$I$10:$I$3209,"&lt;"&amp;$A1141+1)/$AF1141)))</f>
        <v/>
      </c>
      <c r="F1141" s="56">
        <f>IF($B1141=0,"",IF(Inputs!$B$9="","",IF($AG1141=0,F1140,SUMIFS(Data!$N$10:$N$3209,Data!$M$10:$M$3209,"&gt;="&amp;$A1141,Data!$M$10:$M$3209,"&lt;"&amp;$A1141+1)/$AG1141)))</f>
        <v/>
      </c>
      <c r="G1141" s="56">
        <f>IF($B1141=0,"",IF(Inputs!$B$10="","",IF($AH1141=0,G1140,SUMIFS(Data!$R$10:$R$3209,Data!$Q$10:$Q$3209,"&gt;="&amp;$A1141,Data!$Q$10:$Q$3209,"&lt;"&amp;$A1141+1)/$AH1141)))</f>
        <v/>
      </c>
      <c r="I1141" s="54">
        <f>IF($B1141=0,NA(),IF($C1141="",NA(),IF(C$8="",NA(),IF(N(C$8)=0,NA(),IF(Inputs!$C$17="Rebased to 100",$C1141/C$8*100,$C1141)))))</f>
        <v/>
      </c>
      <c r="J1141" s="54">
        <f>IF($B1141=0,NA(),IF($D1141="",NA(),IF(D$8="",NA(),IF(N(D$8)=0,NA(),IF(Inputs!$C$17="Rebased to 100",$D1141/D$8*100,$D1141)))))</f>
        <v/>
      </c>
      <c r="K1141" s="54">
        <f>IF($B1141=0,NA(),IF($E1141="",NA(),IF(E$8="",NA(),IF(N(E$8)=0,NA(),IF(Inputs!$C$17="Rebased to 100",$E1141/E$8*100,$E1141)))))</f>
        <v/>
      </c>
      <c r="L1141" s="54">
        <f>IF($B1141=0,NA(),IF($F1141="",NA(),IF(F$8="",NA(),IF(N(F$8)=0,NA(),IF(Inputs!$C$17="Rebased to 100",$F1141/F$8*100,$F1141)))))</f>
        <v/>
      </c>
      <c r="M1141" s="54">
        <f>IF($B1141=0,NA(),IF($G1141="",NA(),IF(G$8="",NA(),IF(N(G$8)=0,NA(),IF(Inputs!$C$17="Rebased to 100",$G1141/G$8*100,$G1141)))))</f>
        <v/>
      </c>
      <c r="N1141" s="54">
        <f>IF($B1141=0,NA(),IF(Inputs!$C$18&lt;&gt;"Yes",NA(),IF(COUNT(I1141,J1141,K1141,L1141,M1141)=0,NA(),MIN(I1141,J1141,K1141,L1141,M1141))))</f>
        <v/>
      </c>
      <c r="O1141" s="54">
        <f>IF($B1141=0,NA(),IF(Inputs!$B$24&lt;&gt;"Yes",NA(),Inputs!$D$24*Inputs!$C$35))</f>
        <v/>
      </c>
      <c r="P1141" s="54">
        <f>IF($B1141=0,NA(),IF(Inputs!$B$25&lt;&gt;"Yes",NA(),Inputs!$D$25*Inputs!$C$35))</f>
        <v/>
      </c>
      <c r="Q1141" s="54">
        <f>IF($B1141=0,NA(),IF(Inputs!$B$26&lt;&gt;"Yes",NA(),Inputs!$D$26*Inputs!$C$35))</f>
        <v/>
      </c>
      <c r="R1141" s="54">
        <f>IF($B1141=0,NA(),IF(Inputs!$B$27&lt;&gt;"Yes",NA(),Inputs!$D$27*Inputs!$C$35))</f>
        <v/>
      </c>
      <c r="S1141" s="54">
        <f>IF($B1141=0,NA(),IF(Inputs!$B$28&lt;&gt;"Yes",NA(),Inputs!$D$28*Inputs!$C$35))</f>
        <v/>
      </c>
      <c r="T1141" s="54">
        <f>IF($B1141=0,NA(),IF(Inputs!$B$29&lt;&gt;"Yes",NA(),Inputs!$D$29*Inputs!$C$35))</f>
        <v/>
      </c>
      <c r="AD1141">
        <f>IF($B1141=0,0,IF(Inputs!$B$6="",0,COUNTIFS(Data!$A$10:$A$3209,"&gt;="&amp;$A1141,Data!$A$10:$A$3209,"&lt;"&amp;$A1141+1)))</f>
        <v/>
      </c>
      <c r="AE1141">
        <f>IF($B1141=0,0,IF(Inputs!$B$7="",0,COUNTIFS(Data!$E$10:$E$3209,"&gt;="&amp;$A1141,Data!$E$10:$E$3209,"&lt;"&amp;$A1141+1)))</f>
        <v/>
      </c>
      <c r="AF1141">
        <f>IF($B1141=0,0,IF(Inputs!$B$8="",0,COUNTIFS(Data!$I$10:$I$3209,"&gt;="&amp;$A1141,Data!$I$10:$I$3209,"&lt;"&amp;$A1141+1)))</f>
        <v/>
      </c>
      <c r="AG1141">
        <f>IF($B1141=0,0,IF(Inputs!$B$9="",0,COUNTIFS(Data!$M$10:$M$3209,"&gt;="&amp;$A1141,Data!$M$10:$M$3209,"&lt;"&amp;$A1141+1)))</f>
        <v/>
      </c>
      <c r="AH1141">
        <f>IF($B1141=0,0,IF(Inputs!$B$10="",0,COUNTIFS(Data!$Q$10:$Q$3209,"&gt;="&amp;$A1141,Data!$Q$10:$Q$3209,"&lt;"&amp;$A1141+1)))</f>
        <v/>
      </c>
    </row>
    <row r="1142">
      <c r="A1142" s="55">
        <f>MIN(Inputs!$C$15,$A1141+IF(WEEKDAY($A1141,2)=5,3,1))</f>
        <v/>
      </c>
      <c r="B1142">
        <f>IF($A1142&gt;$A1141,1,0)</f>
        <v/>
      </c>
      <c r="C1142" s="56">
        <f>IF($B1142=0,"",IF(Inputs!$B$6="","",IF($AD1142=0,C1141,SUMIFS(Data!$B$10:$B$3209,Data!$A$10:$A$3209,"&gt;="&amp;$A1142,Data!$A$10:$A$3209,"&lt;"&amp;$A1142+1)/$AD1142)))</f>
        <v/>
      </c>
      <c r="D1142" s="56">
        <f>IF($B1142=0,"",IF(Inputs!$B$7="","",IF($AE1142=0,D1141,SUMIFS(Data!$F$10:$F$3209,Data!$E$10:$E$3209,"&gt;="&amp;$A1142,Data!$E$10:$E$3209,"&lt;"&amp;$A1142+1)/$AE1142)))</f>
        <v/>
      </c>
      <c r="E1142" s="56">
        <f>IF($B1142=0,"",IF(Inputs!$B$8="","",IF($AF1142=0,E1141,SUMIFS(Data!$J$10:$J$3209,Data!$I$10:$I$3209,"&gt;="&amp;$A1142,Data!$I$10:$I$3209,"&lt;"&amp;$A1142+1)/$AF1142)))</f>
        <v/>
      </c>
      <c r="F1142" s="56">
        <f>IF($B1142=0,"",IF(Inputs!$B$9="","",IF($AG1142=0,F1141,SUMIFS(Data!$N$10:$N$3209,Data!$M$10:$M$3209,"&gt;="&amp;$A1142,Data!$M$10:$M$3209,"&lt;"&amp;$A1142+1)/$AG1142)))</f>
        <v/>
      </c>
      <c r="G1142" s="56">
        <f>IF($B1142=0,"",IF(Inputs!$B$10="","",IF($AH1142=0,G1141,SUMIFS(Data!$R$10:$R$3209,Data!$Q$10:$Q$3209,"&gt;="&amp;$A1142,Data!$Q$10:$Q$3209,"&lt;"&amp;$A1142+1)/$AH1142)))</f>
        <v/>
      </c>
      <c r="I1142" s="54">
        <f>IF($B1142=0,NA(),IF($C1142="",NA(),IF(C$8="",NA(),IF(N(C$8)=0,NA(),IF(Inputs!$C$17="Rebased to 100",$C1142/C$8*100,$C1142)))))</f>
        <v/>
      </c>
      <c r="J1142" s="54">
        <f>IF($B1142=0,NA(),IF($D1142="",NA(),IF(D$8="",NA(),IF(N(D$8)=0,NA(),IF(Inputs!$C$17="Rebased to 100",$D1142/D$8*100,$D1142)))))</f>
        <v/>
      </c>
      <c r="K1142" s="54">
        <f>IF($B1142=0,NA(),IF($E1142="",NA(),IF(E$8="",NA(),IF(N(E$8)=0,NA(),IF(Inputs!$C$17="Rebased to 100",$E1142/E$8*100,$E1142)))))</f>
        <v/>
      </c>
      <c r="L1142" s="54">
        <f>IF($B1142=0,NA(),IF($F1142="",NA(),IF(F$8="",NA(),IF(N(F$8)=0,NA(),IF(Inputs!$C$17="Rebased to 100",$F1142/F$8*100,$F1142)))))</f>
        <v/>
      </c>
      <c r="M1142" s="54">
        <f>IF($B1142=0,NA(),IF($G1142="",NA(),IF(G$8="",NA(),IF(N(G$8)=0,NA(),IF(Inputs!$C$17="Rebased to 100",$G1142/G$8*100,$G1142)))))</f>
        <v/>
      </c>
      <c r="N1142" s="54">
        <f>IF($B1142=0,NA(),IF(Inputs!$C$18&lt;&gt;"Yes",NA(),IF(COUNT(I1142,J1142,K1142,L1142,M1142)=0,NA(),MIN(I1142,J1142,K1142,L1142,M1142))))</f>
        <v/>
      </c>
      <c r="O1142" s="54">
        <f>IF($B1142=0,NA(),IF(Inputs!$B$24&lt;&gt;"Yes",NA(),Inputs!$D$24*Inputs!$C$35))</f>
        <v/>
      </c>
      <c r="P1142" s="54">
        <f>IF($B1142=0,NA(),IF(Inputs!$B$25&lt;&gt;"Yes",NA(),Inputs!$D$25*Inputs!$C$35))</f>
        <v/>
      </c>
      <c r="Q1142" s="54">
        <f>IF($B1142=0,NA(),IF(Inputs!$B$26&lt;&gt;"Yes",NA(),Inputs!$D$26*Inputs!$C$35))</f>
        <v/>
      </c>
      <c r="R1142" s="54">
        <f>IF($B1142=0,NA(),IF(Inputs!$B$27&lt;&gt;"Yes",NA(),Inputs!$D$27*Inputs!$C$35))</f>
        <v/>
      </c>
      <c r="S1142" s="54">
        <f>IF($B1142=0,NA(),IF(Inputs!$B$28&lt;&gt;"Yes",NA(),Inputs!$D$28*Inputs!$C$35))</f>
        <v/>
      </c>
      <c r="T1142" s="54">
        <f>IF($B1142=0,NA(),IF(Inputs!$B$29&lt;&gt;"Yes",NA(),Inputs!$D$29*Inputs!$C$35))</f>
        <v/>
      </c>
      <c r="AD1142">
        <f>IF($B1142=0,0,IF(Inputs!$B$6="",0,COUNTIFS(Data!$A$10:$A$3209,"&gt;="&amp;$A1142,Data!$A$10:$A$3209,"&lt;"&amp;$A1142+1)))</f>
        <v/>
      </c>
      <c r="AE1142">
        <f>IF($B1142=0,0,IF(Inputs!$B$7="",0,COUNTIFS(Data!$E$10:$E$3209,"&gt;="&amp;$A1142,Data!$E$10:$E$3209,"&lt;"&amp;$A1142+1)))</f>
        <v/>
      </c>
      <c r="AF1142">
        <f>IF($B1142=0,0,IF(Inputs!$B$8="",0,COUNTIFS(Data!$I$10:$I$3209,"&gt;="&amp;$A1142,Data!$I$10:$I$3209,"&lt;"&amp;$A1142+1)))</f>
        <v/>
      </c>
      <c r="AG1142">
        <f>IF($B1142=0,0,IF(Inputs!$B$9="",0,COUNTIFS(Data!$M$10:$M$3209,"&gt;="&amp;$A1142,Data!$M$10:$M$3209,"&lt;"&amp;$A1142+1)))</f>
        <v/>
      </c>
      <c r="AH1142">
        <f>IF($B1142=0,0,IF(Inputs!$B$10="",0,COUNTIFS(Data!$Q$10:$Q$3209,"&gt;="&amp;$A1142,Data!$Q$10:$Q$3209,"&lt;"&amp;$A1142+1)))</f>
        <v/>
      </c>
    </row>
    <row r="1143">
      <c r="A1143" s="55">
        <f>MIN(Inputs!$C$15,$A1142+IF(WEEKDAY($A1142,2)=5,3,1))</f>
        <v/>
      </c>
      <c r="B1143">
        <f>IF($A1143&gt;$A1142,1,0)</f>
        <v/>
      </c>
      <c r="C1143" s="56">
        <f>IF($B1143=0,"",IF(Inputs!$B$6="","",IF($AD1143=0,C1142,SUMIFS(Data!$B$10:$B$3209,Data!$A$10:$A$3209,"&gt;="&amp;$A1143,Data!$A$10:$A$3209,"&lt;"&amp;$A1143+1)/$AD1143)))</f>
        <v/>
      </c>
      <c r="D1143" s="56">
        <f>IF($B1143=0,"",IF(Inputs!$B$7="","",IF($AE1143=0,D1142,SUMIFS(Data!$F$10:$F$3209,Data!$E$10:$E$3209,"&gt;="&amp;$A1143,Data!$E$10:$E$3209,"&lt;"&amp;$A1143+1)/$AE1143)))</f>
        <v/>
      </c>
      <c r="E1143" s="56">
        <f>IF($B1143=0,"",IF(Inputs!$B$8="","",IF($AF1143=0,E1142,SUMIFS(Data!$J$10:$J$3209,Data!$I$10:$I$3209,"&gt;="&amp;$A1143,Data!$I$10:$I$3209,"&lt;"&amp;$A1143+1)/$AF1143)))</f>
        <v/>
      </c>
      <c r="F1143" s="56">
        <f>IF($B1143=0,"",IF(Inputs!$B$9="","",IF($AG1143=0,F1142,SUMIFS(Data!$N$10:$N$3209,Data!$M$10:$M$3209,"&gt;="&amp;$A1143,Data!$M$10:$M$3209,"&lt;"&amp;$A1143+1)/$AG1143)))</f>
        <v/>
      </c>
      <c r="G1143" s="56">
        <f>IF($B1143=0,"",IF(Inputs!$B$10="","",IF($AH1143=0,G1142,SUMIFS(Data!$R$10:$R$3209,Data!$Q$10:$Q$3209,"&gt;="&amp;$A1143,Data!$Q$10:$Q$3209,"&lt;"&amp;$A1143+1)/$AH1143)))</f>
        <v/>
      </c>
      <c r="I1143" s="54">
        <f>IF($B1143=0,NA(),IF($C1143="",NA(),IF(C$8="",NA(),IF(N(C$8)=0,NA(),IF(Inputs!$C$17="Rebased to 100",$C1143/C$8*100,$C1143)))))</f>
        <v/>
      </c>
      <c r="J1143" s="54">
        <f>IF($B1143=0,NA(),IF($D1143="",NA(),IF(D$8="",NA(),IF(N(D$8)=0,NA(),IF(Inputs!$C$17="Rebased to 100",$D1143/D$8*100,$D1143)))))</f>
        <v/>
      </c>
      <c r="K1143" s="54">
        <f>IF($B1143=0,NA(),IF($E1143="",NA(),IF(E$8="",NA(),IF(N(E$8)=0,NA(),IF(Inputs!$C$17="Rebased to 100",$E1143/E$8*100,$E1143)))))</f>
        <v/>
      </c>
      <c r="L1143" s="54">
        <f>IF($B1143=0,NA(),IF($F1143="",NA(),IF(F$8="",NA(),IF(N(F$8)=0,NA(),IF(Inputs!$C$17="Rebased to 100",$F1143/F$8*100,$F1143)))))</f>
        <v/>
      </c>
      <c r="M1143" s="54">
        <f>IF($B1143=0,NA(),IF($G1143="",NA(),IF(G$8="",NA(),IF(N(G$8)=0,NA(),IF(Inputs!$C$17="Rebased to 100",$G1143/G$8*100,$G1143)))))</f>
        <v/>
      </c>
      <c r="N1143" s="54">
        <f>IF($B1143=0,NA(),IF(Inputs!$C$18&lt;&gt;"Yes",NA(),IF(COUNT(I1143,J1143,K1143,L1143,M1143)=0,NA(),MIN(I1143,J1143,K1143,L1143,M1143))))</f>
        <v/>
      </c>
      <c r="O1143" s="54">
        <f>IF($B1143=0,NA(),IF(Inputs!$B$24&lt;&gt;"Yes",NA(),Inputs!$D$24*Inputs!$C$35))</f>
        <v/>
      </c>
      <c r="P1143" s="54">
        <f>IF($B1143=0,NA(),IF(Inputs!$B$25&lt;&gt;"Yes",NA(),Inputs!$D$25*Inputs!$C$35))</f>
        <v/>
      </c>
      <c r="Q1143" s="54">
        <f>IF($B1143=0,NA(),IF(Inputs!$B$26&lt;&gt;"Yes",NA(),Inputs!$D$26*Inputs!$C$35))</f>
        <v/>
      </c>
      <c r="R1143" s="54">
        <f>IF($B1143=0,NA(),IF(Inputs!$B$27&lt;&gt;"Yes",NA(),Inputs!$D$27*Inputs!$C$35))</f>
        <v/>
      </c>
      <c r="S1143" s="54">
        <f>IF($B1143=0,NA(),IF(Inputs!$B$28&lt;&gt;"Yes",NA(),Inputs!$D$28*Inputs!$C$35))</f>
        <v/>
      </c>
      <c r="T1143" s="54">
        <f>IF($B1143=0,NA(),IF(Inputs!$B$29&lt;&gt;"Yes",NA(),Inputs!$D$29*Inputs!$C$35))</f>
        <v/>
      </c>
      <c r="AD1143">
        <f>IF($B1143=0,0,IF(Inputs!$B$6="",0,COUNTIFS(Data!$A$10:$A$3209,"&gt;="&amp;$A1143,Data!$A$10:$A$3209,"&lt;"&amp;$A1143+1)))</f>
        <v/>
      </c>
      <c r="AE1143">
        <f>IF($B1143=0,0,IF(Inputs!$B$7="",0,COUNTIFS(Data!$E$10:$E$3209,"&gt;="&amp;$A1143,Data!$E$10:$E$3209,"&lt;"&amp;$A1143+1)))</f>
        <v/>
      </c>
      <c r="AF1143">
        <f>IF($B1143=0,0,IF(Inputs!$B$8="",0,COUNTIFS(Data!$I$10:$I$3209,"&gt;="&amp;$A1143,Data!$I$10:$I$3209,"&lt;"&amp;$A1143+1)))</f>
        <v/>
      </c>
      <c r="AG1143">
        <f>IF($B1143=0,0,IF(Inputs!$B$9="",0,COUNTIFS(Data!$M$10:$M$3209,"&gt;="&amp;$A1143,Data!$M$10:$M$3209,"&lt;"&amp;$A1143+1)))</f>
        <v/>
      </c>
      <c r="AH1143">
        <f>IF($B1143=0,0,IF(Inputs!$B$10="",0,COUNTIFS(Data!$Q$10:$Q$3209,"&gt;="&amp;$A1143,Data!$Q$10:$Q$3209,"&lt;"&amp;$A1143+1)))</f>
        <v/>
      </c>
    </row>
    <row r="1144">
      <c r="A1144" s="55">
        <f>MIN(Inputs!$C$15,$A1143+IF(WEEKDAY($A1143,2)=5,3,1))</f>
        <v/>
      </c>
      <c r="B1144">
        <f>IF($A1144&gt;$A1143,1,0)</f>
        <v/>
      </c>
      <c r="C1144" s="56">
        <f>IF($B1144=0,"",IF(Inputs!$B$6="","",IF($AD1144=0,C1143,SUMIFS(Data!$B$10:$B$3209,Data!$A$10:$A$3209,"&gt;="&amp;$A1144,Data!$A$10:$A$3209,"&lt;"&amp;$A1144+1)/$AD1144)))</f>
        <v/>
      </c>
      <c r="D1144" s="56">
        <f>IF($B1144=0,"",IF(Inputs!$B$7="","",IF($AE1144=0,D1143,SUMIFS(Data!$F$10:$F$3209,Data!$E$10:$E$3209,"&gt;="&amp;$A1144,Data!$E$10:$E$3209,"&lt;"&amp;$A1144+1)/$AE1144)))</f>
        <v/>
      </c>
      <c r="E1144" s="56">
        <f>IF($B1144=0,"",IF(Inputs!$B$8="","",IF($AF1144=0,E1143,SUMIFS(Data!$J$10:$J$3209,Data!$I$10:$I$3209,"&gt;="&amp;$A1144,Data!$I$10:$I$3209,"&lt;"&amp;$A1144+1)/$AF1144)))</f>
        <v/>
      </c>
      <c r="F1144" s="56">
        <f>IF($B1144=0,"",IF(Inputs!$B$9="","",IF($AG1144=0,F1143,SUMIFS(Data!$N$10:$N$3209,Data!$M$10:$M$3209,"&gt;="&amp;$A1144,Data!$M$10:$M$3209,"&lt;"&amp;$A1144+1)/$AG1144)))</f>
        <v/>
      </c>
      <c r="G1144" s="56">
        <f>IF($B1144=0,"",IF(Inputs!$B$10="","",IF($AH1144=0,G1143,SUMIFS(Data!$R$10:$R$3209,Data!$Q$10:$Q$3209,"&gt;="&amp;$A1144,Data!$Q$10:$Q$3209,"&lt;"&amp;$A1144+1)/$AH1144)))</f>
        <v/>
      </c>
      <c r="I1144" s="54">
        <f>IF($B1144=0,NA(),IF($C1144="",NA(),IF(C$8="",NA(),IF(N(C$8)=0,NA(),IF(Inputs!$C$17="Rebased to 100",$C1144/C$8*100,$C1144)))))</f>
        <v/>
      </c>
      <c r="J1144" s="54">
        <f>IF($B1144=0,NA(),IF($D1144="",NA(),IF(D$8="",NA(),IF(N(D$8)=0,NA(),IF(Inputs!$C$17="Rebased to 100",$D1144/D$8*100,$D1144)))))</f>
        <v/>
      </c>
      <c r="K1144" s="54">
        <f>IF($B1144=0,NA(),IF($E1144="",NA(),IF(E$8="",NA(),IF(N(E$8)=0,NA(),IF(Inputs!$C$17="Rebased to 100",$E1144/E$8*100,$E1144)))))</f>
        <v/>
      </c>
      <c r="L1144" s="54">
        <f>IF($B1144=0,NA(),IF($F1144="",NA(),IF(F$8="",NA(),IF(N(F$8)=0,NA(),IF(Inputs!$C$17="Rebased to 100",$F1144/F$8*100,$F1144)))))</f>
        <v/>
      </c>
      <c r="M1144" s="54">
        <f>IF($B1144=0,NA(),IF($G1144="",NA(),IF(G$8="",NA(),IF(N(G$8)=0,NA(),IF(Inputs!$C$17="Rebased to 100",$G1144/G$8*100,$G1144)))))</f>
        <v/>
      </c>
      <c r="N1144" s="54">
        <f>IF($B1144=0,NA(),IF(Inputs!$C$18&lt;&gt;"Yes",NA(),IF(COUNT(I1144,J1144,K1144,L1144,M1144)=0,NA(),MIN(I1144,J1144,K1144,L1144,M1144))))</f>
        <v/>
      </c>
      <c r="O1144" s="54">
        <f>IF($B1144=0,NA(),IF(Inputs!$B$24&lt;&gt;"Yes",NA(),Inputs!$D$24*Inputs!$C$35))</f>
        <v/>
      </c>
      <c r="P1144" s="54">
        <f>IF($B1144=0,NA(),IF(Inputs!$B$25&lt;&gt;"Yes",NA(),Inputs!$D$25*Inputs!$C$35))</f>
        <v/>
      </c>
      <c r="Q1144" s="54">
        <f>IF($B1144=0,NA(),IF(Inputs!$B$26&lt;&gt;"Yes",NA(),Inputs!$D$26*Inputs!$C$35))</f>
        <v/>
      </c>
      <c r="R1144" s="54">
        <f>IF($B1144=0,NA(),IF(Inputs!$B$27&lt;&gt;"Yes",NA(),Inputs!$D$27*Inputs!$C$35))</f>
        <v/>
      </c>
      <c r="S1144" s="54">
        <f>IF($B1144=0,NA(),IF(Inputs!$B$28&lt;&gt;"Yes",NA(),Inputs!$D$28*Inputs!$C$35))</f>
        <v/>
      </c>
      <c r="T1144" s="54">
        <f>IF($B1144=0,NA(),IF(Inputs!$B$29&lt;&gt;"Yes",NA(),Inputs!$D$29*Inputs!$C$35))</f>
        <v/>
      </c>
      <c r="AD1144">
        <f>IF($B1144=0,0,IF(Inputs!$B$6="",0,COUNTIFS(Data!$A$10:$A$3209,"&gt;="&amp;$A1144,Data!$A$10:$A$3209,"&lt;"&amp;$A1144+1)))</f>
        <v/>
      </c>
      <c r="AE1144">
        <f>IF($B1144=0,0,IF(Inputs!$B$7="",0,COUNTIFS(Data!$E$10:$E$3209,"&gt;="&amp;$A1144,Data!$E$10:$E$3209,"&lt;"&amp;$A1144+1)))</f>
        <v/>
      </c>
      <c r="AF1144">
        <f>IF($B1144=0,0,IF(Inputs!$B$8="",0,COUNTIFS(Data!$I$10:$I$3209,"&gt;="&amp;$A1144,Data!$I$10:$I$3209,"&lt;"&amp;$A1144+1)))</f>
        <v/>
      </c>
      <c r="AG1144">
        <f>IF($B1144=0,0,IF(Inputs!$B$9="",0,COUNTIFS(Data!$M$10:$M$3209,"&gt;="&amp;$A1144,Data!$M$10:$M$3209,"&lt;"&amp;$A1144+1)))</f>
        <v/>
      </c>
      <c r="AH1144">
        <f>IF($B1144=0,0,IF(Inputs!$B$10="",0,COUNTIFS(Data!$Q$10:$Q$3209,"&gt;="&amp;$A1144,Data!$Q$10:$Q$3209,"&lt;"&amp;$A1144+1)))</f>
        <v/>
      </c>
    </row>
    <row r="1145">
      <c r="A1145" s="55">
        <f>MIN(Inputs!$C$15,$A1144+IF(WEEKDAY($A1144,2)=5,3,1))</f>
        <v/>
      </c>
      <c r="B1145">
        <f>IF($A1145&gt;$A1144,1,0)</f>
        <v/>
      </c>
      <c r="C1145" s="56">
        <f>IF($B1145=0,"",IF(Inputs!$B$6="","",IF($AD1145=0,C1144,SUMIFS(Data!$B$10:$B$3209,Data!$A$10:$A$3209,"&gt;="&amp;$A1145,Data!$A$10:$A$3209,"&lt;"&amp;$A1145+1)/$AD1145)))</f>
        <v/>
      </c>
      <c r="D1145" s="56">
        <f>IF($B1145=0,"",IF(Inputs!$B$7="","",IF($AE1145=0,D1144,SUMIFS(Data!$F$10:$F$3209,Data!$E$10:$E$3209,"&gt;="&amp;$A1145,Data!$E$10:$E$3209,"&lt;"&amp;$A1145+1)/$AE1145)))</f>
        <v/>
      </c>
      <c r="E1145" s="56">
        <f>IF($B1145=0,"",IF(Inputs!$B$8="","",IF($AF1145=0,E1144,SUMIFS(Data!$J$10:$J$3209,Data!$I$10:$I$3209,"&gt;="&amp;$A1145,Data!$I$10:$I$3209,"&lt;"&amp;$A1145+1)/$AF1145)))</f>
        <v/>
      </c>
      <c r="F1145" s="56">
        <f>IF($B1145=0,"",IF(Inputs!$B$9="","",IF($AG1145=0,F1144,SUMIFS(Data!$N$10:$N$3209,Data!$M$10:$M$3209,"&gt;="&amp;$A1145,Data!$M$10:$M$3209,"&lt;"&amp;$A1145+1)/$AG1145)))</f>
        <v/>
      </c>
      <c r="G1145" s="56">
        <f>IF($B1145=0,"",IF(Inputs!$B$10="","",IF($AH1145=0,G1144,SUMIFS(Data!$R$10:$R$3209,Data!$Q$10:$Q$3209,"&gt;="&amp;$A1145,Data!$Q$10:$Q$3209,"&lt;"&amp;$A1145+1)/$AH1145)))</f>
        <v/>
      </c>
      <c r="I1145" s="54">
        <f>IF($B1145=0,NA(),IF($C1145="",NA(),IF(C$8="",NA(),IF(N(C$8)=0,NA(),IF(Inputs!$C$17="Rebased to 100",$C1145/C$8*100,$C1145)))))</f>
        <v/>
      </c>
      <c r="J1145" s="54">
        <f>IF($B1145=0,NA(),IF($D1145="",NA(),IF(D$8="",NA(),IF(N(D$8)=0,NA(),IF(Inputs!$C$17="Rebased to 100",$D1145/D$8*100,$D1145)))))</f>
        <v/>
      </c>
      <c r="K1145" s="54">
        <f>IF($B1145=0,NA(),IF($E1145="",NA(),IF(E$8="",NA(),IF(N(E$8)=0,NA(),IF(Inputs!$C$17="Rebased to 100",$E1145/E$8*100,$E1145)))))</f>
        <v/>
      </c>
      <c r="L1145" s="54">
        <f>IF($B1145=0,NA(),IF($F1145="",NA(),IF(F$8="",NA(),IF(N(F$8)=0,NA(),IF(Inputs!$C$17="Rebased to 100",$F1145/F$8*100,$F1145)))))</f>
        <v/>
      </c>
      <c r="M1145" s="54">
        <f>IF($B1145=0,NA(),IF($G1145="",NA(),IF(G$8="",NA(),IF(N(G$8)=0,NA(),IF(Inputs!$C$17="Rebased to 100",$G1145/G$8*100,$G1145)))))</f>
        <v/>
      </c>
      <c r="N1145" s="54">
        <f>IF($B1145=0,NA(),IF(Inputs!$C$18&lt;&gt;"Yes",NA(),IF(COUNT(I1145,J1145,K1145,L1145,M1145)=0,NA(),MIN(I1145,J1145,K1145,L1145,M1145))))</f>
        <v/>
      </c>
      <c r="O1145" s="54">
        <f>IF($B1145=0,NA(),IF(Inputs!$B$24&lt;&gt;"Yes",NA(),Inputs!$D$24*Inputs!$C$35))</f>
        <v/>
      </c>
      <c r="P1145" s="54">
        <f>IF($B1145=0,NA(),IF(Inputs!$B$25&lt;&gt;"Yes",NA(),Inputs!$D$25*Inputs!$C$35))</f>
        <v/>
      </c>
      <c r="Q1145" s="54">
        <f>IF($B1145=0,NA(),IF(Inputs!$B$26&lt;&gt;"Yes",NA(),Inputs!$D$26*Inputs!$C$35))</f>
        <v/>
      </c>
      <c r="R1145" s="54">
        <f>IF($B1145=0,NA(),IF(Inputs!$B$27&lt;&gt;"Yes",NA(),Inputs!$D$27*Inputs!$C$35))</f>
        <v/>
      </c>
      <c r="S1145" s="54">
        <f>IF($B1145=0,NA(),IF(Inputs!$B$28&lt;&gt;"Yes",NA(),Inputs!$D$28*Inputs!$C$35))</f>
        <v/>
      </c>
      <c r="T1145" s="54">
        <f>IF($B1145=0,NA(),IF(Inputs!$B$29&lt;&gt;"Yes",NA(),Inputs!$D$29*Inputs!$C$35))</f>
        <v/>
      </c>
      <c r="AD1145">
        <f>IF($B1145=0,0,IF(Inputs!$B$6="",0,COUNTIFS(Data!$A$10:$A$3209,"&gt;="&amp;$A1145,Data!$A$10:$A$3209,"&lt;"&amp;$A1145+1)))</f>
        <v/>
      </c>
      <c r="AE1145">
        <f>IF($B1145=0,0,IF(Inputs!$B$7="",0,COUNTIFS(Data!$E$10:$E$3209,"&gt;="&amp;$A1145,Data!$E$10:$E$3209,"&lt;"&amp;$A1145+1)))</f>
        <v/>
      </c>
      <c r="AF1145">
        <f>IF($B1145=0,0,IF(Inputs!$B$8="",0,COUNTIFS(Data!$I$10:$I$3209,"&gt;="&amp;$A1145,Data!$I$10:$I$3209,"&lt;"&amp;$A1145+1)))</f>
        <v/>
      </c>
      <c r="AG1145">
        <f>IF($B1145=0,0,IF(Inputs!$B$9="",0,COUNTIFS(Data!$M$10:$M$3209,"&gt;="&amp;$A1145,Data!$M$10:$M$3209,"&lt;"&amp;$A1145+1)))</f>
        <v/>
      </c>
      <c r="AH1145">
        <f>IF($B1145=0,0,IF(Inputs!$B$10="",0,COUNTIFS(Data!$Q$10:$Q$3209,"&gt;="&amp;$A1145,Data!$Q$10:$Q$3209,"&lt;"&amp;$A1145+1)))</f>
        <v/>
      </c>
    </row>
    <row r="1146">
      <c r="A1146" s="55">
        <f>MIN(Inputs!$C$15,$A1145+IF(WEEKDAY($A1145,2)=5,3,1))</f>
        <v/>
      </c>
      <c r="B1146">
        <f>IF($A1146&gt;$A1145,1,0)</f>
        <v/>
      </c>
      <c r="C1146" s="56">
        <f>IF($B1146=0,"",IF(Inputs!$B$6="","",IF($AD1146=0,C1145,SUMIFS(Data!$B$10:$B$3209,Data!$A$10:$A$3209,"&gt;="&amp;$A1146,Data!$A$10:$A$3209,"&lt;"&amp;$A1146+1)/$AD1146)))</f>
        <v/>
      </c>
      <c r="D1146" s="56">
        <f>IF($B1146=0,"",IF(Inputs!$B$7="","",IF($AE1146=0,D1145,SUMIFS(Data!$F$10:$F$3209,Data!$E$10:$E$3209,"&gt;="&amp;$A1146,Data!$E$10:$E$3209,"&lt;"&amp;$A1146+1)/$AE1146)))</f>
        <v/>
      </c>
      <c r="E1146" s="56">
        <f>IF($B1146=0,"",IF(Inputs!$B$8="","",IF($AF1146=0,E1145,SUMIFS(Data!$J$10:$J$3209,Data!$I$10:$I$3209,"&gt;="&amp;$A1146,Data!$I$10:$I$3209,"&lt;"&amp;$A1146+1)/$AF1146)))</f>
        <v/>
      </c>
      <c r="F1146" s="56">
        <f>IF($B1146=0,"",IF(Inputs!$B$9="","",IF($AG1146=0,F1145,SUMIFS(Data!$N$10:$N$3209,Data!$M$10:$M$3209,"&gt;="&amp;$A1146,Data!$M$10:$M$3209,"&lt;"&amp;$A1146+1)/$AG1146)))</f>
        <v/>
      </c>
      <c r="G1146" s="56">
        <f>IF($B1146=0,"",IF(Inputs!$B$10="","",IF($AH1146=0,G1145,SUMIFS(Data!$R$10:$R$3209,Data!$Q$10:$Q$3209,"&gt;="&amp;$A1146,Data!$Q$10:$Q$3209,"&lt;"&amp;$A1146+1)/$AH1146)))</f>
        <v/>
      </c>
      <c r="I1146" s="54">
        <f>IF($B1146=0,NA(),IF($C1146="",NA(),IF(C$8="",NA(),IF(N(C$8)=0,NA(),IF(Inputs!$C$17="Rebased to 100",$C1146/C$8*100,$C1146)))))</f>
        <v/>
      </c>
      <c r="J1146" s="54">
        <f>IF($B1146=0,NA(),IF($D1146="",NA(),IF(D$8="",NA(),IF(N(D$8)=0,NA(),IF(Inputs!$C$17="Rebased to 100",$D1146/D$8*100,$D1146)))))</f>
        <v/>
      </c>
      <c r="K1146" s="54">
        <f>IF($B1146=0,NA(),IF($E1146="",NA(),IF(E$8="",NA(),IF(N(E$8)=0,NA(),IF(Inputs!$C$17="Rebased to 100",$E1146/E$8*100,$E1146)))))</f>
        <v/>
      </c>
      <c r="L1146" s="54">
        <f>IF($B1146=0,NA(),IF($F1146="",NA(),IF(F$8="",NA(),IF(N(F$8)=0,NA(),IF(Inputs!$C$17="Rebased to 100",$F1146/F$8*100,$F1146)))))</f>
        <v/>
      </c>
      <c r="M1146" s="54">
        <f>IF($B1146=0,NA(),IF($G1146="",NA(),IF(G$8="",NA(),IF(N(G$8)=0,NA(),IF(Inputs!$C$17="Rebased to 100",$G1146/G$8*100,$G1146)))))</f>
        <v/>
      </c>
      <c r="N1146" s="54">
        <f>IF($B1146=0,NA(),IF(Inputs!$C$18&lt;&gt;"Yes",NA(),IF(COUNT(I1146,J1146,K1146,L1146,M1146)=0,NA(),MIN(I1146,J1146,K1146,L1146,M1146))))</f>
        <v/>
      </c>
      <c r="O1146" s="54">
        <f>IF($B1146=0,NA(),IF(Inputs!$B$24&lt;&gt;"Yes",NA(),Inputs!$D$24*Inputs!$C$35))</f>
        <v/>
      </c>
      <c r="P1146" s="54">
        <f>IF($B1146=0,NA(),IF(Inputs!$B$25&lt;&gt;"Yes",NA(),Inputs!$D$25*Inputs!$C$35))</f>
        <v/>
      </c>
      <c r="Q1146" s="54">
        <f>IF($B1146=0,NA(),IF(Inputs!$B$26&lt;&gt;"Yes",NA(),Inputs!$D$26*Inputs!$C$35))</f>
        <v/>
      </c>
      <c r="R1146" s="54">
        <f>IF($B1146=0,NA(),IF(Inputs!$B$27&lt;&gt;"Yes",NA(),Inputs!$D$27*Inputs!$C$35))</f>
        <v/>
      </c>
      <c r="S1146" s="54">
        <f>IF($B1146=0,NA(),IF(Inputs!$B$28&lt;&gt;"Yes",NA(),Inputs!$D$28*Inputs!$C$35))</f>
        <v/>
      </c>
      <c r="T1146" s="54">
        <f>IF($B1146=0,NA(),IF(Inputs!$B$29&lt;&gt;"Yes",NA(),Inputs!$D$29*Inputs!$C$35))</f>
        <v/>
      </c>
      <c r="AD1146">
        <f>IF($B1146=0,0,IF(Inputs!$B$6="",0,COUNTIFS(Data!$A$10:$A$3209,"&gt;="&amp;$A1146,Data!$A$10:$A$3209,"&lt;"&amp;$A1146+1)))</f>
        <v/>
      </c>
      <c r="AE1146">
        <f>IF($B1146=0,0,IF(Inputs!$B$7="",0,COUNTIFS(Data!$E$10:$E$3209,"&gt;="&amp;$A1146,Data!$E$10:$E$3209,"&lt;"&amp;$A1146+1)))</f>
        <v/>
      </c>
      <c r="AF1146">
        <f>IF($B1146=0,0,IF(Inputs!$B$8="",0,COUNTIFS(Data!$I$10:$I$3209,"&gt;="&amp;$A1146,Data!$I$10:$I$3209,"&lt;"&amp;$A1146+1)))</f>
        <v/>
      </c>
      <c r="AG1146">
        <f>IF($B1146=0,0,IF(Inputs!$B$9="",0,COUNTIFS(Data!$M$10:$M$3209,"&gt;="&amp;$A1146,Data!$M$10:$M$3209,"&lt;"&amp;$A1146+1)))</f>
        <v/>
      </c>
      <c r="AH1146">
        <f>IF($B1146=0,0,IF(Inputs!$B$10="",0,COUNTIFS(Data!$Q$10:$Q$3209,"&gt;="&amp;$A1146,Data!$Q$10:$Q$3209,"&lt;"&amp;$A1146+1)))</f>
        <v/>
      </c>
    </row>
    <row r="1147">
      <c r="A1147" s="55">
        <f>MIN(Inputs!$C$15,$A1146+IF(WEEKDAY($A1146,2)=5,3,1))</f>
        <v/>
      </c>
      <c r="B1147">
        <f>IF($A1147&gt;$A1146,1,0)</f>
        <v/>
      </c>
      <c r="C1147" s="56">
        <f>IF($B1147=0,"",IF(Inputs!$B$6="","",IF($AD1147=0,C1146,SUMIFS(Data!$B$10:$B$3209,Data!$A$10:$A$3209,"&gt;="&amp;$A1147,Data!$A$10:$A$3209,"&lt;"&amp;$A1147+1)/$AD1147)))</f>
        <v/>
      </c>
      <c r="D1147" s="56">
        <f>IF($B1147=0,"",IF(Inputs!$B$7="","",IF($AE1147=0,D1146,SUMIFS(Data!$F$10:$F$3209,Data!$E$10:$E$3209,"&gt;="&amp;$A1147,Data!$E$10:$E$3209,"&lt;"&amp;$A1147+1)/$AE1147)))</f>
        <v/>
      </c>
      <c r="E1147" s="56">
        <f>IF($B1147=0,"",IF(Inputs!$B$8="","",IF($AF1147=0,E1146,SUMIFS(Data!$J$10:$J$3209,Data!$I$10:$I$3209,"&gt;="&amp;$A1147,Data!$I$10:$I$3209,"&lt;"&amp;$A1147+1)/$AF1147)))</f>
        <v/>
      </c>
      <c r="F1147" s="56">
        <f>IF($B1147=0,"",IF(Inputs!$B$9="","",IF($AG1147=0,F1146,SUMIFS(Data!$N$10:$N$3209,Data!$M$10:$M$3209,"&gt;="&amp;$A1147,Data!$M$10:$M$3209,"&lt;"&amp;$A1147+1)/$AG1147)))</f>
        <v/>
      </c>
      <c r="G1147" s="56">
        <f>IF($B1147=0,"",IF(Inputs!$B$10="","",IF($AH1147=0,G1146,SUMIFS(Data!$R$10:$R$3209,Data!$Q$10:$Q$3209,"&gt;="&amp;$A1147,Data!$Q$10:$Q$3209,"&lt;"&amp;$A1147+1)/$AH1147)))</f>
        <v/>
      </c>
      <c r="I1147" s="54">
        <f>IF($B1147=0,NA(),IF($C1147="",NA(),IF(C$8="",NA(),IF(N(C$8)=0,NA(),IF(Inputs!$C$17="Rebased to 100",$C1147/C$8*100,$C1147)))))</f>
        <v/>
      </c>
      <c r="J1147" s="54">
        <f>IF($B1147=0,NA(),IF($D1147="",NA(),IF(D$8="",NA(),IF(N(D$8)=0,NA(),IF(Inputs!$C$17="Rebased to 100",$D1147/D$8*100,$D1147)))))</f>
        <v/>
      </c>
      <c r="K1147" s="54">
        <f>IF($B1147=0,NA(),IF($E1147="",NA(),IF(E$8="",NA(),IF(N(E$8)=0,NA(),IF(Inputs!$C$17="Rebased to 100",$E1147/E$8*100,$E1147)))))</f>
        <v/>
      </c>
      <c r="L1147" s="54">
        <f>IF($B1147=0,NA(),IF($F1147="",NA(),IF(F$8="",NA(),IF(N(F$8)=0,NA(),IF(Inputs!$C$17="Rebased to 100",$F1147/F$8*100,$F1147)))))</f>
        <v/>
      </c>
      <c r="M1147" s="54">
        <f>IF($B1147=0,NA(),IF($G1147="",NA(),IF(G$8="",NA(),IF(N(G$8)=0,NA(),IF(Inputs!$C$17="Rebased to 100",$G1147/G$8*100,$G1147)))))</f>
        <v/>
      </c>
      <c r="N1147" s="54">
        <f>IF($B1147=0,NA(),IF(Inputs!$C$18&lt;&gt;"Yes",NA(),IF(COUNT(I1147,J1147,K1147,L1147,M1147)=0,NA(),MIN(I1147,J1147,K1147,L1147,M1147))))</f>
        <v/>
      </c>
      <c r="O1147" s="54">
        <f>IF($B1147=0,NA(),IF(Inputs!$B$24&lt;&gt;"Yes",NA(),Inputs!$D$24*Inputs!$C$35))</f>
        <v/>
      </c>
      <c r="P1147" s="54">
        <f>IF($B1147=0,NA(),IF(Inputs!$B$25&lt;&gt;"Yes",NA(),Inputs!$D$25*Inputs!$C$35))</f>
        <v/>
      </c>
      <c r="Q1147" s="54">
        <f>IF($B1147=0,NA(),IF(Inputs!$B$26&lt;&gt;"Yes",NA(),Inputs!$D$26*Inputs!$C$35))</f>
        <v/>
      </c>
      <c r="R1147" s="54">
        <f>IF($B1147=0,NA(),IF(Inputs!$B$27&lt;&gt;"Yes",NA(),Inputs!$D$27*Inputs!$C$35))</f>
        <v/>
      </c>
      <c r="S1147" s="54">
        <f>IF($B1147=0,NA(),IF(Inputs!$B$28&lt;&gt;"Yes",NA(),Inputs!$D$28*Inputs!$C$35))</f>
        <v/>
      </c>
      <c r="T1147" s="54">
        <f>IF($B1147=0,NA(),IF(Inputs!$B$29&lt;&gt;"Yes",NA(),Inputs!$D$29*Inputs!$C$35))</f>
        <v/>
      </c>
      <c r="AD1147">
        <f>IF($B1147=0,0,IF(Inputs!$B$6="",0,COUNTIFS(Data!$A$10:$A$3209,"&gt;="&amp;$A1147,Data!$A$10:$A$3209,"&lt;"&amp;$A1147+1)))</f>
        <v/>
      </c>
      <c r="AE1147">
        <f>IF($B1147=0,0,IF(Inputs!$B$7="",0,COUNTIFS(Data!$E$10:$E$3209,"&gt;="&amp;$A1147,Data!$E$10:$E$3209,"&lt;"&amp;$A1147+1)))</f>
        <v/>
      </c>
      <c r="AF1147">
        <f>IF($B1147=0,0,IF(Inputs!$B$8="",0,COUNTIFS(Data!$I$10:$I$3209,"&gt;="&amp;$A1147,Data!$I$10:$I$3209,"&lt;"&amp;$A1147+1)))</f>
        <v/>
      </c>
      <c r="AG1147">
        <f>IF($B1147=0,0,IF(Inputs!$B$9="",0,COUNTIFS(Data!$M$10:$M$3209,"&gt;="&amp;$A1147,Data!$M$10:$M$3209,"&lt;"&amp;$A1147+1)))</f>
        <v/>
      </c>
      <c r="AH1147">
        <f>IF($B1147=0,0,IF(Inputs!$B$10="",0,COUNTIFS(Data!$Q$10:$Q$3209,"&gt;="&amp;$A1147,Data!$Q$10:$Q$3209,"&lt;"&amp;$A1147+1)))</f>
        <v/>
      </c>
    </row>
    <row r="1148">
      <c r="A1148" s="55">
        <f>MIN(Inputs!$C$15,$A1147+IF(WEEKDAY($A1147,2)=5,3,1))</f>
        <v/>
      </c>
      <c r="B1148">
        <f>IF($A1148&gt;$A1147,1,0)</f>
        <v/>
      </c>
      <c r="C1148" s="56">
        <f>IF($B1148=0,"",IF(Inputs!$B$6="","",IF($AD1148=0,C1147,SUMIFS(Data!$B$10:$B$3209,Data!$A$10:$A$3209,"&gt;="&amp;$A1148,Data!$A$10:$A$3209,"&lt;"&amp;$A1148+1)/$AD1148)))</f>
        <v/>
      </c>
      <c r="D1148" s="56">
        <f>IF($B1148=0,"",IF(Inputs!$B$7="","",IF($AE1148=0,D1147,SUMIFS(Data!$F$10:$F$3209,Data!$E$10:$E$3209,"&gt;="&amp;$A1148,Data!$E$10:$E$3209,"&lt;"&amp;$A1148+1)/$AE1148)))</f>
        <v/>
      </c>
      <c r="E1148" s="56">
        <f>IF($B1148=0,"",IF(Inputs!$B$8="","",IF($AF1148=0,E1147,SUMIFS(Data!$J$10:$J$3209,Data!$I$10:$I$3209,"&gt;="&amp;$A1148,Data!$I$10:$I$3209,"&lt;"&amp;$A1148+1)/$AF1148)))</f>
        <v/>
      </c>
      <c r="F1148" s="56">
        <f>IF($B1148=0,"",IF(Inputs!$B$9="","",IF($AG1148=0,F1147,SUMIFS(Data!$N$10:$N$3209,Data!$M$10:$M$3209,"&gt;="&amp;$A1148,Data!$M$10:$M$3209,"&lt;"&amp;$A1148+1)/$AG1148)))</f>
        <v/>
      </c>
      <c r="G1148" s="56">
        <f>IF($B1148=0,"",IF(Inputs!$B$10="","",IF($AH1148=0,G1147,SUMIFS(Data!$R$10:$R$3209,Data!$Q$10:$Q$3209,"&gt;="&amp;$A1148,Data!$Q$10:$Q$3209,"&lt;"&amp;$A1148+1)/$AH1148)))</f>
        <v/>
      </c>
      <c r="I1148" s="54">
        <f>IF($B1148=0,NA(),IF($C1148="",NA(),IF(C$8="",NA(),IF(N(C$8)=0,NA(),IF(Inputs!$C$17="Rebased to 100",$C1148/C$8*100,$C1148)))))</f>
        <v/>
      </c>
      <c r="J1148" s="54">
        <f>IF($B1148=0,NA(),IF($D1148="",NA(),IF(D$8="",NA(),IF(N(D$8)=0,NA(),IF(Inputs!$C$17="Rebased to 100",$D1148/D$8*100,$D1148)))))</f>
        <v/>
      </c>
      <c r="K1148" s="54">
        <f>IF($B1148=0,NA(),IF($E1148="",NA(),IF(E$8="",NA(),IF(N(E$8)=0,NA(),IF(Inputs!$C$17="Rebased to 100",$E1148/E$8*100,$E1148)))))</f>
        <v/>
      </c>
      <c r="L1148" s="54">
        <f>IF($B1148=0,NA(),IF($F1148="",NA(),IF(F$8="",NA(),IF(N(F$8)=0,NA(),IF(Inputs!$C$17="Rebased to 100",$F1148/F$8*100,$F1148)))))</f>
        <v/>
      </c>
      <c r="M1148" s="54">
        <f>IF($B1148=0,NA(),IF($G1148="",NA(),IF(G$8="",NA(),IF(N(G$8)=0,NA(),IF(Inputs!$C$17="Rebased to 100",$G1148/G$8*100,$G1148)))))</f>
        <v/>
      </c>
      <c r="N1148" s="54">
        <f>IF($B1148=0,NA(),IF(Inputs!$C$18&lt;&gt;"Yes",NA(),IF(COUNT(I1148,J1148,K1148,L1148,M1148)=0,NA(),MIN(I1148,J1148,K1148,L1148,M1148))))</f>
        <v/>
      </c>
      <c r="O1148" s="54">
        <f>IF($B1148=0,NA(),IF(Inputs!$B$24&lt;&gt;"Yes",NA(),Inputs!$D$24*Inputs!$C$35))</f>
        <v/>
      </c>
      <c r="P1148" s="54">
        <f>IF($B1148=0,NA(),IF(Inputs!$B$25&lt;&gt;"Yes",NA(),Inputs!$D$25*Inputs!$C$35))</f>
        <v/>
      </c>
      <c r="Q1148" s="54">
        <f>IF($B1148=0,NA(),IF(Inputs!$B$26&lt;&gt;"Yes",NA(),Inputs!$D$26*Inputs!$C$35))</f>
        <v/>
      </c>
      <c r="R1148" s="54">
        <f>IF($B1148=0,NA(),IF(Inputs!$B$27&lt;&gt;"Yes",NA(),Inputs!$D$27*Inputs!$C$35))</f>
        <v/>
      </c>
      <c r="S1148" s="54">
        <f>IF($B1148=0,NA(),IF(Inputs!$B$28&lt;&gt;"Yes",NA(),Inputs!$D$28*Inputs!$C$35))</f>
        <v/>
      </c>
      <c r="T1148" s="54">
        <f>IF($B1148=0,NA(),IF(Inputs!$B$29&lt;&gt;"Yes",NA(),Inputs!$D$29*Inputs!$C$35))</f>
        <v/>
      </c>
      <c r="AD1148">
        <f>IF($B1148=0,0,IF(Inputs!$B$6="",0,COUNTIFS(Data!$A$10:$A$3209,"&gt;="&amp;$A1148,Data!$A$10:$A$3209,"&lt;"&amp;$A1148+1)))</f>
        <v/>
      </c>
      <c r="AE1148">
        <f>IF($B1148=0,0,IF(Inputs!$B$7="",0,COUNTIFS(Data!$E$10:$E$3209,"&gt;="&amp;$A1148,Data!$E$10:$E$3209,"&lt;"&amp;$A1148+1)))</f>
        <v/>
      </c>
      <c r="AF1148">
        <f>IF($B1148=0,0,IF(Inputs!$B$8="",0,COUNTIFS(Data!$I$10:$I$3209,"&gt;="&amp;$A1148,Data!$I$10:$I$3209,"&lt;"&amp;$A1148+1)))</f>
        <v/>
      </c>
      <c r="AG1148">
        <f>IF($B1148=0,0,IF(Inputs!$B$9="",0,COUNTIFS(Data!$M$10:$M$3209,"&gt;="&amp;$A1148,Data!$M$10:$M$3209,"&lt;"&amp;$A1148+1)))</f>
        <v/>
      </c>
      <c r="AH1148">
        <f>IF($B1148=0,0,IF(Inputs!$B$10="",0,COUNTIFS(Data!$Q$10:$Q$3209,"&gt;="&amp;$A1148,Data!$Q$10:$Q$3209,"&lt;"&amp;$A1148+1)))</f>
        <v/>
      </c>
    </row>
    <row r="1149">
      <c r="A1149" s="55">
        <f>MIN(Inputs!$C$15,$A1148+IF(WEEKDAY($A1148,2)=5,3,1))</f>
        <v/>
      </c>
      <c r="B1149">
        <f>IF($A1149&gt;$A1148,1,0)</f>
        <v/>
      </c>
      <c r="C1149" s="56">
        <f>IF($B1149=0,"",IF(Inputs!$B$6="","",IF($AD1149=0,C1148,SUMIFS(Data!$B$10:$B$3209,Data!$A$10:$A$3209,"&gt;="&amp;$A1149,Data!$A$10:$A$3209,"&lt;"&amp;$A1149+1)/$AD1149)))</f>
        <v/>
      </c>
      <c r="D1149" s="56">
        <f>IF($B1149=0,"",IF(Inputs!$B$7="","",IF($AE1149=0,D1148,SUMIFS(Data!$F$10:$F$3209,Data!$E$10:$E$3209,"&gt;="&amp;$A1149,Data!$E$10:$E$3209,"&lt;"&amp;$A1149+1)/$AE1149)))</f>
        <v/>
      </c>
      <c r="E1149" s="56">
        <f>IF($B1149=0,"",IF(Inputs!$B$8="","",IF($AF1149=0,E1148,SUMIFS(Data!$J$10:$J$3209,Data!$I$10:$I$3209,"&gt;="&amp;$A1149,Data!$I$10:$I$3209,"&lt;"&amp;$A1149+1)/$AF1149)))</f>
        <v/>
      </c>
      <c r="F1149" s="56">
        <f>IF($B1149=0,"",IF(Inputs!$B$9="","",IF($AG1149=0,F1148,SUMIFS(Data!$N$10:$N$3209,Data!$M$10:$M$3209,"&gt;="&amp;$A1149,Data!$M$10:$M$3209,"&lt;"&amp;$A1149+1)/$AG1149)))</f>
        <v/>
      </c>
      <c r="G1149" s="56">
        <f>IF($B1149=0,"",IF(Inputs!$B$10="","",IF($AH1149=0,G1148,SUMIFS(Data!$R$10:$R$3209,Data!$Q$10:$Q$3209,"&gt;="&amp;$A1149,Data!$Q$10:$Q$3209,"&lt;"&amp;$A1149+1)/$AH1149)))</f>
        <v/>
      </c>
      <c r="I1149" s="54">
        <f>IF($B1149=0,NA(),IF($C1149="",NA(),IF(C$8="",NA(),IF(N(C$8)=0,NA(),IF(Inputs!$C$17="Rebased to 100",$C1149/C$8*100,$C1149)))))</f>
        <v/>
      </c>
      <c r="J1149" s="54">
        <f>IF($B1149=0,NA(),IF($D1149="",NA(),IF(D$8="",NA(),IF(N(D$8)=0,NA(),IF(Inputs!$C$17="Rebased to 100",$D1149/D$8*100,$D1149)))))</f>
        <v/>
      </c>
      <c r="K1149" s="54">
        <f>IF($B1149=0,NA(),IF($E1149="",NA(),IF(E$8="",NA(),IF(N(E$8)=0,NA(),IF(Inputs!$C$17="Rebased to 100",$E1149/E$8*100,$E1149)))))</f>
        <v/>
      </c>
      <c r="L1149" s="54">
        <f>IF($B1149=0,NA(),IF($F1149="",NA(),IF(F$8="",NA(),IF(N(F$8)=0,NA(),IF(Inputs!$C$17="Rebased to 100",$F1149/F$8*100,$F1149)))))</f>
        <v/>
      </c>
      <c r="M1149" s="54">
        <f>IF($B1149=0,NA(),IF($G1149="",NA(),IF(G$8="",NA(),IF(N(G$8)=0,NA(),IF(Inputs!$C$17="Rebased to 100",$G1149/G$8*100,$G1149)))))</f>
        <v/>
      </c>
      <c r="N1149" s="54">
        <f>IF($B1149=0,NA(),IF(Inputs!$C$18&lt;&gt;"Yes",NA(),IF(COUNT(I1149,J1149,K1149,L1149,M1149)=0,NA(),MIN(I1149,J1149,K1149,L1149,M1149))))</f>
        <v/>
      </c>
      <c r="O1149" s="54">
        <f>IF($B1149=0,NA(),IF(Inputs!$B$24&lt;&gt;"Yes",NA(),Inputs!$D$24*Inputs!$C$35))</f>
        <v/>
      </c>
      <c r="P1149" s="54">
        <f>IF($B1149=0,NA(),IF(Inputs!$B$25&lt;&gt;"Yes",NA(),Inputs!$D$25*Inputs!$C$35))</f>
        <v/>
      </c>
      <c r="Q1149" s="54">
        <f>IF($B1149=0,NA(),IF(Inputs!$B$26&lt;&gt;"Yes",NA(),Inputs!$D$26*Inputs!$C$35))</f>
        <v/>
      </c>
      <c r="R1149" s="54">
        <f>IF($B1149=0,NA(),IF(Inputs!$B$27&lt;&gt;"Yes",NA(),Inputs!$D$27*Inputs!$C$35))</f>
        <v/>
      </c>
      <c r="S1149" s="54">
        <f>IF($B1149=0,NA(),IF(Inputs!$B$28&lt;&gt;"Yes",NA(),Inputs!$D$28*Inputs!$C$35))</f>
        <v/>
      </c>
      <c r="T1149" s="54">
        <f>IF($B1149=0,NA(),IF(Inputs!$B$29&lt;&gt;"Yes",NA(),Inputs!$D$29*Inputs!$C$35))</f>
        <v/>
      </c>
      <c r="AD1149">
        <f>IF($B1149=0,0,IF(Inputs!$B$6="",0,COUNTIFS(Data!$A$10:$A$3209,"&gt;="&amp;$A1149,Data!$A$10:$A$3209,"&lt;"&amp;$A1149+1)))</f>
        <v/>
      </c>
      <c r="AE1149">
        <f>IF($B1149=0,0,IF(Inputs!$B$7="",0,COUNTIFS(Data!$E$10:$E$3209,"&gt;="&amp;$A1149,Data!$E$10:$E$3209,"&lt;"&amp;$A1149+1)))</f>
        <v/>
      </c>
      <c r="AF1149">
        <f>IF($B1149=0,0,IF(Inputs!$B$8="",0,COUNTIFS(Data!$I$10:$I$3209,"&gt;="&amp;$A1149,Data!$I$10:$I$3209,"&lt;"&amp;$A1149+1)))</f>
        <v/>
      </c>
      <c r="AG1149">
        <f>IF($B1149=0,0,IF(Inputs!$B$9="",0,COUNTIFS(Data!$M$10:$M$3209,"&gt;="&amp;$A1149,Data!$M$10:$M$3209,"&lt;"&amp;$A1149+1)))</f>
        <v/>
      </c>
      <c r="AH1149">
        <f>IF($B1149=0,0,IF(Inputs!$B$10="",0,COUNTIFS(Data!$Q$10:$Q$3209,"&gt;="&amp;$A1149,Data!$Q$10:$Q$3209,"&lt;"&amp;$A1149+1)))</f>
        <v/>
      </c>
    </row>
    <row r="1150">
      <c r="A1150" s="55">
        <f>MIN(Inputs!$C$15,$A1149+IF(WEEKDAY($A1149,2)=5,3,1))</f>
        <v/>
      </c>
      <c r="B1150">
        <f>IF($A1150&gt;$A1149,1,0)</f>
        <v/>
      </c>
      <c r="C1150" s="56">
        <f>IF($B1150=0,"",IF(Inputs!$B$6="","",IF($AD1150=0,C1149,SUMIFS(Data!$B$10:$B$3209,Data!$A$10:$A$3209,"&gt;="&amp;$A1150,Data!$A$10:$A$3209,"&lt;"&amp;$A1150+1)/$AD1150)))</f>
        <v/>
      </c>
      <c r="D1150" s="56">
        <f>IF($B1150=0,"",IF(Inputs!$B$7="","",IF($AE1150=0,D1149,SUMIFS(Data!$F$10:$F$3209,Data!$E$10:$E$3209,"&gt;="&amp;$A1150,Data!$E$10:$E$3209,"&lt;"&amp;$A1150+1)/$AE1150)))</f>
        <v/>
      </c>
      <c r="E1150" s="56">
        <f>IF($B1150=0,"",IF(Inputs!$B$8="","",IF($AF1150=0,E1149,SUMIFS(Data!$J$10:$J$3209,Data!$I$10:$I$3209,"&gt;="&amp;$A1150,Data!$I$10:$I$3209,"&lt;"&amp;$A1150+1)/$AF1150)))</f>
        <v/>
      </c>
      <c r="F1150" s="56">
        <f>IF($B1150=0,"",IF(Inputs!$B$9="","",IF($AG1150=0,F1149,SUMIFS(Data!$N$10:$N$3209,Data!$M$10:$M$3209,"&gt;="&amp;$A1150,Data!$M$10:$M$3209,"&lt;"&amp;$A1150+1)/$AG1150)))</f>
        <v/>
      </c>
      <c r="G1150" s="56">
        <f>IF($B1150=0,"",IF(Inputs!$B$10="","",IF($AH1150=0,G1149,SUMIFS(Data!$R$10:$R$3209,Data!$Q$10:$Q$3209,"&gt;="&amp;$A1150,Data!$Q$10:$Q$3209,"&lt;"&amp;$A1150+1)/$AH1150)))</f>
        <v/>
      </c>
      <c r="I1150" s="54">
        <f>IF($B1150=0,NA(),IF($C1150="",NA(),IF(C$8="",NA(),IF(N(C$8)=0,NA(),IF(Inputs!$C$17="Rebased to 100",$C1150/C$8*100,$C1150)))))</f>
        <v/>
      </c>
      <c r="J1150" s="54">
        <f>IF($B1150=0,NA(),IF($D1150="",NA(),IF(D$8="",NA(),IF(N(D$8)=0,NA(),IF(Inputs!$C$17="Rebased to 100",$D1150/D$8*100,$D1150)))))</f>
        <v/>
      </c>
      <c r="K1150" s="54">
        <f>IF($B1150=0,NA(),IF($E1150="",NA(),IF(E$8="",NA(),IF(N(E$8)=0,NA(),IF(Inputs!$C$17="Rebased to 100",$E1150/E$8*100,$E1150)))))</f>
        <v/>
      </c>
      <c r="L1150" s="54">
        <f>IF($B1150=0,NA(),IF($F1150="",NA(),IF(F$8="",NA(),IF(N(F$8)=0,NA(),IF(Inputs!$C$17="Rebased to 100",$F1150/F$8*100,$F1150)))))</f>
        <v/>
      </c>
      <c r="M1150" s="54">
        <f>IF($B1150=0,NA(),IF($G1150="",NA(),IF(G$8="",NA(),IF(N(G$8)=0,NA(),IF(Inputs!$C$17="Rebased to 100",$G1150/G$8*100,$G1150)))))</f>
        <v/>
      </c>
      <c r="N1150" s="54">
        <f>IF($B1150=0,NA(),IF(Inputs!$C$18&lt;&gt;"Yes",NA(),IF(COUNT(I1150,J1150,K1150,L1150,M1150)=0,NA(),MIN(I1150,J1150,K1150,L1150,M1150))))</f>
        <v/>
      </c>
      <c r="O1150" s="54">
        <f>IF($B1150=0,NA(),IF(Inputs!$B$24&lt;&gt;"Yes",NA(),Inputs!$D$24*Inputs!$C$35))</f>
        <v/>
      </c>
      <c r="P1150" s="54">
        <f>IF($B1150=0,NA(),IF(Inputs!$B$25&lt;&gt;"Yes",NA(),Inputs!$D$25*Inputs!$C$35))</f>
        <v/>
      </c>
      <c r="Q1150" s="54">
        <f>IF($B1150=0,NA(),IF(Inputs!$B$26&lt;&gt;"Yes",NA(),Inputs!$D$26*Inputs!$C$35))</f>
        <v/>
      </c>
      <c r="R1150" s="54">
        <f>IF($B1150=0,NA(),IF(Inputs!$B$27&lt;&gt;"Yes",NA(),Inputs!$D$27*Inputs!$C$35))</f>
        <v/>
      </c>
      <c r="S1150" s="54">
        <f>IF($B1150=0,NA(),IF(Inputs!$B$28&lt;&gt;"Yes",NA(),Inputs!$D$28*Inputs!$C$35))</f>
        <v/>
      </c>
      <c r="T1150" s="54">
        <f>IF($B1150=0,NA(),IF(Inputs!$B$29&lt;&gt;"Yes",NA(),Inputs!$D$29*Inputs!$C$35))</f>
        <v/>
      </c>
      <c r="AD1150">
        <f>IF($B1150=0,0,IF(Inputs!$B$6="",0,COUNTIFS(Data!$A$10:$A$3209,"&gt;="&amp;$A1150,Data!$A$10:$A$3209,"&lt;"&amp;$A1150+1)))</f>
        <v/>
      </c>
      <c r="AE1150">
        <f>IF($B1150=0,0,IF(Inputs!$B$7="",0,COUNTIFS(Data!$E$10:$E$3209,"&gt;="&amp;$A1150,Data!$E$10:$E$3209,"&lt;"&amp;$A1150+1)))</f>
        <v/>
      </c>
      <c r="AF1150">
        <f>IF($B1150=0,0,IF(Inputs!$B$8="",0,COUNTIFS(Data!$I$10:$I$3209,"&gt;="&amp;$A1150,Data!$I$10:$I$3209,"&lt;"&amp;$A1150+1)))</f>
        <v/>
      </c>
      <c r="AG1150">
        <f>IF($B1150=0,0,IF(Inputs!$B$9="",0,COUNTIFS(Data!$M$10:$M$3209,"&gt;="&amp;$A1150,Data!$M$10:$M$3209,"&lt;"&amp;$A1150+1)))</f>
        <v/>
      </c>
      <c r="AH1150">
        <f>IF($B1150=0,0,IF(Inputs!$B$10="",0,COUNTIFS(Data!$Q$10:$Q$3209,"&gt;="&amp;$A1150,Data!$Q$10:$Q$3209,"&lt;"&amp;$A1150+1)))</f>
        <v/>
      </c>
    </row>
    <row r="1151">
      <c r="A1151" s="55">
        <f>MIN(Inputs!$C$15,$A1150+IF(WEEKDAY($A1150,2)=5,3,1))</f>
        <v/>
      </c>
      <c r="B1151">
        <f>IF($A1151&gt;$A1150,1,0)</f>
        <v/>
      </c>
      <c r="C1151" s="56">
        <f>IF($B1151=0,"",IF(Inputs!$B$6="","",IF($AD1151=0,C1150,SUMIFS(Data!$B$10:$B$3209,Data!$A$10:$A$3209,"&gt;="&amp;$A1151,Data!$A$10:$A$3209,"&lt;"&amp;$A1151+1)/$AD1151)))</f>
        <v/>
      </c>
      <c r="D1151" s="56">
        <f>IF($B1151=0,"",IF(Inputs!$B$7="","",IF($AE1151=0,D1150,SUMIFS(Data!$F$10:$F$3209,Data!$E$10:$E$3209,"&gt;="&amp;$A1151,Data!$E$10:$E$3209,"&lt;"&amp;$A1151+1)/$AE1151)))</f>
        <v/>
      </c>
      <c r="E1151" s="56">
        <f>IF($B1151=0,"",IF(Inputs!$B$8="","",IF($AF1151=0,E1150,SUMIFS(Data!$J$10:$J$3209,Data!$I$10:$I$3209,"&gt;="&amp;$A1151,Data!$I$10:$I$3209,"&lt;"&amp;$A1151+1)/$AF1151)))</f>
        <v/>
      </c>
      <c r="F1151" s="56">
        <f>IF($B1151=0,"",IF(Inputs!$B$9="","",IF($AG1151=0,F1150,SUMIFS(Data!$N$10:$N$3209,Data!$M$10:$M$3209,"&gt;="&amp;$A1151,Data!$M$10:$M$3209,"&lt;"&amp;$A1151+1)/$AG1151)))</f>
        <v/>
      </c>
      <c r="G1151" s="56">
        <f>IF($B1151=0,"",IF(Inputs!$B$10="","",IF($AH1151=0,G1150,SUMIFS(Data!$R$10:$R$3209,Data!$Q$10:$Q$3209,"&gt;="&amp;$A1151,Data!$Q$10:$Q$3209,"&lt;"&amp;$A1151+1)/$AH1151)))</f>
        <v/>
      </c>
      <c r="I1151" s="54">
        <f>IF($B1151=0,NA(),IF($C1151="",NA(),IF(C$8="",NA(),IF(N(C$8)=0,NA(),IF(Inputs!$C$17="Rebased to 100",$C1151/C$8*100,$C1151)))))</f>
        <v/>
      </c>
      <c r="J1151" s="54">
        <f>IF($B1151=0,NA(),IF($D1151="",NA(),IF(D$8="",NA(),IF(N(D$8)=0,NA(),IF(Inputs!$C$17="Rebased to 100",$D1151/D$8*100,$D1151)))))</f>
        <v/>
      </c>
      <c r="K1151" s="54">
        <f>IF($B1151=0,NA(),IF($E1151="",NA(),IF(E$8="",NA(),IF(N(E$8)=0,NA(),IF(Inputs!$C$17="Rebased to 100",$E1151/E$8*100,$E1151)))))</f>
        <v/>
      </c>
      <c r="L1151" s="54">
        <f>IF($B1151=0,NA(),IF($F1151="",NA(),IF(F$8="",NA(),IF(N(F$8)=0,NA(),IF(Inputs!$C$17="Rebased to 100",$F1151/F$8*100,$F1151)))))</f>
        <v/>
      </c>
      <c r="M1151" s="54">
        <f>IF($B1151=0,NA(),IF($G1151="",NA(),IF(G$8="",NA(),IF(N(G$8)=0,NA(),IF(Inputs!$C$17="Rebased to 100",$G1151/G$8*100,$G1151)))))</f>
        <v/>
      </c>
      <c r="N1151" s="54">
        <f>IF($B1151=0,NA(),IF(Inputs!$C$18&lt;&gt;"Yes",NA(),IF(COUNT(I1151,J1151,K1151,L1151,M1151)=0,NA(),MIN(I1151,J1151,K1151,L1151,M1151))))</f>
        <v/>
      </c>
      <c r="O1151" s="54">
        <f>IF($B1151=0,NA(),IF(Inputs!$B$24&lt;&gt;"Yes",NA(),Inputs!$D$24*Inputs!$C$35))</f>
        <v/>
      </c>
      <c r="P1151" s="54">
        <f>IF($B1151=0,NA(),IF(Inputs!$B$25&lt;&gt;"Yes",NA(),Inputs!$D$25*Inputs!$C$35))</f>
        <v/>
      </c>
      <c r="Q1151" s="54">
        <f>IF($B1151=0,NA(),IF(Inputs!$B$26&lt;&gt;"Yes",NA(),Inputs!$D$26*Inputs!$C$35))</f>
        <v/>
      </c>
      <c r="R1151" s="54">
        <f>IF($B1151=0,NA(),IF(Inputs!$B$27&lt;&gt;"Yes",NA(),Inputs!$D$27*Inputs!$C$35))</f>
        <v/>
      </c>
      <c r="S1151" s="54">
        <f>IF($B1151=0,NA(),IF(Inputs!$B$28&lt;&gt;"Yes",NA(),Inputs!$D$28*Inputs!$C$35))</f>
        <v/>
      </c>
      <c r="T1151" s="54">
        <f>IF($B1151=0,NA(),IF(Inputs!$B$29&lt;&gt;"Yes",NA(),Inputs!$D$29*Inputs!$C$35))</f>
        <v/>
      </c>
      <c r="AD1151">
        <f>IF($B1151=0,0,IF(Inputs!$B$6="",0,COUNTIFS(Data!$A$10:$A$3209,"&gt;="&amp;$A1151,Data!$A$10:$A$3209,"&lt;"&amp;$A1151+1)))</f>
        <v/>
      </c>
      <c r="AE1151">
        <f>IF($B1151=0,0,IF(Inputs!$B$7="",0,COUNTIFS(Data!$E$10:$E$3209,"&gt;="&amp;$A1151,Data!$E$10:$E$3209,"&lt;"&amp;$A1151+1)))</f>
        <v/>
      </c>
      <c r="AF1151">
        <f>IF($B1151=0,0,IF(Inputs!$B$8="",0,COUNTIFS(Data!$I$10:$I$3209,"&gt;="&amp;$A1151,Data!$I$10:$I$3209,"&lt;"&amp;$A1151+1)))</f>
        <v/>
      </c>
      <c r="AG1151">
        <f>IF($B1151=0,0,IF(Inputs!$B$9="",0,COUNTIFS(Data!$M$10:$M$3209,"&gt;="&amp;$A1151,Data!$M$10:$M$3209,"&lt;"&amp;$A1151+1)))</f>
        <v/>
      </c>
      <c r="AH1151">
        <f>IF($B1151=0,0,IF(Inputs!$B$10="",0,COUNTIFS(Data!$Q$10:$Q$3209,"&gt;="&amp;$A1151,Data!$Q$10:$Q$3209,"&lt;"&amp;$A1151+1)))</f>
        <v/>
      </c>
    </row>
    <row r="1152">
      <c r="A1152" s="55">
        <f>MIN(Inputs!$C$15,$A1151+IF(WEEKDAY($A1151,2)=5,3,1))</f>
        <v/>
      </c>
      <c r="B1152">
        <f>IF($A1152&gt;$A1151,1,0)</f>
        <v/>
      </c>
      <c r="C1152" s="56">
        <f>IF($B1152=0,"",IF(Inputs!$B$6="","",IF($AD1152=0,C1151,SUMIFS(Data!$B$10:$B$3209,Data!$A$10:$A$3209,"&gt;="&amp;$A1152,Data!$A$10:$A$3209,"&lt;"&amp;$A1152+1)/$AD1152)))</f>
        <v/>
      </c>
      <c r="D1152" s="56">
        <f>IF($B1152=0,"",IF(Inputs!$B$7="","",IF($AE1152=0,D1151,SUMIFS(Data!$F$10:$F$3209,Data!$E$10:$E$3209,"&gt;="&amp;$A1152,Data!$E$10:$E$3209,"&lt;"&amp;$A1152+1)/$AE1152)))</f>
        <v/>
      </c>
      <c r="E1152" s="56">
        <f>IF($B1152=0,"",IF(Inputs!$B$8="","",IF($AF1152=0,E1151,SUMIFS(Data!$J$10:$J$3209,Data!$I$10:$I$3209,"&gt;="&amp;$A1152,Data!$I$10:$I$3209,"&lt;"&amp;$A1152+1)/$AF1152)))</f>
        <v/>
      </c>
      <c r="F1152" s="56">
        <f>IF($B1152=0,"",IF(Inputs!$B$9="","",IF($AG1152=0,F1151,SUMIFS(Data!$N$10:$N$3209,Data!$M$10:$M$3209,"&gt;="&amp;$A1152,Data!$M$10:$M$3209,"&lt;"&amp;$A1152+1)/$AG1152)))</f>
        <v/>
      </c>
      <c r="G1152" s="56">
        <f>IF($B1152=0,"",IF(Inputs!$B$10="","",IF($AH1152=0,G1151,SUMIFS(Data!$R$10:$R$3209,Data!$Q$10:$Q$3209,"&gt;="&amp;$A1152,Data!$Q$10:$Q$3209,"&lt;"&amp;$A1152+1)/$AH1152)))</f>
        <v/>
      </c>
      <c r="I1152" s="54">
        <f>IF($B1152=0,NA(),IF($C1152="",NA(),IF(C$8="",NA(),IF(N(C$8)=0,NA(),IF(Inputs!$C$17="Rebased to 100",$C1152/C$8*100,$C1152)))))</f>
        <v/>
      </c>
      <c r="J1152" s="54">
        <f>IF($B1152=0,NA(),IF($D1152="",NA(),IF(D$8="",NA(),IF(N(D$8)=0,NA(),IF(Inputs!$C$17="Rebased to 100",$D1152/D$8*100,$D1152)))))</f>
        <v/>
      </c>
      <c r="K1152" s="54">
        <f>IF($B1152=0,NA(),IF($E1152="",NA(),IF(E$8="",NA(),IF(N(E$8)=0,NA(),IF(Inputs!$C$17="Rebased to 100",$E1152/E$8*100,$E1152)))))</f>
        <v/>
      </c>
      <c r="L1152" s="54">
        <f>IF($B1152=0,NA(),IF($F1152="",NA(),IF(F$8="",NA(),IF(N(F$8)=0,NA(),IF(Inputs!$C$17="Rebased to 100",$F1152/F$8*100,$F1152)))))</f>
        <v/>
      </c>
      <c r="M1152" s="54">
        <f>IF($B1152=0,NA(),IF($G1152="",NA(),IF(G$8="",NA(),IF(N(G$8)=0,NA(),IF(Inputs!$C$17="Rebased to 100",$G1152/G$8*100,$G1152)))))</f>
        <v/>
      </c>
      <c r="N1152" s="54">
        <f>IF($B1152=0,NA(),IF(Inputs!$C$18&lt;&gt;"Yes",NA(),IF(COUNT(I1152,J1152,K1152,L1152,M1152)=0,NA(),MIN(I1152,J1152,K1152,L1152,M1152))))</f>
        <v/>
      </c>
      <c r="O1152" s="54">
        <f>IF($B1152=0,NA(),IF(Inputs!$B$24&lt;&gt;"Yes",NA(),Inputs!$D$24*Inputs!$C$35))</f>
        <v/>
      </c>
      <c r="P1152" s="54">
        <f>IF($B1152=0,NA(),IF(Inputs!$B$25&lt;&gt;"Yes",NA(),Inputs!$D$25*Inputs!$C$35))</f>
        <v/>
      </c>
      <c r="Q1152" s="54">
        <f>IF($B1152=0,NA(),IF(Inputs!$B$26&lt;&gt;"Yes",NA(),Inputs!$D$26*Inputs!$C$35))</f>
        <v/>
      </c>
      <c r="R1152" s="54">
        <f>IF($B1152=0,NA(),IF(Inputs!$B$27&lt;&gt;"Yes",NA(),Inputs!$D$27*Inputs!$C$35))</f>
        <v/>
      </c>
      <c r="S1152" s="54">
        <f>IF($B1152=0,NA(),IF(Inputs!$B$28&lt;&gt;"Yes",NA(),Inputs!$D$28*Inputs!$C$35))</f>
        <v/>
      </c>
      <c r="T1152" s="54">
        <f>IF($B1152=0,NA(),IF(Inputs!$B$29&lt;&gt;"Yes",NA(),Inputs!$D$29*Inputs!$C$35))</f>
        <v/>
      </c>
      <c r="AD1152">
        <f>IF($B1152=0,0,IF(Inputs!$B$6="",0,COUNTIFS(Data!$A$10:$A$3209,"&gt;="&amp;$A1152,Data!$A$10:$A$3209,"&lt;"&amp;$A1152+1)))</f>
        <v/>
      </c>
      <c r="AE1152">
        <f>IF($B1152=0,0,IF(Inputs!$B$7="",0,COUNTIFS(Data!$E$10:$E$3209,"&gt;="&amp;$A1152,Data!$E$10:$E$3209,"&lt;"&amp;$A1152+1)))</f>
        <v/>
      </c>
      <c r="AF1152">
        <f>IF($B1152=0,0,IF(Inputs!$B$8="",0,COUNTIFS(Data!$I$10:$I$3209,"&gt;="&amp;$A1152,Data!$I$10:$I$3209,"&lt;"&amp;$A1152+1)))</f>
        <v/>
      </c>
      <c r="AG1152">
        <f>IF($B1152=0,0,IF(Inputs!$B$9="",0,COUNTIFS(Data!$M$10:$M$3209,"&gt;="&amp;$A1152,Data!$M$10:$M$3209,"&lt;"&amp;$A1152+1)))</f>
        <v/>
      </c>
      <c r="AH1152">
        <f>IF($B1152=0,0,IF(Inputs!$B$10="",0,COUNTIFS(Data!$Q$10:$Q$3209,"&gt;="&amp;$A1152,Data!$Q$10:$Q$3209,"&lt;"&amp;$A1152+1)))</f>
        <v/>
      </c>
    </row>
    <row r="1153">
      <c r="A1153" s="55">
        <f>MIN(Inputs!$C$15,$A1152+IF(WEEKDAY($A1152,2)=5,3,1))</f>
        <v/>
      </c>
      <c r="B1153">
        <f>IF($A1153&gt;$A1152,1,0)</f>
        <v/>
      </c>
      <c r="C1153" s="56">
        <f>IF($B1153=0,"",IF(Inputs!$B$6="","",IF($AD1153=0,C1152,SUMIFS(Data!$B$10:$B$3209,Data!$A$10:$A$3209,"&gt;="&amp;$A1153,Data!$A$10:$A$3209,"&lt;"&amp;$A1153+1)/$AD1153)))</f>
        <v/>
      </c>
      <c r="D1153" s="56">
        <f>IF($B1153=0,"",IF(Inputs!$B$7="","",IF($AE1153=0,D1152,SUMIFS(Data!$F$10:$F$3209,Data!$E$10:$E$3209,"&gt;="&amp;$A1153,Data!$E$10:$E$3209,"&lt;"&amp;$A1153+1)/$AE1153)))</f>
        <v/>
      </c>
      <c r="E1153" s="56">
        <f>IF($B1153=0,"",IF(Inputs!$B$8="","",IF($AF1153=0,E1152,SUMIFS(Data!$J$10:$J$3209,Data!$I$10:$I$3209,"&gt;="&amp;$A1153,Data!$I$10:$I$3209,"&lt;"&amp;$A1153+1)/$AF1153)))</f>
        <v/>
      </c>
      <c r="F1153" s="56">
        <f>IF($B1153=0,"",IF(Inputs!$B$9="","",IF($AG1153=0,F1152,SUMIFS(Data!$N$10:$N$3209,Data!$M$10:$M$3209,"&gt;="&amp;$A1153,Data!$M$10:$M$3209,"&lt;"&amp;$A1153+1)/$AG1153)))</f>
        <v/>
      </c>
      <c r="G1153" s="56">
        <f>IF($B1153=0,"",IF(Inputs!$B$10="","",IF($AH1153=0,G1152,SUMIFS(Data!$R$10:$R$3209,Data!$Q$10:$Q$3209,"&gt;="&amp;$A1153,Data!$Q$10:$Q$3209,"&lt;"&amp;$A1153+1)/$AH1153)))</f>
        <v/>
      </c>
      <c r="I1153" s="54">
        <f>IF($B1153=0,NA(),IF($C1153="",NA(),IF(C$8="",NA(),IF(N(C$8)=0,NA(),IF(Inputs!$C$17="Rebased to 100",$C1153/C$8*100,$C1153)))))</f>
        <v/>
      </c>
      <c r="J1153" s="54">
        <f>IF($B1153=0,NA(),IF($D1153="",NA(),IF(D$8="",NA(),IF(N(D$8)=0,NA(),IF(Inputs!$C$17="Rebased to 100",$D1153/D$8*100,$D1153)))))</f>
        <v/>
      </c>
      <c r="K1153" s="54">
        <f>IF($B1153=0,NA(),IF($E1153="",NA(),IF(E$8="",NA(),IF(N(E$8)=0,NA(),IF(Inputs!$C$17="Rebased to 100",$E1153/E$8*100,$E1153)))))</f>
        <v/>
      </c>
      <c r="L1153" s="54">
        <f>IF($B1153=0,NA(),IF($F1153="",NA(),IF(F$8="",NA(),IF(N(F$8)=0,NA(),IF(Inputs!$C$17="Rebased to 100",$F1153/F$8*100,$F1153)))))</f>
        <v/>
      </c>
      <c r="M1153" s="54">
        <f>IF($B1153=0,NA(),IF($G1153="",NA(),IF(G$8="",NA(),IF(N(G$8)=0,NA(),IF(Inputs!$C$17="Rebased to 100",$G1153/G$8*100,$G1153)))))</f>
        <v/>
      </c>
      <c r="N1153" s="54">
        <f>IF($B1153=0,NA(),IF(Inputs!$C$18&lt;&gt;"Yes",NA(),IF(COUNT(I1153,J1153,K1153,L1153,M1153)=0,NA(),MIN(I1153,J1153,K1153,L1153,M1153))))</f>
        <v/>
      </c>
      <c r="O1153" s="54">
        <f>IF($B1153=0,NA(),IF(Inputs!$B$24&lt;&gt;"Yes",NA(),Inputs!$D$24*Inputs!$C$35))</f>
        <v/>
      </c>
      <c r="P1153" s="54">
        <f>IF($B1153=0,NA(),IF(Inputs!$B$25&lt;&gt;"Yes",NA(),Inputs!$D$25*Inputs!$C$35))</f>
        <v/>
      </c>
      <c r="Q1153" s="54">
        <f>IF($B1153=0,NA(),IF(Inputs!$B$26&lt;&gt;"Yes",NA(),Inputs!$D$26*Inputs!$C$35))</f>
        <v/>
      </c>
      <c r="R1153" s="54">
        <f>IF($B1153=0,NA(),IF(Inputs!$B$27&lt;&gt;"Yes",NA(),Inputs!$D$27*Inputs!$C$35))</f>
        <v/>
      </c>
      <c r="S1153" s="54">
        <f>IF($B1153=0,NA(),IF(Inputs!$B$28&lt;&gt;"Yes",NA(),Inputs!$D$28*Inputs!$C$35))</f>
        <v/>
      </c>
      <c r="T1153" s="54">
        <f>IF($B1153=0,NA(),IF(Inputs!$B$29&lt;&gt;"Yes",NA(),Inputs!$D$29*Inputs!$C$35))</f>
        <v/>
      </c>
      <c r="AD1153">
        <f>IF($B1153=0,0,IF(Inputs!$B$6="",0,COUNTIFS(Data!$A$10:$A$3209,"&gt;="&amp;$A1153,Data!$A$10:$A$3209,"&lt;"&amp;$A1153+1)))</f>
        <v/>
      </c>
      <c r="AE1153">
        <f>IF($B1153=0,0,IF(Inputs!$B$7="",0,COUNTIFS(Data!$E$10:$E$3209,"&gt;="&amp;$A1153,Data!$E$10:$E$3209,"&lt;"&amp;$A1153+1)))</f>
        <v/>
      </c>
      <c r="AF1153">
        <f>IF($B1153=0,0,IF(Inputs!$B$8="",0,COUNTIFS(Data!$I$10:$I$3209,"&gt;="&amp;$A1153,Data!$I$10:$I$3209,"&lt;"&amp;$A1153+1)))</f>
        <v/>
      </c>
      <c r="AG1153">
        <f>IF($B1153=0,0,IF(Inputs!$B$9="",0,COUNTIFS(Data!$M$10:$M$3209,"&gt;="&amp;$A1153,Data!$M$10:$M$3209,"&lt;"&amp;$A1153+1)))</f>
        <v/>
      </c>
      <c r="AH1153">
        <f>IF($B1153=0,0,IF(Inputs!$B$10="",0,COUNTIFS(Data!$Q$10:$Q$3209,"&gt;="&amp;$A1153,Data!$Q$10:$Q$3209,"&lt;"&amp;$A1153+1)))</f>
        <v/>
      </c>
    </row>
    <row r="1154">
      <c r="A1154" s="55">
        <f>MIN(Inputs!$C$15,$A1153+IF(WEEKDAY($A1153,2)=5,3,1))</f>
        <v/>
      </c>
      <c r="B1154">
        <f>IF($A1154&gt;$A1153,1,0)</f>
        <v/>
      </c>
      <c r="C1154" s="56">
        <f>IF($B1154=0,"",IF(Inputs!$B$6="","",IF($AD1154=0,C1153,SUMIFS(Data!$B$10:$B$3209,Data!$A$10:$A$3209,"&gt;="&amp;$A1154,Data!$A$10:$A$3209,"&lt;"&amp;$A1154+1)/$AD1154)))</f>
        <v/>
      </c>
      <c r="D1154" s="56">
        <f>IF($B1154=0,"",IF(Inputs!$B$7="","",IF($AE1154=0,D1153,SUMIFS(Data!$F$10:$F$3209,Data!$E$10:$E$3209,"&gt;="&amp;$A1154,Data!$E$10:$E$3209,"&lt;"&amp;$A1154+1)/$AE1154)))</f>
        <v/>
      </c>
      <c r="E1154" s="56">
        <f>IF($B1154=0,"",IF(Inputs!$B$8="","",IF($AF1154=0,E1153,SUMIFS(Data!$J$10:$J$3209,Data!$I$10:$I$3209,"&gt;="&amp;$A1154,Data!$I$10:$I$3209,"&lt;"&amp;$A1154+1)/$AF1154)))</f>
        <v/>
      </c>
      <c r="F1154" s="56">
        <f>IF($B1154=0,"",IF(Inputs!$B$9="","",IF($AG1154=0,F1153,SUMIFS(Data!$N$10:$N$3209,Data!$M$10:$M$3209,"&gt;="&amp;$A1154,Data!$M$10:$M$3209,"&lt;"&amp;$A1154+1)/$AG1154)))</f>
        <v/>
      </c>
      <c r="G1154" s="56">
        <f>IF($B1154=0,"",IF(Inputs!$B$10="","",IF($AH1154=0,G1153,SUMIFS(Data!$R$10:$R$3209,Data!$Q$10:$Q$3209,"&gt;="&amp;$A1154,Data!$Q$10:$Q$3209,"&lt;"&amp;$A1154+1)/$AH1154)))</f>
        <v/>
      </c>
      <c r="I1154" s="54">
        <f>IF($B1154=0,NA(),IF($C1154="",NA(),IF(C$8="",NA(),IF(N(C$8)=0,NA(),IF(Inputs!$C$17="Rebased to 100",$C1154/C$8*100,$C1154)))))</f>
        <v/>
      </c>
      <c r="J1154" s="54">
        <f>IF($B1154=0,NA(),IF($D1154="",NA(),IF(D$8="",NA(),IF(N(D$8)=0,NA(),IF(Inputs!$C$17="Rebased to 100",$D1154/D$8*100,$D1154)))))</f>
        <v/>
      </c>
      <c r="K1154" s="54">
        <f>IF($B1154=0,NA(),IF($E1154="",NA(),IF(E$8="",NA(),IF(N(E$8)=0,NA(),IF(Inputs!$C$17="Rebased to 100",$E1154/E$8*100,$E1154)))))</f>
        <v/>
      </c>
      <c r="L1154" s="54">
        <f>IF($B1154=0,NA(),IF($F1154="",NA(),IF(F$8="",NA(),IF(N(F$8)=0,NA(),IF(Inputs!$C$17="Rebased to 100",$F1154/F$8*100,$F1154)))))</f>
        <v/>
      </c>
      <c r="M1154" s="54">
        <f>IF($B1154=0,NA(),IF($G1154="",NA(),IF(G$8="",NA(),IF(N(G$8)=0,NA(),IF(Inputs!$C$17="Rebased to 100",$G1154/G$8*100,$G1154)))))</f>
        <v/>
      </c>
      <c r="N1154" s="54">
        <f>IF($B1154=0,NA(),IF(Inputs!$C$18&lt;&gt;"Yes",NA(),IF(COUNT(I1154,J1154,K1154,L1154,M1154)=0,NA(),MIN(I1154,J1154,K1154,L1154,M1154))))</f>
        <v/>
      </c>
      <c r="O1154" s="54">
        <f>IF($B1154=0,NA(),IF(Inputs!$B$24&lt;&gt;"Yes",NA(),Inputs!$D$24*Inputs!$C$35))</f>
        <v/>
      </c>
      <c r="P1154" s="54">
        <f>IF($B1154=0,NA(),IF(Inputs!$B$25&lt;&gt;"Yes",NA(),Inputs!$D$25*Inputs!$C$35))</f>
        <v/>
      </c>
      <c r="Q1154" s="54">
        <f>IF($B1154=0,NA(),IF(Inputs!$B$26&lt;&gt;"Yes",NA(),Inputs!$D$26*Inputs!$C$35))</f>
        <v/>
      </c>
      <c r="R1154" s="54">
        <f>IF($B1154=0,NA(),IF(Inputs!$B$27&lt;&gt;"Yes",NA(),Inputs!$D$27*Inputs!$C$35))</f>
        <v/>
      </c>
      <c r="S1154" s="54">
        <f>IF($B1154=0,NA(),IF(Inputs!$B$28&lt;&gt;"Yes",NA(),Inputs!$D$28*Inputs!$C$35))</f>
        <v/>
      </c>
      <c r="T1154" s="54">
        <f>IF($B1154=0,NA(),IF(Inputs!$B$29&lt;&gt;"Yes",NA(),Inputs!$D$29*Inputs!$C$35))</f>
        <v/>
      </c>
      <c r="AD1154">
        <f>IF($B1154=0,0,IF(Inputs!$B$6="",0,COUNTIFS(Data!$A$10:$A$3209,"&gt;="&amp;$A1154,Data!$A$10:$A$3209,"&lt;"&amp;$A1154+1)))</f>
        <v/>
      </c>
      <c r="AE1154">
        <f>IF($B1154=0,0,IF(Inputs!$B$7="",0,COUNTIFS(Data!$E$10:$E$3209,"&gt;="&amp;$A1154,Data!$E$10:$E$3209,"&lt;"&amp;$A1154+1)))</f>
        <v/>
      </c>
      <c r="AF1154">
        <f>IF($B1154=0,0,IF(Inputs!$B$8="",0,COUNTIFS(Data!$I$10:$I$3209,"&gt;="&amp;$A1154,Data!$I$10:$I$3209,"&lt;"&amp;$A1154+1)))</f>
        <v/>
      </c>
      <c r="AG1154">
        <f>IF($B1154=0,0,IF(Inputs!$B$9="",0,COUNTIFS(Data!$M$10:$M$3209,"&gt;="&amp;$A1154,Data!$M$10:$M$3209,"&lt;"&amp;$A1154+1)))</f>
        <v/>
      </c>
      <c r="AH1154">
        <f>IF($B1154=0,0,IF(Inputs!$B$10="",0,COUNTIFS(Data!$Q$10:$Q$3209,"&gt;="&amp;$A1154,Data!$Q$10:$Q$3209,"&lt;"&amp;$A1154+1)))</f>
        <v/>
      </c>
    </row>
    <row r="1155">
      <c r="A1155" s="55">
        <f>MIN(Inputs!$C$15,$A1154+IF(WEEKDAY($A1154,2)=5,3,1))</f>
        <v/>
      </c>
      <c r="B1155">
        <f>IF($A1155&gt;$A1154,1,0)</f>
        <v/>
      </c>
      <c r="C1155" s="56">
        <f>IF($B1155=0,"",IF(Inputs!$B$6="","",IF($AD1155=0,C1154,SUMIFS(Data!$B$10:$B$3209,Data!$A$10:$A$3209,"&gt;="&amp;$A1155,Data!$A$10:$A$3209,"&lt;"&amp;$A1155+1)/$AD1155)))</f>
        <v/>
      </c>
      <c r="D1155" s="56">
        <f>IF($B1155=0,"",IF(Inputs!$B$7="","",IF($AE1155=0,D1154,SUMIFS(Data!$F$10:$F$3209,Data!$E$10:$E$3209,"&gt;="&amp;$A1155,Data!$E$10:$E$3209,"&lt;"&amp;$A1155+1)/$AE1155)))</f>
        <v/>
      </c>
      <c r="E1155" s="56">
        <f>IF($B1155=0,"",IF(Inputs!$B$8="","",IF($AF1155=0,E1154,SUMIFS(Data!$J$10:$J$3209,Data!$I$10:$I$3209,"&gt;="&amp;$A1155,Data!$I$10:$I$3209,"&lt;"&amp;$A1155+1)/$AF1155)))</f>
        <v/>
      </c>
      <c r="F1155" s="56">
        <f>IF($B1155=0,"",IF(Inputs!$B$9="","",IF($AG1155=0,F1154,SUMIFS(Data!$N$10:$N$3209,Data!$M$10:$M$3209,"&gt;="&amp;$A1155,Data!$M$10:$M$3209,"&lt;"&amp;$A1155+1)/$AG1155)))</f>
        <v/>
      </c>
      <c r="G1155" s="56">
        <f>IF($B1155=0,"",IF(Inputs!$B$10="","",IF($AH1155=0,G1154,SUMIFS(Data!$R$10:$R$3209,Data!$Q$10:$Q$3209,"&gt;="&amp;$A1155,Data!$Q$10:$Q$3209,"&lt;"&amp;$A1155+1)/$AH1155)))</f>
        <v/>
      </c>
      <c r="I1155" s="54">
        <f>IF($B1155=0,NA(),IF($C1155="",NA(),IF(C$8="",NA(),IF(N(C$8)=0,NA(),IF(Inputs!$C$17="Rebased to 100",$C1155/C$8*100,$C1155)))))</f>
        <v/>
      </c>
      <c r="J1155" s="54">
        <f>IF($B1155=0,NA(),IF($D1155="",NA(),IF(D$8="",NA(),IF(N(D$8)=0,NA(),IF(Inputs!$C$17="Rebased to 100",$D1155/D$8*100,$D1155)))))</f>
        <v/>
      </c>
      <c r="K1155" s="54">
        <f>IF($B1155=0,NA(),IF($E1155="",NA(),IF(E$8="",NA(),IF(N(E$8)=0,NA(),IF(Inputs!$C$17="Rebased to 100",$E1155/E$8*100,$E1155)))))</f>
        <v/>
      </c>
      <c r="L1155" s="54">
        <f>IF($B1155=0,NA(),IF($F1155="",NA(),IF(F$8="",NA(),IF(N(F$8)=0,NA(),IF(Inputs!$C$17="Rebased to 100",$F1155/F$8*100,$F1155)))))</f>
        <v/>
      </c>
      <c r="M1155" s="54">
        <f>IF($B1155=0,NA(),IF($G1155="",NA(),IF(G$8="",NA(),IF(N(G$8)=0,NA(),IF(Inputs!$C$17="Rebased to 100",$G1155/G$8*100,$G1155)))))</f>
        <v/>
      </c>
      <c r="N1155" s="54">
        <f>IF($B1155=0,NA(),IF(Inputs!$C$18&lt;&gt;"Yes",NA(),IF(COUNT(I1155,J1155,K1155,L1155,M1155)=0,NA(),MIN(I1155,J1155,K1155,L1155,M1155))))</f>
        <v/>
      </c>
      <c r="O1155" s="54">
        <f>IF($B1155=0,NA(),IF(Inputs!$B$24&lt;&gt;"Yes",NA(),Inputs!$D$24*Inputs!$C$35))</f>
        <v/>
      </c>
      <c r="P1155" s="54">
        <f>IF($B1155=0,NA(),IF(Inputs!$B$25&lt;&gt;"Yes",NA(),Inputs!$D$25*Inputs!$C$35))</f>
        <v/>
      </c>
      <c r="Q1155" s="54">
        <f>IF($B1155=0,NA(),IF(Inputs!$B$26&lt;&gt;"Yes",NA(),Inputs!$D$26*Inputs!$C$35))</f>
        <v/>
      </c>
      <c r="R1155" s="54">
        <f>IF($B1155=0,NA(),IF(Inputs!$B$27&lt;&gt;"Yes",NA(),Inputs!$D$27*Inputs!$C$35))</f>
        <v/>
      </c>
      <c r="S1155" s="54">
        <f>IF($B1155=0,NA(),IF(Inputs!$B$28&lt;&gt;"Yes",NA(),Inputs!$D$28*Inputs!$C$35))</f>
        <v/>
      </c>
      <c r="T1155" s="54">
        <f>IF($B1155=0,NA(),IF(Inputs!$B$29&lt;&gt;"Yes",NA(),Inputs!$D$29*Inputs!$C$35))</f>
        <v/>
      </c>
      <c r="AD1155">
        <f>IF($B1155=0,0,IF(Inputs!$B$6="",0,COUNTIFS(Data!$A$10:$A$3209,"&gt;="&amp;$A1155,Data!$A$10:$A$3209,"&lt;"&amp;$A1155+1)))</f>
        <v/>
      </c>
      <c r="AE1155">
        <f>IF($B1155=0,0,IF(Inputs!$B$7="",0,COUNTIFS(Data!$E$10:$E$3209,"&gt;="&amp;$A1155,Data!$E$10:$E$3209,"&lt;"&amp;$A1155+1)))</f>
        <v/>
      </c>
      <c r="AF1155">
        <f>IF($B1155=0,0,IF(Inputs!$B$8="",0,COUNTIFS(Data!$I$10:$I$3209,"&gt;="&amp;$A1155,Data!$I$10:$I$3209,"&lt;"&amp;$A1155+1)))</f>
        <v/>
      </c>
      <c r="AG1155">
        <f>IF($B1155=0,0,IF(Inputs!$B$9="",0,COUNTIFS(Data!$M$10:$M$3209,"&gt;="&amp;$A1155,Data!$M$10:$M$3209,"&lt;"&amp;$A1155+1)))</f>
        <v/>
      </c>
      <c r="AH1155">
        <f>IF($B1155=0,0,IF(Inputs!$B$10="",0,COUNTIFS(Data!$Q$10:$Q$3209,"&gt;="&amp;$A1155,Data!$Q$10:$Q$3209,"&lt;"&amp;$A1155+1)))</f>
        <v/>
      </c>
    </row>
    <row r="1156">
      <c r="A1156" s="55">
        <f>MIN(Inputs!$C$15,$A1155+IF(WEEKDAY($A1155,2)=5,3,1))</f>
        <v/>
      </c>
      <c r="B1156">
        <f>IF($A1156&gt;$A1155,1,0)</f>
        <v/>
      </c>
      <c r="C1156" s="56">
        <f>IF($B1156=0,"",IF(Inputs!$B$6="","",IF($AD1156=0,C1155,SUMIFS(Data!$B$10:$B$3209,Data!$A$10:$A$3209,"&gt;="&amp;$A1156,Data!$A$10:$A$3209,"&lt;"&amp;$A1156+1)/$AD1156)))</f>
        <v/>
      </c>
      <c r="D1156" s="56">
        <f>IF($B1156=0,"",IF(Inputs!$B$7="","",IF($AE1156=0,D1155,SUMIFS(Data!$F$10:$F$3209,Data!$E$10:$E$3209,"&gt;="&amp;$A1156,Data!$E$10:$E$3209,"&lt;"&amp;$A1156+1)/$AE1156)))</f>
        <v/>
      </c>
      <c r="E1156" s="56">
        <f>IF($B1156=0,"",IF(Inputs!$B$8="","",IF($AF1156=0,E1155,SUMIFS(Data!$J$10:$J$3209,Data!$I$10:$I$3209,"&gt;="&amp;$A1156,Data!$I$10:$I$3209,"&lt;"&amp;$A1156+1)/$AF1156)))</f>
        <v/>
      </c>
      <c r="F1156" s="56">
        <f>IF($B1156=0,"",IF(Inputs!$B$9="","",IF($AG1156=0,F1155,SUMIFS(Data!$N$10:$N$3209,Data!$M$10:$M$3209,"&gt;="&amp;$A1156,Data!$M$10:$M$3209,"&lt;"&amp;$A1156+1)/$AG1156)))</f>
        <v/>
      </c>
      <c r="G1156" s="56">
        <f>IF($B1156=0,"",IF(Inputs!$B$10="","",IF($AH1156=0,G1155,SUMIFS(Data!$R$10:$R$3209,Data!$Q$10:$Q$3209,"&gt;="&amp;$A1156,Data!$Q$10:$Q$3209,"&lt;"&amp;$A1156+1)/$AH1156)))</f>
        <v/>
      </c>
      <c r="I1156" s="54">
        <f>IF($B1156=0,NA(),IF($C1156="",NA(),IF(C$8="",NA(),IF(N(C$8)=0,NA(),IF(Inputs!$C$17="Rebased to 100",$C1156/C$8*100,$C1156)))))</f>
        <v/>
      </c>
      <c r="J1156" s="54">
        <f>IF($B1156=0,NA(),IF($D1156="",NA(),IF(D$8="",NA(),IF(N(D$8)=0,NA(),IF(Inputs!$C$17="Rebased to 100",$D1156/D$8*100,$D1156)))))</f>
        <v/>
      </c>
      <c r="K1156" s="54">
        <f>IF($B1156=0,NA(),IF($E1156="",NA(),IF(E$8="",NA(),IF(N(E$8)=0,NA(),IF(Inputs!$C$17="Rebased to 100",$E1156/E$8*100,$E1156)))))</f>
        <v/>
      </c>
      <c r="L1156" s="54">
        <f>IF($B1156=0,NA(),IF($F1156="",NA(),IF(F$8="",NA(),IF(N(F$8)=0,NA(),IF(Inputs!$C$17="Rebased to 100",$F1156/F$8*100,$F1156)))))</f>
        <v/>
      </c>
      <c r="M1156" s="54">
        <f>IF($B1156=0,NA(),IF($G1156="",NA(),IF(G$8="",NA(),IF(N(G$8)=0,NA(),IF(Inputs!$C$17="Rebased to 100",$G1156/G$8*100,$G1156)))))</f>
        <v/>
      </c>
      <c r="N1156" s="54">
        <f>IF($B1156=0,NA(),IF(Inputs!$C$18&lt;&gt;"Yes",NA(),IF(COUNT(I1156,J1156,K1156,L1156,M1156)=0,NA(),MIN(I1156,J1156,K1156,L1156,M1156))))</f>
        <v/>
      </c>
      <c r="O1156" s="54">
        <f>IF($B1156=0,NA(),IF(Inputs!$B$24&lt;&gt;"Yes",NA(),Inputs!$D$24*Inputs!$C$35))</f>
        <v/>
      </c>
      <c r="P1156" s="54">
        <f>IF($B1156=0,NA(),IF(Inputs!$B$25&lt;&gt;"Yes",NA(),Inputs!$D$25*Inputs!$C$35))</f>
        <v/>
      </c>
      <c r="Q1156" s="54">
        <f>IF($B1156=0,NA(),IF(Inputs!$B$26&lt;&gt;"Yes",NA(),Inputs!$D$26*Inputs!$C$35))</f>
        <v/>
      </c>
      <c r="R1156" s="54">
        <f>IF($B1156=0,NA(),IF(Inputs!$B$27&lt;&gt;"Yes",NA(),Inputs!$D$27*Inputs!$C$35))</f>
        <v/>
      </c>
      <c r="S1156" s="54">
        <f>IF($B1156=0,NA(),IF(Inputs!$B$28&lt;&gt;"Yes",NA(),Inputs!$D$28*Inputs!$C$35))</f>
        <v/>
      </c>
      <c r="T1156" s="54">
        <f>IF($B1156=0,NA(),IF(Inputs!$B$29&lt;&gt;"Yes",NA(),Inputs!$D$29*Inputs!$C$35))</f>
        <v/>
      </c>
      <c r="AD1156">
        <f>IF($B1156=0,0,IF(Inputs!$B$6="",0,COUNTIFS(Data!$A$10:$A$3209,"&gt;="&amp;$A1156,Data!$A$10:$A$3209,"&lt;"&amp;$A1156+1)))</f>
        <v/>
      </c>
      <c r="AE1156">
        <f>IF($B1156=0,0,IF(Inputs!$B$7="",0,COUNTIFS(Data!$E$10:$E$3209,"&gt;="&amp;$A1156,Data!$E$10:$E$3209,"&lt;"&amp;$A1156+1)))</f>
        <v/>
      </c>
      <c r="AF1156">
        <f>IF($B1156=0,0,IF(Inputs!$B$8="",0,COUNTIFS(Data!$I$10:$I$3209,"&gt;="&amp;$A1156,Data!$I$10:$I$3209,"&lt;"&amp;$A1156+1)))</f>
        <v/>
      </c>
      <c r="AG1156">
        <f>IF($B1156=0,0,IF(Inputs!$B$9="",0,COUNTIFS(Data!$M$10:$M$3209,"&gt;="&amp;$A1156,Data!$M$10:$M$3209,"&lt;"&amp;$A1156+1)))</f>
        <v/>
      </c>
      <c r="AH1156">
        <f>IF($B1156=0,0,IF(Inputs!$B$10="",0,COUNTIFS(Data!$Q$10:$Q$3209,"&gt;="&amp;$A1156,Data!$Q$10:$Q$3209,"&lt;"&amp;$A1156+1)))</f>
        <v/>
      </c>
    </row>
    <row r="1157">
      <c r="A1157" s="55">
        <f>MIN(Inputs!$C$15,$A1156+IF(WEEKDAY($A1156,2)=5,3,1))</f>
        <v/>
      </c>
      <c r="B1157">
        <f>IF($A1157&gt;$A1156,1,0)</f>
        <v/>
      </c>
      <c r="C1157" s="56">
        <f>IF($B1157=0,"",IF(Inputs!$B$6="","",IF($AD1157=0,C1156,SUMIFS(Data!$B$10:$B$3209,Data!$A$10:$A$3209,"&gt;="&amp;$A1157,Data!$A$10:$A$3209,"&lt;"&amp;$A1157+1)/$AD1157)))</f>
        <v/>
      </c>
      <c r="D1157" s="56">
        <f>IF($B1157=0,"",IF(Inputs!$B$7="","",IF($AE1157=0,D1156,SUMIFS(Data!$F$10:$F$3209,Data!$E$10:$E$3209,"&gt;="&amp;$A1157,Data!$E$10:$E$3209,"&lt;"&amp;$A1157+1)/$AE1157)))</f>
        <v/>
      </c>
      <c r="E1157" s="56">
        <f>IF($B1157=0,"",IF(Inputs!$B$8="","",IF($AF1157=0,E1156,SUMIFS(Data!$J$10:$J$3209,Data!$I$10:$I$3209,"&gt;="&amp;$A1157,Data!$I$10:$I$3209,"&lt;"&amp;$A1157+1)/$AF1157)))</f>
        <v/>
      </c>
      <c r="F1157" s="56">
        <f>IF($B1157=0,"",IF(Inputs!$B$9="","",IF($AG1157=0,F1156,SUMIFS(Data!$N$10:$N$3209,Data!$M$10:$M$3209,"&gt;="&amp;$A1157,Data!$M$10:$M$3209,"&lt;"&amp;$A1157+1)/$AG1157)))</f>
        <v/>
      </c>
      <c r="G1157" s="56">
        <f>IF($B1157=0,"",IF(Inputs!$B$10="","",IF($AH1157=0,G1156,SUMIFS(Data!$R$10:$R$3209,Data!$Q$10:$Q$3209,"&gt;="&amp;$A1157,Data!$Q$10:$Q$3209,"&lt;"&amp;$A1157+1)/$AH1157)))</f>
        <v/>
      </c>
      <c r="I1157" s="54">
        <f>IF($B1157=0,NA(),IF($C1157="",NA(),IF(C$8="",NA(),IF(N(C$8)=0,NA(),IF(Inputs!$C$17="Rebased to 100",$C1157/C$8*100,$C1157)))))</f>
        <v/>
      </c>
      <c r="J1157" s="54">
        <f>IF($B1157=0,NA(),IF($D1157="",NA(),IF(D$8="",NA(),IF(N(D$8)=0,NA(),IF(Inputs!$C$17="Rebased to 100",$D1157/D$8*100,$D1157)))))</f>
        <v/>
      </c>
      <c r="K1157" s="54">
        <f>IF($B1157=0,NA(),IF($E1157="",NA(),IF(E$8="",NA(),IF(N(E$8)=0,NA(),IF(Inputs!$C$17="Rebased to 100",$E1157/E$8*100,$E1157)))))</f>
        <v/>
      </c>
      <c r="L1157" s="54">
        <f>IF($B1157=0,NA(),IF($F1157="",NA(),IF(F$8="",NA(),IF(N(F$8)=0,NA(),IF(Inputs!$C$17="Rebased to 100",$F1157/F$8*100,$F1157)))))</f>
        <v/>
      </c>
      <c r="M1157" s="54">
        <f>IF($B1157=0,NA(),IF($G1157="",NA(),IF(G$8="",NA(),IF(N(G$8)=0,NA(),IF(Inputs!$C$17="Rebased to 100",$G1157/G$8*100,$G1157)))))</f>
        <v/>
      </c>
      <c r="N1157" s="54">
        <f>IF($B1157=0,NA(),IF(Inputs!$C$18&lt;&gt;"Yes",NA(),IF(COUNT(I1157,J1157,K1157,L1157,M1157)=0,NA(),MIN(I1157,J1157,K1157,L1157,M1157))))</f>
        <v/>
      </c>
      <c r="O1157" s="54">
        <f>IF($B1157=0,NA(),IF(Inputs!$B$24&lt;&gt;"Yes",NA(),Inputs!$D$24*Inputs!$C$35))</f>
        <v/>
      </c>
      <c r="P1157" s="54">
        <f>IF($B1157=0,NA(),IF(Inputs!$B$25&lt;&gt;"Yes",NA(),Inputs!$D$25*Inputs!$C$35))</f>
        <v/>
      </c>
      <c r="Q1157" s="54">
        <f>IF($B1157=0,NA(),IF(Inputs!$B$26&lt;&gt;"Yes",NA(),Inputs!$D$26*Inputs!$C$35))</f>
        <v/>
      </c>
      <c r="R1157" s="54">
        <f>IF($B1157=0,NA(),IF(Inputs!$B$27&lt;&gt;"Yes",NA(),Inputs!$D$27*Inputs!$C$35))</f>
        <v/>
      </c>
      <c r="S1157" s="54">
        <f>IF($B1157=0,NA(),IF(Inputs!$B$28&lt;&gt;"Yes",NA(),Inputs!$D$28*Inputs!$C$35))</f>
        <v/>
      </c>
      <c r="T1157" s="54">
        <f>IF($B1157=0,NA(),IF(Inputs!$B$29&lt;&gt;"Yes",NA(),Inputs!$D$29*Inputs!$C$35))</f>
        <v/>
      </c>
      <c r="AD1157">
        <f>IF($B1157=0,0,IF(Inputs!$B$6="",0,COUNTIFS(Data!$A$10:$A$3209,"&gt;="&amp;$A1157,Data!$A$10:$A$3209,"&lt;"&amp;$A1157+1)))</f>
        <v/>
      </c>
      <c r="AE1157">
        <f>IF($B1157=0,0,IF(Inputs!$B$7="",0,COUNTIFS(Data!$E$10:$E$3209,"&gt;="&amp;$A1157,Data!$E$10:$E$3209,"&lt;"&amp;$A1157+1)))</f>
        <v/>
      </c>
      <c r="AF1157">
        <f>IF($B1157=0,0,IF(Inputs!$B$8="",0,COUNTIFS(Data!$I$10:$I$3209,"&gt;="&amp;$A1157,Data!$I$10:$I$3209,"&lt;"&amp;$A1157+1)))</f>
        <v/>
      </c>
      <c r="AG1157">
        <f>IF($B1157=0,0,IF(Inputs!$B$9="",0,COUNTIFS(Data!$M$10:$M$3209,"&gt;="&amp;$A1157,Data!$M$10:$M$3209,"&lt;"&amp;$A1157+1)))</f>
        <v/>
      </c>
      <c r="AH1157">
        <f>IF($B1157=0,0,IF(Inputs!$B$10="",0,COUNTIFS(Data!$Q$10:$Q$3209,"&gt;="&amp;$A1157,Data!$Q$10:$Q$3209,"&lt;"&amp;$A1157+1)))</f>
        <v/>
      </c>
    </row>
    <row r="1158">
      <c r="A1158" s="55">
        <f>MIN(Inputs!$C$15,$A1157+IF(WEEKDAY($A1157,2)=5,3,1))</f>
        <v/>
      </c>
      <c r="B1158">
        <f>IF($A1158&gt;$A1157,1,0)</f>
        <v/>
      </c>
      <c r="C1158" s="56">
        <f>IF($B1158=0,"",IF(Inputs!$B$6="","",IF($AD1158=0,C1157,SUMIFS(Data!$B$10:$B$3209,Data!$A$10:$A$3209,"&gt;="&amp;$A1158,Data!$A$10:$A$3209,"&lt;"&amp;$A1158+1)/$AD1158)))</f>
        <v/>
      </c>
      <c r="D1158" s="56">
        <f>IF($B1158=0,"",IF(Inputs!$B$7="","",IF($AE1158=0,D1157,SUMIFS(Data!$F$10:$F$3209,Data!$E$10:$E$3209,"&gt;="&amp;$A1158,Data!$E$10:$E$3209,"&lt;"&amp;$A1158+1)/$AE1158)))</f>
        <v/>
      </c>
      <c r="E1158" s="56">
        <f>IF($B1158=0,"",IF(Inputs!$B$8="","",IF($AF1158=0,E1157,SUMIFS(Data!$J$10:$J$3209,Data!$I$10:$I$3209,"&gt;="&amp;$A1158,Data!$I$10:$I$3209,"&lt;"&amp;$A1158+1)/$AF1158)))</f>
        <v/>
      </c>
      <c r="F1158" s="56">
        <f>IF($B1158=0,"",IF(Inputs!$B$9="","",IF($AG1158=0,F1157,SUMIFS(Data!$N$10:$N$3209,Data!$M$10:$M$3209,"&gt;="&amp;$A1158,Data!$M$10:$M$3209,"&lt;"&amp;$A1158+1)/$AG1158)))</f>
        <v/>
      </c>
      <c r="G1158" s="56">
        <f>IF($B1158=0,"",IF(Inputs!$B$10="","",IF($AH1158=0,G1157,SUMIFS(Data!$R$10:$R$3209,Data!$Q$10:$Q$3209,"&gt;="&amp;$A1158,Data!$Q$10:$Q$3209,"&lt;"&amp;$A1158+1)/$AH1158)))</f>
        <v/>
      </c>
      <c r="I1158" s="54">
        <f>IF($B1158=0,NA(),IF($C1158="",NA(),IF(C$8="",NA(),IF(N(C$8)=0,NA(),IF(Inputs!$C$17="Rebased to 100",$C1158/C$8*100,$C1158)))))</f>
        <v/>
      </c>
      <c r="J1158" s="54">
        <f>IF($B1158=0,NA(),IF($D1158="",NA(),IF(D$8="",NA(),IF(N(D$8)=0,NA(),IF(Inputs!$C$17="Rebased to 100",$D1158/D$8*100,$D1158)))))</f>
        <v/>
      </c>
      <c r="K1158" s="54">
        <f>IF($B1158=0,NA(),IF($E1158="",NA(),IF(E$8="",NA(),IF(N(E$8)=0,NA(),IF(Inputs!$C$17="Rebased to 100",$E1158/E$8*100,$E1158)))))</f>
        <v/>
      </c>
      <c r="L1158" s="54">
        <f>IF($B1158=0,NA(),IF($F1158="",NA(),IF(F$8="",NA(),IF(N(F$8)=0,NA(),IF(Inputs!$C$17="Rebased to 100",$F1158/F$8*100,$F1158)))))</f>
        <v/>
      </c>
      <c r="M1158" s="54">
        <f>IF($B1158=0,NA(),IF($G1158="",NA(),IF(G$8="",NA(),IF(N(G$8)=0,NA(),IF(Inputs!$C$17="Rebased to 100",$G1158/G$8*100,$G1158)))))</f>
        <v/>
      </c>
      <c r="N1158" s="54">
        <f>IF($B1158=0,NA(),IF(Inputs!$C$18&lt;&gt;"Yes",NA(),IF(COUNT(I1158,J1158,K1158,L1158,M1158)=0,NA(),MIN(I1158,J1158,K1158,L1158,M1158))))</f>
        <v/>
      </c>
      <c r="O1158" s="54">
        <f>IF($B1158=0,NA(),IF(Inputs!$B$24&lt;&gt;"Yes",NA(),Inputs!$D$24*Inputs!$C$35))</f>
        <v/>
      </c>
      <c r="P1158" s="54">
        <f>IF($B1158=0,NA(),IF(Inputs!$B$25&lt;&gt;"Yes",NA(),Inputs!$D$25*Inputs!$C$35))</f>
        <v/>
      </c>
      <c r="Q1158" s="54">
        <f>IF($B1158=0,NA(),IF(Inputs!$B$26&lt;&gt;"Yes",NA(),Inputs!$D$26*Inputs!$C$35))</f>
        <v/>
      </c>
      <c r="R1158" s="54">
        <f>IF($B1158=0,NA(),IF(Inputs!$B$27&lt;&gt;"Yes",NA(),Inputs!$D$27*Inputs!$C$35))</f>
        <v/>
      </c>
      <c r="S1158" s="54">
        <f>IF($B1158=0,NA(),IF(Inputs!$B$28&lt;&gt;"Yes",NA(),Inputs!$D$28*Inputs!$C$35))</f>
        <v/>
      </c>
      <c r="T1158" s="54">
        <f>IF($B1158=0,NA(),IF(Inputs!$B$29&lt;&gt;"Yes",NA(),Inputs!$D$29*Inputs!$C$35))</f>
        <v/>
      </c>
      <c r="AD1158">
        <f>IF($B1158=0,0,IF(Inputs!$B$6="",0,COUNTIFS(Data!$A$10:$A$3209,"&gt;="&amp;$A1158,Data!$A$10:$A$3209,"&lt;"&amp;$A1158+1)))</f>
        <v/>
      </c>
      <c r="AE1158">
        <f>IF($B1158=0,0,IF(Inputs!$B$7="",0,COUNTIFS(Data!$E$10:$E$3209,"&gt;="&amp;$A1158,Data!$E$10:$E$3209,"&lt;"&amp;$A1158+1)))</f>
        <v/>
      </c>
      <c r="AF1158">
        <f>IF($B1158=0,0,IF(Inputs!$B$8="",0,COUNTIFS(Data!$I$10:$I$3209,"&gt;="&amp;$A1158,Data!$I$10:$I$3209,"&lt;"&amp;$A1158+1)))</f>
        <v/>
      </c>
      <c r="AG1158">
        <f>IF($B1158=0,0,IF(Inputs!$B$9="",0,COUNTIFS(Data!$M$10:$M$3209,"&gt;="&amp;$A1158,Data!$M$10:$M$3209,"&lt;"&amp;$A1158+1)))</f>
        <v/>
      </c>
      <c r="AH1158">
        <f>IF($B1158=0,0,IF(Inputs!$B$10="",0,COUNTIFS(Data!$Q$10:$Q$3209,"&gt;="&amp;$A1158,Data!$Q$10:$Q$3209,"&lt;"&amp;$A1158+1)))</f>
        <v/>
      </c>
    </row>
    <row r="1159">
      <c r="A1159" s="55">
        <f>MIN(Inputs!$C$15,$A1158+IF(WEEKDAY($A1158,2)=5,3,1))</f>
        <v/>
      </c>
      <c r="B1159">
        <f>IF($A1159&gt;$A1158,1,0)</f>
        <v/>
      </c>
      <c r="C1159" s="56">
        <f>IF($B1159=0,"",IF(Inputs!$B$6="","",IF($AD1159=0,C1158,SUMIFS(Data!$B$10:$B$3209,Data!$A$10:$A$3209,"&gt;="&amp;$A1159,Data!$A$10:$A$3209,"&lt;"&amp;$A1159+1)/$AD1159)))</f>
        <v/>
      </c>
      <c r="D1159" s="56">
        <f>IF($B1159=0,"",IF(Inputs!$B$7="","",IF($AE1159=0,D1158,SUMIFS(Data!$F$10:$F$3209,Data!$E$10:$E$3209,"&gt;="&amp;$A1159,Data!$E$10:$E$3209,"&lt;"&amp;$A1159+1)/$AE1159)))</f>
        <v/>
      </c>
      <c r="E1159" s="56">
        <f>IF($B1159=0,"",IF(Inputs!$B$8="","",IF($AF1159=0,E1158,SUMIFS(Data!$J$10:$J$3209,Data!$I$10:$I$3209,"&gt;="&amp;$A1159,Data!$I$10:$I$3209,"&lt;"&amp;$A1159+1)/$AF1159)))</f>
        <v/>
      </c>
      <c r="F1159" s="56">
        <f>IF($B1159=0,"",IF(Inputs!$B$9="","",IF($AG1159=0,F1158,SUMIFS(Data!$N$10:$N$3209,Data!$M$10:$M$3209,"&gt;="&amp;$A1159,Data!$M$10:$M$3209,"&lt;"&amp;$A1159+1)/$AG1159)))</f>
        <v/>
      </c>
      <c r="G1159" s="56">
        <f>IF($B1159=0,"",IF(Inputs!$B$10="","",IF($AH1159=0,G1158,SUMIFS(Data!$R$10:$R$3209,Data!$Q$10:$Q$3209,"&gt;="&amp;$A1159,Data!$Q$10:$Q$3209,"&lt;"&amp;$A1159+1)/$AH1159)))</f>
        <v/>
      </c>
      <c r="I1159" s="54">
        <f>IF($B1159=0,NA(),IF($C1159="",NA(),IF(C$8="",NA(),IF(N(C$8)=0,NA(),IF(Inputs!$C$17="Rebased to 100",$C1159/C$8*100,$C1159)))))</f>
        <v/>
      </c>
      <c r="J1159" s="54">
        <f>IF($B1159=0,NA(),IF($D1159="",NA(),IF(D$8="",NA(),IF(N(D$8)=0,NA(),IF(Inputs!$C$17="Rebased to 100",$D1159/D$8*100,$D1159)))))</f>
        <v/>
      </c>
      <c r="K1159" s="54">
        <f>IF($B1159=0,NA(),IF($E1159="",NA(),IF(E$8="",NA(),IF(N(E$8)=0,NA(),IF(Inputs!$C$17="Rebased to 100",$E1159/E$8*100,$E1159)))))</f>
        <v/>
      </c>
      <c r="L1159" s="54">
        <f>IF($B1159=0,NA(),IF($F1159="",NA(),IF(F$8="",NA(),IF(N(F$8)=0,NA(),IF(Inputs!$C$17="Rebased to 100",$F1159/F$8*100,$F1159)))))</f>
        <v/>
      </c>
      <c r="M1159" s="54">
        <f>IF($B1159=0,NA(),IF($G1159="",NA(),IF(G$8="",NA(),IF(N(G$8)=0,NA(),IF(Inputs!$C$17="Rebased to 100",$G1159/G$8*100,$G1159)))))</f>
        <v/>
      </c>
      <c r="N1159" s="54">
        <f>IF($B1159=0,NA(),IF(Inputs!$C$18&lt;&gt;"Yes",NA(),IF(COUNT(I1159,J1159,K1159,L1159,M1159)=0,NA(),MIN(I1159,J1159,K1159,L1159,M1159))))</f>
        <v/>
      </c>
      <c r="O1159" s="54">
        <f>IF($B1159=0,NA(),IF(Inputs!$B$24&lt;&gt;"Yes",NA(),Inputs!$D$24*Inputs!$C$35))</f>
        <v/>
      </c>
      <c r="P1159" s="54">
        <f>IF($B1159=0,NA(),IF(Inputs!$B$25&lt;&gt;"Yes",NA(),Inputs!$D$25*Inputs!$C$35))</f>
        <v/>
      </c>
      <c r="Q1159" s="54">
        <f>IF($B1159=0,NA(),IF(Inputs!$B$26&lt;&gt;"Yes",NA(),Inputs!$D$26*Inputs!$C$35))</f>
        <v/>
      </c>
      <c r="R1159" s="54">
        <f>IF($B1159=0,NA(),IF(Inputs!$B$27&lt;&gt;"Yes",NA(),Inputs!$D$27*Inputs!$C$35))</f>
        <v/>
      </c>
      <c r="S1159" s="54">
        <f>IF($B1159=0,NA(),IF(Inputs!$B$28&lt;&gt;"Yes",NA(),Inputs!$D$28*Inputs!$C$35))</f>
        <v/>
      </c>
      <c r="T1159" s="54">
        <f>IF($B1159=0,NA(),IF(Inputs!$B$29&lt;&gt;"Yes",NA(),Inputs!$D$29*Inputs!$C$35))</f>
        <v/>
      </c>
      <c r="AD1159">
        <f>IF($B1159=0,0,IF(Inputs!$B$6="",0,COUNTIFS(Data!$A$10:$A$3209,"&gt;="&amp;$A1159,Data!$A$10:$A$3209,"&lt;"&amp;$A1159+1)))</f>
        <v/>
      </c>
      <c r="AE1159">
        <f>IF($B1159=0,0,IF(Inputs!$B$7="",0,COUNTIFS(Data!$E$10:$E$3209,"&gt;="&amp;$A1159,Data!$E$10:$E$3209,"&lt;"&amp;$A1159+1)))</f>
        <v/>
      </c>
      <c r="AF1159">
        <f>IF($B1159=0,0,IF(Inputs!$B$8="",0,COUNTIFS(Data!$I$10:$I$3209,"&gt;="&amp;$A1159,Data!$I$10:$I$3209,"&lt;"&amp;$A1159+1)))</f>
        <v/>
      </c>
      <c r="AG1159">
        <f>IF($B1159=0,0,IF(Inputs!$B$9="",0,COUNTIFS(Data!$M$10:$M$3209,"&gt;="&amp;$A1159,Data!$M$10:$M$3209,"&lt;"&amp;$A1159+1)))</f>
        <v/>
      </c>
      <c r="AH1159">
        <f>IF($B1159=0,0,IF(Inputs!$B$10="",0,COUNTIFS(Data!$Q$10:$Q$3209,"&gt;="&amp;$A1159,Data!$Q$10:$Q$3209,"&lt;"&amp;$A1159+1)))</f>
        <v/>
      </c>
    </row>
    <row r="1160">
      <c r="A1160" s="55">
        <f>MIN(Inputs!$C$15,$A1159+IF(WEEKDAY($A1159,2)=5,3,1))</f>
        <v/>
      </c>
      <c r="B1160">
        <f>IF($A1160&gt;$A1159,1,0)</f>
        <v/>
      </c>
      <c r="C1160" s="56">
        <f>IF($B1160=0,"",IF(Inputs!$B$6="","",IF($AD1160=0,C1159,SUMIFS(Data!$B$10:$B$3209,Data!$A$10:$A$3209,"&gt;="&amp;$A1160,Data!$A$10:$A$3209,"&lt;"&amp;$A1160+1)/$AD1160)))</f>
        <v/>
      </c>
      <c r="D1160" s="56">
        <f>IF($B1160=0,"",IF(Inputs!$B$7="","",IF($AE1160=0,D1159,SUMIFS(Data!$F$10:$F$3209,Data!$E$10:$E$3209,"&gt;="&amp;$A1160,Data!$E$10:$E$3209,"&lt;"&amp;$A1160+1)/$AE1160)))</f>
        <v/>
      </c>
      <c r="E1160" s="56">
        <f>IF($B1160=0,"",IF(Inputs!$B$8="","",IF($AF1160=0,E1159,SUMIFS(Data!$J$10:$J$3209,Data!$I$10:$I$3209,"&gt;="&amp;$A1160,Data!$I$10:$I$3209,"&lt;"&amp;$A1160+1)/$AF1160)))</f>
        <v/>
      </c>
      <c r="F1160" s="56">
        <f>IF($B1160=0,"",IF(Inputs!$B$9="","",IF($AG1160=0,F1159,SUMIFS(Data!$N$10:$N$3209,Data!$M$10:$M$3209,"&gt;="&amp;$A1160,Data!$M$10:$M$3209,"&lt;"&amp;$A1160+1)/$AG1160)))</f>
        <v/>
      </c>
      <c r="G1160" s="56">
        <f>IF($B1160=0,"",IF(Inputs!$B$10="","",IF($AH1160=0,G1159,SUMIFS(Data!$R$10:$R$3209,Data!$Q$10:$Q$3209,"&gt;="&amp;$A1160,Data!$Q$10:$Q$3209,"&lt;"&amp;$A1160+1)/$AH1160)))</f>
        <v/>
      </c>
      <c r="I1160" s="54">
        <f>IF($B1160=0,NA(),IF($C1160="",NA(),IF(C$8="",NA(),IF(N(C$8)=0,NA(),IF(Inputs!$C$17="Rebased to 100",$C1160/C$8*100,$C1160)))))</f>
        <v/>
      </c>
      <c r="J1160" s="54">
        <f>IF($B1160=0,NA(),IF($D1160="",NA(),IF(D$8="",NA(),IF(N(D$8)=0,NA(),IF(Inputs!$C$17="Rebased to 100",$D1160/D$8*100,$D1160)))))</f>
        <v/>
      </c>
      <c r="K1160" s="54">
        <f>IF($B1160=0,NA(),IF($E1160="",NA(),IF(E$8="",NA(),IF(N(E$8)=0,NA(),IF(Inputs!$C$17="Rebased to 100",$E1160/E$8*100,$E1160)))))</f>
        <v/>
      </c>
      <c r="L1160" s="54">
        <f>IF($B1160=0,NA(),IF($F1160="",NA(),IF(F$8="",NA(),IF(N(F$8)=0,NA(),IF(Inputs!$C$17="Rebased to 100",$F1160/F$8*100,$F1160)))))</f>
        <v/>
      </c>
      <c r="M1160" s="54">
        <f>IF($B1160=0,NA(),IF($G1160="",NA(),IF(G$8="",NA(),IF(N(G$8)=0,NA(),IF(Inputs!$C$17="Rebased to 100",$G1160/G$8*100,$G1160)))))</f>
        <v/>
      </c>
      <c r="N1160" s="54">
        <f>IF($B1160=0,NA(),IF(Inputs!$C$18&lt;&gt;"Yes",NA(),IF(COUNT(I1160,J1160,K1160,L1160,M1160)=0,NA(),MIN(I1160,J1160,K1160,L1160,M1160))))</f>
        <v/>
      </c>
      <c r="O1160" s="54">
        <f>IF($B1160=0,NA(),IF(Inputs!$B$24&lt;&gt;"Yes",NA(),Inputs!$D$24*Inputs!$C$35))</f>
        <v/>
      </c>
      <c r="P1160" s="54">
        <f>IF($B1160=0,NA(),IF(Inputs!$B$25&lt;&gt;"Yes",NA(),Inputs!$D$25*Inputs!$C$35))</f>
        <v/>
      </c>
      <c r="Q1160" s="54">
        <f>IF($B1160=0,NA(),IF(Inputs!$B$26&lt;&gt;"Yes",NA(),Inputs!$D$26*Inputs!$C$35))</f>
        <v/>
      </c>
      <c r="R1160" s="54">
        <f>IF($B1160=0,NA(),IF(Inputs!$B$27&lt;&gt;"Yes",NA(),Inputs!$D$27*Inputs!$C$35))</f>
        <v/>
      </c>
      <c r="S1160" s="54">
        <f>IF($B1160=0,NA(),IF(Inputs!$B$28&lt;&gt;"Yes",NA(),Inputs!$D$28*Inputs!$C$35))</f>
        <v/>
      </c>
      <c r="T1160" s="54">
        <f>IF($B1160=0,NA(),IF(Inputs!$B$29&lt;&gt;"Yes",NA(),Inputs!$D$29*Inputs!$C$35))</f>
        <v/>
      </c>
      <c r="AD1160">
        <f>IF($B1160=0,0,IF(Inputs!$B$6="",0,COUNTIFS(Data!$A$10:$A$3209,"&gt;="&amp;$A1160,Data!$A$10:$A$3209,"&lt;"&amp;$A1160+1)))</f>
        <v/>
      </c>
      <c r="AE1160">
        <f>IF($B1160=0,0,IF(Inputs!$B$7="",0,COUNTIFS(Data!$E$10:$E$3209,"&gt;="&amp;$A1160,Data!$E$10:$E$3209,"&lt;"&amp;$A1160+1)))</f>
        <v/>
      </c>
      <c r="AF1160">
        <f>IF($B1160=0,0,IF(Inputs!$B$8="",0,COUNTIFS(Data!$I$10:$I$3209,"&gt;="&amp;$A1160,Data!$I$10:$I$3209,"&lt;"&amp;$A1160+1)))</f>
        <v/>
      </c>
      <c r="AG1160">
        <f>IF($B1160=0,0,IF(Inputs!$B$9="",0,COUNTIFS(Data!$M$10:$M$3209,"&gt;="&amp;$A1160,Data!$M$10:$M$3209,"&lt;"&amp;$A1160+1)))</f>
        <v/>
      </c>
      <c r="AH1160">
        <f>IF($B1160=0,0,IF(Inputs!$B$10="",0,COUNTIFS(Data!$Q$10:$Q$3209,"&gt;="&amp;$A1160,Data!$Q$10:$Q$3209,"&lt;"&amp;$A1160+1)))</f>
        <v/>
      </c>
    </row>
    <row r="1161">
      <c r="A1161" s="55">
        <f>MIN(Inputs!$C$15,$A1160+IF(WEEKDAY($A1160,2)=5,3,1))</f>
        <v/>
      </c>
      <c r="B1161">
        <f>IF($A1161&gt;$A1160,1,0)</f>
        <v/>
      </c>
      <c r="C1161" s="56">
        <f>IF($B1161=0,"",IF(Inputs!$B$6="","",IF($AD1161=0,C1160,SUMIFS(Data!$B$10:$B$3209,Data!$A$10:$A$3209,"&gt;="&amp;$A1161,Data!$A$10:$A$3209,"&lt;"&amp;$A1161+1)/$AD1161)))</f>
        <v/>
      </c>
      <c r="D1161" s="56">
        <f>IF($B1161=0,"",IF(Inputs!$B$7="","",IF($AE1161=0,D1160,SUMIFS(Data!$F$10:$F$3209,Data!$E$10:$E$3209,"&gt;="&amp;$A1161,Data!$E$10:$E$3209,"&lt;"&amp;$A1161+1)/$AE1161)))</f>
        <v/>
      </c>
      <c r="E1161" s="56">
        <f>IF($B1161=0,"",IF(Inputs!$B$8="","",IF($AF1161=0,E1160,SUMIFS(Data!$J$10:$J$3209,Data!$I$10:$I$3209,"&gt;="&amp;$A1161,Data!$I$10:$I$3209,"&lt;"&amp;$A1161+1)/$AF1161)))</f>
        <v/>
      </c>
      <c r="F1161" s="56">
        <f>IF($B1161=0,"",IF(Inputs!$B$9="","",IF($AG1161=0,F1160,SUMIFS(Data!$N$10:$N$3209,Data!$M$10:$M$3209,"&gt;="&amp;$A1161,Data!$M$10:$M$3209,"&lt;"&amp;$A1161+1)/$AG1161)))</f>
        <v/>
      </c>
      <c r="G1161" s="56">
        <f>IF($B1161=0,"",IF(Inputs!$B$10="","",IF($AH1161=0,G1160,SUMIFS(Data!$R$10:$R$3209,Data!$Q$10:$Q$3209,"&gt;="&amp;$A1161,Data!$Q$10:$Q$3209,"&lt;"&amp;$A1161+1)/$AH1161)))</f>
        <v/>
      </c>
      <c r="I1161" s="54">
        <f>IF($B1161=0,NA(),IF($C1161="",NA(),IF(C$8="",NA(),IF(N(C$8)=0,NA(),IF(Inputs!$C$17="Rebased to 100",$C1161/C$8*100,$C1161)))))</f>
        <v/>
      </c>
      <c r="J1161" s="54">
        <f>IF($B1161=0,NA(),IF($D1161="",NA(),IF(D$8="",NA(),IF(N(D$8)=0,NA(),IF(Inputs!$C$17="Rebased to 100",$D1161/D$8*100,$D1161)))))</f>
        <v/>
      </c>
      <c r="K1161" s="54">
        <f>IF($B1161=0,NA(),IF($E1161="",NA(),IF(E$8="",NA(),IF(N(E$8)=0,NA(),IF(Inputs!$C$17="Rebased to 100",$E1161/E$8*100,$E1161)))))</f>
        <v/>
      </c>
      <c r="L1161" s="54">
        <f>IF($B1161=0,NA(),IF($F1161="",NA(),IF(F$8="",NA(),IF(N(F$8)=0,NA(),IF(Inputs!$C$17="Rebased to 100",$F1161/F$8*100,$F1161)))))</f>
        <v/>
      </c>
      <c r="M1161" s="54">
        <f>IF($B1161=0,NA(),IF($G1161="",NA(),IF(G$8="",NA(),IF(N(G$8)=0,NA(),IF(Inputs!$C$17="Rebased to 100",$G1161/G$8*100,$G1161)))))</f>
        <v/>
      </c>
      <c r="N1161" s="54">
        <f>IF($B1161=0,NA(),IF(Inputs!$C$18&lt;&gt;"Yes",NA(),IF(COUNT(I1161,J1161,K1161,L1161,M1161)=0,NA(),MIN(I1161,J1161,K1161,L1161,M1161))))</f>
        <v/>
      </c>
      <c r="O1161" s="54">
        <f>IF($B1161=0,NA(),IF(Inputs!$B$24&lt;&gt;"Yes",NA(),Inputs!$D$24*Inputs!$C$35))</f>
        <v/>
      </c>
      <c r="P1161" s="54">
        <f>IF($B1161=0,NA(),IF(Inputs!$B$25&lt;&gt;"Yes",NA(),Inputs!$D$25*Inputs!$C$35))</f>
        <v/>
      </c>
      <c r="Q1161" s="54">
        <f>IF($B1161=0,NA(),IF(Inputs!$B$26&lt;&gt;"Yes",NA(),Inputs!$D$26*Inputs!$C$35))</f>
        <v/>
      </c>
      <c r="R1161" s="54">
        <f>IF($B1161=0,NA(),IF(Inputs!$B$27&lt;&gt;"Yes",NA(),Inputs!$D$27*Inputs!$C$35))</f>
        <v/>
      </c>
      <c r="S1161" s="54">
        <f>IF($B1161=0,NA(),IF(Inputs!$B$28&lt;&gt;"Yes",NA(),Inputs!$D$28*Inputs!$C$35))</f>
        <v/>
      </c>
      <c r="T1161" s="54">
        <f>IF($B1161=0,NA(),IF(Inputs!$B$29&lt;&gt;"Yes",NA(),Inputs!$D$29*Inputs!$C$35))</f>
        <v/>
      </c>
      <c r="AD1161">
        <f>IF($B1161=0,0,IF(Inputs!$B$6="",0,COUNTIFS(Data!$A$10:$A$3209,"&gt;="&amp;$A1161,Data!$A$10:$A$3209,"&lt;"&amp;$A1161+1)))</f>
        <v/>
      </c>
      <c r="AE1161">
        <f>IF($B1161=0,0,IF(Inputs!$B$7="",0,COUNTIFS(Data!$E$10:$E$3209,"&gt;="&amp;$A1161,Data!$E$10:$E$3209,"&lt;"&amp;$A1161+1)))</f>
        <v/>
      </c>
      <c r="AF1161">
        <f>IF($B1161=0,0,IF(Inputs!$B$8="",0,COUNTIFS(Data!$I$10:$I$3209,"&gt;="&amp;$A1161,Data!$I$10:$I$3209,"&lt;"&amp;$A1161+1)))</f>
        <v/>
      </c>
      <c r="AG1161">
        <f>IF($B1161=0,0,IF(Inputs!$B$9="",0,COUNTIFS(Data!$M$10:$M$3209,"&gt;="&amp;$A1161,Data!$M$10:$M$3209,"&lt;"&amp;$A1161+1)))</f>
        <v/>
      </c>
      <c r="AH1161">
        <f>IF($B1161=0,0,IF(Inputs!$B$10="",0,COUNTIFS(Data!$Q$10:$Q$3209,"&gt;="&amp;$A1161,Data!$Q$10:$Q$3209,"&lt;"&amp;$A1161+1)))</f>
        <v/>
      </c>
    </row>
    <row r="1162">
      <c r="A1162" s="55">
        <f>MIN(Inputs!$C$15,$A1161+IF(WEEKDAY($A1161,2)=5,3,1))</f>
        <v/>
      </c>
      <c r="B1162">
        <f>IF($A1162&gt;$A1161,1,0)</f>
        <v/>
      </c>
      <c r="C1162" s="56">
        <f>IF($B1162=0,"",IF(Inputs!$B$6="","",IF($AD1162=0,C1161,SUMIFS(Data!$B$10:$B$3209,Data!$A$10:$A$3209,"&gt;="&amp;$A1162,Data!$A$10:$A$3209,"&lt;"&amp;$A1162+1)/$AD1162)))</f>
        <v/>
      </c>
      <c r="D1162" s="56">
        <f>IF($B1162=0,"",IF(Inputs!$B$7="","",IF($AE1162=0,D1161,SUMIFS(Data!$F$10:$F$3209,Data!$E$10:$E$3209,"&gt;="&amp;$A1162,Data!$E$10:$E$3209,"&lt;"&amp;$A1162+1)/$AE1162)))</f>
        <v/>
      </c>
      <c r="E1162" s="56">
        <f>IF($B1162=0,"",IF(Inputs!$B$8="","",IF($AF1162=0,E1161,SUMIFS(Data!$J$10:$J$3209,Data!$I$10:$I$3209,"&gt;="&amp;$A1162,Data!$I$10:$I$3209,"&lt;"&amp;$A1162+1)/$AF1162)))</f>
        <v/>
      </c>
      <c r="F1162" s="56">
        <f>IF($B1162=0,"",IF(Inputs!$B$9="","",IF($AG1162=0,F1161,SUMIFS(Data!$N$10:$N$3209,Data!$M$10:$M$3209,"&gt;="&amp;$A1162,Data!$M$10:$M$3209,"&lt;"&amp;$A1162+1)/$AG1162)))</f>
        <v/>
      </c>
      <c r="G1162" s="56">
        <f>IF($B1162=0,"",IF(Inputs!$B$10="","",IF($AH1162=0,G1161,SUMIFS(Data!$R$10:$R$3209,Data!$Q$10:$Q$3209,"&gt;="&amp;$A1162,Data!$Q$10:$Q$3209,"&lt;"&amp;$A1162+1)/$AH1162)))</f>
        <v/>
      </c>
      <c r="I1162" s="54">
        <f>IF($B1162=0,NA(),IF($C1162="",NA(),IF(C$8="",NA(),IF(N(C$8)=0,NA(),IF(Inputs!$C$17="Rebased to 100",$C1162/C$8*100,$C1162)))))</f>
        <v/>
      </c>
      <c r="J1162" s="54">
        <f>IF($B1162=0,NA(),IF($D1162="",NA(),IF(D$8="",NA(),IF(N(D$8)=0,NA(),IF(Inputs!$C$17="Rebased to 100",$D1162/D$8*100,$D1162)))))</f>
        <v/>
      </c>
      <c r="K1162" s="54">
        <f>IF($B1162=0,NA(),IF($E1162="",NA(),IF(E$8="",NA(),IF(N(E$8)=0,NA(),IF(Inputs!$C$17="Rebased to 100",$E1162/E$8*100,$E1162)))))</f>
        <v/>
      </c>
      <c r="L1162" s="54">
        <f>IF($B1162=0,NA(),IF($F1162="",NA(),IF(F$8="",NA(),IF(N(F$8)=0,NA(),IF(Inputs!$C$17="Rebased to 100",$F1162/F$8*100,$F1162)))))</f>
        <v/>
      </c>
      <c r="M1162" s="54">
        <f>IF($B1162=0,NA(),IF($G1162="",NA(),IF(G$8="",NA(),IF(N(G$8)=0,NA(),IF(Inputs!$C$17="Rebased to 100",$G1162/G$8*100,$G1162)))))</f>
        <v/>
      </c>
      <c r="N1162" s="54">
        <f>IF($B1162=0,NA(),IF(Inputs!$C$18&lt;&gt;"Yes",NA(),IF(COUNT(I1162,J1162,K1162,L1162,M1162)=0,NA(),MIN(I1162,J1162,K1162,L1162,M1162))))</f>
        <v/>
      </c>
      <c r="O1162" s="54">
        <f>IF($B1162=0,NA(),IF(Inputs!$B$24&lt;&gt;"Yes",NA(),Inputs!$D$24*Inputs!$C$35))</f>
        <v/>
      </c>
      <c r="P1162" s="54">
        <f>IF($B1162=0,NA(),IF(Inputs!$B$25&lt;&gt;"Yes",NA(),Inputs!$D$25*Inputs!$C$35))</f>
        <v/>
      </c>
      <c r="Q1162" s="54">
        <f>IF($B1162=0,NA(),IF(Inputs!$B$26&lt;&gt;"Yes",NA(),Inputs!$D$26*Inputs!$C$35))</f>
        <v/>
      </c>
      <c r="R1162" s="54">
        <f>IF($B1162=0,NA(),IF(Inputs!$B$27&lt;&gt;"Yes",NA(),Inputs!$D$27*Inputs!$C$35))</f>
        <v/>
      </c>
      <c r="S1162" s="54">
        <f>IF($B1162=0,NA(),IF(Inputs!$B$28&lt;&gt;"Yes",NA(),Inputs!$D$28*Inputs!$C$35))</f>
        <v/>
      </c>
      <c r="T1162" s="54">
        <f>IF($B1162=0,NA(),IF(Inputs!$B$29&lt;&gt;"Yes",NA(),Inputs!$D$29*Inputs!$C$35))</f>
        <v/>
      </c>
      <c r="AD1162">
        <f>IF($B1162=0,0,IF(Inputs!$B$6="",0,COUNTIFS(Data!$A$10:$A$3209,"&gt;="&amp;$A1162,Data!$A$10:$A$3209,"&lt;"&amp;$A1162+1)))</f>
        <v/>
      </c>
      <c r="AE1162">
        <f>IF($B1162=0,0,IF(Inputs!$B$7="",0,COUNTIFS(Data!$E$10:$E$3209,"&gt;="&amp;$A1162,Data!$E$10:$E$3209,"&lt;"&amp;$A1162+1)))</f>
        <v/>
      </c>
      <c r="AF1162">
        <f>IF($B1162=0,0,IF(Inputs!$B$8="",0,COUNTIFS(Data!$I$10:$I$3209,"&gt;="&amp;$A1162,Data!$I$10:$I$3209,"&lt;"&amp;$A1162+1)))</f>
        <v/>
      </c>
      <c r="AG1162">
        <f>IF($B1162=0,0,IF(Inputs!$B$9="",0,COUNTIFS(Data!$M$10:$M$3209,"&gt;="&amp;$A1162,Data!$M$10:$M$3209,"&lt;"&amp;$A1162+1)))</f>
        <v/>
      </c>
      <c r="AH1162">
        <f>IF($B1162=0,0,IF(Inputs!$B$10="",0,COUNTIFS(Data!$Q$10:$Q$3209,"&gt;="&amp;$A1162,Data!$Q$10:$Q$3209,"&lt;"&amp;$A1162+1)))</f>
        <v/>
      </c>
    </row>
    <row r="1163">
      <c r="A1163" s="55">
        <f>MIN(Inputs!$C$15,$A1162+IF(WEEKDAY($A1162,2)=5,3,1))</f>
        <v/>
      </c>
      <c r="B1163">
        <f>IF($A1163&gt;$A1162,1,0)</f>
        <v/>
      </c>
      <c r="C1163" s="56">
        <f>IF($B1163=0,"",IF(Inputs!$B$6="","",IF($AD1163=0,C1162,SUMIFS(Data!$B$10:$B$3209,Data!$A$10:$A$3209,"&gt;="&amp;$A1163,Data!$A$10:$A$3209,"&lt;"&amp;$A1163+1)/$AD1163)))</f>
        <v/>
      </c>
      <c r="D1163" s="56">
        <f>IF($B1163=0,"",IF(Inputs!$B$7="","",IF($AE1163=0,D1162,SUMIFS(Data!$F$10:$F$3209,Data!$E$10:$E$3209,"&gt;="&amp;$A1163,Data!$E$10:$E$3209,"&lt;"&amp;$A1163+1)/$AE1163)))</f>
        <v/>
      </c>
      <c r="E1163" s="56">
        <f>IF($B1163=0,"",IF(Inputs!$B$8="","",IF($AF1163=0,E1162,SUMIFS(Data!$J$10:$J$3209,Data!$I$10:$I$3209,"&gt;="&amp;$A1163,Data!$I$10:$I$3209,"&lt;"&amp;$A1163+1)/$AF1163)))</f>
        <v/>
      </c>
      <c r="F1163" s="56">
        <f>IF($B1163=0,"",IF(Inputs!$B$9="","",IF($AG1163=0,F1162,SUMIFS(Data!$N$10:$N$3209,Data!$M$10:$M$3209,"&gt;="&amp;$A1163,Data!$M$10:$M$3209,"&lt;"&amp;$A1163+1)/$AG1163)))</f>
        <v/>
      </c>
      <c r="G1163" s="56">
        <f>IF($B1163=0,"",IF(Inputs!$B$10="","",IF($AH1163=0,G1162,SUMIFS(Data!$R$10:$R$3209,Data!$Q$10:$Q$3209,"&gt;="&amp;$A1163,Data!$Q$10:$Q$3209,"&lt;"&amp;$A1163+1)/$AH1163)))</f>
        <v/>
      </c>
      <c r="I1163" s="54">
        <f>IF($B1163=0,NA(),IF($C1163="",NA(),IF(C$8="",NA(),IF(N(C$8)=0,NA(),IF(Inputs!$C$17="Rebased to 100",$C1163/C$8*100,$C1163)))))</f>
        <v/>
      </c>
      <c r="J1163" s="54">
        <f>IF($B1163=0,NA(),IF($D1163="",NA(),IF(D$8="",NA(),IF(N(D$8)=0,NA(),IF(Inputs!$C$17="Rebased to 100",$D1163/D$8*100,$D1163)))))</f>
        <v/>
      </c>
      <c r="K1163" s="54">
        <f>IF($B1163=0,NA(),IF($E1163="",NA(),IF(E$8="",NA(),IF(N(E$8)=0,NA(),IF(Inputs!$C$17="Rebased to 100",$E1163/E$8*100,$E1163)))))</f>
        <v/>
      </c>
      <c r="L1163" s="54">
        <f>IF($B1163=0,NA(),IF($F1163="",NA(),IF(F$8="",NA(),IF(N(F$8)=0,NA(),IF(Inputs!$C$17="Rebased to 100",$F1163/F$8*100,$F1163)))))</f>
        <v/>
      </c>
      <c r="M1163" s="54">
        <f>IF($B1163=0,NA(),IF($G1163="",NA(),IF(G$8="",NA(),IF(N(G$8)=0,NA(),IF(Inputs!$C$17="Rebased to 100",$G1163/G$8*100,$G1163)))))</f>
        <v/>
      </c>
      <c r="N1163" s="54">
        <f>IF($B1163=0,NA(),IF(Inputs!$C$18&lt;&gt;"Yes",NA(),IF(COUNT(I1163,J1163,K1163,L1163,M1163)=0,NA(),MIN(I1163,J1163,K1163,L1163,M1163))))</f>
        <v/>
      </c>
      <c r="O1163" s="54">
        <f>IF($B1163=0,NA(),IF(Inputs!$B$24&lt;&gt;"Yes",NA(),Inputs!$D$24*Inputs!$C$35))</f>
        <v/>
      </c>
      <c r="P1163" s="54">
        <f>IF($B1163=0,NA(),IF(Inputs!$B$25&lt;&gt;"Yes",NA(),Inputs!$D$25*Inputs!$C$35))</f>
        <v/>
      </c>
      <c r="Q1163" s="54">
        <f>IF($B1163=0,NA(),IF(Inputs!$B$26&lt;&gt;"Yes",NA(),Inputs!$D$26*Inputs!$C$35))</f>
        <v/>
      </c>
      <c r="R1163" s="54">
        <f>IF($B1163=0,NA(),IF(Inputs!$B$27&lt;&gt;"Yes",NA(),Inputs!$D$27*Inputs!$C$35))</f>
        <v/>
      </c>
      <c r="S1163" s="54">
        <f>IF($B1163=0,NA(),IF(Inputs!$B$28&lt;&gt;"Yes",NA(),Inputs!$D$28*Inputs!$C$35))</f>
        <v/>
      </c>
      <c r="T1163" s="54">
        <f>IF($B1163=0,NA(),IF(Inputs!$B$29&lt;&gt;"Yes",NA(),Inputs!$D$29*Inputs!$C$35))</f>
        <v/>
      </c>
      <c r="AD1163">
        <f>IF($B1163=0,0,IF(Inputs!$B$6="",0,COUNTIFS(Data!$A$10:$A$3209,"&gt;="&amp;$A1163,Data!$A$10:$A$3209,"&lt;"&amp;$A1163+1)))</f>
        <v/>
      </c>
      <c r="AE1163">
        <f>IF($B1163=0,0,IF(Inputs!$B$7="",0,COUNTIFS(Data!$E$10:$E$3209,"&gt;="&amp;$A1163,Data!$E$10:$E$3209,"&lt;"&amp;$A1163+1)))</f>
        <v/>
      </c>
      <c r="AF1163">
        <f>IF($B1163=0,0,IF(Inputs!$B$8="",0,COUNTIFS(Data!$I$10:$I$3209,"&gt;="&amp;$A1163,Data!$I$10:$I$3209,"&lt;"&amp;$A1163+1)))</f>
        <v/>
      </c>
      <c r="AG1163">
        <f>IF($B1163=0,0,IF(Inputs!$B$9="",0,COUNTIFS(Data!$M$10:$M$3209,"&gt;="&amp;$A1163,Data!$M$10:$M$3209,"&lt;"&amp;$A1163+1)))</f>
        <v/>
      </c>
      <c r="AH1163">
        <f>IF($B1163=0,0,IF(Inputs!$B$10="",0,COUNTIFS(Data!$Q$10:$Q$3209,"&gt;="&amp;$A1163,Data!$Q$10:$Q$3209,"&lt;"&amp;$A1163+1)))</f>
        <v/>
      </c>
    </row>
    <row r="1164">
      <c r="A1164" s="55">
        <f>MIN(Inputs!$C$15,$A1163+IF(WEEKDAY($A1163,2)=5,3,1))</f>
        <v/>
      </c>
      <c r="B1164">
        <f>IF($A1164&gt;$A1163,1,0)</f>
        <v/>
      </c>
      <c r="C1164" s="56">
        <f>IF($B1164=0,"",IF(Inputs!$B$6="","",IF($AD1164=0,C1163,SUMIFS(Data!$B$10:$B$3209,Data!$A$10:$A$3209,"&gt;="&amp;$A1164,Data!$A$10:$A$3209,"&lt;"&amp;$A1164+1)/$AD1164)))</f>
        <v/>
      </c>
      <c r="D1164" s="56">
        <f>IF($B1164=0,"",IF(Inputs!$B$7="","",IF($AE1164=0,D1163,SUMIFS(Data!$F$10:$F$3209,Data!$E$10:$E$3209,"&gt;="&amp;$A1164,Data!$E$10:$E$3209,"&lt;"&amp;$A1164+1)/$AE1164)))</f>
        <v/>
      </c>
      <c r="E1164" s="56">
        <f>IF($B1164=0,"",IF(Inputs!$B$8="","",IF($AF1164=0,E1163,SUMIFS(Data!$J$10:$J$3209,Data!$I$10:$I$3209,"&gt;="&amp;$A1164,Data!$I$10:$I$3209,"&lt;"&amp;$A1164+1)/$AF1164)))</f>
        <v/>
      </c>
      <c r="F1164" s="56">
        <f>IF($B1164=0,"",IF(Inputs!$B$9="","",IF($AG1164=0,F1163,SUMIFS(Data!$N$10:$N$3209,Data!$M$10:$M$3209,"&gt;="&amp;$A1164,Data!$M$10:$M$3209,"&lt;"&amp;$A1164+1)/$AG1164)))</f>
        <v/>
      </c>
      <c r="G1164" s="56">
        <f>IF($B1164=0,"",IF(Inputs!$B$10="","",IF($AH1164=0,G1163,SUMIFS(Data!$R$10:$R$3209,Data!$Q$10:$Q$3209,"&gt;="&amp;$A1164,Data!$Q$10:$Q$3209,"&lt;"&amp;$A1164+1)/$AH1164)))</f>
        <v/>
      </c>
      <c r="I1164" s="54">
        <f>IF($B1164=0,NA(),IF($C1164="",NA(),IF(C$8="",NA(),IF(N(C$8)=0,NA(),IF(Inputs!$C$17="Rebased to 100",$C1164/C$8*100,$C1164)))))</f>
        <v/>
      </c>
      <c r="J1164" s="54">
        <f>IF($B1164=0,NA(),IF($D1164="",NA(),IF(D$8="",NA(),IF(N(D$8)=0,NA(),IF(Inputs!$C$17="Rebased to 100",$D1164/D$8*100,$D1164)))))</f>
        <v/>
      </c>
      <c r="K1164" s="54">
        <f>IF($B1164=0,NA(),IF($E1164="",NA(),IF(E$8="",NA(),IF(N(E$8)=0,NA(),IF(Inputs!$C$17="Rebased to 100",$E1164/E$8*100,$E1164)))))</f>
        <v/>
      </c>
      <c r="L1164" s="54">
        <f>IF($B1164=0,NA(),IF($F1164="",NA(),IF(F$8="",NA(),IF(N(F$8)=0,NA(),IF(Inputs!$C$17="Rebased to 100",$F1164/F$8*100,$F1164)))))</f>
        <v/>
      </c>
      <c r="M1164" s="54">
        <f>IF($B1164=0,NA(),IF($G1164="",NA(),IF(G$8="",NA(),IF(N(G$8)=0,NA(),IF(Inputs!$C$17="Rebased to 100",$G1164/G$8*100,$G1164)))))</f>
        <v/>
      </c>
      <c r="N1164" s="54">
        <f>IF($B1164=0,NA(),IF(Inputs!$C$18&lt;&gt;"Yes",NA(),IF(COUNT(I1164,J1164,K1164,L1164,M1164)=0,NA(),MIN(I1164,J1164,K1164,L1164,M1164))))</f>
        <v/>
      </c>
      <c r="O1164" s="54">
        <f>IF($B1164=0,NA(),IF(Inputs!$B$24&lt;&gt;"Yes",NA(),Inputs!$D$24*Inputs!$C$35))</f>
        <v/>
      </c>
      <c r="P1164" s="54">
        <f>IF($B1164=0,NA(),IF(Inputs!$B$25&lt;&gt;"Yes",NA(),Inputs!$D$25*Inputs!$C$35))</f>
        <v/>
      </c>
      <c r="Q1164" s="54">
        <f>IF($B1164=0,NA(),IF(Inputs!$B$26&lt;&gt;"Yes",NA(),Inputs!$D$26*Inputs!$C$35))</f>
        <v/>
      </c>
      <c r="R1164" s="54">
        <f>IF($B1164=0,NA(),IF(Inputs!$B$27&lt;&gt;"Yes",NA(),Inputs!$D$27*Inputs!$C$35))</f>
        <v/>
      </c>
      <c r="S1164" s="54">
        <f>IF($B1164=0,NA(),IF(Inputs!$B$28&lt;&gt;"Yes",NA(),Inputs!$D$28*Inputs!$C$35))</f>
        <v/>
      </c>
      <c r="T1164" s="54">
        <f>IF($B1164=0,NA(),IF(Inputs!$B$29&lt;&gt;"Yes",NA(),Inputs!$D$29*Inputs!$C$35))</f>
        <v/>
      </c>
      <c r="AD1164">
        <f>IF($B1164=0,0,IF(Inputs!$B$6="",0,COUNTIFS(Data!$A$10:$A$3209,"&gt;="&amp;$A1164,Data!$A$10:$A$3209,"&lt;"&amp;$A1164+1)))</f>
        <v/>
      </c>
      <c r="AE1164">
        <f>IF($B1164=0,0,IF(Inputs!$B$7="",0,COUNTIFS(Data!$E$10:$E$3209,"&gt;="&amp;$A1164,Data!$E$10:$E$3209,"&lt;"&amp;$A1164+1)))</f>
        <v/>
      </c>
      <c r="AF1164">
        <f>IF($B1164=0,0,IF(Inputs!$B$8="",0,COUNTIFS(Data!$I$10:$I$3209,"&gt;="&amp;$A1164,Data!$I$10:$I$3209,"&lt;"&amp;$A1164+1)))</f>
        <v/>
      </c>
      <c r="AG1164">
        <f>IF($B1164=0,0,IF(Inputs!$B$9="",0,COUNTIFS(Data!$M$10:$M$3209,"&gt;="&amp;$A1164,Data!$M$10:$M$3209,"&lt;"&amp;$A1164+1)))</f>
        <v/>
      </c>
      <c r="AH1164">
        <f>IF($B1164=0,0,IF(Inputs!$B$10="",0,COUNTIFS(Data!$Q$10:$Q$3209,"&gt;="&amp;$A1164,Data!$Q$10:$Q$3209,"&lt;"&amp;$A1164+1)))</f>
        <v/>
      </c>
    </row>
    <row r="1165">
      <c r="A1165" s="55">
        <f>MIN(Inputs!$C$15,$A1164+IF(WEEKDAY($A1164,2)=5,3,1))</f>
        <v/>
      </c>
      <c r="B1165">
        <f>IF($A1165&gt;$A1164,1,0)</f>
        <v/>
      </c>
      <c r="C1165" s="56">
        <f>IF($B1165=0,"",IF(Inputs!$B$6="","",IF($AD1165=0,C1164,SUMIFS(Data!$B$10:$B$3209,Data!$A$10:$A$3209,"&gt;="&amp;$A1165,Data!$A$10:$A$3209,"&lt;"&amp;$A1165+1)/$AD1165)))</f>
        <v/>
      </c>
      <c r="D1165" s="56">
        <f>IF($B1165=0,"",IF(Inputs!$B$7="","",IF($AE1165=0,D1164,SUMIFS(Data!$F$10:$F$3209,Data!$E$10:$E$3209,"&gt;="&amp;$A1165,Data!$E$10:$E$3209,"&lt;"&amp;$A1165+1)/$AE1165)))</f>
        <v/>
      </c>
      <c r="E1165" s="56">
        <f>IF($B1165=0,"",IF(Inputs!$B$8="","",IF($AF1165=0,E1164,SUMIFS(Data!$J$10:$J$3209,Data!$I$10:$I$3209,"&gt;="&amp;$A1165,Data!$I$10:$I$3209,"&lt;"&amp;$A1165+1)/$AF1165)))</f>
        <v/>
      </c>
      <c r="F1165" s="56">
        <f>IF($B1165=0,"",IF(Inputs!$B$9="","",IF($AG1165=0,F1164,SUMIFS(Data!$N$10:$N$3209,Data!$M$10:$M$3209,"&gt;="&amp;$A1165,Data!$M$10:$M$3209,"&lt;"&amp;$A1165+1)/$AG1165)))</f>
        <v/>
      </c>
      <c r="G1165" s="56">
        <f>IF($B1165=0,"",IF(Inputs!$B$10="","",IF($AH1165=0,G1164,SUMIFS(Data!$R$10:$R$3209,Data!$Q$10:$Q$3209,"&gt;="&amp;$A1165,Data!$Q$10:$Q$3209,"&lt;"&amp;$A1165+1)/$AH1165)))</f>
        <v/>
      </c>
      <c r="I1165" s="54">
        <f>IF($B1165=0,NA(),IF($C1165="",NA(),IF(C$8="",NA(),IF(N(C$8)=0,NA(),IF(Inputs!$C$17="Rebased to 100",$C1165/C$8*100,$C1165)))))</f>
        <v/>
      </c>
      <c r="J1165" s="54">
        <f>IF($B1165=0,NA(),IF($D1165="",NA(),IF(D$8="",NA(),IF(N(D$8)=0,NA(),IF(Inputs!$C$17="Rebased to 100",$D1165/D$8*100,$D1165)))))</f>
        <v/>
      </c>
      <c r="K1165" s="54">
        <f>IF($B1165=0,NA(),IF($E1165="",NA(),IF(E$8="",NA(),IF(N(E$8)=0,NA(),IF(Inputs!$C$17="Rebased to 100",$E1165/E$8*100,$E1165)))))</f>
        <v/>
      </c>
      <c r="L1165" s="54">
        <f>IF($B1165=0,NA(),IF($F1165="",NA(),IF(F$8="",NA(),IF(N(F$8)=0,NA(),IF(Inputs!$C$17="Rebased to 100",$F1165/F$8*100,$F1165)))))</f>
        <v/>
      </c>
      <c r="M1165" s="54">
        <f>IF($B1165=0,NA(),IF($G1165="",NA(),IF(G$8="",NA(),IF(N(G$8)=0,NA(),IF(Inputs!$C$17="Rebased to 100",$G1165/G$8*100,$G1165)))))</f>
        <v/>
      </c>
      <c r="N1165" s="54">
        <f>IF($B1165=0,NA(),IF(Inputs!$C$18&lt;&gt;"Yes",NA(),IF(COUNT(I1165,J1165,K1165,L1165,M1165)=0,NA(),MIN(I1165,J1165,K1165,L1165,M1165))))</f>
        <v/>
      </c>
      <c r="O1165" s="54">
        <f>IF($B1165=0,NA(),IF(Inputs!$B$24&lt;&gt;"Yes",NA(),Inputs!$D$24*Inputs!$C$35))</f>
        <v/>
      </c>
      <c r="P1165" s="54">
        <f>IF($B1165=0,NA(),IF(Inputs!$B$25&lt;&gt;"Yes",NA(),Inputs!$D$25*Inputs!$C$35))</f>
        <v/>
      </c>
      <c r="Q1165" s="54">
        <f>IF($B1165=0,NA(),IF(Inputs!$B$26&lt;&gt;"Yes",NA(),Inputs!$D$26*Inputs!$C$35))</f>
        <v/>
      </c>
      <c r="R1165" s="54">
        <f>IF($B1165=0,NA(),IF(Inputs!$B$27&lt;&gt;"Yes",NA(),Inputs!$D$27*Inputs!$C$35))</f>
        <v/>
      </c>
      <c r="S1165" s="54">
        <f>IF($B1165=0,NA(),IF(Inputs!$B$28&lt;&gt;"Yes",NA(),Inputs!$D$28*Inputs!$C$35))</f>
        <v/>
      </c>
      <c r="T1165" s="54">
        <f>IF($B1165=0,NA(),IF(Inputs!$B$29&lt;&gt;"Yes",NA(),Inputs!$D$29*Inputs!$C$35))</f>
        <v/>
      </c>
      <c r="AD1165">
        <f>IF($B1165=0,0,IF(Inputs!$B$6="",0,COUNTIFS(Data!$A$10:$A$3209,"&gt;="&amp;$A1165,Data!$A$10:$A$3209,"&lt;"&amp;$A1165+1)))</f>
        <v/>
      </c>
      <c r="AE1165">
        <f>IF($B1165=0,0,IF(Inputs!$B$7="",0,COUNTIFS(Data!$E$10:$E$3209,"&gt;="&amp;$A1165,Data!$E$10:$E$3209,"&lt;"&amp;$A1165+1)))</f>
        <v/>
      </c>
      <c r="AF1165">
        <f>IF($B1165=0,0,IF(Inputs!$B$8="",0,COUNTIFS(Data!$I$10:$I$3209,"&gt;="&amp;$A1165,Data!$I$10:$I$3209,"&lt;"&amp;$A1165+1)))</f>
        <v/>
      </c>
      <c r="AG1165">
        <f>IF($B1165=0,0,IF(Inputs!$B$9="",0,COUNTIFS(Data!$M$10:$M$3209,"&gt;="&amp;$A1165,Data!$M$10:$M$3209,"&lt;"&amp;$A1165+1)))</f>
        <v/>
      </c>
      <c r="AH1165">
        <f>IF($B1165=0,0,IF(Inputs!$B$10="",0,COUNTIFS(Data!$Q$10:$Q$3209,"&gt;="&amp;$A1165,Data!$Q$10:$Q$3209,"&lt;"&amp;$A1165+1)))</f>
        <v/>
      </c>
    </row>
    <row r="1166">
      <c r="A1166" s="55">
        <f>MIN(Inputs!$C$15,$A1165+IF(WEEKDAY($A1165,2)=5,3,1))</f>
        <v/>
      </c>
      <c r="B1166">
        <f>IF($A1166&gt;$A1165,1,0)</f>
        <v/>
      </c>
      <c r="C1166" s="56">
        <f>IF($B1166=0,"",IF(Inputs!$B$6="","",IF($AD1166=0,C1165,SUMIFS(Data!$B$10:$B$3209,Data!$A$10:$A$3209,"&gt;="&amp;$A1166,Data!$A$10:$A$3209,"&lt;"&amp;$A1166+1)/$AD1166)))</f>
        <v/>
      </c>
      <c r="D1166" s="56">
        <f>IF($B1166=0,"",IF(Inputs!$B$7="","",IF($AE1166=0,D1165,SUMIFS(Data!$F$10:$F$3209,Data!$E$10:$E$3209,"&gt;="&amp;$A1166,Data!$E$10:$E$3209,"&lt;"&amp;$A1166+1)/$AE1166)))</f>
        <v/>
      </c>
      <c r="E1166" s="56">
        <f>IF($B1166=0,"",IF(Inputs!$B$8="","",IF($AF1166=0,E1165,SUMIFS(Data!$J$10:$J$3209,Data!$I$10:$I$3209,"&gt;="&amp;$A1166,Data!$I$10:$I$3209,"&lt;"&amp;$A1166+1)/$AF1166)))</f>
        <v/>
      </c>
      <c r="F1166" s="56">
        <f>IF($B1166=0,"",IF(Inputs!$B$9="","",IF($AG1166=0,F1165,SUMIFS(Data!$N$10:$N$3209,Data!$M$10:$M$3209,"&gt;="&amp;$A1166,Data!$M$10:$M$3209,"&lt;"&amp;$A1166+1)/$AG1166)))</f>
        <v/>
      </c>
      <c r="G1166" s="56">
        <f>IF($B1166=0,"",IF(Inputs!$B$10="","",IF($AH1166=0,G1165,SUMIFS(Data!$R$10:$R$3209,Data!$Q$10:$Q$3209,"&gt;="&amp;$A1166,Data!$Q$10:$Q$3209,"&lt;"&amp;$A1166+1)/$AH1166)))</f>
        <v/>
      </c>
      <c r="I1166" s="54">
        <f>IF($B1166=0,NA(),IF($C1166="",NA(),IF(C$8="",NA(),IF(N(C$8)=0,NA(),IF(Inputs!$C$17="Rebased to 100",$C1166/C$8*100,$C1166)))))</f>
        <v/>
      </c>
      <c r="J1166" s="54">
        <f>IF($B1166=0,NA(),IF($D1166="",NA(),IF(D$8="",NA(),IF(N(D$8)=0,NA(),IF(Inputs!$C$17="Rebased to 100",$D1166/D$8*100,$D1166)))))</f>
        <v/>
      </c>
      <c r="K1166" s="54">
        <f>IF($B1166=0,NA(),IF($E1166="",NA(),IF(E$8="",NA(),IF(N(E$8)=0,NA(),IF(Inputs!$C$17="Rebased to 100",$E1166/E$8*100,$E1166)))))</f>
        <v/>
      </c>
      <c r="L1166" s="54">
        <f>IF($B1166=0,NA(),IF($F1166="",NA(),IF(F$8="",NA(),IF(N(F$8)=0,NA(),IF(Inputs!$C$17="Rebased to 100",$F1166/F$8*100,$F1166)))))</f>
        <v/>
      </c>
      <c r="M1166" s="54">
        <f>IF($B1166=0,NA(),IF($G1166="",NA(),IF(G$8="",NA(),IF(N(G$8)=0,NA(),IF(Inputs!$C$17="Rebased to 100",$G1166/G$8*100,$G1166)))))</f>
        <v/>
      </c>
      <c r="N1166" s="54">
        <f>IF($B1166=0,NA(),IF(Inputs!$C$18&lt;&gt;"Yes",NA(),IF(COUNT(I1166,J1166,K1166,L1166,M1166)=0,NA(),MIN(I1166,J1166,K1166,L1166,M1166))))</f>
        <v/>
      </c>
      <c r="O1166" s="54">
        <f>IF($B1166=0,NA(),IF(Inputs!$B$24&lt;&gt;"Yes",NA(),Inputs!$D$24*Inputs!$C$35))</f>
        <v/>
      </c>
      <c r="P1166" s="54">
        <f>IF($B1166=0,NA(),IF(Inputs!$B$25&lt;&gt;"Yes",NA(),Inputs!$D$25*Inputs!$C$35))</f>
        <v/>
      </c>
      <c r="Q1166" s="54">
        <f>IF($B1166=0,NA(),IF(Inputs!$B$26&lt;&gt;"Yes",NA(),Inputs!$D$26*Inputs!$C$35))</f>
        <v/>
      </c>
      <c r="R1166" s="54">
        <f>IF($B1166=0,NA(),IF(Inputs!$B$27&lt;&gt;"Yes",NA(),Inputs!$D$27*Inputs!$C$35))</f>
        <v/>
      </c>
      <c r="S1166" s="54">
        <f>IF($B1166=0,NA(),IF(Inputs!$B$28&lt;&gt;"Yes",NA(),Inputs!$D$28*Inputs!$C$35))</f>
        <v/>
      </c>
      <c r="T1166" s="54">
        <f>IF($B1166=0,NA(),IF(Inputs!$B$29&lt;&gt;"Yes",NA(),Inputs!$D$29*Inputs!$C$35))</f>
        <v/>
      </c>
      <c r="AD1166">
        <f>IF($B1166=0,0,IF(Inputs!$B$6="",0,COUNTIFS(Data!$A$10:$A$3209,"&gt;="&amp;$A1166,Data!$A$10:$A$3209,"&lt;"&amp;$A1166+1)))</f>
        <v/>
      </c>
      <c r="AE1166">
        <f>IF($B1166=0,0,IF(Inputs!$B$7="",0,COUNTIFS(Data!$E$10:$E$3209,"&gt;="&amp;$A1166,Data!$E$10:$E$3209,"&lt;"&amp;$A1166+1)))</f>
        <v/>
      </c>
      <c r="AF1166">
        <f>IF($B1166=0,0,IF(Inputs!$B$8="",0,COUNTIFS(Data!$I$10:$I$3209,"&gt;="&amp;$A1166,Data!$I$10:$I$3209,"&lt;"&amp;$A1166+1)))</f>
        <v/>
      </c>
      <c r="AG1166">
        <f>IF($B1166=0,0,IF(Inputs!$B$9="",0,COUNTIFS(Data!$M$10:$M$3209,"&gt;="&amp;$A1166,Data!$M$10:$M$3209,"&lt;"&amp;$A1166+1)))</f>
        <v/>
      </c>
      <c r="AH1166">
        <f>IF($B1166=0,0,IF(Inputs!$B$10="",0,COUNTIFS(Data!$Q$10:$Q$3209,"&gt;="&amp;$A1166,Data!$Q$10:$Q$3209,"&lt;"&amp;$A1166+1)))</f>
        <v/>
      </c>
    </row>
    <row r="1167">
      <c r="A1167" s="55">
        <f>MIN(Inputs!$C$15,$A1166+IF(WEEKDAY($A1166,2)=5,3,1))</f>
        <v/>
      </c>
      <c r="B1167">
        <f>IF($A1167&gt;$A1166,1,0)</f>
        <v/>
      </c>
      <c r="C1167" s="56">
        <f>IF($B1167=0,"",IF(Inputs!$B$6="","",IF($AD1167=0,C1166,SUMIFS(Data!$B$10:$B$3209,Data!$A$10:$A$3209,"&gt;="&amp;$A1167,Data!$A$10:$A$3209,"&lt;"&amp;$A1167+1)/$AD1167)))</f>
        <v/>
      </c>
      <c r="D1167" s="56">
        <f>IF($B1167=0,"",IF(Inputs!$B$7="","",IF($AE1167=0,D1166,SUMIFS(Data!$F$10:$F$3209,Data!$E$10:$E$3209,"&gt;="&amp;$A1167,Data!$E$10:$E$3209,"&lt;"&amp;$A1167+1)/$AE1167)))</f>
        <v/>
      </c>
      <c r="E1167" s="56">
        <f>IF($B1167=0,"",IF(Inputs!$B$8="","",IF($AF1167=0,E1166,SUMIFS(Data!$J$10:$J$3209,Data!$I$10:$I$3209,"&gt;="&amp;$A1167,Data!$I$10:$I$3209,"&lt;"&amp;$A1167+1)/$AF1167)))</f>
        <v/>
      </c>
      <c r="F1167" s="56">
        <f>IF($B1167=0,"",IF(Inputs!$B$9="","",IF($AG1167=0,F1166,SUMIFS(Data!$N$10:$N$3209,Data!$M$10:$M$3209,"&gt;="&amp;$A1167,Data!$M$10:$M$3209,"&lt;"&amp;$A1167+1)/$AG1167)))</f>
        <v/>
      </c>
      <c r="G1167" s="56">
        <f>IF($B1167=0,"",IF(Inputs!$B$10="","",IF($AH1167=0,G1166,SUMIFS(Data!$R$10:$R$3209,Data!$Q$10:$Q$3209,"&gt;="&amp;$A1167,Data!$Q$10:$Q$3209,"&lt;"&amp;$A1167+1)/$AH1167)))</f>
        <v/>
      </c>
      <c r="I1167" s="54">
        <f>IF($B1167=0,NA(),IF($C1167="",NA(),IF(C$8="",NA(),IF(N(C$8)=0,NA(),IF(Inputs!$C$17="Rebased to 100",$C1167/C$8*100,$C1167)))))</f>
        <v/>
      </c>
      <c r="J1167" s="54">
        <f>IF($B1167=0,NA(),IF($D1167="",NA(),IF(D$8="",NA(),IF(N(D$8)=0,NA(),IF(Inputs!$C$17="Rebased to 100",$D1167/D$8*100,$D1167)))))</f>
        <v/>
      </c>
      <c r="K1167" s="54">
        <f>IF($B1167=0,NA(),IF($E1167="",NA(),IF(E$8="",NA(),IF(N(E$8)=0,NA(),IF(Inputs!$C$17="Rebased to 100",$E1167/E$8*100,$E1167)))))</f>
        <v/>
      </c>
      <c r="L1167" s="54">
        <f>IF($B1167=0,NA(),IF($F1167="",NA(),IF(F$8="",NA(),IF(N(F$8)=0,NA(),IF(Inputs!$C$17="Rebased to 100",$F1167/F$8*100,$F1167)))))</f>
        <v/>
      </c>
      <c r="M1167" s="54">
        <f>IF($B1167=0,NA(),IF($G1167="",NA(),IF(G$8="",NA(),IF(N(G$8)=0,NA(),IF(Inputs!$C$17="Rebased to 100",$G1167/G$8*100,$G1167)))))</f>
        <v/>
      </c>
      <c r="N1167" s="54">
        <f>IF($B1167=0,NA(),IF(Inputs!$C$18&lt;&gt;"Yes",NA(),IF(COUNT(I1167,J1167,K1167,L1167,M1167)=0,NA(),MIN(I1167,J1167,K1167,L1167,M1167))))</f>
        <v/>
      </c>
      <c r="O1167" s="54">
        <f>IF($B1167=0,NA(),IF(Inputs!$B$24&lt;&gt;"Yes",NA(),Inputs!$D$24*Inputs!$C$35))</f>
        <v/>
      </c>
      <c r="P1167" s="54">
        <f>IF($B1167=0,NA(),IF(Inputs!$B$25&lt;&gt;"Yes",NA(),Inputs!$D$25*Inputs!$C$35))</f>
        <v/>
      </c>
      <c r="Q1167" s="54">
        <f>IF($B1167=0,NA(),IF(Inputs!$B$26&lt;&gt;"Yes",NA(),Inputs!$D$26*Inputs!$C$35))</f>
        <v/>
      </c>
      <c r="R1167" s="54">
        <f>IF($B1167=0,NA(),IF(Inputs!$B$27&lt;&gt;"Yes",NA(),Inputs!$D$27*Inputs!$C$35))</f>
        <v/>
      </c>
      <c r="S1167" s="54">
        <f>IF($B1167=0,NA(),IF(Inputs!$B$28&lt;&gt;"Yes",NA(),Inputs!$D$28*Inputs!$C$35))</f>
        <v/>
      </c>
      <c r="T1167" s="54">
        <f>IF($B1167=0,NA(),IF(Inputs!$B$29&lt;&gt;"Yes",NA(),Inputs!$D$29*Inputs!$C$35))</f>
        <v/>
      </c>
      <c r="AD1167">
        <f>IF($B1167=0,0,IF(Inputs!$B$6="",0,COUNTIFS(Data!$A$10:$A$3209,"&gt;="&amp;$A1167,Data!$A$10:$A$3209,"&lt;"&amp;$A1167+1)))</f>
        <v/>
      </c>
      <c r="AE1167">
        <f>IF($B1167=0,0,IF(Inputs!$B$7="",0,COUNTIFS(Data!$E$10:$E$3209,"&gt;="&amp;$A1167,Data!$E$10:$E$3209,"&lt;"&amp;$A1167+1)))</f>
        <v/>
      </c>
      <c r="AF1167">
        <f>IF($B1167=0,0,IF(Inputs!$B$8="",0,COUNTIFS(Data!$I$10:$I$3209,"&gt;="&amp;$A1167,Data!$I$10:$I$3209,"&lt;"&amp;$A1167+1)))</f>
        <v/>
      </c>
      <c r="AG1167">
        <f>IF($B1167=0,0,IF(Inputs!$B$9="",0,COUNTIFS(Data!$M$10:$M$3209,"&gt;="&amp;$A1167,Data!$M$10:$M$3209,"&lt;"&amp;$A1167+1)))</f>
        <v/>
      </c>
      <c r="AH1167">
        <f>IF($B1167=0,0,IF(Inputs!$B$10="",0,COUNTIFS(Data!$Q$10:$Q$3209,"&gt;="&amp;$A1167,Data!$Q$10:$Q$3209,"&lt;"&amp;$A1167+1)))</f>
        <v/>
      </c>
    </row>
    <row r="1168">
      <c r="A1168" s="55">
        <f>MIN(Inputs!$C$15,$A1167+IF(WEEKDAY($A1167,2)=5,3,1))</f>
        <v/>
      </c>
      <c r="B1168">
        <f>IF($A1168&gt;$A1167,1,0)</f>
        <v/>
      </c>
      <c r="C1168" s="56">
        <f>IF($B1168=0,"",IF(Inputs!$B$6="","",IF($AD1168=0,C1167,SUMIFS(Data!$B$10:$B$3209,Data!$A$10:$A$3209,"&gt;="&amp;$A1168,Data!$A$10:$A$3209,"&lt;"&amp;$A1168+1)/$AD1168)))</f>
        <v/>
      </c>
      <c r="D1168" s="56">
        <f>IF($B1168=0,"",IF(Inputs!$B$7="","",IF($AE1168=0,D1167,SUMIFS(Data!$F$10:$F$3209,Data!$E$10:$E$3209,"&gt;="&amp;$A1168,Data!$E$10:$E$3209,"&lt;"&amp;$A1168+1)/$AE1168)))</f>
        <v/>
      </c>
      <c r="E1168" s="56">
        <f>IF($B1168=0,"",IF(Inputs!$B$8="","",IF($AF1168=0,E1167,SUMIFS(Data!$J$10:$J$3209,Data!$I$10:$I$3209,"&gt;="&amp;$A1168,Data!$I$10:$I$3209,"&lt;"&amp;$A1168+1)/$AF1168)))</f>
        <v/>
      </c>
      <c r="F1168" s="56">
        <f>IF($B1168=0,"",IF(Inputs!$B$9="","",IF($AG1168=0,F1167,SUMIFS(Data!$N$10:$N$3209,Data!$M$10:$M$3209,"&gt;="&amp;$A1168,Data!$M$10:$M$3209,"&lt;"&amp;$A1168+1)/$AG1168)))</f>
        <v/>
      </c>
      <c r="G1168" s="56">
        <f>IF($B1168=0,"",IF(Inputs!$B$10="","",IF($AH1168=0,G1167,SUMIFS(Data!$R$10:$R$3209,Data!$Q$10:$Q$3209,"&gt;="&amp;$A1168,Data!$Q$10:$Q$3209,"&lt;"&amp;$A1168+1)/$AH1168)))</f>
        <v/>
      </c>
      <c r="I1168" s="54">
        <f>IF($B1168=0,NA(),IF($C1168="",NA(),IF(C$8="",NA(),IF(N(C$8)=0,NA(),IF(Inputs!$C$17="Rebased to 100",$C1168/C$8*100,$C1168)))))</f>
        <v/>
      </c>
      <c r="J1168" s="54">
        <f>IF($B1168=0,NA(),IF($D1168="",NA(),IF(D$8="",NA(),IF(N(D$8)=0,NA(),IF(Inputs!$C$17="Rebased to 100",$D1168/D$8*100,$D1168)))))</f>
        <v/>
      </c>
      <c r="K1168" s="54">
        <f>IF($B1168=0,NA(),IF($E1168="",NA(),IF(E$8="",NA(),IF(N(E$8)=0,NA(),IF(Inputs!$C$17="Rebased to 100",$E1168/E$8*100,$E1168)))))</f>
        <v/>
      </c>
      <c r="L1168" s="54">
        <f>IF($B1168=0,NA(),IF($F1168="",NA(),IF(F$8="",NA(),IF(N(F$8)=0,NA(),IF(Inputs!$C$17="Rebased to 100",$F1168/F$8*100,$F1168)))))</f>
        <v/>
      </c>
      <c r="M1168" s="54">
        <f>IF($B1168=0,NA(),IF($G1168="",NA(),IF(G$8="",NA(),IF(N(G$8)=0,NA(),IF(Inputs!$C$17="Rebased to 100",$G1168/G$8*100,$G1168)))))</f>
        <v/>
      </c>
      <c r="N1168" s="54">
        <f>IF($B1168=0,NA(),IF(Inputs!$C$18&lt;&gt;"Yes",NA(),IF(COUNT(I1168,J1168,K1168,L1168,M1168)=0,NA(),MIN(I1168,J1168,K1168,L1168,M1168))))</f>
        <v/>
      </c>
      <c r="O1168" s="54">
        <f>IF($B1168=0,NA(),IF(Inputs!$B$24&lt;&gt;"Yes",NA(),Inputs!$D$24*Inputs!$C$35))</f>
        <v/>
      </c>
      <c r="P1168" s="54">
        <f>IF($B1168=0,NA(),IF(Inputs!$B$25&lt;&gt;"Yes",NA(),Inputs!$D$25*Inputs!$C$35))</f>
        <v/>
      </c>
      <c r="Q1168" s="54">
        <f>IF($B1168=0,NA(),IF(Inputs!$B$26&lt;&gt;"Yes",NA(),Inputs!$D$26*Inputs!$C$35))</f>
        <v/>
      </c>
      <c r="R1168" s="54">
        <f>IF($B1168=0,NA(),IF(Inputs!$B$27&lt;&gt;"Yes",NA(),Inputs!$D$27*Inputs!$C$35))</f>
        <v/>
      </c>
      <c r="S1168" s="54">
        <f>IF($B1168=0,NA(),IF(Inputs!$B$28&lt;&gt;"Yes",NA(),Inputs!$D$28*Inputs!$C$35))</f>
        <v/>
      </c>
      <c r="T1168" s="54">
        <f>IF($B1168=0,NA(),IF(Inputs!$B$29&lt;&gt;"Yes",NA(),Inputs!$D$29*Inputs!$C$35))</f>
        <v/>
      </c>
      <c r="AD1168">
        <f>IF($B1168=0,0,IF(Inputs!$B$6="",0,COUNTIFS(Data!$A$10:$A$3209,"&gt;="&amp;$A1168,Data!$A$10:$A$3209,"&lt;"&amp;$A1168+1)))</f>
        <v/>
      </c>
      <c r="AE1168">
        <f>IF($B1168=0,0,IF(Inputs!$B$7="",0,COUNTIFS(Data!$E$10:$E$3209,"&gt;="&amp;$A1168,Data!$E$10:$E$3209,"&lt;"&amp;$A1168+1)))</f>
        <v/>
      </c>
      <c r="AF1168">
        <f>IF($B1168=0,0,IF(Inputs!$B$8="",0,COUNTIFS(Data!$I$10:$I$3209,"&gt;="&amp;$A1168,Data!$I$10:$I$3209,"&lt;"&amp;$A1168+1)))</f>
        <v/>
      </c>
      <c r="AG1168">
        <f>IF($B1168=0,0,IF(Inputs!$B$9="",0,COUNTIFS(Data!$M$10:$M$3209,"&gt;="&amp;$A1168,Data!$M$10:$M$3209,"&lt;"&amp;$A1168+1)))</f>
        <v/>
      </c>
      <c r="AH1168">
        <f>IF($B1168=0,0,IF(Inputs!$B$10="",0,COUNTIFS(Data!$Q$10:$Q$3209,"&gt;="&amp;$A1168,Data!$Q$10:$Q$3209,"&lt;"&amp;$A1168+1)))</f>
        <v/>
      </c>
    </row>
    <row r="1169">
      <c r="A1169" s="55">
        <f>MIN(Inputs!$C$15,$A1168+IF(WEEKDAY($A1168,2)=5,3,1))</f>
        <v/>
      </c>
      <c r="B1169">
        <f>IF($A1169&gt;$A1168,1,0)</f>
        <v/>
      </c>
      <c r="C1169" s="56">
        <f>IF($B1169=0,"",IF(Inputs!$B$6="","",IF($AD1169=0,C1168,SUMIFS(Data!$B$10:$B$3209,Data!$A$10:$A$3209,"&gt;="&amp;$A1169,Data!$A$10:$A$3209,"&lt;"&amp;$A1169+1)/$AD1169)))</f>
        <v/>
      </c>
      <c r="D1169" s="56">
        <f>IF($B1169=0,"",IF(Inputs!$B$7="","",IF($AE1169=0,D1168,SUMIFS(Data!$F$10:$F$3209,Data!$E$10:$E$3209,"&gt;="&amp;$A1169,Data!$E$10:$E$3209,"&lt;"&amp;$A1169+1)/$AE1169)))</f>
        <v/>
      </c>
      <c r="E1169" s="56">
        <f>IF($B1169=0,"",IF(Inputs!$B$8="","",IF($AF1169=0,E1168,SUMIFS(Data!$J$10:$J$3209,Data!$I$10:$I$3209,"&gt;="&amp;$A1169,Data!$I$10:$I$3209,"&lt;"&amp;$A1169+1)/$AF1169)))</f>
        <v/>
      </c>
      <c r="F1169" s="56">
        <f>IF($B1169=0,"",IF(Inputs!$B$9="","",IF($AG1169=0,F1168,SUMIFS(Data!$N$10:$N$3209,Data!$M$10:$M$3209,"&gt;="&amp;$A1169,Data!$M$10:$M$3209,"&lt;"&amp;$A1169+1)/$AG1169)))</f>
        <v/>
      </c>
      <c r="G1169" s="56">
        <f>IF($B1169=0,"",IF(Inputs!$B$10="","",IF($AH1169=0,G1168,SUMIFS(Data!$R$10:$R$3209,Data!$Q$10:$Q$3209,"&gt;="&amp;$A1169,Data!$Q$10:$Q$3209,"&lt;"&amp;$A1169+1)/$AH1169)))</f>
        <v/>
      </c>
      <c r="I1169" s="54">
        <f>IF($B1169=0,NA(),IF($C1169="",NA(),IF(C$8="",NA(),IF(N(C$8)=0,NA(),IF(Inputs!$C$17="Rebased to 100",$C1169/C$8*100,$C1169)))))</f>
        <v/>
      </c>
      <c r="J1169" s="54">
        <f>IF($B1169=0,NA(),IF($D1169="",NA(),IF(D$8="",NA(),IF(N(D$8)=0,NA(),IF(Inputs!$C$17="Rebased to 100",$D1169/D$8*100,$D1169)))))</f>
        <v/>
      </c>
      <c r="K1169" s="54">
        <f>IF($B1169=0,NA(),IF($E1169="",NA(),IF(E$8="",NA(),IF(N(E$8)=0,NA(),IF(Inputs!$C$17="Rebased to 100",$E1169/E$8*100,$E1169)))))</f>
        <v/>
      </c>
      <c r="L1169" s="54">
        <f>IF($B1169=0,NA(),IF($F1169="",NA(),IF(F$8="",NA(),IF(N(F$8)=0,NA(),IF(Inputs!$C$17="Rebased to 100",$F1169/F$8*100,$F1169)))))</f>
        <v/>
      </c>
      <c r="M1169" s="54">
        <f>IF($B1169=0,NA(),IF($G1169="",NA(),IF(G$8="",NA(),IF(N(G$8)=0,NA(),IF(Inputs!$C$17="Rebased to 100",$G1169/G$8*100,$G1169)))))</f>
        <v/>
      </c>
      <c r="N1169" s="54">
        <f>IF($B1169=0,NA(),IF(Inputs!$C$18&lt;&gt;"Yes",NA(),IF(COUNT(I1169,J1169,K1169,L1169,M1169)=0,NA(),MIN(I1169,J1169,K1169,L1169,M1169))))</f>
        <v/>
      </c>
      <c r="O1169" s="54">
        <f>IF($B1169=0,NA(),IF(Inputs!$B$24&lt;&gt;"Yes",NA(),Inputs!$D$24*Inputs!$C$35))</f>
        <v/>
      </c>
      <c r="P1169" s="54">
        <f>IF($B1169=0,NA(),IF(Inputs!$B$25&lt;&gt;"Yes",NA(),Inputs!$D$25*Inputs!$C$35))</f>
        <v/>
      </c>
      <c r="Q1169" s="54">
        <f>IF($B1169=0,NA(),IF(Inputs!$B$26&lt;&gt;"Yes",NA(),Inputs!$D$26*Inputs!$C$35))</f>
        <v/>
      </c>
      <c r="R1169" s="54">
        <f>IF($B1169=0,NA(),IF(Inputs!$B$27&lt;&gt;"Yes",NA(),Inputs!$D$27*Inputs!$C$35))</f>
        <v/>
      </c>
      <c r="S1169" s="54">
        <f>IF($B1169=0,NA(),IF(Inputs!$B$28&lt;&gt;"Yes",NA(),Inputs!$D$28*Inputs!$C$35))</f>
        <v/>
      </c>
      <c r="T1169" s="54">
        <f>IF($B1169=0,NA(),IF(Inputs!$B$29&lt;&gt;"Yes",NA(),Inputs!$D$29*Inputs!$C$35))</f>
        <v/>
      </c>
      <c r="AD1169">
        <f>IF($B1169=0,0,IF(Inputs!$B$6="",0,COUNTIFS(Data!$A$10:$A$3209,"&gt;="&amp;$A1169,Data!$A$10:$A$3209,"&lt;"&amp;$A1169+1)))</f>
        <v/>
      </c>
      <c r="AE1169">
        <f>IF($B1169=0,0,IF(Inputs!$B$7="",0,COUNTIFS(Data!$E$10:$E$3209,"&gt;="&amp;$A1169,Data!$E$10:$E$3209,"&lt;"&amp;$A1169+1)))</f>
        <v/>
      </c>
      <c r="AF1169">
        <f>IF($B1169=0,0,IF(Inputs!$B$8="",0,COUNTIFS(Data!$I$10:$I$3209,"&gt;="&amp;$A1169,Data!$I$10:$I$3209,"&lt;"&amp;$A1169+1)))</f>
        <v/>
      </c>
      <c r="AG1169">
        <f>IF($B1169=0,0,IF(Inputs!$B$9="",0,COUNTIFS(Data!$M$10:$M$3209,"&gt;="&amp;$A1169,Data!$M$10:$M$3209,"&lt;"&amp;$A1169+1)))</f>
        <v/>
      </c>
      <c r="AH1169">
        <f>IF($B1169=0,0,IF(Inputs!$B$10="",0,COUNTIFS(Data!$Q$10:$Q$3209,"&gt;="&amp;$A1169,Data!$Q$10:$Q$3209,"&lt;"&amp;$A1169+1)))</f>
        <v/>
      </c>
    </row>
    <row r="1170">
      <c r="A1170" s="55">
        <f>MIN(Inputs!$C$15,$A1169+IF(WEEKDAY($A1169,2)=5,3,1))</f>
        <v/>
      </c>
      <c r="B1170">
        <f>IF($A1170&gt;$A1169,1,0)</f>
        <v/>
      </c>
      <c r="C1170" s="56">
        <f>IF($B1170=0,"",IF(Inputs!$B$6="","",IF($AD1170=0,C1169,SUMIFS(Data!$B$10:$B$3209,Data!$A$10:$A$3209,"&gt;="&amp;$A1170,Data!$A$10:$A$3209,"&lt;"&amp;$A1170+1)/$AD1170)))</f>
        <v/>
      </c>
      <c r="D1170" s="56">
        <f>IF($B1170=0,"",IF(Inputs!$B$7="","",IF($AE1170=0,D1169,SUMIFS(Data!$F$10:$F$3209,Data!$E$10:$E$3209,"&gt;="&amp;$A1170,Data!$E$10:$E$3209,"&lt;"&amp;$A1170+1)/$AE1170)))</f>
        <v/>
      </c>
      <c r="E1170" s="56">
        <f>IF($B1170=0,"",IF(Inputs!$B$8="","",IF($AF1170=0,E1169,SUMIFS(Data!$J$10:$J$3209,Data!$I$10:$I$3209,"&gt;="&amp;$A1170,Data!$I$10:$I$3209,"&lt;"&amp;$A1170+1)/$AF1170)))</f>
        <v/>
      </c>
      <c r="F1170" s="56">
        <f>IF($B1170=0,"",IF(Inputs!$B$9="","",IF($AG1170=0,F1169,SUMIFS(Data!$N$10:$N$3209,Data!$M$10:$M$3209,"&gt;="&amp;$A1170,Data!$M$10:$M$3209,"&lt;"&amp;$A1170+1)/$AG1170)))</f>
        <v/>
      </c>
      <c r="G1170" s="56">
        <f>IF($B1170=0,"",IF(Inputs!$B$10="","",IF($AH1170=0,G1169,SUMIFS(Data!$R$10:$R$3209,Data!$Q$10:$Q$3209,"&gt;="&amp;$A1170,Data!$Q$10:$Q$3209,"&lt;"&amp;$A1170+1)/$AH1170)))</f>
        <v/>
      </c>
      <c r="I1170" s="54">
        <f>IF($B1170=0,NA(),IF($C1170="",NA(),IF(C$8="",NA(),IF(N(C$8)=0,NA(),IF(Inputs!$C$17="Rebased to 100",$C1170/C$8*100,$C1170)))))</f>
        <v/>
      </c>
      <c r="J1170" s="54">
        <f>IF($B1170=0,NA(),IF($D1170="",NA(),IF(D$8="",NA(),IF(N(D$8)=0,NA(),IF(Inputs!$C$17="Rebased to 100",$D1170/D$8*100,$D1170)))))</f>
        <v/>
      </c>
      <c r="K1170" s="54">
        <f>IF($B1170=0,NA(),IF($E1170="",NA(),IF(E$8="",NA(),IF(N(E$8)=0,NA(),IF(Inputs!$C$17="Rebased to 100",$E1170/E$8*100,$E1170)))))</f>
        <v/>
      </c>
      <c r="L1170" s="54">
        <f>IF($B1170=0,NA(),IF($F1170="",NA(),IF(F$8="",NA(),IF(N(F$8)=0,NA(),IF(Inputs!$C$17="Rebased to 100",$F1170/F$8*100,$F1170)))))</f>
        <v/>
      </c>
      <c r="M1170" s="54">
        <f>IF($B1170=0,NA(),IF($G1170="",NA(),IF(G$8="",NA(),IF(N(G$8)=0,NA(),IF(Inputs!$C$17="Rebased to 100",$G1170/G$8*100,$G1170)))))</f>
        <v/>
      </c>
      <c r="N1170" s="54">
        <f>IF($B1170=0,NA(),IF(Inputs!$C$18&lt;&gt;"Yes",NA(),IF(COUNT(I1170,J1170,K1170,L1170,M1170)=0,NA(),MIN(I1170,J1170,K1170,L1170,M1170))))</f>
        <v/>
      </c>
      <c r="O1170" s="54">
        <f>IF($B1170=0,NA(),IF(Inputs!$B$24&lt;&gt;"Yes",NA(),Inputs!$D$24*Inputs!$C$35))</f>
        <v/>
      </c>
      <c r="P1170" s="54">
        <f>IF($B1170=0,NA(),IF(Inputs!$B$25&lt;&gt;"Yes",NA(),Inputs!$D$25*Inputs!$C$35))</f>
        <v/>
      </c>
      <c r="Q1170" s="54">
        <f>IF($B1170=0,NA(),IF(Inputs!$B$26&lt;&gt;"Yes",NA(),Inputs!$D$26*Inputs!$C$35))</f>
        <v/>
      </c>
      <c r="R1170" s="54">
        <f>IF($B1170=0,NA(),IF(Inputs!$B$27&lt;&gt;"Yes",NA(),Inputs!$D$27*Inputs!$C$35))</f>
        <v/>
      </c>
      <c r="S1170" s="54">
        <f>IF($B1170=0,NA(),IF(Inputs!$B$28&lt;&gt;"Yes",NA(),Inputs!$D$28*Inputs!$C$35))</f>
        <v/>
      </c>
      <c r="T1170" s="54">
        <f>IF($B1170=0,NA(),IF(Inputs!$B$29&lt;&gt;"Yes",NA(),Inputs!$D$29*Inputs!$C$35))</f>
        <v/>
      </c>
      <c r="AD1170">
        <f>IF($B1170=0,0,IF(Inputs!$B$6="",0,COUNTIFS(Data!$A$10:$A$3209,"&gt;="&amp;$A1170,Data!$A$10:$A$3209,"&lt;"&amp;$A1170+1)))</f>
        <v/>
      </c>
      <c r="AE1170">
        <f>IF($B1170=0,0,IF(Inputs!$B$7="",0,COUNTIFS(Data!$E$10:$E$3209,"&gt;="&amp;$A1170,Data!$E$10:$E$3209,"&lt;"&amp;$A1170+1)))</f>
        <v/>
      </c>
      <c r="AF1170">
        <f>IF($B1170=0,0,IF(Inputs!$B$8="",0,COUNTIFS(Data!$I$10:$I$3209,"&gt;="&amp;$A1170,Data!$I$10:$I$3209,"&lt;"&amp;$A1170+1)))</f>
        <v/>
      </c>
      <c r="AG1170">
        <f>IF($B1170=0,0,IF(Inputs!$B$9="",0,COUNTIFS(Data!$M$10:$M$3209,"&gt;="&amp;$A1170,Data!$M$10:$M$3209,"&lt;"&amp;$A1170+1)))</f>
        <v/>
      </c>
      <c r="AH1170">
        <f>IF($B1170=0,0,IF(Inputs!$B$10="",0,COUNTIFS(Data!$Q$10:$Q$3209,"&gt;="&amp;$A1170,Data!$Q$10:$Q$3209,"&lt;"&amp;$A1170+1)))</f>
        <v/>
      </c>
    </row>
    <row r="1171">
      <c r="A1171" s="55">
        <f>MIN(Inputs!$C$15,$A1170+IF(WEEKDAY($A1170,2)=5,3,1))</f>
        <v/>
      </c>
      <c r="B1171">
        <f>IF($A1171&gt;$A1170,1,0)</f>
        <v/>
      </c>
      <c r="C1171" s="56">
        <f>IF($B1171=0,"",IF(Inputs!$B$6="","",IF($AD1171=0,C1170,SUMIFS(Data!$B$10:$B$3209,Data!$A$10:$A$3209,"&gt;="&amp;$A1171,Data!$A$10:$A$3209,"&lt;"&amp;$A1171+1)/$AD1171)))</f>
        <v/>
      </c>
      <c r="D1171" s="56">
        <f>IF($B1171=0,"",IF(Inputs!$B$7="","",IF($AE1171=0,D1170,SUMIFS(Data!$F$10:$F$3209,Data!$E$10:$E$3209,"&gt;="&amp;$A1171,Data!$E$10:$E$3209,"&lt;"&amp;$A1171+1)/$AE1171)))</f>
        <v/>
      </c>
      <c r="E1171" s="56">
        <f>IF($B1171=0,"",IF(Inputs!$B$8="","",IF($AF1171=0,E1170,SUMIFS(Data!$J$10:$J$3209,Data!$I$10:$I$3209,"&gt;="&amp;$A1171,Data!$I$10:$I$3209,"&lt;"&amp;$A1171+1)/$AF1171)))</f>
        <v/>
      </c>
      <c r="F1171" s="56">
        <f>IF($B1171=0,"",IF(Inputs!$B$9="","",IF($AG1171=0,F1170,SUMIFS(Data!$N$10:$N$3209,Data!$M$10:$M$3209,"&gt;="&amp;$A1171,Data!$M$10:$M$3209,"&lt;"&amp;$A1171+1)/$AG1171)))</f>
        <v/>
      </c>
      <c r="G1171" s="56">
        <f>IF($B1171=0,"",IF(Inputs!$B$10="","",IF($AH1171=0,G1170,SUMIFS(Data!$R$10:$R$3209,Data!$Q$10:$Q$3209,"&gt;="&amp;$A1171,Data!$Q$10:$Q$3209,"&lt;"&amp;$A1171+1)/$AH1171)))</f>
        <v/>
      </c>
      <c r="I1171" s="54">
        <f>IF($B1171=0,NA(),IF($C1171="",NA(),IF(C$8="",NA(),IF(N(C$8)=0,NA(),IF(Inputs!$C$17="Rebased to 100",$C1171/C$8*100,$C1171)))))</f>
        <v/>
      </c>
      <c r="J1171" s="54">
        <f>IF($B1171=0,NA(),IF($D1171="",NA(),IF(D$8="",NA(),IF(N(D$8)=0,NA(),IF(Inputs!$C$17="Rebased to 100",$D1171/D$8*100,$D1171)))))</f>
        <v/>
      </c>
      <c r="K1171" s="54">
        <f>IF($B1171=0,NA(),IF($E1171="",NA(),IF(E$8="",NA(),IF(N(E$8)=0,NA(),IF(Inputs!$C$17="Rebased to 100",$E1171/E$8*100,$E1171)))))</f>
        <v/>
      </c>
      <c r="L1171" s="54">
        <f>IF($B1171=0,NA(),IF($F1171="",NA(),IF(F$8="",NA(),IF(N(F$8)=0,NA(),IF(Inputs!$C$17="Rebased to 100",$F1171/F$8*100,$F1171)))))</f>
        <v/>
      </c>
      <c r="M1171" s="54">
        <f>IF($B1171=0,NA(),IF($G1171="",NA(),IF(G$8="",NA(),IF(N(G$8)=0,NA(),IF(Inputs!$C$17="Rebased to 100",$G1171/G$8*100,$G1171)))))</f>
        <v/>
      </c>
      <c r="N1171" s="54">
        <f>IF($B1171=0,NA(),IF(Inputs!$C$18&lt;&gt;"Yes",NA(),IF(COUNT(I1171,J1171,K1171,L1171,M1171)=0,NA(),MIN(I1171,J1171,K1171,L1171,M1171))))</f>
        <v/>
      </c>
      <c r="O1171" s="54">
        <f>IF($B1171=0,NA(),IF(Inputs!$B$24&lt;&gt;"Yes",NA(),Inputs!$D$24*Inputs!$C$35))</f>
        <v/>
      </c>
      <c r="P1171" s="54">
        <f>IF($B1171=0,NA(),IF(Inputs!$B$25&lt;&gt;"Yes",NA(),Inputs!$D$25*Inputs!$C$35))</f>
        <v/>
      </c>
      <c r="Q1171" s="54">
        <f>IF($B1171=0,NA(),IF(Inputs!$B$26&lt;&gt;"Yes",NA(),Inputs!$D$26*Inputs!$C$35))</f>
        <v/>
      </c>
      <c r="R1171" s="54">
        <f>IF($B1171=0,NA(),IF(Inputs!$B$27&lt;&gt;"Yes",NA(),Inputs!$D$27*Inputs!$C$35))</f>
        <v/>
      </c>
      <c r="S1171" s="54">
        <f>IF($B1171=0,NA(),IF(Inputs!$B$28&lt;&gt;"Yes",NA(),Inputs!$D$28*Inputs!$C$35))</f>
        <v/>
      </c>
      <c r="T1171" s="54">
        <f>IF($B1171=0,NA(),IF(Inputs!$B$29&lt;&gt;"Yes",NA(),Inputs!$D$29*Inputs!$C$35))</f>
        <v/>
      </c>
      <c r="AD1171">
        <f>IF($B1171=0,0,IF(Inputs!$B$6="",0,COUNTIFS(Data!$A$10:$A$3209,"&gt;="&amp;$A1171,Data!$A$10:$A$3209,"&lt;"&amp;$A1171+1)))</f>
        <v/>
      </c>
      <c r="AE1171">
        <f>IF($B1171=0,0,IF(Inputs!$B$7="",0,COUNTIFS(Data!$E$10:$E$3209,"&gt;="&amp;$A1171,Data!$E$10:$E$3209,"&lt;"&amp;$A1171+1)))</f>
        <v/>
      </c>
      <c r="AF1171">
        <f>IF($B1171=0,0,IF(Inputs!$B$8="",0,COUNTIFS(Data!$I$10:$I$3209,"&gt;="&amp;$A1171,Data!$I$10:$I$3209,"&lt;"&amp;$A1171+1)))</f>
        <v/>
      </c>
      <c r="AG1171">
        <f>IF($B1171=0,0,IF(Inputs!$B$9="",0,COUNTIFS(Data!$M$10:$M$3209,"&gt;="&amp;$A1171,Data!$M$10:$M$3209,"&lt;"&amp;$A1171+1)))</f>
        <v/>
      </c>
      <c r="AH1171">
        <f>IF($B1171=0,0,IF(Inputs!$B$10="",0,COUNTIFS(Data!$Q$10:$Q$3209,"&gt;="&amp;$A1171,Data!$Q$10:$Q$3209,"&lt;"&amp;$A1171+1)))</f>
        <v/>
      </c>
    </row>
    <row r="1172">
      <c r="A1172" s="55">
        <f>MIN(Inputs!$C$15,$A1171+IF(WEEKDAY($A1171,2)=5,3,1))</f>
        <v/>
      </c>
      <c r="B1172">
        <f>IF($A1172&gt;$A1171,1,0)</f>
        <v/>
      </c>
      <c r="C1172" s="56">
        <f>IF($B1172=0,"",IF(Inputs!$B$6="","",IF($AD1172=0,C1171,SUMIFS(Data!$B$10:$B$3209,Data!$A$10:$A$3209,"&gt;="&amp;$A1172,Data!$A$10:$A$3209,"&lt;"&amp;$A1172+1)/$AD1172)))</f>
        <v/>
      </c>
      <c r="D1172" s="56">
        <f>IF($B1172=0,"",IF(Inputs!$B$7="","",IF($AE1172=0,D1171,SUMIFS(Data!$F$10:$F$3209,Data!$E$10:$E$3209,"&gt;="&amp;$A1172,Data!$E$10:$E$3209,"&lt;"&amp;$A1172+1)/$AE1172)))</f>
        <v/>
      </c>
      <c r="E1172" s="56">
        <f>IF($B1172=0,"",IF(Inputs!$B$8="","",IF($AF1172=0,E1171,SUMIFS(Data!$J$10:$J$3209,Data!$I$10:$I$3209,"&gt;="&amp;$A1172,Data!$I$10:$I$3209,"&lt;"&amp;$A1172+1)/$AF1172)))</f>
        <v/>
      </c>
      <c r="F1172" s="56">
        <f>IF($B1172=0,"",IF(Inputs!$B$9="","",IF($AG1172=0,F1171,SUMIFS(Data!$N$10:$N$3209,Data!$M$10:$M$3209,"&gt;="&amp;$A1172,Data!$M$10:$M$3209,"&lt;"&amp;$A1172+1)/$AG1172)))</f>
        <v/>
      </c>
      <c r="G1172" s="56">
        <f>IF($B1172=0,"",IF(Inputs!$B$10="","",IF($AH1172=0,G1171,SUMIFS(Data!$R$10:$R$3209,Data!$Q$10:$Q$3209,"&gt;="&amp;$A1172,Data!$Q$10:$Q$3209,"&lt;"&amp;$A1172+1)/$AH1172)))</f>
        <v/>
      </c>
      <c r="I1172" s="54">
        <f>IF($B1172=0,NA(),IF($C1172="",NA(),IF(C$8="",NA(),IF(N(C$8)=0,NA(),IF(Inputs!$C$17="Rebased to 100",$C1172/C$8*100,$C1172)))))</f>
        <v/>
      </c>
      <c r="J1172" s="54">
        <f>IF($B1172=0,NA(),IF($D1172="",NA(),IF(D$8="",NA(),IF(N(D$8)=0,NA(),IF(Inputs!$C$17="Rebased to 100",$D1172/D$8*100,$D1172)))))</f>
        <v/>
      </c>
      <c r="K1172" s="54">
        <f>IF($B1172=0,NA(),IF($E1172="",NA(),IF(E$8="",NA(),IF(N(E$8)=0,NA(),IF(Inputs!$C$17="Rebased to 100",$E1172/E$8*100,$E1172)))))</f>
        <v/>
      </c>
      <c r="L1172" s="54">
        <f>IF($B1172=0,NA(),IF($F1172="",NA(),IF(F$8="",NA(),IF(N(F$8)=0,NA(),IF(Inputs!$C$17="Rebased to 100",$F1172/F$8*100,$F1172)))))</f>
        <v/>
      </c>
      <c r="M1172" s="54">
        <f>IF($B1172=0,NA(),IF($G1172="",NA(),IF(G$8="",NA(),IF(N(G$8)=0,NA(),IF(Inputs!$C$17="Rebased to 100",$G1172/G$8*100,$G1172)))))</f>
        <v/>
      </c>
      <c r="N1172" s="54">
        <f>IF($B1172=0,NA(),IF(Inputs!$C$18&lt;&gt;"Yes",NA(),IF(COUNT(I1172,J1172,K1172,L1172,M1172)=0,NA(),MIN(I1172,J1172,K1172,L1172,M1172))))</f>
        <v/>
      </c>
      <c r="O1172" s="54">
        <f>IF($B1172=0,NA(),IF(Inputs!$B$24&lt;&gt;"Yes",NA(),Inputs!$D$24*Inputs!$C$35))</f>
        <v/>
      </c>
      <c r="P1172" s="54">
        <f>IF($B1172=0,NA(),IF(Inputs!$B$25&lt;&gt;"Yes",NA(),Inputs!$D$25*Inputs!$C$35))</f>
        <v/>
      </c>
      <c r="Q1172" s="54">
        <f>IF($B1172=0,NA(),IF(Inputs!$B$26&lt;&gt;"Yes",NA(),Inputs!$D$26*Inputs!$C$35))</f>
        <v/>
      </c>
      <c r="R1172" s="54">
        <f>IF($B1172=0,NA(),IF(Inputs!$B$27&lt;&gt;"Yes",NA(),Inputs!$D$27*Inputs!$C$35))</f>
        <v/>
      </c>
      <c r="S1172" s="54">
        <f>IF($B1172=0,NA(),IF(Inputs!$B$28&lt;&gt;"Yes",NA(),Inputs!$D$28*Inputs!$C$35))</f>
        <v/>
      </c>
      <c r="T1172" s="54">
        <f>IF($B1172=0,NA(),IF(Inputs!$B$29&lt;&gt;"Yes",NA(),Inputs!$D$29*Inputs!$C$35))</f>
        <v/>
      </c>
      <c r="AD1172">
        <f>IF($B1172=0,0,IF(Inputs!$B$6="",0,COUNTIFS(Data!$A$10:$A$3209,"&gt;="&amp;$A1172,Data!$A$10:$A$3209,"&lt;"&amp;$A1172+1)))</f>
        <v/>
      </c>
      <c r="AE1172">
        <f>IF($B1172=0,0,IF(Inputs!$B$7="",0,COUNTIFS(Data!$E$10:$E$3209,"&gt;="&amp;$A1172,Data!$E$10:$E$3209,"&lt;"&amp;$A1172+1)))</f>
        <v/>
      </c>
      <c r="AF1172">
        <f>IF($B1172=0,0,IF(Inputs!$B$8="",0,COUNTIFS(Data!$I$10:$I$3209,"&gt;="&amp;$A1172,Data!$I$10:$I$3209,"&lt;"&amp;$A1172+1)))</f>
        <v/>
      </c>
      <c r="AG1172">
        <f>IF($B1172=0,0,IF(Inputs!$B$9="",0,COUNTIFS(Data!$M$10:$M$3209,"&gt;="&amp;$A1172,Data!$M$10:$M$3209,"&lt;"&amp;$A1172+1)))</f>
        <v/>
      </c>
      <c r="AH1172">
        <f>IF($B1172=0,0,IF(Inputs!$B$10="",0,COUNTIFS(Data!$Q$10:$Q$3209,"&gt;="&amp;$A1172,Data!$Q$10:$Q$3209,"&lt;"&amp;$A1172+1)))</f>
        <v/>
      </c>
    </row>
    <row r="1173">
      <c r="A1173" s="55">
        <f>MIN(Inputs!$C$15,$A1172+IF(WEEKDAY($A1172,2)=5,3,1))</f>
        <v/>
      </c>
      <c r="B1173">
        <f>IF($A1173&gt;$A1172,1,0)</f>
        <v/>
      </c>
      <c r="C1173" s="56">
        <f>IF($B1173=0,"",IF(Inputs!$B$6="","",IF($AD1173=0,C1172,SUMIFS(Data!$B$10:$B$3209,Data!$A$10:$A$3209,"&gt;="&amp;$A1173,Data!$A$10:$A$3209,"&lt;"&amp;$A1173+1)/$AD1173)))</f>
        <v/>
      </c>
      <c r="D1173" s="56">
        <f>IF($B1173=0,"",IF(Inputs!$B$7="","",IF($AE1173=0,D1172,SUMIFS(Data!$F$10:$F$3209,Data!$E$10:$E$3209,"&gt;="&amp;$A1173,Data!$E$10:$E$3209,"&lt;"&amp;$A1173+1)/$AE1173)))</f>
        <v/>
      </c>
      <c r="E1173" s="56">
        <f>IF($B1173=0,"",IF(Inputs!$B$8="","",IF($AF1173=0,E1172,SUMIFS(Data!$J$10:$J$3209,Data!$I$10:$I$3209,"&gt;="&amp;$A1173,Data!$I$10:$I$3209,"&lt;"&amp;$A1173+1)/$AF1173)))</f>
        <v/>
      </c>
      <c r="F1173" s="56">
        <f>IF($B1173=0,"",IF(Inputs!$B$9="","",IF($AG1173=0,F1172,SUMIFS(Data!$N$10:$N$3209,Data!$M$10:$M$3209,"&gt;="&amp;$A1173,Data!$M$10:$M$3209,"&lt;"&amp;$A1173+1)/$AG1173)))</f>
        <v/>
      </c>
      <c r="G1173" s="56">
        <f>IF($B1173=0,"",IF(Inputs!$B$10="","",IF($AH1173=0,G1172,SUMIFS(Data!$R$10:$R$3209,Data!$Q$10:$Q$3209,"&gt;="&amp;$A1173,Data!$Q$10:$Q$3209,"&lt;"&amp;$A1173+1)/$AH1173)))</f>
        <v/>
      </c>
      <c r="I1173" s="54">
        <f>IF($B1173=0,NA(),IF($C1173="",NA(),IF(C$8="",NA(),IF(N(C$8)=0,NA(),IF(Inputs!$C$17="Rebased to 100",$C1173/C$8*100,$C1173)))))</f>
        <v/>
      </c>
      <c r="J1173" s="54">
        <f>IF($B1173=0,NA(),IF($D1173="",NA(),IF(D$8="",NA(),IF(N(D$8)=0,NA(),IF(Inputs!$C$17="Rebased to 100",$D1173/D$8*100,$D1173)))))</f>
        <v/>
      </c>
      <c r="K1173" s="54">
        <f>IF($B1173=0,NA(),IF($E1173="",NA(),IF(E$8="",NA(),IF(N(E$8)=0,NA(),IF(Inputs!$C$17="Rebased to 100",$E1173/E$8*100,$E1173)))))</f>
        <v/>
      </c>
      <c r="L1173" s="54">
        <f>IF($B1173=0,NA(),IF($F1173="",NA(),IF(F$8="",NA(),IF(N(F$8)=0,NA(),IF(Inputs!$C$17="Rebased to 100",$F1173/F$8*100,$F1173)))))</f>
        <v/>
      </c>
      <c r="M1173" s="54">
        <f>IF($B1173=0,NA(),IF($G1173="",NA(),IF(G$8="",NA(),IF(N(G$8)=0,NA(),IF(Inputs!$C$17="Rebased to 100",$G1173/G$8*100,$G1173)))))</f>
        <v/>
      </c>
      <c r="N1173" s="54">
        <f>IF($B1173=0,NA(),IF(Inputs!$C$18&lt;&gt;"Yes",NA(),IF(COUNT(I1173,J1173,K1173,L1173,M1173)=0,NA(),MIN(I1173,J1173,K1173,L1173,M1173))))</f>
        <v/>
      </c>
      <c r="O1173" s="54">
        <f>IF($B1173=0,NA(),IF(Inputs!$B$24&lt;&gt;"Yes",NA(),Inputs!$D$24*Inputs!$C$35))</f>
        <v/>
      </c>
      <c r="P1173" s="54">
        <f>IF($B1173=0,NA(),IF(Inputs!$B$25&lt;&gt;"Yes",NA(),Inputs!$D$25*Inputs!$C$35))</f>
        <v/>
      </c>
      <c r="Q1173" s="54">
        <f>IF($B1173=0,NA(),IF(Inputs!$B$26&lt;&gt;"Yes",NA(),Inputs!$D$26*Inputs!$C$35))</f>
        <v/>
      </c>
      <c r="R1173" s="54">
        <f>IF($B1173=0,NA(),IF(Inputs!$B$27&lt;&gt;"Yes",NA(),Inputs!$D$27*Inputs!$C$35))</f>
        <v/>
      </c>
      <c r="S1173" s="54">
        <f>IF($B1173=0,NA(),IF(Inputs!$B$28&lt;&gt;"Yes",NA(),Inputs!$D$28*Inputs!$C$35))</f>
        <v/>
      </c>
      <c r="T1173" s="54">
        <f>IF($B1173=0,NA(),IF(Inputs!$B$29&lt;&gt;"Yes",NA(),Inputs!$D$29*Inputs!$C$35))</f>
        <v/>
      </c>
      <c r="AD1173">
        <f>IF($B1173=0,0,IF(Inputs!$B$6="",0,COUNTIFS(Data!$A$10:$A$3209,"&gt;="&amp;$A1173,Data!$A$10:$A$3209,"&lt;"&amp;$A1173+1)))</f>
        <v/>
      </c>
      <c r="AE1173">
        <f>IF($B1173=0,0,IF(Inputs!$B$7="",0,COUNTIFS(Data!$E$10:$E$3209,"&gt;="&amp;$A1173,Data!$E$10:$E$3209,"&lt;"&amp;$A1173+1)))</f>
        <v/>
      </c>
      <c r="AF1173">
        <f>IF($B1173=0,0,IF(Inputs!$B$8="",0,COUNTIFS(Data!$I$10:$I$3209,"&gt;="&amp;$A1173,Data!$I$10:$I$3209,"&lt;"&amp;$A1173+1)))</f>
        <v/>
      </c>
      <c r="AG1173">
        <f>IF($B1173=0,0,IF(Inputs!$B$9="",0,COUNTIFS(Data!$M$10:$M$3209,"&gt;="&amp;$A1173,Data!$M$10:$M$3209,"&lt;"&amp;$A1173+1)))</f>
        <v/>
      </c>
      <c r="AH1173">
        <f>IF($B1173=0,0,IF(Inputs!$B$10="",0,COUNTIFS(Data!$Q$10:$Q$3209,"&gt;="&amp;$A1173,Data!$Q$10:$Q$3209,"&lt;"&amp;$A1173+1)))</f>
        <v/>
      </c>
    </row>
    <row r="1174">
      <c r="A1174" s="55">
        <f>MIN(Inputs!$C$15,$A1173+IF(WEEKDAY($A1173,2)=5,3,1))</f>
        <v/>
      </c>
      <c r="B1174">
        <f>IF($A1174&gt;$A1173,1,0)</f>
        <v/>
      </c>
      <c r="C1174" s="56">
        <f>IF($B1174=0,"",IF(Inputs!$B$6="","",IF($AD1174=0,C1173,SUMIFS(Data!$B$10:$B$3209,Data!$A$10:$A$3209,"&gt;="&amp;$A1174,Data!$A$10:$A$3209,"&lt;"&amp;$A1174+1)/$AD1174)))</f>
        <v/>
      </c>
      <c r="D1174" s="56">
        <f>IF($B1174=0,"",IF(Inputs!$B$7="","",IF($AE1174=0,D1173,SUMIFS(Data!$F$10:$F$3209,Data!$E$10:$E$3209,"&gt;="&amp;$A1174,Data!$E$10:$E$3209,"&lt;"&amp;$A1174+1)/$AE1174)))</f>
        <v/>
      </c>
      <c r="E1174" s="56">
        <f>IF($B1174=0,"",IF(Inputs!$B$8="","",IF($AF1174=0,E1173,SUMIFS(Data!$J$10:$J$3209,Data!$I$10:$I$3209,"&gt;="&amp;$A1174,Data!$I$10:$I$3209,"&lt;"&amp;$A1174+1)/$AF1174)))</f>
        <v/>
      </c>
      <c r="F1174" s="56">
        <f>IF($B1174=0,"",IF(Inputs!$B$9="","",IF($AG1174=0,F1173,SUMIFS(Data!$N$10:$N$3209,Data!$M$10:$M$3209,"&gt;="&amp;$A1174,Data!$M$10:$M$3209,"&lt;"&amp;$A1174+1)/$AG1174)))</f>
        <v/>
      </c>
      <c r="G1174" s="56">
        <f>IF($B1174=0,"",IF(Inputs!$B$10="","",IF($AH1174=0,G1173,SUMIFS(Data!$R$10:$R$3209,Data!$Q$10:$Q$3209,"&gt;="&amp;$A1174,Data!$Q$10:$Q$3209,"&lt;"&amp;$A1174+1)/$AH1174)))</f>
        <v/>
      </c>
      <c r="I1174" s="54">
        <f>IF($B1174=0,NA(),IF($C1174="",NA(),IF(C$8="",NA(),IF(N(C$8)=0,NA(),IF(Inputs!$C$17="Rebased to 100",$C1174/C$8*100,$C1174)))))</f>
        <v/>
      </c>
      <c r="J1174" s="54">
        <f>IF($B1174=0,NA(),IF($D1174="",NA(),IF(D$8="",NA(),IF(N(D$8)=0,NA(),IF(Inputs!$C$17="Rebased to 100",$D1174/D$8*100,$D1174)))))</f>
        <v/>
      </c>
      <c r="K1174" s="54">
        <f>IF($B1174=0,NA(),IF($E1174="",NA(),IF(E$8="",NA(),IF(N(E$8)=0,NA(),IF(Inputs!$C$17="Rebased to 100",$E1174/E$8*100,$E1174)))))</f>
        <v/>
      </c>
      <c r="L1174" s="54">
        <f>IF($B1174=0,NA(),IF($F1174="",NA(),IF(F$8="",NA(),IF(N(F$8)=0,NA(),IF(Inputs!$C$17="Rebased to 100",$F1174/F$8*100,$F1174)))))</f>
        <v/>
      </c>
      <c r="M1174" s="54">
        <f>IF($B1174=0,NA(),IF($G1174="",NA(),IF(G$8="",NA(),IF(N(G$8)=0,NA(),IF(Inputs!$C$17="Rebased to 100",$G1174/G$8*100,$G1174)))))</f>
        <v/>
      </c>
      <c r="N1174" s="54">
        <f>IF($B1174=0,NA(),IF(Inputs!$C$18&lt;&gt;"Yes",NA(),IF(COUNT(I1174,J1174,K1174,L1174,M1174)=0,NA(),MIN(I1174,J1174,K1174,L1174,M1174))))</f>
        <v/>
      </c>
      <c r="O1174" s="54">
        <f>IF($B1174=0,NA(),IF(Inputs!$B$24&lt;&gt;"Yes",NA(),Inputs!$D$24*Inputs!$C$35))</f>
        <v/>
      </c>
      <c r="P1174" s="54">
        <f>IF($B1174=0,NA(),IF(Inputs!$B$25&lt;&gt;"Yes",NA(),Inputs!$D$25*Inputs!$C$35))</f>
        <v/>
      </c>
      <c r="Q1174" s="54">
        <f>IF($B1174=0,NA(),IF(Inputs!$B$26&lt;&gt;"Yes",NA(),Inputs!$D$26*Inputs!$C$35))</f>
        <v/>
      </c>
      <c r="R1174" s="54">
        <f>IF($B1174=0,NA(),IF(Inputs!$B$27&lt;&gt;"Yes",NA(),Inputs!$D$27*Inputs!$C$35))</f>
        <v/>
      </c>
      <c r="S1174" s="54">
        <f>IF($B1174=0,NA(),IF(Inputs!$B$28&lt;&gt;"Yes",NA(),Inputs!$D$28*Inputs!$C$35))</f>
        <v/>
      </c>
      <c r="T1174" s="54">
        <f>IF($B1174=0,NA(),IF(Inputs!$B$29&lt;&gt;"Yes",NA(),Inputs!$D$29*Inputs!$C$35))</f>
        <v/>
      </c>
      <c r="AD1174">
        <f>IF($B1174=0,0,IF(Inputs!$B$6="",0,COUNTIFS(Data!$A$10:$A$3209,"&gt;="&amp;$A1174,Data!$A$10:$A$3209,"&lt;"&amp;$A1174+1)))</f>
        <v/>
      </c>
      <c r="AE1174">
        <f>IF($B1174=0,0,IF(Inputs!$B$7="",0,COUNTIFS(Data!$E$10:$E$3209,"&gt;="&amp;$A1174,Data!$E$10:$E$3209,"&lt;"&amp;$A1174+1)))</f>
        <v/>
      </c>
      <c r="AF1174">
        <f>IF($B1174=0,0,IF(Inputs!$B$8="",0,COUNTIFS(Data!$I$10:$I$3209,"&gt;="&amp;$A1174,Data!$I$10:$I$3209,"&lt;"&amp;$A1174+1)))</f>
        <v/>
      </c>
      <c r="AG1174">
        <f>IF($B1174=0,0,IF(Inputs!$B$9="",0,COUNTIFS(Data!$M$10:$M$3209,"&gt;="&amp;$A1174,Data!$M$10:$M$3209,"&lt;"&amp;$A1174+1)))</f>
        <v/>
      </c>
      <c r="AH1174">
        <f>IF($B1174=0,0,IF(Inputs!$B$10="",0,COUNTIFS(Data!$Q$10:$Q$3209,"&gt;="&amp;$A1174,Data!$Q$10:$Q$3209,"&lt;"&amp;$A1174+1)))</f>
        <v/>
      </c>
    </row>
    <row r="1175">
      <c r="A1175" s="55">
        <f>MIN(Inputs!$C$15,$A1174+IF(WEEKDAY($A1174,2)=5,3,1))</f>
        <v/>
      </c>
      <c r="B1175">
        <f>IF($A1175&gt;$A1174,1,0)</f>
        <v/>
      </c>
      <c r="C1175" s="56">
        <f>IF($B1175=0,"",IF(Inputs!$B$6="","",IF($AD1175=0,C1174,SUMIFS(Data!$B$10:$B$3209,Data!$A$10:$A$3209,"&gt;="&amp;$A1175,Data!$A$10:$A$3209,"&lt;"&amp;$A1175+1)/$AD1175)))</f>
        <v/>
      </c>
      <c r="D1175" s="56">
        <f>IF($B1175=0,"",IF(Inputs!$B$7="","",IF($AE1175=0,D1174,SUMIFS(Data!$F$10:$F$3209,Data!$E$10:$E$3209,"&gt;="&amp;$A1175,Data!$E$10:$E$3209,"&lt;"&amp;$A1175+1)/$AE1175)))</f>
        <v/>
      </c>
      <c r="E1175" s="56">
        <f>IF($B1175=0,"",IF(Inputs!$B$8="","",IF($AF1175=0,E1174,SUMIFS(Data!$J$10:$J$3209,Data!$I$10:$I$3209,"&gt;="&amp;$A1175,Data!$I$10:$I$3209,"&lt;"&amp;$A1175+1)/$AF1175)))</f>
        <v/>
      </c>
      <c r="F1175" s="56">
        <f>IF($B1175=0,"",IF(Inputs!$B$9="","",IF($AG1175=0,F1174,SUMIFS(Data!$N$10:$N$3209,Data!$M$10:$M$3209,"&gt;="&amp;$A1175,Data!$M$10:$M$3209,"&lt;"&amp;$A1175+1)/$AG1175)))</f>
        <v/>
      </c>
      <c r="G1175" s="56">
        <f>IF($B1175=0,"",IF(Inputs!$B$10="","",IF($AH1175=0,G1174,SUMIFS(Data!$R$10:$R$3209,Data!$Q$10:$Q$3209,"&gt;="&amp;$A1175,Data!$Q$10:$Q$3209,"&lt;"&amp;$A1175+1)/$AH1175)))</f>
        <v/>
      </c>
      <c r="I1175" s="54">
        <f>IF($B1175=0,NA(),IF($C1175="",NA(),IF(C$8="",NA(),IF(N(C$8)=0,NA(),IF(Inputs!$C$17="Rebased to 100",$C1175/C$8*100,$C1175)))))</f>
        <v/>
      </c>
      <c r="J1175" s="54">
        <f>IF($B1175=0,NA(),IF($D1175="",NA(),IF(D$8="",NA(),IF(N(D$8)=0,NA(),IF(Inputs!$C$17="Rebased to 100",$D1175/D$8*100,$D1175)))))</f>
        <v/>
      </c>
      <c r="K1175" s="54">
        <f>IF($B1175=0,NA(),IF($E1175="",NA(),IF(E$8="",NA(),IF(N(E$8)=0,NA(),IF(Inputs!$C$17="Rebased to 100",$E1175/E$8*100,$E1175)))))</f>
        <v/>
      </c>
      <c r="L1175" s="54">
        <f>IF($B1175=0,NA(),IF($F1175="",NA(),IF(F$8="",NA(),IF(N(F$8)=0,NA(),IF(Inputs!$C$17="Rebased to 100",$F1175/F$8*100,$F1175)))))</f>
        <v/>
      </c>
      <c r="M1175" s="54">
        <f>IF($B1175=0,NA(),IF($G1175="",NA(),IF(G$8="",NA(),IF(N(G$8)=0,NA(),IF(Inputs!$C$17="Rebased to 100",$G1175/G$8*100,$G1175)))))</f>
        <v/>
      </c>
      <c r="N1175" s="54">
        <f>IF($B1175=0,NA(),IF(Inputs!$C$18&lt;&gt;"Yes",NA(),IF(COUNT(I1175,J1175,K1175,L1175,M1175)=0,NA(),MIN(I1175,J1175,K1175,L1175,M1175))))</f>
        <v/>
      </c>
      <c r="O1175" s="54">
        <f>IF($B1175=0,NA(),IF(Inputs!$B$24&lt;&gt;"Yes",NA(),Inputs!$D$24*Inputs!$C$35))</f>
        <v/>
      </c>
      <c r="P1175" s="54">
        <f>IF($B1175=0,NA(),IF(Inputs!$B$25&lt;&gt;"Yes",NA(),Inputs!$D$25*Inputs!$C$35))</f>
        <v/>
      </c>
      <c r="Q1175" s="54">
        <f>IF($B1175=0,NA(),IF(Inputs!$B$26&lt;&gt;"Yes",NA(),Inputs!$D$26*Inputs!$C$35))</f>
        <v/>
      </c>
      <c r="R1175" s="54">
        <f>IF($B1175=0,NA(),IF(Inputs!$B$27&lt;&gt;"Yes",NA(),Inputs!$D$27*Inputs!$C$35))</f>
        <v/>
      </c>
      <c r="S1175" s="54">
        <f>IF($B1175=0,NA(),IF(Inputs!$B$28&lt;&gt;"Yes",NA(),Inputs!$D$28*Inputs!$C$35))</f>
        <v/>
      </c>
      <c r="T1175" s="54">
        <f>IF($B1175=0,NA(),IF(Inputs!$B$29&lt;&gt;"Yes",NA(),Inputs!$D$29*Inputs!$C$35))</f>
        <v/>
      </c>
      <c r="AD1175">
        <f>IF($B1175=0,0,IF(Inputs!$B$6="",0,COUNTIFS(Data!$A$10:$A$3209,"&gt;="&amp;$A1175,Data!$A$10:$A$3209,"&lt;"&amp;$A1175+1)))</f>
        <v/>
      </c>
      <c r="AE1175">
        <f>IF($B1175=0,0,IF(Inputs!$B$7="",0,COUNTIFS(Data!$E$10:$E$3209,"&gt;="&amp;$A1175,Data!$E$10:$E$3209,"&lt;"&amp;$A1175+1)))</f>
        <v/>
      </c>
      <c r="AF1175">
        <f>IF($B1175=0,0,IF(Inputs!$B$8="",0,COUNTIFS(Data!$I$10:$I$3209,"&gt;="&amp;$A1175,Data!$I$10:$I$3209,"&lt;"&amp;$A1175+1)))</f>
        <v/>
      </c>
      <c r="AG1175">
        <f>IF($B1175=0,0,IF(Inputs!$B$9="",0,COUNTIFS(Data!$M$10:$M$3209,"&gt;="&amp;$A1175,Data!$M$10:$M$3209,"&lt;"&amp;$A1175+1)))</f>
        <v/>
      </c>
      <c r="AH1175">
        <f>IF($B1175=0,0,IF(Inputs!$B$10="",0,COUNTIFS(Data!$Q$10:$Q$3209,"&gt;="&amp;$A1175,Data!$Q$10:$Q$3209,"&lt;"&amp;$A1175+1)))</f>
        <v/>
      </c>
    </row>
    <row r="1176">
      <c r="A1176" s="55">
        <f>MIN(Inputs!$C$15,$A1175+IF(WEEKDAY($A1175,2)=5,3,1))</f>
        <v/>
      </c>
      <c r="B1176">
        <f>IF($A1176&gt;$A1175,1,0)</f>
        <v/>
      </c>
      <c r="C1176" s="56">
        <f>IF($B1176=0,"",IF(Inputs!$B$6="","",IF($AD1176=0,C1175,SUMIFS(Data!$B$10:$B$3209,Data!$A$10:$A$3209,"&gt;="&amp;$A1176,Data!$A$10:$A$3209,"&lt;"&amp;$A1176+1)/$AD1176)))</f>
        <v/>
      </c>
      <c r="D1176" s="56">
        <f>IF($B1176=0,"",IF(Inputs!$B$7="","",IF($AE1176=0,D1175,SUMIFS(Data!$F$10:$F$3209,Data!$E$10:$E$3209,"&gt;="&amp;$A1176,Data!$E$10:$E$3209,"&lt;"&amp;$A1176+1)/$AE1176)))</f>
        <v/>
      </c>
      <c r="E1176" s="56">
        <f>IF($B1176=0,"",IF(Inputs!$B$8="","",IF($AF1176=0,E1175,SUMIFS(Data!$J$10:$J$3209,Data!$I$10:$I$3209,"&gt;="&amp;$A1176,Data!$I$10:$I$3209,"&lt;"&amp;$A1176+1)/$AF1176)))</f>
        <v/>
      </c>
      <c r="F1176" s="56">
        <f>IF($B1176=0,"",IF(Inputs!$B$9="","",IF($AG1176=0,F1175,SUMIFS(Data!$N$10:$N$3209,Data!$M$10:$M$3209,"&gt;="&amp;$A1176,Data!$M$10:$M$3209,"&lt;"&amp;$A1176+1)/$AG1176)))</f>
        <v/>
      </c>
      <c r="G1176" s="56">
        <f>IF($B1176=0,"",IF(Inputs!$B$10="","",IF($AH1176=0,G1175,SUMIFS(Data!$R$10:$R$3209,Data!$Q$10:$Q$3209,"&gt;="&amp;$A1176,Data!$Q$10:$Q$3209,"&lt;"&amp;$A1176+1)/$AH1176)))</f>
        <v/>
      </c>
      <c r="I1176" s="54">
        <f>IF($B1176=0,NA(),IF($C1176="",NA(),IF(C$8="",NA(),IF(N(C$8)=0,NA(),IF(Inputs!$C$17="Rebased to 100",$C1176/C$8*100,$C1176)))))</f>
        <v/>
      </c>
      <c r="J1176" s="54">
        <f>IF($B1176=0,NA(),IF($D1176="",NA(),IF(D$8="",NA(),IF(N(D$8)=0,NA(),IF(Inputs!$C$17="Rebased to 100",$D1176/D$8*100,$D1176)))))</f>
        <v/>
      </c>
      <c r="K1176" s="54">
        <f>IF($B1176=0,NA(),IF($E1176="",NA(),IF(E$8="",NA(),IF(N(E$8)=0,NA(),IF(Inputs!$C$17="Rebased to 100",$E1176/E$8*100,$E1176)))))</f>
        <v/>
      </c>
      <c r="L1176" s="54">
        <f>IF($B1176=0,NA(),IF($F1176="",NA(),IF(F$8="",NA(),IF(N(F$8)=0,NA(),IF(Inputs!$C$17="Rebased to 100",$F1176/F$8*100,$F1176)))))</f>
        <v/>
      </c>
      <c r="M1176" s="54">
        <f>IF($B1176=0,NA(),IF($G1176="",NA(),IF(G$8="",NA(),IF(N(G$8)=0,NA(),IF(Inputs!$C$17="Rebased to 100",$G1176/G$8*100,$G1176)))))</f>
        <v/>
      </c>
      <c r="N1176" s="54">
        <f>IF($B1176=0,NA(),IF(Inputs!$C$18&lt;&gt;"Yes",NA(),IF(COUNT(I1176,J1176,K1176,L1176,M1176)=0,NA(),MIN(I1176,J1176,K1176,L1176,M1176))))</f>
        <v/>
      </c>
      <c r="O1176" s="54">
        <f>IF($B1176=0,NA(),IF(Inputs!$B$24&lt;&gt;"Yes",NA(),Inputs!$D$24*Inputs!$C$35))</f>
        <v/>
      </c>
      <c r="P1176" s="54">
        <f>IF($B1176=0,NA(),IF(Inputs!$B$25&lt;&gt;"Yes",NA(),Inputs!$D$25*Inputs!$C$35))</f>
        <v/>
      </c>
      <c r="Q1176" s="54">
        <f>IF($B1176=0,NA(),IF(Inputs!$B$26&lt;&gt;"Yes",NA(),Inputs!$D$26*Inputs!$C$35))</f>
        <v/>
      </c>
      <c r="R1176" s="54">
        <f>IF($B1176=0,NA(),IF(Inputs!$B$27&lt;&gt;"Yes",NA(),Inputs!$D$27*Inputs!$C$35))</f>
        <v/>
      </c>
      <c r="S1176" s="54">
        <f>IF($B1176=0,NA(),IF(Inputs!$B$28&lt;&gt;"Yes",NA(),Inputs!$D$28*Inputs!$C$35))</f>
        <v/>
      </c>
      <c r="T1176" s="54">
        <f>IF($B1176=0,NA(),IF(Inputs!$B$29&lt;&gt;"Yes",NA(),Inputs!$D$29*Inputs!$C$35))</f>
        <v/>
      </c>
      <c r="AD1176">
        <f>IF($B1176=0,0,IF(Inputs!$B$6="",0,COUNTIFS(Data!$A$10:$A$3209,"&gt;="&amp;$A1176,Data!$A$10:$A$3209,"&lt;"&amp;$A1176+1)))</f>
        <v/>
      </c>
      <c r="AE1176">
        <f>IF($B1176=0,0,IF(Inputs!$B$7="",0,COUNTIFS(Data!$E$10:$E$3209,"&gt;="&amp;$A1176,Data!$E$10:$E$3209,"&lt;"&amp;$A1176+1)))</f>
        <v/>
      </c>
      <c r="AF1176">
        <f>IF($B1176=0,0,IF(Inputs!$B$8="",0,COUNTIFS(Data!$I$10:$I$3209,"&gt;="&amp;$A1176,Data!$I$10:$I$3209,"&lt;"&amp;$A1176+1)))</f>
        <v/>
      </c>
      <c r="AG1176">
        <f>IF($B1176=0,0,IF(Inputs!$B$9="",0,COUNTIFS(Data!$M$10:$M$3209,"&gt;="&amp;$A1176,Data!$M$10:$M$3209,"&lt;"&amp;$A1176+1)))</f>
        <v/>
      </c>
      <c r="AH1176">
        <f>IF($B1176=0,0,IF(Inputs!$B$10="",0,COUNTIFS(Data!$Q$10:$Q$3209,"&gt;="&amp;$A1176,Data!$Q$10:$Q$3209,"&lt;"&amp;$A1176+1)))</f>
        <v/>
      </c>
    </row>
    <row r="1177">
      <c r="A1177" s="55">
        <f>MIN(Inputs!$C$15,$A1176+IF(WEEKDAY($A1176,2)=5,3,1))</f>
        <v/>
      </c>
      <c r="B1177">
        <f>IF($A1177&gt;$A1176,1,0)</f>
        <v/>
      </c>
      <c r="C1177" s="56">
        <f>IF($B1177=0,"",IF(Inputs!$B$6="","",IF($AD1177=0,C1176,SUMIFS(Data!$B$10:$B$3209,Data!$A$10:$A$3209,"&gt;="&amp;$A1177,Data!$A$10:$A$3209,"&lt;"&amp;$A1177+1)/$AD1177)))</f>
        <v/>
      </c>
      <c r="D1177" s="56">
        <f>IF($B1177=0,"",IF(Inputs!$B$7="","",IF($AE1177=0,D1176,SUMIFS(Data!$F$10:$F$3209,Data!$E$10:$E$3209,"&gt;="&amp;$A1177,Data!$E$10:$E$3209,"&lt;"&amp;$A1177+1)/$AE1177)))</f>
        <v/>
      </c>
      <c r="E1177" s="56">
        <f>IF($B1177=0,"",IF(Inputs!$B$8="","",IF($AF1177=0,E1176,SUMIFS(Data!$J$10:$J$3209,Data!$I$10:$I$3209,"&gt;="&amp;$A1177,Data!$I$10:$I$3209,"&lt;"&amp;$A1177+1)/$AF1177)))</f>
        <v/>
      </c>
      <c r="F1177" s="56">
        <f>IF($B1177=0,"",IF(Inputs!$B$9="","",IF($AG1177=0,F1176,SUMIFS(Data!$N$10:$N$3209,Data!$M$10:$M$3209,"&gt;="&amp;$A1177,Data!$M$10:$M$3209,"&lt;"&amp;$A1177+1)/$AG1177)))</f>
        <v/>
      </c>
      <c r="G1177" s="56">
        <f>IF($B1177=0,"",IF(Inputs!$B$10="","",IF($AH1177=0,G1176,SUMIFS(Data!$R$10:$R$3209,Data!$Q$10:$Q$3209,"&gt;="&amp;$A1177,Data!$Q$10:$Q$3209,"&lt;"&amp;$A1177+1)/$AH1177)))</f>
        <v/>
      </c>
      <c r="I1177" s="54">
        <f>IF($B1177=0,NA(),IF($C1177="",NA(),IF(C$8="",NA(),IF(N(C$8)=0,NA(),IF(Inputs!$C$17="Rebased to 100",$C1177/C$8*100,$C1177)))))</f>
        <v/>
      </c>
      <c r="J1177" s="54">
        <f>IF($B1177=0,NA(),IF($D1177="",NA(),IF(D$8="",NA(),IF(N(D$8)=0,NA(),IF(Inputs!$C$17="Rebased to 100",$D1177/D$8*100,$D1177)))))</f>
        <v/>
      </c>
      <c r="K1177" s="54">
        <f>IF($B1177=0,NA(),IF($E1177="",NA(),IF(E$8="",NA(),IF(N(E$8)=0,NA(),IF(Inputs!$C$17="Rebased to 100",$E1177/E$8*100,$E1177)))))</f>
        <v/>
      </c>
      <c r="L1177" s="54">
        <f>IF($B1177=0,NA(),IF($F1177="",NA(),IF(F$8="",NA(),IF(N(F$8)=0,NA(),IF(Inputs!$C$17="Rebased to 100",$F1177/F$8*100,$F1177)))))</f>
        <v/>
      </c>
      <c r="M1177" s="54">
        <f>IF($B1177=0,NA(),IF($G1177="",NA(),IF(G$8="",NA(),IF(N(G$8)=0,NA(),IF(Inputs!$C$17="Rebased to 100",$G1177/G$8*100,$G1177)))))</f>
        <v/>
      </c>
      <c r="N1177" s="54">
        <f>IF($B1177=0,NA(),IF(Inputs!$C$18&lt;&gt;"Yes",NA(),IF(COUNT(I1177,J1177,K1177,L1177,M1177)=0,NA(),MIN(I1177,J1177,K1177,L1177,M1177))))</f>
        <v/>
      </c>
      <c r="O1177" s="54">
        <f>IF($B1177=0,NA(),IF(Inputs!$B$24&lt;&gt;"Yes",NA(),Inputs!$D$24*Inputs!$C$35))</f>
        <v/>
      </c>
      <c r="P1177" s="54">
        <f>IF($B1177=0,NA(),IF(Inputs!$B$25&lt;&gt;"Yes",NA(),Inputs!$D$25*Inputs!$C$35))</f>
        <v/>
      </c>
      <c r="Q1177" s="54">
        <f>IF($B1177=0,NA(),IF(Inputs!$B$26&lt;&gt;"Yes",NA(),Inputs!$D$26*Inputs!$C$35))</f>
        <v/>
      </c>
      <c r="R1177" s="54">
        <f>IF($B1177=0,NA(),IF(Inputs!$B$27&lt;&gt;"Yes",NA(),Inputs!$D$27*Inputs!$C$35))</f>
        <v/>
      </c>
      <c r="S1177" s="54">
        <f>IF($B1177=0,NA(),IF(Inputs!$B$28&lt;&gt;"Yes",NA(),Inputs!$D$28*Inputs!$C$35))</f>
        <v/>
      </c>
      <c r="T1177" s="54">
        <f>IF($B1177=0,NA(),IF(Inputs!$B$29&lt;&gt;"Yes",NA(),Inputs!$D$29*Inputs!$C$35))</f>
        <v/>
      </c>
      <c r="AD1177">
        <f>IF($B1177=0,0,IF(Inputs!$B$6="",0,COUNTIFS(Data!$A$10:$A$3209,"&gt;="&amp;$A1177,Data!$A$10:$A$3209,"&lt;"&amp;$A1177+1)))</f>
        <v/>
      </c>
      <c r="AE1177">
        <f>IF($B1177=0,0,IF(Inputs!$B$7="",0,COUNTIFS(Data!$E$10:$E$3209,"&gt;="&amp;$A1177,Data!$E$10:$E$3209,"&lt;"&amp;$A1177+1)))</f>
        <v/>
      </c>
      <c r="AF1177">
        <f>IF($B1177=0,0,IF(Inputs!$B$8="",0,COUNTIFS(Data!$I$10:$I$3209,"&gt;="&amp;$A1177,Data!$I$10:$I$3209,"&lt;"&amp;$A1177+1)))</f>
        <v/>
      </c>
      <c r="AG1177">
        <f>IF($B1177=0,0,IF(Inputs!$B$9="",0,COUNTIFS(Data!$M$10:$M$3209,"&gt;="&amp;$A1177,Data!$M$10:$M$3209,"&lt;"&amp;$A1177+1)))</f>
        <v/>
      </c>
      <c r="AH1177">
        <f>IF($B1177=0,0,IF(Inputs!$B$10="",0,COUNTIFS(Data!$Q$10:$Q$3209,"&gt;="&amp;$A1177,Data!$Q$10:$Q$3209,"&lt;"&amp;$A1177+1)))</f>
        <v/>
      </c>
    </row>
    <row r="1178">
      <c r="A1178" s="55">
        <f>MIN(Inputs!$C$15,$A1177+IF(WEEKDAY($A1177,2)=5,3,1))</f>
        <v/>
      </c>
      <c r="B1178">
        <f>IF($A1178&gt;$A1177,1,0)</f>
        <v/>
      </c>
      <c r="C1178" s="56">
        <f>IF($B1178=0,"",IF(Inputs!$B$6="","",IF($AD1178=0,C1177,SUMIFS(Data!$B$10:$B$3209,Data!$A$10:$A$3209,"&gt;="&amp;$A1178,Data!$A$10:$A$3209,"&lt;"&amp;$A1178+1)/$AD1178)))</f>
        <v/>
      </c>
      <c r="D1178" s="56">
        <f>IF($B1178=0,"",IF(Inputs!$B$7="","",IF($AE1178=0,D1177,SUMIFS(Data!$F$10:$F$3209,Data!$E$10:$E$3209,"&gt;="&amp;$A1178,Data!$E$10:$E$3209,"&lt;"&amp;$A1178+1)/$AE1178)))</f>
        <v/>
      </c>
      <c r="E1178" s="56">
        <f>IF($B1178=0,"",IF(Inputs!$B$8="","",IF($AF1178=0,E1177,SUMIFS(Data!$J$10:$J$3209,Data!$I$10:$I$3209,"&gt;="&amp;$A1178,Data!$I$10:$I$3209,"&lt;"&amp;$A1178+1)/$AF1178)))</f>
        <v/>
      </c>
      <c r="F1178" s="56">
        <f>IF($B1178=0,"",IF(Inputs!$B$9="","",IF($AG1178=0,F1177,SUMIFS(Data!$N$10:$N$3209,Data!$M$10:$M$3209,"&gt;="&amp;$A1178,Data!$M$10:$M$3209,"&lt;"&amp;$A1178+1)/$AG1178)))</f>
        <v/>
      </c>
      <c r="G1178" s="56">
        <f>IF($B1178=0,"",IF(Inputs!$B$10="","",IF($AH1178=0,G1177,SUMIFS(Data!$R$10:$R$3209,Data!$Q$10:$Q$3209,"&gt;="&amp;$A1178,Data!$Q$10:$Q$3209,"&lt;"&amp;$A1178+1)/$AH1178)))</f>
        <v/>
      </c>
      <c r="I1178" s="54">
        <f>IF($B1178=0,NA(),IF($C1178="",NA(),IF(C$8="",NA(),IF(N(C$8)=0,NA(),IF(Inputs!$C$17="Rebased to 100",$C1178/C$8*100,$C1178)))))</f>
        <v/>
      </c>
      <c r="J1178" s="54">
        <f>IF($B1178=0,NA(),IF($D1178="",NA(),IF(D$8="",NA(),IF(N(D$8)=0,NA(),IF(Inputs!$C$17="Rebased to 100",$D1178/D$8*100,$D1178)))))</f>
        <v/>
      </c>
      <c r="K1178" s="54">
        <f>IF($B1178=0,NA(),IF($E1178="",NA(),IF(E$8="",NA(),IF(N(E$8)=0,NA(),IF(Inputs!$C$17="Rebased to 100",$E1178/E$8*100,$E1178)))))</f>
        <v/>
      </c>
      <c r="L1178" s="54">
        <f>IF($B1178=0,NA(),IF($F1178="",NA(),IF(F$8="",NA(),IF(N(F$8)=0,NA(),IF(Inputs!$C$17="Rebased to 100",$F1178/F$8*100,$F1178)))))</f>
        <v/>
      </c>
      <c r="M1178" s="54">
        <f>IF($B1178=0,NA(),IF($G1178="",NA(),IF(G$8="",NA(),IF(N(G$8)=0,NA(),IF(Inputs!$C$17="Rebased to 100",$G1178/G$8*100,$G1178)))))</f>
        <v/>
      </c>
      <c r="N1178" s="54">
        <f>IF($B1178=0,NA(),IF(Inputs!$C$18&lt;&gt;"Yes",NA(),IF(COUNT(I1178,J1178,K1178,L1178,M1178)=0,NA(),MIN(I1178,J1178,K1178,L1178,M1178))))</f>
        <v/>
      </c>
      <c r="O1178" s="54">
        <f>IF($B1178=0,NA(),IF(Inputs!$B$24&lt;&gt;"Yes",NA(),Inputs!$D$24*Inputs!$C$35))</f>
        <v/>
      </c>
      <c r="P1178" s="54">
        <f>IF($B1178=0,NA(),IF(Inputs!$B$25&lt;&gt;"Yes",NA(),Inputs!$D$25*Inputs!$C$35))</f>
        <v/>
      </c>
      <c r="Q1178" s="54">
        <f>IF($B1178=0,NA(),IF(Inputs!$B$26&lt;&gt;"Yes",NA(),Inputs!$D$26*Inputs!$C$35))</f>
        <v/>
      </c>
      <c r="R1178" s="54">
        <f>IF($B1178=0,NA(),IF(Inputs!$B$27&lt;&gt;"Yes",NA(),Inputs!$D$27*Inputs!$C$35))</f>
        <v/>
      </c>
      <c r="S1178" s="54">
        <f>IF($B1178=0,NA(),IF(Inputs!$B$28&lt;&gt;"Yes",NA(),Inputs!$D$28*Inputs!$C$35))</f>
        <v/>
      </c>
      <c r="T1178" s="54">
        <f>IF($B1178=0,NA(),IF(Inputs!$B$29&lt;&gt;"Yes",NA(),Inputs!$D$29*Inputs!$C$35))</f>
        <v/>
      </c>
      <c r="AD1178">
        <f>IF($B1178=0,0,IF(Inputs!$B$6="",0,COUNTIFS(Data!$A$10:$A$3209,"&gt;="&amp;$A1178,Data!$A$10:$A$3209,"&lt;"&amp;$A1178+1)))</f>
        <v/>
      </c>
      <c r="AE1178">
        <f>IF($B1178=0,0,IF(Inputs!$B$7="",0,COUNTIFS(Data!$E$10:$E$3209,"&gt;="&amp;$A1178,Data!$E$10:$E$3209,"&lt;"&amp;$A1178+1)))</f>
        <v/>
      </c>
      <c r="AF1178">
        <f>IF($B1178=0,0,IF(Inputs!$B$8="",0,COUNTIFS(Data!$I$10:$I$3209,"&gt;="&amp;$A1178,Data!$I$10:$I$3209,"&lt;"&amp;$A1178+1)))</f>
        <v/>
      </c>
      <c r="AG1178">
        <f>IF($B1178=0,0,IF(Inputs!$B$9="",0,COUNTIFS(Data!$M$10:$M$3209,"&gt;="&amp;$A1178,Data!$M$10:$M$3209,"&lt;"&amp;$A1178+1)))</f>
        <v/>
      </c>
      <c r="AH1178">
        <f>IF($B1178=0,0,IF(Inputs!$B$10="",0,COUNTIFS(Data!$Q$10:$Q$3209,"&gt;="&amp;$A1178,Data!$Q$10:$Q$3209,"&lt;"&amp;$A1178+1)))</f>
        <v/>
      </c>
    </row>
    <row r="1179">
      <c r="A1179" s="55">
        <f>MIN(Inputs!$C$15,$A1178+IF(WEEKDAY($A1178,2)=5,3,1))</f>
        <v/>
      </c>
      <c r="B1179">
        <f>IF($A1179&gt;$A1178,1,0)</f>
        <v/>
      </c>
      <c r="C1179" s="56">
        <f>IF($B1179=0,"",IF(Inputs!$B$6="","",IF($AD1179=0,C1178,SUMIFS(Data!$B$10:$B$3209,Data!$A$10:$A$3209,"&gt;="&amp;$A1179,Data!$A$10:$A$3209,"&lt;"&amp;$A1179+1)/$AD1179)))</f>
        <v/>
      </c>
      <c r="D1179" s="56">
        <f>IF($B1179=0,"",IF(Inputs!$B$7="","",IF($AE1179=0,D1178,SUMIFS(Data!$F$10:$F$3209,Data!$E$10:$E$3209,"&gt;="&amp;$A1179,Data!$E$10:$E$3209,"&lt;"&amp;$A1179+1)/$AE1179)))</f>
        <v/>
      </c>
      <c r="E1179" s="56">
        <f>IF($B1179=0,"",IF(Inputs!$B$8="","",IF($AF1179=0,E1178,SUMIFS(Data!$J$10:$J$3209,Data!$I$10:$I$3209,"&gt;="&amp;$A1179,Data!$I$10:$I$3209,"&lt;"&amp;$A1179+1)/$AF1179)))</f>
        <v/>
      </c>
      <c r="F1179" s="56">
        <f>IF($B1179=0,"",IF(Inputs!$B$9="","",IF($AG1179=0,F1178,SUMIFS(Data!$N$10:$N$3209,Data!$M$10:$M$3209,"&gt;="&amp;$A1179,Data!$M$10:$M$3209,"&lt;"&amp;$A1179+1)/$AG1179)))</f>
        <v/>
      </c>
      <c r="G1179" s="56">
        <f>IF($B1179=0,"",IF(Inputs!$B$10="","",IF($AH1179=0,G1178,SUMIFS(Data!$R$10:$R$3209,Data!$Q$10:$Q$3209,"&gt;="&amp;$A1179,Data!$Q$10:$Q$3209,"&lt;"&amp;$A1179+1)/$AH1179)))</f>
        <v/>
      </c>
      <c r="I1179" s="54">
        <f>IF($B1179=0,NA(),IF($C1179="",NA(),IF(C$8="",NA(),IF(N(C$8)=0,NA(),IF(Inputs!$C$17="Rebased to 100",$C1179/C$8*100,$C1179)))))</f>
        <v/>
      </c>
      <c r="J1179" s="54">
        <f>IF($B1179=0,NA(),IF($D1179="",NA(),IF(D$8="",NA(),IF(N(D$8)=0,NA(),IF(Inputs!$C$17="Rebased to 100",$D1179/D$8*100,$D1179)))))</f>
        <v/>
      </c>
      <c r="K1179" s="54">
        <f>IF($B1179=0,NA(),IF($E1179="",NA(),IF(E$8="",NA(),IF(N(E$8)=0,NA(),IF(Inputs!$C$17="Rebased to 100",$E1179/E$8*100,$E1179)))))</f>
        <v/>
      </c>
      <c r="L1179" s="54">
        <f>IF($B1179=0,NA(),IF($F1179="",NA(),IF(F$8="",NA(),IF(N(F$8)=0,NA(),IF(Inputs!$C$17="Rebased to 100",$F1179/F$8*100,$F1179)))))</f>
        <v/>
      </c>
      <c r="M1179" s="54">
        <f>IF($B1179=0,NA(),IF($G1179="",NA(),IF(G$8="",NA(),IF(N(G$8)=0,NA(),IF(Inputs!$C$17="Rebased to 100",$G1179/G$8*100,$G1179)))))</f>
        <v/>
      </c>
      <c r="N1179" s="54">
        <f>IF($B1179=0,NA(),IF(Inputs!$C$18&lt;&gt;"Yes",NA(),IF(COUNT(I1179,J1179,K1179,L1179,M1179)=0,NA(),MIN(I1179,J1179,K1179,L1179,M1179))))</f>
        <v/>
      </c>
      <c r="O1179" s="54">
        <f>IF($B1179=0,NA(),IF(Inputs!$B$24&lt;&gt;"Yes",NA(),Inputs!$D$24*Inputs!$C$35))</f>
        <v/>
      </c>
      <c r="P1179" s="54">
        <f>IF($B1179=0,NA(),IF(Inputs!$B$25&lt;&gt;"Yes",NA(),Inputs!$D$25*Inputs!$C$35))</f>
        <v/>
      </c>
      <c r="Q1179" s="54">
        <f>IF($B1179=0,NA(),IF(Inputs!$B$26&lt;&gt;"Yes",NA(),Inputs!$D$26*Inputs!$C$35))</f>
        <v/>
      </c>
      <c r="R1179" s="54">
        <f>IF($B1179=0,NA(),IF(Inputs!$B$27&lt;&gt;"Yes",NA(),Inputs!$D$27*Inputs!$C$35))</f>
        <v/>
      </c>
      <c r="S1179" s="54">
        <f>IF($B1179=0,NA(),IF(Inputs!$B$28&lt;&gt;"Yes",NA(),Inputs!$D$28*Inputs!$C$35))</f>
        <v/>
      </c>
      <c r="T1179" s="54">
        <f>IF($B1179=0,NA(),IF(Inputs!$B$29&lt;&gt;"Yes",NA(),Inputs!$D$29*Inputs!$C$35))</f>
        <v/>
      </c>
      <c r="AD1179">
        <f>IF($B1179=0,0,IF(Inputs!$B$6="",0,COUNTIFS(Data!$A$10:$A$3209,"&gt;="&amp;$A1179,Data!$A$10:$A$3209,"&lt;"&amp;$A1179+1)))</f>
        <v/>
      </c>
      <c r="AE1179">
        <f>IF($B1179=0,0,IF(Inputs!$B$7="",0,COUNTIFS(Data!$E$10:$E$3209,"&gt;="&amp;$A1179,Data!$E$10:$E$3209,"&lt;"&amp;$A1179+1)))</f>
        <v/>
      </c>
      <c r="AF1179">
        <f>IF($B1179=0,0,IF(Inputs!$B$8="",0,COUNTIFS(Data!$I$10:$I$3209,"&gt;="&amp;$A1179,Data!$I$10:$I$3209,"&lt;"&amp;$A1179+1)))</f>
        <v/>
      </c>
      <c r="AG1179">
        <f>IF($B1179=0,0,IF(Inputs!$B$9="",0,COUNTIFS(Data!$M$10:$M$3209,"&gt;="&amp;$A1179,Data!$M$10:$M$3209,"&lt;"&amp;$A1179+1)))</f>
        <v/>
      </c>
      <c r="AH1179">
        <f>IF($B1179=0,0,IF(Inputs!$B$10="",0,COUNTIFS(Data!$Q$10:$Q$3209,"&gt;="&amp;$A1179,Data!$Q$10:$Q$3209,"&lt;"&amp;$A1179+1)))</f>
        <v/>
      </c>
    </row>
    <row r="1180">
      <c r="A1180" s="55">
        <f>MIN(Inputs!$C$15,$A1179+IF(WEEKDAY($A1179,2)=5,3,1))</f>
        <v/>
      </c>
      <c r="B1180">
        <f>IF($A1180&gt;$A1179,1,0)</f>
        <v/>
      </c>
      <c r="C1180" s="56">
        <f>IF($B1180=0,"",IF(Inputs!$B$6="","",IF($AD1180=0,C1179,SUMIFS(Data!$B$10:$B$3209,Data!$A$10:$A$3209,"&gt;="&amp;$A1180,Data!$A$10:$A$3209,"&lt;"&amp;$A1180+1)/$AD1180)))</f>
        <v/>
      </c>
      <c r="D1180" s="56">
        <f>IF($B1180=0,"",IF(Inputs!$B$7="","",IF($AE1180=0,D1179,SUMIFS(Data!$F$10:$F$3209,Data!$E$10:$E$3209,"&gt;="&amp;$A1180,Data!$E$10:$E$3209,"&lt;"&amp;$A1180+1)/$AE1180)))</f>
        <v/>
      </c>
      <c r="E1180" s="56">
        <f>IF($B1180=0,"",IF(Inputs!$B$8="","",IF($AF1180=0,E1179,SUMIFS(Data!$J$10:$J$3209,Data!$I$10:$I$3209,"&gt;="&amp;$A1180,Data!$I$10:$I$3209,"&lt;"&amp;$A1180+1)/$AF1180)))</f>
        <v/>
      </c>
      <c r="F1180" s="56">
        <f>IF($B1180=0,"",IF(Inputs!$B$9="","",IF($AG1180=0,F1179,SUMIFS(Data!$N$10:$N$3209,Data!$M$10:$M$3209,"&gt;="&amp;$A1180,Data!$M$10:$M$3209,"&lt;"&amp;$A1180+1)/$AG1180)))</f>
        <v/>
      </c>
      <c r="G1180" s="56">
        <f>IF($B1180=0,"",IF(Inputs!$B$10="","",IF($AH1180=0,G1179,SUMIFS(Data!$R$10:$R$3209,Data!$Q$10:$Q$3209,"&gt;="&amp;$A1180,Data!$Q$10:$Q$3209,"&lt;"&amp;$A1180+1)/$AH1180)))</f>
        <v/>
      </c>
      <c r="I1180" s="54">
        <f>IF($B1180=0,NA(),IF($C1180="",NA(),IF(C$8="",NA(),IF(N(C$8)=0,NA(),IF(Inputs!$C$17="Rebased to 100",$C1180/C$8*100,$C1180)))))</f>
        <v/>
      </c>
      <c r="J1180" s="54">
        <f>IF($B1180=0,NA(),IF($D1180="",NA(),IF(D$8="",NA(),IF(N(D$8)=0,NA(),IF(Inputs!$C$17="Rebased to 100",$D1180/D$8*100,$D1180)))))</f>
        <v/>
      </c>
      <c r="K1180" s="54">
        <f>IF($B1180=0,NA(),IF($E1180="",NA(),IF(E$8="",NA(),IF(N(E$8)=0,NA(),IF(Inputs!$C$17="Rebased to 100",$E1180/E$8*100,$E1180)))))</f>
        <v/>
      </c>
      <c r="L1180" s="54">
        <f>IF($B1180=0,NA(),IF($F1180="",NA(),IF(F$8="",NA(),IF(N(F$8)=0,NA(),IF(Inputs!$C$17="Rebased to 100",$F1180/F$8*100,$F1180)))))</f>
        <v/>
      </c>
      <c r="M1180" s="54">
        <f>IF($B1180=0,NA(),IF($G1180="",NA(),IF(G$8="",NA(),IF(N(G$8)=0,NA(),IF(Inputs!$C$17="Rebased to 100",$G1180/G$8*100,$G1180)))))</f>
        <v/>
      </c>
      <c r="N1180" s="54">
        <f>IF($B1180=0,NA(),IF(Inputs!$C$18&lt;&gt;"Yes",NA(),IF(COUNT(I1180,J1180,K1180,L1180,M1180)=0,NA(),MIN(I1180,J1180,K1180,L1180,M1180))))</f>
        <v/>
      </c>
      <c r="O1180" s="54">
        <f>IF($B1180=0,NA(),IF(Inputs!$B$24&lt;&gt;"Yes",NA(),Inputs!$D$24*Inputs!$C$35))</f>
        <v/>
      </c>
      <c r="P1180" s="54">
        <f>IF($B1180=0,NA(),IF(Inputs!$B$25&lt;&gt;"Yes",NA(),Inputs!$D$25*Inputs!$C$35))</f>
        <v/>
      </c>
      <c r="Q1180" s="54">
        <f>IF($B1180=0,NA(),IF(Inputs!$B$26&lt;&gt;"Yes",NA(),Inputs!$D$26*Inputs!$C$35))</f>
        <v/>
      </c>
      <c r="R1180" s="54">
        <f>IF($B1180=0,NA(),IF(Inputs!$B$27&lt;&gt;"Yes",NA(),Inputs!$D$27*Inputs!$C$35))</f>
        <v/>
      </c>
      <c r="S1180" s="54">
        <f>IF($B1180=0,NA(),IF(Inputs!$B$28&lt;&gt;"Yes",NA(),Inputs!$D$28*Inputs!$C$35))</f>
        <v/>
      </c>
      <c r="T1180" s="54">
        <f>IF($B1180=0,NA(),IF(Inputs!$B$29&lt;&gt;"Yes",NA(),Inputs!$D$29*Inputs!$C$35))</f>
        <v/>
      </c>
      <c r="AD1180">
        <f>IF($B1180=0,0,IF(Inputs!$B$6="",0,COUNTIFS(Data!$A$10:$A$3209,"&gt;="&amp;$A1180,Data!$A$10:$A$3209,"&lt;"&amp;$A1180+1)))</f>
        <v/>
      </c>
      <c r="AE1180">
        <f>IF($B1180=0,0,IF(Inputs!$B$7="",0,COUNTIFS(Data!$E$10:$E$3209,"&gt;="&amp;$A1180,Data!$E$10:$E$3209,"&lt;"&amp;$A1180+1)))</f>
        <v/>
      </c>
      <c r="AF1180">
        <f>IF($B1180=0,0,IF(Inputs!$B$8="",0,COUNTIFS(Data!$I$10:$I$3209,"&gt;="&amp;$A1180,Data!$I$10:$I$3209,"&lt;"&amp;$A1180+1)))</f>
        <v/>
      </c>
      <c r="AG1180">
        <f>IF($B1180=0,0,IF(Inputs!$B$9="",0,COUNTIFS(Data!$M$10:$M$3209,"&gt;="&amp;$A1180,Data!$M$10:$M$3209,"&lt;"&amp;$A1180+1)))</f>
        <v/>
      </c>
      <c r="AH1180">
        <f>IF($B1180=0,0,IF(Inputs!$B$10="",0,COUNTIFS(Data!$Q$10:$Q$3209,"&gt;="&amp;$A1180,Data!$Q$10:$Q$3209,"&lt;"&amp;$A1180+1)))</f>
        <v/>
      </c>
    </row>
    <row r="1181">
      <c r="A1181" s="55">
        <f>MIN(Inputs!$C$15,$A1180+IF(WEEKDAY($A1180,2)=5,3,1))</f>
        <v/>
      </c>
      <c r="B1181">
        <f>IF($A1181&gt;$A1180,1,0)</f>
        <v/>
      </c>
      <c r="C1181" s="56">
        <f>IF($B1181=0,"",IF(Inputs!$B$6="","",IF($AD1181=0,C1180,SUMIFS(Data!$B$10:$B$3209,Data!$A$10:$A$3209,"&gt;="&amp;$A1181,Data!$A$10:$A$3209,"&lt;"&amp;$A1181+1)/$AD1181)))</f>
        <v/>
      </c>
      <c r="D1181" s="56">
        <f>IF($B1181=0,"",IF(Inputs!$B$7="","",IF($AE1181=0,D1180,SUMIFS(Data!$F$10:$F$3209,Data!$E$10:$E$3209,"&gt;="&amp;$A1181,Data!$E$10:$E$3209,"&lt;"&amp;$A1181+1)/$AE1181)))</f>
        <v/>
      </c>
      <c r="E1181" s="56">
        <f>IF($B1181=0,"",IF(Inputs!$B$8="","",IF($AF1181=0,E1180,SUMIFS(Data!$J$10:$J$3209,Data!$I$10:$I$3209,"&gt;="&amp;$A1181,Data!$I$10:$I$3209,"&lt;"&amp;$A1181+1)/$AF1181)))</f>
        <v/>
      </c>
      <c r="F1181" s="56">
        <f>IF($B1181=0,"",IF(Inputs!$B$9="","",IF($AG1181=0,F1180,SUMIFS(Data!$N$10:$N$3209,Data!$M$10:$M$3209,"&gt;="&amp;$A1181,Data!$M$10:$M$3209,"&lt;"&amp;$A1181+1)/$AG1181)))</f>
        <v/>
      </c>
      <c r="G1181" s="56">
        <f>IF($B1181=0,"",IF(Inputs!$B$10="","",IF($AH1181=0,G1180,SUMIFS(Data!$R$10:$R$3209,Data!$Q$10:$Q$3209,"&gt;="&amp;$A1181,Data!$Q$10:$Q$3209,"&lt;"&amp;$A1181+1)/$AH1181)))</f>
        <v/>
      </c>
      <c r="I1181" s="54">
        <f>IF($B1181=0,NA(),IF($C1181="",NA(),IF(C$8="",NA(),IF(N(C$8)=0,NA(),IF(Inputs!$C$17="Rebased to 100",$C1181/C$8*100,$C1181)))))</f>
        <v/>
      </c>
      <c r="J1181" s="54">
        <f>IF($B1181=0,NA(),IF($D1181="",NA(),IF(D$8="",NA(),IF(N(D$8)=0,NA(),IF(Inputs!$C$17="Rebased to 100",$D1181/D$8*100,$D1181)))))</f>
        <v/>
      </c>
      <c r="K1181" s="54">
        <f>IF($B1181=0,NA(),IF($E1181="",NA(),IF(E$8="",NA(),IF(N(E$8)=0,NA(),IF(Inputs!$C$17="Rebased to 100",$E1181/E$8*100,$E1181)))))</f>
        <v/>
      </c>
      <c r="L1181" s="54">
        <f>IF($B1181=0,NA(),IF($F1181="",NA(),IF(F$8="",NA(),IF(N(F$8)=0,NA(),IF(Inputs!$C$17="Rebased to 100",$F1181/F$8*100,$F1181)))))</f>
        <v/>
      </c>
      <c r="M1181" s="54">
        <f>IF($B1181=0,NA(),IF($G1181="",NA(),IF(G$8="",NA(),IF(N(G$8)=0,NA(),IF(Inputs!$C$17="Rebased to 100",$G1181/G$8*100,$G1181)))))</f>
        <v/>
      </c>
      <c r="N1181" s="54">
        <f>IF($B1181=0,NA(),IF(Inputs!$C$18&lt;&gt;"Yes",NA(),IF(COUNT(I1181,J1181,K1181,L1181,M1181)=0,NA(),MIN(I1181,J1181,K1181,L1181,M1181))))</f>
        <v/>
      </c>
      <c r="O1181" s="54">
        <f>IF($B1181=0,NA(),IF(Inputs!$B$24&lt;&gt;"Yes",NA(),Inputs!$D$24*Inputs!$C$35))</f>
        <v/>
      </c>
      <c r="P1181" s="54">
        <f>IF($B1181=0,NA(),IF(Inputs!$B$25&lt;&gt;"Yes",NA(),Inputs!$D$25*Inputs!$C$35))</f>
        <v/>
      </c>
      <c r="Q1181" s="54">
        <f>IF($B1181=0,NA(),IF(Inputs!$B$26&lt;&gt;"Yes",NA(),Inputs!$D$26*Inputs!$C$35))</f>
        <v/>
      </c>
      <c r="R1181" s="54">
        <f>IF($B1181=0,NA(),IF(Inputs!$B$27&lt;&gt;"Yes",NA(),Inputs!$D$27*Inputs!$C$35))</f>
        <v/>
      </c>
      <c r="S1181" s="54">
        <f>IF($B1181=0,NA(),IF(Inputs!$B$28&lt;&gt;"Yes",NA(),Inputs!$D$28*Inputs!$C$35))</f>
        <v/>
      </c>
      <c r="T1181" s="54">
        <f>IF($B1181=0,NA(),IF(Inputs!$B$29&lt;&gt;"Yes",NA(),Inputs!$D$29*Inputs!$C$35))</f>
        <v/>
      </c>
      <c r="AD1181">
        <f>IF($B1181=0,0,IF(Inputs!$B$6="",0,COUNTIFS(Data!$A$10:$A$3209,"&gt;="&amp;$A1181,Data!$A$10:$A$3209,"&lt;"&amp;$A1181+1)))</f>
        <v/>
      </c>
      <c r="AE1181">
        <f>IF($B1181=0,0,IF(Inputs!$B$7="",0,COUNTIFS(Data!$E$10:$E$3209,"&gt;="&amp;$A1181,Data!$E$10:$E$3209,"&lt;"&amp;$A1181+1)))</f>
        <v/>
      </c>
      <c r="AF1181">
        <f>IF($B1181=0,0,IF(Inputs!$B$8="",0,COUNTIFS(Data!$I$10:$I$3209,"&gt;="&amp;$A1181,Data!$I$10:$I$3209,"&lt;"&amp;$A1181+1)))</f>
        <v/>
      </c>
      <c r="AG1181">
        <f>IF($B1181=0,0,IF(Inputs!$B$9="",0,COUNTIFS(Data!$M$10:$M$3209,"&gt;="&amp;$A1181,Data!$M$10:$M$3209,"&lt;"&amp;$A1181+1)))</f>
        <v/>
      </c>
      <c r="AH1181">
        <f>IF($B1181=0,0,IF(Inputs!$B$10="",0,COUNTIFS(Data!$Q$10:$Q$3209,"&gt;="&amp;$A1181,Data!$Q$10:$Q$3209,"&lt;"&amp;$A1181+1)))</f>
        <v/>
      </c>
    </row>
    <row r="1182">
      <c r="A1182" s="55">
        <f>MIN(Inputs!$C$15,$A1181+IF(WEEKDAY($A1181,2)=5,3,1))</f>
        <v/>
      </c>
      <c r="B1182">
        <f>IF($A1182&gt;$A1181,1,0)</f>
        <v/>
      </c>
      <c r="C1182" s="56">
        <f>IF($B1182=0,"",IF(Inputs!$B$6="","",IF($AD1182=0,C1181,SUMIFS(Data!$B$10:$B$3209,Data!$A$10:$A$3209,"&gt;="&amp;$A1182,Data!$A$10:$A$3209,"&lt;"&amp;$A1182+1)/$AD1182)))</f>
        <v/>
      </c>
      <c r="D1182" s="56">
        <f>IF($B1182=0,"",IF(Inputs!$B$7="","",IF($AE1182=0,D1181,SUMIFS(Data!$F$10:$F$3209,Data!$E$10:$E$3209,"&gt;="&amp;$A1182,Data!$E$10:$E$3209,"&lt;"&amp;$A1182+1)/$AE1182)))</f>
        <v/>
      </c>
      <c r="E1182" s="56">
        <f>IF($B1182=0,"",IF(Inputs!$B$8="","",IF($AF1182=0,E1181,SUMIFS(Data!$J$10:$J$3209,Data!$I$10:$I$3209,"&gt;="&amp;$A1182,Data!$I$10:$I$3209,"&lt;"&amp;$A1182+1)/$AF1182)))</f>
        <v/>
      </c>
      <c r="F1182" s="56">
        <f>IF($B1182=0,"",IF(Inputs!$B$9="","",IF($AG1182=0,F1181,SUMIFS(Data!$N$10:$N$3209,Data!$M$10:$M$3209,"&gt;="&amp;$A1182,Data!$M$10:$M$3209,"&lt;"&amp;$A1182+1)/$AG1182)))</f>
        <v/>
      </c>
      <c r="G1182" s="56">
        <f>IF($B1182=0,"",IF(Inputs!$B$10="","",IF($AH1182=0,G1181,SUMIFS(Data!$R$10:$R$3209,Data!$Q$10:$Q$3209,"&gt;="&amp;$A1182,Data!$Q$10:$Q$3209,"&lt;"&amp;$A1182+1)/$AH1182)))</f>
        <v/>
      </c>
      <c r="I1182" s="54">
        <f>IF($B1182=0,NA(),IF($C1182="",NA(),IF(C$8="",NA(),IF(N(C$8)=0,NA(),IF(Inputs!$C$17="Rebased to 100",$C1182/C$8*100,$C1182)))))</f>
        <v/>
      </c>
      <c r="J1182" s="54">
        <f>IF($B1182=0,NA(),IF($D1182="",NA(),IF(D$8="",NA(),IF(N(D$8)=0,NA(),IF(Inputs!$C$17="Rebased to 100",$D1182/D$8*100,$D1182)))))</f>
        <v/>
      </c>
      <c r="K1182" s="54">
        <f>IF($B1182=0,NA(),IF($E1182="",NA(),IF(E$8="",NA(),IF(N(E$8)=0,NA(),IF(Inputs!$C$17="Rebased to 100",$E1182/E$8*100,$E1182)))))</f>
        <v/>
      </c>
      <c r="L1182" s="54">
        <f>IF($B1182=0,NA(),IF($F1182="",NA(),IF(F$8="",NA(),IF(N(F$8)=0,NA(),IF(Inputs!$C$17="Rebased to 100",$F1182/F$8*100,$F1182)))))</f>
        <v/>
      </c>
      <c r="M1182" s="54">
        <f>IF($B1182=0,NA(),IF($G1182="",NA(),IF(G$8="",NA(),IF(N(G$8)=0,NA(),IF(Inputs!$C$17="Rebased to 100",$G1182/G$8*100,$G1182)))))</f>
        <v/>
      </c>
      <c r="N1182" s="54">
        <f>IF($B1182=0,NA(),IF(Inputs!$C$18&lt;&gt;"Yes",NA(),IF(COUNT(I1182,J1182,K1182,L1182,M1182)=0,NA(),MIN(I1182,J1182,K1182,L1182,M1182))))</f>
        <v/>
      </c>
      <c r="O1182" s="54">
        <f>IF($B1182=0,NA(),IF(Inputs!$B$24&lt;&gt;"Yes",NA(),Inputs!$D$24*Inputs!$C$35))</f>
        <v/>
      </c>
      <c r="P1182" s="54">
        <f>IF($B1182=0,NA(),IF(Inputs!$B$25&lt;&gt;"Yes",NA(),Inputs!$D$25*Inputs!$C$35))</f>
        <v/>
      </c>
      <c r="Q1182" s="54">
        <f>IF($B1182=0,NA(),IF(Inputs!$B$26&lt;&gt;"Yes",NA(),Inputs!$D$26*Inputs!$C$35))</f>
        <v/>
      </c>
      <c r="R1182" s="54">
        <f>IF($B1182=0,NA(),IF(Inputs!$B$27&lt;&gt;"Yes",NA(),Inputs!$D$27*Inputs!$C$35))</f>
        <v/>
      </c>
      <c r="S1182" s="54">
        <f>IF($B1182=0,NA(),IF(Inputs!$B$28&lt;&gt;"Yes",NA(),Inputs!$D$28*Inputs!$C$35))</f>
        <v/>
      </c>
      <c r="T1182" s="54">
        <f>IF($B1182=0,NA(),IF(Inputs!$B$29&lt;&gt;"Yes",NA(),Inputs!$D$29*Inputs!$C$35))</f>
        <v/>
      </c>
      <c r="AD1182">
        <f>IF($B1182=0,0,IF(Inputs!$B$6="",0,COUNTIFS(Data!$A$10:$A$3209,"&gt;="&amp;$A1182,Data!$A$10:$A$3209,"&lt;"&amp;$A1182+1)))</f>
        <v/>
      </c>
      <c r="AE1182">
        <f>IF($B1182=0,0,IF(Inputs!$B$7="",0,COUNTIFS(Data!$E$10:$E$3209,"&gt;="&amp;$A1182,Data!$E$10:$E$3209,"&lt;"&amp;$A1182+1)))</f>
        <v/>
      </c>
      <c r="AF1182">
        <f>IF($B1182=0,0,IF(Inputs!$B$8="",0,COUNTIFS(Data!$I$10:$I$3209,"&gt;="&amp;$A1182,Data!$I$10:$I$3209,"&lt;"&amp;$A1182+1)))</f>
        <v/>
      </c>
      <c r="AG1182">
        <f>IF($B1182=0,0,IF(Inputs!$B$9="",0,COUNTIFS(Data!$M$10:$M$3209,"&gt;="&amp;$A1182,Data!$M$10:$M$3209,"&lt;"&amp;$A1182+1)))</f>
        <v/>
      </c>
      <c r="AH1182">
        <f>IF($B1182=0,0,IF(Inputs!$B$10="",0,COUNTIFS(Data!$Q$10:$Q$3209,"&gt;="&amp;$A1182,Data!$Q$10:$Q$3209,"&lt;"&amp;$A1182+1)))</f>
        <v/>
      </c>
    </row>
    <row r="1183">
      <c r="A1183" s="55">
        <f>MIN(Inputs!$C$15,$A1182+IF(WEEKDAY($A1182,2)=5,3,1))</f>
        <v/>
      </c>
      <c r="B1183">
        <f>IF($A1183&gt;$A1182,1,0)</f>
        <v/>
      </c>
      <c r="C1183" s="56">
        <f>IF($B1183=0,"",IF(Inputs!$B$6="","",IF($AD1183=0,C1182,SUMIFS(Data!$B$10:$B$3209,Data!$A$10:$A$3209,"&gt;="&amp;$A1183,Data!$A$10:$A$3209,"&lt;"&amp;$A1183+1)/$AD1183)))</f>
        <v/>
      </c>
      <c r="D1183" s="56">
        <f>IF($B1183=0,"",IF(Inputs!$B$7="","",IF($AE1183=0,D1182,SUMIFS(Data!$F$10:$F$3209,Data!$E$10:$E$3209,"&gt;="&amp;$A1183,Data!$E$10:$E$3209,"&lt;"&amp;$A1183+1)/$AE1183)))</f>
        <v/>
      </c>
      <c r="E1183" s="56">
        <f>IF($B1183=0,"",IF(Inputs!$B$8="","",IF($AF1183=0,E1182,SUMIFS(Data!$J$10:$J$3209,Data!$I$10:$I$3209,"&gt;="&amp;$A1183,Data!$I$10:$I$3209,"&lt;"&amp;$A1183+1)/$AF1183)))</f>
        <v/>
      </c>
      <c r="F1183" s="56">
        <f>IF($B1183=0,"",IF(Inputs!$B$9="","",IF($AG1183=0,F1182,SUMIFS(Data!$N$10:$N$3209,Data!$M$10:$M$3209,"&gt;="&amp;$A1183,Data!$M$10:$M$3209,"&lt;"&amp;$A1183+1)/$AG1183)))</f>
        <v/>
      </c>
      <c r="G1183" s="56">
        <f>IF($B1183=0,"",IF(Inputs!$B$10="","",IF($AH1183=0,G1182,SUMIFS(Data!$R$10:$R$3209,Data!$Q$10:$Q$3209,"&gt;="&amp;$A1183,Data!$Q$10:$Q$3209,"&lt;"&amp;$A1183+1)/$AH1183)))</f>
        <v/>
      </c>
      <c r="I1183" s="54">
        <f>IF($B1183=0,NA(),IF($C1183="",NA(),IF(C$8="",NA(),IF(N(C$8)=0,NA(),IF(Inputs!$C$17="Rebased to 100",$C1183/C$8*100,$C1183)))))</f>
        <v/>
      </c>
      <c r="J1183" s="54">
        <f>IF($B1183=0,NA(),IF($D1183="",NA(),IF(D$8="",NA(),IF(N(D$8)=0,NA(),IF(Inputs!$C$17="Rebased to 100",$D1183/D$8*100,$D1183)))))</f>
        <v/>
      </c>
      <c r="K1183" s="54">
        <f>IF($B1183=0,NA(),IF($E1183="",NA(),IF(E$8="",NA(),IF(N(E$8)=0,NA(),IF(Inputs!$C$17="Rebased to 100",$E1183/E$8*100,$E1183)))))</f>
        <v/>
      </c>
      <c r="L1183" s="54">
        <f>IF($B1183=0,NA(),IF($F1183="",NA(),IF(F$8="",NA(),IF(N(F$8)=0,NA(),IF(Inputs!$C$17="Rebased to 100",$F1183/F$8*100,$F1183)))))</f>
        <v/>
      </c>
      <c r="M1183" s="54">
        <f>IF($B1183=0,NA(),IF($G1183="",NA(),IF(G$8="",NA(),IF(N(G$8)=0,NA(),IF(Inputs!$C$17="Rebased to 100",$G1183/G$8*100,$G1183)))))</f>
        <v/>
      </c>
      <c r="N1183" s="54">
        <f>IF($B1183=0,NA(),IF(Inputs!$C$18&lt;&gt;"Yes",NA(),IF(COUNT(I1183,J1183,K1183,L1183,M1183)=0,NA(),MIN(I1183,J1183,K1183,L1183,M1183))))</f>
        <v/>
      </c>
      <c r="O1183" s="54">
        <f>IF($B1183=0,NA(),IF(Inputs!$B$24&lt;&gt;"Yes",NA(),Inputs!$D$24*Inputs!$C$35))</f>
        <v/>
      </c>
      <c r="P1183" s="54">
        <f>IF($B1183=0,NA(),IF(Inputs!$B$25&lt;&gt;"Yes",NA(),Inputs!$D$25*Inputs!$C$35))</f>
        <v/>
      </c>
      <c r="Q1183" s="54">
        <f>IF($B1183=0,NA(),IF(Inputs!$B$26&lt;&gt;"Yes",NA(),Inputs!$D$26*Inputs!$C$35))</f>
        <v/>
      </c>
      <c r="R1183" s="54">
        <f>IF($B1183=0,NA(),IF(Inputs!$B$27&lt;&gt;"Yes",NA(),Inputs!$D$27*Inputs!$C$35))</f>
        <v/>
      </c>
      <c r="S1183" s="54">
        <f>IF($B1183=0,NA(),IF(Inputs!$B$28&lt;&gt;"Yes",NA(),Inputs!$D$28*Inputs!$C$35))</f>
        <v/>
      </c>
      <c r="T1183" s="54">
        <f>IF($B1183=0,NA(),IF(Inputs!$B$29&lt;&gt;"Yes",NA(),Inputs!$D$29*Inputs!$C$35))</f>
        <v/>
      </c>
      <c r="AD1183">
        <f>IF($B1183=0,0,IF(Inputs!$B$6="",0,COUNTIFS(Data!$A$10:$A$3209,"&gt;="&amp;$A1183,Data!$A$10:$A$3209,"&lt;"&amp;$A1183+1)))</f>
        <v/>
      </c>
      <c r="AE1183">
        <f>IF($B1183=0,0,IF(Inputs!$B$7="",0,COUNTIFS(Data!$E$10:$E$3209,"&gt;="&amp;$A1183,Data!$E$10:$E$3209,"&lt;"&amp;$A1183+1)))</f>
        <v/>
      </c>
      <c r="AF1183">
        <f>IF($B1183=0,0,IF(Inputs!$B$8="",0,COUNTIFS(Data!$I$10:$I$3209,"&gt;="&amp;$A1183,Data!$I$10:$I$3209,"&lt;"&amp;$A1183+1)))</f>
        <v/>
      </c>
      <c r="AG1183">
        <f>IF($B1183=0,0,IF(Inputs!$B$9="",0,COUNTIFS(Data!$M$10:$M$3209,"&gt;="&amp;$A1183,Data!$M$10:$M$3209,"&lt;"&amp;$A1183+1)))</f>
        <v/>
      </c>
      <c r="AH1183">
        <f>IF($B1183=0,0,IF(Inputs!$B$10="",0,COUNTIFS(Data!$Q$10:$Q$3209,"&gt;="&amp;$A1183,Data!$Q$10:$Q$3209,"&lt;"&amp;$A1183+1)))</f>
        <v/>
      </c>
    </row>
    <row r="1184">
      <c r="A1184" s="55">
        <f>MIN(Inputs!$C$15,$A1183+IF(WEEKDAY($A1183,2)=5,3,1))</f>
        <v/>
      </c>
      <c r="B1184">
        <f>IF($A1184&gt;$A1183,1,0)</f>
        <v/>
      </c>
      <c r="C1184" s="56">
        <f>IF($B1184=0,"",IF(Inputs!$B$6="","",IF($AD1184=0,C1183,SUMIFS(Data!$B$10:$B$3209,Data!$A$10:$A$3209,"&gt;="&amp;$A1184,Data!$A$10:$A$3209,"&lt;"&amp;$A1184+1)/$AD1184)))</f>
        <v/>
      </c>
      <c r="D1184" s="56">
        <f>IF($B1184=0,"",IF(Inputs!$B$7="","",IF($AE1184=0,D1183,SUMIFS(Data!$F$10:$F$3209,Data!$E$10:$E$3209,"&gt;="&amp;$A1184,Data!$E$10:$E$3209,"&lt;"&amp;$A1184+1)/$AE1184)))</f>
        <v/>
      </c>
      <c r="E1184" s="56">
        <f>IF($B1184=0,"",IF(Inputs!$B$8="","",IF($AF1184=0,E1183,SUMIFS(Data!$J$10:$J$3209,Data!$I$10:$I$3209,"&gt;="&amp;$A1184,Data!$I$10:$I$3209,"&lt;"&amp;$A1184+1)/$AF1184)))</f>
        <v/>
      </c>
      <c r="F1184" s="56">
        <f>IF($B1184=0,"",IF(Inputs!$B$9="","",IF($AG1184=0,F1183,SUMIFS(Data!$N$10:$N$3209,Data!$M$10:$M$3209,"&gt;="&amp;$A1184,Data!$M$10:$M$3209,"&lt;"&amp;$A1184+1)/$AG1184)))</f>
        <v/>
      </c>
      <c r="G1184" s="56">
        <f>IF($B1184=0,"",IF(Inputs!$B$10="","",IF($AH1184=0,G1183,SUMIFS(Data!$R$10:$R$3209,Data!$Q$10:$Q$3209,"&gt;="&amp;$A1184,Data!$Q$10:$Q$3209,"&lt;"&amp;$A1184+1)/$AH1184)))</f>
        <v/>
      </c>
      <c r="I1184" s="54">
        <f>IF($B1184=0,NA(),IF($C1184="",NA(),IF(C$8="",NA(),IF(N(C$8)=0,NA(),IF(Inputs!$C$17="Rebased to 100",$C1184/C$8*100,$C1184)))))</f>
        <v/>
      </c>
      <c r="J1184" s="54">
        <f>IF($B1184=0,NA(),IF($D1184="",NA(),IF(D$8="",NA(),IF(N(D$8)=0,NA(),IF(Inputs!$C$17="Rebased to 100",$D1184/D$8*100,$D1184)))))</f>
        <v/>
      </c>
      <c r="K1184" s="54">
        <f>IF($B1184=0,NA(),IF($E1184="",NA(),IF(E$8="",NA(),IF(N(E$8)=0,NA(),IF(Inputs!$C$17="Rebased to 100",$E1184/E$8*100,$E1184)))))</f>
        <v/>
      </c>
      <c r="L1184" s="54">
        <f>IF($B1184=0,NA(),IF($F1184="",NA(),IF(F$8="",NA(),IF(N(F$8)=0,NA(),IF(Inputs!$C$17="Rebased to 100",$F1184/F$8*100,$F1184)))))</f>
        <v/>
      </c>
      <c r="M1184" s="54">
        <f>IF($B1184=0,NA(),IF($G1184="",NA(),IF(G$8="",NA(),IF(N(G$8)=0,NA(),IF(Inputs!$C$17="Rebased to 100",$G1184/G$8*100,$G1184)))))</f>
        <v/>
      </c>
      <c r="N1184" s="54">
        <f>IF($B1184=0,NA(),IF(Inputs!$C$18&lt;&gt;"Yes",NA(),IF(COUNT(I1184,J1184,K1184,L1184,M1184)=0,NA(),MIN(I1184,J1184,K1184,L1184,M1184))))</f>
        <v/>
      </c>
      <c r="O1184" s="54">
        <f>IF($B1184=0,NA(),IF(Inputs!$B$24&lt;&gt;"Yes",NA(),Inputs!$D$24*Inputs!$C$35))</f>
        <v/>
      </c>
      <c r="P1184" s="54">
        <f>IF($B1184=0,NA(),IF(Inputs!$B$25&lt;&gt;"Yes",NA(),Inputs!$D$25*Inputs!$C$35))</f>
        <v/>
      </c>
      <c r="Q1184" s="54">
        <f>IF($B1184=0,NA(),IF(Inputs!$B$26&lt;&gt;"Yes",NA(),Inputs!$D$26*Inputs!$C$35))</f>
        <v/>
      </c>
      <c r="R1184" s="54">
        <f>IF($B1184=0,NA(),IF(Inputs!$B$27&lt;&gt;"Yes",NA(),Inputs!$D$27*Inputs!$C$35))</f>
        <v/>
      </c>
      <c r="S1184" s="54">
        <f>IF($B1184=0,NA(),IF(Inputs!$B$28&lt;&gt;"Yes",NA(),Inputs!$D$28*Inputs!$C$35))</f>
        <v/>
      </c>
      <c r="T1184" s="54">
        <f>IF($B1184=0,NA(),IF(Inputs!$B$29&lt;&gt;"Yes",NA(),Inputs!$D$29*Inputs!$C$35))</f>
        <v/>
      </c>
      <c r="AD1184">
        <f>IF($B1184=0,0,IF(Inputs!$B$6="",0,COUNTIFS(Data!$A$10:$A$3209,"&gt;="&amp;$A1184,Data!$A$10:$A$3209,"&lt;"&amp;$A1184+1)))</f>
        <v/>
      </c>
      <c r="AE1184">
        <f>IF($B1184=0,0,IF(Inputs!$B$7="",0,COUNTIFS(Data!$E$10:$E$3209,"&gt;="&amp;$A1184,Data!$E$10:$E$3209,"&lt;"&amp;$A1184+1)))</f>
        <v/>
      </c>
      <c r="AF1184">
        <f>IF($B1184=0,0,IF(Inputs!$B$8="",0,COUNTIFS(Data!$I$10:$I$3209,"&gt;="&amp;$A1184,Data!$I$10:$I$3209,"&lt;"&amp;$A1184+1)))</f>
        <v/>
      </c>
      <c r="AG1184">
        <f>IF($B1184=0,0,IF(Inputs!$B$9="",0,COUNTIFS(Data!$M$10:$M$3209,"&gt;="&amp;$A1184,Data!$M$10:$M$3209,"&lt;"&amp;$A1184+1)))</f>
        <v/>
      </c>
      <c r="AH1184">
        <f>IF($B1184=0,0,IF(Inputs!$B$10="",0,COUNTIFS(Data!$Q$10:$Q$3209,"&gt;="&amp;$A1184,Data!$Q$10:$Q$3209,"&lt;"&amp;$A1184+1)))</f>
        <v/>
      </c>
    </row>
    <row r="1185">
      <c r="A1185" s="55">
        <f>MIN(Inputs!$C$15,$A1184+IF(WEEKDAY($A1184,2)=5,3,1))</f>
        <v/>
      </c>
      <c r="B1185">
        <f>IF($A1185&gt;$A1184,1,0)</f>
        <v/>
      </c>
      <c r="C1185" s="56">
        <f>IF($B1185=0,"",IF(Inputs!$B$6="","",IF($AD1185=0,C1184,SUMIFS(Data!$B$10:$B$3209,Data!$A$10:$A$3209,"&gt;="&amp;$A1185,Data!$A$10:$A$3209,"&lt;"&amp;$A1185+1)/$AD1185)))</f>
        <v/>
      </c>
      <c r="D1185" s="56">
        <f>IF($B1185=0,"",IF(Inputs!$B$7="","",IF($AE1185=0,D1184,SUMIFS(Data!$F$10:$F$3209,Data!$E$10:$E$3209,"&gt;="&amp;$A1185,Data!$E$10:$E$3209,"&lt;"&amp;$A1185+1)/$AE1185)))</f>
        <v/>
      </c>
      <c r="E1185" s="56">
        <f>IF($B1185=0,"",IF(Inputs!$B$8="","",IF($AF1185=0,E1184,SUMIFS(Data!$J$10:$J$3209,Data!$I$10:$I$3209,"&gt;="&amp;$A1185,Data!$I$10:$I$3209,"&lt;"&amp;$A1185+1)/$AF1185)))</f>
        <v/>
      </c>
      <c r="F1185" s="56">
        <f>IF($B1185=0,"",IF(Inputs!$B$9="","",IF($AG1185=0,F1184,SUMIFS(Data!$N$10:$N$3209,Data!$M$10:$M$3209,"&gt;="&amp;$A1185,Data!$M$10:$M$3209,"&lt;"&amp;$A1185+1)/$AG1185)))</f>
        <v/>
      </c>
      <c r="G1185" s="56">
        <f>IF($B1185=0,"",IF(Inputs!$B$10="","",IF($AH1185=0,G1184,SUMIFS(Data!$R$10:$R$3209,Data!$Q$10:$Q$3209,"&gt;="&amp;$A1185,Data!$Q$10:$Q$3209,"&lt;"&amp;$A1185+1)/$AH1185)))</f>
        <v/>
      </c>
      <c r="I1185" s="54">
        <f>IF($B1185=0,NA(),IF($C1185="",NA(),IF(C$8="",NA(),IF(N(C$8)=0,NA(),IF(Inputs!$C$17="Rebased to 100",$C1185/C$8*100,$C1185)))))</f>
        <v/>
      </c>
      <c r="J1185" s="54">
        <f>IF($B1185=0,NA(),IF($D1185="",NA(),IF(D$8="",NA(),IF(N(D$8)=0,NA(),IF(Inputs!$C$17="Rebased to 100",$D1185/D$8*100,$D1185)))))</f>
        <v/>
      </c>
      <c r="K1185" s="54">
        <f>IF($B1185=0,NA(),IF($E1185="",NA(),IF(E$8="",NA(),IF(N(E$8)=0,NA(),IF(Inputs!$C$17="Rebased to 100",$E1185/E$8*100,$E1185)))))</f>
        <v/>
      </c>
      <c r="L1185" s="54">
        <f>IF($B1185=0,NA(),IF($F1185="",NA(),IF(F$8="",NA(),IF(N(F$8)=0,NA(),IF(Inputs!$C$17="Rebased to 100",$F1185/F$8*100,$F1185)))))</f>
        <v/>
      </c>
      <c r="M1185" s="54">
        <f>IF($B1185=0,NA(),IF($G1185="",NA(),IF(G$8="",NA(),IF(N(G$8)=0,NA(),IF(Inputs!$C$17="Rebased to 100",$G1185/G$8*100,$G1185)))))</f>
        <v/>
      </c>
      <c r="N1185" s="54">
        <f>IF($B1185=0,NA(),IF(Inputs!$C$18&lt;&gt;"Yes",NA(),IF(COUNT(I1185,J1185,K1185,L1185,M1185)=0,NA(),MIN(I1185,J1185,K1185,L1185,M1185))))</f>
        <v/>
      </c>
      <c r="O1185" s="54">
        <f>IF($B1185=0,NA(),IF(Inputs!$B$24&lt;&gt;"Yes",NA(),Inputs!$D$24*Inputs!$C$35))</f>
        <v/>
      </c>
      <c r="P1185" s="54">
        <f>IF($B1185=0,NA(),IF(Inputs!$B$25&lt;&gt;"Yes",NA(),Inputs!$D$25*Inputs!$C$35))</f>
        <v/>
      </c>
      <c r="Q1185" s="54">
        <f>IF($B1185=0,NA(),IF(Inputs!$B$26&lt;&gt;"Yes",NA(),Inputs!$D$26*Inputs!$C$35))</f>
        <v/>
      </c>
      <c r="R1185" s="54">
        <f>IF($B1185=0,NA(),IF(Inputs!$B$27&lt;&gt;"Yes",NA(),Inputs!$D$27*Inputs!$C$35))</f>
        <v/>
      </c>
      <c r="S1185" s="54">
        <f>IF($B1185=0,NA(),IF(Inputs!$B$28&lt;&gt;"Yes",NA(),Inputs!$D$28*Inputs!$C$35))</f>
        <v/>
      </c>
      <c r="T1185" s="54">
        <f>IF($B1185=0,NA(),IF(Inputs!$B$29&lt;&gt;"Yes",NA(),Inputs!$D$29*Inputs!$C$35))</f>
        <v/>
      </c>
      <c r="AD1185">
        <f>IF($B1185=0,0,IF(Inputs!$B$6="",0,COUNTIFS(Data!$A$10:$A$3209,"&gt;="&amp;$A1185,Data!$A$10:$A$3209,"&lt;"&amp;$A1185+1)))</f>
        <v/>
      </c>
      <c r="AE1185">
        <f>IF($B1185=0,0,IF(Inputs!$B$7="",0,COUNTIFS(Data!$E$10:$E$3209,"&gt;="&amp;$A1185,Data!$E$10:$E$3209,"&lt;"&amp;$A1185+1)))</f>
        <v/>
      </c>
      <c r="AF1185">
        <f>IF($B1185=0,0,IF(Inputs!$B$8="",0,COUNTIFS(Data!$I$10:$I$3209,"&gt;="&amp;$A1185,Data!$I$10:$I$3209,"&lt;"&amp;$A1185+1)))</f>
        <v/>
      </c>
      <c r="AG1185">
        <f>IF($B1185=0,0,IF(Inputs!$B$9="",0,COUNTIFS(Data!$M$10:$M$3209,"&gt;="&amp;$A1185,Data!$M$10:$M$3209,"&lt;"&amp;$A1185+1)))</f>
        <v/>
      </c>
      <c r="AH1185">
        <f>IF($B1185=0,0,IF(Inputs!$B$10="",0,COUNTIFS(Data!$Q$10:$Q$3209,"&gt;="&amp;$A1185,Data!$Q$10:$Q$3209,"&lt;"&amp;$A1185+1)))</f>
        <v/>
      </c>
    </row>
    <row r="1186">
      <c r="A1186" s="55">
        <f>MIN(Inputs!$C$15,$A1185+IF(WEEKDAY($A1185,2)=5,3,1))</f>
        <v/>
      </c>
      <c r="B1186">
        <f>IF($A1186&gt;$A1185,1,0)</f>
        <v/>
      </c>
      <c r="C1186" s="56">
        <f>IF($B1186=0,"",IF(Inputs!$B$6="","",IF($AD1186=0,C1185,SUMIFS(Data!$B$10:$B$3209,Data!$A$10:$A$3209,"&gt;="&amp;$A1186,Data!$A$10:$A$3209,"&lt;"&amp;$A1186+1)/$AD1186)))</f>
        <v/>
      </c>
      <c r="D1186" s="56">
        <f>IF($B1186=0,"",IF(Inputs!$B$7="","",IF($AE1186=0,D1185,SUMIFS(Data!$F$10:$F$3209,Data!$E$10:$E$3209,"&gt;="&amp;$A1186,Data!$E$10:$E$3209,"&lt;"&amp;$A1186+1)/$AE1186)))</f>
        <v/>
      </c>
      <c r="E1186" s="56">
        <f>IF($B1186=0,"",IF(Inputs!$B$8="","",IF($AF1186=0,E1185,SUMIFS(Data!$J$10:$J$3209,Data!$I$10:$I$3209,"&gt;="&amp;$A1186,Data!$I$10:$I$3209,"&lt;"&amp;$A1186+1)/$AF1186)))</f>
        <v/>
      </c>
      <c r="F1186" s="56">
        <f>IF($B1186=0,"",IF(Inputs!$B$9="","",IF($AG1186=0,F1185,SUMIFS(Data!$N$10:$N$3209,Data!$M$10:$M$3209,"&gt;="&amp;$A1186,Data!$M$10:$M$3209,"&lt;"&amp;$A1186+1)/$AG1186)))</f>
        <v/>
      </c>
      <c r="G1186" s="56">
        <f>IF($B1186=0,"",IF(Inputs!$B$10="","",IF($AH1186=0,G1185,SUMIFS(Data!$R$10:$R$3209,Data!$Q$10:$Q$3209,"&gt;="&amp;$A1186,Data!$Q$10:$Q$3209,"&lt;"&amp;$A1186+1)/$AH1186)))</f>
        <v/>
      </c>
      <c r="I1186" s="54">
        <f>IF($B1186=0,NA(),IF($C1186="",NA(),IF(C$8="",NA(),IF(N(C$8)=0,NA(),IF(Inputs!$C$17="Rebased to 100",$C1186/C$8*100,$C1186)))))</f>
        <v/>
      </c>
      <c r="J1186" s="54">
        <f>IF($B1186=0,NA(),IF($D1186="",NA(),IF(D$8="",NA(),IF(N(D$8)=0,NA(),IF(Inputs!$C$17="Rebased to 100",$D1186/D$8*100,$D1186)))))</f>
        <v/>
      </c>
      <c r="K1186" s="54">
        <f>IF($B1186=0,NA(),IF($E1186="",NA(),IF(E$8="",NA(),IF(N(E$8)=0,NA(),IF(Inputs!$C$17="Rebased to 100",$E1186/E$8*100,$E1186)))))</f>
        <v/>
      </c>
      <c r="L1186" s="54">
        <f>IF($B1186=0,NA(),IF($F1186="",NA(),IF(F$8="",NA(),IF(N(F$8)=0,NA(),IF(Inputs!$C$17="Rebased to 100",$F1186/F$8*100,$F1186)))))</f>
        <v/>
      </c>
      <c r="M1186" s="54">
        <f>IF($B1186=0,NA(),IF($G1186="",NA(),IF(G$8="",NA(),IF(N(G$8)=0,NA(),IF(Inputs!$C$17="Rebased to 100",$G1186/G$8*100,$G1186)))))</f>
        <v/>
      </c>
      <c r="N1186" s="54">
        <f>IF($B1186=0,NA(),IF(Inputs!$C$18&lt;&gt;"Yes",NA(),IF(COUNT(I1186,J1186,K1186,L1186,M1186)=0,NA(),MIN(I1186,J1186,K1186,L1186,M1186))))</f>
        <v/>
      </c>
      <c r="O1186" s="54">
        <f>IF($B1186=0,NA(),IF(Inputs!$B$24&lt;&gt;"Yes",NA(),Inputs!$D$24*Inputs!$C$35))</f>
        <v/>
      </c>
      <c r="P1186" s="54">
        <f>IF($B1186=0,NA(),IF(Inputs!$B$25&lt;&gt;"Yes",NA(),Inputs!$D$25*Inputs!$C$35))</f>
        <v/>
      </c>
      <c r="Q1186" s="54">
        <f>IF($B1186=0,NA(),IF(Inputs!$B$26&lt;&gt;"Yes",NA(),Inputs!$D$26*Inputs!$C$35))</f>
        <v/>
      </c>
      <c r="R1186" s="54">
        <f>IF($B1186=0,NA(),IF(Inputs!$B$27&lt;&gt;"Yes",NA(),Inputs!$D$27*Inputs!$C$35))</f>
        <v/>
      </c>
      <c r="S1186" s="54">
        <f>IF($B1186=0,NA(),IF(Inputs!$B$28&lt;&gt;"Yes",NA(),Inputs!$D$28*Inputs!$C$35))</f>
        <v/>
      </c>
      <c r="T1186" s="54">
        <f>IF($B1186=0,NA(),IF(Inputs!$B$29&lt;&gt;"Yes",NA(),Inputs!$D$29*Inputs!$C$35))</f>
        <v/>
      </c>
      <c r="AD1186">
        <f>IF($B1186=0,0,IF(Inputs!$B$6="",0,COUNTIFS(Data!$A$10:$A$3209,"&gt;="&amp;$A1186,Data!$A$10:$A$3209,"&lt;"&amp;$A1186+1)))</f>
        <v/>
      </c>
      <c r="AE1186">
        <f>IF($B1186=0,0,IF(Inputs!$B$7="",0,COUNTIFS(Data!$E$10:$E$3209,"&gt;="&amp;$A1186,Data!$E$10:$E$3209,"&lt;"&amp;$A1186+1)))</f>
        <v/>
      </c>
      <c r="AF1186">
        <f>IF($B1186=0,0,IF(Inputs!$B$8="",0,COUNTIFS(Data!$I$10:$I$3209,"&gt;="&amp;$A1186,Data!$I$10:$I$3209,"&lt;"&amp;$A1186+1)))</f>
        <v/>
      </c>
      <c r="AG1186">
        <f>IF($B1186=0,0,IF(Inputs!$B$9="",0,COUNTIFS(Data!$M$10:$M$3209,"&gt;="&amp;$A1186,Data!$M$10:$M$3209,"&lt;"&amp;$A1186+1)))</f>
        <v/>
      </c>
      <c r="AH1186">
        <f>IF($B1186=0,0,IF(Inputs!$B$10="",0,COUNTIFS(Data!$Q$10:$Q$3209,"&gt;="&amp;$A1186,Data!$Q$10:$Q$3209,"&lt;"&amp;$A1186+1)))</f>
        <v/>
      </c>
    </row>
    <row r="1187">
      <c r="A1187" s="55">
        <f>MIN(Inputs!$C$15,$A1186+IF(WEEKDAY($A1186,2)=5,3,1))</f>
        <v/>
      </c>
      <c r="B1187">
        <f>IF($A1187&gt;$A1186,1,0)</f>
        <v/>
      </c>
      <c r="C1187" s="56">
        <f>IF($B1187=0,"",IF(Inputs!$B$6="","",IF($AD1187=0,C1186,SUMIFS(Data!$B$10:$B$3209,Data!$A$10:$A$3209,"&gt;="&amp;$A1187,Data!$A$10:$A$3209,"&lt;"&amp;$A1187+1)/$AD1187)))</f>
        <v/>
      </c>
      <c r="D1187" s="56">
        <f>IF($B1187=0,"",IF(Inputs!$B$7="","",IF($AE1187=0,D1186,SUMIFS(Data!$F$10:$F$3209,Data!$E$10:$E$3209,"&gt;="&amp;$A1187,Data!$E$10:$E$3209,"&lt;"&amp;$A1187+1)/$AE1187)))</f>
        <v/>
      </c>
      <c r="E1187" s="56">
        <f>IF($B1187=0,"",IF(Inputs!$B$8="","",IF($AF1187=0,E1186,SUMIFS(Data!$J$10:$J$3209,Data!$I$10:$I$3209,"&gt;="&amp;$A1187,Data!$I$10:$I$3209,"&lt;"&amp;$A1187+1)/$AF1187)))</f>
        <v/>
      </c>
      <c r="F1187" s="56">
        <f>IF($B1187=0,"",IF(Inputs!$B$9="","",IF($AG1187=0,F1186,SUMIFS(Data!$N$10:$N$3209,Data!$M$10:$M$3209,"&gt;="&amp;$A1187,Data!$M$10:$M$3209,"&lt;"&amp;$A1187+1)/$AG1187)))</f>
        <v/>
      </c>
      <c r="G1187" s="56">
        <f>IF($B1187=0,"",IF(Inputs!$B$10="","",IF($AH1187=0,G1186,SUMIFS(Data!$R$10:$R$3209,Data!$Q$10:$Q$3209,"&gt;="&amp;$A1187,Data!$Q$10:$Q$3209,"&lt;"&amp;$A1187+1)/$AH1187)))</f>
        <v/>
      </c>
      <c r="I1187" s="54">
        <f>IF($B1187=0,NA(),IF($C1187="",NA(),IF(C$8="",NA(),IF(N(C$8)=0,NA(),IF(Inputs!$C$17="Rebased to 100",$C1187/C$8*100,$C1187)))))</f>
        <v/>
      </c>
      <c r="J1187" s="54">
        <f>IF($B1187=0,NA(),IF($D1187="",NA(),IF(D$8="",NA(),IF(N(D$8)=0,NA(),IF(Inputs!$C$17="Rebased to 100",$D1187/D$8*100,$D1187)))))</f>
        <v/>
      </c>
      <c r="K1187" s="54">
        <f>IF($B1187=0,NA(),IF($E1187="",NA(),IF(E$8="",NA(),IF(N(E$8)=0,NA(),IF(Inputs!$C$17="Rebased to 100",$E1187/E$8*100,$E1187)))))</f>
        <v/>
      </c>
      <c r="L1187" s="54">
        <f>IF($B1187=0,NA(),IF($F1187="",NA(),IF(F$8="",NA(),IF(N(F$8)=0,NA(),IF(Inputs!$C$17="Rebased to 100",$F1187/F$8*100,$F1187)))))</f>
        <v/>
      </c>
      <c r="M1187" s="54">
        <f>IF($B1187=0,NA(),IF($G1187="",NA(),IF(G$8="",NA(),IF(N(G$8)=0,NA(),IF(Inputs!$C$17="Rebased to 100",$G1187/G$8*100,$G1187)))))</f>
        <v/>
      </c>
      <c r="N1187" s="54">
        <f>IF($B1187=0,NA(),IF(Inputs!$C$18&lt;&gt;"Yes",NA(),IF(COUNT(I1187,J1187,K1187,L1187,M1187)=0,NA(),MIN(I1187,J1187,K1187,L1187,M1187))))</f>
        <v/>
      </c>
      <c r="O1187" s="54">
        <f>IF($B1187=0,NA(),IF(Inputs!$B$24&lt;&gt;"Yes",NA(),Inputs!$D$24*Inputs!$C$35))</f>
        <v/>
      </c>
      <c r="P1187" s="54">
        <f>IF($B1187=0,NA(),IF(Inputs!$B$25&lt;&gt;"Yes",NA(),Inputs!$D$25*Inputs!$C$35))</f>
        <v/>
      </c>
      <c r="Q1187" s="54">
        <f>IF($B1187=0,NA(),IF(Inputs!$B$26&lt;&gt;"Yes",NA(),Inputs!$D$26*Inputs!$C$35))</f>
        <v/>
      </c>
      <c r="R1187" s="54">
        <f>IF($B1187=0,NA(),IF(Inputs!$B$27&lt;&gt;"Yes",NA(),Inputs!$D$27*Inputs!$C$35))</f>
        <v/>
      </c>
      <c r="S1187" s="54">
        <f>IF($B1187=0,NA(),IF(Inputs!$B$28&lt;&gt;"Yes",NA(),Inputs!$D$28*Inputs!$C$35))</f>
        <v/>
      </c>
      <c r="T1187" s="54">
        <f>IF($B1187=0,NA(),IF(Inputs!$B$29&lt;&gt;"Yes",NA(),Inputs!$D$29*Inputs!$C$35))</f>
        <v/>
      </c>
      <c r="AD1187">
        <f>IF($B1187=0,0,IF(Inputs!$B$6="",0,COUNTIFS(Data!$A$10:$A$3209,"&gt;="&amp;$A1187,Data!$A$10:$A$3209,"&lt;"&amp;$A1187+1)))</f>
        <v/>
      </c>
      <c r="AE1187">
        <f>IF($B1187=0,0,IF(Inputs!$B$7="",0,COUNTIFS(Data!$E$10:$E$3209,"&gt;="&amp;$A1187,Data!$E$10:$E$3209,"&lt;"&amp;$A1187+1)))</f>
        <v/>
      </c>
      <c r="AF1187">
        <f>IF($B1187=0,0,IF(Inputs!$B$8="",0,COUNTIFS(Data!$I$10:$I$3209,"&gt;="&amp;$A1187,Data!$I$10:$I$3209,"&lt;"&amp;$A1187+1)))</f>
        <v/>
      </c>
      <c r="AG1187">
        <f>IF($B1187=0,0,IF(Inputs!$B$9="",0,COUNTIFS(Data!$M$10:$M$3209,"&gt;="&amp;$A1187,Data!$M$10:$M$3209,"&lt;"&amp;$A1187+1)))</f>
        <v/>
      </c>
      <c r="AH1187">
        <f>IF($B1187=0,0,IF(Inputs!$B$10="",0,COUNTIFS(Data!$Q$10:$Q$3209,"&gt;="&amp;$A1187,Data!$Q$10:$Q$3209,"&lt;"&amp;$A1187+1)))</f>
        <v/>
      </c>
    </row>
    <row r="1188">
      <c r="A1188" s="55">
        <f>MIN(Inputs!$C$15,$A1187+IF(WEEKDAY($A1187,2)=5,3,1))</f>
        <v/>
      </c>
      <c r="B1188">
        <f>IF($A1188&gt;$A1187,1,0)</f>
        <v/>
      </c>
      <c r="C1188" s="56">
        <f>IF($B1188=0,"",IF(Inputs!$B$6="","",IF($AD1188=0,C1187,SUMIFS(Data!$B$10:$B$3209,Data!$A$10:$A$3209,"&gt;="&amp;$A1188,Data!$A$10:$A$3209,"&lt;"&amp;$A1188+1)/$AD1188)))</f>
        <v/>
      </c>
      <c r="D1188" s="56">
        <f>IF($B1188=0,"",IF(Inputs!$B$7="","",IF($AE1188=0,D1187,SUMIFS(Data!$F$10:$F$3209,Data!$E$10:$E$3209,"&gt;="&amp;$A1188,Data!$E$10:$E$3209,"&lt;"&amp;$A1188+1)/$AE1188)))</f>
        <v/>
      </c>
      <c r="E1188" s="56">
        <f>IF($B1188=0,"",IF(Inputs!$B$8="","",IF($AF1188=0,E1187,SUMIFS(Data!$J$10:$J$3209,Data!$I$10:$I$3209,"&gt;="&amp;$A1188,Data!$I$10:$I$3209,"&lt;"&amp;$A1188+1)/$AF1188)))</f>
        <v/>
      </c>
      <c r="F1188" s="56">
        <f>IF($B1188=0,"",IF(Inputs!$B$9="","",IF($AG1188=0,F1187,SUMIFS(Data!$N$10:$N$3209,Data!$M$10:$M$3209,"&gt;="&amp;$A1188,Data!$M$10:$M$3209,"&lt;"&amp;$A1188+1)/$AG1188)))</f>
        <v/>
      </c>
      <c r="G1188" s="56">
        <f>IF($B1188=0,"",IF(Inputs!$B$10="","",IF($AH1188=0,G1187,SUMIFS(Data!$R$10:$R$3209,Data!$Q$10:$Q$3209,"&gt;="&amp;$A1188,Data!$Q$10:$Q$3209,"&lt;"&amp;$A1188+1)/$AH1188)))</f>
        <v/>
      </c>
      <c r="I1188" s="54">
        <f>IF($B1188=0,NA(),IF($C1188="",NA(),IF(C$8="",NA(),IF(N(C$8)=0,NA(),IF(Inputs!$C$17="Rebased to 100",$C1188/C$8*100,$C1188)))))</f>
        <v/>
      </c>
      <c r="J1188" s="54">
        <f>IF($B1188=0,NA(),IF($D1188="",NA(),IF(D$8="",NA(),IF(N(D$8)=0,NA(),IF(Inputs!$C$17="Rebased to 100",$D1188/D$8*100,$D1188)))))</f>
        <v/>
      </c>
      <c r="K1188" s="54">
        <f>IF($B1188=0,NA(),IF($E1188="",NA(),IF(E$8="",NA(),IF(N(E$8)=0,NA(),IF(Inputs!$C$17="Rebased to 100",$E1188/E$8*100,$E1188)))))</f>
        <v/>
      </c>
      <c r="L1188" s="54">
        <f>IF($B1188=0,NA(),IF($F1188="",NA(),IF(F$8="",NA(),IF(N(F$8)=0,NA(),IF(Inputs!$C$17="Rebased to 100",$F1188/F$8*100,$F1188)))))</f>
        <v/>
      </c>
      <c r="M1188" s="54">
        <f>IF($B1188=0,NA(),IF($G1188="",NA(),IF(G$8="",NA(),IF(N(G$8)=0,NA(),IF(Inputs!$C$17="Rebased to 100",$G1188/G$8*100,$G1188)))))</f>
        <v/>
      </c>
      <c r="N1188" s="54">
        <f>IF($B1188=0,NA(),IF(Inputs!$C$18&lt;&gt;"Yes",NA(),IF(COUNT(I1188,J1188,K1188,L1188,M1188)=0,NA(),MIN(I1188,J1188,K1188,L1188,M1188))))</f>
        <v/>
      </c>
      <c r="O1188" s="54">
        <f>IF($B1188=0,NA(),IF(Inputs!$B$24&lt;&gt;"Yes",NA(),Inputs!$D$24*Inputs!$C$35))</f>
        <v/>
      </c>
      <c r="P1188" s="54">
        <f>IF($B1188=0,NA(),IF(Inputs!$B$25&lt;&gt;"Yes",NA(),Inputs!$D$25*Inputs!$C$35))</f>
        <v/>
      </c>
      <c r="Q1188" s="54">
        <f>IF($B1188=0,NA(),IF(Inputs!$B$26&lt;&gt;"Yes",NA(),Inputs!$D$26*Inputs!$C$35))</f>
        <v/>
      </c>
      <c r="R1188" s="54">
        <f>IF($B1188=0,NA(),IF(Inputs!$B$27&lt;&gt;"Yes",NA(),Inputs!$D$27*Inputs!$C$35))</f>
        <v/>
      </c>
      <c r="S1188" s="54">
        <f>IF($B1188=0,NA(),IF(Inputs!$B$28&lt;&gt;"Yes",NA(),Inputs!$D$28*Inputs!$C$35))</f>
        <v/>
      </c>
      <c r="T1188" s="54">
        <f>IF($B1188=0,NA(),IF(Inputs!$B$29&lt;&gt;"Yes",NA(),Inputs!$D$29*Inputs!$C$35))</f>
        <v/>
      </c>
      <c r="AD1188">
        <f>IF($B1188=0,0,IF(Inputs!$B$6="",0,COUNTIFS(Data!$A$10:$A$3209,"&gt;="&amp;$A1188,Data!$A$10:$A$3209,"&lt;"&amp;$A1188+1)))</f>
        <v/>
      </c>
      <c r="AE1188">
        <f>IF($B1188=0,0,IF(Inputs!$B$7="",0,COUNTIFS(Data!$E$10:$E$3209,"&gt;="&amp;$A1188,Data!$E$10:$E$3209,"&lt;"&amp;$A1188+1)))</f>
        <v/>
      </c>
      <c r="AF1188">
        <f>IF($B1188=0,0,IF(Inputs!$B$8="",0,COUNTIFS(Data!$I$10:$I$3209,"&gt;="&amp;$A1188,Data!$I$10:$I$3209,"&lt;"&amp;$A1188+1)))</f>
        <v/>
      </c>
      <c r="AG1188">
        <f>IF($B1188=0,0,IF(Inputs!$B$9="",0,COUNTIFS(Data!$M$10:$M$3209,"&gt;="&amp;$A1188,Data!$M$10:$M$3209,"&lt;"&amp;$A1188+1)))</f>
        <v/>
      </c>
      <c r="AH1188">
        <f>IF($B1188=0,0,IF(Inputs!$B$10="",0,COUNTIFS(Data!$Q$10:$Q$3209,"&gt;="&amp;$A1188,Data!$Q$10:$Q$3209,"&lt;"&amp;$A1188+1)))</f>
        <v/>
      </c>
    </row>
    <row r="1189">
      <c r="A1189" s="55">
        <f>MIN(Inputs!$C$15,$A1188+IF(WEEKDAY($A1188,2)=5,3,1))</f>
        <v/>
      </c>
      <c r="B1189">
        <f>IF($A1189&gt;$A1188,1,0)</f>
        <v/>
      </c>
      <c r="C1189" s="56">
        <f>IF($B1189=0,"",IF(Inputs!$B$6="","",IF($AD1189=0,C1188,SUMIFS(Data!$B$10:$B$3209,Data!$A$10:$A$3209,"&gt;="&amp;$A1189,Data!$A$10:$A$3209,"&lt;"&amp;$A1189+1)/$AD1189)))</f>
        <v/>
      </c>
      <c r="D1189" s="56">
        <f>IF($B1189=0,"",IF(Inputs!$B$7="","",IF($AE1189=0,D1188,SUMIFS(Data!$F$10:$F$3209,Data!$E$10:$E$3209,"&gt;="&amp;$A1189,Data!$E$10:$E$3209,"&lt;"&amp;$A1189+1)/$AE1189)))</f>
        <v/>
      </c>
      <c r="E1189" s="56">
        <f>IF($B1189=0,"",IF(Inputs!$B$8="","",IF($AF1189=0,E1188,SUMIFS(Data!$J$10:$J$3209,Data!$I$10:$I$3209,"&gt;="&amp;$A1189,Data!$I$10:$I$3209,"&lt;"&amp;$A1189+1)/$AF1189)))</f>
        <v/>
      </c>
      <c r="F1189" s="56">
        <f>IF($B1189=0,"",IF(Inputs!$B$9="","",IF($AG1189=0,F1188,SUMIFS(Data!$N$10:$N$3209,Data!$M$10:$M$3209,"&gt;="&amp;$A1189,Data!$M$10:$M$3209,"&lt;"&amp;$A1189+1)/$AG1189)))</f>
        <v/>
      </c>
      <c r="G1189" s="56">
        <f>IF($B1189=0,"",IF(Inputs!$B$10="","",IF($AH1189=0,G1188,SUMIFS(Data!$R$10:$R$3209,Data!$Q$10:$Q$3209,"&gt;="&amp;$A1189,Data!$Q$10:$Q$3209,"&lt;"&amp;$A1189+1)/$AH1189)))</f>
        <v/>
      </c>
      <c r="I1189" s="54">
        <f>IF($B1189=0,NA(),IF($C1189="",NA(),IF(C$8="",NA(),IF(N(C$8)=0,NA(),IF(Inputs!$C$17="Rebased to 100",$C1189/C$8*100,$C1189)))))</f>
        <v/>
      </c>
      <c r="J1189" s="54">
        <f>IF($B1189=0,NA(),IF($D1189="",NA(),IF(D$8="",NA(),IF(N(D$8)=0,NA(),IF(Inputs!$C$17="Rebased to 100",$D1189/D$8*100,$D1189)))))</f>
        <v/>
      </c>
      <c r="K1189" s="54">
        <f>IF($B1189=0,NA(),IF($E1189="",NA(),IF(E$8="",NA(),IF(N(E$8)=0,NA(),IF(Inputs!$C$17="Rebased to 100",$E1189/E$8*100,$E1189)))))</f>
        <v/>
      </c>
      <c r="L1189" s="54">
        <f>IF($B1189=0,NA(),IF($F1189="",NA(),IF(F$8="",NA(),IF(N(F$8)=0,NA(),IF(Inputs!$C$17="Rebased to 100",$F1189/F$8*100,$F1189)))))</f>
        <v/>
      </c>
      <c r="M1189" s="54">
        <f>IF($B1189=0,NA(),IF($G1189="",NA(),IF(G$8="",NA(),IF(N(G$8)=0,NA(),IF(Inputs!$C$17="Rebased to 100",$G1189/G$8*100,$G1189)))))</f>
        <v/>
      </c>
      <c r="N1189" s="54">
        <f>IF($B1189=0,NA(),IF(Inputs!$C$18&lt;&gt;"Yes",NA(),IF(COUNT(I1189,J1189,K1189,L1189,M1189)=0,NA(),MIN(I1189,J1189,K1189,L1189,M1189))))</f>
        <v/>
      </c>
      <c r="O1189" s="54">
        <f>IF($B1189=0,NA(),IF(Inputs!$B$24&lt;&gt;"Yes",NA(),Inputs!$D$24*Inputs!$C$35))</f>
        <v/>
      </c>
      <c r="P1189" s="54">
        <f>IF($B1189=0,NA(),IF(Inputs!$B$25&lt;&gt;"Yes",NA(),Inputs!$D$25*Inputs!$C$35))</f>
        <v/>
      </c>
      <c r="Q1189" s="54">
        <f>IF($B1189=0,NA(),IF(Inputs!$B$26&lt;&gt;"Yes",NA(),Inputs!$D$26*Inputs!$C$35))</f>
        <v/>
      </c>
      <c r="R1189" s="54">
        <f>IF($B1189=0,NA(),IF(Inputs!$B$27&lt;&gt;"Yes",NA(),Inputs!$D$27*Inputs!$C$35))</f>
        <v/>
      </c>
      <c r="S1189" s="54">
        <f>IF($B1189=0,NA(),IF(Inputs!$B$28&lt;&gt;"Yes",NA(),Inputs!$D$28*Inputs!$C$35))</f>
        <v/>
      </c>
      <c r="T1189" s="54">
        <f>IF($B1189=0,NA(),IF(Inputs!$B$29&lt;&gt;"Yes",NA(),Inputs!$D$29*Inputs!$C$35))</f>
        <v/>
      </c>
      <c r="AD1189">
        <f>IF($B1189=0,0,IF(Inputs!$B$6="",0,COUNTIFS(Data!$A$10:$A$3209,"&gt;="&amp;$A1189,Data!$A$10:$A$3209,"&lt;"&amp;$A1189+1)))</f>
        <v/>
      </c>
      <c r="AE1189">
        <f>IF($B1189=0,0,IF(Inputs!$B$7="",0,COUNTIFS(Data!$E$10:$E$3209,"&gt;="&amp;$A1189,Data!$E$10:$E$3209,"&lt;"&amp;$A1189+1)))</f>
        <v/>
      </c>
      <c r="AF1189">
        <f>IF($B1189=0,0,IF(Inputs!$B$8="",0,COUNTIFS(Data!$I$10:$I$3209,"&gt;="&amp;$A1189,Data!$I$10:$I$3209,"&lt;"&amp;$A1189+1)))</f>
        <v/>
      </c>
      <c r="AG1189">
        <f>IF($B1189=0,0,IF(Inputs!$B$9="",0,COUNTIFS(Data!$M$10:$M$3209,"&gt;="&amp;$A1189,Data!$M$10:$M$3209,"&lt;"&amp;$A1189+1)))</f>
        <v/>
      </c>
      <c r="AH1189">
        <f>IF($B1189=0,0,IF(Inputs!$B$10="",0,COUNTIFS(Data!$Q$10:$Q$3209,"&gt;="&amp;$A1189,Data!$Q$10:$Q$3209,"&lt;"&amp;$A1189+1)))</f>
        <v/>
      </c>
    </row>
    <row r="1190">
      <c r="A1190" s="55">
        <f>MIN(Inputs!$C$15,$A1189+IF(WEEKDAY($A1189,2)=5,3,1))</f>
        <v/>
      </c>
      <c r="B1190">
        <f>IF($A1190&gt;$A1189,1,0)</f>
        <v/>
      </c>
      <c r="C1190" s="56">
        <f>IF($B1190=0,"",IF(Inputs!$B$6="","",IF($AD1190=0,C1189,SUMIFS(Data!$B$10:$B$3209,Data!$A$10:$A$3209,"&gt;="&amp;$A1190,Data!$A$10:$A$3209,"&lt;"&amp;$A1190+1)/$AD1190)))</f>
        <v/>
      </c>
      <c r="D1190" s="56">
        <f>IF($B1190=0,"",IF(Inputs!$B$7="","",IF($AE1190=0,D1189,SUMIFS(Data!$F$10:$F$3209,Data!$E$10:$E$3209,"&gt;="&amp;$A1190,Data!$E$10:$E$3209,"&lt;"&amp;$A1190+1)/$AE1190)))</f>
        <v/>
      </c>
      <c r="E1190" s="56">
        <f>IF($B1190=0,"",IF(Inputs!$B$8="","",IF($AF1190=0,E1189,SUMIFS(Data!$J$10:$J$3209,Data!$I$10:$I$3209,"&gt;="&amp;$A1190,Data!$I$10:$I$3209,"&lt;"&amp;$A1190+1)/$AF1190)))</f>
        <v/>
      </c>
      <c r="F1190" s="56">
        <f>IF($B1190=0,"",IF(Inputs!$B$9="","",IF($AG1190=0,F1189,SUMIFS(Data!$N$10:$N$3209,Data!$M$10:$M$3209,"&gt;="&amp;$A1190,Data!$M$10:$M$3209,"&lt;"&amp;$A1190+1)/$AG1190)))</f>
        <v/>
      </c>
      <c r="G1190" s="56">
        <f>IF($B1190=0,"",IF(Inputs!$B$10="","",IF($AH1190=0,G1189,SUMIFS(Data!$R$10:$R$3209,Data!$Q$10:$Q$3209,"&gt;="&amp;$A1190,Data!$Q$10:$Q$3209,"&lt;"&amp;$A1190+1)/$AH1190)))</f>
        <v/>
      </c>
      <c r="I1190" s="54">
        <f>IF($B1190=0,NA(),IF($C1190="",NA(),IF(C$8="",NA(),IF(N(C$8)=0,NA(),IF(Inputs!$C$17="Rebased to 100",$C1190/C$8*100,$C1190)))))</f>
        <v/>
      </c>
      <c r="J1190" s="54">
        <f>IF($B1190=0,NA(),IF($D1190="",NA(),IF(D$8="",NA(),IF(N(D$8)=0,NA(),IF(Inputs!$C$17="Rebased to 100",$D1190/D$8*100,$D1190)))))</f>
        <v/>
      </c>
      <c r="K1190" s="54">
        <f>IF($B1190=0,NA(),IF($E1190="",NA(),IF(E$8="",NA(),IF(N(E$8)=0,NA(),IF(Inputs!$C$17="Rebased to 100",$E1190/E$8*100,$E1190)))))</f>
        <v/>
      </c>
      <c r="L1190" s="54">
        <f>IF($B1190=0,NA(),IF($F1190="",NA(),IF(F$8="",NA(),IF(N(F$8)=0,NA(),IF(Inputs!$C$17="Rebased to 100",$F1190/F$8*100,$F1190)))))</f>
        <v/>
      </c>
      <c r="M1190" s="54">
        <f>IF($B1190=0,NA(),IF($G1190="",NA(),IF(G$8="",NA(),IF(N(G$8)=0,NA(),IF(Inputs!$C$17="Rebased to 100",$G1190/G$8*100,$G1190)))))</f>
        <v/>
      </c>
      <c r="N1190" s="54">
        <f>IF($B1190=0,NA(),IF(Inputs!$C$18&lt;&gt;"Yes",NA(),IF(COUNT(I1190,J1190,K1190,L1190,M1190)=0,NA(),MIN(I1190,J1190,K1190,L1190,M1190))))</f>
        <v/>
      </c>
      <c r="O1190" s="54">
        <f>IF($B1190=0,NA(),IF(Inputs!$B$24&lt;&gt;"Yes",NA(),Inputs!$D$24*Inputs!$C$35))</f>
        <v/>
      </c>
      <c r="P1190" s="54">
        <f>IF($B1190=0,NA(),IF(Inputs!$B$25&lt;&gt;"Yes",NA(),Inputs!$D$25*Inputs!$C$35))</f>
        <v/>
      </c>
      <c r="Q1190" s="54">
        <f>IF($B1190=0,NA(),IF(Inputs!$B$26&lt;&gt;"Yes",NA(),Inputs!$D$26*Inputs!$C$35))</f>
        <v/>
      </c>
      <c r="R1190" s="54">
        <f>IF($B1190=0,NA(),IF(Inputs!$B$27&lt;&gt;"Yes",NA(),Inputs!$D$27*Inputs!$C$35))</f>
        <v/>
      </c>
      <c r="S1190" s="54">
        <f>IF($B1190=0,NA(),IF(Inputs!$B$28&lt;&gt;"Yes",NA(),Inputs!$D$28*Inputs!$C$35))</f>
        <v/>
      </c>
      <c r="T1190" s="54">
        <f>IF($B1190=0,NA(),IF(Inputs!$B$29&lt;&gt;"Yes",NA(),Inputs!$D$29*Inputs!$C$35))</f>
        <v/>
      </c>
      <c r="AD1190">
        <f>IF($B1190=0,0,IF(Inputs!$B$6="",0,COUNTIFS(Data!$A$10:$A$3209,"&gt;="&amp;$A1190,Data!$A$10:$A$3209,"&lt;"&amp;$A1190+1)))</f>
        <v/>
      </c>
      <c r="AE1190">
        <f>IF($B1190=0,0,IF(Inputs!$B$7="",0,COUNTIFS(Data!$E$10:$E$3209,"&gt;="&amp;$A1190,Data!$E$10:$E$3209,"&lt;"&amp;$A1190+1)))</f>
        <v/>
      </c>
      <c r="AF1190">
        <f>IF($B1190=0,0,IF(Inputs!$B$8="",0,COUNTIFS(Data!$I$10:$I$3209,"&gt;="&amp;$A1190,Data!$I$10:$I$3209,"&lt;"&amp;$A1190+1)))</f>
        <v/>
      </c>
      <c r="AG1190">
        <f>IF($B1190=0,0,IF(Inputs!$B$9="",0,COUNTIFS(Data!$M$10:$M$3209,"&gt;="&amp;$A1190,Data!$M$10:$M$3209,"&lt;"&amp;$A1190+1)))</f>
        <v/>
      </c>
      <c r="AH1190">
        <f>IF($B1190=0,0,IF(Inputs!$B$10="",0,COUNTIFS(Data!$Q$10:$Q$3209,"&gt;="&amp;$A1190,Data!$Q$10:$Q$3209,"&lt;"&amp;$A1190+1)))</f>
        <v/>
      </c>
    </row>
    <row r="1191">
      <c r="A1191" s="55">
        <f>MIN(Inputs!$C$15,$A1190+IF(WEEKDAY($A1190,2)=5,3,1))</f>
        <v/>
      </c>
      <c r="B1191">
        <f>IF($A1191&gt;$A1190,1,0)</f>
        <v/>
      </c>
      <c r="C1191" s="56">
        <f>IF($B1191=0,"",IF(Inputs!$B$6="","",IF($AD1191=0,C1190,SUMIFS(Data!$B$10:$B$3209,Data!$A$10:$A$3209,"&gt;="&amp;$A1191,Data!$A$10:$A$3209,"&lt;"&amp;$A1191+1)/$AD1191)))</f>
        <v/>
      </c>
      <c r="D1191" s="56">
        <f>IF($B1191=0,"",IF(Inputs!$B$7="","",IF($AE1191=0,D1190,SUMIFS(Data!$F$10:$F$3209,Data!$E$10:$E$3209,"&gt;="&amp;$A1191,Data!$E$10:$E$3209,"&lt;"&amp;$A1191+1)/$AE1191)))</f>
        <v/>
      </c>
      <c r="E1191" s="56">
        <f>IF($B1191=0,"",IF(Inputs!$B$8="","",IF($AF1191=0,E1190,SUMIFS(Data!$J$10:$J$3209,Data!$I$10:$I$3209,"&gt;="&amp;$A1191,Data!$I$10:$I$3209,"&lt;"&amp;$A1191+1)/$AF1191)))</f>
        <v/>
      </c>
      <c r="F1191" s="56">
        <f>IF($B1191=0,"",IF(Inputs!$B$9="","",IF($AG1191=0,F1190,SUMIFS(Data!$N$10:$N$3209,Data!$M$10:$M$3209,"&gt;="&amp;$A1191,Data!$M$10:$M$3209,"&lt;"&amp;$A1191+1)/$AG1191)))</f>
        <v/>
      </c>
      <c r="G1191" s="56">
        <f>IF($B1191=0,"",IF(Inputs!$B$10="","",IF($AH1191=0,G1190,SUMIFS(Data!$R$10:$R$3209,Data!$Q$10:$Q$3209,"&gt;="&amp;$A1191,Data!$Q$10:$Q$3209,"&lt;"&amp;$A1191+1)/$AH1191)))</f>
        <v/>
      </c>
      <c r="I1191" s="54">
        <f>IF($B1191=0,NA(),IF($C1191="",NA(),IF(C$8="",NA(),IF(N(C$8)=0,NA(),IF(Inputs!$C$17="Rebased to 100",$C1191/C$8*100,$C1191)))))</f>
        <v/>
      </c>
      <c r="J1191" s="54">
        <f>IF($B1191=0,NA(),IF($D1191="",NA(),IF(D$8="",NA(),IF(N(D$8)=0,NA(),IF(Inputs!$C$17="Rebased to 100",$D1191/D$8*100,$D1191)))))</f>
        <v/>
      </c>
      <c r="K1191" s="54">
        <f>IF($B1191=0,NA(),IF($E1191="",NA(),IF(E$8="",NA(),IF(N(E$8)=0,NA(),IF(Inputs!$C$17="Rebased to 100",$E1191/E$8*100,$E1191)))))</f>
        <v/>
      </c>
      <c r="L1191" s="54">
        <f>IF($B1191=0,NA(),IF($F1191="",NA(),IF(F$8="",NA(),IF(N(F$8)=0,NA(),IF(Inputs!$C$17="Rebased to 100",$F1191/F$8*100,$F1191)))))</f>
        <v/>
      </c>
      <c r="M1191" s="54">
        <f>IF($B1191=0,NA(),IF($G1191="",NA(),IF(G$8="",NA(),IF(N(G$8)=0,NA(),IF(Inputs!$C$17="Rebased to 100",$G1191/G$8*100,$G1191)))))</f>
        <v/>
      </c>
      <c r="N1191" s="54">
        <f>IF($B1191=0,NA(),IF(Inputs!$C$18&lt;&gt;"Yes",NA(),IF(COUNT(I1191,J1191,K1191,L1191,M1191)=0,NA(),MIN(I1191,J1191,K1191,L1191,M1191))))</f>
        <v/>
      </c>
      <c r="O1191" s="54">
        <f>IF($B1191=0,NA(),IF(Inputs!$B$24&lt;&gt;"Yes",NA(),Inputs!$D$24*Inputs!$C$35))</f>
        <v/>
      </c>
      <c r="P1191" s="54">
        <f>IF($B1191=0,NA(),IF(Inputs!$B$25&lt;&gt;"Yes",NA(),Inputs!$D$25*Inputs!$C$35))</f>
        <v/>
      </c>
      <c r="Q1191" s="54">
        <f>IF($B1191=0,NA(),IF(Inputs!$B$26&lt;&gt;"Yes",NA(),Inputs!$D$26*Inputs!$C$35))</f>
        <v/>
      </c>
      <c r="R1191" s="54">
        <f>IF($B1191=0,NA(),IF(Inputs!$B$27&lt;&gt;"Yes",NA(),Inputs!$D$27*Inputs!$C$35))</f>
        <v/>
      </c>
      <c r="S1191" s="54">
        <f>IF($B1191=0,NA(),IF(Inputs!$B$28&lt;&gt;"Yes",NA(),Inputs!$D$28*Inputs!$C$35))</f>
        <v/>
      </c>
      <c r="T1191" s="54">
        <f>IF($B1191=0,NA(),IF(Inputs!$B$29&lt;&gt;"Yes",NA(),Inputs!$D$29*Inputs!$C$35))</f>
        <v/>
      </c>
      <c r="AD1191">
        <f>IF($B1191=0,0,IF(Inputs!$B$6="",0,COUNTIFS(Data!$A$10:$A$3209,"&gt;="&amp;$A1191,Data!$A$10:$A$3209,"&lt;"&amp;$A1191+1)))</f>
        <v/>
      </c>
      <c r="AE1191">
        <f>IF($B1191=0,0,IF(Inputs!$B$7="",0,COUNTIFS(Data!$E$10:$E$3209,"&gt;="&amp;$A1191,Data!$E$10:$E$3209,"&lt;"&amp;$A1191+1)))</f>
        <v/>
      </c>
      <c r="AF1191">
        <f>IF($B1191=0,0,IF(Inputs!$B$8="",0,COUNTIFS(Data!$I$10:$I$3209,"&gt;="&amp;$A1191,Data!$I$10:$I$3209,"&lt;"&amp;$A1191+1)))</f>
        <v/>
      </c>
      <c r="AG1191">
        <f>IF($B1191=0,0,IF(Inputs!$B$9="",0,COUNTIFS(Data!$M$10:$M$3209,"&gt;="&amp;$A1191,Data!$M$10:$M$3209,"&lt;"&amp;$A1191+1)))</f>
        <v/>
      </c>
      <c r="AH1191">
        <f>IF($B1191=0,0,IF(Inputs!$B$10="",0,COUNTIFS(Data!$Q$10:$Q$3209,"&gt;="&amp;$A1191,Data!$Q$10:$Q$3209,"&lt;"&amp;$A1191+1)))</f>
        <v/>
      </c>
    </row>
    <row r="1192">
      <c r="A1192" s="55">
        <f>MIN(Inputs!$C$15,$A1191+IF(WEEKDAY($A1191,2)=5,3,1))</f>
        <v/>
      </c>
      <c r="B1192">
        <f>IF($A1192&gt;$A1191,1,0)</f>
        <v/>
      </c>
      <c r="C1192" s="56">
        <f>IF($B1192=0,"",IF(Inputs!$B$6="","",IF($AD1192=0,C1191,SUMIFS(Data!$B$10:$B$3209,Data!$A$10:$A$3209,"&gt;="&amp;$A1192,Data!$A$10:$A$3209,"&lt;"&amp;$A1192+1)/$AD1192)))</f>
        <v/>
      </c>
      <c r="D1192" s="56">
        <f>IF($B1192=0,"",IF(Inputs!$B$7="","",IF($AE1192=0,D1191,SUMIFS(Data!$F$10:$F$3209,Data!$E$10:$E$3209,"&gt;="&amp;$A1192,Data!$E$10:$E$3209,"&lt;"&amp;$A1192+1)/$AE1192)))</f>
        <v/>
      </c>
      <c r="E1192" s="56">
        <f>IF($B1192=0,"",IF(Inputs!$B$8="","",IF($AF1192=0,E1191,SUMIFS(Data!$J$10:$J$3209,Data!$I$10:$I$3209,"&gt;="&amp;$A1192,Data!$I$10:$I$3209,"&lt;"&amp;$A1192+1)/$AF1192)))</f>
        <v/>
      </c>
      <c r="F1192" s="56">
        <f>IF($B1192=0,"",IF(Inputs!$B$9="","",IF($AG1192=0,F1191,SUMIFS(Data!$N$10:$N$3209,Data!$M$10:$M$3209,"&gt;="&amp;$A1192,Data!$M$10:$M$3209,"&lt;"&amp;$A1192+1)/$AG1192)))</f>
        <v/>
      </c>
      <c r="G1192" s="56">
        <f>IF($B1192=0,"",IF(Inputs!$B$10="","",IF($AH1192=0,G1191,SUMIFS(Data!$R$10:$R$3209,Data!$Q$10:$Q$3209,"&gt;="&amp;$A1192,Data!$Q$10:$Q$3209,"&lt;"&amp;$A1192+1)/$AH1192)))</f>
        <v/>
      </c>
      <c r="I1192" s="54">
        <f>IF($B1192=0,NA(),IF($C1192="",NA(),IF(C$8="",NA(),IF(N(C$8)=0,NA(),IF(Inputs!$C$17="Rebased to 100",$C1192/C$8*100,$C1192)))))</f>
        <v/>
      </c>
      <c r="J1192" s="54">
        <f>IF($B1192=0,NA(),IF($D1192="",NA(),IF(D$8="",NA(),IF(N(D$8)=0,NA(),IF(Inputs!$C$17="Rebased to 100",$D1192/D$8*100,$D1192)))))</f>
        <v/>
      </c>
      <c r="K1192" s="54">
        <f>IF($B1192=0,NA(),IF($E1192="",NA(),IF(E$8="",NA(),IF(N(E$8)=0,NA(),IF(Inputs!$C$17="Rebased to 100",$E1192/E$8*100,$E1192)))))</f>
        <v/>
      </c>
      <c r="L1192" s="54">
        <f>IF($B1192=0,NA(),IF($F1192="",NA(),IF(F$8="",NA(),IF(N(F$8)=0,NA(),IF(Inputs!$C$17="Rebased to 100",$F1192/F$8*100,$F1192)))))</f>
        <v/>
      </c>
      <c r="M1192" s="54">
        <f>IF($B1192=0,NA(),IF($G1192="",NA(),IF(G$8="",NA(),IF(N(G$8)=0,NA(),IF(Inputs!$C$17="Rebased to 100",$G1192/G$8*100,$G1192)))))</f>
        <v/>
      </c>
      <c r="N1192" s="54">
        <f>IF($B1192=0,NA(),IF(Inputs!$C$18&lt;&gt;"Yes",NA(),IF(COUNT(I1192,J1192,K1192,L1192,M1192)=0,NA(),MIN(I1192,J1192,K1192,L1192,M1192))))</f>
        <v/>
      </c>
      <c r="O1192" s="54">
        <f>IF($B1192=0,NA(),IF(Inputs!$B$24&lt;&gt;"Yes",NA(),Inputs!$D$24*Inputs!$C$35))</f>
        <v/>
      </c>
      <c r="P1192" s="54">
        <f>IF($B1192=0,NA(),IF(Inputs!$B$25&lt;&gt;"Yes",NA(),Inputs!$D$25*Inputs!$C$35))</f>
        <v/>
      </c>
      <c r="Q1192" s="54">
        <f>IF($B1192=0,NA(),IF(Inputs!$B$26&lt;&gt;"Yes",NA(),Inputs!$D$26*Inputs!$C$35))</f>
        <v/>
      </c>
      <c r="R1192" s="54">
        <f>IF($B1192=0,NA(),IF(Inputs!$B$27&lt;&gt;"Yes",NA(),Inputs!$D$27*Inputs!$C$35))</f>
        <v/>
      </c>
      <c r="S1192" s="54">
        <f>IF($B1192=0,NA(),IF(Inputs!$B$28&lt;&gt;"Yes",NA(),Inputs!$D$28*Inputs!$C$35))</f>
        <v/>
      </c>
      <c r="T1192" s="54">
        <f>IF($B1192=0,NA(),IF(Inputs!$B$29&lt;&gt;"Yes",NA(),Inputs!$D$29*Inputs!$C$35))</f>
        <v/>
      </c>
      <c r="AD1192">
        <f>IF($B1192=0,0,IF(Inputs!$B$6="",0,COUNTIFS(Data!$A$10:$A$3209,"&gt;="&amp;$A1192,Data!$A$10:$A$3209,"&lt;"&amp;$A1192+1)))</f>
        <v/>
      </c>
      <c r="AE1192">
        <f>IF($B1192=0,0,IF(Inputs!$B$7="",0,COUNTIFS(Data!$E$10:$E$3209,"&gt;="&amp;$A1192,Data!$E$10:$E$3209,"&lt;"&amp;$A1192+1)))</f>
        <v/>
      </c>
      <c r="AF1192">
        <f>IF($B1192=0,0,IF(Inputs!$B$8="",0,COUNTIFS(Data!$I$10:$I$3209,"&gt;="&amp;$A1192,Data!$I$10:$I$3209,"&lt;"&amp;$A1192+1)))</f>
        <v/>
      </c>
      <c r="AG1192">
        <f>IF($B1192=0,0,IF(Inputs!$B$9="",0,COUNTIFS(Data!$M$10:$M$3209,"&gt;="&amp;$A1192,Data!$M$10:$M$3209,"&lt;"&amp;$A1192+1)))</f>
        <v/>
      </c>
      <c r="AH1192">
        <f>IF($B1192=0,0,IF(Inputs!$B$10="",0,COUNTIFS(Data!$Q$10:$Q$3209,"&gt;="&amp;$A1192,Data!$Q$10:$Q$3209,"&lt;"&amp;$A1192+1)))</f>
        <v/>
      </c>
    </row>
    <row r="1193">
      <c r="A1193" s="55">
        <f>MIN(Inputs!$C$15,$A1192+IF(WEEKDAY($A1192,2)=5,3,1))</f>
        <v/>
      </c>
      <c r="B1193">
        <f>IF($A1193&gt;$A1192,1,0)</f>
        <v/>
      </c>
      <c r="C1193" s="56">
        <f>IF($B1193=0,"",IF(Inputs!$B$6="","",IF($AD1193=0,C1192,SUMIFS(Data!$B$10:$B$3209,Data!$A$10:$A$3209,"&gt;="&amp;$A1193,Data!$A$10:$A$3209,"&lt;"&amp;$A1193+1)/$AD1193)))</f>
        <v/>
      </c>
      <c r="D1193" s="56">
        <f>IF($B1193=0,"",IF(Inputs!$B$7="","",IF($AE1193=0,D1192,SUMIFS(Data!$F$10:$F$3209,Data!$E$10:$E$3209,"&gt;="&amp;$A1193,Data!$E$10:$E$3209,"&lt;"&amp;$A1193+1)/$AE1193)))</f>
        <v/>
      </c>
      <c r="E1193" s="56">
        <f>IF($B1193=0,"",IF(Inputs!$B$8="","",IF($AF1193=0,E1192,SUMIFS(Data!$J$10:$J$3209,Data!$I$10:$I$3209,"&gt;="&amp;$A1193,Data!$I$10:$I$3209,"&lt;"&amp;$A1193+1)/$AF1193)))</f>
        <v/>
      </c>
      <c r="F1193" s="56">
        <f>IF($B1193=0,"",IF(Inputs!$B$9="","",IF($AG1193=0,F1192,SUMIFS(Data!$N$10:$N$3209,Data!$M$10:$M$3209,"&gt;="&amp;$A1193,Data!$M$10:$M$3209,"&lt;"&amp;$A1193+1)/$AG1193)))</f>
        <v/>
      </c>
      <c r="G1193" s="56">
        <f>IF($B1193=0,"",IF(Inputs!$B$10="","",IF($AH1193=0,G1192,SUMIFS(Data!$R$10:$R$3209,Data!$Q$10:$Q$3209,"&gt;="&amp;$A1193,Data!$Q$10:$Q$3209,"&lt;"&amp;$A1193+1)/$AH1193)))</f>
        <v/>
      </c>
      <c r="I1193" s="54">
        <f>IF($B1193=0,NA(),IF($C1193="",NA(),IF(C$8="",NA(),IF(N(C$8)=0,NA(),IF(Inputs!$C$17="Rebased to 100",$C1193/C$8*100,$C1193)))))</f>
        <v/>
      </c>
      <c r="J1193" s="54">
        <f>IF($B1193=0,NA(),IF($D1193="",NA(),IF(D$8="",NA(),IF(N(D$8)=0,NA(),IF(Inputs!$C$17="Rebased to 100",$D1193/D$8*100,$D1193)))))</f>
        <v/>
      </c>
      <c r="K1193" s="54">
        <f>IF($B1193=0,NA(),IF($E1193="",NA(),IF(E$8="",NA(),IF(N(E$8)=0,NA(),IF(Inputs!$C$17="Rebased to 100",$E1193/E$8*100,$E1193)))))</f>
        <v/>
      </c>
      <c r="L1193" s="54">
        <f>IF($B1193=0,NA(),IF($F1193="",NA(),IF(F$8="",NA(),IF(N(F$8)=0,NA(),IF(Inputs!$C$17="Rebased to 100",$F1193/F$8*100,$F1193)))))</f>
        <v/>
      </c>
      <c r="M1193" s="54">
        <f>IF($B1193=0,NA(),IF($G1193="",NA(),IF(G$8="",NA(),IF(N(G$8)=0,NA(),IF(Inputs!$C$17="Rebased to 100",$G1193/G$8*100,$G1193)))))</f>
        <v/>
      </c>
      <c r="N1193" s="54">
        <f>IF($B1193=0,NA(),IF(Inputs!$C$18&lt;&gt;"Yes",NA(),IF(COUNT(I1193,J1193,K1193,L1193,M1193)=0,NA(),MIN(I1193,J1193,K1193,L1193,M1193))))</f>
        <v/>
      </c>
      <c r="O1193" s="54">
        <f>IF($B1193=0,NA(),IF(Inputs!$B$24&lt;&gt;"Yes",NA(),Inputs!$D$24*Inputs!$C$35))</f>
        <v/>
      </c>
      <c r="P1193" s="54">
        <f>IF($B1193=0,NA(),IF(Inputs!$B$25&lt;&gt;"Yes",NA(),Inputs!$D$25*Inputs!$C$35))</f>
        <v/>
      </c>
      <c r="Q1193" s="54">
        <f>IF($B1193=0,NA(),IF(Inputs!$B$26&lt;&gt;"Yes",NA(),Inputs!$D$26*Inputs!$C$35))</f>
        <v/>
      </c>
      <c r="R1193" s="54">
        <f>IF($B1193=0,NA(),IF(Inputs!$B$27&lt;&gt;"Yes",NA(),Inputs!$D$27*Inputs!$C$35))</f>
        <v/>
      </c>
      <c r="S1193" s="54">
        <f>IF($B1193=0,NA(),IF(Inputs!$B$28&lt;&gt;"Yes",NA(),Inputs!$D$28*Inputs!$C$35))</f>
        <v/>
      </c>
      <c r="T1193" s="54">
        <f>IF($B1193=0,NA(),IF(Inputs!$B$29&lt;&gt;"Yes",NA(),Inputs!$D$29*Inputs!$C$35))</f>
        <v/>
      </c>
      <c r="AD1193">
        <f>IF($B1193=0,0,IF(Inputs!$B$6="",0,COUNTIFS(Data!$A$10:$A$3209,"&gt;="&amp;$A1193,Data!$A$10:$A$3209,"&lt;"&amp;$A1193+1)))</f>
        <v/>
      </c>
      <c r="AE1193">
        <f>IF($B1193=0,0,IF(Inputs!$B$7="",0,COUNTIFS(Data!$E$10:$E$3209,"&gt;="&amp;$A1193,Data!$E$10:$E$3209,"&lt;"&amp;$A1193+1)))</f>
        <v/>
      </c>
      <c r="AF1193">
        <f>IF($B1193=0,0,IF(Inputs!$B$8="",0,COUNTIFS(Data!$I$10:$I$3209,"&gt;="&amp;$A1193,Data!$I$10:$I$3209,"&lt;"&amp;$A1193+1)))</f>
        <v/>
      </c>
      <c r="AG1193">
        <f>IF($B1193=0,0,IF(Inputs!$B$9="",0,COUNTIFS(Data!$M$10:$M$3209,"&gt;="&amp;$A1193,Data!$M$10:$M$3209,"&lt;"&amp;$A1193+1)))</f>
        <v/>
      </c>
      <c r="AH1193">
        <f>IF($B1193=0,0,IF(Inputs!$B$10="",0,COUNTIFS(Data!$Q$10:$Q$3209,"&gt;="&amp;$A1193,Data!$Q$10:$Q$3209,"&lt;"&amp;$A1193+1)))</f>
        <v/>
      </c>
    </row>
    <row r="1194">
      <c r="A1194" s="55">
        <f>MIN(Inputs!$C$15,$A1193+IF(WEEKDAY($A1193,2)=5,3,1))</f>
        <v/>
      </c>
      <c r="B1194">
        <f>IF($A1194&gt;$A1193,1,0)</f>
        <v/>
      </c>
      <c r="C1194" s="56">
        <f>IF($B1194=0,"",IF(Inputs!$B$6="","",IF($AD1194=0,C1193,SUMIFS(Data!$B$10:$B$3209,Data!$A$10:$A$3209,"&gt;="&amp;$A1194,Data!$A$10:$A$3209,"&lt;"&amp;$A1194+1)/$AD1194)))</f>
        <v/>
      </c>
      <c r="D1194" s="56">
        <f>IF($B1194=0,"",IF(Inputs!$B$7="","",IF($AE1194=0,D1193,SUMIFS(Data!$F$10:$F$3209,Data!$E$10:$E$3209,"&gt;="&amp;$A1194,Data!$E$10:$E$3209,"&lt;"&amp;$A1194+1)/$AE1194)))</f>
        <v/>
      </c>
      <c r="E1194" s="56">
        <f>IF($B1194=0,"",IF(Inputs!$B$8="","",IF($AF1194=0,E1193,SUMIFS(Data!$J$10:$J$3209,Data!$I$10:$I$3209,"&gt;="&amp;$A1194,Data!$I$10:$I$3209,"&lt;"&amp;$A1194+1)/$AF1194)))</f>
        <v/>
      </c>
      <c r="F1194" s="56">
        <f>IF($B1194=0,"",IF(Inputs!$B$9="","",IF($AG1194=0,F1193,SUMIFS(Data!$N$10:$N$3209,Data!$M$10:$M$3209,"&gt;="&amp;$A1194,Data!$M$10:$M$3209,"&lt;"&amp;$A1194+1)/$AG1194)))</f>
        <v/>
      </c>
      <c r="G1194" s="56">
        <f>IF($B1194=0,"",IF(Inputs!$B$10="","",IF($AH1194=0,G1193,SUMIFS(Data!$R$10:$R$3209,Data!$Q$10:$Q$3209,"&gt;="&amp;$A1194,Data!$Q$10:$Q$3209,"&lt;"&amp;$A1194+1)/$AH1194)))</f>
        <v/>
      </c>
      <c r="I1194" s="54">
        <f>IF($B1194=0,NA(),IF($C1194="",NA(),IF(C$8="",NA(),IF(N(C$8)=0,NA(),IF(Inputs!$C$17="Rebased to 100",$C1194/C$8*100,$C1194)))))</f>
        <v/>
      </c>
      <c r="J1194" s="54">
        <f>IF($B1194=0,NA(),IF($D1194="",NA(),IF(D$8="",NA(),IF(N(D$8)=0,NA(),IF(Inputs!$C$17="Rebased to 100",$D1194/D$8*100,$D1194)))))</f>
        <v/>
      </c>
      <c r="K1194" s="54">
        <f>IF($B1194=0,NA(),IF($E1194="",NA(),IF(E$8="",NA(),IF(N(E$8)=0,NA(),IF(Inputs!$C$17="Rebased to 100",$E1194/E$8*100,$E1194)))))</f>
        <v/>
      </c>
      <c r="L1194" s="54">
        <f>IF($B1194=0,NA(),IF($F1194="",NA(),IF(F$8="",NA(),IF(N(F$8)=0,NA(),IF(Inputs!$C$17="Rebased to 100",$F1194/F$8*100,$F1194)))))</f>
        <v/>
      </c>
      <c r="M1194" s="54">
        <f>IF($B1194=0,NA(),IF($G1194="",NA(),IF(G$8="",NA(),IF(N(G$8)=0,NA(),IF(Inputs!$C$17="Rebased to 100",$G1194/G$8*100,$G1194)))))</f>
        <v/>
      </c>
      <c r="N1194" s="54">
        <f>IF($B1194=0,NA(),IF(Inputs!$C$18&lt;&gt;"Yes",NA(),IF(COUNT(I1194,J1194,K1194,L1194,M1194)=0,NA(),MIN(I1194,J1194,K1194,L1194,M1194))))</f>
        <v/>
      </c>
      <c r="O1194" s="54">
        <f>IF($B1194=0,NA(),IF(Inputs!$B$24&lt;&gt;"Yes",NA(),Inputs!$D$24*Inputs!$C$35))</f>
        <v/>
      </c>
      <c r="P1194" s="54">
        <f>IF($B1194=0,NA(),IF(Inputs!$B$25&lt;&gt;"Yes",NA(),Inputs!$D$25*Inputs!$C$35))</f>
        <v/>
      </c>
      <c r="Q1194" s="54">
        <f>IF($B1194=0,NA(),IF(Inputs!$B$26&lt;&gt;"Yes",NA(),Inputs!$D$26*Inputs!$C$35))</f>
        <v/>
      </c>
      <c r="R1194" s="54">
        <f>IF($B1194=0,NA(),IF(Inputs!$B$27&lt;&gt;"Yes",NA(),Inputs!$D$27*Inputs!$C$35))</f>
        <v/>
      </c>
      <c r="S1194" s="54">
        <f>IF($B1194=0,NA(),IF(Inputs!$B$28&lt;&gt;"Yes",NA(),Inputs!$D$28*Inputs!$C$35))</f>
        <v/>
      </c>
      <c r="T1194" s="54">
        <f>IF($B1194=0,NA(),IF(Inputs!$B$29&lt;&gt;"Yes",NA(),Inputs!$D$29*Inputs!$C$35))</f>
        <v/>
      </c>
      <c r="AD1194">
        <f>IF($B1194=0,0,IF(Inputs!$B$6="",0,COUNTIFS(Data!$A$10:$A$3209,"&gt;="&amp;$A1194,Data!$A$10:$A$3209,"&lt;"&amp;$A1194+1)))</f>
        <v/>
      </c>
      <c r="AE1194">
        <f>IF($B1194=0,0,IF(Inputs!$B$7="",0,COUNTIFS(Data!$E$10:$E$3209,"&gt;="&amp;$A1194,Data!$E$10:$E$3209,"&lt;"&amp;$A1194+1)))</f>
        <v/>
      </c>
      <c r="AF1194">
        <f>IF($B1194=0,0,IF(Inputs!$B$8="",0,COUNTIFS(Data!$I$10:$I$3209,"&gt;="&amp;$A1194,Data!$I$10:$I$3209,"&lt;"&amp;$A1194+1)))</f>
        <v/>
      </c>
      <c r="AG1194">
        <f>IF($B1194=0,0,IF(Inputs!$B$9="",0,COUNTIFS(Data!$M$10:$M$3209,"&gt;="&amp;$A1194,Data!$M$10:$M$3209,"&lt;"&amp;$A1194+1)))</f>
        <v/>
      </c>
      <c r="AH1194">
        <f>IF($B1194=0,0,IF(Inputs!$B$10="",0,COUNTIFS(Data!$Q$10:$Q$3209,"&gt;="&amp;$A1194,Data!$Q$10:$Q$3209,"&lt;"&amp;$A1194+1)))</f>
        <v/>
      </c>
    </row>
    <row r="1195">
      <c r="A1195" s="55">
        <f>MIN(Inputs!$C$15,$A1194+IF(WEEKDAY($A1194,2)=5,3,1))</f>
        <v/>
      </c>
      <c r="B1195">
        <f>IF($A1195&gt;$A1194,1,0)</f>
        <v/>
      </c>
      <c r="C1195" s="56">
        <f>IF($B1195=0,"",IF(Inputs!$B$6="","",IF($AD1195=0,C1194,SUMIFS(Data!$B$10:$B$3209,Data!$A$10:$A$3209,"&gt;="&amp;$A1195,Data!$A$10:$A$3209,"&lt;"&amp;$A1195+1)/$AD1195)))</f>
        <v/>
      </c>
      <c r="D1195" s="56">
        <f>IF($B1195=0,"",IF(Inputs!$B$7="","",IF($AE1195=0,D1194,SUMIFS(Data!$F$10:$F$3209,Data!$E$10:$E$3209,"&gt;="&amp;$A1195,Data!$E$10:$E$3209,"&lt;"&amp;$A1195+1)/$AE1195)))</f>
        <v/>
      </c>
      <c r="E1195" s="56">
        <f>IF($B1195=0,"",IF(Inputs!$B$8="","",IF($AF1195=0,E1194,SUMIFS(Data!$J$10:$J$3209,Data!$I$10:$I$3209,"&gt;="&amp;$A1195,Data!$I$10:$I$3209,"&lt;"&amp;$A1195+1)/$AF1195)))</f>
        <v/>
      </c>
      <c r="F1195" s="56">
        <f>IF($B1195=0,"",IF(Inputs!$B$9="","",IF($AG1195=0,F1194,SUMIFS(Data!$N$10:$N$3209,Data!$M$10:$M$3209,"&gt;="&amp;$A1195,Data!$M$10:$M$3209,"&lt;"&amp;$A1195+1)/$AG1195)))</f>
        <v/>
      </c>
      <c r="G1195" s="56">
        <f>IF($B1195=0,"",IF(Inputs!$B$10="","",IF($AH1195=0,G1194,SUMIFS(Data!$R$10:$R$3209,Data!$Q$10:$Q$3209,"&gt;="&amp;$A1195,Data!$Q$10:$Q$3209,"&lt;"&amp;$A1195+1)/$AH1195)))</f>
        <v/>
      </c>
      <c r="I1195" s="54">
        <f>IF($B1195=0,NA(),IF($C1195="",NA(),IF(C$8="",NA(),IF(N(C$8)=0,NA(),IF(Inputs!$C$17="Rebased to 100",$C1195/C$8*100,$C1195)))))</f>
        <v/>
      </c>
      <c r="J1195" s="54">
        <f>IF($B1195=0,NA(),IF($D1195="",NA(),IF(D$8="",NA(),IF(N(D$8)=0,NA(),IF(Inputs!$C$17="Rebased to 100",$D1195/D$8*100,$D1195)))))</f>
        <v/>
      </c>
      <c r="K1195" s="54">
        <f>IF($B1195=0,NA(),IF($E1195="",NA(),IF(E$8="",NA(),IF(N(E$8)=0,NA(),IF(Inputs!$C$17="Rebased to 100",$E1195/E$8*100,$E1195)))))</f>
        <v/>
      </c>
      <c r="L1195" s="54">
        <f>IF($B1195=0,NA(),IF($F1195="",NA(),IF(F$8="",NA(),IF(N(F$8)=0,NA(),IF(Inputs!$C$17="Rebased to 100",$F1195/F$8*100,$F1195)))))</f>
        <v/>
      </c>
      <c r="M1195" s="54">
        <f>IF($B1195=0,NA(),IF($G1195="",NA(),IF(G$8="",NA(),IF(N(G$8)=0,NA(),IF(Inputs!$C$17="Rebased to 100",$G1195/G$8*100,$G1195)))))</f>
        <v/>
      </c>
      <c r="N1195" s="54">
        <f>IF($B1195=0,NA(),IF(Inputs!$C$18&lt;&gt;"Yes",NA(),IF(COUNT(I1195,J1195,K1195,L1195,M1195)=0,NA(),MIN(I1195,J1195,K1195,L1195,M1195))))</f>
        <v/>
      </c>
      <c r="O1195" s="54">
        <f>IF($B1195=0,NA(),IF(Inputs!$B$24&lt;&gt;"Yes",NA(),Inputs!$D$24*Inputs!$C$35))</f>
        <v/>
      </c>
      <c r="P1195" s="54">
        <f>IF($B1195=0,NA(),IF(Inputs!$B$25&lt;&gt;"Yes",NA(),Inputs!$D$25*Inputs!$C$35))</f>
        <v/>
      </c>
      <c r="Q1195" s="54">
        <f>IF($B1195=0,NA(),IF(Inputs!$B$26&lt;&gt;"Yes",NA(),Inputs!$D$26*Inputs!$C$35))</f>
        <v/>
      </c>
      <c r="R1195" s="54">
        <f>IF($B1195=0,NA(),IF(Inputs!$B$27&lt;&gt;"Yes",NA(),Inputs!$D$27*Inputs!$C$35))</f>
        <v/>
      </c>
      <c r="S1195" s="54">
        <f>IF($B1195=0,NA(),IF(Inputs!$B$28&lt;&gt;"Yes",NA(),Inputs!$D$28*Inputs!$C$35))</f>
        <v/>
      </c>
      <c r="T1195" s="54">
        <f>IF($B1195=0,NA(),IF(Inputs!$B$29&lt;&gt;"Yes",NA(),Inputs!$D$29*Inputs!$C$35))</f>
        <v/>
      </c>
      <c r="AD1195">
        <f>IF($B1195=0,0,IF(Inputs!$B$6="",0,COUNTIFS(Data!$A$10:$A$3209,"&gt;="&amp;$A1195,Data!$A$10:$A$3209,"&lt;"&amp;$A1195+1)))</f>
        <v/>
      </c>
      <c r="AE1195">
        <f>IF($B1195=0,0,IF(Inputs!$B$7="",0,COUNTIFS(Data!$E$10:$E$3209,"&gt;="&amp;$A1195,Data!$E$10:$E$3209,"&lt;"&amp;$A1195+1)))</f>
        <v/>
      </c>
      <c r="AF1195">
        <f>IF($B1195=0,0,IF(Inputs!$B$8="",0,COUNTIFS(Data!$I$10:$I$3209,"&gt;="&amp;$A1195,Data!$I$10:$I$3209,"&lt;"&amp;$A1195+1)))</f>
        <v/>
      </c>
      <c r="AG1195">
        <f>IF($B1195=0,0,IF(Inputs!$B$9="",0,COUNTIFS(Data!$M$10:$M$3209,"&gt;="&amp;$A1195,Data!$M$10:$M$3209,"&lt;"&amp;$A1195+1)))</f>
        <v/>
      </c>
      <c r="AH1195">
        <f>IF($B1195=0,0,IF(Inputs!$B$10="",0,COUNTIFS(Data!$Q$10:$Q$3209,"&gt;="&amp;$A1195,Data!$Q$10:$Q$3209,"&lt;"&amp;$A1195+1)))</f>
        <v/>
      </c>
    </row>
    <row r="1196">
      <c r="A1196" s="55">
        <f>MIN(Inputs!$C$15,$A1195+IF(WEEKDAY($A1195,2)=5,3,1))</f>
        <v/>
      </c>
      <c r="B1196">
        <f>IF($A1196&gt;$A1195,1,0)</f>
        <v/>
      </c>
      <c r="C1196" s="56">
        <f>IF($B1196=0,"",IF(Inputs!$B$6="","",IF($AD1196=0,C1195,SUMIFS(Data!$B$10:$B$3209,Data!$A$10:$A$3209,"&gt;="&amp;$A1196,Data!$A$10:$A$3209,"&lt;"&amp;$A1196+1)/$AD1196)))</f>
        <v/>
      </c>
      <c r="D1196" s="56">
        <f>IF($B1196=0,"",IF(Inputs!$B$7="","",IF($AE1196=0,D1195,SUMIFS(Data!$F$10:$F$3209,Data!$E$10:$E$3209,"&gt;="&amp;$A1196,Data!$E$10:$E$3209,"&lt;"&amp;$A1196+1)/$AE1196)))</f>
        <v/>
      </c>
      <c r="E1196" s="56">
        <f>IF($B1196=0,"",IF(Inputs!$B$8="","",IF($AF1196=0,E1195,SUMIFS(Data!$J$10:$J$3209,Data!$I$10:$I$3209,"&gt;="&amp;$A1196,Data!$I$10:$I$3209,"&lt;"&amp;$A1196+1)/$AF1196)))</f>
        <v/>
      </c>
      <c r="F1196" s="56">
        <f>IF($B1196=0,"",IF(Inputs!$B$9="","",IF($AG1196=0,F1195,SUMIFS(Data!$N$10:$N$3209,Data!$M$10:$M$3209,"&gt;="&amp;$A1196,Data!$M$10:$M$3209,"&lt;"&amp;$A1196+1)/$AG1196)))</f>
        <v/>
      </c>
      <c r="G1196" s="56">
        <f>IF($B1196=0,"",IF(Inputs!$B$10="","",IF($AH1196=0,G1195,SUMIFS(Data!$R$10:$R$3209,Data!$Q$10:$Q$3209,"&gt;="&amp;$A1196,Data!$Q$10:$Q$3209,"&lt;"&amp;$A1196+1)/$AH1196)))</f>
        <v/>
      </c>
      <c r="I1196" s="54">
        <f>IF($B1196=0,NA(),IF($C1196="",NA(),IF(C$8="",NA(),IF(N(C$8)=0,NA(),IF(Inputs!$C$17="Rebased to 100",$C1196/C$8*100,$C1196)))))</f>
        <v/>
      </c>
      <c r="J1196" s="54">
        <f>IF($B1196=0,NA(),IF($D1196="",NA(),IF(D$8="",NA(),IF(N(D$8)=0,NA(),IF(Inputs!$C$17="Rebased to 100",$D1196/D$8*100,$D1196)))))</f>
        <v/>
      </c>
      <c r="K1196" s="54">
        <f>IF($B1196=0,NA(),IF($E1196="",NA(),IF(E$8="",NA(),IF(N(E$8)=0,NA(),IF(Inputs!$C$17="Rebased to 100",$E1196/E$8*100,$E1196)))))</f>
        <v/>
      </c>
      <c r="L1196" s="54">
        <f>IF($B1196=0,NA(),IF($F1196="",NA(),IF(F$8="",NA(),IF(N(F$8)=0,NA(),IF(Inputs!$C$17="Rebased to 100",$F1196/F$8*100,$F1196)))))</f>
        <v/>
      </c>
      <c r="M1196" s="54">
        <f>IF($B1196=0,NA(),IF($G1196="",NA(),IF(G$8="",NA(),IF(N(G$8)=0,NA(),IF(Inputs!$C$17="Rebased to 100",$G1196/G$8*100,$G1196)))))</f>
        <v/>
      </c>
      <c r="N1196" s="54">
        <f>IF($B1196=0,NA(),IF(Inputs!$C$18&lt;&gt;"Yes",NA(),IF(COUNT(I1196,J1196,K1196,L1196,M1196)=0,NA(),MIN(I1196,J1196,K1196,L1196,M1196))))</f>
        <v/>
      </c>
      <c r="O1196" s="54">
        <f>IF($B1196=0,NA(),IF(Inputs!$B$24&lt;&gt;"Yes",NA(),Inputs!$D$24*Inputs!$C$35))</f>
        <v/>
      </c>
      <c r="P1196" s="54">
        <f>IF($B1196=0,NA(),IF(Inputs!$B$25&lt;&gt;"Yes",NA(),Inputs!$D$25*Inputs!$C$35))</f>
        <v/>
      </c>
      <c r="Q1196" s="54">
        <f>IF($B1196=0,NA(),IF(Inputs!$B$26&lt;&gt;"Yes",NA(),Inputs!$D$26*Inputs!$C$35))</f>
        <v/>
      </c>
      <c r="R1196" s="54">
        <f>IF($B1196=0,NA(),IF(Inputs!$B$27&lt;&gt;"Yes",NA(),Inputs!$D$27*Inputs!$C$35))</f>
        <v/>
      </c>
      <c r="S1196" s="54">
        <f>IF($B1196=0,NA(),IF(Inputs!$B$28&lt;&gt;"Yes",NA(),Inputs!$D$28*Inputs!$C$35))</f>
        <v/>
      </c>
      <c r="T1196" s="54">
        <f>IF($B1196=0,NA(),IF(Inputs!$B$29&lt;&gt;"Yes",NA(),Inputs!$D$29*Inputs!$C$35))</f>
        <v/>
      </c>
      <c r="AD1196">
        <f>IF($B1196=0,0,IF(Inputs!$B$6="",0,COUNTIFS(Data!$A$10:$A$3209,"&gt;="&amp;$A1196,Data!$A$10:$A$3209,"&lt;"&amp;$A1196+1)))</f>
        <v/>
      </c>
      <c r="AE1196">
        <f>IF($B1196=0,0,IF(Inputs!$B$7="",0,COUNTIFS(Data!$E$10:$E$3209,"&gt;="&amp;$A1196,Data!$E$10:$E$3209,"&lt;"&amp;$A1196+1)))</f>
        <v/>
      </c>
      <c r="AF1196">
        <f>IF($B1196=0,0,IF(Inputs!$B$8="",0,COUNTIFS(Data!$I$10:$I$3209,"&gt;="&amp;$A1196,Data!$I$10:$I$3209,"&lt;"&amp;$A1196+1)))</f>
        <v/>
      </c>
      <c r="AG1196">
        <f>IF($B1196=0,0,IF(Inputs!$B$9="",0,COUNTIFS(Data!$M$10:$M$3209,"&gt;="&amp;$A1196,Data!$M$10:$M$3209,"&lt;"&amp;$A1196+1)))</f>
        <v/>
      </c>
      <c r="AH1196">
        <f>IF($B1196=0,0,IF(Inputs!$B$10="",0,COUNTIFS(Data!$Q$10:$Q$3209,"&gt;="&amp;$A1196,Data!$Q$10:$Q$3209,"&lt;"&amp;$A1196+1)))</f>
        <v/>
      </c>
    </row>
    <row r="1197">
      <c r="A1197" s="55">
        <f>MIN(Inputs!$C$15,$A1196+IF(WEEKDAY($A1196,2)=5,3,1))</f>
        <v/>
      </c>
      <c r="B1197">
        <f>IF($A1197&gt;$A1196,1,0)</f>
        <v/>
      </c>
      <c r="C1197" s="56">
        <f>IF($B1197=0,"",IF(Inputs!$B$6="","",IF($AD1197=0,C1196,SUMIFS(Data!$B$10:$B$3209,Data!$A$10:$A$3209,"&gt;="&amp;$A1197,Data!$A$10:$A$3209,"&lt;"&amp;$A1197+1)/$AD1197)))</f>
        <v/>
      </c>
      <c r="D1197" s="56">
        <f>IF($B1197=0,"",IF(Inputs!$B$7="","",IF($AE1197=0,D1196,SUMIFS(Data!$F$10:$F$3209,Data!$E$10:$E$3209,"&gt;="&amp;$A1197,Data!$E$10:$E$3209,"&lt;"&amp;$A1197+1)/$AE1197)))</f>
        <v/>
      </c>
      <c r="E1197" s="56">
        <f>IF($B1197=0,"",IF(Inputs!$B$8="","",IF($AF1197=0,E1196,SUMIFS(Data!$J$10:$J$3209,Data!$I$10:$I$3209,"&gt;="&amp;$A1197,Data!$I$10:$I$3209,"&lt;"&amp;$A1197+1)/$AF1197)))</f>
        <v/>
      </c>
      <c r="F1197" s="56">
        <f>IF($B1197=0,"",IF(Inputs!$B$9="","",IF($AG1197=0,F1196,SUMIFS(Data!$N$10:$N$3209,Data!$M$10:$M$3209,"&gt;="&amp;$A1197,Data!$M$10:$M$3209,"&lt;"&amp;$A1197+1)/$AG1197)))</f>
        <v/>
      </c>
      <c r="G1197" s="56">
        <f>IF($B1197=0,"",IF(Inputs!$B$10="","",IF($AH1197=0,G1196,SUMIFS(Data!$R$10:$R$3209,Data!$Q$10:$Q$3209,"&gt;="&amp;$A1197,Data!$Q$10:$Q$3209,"&lt;"&amp;$A1197+1)/$AH1197)))</f>
        <v/>
      </c>
      <c r="I1197" s="54">
        <f>IF($B1197=0,NA(),IF($C1197="",NA(),IF(C$8="",NA(),IF(N(C$8)=0,NA(),IF(Inputs!$C$17="Rebased to 100",$C1197/C$8*100,$C1197)))))</f>
        <v/>
      </c>
      <c r="J1197" s="54">
        <f>IF($B1197=0,NA(),IF($D1197="",NA(),IF(D$8="",NA(),IF(N(D$8)=0,NA(),IF(Inputs!$C$17="Rebased to 100",$D1197/D$8*100,$D1197)))))</f>
        <v/>
      </c>
      <c r="K1197" s="54">
        <f>IF($B1197=0,NA(),IF($E1197="",NA(),IF(E$8="",NA(),IF(N(E$8)=0,NA(),IF(Inputs!$C$17="Rebased to 100",$E1197/E$8*100,$E1197)))))</f>
        <v/>
      </c>
      <c r="L1197" s="54">
        <f>IF($B1197=0,NA(),IF($F1197="",NA(),IF(F$8="",NA(),IF(N(F$8)=0,NA(),IF(Inputs!$C$17="Rebased to 100",$F1197/F$8*100,$F1197)))))</f>
        <v/>
      </c>
      <c r="M1197" s="54">
        <f>IF($B1197=0,NA(),IF($G1197="",NA(),IF(G$8="",NA(),IF(N(G$8)=0,NA(),IF(Inputs!$C$17="Rebased to 100",$G1197/G$8*100,$G1197)))))</f>
        <v/>
      </c>
      <c r="N1197" s="54">
        <f>IF($B1197=0,NA(),IF(Inputs!$C$18&lt;&gt;"Yes",NA(),IF(COUNT(I1197,J1197,K1197,L1197,M1197)=0,NA(),MIN(I1197,J1197,K1197,L1197,M1197))))</f>
        <v/>
      </c>
      <c r="O1197" s="54">
        <f>IF($B1197=0,NA(),IF(Inputs!$B$24&lt;&gt;"Yes",NA(),Inputs!$D$24*Inputs!$C$35))</f>
        <v/>
      </c>
      <c r="P1197" s="54">
        <f>IF($B1197=0,NA(),IF(Inputs!$B$25&lt;&gt;"Yes",NA(),Inputs!$D$25*Inputs!$C$35))</f>
        <v/>
      </c>
      <c r="Q1197" s="54">
        <f>IF($B1197=0,NA(),IF(Inputs!$B$26&lt;&gt;"Yes",NA(),Inputs!$D$26*Inputs!$C$35))</f>
        <v/>
      </c>
      <c r="R1197" s="54">
        <f>IF($B1197=0,NA(),IF(Inputs!$B$27&lt;&gt;"Yes",NA(),Inputs!$D$27*Inputs!$C$35))</f>
        <v/>
      </c>
      <c r="S1197" s="54">
        <f>IF($B1197=0,NA(),IF(Inputs!$B$28&lt;&gt;"Yes",NA(),Inputs!$D$28*Inputs!$C$35))</f>
        <v/>
      </c>
      <c r="T1197" s="54">
        <f>IF($B1197=0,NA(),IF(Inputs!$B$29&lt;&gt;"Yes",NA(),Inputs!$D$29*Inputs!$C$35))</f>
        <v/>
      </c>
      <c r="AD1197">
        <f>IF($B1197=0,0,IF(Inputs!$B$6="",0,COUNTIFS(Data!$A$10:$A$3209,"&gt;="&amp;$A1197,Data!$A$10:$A$3209,"&lt;"&amp;$A1197+1)))</f>
        <v/>
      </c>
      <c r="AE1197">
        <f>IF($B1197=0,0,IF(Inputs!$B$7="",0,COUNTIFS(Data!$E$10:$E$3209,"&gt;="&amp;$A1197,Data!$E$10:$E$3209,"&lt;"&amp;$A1197+1)))</f>
        <v/>
      </c>
      <c r="AF1197">
        <f>IF($B1197=0,0,IF(Inputs!$B$8="",0,COUNTIFS(Data!$I$10:$I$3209,"&gt;="&amp;$A1197,Data!$I$10:$I$3209,"&lt;"&amp;$A1197+1)))</f>
        <v/>
      </c>
      <c r="AG1197">
        <f>IF($B1197=0,0,IF(Inputs!$B$9="",0,COUNTIFS(Data!$M$10:$M$3209,"&gt;="&amp;$A1197,Data!$M$10:$M$3209,"&lt;"&amp;$A1197+1)))</f>
        <v/>
      </c>
      <c r="AH1197">
        <f>IF($B1197=0,0,IF(Inputs!$B$10="",0,COUNTIFS(Data!$Q$10:$Q$3209,"&gt;="&amp;$A1197,Data!$Q$10:$Q$3209,"&lt;"&amp;$A1197+1)))</f>
        <v/>
      </c>
    </row>
    <row r="1198">
      <c r="A1198" s="55">
        <f>MIN(Inputs!$C$15,$A1197+IF(WEEKDAY($A1197,2)=5,3,1))</f>
        <v/>
      </c>
      <c r="B1198">
        <f>IF($A1198&gt;$A1197,1,0)</f>
        <v/>
      </c>
      <c r="C1198" s="56">
        <f>IF($B1198=0,"",IF(Inputs!$B$6="","",IF($AD1198=0,C1197,SUMIFS(Data!$B$10:$B$3209,Data!$A$10:$A$3209,"&gt;="&amp;$A1198,Data!$A$10:$A$3209,"&lt;"&amp;$A1198+1)/$AD1198)))</f>
        <v/>
      </c>
      <c r="D1198" s="56">
        <f>IF($B1198=0,"",IF(Inputs!$B$7="","",IF($AE1198=0,D1197,SUMIFS(Data!$F$10:$F$3209,Data!$E$10:$E$3209,"&gt;="&amp;$A1198,Data!$E$10:$E$3209,"&lt;"&amp;$A1198+1)/$AE1198)))</f>
        <v/>
      </c>
      <c r="E1198" s="56">
        <f>IF($B1198=0,"",IF(Inputs!$B$8="","",IF($AF1198=0,E1197,SUMIFS(Data!$J$10:$J$3209,Data!$I$10:$I$3209,"&gt;="&amp;$A1198,Data!$I$10:$I$3209,"&lt;"&amp;$A1198+1)/$AF1198)))</f>
        <v/>
      </c>
      <c r="F1198" s="56">
        <f>IF($B1198=0,"",IF(Inputs!$B$9="","",IF($AG1198=0,F1197,SUMIFS(Data!$N$10:$N$3209,Data!$M$10:$M$3209,"&gt;="&amp;$A1198,Data!$M$10:$M$3209,"&lt;"&amp;$A1198+1)/$AG1198)))</f>
        <v/>
      </c>
      <c r="G1198" s="56">
        <f>IF($B1198=0,"",IF(Inputs!$B$10="","",IF($AH1198=0,G1197,SUMIFS(Data!$R$10:$R$3209,Data!$Q$10:$Q$3209,"&gt;="&amp;$A1198,Data!$Q$10:$Q$3209,"&lt;"&amp;$A1198+1)/$AH1198)))</f>
        <v/>
      </c>
      <c r="I1198" s="54">
        <f>IF($B1198=0,NA(),IF($C1198="",NA(),IF(C$8="",NA(),IF(N(C$8)=0,NA(),IF(Inputs!$C$17="Rebased to 100",$C1198/C$8*100,$C1198)))))</f>
        <v/>
      </c>
      <c r="J1198" s="54">
        <f>IF($B1198=0,NA(),IF($D1198="",NA(),IF(D$8="",NA(),IF(N(D$8)=0,NA(),IF(Inputs!$C$17="Rebased to 100",$D1198/D$8*100,$D1198)))))</f>
        <v/>
      </c>
      <c r="K1198" s="54">
        <f>IF($B1198=0,NA(),IF($E1198="",NA(),IF(E$8="",NA(),IF(N(E$8)=0,NA(),IF(Inputs!$C$17="Rebased to 100",$E1198/E$8*100,$E1198)))))</f>
        <v/>
      </c>
      <c r="L1198" s="54">
        <f>IF($B1198=0,NA(),IF($F1198="",NA(),IF(F$8="",NA(),IF(N(F$8)=0,NA(),IF(Inputs!$C$17="Rebased to 100",$F1198/F$8*100,$F1198)))))</f>
        <v/>
      </c>
      <c r="M1198" s="54">
        <f>IF($B1198=0,NA(),IF($G1198="",NA(),IF(G$8="",NA(),IF(N(G$8)=0,NA(),IF(Inputs!$C$17="Rebased to 100",$G1198/G$8*100,$G1198)))))</f>
        <v/>
      </c>
      <c r="N1198" s="54">
        <f>IF($B1198=0,NA(),IF(Inputs!$C$18&lt;&gt;"Yes",NA(),IF(COUNT(I1198,J1198,K1198,L1198,M1198)=0,NA(),MIN(I1198,J1198,K1198,L1198,M1198))))</f>
        <v/>
      </c>
      <c r="O1198" s="54">
        <f>IF($B1198=0,NA(),IF(Inputs!$B$24&lt;&gt;"Yes",NA(),Inputs!$D$24*Inputs!$C$35))</f>
        <v/>
      </c>
      <c r="P1198" s="54">
        <f>IF($B1198=0,NA(),IF(Inputs!$B$25&lt;&gt;"Yes",NA(),Inputs!$D$25*Inputs!$C$35))</f>
        <v/>
      </c>
      <c r="Q1198" s="54">
        <f>IF($B1198=0,NA(),IF(Inputs!$B$26&lt;&gt;"Yes",NA(),Inputs!$D$26*Inputs!$C$35))</f>
        <v/>
      </c>
      <c r="R1198" s="54">
        <f>IF($B1198=0,NA(),IF(Inputs!$B$27&lt;&gt;"Yes",NA(),Inputs!$D$27*Inputs!$C$35))</f>
        <v/>
      </c>
      <c r="S1198" s="54">
        <f>IF($B1198=0,NA(),IF(Inputs!$B$28&lt;&gt;"Yes",NA(),Inputs!$D$28*Inputs!$C$35))</f>
        <v/>
      </c>
      <c r="T1198" s="54">
        <f>IF($B1198=0,NA(),IF(Inputs!$B$29&lt;&gt;"Yes",NA(),Inputs!$D$29*Inputs!$C$35))</f>
        <v/>
      </c>
      <c r="AD1198">
        <f>IF($B1198=0,0,IF(Inputs!$B$6="",0,COUNTIFS(Data!$A$10:$A$3209,"&gt;="&amp;$A1198,Data!$A$10:$A$3209,"&lt;"&amp;$A1198+1)))</f>
        <v/>
      </c>
      <c r="AE1198">
        <f>IF($B1198=0,0,IF(Inputs!$B$7="",0,COUNTIFS(Data!$E$10:$E$3209,"&gt;="&amp;$A1198,Data!$E$10:$E$3209,"&lt;"&amp;$A1198+1)))</f>
        <v/>
      </c>
      <c r="AF1198">
        <f>IF($B1198=0,0,IF(Inputs!$B$8="",0,COUNTIFS(Data!$I$10:$I$3209,"&gt;="&amp;$A1198,Data!$I$10:$I$3209,"&lt;"&amp;$A1198+1)))</f>
        <v/>
      </c>
      <c r="AG1198">
        <f>IF($B1198=0,0,IF(Inputs!$B$9="",0,COUNTIFS(Data!$M$10:$M$3209,"&gt;="&amp;$A1198,Data!$M$10:$M$3209,"&lt;"&amp;$A1198+1)))</f>
        <v/>
      </c>
      <c r="AH1198">
        <f>IF($B1198=0,0,IF(Inputs!$B$10="",0,COUNTIFS(Data!$Q$10:$Q$3209,"&gt;="&amp;$A1198,Data!$Q$10:$Q$3209,"&lt;"&amp;$A1198+1)))</f>
        <v/>
      </c>
    </row>
    <row r="1199">
      <c r="A1199" s="55">
        <f>MIN(Inputs!$C$15,$A1198+IF(WEEKDAY($A1198,2)=5,3,1))</f>
        <v/>
      </c>
      <c r="B1199">
        <f>IF($A1199&gt;$A1198,1,0)</f>
        <v/>
      </c>
      <c r="C1199" s="56">
        <f>IF($B1199=0,"",IF(Inputs!$B$6="","",IF($AD1199=0,C1198,SUMIFS(Data!$B$10:$B$3209,Data!$A$10:$A$3209,"&gt;="&amp;$A1199,Data!$A$10:$A$3209,"&lt;"&amp;$A1199+1)/$AD1199)))</f>
        <v/>
      </c>
      <c r="D1199" s="56">
        <f>IF($B1199=0,"",IF(Inputs!$B$7="","",IF($AE1199=0,D1198,SUMIFS(Data!$F$10:$F$3209,Data!$E$10:$E$3209,"&gt;="&amp;$A1199,Data!$E$10:$E$3209,"&lt;"&amp;$A1199+1)/$AE1199)))</f>
        <v/>
      </c>
      <c r="E1199" s="56">
        <f>IF($B1199=0,"",IF(Inputs!$B$8="","",IF($AF1199=0,E1198,SUMIFS(Data!$J$10:$J$3209,Data!$I$10:$I$3209,"&gt;="&amp;$A1199,Data!$I$10:$I$3209,"&lt;"&amp;$A1199+1)/$AF1199)))</f>
        <v/>
      </c>
      <c r="F1199" s="56">
        <f>IF($B1199=0,"",IF(Inputs!$B$9="","",IF($AG1199=0,F1198,SUMIFS(Data!$N$10:$N$3209,Data!$M$10:$M$3209,"&gt;="&amp;$A1199,Data!$M$10:$M$3209,"&lt;"&amp;$A1199+1)/$AG1199)))</f>
        <v/>
      </c>
      <c r="G1199" s="56">
        <f>IF($B1199=0,"",IF(Inputs!$B$10="","",IF($AH1199=0,G1198,SUMIFS(Data!$R$10:$R$3209,Data!$Q$10:$Q$3209,"&gt;="&amp;$A1199,Data!$Q$10:$Q$3209,"&lt;"&amp;$A1199+1)/$AH1199)))</f>
        <v/>
      </c>
      <c r="I1199" s="54">
        <f>IF($B1199=0,NA(),IF($C1199="",NA(),IF(C$8="",NA(),IF(N(C$8)=0,NA(),IF(Inputs!$C$17="Rebased to 100",$C1199/C$8*100,$C1199)))))</f>
        <v/>
      </c>
      <c r="J1199" s="54">
        <f>IF($B1199=0,NA(),IF($D1199="",NA(),IF(D$8="",NA(),IF(N(D$8)=0,NA(),IF(Inputs!$C$17="Rebased to 100",$D1199/D$8*100,$D1199)))))</f>
        <v/>
      </c>
      <c r="K1199" s="54">
        <f>IF($B1199=0,NA(),IF($E1199="",NA(),IF(E$8="",NA(),IF(N(E$8)=0,NA(),IF(Inputs!$C$17="Rebased to 100",$E1199/E$8*100,$E1199)))))</f>
        <v/>
      </c>
      <c r="L1199" s="54">
        <f>IF($B1199=0,NA(),IF($F1199="",NA(),IF(F$8="",NA(),IF(N(F$8)=0,NA(),IF(Inputs!$C$17="Rebased to 100",$F1199/F$8*100,$F1199)))))</f>
        <v/>
      </c>
      <c r="M1199" s="54">
        <f>IF($B1199=0,NA(),IF($G1199="",NA(),IF(G$8="",NA(),IF(N(G$8)=0,NA(),IF(Inputs!$C$17="Rebased to 100",$G1199/G$8*100,$G1199)))))</f>
        <v/>
      </c>
      <c r="N1199" s="54">
        <f>IF($B1199=0,NA(),IF(Inputs!$C$18&lt;&gt;"Yes",NA(),IF(COUNT(I1199,J1199,K1199,L1199,M1199)=0,NA(),MIN(I1199,J1199,K1199,L1199,M1199))))</f>
        <v/>
      </c>
      <c r="O1199" s="54">
        <f>IF($B1199=0,NA(),IF(Inputs!$B$24&lt;&gt;"Yes",NA(),Inputs!$D$24*Inputs!$C$35))</f>
        <v/>
      </c>
      <c r="P1199" s="54">
        <f>IF($B1199=0,NA(),IF(Inputs!$B$25&lt;&gt;"Yes",NA(),Inputs!$D$25*Inputs!$C$35))</f>
        <v/>
      </c>
      <c r="Q1199" s="54">
        <f>IF($B1199=0,NA(),IF(Inputs!$B$26&lt;&gt;"Yes",NA(),Inputs!$D$26*Inputs!$C$35))</f>
        <v/>
      </c>
      <c r="R1199" s="54">
        <f>IF($B1199=0,NA(),IF(Inputs!$B$27&lt;&gt;"Yes",NA(),Inputs!$D$27*Inputs!$C$35))</f>
        <v/>
      </c>
      <c r="S1199" s="54">
        <f>IF($B1199=0,NA(),IF(Inputs!$B$28&lt;&gt;"Yes",NA(),Inputs!$D$28*Inputs!$C$35))</f>
        <v/>
      </c>
      <c r="T1199" s="54">
        <f>IF($B1199=0,NA(),IF(Inputs!$B$29&lt;&gt;"Yes",NA(),Inputs!$D$29*Inputs!$C$35))</f>
        <v/>
      </c>
      <c r="AD1199">
        <f>IF($B1199=0,0,IF(Inputs!$B$6="",0,COUNTIFS(Data!$A$10:$A$3209,"&gt;="&amp;$A1199,Data!$A$10:$A$3209,"&lt;"&amp;$A1199+1)))</f>
        <v/>
      </c>
      <c r="AE1199">
        <f>IF($B1199=0,0,IF(Inputs!$B$7="",0,COUNTIFS(Data!$E$10:$E$3209,"&gt;="&amp;$A1199,Data!$E$10:$E$3209,"&lt;"&amp;$A1199+1)))</f>
        <v/>
      </c>
      <c r="AF1199">
        <f>IF($B1199=0,0,IF(Inputs!$B$8="",0,COUNTIFS(Data!$I$10:$I$3209,"&gt;="&amp;$A1199,Data!$I$10:$I$3209,"&lt;"&amp;$A1199+1)))</f>
        <v/>
      </c>
      <c r="AG1199">
        <f>IF($B1199=0,0,IF(Inputs!$B$9="",0,COUNTIFS(Data!$M$10:$M$3209,"&gt;="&amp;$A1199,Data!$M$10:$M$3209,"&lt;"&amp;$A1199+1)))</f>
        <v/>
      </c>
      <c r="AH1199">
        <f>IF($B1199=0,0,IF(Inputs!$B$10="",0,COUNTIFS(Data!$Q$10:$Q$3209,"&gt;="&amp;$A1199,Data!$Q$10:$Q$3209,"&lt;"&amp;$A1199+1)))</f>
        <v/>
      </c>
    </row>
    <row r="1200">
      <c r="A1200" s="55">
        <f>MIN(Inputs!$C$15,$A1199+IF(WEEKDAY($A1199,2)=5,3,1))</f>
        <v/>
      </c>
      <c r="B1200">
        <f>IF($A1200&gt;$A1199,1,0)</f>
        <v/>
      </c>
      <c r="C1200" s="56">
        <f>IF($B1200=0,"",IF(Inputs!$B$6="","",IF($AD1200=0,C1199,SUMIFS(Data!$B$10:$B$3209,Data!$A$10:$A$3209,"&gt;="&amp;$A1200,Data!$A$10:$A$3209,"&lt;"&amp;$A1200+1)/$AD1200)))</f>
        <v/>
      </c>
      <c r="D1200" s="56">
        <f>IF($B1200=0,"",IF(Inputs!$B$7="","",IF($AE1200=0,D1199,SUMIFS(Data!$F$10:$F$3209,Data!$E$10:$E$3209,"&gt;="&amp;$A1200,Data!$E$10:$E$3209,"&lt;"&amp;$A1200+1)/$AE1200)))</f>
        <v/>
      </c>
      <c r="E1200" s="56">
        <f>IF($B1200=0,"",IF(Inputs!$B$8="","",IF($AF1200=0,E1199,SUMIFS(Data!$J$10:$J$3209,Data!$I$10:$I$3209,"&gt;="&amp;$A1200,Data!$I$10:$I$3209,"&lt;"&amp;$A1200+1)/$AF1200)))</f>
        <v/>
      </c>
      <c r="F1200" s="56">
        <f>IF($B1200=0,"",IF(Inputs!$B$9="","",IF($AG1200=0,F1199,SUMIFS(Data!$N$10:$N$3209,Data!$M$10:$M$3209,"&gt;="&amp;$A1200,Data!$M$10:$M$3209,"&lt;"&amp;$A1200+1)/$AG1200)))</f>
        <v/>
      </c>
      <c r="G1200" s="56">
        <f>IF($B1200=0,"",IF(Inputs!$B$10="","",IF($AH1200=0,G1199,SUMIFS(Data!$R$10:$R$3209,Data!$Q$10:$Q$3209,"&gt;="&amp;$A1200,Data!$Q$10:$Q$3209,"&lt;"&amp;$A1200+1)/$AH1200)))</f>
        <v/>
      </c>
      <c r="I1200" s="54">
        <f>IF($B1200=0,NA(),IF($C1200="",NA(),IF(C$8="",NA(),IF(N(C$8)=0,NA(),IF(Inputs!$C$17="Rebased to 100",$C1200/C$8*100,$C1200)))))</f>
        <v/>
      </c>
      <c r="J1200" s="54">
        <f>IF($B1200=0,NA(),IF($D1200="",NA(),IF(D$8="",NA(),IF(N(D$8)=0,NA(),IF(Inputs!$C$17="Rebased to 100",$D1200/D$8*100,$D1200)))))</f>
        <v/>
      </c>
      <c r="K1200" s="54">
        <f>IF($B1200=0,NA(),IF($E1200="",NA(),IF(E$8="",NA(),IF(N(E$8)=0,NA(),IF(Inputs!$C$17="Rebased to 100",$E1200/E$8*100,$E1200)))))</f>
        <v/>
      </c>
      <c r="L1200" s="54">
        <f>IF($B1200=0,NA(),IF($F1200="",NA(),IF(F$8="",NA(),IF(N(F$8)=0,NA(),IF(Inputs!$C$17="Rebased to 100",$F1200/F$8*100,$F1200)))))</f>
        <v/>
      </c>
      <c r="M1200" s="54">
        <f>IF($B1200=0,NA(),IF($G1200="",NA(),IF(G$8="",NA(),IF(N(G$8)=0,NA(),IF(Inputs!$C$17="Rebased to 100",$G1200/G$8*100,$G1200)))))</f>
        <v/>
      </c>
      <c r="N1200" s="54">
        <f>IF($B1200=0,NA(),IF(Inputs!$C$18&lt;&gt;"Yes",NA(),IF(COUNT(I1200,J1200,K1200,L1200,M1200)=0,NA(),MIN(I1200,J1200,K1200,L1200,M1200))))</f>
        <v/>
      </c>
      <c r="O1200" s="54">
        <f>IF($B1200=0,NA(),IF(Inputs!$B$24&lt;&gt;"Yes",NA(),Inputs!$D$24*Inputs!$C$35))</f>
        <v/>
      </c>
      <c r="P1200" s="54">
        <f>IF($B1200=0,NA(),IF(Inputs!$B$25&lt;&gt;"Yes",NA(),Inputs!$D$25*Inputs!$C$35))</f>
        <v/>
      </c>
      <c r="Q1200" s="54">
        <f>IF($B1200=0,NA(),IF(Inputs!$B$26&lt;&gt;"Yes",NA(),Inputs!$D$26*Inputs!$C$35))</f>
        <v/>
      </c>
      <c r="R1200" s="54">
        <f>IF($B1200=0,NA(),IF(Inputs!$B$27&lt;&gt;"Yes",NA(),Inputs!$D$27*Inputs!$C$35))</f>
        <v/>
      </c>
      <c r="S1200" s="54">
        <f>IF($B1200=0,NA(),IF(Inputs!$B$28&lt;&gt;"Yes",NA(),Inputs!$D$28*Inputs!$C$35))</f>
        <v/>
      </c>
      <c r="T1200" s="54">
        <f>IF($B1200=0,NA(),IF(Inputs!$B$29&lt;&gt;"Yes",NA(),Inputs!$D$29*Inputs!$C$35))</f>
        <v/>
      </c>
      <c r="AD1200">
        <f>IF($B1200=0,0,IF(Inputs!$B$6="",0,COUNTIFS(Data!$A$10:$A$3209,"&gt;="&amp;$A1200,Data!$A$10:$A$3209,"&lt;"&amp;$A1200+1)))</f>
        <v/>
      </c>
      <c r="AE1200">
        <f>IF($B1200=0,0,IF(Inputs!$B$7="",0,COUNTIFS(Data!$E$10:$E$3209,"&gt;="&amp;$A1200,Data!$E$10:$E$3209,"&lt;"&amp;$A1200+1)))</f>
        <v/>
      </c>
      <c r="AF1200">
        <f>IF($B1200=0,0,IF(Inputs!$B$8="",0,COUNTIFS(Data!$I$10:$I$3209,"&gt;="&amp;$A1200,Data!$I$10:$I$3209,"&lt;"&amp;$A1200+1)))</f>
        <v/>
      </c>
      <c r="AG1200">
        <f>IF($B1200=0,0,IF(Inputs!$B$9="",0,COUNTIFS(Data!$M$10:$M$3209,"&gt;="&amp;$A1200,Data!$M$10:$M$3209,"&lt;"&amp;$A1200+1)))</f>
        <v/>
      </c>
      <c r="AH1200">
        <f>IF($B1200=0,0,IF(Inputs!$B$10="",0,COUNTIFS(Data!$Q$10:$Q$3209,"&gt;="&amp;$A1200,Data!$Q$10:$Q$3209,"&lt;"&amp;$A1200+1)))</f>
        <v/>
      </c>
    </row>
    <row r="1201">
      <c r="A1201" s="55">
        <f>MIN(Inputs!$C$15,$A1200+IF(WEEKDAY($A1200,2)=5,3,1))</f>
        <v/>
      </c>
      <c r="B1201">
        <f>IF($A1201&gt;$A1200,1,0)</f>
        <v/>
      </c>
      <c r="C1201" s="56">
        <f>IF($B1201=0,"",IF(Inputs!$B$6="","",IF($AD1201=0,C1200,SUMIFS(Data!$B$10:$B$3209,Data!$A$10:$A$3209,"&gt;="&amp;$A1201,Data!$A$10:$A$3209,"&lt;"&amp;$A1201+1)/$AD1201)))</f>
        <v/>
      </c>
      <c r="D1201" s="56">
        <f>IF($B1201=0,"",IF(Inputs!$B$7="","",IF($AE1201=0,D1200,SUMIFS(Data!$F$10:$F$3209,Data!$E$10:$E$3209,"&gt;="&amp;$A1201,Data!$E$10:$E$3209,"&lt;"&amp;$A1201+1)/$AE1201)))</f>
        <v/>
      </c>
      <c r="E1201" s="56">
        <f>IF($B1201=0,"",IF(Inputs!$B$8="","",IF($AF1201=0,E1200,SUMIFS(Data!$J$10:$J$3209,Data!$I$10:$I$3209,"&gt;="&amp;$A1201,Data!$I$10:$I$3209,"&lt;"&amp;$A1201+1)/$AF1201)))</f>
        <v/>
      </c>
      <c r="F1201" s="56">
        <f>IF($B1201=0,"",IF(Inputs!$B$9="","",IF($AG1201=0,F1200,SUMIFS(Data!$N$10:$N$3209,Data!$M$10:$M$3209,"&gt;="&amp;$A1201,Data!$M$10:$M$3209,"&lt;"&amp;$A1201+1)/$AG1201)))</f>
        <v/>
      </c>
      <c r="G1201" s="56">
        <f>IF($B1201=0,"",IF(Inputs!$B$10="","",IF($AH1201=0,G1200,SUMIFS(Data!$R$10:$R$3209,Data!$Q$10:$Q$3209,"&gt;="&amp;$A1201,Data!$Q$10:$Q$3209,"&lt;"&amp;$A1201+1)/$AH1201)))</f>
        <v/>
      </c>
      <c r="I1201" s="54">
        <f>IF($B1201=0,NA(),IF($C1201="",NA(),IF(C$8="",NA(),IF(N(C$8)=0,NA(),IF(Inputs!$C$17="Rebased to 100",$C1201/C$8*100,$C1201)))))</f>
        <v/>
      </c>
      <c r="J1201" s="54">
        <f>IF($B1201=0,NA(),IF($D1201="",NA(),IF(D$8="",NA(),IF(N(D$8)=0,NA(),IF(Inputs!$C$17="Rebased to 100",$D1201/D$8*100,$D1201)))))</f>
        <v/>
      </c>
      <c r="K1201" s="54">
        <f>IF($B1201=0,NA(),IF($E1201="",NA(),IF(E$8="",NA(),IF(N(E$8)=0,NA(),IF(Inputs!$C$17="Rebased to 100",$E1201/E$8*100,$E1201)))))</f>
        <v/>
      </c>
      <c r="L1201" s="54">
        <f>IF($B1201=0,NA(),IF($F1201="",NA(),IF(F$8="",NA(),IF(N(F$8)=0,NA(),IF(Inputs!$C$17="Rebased to 100",$F1201/F$8*100,$F1201)))))</f>
        <v/>
      </c>
      <c r="M1201" s="54">
        <f>IF($B1201=0,NA(),IF($G1201="",NA(),IF(G$8="",NA(),IF(N(G$8)=0,NA(),IF(Inputs!$C$17="Rebased to 100",$G1201/G$8*100,$G1201)))))</f>
        <v/>
      </c>
      <c r="N1201" s="54">
        <f>IF($B1201=0,NA(),IF(Inputs!$C$18&lt;&gt;"Yes",NA(),IF(COUNT(I1201,J1201,K1201,L1201,M1201)=0,NA(),MIN(I1201,J1201,K1201,L1201,M1201))))</f>
        <v/>
      </c>
      <c r="O1201" s="54">
        <f>IF($B1201=0,NA(),IF(Inputs!$B$24&lt;&gt;"Yes",NA(),Inputs!$D$24*Inputs!$C$35))</f>
        <v/>
      </c>
      <c r="P1201" s="54">
        <f>IF($B1201=0,NA(),IF(Inputs!$B$25&lt;&gt;"Yes",NA(),Inputs!$D$25*Inputs!$C$35))</f>
        <v/>
      </c>
      <c r="Q1201" s="54">
        <f>IF($B1201=0,NA(),IF(Inputs!$B$26&lt;&gt;"Yes",NA(),Inputs!$D$26*Inputs!$C$35))</f>
        <v/>
      </c>
      <c r="R1201" s="54">
        <f>IF($B1201=0,NA(),IF(Inputs!$B$27&lt;&gt;"Yes",NA(),Inputs!$D$27*Inputs!$C$35))</f>
        <v/>
      </c>
      <c r="S1201" s="54">
        <f>IF($B1201=0,NA(),IF(Inputs!$B$28&lt;&gt;"Yes",NA(),Inputs!$D$28*Inputs!$C$35))</f>
        <v/>
      </c>
      <c r="T1201" s="54">
        <f>IF($B1201=0,NA(),IF(Inputs!$B$29&lt;&gt;"Yes",NA(),Inputs!$D$29*Inputs!$C$35))</f>
        <v/>
      </c>
      <c r="AD1201">
        <f>IF($B1201=0,0,IF(Inputs!$B$6="",0,COUNTIFS(Data!$A$10:$A$3209,"&gt;="&amp;$A1201,Data!$A$10:$A$3209,"&lt;"&amp;$A1201+1)))</f>
        <v/>
      </c>
      <c r="AE1201">
        <f>IF($B1201=0,0,IF(Inputs!$B$7="",0,COUNTIFS(Data!$E$10:$E$3209,"&gt;="&amp;$A1201,Data!$E$10:$E$3209,"&lt;"&amp;$A1201+1)))</f>
        <v/>
      </c>
      <c r="AF1201">
        <f>IF($B1201=0,0,IF(Inputs!$B$8="",0,COUNTIFS(Data!$I$10:$I$3209,"&gt;="&amp;$A1201,Data!$I$10:$I$3209,"&lt;"&amp;$A1201+1)))</f>
        <v/>
      </c>
      <c r="AG1201">
        <f>IF($B1201=0,0,IF(Inputs!$B$9="",0,COUNTIFS(Data!$M$10:$M$3209,"&gt;="&amp;$A1201,Data!$M$10:$M$3209,"&lt;"&amp;$A1201+1)))</f>
        <v/>
      </c>
      <c r="AH1201">
        <f>IF($B1201=0,0,IF(Inputs!$B$10="",0,COUNTIFS(Data!$Q$10:$Q$3209,"&gt;="&amp;$A1201,Data!$Q$10:$Q$3209,"&lt;"&amp;$A1201+1)))</f>
        <v/>
      </c>
    </row>
    <row r="1202">
      <c r="A1202" s="55">
        <f>MIN(Inputs!$C$15,$A1201+IF(WEEKDAY($A1201,2)=5,3,1))</f>
        <v/>
      </c>
      <c r="B1202">
        <f>IF($A1202&gt;$A1201,1,0)</f>
        <v/>
      </c>
      <c r="C1202" s="56">
        <f>IF($B1202=0,"",IF(Inputs!$B$6="","",IF($AD1202=0,C1201,SUMIFS(Data!$B$10:$B$3209,Data!$A$10:$A$3209,"&gt;="&amp;$A1202,Data!$A$10:$A$3209,"&lt;"&amp;$A1202+1)/$AD1202)))</f>
        <v/>
      </c>
      <c r="D1202" s="56">
        <f>IF($B1202=0,"",IF(Inputs!$B$7="","",IF($AE1202=0,D1201,SUMIFS(Data!$F$10:$F$3209,Data!$E$10:$E$3209,"&gt;="&amp;$A1202,Data!$E$10:$E$3209,"&lt;"&amp;$A1202+1)/$AE1202)))</f>
        <v/>
      </c>
      <c r="E1202" s="56">
        <f>IF($B1202=0,"",IF(Inputs!$B$8="","",IF($AF1202=0,E1201,SUMIFS(Data!$J$10:$J$3209,Data!$I$10:$I$3209,"&gt;="&amp;$A1202,Data!$I$10:$I$3209,"&lt;"&amp;$A1202+1)/$AF1202)))</f>
        <v/>
      </c>
      <c r="F1202" s="56">
        <f>IF($B1202=0,"",IF(Inputs!$B$9="","",IF($AG1202=0,F1201,SUMIFS(Data!$N$10:$N$3209,Data!$M$10:$M$3209,"&gt;="&amp;$A1202,Data!$M$10:$M$3209,"&lt;"&amp;$A1202+1)/$AG1202)))</f>
        <v/>
      </c>
      <c r="G1202" s="56">
        <f>IF($B1202=0,"",IF(Inputs!$B$10="","",IF($AH1202=0,G1201,SUMIFS(Data!$R$10:$R$3209,Data!$Q$10:$Q$3209,"&gt;="&amp;$A1202,Data!$Q$10:$Q$3209,"&lt;"&amp;$A1202+1)/$AH1202)))</f>
        <v/>
      </c>
      <c r="I1202" s="54">
        <f>IF($B1202=0,NA(),IF($C1202="",NA(),IF(C$8="",NA(),IF(N(C$8)=0,NA(),IF(Inputs!$C$17="Rebased to 100",$C1202/C$8*100,$C1202)))))</f>
        <v/>
      </c>
      <c r="J1202" s="54">
        <f>IF($B1202=0,NA(),IF($D1202="",NA(),IF(D$8="",NA(),IF(N(D$8)=0,NA(),IF(Inputs!$C$17="Rebased to 100",$D1202/D$8*100,$D1202)))))</f>
        <v/>
      </c>
      <c r="K1202" s="54">
        <f>IF($B1202=0,NA(),IF($E1202="",NA(),IF(E$8="",NA(),IF(N(E$8)=0,NA(),IF(Inputs!$C$17="Rebased to 100",$E1202/E$8*100,$E1202)))))</f>
        <v/>
      </c>
      <c r="L1202" s="54">
        <f>IF($B1202=0,NA(),IF($F1202="",NA(),IF(F$8="",NA(),IF(N(F$8)=0,NA(),IF(Inputs!$C$17="Rebased to 100",$F1202/F$8*100,$F1202)))))</f>
        <v/>
      </c>
      <c r="M1202" s="54">
        <f>IF($B1202=0,NA(),IF($G1202="",NA(),IF(G$8="",NA(),IF(N(G$8)=0,NA(),IF(Inputs!$C$17="Rebased to 100",$G1202/G$8*100,$G1202)))))</f>
        <v/>
      </c>
      <c r="N1202" s="54">
        <f>IF($B1202=0,NA(),IF(Inputs!$C$18&lt;&gt;"Yes",NA(),IF(COUNT(I1202,J1202,K1202,L1202,M1202)=0,NA(),MIN(I1202,J1202,K1202,L1202,M1202))))</f>
        <v/>
      </c>
      <c r="O1202" s="54">
        <f>IF($B1202=0,NA(),IF(Inputs!$B$24&lt;&gt;"Yes",NA(),Inputs!$D$24*Inputs!$C$35))</f>
        <v/>
      </c>
      <c r="P1202" s="54">
        <f>IF($B1202=0,NA(),IF(Inputs!$B$25&lt;&gt;"Yes",NA(),Inputs!$D$25*Inputs!$C$35))</f>
        <v/>
      </c>
      <c r="Q1202" s="54">
        <f>IF($B1202=0,NA(),IF(Inputs!$B$26&lt;&gt;"Yes",NA(),Inputs!$D$26*Inputs!$C$35))</f>
        <v/>
      </c>
      <c r="R1202" s="54">
        <f>IF($B1202=0,NA(),IF(Inputs!$B$27&lt;&gt;"Yes",NA(),Inputs!$D$27*Inputs!$C$35))</f>
        <v/>
      </c>
      <c r="S1202" s="54">
        <f>IF($B1202=0,NA(),IF(Inputs!$B$28&lt;&gt;"Yes",NA(),Inputs!$D$28*Inputs!$C$35))</f>
        <v/>
      </c>
      <c r="T1202" s="54">
        <f>IF($B1202=0,NA(),IF(Inputs!$B$29&lt;&gt;"Yes",NA(),Inputs!$D$29*Inputs!$C$35))</f>
        <v/>
      </c>
      <c r="AD1202">
        <f>IF($B1202=0,0,IF(Inputs!$B$6="",0,COUNTIFS(Data!$A$10:$A$3209,"&gt;="&amp;$A1202,Data!$A$10:$A$3209,"&lt;"&amp;$A1202+1)))</f>
        <v/>
      </c>
      <c r="AE1202">
        <f>IF($B1202=0,0,IF(Inputs!$B$7="",0,COUNTIFS(Data!$E$10:$E$3209,"&gt;="&amp;$A1202,Data!$E$10:$E$3209,"&lt;"&amp;$A1202+1)))</f>
        <v/>
      </c>
      <c r="AF1202">
        <f>IF($B1202=0,0,IF(Inputs!$B$8="",0,COUNTIFS(Data!$I$10:$I$3209,"&gt;="&amp;$A1202,Data!$I$10:$I$3209,"&lt;"&amp;$A1202+1)))</f>
        <v/>
      </c>
      <c r="AG1202">
        <f>IF($B1202=0,0,IF(Inputs!$B$9="",0,COUNTIFS(Data!$M$10:$M$3209,"&gt;="&amp;$A1202,Data!$M$10:$M$3209,"&lt;"&amp;$A1202+1)))</f>
        <v/>
      </c>
      <c r="AH1202">
        <f>IF($B1202=0,0,IF(Inputs!$B$10="",0,COUNTIFS(Data!$Q$10:$Q$3209,"&gt;="&amp;$A1202,Data!$Q$10:$Q$3209,"&lt;"&amp;$A1202+1)))</f>
        <v/>
      </c>
    </row>
    <row r="1203">
      <c r="A1203" s="55">
        <f>MIN(Inputs!$C$15,$A1202+IF(WEEKDAY($A1202,2)=5,3,1))</f>
        <v/>
      </c>
      <c r="B1203">
        <f>IF($A1203&gt;$A1202,1,0)</f>
        <v/>
      </c>
      <c r="C1203" s="56">
        <f>IF($B1203=0,"",IF(Inputs!$B$6="","",IF($AD1203=0,C1202,SUMIFS(Data!$B$10:$B$3209,Data!$A$10:$A$3209,"&gt;="&amp;$A1203,Data!$A$10:$A$3209,"&lt;"&amp;$A1203+1)/$AD1203)))</f>
        <v/>
      </c>
      <c r="D1203" s="56">
        <f>IF($B1203=0,"",IF(Inputs!$B$7="","",IF($AE1203=0,D1202,SUMIFS(Data!$F$10:$F$3209,Data!$E$10:$E$3209,"&gt;="&amp;$A1203,Data!$E$10:$E$3209,"&lt;"&amp;$A1203+1)/$AE1203)))</f>
        <v/>
      </c>
      <c r="E1203" s="56">
        <f>IF($B1203=0,"",IF(Inputs!$B$8="","",IF($AF1203=0,E1202,SUMIFS(Data!$J$10:$J$3209,Data!$I$10:$I$3209,"&gt;="&amp;$A1203,Data!$I$10:$I$3209,"&lt;"&amp;$A1203+1)/$AF1203)))</f>
        <v/>
      </c>
      <c r="F1203" s="56">
        <f>IF($B1203=0,"",IF(Inputs!$B$9="","",IF($AG1203=0,F1202,SUMIFS(Data!$N$10:$N$3209,Data!$M$10:$M$3209,"&gt;="&amp;$A1203,Data!$M$10:$M$3209,"&lt;"&amp;$A1203+1)/$AG1203)))</f>
        <v/>
      </c>
      <c r="G1203" s="56">
        <f>IF($B1203=0,"",IF(Inputs!$B$10="","",IF($AH1203=0,G1202,SUMIFS(Data!$R$10:$R$3209,Data!$Q$10:$Q$3209,"&gt;="&amp;$A1203,Data!$Q$10:$Q$3209,"&lt;"&amp;$A1203+1)/$AH1203)))</f>
        <v/>
      </c>
      <c r="I1203" s="54">
        <f>IF($B1203=0,NA(),IF($C1203="",NA(),IF(C$8="",NA(),IF(N(C$8)=0,NA(),IF(Inputs!$C$17="Rebased to 100",$C1203/C$8*100,$C1203)))))</f>
        <v/>
      </c>
      <c r="J1203" s="54">
        <f>IF($B1203=0,NA(),IF($D1203="",NA(),IF(D$8="",NA(),IF(N(D$8)=0,NA(),IF(Inputs!$C$17="Rebased to 100",$D1203/D$8*100,$D1203)))))</f>
        <v/>
      </c>
      <c r="K1203" s="54">
        <f>IF($B1203=0,NA(),IF($E1203="",NA(),IF(E$8="",NA(),IF(N(E$8)=0,NA(),IF(Inputs!$C$17="Rebased to 100",$E1203/E$8*100,$E1203)))))</f>
        <v/>
      </c>
      <c r="L1203" s="54">
        <f>IF($B1203=0,NA(),IF($F1203="",NA(),IF(F$8="",NA(),IF(N(F$8)=0,NA(),IF(Inputs!$C$17="Rebased to 100",$F1203/F$8*100,$F1203)))))</f>
        <v/>
      </c>
      <c r="M1203" s="54">
        <f>IF($B1203=0,NA(),IF($G1203="",NA(),IF(G$8="",NA(),IF(N(G$8)=0,NA(),IF(Inputs!$C$17="Rebased to 100",$G1203/G$8*100,$G1203)))))</f>
        <v/>
      </c>
      <c r="N1203" s="54">
        <f>IF($B1203=0,NA(),IF(Inputs!$C$18&lt;&gt;"Yes",NA(),IF(COUNT(I1203,J1203,K1203,L1203,M1203)=0,NA(),MIN(I1203,J1203,K1203,L1203,M1203))))</f>
        <v/>
      </c>
      <c r="O1203" s="54">
        <f>IF($B1203=0,NA(),IF(Inputs!$B$24&lt;&gt;"Yes",NA(),Inputs!$D$24*Inputs!$C$35))</f>
        <v/>
      </c>
      <c r="P1203" s="54">
        <f>IF($B1203=0,NA(),IF(Inputs!$B$25&lt;&gt;"Yes",NA(),Inputs!$D$25*Inputs!$C$35))</f>
        <v/>
      </c>
      <c r="Q1203" s="54">
        <f>IF($B1203=0,NA(),IF(Inputs!$B$26&lt;&gt;"Yes",NA(),Inputs!$D$26*Inputs!$C$35))</f>
        <v/>
      </c>
      <c r="R1203" s="54">
        <f>IF($B1203=0,NA(),IF(Inputs!$B$27&lt;&gt;"Yes",NA(),Inputs!$D$27*Inputs!$C$35))</f>
        <v/>
      </c>
      <c r="S1203" s="54">
        <f>IF($B1203=0,NA(),IF(Inputs!$B$28&lt;&gt;"Yes",NA(),Inputs!$D$28*Inputs!$C$35))</f>
        <v/>
      </c>
      <c r="T1203" s="54">
        <f>IF($B1203=0,NA(),IF(Inputs!$B$29&lt;&gt;"Yes",NA(),Inputs!$D$29*Inputs!$C$35))</f>
        <v/>
      </c>
      <c r="AD1203">
        <f>IF($B1203=0,0,IF(Inputs!$B$6="",0,COUNTIFS(Data!$A$10:$A$3209,"&gt;="&amp;$A1203,Data!$A$10:$A$3209,"&lt;"&amp;$A1203+1)))</f>
        <v/>
      </c>
      <c r="AE1203">
        <f>IF($B1203=0,0,IF(Inputs!$B$7="",0,COUNTIFS(Data!$E$10:$E$3209,"&gt;="&amp;$A1203,Data!$E$10:$E$3209,"&lt;"&amp;$A1203+1)))</f>
        <v/>
      </c>
      <c r="AF1203">
        <f>IF($B1203=0,0,IF(Inputs!$B$8="",0,COUNTIFS(Data!$I$10:$I$3209,"&gt;="&amp;$A1203,Data!$I$10:$I$3209,"&lt;"&amp;$A1203+1)))</f>
        <v/>
      </c>
      <c r="AG1203">
        <f>IF($B1203=0,0,IF(Inputs!$B$9="",0,COUNTIFS(Data!$M$10:$M$3209,"&gt;="&amp;$A1203,Data!$M$10:$M$3209,"&lt;"&amp;$A1203+1)))</f>
        <v/>
      </c>
      <c r="AH1203">
        <f>IF($B1203=0,0,IF(Inputs!$B$10="",0,COUNTIFS(Data!$Q$10:$Q$3209,"&gt;="&amp;$A1203,Data!$Q$10:$Q$3209,"&lt;"&amp;$A1203+1)))</f>
        <v/>
      </c>
    </row>
    <row r="1204">
      <c r="A1204" s="55">
        <f>MIN(Inputs!$C$15,$A1203+IF(WEEKDAY($A1203,2)=5,3,1))</f>
        <v/>
      </c>
      <c r="B1204">
        <f>IF($A1204&gt;$A1203,1,0)</f>
        <v/>
      </c>
      <c r="C1204" s="56">
        <f>IF($B1204=0,"",IF(Inputs!$B$6="","",IF($AD1204=0,C1203,SUMIFS(Data!$B$10:$B$3209,Data!$A$10:$A$3209,"&gt;="&amp;$A1204,Data!$A$10:$A$3209,"&lt;"&amp;$A1204+1)/$AD1204)))</f>
        <v/>
      </c>
      <c r="D1204" s="56">
        <f>IF($B1204=0,"",IF(Inputs!$B$7="","",IF($AE1204=0,D1203,SUMIFS(Data!$F$10:$F$3209,Data!$E$10:$E$3209,"&gt;="&amp;$A1204,Data!$E$10:$E$3209,"&lt;"&amp;$A1204+1)/$AE1204)))</f>
        <v/>
      </c>
      <c r="E1204" s="56">
        <f>IF($B1204=0,"",IF(Inputs!$B$8="","",IF($AF1204=0,E1203,SUMIFS(Data!$J$10:$J$3209,Data!$I$10:$I$3209,"&gt;="&amp;$A1204,Data!$I$10:$I$3209,"&lt;"&amp;$A1204+1)/$AF1204)))</f>
        <v/>
      </c>
      <c r="F1204" s="56">
        <f>IF($B1204=0,"",IF(Inputs!$B$9="","",IF($AG1204=0,F1203,SUMIFS(Data!$N$10:$N$3209,Data!$M$10:$M$3209,"&gt;="&amp;$A1204,Data!$M$10:$M$3209,"&lt;"&amp;$A1204+1)/$AG1204)))</f>
        <v/>
      </c>
      <c r="G1204" s="56">
        <f>IF($B1204=0,"",IF(Inputs!$B$10="","",IF($AH1204=0,G1203,SUMIFS(Data!$R$10:$R$3209,Data!$Q$10:$Q$3209,"&gt;="&amp;$A1204,Data!$Q$10:$Q$3209,"&lt;"&amp;$A1204+1)/$AH1204)))</f>
        <v/>
      </c>
      <c r="I1204" s="54">
        <f>IF($B1204=0,NA(),IF($C1204="",NA(),IF(C$8="",NA(),IF(N(C$8)=0,NA(),IF(Inputs!$C$17="Rebased to 100",$C1204/C$8*100,$C1204)))))</f>
        <v/>
      </c>
      <c r="J1204" s="54">
        <f>IF($B1204=0,NA(),IF($D1204="",NA(),IF(D$8="",NA(),IF(N(D$8)=0,NA(),IF(Inputs!$C$17="Rebased to 100",$D1204/D$8*100,$D1204)))))</f>
        <v/>
      </c>
      <c r="K1204" s="54">
        <f>IF($B1204=0,NA(),IF($E1204="",NA(),IF(E$8="",NA(),IF(N(E$8)=0,NA(),IF(Inputs!$C$17="Rebased to 100",$E1204/E$8*100,$E1204)))))</f>
        <v/>
      </c>
      <c r="L1204" s="54">
        <f>IF($B1204=0,NA(),IF($F1204="",NA(),IF(F$8="",NA(),IF(N(F$8)=0,NA(),IF(Inputs!$C$17="Rebased to 100",$F1204/F$8*100,$F1204)))))</f>
        <v/>
      </c>
      <c r="M1204" s="54">
        <f>IF($B1204=0,NA(),IF($G1204="",NA(),IF(G$8="",NA(),IF(N(G$8)=0,NA(),IF(Inputs!$C$17="Rebased to 100",$G1204/G$8*100,$G1204)))))</f>
        <v/>
      </c>
      <c r="N1204" s="54">
        <f>IF($B1204=0,NA(),IF(Inputs!$C$18&lt;&gt;"Yes",NA(),IF(COUNT(I1204,J1204,K1204,L1204,M1204)=0,NA(),MIN(I1204,J1204,K1204,L1204,M1204))))</f>
        <v/>
      </c>
      <c r="O1204" s="54">
        <f>IF($B1204=0,NA(),IF(Inputs!$B$24&lt;&gt;"Yes",NA(),Inputs!$D$24*Inputs!$C$35))</f>
        <v/>
      </c>
      <c r="P1204" s="54">
        <f>IF($B1204=0,NA(),IF(Inputs!$B$25&lt;&gt;"Yes",NA(),Inputs!$D$25*Inputs!$C$35))</f>
        <v/>
      </c>
      <c r="Q1204" s="54">
        <f>IF($B1204=0,NA(),IF(Inputs!$B$26&lt;&gt;"Yes",NA(),Inputs!$D$26*Inputs!$C$35))</f>
        <v/>
      </c>
      <c r="R1204" s="54">
        <f>IF($B1204=0,NA(),IF(Inputs!$B$27&lt;&gt;"Yes",NA(),Inputs!$D$27*Inputs!$C$35))</f>
        <v/>
      </c>
      <c r="S1204" s="54">
        <f>IF($B1204=0,NA(),IF(Inputs!$B$28&lt;&gt;"Yes",NA(),Inputs!$D$28*Inputs!$C$35))</f>
        <v/>
      </c>
      <c r="T1204" s="54">
        <f>IF($B1204=0,NA(),IF(Inputs!$B$29&lt;&gt;"Yes",NA(),Inputs!$D$29*Inputs!$C$35))</f>
        <v/>
      </c>
      <c r="AD1204">
        <f>IF($B1204=0,0,IF(Inputs!$B$6="",0,COUNTIFS(Data!$A$10:$A$3209,"&gt;="&amp;$A1204,Data!$A$10:$A$3209,"&lt;"&amp;$A1204+1)))</f>
        <v/>
      </c>
      <c r="AE1204">
        <f>IF($B1204=0,0,IF(Inputs!$B$7="",0,COUNTIFS(Data!$E$10:$E$3209,"&gt;="&amp;$A1204,Data!$E$10:$E$3209,"&lt;"&amp;$A1204+1)))</f>
        <v/>
      </c>
      <c r="AF1204">
        <f>IF($B1204=0,0,IF(Inputs!$B$8="",0,COUNTIFS(Data!$I$10:$I$3209,"&gt;="&amp;$A1204,Data!$I$10:$I$3209,"&lt;"&amp;$A1204+1)))</f>
        <v/>
      </c>
      <c r="AG1204">
        <f>IF($B1204=0,0,IF(Inputs!$B$9="",0,COUNTIFS(Data!$M$10:$M$3209,"&gt;="&amp;$A1204,Data!$M$10:$M$3209,"&lt;"&amp;$A1204+1)))</f>
        <v/>
      </c>
      <c r="AH1204">
        <f>IF($B1204=0,0,IF(Inputs!$B$10="",0,COUNTIFS(Data!$Q$10:$Q$3209,"&gt;="&amp;$A1204,Data!$Q$10:$Q$3209,"&lt;"&amp;$A1204+1)))</f>
        <v/>
      </c>
    </row>
    <row r="1205">
      <c r="A1205" s="55">
        <f>MIN(Inputs!$C$15,$A1204+IF(WEEKDAY($A1204,2)=5,3,1))</f>
        <v/>
      </c>
      <c r="B1205">
        <f>IF($A1205&gt;$A1204,1,0)</f>
        <v/>
      </c>
      <c r="C1205" s="56">
        <f>IF($B1205=0,"",IF(Inputs!$B$6="","",IF($AD1205=0,C1204,SUMIFS(Data!$B$10:$B$3209,Data!$A$10:$A$3209,"&gt;="&amp;$A1205,Data!$A$10:$A$3209,"&lt;"&amp;$A1205+1)/$AD1205)))</f>
        <v/>
      </c>
      <c r="D1205" s="56">
        <f>IF($B1205=0,"",IF(Inputs!$B$7="","",IF($AE1205=0,D1204,SUMIFS(Data!$F$10:$F$3209,Data!$E$10:$E$3209,"&gt;="&amp;$A1205,Data!$E$10:$E$3209,"&lt;"&amp;$A1205+1)/$AE1205)))</f>
        <v/>
      </c>
      <c r="E1205" s="56">
        <f>IF($B1205=0,"",IF(Inputs!$B$8="","",IF($AF1205=0,E1204,SUMIFS(Data!$J$10:$J$3209,Data!$I$10:$I$3209,"&gt;="&amp;$A1205,Data!$I$10:$I$3209,"&lt;"&amp;$A1205+1)/$AF1205)))</f>
        <v/>
      </c>
      <c r="F1205" s="56">
        <f>IF($B1205=0,"",IF(Inputs!$B$9="","",IF($AG1205=0,F1204,SUMIFS(Data!$N$10:$N$3209,Data!$M$10:$M$3209,"&gt;="&amp;$A1205,Data!$M$10:$M$3209,"&lt;"&amp;$A1205+1)/$AG1205)))</f>
        <v/>
      </c>
      <c r="G1205" s="56">
        <f>IF($B1205=0,"",IF(Inputs!$B$10="","",IF($AH1205=0,G1204,SUMIFS(Data!$R$10:$R$3209,Data!$Q$10:$Q$3209,"&gt;="&amp;$A1205,Data!$Q$10:$Q$3209,"&lt;"&amp;$A1205+1)/$AH1205)))</f>
        <v/>
      </c>
      <c r="I1205" s="54">
        <f>IF($B1205=0,NA(),IF($C1205="",NA(),IF(C$8="",NA(),IF(N(C$8)=0,NA(),IF(Inputs!$C$17="Rebased to 100",$C1205/C$8*100,$C1205)))))</f>
        <v/>
      </c>
      <c r="J1205" s="54">
        <f>IF($B1205=0,NA(),IF($D1205="",NA(),IF(D$8="",NA(),IF(N(D$8)=0,NA(),IF(Inputs!$C$17="Rebased to 100",$D1205/D$8*100,$D1205)))))</f>
        <v/>
      </c>
      <c r="K1205" s="54">
        <f>IF($B1205=0,NA(),IF($E1205="",NA(),IF(E$8="",NA(),IF(N(E$8)=0,NA(),IF(Inputs!$C$17="Rebased to 100",$E1205/E$8*100,$E1205)))))</f>
        <v/>
      </c>
      <c r="L1205" s="54">
        <f>IF($B1205=0,NA(),IF($F1205="",NA(),IF(F$8="",NA(),IF(N(F$8)=0,NA(),IF(Inputs!$C$17="Rebased to 100",$F1205/F$8*100,$F1205)))))</f>
        <v/>
      </c>
      <c r="M1205" s="54">
        <f>IF($B1205=0,NA(),IF($G1205="",NA(),IF(G$8="",NA(),IF(N(G$8)=0,NA(),IF(Inputs!$C$17="Rebased to 100",$G1205/G$8*100,$G1205)))))</f>
        <v/>
      </c>
      <c r="N1205" s="54">
        <f>IF($B1205=0,NA(),IF(Inputs!$C$18&lt;&gt;"Yes",NA(),IF(COUNT(I1205,J1205,K1205,L1205,M1205)=0,NA(),MIN(I1205,J1205,K1205,L1205,M1205))))</f>
        <v/>
      </c>
      <c r="O1205" s="54">
        <f>IF($B1205=0,NA(),IF(Inputs!$B$24&lt;&gt;"Yes",NA(),Inputs!$D$24*Inputs!$C$35))</f>
        <v/>
      </c>
      <c r="P1205" s="54">
        <f>IF($B1205=0,NA(),IF(Inputs!$B$25&lt;&gt;"Yes",NA(),Inputs!$D$25*Inputs!$C$35))</f>
        <v/>
      </c>
      <c r="Q1205" s="54">
        <f>IF($B1205=0,NA(),IF(Inputs!$B$26&lt;&gt;"Yes",NA(),Inputs!$D$26*Inputs!$C$35))</f>
        <v/>
      </c>
      <c r="R1205" s="54">
        <f>IF($B1205=0,NA(),IF(Inputs!$B$27&lt;&gt;"Yes",NA(),Inputs!$D$27*Inputs!$C$35))</f>
        <v/>
      </c>
      <c r="S1205" s="54">
        <f>IF($B1205=0,NA(),IF(Inputs!$B$28&lt;&gt;"Yes",NA(),Inputs!$D$28*Inputs!$C$35))</f>
        <v/>
      </c>
      <c r="T1205" s="54">
        <f>IF($B1205=0,NA(),IF(Inputs!$B$29&lt;&gt;"Yes",NA(),Inputs!$D$29*Inputs!$C$35))</f>
        <v/>
      </c>
      <c r="AD1205">
        <f>IF($B1205=0,0,IF(Inputs!$B$6="",0,COUNTIFS(Data!$A$10:$A$3209,"&gt;="&amp;$A1205,Data!$A$10:$A$3209,"&lt;"&amp;$A1205+1)))</f>
        <v/>
      </c>
      <c r="AE1205">
        <f>IF($B1205=0,0,IF(Inputs!$B$7="",0,COUNTIFS(Data!$E$10:$E$3209,"&gt;="&amp;$A1205,Data!$E$10:$E$3209,"&lt;"&amp;$A1205+1)))</f>
        <v/>
      </c>
      <c r="AF1205">
        <f>IF($B1205=0,0,IF(Inputs!$B$8="",0,COUNTIFS(Data!$I$10:$I$3209,"&gt;="&amp;$A1205,Data!$I$10:$I$3209,"&lt;"&amp;$A1205+1)))</f>
        <v/>
      </c>
      <c r="AG1205">
        <f>IF($B1205=0,0,IF(Inputs!$B$9="",0,COUNTIFS(Data!$M$10:$M$3209,"&gt;="&amp;$A1205,Data!$M$10:$M$3209,"&lt;"&amp;$A1205+1)))</f>
        <v/>
      </c>
      <c r="AH1205">
        <f>IF($B1205=0,0,IF(Inputs!$B$10="",0,COUNTIFS(Data!$Q$10:$Q$3209,"&gt;="&amp;$A1205,Data!$Q$10:$Q$3209,"&lt;"&amp;$A1205+1)))</f>
        <v/>
      </c>
    </row>
    <row r="1206">
      <c r="A1206" s="55">
        <f>MIN(Inputs!$C$15,$A1205+IF(WEEKDAY($A1205,2)=5,3,1))</f>
        <v/>
      </c>
      <c r="B1206">
        <f>IF($A1206&gt;$A1205,1,0)</f>
        <v/>
      </c>
      <c r="C1206" s="56">
        <f>IF($B1206=0,"",IF(Inputs!$B$6="","",IF($AD1206=0,C1205,SUMIFS(Data!$B$10:$B$3209,Data!$A$10:$A$3209,"&gt;="&amp;$A1206,Data!$A$10:$A$3209,"&lt;"&amp;$A1206+1)/$AD1206)))</f>
        <v/>
      </c>
      <c r="D1206" s="56">
        <f>IF($B1206=0,"",IF(Inputs!$B$7="","",IF($AE1206=0,D1205,SUMIFS(Data!$F$10:$F$3209,Data!$E$10:$E$3209,"&gt;="&amp;$A1206,Data!$E$10:$E$3209,"&lt;"&amp;$A1206+1)/$AE1206)))</f>
        <v/>
      </c>
      <c r="E1206" s="56">
        <f>IF($B1206=0,"",IF(Inputs!$B$8="","",IF($AF1206=0,E1205,SUMIFS(Data!$J$10:$J$3209,Data!$I$10:$I$3209,"&gt;="&amp;$A1206,Data!$I$10:$I$3209,"&lt;"&amp;$A1206+1)/$AF1206)))</f>
        <v/>
      </c>
      <c r="F1206" s="56">
        <f>IF($B1206=0,"",IF(Inputs!$B$9="","",IF($AG1206=0,F1205,SUMIFS(Data!$N$10:$N$3209,Data!$M$10:$M$3209,"&gt;="&amp;$A1206,Data!$M$10:$M$3209,"&lt;"&amp;$A1206+1)/$AG1206)))</f>
        <v/>
      </c>
      <c r="G1206" s="56">
        <f>IF($B1206=0,"",IF(Inputs!$B$10="","",IF($AH1206=0,G1205,SUMIFS(Data!$R$10:$R$3209,Data!$Q$10:$Q$3209,"&gt;="&amp;$A1206,Data!$Q$10:$Q$3209,"&lt;"&amp;$A1206+1)/$AH1206)))</f>
        <v/>
      </c>
      <c r="I1206" s="54">
        <f>IF($B1206=0,NA(),IF($C1206="",NA(),IF(C$8="",NA(),IF(N(C$8)=0,NA(),IF(Inputs!$C$17="Rebased to 100",$C1206/C$8*100,$C1206)))))</f>
        <v/>
      </c>
      <c r="J1206" s="54">
        <f>IF($B1206=0,NA(),IF($D1206="",NA(),IF(D$8="",NA(),IF(N(D$8)=0,NA(),IF(Inputs!$C$17="Rebased to 100",$D1206/D$8*100,$D1206)))))</f>
        <v/>
      </c>
      <c r="K1206" s="54">
        <f>IF($B1206=0,NA(),IF($E1206="",NA(),IF(E$8="",NA(),IF(N(E$8)=0,NA(),IF(Inputs!$C$17="Rebased to 100",$E1206/E$8*100,$E1206)))))</f>
        <v/>
      </c>
      <c r="L1206" s="54">
        <f>IF($B1206=0,NA(),IF($F1206="",NA(),IF(F$8="",NA(),IF(N(F$8)=0,NA(),IF(Inputs!$C$17="Rebased to 100",$F1206/F$8*100,$F1206)))))</f>
        <v/>
      </c>
      <c r="M1206" s="54">
        <f>IF($B1206=0,NA(),IF($G1206="",NA(),IF(G$8="",NA(),IF(N(G$8)=0,NA(),IF(Inputs!$C$17="Rebased to 100",$G1206/G$8*100,$G1206)))))</f>
        <v/>
      </c>
      <c r="N1206" s="54">
        <f>IF($B1206=0,NA(),IF(Inputs!$C$18&lt;&gt;"Yes",NA(),IF(COUNT(I1206,J1206,K1206,L1206,M1206)=0,NA(),MIN(I1206,J1206,K1206,L1206,M1206))))</f>
        <v/>
      </c>
      <c r="O1206" s="54">
        <f>IF($B1206=0,NA(),IF(Inputs!$B$24&lt;&gt;"Yes",NA(),Inputs!$D$24*Inputs!$C$35))</f>
        <v/>
      </c>
      <c r="P1206" s="54">
        <f>IF($B1206=0,NA(),IF(Inputs!$B$25&lt;&gt;"Yes",NA(),Inputs!$D$25*Inputs!$C$35))</f>
        <v/>
      </c>
      <c r="Q1206" s="54">
        <f>IF($B1206=0,NA(),IF(Inputs!$B$26&lt;&gt;"Yes",NA(),Inputs!$D$26*Inputs!$C$35))</f>
        <v/>
      </c>
      <c r="R1206" s="54">
        <f>IF($B1206=0,NA(),IF(Inputs!$B$27&lt;&gt;"Yes",NA(),Inputs!$D$27*Inputs!$C$35))</f>
        <v/>
      </c>
      <c r="S1206" s="54">
        <f>IF($B1206=0,NA(),IF(Inputs!$B$28&lt;&gt;"Yes",NA(),Inputs!$D$28*Inputs!$C$35))</f>
        <v/>
      </c>
      <c r="T1206" s="54">
        <f>IF($B1206=0,NA(),IF(Inputs!$B$29&lt;&gt;"Yes",NA(),Inputs!$D$29*Inputs!$C$35))</f>
        <v/>
      </c>
      <c r="AD1206">
        <f>IF($B1206=0,0,IF(Inputs!$B$6="",0,COUNTIFS(Data!$A$10:$A$3209,"&gt;="&amp;$A1206,Data!$A$10:$A$3209,"&lt;"&amp;$A1206+1)))</f>
        <v/>
      </c>
      <c r="AE1206">
        <f>IF($B1206=0,0,IF(Inputs!$B$7="",0,COUNTIFS(Data!$E$10:$E$3209,"&gt;="&amp;$A1206,Data!$E$10:$E$3209,"&lt;"&amp;$A1206+1)))</f>
        <v/>
      </c>
      <c r="AF1206">
        <f>IF($B1206=0,0,IF(Inputs!$B$8="",0,COUNTIFS(Data!$I$10:$I$3209,"&gt;="&amp;$A1206,Data!$I$10:$I$3209,"&lt;"&amp;$A1206+1)))</f>
        <v/>
      </c>
      <c r="AG1206">
        <f>IF($B1206=0,0,IF(Inputs!$B$9="",0,COUNTIFS(Data!$M$10:$M$3209,"&gt;="&amp;$A1206,Data!$M$10:$M$3209,"&lt;"&amp;$A1206+1)))</f>
        <v/>
      </c>
      <c r="AH1206">
        <f>IF($B1206=0,0,IF(Inputs!$B$10="",0,COUNTIFS(Data!$Q$10:$Q$3209,"&gt;="&amp;$A1206,Data!$Q$10:$Q$3209,"&lt;"&amp;$A1206+1)))</f>
        <v/>
      </c>
    </row>
    <row r="1207">
      <c r="A1207" s="55">
        <f>MIN(Inputs!$C$15,$A1206+IF(WEEKDAY($A1206,2)=5,3,1))</f>
        <v/>
      </c>
      <c r="B1207">
        <f>IF($A1207&gt;$A1206,1,0)</f>
        <v/>
      </c>
      <c r="C1207" s="56">
        <f>IF($B1207=0,"",IF(Inputs!$B$6="","",IF($AD1207=0,C1206,SUMIFS(Data!$B$10:$B$3209,Data!$A$10:$A$3209,"&gt;="&amp;$A1207,Data!$A$10:$A$3209,"&lt;"&amp;$A1207+1)/$AD1207)))</f>
        <v/>
      </c>
      <c r="D1207" s="56">
        <f>IF($B1207=0,"",IF(Inputs!$B$7="","",IF($AE1207=0,D1206,SUMIFS(Data!$F$10:$F$3209,Data!$E$10:$E$3209,"&gt;="&amp;$A1207,Data!$E$10:$E$3209,"&lt;"&amp;$A1207+1)/$AE1207)))</f>
        <v/>
      </c>
      <c r="E1207" s="56">
        <f>IF($B1207=0,"",IF(Inputs!$B$8="","",IF($AF1207=0,E1206,SUMIFS(Data!$J$10:$J$3209,Data!$I$10:$I$3209,"&gt;="&amp;$A1207,Data!$I$10:$I$3209,"&lt;"&amp;$A1207+1)/$AF1207)))</f>
        <v/>
      </c>
      <c r="F1207" s="56">
        <f>IF($B1207=0,"",IF(Inputs!$B$9="","",IF($AG1207=0,F1206,SUMIFS(Data!$N$10:$N$3209,Data!$M$10:$M$3209,"&gt;="&amp;$A1207,Data!$M$10:$M$3209,"&lt;"&amp;$A1207+1)/$AG1207)))</f>
        <v/>
      </c>
      <c r="G1207" s="56">
        <f>IF($B1207=0,"",IF(Inputs!$B$10="","",IF($AH1207=0,G1206,SUMIFS(Data!$R$10:$R$3209,Data!$Q$10:$Q$3209,"&gt;="&amp;$A1207,Data!$Q$10:$Q$3209,"&lt;"&amp;$A1207+1)/$AH1207)))</f>
        <v/>
      </c>
      <c r="I1207" s="54">
        <f>IF($B1207=0,NA(),IF($C1207="",NA(),IF(C$8="",NA(),IF(N(C$8)=0,NA(),IF(Inputs!$C$17="Rebased to 100",$C1207/C$8*100,$C1207)))))</f>
        <v/>
      </c>
      <c r="J1207" s="54">
        <f>IF($B1207=0,NA(),IF($D1207="",NA(),IF(D$8="",NA(),IF(N(D$8)=0,NA(),IF(Inputs!$C$17="Rebased to 100",$D1207/D$8*100,$D1207)))))</f>
        <v/>
      </c>
      <c r="K1207" s="54">
        <f>IF($B1207=0,NA(),IF($E1207="",NA(),IF(E$8="",NA(),IF(N(E$8)=0,NA(),IF(Inputs!$C$17="Rebased to 100",$E1207/E$8*100,$E1207)))))</f>
        <v/>
      </c>
      <c r="L1207" s="54">
        <f>IF($B1207=0,NA(),IF($F1207="",NA(),IF(F$8="",NA(),IF(N(F$8)=0,NA(),IF(Inputs!$C$17="Rebased to 100",$F1207/F$8*100,$F1207)))))</f>
        <v/>
      </c>
      <c r="M1207" s="54">
        <f>IF($B1207=0,NA(),IF($G1207="",NA(),IF(G$8="",NA(),IF(N(G$8)=0,NA(),IF(Inputs!$C$17="Rebased to 100",$G1207/G$8*100,$G1207)))))</f>
        <v/>
      </c>
      <c r="N1207" s="54">
        <f>IF($B1207=0,NA(),IF(Inputs!$C$18&lt;&gt;"Yes",NA(),IF(COUNT(I1207,J1207,K1207,L1207,M1207)=0,NA(),MIN(I1207,J1207,K1207,L1207,M1207))))</f>
        <v/>
      </c>
      <c r="O1207" s="54">
        <f>IF($B1207=0,NA(),IF(Inputs!$B$24&lt;&gt;"Yes",NA(),Inputs!$D$24*Inputs!$C$35))</f>
        <v/>
      </c>
      <c r="P1207" s="54">
        <f>IF($B1207=0,NA(),IF(Inputs!$B$25&lt;&gt;"Yes",NA(),Inputs!$D$25*Inputs!$C$35))</f>
        <v/>
      </c>
      <c r="Q1207" s="54">
        <f>IF($B1207=0,NA(),IF(Inputs!$B$26&lt;&gt;"Yes",NA(),Inputs!$D$26*Inputs!$C$35))</f>
        <v/>
      </c>
      <c r="R1207" s="54">
        <f>IF($B1207=0,NA(),IF(Inputs!$B$27&lt;&gt;"Yes",NA(),Inputs!$D$27*Inputs!$C$35))</f>
        <v/>
      </c>
      <c r="S1207" s="54">
        <f>IF($B1207=0,NA(),IF(Inputs!$B$28&lt;&gt;"Yes",NA(),Inputs!$D$28*Inputs!$C$35))</f>
        <v/>
      </c>
      <c r="T1207" s="54">
        <f>IF($B1207=0,NA(),IF(Inputs!$B$29&lt;&gt;"Yes",NA(),Inputs!$D$29*Inputs!$C$35))</f>
        <v/>
      </c>
      <c r="AD1207">
        <f>IF($B1207=0,0,IF(Inputs!$B$6="",0,COUNTIFS(Data!$A$10:$A$3209,"&gt;="&amp;$A1207,Data!$A$10:$A$3209,"&lt;"&amp;$A1207+1)))</f>
        <v/>
      </c>
      <c r="AE1207">
        <f>IF($B1207=0,0,IF(Inputs!$B$7="",0,COUNTIFS(Data!$E$10:$E$3209,"&gt;="&amp;$A1207,Data!$E$10:$E$3209,"&lt;"&amp;$A1207+1)))</f>
        <v/>
      </c>
      <c r="AF1207">
        <f>IF($B1207=0,0,IF(Inputs!$B$8="",0,COUNTIFS(Data!$I$10:$I$3209,"&gt;="&amp;$A1207,Data!$I$10:$I$3209,"&lt;"&amp;$A1207+1)))</f>
        <v/>
      </c>
      <c r="AG1207">
        <f>IF($B1207=0,0,IF(Inputs!$B$9="",0,COUNTIFS(Data!$M$10:$M$3209,"&gt;="&amp;$A1207,Data!$M$10:$M$3209,"&lt;"&amp;$A1207+1)))</f>
        <v/>
      </c>
      <c r="AH1207">
        <f>IF($B1207=0,0,IF(Inputs!$B$10="",0,COUNTIFS(Data!$Q$10:$Q$3209,"&gt;="&amp;$A1207,Data!$Q$10:$Q$3209,"&lt;"&amp;$A1207+1)))</f>
        <v/>
      </c>
    </row>
    <row r="1208">
      <c r="A1208" s="55">
        <f>MIN(Inputs!$C$15,$A1207+IF(WEEKDAY($A1207,2)=5,3,1))</f>
        <v/>
      </c>
      <c r="B1208">
        <f>IF($A1208&gt;$A1207,1,0)</f>
        <v/>
      </c>
      <c r="C1208" s="56">
        <f>IF($B1208=0,"",IF(Inputs!$B$6="","",IF($AD1208=0,C1207,SUMIFS(Data!$B$10:$B$3209,Data!$A$10:$A$3209,"&gt;="&amp;$A1208,Data!$A$10:$A$3209,"&lt;"&amp;$A1208+1)/$AD1208)))</f>
        <v/>
      </c>
      <c r="D1208" s="56">
        <f>IF($B1208=0,"",IF(Inputs!$B$7="","",IF($AE1208=0,D1207,SUMIFS(Data!$F$10:$F$3209,Data!$E$10:$E$3209,"&gt;="&amp;$A1208,Data!$E$10:$E$3209,"&lt;"&amp;$A1208+1)/$AE1208)))</f>
        <v/>
      </c>
      <c r="E1208" s="56">
        <f>IF($B1208=0,"",IF(Inputs!$B$8="","",IF($AF1208=0,E1207,SUMIFS(Data!$J$10:$J$3209,Data!$I$10:$I$3209,"&gt;="&amp;$A1208,Data!$I$10:$I$3209,"&lt;"&amp;$A1208+1)/$AF1208)))</f>
        <v/>
      </c>
      <c r="F1208" s="56">
        <f>IF($B1208=0,"",IF(Inputs!$B$9="","",IF($AG1208=0,F1207,SUMIFS(Data!$N$10:$N$3209,Data!$M$10:$M$3209,"&gt;="&amp;$A1208,Data!$M$10:$M$3209,"&lt;"&amp;$A1208+1)/$AG1208)))</f>
        <v/>
      </c>
      <c r="G1208" s="56">
        <f>IF($B1208=0,"",IF(Inputs!$B$10="","",IF($AH1208=0,G1207,SUMIFS(Data!$R$10:$R$3209,Data!$Q$10:$Q$3209,"&gt;="&amp;$A1208,Data!$Q$10:$Q$3209,"&lt;"&amp;$A1208+1)/$AH1208)))</f>
        <v/>
      </c>
      <c r="I1208" s="54">
        <f>IF($B1208=0,NA(),IF($C1208="",NA(),IF(C$8="",NA(),IF(N(C$8)=0,NA(),IF(Inputs!$C$17="Rebased to 100",$C1208/C$8*100,$C1208)))))</f>
        <v/>
      </c>
      <c r="J1208" s="54">
        <f>IF($B1208=0,NA(),IF($D1208="",NA(),IF(D$8="",NA(),IF(N(D$8)=0,NA(),IF(Inputs!$C$17="Rebased to 100",$D1208/D$8*100,$D1208)))))</f>
        <v/>
      </c>
      <c r="K1208" s="54">
        <f>IF($B1208=0,NA(),IF($E1208="",NA(),IF(E$8="",NA(),IF(N(E$8)=0,NA(),IF(Inputs!$C$17="Rebased to 100",$E1208/E$8*100,$E1208)))))</f>
        <v/>
      </c>
      <c r="L1208" s="54">
        <f>IF($B1208=0,NA(),IF($F1208="",NA(),IF(F$8="",NA(),IF(N(F$8)=0,NA(),IF(Inputs!$C$17="Rebased to 100",$F1208/F$8*100,$F1208)))))</f>
        <v/>
      </c>
      <c r="M1208" s="54">
        <f>IF($B1208=0,NA(),IF($G1208="",NA(),IF(G$8="",NA(),IF(N(G$8)=0,NA(),IF(Inputs!$C$17="Rebased to 100",$G1208/G$8*100,$G1208)))))</f>
        <v/>
      </c>
      <c r="N1208" s="54">
        <f>IF($B1208=0,NA(),IF(Inputs!$C$18&lt;&gt;"Yes",NA(),IF(COUNT(I1208,J1208,K1208,L1208,M1208)=0,NA(),MIN(I1208,J1208,K1208,L1208,M1208))))</f>
        <v/>
      </c>
      <c r="O1208" s="54">
        <f>IF($B1208=0,NA(),IF(Inputs!$B$24&lt;&gt;"Yes",NA(),Inputs!$D$24*Inputs!$C$35))</f>
        <v/>
      </c>
      <c r="P1208" s="54">
        <f>IF($B1208=0,NA(),IF(Inputs!$B$25&lt;&gt;"Yes",NA(),Inputs!$D$25*Inputs!$C$35))</f>
        <v/>
      </c>
      <c r="Q1208" s="54">
        <f>IF($B1208=0,NA(),IF(Inputs!$B$26&lt;&gt;"Yes",NA(),Inputs!$D$26*Inputs!$C$35))</f>
        <v/>
      </c>
      <c r="R1208" s="54">
        <f>IF($B1208=0,NA(),IF(Inputs!$B$27&lt;&gt;"Yes",NA(),Inputs!$D$27*Inputs!$C$35))</f>
        <v/>
      </c>
      <c r="S1208" s="54">
        <f>IF($B1208=0,NA(),IF(Inputs!$B$28&lt;&gt;"Yes",NA(),Inputs!$D$28*Inputs!$C$35))</f>
        <v/>
      </c>
      <c r="T1208" s="54">
        <f>IF($B1208=0,NA(),IF(Inputs!$B$29&lt;&gt;"Yes",NA(),Inputs!$D$29*Inputs!$C$35))</f>
        <v/>
      </c>
      <c r="AD1208">
        <f>IF($B1208=0,0,IF(Inputs!$B$6="",0,COUNTIFS(Data!$A$10:$A$3209,"&gt;="&amp;$A1208,Data!$A$10:$A$3209,"&lt;"&amp;$A1208+1)))</f>
        <v/>
      </c>
      <c r="AE1208">
        <f>IF($B1208=0,0,IF(Inputs!$B$7="",0,COUNTIFS(Data!$E$10:$E$3209,"&gt;="&amp;$A1208,Data!$E$10:$E$3209,"&lt;"&amp;$A1208+1)))</f>
        <v/>
      </c>
      <c r="AF1208">
        <f>IF($B1208=0,0,IF(Inputs!$B$8="",0,COUNTIFS(Data!$I$10:$I$3209,"&gt;="&amp;$A1208,Data!$I$10:$I$3209,"&lt;"&amp;$A1208+1)))</f>
        <v/>
      </c>
      <c r="AG1208">
        <f>IF($B1208=0,0,IF(Inputs!$B$9="",0,COUNTIFS(Data!$M$10:$M$3209,"&gt;="&amp;$A1208,Data!$M$10:$M$3209,"&lt;"&amp;$A1208+1)))</f>
        <v/>
      </c>
      <c r="AH1208">
        <f>IF($B1208=0,0,IF(Inputs!$B$10="",0,COUNTIFS(Data!$Q$10:$Q$3209,"&gt;="&amp;$A1208,Data!$Q$10:$Q$3209,"&lt;"&amp;$A1208+1)))</f>
        <v/>
      </c>
    </row>
    <row r="1209">
      <c r="A1209" s="55">
        <f>MIN(Inputs!$C$15,$A1208+IF(WEEKDAY($A1208,2)=5,3,1))</f>
        <v/>
      </c>
      <c r="B1209">
        <f>IF($A1209&gt;$A1208,1,0)</f>
        <v/>
      </c>
      <c r="C1209" s="56">
        <f>IF($B1209=0,"",IF(Inputs!$B$6="","",IF($AD1209=0,C1208,SUMIFS(Data!$B$10:$B$3209,Data!$A$10:$A$3209,"&gt;="&amp;$A1209,Data!$A$10:$A$3209,"&lt;"&amp;$A1209+1)/$AD1209)))</f>
        <v/>
      </c>
      <c r="D1209" s="56">
        <f>IF($B1209=0,"",IF(Inputs!$B$7="","",IF($AE1209=0,D1208,SUMIFS(Data!$F$10:$F$3209,Data!$E$10:$E$3209,"&gt;="&amp;$A1209,Data!$E$10:$E$3209,"&lt;"&amp;$A1209+1)/$AE1209)))</f>
        <v/>
      </c>
      <c r="E1209" s="56">
        <f>IF($B1209=0,"",IF(Inputs!$B$8="","",IF($AF1209=0,E1208,SUMIFS(Data!$J$10:$J$3209,Data!$I$10:$I$3209,"&gt;="&amp;$A1209,Data!$I$10:$I$3209,"&lt;"&amp;$A1209+1)/$AF1209)))</f>
        <v/>
      </c>
      <c r="F1209" s="56">
        <f>IF($B1209=0,"",IF(Inputs!$B$9="","",IF($AG1209=0,F1208,SUMIFS(Data!$N$10:$N$3209,Data!$M$10:$M$3209,"&gt;="&amp;$A1209,Data!$M$10:$M$3209,"&lt;"&amp;$A1209+1)/$AG1209)))</f>
        <v/>
      </c>
      <c r="G1209" s="56">
        <f>IF($B1209=0,"",IF(Inputs!$B$10="","",IF($AH1209=0,G1208,SUMIFS(Data!$R$10:$R$3209,Data!$Q$10:$Q$3209,"&gt;="&amp;$A1209,Data!$Q$10:$Q$3209,"&lt;"&amp;$A1209+1)/$AH1209)))</f>
        <v/>
      </c>
      <c r="I1209" s="54">
        <f>IF($B1209=0,NA(),IF($C1209="",NA(),IF(C$8="",NA(),IF(N(C$8)=0,NA(),IF(Inputs!$C$17="Rebased to 100",$C1209/C$8*100,$C1209)))))</f>
        <v/>
      </c>
      <c r="J1209" s="54">
        <f>IF($B1209=0,NA(),IF($D1209="",NA(),IF(D$8="",NA(),IF(N(D$8)=0,NA(),IF(Inputs!$C$17="Rebased to 100",$D1209/D$8*100,$D1209)))))</f>
        <v/>
      </c>
      <c r="K1209" s="54">
        <f>IF($B1209=0,NA(),IF($E1209="",NA(),IF(E$8="",NA(),IF(N(E$8)=0,NA(),IF(Inputs!$C$17="Rebased to 100",$E1209/E$8*100,$E1209)))))</f>
        <v/>
      </c>
      <c r="L1209" s="54">
        <f>IF($B1209=0,NA(),IF($F1209="",NA(),IF(F$8="",NA(),IF(N(F$8)=0,NA(),IF(Inputs!$C$17="Rebased to 100",$F1209/F$8*100,$F1209)))))</f>
        <v/>
      </c>
      <c r="M1209" s="54">
        <f>IF($B1209=0,NA(),IF($G1209="",NA(),IF(G$8="",NA(),IF(N(G$8)=0,NA(),IF(Inputs!$C$17="Rebased to 100",$G1209/G$8*100,$G1209)))))</f>
        <v/>
      </c>
      <c r="N1209" s="54">
        <f>IF($B1209=0,NA(),IF(Inputs!$C$18&lt;&gt;"Yes",NA(),IF(COUNT(I1209,J1209,K1209,L1209,M1209)=0,NA(),MIN(I1209,J1209,K1209,L1209,M1209))))</f>
        <v/>
      </c>
      <c r="O1209" s="54">
        <f>IF($B1209=0,NA(),IF(Inputs!$B$24&lt;&gt;"Yes",NA(),Inputs!$D$24*Inputs!$C$35))</f>
        <v/>
      </c>
      <c r="P1209" s="54">
        <f>IF($B1209=0,NA(),IF(Inputs!$B$25&lt;&gt;"Yes",NA(),Inputs!$D$25*Inputs!$C$35))</f>
        <v/>
      </c>
      <c r="Q1209" s="54">
        <f>IF($B1209=0,NA(),IF(Inputs!$B$26&lt;&gt;"Yes",NA(),Inputs!$D$26*Inputs!$C$35))</f>
        <v/>
      </c>
      <c r="R1209" s="54">
        <f>IF($B1209=0,NA(),IF(Inputs!$B$27&lt;&gt;"Yes",NA(),Inputs!$D$27*Inputs!$C$35))</f>
        <v/>
      </c>
      <c r="S1209" s="54">
        <f>IF($B1209=0,NA(),IF(Inputs!$B$28&lt;&gt;"Yes",NA(),Inputs!$D$28*Inputs!$C$35))</f>
        <v/>
      </c>
      <c r="T1209" s="54">
        <f>IF($B1209=0,NA(),IF(Inputs!$B$29&lt;&gt;"Yes",NA(),Inputs!$D$29*Inputs!$C$35))</f>
        <v/>
      </c>
      <c r="AD1209">
        <f>IF($B1209=0,0,IF(Inputs!$B$6="",0,COUNTIFS(Data!$A$10:$A$3209,"&gt;="&amp;$A1209,Data!$A$10:$A$3209,"&lt;"&amp;$A1209+1)))</f>
        <v/>
      </c>
      <c r="AE1209">
        <f>IF($B1209=0,0,IF(Inputs!$B$7="",0,COUNTIFS(Data!$E$10:$E$3209,"&gt;="&amp;$A1209,Data!$E$10:$E$3209,"&lt;"&amp;$A1209+1)))</f>
        <v/>
      </c>
      <c r="AF1209">
        <f>IF($B1209=0,0,IF(Inputs!$B$8="",0,COUNTIFS(Data!$I$10:$I$3209,"&gt;="&amp;$A1209,Data!$I$10:$I$3209,"&lt;"&amp;$A1209+1)))</f>
        <v/>
      </c>
      <c r="AG1209">
        <f>IF($B1209=0,0,IF(Inputs!$B$9="",0,COUNTIFS(Data!$M$10:$M$3209,"&gt;="&amp;$A1209,Data!$M$10:$M$3209,"&lt;"&amp;$A1209+1)))</f>
        <v/>
      </c>
      <c r="AH1209">
        <f>IF($B1209=0,0,IF(Inputs!$B$10="",0,COUNTIFS(Data!$Q$10:$Q$3209,"&gt;="&amp;$A1209,Data!$Q$10:$Q$3209,"&lt;"&amp;$A1209+1)))</f>
        <v/>
      </c>
    </row>
    <row r="1210">
      <c r="A1210" s="55">
        <f>MIN(Inputs!$C$15,$A1209+IF(WEEKDAY($A1209,2)=5,3,1))</f>
        <v/>
      </c>
      <c r="B1210">
        <f>IF($A1210&gt;$A1209,1,0)</f>
        <v/>
      </c>
      <c r="C1210" s="56">
        <f>IF($B1210=0,"",IF(Inputs!$B$6="","",IF($AD1210=0,C1209,SUMIFS(Data!$B$10:$B$3209,Data!$A$10:$A$3209,"&gt;="&amp;$A1210,Data!$A$10:$A$3209,"&lt;"&amp;$A1210+1)/$AD1210)))</f>
        <v/>
      </c>
      <c r="D1210" s="56">
        <f>IF($B1210=0,"",IF(Inputs!$B$7="","",IF($AE1210=0,D1209,SUMIFS(Data!$F$10:$F$3209,Data!$E$10:$E$3209,"&gt;="&amp;$A1210,Data!$E$10:$E$3209,"&lt;"&amp;$A1210+1)/$AE1210)))</f>
        <v/>
      </c>
      <c r="E1210" s="56">
        <f>IF($B1210=0,"",IF(Inputs!$B$8="","",IF($AF1210=0,E1209,SUMIFS(Data!$J$10:$J$3209,Data!$I$10:$I$3209,"&gt;="&amp;$A1210,Data!$I$10:$I$3209,"&lt;"&amp;$A1210+1)/$AF1210)))</f>
        <v/>
      </c>
      <c r="F1210" s="56">
        <f>IF($B1210=0,"",IF(Inputs!$B$9="","",IF($AG1210=0,F1209,SUMIFS(Data!$N$10:$N$3209,Data!$M$10:$M$3209,"&gt;="&amp;$A1210,Data!$M$10:$M$3209,"&lt;"&amp;$A1210+1)/$AG1210)))</f>
        <v/>
      </c>
      <c r="G1210" s="56">
        <f>IF($B1210=0,"",IF(Inputs!$B$10="","",IF($AH1210=0,G1209,SUMIFS(Data!$R$10:$R$3209,Data!$Q$10:$Q$3209,"&gt;="&amp;$A1210,Data!$Q$10:$Q$3209,"&lt;"&amp;$A1210+1)/$AH1210)))</f>
        <v/>
      </c>
      <c r="I1210" s="54">
        <f>IF($B1210=0,NA(),IF($C1210="",NA(),IF(C$8="",NA(),IF(N(C$8)=0,NA(),IF(Inputs!$C$17="Rebased to 100",$C1210/C$8*100,$C1210)))))</f>
        <v/>
      </c>
      <c r="J1210" s="54">
        <f>IF($B1210=0,NA(),IF($D1210="",NA(),IF(D$8="",NA(),IF(N(D$8)=0,NA(),IF(Inputs!$C$17="Rebased to 100",$D1210/D$8*100,$D1210)))))</f>
        <v/>
      </c>
      <c r="K1210" s="54">
        <f>IF($B1210=0,NA(),IF($E1210="",NA(),IF(E$8="",NA(),IF(N(E$8)=0,NA(),IF(Inputs!$C$17="Rebased to 100",$E1210/E$8*100,$E1210)))))</f>
        <v/>
      </c>
      <c r="L1210" s="54">
        <f>IF($B1210=0,NA(),IF($F1210="",NA(),IF(F$8="",NA(),IF(N(F$8)=0,NA(),IF(Inputs!$C$17="Rebased to 100",$F1210/F$8*100,$F1210)))))</f>
        <v/>
      </c>
      <c r="M1210" s="54">
        <f>IF($B1210=0,NA(),IF($G1210="",NA(),IF(G$8="",NA(),IF(N(G$8)=0,NA(),IF(Inputs!$C$17="Rebased to 100",$G1210/G$8*100,$G1210)))))</f>
        <v/>
      </c>
      <c r="N1210" s="54">
        <f>IF($B1210=0,NA(),IF(Inputs!$C$18&lt;&gt;"Yes",NA(),IF(COUNT(I1210,J1210,K1210,L1210,M1210)=0,NA(),MIN(I1210,J1210,K1210,L1210,M1210))))</f>
        <v/>
      </c>
      <c r="O1210" s="54">
        <f>IF($B1210=0,NA(),IF(Inputs!$B$24&lt;&gt;"Yes",NA(),Inputs!$D$24*Inputs!$C$35))</f>
        <v/>
      </c>
      <c r="P1210" s="54">
        <f>IF($B1210=0,NA(),IF(Inputs!$B$25&lt;&gt;"Yes",NA(),Inputs!$D$25*Inputs!$C$35))</f>
        <v/>
      </c>
      <c r="Q1210" s="54">
        <f>IF($B1210=0,NA(),IF(Inputs!$B$26&lt;&gt;"Yes",NA(),Inputs!$D$26*Inputs!$C$35))</f>
        <v/>
      </c>
      <c r="R1210" s="54">
        <f>IF($B1210=0,NA(),IF(Inputs!$B$27&lt;&gt;"Yes",NA(),Inputs!$D$27*Inputs!$C$35))</f>
        <v/>
      </c>
      <c r="S1210" s="54">
        <f>IF($B1210=0,NA(),IF(Inputs!$B$28&lt;&gt;"Yes",NA(),Inputs!$D$28*Inputs!$C$35))</f>
        <v/>
      </c>
      <c r="T1210" s="54">
        <f>IF($B1210=0,NA(),IF(Inputs!$B$29&lt;&gt;"Yes",NA(),Inputs!$D$29*Inputs!$C$35))</f>
        <v/>
      </c>
      <c r="AD1210">
        <f>IF($B1210=0,0,IF(Inputs!$B$6="",0,COUNTIFS(Data!$A$10:$A$3209,"&gt;="&amp;$A1210,Data!$A$10:$A$3209,"&lt;"&amp;$A1210+1)))</f>
        <v/>
      </c>
      <c r="AE1210">
        <f>IF($B1210=0,0,IF(Inputs!$B$7="",0,COUNTIFS(Data!$E$10:$E$3209,"&gt;="&amp;$A1210,Data!$E$10:$E$3209,"&lt;"&amp;$A1210+1)))</f>
        <v/>
      </c>
      <c r="AF1210">
        <f>IF($B1210=0,0,IF(Inputs!$B$8="",0,COUNTIFS(Data!$I$10:$I$3209,"&gt;="&amp;$A1210,Data!$I$10:$I$3209,"&lt;"&amp;$A1210+1)))</f>
        <v/>
      </c>
      <c r="AG1210">
        <f>IF($B1210=0,0,IF(Inputs!$B$9="",0,COUNTIFS(Data!$M$10:$M$3209,"&gt;="&amp;$A1210,Data!$M$10:$M$3209,"&lt;"&amp;$A1210+1)))</f>
        <v/>
      </c>
      <c r="AH1210">
        <f>IF($B1210=0,0,IF(Inputs!$B$10="",0,COUNTIFS(Data!$Q$10:$Q$3209,"&gt;="&amp;$A1210,Data!$Q$10:$Q$3209,"&lt;"&amp;$A1210+1)))</f>
        <v/>
      </c>
    </row>
    <row r="1211">
      <c r="A1211" s="55">
        <f>MIN(Inputs!$C$15,$A1210+IF(WEEKDAY($A1210,2)=5,3,1))</f>
        <v/>
      </c>
      <c r="B1211">
        <f>IF($A1211&gt;$A1210,1,0)</f>
        <v/>
      </c>
      <c r="C1211" s="56">
        <f>IF($B1211=0,"",IF(Inputs!$B$6="","",IF($AD1211=0,C1210,SUMIFS(Data!$B$10:$B$3209,Data!$A$10:$A$3209,"&gt;="&amp;$A1211,Data!$A$10:$A$3209,"&lt;"&amp;$A1211+1)/$AD1211)))</f>
        <v/>
      </c>
      <c r="D1211" s="56">
        <f>IF($B1211=0,"",IF(Inputs!$B$7="","",IF($AE1211=0,D1210,SUMIFS(Data!$F$10:$F$3209,Data!$E$10:$E$3209,"&gt;="&amp;$A1211,Data!$E$10:$E$3209,"&lt;"&amp;$A1211+1)/$AE1211)))</f>
        <v/>
      </c>
      <c r="E1211" s="56">
        <f>IF($B1211=0,"",IF(Inputs!$B$8="","",IF($AF1211=0,E1210,SUMIFS(Data!$J$10:$J$3209,Data!$I$10:$I$3209,"&gt;="&amp;$A1211,Data!$I$10:$I$3209,"&lt;"&amp;$A1211+1)/$AF1211)))</f>
        <v/>
      </c>
      <c r="F1211" s="56">
        <f>IF($B1211=0,"",IF(Inputs!$B$9="","",IF($AG1211=0,F1210,SUMIFS(Data!$N$10:$N$3209,Data!$M$10:$M$3209,"&gt;="&amp;$A1211,Data!$M$10:$M$3209,"&lt;"&amp;$A1211+1)/$AG1211)))</f>
        <v/>
      </c>
      <c r="G1211" s="56">
        <f>IF($B1211=0,"",IF(Inputs!$B$10="","",IF($AH1211=0,G1210,SUMIFS(Data!$R$10:$R$3209,Data!$Q$10:$Q$3209,"&gt;="&amp;$A1211,Data!$Q$10:$Q$3209,"&lt;"&amp;$A1211+1)/$AH1211)))</f>
        <v/>
      </c>
      <c r="I1211" s="54">
        <f>IF($B1211=0,NA(),IF($C1211="",NA(),IF(C$8="",NA(),IF(N(C$8)=0,NA(),IF(Inputs!$C$17="Rebased to 100",$C1211/C$8*100,$C1211)))))</f>
        <v/>
      </c>
      <c r="J1211" s="54">
        <f>IF($B1211=0,NA(),IF($D1211="",NA(),IF(D$8="",NA(),IF(N(D$8)=0,NA(),IF(Inputs!$C$17="Rebased to 100",$D1211/D$8*100,$D1211)))))</f>
        <v/>
      </c>
      <c r="K1211" s="54">
        <f>IF($B1211=0,NA(),IF($E1211="",NA(),IF(E$8="",NA(),IF(N(E$8)=0,NA(),IF(Inputs!$C$17="Rebased to 100",$E1211/E$8*100,$E1211)))))</f>
        <v/>
      </c>
      <c r="L1211" s="54">
        <f>IF($B1211=0,NA(),IF($F1211="",NA(),IF(F$8="",NA(),IF(N(F$8)=0,NA(),IF(Inputs!$C$17="Rebased to 100",$F1211/F$8*100,$F1211)))))</f>
        <v/>
      </c>
      <c r="M1211" s="54">
        <f>IF($B1211=0,NA(),IF($G1211="",NA(),IF(G$8="",NA(),IF(N(G$8)=0,NA(),IF(Inputs!$C$17="Rebased to 100",$G1211/G$8*100,$G1211)))))</f>
        <v/>
      </c>
      <c r="N1211" s="54">
        <f>IF($B1211=0,NA(),IF(Inputs!$C$18&lt;&gt;"Yes",NA(),IF(COUNT(I1211,J1211,K1211,L1211,M1211)=0,NA(),MIN(I1211,J1211,K1211,L1211,M1211))))</f>
        <v/>
      </c>
      <c r="O1211" s="54">
        <f>IF($B1211=0,NA(),IF(Inputs!$B$24&lt;&gt;"Yes",NA(),Inputs!$D$24*Inputs!$C$35))</f>
        <v/>
      </c>
      <c r="P1211" s="54">
        <f>IF($B1211=0,NA(),IF(Inputs!$B$25&lt;&gt;"Yes",NA(),Inputs!$D$25*Inputs!$C$35))</f>
        <v/>
      </c>
      <c r="Q1211" s="54">
        <f>IF($B1211=0,NA(),IF(Inputs!$B$26&lt;&gt;"Yes",NA(),Inputs!$D$26*Inputs!$C$35))</f>
        <v/>
      </c>
      <c r="R1211" s="54">
        <f>IF($B1211=0,NA(),IF(Inputs!$B$27&lt;&gt;"Yes",NA(),Inputs!$D$27*Inputs!$C$35))</f>
        <v/>
      </c>
      <c r="S1211" s="54">
        <f>IF($B1211=0,NA(),IF(Inputs!$B$28&lt;&gt;"Yes",NA(),Inputs!$D$28*Inputs!$C$35))</f>
        <v/>
      </c>
      <c r="T1211" s="54">
        <f>IF($B1211=0,NA(),IF(Inputs!$B$29&lt;&gt;"Yes",NA(),Inputs!$D$29*Inputs!$C$35))</f>
        <v/>
      </c>
      <c r="AD1211">
        <f>IF($B1211=0,0,IF(Inputs!$B$6="",0,COUNTIFS(Data!$A$10:$A$3209,"&gt;="&amp;$A1211,Data!$A$10:$A$3209,"&lt;"&amp;$A1211+1)))</f>
        <v/>
      </c>
      <c r="AE1211">
        <f>IF($B1211=0,0,IF(Inputs!$B$7="",0,COUNTIFS(Data!$E$10:$E$3209,"&gt;="&amp;$A1211,Data!$E$10:$E$3209,"&lt;"&amp;$A1211+1)))</f>
        <v/>
      </c>
      <c r="AF1211">
        <f>IF($B1211=0,0,IF(Inputs!$B$8="",0,COUNTIFS(Data!$I$10:$I$3209,"&gt;="&amp;$A1211,Data!$I$10:$I$3209,"&lt;"&amp;$A1211+1)))</f>
        <v/>
      </c>
      <c r="AG1211">
        <f>IF($B1211=0,0,IF(Inputs!$B$9="",0,COUNTIFS(Data!$M$10:$M$3209,"&gt;="&amp;$A1211,Data!$M$10:$M$3209,"&lt;"&amp;$A1211+1)))</f>
        <v/>
      </c>
      <c r="AH1211">
        <f>IF($B1211=0,0,IF(Inputs!$B$10="",0,COUNTIFS(Data!$Q$10:$Q$3209,"&gt;="&amp;$A1211,Data!$Q$10:$Q$3209,"&lt;"&amp;$A1211+1)))</f>
        <v/>
      </c>
    </row>
    <row r="1212">
      <c r="A1212" s="55">
        <f>MIN(Inputs!$C$15,$A1211+IF(WEEKDAY($A1211,2)=5,3,1))</f>
        <v/>
      </c>
      <c r="B1212">
        <f>IF($A1212&gt;$A1211,1,0)</f>
        <v/>
      </c>
      <c r="C1212" s="56">
        <f>IF($B1212=0,"",IF(Inputs!$B$6="","",IF($AD1212=0,C1211,SUMIFS(Data!$B$10:$B$3209,Data!$A$10:$A$3209,"&gt;="&amp;$A1212,Data!$A$10:$A$3209,"&lt;"&amp;$A1212+1)/$AD1212)))</f>
        <v/>
      </c>
      <c r="D1212" s="56">
        <f>IF($B1212=0,"",IF(Inputs!$B$7="","",IF($AE1212=0,D1211,SUMIFS(Data!$F$10:$F$3209,Data!$E$10:$E$3209,"&gt;="&amp;$A1212,Data!$E$10:$E$3209,"&lt;"&amp;$A1212+1)/$AE1212)))</f>
        <v/>
      </c>
      <c r="E1212" s="56">
        <f>IF($B1212=0,"",IF(Inputs!$B$8="","",IF($AF1212=0,E1211,SUMIFS(Data!$J$10:$J$3209,Data!$I$10:$I$3209,"&gt;="&amp;$A1212,Data!$I$10:$I$3209,"&lt;"&amp;$A1212+1)/$AF1212)))</f>
        <v/>
      </c>
      <c r="F1212" s="56">
        <f>IF($B1212=0,"",IF(Inputs!$B$9="","",IF($AG1212=0,F1211,SUMIFS(Data!$N$10:$N$3209,Data!$M$10:$M$3209,"&gt;="&amp;$A1212,Data!$M$10:$M$3209,"&lt;"&amp;$A1212+1)/$AG1212)))</f>
        <v/>
      </c>
      <c r="G1212" s="56">
        <f>IF($B1212=0,"",IF(Inputs!$B$10="","",IF($AH1212=0,G1211,SUMIFS(Data!$R$10:$R$3209,Data!$Q$10:$Q$3209,"&gt;="&amp;$A1212,Data!$Q$10:$Q$3209,"&lt;"&amp;$A1212+1)/$AH1212)))</f>
        <v/>
      </c>
      <c r="I1212" s="54">
        <f>IF($B1212=0,NA(),IF($C1212="",NA(),IF(C$8="",NA(),IF(N(C$8)=0,NA(),IF(Inputs!$C$17="Rebased to 100",$C1212/C$8*100,$C1212)))))</f>
        <v/>
      </c>
      <c r="J1212" s="54">
        <f>IF($B1212=0,NA(),IF($D1212="",NA(),IF(D$8="",NA(),IF(N(D$8)=0,NA(),IF(Inputs!$C$17="Rebased to 100",$D1212/D$8*100,$D1212)))))</f>
        <v/>
      </c>
      <c r="K1212" s="54">
        <f>IF($B1212=0,NA(),IF($E1212="",NA(),IF(E$8="",NA(),IF(N(E$8)=0,NA(),IF(Inputs!$C$17="Rebased to 100",$E1212/E$8*100,$E1212)))))</f>
        <v/>
      </c>
      <c r="L1212" s="54">
        <f>IF($B1212=0,NA(),IF($F1212="",NA(),IF(F$8="",NA(),IF(N(F$8)=0,NA(),IF(Inputs!$C$17="Rebased to 100",$F1212/F$8*100,$F1212)))))</f>
        <v/>
      </c>
      <c r="M1212" s="54">
        <f>IF($B1212=0,NA(),IF($G1212="",NA(),IF(G$8="",NA(),IF(N(G$8)=0,NA(),IF(Inputs!$C$17="Rebased to 100",$G1212/G$8*100,$G1212)))))</f>
        <v/>
      </c>
      <c r="N1212" s="54">
        <f>IF($B1212=0,NA(),IF(Inputs!$C$18&lt;&gt;"Yes",NA(),IF(COUNT(I1212,J1212,K1212,L1212,M1212)=0,NA(),MIN(I1212,J1212,K1212,L1212,M1212))))</f>
        <v/>
      </c>
      <c r="O1212" s="54">
        <f>IF($B1212=0,NA(),IF(Inputs!$B$24&lt;&gt;"Yes",NA(),Inputs!$D$24*Inputs!$C$35))</f>
        <v/>
      </c>
      <c r="P1212" s="54">
        <f>IF($B1212=0,NA(),IF(Inputs!$B$25&lt;&gt;"Yes",NA(),Inputs!$D$25*Inputs!$C$35))</f>
        <v/>
      </c>
      <c r="Q1212" s="54">
        <f>IF($B1212=0,NA(),IF(Inputs!$B$26&lt;&gt;"Yes",NA(),Inputs!$D$26*Inputs!$C$35))</f>
        <v/>
      </c>
      <c r="R1212" s="54">
        <f>IF($B1212=0,NA(),IF(Inputs!$B$27&lt;&gt;"Yes",NA(),Inputs!$D$27*Inputs!$C$35))</f>
        <v/>
      </c>
      <c r="S1212" s="54">
        <f>IF($B1212=0,NA(),IF(Inputs!$B$28&lt;&gt;"Yes",NA(),Inputs!$D$28*Inputs!$C$35))</f>
        <v/>
      </c>
      <c r="T1212" s="54">
        <f>IF($B1212=0,NA(),IF(Inputs!$B$29&lt;&gt;"Yes",NA(),Inputs!$D$29*Inputs!$C$35))</f>
        <v/>
      </c>
      <c r="AD1212">
        <f>IF($B1212=0,0,IF(Inputs!$B$6="",0,COUNTIFS(Data!$A$10:$A$3209,"&gt;="&amp;$A1212,Data!$A$10:$A$3209,"&lt;"&amp;$A1212+1)))</f>
        <v/>
      </c>
      <c r="AE1212">
        <f>IF($B1212=0,0,IF(Inputs!$B$7="",0,COUNTIFS(Data!$E$10:$E$3209,"&gt;="&amp;$A1212,Data!$E$10:$E$3209,"&lt;"&amp;$A1212+1)))</f>
        <v/>
      </c>
      <c r="AF1212">
        <f>IF($B1212=0,0,IF(Inputs!$B$8="",0,COUNTIFS(Data!$I$10:$I$3209,"&gt;="&amp;$A1212,Data!$I$10:$I$3209,"&lt;"&amp;$A1212+1)))</f>
        <v/>
      </c>
      <c r="AG1212">
        <f>IF($B1212=0,0,IF(Inputs!$B$9="",0,COUNTIFS(Data!$M$10:$M$3209,"&gt;="&amp;$A1212,Data!$M$10:$M$3209,"&lt;"&amp;$A1212+1)))</f>
        <v/>
      </c>
      <c r="AH1212">
        <f>IF($B1212=0,0,IF(Inputs!$B$10="",0,COUNTIFS(Data!$Q$10:$Q$3209,"&gt;="&amp;$A1212,Data!$Q$10:$Q$3209,"&lt;"&amp;$A1212+1)))</f>
        <v/>
      </c>
    </row>
    <row r="1213">
      <c r="A1213" s="55">
        <f>MIN(Inputs!$C$15,$A1212+IF(WEEKDAY($A1212,2)=5,3,1))</f>
        <v/>
      </c>
      <c r="B1213">
        <f>IF($A1213&gt;$A1212,1,0)</f>
        <v/>
      </c>
      <c r="C1213" s="56">
        <f>IF($B1213=0,"",IF(Inputs!$B$6="","",IF($AD1213=0,C1212,SUMIFS(Data!$B$10:$B$3209,Data!$A$10:$A$3209,"&gt;="&amp;$A1213,Data!$A$10:$A$3209,"&lt;"&amp;$A1213+1)/$AD1213)))</f>
        <v/>
      </c>
      <c r="D1213" s="56">
        <f>IF($B1213=0,"",IF(Inputs!$B$7="","",IF($AE1213=0,D1212,SUMIFS(Data!$F$10:$F$3209,Data!$E$10:$E$3209,"&gt;="&amp;$A1213,Data!$E$10:$E$3209,"&lt;"&amp;$A1213+1)/$AE1213)))</f>
        <v/>
      </c>
      <c r="E1213" s="56">
        <f>IF($B1213=0,"",IF(Inputs!$B$8="","",IF($AF1213=0,E1212,SUMIFS(Data!$J$10:$J$3209,Data!$I$10:$I$3209,"&gt;="&amp;$A1213,Data!$I$10:$I$3209,"&lt;"&amp;$A1213+1)/$AF1213)))</f>
        <v/>
      </c>
      <c r="F1213" s="56">
        <f>IF($B1213=0,"",IF(Inputs!$B$9="","",IF($AG1213=0,F1212,SUMIFS(Data!$N$10:$N$3209,Data!$M$10:$M$3209,"&gt;="&amp;$A1213,Data!$M$10:$M$3209,"&lt;"&amp;$A1213+1)/$AG1213)))</f>
        <v/>
      </c>
      <c r="G1213" s="56">
        <f>IF($B1213=0,"",IF(Inputs!$B$10="","",IF($AH1213=0,G1212,SUMIFS(Data!$R$10:$R$3209,Data!$Q$10:$Q$3209,"&gt;="&amp;$A1213,Data!$Q$10:$Q$3209,"&lt;"&amp;$A1213+1)/$AH1213)))</f>
        <v/>
      </c>
      <c r="I1213" s="54">
        <f>IF($B1213=0,NA(),IF($C1213="",NA(),IF(C$8="",NA(),IF(N(C$8)=0,NA(),IF(Inputs!$C$17="Rebased to 100",$C1213/C$8*100,$C1213)))))</f>
        <v/>
      </c>
      <c r="J1213" s="54">
        <f>IF($B1213=0,NA(),IF($D1213="",NA(),IF(D$8="",NA(),IF(N(D$8)=0,NA(),IF(Inputs!$C$17="Rebased to 100",$D1213/D$8*100,$D1213)))))</f>
        <v/>
      </c>
      <c r="K1213" s="54">
        <f>IF($B1213=0,NA(),IF($E1213="",NA(),IF(E$8="",NA(),IF(N(E$8)=0,NA(),IF(Inputs!$C$17="Rebased to 100",$E1213/E$8*100,$E1213)))))</f>
        <v/>
      </c>
      <c r="L1213" s="54">
        <f>IF($B1213=0,NA(),IF($F1213="",NA(),IF(F$8="",NA(),IF(N(F$8)=0,NA(),IF(Inputs!$C$17="Rebased to 100",$F1213/F$8*100,$F1213)))))</f>
        <v/>
      </c>
      <c r="M1213" s="54">
        <f>IF($B1213=0,NA(),IF($G1213="",NA(),IF(G$8="",NA(),IF(N(G$8)=0,NA(),IF(Inputs!$C$17="Rebased to 100",$G1213/G$8*100,$G1213)))))</f>
        <v/>
      </c>
      <c r="N1213" s="54">
        <f>IF($B1213=0,NA(),IF(Inputs!$C$18&lt;&gt;"Yes",NA(),IF(COUNT(I1213,J1213,K1213,L1213,M1213)=0,NA(),MIN(I1213,J1213,K1213,L1213,M1213))))</f>
        <v/>
      </c>
      <c r="O1213" s="54">
        <f>IF($B1213=0,NA(),IF(Inputs!$B$24&lt;&gt;"Yes",NA(),Inputs!$D$24*Inputs!$C$35))</f>
        <v/>
      </c>
      <c r="P1213" s="54">
        <f>IF($B1213=0,NA(),IF(Inputs!$B$25&lt;&gt;"Yes",NA(),Inputs!$D$25*Inputs!$C$35))</f>
        <v/>
      </c>
      <c r="Q1213" s="54">
        <f>IF($B1213=0,NA(),IF(Inputs!$B$26&lt;&gt;"Yes",NA(),Inputs!$D$26*Inputs!$C$35))</f>
        <v/>
      </c>
      <c r="R1213" s="54">
        <f>IF($B1213=0,NA(),IF(Inputs!$B$27&lt;&gt;"Yes",NA(),Inputs!$D$27*Inputs!$C$35))</f>
        <v/>
      </c>
      <c r="S1213" s="54">
        <f>IF($B1213=0,NA(),IF(Inputs!$B$28&lt;&gt;"Yes",NA(),Inputs!$D$28*Inputs!$C$35))</f>
        <v/>
      </c>
      <c r="T1213" s="54">
        <f>IF($B1213=0,NA(),IF(Inputs!$B$29&lt;&gt;"Yes",NA(),Inputs!$D$29*Inputs!$C$35))</f>
        <v/>
      </c>
      <c r="AD1213">
        <f>IF($B1213=0,0,IF(Inputs!$B$6="",0,COUNTIFS(Data!$A$10:$A$3209,"&gt;="&amp;$A1213,Data!$A$10:$A$3209,"&lt;"&amp;$A1213+1)))</f>
        <v/>
      </c>
      <c r="AE1213">
        <f>IF($B1213=0,0,IF(Inputs!$B$7="",0,COUNTIFS(Data!$E$10:$E$3209,"&gt;="&amp;$A1213,Data!$E$10:$E$3209,"&lt;"&amp;$A1213+1)))</f>
        <v/>
      </c>
      <c r="AF1213">
        <f>IF($B1213=0,0,IF(Inputs!$B$8="",0,COUNTIFS(Data!$I$10:$I$3209,"&gt;="&amp;$A1213,Data!$I$10:$I$3209,"&lt;"&amp;$A1213+1)))</f>
        <v/>
      </c>
      <c r="AG1213">
        <f>IF($B1213=0,0,IF(Inputs!$B$9="",0,COUNTIFS(Data!$M$10:$M$3209,"&gt;="&amp;$A1213,Data!$M$10:$M$3209,"&lt;"&amp;$A1213+1)))</f>
        <v/>
      </c>
      <c r="AH1213">
        <f>IF($B1213=0,0,IF(Inputs!$B$10="",0,COUNTIFS(Data!$Q$10:$Q$3209,"&gt;="&amp;$A1213,Data!$Q$10:$Q$3209,"&lt;"&amp;$A1213+1)))</f>
        <v/>
      </c>
    </row>
    <row r="1214">
      <c r="A1214" s="55">
        <f>MIN(Inputs!$C$15,$A1213+IF(WEEKDAY($A1213,2)=5,3,1))</f>
        <v/>
      </c>
      <c r="B1214">
        <f>IF($A1214&gt;$A1213,1,0)</f>
        <v/>
      </c>
      <c r="C1214" s="56">
        <f>IF($B1214=0,"",IF(Inputs!$B$6="","",IF($AD1214=0,C1213,SUMIFS(Data!$B$10:$B$3209,Data!$A$10:$A$3209,"&gt;="&amp;$A1214,Data!$A$10:$A$3209,"&lt;"&amp;$A1214+1)/$AD1214)))</f>
        <v/>
      </c>
      <c r="D1214" s="56">
        <f>IF($B1214=0,"",IF(Inputs!$B$7="","",IF($AE1214=0,D1213,SUMIFS(Data!$F$10:$F$3209,Data!$E$10:$E$3209,"&gt;="&amp;$A1214,Data!$E$10:$E$3209,"&lt;"&amp;$A1214+1)/$AE1214)))</f>
        <v/>
      </c>
      <c r="E1214" s="56">
        <f>IF($B1214=0,"",IF(Inputs!$B$8="","",IF($AF1214=0,E1213,SUMIFS(Data!$J$10:$J$3209,Data!$I$10:$I$3209,"&gt;="&amp;$A1214,Data!$I$10:$I$3209,"&lt;"&amp;$A1214+1)/$AF1214)))</f>
        <v/>
      </c>
      <c r="F1214" s="56">
        <f>IF($B1214=0,"",IF(Inputs!$B$9="","",IF($AG1214=0,F1213,SUMIFS(Data!$N$10:$N$3209,Data!$M$10:$M$3209,"&gt;="&amp;$A1214,Data!$M$10:$M$3209,"&lt;"&amp;$A1214+1)/$AG1214)))</f>
        <v/>
      </c>
      <c r="G1214" s="56">
        <f>IF($B1214=0,"",IF(Inputs!$B$10="","",IF($AH1214=0,G1213,SUMIFS(Data!$R$10:$R$3209,Data!$Q$10:$Q$3209,"&gt;="&amp;$A1214,Data!$Q$10:$Q$3209,"&lt;"&amp;$A1214+1)/$AH1214)))</f>
        <v/>
      </c>
      <c r="I1214" s="54">
        <f>IF($B1214=0,NA(),IF($C1214="",NA(),IF(C$8="",NA(),IF(N(C$8)=0,NA(),IF(Inputs!$C$17="Rebased to 100",$C1214/C$8*100,$C1214)))))</f>
        <v/>
      </c>
      <c r="J1214" s="54">
        <f>IF($B1214=0,NA(),IF($D1214="",NA(),IF(D$8="",NA(),IF(N(D$8)=0,NA(),IF(Inputs!$C$17="Rebased to 100",$D1214/D$8*100,$D1214)))))</f>
        <v/>
      </c>
      <c r="K1214" s="54">
        <f>IF($B1214=0,NA(),IF($E1214="",NA(),IF(E$8="",NA(),IF(N(E$8)=0,NA(),IF(Inputs!$C$17="Rebased to 100",$E1214/E$8*100,$E1214)))))</f>
        <v/>
      </c>
      <c r="L1214" s="54">
        <f>IF($B1214=0,NA(),IF($F1214="",NA(),IF(F$8="",NA(),IF(N(F$8)=0,NA(),IF(Inputs!$C$17="Rebased to 100",$F1214/F$8*100,$F1214)))))</f>
        <v/>
      </c>
      <c r="M1214" s="54">
        <f>IF($B1214=0,NA(),IF($G1214="",NA(),IF(G$8="",NA(),IF(N(G$8)=0,NA(),IF(Inputs!$C$17="Rebased to 100",$G1214/G$8*100,$G1214)))))</f>
        <v/>
      </c>
      <c r="N1214" s="54">
        <f>IF($B1214=0,NA(),IF(Inputs!$C$18&lt;&gt;"Yes",NA(),IF(COUNT(I1214,J1214,K1214,L1214,M1214)=0,NA(),MIN(I1214,J1214,K1214,L1214,M1214))))</f>
        <v/>
      </c>
      <c r="O1214" s="54">
        <f>IF($B1214=0,NA(),IF(Inputs!$B$24&lt;&gt;"Yes",NA(),Inputs!$D$24*Inputs!$C$35))</f>
        <v/>
      </c>
      <c r="P1214" s="54">
        <f>IF($B1214=0,NA(),IF(Inputs!$B$25&lt;&gt;"Yes",NA(),Inputs!$D$25*Inputs!$C$35))</f>
        <v/>
      </c>
      <c r="Q1214" s="54">
        <f>IF($B1214=0,NA(),IF(Inputs!$B$26&lt;&gt;"Yes",NA(),Inputs!$D$26*Inputs!$C$35))</f>
        <v/>
      </c>
      <c r="R1214" s="54">
        <f>IF($B1214=0,NA(),IF(Inputs!$B$27&lt;&gt;"Yes",NA(),Inputs!$D$27*Inputs!$C$35))</f>
        <v/>
      </c>
      <c r="S1214" s="54">
        <f>IF($B1214=0,NA(),IF(Inputs!$B$28&lt;&gt;"Yes",NA(),Inputs!$D$28*Inputs!$C$35))</f>
        <v/>
      </c>
      <c r="T1214" s="54">
        <f>IF($B1214=0,NA(),IF(Inputs!$B$29&lt;&gt;"Yes",NA(),Inputs!$D$29*Inputs!$C$35))</f>
        <v/>
      </c>
      <c r="AD1214">
        <f>IF($B1214=0,0,IF(Inputs!$B$6="",0,COUNTIFS(Data!$A$10:$A$3209,"&gt;="&amp;$A1214,Data!$A$10:$A$3209,"&lt;"&amp;$A1214+1)))</f>
        <v/>
      </c>
      <c r="AE1214">
        <f>IF($B1214=0,0,IF(Inputs!$B$7="",0,COUNTIFS(Data!$E$10:$E$3209,"&gt;="&amp;$A1214,Data!$E$10:$E$3209,"&lt;"&amp;$A1214+1)))</f>
        <v/>
      </c>
      <c r="AF1214">
        <f>IF($B1214=0,0,IF(Inputs!$B$8="",0,COUNTIFS(Data!$I$10:$I$3209,"&gt;="&amp;$A1214,Data!$I$10:$I$3209,"&lt;"&amp;$A1214+1)))</f>
        <v/>
      </c>
      <c r="AG1214">
        <f>IF($B1214=0,0,IF(Inputs!$B$9="",0,COUNTIFS(Data!$M$10:$M$3209,"&gt;="&amp;$A1214,Data!$M$10:$M$3209,"&lt;"&amp;$A1214+1)))</f>
        <v/>
      </c>
      <c r="AH1214">
        <f>IF($B1214=0,0,IF(Inputs!$B$10="",0,COUNTIFS(Data!$Q$10:$Q$3209,"&gt;="&amp;$A1214,Data!$Q$10:$Q$3209,"&lt;"&amp;$A1214+1)))</f>
        <v/>
      </c>
    </row>
    <row r="1215">
      <c r="A1215" s="55">
        <f>MIN(Inputs!$C$15,$A1214+IF(WEEKDAY($A1214,2)=5,3,1))</f>
        <v/>
      </c>
      <c r="B1215">
        <f>IF($A1215&gt;$A1214,1,0)</f>
        <v/>
      </c>
      <c r="C1215" s="56">
        <f>IF($B1215=0,"",IF(Inputs!$B$6="","",IF($AD1215=0,C1214,SUMIFS(Data!$B$10:$B$3209,Data!$A$10:$A$3209,"&gt;="&amp;$A1215,Data!$A$10:$A$3209,"&lt;"&amp;$A1215+1)/$AD1215)))</f>
        <v/>
      </c>
      <c r="D1215" s="56">
        <f>IF($B1215=0,"",IF(Inputs!$B$7="","",IF($AE1215=0,D1214,SUMIFS(Data!$F$10:$F$3209,Data!$E$10:$E$3209,"&gt;="&amp;$A1215,Data!$E$10:$E$3209,"&lt;"&amp;$A1215+1)/$AE1215)))</f>
        <v/>
      </c>
      <c r="E1215" s="56">
        <f>IF($B1215=0,"",IF(Inputs!$B$8="","",IF($AF1215=0,E1214,SUMIFS(Data!$J$10:$J$3209,Data!$I$10:$I$3209,"&gt;="&amp;$A1215,Data!$I$10:$I$3209,"&lt;"&amp;$A1215+1)/$AF1215)))</f>
        <v/>
      </c>
      <c r="F1215" s="56">
        <f>IF($B1215=0,"",IF(Inputs!$B$9="","",IF($AG1215=0,F1214,SUMIFS(Data!$N$10:$N$3209,Data!$M$10:$M$3209,"&gt;="&amp;$A1215,Data!$M$10:$M$3209,"&lt;"&amp;$A1215+1)/$AG1215)))</f>
        <v/>
      </c>
      <c r="G1215" s="56">
        <f>IF($B1215=0,"",IF(Inputs!$B$10="","",IF($AH1215=0,G1214,SUMIFS(Data!$R$10:$R$3209,Data!$Q$10:$Q$3209,"&gt;="&amp;$A1215,Data!$Q$10:$Q$3209,"&lt;"&amp;$A1215+1)/$AH1215)))</f>
        <v/>
      </c>
      <c r="I1215" s="54">
        <f>IF($B1215=0,NA(),IF($C1215="",NA(),IF(C$8="",NA(),IF(N(C$8)=0,NA(),IF(Inputs!$C$17="Rebased to 100",$C1215/C$8*100,$C1215)))))</f>
        <v/>
      </c>
      <c r="J1215" s="54">
        <f>IF($B1215=0,NA(),IF($D1215="",NA(),IF(D$8="",NA(),IF(N(D$8)=0,NA(),IF(Inputs!$C$17="Rebased to 100",$D1215/D$8*100,$D1215)))))</f>
        <v/>
      </c>
      <c r="K1215" s="54">
        <f>IF($B1215=0,NA(),IF($E1215="",NA(),IF(E$8="",NA(),IF(N(E$8)=0,NA(),IF(Inputs!$C$17="Rebased to 100",$E1215/E$8*100,$E1215)))))</f>
        <v/>
      </c>
      <c r="L1215" s="54">
        <f>IF($B1215=0,NA(),IF($F1215="",NA(),IF(F$8="",NA(),IF(N(F$8)=0,NA(),IF(Inputs!$C$17="Rebased to 100",$F1215/F$8*100,$F1215)))))</f>
        <v/>
      </c>
      <c r="M1215" s="54">
        <f>IF($B1215=0,NA(),IF($G1215="",NA(),IF(G$8="",NA(),IF(N(G$8)=0,NA(),IF(Inputs!$C$17="Rebased to 100",$G1215/G$8*100,$G1215)))))</f>
        <v/>
      </c>
      <c r="N1215" s="54">
        <f>IF($B1215=0,NA(),IF(Inputs!$C$18&lt;&gt;"Yes",NA(),IF(COUNT(I1215,J1215,K1215,L1215,M1215)=0,NA(),MIN(I1215,J1215,K1215,L1215,M1215))))</f>
        <v/>
      </c>
      <c r="O1215" s="54">
        <f>IF($B1215=0,NA(),IF(Inputs!$B$24&lt;&gt;"Yes",NA(),Inputs!$D$24*Inputs!$C$35))</f>
        <v/>
      </c>
      <c r="P1215" s="54">
        <f>IF($B1215=0,NA(),IF(Inputs!$B$25&lt;&gt;"Yes",NA(),Inputs!$D$25*Inputs!$C$35))</f>
        <v/>
      </c>
      <c r="Q1215" s="54">
        <f>IF($B1215=0,NA(),IF(Inputs!$B$26&lt;&gt;"Yes",NA(),Inputs!$D$26*Inputs!$C$35))</f>
        <v/>
      </c>
      <c r="R1215" s="54">
        <f>IF($B1215=0,NA(),IF(Inputs!$B$27&lt;&gt;"Yes",NA(),Inputs!$D$27*Inputs!$C$35))</f>
        <v/>
      </c>
      <c r="S1215" s="54">
        <f>IF($B1215=0,NA(),IF(Inputs!$B$28&lt;&gt;"Yes",NA(),Inputs!$D$28*Inputs!$C$35))</f>
        <v/>
      </c>
      <c r="T1215" s="54">
        <f>IF($B1215=0,NA(),IF(Inputs!$B$29&lt;&gt;"Yes",NA(),Inputs!$D$29*Inputs!$C$35))</f>
        <v/>
      </c>
      <c r="AD1215">
        <f>IF($B1215=0,0,IF(Inputs!$B$6="",0,COUNTIFS(Data!$A$10:$A$3209,"&gt;="&amp;$A1215,Data!$A$10:$A$3209,"&lt;"&amp;$A1215+1)))</f>
        <v/>
      </c>
      <c r="AE1215">
        <f>IF($B1215=0,0,IF(Inputs!$B$7="",0,COUNTIFS(Data!$E$10:$E$3209,"&gt;="&amp;$A1215,Data!$E$10:$E$3209,"&lt;"&amp;$A1215+1)))</f>
        <v/>
      </c>
      <c r="AF1215">
        <f>IF($B1215=0,0,IF(Inputs!$B$8="",0,COUNTIFS(Data!$I$10:$I$3209,"&gt;="&amp;$A1215,Data!$I$10:$I$3209,"&lt;"&amp;$A1215+1)))</f>
        <v/>
      </c>
      <c r="AG1215">
        <f>IF($B1215=0,0,IF(Inputs!$B$9="",0,COUNTIFS(Data!$M$10:$M$3209,"&gt;="&amp;$A1215,Data!$M$10:$M$3209,"&lt;"&amp;$A1215+1)))</f>
        <v/>
      </c>
      <c r="AH1215">
        <f>IF($B1215=0,0,IF(Inputs!$B$10="",0,COUNTIFS(Data!$Q$10:$Q$3209,"&gt;="&amp;$A1215,Data!$Q$10:$Q$3209,"&lt;"&amp;$A1215+1)))</f>
        <v/>
      </c>
    </row>
    <row r="1216">
      <c r="A1216" s="55">
        <f>MIN(Inputs!$C$15,$A1215+IF(WEEKDAY($A1215,2)=5,3,1))</f>
        <v/>
      </c>
      <c r="B1216">
        <f>IF($A1216&gt;$A1215,1,0)</f>
        <v/>
      </c>
      <c r="C1216" s="56">
        <f>IF($B1216=0,"",IF(Inputs!$B$6="","",IF($AD1216=0,C1215,SUMIFS(Data!$B$10:$B$3209,Data!$A$10:$A$3209,"&gt;="&amp;$A1216,Data!$A$10:$A$3209,"&lt;"&amp;$A1216+1)/$AD1216)))</f>
        <v/>
      </c>
      <c r="D1216" s="56">
        <f>IF($B1216=0,"",IF(Inputs!$B$7="","",IF($AE1216=0,D1215,SUMIFS(Data!$F$10:$F$3209,Data!$E$10:$E$3209,"&gt;="&amp;$A1216,Data!$E$10:$E$3209,"&lt;"&amp;$A1216+1)/$AE1216)))</f>
        <v/>
      </c>
      <c r="E1216" s="56">
        <f>IF($B1216=0,"",IF(Inputs!$B$8="","",IF($AF1216=0,E1215,SUMIFS(Data!$J$10:$J$3209,Data!$I$10:$I$3209,"&gt;="&amp;$A1216,Data!$I$10:$I$3209,"&lt;"&amp;$A1216+1)/$AF1216)))</f>
        <v/>
      </c>
      <c r="F1216" s="56">
        <f>IF($B1216=0,"",IF(Inputs!$B$9="","",IF($AG1216=0,F1215,SUMIFS(Data!$N$10:$N$3209,Data!$M$10:$M$3209,"&gt;="&amp;$A1216,Data!$M$10:$M$3209,"&lt;"&amp;$A1216+1)/$AG1216)))</f>
        <v/>
      </c>
      <c r="G1216" s="56">
        <f>IF($B1216=0,"",IF(Inputs!$B$10="","",IF($AH1216=0,G1215,SUMIFS(Data!$R$10:$R$3209,Data!$Q$10:$Q$3209,"&gt;="&amp;$A1216,Data!$Q$10:$Q$3209,"&lt;"&amp;$A1216+1)/$AH1216)))</f>
        <v/>
      </c>
      <c r="I1216" s="54">
        <f>IF($B1216=0,NA(),IF($C1216="",NA(),IF(C$8="",NA(),IF(N(C$8)=0,NA(),IF(Inputs!$C$17="Rebased to 100",$C1216/C$8*100,$C1216)))))</f>
        <v/>
      </c>
      <c r="J1216" s="54">
        <f>IF($B1216=0,NA(),IF($D1216="",NA(),IF(D$8="",NA(),IF(N(D$8)=0,NA(),IF(Inputs!$C$17="Rebased to 100",$D1216/D$8*100,$D1216)))))</f>
        <v/>
      </c>
      <c r="K1216" s="54">
        <f>IF($B1216=0,NA(),IF($E1216="",NA(),IF(E$8="",NA(),IF(N(E$8)=0,NA(),IF(Inputs!$C$17="Rebased to 100",$E1216/E$8*100,$E1216)))))</f>
        <v/>
      </c>
      <c r="L1216" s="54">
        <f>IF($B1216=0,NA(),IF($F1216="",NA(),IF(F$8="",NA(),IF(N(F$8)=0,NA(),IF(Inputs!$C$17="Rebased to 100",$F1216/F$8*100,$F1216)))))</f>
        <v/>
      </c>
      <c r="M1216" s="54">
        <f>IF($B1216=0,NA(),IF($G1216="",NA(),IF(G$8="",NA(),IF(N(G$8)=0,NA(),IF(Inputs!$C$17="Rebased to 100",$G1216/G$8*100,$G1216)))))</f>
        <v/>
      </c>
      <c r="N1216" s="54">
        <f>IF($B1216=0,NA(),IF(Inputs!$C$18&lt;&gt;"Yes",NA(),IF(COUNT(I1216,J1216,K1216,L1216,M1216)=0,NA(),MIN(I1216,J1216,K1216,L1216,M1216))))</f>
        <v/>
      </c>
      <c r="O1216" s="54">
        <f>IF($B1216=0,NA(),IF(Inputs!$B$24&lt;&gt;"Yes",NA(),Inputs!$D$24*Inputs!$C$35))</f>
        <v/>
      </c>
      <c r="P1216" s="54">
        <f>IF($B1216=0,NA(),IF(Inputs!$B$25&lt;&gt;"Yes",NA(),Inputs!$D$25*Inputs!$C$35))</f>
        <v/>
      </c>
      <c r="Q1216" s="54">
        <f>IF($B1216=0,NA(),IF(Inputs!$B$26&lt;&gt;"Yes",NA(),Inputs!$D$26*Inputs!$C$35))</f>
        <v/>
      </c>
      <c r="R1216" s="54">
        <f>IF($B1216=0,NA(),IF(Inputs!$B$27&lt;&gt;"Yes",NA(),Inputs!$D$27*Inputs!$C$35))</f>
        <v/>
      </c>
      <c r="S1216" s="54">
        <f>IF($B1216=0,NA(),IF(Inputs!$B$28&lt;&gt;"Yes",NA(),Inputs!$D$28*Inputs!$C$35))</f>
        <v/>
      </c>
      <c r="T1216" s="54">
        <f>IF($B1216=0,NA(),IF(Inputs!$B$29&lt;&gt;"Yes",NA(),Inputs!$D$29*Inputs!$C$35))</f>
        <v/>
      </c>
      <c r="AD1216">
        <f>IF($B1216=0,0,IF(Inputs!$B$6="",0,COUNTIFS(Data!$A$10:$A$3209,"&gt;="&amp;$A1216,Data!$A$10:$A$3209,"&lt;"&amp;$A1216+1)))</f>
        <v/>
      </c>
      <c r="AE1216">
        <f>IF($B1216=0,0,IF(Inputs!$B$7="",0,COUNTIFS(Data!$E$10:$E$3209,"&gt;="&amp;$A1216,Data!$E$10:$E$3209,"&lt;"&amp;$A1216+1)))</f>
        <v/>
      </c>
      <c r="AF1216">
        <f>IF($B1216=0,0,IF(Inputs!$B$8="",0,COUNTIFS(Data!$I$10:$I$3209,"&gt;="&amp;$A1216,Data!$I$10:$I$3209,"&lt;"&amp;$A1216+1)))</f>
        <v/>
      </c>
      <c r="AG1216">
        <f>IF($B1216=0,0,IF(Inputs!$B$9="",0,COUNTIFS(Data!$M$10:$M$3209,"&gt;="&amp;$A1216,Data!$M$10:$M$3209,"&lt;"&amp;$A1216+1)))</f>
        <v/>
      </c>
      <c r="AH1216">
        <f>IF($B1216=0,0,IF(Inputs!$B$10="",0,COUNTIFS(Data!$Q$10:$Q$3209,"&gt;="&amp;$A1216,Data!$Q$10:$Q$3209,"&lt;"&amp;$A1216+1)))</f>
        <v/>
      </c>
    </row>
    <row r="1217">
      <c r="A1217" s="55">
        <f>MIN(Inputs!$C$15,$A1216+IF(WEEKDAY($A1216,2)=5,3,1))</f>
        <v/>
      </c>
      <c r="B1217">
        <f>IF($A1217&gt;$A1216,1,0)</f>
        <v/>
      </c>
      <c r="C1217" s="56">
        <f>IF($B1217=0,"",IF(Inputs!$B$6="","",IF($AD1217=0,C1216,SUMIFS(Data!$B$10:$B$3209,Data!$A$10:$A$3209,"&gt;="&amp;$A1217,Data!$A$10:$A$3209,"&lt;"&amp;$A1217+1)/$AD1217)))</f>
        <v/>
      </c>
      <c r="D1217" s="56">
        <f>IF($B1217=0,"",IF(Inputs!$B$7="","",IF($AE1217=0,D1216,SUMIFS(Data!$F$10:$F$3209,Data!$E$10:$E$3209,"&gt;="&amp;$A1217,Data!$E$10:$E$3209,"&lt;"&amp;$A1217+1)/$AE1217)))</f>
        <v/>
      </c>
      <c r="E1217" s="56">
        <f>IF($B1217=0,"",IF(Inputs!$B$8="","",IF($AF1217=0,E1216,SUMIFS(Data!$J$10:$J$3209,Data!$I$10:$I$3209,"&gt;="&amp;$A1217,Data!$I$10:$I$3209,"&lt;"&amp;$A1217+1)/$AF1217)))</f>
        <v/>
      </c>
      <c r="F1217" s="56">
        <f>IF($B1217=0,"",IF(Inputs!$B$9="","",IF($AG1217=0,F1216,SUMIFS(Data!$N$10:$N$3209,Data!$M$10:$M$3209,"&gt;="&amp;$A1217,Data!$M$10:$M$3209,"&lt;"&amp;$A1217+1)/$AG1217)))</f>
        <v/>
      </c>
      <c r="G1217" s="56">
        <f>IF($B1217=0,"",IF(Inputs!$B$10="","",IF($AH1217=0,G1216,SUMIFS(Data!$R$10:$R$3209,Data!$Q$10:$Q$3209,"&gt;="&amp;$A1217,Data!$Q$10:$Q$3209,"&lt;"&amp;$A1217+1)/$AH1217)))</f>
        <v/>
      </c>
      <c r="I1217" s="54">
        <f>IF($B1217=0,NA(),IF($C1217="",NA(),IF(C$8="",NA(),IF(N(C$8)=0,NA(),IF(Inputs!$C$17="Rebased to 100",$C1217/C$8*100,$C1217)))))</f>
        <v/>
      </c>
      <c r="J1217" s="54">
        <f>IF($B1217=0,NA(),IF($D1217="",NA(),IF(D$8="",NA(),IF(N(D$8)=0,NA(),IF(Inputs!$C$17="Rebased to 100",$D1217/D$8*100,$D1217)))))</f>
        <v/>
      </c>
      <c r="K1217" s="54">
        <f>IF($B1217=0,NA(),IF($E1217="",NA(),IF(E$8="",NA(),IF(N(E$8)=0,NA(),IF(Inputs!$C$17="Rebased to 100",$E1217/E$8*100,$E1217)))))</f>
        <v/>
      </c>
      <c r="L1217" s="54">
        <f>IF($B1217=0,NA(),IF($F1217="",NA(),IF(F$8="",NA(),IF(N(F$8)=0,NA(),IF(Inputs!$C$17="Rebased to 100",$F1217/F$8*100,$F1217)))))</f>
        <v/>
      </c>
      <c r="M1217" s="54">
        <f>IF($B1217=0,NA(),IF($G1217="",NA(),IF(G$8="",NA(),IF(N(G$8)=0,NA(),IF(Inputs!$C$17="Rebased to 100",$G1217/G$8*100,$G1217)))))</f>
        <v/>
      </c>
      <c r="N1217" s="54">
        <f>IF($B1217=0,NA(),IF(Inputs!$C$18&lt;&gt;"Yes",NA(),IF(COUNT(I1217,J1217,K1217,L1217,M1217)=0,NA(),MIN(I1217,J1217,K1217,L1217,M1217))))</f>
        <v/>
      </c>
      <c r="O1217" s="54">
        <f>IF($B1217=0,NA(),IF(Inputs!$B$24&lt;&gt;"Yes",NA(),Inputs!$D$24*Inputs!$C$35))</f>
        <v/>
      </c>
      <c r="P1217" s="54">
        <f>IF($B1217=0,NA(),IF(Inputs!$B$25&lt;&gt;"Yes",NA(),Inputs!$D$25*Inputs!$C$35))</f>
        <v/>
      </c>
      <c r="Q1217" s="54">
        <f>IF($B1217=0,NA(),IF(Inputs!$B$26&lt;&gt;"Yes",NA(),Inputs!$D$26*Inputs!$C$35))</f>
        <v/>
      </c>
      <c r="R1217" s="54">
        <f>IF($B1217=0,NA(),IF(Inputs!$B$27&lt;&gt;"Yes",NA(),Inputs!$D$27*Inputs!$C$35))</f>
        <v/>
      </c>
      <c r="S1217" s="54">
        <f>IF($B1217=0,NA(),IF(Inputs!$B$28&lt;&gt;"Yes",NA(),Inputs!$D$28*Inputs!$C$35))</f>
        <v/>
      </c>
      <c r="T1217" s="54">
        <f>IF($B1217=0,NA(),IF(Inputs!$B$29&lt;&gt;"Yes",NA(),Inputs!$D$29*Inputs!$C$35))</f>
        <v/>
      </c>
      <c r="AD1217">
        <f>IF($B1217=0,0,IF(Inputs!$B$6="",0,COUNTIFS(Data!$A$10:$A$3209,"&gt;="&amp;$A1217,Data!$A$10:$A$3209,"&lt;"&amp;$A1217+1)))</f>
        <v/>
      </c>
      <c r="AE1217">
        <f>IF($B1217=0,0,IF(Inputs!$B$7="",0,COUNTIFS(Data!$E$10:$E$3209,"&gt;="&amp;$A1217,Data!$E$10:$E$3209,"&lt;"&amp;$A1217+1)))</f>
        <v/>
      </c>
      <c r="AF1217">
        <f>IF($B1217=0,0,IF(Inputs!$B$8="",0,COUNTIFS(Data!$I$10:$I$3209,"&gt;="&amp;$A1217,Data!$I$10:$I$3209,"&lt;"&amp;$A1217+1)))</f>
        <v/>
      </c>
      <c r="AG1217">
        <f>IF($B1217=0,0,IF(Inputs!$B$9="",0,COUNTIFS(Data!$M$10:$M$3209,"&gt;="&amp;$A1217,Data!$M$10:$M$3209,"&lt;"&amp;$A1217+1)))</f>
        <v/>
      </c>
      <c r="AH1217">
        <f>IF($B1217=0,0,IF(Inputs!$B$10="",0,COUNTIFS(Data!$Q$10:$Q$3209,"&gt;="&amp;$A1217,Data!$Q$10:$Q$3209,"&lt;"&amp;$A1217+1)))</f>
        <v/>
      </c>
    </row>
    <row r="1218">
      <c r="A1218" s="55">
        <f>MIN(Inputs!$C$15,$A1217+IF(WEEKDAY($A1217,2)=5,3,1))</f>
        <v/>
      </c>
      <c r="B1218">
        <f>IF($A1218&gt;$A1217,1,0)</f>
        <v/>
      </c>
      <c r="C1218" s="56">
        <f>IF($B1218=0,"",IF(Inputs!$B$6="","",IF($AD1218=0,C1217,SUMIFS(Data!$B$10:$B$3209,Data!$A$10:$A$3209,"&gt;="&amp;$A1218,Data!$A$10:$A$3209,"&lt;"&amp;$A1218+1)/$AD1218)))</f>
        <v/>
      </c>
      <c r="D1218" s="56">
        <f>IF($B1218=0,"",IF(Inputs!$B$7="","",IF($AE1218=0,D1217,SUMIFS(Data!$F$10:$F$3209,Data!$E$10:$E$3209,"&gt;="&amp;$A1218,Data!$E$10:$E$3209,"&lt;"&amp;$A1218+1)/$AE1218)))</f>
        <v/>
      </c>
      <c r="E1218" s="56">
        <f>IF($B1218=0,"",IF(Inputs!$B$8="","",IF($AF1218=0,E1217,SUMIFS(Data!$J$10:$J$3209,Data!$I$10:$I$3209,"&gt;="&amp;$A1218,Data!$I$10:$I$3209,"&lt;"&amp;$A1218+1)/$AF1218)))</f>
        <v/>
      </c>
      <c r="F1218" s="56">
        <f>IF($B1218=0,"",IF(Inputs!$B$9="","",IF($AG1218=0,F1217,SUMIFS(Data!$N$10:$N$3209,Data!$M$10:$M$3209,"&gt;="&amp;$A1218,Data!$M$10:$M$3209,"&lt;"&amp;$A1218+1)/$AG1218)))</f>
        <v/>
      </c>
      <c r="G1218" s="56">
        <f>IF($B1218=0,"",IF(Inputs!$B$10="","",IF($AH1218=0,G1217,SUMIFS(Data!$R$10:$R$3209,Data!$Q$10:$Q$3209,"&gt;="&amp;$A1218,Data!$Q$10:$Q$3209,"&lt;"&amp;$A1218+1)/$AH1218)))</f>
        <v/>
      </c>
      <c r="I1218" s="54">
        <f>IF($B1218=0,NA(),IF($C1218="",NA(),IF(C$8="",NA(),IF(N(C$8)=0,NA(),IF(Inputs!$C$17="Rebased to 100",$C1218/C$8*100,$C1218)))))</f>
        <v/>
      </c>
      <c r="J1218" s="54">
        <f>IF($B1218=0,NA(),IF($D1218="",NA(),IF(D$8="",NA(),IF(N(D$8)=0,NA(),IF(Inputs!$C$17="Rebased to 100",$D1218/D$8*100,$D1218)))))</f>
        <v/>
      </c>
      <c r="K1218" s="54">
        <f>IF($B1218=0,NA(),IF($E1218="",NA(),IF(E$8="",NA(),IF(N(E$8)=0,NA(),IF(Inputs!$C$17="Rebased to 100",$E1218/E$8*100,$E1218)))))</f>
        <v/>
      </c>
      <c r="L1218" s="54">
        <f>IF($B1218=0,NA(),IF($F1218="",NA(),IF(F$8="",NA(),IF(N(F$8)=0,NA(),IF(Inputs!$C$17="Rebased to 100",$F1218/F$8*100,$F1218)))))</f>
        <v/>
      </c>
      <c r="M1218" s="54">
        <f>IF($B1218=0,NA(),IF($G1218="",NA(),IF(G$8="",NA(),IF(N(G$8)=0,NA(),IF(Inputs!$C$17="Rebased to 100",$G1218/G$8*100,$G1218)))))</f>
        <v/>
      </c>
      <c r="N1218" s="54">
        <f>IF($B1218=0,NA(),IF(Inputs!$C$18&lt;&gt;"Yes",NA(),IF(COUNT(I1218,J1218,K1218,L1218,M1218)=0,NA(),MIN(I1218,J1218,K1218,L1218,M1218))))</f>
        <v/>
      </c>
      <c r="O1218" s="54">
        <f>IF($B1218=0,NA(),IF(Inputs!$B$24&lt;&gt;"Yes",NA(),Inputs!$D$24*Inputs!$C$35))</f>
        <v/>
      </c>
      <c r="P1218" s="54">
        <f>IF($B1218=0,NA(),IF(Inputs!$B$25&lt;&gt;"Yes",NA(),Inputs!$D$25*Inputs!$C$35))</f>
        <v/>
      </c>
      <c r="Q1218" s="54">
        <f>IF($B1218=0,NA(),IF(Inputs!$B$26&lt;&gt;"Yes",NA(),Inputs!$D$26*Inputs!$C$35))</f>
        <v/>
      </c>
      <c r="R1218" s="54">
        <f>IF($B1218=0,NA(),IF(Inputs!$B$27&lt;&gt;"Yes",NA(),Inputs!$D$27*Inputs!$C$35))</f>
        <v/>
      </c>
      <c r="S1218" s="54">
        <f>IF($B1218=0,NA(),IF(Inputs!$B$28&lt;&gt;"Yes",NA(),Inputs!$D$28*Inputs!$C$35))</f>
        <v/>
      </c>
      <c r="T1218" s="54">
        <f>IF($B1218=0,NA(),IF(Inputs!$B$29&lt;&gt;"Yes",NA(),Inputs!$D$29*Inputs!$C$35))</f>
        <v/>
      </c>
      <c r="AD1218">
        <f>IF($B1218=0,0,IF(Inputs!$B$6="",0,COUNTIFS(Data!$A$10:$A$3209,"&gt;="&amp;$A1218,Data!$A$10:$A$3209,"&lt;"&amp;$A1218+1)))</f>
        <v/>
      </c>
      <c r="AE1218">
        <f>IF($B1218=0,0,IF(Inputs!$B$7="",0,COUNTIFS(Data!$E$10:$E$3209,"&gt;="&amp;$A1218,Data!$E$10:$E$3209,"&lt;"&amp;$A1218+1)))</f>
        <v/>
      </c>
      <c r="AF1218">
        <f>IF($B1218=0,0,IF(Inputs!$B$8="",0,COUNTIFS(Data!$I$10:$I$3209,"&gt;="&amp;$A1218,Data!$I$10:$I$3209,"&lt;"&amp;$A1218+1)))</f>
        <v/>
      </c>
      <c r="AG1218">
        <f>IF($B1218=0,0,IF(Inputs!$B$9="",0,COUNTIFS(Data!$M$10:$M$3209,"&gt;="&amp;$A1218,Data!$M$10:$M$3209,"&lt;"&amp;$A1218+1)))</f>
        <v/>
      </c>
      <c r="AH1218">
        <f>IF($B1218=0,0,IF(Inputs!$B$10="",0,COUNTIFS(Data!$Q$10:$Q$3209,"&gt;="&amp;$A1218,Data!$Q$10:$Q$3209,"&lt;"&amp;$A1218+1)))</f>
        <v/>
      </c>
    </row>
    <row r="1219">
      <c r="A1219" s="55">
        <f>MIN(Inputs!$C$15,$A1218+IF(WEEKDAY($A1218,2)=5,3,1))</f>
        <v/>
      </c>
      <c r="B1219">
        <f>IF($A1219&gt;$A1218,1,0)</f>
        <v/>
      </c>
      <c r="C1219" s="56">
        <f>IF($B1219=0,"",IF(Inputs!$B$6="","",IF($AD1219=0,C1218,SUMIFS(Data!$B$10:$B$3209,Data!$A$10:$A$3209,"&gt;="&amp;$A1219,Data!$A$10:$A$3209,"&lt;"&amp;$A1219+1)/$AD1219)))</f>
        <v/>
      </c>
      <c r="D1219" s="56">
        <f>IF($B1219=0,"",IF(Inputs!$B$7="","",IF($AE1219=0,D1218,SUMIFS(Data!$F$10:$F$3209,Data!$E$10:$E$3209,"&gt;="&amp;$A1219,Data!$E$10:$E$3209,"&lt;"&amp;$A1219+1)/$AE1219)))</f>
        <v/>
      </c>
      <c r="E1219" s="56">
        <f>IF($B1219=0,"",IF(Inputs!$B$8="","",IF($AF1219=0,E1218,SUMIFS(Data!$J$10:$J$3209,Data!$I$10:$I$3209,"&gt;="&amp;$A1219,Data!$I$10:$I$3209,"&lt;"&amp;$A1219+1)/$AF1219)))</f>
        <v/>
      </c>
      <c r="F1219" s="56">
        <f>IF($B1219=0,"",IF(Inputs!$B$9="","",IF($AG1219=0,F1218,SUMIFS(Data!$N$10:$N$3209,Data!$M$10:$M$3209,"&gt;="&amp;$A1219,Data!$M$10:$M$3209,"&lt;"&amp;$A1219+1)/$AG1219)))</f>
        <v/>
      </c>
      <c r="G1219" s="56">
        <f>IF($B1219=0,"",IF(Inputs!$B$10="","",IF($AH1219=0,G1218,SUMIFS(Data!$R$10:$R$3209,Data!$Q$10:$Q$3209,"&gt;="&amp;$A1219,Data!$Q$10:$Q$3209,"&lt;"&amp;$A1219+1)/$AH1219)))</f>
        <v/>
      </c>
      <c r="I1219" s="54">
        <f>IF($B1219=0,NA(),IF($C1219="",NA(),IF(C$8="",NA(),IF(N(C$8)=0,NA(),IF(Inputs!$C$17="Rebased to 100",$C1219/C$8*100,$C1219)))))</f>
        <v/>
      </c>
      <c r="J1219" s="54">
        <f>IF($B1219=0,NA(),IF($D1219="",NA(),IF(D$8="",NA(),IF(N(D$8)=0,NA(),IF(Inputs!$C$17="Rebased to 100",$D1219/D$8*100,$D1219)))))</f>
        <v/>
      </c>
      <c r="K1219" s="54">
        <f>IF($B1219=0,NA(),IF($E1219="",NA(),IF(E$8="",NA(),IF(N(E$8)=0,NA(),IF(Inputs!$C$17="Rebased to 100",$E1219/E$8*100,$E1219)))))</f>
        <v/>
      </c>
      <c r="L1219" s="54">
        <f>IF($B1219=0,NA(),IF($F1219="",NA(),IF(F$8="",NA(),IF(N(F$8)=0,NA(),IF(Inputs!$C$17="Rebased to 100",$F1219/F$8*100,$F1219)))))</f>
        <v/>
      </c>
      <c r="M1219" s="54">
        <f>IF($B1219=0,NA(),IF($G1219="",NA(),IF(G$8="",NA(),IF(N(G$8)=0,NA(),IF(Inputs!$C$17="Rebased to 100",$G1219/G$8*100,$G1219)))))</f>
        <v/>
      </c>
      <c r="N1219" s="54">
        <f>IF($B1219=0,NA(),IF(Inputs!$C$18&lt;&gt;"Yes",NA(),IF(COUNT(I1219,J1219,K1219,L1219,M1219)=0,NA(),MIN(I1219,J1219,K1219,L1219,M1219))))</f>
        <v/>
      </c>
      <c r="O1219" s="54">
        <f>IF($B1219=0,NA(),IF(Inputs!$B$24&lt;&gt;"Yes",NA(),Inputs!$D$24*Inputs!$C$35))</f>
        <v/>
      </c>
      <c r="P1219" s="54">
        <f>IF($B1219=0,NA(),IF(Inputs!$B$25&lt;&gt;"Yes",NA(),Inputs!$D$25*Inputs!$C$35))</f>
        <v/>
      </c>
      <c r="Q1219" s="54">
        <f>IF($B1219=0,NA(),IF(Inputs!$B$26&lt;&gt;"Yes",NA(),Inputs!$D$26*Inputs!$C$35))</f>
        <v/>
      </c>
      <c r="R1219" s="54">
        <f>IF($B1219=0,NA(),IF(Inputs!$B$27&lt;&gt;"Yes",NA(),Inputs!$D$27*Inputs!$C$35))</f>
        <v/>
      </c>
      <c r="S1219" s="54">
        <f>IF($B1219=0,NA(),IF(Inputs!$B$28&lt;&gt;"Yes",NA(),Inputs!$D$28*Inputs!$C$35))</f>
        <v/>
      </c>
      <c r="T1219" s="54">
        <f>IF($B1219=0,NA(),IF(Inputs!$B$29&lt;&gt;"Yes",NA(),Inputs!$D$29*Inputs!$C$35))</f>
        <v/>
      </c>
      <c r="AD1219">
        <f>IF($B1219=0,0,IF(Inputs!$B$6="",0,COUNTIFS(Data!$A$10:$A$3209,"&gt;="&amp;$A1219,Data!$A$10:$A$3209,"&lt;"&amp;$A1219+1)))</f>
        <v/>
      </c>
      <c r="AE1219">
        <f>IF($B1219=0,0,IF(Inputs!$B$7="",0,COUNTIFS(Data!$E$10:$E$3209,"&gt;="&amp;$A1219,Data!$E$10:$E$3209,"&lt;"&amp;$A1219+1)))</f>
        <v/>
      </c>
      <c r="AF1219">
        <f>IF($B1219=0,0,IF(Inputs!$B$8="",0,COUNTIFS(Data!$I$10:$I$3209,"&gt;="&amp;$A1219,Data!$I$10:$I$3209,"&lt;"&amp;$A1219+1)))</f>
        <v/>
      </c>
      <c r="AG1219">
        <f>IF($B1219=0,0,IF(Inputs!$B$9="",0,COUNTIFS(Data!$M$10:$M$3209,"&gt;="&amp;$A1219,Data!$M$10:$M$3209,"&lt;"&amp;$A1219+1)))</f>
        <v/>
      </c>
      <c r="AH1219">
        <f>IF($B1219=0,0,IF(Inputs!$B$10="",0,COUNTIFS(Data!$Q$10:$Q$3209,"&gt;="&amp;$A1219,Data!$Q$10:$Q$3209,"&lt;"&amp;$A1219+1)))</f>
        <v/>
      </c>
    </row>
    <row r="1220">
      <c r="A1220" s="55">
        <f>MIN(Inputs!$C$15,$A1219+IF(WEEKDAY($A1219,2)=5,3,1))</f>
        <v/>
      </c>
      <c r="B1220">
        <f>IF($A1220&gt;$A1219,1,0)</f>
        <v/>
      </c>
      <c r="C1220" s="56">
        <f>IF($B1220=0,"",IF(Inputs!$B$6="","",IF($AD1220=0,C1219,SUMIFS(Data!$B$10:$B$3209,Data!$A$10:$A$3209,"&gt;="&amp;$A1220,Data!$A$10:$A$3209,"&lt;"&amp;$A1220+1)/$AD1220)))</f>
        <v/>
      </c>
      <c r="D1220" s="56">
        <f>IF($B1220=0,"",IF(Inputs!$B$7="","",IF($AE1220=0,D1219,SUMIFS(Data!$F$10:$F$3209,Data!$E$10:$E$3209,"&gt;="&amp;$A1220,Data!$E$10:$E$3209,"&lt;"&amp;$A1220+1)/$AE1220)))</f>
        <v/>
      </c>
      <c r="E1220" s="56">
        <f>IF($B1220=0,"",IF(Inputs!$B$8="","",IF($AF1220=0,E1219,SUMIFS(Data!$J$10:$J$3209,Data!$I$10:$I$3209,"&gt;="&amp;$A1220,Data!$I$10:$I$3209,"&lt;"&amp;$A1220+1)/$AF1220)))</f>
        <v/>
      </c>
      <c r="F1220" s="56">
        <f>IF($B1220=0,"",IF(Inputs!$B$9="","",IF($AG1220=0,F1219,SUMIFS(Data!$N$10:$N$3209,Data!$M$10:$M$3209,"&gt;="&amp;$A1220,Data!$M$10:$M$3209,"&lt;"&amp;$A1220+1)/$AG1220)))</f>
        <v/>
      </c>
      <c r="G1220" s="56">
        <f>IF($B1220=0,"",IF(Inputs!$B$10="","",IF($AH1220=0,G1219,SUMIFS(Data!$R$10:$R$3209,Data!$Q$10:$Q$3209,"&gt;="&amp;$A1220,Data!$Q$10:$Q$3209,"&lt;"&amp;$A1220+1)/$AH1220)))</f>
        <v/>
      </c>
      <c r="I1220" s="54">
        <f>IF($B1220=0,NA(),IF($C1220="",NA(),IF(C$8="",NA(),IF(N(C$8)=0,NA(),IF(Inputs!$C$17="Rebased to 100",$C1220/C$8*100,$C1220)))))</f>
        <v/>
      </c>
      <c r="J1220" s="54">
        <f>IF($B1220=0,NA(),IF($D1220="",NA(),IF(D$8="",NA(),IF(N(D$8)=0,NA(),IF(Inputs!$C$17="Rebased to 100",$D1220/D$8*100,$D1220)))))</f>
        <v/>
      </c>
      <c r="K1220" s="54">
        <f>IF($B1220=0,NA(),IF($E1220="",NA(),IF(E$8="",NA(),IF(N(E$8)=0,NA(),IF(Inputs!$C$17="Rebased to 100",$E1220/E$8*100,$E1220)))))</f>
        <v/>
      </c>
      <c r="L1220" s="54">
        <f>IF($B1220=0,NA(),IF($F1220="",NA(),IF(F$8="",NA(),IF(N(F$8)=0,NA(),IF(Inputs!$C$17="Rebased to 100",$F1220/F$8*100,$F1220)))))</f>
        <v/>
      </c>
      <c r="M1220" s="54">
        <f>IF($B1220=0,NA(),IF($G1220="",NA(),IF(G$8="",NA(),IF(N(G$8)=0,NA(),IF(Inputs!$C$17="Rebased to 100",$G1220/G$8*100,$G1220)))))</f>
        <v/>
      </c>
      <c r="N1220" s="54">
        <f>IF($B1220=0,NA(),IF(Inputs!$C$18&lt;&gt;"Yes",NA(),IF(COUNT(I1220,J1220,K1220,L1220,M1220)=0,NA(),MIN(I1220,J1220,K1220,L1220,M1220))))</f>
        <v/>
      </c>
      <c r="O1220" s="54">
        <f>IF($B1220=0,NA(),IF(Inputs!$B$24&lt;&gt;"Yes",NA(),Inputs!$D$24*Inputs!$C$35))</f>
        <v/>
      </c>
      <c r="P1220" s="54">
        <f>IF($B1220=0,NA(),IF(Inputs!$B$25&lt;&gt;"Yes",NA(),Inputs!$D$25*Inputs!$C$35))</f>
        <v/>
      </c>
      <c r="Q1220" s="54">
        <f>IF($B1220=0,NA(),IF(Inputs!$B$26&lt;&gt;"Yes",NA(),Inputs!$D$26*Inputs!$C$35))</f>
        <v/>
      </c>
      <c r="R1220" s="54">
        <f>IF($B1220=0,NA(),IF(Inputs!$B$27&lt;&gt;"Yes",NA(),Inputs!$D$27*Inputs!$C$35))</f>
        <v/>
      </c>
      <c r="S1220" s="54">
        <f>IF($B1220=0,NA(),IF(Inputs!$B$28&lt;&gt;"Yes",NA(),Inputs!$D$28*Inputs!$C$35))</f>
        <v/>
      </c>
      <c r="T1220" s="54">
        <f>IF($B1220=0,NA(),IF(Inputs!$B$29&lt;&gt;"Yes",NA(),Inputs!$D$29*Inputs!$C$35))</f>
        <v/>
      </c>
      <c r="AD1220">
        <f>IF($B1220=0,0,IF(Inputs!$B$6="",0,COUNTIFS(Data!$A$10:$A$3209,"&gt;="&amp;$A1220,Data!$A$10:$A$3209,"&lt;"&amp;$A1220+1)))</f>
        <v/>
      </c>
      <c r="AE1220">
        <f>IF($B1220=0,0,IF(Inputs!$B$7="",0,COUNTIFS(Data!$E$10:$E$3209,"&gt;="&amp;$A1220,Data!$E$10:$E$3209,"&lt;"&amp;$A1220+1)))</f>
        <v/>
      </c>
      <c r="AF1220">
        <f>IF($B1220=0,0,IF(Inputs!$B$8="",0,COUNTIFS(Data!$I$10:$I$3209,"&gt;="&amp;$A1220,Data!$I$10:$I$3209,"&lt;"&amp;$A1220+1)))</f>
        <v/>
      </c>
      <c r="AG1220">
        <f>IF($B1220=0,0,IF(Inputs!$B$9="",0,COUNTIFS(Data!$M$10:$M$3209,"&gt;="&amp;$A1220,Data!$M$10:$M$3209,"&lt;"&amp;$A1220+1)))</f>
        <v/>
      </c>
      <c r="AH1220">
        <f>IF($B1220=0,0,IF(Inputs!$B$10="",0,COUNTIFS(Data!$Q$10:$Q$3209,"&gt;="&amp;$A1220,Data!$Q$10:$Q$3209,"&lt;"&amp;$A1220+1)))</f>
        <v/>
      </c>
    </row>
    <row r="1221">
      <c r="A1221" s="55">
        <f>MIN(Inputs!$C$15,$A1220+IF(WEEKDAY($A1220,2)=5,3,1))</f>
        <v/>
      </c>
      <c r="B1221">
        <f>IF($A1221&gt;$A1220,1,0)</f>
        <v/>
      </c>
      <c r="C1221" s="56">
        <f>IF($B1221=0,"",IF(Inputs!$B$6="","",IF($AD1221=0,C1220,SUMIFS(Data!$B$10:$B$3209,Data!$A$10:$A$3209,"&gt;="&amp;$A1221,Data!$A$10:$A$3209,"&lt;"&amp;$A1221+1)/$AD1221)))</f>
        <v/>
      </c>
      <c r="D1221" s="56">
        <f>IF($B1221=0,"",IF(Inputs!$B$7="","",IF($AE1221=0,D1220,SUMIFS(Data!$F$10:$F$3209,Data!$E$10:$E$3209,"&gt;="&amp;$A1221,Data!$E$10:$E$3209,"&lt;"&amp;$A1221+1)/$AE1221)))</f>
        <v/>
      </c>
      <c r="E1221" s="56">
        <f>IF($B1221=0,"",IF(Inputs!$B$8="","",IF($AF1221=0,E1220,SUMIFS(Data!$J$10:$J$3209,Data!$I$10:$I$3209,"&gt;="&amp;$A1221,Data!$I$10:$I$3209,"&lt;"&amp;$A1221+1)/$AF1221)))</f>
        <v/>
      </c>
      <c r="F1221" s="56">
        <f>IF($B1221=0,"",IF(Inputs!$B$9="","",IF($AG1221=0,F1220,SUMIFS(Data!$N$10:$N$3209,Data!$M$10:$M$3209,"&gt;="&amp;$A1221,Data!$M$10:$M$3209,"&lt;"&amp;$A1221+1)/$AG1221)))</f>
        <v/>
      </c>
      <c r="G1221" s="56">
        <f>IF($B1221=0,"",IF(Inputs!$B$10="","",IF($AH1221=0,G1220,SUMIFS(Data!$R$10:$R$3209,Data!$Q$10:$Q$3209,"&gt;="&amp;$A1221,Data!$Q$10:$Q$3209,"&lt;"&amp;$A1221+1)/$AH1221)))</f>
        <v/>
      </c>
      <c r="I1221" s="54">
        <f>IF($B1221=0,NA(),IF($C1221="",NA(),IF(C$8="",NA(),IF(N(C$8)=0,NA(),IF(Inputs!$C$17="Rebased to 100",$C1221/C$8*100,$C1221)))))</f>
        <v/>
      </c>
      <c r="J1221" s="54">
        <f>IF($B1221=0,NA(),IF($D1221="",NA(),IF(D$8="",NA(),IF(N(D$8)=0,NA(),IF(Inputs!$C$17="Rebased to 100",$D1221/D$8*100,$D1221)))))</f>
        <v/>
      </c>
      <c r="K1221" s="54">
        <f>IF($B1221=0,NA(),IF($E1221="",NA(),IF(E$8="",NA(),IF(N(E$8)=0,NA(),IF(Inputs!$C$17="Rebased to 100",$E1221/E$8*100,$E1221)))))</f>
        <v/>
      </c>
      <c r="L1221" s="54">
        <f>IF($B1221=0,NA(),IF($F1221="",NA(),IF(F$8="",NA(),IF(N(F$8)=0,NA(),IF(Inputs!$C$17="Rebased to 100",$F1221/F$8*100,$F1221)))))</f>
        <v/>
      </c>
      <c r="M1221" s="54">
        <f>IF($B1221=0,NA(),IF($G1221="",NA(),IF(G$8="",NA(),IF(N(G$8)=0,NA(),IF(Inputs!$C$17="Rebased to 100",$G1221/G$8*100,$G1221)))))</f>
        <v/>
      </c>
      <c r="N1221" s="54">
        <f>IF($B1221=0,NA(),IF(Inputs!$C$18&lt;&gt;"Yes",NA(),IF(COUNT(I1221,J1221,K1221,L1221,M1221)=0,NA(),MIN(I1221,J1221,K1221,L1221,M1221))))</f>
        <v/>
      </c>
      <c r="O1221" s="54">
        <f>IF($B1221=0,NA(),IF(Inputs!$B$24&lt;&gt;"Yes",NA(),Inputs!$D$24*Inputs!$C$35))</f>
        <v/>
      </c>
      <c r="P1221" s="54">
        <f>IF($B1221=0,NA(),IF(Inputs!$B$25&lt;&gt;"Yes",NA(),Inputs!$D$25*Inputs!$C$35))</f>
        <v/>
      </c>
      <c r="Q1221" s="54">
        <f>IF($B1221=0,NA(),IF(Inputs!$B$26&lt;&gt;"Yes",NA(),Inputs!$D$26*Inputs!$C$35))</f>
        <v/>
      </c>
      <c r="R1221" s="54">
        <f>IF($B1221=0,NA(),IF(Inputs!$B$27&lt;&gt;"Yes",NA(),Inputs!$D$27*Inputs!$C$35))</f>
        <v/>
      </c>
      <c r="S1221" s="54">
        <f>IF($B1221=0,NA(),IF(Inputs!$B$28&lt;&gt;"Yes",NA(),Inputs!$D$28*Inputs!$C$35))</f>
        <v/>
      </c>
      <c r="T1221" s="54">
        <f>IF($B1221=0,NA(),IF(Inputs!$B$29&lt;&gt;"Yes",NA(),Inputs!$D$29*Inputs!$C$35))</f>
        <v/>
      </c>
      <c r="AD1221">
        <f>IF($B1221=0,0,IF(Inputs!$B$6="",0,COUNTIFS(Data!$A$10:$A$3209,"&gt;="&amp;$A1221,Data!$A$10:$A$3209,"&lt;"&amp;$A1221+1)))</f>
        <v/>
      </c>
      <c r="AE1221">
        <f>IF($B1221=0,0,IF(Inputs!$B$7="",0,COUNTIFS(Data!$E$10:$E$3209,"&gt;="&amp;$A1221,Data!$E$10:$E$3209,"&lt;"&amp;$A1221+1)))</f>
        <v/>
      </c>
      <c r="AF1221">
        <f>IF($B1221=0,0,IF(Inputs!$B$8="",0,COUNTIFS(Data!$I$10:$I$3209,"&gt;="&amp;$A1221,Data!$I$10:$I$3209,"&lt;"&amp;$A1221+1)))</f>
        <v/>
      </c>
      <c r="AG1221">
        <f>IF($B1221=0,0,IF(Inputs!$B$9="",0,COUNTIFS(Data!$M$10:$M$3209,"&gt;="&amp;$A1221,Data!$M$10:$M$3209,"&lt;"&amp;$A1221+1)))</f>
        <v/>
      </c>
      <c r="AH1221">
        <f>IF($B1221=0,0,IF(Inputs!$B$10="",0,COUNTIFS(Data!$Q$10:$Q$3209,"&gt;="&amp;$A1221,Data!$Q$10:$Q$3209,"&lt;"&amp;$A1221+1)))</f>
        <v/>
      </c>
    </row>
    <row r="1222">
      <c r="A1222" s="55">
        <f>MIN(Inputs!$C$15,$A1221+IF(WEEKDAY($A1221,2)=5,3,1))</f>
        <v/>
      </c>
      <c r="B1222">
        <f>IF($A1222&gt;$A1221,1,0)</f>
        <v/>
      </c>
      <c r="C1222" s="56">
        <f>IF($B1222=0,"",IF(Inputs!$B$6="","",IF($AD1222=0,C1221,SUMIFS(Data!$B$10:$B$3209,Data!$A$10:$A$3209,"&gt;="&amp;$A1222,Data!$A$10:$A$3209,"&lt;"&amp;$A1222+1)/$AD1222)))</f>
        <v/>
      </c>
      <c r="D1222" s="56">
        <f>IF($B1222=0,"",IF(Inputs!$B$7="","",IF($AE1222=0,D1221,SUMIFS(Data!$F$10:$F$3209,Data!$E$10:$E$3209,"&gt;="&amp;$A1222,Data!$E$10:$E$3209,"&lt;"&amp;$A1222+1)/$AE1222)))</f>
        <v/>
      </c>
      <c r="E1222" s="56">
        <f>IF($B1222=0,"",IF(Inputs!$B$8="","",IF($AF1222=0,E1221,SUMIFS(Data!$J$10:$J$3209,Data!$I$10:$I$3209,"&gt;="&amp;$A1222,Data!$I$10:$I$3209,"&lt;"&amp;$A1222+1)/$AF1222)))</f>
        <v/>
      </c>
      <c r="F1222" s="56">
        <f>IF($B1222=0,"",IF(Inputs!$B$9="","",IF($AG1222=0,F1221,SUMIFS(Data!$N$10:$N$3209,Data!$M$10:$M$3209,"&gt;="&amp;$A1222,Data!$M$10:$M$3209,"&lt;"&amp;$A1222+1)/$AG1222)))</f>
        <v/>
      </c>
      <c r="G1222" s="56">
        <f>IF($B1222=0,"",IF(Inputs!$B$10="","",IF($AH1222=0,G1221,SUMIFS(Data!$R$10:$R$3209,Data!$Q$10:$Q$3209,"&gt;="&amp;$A1222,Data!$Q$10:$Q$3209,"&lt;"&amp;$A1222+1)/$AH1222)))</f>
        <v/>
      </c>
      <c r="I1222" s="54">
        <f>IF($B1222=0,NA(),IF($C1222="",NA(),IF(C$8="",NA(),IF(N(C$8)=0,NA(),IF(Inputs!$C$17="Rebased to 100",$C1222/C$8*100,$C1222)))))</f>
        <v/>
      </c>
      <c r="J1222" s="54">
        <f>IF($B1222=0,NA(),IF($D1222="",NA(),IF(D$8="",NA(),IF(N(D$8)=0,NA(),IF(Inputs!$C$17="Rebased to 100",$D1222/D$8*100,$D1222)))))</f>
        <v/>
      </c>
      <c r="K1222" s="54">
        <f>IF($B1222=0,NA(),IF($E1222="",NA(),IF(E$8="",NA(),IF(N(E$8)=0,NA(),IF(Inputs!$C$17="Rebased to 100",$E1222/E$8*100,$E1222)))))</f>
        <v/>
      </c>
      <c r="L1222" s="54">
        <f>IF($B1222=0,NA(),IF($F1222="",NA(),IF(F$8="",NA(),IF(N(F$8)=0,NA(),IF(Inputs!$C$17="Rebased to 100",$F1222/F$8*100,$F1222)))))</f>
        <v/>
      </c>
      <c r="M1222" s="54">
        <f>IF($B1222=0,NA(),IF($G1222="",NA(),IF(G$8="",NA(),IF(N(G$8)=0,NA(),IF(Inputs!$C$17="Rebased to 100",$G1222/G$8*100,$G1222)))))</f>
        <v/>
      </c>
      <c r="N1222" s="54">
        <f>IF($B1222=0,NA(),IF(Inputs!$C$18&lt;&gt;"Yes",NA(),IF(COUNT(I1222,J1222,K1222,L1222,M1222)=0,NA(),MIN(I1222,J1222,K1222,L1222,M1222))))</f>
        <v/>
      </c>
      <c r="O1222" s="54">
        <f>IF($B1222=0,NA(),IF(Inputs!$B$24&lt;&gt;"Yes",NA(),Inputs!$D$24*Inputs!$C$35))</f>
        <v/>
      </c>
      <c r="P1222" s="54">
        <f>IF($B1222=0,NA(),IF(Inputs!$B$25&lt;&gt;"Yes",NA(),Inputs!$D$25*Inputs!$C$35))</f>
        <v/>
      </c>
      <c r="Q1222" s="54">
        <f>IF($B1222=0,NA(),IF(Inputs!$B$26&lt;&gt;"Yes",NA(),Inputs!$D$26*Inputs!$C$35))</f>
        <v/>
      </c>
      <c r="R1222" s="54">
        <f>IF($B1222=0,NA(),IF(Inputs!$B$27&lt;&gt;"Yes",NA(),Inputs!$D$27*Inputs!$C$35))</f>
        <v/>
      </c>
      <c r="S1222" s="54">
        <f>IF($B1222=0,NA(),IF(Inputs!$B$28&lt;&gt;"Yes",NA(),Inputs!$D$28*Inputs!$C$35))</f>
        <v/>
      </c>
      <c r="T1222" s="54">
        <f>IF($B1222=0,NA(),IF(Inputs!$B$29&lt;&gt;"Yes",NA(),Inputs!$D$29*Inputs!$C$35))</f>
        <v/>
      </c>
      <c r="AD1222">
        <f>IF($B1222=0,0,IF(Inputs!$B$6="",0,COUNTIFS(Data!$A$10:$A$3209,"&gt;="&amp;$A1222,Data!$A$10:$A$3209,"&lt;"&amp;$A1222+1)))</f>
        <v/>
      </c>
      <c r="AE1222">
        <f>IF($B1222=0,0,IF(Inputs!$B$7="",0,COUNTIFS(Data!$E$10:$E$3209,"&gt;="&amp;$A1222,Data!$E$10:$E$3209,"&lt;"&amp;$A1222+1)))</f>
        <v/>
      </c>
      <c r="AF1222">
        <f>IF($B1222=0,0,IF(Inputs!$B$8="",0,COUNTIFS(Data!$I$10:$I$3209,"&gt;="&amp;$A1222,Data!$I$10:$I$3209,"&lt;"&amp;$A1222+1)))</f>
        <v/>
      </c>
      <c r="AG1222">
        <f>IF($B1222=0,0,IF(Inputs!$B$9="",0,COUNTIFS(Data!$M$10:$M$3209,"&gt;="&amp;$A1222,Data!$M$10:$M$3209,"&lt;"&amp;$A1222+1)))</f>
        <v/>
      </c>
      <c r="AH1222">
        <f>IF($B1222=0,0,IF(Inputs!$B$10="",0,COUNTIFS(Data!$Q$10:$Q$3209,"&gt;="&amp;$A1222,Data!$Q$10:$Q$3209,"&lt;"&amp;$A1222+1)))</f>
        <v/>
      </c>
    </row>
    <row r="1223">
      <c r="A1223" s="55">
        <f>MIN(Inputs!$C$15,$A1222+IF(WEEKDAY($A1222,2)=5,3,1))</f>
        <v/>
      </c>
      <c r="B1223">
        <f>IF($A1223&gt;$A1222,1,0)</f>
        <v/>
      </c>
      <c r="C1223" s="56">
        <f>IF($B1223=0,"",IF(Inputs!$B$6="","",IF($AD1223=0,C1222,SUMIFS(Data!$B$10:$B$3209,Data!$A$10:$A$3209,"&gt;="&amp;$A1223,Data!$A$10:$A$3209,"&lt;"&amp;$A1223+1)/$AD1223)))</f>
        <v/>
      </c>
      <c r="D1223" s="56">
        <f>IF($B1223=0,"",IF(Inputs!$B$7="","",IF($AE1223=0,D1222,SUMIFS(Data!$F$10:$F$3209,Data!$E$10:$E$3209,"&gt;="&amp;$A1223,Data!$E$10:$E$3209,"&lt;"&amp;$A1223+1)/$AE1223)))</f>
        <v/>
      </c>
      <c r="E1223" s="56">
        <f>IF($B1223=0,"",IF(Inputs!$B$8="","",IF($AF1223=0,E1222,SUMIFS(Data!$J$10:$J$3209,Data!$I$10:$I$3209,"&gt;="&amp;$A1223,Data!$I$10:$I$3209,"&lt;"&amp;$A1223+1)/$AF1223)))</f>
        <v/>
      </c>
      <c r="F1223" s="56">
        <f>IF($B1223=0,"",IF(Inputs!$B$9="","",IF($AG1223=0,F1222,SUMIFS(Data!$N$10:$N$3209,Data!$M$10:$M$3209,"&gt;="&amp;$A1223,Data!$M$10:$M$3209,"&lt;"&amp;$A1223+1)/$AG1223)))</f>
        <v/>
      </c>
      <c r="G1223" s="56">
        <f>IF($B1223=0,"",IF(Inputs!$B$10="","",IF($AH1223=0,G1222,SUMIFS(Data!$R$10:$R$3209,Data!$Q$10:$Q$3209,"&gt;="&amp;$A1223,Data!$Q$10:$Q$3209,"&lt;"&amp;$A1223+1)/$AH1223)))</f>
        <v/>
      </c>
      <c r="I1223" s="54">
        <f>IF($B1223=0,NA(),IF($C1223="",NA(),IF(C$8="",NA(),IF(N(C$8)=0,NA(),IF(Inputs!$C$17="Rebased to 100",$C1223/C$8*100,$C1223)))))</f>
        <v/>
      </c>
      <c r="J1223" s="54">
        <f>IF($B1223=0,NA(),IF($D1223="",NA(),IF(D$8="",NA(),IF(N(D$8)=0,NA(),IF(Inputs!$C$17="Rebased to 100",$D1223/D$8*100,$D1223)))))</f>
        <v/>
      </c>
      <c r="K1223" s="54">
        <f>IF($B1223=0,NA(),IF($E1223="",NA(),IF(E$8="",NA(),IF(N(E$8)=0,NA(),IF(Inputs!$C$17="Rebased to 100",$E1223/E$8*100,$E1223)))))</f>
        <v/>
      </c>
      <c r="L1223" s="54">
        <f>IF($B1223=0,NA(),IF($F1223="",NA(),IF(F$8="",NA(),IF(N(F$8)=0,NA(),IF(Inputs!$C$17="Rebased to 100",$F1223/F$8*100,$F1223)))))</f>
        <v/>
      </c>
      <c r="M1223" s="54">
        <f>IF($B1223=0,NA(),IF($G1223="",NA(),IF(G$8="",NA(),IF(N(G$8)=0,NA(),IF(Inputs!$C$17="Rebased to 100",$G1223/G$8*100,$G1223)))))</f>
        <v/>
      </c>
      <c r="N1223" s="54">
        <f>IF($B1223=0,NA(),IF(Inputs!$C$18&lt;&gt;"Yes",NA(),IF(COUNT(I1223,J1223,K1223,L1223,M1223)=0,NA(),MIN(I1223,J1223,K1223,L1223,M1223))))</f>
        <v/>
      </c>
      <c r="O1223" s="54">
        <f>IF($B1223=0,NA(),IF(Inputs!$B$24&lt;&gt;"Yes",NA(),Inputs!$D$24*Inputs!$C$35))</f>
        <v/>
      </c>
      <c r="P1223" s="54">
        <f>IF($B1223=0,NA(),IF(Inputs!$B$25&lt;&gt;"Yes",NA(),Inputs!$D$25*Inputs!$C$35))</f>
        <v/>
      </c>
      <c r="Q1223" s="54">
        <f>IF($B1223=0,NA(),IF(Inputs!$B$26&lt;&gt;"Yes",NA(),Inputs!$D$26*Inputs!$C$35))</f>
        <v/>
      </c>
      <c r="R1223" s="54">
        <f>IF($B1223=0,NA(),IF(Inputs!$B$27&lt;&gt;"Yes",NA(),Inputs!$D$27*Inputs!$C$35))</f>
        <v/>
      </c>
      <c r="S1223" s="54">
        <f>IF($B1223=0,NA(),IF(Inputs!$B$28&lt;&gt;"Yes",NA(),Inputs!$D$28*Inputs!$C$35))</f>
        <v/>
      </c>
      <c r="T1223" s="54">
        <f>IF($B1223=0,NA(),IF(Inputs!$B$29&lt;&gt;"Yes",NA(),Inputs!$D$29*Inputs!$C$35))</f>
        <v/>
      </c>
      <c r="AD1223">
        <f>IF($B1223=0,0,IF(Inputs!$B$6="",0,COUNTIFS(Data!$A$10:$A$3209,"&gt;="&amp;$A1223,Data!$A$10:$A$3209,"&lt;"&amp;$A1223+1)))</f>
        <v/>
      </c>
      <c r="AE1223">
        <f>IF($B1223=0,0,IF(Inputs!$B$7="",0,COUNTIFS(Data!$E$10:$E$3209,"&gt;="&amp;$A1223,Data!$E$10:$E$3209,"&lt;"&amp;$A1223+1)))</f>
        <v/>
      </c>
      <c r="AF1223">
        <f>IF($B1223=0,0,IF(Inputs!$B$8="",0,COUNTIFS(Data!$I$10:$I$3209,"&gt;="&amp;$A1223,Data!$I$10:$I$3209,"&lt;"&amp;$A1223+1)))</f>
        <v/>
      </c>
      <c r="AG1223">
        <f>IF($B1223=0,0,IF(Inputs!$B$9="",0,COUNTIFS(Data!$M$10:$M$3209,"&gt;="&amp;$A1223,Data!$M$10:$M$3209,"&lt;"&amp;$A1223+1)))</f>
        <v/>
      </c>
      <c r="AH1223">
        <f>IF($B1223=0,0,IF(Inputs!$B$10="",0,COUNTIFS(Data!$Q$10:$Q$3209,"&gt;="&amp;$A1223,Data!$Q$10:$Q$3209,"&lt;"&amp;$A1223+1)))</f>
        <v/>
      </c>
    </row>
    <row r="1224">
      <c r="A1224" s="55">
        <f>MIN(Inputs!$C$15,$A1223+IF(WEEKDAY($A1223,2)=5,3,1))</f>
        <v/>
      </c>
      <c r="B1224">
        <f>IF($A1224&gt;$A1223,1,0)</f>
        <v/>
      </c>
      <c r="C1224" s="56">
        <f>IF($B1224=0,"",IF(Inputs!$B$6="","",IF($AD1224=0,C1223,SUMIFS(Data!$B$10:$B$3209,Data!$A$10:$A$3209,"&gt;="&amp;$A1224,Data!$A$10:$A$3209,"&lt;"&amp;$A1224+1)/$AD1224)))</f>
        <v/>
      </c>
      <c r="D1224" s="56">
        <f>IF($B1224=0,"",IF(Inputs!$B$7="","",IF($AE1224=0,D1223,SUMIFS(Data!$F$10:$F$3209,Data!$E$10:$E$3209,"&gt;="&amp;$A1224,Data!$E$10:$E$3209,"&lt;"&amp;$A1224+1)/$AE1224)))</f>
        <v/>
      </c>
      <c r="E1224" s="56">
        <f>IF($B1224=0,"",IF(Inputs!$B$8="","",IF($AF1224=0,E1223,SUMIFS(Data!$J$10:$J$3209,Data!$I$10:$I$3209,"&gt;="&amp;$A1224,Data!$I$10:$I$3209,"&lt;"&amp;$A1224+1)/$AF1224)))</f>
        <v/>
      </c>
      <c r="F1224" s="56">
        <f>IF($B1224=0,"",IF(Inputs!$B$9="","",IF($AG1224=0,F1223,SUMIFS(Data!$N$10:$N$3209,Data!$M$10:$M$3209,"&gt;="&amp;$A1224,Data!$M$10:$M$3209,"&lt;"&amp;$A1224+1)/$AG1224)))</f>
        <v/>
      </c>
      <c r="G1224" s="56">
        <f>IF($B1224=0,"",IF(Inputs!$B$10="","",IF($AH1224=0,G1223,SUMIFS(Data!$R$10:$R$3209,Data!$Q$10:$Q$3209,"&gt;="&amp;$A1224,Data!$Q$10:$Q$3209,"&lt;"&amp;$A1224+1)/$AH1224)))</f>
        <v/>
      </c>
      <c r="I1224" s="54">
        <f>IF($B1224=0,NA(),IF($C1224="",NA(),IF(C$8="",NA(),IF(N(C$8)=0,NA(),IF(Inputs!$C$17="Rebased to 100",$C1224/C$8*100,$C1224)))))</f>
        <v/>
      </c>
      <c r="J1224" s="54">
        <f>IF($B1224=0,NA(),IF($D1224="",NA(),IF(D$8="",NA(),IF(N(D$8)=0,NA(),IF(Inputs!$C$17="Rebased to 100",$D1224/D$8*100,$D1224)))))</f>
        <v/>
      </c>
      <c r="K1224" s="54">
        <f>IF($B1224=0,NA(),IF($E1224="",NA(),IF(E$8="",NA(),IF(N(E$8)=0,NA(),IF(Inputs!$C$17="Rebased to 100",$E1224/E$8*100,$E1224)))))</f>
        <v/>
      </c>
      <c r="L1224" s="54">
        <f>IF($B1224=0,NA(),IF($F1224="",NA(),IF(F$8="",NA(),IF(N(F$8)=0,NA(),IF(Inputs!$C$17="Rebased to 100",$F1224/F$8*100,$F1224)))))</f>
        <v/>
      </c>
      <c r="M1224" s="54">
        <f>IF($B1224=0,NA(),IF($G1224="",NA(),IF(G$8="",NA(),IF(N(G$8)=0,NA(),IF(Inputs!$C$17="Rebased to 100",$G1224/G$8*100,$G1224)))))</f>
        <v/>
      </c>
      <c r="N1224" s="54">
        <f>IF($B1224=0,NA(),IF(Inputs!$C$18&lt;&gt;"Yes",NA(),IF(COUNT(I1224,J1224,K1224,L1224,M1224)=0,NA(),MIN(I1224,J1224,K1224,L1224,M1224))))</f>
        <v/>
      </c>
      <c r="O1224" s="54">
        <f>IF($B1224=0,NA(),IF(Inputs!$B$24&lt;&gt;"Yes",NA(),Inputs!$D$24*Inputs!$C$35))</f>
        <v/>
      </c>
      <c r="P1224" s="54">
        <f>IF($B1224=0,NA(),IF(Inputs!$B$25&lt;&gt;"Yes",NA(),Inputs!$D$25*Inputs!$C$35))</f>
        <v/>
      </c>
      <c r="Q1224" s="54">
        <f>IF($B1224=0,NA(),IF(Inputs!$B$26&lt;&gt;"Yes",NA(),Inputs!$D$26*Inputs!$C$35))</f>
        <v/>
      </c>
      <c r="R1224" s="54">
        <f>IF($B1224=0,NA(),IF(Inputs!$B$27&lt;&gt;"Yes",NA(),Inputs!$D$27*Inputs!$C$35))</f>
        <v/>
      </c>
      <c r="S1224" s="54">
        <f>IF($B1224=0,NA(),IF(Inputs!$B$28&lt;&gt;"Yes",NA(),Inputs!$D$28*Inputs!$C$35))</f>
        <v/>
      </c>
      <c r="T1224" s="54">
        <f>IF($B1224=0,NA(),IF(Inputs!$B$29&lt;&gt;"Yes",NA(),Inputs!$D$29*Inputs!$C$35))</f>
        <v/>
      </c>
      <c r="AD1224">
        <f>IF($B1224=0,0,IF(Inputs!$B$6="",0,COUNTIFS(Data!$A$10:$A$3209,"&gt;="&amp;$A1224,Data!$A$10:$A$3209,"&lt;"&amp;$A1224+1)))</f>
        <v/>
      </c>
      <c r="AE1224">
        <f>IF($B1224=0,0,IF(Inputs!$B$7="",0,COUNTIFS(Data!$E$10:$E$3209,"&gt;="&amp;$A1224,Data!$E$10:$E$3209,"&lt;"&amp;$A1224+1)))</f>
        <v/>
      </c>
      <c r="AF1224">
        <f>IF($B1224=0,0,IF(Inputs!$B$8="",0,COUNTIFS(Data!$I$10:$I$3209,"&gt;="&amp;$A1224,Data!$I$10:$I$3209,"&lt;"&amp;$A1224+1)))</f>
        <v/>
      </c>
      <c r="AG1224">
        <f>IF($B1224=0,0,IF(Inputs!$B$9="",0,COUNTIFS(Data!$M$10:$M$3209,"&gt;="&amp;$A1224,Data!$M$10:$M$3209,"&lt;"&amp;$A1224+1)))</f>
        <v/>
      </c>
      <c r="AH1224">
        <f>IF($B1224=0,0,IF(Inputs!$B$10="",0,COUNTIFS(Data!$Q$10:$Q$3209,"&gt;="&amp;$A1224,Data!$Q$10:$Q$3209,"&lt;"&amp;$A1224+1)))</f>
        <v/>
      </c>
    </row>
    <row r="1225">
      <c r="A1225" s="55">
        <f>MIN(Inputs!$C$15,$A1224+IF(WEEKDAY($A1224,2)=5,3,1))</f>
        <v/>
      </c>
      <c r="B1225">
        <f>IF($A1225&gt;$A1224,1,0)</f>
        <v/>
      </c>
      <c r="C1225" s="56">
        <f>IF($B1225=0,"",IF(Inputs!$B$6="","",IF($AD1225=0,C1224,SUMIFS(Data!$B$10:$B$3209,Data!$A$10:$A$3209,"&gt;="&amp;$A1225,Data!$A$10:$A$3209,"&lt;"&amp;$A1225+1)/$AD1225)))</f>
        <v/>
      </c>
      <c r="D1225" s="56">
        <f>IF($B1225=0,"",IF(Inputs!$B$7="","",IF($AE1225=0,D1224,SUMIFS(Data!$F$10:$F$3209,Data!$E$10:$E$3209,"&gt;="&amp;$A1225,Data!$E$10:$E$3209,"&lt;"&amp;$A1225+1)/$AE1225)))</f>
        <v/>
      </c>
      <c r="E1225" s="56">
        <f>IF($B1225=0,"",IF(Inputs!$B$8="","",IF($AF1225=0,E1224,SUMIFS(Data!$J$10:$J$3209,Data!$I$10:$I$3209,"&gt;="&amp;$A1225,Data!$I$10:$I$3209,"&lt;"&amp;$A1225+1)/$AF1225)))</f>
        <v/>
      </c>
      <c r="F1225" s="56">
        <f>IF($B1225=0,"",IF(Inputs!$B$9="","",IF($AG1225=0,F1224,SUMIFS(Data!$N$10:$N$3209,Data!$M$10:$M$3209,"&gt;="&amp;$A1225,Data!$M$10:$M$3209,"&lt;"&amp;$A1225+1)/$AG1225)))</f>
        <v/>
      </c>
      <c r="G1225" s="56">
        <f>IF($B1225=0,"",IF(Inputs!$B$10="","",IF($AH1225=0,G1224,SUMIFS(Data!$R$10:$R$3209,Data!$Q$10:$Q$3209,"&gt;="&amp;$A1225,Data!$Q$10:$Q$3209,"&lt;"&amp;$A1225+1)/$AH1225)))</f>
        <v/>
      </c>
      <c r="I1225" s="54">
        <f>IF($B1225=0,NA(),IF($C1225="",NA(),IF(C$8="",NA(),IF(N(C$8)=0,NA(),IF(Inputs!$C$17="Rebased to 100",$C1225/C$8*100,$C1225)))))</f>
        <v/>
      </c>
      <c r="J1225" s="54">
        <f>IF($B1225=0,NA(),IF($D1225="",NA(),IF(D$8="",NA(),IF(N(D$8)=0,NA(),IF(Inputs!$C$17="Rebased to 100",$D1225/D$8*100,$D1225)))))</f>
        <v/>
      </c>
      <c r="K1225" s="54">
        <f>IF($B1225=0,NA(),IF($E1225="",NA(),IF(E$8="",NA(),IF(N(E$8)=0,NA(),IF(Inputs!$C$17="Rebased to 100",$E1225/E$8*100,$E1225)))))</f>
        <v/>
      </c>
      <c r="L1225" s="54">
        <f>IF($B1225=0,NA(),IF($F1225="",NA(),IF(F$8="",NA(),IF(N(F$8)=0,NA(),IF(Inputs!$C$17="Rebased to 100",$F1225/F$8*100,$F1225)))))</f>
        <v/>
      </c>
      <c r="M1225" s="54">
        <f>IF($B1225=0,NA(),IF($G1225="",NA(),IF(G$8="",NA(),IF(N(G$8)=0,NA(),IF(Inputs!$C$17="Rebased to 100",$G1225/G$8*100,$G1225)))))</f>
        <v/>
      </c>
      <c r="N1225" s="54">
        <f>IF($B1225=0,NA(),IF(Inputs!$C$18&lt;&gt;"Yes",NA(),IF(COUNT(I1225,J1225,K1225,L1225,M1225)=0,NA(),MIN(I1225,J1225,K1225,L1225,M1225))))</f>
        <v/>
      </c>
      <c r="O1225" s="54">
        <f>IF($B1225=0,NA(),IF(Inputs!$B$24&lt;&gt;"Yes",NA(),Inputs!$D$24*Inputs!$C$35))</f>
        <v/>
      </c>
      <c r="P1225" s="54">
        <f>IF($B1225=0,NA(),IF(Inputs!$B$25&lt;&gt;"Yes",NA(),Inputs!$D$25*Inputs!$C$35))</f>
        <v/>
      </c>
      <c r="Q1225" s="54">
        <f>IF($B1225=0,NA(),IF(Inputs!$B$26&lt;&gt;"Yes",NA(),Inputs!$D$26*Inputs!$C$35))</f>
        <v/>
      </c>
      <c r="R1225" s="54">
        <f>IF($B1225=0,NA(),IF(Inputs!$B$27&lt;&gt;"Yes",NA(),Inputs!$D$27*Inputs!$C$35))</f>
        <v/>
      </c>
      <c r="S1225" s="54">
        <f>IF($B1225=0,NA(),IF(Inputs!$B$28&lt;&gt;"Yes",NA(),Inputs!$D$28*Inputs!$C$35))</f>
        <v/>
      </c>
      <c r="T1225" s="54">
        <f>IF($B1225=0,NA(),IF(Inputs!$B$29&lt;&gt;"Yes",NA(),Inputs!$D$29*Inputs!$C$35))</f>
        <v/>
      </c>
      <c r="AD1225">
        <f>IF($B1225=0,0,IF(Inputs!$B$6="",0,COUNTIFS(Data!$A$10:$A$3209,"&gt;="&amp;$A1225,Data!$A$10:$A$3209,"&lt;"&amp;$A1225+1)))</f>
        <v/>
      </c>
      <c r="AE1225">
        <f>IF($B1225=0,0,IF(Inputs!$B$7="",0,COUNTIFS(Data!$E$10:$E$3209,"&gt;="&amp;$A1225,Data!$E$10:$E$3209,"&lt;"&amp;$A1225+1)))</f>
        <v/>
      </c>
      <c r="AF1225">
        <f>IF($B1225=0,0,IF(Inputs!$B$8="",0,COUNTIFS(Data!$I$10:$I$3209,"&gt;="&amp;$A1225,Data!$I$10:$I$3209,"&lt;"&amp;$A1225+1)))</f>
        <v/>
      </c>
      <c r="AG1225">
        <f>IF($B1225=0,0,IF(Inputs!$B$9="",0,COUNTIFS(Data!$M$10:$M$3209,"&gt;="&amp;$A1225,Data!$M$10:$M$3209,"&lt;"&amp;$A1225+1)))</f>
        <v/>
      </c>
      <c r="AH1225">
        <f>IF($B1225=0,0,IF(Inputs!$B$10="",0,COUNTIFS(Data!$Q$10:$Q$3209,"&gt;="&amp;$A1225,Data!$Q$10:$Q$3209,"&lt;"&amp;$A1225+1)))</f>
        <v/>
      </c>
    </row>
    <row r="1226">
      <c r="A1226" s="55">
        <f>MIN(Inputs!$C$15,$A1225+IF(WEEKDAY($A1225,2)=5,3,1))</f>
        <v/>
      </c>
      <c r="B1226">
        <f>IF($A1226&gt;$A1225,1,0)</f>
        <v/>
      </c>
      <c r="C1226" s="56">
        <f>IF($B1226=0,"",IF(Inputs!$B$6="","",IF($AD1226=0,C1225,SUMIFS(Data!$B$10:$B$3209,Data!$A$10:$A$3209,"&gt;="&amp;$A1226,Data!$A$10:$A$3209,"&lt;"&amp;$A1226+1)/$AD1226)))</f>
        <v/>
      </c>
      <c r="D1226" s="56">
        <f>IF($B1226=0,"",IF(Inputs!$B$7="","",IF($AE1226=0,D1225,SUMIFS(Data!$F$10:$F$3209,Data!$E$10:$E$3209,"&gt;="&amp;$A1226,Data!$E$10:$E$3209,"&lt;"&amp;$A1226+1)/$AE1226)))</f>
        <v/>
      </c>
      <c r="E1226" s="56">
        <f>IF($B1226=0,"",IF(Inputs!$B$8="","",IF($AF1226=0,E1225,SUMIFS(Data!$J$10:$J$3209,Data!$I$10:$I$3209,"&gt;="&amp;$A1226,Data!$I$10:$I$3209,"&lt;"&amp;$A1226+1)/$AF1226)))</f>
        <v/>
      </c>
      <c r="F1226" s="56">
        <f>IF($B1226=0,"",IF(Inputs!$B$9="","",IF($AG1226=0,F1225,SUMIFS(Data!$N$10:$N$3209,Data!$M$10:$M$3209,"&gt;="&amp;$A1226,Data!$M$10:$M$3209,"&lt;"&amp;$A1226+1)/$AG1226)))</f>
        <v/>
      </c>
      <c r="G1226" s="56">
        <f>IF($B1226=0,"",IF(Inputs!$B$10="","",IF($AH1226=0,G1225,SUMIFS(Data!$R$10:$R$3209,Data!$Q$10:$Q$3209,"&gt;="&amp;$A1226,Data!$Q$10:$Q$3209,"&lt;"&amp;$A1226+1)/$AH1226)))</f>
        <v/>
      </c>
      <c r="I1226" s="54">
        <f>IF($B1226=0,NA(),IF($C1226="",NA(),IF(C$8="",NA(),IF(N(C$8)=0,NA(),IF(Inputs!$C$17="Rebased to 100",$C1226/C$8*100,$C1226)))))</f>
        <v/>
      </c>
      <c r="J1226" s="54">
        <f>IF($B1226=0,NA(),IF($D1226="",NA(),IF(D$8="",NA(),IF(N(D$8)=0,NA(),IF(Inputs!$C$17="Rebased to 100",$D1226/D$8*100,$D1226)))))</f>
        <v/>
      </c>
      <c r="K1226" s="54">
        <f>IF($B1226=0,NA(),IF($E1226="",NA(),IF(E$8="",NA(),IF(N(E$8)=0,NA(),IF(Inputs!$C$17="Rebased to 100",$E1226/E$8*100,$E1226)))))</f>
        <v/>
      </c>
      <c r="L1226" s="54">
        <f>IF($B1226=0,NA(),IF($F1226="",NA(),IF(F$8="",NA(),IF(N(F$8)=0,NA(),IF(Inputs!$C$17="Rebased to 100",$F1226/F$8*100,$F1226)))))</f>
        <v/>
      </c>
      <c r="M1226" s="54">
        <f>IF($B1226=0,NA(),IF($G1226="",NA(),IF(G$8="",NA(),IF(N(G$8)=0,NA(),IF(Inputs!$C$17="Rebased to 100",$G1226/G$8*100,$G1226)))))</f>
        <v/>
      </c>
      <c r="N1226" s="54">
        <f>IF($B1226=0,NA(),IF(Inputs!$C$18&lt;&gt;"Yes",NA(),IF(COUNT(I1226,J1226,K1226,L1226,M1226)=0,NA(),MIN(I1226,J1226,K1226,L1226,M1226))))</f>
        <v/>
      </c>
      <c r="O1226" s="54">
        <f>IF($B1226=0,NA(),IF(Inputs!$B$24&lt;&gt;"Yes",NA(),Inputs!$D$24*Inputs!$C$35))</f>
        <v/>
      </c>
      <c r="P1226" s="54">
        <f>IF($B1226=0,NA(),IF(Inputs!$B$25&lt;&gt;"Yes",NA(),Inputs!$D$25*Inputs!$C$35))</f>
        <v/>
      </c>
      <c r="Q1226" s="54">
        <f>IF($B1226=0,NA(),IF(Inputs!$B$26&lt;&gt;"Yes",NA(),Inputs!$D$26*Inputs!$C$35))</f>
        <v/>
      </c>
      <c r="R1226" s="54">
        <f>IF($B1226=0,NA(),IF(Inputs!$B$27&lt;&gt;"Yes",NA(),Inputs!$D$27*Inputs!$C$35))</f>
        <v/>
      </c>
      <c r="S1226" s="54">
        <f>IF($B1226=0,NA(),IF(Inputs!$B$28&lt;&gt;"Yes",NA(),Inputs!$D$28*Inputs!$C$35))</f>
        <v/>
      </c>
      <c r="T1226" s="54">
        <f>IF($B1226=0,NA(),IF(Inputs!$B$29&lt;&gt;"Yes",NA(),Inputs!$D$29*Inputs!$C$35))</f>
        <v/>
      </c>
      <c r="AD1226">
        <f>IF($B1226=0,0,IF(Inputs!$B$6="",0,COUNTIFS(Data!$A$10:$A$3209,"&gt;="&amp;$A1226,Data!$A$10:$A$3209,"&lt;"&amp;$A1226+1)))</f>
        <v/>
      </c>
      <c r="AE1226">
        <f>IF($B1226=0,0,IF(Inputs!$B$7="",0,COUNTIFS(Data!$E$10:$E$3209,"&gt;="&amp;$A1226,Data!$E$10:$E$3209,"&lt;"&amp;$A1226+1)))</f>
        <v/>
      </c>
      <c r="AF1226">
        <f>IF($B1226=0,0,IF(Inputs!$B$8="",0,COUNTIFS(Data!$I$10:$I$3209,"&gt;="&amp;$A1226,Data!$I$10:$I$3209,"&lt;"&amp;$A1226+1)))</f>
        <v/>
      </c>
      <c r="AG1226">
        <f>IF($B1226=0,0,IF(Inputs!$B$9="",0,COUNTIFS(Data!$M$10:$M$3209,"&gt;="&amp;$A1226,Data!$M$10:$M$3209,"&lt;"&amp;$A1226+1)))</f>
        <v/>
      </c>
      <c r="AH1226">
        <f>IF($B1226=0,0,IF(Inputs!$B$10="",0,COUNTIFS(Data!$Q$10:$Q$3209,"&gt;="&amp;$A1226,Data!$Q$10:$Q$3209,"&lt;"&amp;$A1226+1)))</f>
        <v/>
      </c>
    </row>
    <row r="1227">
      <c r="A1227" s="55">
        <f>MIN(Inputs!$C$15,$A1226+IF(WEEKDAY($A1226,2)=5,3,1))</f>
        <v/>
      </c>
      <c r="B1227">
        <f>IF($A1227&gt;$A1226,1,0)</f>
        <v/>
      </c>
      <c r="C1227" s="56">
        <f>IF($B1227=0,"",IF(Inputs!$B$6="","",IF($AD1227=0,C1226,SUMIFS(Data!$B$10:$B$3209,Data!$A$10:$A$3209,"&gt;="&amp;$A1227,Data!$A$10:$A$3209,"&lt;"&amp;$A1227+1)/$AD1227)))</f>
        <v/>
      </c>
      <c r="D1227" s="56">
        <f>IF($B1227=0,"",IF(Inputs!$B$7="","",IF($AE1227=0,D1226,SUMIFS(Data!$F$10:$F$3209,Data!$E$10:$E$3209,"&gt;="&amp;$A1227,Data!$E$10:$E$3209,"&lt;"&amp;$A1227+1)/$AE1227)))</f>
        <v/>
      </c>
      <c r="E1227" s="56">
        <f>IF($B1227=0,"",IF(Inputs!$B$8="","",IF($AF1227=0,E1226,SUMIFS(Data!$J$10:$J$3209,Data!$I$10:$I$3209,"&gt;="&amp;$A1227,Data!$I$10:$I$3209,"&lt;"&amp;$A1227+1)/$AF1227)))</f>
        <v/>
      </c>
      <c r="F1227" s="56">
        <f>IF($B1227=0,"",IF(Inputs!$B$9="","",IF($AG1227=0,F1226,SUMIFS(Data!$N$10:$N$3209,Data!$M$10:$M$3209,"&gt;="&amp;$A1227,Data!$M$10:$M$3209,"&lt;"&amp;$A1227+1)/$AG1227)))</f>
        <v/>
      </c>
      <c r="G1227" s="56">
        <f>IF($B1227=0,"",IF(Inputs!$B$10="","",IF($AH1227=0,G1226,SUMIFS(Data!$R$10:$R$3209,Data!$Q$10:$Q$3209,"&gt;="&amp;$A1227,Data!$Q$10:$Q$3209,"&lt;"&amp;$A1227+1)/$AH1227)))</f>
        <v/>
      </c>
      <c r="I1227" s="54">
        <f>IF($B1227=0,NA(),IF($C1227="",NA(),IF(C$8="",NA(),IF(N(C$8)=0,NA(),IF(Inputs!$C$17="Rebased to 100",$C1227/C$8*100,$C1227)))))</f>
        <v/>
      </c>
      <c r="J1227" s="54">
        <f>IF($B1227=0,NA(),IF($D1227="",NA(),IF(D$8="",NA(),IF(N(D$8)=0,NA(),IF(Inputs!$C$17="Rebased to 100",$D1227/D$8*100,$D1227)))))</f>
        <v/>
      </c>
      <c r="K1227" s="54">
        <f>IF($B1227=0,NA(),IF($E1227="",NA(),IF(E$8="",NA(),IF(N(E$8)=0,NA(),IF(Inputs!$C$17="Rebased to 100",$E1227/E$8*100,$E1227)))))</f>
        <v/>
      </c>
      <c r="L1227" s="54">
        <f>IF($B1227=0,NA(),IF($F1227="",NA(),IF(F$8="",NA(),IF(N(F$8)=0,NA(),IF(Inputs!$C$17="Rebased to 100",$F1227/F$8*100,$F1227)))))</f>
        <v/>
      </c>
      <c r="M1227" s="54">
        <f>IF($B1227=0,NA(),IF($G1227="",NA(),IF(G$8="",NA(),IF(N(G$8)=0,NA(),IF(Inputs!$C$17="Rebased to 100",$G1227/G$8*100,$G1227)))))</f>
        <v/>
      </c>
      <c r="N1227" s="54">
        <f>IF($B1227=0,NA(),IF(Inputs!$C$18&lt;&gt;"Yes",NA(),IF(COUNT(I1227,J1227,K1227,L1227,M1227)=0,NA(),MIN(I1227,J1227,K1227,L1227,M1227))))</f>
        <v/>
      </c>
      <c r="O1227" s="54">
        <f>IF($B1227=0,NA(),IF(Inputs!$B$24&lt;&gt;"Yes",NA(),Inputs!$D$24*Inputs!$C$35))</f>
        <v/>
      </c>
      <c r="P1227" s="54">
        <f>IF($B1227=0,NA(),IF(Inputs!$B$25&lt;&gt;"Yes",NA(),Inputs!$D$25*Inputs!$C$35))</f>
        <v/>
      </c>
      <c r="Q1227" s="54">
        <f>IF($B1227=0,NA(),IF(Inputs!$B$26&lt;&gt;"Yes",NA(),Inputs!$D$26*Inputs!$C$35))</f>
        <v/>
      </c>
      <c r="R1227" s="54">
        <f>IF($B1227=0,NA(),IF(Inputs!$B$27&lt;&gt;"Yes",NA(),Inputs!$D$27*Inputs!$C$35))</f>
        <v/>
      </c>
      <c r="S1227" s="54">
        <f>IF($B1227=0,NA(),IF(Inputs!$B$28&lt;&gt;"Yes",NA(),Inputs!$D$28*Inputs!$C$35))</f>
        <v/>
      </c>
      <c r="T1227" s="54">
        <f>IF($B1227=0,NA(),IF(Inputs!$B$29&lt;&gt;"Yes",NA(),Inputs!$D$29*Inputs!$C$35))</f>
        <v/>
      </c>
      <c r="AD1227">
        <f>IF($B1227=0,0,IF(Inputs!$B$6="",0,COUNTIFS(Data!$A$10:$A$3209,"&gt;="&amp;$A1227,Data!$A$10:$A$3209,"&lt;"&amp;$A1227+1)))</f>
        <v/>
      </c>
      <c r="AE1227">
        <f>IF($B1227=0,0,IF(Inputs!$B$7="",0,COUNTIFS(Data!$E$10:$E$3209,"&gt;="&amp;$A1227,Data!$E$10:$E$3209,"&lt;"&amp;$A1227+1)))</f>
        <v/>
      </c>
      <c r="AF1227">
        <f>IF($B1227=0,0,IF(Inputs!$B$8="",0,COUNTIFS(Data!$I$10:$I$3209,"&gt;="&amp;$A1227,Data!$I$10:$I$3209,"&lt;"&amp;$A1227+1)))</f>
        <v/>
      </c>
      <c r="AG1227">
        <f>IF($B1227=0,0,IF(Inputs!$B$9="",0,COUNTIFS(Data!$M$10:$M$3209,"&gt;="&amp;$A1227,Data!$M$10:$M$3209,"&lt;"&amp;$A1227+1)))</f>
        <v/>
      </c>
      <c r="AH1227">
        <f>IF($B1227=0,0,IF(Inputs!$B$10="",0,COUNTIFS(Data!$Q$10:$Q$3209,"&gt;="&amp;$A1227,Data!$Q$10:$Q$3209,"&lt;"&amp;$A1227+1)))</f>
        <v/>
      </c>
    </row>
    <row r="1228">
      <c r="A1228" s="55">
        <f>MIN(Inputs!$C$15,$A1227+IF(WEEKDAY($A1227,2)=5,3,1))</f>
        <v/>
      </c>
      <c r="B1228">
        <f>IF($A1228&gt;$A1227,1,0)</f>
        <v/>
      </c>
      <c r="C1228" s="56">
        <f>IF($B1228=0,"",IF(Inputs!$B$6="","",IF($AD1228=0,C1227,SUMIFS(Data!$B$10:$B$3209,Data!$A$10:$A$3209,"&gt;="&amp;$A1228,Data!$A$10:$A$3209,"&lt;"&amp;$A1228+1)/$AD1228)))</f>
        <v/>
      </c>
      <c r="D1228" s="56">
        <f>IF($B1228=0,"",IF(Inputs!$B$7="","",IF($AE1228=0,D1227,SUMIFS(Data!$F$10:$F$3209,Data!$E$10:$E$3209,"&gt;="&amp;$A1228,Data!$E$10:$E$3209,"&lt;"&amp;$A1228+1)/$AE1228)))</f>
        <v/>
      </c>
      <c r="E1228" s="56">
        <f>IF($B1228=0,"",IF(Inputs!$B$8="","",IF($AF1228=0,E1227,SUMIFS(Data!$J$10:$J$3209,Data!$I$10:$I$3209,"&gt;="&amp;$A1228,Data!$I$10:$I$3209,"&lt;"&amp;$A1228+1)/$AF1228)))</f>
        <v/>
      </c>
      <c r="F1228" s="56">
        <f>IF($B1228=0,"",IF(Inputs!$B$9="","",IF($AG1228=0,F1227,SUMIFS(Data!$N$10:$N$3209,Data!$M$10:$M$3209,"&gt;="&amp;$A1228,Data!$M$10:$M$3209,"&lt;"&amp;$A1228+1)/$AG1228)))</f>
        <v/>
      </c>
      <c r="G1228" s="56">
        <f>IF($B1228=0,"",IF(Inputs!$B$10="","",IF($AH1228=0,G1227,SUMIFS(Data!$R$10:$R$3209,Data!$Q$10:$Q$3209,"&gt;="&amp;$A1228,Data!$Q$10:$Q$3209,"&lt;"&amp;$A1228+1)/$AH1228)))</f>
        <v/>
      </c>
      <c r="I1228" s="54">
        <f>IF($B1228=0,NA(),IF($C1228="",NA(),IF(C$8="",NA(),IF(N(C$8)=0,NA(),IF(Inputs!$C$17="Rebased to 100",$C1228/C$8*100,$C1228)))))</f>
        <v/>
      </c>
      <c r="J1228" s="54">
        <f>IF($B1228=0,NA(),IF($D1228="",NA(),IF(D$8="",NA(),IF(N(D$8)=0,NA(),IF(Inputs!$C$17="Rebased to 100",$D1228/D$8*100,$D1228)))))</f>
        <v/>
      </c>
      <c r="K1228" s="54">
        <f>IF($B1228=0,NA(),IF($E1228="",NA(),IF(E$8="",NA(),IF(N(E$8)=0,NA(),IF(Inputs!$C$17="Rebased to 100",$E1228/E$8*100,$E1228)))))</f>
        <v/>
      </c>
      <c r="L1228" s="54">
        <f>IF($B1228=0,NA(),IF($F1228="",NA(),IF(F$8="",NA(),IF(N(F$8)=0,NA(),IF(Inputs!$C$17="Rebased to 100",$F1228/F$8*100,$F1228)))))</f>
        <v/>
      </c>
      <c r="M1228" s="54">
        <f>IF($B1228=0,NA(),IF($G1228="",NA(),IF(G$8="",NA(),IF(N(G$8)=0,NA(),IF(Inputs!$C$17="Rebased to 100",$G1228/G$8*100,$G1228)))))</f>
        <v/>
      </c>
      <c r="N1228" s="54">
        <f>IF($B1228=0,NA(),IF(Inputs!$C$18&lt;&gt;"Yes",NA(),IF(COUNT(I1228,J1228,K1228,L1228,M1228)=0,NA(),MIN(I1228,J1228,K1228,L1228,M1228))))</f>
        <v/>
      </c>
      <c r="O1228" s="54">
        <f>IF($B1228=0,NA(),IF(Inputs!$B$24&lt;&gt;"Yes",NA(),Inputs!$D$24*Inputs!$C$35))</f>
        <v/>
      </c>
      <c r="P1228" s="54">
        <f>IF($B1228=0,NA(),IF(Inputs!$B$25&lt;&gt;"Yes",NA(),Inputs!$D$25*Inputs!$C$35))</f>
        <v/>
      </c>
      <c r="Q1228" s="54">
        <f>IF($B1228=0,NA(),IF(Inputs!$B$26&lt;&gt;"Yes",NA(),Inputs!$D$26*Inputs!$C$35))</f>
        <v/>
      </c>
      <c r="R1228" s="54">
        <f>IF($B1228=0,NA(),IF(Inputs!$B$27&lt;&gt;"Yes",NA(),Inputs!$D$27*Inputs!$C$35))</f>
        <v/>
      </c>
      <c r="S1228" s="54">
        <f>IF($B1228=0,NA(),IF(Inputs!$B$28&lt;&gt;"Yes",NA(),Inputs!$D$28*Inputs!$C$35))</f>
        <v/>
      </c>
      <c r="T1228" s="54">
        <f>IF($B1228=0,NA(),IF(Inputs!$B$29&lt;&gt;"Yes",NA(),Inputs!$D$29*Inputs!$C$35))</f>
        <v/>
      </c>
      <c r="AD1228">
        <f>IF($B1228=0,0,IF(Inputs!$B$6="",0,COUNTIFS(Data!$A$10:$A$3209,"&gt;="&amp;$A1228,Data!$A$10:$A$3209,"&lt;"&amp;$A1228+1)))</f>
        <v/>
      </c>
      <c r="AE1228">
        <f>IF($B1228=0,0,IF(Inputs!$B$7="",0,COUNTIFS(Data!$E$10:$E$3209,"&gt;="&amp;$A1228,Data!$E$10:$E$3209,"&lt;"&amp;$A1228+1)))</f>
        <v/>
      </c>
      <c r="AF1228">
        <f>IF($B1228=0,0,IF(Inputs!$B$8="",0,COUNTIFS(Data!$I$10:$I$3209,"&gt;="&amp;$A1228,Data!$I$10:$I$3209,"&lt;"&amp;$A1228+1)))</f>
        <v/>
      </c>
      <c r="AG1228">
        <f>IF($B1228=0,0,IF(Inputs!$B$9="",0,COUNTIFS(Data!$M$10:$M$3209,"&gt;="&amp;$A1228,Data!$M$10:$M$3209,"&lt;"&amp;$A1228+1)))</f>
        <v/>
      </c>
      <c r="AH1228">
        <f>IF($B1228=0,0,IF(Inputs!$B$10="",0,COUNTIFS(Data!$Q$10:$Q$3209,"&gt;="&amp;$A1228,Data!$Q$10:$Q$3209,"&lt;"&amp;$A1228+1)))</f>
        <v/>
      </c>
    </row>
    <row r="1229">
      <c r="A1229" s="55">
        <f>MIN(Inputs!$C$15,$A1228+IF(WEEKDAY($A1228,2)=5,3,1))</f>
        <v/>
      </c>
      <c r="B1229">
        <f>IF($A1229&gt;$A1228,1,0)</f>
        <v/>
      </c>
      <c r="C1229" s="56">
        <f>IF($B1229=0,"",IF(Inputs!$B$6="","",IF($AD1229=0,C1228,SUMIFS(Data!$B$10:$B$3209,Data!$A$10:$A$3209,"&gt;="&amp;$A1229,Data!$A$10:$A$3209,"&lt;"&amp;$A1229+1)/$AD1229)))</f>
        <v/>
      </c>
      <c r="D1229" s="56">
        <f>IF($B1229=0,"",IF(Inputs!$B$7="","",IF($AE1229=0,D1228,SUMIFS(Data!$F$10:$F$3209,Data!$E$10:$E$3209,"&gt;="&amp;$A1229,Data!$E$10:$E$3209,"&lt;"&amp;$A1229+1)/$AE1229)))</f>
        <v/>
      </c>
      <c r="E1229" s="56">
        <f>IF($B1229=0,"",IF(Inputs!$B$8="","",IF($AF1229=0,E1228,SUMIFS(Data!$J$10:$J$3209,Data!$I$10:$I$3209,"&gt;="&amp;$A1229,Data!$I$10:$I$3209,"&lt;"&amp;$A1229+1)/$AF1229)))</f>
        <v/>
      </c>
      <c r="F1229" s="56">
        <f>IF($B1229=0,"",IF(Inputs!$B$9="","",IF($AG1229=0,F1228,SUMIFS(Data!$N$10:$N$3209,Data!$M$10:$M$3209,"&gt;="&amp;$A1229,Data!$M$10:$M$3209,"&lt;"&amp;$A1229+1)/$AG1229)))</f>
        <v/>
      </c>
      <c r="G1229" s="56">
        <f>IF($B1229=0,"",IF(Inputs!$B$10="","",IF($AH1229=0,G1228,SUMIFS(Data!$R$10:$R$3209,Data!$Q$10:$Q$3209,"&gt;="&amp;$A1229,Data!$Q$10:$Q$3209,"&lt;"&amp;$A1229+1)/$AH1229)))</f>
        <v/>
      </c>
      <c r="I1229" s="54">
        <f>IF($B1229=0,NA(),IF($C1229="",NA(),IF(C$8="",NA(),IF(N(C$8)=0,NA(),IF(Inputs!$C$17="Rebased to 100",$C1229/C$8*100,$C1229)))))</f>
        <v/>
      </c>
      <c r="J1229" s="54">
        <f>IF($B1229=0,NA(),IF($D1229="",NA(),IF(D$8="",NA(),IF(N(D$8)=0,NA(),IF(Inputs!$C$17="Rebased to 100",$D1229/D$8*100,$D1229)))))</f>
        <v/>
      </c>
      <c r="K1229" s="54">
        <f>IF($B1229=0,NA(),IF($E1229="",NA(),IF(E$8="",NA(),IF(N(E$8)=0,NA(),IF(Inputs!$C$17="Rebased to 100",$E1229/E$8*100,$E1229)))))</f>
        <v/>
      </c>
      <c r="L1229" s="54">
        <f>IF($B1229=0,NA(),IF($F1229="",NA(),IF(F$8="",NA(),IF(N(F$8)=0,NA(),IF(Inputs!$C$17="Rebased to 100",$F1229/F$8*100,$F1229)))))</f>
        <v/>
      </c>
      <c r="M1229" s="54">
        <f>IF($B1229=0,NA(),IF($G1229="",NA(),IF(G$8="",NA(),IF(N(G$8)=0,NA(),IF(Inputs!$C$17="Rebased to 100",$G1229/G$8*100,$G1229)))))</f>
        <v/>
      </c>
      <c r="N1229" s="54">
        <f>IF($B1229=0,NA(),IF(Inputs!$C$18&lt;&gt;"Yes",NA(),IF(COUNT(I1229,J1229,K1229,L1229,M1229)=0,NA(),MIN(I1229,J1229,K1229,L1229,M1229))))</f>
        <v/>
      </c>
      <c r="O1229" s="54">
        <f>IF($B1229=0,NA(),IF(Inputs!$B$24&lt;&gt;"Yes",NA(),Inputs!$D$24*Inputs!$C$35))</f>
        <v/>
      </c>
      <c r="P1229" s="54">
        <f>IF($B1229=0,NA(),IF(Inputs!$B$25&lt;&gt;"Yes",NA(),Inputs!$D$25*Inputs!$C$35))</f>
        <v/>
      </c>
      <c r="Q1229" s="54">
        <f>IF($B1229=0,NA(),IF(Inputs!$B$26&lt;&gt;"Yes",NA(),Inputs!$D$26*Inputs!$C$35))</f>
        <v/>
      </c>
      <c r="R1229" s="54">
        <f>IF($B1229=0,NA(),IF(Inputs!$B$27&lt;&gt;"Yes",NA(),Inputs!$D$27*Inputs!$C$35))</f>
        <v/>
      </c>
      <c r="S1229" s="54">
        <f>IF($B1229=0,NA(),IF(Inputs!$B$28&lt;&gt;"Yes",NA(),Inputs!$D$28*Inputs!$C$35))</f>
        <v/>
      </c>
      <c r="T1229" s="54">
        <f>IF($B1229=0,NA(),IF(Inputs!$B$29&lt;&gt;"Yes",NA(),Inputs!$D$29*Inputs!$C$35))</f>
        <v/>
      </c>
      <c r="AD1229">
        <f>IF($B1229=0,0,IF(Inputs!$B$6="",0,COUNTIFS(Data!$A$10:$A$3209,"&gt;="&amp;$A1229,Data!$A$10:$A$3209,"&lt;"&amp;$A1229+1)))</f>
        <v/>
      </c>
      <c r="AE1229">
        <f>IF($B1229=0,0,IF(Inputs!$B$7="",0,COUNTIFS(Data!$E$10:$E$3209,"&gt;="&amp;$A1229,Data!$E$10:$E$3209,"&lt;"&amp;$A1229+1)))</f>
        <v/>
      </c>
      <c r="AF1229">
        <f>IF($B1229=0,0,IF(Inputs!$B$8="",0,COUNTIFS(Data!$I$10:$I$3209,"&gt;="&amp;$A1229,Data!$I$10:$I$3209,"&lt;"&amp;$A1229+1)))</f>
        <v/>
      </c>
      <c r="AG1229">
        <f>IF($B1229=0,0,IF(Inputs!$B$9="",0,COUNTIFS(Data!$M$10:$M$3209,"&gt;="&amp;$A1229,Data!$M$10:$M$3209,"&lt;"&amp;$A1229+1)))</f>
        <v/>
      </c>
      <c r="AH1229">
        <f>IF($B1229=0,0,IF(Inputs!$B$10="",0,COUNTIFS(Data!$Q$10:$Q$3209,"&gt;="&amp;$A1229,Data!$Q$10:$Q$3209,"&lt;"&amp;$A1229+1)))</f>
        <v/>
      </c>
    </row>
    <row r="1230">
      <c r="A1230" s="55">
        <f>MIN(Inputs!$C$15,$A1229+IF(WEEKDAY($A1229,2)=5,3,1))</f>
        <v/>
      </c>
      <c r="B1230">
        <f>IF($A1230&gt;$A1229,1,0)</f>
        <v/>
      </c>
      <c r="C1230" s="56">
        <f>IF($B1230=0,"",IF(Inputs!$B$6="","",IF($AD1230=0,C1229,SUMIFS(Data!$B$10:$B$3209,Data!$A$10:$A$3209,"&gt;="&amp;$A1230,Data!$A$10:$A$3209,"&lt;"&amp;$A1230+1)/$AD1230)))</f>
        <v/>
      </c>
      <c r="D1230" s="56">
        <f>IF($B1230=0,"",IF(Inputs!$B$7="","",IF($AE1230=0,D1229,SUMIFS(Data!$F$10:$F$3209,Data!$E$10:$E$3209,"&gt;="&amp;$A1230,Data!$E$10:$E$3209,"&lt;"&amp;$A1230+1)/$AE1230)))</f>
        <v/>
      </c>
      <c r="E1230" s="56">
        <f>IF($B1230=0,"",IF(Inputs!$B$8="","",IF($AF1230=0,E1229,SUMIFS(Data!$J$10:$J$3209,Data!$I$10:$I$3209,"&gt;="&amp;$A1230,Data!$I$10:$I$3209,"&lt;"&amp;$A1230+1)/$AF1230)))</f>
        <v/>
      </c>
      <c r="F1230" s="56">
        <f>IF($B1230=0,"",IF(Inputs!$B$9="","",IF($AG1230=0,F1229,SUMIFS(Data!$N$10:$N$3209,Data!$M$10:$M$3209,"&gt;="&amp;$A1230,Data!$M$10:$M$3209,"&lt;"&amp;$A1230+1)/$AG1230)))</f>
        <v/>
      </c>
      <c r="G1230" s="56">
        <f>IF($B1230=0,"",IF(Inputs!$B$10="","",IF($AH1230=0,G1229,SUMIFS(Data!$R$10:$R$3209,Data!$Q$10:$Q$3209,"&gt;="&amp;$A1230,Data!$Q$10:$Q$3209,"&lt;"&amp;$A1230+1)/$AH1230)))</f>
        <v/>
      </c>
      <c r="I1230" s="54">
        <f>IF($B1230=0,NA(),IF($C1230="",NA(),IF(C$8="",NA(),IF(N(C$8)=0,NA(),IF(Inputs!$C$17="Rebased to 100",$C1230/C$8*100,$C1230)))))</f>
        <v/>
      </c>
      <c r="J1230" s="54">
        <f>IF($B1230=0,NA(),IF($D1230="",NA(),IF(D$8="",NA(),IF(N(D$8)=0,NA(),IF(Inputs!$C$17="Rebased to 100",$D1230/D$8*100,$D1230)))))</f>
        <v/>
      </c>
      <c r="K1230" s="54">
        <f>IF($B1230=0,NA(),IF($E1230="",NA(),IF(E$8="",NA(),IF(N(E$8)=0,NA(),IF(Inputs!$C$17="Rebased to 100",$E1230/E$8*100,$E1230)))))</f>
        <v/>
      </c>
      <c r="L1230" s="54">
        <f>IF($B1230=0,NA(),IF($F1230="",NA(),IF(F$8="",NA(),IF(N(F$8)=0,NA(),IF(Inputs!$C$17="Rebased to 100",$F1230/F$8*100,$F1230)))))</f>
        <v/>
      </c>
      <c r="M1230" s="54">
        <f>IF($B1230=0,NA(),IF($G1230="",NA(),IF(G$8="",NA(),IF(N(G$8)=0,NA(),IF(Inputs!$C$17="Rebased to 100",$G1230/G$8*100,$G1230)))))</f>
        <v/>
      </c>
      <c r="N1230" s="54">
        <f>IF($B1230=0,NA(),IF(Inputs!$C$18&lt;&gt;"Yes",NA(),IF(COUNT(I1230,J1230,K1230,L1230,M1230)=0,NA(),MIN(I1230,J1230,K1230,L1230,M1230))))</f>
        <v/>
      </c>
      <c r="O1230" s="54">
        <f>IF($B1230=0,NA(),IF(Inputs!$B$24&lt;&gt;"Yes",NA(),Inputs!$D$24*Inputs!$C$35))</f>
        <v/>
      </c>
      <c r="P1230" s="54">
        <f>IF($B1230=0,NA(),IF(Inputs!$B$25&lt;&gt;"Yes",NA(),Inputs!$D$25*Inputs!$C$35))</f>
        <v/>
      </c>
      <c r="Q1230" s="54">
        <f>IF($B1230=0,NA(),IF(Inputs!$B$26&lt;&gt;"Yes",NA(),Inputs!$D$26*Inputs!$C$35))</f>
        <v/>
      </c>
      <c r="R1230" s="54">
        <f>IF($B1230=0,NA(),IF(Inputs!$B$27&lt;&gt;"Yes",NA(),Inputs!$D$27*Inputs!$C$35))</f>
        <v/>
      </c>
      <c r="S1230" s="54">
        <f>IF($B1230=0,NA(),IF(Inputs!$B$28&lt;&gt;"Yes",NA(),Inputs!$D$28*Inputs!$C$35))</f>
        <v/>
      </c>
      <c r="T1230" s="54">
        <f>IF($B1230=0,NA(),IF(Inputs!$B$29&lt;&gt;"Yes",NA(),Inputs!$D$29*Inputs!$C$35))</f>
        <v/>
      </c>
      <c r="AD1230">
        <f>IF($B1230=0,0,IF(Inputs!$B$6="",0,COUNTIFS(Data!$A$10:$A$3209,"&gt;="&amp;$A1230,Data!$A$10:$A$3209,"&lt;"&amp;$A1230+1)))</f>
        <v/>
      </c>
      <c r="AE1230">
        <f>IF($B1230=0,0,IF(Inputs!$B$7="",0,COUNTIFS(Data!$E$10:$E$3209,"&gt;="&amp;$A1230,Data!$E$10:$E$3209,"&lt;"&amp;$A1230+1)))</f>
        <v/>
      </c>
      <c r="AF1230">
        <f>IF($B1230=0,0,IF(Inputs!$B$8="",0,COUNTIFS(Data!$I$10:$I$3209,"&gt;="&amp;$A1230,Data!$I$10:$I$3209,"&lt;"&amp;$A1230+1)))</f>
        <v/>
      </c>
      <c r="AG1230">
        <f>IF($B1230=0,0,IF(Inputs!$B$9="",0,COUNTIFS(Data!$M$10:$M$3209,"&gt;="&amp;$A1230,Data!$M$10:$M$3209,"&lt;"&amp;$A1230+1)))</f>
        <v/>
      </c>
      <c r="AH1230">
        <f>IF($B1230=0,0,IF(Inputs!$B$10="",0,COUNTIFS(Data!$Q$10:$Q$3209,"&gt;="&amp;$A1230,Data!$Q$10:$Q$3209,"&lt;"&amp;$A1230+1)))</f>
        <v/>
      </c>
    </row>
    <row r="1231">
      <c r="A1231" s="55">
        <f>MIN(Inputs!$C$15,$A1230+IF(WEEKDAY($A1230,2)=5,3,1))</f>
        <v/>
      </c>
      <c r="B1231">
        <f>IF($A1231&gt;$A1230,1,0)</f>
        <v/>
      </c>
      <c r="C1231" s="56">
        <f>IF($B1231=0,"",IF(Inputs!$B$6="","",IF($AD1231=0,C1230,SUMIFS(Data!$B$10:$B$3209,Data!$A$10:$A$3209,"&gt;="&amp;$A1231,Data!$A$10:$A$3209,"&lt;"&amp;$A1231+1)/$AD1231)))</f>
        <v/>
      </c>
      <c r="D1231" s="56">
        <f>IF($B1231=0,"",IF(Inputs!$B$7="","",IF($AE1231=0,D1230,SUMIFS(Data!$F$10:$F$3209,Data!$E$10:$E$3209,"&gt;="&amp;$A1231,Data!$E$10:$E$3209,"&lt;"&amp;$A1231+1)/$AE1231)))</f>
        <v/>
      </c>
      <c r="E1231" s="56">
        <f>IF($B1231=0,"",IF(Inputs!$B$8="","",IF($AF1231=0,E1230,SUMIFS(Data!$J$10:$J$3209,Data!$I$10:$I$3209,"&gt;="&amp;$A1231,Data!$I$10:$I$3209,"&lt;"&amp;$A1231+1)/$AF1231)))</f>
        <v/>
      </c>
      <c r="F1231" s="56">
        <f>IF($B1231=0,"",IF(Inputs!$B$9="","",IF($AG1231=0,F1230,SUMIFS(Data!$N$10:$N$3209,Data!$M$10:$M$3209,"&gt;="&amp;$A1231,Data!$M$10:$M$3209,"&lt;"&amp;$A1231+1)/$AG1231)))</f>
        <v/>
      </c>
      <c r="G1231" s="56">
        <f>IF($B1231=0,"",IF(Inputs!$B$10="","",IF($AH1231=0,G1230,SUMIFS(Data!$R$10:$R$3209,Data!$Q$10:$Q$3209,"&gt;="&amp;$A1231,Data!$Q$10:$Q$3209,"&lt;"&amp;$A1231+1)/$AH1231)))</f>
        <v/>
      </c>
      <c r="I1231" s="54">
        <f>IF($B1231=0,NA(),IF($C1231="",NA(),IF(C$8="",NA(),IF(N(C$8)=0,NA(),IF(Inputs!$C$17="Rebased to 100",$C1231/C$8*100,$C1231)))))</f>
        <v/>
      </c>
      <c r="J1231" s="54">
        <f>IF($B1231=0,NA(),IF($D1231="",NA(),IF(D$8="",NA(),IF(N(D$8)=0,NA(),IF(Inputs!$C$17="Rebased to 100",$D1231/D$8*100,$D1231)))))</f>
        <v/>
      </c>
      <c r="K1231" s="54">
        <f>IF($B1231=0,NA(),IF($E1231="",NA(),IF(E$8="",NA(),IF(N(E$8)=0,NA(),IF(Inputs!$C$17="Rebased to 100",$E1231/E$8*100,$E1231)))))</f>
        <v/>
      </c>
      <c r="L1231" s="54">
        <f>IF($B1231=0,NA(),IF($F1231="",NA(),IF(F$8="",NA(),IF(N(F$8)=0,NA(),IF(Inputs!$C$17="Rebased to 100",$F1231/F$8*100,$F1231)))))</f>
        <v/>
      </c>
      <c r="M1231" s="54">
        <f>IF($B1231=0,NA(),IF($G1231="",NA(),IF(G$8="",NA(),IF(N(G$8)=0,NA(),IF(Inputs!$C$17="Rebased to 100",$G1231/G$8*100,$G1231)))))</f>
        <v/>
      </c>
      <c r="N1231" s="54">
        <f>IF($B1231=0,NA(),IF(Inputs!$C$18&lt;&gt;"Yes",NA(),IF(COUNT(I1231,J1231,K1231,L1231,M1231)=0,NA(),MIN(I1231,J1231,K1231,L1231,M1231))))</f>
        <v/>
      </c>
      <c r="O1231" s="54">
        <f>IF($B1231=0,NA(),IF(Inputs!$B$24&lt;&gt;"Yes",NA(),Inputs!$D$24*Inputs!$C$35))</f>
        <v/>
      </c>
      <c r="P1231" s="54">
        <f>IF($B1231=0,NA(),IF(Inputs!$B$25&lt;&gt;"Yes",NA(),Inputs!$D$25*Inputs!$C$35))</f>
        <v/>
      </c>
      <c r="Q1231" s="54">
        <f>IF($B1231=0,NA(),IF(Inputs!$B$26&lt;&gt;"Yes",NA(),Inputs!$D$26*Inputs!$C$35))</f>
        <v/>
      </c>
      <c r="R1231" s="54">
        <f>IF($B1231=0,NA(),IF(Inputs!$B$27&lt;&gt;"Yes",NA(),Inputs!$D$27*Inputs!$C$35))</f>
        <v/>
      </c>
      <c r="S1231" s="54">
        <f>IF($B1231=0,NA(),IF(Inputs!$B$28&lt;&gt;"Yes",NA(),Inputs!$D$28*Inputs!$C$35))</f>
        <v/>
      </c>
      <c r="T1231" s="54">
        <f>IF($B1231=0,NA(),IF(Inputs!$B$29&lt;&gt;"Yes",NA(),Inputs!$D$29*Inputs!$C$35))</f>
        <v/>
      </c>
      <c r="AD1231">
        <f>IF($B1231=0,0,IF(Inputs!$B$6="",0,COUNTIFS(Data!$A$10:$A$3209,"&gt;="&amp;$A1231,Data!$A$10:$A$3209,"&lt;"&amp;$A1231+1)))</f>
        <v/>
      </c>
      <c r="AE1231">
        <f>IF($B1231=0,0,IF(Inputs!$B$7="",0,COUNTIFS(Data!$E$10:$E$3209,"&gt;="&amp;$A1231,Data!$E$10:$E$3209,"&lt;"&amp;$A1231+1)))</f>
        <v/>
      </c>
      <c r="AF1231">
        <f>IF($B1231=0,0,IF(Inputs!$B$8="",0,COUNTIFS(Data!$I$10:$I$3209,"&gt;="&amp;$A1231,Data!$I$10:$I$3209,"&lt;"&amp;$A1231+1)))</f>
        <v/>
      </c>
      <c r="AG1231">
        <f>IF($B1231=0,0,IF(Inputs!$B$9="",0,COUNTIFS(Data!$M$10:$M$3209,"&gt;="&amp;$A1231,Data!$M$10:$M$3209,"&lt;"&amp;$A1231+1)))</f>
        <v/>
      </c>
      <c r="AH1231">
        <f>IF($B1231=0,0,IF(Inputs!$B$10="",0,COUNTIFS(Data!$Q$10:$Q$3209,"&gt;="&amp;$A1231,Data!$Q$10:$Q$3209,"&lt;"&amp;$A1231+1)))</f>
        <v/>
      </c>
    </row>
    <row r="1232">
      <c r="A1232" s="55">
        <f>MIN(Inputs!$C$15,$A1231+IF(WEEKDAY($A1231,2)=5,3,1))</f>
        <v/>
      </c>
      <c r="B1232">
        <f>IF($A1232&gt;$A1231,1,0)</f>
        <v/>
      </c>
      <c r="C1232" s="56">
        <f>IF($B1232=0,"",IF(Inputs!$B$6="","",IF($AD1232=0,C1231,SUMIFS(Data!$B$10:$B$3209,Data!$A$10:$A$3209,"&gt;="&amp;$A1232,Data!$A$10:$A$3209,"&lt;"&amp;$A1232+1)/$AD1232)))</f>
        <v/>
      </c>
      <c r="D1232" s="56">
        <f>IF($B1232=0,"",IF(Inputs!$B$7="","",IF($AE1232=0,D1231,SUMIFS(Data!$F$10:$F$3209,Data!$E$10:$E$3209,"&gt;="&amp;$A1232,Data!$E$10:$E$3209,"&lt;"&amp;$A1232+1)/$AE1232)))</f>
        <v/>
      </c>
      <c r="E1232" s="56">
        <f>IF($B1232=0,"",IF(Inputs!$B$8="","",IF($AF1232=0,E1231,SUMIFS(Data!$J$10:$J$3209,Data!$I$10:$I$3209,"&gt;="&amp;$A1232,Data!$I$10:$I$3209,"&lt;"&amp;$A1232+1)/$AF1232)))</f>
        <v/>
      </c>
      <c r="F1232" s="56">
        <f>IF($B1232=0,"",IF(Inputs!$B$9="","",IF($AG1232=0,F1231,SUMIFS(Data!$N$10:$N$3209,Data!$M$10:$M$3209,"&gt;="&amp;$A1232,Data!$M$10:$M$3209,"&lt;"&amp;$A1232+1)/$AG1232)))</f>
        <v/>
      </c>
      <c r="G1232" s="56">
        <f>IF($B1232=0,"",IF(Inputs!$B$10="","",IF($AH1232=0,G1231,SUMIFS(Data!$R$10:$R$3209,Data!$Q$10:$Q$3209,"&gt;="&amp;$A1232,Data!$Q$10:$Q$3209,"&lt;"&amp;$A1232+1)/$AH1232)))</f>
        <v/>
      </c>
      <c r="I1232" s="54">
        <f>IF($B1232=0,NA(),IF($C1232="",NA(),IF(C$8="",NA(),IF(N(C$8)=0,NA(),IF(Inputs!$C$17="Rebased to 100",$C1232/C$8*100,$C1232)))))</f>
        <v/>
      </c>
      <c r="J1232" s="54">
        <f>IF($B1232=0,NA(),IF($D1232="",NA(),IF(D$8="",NA(),IF(N(D$8)=0,NA(),IF(Inputs!$C$17="Rebased to 100",$D1232/D$8*100,$D1232)))))</f>
        <v/>
      </c>
      <c r="K1232" s="54">
        <f>IF($B1232=0,NA(),IF($E1232="",NA(),IF(E$8="",NA(),IF(N(E$8)=0,NA(),IF(Inputs!$C$17="Rebased to 100",$E1232/E$8*100,$E1232)))))</f>
        <v/>
      </c>
      <c r="L1232" s="54">
        <f>IF($B1232=0,NA(),IF($F1232="",NA(),IF(F$8="",NA(),IF(N(F$8)=0,NA(),IF(Inputs!$C$17="Rebased to 100",$F1232/F$8*100,$F1232)))))</f>
        <v/>
      </c>
      <c r="M1232" s="54">
        <f>IF($B1232=0,NA(),IF($G1232="",NA(),IF(G$8="",NA(),IF(N(G$8)=0,NA(),IF(Inputs!$C$17="Rebased to 100",$G1232/G$8*100,$G1232)))))</f>
        <v/>
      </c>
      <c r="N1232" s="54">
        <f>IF($B1232=0,NA(),IF(Inputs!$C$18&lt;&gt;"Yes",NA(),IF(COUNT(I1232,J1232,K1232,L1232,M1232)=0,NA(),MIN(I1232,J1232,K1232,L1232,M1232))))</f>
        <v/>
      </c>
      <c r="O1232" s="54">
        <f>IF($B1232=0,NA(),IF(Inputs!$B$24&lt;&gt;"Yes",NA(),Inputs!$D$24*Inputs!$C$35))</f>
        <v/>
      </c>
      <c r="P1232" s="54">
        <f>IF($B1232=0,NA(),IF(Inputs!$B$25&lt;&gt;"Yes",NA(),Inputs!$D$25*Inputs!$C$35))</f>
        <v/>
      </c>
      <c r="Q1232" s="54">
        <f>IF($B1232=0,NA(),IF(Inputs!$B$26&lt;&gt;"Yes",NA(),Inputs!$D$26*Inputs!$C$35))</f>
        <v/>
      </c>
      <c r="R1232" s="54">
        <f>IF($B1232=0,NA(),IF(Inputs!$B$27&lt;&gt;"Yes",NA(),Inputs!$D$27*Inputs!$C$35))</f>
        <v/>
      </c>
      <c r="S1232" s="54">
        <f>IF($B1232=0,NA(),IF(Inputs!$B$28&lt;&gt;"Yes",NA(),Inputs!$D$28*Inputs!$C$35))</f>
        <v/>
      </c>
      <c r="T1232" s="54">
        <f>IF($B1232=0,NA(),IF(Inputs!$B$29&lt;&gt;"Yes",NA(),Inputs!$D$29*Inputs!$C$35))</f>
        <v/>
      </c>
      <c r="AD1232">
        <f>IF($B1232=0,0,IF(Inputs!$B$6="",0,COUNTIFS(Data!$A$10:$A$3209,"&gt;="&amp;$A1232,Data!$A$10:$A$3209,"&lt;"&amp;$A1232+1)))</f>
        <v/>
      </c>
      <c r="AE1232">
        <f>IF($B1232=0,0,IF(Inputs!$B$7="",0,COUNTIFS(Data!$E$10:$E$3209,"&gt;="&amp;$A1232,Data!$E$10:$E$3209,"&lt;"&amp;$A1232+1)))</f>
        <v/>
      </c>
      <c r="AF1232">
        <f>IF($B1232=0,0,IF(Inputs!$B$8="",0,COUNTIFS(Data!$I$10:$I$3209,"&gt;="&amp;$A1232,Data!$I$10:$I$3209,"&lt;"&amp;$A1232+1)))</f>
        <v/>
      </c>
      <c r="AG1232">
        <f>IF($B1232=0,0,IF(Inputs!$B$9="",0,COUNTIFS(Data!$M$10:$M$3209,"&gt;="&amp;$A1232,Data!$M$10:$M$3209,"&lt;"&amp;$A1232+1)))</f>
        <v/>
      </c>
      <c r="AH1232">
        <f>IF($B1232=0,0,IF(Inputs!$B$10="",0,COUNTIFS(Data!$Q$10:$Q$3209,"&gt;="&amp;$A1232,Data!$Q$10:$Q$3209,"&lt;"&amp;$A1232+1)))</f>
        <v/>
      </c>
    </row>
    <row r="1233">
      <c r="A1233" s="55">
        <f>MIN(Inputs!$C$15,$A1232+IF(WEEKDAY($A1232,2)=5,3,1))</f>
        <v/>
      </c>
      <c r="B1233">
        <f>IF($A1233&gt;$A1232,1,0)</f>
        <v/>
      </c>
      <c r="C1233" s="56">
        <f>IF($B1233=0,"",IF(Inputs!$B$6="","",IF($AD1233=0,C1232,SUMIFS(Data!$B$10:$B$3209,Data!$A$10:$A$3209,"&gt;="&amp;$A1233,Data!$A$10:$A$3209,"&lt;"&amp;$A1233+1)/$AD1233)))</f>
        <v/>
      </c>
      <c r="D1233" s="56">
        <f>IF($B1233=0,"",IF(Inputs!$B$7="","",IF($AE1233=0,D1232,SUMIFS(Data!$F$10:$F$3209,Data!$E$10:$E$3209,"&gt;="&amp;$A1233,Data!$E$10:$E$3209,"&lt;"&amp;$A1233+1)/$AE1233)))</f>
        <v/>
      </c>
      <c r="E1233" s="56">
        <f>IF($B1233=0,"",IF(Inputs!$B$8="","",IF($AF1233=0,E1232,SUMIFS(Data!$J$10:$J$3209,Data!$I$10:$I$3209,"&gt;="&amp;$A1233,Data!$I$10:$I$3209,"&lt;"&amp;$A1233+1)/$AF1233)))</f>
        <v/>
      </c>
      <c r="F1233" s="56">
        <f>IF($B1233=0,"",IF(Inputs!$B$9="","",IF($AG1233=0,F1232,SUMIFS(Data!$N$10:$N$3209,Data!$M$10:$M$3209,"&gt;="&amp;$A1233,Data!$M$10:$M$3209,"&lt;"&amp;$A1233+1)/$AG1233)))</f>
        <v/>
      </c>
      <c r="G1233" s="56">
        <f>IF($B1233=0,"",IF(Inputs!$B$10="","",IF($AH1233=0,G1232,SUMIFS(Data!$R$10:$R$3209,Data!$Q$10:$Q$3209,"&gt;="&amp;$A1233,Data!$Q$10:$Q$3209,"&lt;"&amp;$A1233+1)/$AH1233)))</f>
        <v/>
      </c>
      <c r="I1233" s="54">
        <f>IF($B1233=0,NA(),IF($C1233="",NA(),IF(C$8="",NA(),IF(N(C$8)=0,NA(),IF(Inputs!$C$17="Rebased to 100",$C1233/C$8*100,$C1233)))))</f>
        <v/>
      </c>
      <c r="J1233" s="54">
        <f>IF($B1233=0,NA(),IF($D1233="",NA(),IF(D$8="",NA(),IF(N(D$8)=0,NA(),IF(Inputs!$C$17="Rebased to 100",$D1233/D$8*100,$D1233)))))</f>
        <v/>
      </c>
      <c r="K1233" s="54">
        <f>IF($B1233=0,NA(),IF($E1233="",NA(),IF(E$8="",NA(),IF(N(E$8)=0,NA(),IF(Inputs!$C$17="Rebased to 100",$E1233/E$8*100,$E1233)))))</f>
        <v/>
      </c>
      <c r="L1233" s="54">
        <f>IF($B1233=0,NA(),IF($F1233="",NA(),IF(F$8="",NA(),IF(N(F$8)=0,NA(),IF(Inputs!$C$17="Rebased to 100",$F1233/F$8*100,$F1233)))))</f>
        <v/>
      </c>
      <c r="M1233" s="54">
        <f>IF($B1233=0,NA(),IF($G1233="",NA(),IF(G$8="",NA(),IF(N(G$8)=0,NA(),IF(Inputs!$C$17="Rebased to 100",$G1233/G$8*100,$G1233)))))</f>
        <v/>
      </c>
      <c r="N1233" s="54">
        <f>IF($B1233=0,NA(),IF(Inputs!$C$18&lt;&gt;"Yes",NA(),IF(COUNT(I1233,J1233,K1233,L1233,M1233)=0,NA(),MIN(I1233,J1233,K1233,L1233,M1233))))</f>
        <v/>
      </c>
      <c r="O1233" s="54">
        <f>IF($B1233=0,NA(),IF(Inputs!$B$24&lt;&gt;"Yes",NA(),Inputs!$D$24*Inputs!$C$35))</f>
        <v/>
      </c>
      <c r="P1233" s="54">
        <f>IF($B1233=0,NA(),IF(Inputs!$B$25&lt;&gt;"Yes",NA(),Inputs!$D$25*Inputs!$C$35))</f>
        <v/>
      </c>
      <c r="Q1233" s="54">
        <f>IF($B1233=0,NA(),IF(Inputs!$B$26&lt;&gt;"Yes",NA(),Inputs!$D$26*Inputs!$C$35))</f>
        <v/>
      </c>
      <c r="R1233" s="54">
        <f>IF($B1233=0,NA(),IF(Inputs!$B$27&lt;&gt;"Yes",NA(),Inputs!$D$27*Inputs!$C$35))</f>
        <v/>
      </c>
      <c r="S1233" s="54">
        <f>IF($B1233=0,NA(),IF(Inputs!$B$28&lt;&gt;"Yes",NA(),Inputs!$D$28*Inputs!$C$35))</f>
        <v/>
      </c>
      <c r="T1233" s="54">
        <f>IF($B1233=0,NA(),IF(Inputs!$B$29&lt;&gt;"Yes",NA(),Inputs!$D$29*Inputs!$C$35))</f>
        <v/>
      </c>
      <c r="AD1233">
        <f>IF($B1233=0,0,IF(Inputs!$B$6="",0,COUNTIFS(Data!$A$10:$A$3209,"&gt;="&amp;$A1233,Data!$A$10:$A$3209,"&lt;"&amp;$A1233+1)))</f>
        <v/>
      </c>
      <c r="AE1233">
        <f>IF($B1233=0,0,IF(Inputs!$B$7="",0,COUNTIFS(Data!$E$10:$E$3209,"&gt;="&amp;$A1233,Data!$E$10:$E$3209,"&lt;"&amp;$A1233+1)))</f>
        <v/>
      </c>
      <c r="AF1233">
        <f>IF($B1233=0,0,IF(Inputs!$B$8="",0,COUNTIFS(Data!$I$10:$I$3209,"&gt;="&amp;$A1233,Data!$I$10:$I$3209,"&lt;"&amp;$A1233+1)))</f>
        <v/>
      </c>
      <c r="AG1233">
        <f>IF($B1233=0,0,IF(Inputs!$B$9="",0,COUNTIFS(Data!$M$10:$M$3209,"&gt;="&amp;$A1233,Data!$M$10:$M$3209,"&lt;"&amp;$A1233+1)))</f>
        <v/>
      </c>
      <c r="AH1233">
        <f>IF($B1233=0,0,IF(Inputs!$B$10="",0,COUNTIFS(Data!$Q$10:$Q$3209,"&gt;="&amp;$A1233,Data!$Q$10:$Q$3209,"&lt;"&amp;$A1233+1)))</f>
        <v/>
      </c>
    </row>
    <row r="1234">
      <c r="A1234" s="55">
        <f>MIN(Inputs!$C$15,$A1233+IF(WEEKDAY($A1233,2)=5,3,1))</f>
        <v/>
      </c>
      <c r="B1234">
        <f>IF($A1234&gt;$A1233,1,0)</f>
        <v/>
      </c>
      <c r="C1234" s="56">
        <f>IF($B1234=0,"",IF(Inputs!$B$6="","",IF($AD1234=0,C1233,SUMIFS(Data!$B$10:$B$3209,Data!$A$10:$A$3209,"&gt;="&amp;$A1234,Data!$A$10:$A$3209,"&lt;"&amp;$A1234+1)/$AD1234)))</f>
        <v/>
      </c>
      <c r="D1234" s="56">
        <f>IF($B1234=0,"",IF(Inputs!$B$7="","",IF($AE1234=0,D1233,SUMIFS(Data!$F$10:$F$3209,Data!$E$10:$E$3209,"&gt;="&amp;$A1234,Data!$E$10:$E$3209,"&lt;"&amp;$A1234+1)/$AE1234)))</f>
        <v/>
      </c>
      <c r="E1234" s="56">
        <f>IF($B1234=0,"",IF(Inputs!$B$8="","",IF($AF1234=0,E1233,SUMIFS(Data!$J$10:$J$3209,Data!$I$10:$I$3209,"&gt;="&amp;$A1234,Data!$I$10:$I$3209,"&lt;"&amp;$A1234+1)/$AF1234)))</f>
        <v/>
      </c>
      <c r="F1234" s="56">
        <f>IF($B1234=0,"",IF(Inputs!$B$9="","",IF($AG1234=0,F1233,SUMIFS(Data!$N$10:$N$3209,Data!$M$10:$M$3209,"&gt;="&amp;$A1234,Data!$M$10:$M$3209,"&lt;"&amp;$A1234+1)/$AG1234)))</f>
        <v/>
      </c>
      <c r="G1234" s="56">
        <f>IF($B1234=0,"",IF(Inputs!$B$10="","",IF($AH1234=0,G1233,SUMIFS(Data!$R$10:$R$3209,Data!$Q$10:$Q$3209,"&gt;="&amp;$A1234,Data!$Q$10:$Q$3209,"&lt;"&amp;$A1234+1)/$AH1234)))</f>
        <v/>
      </c>
      <c r="I1234" s="54">
        <f>IF($B1234=0,NA(),IF($C1234="",NA(),IF(C$8="",NA(),IF(N(C$8)=0,NA(),IF(Inputs!$C$17="Rebased to 100",$C1234/C$8*100,$C1234)))))</f>
        <v/>
      </c>
      <c r="J1234" s="54">
        <f>IF($B1234=0,NA(),IF($D1234="",NA(),IF(D$8="",NA(),IF(N(D$8)=0,NA(),IF(Inputs!$C$17="Rebased to 100",$D1234/D$8*100,$D1234)))))</f>
        <v/>
      </c>
      <c r="K1234" s="54">
        <f>IF($B1234=0,NA(),IF($E1234="",NA(),IF(E$8="",NA(),IF(N(E$8)=0,NA(),IF(Inputs!$C$17="Rebased to 100",$E1234/E$8*100,$E1234)))))</f>
        <v/>
      </c>
      <c r="L1234" s="54">
        <f>IF($B1234=0,NA(),IF($F1234="",NA(),IF(F$8="",NA(),IF(N(F$8)=0,NA(),IF(Inputs!$C$17="Rebased to 100",$F1234/F$8*100,$F1234)))))</f>
        <v/>
      </c>
      <c r="M1234" s="54">
        <f>IF($B1234=0,NA(),IF($G1234="",NA(),IF(G$8="",NA(),IF(N(G$8)=0,NA(),IF(Inputs!$C$17="Rebased to 100",$G1234/G$8*100,$G1234)))))</f>
        <v/>
      </c>
      <c r="N1234" s="54">
        <f>IF($B1234=0,NA(),IF(Inputs!$C$18&lt;&gt;"Yes",NA(),IF(COUNT(I1234,J1234,K1234,L1234,M1234)=0,NA(),MIN(I1234,J1234,K1234,L1234,M1234))))</f>
        <v/>
      </c>
      <c r="O1234" s="54">
        <f>IF($B1234=0,NA(),IF(Inputs!$B$24&lt;&gt;"Yes",NA(),Inputs!$D$24*Inputs!$C$35))</f>
        <v/>
      </c>
      <c r="P1234" s="54">
        <f>IF($B1234=0,NA(),IF(Inputs!$B$25&lt;&gt;"Yes",NA(),Inputs!$D$25*Inputs!$C$35))</f>
        <v/>
      </c>
      <c r="Q1234" s="54">
        <f>IF($B1234=0,NA(),IF(Inputs!$B$26&lt;&gt;"Yes",NA(),Inputs!$D$26*Inputs!$C$35))</f>
        <v/>
      </c>
      <c r="R1234" s="54">
        <f>IF($B1234=0,NA(),IF(Inputs!$B$27&lt;&gt;"Yes",NA(),Inputs!$D$27*Inputs!$C$35))</f>
        <v/>
      </c>
      <c r="S1234" s="54">
        <f>IF($B1234=0,NA(),IF(Inputs!$B$28&lt;&gt;"Yes",NA(),Inputs!$D$28*Inputs!$C$35))</f>
        <v/>
      </c>
      <c r="T1234" s="54">
        <f>IF($B1234=0,NA(),IF(Inputs!$B$29&lt;&gt;"Yes",NA(),Inputs!$D$29*Inputs!$C$35))</f>
        <v/>
      </c>
      <c r="AD1234">
        <f>IF($B1234=0,0,IF(Inputs!$B$6="",0,COUNTIFS(Data!$A$10:$A$3209,"&gt;="&amp;$A1234,Data!$A$10:$A$3209,"&lt;"&amp;$A1234+1)))</f>
        <v/>
      </c>
      <c r="AE1234">
        <f>IF($B1234=0,0,IF(Inputs!$B$7="",0,COUNTIFS(Data!$E$10:$E$3209,"&gt;="&amp;$A1234,Data!$E$10:$E$3209,"&lt;"&amp;$A1234+1)))</f>
        <v/>
      </c>
      <c r="AF1234">
        <f>IF($B1234=0,0,IF(Inputs!$B$8="",0,COUNTIFS(Data!$I$10:$I$3209,"&gt;="&amp;$A1234,Data!$I$10:$I$3209,"&lt;"&amp;$A1234+1)))</f>
        <v/>
      </c>
      <c r="AG1234">
        <f>IF($B1234=0,0,IF(Inputs!$B$9="",0,COUNTIFS(Data!$M$10:$M$3209,"&gt;="&amp;$A1234,Data!$M$10:$M$3209,"&lt;"&amp;$A1234+1)))</f>
        <v/>
      </c>
      <c r="AH1234">
        <f>IF($B1234=0,0,IF(Inputs!$B$10="",0,COUNTIFS(Data!$Q$10:$Q$3209,"&gt;="&amp;$A1234,Data!$Q$10:$Q$3209,"&lt;"&amp;$A1234+1)))</f>
        <v/>
      </c>
    </row>
    <row r="1235">
      <c r="A1235" s="55">
        <f>MIN(Inputs!$C$15,$A1234+IF(WEEKDAY($A1234,2)=5,3,1))</f>
        <v/>
      </c>
      <c r="B1235">
        <f>IF($A1235&gt;$A1234,1,0)</f>
        <v/>
      </c>
      <c r="C1235" s="56">
        <f>IF($B1235=0,"",IF(Inputs!$B$6="","",IF($AD1235=0,C1234,SUMIFS(Data!$B$10:$B$3209,Data!$A$10:$A$3209,"&gt;="&amp;$A1235,Data!$A$10:$A$3209,"&lt;"&amp;$A1235+1)/$AD1235)))</f>
        <v/>
      </c>
      <c r="D1235" s="56">
        <f>IF($B1235=0,"",IF(Inputs!$B$7="","",IF($AE1235=0,D1234,SUMIFS(Data!$F$10:$F$3209,Data!$E$10:$E$3209,"&gt;="&amp;$A1235,Data!$E$10:$E$3209,"&lt;"&amp;$A1235+1)/$AE1235)))</f>
        <v/>
      </c>
      <c r="E1235" s="56">
        <f>IF($B1235=0,"",IF(Inputs!$B$8="","",IF($AF1235=0,E1234,SUMIFS(Data!$J$10:$J$3209,Data!$I$10:$I$3209,"&gt;="&amp;$A1235,Data!$I$10:$I$3209,"&lt;"&amp;$A1235+1)/$AF1235)))</f>
        <v/>
      </c>
      <c r="F1235" s="56">
        <f>IF($B1235=0,"",IF(Inputs!$B$9="","",IF($AG1235=0,F1234,SUMIFS(Data!$N$10:$N$3209,Data!$M$10:$M$3209,"&gt;="&amp;$A1235,Data!$M$10:$M$3209,"&lt;"&amp;$A1235+1)/$AG1235)))</f>
        <v/>
      </c>
      <c r="G1235" s="56">
        <f>IF($B1235=0,"",IF(Inputs!$B$10="","",IF($AH1235=0,G1234,SUMIFS(Data!$R$10:$R$3209,Data!$Q$10:$Q$3209,"&gt;="&amp;$A1235,Data!$Q$10:$Q$3209,"&lt;"&amp;$A1235+1)/$AH1235)))</f>
        <v/>
      </c>
      <c r="I1235" s="54">
        <f>IF($B1235=0,NA(),IF($C1235="",NA(),IF(C$8="",NA(),IF(N(C$8)=0,NA(),IF(Inputs!$C$17="Rebased to 100",$C1235/C$8*100,$C1235)))))</f>
        <v/>
      </c>
      <c r="J1235" s="54">
        <f>IF($B1235=0,NA(),IF($D1235="",NA(),IF(D$8="",NA(),IF(N(D$8)=0,NA(),IF(Inputs!$C$17="Rebased to 100",$D1235/D$8*100,$D1235)))))</f>
        <v/>
      </c>
      <c r="K1235" s="54">
        <f>IF($B1235=0,NA(),IF($E1235="",NA(),IF(E$8="",NA(),IF(N(E$8)=0,NA(),IF(Inputs!$C$17="Rebased to 100",$E1235/E$8*100,$E1235)))))</f>
        <v/>
      </c>
      <c r="L1235" s="54">
        <f>IF($B1235=0,NA(),IF($F1235="",NA(),IF(F$8="",NA(),IF(N(F$8)=0,NA(),IF(Inputs!$C$17="Rebased to 100",$F1235/F$8*100,$F1235)))))</f>
        <v/>
      </c>
      <c r="M1235" s="54">
        <f>IF($B1235=0,NA(),IF($G1235="",NA(),IF(G$8="",NA(),IF(N(G$8)=0,NA(),IF(Inputs!$C$17="Rebased to 100",$G1235/G$8*100,$G1235)))))</f>
        <v/>
      </c>
      <c r="N1235" s="54">
        <f>IF($B1235=0,NA(),IF(Inputs!$C$18&lt;&gt;"Yes",NA(),IF(COUNT(I1235,J1235,K1235,L1235,M1235)=0,NA(),MIN(I1235,J1235,K1235,L1235,M1235))))</f>
        <v/>
      </c>
      <c r="O1235" s="54">
        <f>IF($B1235=0,NA(),IF(Inputs!$B$24&lt;&gt;"Yes",NA(),Inputs!$D$24*Inputs!$C$35))</f>
        <v/>
      </c>
      <c r="P1235" s="54">
        <f>IF($B1235=0,NA(),IF(Inputs!$B$25&lt;&gt;"Yes",NA(),Inputs!$D$25*Inputs!$C$35))</f>
        <v/>
      </c>
      <c r="Q1235" s="54">
        <f>IF($B1235=0,NA(),IF(Inputs!$B$26&lt;&gt;"Yes",NA(),Inputs!$D$26*Inputs!$C$35))</f>
        <v/>
      </c>
      <c r="R1235" s="54">
        <f>IF($B1235=0,NA(),IF(Inputs!$B$27&lt;&gt;"Yes",NA(),Inputs!$D$27*Inputs!$C$35))</f>
        <v/>
      </c>
      <c r="S1235" s="54">
        <f>IF($B1235=0,NA(),IF(Inputs!$B$28&lt;&gt;"Yes",NA(),Inputs!$D$28*Inputs!$C$35))</f>
        <v/>
      </c>
      <c r="T1235" s="54">
        <f>IF($B1235=0,NA(),IF(Inputs!$B$29&lt;&gt;"Yes",NA(),Inputs!$D$29*Inputs!$C$35))</f>
        <v/>
      </c>
      <c r="AD1235">
        <f>IF($B1235=0,0,IF(Inputs!$B$6="",0,COUNTIFS(Data!$A$10:$A$3209,"&gt;="&amp;$A1235,Data!$A$10:$A$3209,"&lt;"&amp;$A1235+1)))</f>
        <v/>
      </c>
      <c r="AE1235">
        <f>IF($B1235=0,0,IF(Inputs!$B$7="",0,COUNTIFS(Data!$E$10:$E$3209,"&gt;="&amp;$A1235,Data!$E$10:$E$3209,"&lt;"&amp;$A1235+1)))</f>
        <v/>
      </c>
      <c r="AF1235">
        <f>IF($B1235=0,0,IF(Inputs!$B$8="",0,COUNTIFS(Data!$I$10:$I$3209,"&gt;="&amp;$A1235,Data!$I$10:$I$3209,"&lt;"&amp;$A1235+1)))</f>
        <v/>
      </c>
      <c r="AG1235">
        <f>IF($B1235=0,0,IF(Inputs!$B$9="",0,COUNTIFS(Data!$M$10:$M$3209,"&gt;="&amp;$A1235,Data!$M$10:$M$3209,"&lt;"&amp;$A1235+1)))</f>
        <v/>
      </c>
      <c r="AH1235">
        <f>IF($B1235=0,0,IF(Inputs!$B$10="",0,COUNTIFS(Data!$Q$10:$Q$3209,"&gt;="&amp;$A1235,Data!$Q$10:$Q$3209,"&lt;"&amp;$A1235+1)))</f>
        <v/>
      </c>
    </row>
    <row r="1236">
      <c r="A1236" s="55">
        <f>MIN(Inputs!$C$15,$A1235+IF(WEEKDAY($A1235,2)=5,3,1))</f>
        <v/>
      </c>
      <c r="B1236">
        <f>IF($A1236&gt;$A1235,1,0)</f>
        <v/>
      </c>
      <c r="C1236" s="56">
        <f>IF($B1236=0,"",IF(Inputs!$B$6="","",IF($AD1236=0,C1235,SUMIFS(Data!$B$10:$B$3209,Data!$A$10:$A$3209,"&gt;="&amp;$A1236,Data!$A$10:$A$3209,"&lt;"&amp;$A1236+1)/$AD1236)))</f>
        <v/>
      </c>
      <c r="D1236" s="56">
        <f>IF($B1236=0,"",IF(Inputs!$B$7="","",IF($AE1236=0,D1235,SUMIFS(Data!$F$10:$F$3209,Data!$E$10:$E$3209,"&gt;="&amp;$A1236,Data!$E$10:$E$3209,"&lt;"&amp;$A1236+1)/$AE1236)))</f>
        <v/>
      </c>
      <c r="E1236" s="56">
        <f>IF($B1236=0,"",IF(Inputs!$B$8="","",IF($AF1236=0,E1235,SUMIFS(Data!$J$10:$J$3209,Data!$I$10:$I$3209,"&gt;="&amp;$A1236,Data!$I$10:$I$3209,"&lt;"&amp;$A1236+1)/$AF1236)))</f>
        <v/>
      </c>
      <c r="F1236" s="56">
        <f>IF($B1236=0,"",IF(Inputs!$B$9="","",IF($AG1236=0,F1235,SUMIFS(Data!$N$10:$N$3209,Data!$M$10:$M$3209,"&gt;="&amp;$A1236,Data!$M$10:$M$3209,"&lt;"&amp;$A1236+1)/$AG1236)))</f>
        <v/>
      </c>
      <c r="G1236" s="56">
        <f>IF($B1236=0,"",IF(Inputs!$B$10="","",IF($AH1236=0,G1235,SUMIFS(Data!$R$10:$R$3209,Data!$Q$10:$Q$3209,"&gt;="&amp;$A1236,Data!$Q$10:$Q$3209,"&lt;"&amp;$A1236+1)/$AH1236)))</f>
        <v/>
      </c>
      <c r="I1236" s="54">
        <f>IF($B1236=0,NA(),IF($C1236="",NA(),IF(C$8="",NA(),IF(N(C$8)=0,NA(),IF(Inputs!$C$17="Rebased to 100",$C1236/C$8*100,$C1236)))))</f>
        <v/>
      </c>
      <c r="J1236" s="54">
        <f>IF($B1236=0,NA(),IF($D1236="",NA(),IF(D$8="",NA(),IF(N(D$8)=0,NA(),IF(Inputs!$C$17="Rebased to 100",$D1236/D$8*100,$D1236)))))</f>
        <v/>
      </c>
      <c r="K1236" s="54">
        <f>IF($B1236=0,NA(),IF($E1236="",NA(),IF(E$8="",NA(),IF(N(E$8)=0,NA(),IF(Inputs!$C$17="Rebased to 100",$E1236/E$8*100,$E1236)))))</f>
        <v/>
      </c>
      <c r="L1236" s="54">
        <f>IF($B1236=0,NA(),IF($F1236="",NA(),IF(F$8="",NA(),IF(N(F$8)=0,NA(),IF(Inputs!$C$17="Rebased to 100",$F1236/F$8*100,$F1236)))))</f>
        <v/>
      </c>
      <c r="M1236" s="54">
        <f>IF($B1236=0,NA(),IF($G1236="",NA(),IF(G$8="",NA(),IF(N(G$8)=0,NA(),IF(Inputs!$C$17="Rebased to 100",$G1236/G$8*100,$G1236)))))</f>
        <v/>
      </c>
      <c r="N1236" s="54">
        <f>IF($B1236=0,NA(),IF(Inputs!$C$18&lt;&gt;"Yes",NA(),IF(COUNT(I1236,J1236,K1236,L1236,M1236)=0,NA(),MIN(I1236,J1236,K1236,L1236,M1236))))</f>
        <v/>
      </c>
      <c r="O1236" s="54">
        <f>IF($B1236=0,NA(),IF(Inputs!$B$24&lt;&gt;"Yes",NA(),Inputs!$D$24*Inputs!$C$35))</f>
        <v/>
      </c>
      <c r="P1236" s="54">
        <f>IF($B1236=0,NA(),IF(Inputs!$B$25&lt;&gt;"Yes",NA(),Inputs!$D$25*Inputs!$C$35))</f>
        <v/>
      </c>
      <c r="Q1236" s="54">
        <f>IF($B1236=0,NA(),IF(Inputs!$B$26&lt;&gt;"Yes",NA(),Inputs!$D$26*Inputs!$C$35))</f>
        <v/>
      </c>
      <c r="R1236" s="54">
        <f>IF($B1236=0,NA(),IF(Inputs!$B$27&lt;&gt;"Yes",NA(),Inputs!$D$27*Inputs!$C$35))</f>
        <v/>
      </c>
      <c r="S1236" s="54">
        <f>IF($B1236=0,NA(),IF(Inputs!$B$28&lt;&gt;"Yes",NA(),Inputs!$D$28*Inputs!$C$35))</f>
        <v/>
      </c>
      <c r="T1236" s="54">
        <f>IF($B1236=0,NA(),IF(Inputs!$B$29&lt;&gt;"Yes",NA(),Inputs!$D$29*Inputs!$C$35))</f>
        <v/>
      </c>
      <c r="AD1236">
        <f>IF($B1236=0,0,IF(Inputs!$B$6="",0,COUNTIFS(Data!$A$10:$A$3209,"&gt;="&amp;$A1236,Data!$A$10:$A$3209,"&lt;"&amp;$A1236+1)))</f>
        <v/>
      </c>
      <c r="AE1236">
        <f>IF($B1236=0,0,IF(Inputs!$B$7="",0,COUNTIFS(Data!$E$10:$E$3209,"&gt;="&amp;$A1236,Data!$E$10:$E$3209,"&lt;"&amp;$A1236+1)))</f>
        <v/>
      </c>
      <c r="AF1236">
        <f>IF($B1236=0,0,IF(Inputs!$B$8="",0,COUNTIFS(Data!$I$10:$I$3209,"&gt;="&amp;$A1236,Data!$I$10:$I$3209,"&lt;"&amp;$A1236+1)))</f>
        <v/>
      </c>
      <c r="AG1236">
        <f>IF($B1236=0,0,IF(Inputs!$B$9="",0,COUNTIFS(Data!$M$10:$M$3209,"&gt;="&amp;$A1236,Data!$M$10:$M$3209,"&lt;"&amp;$A1236+1)))</f>
        <v/>
      </c>
      <c r="AH1236">
        <f>IF($B1236=0,0,IF(Inputs!$B$10="",0,COUNTIFS(Data!$Q$10:$Q$3209,"&gt;="&amp;$A1236,Data!$Q$10:$Q$3209,"&lt;"&amp;$A1236+1)))</f>
        <v/>
      </c>
    </row>
    <row r="1237">
      <c r="A1237" s="55">
        <f>MIN(Inputs!$C$15,$A1236+IF(WEEKDAY($A1236,2)=5,3,1))</f>
        <v/>
      </c>
      <c r="B1237">
        <f>IF($A1237&gt;$A1236,1,0)</f>
        <v/>
      </c>
      <c r="C1237" s="56">
        <f>IF($B1237=0,"",IF(Inputs!$B$6="","",IF($AD1237=0,C1236,SUMIFS(Data!$B$10:$B$3209,Data!$A$10:$A$3209,"&gt;="&amp;$A1237,Data!$A$10:$A$3209,"&lt;"&amp;$A1237+1)/$AD1237)))</f>
        <v/>
      </c>
      <c r="D1237" s="56">
        <f>IF($B1237=0,"",IF(Inputs!$B$7="","",IF($AE1237=0,D1236,SUMIFS(Data!$F$10:$F$3209,Data!$E$10:$E$3209,"&gt;="&amp;$A1237,Data!$E$10:$E$3209,"&lt;"&amp;$A1237+1)/$AE1237)))</f>
        <v/>
      </c>
      <c r="E1237" s="56">
        <f>IF($B1237=0,"",IF(Inputs!$B$8="","",IF($AF1237=0,E1236,SUMIFS(Data!$J$10:$J$3209,Data!$I$10:$I$3209,"&gt;="&amp;$A1237,Data!$I$10:$I$3209,"&lt;"&amp;$A1237+1)/$AF1237)))</f>
        <v/>
      </c>
      <c r="F1237" s="56">
        <f>IF($B1237=0,"",IF(Inputs!$B$9="","",IF($AG1237=0,F1236,SUMIFS(Data!$N$10:$N$3209,Data!$M$10:$M$3209,"&gt;="&amp;$A1237,Data!$M$10:$M$3209,"&lt;"&amp;$A1237+1)/$AG1237)))</f>
        <v/>
      </c>
      <c r="G1237" s="56">
        <f>IF($B1237=0,"",IF(Inputs!$B$10="","",IF($AH1237=0,G1236,SUMIFS(Data!$R$10:$R$3209,Data!$Q$10:$Q$3209,"&gt;="&amp;$A1237,Data!$Q$10:$Q$3209,"&lt;"&amp;$A1237+1)/$AH1237)))</f>
        <v/>
      </c>
      <c r="I1237" s="54">
        <f>IF($B1237=0,NA(),IF($C1237="",NA(),IF(C$8="",NA(),IF(N(C$8)=0,NA(),IF(Inputs!$C$17="Rebased to 100",$C1237/C$8*100,$C1237)))))</f>
        <v/>
      </c>
      <c r="J1237" s="54">
        <f>IF($B1237=0,NA(),IF($D1237="",NA(),IF(D$8="",NA(),IF(N(D$8)=0,NA(),IF(Inputs!$C$17="Rebased to 100",$D1237/D$8*100,$D1237)))))</f>
        <v/>
      </c>
      <c r="K1237" s="54">
        <f>IF($B1237=0,NA(),IF($E1237="",NA(),IF(E$8="",NA(),IF(N(E$8)=0,NA(),IF(Inputs!$C$17="Rebased to 100",$E1237/E$8*100,$E1237)))))</f>
        <v/>
      </c>
      <c r="L1237" s="54">
        <f>IF($B1237=0,NA(),IF($F1237="",NA(),IF(F$8="",NA(),IF(N(F$8)=0,NA(),IF(Inputs!$C$17="Rebased to 100",$F1237/F$8*100,$F1237)))))</f>
        <v/>
      </c>
      <c r="M1237" s="54">
        <f>IF($B1237=0,NA(),IF($G1237="",NA(),IF(G$8="",NA(),IF(N(G$8)=0,NA(),IF(Inputs!$C$17="Rebased to 100",$G1237/G$8*100,$G1237)))))</f>
        <v/>
      </c>
      <c r="N1237" s="54">
        <f>IF($B1237=0,NA(),IF(Inputs!$C$18&lt;&gt;"Yes",NA(),IF(COUNT(I1237,J1237,K1237,L1237,M1237)=0,NA(),MIN(I1237,J1237,K1237,L1237,M1237))))</f>
        <v/>
      </c>
      <c r="O1237" s="54">
        <f>IF($B1237=0,NA(),IF(Inputs!$B$24&lt;&gt;"Yes",NA(),Inputs!$D$24*Inputs!$C$35))</f>
        <v/>
      </c>
      <c r="P1237" s="54">
        <f>IF($B1237=0,NA(),IF(Inputs!$B$25&lt;&gt;"Yes",NA(),Inputs!$D$25*Inputs!$C$35))</f>
        <v/>
      </c>
      <c r="Q1237" s="54">
        <f>IF($B1237=0,NA(),IF(Inputs!$B$26&lt;&gt;"Yes",NA(),Inputs!$D$26*Inputs!$C$35))</f>
        <v/>
      </c>
      <c r="R1237" s="54">
        <f>IF($B1237=0,NA(),IF(Inputs!$B$27&lt;&gt;"Yes",NA(),Inputs!$D$27*Inputs!$C$35))</f>
        <v/>
      </c>
      <c r="S1237" s="54">
        <f>IF($B1237=0,NA(),IF(Inputs!$B$28&lt;&gt;"Yes",NA(),Inputs!$D$28*Inputs!$C$35))</f>
        <v/>
      </c>
      <c r="T1237" s="54">
        <f>IF($B1237=0,NA(),IF(Inputs!$B$29&lt;&gt;"Yes",NA(),Inputs!$D$29*Inputs!$C$35))</f>
        <v/>
      </c>
      <c r="AD1237">
        <f>IF($B1237=0,0,IF(Inputs!$B$6="",0,COUNTIFS(Data!$A$10:$A$3209,"&gt;="&amp;$A1237,Data!$A$10:$A$3209,"&lt;"&amp;$A1237+1)))</f>
        <v/>
      </c>
      <c r="AE1237">
        <f>IF($B1237=0,0,IF(Inputs!$B$7="",0,COUNTIFS(Data!$E$10:$E$3209,"&gt;="&amp;$A1237,Data!$E$10:$E$3209,"&lt;"&amp;$A1237+1)))</f>
        <v/>
      </c>
      <c r="AF1237">
        <f>IF($B1237=0,0,IF(Inputs!$B$8="",0,COUNTIFS(Data!$I$10:$I$3209,"&gt;="&amp;$A1237,Data!$I$10:$I$3209,"&lt;"&amp;$A1237+1)))</f>
        <v/>
      </c>
      <c r="AG1237">
        <f>IF($B1237=0,0,IF(Inputs!$B$9="",0,COUNTIFS(Data!$M$10:$M$3209,"&gt;="&amp;$A1237,Data!$M$10:$M$3209,"&lt;"&amp;$A1237+1)))</f>
        <v/>
      </c>
      <c r="AH1237">
        <f>IF($B1237=0,0,IF(Inputs!$B$10="",0,COUNTIFS(Data!$Q$10:$Q$3209,"&gt;="&amp;$A1237,Data!$Q$10:$Q$3209,"&lt;"&amp;$A1237+1)))</f>
        <v/>
      </c>
    </row>
    <row r="1238">
      <c r="A1238" s="55">
        <f>MIN(Inputs!$C$15,$A1237+IF(WEEKDAY($A1237,2)=5,3,1))</f>
        <v/>
      </c>
      <c r="B1238">
        <f>IF($A1238&gt;$A1237,1,0)</f>
        <v/>
      </c>
      <c r="C1238" s="56">
        <f>IF($B1238=0,"",IF(Inputs!$B$6="","",IF($AD1238=0,C1237,SUMIFS(Data!$B$10:$B$3209,Data!$A$10:$A$3209,"&gt;="&amp;$A1238,Data!$A$10:$A$3209,"&lt;"&amp;$A1238+1)/$AD1238)))</f>
        <v/>
      </c>
      <c r="D1238" s="56">
        <f>IF($B1238=0,"",IF(Inputs!$B$7="","",IF($AE1238=0,D1237,SUMIFS(Data!$F$10:$F$3209,Data!$E$10:$E$3209,"&gt;="&amp;$A1238,Data!$E$10:$E$3209,"&lt;"&amp;$A1238+1)/$AE1238)))</f>
        <v/>
      </c>
      <c r="E1238" s="56">
        <f>IF($B1238=0,"",IF(Inputs!$B$8="","",IF($AF1238=0,E1237,SUMIFS(Data!$J$10:$J$3209,Data!$I$10:$I$3209,"&gt;="&amp;$A1238,Data!$I$10:$I$3209,"&lt;"&amp;$A1238+1)/$AF1238)))</f>
        <v/>
      </c>
      <c r="F1238" s="56">
        <f>IF($B1238=0,"",IF(Inputs!$B$9="","",IF($AG1238=0,F1237,SUMIFS(Data!$N$10:$N$3209,Data!$M$10:$M$3209,"&gt;="&amp;$A1238,Data!$M$10:$M$3209,"&lt;"&amp;$A1238+1)/$AG1238)))</f>
        <v/>
      </c>
      <c r="G1238" s="56">
        <f>IF($B1238=0,"",IF(Inputs!$B$10="","",IF($AH1238=0,G1237,SUMIFS(Data!$R$10:$R$3209,Data!$Q$10:$Q$3209,"&gt;="&amp;$A1238,Data!$Q$10:$Q$3209,"&lt;"&amp;$A1238+1)/$AH1238)))</f>
        <v/>
      </c>
      <c r="I1238" s="54">
        <f>IF($B1238=0,NA(),IF($C1238="",NA(),IF(C$8="",NA(),IF(N(C$8)=0,NA(),IF(Inputs!$C$17="Rebased to 100",$C1238/C$8*100,$C1238)))))</f>
        <v/>
      </c>
      <c r="J1238" s="54">
        <f>IF($B1238=0,NA(),IF($D1238="",NA(),IF(D$8="",NA(),IF(N(D$8)=0,NA(),IF(Inputs!$C$17="Rebased to 100",$D1238/D$8*100,$D1238)))))</f>
        <v/>
      </c>
      <c r="K1238" s="54">
        <f>IF($B1238=0,NA(),IF($E1238="",NA(),IF(E$8="",NA(),IF(N(E$8)=0,NA(),IF(Inputs!$C$17="Rebased to 100",$E1238/E$8*100,$E1238)))))</f>
        <v/>
      </c>
      <c r="L1238" s="54">
        <f>IF($B1238=0,NA(),IF($F1238="",NA(),IF(F$8="",NA(),IF(N(F$8)=0,NA(),IF(Inputs!$C$17="Rebased to 100",$F1238/F$8*100,$F1238)))))</f>
        <v/>
      </c>
      <c r="M1238" s="54">
        <f>IF($B1238=0,NA(),IF($G1238="",NA(),IF(G$8="",NA(),IF(N(G$8)=0,NA(),IF(Inputs!$C$17="Rebased to 100",$G1238/G$8*100,$G1238)))))</f>
        <v/>
      </c>
      <c r="N1238" s="54">
        <f>IF($B1238=0,NA(),IF(Inputs!$C$18&lt;&gt;"Yes",NA(),IF(COUNT(I1238,J1238,K1238,L1238,M1238)=0,NA(),MIN(I1238,J1238,K1238,L1238,M1238))))</f>
        <v/>
      </c>
      <c r="O1238" s="54">
        <f>IF($B1238=0,NA(),IF(Inputs!$B$24&lt;&gt;"Yes",NA(),Inputs!$D$24*Inputs!$C$35))</f>
        <v/>
      </c>
      <c r="P1238" s="54">
        <f>IF($B1238=0,NA(),IF(Inputs!$B$25&lt;&gt;"Yes",NA(),Inputs!$D$25*Inputs!$C$35))</f>
        <v/>
      </c>
      <c r="Q1238" s="54">
        <f>IF($B1238=0,NA(),IF(Inputs!$B$26&lt;&gt;"Yes",NA(),Inputs!$D$26*Inputs!$C$35))</f>
        <v/>
      </c>
      <c r="R1238" s="54">
        <f>IF($B1238=0,NA(),IF(Inputs!$B$27&lt;&gt;"Yes",NA(),Inputs!$D$27*Inputs!$C$35))</f>
        <v/>
      </c>
      <c r="S1238" s="54">
        <f>IF($B1238=0,NA(),IF(Inputs!$B$28&lt;&gt;"Yes",NA(),Inputs!$D$28*Inputs!$C$35))</f>
        <v/>
      </c>
      <c r="T1238" s="54">
        <f>IF($B1238=0,NA(),IF(Inputs!$B$29&lt;&gt;"Yes",NA(),Inputs!$D$29*Inputs!$C$35))</f>
        <v/>
      </c>
      <c r="AD1238">
        <f>IF($B1238=0,0,IF(Inputs!$B$6="",0,COUNTIFS(Data!$A$10:$A$3209,"&gt;="&amp;$A1238,Data!$A$10:$A$3209,"&lt;"&amp;$A1238+1)))</f>
        <v/>
      </c>
      <c r="AE1238">
        <f>IF($B1238=0,0,IF(Inputs!$B$7="",0,COUNTIFS(Data!$E$10:$E$3209,"&gt;="&amp;$A1238,Data!$E$10:$E$3209,"&lt;"&amp;$A1238+1)))</f>
        <v/>
      </c>
      <c r="AF1238">
        <f>IF($B1238=0,0,IF(Inputs!$B$8="",0,COUNTIFS(Data!$I$10:$I$3209,"&gt;="&amp;$A1238,Data!$I$10:$I$3209,"&lt;"&amp;$A1238+1)))</f>
        <v/>
      </c>
      <c r="AG1238">
        <f>IF($B1238=0,0,IF(Inputs!$B$9="",0,COUNTIFS(Data!$M$10:$M$3209,"&gt;="&amp;$A1238,Data!$M$10:$M$3209,"&lt;"&amp;$A1238+1)))</f>
        <v/>
      </c>
      <c r="AH1238">
        <f>IF($B1238=0,0,IF(Inputs!$B$10="",0,COUNTIFS(Data!$Q$10:$Q$3209,"&gt;="&amp;$A1238,Data!$Q$10:$Q$3209,"&lt;"&amp;$A1238+1)))</f>
        <v/>
      </c>
    </row>
    <row r="1239">
      <c r="A1239" s="55">
        <f>MIN(Inputs!$C$15,$A1238+IF(WEEKDAY($A1238,2)=5,3,1))</f>
        <v/>
      </c>
      <c r="B1239">
        <f>IF($A1239&gt;$A1238,1,0)</f>
        <v/>
      </c>
      <c r="C1239" s="56">
        <f>IF($B1239=0,"",IF(Inputs!$B$6="","",IF($AD1239=0,C1238,SUMIFS(Data!$B$10:$B$3209,Data!$A$10:$A$3209,"&gt;="&amp;$A1239,Data!$A$10:$A$3209,"&lt;"&amp;$A1239+1)/$AD1239)))</f>
        <v/>
      </c>
      <c r="D1239" s="56">
        <f>IF($B1239=0,"",IF(Inputs!$B$7="","",IF($AE1239=0,D1238,SUMIFS(Data!$F$10:$F$3209,Data!$E$10:$E$3209,"&gt;="&amp;$A1239,Data!$E$10:$E$3209,"&lt;"&amp;$A1239+1)/$AE1239)))</f>
        <v/>
      </c>
      <c r="E1239" s="56">
        <f>IF($B1239=0,"",IF(Inputs!$B$8="","",IF($AF1239=0,E1238,SUMIFS(Data!$J$10:$J$3209,Data!$I$10:$I$3209,"&gt;="&amp;$A1239,Data!$I$10:$I$3209,"&lt;"&amp;$A1239+1)/$AF1239)))</f>
        <v/>
      </c>
      <c r="F1239" s="56">
        <f>IF($B1239=0,"",IF(Inputs!$B$9="","",IF($AG1239=0,F1238,SUMIFS(Data!$N$10:$N$3209,Data!$M$10:$M$3209,"&gt;="&amp;$A1239,Data!$M$10:$M$3209,"&lt;"&amp;$A1239+1)/$AG1239)))</f>
        <v/>
      </c>
      <c r="G1239" s="56">
        <f>IF($B1239=0,"",IF(Inputs!$B$10="","",IF($AH1239=0,G1238,SUMIFS(Data!$R$10:$R$3209,Data!$Q$10:$Q$3209,"&gt;="&amp;$A1239,Data!$Q$10:$Q$3209,"&lt;"&amp;$A1239+1)/$AH1239)))</f>
        <v/>
      </c>
      <c r="I1239" s="54">
        <f>IF($B1239=0,NA(),IF($C1239="",NA(),IF(C$8="",NA(),IF(N(C$8)=0,NA(),IF(Inputs!$C$17="Rebased to 100",$C1239/C$8*100,$C1239)))))</f>
        <v/>
      </c>
      <c r="J1239" s="54">
        <f>IF($B1239=0,NA(),IF($D1239="",NA(),IF(D$8="",NA(),IF(N(D$8)=0,NA(),IF(Inputs!$C$17="Rebased to 100",$D1239/D$8*100,$D1239)))))</f>
        <v/>
      </c>
      <c r="K1239" s="54">
        <f>IF($B1239=0,NA(),IF($E1239="",NA(),IF(E$8="",NA(),IF(N(E$8)=0,NA(),IF(Inputs!$C$17="Rebased to 100",$E1239/E$8*100,$E1239)))))</f>
        <v/>
      </c>
      <c r="L1239" s="54">
        <f>IF($B1239=0,NA(),IF($F1239="",NA(),IF(F$8="",NA(),IF(N(F$8)=0,NA(),IF(Inputs!$C$17="Rebased to 100",$F1239/F$8*100,$F1239)))))</f>
        <v/>
      </c>
      <c r="M1239" s="54">
        <f>IF($B1239=0,NA(),IF($G1239="",NA(),IF(G$8="",NA(),IF(N(G$8)=0,NA(),IF(Inputs!$C$17="Rebased to 100",$G1239/G$8*100,$G1239)))))</f>
        <v/>
      </c>
      <c r="N1239" s="54">
        <f>IF($B1239=0,NA(),IF(Inputs!$C$18&lt;&gt;"Yes",NA(),IF(COUNT(I1239,J1239,K1239,L1239,M1239)=0,NA(),MIN(I1239,J1239,K1239,L1239,M1239))))</f>
        <v/>
      </c>
      <c r="O1239" s="54">
        <f>IF($B1239=0,NA(),IF(Inputs!$B$24&lt;&gt;"Yes",NA(),Inputs!$D$24*Inputs!$C$35))</f>
        <v/>
      </c>
      <c r="P1239" s="54">
        <f>IF($B1239=0,NA(),IF(Inputs!$B$25&lt;&gt;"Yes",NA(),Inputs!$D$25*Inputs!$C$35))</f>
        <v/>
      </c>
      <c r="Q1239" s="54">
        <f>IF($B1239=0,NA(),IF(Inputs!$B$26&lt;&gt;"Yes",NA(),Inputs!$D$26*Inputs!$C$35))</f>
        <v/>
      </c>
      <c r="R1239" s="54">
        <f>IF($B1239=0,NA(),IF(Inputs!$B$27&lt;&gt;"Yes",NA(),Inputs!$D$27*Inputs!$C$35))</f>
        <v/>
      </c>
      <c r="S1239" s="54">
        <f>IF($B1239=0,NA(),IF(Inputs!$B$28&lt;&gt;"Yes",NA(),Inputs!$D$28*Inputs!$C$35))</f>
        <v/>
      </c>
      <c r="T1239" s="54">
        <f>IF($B1239=0,NA(),IF(Inputs!$B$29&lt;&gt;"Yes",NA(),Inputs!$D$29*Inputs!$C$35))</f>
        <v/>
      </c>
      <c r="AD1239">
        <f>IF($B1239=0,0,IF(Inputs!$B$6="",0,COUNTIFS(Data!$A$10:$A$3209,"&gt;="&amp;$A1239,Data!$A$10:$A$3209,"&lt;"&amp;$A1239+1)))</f>
        <v/>
      </c>
      <c r="AE1239">
        <f>IF($B1239=0,0,IF(Inputs!$B$7="",0,COUNTIFS(Data!$E$10:$E$3209,"&gt;="&amp;$A1239,Data!$E$10:$E$3209,"&lt;"&amp;$A1239+1)))</f>
        <v/>
      </c>
      <c r="AF1239">
        <f>IF($B1239=0,0,IF(Inputs!$B$8="",0,COUNTIFS(Data!$I$10:$I$3209,"&gt;="&amp;$A1239,Data!$I$10:$I$3209,"&lt;"&amp;$A1239+1)))</f>
        <v/>
      </c>
      <c r="AG1239">
        <f>IF($B1239=0,0,IF(Inputs!$B$9="",0,COUNTIFS(Data!$M$10:$M$3209,"&gt;="&amp;$A1239,Data!$M$10:$M$3209,"&lt;"&amp;$A1239+1)))</f>
        <v/>
      </c>
      <c r="AH1239">
        <f>IF($B1239=0,0,IF(Inputs!$B$10="",0,COUNTIFS(Data!$Q$10:$Q$3209,"&gt;="&amp;$A1239,Data!$Q$10:$Q$3209,"&lt;"&amp;$A1239+1)))</f>
        <v/>
      </c>
    </row>
    <row r="1240">
      <c r="A1240" s="55">
        <f>MIN(Inputs!$C$15,$A1239+IF(WEEKDAY($A1239,2)=5,3,1))</f>
        <v/>
      </c>
      <c r="B1240">
        <f>IF($A1240&gt;$A1239,1,0)</f>
        <v/>
      </c>
      <c r="C1240" s="56">
        <f>IF($B1240=0,"",IF(Inputs!$B$6="","",IF($AD1240=0,C1239,SUMIFS(Data!$B$10:$B$3209,Data!$A$10:$A$3209,"&gt;="&amp;$A1240,Data!$A$10:$A$3209,"&lt;"&amp;$A1240+1)/$AD1240)))</f>
        <v/>
      </c>
      <c r="D1240" s="56">
        <f>IF($B1240=0,"",IF(Inputs!$B$7="","",IF($AE1240=0,D1239,SUMIFS(Data!$F$10:$F$3209,Data!$E$10:$E$3209,"&gt;="&amp;$A1240,Data!$E$10:$E$3209,"&lt;"&amp;$A1240+1)/$AE1240)))</f>
        <v/>
      </c>
      <c r="E1240" s="56">
        <f>IF($B1240=0,"",IF(Inputs!$B$8="","",IF($AF1240=0,E1239,SUMIFS(Data!$J$10:$J$3209,Data!$I$10:$I$3209,"&gt;="&amp;$A1240,Data!$I$10:$I$3209,"&lt;"&amp;$A1240+1)/$AF1240)))</f>
        <v/>
      </c>
      <c r="F1240" s="56">
        <f>IF($B1240=0,"",IF(Inputs!$B$9="","",IF($AG1240=0,F1239,SUMIFS(Data!$N$10:$N$3209,Data!$M$10:$M$3209,"&gt;="&amp;$A1240,Data!$M$10:$M$3209,"&lt;"&amp;$A1240+1)/$AG1240)))</f>
        <v/>
      </c>
      <c r="G1240" s="56">
        <f>IF($B1240=0,"",IF(Inputs!$B$10="","",IF($AH1240=0,G1239,SUMIFS(Data!$R$10:$R$3209,Data!$Q$10:$Q$3209,"&gt;="&amp;$A1240,Data!$Q$10:$Q$3209,"&lt;"&amp;$A1240+1)/$AH1240)))</f>
        <v/>
      </c>
      <c r="I1240" s="54">
        <f>IF($B1240=0,NA(),IF($C1240="",NA(),IF(C$8="",NA(),IF(N(C$8)=0,NA(),IF(Inputs!$C$17="Rebased to 100",$C1240/C$8*100,$C1240)))))</f>
        <v/>
      </c>
      <c r="J1240" s="54">
        <f>IF($B1240=0,NA(),IF($D1240="",NA(),IF(D$8="",NA(),IF(N(D$8)=0,NA(),IF(Inputs!$C$17="Rebased to 100",$D1240/D$8*100,$D1240)))))</f>
        <v/>
      </c>
      <c r="K1240" s="54">
        <f>IF($B1240=0,NA(),IF($E1240="",NA(),IF(E$8="",NA(),IF(N(E$8)=0,NA(),IF(Inputs!$C$17="Rebased to 100",$E1240/E$8*100,$E1240)))))</f>
        <v/>
      </c>
      <c r="L1240" s="54">
        <f>IF($B1240=0,NA(),IF($F1240="",NA(),IF(F$8="",NA(),IF(N(F$8)=0,NA(),IF(Inputs!$C$17="Rebased to 100",$F1240/F$8*100,$F1240)))))</f>
        <v/>
      </c>
      <c r="M1240" s="54">
        <f>IF($B1240=0,NA(),IF($G1240="",NA(),IF(G$8="",NA(),IF(N(G$8)=0,NA(),IF(Inputs!$C$17="Rebased to 100",$G1240/G$8*100,$G1240)))))</f>
        <v/>
      </c>
      <c r="N1240" s="54">
        <f>IF($B1240=0,NA(),IF(Inputs!$C$18&lt;&gt;"Yes",NA(),IF(COUNT(I1240,J1240,K1240,L1240,M1240)=0,NA(),MIN(I1240,J1240,K1240,L1240,M1240))))</f>
        <v/>
      </c>
      <c r="O1240" s="54">
        <f>IF($B1240=0,NA(),IF(Inputs!$B$24&lt;&gt;"Yes",NA(),Inputs!$D$24*Inputs!$C$35))</f>
        <v/>
      </c>
      <c r="P1240" s="54">
        <f>IF($B1240=0,NA(),IF(Inputs!$B$25&lt;&gt;"Yes",NA(),Inputs!$D$25*Inputs!$C$35))</f>
        <v/>
      </c>
      <c r="Q1240" s="54">
        <f>IF($B1240=0,NA(),IF(Inputs!$B$26&lt;&gt;"Yes",NA(),Inputs!$D$26*Inputs!$C$35))</f>
        <v/>
      </c>
      <c r="R1240" s="54">
        <f>IF($B1240=0,NA(),IF(Inputs!$B$27&lt;&gt;"Yes",NA(),Inputs!$D$27*Inputs!$C$35))</f>
        <v/>
      </c>
      <c r="S1240" s="54">
        <f>IF($B1240=0,NA(),IF(Inputs!$B$28&lt;&gt;"Yes",NA(),Inputs!$D$28*Inputs!$C$35))</f>
        <v/>
      </c>
      <c r="T1240" s="54">
        <f>IF($B1240=0,NA(),IF(Inputs!$B$29&lt;&gt;"Yes",NA(),Inputs!$D$29*Inputs!$C$35))</f>
        <v/>
      </c>
      <c r="AD1240">
        <f>IF($B1240=0,0,IF(Inputs!$B$6="",0,COUNTIFS(Data!$A$10:$A$3209,"&gt;="&amp;$A1240,Data!$A$10:$A$3209,"&lt;"&amp;$A1240+1)))</f>
        <v/>
      </c>
      <c r="AE1240">
        <f>IF($B1240=0,0,IF(Inputs!$B$7="",0,COUNTIFS(Data!$E$10:$E$3209,"&gt;="&amp;$A1240,Data!$E$10:$E$3209,"&lt;"&amp;$A1240+1)))</f>
        <v/>
      </c>
      <c r="AF1240">
        <f>IF($B1240=0,0,IF(Inputs!$B$8="",0,COUNTIFS(Data!$I$10:$I$3209,"&gt;="&amp;$A1240,Data!$I$10:$I$3209,"&lt;"&amp;$A1240+1)))</f>
        <v/>
      </c>
      <c r="AG1240">
        <f>IF($B1240=0,0,IF(Inputs!$B$9="",0,COUNTIFS(Data!$M$10:$M$3209,"&gt;="&amp;$A1240,Data!$M$10:$M$3209,"&lt;"&amp;$A1240+1)))</f>
        <v/>
      </c>
      <c r="AH1240">
        <f>IF($B1240=0,0,IF(Inputs!$B$10="",0,COUNTIFS(Data!$Q$10:$Q$3209,"&gt;="&amp;$A1240,Data!$Q$10:$Q$3209,"&lt;"&amp;$A1240+1)))</f>
        <v/>
      </c>
    </row>
    <row r="1241">
      <c r="A1241" s="55">
        <f>MIN(Inputs!$C$15,$A1240+IF(WEEKDAY($A1240,2)=5,3,1))</f>
        <v/>
      </c>
      <c r="B1241">
        <f>IF($A1241&gt;$A1240,1,0)</f>
        <v/>
      </c>
      <c r="C1241" s="56">
        <f>IF($B1241=0,"",IF(Inputs!$B$6="","",IF($AD1241=0,C1240,SUMIFS(Data!$B$10:$B$3209,Data!$A$10:$A$3209,"&gt;="&amp;$A1241,Data!$A$10:$A$3209,"&lt;"&amp;$A1241+1)/$AD1241)))</f>
        <v/>
      </c>
      <c r="D1241" s="56">
        <f>IF($B1241=0,"",IF(Inputs!$B$7="","",IF($AE1241=0,D1240,SUMIFS(Data!$F$10:$F$3209,Data!$E$10:$E$3209,"&gt;="&amp;$A1241,Data!$E$10:$E$3209,"&lt;"&amp;$A1241+1)/$AE1241)))</f>
        <v/>
      </c>
      <c r="E1241" s="56">
        <f>IF($B1241=0,"",IF(Inputs!$B$8="","",IF($AF1241=0,E1240,SUMIFS(Data!$J$10:$J$3209,Data!$I$10:$I$3209,"&gt;="&amp;$A1241,Data!$I$10:$I$3209,"&lt;"&amp;$A1241+1)/$AF1241)))</f>
        <v/>
      </c>
      <c r="F1241" s="56">
        <f>IF($B1241=0,"",IF(Inputs!$B$9="","",IF($AG1241=0,F1240,SUMIFS(Data!$N$10:$N$3209,Data!$M$10:$M$3209,"&gt;="&amp;$A1241,Data!$M$10:$M$3209,"&lt;"&amp;$A1241+1)/$AG1241)))</f>
        <v/>
      </c>
      <c r="G1241" s="56">
        <f>IF($B1241=0,"",IF(Inputs!$B$10="","",IF($AH1241=0,G1240,SUMIFS(Data!$R$10:$R$3209,Data!$Q$10:$Q$3209,"&gt;="&amp;$A1241,Data!$Q$10:$Q$3209,"&lt;"&amp;$A1241+1)/$AH1241)))</f>
        <v/>
      </c>
      <c r="I1241" s="54">
        <f>IF($B1241=0,NA(),IF($C1241="",NA(),IF(C$8="",NA(),IF(N(C$8)=0,NA(),IF(Inputs!$C$17="Rebased to 100",$C1241/C$8*100,$C1241)))))</f>
        <v/>
      </c>
      <c r="J1241" s="54">
        <f>IF($B1241=0,NA(),IF($D1241="",NA(),IF(D$8="",NA(),IF(N(D$8)=0,NA(),IF(Inputs!$C$17="Rebased to 100",$D1241/D$8*100,$D1241)))))</f>
        <v/>
      </c>
      <c r="K1241" s="54">
        <f>IF($B1241=0,NA(),IF($E1241="",NA(),IF(E$8="",NA(),IF(N(E$8)=0,NA(),IF(Inputs!$C$17="Rebased to 100",$E1241/E$8*100,$E1241)))))</f>
        <v/>
      </c>
      <c r="L1241" s="54">
        <f>IF($B1241=0,NA(),IF($F1241="",NA(),IF(F$8="",NA(),IF(N(F$8)=0,NA(),IF(Inputs!$C$17="Rebased to 100",$F1241/F$8*100,$F1241)))))</f>
        <v/>
      </c>
      <c r="M1241" s="54">
        <f>IF($B1241=0,NA(),IF($G1241="",NA(),IF(G$8="",NA(),IF(N(G$8)=0,NA(),IF(Inputs!$C$17="Rebased to 100",$G1241/G$8*100,$G1241)))))</f>
        <v/>
      </c>
      <c r="N1241" s="54">
        <f>IF($B1241=0,NA(),IF(Inputs!$C$18&lt;&gt;"Yes",NA(),IF(COUNT(I1241,J1241,K1241,L1241,M1241)=0,NA(),MIN(I1241,J1241,K1241,L1241,M1241))))</f>
        <v/>
      </c>
      <c r="O1241" s="54">
        <f>IF($B1241=0,NA(),IF(Inputs!$B$24&lt;&gt;"Yes",NA(),Inputs!$D$24*Inputs!$C$35))</f>
        <v/>
      </c>
      <c r="P1241" s="54">
        <f>IF($B1241=0,NA(),IF(Inputs!$B$25&lt;&gt;"Yes",NA(),Inputs!$D$25*Inputs!$C$35))</f>
        <v/>
      </c>
      <c r="Q1241" s="54">
        <f>IF($B1241=0,NA(),IF(Inputs!$B$26&lt;&gt;"Yes",NA(),Inputs!$D$26*Inputs!$C$35))</f>
        <v/>
      </c>
      <c r="R1241" s="54">
        <f>IF($B1241=0,NA(),IF(Inputs!$B$27&lt;&gt;"Yes",NA(),Inputs!$D$27*Inputs!$C$35))</f>
        <v/>
      </c>
      <c r="S1241" s="54">
        <f>IF($B1241=0,NA(),IF(Inputs!$B$28&lt;&gt;"Yes",NA(),Inputs!$D$28*Inputs!$C$35))</f>
        <v/>
      </c>
      <c r="T1241" s="54">
        <f>IF($B1241=0,NA(),IF(Inputs!$B$29&lt;&gt;"Yes",NA(),Inputs!$D$29*Inputs!$C$35))</f>
        <v/>
      </c>
      <c r="AD1241">
        <f>IF($B1241=0,0,IF(Inputs!$B$6="",0,COUNTIFS(Data!$A$10:$A$3209,"&gt;="&amp;$A1241,Data!$A$10:$A$3209,"&lt;"&amp;$A1241+1)))</f>
        <v/>
      </c>
      <c r="AE1241">
        <f>IF($B1241=0,0,IF(Inputs!$B$7="",0,COUNTIFS(Data!$E$10:$E$3209,"&gt;="&amp;$A1241,Data!$E$10:$E$3209,"&lt;"&amp;$A1241+1)))</f>
        <v/>
      </c>
      <c r="AF1241">
        <f>IF($B1241=0,0,IF(Inputs!$B$8="",0,COUNTIFS(Data!$I$10:$I$3209,"&gt;="&amp;$A1241,Data!$I$10:$I$3209,"&lt;"&amp;$A1241+1)))</f>
        <v/>
      </c>
      <c r="AG1241">
        <f>IF($B1241=0,0,IF(Inputs!$B$9="",0,COUNTIFS(Data!$M$10:$M$3209,"&gt;="&amp;$A1241,Data!$M$10:$M$3209,"&lt;"&amp;$A1241+1)))</f>
        <v/>
      </c>
      <c r="AH1241">
        <f>IF($B1241=0,0,IF(Inputs!$B$10="",0,COUNTIFS(Data!$Q$10:$Q$3209,"&gt;="&amp;$A1241,Data!$Q$10:$Q$3209,"&lt;"&amp;$A1241+1)))</f>
        <v/>
      </c>
    </row>
    <row r="1242">
      <c r="A1242" s="55">
        <f>MIN(Inputs!$C$15,$A1241+IF(WEEKDAY($A1241,2)=5,3,1))</f>
        <v/>
      </c>
      <c r="B1242">
        <f>IF($A1242&gt;$A1241,1,0)</f>
        <v/>
      </c>
      <c r="C1242" s="56">
        <f>IF($B1242=0,"",IF(Inputs!$B$6="","",IF($AD1242=0,C1241,SUMIFS(Data!$B$10:$B$3209,Data!$A$10:$A$3209,"&gt;="&amp;$A1242,Data!$A$10:$A$3209,"&lt;"&amp;$A1242+1)/$AD1242)))</f>
        <v/>
      </c>
      <c r="D1242" s="56">
        <f>IF($B1242=0,"",IF(Inputs!$B$7="","",IF($AE1242=0,D1241,SUMIFS(Data!$F$10:$F$3209,Data!$E$10:$E$3209,"&gt;="&amp;$A1242,Data!$E$10:$E$3209,"&lt;"&amp;$A1242+1)/$AE1242)))</f>
        <v/>
      </c>
      <c r="E1242" s="56">
        <f>IF($B1242=0,"",IF(Inputs!$B$8="","",IF($AF1242=0,E1241,SUMIFS(Data!$J$10:$J$3209,Data!$I$10:$I$3209,"&gt;="&amp;$A1242,Data!$I$10:$I$3209,"&lt;"&amp;$A1242+1)/$AF1242)))</f>
        <v/>
      </c>
      <c r="F1242" s="56">
        <f>IF($B1242=0,"",IF(Inputs!$B$9="","",IF($AG1242=0,F1241,SUMIFS(Data!$N$10:$N$3209,Data!$M$10:$M$3209,"&gt;="&amp;$A1242,Data!$M$10:$M$3209,"&lt;"&amp;$A1242+1)/$AG1242)))</f>
        <v/>
      </c>
      <c r="G1242" s="56">
        <f>IF($B1242=0,"",IF(Inputs!$B$10="","",IF($AH1242=0,G1241,SUMIFS(Data!$R$10:$R$3209,Data!$Q$10:$Q$3209,"&gt;="&amp;$A1242,Data!$Q$10:$Q$3209,"&lt;"&amp;$A1242+1)/$AH1242)))</f>
        <v/>
      </c>
      <c r="I1242" s="54">
        <f>IF($B1242=0,NA(),IF($C1242="",NA(),IF(C$8="",NA(),IF(N(C$8)=0,NA(),IF(Inputs!$C$17="Rebased to 100",$C1242/C$8*100,$C1242)))))</f>
        <v/>
      </c>
      <c r="J1242" s="54">
        <f>IF($B1242=0,NA(),IF($D1242="",NA(),IF(D$8="",NA(),IF(N(D$8)=0,NA(),IF(Inputs!$C$17="Rebased to 100",$D1242/D$8*100,$D1242)))))</f>
        <v/>
      </c>
      <c r="K1242" s="54">
        <f>IF($B1242=0,NA(),IF($E1242="",NA(),IF(E$8="",NA(),IF(N(E$8)=0,NA(),IF(Inputs!$C$17="Rebased to 100",$E1242/E$8*100,$E1242)))))</f>
        <v/>
      </c>
      <c r="L1242" s="54">
        <f>IF($B1242=0,NA(),IF($F1242="",NA(),IF(F$8="",NA(),IF(N(F$8)=0,NA(),IF(Inputs!$C$17="Rebased to 100",$F1242/F$8*100,$F1242)))))</f>
        <v/>
      </c>
      <c r="M1242" s="54">
        <f>IF($B1242=0,NA(),IF($G1242="",NA(),IF(G$8="",NA(),IF(N(G$8)=0,NA(),IF(Inputs!$C$17="Rebased to 100",$G1242/G$8*100,$G1242)))))</f>
        <v/>
      </c>
      <c r="N1242" s="54">
        <f>IF($B1242=0,NA(),IF(Inputs!$C$18&lt;&gt;"Yes",NA(),IF(COUNT(I1242,J1242,K1242,L1242,M1242)=0,NA(),MIN(I1242,J1242,K1242,L1242,M1242))))</f>
        <v/>
      </c>
      <c r="O1242" s="54">
        <f>IF($B1242=0,NA(),IF(Inputs!$B$24&lt;&gt;"Yes",NA(),Inputs!$D$24*Inputs!$C$35))</f>
        <v/>
      </c>
      <c r="P1242" s="54">
        <f>IF($B1242=0,NA(),IF(Inputs!$B$25&lt;&gt;"Yes",NA(),Inputs!$D$25*Inputs!$C$35))</f>
        <v/>
      </c>
      <c r="Q1242" s="54">
        <f>IF($B1242=0,NA(),IF(Inputs!$B$26&lt;&gt;"Yes",NA(),Inputs!$D$26*Inputs!$C$35))</f>
        <v/>
      </c>
      <c r="R1242" s="54">
        <f>IF($B1242=0,NA(),IF(Inputs!$B$27&lt;&gt;"Yes",NA(),Inputs!$D$27*Inputs!$C$35))</f>
        <v/>
      </c>
      <c r="S1242" s="54">
        <f>IF($B1242=0,NA(),IF(Inputs!$B$28&lt;&gt;"Yes",NA(),Inputs!$D$28*Inputs!$C$35))</f>
        <v/>
      </c>
      <c r="T1242" s="54">
        <f>IF($B1242=0,NA(),IF(Inputs!$B$29&lt;&gt;"Yes",NA(),Inputs!$D$29*Inputs!$C$35))</f>
        <v/>
      </c>
      <c r="AD1242">
        <f>IF($B1242=0,0,IF(Inputs!$B$6="",0,COUNTIFS(Data!$A$10:$A$3209,"&gt;="&amp;$A1242,Data!$A$10:$A$3209,"&lt;"&amp;$A1242+1)))</f>
        <v/>
      </c>
      <c r="AE1242">
        <f>IF($B1242=0,0,IF(Inputs!$B$7="",0,COUNTIFS(Data!$E$10:$E$3209,"&gt;="&amp;$A1242,Data!$E$10:$E$3209,"&lt;"&amp;$A1242+1)))</f>
        <v/>
      </c>
      <c r="AF1242">
        <f>IF($B1242=0,0,IF(Inputs!$B$8="",0,COUNTIFS(Data!$I$10:$I$3209,"&gt;="&amp;$A1242,Data!$I$10:$I$3209,"&lt;"&amp;$A1242+1)))</f>
        <v/>
      </c>
      <c r="AG1242">
        <f>IF($B1242=0,0,IF(Inputs!$B$9="",0,COUNTIFS(Data!$M$10:$M$3209,"&gt;="&amp;$A1242,Data!$M$10:$M$3209,"&lt;"&amp;$A1242+1)))</f>
        <v/>
      </c>
      <c r="AH1242">
        <f>IF($B1242=0,0,IF(Inputs!$B$10="",0,COUNTIFS(Data!$Q$10:$Q$3209,"&gt;="&amp;$A1242,Data!$Q$10:$Q$3209,"&lt;"&amp;$A1242+1)))</f>
        <v/>
      </c>
    </row>
    <row r="1243">
      <c r="A1243" s="55">
        <f>MIN(Inputs!$C$15,$A1242+IF(WEEKDAY($A1242,2)=5,3,1))</f>
        <v/>
      </c>
      <c r="B1243">
        <f>IF($A1243&gt;$A1242,1,0)</f>
        <v/>
      </c>
      <c r="C1243" s="56">
        <f>IF($B1243=0,"",IF(Inputs!$B$6="","",IF($AD1243=0,C1242,SUMIFS(Data!$B$10:$B$3209,Data!$A$10:$A$3209,"&gt;="&amp;$A1243,Data!$A$10:$A$3209,"&lt;"&amp;$A1243+1)/$AD1243)))</f>
        <v/>
      </c>
      <c r="D1243" s="56">
        <f>IF($B1243=0,"",IF(Inputs!$B$7="","",IF($AE1243=0,D1242,SUMIFS(Data!$F$10:$F$3209,Data!$E$10:$E$3209,"&gt;="&amp;$A1243,Data!$E$10:$E$3209,"&lt;"&amp;$A1243+1)/$AE1243)))</f>
        <v/>
      </c>
      <c r="E1243" s="56">
        <f>IF($B1243=0,"",IF(Inputs!$B$8="","",IF($AF1243=0,E1242,SUMIFS(Data!$J$10:$J$3209,Data!$I$10:$I$3209,"&gt;="&amp;$A1243,Data!$I$10:$I$3209,"&lt;"&amp;$A1243+1)/$AF1243)))</f>
        <v/>
      </c>
      <c r="F1243" s="56">
        <f>IF($B1243=0,"",IF(Inputs!$B$9="","",IF($AG1243=0,F1242,SUMIFS(Data!$N$10:$N$3209,Data!$M$10:$M$3209,"&gt;="&amp;$A1243,Data!$M$10:$M$3209,"&lt;"&amp;$A1243+1)/$AG1243)))</f>
        <v/>
      </c>
      <c r="G1243" s="56">
        <f>IF($B1243=0,"",IF(Inputs!$B$10="","",IF($AH1243=0,G1242,SUMIFS(Data!$R$10:$R$3209,Data!$Q$10:$Q$3209,"&gt;="&amp;$A1243,Data!$Q$10:$Q$3209,"&lt;"&amp;$A1243+1)/$AH1243)))</f>
        <v/>
      </c>
      <c r="I1243" s="54">
        <f>IF($B1243=0,NA(),IF($C1243="",NA(),IF(C$8="",NA(),IF(N(C$8)=0,NA(),IF(Inputs!$C$17="Rebased to 100",$C1243/C$8*100,$C1243)))))</f>
        <v/>
      </c>
      <c r="J1243" s="54">
        <f>IF($B1243=0,NA(),IF($D1243="",NA(),IF(D$8="",NA(),IF(N(D$8)=0,NA(),IF(Inputs!$C$17="Rebased to 100",$D1243/D$8*100,$D1243)))))</f>
        <v/>
      </c>
      <c r="K1243" s="54">
        <f>IF($B1243=0,NA(),IF($E1243="",NA(),IF(E$8="",NA(),IF(N(E$8)=0,NA(),IF(Inputs!$C$17="Rebased to 100",$E1243/E$8*100,$E1243)))))</f>
        <v/>
      </c>
      <c r="L1243" s="54">
        <f>IF($B1243=0,NA(),IF($F1243="",NA(),IF(F$8="",NA(),IF(N(F$8)=0,NA(),IF(Inputs!$C$17="Rebased to 100",$F1243/F$8*100,$F1243)))))</f>
        <v/>
      </c>
      <c r="M1243" s="54">
        <f>IF($B1243=0,NA(),IF($G1243="",NA(),IF(G$8="",NA(),IF(N(G$8)=0,NA(),IF(Inputs!$C$17="Rebased to 100",$G1243/G$8*100,$G1243)))))</f>
        <v/>
      </c>
      <c r="N1243" s="54">
        <f>IF($B1243=0,NA(),IF(Inputs!$C$18&lt;&gt;"Yes",NA(),IF(COUNT(I1243,J1243,K1243,L1243,M1243)=0,NA(),MIN(I1243,J1243,K1243,L1243,M1243))))</f>
        <v/>
      </c>
      <c r="O1243" s="54">
        <f>IF($B1243=0,NA(),IF(Inputs!$B$24&lt;&gt;"Yes",NA(),Inputs!$D$24*Inputs!$C$35))</f>
        <v/>
      </c>
      <c r="P1243" s="54">
        <f>IF($B1243=0,NA(),IF(Inputs!$B$25&lt;&gt;"Yes",NA(),Inputs!$D$25*Inputs!$C$35))</f>
        <v/>
      </c>
      <c r="Q1243" s="54">
        <f>IF($B1243=0,NA(),IF(Inputs!$B$26&lt;&gt;"Yes",NA(),Inputs!$D$26*Inputs!$C$35))</f>
        <v/>
      </c>
      <c r="R1243" s="54">
        <f>IF($B1243=0,NA(),IF(Inputs!$B$27&lt;&gt;"Yes",NA(),Inputs!$D$27*Inputs!$C$35))</f>
        <v/>
      </c>
      <c r="S1243" s="54">
        <f>IF($B1243=0,NA(),IF(Inputs!$B$28&lt;&gt;"Yes",NA(),Inputs!$D$28*Inputs!$C$35))</f>
        <v/>
      </c>
      <c r="T1243" s="54">
        <f>IF($B1243=0,NA(),IF(Inputs!$B$29&lt;&gt;"Yes",NA(),Inputs!$D$29*Inputs!$C$35))</f>
        <v/>
      </c>
      <c r="AD1243">
        <f>IF($B1243=0,0,IF(Inputs!$B$6="",0,COUNTIFS(Data!$A$10:$A$3209,"&gt;="&amp;$A1243,Data!$A$10:$A$3209,"&lt;"&amp;$A1243+1)))</f>
        <v/>
      </c>
      <c r="AE1243">
        <f>IF($B1243=0,0,IF(Inputs!$B$7="",0,COUNTIFS(Data!$E$10:$E$3209,"&gt;="&amp;$A1243,Data!$E$10:$E$3209,"&lt;"&amp;$A1243+1)))</f>
        <v/>
      </c>
      <c r="AF1243">
        <f>IF($B1243=0,0,IF(Inputs!$B$8="",0,COUNTIFS(Data!$I$10:$I$3209,"&gt;="&amp;$A1243,Data!$I$10:$I$3209,"&lt;"&amp;$A1243+1)))</f>
        <v/>
      </c>
      <c r="AG1243">
        <f>IF($B1243=0,0,IF(Inputs!$B$9="",0,COUNTIFS(Data!$M$10:$M$3209,"&gt;="&amp;$A1243,Data!$M$10:$M$3209,"&lt;"&amp;$A1243+1)))</f>
        <v/>
      </c>
      <c r="AH1243">
        <f>IF($B1243=0,0,IF(Inputs!$B$10="",0,COUNTIFS(Data!$Q$10:$Q$3209,"&gt;="&amp;$A1243,Data!$Q$10:$Q$3209,"&lt;"&amp;$A1243+1)))</f>
        <v/>
      </c>
    </row>
    <row r="1244">
      <c r="A1244" s="55">
        <f>MIN(Inputs!$C$15,$A1243+IF(WEEKDAY($A1243,2)=5,3,1))</f>
        <v/>
      </c>
      <c r="B1244">
        <f>IF($A1244&gt;$A1243,1,0)</f>
        <v/>
      </c>
      <c r="C1244" s="56">
        <f>IF($B1244=0,"",IF(Inputs!$B$6="","",IF($AD1244=0,C1243,SUMIFS(Data!$B$10:$B$3209,Data!$A$10:$A$3209,"&gt;="&amp;$A1244,Data!$A$10:$A$3209,"&lt;"&amp;$A1244+1)/$AD1244)))</f>
        <v/>
      </c>
      <c r="D1244" s="56">
        <f>IF($B1244=0,"",IF(Inputs!$B$7="","",IF($AE1244=0,D1243,SUMIFS(Data!$F$10:$F$3209,Data!$E$10:$E$3209,"&gt;="&amp;$A1244,Data!$E$10:$E$3209,"&lt;"&amp;$A1244+1)/$AE1244)))</f>
        <v/>
      </c>
      <c r="E1244" s="56">
        <f>IF($B1244=0,"",IF(Inputs!$B$8="","",IF($AF1244=0,E1243,SUMIFS(Data!$J$10:$J$3209,Data!$I$10:$I$3209,"&gt;="&amp;$A1244,Data!$I$10:$I$3209,"&lt;"&amp;$A1244+1)/$AF1244)))</f>
        <v/>
      </c>
      <c r="F1244" s="56">
        <f>IF($B1244=0,"",IF(Inputs!$B$9="","",IF($AG1244=0,F1243,SUMIFS(Data!$N$10:$N$3209,Data!$M$10:$M$3209,"&gt;="&amp;$A1244,Data!$M$10:$M$3209,"&lt;"&amp;$A1244+1)/$AG1244)))</f>
        <v/>
      </c>
      <c r="G1244" s="56">
        <f>IF($B1244=0,"",IF(Inputs!$B$10="","",IF($AH1244=0,G1243,SUMIFS(Data!$R$10:$R$3209,Data!$Q$10:$Q$3209,"&gt;="&amp;$A1244,Data!$Q$10:$Q$3209,"&lt;"&amp;$A1244+1)/$AH1244)))</f>
        <v/>
      </c>
      <c r="I1244" s="54">
        <f>IF($B1244=0,NA(),IF($C1244="",NA(),IF(C$8="",NA(),IF(N(C$8)=0,NA(),IF(Inputs!$C$17="Rebased to 100",$C1244/C$8*100,$C1244)))))</f>
        <v/>
      </c>
      <c r="J1244" s="54">
        <f>IF($B1244=0,NA(),IF($D1244="",NA(),IF(D$8="",NA(),IF(N(D$8)=0,NA(),IF(Inputs!$C$17="Rebased to 100",$D1244/D$8*100,$D1244)))))</f>
        <v/>
      </c>
      <c r="K1244" s="54">
        <f>IF($B1244=0,NA(),IF($E1244="",NA(),IF(E$8="",NA(),IF(N(E$8)=0,NA(),IF(Inputs!$C$17="Rebased to 100",$E1244/E$8*100,$E1244)))))</f>
        <v/>
      </c>
      <c r="L1244" s="54">
        <f>IF($B1244=0,NA(),IF($F1244="",NA(),IF(F$8="",NA(),IF(N(F$8)=0,NA(),IF(Inputs!$C$17="Rebased to 100",$F1244/F$8*100,$F1244)))))</f>
        <v/>
      </c>
      <c r="M1244" s="54">
        <f>IF($B1244=0,NA(),IF($G1244="",NA(),IF(G$8="",NA(),IF(N(G$8)=0,NA(),IF(Inputs!$C$17="Rebased to 100",$G1244/G$8*100,$G1244)))))</f>
        <v/>
      </c>
      <c r="N1244" s="54">
        <f>IF($B1244=0,NA(),IF(Inputs!$C$18&lt;&gt;"Yes",NA(),IF(COUNT(I1244,J1244,K1244,L1244,M1244)=0,NA(),MIN(I1244,J1244,K1244,L1244,M1244))))</f>
        <v/>
      </c>
      <c r="O1244" s="54">
        <f>IF($B1244=0,NA(),IF(Inputs!$B$24&lt;&gt;"Yes",NA(),Inputs!$D$24*Inputs!$C$35))</f>
        <v/>
      </c>
      <c r="P1244" s="54">
        <f>IF($B1244=0,NA(),IF(Inputs!$B$25&lt;&gt;"Yes",NA(),Inputs!$D$25*Inputs!$C$35))</f>
        <v/>
      </c>
      <c r="Q1244" s="54">
        <f>IF($B1244=0,NA(),IF(Inputs!$B$26&lt;&gt;"Yes",NA(),Inputs!$D$26*Inputs!$C$35))</f>
        <v/>
      </c>
      <c r="R1244" s="54">
        <f>IF($B1244=0,NA(),IF(Inputs!$B$27&lt;&gt;"Yes",NA(),Inputs!$D$27*Inputs!$C$35))</f>
        <v/>
      </c>
      <c r="S1244" s="54">
        <f>IF($B1244=0,NA(),IF(Inputs!$B$28&lt;&gt;"Yes",NA(),Inputs!$D$28*Inputs!$C$35))</f>
        <v/>
      </c>
      <c r="T1244" s="54">
        <f>IF($B1244=0,NA(),IF(Inputs!$B$29&lt;&gt;"Yes",NA(),Inputs!$D$29*Inputs!$C$35))</f>
        <v/>
      </c>
      <c r="AD1244">
        <f>IF($B1244=0,0,IF(Inputs!$B$6="",0,COUNTIFS(Data!$A$10:$A$3209,"&gt;="&amp;$A1244,Data!$A$10:$A$3209,"&lt;"&amp;$A1244+1)))</f>
        <v/>
      </c>
      <c r="AE1244">
        <f>IF($B1244=0,0,IF(Inputs!$B$7="",0,COUNTIFS(Data!$E$10:$E$3209,"&gt;="&amp;$A1244,Data!$E$10:$E$3209,"&lt;"&amp;$A1244+1)))</f>
        <v/>
      </c>
      <c r="AF1244">
        <f>IF($B1244=0,0,IF(Inputs!$B$8="",0,COUNTIFS(Data!$I$10:$I$3209,"&gt;="&amp;$A1244,Data!$I$10:$I$3209,"&lt;"&amp;$A1244+1)))</f>
        <v/>
      </c>
      <c r="AG1244">
        <f>IF($B1244=0,0,IF(Inputs!$B$9="",0,COUNTIFS(Data!$M$10:$M$3209,"&gt;="&amp;$A1244,Data!$M$10:$M$3209,"&lt;"&amp;$A1244+1)))</f>
        <v/>
      </c>
      <c r="AH1244">
        <f>IF($B1244=0,0,IF(Inputs!$B$10="",0,COUNTIFS(Data!$Q$10:$Q$3209,"&gt;="&amp;$A1244,Data!$Q$10:$Q$3209,"&lt;"&amp;$A1244+1)))</f>
        <v/>
      </c>
    </row>
    <row r="1245">
      <c r="A1245" s="55">
        <f>MIN(Inputs!$C$15,$A1244+IF(WEEKDAY($A1244,2)=5,3,1))</f>
        <v/>
      </c>
      <c r="B1245">
        <f>IF($A1245&gt;$A1244,1,0)</f>
        <v/>
      </c>
      <c r="C1245" s="56">
        <f>IF($B1245=0,"",IF(Inputs!$B$6="","",IF($AD1245=0,C1244,SUMIFS(Data!$B$10:$B$3209,Data!$A$10:$A$3209,"&gt;="&amp;$A1245,Data!$A$10:$A$3209,"&lt;"&amp;$A1245+1)/$AD1245)))</f>
        <v/>
      </c>
      <c r="D1245" s="56">
        <f>IF($B1245=0,"",IF(Inputs!$B$7="","",IF($AE1245=0,D1244,SUMIFS(Data!$F$10:$F$3209,Data!$E$10:$E$3209,"&gt;="&amp;$A1245,Data!$E$10:$E$3209,"&lt;"&amp;$A1245+1)/$AE1245)))</f>
        <v/>
      </c>
      <c r="E1245" s="56">
        <f>IF($B1245=0,"",IF(Inputs!$B$8="","",IF($AF1245=0,E1244,SUMIFS(Data!$J$10:$J$3209,Data!$I$10:$I$3209,"&gt;="&amp;$A1245,Data!$I$10:$I$3209,"&lt;"&amp;$A1245+1)/$AF1245)))</f>
        <v/>
      </c>
      <c r="F1245" s="56">
        <f>IF($B1245=0,"",IF(Inputs!$B$9="","",IF($AG1245=0,F1244,SUMIFS(Data!$N$10:$N$3209,Data!$M$10:$M$3209,"&gt;="&amp;$A1245,Data!$M$10:$M$3209,"&lt;"&amp;$A1245+1)/$AG1245)))</f>
        <v/>
      </c>
      <c r="G1245" s="56">
        <f>IF($B1245=0,"",IF(Inputs!$B$10="","",IF($AH1245=0,G1244,SUMIFS(Data!$R$10:$R$3209,Data!$Q$10:$Q$3209,"&gt;="&amp;$A1245,Data!$Q$10:$Q$3209,"&lt;"&amp;$A1245+1)/$AH1245)))</f>
        <v/>
      </c>
      <c r="I1245" s="54">
        <f>IF($B1245=0,NA(),IF($C1245="",NA(),IF(C$8="",NA(),IF(N(C$8)=0,NA(),IF(Inputs!$C$17="Rebased to 100",$C1245/C$8*100,$C1245)))))</f>
        <v/>
      </c>
      <c r="J1245" s="54">
        <f>IF($B1245=0,NA(),IF($D1245="",NA(),IF(D$8="",NA(),IF(N(D$8)=0,NA(),IF(Inputs!$C$17="Rebased to 100",$D1245/D$8*100,$D1245)))))</f>
        <v/>
      </c>
      <c r="K1245" s="54">
        <f>IF($B1245=0,NA(),IF($E1245="",NA(),IF(E$8="",NA(),IF(N(E$8)=0,NA(),IF(Inputs!$C$17="Rebased to 100",$E1245/E$8*100,$E1245)))))</f>
        <v/>
      </c>
      <c r="L1245" s="54">
        <f>IF($B1245=0,NA(),IF($F1245="",NA(),IF(F$8="",NA(),IF(N(F$8)=0,NA(),IF(Inputs!$C$17="Rebased to 100",$F1245/F$8*100,$F1245)))))</f>
        <v/>
      </c>
      <c r="M1245" s="54">
        <f>IF($B1245=0,NA(),IF($G1245="",NA(),IF(G$8="",NA(),IF(N(G$8)=0,NA(),IF(Inputs!$C$17="Rebased to 100",$G1245/G$8*100,$G1245)))))</f>
        <v/>
      </c>
      <c r="N1245" s="54">
        <f>IF($B1245=0,NA(),IF(Inputs!$C$18&lt;&gt;"Yes",NA(),IF(COUNT(I1245,J1245,K1245,L1245,M1245)=0,NA(),MIN(I1245,J1245,K1245,L1245,M1245))))</f>
        <v/>
      </c>
      <c r="O1245" s="54">
        <f>IF($B1245=0,NA(),IF(Inputs!$B$24&lt;&gt;"Yes",NA(),Inputs!$D$24*Inputs!$C$35))</f>
        <v/>
      </c>
      <c r="P1245" s="54">
        <f>IF($B1245=0,NA(),IF(Inputs!$B$25&lt;&gt;"Yes",NA(),Inputs!$D$25*Inputs!$C$35))</f>
        <v/>
      </c>
      <c r="Q1245" s="54">
        <f>IF($B1245=0,NA(),IF(Inputs!$B$26&lt;&gt;"Yes",NA(),Inputs!$D$26*Inputs!$C$35))</f>
        <v/>
      </c>
      <c r="R1245" s="54">
        <f>IF($B1245=0,NA(),IF(Inputs!$B$27&lt;&gt;"Yes",NA(),Inputs!$D$27*Inputs!$C$35))</f>
        <v/>
      </c>
      <c r="S1245" s="54">
        <f>IF($B1245=0,NA(),IF(Inputs!$B$28&lt;&gt;"Yes",NA(),Inputs!$D$28*Inputs!$C$35))</f>
        <v/>
      </c>
      <c r="T1245" s="54">
        <f>IF($B1245=0,NA(),IF(Inputs!$B$29&lt;&gt;"Yes",NA(),Inputs!$D$29*Inputs!$C$35))</f>
        <v/>
      </c>
      <c r="AD1245">
        <f>IF($B1245=0,0,IF(Inputs!$B$6="",0,COUNTIFS(Data!$A$10:$A$3209,"&gt;="&amp;$A1245,Data!$A$10:$A$3209,"&lt;"&amp;$A1245+1)))</f>
        <v/>
      </c>
      <c r="AE1245">
        <f>IF($B1245=0,0,IF(Inputs!$B$7="",0,COUNTIFS(Data!$E$10:$E$3209,"&gt;="&amp;$A1245,Data!$E$10:$E$3209,"&lt;"&amp;$A1245+1)))</f>
        <v/>
      </c>
      <c r="AF1245">
        <f>IF($B1245=0,0,IF(Inputs!$B$8="",0,COUNTIFS(Data!$I$10:$I$3209,"&gt;="&amp;$A1245,Data!$I$10:$I$3209,"&lt;"&amp;$A1245+1)))</f>
        <v/>
      </c>
      <c r="AG1245">
        <f>IF($B1245=0,0,IF(Inputs!$B$9="",0,COUNTIFS(Data!$M$10:$M$3209,"&gt;="&amp;$A1245,Data!$M$10:$M$3209,"&lt;"&amp;$A1245+1)))</f>
        <v/>
      </c>
      <c r="AH1245">
        <f>IF($B1245=0,0,IF(Inputs!$B$10="",0,COUNTIFS(Data!$Q$10:$Q$3209,"&gt;="&amp;$A1245,Data!$Q$10:$Q$3209,"&lt;"&amp;$A1245+1)))</f>
        <v/>
      </c>
    </row>
    <row r="1246">
      <c r="A1246" s="55">
        <f>MIN(Inputs!$C$15,$A1245+IF(WEEKDAY($A1245,2)=5,3,1))</f>
        <v/>
      </c>
      <c r="B1246">
        <f>IF($A1246&gt;$A1245,1,0)</f>
        <v/>
      </c>
      <c r="C1246" s="56">
        <f>IF($B1246=0,"",IF(Inputs!$B$6="","",IF($AD1246=0,C1245,SUMIFS(Data!$B$10:$B$3209,Data!$A$10:$A$3209,"&gt;="&amp;$A1246,Data!$A$10:$A$3209,"&lt;"&amp;$A1246+1)/$AD1246)))</f>
        <v/>
      </c>
      <c r="D1246" s="56">
        <f>IF($B1246=0,"",IF(Inputs!$B$7="","",IF($AE1246=0,D1245,SUMIFS(Data!$F$10:$F$3209,Data!$E$10:$E$3209,"&gt;="&amp;$A1246,Data!$E$10:$E$3209,"&lt;"&amp;$A1246+1)/$AE1246)))</f>
        <v/>
      </c>
      <c r="E1246" s="56">
        <f>IF($B1246=0,"",IF(Inputs!$B$8="","",IF($AF1246=0,E1245,SUMIFS(Data!$J$10:$J$3209,Data!$I$10:$I$3209,"&gt;="&amp;$A1246,Data!$I$10:$I$3209,"&lt;"&amp;$A1246+1)/$AF1246)))</f>
        <v/>
      </c>
      <c r="F1246" s="56">
        <f>IF($B1246=0,"",IF(Inputs!$B$9="","",IF($AG1246=0,F1245,SUMIFS(Data!$N$10:$N$3209,Data!$M$10:$M$3209,"&gt;="&amp;$A1246,Data!$M$10:$M$3209,"&lt;"&amp;$A1246+1)/$AG1246)))</f>
        <v/>
      </c>
      <c r="G1246" s="56">
        <f>IF($B1246=0,"",IF(Inputs!$B$10="","",IF($AH1246=0,G1245,SUMIFS(Data!$R$10:$R$3209,Data!$Q$10:$Q$3209,"&gt;="&amp;$A1246,Data!$Q$10:$Q$3209,"&lt;"&amp;$A1246+1)/$AH1246)))</f>
        <v/>
      </c>
      <c r="I1246" s="54">
        <f>IF($B1246=0,NA(),IF($C1246="",NA(),IF(C$8="",NA(),IF(N(C$8)=0,NA(),IF(Inputs!$C$17="Rebased to 100",$C1246/C$8*100,$C1246)))))</f>
        <v/>
      </c>
      <c r="J1246" s="54">
        <f>IF($B1246=0,NA(),IF($D1246="",NA(),IF(D$8="",NA(),IF(N(D$8)=0,NA(),IF(Inputs!$C$17="Rebased to 100",$D1246/D$8*100,$D1246)))))</f>
        <v/>
      </c>
      <c r="K1246" s="54">
        <f>IF($B1246=0,NA(),IF($E1246="",NA(),IF(E$8="",NA(),IF(N(E$8)=0,NA(),IF(Inputs!$C$17="Rebased to 100",$E1246/E$8*100,$E1246)))))</f>
        <v/>
      </c>
      <c r="L1246" s="54">
        <f>IF($B1246=0,NA(),IF($F1246="",NA(),IF(F$8="",NA(),IF(N(F$8)=0,NA(),IF(Inputs!$C$17="Rebased to 100",$F1246/F$8*100,$F1246)))))</f>
        <v/>
      </c>
      <c r="M1246" s="54">
        <f>IF($B1246=0,NA(),IF($G1246="",NA(),IF(G$8="",NA(),IF(N(G$8)=0,NA(),IF(Inputs!$C$17="Rebased to 100",$G1246/G$8*100,$G1246)))))</f>
        <v/>
      </c>
      <c r="N1246" s="54">
        <f>IF($B1246=0,NA(),IF(Inputs!$C$18&lt;&gt;"Yes",NA(),IF(COUNT(I1246,J1246,K1246,L1246,M1246)=0,NA(),MIN(I1246,J1246,K1246,L1246,M1246))))</f>
        <v/>
      </c>
      <c r="O1246" s="54">
        <f>IF($B1246=0,NA(),IF(Inputs!$B$24&lt;&gt;"Yes",NA(),Inputs!$D$24*Inputs!$C$35))</f>
        <v/>
      </c>
      <c r="P1246" s="54">
        <f>IF($B1246=0,NA(),IF(Inputs!$B$25&lt;&gt;"Yes",NA(),Inputs!$D$25*Inputs!$C$35))</f>
        <v/>
      </c>
      <c r="Q1246" s="54">
        <f>IF($B1246=0,NA(),IF(Inputs!$B$26&lt;&gt;"Yes",NA(),Inputs!$D$26*Inputs!$C$35))</f>
        <v/>
      </c>
      <c r="R1246" s="54">
        <f>IF($B1246=0,NA(),IF(Inputs!$B$27&lt;&gt;"Yes",NA(),Inputs!$D$27*Inputs!$C$35))</f>
        <v/>
      </c>
      <c r="S1246" s="54">
        <f>IF($B1246=0,NA(),IF(Inputs!$B$28&lt;&gt;"Yes",NA(),Inputs!$D$28*Inputs!$C$35))</f>
        <v/>
      </c>
      <c r="T1246" s="54">
        <f>IF($B1246=0,NA(),IF(Inputs!$B$29&lt;&gt;"Yes",NA(),Inputs!$D$29*Inputs!$C$35))</f>
        <v/>
      </c>
      <c r="AD1246">
        <f>IF($B1246=0,0,IF(Inputs!$B$6="",0,COUNTIFS(Data!$A$10:$A$3209,"&gt;="&amp;$A1246,Data!$A$10:$A$3209,"&lt;"&amp;$A1246+1)))</f>
        <v/>
      </c>
      <c r="AE1246">
        <f>IF($B1246=0,0,IF(Inputs!$B$7="",0,COUNTIFS(Data!$E$10:$E$3209,"&gt;="&amp;$A1246,Data!$E$10:$E$3209,"&lt;"&amp;$A1246+1)))</f>
        <v/>
      </c>
      <c r="AF1246">
        <f>IF($B1246=0,0,IF(Inputs!$B$8="",0,COUNTIFS(Data!$I$10:$I$3209,"&gt;="&amp;$A1246,Data!$I$10:$I$3209,"&lt;"&amp;$A1246+1)))</f>
        <v/>
      </c>
      <c r="AG1246">
        <f>IF($B1246=0,0,IF(Inputs!$B$9="",0,COUNTIFS(Data!$M$10:$M$3209,"&gt;="&amp;$A1246,Data!$M$10:$M$3209,"&lt;"&amp;$A1246+1)))</f>
        <v/>
      </c>
      <c r="AH1246">
        <f>IF($B1246=0,0,IF(Inputs!$B$10="",0,COUNTIFS(Data!$Q$10:$Q$3209,"&gt;="&amp;$A1246,Data!$Q$10:$Q$3209,"&lt;"&amp;$A1246+1)))</f>
        <v/>
      </c>
    </row>
    <row r="1247">
      <c r="A1247" s="55">
        <f>MIN(Inputs!$C$15,$A1246+IF(WEEKDAY($A1246,2)=5,3,1))</f>
        <v/>
      </c>
      <c r="B1247">
        <f>IF($A1247&gt;$A1246,1,0)</f>
        <v/>
      </c>
      <c r="C1247" s="56">
        <f>IF($B1247=0,"",IF(Inputs!$B$6="","",IF($AD1247=0,C1246,SUMIFS(Data!$B$10:$B$3209,Data!$A$10:$A$3209,"&gt;="&amp;$A1247,Data!$A$10:$A$3209,"&lt;"&amp;$A1247+1)/$AD1247)))</f>
        <v/>
      </c>
      <c r="D1247" s="56">
        <f>IF($B1247=0,"",IF(Inputs!$B$7="","",IF($AE1247=0,D1246,SUMIFS(Data!$F$10:$F$3209,Data!$E$10:$E$3209,"&gt;="&amp;$A1247,Data!$E$10:$E$3209,"&lt;"&amp;$A1247+1)/$AE1247)))</f>
        <v/>
      </c>
      <c r="E1247" s="56">
        <f>IF($B1247=0,"",IF(Inputs!$B$8="","",IF($AF1247=0,E1246,SUMIFS(Data!$J$10:$J$3209,Data!$I$10:$I$3209,"&gt;="&amp;$A1247,Data!$I$10:$I$3209,"&lt;"&amp;$A1247+1)/$AF1247)))</f>
        <v/>
      </c>
      <c r="F1247" s="56">
        <f>IF($B1247=0,"",IF(Inputs!$B$9="","",IF($AG1247=0,F1246,SUMIFS(Data!$N$10:$N$3209,Data!$M$10:$M$3209,"&gt;="&amp;$A1247,Data!$M$10:$M$3209,"&lt;"&amp;$A1247+1)/$AG1247)))</f>
        <v/>
      </c>
      <c r="G1247" s="56">
        <f>IF($B1247=0,"",IF(Inputs!$B$10="","",IF($AH1247=0,G1246,SUMIFS(Data!$R$10:$R$3209,Data!$Q$10:$Q$3209,"&gt;="&amp;$A1247,Data!$Q$10:$Q$3209,"&lt;"&amp;$A1247+1)/$AH1247)))</f>
        <v/>
      </c>
      <c r="I1247" s="54">
        <f>IF($B1247=0,NA(),IF($C1247="",NA(),IF(C$8="",NA(),IF(N(C$8)=0,NA(),IF(Inputs!$C$17="Rebased to 100",$C1247/C$8*100,$C1247)))))</f>
        <v/>
      </c>
      <c r="J1247" s="54">
        <f>IF($B1247=0,NA(),IF($D1247="",NA(),IF(D$8="",NA(),IF(N(D$8)=0,NA(),IF(Inputs!$C$17="Rebased to 100",$D1247/D$8*100,$D1247)))))</f>
        <v/>
      </c>
      <c r="K1247" s="54">
        <f>IF($B1247=0,NA(),IF($E1247="",NA(),IF(E$8="",NA(),IF(N(E$8)=0,NA(),IF(Inputs!$C$17="Rebased to 100",$E1247/E$8*100,$E1247)))))</f>
        <v/>
      </c>
      <c r="L1247" s="54">
        <f>IF($B1247=0,NA(),IF($F1247="",NA(),IF(F$8="",NA(),IF(N(F$8)=0,NA(),IF(Inputs!$C$17="Rebased to 100",$F1247/F$8*100,$F1247)))))</f>
        <v/>
      </c>
      <c r="M1247" s="54">
        <f>IF($B1247=0,NA(),IF($G1247="",NA(),IF(G$8="",NA(),IF(N(G$8)=0,NA(),IF(Inputs!$C$17="Rebased to 100",$G1247/G$8*100,$G1247)))))</f>
        <v/>
      </c>
      <c r="N1247" s="54">
        <f>IF($B1247=0,NA(),IF(Inputs!$C$18&lt;&gt;"Yes",NA(),IF(COUNT(I1247,J1247,K1247,L1247,M1247)=0,NA(),MIN(I1247,J1247,K1247,L1247,M1247))))</f>
        <v/>
      </c>
      <c r="O1247" s="54">
        <f>IF($B1247=0,NA(),IF(Inputs!$B$24&lt;&gt;"Yes",NA(),Inputs!$D$24*Inputs!$C$35))</f>
        <v/>
      </c>
      <c r="P1247" s="54">
        <f>IF($B1247=0,NA(),IF(Inputs!$B$25&lt;&gt;"Yes",NA(),Inputs!$D$25*Inputs!$C$35))</f>
        <v/>
      </c>
      <c r="Q1247" s="54">
        <f>IF($B1247=0,NA(),IF(Inputs!$B$26&lt;&gt;"Yes",NA(),Inputs!$D$26*Inputs!$C$35))</f>
        <v/>
      </c>
      <c r="R1247" s="54">
        <f>IF($B1247=0,NA(),IF(Inputs!$B$27&lt;&gt;"Yes",NA(),Inputs!$D$27*Inputs!$C$35))</f>
        <v/>
      </c>
      <c r="S1247" s="54">
        <f>IF($B1247=0,NA(),IF(Inputs!$B$28&lt;&gt;"Yes",NA(),Inputs!$D$28*Inputs!$C$35))</f>
        <v/>
      </c>
      <c r="T1247" s="54">
        <f>IF($B1247=0,NA(),IF(Inputs!$B$29&lt;&gt;"Yes",NA(),Inputs!$D$29*Inputs!$C$35))</f>
        <v/>
      </c>
      <c r="AD1247">
        <f>IF($B1247=0,0,IF(Inputs!$B$6="",0,COUNTIFS(Data!$A$10:$A$3209,"&gt;="&amp;$A1247,Data!$A$10:$A$3209,"&lt;"&amp;$A1247+1)))</f>
        <v/>
      </c>
      <c r="AE1247">
        <f>IF($B1247=0,0,IF(Inputs!$B$7="",0,COUNTIFS(Data!$E$10:$E$3209,"&gt;="&amp;$A1247,Data!$E$10:$E$3209,"&lt;"&amp;$A1247+1)))</f>
        <v/>
      </c>
      <c r="AF1247">
        <f>IF($B1247=0,0,IF(Inputs!$B$8="",0,COUNTIFS(Data!$I$10:$I$3209,"&gt;="&amp;$A1247,Data!$I$10:$I$3209,"&lt;"&amp;$A1247+1)))</f>
        <v/>
      </c>
      <c r="AG1247">
        <f>IF($B1247=0,0,IF(Inputs!$B$9="",0,COUNTIFS(Data!$M$10:$M$3209,"&gt;="&amp;$A1247,Data!$M$10:$M$3209,"&lt;"&amp;$A1247+1)))</f>
        <v/>
      </c>
      <c r="AH1247">
        <f>IF($B1247=0,0,IF(Inputs!$B$10="",0,COUNTIFS(Data!$Q$10:$Q$3209,"&gt;="&amp;$A1247,Data!$Q$10:$Q$3209,"&lt;"&amp;$A1247+1)))</f>
        <v/>
      </c>
    </row>
    <row r="1248">
      <c r="A1248" s="55">
        <f>MIN(Inputs!$C$15,$A1247+IF(WEEKDAY($A1247,2)=5,3,1))</f>
        <v/>
      </c>
      <c r="B1248">
        <f>IF($A1248&gt;$A1247,1,0)</f>
        <v/>
      </c>
      <c r="C1248" s="56">
        <f>IF($B1248=0,"",IF(Inputs!$B$6="","",IF($AD1248=0,C1247,SUMIFS(Data!$B$10:$B$3209,Data!$A$10:$A$3209,"&gt;="&amp;$A1248,Data!$A$10:$A$3209,"&lt;"&amp;$A1248+1)/$AD1248)))</f>
        <v/>
      </c>
      <c r="D1248" s="56">
        <f>IF($B1248=0,"",IF(Inputs!$B$7="","",IF($AE1248=0,D1247,SUMIFS(Data!$F$10:$F$3209,Data!$E$10:$E$3209,"&gt;="&amp;$A1248,Data!$E$10:$E$3209,"&lt;"&amp;$A1248+1)/$AE1248)))</f>
        <v/>
      </c>
      <c r="E1248" s="56">
        <f>IF($B1248=0,"",IF(Inputs!$B$8="","",IF($AF1248=0,E1247,SUMIFS(Data!$J$10:$J$3209,Data!$I$10:$I$3209,"&gt;="&amp;$A1248,Data!$I$10:$I$3209,"&lt;"&amp;$A1248+1)/$AF1248)))</f>
        <v/>
      </c>
      <c r="F1248" s="56">
        <f>IF($B1248=0,"",IF(Inputs!$B$9="","",IF($AG1248=0,F1247,SUMIFS(Data!$N$10:$N$3209,Data!$M$10:$M$3209,"&gt;="&amp;$A1248,Data!$M$10:$M$3209,"&lt;"&amp;$A1248+1)/$AG1248)))</f>
        <v/>
      </c>
      <c r="G1248" s="56">
        <f>IF($B1248=0,"",IF(Inputs!$B$10="","",IF($AH1248=0,G1247,SUMIFS(Data!$R$10:$R$3209,Data!$Q$10:$Q$3209,"&gt;="&amp;$A1248,Data!$Q$10:$Q$3209,"&lt;"&amp;$A1248+1)/$AH1248)))</f>
        <v/>
      </c>
      <c r="I1248" s="54">
        <f>IF($B1248=0,NA(),IF($C1248="",NA(),IF(C$8="",NA(),IF(N(C$8)=0,NA(),IF(Inputs!$C$17="Rebased to 100",$C1248/C$8*100,$C1248)))))</f>
        <v/>
      </c>
      <c r="J1248" s="54">
        <f>IF($B1248=0,NA(),IF($D1248="",NA(),IF(D$8="",NA(),IF(N(D$8)=0,NA(),IF(Inputs!$C$17="Rebased to 100",$D1248/D$8*100,$D1248)))))</f>
        <v/>
      </c>
      <c r="K1248" s="54">
        <f>IF($B1248=0,NA(),IF($E1248="",NA(),IF(E$8="",NA(),IF(N(E$8)=0,NA(),IF(Inputs!$C$17="Rebased to 100",$E1248/E$8*100,$E1248)))))</f>
        <v/>
      </c>
      <c r="L1248" s="54">
        <f>IF($B1248=0,NA(),IF($F1248="",NA(),IF(F$8="",NA(),IF(N(F$8)=0,NA(),IF(Inputs!$C$17="Rebased to 100",$F1248/F$8*100,$F1248)))))</f>
        <v/>
      </c>
      <c r="M1248" s="54">
        <f>IF($B1248=0,NA(),IF($G1248="",NA(),IF(G$8="",NA(),IF(N(G$8)=0,NA(),IF(Inputs!$C$17="Rebased to 100",$G1248/G$8*100,$G1248)))))</f>
        <v/>
      </c>
      <c r="N1248" s="54">
        <f>IF($B1248=0,NA(),IF(Inputs!$C$18&lt;&gt;"Yes",NA(),IF(COUNT(I1248,J1248,K1248,L1248,M1248)=0,NA(),MIN(I1248,J1248,K1248,L1248,M1248))))</f>
        <v/>
      </c>
      <c r="O1248" s="54">
        <f>IF($B1248=0,NA(),IF(Inputs!$B$24&lt;&gt;"Yes",NA(),Inputs!$D$24*Inputs!$C$35))</f>
        <v/>
      </c>
      <c r="P1248" s="54">
        <f>IF($B1248=0,NA(),IF(Inputs!$B$25&lt;&gt;"Yes",NA(),Inputs!$D$25*Inputs!$C$35))</f>
        <v/>
      </c>
      <c r="Q1248" s="54">
        <f>IF($B1248=0,NA(),IF(Inputs!$B$26&lt;&gt;"Yes",NA(),Inputs!$D$26*Inputs!$C$35))</f>
        <v/>
      </c>
      <c r="R1248" s="54">
        <f>IF($B1248=0,NA(),IF(Inputs!$B$27&lt;&gt;"Yes",NA(),Inputs!$D$27*Inputs!$C$35))</f>
        <v/>
      </c>
      <c r="S1248" s="54">
        <f>IF($B1248=0,NA(),IF(Inputs!$B$28&lt;&gt;"Yes",NA(),Inputs!$D$28*Inputs!$C$35))</f>
        <v/>
      </c>
      <c r="T1248" s="54">
        <f>IF($B1248=0,NA(),IF(Inputs!$B$29&lt;&gt;"Yes",NA(),Inputs!$D$29*Inputs!$C$35))</f>
        <v/>
      </c>
      <c r="AD1248">
        <f>IF($B1248=0,0,IF(Inputs!$B$6="",0,COUNTIFS(Data!$A$10:$A$3209,"&gt;="&amp;$A1248,Data!$A$10:$A$3209,"&lt;"&amp;$A1248+1)))</f>
        <v/>
      </c>
      <c r="AE1248">
        <f>IF($B1248=0,0,IF(Inputs!$B$7="",0,COUNTIFS(Data!$E$10:$E$3209,"&gt;="&amp;$A1248,Data!$E$10:$E$3209,"&lt;"&amp;$A1248+1)))</f>
        <v/>
      </c>
      <c r="AF1248">
        <f>IF($B1248=0,0,IF(Inputs!$B$8="",0,COUNTIFS(Data!$I$10:$I$3209,"&gt;="&amp;$A1248,Data!$I$10:$I$3209,"&lt;"&amp;$A1248+1)))</f>
        <v/>
      </c>
      <c r="AG1248">
        <f>IF($B1248=0,0,IF(Inputs!$B$9="",0,COUNTIFS(Data!$M$10:$M$3209,"&gt;="&amp;$A1248,Data!$M$10:$M$3209,"&lt;"&amp;$A1248+1)))</f>
        <v/>
      </c>
      <c r="AH1248">
        <f>IF($B1248=0,0,IF(Inputs!$B$10="",0,COUNTIFS(Data!$Q$10:$Q$3209,"&gt;="&amp;$A1248,Data!$Q$10:$Q$3209,"&lt;"&amp;$A1248+1)))</f>
        <v/>
      </c>
    </row>
    <row r="1249">
      <c r="A1249" s="55">
        <f>MIN(Inputs!$C$15,$A1248+IF(WEEKDAY($A1248,2)=5,3,1))</f>
        <v/>
      </c>
      <c r="B1249">
        <f>IF($A1249&gt;$A1248,1,0)</f>
        <v/>
      </c>
      <c r="C1249" s="56">
        <f>IF($B1249=0,"",IF(Inputs!$B$6="","",IF($AD1249=0,C1248,SUMIFS(Data!$B$10:$B$3209,Data!$A$10:$A$3209,"&gt;="&amp;$A1249,Data!$A$10:$A$3209,"&lt;"&amp;$A1249+1)/$AD1249)))</f>
        <v/>
      </c>
      <c r="D1249" s="56">
        <f>IF($B1249=0,"",IF(Inputs!$B$7="","",IF($AE1249=0,D1248,SUMIFS(Data!$F$10:$F$3209,Data!$E$10:$E$3209,"&gt;="&amp;$A1249,Data!$E$10:$E$3209,"&lt;"&amp;$A1249+1)/$AE1249)))</f>
        <v/>
      </c>
      <c r="E1249" s="56">
        <f>IF($B1249=0,"",IF(Inputs!$B$8="","",IF($AF1249=0,E1248,SUMIFS(Data!$J$10:$J$3209,Data!$I$10:$I$3209,"&gt;="&amp;$A1249,Data!$I$10:$I$3209,"&lt;"&amp;$A1249+1)/$AF1249)))</f>
        <v/>
      </c>
      <c r="F1249" s="56">
        <f>IF($B1249=0,"",IF(Inputs!$B$9="","",IF($AG1249=0,F1248,SUMIFS(Data!$N$10:$N$3209,Data!$M$10:$M$3209,"&gt;="&amp;$A1249,Data!$M$10:$M$3209,"&lt;"&amp;$A1249+1)/$AG1249)))</f>
        <v/>
      </c>
      <c r="G1249" s="56">
        <f>IF($B1249=0,"",IF(Inputs!$B$10="","",IF($AH1249=0,G1248,SUMIFS(Data!$R$10:$R$3209,Data!$Q$10:$Q$3209,"&gt;="&amp;$A1249,Data!$Q$10:$Q$3209,"&lt;"&amp;$A1249+1)/$AH1249)))</f>
        <v/>
      </c>
      <c r="I1249" s="54">
        <f>IF($B1249=0,NA(),IF($C1249="",NA(),IF(C$8="",NA(),IF(N(C$8)=0,NA(),IF(Inputs!$C$17="Rebased to 100",$C1249/C$8*100,$C1249)))))</f>
        <v/>
      </c>
      <c r="J1249" s="54">
        <f>IF($B1249=0,NA(),IF($D1249="",NA(),IF(D$8="",NA(),IF(N(D$8)=0,NA(),IF(Inputs!$C$17="Rebased to 100",$D1249/D$8*100,$D1249)))))</f>
        <v/>
      </c>
      <c r="K1249" s="54">
        <f>IF($B1249=0,NA(),IF($E1249="",NA(),IF(E$8="",NA(),IF(N(E$8)=0,NA(),IF(Inputs!$C$17="Rebased to 100",$E1249/E$8*100,$E1249)))))</f>
        <v/>
      </c>
      <c r="L1249" s="54">
        <f>IF($B1249=0,NA(),IF($F1249="",NA(),IF(F$8="",NA(),IF(N(F$8)=0,NA(),IF(Inputs!$C$17="Rebased to 100",$F1249/F$8*100,$F1249)))))</f>
        <v/>
      </c>
      <c r="M1249" s="54">
        <f>IF($B1249=0,NA(),IF($G1249="",NA(),IF(G$8="",NA(),IF(N(G$8)=0,NA(),IF(Inputs!$C$17="Rebased to 100",$G1249/G$8*100,$G1249)))))</f>
        <v/>
      </c>
      <c r="N1249" s="54">
        <f>IF($B1249=0,NA(),IF(Inputs!$C$18&lt;&gt;"Yes",NA(),IF(COUNT(I1249,J1249,K1249,L1249,M1249)=0,NA(),MIN(I1249,J1249,K1249,L1249,M1249))))</f>
        <v/>
      </c>
      <c r="O1249" s="54">
        <f>IF($B1249=0,NA(),IF(Inputs!$B$24&lt;&gt;"Yes",NA(),Inputs!$D$24*Inputs!$C$35))</f>
        <v/>
      </c>
      <c r="P1249" s="54">
        <f>IF($B1249=0,NA(),IF(Inputs!$B$25&lt;&gt;"Yes",NA(),Inputs!$D$25*Inputs!$C$35))</f>
        <v/>
      </c>
      <c r="Q1249" s="54">
        <f>IF($B1249=0,NA(),IF(Inputs!$B$26&lt;&gt;"Yes",NA(),Inputs!$D$26*Inputs!$C$35))</f>
        <v/>
      </c>
      <c r="R1249" s="54">
        <f>IF($B1249=0,NA(),IF(Inputs!$B$27&lt;&gt;"Yes",NA(),Inputs!$D$27*Inputs!$C$35))</f>
        <v/>
      </c>
      <c r="S1249" s="54">
        <f>IF($B1249=0,NA(),IF(Inputs!$B$28&lt;&gt;"Yes",NA(),Inputs!$D$28*Inputs!$C$35))</f>
        <v/>
      </c>
      <c r="T1249" s="54">
        <f>IF($B1249=0,NA(),IF(Inputs!$B$29&lt;&gt;"Yes",NA(),Inputs!$D$29*Inputs!$C$35))</f>
        <v/>
      </c>
      <c r="AD1249">
        <f>IF($B1249=0,0,IF(Inputs!$B$6="",0,COUNTIFS(Data!$A$10:$A$3209,"&gt;="&amp;$A1249,Data!$A$10:$A$3209,"&lt;"&amp;$A1249+1)))</f>
        <v/>
      </c>
      <c r="AE1249">
        <f>IF($B1249=0,0,IF(Inputs!$B$7="",0,COUNTIFS(Data!$E$10:$E$3209,"&gt;="&amp;$A1249,Data!$E$10:$E$3209,"&lt;"&amp;$A1249+1)))</f>
        <v/>
      </c>
      <c r="AF1249">
        <f>IF($B1249=0,0,IF(Inputs!$B$8="",0,COUNTIFS(Data!$I$10:$I$3209,"&gt;="&amp;$A1249,Data!$I$10:$I$3209,"&lt;"&amp;$A1249+1)))</f>
        <v/>
      </c>
      <c r="AG1249">
        <f>IF($B1249=0,0,IF(Inputs!$B$9="",0,COUNTIFS(Data!$M$10:$M$3209,"&gt;="&amp;$A1249,Data!$M$10:$M$3209,"&lt;"&amp;$A1249+1)))</f>
        <v/>
      </c>
      <c r="AH1249">
        <f>IF($B1249=0,0,IF(Inputs!$B$10="",0,COUNTIFS(Data!$Q$10:$Q$3209,"&gt;="&amp;$A1249,Data!$Q$10:$Q$3209,"&lt;"&amp;$A1249+1)))</f>
        <v/>
      </c>
    </row>
    <row r="1250">
      <c r="A1250" s="55">
        <f>MIN(Inputs!$C$15,$A1249+IF(WEEKDAY($A1249,2)=5,3,1))</f>
        <v/>
      </c>
      <c r="B1250">
        <f>IF($A1250&gt;$A1249,1,0)</f>
        <v/>
      </c>
      <c r="C1250" s="56">
        <f>IF($B1250=0,"",IF(Inputs!$B$6="","",IF($AD1250=0,C1249,SUMIFS(Data!$B$10:$B$3209,Data!$A$10:$A$3209,"&gt;="&amp;$A1250,Data!$A$10:$A$3209,"&lt;"&amp;$A1250+1)/$AD1250)))</f>
        <v/>
      </c>
      <c r="D1250" s="56">
        <f>IF($B1250=0,"",IF(Inputs!$B$7="","",IF($AE1250=0,D1249,SUMIFS(Data!$F$10:$F$3209,Data!$E$10:$E$3209,"&gt;="&amp;$A1250,Data!$E$10:$E$3209,"&lt;"&amp;$A1250+1)/$AE1250)))</f>
        <v/>
      </c>
      <c r="E1250" s="56">
        <f>IF($B1250=0,"",IF(Inputs!$B$8="","",IF($AF1250=0,E1249,SUMIFS(Data!$J$10:$J$3209,Data!$I$10:$I$3209,"&gt;="&amp;$A1250,Data!$I$10:$I$3209,"&lt;"&amp;$A1250+1)/$AF1250)))</f>
        <v/>
      </c>
      <c r="F1250" s="56">
        <f>IF($B1250=0,"",IF(Inputs!$B$9="","",IF($AG1250=0,F1249,SUMIFS(Data!$N$10:$N$3209,Data!$M$10:$M$3209,"&gt;="&amp;$A1250,Data!$M$10:$M$3209,"&lt;"&amp;$A1250+1)/$AG1250)))</f>
        <v/>
      </c>
      <c r="G1250" s="56">
        <f>IF($B1250=0,"",IF(Inputs!$B$10="","",IF($AH1250=0,G1249,SUMIFS(Data!$R$10:$R$3209,Data!$Q$10:$Q$3209,"&gt;="&amp;$A1250,Data!$Q$10:$Q$3209,"&lt;"&amp;$A1250+1)/$AH1250)))</f>
        <v/>
      </c>
      <c r="I1250" s="54">
        <f>IF($B1250=0,NA(),IF($C1250="",NA(),IF(C$8="",NA(),IF(N(C$8)=0,NA(),IF(Inputs!$C$17="Rebased to 100",$C1250/C$8*100,$C1250)))))</f>
        <v/>
      </c>
      <c r="J1250" s="54">
        <f>IF($B1250=0,NA(),IF($D1250="",NA(),IF(D$8="",NA(),IF(N(D$8)=0,NA(),IF(Inputs!$C$17="Rebased to 100",$D1250/D$8*100,$D1250)))))</f>
        <v/>
      </c>
      <c r="K1250" s="54">
        <f>IF($B1250=0,NA(),IF($E1250="",NA(),IF(E$8="",NA(),IF(N(E$8)=0,NA(),IF(Inputs!$C$17="Rebased to 100",$E1250/E$8*100,$E1250)))))</f>
        <v/>
      </c>
      <c r="L1250" s="54">
        <f>IF($B1250=0,NA(),IF($F1250="",NA(),IF(F$8="",NA(),IF(N(F$8)=0,NA(),IF(Inputs!$C$17="Rebased to 100",$F1250/F$8*100,$F1250)))))</f>
        <v/>
      </c>
      <c r="M1250" s="54">
        <f>IF($B1250=0,NA(),IF($G1250="",NA(),IF(G$8="",NA(),IF(N(G$8)=0,NA(),IF(Inputs!$C$17="Rebased to 100",$G1250/G$8*100,$G1250)))))</f>
        <v/>
      </c>
      <c r="N1250" s="54">
        <f>IF($B1250=0,NA(),IF(Inputs!$C$18&lt;&gt;"Yes",NA(),IF(COUNT(I1250,J1250,K1250,L1250,M1250)=0,NA(),MIN(I1250,J1250,K1250,L1250,M1250))))</f>
        <v/>
      </c>
      <c r="O1250" s="54">
        <f>IF($B1250=0,NA(),IF(Inputs!$B$24&lt;&gt;"Yes",NA(),Inputs!$D$24*Inputs!$C$35))</f>
        <v/>
      </c>
      <c r="P1250" s="54">
        <f>IF($B1250=0,NA(),IF(Inputs!$B$25&lt;&gt;"Yes",NA(),Inputs!$D$25*Inputs!$C$35))</f>
        <v/>
      </c>
      <c r="Q1250" s="54">
        <f>IF($B1250=0,NA(),IF(Inputs!$B$26&lt;&gt;"Yes",NA(),Inputs!$D$26*Inputs!$C$35))</f>
        <v/>
      </c>
      <c r="R1250" s="54">
        <f>IF($B1250=0,NA(),IF(Inputs!$B$27&lt;&gt;"Yes",NA(),Inputs!$D$27*Inputs!$C$35))</f>
        <v/>
      </c>
      <c r="S1250" s="54">
        <f>IF($B1250=0,NA(),IF(Inputs!$B$28&lt;&gt;"Yes",NA(),Inputs!$D$28*Inputs!$C$35))</f>
        <v/>
      </c>
      <c r="T1250" s="54">
        <f>IF($B1250=0,NA(),IF(Inputs!$B$29&lt;&gt;"Yes",NA(),Inputs!$D$29*Inputs!$C$35))</f>
        <v/>
      </c>
      <c r="AD1250">
        <f>IF($B1250=0,0,IF(Inputs!$B$6="",0,COUNTIFS(Data!$A$10:$A$3209,"&gt;="&amp;$A1250,Data!$A$10:$A$3209,"&lt;"&amp;$A1250+1)))</f>
        <v/>
      </c>
      <c r="AE1250">
        <f>IF($B1250=0,0,IF(Inputs!$B$7="",0,COUNTIFS(Data!$E$10:$E$3209,"&gt;="&amp;$A1250,Data!$E$10:$E$3209,"&lt;"&amp;$A1250+1)))</f>
        <v/>
      </c>
      <c r="AF1250">
        <f>IF($B1250=0,0,IF(Inputs!$B$8="",0,COUNTIFS(Data!$I$10:$I$3209,"&gt;="&amp;$A1250,Data!$I$10:$I$3209,"&lt;"&amp;$A1250+1)))</f>
        <v/>
      </c>
      <c r="AG1250">
        <f>IF($B1250=0,0,IF(Inputs!$B$9="",0,COUNTIFS(Data!$M$10:$M$3209,"&gt;="&amp;$A1250,Data!$M$10:$M$3209,"&lt;"&amp;$A1250+1)))</f>
        <v/>
      </c>
      <c r="AH1250">
        <f>IF($B1250=0,0,IF(Inputs!$B$10="",0,COUNTIFS(Data!$Q$10:$Q$3209,"&gt;="&amp;$A1250,Data!$Q$10:$Q$3209,"&lt;"&amp;$A1250+1)))</f>
        <v/>
      </c>
    </row>
    <row r="1251">
      <c r="A1251" s="55">
        <f>MIN(Inputs!$C$15,$A1250+IF(WEEKDAY($A1250,2)=5,3,1))</f>
        <v/>
      </c>
      <c r="B1251">
        <f>IF($A1251&gt;$A1250,1,0)</f>
        <v/>
      </c>
      <c r="C1251" s="56">
        <f>IF($B1251=0,"",IF(Inputs!$B$6="","",IF($AD1251=0,C1250,SUMIFS(Data!$B$10:$B$3209,Data!$A$10:$A$3209,"&gt;="&amp;$A1251,Data!$A$10:$A$3209,"&lt;"&amp;$A1251+1)/$AD1251)))</f>
        <v/>
      </c>
      <c r="D1251" s="56">
        <f>IF($B1251=0,"",IF(Inputs!$B$7="","",IF($AE1251=0,D1250,SUMIFS(Data!$F$10:$F$3209,Data!$E$10:$E$3209,"&gt;="&amp;$A1251,Data!$E$10:$E$3209,"&lt;"&amp;$A1251+1)/$AE1251)))</f>
        <v/>
      </c>
      <c r="E1251" s="56">
        <f>IF($B1251=0,"",IF(Inputs!$B$8="","",IF($AF1251=0,E1250,SUMIFS(Data!$J$10:$J$3209,Data!$I$10:$I$3209,"&gt;="&amp;$A1251,Data!$I$10:$I$3209,"&lt;"&amp;$A1251+1)/$AF1251)))</f>
        <v/>
      </c>
      <c r="F1251" s="56">
        <f>IF($B1251=0,"",IF(Inputs!$B$9="","",IF($AG1251=0,F1250,SUMIFS(Data!$N$10:$N$3209,Data!$M$10:$M$3209,"&gt;="&amp;$A1251,Data!$M$10:$M$3209,"&lt;"&amp;$A1251+1)/$AG1251)))</f>
        <v/>
      </c>
      <c r="G1251" s="56">
        <f>IF($B1251=0,"",IF(Inputs!$B$10="","",IF($AH1251=0,G1250,SUMIFS(Data!$R$10:$R$3209,Data!$Q$10:$Q$3209,"&gt;="&amp;$A1251,Data!$Q$10:$Q$3209,"&lt;"&amp;$A1251+1)/$AH1251)))</f>
        <v/>
      </c>
      <c r="I1251" s="54">
        <f>IF($B1251=0,NA(),IF($C1251="",NA(),IF(C$8="",NA(),IF(N(C$8)=0,NA(),IF(Inputs!$C$17="Rebased to 100",$C1251/C$8*100,$C1251)))))</f>
        <v/>
      </c>
      <c r="J1251" s="54">
        <f>IF($B1251=0,NA(),IF($D1251="",NA(),IF(D$8="",NA(),IF(N(D$8)=0,NA(),IF(Inputs!$C$17="Rebased to 100",$D1251/D$8*100,$D1251)))))</f>
        <v/>
      </c>
      <c r="K1251" s="54">
        <f>IF($B1251=0,NA(),IF($E1251="",NA(),IF(E$8="",NA(),IF(N(E$8)=0,NA(),IF(Inputs!$C$17="Rebased to 100",$E1251/E$8*100,$E1251)))))</f>
        <v/>
      </c>
      <c r="L1251" s="54">
        <f>IF($B1251=0,NA(),IF($F1251="",NA(),IF(F$8="",NA(),IF(N(F$8)=0,NA(),IF(Inputs!$C$17="Rebased to 100",$F1251/F$8*100,$F1251)))))</f>
        <v/>
      </c>
      <c r="M1251" s="54">
        <f>IF($B1251=0,NA(),IF($G1251="",NA(),IF(G$8="",NA(),IF(N(G$8)=0,NA(),IF(Inputs!$C$17="Rebased to 100",$G1251/G$8*100,$G1251)))))</f>
        <v/>
      </c>
      <c r="N1251" s="54">
        <f>IF($B1251=0,NA(),IF(Inputs!$C$18&lt;&gt;"Yes",NA(),IF(COUNT(I1251,J1251,K1251,L1251,M1251)=0,NA(),MIN(I1251,J1251,K1251,L1251,M1251))))</f>
        <v/>
      </c>
      <c r="O1251" s="54">
        <f>IF($B1251=0,NA(),IF(Inputs!$B$24&lt;&gt;"Yes",NA(),Inputs!$D$24*Inputs!$C$35))</f>
        <v/>
      </c>
      <c r="P1251" s="54">
        <f>IF($B1251=0,NA(),IF(Inputs!$B$25&lt;&gt;"Yes",NA(),Inputs!$D$25*Inputs!$C$35))</f>
        <v/>
      </c>
      <c r="Q1251" s="54">
        <f>IF($B1251=0,NA(),IF(Inputs!$B$26&lt;&gt;"Yes",NA(),Inputs!$D$26*Inputs!$C$35))</f>
        <v/>
      </c>
      <c r="R1251" s="54">
        <f>IF($B1251=0,NA(),IF(Inputs!$B$27&lt;&gt;"Yes",NA(),Inputs!$D$27*Inputs!$C$35))</f>
        <v/>
      </c>
      <c r="S1251" s="54">
        <f>IF($B1251=0,NA(),IF(Inputs!$B$28&lt;&gt;"Yes",NA(),Inputs!$D$28*Inputs!$C$35))</f>
        <v/>
      </c>
      <c r="T1251" s="54">
        <f>IF($B1251=0,NA(),IF(Inputs!$B$29&lt;&gt;"Yes",NA(),Inputs!$D$29*Inputs!$C$35))</f>
        <v/>
      </c>
      <c r="AD1251">
        <f>IF($B1251=0,0,IF(Inputs!$B$6="",0,COUNTIFS(Data!$A$10:$A$3209,"&gt;="&amp;$A1251,Data!$A$10:$A$3209,"&lt;"&amp;$A1251+1)))</f>
        <v/>
      </c>
      <c r="AE1251">
        <f>IF($B1251=0,0,IF(Inputs!$B$7="",0,COUNTIFS(Data!$E$10:$E$3209,"&gt;="&amp;$A1251,Data!$E$10:$E$3209,"&lt;"&amp;$A1251+1)))</f>
        <v/>
      </c>
      <c r="AF1251">
        <f>IF($B1251=0,0,IF(Inputs!$B$8="",0,COUNTIFS(Data!$I$10:$I$3209,"&gt;="&amp;$A1251,Data!$I$10:$I$3209,"&lt;"&amp;$A1251+1)))</f>
        <v/>
      </c>
      <c r="AG1251">
        <f>IF($B1251=0,0,IF(Inputs!$B$9="",0,COUNTIFS(Data!$M$10:$M$3209,"&gt;="&amp;$A1251,Data!$M$10:$M$3209,"&lt;"&amp;$A1251+1)))</f>
        <v/>
      </c>
      <c r="AH1251">
        <f>IF($B1251=0,0,IF(Inputs!$B$10="",0,COUNTIFS(Data!$Q$10:$Q$3209,"&gt;="&amp;$A1251,Data!$Q$10:$Q$3209,"&lt;"&amp;$A1251+1)))</f>
        <v/>
      </c>
    </row>
    <row r="1252">
      <c r="A1252" s="55">
        <f>MIN(Inputs!$C$15,$A1251+IF(WEEKDAY($A1251,2)=5,3,1))</f>
        <v/>
      </c>
      <c r="B1252">
        <f>IF($A1252&gt;$A1251,1,0)</f>
        <v/>
      </c>
      <c r="C1252" s="56">
        <f>IF($B1252=0,"",IF(Inputs!$B$6="","",IF($AD1252=0,C1251,SUMIFS(Data!$B$10:$B$3209,Data!$A$10:$A$3209,"&gt;="&amp;$A1252,Data!$A$10:$A$3209,"&lt;"&amp;$A1252+1)/$AD1252)))</f>
        <v/>
      </c>
      <c r="D1252" s="56">
        <f>IF($B1252=0,"",IF(Inputs!$B$7="","",IF($AE1252=0,D1251,SUMIFS(Data!$F$10:$F$3209,Data!$E$10:$E$3209,"&gt;="&amp;$A1252,Data!$E$10:$E$3209,"&lt;"&amp;$A1252+1)/$AE1252)))</f>
        <v/>
      </c>
      <c r="E1252" s="56">
        <f>IF($B1252=0,"",IF(Inputs!$B$8="","",IF($AF1252=0,E1251,SUMIFS(Data!$J$10:$J$3209,Data!$I$10:$I$3209,"&gt;="&amp;$A1252,Data!$I$10:$I$3209,"&lt;"&amp;$A1252+1)/$AF1252)))</f>
        <v/>
      </c>
      <c r="F1252" s="56">
        <f>IF($B1252=0,"",IF(Inputs!$B$9="","",IF($AG1252=0,F1251,SUMIFS(Data!$N$10:$N$3209,Data!$M$10:$M$3209,"&gt;="&amp;$A1252,Data!$M$10:$M$3209,"&lt;"&amp;$A1252+1)/$AG1252)))</f>
        <v/>
      </c>
      <c r="G1252" s="56">
        <f>IF($B1252=0,"",IF(Inputs!$B$10="","",IF($AH1252=0,G1251,SUMIFS(Data!$R$10:$R$3209,Data!$Q$10:$Q$3209,"&gt;="&amp;$A1252,Data!$Q$10:$Q$3209,"&lt;"&amp;$A1252+1)/$AH1252)))</f>
        <v/>
      </c>
      <c r="I1252" s="54">
        <f>IF($B1252=0,NA(),IF($C1252="",NA(),IF(C$8="",NA(),IF(N(C$8)=0,NA(),IF(Inputs!$C$17="Rebased to 100",$C1252/C$8*100,$C1252)))))</f>
        <v/>
      </c>
      <c r="J1252" s="54">
        <f>IF($B1252=0,NA(),IF($D1252="",NA(),IF(D$8="",NA(),IF(N(D$8)=0,NA(),IF(Inputs!$C$17="Rebased to 100",$D1252/D$8*100,$D1252)))))</f>
        <v/>
      </c>
      <c r="K1252" s="54">
        <f>IF($B1252=0,NA(),IF($E1252="",NA(),IF(E$8="",NA(),IF(N(E$8)=0,NA(),IF(Inputs!$C$17="Rebased to 100",$E1252/E$8*100,$E1252)))))</f>
        <v/>
      </c>
      <c r="L1252" s="54">
        <f>IF($B1252=0,NA(),IF($F1252="",NA(),IF(F$8="",NA(),IF(N(F$8)=0,NA(),IF(Inputs!$C$17="Rebased to 100",$F1252/F$8*100,$F1252)))))</f>
        <v/>
      </c>
      <c r="M1252" s="54">
        <f>IF($B1252=0,NA(),IF($G1252="",NA(),IF(G$8="",NA(),IF(N(G$8)=0,NA(),IF(Inputs!$C$17="Rebased to 100",$G1252/G$8*100,$G1252)))))</f>
        <v/>
      </c>
      <c r="N1252" s="54">
        <f>IF($B1252=0,NA(),IF(Inputs!$C$18&lt;&gt;"Yes",NA(),IF(COUNT(I1252,J1252,K1252,L1252,M1252)=0,NA(),MIN(I1252,J1252,K1252,L1252,M1252))))</f>
        <v/>
      </c>
      <c r="O1252" s="54">
        <f>IF($B1252=0,NA(),IF(Inputs!$B$24&lt;&gt;"Yes",NA(),Inputs!$D$24*Inputs!$C$35))</f>
        <v/>
      </c>
      <c r="P1252" s="54">
        <f>IF($B1252=0,NA(),IF(Inputs!$B$25&lt;&gt;"Yes",NA(),Inputs!$D$25*Inputs!$C$35))</f>
        <v/>
      </c>
      <c r="Q1252" s="54">
        <f>IF($B1252=0,NA(),IF(Inputs!$B$26&lt;&gt;"Yes",NA(),Inputs!$D$26*Inputs!$C$35))</f>
        <v/>
      </c>
      <c r="R1252" s="54">
        <f>IF($B1252=0,NA(),IF(Inputs!$B$27&lt;&gt;"Yes",NA(),Inputs!$D$27*Inputs!$C$35))</f>
        <v/>
      </c>
      <c r="S1252" s="54">
        <f>IF($B1252=0,NA(),IF(Inputs!$B$28&lt;&gt;"Yes",NA(),Inputs!$D$28*Inputs!$C$35))</f>
        <v/>
      </c>
      <c r="T1252" s="54">
        <f>IF($B1252=0,NA(),IF(Inputs!$B$29&lt;&gt;"Yes",NA(),Inputs!$D$29*Inputs!$C$35))</f>
        <v/>
      </c>
      <c r="AD1252">
        <f>IF($B1252=0,0,IF(Inputs!$B$6="",0,COUNTIFS(Data!$A$10:$A$3209,"&gt;="&amp;$A1252,Data!$A$10:$A$3209,"&lt;"&amp;$A1252+1)))</f>
        <v/>
      </c>
      <c r="AE1252">
        <f>IF($B1252=0,0,IF(Inputs!$B$7="",0,COUNTIFS(Data!$E$10:$E$3209,"&gt;="&amp;$A1252,Data!$E$10:$E$3209,"&lt;"&amp;$A1252+1)))</f>
        <v/>
      </c>
      <c r="AF1252">
        <f>IF($B1252=0,0,IF(Inputs!$B$8="",0,COUNTIFS(Data!$I$10:$I$3209,"&gt;="&amp;$A1252,Data!$I$10:$I$3209,"&lt;"&amp;$A1252+1)))</f>
        <v/>
      </c>
      <c r="AG1252">
        <f>IF($B1252=0,0,IF(Inputs!$B$9="",0,COUNTIFS(Data!$M$10:$M$3209,"&gt;="&amp;$A1252,Data!$M$10:$M$3209,"&lt;"&amp;$A1252+1)))</f>
        <v/>
      </c>
      <c r="AH1252">
        <f>IF($B1252=0,0,IF(Inputs!$B$10="",0,COUNTIFS(Data!$Q$10:$Q$3209,"&gt;="&amp;$A1252,Data!$Q$10:$Q$3209,"&lt;"&amp;$A1252+1)))</f>
        <v/>
      </c>
    </row>
    <row r="1253">
      <c r="A1253" s="55">
        <f>MIN(Inputs!$C$15,$A1252+IF(WEEKDAY($A1252,2)=5,3,1))</f>
        <v/>
      </c>
      <c r="B1253">
        <f>IF($A1253&gt;$A1252,1,0)</f>
        <v/>
      </c>
      <c r="C1253" s="56">
        <f>IF($B1253=0,"",IF(Inputs!$B$6="","",IF($AD1253=0,C1252,SUMIFS(Data!$B$10:$B$3209,Data!$A$10:$A$3209,"&gt;="&amp;$A1253,Data!$A$10:$A$3209,"&lt;"&amp;$A1253+1)/$AD1253)))</f>
        <v/>
      </c>
      <c r="D1253" s="56">
        <f>IF($B1253=0,"",IF(Inputs!$B$7="","",IF($AE1253=0,D1252,SUMIFS(Data!$F$10:$F$3209,Data!$E$10:$E$3209,"&gt;="&amp;$A1253,Data!$E$10:$E$3209,"&lt;"&amp;$A1253+1)/$AE1253)))</f>
        <v/>
      </c>
      <c r="E1253" s="56">
        <f>IF($B1253=0,"",IF(Inputs!$B$8="","",IF($AF1253=0,E1252,SUMIFS(Data!$J$10:$J$3209,Data!$I$10:$I$3209,"&gt;="&amp;$A1253,Data!$I$10:$I$3209,"&lt;"&amp;$A1253+1)/$AF1253)))</f>
        <v/>
      </c>
      <c r="F1253" s="56">
        <f>IF($B1253=0,"",IF(Inputs!$B$9="","",IF($AG1253=0,F1252,SUMIFS(Data!$N$10:$N$3209,Data!$M$10:$M$3209,"&gt;="&amp;$A1253,Data!$M$10:$M$3209,"&lt;"&amp;$A1253+1)/$AG1253)))</f>
        <v/>
      </c>
      <c r="G1253" s="56">
        <f>IF($B1253=0,"",IF(Inputs!$B$10="","",IF($AH1253=0,G1252,SUMIFS(Data!$R$10:$R$3209,Data!$Q$10:$Q$3209,"&gt;="&amp;$A1253,Data!$Q$10:$Q$3209,"&lt;"&amp;$A1253+1)/$AH1253)))</f>
        <v/>
      </c>
      <c r="I1253" s="54">
        <f>IF($B1253=0,NA(),IF($C1253="",NA(),IF(C$8="",NA(),IF(N(C$8)=0,NA(),IF(Inputs!$C$17="Rebased to 100",$C1253/C$8*100,$C1253)))))</f>
        <v/>
      </c>
      <c r="J1253" s="54">
        <f>IF($B1253=0,NA(),IF($D1253="",NA(),IF(D$8="",NA(),IF(N(D$8)=0,NA(),IF(Inputs!$C$17="Rebased to 100",$D1253/D$8*100,$D1253)))))</f>
        <v/>
      </c>
      <c r="K1253" s="54">
        <f>IF($B1253=0,NA(),IF($E1253="",NA(),IF(E$8="",NA(),IF(N(E$8)=0,NA(),IF(Inputs!$C$17="Rebased to 100",$E1253/E$8*100,$E1253)))))</f>
        <v/>
      </c>
      <c r="L1253" s="54">
        <f>IF($B1253=0,NA(),IF($F1253="",NA(),IF(F$8="",NA(),IF(N(F$8)=0,NA(),IF(Inputs!$C$17="Rebased to 100",$F1253/F$8*100,$F1253)))))</f>
        <v/>
      </c>
      <c r="M1253" s="54">
        <f>IF($B1253=0,NA(),IF($G1253="",NA(),IF(G$8="",NA(),IF(N(G$8)=0,NA(),IF(Inputs!$C$17="Rebased to 100",$G1253/G$8*100,$G1253)))))</f>
        <v/>
      </c>
      <c r="N1253" s="54">
        <f>IF($B1253=0,NA(),IF(Inputs!$C$18&lt;&gt;"Yes",NA(),IF(COUNT(I1253,J1253,K1253,L1253,M1253)=0,NA(),MIN(I1253,J1253,K1253,L1253,M1253))))</f>
        <v/>
      </c>
      <c r="O1253" s="54">
        <f>IF($B1253=0,NA(),IF(Inputs!$B$24&lt;&gt;"Yes",NA(),Inputs!$D$24*Inputs!$C$35))</f>
        <v/>
      </c>
      <c r="P1253" s="54">
        <f>IF($B1253=0,NA(),IF(Inputs!$B$25&lt;&gt;"Yes",NA(),Inputs!$D$25*Inputs!$C$35))</f>
        <v/>
      </c>
      <c r="Q1253" s="54">
        <f>IF($B1253=0,NA(),IF(Inputs!$B$26&lt;&gt;"Yes",NA(),Inputs!$D$26*Inputs!$C$35))</f>
        <v/>
      </c>
      <c r="R1253" s="54">
        <f>IF($B1253=0,NA(),IF(Inputs!$B$27&lt;&gt;"Yes",NA(),Inputs!$D$27*Inputs!$C$35))</f>
        <v/>
      </c>
      <c r="S1253" s="54">
        <f>IF($B1253=0,NA(),IF(Inputs!$B$28&lt;&gt;"Yes",NA(),Inputs!$D$28*Inputs!$C$35))</f>
        <v/>
      </c>
      <c r="T1253" s="54">
        <f>IF($B1253=0,NA(),IF(Inputs!$B$29&lt;&gt;"Yes",NA(),Inputs!$D$29*Inputs!$C$35))</f>
        <v/>
      </c>
      <c r="AD1253">
        <f>IF($B1253=0,0,IF(Inputs!$B$6="",0,COUNTIFS(Data!$A$10:$A$3209,"&gt;="&amp;$A1253,Data!$A$10:$A$3209,"&lt;"&amp;$A1253+1)))</f>
        <v/>
      </c>
      <c r="AE1253">
        <f>IF($B1253=0,0,IF(Inputs!$B$7="",0,COUNTIFS(Data!$E$10:$E$3209,"&gt;="&amp;$A1253,Data!$E$10:$E$3209,"&lt;"&amp;$A1253+1)))</f>
        <v/>
      </c>
      <c r="AF1253">
        <f>IF($B1253=0,0,IF(Inputs!$B$8="",0,COUNTIFS(Data!$I$10:$I$3209,"&gt;="&amp;$A1253,Data!$I$10:$I$3209,"&lt;"&amp;$A1253+1)))</f>
        <v/>
      </c>
      <c r="AG1253">
        <f>IF($B1253=0,0,IF(Inputs!$B$9="",0,COUNTIFS(Data!$M$10:$M$3209,"&gt;="&amp;$A1253,Data!$M$10:$M$3209,"&lt;"&amp;$A1253+1)))</f>
        <v/>
      </c>
      <c r="AH1253">
        <f>IF($B1253=0,0,IF(Inputs!$B$10="",0,COUNTIFS(Data!$Q$10:$Q$3209,"&gt;="&amp;$A1253,Data!$Q$10:$Q$3209,"&lt;"&amp;$A1253+1)))</f>
        <v/>
      </c>
    </row>
    <row r="1254">
      <c r="A1254" s="55">
        <f>MIN(Inputs!$C$15,$A1253+IF(WEEKDAY($A1253,2)=5,3,1))</f>
        <v/>
      </c>
      <c r="B1254">
        <f>IF($A1254&gt;$A1253,1,0)</f>
        <v/>
      </c>
      <c r="C1254" s="56">
        <f>IF($B1254=0,"",IF(Inputs!$B$6="","",IF($AD1254=0,C1253,SUMIFS(Data!$B$10:$B$3209,Data!$A$10:$A$3209,"&gt;="&amp;$A1254,Data!$A$10:$A$3209,"&lt;"&amp;$A1254+1)/$AD1254)))</f>
        <v/>
      </c>
      <c r="D1254" s="56">
        <f>IF($B1254=0,"",IF(Inputs!$B$7="","",IF($AE1254=0,D1253,SUMIFS(Data!$F$10:$F$3209,Data!$E$10:$E$3209,"&gt;="&amp;$A1254,Data!$E$10:$E$3209,"&lt;"&amp;$A1254+1)/$AE1254)))</f>
        <v/>
      </c>
      <c r="E1254" s="56">
        <f>IF($B1254=0,"",IF(Inputs!$B$8="","",IF($AF1254=0,E1253,SUMIFS(Data!$J$10:$J$3209,Data!$I$10:$I$3209,"&gt;="&amp;$A1254,Data!$I$10:$I$3209,"&lt;"&amp;$A1254+1)/$AF1254)))</f>
        <v/>
      </c>
      <c r="F1254" s="56">
        <f>IF($B1254=0,"",IF(Inputs!$B$9="","",IF($AG1254=0,F1253,SUMIFS(Data!$N$10:$N$3209,Data!$M$10:$M$3209,"&gt;="&amp;$A1254,Data!$M$10:$M$3209,"&lt;"&amp;$A1254+1)/$AG1254)))</f>
        <v/>
      </c>
      <c r="G1254" s="56">
        <f>IF($B1254=0,"",IF(Inputs!$B$10="","",IF($AH1254=0,G1253,SUMIFS(Data!$R$10:$R$3209,Data!$Q$10:$Q$3209,"&gt;="&amp;$A1254,Data!$Q$10:$Q$3209,"&lt;"&amp;$A1254+1)/$AH1254)))</f>
        <v/>
      </c>
      <c r="I1254" s="54">
        <f>IF($B1254=0,NA(),IF($C1254="",NA(),IF(C$8="",NA(),IF(N(C$8)=0,NA(),IF(Inputs!$C$17="Rebased to 100",$C1254/C$8*100,$C1254)))))</f>
        <v/>
      </c>
      <c r="J1254" s="54">
        <f>IF($B1254=0,NA(),IF($D1254="",NA(),IF(D$8="",NA(),IF(N(D$8)=0,NA(),IF(Inputs!$C$17="Rebased to 100",$D1254/D$8*100,$D1254)))))</f>
        <v/>
      </c>
      <c r="K1254" s="54">
        <f>IF($B1254=0,NA(),IF($E1254="",NA(),IF(E$8="",NA(),IF(N(E$8)=0,NA(),IF(Inputs!$C$17="Rebased to 100",$E1254/E$8*100,$E1254)))))</f>
        <v/>
      </c>
      <c r="L1254" s="54">
        <f>IF($B1254=0,NA(),IF($F1254="",NA(),IF(F$8="",NA(),IF(N(F$8)=0,NA(),IF(Inputs!$C$17="Rebased to 100",$F1254/F$8*100,$F1254)))))</f>
        <v/>
      </c>
      <c r="M1254" s="54">
        <f>IF($B1254=0,NA(),IF($G1254="",NA(),IF(G$8="",NA(),IF(N(G$8)=0,NA(),IF(Inputs!$C$17="Rebased to 100",$G1254/G$8*100,$G1254)))))</f>
        <v/>
      </c>
      <c r="N1254" s="54">
        <f>IF($B1254=0,NA(),IF(Inputs!$C$18&lt;&gt;"Yes",NA(),IF(COUNT(I1254,J1254,K1254,L1254,M1254)=0,NA(),MIN(I1254,J1254,K1254,L1254,M1254))))</f>
        <v/>
      </c>
      <c r="O1254" s="54">
        <f>IF($B1254=0,NA(),IF(Inputs!$B$24&lt;&gt;"Yes",NA(),Inputs!$D$24*Inputs!$C$35))</f>
        <v/>
      </c>
      <c r="P1254" s="54">
        <f>IF($B1254=0,NA(),IF(Inputs!$B$25&lt;&gt;"Yes",NA(),Inputs!$D$25*Inputs!$C$35))</f>
        <v/>
      </c>
      <c r="Q1254" s="54">
        <f>IF($B1254=0,NA(),IF(Inputs!$B$26&lt;&gt;"Yes",NA(),Inputs!$D$26*Inputs!$C$35))</f>
        <v/>
      </c>
      <c r="R1254" s="54">
        <f>IF($B1254=0,NA(),IF(Inputs!$B$27&lt;&gt;"Yes",NA(),Inputs!$D$27*Inputs!$C$35))</f>
        <v/>
      </c>
      <c r="S1254" s="54">
        <f>IF($B1254=0,NA(),IF(Inputs!$B$28&lt;&gt;"Yes",NA(),Inputs!$D$28*Inputs!$C$35))</f>
        <v/>
      </c>
      <c r="T1254" s="54">
        <f>IF($B1254=0,NA(),IF(Inputs!$B$29&lt;&gt;"Yes",NA(),Inputs!$D$29*Inputs!$C$35))</f>
        <v/>
      </c>
      <c r="AD1254">
        <f>IF($B1254=0,0,IF(Inputs!$B$6="",0,COUNTIFS(Data!$A$10:$A$3209,"&gt;="&amp;$A1254,Data!$A$10:$A$3209,"&lt;"&amp;$A1254+1)))</f>
        <v/>
      </c>
      <c r="AE1254">
        <f>IF($B1254=0,0,IF(Inputs!$B$7="",0,COUNTIFS(Data!$E$10:$E$3209,"&gt;="&amp;$A1254,Data!$E$10:$E$3209,"&lt;"&amp;$A1254+1)))</f>
        <v/>
      </c>
      <c r="AF1254">
        <f>IF($B1254=0,0,IF(Inputs!$B$8="",0,COUNTIFS(Data!$I$10:$I$3209,"&gt;="&amp;$A1254,Data!$I$10:$I$3209,"&lt;"&amp;$A1254+1)))</f>
        <v/>
      </c>
      <c r="AG1254">
        <f>IF($B1254=0,0,IF(Inputs!$B$9="",0,COUNTIFS(Data!$M$10:$M$3209,"&gt;="&amp;$A1254,Data!$M$10:$M$3209,"&lt;"&amp;$A1254+1)))</f>
        <v/>
      </c>
      <c r="AH1254">
        <f>IF($B1254=0,0,IF(Inputs!$B$10="",0,COUNTIFS(Data!$Q$10:$Q$3209,"&gt;="&amp;$A1254,Data!$Q$10:$Q$3209,"&lt;"&amp;$A1254+1)))</f>
        <v/>
      </c>
    </row>
    <row r="1255">
      <c r="A1255" s="55">
        <f>MIN(Inputs!$C$15,$A1254+IF(WEEKDAY($A1254,2)=5,3,1))</f>
        <v/>
      </c>
      <c r="B1255">
        <f>IF($A1255&gt;$A1254,1,0)</f>
        <v/>
      </c>
      <c r="C1255" s="56">
        <f>IF($B1255=0,"",IF(Inputs!$B$6="","",IF($AD1255=0,C1254,SUMIFS(Data!$B$10:$B$3209,Data!$A$10:$A$3209,"&gt;="&amp;$A1255,Data!$A$10:$A$3209,"&lt;"&amp;$A1255+1)/$AD1255)))</f>
        <v/>
      </c>
      <c r="D1255" s="56">
        <f>IF($B1255=0,"",IF(Inputs!$B$7="","",IF($AE1255=0,D1254,SUMIFS(Data!$F$10:$F$3209,Data!$E$10:$E$3209,"&gt;="&amp;$A1255,Data!$E$10:$E$3209,"&lt;"&amp;$A1255+1)/$AE1255)))</f>
        <v/>
      </c>
      <c r="E1255" s="56">
        <f>IF($B1255=0,"",IF(Inputs!$B$8="","",IF($AF1255=0,E1254,SUMIFS(Data!$J$10:$J$3209,Data!$I$10:$I$3209,"&gt;="&amp;$A1255,Data!$I$10:$I$3209,"&lt;"&amp;$A1255+1)/$AF1255)))</f>
        <v/>
      </c>
      <c r="F1255" s="56">
        <f>IF($B1255=0,"",IF(Inputs!$B$9="","",IF($AG1255=0,F1254,SUMIFS(Data!$N$10:$N$3209,Data!$M$10:$M$3209,"&gt;="&amp;$A1255,Data!$M$10:$M$3209,"&lt;"&amp;$A1255+1)/$AG1255)))</f>
        <v/>
      </c>
      <c r="G1255" s="56">
        <f>IF($B1255=0,"",IF(Inputs!$B$10="","",IF($AH1255=0,G1254,SUMIFS(Data!$R$10:$R$3209,Data!$Q$10:$Q$3209,"&gt;="&amp;$A1255,Data!$Q$10:$Q$3209,"&lt;"&amp;$A1255+1)/$AH1255)))</f>
        <v/>
      </c>
      <c r="I1255" s="54">
        <f>IF($B1255=0,NA(),IF($C1255="",NA(),IF(C$8="",NA(),IF(N(C$8)=0,NA(),IF(Inputs!$C$17="Rebased to 100",$C1255/C$8*100,$C1255)))))</f>
        <v/>
      </c>
      <c r="J1255" s="54">
        <f>IF($B1255=0,NA(),IF($D1255="",NA(),IF(D$8="",NA(),IF(N(D$8)=0,NA(),IF(Inputs!$C$17="Rebased to 100",$D1255/D$8*100,$D1255)))))</f>
        <v/>
      </c>
      <c r="K1255" s="54">
        <f>IF($B1255=0,NA(),IF($E1255="",NA(),IF(E$8="",NA(),IF(N(E$8)=0,NA(),IF(Inputs!$C$17="Rebased to 100",$E1255/E$8*100,$E1255)))))</f>
        <v/>
      </c>
      <c r="L1255" s="54">
        <f>IF($B1255=0,NA(),IF($F1255="",NA(),IF(F$8="",NA(),IF(N(F$8)=0,NA(),IF(Inputs!$C$17="Rebased to 100",$F1255/F$8*100,$F1255)))))</f>
        <v/>
      </c>
      <c r="M1255" s="54">
        <f>IF($B1255=0,NA(),IF($G1255="",NA(),IF(G$8="",NA(),IF(N(G$8)=0,NA(),IF(Inputs!$C$17="Rebased to 100",$G1255/G$8*100,$G1255)))))</f>
        <v/>
      </c>
      <c r="N1255" s="54">
        <f>IF($B1255=0,NA(),IF(Inputs!$C$18&lt;&gt;"Yes",NA(),IF(COUNT(I1255,J1255,K1255,L1255,M1255)=0,NA(),MIN(I1255,J1255,K1255,L1255,M1255))))</f>
        <v/>
      </c>
      <c r="O1255" s="54">
        <f>IF($B1255=0,NA(),IF(Inputs!$B$24&lt;&gt;"Yes",NA(),Inputs!$D$24*Inputs!$C$35))</f>
        <v/>
      </c>
      <c r="P1255" s="54">
        <f>IF($B1255=0,NA(),IF(Inputs!$B$25&lt;&gt;"Yes",NA(),Inputs!$D$25*Inputs!$C$35))</f>
        <v/>
      </c>
      <c r="Q1255" s="54">
        <f>IF($B1255=0,NA(),IF(Inputs!$B$26&lt;&gt;"Yes",NA(),Inputs!$D$26*Inputs!$C$35))</f>
        <v/>
      </c>
      <c r="R1255" s="54">
        <f>IF($B1255=0,NA(),IF(Inputs!$B$27&lt;&gt;"Yes",NA(),Inputs!$D$27*Inputs!$C$35))</f>
        <v/>
      </c>
      <c r="S1255" s="54">
        <f>IF($B1255=0,NA(),IF(Inputs!$B$28&lt;&gt;"Yes",NA(),Inputs!$D$28*Inputs!$C$35))</f>
        <v/>
      </c>
      <c r="T1255" s="54">
        <f>IF($B1255=0,NA(),IF(Inputs!$B$29&lt;&gt;"Yes",NA(),Inputs!$D$29*Inputs!$C$35))</f>
        <v/>
      </c>
      <c r="AD1255">
        <f>IF($B1255=0,0,IF(Inputs!$B$6="",0,COUNTIFS(Data!$A$10:$A$3209,"&gt;="&amp;$A1255,Data!$A$10:$A$3209,"&lt;"&amp;$A1255+1)))</f>
        <v/>
      </c>
      <c r="AE1255">
        <f>IF($B1255=0,0,IF(Inputs!$B$7="",0,COUNTIFS(Data!$E$10:$E$3209,"&gt;="&amp;$A1255,Data!$E$10:$E$3209,"&lt;"&amp;$A1255+1)))</f>
        <v/>
      </c>
      <c r="AF1255">
        <f>IF($B1255=0,0,IF(Inputs!$B$8="",0,COUNTIFS(Data!$I$10:$I$3209,"&gt;="&amp;$A1255,Data!$I$10:$I$3209,"&lt;"&amp;$A1255+1)))</f>
        <v/>
      </c>
      <c r="AG1255">
        <f>IF($B1255=0,0,IF(Inputs!$B$9="",0,COUNTIFS(Data!$M$10:$M$3209,"&gt;="&amp;$A1255,Data!$M$10:$M$3209,"&lt;"&amp;$A1255+1)))</f>
        <v/>
      </c>
      <c r="AH1255">
        <f>IF($B1255=0,0,IF(Inputs!$B$10="",0,COUNTIFS(Data!$Q$10:$Q$3209,"&gt;="&amp;$A1255,Data!$Q$10:$Q$3209,"&lt;"&amp;$A1255+1)))</f>
        <v/>
      </c>
    </row>
    <row r="1256">
      <c r="A1256" s="55">
        <f>MIN(Inputs!$C$15,$A1255+IF(WEEKDAY($A1255,2)=5,3,1))</f>
        <v/>
      </c>
      <c r="B1256">
        <f>IF($A1256&gt;$A1255,1,0)</f>
        <v/>
      </c>
      <c r="C1256" s="56">
        <f>IF($B1256=0,"",IF(Inputs!$B$6="","",IF($AD1256=0,C1255,SUMIFS(Data!$B$10:$B$3209,Data!$A$10:$A$3209,"&gt;="&amp;$A1256,Data!$A$10:$A$3209,"&lt;"&amp;$A1256+1)/$AD1256)))</f>
        <v/>
      </c>
      <c r="D1256" s="56">
        <f>IF($B1256=0,"",IF(Inputs!$B$7="","",IF($AE1256=0,D1255,SUMIFS(Data!$F$10:$F$3209,Data!$E$10:$E$3209,"&gt;="&amp;$A1256,Data!$E$10:$E$3209,"&lt;"&amp;$A1256+1)/$AE1256)))</f>
        <v/>
      </c>
      <c r="E1256" s="56">
        <f>IF($B1256=0,"",IF(Inputs!$B$8="","",IF($AF1256=0,E1255,SUMIFS(Data!$J$10:$J$3209,Data!$I$10:$I$3209,"&gt;="&amp;$A1256,Data!$I$10:$I$3209,"&lt;"&amp;$A1256+1)/$AF1256)))</f>
        <v/>
      </c>
      <c r="F1256" s="56">
        <f>IF($B1256=0,"",IF(Inputs!$B$9="","",IF($AG1256=0,F1255,SUMIFS(Data!$N$10:$N$3209,Data!$M$10:$M$3209,"&gt;="&amp;$A1256,Data!$M$10:$M$3209,"&lt;"&amp;$A1256+1)/$AG1256)))</f>
        <v/>
      </c>
      <c r="G1256" s="56">
        <f>IF($B1256=0,"",IF(Inputs!$B$10="","",IF($AH1256=0,G1255,SUMIFS(Data!$R$10:$R$3209,Data!$Q$10:$Q$3209,"&gt;="&amp;$A1256,Data!$Q$10:$Q$3209,"&lt;"&amp;$A1256+1)/$AH1256)))</f>
        <v/>
      </c>
      <c r="I1256" s="54">
        <f>IF($B1256=0,NA(),IF($C1256="",NA(),IF(C$8="",NA(),IF(N(C$8)=0,NA(),IF(Inputs!$C$17="Rebased to 100",$C1256/C$8*100,$C1256)))))</f>
        <v/>
      </c>
      <c r="J1256" s="54">
        <f>IF($B1256=0,NA(),IF($D1256="",NA(),IF(D$8="",NA(),IF(N(D$8)=0,NA(),IF(Inputs!$C$17="Rebased to 100",$D1256/D$8*100,$D1256)))))</f>
        <v/>
      </c>
      <c r="K1256" s="54">
        <f>IF($B1256=0,NA(),IF($E1256="",NA(),IF(E$8="",NA(),IF(N(E$8)=0,NA(),IF(Inputs!$C$17="Rebased to 100",$E1256/E$8*100,$E1256)))))</f>
        <v/>
      </c>
      <c r="L1256" s="54">
        <f>IF($B1256=0,NA(),IF($F1256="",NA(),IF(F$8="",NA(),IF(N(F$8)=0,NA(),IF(Inputs!$C$17="Rebased to 100",$F1256/F$8*100,$F1256)))))</f>
        <v/>
      </c>
      <c r="M1256" s="54">
        <f>IF($B1256=0,NA(),IF($G1256="",NA(),IF(G$8="",NA(),IF(N(G$8)=0,NA(),IF(Inputs!$C$17="Rebased to 100",$G1256/G$8*100,$G1256)))))</f>
        <v/>
      </c>
      <c r="N1256" s="54">
        <f>IF($B1256=0,NA(),IF(Inputs!$C$18&lt;&gt;"Yes",NA(),IF(COUNT(I1256,J1256,K1256,L1256,M1256)=0,NA(),MIN(I1256,J1256,K1256,L1256,M1256))))</f>
        <v/>
      </c>
      <c r="O1256" s="54">
        <f>IF($B1256=0,NA(),IF(Inputs!$B$24&lt;&gt;"Yes",NA(),Inputs!$D$24*Inputs!$C$35))</f>
        <v/>
      </c>
      <c r="P1256" s="54">
        <f>IF($B1256=0,NA(),IF(Inputs!$B$25&lt;&gt;"Yes",NA(),Inputs!$D$25*Inputs!$C$35))</f>
        <v/>
      </c>
      <c r="Q1256" s="54">
        <f>IF($B1256=0,NA(),IF(Inputs!$B$26&lt;&gt;"Yes",NA(),Inputs!$D$26*Inputs!$C$35))</f>
        <v/>
      </c>
      <c r="R1256" s="54">
        <f>IF($B1256=0,NA(),IF(Inputs!$B$27&lt;&gt;"Yes",NA(),Inputs!$D$27*Inputs!$C$35))</f>
        <v/>
      </c>
      <c r="S1256" s="54">
        <f>IF($B1256=0,NA(),IF(Inputs!$B$28&lt;&gt;"Yes",NA(),Inputs!$D$28*Inputs!$C$35))</f>
        <v/>
      </c>
      <c r="T1256" s="54">
        <f>IF($B1256=0,NA(),IF(Inputs!$B$29&lt;&gt;"Yes",NA(),Inputs!$D$29*Inputs!$C$35))</f>
        <v/>
      </c>
      <c r="AD1256">
        <f>IF($B1256=0,0,IF(Inputs!$B$6="",0,COUNTIFS(Data!$A$10:$A$3209,"&gt;="&amp;$A1256,Data!$A$10:$A$3209,"&lt;"&amp;$A1256+1)))</f>
        <v/>
      </c>
      <c r="AE1256">
        <f>IF($B1256=0,0,IF(Inputs!$B$7="",0,COUNTIFS(Data!$E$10:$E$3209,"&gt;="&amp;$A1256,Data!$E$10:$E$3209,"&lt;"&amp;$A1256+1)))</f>
        <v/>
      </c>
      <c r="AF1256">
        <f>IF($B1256=0,0,IF(Inputs!$B$8="",0,COUNTIFS(Data!$I$10:$I$3209,"&gt;="&amp;$A1256,Data!$I$10:$I$3209,"&lt;"&amp;$A1256+1)))</f>
        <v/>
      </c>
      <c r="AG1256">
        <f>IF($B1256=0,0,IF(Inputs!$B$9="",0,COUNTIFS(Data!$M$10:$M$3209,"&gt;="&amp;$A1256,Data!$M$10:$M$3209,"&lt;"&amp;$A1256+1)))</f>
        <v/>
      </c>
      <c r="AH1256">
        <f>IF($B1256=0,0,IF(Inputs!$B$10="",0,COUNTIFS(Data!$Q$10:$Q$3209,"&gt;="&amp;$A1256,Data!$Q$10:$Q$3209,"&lt;"&amp;$A1256+1)))</f>
        <v/>
      </c>
    </row>
    <row r="1257">
      <c r="A1257" s="55">
        <f>MIN(Inputs!$C$15,$A1256+IF(WEEKDAY($A1256,2)=5,3,1))</f>
        <v/>
      </c>
      <c r="B1257">
        <f>IF($A1257&gt;$A1256,1,0)</f>
        <v/>
      </c>
      <c r="C1257" s="56">
        <f>IF($B1257=0,"",IF(Inputs!$B$6="","",IF($AD1257=0,C1256,SUMIFS(Data!$B$10:$B$3209,Data!$A$10:$A$3209,"&gt;="&amp;$A1257,Data!$A$10:$A$3209,"&lt;"&amp;$A1257+1)/$AD1257)))</f>
        <v/>
      </c>
      <c r="D1257" s="56">
        <f>IF($B1257=0,"",IF(Inputs!$B$7="","",IF($AE1257=0,D1256,SUMIFS(Data!$F$10:$F$3209,Data!$E$10:$E$3209,"&gt;="&amp;$A1257,Data!$E$10:$E$3209,"&lt;"&amp;$A1257+1)/$AE1257)))</f>
        <v/>
      </c>
      <c r="E1257" s="56">
        <f>IF($B1257=0,"",IF(Inputs!$B$8="","",IF($AF1257=0,E1256,SUMIFS(Data!$J$10:$J$3209,Data!$I$10:$I$3209,"&gt;="&amp;$A1257,Data!$I$10:$I$3209,"&lt;"&amp;$A1257+1)/$AF1257)))</f>
        <v/>
      </c>
      <c r="F1257" s="56">
        <f>IF($B1257=0,"",IF(Inputs!$B$9="","",IF($AG1257=0,F1256,SUMIFS(Data!$N$10:$N$3209,Data!$M$10:$M$3209,"&gt;="&amp;$A1257,Data!$M$10:$M$3209,"&lt;"&amp;$A1257+1)/$AG1257)))</f>
        <v/>
      </c>
      <c r="G1257" s="56">
        <f>IF($B1257=0,"",IF(Inputs!$B$10="","",IF($AH1257=0,G1256,SUMIFS(Data!$R$10:$R$3209,Data!$Q$10:$Q$3209,"&gt;="&amp;$A1257,Data!$Q$10:$Q$3209,"&lt;"&amp;$A1257+1)/$AH1257)))</f>
        <v/>
      </c>
      <c r="I1257" s="54">
        <f>IF($B1257=0,NA(),IF($C1257="",NA(),IF(C$8="",NA(),IF(N(C$8)=0,NA(),IF(Inputs!$C$17="Rebased to 100",$C1257/C$8*100,$C1257)))))</f>
        <v/>
      </c>
      <c r="J1257" s="54">
        <f>IF($B1257=0,NA(),IF($D1257="",NA(),IF(D$8="",NA(),IF(N(D$8)=0,NA(),IF(Inputs!$C$17="Rebased to 100",$D1257/D$8*100,$D1257)))))</f>
        <v/>
      </c>
      <c r="K1257" s="54">
        <f>IF($B1257=0,NA(),IF($E1257="",NA(),IF(E$8="",NA(),IF(N(E$8)=0,NA(),IF(Inputs!$C$17="Rebased to 100",$E1257/E$8*100,$E1257)))))</f>
        <v/>
      </c>
      <c r="L1257" s="54">
        <f>IF($B1257=0,NA(),IF($F1257="",NA(),IF(F$8="",NA(),IF(N(F$8)=0,NA(),IF(Inputs!$C$17="Rebased to 100",$F1257/F$8*100,$F1257)))))</f>
        <v/>
      </c>
      <c r="M1257" s="54">
        <f>IF($B1257=0,NA(),IF($G1257="",NA(),IF(G$8="",NA(),IF(N(G$8)=0,NA(),IF(Inputs!$C$17="Rebased to 100",$G1257/G$8*100,$G1257)))))</f>
        <v/>
      </c>
      <c r="N1257" s="54">
        <f>IF($B1257=0,NA(),IF(Inputs!$C$18&lt;&gt;"Yes",NA(),IF(COUNT(I1257,J1257,K1257,L1257,M1257)=0,NA(),MIN(I1257,J1257,K1257,L1257,M1257))))</f>
        <v/>
      </c>
      <c r="O1257" s="54">
        <f>IF($B1257=0,NA(),IF(Inputs!$B$24&lt;&gt;"Yes",NA(),Inputs!$D$24*Inputs!$C$35))</f>
        <v/>
      </c>
      <c r="P1257" s="54">
        <f>IF($B1257=0,NA(),IF(Inputs!$B$25&lt;&gt;"Yes",NA(),Inputs!$D$25*Inputs!$C$35))</f>
        <v/>
      </c>
      <c r="Q1257" s="54">
        <f>IF($B1257=0,NA(),IF(Inputs!$B$26&lt;&gt;"Yes",NA(),Inputs!$D$26*Inputs!$C$35))</f>
        <v/>
      </c>
      <c r="R1257" s="54">
        <f>IF($B1257=0,NA(),IF(Inputs!$B$27&lt;&gt;"Yes",NA(),Inputs!$D$27*Inputs!$C$35))</f>
        <v/>
      </c>
      <c r="S1257" s="54">
        <f>IF($B1257=0,NA(),IF(Inputs!$B$28&lt;&gt;"Yes",NA(),Inputs!$D$28*Inputs!$C$35))</f>
        <v/>
      </c>
      <c r="T1257" s="54">
        <f>IF($B1257=0,NA(),IF(Inputs!$B$29&lt;&gt;"Yes",NA(),Inputs!$D$29*Inputs!$C$35))</f>
        <v/>
      </c>
      <c r="AD1257">
        <f>IF($B1257=0,0,IF(Inputs!$B$6="",0,COUNTIFS(Data!$A$10:$A$3209,"&gt;="&amp;$A1257,Data!$A$10:$A$3209,"&lt;"&amp;$A1257+1)))</f>
        <v/>
      </c>
      <c r="AE1257">
        <f>IF($B1257=0,0,IF(Inputs!$B$7="",0,COUNTIFS(Data!$E$10:$E$3209,"&gt;="&amp;$A1257,Data!$E$10:$E$3209,"&lt;"&amp;$A1257+1)))</f>
        <v/>
      </c>
      <c r="AF1257">
        <f>IF($B1257=0,0,IF(Inputs!$B$8="",0,COUNTIFS(Data!$I$10:$I$3209,"&gt;="&amp;$A1257,Data!$I$10:$I$3209,"&lt;"&amp;$A1257+1)))</f>
        <v/>
      </c>
      <c r="AG1257">
        <f>IF($B1257=0,0,IF(Inputs!$B$9="",0,COUNTIFS(Data!$M$10:$M$3209,"&gt;="&amp;$A1257,Data!$M$10:$M$3209,"&lt;"&amp;$A1257+1)))</f>
        <v/>
      </c>
      <c r="AH1257">
        <f>IF($B1257=0,0,IF(Inputs!$B$10="",0,COUNTIFS(Data!$Q$10:$Q$3209,"&gt;="&amp;$A1257,Data!$Q$10:$Q$3209,"&lt;"&amp;$A1257+1)))</f>
        <v/>
      </c>
    </row>
    <row r="1258">
      <c r="A1258" s="55">
        <f>MIN(Inputs!$C$15,$A1257+IF(WEEKDAY($A1257,2)=5,3,1))</f>
        <v/>
      </c>
      <c r="B1258">
        <f>IF($A1258&gt;$A1257,1,0)</f>
        <v/>
      </c>
      <c r="C1258" s="56">
        <f>IF($B1258=0,"",IF(Inputs!$B$6="","",IF($AD1258=0,C1257,SUMIFS(Data!$B$10:$B$3209,Data!$A$10:$A$3209,"&gt;="&amp;$A1258,Data!$A$10:$A$3209,"&lt;"&amp;$A1258+1)/$AD1258)))</f>
        <v/>
      </c>
      <c r="D1258" s="56">
        <f>IF($B1258=0,"",IF(Inputs!$B$7="","",IF($AE1258=0,D1257,SUMIFS(Data!$F$10:$F$3209,Data!$E$10:$E$3209,"&gt;="&amp;$A1258,Data!$E$10:$E$3209,"&lt;"&amp;$A1258+1)/$AE1258)))</f>
        <v/>
      </c>
      <c r="E1258" s="56">
        <f>IF($B1258=0,"",IF(Inputs!$B$8="","",IF($AF1258=0,E1257,SUMIFS(Data!$J$10:$J$3209,Data!$I$10:$I$3209,"&gt;="&amp;$A1258,Data!$I$10:$I$3209,"&lt;"&amp;$A1258+1)/$AF1258)))</f>
        <v/>
      </c>
      <c r="F1258" s="56">
        <f>IF($B1258=0,"",IF(Inputs!$B$9="","",IF($AG1258=0,F1257,SUMIFS(Data!$N$10:$N$3209,Data!$M$10:$M$3209,"&gt;="&amp;$A1258,Data!$M$10:$M$3209,"&lt;"&amp;$A1258+1)/$AG1258)))</f>
        <v/>
      </c>
      <c r="G1258" s="56">
        <f>IF($B1258=0,"",IF(Inputs!$B$10="","",IF($AH1258=0,G1257,SUMIFS(Data!$R$10:$R$3209,Data!$Q$10:$Q$3209,"&gt;="&amp;$A1258,Data!$Q$10:$Q$3209,"&lt;"&amp;$A1258+1)/$AH1258)))</f>
        <v/>
      </c>
      <c r="I1258" s="54">
        <f>IF($B1258=0,NA(),IF($C1258="",NA(),IF(C$8="",NA(),IF(N(C$8)=0,NA(),IF(Inputs!$C$17="Rebased to 100",$C1258/C$8*100,$C1258)))))</f>
        <v/>
      </c>
      <c r="J1258" s="54">
        <f>IF($B1258=0,NA(),IF($D1258="",NA(),IF(D$8="",NA(),IF(N(D$8)=0,NA(),IF(Inputs!$C$17="Rebased to 100",$D1258/D$8*100,$D1258)))))</f>
        <v/>
      </c>
      <c r="K1258" s="54">
        <f>IF($B1258=0,NA(),IF($E1258="",NA(),IF(E$8="",NA(),IF(N(E$8)=0,NA(),IF(Inputs!$C$17="Rebased to 100",$E1258/E$8*100,$E1258)))))</f>
        <v/>
      </c>
      <c r="L1258" s="54">
        <f>IF($B1258=0,NA(),IF($F1258="",NA(),IF(F$8="",NA(),IF(N(F$8)=0,NA(),IF(Inputs!$C$17="Rebased to 100",$F1258/F$8*100,$F1258)))))</f>
        <v/>
      </c>
      <c r="M1258" s="54">
        <f>IF($B1258=0,NA(),IF($G1258="",NA(),IF(G$8="",NA(),IF(N(G$8)=0,NA(),IF(Inputs!$C$17="Rebased to 100",$G1258/G$8*100,$G1258)))))</f>
        <v/>
      </c>
      <c r="N1258" s="54">
        <f>IF($B1258=0,NA(),IF(Inputs!$C$18&lt;&gt;"Yes",NA(),IF(COUNT(I1258,J1258,K1258,L1258,M1258)=0,NA(),MIN(I1258,J1258,K1258,L1258,M1258))))</f>
        <v/>
      </c>
      <c r="O1258" s="54">
        <f>IF($B1258=0,NA(),IF(Inputs!$B$24&lt;&gt;"Yes",NA(),Inputs!$D$24*Inputs!$C$35))</f>
        <v/>
      </c>
      <c r="P1258" s="54">
        <f>IF($B1258=0,NA(),IF(Inputs!$B$25&lt;&gt;"Yes",NA(),Inputs!$D$25*Inputs!$C$35))</f>
        <v/>
      </c>
      <c r="Q1258" s="54">
        <f>IF($B1258=0,NA(),IF(Inputs!$B$26&lt;&gt;"Yes",NA(),Inputs!$D$26*Inputs!$C$35))</f>
        <v/>
      </c>
      <c r="R1258" s="54">
        <f>IF($B1258=0,NA(),IF(Inputs!$B$27&lt;&gt;"Yes",NA(),Inputs!$D$27*Inputs!$C$35))</f>
        <v/>
      </c>
      <c r="S1258" s="54">
        <f>IF($B1258=0,NA(),IF(Inputs!$B$28&lt;&gt;"Yes",NA(),Inputs!$D$28*Inputs!$C$35))</f>
        <v/>
      </c>
      <c r="T1258" s="54">
        <f>IF($B1258=0,NA(),IF(Inputs!$B$29&lt;&gt;"Yes",NA(),Inputs!$D$29*Inputs!$C$35))</f>
        <v/>
      </c>
      <c r="AD1258">
        <f>IF($B1258=0,0,IF(Inputs!$B$6="",0,COUNTIFS(Data!$A$10:$A$3209,"&gt;="&amp;$A1258,Data!$A$10:$A$3209,"&lt;"&amp;$A1258+1)))</f>
        <v/>
      </c>
      <c r="AE1258">
        <f>IF($B1258=0,0,IF(Inputs!$B$7="",0,COUNTIFS(Data!$E$10:$E$3209,"&gt;="&amp;$A1258,Data!$E$10:$E$3209,"&lt;"&amp;$A1258+1)))</f>
        <v/>
      </c>
      <c r="AF1258">
        <f>IF($B1258=0,0,IF(Inputs!$B$8="",0,COUNTIFS(Data!$I$10:$I$3209,"&gt;="&amp;$A1258,Data!$I$10:$I$3209,"&lt;"&amp;$A1258+1)))</f>
        <v/>
      </c>
      <c r="AG1258">
        <f>IF($B1258=0,0,IF(Inputs!$B$9="",0,COUNTIFS(Data!$M$10:$M$3209,"&gt;="&amp;$A1258,Data!$M$10:$M$3209,"&lt;"&amp;$A1258+1)))</f>
        <v/>
      </c>
      <c r="AH1258">
        <f>IF($B1258=0,0,IF(Inputs!$B$10="",0,COUNTIFS(Data!$Q$10:$Q$3209,"&gt;="&amp;$A1258,Data!$Q$10:$Q$3209,"&lt;"&amp;$A1258+1)))</f>
        <v/>
      </c>
    </row>
    <row r="1259">
      <c r="A1259" s="55">
        <f>MIN(Inputs!$C$15,$A1258+IF(WEEKDAY($A1258,2)=5,3,1))</f>
        <v/>
      </c>
      <c r="B1259">
        <f>IF($A1259&gt;$A1258,1,0)</f>
        <v/>
      </c>
      <c r="C1259" s="56">
        <f>IF($B1259=0,"",IF(Inputs!$B$6="","",IF($AD1259=0,C1258,SUMIFS(Data!$B$10:$B$3209,Data!$A$10:$A$3209,"&gt;="&amp;$A1259,Data!$A$10:$A$3209,"&lt;"&amp;$A1259+1)/$AD1259)))</f>
        <v/>
      </c>
      <c r="D1259" s="56">
        <f>IF($B1259=0,"",IF(Inputs!$B$7="","",IF($AE1259=0,D1258,SUMIFS(Data!$F$10:$F$3209,Data!$E$10:$E$3209,"&gt;="&amp;$A1259,Data!$E$10:$E$3209,"&lt;"&amp;$A1259+1)/$AE1259)))</f>
        <v/>
      </c>
      <c r="E1259" s="56">
        <f>IF($B1259=0,"",IF(Inputs!$B$8="","",IF($AF1259=0,E1258,SUMIFS(Data!$J$10:$J$3209,Data!$I$10:$I$3209,"&gt;="&amp;$A1259,Data!$I$10:$I$3209,"&lt;"&amp;$A1259+1)/$AF1259)))</f>
        <v/>
      </c>
      <c r="F1259" s="56">
        <f>IF($B1259=0,"",IF(Inputs!$B$9="","",IF($AG1259=0,F1258,SUMIFS(Data!$N$10:$N$3209,Data!$M$10:$M$3209,"&gt;="&amp;$A1259,Data!$M$10:$M$3209,"&lt;"&amp;$A1259+1)/$AG1259)))</f>
        <v/>
      </c>
      <c r="G1259" s="56">
        <f>IF($B1259=0,"",IF(Inputs!$B$10="","",IF($AH1259=0,G1258,SUMIFS(Data!$R$10:$R$3209,Data!$Q$10:$Q$3209,"&gt;="&amp;$A1259,Data!$Q$10:$Q$3209,"&lt;"&amp;$A1259+1)/$AH1259)))</f>
        <v/>
      </c>
      <c r="I1259" s="54">
        <f>IF($B1259=0,NA(),IF($C1259="",NA(),IF(C$8="",NA(),IF(N(C$8)=0,NA(),IF(Inputs!$C$17="Rebased to 100",$C1259/C$8*100,$C1259)))))</f>
        <v/>
      </c>
      <c r="J1259" s="54">
        <f>IF($B1259=0,NA(),IF($D1259="",NA(),IF(D$8="",NA(),IF(N(D$8)=0,NA(),IF(Inputs!$C$17="Rebased to 100",$D1259/D$8*100,$D1259)))))</f>
        <v/>
      </c>
      <c r="K1259" s="54">
        <f>IF($B1259=0,NA(),IF($E1259="",NA(),IF(E$8="",NA(),IF(N(E$8)=0,NA(),IF(Inputs!$C$17="Rebased to 100",$E1259/E$8*100,$E1259)))))</f>
        <v/>
      </c>
      <c r="L1259" s="54">
        <f>IF($B1259=0,NA(),IF($F1259="",NA(),IF(F$8="",NA(),IF(N(F$8)=0,NA(),IF(Inputs!$C$17="Rebased to 100",$F1259/F$8*100,$F1259)))))</f>
        <v/>
      </c>
      <c r="M1259" s="54">
        <f>IF($B1259=0,NA(),IF($G1259="",NA(),IF(G$8="",NA(),IF(N(G$8)=0,NA(),IF(Inputs!$C$17="Rebased to 100",$G1259/G$8*100,$G1259)))))</f>
        <v/>
      </c>
      <c r="N1259" s="54">
        <f>IF($B1259=0,NA(),IF(Inputs!$C$18&lt;&gt;"Yes",NA(),IF(COUNT(I1259,J1259,K1259,L1259,M1259)=0,NA(),MIN(I1259,J1259,K1259,L1259,M1259))))</f>
        <v/>
      </c>
      <c r="O1259" s="54">
        <f>IF($B1259=0,NA(),IF(Inputs!$B$24&lt;&gt;"Yes",NA(),Inputs!$D$24*Inputs!$C$35))</f>
        <v/>
      </c>
      <c r="P1259" s="54">
        <f>IF($B1259=0,NA(),IF(Inputs!$B$25&lt;&gt;"Yes",NA(),Inputs!$D$25*Inputs!$C$35))</f>
        <v/>
      </c>
      <c r="Q1259" s="54">
        <f>IF($B1259=0,NA(),IF(Inputs!$B$26&lt;&gt;"Yes",NA(),Inputs!$D$26*Inputs!$C$35))</f>
        <v/>
      </c>
      <c r="R1259" s="54">
        <f>IF($B1259=0,NA(),IF(Inputs!$B$27&lt;&gt;"Yes",NA(),Inputs!$D$27*Inputs!$C$35))</f>
        <v/>
      </c>
      <c r="S1259" s="54">
        <f>IF($B1259=0,NA(),IF(Inputs!$B$28&lt;&gt;"Yes",NA(),Inputs!$D$28*Inputs!$C$35))</f>
        <v/>
      </c>
      <c r="T1259" s="54">
        <f>IF($B1259=0,NA(),IF(Inputs!$B$29&lt;&gt;"Yes",NA(),Inputs!$D$29*Inputs!$C$35))</f>
        <v/>
      </c>
      <c r="AD1259">
        <f>IF($B1259=0,0,IF(Inputs!$B$6="",0,COUNTIFS(Data!$A$10:$A$3209,"&gt;="&amp;$A1259,Data!$A$10:$A$3209,"&lt;"&amp;$A1259+1)))</f>
        <v/>
      </c>
      <c r="AE1259">
        <f>IF($B1259=0,0,IF(Inputs!$B$7="",0,COUNTIFS(Data!$E$10:$E$3209,"&gt;="&amp;$A1259,Data!$E$10:$E$3209,"&lt;"&amp;$A1259+1)))</f>
        <v/>
      </c>
      <c r="AF1259">
        <f>IF($B1259=0,0,IF(Inputs!$B$8="",0,COUNTIFS(Data!$I$10:$I$3209,"&gt;="&amp;$A1259,Data!$I$10:$I$3209,"&lt;"&amp;$A1259+1)))</f>
        <v/>
      </c>
      <c r="AG1259">
        <f>IF($B1259=0,0,IF(Inputs!$B$9="",0,COUNTIFS(Data!$M$10:$M$3209,"&gt;="&amp;$A1259,Data!$M$10:$M$3209,"&lt;"&amp;$A1259+1)))</f>
        <v/>
      </c>
      <c r="AH1259">
        <f>IF($B1259=0,0,IF(Inputs!$B$10="",0,COUNTIFS(Data!$Q$10:$Q$3209,"&gt;="&amp;$A1259,Data!$Q$10:$Q$3209,"&lt;"&amp;$A1259+1)))</f>
        <v/>
      </c>
    </row>
    <row r="1260">
      <c r="A1260" s="55">
        <f>MIN(Inputs!$C$15,$A1259+IF(WEEKDAY($A1259,2)=5,3,1))</f>
        <v/>
      </c>
      <c r="B1260">
        <f>IF($A1260&gt;$A1259,1,0)</f>
        <v/>
      </c>
      <c r="C1260" s="56">
        <f>IF($B1260=0,"",IF(Inputs!$B$6="","",IF($AD1260=0,C1259,SUMIFS(Data!$B$10:$B$3209,Data!$A$10:$A$3209,"&gt;="&amp;$A1260,Data!$A$10:$A$3209,"&lt;"&amp;$A1260+1)/$AD1260)))</f>
        <v/>
      </c>
      <c r="D1260" s="56">
        <f>IF($B1260=0,"",IF(Inputs!$B$7="","",IF($AE1260=0,D1259,SUMIFS(Data!$F$10:$F$3209,Data!$E$10:$E$3209,"&gt;="&amp;$A1260,Data!$E$10:$E$3209,"&lt;"&amp;$A1260+1)/$AE1260)))</f>
        <v/>
      </c>
      <c r="E1260" s="56">
        <f>IF($B1260=0,"",IF(Inputs!$B$8="","",IF($AF1260=0,E1259,SUMIFS(Data!$J$10:$J$3209,Data!$I$10:$I$3209,"&gt;="&amp;$A1260,Data!$I$10:$I$3209,"&lt;"&amp;$A1260+1)/$AF1260)))</f>
        <v/>
      </c>
      <c r="F1260" s="56">
        <f>IF($B1260=0,"",IF(Inputs!$B$9="","",IF($AG1260=0,F1259,SUMIFS(Data!$N$10:$N$3209,Data!$M$10:$M$3209,"&gt;="&amp;$A1260,Data!$M$10:$M$3209,"&lt;"&amp;$A1260+1)/$AG1260)))</f>
        <v/>
      </c>
      <c r="G1260" s="56">
        <f>IF($B1260=0,"",IF(Inputs!$B$10="","",IF($AH1260=0,G1259,SUMIFS(Data!$R$10:$R$3209,Data!$Q$10:$Q$3209,"&gt;="&amp;$A1260,Data!$Q$10:$Q$3209,"&lt;"&amp;$A1260+1)/$AH1260)))</f>
        <v/>
      </c>
      <c r="I1260" s="54">
        <f>IF($B1260=0,NA(),IF($C1260="",NA(),IF(C$8="",NA(),IF(N(C$8)=0,NA(),IF(Inputs!$C$17="Rebased to 100",$C1260/C$8*100,$C1260)))))</f>
        <v/>
      </c>
      <c r="J1260" s="54">
        <f>IF($B1260=0,NA(),IF($D1260="",NA(),IF(D$8="",NA(),IF(N(D$8)=0,NA(),IF(Inputs!$C$17="Rebased to 100",$D1260/D$8*100,$D1260)))))</f>
        <v/>
      </c>
      <c r="K1260" s="54">
        <f>IF($B1260=0,NA(),IF($E1260="",NA(),IF(E$8="",NA(),IF(N(E$8)=0,NA(),IF(Inputs!$C$17="Rebased to 100",$E1260/E$8*100,$E1260)))))</f>
        <v/>
      </c>
      <c r="L1260" s="54">
        <f>IF($B1260=0,NA(),IF($F1260="",NA(),IF(F$8="",NA(),IF(N(F$8)=0,NA(),IF(Inputs!$C$17="Rebased to 100",$F1260/F$8*100,$F1260)))))</f>
        <v/>
      </c>
      <c r="M1260" s="54">
        <f>IF($B1260=0,NA(),IF($G1260="",NA(),IF(G$8="",NA(),IF(N(G$8)=0,NA(),IF(Inputs!$C$17="Rebased to 100",$G1260/G$8*100,$G1260)))))</f>
        <v/>
      </c>
      <c r="N1260" s="54">
        <f>IF($B1260=0,NA(),IF(Inputs!$C$18&lt;&gt;"Yes",NA(),IF(COUNT(I1260,J1260,K1260,L1260,M1260)=0,NA(),MIN(I1260,J1260,K1260,L1260,M1260))))</f>
        <v/>
      </c>
      <c r="O1260" s="54">
        <f>IF($B1260=0,NA(),IF(Inputs!$B$24&lt;&gt;"Yes",NA(),Inputs!$D$24*Inputs!$C$35))</f>
        <v/>
      </c>
      <c r="P1260" s="54">
        <f>IF($B1260=0,NA(),IF(Inputs!$B$25&lt;&gt;"Yes",NA(),Inputs!$D$25*Inputs!$C$35))</f>
        <v/>
      </c>
      <c r="Q1260" s="54">
        <f>IF($B1260=0,NA(),IF(Inputs!$B$26&lt;&gt;"Yes",NA(),Inputs!$D$26*Inputs!$C$35))</f>
        <v/>
      </c>
      <c r="R1260" s="54">
        <f>IF($B1260=0,NA(),IF(Inputs!$B$27&lt;&gt;"Yes",NA(),Inputs!$D$27*Inputs!$C$35))</f>
        <v/>
      </c>
      <c r="S1260" s="54">
        <f>IF($B1260=0,NA(),IF(Inputs!$B$28&lt;&gt;"Yes",NA(),Inputs!$D$28*Inputs!$C$35))</f>
        <v/>
      </c>
      <c r="T1260" s="54">
        <f>IF($B1260=0,NA(),IF(Inputs!$B$29&lt;&gt;"Yes",NA(),Inputs!$D$29*Inputs!$C$35))</f>
        <v/>
      </c>
      <c r="AD1260">
        <f>IF($B1260=0,0,IF(Inputs!$B$6="",0,COUNTIFS(Data!$A$10:$A$3209,"&gt;="&amp;$A1260,Data!$A$10:$A$3209,"&lt;"&amp;$A1260+1)))</f>
        <v/>
      </c>
      <c r="AE1260">
        <f>IF($B1260=0,0,IF(Inputs!$B$7="",0,COUNTIFS(Data!$E$10:$E$3209,"&gt;="&amp;$A1260,Data!$E$10:$E$3209,"&lt;"&amp;$A1260+1)))</f>
        <v/>
      </c>
      <c r="AF1260">
        <f>IF($B1260=0,0,IF(Inputs!$B$8="",0,COUNTIFS(Data!$I$10:$I$3209,"&gt;="&amp;$A1260,Data!$I$10:$I$3209,"&lt;"&amp;$A1260+1)))</f>
        <v/>
      </c>
      <c r="AG1260">
        <f>IF($B1260=0,0,IF(Inputs!$B$9="",0,COUNTIFS(Data!$M$10:$M$3209,"&gt;="&amp;$A1260,Data!$M$10:$M$3209,"&lt;"&amp;$A1260+1)))</f>
        <v/>
      </c>
      <c r="AH1260">
        <f>IF($B1260=0,0,IF(Inputs!$B$10="",0,COUNTIFS(Data!$Q$10:$Q$3209,"&gt;="&amp;$A1260,Data!$Q$10:$Q$3209,"&lt;"&amp;$A1260+1)))</f>
        <v/>
      </c>
    </row>
    <row r="1261">
      <c r="A1261" s="55">
        <f>MIN(Inputs!$C$15,$A1260+IF(WEEKDAY($A1260,2)=5,3,1))</f>
        <v/>
      </c>
      <c r="B1261">
        <f>IF($A1261&gt;$A1260,1,0)</f>
        <v/>
      </c>
      <c r="C1261" s="56">
        <f>IF($B1261=0,"",IF(Inputs!$B$6="","",IF($AD1261=0,C1260,SUMIFS(Data!$B$10:$B$3209,Data!$A$10:$A$3209,"&gt;="&amp;$A1261,Data!$A$10:$A$3209,"&lt;"&amp;$A1261+1)/$AD1261)))</f>
        <v/>
      </c>
      <c r="D1261" s="56">
        <f>IF($B1261=0,"",IF(Inputs!$B$7="","",IF($AE1261=0,D1260,SUMIFS(Data!$F$10:$F$3209,Data!$E$10:$E$3209,"&gt;="&amp;$A1261,Data!$E$10:$E$3209,"&lt;"&amp;$A1261+1)/$AE1261)))</f>
        <v/>
      </c>
      <c r="E1261" s="56">
        <f>IF($B1261=0,"",IF(Inputs!$B$8="","",IF($AF1261=0,E1260,SUMIFS(Data!$J$10:$J$3209,Data!$I$10:$I$3209,"&gt;="&amp;$A1261,Data!$I$10:$I$3209,"&lt;"&amp;$A1261+1)/$AF1261)))</f>
        <v/>
      </c>
      <c r="F1261" s="56">
        <f>IF($B1261=0,"",IF(Inputs!$B$9="","",IF($AG1261=0,F1260,SUMIFS(Data!$N$10:$N$3209,Data!$M$10:$M$3209,"&gt;="&amp;$A1261,Data!$M$10:$M$3209,"&lt;"&amp;$A1261+1)/$AG1261)))</f>
        <v/>
      </c>
      <c r="G1261" s="56">
        <f>IF($B1261=0,"",IF(Inputs!$B$10="","",IF($AH1261=0,G1260,SUMIFS(Data!$R$10:$R$3209,Data!$Q$10:$Q$3209,"&gt;="&amp;$A1261,Data!$Q$10:$Q$3209,"&lt;"&amp;$A1261+1)/$AH1261)))</f>
        <v/>
      </c>
      <c r="I1261" s="54">
        <f>IF($B1261=0,NA(),IF($C1261="",NA(),IF(C$8="",NA(),IF(N(C$8)=0,NA(),IF(Inputs!$C$17="Rebased to 100",$C1261/C$8*100,$C1261)))))</f>
        <v/>
      </c>
      <c r="J1261" s="54">
        <f>IF($B1261=0,NA(),IF($D1261="",NA(),IF(D$8="",NA(),IF(N(D$8)=0,NA(),IF(Inputs!$C$17="Rebased to 100",$D1261/D$8*100,$D1261)))))</f>
        <v/>
      </c>
      <c r="K1261" s="54">
        <f>IF($B1261=0,NA(),IF($E1261="",NA(),IF(E$8="",NA(),IF(N(E$8)=0,NA(),IF(Inputs!$C$17="Rebased to 100",$E1261/E$8*100,$E1261)))))</f>
        <v/>
      </c>
      <c r="L1261" s="54">
        <f>IF($B1261=0,NA(),IF($F1261="",NA(),IF(F$8="",NA(),IF(N(F$8)=0,NA(),IF(Inputs!$C$17="Rebased to 100",$F1261/F$8*100,$F1261)))))</f>
        <v/>
      </c>
      <c r="M1261" s="54">
        <f>IF($B1261=0,NA(),IF($G1261="",NA(),IF(G$8="",NA(),IF(N(G$8)=0,NA(),IF(Inputs!$C$17="Rebased to 100",$G1261/G$8*100,$G1261)))))</f>
        <v/>
      </c>
      <c r="N1261" s="54">
        <f>IF($B1261=0,NA(),IF(Inputs!$C$18&lt;&gt;"Yes",NA(),IF(COUNT(I1261,J1261,K1261,L1261,M1261)=0,NA(),MIN(I1261,J1261,K1261,L1261,M1261))))</f>
        <v/>
      </c>
      <c r="O1261" s="54">
        <f>IF($B1261=0,NA(),IF(Inputs!$B$24&lt;&gt;"Yes",NA(),Inputs!$D$24*Inputs!$C$35))</f>
        <v/>
      </c>
      <c r="P1261" s="54">
        <f>IF($B1261=0,NA(),IF(Inputs!$B$25&lt;&gt;"Yes",NA(),Inputs!$D$25*Inputs!$C$35))</f>
        <v/>
      </c>
      <c r="Q1261" s="54">
        <f>IF($B1261=0,NA(),IF(Inputs!$B$26&lt;&gt;"Yes",NA(),Inputs!$D$26*Inputs!$C$35))</f>
        <v/>
      </c>
      <c r="R1261" s="54">
        <f>IF($B1261=0,NA(),IF(Inputs!$B$27&lt;&gt;"Yes",NA(),Inputs!$D$27*Inputs!$C$35))</f>
        <v/>
      </c>
      <c r="S1261" s="54">
        <f>IF($B1261=0,NA(),IF(Inputs!$B$28&lt;&gt;"Yes",NA(),Inputs!$D$28*Inputs!$C$35))</f>
        <v/>
      </c>
      <c r="T1261" s="54">
        <f>IF($B1261=0,NA(),IF(Inputs!$B$29&lt;&gt;"Yes",NA(),Inputs!$D$29*Inputs!$C$35))</f>
        <v/>
      </c>
      <c r="AD1261">
        <f>IF($B1261=0,0,IF(Inputs!$B$6="",0,COUNTIFS(Data!$A$10:$A$3209,"&gt;="&amp;$A1261,Data!$A$10:$A$3209,"&lt;"&amp;$A1261+1)))</f>
        <v/>
      </c>
      <c r="AE1261">
        <f>IF($B1261=0,0,IF(Inputs!$B$7="",0,COUNTIFS(Data!$E$10:$E$3209,"&gt;="&amp;$A1261,Data!$E$10:$E$3209,"&lt;"&amp;$A1261+1)))</f>
        <v/>
      </c>
      <c r="AF1261">
        <f>IF($B1261=0,0,IF(Inputs!$B$8="",0,COUNTIFS(Data!$I$10:$I$3209,"&gt;="&amp;$A1261,Data!$I$10:$I$3209,"&lt;"&amp;$A1261+1)))</f>
        <v/>
      </c>
      <c r="AG1261">
        <f>IF($B1261=0,0,IF(Inputs!$B$9="",0,COUNTIFS(Data!$M$10:$M$3209,"&gt;="&amp;$A1261,Data!$M$10:$M$3209,"&lt;"&amp;$A1261+1)))</f>
        <v/>
      </c>
      <c r="AH1261">
        <f>IF($B1261=0,0,IF(Inputs!$B$10="",0,COUNTIFS(Data!$Q$10:$Q$3209,"&gt;="&amp;$A1261,Data!$Q$10:$Q$3209,"&lt;"&amp;$A1261+1)))</f>
        <v/>
      </c>
    </row>
    <row r="1262">
      <c r="A1262" s="55">
        <f>MIN(Inputs!$C$15,$A1261+IF(WEEKDAY($A1261,2)=5,3,1))</f>
        <v/>
      </c>
      <c r="B1262">
        <f>IF($A1262&gt;$A1261,1,0)</f>
        <v/>
      </c>
      <c r="C1262" s="56">
        <f>IF($B1262=0,"",IF(Inputs!$B$6="","",IF($AD1262=0,C1261,SUMIFS(Data!$B$10:$B$3209,Data!$A$10:$A$3209,"&gt;="&amp;$A1262,Data!$A$10:$A$3209,"&lt;"&amp;$A1262+1)/$AD1262)))</f>
        <v/>
      </c>
      <c r="D1262" s="56">
        <f>IF($B1262=0,"",IF(Inputs!$B$7="","",IF($AE1262=0,D1261,SUMIFS(Data!$F$10:$F$3209,Data!$E$10:$E$3209,"&gt;="&amp;$A1262,Data!$E$10:$E$3209,"&lt;"&amp;$A1262+1)/$AE1262)))</f>
        <v/>
      </c>
      <c r="E1262" s="56">
        <f>IF($B1262=0,"",IF(Inputs!$B$8="","",IF($AF1262=0,E1261,SUMIFS(Data!$J$10:$J$3209,Data!$I$10:$I$3209,"&gt;="&amp;$A1262,Data!$I$10:$I$3209,"&lt;"&amp;$A1262+1)/$AF1262)))</f>
        <v/>
      </c>
      <c r="F1262" s="56">
        <f>IF($B1262=0,"",IF(Inputs!$B$9="","",IF($AG1262=0,F1261,SUMIFS(Data!$N$10:$N$3209,Data!$M$10:$M$3209,"&gt;="&amp;$A1262,Data!$M$10:$M$3209,"&lt;"&amp;$A1262+1)/$AG1262)))</f>
        <v/>
      </c>
      <c r="G1262" s="56">
        <f>IF($B1262=0,"",IF(Inputs!$B$10="","",IF($AH1262=0,G1261,SUMIFS(Data!$R$10:$R$3209,Data!$Q$10:$Q$3209,"&gt;="&amp;$A1262,Data!$Q$10:$Q$3209,"&lt;"&amp;$A1262+1)/$AH1262)))</f>
        <v/>
      </c>
      <c r="I1262" s="54">
        <f>IF($B1262=0,NA(),IF($C1262="",NA(),IF(C$8="",NA(),IF(N(C$8)=0,NA(),IF(Inputs!$C$17="Rebased to 100",$C1262/C$8*100,$C1262)))))</f>
        <v/>
      </c>
      <c r="J1262" s="54">
        <f>IF($B1262=0,NA(),IF($D1262="",NA(),IF(D$8="",NA(),IF(N(D$8)=0,NA(),IF(Inputs!$C$17="Rebased to 100",$D1262/D$8*100,$D1262)))))</f>
        <v/>
      </c>
      <c r="K1262" s="54">
        <f>IF($B1262=0,NA(),IF($E1262="",NA(),IF(E$8="",NA(),IF(N(E$8)=0,NA(),IF(Inputs!$C$17="Rebased to 100",$E1262/E$8*100,$E1262)))))</f>
        <v/>
      </c>
      <c r="L1262" s="54">
        <f>IF($B1262=0,NA(),IF($F1262="",NA(),IF(F$8="",NA(),IF(N(F$8)=0,NA(),IF(Inputs!$C$17="Rebased to 100",$F1262/F$8*100,$F1262)))))</f>
        <v/>
      </c>
      <c r="M1262" s="54">
        <f>IF($B1262=0,NA(),IF($G1262="",NA(),IF(G$8="",NA(),IF(N(G$8)=0,NA(),IF(Inputs!$C$17="Rebased to 100",$G1262/G$8*100,$G1262)))))</f>
        <v/>
      </c>
      <c r="N1262" s="54">
        <f>IF($B1262=0,NA(),IF(Inputs!$C$18&lt;&gt;"Yes",NA(),IF(COUNT(I1262,J1262,K1262,L1262,M1262)=0,NA(),MIN(I1262,J1262,K1262,L1262,M1262))))</f>
        <v/>
      </c>
      <c r="O1262" s="54">
        <f>IF($B1262=0,NA(),IF(Inputs!$B$24&lt;&gt;"Yes",NA(),Inputs!$D$24*Inputs!$C$35))</f>
        <v/>
      </c>
      <c r="P1262" s="54">
        <f>IF($B1262=0,NA(),IF(Inputs!$B$25&lt;&gt;"Yes",NA(),Inputs!$D$25*Inputs!$C$35))</f>
        <v/>
      </c>
      <c r="Q1262" s="54">
        <f>IF($B1262=0,NA(),IF(Inputs!$B$26&lt;&gt;"Yes",NA(),Inputs!$D$26*Inputs!$C$35))</f>
        <v/>
      </c>
      <c r="R1262" s="54">
        <f>IF($B1262=0,NA(),IF(Inputs!$B$27&lt;&gt;"Yes",NA(),Inputs!$D$27*Inputs!$C$35))</f>
        <v/>
      </c>
      <c r="S1262" s="54">
        <f>IF($B1262=0,NA(),IF(Inputs!$B$28&lt;&gt;"Yes",NA(),Inputs!$D$28*Inputs!$C$35))</f>
        <v/>
      </c>
      <c r="T1262" s="54">
        <f>IF($B1262=0,NA(),IF(Inputs!$B$29&lt;&gt;"Yes",NA(),Inputs!$D$29*Inputs!$C$35))</f>
        <v/>
      </c>
      <c r="AD1262">
        <f>IF($B1262=0,0,IF(Inputs!$B$6="",0,COUNTIFS(Data!$A$10:$A$3209,"&gt;="&amp;$A1262,Data!$A$10:$A$3209,"&lt;"&amp;$A1262+1)))</f>
        <v/>
      </c>
      <c r="AE1262">
        <f>IF($B1262=0,0,IF(Inputs!$B$7="",0,COUNTIFS(Data!$E$10:$E$3209,"&gt;="&amp;$A1262,Data!$E$10:$E$3209,"&lt;"&amp;$A1262+1)))</f>
        <v/>
      </c>
      <c r="AF1262">
        <f>IF($B1262=0,0,IF(Inputs!$B$8="",0,COUNTIFS(Data!$I$10:$I$3209,"&gt;="&amp;$A1262,Data!$I$10:$I$3209,"&lt;"&amp;$A1262+1)))</f>
        <v/>
      </c>
      <c r="AG1262">
        <f>IF($B1262=0,0,IF(Inputs!$B$9="",0,COUNTIFS(Data!$M$10:$M$3209,"&gt;="&amp;$A1262,Data!$M$10:$M$3209,"&lt;"&amp;$A1262+1)))</f>
        <v/>
      </c>
      <c r="AH1262">
        <f>IF($B1262=0,0,IF(Inputs!$B$10="",0,COUNTIFS(Data!$Q$10:$Q$3209,"&gt;="&amp;$A1262,Data!$Q$10:$Q$3209,"&lt;"&amp;$A1262+1)))</f>
        <v/>
      </c>
    </row>
    <row r="1263">
      <c r="A1263" s="55">
        <f>MIN(Inputs!$C$15,$A1262+IF(WEEKDAY($A1262,2)=5,3,1))</f>
        <v/>
      </c>
      <c r="B1263">
        <f>IF($A1263&gt;$A1262,1,0)</f>
        <v/>
      </c>
      <c r="C1263" s="56">
        <f>IF($B1263=0,"",IF(Inputs!$B$6="","",IF($AD1263=0,C1262,SUMIFS(Data!$B$10:$B$3209,Data!$A$10:$A$3209,"&gt;="&amp;$A1263,Data!$A$10:$A$3209,"&lt;"&amp;$A1263+1)/$AD1263)))</f>
        <v/>
      </c>
      <c r="D1263" s="56">
        <f>IF($B1263=0,"",IF(Inputs!$B$7="","",IF($AE1263=0,D1262,SUMIFS(Data!$F$10:$F$3209,Data!$E$10:$E$3209,"&gt;="&amp;$A1263,Data!$E$10:$E$3209,"&lt;"&amp;$A1263+1)/$AE1263)))</f>
        <v/>
      </c>
      <c r="E1263" s="56">
        <f>IF($B1263=0,"",IF(Inputs!$B$8="","",IF($AF1263=0,E1262,SUMIFS(Data!$J$10:$J$3209,Data!$I$10:$I$3209,"&gt;="&amp;$A1263,Data!$I$10:$I$3209,"&lt;"&amp;$A1263+1)/$AF1263)))</f>
        <v/>
      </c>
      <c r="F1263" s="56">
        <f>IF($B1263=0,"",IF(Inputs!$B$9="","",IF($AG1263=0,F1262,SUMIFS(Data!$N$10:$N$3209,Data!$M$10:$M$3209,"&gt;="&amp;$A1263,Data!$M$10:$M$3209,"&lt;"&amp;$A1263+1)/$AG1263)))</f>
        <v/>
      </c>
      <c r="G1263" s="56">
        <f>IF($B1263=0,"",IF(Inputs!$B$10="","",IF($AH1263=0,G1262,SUMIFS(Data!$R$10:$R$3209,Data!$Q$10:$Q$3209,"&gt;="&amp;$A1263,Data!$Q$10:$Q$3209,"&lt;"&amp;$A1263+1)/$AH1263)))</f>
        <v/>
      </c>
      <c r="I1263" s="54">
        <f>IF($B1263=0,NA(),IF($C1263="",NA(),IF(C$8="",NA(),IF(N(C$8)=0,NA(),IF(Inputs!$C$17="Rebased to 100",$C1263/C$8*100,$C1263)))))</f>
        <v/>
      </c>
      <c r="J1263" s="54">
        <f>IF($B1263=0,NA(),IF($D1263="",NA(),IF(D$8="",NA(),IF(N(D$8)=0,NA(),IF(Inputs!$C$17="Rebased to 100",$D1263/D$8*100,$D1263)))))</f>
        <v/>
      </c>
      <c r="K1263" s="54">
        <f>IF($B1263=0,NA(),IF($E1263="",NA(),IF(E$8="",NA(),IF(N(E$8)=0,NA(),IF(Inputs!$C$17="Rebased to 100",$E1263/E$8*100,$E1263)))))</f>
        <v/>
      </c>
      <c r="L1263" s="54">
        <f>IF($B1263=0,NA(),IF($F1263="",NA(),IF(F$8="",NA(),IF(N(F$8)=0,NA(),IF(Inputs!$C$17="Rebased to 100",$F1263/F$8*100,$F1263)))))</f>
        <v/>
      </c>
      <c r="M1263" s="54">
        <f>IF($B1263=0,NA(),IF($G1263="",NA(),IF(G$8="",NA(),IF(N(G$8)=0,NA(),IF(Inputs!$C$17="Rebased to 100",$G1263/G$8*100,$G1263)))))</f>
        <v/>
      </c>
      <c r="N1263" s="54">
        <f>IF($B1263=0,NA(),IF(Inputs!$C$18&lt;&gt;"Yes",NA(),IF(COUNT(I1263,J1263,K1263,L1263,M1263)=0,NA(),MIN(I1263,J1263,K1263,L1263,M1263))))</f>
        <v/>
      </c>
      <c r="O1263" s="54">
        <f>IF($B1263=0,NA(),IF(Inputs!$B$24&lt;&gt;"Yes",NA(),Inputs!$D$24*Inputs!$C$35))</f>
        <v/>
      </c>
      <c r="P1263" s="54">
        <f>IF($B1263=0,NA(),IF(Inputs!$B$25&lt;&gt;"Yes",NA(),Inputs!$D$25*Inputs!$C$35))</f>
        <v/>
      </c>
      <c r="Q1263" s="54">
        <f>IF($B1263=0,NA(),IF(Inputs!$B$26&lt;&gt;"Yes",NA(),Inputs!$D$26*Inputs!$C$35))</f>
        <v/>
      </c>
      <c r="R1263" s="54">
        <f>IF($B1263=0,NA(),IF(Inputs!$B$27&lt;&gt;"Yes",NA(),Inputs!$D$27*Inputs!$C$35))</f>
        <v/>
      </c>
      <c r="S1263" s="54">
        <f>IF($B1263=0,NA(),IF(Inputs!$B$28&lt;&gt;"Yes",NA(),Inputs!$D$28*Inputs!$C$35))</f>
        <v/>
      </c>
      <c r="T1263" s="54">
        <f>IF($B1263=0,NA(),IF(Inputs!$B$29&lt;&gt;"Yes",NA(),Inputs!$D$29*Inputs!$C$35))</f>
        <v/>
      </c>
      <c r="AD1263">
        <f>IF($B1263=0,0,IF(Inputs!$B$6="",0,COUNTIFS(Data!$A$10:$A$3209,"&gt;="&amp;$A1263,Data!$A$10:$A$3209,"&lt;"&amp;$A1263+1)))</f>
        <v/>
      </c>
      <c r="AE1263">
        <f>IF($B1263=0,0,IF(Inputs!$B$7="",0,COUNTIFS(Data!$E$10:$E$3209,"&gt;="&amp;$A1263,Data!$E$10:$E$3209,"&lt;"&amp;$A1263+1)))</f>
        <v/>
      </c>
      <c r="AF1263">
        <f>IF($B1263=0,0,IF(Inputs!$B$8="",0,COUNTIFS(Data!$I$10:$I$3209,"&gt;="&amp;$A1263,Data!$I$10:$I$3209,"&lt;"&amp;$A1263+1)))</f>
        <v/>
      </c>
      <c r="AG1263">
        <f>IF($B1263=0,0,IF(Inputs!$B$9="",0,COUNTIFS(Data!$M$10:$M$3209,"&gt;="&amp;$A1263,Data!$M$10:$M$3209,"&lt;"&amp;$A1263+1)))</f>
        <v/>
      </c>
      <c r="AH1263">
        <f>IF($B1263=0,0,IF(Inputs!$B$10="",0,COUNTIFS(Data!$Q$10:$Q$3209,"&gt;="&amp;$A1263,Data!$Q$10:$Q$3209,"&lt;"&amp;$A1263+1)))</f>
        <v/>
      </c>
    </row>
    <row r="1264">
      <c r="A1264" s="55">
        <f>MIN(Inputs!$C$15,$A1263+IF(WEEKDAY($A1263,2)=5,3,1))</f>
        <v/>
      </c>
      <c r="B1264">
        <f>IF($A1264&gt;$A1263,1,0)</f>
        <v/>
      </c>
      <c r="C1264" s="56">
        <f>IF($B1264=0,"",IF(Inputs!$B$6="","",IF($AD1264=0,C1263,SUMIFS(Data!$B$10:$B$3209,Data!$A$10:$A$3209,"&gt;="&amp;$A1264,Data!$A$10:$A$3209,"&lt;"&amp;$A1264+1)/$AD1264)))</f>
        <v/>
      </c>
      <c r="D1264" s="56">
        <f>IF($B1264=0,"",IF(Inputs!$B$7="","",IF($AE1264=0,D1263,SUMIFS(Data!$F$10:$F$3209,Data!$E$10:$E$3209,"&gt;="&amp;$A1264,Data!$E$10:$E$3209,"&lt;"&amp;$A1264+1)/$AE1264)))</f>
        <v/>
      </c>
      <c r="E1264" s="56">
        <f>IF($B1264=0,"",IF(Inputs!$B$8="","",IF($AF1264=0,E1263,SUMIFS(Data!$J$10:$J$3209,Data!$I$10:$I$3209,"&gt;="&amp;$A1264,Data!$I$10:$I$3209,"&lt;"&amp;$A1264+1)/$AF1264)))</f>
        <v/>
      </c>
      <c r="F1264" s="56">
        <f>IF($B1264=0,"",IF(Inputs!$B$9="","",IF($AG1264=0,F1263,SUMIFS(Data!$N$10:$N$3209,Data!$M$10:$M$3209,"&gt;="&amp;$A1264,Data!$M$10:$M$3209,"&lt;"&amp;$A1264+1)/$AG1264)))</f>
        <v/>
      </c>
      <c r="G1264" s="56">
        <f>IF($B1264=0,"",IF(Inputs!$B$10="","",IF($AH1264=0,G1263,SUMIFS(Data!$R$10:$R$3209,Data!$Q$10:$Q$3209,"&gt;="&amp;$A1264,Data!$Q$10:$Q$3209,"&lt;"&amp;$A1264+1)/$AH1264)))</f>
        <v/>
      </c>
      <c r="I1264" s="54">
        <f>IF($B1264=0,NA(),IF($C1264="",NA(),IF(C$8="",NA(),IF(N(C$8)=0,NA(),IF(Inputs!$C$17="Rebased to 100",$C1264/C$8*100,$C1264)))))</f>
        <v/>
      </c>
      <c r="J1264" s="54">
        <f>IF($B1264=0,NA(),IF($D1264="",NA(),IF(D$8="",NA(),IF(N(D$8)=0,NA(),IF(Inputs!$C$17="Rebased to 100",$D1264/D$8*100,$D1264)))))</f>
        <v/>
      </c>
      <c r="K1264" s="54">
        <f>IF($B1264=0,NA(),IF($E1264="",NA(),IF(E$8="",NA(),IF(N(E$8)=0,NA(),IF(Inputs!$C$17="Rebased to 100",$E1264/E$8*100,$E1264)))))</f>
        <v/>
      </c>
      <c r="L1264" s="54">
        <f>IF($B1264=0,NA(),IF($F1264="",NA(),IF(F$8="",NA(),IF(N(F$8)=0,NA(),IF(Inputs!$C$17="Rebased to 100",$F1264/F$8*100,$F1264)))))</f>
        <v/>
      </c>
      <c r="M1264" s="54">
        <f>IF($B1264=0,NA(),IF($G1264="",NA(),IF(G$8="",NA(),IF(N(G$8)=0,NA(),IF(Inputs!$C$17="Rebased to 100",$G1264/G$8*100,$G1264)))))</f>
        <v/>
      </c>
      <c r="N1264" s="54">
        <f>IF($B1264=0,NA(),IF(Inputs!$C$18&lt;&gt;"Yes",NA(),IF(COUNT(I1264,J1264,K1264,L1264,M1264)=0,NA(),MIN(I1264,J1264,K1264,L1264,M1264))))</f>
        <v/>
      </c>
      <c r="O1264" s="54">
        <f>IF($B1264=0,NA(),IF(Inputs!$B$24&lt;&gt;"Yes",NA(),Inputs!$D$24*Inputs!$C$35))</f>
        <v/>
      </c>
      <c r="P1264" s="54">
        <f>IF($B1264=0,NA(),IF(Inputs!$B$25&lt;&gt;"Yes",NA(),Inputs!$D$25*Inputs!$C$35))</f>
        <v/>
      </c>
      <c r="Q1264" s="54">
        <f>IF($B1264=0,NA(),IF(Inputs!$B$26&lt;&gt;"Yes",NA(),Inputs!$D$26*Inputs!$C$35))</f>
        <v/>
      </c>
      <c r="R1264" s="54">
        <f>IF($B1264=0,NA(),IF(Inputs!$B$27&lt;&gt;"Yes",NA(),Inputs!$D$27*Inputs!$C$35))</f>
        <v/>
      </c>
      <c r="S1264" s="54">
        <f>IF($B1264=0,NA(),IF(Inputs!$B$28&lt;&gt;"Yes",NA(),Inputs!$D$28*Inputs!$C$35))</f>
        <v/>
      </c>
      <c r="T1264" s="54">
        <f>IF($B1264=0,NA(),IF(Inputs!$B$29&lt;&gt;"Yes",NA(),Inputs!$D$29*Inputs!$C$35))</f>
        <v/>
      </c>
      <c r="AD1264">
        <f>IF($B1264=0,0,IF(Inputs!$B$6="",0,COUNTIFS(Data!$A$10:$A$3209,"&gt;="&amp;$A1264,Data!$A$10:$A$3209,"&lt;"&amp;$A1264+1)))</f>
        <v/>
      </c>
      <c r="AE1264">
        <f>IF($B1264=0,0,IF(Inputs!$B$7="",0,COUNTIFS(Data!$E$10:$E$3209,"&gt;="&amp;$A1264,Data!$E$10:$E$3209,"&lt;"&amp;$A1264+1)))</f>
        <v/>
      </c>
      <c r="AF1264">
        <f>IF($B1264=0,0,IF(Inputs!$B$8="",0,COUNTIFS(Data!$I$10:$I$3209,"&gt;="&amp;$A1264,Data!$I$10:$I$3209,"&lt;"&amp;$A1264+1)))</f>
        <v/>
      </c>
      <c r="AG1264">
        <f>IF($B1264=0,0,IF(Inputs!$B$9="",0,COUNTIFS(Data!$M$10:$M$3209,"&gt;="&amp;$A1264,Data!$M$10:$M$3209,"&lt;"&amp;$A1264+1)))</f>
        <v/>
      </c>
      <c r="AH1264">
        <f>IF($B1264=0,0,IF(Inputs!$B$10="",0,COUNTIFS(Data!$Q$10:$Q$3209,"&gt;="&amp;$A1264,Data!$Q$10:$Q$3209,"&lt;"&amp;$A1264+1)))</f>
        <v/>
      </c>
    </row>
    <row r="1265">
      <c r="A1265" s="55">
        <f>MIN(Inputs!$C$15,$A1264+IF(WEEKDAY($A1264,2)=5,3,1))</f>
        <v/>
      </c>
      <c r="B1265">
        <f>IF($A1265&gt;$A1264,1,0)</f>
        <v/>
      </c>
      <c r="C1265" s="56">
        <f>IF($B1265=0,"",IF(Inputs!$B$6="","",IF($AD1265=0,C1264,SUMIFS(Data!$B$10:$B$3209,Data!$A$10:$A$3209,"&gt;="&amp;$A1265,Data!$A$10:$A$3209,"&lt;"&amp;$A1265+1)/$AD1265)))</f>
        <v/>
      </c>
      <c r="D1265" s="56">
        <f>IF($B1265=0,"",IF(Inputs!$B$7="","",IF($AE1265=0,D1264,SUMIFS(Data!$F$10:$F$3209,Data!$E$10:$E$3209,"&gt;="&amp;$A1265,Data!$E$10:$E$3209,"&lt;"&amp;$A1265+1)/$AE1265)))</f>
        <v/>
      </c>
      <c r="E1265" s="56">
        <f>IF($B1265=0,"",IF(Inputs!$B$8="","",IF($AF1265=0,E1264,SUMIFS(Data!$J$10:$J$3209,Data!$I$10:$I$3209,"&gt;="&amp;$A1265,Data!$I$10:$I$3209,"&lt;"&amp;$A1265+1)/$AF1265)))</f>
        <v/>
      </c>
      <c r="F1265" s="56">
        <f>IF($B1265=0,"",IF(Inputs!$B$9="","",IF($AG1265=0,F1264,SUMIFS(Data!$N$10:$N$3209,Data!$M$10:$M$3209,"&gt;="&amp;$A1265,Data!$M$10:$M$3209,"&lt;"&amp;$A1265+1)/$AG1265)))</f>
        <v/>
      </c>
      <c r="G1265" s="56">
        <f>IF($B1265=0,"",IF(Inputs!$B$10="","",IF($AH1265=0,G1264,SUMIFS(Data!$R$10:$R$3209,Data!$Q$10:$Q$3209,"&gt;="&amp;$A1265,Data!$Q$10:$Q$3209,"&lt;"&amp;$A1265+1)/$AH1265)))</f>
        <v/>
      </c>
      <c r="I1265" s="54">
        <f>IF($B1265=0,NA(),IF($C1265="",NA(),IF(C$8="",NA(),IF(N(C$8)=0,NA(),IF(Inputs!$C$17="Rebased to 100",$C1265/C$8*100,$C1265)))))</f>
        <v/>
      </c>
      <c r="J1265" s="54">
        <f>IF($B1265=0,NA(),IF($D1265="",NA(),IF(D$8="",NA(),IF(N(D$8)=0,NA(),IF(Inputs!$C$17="Rebased to 100",$D1265/D$8*100,$D1265)))))</f>
        <v/>
      </c>
      <c r="K1265" s="54">
        <f>IF($B1265=0,NA(),IF($E1265="",NA(),IF(E$8="",NA(),IF(N(E$8)=0,NA(),IF(Inputs!$C$17="Rebased to 100",$E1265/E$8*100,$E1265)))))</f>
        <v/>
      </c>
      <c r="L1265" s="54">
        <f>IF($B1265=0,NA(),IF($F1265="",NA(),IF(F$8="",NA(),IF(N(F$8)=0,NA(),IF(Inputs!$C$17="Rebased to 100",$F1265/F$8*100,$F1265)))))</f>
        <v/>
      </c>
      <c r="M1265" s="54">
        <f>IF($B1265=0,NA(),IF($G1265="",NA(),IF(G$8="",NA(),IF(N(G$8)=0,NA(),IF(Inputs!$C$17="Rebased to 100",$G1265/G$8*100,$G1265)))))</f>
        <v/>
      </c>
      <c r="N1265" s="54">
        <f>IF($B1265=0,NA(),IF(Inputs!$C$18&lt;&gt;"Yes",NA(),IF(COUNT(I1265,J1265,K1265,L1265,M1265)=0,NA(),MIN(I1265,J1265,K1265,L1265,M1265))))</f>
        <v/>
      </c>
      <c r="O1265" s="54">
        <f>IF($B1265=0,NA(),IF(Inputs!$B$24&lt;&gt;"Yes",NA(),Inputs!$D$24*Inputs!$C$35))</f>
        <v/>
      </c>
      <c r="P1265" s="54">
        <f>IF($B1265=0,NA(),IF(Inputs!$B$25&lt;&gt;"Yes",NA(),Inputs!$D$25*Inputs!$C$35))</f>
        <v/>
      </c>
      <c r="Q1265" s="54">
        <f>IF($B1265=0,NA(),IF(Inputs!$B$26&lt;&gt;"Yes",NA(),Inputs!$D$26*Inputs!$C$35))</f>
        <v/>
      </c>
      <c r="R1265" s="54">
        <f>IF($B1265=0,NA(),IF(Inputs!$B$27&lt;&gt;"Yes",NA(),Inputs!$D$27*Inputs!$C$35))</f>
        <v/>
      </c>
      <c r="S1265" s="54">
        <f>IF($B1265=0,NA(),IF(Inputs!$B$28&lt;&gt;"Yes",NA(),Inputs!$D$28*Inputs!$C$35))</f>
        <v/>
      </c>
      <c r="T1265" s="54">
        <f>IF($B1265=0,NA(),IF(Inputs!$B$29&lt;&gt;"Yes",NA(),Inputs!$D$29*Inputs!$C$35))</f>
        <v/>
      </c>
      <c r="AD1265">
        <f>IF($B1265=0,0,IF(Inputs!$B$6="",0,COUNTIFS(Data!$A$10:$A$3209,"&gt;="&amp;$A1265,Data!$A$10:$A$3209,"&lt;"&amp;$A1265+1)))</f>
        <v/>
      </c>
      <c r="AE1265">
        <f>IF($B1265=0,0,IF(Inputs!$B$7="",0,COUNTIFS(Data!$E$10:$E$3209,"&gt;="&amp;$A1265,Data!$E$10:$E$3209,"&lt;"&amp;$A1265+1)))</f>
        <v/>
      </c>
      <c r="AF1265">
        <f>IF($B1265=0,0,IF(Inputs!$B$8="",0,COUNTIFS(Data!$I$10:$I$3209,"&gt;="&amp;$A1265,Data!$I$10:$I$3209,"&lt;"&amp;$A1265+1)))</f>
        <v/>
      </c>
      <c r="AG1265">
        <f>IF($B1265=0,0,IF(Inputs!$B$9="",0,COUNTIFS(Data!$M$10:$M$3209,"&gt;="&amp;$A1265,Data!$M$10:$M$3209,"&lt;"&amp;$A1265+1)))</f>
        <v/>
      </c>
      <c r="AH1265">
        <f>IF($B1265=0,0,IF(Inputs!$B$10="",0,COUNTIFS(Data!$Q$10:$Q$3209,"&gt;="&amp;$A1265,Data!$Q$10:$Q$3209,"&lt;"&amp;$A1265+1)))</f>
        <v/>
      </c>
    </row>
    <row r="1266">
      <c r="A1266" s="55">
        <f>MIN(Inputs!$C$15,$A1265+IF(WEEKDAY($A1265,2)=5,3,1))</f>
        <v/>
      </c>
      <c r="B1266">
        <f>IF($A1266&gt;$A1265,1,0)</f>
        <v/>
      </c>
      <c r="C1266" s="56">
        <f>IF($B1266=0,"",IF(Inputs!$B$6="","",IF($AD1266=0,C1265,SUMIFS(Data!$B$10:$B$3209,Data!$A$10:$A$3209,"&gt;="&amp;$A1266,Data!$A$10:$A$3209,"&lt;"&amp;$A1266+1)/$AD1266)))</f>
        <v/>
      </c>
      <c r="D1266" s="56">
        <f>IF($B1266=0,"",IF(Inputs!$B$7="","",IF($AE1266=0,D1265,SUMIFS(Data!$F$10:$F$3209,Data!$E$10:$E$3209,"&gt;="&amp;$A1266,Data!$E$10:$E$3209,"&lt;"&amp;$A1266+1)/$AE1266)))</f>
        <v/>
      </c>
      <c r="E1266" s="56">
        <f>IF($B1266=0,"",IF(Inputs!$B$8="","",IF($AF1266=0,E1265,SUMIFS(Data!$J$10:$J$3209,Data!$I$10:$I$3209,"&gt;="&amp;$A1266,Data!$I$10:$I$3209,"&lt;"&amp;$A1266+1)/$AF1266)))</f>
        <v/>
      </c>
      <c r="F1266" s="56">
        <f>IF($B1266=0,"",IF(Inputs!$B$9="","",IF($AG1266=0,F1265,SUMIFS(Data!$N$10:$N$3209,Data!$M$10:$M$3209,"&gt;="&amp;$A1266,Data!$M$10:$M$3209,"&lt;"&amp;$A1266+1)/$AG1266)))</f>
        <v/>
      </c>
      <c r="G1266" s="56">
        <f>IF($B1266=0,"",IF(Inputs!$B$10="","",IF($AH1266=0,G1265,SUMIFS(Data!$R$10:$R$3209,Data!$Q$10:$Q$3209,"&gt;="&amp;$A1266,Data!$Q$10:$Q$3209,"&lt;"&amp;$A1266+1)/$AH1266)))</f>
        <v/>
      </c>
      <c r="I1266" s="54">
        <f>IF($B1266=0,NA(),IF($C1266="",NA(),IF(C$8="",NA(),IF(N(C$8)=0,NA(),IF(Inputs!$C$17="Rebased to 100",$C1266/C$8*100,$C1266)))))</f>
        <v/>
      </c>
      <c r="J1266" s="54">
        <f>IF($B1266=0,NA(),IF($D1266="",NA(),IF(D$8="",NA(),IF(N(D$8)=0,NA(),IF(Inputs!$C$17="Rebased to 100",$D1266/D$8*100,$D1266)))))</f>
        <v/>
      </c>
      <c r="K1266" s="54">
        <f>IF($B1266=0,NA(),IF($E1266="",NA(),IF(E$8="",NA(),IF(N(E$8)=0,NA(),IF(Inputs!$C$17="Rebased to 100",$E1266/E$8*100,$E1266)))))</f>
        <v/>
      </c>
      <c r="L1266" s="54">
        <f>IF($B1266=0,NA(),IF($F1266="",NA(),IF(F$8="",NA(),IF(N(F$8)=0,NA(),IF(Inputs!$C$17="Rebased to 100",$F1266/F$8*100,$F1266)))))</f>
        <v/>
      </c>
      <c r="M1266" s="54">
        <f>IF($B1266=0,NA(),IF($G1266="",NA(),IF(G$8="",NA(),IF(N(G$8)=0,NA(),IF(Inputs!$C$17="Rebased to 100",$G1266/G$8*100,$G1266)))))</f>
        <v/>
      </c>
      <c r="N1266" s="54">
        <f>IF($B1266=0,NA(),IF(Inputs!$C$18&lt;&gt;"Yes",NA(),IF(COUNT(I1266,J1266,K1266,L1266,M1266)=0,NA(),MIN(I1266,J1266,K1266,L1266,M1266))))</f>
        <v/>
      </c>
      <c r="O1266" s="54">
        <f>IF($B1266=0,NA(),IF(Inputs!$B$24&lt;&gt;"Yes",NA(),Inputs!$D$24*Inputs!$C$35))</f>
        <v/>
      </c>
      <c r="P1266" s="54">
        <f>IF($B1266=0,NA(),IF(Inputs!$B$25&lt;&gt;"Yes",NA(),Inputs!$D$25*Inputs!$C$35))</f>
        <v/>
      </c>
      <c r="Q1266" s="54">
        <f>IF($B1266=0,NA(),IF(Inputs!$B$26&lt;&gt;"Yes",NA(),Inputs!$D$26*Inputs!$C$35))</f>
        <v/>
      </c>
      <c r="R1266" s="54">
        <f>IF($B1266=0,NA(),IF(Inputs!$B$27&lt;&gt;"Yes",NA(),Inputs!$D$27*Inputs!$C$35))</f>
        <v/>
      </c>
      <c r="S1266" s="54">
        <f>IF($B1266=0,NA(),IF(Inputs!$B$28&lt;&gt;"Yes",NA(),Inputs!$D$28*Inputs!$C$35))</f>
        <v/>
      </c>
      <c r="T1266" s="54">
        <f>IF($B1266=0,NA(),IF(Inputs!$B$29&lt;&gt;"Yes",NA(),Inputs!$D$29*Inputs!$C$35))</f>
        <v/>
      </c>
      <c r="AD1266">
        <f>IF($B1266=0,0,IF(Inputs!$B$6="",0,COUNTIFS(Data!$A$10:$A$3209,"&gt;="&amp;$A1266,Data!$A$10:$A$3209,"&lt;"&amp;$A1266+1)))</f>
        <v/>
      </c>
      <c r="AE1266">
        <f>IF($B1266=0,0,IF(Inputs!$B$7="",0,COUNTIFS(Data!$E$10:$E$3209,"&gt;="&amp;$A1266,Data!$E$10:$E$3209,"&lt;"&amp;$A1266+1)))</f>
        <v/>
      </c>
      <c r="AF1266">
        <f>IF($B1266=0,0,IF(Inputs!$B$8="",0,COUNTIFS(Data!$I$10:$I$3209,"&gt;="&amp;$A1266,Data!$I$10:$I$3209,"&lt;"&amp;$A1266+1)))</f>
        <v/>
      </c>
      <c r="AG1266">
        <f>IF($B1266=0,0,IF(Inputs!$B$9="",0,COUNTIFS(Data!$M$10:$M$3209,"&gt;="&amp;$A1266,Data!$M$10:$M$3209,"&lt;"&amp;$A1266+1)))</f>
        <v/>
      </c>
      <c r="AH1266">
        <f>IF($B1266=0,0,IF(Inputs!$B$10="",0,COUNTIFS(Data!$Q$10:$Q$3209,"&gt;="&amp;$A1266,Data!$Q$10:$Q$3209,"&lt;"&amp;$A1266+1)))</f>
        <v/>
      </c>
    </row>
    <row r="1267">
      <c r="A1267" s="55">
        <f>MIN(Inputs!$C$15,$A1266+IF(WEEKDAY($A1266,2)=5,3,1))</f>
        <v/>
      </c>
      <c r="B1267">
        <f>IF($A1267&gt;$A1266,1,0)</f>
        <v/>
      </c>
      <c r="C1267" s="56">
        <f>IF($B1267=0,"",IF(Inputs!$B$6="","",IF($AD1267=0,C1266,SUMIFS(Data!$B$10:$B$3209,Data!$A$10:$A$3209,"&gt;="&amp;$A1267,Data!$A$10:$A$3209,"&lt;"&amp;$A1267+1)/$AD1267)))</f>
        <v/>
      </c>
      <c r="D1267" s="56">
        <f>IF($B1267=0,"",IF(Inputs!$B$7="","",IF($AE1267=0,D1266,SUMIFS(Data!$F$10:$F$3209,Data!$E$10:$E$3209,"&gt;="&amp;$A1267,Data!$E$10:$E$3209,"&lt;"&amp;$A1267+1)/$AE1267)))</f>
        <v/>
      </c>
      <c r="E1267" s="56">
        <f>IF($B1267=0,"",IF(Inputs!$B$8="","",IF($AF1267=0,E1266,SUMIFS(Data!$J$10:$J$3209,Data!$I$10:$I$3209,"&gt;="&amp;$A1267,Data!$I$10:$I$3209,"&lt;"&amp;$A1267+1)/$AF1267)))</f>
        <v/>
      </c>
      <c r="F1267" s="56">
        <f>IF($B1267=0,"",IF(Inputs!$B$9="","",IF($AG1267=0,F1266,SUMIFS(Data!$N$10:$N$3209,Data!$M$10:$M$3209,"&gt;="&amp;$A1267,Data!$M$10:$M$3209,"&lt;"&amp;$A1267+1)/$AG1267)))</f>
        <v/>
      </c>
      <c r="G1267" s="56">
        <f>IF($B1267=0,"",IF(Inputs!$B$10="","",IF($AH1267=0,G1266,SUMIFS(Data!$R$10:$R$3209,Data!$Q$10:$Q$3209,"&gt;="&amp;$A1267,Data!$Q$10:$Q$3209,"&lt;"&amp;$A1267+1)/$AH1267)))</f>
        <v/>
      </c>
      <c r="I1267" s="54">
        <f>IF($B1267=0,NA(),IF($C1267="",NA(),IF(C$8="",NA(),IF(N(C$8)=0,NA(),IF(Inputs!$C$17="Rebased to 100",$C1267/C$8*100,$C1267)))))</f>
        <v/>
      </c>
      <c r="J1267" s="54">
        <f>IF($B1267=0,NA(),IF($D1267="",NA(),IF(D$8="",NA(),IF(N(D$8)=0,NA(),IF(Inputs!$C$17="Rebased to 100",$D1267/D$8*100,$D1267)))))</f>
        <v/>
      </c>
      <c r="K1267" s="54">
        <f>IF($B1267=0,NA(),IF($E1267="",NA(),IF(E$8="",NA(),IF(N(E$8)=0,NA(),IF(Inputs!$C$17="Rebased to 100",$E1267/E$8*100,$E1267)))))</f>
        <v/>
      </c>
      <c r="L1267" s="54">
        <f>IF($B1267=0,NA(),IF($F1267="",NA(),IF(F$8="",NA(),IF(N(F$8)=0,NA(),IF(Inputs!$C$17="Rebased to 100",$F1267/F$8*100,$F1267)))))</f>
        <v/>
      </c>
      <c r="M1267" s="54">
        <f>IF($B1267=0,NA(),IF($G1267="",NA(),IF(G$8="",NA(),IF(N(G$8)=0,NA(),IF(Inputs!$C$17="Rebased to 100",$G1267/G$8*100,$G1267)))))</f>
        <v/>
      </c>
      <c r="N1267" s="54">
        <f>IF($B1267=0,NA(),IF(Inputs!$C$18&lt;&gt;"Yes",NA(),IF(COUNT(I1267,J1267,K1267,L1267,M1267)=0,NA(),MIN(I1267,J1267,K1267,L1267,M1267))))</f>
        <v/>
      </c>
      <c r="O1267" s="54">
        <f>IF($B1267=0,NA(),IF(Inputs!$B$24&lt;&gt;"Yes",NA(),Inputs!$D$24*Inputs!$C$35))</f>
        <v/>
      </c>
      <c r="P1267" s="54">
        <f>IF($B1267=0,NA(),IF(Inputs!$B$25&lt;&gt;"Yes",NA(),Inputs!$D$25*Inputs!$C$35))</f>
        <v/>
      </c>
      <c r="Q1267" s="54">
        <f>IF($B1267=0,NA(),IF(Inputs!$B$26&lt;&gt;"Yes",NA(),Inputs!$D$26*Inputs!$C$35))</f>
        <v/>
      </c>
      <c r="R1267" s="54">
        <f>IF($B1267=0,NA(),IF(Inputs!$B$27&lt;&gt;"Yes",NA(),Inputs!$D$27*Inputs!$C$35))</f>
        <v/>
      </c>
      <c r="S1267" s="54">
        <f>IF($B1267=0,NA(),IF(Inputs!$B$28&lt;&gt;"Yes",NA(),Inputs!$D$28*Inputs!$C$35))</f>
        <v/>
      </c>
      <c r="T1267" s="54">
        <f>IF($B1267=0,NA(),IF(Inputs!$B$29&lt;&gt;"Yes",NA(),Inputs!$D$29*Inputs!$C$35))</f>
        <v/>
      </c>
      <c r="AD1267">
        <f>IF($B1267=0,0,IF(Inputs!$B$6="",0,COUNTIFS(Data!$A$10:$A$3209,"&gt;="&amp;$A1267,Data!$A$10:$A$3209,"&lt;"&amp;$A1267+1)))</f>
        <v/>
      </c>
      <c r="AE1267">
        <f>IF($B1267=0,0,IF(Inputs!$B$7="",0,COUNTIFS(Data!$E$10:$E$3209,"&gt;="&amp;$A1267,Data!$E$10:$E$3209,"&lt;"&amp;$A1267+1)))</f>
        <v/>
      </c>
      <c r="AF1267">
        <f>IF($B1267=0,0,IF(Inputs!$B$8="",0,COUNTIFS(Data!$I$10:$I$3209,"&gt;="&amp;$A1267,Data!$I$10:$I$3209,"&lt;"&amp;$A1267+1)))</f>
        <v/>
      </c>
      <c r="AG1267">
        <f>IF($B1267=0,0,IF(Inputs!$B$9="",0,COUNTIFS(Data!$M$10:$M$3209,"&gt;="&amp;$A1267,Data!$M$10:$M$3209,"&lt;"&amp;$A1267+1)))</f>
        <v/>
      </c>
      <c r="AH1267">
        <f>IF($B1267=0,0,IF(Inputs!$B$10="",0,COUNTIFS(Data!$Q$10:$Q$3209,"&gt;="&amp;$A1267,Data!$Q$10:$Q$3209,"&lt;"&amp;$A1267+1)))</f>
        <v/>
      </c>
    </row>
    <row r="1268">
      <c r="A1268" s="55">
        <f>MIN(Inputs!$C$15,$A1267+IF(WEEKDAY($A1267,2)=5,3,1))</f>
        <v/>
      </c>
      <c r="B1268">
        <f>IF($A1268&gt;$A1267,1,0)</f>
        <v/>
      </c>
      <c r="C1268" s="56">
        <f>IF($B1268=0,"",IF(Inputs!$B$6="","",IF($AD1268=0,C1267,SUMIFS(Data!$B$10:$B$3209,Data!$A$10:$A$3209,"&gt;="&amp;$A1268,Data!$A$10:$A$3209,"&lt;"&amp;$A1268+1)/$AD1268)))</f>
        <v/>
      </c>
      <c r="D1268" s="56">
        <f>IF($B1268=0,"",IF(Inputs!$B$7="","",IF($AE1268=0,D1267,SUMIFS(Data!$F$10:$F$3209,Data!$E$10:$E$3209,"&gt;="&amp;$A1268,Data!$E$10:$E$3209,"&lt;"&amp;$A1268+1)/$AE1268)))</f>
        <v/>
      </c>
      <c r="E1268" s="56">
        <f>IF($B1268=0,"",IF(Inputs!$B$8="","",IF($AF1268=0,E1267,SUMIFS(Data!$J$10:$J$3209,Data!$I$10:$I$3209,"&gt;="&amp;$A1268,Data!$I$10:$I$3209,"&lt;"&amp;$A1268+1)/$AF1268)))</f>
        <v/>
      </c>
      <c r="F1268" s="56">
        <f>IF($B1268=0,"",IF(Inputs!$B$9="","",IF($AG1268=0,F1267,SUMIFS(Data!$N$10:$N$3209,Data!$M$10:$M$3209,"&gt;="&amp;$A1268,Data!$M$10:$M$3209,"&lt;"&amp;$A1268+1)/$AG1268)))</f>
        <v/>
      </c>
      <c r="G1268" s="56">
        <f>IF($B1268=0,"",IF(Inputs!$B$10="","",IF($AH1268=0,G1267,SUMIFS(Data!$R$10:$R$3209,Data!$Q$10:$Q$3209,"&gt;="&amp;$A1268,Data!$Q$10:$Q$3209,"&lt;"&amp;$A1268+1)/$AH1268)))</f>
        <v/>
      </c>
      <c r="I1268" s="54">
        <f>IF($B1268=0,NA(),IF($C1268="",NA(),IF(C$8="",NA(),IF(N(C$8)=0,NA(),IF(Inputs!$C$17="Rebased to 100",$C1268/C$8*100,$C1268)))))</f>
        <v/>
      </c>
      <c r="J1268" s="54">
        <f>IF($B1268=0,NA(),IF($D1268="",NA(),IF(D$8="",NA(),IF(N(D$8)=0,NA(),IF(Inputs!$C$17="Rebased to 100",$D1268/D$8*100,$D1268)))))</f>
        <v/>
      </c>
      <c r="K1268" s="54">
        <f>IF($B1268=0,NA(),IF($E1268="",NA(),IF(E$8="",NA(),IF(N(E$8)=0,NA(),IF(Inputs!$C$17="Rebased to 100",$E1268/E$8*100,$E1268)))))</f>
        <v/>
      </c>
      <c r="L1268" s="54">
        <f>IF($B1268=0,NA(),IF($F1268="",NA(),IF(F$8="",NA(),IF(N(F$8)=0,NA(),IF(Inputs!$C$17="Rebased to 100",$F1268/F$8*100,$F1268)))))</f>
        <v/>
      </c>
      <c r="M1268" s="54">
        <f>IF($B1268=0,NA(),IF($G1268="",NA(),IF(G$8="",NA(),IF(N(G$8)=0,NA(),IF(Inputs!$C$17="Rebased to 100",$G1268/G$8*100,$G1268)))))</f>
        <v/>
      </c>
      <c r="N1268" s="54">
        <f>IF($B1268=0,NA(),IF(Inputs!$C$18&lt;&gt;"Yes",NA(),IF(COUNT(I1268,J1268,K1268,L1268,M1268)=0,NA(),MIN(I1268,J1268,K1268,L1268,M1268))))</f>
        <v/>
      </c>
      <c r="O1268" s="54">
        <f>IF($B1268=0,NA(),IF(Inputs!$B$24&lt;&gt;"Yes",NA(),Inputs!$D$24*Inputs!$C$35))</f>
        <v/>
      </c>
      <c r="P1268" s="54">
        <f>IF($B1268=0,NA(),IF(Inputs!$B$25&lt;&gt;"Yes",NA(),Inputs!$D$25*Inputs!$C$35))</f>
        <v/>
      </c>
      <c r="Q1268" s="54">
        <f>IF($B1268=0,NA(),IF(Inputs!$B$26&lt;&gt;"Yes",NA(),Inputs!$D$26*Inputs!$C$35))</f>
        <v/>
      </c>
      <c r="R1268" s="54">
        <f>IF($B1268=0,NA(),IF(Inputs!$B$27&lt;&gt;"Yes",NA(),Inputs!$D$27*Inputs!$C$35))</f>
        <v/>
      </c>
      <c r="S1268" s="54">
        <f>IF($B1268=0,NA(),IF(Inputs!$B$28&lt;&gt;"Yes",NA(),Inputs!$D$28*Inputs!$C$35))</f>
        <v/>
      </c>
      <c r="T1268" s="54">
        <f>IF($B1268=0,NA(),IF(Inputs!$B$29&lt;&gt;"Yes",NA(),Inputs!$D$29*Inputs!$C$35))</f>
        <v/>
      </c>
      <c r="AD1268">
        <f>IF($B1268=0,0,IF(Inputs!$B$6="",0,COUNTIFS(Data!$A$10:$A$3209,"&gt;="&amp;$A1268,Data!$A$10:$A$3209,"&lt;"&amp;$A1268+1)))</f>
        <v/>
      </c>
      <c r="AE1268">
        <f>IF($B1268=0,0,IF(Inputs!$B$7="",0,COUNTIFS(Data!$E$10:$E$3209,"&gt;="&amp;$A1268,Data!$E$10:$E$3209,"&lt;"&amp;$A1268+1)))</f>
        <v/>
      </c>
      <c r="AF1268">
        <f>IF($B1268=0,0,IF(Inputs!$B$8="",0,COUNTIFS(Data!$I$10:$I$3209,"&gt;="&amp;$A1268,Data!$I$10:$I$3209,"&lt;"&amp;$A1268+1)))</f>
        <v/>
      </c>
      <c r="AG1268">
        <f>IF($B1268=0,0,IF(Inputs!$B$9="",0,COUNTIFS(Data!$M$10:$M$3209,"&gt;="&amp;$A1268,Data!$M$10:$M$3209,"&lt;"&amp;$A1268+1)))</f>
        <v/>
      </c>
      <c r="AH1268">
        <f>IF($B1268=0,0,IF(Inputs!$B$10="",0,COUNTIFS(Data!$Q$10:$Q$3209,"&gt;="&amp;$A1268,Data!$Q$10:$Q$3209,"&lt;"&amp;$A1268+1)))</f>
        <v/>
      </c>
    </row>
    <row r="1269">
      <c r="A1269" s="55">
        <f>MIN(Inputs!$C$15,$A1268+IF(WEEKDAY($A1268,2)=5,3,1))</f>
        <v/>
      </c>
      <c r="B1269">
        <f>IF($A1269&gt;$A1268,1,0)</f>
        <v/>
      </c>
      <c r="C1269" s="56">
        <f>IF($B1269=0,"",IF(Inputs!$B$6="","",IF($AD1269=0,C1268,SUMIFS(Data!$B$10:$B$3209,Data!$A$10:$A$3209,"&gt;="&amp;$A1269,Data!$A$10:$A$3209,"&lt;"&amp;$A1269+1)/$AD1269)))</f>
        <v/>
      </c>
      <c r="D1269" s="56">
        <f>IF($B1269=0,"",IF(Inputs!$B$7="","",IF($AE1269=0,D1268,SUMIFS(Data!$F$10:$F$3209,Data!$E$10:$E$3209,"&gt;="&amp;$A1269,Data!$E$10:$E$3209,"&lt;"&amp;$A1269+1)/$AE1269)))</f>
        <v/>
      </c>
      <c r="E1269" s="56">
        <f>IF($B1269=0,"",IF(Inputs!$B$8="","",IF($AF1269=0,E1268,SUMIFS(Data!$J$10:$J$3209,Data!$I$10:$I$3209,"&gt;="&amp;$A1269,Data!$I$10:$I$3209,"&lt;"&amp;$A1269+1)/$AF1269)))</f>
        <v/>
      </c>
      <c r="F1269" s="56">
        <f>IF($B1269=0,"",IF(Inputs!$B$9="","",IF($AG1269=0,F1268,SUMIFS(Data!$N$10:$N$3209,Data!$M$10:$M$3209,"&gt;="&amp;$A1269,Data!$M$10:$M$3209,"&lt;"&amp;$A1269+1)/$AG1269)))</f>
        <v/>
      </c>
      <c r="G1269" s="56">
        <f>IF($B1269=0,"",IF(Inputs!$B$10="","",IF($AH1269=0,G1268,SUMIFS(Data!$R$10:$R$3209,Data!$Q$10:$Q$3209,"&gt;="&amp;$A1269,Data!$Q$10:$Q$3209,"&lt;"&amp;$A1269+1)/$AH1269)))</f>
        <v/>
      </c>
      <c r="I1269" s="54">
        <f>IF($B1269=0,NA(),IF($C1269="",NA(),IF(C$8="",NA(),IF(N(C$8)=0,NA(),IF(Inputs!$C$17="Rebased to 100",$C1269/C$8*100,$C1269)))))</f>
        <v/>
      </c>
      <c r="J1269" s="54">
        <f>IF($B1269=0,NA(),IF($D1269="",NA(),IF(D$8="",NA(),IF(N(D$8)=0,NA(),IF(Inputs!$C$17="Rebased to 100",$D1269/D$8*100,$D1269)))))</f>
        <v/>
      </c>
      <c r="K1269" s="54">
        <f>IF($B1269=0,NA(),IF($E1269="",NA(),IF(E$8="",NA(),IF(N(E$8)=0,NA(),IF(Inputs!$C$17="Rebased to 100",$E1269/E$8*100,$E1269)))))</f>
        <v/>
      </c>
      <c r="L1269" s="54">
        <f>IF($B1269=0,NA(),IF($F1269="",NA(),IF(F$8="",NA(),IF(N(F$8)=0,NA(),IF(Inputs!$C$17="Rebased to 100",$F1269/F$8*100,$F1269)))))</f>
        <v/>
      </c>
      <c r="M1269" s="54">
        <f>IF($B1269=0,NA(),IF($G1269="",NA(),IF(G$8="",NA(),IF(N(G$8)=0,NA(),IF(Inputs!$C$17="Rebased to 100",$G1269/G$8*100,$G1269)))))</f>
        <v/>
      </c>
      <c r="N1269" s="54">
        <f>IF($B1269=0,NA(),IF(Inputs!$C$18&lt;&gt;"Yes",NA(),IF(COUNT(I1269,J1269,K1269,L1269,M1269)=0,NA(),MIN(I1269,J1269,K1269,L1269,M1269))))</f>
        <v/>
      </c>
      <c r="O1269" s="54">
        <f>IF($B1269=0,NA(),IF(Inputs!$B$24&lt;&gt;"Yes",NA(),Inputs!$D$24*Inputs!$C$35))</f>
        <v/>
      </c>
      <c r="P1269" s="54">
        <f>IF($B1269=0,NA(),IF(Inputs!$B$25&lt;&gt;"Yes",NA(),Inputs!$D$25*Inputs!$C$35))</f>
        <v/>
      </c>
      <c r="Q1269" s="54">
        <f>IF($B1269=0,NA(),IF(Inputs!$B$26&lt;&gt;"Yes",NA(),Inputs!$D$26*Inputs!$C$35))</f>
        <v/>
      </c>
      <c r="R1269" s="54">
        <f>IF($B1269=0,NA(),IF(Inputs!$B$27&lt;&gt;"Yes",NA(),Inputs!$D$27*Inputs!$C$35))</f>
        <v/>
      </c>
      <c r="S1269" s="54">
        <f>IF($B1269=0,NA(),IF(Inputs!$B$28&lt;&gt;"Yes",NA(),Inputs!$D$28*Inputs!$C$35))</f>
        <v/>
      </c>
      <c r="T1269" s="54">
        <f>IF($B1269=0,NA(),IF(Inputs!$B$29&lt;&gt;"Yes",NA(),Inputs!$D$29*Inputs!$C$35))</f>
        <v/>
      </c>
      <c r="AD1269">
        <f>IF($B1269=0,0,IF(Inputs!$B$6="",0,COUNTIFS(Data!$A$10:$A$3209,"&gt;="&amp;$A1269,Data!$A$10:$A$3209,"&lt;"&amp;$A1269+1)))</f>
        <v/>
      </c>
      <c r="AE1269">
        <f>IF($B1269=0,0,IF(Inputs!$B$7="",0,COUNTIFS(Data!$E$10:$E$3209,"&gt;="&amp;$A1269,Data!$E$10:$E$3209,"&lt;"&amp;$A1269+1)))</f>
        <v/>
      </c>
      <c r="AF1269">
        <f>IF($B1269=0,0,IF(Inputs!$B$8="",0,COUNTIFS(Data!$I$10:$I$3209,"&gt;="&amp;$A1269,Data!$I$10:$I$3209,"&lt;"&amp;$A1269+1)))</f>
        <v/>
      </c>
      <c r="AG1269">
        <f>IF($B1269=0,0,IF(Inputs!$B$9="",0,COUNTIFS(Data!$M$10:$M$3209,"&gt;="&amp;$A1269,Data!$M$10:$M$3209,"&lt;"&amp;$A1269+1)))</f>
        <v/>
      </c>
      <c r="AH1269">
        <f>IF($B1269=0,0,IF(Inputs!$B$10="",0,COUNTIFS(Data!$Q$10:$Q$3209,"&gt;="&amp;$A1269,Data!$Q$10:$Q$3209,"&lt;"&amp;$A1269+1)))</f>
        <v/>
      </c>
    </row>
    <row r="1270">
      <c r="A1270" s="55">
        <f>MIN(Inputs!$C$15,$A1269+IF(WEEKDAY($A1269,2)=5,3,1))</f>
        <v/>
      </c>
      <c r="B1270">
        <f>IF($A1270&gt;$A1269,1,0)</f>
        <v/>
      </c>
      <c r="C1270" s="56">
        <f>IF($B1270=0,"",IF(Inputs!$B$6="","",IF($AD1270=0,C1269,SUMIFS(Data!$B$10:$B$3209,Data!$A$10:$A$3209,"&gt;="&amp;$A1270,Data!$A$10:$A$3209,"&lt;"&amp;$A1270+1)/$AD1270)))</f>
        <v/>
      </c>
      <c r="D1270" s="56">
        <f>IF($B1270=0,"",IF(Inputs!$B$7="","",IF($AE1270=0,D1269,SUMIFS(Data!$F$10:$F$3209,Data!$E$10:$E$3209,"&gt;="&amp;$A1270,Data!$E$10:$E$3209,"&lt;"&amp;$A1270+1)/$AE1270)))</f>
        <v/>
      </c>
      <c r="E1270" s="56">
        <f>IF($B1270=0,"",IF(Inputs!$B$8="","",IF($AF1270=0,E1269,SUMIFS(Data!$J$10:$J$3209,Data!$I$10:$I$3209,"&gt;="&amp;$A1270,Data!$I$10:$I$3209,"&lt;"&amp;$A1270+1)/$AF1270)))</f>
        <v/>
      </c>
      <c r="F1270" s="56">
        <f>IF($B1270=0,"",IF(Inputs!$B$9="","",IF($AG1270=0,F1269,SUMIFS(Data!$N$10:$N$3209,Data!$M$10:$M$3209,"&gt;="&amp;$A1270,Data!$M$10:$M$3209,"&lt;"&amp;$A1270+1)/$AG1270)))</f>
        <v/>
      </c>
      <c r="G1270" s="56">
        <f>IF($B1270=0,"",IF(Inputs!$B$10="","",IF($AH1270=0,G1269,SUMIFS(Data!$R$10:$R$3209,Data!$Q$10:$Q$3209,"&gt;="&amp;$A1270,Data!$Q$10:$Q$3209,"&lt;"&amp;$A1270+1)/$AH1270)))</f>
        <v/>
      </c>
      <c r="I1270" s="54">
        <f>IF($B1270=0,NA(),IF($C1270="",NA(),IF(C$8="",NA(),IF(N(C$8)=0,NA(),IF(Inputs!$C$17="Rebased to 100",$C1270/C$8*100,$C1270)))))</f>
        <v/>
      </c>
      <c r="J1270" s="54">
        <f>IF($B1270=0,NA(),IF($D1270="",NA(),IF(D$8="",NA(),IF(N(D$8)=0,NA(),IF(Inputs!$C$17="Rebased to 100",$D1270/D$8*100,$D1270)))))</f>
        <v/>
      </c>
      <c r="K1270" s="54">
        <f>IF($B1270=0,NA(),IF($E1270="",NA(),IF(E$8="",NA(),IF(N(E$8)=0,NA(),IF(Inputs!$C$17="Rebased to 100",$E1270/E$8*100,$E1270)))))</f>
        <v/>
      </c>
      <c r="L1270" s="54">
        <f>IF($B1270=0,NA(),IF($F1270="",NA(),IF(F$8="",NA(),IF(N(F$8)=0,NA(),IF(Inputs!$C$17="Rebased to 100",$F1270/F$8*100,$F1270)))))</f>
        <v/>
      </c>
      <c r="M1270" s="54">
        <f>IF($B1270=0,NA(),IF($G1270="",NA(),IF(G$8="",NA(),IF(N(G$8)=0,NA(),IF(Inputs!$C$17="Rebased to 100",$G1270/G$8*100,$G1270)))))</f>
        <v/>
      </c>
      <c r="N1270" s="54">
        <f>IF($B1270=0,NA(),IF(Inputs!$C$18&lt;&gt;"Yes",NA(),IF(COUNT(I1270,J1270,K1270,L1270,M1270)=0,NA(),MIN(I1270,J1270,K1270,L1270,M1270))))</f>
        <v/>
      </c>
      <c r="O1270" s="54">
        <f>IF($B1270=0,NA(),IF(Inputs!$B$24&lt;&gt;"Yes",NA(),Inputs!$D$24*Inputs!$C$35))</f>
        <v/>
      </c>
      <c r="P1270" s="54">
        <f>IF($B1270=0,NA(),IF(Inputs!$B$25&lt;&gt;"Yes",NA(),Inputs!$D$25*Inputs!$C$35))</f>
        <v/>
      </c>
      <c r="Q1270" s="54">
        <f>IF($B1270=0,NA(),IF(Inputs!$B$26&lt;&gt;"Yes",NA(),Inputs!$D$26*Inputs!$C$35))</f>
        <v/>
      </c>
      <c r="R1270" s="54">
        <f>IF($B1270=0,NA(),IF(Inputs!$B$27&lt;&gt;"Yes",NA(),Inputs!$D$27*Inputs!$C$35))</f>
        <v/>
      </c>
      <c r="S1270" s="54">
        <f>IF($B1270=0,NA(),IF(Inputs!$B$28&lt;&gt;"Yes",NA(),Inputs!$D$28*Inputs!$C$35))</f>
        <v/>
      </c>
      <c r="T1270" s="54">
        <f>IF($B1270=0,NA(),IF(Inputs!$B$29&lt;&gt;"Yes",NA(),Inputs!$D$29*Inputs!$C$35))</f>
        <v/>
      </c>
      <c r="AD1270">
        <f>IF($B1270=0,0,IF(Inputs!$B$6="",0,COUNTIFS(Data!$A$10:$A$3209,"&gt;="&amp;$A1270,Data!$A$10:$A$3209,"&lt;"&amp;$A1270+1)))</f>
        <v/>
      </c>
      <c r="AE1270">
        <f>IF($B1270=0,0,IF(Inputs!$B$7="",0,COUNTIFS(Data!$E$10:$E$3209,"&gt;="&amp;$A1270,Data!$E$10:$E$3209,"&lt;"&amp;$A1270+1)))</f>
        <v/>
      </c>
      <c r="AF1270">
        <f>IF($B1270=0,0,IF(Inputs!$B$8="",0,COUNTIFS(Data!$I$10:$I$3209,"&gt;="&amp;$A1270,Data!$I$10:$I$3209,"&lt;"&amp;$A1270+1)))</f>
        <v/>
      </c>
      <c r="AG1270">
        <f>IF($B1270=0,0,IF(Inputs!$B$9="",0,COUNTIFS(Data!$M$10:$M$3209,"&gt;="&amp;$A1270,Data!$M$10:$M$3209,"&lt;"&amp;$A1270+1)))</f>
        <v/>
      </c>
      <c r="AH1270">
        <f>IF($B1270=0,0,IF(Inputs!$B$10="",0,COUNTIFS(Data!$Q$10:$Q$3209,"&gt;="&amp;$A1270,Data!$Q$10:$Q$3209,"&lt;"&amp;$A1270+1)))</f>
        <v/>
      </c>
    </row>
    <row r="1271">
      <c r="A1271" s="55">
        <f>MIN(Inputs!$C$15,$A1270+IF(WEEKDAY($A1270,2)=5,3,1))</f>
        <v/>
      </c>
      <c r="B1271">
        <f>IF($A1271&gt;$A1270,1,0)</f>
        <v/>
      </c>
      <c r="C1271" s="56">
        <f>IF($B1271=0,"",IF(Inputs!$B$6="","",IF($AD1271=0,C1270,SUMIFS(Data!$B$10:$B$3209,Data!$A$10:$A$3209,"&gt;="&amp;$A1271,Data!$A$10:$A$3209,"&lt;"&amp;$A1271+1)/$AD1271)))</f>
        <v/>
      </c>
      <c r="D1271" s="56">
        <f>IF($B1271=0,"",IF(Inputs!$B$7="","",IF($AE1271=0,D1270,SUMIFS(Data!$F$10:$F$3209,Data!$E$10:$E$3209,"&gt;="&amp;$A1271,Data!$E$10:$E$3209,"&lt;"&amp;$A1271+1)/$AE1271)))</f>
        <v/>
      </c>
      <c r="E1271" s="56">
        <f>IF($B1271=0,"",IF(Inputs!$B$8="","",IF($AF1271=0,E1270,SUMIFS(Data!$J$10:$J$3209,Data!$I$10:$I$3209,"&gt;="&amp;$A1271,Data!$I$10:$I$3209,"&lt;"&amp;$A1271+1)/$AF1271)))</f>
        <v/>
      </c>
      <c r="F1271" s="56">
        <f>IF($B1271=0,"",IF(Inputs!$B$9="","",IF($AG1271=0,F1270,SUMIFS(Data!$N$10:$N$3209,Data!$M$10:$M$3209,"&gt;="&amp;$A1271,Data!$M$10:$M$3209,"&lt;"&amp;$A1271+1)/$AG1271)))</f>
        <v/>
      </c>
      <c r="G1271" s="56">
        <f>IF($B1271=0,"",IF(Inputs!$B$10="","",IF($AH1271=0,G1270,SUMIFS(Data!$R$10:$R$3209,Data!$Q$10:$Q$3209,"&gt;="&amp;$A1271,Data!$Q$10:$Q$3209,"&lt;"&amp;$A1271+1)/$AH1271)))</f>
        <v/>
      </c>
      <c r="I1271" s="54">
        <f>IF($B1271=0,NA(),IF($C1271="",NA(),IF(C$8="",NA(),IF(N(C$8)=0,NA(),IF(Inputs!$C$17="Rebased to 100",$C1271/C$8*100,$C1271)))))</f>
        <v/>
      </c>
      <c r="J1271" s="54">
        <f>IF($B1271=0,NA(),IF($D1271="",NA(),IF(D$8="",NA(),IF(N(D$8)=0,NA(),IF(Inputs!$C$17="Rebased to 100",$D1271/D$8*100,$D1271)))))</f>
        <v/>
      </c>
      <c r="K1271" s="54">
        <f>IF($B1271=0,NA(),IF($E1271="",NA(),IF(E$8="",NA(),IF(N(E$8)=0,NA(),IF(Inputs!$C$17="Rebased to 100",$E1271/E$8*100,$E1271)))))</f>
        <v/>
      </c>
      <c r="L1271" s="54">
        <f>IF($B1271=0,NA(),IF($F1271="",NA(),IF(F$8="",NA(),IF(N(F$8)=0,NA(),IF(Inputs!$C$17="Rebased to 100",$F1271/F$8*100,$F1271)))))</f>
        <v/>
      </c>
      <c r="M1271" s="54">
        <f>IF($B1271=0,NA(),IF($G1271="",NA(),IF(G$8="",NA(),IF(N(G$8)=0,NA(),IF(Inputs!$C$17="Rebased to 100",$G1271/G$8*100,$G1271)))))</f>
        <v/>
      </c>
      <c r="N1271" s="54">
        <f>IF($B1271=0,NA(),IF(Inputs!$C$18&lt;&gt;"Yes",NA(),IF(COUNT(I1271,J1271,K1271,L1271,M1271)=0,NA(),MIN(I1271,J1271,K1271,L1271,M1271))))</f>
        <v/>
      </c>
      <c r="O1271" s="54">
        <f>IF($B1271=0,NA(),IF(Inputs!$B$24&lt;&gt;"Yes",NA(),Inputs!$D$24*Inputs!$C$35))</f>
        <v/>
      </c>
      <c r="P1271" s="54">
        <f>IF($B1271=0,NA(),IF(Inputs!$B$25&lt;&gt;"Yes",NA(),Inputs!$D$25*Inputs!$C$35))</f>
        <v/>
      </c>
      <c r="Q1271" s="54">
        <f>IF($B1271=0,NA(),IF(Inputs!$B$26&lt;&gt;"Yes",NA(),Inputs!$D$26*Inputs!$C$35))</f>
        <v/>
      </c>
      <c r="R1271" s="54">
        <f>IF($B1271=0,NA(),IF(Inputs!$B$27&lt;&gt;"Yes",NA(),Inputs!$D$27*Inputs!$C$35))</f>
        <v/>
      </c>
      <c r="S1271" s="54">
        <f>IF($B1271=0,NA(),IF(Inputs!$B$28&lt;&gt;"Yes",NA(),Inputs!$D$28*Inputs!$C$35))</f>
        <v/>
      </c>
      <c r="T1271" s="54">
        <f>IF($B1271=0,NA(),IF(Inputs!$B$29&lt;&gt;"Yes",NA(),Inputs!$D$29*Inputs!$C$35))</f>
        <v/>
      </c>
      <c r="AD1271">
        <f>IF($B1271=0,0,IF(Inputs!$B$6="",0,COUNTIFS(Data!$A$10:$A$3209,"&gt;="&amp;$A1271,Data!$A$10:$A$3209,"&lt;"&amp;$A1271+1)))</f>
        <v/>
      </c>
      <c r="AE1271">
        <f>IF($B1271=0,0,IF(Inputs!$B$7="",0,COUNTIFS(Data!$E$10:$E$3209,"&gt;="&amp;$A1271,Data!$E$10:$E$3209,"&lt;"&amp;$A1271+1)))</f>
        <v/>
      </c>
      <c r="AF1271">
        <f>IF($B1271=0,0,IF(Inputs!$B$8="",0,COUNTIFS(Data!$I$10:$I$3209,"&gt;="&amp;$A1271,Data!$I$10:$I$3209,"&lt;"&amp;$A1271+1)))</f>
        <v/>
      </c>
      <c r="AG1271">
        <f>IF($B1271=0,0,IF(Inputs!$B$9="",0,COUNTIFS(Data!$M$10:$M$3209,"&gt;="&amp;$A1271,Data!$M$10:$M$3209,"&lt;"&amp;$A1271+1)))</f>
        <v/>
      </c>
      <c r="AH1271">
        <f>IF($B1271=0,0,IF(Inputs!$B$10="",0,COUNTIFS(Data!$Q$10:$Q$3209,"&gt;="&amp;$A1271,Data!$Q$10:$Q$3209,"&lt;"&amp;$A1271+1)))</f>
        <v/>
      </c>
    </row>
    <row r="1272">
      <c r="A1272" s="55">
        <f>MIN(Inputs!$C$15,$A1271+IF(WEEKDAY($A1271,2)=5,3,1))</f>
        <v/>
      </c>
      <c r="B1272">
        <f>IF($A1272&gt;$A1271,1,0)</f>
        <v/>
      </c>
      <c r="C1272" s="56">
        <f>IF($B1272=0,"",IF(Inputs!$B$6="","",IF($AD1272=0,C1271,SUMIFS(Data!$B$10:$B$3209,Data!$A$10:$A$3209,"&gt;="&amp;$A1272,Data!$A$10:$A$3209,"&lt;"&amp;$A1272+1)/$AD1272)))</f>
        <v/>
      </c>
      <c r="D1272" s="56">
        <f>IF($B1272=0,"",IF(Inputs!$B$7="","",IF($AE1272=0,D1271,SUMIFS(Data!$F$10:$F$3209,Data!$E$10:$E$3209,"&gt;="&amp;$A1272,Data!$E$10:$E$3209,"&lt;"&amp;$A1272+1)/$AE1272)))</f>
        <v/>
      </c>
      <c r="E1272" s="56">
        <f>IF($B1272=0,"",IF(Inputs!$B$8="","",IF($AF1272=0,E1271,SUMIFS(Data!$J$10:$J$3209,Data!$I$10:$I$3209,"&gt;="&amp;$A1272,Data!$I$10:$I$3209,"&lt;"&amp;$A1272+1)/$AF1272)))</f>
        <v/>
      </c>
      <c r="F1272" s="56">
        <f>IF($B1272=0,"",IF(Inputs!$B$9="","",IF($AG1272=0,F1271,SUMIFS(Data!$N$10:$N$3209,Data!$M$10:$M$3209,"&gt;="&amp;$A1272,Data!$M$10:$M$3209,"&lt;"&amp;$A1272+1)/$AG1272)))</f>
        <v/>
      </c>
      <c r="G1272" s="56">
        <f>IF($B1272=0,"",IF(Inputs!$B$10="","",IF($AH1272=0,G1271,SUMIFS(Data!$R$10:$R$3209,Data!$Q$10:$Q$3209,"&gt;="&amp;$A1272,Data!$Q$10:$Q$3209,"&lt;"&amp;$A1272+1)/$AH1272)))</f>
        <v/>
      </c>
      <c r="I1272" s="54">
        <f>IF($B1272=0,NA(),IF($C1272="",NA(),IF(C$8="",NA(),IF(N(C$8)=0,NA(),IF(Inputs!$C$17="Rebased to 100",$C1272/C$8*100,$C1272)))))</f>
        <v/>
      </c>
      <c r="J1272" s="54">
        <f>IF($B1272=0,NA(),IF($D1272="",NA(),IF(D$8="",NA(),IF(N(D$8)=0,NA(),IF(Inputs!$C$17="Rebased to 100",$D1272/D$8*100,$D1272)))))</f>
        <v/>
      </c>
      <c r="K1272" s="54">
        <f>IF($B1272=0,NA(),IF($E1272="",NA(),IF(E$8="",NA(),IF(N(E$8)=0,NA(),IF(Inputs!$C$17="Rebased to 100",$E1272/E$8*100,$E1272)))))</f>
        <v/>
      </c>
      <c r="L1272" s="54">
        <f>IF($B1272=0,NA(),IF($F1272="",NA(),IF(F$8="",NA(),IF(N(F$8)=0,NA(),IF(Inputs!$C$17="Rebased to 100",$F1272/F$8*100,$F1272)))))</f>
        <v/>
      </c>
      <c r="M1272" s="54">
        <f>IF($B1272=0,NA(),IF($G1272="",NA(),IF(G$8="",NA(),IF(N(G$8)=0,NA(),IF(Inputs!$C$17="Rebased to 100",$G1272/G$8*100,$G1272)))))</f>
        <v/>
      </c>
      <c r="N1272" s="54">
        <f>IF($B1272=0,NA(),IF(Inputs!$C$18&lt;&gt;"Yes",NA(),IF(COUNT(I1272,J1272,K1272,L1272,M1272)=0,NA(),MIN(I1272,J1272,K1272,L1272,M1272))))</f>
        <v/>
      </c>
      <c r="O1272" s="54">
        <f>IF($B1272=0,NA(),IF(Inputs!$B$24&lt;&gt;"Yes",NA(),Inputs!$D$24*Inputs!$C$35))</f>
        <v/>
      </c>
      <c r="P1272" s="54">
        <f>IF($B1272=0,NA(),IF(Inputs!$B$25&lt;&gt;"Yes",NA(),Inputs!$D$25*Inputs!$C$35))</f>
        <v/>
      </c>
      <c r="Q1272" s="54">
        <f>IF($B1272=0,NA(),IF(Inputs!$B$26&lt;&gt;"Yes",NA(),Inputs!$D$26*Inputs!$C$35))</f>
        <v/>
      </c>
      <c r="R1272" s="54">
        <f>IF($B1272=0,NA(),IF(Inputs!$B$27&lt;&gt;"Yes",NA(),Inputs!$D$27*Inputs!$C$35))</f>
        <v/>
      </c>
      <c r="S1272" s="54">
        <f>IF($B1272=0,NA(),IF(Inputs!$B$28&lt;&gt;"Yes",NA(),Inputs!$D$28*Inputs!$C$35))</f>
        <v/>
      </c>
      <c r="T1272" s="54">
        <f>IF($B1272=0,NA(),IF(Inputs!$B$29&lt;&gt;"Yes",NA(),Inputs!$D$29*Inputs!$C$35))</f>
        <v/>
      </c>
      <c r="AD1272">
        <f>IF($B1272=0,0,IF(Inputs!$B$6="",0,COUNTIFS(Data!$A$10:$A$3209,"&gt;="&amp;$A1272,Data!$A$10:$A$3209,"&lt;"&amp;$A1272+1)))</f>
        <v/>
      </c>
      <c r="AE1272">
        <f>IF($B1272=0,0,IF(Inputs!$B$7="",0,COUNTIFS(Data!$E$10:$E$3209,"&gt;="&amp;$A1272,Data!$E$10:$E$3209,"&lt;"&amp;$A1272+1)))</f>
        <v/>
      </c>
      <c r="AF1272">
        <f>IF($B1272=0,0,IF(Inputs!$B$8="",0,COUNTIFS(Data!$I$10:$I$3209,"&gt;="&amp;$A1272,Data!$I$10:$I$3209,"&lt;"&amp;$A1272+1)))</f>
        <v/>
      </c>
      <c r="AG1272">
        <f>IF($B1272=0,0,IF(Inputs!$B$9="",0,COUNTIFS(Data!$M$10:$M$3209,"&gt;="&amp;$A1272,Data!$M$10:$M$3209,"&lt;"&amp;$A1272+1)))</f>
        <v/>
      </c>
      <c r="AH1272">
        <f>IF($B1272=0,0,IF(Inputs!$B$10="",0,COUNTIFS(Data!$Q$10:$Q$3209,"&gt;="&amp;$A1272,Data!$Q$10:$Q$3209,"&lt;"&amp;$A1272+1)))</f>
        <v/>
      </c>
    </row>
    <row r="1273">
      <c r="A1273" s="55">
        <f>MIN(Inputs!$C$15,$A1272+IF(WEEKDAY($A1272,2)=5,3,1))</f>
        <v/>
      </c>
      <c r="B1273">
        <f>IF($A1273&gt;$A1272,1,0)</f>
        <v/>
      </c>
      <c r="C1273" s="56">
        <f>IF($B1273=0,"",IF(Inputs!$B$6="","",IF($AD1273=0,C1272,SUMIFS(Data!$B$10:$B$3209,Data!$A$10:$A$3209,"&gt;="&amp;$A1273,Data!$A$10:$A$3209,"&lt;"&amp;$A1273+1)/$AD1273)))</f>
        <v/>
      </c>
      <c r="D1273" s="56">
        <f>IF($B1273=0,"",IF(Inputs!$B$7="","",IF($AE1273=0,D1272,SUMIFS(Data!$F$10:$F$3209,Data!$E$10:$E$3209,"&gt;="&amp;$A1273,Data!$E$10:$E$3209,"&lt;"&amp;$A1273+1)/$AE1273)))</f>
        <v/>
      </c>
      <c r="E1273" s="56">
        <f>IF($B1273=0,"",IF(Inputs!$B$8="","",IF($AF1273=0,E1272,SUMIFS(Data!$J$10:$J$3209,Data!$I$10:$I$3209,"&gt;="&amp;$A1273,Data!$I$10:$I$3209,"&lt;"&amp;$A1273+1)/$AF1273)))</f>
        <v/>
      </c>
      <c r="F1273" s="56">
        <f>IF($B1273=0,"",IF(Inputs!$B$9="","",IF($AG1273=0,F1272,SUMIFS(Data!$N$10:$N$3209,Data!$M$10:$M$3209,"&gt;="&amp;$A1273,Data!$M$10:$M$3209,"&lt;"&amp;$A1273+1)/$AG1273)))</f>
        <v/>
      </c>
      <c r="G1273" s="56">
        <f>IF($B1273=0,"",IF(Inputs!$B$10="","",IF($AH1273=0,G1272,SUMIFS(Data!$R$10:$R$3209,Data!$Q$10:$Q$3209,"&gt;="&amp;$A1273,Data!$Q$10:$Q$3209,"&lt;"&amp;$A1273+1)/$AH1273)))</f>
        <v/>
      </c>
      <c r="I1273" s="54">
        <f>IF($B1273=0,NA(),IF($C1273="",NA(),IF(C$8="",NA(),IF(N(C$8)=0,NA(),IF(Inputs!$C$17="Rebased to 100",$C1273/C$8*100,$C1273)))))</f>
        <v/>
      </c>
      <c r="J1273" s="54">
        <f>IF($B1273=0,NA(),IF($D1273="",NA(),IF(D$8="",NA(),IF(N(D$8)=0,NA(),IF(Inputs!$C$17="Rebased to 100",$D1273/D$8*100,$D1273)))))</f>
        <v/>
      </c>
      <c r="K1273" s="54">
        <f>IF($B1273=0,NA(),IF($E1273="",NA(),IF(E$8="",NA(),IF(N(E$8)=0,NA(),IF(Inputs!$C$17="Rebased to 100",$E1273/E$8*100,$E1273)))))</f>
        <v/>
      </c>
      <c r="L1273" s="54">
        <f>IF($B1273=0,NA(),IF($F1273="",NA(),IF(F$8="",NA(),IF(N(F$8)=0,NA(),IF(Inputs!$C$17="Rebased to 100",$F1273/F$8*100,$F1273)))))</f>
        <v/>
      </c>
      <c r="M1273" s="54">
        <f>IF($B1273=0,NA(),IF($G1273="",NA(),IF(G$8="",NA(),IF(N(G$8)=0,NA(),IF(Inputs!$C$17="Rebased to 100",$G1273/G$8*100,$G1273)))))</f>
        <v/>
      </c>
      <c r="N1273" s="54">
        <f>IF($B1273=0,NA(),IF(Inputs!$C$18&lt;&gt;"Yes",NA(),IF(COUNT(I1273,J1273,K1273,L1273,M1273)=0,NA(),MIN(I1273,J1273,K1273,L1273,M1273))))</f>
        <v/>
      </c>
      <c r="O1273" s="54">
        <f>IF($B1273=0,NA(),IF(Inputs!$B$24&lt;&gt;"Yes",NA(),Inputs!$D$24*Inputs!$C$35))</f>
        <v/>
      </c>
      <c r="P1273" s="54">
        <f>IF($B1273=0,NA(),IF(Inputs!$B$25&lt;&gt;"Yes",NA(),Inputs!$D$25*Inputs!$C$35))</f>
        <v/>
      </c>
      <c r="Q1273" s="54">
        <f>IF($B1273=0,NA(),IF(Inputs!$B$26&lt;&gt;"Yes",NA(),Inputs!$D$26*Inputs!$C$35))</f>
        <v/>
      </c>
      <c r="R1273" s="54">
        <f>IF($B1273=0,NA(),IF(Inputs!$B$27&lt;&gt;"Yes",NA(),Inputs!$D$27*Inputs!$C$35))</f>
        <v/>
      </c>
      <c r="S1273" s="54">
        <f>IF($B1273=0,NA(),IF(Inputs!$B$28&lt;&gt;"Yes",NA(),Inputs!$D$28*Inputs!$C$35))</f>
        <v/>
      </c>
      <c r="T1273" s="54">
        <f>IF($B1273=0,NA(),IF(Inputs!$B$29&lt;&gt;"Yes",NA(),Inputs!$D$29*Inputs!$C$35))</f>
        <v/>
      </c>
      <c r="AD1273">
        <f>IF($B1273=0,0,IF(Inputs!$B$6="",0,COUNTIFS(Data!$A$10:$A$3209,"&gt;="&amp;$A1273,Data!$A$10:$A$3209,"&lt;"&amp;$A1273+1)))</f>
        <v/>
      </c>
      <c r="AE1273">
        <f>IF($B1273=0,0,IF(Inputs!$B$7="",0,COUNTIFS(Data!$E$10:$E$3209,"&gt;="&amp;$A1273,Data!$E$10:$E$3209,"&lt;"&amp;$A1273+1)))</f>
        <v/>
      </c>
      <c r="AF1273">
        <f>IF($B1273=0,0,IF(Inputs!$B$8="",0,COUNTIFS(Data!$I$10:$I$3209,"&gt;="&amp;$A1273,Data!$I$10:$I$3209,"&lt;"&amp;$A1273+1)))</f>
        <v/>
      </c>
      <c r="AG1273">
        <f>IF($B1273=0,0,IF(Inputs!$B$9="",0,COUNTIFS(Data!$M$10:$M$3209,"&gt;="&amp;$A1273,Data!$M$10:$M$3209,"&lt;"&amp;$A1273+1)))</f>
        <v/>
      </c>
      <c r="AH1273">
        <f>IF($B1273=0,0,IF(Inputs!$B$10="",0,COUNTIFS(Data!$Q$10:$Q$3209,"&gt;="&amp;$A1273,Data!$Q$10:$Q$3209,"&lt;"&amp;$A1273+1)))</f>
        <v/>
      </c>
    </row>
    <row r="1274">
      <c r="A1274" s="55">
        <f>MIN(Inputs!$C$15,$A1273+IF(WEEKDAY($A1273,2)=5,3,1))</f>
        <v/>
      </c>
      <c r="B1274">
        <f>IF($A1274&gt;$A1273,1,0)</f>
        <v/>
      </c>
      <c r="C1274" s="56">
        <f>IF($B1274=0,"",IF(Inputs!$B$6="","",IF($AD1274=0,C1273,SUMIFS(Data!$B$10:$B$3209,Data!$A$10:$A$3209,"&gt;="&amp;$A1274,Data!$A$10:$A$3209,"&lt;"&amp;$A1274+1)/$AD1274)))</f>
        <v/>
      </c>
      <c r="D1274" s="56">
        <f>IF($B1274=0,"",IF(Inputs!$B$7="","",IF($AE1274=0,D1273,SUMIFS(Data!$F$10:$F$3209,Data!$E$10:$E$3209,"&gt;="&amp;$A1274,Data!$E$10:$E$3209,"&lt;"&amp;$A1274+1)/$AE1274)))</f>
        <v/>
      </c>
      <c r="E1274" s="56">
        <f>IF($B1274=0,"",IF(Inputs!$B$8="","",IF($AF1274=0,E1273,SUMIFS(Data!$J$10:$J$3209,Data!$I$10:$I$3209,"&gt;="&amp;$A1274,Data!$I$10:$I$3209,"&lt;"&amp;$A1274+1)/$AF1274)))</f>
        <v/>
      </c>
      <c r="F1274" s="56">
        <f>IF($B1274=0,"",IF(Inputs!$B$9="","",IF($AG1274=0,F1273,SUMIFS(Data!$N$10:$N$3209,Data!$M$10:$M$3209,"&gt;="&amp;$A1274,Data!$M$10:$M$3209,"&lt;"&amp;$A1274+1)/$AG1274)))</f>
        <v/>
      </c>
      <c r="G1274" s="56">
        <f>IF($B1274=0,"",IF(Inputs!$B$10="","",IF($AH1274=0,G1273,SUMIFS(Data!$R$10:$R$3209,Data!$Q$10:$Q$3209,"&gt;="&amp;$A1274,Data!$Q$10:$Q$3209,"&lt;"&amp;$A1274+1)/$AH1274)))</f>
        <v/>
      </c>
      <c r="I1274" s="54">
        <f>IF($B1274=0,NA(),IF($C1274="",NA(),IF(C$8="",NA(),IF(N(C$8)=0,NA(),IF(Inputs!$C$17="Rebased to 100",$C1274/C$8*100,$C1274)))))</f>
        <v/>
      </c>
      <c r="J1274" s="54">
        <f>IF($B1274=0,NA(),IF($D1274="",NA(),IF(D$8="",NA(),IF(N(D$8)=0,NA(),IF(Inputs!$C$17="Rebased to 100",$D1274/D$8*100,$D1274)))))</f>
        <v/>
      </c>
      <c r="K1274" s="54">
        <f>IF($B1274=0,NA(),IF($E1274="",NA(),IF(E$8="",NA(),IF(N(E$8)=0,NA(),IF(Inputs!$C$17="Rebased to 100",$E1274/E$8*100,$E1274)))))</f>
        <v/>
      </c>
      <c r="L1274" s="54">
        <f>IF($B1274=0,NA(),IF($F1274="",NA(),IF(F$8="",NA(),IF(N(F$8)=0,NA(),IF(Inputs!$C$17="Rebased to 100",$F1274/F$8*100,$F1274)))))</f>
        <v/>
      </c>
      <c r="M1274" s="54">
        <f>IF($B1274=0,NA(),IF($G1274="",NA(),IF(G$8="",NA(),IF(N(G$8)=0,NA(),IF(Inputs!$C$17="Rebased to 100",$G1274/G$8*100,$G1274)))))</f>
        <v/>
      </c>
      <c r="N1274" s="54">
        <f>IF($B1274=0,NA(),IF(Inputs!$C$18&lt;&gt;"Yes",NA(),IF(COUNT(I1274,J1274,K1274,L1274,M1274)=0,NA(),MIN(I1274,J1274,K1274,L1274,M1274))))</f>
        <v/>
      </c>
      <c r="O1274" s="54">
        <f>IF($B1274=0,NA(),IF(Inputs!$B$24&lt;&gt;"Yes",NA(),Inputs!$D$24*Inputs!$C$35))</f>
        <v/>
      </c>
      <c r="P1274" s="54">
        <f>IF($B1274=0,NA(),IF(Inputs!$B$25&lt;&gt;"Yes",NA(),Inputs!$D$25*Inputs!$C$35))</f>
        <v/>
      </c>
      <c r="Q1274" s="54">
        <f>IF($B1274=0,NA(),IF(Inputs!$B$26&lt;&gt;"Yes",NA(),Inputs!$D$26*Inputs!$C$35))</f>
        <v/>
      </c>
      <c r="R1274" s="54">
        <f>IF($B1274=0,NA(),IF(Inputs!$B$27&lt;&gt;"Yes",NA(),Inputs!$D$27*Inputs!$C$35))</f>
        <v/>
      </c>
      <c r="S1274" s="54">
        <f>IF($B1274=0,NA(),IF(Inputs!$B$28&lt;&gt;"Yes",NA(),Inputs!$D$28*Inputs!$C$35))</f>
        <v/>
      </c>
      <c r="T1274" s="54">
        <f>IF($B1274=0,NA(),IF(Inputs!$B$29&lt;&gt;"Yes",NA(),Inputs!$D$29*Inputs!$C$35))</f>
        <v/>
      </c>
      <c r="AD1274">
        <f>IF($B1274=0,0,IF(Inputs!$B$6="",0,COUNTIFS(Data!$A$10:$A$3209,"&gt;="&amp;$A1274,Data!$A$10:$A$3209,"&lt;"&amp;$A1274+1)))</f>
        <v/>
      </c>
      <c r="AE1274">
        <f>IF($B1274=0,0,IF(Inputs!$B$7="",0,COUNTIFS(Data!$E$10:$E$3209,"&gt;="&amp;$A1274,Data!$E$10:$E$3209,"&lt;"&amp;$A1274+1)))</f>
        <v/>
      </c>
      <c r="AF1274">
        <f>IF($B1274=0,0,IF(Inputs!$B$8="",0,COUNTIFS(Data!$I$10:$I$3209,"&gt;="&amp;$A1274,Data!$I$10:$I$3209,"&lt;"&amp;$A1274+1)))</f>
        <v/>
      </c>
      <c r="AG1274">
        <f>IF($B1274=0,0,IF(Inputs!$B$9="",0,COUNTIFS(Data!$M$10:$M$3209,"&gt;="&amp;$A1274,Data!$M$10:$M$3209,"&lt;"&amp;$A1274+1)))</f>
        <v/>
      </c>
      <c r="AH1274">
        <f>IF($B1274=0,0,IF(Inputs!$B$10="",0,COUNTIFS(Data!$Q$10:$Q$3209,"&gt;="&amp;$A1274,Data!$Q$10:$Q$3209,"&lt;"&amp;$A1274+1)))</f>
        <v/>
      </c>
    </row>
    <row r="1275">
      <c r="A1275" s="55">
        <f>MIN(Inputs!$C$15,$A1274+IF(WEEKDAY($A1274,2)=5,3,1))</f>
        <v/>
      </c>
      <c r="B1275">
        <f>IF($A1275&gt;$A1274,1,0)</f>
        <v/>
      </c>
      <c r="C1275" s="56">
        <f>IF($B1275=0,"",IF(Inputs!$B$6="","",IF($AD1275=0,C1274,SUMIFS(Data!$B$10:$B$3209,Data!$A$10:$A$3209,"&gt;="&amp;$A1275,Data!$A$10:$A$3209,"&lt;"&amp;$A1275+1)/$AD1275)))</f>
        <v/>
      </c>
      <c r="D1275" s="56">
        <f>IF($B1275=0,"",IF(Inputs!$B$7="","",IF($AE1275=0,D1274,SUMIFS(Data!$F$10:$F$3209,Data!$E$10:$E$3209,"&gt;="&amp;$A1275,Data!$E$10:$E$3209,"&lt;"&amp;$A1275+1)/$AE1275)))</f>
        <v/>
      </c>
      <c r="E1275" s="56">
        <f>IF($B1275=0,"",IF(Inputs!$B$8="","",IF($AF1275=0,E1274,SUMIFS(Data!$J$10:$J$3209,Data!$I$10:$I$3209,"&gt;="&amp;$A1275,Data!$I$10:$I$3209,"&lt;"&amp;$A1275+1)/$AF1275)))</f>
        <v/>
      </c>
      <c r="F1275" s="56">
        <f>IF($B1275=0,"",IF(Inputs!$B$9="","",IF($AG1275=0,F1274,SUMIFS(Data!$N$10:$N$3209,Data!$M$10:$M$3209,"&gt;="&amp;$A1275,Data!$M$10:$M$3209,"&lt;"&amp;$A1275+1)/$AG1275)))</f>
        <v/>
      </c>
      <c r="G1275" s="56">
        <f>IF($B1275=0,"",IF(Inputs!$B$10="","",IF($AH1275=0,G1274,SUMIFS(Data!$R$10:$R$3209,Data!$Q$10:$Q$3209,"&gt;="&amp;$A1275,Data!$Q$10:$Q$3209,"&lt;"&amp;$A1275+1)/$AH1275)))</f>
        <v/>
      </c>
      <c r="I1275" s="54">
        <f>IF($B1275=0,NA(),IF($C1275="",NA(),IF(C$8="",NA(),IF(N(C$8)=0,NA(),IF(Inputs!$C$17="Rebased to 100",$C1275/C$8*100,$C1275)))))</f>
        <v/>
      </c>
      <c r="J1275" s="54">
        <f>IF($B1275=0,NA(),IF($D1275="",NA(),IF(D$8="",NA(),IF(N(D$8)=0,NA(),IF(Inputs!$C$17="Rebased to 100",$D1275/D$8*100,$D1275)))))</f>
        <v/>
      </c>
      <c r="K1275" s="54">
        <f>IF($B1275=0,NA(),IF($E1275="",NA(),IF(E$8="",NA(),IF(N(E$8)=0,NA(),IF(Inputs!$C$17="Rebased to 100",$E1275/E$8*100,$E1275)))))</f>
        <v/>
      </c>
      <c r="L1275" s="54">
        <f>IF($B1275=0,NA(),IF($F1275="",NA(),IF(F$8="",NA(),IF(N(F$8)=0,NA(),IF(Inputs!$C$17="Rebased to 100",$F1275/F$8*100,$F1275)))))</f>
        <v/>
      </c>
      <c r="M1275" s="54">
        <f>IF($B1275=0,NA(),IF($G1275="",NA(),IF(G$8="",NA(),IF(N(G$8)=0,NA(),IF(Inputs!$C$17="Rebased to 100",$G1275/G$8*100,$G1275)))))</f>
        <v/>
      </c>
      <c r="N1275" s="54">
        <f>IF($B1275=0,NA(),IF(Inputs!$C$18&lt;&gt;"Yes",NA(),IF(COUNT(I1275,J1275,K1275,L1275,M1275)=0,NA(),MIN(I1275,J1275,K1275,L1275,M1275))))</f>
        <v/>
      </c>
      <c r="O1275" s="54">
        <f>IF($B1275=0,NA(),IF(Inputs!$B$24&lt;&gt;"Yes",NA(),Inputs!$D$24*Inputs!$C$35))</f>
        <v/>
      </c>
      <c r="P1275" s="54">
        <f>IF($B1275=0,NA(),IF(Inputs!$B$25&lt;&gt;"Yes",NA(),Inputs!$D$25*Inputs!$C$35))</f>
        <v/>
      </c>
      <c r="Q1275" s="54">
        <f>IF($B1275=0,NA(),IF(Inputs!$B$26&lt;&gt;"Yes",NA(),Inputs!$D$26*Inputs!$C$35))</f>
        <v/>
      </c>
      <c r="R1275" s="54">
        <f>IF($B1275=0,NA(),IF(Inputs!$B$27&lt;&gt;"Yes",NA(),Inputs!$D$27*Inputs!$C$35))</f>
        <v/>
      </c>
      <c r="S1275" s="54">
        <f>IF($B1275=0,NA(),IF(Inputs!$B$28&lt;&gt;"Yes",NA(),Inputs!$D$28*Inputs!$C$35))</f>
        <v/>
      </c>
      <c r="T1275" s="54">
        <f>IF($B1275=0,NA(),IF(Inputs!$B$29&lt;&gt;"Yes",NA(),Inputs!$D$29*Inputs!$C$35))</f>
        <v/>
      </c>
      <c r="AD1275">
        <f>IF($B1275=0,0,IF(Inputs!$B$6="",0,COUNTIFS(Data!$A$10:$A$3209,"&gt;="&amp;$A1275,Data!$A$10:$A$3209,"&lt;"&amp;$A1275+1)))</f>
        <v/>
      </c>
      <c r="AE1275">
        <f>IF($B1275=0,0,IF(Inputs!$B$7="",0,COUNTIFS(Data!$E$10:$E$3209,"&gt;="&amp;$A1275,Data!$E$10:$E$3209,"&lt;"&amp;$A1275+1)))</f>
        <v/>
      </c>
      <c r="AF1275">
        <f>IF($B1275=0,0,IF(Inputs!$B$8="",0,COUNTIFS(Data!$I$10:$I$3209,"&gt;="&amp;$A1275,Data!$I$10:$I$3209,"&lt;"&amp;$A1275+1)))</f>
        <v/>
      </c>
      <c r="AG1275">
        <f>IF($B1275=0,0,IF(Inputs!$B$9="",0,COUNTIFS(Data!$M$10:$M$3209,"&gt;="&amp;$A1275,Data!$M$10:$M$3209,"&lt;"&amp;$A1275+1)))</f>
        <v/>
      </c>
      <c r="AH1275">
        <f>IF($B1275=0,0,IF(Inputs!$B$10="",0,COUNTIFS(Data!$Q$10:$Q$3209,"&gt;="&amp;$A1275,Data!$Q$10:$Q$3209,"&lt;"&amp;$A1275+1)))</f>
        <v/>
      </c>
    </row>
    <row r="1276">
      <c r="A1276" s="55">
        <f>MIN(Inputs!$C$15,$A1275+IF(WEEKDAY($A1275,2)=5,3,1))</f>
        <v/>
      </c>
      <c r="B1276">
        <f>IF($A1276&gt;$A1275,1,0)</f>
        <v/>
      </c>
      <c r="C1276" s="56">
        <f>IF($B1276=0,"",IF(Inputs!$B$6="","",IF($AD1276=0,C1275,SUMIFS(Data!$B$10:$B$3209,Data!$A$10:$A$3209,"&gt;="&amp;$A1276,Data!$A$10:$A$3209,"&lt;"&amp;$A1276+1)/$AD1276)))</f>
        <v/>
      </c>
      <c r="D1276" s="56">
        <f>IF($B1276=0,"",IF(Inputs!$B$7="","",IF($AE1276=0,D1275,SUMIFS(Data!$F$10:$F$3209,Data!$E$10:$E$3209,"&gt;="&amp;$A1276,Data!$E$10:$E$3209,"&lt;"&amp;$A1276+1)/$AE1276)))</f>
        <v/>
      </c>
      <c r="E1276" s="56">
        <f>IF($B1276=0,"",IF(Inputs!$B$8="","",IF($AF1276=0,E1275,SUMIFS(Data!$J$10:$J$3209,Data!$I$10:$I$3209,"&gt;="&amp;$A1276,Data!$I$10:$I$3209,"&lt;"&amp;$A1276+1)/$AF1276)))</f>
        <v/>
      </c>
      <c r="F1276" s="56">
        <f>IF($B1276=0,"",IF(Inputs!$B$9="","",IF($AG1276=0,F1275,SUMIFS(Data!$N$10:$N$3209,Data!$M$10:$M$3209,"&gt;="&amp;$A1276,Data!$M$10:$M$3209,"&lt;"&amp;$A1276+1)/$AG1276)))</f>
        <v/>
      </c>
      <c r="G1276" s="56">
        <f>IF($B1276=0,"",IF(Inputs!$B$10="","",IF($AH1276=0,G1275,SUMIFS(Data!$R$10:$R$3209,Data!$Q$10:$Q$3209,"&gt;="&amp;$A1276,Data!$Q$10:$Q$3209,"&lt;"&amp;$A1276+1)/$AH1276)))</f>
        <v/>
      </c>
      <c r="I1276" s="54">
        <f>IF($B1276=0,NA(),IF($C1276="",NA(),IF(C$8="",NA(),IF(N(C$8)=0,NA(),IF(Inputs!$C$17="Rebased to 100",$C1276/C$8*100,$C1276)))))</f>
        <v/>
      </c>
      <c r="J1276" s="54">
        <f>IF($B1276=0,NA(),IF($D1276="",NA(),IF(D$8="",NA(),IF(N(D$8)=0,NA(),IF(Inputs!$C$17="Rebased to 100",$D1276/D$8*100,$D1276)))))</f>
        <v/>
      </c>
      <c r="K1276" s="54">
        <f>IF($B1276=0,NA(),IF($E1276="",NA(),IF(E$8="",NA(),IF(N(E$8)=0,NA(),IF(Inputs!$C$17="Rebased to 100",$E1276/E$8*100,$E1276)))))</f>
        <v/>
      </c>
      <c r="L1276" s="54">
        <f>IF($B1276=0,NA(),IF($F1276="",NA(),IF(F$8="",NA(),IF(N(F$8)=0,NA(),IF(Inputs!$C$17="Rebased to 100",$F1276/F$8*100,$F1276)))))</f>
        <v/>
      </c>
      <c r="M1276" s="54">
        <f>IF($B1276=0,NA(),IF($G1276="",NA(),IF(G$8="",NA(),IF(N(G$8)=0,NA(),IF(Inputs!$C$17="Rebased to 100",$G1276/G$8*100,$G1276)))))</f>
        <v/>
      </c>
      <c r="N1276" s="54">
        <f>IF($B1276=0,NA(),IF(Inputs!$C$18&lt;&gt;"Yes",NA(),IF(COUNT(I1276,J1276,K1276,L1276,M1276)=0,NA(),MIN(I1276,J1276,K1276,L1276,M1276))))</f>
        <v/>
      </c>
      <c r="O1276" s="54">
        <f>IF($B1276=0,NA(),IF(Inputs!$B$24&lt;&gt;"Yes",NA(),Inputs!$D$24*Inputs!$C$35))</f>
        <v/>
      </c>
      <c r="P1276" s="54">
        <f>IF($B1276=0,NA(),IF(Inputs!$B$25&lt;&gt;"Yes",NA(),Inputs!$D$25*Inputs!$C$35))</f>
        <v/>
      </c>
      <c r="Q1276" s="54">
        <f>IF($B1276=0,NA(),IF(Inputs!$B$26&lt;&gt;"Yes",NA(),Inputs!$D$26*Inputs!$C$35))</f>
        <v/>
      </c>
      <c r="R1276" s="54">
        <f>IF($B1276=0,NA(),IF(Inputs!$B$27&lt;&gt;"Yes",NA(),Inputs!$D$27*Inputs!$C$35))</f>
        <v/>
      </c>
      <c r="S1276" s="54">
        <f>IF($B1276=0,NA(),IF(Inputs!$B$28&lt;&gt;"Yes",NA(),Inputs!$D$28*Inputs!$C$35))</f>
        <v/>
      </c>
      <c r="T1276" s="54">
        <f>IF($B1276=0,NA(),IF(Inputs!$B$29&lt;&gt;"Yes",NA(),Inputs!$D$29*Inputs!$C$35))</f>
        <v/>
      </c>
      <c r="AD1276">
        <f>IF($B1276=0,0,IF(Inputs!$B$6="",0,COUNTIFS(Data!$A$10:$A$3209,"&gt;="&amp;$A1276,Data!$A$10:$A$3209,"&lt;"&amp;$A1276+1)))</f>
        <v/>
      </c>
      <c r="AE1276">
        <f>IF($B1276=0,0,IF(Inputs!$B$7="",0,COUNTIFS(Data!$E$10:$E$3209,"&gt;="&amp;$A1276,Data!$E$10:$E$3209,"&lt;"&amp;$A1276+1)))</f>
        <v/>
      </c>
      <c r="AF1276">
        <f>IF($B1276=0,0,IF(Inputs!$B$8="",0,COUNTIFS(Data!$I$10:$I$3209,"&gt;="&amp;$A1276,Data!$I$10:$I$3209,"&lt;"&amp;$A1276+1)))</f>
        <v/>
      </c>
      <c r="AG1276">
        <f>IF($B1276=0,0,IF(Inputs!$B$9="",0,COUNTIFS(Data!$M$10:$M$3209,"&gt;="&amp;$A1276,Data!$M$10:$M$3209,"&lt;"&amp;$A1276+1)))</f>
        <v/>
      </c>
      <c r="AH1276">
        <f>IF($B1276=0,0,IF(Inputs!$B$10="",0,COUNTIFS(Data!$Q$10:$Q$3209,"&gt;="&amp;$A1276,Data!$Q$10:$Q$3209,"&lt;"&amp;$A1276+1)))</f>
        <v/>
      </c>
    </row>
    <row r="1277">
      <c r="A1277" s="55">
        <f>MIN(Inputs!$C$15,$A1276+IF(WEEKDAY($A1276,2)=5,3,1))</f>
        <v/>
      </c>
      <c r="B1277">
        <f>IF($A1277&gt;$A1276,1,0)</f>
        <v/>
      </c>
      <c r="C1277" s="56">
        <f>IF($B1277=0,"",IF(Inputs!$B$6="","",IF($AD1277=0,C1276,SUMIFS(Data!$B$10:$B$3209,Data!$A$10:$A$3209,"&gt;="&amp;$A1277,Data!$A$10:$A$3209,"&lt;"&amp;$A1277+1)/$AD1277)))</f>
        <v/>
      </c>
      <c r="D1277" s="56">
        <f>IF($B1277=0,"",IF(Inputs!$B$7="","",IF($AE1277=0,D1276,SUMIFS(Data!$F$10:$F$3209,Data!$E$10:$E$3209,"&gt;="&amp;$A1277,Data!$E$10:$E$3209,"&lt;"&amp;$A1277+1)/$AE1277)))</f>
        <v/>
      </c>
      <c r="E1277" s="56">
        <f>IF($B1277=0,"",IF(Inputs!$B$8="","",IF($AF1277=0,E1276,SUMIFS(Data!$J$10:$J$3209,Data!$I$10:$I$3209,"&gt;="&amp;$A1277,Data!$I$10:$I$3209,"&lt;"&amp;$A1277+1)/$AF1277)))</f>
        <v/>
      </c>
      <c r="F1277" s="56">
        <f>IF($B1277=0,"",IF(Inputs!$B$9="","",IF($AG1277=0,F1276,SUMIFS(Data!$N$10:$N$3209,Data!$M$10:$M$3209,"&gt;="&amp;$A1277,Data!$M$10:$M$3209,"&lt;"&amp;$A1277+1)/$AG1277)))</f>
        <v/>
      </c>
      <c r="G1277" s="56">
        <f>IF($B1277=0,"",IF(Inputs!$B$10="","",IF($AH1277=0,G1276,SUMIFS(Data!$R$10:$R$3209,Data!$Q$10:$Q$3209,"&gt;="&amp;$A1277,Data!$Q$10:$Q$3209,"&lt;"&amp;$A1277+1)/$AH1277)))</f>
        <v/>
      </c>
      <c r="I1277" s="54">
        <f>IF($B1277=0,NA(),IF($C1277="",NA(),IF(C$8="",NA(),IF(N(C$8)=0,NA(),IF(Inputs!$C$17="Rebased to 100",$C1277/C$8*100,$C1277)))))</f>
        <v/>
      </c>
      <c r="J1277" s="54">
        <f>IF($B1277=0,NA(),IF($D1277="",NA(),IF(D$8="",NA(),IF(N(D$8)=0,NA(),IF(Inputs!$C$17="Rebased to 100",$D1277/D$8*100,$D1277)))))</f>
        <v/>
      </c>
      <c r="K1277" s="54">
        <f>IF($B1277=0,NA(),IF($E1277="",NA(),IF(E$8="",NA(),IF(N(E$8)=0,NA(),IF(Inputs!$C$17="Rebased to 100",$E1277/E$8*100,$E1277)))))</f>
        <v/>
      </c>
      <c r="L1277" s="54">
        <f>IF($B1277=0,NA(),IF($F1277="",NA(),IF(F$8="",NA(),IF(N(F$8)=0,NA(),IF(Inputs!$C$17="Rebased to 100",$F1277/F$8*100,$F1277)))))</f>
        <v/>
      </c>
      <c r="M1277" s="54">
        <f>IF($B1277=0,NA(),IF($G1277="",NA(),IF(G$8="",NA(),IF(N(G$8)=0,NA(),IF(Inputs!$C$17="Rebased to 100",$G1277/G$8*100,$G1277)))))</f>
        <v/>
      </c>
      <c r="N1277" s="54">
        <f>IF($B1277=0,NA(),IF(Inputs!$C$18&lt;&gt;"Yes",NA(),IF(COUNT(I1277,J1277,K1277,L1277,M1277)=0,NA(),MIN(I1277,J1277,K1277,L1277,M1277))))</f>
        <v/>
      </c>
      <c r="O1277" s="54">
        <f>IF($B1277=0,NA(),IF(Inputs!$B$24&lt;&gt;"Yes",NA(),Inputs!$D$24*Inputs!$C$35))</f>
        <v/>
      </c>
      <c r="P1277" s="54">
        <f>IF($B1277=0,NA(),IF(Inputs!$B$25&lt;&gt;"Yes",NA(),Inputs!$D$25*Inputs!$C$35))</f>
        <v/>
      </c>
      <c r="Q1277" s="54">
        <f>IF($B1277=0,NA(),IF(Inputs!$B$26&lt;&gt;"Yes",NA(),Inputs!$D$26*Inputs!$C$35))</f>
        <v/>
      </c>
      <c r="R1277" s="54">
        <f>IF($B1277=0,NA(),IF(Inputs!$B$27&lt;&gt;"Yes",NA(),Inputs!$D$27*Inputs!$C$35))</f>
        <v/>
      </c>
      <c r="S1277" s="54">
        <f>IF($B1277=0,NA(),IF(Inputs!$B$28&lt;&gt;"Yes",NA(),Inputs!$D$28*Inputs!$C$35))</f>
        <v/>
      </c>
      <c r="T1277" s="54">
        <f>IF($B1277=0,NA(),IF(Inputs!$B$29&lt;&gt;"Yes",NA(),Inputs!$D$29*Inputs!$C$35))</f>
        <v/>
      </c>
      <c r="AD1277">
        <f>IF($B1277=0,0,IF(Inputs!$B$6="",0,COUNTIFS(Data!$A$10:$A$3209,"&gt;="&amp;$A1277,Data!$A$10:$A$3209,"&lt;"&amp;$A1277+1)))</f>
        <v/>
      </c>
      <c r="AE1277">
        <f>IF($B1277=0,0,IF(Inputs!$B$7="",0,COUNTIFS(Data!$E$10:$E$3209,"&gt;="&amp;$A1277,Data!$E$10:$E$3209,"&lt;"&amp;$A1277+1)))</f>
        <v/>
      </c>
      <c r="AF1277">
        <f>IF($B1277=0,0,IF(Inputs!$B$8="",0,COUNTIFS(Data!$I$10:$I$3209,"&gt;="&amp;$A1277,Data!$I$10:$I$3209,"&lt;"&amp;$A1277+1)))</f>
        <v/>
      </c>
      <c r="AG1277">
        <f>IF($B1277=0,0,IF(Inputs!$B$9="",0,COUNTIFS(Data!$M$10:$M$3209,"&gt;="&amp;$A1277,Data!$M$10:$M$3209,"&lt;"&amp;$A1277+1)))</f>
        <v/>
      </c>
      <c r="AH1277">
        <f>IF($B1277=0,0,IF(Inputs!$B$10="",0,COUNTIFS(Data!$Q$10:$Q$3209,"&gt;="&amp;$A1277,Data!$Q$10:$Q$3209,"&lt;"&amp;$A1277+1)))</f>
        <v/>
      </c>
    </row>
    <row r="1278">
      <c r="A1278" s="55">
        <f>MIN(Inputs!$C$15,$A1277+IF(WEEKDAY($A1277,2)=5,3,1))</f>
        <v/>
      </c>
      <c r="B1278">
        <f>IF($A1278&gt;$A1277,1,0)</f>
        <v/>
      </c>
      <c r="C1278" s="56">
        <f>IF($B1278=0,"",IF(Inputs!$B$6="","",IF($AD1278=0,C1277,SUMIFS(Data!$B$10:$B$3209,Data!$A$10:$A$3209,"&gt;="&amp;$A1278,Data!$A$10:$A$3209,"&lt;"&amp;$A1278+1)/$AD1278)))</f>
        <v/>
      </c>
      <c r="D1278" s="56">
        <f>IF($B1278=0,"",IF(Inputs!$B$7="","",IF($AE1278=0,D1277,SUMIFS(Data!$F$10:$F$3209,Data!$E$10:$E$3209,"&gt;="&amp;$A1278,Data!$E$10:$E$3209,"&lt;"&amp;$A1278+1)/$AE1278)))</f>
        <v/>
      </c>
      <c r="E1278" s="56">
        <f>IF($B1278=0,"",IF(Inputs!$B$8="","",IF($AF1278=0,E1277,SUMIFS(Data!$J$10:$J$3209,Data!$I$10:$I$3209,"&gt;="&amp;$A1278,Data!$I$10:$I$3209,"&lt;"&amp;$A1278+1)/$AF1278)))</f>
        <v/>
      </c>
      <c r="F1278" s="56">
        <f>IF($B1278=0,"",IF(Inputs!$B$9="","",IF($AG1278=0,F1277,SUMIFS(Data!$N$10:$N$3209,Data!$M$10:$M$3209,"&gt;="&amp;$A1278,Data!$M$10:$M$3209,"&lt;"&amp;$A1278+1)/$AG1278)))</f>
        <v/>
      </c>
      <c r="G1278" s="56">
        <f>IF($B1278=0,"",IF(Inputs!$B$10="","",IF($AH1278=0,G1277,SUMIFS(Data!$R$10:$R$3209,Data!$Q$10:$Q$3209,"&gt;="&amp;$A1278,Data!$Q$10:$Q$3209,"&lt;"&amp;$A1278+1)/$AH1278)))</f>
        <v/>
      </c>
      <c r="I1278" s="54">
        <f>IF($B1278=0,NA(),IF($C1278="",NA(),IF(C$8="",NA(),IF(N(C$8)=0,NA(),IF(Inputs!$C$17="Rebased to 100",$C1278/C$8*100,$C1278)))))</f>
        <v/>
      </c>
      <c r="J1278" s="54">
        <f>IF($B1278=0,NA(),IF($D1278="",NA(),IF(D$8="",NA(),IF(N(D$8)=0,NA(),IF(Inputs!$C$17="Rebased to 100",$D1278/D$8*100,$D1278)))))</f>
        <v/>
      </c>
      <c r="K1278" s="54">
        <f>IF($B1278=0,NA(),IF($E1278="",NA(),IF(E$8="",NA(),IF(N(E$8)=0,NA(),IF(Inputs!$C$17="Rebased to 100",$E1278/E$8*100,$E1278)))))</f>
        <v/>
      </c>
      <c r="L1278" s="54">
        <f>IF($B1278=0,NA(),IF($F1278="",NA(),IF(F$8="",NA(),IF(N(F$8)=0,NA(),IF(Inputs!$C$17="Rebased to 100",$F1278/F$8*100,$F1278)))))</f>
        <v/>
      </c>
      <c r="M1278" s="54">
        <f>IF($B1278=0,NA(),IF($G1278="",NA(),IF(G$8="",NA(),IF(N(G$8)=0,NA(),IF(Inputs!$C$17="Rebased to 100",$G1278/G$8*100,$G1278)))))</f>
        <v/>
      </c>
      <c r="N1278" s="54">
        <f>IF($B1278=0,NA(),IF(Inputs!$C$18&lt;&gt;"Yes",NA(),IF(COUNT(I1278,J1278,K1278,L1278,M1278)=0,NA(),MIN(I1278,J1278,K1278,L1278,M1278))))</f>
        <v/>
      </c>
      <c r="O1278" s="54">
        <f>IF($B1278=0,NA(),IF(Inputs!$B$24&lt;&gt;"Yes",NA(),Inputs!$D$24*Inputs!$C$35))</f>
        <v/>
      </c>
      <c r="P1278" s="54">
        <f>IF($B1278=0,NA(),IF(Inputs!$B$25&lt;&gt;"Yes",NA(),Inputs!$D$25*Inputs!$C$35))</f>
        <v/>
      </c>
      <c r="Q1278" s="54">
        <f>IF($B1278=0,NA(),IF(Inputs!$B$26&lt;&gt;"Yes",NA(),Inputs!$D$26*Inputs!$C$35))</f>
        <v/>
      </c>
      <c r="R1278" s="54">
        <f>IF($B1278=0,NA(),IF(Inputs!$B$27&lt;&gt;"Yes",NA(),Inputs!$D$27*Inputs!$C$35))</f>
        <v/>
      </c>
      <c r="S1278" s="54">
        <f>IF($B1278=0,NA(),IF(Inputs!$B$28&lt;&gt;"Yes",NA(),Inputs!$D$28*Inputs!$C$35))</f>
        <v/>
      </c>
      <c r="T1278" s="54">
        <f>IF($B1278=0,NA(),IF(Inputs!$B$29&lt;&gt;"Yes",NA(),Inputs!$D$29*Inputs!$C$35))</f>
        <v/>
      </c>
      <c r="AD1278">
        <f>IF($B1278=0,0,IF(Inputs!$B$6="",0,COUNTIFS(Data!$A$10:$A$3209,"&gt;="&amp;$A1278,Data!$A$10:$A$3209,"&lt;"&amp;$A1278+1)))</f>
        <v/>
      </c>
      <c r="AE1278">
        <f>IF($B1278=0,0,IF(Inputs!$B$7="",0,COUNTIFS(Data!$E$10:$E$3209,"&gt;="&amp;$A1278,Data!$E$10:$E$3209,"&lt;"&amp;$A1278+1)))</f>
        <v/>
      </c>
      <c r="AF1278">
        <f>IF($B1278=0,0,IF(Inputs!$B$8="",0,COUNTIFS(Data!$I$10:$I$3209,"&gt;="&amp;$A1278,Data!$I$10:$I$3209,"&lt;"&amp;$A1278+1)))</f>
        <v/>
      </c>
      <c r="AG1278">
        <f>IF($B1278=0,0,IF(Inputs!$B$9="",0,COUNTIFS(Data!$M$10:$M$3209,"&gt;="&amp;$A1278,Data!$M$10:$M$3209,"&lt;"&amp;$A1278+1)))</f>
        <v/>
      </c>
      <c r="AH1278">
        <f>IF($B1278=0,0,IF(Inputs!$B$10="",0,COUNTIFS(Data!$Q$10:$Q$3209,"&gt;="&amp;$A1278,Data!$Q$10:$Q$3209,"&lt;"&amp;$A1278+1)))</f>
        <v/>
      </c>
    </row>
    <row r="1279">
      <c r="A1279" s="55">
        <f>MIN(Inputs!$C$15,$A1278+IF(WEEKDAY($A1278,2)=5,3,1))</f>
        <v/>
      </c>
      <c r="B1279">
        <f>IF($A1279&gt;$A1278,1,0)</f>
        <v/>
      </c>
      <c r="C1279" s="56">
        <f>IF($B1279=0,"",IF(Inputs!$B$6="","",IF($AD1279=0,C1278,SUMIFS(Data!$B$10:$B$3209,Data!$A$10:$A$3209,"&gt;="&amp;$A1279,Data!$A$10:$A$3209,"&lt;"&amp;$A1279+1)/$AD1279)))</f>
        <v/>
      </c>
      <c r="D1279" s="56">
        <f>IF($B1279=0,"",IF(Inputs!$B$7="","",IF($AE1279=0,D1278,SUMIFS(Data!$F$10:$F$3209,Data!$E$10:$E$3209,"&gt;="&amp;$A1279,Data!$E$10:$E$3209,"&lt;"&amp;$A1279+1)/$AE1279)))</f>
        <v/>
      </c>
      <c r="E1279" s="56">
        <f>IF($B1279=0,"",IF(Inputs!$B$8="","",IF($AF1279=0,E1278,SUMIFS(Data!$J$10:$J$3209,Data!$I$10:$I$3209,"&gt;="&amp;$A1279,Data!$I$10:$I$3209,"&lt;"&amp;$A1279+1)/$AF1279)))</f>
        <v/>
      </c>
      <c r="F1279" s="56">
        <f>IF($B1279=0,"",IF(Inputs!$B$9="","",IF($AG1279=0,F1278,SUMIFS(Data!$N$10:$N$3209,Data!$M$10:$M$3209,"&gt;="&amp;$A1279,Data!$M$10:$M$3209,"&lt;"&amp;$A1279+1)/$AG1279)))</f>
        <v/>
      </c>
      <c r="G1279" s="56">
        <f>IF($B1279=0,"",IF(Inputs!$B$10="","",IF($AH1279=0,G1278,SUMIFS(Data!$R$10:$R$3209,Data!$Q$10:$Q$3209,"&gt;="&amp;$A1279,Data!$Q$10:$Q$3209,"&lt;"&amp;$A1279+1)/$AH1279)))</f>
        <v/>
      </c>
      <c r="I1279" s="54">
        <f>IF($B1279=0,NA(),IF($C1279="",NA(),IF(C$8="",NA(),IF(N(C$8)=0,NA(),IF(Inputs!$C$17="Rebased to 100",$C1279/C$8*100,$C1279)))))</f>
        <v/>
      </c>
      <c r="J1279" s="54">
        <f>IF($B1279=0,NA(),IF($D1279="",NA(),IF(D$8="",NA(),IF(N(D$8)=0,NA(),IF(Inputs!$C$17="Rebased to 100",$D1279/D$8*100,$D1279)))))</f>
        <v/>
      </c>
      <c r="K1279" s="54">
        <f>IF($B1279=0,NA(),IF($E1279="",NA(),IF(E$8="",NA(),IF(N(E$8)=0,NA(),IF(Inputs!$C$17="Rebased to 100",$E1279/E$8*100,$E1279)))))</f>
        <v/>
      </c>
      <c r="L1279" s="54">
        <f>IF($B1279=0,NA(),IF($F1279="",NA(),IF(F$8="",NA(),IF(N(F$8)=0,NA(),IF(Inputs!$C$17="Rebased to 100",$F1279/F$8*100,$F1279)))))</f>
        <v/>
      </c>
      <c r="M1279" s="54">
        <f>IF($B1279=0,NA(),IF($G1279="",NA(),IF(G$8="",NA(),IF(N(G$8)=0,NA(),IF(Inputs!$C$17="Rebased to 100",$G1279/G$8*100,$G1279)))))</f>
        <v/>
      </c>
      <c r="N1279" s="54">
        <f>IF($B1279=0,NA(),IF(Inputs!$C$18&lt;&gt;"Yes",NA(),IF(COUNT(I1279,J1279,K1279,L1279,M1279)=0,NA(),MIN(I1279,J1279,K1279,L1279,M1279))))</f>
        <v/>
      </c>
      <c r="O1279" s="54">
        <f>IF($B1279=0,NA(),IF(Inputs!$B$24&lt;&gt;"Yes",NA(),Inputs!$D$24*Inputs!$C$35))</f>
        <v/>
      </c>
      <c r="P1279" s="54">
        <f>IF($B1279=0,NA(),IF(Inputs!$B$25&lt;&gt;"Yes",NA(),Inputs!$D$25*Inputs!$C$35))</f>
        <v/>
      </c>
      <c r="Q1279" s="54">
        <f>IF($B1279=0,NA(),IF(Inputs!$B$26&lt;&gt;"Yes",NA(),Inputs!$D$26*Inputs!$C$35))</f>
        <v/>
      </c>
      <c r="R1279" s="54">
        <f>IF($B1279=0,NA(),IF(Inputs!$B$27&lt;&gt;"Yes",NA(),Inputs!$D$27*Inputs!$C$35))</f>
        <v/>
      </c>
      <c r="S1279" s="54">
        <f>IF($B1279=0,NA(),IF(Inputs!$B$28&lt;&gt;"Yes",NA(),Inputs!$D$28*Inputs!$C$35))</f>
        <v/>
      </c>
      <c r="T1279" s="54">
        <f>IF($B1279=0,NA(),IF(Inputs!$B$29&lt;&gt;"Yes",NA(),Inputs!$D$29*Inputs!$C$35))</f>
        <v/>
      </c>
      <c r="AD1279">
        <f>IF($B1279=0,0,IF(Inputs!$B$6="",0,COUNTIFS(Data!$A$10:$A$3209,"&gt;="&amp;$A1279,Data!$A$10:$A$3209,"&lt;"&amp;$A1279+1)))</f>
        <v/>
      </c>
      <c r="AE1279">
        <f>IF($B1279=0,0,IF(Inputs!$B$7="",0,COUNTIFS(Data!$E$10:$E$3209,"&gt;="&amp;$A1279,Data!$E$10:$E$3209,"&lt;"&amp;$A1279+1)))</f>
        <v/>
      </c>
      <c r="AF1279">
        <f>IF($B1279=0,0,IF(Inputs!$B$8="",0,COUNTIFS(Data!$I$10:$I$3209,"&gt;="&amp;$A1279,Data!$I$10:$I$3209,"&lt;"&amp;$A1279+1)))</f>
        <v/>
      </c>
      <c r="AG1279">
        <f>IF($B1279=0,0,IF(Inputs!$B$9="",0,COUNTIFS(Data!$M$10:$M$3209,"&gt;="&amp;$A1279,Data!$M$10:$M$3209,"&lt;"&amp;$A1279+1)))</f>
        <v/>
      </c>
      <c r="AH1279">
        <f>IF($B1279=0,0,IF(Inputs!$B$10="",0,COUNTIFS(Data!$Q$10:$Q$3209,"&gt;="&amp;$A1279,Data!$Q$10:$Q$3209,"&lt;"&amp;$A1279+1)))</f>
        <v/>
      </c>
    </row>
    <row r="1280">
      <c r="A1280" s="55">
        <f>MIN(Inputs!$C$15,$A1279+IF(WEEKDAY($A1279,2)=5,3,1))</f>
        <v/>
      </c>
      <c r="B1280">
        <f>IF($A1280&gt;$A1279,1,0)</f>
        <v/>
      </c>
      <c r="C1280" s="56">
        <f>IF($B1280=0,"",IF(Inputs!$B$6="","",IF($AD1280=0,C1279,SUMIFS(Data!$B$10:$B$3209,Data!$A$10:$A$3209,"&gt;="&amp;$A1280,Data!$A$10:$A$3209,"&lt;"&amp;$A1280+1)/$AD1280)))</f>
        <v/>
      </c>
      <c r="D1280" s="56">
        <f>IF($B1280=0,"",IF(Inputs!$B$7="","",IF($AE1280=0,D1279,SUMIFS(Data!$F$10:$F$3209,Data!$E$10:$E$3209,"&gt;="&amp;$A1280,Data!$E$10:$E$3209,"&lt;"&amp;$A1280+1)/$AE1280)))</f>
        <v/>
      </c>
      <c r="E1280" s="56">
        <f>IF($B1280=0,"",IF(Inputs!$B$8="","",IF($AF1280=0,E1279,SUMIFS(Data!$J$10:$J$3209,Data!$I$10:$I$3209,"&gt;="&amp;$A1280,Data!$I$10:$I$3209,"&lt;"&amp;$A1280+1)/$AF1280)))</f>
        <v/>
      </c>
      <c r="F1280" s="56">
        <f>IF($B1280=0,"",IF(Inputs!$B$9="","",IF($AG1280=0,F1279,SUMIFS(Data!$N$10:$N$3209,Data!$M$10:$M$3209,"&gt;="&amp;$A1280,Data!$M$10:$M$3209,"&lt;"&amp;$A1280+1)/$AG1280)))</f>
        <v/>
      </c>
      <c r="G1280" s="56">
        <f>IF($B1280=0,"",IF(Inputs!$B$10="","",IF($AH1280=0,G1279,SUMIFS(Data!$R$10:$R$3209,Data!$Q$10:$Q$3209,"&gt;="&amp;$A1280,Data!$Q$10:$Q$3209,"&lt;"&amp;$A1280+1)/$AH1280)))</f>
        <v/>
      </c>
      <c r="I1280" s="54">
        <f>IF($B1280=0,NA(),IF($C1280="",NA(),IF(C$8="",NA(),IF(N(C$8)=0,NA(),IF(Inputs!$C$17="Rebased to 100",$C1280/C$8*100,$C1280)))))</f>
        <v/>
      </c>
      <c r="J1280" s="54">
        <f>IF($B1280=0,NA(),IF($D1280="",NA(),IF(D$8="",NA(),IF(N(D$8)=0,NA(),IF(Inputs!$C$17="Rebased to 100",$D1280/D$8*100,$D1280)))))</f>
        <v/>
      </c>
      <c r="K1280" s="54">
        <f>IF($B1280=0,NA(),IF($E1280="",NA(),IF(E$8="",NA(),IF(N(E$8)=0,NA(),IF(Inputs!$C$17="Rebased to 100",$E1280/E$8*100,$E1280)))))</f>
        <v/>
      </c>
      <c r="L1280" s="54">
        <f>IF($B1280=0,NA(),IF($F1280="",NA(),IF(F$8="",NA(),IF(N(F$8)=0,NA(),IF(Inputs!$C$17="Rebased to 100",$F1280/F$8*100,$F1280)))))</f>
        <v/>
      </c>
      <c r="M1280" s="54">
        <f>IF($B1280=0,NA(),IF($G1280="",NA(),IF(G$8="",NA(),IF(N(G$8)=0,NA(),IF(Inputs!$C$17="Rebased to 100",$G1280/G$8*100,$G1280)))))</f>
        <v/>
      </c>
      <c r="N1280" s="54">
        <f>IF($B1280=0,NA(),IF(Inputs!$C$18&lt;&gt;"Yes",NA(),IF(COUNT(I1280,J1280,K1280,L1280,M1280)=0,NA(),MIN(I1280,J1280,K1280,L1280,M1280))))</f>
        <v/>
      </c>
      <c r="O1280" s="54">
        <f>IF($B1280=0,NA(),IF(Inputs!$B$24&lt;&gt;"Yes",NA(),Inputs!$D$24*Inputs!$C$35))</f>
        <v/>
      </c>
      <c r="P1280" s="54">
        <f>IF($B1280=0,NA(),IF(Inputs!$B$25&lt;&gt;"Yes",NA(),Inputs!$D$25*Inputs!$C$35))</f>
        <v/>
      </c>
      <c r="Q1280" s="54">
        <f>IF($B1280=0,NA(),IF(Inputs!$B$26&lt;&gt;"Yes",NA(),Inputs!$D$26*Inputs!$C$35))</f>
        <v/>
      </c>
      <c r="R1280" s="54">
        <f>IF($B1280=0,NA(),IF(Inputs!$B$27&lt;&gt;"Yes",NA(),Inputs!$D$27*Inputs!$C$35))</f>
        <v/>
      </c>
      <c r="S1280" s="54">
        <f>IF($B1280=0,NA(),IF(Inputs!$B$28&lt;&gt;"Yes",NA(),Inputs!$D$28*Inputs!$C$35))</f>
        <v/>
      </c>
      <c r="T1280" s="54">
        <f>IF($B1280=0,NA(),IF(Inputs!$B$29&lt;&gt;"Yes",NA(),Inputs!$D$29*Inputs!$C$35))</f>
        <v/>
      </c>
      <c r="AD1280">
        <f>IF($B1280=0,0,IF(Inputs!$B$6="",0,COUNTIFS(Data!$A$10:$A$3209,"&gt;="&amp;$A1280,Data!$A$10:$A$3209,"&lt;"&amp;$A1280+1)))</f>
        <v/>
      </c>
      <c r="AE1280">
        <f>IF($B1280=0,0,IF(Inputs!$B$7="",0,COUNTIFS(Data!$E$10:$E$3209,"&gt;="&amp;$A1280,Data!$E$10:$E$3209,"&lt;"&amp;$A1280+1)))</f>
        <v/>
      </c>
      <c r="AF1280">
        <f>IF($B1280=0,0,IF(Inputs!$B$8="",0,COUNTIFS(Data!$I$10:$I$3209,"&gt;="&amp;$A1280,Data!$I$10:$I$3209,"&lt;"&amp;$A1280+1)))</f>
        <v/>
      </c>
      <c r="AG1280">
        <f>IF($B1280=0,0,IF(Inputs!$B$9="",0,COUNTIFS(Data!$M$10:$M$3209,"&gt;="&amp;$A1280,Data!$M$10:$M$3209,"&lt;"&amp;$A1280+1)))</f>
        <v/>
      </c>
      <c r="AH1280">
        <f>IF($B1280=0,0,IF(Inputs!$B$10="",0,COUNTIFS(Data!$Q$10:$Q$3209,"&gt;="&amp;$A1280,Data!$Q$10:$Q$3209,"&lt;"&amp;$A1280+1)))</f>
        <v/>
      </c>
    </row>
    <row r="1281">
      <c r="A1281" s="55">
        <f>MIN(Inputs!$C$15,$A1280+IF(WEEKDAY($A1280,2)=5,3,1))</f>
        <v/>
      </c>
      <c r="B1281">
        <f>IF($A1281&gt;$A1280,1,0)</f>
        <v/>
      </c>
      <c r="C1281" s="56">
        <f>IF($B1281=0,"",IF(Inputs!$B$6="","",IF($AD1281=0,C1280,SUMIFS(Data!$B$10:$B$3209,Data!$A$10:$A$3209,"&gt;="&amp;$A1281,Data!$A$10:$A$3209,"&lt;"&amp;$A1281+1)/$AD1281)))</f>
        <v/>
      </c>
      <c r="D1281" s="56">
        <f>IF($B1281=0,"",IF(Inputs!$B$7="","",IF($AE1281=0,D1280,SUMIFS(Data!$F$10:$F$3209,Data!$E$10:$E$3209,"&gt;="&amp;$A1281,Data!$E$10:$E$3209,"&lt;"&amp;$A1281+1)/$AE1281)))</f>
        <v/>
      </c>
      <c r="E1281" s="56">
        <f>IF($B1281=0,"",IF(Inputs!$B$8="","",IF($AF1281=0,E1280,SUMIFS(Data!$J$10:$J$3209,Data!$I$10:$I$3209,"&gt;="&amp;$A1281,Data!$I$10:$I$3209,"&lt;"&amp;$A1281+1)/$AF1281)))</f>
        <v/>
      </c>
      <c r="F1281" s="56">
        <f>IF($B1281=0,"",IF(Inputs!$B$9="","",IF($AG1281=0,F1280,SUMIFS(Data!$N$10:$N$3209,Data!$M$10:$M$3209,"&gt;="&amp;$A1281,Data!$M$10:$M$3209,"&lt;"&amp;$A1281+1)/$AG1281)))</f>
        <v/>
      </c>
      <c r="G1281" s="56">
        <f>IF($B1281=0,"",IF(Inputs!$B$10="","",IF($AH1281=0,G1280,SUMIFS(Data!$R$10:$R$3209,Data!$Q$10:$Q$3209,"&gt;="&amp;$A1281,Data!$Q$10:$Q$3209,"&lt;"&amp;$A1281+1)/$AH1281)))</f>
        <v/>
      </c>
      <c r="I1281" s="54">
        <f>IF($B1281=0,NA(),IF($C1281="",NA(),IF(C$8="",NA(),IF(N(C$8)=0,NA(),IF(Inputs!$C$17="Rebased to 100",$C1281/C$8*100,$C1281)))))</f>
        <v/>
      </c>
      <c r="J1281" s="54">
        <f>IF($B1281=0,NA(),IF($D1281="",NA(),IF(D$8="",NA(),IF(N(D$8)=0,NA(),IF(Inputs!$C$17="Rebased to 100",$D1281/D$8*100,$D1281)))))</f>
        <v/>
      </c>
      <c r="K1281" s="54">
        <f>IF($B1281=0,NA(),IF($E1281="",NA(),IF(E$8="",NA(),IF(N(E$8)=0,NA(),IF(Inputs!$C$17="Rebased to 100",$E1281/E$8*100,$E1281)))))</f>
        <v/>
      </c>
      <c r="L1281" s="54">
        <f>IF($B1281=0,NA(),IF($F1281="",NA(),IF(F$8="",NA(),IF(N(F$8)=0,NA(),IF(Inputs!$C$17="Rebased to 100",$F1281/F$8*100,$F1281)))))</f>
        <v/>
      </c>
      <c r="M1281" s="54">
        <f>IF($B1281=0,NA(),IF($G1281="",NA(),IF(G$8="",NA(),IF(N(G$8)=0,NA(),IF(Inputs!$C$17="Rebased to 100",$G1281/G$8*100,$G1281)))))</f>
        <v/>
      </c>
      <c r="N1281" s="54">
        <f>IF($B1281=0,NA(),IF(Inputs!$C$18&lt;&gt;"Yes",NA(),IF(COUNT(I1281,J1281,K1281,L1281,M1281)=0,NA(),MIN(I1281,J1281,K1281,L1281,M1281))))</f>
        <v/>
      </c>
      <c r="O1281" s="54">
        <f>IF($B1281=0,NA(),IF(Inputs!$B$24&lt;&gt;"Yes",NA(),Inputs!$D$24*Inputs!$C$35))</f>
        <v/>
      </c>
      <c r="P1281" s="54">
        <f>IF($B1281=0,NA(),IF(Inputs!$B$25&lt;&gt;"Yes",NA(),Inputs!$D$25*Inputs!$C$35))</f>
        <v/>
      </c>
      <c r="Q1281" s="54">
        <f>IF($B1281=0,NA(),IF(Inputs!$B$26&lt;&gt;"Yes",NA(),Inputs!$D$26*Inputs!$C$35))</f>
        <v/>
      </c>
      <c r="R1281" s="54">
        <f>IF($B1281=0,NA(),IF(Inputs!$B$27&lt;&gt;"Yes",NA(),Inputs!$D$27*Inputs!$C$35))</f>
        <v/>
      </c>
      <c r="S1281" s="54">
        <f>IF($B1281=0,NA(),IF(Inputs!$B$28&lt;&gt;"Yes",NA(),Inputs!$D$28*Inputs!$C$35))</f>
        <v/>
      </c>
      <c r="T1281" s="54">
        <f>IF($B1281=0,NA(),IF(Inputs!$B$29&lt;&gt;"Yes",NA(),Inputs!$D$29*Inputs!$C$35))</f>
        <v/>
      </c>
      <c r="AD1281">
        <f>IF($B1281=0,0,IF(Inputs!$B$6="",0,COUNTIFS(Data!$A$10:$A$3209,"&gt;="&amp;$A1281,Data!$A$10:$A$3209,"&lt;"&amp;$A1281+1)))</f>
        <v/>
      </c>
      <c r="AE1281">
        <f>IF($B1281=0,0,IF(Inputs!$B$7="",0,COUNTIFS(Data!$E$10:$E$3209,"&gt;="&amp;$A1281,Data!$E$10:$E$3209,"&lt;"&amp;$A1281+1)))</f>
        <v/>
      </c>
      <c r="AF1281">
        <f>IF($B1281=0,0,IF(Inputs!$B$8="",0,COUNTIFS(Data!$I$10:$I$3209,"&gt;="&amp;$A1281,Data!$I$10:$I$3209,"&lt;"&amp;$A1281+1)))</f>
        <v/>
      </c>
      <c r="AG1281">
        <f>IF($B1281=0,0,IF(Inputs!$B$9="",0,COUNTIFS(Data!$M$10:$M$3209,"&gt;="&amp;$A1281,Data!$M$10:$M$3209,"&lt;"&amp;$A1281+1)))</f>
        <v/>
      </c>
      <c r="AH1281">
        <f>IF($B1281=0,0,IF(Inputs!$B$10="",0,COUNTIFS(Data!$Q$10:$Q$3209,"&gt;="&amp;$A1281,Data!$Q$10:$Q$3209,"&lt;"&amp;$A1281+1)))</f>
        <v/>
      </c>
    </row>
    <row r="1282">
      <c r="A1282" s="55">
        <f>MIN(Inputs!$C$15,$A1281+IF(WEEKDAY($A1281,2)=5,3,1))</f>
        <v/>
      </c>
      <c r="B1282">
        <f>IF($A1282&gt;$A1281,1,0)</f>
        <v/>
      </c>
      <c r="C1282" s="56">
        <f>IF($B1282=0,"",IF(Inputs!$B$6="","",IF($AD1282=0,C1281,SUMIFS(Data!$B$10:$B$3209,Data!$A$10:$A$3209,"&gt;="&amp;$A1282,Data!$A$10:$A$3209,"&lt;"&amp;$A1282+1)/$AD1282)))</f>
        <v/>
      </c>
      <c r="D1282" s="56">
        <f>IF($B1282=0,"",IF(Inputs!$B$7="","",IF($AE1282=0,D1281,SUMIFS(Data!$F$10:$F$3209,Data!$E$10:$E$3209,"&gt;="&amp;$A1282,Data!$E$10:$E$3209,"&lt;"&amp;$A1282+1)/$AE1282)))</f>
        <v/>
      </c>
      <c r="E1282" s="56">
        <f>IF($B1282=0,"",IF(Inputs!$B$8="","",IF($AF1282=0,E1281,SUMIFS(Data!$J$10:$J$3209,Data!$I$10:$I$3209,"&gt;="&amp;$A1282,Data!$I$10:$I$3209,"&lt;"&amp;$A1282+1)/$AF1282)))</f>
        <v/>
      </c>
      <c r="F1282" s="56">
        <f>IF($B1282=0,"",IF(Inputs!$B$9="","",IF($AG1282=0,F1281,SUMIFS(Data!$N$10:$N$3209,Data!$M$10:$M$3209,"&gt;="&amp;$A1282,Data!$M$10:$M$3209,"&lt;"&amp;$A1282+1)/$AG1282)))</f>
        <v/>
      </c>
      <c r="G1282" s="56">
        <f>IF($B1282=0,"",IF(Inputs!$B$10="","",IF($AH1282=0,G1281,SUMIFS(Data!$R$10:$R$3209,Data!$Q$10:$Q$3209,"&gt;="&amp;$A1282,Data!$Q$10:$Q$3209,"&lt;"&amp;$A1282+1)/$AH1282)))</f>
        <v/>
      </c>
      <c r="I1282" s="54">
        <f>IF($B1282=0,NA(),IF($C1282="",NA(),IF(C$8="",NA(),IF(N(C$8)=0,NA(),IF(Inputs!$C$17="Rebased to 100",$C1282/C$8*100,$C1282)))))</f>
        <v/>
      </c>
      <c r="J1282" s="54">
        <f>IF($B1282=0,NA(),IF($D1282="",NA(),IF(D$8="",NA(),IF(N(D$8)=0,NA(),IF(Inputs!$C$17="Rebased to 100",$D1282/D$8*100,$D1282)))))</f>
        <v/>
      </c>
      <c r="K1282" s="54">
        <f>IF($B1282=0,NA(),IF($E1282="",NA(),IF(E$8="",NA(),IF(N(E$8)=0,NA(),IF(Inputs!$C$17="Rebased to 100",$E1282/E$8*100,$E1282)))))</f>
        <v/>
      </c>
      <c r="L1282" s="54">
        <f>IF($B1282=0,NA(),IF($F1282="",NA(),IF(F$8="",NA(),IF(N(F$8)=0,NA(),IF(Inputs!$C$17="Rebased to 100",$F1282/F$8*100,$F1282)))))</f>
        <v/>
      </c>
      <c r="M1282" s="54">
        <f>IF($B1282=0,NA(),IF($G1282="",NA(),IF(G$8="",NA(),IF(N(G$8)=0,NA(),IF(Inputs!$C$17="Rebased to 100",$G1282/G$8*100,$G1282)))))</f>
        <v/>
      </c>
      <c r="N1282" s="54">
        <f>IF($B1282=0,NA(),IF(Inputs!$C$18&lt;&gt;"Yes",NA(),IF(COUNT(I1282,J1282,K1282,L1282,M1282)=0,NA(),MIN(I1282,J1282,K1282,L1282,M1282))))</f>
        <v/>
      </c>
      <c r="O1282" s="54">
        <f>IF($B1282=0,NA(),IF(Inputs!$B$24&lt;&gt;"Yes",NA(),Inputs!$D$24*Inputs!$C$35))</f>
        <v/>
      </c>
      <c r="P1282" s="54">
        <f>IF($B1282=0,NA(),IF(Inputs!$B$25&lt;&gt;"Yes",NA(),Inputs!$D$25*Inputs!$C$35))</f>
        <v/>
      </c>
      <c r="Q1282" s="54">
        <f>IF($B1282=0,NA(),IF(Inputs!$B$26&lt;&gt;"Yes",NA(),Inputs!$D$26*Inputs!$C$35))</f>
        <v/>
      </c>
      <c r="R1282" s="54">
        <f>IF($B1282=0,NA(),IF(Inputs!$B$27&lt;&gt;"Yes",NA(),Inputs!$D$27*Inputs!$C$35))</f>
        <v/>
      </c>
      <c r="S1282" s="54">
        <f>IF($B1282=0,NA(),IF(Inputs!$B$28&lt;&gt;"Yes",NA(),Inputs!$D$28*Inputs!$C$35))</f>
        <v/>
      </c>
      <c r="T1282" s="54">
        <f>IF($B1282=0,NA(),IF(Inputs!$B$29&lt;&gt;"Yes",NA(),Inputs!$D$29*Inputs!$C$35))</f>
        <v/>
      </c>
      <c r="AD1282">
        <f>IF($B1282=0,0,IF(Inputs!$B$6="",0,COUNTIFS(Data!$A$10:$A$3209,"&gt;="&amp;$A1282,Data!$A$10:$A$3209,"&lt;"&amp;$A1282+1)))</f>
        <v/>
      </c>
      <c r="AE1282">
        <f>IF($B1282=0,0,IF(Inputs!$B$7="",0,COUNTIFS(Data!$E$10:$E$3209,"&gt;="&amp;$A1282,Data!$E$10:$E$3209,"&lt;"&amp;$A1282+1)))</f>
        <v/>
      </c>
      <c r="AF1282">
        <f>IF($B1282=0,0,IF(Inputs!$B$8="",0,COUNTIFS(Data!$I$10:$I$3209,"&gt;="&amp;$A1282,Data!$I$10:$I$3209,"&lt;"&amp;$A1282+1)))</f>
        <v/>
      </c>
      <c r="AG1282">
        <f>IF($B1282=0,0,IF(Inputs!$B$9="",0,COUNTIFS(Data!$M$10:$M$3209,"&gt;="&amp;$A1282,Data!$M$10:$M$3209,"&lt;"&amp;$A1282+1)))</f>
        <v/>
      </c>
      <c r="AH1282">
        <f>IF($B1282=0,0,IF(Inputs!$B$10="",0,COUNTIFS(Data!$Q$10:$Q$3209,"&gt;="&amp;$A1282,Data!$Q$10:$Q$3209,"&lt;"&amp;$A1282+1)))</f>
        <v/>
      </c>
    </row>
    <row r="1283">
      <c r="A1283" s="55">
        <f>MIN(Inputs!$C$15,$A1282+IF(WEEKDAY($A1282,2)=5,3,1))</f>
        <v/>
      </c>
      <c r="B1283">
        <f>IF($A1283&gt;$A1282,1,0)</f>
        <v/>
      </c>
      <c r="C1283" s="56">
        <f>IF($B1283=0,"",IF(Inputs!$B$6="","",IF($AD1283=0,C1282,SUMIFS(Data!$B$10:$B$3209,Data!$A$10:$A$3209,"&gt;="&amp;$A1283,Data!$A$10:$A$3209,"&lt;"&amp;$A1283+1)/$AD1283)))</f>
        <v/>
      </c>
      <c r="D1283" s="56">
        <f>IF($B1283=0,"",IF(Inputs!$B$7="","",IF($AE1283=0,D1282,SUMIFS(Data!$F$10:$F$3209,Data!$E$10:$E$3209,"&gt;="&amp;$A1283,Data!$E$10:$E$3209,"&lt;"&amp;$A1283+1)/$AE1283)))</f>
        <v/>
      </c>
      <c r="E1283" s="56">
        <f>IF($B1283=0,"",IF(Inputs!$B$8="","",IF($AF1283=0,E1282,SUMIFS(Data!$J$10:$J$3209,Data!$I$10:$I$3209,"&gt;="&amp;$A1283,Data!$I$10:$I$3209,"&lt;"&amp;$A1283+1)/$AF1283)))</f>
        <v/>
      </c>
      <c r="F1283" s="56">
        <f>IF($B1283=0,"",IF(Inputs!$B$9="","",IF($AG1283=0,F1282,SUMIFS(Data!$N$10:$N$3209,Data!$M$10:$M$3209,"&gt;="&amp;$A1283,Data!$M$10:$M$3209,"&lt;"&amp;$A1283+1)/$AG1283)))</f>
        <v/>
      </c>
      <c r="G1283" s="56">
        <f>IF($B1283=0,"",IF(Inputs!$B$10="","",IF($AH1283=0,G1282,SUMIFS(Data!$R$10:$R$3209,Data!$Q$10:$Q$3209,"&gt;="&amp;$A1283,Data!$Q$10:$Q$3209,"&lt;"&amp;$A1283+1)/$AH1283)))</f>
        <v/>
      </c>
      <c r="I1283" s="54">
        <f>IF($B1283=0,NA(),IF($C1283="",NA(),IF(C$8="",NA(),IF(N(C$8)=0,NA(),IF(Inputs!$C$17="Rebased to 100",$C1283/C$8*100,$C1283)))))</f>
        <v/>
      </c>
      <c r="J1283" s="54">
        <f>IF($B1283=0,NA(),IF($D1283="",NA(),IF(D$8="",NA(),IF(N(D$8)=0,NA(),IF(Inputs!$C$17="Rebased to 100",$D1283/D$8*100,$D1283)))))</f>
        <v/>
      </c>
      <c r="K1283" s="54">
        <f>IF($B1283=0,NA(),IF($E1283="",NA(),IF(E$8="",NA(),IF(N(E$8)=0,NA(),IF(Inputs!$C$17="Rebased to 100",$E1283/E$8*100,$E1283)))))</f>
        <v/>
      </c>
      <c r="L1283" s="54">
        <f>IF($B1283=0,NA(),IF($F1283="",NA(),IF(F$8="",NA(),IF(N(F$8)=0,NA(),IF(Inputs!$C$17="Rebased to 100",$F1283/F$8*100,$F1283)))))</f>
        <v/>
      </c>
      <c r="M1283" s="54">
        <f>IF($B1283=0,NA(),IF($G1283="",NA(),IF(G$8="",NA(),IF(N(G$8)=0,NA(),IF(Inputs!$C$17="Rebased to 100",$G1283/G$8*100,$G1283)))))</f>
        <v/>
      </c>
      <c r="N1283" s="54">
        <f>IF($B1283=0,NA(),IF(Inputs!$C$18&lt;&gt;"Yes",NA(),IF(COUNT(I1283,J1283,K1283,L1283,M1283)=0,NA(),MIN(I1283,J1283,K1283,L1283,M1283))))</f>
        <v/>
      </c>
      <c r="O1283" s="54">
        <f>IF($B1283=0,NA(),IF(Inputs!$B$24&lt;&gt;"Yes",NA(),Inputs!$D$24*Inputs!$C$35))</f>
        <v/>
      </c>
      <c r="P1283" s="54">
        <f>IF($B1283=0,NA(),IF(Inputs!$B$25&lt;&gt;"Yes",NA(),Inputs!$D$25*Inputs!$C$35))</f>
        <v/>
      </c>
      <c r="Q1283" s="54">
        <f>IF($B1283=0,NA(),IF(Inputs!$B$26&lt;&gt;"Yes",NA(),Inputs!$D$26*Inputs!$C$35))</f>
        <v/>
      </c>
      <c r="R1283" s="54">
        <f>IF($B1283=0,NA(),IF(Inputs!$B$27&lt;&gt;"Yes",NA(),Inputs!$D$27*Inputs!$C$35))</f>
        <v/>
      </c>
      <c r="S1283" s="54">
        <f>IF($B1283=0,NA(),IF(Inputs!$B$28&lt;&gt;"Yes",NA(),Inputs!$D$28*Inputs!$C$35))</f>
        <v/>
      </c>
      <c r="T1283" s="54">
        <f>IF($B1283=0,NA(),IF(Inputs!$B$29&lt;&gt;"Yes",NA(),Inputs!$D$29*Inputs!$C$35))</f>
        <v/>
      </c>
      <c r="AD1283">
        <f>IF($B1283=0,0,IF(Inputs!$B$6="",0,COUNTIFS(Data!$A$10:$A$3209,"&gt;="&amp;$A1283,Data!$A$10:$A$3209,"&lt;"&amp;$A1283+1)))</f>
        <v/>
      </c>
      <c r="AE1283">
        <f>IF($B1283=0,0,IF(Inputs!$B$7="",0,COUNTIFS(Data!$E$10:$E$3209,"&gt;="&amp;$A1283,Data!$E$10:$E$3209,"&lt;"&amp;$A1283+1)))</f>
        <v/>
      </c>
      <c r="AF1283">
        <f>IF($B1283=0,0,IF(Inputs!$B$8="",0,COUNTIFS(Data!$I$10:$I$3209,"&gt;="&amp;$A1283,Data!$I$10:$I$3209,"&lt;"&amp;$A1283+1)))</f>
        <v/>
      </c>
      <c r="AG1283">
        <f>IF($B1283=0,0,IF(Inputs!$B$9="",0,COUNTIFS(Data!$M$10:$M$3209,"&gt;="&amp;$A1283,Data!$M$10:$M$3209,"&lt;"&amp;$A1283+1)))</f>
        <v/>
      </c>
      <c r="AH1283">
        <f>IF($B1283=0,0,IF(Inputs!$B$10="",0,COUNTIFS(Data!$Q$10:$Q$3209,"&gt;="&amp;$A1283,Data!$Q$10:$Q$3209,"&lt;"&amp;$A1283+1)))</f>
        <v/>
      </c>
    </row>
    <row r="1284">
      <c r="A1284" s="55">
        <f>MIN(Inputs!$C$15,$A1283+IF(WEEKDAY($A1283,2)=5,3,1))</f>
        <v/>
      </c>
      <c r="B1284">
        <f>IF($A1284&gt;$A1283,1,0)</f>
        <v/>
      </c>
      <c r="C1284" s="56">
        <f>IF($B1284=0,"",IF(Inputs!$B$6="","",IF($AD1284=0,C1283,SUMIFS(Data!$B$10:$B$3209,Data!$A$10:$A$3209,"&gt;="&amp;$A1284,Data!$A$10:$A$3209,"&lt;"&amp;$A1284+1)/$AD1284)))</f>
        <v/>
      </c>
      <c r="D1284" s="56">
        <f>IF($B1284=0,"",IF(Inputs!$B$7="","",IF($AE1284=0,D1283,SUMIFS(Data!$F$10:$F$3209,Data!$E$10:$E$3209,"&gt;="&amp;$A1284,Data!$E$10:$E$3209,"&lt;"&amp;$A1284+1)/$AE1284)))</f>
        <v/>
      </c>
      <c r="E1284" s="56">
        <f>IF($B1284=0,"",IF(Inputs!$B$8="","",IF($AF1284=0,E1283,SUMIFS(Data!$J$10:$J$3209,Data!$I$10:$I$3209,"&gt;="&amp;$A1284,Data!$I$10:$I$3209,"&lt;"&amp;$A1284+1)/$AF1284)))</f>
        <v/>
      </c>
      <c r="F1284" s="56">
        <f>IF($B1284=0,"",IF(Inputs!$B$9="","",IF($AG1284=0,F1283,SUMIFS(Data!$N$10:$N$3209,Data!$M$10:$M$3209,"&gt;="&amp;$A1284,Data!$M$10:$M$3209,"&lt;"&amp;$A1284+1)/$AG1284)))</f>
        <v/>
      </c>
      <c r="G1284" s="56">
        <f>IF($B1284=0,"",IF(Inputs!$B$10="","",IF($AH1284=0,G1283,SUMIFS(Data!$R$10:$R$3209,Data!$Q$10:$Q$3209,"&gt;="&amp;$A1284,Data!$Q$10:$Q$3209,"&lt;"&amp;$A1284+1)/$AH1284)))</f>
        <v/>
      </c>
      <c r="I1284" s="54">
        <f>IF($B1284=0,NA(),IF($C1284="",NA(),IF(C$8="",NA(),IF(N(C$8)=0,NA(),IF(Inputs!$C$17="Rebased to 100",$C1284/C$8*100,$C1284)))))</f>
        <v/>
      </c>
      <c r="J1284" s="54">
        <f>IF($B1284=0,NA(),IF($D1284="",NA(),IF(D$8="",NA(),IF(N(D$8)=0,NA(),IF(Inputs!$C$17="Rebased to 100",$D1284/D$8*100,$D1284)))))</f>
        <v/>
      </c>
      <c r="K1284" s="54">
        <f>IF($B1284=0,NA(),IF($E1284="",NA(),IF(E$8="",NA(),IF(N(E$8)=0,NA(),IF(Inputs!$C$17="Rebased to 100",$E1284/E$8*100,$E1284)))))</f>
        <v/>
      </c>
      <c r="L1284" s="54">
        <f>IF($B1284=0,NA(),IF($F1284="",NA(),IF(F$8="",NA(),IF(N(F$8)=0,NA(),IF(Inputs!$C$17="Rebased to 100",$F1284/F$8*100,$F1284)))))</f>
        <v/>
      </c>
      <c r="M1284" s="54">
        <f>IF($B1284=0,NA(),IF($G1284="",NA(),IF(G$8="",NA(),IF(N(G$8)=0,NA(),IF(Inputs!$C$17="Rebased to 100",$G1284/G$8*100,$G1284)))))</f>
        <v/>
      </c>
      <c r="N1284" s="54">
        <f>IF($B1284=0,NA(),IF(Inputs!$C$18&lt;&gt;"Yes",NA(),IF(COUNT(I1284,J1284,K1284,L1284,M1284)=0,NA(),MIN(I1284,J1284,K1284,L1284,M1284))))</f>
        <v/>
      </c>
      <c r="O1284" s="54">
        <f>IF($B1284=0,NA(),IF(Inputs!$B$24&lt;&gt;"Yes",NA(),Inputs!$D$24*Inputs!$C$35))</f>
        <v/>
      </c>
      <c r="P1284" s="54">
        <f>IF($B1284=0,NA(),IF(Inputs!$B$25&lt;&gt;"Yes",NA(),Inputs!$D$25*Inputs!$C$35))</f>
        <v/>
      </c>
      <c r="Q1284" s="54">
        <f>IF($B1284=0,NA(),IF(Inputs!$B$26&lt;&gt;"Yes",NA(),Inputs!$D$26*Inputs!$C$35))</f>
        <v/>
      </c>
      <c r="R1284" s="54">
        <f>IF($B1284=0,NA(),IF(Inputs!$B$27&lt;&gt;"Yes",NA(),Inputs!$D$27*Inputs!$C$35))</f>
        <v/>
      </c>
      <c r="S1284" s="54">
        <f>IF($B1284=0,NA(),IF(Inputs!$B$28&lt;&gt;"Yes",NA(),Inputs!$D$28*Inputs!$C$35))</f>
        <v/>
      </c>
      <c r="T1284" s="54">
        <f>IF($B1284=0,NA(),IF(Inputs!$B$29&lt;&gt;"Yes",NA(),Inputs!$D$29*Inputs!$C$35))</f>
        <v/>
      </c>
      <c r="AD1284">
        <f>IF($B1284=0,0,IF(Inputs!$B$6="",0,COUNTIFS(Data!$A$10:$A$3209,"&gt;="&amp;$A1284,Data!$A$10:$A$3209,"&lt;"&amp;$A1284+1)))</f>
        <v/>
      </c>
      <c r="AE1284">
        <f>IF($B1284=0,0,IF(Inputs!$B$7="",0,COUNTIFS(Data!$E$10:$E$3209,"&gt;="&amp;$A1284,Data!$E$10:$E$3209,"&lt;"&amp;$A1284+1)))</f>
        <v/>
      </c>
      <c r="AF1284">
        <f>IF($B1284=0,0,IF(Inputs!$B$8="",0,COUNTIFS(Data!$I$10:$I$3209,"&gt;="&amp;$A1284,Data!$I$10:$I$3209,"&lt;"&amp;$A1284+1)))</f>
        <v/>
      </c>
      <c r="AG1284">
        <f>IF($B1284=0,0,IF(Inputs!$B$9="",0,COUNTIFS(Data!$M$10:$M$3209,"&gt;="&amp;$A1284,Data!$M$10:$M$3209,"&lt;"&amp;$A1284+1)))</f>
        <v/>
      </c>
      <c r="AH1284">
        <f>IF($B1284=0,0,IF(Inputs!$B$10="",0,COUNTIFS(Data!$Q$10:$Q$3209,"&gt;="&amp;$A1284,Data!$Q$10:$Q$3209,"&lt;"&amp;$A1284+1)))</f>
        <v/>
      </c>
    </row>
    <row r="1285">
      <c r="A1285" s="55">
        <f>MIN(Inputs!$C$15,$A1284+IF(WEEKDAY($A1284,2)=5,3,1))</f>
        <v/>
      </c>
      <c r="B1285">
        <f>IF($A1285&gt;$A1284,1,0)</f>
        <v/>
      </c>
      <c r="C1285" s="56">
        <f>IF($B1285=0,"",IF(Inputs!$B$6="","",IF($AD1285=0,C1284,SUMIFS(Data!$B$10:$B$3209,Data!$A$10:$A$3209,"&gt;="&amp;$A1285,Data!$A$10:$A$3209,"&lt;"&amp;$A1285+1)/$AD1285)))</f>
        <v/>
      </c>
      <c r="D1285" s="56">
        <f>IF($B1285=0,"",IF(Inputs!$B$7="","",IF($AE1285=0,D1284,SUMIFS(Data!$F$10:$F$3209,Data!$E$10:$E$3209,"&gt;="&amp;$A1285,Data!$E$10:$E$3209,"&lt;"&amp;$A1285+1)/$AE1285)))</f>
        <v/>
      </c>
      <c r="E1285" s="56">
        <f>IF($B1285=0,"",IF(Inputs!$B$8="","",IF($AF1285=0,E1284,SUMIFS(Data!$J$10:$J$3209,Data!$I$10:$I$3209,"&gt;="&amp;$A1285,Data!$I$10:$I$3209,"&lt;"&amp;$A1285+1)/$AF1285)))</f>
        <v/>
      </c>
      <c r="F1285" s="56">
        <f>IF($B1285=0,"",IF(Inputs!$B$9="","",IF($AG1285=0,F1284,SUMIFS(Data!$N$10:$N$3209,Data!$M$10:$M$3209,"&gt;="&amp;$A1285,Data!$M$10:$M$3209,"&lt;"&amp;$A1285+1)/$AG1285)))</f>
        <v/>
      </c>
      <c r="G1285" s="56">
        <f>IF($B1285=0,"",IF(Inputs!$B$10="","",IF($AH1285=0,G1284,SUMIFS(Data!$R$10:$R$3209,Data!$Q$10:$Q$3209,"&gt;="&amp;$A1285,Data!$Q$10:$Q$3209,"&lt;"&amp;$A1285+1)/$AH1285)))</f>
        <v/>
      </c>
      <c r="I1285" s="54">
        <f>IF($B1285=0,NA(),IF($C1285="",NA(),IF(C$8="",NA(),IF(N(C$8)=0,NA(),IF(Inputs!$C$17="Rebased to 100",$C1285/C$8*100,$C1285)))))</f>
        <v/>
      </c>
      <c r="J1285" s="54">
        <f>IF($B1285=0,NA(),IF($D1285="",NA(),IF(D$8="",NA(),IF(N(D$8)=0,NA(),IF(Inputs!$C$17="Rebased to 100",$D1285/D$8*100,$D1285)))))</f>
        <v/>
      </c>
      <c r="K1285" s="54">
        <f>IF($B1285=0,NA(),IF($E1285="",NA(),IF(E$8="",NA(),IF(N(E$8)=0,NA(),IF(Inputs!$C$17="Rebased to 100",$E1285/E$8*100,$E1285)))))</f>
        <v/>
      </c>
      <c r="L1285" s="54">
        <f>IF($B1285=0,NA(),IF($F1285="",NA(),IF(F$8="",NA(),IF(N(F$8)=0,NA(),IF(Inputs!$C$17="Rebased to 100",$F1285/F$8*100,$F1285)))))</f>
        <v/>
      </c>
      <c r="M1285" s="54">
        <f>IF($B1285=0,NA(),IF($G1285="",NA(),IF(G$8="",NA(),IF(N(G$8)=0,NA(),IF(Inputs!$C$17="Rebased to 100",$G1285/G$8*100,$G1285)))))</f>
        <v/>
      </c>
      <c r="N1285" s="54">
        <f>IF($B1285=0,NA(),IF(Inputs!$C$18&lt;&gt;"Yes",NA(),IF(COUNT(I1285,J1285,K1285,L1285,M1285)=0,NA(),MIN(I1285,J1285,K1285,L1285,M1285))))</f>
        <v/>
      </c>
      <c r="O1285" s="54">
        <f>IF($B1285=0,NA(),IF(Inputs!$B$24&lt;&gt;"Yes",NA(),Inputs!$D$24*Inputs!$C$35))</f>
        <v/>
      </c>
      <c r="P1285" s="54">
        <f>IF($B1285=0,NA(),IF(Inputs!$B$25&lt;&gt;"Yes",NA(),Inputs!$D$25*Inputs!$C$35))</f>
        <v/>
      </c>
      <c r="Q1285" s="54">
        <f>IF($B1285=0,NA(),IF(Inputs!$B$26&lt;&gt;"Yes",NA(),Inputs!$D$26*Inputs!$C$35))</f>
        <v/>
      </c>
      <c r="R1285" s="54">
        <f>IF($B1285=0,NA(),IF(Inputs!$B$27&lt;&gt;"Yes",NA(),Inputs!$D$27*Inputs!$C$35))</f>
        <v/>
      </c>
      <c r="S1285" s="54">
        <f>IF($B1285=0,NA(),IF(Inputs!$B$28&lt;&gt;"Yes",NA(),Inputs!$D$28*Inputs!$C$35))</f>
        <v/>
      </c>
      <c r="T1285" s="54">
        <f>IF($B1285=0,NA(),IF(Inputs!$B$29&lt;&gt;"Yes",NA(),Inputs!$D$29*Inputs!$C$35))</f>
        <v/>
      </c>
      <c r="AD1285">
        <f>IF($B1285=0,0,IF(Inputs!$B$6="",0,COUNTIFS(Data!$A$10:$A$3209,"&gt;="&amp;$A1285,Data!$A$10:$A$3209,"&lt;"&amp;$A1285+1)))</f>
        <v/>
      </c>
      <c r="AE1285">
        <f>IF($B1285=0,0,IF(Inputs!$B$7="",0,COUNTIFS(Data!$E$10:$E$3209,"&gt;="&amp;$A1285,Data!$E$10:$E$3209,"&lt;"&amp;$A1285+1)))</f>
        <v/>
      </c>
      <c r="AF1285">
        <f>IF($B1285=0,0,IF(Inputs!$B$8="",0,COUNTIFS(Data!$I$10:$I$3209,"&gt;="&amp;$A1285,Data!$I$10:$I$3209,"&lt;"&amp;$A1285+1)))</f>
        <v/>
      </c>
      <c r="AG1285">
        <f>IF($B1285=0,0,IF(Inputs!$B$9="",0,COUNTIFS(Data!$M$10:$M$3209,"&gt;="&amp;$A1285,Data!$M$10:$M$3209,"&lt;"&amp;$A1285+1)))</f>
        <v/>
      </c>
      <c r="AH1285">
        <f>IF($B1285=0,0,IF(Inputs!$B$10="",0,COUNTIFS(Data!$Q$10:$Q$3209,"&gt;="&amp;$A1285,Data!$Q$10:$Q$3209,"&lt;"&amp;$A1285+1)))</f>
        <v/>
      </c>
    </row>
    <row r="1286">
      <c r="A1286" s="55">
        <f>MIN(Inputs!$C$15,$A1285+IF(WEEKDAY($A1285,2)=5,3,1))</f>
        <v/>
      </c>
      <c r="B1286">
        <f>IF($A1286&gt;$A1285,1,0)</f>
        <v/>
      </c>
      <c r="C1286" s="56">
        <f>IF($B1286=0,"",IF(Inputs!$B$6="","",IF($AD1286=0,C1285,SUMIFS(Data!$B$10:$B$3209,Data!$A$10:$A$3209,"&gt;="&amp;$A1286,Data!$A$10:$A$3209,"&lt;"&amp;$A1286+1)/$AD1286)))</f>
        <v/>
      </c>
      <c r="D1286" s="56">
        <f>IF($B1286=0,"",IF(Inputs!$B$7="","",IF($AE1286=0,D1285,SUMIFS(Data!$F$10:$F$3209,Data!$E$10:$E$3209,"&gt;="&amp;$A1286,Data!$E$10:$E$3209,"&lt;"&amp;$A1286+1)/$AE1286)))</f>
        <v/>
      </c>
      <c r="E1286" s="56">
        <f>IF($B1286=0,"",IF(Inputs!$B$8="","",IF($AF1286=0,E1285,SUMIFS(Data!$J$10:$J$3209,Data!$I$10:$I$3209,"&gt;="&amp;$A1286,Data!$I$10:$I$3209,"&lt;"&amp;$A1286+1)/$AF1286)))</f>
        <v/>
      </c>
      <c r="F1286" s="56">
        <f>IF($B1286=0,"",IF(Inputs!$B$9="","",IF($AG1286=0,F1285,SUMIFS(Data!$N$10:$N$3209,Data!$M$10:$M$3209,"&gt;="&amp;$A1286,Data!$M$10:$M$3209,"&lt;"&amp;$A1286+1)/$AG1286)))</f>
        <v/>
      </c>
      <c r="G1286" s="56">
        <f>IF($B1286=0,"",IF(Inputs!$B$10="","",IF($AH1286=0,G1285,SUMIFS(Data!$R$10:$R$3209,Data!$Q$10:$Q$3209,"&gt;="&amp;$A1286,Data!$Q$10:$Q$3209,"&lt;"&amp;$A1286+1)/$AH1286)))</f>
        <v/>
      </c>
      <c r="I1286" s="54">
        <f>IF($B1286=0,NA(),IF($C1286="",NA(),IF(C$8="",NA(),IF(N(C$8)=0,NA(),IF(Inputs!$C$17="Rebased to 100",$C1286/C$8*100,$C1286)))))</f>
        <v/>
      </c>
      <c r="J1286" s="54">
        <f>IF($B1286=0,NA(),IF($D1286="",NA(),IF(D$8="",NA(),IF(N(D$8)=0,NA(),IF(Inputs!$C$17="Rebased to 100",$D1286/D$8*100,$D1286)))))</f>
        <v/>
      </c>
      <c r="K1286" s="54">
        <f>IF($B1286=0,NA(),IF($E1286="",NA(),IF(E$8="",NA(),IF(N(E$8)=0,NA(),IF(Inputs!$C$17="Rebased to 100",$E1286/E$8*100,$E1286)))))</f>
        <v/>
      </c>
      <c r="L1286" s="54">
        <f>IF($B1286=0,NA(),IF($F1286="",NA(),IF(F$8="",NA(),IF(N(F$8)=0,NA(),IF(Inputs!$C$17="Rebased to 100",$F1286/F$8*100,$F1286)))))</f>
        <v/>
      </c>
      <c r="M1286" s="54">
        <f>IF($B1286=0,NA(),IF($G1286="",NA(),IF(G$8="",NA(),IF(N(G$8)=0,NA(),IF(Inputs!$C$17="Rebased to 100",$G1286/G$8*100,$G1286)))))</f>
        <v/>
      </c>
      <c r="N1286" s="54">
        <f>IF($B1286=0,NA(),IF(Inputs!$C$18&lt;&gt;"Yes",NA(),IF(COUNT(I1286,J1286,K1286,L1286,M1286)=0,NA(),MIN(I1286,J1286,K1286,L1286,M1286))))</f>
        <v/>
      </c>
      <c r="O1286" s="54">
        <f>IF($B1286=0,NA(),IF(Inputs!$B$24&lt;&gt;"Yes",NA(),Inputs!$D$24*Inputs!$C$35))</f>
        <v/>
      </c>
      <c r="P1286" s="54">
        <f>IF($B1286=0,NA(),IF(Inputs!$B$25&lt;&gt;"Yes",NA(),Inputs!$D$25*Inputs!$C$35))</f>
        <v/>
      </c>
      <c r="Q1286" s="54">
        <f>IF($B1286=0,NA(),IF(Inputs!$B$26&lt;&gt;"Yes",NA(),Inputs!$D$26*Inputs!$C$35))</f>
        <v/>
      </c>
      <c r="R1286" s="54">
        <f>IF($B1286=0,NA(),IF(Inputs!$B$27&lt;&gt;"Yes",NA(),Inputs!$D$27*Inputs!$C$35))</f>
        <v/>
      </c>
      <c r="S1286" s="54">
        <f>IF($B1286=0,NA(),IF(Inputs!$B$28&lt;&gt;"Yes",NA(),Inputs!$D$28*Inputs!$C$35))</f>
        <v/>
      </c>
      <c r="T1286" s="54">
        <f>IF($B1286=0,NA(),IF(Inputs!$B$29&lt;&gt;"Yes",NA(),Inputs!$D$29*Inputs!$C$35))</f>
        <v/>
      </c>
      <c r="AD1286">
        <f>IF($B1286=0,0,IF(Inputs!$B$6="",0,COUNTIFS(Data!$A$10:$A$3209,"&gt;="&amp;$A1286,Data!$A$10:$A$3209,"&lt;"&amp;$A1286+1)))</f>
        <v/>
      </c>
      <c r="AE1286">
        <f>IF($B1286=0,0,IF(Inputs!$B$7="",0,COUNTIFS(Data!$E$10:$E$3209,"&gt;="&amp;$A1286,Data!$E$10:$E$3209,"&lt;"&amp;$A1286+1)))</f>
        <v/>
      </c>
      <c r="AF1286">
        <f>IF($B1286=0,0,IF(Inputs!$B$8="",0,COUNTIFS(Data!$I$10:$I$3209,"&gt;="&amp;$A1286,Data!$I$10:$I$3209,"&lt;"&amp;$A1286+1)))</f>
        <v/>
      </c>
      <c r="AG1286">
        <f>IF($B1286=0,0,IF(Inputs!$B$9="",0,COUNTIFS(Data!$M$10:$M$3209,"&gt;="&amp;$A1286,Data!$M$10:$M$3209,"&lt;"&amp;$A1286+1)))</f>
        <v/>
      </c>
      <c r="AH1286">
        <f>IF($B1286=0,0,IF(Inputs!$B$10="",0,COUNTIFS(Data!$Q$10:$Q$3209,"&gt;="&amp;$A1286,Data!$Q$10:$Q$3209,"&lt;"&amp;$A1286+1)))</f>
        <v/>
      </c>
    </row>
    <row r="1287">
      <c r="A1287" s="55">
        <f>MIN(Inputs!$C$15,$A1286+IF(WEEKDAY($A1286,2)=5,3,1))</f>
        <v/>
      </c>
      <c r="B1287">
        <f>IF($A1287&gt;$A1286,1,0)</f>
        <v/>
      </c>
      <c r="C1287" s="56">
        <f>IF($B1287=0,"",IF(Inputs!$B$6="","",IF($AD1287=0,C1286,SUMIFS(Data!$B$10:$B$3209,Data!$A$10:$A$3209,"&gt;="&amp;$A1287,Data!$A$10:$A$3209,"&lt;"&amp;$A1287+1)/$AD1287)))</f>
        <v/>
      </c>
      <c r="D1287" s="56">
        <f>IF($B1287=0,"",IF(Inputs!$B$7="","",IF($AE1287=0,D1286,SUMIFS(Data!$F$10:$F$3209,Data!$E$10:$E$3209,"&gt;="&amp;$A1287,Data!$E$10:$E$3209,"&lt;"&amp;$A1287+1)/$AE1287)))</f>
        <v/>
      </c>
      <c r="E1287" s="56">
        <f>IF($B1287=0,"",IF(Inputs!$B$8="","",IF($AF1287=0,E1286,SUMIFS(Data!$J$10:$J$3209,Data!$I$10:$I$3209,"&gt;="&amp;$A1287,Data!$I$10:$I$3209,"&lt;"&amp;$A1287+1)/$AF1287)))</f>
        <v/>
      </c>
      <c r="F1287" s="56">
        <f>IF($B1287=0,"",IF(Inputs!$B$9="","",IF($AG1287=0,F1286,SUMIFS(Data!$N$10:$N$3209,Data!$M$10:$M$3209,"&gt;="&amp;$A1287,Data!$M$10:$M$3209,"&lt;"&amp;$A1287+1)/$AG1287)))</f>
        <v/>
      </c>
      <c r="G1287" s="56">
        <f>IF($B1287=0,"",IF(Inputs!$B$10="","",IF($AH1287=0,G1286,SUMIFS(Data!$R$10:$R$3209,Data!$Q$10:$Q$3209,"&gt;="&amp;$A1287,Data!$Q$10:$Q$3209,"&lt;"&amp;$A1287+1)/$AH1287)))</f>
        <v/>
      </c>
      <c r="I1287" s="54">
        <f>IF($B1287=0,NA(),IF($C1287="",NA(),IF(C$8="",NA(),IF(N(C$8)=0,NA(),IF(Inputs!$C$17="Rebased to 100",$C1287/C$8*100,$C1287)))))</f>
        <v/>
      </c>
      <c r="J1287" s="54">
        <f>IF($B1287=0,NA(),IF($D1287="",NA(),IF(D$8="",NA(),IF(N(D$8)=0,NA(),IF(Inputs!$C$17="Rebased to 100",$D1287/D$8*100,$D1287)))))</f>
        <v/>
      </c>
      <c r="K1287" s="54">
        <f>IF($B1287=0,NA(),IF($E1287="",NA(),IF(E$8="",NA(),IF(N(E$8)=0,NA(),IF(Inputs!$C$17="Rebased to 100",$E1287/E$8*100,$E1287)))))</f>
        <v/>
      </c>
      <c r="L1287" s="54">
        <f>IF($B1287=0,NA(),IF($F1287="",NA(),IF(F$8="",NA(),IF(N(F$8)=0,NA(),IF(Inputs!$C$17="Rebased to 100",$F1287/F$8*100,$F1287)))))</f>
        <v/>
      </c>
      <c r="M1287" s="54">
        <f>IF($B1287=0,NA(),IF($G1287="",NA(),IF(G$8="",NA(),IF(N(G$8)=0,NA(),IF(Inputs!$C$17="Rebased to 100",$G1287/G$8*100,$G1287)))))</f>
        <v/>
      </c>
      <c r="N1287" s="54">
        <f>IF($B1287=0,NA(),IF(Inputs!$C$18&lt;&gt;"Yes",NA(),IF(COUNT(I1287,J1287,K1287,L1287,M1287)=0,NA(),MIN(I1287,J1287,K1287,L1287,M1287))))</f>
        <v/>
      </c>
      <c r="O1287" s="54">
        <f>IF($B1287=0,NA(),IF(Inputs!$B$24&lt;&gt;"Yes",NA(),Inputs!$D$24*Inputs!$C$35))</f>
        <v/>
      </c>
      <c r="P1287" s="54">
        <f>IF($B1287=0,NA(),IF(Inputs!$B$25&lt;&gt;"Yes",NA(),Inputs!$D$25*Inputs!$C$35))</f>
        <v/>
      </c>
      <c r="Q1287" s="54">
        <f>IF($B1287=0,NA(),IF(Inputs!$B$26&lt;&gt;"Yes",NA(),Inputs!$D$26*Inputs!$C$35))</f>
        <v/>
      </c>
      <c r="R1287" s="54">
        <f>IF($B1287=0,NA(),IF(Inputs!$B$27&lt;&gt;"Yes",NA(),Inputs!$D$27*Inputs!$C$35))</f>
        <v/>
      </c>
      <c r="S1287" s="54">
        <f>IF($B1287=0,NA(),IF(Inputs!$B$28&lt;&gt;"Yes",NA(),Inputs!$D$28*Inputs!$C$35))</f>
        <v/>
      </c>
      <c r="T1287" s="54">
        <f>IF($B1287=0,NA(),IF(Inputs!$B$29&lt;&gt;"Yes",NA(),Inputs!$D$29*Inputs!$C$35))</f>
        <v/>
      </c>
      <c r="AD1287">
        <f>IF($B1287=0,0,IF(Inputs!$B$6="",0,COUNTIFS(Data!$A$10:$A$3209,"&gt;="&amp;$A1287,Data!$A$10:$A$3209,"&lt;"&amp;$A1287+1)))</f>
        <v/>
      </c>
      <c r="AE1287">
        <f>IF($B1287=0,0,IF(Inputs!$B$7="",0,COUNTIFS(Data!$E$10:$E$3209,"&gt;="&amp;$A1287,Data!$E$10:$E$3209,"&lt;"&amp;$A1287+1)))</f>
        <v/>
      </c>
      <c r="AF1287">
        <f>IF($B1287=0,0,IF(Inputs!$B$8="",0,COUNTIFS(Data!$I$10:$I$3209,"&gt;="&amp;$A1287,Data!$I$10:$I$3209,"&lt;"&amp;$A1287+1)))</f>
        <v/>
      </c>
      <c r="AG1287">
        <f>IF($B1287=0,0,IF(Inputs!$B$9="",0,COUNTIFS(Data!$M$10:$M$3209,"&gt;="&amp;$A1287,Data!$M$10:$M$3209,"&lt;"&amp;$A1287+1)))</f>
        <v/>
      </c>
      <c r="AH1287">
        <f>IF($B1287=0,0,IF(Inputs!$B$10="",0,COUNTIFS(Data!$Q$10:$Q$3209,"&gt;="&amp;$A1287,Data!$Q$10:$Q$3209,"&lt;"&amp;$A1287+1)))</f>
        <v/>
      </c>
    </row>
    <row r="1288">
      <c r="A1288" s="55">
        <f>MIN(Inputs!$C$15,$A1287+IF(WEEKDAY($A1287,2)=5,3,1))</f>
        <v/>
      </c>
      <c r="B1288">
        <f>IF($A1288&gt;$A1287,1,0)</f>
        <v/>
      </c>
      <c r="C1288" s="56">
        <f>IF($B1288=0,"",IF(Inputs!$B$6="","",IF($AD1288=0,C1287,SUMIFS(Data!$B$10:$B$3209,Data!$A$10:$A$3209,"&gt;="&amp;$A1288,Data!$A$10:$A$3209,"&lt;"&amp;$A1288+1)/$AD1288)))</f>
        <v/>
      </c>
      <c r="D1288" s="56">
        <f>IF($B1288=0,"",IF(Inputs!$B$7="","",IF($AE1288=0,D1287,SUMIFS(Data!$F$10:$F$3209,Data!$E$10:$E$3209,"&gt;="&amp;$A1288,Data!$E$10:$E$3209,"&lt;"&amp;$A1288+1)/$AE1288)))</f>
        <v/>
      </c>
      <c r="E1288" s="56">
        <f>IF($B1288=0,"",IF(Inputs!$B$8="","",IF($AF1288=0,E1287,SUMIFS(Data!$J$10:$J$3209,Data!$I$10:$I$3209,"&gt;="&amp;$A1288,Data!$I$10:$I$3209,"&lt;"&amp;$A1288+1)/$AF1288)))</f>
        <v/>
      </c>
      <c r="F1288" s="56">
        <f>IF($B1288=0,"",IF(Inputs!$B$9="","",IF($AG1288=0,F1287,SUMIFS(Data!$N$10:$N$3209,Data!$M$10:$M$3209,"&gt;="&amp;$A1288,Data!$M$10:$M$3209,"&lt;"&amp;$A1288+1)/$AG1288)))</f>
        <v/>
      </c>
      <c r="G1288" s="56">
        <f>IF($B1288=0,"",IF(Inputs!$B$10="","",IF($AH1288=0,G1287,SUMIFS(Data!$R$10:$R$3209,Data!$Q$10:$Q$3209,"&gt;="&amp;$A1288,Data!$Q$10:$Q$3209,"&lt;"&amp;$A1288+1)/$AH1288)))</f>
        <v/>
      </c>
      <c r="I1288" s="54">
        <f>IF($B1288=0,NA(),IF($C1288="",NA(),IF(C$8="",NA(),IF(N(C$8)=0,NA(),IF(Inputs!$C$17="Rebased to 100",$C1288/C$8*100,$C1288)))))</f>
        <v/>
      </c>
      <c r="J1288" s="54">
        <f>IF($B1288=0,NA(),IF($D1288="",NA(),IF(D$8="",NA(),IF(N(D$8)=0,NA(),IF(Inputs!$C$17="Rebased to 100",$D1288/D$8*100,$D1288)))))</f>
        <v/>
      </c>
      <c r="K1288" s="54">
        <f>IF($B1288=0,NA(),IF($E1288="",NA(),IF(E$8="",NA(),IF(N(E$8)=0,NA(),IF(Inputs!$C$17="Rebased to 100",$E1288/E$8*100,$E1288)))))</f>
        <v/>
      </c>
      <c r="L1288" s="54">
        <f>IF($B1288=0,NA(),IF($F1288="",NA(),IF(F$8="",NA(),IF(N(F$8)=0,NA(),IF(Inputs!$C$17="Rebased to 100",$F1288/F$8*100,$F1288)))))</f>
        <v/>
      </c>
      <c r="M1288" s="54">
        <f>IF($B1288=0,NA(),IF($G1288="",NA(),IF(G$8="",NA(),IF(N(G$8)=0,NA(),IF(Inputs!$C$17="Rebased to 100",$G1288/G$8*100,$G1288)))))</f>
        <v/>
      </c>
      <c r="N1288" s="54">
        <f>IF($B1288=0,NA(),IF(Inputs!$C$18&lt;&gt;"Yes",NA(),IF(COUNT(I1288,J1288,K1288,L1288,M1288)=0,NA(),MIN(I1288,J1288,K1288,L1288,M1288))))</f>
        <v/>
      </c>
      <c r="O1288" s="54">
        <f>IF($B1288=0,NA(),IF(Inputs!$B$24&lt;&gt;"Yes",NA(),Inputs!$D$24*Inputs!$C$35))</f>
        <v/>
      </c>
      <c r="P1288" s="54">
        <f>IF($B1288=0,NA(),IF(Inputs!$B$25&lt;&gt;"Yes",NA(),Inputs!$D$25*Inputs!$C$35))</f>
        <v/>
      </c>
      <c r="Q1288" s="54">
        <f>IF($B1288=0,NA(),IF(Inputs!$B$26&lt;&gt;"Yes",NA(),Inputs!$D$26*Inputs!$C$35))</f>
        <v/>
      </c>
      <c r="R1288" s="54">
        <f>IF($B1288=0,NA(),IF(Inputs!$B$27&lt;&gt;"Yes",NA(),Inputs!$D$27*Inputs!$C$35))</f>
        <v/>
      </c>
      <c r="S1288" s="54">
        <f>IF($B1288=0,NA(),IF(Inputs!$B$28&lt;&gt;"Yes",NA(),Inputs!$D$28*Inputs!$C$35))</f>
        <v/>
      </c>
      <c r="T1288" s="54">
        <f>IF($B1288=0,NA(),IF(Inputs!$B$29&lt;&gt;"Yes",NA(),Inputs!$D$29*Inputs!$C$35))</f>
        <v/>
      </c>
      <c r="AD1288">
        <f>IF($B1288=0,0,IF(Inputs!$B$6="",0,COUNTIFS(Data!$A$10:$A$3209,"&gt;="&amp;$A1288,Data!$A$10:$A$3209,"&lt;"&amp;$A1288+1)))</f>
        <v/>
      </c>
      <c r="AE1288">
        <f>IF($B1288=0,0,IF(Inputs!$B$7="",0,COUNTIFS(Data!$E$10:$E$3209,"&gt;="&amp;$A1288,Data!$E$10:$E$3209,"&lt;"&amp;$A1288+1)))</f>
        <v/>
      </c>
      <c r="AF1288">
        <f>IF($B1288=0,0,IF(Inputs!$B$8="",0,COUNTIFS(Data!$I$10:$I$3209,"&gt;="&amp;$A1288,Data!$I$10:$I$3209,"&lt;"&amp;$A1288+1)))</f>
        <v/>
      </c>
      <c r="AG1288">
        <f>IF($B1288=0,0,IF(Inputs!$B$9="",0,COUNTIFS(Data!$M$10:$M$3209,"&gt;="&amp;$A1288,Data!$M$10:$M$3209,"&lt;"&amp;$A1288+1)))</f>
        <v/>
      </c>
      <c r="AH1288">
        <f>IF($B1288=0,0,IF(Inputs!$B$10="",0,COUNTIFS(Data!$Q$10:$Q$3209,"&gt;="&amp;$A1288,Data!$Q$10:$Q$3209,"&lt;"&amp;$A1288+1)))</f>
        <v/>
      </c>
    </row>
    <row r="1289">
      <c r="A1289" s="55">
        <f>MIN(Inputs!$C$15,$A1288+IF(WEEKDAY($A1288,2)=5,3,1))</f>
        <v/>
      </c>
      <c r="B1289">
        <f>IF($A1289&gt;$A1288,1,0)</f>
        <v/>
      </c>
      <c r="C1289" s="56">
        <f>IF($B1289=0,"",IF(Inputs!$B$6="","",IF($AD1289=0,C1288,SUMIFS(Data!$B$10:$B$3209,Data!$A$10:$A$3209,"&gt;="&amp;$A1289,Data!$A$10:$A$3209,"&lt;"&amp;$A1289+1)/$AD1289)))</f>
        <v/>
      </c>
      <c r="D1289" s="56">
        <f>IF($B1289=0,"",IF(Inputs!$B$7="","",IF($AE1289=0,D1288,SUMIFS(Data!$F$10:$F$3209,Data!$E$10:$E$3209,"&gt;="&amp;$A1289,Data!$E$10:$E$3209,"&lt;"&amp;$A1289+1)/$AE1289)))</f>
        <v/>
      </c>
      <c r="E1289" s="56">
        <f>IF($B1289=0,"",IF(Inputs!$B$8="","",IF($AF1289=0,E1288,SUMIFS(Data!$J$10:$J$3209,Data!$I$10:$I$3209,"&gt;="&amp;$A1289,Data!$I$10:$I$3209,"&lt;"&amp;$A1289+1)/$AF1289)))</f>
        <v/>
      </c>
      <c r="F1289" s="56">
        <f>IF($B1289=0,"",IF(Inputs!$B$9="","",IF($AG1289=0,F1288,SUMIFS(Data!$N$10:$N$3209,Data!$M$10:$M$3209,"&gt;="&amp;$A1289,Data!$M$10:$M$3209,"&lt;"&amp;$A1289+1)/$AG1289)))</f>
        <v/>
      </c>
      <c r="G1289" s="56">
        <f>IF($B1289=0,"",IF(Inputs!$B$10="","",IF($AH1289=0,G1288,SUMIFS(Data!$R$10:$R$3209,Data!$Q$10:$Q$3209,"&gt;="&amp;$A1289,Data!$Q$10:$Q$3209,"&lt;"&amp;$A1289+1)/$AH1289)))</f>
        <v/>
      </c>
      <c r="I1289" s="54">
        <f>IF($B1289=0,NA(),IF($C1289="",NA(),IF(C$8="",NA(),IF(N(C$8)=0,NA(),IF(Inputs!$C$17="Rebased to 100",$C1289/C$8*100,$C1289)))))</f>
        <v/>
      </c>
      <c r="J1289" s="54">
        <f>IF($B1289=0,NA(),IF($D1289="",NA(),IF(D$8="",NA(),IF(N(D$8)=0,NA(),IF(Inputs!$C$17="Rebased to 100",$D1289/D$8*100,$D1289)))))</f>
        <v/>
      </c>
      <c r="K1289" s="54">
        <f>IF($B1289=0,NA(),IF($E1289="",NA(),IF(E$8="",NA(),IF(N(E$8)=0,NA(),IF(Inputs!$C$17="Rebased to 100",$E1289/E$8*100,$E1289)))))</f>
        <v/>
      </c>
      <c r="L1289" s="54">
        <f>IF($B1289=0,NA(),IF($F1289="",NA(),IF(F$8="",NA(),IF(N(F$8)=0,NA(),IF(Inputs!$C$17="Rebased to 100",$F1289/F$8*100,$F1289)))))</f>
        <v/>
      </c>
      <c r="M1289" s="54">
        <f>IF($B1289=0,NA(),IF($G1289="",NA(),IF(G$8="",NA(),IF(N(G$8)=0,NA(),IF(Inputs!$C$17="Rebased to 100",$G1289/G$8*100,$G1289)))))</f>
        <v/>
      </c>
      <c r="N1289" s="54">
        <f>IF($B1289=0,NA(),IF(Inputs!$C$18&lt;&gt;"Yes",NA(),IF(COUNT(I1289,J1289,K1289,L1289,M1289)=0,NA(),MIN(I1289,J1289,K1289,L1289,M1289))))</f>
        <v/>
      </c>
      <c r="O1289" s="54">
        <f>IF($B1289=0,NA(),IF(Inputs!$B$24&lt;&gt;"Yes",NA(),Inputs!$D$24*Inputs!$C$35))</f>
        <v/>
      </c>
      <c r="P1289" s="54">
        <f>IF($B1289=0,NA(),IF(Inputs!$B$25&lt;&gt;"Yes",NA(),Inputs!$D$25*Inputs!$C$35))</f>
        <v/>
      </c>
      <c r="Q1289" s="54">
        <f>IF($B1289=0,NA(),IF(Inputs!$B$26&lt;&gt;"Yes",NA(),Inputs!$D$26*Inputs!$C$35))</f>
        <v/>
      </c>
      <c r="R1289" s="54">
        <f>IF($B1289=0,NA(),IF(Inputs!$B$27&lt;&gt;"Yes",NA(),Inputs!$D$27*Inputs!$C$35))</f>
        <v/>
      </c>
      <c r="S1289" s="54">
        <f>IF($B1289=0,NA(),IF(Inputs!$B$28&lt;&gt;"Yes",NA(),Inputs!$D$28*Inputs!$C$35))</f>
        <v/>
      </c>
      <c r="T1289" s="54">
        <f>IF($B1289=0,NA(),IF(Inputs!$B$29&lt;&gt;"Yes",NA(),Inputs!$D$29*Inputs!$C$35))</f>
        <v/>
      </c>
      <c r="AD1289">
        <f>IF($B1289=0,0,IF(Inputs!$B$6="",0,COUNTIFS(Data!$A$10:$A$3209,"&gt;="&amp;$A1289,Data!$A$10:$A$3209,"&lt;"&amp;$A1289+1)))</f>
        <v/>
      </c>
      <c r="AE1289">
        <f>IF($B1289=0,0,IF(Inputs!$B$7="",0,COUNTIFS(Data!$E$10:$E$3209,"&gt;="&amp;$A1289,Data!$E$10:$E$3209,"&lt;"&amp;$A1289+1)))</f>
        <v/>
      </c>
      <c r="AF1289">
        <f>IF($B1289=0,0,IF(Inputs!$B$8="",0,COUNTIFS(Data!$I$10:$I$3209,"&gt;="&amp;$A1289,Data!$I$10:$I$3209,"&lt;"&amp;$A1289+1)))</f>
        <v/>
      </c>
      <c r="AG1289">
        <f>IF($B1289=0,0,IF(Inputs!$B$9="",0,COUNTIFS(Data!$M$10:$M$3209,"&gt;="&amp;$A1289,Data!$M$10:$M$3209,"&lt;"&amp;$A1289+1)))</f>
        <v/>
      </c>
      <c r="AH1289">
        <f>IF($B1289=0,0,IF(Inputs!$B$10="",0,COUNTIFS(Data!$Q$10:$Q$3209,"&gt;="&amp;$A1289,Data!$Q$10:$Q$3209,"&lt;"&amp;$A1289+1)))</f>
        <v/>
      </c>
    </row>
    <row r="1290">
      <c r="A1290" s="55">
        <f>MIN(Inputs!$C$15,$A1289+IF(WEEKDAY($A1289,2)=5,3,1))</f>
        <v/>
      </c>
      <c r="B1290">
        <f>IF($A1290&gt;$A1289,1,0)</f>
        <v/>
      </c>
      <c r="C1290" s="56">
        <f>IF($B1290=0,"",IF(Inputs!$B$6="","",IF($AD1290=0,C1289,SUMIFS(Data!$B$10:$B$3209,Data!$A$10:$A$3209,"&gt;="&amp;$A1290,Data!$A$10:$A$3209,"&lt;"&amp;$A1290+1)/$AD1290)))</f>
        <v/>
      </c>
      <c r="D1290" s="56">
        <f>IF($B1290=0,"",IF(Inputs!$B$7="","",IF($AE1290=0,D1289,SUMIFS(Data!$F$10:$F$3209,Data!$E$10:$E$3209,"&gt;="&amp;$A1290,Data!$E$10:$E$3209,"&lt;"&amp;$A1290+1)/$AE1290)))</f>
        <v/>
      </c>
      <c r="E1290" s="56">
        <f>IF($B1290=0,"",IF(Inputs!$B$8="","",IF($AF1290=0,E1289,SUMIFS(Data!$J$10:$J$3209,Data!$I$10:$I$3209,"&gt;="&amp;$A1290,Data!$I$10:$I$3209,"&lt;"&amp;$A1290+1)/$AF1290)))</f>
        <v/>
      </c>
      <c r="F1290" s="56">
        <f>IF($B1290=0,"",IF(Inputs!$B$9="","",IF($AG1290=0,F1289,SUMIFS(Data!$N$10:$N$3209,Data!$M$10:$M$3209,"&gt;="&amp;$A1290,Data!$M$10:$M$3209,"&lt;"&amp;$A1290+1)/$AG1290)))</f>
        <v/>
      </c>
      <c r="G1290" s="56">
        <f>IF($B1290=0,"",IF(Inputs!$B$10="","",IF($AH1290=0,G1289,SUMIFS(Data!$R$10:$R$3209,Data!$Q$10:$Q$3209,"&gt;="&amp;$A1290,Data!$Q$10:$Q$3209,"&lt;"&amp;$A1290+1)/$AH1290)))</f>
        <v/>
      </c>
      <c r="I1290" s="54">
        <f>IF($B1290=0,NA(),IF($C1290="",NA(),IF(C$8="",NA(),IF(N(C$8)=0,NA(),IF(Inputs!$C$17="Rebased to 100",$C1290/C$8*100,$C1290)))))</f>
        <v/>
      </c>
      <c r="J1290" s="54">
        <f>IF($B1290=0,NA(),IF($D1290="",NA(),IF(D$8="",NA(),IF(N(D$8)=0,NA(),IF(Inputs!$C$17="Rebased to 100",$D1290/D$8*100,$D1290)))))</f>
        <v/>
      </c>
      <c r="K1290" s="54">
        <f>IF($B1290=0,NA(),IF($E1290="",NA(),IF(E$8="",NA(),IF(N(E$8)=0,NA(),IF(Inputs!$C$17="Rebased to 100",$E1290/E$8*100,$E1290)))))</f>
        <v/>
      </c>
      <c r="L1290" s="54">
        <f>IF($B1290=0,NA(),IF($F1290="",NA(),IF(F$8="",NA(),IF(N(F$8)=0,NA(),IF(Inputs!$C$17="Rebased to 100",$F1290/F$8*100,$F1290)))))</f>
        <v/>
      </c>
      <c r="M1290" s="54">
        <f>IF($B1290=0,NA(),IF($G1290="",NA(),IF(G$8="",NA(),IF(N(G$8)=0,NA(),IF(Inputs!$C$17="Rebased to 100",$G1290/G$8*100,$G1290)))))</f>
        <v/>
      </c>
      <c r="N1290" s="54">
        <f>IF($B1290=0,NA(),IF(Inputs!$C$18&lt;&gt;"Yes",NA(),IF(COUNT(I1290,J1290,K1290,L1290,M1290)=0,NA(),MIN(I1290,J1290,K1290,L1290,M1290))))</f>
        <v/>
      </c>
      <c r="O1290" s="54">
        <f>IF($B1290=0,NA(),IF(Inputs!$B$24&lt;&gt;"Yes",NA(),Inputs!$D$24*Inputs!$C$35))</f>
        <v/>
      </c>
      <c r="P1290" s="54">
        <f>IF($B1290=0,NA(),IF(Inputs!$B$25&lt;&gt;"Yes",NA(),Inputs!$D$25*Inputs!$C$35))</f>
        <v/>
      </c>
      <c r="Q1290" s="54">
        <f>IF($B1290=0,NA(),IF(Inputs!$B$26&lt;&gt;"Yes",NA(),Inputs!$D$26*Inputs!$C$35))</f>
        <v/>
      </c>
      <c r="R1290" s="54">
        <f>IF($B1290=0,NA(),IF(Inputs!$B$27&lt;&gt;"Yes",NA(),Inputs!$D$27*Inputs!$C$35))</f>
        <v/>
      </c>
      <c r="S1290" s="54">
        <f>IF($B1290=0,NA(),IF(Inputs!$B$28&lt;&gt;"Yes",NA(),Inputs!$D$28*Inputs!$C$35))</f>
        <v/>
      </c>
      <c r="T1290" s="54">
        <f>IF($B1290=0,NA(),IF(Inputs!$B$29&lt;&gt;"Yes",NA(),Inputs!$D$29*Inputs!$C$35))</f>
        <v/>
      </c>
      <c r="AD1290">
        <f>IF($B1290=0,0,IF(Inputs!$B$6="",0,COUNTIFS(Data!$A$10:$A$3209,"&gt;="&amp;$A1290,Data!$A$10:$A$3209,"&lt;"&amp;$A1290+1)))</f>
        <v/>
      </c>
      <c r="AE1290">
        <f>IF($B1290=0,0,IF(Inputs!$B$7="",0,COUNTIFS(Data!$E$10:$E$3209,"&gt;="&amp;$A1290,Data!$E$10:$E$3209,"&lt;"&amp;$A1290+1)))</f>
        <v/>
      </c>
      <c r="AF1290">
        <f>IF($B1290=0,0,IF(Inputs!$B$8="",0,COUNTIFS(Data!$I$10:$I$3209,"&gt;="&amp;$A1290,Data!$I$10:$I$3209,"&lt;"&amp;$A1290+1)))</f>
        <v/>
      </c>
      <c r="AG1290">
        <f>IF($B1290=0,0,IF(Inputs!$B$9="",0,COUNTIFS(Data!$M$10:$M$3209,"&gt;="&amp;$A1290,Data!$M$10:$M$3209,"&lt;"&amp;$A1290+1)))</f>
        <v/>
      </c>
      <c r="AH1290">
        <f>IF($B1290=0,0,IF(Inputs!$B$10="",0,COUNTIFS(Data!$Q$10:$Q$3209,"&gt;="&amp;$A1290,Data!$Q$10:$Q$3209,"&lt;"&amp;$A1290+1)))</f>
        <v/>
      </c>
    </row>
    <row r="1291">
      <c r="A1291" s="55">
        <f>MIN(Inputs!$C$15,$A1290+IF(WEEKDAY($A1290,2)=5,3,1))</f>
        <v/>
      </c>
      <c r="B1291">
        <f>IF($A1291&gt;$A1290,1,0)</f>
        <v/>
      </c>
      <c r="C1291" s="56">
        <f>IF($B1291=0,"",IF(Inputs!$B$6="","",IF($AD1291=0,C1290,SUMIFS(Data!$B$10:$B$3209,Data!$A$10:$A$3209,"&gt;="&amp;$A1291,Data!$A$10:$A$3209,"&lt;"&amp;$A1291+1)/$AD1291)))</f>
        <v/>
      </c>
      <c r="D1291" s="56">
        <f>IF($B1291=0,"",IF(Inputs!$B$7="","",IF($AE1291=0,D1290,SUMIFS(Data!$F$10:$F$3209,Data!$E$10:$E$3209,"&gt;="&amp;$A1291,Data!$E$10:$E$3209,"&lt;"&amp;$A1291+1)/$AE1291)))</f>
        <v/>
      </c>
      <c r="E1291" s="56">
        <f>IF($B1291=0,"",IF(Inputs!$B$8="","",IF($AF1291=0,E1290,SUMIFS(Data!$J$10:$J$3209,Data!$I$10:$I$3209,"&gt;="&amp;$A1291,Data!$I$10:$I$3209,"&lt;"&amp;$A1291+1)/$AF1291)))</f>
        <v/>
      </c>
      <c r="F1291" s="56">
        <f>IF($B1291=0,"",IF(Inputs!$B$9="","",IF($AG1291=0,F1290,SUMIFS(Data!$N$10:$N$3209,Data!$M$10:$M$3209,"&gt;="&amp;$A1291,Data!$M$10:$M$3209,"&lt;"&amp;$A1291+1)/$AG1291)))</f>
        <v/>
      </c>
      <c r="G1291" s="56">
        <f>IF($B1291=0,"",IF(Inputs!$B$10="","",IF($AH1291=0,G1290,SUMIFS(Data!$R$10:$R$3209,Data!$Q$10:$Q$3209,"&gt;="&amp;$A1291,Data!$Q$10:$Q$3209,"&lt;"&amp;$A1291+1)/$AH1291)))</f>
        <v/>
      </c>
      <c r="I1291" s="54">
        <f>IF($B1291=0,NA(),IF($C1291="",NA(),IF(C$8="",NA(),IF(N(C$8)=0,NA(),IF(Inputs!$C$17="Rebased to 100",$C1291/C$8*100,$C1291)))))</f>
        <v/>
      </c>
      <c r="J1291" s="54">
        <f>IF($B1291=0,NA(),IF($D1291="",NA(),IF(D$8="",NA(),IF(N(D$8)=0,NA(),IF(Inputs!$C$17="Rebased to 100",$D1291/D$8*100,$D1291)))))</f>
        <v/>
      </c>
      <c r="K1291" s="54">
        <f>IF($B1291=0,NA(),IF($E1291="",NA(),IF(E$8="",NA(),IF(N(E$8)=0,NA(),IF(Inputs!$C$17="Rebased to 100",$E1291/E$8*100,$E1291)))))</f>
        <v/>
      </c>
      <c r="L1291" s="54">
        <f>IF($B1291=0,NA(),IF($F1291="",NA(),IF(F$8="",NA(),IF(N(F$8)=0,NA(),IF(Inputs!$C$17="Rebased to 100",$F1291/F$8*100,$F1291)))))</f>
        <v/>
      </c>
      <c r="M1291" s="54">
        <f>IF($B1291=0,NA(),IF($G1291="",NA(),IF(G$8="",NA(),IF(N(G$8)=0,NA(),IF(Inputs!$C$17="Rebased to 100",$G1291/G$8*100,$G1291)))))</f>
        <v/>
      </c>
      <c r="N1291" s="54">
        <f>IF($B1291=0,NA(),IF(Inputs!$C$18&lt;&gt;"Yes",NA(),IF(COUNT(I1291,J1291,K1291,L1291,M1291)=0,NA(),MIN(I1291,J1291,K1291,L1291,M1291))))</f>
        <v/>
      </c>
      <c r="O1291" s="54">
        <f>IF($B1291=0,NA(),IF(Inputs!$B$24&lt;&gt;"Yes",NA(),Inputs!$D$24*Inputs!$C$35))</f>
        <v/>
      </c>
      <c r="P1291" s="54">
        <f>IF($B1291=0,NA(),IF(Inputs!$B$25&lt;&gt;"Yes",NA(),Inputs!$D$25*Inputs!$C$35))</f>
        <v/>
      </c>
      <c r="Q1291" s="54">
        <f>IF($B1291=0,NA(),IF(Inputs!$B$26&lt;&gt;"Yes",NA(),Inputs!$D$26*Inputs!$C$35))</f>
        <v/>
      </c>
      <c r="R1291" s="54">
        <f>IF($B1291=0,NA(),IF(Inputs!$B$27&lt;&gt;"Yes",NA(),Inputs!$D$27*Inputs!$C$35))</f>
        <v/>
      </c>
      <c r="S1291" s="54">
        <f>IF($B1291=0,NA(),IF(Inputs!$B$28&lt;&gt;"Yes",NA(),Inputs!$D$28*Inputs!$C$35))</f>
        <v/>
      </c>
      <c r="T1291" s="54">
        <f>IF($B1291=0,NA(),IF(Inputs!$B$29&lt;&gt;"Yes",NA(),Inputs!$D$29*Inputs!$C$35))</f>
        <v/>
      </c>
      <c r="AD1291">
        <f>IF($B1291=0,0,IF(Inputs!$B$6="",0,COUNTIFS(Data!$A$10:$A$3209,"&gt;="&amp;$A1291,Data!$A$10:$A$3209,"&lt;"&amp;$A1291+1)))</f>
        <v/>
      </c>
      <c r="AE1291">
        <f>IF($B1291=0,0,IF(Inputs!$B$7="",0,COUNTIFS(Data!$E$10:$E$3209,"&gt;="&amp;$A1291,Data!$E$10:$E$3209,"&lt;"&amp;$A1291+1)))</f>
        <v/>
      </c>
      <c r="AF1291">
        <f>IF($B1291=0,0,IF(Inputs!$B$8="",0,COUNTIFS(Data!$I$10:$I$3209,"&gt;="&amp;$A1291,Data!$I$10:$I$3209,"&lt;"&amp;$A1291+1)))</f>
        <v/>
      </c>
      <c r="AG1291">
        <f>IF($B1291=0,0,IF(Inputs!$B$9="",0,COUNTIFS(Data!$M$10:$M$3209,"&gt;="&amp;$A1291,Data!$M$10:$M$3209,"&lt;"&amp;$A1291+1)))</f>
        <v/>
      </c>
      <c r="AH1291">
        <f>IF($B1291=0,0,IF(Inputs!$B$10="",0,COUNTIFS(Data!$Q$10:$Q$3209,"&gt;="&amp;$A1291,Data!$Q$10:$Q$3209,"&lt;"&amp;$A1291+1)))</f>
        <v/>
      </c>
    </row>
    <row r="1292">
      <c r="A1292" s="55">
        <f>MIN(Inputs!$C$15,$A1291+IF(WEEKDAY($A1291,2)=5,3,1))</f>
        <v/>
      </c>
      <c r="B1292">
        <f>IF($A1292&gt;$A1291,1,0)</f>
        <v/>
      </c>
      <c r="C1292" s="56">
        <f>IF($B1292=0,"",IF(Inputs!$B$6="","",IF($AD1292=0,C1291,SUMIFS(Data!$B$10:$B$3209,Data!$A$10:$A$3209,"&gt;="&amp;$A1292,Data!$A$10:$A$3209,"&lt;"&amp;$A1292+1)/$AD1292)))</f>
        <v/>
      </c>
      <c r="D1292" s="56">
        <f>IF($B1292=0,"",IF(Inputs!$B$7="","",IF($AE1292=0,D1291,SUMIFS(Data!$F$10:$F$3209,Data!$E$10:$E$3209,"&gt;="&amp;$A1292,Data!$E$10:$E$3209,"&lt;"&amp;$A1292+1)/$AE1292)))</f>
        <v/>
      </c>
      <c r="E1292" s="56">
        <f>IF($B1292=0,"",IF(Inputs!$B$8="","",IF($AF1292=0,E1291,SUMIFS(Data!$J$10:$J$3209,Data!$I$10:$I$3209,"&gt;="&amp;$A1292,Data!$I$10:$I$3209,"&lt;"&amp;$A1292+1)/$AF1292)))</f>
        <v/>
      </c>
      <c r="F1292" s="56">
        <f>IF($B1292=0,"",IF(Inputs!$B$9="","",IF($AG1292=0,F1291,SUMIFS(Data!$N$10:$N$3209,Data!$M$10:$M$3209,"&gt;="&amp;$A1292,Data!$M$10:$M$3209,"&lt;"&amp;$A1292+1)/$AG1292)))</f>
        <v/>
      </c>
      <c r="G1292" s="56">
        <f>IF($B1292=0,"",IF(Inputs!$B$10="","",IF($AH1292=0,G1291,SUMIFS(Data!$R$10:$R$3209,Data!$Q$10:$Q$3209,"&gt;="&amp;$A1292,Data!$Q$10:$Q$3209,"&lt;"&amp;$A1292+1)/$AH1292)))</f>
        <v/>
      </c>
      <c r="I1292" s="54">
        <f>IF($B1292=0,NA(),IF($C1292="",NA(),IF(C$8="",NA(),IF(N(C$8)=0,NA(),IF(Inputs!$C$17="Rebased to 100",$C1292/C$8*100,$C1292)))))</f>
        <v/>
      </c>
      <c r="J1292" s="54">
        <f>IF($B1292=0,NA(),IF($D1292="",NA(),IF(D$8="",NA(),IF(N(D$8)=0,NA(),IF(Inputs!$C$17="Rebased to 100",$D1292/D$8*100,$D1292)))))</f>
        <v/>
      </c>
      <c r="K1292" s="54">
        <f>IF($B1292=0,NA(),IF($E1292="",NA(),IF(E$8="",NA(),IF(N(E$8)=0,NA(),IF(Inputs!$C$17="Rebased to 100",$E1292/E$8*100,$E1292)))))</f>
        <v/>
      </c>
      <c r="L1292" s="54">
        <f>IF($B1292=0,NA(),IF($F1292="",NA(),IF(F$8="",NA(),IF(N(F$8)=0,NA(),IF(Inputs!$C$17="Rebased to 100",$F1292/F$8*100,$F1292)))))</f>
        <v/>
      </c>
      <c r="M1292" s="54">
        <f>IF($B1292=0,NA(),IF($G1292="",NA(),IF(G$8="",NA(),IF(N(G$8)=0,NA(),IF(Inputs!$C$17="Rebased to 100",$G1292/G$8*100,$G1292)))))</f>
        <v/>
      </c>
      <c r="N1292" s="54">
        <f>IF($B1292=0,NA(),IF(Inputs!$C$18&lt;&gt;"Yes",NA(),IF(COUNT(I1292,J1292,K1292,L1292,M1292)=0,NA(),MIN(I1292,J1292,K1292,L1292,M1292))))</f>
        <v/>
      </c>
      <c r="O1292" s="54">
        <f>IF($B1292=0,NA(),IF(Inputs!$B$24&lt;&gt;"Yes",NA(),Inputs!$D$24*Inputs!$C$35))</f>
        <v/>
      </c>
      <c r="P1292" s="54">
        <f>IF($B1292=0,NA(),IF(Inputs!$B$25&lt;&gt;"Yes",NA(),Inputs!$D$25*Inputs!$C$35))</f>
        <v/>
      </c>
      <c r="Q1292" s="54">
        <f>IF($B1292=0,NA(),IF(Inputs!$B$26&lt;&gt;"Yes",NA(),Inputs!$D$26*Inputs!$C$35))</f>
        <v/>
      </c>
      <c r="R1292" s="54">
        <f>IF($B1292=0,NA(),IF(Inputs!$B$27&lt;&gt;"Yes",NA(),Inputs!$D$27*Inputs!$C$35))</f>
        <v/>
      </c>
      <c r="S1292" s="54">
        <f>IF($B1292=0,NA(),IF(Inputs!$B$28&lt;&gt;"Yes",NA(),Inputs!$D$28*Inputs!$C$35))</f>
        <v/>
      </c>
      <c r="T1292" s="54">
        <f>IF($B1292=0,NA(),IF(Inputs!$B$29&lt;&gt;"Yes",NA(),Inputs!$D$29*Inputs!$C$35))</f>
        <v/>
      </c>
      <c r="AD1292">
        <f>IF($B1292=0,0,IF(Inputs!$B$6="",0,COUNTIFS(Data!$A$10:$A$3209,"&gt;="&amp;$A1292,Data!$A$10:$A$3209,"&lt;"&amp;$A1292+1)))</f>
        <v/>
      </c>
      <c r="AE1292">
        <f>IF($B1292=0,0,IF(Inputs!$B$7="",0,COUNTIFS(Data!$E$10:$E$3209,"&gt;="&amp;$A1292,Data!$E$10:$E$3209,"&lt;"&amp;$A1292+1)))</f>
        <v/>
      </c>
      <c r="AF1292">
        <f>IF($B1292=0,0,IF(Inputs!$B$8="",0,COUNTIFS(Data!$I$10:$I$3209,"&gt;="&amp;$A1292,Data!$I$10:$I$3209,"&lt;"&amp;$A1292+1)))</f>
        <v/>
      </c>
      <c r="AG1292">
        <f>IF($B1292=0,0,IF(Inputs!$B$9="",0,COUNTIFS(Data!$M$10:$M$3209,"&gt;="&amp;$A1292,Data!$M$10:$M$3209,"&lt;"&amp;$A1292+1)))</f>
        <v/>
      </c>
      <c r="AH1292">
        <f>IF($B1292=0,0,IF(Inputs!$B$10="",0,COUNTIFS(Data!$Q$10:$Q$3209,"&gt;="&amp;$A1292,Data!$Q$10:$Q$3209,"&lt;"&amp;$A1292+1)))</f>
        <v/>
      </c>
    </row>
    <row r="1293">
      <c r="A1293" s="55">
        <f>MIN(Inputs!$C$15,$A1292+IF(WEEKDAY($A1292,2)=5,3,1))</f>
        <v/>
      </c>
      <c r="B1293">
        <f>IF($A1293&gt;$A1292,1,0)</f>
        <v/>
      </c>
      <c r="C1293" s="56">
        <f>IF($B1293=0,"",IF(Inputs!$B$6="","",IF($AD1293=0,C1292,SUMIFS(Data!$B$10:$B$3209,Data!$A$10:$A$3209,"&gt;="&amp;$A1293,Data!$A$10:$A$3209,"&lt;"&amp;$A1293+1)/$AD1293)))</f>
        <v/>
      </c>
      <c r="D1293" s="56">
        <f>IF($B1293=0,"",IF(Inputs!$B$7="","",IF($AE1293=0,D1292,SUMIFS(Data!$F$10:$F$3209,Data!$E$10:$E$3209,"&gt;="&amp;$A1293,Data!$E$10:$E$3209,"&lt;"&amp;$A1293+1)/$AE1293)))</f>
        <v/>
      </c>
      <c r="E1293" s="56">
        <f>IF($B1293=0,"",IF(Inputs!$B$8="","",IF($AF1293=0,E1292,SUMIFS(Data!$J$10:$J$3209,Data!$I$10:$I$3209,"&gt;="&amp;$A1293,Data!$I$10:$I$3209,"&lt;"&amp;$A1293+1)/$AF1293)))</f>
        <v/>
      </c>
      <c r="F1293" s="56">
        <f>IF($B1293=0,"",IF(Inputs!$B$9="","",IF($AG1293=0,F1292,SUMIFS(Data!$N$10:$N$3209,Data!$M$10:$M$3209,"&gt;="&amp;$A1293,Data!$M$10:$M$3209,"&lt;"&amp;$A1293+1)/$AG1293)))</f>
        <v/>
      </c>
      <c r="G1293" s="56">
        <f>IF($B1293=0,"",IF(Inputs!$B$10="","",IF($AH1293=0,G1292,SUMIFS(Data!$R$10:$R$3209,Data!$Q$10:$Q$3209,"&gt;="&amp;$A1293,Data!$Q$10:$Q$3209,"&lt;"&amp;$A1293+1)/$AH1293)))</f>
        <v/>
      </c>
      <c r="I1293" s="54">
        <f>IF($B1293=0,NA(),IF($C1293="",NA(),IF(C$8="",NA(),IF(N(C$8)=0,NA(),IF(Inputs!$C$17="Rebased to 100",$C1293/C$8*100,$C1293)))))</f>
        <v/>
      </c>
      <c r="J1293" s="54">
        <f>IF($B1293=0,NA(),IF($D1293="",NA(),IF(D$8="",NA(),IF(N(D$8)=0,NA(),IF(Inputs!$C$17="Rebased to 100",$D1293/D$8*100,$D1293)))))</f>
        <v/>
      </c>
      <c r="K1293" s="54">
        <f>IF($B1293=0,NA(),IF($E1293="",NA(),IF(E$8="",NA(),IF(N(E$8)=0,NA(),IF(Inputs!$C$17="Rebased to 100",$E1293/E$8*100,$E1293)))))</f>
        <v/>
      </c>
      <c r="L1293" s="54">
        <f>IF($B1293=0,NA(),IF($F1293="",NA(),IF(F$8="",NA(),IF(N(F$8)=0,NA(),IF(Inputs!$C$17="Rebased to 100",$F1293/F$8*100,$F1293)))))</f>
        <v/>
      </c>
      <c r="M1293" s="54">
        <f>IF($B1293=0,NA(),IF($G1293="",NA(),IF(G$8="",NA(),IF(N(G$8)=0,NA(),IF(Inputs!$C$17="Rebased to 100",$G1293/G$8*100,$G1293)))))</f>
        <v/>
      </c>
      <c r="N1293" s="54">
        <f>IF($B1293=0,NA(),IF(Inputs!$C$18&lt;&gt;"Yes",NA(),IF(COUNT(I1293,J1293,K1293,L1293,M1293)=0,NA(),MIN(I1293,J1293,K1293,L1293,M1293))))</f>
        <v/>
      </c>
      <c r="O1293" s="54">
        <f>IF($B1293=0,NA(),IF(Inputs!$B$24&lt;&gt;"Yes",NA(),Inputs!$D$24*Inputs!$C$35))</f>
        <v/>
      </c>
      <c r="P1293" s="54">
        <f>IF($B1293=0,NA(),IF(Inputs!$B$25&lt;&gt;"Yes",NA(),Inputs!$D$25*Inputs!$C$35))</f>
        <v/>
      </c>
      <c r="Q1293" s="54">
        <f>IF($B1293=0,NA(),IF(Inputs!$B$26&lt;&gt;"Yes",NA(),Inputs!$D$26*Inputs!$C$35))</f>
        <v/>
      </c>
      <c r="R1293" s="54">
        <f>IF($B1293=0,NA(),IF(Inputs!$B$27&lt;&gt;"Yes",NA(),Inputs!$D$27*Inputs!$C$35))</f>
        <v/>
      </c>
      <c r="S1293" s="54">
        <f>IF($B1293=0,NA(),IF(Inputs!$B$28&lt;&gt;"Yes",NA(),Inputs!$D$28*Inputs!$C$35))</f>
        <v/>
      </c>
      <c r="T1293" s="54">
        <f>IF($B1293=0,NA(),IF(Inputs!$B$29&lt;&gt;"Yes",NA(),Inputs!$D$29*Inputs!$C$35))</f>
        <v/>
      </c>
      <c r="AD1293">
        <f>IF($B1293=0,0,IF(Inputs!$B$6="",0,COUNTIFS(Data!$A$10:$A$3209,"&gt;="&amp;$A1293,Data!$A$10:$A$3209,"&lt;"&amp;$A1293+1)))</f>
        <v/>
      </c>
      <c r="AE1293">
        <f>IF($B1293=0,0,IF(Inputs!$B$7="",0,COUNTIFS(Data!$E$10:$E$3209,"&gt;="&amp;$A1293,Data!$E$10:$E$3209,"&lt;"&amp;$A1293+1)))</f>
        <v/>
      </c>
      <c r="AF1293">
        <f>IF($B1293=0,0,IF(Inputs!$B$8="",0,COUNTIFS(Data!$I$10:$I$3209,"&gt;="&amp;$A1293,Data!$I$10:$I$3209,"&lt;"&amp;$A1293+1)))</f>
        <v/>
      </c>
      <c r="AG1293">
        <f>IF($B1293=0,0,IF(Inputs!$B$9="",0,COUNTIFS(Data!$M$10:$M$3209,"&gt;="&amp;$A1293,Data!$M$10:$M$3209,"&lt;"&amp;$A1293+1)))</f>
        <v/>
      </c>
      <c r="AH1293">
        <f>IF($B1293=0,0,IF(Inputs!$B$10="",0,COUNTIFS(Data!$Q$10:$Q$3209,"&gt;="&amp;$A1293,Data!$Q$10:$Q$3209,"&lt;"&amp;$A1293+1)))</f>
        <v/>
      </c>
    </row>
    <row r="1294">
      <c r="A1294" s="55">
        <f>MIN(Inputs!$C$15,$A1293+IF(WEEKDAY($A1293,2)=5,3,1))</f>
        <v/>
      </c>
      <c r="B1294">
        <f>IF($A1294&gt;$A1293,1,0)</f>
        <v/>
      </c>
      <c r="C1294" s="56">
        <f>IF($B1294=0,"",IF(Inputs!$B$6="","",IF($AD1294=0,C1293,SUMIFS(Data!$B$10:$B$3209,Data!$A$10:$A$3209,"&gt;="&amp;$A1294,Data!$A$10:$A$3209,"&lt;"&amp;$A1294+1)/$AD1294)))</f>
        <v/>
      </c>
      <c r="D1294" s="56">
        <f>IF($B1294=0,"",IF(Inputs!$B$7="","",IF($AE1294=0,D1293,SUMIFS(Data!$F$10:$F$3209,Data!$E$10:$E$3209,"&gt;="&amp;$A1294,Data!$E$10:$E$3209,"&lt;"&amp;$A1294+1)/$AE1294)))</f>
        <v/>
      </c>
      <c r="E1294" s="56">
        <f>IF($B1294=0,"",IF(Inputs!$B$8="","",IF($AF1294=0,E1293,SUMIFS(Data!$J$10:$J$3209,Data!$I$10:$I$3209,"&gt;="&amp;$A1294,Data!$I$10:$I$3209,"&lt;"&amp;$A1294+1)/$AF1294)))</f>
        <v/>
      </c>
      <c r="F1294" s="56">
        <f>IF($B1294=0,"",IF(Inputs!$B$9="","",IF($AG1294=0,F1293,SUMIFS(Data!$N$10:$N$3209,Data!$M$10:$M$3209,"&gt;="&amp;$A1294,Data!$M$10:$M$3209,"&lt;"&amp;$A1294+1)/$AG1294)))</f>
        <v/>
      </c>
      <c r="G1294" s="56">
        <f>IF($B1294=0,"",IF(Inputs!$B$10="","",IF($AH1294=0,G1293,SUMIFS(Data!$R$10:$R$3209,Data!$Q$10:$Q$3209,"&gt;="&amp;$A1294,Data!$Q$10:$Q$3209,"&lt;"&amp;$A1294+1)/$AH1294)))</f>
        <v/>
      </c>
      <c r="I1294" s="54">
        <f>IF($B1294=0,NA(),IF($C1294="",NA(),IF(C$8="",NA(),IF(N(C$8)=0,NA(),IF(Inputs!$C$17="Rebased to 100",$C1294/C$8*100,$C1294)))))</f>
        <v/>
      </c>
      <c r="J1294" s="54">
        <f>IF($B1294=0,NA(),IF($D1294="",NA(),IF(D$8="",NA(),IF(N(D$8)=0,NA(),IF(Inputs!$C$17="Rebased to 100",$D1294/D$8*100,$D1294)))))</f>
        <v/>
      </c>
      <c r="K1294" s="54">
        <f>IF($B1294=0,NA(),IF($E1294="",NA(),IF(E$8="",NA(),IF(N(E$8)=0,NA(),IF(Inputs!$C$17="Rebased to 100",$E1294/E$8*100,$E1294)))))</f>
        <v/>
      </c>
      <c r="L1294" s="54">
        <f>IF($B1294=0,NA(),IF($F1294="",NA(),IF(F$8="",NA(),IF(N(F$8)=0,NA(),IF(Inputs!$C$17="Rebased to 100",$F1294/F$8*100,$F1294)))))</f>
        <v/>
      </c>
      <c r="M1294" s="54">
        <f>IF($B1294=0,NA(),IF($G1294="",NA(),IF(G$8="",NA(),IF(N(G$8)=0,NA(),IF(Inputs!$C$17="Rebased to 100",$G1294/G$8*100,$G1294)))))</f>
        <v/>
      </c>
      <c r="N1294" s="54">
        <f>IF($B1294=0,NA(),IF(Inputs!$C$18&lt;&gt;"Yes",NA(),IF(COUNT(I1294,J1294,K1294,L1294,M1294)=0,NA(),MIN(I1294,J1294,K1294,L1294,M1294))))</f>
        <v/>
      </c>
      <c r="O1294" s="54">
        <f>IF($B1294=0,NA(),IF(Inputs!$B$24&lt;&gt;"Yes",NA(),Inputs!$D$24*Inputs!$C$35))</f>
        <v/>
      </c>
      <c r="P1294" s="54">
        <f>IF($B1294=0,NA(),IF(Inputs!$B$25&lt;&gt;"Yes",NA(),Inputs!$D$25*Inputs!$C$35))</f>
        <v/>
      </c>
      <c r="Q1294" s="54">
        <f>IF($B1294=0,NA(),IF(Inputs!$B$26&lt;&gt;"Yes",NA(),Inputs!$D$26*Inputs!$C$35))</f>
        <v/>
      </c>
      <c r="R1294" s="54">
        <f>IF($B1294=0,NA(),IF(Inputs!$B$27&lt;&gt;"Yes",NA(),Inputs!$D$27*Inputs!$C$35))</f>
        <v/>
      </c>
      <c r="S1294" s="54">
        <f>IF($B1294=0,NA(),IF(Inputs!$B$28&lt;&gt;"Yes",NA(),Inputs!$D$28*Inputs!$C$35))</f>
        <v/>
      </c>
      <c r="T1294" s="54">
        <f>IF($B1294=0,NA(),IF(Inputs!$B$29&lt;&gt;"Yes",NA(),Inputs!$D$29*Inputs!$C$35))</f>
        <v/>
      </c>
      <c r="AD1294">
        <f>IF($B1294=0,0,IF(Inputs!$B$6="",0,COUNTIFS(Data!$A$10:$A$3209,"&gt;="&amp;$A1294,Data!$A$10:$A$3209,"&lt;"&amp;$A1294+1)))</f>
        <v/>
      </c>
      <c r="AE1294">
        <f>IF($B1294=0,0,IF(Inputs!$B$7="",0,COUNTIFS(Data!$E$10:$E$3209,"&gt;="&amp;$A1294,Data!$E$10:$E$3209,"&lt;"&amp;$A1294+1)))</f>
        <v/>
      </c>
      <c r="AF1294">
        <f>IF($B1294=0,0,IF(Inputs!$B$8="",0,COUNTIFS(Data!$I$10:$I$3209,"&gt;="&amp;$A1294,Data!$I$10:$I$3209,"&lt;"&amp;$A1294+1)))</f>
        <v/>
      </c>
      <c r="AG1294">
        <f>IF($B1294=0,0,IF(Inputs!$B$9="",0,COUNTIFS(Data!$M$10:$M$3209,"&gt;="&amp;$A1294,Data!$M$10:$M$3209,"&lt;"&amp;$A1294+1)))</f>
        <v/>
      </c>
      <c r="AH1294">
        <f>IF($B1294=0,0,IF(Inputs!$B$10="",0,COUNTIFS(Data!$Q$10:$Q$3209,"&gt;="&amp;$A1294,Data!$Q$10:$Q$3209,"&lt;"&amp;$A1294+1)))</f>
        <v/>
      </c>
    </row>
    <row r="1295">
      <c r="A1295" s="55">
        <f>MIN(Inputs!$C$15,$A1294+IF(WEEKDAY($A1294,2)=5,3,1))</f>
        <v/>
      </c>
      <c r="B1295">
        <f>IF($A1295&gt;$A1294,1,0)</f>
        <v/>
      </c>
      <c r="C1295" s="56">
        <f>IF($B1295=0,"",IF(Inputs!$B$6="","",IF($AD1295=0,C1294,SUMIFS(Data!$B$10:$B$3209,Data!$A$10:$A$3209,"&gt;="&amp;$A1295,Data!$A$10:$A$3209,"&lt;"&amp;$A1295+1)/$AD1295)))</f>
        <v/>
      </c>
      <c r="D1295" s="56">
        <f>IF($B1295=0,"",IF(Inputs!$B$7="","",IF($AE1295=0,D1294,SUMIFS(Data!$F$10:$F$3209,Data!$E$10:$E$3209,"&gt;="&amp;$A1295,Data!$E$10:$E$3209,"&lt;"&amp;$A1295+1)/$AE1295)))</f>
        <v/>
      </c>
      <c r="E1295" s="56">
        <f>IF($B1295=0,"",IF(Inputs!$B$8="","",IF($AF1295=0,E1294,SUMIFS(Data!$J$10:$J$3209,Data!$I$10:$I$3209,"&gt;="&amp;$A1295,Data!$I$10:$I$3209,"&lt;"&amp;$A1295+1)/$AF1295)))</f>
        <v/>
      </c>
      <c r="F1295" s="56">
        <f>IF($B1295=0,"",IF(Inputs!$B$9="","",IF($AG1295=0,F1294,SUMIFS(Data!$N$10:$N$3209,Data!$M$10:$M$3209,"&gt;="&amp;$A1295,Data!$M$10:$M$3209,"&lt;"&amp;$A1295+1)/$AG1295)))</f>
        <v/>
      </c>
      <c r="G1295" s="56">
        <f>IF($B1295=0,"",IF(Inputs!$B$10="","",IF($AH1295=0,G1294,SUMIFS(Data!$R$10:$R$3209,Data!$Q$10:$Q$3209,"&gt;="&amp;$A1295,Data!$Q$10:$Q$3209,"&lt;"&amp;$A1295+1)/$AH1295)))</f>
        <v/>
      </c>
      <c r="I1295" s="54">
        <f>IF($B1295=0,NA(),IF($C1295="",NA(),IF(C$8="",NA(),IF(N(C$8)=0,NA(),IF(Inputs!$C$17="Rebased to 100",$C1295/C$8*100,$C1295)))))</f>
        <v/>
      </c>
      <c r="J1295" s="54">
        <f>IF($B1295=0,NA(),IF($D1295="",NA(),IF(D$8="",NA(),IF(N(D$8)=0,NA(),IF(Inputs!$C$17="Rebased to 100",$D1295/D$8*100,$D1295)))))</f>
        <v/>
      </c>
      <c r="K1295" s="54">
        <f>IF($B1295=0,NA(),IF($E1295="",NA(),IF(E$8="",NA(),IF(N(E$8)=0,NA(),IF(Inputs!$C$17="Rebased to 100",$E1295/E$8*100,$E1295)))))</f>
        <v/>
      </c>
      <c r="L1295" s="54">
        <f>IF($B1295=0,NA(),IF($F1295="",NA(),IF(F$8="",NA(),IF(N(F$8)=0,NA(),IF(Inputs!$C$17="Rebased to 100",$F1295/F$8*100,$F1295)))))</f>
        <v/>
      </c>
      <c r="M1295" s="54">
        <f>IF($B1295=0,NA(),IF($G1295="",NA(),IF(G$8="",NA(),IF(N(G$8)=0,NA(),IF(Inputs!$C$17="Rebased to 100",$G1295/G$8*100,$G1295)))))</f>
        <v/>
      </c>
      <c r="N1295" s="54">
        <f>IF($B1295=0,NA(),IF(Inputs!$C$18&lt;&gt;"Yes",NA(),IF(COUNT(I1295,J1295,K1295,L1295,M1295)=0,NA(),MIN(I1295,J1295,K1295,L1295,M1295))))</f>
        <v/>
      </c>
      <c r="O1295" s="54">
        <f>IF($B1295=0,NA(),IF(Inputs!$B$24&lt;&gt;"Yes",NA(),Inputs!$D$24*Inputs!$C$35))</f>
        <v/>
      </c>
      <c r="P1295" s="54">
        <f>IF($B1295=0,NA(),IF(Inputs!$B$25&lt;&gt;"Yes",NA(),Inputs!$D$25*Inputs!$C$35))</f>
        <v/>
      </c>
      <c r="Q1295" s="54">
        <f>IF($B1295=0,NA(),IF(Inputs!$B$26&lt;&gt;"Yes",NA(),Inputs!$D$26*Inputs!$C$35))</f>
        <v/>
      </c>
      <c r="R1295" s="54">
        <f>IF($B1295=0,NA(),IF(Inputs!$B$27&lt;&gt;"Yes",NA(),Inputs!$D$27*Inputs!$C$35))</f>
        <v/>
      </c>
      <c r="S1295" s="54">
        <f>IF($B1295=0,NA(),IF(Inputs!$B$28&lt;&gt;"Yes",NA(),Inputs!$D$28*Inputs!$C$35))</f>
        <v/>
      </c>
      <c r="T1295" s="54">
        <f>IF($B1295=0,NA(),IF(Inputs!$B$29&lt;&gt;"Yes",NA(),Inputs!$D$29*Inputs!$C$35))</f>
        <v/>
      </c>
      <c r="AD1295">
        <f>IF($B1295=0,0,IF(Inputs!$B$6="",0,COUNTIFS(Data!$A$10:$A$3209,"&gt;="&amp;$A1295,Data!$A$10:$A$3209,"&lt;"&amp;$A1295+1)))</f>
        <v/>
      </c>
      <c r="AE1295">
        <f>IF($B1295=0,0,IF(Inputs!$B$7="",0,COUNTIFS(Data!$E$10:$E$3209,"&gt;="&amp;$A1295,Data!$E$10:$E$3209,"&lt;"&amp;$A1295+1)))</f>
        <v/>
      </c>
      <c r="AF1295">
        <f>IF($B1295=0,0,IF(Inputs!$B$8="",0,COUNTIFS(Data!$I$10:$I$3209,"&gt;="&amp;$A1295,Data!$I$10:$I$3209,"&lt;"&amp;$A1295+1)))</f>
        <v/>
      </c>
      <c r="AG1295">
        <f>IF($B1295=0,0,IF(Inputs!$B$9="",0,COUNTIFS(Data!$M$10:$M$3209,"&gt;="&amp;$A1295,Data!$M$10:$M$3209,"&lt;"&amp;$A1295+1)))</f>
        <v/>
      </c>
      <c r="AH1295">
        <f>IF($B1295=0,0,IF(Inputs!$B$10="",0,COUNTIFS(Data!$Q$10:$Q$3209,"&gt;="&amp;$A1295,Data!$Q$10:$Q$3209,"&lt;"&amp;$A1295+1)))</f>
        <v/>
      </c>
    </row>
    <row r="1296">
      <c r="A1296" s="55">
        <f>MIN(Inputs!$C$15,$A1295+IF(WEEKDAY($A1295,2)=5,3,1))</f>
        <v/>
      </c>
      <c r="B1296">
        <f>IF($A1296&gt;$A1295,1,0)</f>
        <v/>
      </c>
      <c r="C1296" s="56">
        <f>IF($B1296=0,"",IF(Inputs!$B$6="","",IF($AD1296=0,C1295,SUMIFS(Data!$B$10:$B$3209,Data!$A$10:$A$3209,"&gt;="&amp;$A1296,Data!$A$10:$A$3209,"&lt;"&amp;$A1296+1)/$AD1296)))</f>
        <v/>
      </c>
      <c r="D1296" s="56">
        <f>IF($B1296=0,"",IF(Inputs!$B$7="","",IF($AE1296=0,D1295,SUMIFS(Data!$F$10:$F$3209,Data!$E$10:$E$3209,"&gt;="&amp;$A1296,Data!$E$10:$E$3209,"&lt;"&amp;$A1296+1)/$AE1296)))</f>
        <v/>
      </c>
      <c r="E1296" s="56">
        <f>IF($B1296=0,"",IF(Inputs!$B$8="","",IF($AF1296=0,E1295,SUMIFS(Data!$J$10:$J$3209,Data!$I$10:$I$3209,"&gt;="&amp;$A1296,Data!$I$10:$I$3209,"&lt;"&amp;$A1296+1)/$AF1296)))</f>
        <v/>
      </c>
      <c r="F1296" s="56">
        <f>IF($B1296=0,"",IF(Inputs!$B$9="","",IF($AG1296=0,F1295,SUMIFS(Data!$N$10:$N$3209,Data!$M$10:$M$3209,"&gt;="&amp;$A1296,Data!$M$10:$M$3209,"&lt;"&amp;$A1296+1)/$AG1296)))</f>
        <v/>
      </c>
      <c r="G1296" s="56">
        <f>IF($B1296=0,"",IF(Inputs!$B$10="","",IF($AH1296=0,G1295,SUMIFS(Data!$R$10:$R$3209,Data!$Q$10:$Q$3209,"&gt;="&amp;$A1296,Data!$Q$10:$Q$3209,"&lt;"&amp;$A1296+1)/$AH1296)))</f>
        <v/>
      </c>
      <c r="I1296" s="54">
        <f>IF($B1296=0,NA(),IF($C1296="",NA(),IF(C$8="",NA(),IF(N(C$8)=0,NA(),IF(Inputs!$C$17="Rebased to 100",$C1296/C$8*100,$C1296)))))</f>
        <v/>
      </c>
      <c r="J1296" s="54">
        <f>IF($B1296=0,NA(),IF($D1296="",NA(),IF(D$8="",NA(),IF(N(D$8)=0,NA(),IF(Inputs!$C$17="Rebased to 100",$D1296/D$8*100,$D1296)))))</f>
        <v/>
      </c>
      <c r="K1296" s="54">
        <f>IF($B1296=0,NA(),IF($E1296="",NA(),IF(E$8="",NA(),IF(N(E$8)=0,NA(),IF(Inputs!$C$17="Rebased to 100",$E1296/E$8*100,$E1296)))))</f>
        <v/>
      </c>
      <c r="L1296" s="54">
        <f>IF($B1296=0,NA(),IF($F1296="",NA(),IF(F$8="",NA(),IF(N(F$8)=0,NA(),IF(Inputs!$C$17="Rebased to 100",$F1296/F$8*100,$F1296)))))</f>
        <v/>
      </c>
      <c r="M1296" s="54">
        <f>IF($B1296=0,NA(),IF($G1296="",NA(),IF(G$8="",NA(),IF(N(G$8)=0,NA(),IF(Inputs!$C$17="Rebased to 100",$G1296/G$8*100,$G1296)))))</f>
        <v/>
      </c>
      <c r="N1296" s="54">
        <f>IF($B1296=0,NA(),IF(Inputs!$C$18&lt;&gt;"Yes",NA(),IF(COUNT(I1296,J1296,K1296,L1296,M1296)=0,NA(),MIN(I1296,J1296,K1296,L1296,M1296))))</f>
        <v/>
      </c>
      <c r="O1296" s="54">
        <f>IF($B1296=0,NA(),IF(Inputs!$B$24&lt;&gt;"Yes",NA(),Inputs!$D$24*Inputs!$C$35))</f>
        <v/>
      </c>
      <c r="P1296" s="54">
        <f>IF($B1296=0,NA(),IF(Inputs!$B$25&lt;&gt;"Yes",NA(),Inputs!$D$25*Inputs!$C$35))</f>
        <v/>
      </c>
      <c r="Q1296" s="54">
        <f>IF($B1296=0,NA(),IF(Inputs!$B$26&lt;&gt;"Yes",NA(),Inputs!$D$26*Inputs!$C$35))</f>
        <v/>
      </c>
      <c r="R1296" s="54">
        <f>IF($B1296=0,NA(),IF(Inputs!$B$27&lt;&gt;"Yes",NA(),Inputs!$D$27*Inputs!$C$35))</f>
        <v/>
      </c>
      <c r="S1296" s="54">
        <f>IF($B1296=0,NA(),IF(Inputs!$B$28&lt;&gt;"Yes",NA(),Inputs!$D$28*Inputs!$C$35))</f>
        <v/>
      </c>
      <c r="T1296" s="54">
        <f>IF($B1296=0,NA(),IF(Inputs!$B$29&lt;&gt;"Yes",NA(),Inputs!$D$29*Inputs!$C$35))</f>
        <v/>
      </c>
      <c r="AD1296">
        <f>IF($B1296=0,0,IF(Inputs!$B$6="",0,COUNTIFS(Data!$A$10:$A$3209,"&gt;="&amp;$A1296,Data!$A$10:$A$3209,"&lt;"&amp;$A1296+1)))</f>
        <v/>
      </c>
      <c r="AE1296">
        <f>IF($B1296=0,0,IF(Inputs!$B$7="",0,COUNTIFS(Data!$E$10:$E$3209,"&gt;="&amp;$A1296,Data!$E$10:$E$3209,"&lt;"&amp;$A1296+1)))</f>
        <v/>
      </c>
      <c r="AF1296">
        <f>IF($B1296=0,0,IF(Inputs!$B$8="",0,COUNTIFS(Data!$I$10:$I$3209,"&gt;="&amp;$A1296,Data!$I$10:$I$3209,"&lt;"&amp;$A1296+1)))</f>
        <v/>
      </c>
      <c r="AG1296">
        <f>IF($B1296=0,0,IF(Inputs!$B$9="",0,COUNTIFS(Data!$M$10:$M$3209,"&gt;="&amp;$A1296,Data!$M$10:$M$3209,"&lt;"&amp;$A1296+1)))</f>
        <v/>
      </c>
      <c r="AH1296">
        <f>IF($B1296=0,0,IF(Inputs!$B$10="",0,COUNTIFS(Data!$Q$10:$Q$3209,"&gt;="&amp;$A1296,Data!$Q$10:$Q$3209,"&lt;"&amp;$A1296+1)))</f>
        <v/>
      </c>
    </row>
    <row r="1297">
      <c r="A1297" s="55">
        <f>MIN(Inputs!$C$15,$A1296+IF(WEEKDAY($A1296,2)=5,3,1))</f>
        <v/>
      </c>
      <c r="B1297">
        <f>IF($A1297&gt;$A1296,1,0)</f>
        <v/>
      </c>
      <c r="C1297" s="56">
        <f>IF($B1297=0,"",IF(Inputs!$B$6="","",IF($AD1297=0,C1296,SUMIFS(Data!$B$10:$B$3209,Data!$A$10:$A$3209,"&gt;="&amp;$A1297,Data!$A$10:$A$3209,"&lt;"&amp;$A1297+1)/$AD1297)))</f>
        <v/>
      </c>
      <c r="D1297" s="56">
        <f>IF($B1297=0,"",IF(Inputs!$B$7="","",IF($AE1297=0,D1296,SUMIFS(Data!$F$10:$F$3209,Data!$E$10:$E$3209,"&gt;="&amp;$A1297,Data!$E$10:$E$3209,"&lt;"&amp;$A1297+1)/$AE1297)))</f>
        <v/>
      </c>
      <c r="E1297" s="56">
        <f>IF($B1297=0,"",IF(Inputs!$B$8="","",IF($AF1297=0,E1296,SUMIFS(Data!$J$10:$J$3209,Data!$I$10:$I$3209,"&gt;="&amp;$A1297,Data!$I$10:$I$3209,"&lt;"&amp;$A1297+1)/$AF1297)))</f>
        <v/>
      </c>
      <c r="F1297" s="56">
        <f>IF($B1297=0,"",IF(Inputs!$B$9="","",IF($AG1297=0,F1296,SUMIFS(Data!$N$10:$N$3209,Data!$M$10:$M$3209,"&gt;="&amp;$A1297,Data!$M$10:$M$3209,"&lt;"&amp;$A1297+1)/$AG1297)))</f>
        <v/>
      </c>
      <c r="G1297" s="56">
        <f>IF($B1297=0,"",IF(Inputs!$B$10="","",IF($AH1297=0,G1296,SUMIFS(Data!$R$10:$R$3209,Data!$Q$10:$Q$3209,"&gt;="&amp;$A1297,Data!$Q$10:$Q$3209,"&lt;"&amp;$A1297+1)/$AH1297)))</f>
        <v/>
      </c>
      <c r="I1297" s="54">
        <f>IF($B1297=0,NA(),IF($C1297="",NA(),IF(C$8="",NA(),IF(N(C$8)=0,NA(),IF(Inputs!$C$17="Rebased to 100",$C1297/C$8*100,$C1297)))))</f>
        <v/>
      </c>
      <c r="J1297" s="54">
        <f>IF($B1297=0,NA(),IF($D1297="",NA(),IF(D$8="",NA(),IF(N(D$8)=0,NA(),IF(Inputs!$C$17="Rebased to 100",$D1297/D$8*100,$D1297)))))</f>
        <v/>
      </c>
      <c r="K1297" s="54">
        <f>IF($B1297=0,NA(),IF($E1297="",NA(),IF(E$8="",NA(),IF(N(E$8)=0,NA(),IF(Inputs!$C$17="Rebased to 100",$E1297/E$8*100,$E1297)))))</f>
        <v/>
      </c>
      <c r="L1297" s="54">
        <f>IF($B1297=0,NA(),IF($F1297="",NA(),IF(F$8="",NA(),IF(N(F$8)=0,NA(),IF(Inputs!$C$17="Rebased to 100",$F1297/F$8*100,$F1297)))))</f>
        <v/>
      </c>
      <c r="M1297" s="54">
        <f>IF($B1297=0,NA(),IF($G1297="",NA(),IF(G$8="",NA(),IF(N(G$8)=0,NA(),IF(Inputs!$C$17="Rebased to 100",$G1297/G$8*100,$G1297)))))</f>
        <v/>
      </c>
      <c r="N1297" s="54">
        <f>IF($B1297=0,NA(),IF(Inputs!$C$18&lt;&gt;"Yes",NA(),IF(COUNT(I1297,J1297,K1297,L1297,M1297)=0,NA(),MIN(I1297,J1297,K1297,L1297,M1297))))</f>
        <v/>
      </c>
      <c r="O1297" s="54">
        <f>IF($B1297=0,NA(),IF(Inputs!$B$24&lt;&gt;"Yes",NA(),Inputs!$D$24*Inputs!$C$35))</f>
        <v/>
      </c>
      <c r="P1297" s="54">
        <f>IF($B1297=0,NA(),IF(Inputs!$B$25&lt;&gt;"Yes",NA(),Inputs!$D$25*Inputs!$C$35))</f>
        <v/>
      </c>
      <c r="Q1297" s="54">
        <f>IF($B1297=0,NA(),IF(Inputs!$B$26&lt;&gt;"Yes",NA(),Inputs!$D$26*Inputs!$C$35))</f>
        <v/>
      </c>
      <c r="R1297" s="54">
        <f>IF($B1297=0,NA(),IF(Inputs!$B$27&lt;&gt;"Yes",NA(),Inputs!$D$27*Inputs!$C$35))</f>
        <v/>
      </c>
      <c r="S1297" s="54">
        <f>IF($B1297=0,NA(),IF(Inputs!$B$28&lt;&gt;"Yes",NA(),Inputs!$D$28*Inputs!$C$35))</f>
        <v/>
      </c>
      <c r="T1297" s="54">
        <f>IF($B1297=0,NA(),IF(Inputs!$B$29&lt;&gt;"Yes",NA(),Inputs!$D$29*Inputs!$C$35))</f>
        <v/>
      </c>
      <c r="AD1297">
        <f>IF($B1297=0,0,IF(Inputs!$B$6="",0,COUNTIFS(Data!$A$10:$A$3209,"&gt;="&amp;$A1297,Data!$A$10:$A$3209,"&lt;"&amp;$A1297+1)))</f>
        <v/>
      </c>
      <c r="AE1297">
        <f>IF($B1297=0,0,IF(Inputs!$B$7="",0,COUNTIFS(Data!$E$10:$E$3209,"&gt;="&amp;$A1297,Data!$E$10:$E$3209,"&lt;"&amp;$A1297+1)))</f>
        <v/>
      </c>
      <c r="AF1297">
        <f>IF($B1297=0,0,IF(Inputs!$B$8="",0,COUNTIFS(Data!$I$10:$I$3209,"&gt;="&amp;$A1297,Data!$I$10:$I$3209,"&lt;"&amp;$A1297+1)))</f>
        <v/>
      </c>
      <c r="AG1297">
        <f>IF($B1297=0,0,IF(Inputs!$B$9="",0,COUNTIFS(Data!$M$10:$M$3209,"&gt;="&amp;$A1297,Data!$M$10:$M$3209,"&lt;"&amp;$A1297+1)))</f>
        <v/>
      </c>
      <c r="AH1297">
        <f>IF($B1297=0,0,IF(Inputs!$B$10="",0,COUNTIFS(Data!$Q$10:$Q$3209,"&gt;="&amp;$A1297,Data!$Q$10:$Q$3209,"&lt;"&amp;$A1297+1)))</f>
        <v/>
      </c>
    </row>
    <row r="1298">
      <c r="A1298" s="55">
        <f>MIN(Inputs!$C$15,$A1297+IF(WEEKDAY($A1297,2)=5,3,1))</f>
        <v/>
      </c>
      <c r="B1298">
        <f>IF($A1298&gt;$A1297,1,0)</f>
        <v/>
      </c>
      <c r="C1298" s="56">
        <f>IF($B1298=0,"",IF(Inputs!$B$6="","",IF($AD1298=0,C1297,SUMIFS(Data!$B$10:$B$3209,Data!$A$10:$A$3209,"&gt;="&amp;$A1298,Data!$A$10:$A$3209,"&lt;"&amp;$A1298+1)/$AD1298)))</f>
        <v/>
      </c>
      <c r="D1298" s="56">
        <f>IF($B1298=0,"",IF(Inputs!$B$7="","",IF($AE1298=0,D1297,SUMIFS(Data!$F$10:$F$3209,Data!$E$10:$E$3209,"&gt;="&amp;$A1298,Data!$E$10:$E$3209,"&lt;"&amp;$A1298+1)/$AE1298)))</f>
        <v/>
      </c>
      <c r="E1298" s="56">
        <f>IF($B1298=0,"",IF(Inputs!$B$8="","",IF($AF1298=0,E1297,SUMIFS(Data!$J$10:$J$3209,Data!$I$10:$I$3209,"&gt;="&amp;$A1298,Data!$I$10:$I$3209,"&lt;"&amp;$A1298+1)/$AF1298)))</f>
        <v/>
      </c>
      <c r="F1298" s="56">
        <f>IF($B1298=0,"",IF(Inputs!$B$9="","",IF($AG1298=0,F1297,SUMIFS(Data!$N$10:$N$3209,Data!$M$10:$M$3209,"&gt;="&amp;$A1298,Data!$M$10:$M$3209,"&lt;"&amp;$A1298+1)/$AG1298)))</f>
        <v/>
      </c>
      <c r="G1298" s="56">
        <f>IF($B1298=0,"",IF(Inputs!$B$10="","",IF($AH1298=0,G1297,SUMIFS(Data!$R$10:$R$3209,Data!$Q$10:$Q$3209,"&gt;="&amp;$A1298,Data!$Q$10:$Q$3209,"&lt;"&amp;$A1298+1)/$AH1298)))</f>
        <v/>
      </c>
      <c r="I1298" s="54">
        <f>IF($B1298=0,NA(),IF($C1298="",NA(),IF(C$8="",NA(),IF(N(C$8)=0,NA(),IF(Inputs!$C$17="Rebased to 100",$C1298/C$8*100,$C1298)))))</f>
        <v/>
      </c>
      <c r="J1298" s="54">
        <f>IF($B1298=0,NA(),IF($D1298="",NA(),IF(D$8="",NA(),IF(N(D$8)=0,NA(),IF(Inputs!$C$17="Rebased to 100",$D1298/D$8*100,$D1298)))))</f>
        <v/>
      </c>
      <c r="K1298" s="54">
        <f>IF($B1298=0,NA(),IF($E1298="",NA(),IF(E$8="",NA(),IF(N(E$8)=0,NA(),IF(Inputs!$C$17="Rebased to 100",$E1298/E$8*100,$E1298)))))</f>
        <v/>
      </c>
      <c r="L1298" s="54">
        <f>IF($B1298=0,NA(),IF($F1298="",NA(),IF(F$8="",NA(),IF(N(F$8)=0,NA(),IF(Inputs!$C$17="Rebased to 100",$F1298/F$8*100,$F1298)))))</f>
        <v/>
      </c>
      <c r="M1298" s="54">
        <f>IF($B1298=0,NA(),IF($G1298="",NA(),IF(G$8="",NA(),IF(N(G$8)=0,NA(),IF(Inputs!$C$17="Rebased to 100",$G1298/G$8*100,$G1298)))))</f>
        <v/>
      </c>
      <c r="N1298" s="54">
        <f>IF($B1298=0,NA(),IF(Inputs!$C$18&lt;&gt;"Yes",NA(),IF(COUNT(I1298,J1298,K1298,L1298,M1298)=0,NA(),MIN(I1298,J1298,K1298,L1298,M1298))))</f>
        <v/>
      </c>
      <c r="O1298" s="54">
        <f>IF($B1298=0,NA(),IF(Inputs!$B$24&lt;&gt;"Yes",NA(),Inputs!$D$24*Inputs!$C$35))</f>
        <v/>
      </c>
      <c r="P1298" s="54">
        <f>IF($B1298=0,NA(),IF(Inputs!$B$25&lt;&gt;"Yes",NA(),Inputs!$D$25*Inputs!$C$35))</f>
        <v/>
      </c>
      <c r="Q1298" s="54">
        <f>IF($B1298=0,NA(),IF(Inputs!$B$26&lt;&gt;"Yes",NA(),Inputs!$D$26*Inputs!$C$35))</f>
        <v/>
      </c>
      <c r="R1298" s="54">
        <f>IF($B1298=0,NA(),IF(Inputs!$B$27&lt;&gt;"Yes",NA(),Inputs!$D$27*Inputs!$C$35))</f>
        <v/>
      </c>
      <c r="S1298" s="54">
        <f>IF($B1298=0,NA(),IF(Inputs!$B$28&lt;&gt;"Yes",NA(),Inputs!$D$28*Inputs!$C$35))</f>
        <v/>
      </c>
      <c r="T1298" s="54">
        <f>IF($B1298=0,NA(),IF(Inputs!$B$29&lt;&gt;"Yes",NA(),Inputs!$D$29*Inputs!$C$35))</f>
        <v/>
      </c>
      <c r="AD1298">
        <f>IF($B1298=0,0,IF(Inputs!$B$6="",0,COUNTIFS(Data!$A$10:$A$3209,"&gt;="&amp;$A1298,Data!$A$10:$A$3209,"&lt;"&amp;$A1298+1)))</f>
        <v/>
      </c>
      <c r="AE1298">
        <f>IF($B1298=0,0,IF(Inputs!$B$7="",0,COUNTIFS(Data!$E$10:$E$3209,"&gt;="&amp;$A1298,Data!$E$10:$E$3209,"&lt;"&amp;$A1298+1)))</f>
        <v/>
      </c>
      <c r="AF1298">
        <f>IF($B1298=0,0,IF(Inputs!$B$8="",0,COUNTIFS(Data!$I$10:$I$3209,"&gt;="&amp;$A1298,Data!$I$10:$I$3209,"&lt;"&amp;$A1298+1)))</f>
        <v/>
      </c>
      <c r="AG1298">
        <f>IF($B1298=0,0,IF(Inputs!$B$9="",0,COUNTIFS(Data!$M$10:$M$3209,"&gt;="&amp;$A1298,Data!$M$10:$M$3209,"&lt;"&amp;$A1298+1)))</f>
        <v/>
      </c>
      <c r="AH1298">
        <f>IF($B1298=0,0,IF(Inputs!$B$10="",0,COUNTIFS(Data!$Q$10:$Q$3209,"&gt;="&amp;$A1298,Data!$Q$10:$Q$3209,"&lt;"&amp;$A1298+1)))</f>
        <v/>
      </c>
    </row>
    <row r="1299">
      <c r="A1299" s="55">
        <f>MIN(Inputs!$C$15,$A1298+IF(WEEKDAY($A1298,2)=5,3,1))</f>
        <v/>
      </c>
      <c r="B1299">
        <f>IF($A1299&gt;$A1298,1,0)</f>
        <v/>
      </c>
      <c r="C1299" s="56">
        <f>IF($B1299=0,"",IF(Inputs!$B$6="","",IF($AD1299=0,C1298,SUMIFS(Data!$B$10:$B$3209,Data!$A$10:$A$3209,"&gt;="&amp;$A1299,Data!$A$10:$A$3209,"&lt;"&amp;$A1299+1)/$AD1299)))</f>
        <v/>
      </c>
      <c r="D1299" s="56">
        <f>IF($B1299=0,"",IF(Inputs!$B$7="","",IF($AE1299=0,D1298,SUMIFS(Data!$F$10:$F$3209,Data!$E$10:$E$3209,"&gt;="&amp;$A1299,Data!$E$10:$E$3209,"&lt;"&amp;$A1299+1)/$AE1299)))</f>
        <v/>
      </c>
      <c r="E1299" s="56">
        <f>IF($B1299=0,"",IF(Inputs!$B$8="","",IF($AF1299=0,E1298,SUMIFS(Data!$J$10:$J$3209,Data!$I$10:$I$3209,"&gt;="&amp;$A1299,Data!$I$10:$I$3209,"&lt;"&amp;$A1299+1)/$AF1299)))</f>
        <v/>
      </c>
      <c r="F1299" s="56">
        <f>IF($B1299=0,"",IF(Inputs!$B$9="","",IF($AG1299=0,F1298,SUMIFS(Data!$N$10:$N$3209,Data!$M$10:$M$3209,"&gt;="&amp;$A1299,Data!$M$10:$M$3209,"&lt;"&amp;$A1299+1)/$AG1299)))</f>
        <v/>
      </c>
      <c r="G1299" s="56">
        <f>IF($B1299=0,"",IF(Inputs!$B$10="","",IF($AH1299=0,G1298,SUMIFS(Data!$R$10:$R$3209,Data!$Q$10:$Q$3209,"&gt;="&amp;$A1299,Data!$Q$10:$Q$3209,"&lt;"&amp;$A1299+1)/$AH1299)))</f>
        <v/>
      </c>
      <c r="I1299" s="54">
        <f>IF($B1299=0,NA(),IF($C1299="",NA(),IF(C$8="",NA(),IF(N(C$8)=0,NA(),IF(Inputs!$C$17="Rebased to 100",$C1299/C$8*100,$C1299)))))</f>
        <v/>
      </c>
      <c r="J1299" s="54">
        <f>IF($B1299=0,NA(),IF($D1299="",NA(),IF(D$8="",NA(),IF(N(D$8)=0,NA(),IF(Inputs!$C$17="Rebased to 100",$D1299/D$8*100,$D1299)))))</f>
        <v/>
      </c>
      <c r="K1299" s="54">
        <f>IF($B1299=0,NA(),IF($E1299="",NA(),IF(E$8="",NA(),IF(N(E$8)=0,NA(),IF(Inputs!$C$17="Rebased to 100",$E1299/E$8*100,$E1299)))))</f>
        <v/>
      </c>
      <c r="L1299" s="54">
        <f>IF($B1299=0,NA(),IF($F1299="",NA(),IF(F$8="",NA(),IF(N(F$8)=0,NA(),IF(Inputs!$C$17="Rebased to 100",$F1299/F$8*100,$F1299)))))</f>
        <v/>
      </c>
      <c r="M1299" s="54">
        <f>IF($B1299=0,NA(),IF($G1299="",NA(),IF(G$8="",NA(),IF(N(G$8)=0,NA(),IF(Inputs!$C$17="Rebased to 100",$G1299/G$8*100,$G1299)))))</f>
        <v/>
      </c>
      <c r="N1299" s="54">
        <f>IF($B1299=0,NA(),IF(Inputs!$C$18&lt;&gt;"Yes",NA(),IF(COUNT(I1299,J1299,K1299,L1299,M1299)=0,NA(),MIN(I1299,J1299,K1299,L1299,M1299))))</f>
        <v/>
      </c>
      <c r="O1299" s="54">
        <f>IF($B1299=0,NA(),IF(Inputs!$B$24&lt;&gt;"Yes",NA(),Inputs!$D$24*Inputs!$C$35))</f>
        <v/>
      </c>
      <c r="P1299" s="54">
        <f>IF($B1299=0,NA(),IF(Inputs!$B$25&lt;&gt;"Yes",NA(),Inputs!$D$25*Inputs!$C$35))</f>
        <v/>
      </c>
      <c r="Q1299" s="54">
        <f>IF($B1299=0,NA(),IF(Inputs!$B$26&lt;&gt;"Yes",NA(),Inputs!$D$26*Inputs!$C$35))</f>
        <v/>
      </c>
      <c r="R1299" s="54">
        <f>IF($B1299=0,NA(),IF(Inputs!$B$27&lt;&gt;"Yes",NA(),Inputs!$D$27*Inputs!$C$35))</f>
        <v/>
      </c>
      <c r="S1299" s="54">
        <f>IF($B1299=0,NA(),IF(Inputs!$B$28&lt;&gt;"Yes",NA(),Inputs!$D$28*Inputs!$C$35))</f>
        <v/>
      </c>
      <c r="T1299" s="54">
        <f>IF($B1299=0,NA(),IF(Inputs!$B$29&lt;&gt;"Yes",NA(),Inputs!$D$29*Inputs!$C$35))</f>
        <v/>
      </c>
      <c r="AD1299">
        <f>IF($B1299=0,0,IF(Inputs!$B$6="",0,COUNTIFS(Data!$A$10:$A$3209,"&gt;="&amp;$A1299,Data!$A$10:$A$3209,"&lt;"&amp;$A1299+1)))</f>
        <v/>
      </c>
      <c r="AE1299">
        <f>IF($B1299=0,0,IF(Inputs!$B$7="",0,COUNTIFS(Data!$E$10:$E$3209,"&gt;="&amp;$A1299,Data!$E$10:$E$3209,"&lt;"&amp;$A1299+1)))</f>
        <v/>
      </c>
      <c r="AF1299">
        <f>IF($B1299=0,0,IF(Inputs!$B$8="",0,COUNTIFS(Data!$I$10:$I$3209,"&gt;="&amp;$A1299,Data!$I$10:$I$3209,"&lt;"&amp;$A1299+1)))</f>
        <v/>
      </c>
      <c r="AG1299">
        <f>IF($B1299=0,0,IF(Inputs!$B$9="",0,COUNTIFS(Data!$M$10:$M$3209,"&gt;="&amp;$A1299,Data!$M$10:$M$3209,"&lt;"&amp;$A1299+1)))</f>
        <v/>
      </c>
      <c r="AH1299">
        <f>IF($B1299=0,0,IF(Inputs!$B$10="",0,COUNTIFS(Data!$Q$10:$Q$3209,"&gt;="&amp;$A1299,Data!$Q$10:$Q$3209,"&lt;"&amp;$A1299+1)))</f>
        <v/>
      </c>
    </row>
    <row r="1300">
      <c r="A1300" s="55">
        <f>MIN(Inputs!$C$15,$A1299+IF(WEEKDAY($A1299,2)=5,3,1))</f>
        <v/>
      </c>
      <c r="B1300">
        <f>IF($A1300&gt;$A1299,1,0)</f>
        <v/>
      </c>
      <c r="C1300" s="56">
        <f>IF($B1300=0,"",IF(Inputs!$B$6="","",IF($AD1300=0,C1299,SUMIFS(Data!$B$10:$B$3209,Data!$A$10:$A$3209,"&gt;="&amp;$A1300,Data!$A$10:$A$3209,"&lt;"&amp;$A1300+1)/$AD1300)))</f>
        <v/>
      </c>
      <c r="D1300" s="56">
        <f>IF($B1300=0,"",IF(Inputs!$B$7="","",IF($AE1300=0,D1299,SUMIFS(Data!$F$10:$F$3209,Data!$E$10:$E$3209,"&gt;="&amp;$A1300,Data!$E$10:$E$3209,"&lt;"&amp;$A1300+1)/$AE1300)))</f>
        <v/>
      </c>
      <c r="E1300" s="56">
        <f>IF($B1300=0,"",IF(Inputs!$B$8="","",IF($AF1300=0,E1299,SUMIFS(Data!$J$10:$J$3209,Data!$I$10:$I$3209,"&gt;="&amp;$A1300,Data!$I$10:$I$3209,"&lt;"&amp;$A1300+1)/$AF1300)))</f>
        <v/>
      </c>
      <c r="F1300" s="56">
        <f>IF($B1300=0,"",IF(Inputs!$B$9="","",IF($AG1300=0,F1299,SUMIFS(Data!$N$10:$N$3209,Data!$M$10:$M$3209,"&gt;="&amp;$A1300,Data!$M$10:$M$3209,"&lt;"&amp;$A1300+1)/$AG1300)))</f>
        <v/>
      </c>
      <c r="G1300" s="56">
        <f>IF($B1300=0,"",IF(Inputs!$B$10="","",IF($AH1300=0,G1299,SUMIFS(Data!$R$10:$R$3209,Data!$Q$10:$Q$3209,"&gt;="&amp;$A1300,Data!$Q$10:$Q$3209,"&lt;"&amp;$A1300+1)/$AH1300)))</f>
        <v/>
      </c>
      <c r="I1300" s="54">
        <f>IF($B1300=0,NA(),IF($C1300="",NA(),IF(C$8="",NA(),IF(N(C$8)=0,NA(),IF(Inputs!$C$17="Rebased to 100",$C1300/C$8*100,$C1300)))))</f>
        <v/>
      </c>
      <c r="J1300" s="54">
        <f>IF($B1300=0,NA(),IF($D1300="",NA(),IF(D$8="",NA(),IF(N(D$8)=0,NA(),IF(Inputs!$C$17="Rebased to 100",$D1300/D$8*100,$D1300)))))</f>
        <v/>
      </c>
      <c r="K1300" s="54">
        <f>IF($B1300=0,NA(),IF($E1300="",NA(),IF(E$8="",NA(),IF(N(E$8)=0,NA(),IF(Inputs!$C$17="Rebased to 100",$E1300/E$8*100,$E1300)))))</f>
        <v/>
      </c>
      <c r="L1300" s="54">
        <f>IF($B1300=0,NA(),IF($F1300="",NA(),IF(F$8="",NA(),IF(N(F$8)=0,NA(),IF(Inputs!$C$17="Rebased to 100",$F1300/F$8*100,$F1300)))))</f>
        <v/>
      </c>
      <c r="M1300" s="54">
        <f>IF($B1300=0,NA(),IF($G1300="",NA(),IF(G$8="",NA(),IF(N(G$8)=0,NA(),IF(Inputs!$C$17="Rebased to 100",$G1300/G$8*100,$G1300)))))</f>
        <v/>
      </c>
      <c r="N1300" s="54">
        <f>IF($B1300=0,NA(),IF(Inputs!$C$18&lt;&gt;"Yes",NA(),IF(COUNT(I1300,J1300,K1300,L1300,M1300)=0,NA(),MIN(I1300,J1300,K1300,L1300,M1300))))</f>
        <v/>
      </c>
      <c r="O1300" s="54">
        <f>IF($B1300=0,NA(),IF(Inputs!$B$24&lt;&gt;"Yes",NA(),Inputs!$D$24*Inputs!$C$35))</f>
        <v/>
      </c>
      <c r="P1300" s="54">
        <f>IF($B1300=0,NA(),IF(Inputs!$B$25&lt;&gt;"Yes",NA(),Inputs!$D$25*Inputs!$C$35))</f>
        <v/>
      </c>
      <c r="Q1300" s="54">
        <f>IF($B1300=0,NA(),IF(Inputs!$B$26&lt;&gt;"Yes",NA(),Inputs!$D$26*Inputs!$C$35))</f>
        <v/>
      </c>
      <c r="R1300" s="54">
        <f>IF($B1300=0,NA(),IF(Inputs!$B$27&lt;&gt;"Yes",NA(),Inputs!$D$27*Inputs!$C$35))</f>
        <v/>
      </c>
      <c r="S1300" s="54">
        <f>IF($B1300=0,NA(),IF(Inputs!$B$28&lt;&gt;"Yes",NA(),Inputs!$D$28*Inputs!$C$35))</f>
        <v/>
      </c>
      <c r="T1300" s="54">
        <f>IF($B1300=0,NA(),IF(Inputs!$B$29&lt;&gt;"Yes",NA(),Inputs!$D$29*Inputs!$C$35))</f>
        <v/>
      </c>
      <c r="AD1300">
        <f>IF($B1300=0,0,IF(Inputs!$B$6="",0,COUNTIFS(Data!$A$10:$A$3209,"&gt;="&amp;$A1300,Data!$A$10:$A$3209,"&lt;"&amp;$A1300+1)))</f>
        <v/>
      </c>
      <c r="AE1300">
        <f>IF($B1300=0,0,IF(Inputs!$B$7="",0,COUNTIFS(Data!$E$10:$E$3209,"&gt;="&amp;$A1300,Data!$E$10:$E$3209,"&lt;"&amp;$A1300+1)))</f>
        <v/>
      </c>
      <c r="AF1300">
        <f>IF($B1300=0,0,IF(Inputs!$B$8="",0,COUNTIFS(Data!$I$10:$I$3209,"&gt;="&amp;$A1300,Data!$I$10:$I$3209,"&lt;"&amp;$A1300+1)))</f>
        <v/>
      </c>
      <c r="AG1300">
        <f>IF($B1300=0,0,IF(Inputs!$B$9="",0,COUNTIFS(Data!$M$10:$M$3209,"&gt;="&amp;$A1300,Data!$M$10:$M$3209,"&lt;"&amp;$A1300+1)))</f>
        <v/>
      </c>
      <c r="AH1300">
        <f>IF($B1300=0,0,IF(Inputs!$B$10="",0,COUNTIFS(Data!$Q$10:$Q$3209,"&gt;="&amp;$A1300,Data!$Q$10:$Q$3209,"&lt;"&amp;$A1300+1)))</f>
        <v/>
      </c>
    </row>
    <row r="1301">
      <c r="A1301" s="55">
        <f>MIN(Inputs!$C$15,$A1300+IF(WEEKDAY($A1300,2)=5,3,1))</f>
        <v/>
      </c>
      <c r="B1301">
        <f>IF($A1301&gt;$A1300,1,0)</f>
        <v/>
      </c>
      <c r="C1301" s="56">
        <f>IF($B1301=0,"",IF(Inputs!$B$6="","",IF($AD1301=0,C1300,SUMIFS(Data!$B$10:$B$3209,Data!$A$10:$A$3209,"&gt;="&amp;$A1301,Data!$A$10:$A$3209,"&lt;"&amp;$A1301+1)/$AD1301)))</f>
        <v/>
      </c>
      <c r="D1301" s="56">
        <f>IF($B1301=0,"",IF(Inputs!$B$7="","",IF($AE1301=0,D1300,SUMIFS(Data!$F$10:$F$3209,Data!$E$10:$E$3209,"&gt;="&amp;$A1301,Data!$E$10:$E$3209,"&lt;"&amp;$A1301+1)/$AE1301)))</f>
        <v/>
      </c>
      <c r="E1301" s="56">
        <f>IF($B1301=0,"",IF(Inputs!$B$8="","",IF($AF1301=0,E1300,SUMIFS(Data!$J$10:$J$3209,Data!$I$10:$I$3209,"&gt;="&amp;$A1301,Data!$I$10:$I$3209,"&lt;"&amp;$A1301+1)/$AF1301)))</f>
        <v/>
      </c>
      <c r="F1301" s="56">
        <f>IF($B1301=0,"",IF(Inputs!$B$9="","",IF($AG1301=0,F1300,SUMIFS(Data!$N$10:$N$3209,Data!$M$10:$M$3209,"&gt;="&amp;$A1301,Data!$M$10:$M$3209,"&lt;"&amp;$A1301+1)/$AG1301)))</f>
        <v/>
      </c>
      <c r="G1301" s="56">
        <f>IF($B1301=0,"",IF(Inputs!$B$10="","",IF($AH1301=0,G1300,SUMIFS(Data!$R$10:$R$3209,Data!$Q$10:$Q$3209,"&gt;="&amp;$A1301,Data!$Q$10:$Q$3209,"&lt;"&amp;$A1301+1)/$AH1301)))</f>
        <v/>
      </c>
      <c r="I1301" s="54">
        <f>IF($B1301=0,NA(),IF($C1301="",NA(),IF(C$8="",NA(),IF(N(C$8)=0,NA(),IF(Inputs!$C$17="Rebased to 100",$C1301/C$8*100,$C1301)))))</f>
        <v/>
      </c>
      <c r="J1301" s="54">
        <f>IF($B1301=0,NA(),IF($D1301="",NA(),IF(D$8="",NA(),IF(N(D$8)=0,NA(),IF(Inputs!$C$17="Rebased to 100",$D1301/D$8*100,$D1301)))))</f>
        <v/>
      </c>
      <c r="K1301" s="54">
        <f>IF($B1301=0,NA(),IF($E1301="",NA(),IF(E$8="",NA(),IF(N(E$8)=0,NA(),IF(Inputs!$C$17="Rebased to 100",$E1301/E$8*100,$E1301)))))</f>
        <v/>
      </c>
      <c r="L1301" s="54">
        <f>IF($B1301=0,NA(),IF($F1301="",NA(),IF(F$8="",NA(),IF(N(F$8)=0,NA(),IF(Inputs!$C$17="Rebased to 100",$F1301/F$8*100,$F1301)))))</f>
        <v/>
      </c>
      <c r="M1301" s="54">
        <f>IF($B1301=0,NA(),IF($G1301="",NA(),IF(G$8="",NA(),IF(N(G$8)=0,NA(),IF(Inputs!$C$17="Rebased to 100",$G1301/G$8*100,$G1301)))))</f>
        <v/>
      </c>
      <c r="N1301" s="54">
        <f>IF($B1301=0,NA(),IF(Inputs!$C$18&lt;&gt;"Yes",NA(),IF(COUNT(I1301,J1301,K1301,L1301,M1301)=0,NA(),MIN(I1301,J1301,K1301,L1301,M1301))))</f>
        <v/>
      </c>
      <c r="O1301" s="54">
        <f>IF($B1301=0,NA(),IF(Inputs!$B$24&lt;&gt;"Yes",NA(),Inputs!$D$24*Inputs!$C$35))</f>
        <v/>
      </c>
      <c r="P1301" s="54">
        <f>IF($B1301=0,NA(),IF(Inputs!$B$25&lt;&gt;"Yes",NA(),Inputs!$D$25*Inputs!$C$35))</f>
        <v/>
      </c>
      <c r="Q1301" s="54">
        <f>IF($B1301=0,NA(),IF(Inputs!$B$26&lt;&gt;"Yes",NA(),Inputs!$D$26*Inputs!$C$35))</f>
        <v/>
      </c>
      <c r="R1301" s="54">
        <f>IF($B1301=0,NA(),IF(Inputs!$B$27&lt;&gt;"Yes",NA(),Inputs!$D$27*Inputs!$C$35))</f>
        <v/>
      </c>
      <c r="S1301" s="54">
        <f>IF($B1301=0,NA(),IF(Inputs!$B$28&lt;&gt;"Yes",NA(),Inputs!$D$28*Inputs!$C$35))</f>
        <v/>
      </c>
      <c r="T1301" s="54">
        <f>IF($B1301=0,NA(),IF(Inputs!$B$29&lt;&gt;"Yes",NA(),Inputs!$D$29*Inputs!$C$35))</f>
        <v/>
      </c>
      <c r="AD1301">
        <f>IF($B1301=0,0,IF(Inputs!$B$6="",0,COUNTIFS(Data!$A$10:$A$3209,"&gt;="&amp;$A1301,Data!$A$10:$A$3209,"&lt;"&amp;$A1301+1)))</f>
        <v/>
      </c>
      <c r="AE1301">
        <f>IF($B1301=0,0,IF(Inputs!$B$7="",0,COUNTIFS(Data!$E$10:$E$3209,"&gt;="&amp;$A1301,Data!$E$10:$E$3209,"&lt;"&amp;$A1301+1)))</f>
        <v/>
      </c>
      <c r="AF1301">
        <f>IF($B1301=0,0,IF(Inputs!$B$8="",0,COUNTIFS(Data!$I$10:$I$3209,"&gt;="&amp;$A1301,Data!$I$10:$I$3209,"&lt;"&amp;$A1301+1)))</f>
        <v/>
      </c>
      <c r="AG1301">
        <f>IF($B1301=0,0,IF(Inputs!$B$9="",0,COUNTIFS(Data!$M$10:$M$3209,"&gt;="&amp;$A1301,Data!$M$10:$M$3209,"&lt;"&amp;$A1301+1)))</f>
        <v/>
      </c>
      <c r="AH1301">
        <f>IF($B1301=0,0,IF(Inputs!$B$10="",0,COUNTIFS(Data!$Q$10:$Q$3209,"&gt;="&amp;$A1301,Data!$Q$10:$Q$3209,"&lt;"&amp;$A1301+1)))</f>
        <v/>
      </c>
    </row>
    <row r="1302">
      <c r="A1302" s="55">
        <f>MIN(Inputs!$C$15,$A1301+IF(WEEKDAY($A1301,2)=5,3,1))</f>
        <v/>
      </c>
      <c r="B1302">
        <f>IF($A1302&gt;$A1301,1,0)</f>
        <v/>
      </c>
      <c r="C1302" s="56">
        <f>IF($B1302=0,"",IF(Inputs!$B$6="","",IF($AD1302=0,C1301,SUMIFS(Data!$B$10:$B$3209,Data!$A$10:$A$3209,"&gt;="&amp;$A1302,Data!$A$10:$A$3209,"&lt;"&amp;$A1302+1)/$AD1302)))</f>
        <v/>
      </c>
      <c r="D1302" s="56">
        <f>IF($B1302=0,"",IF(Inputs!$B$7="","",IF($AE1302=0,D1301,SUMIFS(Data!$F$10:$F$3209,Data!$E$10:$E$3209,"&gt;="&amp;$A1302,Data!$E$10:$E$3209,"&lt;"&amp;$A1302+1)/$AE1302)))</f>
        <v/>
      </c>
      <c r="E1302" s="56">
        <f>IF($B1302=0,"",IF(Inputs!$B$8="","",IF($AF1302=0,E1301,SUMIFS(Data!$J$10:$J$3209,Data!$I$10:$I$3209,"&gt;="&amp;$A1302,Data!$I$10:$I$3209,"&lt;"&amp;$A1302+1)/$AF1302)))</f>
        <v/>
      </c>
      <c r="F1302" s="56">
        <f>IF($B1302=0,"",IF(Inputs!$B$9="","",IF($AG1302=0,F1301,SUMIFS(Data!$N$10:$N$3209,Data!$M$10:$M$3209,"&gt;="&amp;$A1302,Data!$M$10:$M$3209,"&lt;"&amp;$A1302+1)/$AG1302)))</f>
        <v/>
      </c>
      <c r="G1302" s="56">
        <f>IF($B1302=0,"",IF(Inputs!$B$10="","",IF($AH1302=0,G1301,SUMIFS(Data!$R$10:$R$3209,Data!$Q$10:$Q$3209,"&gt;="&amp;$A1302,Data!$Q$10:$Q$3209,"&lt;"&amp;$A1302+1)/$AH1302)))</f>
        <v/>
      </c>
      <c r="I1302" s="54">
        <f>IF($B1302=0,NA(),IF($C1302="",NA(),IF(C$8="",NA(),IF(N(C$8)=0,NA(),IF(Inputs!$C$17="Rebased to 100",$C1302/C$8*100,$C1302)))))</f>
        <v/>
      </c>
      <c r="J1302" s="54">
        <f>IF($B1302=0,NA(),IF($D1302="",NA(),IF(D$8="",NA(),IF(N(D$8)=0,NA(),IF(Inputs!$C$17="Rebased to 100",$D1302/D$8*100,$D1302)))))</f>
        <v/>
      </c>
      <c r="K1302" s="54">
        <f>IF($B1302=0,NA(),IF($E1302="",NA(),IF(E$8="",NA(),IF(N(E$8)=0,NA(),IF(Inputs!$C$17="Rebased to 100",$E1302/E$8*100,$E1302)))))</f>
        <v/>
      </c>
      <c r="L1302" s="54">
        <f>IF($B1302=0,NA(),IF($F1302="",NA(),IF(F$8="",NA(),IF(N(F$8)=0,NA(),IF(Inputs!$C$17="Rebased to 100",$F1302/F$8*100,$F1302)))))</f>
        <v/>
      </c>
      <c r="M1302" s="54">
        <f>IF($B1302=0,NA(),IF($G1302="",NA(),IF(G$8="",NA(),IF(N(G$8)=0,NA(),IF(Inputs!$C$17="Rebased to 100",$G1302/G$8*100,$G1302)))))</f>
        <v/>
      </c>
      <c r="N1302" s="54">
        <f>IF($B1302=0,NA(),IF(Inputs!$C$18&lt;&gt;"Yes",NA(),IF(COUNT(I1302,J1302,K1302,L1302,M1302)=0,NA(),MIN(I1302,J1302,K1302,L1302,M1302))))</f>
        <v/>
      </c>
      <c r="O1302" s="54">
        <f>IF($B1302=0,NA(),IF(Inputs!$B$24&lt;&gt;"Yes",NA(),Inputs!$D$24*Inputs!$C$35))</f>
        <v/>
      </c>
      <c r="P1302" s="54">
        <f>IF($B1302=0,NA(),IF(Inputs!$B$25&lt;&gt;"Yes",NA(),Inputs!$D$25*Inputs!$C$35))</f>
        <v/>
      </c>
      <c r="Q1302" s="54">
        <f>IF($B1302=0,NA(),IF(Inputs!$B$26&lt;&gt;"Yes",NA(),Inputs!$D$26*Inputs!$C$35))</f>
        <v/>
      </c>
      <c r="R1302" s="54">
        <f>IF($B1302=0,NA(),IF(Inputs!$B$27&lt;&gt;"Yes",NA(),Inputs!$D$27*Inputs!$C$35))</f>
        <v/>
      </c>
      <c r="S1302" s="54">
        <f>IF($B1302=0,NA(),IF(Inputs!$B$28&lt;&gt;"Yes",NA(),Inputs!$D$28*Inputs!$C$35))</f>
        <v/>
      </c>
      <c r="T1302" s="54">
        <f>IF($B1302=0,NA(),IF(Inputs!$B$29&lt;&gt;"Yes",NA(),Inputs!$D$29*Inputs!$C$35))</f>
        <v/>
      </c>
      <c r="AD1302">
        <f>IF($B1302=0,0,IF(Inputs!$B$6="",0,COUNTIFS(Data!$A$10:$A$3209,"&gt;="&amp;$A1302,Data!$A$10:$A$3209,"&lt;"&amp;$A1302+1)))</f>
        <v/>
      </c>
      <c r="AE1302">
        <f>IF($B1302=0,0,IF(Inputs!$B$7="",0,COUNTIFS(Data!$E$10:$E$3209,"&gt;="&amp;$A1302,Data!$E$10:$E$3209,"&lt;"&amp;$A1302+1)))</f>
        <v/>
      </c>
      <c r="AF1302">
        <f>IF($B1302=0,0,IF(Inputs!$B$8="",0,COUNTIFS(Data!$I$10:$I$3209,"&gt;="&amp;$A1302,Data!$I$10:$I$3209,"&lt;"&amp;$A1302+1)))</f>
        <v/>
      </c>
      <c r="AG1302">
        <f>IF($B1302=0,0,IF(Inputs!$B$9="",0,COUNTIFS(Data!$M$10:$M$3209,"&gt;="&amp;$A1302,Data!$M$10:$M$3209,"&lt;"&amp;$A1302+1)))</f>
        <v/>
      </c>
      <c r="AH1302">
        <f>IF($B1302=0,0,IF(Inputs!$B$10="",0,COUNTIFS(Data!$Q$10:$Q$3209,"&gt;="&amp;$A1302,Data!$Q$10:$Q$3209,"&lt;"&amp;$A1302+1)))</f>
        <v/>
      </c>
    </row>
    <row r="1303">
      <c r="A1303" s="55">
        <f>MIN(Inputs!$C$15,$A1302+IF(WEEKDAY($A1302,2)=5,3,1))</f>
        <v/>
      </c>
      <c r="B1303">
        <f>IF($A1303&gt;$A1302,1,0)</f>
        <v/>
      </c>
      <c r="C1303" s="56">
        <f>IF($B1303=0,"",IF(Inputs!$B$6="","",IF($AD1303=0,C1302,SUMIFS(Data!$B$10:$B$3209,Data!$A$10:$A$3209,"&gt;="&amp;$A1303,Data!$A$10:$A$3209,"&lt;"&amp;$A1303+1)/$AD1303)))</f>
        <v/>
      </c>
      <c r="D1303" s="56">
        <f>IF($B1303=0,"",IF(Inputs!$B$7="","",IF($AE1303=0,D1302,SUMIFS(Data!$F$10:$F$3209,Data!$E$10:$E$3209,"&gt;="&amp;$A1303,Data!$E$10:$E$3209,"&lt;"&amp;$A1303+1)/$AE1303)))</f>
        <v/>
      </c>
      <c r="E1303" s="56">
        <f>IF($B1303=0,"",IF(Inputs!$B$8="","",IF($AF1303=0,E1302,SUMIFS(Data!$J$10:$J$3209,Data!$I$10:$I$3209,"&gt;="&amp;$A1303,Data!$I$10:$I$3209,"&lt;"&amp;$A1303+1)/$AF1303)))</f>
        <v/>
      </c>
      <c r="F1303" s="56">
        <f>IF($B1303=0,"",IF(Inputs!$B$9="","",IF($AG1303=0,F1302,SUMIFS(Data!$N$10:$N$3209,Data!$M$10:$M$3209,"&gt;="&amp;$A1303,Data!$M$10:$M$3209,"&lt;"&amp;$A1303+1)/$AG1303)))</f>
        <v/>
      </c>
      <c r="G1303" s="56">
        <f>IF($B1303=0,"",IF(Inputs!$B$10="","",IF($AH1303=0,G1302,SUMIFS(Data!$R$10:$R$3209,Data!$Q$10:$Q$3209,"&gt;="&amp;$A1303,Data!$Q$10:$Q$3209,"&lt;"&amp;$A1303+1)/$AH1303)))</f>
        <v/>
      </c>
      <c r="I1303" s="54">
        <f>IF($B1303=0,NA(),IF($C1303="",NA(),IF(C$8="",NA(),IF(N(C$8)=0,NA(),IF(Inputs!$C$17="Rebased to 100",$C1303/C$8*100,$C1303)))))</f>
        <v/>
      </c>
      <c r="J1303" s="54">
        <f>IF($B1303=0,NA(),IF($D1303="",NA(),IF(D$8="",NA(),IF(N(D$8)=0,NA(),IF(Inputs!$C$17="Rebased to 100",$D1303/D$8*100,$D1303)))))</f>
        <v/>
      </c>
      <c r="K1303" s="54">
        <f>IF($B1303=0,NA(),IF($E1303="",NA(),IF(E$8="",NA(),IF(N(E$8)=0,NA(),IF(Inputs!$C$17="Rebased to 100",$E1303/E$8*100,$E1303)))))</f>
        <v/>
      </c>
      <c r="L1303" s="54">
        <f>IF($B1303=0,NA(),IF($F1303="",NA(),IF(F$8="",NA(),IF(N(F$8)=0,NA(),IF(Inputs!$C$17="Rebased to 100",$F1303/F$8*100,$F1303)))))</f>
        <v/>
      </c>
      <c r="M1303" s="54">
        <f>IF($B1303=0,NA(),IF($G1303="",NA(),IF(G$8="",NA(),IF(N(G$8)=0,NA(),IF(Inputs!$C$17="Rebased to 100",$G1303/G$8*100,$G1303)))))</f>
        <v/>
      </c>
      <c r="N1303" s="54">
        <f>IF($B1303=0,NA(),IF(Inputs!$C$18&lt;&gt;"Yes",NA(),IF(COUNT(I1303,J1303,K1303,L1303,M1303)=0,NA(),MIN(I1303,J1303,K1303,L1303,M1303))))</f>
        <v/>
      </c>
      <c r="O1303" s="54">
        <f>IF($B1303=0,NA(),IF(Inputs!$B$24&lt;&gt;"Yes",NA(),Inputs!$D$24*Inputs!$C$35))</f>
        <v/>
      </c>
      <c r="P1303" s="54">
        <f>IF($B1303=0,NA(),IF(Inputs!$B$25&lt;&gt;"Yes",NA(),Inputs!$D$25*Inputs!$C$35))</f>
        <v/>
      </c>
      <c r="Q1303" s="54">
        <f>IF($B1303=0,NA(),IF(Inputs!$B$26&lt;&gt;"Yes",NA(),Inputs!$D$26*Inputs!$C$35))</f>
        <v/>
      </c>
      <c r="R1303" s="54">
        <f>IF($B1303=0,NA(),IF(Inputs!$B$27&lt;&gt;"Yes",NA(),Inputs!$D$27*Inputs!$C$35))</f>
        <v/>
      </c>
      <c r="S1303" s="54">
        <f>IF($B1303=0,NA(),IF(Inputs!$B$28&lt;&gt;"Yes",NA(),Inputs!$D$28*Inputs!$C$35))</f>
        <v/>
      </c>
      <c r="T1303" s="54">
        <f>IF($B1303=0,NA(),IF(Inputs!$B$29&lt;&gt;"Yes",NA(),Inputs!$D$29*Inputs!$C$35))</f>
        <v/>
      </c>
      <c r="AD1303">
        <f>IF($B1303=0,0,IF(Inputs!$B$6="",0,COUNTIFS(Data!$A$10:$A$3209,"&gt;="&amp;$A1303,Data!$A$10:$A$3209,"&lt;"&amp;$A1303+1)))</f>
        <v/>
      </c>
      <c r="AE1303">
        <f>IF($B1303=0,0,IF(Inputs!$B$7="",0,COUNTIFS(Data!$E$10:$E$3209,"&gt;="&amp;$A1303,Data!$E$10:$E$3209,"&lt;"&amp;$A1303+1)))</f>
        <v/>
      </c>
      <c r="AF1303">
        <f>IF($B1303=0,0,IF(Inputs!$B$8="",0,COUNTIFS(Data!$I$10:$I$3209,"&gt;="&amp;$A1303,Data!$I$10:$I$3209,"&lt;"&amp;$A1303+1)))</f>
        <v/>
      </c>
      <c r="AG1303">
        <f>IF($B1303=0,0,IF(Inputs!$B$9="",0,COUNTIFS(Data!$M$10:$M$3209,"&gt;="&amp;$A1303,Data!$M$10:$M$3209,"&lt;"&amp;$A1303+1)))</f>
        <v/>
      </c>
      <c r="AH1303">
        <f>IF($B1303=0,0,IF(Inputs!$B$10="",0,COUNTIFS(Data!$Q$10:$Q$3209,"&gt;="&amp;$A1303,Data!$Q$10:$Q$3209,"&lt;"&amp;$A1303+1)))</f>
        <v/>
      </c>
    </row>
    <row r="1304">
      <c r="A1304" s="55">
        <f>MIN(Inputs!$C$15,$A1303+IF(WEEKDAY($A1303,2)=5,3,1))</f>
        <v/>
      </c>
      <c r="B1304">
        <f>IF($A1304&gt;$A1303,1,0)</f>
        <v/>
      </c>
      <c r="C1304" s="56">
        <f>IF($B1304=0,"",IF(Inputs!$B$6="","",IF($AD1304=0,C1303,SUMIFS(Data!$B$10:$B$3209,Data!$A$10:$A$3209,"&gt;="&amp;$A1304,Data!$A$10:$A$3209,"&lt;"&amp;$A1304+1)/$AD1304)))</f>
        <v/>
      </c>
      <c r="D1304" s="56">
        <f>IF($B1304=0,"",IF(Inputs!$B$7="","",IF($AE1304=0,D1303,SUMIFS(Data!$F$10:$F$3209,Data!$E$10:$E$3209,"&gt;="&amp;$A1304,Data!$E$10:$E$3209,"&lt;"&amp;$A1304+1)/$AE1304)))</f>
        <v/>
      </c>
      <c r="E1304" s="56">
        <f>IF($B1304=0,"",IF(Inputs!$B$8="","",IF($AF1304=0,E1303,SUMIFS(Data!$J$10:$J$3209,Data!$I$10:$I$3209,"&gt;="&amp;$A1304,Data!$I$10:$I$3209,"&lt;"&amp;$A1304+1)/$AF1304)))</f>
        <v/>
      </c>
      <c r="F1304" s="56">
        <f>IF($B1304=0,"",IF(Inputs!$B$9="","",IF($AG1304=0,F1303,SUMIFS(Data!$N$10:$N$3209,Data!$M$10:$M$3209,"&gt;="&amp;$A1304,Data!$M$10:$M$3209,"&lt;"&amp;$A1304+1)/$AG1304)))</f>
        <v/>
      </c>
      <c r="G1304" s="56">
        <f>IF($B1304=0,"",IF(Inputs!$B$10="","",IF($AH1304=0,G1303,SUMIFS(Data!$R$10:$R$3209,Data!$Q$10:$Q$3209,"&gt;="&amp;$A1304,Data!$Q$10:$Q$3209,"&lt;"&amp;$A1304+1)/$AH1304)))</f>
        <v/>
      </c>
      <c r="I1304" s="54">
        <f>IF($B1304=0,NA(),IF($C1304="",NA(),IF(C$8="",NA(),IF(N(C$8)=0,NA(),IF(Inputs!$C$17="Rebased to 100",$C1304/C$8*100,$C1304)))))</f>
        <v/>
      </c>
      <c r="J1304" s="54">
        <f>IF($B1304=0,NA(),IF($D1304="",NA(),IF(D$8="",NA(),IF(N(D$8)=0,NA(),IF(Inputs!$C$17="Rebased to 100",$D1304/D$8*100,$D1304)))))</f>
        <v/>
      </c>
      <c r="K1304" s="54">
        <f>IF($B1304=0,NA(),IF($E1304="",NA(),IF(E$8="",NA(),IF(N(E$8)=0,NA(),IF(Inputs!$C$17="Rebased to 100",$E1304/E$8*100,$E1304)))))</f>
        <v/>
      </c>
      <c r="L1304" s="54">
        <f>IF($B1304=0,NA(),IF($F1304="",NA(),IF(F$8="",NA(),IF(N(F$8)=0,NA(),IF(Inputs!$C$17="Rebased to 100",$F1304/F$8*100,$F1304)))))</f>
        <v/>
      </c>
      <c r="M1304" s="54">
        <f>IF($B1304=0,NA(),IF($G1304="",NA(),IF(G$8="",NA(),IF(N(G$8)=0,NA(),IF(Inputs!$C$17="Rebased to 100",$G1304/G$8*100,$G1304)))))</f>
        <v/>
      </c>
      <c r="N1304" s="54">
        <f>IF($B1304=0,NA(),IF(Inputs!$C$18&lt;&gt;"Yes",NA(),IF(COUNT(I1304,J1304,K1304,L1304,M1304)=0,NA(),MIN(I1304,J1304,K1304,L1304,M1304))))</f>
        <v/>
      </c>
      <c r="O1304" s="54">
        <f>IF($B1304=0,NA(),IF(Inputs!$B$24&lt;&gt;"Yes",NA(),Inputs!$D$24*Inputs!$C$35))</f>
        <v/>
      </c>
      <c r="P1304" s="54">
        <f>IF($B1304=0,NA(),IF(Inputs!$B$25&lt;&gt;"Yes",NA(),Inputs!$D$25*Inputs!$C$35))</f>
        <v/>
      </c>
      <c r="Q1304" s="54">
        <f>IF($B1304=0,NA(),IF(Inputs!$B$26&lt;&gt;"Yes",NA(),Inputs!$D$26*Inputs!$C$35))</f>
        <v/>
      </c>
      <c r="R1304" s="54">
        <f>IF($B1304=0,NA(),IF(Inputs!$B$27&lt;&gt;"Yes",NA(),Inputs!$D$27*Inputs!$C$35))</f>
        <v/>
      </c>
      <c r="S1304" s="54">
        <f>IF($B1304=0,NA(),IF(Inputs!$B$28&lt;&gt;"Yes",NA(),Inputs!$D$28*Inputs!$C$35))</f>
        <v/>
      </c>
      <c r="T1304" s="54">
        <f>IF($B1304=0,NA(),IF(Inputs!$B$29&lt;&gt;"Yes",NA(),Inputs!$D$29*Inputs!$C$35))</f>
        <v/>
      </c>
      <c r="AD1304">
        <f>IF($B1304=0,0,IF(Inputs!$B$6="",0,COUNTIFS(Data!$A$10:$A$3209,"&gt;="&amp;$A1304,Data!$A$10:$A$3209,"&lt;"&amp;$A1304+1)))</f>
        <v/>
      </c>
      <c r="AE1304">
        <f>IF($B1304=0,0,IF(Inputs!$B$7="",0,COUNTIFS(Data!$E$10:$E$3209,"&gt;="&amp;$A1304,Data!$E$10:$E$3209,"&lt;"&amp;$A1304+1)))</f>
        <v/>
      </c>
      <c r="AF1304">
        <f>IF($B1304=0,0,IF(Inputs!$B$8="",0,COUNTIFS(Data!$I$10:$I$3209,"&gt;="&amp;$A1304,Data!$I$10:$I$3209,"&lt;"&amp;$A1304+1)))</f>
        <v/>
      </c>
      <c r="AG1304">
        <f>IF($B1304=0,0,IF(Inputs!$B$9="",0,COUNTIFS(Data!$M$10:$M$3209,"&gt;="&amp;$A1304,Data!$M$10:$M$3209,"&lt;"&amp;$A1304+1)))</f>
        <v/>
      </c>
      <c r="AH1304">
        <f>IF($B1304=0,0,IF(Inputs!$B$10="",0,COUNTIFS(Data!$Q$10:$Q$3209,"&gt;="&amp;$A1304,Data!$Q$10:$Q$3209,"&lt;"&amp;$A1304+1)))</f>
        <v/>
      </c>
    </row>
    <row r="1305">
      <c r="A1305" s="55">
        <f>MIN(Inputs!$C$15,$A1304+IF(WEEKDAY($A1304,2)=5,3,1))</f>
        <v/>
      </c>
      <c r="B1305">
        <f>IF($A1305&gt;$A1304,1,0)</f>
        <v/>
      </c>
      <c r="C1305" s="56">
        <f>IF($B1305=0,"",IF(Inputs!$B$6="","",IF($AD1305=0,C1304,SUMIFS(Data!$B$10:$B$3209,Data!$A$10:$A$3209,"&gt;="&amp;$A1305,Data!$A$10:$A$3209,"&lt;"&amp;$A1305+1)/$AD1305)))</f>
        <v/>
      </c>
      <c r="D1305" s="56">
        <f>IF($B1305=0,"",IF(Inputs!$B$7="","",IF($AE1305=0,D1304,SUMIFS(Data!$F$10:$F$3209,Data!$E$10:$E$3209,"&gt;="&amp;$A1305,Data!$E$10:$E$3209,"&lt;"&amp;$A1305+1)/$AE1305)))</f>
        <v/>
      </c>
      <c r="E1305" s="56">
        <f>IF($B1305=0,"",IF(Inputs!$B$8="","",IF($AF1305=0,E1304,SUMIFS(Data!$J$10:$J$3209,Data!$I$10:$I$3209,"&gt;="&amp;$A1305,Data!$I$10:$I$3209,"&lt;"&amp;$A1305+1)/$AF1305)))</f>
        <v/>
      </c>
      <c r="F1305" s="56">
        <f>IF($B1305=0,"",IF(Inputs!$B$9="","",IF($AG1305=0,F1304,SUMIFS(Data!$N$10:$N$3209,Data!$M$10:$M$3209,"&gt;="&amp;$A1305,Data!$M$10:$M$3209,"&lt;"&amp;$A1305+1)/$AG1305)))</f>
        <v/>
      </c>
      <c r="G1305" s="56">
        <f>IF($B1305=0,"",IF(Inputs!$B$10="","",IF($AH1305=0,G1304,SUMIFS(Data!$R$10:$R$3209,Data!$Q$10:$Q$3209,"&gt;="&amp;$A1305,Data!$Q$10:$Q$3209,"&lt;"&amp;$A1305+1)/$AH1305)))</f>
        <v/>
      </c>
      <c r="I1305" s="54">
        <f>IF($B1305=0,NA(),IF($C1305="",NA(),IF(C$8="",NA(),IF(N(C$8)=0,NA(),IF(Inputs!$C$17="Rebased to 100",$C1305/C$8*100,$C1305)))))</f>
        <v/>
      </c>
      <c r="J1305" s="54">
        <f>IF($B1305=0,NA(),IF($D1305="",NA(),IF(D$8="",NA(),IF(N(D$8)=0,NA(),IF(Inputs!$C$17="Rebased to 100",$D1305/D$8*100,$D1305)))))</f>
        <v/>
      </c>
      <c r="K1305" s="54">
        <f>IF($B1305=0,NA(),IF($E1305="",NA(),IF(E$8="",NA(),IF(N(E$8)=0,NA(),IF(Inputs!$C$17="Rebased to 100",$E1305/E$8*100,$E1305)))))</f>
        <v/>
      </c>
      <c r="L1305" s="54">
        <f>IF($B1305=0,NA(),IF($F1305="",NA(),IF(F$8="",NA(),IF(N(F$8)=0,NA(),IF(Inputs!$C$17="Rebased to 100",$F1305/F$8*100,$F1305)))))</f>
        <v/>
      </c>
      <c r="M1305" s="54">
        <f>IF($B1305=0,NA(),IF($G1305="",NA(),IF(G$8="",NA(),IF(N(G$8)=0,NA(),IF(Inputs!$C$17="Rebased to 100",$G1305/G$8*100,$G1305)))))</f>
        <v/>
      </c>
      <c r="N1305" s="54">
        <f>IF($B1305=0,NA(),IF(Inputs!$C$18&lt;&gt;"Yes",NA(),IF(COUNT(I1305,J1305,K1305,L1305,M1305)=0,NA(),MIN(I1305,J1305,K1305,L1305,M1305))))</f>
        <v/>
      </c>
      <c r="O1305" s="54">
        <f>IF($B1305=0,NA(),IF(Inputs!$B$24&lt;&gt;"Yes",NA(),Inputs!$D$24*Inputs!$C$35))</f>
        <v/>
      </c>
      <c r="P1305" s="54">
        <f>IF($B1305=0,NA(),IF(Inputs!$B$25&lt;&gt;"Yes",NA(),Inputs!$D$25*Inputs!$C$35))</f>
        <v/>
      </c>
      <c r="Q1305" s="54">
        <f>IF($B1305=0,NA(),IF(Inputs!$B$26&lt;&gt;"Yes",NA(),Inputs!$D$26*Inputs!$C$35))</f>
        <v/>
      </c>
      <c r="R1305" s="54">
        <f>IF($B1305=0,NA(),IF(Inputs!$B$27&lt;&gt;"Yes",NA(),Inputs!$D$27*Inputs!$C$35))</f>
        <v/>
      </c>
      <c r="S1305" s="54">
        <f>IF($B1305=0,NA(),IF(Inputs!$B$28&lt;&gt;"Yes",NA(),Inputs!$D$28*Inputs!$C$35))</f>
        <v/>
      </c>
      <c r="T1305" s="54">
        <f>IF($B1305=0,NA(),IF(Inputs!$B$29&lt;&gt;"Yes",NA(),Inputs!$D$29*Inputs!$C$35))</f>
        <v/>
      </c>
      <c r="AD1305">
        <f>IF($B1305=0,0,IF(Inputs!$B$6="",0,COUNTIFS(Data!$A$10:$A$3209,"&gt;="&amp;$A1305,Data!$A$10:$A$3209,"&lt;"&amp;$A1305+1)))</f>
        <v/>
      </c>
      <c r="AE1305">
        <f>IF($B1305=0,0,IF(Inputs!$B$7="",0,COUNTIFS(Data!$E$10:$E$3209,"&gt;="&amp;$A1305,Data!$E$10:$E$3209,"&lt;"&amp;$A1305+1)))</f>
        <v/>
      </c>
      <c r="AF1305">
        <f>IF($B1305=0,0,IF(Inputs!$B$8="",0,COUNTIFS(Data!$I$10:$I$3209,"&gt;="&amp;$A1305,Data!$I$10:$I$3209,"&lt;"&amp;$A1305+1)))</f>
        <v/>
      </c>
      <c r="AG1305">
        <f>IF($B1305=0,0,IF(Inputs!$B$9="",0,COUNTIFS(Data!$M$10:$M$3209,"&gt;="&amp;$A1305,Data!$M$10:$M$3209,"&lt;"&amp;$A1305+1)))</f>
        <v/>
      </c>
      <c r="AH1305">
        <f>IF($B1305=0,0,IF(Inputs!$B$10="",0,COUNTIFS(Data!$Q$10:$Q$3209,"&gt;="&amp;$A1305,Data!$Q$10:$Q$3209,"&lt;"&amp;$A1305+1)))</f>
        <v/>
      </c>
    </row>
    <row r="1306">
      <c r="A1306" s="55">
        <f>MIN(Inputs!$C$15,$A1305+IF(WEEKDAY($A1305,2)=5,3,1))</f>
        <v/>
      </c>
      <c r="B1306">
        <f>IF($A1306&gt;$A1305,1,0)</f>
        <v/>
      </c>
      <c r="C1306" s="56">
        <f>IF($B1306=0,"",IF(Inputs!$B$6="","",IF($AD1306=0,C1305,SUMIFS(Data!$B$10:$B$3209,Data!$A$10:$A$3209,"&gt;="&amp;$A1306,Data!$A$10:$A$3209,"&lt;"&amp;$A1306+1)/$AD1306)))</f>
        <v/>
      </c>
      <c r="D1306" s="56">
        <f>IF($B1306=0,"",IF(Inputs!$B$7="","",IF($AE1306=0,D1305,SUMIFS(Data!$F$10:$F$3209,Data!$E$10:$E$3209,"&gt;="&amp;$A1306,Data!$E$10:$E$3209,"&lt;"&amp;$A1306+1)/$AE1306)))</f>
        <v/>
      </c>
      <c r="E1306" s="56">
        <f>IF($B1306=0,"",IF(Inputs!$B$8="","",IF($AF1306=0,E1305,SUMIFS(Data!$J$10:$J$3209,Data!$I$10:$I$3209,"&gt;="&amp;$A1306,Data!$I$10:$I$3209,"&lt;"&amp;$A1306+1)/$AF1306)))</f>
        <v/>
      </c>
      <c r="F1306" s="56">
        <f>IF($B1306=0,"",IF(Inputs!$B$9="","",IF($AG1306=0,F1305,SUMIFS(Data!$N$10:$N$3209,Data!$M$10:$M$3209,"&gt;="&amp;$A1306,Data!$M$10:$M$3209,"&lt;"&amp;$A1306+1)/$AG1306)))</f>
        <v/>
      </c>
      <c r="G1306" s="56">
        <f>IF($B1306=0,"",IF(Inputs!$B$10="","",IF($AH1306=0,G1305,SUMIFS(Data!$R$10:$R$3209,Data!$Q$10:$Q$3209,"&gt;="&amp;$A1306,Data!$Q$10:$Q$3209,"&lt;"&amp;$A1306+1)/$AH1306)))</f>
        <v/>
      </c>
      <c r="I1306" s="54">
        <f>IF($B1306=0,NA(),IF($C1306="",NA(),IF(C$8="",NA(),IF(N(C$8)=0,NA(),IF(Inputs!$C$17="Rebased to 100",$C1306/C$8*100,$C1306)))))</f>
        <v/>
      </c>
      <c r="J1306" s="54">
        <f>IF($B1306=0,NA(),IF($D1306="",NA(),IF(D$8="",NA(),IF(N(D$8)=0,NA(),IF(Inputs!$C$17="Rebased to 100",$D1306/D$8*100,$D1306)))))</f>
        <v/>
      </c>
      <c r="K1306" s="54">
        <f>IF($B1306=0,NA(),IF($E1306="",NA(),IF(E$8="",NA(),IF(N(E$8)=0,NA(),IF(Inputs!$C$17="Rebased to 100",$E1306/E$8*100,$E1306)))))</f>
        <v/>
      </c>
      <c r="L1306" s="54">
        <f>IF($B1306=0,NA(),IF($F1306="",NA(),IF(F$8="",NA(),IF(N(F$8)=0,NA(),IF(Inputs!$C$17="Rebased to 100",$F1306/F$8*100,$F1306)))))</f>
        <v/>
      </c>
      <c r="M1306" s="54">
        <f>IF($B1306=0,NA(),IF($G1306="",NA(),IF(G$8="",NA(),IF(N(G$8)=0,NA(),IF(Inputs!$C$17="Rebased to 100",$G1306/G$8*100,$G1306)))))</f>
        <v/>
      </c>
      <c r="N1306" s="54">
        <f>IF($B1306=0,NA(),IF(Inputs!$C$18&lt;&gt;"Yes",NA(),IF(COUNT(I1306,J1306,K1306,L1306,M1306)=0,NA(),MIN(I1306,J1306,K1306,L1306,M1306))))</f>
        <v/>
      </c>
      <c r="O1306" s="54">
        <f>IF($B1306=0,NA(),IF(Inputs!$B$24&lt;&gt;"Yes",NA(),Inputs!$D$24*Inputs!$C$35))</f>
        <v/>
      </c>
      <c r="P1306" s="54">
        <f>IF($B1306=0,NA(),IF(Inputs!$B$25&lt;&gt;"Yes",NA(),Inputs!$D$25*Inputs!$C$35))</f>
        <v/>
      </c>
      <c r="Q1306" s="54">
        <f>IF($B1306=0,NA(),IF(Inputs!$B$26&lt;&gt;"Yes",NA(),Inputs!$D$26*Inputs!$C$35))</f>
        <v/>
      </c>
      <c r="R1306" s="54">
        <f>IF($B1306=0,NA(),IF(Inputs!$B$27&lt;&gt;"Yes",NA(),Inputs!$D$27*Inputs!$C$35))</f>
        <v/>
      </c>
      <c r="S1306" s="54">
        <f>IF($B1306=0,NA(),IF(Inputs!$B$28&lt;&gt;"Yes",NA(),Inputs!$D$28*Inputs!$C$35))</f>
        <v/>
      </c>
      <c r="T1306" s="54">
        <f>IF($B1306=0,NA(),IF(Inputs!$B$29&lt;&gt;"Yes",NA(),Inputs!$D$29*Inputs!$C$35))</f>
        <v/>
      </c>
      <c r="AD1306">
        <f>IF($B1306=0,0,IF(Inputs!$B$6="",0,COUNTIFS(Data!$A$10:$A$3209,"&gt;="&amp;$A1306,Data!$A$10:$A$3209,"&lt;"&amp;$A1306+1)))</f>
        <v/>
      </c>
      <c r="AE1306">
        <f>IF($B1306=0,0,IF(Inputs!$B$7="",0,COUNTIFS(Data!$E$10:$E$3209,"&gt;="&amp;$A1306,Data!$E$10:$E$3209,"&lt;"&amp;$A1306+1)))</f>
        <v/>
      </c>
      <c r="AF1306">
        <f>IF($B1306=0,0,IF(Inputs!$B$8="",0,COUNTIFS(Data!$I$10:$I$3209,"&gt;="&amp;$A1306,Data!$I$10:$I$3209,"&lt;"&amp;$A1306+1)))</f>
        <v/>
      </c>
      <c r="AG1306">
        <f>IF($B1306=0,0,IF(Inputs!$B$9="",0,COUNTIFS(Data!$M$10:$M$3209,"&gt;="&amp;$A1306,Data!$M$10:$M$3209,"&lt;"&amp;$A1306+1)))</f>
        <v/>
      </c>
      <c r="AH1306">
        <f>IF($B1306=0,0,IF(Inputs!$B$10="",0,COUNTIFS(Data!$Q$10:$Q$3209,"&gt;="&amp;$A1306,Data!$Q$10:$Q$3209,"&lt;"&amp;$A1306+1)))</f>
        <v/>
      </c>
    </row>
    <row r="1307">
      <c r="A1307" s="55">
        <f>MIN(Inputs!$C$15,$A1306+IF(WEEKDAY($A1306,2)=5,3,1))</f>
        <v/>
      </c>
      <c r="B1307">
        <f>IF($A1307&gt;$A1306,1,0)</f>
        <v/>
      </c>
      <c r="C1307" s="56">
        <f>IF($B1307=0,"",IF(Inputs!$B$6="","",IF($AD1307=0,C1306,SUMIFS(Data!$B$10:$B$3209,Data!$A$10:$A$3209,"&gt;="&amp;$A1307,Data!$A$10:$A$3209,"&lt;"&amp;$A1307+1)/$AD1307)))</f>
        <v/>
      </c>
      <c r="D1307" s="56">
        <f>IF($B1307=0,"",IF(Inputs!$B$7="","",IF($AE1307=0,D1306,SUMIFS(Data!$F$10:$F$3209,Data!$E$10:$E$3209,"&gt;="&amp;$A1307,Data!$E$10:$E$3209,"&lt;"&amp;$A1307+1)/$AE1307)))</f>
        <v/>
      </c>
      <c r="E1307" s="56">
        <f>IF($B1307=0,"",IF(Inputs!$B$8="","",IF($AF1307=0,E1306,SUMIFS(Data!$J$10:$J$3209,Data!$I$10:$I$3209,"&gt;="&amp;$A1307,Data!$I$10:$I$3209,"&lt;"&amp;$A1307+1)/$AF1307)))</f>
        <v/>
      </c>
      <c r="F1307" s="56">
        <f>IF($B1307=0,"",IF(Inputs!$B$9="","",IF($AG1307=0,F1306,SUMIFS(Data!$N$10:$N$3209,Data!$M$10:$M$3209,"&gt;="&amp;$A1307,Data!$M$10:$M$3209,"&lt;"&amp;$A1307+1)/$AG1307)))</f>
        <v/>
      </c>
      <c r="G1307" s="56">
        <f>IF($B1307=0,"",IF(Inputs!$B$10="","",IF($AH1307=0,G1306,SUMIFS(Data!$R$10:$R$3209,Data!$Q$10:$Q$3209,"&gt;="&amp;$A1307,Data!$Q$10:$Q$3209,"&lt;"&amp;$A1307+1)/$AH1307)))</f>
        <v/>
      </c>
      <c r="I1307" s="54">
        <f>IF($B1307=0,NA(),IF($C1307="",NA(),IF(C$8="",NA(),IF(N(C$8)=0,NA(),IF(Inputs!$C$17="Rebased to 100",$C1307/C$8*100,$C1307)))))</f>
        <v/>
      </c>
      <c r="J1307" s="54">
        <f>IF($B1307=0,NA(),IF($D1307="",NA(),IF(D$8="",NA(),IF(N(D$8)=0,NA(),IF(Inputs!$C$17="Rebased to 100",$D1307/D$8*100,$D1307)))))</f>
        <v/>
      </c>
      <c r="K1307" s="54">
        <f>IF($B1307=0,NA(),IF($E1307="",NA(),IF(E$8="",NA(),IF(N(E$8)=0,NA(),IF(Inputs!$C$17="Rebased to 100",$E1307/E$8*100,$E1307)))))</f>
        <v/>
      </c>
      <c r="L1307" s="54">
        <f>IF($B1307=0,NA(),IF($F1307="",NA(),IF(F$8="",NA(),IF(N(F$8)=0,NA(),IF(Inputs!$C$17="Rebased to 100",$F1307/F$8*100,$F1307)))))</f>
        <v/>
      </c>
      <c r="M1307" s="54">
        <f>IF($B1307=0,NA(),IF($G1307="",NA(),IF(G$8="",NA(),IF(N(G$8)=0,NA(),IF(Inputs!$C$17="Rebased to 100",$G1307/G$8*100,$G1307)))))</f>
        <v/>
      </c>
      <c r="N1307" s="54">
        <f>IF($B1307=0,NA(),IF(Inputs!$C$18&lt;&gt;"Yes",NA(),IF(COUNT(I1307,J1307,K1307,L1307,M1307)=0,NA(),MIN(I1307,J1307,K1307,L1307,M1307))))</f>
        <v/>
      </c>
      <c r="O1307" s="54">
        <f>IF($B1307=0,NA(),IF(Inputs!$B$24&lt;&gt;"Yes",NA(),Inputs!$D$24*Inputs!$C$35))</f>
        <v/>
      </c>
      <c r="P1307" s="54">
        <f>IF($B1307=0,NA(),IF(Inputs!$B$25&lt;&gt;"Yes",NA(),Inputs!$D$25*Inputs!$C$35))</f>
        <v/>
      </c>
      <c r="Q1307" s="54">
        <f>IF($B1307=0,NA(),IF(Inputs!$B$26&lt;&gt;"Yes",NA(),Inputs!$D$26*Inputs!$C$35))</f>
        <v/>
      </c>
      <c r="R1307" s="54">
        <f>IF($B1307=0,NA(),IF(Inputs!$B$27&lt;&gt;"Yes",NA(),Inputs!$D$27*Inputs!$C$35))</f>
        <v/>
      </c>
      <c r="S1307" s="54">
        <f>IF($B1307=0,NA(),IF(Inputs!$B$28&lt;&gt;"Yes",NA(),Inputs!$D$28*Inputs!$C$35))</f>
        <v/>
      </c>
      <c r="T1307" s="54">
        <f>IF($B1307=0,NA(),IF(Inputs!$B$29&lt;&gt;"Yes",NA(),Inputs!$D$29*Inputs!$C$35))</f>
        <v/>
      </c>
      <c r="AD1307">
        <f>IF($B1307=0,0,IF(Inputs!$B$6="",0,COUNTIFS(Data!$A$10:$A$3209,"&gt;="&amp;$A1307,Data!$A$10:$A$3209,"&lt;"&amp;$A1307+1)))</f>
        <v/>
      </c>
      <c r="AE1307">
        <f>IF($B1307=0,0,IF(Inputs!$B$7="",0,COUNTIFS(Data!$E$10:$E$3209,"&gt;="&amp;$A1307,Data!$E$10:$E$3209,"&lt;"&amp;$A1307+1)))</f>
        <v/>
      </c>
      <c r="AF1307">
        <f>IF($B1307=0,0,IF(Inputs!$B$8="",0,COUNTIFS(Data!$I$10:$I$3209,"&gt;="&amp;$A1307,Data!$I$10:$I$3209,"&lt;"&amp;$A1307+1)))</f>
        <v/>
      </c>
      <c r="AG1307">
        <f>IF($B1307=0,0,IF(Inputs!$B$9="",0,COUNTIFS(Data!$M$10:$M$3209,"&gt;="&amp;$A1307,Data!$M$10:$M$3209,"&lt;"&amp;$A1307+1)))</f>
        <v/>
      </c>
      <c r="AH1307">
        <f>IF($B1307=0,0,IF(Inputs!$B$10="",0,COUNTIFS(Data!$Q$10:$Q$3209,"&gt;="&amp;$A1307,Data!$Q$10:$Q$3209,"&lt;"&amp;$A1307+1)))</f>
        <v/>
      </c>
    </row>
    <row r="1308">
      <c r="A1308" s="55">
        <f>MIN(Inputs!$C$15,$A1307+IF(WEEKDAY($A1307,2)=5,3,1))</f>
        <v/>
      </c>
      <c r="B1308">
        <f>IF($A1308&gt;$A1307,1,0)</f>
        <v/>
      </c>
      <c r="C1308" s="56">
        <f>IF($B1308=0,"",IF(Inputs!$B$6="","",IF($AD1308=0,C1307,SUMIFS(Data!$B$10:$B$3209,Data!$A$10:$A$3209,"&gt;="&amp;$A1308,Data!$A$10:$A$3209,"&lt;"&amp;$A1308+1)/$AD1308)))</f>
        <v/>
      </c>
      <c r="D1308" s="56">
        <f>IF($B1308=0,"",IF(Inputs!$B$7="","",IF($AE1308=0,D1307,SUMIFS(Data!$F$10:$F$3209,Data!$E$10:$E$3209,"&gt;="&amp;$A1308,Data!$E$10:$E$3209,"&lt;"&amp;$A1308+1)/$AE1308)))</f>
        <v/>
      </c>
      <c r="E1308" s="56">
        <f>IF($B1308=0,"",IF(Inputs!$B$8="","",IF($AF1308=0,E1307,SUMIFS(Data!$J$10:$J$3209,Data!$I$10:$I$3209,"&gt;="&amp;$A1308,Data!$I$10:$I$3209,"&lt;"&amp;$A1308+1)/$AF1308)))</f>
        <v/>
      </c>
      <c r="F1308" s="56">
        <f>IF($B1308=0,"",IF(Inputs!$B$9="","",IF($AG1308=0,F1307,SUMIFS(Data!$N$10:$N$3209,Data!$M$10:$M$3209,"&gt;="&amp;$A1308,Data!$M$10:$M$3209,"&lt;"&amp;$A1308+1)/$AG1308)))</f>
        <v/>
      </c>
      <c r="G1308" s="56">
        <f>IF($B1308=0,"",IF(Inputs!$B$10="","",IF($AH1308=0,G1307,SUMIFS(Data!$R$10:$R$3209,Data!$Q$10:$Q$3209,"&gt;="&amp;$A1308,Data!$Q$10:$Q$3209,"&lt;"&amp;$A1308+1)/$AH1308)))</f>
        <v/>
      </c>
      <c r="I1308" s="54">
        <f>IF($B1308=0,NA(),IF($C1308="",NA(),IF(C$8="",NA(),IF(N(C$8)=0,NA(),IF(Inputs!$C$17="Rebased to 100",$C1308/C$8*100,$C1308)))))</f>
        <v/>
      </c>
      <c r="J1308" s="54">
        <f>IF($B1308=0,NA(),IF($D1308="",NA(),IF(D$8="",NA(),IF(N(D$8)=0,NA(),IF(Inputs!$C$17="Rebased to 100",$D1308/D$8*100,$D1308)))))</f>
        <v/>
      </c>
      <c r="K1308" s="54">
        <f>IF($B1308=0,NA(),IF($E1308="",NA(),IF(E$8="",NA(),IF(N(E$8)=0,NA(),IF(Inputs!$C$17="Rebased to 100",$E1308/E$8*100,$E1308)))))</f>
        <v/>
      </c>
      <c r="L1308" s="54">
        <f>IF($B1308=0,NA(),IF($F1308="",NA(),IF(F$8="",NA(),IF(N(F$8)=0,NA(),IF(Inputs!$C$17="Rebased to 100",$F1308/F$8*100,$F1308)))))</f>
        <v/>
      </c>
      <c r="M1308" s="54">
        <f>IF($B1308=0,NA(),IF($G1308="",NA(),IF(G$8="",NA(),IF(N(G$8)=0,NA(),IF(Inputs!$C$17="Rebased to 100",$G1308/G$8*100,$G1308)))))</f>
        <v/>
      </c>
      <c r="N1308" s="54">
        <f>IF($B1308=0,NA(),IF(Inputs!$C$18&lt;&gt;"Yes",NA(),IF(COUNT(I1308,J1308,K1308,L1308,M1308)=0,NA(),MIN(I1308,J1308,K1308,L1308,M1308))))</f>
        <v/>
      </c>
      <c r="O1308" s="54">
        <f>IF($B1308=0,NA(),IF(Inputs!$B$24&lt;&gt;"Yes",NA(),Inputs!$D$24*Inputs!$C$35))</f>
        <v/>
      </c>
      <c r="P1308" s="54">
        <f>IF($B1308=0,NA(),IF(Inputs!$B$25&lt;&gt;"Yes",NA(),Inputs!$D$25*Inputs!$C$35))</f>
        <v/>
      </c>
      <c r="Q1308" s="54">
        <f>IF($B1308=0,NA(),IF(Inputs!$B$26&lt;&gt;"Yes",NA(),Inputs!$D$26*Inputs!$C$35))</f>
        <v/>
      </c>
      <c r="R1308" s="54">
        <f>IF($B1308=0,NA(),IF(Inputs!$B$27&lt;&gt;"Yes",NA(),Inputs!$D$27*Inputs!$C$35))</f>
        <v/>
      </c>
      <c r="S1308" s="54">
        <f>IF($B1308=0,NA(),IF(Inputs!$B$28&lt;&gt;"Yes",NA(),Inputs!$D$28*Inputs!$C$35))</f>
        <v/>
      </c>
      <c r="T1308" s="54">
        <f>IF($B1308=0,NA(),IF(Inputs!$B$29&lt;&gt;"Yes",NA(),Inputs!$D$29*Inputs!$C$35))</f>
        <v/>
      </c>
      <c r="AD1308">
        <f>IF($B1308=0,0,IF(Inputs!$B$6="",0,COUNTIFS(Data!$A$10:$A$3209,"&gt;="&amp;$A1308,Data!$A$10:$A$3209,"&lt;"&amp;$A1308+1)))</f>
        <v/>
      </c>
      <c r="AE1308">
        <f>IF($B1308=0,0,IF(Inputs!$B$7="",0,COUNTIFS(Data!$E$10:$E$3209,"&gt;="&amp;$A1308,Data!$E$10:$E$3209,"&lt;"&amp;$A1308+1)))</f>
        <v/>
      </c>
      <c r="AF1308">
        <f>IF($B1308=0,0,IF(Inputs!$B$8="",0,COUNTIFS(Data!$I$10:$I$3209,"&gt;="&amp;$A1308,Data!$I$10:$I$3209,"&lt;"&amp;$A1308+1)))</f>
        <v/>
      </c>
      <c r="AG1308">
        <f>IF($B1308=0,0,IF(Inputs!$B$9="",0,COUNTIFS(Data!$M$10:$M$3209,"&gt;="&amp;$A1308,Data!$M$10:$M$3209,"&lt;"&amp;$A1308+1)))</f>
        <v/>
      </c>
      <c r="AH1308">
        <f>IF($B1308=0,0,IF(Inputs!$B$10="",0,COUNTIFS(Data!$Q$10:$Q$3209,"&gt;="&amp;$A1308,Data!$Q$10:$Q$3209,"&lt;"&amp;$A1308+1)))</f>
        <v/>
      </c>
    </row>
    <row r="1309">
      <c r="A1309" s="55">
        <f>MIN(Inputs!$C$15,$A1308+IF(WEEKDAY($A1308,2)=5,3,1))</f>
        <v/>
      </c>
      <c r="B1309">
        <f>IF($A1309&gt;$A1308,1,0)</f>
        <v/>
      </c>
      <c r="C1309" s="56">
        <f>IF($B1309=0,"",IF(Inputs!$B$6="","",IF($AD1309=0,C1308,SUMIFS(Data!$B$10:$B$3209,Data!$A$10:$A$3209,"&gt;="&amp;$A1309,Data!$A$10:$A$3209,"&lt;"&amp;$A1309+1)/$AD1309)))</f>
        <v/>
      </c>
      <c r="D1309" s="56">
        <f>IF($B1309=0,"",IF(Inputs!$B$7="","",IF($AE1309=0,D1308,SUMIFS(Data!$F$10:$F$3209,Data!$E$10:$E$3209,"&gt;="&amp;$A1309,Data!$E$10:$E$3209,"&lt;"&amp;$A1309+1)/$AE1309)))</f>
        <v/>
      </c>
      <c r="E1309" s="56">
        <f>IF($B1309=0,"",IF(Inputs!$B$8="","",IF($AF1309=0,E1308,SUMIFS(Data!$J$10:$J$3209,Data!$I$10:$I$3209,"&gt;="&amp;$A1309,Data!$I$10:$I$3209,"&lt;"&amp;$A1309+1)/$AF1309)))</f>
        <v/>
      </c>
      <c r="F1309" s="56">
        <f>IF($B1309=0,"",IF(Inputs!$B$9="","",IF($AG1309=0,F1308,SUMIFS(Data!$N$10:$N$3209,Data!$M$10:$M$3209,"&gt;="&amp;$A1309,Data!$M$10:$M$3209,"&lt;"&amp;$A1309+1)/$AG1309)))</f>
        <v/>
      </c>
      <c r="G1309" s="56">
        <f>IF($B1309=0,"",IF(Inputs!$B$10="","",IF($AH1309=0,G1308,SUMIFS(Data!$R$10:$R$3209,Data!$Q$10:$Q$3209,"&gt;="&amp;$A1309,Data!$Q$10:$Q$3209,"&lt;"&amp;$A1309+1)/$AH1309)))</f>
        <v/>
      </c>
      <c r="I1309" s="54">
        <f>IF($B1309=0,NA(),IF($C1309="",NA(),IF(C$8="",NA(),IF(N(C$8)=0,NA(),IF(Inputs!$C$17="Rebased to 100",$C1309/C$8*100,$C1309)))))</f>
        <v/>
      </c>
      <c r="J1309" s="54">
        <f>IF($B1309=0,NA(),IF($D1309="",NA(),IF(D$8="",NA(),IF(N(D$8)=0,NA(),IF(Inputs!$C$17="Rebased to 100",$D1309/D$8*100,$D1309)))))</f>
        <v/>
      </c>
      <c r="K1309" s="54">
        <f>IF($B1309=0,NA(),IF($E1309="",NA(),IF(E$8="",NA(),IF(N(E$8)=0,NA(),IF(Inputs!$C$17="Rebased to 100",$E1309/E$8*100,$E1309)))))</f>
        <v/>
      </c>
      <c r="L1309" s="54">
        <f>IF($B1309=0,NA(),IF($F1309="",NA(),IF(F$8="",NA(),IF(N(F$8)=0,NA(),IF(Inputs!$C$17="Rebased to 100",$F1309/F$8*100,$F1309)))))</f>
        <v/>
      </c>
      <c r="M1309" s="54">
        <f>IF($B1309=0,NA(),IF($G1309="",NA(),IF(G$8="",NA(),IF(N(G$8)=0,NA(),IF(Inputs!$C$17="Rebased to 100",$G1309/G$8*100,$G1309)))))</f>
        <v/>
      </c>
      <c r="N1309" s="54">
        <f>IF($B1309=0,NA(),IF(Inputs!$C$18&lt;&gt;"Yes",NA(),IF(COUNT(I1309,J1309,K1309,L1309,M1309)=0,NA(),MIN(I1309,J1309,K1309,L1309,M1309))))</f>
        <v/>
      </c>
      <c r="O1309" s="54">
        <f>IF($B1309=0,NA(),IF(Inputs!$B$24&lt;&gt;"Yes",NA(),Inputs!$D$24*Inputs!$C$35))</f>
        <v/>
      </c>
      <c r="P1309" s="54">
        <f>IF($B1309=0,NA(),IF(Inputs!$B$25&lt;&gt;"Yes",NA(),Inputs!$D$25*Inputs!$C$35))</f>
        <v/>
      </c>
      <c r="Q1309" s="54">
        <f>IF($B1309=0,NA(),IF(Inputs!$B$26&lt;&gt;"Yes",NA(),Inputs!$D$26*Inputs!$C$35))</f>
        <v/>
      </c>
      <c r="R1309" s="54">
        <f>IF($B1309=0,NA(),IF(Inputs!$B$27&lt;&gt;"Yes",NA(),Inputs!$D$27*Inputs!$C$35))</f>
        <v/>
      </c>
      <c r="S1309" s="54">
        <f>IF($B1309=0,NA(),IF(Inputs!$B$28&lt;&gt;"Yes",NA(),Inputs!$D$28*Inputs!$C$35))</f>
        <v/>
      </c>
      <c r="T1309" s="54">
        <f>IF($B1309=0,NA(),IF(Inputs!$B$29&lt;&gt;"Yes",NA(),Inputs!$D$29*Inputs!$C$35))</f>
        <v/>
      </c>
      <c r="AD1309">
        <f>IF($B1309=0,0,IF(Inputs!$B$6="",0,COUNTIFS(Data!$A$10:$A$3209,"&gt;="&amp;$A1309,Data!$A$10:$A$3209,"&lt;"&amp;$A1309+1)))</f>
        <v/>
      </c>
      <c r="AE1309">
        <f>IF($B1309=0,0,IF(Inputs!$B$7="",0,COUNTIFS(Data!$E$10:$E$3209,"&gt;="&amp;$A1309,Data!$E$10:$E$3209,"&lt;"&amp;$A1309+1)))</f>
        <v/>
      </c>
      <c r="AF1309">
        <f>IF($B1309=0,0,IF(Inputs!$B$8="",0,COUNTIFS(Data!$I$10:$I$3209,"&gt;="&amp;$A1309,Data!$I$10:$I$3209,"&lt;"&amp;$A1309+1)))</f>
        <v/>
      </c>
      <c r="AG1309">
        <f>IF($B1309=0,0,IF(Inputs!$B$9="",0,COUNTIFS(Data!$M$10:$M$3209,"&gt;="&amp;$A1309,Data!$M$10:$M$3209,"&lt;"&amp;$A1309+1)))</f>
        <v/>
      </c>
      <c r="AH1309">
        <f>IF($B1309=0,0,IF(Inputs!$B$10="",0,COUNTIFS(Data!$Q$10:$Q$3209,"&gt;="&amp;$A1309,Data!$Q$10:$Q$3209,"&lt;"&amp;$A1309+1)))</f>
        <v/>
      </c>
    </row>
    <row r="1310">
      <c r="A1310" s="55">
        <f>MIN(Inputs!$C$15,$A1309+IF(WEEKDAY($A1309,2)=5,3,1))</f>
        <v/>
      </c>
      <c r="B1310">
        <f>IF($A1310&gt;$A1309,1,0)</f>
        <v/>
      </c>
      <c r="C1310" s="56">
        <f>IF($B1310=0,"",IF(Inputs!$B$6="","",IF($AD1310=0,C1309,SUMIFS(Data!$B$10:$B$3209,Data!$A$10:$A$3209,"&gt;="&amp;$A1310,Data!$A$10:$A$3209,"&lt;"&amp;$A1310+1)/$AD1310)))</f>
        <v/>
      </c>
      <c r="D1310" s="56">
        <f>IF($B1310=0,"",IF(Inputs!$B$7="","",IF($AE1310=0,D1309,SUMIFS(Data!$F$10:$F$3209,Data!$E$10:$E$3209,"&gt;="&amp;$A1310,Data!$E$10:$E$3209,"&lt;"&amp;$A1310+1)/$AE1310)))</f>
        <v/>
      </c>
      <c r="E1310" s="56">
        <f>IF($B1310=0,"",IF(Inputs!$B$8="","",IF($AF1310=0,E1309,SUMIFS(Data!$J$10:$J$3209,Data!$I$10:$I$3209,"&gt;="&amp;$A1310,Data!$I$10:$I$3209,"&lt;"&amp;$A1310+1)/$AF1310)))</f>
        <v/>
      </c>
      <c r="F1310" s="56">
        <f>IF($B1310=0,"",IF(Inputs!$B$9="","",IF($AG1310=0,F1309,SUMIFS(Data!$N$10:$N$3209,Data!$M$10:$M$3209,"&gt;="&amp;$A1310,Data!$M$10:$M$3209,"&lt;"&amp;$A1310+1)/$AG1310)))</f>
        <v/>
      </c>
      <c r="G1310" s="56">
        <f>IF($B1310=0,"",IF(Inputs!$B$10="","",IF($AH1310=0,G1309,SUMIFS(Data!$R$10:$R$3209,Data!$Q$10:$Q$3209,"&gt;="&amp;$A1310,Data!$Q$10:$Q$3209,"&lt;"&amp;$A1310+1)/$AH1310)))</f>
        <v/>
      </c>
      <c r="I1310" s="54">
        <f>IF($B1310=0,NA(),IF($C1310="",NA(),IF(C$8="",NA(),IF(N(C$8)=0,NA(),IF(Inputs!$C$17="Rebased to 100",$C1310/C$8*100,$C1310)))))</f>
        <v/>
      </c>
      <c r="J1310" s="54">
        <f>IF($B1310=0,NA(),IF($D1310="",NA(),IF(D$8="",NA(),IF(N(D$8)=0,NA(),IF(Inputs!$C$17="Rebased to 100",$D1310/D$8*100,$D1310)))))</f>
        <v/>
      </c>
      <c r="K1310" s="54">
        <f>IF($B1310=0,NA(),IF($E1310="",NA(),IF(E$8="",NA(),IF(N(E$8)=0,NA(),IF(Inputs!$C$17="Rebased to 100",$E1310/E$8*100,$E1310)))))</f>
        <v/>
      </c>
      <c r="L1310" s="54">
        <f>IF($B1310=0,NA(),IF($F1310="",NA(),IF(F$8="",NA(),IF(N(F$8)=0,NA(),IF(Inputs!$C$17="Rebased to 100",$F1310/F$8*100,$F1310)))))</f>
        <v/>
      </c>
      <c r="M1310" s="54">
        <f>IF($B1310=0,NA(),IF($G1310="",NA(),IF(G$8="",NA(),IF(N(G$8)=0,NA(),IF(Inputs!$C$17="Rebased to 100",$G1310/G$8*100,$G1310)))))</f>
        <v/>
      </c>
      <c r="N1310" s="54">
        <f>IF($B1310=0,NA(),IF(Inputs!$C$18&lt;&gt;"Yes",NA(),IF(COUNT(I1310,J1310,K1310,L1310,M1310)=0,NA(),MIN(I1310,J1310,K1310,L1310,M1310))))</f>
        <v/>
      </c>
      <c r="O1310" s="54">
        <f>IF($B1310=0,NA(),IF(Inputs!$B$24&lt;&gt;"Yes",NA(),Inputs!$D$24*Inputs!$C$35))</f>
        <v/>
      </c>
      <c r="P1310" s="54">
        <f>IF($B1310=0,NA(),IF(Inputs!$B$25&lt;&gt;"Yes",NA(),Inputs!$D$25*Inputs!$C$35))</f>
        <v/>
      </c>
      <c r="Q1310" s="54">
        <f>IF($B1310=0,NA(),IF(Inputs!$B$26&lt;&gt;"Yes",NA(),Inputs!$D$26*Inputs!$C$35))</f>
        <v/>
      </c>
      <c r="R1310" s="54">
        <f>IF($B1310=0,NA(),IF(Inputs!$B$27&lt;&gt;"Yes",NA(),Inputs!$D$27*Inputs!$C$35))</f>
        <v/>
      </c>
      <c r="S1310" s="54">
        <f>IF($B1310=0,NA(),IF(Inputs!$B$28&lt;&gt;"Yes",NA(),Inputs!$D$28*Inputs!$C$35))</f>
        <v/>
      </c>
      <c r="T1310" s="54">
        <f>IF($B1310=0,NA(),IF(Inputs!$B$29&lt;&gt;"Yes",NA(),Inputs!$D$29*Inputs!$C$35))</f>
        <v/>
      </c>
      <c r="AD1310">
        <f>IF($B1310=0,0,IF(Inputs!$B$6="",0,COUNTIFS(Data!$A$10:$A$3209,"&gt;="&amp;$A1310,Data!$A$10:$A$3209,"&lt;"&amp;$A1310+1)))</f>
        <v/>
      </c>
      <c r="AE1310">
        <f>IF($B1310=0,0,IF(Inputs!$B$7="",0,COUNTIFS(Data!$E$10:$E$3209,"&gt;="&amp;$A1310,Data!$E$10:$E$3209,"&lt;"&amp;$A1310+1)))</f>
        <v/>
      </c>
      <c r="AF1310">
        <f>IF($B1310=0,0,IF(Inputs!$B$8="",0,COUNTIFS(Data!$I$10:$I$3209,"&gt;="&amp;$A1310,Data!$I$10:$I$3209,"&lt;"&amp;$A1310+1)))</f>
        <v/>
      </c>
      <c r="AG1310">
        <f>IF($B1310=0,0,IF(Inputs!$B$9="",0,COUNTIFS(Data!$M$10:$M$3209,"&gt;="&amp;$A1310,Data!$M$10:$M$3209,"&lt;"&amp;$A1310+1)))</f>
        <v/>
      </c>
      <c r="AH1310">
        <f>IF($B1310=0,0,IF(Inputs!$B$10="",0,COUNTIFS(Data!$Q$10:$Q$3209,"&gt;="&amp;$A1310,Data!$Q$10:$Q$3209,"&lt;"&amp;$A1310+1)))</f>
        <v/>
      </c>
    </row>
    <row r="1311">
      <c r="A1311" s="55">
        <f>MIN(Inputs!$C$15,$A1310+IF(WEEKDAY($A1310,2)=5,3,1))</f>
        <v/>
      </c>
      <c r="B1311">
        <f>IF($A1311&gt;$A1310,1,0)</f>
        <v/>
      </c>
      <c r="C1311" s="56">
        <f>IF($B1311=0,"",IF(Inputs!$B$6="","",IF($AD1311=0,C1310,SUMIFS(Data!$B$10:$B$3209,Data!$A$10:$A$3209,"&gt;="&amp;$A1311,Data!$A$10:$A$3209,"&lt;"&amp;$A1311+1)/$AD1311)))</f>
        <v/>
      </c>
      <c r="D1311" s="56">
        <f>IF($B1311=0,"",IF(Inputs!$B$7="","",IF($AE1311=0,D1310,SUMIFS(Data!$F$10:$F$3209,Data!$E$10:$E$3209,"&gt;="&amp;$A1311,Data!$E$10:$E$3209,"&lt;"&amp;$A1311+1)/$AE1311)))</f>
        <v/>
      </c>
      <c r="E1311" s="56">
        <f>IF($B1311=0,"",IF(Inputs!$B$8="","",IF($AF1311=0,E1310,SUMIFS(Data!$J$10:$J$3209,Data!$I$10:$I$3209,"&gt;="&amp;$A1311,Data!$I$10:$I$3209,"&lt;"&amp;$A1311+1)/$AF1311)))</f>
        <v/>
      </c>
      <c r="F1311" s="56">
        <f>IF($B1311=0,"",IF(Inputs!$B$9="","",IF($AG1311=0,F1310,SUMIFS(Data!$N$10:$N$3209,Data!$M$10:$M$3209,"&gt;="&amp;$A1311,Data!$M$10:$M$3209,"&lt;"&amp;$A1311+1)/$AG1311)))</f>
        <v/>
      </c>
      <c r="G1311" s="56">
        <f>IF($B1311=0,"",IF(Inputs!$B$10="","",IF($AH1311=0,G1310,SUMIFS(Data!$R$10:$R$3209,Data!$Q$10:$Q$3209,"&gt;="&amp;$A1311,Data!$Q$10:$Q$3209,"&lt;"&amp;$A1311+1)/$AH1311)))</f>
        <v/>
      </c>
      <c r="I1311" s="54">
        <f>IF($B1311=0,NA(),IF($C1311="",NA(),IF(C$8="",NA(),IF(N(C$8)=0,NA(),IF(Inputs!$C$17="Rebased to 100",$C1311/C$8*100,$C1311)))))</f>
        <v/>
      </c>
      <c r="J1311" s="54">
        <f>IF($B1311=0,NA(),IF($D1311="",NA(),IF(D$8="",NA(),IF(N(D$8)=0,NA(),IF(Inputs!$C$17="Rebased to 100",$D1311/D$8*100,$D1311)))))</f>
        <v/>
      </c>
      <c r="K1311" s="54">
        <f>IF($B1311=0,NA(),IF($E1311="",NA(),IF(E$8="",NA(),IF(N(E$8)=0,NA(),IF(Inputs!$C$17="Rebased to 100",$E1311/E$8*100,$E1311)))))</f>
        <v/>
      </c>
      <c r="L1311" s="54">
        <f>IF($B1311=0,NA(),IF($F1311="",NA(),IF(F$8="",NA(),IF(N(F$8)=0,NA(),IF(Inputs!$C$17="Rebased to 100",$F1311/F$8*100,$F1311)))))</f>
        <v/>
      </c>
      <c r="M1311" s="54">
        <f>IF($B1311=0,NA(),IF($G1311="",NA(),IF(G$8="",NA(),IF(N(G$8)=0,NA(),IF(Inputs!$C$17="Rebased to 100",$G1311/G$8*100,$G1311)))))</f>
        <v/>
      </c>
      <c r="N1311" s="54">
        <f>IF($B1311=0,NA(),IF(Inputs!$C$18&lt;&gt;"Yes",NA(),IF(COUNT(I1311,J1311,K1311,L1311,M1311)=0,NA(),MIN(I1311,J1311,K1311,L1311,M1311))))</f>
        <v/>
      </c>
      <c r="O1311" s="54">
        <f>IF($B1311=0,NA(),IF(Inputs!$B$24&lt;&gt;"Yes",NA(),Inputs!$D$24*Inputs!$C$35))</f>
        <v/>
      </c>
      <c r="P1311" s="54">
        <f>IF($B1311=0,NA(),IF(Inputs!$B$25&lt;&gt;"Yes",NA(),Inputs!$D$25*Inputs!$C$35))</f>
        <v/>
      </c>
      <c r="Q1311" s="54">
        <f>IF($B1311=0,NA(),IF(Inputs!$B$26&lt;&gt;"Yes",NA(),Inputs!$D$26*Inputs!$C$35))</f>
        <v/>
      </c>
      <c r="R1311" s="54">
        <f>IF($B1311=0,NA(),IF(Inputs!$B$27&lt;&gt;"Yes",NA(),Inputs!$D$27*Inputs!$C$35))</f>
        <v/>
      </c>
      <c r="S1311" s="54">
        <f>IF($B1311=0,NA(),IF(Inputs!$B$28&lt;&gt;"Yes",NA(),Inputs!$D$28*Inputs!$C$35))</f>
        <v/>
      </c>
      <c r="T1311" s="54">
        <f>IF($B1311=0,NA(),IF(Inputs!$B$29&lt;&gt;"Yes",NA(),Inputs!$D$29*Inputs!$C$35))</f>
        <v/>
      </c>
      <c r="AD1311">
        <f>IF($B1311=0,0,IF(Inputs!$B$6="",0,COUNTIFS(Data!$A$10:$A$3209,"&gt;="&amp;$A1311,Data!$A$10:$A$3209,"&lt;"&amp;$A1311+1)))</f>
        <v/>
      </c>
      <c r="AE1311">
        <f>IF($B1311=0,0,IF(Inputs!$B$7="",0,COUNTIFS(Data!$E$10:$E$3209,"&gt;="&amp;$A1311,Data!$E$10:$E$3209,"&lt;"&amp;$A1311+1)))</f>
        <v/>
      </c>
      <c r="AF1311">
        <f>IF($B1311=0,0,IF(Inputs!$B$8="",0,COUNTIFS(Data!$I$10:$I$3209,"&gt;="&amp;$A1311,Data!$I$10:$I$3209,"&lt;"&amp;$A1311+1)))</f>
        <v/>
      </c>
      <c r="AG1311">
        <f>IF($B1311=0,0,IF(Inputs!$B$9="",0,COUNTIFS(Data!$M$10:$M$3209,"&gt;="&amp;$A1311,Data!$M$10:$M$3209,"&lt;"&amp;$A1311+1)))</f>
        <v/>
      </c>
      <c r="AH1311">
        <f>IF($B1311=0,0,IF(Inputs!$B$10="",0,COUNTIFS(Data!$Q$10:$Q$3209,"&gt;="&amp;$A1311,Data!$Q$10:$Q$3209,"&lt;"&amp;$A1311+1)))</f>
        <v/>
      </c>
    </row>
    <row r="1312">
      <c r="A1312" s="55">
        <f>MIN(Inputs!$C$15,$A1311+IF(WEEKDAY($A1311,2)=5,3,1))</f>
        <v/>
      </c>
      <c r="B1312">
        <f>IF($A1312&gt;$A1311,1,0)</f>
        <v/>
      </c>
      <c r="C1312" s="56">
        <f>IF($B1312=0,"",IF(Inputs!$B$6="","",IF($AD1312=0,C1311,SUMIFS(Data!$B$10:$B$3209,Data!$A$10:$A$3209,"&gt;="&amp;$A1312,Data!$A$10:$A$3209,"&lt;"&amp;$A1312+1)/$AD1312)))</f>
        <v/>
      </c>
      <c r="D1312" s="56">
        <f>IF($B1312=0,"",IF(Inputs!$B$7="","",IF($AE1312=0,D1311,SUMIFS(Data!$F$10:$F$3209,Data!$E$10:$E$3209,"&gt;="&amp;$A1312,Data!$E$10:$E$3209,"&lt;"&amp;$A1312+1)/$AE1312)))</f>
        <v/>
      </c>
      <c r="E1312" s="56">
        <f>IF($B1312=0,"",IF(Inputs!$B$8="","",IF($AF1312=0,E1311,SUMIFS(Data!$J$10:$J$3209,Data!$I$10:$I$3209,"&gt;="&amp;$A1312,Data!$I$10:$I$3209,"&lt;"&amp;$A1312+1)/$AF1312)))</f>
        <v/>
      </c>
      <c r="F1312" s="56">
        <f>IF($B1312=0,"",IF(Inputs!$B$9="","",IF($AG1312=0,F1311,SUMIFS(Data!$N$10:$N$3209,Data!$M$10:$M$3209,"&gt;="&amp;$A1312,Data!$M$10:$M$3209,"&lt;"&amp;$A1312+1)/$AG1312)))</f>
        <v/>
      </c>
      <c r="G1312" s="56">
        <f>IF($B1312=0,"",IF(Inputs!$B$10="","",IF($AH1312=0,G1311,SUMIFS(Data!$R$10:$R$3209,Data!$Q$10:$Q$3209,"&gt;="&amp;$A1312,Data!$Q$10:$Q$3209,"&lt;"&amp;$A1312+1)/$AH1312)))</f>
        <v/>
      </c>
      <c r="I1312" s="54">
        <f>IF($B1312=0,NA(),IF($C1312="",NA(),IF(C$8="",NA(),IF(N(C$8)=0,NA(),IF(Inputs!$C$17="Rebased to 100",$C1312/C$8*100,$C1312)))))</f>
        <v/>
      </c>
      <c r="J1312" s="54">
        <f>IF($B1312=0,NA(),IF($D1312="",NA(),IF(D$8="",NA(),IF(N(D$8)=0,NA(),IF(Inputs!$C$17="Rebased to 100",$D1312/D$8*100,$D1312)))))</f>
        <v/>
      </c>
      <c r="K1312" s="54">
        <f>IF($B1312=0,NA(),IF($E1312="",NA(),IF(E$8="",NA(),IF(N(E$8)=0,NA(),IF(Inputs!$C$17="Rebased to 100",$E1312/E$8*100,$E1312)))))</f>
        <v/>
      </c>
      <c r="L1312" s="54">
        <f>IF($B1312=0,NA(),IF($F1312="",NA(),IF(F$8="",NA(),IF(N(F$8)=0,NA(),IF(Inputs!$C$17="Rebased to 100",$F1312/F$8*100,$F1312)))))</f>
        <v/>
      </c>
      <c r="M1312" s="54">
        <f>IF($B1312=0,NA(),IF($G1312="",NA(),IF(G$8="",NA(),IF(N(G$8)=0,NA(),IF(Inputs!$C$17="Rebased to 100",$G1312/G$8*100,$G1312)))))</f>
        <v/>
      </c>
      <c r="N1312" s="54">
        <f>IF($B1312=0,NA(),IF(Inputs!$C$18&lt;&gt;"Yes",NA(),IF(COUNT(I1312,J1312,K1312,L1312,M1312)=0,NA(),MIN(I1312,J1312,K1312,L1312,M1312))))</f>
        <v/>
      </c>
      <c r="O1312" s="54">
        <f>IF($B1312=0,NA(),IF(Inputs!$B$24&lt;&gt;"Yes",NA(),Inputs!$D$24*Inputs!$C$35))</f>
        <v/>
      </c>
      <c r="P1312" s="54">
        <f>IF($B1312=0,NA(),IF(Inputs!$B$25&lt;&gt;"Yes",NA(),Inputs!$D$25*Inputs!$C$35))</f>
        <v/>
      </c>
      <c r="Q1312" s="54">
        <f>IF($B1312=0,NA(),IF(Inputs!$B$26&lt;&gt;"Yes",NA(),Inputs!$D$26*Inputs!$C$35))</f>
        <v/>
      </c>
      <c r="R1312" s="54">
        <f>IF($B1312=0,NA(),IF(Inputs!$B$27&lt;&gt;"Yes",NA(),Inputs!$D$27*Inputs!$C$35))</f>
        <v/>
      </c>
      <c r="S1312" s="54">
        <f>IF($B1312=0,NA(),IF(Inputs!$B$28&lt;&gt;"Yes",NA(),Inputs!$D$28*Inputs!$C$35))</f>
        <v/>
      </c>
      <c r="T1312" s="54">
        <f>IF($B1312=0,NA(),IF(Inputs!$B$29&lt;&gt;"Yes",NA(),Inputs!$D$29*Inputs!$C$35))</f>
        <v/>
      </c>
      <c r="AD1312">
        <f>IF($B1312=0,0,IF(Inputs!$B$6="",0,COUNTIFS(Data!$A$10:$A$3209,"&gt;="&amp;$A1312,Data!$A$10:$A$3209,"&lt;"&amp;$A1312+1)))</f>
        <v/>
      </c>
      <c r="AE1312">
        <f>IF($B1312=0,0,IF(Inputs!$B$7="",0,COUNTIFS(Data!$E$10:$E$3209,"&gt;="&amp;$A1312,Data!$E$10:$E$3209,"&lt;"&amp;$A1312+1)))</f>
        <v/>
      </c>
      <c r="AF1312">
        <f>IF($B1312=0,0,IF(Inputs!$B$8="",0,COUNTIFS(Data!$I$10:$I$3209,"&gt;="&amp;$A1312,Data!$I$10:$I$3209,"&lt;"&amp;$A1312+1)))</f>
        <v/>
      </c>
      <c r="AG1312">
        <f>IF($B1312=0,0,IF(Inputs!$B$9="",0,COUNTIFS(Data!$M$10:$M$3209,"&gt;="&amp;$A1312,Data!$M$10:$M$3209,"&lt;"&amp;$A1312+1)))</f>
        <v/>
      </c>
      <c r="AH1312">
        <f>IF($B1312=0,0,IF(Inputs!$B$10="",0,COUNTIFS(Data!$Q$10:$Q$3209,"&gt;="&amp;$A1312,Data!$Q$10:$Q$3209,"&lt;"&amp;$A1312+1)))</f>
        <v/>
      </c>
    </row>
    <row r="1313">
      <c r="A1313" s="55">
        <f>MIN(Inputs!$C$15,$A1312+IF(WEEKDAY($A1312,2)=5,3,1))</f>
        <v/>
      </c>
      <c r="B1313">
        <f>IF($A1313&gt;$A1312,1,0)</f>
        <v/>
      </c>
      <c r="C1313" s="56">
        <f>IF($B1313=0,"",IF(Inputs!$B$6="","",IF($AD1313=0,C1312,SUMIFS(Data!$B$10:$B$3209,Data!$A$10:$A$3209,"&gt;="&amp;$A1313,Data!$A$10:$A$3209,"&lt;"&amp;$A1313+1)/$AD1313)))</f>
        <v/>
      </c>
      <c r="D1313" s="56">
        <f>IF($B1313=0,"",IF(Inputs!$B$7="","",IF($AE1313=0,D1312,SUMIFS(Data!$F$10:$F$3209,Data!$E$10:$E$3209,"&gt;="&amp;$A1313,Data!$E$10:$E$3209,"&lt;"&amp;$A1313+1)/$AE1313)))</f>
        <v/>
      </c>
      <c r="E1313" s="56">
        <f>IF($B1313=0,"",IF(Inputs!$B$8="","",IF($AF1313=0,E1312,SUMIFS(Data!$J$10:$J$3209,Data!$I$10:$I$3209,"&gt;="&amp;$A1313,Data!$I$10:$I$3209,"&lt;"&amp;$A1313+1)/$AF1313)))</f>
        <v/>
      </c>
      <c r="F1313" s="56">
        <f>IF($B1313=0,"",IF(Inputs!$B$9="","",IF($AG1313=0,F1312,SUMIFS(Data!$N$10:$N$3209,Data!$M$10:$M$3209,"&gt;="&amp;$A1313,Data!$M$10:$M$3209,"&lt;"&amp;$A1313+1)/$AG1313)))</f>
        <v/>
      </c>
      <c r="G1313" s="56">
        <f>IF($B1313=0,"",IF(Inputs!$B$10="","",IF($AH1313=0,G1312,SUMIFS(Data!$R$10:$R$3209,Data!$Q$10:$Q$3209,"&gt;="&amp;$A1313,Data!$Q$10:$Q$3209,"&lt;"&amp;$A1313+1)/$AH1313)))</f>
        <v/>
      </c>
      <c r="I1313" s="54">
        <f>IF($B1313=0,NA(),IF($C1313="",NA(),IF(C$8="",NA(),IF(N(C$8)=0,NA(),IF(Inputs!$C$17="Rebased to 100",$C1313/C$8*100,$C1313)))))</f>
        <v/>
      </c>
      <c r="J1313" s="54">
        <f>IF($B1313=0,NA(),IF($D1313="",NA(),IF(D$8="",NA(),IF(N(D$8)=0,NA(),IF(Inputs!$C$17="Rebased to 100",$D1313/D$8*100,$D1313)))))</f>
        <v/>
      </c>
      <c r="K1313" s="54">
        <f>IF($B1313=0,NA(),IF($E1313="",NA(),IF(E$8="",NA(),IF(N(E$8)=0,NA(),IF(Inputs!$C$17="Rebased to 100",$E1313/E$8*100,$E1313)))))</f>
        <v/>
      </c>
      <c r="L1313" s="54">
        <f>IF($B1313=0,NA(),IF($F1313="",NA(),IF(F$8="",NA(),IF(N(F$8)=0,NA(),IF(Inputs!$C$17="Rebased to 100",$F1313/F$8*100,$F1313)))))</f>
        <v/>
      </c>
      <c r="M1313" s="54">
        <f>IF($B1313=0,NA(),IF($G1313="",NA(),IF(G$8="",NA(),IF(N(G$8)=0,NA(),IF(Inputs!$C$17="Rebased to 100",$G1313/G$8*100,$G1313)))))</f>
        <v/>
      </c>
      <c r="N1313" s="54">
        <f>IF($B1313=0,NA(),IF(Inputs!$C$18&lt;&gt;"Yes",NA(),IF(COUNT(I1313,J1313,K1313,L1313,M1313)=0,NA(),MIN(I1313,J1313,K1313,L1313,M1313))))</f>
        <v/>
      </c>
      <c r="O1313" s="54">
        <f>IF($B1313=0,NA(),IF(Inputs!$B$24&lt;&gt;"Yes",NA(),Inputs!$D$24*Inputs!$C$35))</f>
        <v/>
      </c>
      <c r="P1313" s="54">
        <f>IF($B1313=0,NA(),IF(Inputs!$B$25&lt;&gt;"Yes",NA(),Inputs!$D$25*Inputs!$C$35))</f>
        <v/>
      </c>
      <c r="Q1313" s="54">
        <f>IF($B1313=0,NA(),IF(Inputs!$B$26&lt;&gt;"Yes",NA(),Inputs!$D$26*Inputs!$C$35))</f>
        <v/>
      </c>
      <c r="R1313" s="54">
        <f>IF($B1313=0,NA(),IF(Inputs!$B$27&lt;&gt;"Yes",NA(),Inputs!$D$27*Inputs!$C$35))</f>
        <v/>
      </c>
      <c r="S1313" s="54">
        <f>IF($B1313=0,NA(),IF(Inputs!$B$28&lt;&gt;"Yes",NA(),Inputs!$D$28*Inputs!$C$35))</f>
        <v/>
      </c>
      <c r="T1313" s="54">
        <f>IF($B1313=0,NA(),IF(Inputs!$B$29&lt;&gt;"Yes",NA(),Inputs!$D$29*Inputs!$C$35))</f>
        <v/>
      </c>
      <c r="AD1313">
        <f>IF($B1313=0,0,IF(Inputs!$B$6="",0,COUNTIFS(Data!$A$10:$A$3209,"&gt;="&amp;$A1313,Data!$A$10:$A$3209,"&lt;"&amp;$A1313+1)))</f>
        <v/>
      </c>
      <c r="AE1313">
        <f>IF($B1313=0,0,IF(Inputs!$B$7="",0,COUNTIFS(Data!$E$10:$E$3209,"&gt;="&amp;$A1313,Data!$E$10:$E$3209,"&lt;"&amp;$A1313+1)))</f>
        <v/>
      </c>
      <c r="AF1313">
        <f>IF($B1313=0,0,IF(Inputs!$B$8="",0,COUNTIFS(Data!$I$10:$I$3209,"&gt;="&amp;$A1313,Data!$I$10:$I$3209,"&lt;"&amp;$A1313+1)))</f>
        <v/>
      </c>
      <c r="AG1313">
        <f>IF($B1313=0,0,IF(Inputs!$B$9="",0,COUNTIFS(Data!$M$10:$M$3209,"&gt;="&amp;$A1313,Data!$M$10:$M$3209,"&lt;"&amp;$A1313+1)))</f>
        <v/>
      </c>
      <c r="AH1313">
        <f>IF($B1313=0,0,IF(Inputs!$B$10="",0,COUNTIFS(Data!$Q$10:$Q$3209,"&gt;="&amp;$A1313,Data!$Q$10:$Q$3209,"&lt;"&amp;$A1313+1)))</f>
        <v/>
      </c>
    </row>
    <row r="1314">
      <c r="A1314" s="55">
        <f>MIN(Inputs!$C$15,$A1313+IF(WEEKDAY($A1313,2)=5,3,1))</f>
        <v/>
      </c>
      <c r="B1314">
        <f>IF($A1314&gt;$A1313,1,0)</f>
        <v/>
      </c>
      <c r="C1314" s="56">
        <f>IF($B1314=0,"",IF(Inputs!$B$6="","",IF($AD1314=0,C1313,SUMIFS(Data!$B$10:$B$3209,Data!$A$10:$A$3209,"&gt;="&amp;$A1314,Data!$A$10:$A$3209,"&lt;"&amp;$A1314+1)/$AD1314)))</f>
        <v/>
      </c>
      <c r="D1314" s="56">
        <f>IF($B1314=0,"",IF(Inputs!$B$7="","",IF($AE1314=0,D1313,SUMIFS(Data!$F$10:$F$3209,Data!$E$10:$E$3209,"&gt;="&amp;$A1314,Data!$E$10:$E$3209,"&lt;"&amp;$A1314+1)/$AE1314)))</f>
        <v/>
      </c>
      <c r="E1314" s="56">
        <f>IF($B1314=0,"",IF(Inputs!$B$8="","",IF($AF1314=0,E1313,SUMIFS(Data!$J$10:$J$3209,Data!$I$10:$I$3209,"&gt;="&amp;$A1314,Data!$I$10:$I$3209,"&lt;"&amp;$A1314+1)/$AF1314)))</f>
        <v/>
      </c>
      <c r="F1314" s="56">
        <f>IF($B1314=0,"",IF(Inputs!$B$9="","",IF($AG1314=0,F1313,SUMIFS(Data!$N$10:$N$3209,Data!$M$10:$M$3209,"&gt;="&amp;$A1314,Data!$M$10:$M$3209,"&lt;"&amp;$A1314+1)/$AG1314)))</f>
        <v/>
      </c>
      <c r="G1314" s="56">
        <f>IF($B1314=0,"",IF(Inputs!$B$10="","",IF($AH1314=0,G1313,SUMIFS(Data!$R$10:$R$3209,Data!$Q$10:$Q$3209,"&gt;="&amp;$A1314,Data!$Q$10:$Q$3209,"&lt;"&amp;$A1314+1)/$AH1314)))</f>
        <v/>
      </c>
      <c r="I1314" s="54">
        <f>IF($B1314=0,NA(),IF($C1314="",NA(),IF(C$8="",NA(),IF(N(C$8)=0,NA(),IF(Inputs!$C$17="Rebased to 100",$C1314/C$8*100,$C1314)))))</f>
        <v/>
      </c>
      <c r="J1314" s="54">
        <f>IF($B1314=0,NA(),IF($D1314="",NA(),IF(D$8="",NA(),IF(N(D$8)=0,NA(),IF(Inputs!$C$17="Rebased to 100",$D1314/D$8*100,$D1314)))))</f>
        <v/>
      </c>
      <c r="K1314" s="54">
        <f>IF($B1314=0,NA(),IF($E1314="",NA(),IF(E$8="",NA(),IF(N(E$8)=0,NA(),IF(Inputs!$C$17="Rebased to 100",$E1314/E$8*100,$E1314)))))</f>
        <v/>
      </c>
      <c r="L1314" s="54">
        <f>IF($B1314=0,NA(),IF($F1314="",NA(),IF(F$8="",NA(),IF(N(F$8)=0,NA(),IF(Inputs!$C$17="Rebased to 100",$F1314/F$8*100,$F1314)))))</f>
        <v/>
      </c>
      <c r="M1314" s="54">
        <f>IF($B1314=0,NA(),IF($G1314="",NA(),IF(G$8="",NA(),IF(N(G$8)=0,NA(),IF(Inputs!$C$17="Rebased to 100",$G1314/G$8*100,$G1314)))))</f>
        <v/>
      </c>
      <c r="N1314" s="54">
        <f>IF($B1314=0,NA(),IF(Inputs!$C$18&lt;&gt;"Yes",NA(),IF(COUNT(I1314,J1314,K1314,L1314,M1314)=0,NA(),MIN(I1314,J1314,K1314,L1314,M1314))))</f>
        <v/>
      </c>
      <c r="O1314" s="54">
        <f>IF($B1314=0,NA(),IF(Inputs!$B$24&lt;&gt;"Yes",NA(),Inputs!$D$24*Inputs!$C$35))</f>
        <v/>
      </c>
      <c r="P1314" s="54">
        <f>IF($B1314=0,NA(),IF(Inputs!$B$25&lt;&gt;"Yes",NA(),Inputs!$D$25*Inputs!$C$35))</f>
        <v/>
      </c>
      <c r="Q1314" s="54">
        <f>IF($B1314=0,NA(),IF(Inputs!$B$26&lt;&gt;"Yes",NA(),Inputs!$D$26*Inputs!$C$35))</f>
        <v/>
      </c>
      <c r="R1314" s="54">
        <f>IF($B1314=0,NA(),IF(Inputs!$B$27&lt;&gt;"Yes",NA(),Inputs!$D$27*Inputs!$C$35))</f>
        <v/>
      </c>
      <c r="S1314" s="54">
        <f>IF($B1314=0,NA(),IF(Inputs!$B$28&lt;&gt;"Yes",NA(),Inputs!$D$28*Inputs!$C$35))</f>
        <v/>
      </c>
      <c r="T1314" s="54">
        <f>IF($B1314=0,NA(),IF(Inputs!$B$29&lt;&gt;"Yes",NA(),Inputs!$D$29*Inputs!$C$35))</f>
        <v/>
      </c>
      <c r="AD1314">
        <f>IF($B1314=0,0,IF(Inputs!$B$6="",0,COUNTIFS(Data!$A$10:$A$3209,"&gt;="&amp;$A1314,Data!$A$10:$A$3209,"&lt;"&amp;$A1314+1)))</f>
        <v/>
      </c>
      <c r="AE1314">
        <f>IF($B1314=0,0,IF(Inputs!$B$7="",0,COUNTIFS(Data!$E$10:$E$3209,"&gt;="&amp;$A1314,Data!$E$10:$E$3209,"&lt;"&amp;$A1314+1)))</f>
        <v/>
      </c>
      <c r="AF1314">
        <f>IF($B1314=0,0,IF(Inputs!$B$8="",0,COUNTIFS(Data!$I$10:$I$3209,"&gt;="&amp;$A1314,Data!$I$10:$I$3209,"&lt;"&amp;$A1314+1)))</f>
        <v/>
      </c>
      <c r="AG1314">
        <f>IF($B1314=0,0,IF(Inputs!$B$9="",0,COUNTIFS(Data!$M$10:$M$3209,"&gt;="&amp;$A1314,Data!$M$10:$M$3209,"&lt;"&amp;$A1314+1)))</f>
        <v/>
      </c>
      <c r="AH1314">
        <f>IF($B1314=0,0,IF(Inputs!$B$10="",0,COUNTIFS(Data!$Q$10:$Q$3209,"&gt;="&amp;$A1314,Data!$Q$10:$Q$3209,"&lt;"&amp;$A1314+1)))</f>
        <v/>
      </c>
    </row>
    <row r="1315">
      <c r="A1315" s="55">
        <f>MIN(Inputs!$C$15,$A1314+IF(WEEKDAY($A1314,2)=5,3,1))</f>
        <v/>
      </c>
      <c r="B1315">
        <f>IF($A1315&gt;$A1314,1,0)</f>
        <v/>
      </c>
      <c r="C1315" s="56">
        <f>IF($B1315=0,"",IF(Inputs!$B$6="","",IF($AD1315=0,C1314,SUMIFS(Data!$B$10:$B$3209,Data!$A$10:$A$3209,"&gt;="&amp;$A1315,Data!$A$10:$A$3209,"&lt;"&amp;$A1315+1)/$AD1315)))</f>
        <v/>
      </c>
      <c r="D1315" s="56">
        <f>IF($B1315=0,"",IF(Inputs!$B$7="","",IF($AE1315=0,D1314,SUMIFS(Data!$F$10:$F$3209,Data!$E$10:$E$3209,"&gt;="&amp;$A1315,Data!$E$10:$E$3209,"&lt;"&amp;$A1315+1)/$AE1315)))</f>
        <v/>
      </c>
      <c r="E1315" s="56">
        <f>IF($B1315=0,"",IF(Inputs!$B$8="","",IF($AF1315=0,E1314,SUMIFS(Data!$J$10:$J$3209,Data!$I$10:$I$3209,"&gt;="&amp;$A1315,Data!$I$10:$I$3209,"&lt;"&amp;$A1315+1)/$AF1315)))</f>
        <v/>
      </c>
      <c r="F1315" s="56">
        <f>IF($B1315=0,"",IF(Inputs!$B$9="","",IF($AG1315=0,F1314,SUMIFS(Data!$N$10:$N$3209,Data!$M$10:$M$3209,"&gt;="&amp;$A1315,Data!$M$10:$M$3209,"&lt;"&amp;$A1315+1)/$AG1315)))</f>
        <v/>
      </c>
      <c r="G1315" s="56">
        <f>IF($B1315=0,"",IF(Inputs!$B$10="","",IF($AH1315=0,G1314,SUMIFS(Data!$R$10:$R$3209,Data!$Q$10:$Q$3209,"&gt;="&amp;$A1315,Data!$Q$10:$Q$3209,"&lt;"&amp;$A1315+1)/$AH1315)))</f>
        <v/>
      </c>
      <c r="I1315" s="54">
        <f>IF($B1315=0,NA(),IF($C1315="",NA(),IF(C$8="",NA(),IF(N(C$8)=0,NA(),IF(Inputs!$C$17="Rebased to 100",$C1315/C$8*100,$C1315)))))</f>
        <v/>
      </c>
      <c r="J1315" s="54">
        <f>IF($B1315=0,NA(),IF($D1315="",NA(),IF(D$8="",NA(),IF(N(D$8)=0,NA(),IF(Inputs!$C$17="Rebased to 100",$D1315/D$8*100,$D1315)))))</f>
        <v/>
      </c>
      <c r="K1315" s="54">
        <f>IF($B1315=0,NA(),IF($E1315="",NA(),IF(E$8="",NA(),IF(N(E$8)=0,NA(),IF(Inputs!$C$17="Rebased to 100",$E1315/E$8*100,$E1315)))))</f>
        <v/>
      </c>
      <c r="L1315" s="54">
        <f>IF($B1315=0,NA(),IF($F1315="",NA(),IF(F$8="",NA(),IF(N(F$8)=0,NA(),IF(Inputs!$C$17="Rebased to 100",$F1315/F$8*100,$F1315)))))</f>
        <v/>
      </c>
      <c r="M1315" s="54">
        <f>IF($B1315=0,NA(),IF($G1315="",NA(),IF(G$8="",NA(),IF(N(G$8)=0,NA(),IF(Inputs!$C$17="Rebased to 100",$G1315/G$8*100,$G1315)))))</f>
        <v/>
      </c>
      <c r="N1315" s="54">
        <f>IF($B1315=0,NA(),IF(Inputs!$C$18&lt;&gt;"Yes",NA(),IF(COUNT(I1315,J1315,K1315,L1315,M1315)=0,NA(),MIN(I1315,J1315,K1315,L1315,M1315))))</f>
        <v/>
      </c>
      <c r="O1315" s="54">
        <f>IF($B1315=0,NA(),IF(Inputs!$B$24&lt;&gt;"Yes",NA(),Inputs!$D$24*Inputs!$C$35))</f>
        <v/>
      </c>
      <c r="P1315" s="54">
        <f>IF($B1315=0,NA(),IF(Inputs!$B$25&lt;&gt;"Yes",NA(),Inputs!$D$25*Inputs!$C$35))</f>
        <v/>
      </c>
      <c r="Q1315" s="54">
        <f>IF($B1315=0,NA(),IF(Inputs!$B$26&lt;&gt;"Yes",NA(),Inputs!$D$26*Inputs!$C$35))</f>
        <v/>
      </c>
      <c r="R1315" s="54">
        <f>IF($B1315=0,NA(),IF(Inputs!$B$27&lt;&gt;"Yes",NA(),Inputs!$D$27*Inputs!$C$35))</f>
        <v/>
      </c>
      <c r="S1315" s="54">
        <f>IF($B1315=0,NA(),IF(Inputs!$B$28&lt;&gt;"Yes",NA(),Inputs!$D$28*Inputs!$C$35))</f>
        <v/>
      </c>
      <c r="T1315" s="54">
        <f>IF($B1315=0,NA(),IF(Inputs!$B$29&lt;&gt;"Yes",NA(),Inputs!$D$29*Inputs!$C$35))</f>
        <v/>
      </c>
      <c r="AD1315">
        <f>IF($B1315=0,0,IF(Inputs!$B$6="",0,COUNTIFS(Data!$A$10:$A$3209,"&gt;="&amp;$A1315,Data!$A$10:$A$3209,"&lt;"&amp;$A1315+1)))</f>
        <v/>
      </c>
      <c r="AE1315">
        <f>IF($B1315=0,0,IF(Inputs!$B$7="",0,COUNTIFS(Data!$E$10:$E$3209,"&gt;="&amp;$A1315,Data!$E$10:$E$3209,"&lt;"&amp;$A1315+1)))</f>
        <v/>
      </c>
      <c r="AF1315">
        <f>IF($B1315=0,0,IF(Inputs!$B$8="",0,COUNTIFS(Data!$I$10:$I$3209,"&gt;="&amp;$A1315,Data!$I$10:$I$3209,"&lt;"&amp;$A1315+1)))</f>
        <v/>
      </c>
      <c r="AG1315">
        <f>IF($B1315=0,0,IF(Inputs!$B$9="",0,COUNTIFS(Data!$M$10:$M$3209,"&gt;="&amp;$A1315,Data!$M$10:$M$3209,"&lt;"&amp;$A1315+1)))</f>
        <v/>
      </c>
      <c r="AH1315">
        <f>IF($B1315=0,0,IF(Inputs!$B$10="",0,COUNTIFS(Data!$Q$10:$Q$3209,"&gt;="&amp;$A1315,Data!$Q$10:$Q$3209,"&lt;"&amp;$A1315+1)))</f>
        <v/>
      </c>
    </row>
    <row r="1316">
      <c r="A1316" s="55">
        <f>MIN(Inputs!$C$15,$A1315+IF(WEEKDAY($A1315,2)=5,3,1))</f>
        <v/>
      </c>
      <c r="B1316">
        <f>IF($A1316&gt;$A1315,1,0)</f>
        <v/>
      </c>
      <c r="C1316" s="56">
        <f>IF($B1316=0,"",IF(Inputs!$B$6="","",IF($AD1316=0,C1315,SUMIFS(Data!$B$10:$B$3209,Data!$A$10:$A$3209,"&gt;="&amp;$A1316,Data!$A$10:$A$3209,"&lt;"&amp;$A1316+1)/$AD1316)))</f>
        <v/>
      </c>
      <c r="D1316" s="56">
        <f>IF($B1316=0,"",IF(Inputs!$B$7="","",IF($AE1316=0,D1315,SUMIFS(Data!$F$10:$F$3209,Data!$E$10:$E$3209,"&gt;="&amp;$A1316,Data!$E$10:$E$3209,"&lt;"&amp;$A1316+1)/$AE1316)))</f>
        <v/>
      </c>
      <c r="E1316" s="56">
        <f>IF($B1316=0,"",IF(Inputs!$B$8="","",IF($AF1316=0,E1315,SUMIFS(Data!$J$10:$J$3209,Data!$I$10:$I$3209,"&gt;="&amp;$A1316,Data!$I$10:$I$3209,"&lt;"&amp;$A1316+1)/$AF1316)))</f>
        <v/>
      </c>
      <c r="F1316" s="56">
        <f>IF($B1316=0,"",IF(Inputs!$B$9="","",IF($AG1316=0,F1315,SUMIFS(Data!$N$10:$N$3209,Data!$M$10:$M$3209,"&gt;="&amp;$A1316,Data!$M$10:$M$3209,"&lt;"&amp;$A1316+1)/$AG1316)))</f>
        <v/>
      </c>
      <c r="G1316" s="56">
        <f>IF($B1316=0,"",IF(Inputs!$B$10="","",IF($AH1316=0,G1315,SUMIFS(Data!$R$10:$R$3209,Data!$Q$10:$Q$3209,"&gt;="&amp;$A1316,Data!$Q$10:$Q$3209,"&lt;"&amp;$A1316+1)/$AH1316)))</f>
        <v/>
      </c>
      <c r="I1316" s="54">
        <f>IF($B1316=0,NA(),IF($C1316="",NA(),IF(C$8="",NA(),IF(N(C$8)=0,NA(),IF(Inputs!$C$17="Rebased to 100",$C1316/C$8*100,$C1316)))))</f>
        <v/>
      </c>
      <c r="J1316" s="54">
        <f>IF($B1316=0,NA(),IF($D1316="",NA(),IF(D$8="",NA(),IF(N(D$8)=0,NA(),IF(Inputs!$C$17="Rebased to 100",$D1316/D$8*100,$D1316)))))</f>
        <v/>
      </c>
      <c r="K1316" s="54">
        <f>IF($B1316=0,NA(),IF($E1316="",NA(),IF(E$8="",NA(),IF(N(E$8)=0,NA(),IF(Inputs!$C$17="Rebased to 100",$E1316/E$8*100,$E1316)))))</f>
        <v/>
      </c>
      <c r="L1316" s="54">
        <f>IF($B1316=0,NA(),IF($F1316="",NA(),IF(F$8="",NA(),IF(N(F$8)=0,NA(),IF(Inputs!$C$17="Rebased to 100",$F1316/F$8*100,$F1316)))))</f>
        <v/>
      </c>
      <c r="M1316" s="54">
        <f>IF($B1316=0,NA(),IF($G1316="",NA(),IF(G$8="",NA(),IF(N(G$8)=0,NA(),IF(Inputs!$C$17="Rebased to 100",$G1316/G$8*100,$G1316)))))</f>
        <v/>
      </c>
      <c r="N1316" s="54">
        <f>IF($B1316=0,NA(),IF(Inputs!$C$18&lt;&gt;"Yes",NA(),IF(COUNT(I1316,J1316,K1316,L1316,M1316)=0,NA(),MIN(I1316,J1316,K1316,L1316,M1316))))</f>
        <v/>
      </c>
      <c r="O1316" s="54">
        <f>IF($B1316=0,NA(),IF(Inputs!$B$24&lt;&gt;"Yes",NA(),Inputs!$D$24*Inputs!$C$35))</f>
        <v/>
      </c>
      <c r="P1316" s="54">
        <f>IF($B1316=0,NA(),IF(Inputs!$B$25&lt;&gt;"Yes",NA(),Inputs!$D$25*Inputs!$C$35))</f>
        <v/>
      </c>
      <c r="Q1316" s="54">
        <f>IF($B1316=0,NA(),IF(Inputs!$B$26&lt;&gt;"Yes",NA(),Inputs!$D$26*Inputs!$C$35))</f>
        <v/>
      </c>
      <c r="R1316" s="54">
        <f>IF($B1316=0,NA(),IF(Inputs!$B$27&lt;&gt;"Yes",NA(),Inputs!$D$27*Inputs!$C$35))</f>
        <v/>
      </c>
      <c r="S1316" s="54">
        <f>IF($B1316=0,NA(),IF(Inputs!$B$28&lt;&gt;"Yes",NA(),Inputs!$D$28*Inputs!$C$35))</f>
        <v/>
      </c>
      <c r="T1316" s="54">
        <f>IF($B1316=0,NA(),IF(Inputs!$B$29&lt;&gt;"Yes",NA(),Inputs!$D$29*Inputs!$C$35))</f>
        <v/>
      </c>
      <c r="AD1316">
        <f>IF($B1316=0,0,IF(Inputs!$B$6="",0,COUNTIFS(Data!$A$10:$A$3209,"&gt;="&amp;$A1316,Data!$A$10:$A$3209,"&lt;"&amp;$A1316+1)))</f>
        <v/>
      </c>
      <c r="AE1316">
        <f>IF($B1316=0,0,IF(Inputs!$B$7="",0,COUNTIFS(Data!$E$10:$E$3209,"&gt;="&amp;$A1316,Data!$E$10:$E$3209,"&lt;"&amp;$A1316+1)))</f>
        <v/>
      </c>
      <c r="AF1316">
        <f>IF($B1316=0,0,IF(Inputs!$B$8="",0,COUNTIFS(Data!$I$10:$I$3209,"&gt;="&amp;$A1316,Data!$I$10:$I$3209,"&lt;"&amp;$A1316+1)))</f>
        <v/>
      </c>
      <c r="AG1316">
        <f>IF($B1316=0,0,IF(Inputs!$B$9="",0,COUNTIFS(Data!$M$10:$M$3209,"&gt;="&amp;$A1316,Data!$M$10:$M$3209,"&lt;"&amp;$A1316+1)))</f>
        <v/>
      </c>
      <c r="AH1316">
        <f>IF($B1316=0,0,IF(Inputs!$B$10="",0,COUNTIFS(Data!$Q$10:$Q$3209,"&gt;="&amp;$A1316,Data!$Q$10:$Q$3209,"&lt;"&amp;$A1316+1)))</f>
        <v/>
      </c>
    </row>
    <row r="1317">
      <c r="A1317" s="55">
        <f>MIN(Inputs!$C$15,$A1316+IF(WEEKDAY($A1316,2)=5,3,1))</f>
        <v/>
      </c>
      <c r="B1317">
        <f>IF($A1317&gt;$A1316,1,0)</f>
        <v/>
      </c>
      <c r="C1317" s="56">
        <f>IF($B1317=0,"",IF(Inputs!$B$6="","",IF($AD1317=0,C1316,SUMIFS(Data!$B$10:$B$3209,Data!$A$10:$A$3209,"&gt;="&amp;$A1317,Data!$A$10:$A$3209,"&lt;"&amp;$A1317+1)/$AD1317)))</f>
        <v/>
      </c>
      <c r="D1317" s="56">
        <f>IF($B1317=0,"",IF(Inputs!$B$7="","",IF($AE1317=0,D1316,SUMIFS(Data!$F$10:$F$3209,Data!$E$10:$E$3209,"&gt;="&amp;$A1317,Data!$E$10:$E$3209,"&lt;"&amp;$A1317+1)/$AE1317)))</f>
        <v/>
      </c>
      <c r="E1317" s="56">
        <f>IF($B1317=0,"",IF(Inputs!$B$8="","",IF($AF1317=0,E1316,SUMIFS(Data!$J$10:$J$3209,Data!$I$10:$I$3209,"&gt;="&amp;$A1317,Data!$I$10:$I$3209,"&lt;"&amp;$A1317+1)/$AF1317)))</f>
        <v/>
      </c>
      <c r="F1317" s="56">
        <f>IF($B1317=0,"",IF(Inputs!$B$9="","",IF($AG1317=0,F1316,SUMIFS(Data!$N$10:$N$3209,Data!$M$10:$M$3209,"&gt;="&amp;$A1317,Data!$M$10:$M$3209,"&lt;"&amp;$A1317+1)/$AG1317)))</f>
        <v/>
      </c>
      <c r="G1317" s="56">
        <f>IF($B1317=0,"",IF(Inputs!$B$10="","",IF($AH1317=0,G1316,SUMIFS(Data!$R$10:$R$3209,Data!$Q$10:$Q$3209,"&gt;="&amp;$A1317,Data!$Q$10:$Q$3209,"&lt;"&amp;$A1317+1)/$AH1317)))</f>
        <v/>
      </c>
      <c r="I1317" s="54">
        <f>IF($B1317=0,NA(),IF($C1317="",NA(),IF(C$8="",NA(),IF(N(C$8)=0,NA(),IF(Inputs!$C$17="Rebased to 100",$C1317/C$8*100,$C1317)))))</f>
        <v/>
      </c>
      <c r="J1317" s="54">
        <f>IF($B1317=0,NA(),IF($D1317="",NA(),IF(D$8="",NA(),IF(N(D$8)=0,NA(),IF(Inputs!$C$17="Rebased to 100",$D1317/D$8*100,$D1317)))))</f>
        <v/>
      </c>
      <c r="K1317" s="54">
        <f>IF($B1317=0,NA(),IF($E1317="",NA(),IF(E$8="",NA(),IF(N(E$8)=0,NA(),IF(Inputs!$C$17="Rebased to 100",$E1317/E$8*100,$E1317)))))</f>
        <v/>
      </c>
      <c r="L1317" s="54">
        <f>IF($B1317=0,NA(),IF($F1317="",NA(),IF(F$8="",NA(),IF(N(F$8)=0,NA(),IF(Inputs!$C$17="Rebased to 100",$F1317/F$8*100,$F1317)))))</f>
        <v/>
      </c>
      <c r="M1317" s="54">
        <f>IF($B1317=0,NA(),IF($G1317="",NA(),IF(G$8="",NA(),IF(N(G$8)=0,NA(),IF(Inputs!$C$17="Rebased to 100",$G1317/G$8*100,$G1317)))))</f>
        <v/>
      </c>
      <c r="N1317" s="54">
        <f>IF($B1317=0,NA(),IF(Inputs!$C$18&lt;&gt;"Yes",NA(),IF(COUNT(I1317,J1317,K1317,L1317,M1317)=0,NA(),MIN(I1317,J1317,K1317,L1317,M1317))))</f>
        <v/>
      </c>
      <c r="O1317" s="54">
        <f>IF($B1317=0,NA(),IF(Inputs!$B$24&lt;&gt;"Yes",NA(),Inputs!$D$24*Inputs!$C$35))</f>
        <v/>
      </c>
      <c r="P1317" s="54">
        <f>IF($B1317=0,NA(),IF(Inputs!$B$25&lt;&gt;"Yes",NA(),Inputs!$D$25*Inputs!$C$35))</f>
        <v/>
      </c>
      <c r="Q1317" s="54">
        <f>IF($B1317=0,NA(),IF(Inputs!$B$26&lt;&gt;"Yes",NA(),Inputs!$D$26*Inputs!$C$35))</f>
        <v/>
      </c>
      <c r="R1317" s="54">
        <f>IF($B1317=0,NA(),IF(Inputs!$B$27&lt;&gt;"Yes",NA(),Inputs!$D$27*Inputs!$C$35))</f>
        <v/>
      </c>
      <c r="S1317" s="54">
        <f>IF($B1317=0,NA(),IF(Inputs!$B$28&lt;&gt;"Yes",NA(),Inputs!$D$28*Inputs!$C$35))</f>
        <v/>
      </c>
      <c r="T1317" s="54">
        <f>IF($B1317=0,NA(),IF(Inputs!$B$29&lt;&gt;"Yes",NA(),Inputs!$D$29*Inputs!$C$35))</f>
        <v/>
      </c>
      <c r="AD1317">
        <f>IF($B1317=0,0,IF(Inputs!$B$6="",0,COUNTIFS(Data!$A$10:$A$3209,"&gt;="&amp;$A1317,Data!$A$10:$A$3209,"&lt;"&amp;$A1317+1)))</f>
        <v/>
      </c>
      <c r="AE1317">
        <f>IF($B1317=0,0,IF(Inputs!$B$7="",0,COUNTIFS(Data!$E$10:$E$3209,"&gt;="&amp;$A1317,Data!$E$10:$E$3209,"&lt;"&amp;$A1317+1)))</f>
        <v/>
      </c>
      <c r="AF1317">
        <f>IF($B1317=0,0,IF(Inputs!$B$8="",0,COUNTIFS(Data!$I$10:$I$3209,"&gt;="&amp;$A1317,Data!$I$10:$I$3209,"&lt;"&amp;$A1317+1)))</f>
        <v/>
      </c>
      <c r="AG1317">
        <f>IF($B1317=0,0,IF(Inputs!$B$9="",0,COUNTIFS(Data!$M$10:$M$3209,"&gt;="&amp;$A1317,Data!$M$10:$M$3209,"&lt;"&amp;$A1317+1)))</f>
        <v/>
      </c>
      <c r="AH1317">
        <f>IF($B1317=0,0,IF(Inputs!$B$10="",0,COUNTIFS(Data!$Q$10:$Q$3209,"&gt;="&amp;$A1317,Data!$Q$10:$Q$3209,"&lt;"&amp;$A1317+1)))</f>
        <v/>
      </c>
    </row>
    <row r="1318">
      <c r="A1318" s="55">
        <f>MIN(Inputs!$C$15,$A1317+IF(WEEKDAY($A1317,2)=5,3,1))</f>
        <v/>
      </c>
      <c r="B1318">
        <f>IF($A1318&gt;$A1317,1,0)</f>
        <v/>
      </c>
      <c r="C1318" s="56">
        <f>IF($B1318=0,"",IF(Inputs!$B$6="","",IF($AD1318=0,C1317,SUMIFS(Data!$B$10:$B$3209,Data!$A$10:$A$3209,"&gt;="&amp;$A1318,Data!$A$10:$A$3209,"&lt;"&amp;$A1318+1)/$AD1318)))</f>
        <v/>
      </c>
      <c r="D1318" s="56">
        <f>IF($B1318=0,"",IF(Inputs!$B$7="","",IF($AE1318=0,D1317,SUMIFS(Data!$F$10:$F$3209,Data!$E$10:$E$3209,"&gt;="&amp;$A1318,Data!$E$10:$E$3209,"&lt;"&amp;$A1318+1)/$AE1318)))</f>
        <v/>
      </c>
      <c r="E1318" s="56">
        <f>IF($B1318=0,"",IF(Inputs!$B$8="","",IF($AF1318=0,E1317,SUMIFS(Data!$J$10:$J$3209,Data!$I$10:$I$3209,"&gt;="&amp;$A1318,Data!$I$10:$I$3209,"&lt;"&amp;$A1318+1)/$AF1318)))</f>
        <v/>
      </c>
      <c r="F1318" s="56">
        <f>IF($B1318=0,"",IF(Inputs!$B$9="","",IF($AG1318=0,F1317,SUMIFS(Data!$N$10:$N$3209,Data!$M$10:$M$3209,"&gt;="&amp;$A1318,Data!$M$10:$M$3209,"&lt;"&amp;$A1318+1)/$AG1318)))</f>
        <v/>
      </c>
      <c r="G1318" s="56">
        <f>IF($B1318=0,"",IF(Inputs!$B$10="","",IF($AH1318=0,G1317,SUMIFS(Data!$R$10:$R$3209,Data!$Q$10:$Q$3209,"&gt;="&amp;$A1318,Data!$Q$10:$Q$3209,"&lt;"&amp;$A1318+1)/$AH1318)))</f>
        <v/>
      </c>
      <c r="I1318" s="54">
        <f>IF($B1318=0,NA(),IF($C1318="",NA(),IF(C$8="",NA(),IF(N(C$8)=0,NA(),IF(Inputs!$C$17="Rebased to 100",$C1318/C$8*100,$C1318)))))</f>
        <v/>
      </c>
      <c r="J1318" s="54">
        <f>IF($B1318=0,NA(),IF($D1318="",NA(),IF(D$8="",NA(),IF(N(D$8)=0,NA(),IF(Inputs!$C$17="Rebased to 100",$D1318/D$8*100,$D1318)))))</f>
        <v/>
      </c>
      <c r="K1318" s="54">
        <f>IF($B1318=0,NA(),IF($E1318="",NA(),IF(E$8="",NA(),IF(N(E$8)=0,NA(),IF(Inputs!$C$17="Rebased to 100",$E1318/E$8*100,$E1318)))))</f>
        <v/>
      </c>
      <c r="L1318" s="54">
        <f>IF($B1318=0,NA(),IF($F1318="",NA(),IF(F$8="",NA(),IF(N(F$8)=0,NA(),IF(Inputs!$C$17="Rebased to 100",$F1318/F$8*100,$F1318)))))</f>
        <v/>
      </c>
      <c r="M1318" s="54">
        <f>IF($B1318=0,NA(),IF($G1318="",NA(),IF(G$8="",NA(),IF(N(G$8)=0,NA(),IF(Inputs!$C$17="Rebased to 100",$G1318/G$8*100,$G1318)))))</f>
        <v/>
      </c>
      <c r="N1318" s="54">
        <f>IF($B1318=0,NA(),IF(Inputs!$C$18&lt;&gt;"Yes",NA(),IF(COUNT(I1318,J1318,K1318,L1318,M1318)=0,NA(),MIN(I1318,J1318,K1318,L1318,M1318))))</f>
        <v/>
      </c>
      <c r="O1318" s="54">
        <f>IF($B1318=0,NA(),IF(Inputs!$B$24&lt;&gt;"Yes",NA(),Inputs!$D$24*Inputs!$C$35))</f>
        <v/>
      </c>
      <c r="P1318" s="54">
        <f>IF($B1318=0,NA(),IF(Inputs!$B$25&lt;&gt;"Yes",NA(),Inputs!$D$25*Inputs!$C$35))</f>
        <v/>
      </c>
      <c r="Q1318" s="54">
        <f>IF($B1318=0,NA(),IF(Inputs!$B$26&lt;&gt;"Yes",NA(),Inputs!$D$26*Inputs!$C$35))</f>
        <v/>
      </c>
      <c r="R1318" s="54">
        <f>IF($B1318=0,NA(),IF(Inputs!$B$27&lt;&gt;"Yes",NA(),Inputs!$D$27*Inputs!$C$35))</f>
        <v/>
      </c>
      <c r="S1318" s="54">
        <f>IF($B1318=0,NA(),IF(Inputs!$B$28&lt;&gt;"Yes",NA(),Inputs!$D$28*Inputs!$C$35))</f>
        <v/>
      </c>
      <c r="T1318" s="54">
        <f>IF($B1318=0,NA(),IF(Inputs!$B$29&lt;&gt;"Yes",NA(),Inputs!$D$29*Inputs!$C$35))</f>
        <v/>
      </c>
      <c r="AD1318">
        <f>IF($B1318=0,0,IF(Inputs!$B$6="",0,COUNTIFS(Data!$A$10:$A$3209,"&gt;="&amp;$A1318,Data!$A$10:$A$3209,"&lt;"&amp;$A1318+1)))</f>
        <v/>
      </c>
      <c r="AE1318">
        <f>IF($B1318=0,0,IF(Inputs!$B$7="",0,COUNTIFS(Data!$E$10:$E$3209,"&gt;="&amp;$A1318,Data!$E$10:$E$3209,"&lt;"&amp;$A1318+1)))</f>
        <v/>
      </c>
      <c r="AF1318">
        <f>IF($B1318=0,0,IF(Inputs!$B$8="",0,COUNTIFS(Data!$I$10:$I$3209,"&gt;="&amp;$A1318,Data!$I$10:$I$3209,"&lt;"&amp;$A1318+1)))</f>
        <v/>
      </c>
      <c r="AG1318">
        <f>IF($B1318=0,0,IF(Inputs!$B$9="",0,COUNTIFS(Data!$M$10:$M$3209,"&gt;="&amp;$A1318,Data!$M$10:$M$3209,"&lt;"&amp;$A1318+1)))</f>
        <v/>
      </c>
      <c r="AH1318">
        <f>IF($B1318=0,0,IF(Inputs!$B$10="",0,COUNTIFS(Data!$Q$10:$Q$3209,"&gt;="&amp;$A1318,Data!$Q$10:$Q$3209,"&lt;"&amp;$A1318+1)))</f>
        <v/>
      </c>
    </row>
    <row r="1319">
      <c r="A1319" s="55">
        <f>MIN(Inputs!$C$15,$A1318+IF(WEEKDAY($A1318,2)=5,3,1))</f>
        <v/>
      </c>
      <c r="B1319">
        <f>IF($A1319&gt;$A1318,1,0)</f>
        <v/>
      </c>
      <c r="C1319" s="56">
        <f>IF($B1319=0,"",IF(Inputs!$B$6="","",IF($AD1319=0,C1318,SUMIFS(Data!$B$10:$B$3209,Data!$A$10:$A$3209,"&gt;="&amp;$A1319,Data!$A$10:$A$3209,"&lt;"&amp;$A1319+1)/$AD1319)))</f>
        <v/>
      </c>
      <c r="D1319" s="56">
        <f>IF($B1319=0,"",IF(Inputs!$B$7="","",IF($AE1319=0,D1318,SUMIFS(Data!$F$10:$F$3209,Data!$E$10:$E$3209,"&gt;="&amp;$A1319,Data!$E$10:$E$3209,"&lt;"&amp;$A1319+1)/$AE1319)))</f>
        <v/>
      </c>
      <c r="E1319" s="56">
        <f>IF($B1319=0,"",IF(Inputs!$B$8="","",IF($AF1319=0,E1318,SUMIFS(Data!$J$10:$J$3209,Data!$I$10:$I$3209,"&gt;="&amp;$A1319,Data!$I$10:$I$3209,"&lt;"&amp;$A1319+1)/$AF1319)))</f>
        <v/>
      </c>
      <c r="F1319" s="56">
        <f>IF($B1319=0,"",IF(Inputs!$B$9="","",IF($AG1319=0,F1318,SUMIFS(Data!$N$10:$N$3209,Data!$M$10:$M$3209,"&gt;="&amp;$A1319,Data!$M$10:$M$3209,"&lt;"&amp;$A1319+1)/$AG1319)))</f>
        <v/>
      </c>
      <c r="G1319" s="56">
        <f>IF($B1319=0,"",IF(Inputs!$B$10="","",IF($AH1319=0,G1318,SUMIFS(Data!$R$10:$R$3209,Data!$Q$10:$Q$3209,"&gt;="&amp;$A1319,Data!$Q$10:$Q$3209,"&lt;"&amp;$A1319+1)/$AH1319)))</f>
        <v/>
      </c>
      <c r="I1319" s="54">
        <f>IF($B1319=0,NA(),IF($C1319="",NA(),IF(C$8="",NA(),IF(N(C$8)=0,NA(),IF(Inputs!$C$17="Rebased to 100",$C1319/C$8*100,$C1319)))))</f>
        <v/>
      </c>
      <c r="J1319" s="54">
        <f>IF($B1319=0,NA(),IF($D1319="",NA(),IF(D$8="",NA(),IF(N(D$8)=0,NA(),IF(Inputs!$C$17="Rebased to 100",$D1319/D$8*100,$D1319)))))</f>
        <v/>
      </c>
      <c r="K1319" s="54">
        <f>IF($B1319=0,NA(),IF($E1319="",NA(),IF(E$8="",NA(),IF(N(E$8)=0,NA(),IF(Inputs!$C$17="Rebased to 100",$E1319/E$8*100,$E1319)))))</f>
        <v/>
      </c>
      <c r="L1319" s="54">
        <f>IF($B1319=0,NA(),IF($F1319="",NA(),IF(F$8="",NA(),IF(N(F$8)=0,NA(),IF(Inputs!$C$17="Rebased to 100",$F1319/F$8*100,$F1319)))))</f>
        <v/>
      </c>
      <c r="M1319" s="54">
        <f>IF($B1319=0,NA(),IF($G1319="",NA(),IF(G$8="",NA(),IF(N(G$8)=0,NA(),IF(Inputs!$C$17="Rebased to 100",$G1319/G$8*100,$G1319)))))</f>
        <v/>
      </c>
      <c r="N1319" s="54">
        <f>IF($B1319=0,NA(),IF(Inputs!$C$18&lt;&gt;"Yes",NA(),IF(COUNT(I1319,J1319,K1319,L1319,M1319)=0,NA(),MIN(I1319,J1319,K1319,L1319,M1319))))</f>
        <v/>
      </c>
      <c r="O1319" s="54">
        <f>IF($B1319=0,NA(),IF(Inputs!$B$24&lt;&gt;"Yes",NA(),Inputs!$D$24*Inputs!$C$35))</f>
        <v/>
      </c>
      <c r="P1319" s="54">
        <f>IF($B1319=0,NA(),IF(Inputs!$B$25&lt;&gt;"Yes",NA(),Inputs!$D$25*Inputs!$C$35))</f>
        <v/>
      </c>
      <c r="Q1319" s="54">
        <f>IF($B1319=0,NA(),IF(Inputs!$B$26&lt;&gt;"Yes",NA(),Inputs!$D$26*Inputs!$C$35))</f>
        <v/>
      </c>
      <c r="R1319" s="54">
        <f>IF($B1319=0,NA(),IF(Inputs!$B$27&lt;&gt;"Yes",NA(),Inputs!$D$27*Inputs!$C$35))</f>
        <v/>
      </c>
      <c r="S1319" s="54">
        <f>IF($B1319=0,NA(),IF(Inputs!$B$28&lt;&gt;"Yes",NA(),Inputs!$D$28*Inputs!$C$35))</f>
        <v/>
      </c>
      <c r="T1319" s="54">
        <f>IF($B1319=0,NA(),IF(Inputs!$B$29&lt;&gt;"Yes",NA(),Inputs!$D$29*Inputs!$C$35))</f>
        <v/>
      </c>
      <c r="AD1319">
        <f>IF($B1319=0,0,IF(Inputs!$B$6="",0,COUNTIFS(Data!$A$10:$A$3209,"&gt;="&amp;$A1319,Data!$A$10:$A$3209,"&lt;"&amp;$A1319+1)))</f>
        <v/>
      </c>
      <c r="AE1319">
        <f>IF($B1319=0,0,IF(Inputs!$B$7="",0,COUNTIFS(Data!$E$10:$E$3209,"&gt;="&amp;$A1319,Data!$E$10:$E$3209,"&lt;"&amp;$A1319+1)))</f>
        <v/>
      </c>
      <c r="AF1319">
        <f>IF($B1319=0,0,IF(Inputs!$B$8="",0,COUNTIFS(Data!$I$10:$I$3209,"&gt;="&amp;$A1319,Data!$I$10:$I$3209,"&lt;"&amp;$A1319+1)))</f>
        <v/>
      </c>
      <c r="AG1319">
        <f>IF($B1319=0,0,IF(Inputs!$B$9="",0,COUNTIFS(Data!$M$10:$M$3209,"&gt;="&amp;$A1319,Data!$M$10:$M$3209,"&lt;"&amp;$A1319+1)))</f>
        <v/>
      </c>
      <c r="AH1319">
        <f>IF($B1319=0,0,IF(Inputs!$B$10="",0,COUNTIFS(Data!$Q$10:$Q$3209,"&gt;="&amp;$A1319,Data!$Q$10:$Q$3209,"&lt;"&amp;$A1319+1)))</f>
        <v/>
      </c>
    </row>
    <row r="1320">
      <c r="A1320" s="55">
        <f>MIN(Inputs!$C$15,$A1319+IF(WEEKDAY($A1319,2)=5,3,1))</f>
        <v/>
      </c>
      <c r="B1320">
        <f>IF($A1320&gt;$A1319,1,0)</f>
        <v/>
      </c>
      <c r="C1320" s="56">
        <f>IF($B1320=0,"",IF(Inputs!$B$6="","",IF($AD1320=0,C1319,SUMIFS(Data!$B$10:$B$3209,Data!$A$10:$A$3209,"&gt;="&amp;$A1320,Data!$A$10:$A$3209,"&lt;"&amp;$A1320+1)/$AD1320)))</f>
        <v/>
      </c>
      <c r="D1320" s="56">
        <f>IF($B1320=0,"",IF(Inputs!$B$7="","",IF($AE1320=0,D1319,SUMIFS(Data!$F$10:$F$3209,Data!$E$10:$E$3209,"&gt;="&amp;$A1320,Data!$E$10:$E$3209,"&lt;"&amp;$A1320+1)/$AE1320)))</f>
        <v/>
      </c>
      <c r="E1320" s="56">
        <f>IF($B1320=0,"",IF(Inputs!$B$8="","",IF($AF1320=0,E1319,SUMIFS(Data!$J$10:$J$3209,Data!$I$10:$I$3209,"&gt;="&amp;$A1320,Data!$I$10:$I$3209,"&lt;"&amp;$A1320+1)/$AF1320)))</f>
        <v/>
      </c>
      <c r="F1320" s="56">
        <f>IF($B1320=0,"",IF(Inputs!$B$9="","",IF($AG1320=0,F1319,SUMIFS(Data!$N$10:$N$3209,Data!$M$10:$M$3209,"&gt;="&amp;$A1320,Data!$M$10:$M$3209,"&lt;"&amp;$A1320+1)/$AG1320)))</f>
        <v/>
      </c>
      <c r="G1320" s="56">
        <f>IF($B1320=0,"",IF(Inputs!$B$10="","",IF($AH1320=0,G1319,SUMIFS(Data!$R$10:$R$3209,Data!$Q$10:$Q$3209,"&gt;="&amp;$A1320,Data!$Q$10:$Q$3209,"&lt;"&amp;$A1320+1)/$AH1320)))</f>
        <v/>
      </c>
      <c r="I1320" s="54">
        <f>IF($B1320=0,NA(),IF($C1320="",NA(),IF(C$8="",NA(),IF(N(C$8)=0,NA(),IF(Inputs!$C$17="Rebased to 100",$C1320/C$8*100,$C1320)))))</f>
        <v/>
      </c>
      <c r="J1320" s="54">
        <f>IF($B1320=0,NA(),IF($D1320="",NA(),IF(D$8="",NA(),IF(N(D$8)=0,NA(),IF(Inputs!$C$17="Rebased to 100",$D1320/D$8*100,$D1320)))))</f>
        <v/>
      </c>
      <c r="K1320" s="54">
        <f>IF($B1320=0,NA(),IF($E1320="",NA(),IF(E$8="",NA(),IF(N(E$8)=0,NA(),IF(Inputs!$C$17="Rebased to 100",$E1320/E$8*100,$E1320)))))</f>
        <v/>
      </c>
      <c r="L1320" s="54">
        <f>IF($B1320=0,NA(),IF($F1320="",NA(),IF(F$8="",NA(),IF(N(F$8)=0,NA(),IF(Inputs!$C$17="Rebased to 100",$F1320/F$8*100,$F1320)))))</f>
        <v/>
      </c>
      <c r="M1320" s="54">
        <f>IF($B1320=0,NA(),IF($G1320="",NA(),IF(G$8="",NA(),IF(N(G$8)=0,NA(),IF(Inputs!$C$17="Rebased to 100",$G1320/G$8*100,$G1320)))))</f>
        <v/>
      </c>
      <c r="N1320" s="54">
        <f>IF($B1320=0,NA(),IF(Inputs!$C$18&lt;&gt;"Yes",NA(),IF(COUNT(I1320,J1320,K1320,L1320,M1320)=0,NA(),MIN(I1320,J1320,K1320,L1320,M1320))))</f>
        <v/>
      </c>
      <c r="O1320" s="54">
        <f>IF($B1320=0,NA(),IF(Inputs!$B$24&lt;&gt;"Yes",NA(),Inputs!$D$24*Inputs!$C$35))</f>
        <v/>
      </c>
      <c r="P1320" s="54">
        <f>IF($B1320=0,NA(),IF(Inputs!$B$25&lt;&gt;"Yes",NA(),Inputs!$D$25*Inputs!$C$35))</f>
        <v/>
      </c>
      <c r="Q1320" s="54">
        <f>IF($B1320=0,NA(),IF(Inputs!$B$26&lt;&gt;"Yes",NA(),Inputs!$D$26*Inputs!$C$35))</f>
        <v/>
      </c>
      <c r="R1320" s="54">
        <f>IF($B1320=0,NA(),IF(Inputs!$B$27&lt;&gt;"Yes",NA(),Inputs!$D$27*Inputs!$C$35))</f>
        <v/>
      </c>
      <c r="S1320" s="54">
        <f>IF($B1320=0,NA(),IF(Inputs!$B$28&lt;&gt;"Yes",NA(),Inputs!$D$28*Inputs!$C$35))</f>
        <v/>
      </c>
      <c r="T1320" s="54">
        <f>IF($B1320=0,NA(),IF(Inputs!$B$29&lt;&gt;"Yes",NA(),Inputs!$D$29*Inputs!$C$35))</f>
        <v/>
      </c>
      <c r="AD1320">
        <f>IF($B1320=0,0,IF(Inputs!$B$6="",0,COUNTIFS(Data!$A$10:$A$3209,"&gt;="&amp;$A1320,Data!$A$10:$A$3209,"&lt;"&amp;$A1320+1)))</f>
        <v/>
      </c>
      <c r="AE1320">
        <f>IF($B1320=0,0,IF(Inputs!$B$7="",0,COUNTIFS(Data!$E$10:$E$3209,"&gt;="&amp;$A1320,Data!$E$10:$E$3209,"&lt;"&amp;$A1320+1)))</f>
        <v/>
      </c>
      <c r="AF1320">
        <f>IF($B1320=0,0,IF(Inputs!$B$8="",0,COUNTIFS(Data!$I$10:$I$3209,"&gt;="&amp;$A1320,Data!$I$10:$I$3209,"&lt;"&amp;$A1320+1)))</f>
        <v/>
      </c>
      <c r="AG1320">
        <f>IF($B1320=0,0,IF(Inputs!$B$9="",0,COUNTIFS(Data!$M$10:$M$3209,"&gt;="&amp;$A1320,Data!$M$10:$M$3209,"&lt;"&amp;$A1320+1)))</f>
        <v/>
      </c>
      <c r="AH1320">
        <f>IF($B1320=0,0,IF(Inputs!$B$10="",0,COUNTIFS(Data!$Q$10:$Q$3209,"&gt;="&amp;$A1320,Data!$Q$10:$Q$3209,"&lt;"&amp;$A1320+1)))</f>
        <v/>
      </c>
    </row>
    <row r="1321">
      <c r="A1321" s="55">
        <f>MIN(Inputs!$C$15,$A1320+IF(WEEKDAY($A1320,2)=5,3,1))</f>
        <v/>
      </c>
      <c r="B1321">
        <f>IF($A1321&gt;$A1320,1,0)</f>
        <v/>
      </c>
      <c r="C1321" s="56">
        <f>IF($B1321=0,"",IF(Inputs!$B$6="","",IF($AD1321=0,C1320,SUMIFS(Data!$B$10:$B$3209,Data!$A$10:$A$3209,"&gt;="&amp;$A1321,Data!$A$10:$A$3209,"&lt;"&amp;$A1321+1)/$AD1321)))</f>
        <v/>
      </c>
      <c r="D1321" s="56">
        <f>IF($B1321=0,"",IF(Inputs!$B$7="","",IF($AE1321=0,D1320,SUMIFS(Data!$F$10:$F$3209,Data!$E$10:$E$3209,"&gt;="&amp;$A1321,Data!$E$10:$E$3209,"&lt;"&amp;$A1321+1)/$AE1321)))</f>
        <v/>
      </c>
      <c r="E1321" s="56">
        <f>IF($B1321=0,"",IF(Inputs!$B$8="","",IF($AF1321=0,E1320,SUMIFS(Data!$J$10:$J$3209,Data!$I$10:$I$3209,"&gt;="&amp;$A1321,Data!$I$10:$I$3209,"&lt;"&amp;$A1321+1)/$AF1321)))</f>
        <v/>
      </c>
      <c r="F1321" s="56">
        <f>IF($B1321=0,"",IF(Inputs!$B$9="","",IF($AG1321=0,F1320,SUMIFS(Data!$N$10:$N$3209,Data!$M$10:$M$3209,"&gt;="&amp;$A1321,Data!$M$10:$M$3209,"&lt;"&amp;$A1321+1)/$AG1321)))</f>
        <v/>
      </c>
      <c r="G1321" s="56">
        <f>IF($B1321=0,"",IF(Inputs!$B$10="","",IF($AH1321=0,G1320,SUMIFS(Data!$R$10:$R$3209,Data!$Q$10:$Q$3209,"&gt;="&amp;$A1321,Data!$Q$10:$Q$3209,"&lt;"&amp;$A1321+1)/$AH1321)))</f>
        <v/>
      </c>
      <c r="I1321" s="54">
        <f>IF($B1321=0,NA(),IF($C1321="",NA(),IF(C$8="",NA(),IF(N(C$8)=0,NA(),IF(Inputs!$C$17="Rebased to 100",$C1321/C$8*100,$C1321)))))</f>
        <v/>
      </c>
      <c r="J1321" s="54">
        <f>IF($B1321=0,NA(),IF($D1321="",NA(),IF(D$8="",NA(),IF(N(D$8)=0,NA(),IF(Inputs!$C$17="Rebased to 100",$D1321/D$8*100,$D1321)))))</f>
        <v/>
      </c>
      <c r="K1321" s="54">
        <f>IF($B1321=0,NA(),IF($E1321="",NA(),IF(E$8="",NA(),IF(N(E$8)=0,NA(),IF(Inputs!$C$17="Rebased to 100",$E1321/E$8*100,$E1321)))))</f>
        <v/>
      </c>
      <c r="L1321" s="54">
        <f>IF($B1321=0,NA(),IF($F1321="",NA(),IF(F$8="",NA(),IF(N(F$8)=0,NA(),IF(Inputs!$C$17="Rebased to 100",$F1321/F$8*100,$F1321)))))</f>
        <v/>
      </c>
      <c r="M1321" s="54">
        <f>IF($B1321=0,NA(),IF($G1321="",NA(),IF(G$8="",NA(),IF(N(G$8)=0,NA(),IF(Inputs!$C$17="Rebased to 100",$G1321/G$8*100,$G1321)))))</f>
        <v/>
      </c>
      <c r="N1321" s="54">
        <f>IF($B1321=0,NA(),IF(Inputs!$C$18&lt;&gt;"Yes",NA(),IF(COUNT(I1321,J1321,K1321,L1321,M1321)=0,NA(),MIN(I1321,J1321,K1321,L1321,M1321))))</f>
        <v/>
      </c>
      <c r="O1321" s="54">
        <f>IF($B1321=0,NA(),IF(Inputs!$B$24&lt;&gt;"Yes",NA(),Inputs!$D$24*Inputs!$C$35))</f>
        <v/>
      </c>
      <c r="P1321" s="54">
        <f>IF($B1321=0,NA(),IF(Inputs!$B$25&lt;&gt;"Yes",NA(),Inputs!$D$25*Inputs!$C$35))</f>
        <v/>
      </c>
      <c r="Q1321" s="54">
        <f>IF($B1321=0,NA(),IF(Inputs!$B$26&lt;&gt;"Yes",NA(),Inputs!$D$26*Inputs!$C$35))</f>
        <v/>
      </c>
      <c r="R1321" s="54">
        <f>IF($B1321=0,NA(),IF(Inputs!$B$27&lt;&gt;"Yes",NA(),Inputs!$D$27*Inputs!$C$35))</f>
        <v/>
      </c>
      <c r="S1321" s="54">
        <f>IF($B1321=0,NA(),IF(Inputs!$B$28&lt;&gt;"Yes",NA(),Inputs!$D$28*Inputs!$C$35))</f>
        <v/>
      </c>
      <c r="T1321" s="54">
        <f>IF($B1321=0,NA(),IF(Inputs!$B$29&lt;&gt;"Yes",NA(),Inputs!$D$29*Inputs!$C$35))</f>
        <v/>
      </c>
      <c r="AD1321">
        <f>IF($B1321=0,0,IF(Inputs!$B$6="",0,COUNTIFS(Data!$A$10:$A$3209,"&gt;="&amp;$A1321,Data!$A$10:$A$3209,"&lt;"&amp;$A1321+1)))</f>
        <v/>
      </c>
      <c r="AE1321">
        <f>IF($B1321=0,0,IF(Inputs!$B$7="",0,COUNTIFS(Data!$E$10:$E$3209,"&gt;="&amp;$A1321,Data!$E$10:$E$3209,"&lt;"&amp;$A1321+1)))</f>
        <v/>
      </c>
      <c r="AF1321">
        <f>IF($B1321=0,0,IF(Inputs!$B$8="",0,COUNTIFS(Data!$I$10:$I$3209,"&gt;="&amp;$A1321,Data!$I$10:$I$3209,"&lt;"&amp;$A1321+1)))</f>
        <v/>
      </c>
      <c r="AG1321">
        <f>IF($B1321=0,0,IF(Inputs!$B$9="",0,COUNTIFS(Data!$M$10:$M$3209,"&gt;="&amp;$A1321,Data!$M$10:$M$3209,"&lt;"&amp;$A1321+1)))</f>
        <v/>
      </c>
      <c r="AH1321">
        <f>IF($B1321=0,0,IF(Inputs!$B$10="",0,COUNTIFS(Data!$Q$10:$Q$3209,"&gt;="&amp;$A1321,Data!$Q$10:$Q$3209,"&lt;"&amp;$A1321+1)))</f>
        <v/>
      </c>
    </row>
    <row r="1322">
      <c r="A1322" s="55">
        <f>MIN(Inputs!$C$15,$A1321+IF(WEEKDAY($A1321,2)=5,3,1))</f>
        <v/>
      </c>
      <c r="B1322">
        <f>IF($A1322&gt;$A1321,1,0)</f>
        <v/>
      </c>
      <c r="C1322" s="56">
        <f>IF($B1322=0,"",IF(Inputs!$B$6="","",IF($AD1322=0,C1321,SUMIFS(Data!$B$10:$B$3209,Data!$A$10:$A$3209,"&gt;="&amp;$A1322,Data!$A$10:$A$3209,"&lt;"&amp;$A1322+1)/$AD1322)))</f>
        <v/>
      </c>
      <c r="D1322" s="56">
        <f>IF($B1322=0,"",IF(Inputs!$B$7="","",IF($AE1322=0,D1321,SUMIFS(Data!$F$10:$F$3209,Data!$E$10:$E$3209,"&gt;="&amp;$A1322,Data!$E$10:$E$3209,"&lt;"&amp;$A1322+1)/$AE1322)))</f>
        <v/>
      </c>
      <c r="E1322" s="56">
        <f>IF($B1322=0,"",IF(Inputs!$B$8="","",IF($AF1322=0,E1321,SUMIFS(Data!$J$10:$J$3209,Data!$I$10:$I$3209,"&gt;="&amp;$A1322,Data!$I$10:$I$3209,"&lt;"&amp;$A1322+1)/$AF1322)))</f>
        <v/>
      </c>
      <c r="F1322" s="56">
        <f>IF($B1322=0,"",IF(Inputs!$B$9="","",IF($AG1322=0,F1321,SUMIFS(Data!$N$10:$N$3209,Data!$M$10:$M$3209,"&gt;="&amp;$A1322,Data!$M$10:$M$3209,"&lt;"&amp;$A1322+1)/$AG1322)))</f>
        <v/>
      </c>
      <c r="G1322" s="56">
        <f>IF($B1322=0,"",IF(Inputs!$B$10="","",IF($AH1322=0,G1321,SUMIFS(Data!$R$10:$R$3209,Data!$Q$10:$Q$3209,"&gt;="&amp;$A1322,Data!$Q$10:$Q$3209,"&lt;"&amp;$A1322+1)/$AH1322)))</f>
        <v/>
      </c>
      <c r="I1322" s="54">
        <f>IF($B1322=0,NA(),IF($C1322="",NA(),IF(C$8="",NA(),IF(N(C$8)=0,NA(),IF(Inputs!$C$17="Rebased to 100",$C1322/C$8*100,$C1322)))))</f>
        <v/>
      </c>
      <c r="J1322" s="54">
        <f>IF($B1322=0,NA(),IF($D1322="",NA(),IF(D$8="",NA(),IF(N(D$8)=0,NA(),IF(Inputs!$C$17="Rebased to 100",$D1322/D$8*100,$D1322)))))</f>
        <v/>
      </c>
      <c r="K1322" s="54">
        <f>IF($B1322=0,NA(),IF($E1322="",NA(),IF(E$8="",NA(),IF(N(E$8)=0,NA(),IF(Inputs!$C$17="Rebased to 100",$E1322/E$8*100,$E1322)))))</f>
        <v/>
      </c>
      <c r="L1322" s="54">
        <f>IF($B1322=0,NA(),IF($F1322="",NA(),IF(F$8="",NA(),IF(N(F$8)=0,NA(),IF(Inputs!$C$17="Rebased to 100",$F1322/F$8*100,$F1322)))))</f>
        <v/>
      </c>
      <c r="M1322" s="54">
        <f>IF($B1322=0,NA(),IF($G1322="",NA(),IF(G$8="",NA(),IF(N(G$8)=0,NA(),IF(Inputs!$C$17="Rebased to 100",$G1322/G$8*100,$G1322)))))</f>
        <v/>
      </c>
      <c r="N1322" s="54">
        <f>IF($B1322=0,NA(),IF(Inputs!$C$18&lt;&gt;"Yes",NA(),IF(COUNT(I1322,J1322,K1322,L1322,M1322)=0,NA(),MIN(I1322,J1322,K1322,L1322,M1322))))</f>
        <v/>
      </c>
      <c r="O1322" s="54">
        <f>IF($B1322=0,NA(),IF(Inputs!$B$24&lt;&gt;"Yes",NA(),Inputs!$D$24*Inputs!$C$35))</f>
        <v/>
      </c>
      <c r="P1322" s="54">
        <f>IF($B1322=0,NA(),IF(Inputs!$B$25&lt;&gt;"Yes",NA(),Inputs!$D$25*Inputs!$C$35))</f>
        <v/>
      </c>
      <c r="Q1322" s="54">
        <f>IF($B1322=0,NA(),IF(Inputs!$B$26&lt;&gt;"Yes",NA(),Inputs!$D$26*Inputs!$C$35))</f>
        <v/>
      </c>
      <c r="R1322" s="54">
        <f>IF($B1322=0,NA(),IF(Inputs!$B$27&lt;&gt;"Yes",NA(),Inputs!$D$27*Inputs!$C$35))</f>
        <v/>
      </c>
      <c r="S1322" s="54">
        <f>IF($B1322=0,NA(),IF(Inputs!$B$28&lt;&gt;"Yes",NA(),Inputs!$D$28*Inputs!$C$35))</f>
        <v/>
      </c>
      <c r="T1322" s="54">
        <f>IF($B1322=0,NA(),IF(Inputs!$B$29&lt;&gt;"Yes",NA(),Inputs!$D$29*Inputs!$C$35))</f>
        <v/>
      </c>
      <c r="AD1322">
        <f>IF($B1322=0,0,IF(Inputs!$B$6="",0,COUNTIFS(Data!$A$10:$A$3209,"&gt;="&amp;$A1322,Data!$A$10:$A$3209,"&lt;"&amp;$A1322+1)))</f>
        <v/>
      </c>
      <c r="AE1322">
        <f>IF($B1322=0,0,IF(Inputs!$B$7="",0,COUNTIFS(Data!$E$10:$E$3209,"&gt;="&amp;$A1322,Data!$E$10:$E$3209,"&lt;"&amp;$A1322+1)))</f>
        <v/>
      </c>
      <c r="AF1322">
        <f>IF($B1322=0,0,IF(Inputs!$B$8="",0,COUNTIFS(Data!$I$10:$I$3209,"&gt;="&amp;$A1322,Data!$I$10:$I$3209,"&lt;"&amp;$A1322+1)))</f>
        <v/>
      </c>
      <c r="AG1322">
        <f>IF($B1322=0,0,IF(Inputs!$B$9="",0,COUNTIFS(Data!$M$10:$M$3209,"&gt;="&amp;$A1322,Data!$M$10:$M$3209,"&lt;"&amp;$A1322+1)))</f>
        <v/>
      </c>
      <c r="AH1322">
        <f>IF($B1322=0,0,IF(Inputs!$B$10="",0,COUNTIFS(Data!$Q$10:$Q$3209,"&gt;="&amp;$A1322,Data!$Q$10:$Q$3209,"&lt;"&amp;$A1322+1)))</f>
        <v/>
      </c>
    </row>
    <row r="1323">
      <c r="A1323" s="55">
        <f>MIN(Inputs!$C$15,$A1322+IF(WEEKDAY($A1322,2)=5,3,1))</f>
        <v/>
      </c>
      <c r="B1323">
        <f>IF($A1323&gt;$A1322,1,0)</f>
        <v/>
      </c>
      <c r="C1323" s="56">
        <f>IF($B1323=0,"",IF(Inputs!$B$6="","",IF($AD1323=0,C1322,SUMIFS(Data!$B$10:$B$3209,Data!$A$10:$A$3209,"&gt;="&amp;$A1323,Data!$A$10:$A$3209,"&lt;"&amp;$A1323+1)/$AD1323)))</f>
        <v/>
      </c>
      <c r="D1323" s="56">
        <f>IF($B1323=0,"",IF(Inputs!$B$7="","",IF($AE1323=0,D1322,SUMIFS(Data!$F$10:$F$3209,Data!$E$10:$E$3209,"&gt;="&amp;$A1323,Data!$E$10:$E$3209,"&lt;"&amp;$A1323+1)/$AE1323)))</f>
        <v/>
      </c>
      <c r="E1323" s="56">
        <f>IF($B1323=0,"",IF(Inputs!$B$8="","",IF($AF1323=0,E1322,SUMIFS(Data!$J$10:$J$3209,Data!$I$10:$I$3209,"&gt;="&amp;$A1323,Data!$I$10:$I$3209,"&lt;"&amp;$A1323+1)/$AF1323)))</f>
        <v/>
      </c>
      <c r="F1323" s="56">
        <f>IF($B1323=0,"",IF(Inputs!$B$9="","",IF($AG1323=0,F1322,SUMIFS(Data!$N$10:$N$3209,Data!$M$10:$M$3209,"&gt;="&amp;$A1323,Data!$M$10:$M$3209,"&lt;"&amp;$A1323+1)/$AG1323)))</f>
        <v/>
      </c>
      <c r="G1323" s="56">
        <f>IF($B1323=0,"",IF(Inputs!$B$10="","",IF($AH1323=0,G1322,SUMIFS(Data!$R$10:$R$3209,Data!$Q$10:$Q$3209,"&gt;="&amp;$A1323,Data!$Q$10:$Q$3209,"&lt;"&amp;$A1323+1)/$AH1323)))</f>
        <v/>
      </c>
      <c r="I1323" s="54">
        <f>IF($B1323=0,NA(),IF($C1323="",NA(),IF(C$8="",NA(),IF(N(C$8)=0,NA(),IF(Inputs!$C$17="Rebased to 100",$C1323/C$8*100,$C1323)))))</f>
        <v/>
      </c>
      <c r="J1323" s="54">
        <f>IF($B1323=0,NA(),IF($D1323="",NA(),IF(D$8="",NA(),IF(N(D$8)=0,NA(),IF(Inputs!$C$17="Rebased to 100",$D1323/D$8*100,$D1323)))))</f>
        <v/>
      </c>
      <c r="K1323" s="54">
        <f>IF($B1323=0,NA(),IF($E1323="",NA(),IF(E$8="",NA(),IF(N(E$8)=0,NA(),IF(Inputs!$C$17="Rebased to 100",$E1323/E$8*100,$E1323)))))</f>
        <v/>
      </c>
      <c r="L1323" s="54">
        <f>IF($B1323=0,NA(),IF($F1323="",NA(),IF(F$8="",NA(),IF(N(F$8)=0,NA(),IF(Inputs!$C$17="Rebased to 100",$F1323/F$8*100,$F1323)))))</f>
        <v/>
      </c>
      <c r="M1323" s="54">
        <f>IF($B1323=0,NA(),IF($G1323="",NA(),IF(G$8="",NA(),IF(N(G$8)=0,NA(),IF(Inputs!$C$17="Rebased to 100",$G1323/G$8*100,$G1323)))))</f>
        <v/>
      </c>
      <c r="N1323" s="54">
        <f>IF($B1323=0,NA(),IF(Inputs!$C$18&lt;&gt;"Yes",NA(),IF(COUNT(I1323,J1323,K1323,L1323,M1323)=0,NA(),MIN(I1323,J1323,K1323,L1323,M1323))))</f>
        <v/>
      </c>
      <c r="O1323" s="54">
        <f>IF($B1323=0,NA(),IF(Inputs!$B$24&lt;&gt;"Yes",NA(),Inputs!$D$24*Inputs!$C$35))</f>
        <v/>
      </c>
      <c r="P1323" s="54">
        <f>IF($B1323=0,NA(),IF(Inputs!$B$25&lt;&gt;"Yes",NA(),Inputs!$D$25*Inputs!$C$35))</f>
        <v/>
      </c>
      <c r="Q1323" s="54">
        <f>IF($B1323=0,NA(),IF(Inputs!$B$26&lt;&gt;"Yes",NA(),Inputs!$D$26*Inputs!$C$35))</f>
        <v/>
      </c>
      <c r="R1323" s="54">
        <f>IF($B1323=0,NA(),IF(Inputs!$B$27&lt;&gt;"Yes",NA(),Inputs!$D$27*Inputs!$C$35))</f>
        <v/>
      </c>
      <c r="S1323" s="54">
        <f>IF($B1323=0,NA(),IF(Inputs!$B$28&lt;&gt;"Yes",NA(),Inputs!$D$28*Inputs!$C$35))</f>
        <v/>
      </c>
      <c r="T1323" s="54">
        <f>IF($B1323=0,NA(),IF(Inputs!$B$29&lt;&gt;"Yes",NA(),Inputs!$D$29*Inputs!$C$35))</f>
        <v/>
      </c>
      <c r="AD1323">
        <f>IF($B1323=0,0,IF(Inputs!$B$6="",0,COUNTIFS(Data!$A$10:$A$3209,"&gt;="&amp;$A1323,Data!$A$10:$A$3209,"&lt;"&amp;$A1323+1)))</f>
        <v/>
      </c>
      <c r="AE1323">
        <f>IF($B1323=0,0,IF(Inputs!$B$7="",0,COUNTIFS(Data!$E$10:$E$3209,"&gt;="&amp;$A1323,Data!$E$10:$E$3209,"&lt;"&amp;$A1323+1)))</f>
        <v/>
      </c>
      <c r="AF1323">
        <f>IF($B1323=0,0,IF(Inputs!$B$8="",0,COUNTIFS(Data!$I$10:$I$3209,"&gt;="&amp;$A1323,Data!$I$10:$I$3209,"&lt;"&amp;$A1323+1)))</f>
        <v/>
      </c>
      <c r="AG1323">
        <f>IF($B1323=0,0,IF(Inputs!$B$9="",0,COUNTIFS(Data!$M$10:$M$3209,"&gt;="&amp;$A1323,Data!$M$10:$M$3209,"&lt;"&amp;$A1323+1)))</f>
        <v/>
      </c>
      <c r="AH1323">
        <f>IF($B1323=0,0,IF(Inputs!$B$10="",0,COUNTIFS(Data!$Q$10:$Q$3209,"&gt;="&amp;$A1323,Data!$Q$10:$Q$3209,"&lt;"&amp;$A1323+1)))</f>
        <v/>
      </c>
    </row>
    <row r="1324">
      <c r="A1324" s="55">
        <f>MIN(Inputs!$C$15,$A1323+IF(WEEKDAY($A1323,2)=5,3,1))</f>
        <v/>
      </c>
      <c r="B1324">
        <f>IF($A1324&gt;$A1323,1,0)</f>
        <v/>
      </c>
      <c r="C1324" s="56">
        <f>IF($B1324=0,"",IF(Inputs!$B$6="","",IF($AD1324=0,C1323,SUMIFS(Data!$B$10:$B$3209,Data!$A$10:$A$3209,"&gt;="&amp;$A1324,Data!$A$10:$A$3209,"&lt;"&amp;$A1324+1)/$AD1324)))</f>
        <v/>
      </c>
      <c r="D1324" s="56">
        <f>IF($B1324=0,"",IF(Inputs!$B$7="","",IF($AE1324=0,D1323,SUMIFS(Data!$F$10:$F$3209,Data!$E$10:$E$3209,"&gt;="&amp;$A1324,Data!$E$10:$E$3209,"&lt;"&amp;$A1324+1)/$AE1324)))</f>
        <v/>
      </c>
      <c r="E1324" s="56">
        <f>IF($B1324=0,"",IF(Inputs!$B$8="","",IF($AF1324=0,E1323,SUMIFS(Data!$J$10:$J$3209,Data!$I$10:$I$3209,"&gt;="&amp;$A1324,Data!$I$10:$I$3209,"&lt;"&amp;$A1324+1)/$AF1324)))</f>
        <v/>
      </c>
      <c r="F1324" s="56">
        <f>IF($B1324=0,"",IF(Inputs!$B$9="","",IF($AG1324=0,F1323,SUMIFS(Data!$N$10:$N$3209,Data!$M$10:$M$3209,"&gt;="&amp;$A1324,Data!$M$10:$M$3209,"&lt;"&amp;$A1324+1)/$AG1324)))</f>
        <v/>
      </c>
      <c r="G1324" s="56">
        <f>IF($B1324=0,"",IF(Inputs!$B$10="","",IF($AH1324=0,G1323,SUMIFS(Data!$R$10:$R$3209,Data!$Q$10:$Q$3209,"&gt;="&amp;$A1324,Data!$Q$10:$Q$3209,"&lt;"&amp;$A1324+1)/$AH1324)))</f>
        <v/>
      </c>
      <c r="I1324" s="54">
        <f>IF($B1324=0,NA(),IF($C1324="",NA(),IF(C$8="",NA(),IF(N(C$8)=0,NA(),IF(Inputs!$C$17="Rebased to 100",$C1324/C$8*100,$C1324)))))</f>
        <v/>
      </c>
      <c r="J1324" s="54">
        <f>IF($B1324=0,NA(),IF($D1324="",NA(),IF(D$8="",NA(),IF(N(D$8)=0,NA(),IF(Inputs!$C$17="Rebased to 100",$D1324/D$8*100,$D1324)))))</f>
        <v/>
      </c>
      <c r="K1324" s="54">
        <f>IF($B1324=0,NA(),IF($E1324="",NA(),IF(E$8="",NA(),IF(N(E$8)=0,NA(),IF(Inputs!$C$17="Rebased to 100",$E1324/E$8*100,$E1324)))))</f>
        <v/>
      </c>
      <c r="L1324" s="54">
        <f>IF($B1324=0,NA(),IF($F1324="",NA(),IF(F$8="",NA(),IF(N(F$8)=0,NA(),IF(Inputs!$C$17="Rebased to 100",$F1324/F$8*100,$F1324)))))</f>
        <v/>
      </c>
      <c r="M1324" s="54">
        <f>IF($B1324=0,NA(),IF($G1324="",NA(),IF(G$8="",NA(),IF(N(G$8)=0,NA(),IF(Inputs!$C$17="Rebased to 100",$G1324/G$8*100,$G1324)))))</f>
        <v/>
      </c>
      <c r="N1324" s="54">
        <f>IF($B1324=0,NA(),IF(Inputs!$C$18&lt;&gt;"Yes",NA(),IF(COUNT(I1324,J1324,K1324,L1324,M1324)=0,NA(),MIN(I1324,J1324,K1324,L1324,M1324))))</f>
        <v/>
      </c>
      <c r="O1324" s="54">
        <f>IF($B1324=0,NA(),IF(Inputs!$B$24&lt;&gt;"Yes",NA(),Inputs!$D$24*Inputs!$C$35))</f>
        <v/>
      </c>
      <c r="P1324" s="54">
        <f>IF($B1324=0,NA(),IF(Inputs!$B$25&lt;&gt;"Yes",NA(),Inputs!$D$25*Inputs!$C$35))</f>
        <v/>
      </c>
      <c r="Q1324" s="54">
        <f>IF($B1324=0,NA(),IF(Inputs!$B$26&lt;&gt;"Yes",NA(),Inputs!$D$26*Inputs!$C$35))</f>
        <v/>
      </c>
      <c r="R1324" s="54">
        <f>IF($B1324=0,NA(),IF(Inputs!$B$27&lt;&gt;"Yes",NA(),Inputs!$D$27*Inputs!$C$35))</f>
        <v/>
      </c>
      <c r="S1324" s="54">
        <f>IF($B1324=0,NA(),IF(Inputs!$B$28&lt;&gt;"Yes",NA(),Inputs!$D$28*Inputs!$C$35))</f>
        <v/>
      </c>
      <c r="T1324" s="54">
        <f>IF($B1324=0,NA(),IF(Inputs!$B$29&lt;&gt;"Yes",NA(),Inputs!$D$29*Inputs!$C$35))</f>
        <v/>
      </c>
      <c r="AD1324">
        <f>IF($B1324=0,0,IF(Inputs!$B$6="",0,COUNTIFS(Data!$A$10:$A$3209,"&gt;="&amp;$A1324,Data!$A$10:$A$3209,"&lt;"&amp;$A1324+1)))</f>
        <v/>
      </c>
      <c r="AE1324">
        <f>IF($B1324=0,0,IF(Inputs!$B$7="",0,COUNTIFS(Data!$E$10:$E$3209,"&gt;="&amp;$A1324,Data!$E$10:$E$3209,"&lt;"&amp;$A1324+1)))</f>
        <v/>
      </c>
      <c r="AF1324">
        <f>IF($B1324=0,0,IF(Inputs!$B$8="",0,COUNTIFS(Data!$I$10:$I$3209,"&gt;="&amp;$A1324,Data!$I$10:$I$3209,"&lt;"&amp;$A1324+1)))</f>
        <v/>
      </c>
      <c r="AG1324">
        <f>IF($B1324=0,0,IF(Inputs!$B$9="",0,COUNTIFS(Data!$M$10:$M$3209,"&gt;="&amp;$A1324,Data!$M$10:$M$3209,"&lt;"&amp;$A1324+1)))</f>
        <v/>
      </c>
      <c r="AH1324">
        <f>IF($B1324=0,0,IF(Inputs!$B$10="",0,COUNTIFS(Data!$Q$10:$Q$3209,"&gt;="&amp;$A1324,Data!$Q$10:$Q$3209,"&lt;"&amp;$A1324+1)))</f>
        <v/>
      </c>
    </row>
    <row r="1325">
      <c r="A1325" s="55">
        <f>MIN(Inputs!$C$15,$A1324+IF(WEEKDAY($A1324,2)=5,3,1))</f>
        <v/>
      </c>
      <c r="B1325">
        <f>IF($A1325&gt;$A1324,1,0)</f>
        <v/>
      </c>
      <c r="C1325" s="56">
        <f>IF($B1325=0,"",IF(Inputs!$B$6="","",IF($AD1325=0,C1324,SUMIFS(Data!$B$10:$B$3209,Data!$A$10:$A$3209,"&gt;="&amp;$A1325,Data!$A$10:$A$3209,"&lt;"&amp;$A1325+1)/$AD1325)))</f>
        <v/>
      </c>
      <c r="D1325" s="56">
        <f>IF($B1325=0,"",IF(Inputs!$B$7="","",IF($AE1325=0,D1324,SUMIFS(Data!$F$10:$F$3209,Data!$E$10:$E$3209,"&gt;="&amp;$A1325,Data!$E$10:$E$3209,"&lt;"&amp;$A1325+1)/$AE1325)))</f>
        <v/>
      </c>
      <c r="E1325" s="56">
        <f>IF($B1325=0,"",IF(Inputs!$B$8="","",IF($AF1325=0,E1324,SUMIFS(Data!$J$10:$J$3209,Data!$I$10:$I$3209,"&gt;="&amp;$A1325,Data!$I$10:$I$3209,"&lt;"&amp;$A1325+1)/$AF1325)))</f>
        <v/>
      </c>
      <c r="F1325" s="56">
        <f>IF($B1325=0,"",IF(Inputs!$B$9="","",IF($AG1325=0,F1324,SUMIFS(Data!$N$10:$N$3209,Data!$M$10:$M$3209,"&gt;="&amp;$A1325,Data!$M$10:$M$3209,"&lt;"&amp;$A1325+1)/$AG1325)))</f>
        <v/>
      </c>
      <c r="G1325" s="56">
        <f>IF($B1325=0,"",IF(Inputs!$B$10="","",IF($AH1325=0,G1324,SUMIFS(Data!$R$10:$R$3209,Data!$Q$10:$Q$3209,"&gt;="&amp;$A1325,Data!$Q$10:$Q$3209,"&lt;"&amp;$A1325+1)/$AH1325)))</f>
        <v/>
      </c>
      <c r="I1325" s="54">
        <f>IF($B1325=0,NA(),IF($C1325="",NA(),IF(C$8="",NA(),IF(N(C$8)=0,NA(),IF(Inputs!$C$17="Rebased to 100",$C1325/C$8*100,$C1325)))))</f>
        <v/>
      </c>
      <c r="J1325" s="54">
        <f>IF($B1325=0,NA(),IF($D1325="",NA(),IF(D$8="",NA(),IF(N(D$8)=0,NA(),IF(Inputs!$C$17="Rebased to 100",$D1325/D$8*100,$D1325)))))</f>
        <v/>
      </c>
      <c r="K1325" s="54">
        <f>IF($B1325=0,NA(),IF($E1325="",NA(),IF(E$8="",NA(),IF(N(E$8)=0,NA(),IF(Inputs!$C$17="Rebased to 100",$E1325/E$8*100,$E1325)))))</f>
        <v/>
      </c>
      <c r="L1325" s="54">
        <f>IF($B1325=0,NA(),IF($F1325="",NA(),IF(F$8="",NA(),IF(N(F$8)=0,NA(),IF(Inputs!$C$17="Rebased to 100",$F1325/F$8*100,$F1325)))))</f>
        <v/>
      </c>
      <c r="M1325" s="54">
        <f>IF($B1325=0,NA(),IF($G1325="",NA(),IF(G$8="",NA(),IF(N(G$8)=0,NA(),IF(Inputs!$C$17="Rebased to 100",$G1325/G$8*100,$G1325)))))</f>
        <v/>
      </c>
      <c r="N1325" s="54">
        <f>IF($B1325=0,NA(),IF(Inputs!$C$18&lt;&gt;"Yes",NA(),IF(COUNT(I1325,J1325,K1325,L1325,M1325)=0,NA(),MIN(I1325,J1325,K1325,L1325,M1325))))</f>
        <v/>
      </c>
      <c r="O1325" s="54">
        <f>IF($B1325=0,NA(),IF(Inputs!$B$24&lt;&gt;"Yes",NA(),Inputs!$D$24*Inputs!$C$35))</f>
        <v/>
      </c>
      <c r="P1325" s="54">
        <f>IF($B1325=0,NA(),IF(Inputs!$B$25&lt;&gt;"Yes",NA(),Inputs!$D$25*Inputs!$C$35))</f>
        <v/>
      </c>
      <c r="Q1325" s="54">
        <f>IF($B1325=0,NA(),IF(Inputs!$B$26&lt;&gt;"Yes",NA(),Inputs!$D$26*Inputs!$C$35))</f>
        <v/>
      </c>
      <c r="R1325" s="54">
        <f>IF($B1325=0,NA(),IF(Inputs!$B$27&lt;&gt;"Yes",NA(),Inputs!$D$27*Inputs!$C$35))</f>
        <v/>
      </c>
      <c r="S1325" s="54">
        <f>IF($B1325=0,NA(),IF(Inputs!$B$28&lt;&gt;"Yes",NA(),Inputs!$D$28*Inputs!$C$35))</f>
        <v/>
      </c>
      <c r="T1325" s="54">
        <f>IF($B1325=0,NA(),IF(Inputs!$B$29&lt;&gt;"Yes",NA(),Inputs!$D$29*Inputs!$C$35))</f>
        <v/>
      </c>
      <c r="AD1325">
        <f>IF($B1325=0,0,IF(Inputs!$B$6="",0,COUNTIFS(Data!$A$10:$A$3209,"&gt;="&amp;$A1325,Data!$A$10:$A$3209,"&lt;"&amp;$A1325+1)))</f>
        <v/>
      </c>
      <c r="AE1325">
        <f>IF($B1325=0,0,IF(Inputs!$B$7="",0,COUNTIFS(Data!$E$10:$E$3209,"&gt;="&amp;$A1325,Data!$E$10:$E$3209,"&lt;"&amp;$A1325+1)))</f>
        <v/>
      </c>
      <c r="AF1325">
        <f>IF($B1325=0,0,IF(Inputs!$B$8="",0,COUNTIFS(Data!$I$10:$I$3209,"&gt;="&amp;$A1325,Data!$I$10:$I$3209,"&lt;"&amp;$A1325+1)))</f>
        <v/>
      </c>
      <c r="AG1325">
        <f>IF($B1325=0,0,IF(Inputs!$B$9="",0,COUNTIFS(Data!$M$10:$M$3209,"&gt;="&amp;$A1325,Data!$M$10:$M$3209,"&lt;"&amp;$A1325+1)))</f>
        <v/>
      </c>
      <c r="AH1325">
        <f>IF($B1325=0,0,IF(Inputs!$B$10="",0,COUNTIFS(Data!$Q$10:$Q$3209,"&gt;="&amp;$A1325,Data!$Q$10:$Q$3209,"&lt;"&amp;$A1325+1)))</f>
        <v/>
      </c>
    </row>
    <row r="1326">
      <c r="A1326" s="55">
        <f>MIN(Inputs!$C$15,$A1325+IF(WEEKDAY($A1325,2)=5,3,1))</f>
        <v/>
      </c>
      <c r="B1326">
        <f>IF($A1326&gt;$A1325,1,0)</f>
        <v/>
      </c>
      <c r="C1326" s="56">
        <f>IF($B1326=0,"",IF(Inputs!$B$6="","",IF($AD1326=0,C1325,SUMIFS(Data!$B$10:$B$3209,Data!$A$10:$A$3209,"&gt;="&amp;$A1326,Data!$A$10:$A$3209,"&lt;"&amp;$A1326+1)/$AD1326)))</f>
        <v/>
      </c>
      <c r="D1326" s="56">
        <f>IF($B1326=0,"",IF(Inputs!$B$7="","",IF($AE1326=0,D1325,SUMIFS(Data!$F$10:$F$3209,Data!$E$10:$E$3209,"&gt;="&amp;$A1326,Data!$E$10:$E$3209,"&lt;"&amp;$A1326+1)/$AE1326)))</f>
        <v/>
      </c>
      <c r="E1326" s="56">
        <f>IF($B1326=0,"",IF(Inputs!$B$8="","",IF($AF1326=0,E1325,SUMIFS(Data!$J$10:$J$3209,Data!$I$10:$I$3209,"&gt;="&amp;$A1326,Data!$I$10:$I$3209,"&lt;"&amp;$A1326+1)/$AF1326)))</f>
        <v/>
      </c>
      <c r="F1326" s="56">
        <f>IF($B1326=0,"",IF(Inputs!$B$9="","",IF($AG1326=0,F1325,SUMIFS(Data!$N$10:$N$3209,Data!$M$10:$M$3209,"&gt;="&amp;$A1326,Data!$M$10:$M$3209,"&lt;"&amp;$A1326+1)/$AG1326)))</f>
        <v/>
      </c>
      <c r="G1326" s="56">
        <f>IF($B1326=0,"",IF(Inputs!$B$10="","",IF($AH1326=0,G1325,SUMIFS(Data!$R$10:$R$3209,Data!$Q$10:$Q$3209,"&gt;="&amp;$A1326,Data!$Q$10:$Q$3209,"&lt;"&amp;$A1326+1)/$AH1326)))</f>
        <v/>
      </c>
      <c r="I1326" s="54">
        <f>IF($B1326=0,NA(),IF($C1326="",NA(),IF(C$8="",NA(),IF(N(C$8)=0,NA(),IF(Inputs!$C$17="Rebased to 100",$C1326/C$8*100,$C1326)))))</f>
        <v/>
      </c>
      <c r="J1326" s="54">
        <f>IF($B1326=0,NA(),IF($D1326="",NA(),IF(D$8="",NA(),IF(N(D$8)=0,NA(),IF(Inputs!$C$17="Rebased to 100",$D1326/D$8*100,$D1326)))))</f>
        <v/>
      </c>
      <c r="K1326" s="54">
        <f>IF($B1326=0,NA(),IF($E1326="",NA(),IF(E$8="",NA(),IF(N(E$8)=0,NA(),IF(Inputs!$C$17="Rebased to 100",$E1326/E$8*100,$E1326)))))</f>
        <v/>
      </c>
      <c r="L1326" s="54">
        <f>IF($B1326=0,NA(),IF($F1326="",NA(),IF(F$8="",NA(),IF(N(F$8)=0,NA(),IF(Inputs!$C$17="Rebased to 100",$F1326/F$8*100,$F1326)))))</f>
        <v/>
      </c>
      <c r="M1326" s="54">
        <f>IF($B1326=0,NA(),IF($G1326="",NA(),IF(G$8="",NA(),IF(N(G$8)=0,NA(),IF(Inputs!$C$17="Rebased to 100",$G1326/G$8*100,$G1326)))))</f>
        <v/>
      </c>
      <c r="N1326" s="54">
        <f>IF($B1326=0,NA(),IF(Inputs!$C$18&lt;&gt;"Yes",NA(),IF(COUNT(I1326,J1326,K1326,L1326,M1326)=0,NA(),MIN(I1326,J1326,K1326,L1326,M1326))))</f>
        <v/>
      </c>
      <c r="O1326" s="54">
        <f>IF($B1326=0,NA(),IF(Inputs!$B$24&lt;&gt;"Yes",NA(),Inputs!$D$24*Inputs!$C$35))</f>
        <v/>
      </c>
      <c r="P1326" s="54">
        <f>IF($B1326=0,NA(),IF(Inputs!$B$25&lt;&gt;"Yes",NA(),Inputs!$D$25*Inputs!$C$35))</f>
        <v/>
      </c>
      <c r="Q1326" s="54">
        <f>IF($B1326=0,NA(),IF(Inputs!$B$26&lt;&gt;"Yes",NA(),Inputs!$D$26*Inputs!$C$35))</f>
        <v/>
      </c>
      <c r="R1326" s="54">
        <f>IF($B1326=0,NA(),IF(Inputs!$B$27&lt;&gt;"Yes",NA(),Inputs!$D$27*Inputs!$C$35))</f>
        <v/>
      </c>
      <c r="S1326" s="54">
        <f>IF($B1326=0,NA(),IF(Inputs!$B$28&lt;&gt;"Yes",NA(),Inputs!$D$28*Inputs!$C$35))</f>
        <v/>
      </c>
      <c r="T1326" s="54">
        <f>IF($B1326=0,NA(),IF(Inputs!$B$29&lt;&gt;"Yes",NA(),Inputs!$D$29*Inputs!$C$35))</f>
        <v/>
      </c>
      <c r="AD1326">
        <f>IF($B1326=0,0,IF(Inputs!$B$6="",0,COUNTIFS(Data!$A$10:$A$3209,"&gt;="&amp;$A1326,Data!$A$10:$A$3209,"&lt;"&amp;$A1326+1)))</f>
        <v/>
      </c>
      <c r="AE1326">
        <f>IF($B1326=0,0,IF(Inputs!$B$7="",0,COUNTIFS(Data!$E$10:$E$3209,"&gt;="&amp;$A1326,Data!$E$10:$E$3209,"&lt;"&amp;$A1326+1)))</f>
        <v/>
      </c>
      <c r="AF1326">
        <f>IF($B1326=0,0,IF(Inputs!$B$8="",0,COUNTIFS(Data!$I$10:$I$3209,"&gt;="&amp;$A1326,Data!$I$10:$I$3209,"&lt;"&amp;$A1326+1)))</f>
        <v/>
      </c>
      <c r="AG1326">
        <f>IF($B1326=0,0,IF(Inputs!$B$9="",0,COUNTIFS(Data!$M$10:$M$3209,"&gt;="&amp;$A1326,Data!$M$10:$M$3209,"&lt;"&amp;$A1326+1)))</f>
        <v/>
      </c>
      <c r="AH1326">
        <f>IF($B1326=0,0,IF(Inputs!$B$10="",0,COUNTIFS(Data!$Q$10:$Q$3209,"&gt;="&amp;$A1326,Data!$Q$10:$Q$3209,"&lt;"&amp;$A1326+1)))</f>
        <v/>
      </c>
    </row>
    <row r="1327">
      <c r="A1327" s="55">
        <f>MIN(Inputs!$C$15,$A1326+IF(WEEKDAY($A1326,2)=5,3,1))</f>
        <v/>
      </c>
      <c r="B1327">
        <f>IF($A1327&gt;$A1326,1,0)</f>
        <v/>
      </c>
      <c r="C1327" s="56">
        <f>IF($B1327=0,"",IF(Inputs!$B$6="","",IF($AD1327=0,C1326,SUMIFS(Data!$B$10:$B$3209,Data!$A$10:$A$3209,"&gt;="&amp;$A1327,Data!$A$10:$A$3209,"&lt;"&amp;$A1327+1)/$AD1327)))</f>
        <v/>
      </c>
      <c r="D1327" s="56">
        <f>IF($B1327=0,"",IF(Inputs!$B$7="","",IF($AE1327=0,D1326,SUMIFS(Data!$F$10:$F$3209,Data!$E$10:$E$3209,"&gt;="&amp;$A1327,Data!$E$10:$E$3209,"&lt;"&amp;$A1327+1)/$AE1327)))</f>
        <v/>
      </c>
      <c r="E1327" s="56">
        <f>IF($B1327=0,"",IF(Inputs!$B$8="","",IF($AF1327=0,E1326,SUMIFS(Data!$J$10:$J$3209,Data!$I$10:$I$3209,"&gt;="&amp;$A1327,Data!$I$10:$I$3209,"&lt;"&amp;$A1327+1)/$AF1327)))</f>
        <v/>
      </c>
      <c r="F1327" s="56">
        <f>IF($B1327=0,"",IF(Inputs!$B$9="","",IF($AG1327=0,F1326,SUMIFS(Data!$N$10:$N$3209,Data!$M$10:$M$3209,"&gt;="&amp;$A1327,Data!$M$10:$M$3209,"&lt;"&amp;$A1327+1)/$AG1327)))</f>
        <v/>
      </c>
      <c r="G1327" s="56">
        <f>IF($B1327=0,"",IF(Inputs!$B$10="","",IF($AH1327=0,G1326,SUMIFS(Data!$R$10:$R$3209,Data!$Q$10:$Q$3209,"&gt;="&amp;$A1327,Data!$Q$10:$Q$3209,"&lt;"&amp;$A1327+1)/$AH1327)))</f>
        <v/>
      </c>
      <c r="I1327" s="54">
        <f>IF($B1327=0,NA(),IF($C1327="",NA(),IF(C$8="",NA(),IF(N(C$8)=0,NA(),IF(Inputs!$C$17="Rebased to 100",$C1327/C$8*100,$C1327)))))</f>
        <v/>
      </c>
      <c r="J1327" s="54">
        <f>IF($B1327=0,NA(),IF($D1327="",NA(),IF(D$8="",NA(),IF(N(D$8)=0,NA(),IF(Inputs!$C$17="Rebased to 100",$D1327/D$8*100,$D1327)))))</f>
        <v/>
      </c>
      <c r="K1327" s="54">
        <f>IF($B1327=0,NA(),IF($E1327="",NA(),IF(E$8="",NA(),IF(N(E$8)=0,NA(),IF(Inputs!$C$17="Rebased to 100",$E1327/E$8*100,$E1327)))))</f>
        <v/>
      </c>
      <c r="L1327" s="54">
        <f>IF($B1327=0,NA(),IF($F1327="",NA(),IF(F$8="",NA(),IF(N(F$8)=0,NA(),IF(Inputs!$C$17="Rebased to 100",$F1327/F$8*100,$F1327)))))</f>
        <v/>
      </c>
      <c r="M1327" s="54">
        <f>IF($B1327=0,NA(),IF($G1327="",NA(),IF(G$8="",NA(),IF(N(G$8)=0,NA(),IF(Inputs!$C$17="Rebased to 100",$G1327/G$8*100,$G1327)))))</f>
        <v/>
      </c>
      <c r="N1327" s="54">
        <f>IF($B1327=0,NA(),IF(Inputs!$C$18&lt;&gt;"Yes",NA(),IF(COUNT(I1327,J1327,K1327,L1327,M1327)=0,NA(),MIN(I1327,J1327,K1327,L1327,M1327))))</f>
        <v/>
      </c>
      <c r="O1327" s="54">
        <f>IF($B1327=0,NA(),IF(Inputs!$B$24&lt;&gt;"Yes",NA(),Inputs!$D$24*Inputs!$C$35))</f>
        <v/>
      </c>
      <c r="P1327" s="54">
        <f>IF($B1327=0,NA(),IF(Inputs!$B$25&lt;&gt;"Yes",NA(),Inputs!$D$25*Inputs!$C$35))</f>
        <v/>
      </c>
      <c r="Q1327" s="54">
        <f>IF($B1327=0,NA(),IF(Inputs!$B$26&lt;&gt;"Yes",NA(),Inputs!$D$26*Inputs!$C$35))</f>
        <v/>
      </c>
      <c r="R1327" s="54">
        <f>IF($B1327=0,NA(),IF(Inputs!$B$27&lt;&gt;"Yes",NA(),Inputs!$D$27*Inputs!$C$35))</f>
        <v/>
      </c>
      <c r="S1327" s="54">
        <f>IF($B1327=0,NA(),IF(Inputs!$B$28&lt;&gt;"Yes",NA(),Inputs!$D$28*Inputs!$C$35))</f>
        <v/>
      </c>
      <c r="T1327" s="54">
        <f>IF($B1327=0,NA(),IF(Inputs!$B$29&lt;&gt;"Yes",NA(),Inputs!$D$29*Inputs!$C$35))</f>
        <v/>
      </c>
      <c r="AD1327">
        <f>IF($B1327=0,0,IF(Inputs!$B$6="",0,COUNTIFS(Data!$A$10:$A$3209,"&gt;="&amp;$A1327,Data!$A$10:$A$3209,"&lt;"&amp;$A1327+1)))</f>
        <v/>
      </c>
      <c r="AE1327">
        <f>IF($B1327=0,0,IF(Inputs!$B$7="",0,COUNTIFS(Data!$E$10:$E$3209,"&gt;="&amp;$A1327,Data!$E$10:$E$3209,"&lt;"&amp;$A1327+1)))</f>
        <v/>
      </c>
      <c r="AF1327">
        <f>IF($B1327=0,0,IF(Inputs!$B$8="",0,COUNTIFS(Data!$I$10:$I$3209,"&gt;="&amp;$A1327,Data!$I$10:$I$3209,"&lt;"&amp;$A1327+1)))</f>
        <v/>
      </c>
      <c r="AG1327">
        <f>IF($B1327=0,0,IF(Inputs!$B$9="",0,COUNTIFS(Data!$M$10:$M$3209,"&gt;="&amp;$A1327,Data!$M$10:$M$3209,"&lt;"&amp;$A1327+1)))</f>
        <v/>
      </c>
      <c r="AH1327">
        <f>IF($B1327=0,0,IF(Inputs!$B$10="",0,COUNTIFS(Data!$Q$10:$Q$3209,"&gt;="&amp;$A1327,Data!$Q$10:$Q$3209,"&lt;"&amp;$A1327+1)))</f>
        <v/>
      </c>
    </row>
    <row r="1328">
      <c r="A1328" s="55">
        <f>MIN(Inputs!$C$15,$A1327+IF(WEEKDAY($A1327,2)=5,3,1))</f>
        <v/>
      </c>
      <c r="B1328">
        <f>IF($A1328&gt;$A1327,1,0)</f>
        <v/>
      </c>
      <c r="C1328" s="56">
        <f>IF($B1328=0,"",IF(Inputs!$B$6="","",IF($AD1328=0,C1327,SUMIFS(Data!$B$10:$B$3209,Data!$A$10:$A$3209,"&gt;="&amp;$A1328,Data!$A$10:$A$3209,"&lt;"&amp;$A1328+1)/$AD1328)))</f>
        <v/>
      </c>
      <c r="D1328" s="56">
        <f>IF($B1328=0,"",IF(Inputs!$B$7="","",IF($AE1328=0,D1327,SUMIFS(Data!$F$10:$F$3209,Data!$E$10:$E$3209,"&gt;="&amp;$A1328,Data!$E$10:$E$3209,"&lt;"&amp;$A1328+1)/$AE1328)))</f>
        <v/>
      </c>
      <c r="E1328" s="56">
        <f>IF($B1328=0,"",IF(Inputs!$B$8="","",IF($AF1328=0,E1327,SUMIFS(Data!$J$10:$J$3209,Data!$I$10:$I$3209,"&gt;="&amp;$A1328,Data!$I$10:$I$3209,"&lt;"&amp;$A1328+1)/$AF1328)))</f>
        <v/>
      </c>
      <c r="F1328" s="56">
        <f>IF($B1328=0,"",IF(Inputs!$B$9="","",IF($AG1328=0,F1327,SUMIFS(Data!$N$10:$N$3209,Data!$M$10:$M$3209,"&gt;="&amp;$A1328,Data!$M$10:$M$3209,"&lt;"&amp;$A1328+1)/$AG1328)))</f>
        <v/>
      </c>
      <c r="G1328" s="56">
        <f>IF($B1328=0,"",IF(Inputs!$B$10="","",IF($AH1328=0,G1327,SUMIFS(Data!$R$10:$R$3209,Data!$Q$10:$Q$3209,"&gt;="&amp;$A1328,Data!$Q$10:$Q$3209,"&lt;"&amp;$A1328+1)/$AH1328)))</f>
        <v/>
      </c>
      <c r="I1328" s="54">
        <f>IF($B1328=0,NA(),IF($C1328="",NA(),IF(C$8="",NA(),IF(N(C$8)=0,NA(),IF(Inputs!$C$17="Rebased to 100",$C1328/C$8*100,$C1328)))))</f>
        <v/>
      </c>
      <c r="J1328" s="54">
        <f>IF($B1328=0,NA(),IF($D1328="",NA(),IF(D$8="",NA(),IF(N(D$8)=0,NA(),IF(Inputs!$C$17="Rebased to 100",$D1328/D$8*100,$D1328)))))</f>
        <v/>
      </c>
      <c r="K1328" s="54">
        <f>IF($B1328=0,NA(),IF($E1328="",NA(),IF(E$8="",NA(),IF(N(E$8)=0,NA(),IF(Inputs!$C$17="Rebased to 100",$E1328/E$8*100,$E1328)))))</f>
        <v/>
      </c>
      <c r="L1328" s="54">
        <f>IF($B1328=0,NA(),IF($F1328="",NA(),IF(F$8="",NA(),IF(N(F$8)=0,NA(),IF(Inputs!$C$17="Rebased to 100",$F1328/F$8*100,$F1328)))))</f>
        <v/>
      </c>
      <c r="M1328" s="54">
        <f>IF($B1328=0,NA(),IF($G1328="",NA(),IF(G$8="",NA(),IF(N(G$8)=0,NA(),IF(Inputs!$C$17="Rebased to 100",$G1328/G$8*100,$G1328)))))</f>
        <v/>
      </c>
      <c r="N1328" s="54">
        <f>IF($B1328=0,NA(),IF(Inputs!$C$18&lt;&gt;"Yes",NA(),IF(COUNT(I1328,J1328,K1328,L1328,M1328)=0,NA(),MIN(I1328,J1328,K1328,L1328,M1328))))</f>
        <v/>
      </c>
      <c r="O1328" s="54">
        <f>IF($B1328=0,NA(),IF(Inputs!$B$24&lt;&gt;"Yes",NA(),Inputs!$D$24*Inputs!$C$35))</f>
        <v/>
      </c>
      <c r="P1328" s="54">
        <f>IF($B1328=0,NA(),IF(Inputs!$B$25&lt;&gt;"Yes",NA(),Inputs!$D$25*Inputs!$C$35))</f>
        <v/>
      </c>
      <c r="Q1328" s="54">
        <f>IF($B1328=0,NA(),IF(Inputs!$B$26&lt;&gt;"Yes",NA(),Inputs!$D$26*Inputs!$C$35))</f>
        <v/>
      </c>
      <c r="R1328" s="54">
        <f>IF($B1328=0,NA(),IF(Inputs!$B$27&lt;&gt;"Yes",NA(),Inputs!$D$27*Inputs!$C$35))</f>
        <v/>
      </c>
      <c r="S1328" s="54">
        <f>IF($B1328=0,NA(),IF(Inputs!$B$28&lt;&gt;"Yes",NA(),Inputs!$D$28*Inputs!$C$35))</f>
        <v/>
      </c>
      <c r="T1328" s="54">
        <f>IF($B1328=0,NA(),IF(Inputs!$B$29&lt;&gt;"Yes",NA(),Inputs!$D$29*Inputs!$C$35))</f>
        <v/>
      </c>
      <c r="AD1328">
        <f>IF($B1328=0,0,IF(Inputs!$B$6="",0,COUNTIFS(Data!$A$10:$A$3209,"&gt;="&amp;$A1328,Data!$A$10:$A$3209,"&lt;"&amp;$A1328+1)))</f>
        <v/>
      </c>
      <c r="AE1328">
        <f>IF($B1328=0,0,IF(Inputs!$B$7="",0,COUNTIFS(Data!$E$10:$E$3209,"&gt;="&amp;$A1328,Data!$E$10:$E$3209,"&lt;"&amp;$A1328+1)))</f>
        <v/>
      </c>
      <c r="AF1328">
        <f>IF($B1328=0,0,IF(Inputs!$B$8="",0,COUNTIFS(Data!$I$10:$I$3209,"&gt;="&amp;$A1328,Data!$I$10:$I$3209,"&lt;"&amp;$A1328+1)))</f>
        <v/>
      </c>
      <c r="AG1328">
        <f>IF($B1328=0,0,IF(Inputs!$B$9="",0,COUNTIFS(Data!$M$10:$M$3209,"&gt;="&amp;$A1328,Data!$M$10:$M$3209,"&lt;"&amp;$A1328+1)))</f>
        <v/>
      </c>
      <c r="AH1328">
        <f>IF($B1328=0,0,IF(Inputs!$B$10="",0,COUNTIFS(Data!$Q$10:$Q$3209,"&gt;="&amp;$A1328,Data!$Q$10:$Q$3209,"&lt;"&amp;$A1328+1)))</f>
        <v/>
      </c>
    </row>
    <row r="1329">
      <c r="A1329" s="55">
        <f>MIN(Inputs!$C$15,$A1328+IF(WEEKDAY($A1328,2)=5,3,1))</f>
        <v/>
      </c>
      <c r="B1329">
        <f>IF($A1329&gt;$A1328,1,0)</f>
        <v/>
      </c>
      <c r="C1329" s="56">
        <f>IF($B1329=0,"",IF(Inputs!$B$6="","",IF($AD1329=0,C1328,SUMIFS(Data!$B$10:$B$3209,Data!$A$10:$A$3209,"&gt;="&amp;$A1329,Data!$A$10:$A$3209,"&lt;"&amp;$A1329+1)/$AD1329)))</f>
        <v/>
      </c>
      <c r="D1329" s="56">
        <f>IF($B1329=0,"",IF(Inputs!$B$7="","",IF($AE1329=0,D1328,SUMIFS(Data!$F$10:$F$3209,Data!$E$10:$E$3209,"&gt;="&amp;$A1329,Data!$E$10:$E$3209,"&lt;"&amp;$A1329+1)/$AE1329)))</f>
        <v/>
      </c>
      <c r="E1329" s="56">
        <f>IF($B1329=0,"",IF(Inputs!$B$8="","",IF($AF1329=0,E1328,SUMIFS(Data!$J$10:$J$3209,Data!$I$10:$I$3209,"&gt;="&amp;$A1329,Data!$I$10:$I$3209,"&lt;"&amp;$A1329+1)/$AF1329)))</f>
        <v/>
      </c>
      <c r="F1329" s="56">
        <f>IF($B1329=0,"",IF(Inputs!$B$9="","",IF($AG1329=0,F1328,SUMIFS(Data!$N$10:$N$3209,Data!$M$10:$M$3209,"&gt;="&amp;$A1329,Data!$M$10:$M$3209,"&lt;"&amp;$A1329+1)/$AG1329)))</f>
        <v/>
      </c>
      <c r="G1329" s="56">
        <f>IF($B1329=0,"",IF(Inputs!$B$10="","",IF($AH1329=0,G1328,SUMIFS(Data!$R$10:$R$3209,Data!$Q$10:$Q$3209,"&gt;="&amp;$A1329,Data!$Q$10:$Q$3209,"&lt;"&amp;$A1329+1)/$AH1329)))</f>
        <v/>
      </c>
      <c r="I1329" s="54">
        <f>IF($B1329=0,NA(),IF($C1329="",NA(),IF(C$8="",NA(),IF(N(C$8)=0,NA(),IF(Inputs!$C$17="Rebased to 100",$C1329/C$8*100,$C1329)))))</f>
        <v/>
      </c>
      <c r="J1329" s="54">
        <f>IF($B1329=0,NA(),IF($D1329="",NA(),IF(D$8="",NA(),IF(N(D$8)=0,NA(),IF(Inputs!$C$17="Rebased to 100",$D1329/D$8*100,$D1329)))))</f>
        <v/>
      </c>
      <c r="K1329" s="54">
        <f>IF($B1329=0,NA(),IF($E1329="",NA(),IF(E$8="",NA(),IF(N(E$8)=0,NA(),IF(Inputs!$C$17="Rebased to 100",$E1329/E$8*100,$E1329)))))</f>
        <v/>
      </c>
      <c r="L1329" s="54">
        <f>IF($B1329=0,NA(),IF($F1329="",NA(),IF(F$8="",NA(),IF(N(F$8)=0,NA(),IF(Inputs!$C$17="Rebased to 100",$F1329/F$8*100,$F1329)))))</f>
        <v/>
      </c>
      <c r="M1329" s="54">
        <f>IF($B1329=0,NA(),IF($G1329="",NA(),IF(G$8="",NA(),IF(N(G$8)=0,NA(),IF(Inputs!$C$17="Rebased to 100",$G1329/G$8*100,$G1329)))))</f>
        <v/>
      </c>
      <c r="N1329" s="54">
        <f>IF($B1329=0,NA(),IF(Inputs!$C$18&lt;&gt;"Yes",NA(),IF(COUNT(I1329,J1329,K1329,L1329,M1329)=0,NA(),MIN(I1329,J1329,K1329,L1329,M1329))))</f>
        <v/>
      </c>
      <c r="O1329" s="54">
        <f>IF($B1329=0,NA(),IF(Inputs!$B$24&lt;&gt;"Yes",NA(),Inputs!$D$24*Inputs!$C$35))</f>
        <v/>
      </c>
      <c r="P1329" s="54">
        <f>IF($B1329=0,NA(),IF(Inputs!$B$25&lt;&gt;"Yes",NA(),Inputs!$D$25*Inputs!$C$35))</f>
        <v/>
      </c>
      <c r="Q1329" s="54">
        <f>IF($B1329=0,NA(),IF(Inputs!$B$26&lt;&gt;"Yes",NA(),Inputs!$D$26*Inputs!$C$35))</f>
        <v/>
      </c>
      <c r="R1329" s="54">
        <f>IF($B1329=0,NA(),IF(Inputs!$B$27&lt;&gt;"Yes",NA(),Inputs!$D$27*Inputs!$C$35))</f>
        <v/>
      </c>
      <c r="S1329" s="54">
        <f>IF($B1329=0,NA(),IF(Inputs!$B$28&lt;&gt;"Yes",NA(),Inputs!$D$28*Inputs!$C$35))</f>
        <v/>
      </c>
      <c r="T1329" s="54">
        <f>IF($B1329=0,NA(),IF(Inputs!$B$29&lt;&gt;"Yes",NA(),Inputs!$D$29*Inputs!$C$35))</f>
        <v/>
      </c>
      <c r="AD1329">
        <f>IF($B1329=0,0,IF(Inputs!$B$6="",0,COUNTIFS(Data!$A$10:$A$3209,"&gt;="&amp;$A1329,Data!$A$10:$A$3209,"&lt;"&amp;$A1329+1)))</f>
        <v/>
      </c>
      <c r="AE1329">
        <f>IF($B1329=0,0,IF(Inputs!$B$7="",0,COUNTIFS(Data!$E$10:$E$3209,"&gt;="&amp;$A1329,Data!$E$10:$E$3209,"&lt;"&amp;$A1329+1)))</f>
        <v/>
      </c>
      <c r="AF1329">
        <f>IF($B1329=0,0,IF(Inputs!$B$8="",0,COUNTIFS(Data!$I$10:$I$3209,"&gt;="&amp;$A1329,Data!$I$10:$I$3209,"&lt;"&amp;$A1329+1)))</f>
        <v/>
      </c>
      <c r="AG1329">
        <f>IF($B1329=0,0,IF(Inputs!$B$9="",0,COUNTIFS(Data!$M$10:$M$3209,"&gt;="&amp;$A1329,Data!$M$10:$M$3209,"&lt;"&amp;$A1329+1)))</f>
        <v/>
      </c>
      <c r="AH1329">
        <f>IF($B1329=0,0,IF(Inputs!$B$10="",0,COUNTIFS(Data!$Q$10:$Q$3209,"&gt;="&amp;$A1329,Data!$Q$10:$Q$3209,"&lt;"&amp;$A1329+1)))</f>
        <v/>
      </c>
    </row>
    <row r="1330">
      <c r="A1330" s="55">
        <f>MIN(Inputs!$C$15,$A1329+IF(WEEKDAY($A1329,2)=5,3,1))</f>
        <v/>
      </c>
      <c r="B1330">
        <f>IF($A1330&gt;$A1329,1,0)</f>
        <v/>
      </c>
      <c r="C1330" s="56">
        <f>IF($B1330=0,"",IF(Inputs!$B$6="","",IF($AD1330=0,C1329,SUMIFS(Data!$B$10:$B$3209,Data!$A$10:$A$3209,"&gt;="&amp;$A1330,Data!$A$10:$A$3209,"&lt;"&amp;$A1330+1)/$AD1330)))</f>
        <v/>
      </c>
      <c r="D1330" s="56">
        <f>IF($B1330=0,"",IF(Inputs!$B$7="","",IF($AE1330=0,D1329,SUMIFS(Data!$F$10:$F$3209,Data!$E$10:$E$3209,"&gt;="&amp;$A1330,Data!$E$10:$E$3209,"&lt;"&amp;$A1330+1)/$AE1330)))</f>
        <v/>
      </c>
      <c r="E1330" s="56">
        <f>IF($B1330=0,"",IF(Inputs!$B$8="","",IF($AF1330=0,E1329,SUMIFS(Data!$J$10:$J$3209,Data!$I$10:$I$3209,"&gt;="&amp;$A1330,Data!$I$10:$I$3209,"&lt;"&amp;$A1330+1)/$AF1330)))</f>
        <v/>
      </c>
      <c r="F1330" s="56">
        <f>IF($B1330=0,"",IF(Inputs!$B$9="","",IF($AG1330=0,F1329,SUMIFS(Data!$N$10:$N$3209,Data!$M$10:$M$3209,"&gt;="&amp;$A1330,Data!$M$10:$M$3209,"&lt;"&amp;$A1330+1)/$AG1330)))</f>
        <v/>
      </c>
      <c r="G1330" s="56">
        <f>IF($B1330=0,"",IF(Inputs!$B$10="","",IF($AH1330=0,G1329,SUMIFS(Data!$R$10:$R$3209,Data!$Q$10:$Q$3209,"&gt;="&amp;$A1330,Data!$Q$10:$Q$3209,"&lt;"&amp;$A1330+1)/$AH1330)))</f>
        <v/>
      </c>
      <c r="I1330" s="54">
        <f>IF($B1330=0,NA(),IF($C1330="",NA(),IF(C$8="",NA(),IF(N(C$8)=0,NA(),IF(Inputs!$C$17="Rebased to 100",$C1330/C$8*100,$C1330)))))</f>
        <v/>
      </c>
      <c r="J1330" s="54">
        <f>IF($B1330=0,NA(),IF($D1330="",NA(),IF(D$8="",NA(),IF(N(D$8)=0,NA(),IF(Inputs!$C$17="Rebased to 100",$D1330/D$8*100,$D1330)))))</f>
        <v/>
      </c>
      <c r="K1330" s="54">
        <f>IF($B1330=0,NA(),IF($E1330="",NA(),IF(E$8="",NA(),IF(N(E$8)=0,NA(),IF(Inputs!$C$17="Rebased to 100",$E1330/E$8*100,$E1330)))))</f>
        <v/>
      </c>
      <c r="L1330" s="54">
        <f>IF($B1330=0,NA(),IF($F1330="",NA(),IF(F$8="",NA(),IF(N(F$8)=0,NA(),IF(Inputs!$C$17="Rebased to 100",$F1330/F$8*100,$F1330)))))</f>
        <v/>
      </c>
      <c r="M1330" s="54">
        <f>IF($B1330=0,NA(),IF($G1330="",NA(),IF(G$8="",NA(),IF(N(G$8)=0,NA(),IF(Inputs!$C$17="Rebased to 100",$G1330/G$8*100,$G1330)))))</f>
        <v/>
      </c>
      <c r="N1330" s="54">
        <f>IF($B1330=0,NA(),IF(Inputs!$C$18&lt;&gt;"Yes",NA(),IF(COUNT(I1330,J1330,K1330,L1330,M1330)=0,NA(),MIN(I1330,J1330,K1330,L1330,M1330))))</f>
        <v/>
      </c>
      <c r="O1330" s="54">
        <f>IF($B1330=0,NA(),IF(Inputs!$B$24&lt;&gt;"Yes",NA(),Inputs!$D$24*Inputs!$C$35))</f>
        <v/>
      </c>
      <c r="P1330" s="54">
        <f>IF($B1330=0,NA(),IF(Inputs!$B$25&lt;&gt;"Yes",NA(),Inputs!$D$25*Inputs!$C$35))</f>
        <v/>
      </c>
      <c r="Q1330" s="54">
        <f>IF($B1330=0,NA(),IF(Inputs!$B$26&lt;&gt;"Yes",NA(),Inputs!$D$26*Inputs!$C$35))</f>
        <v/>
      </c>
      <c r="R1330" s="54">
        <f>IF($B1330=0,NA(),IF(Inputs!$B$27&lt;&gt;"Yes",NA(),Inputs!$D$27*Inputs!$C$35))</f>
        <v/>
      </c>
      <c r="S1330" s="54">
        <f>IF($B1330=0,NA(),IF(Inputs!$B$28&lt;&gt;"Yes",NA(),Inputs!$D$28*Inputs!$C$35))</f>
        <v/>
      </c>
      <c r="T1330" s="54">
        <f>IF($B1330=0,NA(),IF(Inputs!$B$29&lt;&gt;"Yes",NA(),Inputs!$D$29*Inputs!$C$35))</f>
        <v/>
      </c>
      <c r="AD1330">
        <f>IF($B1330=0,0,IF(Inputs!$B$6="",0,COUNTIFS(Data!$A$10:$A$3209,"&gt;="&amp;$A1330,Data!$A$10:$A$3209,"&lt;"&amp;$A1330+1)))</f>
        <v/>
      </c>
      <c r="AE1330">
        <f>IF($B1330=0,0,IF(Inputs!$B$7="",0,COUNTIFS(Data!$E$10:$E$3209,"&gt;="&amp;$A1330,Data!$E$10:$E$3209,"&lt;"&amp;$A1330+1)))</f>
        <v/>
      </c>
      <c r="AF1330">
        <f>IF($B1330=0,0,IF(Inputs!$B$8="",0,COUNTIFS(Data!$I$10:$I$3209,"&gt;="&amp;$A1330,Data!$I$10:$I$3209,"&lt;"&amp;$A1330+1)))</f>
        <v/>
      </c>
      <c r="AG1330">
        <f>IF($B1330=0,0,IF(Inputs!$B$9="",0,COUNTIFS(Data!$M$10:$M$3209,"&gt;="&amp;$A1330,Data!$M$10:$M$3209,"&lt;"&amp;$A1330+1)))</f>
        <v/>
      </c>
      <c r="AH1330">
        <f>IF($B1330=0,0,IF(Inputs!$B$10="",0,COUNTIFS(Data!$Q$10:$Q$3209,"&gt;="&amp;$A1330,Data!$Q$10:$Q$3209,"&lt;"&amp;$A1330+1)))</f>
        <v/>
      </c>
    </row>
    <row r="1331">
      <c r="A1331" s="55">
        <f>MIN(Inputs!$C$15,$A1330+IF(WEEKDAY($A1330,2)=5,3,1))</f>
        <v/>
      </c>
      <c r="B1331">
        <f>IF($A1331&gt;$A1330,1,0)</f>
        <v/>
      </c>
      <c r="C1331" s="56">
        <f>IF($B1331=0,"",IF(Inputs!$B$6="","",IF($AD1331=0,C1330,SUMIFS(Data!$B$10:$B$3209,Data!$A$10:$A$3209,"&gt;="&amp;$A1331,Data!$A$10:$A$3209,"&lt;"&amp;$A1331+1)/$AD1331)))</f>
        <v/>
      </c>
      <c r="D1331" s="56">
        <f>IF($B1331=0,"",IF(Inputs!$B$7="","",IF($AE1331=0,D1330,SUMIFS(Data!$F$10:$F$3209,Data!$E$10:$E$3209,"&gt;="&amp;$A1331,Data!$E$10:$E$3209,"&lt;"&amp;$A1331+1)/$AE1331)))</f>
        <v/>
      </c>
      <c r="E1331" s="56">
        <f>IF($B1331=0,"",IF(Inputs!$B$8="","",IF($AF1331=0,E1330,SUMIFS(Data!$J$10:$J$3209,Data!$I$10:$I$3209,"&gt;="&amp;$A1331,Data!$I$10:$I$3209,"&lt;"&amp;$A1331+1)/$AF1331)))</f>
        <v/>
      </c>
      <c r="F1331" s="56">
        <f>IF($B1331=0,"",IF(Inputs!$B$9="","",IF($AG1331=0,F1330,SUMIFS(Data!$N$10:$N$3209,Data!$M$10:$M$3209,"&gt;="&amp;$A1331,Data!$M$10:$M$3209,"&lt;"&amp;$A1331+1)/$AG1331)))</f>
        <v/>
      </c>
      <c r="G1331" s="56">
        <f>IF($B1331=0,"",IF(Inputs!$B$10="","",IF($AH1331=0,G1330,SUMIFS(Data!$R$10:$R$3209,Data!$Q$10:$Q$3209,"&gt;="&amp;$A1331,Data!$Q$10:$Q$3209,"&lt;"&amp;$A1331+1)/$AH1331)))</f>
        <v/>
      </c>
      <c r="I1331" s="54">
        <f>IF($B1331=0,NA(),IF($C1331="",NA(),IF(C$8="",NA(),IF(N(C$8)=0,NA(),IF(Inputs!$C$17="Rebased to 100",$C1331/C$8*100,$C1331)))))</f>
        <v/>
      </c>
      <c r="J1331" s="54">
        <f>IF($B1331=0,NA(),IF($D1331="",NA(),IF(D$8="",NA(),IF(N(D$8)=0,NA(),IF(Inputs!$C$17="Rebased to 100",$D1331/D$8*100,$D1331)))))</f>
        <v/>
      </c>
      <c r="K1331" s="54">
        <f>IF($B1331=0,NA(),IF($E1331="",NA(),IF(E$8="",NA(),IF(N(E$8)=0,NA(),IF(Inputs!$C$17="Rebased to 100",$E1331/E$8*100,$E1331)))))</f>
        <v/>
      </c>
      <c r="L1331" s="54">
        <f>IF($B1331=0,NA(),IF($F1331="",NA(),IF(F$8="",NA(),IF(N(F$8)=0,NA(),IF(Inputs!$C$17="Rebased to 100",$F1331/F$8*100,$F1331)))))</f>
        <v/>
      </c>
      <c r="M1331" s="54">
        <f>IF($B1331=0,NA(),IF($G1331="",NA(),IF(G$8="",NA(),IF(N(G$8)=0,NA(),IF(Inputs!$C$17="Rebased to 100",$G1331/G$8*100,$G1331)))))</f>
        <v/>
      </c>
      <c r="N1331" s="54">
        <f>IF($B1331=0,NA(),IF(Inputs!$C$18&lt;&gt;"Yes",NA(),IF(COUNT(I1331,J1331,K1331,L1331,M1331)=0,NA(),MIN(I1331,J1331,K1331,L1331,M1331))))</f>
        <v/>
      </c>
      <c r="O1331" s="54">
        <f>IF($B1331=0,NA(),IF(Inputs!$B$24&lt;&gt;"Yes",NA(),Inputs!$D$24*Inputs!$C$35))</f>
        <v/>
      </c>
      <c r="P1331" s="54">
        <f>IF($B1331=0,NA(),IF(Inputs!$B$25&lt;&gt;"Yes",NA(),Inputs!$D$25*Inputs!$C$35))</f>
        <v/>
      </c>
      <c r="Q1331" s="54">
        <f>IF($B1331=0,NA(),IF(Inputs!$B$26&lt;&gt;"Yes",NA(),Inputs!$D$26*Inputs!$C$35))</f>
        <v/>
      </c>
      <c r="R1331" s="54">
        <f>IF($B1331=0,NA(),IF(Inputs!$B$27&lt;&gt;"Yes",NA(),Inputs!$D$27*Inputs!$C$35))</f>
        <v/>
      </c>
      <c r="S1331" s="54">
        <f>IF($B1331=0,NA(),IF(Inputs!$B$28&lt;&gt;"Yes",NA(),Inputs!$D$28*Inputs!$C$35))</f>
        <v/>
      </c>
      <c r="T1331" s="54">
        <f>IF($B1331=0,NA(),IF(Inputs!$B$29&lt;&gt;"Yes",NA(),Inputs!$D$29*Inputs!$C$35))</f>
        <v/>
      </c>
      <c r="AD1331">
        <f>IF($B1331=0,0,IF(Inputs!$B$6="",0,COUNTIFS(Data!$A$10:$A$3209,"&gt;="&amp;$A1331,Data!$A$10:$A$3209,"&lt;"&amp;$A1331+1)))</f>
        <v/>
      </c>
      <c r="AE1331">
        <f>IF($B1331=0,0,IF(Inputs!$B$7="",0,COUNTIFS(Data!$E$10:$E$3209,"&gt;="&amp;$A1331,Data!$E$10:$E$3209,"&lt;"&amp;$A1331+1)))</f>
        <v/>
      </c>
      <c r="AF1331">
        <f>IF($B1331=0,0,IF(Inputs!$B$8="",0,COUNTIFS(Data!$I$10:$I$3209,"&gt;="&amp;$A1331,Data!$I$10:$I$3209,"&lt;"&amp;$A1331+1)))</f>
        <v/>
      </c>
      <c r="AG1331">
        <f>IF($B1331=0,0,IF(Inputs!$B$9="",0,COUNTIFS(Data!$M$10:$M$3209,"&gt;="&amp;$A1331,Data!$M$10:$M$3209,"&lt;"&amp;$A1331+1)))</f>
        <v/>
      </c>
      <c r="AH1331">
        <f>IF($B1331=0,0,IF(Inputs!$B$10="",0,COUNTIFS(Data!$Q$10:$Q$3209,"&gt;="&amp;$A1331,Data!$Q$10:$Q$3209,"&lt;"&amp;$A1331+1)))</f>
        <v/>
      </c>
    </row>
    <row r="1332">
      <c r="A1332" s="55">
        <f>MIN(Inputs!$C$15,$A1331+IF(WEEKDAY($A1331,2)=5,3,1))</f>
        <v/>
      </c>
      <c r="B1332">
        <f>IF($A1332&gt;$A1331,1,0)</f>
        <v/>
      </c>
      <c r="C1332" s="56">
        <f>IF($B1332=0,"",IF(Inputs!$B$6="","",IF($AD1332=0,C1331,SUMIFS(Data!$B$10:$B$3209,Data!$A$10:$A$3209,"&gt;="&amp;$A1332,Data!$A$10:$A$3209,"&lt;"&amp;$A1332+1)/$AD1332)))</f>
        <v/>
      </c>
      <c r="D1332" s="56">
        <f>IF($B1332=0,"",IF(Inputs!$B$7="","",IF($AE1332=0,D1331,SUMIFS(Data!$F$10:$F$3209,Data!$E$10:$E$3209,"&gt;="&amp;$A1332,Data!$E$10:$E$3209,"&lt;"&amp;$A1332+1)/$AE1332)))</f>
        <v/>
      </c>
      <c r="E1332" s="56">
        <f>IF($B1332=0,"",IF(Inputs!$B$8="","",IF($AF1332=0,E1331,SUMIFS(Data!$J$10:$J$3209,Data!$I$10:$I$3209,"&gt;="&amp;$A1332,Data!$I$10:$I$3209,"&lt;"&amp;$A1332+1)/$AF1332)))</f>
        <v/>
      </c>
      <c r="F1332" s="56">
        <f>IF($B1332=0,"",IF(Inputs!$B$9="","",IF($AG1332=0,F1331,SUMIFS(Data!$N$10:$N$3209,Data!$M$10:$M$3209,"&gt;="&amp;$A1332,Data!$M$10:$M$3209,"&lt;"&amp;$A1332+1)/$AG1332)))</f>
        <v/>
      </c>
      <c r="G1332" s="56">
        <f>IF($B1332=0,"",IF(Inputs!$B$10="","",IF($AH1332=0,G1331,SUMIFS(Data!$R$10:$R$3209,Data!$Q$10:$Q$3209,"&gt;="&amp;$A1332,Data!$Q$10:$Q$3209,"&lt;"&amp;$A1332+1)/$AH1332)))</f>
        <v/>
      </c>
      <c r="I1332" s="54">
        <f>IF($B1332=0,NA(),IF($C1332="",NA(),IF(C$8="",NA(),IF(N(C$8)=0,NA(),IF(Inputs!$C$17="Rebased to 100",$C1332/C$8*100,$C1332)))))</f>
        <v/>
      </c>
      <c r="J1332" s="54">
        <f>IF($B1332=0,NA(),IF($D1332="",NA(),IF(D$8="",NA(),IF(N(D$8)=0,NA(),IF(Inputs!$C$17="Rebased to 100",$D1332/D$8*100,$D1332)))))</f>
        <v/>
      </c>
      <c r="K1332" s="54">
        <f>IF($B1332=0,NA(),IF($E1332="",NA(),IF(E$8="",NA(),IF(N(E$8)=0,NA(),IF(Inputs!$C$17="Rebased to 100",$E1332/E$8*100,$E1332)))))</f>
        <v/>
      </c>
      <c r="L1332" s="54">
        <f>IF($B1332=0,NA(),IF($F1332="",NA(),IF(F$8="",NA(),IF(N(F$8)=0,NA(),IF(Inputs!$C$17="Rebased to 100",$F1332/F$8*100,$F1332)))))</f>
        <v/>
      </c>
      <c r="M1332" s="54">
        <f>IF($B1332=0,NA(),IF($G1332="",NA(),IF(G$8="",NA(),IF(N(G$8)=0,NA(),IF(Inputs!$C$17="Rebased to 100",$G1332/G$8*100,$G1332)))))</f>
        <v/>
      </c>
      <c r="N1332" s="54">
        <f>IF($B1332=0,NA(),IF(Inputs!$C$18&lt;&gt;"Yes",NA(),IF(COUNT(I1332,J1332,K1332,L1332,M1332)=0,NA(),MIN(I1332,J1332,K1332,L1332,M1332))))</f>
        <v/>
      </c>
      <c r="O1332" s="54">
        <f>IF($B1332=0,NA(),IF(Inputs!$B$24&lt;&gt;"Yes",NA(),Inputs!$D$24*Inputs!$C$35))</f>
        <v/>
      </c>
      <c r="P1332" s="54">
        <f>IF($B1332=0,NA(),IF(Inputs!$B$25&lt;&gt;"Yes",NA(),Inputs!$D$25*Inputs!$C$35))</f>
        <v/>
      </c>
      <c r="Q1332" s="54">
        <f>IF($B1332=0,NA(),IF(Inputs!$B$26&lt;&gt;"Yes",NA(),Inputs!$D$26*Inputs!$C$35))</f>
        <v/>
      </c>
      <c r="R1332" s="54">
        <f>IF($B1332=0,NA(),IF(Inputs!$B$27&lt;&gt;"Yes",NA(),Inputs!$D$27*Inputs!$C$35))</f>
        <v/>
      </c>
      <c r="S1332" s="54">
        <f>IF($B1332=0,NA(),IF(Inputs!$B$28&lt;&gt;"Yes",NA(),Inputs!$D$28*Inputs!$C$35))</f>
        <v/>
      </c>
      <c r="T1332" s="54">
        <f>IF($B1332=0,NA(),IF(Inputs!$B$29&lt;&gt;"Yes",NA(),Inputs!$D$29*Inputs!$C$35))</f>
        <v/>
      </c>
      <c r="AD1332">
        <f>IF($B1332=0,0,IF(Inputs!$B$6="",0,COUNTIFS(Data!$A$10:$A$3209,"&gt;="&amp;$A1332,Data!$A$10:$A$3209,"&lt;"&amp;$A1332+1)))</f>
        <v/>
      </c>
      <c r="AE1332">
        <f>IF($B1332=0,0,IF(Inputs!$B$7="",0,COUNTIFS(Data!$E$10:$E$3209,"&gt;="&amp;$A1332,Data!$E$10:$E$3209,"&lt;"&amp;$A1332+1)))</f>
        <v/>
      </c>
      <c r="AF1332">
        <f>IF($B1332=0,0,IF(Inputs!$B$8="",0,COUNTIFS(Data!$I$10:$I$3209,"&gt;="&amp;$A1332,Data!$I$10:$I$3209,"&lt;"&amp;$A1332+1)))</f>
        <v/>
      </c>
      <c r="AG1332">
        <f>IF($B1332=0,0,IF(Inputs!$B$9="",0,COUNTIFS(Data!$M$10:$M$3209,"&gt;="&amp;$A1332,Data!$M$10:$M$3209,"&lt;"&amp;$A1332+1)))</f>
        <v/>
      </c>
      <c r="AH1332">
        <f>IF($B1332=0,0,IF(Inputs!$B$10="",0,COUNTIFS(Data!$Q$10:$Q$3209,"&gt;="&amp;$A1332,Data!$Q$10:$Q$3209,"&lt;"&amp;$A1332+1)))</f>
        <v/>
      </c>
    </row>
    <row r="1333">
      <c r="A1333" s="55">
        <f>MIN(Inputs!$C$15,$A1332+IF(WEEKDAY($A1332,2)=5,3,1))</f>
        <v/>
      </c>
      <c r="B1333">
        <f>IF($A1333&gt;$A1332,1,0)</f>
        <v/>
      </c>
      <c r="C1333" s="56">
        <f>IF($B1333=0,"",IF(Inputs!$B$6="","",IF($AD1333=0,C1332,SUMIFS(Data!$B$10:$B$3209,Data!$A$10:$A$3209,"&gt;="&amp;$A1333,Data!$A$10:$A$3209,"&lt;"&amp;$A1333+1)/$AD1333)))</f>
        <v/>
      </c>
      <c r="D1333" s="56">
        <f>IF($B1333=0,"",IF(Inputs!$B$7="","",IF($AE1333=0,D1332,SUMIFS(Data!$F$10:$F$3209,Data!$E$10:$E$3209,"&gt;="&amp;$A1333,Data!$E$10:$E$3209,"&lt;"&amp;$A1333+1)/$AE1333)))</f>
        <v/>
      </c>
      <c r="E1333" s="56">
        <f>IF($B1333=0,"",IF(Inputs!$B$8="","",IF($AF1333=0,E1332,SUMIFS(Data!$J$10:$J$3209,Data!$I$10:$I$3209,"&gt;="&amp;$A1333,Data!$I$10:$I$3209,"&lt;"&amp;$A1333+1)/$AF1333)))</f>
        <v/>
      </c>
      <c r="F1333" s="56">
        <f>IF($B1333=0,"",IF(Inputs!$B$9="","",IF($AG1333=0,F1332,SUMIFS(Data!$N$10:$N$3209,Data!$M$10:$M$3209,"&gt;="&amp;$A1333,Data!$M$10:$M$3209,"&lt;"&amp;$A1333+1)/$AG1333)))</f>
        <v/>
      </c>
      <c r="G1333" s="56">
        <f>IF($B1333=0,"",IF(Inputs!$B$10="","",IF($AH1333=0,G1332,SUMIFS(Data!$R$10:$R$3209,Data!$Q$10:$Q$3209,"&gt;="&amp;$A1333,Data!$Q$10:$Q$3209,"&lt;"&amp;$A1333+1)/$AH1333)))</f>
        <v/>
      </c>
      <c r="I1333" s="54">
        <f>IF($B1333=0,NA(),IF($C1333="",NA(),IF(C$8="",NA(),IF(N(C$8)=0,NA(),IF(Inputs!$C$17="Rebased to 100",$C1333/C$8*100,$C1333)))))</f>
        <v/>
      </c>
      <c r="J1333" s="54">
        <f>IF($B1333=0,NA(),IF($D1333="",NA(),IF(D$8="",NA(),IF(N(D$8)=0,NA(),IF(Inputs!$C$17="Rebased to 100",$D1333/D$8*100,$D1333)))))</f>
        <v/>
      </c>
      <c r="K1333" s="54">
        <f>IF($B1333=0,NA(),IF($E1333="",NA(),IF(E$8="",NA(),IF(N(E$8)=0,NA(),IF(Inputs!$C$17="Rebased to 100",$E1333/E$8*100,$E1333)))))</f>
        <v/>
      </c>
      <c r="L1333" s="54">
        <f>IF($B1333=0,NA(),IF($F1333="",NA(),IF(F$8="",NA(),IF(N(F$8)=0,NA(),IF(Inputs!$C$17="Rebased to 100",$F1333/F$8*100,$F1333)))))</f>
        <v/>
      </c>
      <c r="M1333" s="54">
        <f>IF($B1333=0,NA(),IF($G1333="",NA(),IF(G$8="",NA(),IF(N(G$8)=0,NA(),IF(Inputs!$C$17="Rebased to 100",$G1333/G$8*100,$G1333)))))</f>
        <v/>
      </c>
      <c r="N1333" s="54">
        <f>IF($B1333=0,NA(),IF(Inputs!$C$18&lt;&gt;"Yes",NA(),IF(COUNT(I1333,J1333,K1333,L1333,M1333)=0,NA(),MIN(I1333,J1333,K1333,L1333,M1333))))</f>
        <v/>
      </c>
      <c r="O1333" s="54">
        <f>IF($B1333=0,NA(),IF(Inputs!$B$24&lt;&gt;"Yes",NA(),Inputs!$D$24*Inputs!$C$35))</f>
        <v/>
      </c>
      <c r="P1333" s="54">
        <f>IF($B1333=0,NA(),IF(Inputs!$B$25&lt;&gt;"Yes",NA(),Inputs!$D$25*Inputs!$C$35))</f>
        <v/>
      </c>
      <c r="Q1333" s="54">
        <f>IF($B1333=0,NA(),IF(Inputs!$B$26&lt;&gt;"Yes",NA(),Inputs!$D$26*Inputs!$C$35))</f>
        <v/>
      </c>
      <c r="R1333" s="54">
        <f>IF($B1333=0,NA(),IF(Inputs!$B$27&lt;&gt;"Yes",NA(),Inputs!$D$27*Inputs!$C$35))</f>
        <v/>
      </c>
      <c r="S1333" s="54">
        <f>IF($B1333=0,NA(),IF(Inputs!$B$28&lt;&gt;"Yes",NA(),Inputs!$D$28*Inputs!$C$35))</f>
        <v/>
      </c>
      <c r="T1333" s="54">
        <f>IF($B1333=0,NA(),IF(Inputs!$B$29&lt;&gt;"Yes",NA(),Inputs!$D$29*Inputs!$C$35))</f>
        <v/>
      </c>
      <c r="AD1333">
        <f>IF($B1333=0,0,IF(Inputs!$B$6="",0,COUNTIFS(Data!$A$10:$A$3209,"&gt;="&amp;$A1333,Data!$A$10:$A$3209,"&lt;"&amp;$A1333+1)))</f>
        <v/>
      </c>
      <c r="AE1333">
        <f>IF($B1333=0,0,IF(Inputs!$B$7="",0,COUNTIFS(Data!$E$10:$E$3209,"&gt;="&amp;$A1333,Data!$E$10:$E$3209,"&lt;"&amp;$A1333+1)))</f>
        <v/>
      </c>
      <c r="AF1333">
        <f>IF($B1333=0,0,IF(Inputs!$B$8="",0,COUNTIFS(Data!$I$10:$I$3209,"&gt;="&amp;$A1333,Data!$I$10:$I$3209,"&lt;"&amp;$A1333+1)))</f>
        <v/>
      </c>
      <c r="AG1333">
        <f>IF($B1333=0,0,IF(Inputs!$B$9="",0,COUNTIFS(Data!$M$10:$M$3209,"&gt;="&amp;$A1333,Data!$M$10:$M$3209,"&lt;"&amp;$A1333+1)))</f>
        <v/>
      </c>
      <c r="AH1333">
        <f>IF($B1333=0,0,IF(Inputs!$B$10="",0,COUNTIFS(Data!$Q$10:$Q$3209,"&gt;="&amp;$A1333,Data!$Q$10:$Q$3209,"&lt;"&amp;$A1333+1)))</f>
        <v/>
      </c>
    </row>
    <row r="1334">
      <c r="A1334" s="55">
        <f>MIN(Inputs!$C$15,$A1333+IF(WEEKDAY($A1333,2)=5,3,1))</f>
        <v/>
      </c>
      <c r="B1334">
        <f>IF($A1334&gt;$A1333,1,0)</f>
        <v/>
      </c>
      <c r="C1334" s="56">
        <f>IF($B1334=0,"",IF(Inputs!$B$6="","",IF($AD1334=0,C1333,SUMIFS(Data!$B$10:$B$3209,Data!$A$10:$A$3209,"&gt;="&amp;$A1334,Data!$A$10:$A$3209,"&lt;"&amp;$A1334+1)/$AD1334)))</f>
        <v/>
      </c>
      <c r="D1334" s="56">
        <f>IF($B1334=0,"",IF(Inputs!$B$7="","",IF($AE1334=0,D1333,SUMIFS(Data!$F$10:$F$3209,Data!$E$10:$E$3209,"&gt;="&amp;$A1334,Data!$E$10:$E$3209,"&lt;"&amp;$A1334+1)/$AE1334)))</f>
        <v/>
      </c>
      <c r="E1334" s="56">
        <f>IF($B1334=0,"",IF(Inputs!$B$8="","",IF($AF1334=0,E1333,SUMIFS(Data!$J$10:$J$3209,Data!$I$10:$I$3209,"&gt;="&amp;$A1334,Data!$I$10:$I$3209,"&lt;"&amp;$A1334+1)/$AF1334)))</f>
        <v/>
      </c>
      <c r="F1334" s="56">
        <f>IF($B1334=0,"",IF(Inputs!$B$9="","",IF($AG1334=0,F1333,SUMIFS(Data!$N$10:$N$3209,Data!$M$10:$M$3209,"&gt;="&amp;$A1334,Data!$M$10:$M$3209,"&lt;"&amp;$A1334+1)/$AG1334)))</f>
        <v/>
      </c>
      <c r="G1334" s="56">
        <f>IF($B1334=0,"",IF(Inputs!$B$10="","",IF($AH1334=0,G1333,SUMIFS(Data!$R$10:$R$3209,Data!$Q$10:$Q$3209,"&gt;="&amp;$A1334,Data!$Q$10:$Q$3209,"&lt;"&amp;$A1334+1)/$AH1334)))</f>
        <v/>
      </c>
      <c r="I1334" s="54">
        <f>IF($B1334=0,NA(),IF($C1334="",NA(),IF(C$8="",NA(),IF(N(C$8)=0,NA(),IF(Inputs!$C$17="Rebased to 100",$C1334/C$8*100,$C1334)))))</f>
        <v/>
      </c>
      <c r="J1334" s="54">
        <f>IF($B1334=0,NA(),IF($D1334="",NA(),IF(D$8="",NA(),IF(N(D$8)=0,NA(),IF(Inputs!$C$17="Rebased to 100",$D1334/D$8*100,$D1334)))))</f>
        <v/>
      </c>
      <c r="K1334" s="54">
        <f>IF($B1334=0,NA(),IF($E1334="",NA(),IF(E$8="",NA(),IF(N(E$8)=0,NA(),IF(Inputs!$C$17="Rebased to 100",$E1334/E$8*100,$E1334)))))</f>
        <v/>
      </c>
      <c r="L1334" s="54">
        <f>IF($B1334=0,NA(),IF($F1334="",NA(),IF(F$8="",NA(),IF(N(F$8)=0,NA(),IF(Inputs!$C$17="Rebased to 100",$F1334/F$8*100,$F1334)))))</f>
        <v/>
      </c>
      <c r="M1334" s="54">
        <f>IF($B1334=0,NA(),IF($G1334="",NA(),IF(G$8="",NA(),IF(N(G$8)=0,NA(),IF(Inputs!$C$17="Rebased to 100",$G1334/G$8*100,$G1334)))))</f>
        <v/>
      </c>
      <c r="N1334" s="54">
        <f>IF($B1334=0,NA(),IF(Inputs!$C$18&lt;&gt;"Yes",NA(),IF(COUNT(I1334,J1334,K1334,L1334,M1334)=0,NA(),MIN(I1334,J1334,K1334,L1334,M1334))))</f>
        <v/>
      </c>
      <c r="O1334" s="54">
        <f>IF($B1334=0,NA(),IF(Inputs!$B$24&lt;&gt;"Yes",NA(),Inputs!$D$24*Inputs!$C$35))</f>
        <v/>
      </c>
      <c r="P1334" s="54">
        <f>IF($B1334=0,NA(),IF(Inputs!$B$25&lt;&gt;"Yes",NA(),Inputs!$D$25*Inputs!$C$35))</f>
        <v/>
      </c>
      <c r="Q1334" s="54">
        <f>IF($B1334=0,NA(),IF(Inputs!$B$26&lt;&gt;"Yes",NA(),Inputs!$D$26*Inputs!$C$35))</f>
        <v/>
      </c>
      <c r="R1334" s="54">
        <f>IF($B1334=0,NA(),IF(Inputs!$B$27&lt;&gt;"Yes",NA(),Inputs!$D$27*Inputs!$C$35))</f>
        <v/>
      </c>
      <c r="S1334" s="54">
        <f>IF($B1334=0,NA(),IF(Inputs!$B$28&lt;&gt;"Yes",NA(),Inputs!$D$28*Inputs!$C$35))</f>
        <v/>
      </c>
      <c r="T1334" s="54">
        <f>IF($B1334=0,NA(),IF(Inputs!$B$29&lt;&gt;"Yes",NA(),Inputs!$D$29*Inputs!$C$35))</f>
        <v/>
      </c>
      <c r="AD1334">
        <f>IF($B1334=0,0,IF(Inputs!$B$6="",0,COUNTIFS(Data!$A$10:$A$3209,"&gt;="&amp;$A1334,Data!$A$10:$A$3209,"&lt;"&amp;$A1334+1)))</f>
        <v/>
      </c>
      <c r="AE1334">
        <f>IF($B1334=0,0,IF(Inputs!$B$7="",0,COUNTIFS(Data!$E$10:$E$3209,"&gt;="&amp;$A1334,Data!$E$10:$E$3209,"&lt;"&amp;$A1334+1)))</f>
        <v/>
      </c>
      <c r="AF1334">
        <f>IF($B1334=0,0,IF(Inputs!$B$8="",0,COUNTIFS(Data!$I$10:$I$3209,"&gt;="&amp;$A1334,Data!$I$10:$I$3209,"&lt;"&amp;$A1334+1)))</f>
        <v/>
      </c>
      <c r="AG1334">
        <f>IF($B1334=0,0,IF(Inputs!$B$9="",0,COUNTIFS(Data!$M$10:$M$3209,"&gt;="&amp;$A1334,Data!$M$10:$M$3209,"&lt;"&amp;$A1334+1)))</f>
        <v/>
      </c>
      <c r="AH1334">
        <f>IF($B1334=0,0,IF(Inputs!$B$10="",0,COUNTIFS(Data!$Q$10:$Q$3209,"&gt;="&amp;$A1334,Data!$Q$10:$Q$3209,"&lt;"&amp;$A1334+1)))</f>
        <v/>
      </c>
    </row>
    <row r="1335">
      <c r="A1335" s="55">
        <f>MIN(Inputs!$C$15,$A1334+IF(WEEKDAY($A1334,2)=5,3,1))</f>
        <v/>
      </c>
      <c r="B1335">
        <f>IF($A1335&gt;$A1334,1,0)</f>
        <v/>
      </c>
      <c r="C1335" s="56">
        <f>IF($B1335=0,"",IF(Inputs!$B$6="","",IF($AD1335=0,C1334,SUMIFS(Data!$B$10:$B$3209,Data!$A$10:$A$3209,"&gt;="&amp;$A1335,Data!$A$10:$A$3209,"&lt;"&amp;$A1335+1)/$AD1335)))</f>
        <v/>
      </c>
      <c r="D1335" s="56">
        <f>IF($B1335=0,"",IF(Inputs!$B$7="","",IF($AE1335=0,D1334,SUMIFS(Data!$F$10:$F$3209,Data!$E$10:$E$3209,"&gt;="&amp;$A1335,Data!$E$10:$E$3209,"&lt;"&amp;$A1335+1)/$AE1335)))</f>
        <v/>
      </c>
      <c r="E1335" s="56">
        <f>IF($B1335=0,"",IF(Inputs!$B$8="","",IF($AF1335=0,E1334,SUMIFS(Data!$J$10:$J$3209,Data!$I$10:$I$3209,"&gt;="&amp;$A1335,Data!$I$10:$I$3209,"&lt;"&amp;$A1335+1)/$AF1335)))</f>
        <v/>
      </c>
      <c r="F1335" s="56">
        <f>IF($B1335=0,"",IF(Inputs!$B$9="","",IF($AG1335=0,F1334,SUMIFS(Data!$N$10:$N$3209,Data!$M$10:$M$3209,"&gt;="&amp;$A1335,Data!$M$10:$M$3209,"&lt;"&amp;$A1335+1)/$AG1335)))</f>
        <v/>
      </c>
      <c r="G1335" s="56">
        <f>IF($B1335=0,"",IF(Inputs!$B$10="","",IF($AH1335=0,G1334,SUMIFS(Data!$R$10:$R$3209,Data!$Q$10:$Q$3209,"&gt;="&amp;$A1335,Data!$Q$10:$Q$3209,"&lt;"&amp;$A1335+1)/$AH1335)))</f>
        <v/>
      </c>
      <c r="I1335" s="54">
        <f>IF($B1335=0,NA(),IF($C1335="",NA(),IF(C$8="",NA(),IF(N(C$8)=0,NA(),IF(Inputs!$C$17="Rebased to 100",$C1335/C$8*100,$C1335)))))</f>
        <v/>
      </c>
      <c r="J1335" s="54">
        <f>IF($B1335=0,NA(),IF($D1335="",NA(),IF(D$8="",NA(),IF(N(D$8)=0,NA(),IF(Inputs!$C$17="Rebased to 100",$D1335/D$8*100,$D1335)))))</f>
        <v/>
      </c>
      <c r="K1335" s="54">
        <f>IF($B1335=0,NA(),IF($E1335="",NA(),IF(E$8="",NA(),IF(N(E$8)=0,NA(),IF(Inputs!$C$17="Rebased to 100",$E1335/E$8*100,$E1335)))))</f>
        <v/>
      </c>
      <c r="L1335" s="54">
        <f>IF($B1335=0,NA(),IF($F1335="",NA(),IF(F$8="",NA(),IF(N(F$8)=0,NA(),IF(Inputs!$C$17="Rebased to 100",$F1335/F$8*100,$F1335)))))</f>
        <v/>
      </c>
      <c r="M1335" s="54">
        <f>IF($B1335=0,NA(),IF($G1335="",NA(),IF(G$8="",NA(),IF(N(G$8)=0,NA(),IF(Inputs!$C$17="Rebased to 100",$G1335/G$8*100,$G1335)))))</f>
        <v/>
      </c>
      <c r="N1335" s="54">
        <f>IF($B1335=0,NA(),IF(Inputs!$C$18&lt;&gt;"Yes",NA(),IF(COUNT(I1335,J1335,K1335,L1335,M1335)=0,NA(),MIN(I1335,J1335,K1335,L1335,M1335))))</f>
        <v/>
      </c>
      <c r="O1335" s="54">
        <f>IF($B1335=0,NA(),IF(Inputs!$B$24&lt;&gt;"Yes",NA(),Inputs!$D$24*Inputs!$C$35))</f>
        <v/>
      </c>
      <c r="P1335" s="54">
        <f>IF($B1335=0,NA(),IF(Inputs!$B$25&lt;&gt;"Yes",NA(),Inputs!$D$25*Inputs!$C$35))</f>
        <v/>
      </c>
      <c r="Q1335" s="54">
        <f>IF($B1335=0,NA(),IF(Inputs!$B$26&lt;&gt;"Yes",NA(),Inputs!$D$26*Inputs!$C$35))</f>
        <v/>
      </c>
      <c r="R1335" s="54">
        <f>IF($B1335=0,NA(),IF(Inputs!$B$27&lt;&gt;"Yes",NA(),Inputs!$D$27*Inputs!$C$35))</f>
        <v/>
      </c>
      <c r="S1335" s="54">
        <f>IF($B1335=0,NA(),IF(Inputs!$B$28&lt;&gt;"Yes",NA(),Inputs!$D$28*Inputs!$C$35))</f>
        <v/>
      </c>
      <c r="T1335" s="54">
        <f>IF($B1335=0,NA(),IF(Inputs!$B$29&lt;&gt;"Yes",NA(),Inputs!$D$29*Inputs!$C$35))</f>
        <v/>
      </c>
      <c r="AD1335">
        <f>IF($B1335=0,0,IF(Inputs!$B$6="",0,COUNTIFS(Data!$A$10:$A$3209,"&gt;="&amp;$A1335,Data!$A$10:$A$3209,"&lt;"&amp;$A1335+1)))</f>
        <v/>
      </c>
      <c r="AE1335">
        <f>IF($B1335=0,0,IF(Inputs!$B$7="",0,COUNTIFS(Data!$E$10:$E$3209,"&gt;="&amp;$A1335,Data!$E$10:$E$3209,"&lt;"&amp;$A1335+1)))</f>
        <v/>
      </c>
      <c r="AF1335">
        <f>IF($B1335=0,0,IF(Inputs!$B$8="",0,COUNTIFS(Data!$I$10:$I$3209,"&gt;="&amp;$A1335,Data!$I$10:$I$3209,"&lt;"&amp;$A1335+1)))</f>
        <v/>
      </c>
      <c r="AG1335">
        <f>IF($B1335=0,0,IF(Inputs!$B$9="",0,COUNTIFS(Data!$M$10:$M$3209,"&gt;="&amp;$A1335,Data!$M$10:$M$3209,"&lt;"&amp;$A1335+1)))</f>
        <v/>
      </c>
      <c r="AH1335">
        <f>IF($B1335=0,0,IF(Inputs!$B$10="",0,COUNTIFS(Data!$Q$10:$Q$3209,"&gt;="&amp;$A1335,Data!$Q$10:$Q$3209,"&lt;"&amp;$A1335+1)))</f>
        <v/>
      </c>
    </row>
    <row r="1336">
      <c r="A1336" s="55">
        <f>MIN(Inputs!$C$15,$A1335+IF(WEEKDAY($A1335,2)=5,3,1))</f>
        <v/>
      </c>
      <c r="B1336">
        <f>IF($A1336&gt;$A1335,1,0)</f>
        <v/>
      </c>
      <c r="C1336" s="56">
        <f>IF($B1336=0,"",IF(Inputs!$B$6="","",IF($AD1336=0,C1335,SUMIFS(Data!$B$10:$B$3209,Data!$A$10:$A$3209,"&gt;="&amp;$A1336,Data!$A$10:$A$3209,"&lt;"&amp;$A1336+1)/$AD1336)))</f>
        <v/>
      </c>
      <c r="D1336" s="56">
        <f>IF($B1336=0,"",IF(Inputs!$B$7="","",IF($AE1336=0,D1335,SUMIFS(Data!$F$10:$F$3209,Data!$E$10:$E$3209,"&gt;="&amp;$A1336,Data!$E$10:$E$3209,"&lt;"&amp;$A1336+1)/$AE1336)))</f>
        <v/>
      </c>
      <c r="E1336" s="56">
        <f>IF($B1336=0,"",IF(Inputs!$B$8="","",IF($AF1336=0,E1335,SUMIFS(Data!$J$10:$J$3209,Data!$I$10:$I$3209,"&gt;="&amp;$A1336,Data!$I$10:$I$3209,"&lt;"&amp;$A1336+1)/$AF1336)))</f>
        <v/>
      </c>
      <c r="F1336" s="56">
        <f>IF($B1336=0,"",IF(Inputs!$B$9="","",IF($AG1336=0,F1335,SUMIFS(Data!$N$10:$N$3209,Data!$M$10:$M$3209,"&gt;="&amp;$A1336,Data!$M$10:$M$3209,"&lt;"&amp;$A1336+1)/$AG1336)))</f>
        <v/>
      </c>
      <c r="G1336" s="56">
        <f>IF($B1336=0,"",IF(Inputs!$B$10="","",IF($AH1336=0,G1335,SUMIFS(Data!$R$10:$R$3209,Data!$Q$10:$Q$3209,"&gt;="&amp;$A1336,Data!$Q$10:$Q$3209,"&lt;"&amp;$A1336+1)/$AH1336)))</f>
        <v/>
      </c>
      <c r="I1336" s="54">
        <f>IF($B1336=0,NA(),IF($C1336="",NA(),IF(C$8="",NA(),IF(N(C$8)=0,NA(),IF(Inputs!$C$17="Rebased to 100",$C1336/C$8*100,$C1336)))))</f>
        <v/>
      </c>
      <c r="J1336" s="54">
        <f>IF($B1336=0,NA(),IF($D1336="",NA(),IF(D$8="",NA(),IF(N(D$8)=0,NA(),IF(Inputs!$C$17="Rebased to 100",$D1336/D$8*100,$D1336)))))</f>
        <v/>
      </c>
      <c r="K1336" s="54">
        <f>IF($B1336=0,NA(),IF($E1336="",NA(),IF(E$8="",NA(),IF(N(E$8)=0,NA(),IF(Inputs!$C$17="Rebased to 100",$E1336/E$8*100,$E1336)))))</f>
        <v/>
      </c>
      <c r="L1336" s="54">
        <f>IF($B1336=0,NA(),IF($F1336="",NA(),IF(F$8="",NA(),IF(N(F$8)=0,NA(),IF(Inputs!$C$17="Rebased to 100",$F1336/F$8*100,$F1336)))))</f>
        <v/>
      </c>
      <c r="M1336" s="54">
        <f>IF($B1336=0,NA(),IF($G1336="",NA(),IF(G$8="",NA(),IF(N(G$8)=0,NA(),IF(Inputs!$C$17="Rebased to 100",$G1336/G$8*100,$G1336)))))</f>
        <v/>
      </c>
      <c r="N1336" s="54">
        <f>IF($B1336=0,NA(),IF(Inputs!$C$18&lt;&gt;"Yes",NA(),IF(COUNT(I1336,J1336,K1336,L1336,M1336)=0,NA(),MIN(I1336,J1336,K1336,L1336,M1336))))</f>
        <v/>
      </c>
      <c r="O1336" s="54">
        <f>IF($B1336=0,NA(),IF(Inputs!$B$24&lt;&gt;"Yes",NA(),Inputs!$D$24*Inputs!$C$35))</f>
        <v/>
      </c>
      <c r="P1336" s="54">
        <f>IF($B1336=0,NA(),IF(Inputs!$B$25&lt;&gt;"Yes",NA(),Inputs!$D$25*Inputs!$C$35))</f>
        <v/>
      </c>
      <c r="Q1336" s="54">
        <f>IF($B1336=0,NA(),IF(Inputs!$B$26&lt;&gt;"Yes",NA(),Inputs!$D$26*Inputs!$C$35))</f>
        <v/>
      </c>
      <c r="R1336" s="54">
        <f>IF($B1336=0,NA(),IF(Inputs!$B$27&lt;&gt;"Yes",NA(),Inputs!$D$27*Inputs!$C$35))</f>
        <v/>
      </c>
      <c r="S1336" s="54">
        <f>IF($B1336=0,NA(),IF(Inputs!$B$28&lt;&gt;"Yes",NA(),Inputs!$D$28*Inputs!$C$35))</f>
        <v/>
      </c>
      <c r="T1336" s="54">
        <f>IF($B1336=0,NA(),IF(Inputs!$B$29&lt;&gt;"Yes",NA(),Inputs!$D$29*Inputs!$C$35))</f>
        <v/>
      </c>
      <c r="AD1336">
        <f>IF($B1336=0,0,IF(Inputs!$B$6="",0,COUNTIFS(Data!$A$10:$A$3209,"&gt;="&amp;$A1336,Data!$A$10:$A$3209,"&lt;"&amp;$A1336+1)))</f>
        <v/>
      </c>
      <c r="AE1336">
        <f>IF($B1336=0,0,IF(Inputs!$B$7="",0,COUNTIFS(Data!$E$10:$E$3209,"&gt;="&amp;$A1336,Data!$E$10:$E$3209,"&lt;"&amp;$A1336+1)))</f>
        <v/>
      </c>
      <c r="AF1336">
        <f>IF($B1336=0,0,IF(Inputs!$B$8="",0,COUNTIFS(Data!$I$10:$I$3209,"&gt;="&amp;$A1336,Data!$I$10:$I$3209,"&lt;"&amp;$A1336+1)))</f>
        <v/>
      </c>
      <c r="AG1336">
        <f>IF($B1336=0,0,IF(Inputs!$B$9="",0,COUNTIFS(Data!$M$10:$M$3209,"&gt;="&amp;$A1336,Data!$M$10:$M$3209,"&lt;"&amp;$A1336+1)))</f>
        <v/>
      </c>
      <c r="AH1336">
        <f>IF($B1336=0,0,IF(Inputs!$B$10="",0,COUNTIFS(Data!$Q$10:$Q$3209,"&gt;="&amp;$A1336,Data!$Q$10:$Q$3209,"&lt;"&amp;$A1336+1)))</f>
        <v/>
      </c>
    </row>
    <row r="1337">
      <c r="A1337" s="55">
        <f>MIN(Inputs!$C$15,$A1336+IF(WEEKDAY($A1336,2)=5,3,1))</f>
        <v/>
      </c>
      <c r="B1337">
        <f>IF($A1337&gt;$A1336,1,0)</f>
        <v/>
      </c>
      <c r="C1337" s="56">
        <f>IF($B1337=0,"",IF(Inputs!$B$6="","",IF($AD1337=0,C1336,SUMIFS(Data!$B$10:$B$3209,Data!$A$10:$A$3209,"&gt;="&amp;$A1337,Data!$A$10:$A$3209,"&lt;"&amp;$A1337+1)/$AD1337)))</f>
        <v/>
      </c>
      <c r="D1337" s="56">
        <f>IF($B1337=0,"",IF(Inputs!$B$7="","",IF($AE1337=0,D1336,SUMIFS(Data!$F$10:$F$3209,Data!$E$10:$E$3209,"&gt;="&amp;$A1337,Data!$E$10:$E$3209,"&lt;"&amp;$A1337+1)/$AE1337)))</f>
        <v/>
      </c>
      <c r="E1337" s="56">
        <f>IF($B1337=0,"",IF(Inputs!$B$8="","",IF($AF1337=0,E1336,SUMIFS(Data!$J$10:$J$3209,Data!$I$10:$I$3209,"&gt;="&amp;$A1337,Data!$I$10:$I$3209,"&lt;"&amp;$A1337+1)/$AF1337)))</f>
        <v/>
      </c>
      <c r="F1337" s="56">
        <f>IF($B1337=0,"",IF(Inputs!$B$9="","",IF($AG1337=0,F1336,SUMIFS(Data!$N$10:$N$3209,Data!$M$10:$M$3209,"&gt;="&amp;$A1337,Data!$M$10:$M$3209,"&lt;"&amp;$A1337+1)/$AG1337)))</f>
        <v/>
      </c>
      <c r="G1337" s="56">
        <f>IF($B1337=0,"",IF(Inputs!$B$10="","",IF($AH1337=0,G1336,SUMIFS(Data!$R$10:$R$3209,Data!$Q$10:$Q$3209,"&gt;="&amp;$A1337,Data!$Q$10:$Q$3209,"&lt;"&amp;$A1337+1)/$AH1337)))</f>
        <v/>
      </c>
      <c r="I1337" s="54">
        <f>IF($B1337=0,NA(),IF($C1337="",NA(),IF(C$8="",NA(),IF(N(C$8)=0,NA(),IF(Inputs!$C$17="Rebased to 100",$C1337/C$8*100,$C1337)))))</f>
        <v/>
      </c>
      <c r="J1337" s="54">
        <f>IF($B1337=0,NA(),IF($D1337="",NA(),IF(D$8="",NA(),IF(N(D$8)=0,NA(),IF(Inputs!$C$17="Rebased to 100",$D1337/D$8*100,$D1337)))))</f>
        <v/>
      </c>
      <c r="K1337" s="54">
        <f>IF($B1337=0,NA(),IF($E1337="",NA(),IF(E$8="",NA(),IF(N(E$8)=0,NA(),IF(Inputs!$C$17="Rebased to 100",$E1337/E$8*100,$E1337)))))</f>
        <v/>
      </c>
      <c r="L1337" s="54">
        <f>IF($B1337=0,NA(),IF($F1337="",NA(),IF(F$8="",NA(),IF(N(F$8)=0,NA(),IF(Inputs!$C$17="Rebased to 100",$F1337/F$8*100,$F1337)))))</f>
        <v/>
      </c>
      <c r="M1337" s="54">
        <f>IF($B1337=0,NA(),IF($G1337="",NA(),IF(G$8="",NA(),IF(N(G$8)=0,NA(),IF(Inputs!$C$17="Rebased to 100",$G1337/G$8*100,$G1337)))))</f>
        <v/>
      </c>
      <c r="N1337" s="54">
        <f>IF($B1337=0,NA(),IF(Inputs!$C$18&lt;&gt;"Yes",NA(),IF(COUNT(I1337,J1337,K1337,L1337,M1337)=0,NA(),MIN(I1337,J1337,K1337,L1337,M1337))))</f>
        <v/>
      </c>
      <c r="O1337" s="54">
        <f>IF($B1337=0,NA(),IF(Inputs!$B$24&lt;&gt;"Yes",NA(),Inputs!$D$24*Inputs!$C$35))</f>
        <v/>
      </c>
      <c r="P1337" s="54">
        <f>IF($B1337=0,NA(),IF(Inputs!$B$25&lt;&gt;"Yes",NA(),Inputs!$D$25*Inputs!$C$35))</f>
        <v/>
      </c>
      <c r="Q1337" s="54">
        <f>IF($B1337=0,NA(),IF(Inputs!$B$26&lt;&gt;"Yes",NA(),Inputs!$D$26*Inputs!$C$35))</f>
        <v/>
      </c>
      <c r="R1337" s="54">
        <f>IF($B1337=0,NA(),IF(Inputs!$B$27&lt;&gt;"Yes",NA(),Inputs!$D$27*Inputs!$C$35))</f>
        <v/>
      </c>
      <c r="S1337" s="54">
        <f>IF($B1337=0,NA(),IF(Inputs!$B$28&lt;&gt;"Yes",NA(),Inputs!$D$28*Inputs!$C$35))</f>
        <v/>
      </c>
      <c r="T1337" s="54">
        <f>IF($B1337=0,NA(),IF(Inputs!$B$29&lt;&gt;"Yes",NA(),Inputs!$D$29*Inputs!$C$35))</f>
        <v/>
      </c>
      <c r="AD1337">
        <f>IF($B1337=0,0,IF(Inputs!$B$6="",0,COUNTIFS(Data!$A$10:$A$3209,"&gt;="&amp;$A1337,Data!$A$10:$A$3209,"&lt;"&amp;$A1337+1)))</f>
        <v/>
      </c>
      <c r="AE1337">
        <f>IF($B1337=0,0,IF(Inputs!$B$7="",0,COUNTIFS(Data!$E$10:$E$3209,"&gt;="&amp;$A1337,Data!$E$10:$E$3209,"&lt;"&amp;$A1337+1)))</f>
        <v/>
      </c>
      <c r="AF1337">
        <f>IF($B1337=0,0,IF(Inputs!$B$8="",0,COUNTIFS(Data!$I$10:$I$3209,"&gt;="&amp;$A1337,Data!$I$10:$I$3209,"&lt;"&amp;$A1337+1)))</f>
        <v/>
      </c>
      <c r="AG1337">
        <f>IF($B1337=0,0,IF(Inputs!$B$9="",0,COUNTIFS(Data!$M$10:$M$3209,"&gt;="&amp;$A1337,Data!$M$10:$M$3209,"&lt;"&amp;$A1337+1)))</f>
        <v/>
      </c>
      <c r="AH1337">
        <f>IF($B1337=0,0,IF(Inputs!$B$10="",0,COUNTIFS(Data!$Q$10:$Q$3209,"&gt;="&amp;$A1337,Data!$Q$10:$Q$3209,"&lt;"&amp;$A1337+1)))</f>
        <v/>
      </c>
    </row>
    <row r="1338">
      <c r="A1338" s="55">
        <f>MIN(Inputs!$C$15,$A1337+IF(WEEKDAY($A1337,2)=5,3,1))</f>
        <v/>
      </c>
      <c r="B1338">
        <f>IF($A1338&gt;$A1337,1,0)</f>
        <v/>
      </c>
      <c r="C1338" s="56">
        <f>IF($B1338=0,"",IF(Inputs!$B$6="","",IF($AD1338=0,C1337,SUMIFS(Data!$B$10:$B$3209,Data!$A$10:$A$3209,"&gt;="&amp;$A1338,Data!$A$10:$A$3209,"&lt;"&amp;$A1338+1)/$AD1338)))</f>
        <v/>
      </c>
      <c r="D1338" s="56">
        <f>IF($B1338=0,"",IF(Inputs!$B$7="","",IF($AE1338=0,D1337,SUMIFS(Data!$F$10:$F$3209,Data!$E$10:$E$3209,"&gt;="&amp;$A1338,Data!$E$10:$E$3209,"&lt;"&amp;$A1338+1)/$AE1338)))</f>
        <v/>
      </c>
      <c r="E1338" s="56">
        <f>IF($B1338=0,"",IF(Inputs!$B$8="","",IF($AF1338=0,E1337,SUMIFS(Data!$J$10:$J$3209,Data!$I$10:$I$3209,"&gt;="&amp;$A1338,Data!$I$10:$I$3209,"&lt;"&amp;$A1338+1)/$AF1338)))</f>
        <v/>
      </c>
      <c r="F1338" s="56">
        <f>IF($B1338=0,"",IF(Inputs!$B$9="","",IF($AG1338=0,F1337,SUMIFS(Data!$N$10:$N$3209,Data!$M$10:$M$3209,"&gt;="&amp;$A1338,Data!$M$10:$M$3209,"&lt;"&amp;$A1338+1)/$AG1338)))</f>
        <v/>
      </c>
      <c r="G1338" s="56">
        <f>IF($B1338=0,"",IF(Inputs!$B$10="","",IF($AH1338=0,G1337,SUMIFS(Data!$R$10:$R$3209,Data!$Q$10:$Q$3209,"&gt;="&amp;$A1338,Data!$Q$10:$Q$3209,"&lt;"&amp;$A1338+1)/$AH1338)))</f>
        <v/>
      </c>
      <c r="I1338" s="54">
        <f>IF($B1338=0,NA(),IF($C1338="",NA(),IF(C$8="",NA(),IF(N(C$8)=0,NA(),IF(Inputs!$C$17="Rebased to 100",$C1338/C$8*100,$C1338)))))</f>
        <v/>
      </c>
      <c r="J1338" s="54">
        <f>IF($B1338=0,NA(),IF($D1338="",NA(),IF(D$8="",NA(),IF(N(D$8)=0,NA(),IF(Inputs!$C$17="Rebased to 100",$D1338/D$8*100,$D1338)))))</f>
        <v/>
      </c>
      <c r="K1338" s="54">
        <f>IF($B1338=0,NA(),IF($E1338="",NA(),IF(E$8="",NA(),IF(N(E$8)=0,NA(),IF(Inputs!$C$17="Rebased to 100",$E1338/E$8*100,$E1338)))))</f>
        <v/>
      </c>
      <c r="L1338" s="54">
        <f>IF($B1338=0,NA(),IF($F1338="",NA(),IF(F$8="",NA(),IF(N(F$8)=0,NA(),IF(Inputs!$C$17="Rebased to 100",$F1338/F$8*100,$F1338)))))</f>
        <v/>
      </c>
      <c r="M1338" s="54">
        <f>IF($B1338=0,NA(),IF($G1338="",NA(),IF(G$8="",NA(),IF(N(G$8)=0,NA(),IF(Inputs!$C$17="Rebased to 100",$G1338/G$8*100,$G1338)))))</f>
        <v/>
      </c>
      <c r="N1338" s="54">
        <f>IF($B1338=0,NA(),IF(Inputs!$C$18&lt;&gt;"Yes",NA(),IF(COUNT(I1338,J1338,K1338,L1338,M1338)=0,NA(),MIN(I1338,J1338,K1338,L1338,M1338))))</f>
        <v/>
      </c>
      <c r="O1338" s="54">
        <f>IF($B1338=0,NA(),IF(Inputs!$B$24&lt;&gt;"Yes",NA(),Inputs!$D$24*Inputs!$C$35))</f>
        <v/>
      </c>
      <c r="P1338" s="54">
        <f>IF($B1338=0,NA(),IF(Inputs!$B$25&lt;&gt;"Yes",NA(),Inputs!$D$25*Inputs!$C$35))</f>
        <v/>
      </c>
      <c r="Q1338" s="54">
        <f>IF($B1338=0,NA(),IF(Inputs!$B$26&lt;&gt;"Yes",NA(),Inputs!$D$26*Inputs!$C$35))</f>
        <v/>
      </c>
      <c r="R1338" s="54">
        <f>IF($B1338=0,NA(),IF(Inputs!$B$27&lt;&gt;"Yes",NA(),Inputs!$D$27*Inputs!$C$35))</f>
        <v/>
      </c>
      <c r="S1338" s="54">
        <f>IF($B1338=0,NA(),IF(Inputs!$B$28&lt;&gt;"Yes",NA(),Inputs!$D$28*Inputs!$C$35))</f>
        <v/>
      </c>
      <c r="T1338" s="54">
        <f>IF($B1338=0,NA(),IF(Inputs!$B$29&lt;&gt;"Yes",NA(),Inputs!$D$29*Inputs!$C$35))</f>
        <v/>
      </c>
      <c r="AD1338">
        <f>IF($B1338=0,0,IF(Inputs!$B$6="",0,COUNTIFS(Data!$A$10:$A$3209,"&gt;="&amp;$A1338,Data!$A$10:$A$3209,"&lt;"&amp;$A1338+1)))</f>
        <v/>
      </c>
      <c r="AE1338">
        <f>IF($B1338=0,0,IF(Inputs!$B$7="",0,COUNTIFS(Data!$E$10:$E$3209,"&gt;="&amp;$A1338,Data!$E$10:$E$3209,"&lt;"&amp;$A1338+1)))</f>
        <v/>
      </c>
      <c r="AF1338">
        <f>IF($B1338=0,0,IF(Inputs!$B$8="",0,COUNTIFS(Data!$I$10:$I$3209,"&gt;="&amp;$A1338,Data!$I$10:$I$3209,"&lt;"&amp;$A1338+1)))</f>
        <v/>
      </c>
      <c r="AG1338">
        <f>IF($B1338=0,0,IF(Inputs!$B$9="",0,COUNTIFS(Data!$M$10:$M$3209,"&gt;="&amp;$A1338,Data!$M$10:$M$3209,"&lt;"&amp;$A1338+1)))</f>
        <v/>
      </c>
      <c r="AH1338">
        <f>IF($B1338=0,0,IF(Inputs!$B$10="",0,COUNTIFS(Data!$Q$10:$Q$3209,"&gt;="&amp;$A1338,Data!$Q$10:$Q$3209,"&lt;"&amp;$A1338+1)))</f>
        <v/>
      </c>
    </row>
    <row r="1339">
      <c r="A1339" s="55">
        <f>MIN(Inputs!$C$15,$A1338+IF(WEEKDAY($A1338,2)=5,3,1))</f>
        <v/>
      </c>
      <c r="B1339">
        <f>IF($A1339&gt;$A1338,1,0)</f>
        <v/>
      </c>
      <c r="C1339" s="56">
        <f>IF($B1339=0,"",IF(Inputs!$B$6="","",IF($AD1339=0,C1338,SUMIFS(Data!$B$10:$B$3209,Data!$A$10:$A$3209,"&gt;="&amp;$A1339,Data!$A$10:$A$3209,"&lt;"&amp;$A1339+1)/$AD1339)))</f>
        <v/>
      </c>
      <c r="D1339" s="56">
        <f>IF($B1339=0,"",IF(Inputs!$B$7="","",IF($AE1339=0,D1338,SUMIFS(Data!$F$10:$F$3209,Data!$E$10:$E$3209,"&gt;="&amp;$A1339,Data!$E$10:$E$3209,"&lt;"&amp;$A1339+1)/$AE1339)))</f>
        <v/>
      </c>
      <c r="E1339" s="56">
        <f>IF($B1339=0,"",IF(Inputs!$B$8="","",IF($AF1339=0,E1338,SUMIFS(Data!$J$10:$J$3209,Data!$I$10:$I$3209,"&gt;="&amp;$A1339,Data!$I$10:$I$3209,"&lt;"&amp;$A1339+1)/$AF1339)))</f>
        <v/>
      </c>
      <c r="F1339" s="56">
        <f>IF($B1339=0,"",IF(Inputs!$B$9="","",IF($AG1339=0,F1338,SUMIFS(Data!$N$10:$N$3209,Data!$M$10:$M$3209,"&gt;="&amp;$A1339,Data!$M$10:$M$3209,"&lt;"&amp;$A1339+1)/$AG1339)))</f>
        <v/>
      </c>
      <c r="G1339" s="56">
        <f>IF($B1339=0,"",IF(Inputs!$B$10="","",IF($AH1339=0,G1338,SUMIFS(Data!$R$10:$R$3209,Data!$Q$10:$Q$3209,"&gt;="&amp;$A1339,Data!$Q$10:$Q$3209,"&lt;"&amp;$A1339+1)/$AH1339)))</f>
        <v/>
      </c>
      <c r="I1339" s="54">
        <f>IF($B1339=0,NA(),IF($C1339="",NA(),IF(C$8="",NA(),IF(N(C$8)=0,NA(),IF(Inputs!$C$17="Rebased to 100",$C1339/C$8*100,$C1339)))))</f>
        <v/>
      </c>
      <c r="J1339" s="54">
        <f>IF($B1339=0,NA(),IF($D1339="",NA(),IF(D$8="",NA(),IF(N(D$8)=0,NA(),IF(Inputs!$C$17="Rebased to 100",$D1339/D$8*100,$D1339)))))</f>
        <v/>
      </c>
      <c r="K1339" s="54">
        <f>IF($B1339=0,NA(),IF($E1339="",NA(),IF(E$8="",NA(),IF(N(E$8)=0,NA(),IF(Inputs!$C$17="Rebased to 100",$E1339/E$8*100,$E1339)))))</f>
        <v/>
      </c>
      <c r="L1339" s="54">
        <f>IF($B1339=0,NA(),IF($F1339="",NA(),IF(F$8="",NA(),IF(N(F$8)=0,NA(),IF(Inputs!$C$17="Rebased to 100",$F1339/F$8*100,$F1339)))))</f>
        <v/>
      </c>
      <c r="M1339" s="54">
        <f>IF($B1339=0,NA(),IF($G1339="",NA(),IF(G$8="",NA(),IF(N(G$8)=0,NA(),IF(Inputs!$C$17="Rebased to 100",$G1339/G$8*100,$G1339)))))</f>
        <v/>
      </c>
      <c r="N1339" s="54">
        <f>IF($B1339=0,NA(),IF(Inputs!$C$18&lt;&gt;"Yes",NA(),IF(COUNT(I1339,J1339,K1339,L1339,M1339)=0,NA(),MIN(I1339,J1339,K1339,L1339,M1339))))</f>
        <v/>
      </c>
      <c r="O1339" s="54">
        <f>IF($B1339=0,NA(),IF(Inputs!$B$24&lt;&gt;"Yes",NA(),Inputs!$D$24*Inputs!$C$35))</f>
        <v/>
      </c>
      <c r="P1339" s="54">
        <f>IF($B1339=0,NA(),IF(Inputs!$B$25&lt;&gt;"Yes",NA(),Inputs!$D$25*Inputs!$C$35))</f>
        <v/>
      </c>
      <c r="Q1339" s="54">
        <f>IF($B1339=0,NA(),IF(Inputs!$B$26&lt;&gt;"Yes",NA(),Inputs!$D$26*Inputs!$C$35))</f>
        <v/>
      </c>
      <c r="R1339" s="54">
        <f>IF($B1339=0,NA(),IF(Inputs!$B$27&lt;&gt;"Yes",NA(),Inputs!$D$27*Inputs!$C$35))</f>
        <v/>
      </c>
      <c r="S1339" s="54">
        <f>IF($B1339=0,NA(),IF(Inputs!$B$28&lt;&gt;"Yes",NA(),Inputs!$D$28*Inputs!$C$35))</f>
        <v/>
      </c>
      <c r="T1339" s="54">
        <f>IF($B1339=0,NA(),IF(Inputs!$B$29&lt;&gt;"Yes",NA(),Inputs!$D$29*Inputs!$C$35))</f>
        <v/>
      </c>
      <c r="AD1339">
        <f>IF($B1339=0,0,IF(Inputs!$B$6="",0,COUNTIFS(Data!$A$10:$A$3209,"&gt;="&amp;$A1339,Data!$A$10:$A$3209,"&lt;"&amp;$A1339+1)))</f>
        <v/>
      </c>
      <c r="AE1339">
        <f>IF($B1339=0,0,IF(Inputs!$B$7="",0,COUNTIFS(Data!$E$10:$E$3209,"&gt;="&amp;$A1339,Data!$E$10:$E$3209,"&lt;"&amp;$A1339+1)))</f>
        <v/>
      </c>
      <c r="AF1339">
        <f>IF($B1339=0,0,IF(Inputs!$B$8="",0,COUNTIFS(Data!$I$10:$I$3209,"&gt;="&amp;$A1339,Data!$I$10:$I$3209,"&lt;"&amp;$A1339+1)))</f>
        <v/>
      </c>
      <c r="AG1339">
        <f>IF($B1339=0,0,IF(Inputs!$B$9="",0,COUNTIFS(Data!$M$10:$M$3209,"&gt;="&amp;$A1339,Data!$M$10:$M$3209,"&lt;"&amp;$A1339+1)))</f>
        <v/>
      </c>
      <c r="AH1339">
        <f>IF($B1339=0,0,IF(Inputs!$B$10="",0,COUNTIFS(Data!$Q$10:$Q$3209,"&gt;="&amp;$A1339,Data!$Q$10:$Q$3209,"&lt;"&amp;$A1339+1)))</f>
        <v/>
      </c>
    </row>
    <row r="1340">
      <c r="A1340" s="55">
        <f>MIN(Inputs!$C$15,$A1339+IF(WEEKDAY($A1339,2)=5,3,1))</f>
        <v/>
      </c>
      <c r="B1340">
        <f>IF($A1340&gt;$A1339,1,0)</f>
        <v/>
      </c>
      <c r="C1340" s="56">
        <f>IF($B1340=0,"",IF(Inputs!$B$6="","",IF($AD1340=0,C1339,SUMIFS(Data!$B$10:$B$3209,Data!$A$10:$A$3209,"&gt;="&amp;$A1340,Data!$A$10:$A$3209,"&lt;"&amp;$A1340+1)/$AD1340)))</f>
        <v/>
      </c>
      <c r="D1340" s="56">
        <f>IF($B1340=0,"",IF(Inputs!$B$7="","",IF($AE1340=0,D1339,SUMIFS(Data!$F$10:$F$3209,Data!$E$10:$E$3209,"&gt;="&amp;$A1340,Data!$E$10:$E$3209,"&lt;"&amp;$A1340+1)/$AE1340)))</f>
        <v/>
      </c>
      <c r="E1340" s="56">
        <f>IF($B1340=0,"",IF(Inputs!$B$8="","",IF($AF1340=0,E1339,SUMIFS(Data!$J$10:$J$3209,Data!$I$10:$I$3209,"&gt;="&amp;$A1340,Data!$I$10:$I$3209,"&lt;"&amp;$A1340+1)/$AF1340)))</f>
        <v/>
      </c>
      <c r="F1340" s="56">
        <f>IF($B1340=0,"",IF(Inputs!$B$9="","",IF($AG1340=0,F1339,SUMIFS(Data!$N$10:$N$3209,Data!$M$10:$M$3209,"&gt;="&amp;$A1340,Data!$M$10:$M$3209,"&lt;"&amp;$A1340+1)/$AG1340)))</f>
        <v/>
      </c>
      <c r="G1340" s="56">
        <f>IF($B1340=0,"",IF(Inputs!$B$10="","",IF($AH1340=0,G1339,SUMIFS(Data!$R$10:$R$3209,Data!$Q$10:$Q$3209,"&gt;="&amp;$A1340,Data!$Q$10:$Q$3209,"&lt;"&amp;$A1340+1)/$AH1340)))</f>
        <v/>
      </c>
      <c r="I1340" s="54">
        <f>IF($B1340=0,NA(),IF($C1340="",NA(),IF(C$8="",NA(),IF(N(C$8)=0,NA(),IF(Inputs!$C$17="Rebased to 100",$C1340/C$8*100,$C1340)))))</f>
        <v/>
      </c>
      <c r="J1340" s="54">
        <f>IF($B1340=0,NA(),IF($D1340="",NA(),IF(D$8="",NA(),IF(N(D$8)=0,NA(),IF(Inputs!$C$17="Rebased to 100",$D1340/D$8*100,$D1340)))))</f>
        <v/>
      </c>
      <c r="K1340" s="54">
        <f>IF($B1340=0,NA(),IF($E1340="",NA(),IF(E$8="",NA(),IF(N(E$8)=0,NA(),IF(Inputs!$C$17="Rebased to 100",$E1340/E$8*100,$E1340)))))</f>
        <v/>
      </c>
      <c r="L1340" s="54">
        <f>IF($B1340=0,NA(),IF($F1340="",NA(),IF(F$8="",NA(),IF(N(F$8)=0,NA(),IF(Inputs!$C$17="Rebased to 100",$F1340/F$8*100,$F1340)))))</f>
        <v/>
      </c>
      <c r="M1340" s="54">
        <f>IF($B1340=0,NA(),IF($G1340="",NA(),IF(G$8="",NA(),IF(N(G$8)=0,NA(),IF(Inputs!$C$17="Rebased to 100",$G1340/G$8*100,$G1340)))))</f>
        <v/>
      </c>
      <c r="N1340" s="54">
        <f>IF($B1340=0,NA(),IF(Inputs!$C$18&lt;&gt;"Yes",NA(),IF(COUNT(I1340,J1340,K1340,L1340,M1340)=0,NA(),MIN(I1340,J1340,K1340,L1340,M1340))))</f>
        <v/>
      </c>
      <c r="O1340" s="54">
        <f>IF($B1340=0,NA(),IF(Inputs!$B$24&lt;&gt;"Yes",NA(),Inputs!$D$24*Inputs!$C$35))</f>
        <v/>
      </c>
      <c r="P1340" s="54">
        <f>IF($B1340=0,NA(),IF(Inputs!$B$25&lt;&gt;"Yes",NA(),Inputs!$D$25*Inputs!$C$35))</f>
        <v/>
      </c>
      <c r="Q1340" s="54">
        <f>IF($B1340=0,NA(),IF(Inputs!$B$26&lt;&gt;"Yes",NA(),Inputs!$D$26*Inputs!$C$35))</f>
        <v/>
      </c>
      <c r="R1340" s="54">
        <f>IF($B1340=0,NA(),IF(Inputs!$B$27&lt;&gt;"Yes",NA(),Inputs!$D$27*Inputs!$C$35))</f>
        <v/>
      </c>
      <c r="S1340" s="54">
        <f>IF($B1340=0,NA(),IF(Inputs!$B$28&lt;&gt;"Yes",NA(),Inputs!$D$28*Inputs!$C$35))</f>
        <v/>
      </c>
      <c r="T1340" s="54">
        <f>IF($B1340=0,NA(),IF(Inputs!$B$29&lt;&gt;"Yes",NA(),Inputs!$D$29*Inputs!$C$35))</f>
        <v/>
      </c>
      <c r="AD1340">
        <f>IF($B1340=0,0,IF(Inputs!$B$6="",0,COUNTIFS(Data!$A$10:$A$3209,"&gt;="&amp;$A1340,Data!$A$10:$A$3209,"&lt;"&amp;$A1340+1)))</f>
        <v/>
      </c>
      <c r="AE1340">
        <f>IF($B1340=0,0,IF(Inputs!$B$7="",0,COUNTIFS(Data!$E$10:$E$3209,"&gt;="&amp;$A1340,Data!$E$10:$E$3209,"&lt;"&amp;$A1340+1)))</f>
        <v/>
      </c>
      <c r="AF1340">
        <f>IF($B1340=0,0,IF(Inputs!$B$8="",0,COUNTIFS(Data!$I$10:$I$3209,"&gt;="&amp;$A1340,Data!$I$10:$I$3209,"&lt;"&amp;$A1340+1)))</f>
        <v/>
      </c>
      <c r="AG1340">
        <f>IF($B1340=0,0,IF(Inputs!$B$9="",0,COUNTIFS(Data!$M$10:$M$3209,"&gt;="&amp;$A1340,Data!$M$10:$M$3209,"&lt;"&amp;$A1340+1)))</f>
        <v/>
      </c>
      <c r="AH1340">
        <f>IF($B1340=0,0,IF(Inputs!$B$10="",0,COUNTIFS(Data!$Q$10:$Q$3209,"&gt;="&amp;$A1340,Data!$Q$10:$Q$3209,"&lt;"&amp;$A1340+1)))</f>
        <v/>
      </c>
    </row>
    <row r="1341">
      <c r="A1341" s="55">
        <f>MIN(Inputs!$C$15,$A1340+IF(WEEKDAY($A1340,2)=5,3,1))</f>
        <v/>
      </c>
      <c r="B1341">
        <f>IF($A1341&gt;$A1340,1,0)</f>
        <v/>
      </c>
      <c r="C1341" s="56">
        <f>IF($B1341=0,"",IF(Inputs!$B$6="","",IF($AD1341=0,C1340,SUMIFS(Data!$B$10:$B$3209,Data!$A$10:$A$3209,"&gt;="&amp;$A1341,Data!$A$10:$A$3209,"&lt;"&amp;$A1341+1)/$AD1341)))</f>
        <v/>
      </c>
      <c r="D1341" s="56">
        <f>IF($B1341=0,"",IF(Inputs!$B$7="","",IF($AE1341=0,D1340,SUMIFS(Data!$F$10:$F$3209,Data!$E$10:$E$3209,"&gt;="&amp;$A1341,Data!$E$10:$E$3209,"&lt;"&amp;$A1341+1)/$AE1341)))</f>
        <v/>
      </c>
      <c r="E1341" s="56">
        <f>IF($B1341=0,"",IF(Inputs!$B$8="","",IF($AF1341=0,E1340,SUMIFS(Data!$J$10:$J$3209,Data!$I$10:$I$3209,"&gt;="&amp;$A1341,Data!$I$10:$I$3209,"&lt;"&amp;$A1341+1)/$AF1341)))</f>
        <v/>
      </c>
      <c r="F1341" s="56">
        <f>IF($B1341=0,"",IF(Inputs!$B$9="","",IF($AG1341=0,F1340,SUMIFS(Data!$N$10:$N$3209,Data!$M$10:$M$3209,"&gt;="&amp;$A1341,Data!$M$10:$M$3209,"&lt;"&amp;$A1341+1)/$AG1341)))</f>
        <v/>
      </c>
      <c r="G1341" s="56">
        <f>IF($B1341=0,"",IF(Inputs!$B$10="","",IF($AH1341=0,G1340,SUMIFS(Data!$R$10:$R$3209,Data!$Q$10:$Q$3209,"&gt;="&amp;$A1341,Data!$Q$10:$Q$3209,"&lt;"&amp;$A1341+1)/$AH1341)))</f>
        <v/>
      </c>
      <c r="I1341" s="54">
        <f>IF($B1341=0,NA(),IF($C1341="",NA(),IF(C$8="",NA(),IF(N(C$8)=0,NA(),IF(Inputs!$C$17="Rebased to 100",$C1341/C$8*100,$C1341)))))</f>
        <v/>
      </c>
      <c r="J1341" s="54">
        <f>IF($B1341=0,NA(),IF($D1341="",NA(),IF(D$8="",NA(),IF(N(D$8)=0,NA(),IF(Inputs!$C$17="Rebased to 100",$D1341/D$8*100,$D1341)))))</f>
        <v/>
      </c>
      <c r="K1341" s="54">
        <f>IF($B1341=0,NA(),IF($E1341="",NA(),IF(E$8="",NA(),IF(N(E$8)=0,NA(),IF(Inputs!$C$17="Rebased to 100",$E1341/E$8*100,$E1341)))))</f>
        <v/>
      </c>
      <c r="L1341" s="54">
        <f>IF($B1341=0,NA(),IF($F1341="",NA(),IF(F$8="",NA(),IF(N(F$8)=0,NA(),IF(Inputs!$C$17="Rebased to 100",$F1341/F$8*100,$F1341)))))</f>
        <v/>
      </c>
      <c r="M1341" s="54">
        <f>IF($B1341=0,NA(),IF($G1341="",NA(),IF(G$8="",NA(),IF(N(G$8)=0,NA(),IF(Inputs!$C$17="Rebased to 100",$G1341/G$8*100,$G1341)))))</f>
        <v/>
      </c>
      <c r="N1341" s="54">
        <f>IF($B1341=0,NA(),IF(Inputs!$C$18&lt;&gt;"Yes",NA(),IF(COUNT(I1341,J1341,K1341,L1341,M1341)=0,NA(),MIN(I1341,J1341,K1341,L1341,M1341))))</f>
        <v/>
      </c>
      <c r="O1341" s="54">
        <f>IF($B1341=0,NA(),IF(Inputs!$B$24&lt;&gt;"Yes",NA(),Inputs!$D$24*Inputs!$C$35))</f>
        <v/>
      </c>
      <c r="P1341" s="54">
        <f>IF($B1341=0,NA(),IF(Inputs!$B$25&lt;&gt;"Yes",NA(),Inputs!$D$25*Inputs!$C$35))</f>
        <v/>
      </c>
      <c r="Q1341" s="54">
        <f>IF($B1341=0,NA(),IF(Inputs!$B$26&lt;&gt;"Yes",NA(),Inputs!$D$26*Inputs!$C$35))</f>
        <v/>
      </c>
      <c r="R1341" s="54">
        <f>IF($B1341=0,NA(),IF(Inputs!$B$27&lt;&gt;"Yes",NA(),Inputs!$D$27*Inputs!$C$35))</f>
        <v/>
      </c>
      <c r="S1341" s="54">
        <f>IF($B1341=0,NA(),IF(Inputs!$B$28&lt;&gt;"Yes",NA(),Inputs!$D$28*Inputs!$C$35))</f>
        <v/>
      </c>
      <c r="T1341" s="54">
        <f>IF($B1341=0,NA(),IF(Inputs!$B$29&lt;&gt;"Yes",NA(),Inputs!$D$29*Inputs!$C$35))</f>
        <v/>
      </c>
      <c r="AD1341">
        <f>IF($B1341=0,0,IF(Inputs!$B$6="",0,COUNTIFS(Data!$A$10:$A$3209,"&gt;="&amp;$A1341,Data!$A$10:$A$3209,"&lt;"&amp;$A1341+1)))</f>
        <v/>
      </c>
      <c r="AE1341">
        <f>IF($B1341=0,0,IF(Inputs!$B$7="",0,COUNTIFS(Data!$E$10:$E$3209,"&gt;="&amp;$A1341,Data!$E$10:$E$3209,"&lt;"&amp;$A1341+1)))</f>
        <v/>
      </c>
      <c r="AF1341">
        <f>IF($B1341=0,0,IF(Inputs!$B$8="",0,COUNTIFS(Data!$I$10:$I$3209,"&gt;="&amp;$A1341,Data!$I$10:$I$3209,"&lt;"&amp;$A1341+1)))</f>
        <v/>
      </c>
      <c r="AG1341">
        <f>IF($B1341=0,0,IF(Inputs!$B$9="",0,COUNTIFS(Data!$M$10:$M$3209,"&gt;="&amp;$A1341,Data!$M$10:$M$3209,"&lt;"&amp;$A1341+1)))</f>
        <v/>
      </c>
      <c r="AH1341">
        <f>IF($B1341=0,0,IF(Inputs!$B$10="",0,COUNTIFS(Data!$Q$10:$Q$3209,"&gt;="&amp;$A1341,Data!$Q$10:$Q$3209,"&lt;"&amp;$A1341+1)))</f>
        <v/>
      </c>
    </row>
    <row r="1342">
      <c r="A1342" s="55">
        <f>MIN(Inputs!$C$15,$A1341+IF(WEEKDAY($A1341,2)=5,3,1))</f>
        <v/>
      </c>
      <c r="B1342">
        <f>IF($A1342&gt;$A1341,1,0)</f>
        <v/>
      </c>
      <c r="C1342" s="56">
        <f>IF($B1342=0,"",IF(Inputs!$B$6="","",IF($AD1342=0,C1341,SUMIFS(Data!$B$10:$B$3209,Data!$A$10:$A$3209,"&gt;="&amp;$A1342,Data!$A$10:$A$3209,"&lt;"&amp;$A1342+1)/$AD1342)))</f>
        <v/>
      </c>
      <c r="D1342" s="56">
        <f>IF($B1342=0,"",IF(Inputs!$B$7="","",IF($AE1342=0,D1341,SUMIFS(Data!$F$10:$F$3209,Data!$E$10:$E$3209,"&gt;="&amp;$A1342,Data!$E$10:$E$3209,"&lt;"&amp;$A1342+1)/$AE1342)))</f>
        <v/>
      </c>
      <c r="E1342" s="56">
        <f>IF($B1342=0,"",IF(Inputs!$B$8="","",IF($AF1342=0,E1341,SUMIFS(Data!$J$10:$J$3209,Data!$I$10:$I$3209,"&gt;="&amp;$A1342,Data!$I$10:$I$3209,"&lt;"&amp;$A1342+1)/$AF1342)))</f>
        <v/>
      </c>
      <c r="F1342" s="56">
        <f>IF($B1342=0,"",IF(Inputs!$B$9="","",IF($AG1342=0,F1341,SUMIFS(Data!$N$10:$N$3209,Data!$M$10:$M$3209,"&gt;="&amp;$A1342,Data!$M$10:$M$3209,"&lt;"&amp;$A1342+1)/$AG1342)))</f>
        <v/>
      </c>
      <c r="G1342" s="56">
        <f>IF($B1342=0,"",IF(Inputs!$B$10="","",IF($AH1342=0,G1341,SUMIFS(Data!$R$10:$R$3209,Data!$Q$10:$Q$3209,"&gt;="&amp;$A1342,Data!$Q$10:$Q$3209,"&lt;"&amp;$A1342+1)/$AH1342)))</f>
        <v/>
      </c>
      <c r="I1342" s="54">
        <f>IF($B1342=0,NA(),IF($C1342="",NA(),IF(C$8="",NA(),IF(N(C$8)=0,NA(),IF(Inputs!$C$17="Rebased to 100",$C1342/C$8*100,$C1342)))))</f>
        <v/>
      </c>
      <c r="J1342" s="54">
        <f>IF($B1342=0,NA(),IF($D1342="",NA(),IF(D$8="",NA(),IF(N(D$8)=0,NA(),IF(Inputs!$C$17="Rebased to 100",$D1342/D$8*100,$D1342)))))</f>
        <v/>
      </c>
      <c r="K1342" s="54">
        <f>IF($B1342=0,NA(),IF($E1342="",NA(),IF(E$8="",NA(),IF(N(E$8)=0,NA(),IF(Inputs!$C$17="Rebased to 100",$E1342/E$8*100,$E1342)))))</f>
        <v/>
      </c>
      <c r="L1342" s="54">
        <f>IF($B1342=0,NA(),IF($F1342="",NA(),IF(F$8="",NA(),IF(N(F$8)=0,NA(),IF(Inputs!$C$17="Rebased to 100",$F1342/F$8*100,$F1342)))))</f>
        <v/>
      </c>
      <c r="M1342" s="54">
        <f>IF($B1342=0,NA(),IF($G1342="",NA(),IF(G$8="",NA(),IF(N(G$8)=0,NA(),IF(Inputs!$C$17="Rebased to 100",$G1342/G$8*100,$G1342)))))</f>
        <v/>
      </c>
      <c r="N1342" s="54">
        <f>IF($B1342=0,NA(),IF(Inputs!$C$18&lt;&gt;"Yes",NA(),IF(COUNT(I1342,J1342,K1342,L1342,M1342)=0,NA(),MIN(I1342,J1342,K1342,L1342,M1342))))</f>
        <v/>
      </c>
      <c r="O1342" s="54">
        <f>IF($B1342=0,NA(),IF(Inputs!$B$24&lt;&gt;"Yes",NA(),Inputs!$D$24*Inputs!$C$35))</f>
        <v/>
      </c>
      <c r="P1342" s="54">
        <f>IF($B1342=0,NA(),IF(Inputs!$B$25&lt;&gt;"Yes",NA(),Inputs!$D$25*Inputs!$C$35))</f>
        <v/>
      </c>
      <c r="Q1342" s="54">
        <f>IF($B1342=0,NA(),IF(Inputs!$B$26&lt;&gt;"Yes",NA(),Inputs!$D$26*Inputs!$C$35))</f>
        <v/>
      </c>
      <c r="R1342" s="54">
        <f>IF($B1342=0,NA(),IF(Inputs!$B$27&lt;&gt;"Yes",NA(),Inputs!$D$27*Inputs!$C$35))</f>
        <v/>
      </c>
      <c r="S1342" s="54">
        <f>IF($B1342=0,NA(),IF(Inputs!$B$28&lt;&gt;"Yes",NA(),Inputs!$D$28*Inputs!$C$35))</f>
        <v/>
      </c>
      <c r="T1342" s="54">
        <f>IF($B1342=0,NA(),IF(Inputs!$B$29&lt;&gt;"Yes",NA(),Inputs!$D$29*Inputs!$C$35))</f>
        <v/>
      </c>
      <c r="AD1342">
        <f>IF($B1342=0,0,IF(Inputs!$B$6="",0,COUNTIFS(Data!$A$10:$A$3209,"&gt;="&amp;$A1342,Data!$A$10:$A$3209,"&lt;"&amp;$A1342+1)))</f>
        <v/>
      </c>
      <c r="AE1342">
        <f>IF($B1342=0,0,IF(Inputs!$B$7="",0,COUNTIFS(Data!$E$10:$E$3209,"&gt;="&amp;$A1342,Data!$E$10:$E$3209,"&lt;"&amp;$A1342+1)))</f>
        <v/>
      </c>
      <c r="AF1342">
        <f>IF($B1342=0,0,IF(Inputs!$B$8="",0,COUNTIFS(Data!$I$10:$I$3209,"&gt;="&amp;$A1342,Data!$I$10:$I$3209,"&lt;"&amp;$A1342+1)))</f>
        <v/>
      </c>
      <c r="AG1342">
        <f>IF($B1342=0,0,IF(Inputs!$B$9="",0,COUNTIFS(Data!$M$10:$M$3209,"&gt;="&amp;$A1342,Data!$M$10:$M$3209,"&lt;"&amp;$A1342+1)))</f>
        <v/>
      </c>
      <c r="AH1342">
        <f>IF($B1342=0,0,IF(Inputs!$B$10="",0,COUNTIFS(Data!$Q$10:$Q$3209,"&gt;="&amp;$A1342,Data!$Q$10:$Q$3209,"&lt;"&amp;$A1342+1)))</f>
        <v/>
      </c>
    </row>
    <row r="1343">
      <c r="A1343" s="55">
        <f>MIN(Inputs!$C$15,$A1342+IF(WEEKDAY($A1342,2)=5,3,1))</f>
        <v/>
      </c>
      <c r="B1343">
        <f>IF($A1343&gt;$A1342,1,0)</f>
        <v/>
      </c>
      <c r="C1343" s="56">
        <f>IF($B1343=0,"",IF(Inputs!$B$6="","",IF($AD1343=0,C1342,SUMIFS(Data!$B$10:$B$3209,Data!$A$10:$A$3209,"&gt;="&amp;$A1343,Data!$A$10:$A$3209,"&lt;"&amp;$A1343+1)/$AD1343)))</f>
        <v/>
      </c>
      <c r="D1343" s="56">
        <f>IF($B1343=0,"",IF(Inputs!$B$7="","",IF($AE1343=0,D1342,SUMIFS(Data!$F$10:$F$3209,Data!$E$10:$E$3209,"&gt;="&amp;$A1343,Data!$E$10:$E$3209,"&lt;"&amp;$A1343+1)/$AE1343)))</f>
        <v/>
      </c>
      <c r="E1343" s="56">
        <f>IF($B1343=0,"",IF(Inputs!$B$8="","",IF($AF1343=0,E1342,SUMIFS(Data!$J$10:$J$3209,Data!$I$10:$I$3209,"&gt;="&amp;$A1343,Data!$I$10:$I$3209,"&lt;"&amp;$A1343+1)/$AF1343)))</f>
        <v/>
      </c>
      <c r="F1343" s="56">
        <f>IF($B1343=0,"",IF(Inputs!$B$9="","",IF($AG1343=0,F1342,SUMIFS(Data!$N$10:$N$3209,Data!$M$10:$M$3209,"&gt;="&amp;$A1343,Data!$M$10:$M$3209,"&lt;"&amp;$A1343+1)/$AG1343)))</f>
        <v/>
      </c>
      <c r="G1343" s="56">
        <f>IF($B1343=0,"",IF(Inputs!$B$10="","",IF($AH1343=0,G1342,SUMIFS(Data!$R$10:$R$3209,Data!$Q$10:$Q$3209,"&gt;="&amp;$A1343,Data!$Q$10:$Q$3209,"&lt;"&amp;$A1343+1)/$AH1343)))</f>
        <v/>
      </c>
      <c r="I1343" s="54">
        <f>IF($B1343=0,NA(),IF($C1343="",NA(),IF(C$8="",NA(),IF(N(C$8)=0,NA(),IF(Inputs!$C$17="Rebased to 100",$C1343/C$8*100,$C1343)))))</f>
        <v/>
      </c>
      <c r="J1343" s="54">
        <f>IF($B1343=0,NA(),IF($D1343="",NA(),IF(D$8="",NA(),IF(N(D$8)=0,NA(),IF(Inputs!$C$17="Rebased to 100",$D1343/D$8*100,$D1343)))))</f>
        <v/>
      </c>
      <c r="K1343" s="54">
        <f>IF($B1343=0,NA(),IF($E1343="",NA(),IF(E$8="",NA(),IF(N(E$8)=0,NA(),IF(Inputs!$C$17="Rebased to 100",$E1343/E$8*100,$E1343)))))</f>
        <v/>
      </c>
      <c r="L1343" s="54">
        <f>IF($B1343=0,NA(),IF($F1343="",NA(),IF(F$8="",NA(),IF(N(F$8)=0,NA(),IF(Inputs!$C$17="Rebased to 100",$F1343/F$8*100,$F1343)))))</f>
        <v/>
      </c>
      <c r="M1343" s="54">
        <f>IF($B1343=0,NA(),IF($G1343="",NA(),IF(G$8="",NA(),IF(N(G$8)=0,NA(),IF(Inputs!$C$17="Rebased to 100",$G1343/G$8*100,$G1343)))))</f>
        <v/>
      </c>
      <c r="N1343" s="54">
        <f>IF($B1343=0,NA(),IF(Inputs!$C$18&lt;&gt;"Yes",NA(),IF(COUNT(I1343,J1343,K1343,L1343,M1343)=0,NA(),MIN(I1343,J1343,K1343,L1343,M1343))))</f>
        <v/>
      </c>
      <c r="O1343" s="54">
        <f>IF($B1343=0,NA(),IF(Inputs!$B$24&lt;&gt;"Yes",NA(),Inputs!$D$24*Inputs!$C$35))</f>
        <v/>
      </c>
      <c r="P1343" s="54">
        <f>IF($B1343=0,NA(),IF(Inputs!$B$25&lt;&gt;"Yes",NA(),Inputs!$D$25*Inputs!$C$35))</f>
        <v/>
      </c>
      <c r="Q1343" s="54">
        <f>IF($B1343=0,NA(),IF(Inputs!$B$26&lt;&gt;"Yes",NA(),Inputs!$D$26*Inputs!$C$35))</f>
        <v/>
      </c>
      <c r="R1343" s="54">
        <f>IF($B1343=0,NA(),IF(Inputs!$B$27&lt;&gt;"Yes",NA(),Inputs!$D$27*Inputs!$C$35))</f>
        <v/>
      </c>
      <c r="S1343" s="54">
        <f>IF($B1343=0,NA(),IF(Inputs!$B$28&lt;&gt;"Yes",NA(),Inputs!$D$28*Inputs!$C$35))</f>
        <v/>
      </c>
      <c r="T1343" s="54">
        <f>IF($B1343=0,NA(),IF(Inputs!$B$29&lt;&gt;"Yes",NA(),Inputs!$D$29*Inputs!$C$35))</f>
        <v/>
      </c>
      <c r="AD1343">
        <f>IF($B1343=0,0,IF(Inputs!$B$6="",0,COUNTIFS(Data!$A$10:$A$3209,"&gt;="&amp;$A1343,Data!$A$10:$A$3209,"&lt;"&amp;$A1343+1)))</f>
        <v/>
      </c>
      <c r="AE1343">
        <f>IF($B1343=0,0,IF(Inputs!$B$7="",0,COUNTIFS(Data!$E$10:$E$3209,"&gt;="&amp;$A1343,Data!$E$10:$E$3209,"&lt;"&amp;$A1343+1)))</f>
        <v/>
      </c>
      <c r="AF1343">
        <f>IF($B1343=0,0,IF(Inputs!$B$8="",0,COUNTIFS(Data!$I$10:$I$3209,"&gt;="&amp;$A1343,Data!$I$10:$I$3209,"&lt;"&amp;$A1343+1)))</f>
        <v/>
      </c>
      <c r="AG1343">
        <f>IF($B1343=0,0,IF(Inputs!$B$9="",0,COUNTIFS(Data!$M$10:$M$3209,"&gt;="&amp;$A1343,Data!$M$10:$M$3209,"&lt;"&amp;$A1343+1)))</f>
        <v/>
      </c>
      <c r="AH1343">
        <f>IF($B1343=0,0,IF(Inputs!$B$10="",0,COUNTIFS(Data!$Q$10:$Q$3209,"&gt;="&amp;$A1343,Data!$Q$10:$Q$3209,"&lt;"&amp;$A1343+1)))</f>
        <v/>
      </c>
    </row>
    <row r="1344">
      <c r="A1344" s="55">
        <f>MIN(Inputs!$C$15,$A1343+IF(WEEKDAY($A1343,2)=5,3,1))</f>
        <v/>
      </c>
      <c r="B1344">
        <f>IF($A1344&gt;$A1343,1,0)</f>
        <v/>
      </c>
      <c r="C1344" s="56">
        <f>IF($B1344=0,"",IF(Inputs!$B$6="","",IF($AD1344=0,C1343,SUMIFS(Data!$B$10:$B$3209,Data!$A$10:$A$3209,"&gt;="&amp;$A1344,Data!$A$10:$A$3209,"&lt;"&amp;$A1344+1)/$AD1344)))</f>
        <v/>
      </c>
      <c r="D1344" s="56">
        <f>IF($B1344=0,"",IF(Inputs!$B$7="","",IF($AE1344=0,D1343,SUMIFS(Data!$F$10:$F$3209,Data!$E$10:$E$3209,"&gt;="&amp;$A1344,Data!$E$10:$E$3209,"&lt;"&amp;$A1344+1)/$AE1344)))</f>
        <v/>
      </c>
      <c r="E1344" s="56">
        <f>IF($B1344=0,"",IF(Inputs!$B$8="","",IF($AF1344=0,E1343,SUMIFS(Data!$J$10:$J$3209,Data!$I$10:$I$3209,"&gt;="&amp;$A1344,Data!$I$10:$I$3209,"&lt;"&amp;$A1344+1)/$AF1344)))</f>
        <v/>
      </c>
      <c r="F1344" s="56">
        <f>IF($B1344=0,"",IF(Inputs!$B$9="","",IF($AG1344=0,F1343,SUMIFS(Data!$N$10:$N$3209,Data!$M$10:$M$3209,"&gt;="&amp;$A1344,Data!$M$10:$M$3209,"&lt;"&amp;$A1344+1)/$AG1344)))</f>
        <v/>
      </c>
      <c r="G1344" s="56">
        <f>IF($B1344=0,"",IF(Inputs!$B$10="","",IF($AH1344=0,G1343,SUMIFS(Data!$R$10:$R$3209,Data!$Q$10:$Q$3209,"&gt;="&amp;$A1344,Data!$Q$10:$Q$3209,"&lt;"&amp;$A1344+1)/$AH1344)))</f>
        <v/>
      </c>
      <c r="I1344" s="54">
        <f>IF($B1344=0,NA(),IF($C1344="",NA(),IF(C$8="",NA(),IF(N(C$8)=0,NA(),IF(Inputs!$C$17="Rebased to 100",$C1344/C$8*100,$C1344)))))</f>
        <v/>
      </c>
      <c r="J1344" s="54">
        <f>IF($B1344=0,NA(),IF($D1344="",NA(),IF(D$8="",NA(),IF(N(D$8)=0,NA(),IF(Inputs!$C$17="Rebased to 100",$D1344/D$8*100,$D1344)))))</f>
        <v/>
      </c>
      <c r="K1344" s="54">
        <f>IF($B1344=0,NA(),IF($E1344="",NA(),IF(E$8="",NA(),IF(N(E$8)=0,NA(),IF(Inputs!$C$17="Rebased to 100",$E1344/E$8*100,$E1344)))))</f>
        <v/>
      </c>
      <c r="L1344" s="54">
        <f>IF($B1344=0,NA(),IF($F1344="",NA(),IF(F$8="",NA(),IF(N(F$8)=0,NA(),IF(Inputs!$C$17="Rebased to 100",$F1344/F$8*100,$F1344)))))</f>
        <v/>
      </c>
      <c r="M1344" s="54">
        <f>IF($B1344=0,NA(),IF($G1344="",NA(),IF(G$8="",NA(),IF(N(G$8)=0,NA(),IF(Inputs!$C$17="Rebased to 100",$G1344/G$8*100,$G1344)))))</f>
        <v/>
      </c>
      <c r="N1344" s="54">
        <f>IF($B1344=0,NA(),IF(Inputs!$C$18&lt;&gt;"Yes",NA(),IF(COUNT(I1344,J1344,K1344,L1344,M1344)=0,NA(),MIN(I1344,J1344,K1344,L1344,M1344))))</f>
        <v/>
      </c>
      <c r="O1344" s="54">
        <f>IF($B1344=0,NA(),IF(Inputs!$B$24&lt;&gt;"Yes",NA(),Inputs!$D$24*Inputs!$C$35))</f>
        <v/>
      </c>
      <c r="P1344" s="54">
        <f>IF($B1344=0,NA(),IF(Inputs!$B$25&lt;&gt;"Yes",NA(),Inputs!$D$25*Inputs!$C$35))</f>
        <v/>
      </c>
      <c r="Q1344" s="54">
        <f>IF($B1344=0,NA(),IF(Inputs!$B$26&lt;&gt;"Yes",NA(),Inputs!$D$26*Inputs!$C$35))</f>
        <v/>
      </c>
      <c r="R1344" s="54">
        <f>IF($B1344=0,NA(),IF(Inputs!$B$27&lt;&gt;"Yes",NA(),Inputs!$D$27*Inputs!$C$35))</f>
        <v/>
      </c>
      <c r="S1344" s="54">
        <f>IF($B1344=0,NA(),IF(Inputs!$B$28&lt;&gt;"Yes",NA(),Inputs!$D$28*Inputs!$C$35))</f>
        <v/>
      </c>
      <c r="T1344" s="54">
        <f>IF($B1344=0,NA(),IF(Inputs!$B$29&lt;&gt;"Yes",NA(),Inputs!$D$29*Inputs!$C$35))</f>
        <v/>
      </c>
      <c r="AD1344">
        <f>IF($B1344=0,0,IF(Inputs!$B$6="",0,COUNTIFS(Data!$A$10:$A$3209,"&gt;="&amp;$A1344,Data!$A$10:$A$3209,"&lt;"&amp;$A1344+1)))</f>
        <v/>
      </c>
      <c r="AE1344">
        <f>IF($B1344=0,0,IF(Inputs!$B$7="",0,COUNTIFS(Data!$E$10:$E$3209,"&gt;="&amp;$A1344,Data!$E$10:$E$3209,"&lt;"&amp;$A1344+1)))</f>
        <v/>
      </c>
      <c r="AF1344">
        <f>IF($B1344=0,0,IF(Inputs!$B$8="",0,COUNTIFS(Data!$I$10:$I$3209,"&gt;="&amp;$A1344,Data!$I$10:$I$3209,"&lt;"&amp;$A1344+1)))</f>
        <v/>
      </c>
      <c r="AG1344">
        <f>IF($B1344=0,0,IF(Inputs!$B$9="",0,COUNTIFS(Data!$M$10:$M$3209,"&gt;="&amp;$A1344,Data!$M$10:$M$3209,"&lt;"&amp;$A1344+1)))</f>
        <v/>
      </c>
      <c r="AH1344">
        <f>IF($B1344=0,0,IF(Inputs!$B$10="",0,COUNTIFS(Data!$Q$10:$Q$3209,"&gt;="&amp;$A1344,Data!$Q$10:$Q$3209,"&lt;"&amp;$A1344+1)))</f>
        <v/>
      </c>
    </row>
    <row r="1345">
      <c r="A1345" s="55">
        <f>MIN(Inputs!$C$15,$A1344+IF(WEEKDAY($A1344,2)=5,3,1))</f>
        <v/>
      </c>
      <c r="B1345">
        <f>IF($A1345&gt;$A1344,1,0)</f>
        <v/>
      </c>
      <c r="C1345" s="56">
        <f>IF($B1345=0,"",IF(Inputs!$B$6="","",IF($AD1345=0,C1344,SUMIFS(Data!$B$10:$B$3209,Data!$A$10:$A$3209,"&gt;="&amp;$A1345,Data!$A$10:$A$3209,"&lt;"&amp;$A1345+1)/$AD1345)))</f>
        <v/>
      </c>
      <c r="D1345" s="56">
        <f>IF($B1345=0,"",IF(Inputs!$B$7="","",IF($AE1345=0,D1344,SUMIFS(Data!$F$10:$F$3209,Data!$E$10:$E$3209,"&gt;="&amp;$A1345,Data!$E$10:$E$3209,"&lt;"&amp;$A1345+1)/$AE1345)))</f>
        <v/>
      </c>
      <c r="E1345" s="56">
        <f>IF($B1345=0,"",IF(Inputs!$B$8="","",IF($AF1345=0,E1344,SUMIFS(Data!$J$10:$J$3209,Data!$I$10:$I$3209,"&gt;="&amp;$A1345,Data!$I$10:$I$3209,"&lt;"&amp;$A1345+1)/$AF1345)))</f>
        <v/>
      </c>
      <c r="F1345" s="56">
        <f>IF($B1345=0,"",IF(Inputs!$B$9="","",IF($AG1345=0,F1344,SUMIFS(Data!$N$10:$N$3209,Data!$M$10:$M$3209,"&gt;="&amp;$A1345,Data!$M$10:$M$3209,"&lt;"&amp;$A1345+1)/$AG1345)))</f>
        <v/>
      </c>
      <c r="G1345" s="56">
        <f>IF($B1345=0,"",IF(Inputs!$B$10="","",IF($AH1345=0,G1344,SUMIFS(Data!$R$10:$R$3209,Data!$Q$10:$Q$3209,"&gt;="&amp;$A1345,Data!$Q$10:$Q$3209,"&lt;"&amp;$A1345+1)/$AH1345)))</f>
        <v/>
      </c>
      <c r="I1345" s="54">
        <f>IF($B1345=0,NA(),IF($C1345="",NA(),IF(C$8="",NA(),IF(N(C$8)=0,NA(),IF(Inputs!$C$17="Rebased to 100",$C1345/C$8*100,$C1345)))))</f>
        <v/>
      </c>
      <c r="J1345" s="54">
        <f>IF($B1345=0,NA(),IF($D1345="",NA(),IF(D$8="",NA(),IF(N(D$8)=0,NA(),IF(Inputs!$C$17="Rebased to 100",$D1345/D$8*100,$D1345)))))</f>
        <v/>
      </c>
      <c r="K1345" s="54">
        <f>IF($B1345=0,NA(),IF($E1345="",NA(),IF(E$8="",NA(),IF(N(E$8)=0,NA(),IF(Inputs!$C$17="Rebased to 100",$E1345/E$8*100,$E1345)))))</f>
        <v/>
      </c>
      <c r="L1345" s="54">
        <f>IF($B1345=0,NA(),IF($F1345="",NA(),IF(F$8="",NA(),IF(N(F$8)=0,NA(),IF(Inputs!$C$17="Rebased to 100",$F1345/F$8*100,$F1345)))))</f>
        <v/>
      </c>
      <c r="M1345" s="54">
        <f>IF($B1345=0,NA(),IF($G1345="",NA(),IF(G$8="",NA(),IF(N(G$8)=0,NA(),IF(Inputs!$C$17="Rebased to 100",$G1345/G$8*100,$G1345)))))</f>
        <v/>
      </c>
      <c r="N1345" s="54">
        <f>IF($B1345=0,NA(),IF(Inputs!$C$18&lt;&gt;"Yes",NA(),IF(COUNT(I1345,J1345,K1345,L1345,M1345)=0,NA(),MIN(I1345,J1345,K1345,L1345,M1345))))</f>
        <v/>
      </c>
      <c r="O1345" s="54">
        <f>IF($B1345=0,NA(),IF(Inputs!$B$24&lt;&gt;"Yes",NA(),Inputs!$D$24*Inputs!$C$35))</f>
        <v/>
      </c>
      <c r="P1345" s="54">
        <f>IF($B1345=0,NA(),IF(Inputs!$B$25&lt;&gt;"Yes",NA(),Inputs!$D$25*Inputs!$C$35))</f>
        <v/>
      </c>
      <c r="Q1345" s="54">
        <f>IF($B1345=0,NA(),IF(Inputs!$B$26&lt;&gt;"Yes",NA(),Inputs!$D$26*Inputs!$C$35))</f>
        <v/>
      </c>
      <c r="R1345" s="54">
        <f>IF($B1345=0,NA(),IF(Inputs!$B$27&lt;&gt;"Yes",NA(),Inputs!$D$27*Inputs!$C$35))</f>
        <v/>
      </c>
      <c r="S1345" s="54">
        <f>IF($B1345=0,NA(),IF(Inputs!$B$28&lt;&gt;"Yes",NA(),Inputs!$D$28*Inputs!$C$35))</f>
        <v/>
      </c>
      <c r="T1345" s="54">
        <f>IF($B1345=0,NA(),IF(Inputs!$B$29&lt;&gt;"Yes",NA(),Inputs!$D$29*Inputs!$C$35))</f>
        <v/>
      </c>
      <c r="AD1345">
        <f>IF($B1345=0,0,IF(Inputs!$B$6="",0,COUNTIFS(Data!$A$10:$A$3209,"&gt;="&amp;$A1345,Data!$A$10:$A$3209,"&lt;"&amp;$A1345+1)))</f>
        <v/>
      </c>
      <c r="AE1345">
        <f>IF($B1345=0,0,IF(Inputs!$B$7="",0,COUNTIFS(Data!$E$10:$E$3209,"&gt;="&amp;$A1345,Data!$E$10:$E$3209,"&lt;"&amp;$A1345+1)))</f>
        <v/>
      </c>
      <c r="AF1345">
        <f>IF($B1345=0,0,IF(Inputs!$B$8="",0,COUNTIFS(Data!$I$10:$I$3209,"&gt;="&amp;$A1345,Data!$I$10:$I$3209,"&lt;"&amp;$A1345+1)))</f>
        <v/>
      </c>
      <c r="AG1345">
        <f>IF($B1345=0,0,IF(Inputs!$B$9="",0,COUNTIFS(Data!$M$10:$M$3209,"&gt;="&amp;$A1345,Data!$M$10:$M$3209,"&lt;"&amp;$A1345+1)))</f>
        <v/>
      </c>
      <c r="AH1345">
        <f>IF($B1345=0,0,IF(Inputs!$B$10="",0,COUNTIFS(Data!$Q$10:$Q$3209,"&gt;="&amp;$A1345,Data!$Q$10:$Q$3209,"&lt;"&amp;$A1345+1)))</f>
        <v/>
      </c>
    </row>
    <row r="1346">
      <c r="A1346" s="55">
        <f>MIN(Inputs!$C$15,$A1345+IF(WEEKDAY($A1345,2)=5,3,1))</f>
        <v/>
      </c>
      <c r="B1346">
        <f>IF($A1346&gt;$A1345,1,0)</f>
        <v/>
      </c>
      <c r="C1346" s="56">
        <f>IF($B1346=0,"",IF(Inputs!$B$6="","",IF($AD1346=0,C1345,SUMIFS(Data!$B$10:$B$3209,Data!$A$10:$A$3209,"&gt;="&amp;$A1346,Data!$A$10:$A$3209,"&lt;"&amp;$A1346+1)/$AD1346)))</f>
        <v/>
      </c>
      <c r="D1346" s="56">
        <f>IF($B1346=0,"",IF(Inputs!$B$7="","",IF($AE1346=0,D1345,SUMIFS(Data!$F$10:$F$3209,Data!$E$10:$E$3209,"&gt;="&amp;$A1346,Data!$E$10:$E$3209,"&lt;"&amp;$A1346+1)/$AE1346)))</f>
        <v/>
      </c>
      <c r="E1346" s="56">
        <f>IF($B1346=0,"",IF(Inputs!$B$8="","",IF($AF1346=0,E1345,SUMIFS(Data!$J$10:$J$3209,Data!$I$10:$I$3209,"&gt;="&amp;$A1346,Data!$I$10:$I$3209,"&lt;"&amp;$A1346+1)/$AF1346)))</f>
        <v/>
      </c>
      <c r="F1346" s="56">
        <f>IF($B1346=0,"",IF(Inputs!$B$9="","",IF($AG1346=0,F1345,SUMIFS(Data!$N$10:$N$3209,Data!$M$10:$M$3209,"&gt;="&amp;$A1346,Data!$M$10:$M$3209,"&lt;"&amp;$A1346+1)/$AG1346)))</f>
        <v/>
      </c>
      <c r="G1346" s="56">
        <f>IF($B1346=0,"",IF(Inputs!$B$10="","",IF($AH1346=0,G1345,SUMIFS(Data!$R$10:$R$3209,Data!$Q$10:$Q$3209,"&gt;="&amp;$A1346,Data!$Q$10:$Q$3209,"&lt;"&amp;$A1346+1)/$AH1346)))</f>
        <v/>
      </c>
      <c r="I1346" s="54">
        <f>IF($B1346=0,NA(),IF($C1346="",NA(),IF(C$8="",NA(),IF(N(C$8)=0,NA(),IF(Inputs!$C$17="Rebased to 100",$C1346/C$8*100,$C1346)))))</f>
        <v/>
      </c>
      <c r="J1346" s="54">
        <f>IF($B1346=0,NA(),IF($D1346="",NA(),IF(D$8="",NA(),IF(N(D$8)=0,NA(),IF(Inputs!$C$17="Rebased to 100",$D1346/D$8*100,$D1346)))))</f>
        <v/>
      </c>
      <c r="K1346" s="54">
        <f>IF($B1346=0,NA(),IF($E1346="",NA(),IF(E$8="",NA(),IF(N(E$8)=0,NA(),IF(Inputs!$C$17="Rebased to 100",$E1346/E$8*100,$E1346)))))</f>
        <v/>
      </c>
      <c r="L1346" s="54">
        <f>IF($B1346=0,NA(),IF($F1346="",NA(),IF(F$8="",NA(),IF(N(F$8)=0,NA(),IF(Inputs!$C$17="Rebased to 100",$F1346/F$8*100,$F1346)))))</f>
        <v/>
      </c>
      <c r="M1346" s="54">
        <f>IF($B1346=0,NA(),IF($G1346="",NA(),IF(G$8="",NA(),IF(N(G$8)=0,NA(),IF(Inputs!$C$17="Rebased to 100",$G1346/G$8*100,$G1346)))))</f>
        <v/>
      </c>
      <c r="N1346" s="54">
        <f>IF($B1346=0,NA(),IF(Inputs!$C$18&lt;&gt;"Yes",NA(),IF(COUNT(I1346,J1346,K1346,L1346,M1346)=0,NA(),MIN(I1346,J1346,K1346,L1346,M1346))))</f>
        <v/>
      </c>
      <c r="O1346" s="54">
        <f>IF($B1346=0,NA(),IF(Inputs!$B$24&lt;&gt;"Yes",NA(),Inputs!$D$24*Inputs!$C$35))</f>
        <v/>
      </c>
      <c r="P1346" s="54">
        <f>IF($B1346=0,NA(),IF(Inputs!$B$25&lt;&gt;"Yes",NA(),Inputs!$D$25*Inputs!$C$35))</f>
        <v/>
      </c>
      <c r="Q1346" s="54">
        <f>IF($B1346=0,NA(),IF(Inputs!$B$26&lt;&gt;"Yes",NA(),Inputs!$D$26*Inputs!$C$35))</f>
        <v/>
      </c>
      <c r="R1346" s="54">
        <f>IF($B1346=0,NA(),IF(Inputs!$B$27&lt;&gt;"Yes",NA(),Inputs!$D$27*Inputs!$C$35))</f>
        <v/>
      </c>
      <c r="S1346" s="54">
        <f>IF($B1346=0,NA(),IF(Inputs!$B$28&lt;&gt;"Yes",NA(),Inputs!$D$28*Inputs!$C$35))</f>
        <v/>
      </c>
      <c r="T1346" s="54">
        <f>IF($B1346=0,NA(),IF(Inputs!$B$29&lt;&gt;"Yes",NA(),Inputs!$D$29*Inputs!$C$35))</f>
        <v/>
      </c>
      <c r="AD1346">
        <f>IF($B1346=0,0,IF(Inputs!$B$6="",0,COUNTIFS(Data!$A$10:$A$3209,"&gt;="&amp;$A1346,Data!$A$10:$A$3209,"&lt;"&amp;$A1346+1)))</f>
        <v/>
      </c>
      <c r="AE1346">
        <f>IF($B1346=0,0,IF(Inputs!$B$7="",0,COUNTIFS(Data!$E$10:$E$3209,"&gt;="&amp;$A1346,Data!$E$10:$E$3209,"&lt;"&amp;$A1346+1)))</f>
        <v/>
      </c>
      <c r="AF1346">
        <f>IF($B1346=0,0,IF(Inputs!$B$8="",0,COUNTIFS(Data!$I$10:$I$3209,"&gt;="&amp;$A1346,Data!$I$10:$I$3209,"&lt;"&amp;$A1346+1)))</f>
        <v/>
      </c>
      <c r="AG1346">
        <f>IF($B1346=0,0,IF(Inputs!$B$9="",0,COUNTIFS(Data!$M$10:$M$3209,"&gt;="&amp;$A1346,Data!$M$10:$M$3209,"&lt;"&amp;$A1346+1)))</f>
        <v/>
      </c>
      <c r="AH1346">
        <f>IF($B1346=0,0,IF(Inputs!$B$10="",0,COUNTIFS(Data!$Q$10:$Q$3209,"&gt;="&amp;$A1346,Data!$Q$10:$Q$3209,"&lt;"&amp;$A1346+1)))</f>
        <v/>
      </c>
    </row>
    <row r="1347">
      <c r="A1347" s="55">
        <f>MIN(Inputs!$C$15,$A1346+IF(WEEKDAY($A1346,2)=5,3,1))</f>
        <v/>
      </c>
      <c r="B1347">
        <f>IF($A1347&gt;$A1346,1,0)</f>
        <v/>
      </c>
      <c r="C1347" s="56">
        <f>IF($B1347=0,"",IF(Inputs!$B$6="","",IF($AD1347=0,C1346,SUMIFS(Data!$B$10:$B$3209,Data!$A$10:$A$3209,"&gt;="&amp;$A1347,Data!$A$10:$A$3209,"&lt;"&amp;$A1347+1)/$AD1347)))</f>
        <v/>
      </c>
      <c r="D1347" s="56">
        <f>IF($B1347=0,"",IF(Inputs!$B$7="","",IF($AE1347=0,D1346,SUMIFS(Data!$F$10:$F$3209,Data!$E$10:$E$3209,"&gt;="&amp;$A1347,Data!$E$10:$E$3209,"&lt;"&amp;$A1347+1)/$AE1347)))</f>
        <v/>
      </c>
      <c r="E1347" s="56">
        <f>IF($B1347=0,"",IF(Inputs!$B$8="","",IF($AF1347=0,E1346,SUMIFS(Data!$J$10:$J$3209,Data!$I$10:$I$3209,"&gt;="&amp;$A1347,Data!$I$10:$I$3209,"&lt;"&amp;$A1347+1)/$AF1347)))</f>
        <v/>
      </c>
      <c r="F1347" s="56">
        <f>IF($B1347=0,"",IF(Inputs!$B$9="","",IF($AG1347=0,F1346,SUMIFS(Data!$N$10:$N$3209,Data!$M$10:$M$3209,"&gt;="&amp;$A1347,Data!$M$10:$M$3209,"&lt;"&amp;$A1347+1)/$AG1347)))</f>
        <v/>
      </c>
      <c r="G1347" s="56">
        <f>IF($B1347=0,"",IF(Inputs!$B$10="","",IF($AH1347=0,G1346,SUMIFS(Data!$R$10:$R$3209,Data!$Q$10:$Q$3209,"&gt;="&amp;$A1347,Data!$Q$10:$Q$3209,"&lt;"&amp;$A1347+1)/$AH1347)))</f>
        <v/>
      </c>
      <c r="I1347" s="54">
        <f>IF($B1347=0,NA(),IF($C1347="",NA(),IF(C$8="",NA(),IF(N(C$8)=0,NA(),IF(Inputs!$C$17="Rebased to 100",$C1347/C$8*100,$C1347)))))</f>
        <v/>
      </c>
      <c r="J1347" s="54">
        <f>IF($B1347=0,NA(),IF($D1347="",NA(),IF(D$8="",NA(),IF(N(D$8)=0,NA(),IF(Inputs!$C$17="Rebased to 100",$D1347/D$8*100,$D1347)))))</f>
        <v/>
      </c>
      <c r="K1347" s="54">
        <f>IF($B1347=0,NA(),IF($E1347="",NA(),IF(E$8="",NA(),IF(N(E$8)=0,NA(),IF(Inputs!$C$17="Rebased to 100",$E1347/E$8*100,$E1347)))))</f>
        <v/>
      </c>
      <c r="L1347" s="54">
        <f>IF($B1347=0,NA(),IF($F1347="",NA(),IF(F$8="",NA(),IF(N(F$8)=0,NA(),IF(Inputs!$C$17="Rebased to 100",$F1347/F$8*100,$F1347)))))</f>
        <v/>
      </c>
      <c r="M1347" s="54">
        <f>IF($B1347=0,NA(),IF($G1347="",NA(),IF(G$8="",NA(),IF(N(G$8)=0,NA(),IF(Inputs!$C$17="Rebased to 100",$G1347/G$8*100,$G1347)))))</f>
        <v/>
      </c>
      <c r="N1347" s="54">
        <f>IF($B1347=0,NA(),IF(Inputs!$C$18&lt;&gt;"Yes",NA(),IF(COUNT(I1347,J1347,K1347,L1347,M1347)=0,NA(),MIN(I1347,J1347,K1347,L1347,M1347))))</f>
        <v/>
      </c>
      <c r="O1347" s="54">
        <f>IF($B1347=0,NA(),IF(Inputs!$B$24&lt;&gt;"Yes",NA(),Inputs!$D$24*Inputs!$C$35))</f>
        <v/>
      </c>
      <c r="P1347" s="54">
        <f>IF($B1347=0,NA(),IF(Inputs!$B$25&lt;&gt;"Yes",NA(),Inputs!$D$25*Inputs!$C$35))</f>
        <v/>
      </c>
      <c r="Q1347" s="54">
        <f>IF($B1347=0,NA(),IF(Inputs!$B$26&lt;&gt;"Yes",NA(),Inputs!$D$26*Inputs!$C$35))</f>
        <v/>
      </c>
      <c r="R1347" s="54">
        <f>IF($B1347=0,NA(),IF(Inputs!$B$27&lt;&gt;"Yes",NA(),Inputs!$D$27*Inputs!$C$35))</f>
        <v/>
      </c>
      <c r="S1347" s="54">
        <f>IF($B1347=0,NA(),IF(Inputs!$B$28&lt;&gt;"Yes",NA(),Inputs!$D$28*Inputs!$C$35))</f>
        <v/>
      </c>
      <c r="T1347" s="54">
        <f>IF($B1347=0,NA(),IF(Inputs!$B$29&lt;&gt;"Yes",NA(),Inputs!$D$29*Inputs!$C$35))</f>
        <v/>
      </c>
      <c r="AD1347">
        <f>IF($B1347=0,0,IF(Inputs!$B$6="",0,COUNTIFS(Data!$A$10:$A$3209,"&gt;="&amp;$A1347,Data!$A$10:$A$3209,"&lt;"&amp;$A1347+1)))</f>
        <v/>
      </c>
      <c r="AE1347">
        <f>IF($B1347=0,0,IF(Inputs!$B$7="",0,COUNTIFS(Data!$E$10:$E$3209,"&gt;="&amp;$A1347,Data!$E$10:$E$3209,"&lt;"&amp;$A1347+1)))</f>
        <v/>
      </c>
      <c r="AF1347">
        <f>IF($B1347=0,0,IF(Inputs!$B$8="",0,COUNTIFS(Data!$I$10:$I$3209,"&gt;="&amp;$A1347,Data!$I$10:$I$3209,"&lt;"&amp;$A1347+1)))</f>
        <v/>
      </c>
      <c r="AG1347">
        <f>IF($B1347=0,0,IF(Inputs!$B$9="",0,COUNTIFS(Data!$M$10:$M$3209,"&gt;="&amp;$A1347,Data!$M$10:$M$3209,"&lt;"&amp;$A1347+1)))</f>
        <v/>
      </c>
      <c r="AH1347">
        <f>IF($B1347=0,0,IF(Inputs!$B$10="",0,COUNTIFS(Data!$Q$10:$Q$3209,"&gt;="&amp;$A1347,Data!$Q$10:$Q$3209,"&lt;"&amp;$A1347+1)))</f>
        <v/>
      </c>
    </row>
    <row r="1348">
      <c r="A1348" s="55">
        <f>MIN(Inputs!$C$15,$A1347+IF(WEEKDAY($A1347,2)=5,3,1))</f>
        <v/>
      </c>
      <c r="B1348">
        <f>IF($A1348&gt;$A1347,1,0)</f>
        <v/>
      </c>
      <c r="C1348" s="56">
        <f>IF($B1348=0,"",IF(Inputs!$B$6="","",IF($AD1348=0,C1347,SUMIFS(Data!$B$10:$B$3209,Data!$A$10:$A$3209,"&gt;="&amp;$A1348,Data!$A$10:$A$3209,"&lt;"&amp;$A1348+1)/$AD1348)))</f>
        <v/>
      </c>
      <c r="D1348" s="56">
        <f>IF($B1348=0,"",IF(Inputs!$B$7="","",IF($AE1348=0,D1347,SUMIFS(Data!$F$10:$F$3209,Data!$E$10:$E$3209,"&gt;="&amp;$A1348,Data!$E$10:$E$3209,"&lt;"&amp;$A1348+1)/$AE1348)))</f>
        <v/>
      </c>
      <c r="E1348" s="56">
        <f>IF($B1348=0,"",IF(Inputs!$B$8="","",IF($AF1348=0,E1347,SUMIFS(Data!$J$10:$J$3209,Data!$I$10:$I$3209,"&gt;="&amp;$A1348,Data!$I$10:$I$3209,"&lt;"&amp;$A1348+1)/$AF1348)))</f>
        <v/>
      </c>
      <c r="F1348" s="56">
        <f>IF($B1348=0,"",IF(Inputs!$B$9="","",IF($AG1348=0,F1347,SUMIFS(Data!$N$10:$N$3209,Data!$M$10:$M$3209,"&gt;="&amp;$A1348,Data!$M$10:$M$3209,"&lt;"&amp;$A1348+1)/$AG1348)))</f>
        <v/>
      </c>
      <c r="G1348" s="56">
        <f>IF($B1348=0,"",IF(Inputs!$B$10="","",IF($AH1348=0,G1347,SUMIFS(Data!$R$10:$R$3209,Data!$Q$10:$Q$3209,"&gt;="&amp;$A1348,Data!$Q$10:$Q$3209,"&lt;"&amp;$A1348+1)/$AH1348)))</f>
        <v/>
      </c>
      <c r="I1348" s="54">
        <f>IF($B1348=0,NA(),IF($C1348="",NA(),IF(C$8="",NA(),IF(N(C$8)=0,NA(),IF(Inputs!$C$17="Rebased to 100",$C1348/C$8*100,$C1348)))))</f>
        <v/>
      </c>
      <c r="J1348" s="54">
        <f>IF($B1348=0,NA(),IF($D1348="",NA(),IF(D$8="",NA(),IF(N(D$8)=0,NA(),IF(Inputs!$C$17="Rebased to 100",$D1348/D$8*100,$D1348)))))</f>
        <v/>
      </c>
      <c r="K1348" s="54">
        <f>IF($B1348=0,NA(),IF($E1348="",NA(),IF(E$8="",NA(),IF(N(E$8)=0,NA(),IF(Inputs!$C$17="Rebased to 100",$E1348/E$8*100,$E1348)))))</f>
        <v/>
      </c>
      <c r="L1348" s="54">
        <f>IF($B1348=0,NA(),IF($F1348="",NA(),IF(F$8="",NA(),IF(N(F$8)=0,NA(),IF(Inputs!$C$17="Rebased to 100",$F1348/F$8*100,$F1348)))))</f>
        <v/>
      </c>
      <c r="M1348" s="54">
        <f>IF($B1348=0,NA(),IF($G1348="",NA(),IF(G$8="",NA(),IF(N(G$8)=0,NA(),IF(Inputs!$C$17="Rebased to 100",$G1348/G$8*100,$G1348)))))</f>
        <v/>
      </c>
      <c r="N1348" s="54">
        <f>IF($B1348=0,NA(),IF(Inputs!$C$18&lt;&gt;"Yes",NA(),IF(COUNT(I1348,J1348,K1348,L1348,M1348)=0,NA(),MIN(I1348,J1348,K1348,L1348,M1348))))</f>
        <v/>
      </c>
      <c r="O1348" s="54">
        <f>IF($B1348=0,NA(),IF(Inputs!$B$24&lt;&gt;"Yes",NA(),Inputs!$D$24*Inputs!$C$35))</f>
        <v/>
      </c>
      <c r="P1348" s="54">
        <f>IF($B1348=0,NA(),IF(Inputs!$B$25&lt;&gt;"Yes",NA(),Inputs!$D$25*Inputs!$C$35))</f>
        <v/>
      </c>
      <c r="Q1348" s="54">
        <f>IF($B1348=0,NA(),IF(Inputs!$B$26&lt;&gt;"Yes",NA(),Inputs!$D$26*Inputs!$C$35))</f>
        <v/>
      </c>
      <c r="R1348" s="54">
        <f>IF($B1348=0,NA(),IF(Inputs!$B$27&lt;&gt;"Yes",NA(),Inputs!$D$27*Inputs!$C$35))</f>
        <v/>
      </c>
      <c r="S1348" s="54">
        <f>IF($B1348=0,NA(),IF(Inputs!$B$28&lt;&gt;"Yes",NA(),Inputs!$D$28*Inputs!$C$35))</f>
        <v/>
      </c>
      <c r="T1348" s="54">
        <f>IF($B1348=0,NA(),IF(Inputs!$B$29&lt;&gt;"Yes",NA(),Inputs!$D$29*Inputs!$C$35))</f>
        <v/>
      </c>
      <c r="AD1348">
        <f>IF($B1348=0,0,IF(Inputs!$B$6="",0,COUNTIFS(Data!$A$10:$A$3209,"&gt;="&amp;$A1348,Data!$A$10:$A$3209,"&lt;"&amp;$A1348+1)))</f>
        <v/>
      </c>
      <c r="AE1348">
        <f>IF($B1348=0,0,IF(Inputs!$B$7="",0,COUNTIFS(Data!$E$10:$E$3209,"&gt;="&amp;$A1348,Data!$E$10:$E$3209,"&lt;"&amp;$A1348+1)))</f>
        <v/>
      </c>
      <c r="AF1348">
        <f>IF($B1348=0,0,IF(Inputs!$B$8="",0,COUNTIFS(Data!$I$10:$I$3209,"&gt;="&amp;$A1348,Data!$I$10:$I$3209,"&lt;"&amp;$A1348+1)))</f>
        <v/>
      </c>
      <c r="AG1348">
        <f>IF($B1348=0,0,IF(Inputs!$B$9="",0,COUNTIFS(Data!$M$10:$M$3209,"&gt;="&amp;$A1348,Data!$M$10:$M$3209,"&lt;"&amp;$A1348+1)))</f>
        <v/>
      </c>
      <c r="AH1348">
        <f>IF($B1348=0,0,IF(Inputs!$B$10="",0,COUNTIFS(Data!$Q$10:$Q$3209,"&gt;="&amp;$A1348,Data!$Q$10:$Q$3209,"&lt;"&amp;$A1348+1)))</f>
        <v/>
      </c>
    </row>
    <row r="1349">
      <c r="A1349" s="55">
        <f>MIN(Inputs!$C$15,$A1348+IF(WEEKDAY($A1348,2)=5,3,1))</f>
        <v/>
      </c>
      <c r="B1349">
        <f>IF($A1349&gt;$A1348,1,0)</f>
        <v/>
      </c>
      <c r="C1349" s="56">
        <f>IF($B1349=0,"",IF(Inputs!$B$6="","",IF($AD1349=0,C1348,SUMIFS(Data!$B$10:$B$3209,Data!$A$10:$A$3209,"&gt;="&amp;$A1349,Data!$A$10:$A$3209,"&lt;"&amp;$A1349+1)/$AD1349)))</f>
        <v/>
      </c>
      <c r="D1349" s="56">
        <f>IF($B1349=0,"",IF(Inputs!$B$7="","",IF($AE1349=0,D1348,SUMIFS(Data!$F$10:$F$3209,Data!$E$10:$E$3209,"&gt;="&amp;$A1349,Data!$E$10:$E$3209,"&lt;"&amp;$A1349+1)/$AE1349)))</f>
        <v/>
      </c>
      <c r="E1349" s="56">
        <f>IF($B1349=0,"",IF(Inputs!$B$8="","",IF($AF1349=0,E1348,SUMIFS(Data!$J$10:$J$3209,Data!$I$10:$I$3209,"&gt;="&amp;$A1349,Data!$I$10:$I$3209,"&lt;"&amp;$A1349+1)/$AF1349)))</f>
        <v/>
      </c>
      <c r="F1349" s="56">
        <f>IF($B1349=0,"",IF(Inputs!$B$9="","",IF($AG1349=0,F1348,SUMIFS(Data!$N$10:$N$3209,Data!$M$10:$M$3209,"&gt;="&amp;$A1349,Data!$M$10:$M$3209,"&lt;"&amp;$A1349+1)/$AG1349)))</f>
        <v/>
      </c>
      <c r="G1349" s="56">
        <f>IF($B1349=0,"",IF(Inputs!$B$10="","",IF($AH1349=0,G1348,SUMIFS(Data!$R$10:$R$3209,Data!$Q$10:$Q$3209,"&gt;="&amp;$A1349,Data!$Q$10:$Q$3209,"&lt;"&amp;$A1349+1)/$AH1349)))</f>
        <v/>
      </c>
      <c r="I1349" s="54">
        <f>IF($B1349=0,NA(),IF($C1349="",NA(),IF(C$8="",NA(),IF(N(C$8)=0,NA(),IF(Inputs!$C$17="Rebased to 100",$C1349/C$8*100,$C1349)))))</f>
        <v/>
      </c>
      <c r="J1349" s="54">
        <f>IF($B1349=0,NA(),IF($D1349="",NA(),IF(D$8="",NA(),IF(N(D$8)=0,NA(),IF(Inputs!$C$17="Rebased to 100",$D1349/D$8*100,$D1349)))))</f>
        <v/>
      </c>
      <c r="K1349" s="54">
        <f>IF($B1349=0,NA(),IF($E1349="",NA(),IF(E$8="",NA(),IF(N(E$8)=0,NA(),IF(Inputs!$C$17="Rebased to 100",$E1349/E$8*100,$E1349)))))</f>
        <v/>
      </c>
      <c r="L1349" s="54">
        <f>IF($B1349=0,NA(),IF($F1349="",NA(),IF(F$8="",NA(),IF(N(F$8)=0,NA(),IF(Inputs!$C$17="Rebased to 100",$F1349/F$8*100,$F1349)))))</f>
        <v/>
      </c>
      <c r="M1349" s="54">
        <f>IF($B1349=0,NA(),IF($G1349="",NA(),IF(G$8="",NA(),IF(N(G$8)=0,NA(),IF(Inputs!$C$17="Rebased to 100",$G1349/G$8*100,$G1349)))))</f>
        <v/>
      </c>
      <c r="N1349" s="54">
        <f>IF($B1349=0,NA(),IF(Inputs!$C$18&lt;&gt;"Yes",NA(),IF(COUNT(I1349,J1349,K1349,L1349,M1349)=0,NA(),MIN(I1349,J1349,K1349,L1349,M1349))))</f>
        <v/>
      </c>
      <c r="O1349" s="54">
        <f>IF($B1349=0,NA(),IF(Inputs!$B$24&lt;&gt;"Yes",NA(),Inputs!$D$24*Inputs!$C$35))</f>
        <v/>
      </c>
      <c r="P1349" s="54">
        <f>IF($B1349=0,NA(),IF(Inputs!$B$25&lt;&gt;"Yes",NA(),Inputs!$D$25*Inputs!$C$35))</f>
        <v/>
      </c>
      <c r="Q1349" s="54">
        <f>IF($B1349=0,NA(),IF(Inputs!$B$26&lt;&gt;"Yes",NA(),Inputs!$D$26*Inputs!$C$35))</f>
        <v/>
      </c>
      <c r="R1349" s="54">
        <f>IF($B1349=0,NA(),IF(Inputs!$B$27&lt;&gt;"Yes",NA(),Inputs!$D$27*Inputs!$C$35))</f>
        <v/>
      </c>
      <c r="S1349" s="54">
        <f>IF($B1349=0,NA(),IF(Inputs!$B$28&lt;&gt;"Yes",NA(),Inputs!$D$28*Inputs!$C$35))</f>
        <v/>
      </c>
      <c r="T1349" s="54">
        <f>IF($B1349=0,NA(),IF(Inputs!$B$29&lt;&gt;"Yes",NA(),Inputs!$D$29*Inputs!$C$35))</f>
        <v/>
      </c>
      <c r="AD1349">
        <f>IF($B1349=0,0,IF(Inputs!$B$6="",0,COUNTIFS(Data!$A$10:$A$3209,"&gt;="&amp;$A1349,Data!$A$10:$A$3209,"&lt;"&amp;$A1349+1)))</f>
        <v/>
      </c>
      <c r="AE1349">
        <f>IF($B1349=0,0,IF(Inputs!$B$7="",0,COUNTIFS(Data!$E$10:$E$3209,"&gt;="&amp;$A1349,Data!$E$10:$E$3209,"&lt;"&amp;$A1349+1)))</f>
        <v/>
      </c>
      <c r="AF1349">
        <f>IF($B1349=0,0,IF(Inputs!$B$8="",0,COUNTIFS(Data!$I$10:$I$3209,"&gt;="&amp;$A1349,Data!$I$10:$I$3209,"&lt;"&amp;$A1349+1)))</f>
        <v/>
      </c>
      <c r="AG1349">
        <f>IF($B1349=0,0,IF(Inputs!$B$9="",0,COUNTIFS(Data!$M$10:$M$3209,"&gt;="&amp;$A1349,Data!$M$10:$M$3209,"&lt;"&amp;$A1349+1)))</f>
        <v/>
      </c>
      <c r="AH1349">
        <f>IF($B1349=0,0,IF(Inputs!$B$10="",0,COUNTIFS(Data!$Q$10:$Q$3209,"&gt;="&amp;$A1349,Data!$Q$10:$Q$3209,"&lt;"&amp;$A1349+1)))</f>
        <v/>
      </c>
    </row>
    <row r="1350">
      <c r="A1350" s="55">
        <f>MIN(Inputs!$C$15,$A1349+IF(WEEKDAY($A1349,2)=5,3,1))</f>
        <v/>
      </c>
      <c r="B1350">
        <f>IF($A1350&gt;$A1349,1,0)</f>
        <v/>
      </c>
      <c r="C1350" s="56">
        <f>IF($B1350=0,"",IF(Inputs!$B$6="","",IF($AD1350=0,C1349,SUMIFS(Data!$B$10:$B$3209,Data!$A$10:$A$3209,"&gt;="&amp;$A1350,Data!$A$10:$A$3209,"&lt;"&amp;$A1350+1)/$AD1350)))</f>
        <v/>
      </c>
      <c r="D1350" s="56">
        <f>IF($B1350=0,"",IF(Inputs!$B$7="","",IF($AE1350=0,D1349,SUMIFS(Data!$F$10:$F$3209,Data!$E$10:$E$3209,"&gt;="&amp;$A1350,Data!$E$10:$E$3209,"&lt;"&amp;$A1350+1)/$AE1350)))</f>
        <v/>
      </c>
      <c r="E1350" s="56">
        <f>IF($B1350=0,"",IF(Inputs!$B$8="","",IF($AF1350=0,E1349,SUMIFS(Data!$J$10:$J$3209,Data!$I$10:$I$3209,"&gt;="&amp;$A1350,Data!$I$10:$I$3209,"&lt;"&amp;$A1350+1)/$AF1350)))</f>
        <v/>
      </c>
      <c r="F1350" s="56">
        <f>IF($B1350=0,"",IF(Inputs!$B$9="","",IF($AG1350=0,F1349,SUMIFS(Data!$N$10:$N$3209,Data!$M$10:$M$3209,"&gt;="&amp;$A1350,Data!$M$10:$M$3209,"&lt;"&amp;$A1350+1)/$AG1350)))</f>
        <v/>
      </c>
      <c r="G1350" s="56">
        <f>IF($B1350=0,"",IF(Inputs!$B$10="","",IF($AH1350=0,G1349,SUMIFS(Data!$R$10:$R$3209,Data!$Q$10:$Q$3209,"&gt;="&amp;$A1350,Data!$Q$10:$Q$3209,"&lt;"&amp;$A1350+1)/$AH1350)))</f>
        <v/>
      </c>
      <c r="I1350" s="54">
        <f>IF($B1350=0,NA(),IF($C1350="",NA(),IF(C$8="",NA(),IF(N(C$8)=0,NA(),IF(Inputs!$C$17="Rebased to 100",$C1350/C$8*100,$C1350)))))</f>
        <v/>
      </c>
      <c r="J1350" s="54">
        <f>IF($B1350=0,NA(),IF($D1350="",NA(),IF(D$8="",NA(),IF(N(D$8)=0,NA(),IF(Inputs!$C$17="Rebased to 100",$D1350/D$8*100,$D1350)))))</f>
        <v/>
      </c>
      <c r="K1350" s="54">
        <f>IF($B1350=0,NA(),IF($E1350="",NA(),IF(E$8="",NA(),IF(N(E$8)=0,NA(),IF(Inputs!$C$17="Rebased to 100",$E1350/E$8*100,$E1350)))))</f>
        <v/>
      </c>
      <c r="L1350" s="54">
        <f>IF($B1350=0,NA(),IF($F1350="",NA(),IF(F$8="",NA(),IF(N(F$8)=0,NA(),IF(Inputs!$C$17="Rebased to 100",$F1350/F$8*100,$F1350)))))</f>
        <v/>
      </c>
      <c r="M1350" s="54">
        <f>IF($B1350=0,NA(),IF($G1350="",NA(),IF(G$8="",NA(),IF(N(G$8)=0,NA(),IF(Inputs!$C$17="Rebased to 100",$G1350/G$8*100,$G1350)))))</f>
        <v/>
      </c>
      <c r="N1350" s="54">
        <f>IF($B1350=0,NA(),IF(Inputs!$C$18&lt;&gt;"Yes",NA(),IF(COUNT(I1350,J1350,K1350,L1350,M1350)=0,NA(),MIN(I1350,J1350,K1350,L1350,M1350))))</f>
        <v/>
      </c>
      <c r="O1350" s="54">
        <f>IF($B1350=0,NA(),IF(Inputs!$B$24&lt;&gt;"Yes",NA(),Inputs!$D$24*Inputs!$C$35))</f>
        <v/>
      </c>
      <c r="P1350" s="54">
        <f>IF($B1350=0,NA(),IF(Inputs!$B$25&lt;&gt;"Yes",NA(),Inputs!$D$25*Inputs!$C$35))</f>
        <v/>
      </c>
      <c r="Q1350" s="54">
        <f>IF($B1350=0,NA(),IF(Inputs!$B$26&lt;&gt;"Yes",NA(),Inputs!$D$26*Inputs!$C$35))</f>
        <v/>
      </c>
      <c r="R1350" s="54">
        <f>IF($B1350=0,NA(),IF(Inputs!$B$27&lt;&gt;"Yes",NA(),Inputs!$D$27*Inputs!$C$35))</f>
        <v/>
      </c>
      <c r="S1350" s="54">
        <f>IF($B1350=0,NA(),IF(Inputs!$B$28&lt;&gt;"Yes",NA(),Inputs!$D$28*Inputs!$C$35))</f>
        <v/>
      </c>
      <c r="T1350" s="54">
        <f>IF($B1350=0,NA(),IF(Inputs!$B$29&lt;&gt;"Yes",NA(),Inputs!$D$29*Inputs!$C$35))</f>
        <v/>
      </c>
      <c r="AD1350">
        <f>IF($B1350=0,0,IF(Inputs!$B$6="",0,COUNTIFS(Data!$A$10:$A$3209,"&gt;="&amp;$A1350,Data!$A$10:$A$3209,"&lt;"&amp;$A1350+1)))</f>
        <v/>
      </c>
      <c r="AE1350">
        <f>IF($B1350=0,0,IF(Inputs!$B$7="",0,COUNTIFS(Data!$E$10:$E$3209,"&gt;="&amp;$A1350,Data!$E$10:$E$3209,"&lt;"&amp;$A1350+1)))</f>
        <v/>
      </c>
      <c r="AF1350">
        <f>IF($B1350=0,0,IF(Inputs!$B$8="",0,COUNTIFS(Data!$I$10:$I$3209,"&gt;="&amp;$A1350,Data!$I$10:$I$3209,"&lt;"&amp;$A1350+1)))</f>
        <v/>
      </c>
      <c r="AG1350">
        <f>IF($B1350=0,0,IF(Inputs!$B$9="",0,COUNTIFS(Data!$M$10:$M$3209,"&gt;="&amp;$A1350,Data!$M$10:$M$3209,"&lt;"&amp;$A1350+1)))</f>
        <v/>
      </c>
      <c r="AH1350">
        <f>IF($B1350=0,0,IF(Inputs!$B$10="",0,COUNTIFS(Data!$Q$10:$Q$3209,"&gt;="&amp;$A1350,Data!$Q$10:$Q$3209,"&lt;"&amp;$A1350+1)))</f>
        <v/>
      </c>
    </row>
    <row r="1351">
      <c r="A1351" s="55">
        <f>MIN(Inputs!$C$15,$A1350+IF(WEEKDAY($A1350,2)=5,3,1))</f>
        <v/>
      </c>
      <c r="B1351">
        <f>IF($A1351&gt;$A1350,1,0)</f>
        <v/>
      </c>
      <c r="C1351" s="56">
        <f>IF($B1351=0,"",IF(Inputs!$B$6="","",IF($AD1351=0,C1350,SUMIFS(Data!$B$10:$B$3209,Data!$A$10:$A$3209,"&gt;="&amp;$A1351,Data!$A$10:$A$3209,"&lt;"&amp;$A1351+1)/$AD1351)))</f>
        <v/>
      </c>
      <c r="D1351" s="56">
        <f>IF($B1351=0,"",IF(Inputs!$B$7="","",IF($AE1351=0,D1350,SUMIFS(Data!$F$10:$F$3209,Data!$E$10:$E$3209,"&gt;="&amp;$A1351,Data!$E$10:$E$3209,"&lt;"&amp;$A1351+1)/$AE1351)))</f>
        <v/>
      </c>
      <c r="E1351" s="56">
        <f>IF($B1351=0,"",IF(Inputs!$B$8="","",IF($AF1351=0,E1350,SUMIFS(Data!$J$10:$J$3209,Data!$I$10:$I$3209,"&gt;="&amp;$A1351,Data!$I$10:$I$3209,"&lt;"&amp;$A1351+1)/$AF1351)))</f>
        <v/>
      </c>
      <c r="F1351" s="56">
        <f>IF($B1351=0,"",IF(Inputs!$B$9="","",IF($AG1351=0,F1350,SUMIFS(Data!$N$10:$N$3209,Data!$M$10:$M$3209,"&gt;="&amp;$A1351,Data!$M$10:$M$3209,"&lt;"&amp;$A1351+1)/$AG1351)))</f>
        <v/>
      </c>
      <c r="G1351" s="56">
        <f>IF($B1351=0,"",IF(Inputs!$B$10="","",IF($AH1351=0,G1350,SUMIFS(Data!$R$10:$R$3209,Data!$Q$10:$Q$3209,"&gt;="&amp;$A1351,Data!$Q$10:$Q$3209,"&lt;"&amp;$A1351+1)/$AH1351)))</f>
        <v/>
      </c>
      <c r="I1351" s="54">
        <f>IF($B1351=0,NA(),IF($C1351="",NA(),IF(C$8="",NA(),IF(N(C$8)=0,NA(),IF(Inputs!$C$17="Rebased to 100",$C1351/C$8*100,$C1351)))))</f>
        <v/>
      </c>
      <c r="J1351" s="54">
        <f>IF($B1351=0,NA(),IF($D1351="",NA(),IF(D$8="",NA(),IF(N(D$8)=0,NA(),IF(Inputs!$C$17="Rebased to 100",$D1351/D$8*100,$D1351)))))</f>
        <v/>
      </c>
      <c r="K1351" s="54">
        <f>IF($B1351=0,NA(),IF($E1351="",NA(),IF(E$8="",NA(),IF(N(E$8)=0,NA(),IF(Inputs!$C$17="Rebased to 100",$E1351/E$8*100,$E1351)))))</f>
        <v/>
      </c>
      <c r="L1351" s="54">
        <f>IF($B1351=0,NA(),IF($F1351="",NA(),IF(F$8="",NA(),IF(N(F$8)=0,NA(),IF(Inputs!$C$17="Rebased to 100",$F1351/F$8*100,$F1351)))))</f>
        <v/>
      </c>
      <c r="M1351" s="54">
        <f>IF($B1351=0,NA(),IF($G1351="",NA(),IF(G$8="",NA(),IF(N(G$8)=0,NA(),IF(Inputs!$C$17="Rebased to 100",$G1351/G$8*100,$G1351)))))</f>
        <v/>
      </c>
      <c r="N1351" s="54">
        <f>IF($B1351=0,NA(),IF(Inputs!$C$18&lt;&gt;"Yes",NA(),IF(COUNT(I1351,J1351,K1351,L1351,M1351)=0,NA(),MIN(I1351,J1351,K1351,L1351,M1351))))</f>
        <v/>
      </c>
      <c r="O1351" s="54">
        <f>IF($B1351=0,NA(),IF(Inputs!$B$24&lt;&gt;"Yes",NA(),Inputs!$D$24*Inputs!$C$35))</f>
        <v/>
      </c>
      <c r="P1351" s="54">
        <f>IF($B1351=0,NA(),IF(Inputs!$B$25&lt;&gt;"Yes",NA(),Inputs!$D$25*Inputs!$C$35))</f>
        <v/>
      </c>
      <c r="Q1351" s="54">
        <f>IF($B1351=0,NA(),IF(Inputs!$B$26&lt;&gt;"Yes",NA(),Inputs!$D$26*Inputs!$C$35))</f>
        <v/>
      </c>
      <c r="R1351" s="54">
        <f>IF($B1351=0,NA(),IF(Inputs!$B$27&lt;&gt;"Yes",NA(),Inputs!$D$27*Inputs!$C$35))</f>
        <v/>
      </c>
      <c r="S1351" s="54">
        <f>IF($B1351=0,NA(),IF(Inputs!$B$28&lt;&gt;"Yes",NA(),Inputs!$D$28*Inputs!$C$35))</f>
        <v/>
      </c>
      <c r="T1351" s="54">
        <f>IF($B1351=0,NA(),IF(Inputs!$B$29&lt;&gt;"Yes",NA(),Inputs!$D$29*Inputs!$C$35))</f>
        <v/>
      </c>
      <c r="AD1351">
        <f>IF($B1351=0,0,IF(Inputs!$B$6="",0,COUNTIFS(Data!$A$10:$A$3209,"&gt;="&amp;$A1351,Data!$A$10:$A$3209,"&lt;"&amp;$A1351+1)))</f>
        <v/>
      </c>
      <c r="AE1351">
        <f>IF($B1351=0,0,IF(Inputs!$B$7="",0,COUNTIFS(Data!$E$10:$E$3209,"&gt;="&amp;$A1351,Data!$E$10:$E$3209,"&lt;"&amp;$A1351+1)))</f>
        <v/>
      </c>
      <c r="AF1351">
        <f>IF($B1351=0,0,IF(Inputs!$B$8="",0,COUNTIFS(Data!$I$10:$I$3209,"&gt;="&amp;$A1351,Data!$I$10:$I$3209,"&lt;"&amp;$A1351+1)))</f>
        <v/>
      </c>
      <c r="AG1351">
        <f>IF($B1351=0,0,IF(Inputs!$B$9="",0,COUNTIFS(Data!$M$10:$M$3209,"&gt;="&amp;$A1351,Data!$M$10:$M$3209,"&lt;"&amp;$A1351+1)))</f>
        <v/>
      </c>
      <c r="AH1351">
        <f>IF($B1351=0,0,IF(Inputs!$B$10="",0,COUNTIFS(Data!$Q$10:$Q$3209,"&gt;="&amp;$A1351,Data!$Q$10:$Q$3209,"&lt;"&amp;$A1351+1)))</f>
        <v/>
      </c>
    </row>
    <row r="1352">
      <c r="A1352" s="55">
        <f>MIN(Inputs!$C$15,$A1351+IF(WEEKDAY($A1351,2)=5,3,1))</f>
        <v/>
      </c>
      <c r="B1352">
        <f>IF($A1352&gt;$A1351,1,0)</f>
        <v/>
      </c>
      <c r="C1352" s="56">
        <f>IF($B1352=0,"",IF(Inputs!$B$6="","",IF($AD1352=0,C1351,SUMIFS(Data!$B$10:$B$3209,Data!$A$10:$A$3209,"&gt;="&amp;$A1352,Data!$A$10:$A$3209,"&lt;"&amp;$A1352+1)/$AD1352)))</f>
        <v/>
      </c>
      <c r="D1352" s="56">
        <f>IF($B1352=0,"",IF(Inputs!$B$7="","",IF($AE1352=0,D1351,SUMIFS(Data!$F$10:$F$3209,Data!$E$10:$E$3209,"&gt;="&amp;$A1352,Data!$E$10:$E$3209,"&lt;"&amp;$A1352+1)/$AE1352)))</f>
        <v/>
      </c>
      <c r="E1352" s="56">
        <f>IF($B1352=0,"",IF(Inputs!$B$8="","",IF($AF1352=0,E1351,SUMIFS(Data!$J$10:$J$3209,Data!$I$10:$I$3209,"&gt;="&amp;$A1352,Data!$I$10:$I$3209,"&lt;"&amp;$A1352+1)/$AF1352)))</f>
        <v/>
      </c>
      <c r="F1352" s="56">
        <f>IF($B1352=0,"",IF(Inputs!$B$9="","",IF($AG1352=0,F1351,SUMIFS(Data!$N$10:$N$3209,Data!$M$10:$M$3209,"&gt;="&amp;$A1352,Data!$M$10:$M$3209,"&lt;"&amp;$A1352+1)/$AG1352)))</f>
        <v/>
      </c>
      <c r="G1352" s="56">
        <f>IF($B1352=0,"",IF(Inputs!$B$10="","",IF($AH1352=0,G1351,SUMIFS(Data!$R$10:$R$3209,Data!$Q$10:$Q$3209,"&gt;="&amp;$A1352,Data!$Q$10:$Q$3209,"&lt;"&amp;$A1352+1)/$AH1352)))</f>
        <v/>
      </c>
      <c r="I1352" s="54">
        <f>IF($B1352=0,NA(),IF($C1352="",NA(),IF(C$8="",NA(),IF(N(C$8)=0,NA(),IF(Inputs!$C$17="Rebased to 100",$C1352/C$8*100,$C1352)))))</f>
        <v/>
      </c>
      <c r="J1352" s="54">
        <f>IF($B1352=0,NA(),IF($D1352="",NA(),IF(D$8="",NA(),IF(N(D$8)=0,NA(),IF(Inputs!$C$17="Rebased to 100",$D1352/D$8*100,$D1352)))))</f>
        <v/>
      </c>
      <c r="K1352" s="54">
        <f>IF($B1352=0,NA(),IF($E1352="",NA(),IF(E$8="",NA(),IF(N(E$8)=0,NA(),IF(Inputs!$C$17="Rebased to 100",$E1352/E$8*100,$E1352)))))</f>
        <v/>
      </c>
      <c r="L1352" s="54">
        <f>IF($B1352=0,NA(),IF($F1352="",NA(),IF(F$8="",NA(),IF(N(F$8)=0,NA(),IF(Inputs!$C$17="Rebased to 100",$F1352/F$8*100,$F1352)))))</f>
        <v/>
      </c>
      <c r="M1352" s="54">
        <f>IF($B1352=0,NA(),IF($G1352="",NA(),IF(G$8="",NA(),IF(N(G$8)=0,NA(),IF(Inputs!$C$17="Rebased to 100",$G1352/G$8*100,$G1352)))))</f>
        <v/>
      </c>
      <c r="N1352" s="54">
        <f>IF($B1352=0,NA(),IF(Inputs!$C$18&lt;&gt;"Yes",NA(),IF(COUNT(I1352,J1352,K1352,L1352,M1352)=0,NA(),MIN(I1352,J1352,K1352,L1352,M1352))))</f>
        <v/>
      </c>
      <c r="O1352" s="54">
        <f>IF($B1352=0,NA(),IF(Inputs!$B$24&lt;&gt;"Yes",NA(),Inputs!$D$24*Inputs!$C$35))</f>
        <v/>
      </c>
      <c r="P1352" s="54">
        <f>IF($B1352=0,NA(),IF(Inputs!$B$25&lt;&gt;"Yes",NA(),Inputs!$D$25*Inputs!$C$35))</f>
        <v/>
      </c>
      <c r="Q1352" s="54">
        <f>IF($B1352=0,NA(),IF(Inputs!$B$26&lt;&gt;"Yes",NA(),Inputs!$D$26*Inputs!$C$35))</f>
        <v/>
      </c>
      <c r="R1352" s="54">
        <f>IF($B1352=0,NA(),IF(Inputs!$B$27&lt;&gt;"Yes",NA(),Inputs!$D$27*Inputs!$C$35))</f>
        <v/>
      </c>
      <c r="S1352" s="54">
        <f>IF($B1352=0,NA(),IF(Inputs!$B$28&lt;&gt;"Yes",NA(),Inputs!$D$28*Inputs!$C$35))</f>
        <v/>
      </c>
      <c r="T1352" s="54">
        <f>IF($B1352=0,NA(),IF(Inputs!$B$29&lt;&gt;"Yes",NA(),Inputs!$D$29*Inputs!$C$35))</f>
        <v/>
      </c>
      <c r="AD1352">
        <f>IF($B1352=0,0,IF(Inputs!$B$6="",0,COUNTIFS(Data!$A$10:$A$3209,"&gt;="&amp;$A1352,Data!$A$10:$A$3209,"&lt;"&amp;$A1352+1)))</f>
        <v/>
      </c>
      <c r="AE1352">
        <f>IF($B1352=0,0,IF(Inputs!$B$7="",0,COUNTIFS(Data!$E$10:$E$3209,"&gt;="&amp;$A1352,Data!$E$10:$E$3209,"&lt;"&amp;$A1352+1)))</f>
        <v/>
      </c>
      <c r="AF1352">
        <f>IF($B1352=0,0,IF(Inputs!$B$8="",0,COUNTIFS(Data!$I$10:$I$3209,"&gt;="&amp;$A1352,Data!$I$10:$I$3209,"&lt;"&amp;$A1352+1)))</f>
        <v/>
      </c>
      <c r="AG1352">
        <f>IF($B1352=0,0,IF(Inputs!$B$9="",0,COUNTIFS(Data!$M$10:$M$3209,"&gt;="&amp;$A1352,Data!$M$10:$M$3209,"&lt;"&amp;$A1352+1)))</f>
        <v/>
      </c>
      <c r="AH1352">
        <f>IF($B1352=0,0,IF(Inputs!$B$10="",0,COUNTIFS(Data!$Q$10:$Q$3209,"&gt;="&amp;$A1352,Data!$Q$10:$Q$3209,"&lt;"&amp;$A1352+1)))</f>
        <v/>
      </c>
    </row>
    <row r="1353">
      <c r="A1353" s="55">
        <f>MIN(Inputs!$C$15,$A1352+IF(WEEKDAY($A1352,2)=5,3,1))</f>
        <v/>
      </c>
      <c r="B1353">
        <f>IF($A1353&gt;$A1352,1,0)</f>
        <v/>
      </c>
      <c r="C1353" s="56">
        <f>IF($B1353=0,"",IF(Inputs!$B$6="","",IF($AD1353=0,C1352,SUMIFS(Data!$B$10:$B$3209,Data!$A$10:$A$3209,"&gt;="&amp;$A1353,Data!$A$10:$A$3209,"&lt;"&amp;$A1353+1)/$AD1353)))</f>
        <v/>
      </c>
      <c r="D1353" s="56">
        <f>IF($B1353=0,"",IF(Inputs!$B$7="","",IF($AE1353=0,D1352,SUMIFS(Data!$F$10:$F$3209,Data!$E$10:$E$3209,"&gt;="&amp;$A1353,Data!$E$10:$E$3209,"&lt;"&amp;$A1353+1)/$AE1353)))</f>
        <v/>
      </c>
      <c r="E1353" s="56">
        <f>IF($B1353=0,"",IF(Inputs!$B$8="","",IF($AF1353=0,E1352,SUMIFS(Data!$J$10:$J$3209,Data!$I$10:$I$3209,"&gt;="&amp;$A1353,Data!$I$10:$I$3209,"&lt;"&amp;$A1353+1)/$AF1353)))</f>
        <v/>
      </c>
      <c r="F1353" s="56">
        <f>IF($B1353=0,"",IF(Inputs!$B$9="","",IF($AG1353=0,F1352,SUMIFS(Data!$N$10:$N$3209,Data!$M$10:$M$3209,"&gt;="&amp;$A1353,Data!$M$10:$M$3209,"&lt;"&amp;$A1353+1)/$AG1353)))</f>
        <v/>
      </c>
      <c r="G1353" s="56">
        <f>IF($B1353=0,"",IF(Inputs!$B$10="","",IF($AH1353=0,G1352,SUMIFS(Data!$R$10:$R$3209,Data!$Q$10:$Q$3209,"&gt;="&amp;$A1353,Data!$Q$10:$Q$3209,"&lt;"&amp;$A1353+1)/$AH1353)))</f>
        <v/>
      </c>
      <c r="I1353" s="54">
        <f>IF($B1353=0,NA(),IF($C1353="",NA(),IF(C$8="",NA(),IF(N(C$8)=0,NA(),IF(Inputs!$C$17="Rebased to 100",$C1353/C$8*100,$C1353)))))</f>
        <v/>
      </c>
      <c r="J1353" s="54">
        <f>IF($B1353=0,NA(),IF($D1353="",NA(),IF(D$8="",NA(),IF(N(D$8)=0,NA(),IF(Inputs!$C$17="Rebased to 100",$D1353/D$8*100,$D1353)))))</f>
        <v/>
      </c>
      <c r="K1353" s="54">
        <f>IF($B1353=0,NA(),IF($E1353="",NA(),IF(E$8="",NA(),IF(N(E$8)=0,NA(),IF(Inputs!$C$17="Rebased to 100",$E1353/E$8*100,$E1353)))))</f>
        <v/>
      </c>
      <c r="L1353" s="54">
        <f>IF($B1353=0,NA(),IF($F1353="",NA(),IF(F$8="",NA(),IF(N(F$8)=0,NA(),IF(Inputs!$C$17="Rebased to 100",$F1353/F$8*100,$F1353)))))</f>
        <v/>
      </c>
      <c r="M1353" s="54">
        <f>IF($B1353=0,NA(),IF($G1353="",NA(),IF(G$8="",NA(),IF(N(G$8)=0,NA(),IF(Inputs!$C$17="Rebased to 100",$G1353/G$8*100,$G1353)))))</f>
        <v/>
      </c>
      <c r="N1353" s="54">
        <f>IF($B1353=0,NA(),IF(Inputs!$C$18&lt;&gt;"Yes",NA(),IF(COUNT(I1353,J1353,K1353,L1353,M1353)=0,NA(),MIN(I1353,J1353,K1353,L1353,M1353))))</f>
        <v/>
      </c>
      <c r="O1353" s="54">
        <f>IF($B1353=0,NA(),IF(Inputs!$B$24&lt;&gt;"Yes",NA(),Inputs!$D$24*Inputs!$C$35))</f>
        <v/>
      </c>
      <c r="P1353" s="54">
        <f>IF($B1353=0,NA(),IF(Inputs!$B$25&lt;&gt;"Yes",NA(),Inputs!$D$25*Inputs!$C$35))</f>
        <v/>
      </c>
      <c r="Q1353" s="54">
        <f>IF($B1353=0,NA(),IF(Inputs!$B$26&lt;&gt;"Yes",NA(),Inputs!$D$26*Inputs!$C$35))</f>
        <v/>
      </c>
      <c r="R1353" s="54">
        <f>IF($B1353=0,NA(),IF(Inputs!$B$27&lt;&gt;"Yes",NA(),Inputs!$D$27*Inputs!$C$35))</f>
        <v/>
      </c>
      <c r="S1353" s="54">
        <f>IF($B1353=0,NA(),IF(Inputs!$B$28&lt;&gt;"Yes",NA(),Inputs!$D$28*Inputs!$C$35))</f>
        <v/>
      </c>
      <c r="T1353" s="54">
        <f>IF($B1353=0,NA(),IF(Inputs!$B$29&lt;&gt;"Yes",NA(),Inputs!$D$29*Inputs!$C$35))</f>
        <v/>
      </c>
      <c r="AD1353">
        <f>IF($B1353=0,0,IF(Inputs!$B$6="",0,COUNTIFS(Data!$A$10:$A$3209,"&gt;="&amp;$A1353,Data!$A$10:$A$3209,"&lt;"&amp;$A1353+1)))</f>
        <v/>
      </c>
      <c r="AE1353">
        <f>IF($B1353=0,0,IF(Inputs!$B$7="",0,COUNTIFS(Data!$E$10:$E$3209,"&gt;="&amp;$A1353,Data!$E$10:$E$3209,"&lt;"&amp;$A1353+1)))</f>
        <v/>
      </c>
      <c r="AF1353">
        <f>IF($B1353=0,0,IF(Inputs!$B$8="",0,COUNTIFS(Data!$I$10:$I$3209,"&gt;="&amp;$A1353,Data!$I$10:$I$3209,"&lt;"&amp;$A1353+1)))</f>
        <v/>
      </c>
      <c r="AG1353">
        <f>IF($B1353=0,0,IF(Inputs!$B$9="",0,COUNTIFS(Data!$M$10:$M$3209,"&gt;="&amp;$A1353,Data!$M$10:$M$3209,"&lt;"&amp;$A1353+1)))</f>
        <v/>
      </c>
      <c r="AH1353">
        <f>IF($B1353=0,0,IF(Inputs!$B$10="",0,COUNTIFS(Data!$Q$10:$Q$3209,"&gt;="&amp;$A1353,Data!$Q$10:$Q$3209,"&lt;"&amp;$A1353+1)))</f>
        <v/>
      </c>
    </row>
    <row r="1354">
      <c r="A1354" s="55">
        <f>MIN(Inputs!$C$15,$A1353+IF(WEEKDAY($A1353,2)=5,3,1))</f>
        <v/>
      </c>
      <c r="B1354">
        <f>IF($A1354&gt;$A1353,1,0)</f>
        <v/>
      </c>
      <c r="C1354" s="56">
        <f>IF($B1354=0,"",IF(Inputs!$B$6="","",IF($AD1354=0,C1353,SUMIFS(Data!$B$10:$B$3209,Data!$A$10:$A$3209,"&gt;="&amp;$A1354,Data!$A$10:$A$3209,"&lt;"&amp;$A1354+1)/$AD1354)))</f>
        <v/>
      </c>
      <c r="D1354" s="56">
        <f>IF($B1354=0,"",IF(Inputs!$B$7="","",IF($AE1354=0,D1353,SUMIFS(Data!$F$10:$F$3209,Data!$E$10:$E$3209,"&gt;="&amp;$A1354,Data!$E$10:$E$3209,"&lt;"&amp;$A1354+1)/$AE1354)))</f>
        <v/>
      </c>
      <c r="E1354" s="56">
        <f>IF($B1354=0,"",IF(Inputs!$B$8="","",IF($AF1354=0,E1353,SUMIFS(Data!$J$10:$J$3209,Data!$I$10:$I$3209,"&gt;="&amp;$A1354,Data!$I$10:$I$3209,"&lt;"&amp;$A1354+1)/$AF1354)))</f>
        <v/>
      </c>
      <c r="F1354" s="56">
        <f>IF($B1354=0,"",IF(Inputs!$B$9="","",IF($AG1354=0,F1353,SUMIFS(Data!$N$10:$N$3209,Data!$M$10:$M$3209,"&gt;="&amp;$A1354,Data!$M$10:$M$3209,"&lt;"&amp;$A1354+1)/$AG1354)))</f>
        <v/>
      </c>
      <c r="G1354" s="56">
        <f>IF($B1354=0,"",IF(Inputs!$B$10="","",IF($AH1354=0,G1353,SUMIFS(Data!$R$10:$R$3209,Data!$Q$10:$Q$3209,"&gt;="&amp;$A1354,Data!$Q$10:$Q$3209,"&lt;"&amp;$A1354+1)/$AH1354)))</f>
        <v/>
      </c>
      <c r="I1354" s="54">
        <f>IF($B1354=0,NA(),IF($C1354="",NA(),IF(C$8="",NA(),IF(N(C$8)=0,NA(),IF(Inputs!$C$17="Rebased to 100",$C1354/C$8*100,$C1354)))))</f>
        <v/>
      </c>
      <c r="J1354" s="54">
        <f>IF($B1354=0,NA(),IF($D1354="",NA(),IF(D$8="",NA(),IF(N(D$8)=0,NA(),IF(Inputs!$C$17="Rebased to 100",$D1354/D$8*100,$D1354)))))</f>
        <v/>
      </c>
      <c r="K1354" s="54">
        <f>IF($B1354=0,NA(),IF($E1354="",NA(),IF(E$8="",NA(),IF(N(E$8)=0,NA(),IF(Inputs!$C$17="Rebased to 100",$E1354/E$8*100,$E1354)))))</f>
        <v/>
      </c>
      <c r="L1354" s="54">
        <f>IF($B1354=0,NA(),IF($F1354="",NA(),IF(F$8="",NA(),IF(N(F$8)=0,NA(),IF(Inputs!$C$17="Rebased to 100",$F1354/F$8*100,$F1354)))))</f>
        <v/>
      </c>
      <c r="M1354" s="54">
        <f>IF($B1354=0,NA(),IF($G1354="",NA(),IF(G$8="",NA(),IF(N(G$8)=0,NA(),IF(Inputs!$C$17="Rebased to 100",$G1354/G$8*100,$G1354)))))</f>
        <v/>
      </c>
      <c r="N1354" s="54">
        <f>IF($B1354=0,NA(),IF(Inputs!$C$18&lt;&gt;"Yes",NA(),IF(COUNT(I1354,J1354,K1354,L1354,M1354)=0,NA(),MIN(I1354,J1354,K1354,L1354,M1354))))</f>
        <v/>
      </c>
      <c r="O1354" s="54">
        <f>IF($B1354=0,NA(),IF(Inputs!$B$24&lt;&gt;"Yes",NA(),Inputs!$D$24*Inputs!$C$35))</f>
        <v/>
      </c>
      <c r="P1354" s="54">
        <f>IF($B1354=0,NA(),IF(Inputs!$B$25&lt;&gt;"Yes",NA(),Inputs!$D$25*Inputs!$C$35))</f>
        <v/>
      </c>
      <c r="Q1354" s="54">
        <f>IF($B1354=0,NA(),IF(Inputs!$B$26&lt;&gt;"Yes",NA(),Inputs!$D$26*Inputs!$C$35))</f>
        <v/>
      </c>
      <c r="R1354" s="54">
        <f>IF($B1354=0,NA(),IF(Inputs!$B$27&lt;&gt;"Yes",NA(),Inputs!$D$27*Inputs!$C$35))</f>
        <v/>
      </c>
      <c r="S1354" s="54">
        <f>IF($B1354=0,NA(),IF(Inputs!$B$28&lt;&gt;"Yes",NA(),Inputs!$D$28*Inputs!$C$35))</f>
        <v/>
      </c>
      <c r="T1354" s="54">
        <f>IF($B1354=0,NA(),IF(Inputs!$B$29&lt;&gt;"Yes",NA(),Inputs!$D$29*Inputs!$C$35))</f>
        <v/>
      </c>
      <c r="AD1354">
        <f>IF($B1354=0,0,IF(Inputs!$B$6="",0,COUNTIFS(Data!$A$10:$A$3209,"&gt;="&amp;$A1354,Data!$A$10:$A$3209,"&lt;"&amp;$A1354+1)))</f>
        <v/>
      </c>
      <c r="AE1354">
        <f>IF($B1354=0,0,IF(Inputs!$B$7="",0,COUNTIFS(Data!$E$10:$E$3209,"&gt;="&amp;$A1354,Data!$E$10:$E$3209,"&lt;"&amp;$A1354+1)))</f>
        <v/>
      </c>
      <c r="AF1354">
        <f>IF($B1354=0,0,IF(Inputs!$B$8="",0,COUNTIFS(Data!$I$10:$I$3209,"&gt;="&amp;$A1354,Data!$I$10:$I$3209,"&lt;"&amp;$A1354+1)))</f>
        <v/>
      </c>
      <c r="AG1354">
        <f>IF($B1354=0,0,IF(Inputs!$B$9="",0,COUNTIFS(Data!$M$10:$M$3209,"&gt;="&amp;$A1354,Data!$M$10:$M$3209,"&lt;"&amp;$A1354+1)))</f>
        <v/>
      </c>
      <c r="AH1354">
        <f>IF($B1354=0,0,IF(Inputs!$B$10="",0,COUNTIFS(Data!$Q$10:$Q$3209,"&gt;="&amp;$A1354,Data!$Q$10:$Q$3209,"&lt;"&amp;$A1354+1)))</f>
        <v/>
      </c>
    </row>
    <row r="1355">
      <c r="A1355" s="55">
        <f>MIN(Inputs!$C$15,$A1354+IF(WEEKDAY($A1354,2)=5,3,1))</f>
        <v/>
      </c>
      <c r="B1355">
        <f>IF($A1355&gt;$A1354,1,0)</f>
        <v/>
      </c>
      <c r="C1355" s="56">
        <f>IF($B1355=0,"",IF(Inputs!$B$6="","",IF($AD1355=0,C1354,SUMIFS(Data!$B$10:$B$3209,Data!$A$10:$A$3209,"&gt;="&amp;$A1355,Data!$A$10:$A$3209,"&lt;"&amp;$A1355+1)/$AD1355)))</f>
        <v/>
      </c>
      <c r="D1355" s="56">
        <f>IF($B1355=0,"",IF(Inputs!$B$7="","",IF($AE1355=0,D1354,SUMIFS(Data!$F$10:$F$3209,Data!$E$10:$E$3209,"&gt;="&amp;$A1355,Data!$E$10:$E$3209,"&lt;"&amp;$A1355+1)/$AE1355)))</f>
        <v/>
      </c>
      <c r="E1355" s="56">
        <f>IF($B1355=0,"",IF(Inputs!$B$8="","",IF($AF1355=0,E1354,SUMIFS(Data!$J$10:$J$3209,Data!$I$10:$I$3209,"&gt;="&amp;$A1355,Data!$I$10:$I$3209,"&lt;"&amp;$A1355+1)/$AF1355)))</f>
        <v/>
      </c>
      <c r="F1355" s="56">
        <f>IF($B1355=0,"",IF(Inputs!$B$9="","",IF($AG1355=0,F1354,SUMIFS(Data!$N$10:$N$3209,Data!$M$10:$M$3209,"&gt;="&amp;$A1355,Data!$M$10:$M$3209,"&lt;"&amp;$A1355+1)/$AG1355)))</f>
        <v/>
      </c>
      <c r="G1355" s="56">
        <f>IF($B1355=0,"",IF(Inputs!$B$10="","",IF($AH1355=0,G1354,SUMIFS(Data!$R$10:$R$3209,Data!$Q$10:$Q$3209,"&gt;="&amp;$A1355,Data!$Q$10:$Q$3209,"&lt;"&amp;$A1355+1)/$AH1355)))</f>
        <v/>
      </c>
      <c r="I1355" s="54">
        <f>IF($B1355=0,NA(),IF($C1355="",NA(),IF(C$8="",NA(),IF(N(C$8)=0,NA(),IF(Inputs!$C$17="Rebased to 100",$C1355/C$8*100,$C1355)))))</f>
        <v/>
      </c>
      <c r="J1355" s="54">
        <f>IF($B1355=0,NA(),IF($D1355="",NA(),IF(D$8="",NA(),IF(N(D$8)=0,NA(),IF(Inputs!$C$17="Rebased to 100",$D1355/D$8*100,$D1355)))))</f>
        <v/>
      </c>
      <c r="K1355" s="54">
        <f>IF($B1355=0,NA(),IF($E1355="",NA(),IF(E$8="",NA(),IF(N(E$8)=0,NA(),IF(Inputs!$C$17="Rebased to 100",$E1355/E$8*100,$E1355)))))</f>
        <v/>
      </c>
      <c r="L1355" s="54">
        <f>IF($B1355=0,NA(),IF($F1355="",NA(),IF(F$8="",NA(),IF(N(F$8)=0,NA(),IF(Inputs!$C$17="Rebased to 100",$F1355/F$8*100,$F1355)))))</f>
        <v/>
      </c>
      <c r="M1355" s="54">
        <f>IF($B1355=0,NA(),IF($G1355="",NA(),IF(G$8="",NA(),IF(N(G$8)=0,NA(),IF(Inputs!$C$17="Rebased to 100",$G1355/G$8*100,$G1355)))))</f>
        <v/>
      </c>
      <c r="N1355" s="54">
        <f>IF($B1355=0,NA(),IF(Inputs!$C$18&lt;&gt;"Yes",NA(),IF(COUNT(I1355,J1355,K1355,L1355,M1355)=0,NA(),MIN(I1355,J1355,K1355,L1355,M1355))))</f>
        <v/>
      </c>
      <c r="O1355" s="54">
        <f>IF($B1355=0,NA(),IF(Inputs!$B$24&lt;&gt;"Yes",NA(),Inputs!$D$24*Inputs!$C$35))</f>
        <v/>
      </c>
      <c r="P1355" s="54">
        <f>IF($B1355=0,NA(),IF(Inputs!$B$25&lt;&gt;"Yes",NA(),Inputs!$D$25*Inputs!$C$35))</f>
        <v/>
      </c>
      <c r="Q1355" s="54">
        <f>IF($B1355=0,NA(),IF(Inputs!$B$26&lt;&gt;"Yes",NA(),Inputs!$D$26*Inputs!$C$35))</f>
        <v/>
      </c>
      <c r="R1355" s="54">
        <f>IF($B1355=0,NA(),IF(Inputs!$B$27&lt;&gt;"Yes",NA(),Inputs!$D$27*Inputs!$C$35))</f>
        <v/>
      </c>
      <c r="S1355" s="54">
        <f>IF($B1355=0,NA(),IF(Inputs!$B$28&lt;&gt;"Yes",NA(),Inputs!$D$28*Inputs!$C$35))</f>
        <v/>
      </c>
      <c r="T1355" s="54">
        <f>IF($B1355=0,NA(),IF(Inputs!$B$29&lt;&gt;"Yes",NA(),Inputs!$D$29*Inputs!$C$35))</f>
        <v/>
      </c>
      <c r="AD1355">
        <f>IF($B1355=0,0,IF(Inputs!$B$6="",0,COUNTIFS(Data!$A$10:$A$3209,"&gt;="&amp;$A1355,Data!$A$10:$A$3209,"&lt;"&amp;$A1355+1)))</f>
        <v/>
      </c>
      <c r="AE1355">
        <f>IF($B1355=0,0,IF(Inputs!$B$7="",0,COUNTIFS(Data!$E$10:$E$3209,"&gt;="&amp;$A1355,Data!$E$10:$E$3209,"&lt;"&amp;$A1355+1)))</f>
        <v/>
      </c>
      <c r="AF1355">
        <f>IF($B1355=0,0,IF(Inputs!$B$8="",0,COUNTIFS(Data!$I$10:$I$3209,"&gt;="&amp;$A1355,Data!$I$10:$I$3209,"&lt;"&amp;$A1355+1)))</f>
        <v/>
      </c>
      <c r="AG1355">
        <f>IF($B1355=0,0,IF(Inputs!$B$9="",0,COUNTIFS(Data!$M$10:$M$3209,"&gt;="&amp;$A1355,Data!$M$10:$M$3209,"&lt;"&amp;$A1355+1)))</f>
        <v/>
      </c>
      <c r="AH1355">
        <f>IF($B1355=0,0,IF(Inputs!$B$10="",0,COUNTIFS(Data!$Q$10:$Q$3209,"&gt;="&amp;$A1355,Data!$Q$10:$Q$3209,"&lt;"&amp;$A1355+1)))</f>
        <v/>
      </c>
    </row>
    <row r="1356">
      <c r="A1356" s="55">
        <f>MIN(Inputs!$C$15,$A1355+IF(WEEKDAY($A1355,2)=5,3,1))</f>
        <v/>
      </c>
      <c r="B1356">
        <f>IF($A1356&gt;$A1355,1,0)</f>
        <v/>
      </c>
      <c r="C1356" s="56">
        <f>IF($B1356=0,"",IF(Inputs!$B$6="","",IF($AD1356=0,C1355,SUMIFS(Data!$B$10:$B$3209,Data!$A$10:$A$3209,"&gt;="&amp;$A1356,Data!$A$10:$A$3209,"&lt;"&amp;$A1356+1)/$AD1356)))</f>
        <v/>
      </c>
      <c r="D1356" s="56">
        <f>IF($B1356=0,"",IF(Inputs!$B$7="","",IF($AE1356=0,D1355,SUMIFS(Data!$F$10:$F$3209,Data!$E$10:$E$3209,"&gt;="&amp;$A1356,Data!$E$10:$E$3209,"&lt;"&amp;$A1356+1)/$AE1356)))</f>
        <v/>
      </c>
      <c r="E1356" s="56">
        <f>IF($B1356=0,"",IF(Inputs!$B$8="","",IF($AF1356=0,E1355,SUMIFS(Data!$J$10:$J$3209,Data!$I$10:$I$3209,"&gt;="&amp;$A1356,Data!$I$10:$I$3209,"&lt;"&amp;$A1356+1)/$AF1356)))</f>
        <v/>
      </c>
      <c r="F1356" s="56">
        <f>IF($B1356=0,"",IF(Inputs!$B$9="","",IF($AG1356=0,F1355,SUMIFS(Data!$N$10:$N$3209,Data!$M$10:$M$3209,"&gt;="&amp;$A1356,Data!$M$10:$M$3209,"&lt;"&amp;$A1356+1)/$AG1356)))</f>
        <v/>
      </c>
      <c r="G1356" s="56">
        <f>IF($B1356=0,"",IF(Inputs!$B$10="","",IF($AH1356=0,G1355,SUMIFS(Data!$R$10:$R$3209,Data!$Q$10:$Q$3209,"&gt;="&amp;$A1356,Data!$Q$10:$Q$3209,"&lt;"&amp;$A1356+1)/$AH1356)))</f>
        <v/>
      </c>
      <c r="I1356" s="54">
        <f>IF($B1356=0,NA(),IF($C1356="",NA(),IF(C$8="",NA(),IF(N(C$8)=0,NA(),IF(Inputs!$C$17="Rebased to 100",$C1356/C$8*100,$C1356)))))</f>
        <v/>
      </c>
      <c r="J1356" s="54">
        <f>IF($B1356=0,NA(),IF($D1356="",NA(),IF(D$8="",NA(),IF(N(D$8)=0,NA(),IF(Inputs!$C$17="Rebased to 100",$D1356/D$8*100,$D1356)))))</f>
        <v/>
      </c>
      <c r="K1356" s="54">
        <f>IF($B1356=0,NA(),IF($E1356="",NA(),IF(E$8="",NA(),IF(N(E$8)=0,NA(),IF(Inputs!$C$17="Rebased to 100",$E1356/E$8*100,$E1356)))))</f>
        <v/>
      </c>
      <c r="L1356" s="54">
        <f>IF($B1356=0,NA(),IF($F1356="",NA(),IF(F$8="",NA(),IF(N(F$8)=0,NA(),IF(Inputs!$C$17="Rebased to 100",$F1356/F$8*100,$F1356)))))</f>
        <v/>
      </c>
      <c r="M1356" s="54">
        <f>IF($B1356=0,NA(),IF($G1356="",NA(),IF(G$8="",NA(),IF(N(G$8)=0,NA(),IF(Inputs!$C$17="Rebased to 100",$G1356/G$8*100,$G1356)))))</f>
        <v/>
      </c>
      <c r="N1356" s="54">
        <f>IF($B1356=0,NA(),IF(Inputs!$C$18&lt;&gt;"Yes",NA(),IF(COUNT(I1356,J1356,K1356,L1356,M1356)=0,NA(),MIN(I1356,J1356,K1356,L1356,M1356))))</f>
        <v/>
      </c>
      <c r="O1356" s="54">
        <f>IF($B1356=0,NA(),IF(Inputs!$B$24&lt;&gt;"Yes",NA(),Inputs!$D$24*Inputs!$C$35))</f>
        <v/>
      </c>
      <c r="P1356" s="54">
        <f>IF($B1356=0,NA(),IF(Inputs!$B$25&lt;&gt;"Yes",NA(),Inputs!$D$25*Inputs!$C$35))</f>
        <v/>
      </c>
      <c r="Q1356" s="54">
        <f>IF($B1356=0,NA(),IF(Inputs!$B$26&lt;&gt;"Yes",NA(),Inputs!$D$26*Inputs!$C$35))</f>
        <v/>
      </c>
      <c r="R1356" s="54">
        <f>IF($B1356=0,NA(),IF(Inputs!$B$27&lt;&gt;"Yes",NA(),Inputs!$D$27*Inputs!$C$35))</f>
        <v/>
      </c>
      <c r="S1356" s="54">
        <f>IF($B1356=0,NA(),IF(Inputs!$B$28&lt;&gt;"Yes",NA(),Inputs!$D$28*Inputs!$C$35))</f>
        <v/>
      </c>
      <c r="T1356" s="54">
        <f>IF($B1356=0,NA(),IF(Inputs!$B$29&lt;&gt;"Yes",NA(),Inputs!$D$29*Inputs!$C$35))</f>
        <v/>
      </c>
      <c r="AD1356">
        <f>IF($B1356=0,0,IF(Inputs!$B$6="",0,COUNTIFS(Data!$A$10:$A$3209,"&gt;="&amp;$A1356,Data!$A$10:$A$3209,"&lt;"&amp;$A1356+1)))</f>
        <v/>
      </c>
      <c r="AE1356">
        <f>IF($B1356=0,0,IF(Inputs!$B$7="",0,COUNTIFS(Data!$E$10:$E$3209,"&gt;="&amp;$A1356,Data!$E$10:$E$3209,"&lt;"&amp;$A1356+1)))</f>
        <v/>
      </c>
      <c r="AF1356">
        <f>IF($B1356=0,0,IF(Inputs!$B$8="",0,COUNTIFS(Data!$I$10:$I$3209,"&gt;="&amp;$A1356,Data!$I$10:$I$3209,"&lt;"&amp;$A1356+1)))</f>
        <v/>
      </c>
      <c r="AG1356">
        <f>IF($B1356=0,0,IF(Inputs!$B$9="",0,COUNTIFS(Data!$M$10:$M$3209,"&gt;="&amp;$A1356,Data!$M$10:$M$3209,"&lt;"&amp;$A1356+1)))</f>
        <v/>
      </c>
      <c r="AH1356">
        <f>IF($B1356=0,0,IF(Inputs!$B$10="",0,COUNTIFS(Data!$Q$10:$Q$3209,"&gt;="&amp;$A1356,Data!$Q$10:$Q$3209,"&lt;"&amp;$A1356+1)))</f>
        <v/>
      </c>
    </row>
    <row r="1357">
      <c r="A1357" s="55">
        <f>MIN(Inputs!$C$15,$A1356+IF(WEEKDAY($A1356,2)=5,3,1))</f>
        <v/>
      </c>
      <c r="B1357">
        <f>IF($A1357&gt;$A1356,1,0)</f>
        <v/>
      </c>
      <c r="C1357" s="56">
        <f>IF($B1357=0,"",IF(Inputs!$B$6="","",IF($AD1357=0,C1356,SUMIFS(Data!$B$10:$B$3209,Data!$A$10:$A$3209,"&gt;="&amp;$A1357,Data!$A$10:$A$3209,"&lt;"&amp;$A1357+1)/$AD1357)))</f>
        <v/>
      </c>
      <c r="D1357" s="56">
        <f>IF($B1357=0,"",IF(Inputs!$B$7="","",IF($AE1357=0,D1356,SUMIFS(Data!$F$10:$F$3209,Data!$E$10:$E$3209,"&gt;="&amp;$A1357,Data!$E$10:$E$3209,"&lt;"&amp;$A1357+1)/$AE1357)))</f>
        <v/>
      </c>
      <c r="E1357" s="56">
        <f>IF($B1357=0,"",IF(Inputs!$B$8="","",IF($AF1357=0,E1356,SUMIFS(Data!$J$10:$J$3209,Data!$I$10:$I$3209,"&gt;="&amp;$A1357,Data!$I$10:$I$3209,"&lt;"&amp;$A1357+1)/$AF1357)))</f>
        <v/>
      </c>
      <c r="F1357" s="56">
        <f>IF($B1357=0,"",IF(Inputs!$B$9="","",IF($AG1357=0,F1356,SUMIFS(Data!$N$10:$N$3209,Data!$M$10:$M$3209,"&gt;="&amp;$A1357,Data!$M$10:$M$3209,"&lt;"&amp;$A1357+1)/$AG1357)))</f>
        <v/>
      </c>
      <c r="G1357" s="56">
        <f>IF($B1357=0,"",IF(Inputs!$B$10="","",IF($AH1357=0,G1356,SUMIFS(Data!$R$10:$R$3209,Data!$Q$10:$Q$3209,"&gt;="&amp;$A1357,Data!$Q$10:$Q$3209,"&lt;"&amp;$A1357+1)/$AH1357)))</f>
        <v/>
      </c>
      <c r="I1357" s="54">
        <f>IF($B1357=0,NA(),IF($C1357="",NA(),IF(C$8="",NA(),IF(N(C$8)=0,NA(),IF(Inputs!$C$17="Rebased to 100",$C1357/C$8*100,$C1357)))))</f>
        <v/>
      </c>
      <c r="J1357" s="54">
        <f>IF($B1357=0,NA(),IF($D1357="",NA(),IF(D$8="",NA(),IF(N(D$8)=0,NA(),IF(Inputs!$C$17="Rebased to 100",$D1357/D$8*100,$D1357)))))</f>
        <v/>
      </c>
      <c r="K1357" s="54">
        <f>IF($B1357=0,NA(),IF($E1357="",NA(),IF(E$8="",NA(),IF(N(E$8)=0,NA(),IF(Inputs!$C$17="Rebased to 100",$E1357/E$8*100,$E1357)))))</f>
        <v/>
      </c>
      <c r="L1357" s="54">
        <f>IF($B1357=0,NA(),IF($F1357="",NA(),IF(F$8="",NA(),IF(N(F$8)=0,NA(),IF(Inputs!$C$17="Rebased to 100",$F1357/F$8*100,$F1357)))))</f>
        <v/>
      </c>
      <c r="M1357" s="54">
        <f>IF($B1357=0,NA(),IF($G1357="",NA(),IF(G$8="",NA(),IF(N(G$8)=0,NA(),IF(Inputs!$C$17="Rebased to 100",$G1357/G$8*100,$G1357)))))</f>
        <v/>
      </c>
      <c r="N1357" s="54">
        <f>IF($B1357=0,NA(),IF(Inputs!$C$18&lt;&gt;"Yes",NA(),IF(COUNT(I1357,J1357,K1357,L1357,M1357)=0,NA(),MIN(I1357,J1357,K1357,L1357,M1357))))</f>
        <v/>
      </c>
      <c r="O1357" s="54">
        <f>IF($B1357=0,NA(),IF(Inputs!$B$24&lt;&gt;"Yes",NA(),Inputs!$D$24*Inputs!$C$35))</f>
        <v/>
      </c>
      <c r="P1357" s="54">
        <f>IF($B1357=0,NA(),IF(Inputs!$B$25&lt;&gt;"Yes",NA(),Inputs!$D$25*Inputs!$C$35))</f>
        <v/>
      </c>
      <c r="Q1357" s="54">
        <f>IF($B1357=0,NA(),IF(Inputs!$B$26&lt;&gt;"Yes",NA(),Inputs!$D$26*Inputs!$C$35))</f>
        <v/>
      </c>
      <c r="R1357" s="54">
        <f>IF($B1357=0,NA(),IF(Inputs!$B$27&lt;&gt;"Yes",NA(),Inputs!$D$27*Inputs!$C$35))</f>
        <v/>
      </c>
      <c r="S1357" s="54">
        <f>IF($B1357=0,NA(),IF(Inputs!$B$28&lt;&gt;"Yes",NA(),Inputs!$D$28*Inputs!$C$35))</f>
        <v/>
      </c>
      <c r="T1357" s="54">
        <f>IF($B1357=0,NA(),IF(Inputs!$B$29&lt;&gt;"Yes",NA(),Inputs!$D$29*Inputs!$C$35))</f>
        <v/>
      </c>
      <c r="AD1357">
        <f>IF($B1357=0,0,IF(Inputs!$B$6="",0,COUNTIFS(Data!$A$10:$A$3209,"&gt;="&amp;$A1357,Data!$A$10:$A$3209,"&lt;"&amp;$A1357+1)))</f>
        <v/>
      </c>
      <c r="AE1357">
        <f>IF($B1357=0,0,IF(Inputs!$B$7="",0,COUNTIFS(Data!$E$10:$E$3209,"&gt;="&amp;$A1357,Data!$E$10:$E$3209,"&lt;"&amp;$A1357+1)))</f>
        <v/>
      </c>
      <c r="AF1357">
        <f>IF($B1357=0,0,IF(Inputs!$B$8="",0,COUNTIFS(Data!$I$10:$I$3209,"&gt;="&amp;$A1357,Data!$I$10:$I$3209,"&lt;"&amp;$A1357+1)))</f>
        <v/>
      </c>
      <c r="AG1357">
        <f>IF($B1357=0,0,IF(Inputs!$B$9="",0,COUNTIFS(Data!$M$10:$M$3209,"&gt;="&amp;$A1357,Data!$M$10:$M$3209,"&lt;"&amp;$A1357+1)))</f>
        <v/>
      </c>
      <c r="AH1357">
        <f>IF($B1357=0,0,IF(Inputs!$B$10="",0,COUNTIFS(Data!$Q$10:$Q$3209,"&gt;="&amp;$A1357,Data!$Q$10:$Q$3209,"&lt;"&amp;$A1357+1)))</f>
        <v/>
      </c>
    </row>
    <row r="1358">
      <c r="A1358" s="55">
        <f>MIN(Inputs!$C$15,$A1357+IF(WEEKDAY($A1357,2)=5,3,1))</f>
        <v/>
      </c>
      <c r="B1358">
        <f>IF($A1358&gt;$A1357,1,0)</f>
        <v/>
      </c>
      <c r="C1358" s="56">
        <f>IF($B1358=0,"",IF(Inputs!$B$6="","",IF($AD1358=0,C1357,SUMIFS(Data!$B$10:$B$3209,Data!$A$10:$A$3209,"&gt;="&amp;$A1358,Data!$A$10:$A$3209,"&lt;"&amp;$A1358+1)/$AD1358)))</f>
        <v/>
      </c>
      <c r="D1358" s="56">
        <f>IF($B1358=0,"",IF(Inputs!$B$7="","",IF($AE1358=0,D1357,SUMIFS(Data!$F$10:$F$3209,Data!$E$10:$E$3209,"&gt;="&amp;$A1358,Data!$E$10:$E$3209,"&lt;"&amp;$A1358+1)/$AE1358)))</f>
        <v/>
      </c>
      <c r="E1358" s="56">
        <f>IF($B1358=0,"",IF(Inputs!$B$8="","",IF($AF1358=0,E1357,SUMIFS(Data!$J$10:$J$3209,Data!$I$10:$I$3209,"&gt;="&amp;$A1358,Data!$I$10:$I$3209,"&lt;"&amp;$A1358+1)/$AF1358)))</f>
        <v/>
      </c>
      <c r="F1358" s="56">
        <f>IF($B1358=0,"",IF(Inputs!$B$9="","",IF($AG1358=0,F1357,SUMIFS(Data!$N$10:$N$3209,Data!$M$10:$M$3209,"&gt;="&amp;$A1358,Data!$M$10:$M$3209,"&lt;"&amp;$A1358+1)/$AG1358)))</f>
        <v/>
      </c>
      <c r="G1358" s="56">
        <f>IF($B1358=0,"",IF(Inputs!$B$10="","",IF($AH1358=0,G1357,SUMIFS(Data!$R$10:$R$3209,Data!$Q$10:$Q$3209,"&gt;="&amp;$A1358,Data!$Q$10:$Q$3209,"&lt;"&amp;$A1358+1)/$AH1358)))</f>
        <v/>
      </c>
      <c r="I1358" s="54">
        <f>IF($B1358=0,NA(),IF($C1358="",NA(),IF(C$8="",NA(),IF(N(C$8)=0,NA(),IF(Inputs!$C$17="Rebased to 100",$C1358/C$8*100,$C1358)))))</f>
        <v/>
      </c>
      <c r="J1358" s="54">
        <f>IF($B1358=0,NA(),IF($D1358="",NA(),IF(D$8="",NA(),IF(N(D$8)=0,NA(),IF(Inputs!$C$17="Rebased to 100",$D1358/D$8*100,$D1358)))))</f>
        <v/>
      </c>
      <c r="K1358" s="54">
        <f>IF($B1358=0,NA(),IF($E1358="",NA(),IF(E$8="",NA(),IF(N(E$8)=0,NA(),IF(Inputs!$C$17="Rebased to 100",$E1358/E$8*100,$E1358)))))</f>
        <v/>
      </c>
      <c r="L1358" s="54">
        <f>IF($B1358=0,NA(),IF($F1358="",NA(),IF(F$8="",NA(),IF(N(F$8)=0,NA(),IF(Inputs!$C$17="Rebased to 100",$F1358/F$8*100,$F1358)))))</f>
        <v/>
      </c>
      <c r="M1358" s="54">
        <f>IF($B1358=0,NA(),IF($G1358="",NA(),IF(G$8="",NA(),IF(N(G$8)=0,NA(),IF(Inputs!$C$17="Rebased to 100",$G1358/G$8*100,$G1358)))))</f>
        <v/>
      </c>
      <c r="N1358" s="54">
        <f>IF($B1358=0,NA(),IF(Inputs!$C$18&lt;&gt;"Yes",NA(),IF(COUNT(I1358,J1358,K1358,L1358,M1358)=0,NA(),MIN(I1358,J1358,K1358,L1358,M1358))))</f>
        <v/>
      </c>
      <c r="O1358" s="54">
        <f>IF($B1358=0,NA(),IF(Inputs!$B$24&lt;&gt;"Yes",NA(),Inputs!$D$24*Inputs!$C$35))</f>
        <v/>
      </c>
      <c r="P1358" s="54">
        <f>IF($B1358=0,NA(),IF(Inputs!$B$25&lt;&gt;"Yes",NA(),Inputs!$D$25*Inputs!$C$35))</f>
        <v/>
      </c>
      <c r="Q1358" s="54">
        <f>IF($B1358=0,NA(),IF(Inputs!$B$26&lt;&gt;"Yes",NA(),Inputs!$D$26*Inputs!$C$35))</f>
        <v/>
      </c>
      <c r="R1358" s="54">
        <f>IF($B1358=0,NA(),IF(Inputs!$B$27&lt;&gt;"Yes",NA(),Inputs!$D$27*Inputs!$C$35))</f>
        <v/>
      </c>
      <c r="S1358" s="54">
        <f>IF($B1358=0,NA(),IF(Inputs!$B$28&lt;&gt;"Yes",NA(),Inputs!$D$28*Inputs!$C$35))</f>
        <v/>
      </c>
      <c r="T1358" s="54">
        <f>IF($B1358=0,NA(),IF(Inputs!$B$29&lt;&gt;"Yes",NA(),Inputs!$D$29*Inputs!$C$35))</f>
        <v/>
      </c>
      <c r="AD1358">
        <f>IF($B1358=0,0,IF(Inputs!$B$6="",0,COUNTIFS(Data!$A$10:$A$3209,"&gt;="&amp;$A1358,Data!$A$10:$A$3209,"&lt;"&amp;$A1358+1)))</f>
        <v/>
      </c>
      <c r="AE1358">
        <f>IF($B1358=0,0,IF(Inputs!$B$7="",0,COUNTIFS(Data!$E$10:$E$3209,"&gt;="&amp;$A1358,Data!$E$10:$E$3209,"&lt;"&amp;$A1358+1)))</f>
        <v/>
      </c>
      <c r="AF1358">
        <f>IF($B1358=0,0,IF(Inputs!$B$8="",0,COUNTIFS(Data!$I$10:$I$3209,"&gt;="&amp;$A1358,Data!$I$10:$I$3209,"&lt;"&amp;$A1358+1)))</f>
        <v/>
      </c>
      <c r="AG1358">
        <f>IF($B1358=0,0,IF(Inputs!$B$9="",0,COUNTIFS(Data!$M$10:$M$3209,"&gt;="&amp;$A1358,Data!$M$10:$M$3209,"&lt;"&amp;$A1358+1)))</f>
        <v/>
      </c>
      <c r="AH1358">
        <f>IF($B1358=0,0,IF(Inputs!$B$10="",0,COUNTIFS(Data!$Q$10:$Q$3209,"&gt;="&amp;$A1358,Data!$Q$10:$Q$3209,"&lt;"&amp;$A1358+1)))</f>
        <v/>
      </c>
    </row>
    <row r="1359">
      <c r="A1359" s="55">
        <f>MIN(Inputs!$C$15,$A1358+IF(WEEKDAY($A1358,2)=5,3,1))</f>
        <v/>
      </c>
      <c r="B1359">
        <f>IF($A1359&gt;$A1358,1,0)</f>
        <v/>
      </c>
      <c r="C1359" s="56">
        <f>IF($B1359=0,"",IF(Inputs!$B$6="","",IF($AD1359=0,C1358,SUMIFS(Data!$B$10:$B$3209,Data!$A$10:$A$3209,"&gt;="&amp;$A1359,Data!$A$10:$A$3209,"&lt;"&amp;$A1359+1)/$AD1359)))</f>
        <v/>
      </c>
      <c r="D1359" s="56">
        <f>IF($B1359=0,"",IF(Inputs!$B$7="","",IF($AE1359=0,D1358,SUMIFS(Data!$F$10:$F$3209,Data!$E$10:$E$3209,"&gt;="&amp;$A1359,Data!$E$10:$E$3209,"&lt;"&amp;$A1359+1)/$AE1359)))</f>
        <v/>
      </c>
      <c r="E1359" s="56">
        <f>IF($B1359=0,"",IF(Inputs!$B$8="","",IF($AF1359=0,E1358,SUMIFS(Data!$J$10:$J$3209,Data!$I$10:$I$3209,"&gt;="&amp;$A1359,Data!$I$10:$I$3209,"&lt;"&amp;$A1359+1)/$AF1359)))</f>
        <v/>
      </c>
      <c r="F1359" s="56">
        <f>IF($B1359=0,"",IF(Inputs!$B$9="","",IF($AG1359=0,F1358,SUMIFS(Data!$N$10:$N$3209,Data!$M$10:$M$3209,"&gt;="&amp;$A1359,Data!$M$10:$M$3209,"&lt;"&amp;$A1359+1)/$AG1359)))</f>
        <v/>
      </c>
      <c r="G1359" s="56">
        <f>IF($B1359=0,"",IF(Inputs!$B$10="","",IF($AH1359=0,G1358,SUMIFS(Data!$R$10:$R$3209,Data!$Q$10:$Q$3209,"&gt;="&amp;$A1359,Data!$Q$10:$Q$3209,"&lt;"&amp;$A1359+1)/$AH1359)))</f>
        <v/>
      </c>
      <c r="I1359" s="54">
        <f>IF($B1359=0,NA(),IF($C1359="",NA(),IF(C$8="",NA(),IF(N(C$8)=0,NA(),IF(Inputs!$C$17="Rebased to 100",$C1359/C$8*100,$C1359)))))</f>
        <v/>
      </c>
      <c r="J1359" s="54">
        <f>IF($B1359=0,NA(),IF($D1359="",NA(),IF(D$8="",NA(),IF(N(D$8)=0,NA(),IF(Inputs!$C$17="Rebased to 100",$D1359/D$8*100,$D1359)))))</f>
        <v/>
      </c>
      <c r="K1359" s="54">
        <f>IF($B1359=0,NA(),IF($E1359="",NA(),IF(E$8="",NA(),IF(N(E$8)=0,NA(),IF(Inputs!$C$17="Rebased to 100",$E1359/E$8*100,$E1359)))))</f>
        <v/>
      </c>
      <c r="L1359" s="54">
        <f>IF($B1359=0,NA(),IF($F1359="",NA(),IF(F$8="",NA(),IF(N(F$8)=0,NA(),IF(Inputs!$C$17="Rebased to 100",$F1359/F$8*100,$F1359)))))</f>
        <v/>
      </c>
      <c r="M1359" s="54">
        <f>IF($B1359=0,NA(),IF($G1359="",NA(),IF(G$8="",NA(),IF(N(G$8)=0,NA(),IF(Inputs!$C$17="Rebased to 100",$G1359/G$8*100,$G1359)))))</f>
        <v/>
      </c>
      <c r="N1359" s="54">
        <f>IF($B1359=0,NA(),IF(Inputs!$C$18&lt;&gt;"Yes",NA(),IF(COUNT(I1359,J1359,K1359,L1359,M1359)=0,NA(),MIN(I1359,J1359,K1359,L1359,M1359))))</f>
        <v/>
      </c>
      <c r="O1359" s="54">
        <f>IF($B1359=0,NA(),IF(Inputs!$B$24&lt;&gt;"Yes",NA(),Inputs!$D$24*Inputs!$C$35))</f>
        <v/>
      </c>
      <c r="P1359" s="54">
        <f>IF($B1359=0,NA(),IF(Inputs!$B$25&lt;&gt;"Yes",NA(),Inputs!$D$25*Inputs!$C$35))</f>
        <v/>
      </c>
      <c r="Q1359" s="54">
        <f>IF($B1359=0,NA(),IF(Inputs!$B$26&lt;&gt;"Yes",NA(),Inputs!$D$26*Inputs!$C$35))</f>
        <v/>
      </c>
      <c r="R1359" s="54">
        <f>IF($B1359=0,NA(),IF(Inputs!$B$27&lt;&gt;"Yes",NA(),Inputs!$D$27*Inputs!$C$35))</f>
        <v/>
      </c>
      <c r="S1359" s="54">
        <f>IF($B1359=0,NA(),IF(Inputs!$B$28&lt;&gt;"Yes",NA(),Inputs!$D$28*Inputs!$C$35))</f>
        <v/>
      </c>
      <c r="T1359" s="54">
        <f>IF($B1359=0,NA(),IF(Inputs!$B$29&lt;&gt;"Yes",NA(),Inputs!$D$29*Inputs!$C$35))</f>
        <v/>
      </c>
      <c r="AD1359">
        <f>IF($B1359=0,0,IF(Inputs!$B$6="",0,COUNTIFS(Data!$A$10:$A$3209,"&gt;="&amp;$A1359,Data!$A$10:$A$3209,"&lt;"&amp;$A1359+1)))</f>
        <v/>
      </c>
      <c r="AE1359">
        <f>IF($B1359=0,0,IF(Inputs!$B$7="",0,COUNTIFS(Data!$E$10:$E$3209,"&gt;="&amp;$A1359,Data!$E$10:$E$3209,"&lt;"&amp;$A1359+1)))</f>
        <v/>
      </c>
      <c r="AF1359">
        <f>IF($B1359=0,0,IF(Inputs!$B$8="",0,COUNTIFS(Data!$I$10:$I$3209,"&gt;="&amp;$A1359,Data!$I$10:$I$3209,"&lt;"&amp;$A1359+1)))</f>
        <v/>
      </c>
      <c r="AG1359">
        <f>IF($B1359=0,0,IF(Inputs!$B$9="",0,COUNTIFS(Data!$M$10:$M$3209,"&gt;="&amp;$A1359,Data!$M$10:$M$3209,"&lt;"&amp;$A1359+1)))</f>
        <v/>
      </c>
      <c r="AH1359">
        <f>IF($B1359=0,0,IF(Inputs!$B$10="",0,COUNTIFS(Data!$Q$10:$Q$3209,"&gt;="&amp;$A1359,Data!$Q$10:$Q$3209,"&lt;"&amp;$A1359+1)))</f>
        <v/>
      </c>
    </row>
    <row r="1360">
      <c r="A1360" s="55">
        <f>MIN(Inputs!$C$15,$A1359+IF(WEEKDAY($A1359,2)=5,3,1))</f>
        <v/>
      </c>
      <c r="B1360">
        <f>IF($A1360&gt;$A1359,1,0)</f>
        <v/>
      </c>
      <c r="C1360" s="56">
        <f>IF($B1360=0,"",IF(Inputs!$B$6="","",IF($AD1360=0,C1359,SUMIFS(Data!$B$10:$B$3209,Data!$A$10:$A$3209,"&gt;="&amp;$A1360,Data!$A$10:$A$3209,"&lt;"&amp;$A1360+1)/$AD1360)))</f>
        <v/>
      </c>
      <c r="D1360" s="56">
        <f>IF($B1360=0,"",IF(Inputs!$B$7="","",IF($AE1360=0,D1359,SUMIFS(Data!$F$10:$F$3209,Data!$E$10:$E$3209,"&gt;="&amp;$A1360,Data!$E$10:$E$3209,"&lt;"&amp;$A1360+1)/$AE1360)))</f>
        <v/>
      </c>
      <c r="E1360" s="56">
        <f>IF($B1360=0,"",IF(Inputs!$B$8="","",IF($AF1360=0,E1359,SUMIFS(Data!$J$10:$J$3209,Data!$I$10:$I$3209,"&gt;="&amp;$A1360,Data!$I$10:$I$3209,"&lt;"&amp;$A1360+1)/$AF1360)))</f>
        <v/>
      </c>
      <c r="F1360" s="56">
        <f>IF($B1360=0,"",IF(Inputs!$B$9="","",IF($AG1360=0,F1359,SUMIFS(Data!$N$10:$N$3209,Data!$M$10:$M$3209,"&gt;="&amp;$A1360,Data!$M$10:$M$3209,"&lt;"&amp;$A1360+1)/$AG1360)))</f>
        <v/>
      </c>
      <c r="G1360" s="56">
        <f>IF($B1360=0,"",IF(Inputs!$B$10="","",IF($AH1360=0,G1359,SUMIFS(Data!$R$10:$R$3209,Data!$Q$10:$Q$3209,"&gt;="&amp;$A1360,Data!$Q$10:$Q$3209,"&lt;"&amp;$A1360+1)/$AH1360)))</f>
        <v/>
      </c>
      <c r="I1360" s="54">
        <f>IF($B1360=0,NA(),IF($C1360="",NA(),IF(C$8="",NA(),IF(N(C$8)=0,NA(),IF(Inputs!$C$17="Rebased to 100",$C1360/C$8*100,$C1360)))))</f>
        <v/>
      </c>
      <c r="J1360" s="54">
        <f>IF($B1360=0,NA(),IF($D1360="",NA(),IF(D$8="",NA(),IF(N(D$8)=0,NA(),IF(Inputs!$C$17="Rebased to 100",$D1360/D$8*100,$D1360)))))</f>
        <v/>
      </c>
      <c r="K1360" s="54">
        <f>IF($B1360=0,NA(),IF($E1360="",NA(),IF(E$8="",NA(),IF(N(E$8)=0,NA(),IF(Inputs!$C$17="Rebased to 100",$E1360/E$8*100,$E1360)))))</f>
        <v/>
      </c>
      <c r="L1360" s="54">
        <f>IF($B1360=0,NA(),IF($F1360="",NA(),IF(F$8="",NA(),IF(N(F$8)=0,NA(),IF(Inputs!$C$17="Rebased to 100",$F1360/F$8*100,$F1360)))))</f>
        <v/>
      </c>
      <c r="M1360" s="54">
        <f>IF($B1360=0,NA(),IF($G1360="",NA(),IF(G$8="",NA(),IF(N(G$8)=0,NA(),IF(Inputs!$C$17="Rebased to 100",$G1360/G$8*100,$G1360)))))</f>
        <v/>
      </c>
      <c r="N1360" s="54">
        <f>IF($B1360=0,NA(),IF(Inputs!$C$18&lt;&gt;"Yes",NA(),IF(COUNT(I1360,J1360,K1360,L1360,M1360)=0,NA(),MIN(I1360,J1360,K1360,L1360,M1360))))</f>
        <v/>
      </c>
      <c r="O1360" s="54">
        <f>IF($B1360=0,NA(),IF(Inputs!$B$24&lt;&gt;"Yes",NA(),Inputs!$D$24*Inputs!$C$35))</f>
        <v/>
      </c>
      <c r="P1360" s="54">
        <f>IF($B1360=0,NA(),IF(Inputs!$B$25&lt;&gt;"Yes",NA(),Inputs!$D$25*Inputs!$C$35))</f>
        <v/>
      </c>
      <c r="Q1360" s="54">
        <f>IF($B1360=0,NA(),IF(Inputs!$B$26&lt;&gt;"Yes",NA(),Inputs!$D$26*Inputs!$C$35))</f>
        <v/>
      </c>
      <c r="R1360" s="54">
        <f>IF($B1360=0,NA(),IF(Inputs!$B$27&lt;&gt;"Yes",NA(),Inputs!$D$27*Inputs!$C$35))</f>
        <v/>
      </c>
      <c r="S1360" s="54">
        <f>IF($B1360=0,NA(),IF(Inputs!$B$28&lt;&gt;"Yes",NA(),Inputs!$D$28*Inputs!$C$35))</f>
        <v/>
      </c>
      <c r="T1360" s="54">
        <f>IF($B1360=0,NA(),IF(Inputs!$B$29&lt;&gt;"Yes",NA(),Inputs!$D$29*Inputs!$C$35))</f>
        <v/>
      </c>
      <c r="AD1360">
        <f>IF($B1360=0,0,IF(Inputs!$B$6="",0,COUNTIFS(Data!$A$10:$A$3209,"&gt;="&amp;$A1360,Data!$A$10:$A$3209,"&lt;"&amp;$A1360+1)))</f>
        <v/>
      </c>
      <c r="AE1360">
        <f>IF($B1360=0,0,IF(Inputs!$B$7="",0,COUNTIFS(Data!$E$10:$E$3209,"&gt;="&amp;$A1360,Data!$E$10:$E$3209,"&lt;"&amp;$A1360+1)))</f>
        <v/>
      </c>
      <c r="AF1360">
        <f>IF($B1360=0,0,IF(Inputs!$B$8="",0,COUNTIFS(Data!$I$10:$I$3209,"&gt;="&amp;$A1360,Data!$I$10:$I$3209,"&lt;"&amp;$A1360+1)))</f>
        <v/>
      </c>
      <c r="AG1360">
        <f>IF($B1360=0,0,IF(Inputs!$B$9="",0,COUNTIFS(Data!$M$10:$M$3209,"&gt;="&amp;$A1360,Data!$M$10:$M$3209,"&lt;"&amp;$A1360+1)))</f>
        <v/>
      </c>
      <c r="AH1360">
        <f>IF($B1360=0,0,IF(Inputs!$B$10="",0,COUNTIFS(Data!$Q$10:$Q$3209,"&gt;="&amp;$A1360,Data!$Q$10:$Q$3209,"&lt;"&amp;$A1360+1)))</f>
        <v/>
      </c>
    </row>
    <row r="1361">
      <c r="A1361" s="55">
        <f>MIN(Inputs!$C$15,$A1360+IF(WEEKDAY($A1360,2)=5,3,1))</f>
        <v/>
      </c>
      <c r="B1361">
        <f>IF($A1361&gt;$A1360,1,0)</f>
        <v/>
      </c>
      <c r="C1361" s="56">
        <f>IF($B1361=0,"",IF(Inputs!$B$6="","",IF($AD1361=0,C1360,SUMIFS(Data!$B$10:$B$3209,Data!$A$10:$A$3209,"&gt;="&amp;$A1361,Data!$A$10:$A$3209,"&lt;"&amp;$A1361+1)/$AD1361)))</f>
        <v/>
      </c>
      <c r="D1361" s="56">
        <f>IF($B1361=0,"",IF(Inputs!$B$7="","",IF($AE1361=0,D1360,SUMIFS(Data!$F$10:$F$3209,Data!$E$10:$E$3209,"&gt;="&amp;$A1361,Data!$E$10:$E$3209,"&lt;"&amp;$A1361+1)/$AE1361)))</f>
        <v/>
      </c>
      <c r="E1361" s="56">
        <f>IF($B1361=0,"",IF(Inputs!$B$8="","",IF($AF1361=0,E1360,SUMIFS(Data!$J$10:$J$3209,Data!$I$10:$I$3209,"&gt;="&amp;$A1361,Data!$I$10:$I$3209,"&lt;"&amp;$A1361+1)/$AF1361)))</f>
        <v/>
      </c>
      <c r="F1361" s="56">
        <f>IF($B1361=0,"",IF(Inputs!$B$9="","",IF($AG1361=0,F1360,SUMIFS(Data!$N$10:$N$3209,Data!$M$10:$M$3209,"&gt;="&amp;$A1361,Data!$M$10:$M$3209,"&lt;"&amp;$A1361+1)/$AG1361)))</f>
        <v/>
      </c>
      <c r="G1361" s="56">
        <f>IF($B1361=0,"",IF(Inputs!$B$10="","",IF($AH1361=0,G1360,SUMIFS(Data!$R$10:$R$3209,Data!$Q$10:$Q$3209,"&gt;="&amp;$A1361,Data!$Q$10:$Q$3209,"&lt;"&amp;$A1361+1)/$AH1361)))</f>
        <v/>
      </c>
      <c r="I1361" s="54">
        <f>IF($B1361=0,NA(),IF($C1361="",NA(),IF(C$8="",NA(),IF(N(C$8)=0,NA(),IF(Inputs!$C$17="Rebased to 100",$C1361/C$8*100,$C1361)))))</f>
        <v/>
      </c>
      <c r="J1361" s="54">
        <f>IF($B1361=0,NA(),IF($D1361="",NA(),IF(D$8="",NA(),IF(N(D$8)=0,NA(),IF(Inputs!$C$17="Rebased to 100",$D1361/D$8*100,$D1361)))))</f>
        <v/>
      </c>
      <c r="K1361" s="54">
        <f>IF($B1361=0,NA(),IF($E1361="",NA(),IF(E$8="",NA(),IF(N(E$8)=0,NA(),IF(Inputs!$C$17="Rebased to 100",$E1361/E$8*100,$E1361)))))</f>
        <v/>
      </c>
      <c r="L1361" s="54">
        <f>IF($B1361=0,NA(),IF($F1361="",NA(),IF(F$8="",NA(),IF(N(F$8)=0,NA(),IF(Inputs!$C$17="Rebased to 100",$F1361/F$8*100,$F1361)))))</f>
        <v/>
      </c>
      <c r="M1361" s="54">
        <f>IF($B1361=0,NA(),IF($G1361="",NA(),IF(G$8="",NA(),IF(N(G$8)=0,NA(),IF(Inputs!$C$17="Rebased to 100",$G1361/G$8*100,$G1361)))))</f>
        <v/>
      </c>
      <c r="N1361" s="54">
        <f>IF($B1361=0,NA(),IF(Inputs!$C$18&lt;&gt;"Yes",NA(),IF(COUNT(I1361,J1361,K1361,L1361,M1361)=0,NA(),MIN(I1361,J1361,K1361,L1361,M1361))))</f>
        <v/>
      </c>
      <c r="O1361" s="54">
        <f>IF($B1361=0,NA(),IF(Inputs!$B$24&lt;&gt;"Yes",NA(),Inputs!$D$24*Inputs!$C$35))</f>
        <v/>
      </c>
      <c r="P1361" s="54">
        <f>IF($B1361=0,NA(),IF(Inputs!$B$25&lt;&gt;"Yes",NA(),Inputs!$D$25*Inputs!$C$35))</f>
        <v/>
      </c>
      <c r="Q1361" s="54">
        <f>IF($B1361=0,NA(),IF(Inputs!$B$26&lt;&gt;"Yes",NA(),Inputs!$D$26*Inputs!$C$35))</f>
        <v/>
      </c>
      <c r="R1361" s="54">
        <f>IF($B1361=0,NA(),IF(Inputs!$B$27&lt;&gt;"Yes",NA(),Inputs!$D$27*Inputs!$C$35))</f>
        <v/>
      </c>
      <c r="S1361" s="54">
        <f>IF($B1361=0,NA(),IF(Inputs!$B$28&lt;&gt;"Yes",NA(),Inputs!$D$28*Inputs!$C$35))</f>
        <v/>
      </c>
      <c r="T1361" s="54">
        <f>IF($B1361=0,NA(),IF(Inputs!$B$29&lt;&gt;"Yes",NA(),Inputs!$D$29*Inputs!$C$35))</f>
        <v/>
      </c>
      <c r="AD1361">
        <f>IF($B1361=0,0,IF(Inputs!$B$6="",0,COUNTIFS(Data!$A$10:$A$3209,"&gt;="&amp;$A1361,Data!$A$10:$A$3209,"&lt;"&amp;$A1361+1)))</f>
        <v/>
      </c>
      <c r="AE1361">
        <f>IF($B1361=0,0,IF(Inputs!$B$7="",0,COUNTIFS(Data!$E$10:$E$3209,"&gt;="&amp;$A1361,Data!$E$10:$E$3209,"&lt;"&amp;$A1361+1)))</f>
        <v/>
      </c>
      <c r="AF1361">
        <f>IF($B1361=0,0,IF(Inputs!$B$8="",0,COUNTIFS(Data!$I$10:$I$3209,"&gt;="&amp;$A1361,Data!$I$10:$I$3209,"&lt;"&amp;$A1361+1)))</f>
        <v/>
      </c>
      <c r="AG1361">
        <f>IF($B1361=0,0,IF(Inputs!$B$9="",0,COUNTIFS(Data!$M$10:$M$3209,"&gt;="&amp;$A1361,Data!$M$10:$M$3209,"&lt;"&amp;$A1361+1)))</f>
        <v/>
      </c>
      <c r="AH1361">
        <f>IF($B1361=0,0,IF(Inputs!$B$10="",0,COUNTIFS(Data!$Q$10:$Q$3209,"&gt;="&amp;$A1361,Data!$Q$10:$Q$3209,"&lt;"&amp;$A1361+1)))</f>
        <v/>
      </c>
    </row>
    <row r="1362">
      <c r="A1362" s="55">
        <f>MIN(Inputs!$C$15,$A1361+IF(WEEKDAY($A1361,2)=5,3,1))</f>
        <v/>
      </c>
      <c r="B1362">
        <f>IF($A1362&gt;$A1361,1,0)</f>
        <v/>
      </c>
      <c r="C1362" s="56">
        <f>IF($B1362=0,"",IF(Inputs!$B$6="","",IF($AD1362=0,C1361,SUMIFS(Data!$B$10:$B$3209,Data!$A$10:$A$3209,"&gt;="&amp;$A1362,Data!$A$10:$A$3209,"&lt;"&amp;$A1362+1)/$AD1362)))</f>
        <v/>
      </c>
      <c r="D1362" s="56">
        <f>IF($B1362=0,"",IF(Inputs!$B$7="","",IF($AE1362=0,D1361,SUMIFS(Data!$F$10:$F$3209,Data!$E$10:$E$3209,"&gt;="&amp;$A1362,Data!$E$10:$E$3209,"&lt;"&amp;$A1362+1)/$AE1362)))</f>
        <v/>
      </c>
      <c r="E1362" s="56">
        <f>IF($B1362=0,"",IF(Inputs!$B$8="","",IF($AF1362=0,E1361,SUMIFS(Data!$J$10:$J$3209,Data!$I$10:$I$3209,"&gt;="&amp;$A1362,Data!$I$10:$I$3209,"&lt;"&amp;$A1362+1)/$AF1362)))</f>
        <v/>
      </c>
      <c r="F1362" s="56">
        <f>IF($B1362=0,"",IF(Inputs!$B$9="","",IF($AG1362=0,F1361,SUMIFS(Data!$N$10:$N$3209,Data!$M$10:$M$3209,"&gt;="&amp;$A1362,Data!$M$10:$M$3209,"&lt;"&amp;$A1362+1)/$AG1362)))</f>
        <v/>
      </c>
      <c r="G1362" s="56">
        <f>IF($B1362=0,"",IF(Inputs!$B$10="","",IF($AH1362=0,G1361,SUMIFS(Data!$R$10:$R$3209,Data!$Q$10:$Q$3209,"&gt;="&amp;$A1362,Data!$Q$10:$Q$3209,"&lt;"&amp;$A1362+1)/$AH1362)))</f>
        <v/>
      </c>
      <c r="I1362" s="54">
        <f>IF($B1362=0,NA(),IF($C1362="",NA(),IF(C$8="",NA(),IF(N(C$8)=0,NA(),IF(Inputs!$C$17="Rebased to 100",$C1362/C$8*100,$C1362)))))</f>
        <v/>
      </c>
      <c r="J1362" s="54">
        <f>IF($B1362=0,NA(),IF($D1362="",NA(),IF(D$8="",NA(),IF(N(D$8)=0,NA(),IF(Inputs!$C$17="Rebased to 100",$D1362/D$8*100,$D1362)))))</f>
        <v/>
      </c>
      <c r="K1362" s="54">
        <f>IF($B1362=0,NA(),IF($E1362="",NA(),IF(E$8="",NA(),IF(N(E$8)=0,NA(),IF(Inputs!$C$17="Rebased to 100",$E1362/E$8*100,$E1362)))))</f>
        <v/>
      </c>
      <c r="L1362" s="54">
        <f>IF($B1362=0,NA(),IF($F1362="",NA(),IF(F$8="",NA(),IF(N(F$8)=0,NA(),IF(Inputs!$C$17="Rebased to 100",$F1362/F$8*100,$F1362)))))</f>
        <v/>
      </c>
      <c r="M1362" s="54">
        <f>IF($B1362=0,NA(),IF($G1362="",NA(),IF(G$8="",NA(),IF(N(G$8)=0,NA(),IF(Inputs!$C$17="Rebased to 100",$G1362/G$8*100,$G1362)))))</f>
        <v/>
      </c>
      <c r="N1362" s="54">
        <f>IF($B1362=0,NA(),IF(Inputs!$C$18&lt;&gt;"Yes",NA(),IF(COUNT(I1362,J1362,K1362,L1362,M1362)=0,NA(),MIN(I1362,J1362,K1362,L1362,M1362))))</f>
        <v/>
      </c>
      <c r="O1362" s="54">
        <f>IF($B1362=0,NA(),IF(Inputs!$B$24&lt;&gt;"Yes",NA(),Inputs!$D$24*Inputs!$C$35))</f>
        <v/>
      </c>
      <c r="P1362" s="54">
        <f>IF($B1362=0,NA(),IF(Inputs!$B$25&lt;&gt;"Yes",NA(),Inputs!$D$25*Inputs!$C$35))</f>
        <v/>
      </c>
      <c r="Q1362" s="54">
        <f>IF($B1362=0,NA(),IF(Inputs!$B$26&lt;&gt;"Yes",NA(),Inputs!$D$26*Inputs!$C$35))</f>
        <v/>
      </c>
      <c r="R1362" s="54">
        <f>IF($B1362=0,NA(),IF(Inputs!$B$27&lt;&gt;"Yes",NA(),Inputs!$D$27*Inputs!$C$35))</f>
        <v/>
      </c>
      <c r="S1362" s="54">
        <f>IF($B1362=0,NA(),IF(Inputs!$B$28&lt;&gt;"Yes",NA(),Inputs!$D$28*Inputs!$C$35))</f>
        <v/>
      </c>
      <c r="T1362" s="54">
        <f>IF($B1362=0,NA(),IF(Inputs!$B$29&lt;&gt;"Yes",NA(),Inputs!$D$29*Inputs!$C$35))</f>
        <v/>
      </c>
      <c r="AD1362">
        <f>IF($B1362=0,0,IF(Inputs!$B$6="",0,COUNTIFS(Data!$A$10:$A$3209,"&gt;="&amp;$A1362,Data!$A$10:$A$3209,"&lt;"&amp;$A1362+1)))</f>
        <v/>
      </c>
      <c r="AE1362">
        <f>IF($B1362=0,0,IF(Inputs!$B$7="",0,COUNTIFS(Data!$E$10:$E$3209,"&gt;="&amp;$A1362,Data!$E$10:$E$3209,"&lt;"&amp;$A1362+1)))</f>
        <v/>
      </c>
      <c r="AF1362">
        <f>IF($B1362=0,0,IF(Inputs!$B$8="",0,COUNTIFS(Data!$I$10:$I$3209,"&gt;="&amp;$A1362,Data!$I$10:$I$3209,"&lt;"&amp;$A1362+1)))</f>
        <v/>
      </c>
      <c r="AG1362">
        <f>IF($B1362=0,0,IF(Inputs!$B$9="",0,COUNTIFS(Data!$M$10:$M$3209,"&gt;="&amp;$A1362,Data!$M$10:$M$3209,"&lt;"&amp;$A1362+1)))</f>
        <v/>
      </c>
      <c r="AH1362">
        <f>IF($B1362=0,0,IF(Inputs!$B$10="",0,COUNTIFS(Data!$Q$10:$Q$3209,"&gt;="&amp;$A1362,Data!$Q$10:$Q$3209,"&lt;"&amp;$A1362+1)))</f>
        <v/>
      </c>
    </row>
    <row r="1363">
      <c r="A1363" s="55">
        <f>MIN(Inputs!$C$15,$A1362+IF(WEEKDAY($A1362,2)=5,3,1))</f>
        <v/>
      </c>
      <c r="B1363">
        <f>IF($A1363&gt;$A1362,1,0)</f>
        <v/>
      </c>
      <c r="C1363" s="56">
        <f>IF($B1363=0,"",IF(Inputs!$B$6="","",IF($AD1363=0,C1362,SUMIFS(Data!$B$10:$B$3209,Data!$A$10:$A$3209,"&gt;="&amp;$A1363,Data!$A$10:$A$3209,"&lt;"&amp;$A1363+1)/$AD1363)))</f>
        <v/>
      </c>
      <c r="D1363" s="56">
        <f>IF($B1363=0,"",IF(Inputs!$B$7="","",IF($AE1363=0,D1362,SUMIFS(Data!$F$10:$F$3209,Data!$E$10:$E$3209,"&gt;="&amp;$A1363,Data!$E$10:$E$3209,"&lt;"&amp;$A1363+1)/$AE1363)))</f>
        <v/>
      </c>
      <c r="E1363" s="56">
        <f>IF($B1363=0,"",IF(Inputs!$B$8="","",IF($AF1363=0,E1362,SUMIFS(Data!$J$10:$J$3209,Data!$I$10:$I$3209,"&gt;="&amp;$A1363,Data!$I$10:$I$3209,"&lt;"&amp;$A1363+1)/$AF1363)))</f>
        <v/>
      </c>
      <c r="F1363" s="56">
        <f>IF($B1363=0,"",IF(Inputs!$B$9="","",IF($AG1363=0,F1362,SUMIFS(Data!$N$10:$N$3209,Data!$M$10:$M$3209,"&gt;="&amp;$A1363,Data!$M$10:$M$3209,"&lt;"&amp;$A1363+1)/$AG1363)))</f>
        <v/>
      </c>
      <c r="G1363" s="56">
        <f>IF($B1363=0,"",IF(Inputs!$B$10="","",IF($AH1363=0,G1362,SUMIFS(Data!$R$10:$R$3209,Data!$Q$10:$Q$3209,"&gt;="&amp;$A1363,Data!$Q$10:$Q$3209,"&lt;"&amp;$A1363+1)/$AH1363)))</f>
        <v/>
      </c>
      <c r="I1363" s="54">
        <f>IF($B1363=0,NA(),IF($C1363="",NA(),IF(C$8="",NA(),IF(N(C$8)=0,NA(),IF(Inputs!$C$17="Rebased to 100",$C1363/C$8*100,$C1363)))))</f>
        <v/>
      </c>
      <c r="J1363" s="54">
        <f>IF($B1363=0,NA(),IF($D1363="",NA(),IF(D$8="",NA(),IF(N(D$8)=0,NA(),IF(Inputs!$C$17="Rebased to 100",$D1363/D$8*100,$D1363)))))</f>
        <v/>
      </c>
      <c r="K1363" s="54">
        <f>IF($B1363=0,NA(),IF($E1363="",NA(),IF(E$8="",NA(),IF(N(E$8)=0,NA(),IF(Inputs!$C$17="Rebased to 100",$E1363/E$8*100,$E1363)))))</f>
        <v/>
      </c>
      <c r="L1363" s="54">
        <f>IF($B1363=0,NA(),IF($F1363="",NA(),IF(F$8="",NA(),IF(N(F$8)=0,NA(),IF(Inputs!$C$17="Rebased to 100",$F1363/F$8*100,$F1363)))))</f>
        <v/>
      </c>
      <c r="M1363" s="54">
        <f>IF($B1363=0,NA(),IF($G1363="",NA(),IF(G$8="",NA(),IF(N(G$8)=0,NA(),IF(Inputs!$C$17="Rebased to 100",$G1363/G$8*100,$G1363)))))</f>
        <v/>
      </c>
      <c r="N1363" s="54">
        <f>IF($B1363=0,NA(),IF(Inputs!$C$18&lt;&gt;"Yes",NA(),IF(COUNT(I1363,J1363,K1363,L1363,M1363)=0,NA(),MIN(I1363,J1363,K1363,L1363,M1363))))</f>
        <v/>
      </c>
      <c r="O1363" s="54">
        <f>IF($B1363=0,NA(),IF(Inputs!$B$24&lt;&gt;"Yes",NA(),Inputs!$D$24*Inputs!$C$35))</f>
        <v/>
      </c>
      <c r="P1363" s="54">
        <f>IF($B1363=0,NA(),IF(Inputs!$B$25&lt;&gt;"Yes",NA(),Inputs!$D$25*Inputs!$C$35))</f>
        <v/>
      </c>
      <c r="Q1363" s="54">
        <f>IF($B1363=0,NA(),IF(Inputs!$B$26&lt;&gt;"Yes",NA(),Inputs!$D$26*Inputs!$C$35))</f>
        <v/>
      </c>
      <c r="R1363" s="54">
        <f>IF($B1363=0,NA(),IF(Inputs!$B$27&lt;&gt;"Yes",NA(),Inputs!$D$27*Inputs!$C$35))</f>
        <v/>
      </c>
      <c r="S1363" s="54">
        <f>IF($B1363=0,NA(),IF(Inputs!$B$28&lt;&gt;"Yes",NA(),Inputs!$D$28*Inputs!$C$35))</f>
        <v/>
      </c>
      <c r="T1363" s="54">
        <f>IF($B1363=0,NA(),IF(Inputs!$B$29&lt;&gt;"Yes",NA(),Inputs!$D$29*Inputs!$C$35))</f>
        <v/>
      </c>
      <c r="AD1363">
        <f>IF($B1363=0,0,IF(Inputs!$B$6="",0,COUNTIFS(Data!$A$10:$A$3209,"&gt;="&amp;$A1363,Data!$A$10:$A$3209,"&lt;"&amp;$A1363+1)))</f>
        <v/>
      </c>
      <c r="AE1363">
        <f>IF($B1363=0,0,IF(Inputs!$B$7="",0,COUNTIFS(Data!$E$10:$E$3209,"&gt;="&amp;$A1363,Data!$E$10:$E$3209,"&lt;"&amp;$A1363+1)))</f>
        <v/>
      </c>
      <c r="AF1363">
        <f>IF($B1363=0,0,IF(Inputs!$B$8="",0,COUNTIFS(Data!$I$10:$I$3209,"&gt;="&amp;$A1363,Data!$I$10:$I$3209,"&lt;"&amp;$A1363+1)))</f>
        <v/>
      </c>
      <c r="AG1363">
        <f>IF($B1363=0,0,IF(Inputs!$B$9="",0,COUNTIFS(Data!$M$10:$M$3209,"&gt;="&amp;$A1363,Data!$M$10:$M$3209,"&lt;"&amp;$A1363+1)))</f>
        <v/>
      </c>
      <c r="AH1363">
        <f>IF($B1363=0,0,IF(Inputs!$B$10="",0,COUNTIFS(Data!$Q$10:$Q$3209,"&gt;="&amp;$A1363,Data!$Q$10:$Q$3209,"&lt;"&amp;$A1363+1)))</f>
        <v/>
      </c>
    </row>
    <row r="1364">
      <c r="A1364" s="55">
        <f>MIN(Inputs!$C$15,$A1363+IF(WEEKDAY($A1363,2)=5,3,1))</f>
        <v/>
      </c>
      <c r="B1364">
        <f>IF($A1364&gt;$A1363,1,0)</f>
        <v/>
      </c>
      <c r="C1364" s="56">
        <f>IF($B1364=0,"",IF(Inputs!$B$6="","",IF($AD1364=0,C1363,SUMIFS(Data!$B$10:$B$3209,Data!$A$10:$A$3209,"&gt;="&amp;$A1364,Data!$A$10:$A$3209,"&lt;"&amp;$A1364+1)/$AD1364)))</f>
        <v/>
      </c>
      <c r="D1364" s="56">
        <f>IF($B1364=0,"",IF(Inputs!$B$7="","",IF($AE1364=0,D1363,SUMIFS(Data!$F$10:$F$3209,Data!$E$10:$E$3209,"&gt;="&amp;$A1364,Data!$E$10:$E$3209,"&lt;"&amp;$A1364+1)/$AE1364)))</f>
        <v/>
      </c>
      <c r="E1364" s="56">
        <f>IF($B1364=0,"",IF(Inputs!$B$8="","",IF($AF1364=0,E1363,SUMIFS(Data!$J$10:$J$3209,Data!$I$10:$I$3209,"&gt;="&amp;$A1364,Data!$I$10:$I$3209,"&lt;"&amp;$A1364+1)/$AF1364)))</f>
        <v/>
      </c>
      <c r="F1364" s="56">
        <f>IF($B1364=0,"",IF(Inputs!$B$9="","",IF($AG1364=0,F1363,SUMIFS(Data!$N$10:$N$3209,Data!$M$10:$M$3209,"&gt;="&amp;$A1364,Data!$M$10:$M$3209,"&lt;"&amp;$A1364+1)/$AG1364)))</f>
        <v/>
      </c>
      <c r="G1364" s="56">
        <f>IF($B1364=0,"",IF(Inputs!$B$10="","",IF($AH1364=0,G1363,SUMIFS(Data!$R$10:$R$3209,Data!$Q$10:$Q$3209,"&gt;="&amp;$A1364,Data!$Q$10:$Q$3209,"&lt;"&amp;$A1364+1)/$AH1364)))</f>
        <v/>
      </c>
      <c r="I1364" s="54">
        <f>IF($B1364=0,NA(),IF($C1364="",NA(),IF(C$8="",NA(),IF(N(C$8)=0,NA(),IF(Inputs!$C$17="Rebased to 100",$C1364/C$8*100,$C1364)))))</f>
        <v/>
      </c>
      <c r="J1364" s="54">
        <f>IF($B1364=0,NA(),IF($D1364="",NA(),IF(D$8="",NA(),IF(N(D$8)=0,NA(),IF(Inputs!$C$17="Rebased to 100",$D1364/D$8*100,$D1364)))))</f>
        <v/>
      </c>
      <c r="K1364" s="54">
        <f>IF($B1364=0,NA(),IF($E1364="",NA(),IF(E$8="",NA(),IF(N(E$8)=0,NA(),IF(Inputs!$C$17="Rebased to 100",$E1364/E$8*100,$E1364)))))</f>
        <v/>
      </c>
      <c r="L1364" s="54">
        <f>IF($B1364=0,NA(),IF($F1364="",NA(),IF(F$8="",NA(),IF(N(F$8)=0,NA(),IF(Inputs!$C$17="Rebased to 100",$F1364/F$8*100,$F1364)))))</f>
        <v/>
      </c>
      <c r="M1364" s="54">
        <f>IF($B1364=0,NA(),IF($G1364="",NA(),IF(G$8="",NA(),IF(N(G$8)=0,NA(),IF(Inputs!$C$17="Rebased to 100",$G1364/G$8*100,$G1364)))))</f>
        <v/>
      </c>
      <c r="N1364" s="54">
        <f>IF($B1364=0,NA(),IF(Inputs!$C$18&lt;&gt;"Yes",NA(),IF(COUNT(I1364,J1364,K1364,L1364,M1364)=0,NA(),MIN(I1364,J1364,K1364,L1364,M1364))))</f>
        <v/>
      </c>
      <c r="O1364" s="54">
        <f>IF($B1364=0,NA(),IF(Inputs!$B$24&lt;&gt;"Yes",NA(),Inputs!$D$24*Inputs!$C$35))</f>
        <v/>
      </c>
      <c r="P1364" s="54">
        <f>IF($B1364=0,NA(),IF(Inputs!$B$25&lt;&gt;"Yes",NA(),Inputs!$D$25*Inputs!$C$35))</f>
        <v/>
      </c>
      <c r="Q1364" s="54">
        <f>IF($B1364=0,NA(),IF(Inputs!$B$26&lt;&gt;"Yes",NA(),Inputs!$D$26*Inputs!$C$35))</f>
        <v/>
      </c>
      <c r="R1364" s="54">
        <f>IF($B1364=0,NA(),IF(Inputs!$B$27&lt;&gt;"Yes",NA(),Inputs!$D$27*Inputs!$C$35))</f>
        <v/>
      </c>
      <c r="S1364" s="54">
        <f>IF($B1364=0,NA(),IF(Inputs!$B$28&lt;&gt;"Yes",NA(),Inputs!$D$28*Inputs!$C$35))</f>
        <v/>
      </c>
      <c r="T1364" s="54">
        <f>IF($B1364=0,NA(),IF(Inputs!$B$29&lt;&gt;"Yes",NA(),Inputs!$D$29*Inputs!$C$35))</f>
        <v/>
      </c>
      <c r="AD1364">
        <f>IF($B1364=0,0,IF(Inputs!$B$6="",0,COUNTIFS(Data!$A$10:$A$3209,"&gt;="&amp;$A1364,Data!$A$10:$A$3209,"&lt;"&amp;$A1364+1)))</f>
        <v/>
      </c>
      <c r="AE1364">
        <f>IF($B1364=0,0,IF(Inputs!$B$7="",0,COUNTIFS(Data!$E$10:$E$3209,"&gt;="&amp;$A1364,Data!$E$10:$E$3209,"&lt;"&amp;$A1364+1)))</f>
        <v/>
      </c>
      <c r="AF1364">
        <f>IF($B1364=0,0,IF(Inputs!$B$8="",0,COUNTIFS(Data!$I$10:$I$3209,"&gt;="&amp;$A1364,Data!$I$10:$I$3209,"&lt;"&amp;$A1364+1)))</f>
        <v/>
      </c>
      <c r="AG1364">
        <f>IF($B1364=0,0,IF(Inputs!$B$9="",0,COUNTIFS(Data!$M$10:$M$3209,"&gt;="&amp;$A1364,Data!$M$10:$M$3209,"&lt;"&amp;$A1364+1)))</f>
        <v/>
      </c>
      <c r="AH1364">
        <f>IF($B1364=0,0,IF(Inputs!$B$10="",0,COUNTIFS(Data!$Q$10:$Q$3209,"&gt;="&amp;$A1364,Data!$Q$10:$Q$3209,"&lt;"&amp;$A1364+1)))</f>
        <v/>
      </c>
    </row>
    <row r="1365">
      <c r="A1365" s="55">
        <f>MIN(Inputs!$C$15,$A1364+IF(WEEKDAY($A1364,2)=5,3,1))</f>
        <v/>
      </c>
      <c r="B1365">
        <f>IF($A1365&gt;$A1364,1,0)</f>
        <v/>
      </c>
      <c r="C1365" s="56">
        <f>IF($B1365=0,"",IF(Inputs!$B$6="","",IF($AD1365=0,C1364,SUMIFS(Data!$B$10:$B$3209,Data!$A$10:$A$3209,"&gt;="&amp;$A1365,Data!$A$10:$A$3209,"&lt;"&amp;$A1365+1)/$AD1365)))</f>
        <v/>
      </c>
      <c r="D1365" s="56">
        <f>IF($B1365=0,"",IF(Inputs!$B$7="","",IF($AE1365=0,D1364,SUMIFS(Data!$F$10:$F$3209,Data!$E$10:$E$3209,"&gt;="&amp;$A1365,Data!$E$10:$E$3209,"&lt;"&amp;$A1365+1)/$AE1365)))</f>
        <v/>
      </c>
      <c r="E1365" s="56">
        <f>IF($B1365=0,"",IF(Inputs!$B$8="","",IF($AF1365=0,E1364,SUMIFS(Data!$J$10:$J$3209,Data!$I$10:$I$3209,"&gt;="&amp;$A1365,Data!$I$10:$I$3209,"&lt;"&amp;$A1365+1)/$AF1365)))</f>
        <v/>
      </c>
      <c r="F1365" s="56">
        <f>IF($B1365=0,"",IF(Inputs!$B$9="","",IF($AG1365=0,F1364,SUMIFS(Data!$N$10:$N$3209,Data!$M$10:$M$3209,"&gt;="&amp;$A1365,Data!$M$10:$M$3209,"&lt;"&amp;$A1365+1)/$AG1365)))</f>
        <v/>
      </c>
      <c r="G1365" s="56">
        <f>IF($B1365=0,"",IF(Inputs!$B$10="","",IF($AH1365=0,G1364,SUMIFS(Data!$R$10:$R$3209,Data!$Q$10:$Q$3209,"&gt;="&amp;$A1365,Data!$Q$10:$Q$3209,"&lt;"&amp;$A1365+1)/$AH1365)))</f>
        <v/>
      </c>
      <c r="I1365" s="54">
        <f>IF($B1365=0,NA(),IF($C1365="",NA(),IF(C$8="",NA(),IF(N(C$8)=0,NA(),IF(Inputs!$C$17="Rebased to 100",$C1365/C$8*100,$C1365)))))</f>
        <v/>
      </c>
      <c r="J1365" s="54">
        <f>IF($B1365=0,NA(),IF($D1365="",NA(),IF(D$8="",NA(),IF(N(D$8)=0,NA(),IF(Inputs!$C$17="Rebased to 100",$D1365/D$8*100,$D1365)))))</f>
        <v/>
      </c>
      <c r="K1365" s="54">
        <f>IF($B1365=0,NA(),IF($E1365="",NA(),IF(E$8="",NA(),IF(N(E$8)=0,NA(),IF(Inputs!$C$17="Rebased to 100",$E1365/E$8*100,$E1365)))))</f>
        <v/>
      </c>
      <c r="L1365" s="54">
        <f>IF($B1365=0,NA(),IF($F1365="",NA(),IF(F$8="",NA(),IF(N(F$8)=0,NA(),IF(Inputs!$C$17="Rebased to 100",$F1365/F$8*100,$F1365)))))</f>
        <v/>
      </c>
      <c r="M1365" s="54">
        <f>IF($B1365=0,NA(),IF($G1365="",NA(),IF(G$8="",NA(),IF(N(G$8)=0,NA(),IF(Inputs!$C$17="Rebased to 100",$G1365/G$8*100,$G1365)))))</f>
        <v/>
      </c>
      <c r="N1365" s="54">
        <f>IF($B1365=0,NA(),IF(Inputs!$C$18&lt;&gt;"Yes",NA(),IF(COUNT(I1365,J1365,K1365,L1365,M1365)=0,NA(),MIN(I1365,J1365,K1365,L1365,M1365))))</f>
        <v/>
      </c>
      <c r="O1365" s="54">
        <f>IF($B1365=0,NA(),IF(Inputs!$B$24&lt;&gt;"Yes",NA(),Inputs!$D$24*Inputs!$C$35))</f>
        <v/>
      </c>
      <c r="P1365" s="54">
        <f>IF($B1365=0,NA(),IF(Inputs!$B$25&lt;&gt;"Yes",NA(),Inputs!$D$25*Inputs!$C$35))</f>
        <v/>
      </c>
      <c r="Q1365" s="54">
        <f>IF($B1365=0,NA(),IF(Inputs!$B$26&lt;&gt;"Yes",NA(),Inputs!$D$26*Inputs!$C$35))</f>
        <v/>
      </c>
      <c r="R1365" s="54">
        <f>IF($B1365=0,NA(),IF(Inputs!$B$27&lt;&gt;"Yes",NA(),Inputs!$D$27*Inputs!$C$35))</f>
        <v/>
      </c>
      <c r="S1365" s="54">
        <f>IF($B1365=0,NA(),IF(Inputs!$B$28&lt;&gt;"Yes",NA(),Inputs!$D$28*Inputs!$C$35))</f>
        <v/>
      </c>
      <c r="T1365" s="54">
        <f>IF($B1365=0,NA(),IF(Inputs!$B$29&lt;&gt;"Yes",NA(),Inputs!$D$29*Inputs!$C$35))</f>
        <v/>
      </c>
      <c r="AD1365">
        <f>IF($B1365=0,0,IF(Inputs!$B$6="",0,COUNTIFS(Data!$A$10:$A$3209,"&gt;="&amp;$A1365,Data!$A$10:$A$3209,"&lt;"&amp;$A1365+1)))</f>
        <v/>
      </c>
      <c r="AE1365">
        <f>IF($B1365=0,0,IF(Inputs!$B$7="",0,COUNTIFS(Data!$E$10:$E$3209,"&gt;="&amp;$A1365,Data!$E$10:$E$3209,"&lt;"&amp;$A1365+1)))</f>
        <v/>
      </c>
      <c r="AF1365">
        <f>IF($B1365=0,0,IF(Inputs!$B$8="",0,COUNTIFS(Data!$I$10:$I$3209,"&gt;="&amp;$A1365,Data!$I$10:$I$3209,"&lt;"&amp;$A1365+1)))</f>
        <v/>
      </c>
      <c r="AG1365">
        <f>IF($B1365=0,0,IF(Inputs!$B$9="",0,COUNTIFS(Data!$M$10:$M$3209,"&gt;="&amp;$A1365,Data!$M$10:$M$3209,"&lt;"&amp;$A1365+1)))</f>
        <v/>
      </c>
      <c r="AH1365">
        <f>IF($B1365=0,0,IF(Inputs!$B$10="",0,COUNTIFS(Data!$Q$10:$Q$3209,"&gt;="&amp;$A1365,Data!$Q$10:$Q$3209,"&lt;"&amp;$A1365+1)))</f>
        <v/>
      </c>
    </row>
    <row r="1366">
      <c r="A1366" s="55">
        <f>MIN(Inputs!$C$15,$A1365+IF(WEEKDAY($A1365,2)=5,3,1))</f>
        <v/>
      </c>
      <c r="B1366">
        <f>IF($A1366&gt;$A1365,1,0)</f>
        <v/>
      </c>
      <c r="C1366" s="56">
        <f>IF($B1366=0,"",IF(Inputs!$B$6="","",IF($AD1366=0,C1365,SUMIFS(Data!$B$10:$B$3209,Data!$A$10:$A$3209,"&gt;="&amp;$A1366,Data!$A$10:$A$3209,"&lt;"&amp;$A1366+1)/$AD1366)))</f>
        <v/>
      </c>
      <c r="D1366" s="56">
        <f>IF($B1366=0,"",IF(Inputs!$B$7="","",IF($AE1366=0,D1365,SUMIFS(Data!$F$10:$F$3209,Data!$E$10:$E$3209,"&gt;="&amp;$A1366,Data!$E$10:$E$3209,"&lt;"&amp;$A1366+1)/$AE1366)))</f>
        <v/>
      </c>
      <c r="E1366" s="56">
        <f>IF($B1366=0,"",IF(Inputs!$B$8="","",IF($AF1366=0,E1365,SUMIFS(Data!$J$10:$J$3209,Data!$I$10:$I$3209,"&gt;="&amp;$A1366,Data!$I$10:$I$3209,"&lt;"&amp;$A1366+1)/$AF1366)))</f>
        <v/>
      </c>
      <c r="F1366" s="56">
        <f>IF($B1366=0,"",IF(Inputs!$B$9="","",IF($AG1366=0,F1365,SUMIFS(Data!$N$10:$N$3209,Data!$M$10:$M$3209,"&gt;="&amp;$A1366,Data!$M$10:$M$3209,"&lt;"&amp;$A1366+1)/$AG1366)))</f>
        <v/>
      </c>
      <c r="G1366" s="56">
        <f>IF($B1366=0,"",IF(Inputs!$B$10="","",IF($AH1366=0,G1365,SUMIFS(Data!$R$10:$R$3209,Data!$Q$10:$Q$3209,"&gt;="&amp;$A1366,Data!$Q$10:$Q$3209,"&lt;"&amp;$A1366+1)/$AH1366)))</f>
        <v/>
      </c>
      <c r="I1366" s="54">
        <f>IF($B1366=0,NA(),IF($C1366="",NA(),IF(C$8="",NA(),IF(N(C$8)=0,NA(),IF(Inputs!$C$17="Rebased to 100",$C1366/C$8*100,$C1366)))))</f>
        <v/>
      </c>
      <c r="J1366" s="54">
        <f>IF($B1366=0,NA(),IF($D1366="",NA(),IF(D$8="",NA(),IF(N(D$8)=0,NA(),IF(Inputs!$C$17="Rebased to 100",$D1366/D$8*100,$D1366)))))</f>
        <v/>
      </c>
      <c r="K1366" s="54">
        <f>IF($B1366=0,NA(),IF($E1366="",NA(),IF(E$8="",NA(),IF(N(E$8)=0,NA(),IF(Inputs!$C$17="Rebased to 100",$E1366/E$8*100,$E1366)))))</f>
        <v/>
      </c>
      <c r="L1366" s="54">
        <f>IF($B1366=0,NA(),IF($F1366="",NA(),IF(F$8="",NA(),IF(N(F$8)=0,NA(),IF(Inputs!$C$17="Rebased to 100",$F1366/F$8*100,$F1366)))))</f>
        <v/>
      </c>
      <c r="M1366" s="54">
        <f>IF($B1366=0,NA(),IF($G1366="",NA(),IF(G$8="",NA(),IF(N(G$8)=0,NA(),IF(Inputs!$C$17="Rebased to 100",$G1366/G$8*100,$G1366)))))</f>
        <v/>
      </c>
      <c r="N1366" s="54">
        <f>IF($B1366=0,NA(),IF(Inputs!$C$18&lt;&gt;"Yes",NA(),IF(COUNT(I1366,J1366,K1366,L1366,M1366)=0,NA(),MIN(I1366,J1366,K1366,L1366,M1366))))</f>
        <v/>
      </c>
      <c r="O1366" s="54">
        <f>IF($B1366=0,NA(),IF(Inputs!$B$24&lt;&gt;"Yes",NA(),Inputs!$D$24*Inputs!$C$35))</f>
        <v/>
      </c>
      <c r="P1366" s="54">
        <f>IF($B1366=0,NA(),IF(Inputs!$B$25&lt;&gt;"Yes",NA(),Inputs!$D$25*Inputs!$C$35))</f>
        <v/>
      </c>
      <c r="Q1366" s="54">
        <f>IF($B1366=0,NA(),IF(Inputs!$B$26&lt;&gt;"Yes",NA(),Inputs!$D$26*Inputs!$C$35))</f>
        <v/>
      </c>
      <c r="R1366" s="54">
        <f>IF($B1366=0,NA(),IF(Inputs!$B$27&lt;&gt;"Yes",NA(),Inputs!$D$27*Inputs!$C$35))</f>
        <v/>
      </c>
      <c r="S1366" s="54">
        <f>IF($B1366=0,NA(),IF(Inputs!$B$28&lt;&gt;"Yes",NA(),Inputs!$D$28*Inputs!$C$35))</f>
        <v/>
      </c>
      <c r="T1366" s="54">
        <f>IF($B1366=0,NA(),IF(Inputs!$B$29&lt;&gt;"Yes",NA(),Inputs!$D$29*Inputs!$C$35))</f>
        <v/>
      </c>
      <c r="AD1366">
        <f>IF($B1366=0,0,IF(Inputs!$B$6="",0,COUNTIFS(Data!$A$10:$A$3209,"&gt;="&amp;$A1366,Data!$A$10:$A$3209,"&lt;"&amp;$A1366+1)))</f>
        <v/>
      </c>
      <c r="AE1366">
        <f>IF($B1366=0,0,IF(Inputs!$B$7="",0,COUNTIFS(Data!$E$10:$E$3209,"&gt;="&amp;$A1366,Data!$E$10:$E$3209,"&lt;"&amp;$A1366+1)))</f>
        <v/>
      </c>
      <c r="AF1366">
        <f>IF($B1366=0,0,IF(Inputs!$B$8="",0,COUNTIFS(Data!$I$10:$I$3209,"&gt;="&amp;$A1366,Data!$I$10:$I$3209,"&lt;"&amp;$A1366+1)))</f>
        <v/>
      </c>
      <c r="AG1366">
        <f>IF($B1366=0,0,IF(Inputs!$B$9="",0,COUNTIFS(Data!$M$10:$M$3209,"&gt;="&amp;$A1366,Data!$M$10:$M$3209,"&lt;"&amp;$A1366+1)))</f>
        <v/>
      </c>
      <c r="AH1366">
        <f>IF($B1366=0,0,IF(Inputs!$B$10="",0,COUNTIFS(Data!$Q$10:$Q$3209,"&gt;="&amp;$A1366,Data!$Q$10:$Q$3209,"&lt;"&amp;$A1366+1)))</f>
        <v/>
      </c>
    </row>
    <row r="1367">
      <c r="A1367" s="55">
        <f>MIN(Inputs!$C$15,$A1366+IF(WEEKDAY($A1366,2)=5,3,1))</f>
        <v/>
      </c>
      <c r="B1367">
        <f>IF($A1367&gt;$A1366,1,0)</f>
        <v/>
      </c>
      <c r="C1367" s="56">
        <f>IF($B1367=0,"",IF(Inputs!$B$6="","",IF($AD1367=0,C1366,SUMIFS(Data!$B$10:$B$3209,Data!$A$10:$A$3209,"&gt;="&amp;$A1367,Data!$A$10:$A$3209,"&lt;"&amp;$A1367+1)/$AD1367)))</f>
        <v/>
      </c>
      <c r="D1367" s="56">
        <f>IF($B1367=0,"",IF(Inputs!$B$7="","",IF($AE1367=0,D1366,SUMIFS(Data!$F$10:$F$3209,Data!$E$10:$E$3209,"&gt;="&amp;$A1367,Data!$E$10:$E$3209,"&lt;"&amp;$A1367+1)/$AE1367)))</f>
        <v/>
      </c>
      <c r="E1367" s="56">
        <f>IF($B1367=0,"",IF(Inputs!$B$8="","",IF($AF1367=0,E1366,SUMIFS(Data!$J$10:$J$3209,Data!$I$10:$I$3209,"&gt;="&amp;$A1367,Data!$I$10:$I$3209,"&lt;"&amp;$A1367+1)/$AF1367)))</f>
        <v/>
      </c>
      <c r="F1367" s="56">
        <f>IF($B1367=0,"",IF(Inputs!$B$9="","",IF($AG1367=0,F1366,SUMIFS(Data!$N$10:$N$3209,Data!$M$10:$M$3209,"&gt;="&amp;$A1367,Data!$M$10:$M$3209,"&lt;"&amp;$A1367+1)/$AG1367)))</f>
        <v/>
      </c>
      <c r="G1367" s="56">
        <f>IF($B1367=0,"",IF(Inputs!$B$10="","",IF($AH1367=0,G1366,SUMIFS(Data!$R$10:$R$3209,Data!$Q$10:$Q$3209,"&gt;="&amp;$A1367,Data!$Q$10:$Q$3209,"&lt;"&amp;$A1367+1)/$AH1367)))</f>
        <v/>
      </c>
      <c r="I1367" s="54">
        <f>IF($B1367=0,NA(),IF($C1367="",NA(),IF(C$8="",NA(),IF(N(C$8)=0,NA(),IF(Inputs!$C$17="Rebased to 100",$C1367/C$8*100,$C1367)))))</f>
        <v/>
      </c>
      <c r="J1367" s="54">
        <f>IF($B1367=0,NA(),IF($D1367="",NA(),IF(D$8="",NA(),IF(N(D$8)=0,NA(),IF(Inputs!$C$17="Rebased to 100",$D1367/D$8*100,$D1367)))))</f>
        <v/>
      </c>
      <c r="K1367" s="54">
        <f>IF($B1367=0,NA(),IF($E1367="",NA(),IF(E$8="",NA(),IF(N(E$8)=0,NA(),IF(Inputs!$C$17="Rebased to 100",$E1367/E$8*100,$E1367)))))</f>
        <v/>
      </c>
      <c r="L1367" s="54">
        <f>IF($B1367=0,NA(),IF($F1367="",NA(),IF(F$8="",NA(),IF(N(F$8)=0,NA(),IF(Inputs!$C$17="Rebased to 100",$F1367/F$8*100,$F1367)))))</f>
        <v/>
      </c>
      <c r="M1367" s="54">
        <f>IF($B1367=0,NA(),IF($G1367="",NA(),IF(G$8="",NA(),IF(N(G$8)=0,NA(),IF(Inputs!$C$17="Rebased to 100",$G1367/G$8*100,$G1367)))))</f>
        <v/>
      </c>
      <c r="N1367" s="54">
        <f>IF($B1367=0,NA(),IF(Inputs!$C$18&lt;&gt;"Yes",NA(),IF(COUNT(I1367,J1367,K1367,L1367,M1367)=0,NA(),MIN(I1367,J1367,K1367,L1367,M1367))))</f>
        <v/>
      </c>
      <c r="O1367" s="54">
        <f>IF($B1367=0,NA(),IF(Inputs!$B$24&lt;&gt;"Yes",NA(),Inputs!$D$24*Inputs!$C$35))</f>
        <v/>
      </c>
      <c r="P1367" s="54">
        <f>IF($B1367=0,NA(),IF(Inputs!$B$25&lt;&gt;"Yes",NA(),Inputs!$D$25*Inputs!$C$35))</f>
        <v/>
      </c>
      <c r="Q1367" s="54">
        <f>IF($B1367=0,NA(),IF(Inputs!$B$26&lt;&gt;"Yes",NA(),Inputs!$D$26*Inputs!$C$35))</f>
        <v/>
      </c>
      <c r="R1367" s="54">
        <f>IF($B1367=0,NA(),IF(Inputs!$B$27&lt;&gt;"Yes",NA(),Inputs!$D$27*Inputs!$C$35))</f>
        <v/>
      </c>
      <c r="S1367" s="54">
        <f>IF($B1367=0,NA(),IF(Inputs!$B$28&lt;&gt;"Yes",NA(),Inputs!$D$28*Inputs!$C$35))</f>
        <v/>
      </c>
      <c r="T1367" s="54">
        <f>IF($B1367=0,NA(),IF(Inputs!$B$29&lt;&gt;"Yes",NA(),Inputs!$D$29*Inputs!$C$35))</f>
        <v/>
      </c>
      <c r="AD1367">
        <f>IF($B1367=0,0,IF(Inputs!$B$6="",0,COUNTIFS(Data!$A$10:$A$3209,"&gt;="&amp;$A1367,Data!$A$10:$A$3209,"&lt;"&amp;$A1367+1)))</f>
        <v/>
      </c>
      <c r="AE1367">
        <f>IF($B1367=0,0,IF(Inputs!$B$7="",0,COUNTIFS(Data!$E$10:$E$3209,"&gt;="&amp;$A1367,Data!$E$10:$E$3209,"&lt;"&amp;$A1367+1)))</f>
        <v/>
      </c>
      <c r="AF1367">
        <f>IF($B1367=0,0,IF(Inputs!$B$8="",0,COUNTIFS(Data!$I$10:$I$3209,"&gt;="&amp;$A1367,Data!$I$10:$I$3209,"&lt;"&amp;$A1367+1)))</f>
        <v/>
      </c>
      <c r="AG1367">
        <f>IF($B1367=0,0,IF(Inputs!$B$9="",0,COUNTIFS(Data!$M$10:$M$3209,"&gt;="&amp;$A1367,Data!$M$10:$M$3209,"&lt;"&amp;$A1367+1)))</f>
        <v/>
      </c>
      <c r="AH1367">
        <f>IF($B1367=0,0,IF(Inputs!$B$10="",0,COUNTIFS(Data!$Q$10:$Q$3209,"&gt;="&amp;$A1367,Data!$Q$10:$Q$3209,"&lt;"&amp;$A1367+1)))</f>
        <v/>
      </c>
    </row>
    <row r="1368">
      <c r="A1368" s="55">
        <f>MIN(Inputs!$C$15,$A1367+IF(WEEKDAY($A1367,2)=5,3,1))</f>
        <v/>
      </c>
      <c r="B1368">
        <f>IF($A1368&gt;$A1367,1,0)</f>
        <v/>
      </c>
      <c r="C1368" s="56">
        <f>IF($B1368=0,"",IF(Inputs!$B$6="","",IF($AD1368=0,C1367,SUMIFS(Data!$B$10:$B$3209,Data!$A$10:$A$3209,"&gt;="&amp;$A1368,Data!$A$10:$A$3209,"&lt;"&amp;$A1368+1)/$AD1368)))</f>
        <v/>
      </c>
      <c r="D1368" s="56">
        <f>IF($B1368=0,"",IF(Inputs!$B$7="","",IF($AE1368=0,D1367,SUMIFS(Data!$F$10:$F$3209,Data!$E$10:$E$3209,"&gt;="&amp;$A1368,Data!$E$10:$E$3209,"&lt;"&amp;$A1368+1)/$AE1368)))</f>
        <v/>
      </c>
      <c r="E1368" s="56">
        <f>IF($B1368=0,"",IF(Inputs!$B$8="","",IF($AF1368=0,E1367,SUMIFS(Data!$J$10:$J$3209,Data!$I$10:$I$3209,"&gt;="&amp;$A1368,Data!$I$10:$I$3209,"&lt;"&amp;$A1368+1)/$AF1368)))</f>
        <v/>
      </c>
      <c r="F1368" s="56">
        <f>IF($B1368=0,"",IF(Inputs!$B$9="","",IF($AG1368=0,F1367,SUMIFS(Data!$N$10:$N$3209,Data!$M$10:$M$3209,"&gt;="&amp;$A1368,Data!$M$10:$M$3209,"&lt;"&amp;$A1368+1)/$AG1368)))</f>
        <v/>
      </c>
      <c r="G1368" s="56">
        <f>IF($B1368=0,"",IF(Inputs!$B$10="","",IF($AH1368=0,G1367,SUMIFS(Data!$R$10:$R$3209,Data!$Q$10:$Q$3209,"&gt;="&amp;$A1368,Data!$Q$10:$Q$3209,"&lt;"&amp;$A1368+1)/$AH1368)))</f>
        <v/>
      </c>
      <c r="I1368" s="54">
        <f>IF($B1368=0,NA(),IF($C1368="",NA(),IF(C$8="",NA(),IF(N(C$8)=0,NA(),IF(Inputs!$C$17="Rebased to 100",$C1368/C$8*100,$C1368)))))</f>
        <v/>
      </c>
      <c r="J1368" s="54">
        <f>IF($B1368=0,NA(),IF($D1368="",NA(),IF(D$8="",NA(),IF(N(D$8)=0,NA(),IF(Inputs!$C$17="Rebased to 100",$D1368/D$8*100,$D1368)))))</f>
        <v/>
      </c>
      <c r="K1368" s="54">
        <f>IF($B1368=0,NA(),IF($E1368="",NA(),IF(E$8="",NA(),IF(N(E$8)=0,NA(),IF(Inputs!$C$17="Rebased to 100",$E1368/E$8*100,$E1368)))))</f>
        <v/>
      </c>
      <c r="L1368" s="54">
        <f>IF($B1368=0,NA(),IF($F1368="",NA(),IF(F$8="",NA(),IF(N(F$8)=0,NA(),IF(Inputs!$C$17="Rebased to 100",$F1368/F$8*100,$F1368)))))</f>
        <v/>
      </c>
      <c r="M1368" s="54">
        <f>IF($B1368=0,NA(),IF($G1368="",NA(),IF(G$8="",NA(),IF(N(G$8)=0,NA(),IF(Inputs!$C$17="Rebased to 100",$G1368/G$8*100,$G1368)))))</f>
        <v/>
      </c>
      <c r="N1368" s="54">
        <f>IF($B1368=0,NA(),IF(Inputs!$C$18&lt;&gt;"Yes",NA(),IF(COUNT(I1368,J1368,K1368,L1368,M1368)=0,NA(),MIN(I1368,J1368,K1368,L1368,M1368))))</f>
        <v/>
      </c>
      <c r="O1368" s="54">
        <f>IF($B1368=0,NA(),IF(Inputs!$B$24&lt;&gt;"Yes",NA(),Inputs!$D$24*Inputs!$C$35))</f>
        <v/>
      </c>
      <c r="P1368" s="54">
        <f>IF($B1368=0,NA(),IF(Inputs!$B$25&lt;&gt;"Yes",NA(),Inputs!$D$25*Inputs!$C$35))</f>
        <v/>
      </c>
      <c r="Q1368" s="54">
        <f>IF($B1368=0,NA(),IF(Inputs!$B$26&lt;&gt;"Yes",NA(),Inputs!$D$26*Inputs!$C$35))</f>
        <v/>
      </c>
      <c r="R1368" s="54">
        <f>IF($B1368=0,NA(),IF(Inputs!$B$27&lt;&gt;"Yes",NA(),Inputs!$D$27*Inputs!$C$35))</f>
        <v/>
      </c>
      <c r="S1368" s="54">
        <f>IF($B1368=0,NA(),IF(Inputs!$B$28&lt;&gt;"Yes",NA(),Inputs!$D$28*Inputs!$C$35))</f>
        <v/>
      </c>
      <c r="T1368" s="54">
        <f>IF($B1368=0,NA(),IF(Inputs!$B$29&lt;&gt;"Yes",NA(),Inputs!$D$29*Inputs!$C$35))</f>
        <v/>
      </c>
      <c r="AD1368">
        <f>IF($B1368=0,0,IF(Inputs!$B$6="",0,COUNTIFS(Data!$A$10:$A$3209,"&gt;="&amp;$A1368,Data!$A$10:$A$3209,"&lt;"&amp;$A1368+1)))</f>
        <v/>
      </c>
      <c r="AE1368">
        <f>IF($B1368=0,0,IF(Inputs!$B$7="",0,COUNTIFS(Data!$E$10:$E$3209,"&gt;="&amp;$A1368,Data!$E$10:$E$3209,"&lt;"&amp;$A1368+1)))</f>
        <v/>
      </c>
      <c r="AF1368">
        <f>IF($B1368=0,0,IF(Inputs!$B$8="",0,COUNTIFS(Data!$I$10:$I$3209,"&gt;="&amp;$A1368,Data!$I$10:$I$3209,"&lt;"&amp;$A1368+1)))</f>
        <v/>
      </c>
      <c r="AG1368">
        <f>IF($B1368=0,0,IF(Inputs!$B$9="",0,COUNTIFS(Data!$M$10:$M$3209,"&gt;="&amp;$A1368,Data!$M$10:$M$3209,"&lt;"&amp;$A1368+1)))</f>
        <v/>
      </c>
      <c r="AH1368">
        <f>IF($B1368=0,0,IF(Inputs!$B$10="",0,COUNTIFS(Data!$Q$10:$Q$3209,"&gt;="&amp;$A1368,Data!$Q$10:$Q$3209,"&lt;"&amp;$A1368+1)))</f>
        <v/>
      </c>
    </row>
    <row r="1369">
      <c r="A1369" s="55">
        <f>MIN(Inputs!$C$15,$A1368+IF(WEEKDAY($A1368,2)=5,3,1))</f>
        <v/>
      </c>
      <c r="B1369">
        <f>IF($A1369&gt;$A1368,1,0)</f>
        <v/>
      </c>
      <c r="C1369" s="56">
        <f>IF($B1369=0,"",IF(Inputs!$B$6="","",IF($AD1369=0,C1368,SUMIFS(Data!$B$10:$B$3209,Data!$A$10:$A$3209,"&gt;="&amp;$A1369,Data!$A$10:$A$3209,"&lt;"&amp;$A1369+1)/$AD1369)))</f>
        <v/>
      </c>
      <c r="D1369" s="56">
        <f>IF($B1369=0,"",IF(Inputs!$B$7="","",IF($AE1369=0,D1368,SUMIFS(Data!$F$10:$F$3209,Data!$E$10:$E$3209,"&gt;="&amp;$A1369,Data!$E$10:$E$3209,"&lt;"&amp;$A1369+1)/$AE1369)))</f>
        <v/>
      </c>
      <c r="E1369" s="56">
        <f>IF($B1369=0,"",IF(Inputs!$B$8="","",IF($AF1369=0,E1368,SUMIFS(Data!$J$10:$J$3209,Data!$I$10:$I$3209,"&gt;="&amp;$A1369,Data!$I$10:$I$3209,"&lt;"&amp;$A1369+1)/$AF1369)))</f>
        <v/>
      </c>
      <c r="F1369" s="56">
        <f>IF($B1369=0,"",IF(Inputs!$B$9="","",IF($AG1369=0,F1368,SUMIFS(Data!$N$10:$N$3209,Data!$M$10:$M$3209,"&gt;="&amp;$A1369,Data!$M$10:$M$3209,"&lt;"&amp;$A1369+1)/$AG1369)))</f>
        <v/>
      </c>
      <c r="G1369" s="56">
        <f>IF($B1369=0,"",IF(Inputs!$B$10="","",IF($AH1369=0,G1368,SUMIFS(Data!$R$10:$R$3209,Data!$Q$10:$Q$3209,"&gt;="&amp;$A1369,Data!$Q$10:$Q$3209,"&lt;"&amp;$A1369+1)/$AH1369)))</f>
        <v/>
      </c>
      <c r="I1369" s="54">
        <f>IF($B1369=0,NA(),IF($C1369="",NA(),IF(C$8="",NA(),IF(N(C$8)=0,NA(),IF(Inputs!$C$17="Rebased to 100",$C1369/C$8*100,$C1369)))))</f>
        <v/>
      </c>
      <c r="J1369" s="54">
        <f>IF($B1369=0,NA(),IF($D1369="",NA(),IF(D$8="",NA(),IF(N(D$8)=0,NA(),IF(Inputs!$C$17="Rebased to 100",$D1369/D$8*100,$D1369)))))</f>
        <v/>
      </c>
      <c r="K1369" s="54">
        <f>IF($B1369=0,NA(),IF($E1369="",NA(),IF(E$8="",NA(),IF(N(E$8)=0,NA(),IF(Inputs!$C$17="Rebased to 100",$E1369/E$8*100,$E1369)))))</f>
        <v/>
      </c>
      <c r="L1369" s="54">
        <f>IF($B1369=0,NA(),IF($F1369="",NA(),IF(F$8="",NA(),IF(N(F$8)=0,NA(),IF(Inputs!$C$17="Rebased to 100",$F1369/F$8*100,$F1369)))))</f>
        <v/>
      </c>
      <c r="M1369" s="54">
        <f>IF($B1369=0,NA(),IF($G1369="",NA(),IF(G$8="",NA(),IF(N(G$8)=0,NA(),IF(Inputs!$C$17="Rebased to 100",$G1369/G$8*100,$G1369)))))</f>
        <v/>
      </c>
      <c r="N1369" s="54">
        <f>IF($B1369=0,NA(),IF(Inputs!$C$18&lt;&gt;"Yes",NA(),IF(COUNT(I1369,J1369,K1369,L1369,M1369)=0,NA(),MIN(I1369,J1369,K1369,L1369,M1369))))</f>
        <v/>
      </c>
      <c r="O1369" s="54">
        <f>IF($B1369=0,NA(),IF(Inputs!$B$24&lt;&gt;"Yes",NA(),Inputs!$D$24*Inputs!$C$35))</f>
        <v/>
      </c>
      <c r="P1369" s="54">
        <f>IF($B1369=0,NA(),IF(Inputs!$B$25&lt;&gt;"Yes",NA(),Inputs!$D$25*Inputs!$C$35))</f>
        <v/>
      </c>
      <c r="Q1369" s="54">
        <f>IF($B1369=0,NA(),IF(Inputs!$B$26&lt;&gt;"Yes",NA(),Inputs!$D$26*Inputs!$C$35))</f>
        <v/>
      </c>
      <c r="R1369" s="54">
        <f>IF($B1369=0,NA(),IF(Inputs!$B$27&lt;&gt;"Yes",NA(),Inputs!$D$27*Inputs!$C$35))</f>
        <v/>
      </c>
      <c r="S1369" s="54">
        <f>IF($B1369=0,NA(),IF(Inputs!$B$28&lt;&gt;"Yes",NA(),Inputs!$D$28*Inputs!$C$35))</f>
        <v/>
      </c>
      <c r="T1369" s="54">
        <f>IF($B1369=0,NA(),IF(Inputs!$B$29&lt;&gt;"Yes",NA(),Inputs!$D$29*Inputs!$C$35))</f>
        <v/>
      </c>
      <c r="AD1369">
        <f>IF($B1369=0,0,IF(Inputs!$B$6="",0,COUNTIFS(Data!$A$10:$A$3209,"&gt;="&amp;$A1369,Data!$A$10:$A$3209,"&lt;"&amp;$A1369+1)))</f>
        <v/>
      </c>
      <c r="AE1369">
        <f>IF($B1369=0,0,IF(Inputs!$B$7="",0,COUNTIFS(Data!$E$10:$E$3209,"&gt;="&amp;$A1369,Data!$E$10:$E$3209,"&lt;"&amp;$A1369+1)))</f>
        <v/>
      </c>
      <c r="AF1369">
        <f>IF($B1369=0,0,IF(Inputs!$B$8="",0,COUNTIFS(Data!$I$10:$I$3209,"&gt;="&amp;$A1369,Data!$I$10:$I$3209,"&lt;"&amp;$A1369+1)))</f>
        <v/>
      </c>
      <c r="AG1369">
        <f>IF($B1369=0,0,IF(Inputs!$B$9="",0,COUNTIFS(Data!$M$10:$M$3209,"&gt;="&amp;$A1369,Data!$M$10:$M$3209,"&lt;"&amp;$A1369+1)))</f>
        <v/>
      </c>
      <c r="AH1369">
        <f>IF($B1369=0,0,IF(Inputs!$B$10="",0,COUNTIFS(Data!$Q$10:$Q$3209,"&gt;="&amp;$A1369,Data!$Q$10:$Q$3209,"&lt;"&amp;$A1369+1)))</f>
        <v/>
      </c>
    </row>
    <row r="1370">
      <c r="A1370" s="55">
        <f>MIN(Inputs!$C$15,$A1369+IF(WEEKDAY($A1369,2)=5,3,1))</f>
        <v/>
      </c>
      <c r="B1370">
        <f>IF($A1370&gt;$A1369,1,0)</f>
        <v/>
      </c>
      <c r="C1370" s="56">
        <f>IF($B1370=0,"",IF(Inputs!$B$6="","",IF($AD1370=0,C1369,SUMIFS(Data!$B$10:$B$3209,Data!$A$10:$A$3209,"&gt;="&amp;$A1370,Data!$A$10:$A$3209,"&lt;"&amp;$A1370+1)/$AD1370)))</f>
        <v/>
      </c>
      <c r="D1370" s="56">
        <f>IF($B1370=0,"",IF(Inputs!$B$7="","",IF($AE1370=0,D1369,SUMIFS(Data!$F$10:$F$3209,Data!$E$10:$E$3209,"&gt;="&amp;$A1370,Data!$E$10:$E$3209,"&lt;"&amp;$A1370+1)/$AE1370)))</f>
        <v/>
      </c>
      <c r="E1370" s="56">
        <f>IF($B1370=0,"",IF(Inputs!$B$8="","",IF($AF1370=0,E1369,SUMIFS(Data!$J$10:$J$3209,Data!$I$10:$I$3209,"&gt;="&amp;$A1370,Data!$I$10:$I$3209,"&lt;"&amp;$A1370+1)/$AF1370)))</f>
        <v/>
      </c>
      <c r="F1370" s="56">
        <f>IF($B1370=0,"",IF(Inputs!$B$9="","",IF($AG1370=0,F1369,SUMIFS(Data!$N$10:$N$3209,Data!$M$10:$M$3209,"&gt;="&amp;$A1370,Data!$M$10:$M$3209,"&lt;"&amp;$A1370+1)/$AG1370)))</f>
        <v/>
      </c>
      <c r="G1370" s="56">
        <f>IF($B1370=0,"",IF(Inputs!$B$10="","",IF($AH1370=0,G1369,SUMIFS(Data!$R$10:$R$3209,Data!$Q$10:$Q$3209,"&gt;="&amp;$A1370,Data!$Q$10:$Q$3209,"&lt;"&amp;$A1370+1)/$AH1370)))</f>
        <v/>
      </c>
      <c r="I1370" s="54">
        <f>IF($B1370=0,NA(),IF($C1370="",NA(),IF(C$8="",NA(),IF(N(C$8)=0,NA(),IF(Inputs!$C$17="Rebased to 100",$C1370/C$8*100,$C1370)))))</f>
        <v/>
      </c>
      <c r="J1370" s="54">
        <f>IF($B1370=0,NA(),IF($D1370="",NA(),IF(D$8="",NA(),IF(N(D$8)=0,NA(),IF(Inputs!$C$17="Rebased to 100",$D1370/D$8*100,$D1370)))))</f>
        <v/>
      </c>
      <c r="K1370" s="54">
        <f>IF($B1370=0,NA(),IF($E1370="",NA(),IF(E$8="",NA(),IF(N(E$8)=0,NA(),IF(Inputs!$C$17="Rebased to 100",$E1370/E$8*100,$E1370)))))</f>
        <v/>
      </c>
      <c r="L1370" s="54">
        <f>IF($B1370=0,NA(),IF($F1370="",NA(),IF(F$8="",NA(),IF(N(F$8)=0,NA(),IF(Inputs!$C$17="Rebased to 100",$F1370/F$8*100,$F1370)))))</f>
        <v/>
      </c>
      <c r="M1370" s="54">
        <f>IF($B1370=0,NA(),IF($G1370="",NA(),IF(G$8="",NA(),IF(N(G$8)=0,NA(),IF(Inputs!$C$17="Rebased to 100",$G1370/G$8*100,$G1370)))))</f>
        <v/>
      </c>
      <c r="N1370" s="54">
        <f>IF($B1370=0,NA(),IF(Inputs!$C$18&lt;&gt;"Yes",NA(),IF(COUNT(I1370,J1370,K1370,L1370,M1370)=0,NA(),MIN(I1370,J1370,K1370,L1370,M1370))))</f>
        <v/>
      </c>
      <c r="O1370" s="54">
        <f>IF($B1370=0,NA(),IF(Inputs!$B$24&lt;&gt;"Yes",NA(),Inputs!$D$24*Inputs!$C$35))</f>
        <v/>
      </c>
      <c r="P1370" s="54">
        <f>IF($B1370=0,NA(),IF(Inputs!$B$25&lt;&gt;"Yes",NA(),Inputs!$D$25*Inputs!$C$35))</f>
        <v/>
      </c>
      <c r="Q1370" s="54">
        <f>IF($B1370=0,NA(),IF(Inputs!$B$26&lt;&gt;"Yes",NA(),Inputs!$D$26*Inputs!$C$35))</f>
        <v/>
      </c>
      <c r="R1370" s="54">
        <f>IF($B1370=0,NA(),IF(Inputs!$B$27&lt;&gt;"Yes",NA(),Inputs!$D$27*Inputs!$C$35))</f>
        <v/>
      </c>
      <c r="S1370" s="54">
        <f>IF($B1370=0,NA(),IF(Inputs!$B$28&lt;&gt;"Yes",NA(),Inputs!$D$28*Inputs!$C$35))</f>
        <v/>
      </c>
      <c r="T1370" s="54">
        <f>IF($B1370=0,NA(),IF(Inputs!$B$29&lt;&gt;"Yes",NA(),Inputs!$D$29*Inputs!$C$35))</f>
        <v/>
      </c>
      <c r="AD1370">
        <f>IF($B1370=0,0,IF(Inputs!$B$6="",0,COUNTIFS(Data!$A$10:$A$3209,"&gt;="&amp;$A1370,Data!$A$10:$A$3209,"&lt;"&amp;$A1370+1)))</f>
        <v/>
      </c>
      <c r="AE1370">
        <f>IF($B1370=0,0,IF(Inputs!$B$7="",0,COUNTIFS(Data!$E$10:$E$3209,"&gt;="&amp;$A1370,Data!$E$10:$E$3209,"&lt;"&amp;$A1370+1)))</f>
        <v/>
      </c>
      <c r="AF1370">
        <f>IF($B1370=0,0,IF(Inputs!$B$8="",0,COUNTIFS(Data!$I$10:$I$3209,"&gt;="&amp;$A1370,Data!$I$10:$I$3209,"&lt;"&amp;$A1370+1)))</f>
        <v/>
      </c>
      <c r="AG1370">
        <f>IF($B1370=0,0,IF(Inputs!$B$9="",0,COUNTIFS(Data!$M$10:$M$3209,"&gt;="&amp;$A1370,Data!$M$10:$M$3209,"&lt;"&amp;$A1370+1)))</f>
        <v/>
      </c>
      <c r="AH1370">
        <f>IF($B1370=0,0,IF(Inputs!$B$10="",0,COUNTIFS(Data!$Q$10:$Q$3209,"&gt;="&amp;$A1370,Data!$Q$10:$Q$3209,"&lt;"&amp;$A1370+1)))</f>
        <v/>
      </c>
    </row>
    <row r="1371">
      <c r="A1371" s="55">
        <f>MIN(Inputs!$C$15,$A1370+IF(WEEKDAY($A1370,2)=5,3,1))</f>
        <v/>
      </c>
      <c r="B1371">
        <f>IF($A1371&gt;$A1370,1,0)</f>
        <v/>
      </c>
      <c r="C1371" s="56">
        <f>IF($B1371=0,"",IF(Inputs!$B$6="","",IF($AD1371=0,C1370,SUMIFS(Data!$B$10:$B$3209,Data!$A$10:$A$3209,"&gt;="&amp;$A1371,Data!$A$10:$A$3209,"&lt;"&amp;$A1371+1)/$AD1371)))</f>
        <v/>
      </c>
      <c r="D1371" s="56">
        <f>IF($B1371=0,"",IF(Inputs!$B$7="","",IF($AE1371=0,D1370,SUMIFS(Data!$F$10:$F$3209,Data!$E$10:$E$3209,"&gt;="&amp;$A1371,Data!$E$10:$E$3209,"&lt;"&amp;$A1371+1)/$AE1371)))</f>
        <v/>
      </c>
      <c r="E1371" s="56">
        <f>IF($B1371=0,"",IF(Inputs!$B$8="","",IF($AF1371=0,E1370,SUMIFS(Data!$J$10:$J$3209,Data!$I$10:$I$3209,"&gt;="&amp;$A1371,Data!$I$10:$I$3209,"&lt;"&amp;$A1371+1)/$AF1371)))</f>
        <v/>
      </c>
      <c r="F1371" s="56">
        <f>IF($B1371=0,"",IF(Inputs!$B$9="","",IF($AG1371=0,F1370,SUMIFS(Data!$N$10:$N$3209,Data!$M$10:$M$3209,"&gt;="&amp;$A1371,Data!$M$10:$M$3209,"&lt;"&amp;$A1371+1)/$AG1371)))</f>
        <v/>
      </c>
      <c r="G1371" s="56">
        <f>IF($B1371=0,"",IF(Inputs!$B$10="","",IF($AH1371=0,G1370,SUMIFS(Data!$R$10:$R$3209,Data!$Q$10:$Q$3209,"&gt;="&amp;$A1371,Data!$Q$10:$Q$3209,"&lt;"&amp;$A1371+1)/$AH1371)))</f>
        <v/>
      </c>
      <c r="I1371" s="54">
        <f>IF($B1371=0,NA(),IF($C1371="",NA(),IF(C$8="",NA(),IF(N(C$8)=0,NA(),IF(Inputs!$C$17="Rebased to 100",$C1371/C$8*100,$C1371)))))</f>
        <v/>
      </c>
      <c r="J1371" s="54">
        <f>IF($B1371=0,NA(),IF($D1371="",NA(),IF(D$8="",NA(),IF(N(D$8)=0,NA(),IF(Inputs!$C$17="Rebased to 100",$D1371/D$8*100,$D1371)))))</f>
        <v/>
      </c>
      <c r="K1371" s="54">
        <f>IF($B1371=0,NA(),IF($E1371="",NA(),IF(E$8="",NA(),IF(N(E$8)=0,NA(),IF(Inputs!$C$17="Rebased to 100",$E1371/E$8*100,$E1371)))))</f>
        <v/>
      </c>
      <c r="L1371" s="54">
        <f>IF($B1371=0,NA(),IF($F1371="",NA(),IF(F$8="",NA(),IF(N(F$8)=0,NA(),IF(Inputs!$C$17="Rebased to 100",$F1371/F$8*100,$F1371)))))</f>
        <v/>
      </c>
      <c r="M1371" s="54">
        <f>IF($B1371=0,NA(),IF($G1371="",NA(),IF(G$8="",NA(),IF(N(G$8)=0,NA(),IF(Inputs!$C$17="Rebased to 100",$G1371/G$8*100,$G1371)))))</f>
        <v/>
      </c>
      <c r="N1371" s="54">
        <f>IF($B1371=0,NA(),IF(Inputs!$C$18&lt;&gt;"Yes",NA(),IF(COUNT(I1371,J1371,K1371,L1371,M1371)=0,NA(),MIN(I1371,J1371,K1371,L1371,M1371))))</f>
        <v/>
      </c>
      <c r="O1371" s="54">
        <f>IF($B1371=0,NA(),IF(Inputs!$B$24&lt;&gt;"Yes",NA(),Inputs!$D$24*Inputs!$C$35))</f>
        <v/>
      </c>
      <c r="P1371" s="54">
        <f>IF($B1371=0,NA(),IF(Inputs!$B$25&lt;&gt;"Yes",NA(),Inputs!$D$25*Inputs!$C$35))</f>
        <v/>
      </c>
      <c r="Q1371" s="54">
        <f>IF($B1371=0,NA(),IF(Inputs!$B$26&lt;&gt;"Yes",NA(),Inputs!$D$26*Inputs!$C$35))</f>
        <v/>
      </c>
      <c r="R1371" s="54">
        <f>IF($B1371=0,NA(),IF(Inputs!$B$27&lt;&gt;"Yes",NA(),Inputs!$D$27*Inputs!$C$35))</f>
        <v/>
      </c>
      <c r="S1371" s="54">
        <f>IF($B1371=0,NA(),IF(Inputs!$B$28&lt;&gt;"Yes",NA(),Inputs!$D$28*Inputs!$C$35))</f>
        <v/>
      </c>
      <c r="T1371" s="54">
        <f>IF($B1371=0,NA(),IF(Inputs!$B$29&lt;&gt;"Yes",NA(),Inputs!$D$29*Inputs!$C$35))</f>
        <v/>
      </c>
      <c r="AD1371">
        <f>IF($B1371=0,0,IF(Inputs!$B$6="",0,COUNTIFS(Data!$A$10:$A$3209,"&gt;="&amp;$A1371,Data!$A$10:$A$3209,"&lt;"&amp;$A1371+1)))</f>
        <v/>
      </c>
      <c r="AE1371">
        <f>IF($B1371=0,0,IF(Inputs!$B$7="",0,COUNTIFS(Data!$E$10:$E$3209,"&gt;="&amp;$A1371,Data!$E$10:$E$3209,"&lt;"&amp;$A1371+1)))</f>
        <v/>
      </c>
      <c r="AF1371">
        <f>IF($B1371=0,0,IF(Inputs!$B$8="",0,COUNTIFS(Data!$I$10:$I$3209,"&gt;="&amp;$A1371,Data!$I$10:$I$3209,"&lt;"&amp;$A1371+1)))</f>
        <v/>
      </c>
      <c r="AG1371">
        <f>IF($B1371=0,0,IF(Inputs!$B$9="",0,COUNTIFS(Data!$M$10:$M$3209,"&gt;="&amp;$A1371,Data!$M$10:$M$3209,"&lt;"&amp;$A1371+1)))</f>
        <v/>
      </c>
      <c r="AH1371">
        <f>IF($B1371=0,0,IF(Inputs!$B$10="",0,COUNTIFS(Data!$Q$10:$Q$3209,"&gt;="&amp;$A1371,Data!$Q$10:$Q$3209,"&lt;"&amp;$A1371+1)))</f>
        <v/>
      </c>
    </row>
    <row r="1372">
      <c r="A1372" s="55">
        <f>MIN(Inputs!$C$15,$A1371+IF(WEEKDAY($A1371,2)=5,3,1))</f>
        <v/>
      </c>
      <c r="B1372">
        <f>IF($A1372&gt;$A1371,1,0)</f>
        <v/>
      </c>
      <c r="C1372" s="56">
        <f>IF($B1372=0,"",IF(Inputs!$B$6="","",IF($AD1372=0,C1371,SUMIFS(Data!$B$10:$B$3209,Data!$A$10:$A$3209,"&gt;="&amp;$A1372,Data!$A$10:$A$3209,"&lt;"&amp;$A1372+1)/$AD1372)))</f>
        <v/>
      </c>
      <c r="D1372" s="56">
        <f>IF($B1372=0,"",IF(Inputs!$B$7="","",IF($AE1372=0,D1371,SUMIFS(Data!$F$10:$F$3209,Data!$E$10:$E$3209,"&gt;="&amp;$A1372,Data!$E$10:$E$3209,"&lt;"&amp;$A1372+1)/$AE1372)))</f>
        <v/>
      </c>
      <c r="E1372" s="56">
        <f>IF($B1372=0,"",IF(Inputs!$B$8="","",IF($AF1372=0,E1371,SUMIFS(Data!$J$10:$J$3209,Data!$I$10:$I$3209,"&gt;="&amp;$A1372,Data!$I$10:$I$3209,"&lt;"&amp;$A1372+1)/$AF1372)))</f>
        <v/>
      </c>
      <c r="F1372" s="56">
        <f>IF($B1372=0,"",IF(Inputs!$B$9="","",IF($AG1372=0,F1371,SUMIFS(Data!$N$10:$N$3209,Data!$M$10:$M$3209,"&gt;="&amp;$A1372,Data!$M$10:$M$3209,"&lt;"&amp;$A1372+1)/$AG1372)))</f>
        <v/>
      </c>
      <c r="G1372" s="56">
        <f>IF($B1372=0,"",IF(Inputs!$B$10="","",IF($AH1372=0,G1371,SUMIFS(Data!$R$10:$R$3209,Data!$Q$10:$Q$3209,"&gt;="&amp;$A1372,Data!$Q$10:$Q$3209,"&lt;"&amp;$A1372+1)/$AH1372)))</f>
        <v/>
      </c>
      <c r="I1372" s="54">
        <f>IF($B1372=0,NA(),IF($C1372="",NA(),IF(C$8="",NA(),IF(N(C$8)=0,NA(),IF(Inputs!$C$17="Rebased to 100",$C1372/C$8*100,$C1372)))))</f>
        <v/>
      </c>
      <c r="J1372" s="54">
        <f>IF($B1372=0,NA(),IF($D1372="",NA(),IF(D$8="",NA(),IF(N(D$8)=0,NA(),IF(Inputs!$C$17="Rebased to 100",$D1372/D$8*100,$D1372)))))</f>
        <v/>
      </c>
      <c r="K1372" s="54">
        <f>IF($B1372=0,NA(),IF($E1372="",NA(),IF(E$8="",NA(),IF(N(E$8)=0,NA(),IF(Inputs!$C$17="Rebased to 100",$E1372/E$8*100,$E1372)))))</f>
        <v/>
      </c>
      <c r="L1372" s="54">
        <f>IF($B1372=0,NA(),IF($F1372="",NA(),IF(F$8="",NA(),IF(N(F$8)=0,NA(),IF(Inputs!$C$17="Rebased to 100",$F1372/F$8*100,$F1372)))))</f>
        <v/>
      </c>
      <c r="M1372" s="54">
        <f>IF($B1372=0,NA(),IF($G1372="",NA(),IF(G$8="",NA(),IF(N(G$8)=0,NA(),IF(Inputs!$C$17="Rebased to 100",$G1372/G$8*100,$G1372)))))</f>
        <v/>
      </c>
      <c r="N1372" s="54">
        <f>IF($B1372=0,NA(),IF(Inputs!$C$18&lt;&gt;"Yes",NA(),IF(COUNT(I1372,J1372,K1372,L1372,M1372)=0,NA(),MIN(I1372,J1372,K1372,L1372,M1372))))</f>
        <v/>
      </c>
      <c r="O1372" s="54">
        <f>IF($B1372=0,NA(),IF(Inputs!$B$24&lt;&gt;"Yes",NA(),Inputs!$D$24*Inputs!$C$35))</f>
        <v/>
      </c>
      <c r="P1372" s="54">
        <f>IF($B1372=0,NA(),IF(Inputs!$B$25&lt;&gt;"Yes",NA(),Inputs!$D$25*Inputs!$C$35))</f>
        <v/>
      </c>
      <c r="Q1372" s="54">
        <f>IF($B1372=0,NA(),IF(Inputs!$B$26&lt;&gt;"Yes",NA(),Inputs!$D$26*Inputs!$C$35))</f>
        <v/>
      </c>
      <c r="R1372" s="54">
        <f>IF($B1372=0,NA(),IF(Inputs!$B$27&lt;&gt;"Yes",NA(),Inputs!$D$27*Inputs!$C$35))</f>
        <v/>
      </c>
      <c r="S1372" s="54">
        <f>IF($B1372=0,NA(),IF(Inputs!$B$28&lt;&gt;"Yes",NA(),Inputs!$D$28*Inputs!$C$35))</f>
        <v/>
      </c>
      <c r="T1372" s="54">
        <f>IF($B1372=0,NA(),IF(Inputs!$B$29&lt;&gt;"Yes",NA(),Inputs!$D$29*Inputs!$C$35))</f>
        <v/>
      </c>
      <c r="AD1372">
        <f>IF($B1372=0,0,IF(Inputs!$B$6="",0,COUNTIFS(Data!$A$10:$A$3209,"&gt;="&amp;$A1372,Data!$A$10:$A$3209,"&lt;"&amp;$A1372+1)))</f>
        <v/>
      </c>
      <c r="AE1372">
        <f>IF($B1372=0,0,IF(Inputs!$B$7="",0,COUNTIFS(Data!$E$10:$E$3209,"&gt;="&amp;$A1372,Data!$E$10:$E$3209,"&lt;"&amp;$A1372+1)))</f>
        <v/>
      </c>
      <c r="AF1372">
        <f>IF($B1372=0,0,IF(Inputs!$B$8="",0,COUNTIFS(Data!$I$10:$I$3209,"&gt;="&amp;$A1372,Data!$I$10:$I$3209,"&lt;"&amp;$A1372+1)))</f>
        <v/>
      </c>
      <c r="AG1372">
        <f>IF($B1372=0,0,IF(Inputs!$B$9="",0,COUNTIFS(Data!$M$10:$M$3209,"&gt;="&amp;$A1372,Data!$M$10:$M$3209,"&lt;"&amp;$A1372+1)))</f>
        <v/>
      </c>
      <c r="AH1372">
        <f>IF($B1372=0,0,IF(Inputs!$B$10="",0,COUNTIFS(Data!$Q$10:$Q$3209,"&gt;="&amp;$A1372,Data!$Q$10:$Q$3209,"&lt;"&amp;$A1372+1)))</f>
        <v/>
      </c>
    </row>
    <row r="1373">
      <c r="A1373" s="55">
        <f>MIN(Inputs!$C$15,$A1372+IF(WEEKDAY($A1372,2)=5,3,1))</f>
        <v/>
      </c>
      <c r="B1373">
        <f>IF($A1373&gt;$A1372,1,0)</f>
        <v/>
      </c>
      <c r="C1373" s="56">
        <f>IF($B1373=0,"",IF(Inputs!$B$6="","",IF($AD1373=0,C1372,SUMIFS(Data!$B$10:$B$3209,Data!$A$10:$A$3209,"&gt;="&amp;$A1373,Data!$A$10:$A$3209,"&lt;"&amp;$A1373+1)/$AD1373)))</f>
        <v/>
      </c>
      <c r="D1373" s="56">
        <f>IF($B1373=0,"",IF(Inputs!$B$7="","",IF($AE1373=0,D1372,SUMIFS(Data!$F$10:$F$3209,Data!$E$10:$E$3209,"&gt;="&amp;$A1373,Data!$E$10:$E$3209,"&lt;"&amp;$A1373+1)/$AE1373)))</f>
        <v/>
      </c>
      <c r="E1373" s="56">
        <f>IF($B1373=0,"",IF(Inputs!$B$8="","",IF($AF1373=0,E1372,SUMIFS(Data!$J$10:$J$3209,Data!$I$10:$I$3209,"&gt;="&amp;$A1373,Data!$I$10:$I$3209,"&lt;"&amp;$A1373+1)/$AF1373)))</f>
        <v/>
      </c>
      <c r="F1373" s="56">
        <f>IF($B1373=0,"",IF(Inputs!$B$9="","",IF($AG1373=0,F1372,SUMIFS(Data!$N$10:$N$3209,Data!$M$10:$M$3209,"&gt;="&amp;$A1373,Data!$M$10:$M$3209,"&lt;"&amp;$A1373+1)/$AG1373)))</f>
        <v/>
      </c>
      <c r="G1373" s="56">
        <f>IF($B1373=0,"",IF(Inputs!$B$10="","",IF($AH1373=0,G1372,SUMIFS(Data!$R$10:$R$3209,Data!$Q$10:$Q$3209,"&gt;="&amp;$A1373,Data!$Q$10:$Q$3209,"&lt;"&amp;$A1373+1)/$AH1373)))</f>
        <v/>
      </c>
      <c r="I1373" s="54">
        <f>IF($B1373=0,NA(),IF($C1373="",NA(),IF(C$8="",NA(),IF(N(C$8)=0,NA(),IF(Inputs!$C$17="Rebased to 100",$C1373/C$8*100,$C1373)))))</f>
        <v/>
      </c>
      <c r="J1373" s="54">
        <f>IF($B1373=0,NA(),IF($D1373="",NA(),IF(D$8="",NA(),IF(N(D$8)=0,NA(),IF(Inputs!$C$17="Rebased to 100",$D1373/D$8*100,$D1373)))))</f>
        <v/>
      </c>
      <c r="K1373" s="54">
        <f>IF($B1373=0,NA(),IF($E1373="",NA(),IF(E$8="",NA(),IF(N(E$8)=0,NA(),IF(Inputs!$C$17="Rebased to 100",$E1373/E$8*100,$E1373)))))</f>
        <v/>
      </c>
      <c r="L1373" s="54">
        <f>IF($B1373=0,NA(),IF($F1373="",NA(),IF(F$8="",NA(),IF(N(F$8)=0,NA(),IF(Inputs!$C$17="Rebased to 100",$F1373/F$8*100,$F1373)))))</f>
        <v/>
      </c>
      <c r="M1373" s="54">
        <f>IF($B1373=0,NA(),IF($G1373="",NA(),IF(G$8="",NA(),IF(N(G$8)=0,NA(),IF(Inputs!$C$17="Rebased to 100",$G1373/G$8*100,$G1373)))))</f>
        <v/>
      </c>
      <c r="N1373" s="54">
        <f>IF($B1373=0,NA(),IF(Inputs!$C$18&lt;&gt;"Yes",NA(),IF(COUNT(I1373,J1373,K1373,L1373,M1373)=0,NA(),MIN(I1373,J1373,K1373,L1373,M1373))))</f>
        <v/>
      </c>
      <c r="O1373" s="54">
        <f>IF($B1373=0,NA(),IF(Inputs!$B$24&lt;&gt;"Yes",NA(),Inputs!$D$24*Inputs!$C$35))</f>
        <v/>
      </c>
      <c r="P1373" s="54">
        <f>IF($B1373=0,NA(),IF(Inputs!$B$25&lt;&gt;"Yes",NA(),Inputs!$D$25*Inputs!$C$35))</f>
        <v/>
      </c>
      <c r="Q1373" s="54">
        <f>IF($B1373=0,NA(),IF(Inputs!$B$26&lt;&gt;"Yes",NA(),Inputs!$D$26*Inputs!$C$35))</f>
        <v/>
      </c>
      <c r="R1373" s="54">
        <f>IF($B1373=0,NA(),IF(Inputs!$B$27&lt;&gt;"Yes",NA(),Inputs!$D$27*Inputs!$C$35))</f>
        <v/>
      </c>
      <c r="S1373" s="54">
        <f>IF($B1373=0,NA(),IF(Inputs!$B$28&lt;&gt;"Yes",NA(),Inputs!$D$28*Inputs!$C$35))</f>
        <v/>
      </c>
      <c r="T1373" s="54">
        <f>IF($B1373=0,NA(),IF(Inputs!$B$29&lt;&gt;"Yes",NA(),Inputs!$D$29*Inputs!$C$35))</f>
        <v/>
      </c>
      <c r="AD1373">
        <f>IF($B1373=0,0,IF(Inputs!$B$6="",0,COUNTIFS(Data!$A$10:$A$3209,"&gt;="&amp;$A1373,Data!$A$10:$A$3209,"&lt;"&amp;$A1373+1)))</f>
        <v/>
      </c>
      <c r="AE1373">
        <f>IF($B1373=0,0,IF(Inputs!$B$7="",0,COUNTIFS(Data!$E$10:$E$3209,"&gt;="&amp;$A1373,Data!$E$10:$E$3209,"&lt;"&amp;$A1373+1)))</f>
        <v/>
      </c>
      <c r="AF1373">
        <f>IF($B1373=0,0,IF(Inputs!$B$8="",0,COUNTIFS(Data!$I$10:$I$3209,"&gt;="&amp;$A1373,Data!$I$10:$I$3209,"&lt;"&amp;$A1373+1)))</f>
        <v/>
      </c>
      <c r="AG1373">
        <f>IF($B1373=0,0,IF(Inputs!$B$9="",0,COUNTIFS(Data!$M$10:$M$3209,"&gt;="&amp;$A1373,Data!$M$10:$M$3209,"&lt;"&amp;$A1373+1)))</f>
        <v/>
      </c>
      <c r="AH1373">
        <f>IF($B1373=0,0,IF(Inputs!$B$10="",0,COUNTIFS(Data!$Q$10:$Q$3209,"&gt;="&amp;$A1373,Data!$Q$10:$Q$3209,"&lt;"&amp;$A1373+1)))</f>
        <v/>
      </c>
    </row>
    <row r="1374">
      <c r="A1374" s="55">
        <f>MIN(Inputs!$C$15,$A1373+IF(WEEKDAY($A1373,2)=5,3,1))</f>
        <v/>
      </c>
      <c r="B1374">
        <f>IF($A1374&gt;$A1373,1,0)</f>
        <v/>
      </c>
      <c r="C1374" s="56">
        <f>IF($B1374=0,"",IF(Inputs!$B$6="","",IF($AD1374=0,C1373,SUMIFS(Data!$B$10:$B$3209,Data!$A$10:$A$3209,"&gt;="&amp;$A1374,Data!$A$10:$A$3209,"&lt;"&amp;$A1374+1)/$AD1374)))</f>
        <v/>
      </c>
      <c r="D1374" s="56">
        <f>IF($B1374=0,"",IF(Inputs!$B$7="","",IF($AE1374=0,D1373,SUMIFS(Data!$F$10:$F$3209,Data!$E$10:$E$3209,"&gt;="&amp;$A1374,Data!$E$10:$E$3209,"&lt;"&amp;$A1374+1)/$AE1374)))</f>
        <v/>
      </c>
      <c r="E1374" s="56">
        <f>IF($B1374=0,"",IF(Inputs!$B$8="","",IF($AF1374=0,E1373,SUMIFS(Data!$J$10:$J$3209,Data!$I$10:$I$3209,"&gt;="&amp;$A1374,Data!$I$10:$I$3209,"&lt;"&amp;$A1374+1)/$AF1374)))</f>
        <v/>
      </c>
      <c r="F1374" s="56">
        <f>IF($B1374=0,"",IF(Inputs!$B$9="","",IF($AG1374=0,F1373,SUMIFS(Data!$N$10:$N$3209,Data!$M$10:$M$3209,"&gt;="&amp;$A1374,Data!$M$10:$M$3209,"&lt;"&amp;$A1374+1)/$AG1374)))</f>
        <v/>
      </c>
      <c r="G1374" s="56">
        <f>IF($B1374=0,"",IF(Inputs!$B$10="","",IF($AH1374=0,G1373,SUMIFS(Data!$R$10:$R$3209,Data!$Q$10:$Q$3209,"&gt;="&amp;$A1374,Data!$Q$10:$Q$3209,"&lt;"&amp;$A1374+1)/$AH1374)))</f>
        <v/>
      </c>
      <c r="I1374" s="54">
        <f>IF($B1374=0,NA(),IF($C1374="",NA(),IF(C$8="",NA(),IF(N(C$8)=0,NA(),IF(Inputs!$C$17="Rebased to 100",$C1374/C$8*100,$C1374)))))</f>
        <v/>
      </c>
      <c r="J1374" s="54">
        <f>IF($B1374=0,NA(),IF($D1374="",NA(),IF(D$8="",NA(),IF(N(D$8)=0,NA(),IF(Inputs!$C$17="Rebased to 100",$D1374/D$8*100,$D1374)))))</f>
        <v/>
      </c>
      <c r="K1374" s="54">
        <f>IF($B1374=0,NA(),IF($E1374="",NA(),IF(E$8="",NA(),IF(N(E$8)=0,NA(),IF(Inputs!$C$17="Rebased to 100",$E1374/E$8*100,$E1374)))))</f>
        <v/>
      </c>
      <c r="L1374" s="54">
        <f>IF($B1374=0,NA(),IF($F1374="",NA(),IF(F$8="",NA(),IF(N(F$8)=0,NA(),IF(Inputs!$C$17="Rebased to 100",$F1374/F$8*100,$F1374)))))</f>
        <v/>
      </c>
      <c r="M1374" s="54">
        <f>IF($B1374=0,NA(),IF($G1374="",NA(),IF(G$8="",NA(),IF(N(G$8)=0,NA(),IF(Inputs!$C$17="Rebased to 100",$G1374/G$8*100,$G1374)))))</f>
        <v/>
      </c>
      <c r="N1374" s="54">
        <f>IF($B1374=0,NA(),IF(Inputs!$C$18&lt;&gt;"Yes",NA(),IF(COUNT(I1374,J1374,K1374,L1374,M1374)=0,NA(),MIN(I1374,J1374,K1374,L1374,M1374))))</f>
        <v/>
      </c>
      <c r="O1374" s="54">
        <f>IF($B1374=0,NA(),IF(Inputs!$B$24&lt;&gt;"Yes",NA(),Inputs!$D$24*Inputs!$C$35))</f>
        <v/>
      </c>
      <c r="P1374" s="54">
        <f>IF($B1374=0,NA(),IF(Inputs!$B$25&lt;&gt;"Yes",NA(),Inputs!$D$25*Inputs!$C$35))</f>
        <v/>
      </c>
      <c r="Q1374" s="54">
        <f>IF($B1374=0,NA(),IF(Inputs!$B$26&lt;&gt;"Yes",NA(),Inputs!$D$26*Inputs!$C$35))</f>
        <v/>
      </c>
      <c r="R1374" s="54">
        <f>IF($B1374=0,NA(),IF(Inputs!$B$27&lt;&gt;"Yes",NA(),Inputs!$D$27*Inputs!$C$35))</f>
        <v/>
      </c>
      <c r="S1374" s="54">
        <f>IF($B1374=0,NA(),IF(Inputs!$B$28&lt;&gt;"Yes",NA(),Inputs!$D$28*Inputs!$C$35))</f>
        <v/>
      </c>
      <c r="T1374" s="54">
        <f>IF($B1374=0,NA(),IF(Inputs!$B$29&lt;&gt;"Yes",NA(),Inputs!$D$29*Inputs!$C$35))</f>
        <v/>
      </c>
      <c r="AD1374">
        <f>IF($B1374=0,0,IF(Inputs!$B$6="",0,COUNTIFS(Data!$A$10:$A$3209,"&gt;="&amp;$A1374,Data!$A$10:$A$3209,"&lt;"&amp;$A1374+1)))</f>
        <v/>
      </c>
      <c r="AE1374">
        <f>IF($B1374=0,0,IF(Inputs!$B$7="",0,COUNTIFS(Data!$E$10:$E$3209,"&gt;="&amp;$A1374,Data!$E$10:$E$3209,"&lt;"&amp;$A1374+1)))</f>
        <v/>
      </c>
      <c r="AF1374">
        <f>IF($B1374=0,0,IF(Inputs!$B$8="",0,COUNTIFS(Data!$I$10:$I$3209,"&gt;="&amp;$A1374,Data!$I$10:$I$3209,"&lt;"&amp;$A1374+1)))</f>
        <v/>
      </c>
      <c r="AG1374">
        <f>IF($B1374=0,0,IF(Inputs!$B$9="",0,COUNTIFS(Data!$M$10:$M$3209,"&gt;="&amp;$A1374,Data!$M$10:$M$3209,"&lt;"&amp;$A1374+1)))</f>
        <v/>
      </c>
      <c r="AH1374">
        <f>IF($B1374=0,0,IF(Inputs!$B$10="",0,COUNTIFS(Data!$Q$10:$Q$3209,"&gt;="&amp;$A1374,Data!$Q$10:$Q$3209,"&lt;"&amp;$A1374+1)))</f>
        <v/>
      </c>
    </row>
    <row r="1375">
      <c r="A1375" s="55">
        <f>MIN(Inputs!$C$15,$A1374+IF(WEEKDAY($A1374,2)=5,3,1))</f>
        <v/>
      </c>
      <c r="B1375">
        <f>IF($A1375&gt;$A1374,1,0)</f>
        <v/>
      </c>
      <c r="C1375" s="56">
        <f>IF($B1375=0,"",IF(Inputs!$B$6="","",IF($AD1375=0,C1374,SUMIFS(Data!$B$10:$B$3209,Data!$A$10:$A$3209,"&gt;="&amp;$A1375,Data!$A$10:$A$3209,"&lt;"&amp;$A1375+1)/$AD1375)))</f>
        <v/>
      </c>
      <c r="D1375" s="56">
        <f>IF($B1375=0,"",IF(Inputs!$B$7="","",IF($AE1375=0,D1374,SUMIFS(Data!$F$10:$F$3209,Data!$E$10:$E$3209,"&gt;="&amp;$A1375,Data!$E$10:$E$3209,"&lt;"&amp;$A1375+1)/$AE1375)))</f>
        <v/>
      </c>
      <c r="E1375" s="56">
        <f>IF($B1375=0,"",IF(Inputs!$B$8="","",IF($AF1375=0,E1374,SUMIFS(Data!$J$10:$J$3209,Data!$I$10:$I$3209,"&gt;="&amp;$A1375,Data!$I$10:$I$3209,"&lt;"&amp;$A1375+1)/$AF1375)))</f>
        <v/>
      </c>
      <c r="F1375" s="56">
        <f>IF($B1375=0,"",IF(Inputs!$B$9="","",IF($AG1375=0,F1374,SUMIFS(Data!$N$10:$N$3209,Data!$M$10:$M$3209,"&gt;="&amp;$A1375,Data!$M$10:$M$3209,"&lt;"&amp;$A1375+1)/$AG1375)))</f>
        <v/>
      </c>
      <c r="G1375" s="56">
        <f>IF($B1375=0,"",IF(Inputs!$B$10="","",IF($AH1375=0,G1374,SUMIFS(Data!$R$10:$R$3209,Data!$Q$10:$Q$3209,"&gt;="&amp;$A1375,Data!$Q$10:$Q$3209,"&lt;"&amp;$A1375+1)/$AH1375)))</f>
        <v/>
      </c>
      <c r="I1375" s="54">
        <f>IF($B1375=0,NA(),IF($C1375="",NA(),IF(C$8="",NA(),IF(N(C$8)=0,NA(),IF(Inputs!$C$17="Rebased to 100",$C1375/C$8*100,$C1375)))))</f>
        <v/>
      </c>
      <c r="J1375" s="54">
        <f>IF($B1375=0,NA(),IF($D1375="",NA(),IF(D$8="",NA(),IF(N(D$8)=0,NA(),IF(Inputs!$C$17="Rebased to 100",$D1375/D$8*100,$D1375)))))</f>
        <v/>
      </c>
      <c r="K1375" s="54">
        <f>IF($B1375=0,NA(),IF($E1375="",NA(),IF(E$8="",NA(),IF(N(E$8)=0,NA(),IF(Inputs!$C$17="Rebased to 100",$E1375/E$8*100,$E1375)))))</f>
        <v/>
      </c>
      <c r="L1375" s="54">
        <f>IF($B1375=0,NA(),IF($F1375="",NA(),IF(F$8="",NA(),IF(N(F$8)=0,NA(),IF(Inputs!$C$17="Rebased to 100",$F1375/F$8*100,$F1375)))))</f>
        <v/>
      </c>
      <c r="M1375" s="54">
        <f>IF($B1375=0,NA(),IF($G1375="",NA(),IF(G$8="",NA(),IF(N(G$8)=0,NA(),IF(Inputs!$C$17="Rebased to 100",$G1375/G$8*100,$G1375)))))</f>
        <v/>
      </c>
      <c r="N1375" s="54">
        <f>IF($B1375=0,NA(),IF(Inputs!$C$18&lt;&gt;"Yes",NA(),IF(COUNT(I1375,J1375,K1375,L1375,M1375)=0,NA(),MIN(I1375,J1375,K1375,L1375,M1375))))</f>
        <v/>
      </c>
      <c r="O1375" s="54">
        <f>IF($B1375=0,NA(),IF(Inputs!$B$24&lt;&gt;"Yes",NA(),Inputs!$D$24*Inputs!$C$35))</f>
        <v/>
      </c>
      <c r="P1375" s="54">
        <f>IF($B1375=0,NA(),IF(Inputs!$B$25&lt;&gt;"Yes",NA(),Inputs!$D$25*Inputs!$C$35))</f>
        <v/>
      </c>
      <c r="Q1375" s="54">
        <f>IF($B1375=0,NA(),IF(Inputs!$B$26&lt;&gt;"Yes",NA(),Inputs!$D$26*Inputs!$C$35))</f>
        <v/>
      </c>
      <c r="R1375" s="54">
        <f>IF($B1375=0,NA(),IF(Inputs!$B$27&lt;&gt;"Yes",NA(),Inputs!$D$27*Inputs!$C$35))</f>
        <v/>
      </c>
      <c r="S1375" s="54">
        <f>IF($B1375=0,NA(),IF(Inputs!$B$28&lt;&gt;"Yes",NA(),Inputs!$D$28*Inputs!$C$35))</f>
        <v/>
      </c>
      <c r="T1375" s="54">
        <f>IF($B1375=0,NA(),IF(Inputs!$B$29&lt;&gt;"Yes",NA(),Inputs!$D$29*Inputs!$C$35))</f>
        <v/>
      </c>
      <c r="AD1375">
        <f>IF($B1375=0,0,IF(Inputs!$B$6="",0,COUNTIFS(Data!$A$10:$A$3209,"&gt;="&amp;$A1375,Data!$A$10:$A$3209,"&lt;"&amp;$A1375+1)))</f>
        <v/>
      </c>
      <c r="AE1375">
        <f>IF($B1375=0,0,IF(Inputs!$B$7="",0,COUNTIFS(Data!$E$10:$E$3209,"&gt;="&amp;$A1375,Data!$E$10:$E$3209,"&lt;"&amp;$A1375+1)))</f>
        <v/>
      </c>
      <c r="AF1375">
        <f>IF($B1375=0,0,IF(Inputs!$B$8="",0,COUNTIFS(Data!$I$10:$I$3209,"&gt;="&amp;$A1375,Data!$I$10:$I$3209,"&lt;"&amp;$A1375+1)))</f>
        <v/>
      </c>
      <c r="AG1375">
        <f>IF($B1375=0,0,IF(Inputs!$B$9="",0,COUNTIFS(Data!$M$10:$M$3209,"&gt;="&amp;$A1375,Data!$M$10:$M$3209,"&lt;"&amp;$A1375+1)))</f>
        <v/>
      </c>
      <c r="AH1375">
        <f>IF($B1375=0,0,IF(Inputs!$B$10="",0,COUNTIFS(Data!$Q$10:$Q$3209,"&gt;="&amp;$A1375,Data!$Q$10:$Q$3209,"&lt;"&amp;$A1375+1)))</f>
        <v/>
      </c>
    </row>
    <row r="1376">
      <c r="A1376" s="55">
        <f>MIN(Inputs!$C$15,$A1375+IF(WEEKDAY($A1375,2)=5,3,1))</f>
        <v/>
      </c>
      <c r="B1376">
        <f>IF($A1376&gt;$A1375,1,0)</f>
        <v/>
      </c>
      <c r="C1376" s="56">
        <f>IF($B1376=0,"",IF(Inputs!$B$6="","",IF($AD1376=0,C1375,SUMIFS(Data!$B$10:$B$3209,Data!$A$10:$A$3209,"&gt;="&amp;$A1376,Data!$A$10:$A$3209,"&lt;"&amp;$A1376+1)/$AD1376)))</f>
        <v/>
      </c>
      <c r="D1376" s="56">
        <f>IF($B1376=0,"",IF(Inputs!$B$7="","",IF($AE1376=0,D1375,SUMIFS(Data!$F$10:$F$3209,Data!$E$10:$E$3209,"&gt;="&amp;$A1376,Data!$E$10:$E$3209,"&lt;"&amp;$A1376+1)/$AE1376)))</f>
        <v/>
      </c>
      <c r="E1376" s="56">
        <f>IF($B1376=0,"",IF(Inputs!$B$8="","",IF($AF1376=0,E1375,SUMIFS(Data!$J$10:$J$3209,Data!$I$10:$I$3209,"&gt;="&amp;$A1376,Data!$I$10:$I$3209,"&lt;"&amp;$A1376+1)/$AF1376)))</f>
        <v/>
      </c>
      <c r="F1376" s="56">
        <f>IF($B1376=0,"",IF(Inputs!$B$9="","",IF($AG1376=0,F1375,SUMIFS(Data!$N$10:$N$3209,Data!$M$10:$M$3209,"&gt;="&amp;$A1376,Data!$M$10:$M$3209,"&lt;"&amp;$A1376+1)/$AG1376)))</f>
        <v/>
      </c>
      <c r="G1376" s="56">
        <f>IF($B1376=0,"",IF(Inputs!$B$10="","",IF($AH1376=0,G1375,SUMIFS(Data!$R$10:$R$3209,Data!$Q$10:$Q$3209,"&gt;="&amp;$A1376,Data!$Q$10:$Q$3209,"&lt;"&amp;$A1376+1)/$AH1376)))</f>
        <v/>
      </c>
      <c r="I1376" s="54">
        <f>IF($B1376=0,NA(),IF($C1376="",NA(),IF(C$8="",NA(),IF(N(C$8)=0,NA(),IF(Inputs!$C$17="Rebased to 100",$C1376/C$8*100,$C1376)))))</f>
        <v/>
      </c>
      <c r="J1376" s="54">
        <f>IF($B1376=0,NA(),IF($D1376="",NA(),IF(D$8="",NA(),IF(N(D$8)=0,NA(),IF(Inputs!$C$17="Rebased to 100",$D1376/D$8*100,$D1376)))))</f>
        <v/>
      </c>
      <c r="K1376" s="54">
        <f>IF($B1376=0,NA(),IF($E1376="",NA(),IF(E$8="",NA(),IF(N(E$8)=0,NA(),IF(Inputs!$C$17="Rebased to 100",$E1376/E$8*100,$E1376)))))</f>
        <v/>
      </c>
      <c r="L1376" s="54">
        <f>IF($B1376=0,NA(),IF($F1376="",NA(),IF(F$8="",NA(),IF(N(F$8)=0,NA(),IF(Inputs!$C$17="Rebased to 100",$F1376/F$8*100,$F1376)))))</f>
        <v/>
      </c>
      <c r="M1376" s="54">
        <f>IF($B1376=0,NA(),IF($G1376="",NA(),IF(G$8="",NA(),IF(N(G$8)=0,NA(),IF(Inputs!$C$17="Rebased to 100",$G1376/G$8*100,$G1376)))))</f>
        <v/>
      </c>
      <c r="N1376" s="54">
        <f>IF($B1376=0,NA(),IF(Inputs!$C$18&lt;&gt;"Yes",NA(),IF(COUNT(I1376,J1376,K1376,L1376,M1376)=0,NA(),MIN(I1376,J1376,K1376,L1376,M1376))))</f>
        <v/>
      </c>
      <c r="O1376" s="54">
        <f>IF($B1376=0,NA(),IF(Inputs!$B$24&lt;&gt;"Yes",NA(),Inputs!$D$24*Inputs!$C$35))</f>
        <v/>
      </c>
      <c r="P1376" s="54">
        <f>IF($B1376=0,NA(),IF(Inputs!$B$25&lt;&gt;"Yes",NA(),Inputs!$D$25*Inputs!$C$35))</f>
        <v/>
      </c>
      <c r="Q1376" s="54">
        <f>IF($B1376=0,NA(),IF(Inputs!$B$26&lt;&gt;"Yes",NA(),Inputs!$D$26*Inputs!$C$35))</f>
        <v/>
      </c>
      <c r="R1376" s="54">
        <f>IF($B1376=0,NA(),IF(Inputs!$B$27&lt;&gt;"Yes",NA(),Inputs!$D$27*Inputs!$C$35))</f>
        <v/>
      </c>
      <c r="S1376" s="54">
        <f>IF($B1376=0,NA(),IF(Inputs!$B$28&lt;&gt;"Yes",NA(),Inputs!$D$28*Inputs!$C$35))</f>
        <v/>
      </c>
      <c r="T1376" s="54">
        <f>IF($B1376=0,NA(),IF(Inputs!$B$29&lt;&gt;"Yes",NA(),Inputs!$D$29*Inputs!$C$35))</f>
        <v/>
      </c>
      <c r="AD1376">
        <f>IF($B1376=0,0,IF(Inputs!$B$6="",0,COUNTIFS(Data!$A$10:$A$3209,"&gt;="&amp;$A1376,Data!$A$10:$A$3209,"&lt;"&amp;$A1376+1)))</f>
        <v/>
      </c>
      <c r="AE1376">
        <f>IF($B1376=0,0,IF(Inputs!$B$7="",0,COUNTIFS(Data!$E$10:$E$3209,"&gt;="&amp;$A1376,Data!$E$10:$E$3209,"&lt;"&amp;$A1376+1)))</f>
        <v/>
      </c>
      <c r="AF1376">
        <f>IF($B1376=0,0,IF(Inputs!$B$8="",0,COUNTIFS(Data!$I$10:$I$3209,"&gt;="&amp;$A1376,Data!$I$10:$I$3209,"&lt;"&amp;$A1376+1)))</f>
        <v/>
      </c>
      <c r="AG1376">
        <f>IF($B1376=0,0,IF(Inputs!$B$9="",0,COUNTIFS(Data!$M$10:$M$3209,"&gt;="&amp;$A1376,Data!$M$10:$M$3209,"&lt;"&amp;$A1376+1)))</f>
        <v/>
      </c>
      <c r="AH1376">
        <f>IF($B1376=0,0,IF(Inputs!$B$10="",0,COUNTIFS(Data!$Q$10:$Q$3209,"&gt;="&amp;$A1376,Data!$Q$10:$Q$3209,"&lt;"&amp;$A1376+1)))</f>
        <v/>
      </c>
    </row>
    <row r="1377">
      <c r="A1377" s="55">
        <f>MIN(Inputs!$C$15,$A1376+IF(WEEKDAY($A1376,2)=5,3,1))</f>
        <v/>
      </c>
      <c r="B1377">
        <f>IF($A1377&gt;$A1376,1,0)</f>
        <v/>
      </c>
      <c r="C1377" s="56">
        <f>IF($B1377=0,"",IF(Inputs!$B$6="","",IF($AD1377=0,C1376,SUMIFS(Data!$B$10:$B$3209,Data!$A$10:$A$3209,"&gt;="&amp;$A1377,Data!$A$10:$A$3209,"&lt;"&amp;$A1377+1)/$AD1377)))</f>
        <v/>
      </c>
      <c r="D1377" s="56">
        <f>IF($B1377=0,"",IF(Inputs!$B$7="","",IF($AE1377=0,D1376,SUMIFS(Data!$F$10:$F$3209,Data!$E$10:$E$3209,"&gt;="&amp;$A1377,Data!$E$10:$E$3209,"&lt;"&amp;$A1377+1)/$AE1377)))</f>
        <v/>
      </c>
      <c r="E1377" s="56">
        <f>IF($B1377=0,"",IF(Inputs!$B$8="","",IF($AF1377=0,E1376,SUMIFS(Data!$J$10:$J$3209,Data!$I$10:$I$3209,"&gt;="&amp;$A1377,Data!$I$10:$I$3209,"&lt;"&amp;$A1377+1)/$AF1377)))</f>
        <v/>
      </c>
      <c r="F1377" s="56">
        <f>IF($B1377=0,"",IF(Inputs!$B$9="","",IF($AG1377=0,F1376,SUMIFS(Data!$N$10:$N$3209,Data!$M$10:$M$3209,"&gt;="&amp;$A1377,Data!$M$10:$M$3209,"&lt;"&amp;$A1377+1)/$AG1377)))</f>
        <v/>
      </c>
      <c r="G1377" s="56">
        <f>IF($B1377=0,"",IF(Inputs!$B$10="","",IF($AH1377=0,G1376,SUMIFS(Data!$R$10:$R$3209,Data!$Q$10:$Q$3209,"&gt;="&amp;$A1377,Data!$Q$10:$Q$3209,"&lt;"&amp;$A1377+1)/$AH1377)))</f>
        <v/>
      </c>
      <c r="I1377" s="54">
        <f>IF($B1377=0,NA(),IF($C1377="",NA(),IF(C$8="",NA(),IF(N(C$8)=0,NA(),IF(Inputs!$C$17="Rebased to 100",$C1377/C$8*100,$C1377)))))</f>
        <v/>
      </c>
      <c r="J1377" s="54">
        <f>IF($B1377=0,NA(),IF($D1377="",NA(),IF(D$8="",NA(),IF(N(D$8)=0,NA(),IF(Inputs!$C$17="Rebased to 100",$D1377/D$8*100,$D1377)))))</f>
        <v/>
      </c>
      <c r="K1377" s="54">
        <f>IF($B1377=0,NA(),IF($E1377="",NA(),IF(E$8="",NA(),IF(N(E$8)=0,NA(),IF(Inputs!$C$17="Rebased to 100",$E1377/E$8*100,$E1377)))))</f>
        <v/>
      </c>
      <c r="L1377" s="54">
        <f>IF($B1377=0,NA(),IF($F1377="",NA(),IF(F$8="",NA(),IF(N(F$8)=0,NA(),IF(Inputs!$C$17="Rebased to 100",$F1377/F$8*100,$F1377)))))</f>
        <v/>
      </c>
      <c r="M1377" s="54">
        <f>IF($B1377=0,NA(),IF($G1377="",NA(),IF(G$8="",NA(),IF(N(G$8)=0,NA(),IF(Inputs!$C$17="Rebased to 100",$G1377/G$8*100,$G1377)))))</f>
        <v/>
      </c>
      <c r="N1377" s="54">
        <f>IF($B1377=0,NA(),IF(Inputs!$C$18&lt;&gt;"Yes",NA(),IF(COUNT(I1377,J1377,K1377,L1377,M1377)=0,NA(),MIN(I1377,J1377,K1377,L1377,M1377))))</f>
        <v/>
      </c>
      <c r="O1377" s="54">
        <f>IF($B1377=0,NA(),IF(Inputs!$B$24&lt;&gt;"Yes",NA(),Inputs!$D$24*Inputs!$C$35))</f>
        <v/>
      </c>
      <c r="P1377" s="54">
        <f>IF($B1377=0,NA(),IF(Inputs!$B$25&lt;&gt;"Yes",NA(),Inputs!$D$25*Inputs!$C$35))</f>
        <v/>
      </c>
      <c r="Q1377" s="54">
        <f>IF($B1377=0,NA(),IF(Inputs!$B$26&lt;&gt;"Yes",NA(),Inputs!$D$26*Inputs!$C$35))</f>
        <v/>
      </c>
      <c r="R1377" s="54">
        <f>IF($B1377=0,NA(),IF(Inputs!$B$27&lt;&gt;"Yes",NA(),Inputs!$D$27*Inputs!$C$35))</f>
        <v/>
      </c>
      <c r="S1377" s="54">
        <f>IF($B1377=0,NA(),IF(Inputs!$B$28&lt;&gt;"Yes",NA(),Inputs!$D$28*Inputs!$C$35))</f>
        <v/>
      </c>
      <c r="T1377" s="54">
        <f>IF($B1377=0,NA(),IF(Inputs!$B$29&lt;&gt;"Yes",NA(),Inputs!$D$29*Inputs!$C$35))</f>
        <v/>
      </c>
      <c r="AD1377">
        <f>IF($B1377=0,0,IF(Inputs!$B$6="",0,COUNTIFS(Data!$A$10:$A$3209,"&gt;="&amp;$A1377,Data!$A$10:$A$3209,"&lt;"&amp;$A1377+1)))</f>
        <v/>
      </c>
      <c r="AE1377">
        <f>IF($B1377=0,0,IF(Inputs!$B$7="",0,COUNTIFS(Data!$E$10:$E$3209,"&gt;="&amp;$A1377,Data!$E$10:$E$3209,"&lt;"&amp;$A1377+1)))</f>
        <v/>
      </c>
      <c r="AF1377">
        <f>IF($B1377=0,0,IF(Inputs!$B$8="",0,COUNTIFS(Data!$I$10:$I$3209,"&gt;="&amp;$A1377,Data!$I$10:$I$3209,"&lt;"&amp;$A1377+1)))</f>
        <v/>
      </c>
      <c r="AG1377">
        <f>IF($B1377=0,0,IF(Inputs!$B$9="",0,COUNTIFS(Data!$M$10:$M$3209,"&gt;="&amp;$A1377,Data!$M$10:$M$3209,"&lt;"&amp;$A1377+1)))</f>
        <v/>
      </c>
      <c r="AH1377">
        <f>IF($B1377=0,0,IF(Inputs!$B$10="",0,COUNTIFS(Data!$Q$10:$Q$3209,"&gt;="&amp;$A1377,Data!$Q$10:$Q$3209,"&lt;"&amp;$A1377+1)))</f>
        <v/>
      </c>
    </row>
    <row r="1378">
      <c r="A1378" s="55">
        <f>MIN(Inputs!$C$15,$A1377+IF(WEEKDAY($A1377,2)=5,3,1))</f>
        <v/>
      </c>
      <c r="B1378">
        <f>IF($A1378&gt;$A1377,1,0)</f>
        <v/>
      </c>
      <c r="C1378" s="56">
        <f>IF($B1378=0,"",IF(Inputs!$B$6="","",IF($AD1378=0,C1377,SUMIFS(Data!$B$10:$B$3209,Data!$A$10:$A$3209,"&gt;="&amp;$A1378,Data!$A$10:$A$3209,"&lt;"&amp;$A1378+1)/$AD1378)))</f>
        <v/>
      </c>
      <c r="D1378" s="56">
        <f>IF($B1378=0,"",IF(Inputs!$B$7="","",IF($AE1378=0,D1377,SUMIFS(Data!$F$10:$F$3209,Data!$E$10:$E$3209,"&gt;="&amp;$A1378,Data!$E$10:$E$3209,"&lt;"&amp;$A1378+1)/$AE1378)))</f>
        <v/>
      </c>
      <c r="E1378" s="56">
        <f>IF($B1378=0,"",IF(Inputs!$B$8="","",IF($AF1378=0,E1377,SUMIFS(Data!$J$10:$J$3209,Data!$I$10:$I$3209,"&gt;="&amp;$A1378,Data!$I$10:$I$3209,"&lt;"&amp;$A1378+1)/$AF1378)))</f>
        <v/>
      </c>
      <c r="F1378" s="56">
        <f>IF($B1378=0,"",IF(Inputs!$B$9="","",IF($AG1378=0,F1377,SUMIFS(Data!$N$10:$N$3209,Data!$M$10:$M$3209,"&gt;="&amp;$A1378,Data!$M$10:$M$3209,"&lt;"&amp;$A1378+1)/$AG1378)))</f>
        <v/>
      </c>
      <c r="G1378" s="56">
        <f>IF($B1378=0,"",IF(Inputs!$B$10="","",IF($AH1378=0,G1377,SUMIFS(Data!$R$10:$R$3209,Data!$Q$10:$Q$3209,"&gt;="&amp;$A1378,Data!$Q$10:$Q$3209,"&lt;"&amp;$A1378+1)/$AH1378)))</f>
        <v/>
      </c>
      <c r="I1378" s="54">
        <f>IF($B1378=0,NA(),IF($C1378="",NA(),IF(C$8="",NA(),IF(N(C$8)=0,NA(),IF(Inputs!$C$17="Rebased to 100",$C1378/C$8*100,$C1378)))))</f>
        <v/>
      </c>
      <c r="J1378" s="54">
        <f>IF($B1378=0,NA(),IF($D1378="",NA(),IF(D$8="",NA(),IF(N(D$8)=0,NA(),IF(Inputs!$C$17="Rebased to 100",$D1378/D$8*100,$D1378)))))</f>
        <v/>
      </c>
      <c r="K1378" s="54">
        <f>IF($B1378=0,NA(),IF($E1378="",NA(),IF(E$8="",NA(),IF(N(E$8)=0,NA(),IF(Inputs!$C$17="Rebased to 100",$E1378/E$8*100,$E1378)))))</f>
        <v/>
      </c>
      <c r="L1378" s="54">
        <f>IF($B1378=0,NA(),IF($F1378="",NA(),IF(F$8="",NA(),IF(N(F$8)=0,NA(),IF(Inputs!$C$17="Rebased to 100",$F1378/F$8*100,$F1378)))))</f>
        <v/>
      </c>
      <c r="M1378" s="54">
        <f>IF($B1378=0,NA(),IF($G1378="",NA(),IF(G$8="",NA(),IF(N(G$8)=0,NA(),IF(Inputs!$C$17="Rebased to 100",$G1378/G$8*100,$G1378)))))</f>
        <v/>
      </c>
      <c r="N1378" s="54">
        <f>IF($B1378=0,NA(),IF(Inputs!$C$18&lt;&gt;"Yes",NA(),IF(COUNT(I1378,J1378,K1378,L1378,M1378)=0,NA(),MIN(I1378,J1378,K1378,L1378,M1378))))</f>
        <v/>
      </c>
      <c r="O1378" s="54">
        <f>IF($B1378=0,NA(),IF(Inputs!$B$24&lt;&gt;"Yes",NA(),Inputs!$D$24*Inputs!$C$35))</f>
        <v/>
      </c>
      <c r="P1378" s="54">
        <f>IF($B1378=0,NA(),IF(Inputs!$B$25&lt;&gt;"Yes",NA(),Inputs!$D$25*Inputs!$C$35))</f>
        <v/>
      </c>
      <c r="Q1378" s="54">
        <f>IF($B1378=0,NA(),IF(Inputs!$B$26&lt;&gt;"Yes",NA(),Inputs!$D$26*Inputs!$C$35))</f>
        <v/>
      </c>
      <c r="R1378" s="54">
        <f>IF($B1378=0,NA(),IF(Inputs!$B$27&lt;&gt;"Yes",NA(),Inputs!$D$27*Inputs!$C$35))</f>
        <v/>
      </c>
      <c r="S1378" s="54">
        <f>IF($B1378=0,NA(),IF(Inputs!$B$28&lt;&gt;"Yes",NA(),Inputs!$D$28*Inputs!$C$35))</f>
        <v/>
      </c>
      <c r="T1378" s="54">
        <f>IF($B1378=0,NA(),IF(Inputs!$B$29&lt;&gt;"Yes",NA(),Inputs!$D$29*Inputs!$C$35))</f>
        <v/>
      </c>
      <c r="AD1378">
        <f>IF($B1378=0,0,IF(Inputs!$B$6="",0,COUNTIFS(Data!$A$10:$A$3209,"&gt;="&amp;$A1378,Data!$A$10:$A$3209,"&lt;"&amp;$A1378+1)))</f>
        <v/>
      </c>
      <c r="AE1378">
        <f>IF($B1378=0,0,IF(Inputs!$B$7="",0,COUNTIFS(Data!$E$10:$E$3209,"&gt;="&amp;$A1378,Data!$E$10:$E$3209,"&lt;"&amp;$A1378+1)))</f>
        <v/>
      </c>
      <c r="AF1378">
        <f>IF($B1378=0,0,IF(Inputs!$B$8="",0,COUNTIFS(Data!$I$10:$I$3209,"&gt;="&amp;$A1378,Data!$I$10:$I$3209,"&lt;"&amp;$A1378+1)))</f>
        <v/>
      </c>
      <c r="AG1378">
        <f>IF($B1378=0,0,IF(Inputs!$B$9="",0,COUNTIFS(Data!$M$10:$M$3209,"&gt;="&amp;$A1378,Data!$M$10:$M$3209,"&lt;"&amp;$A1378+1)))</f>
        <v/>
      </c>
      <c r="AH1378">
        <f>IF($B1378=0,0,IF(Inputs!$B$10="",0,COUNTIFS(Data!$Q$10:$Q$3209,"&gt;="&amp;$A1378,Data!$Q$10:$Q$3209,"&lt;"&amp;$A1378+1)))</f>
        <v/>
      </c>
    </row>
    <row r="1379">
      <c r="A1379" s="55">
        <f>MIN(Inputs!$C$15,$A1378+IF(WEEKDAY($A1378,2)=5,3,1))</f>
        <v/>
      </c>
      <c r="B1379">
        <f>IF($A1379&gt;$A1378,1,0)</f>
        <v/>
      </c>
      <c r="C1379" s="56">
        <f>IF($B1379=0,"",IF(Inputs!$B$6="","",IF($AD1379=0,C1378,SUMIFS(Data!$B$10:$B$3209,Data!$A$10:$A$3209,"&gt;="&amp;$A1379,Data!$A$10:$A$3209,"&lt;"&amp;$A1379+1)/$AD1379)))</f>
        <v/>
      </c>
      <c r="D1379" s="56">
        <f>IF($B1379=0,"",IF(Inputs!$B$7="","",IF($AE1379=0,D1378,SUMIFS(Data!$F$10:$F$3209,Data!$E$10:$E$3209,"&gt;="&amp;$A1379,Data!$E$10:$E$3209,"&lt;"&amp;$A1379+1)/$AE1379)))</f>
        <v/>
      </c>
      <c r="E1379" s="56">
        <f>IF($B1379=0,"",IF(Inputs!$B$8="","",IF($AF1379=0,E1378,SUMIFS(Data!$J$10:$J$3209,Data!$I$10:$I$3209,"&gt;="&amp;$A1379,Data!$I$10:$I$3209,"&lt;"&amp;$A1379+1)/$AF1379)))</f>
        <v/>
      </c>
      <c r="F1379" s="56">
        <f>IF($B1379=0,"",IF(Inputs!$B$9="","",IF($AG1379=0,F1378,SUMIFS(Data!$N$10:$N$3209,Data!$M$10:$M$3209,"&gt;="&amp;$A1379,Data!$M$10:$M$3209,"&lt;"&amp;$A1379+1)/$AG1379)))</f>
        <v/>
      </c>
      <c r="G1379" s="56">
        <f>IF($B1379=0,"",IF(Inputs!$B$10="","",IF($AH1379=0,G1378,SUMIFS(Data!$R$10:$R$3209,Data!$Q$10:$Q$3209,"&gt;="&amp;$A1379,Data!$Q$10:$Q$3209,"&lt;"&amp;$A1379+1)/$AH1379)))</f>
        <v/>
      </c>
      <c r="I1379" s="54">
        <f>IF($B1379=0,NA(),IF($C1379="",NA(),IF(C$8="",NA(),IF(N(C$8)=0,NA(),IF(Inputs!$C$17="Rebased to 100",$C1379/C$8*100,$C1379)))))</f>
        <v/>
      </c>
      <c r="J1379" s="54">
        <f>IF($B1379=0,NA(),IF($D1379="",NA(),IF(D$8="",NA(),IF(N(D$8)=0,NA(),IF(Inputs!$C$17="Rebased to 100",$D1379/D$8*100,$D1379)))))</f>
        <v/>
      </c>
      <c r="K1379" s="54">
        <f>IF($B1379=0,NA(),IF($E1379="",NA(),IF(E$8="",NA(),IF(N(E$8)=0,NA(),IF(Inputs!$C$17="Rebased to 100",$E1379/E$8*100,$E1379)))))</f>
        <v/>
      </c>
      <c r="L1379" s="54">
        <f>IF($B1379=0,NA(),IF($F1379="",NA(),IF(F$8="",NA(),IF(N(F$8)=0,NA(),IF(Inputs!$C$17="Rebased to 100",$F1379/F$8*100,$F1379)))))</f>
        <v/>
      </c>
      <c r="M1379" s="54">
        <f>IF($B1379=0,NA(),IF($G1379="",NA(),IF(G$8="",NA(),IF(N(G$8)=0,NA(),IF(Inputs!$C$17="Rebased to 100",$G1379/G$8*100,$G1379)))))</f>
        <v/>
      </c>
      <c r="N1379" s="54">
        <f>IF($B1379=0,NA(),IF(Inputs!$C$18&lt;&gt;"Yes",NA(),IF(COUNT(I1379,J1379,K1379,L1379,M1379)=0,NA(),MIN(I1379,J1379,K1379,L1379,M1379))))</f>
        <v/>
      </c>
      <c r="O1379" s="54">
        <f>IF($B1379=0,NA(),IF(Inputs!$B$24&lt;&gt;"Yes",NA(),Inputs!$D$24*Inputs!$C$35))</f>
        <v/>
      </c>
      <c r="P1379" s="54">
        <f>IF($B1379=0,NA(),IF(Inputs!$B$25&lt;&gt;"Yes",NA(),Inputs!$D$25*Inputs!$C$35))</f>
        <v/>
      </c>
      <c r="Q1379" s="54">
        <f>IF($B1379=0,NA(),IF(Inputs!$B$26&lt;&gt;"Yes",NA(),Inputs!$D$26*Inputs!$C$35))</f>
        <v/>
      </c>
      <c r="R1379" s="54">
        <f>IF($B1379=0,NA(),IF(Inputs!$B$27&lt;&gt;"Yes",NA(),Inputs!$D$27*Inputs!$C$35))</f>
        <v/>
      </c>
      <c r="S1379" s="54">
        <f>IF($B1379=0,NA(),IF(Inputs!$B$28&lt;&gt;"Yes",NA(),Inputs!$D$28*Inputs!$C$35))</f>
        <v/>
      </c>
      <c r="T1379" s="54">
        <f>IF($B1379=0,NA(),IF(Inputs!$B$29&lt;&gt;"Yes",NA(),Inputs!$D$29*Inputs!$C$35))</f>
        <v/>
      </c>
      <c r="AD1379">
        <f>IF($B1379=0,0,IF(Inputs!$B$6="",0,COUNTIFS(Data!$A$10:$A$3209,"&gt;="&amp;$A1379,Data!$A$10:$A$3209,"&lt;"&amp;$A1379+1)))</f>
        <v/>
      </c>
      <c r="AE1379">
        <f>IF($B1379=0,0,IF(Inputs!$B$7="",0,COUNTIFS(Data!$E$10:$E$3209,"&gt;="&amp;$A1379,Data!$E$10:$E$3209,"&lt;"&amp;$A1379+1)))</f>
        <v/>
      </c>
      <c r="AF1379">
        <f>IF($B1379=0,0,IF(Inputs!$B$8="",0,COUNTIFS(Data!$I$10:$I$3209,"&gt;="&amp;$A1379,Data!$I$10:$I$3209,"&lt;"&amp;$A1379+1)))</f>
        <v/>
      </c>
      <c r="AG1379">
        <f>IF($B1379=0,0,IF(Inputs!$B$9="",0,COUNTIFS(Data!$M$10:$M$3209,"&gt;="&amp;$A1379,Data!$M$10:$M$3209,"&lt;"&amp;$A1379+1)))</f>
        <v/>
      </c>
      <c r="AH1379">
        <f>IF($B1379=0,0,IF(Inputs!$B$10="",0,COUNTIFS(Data!$Q$10:$Q$3209,"&gt;="&amp;$A1379,Data!$Q$10:$Q$3209,"&lt;"&amp;$A1379+1)))</f>
        <v/>
      </c>
    </row>
    <row r="1380">
      <c r="A1380" s="55">
        <f>MIN(Inputs!$C$15,$A1379+IF(WEEKDAY($A1379,2)=5,3,1))</f>
        <v/>
      </c>
      <c r="B1380">
        <f>IF($A1380&gt;$A1379,1,0)</f>
        <v/>
      </c>
      <c r="C1380" s="56">
        <f>IF($B1380=0,"",IF(Inputs!$B$6="","",IF($AD1380=0,C1379,SUMIFS(Data!$B$10:$B$3209,Data!$A$10:$A$3209,"&gt;="&amp;$A1380,Data!$A$10:$A$3209,"&lt;"&amp;$A1380+1)/$AD1380)))</f>
        <v/>
      </c>
      <c r="D1380" s="56">
        <f>IF($B1380=0,"",IF(Inputs!$B$7="","",IF($AE1380=0,D1379,SUMIFS(Data!$F$10:$F$3209,Data!$E$10:$E$3209,"&gt;="&amp;$A1380,Data!$E$10:$E$3209,"&lt;"&amp;$A1380+1)/$AE1380)))</f>
        <v/>
      </c>
      <c r="E1380" s="56">
        <f>IF($B1380=0,"",IF(Inputs!$B$8="","",IF($AF1380=0,E1379,SUMIFS(Data!$J$10:$J$3209,Data!$I$10:$I$3209,"&gt;="&amp;$A1380,Data!$I$10:$I$3209,"&lt;"&amp;$A1380+1)/$AF1380)))</f>
        <v/>
      </c>
      <c r="F1380" s="56">
        <f>IF($B1380=0,"",IF(Inputs!$B$9="","",IF($AG1380=0,F1379,SUMIFS(Data!$N$10:$N$3209,Data!$M$10:$M$3209,"&gt;="&amp;$A1380,Data!$M$10:$M$3209,"&lt;"&amp;$A1380+1)/$AG1380)))</f>
        <v/>
      </c>
      <c r="G1380" s="56">
        <f>IF($B1380=0,"",IF(Inputs!$B$10="","",IF($AH1380=0,G1379,SUMIFS(Data!$R$10:$R$3209,Data!$Q$10:$Q$3209,"&gt;="&amp;$A1380,Data!$Q$10:$Q$3209,"&lt;"&amp;$A1380+1)/$AH1380)))</f>
        <v/>
      </c>
      <c r="I1380" s="54">
        <f>IF($B1380=0,NA(),IF($C1380="",NA(),IF(C$8="",NA(),IF(N(C$8)=0,NA(),IF(Inputs!$C$17="Rebased to 100",$C1380/C$8*100,$C1380)))))</f>
        <v/>
      </c>
      <c r="J1380" s="54">
        <f>IF($B1380=0,NA(),IF($D1380="",NA(),IF(D$8="",NA(),IF(N(D$8)=0,NA(),IF(Inputs!$C$17="Rebased to 100",$D1380/D$8*100,$D1380)))))</f>
        <v/>
      </c>
      <c r="K1380" s="54">
        <f>IF($B1380=0,NA(),IF($E1380="",NA(),IF(E$8="",NA(),IF(N(E$8)=0,NA(),IF(Inputs!$C$17="Rebased to 100",$E1380/E$8*100,$E1380)))))</f>
        <v/>
      </c>
      <c r="L1380" s="54">
        <f>IF($B1380=0,NA(),IF($F1380="",NA(),IF(F$8="",NA(),IF(N(F$8)=0,NA(),IF(Inputs!$C$17="Rebased to 100",$F1380/F$8*100,$F1380)))))</f>
        <v/>
      </c>
      <c r="M1380" s="54">
        <f>IF($B1380=0,NA(),IF($G1380="",NA(),IF(G$8="",NA(),IF(N(G$8)=0,NA(),IF(Inputs!$C$17="Rebased to 100",$G1380/G$8*100,$G1380)))))</f>
        <v/>
      </c>
      <c r="N1380" s="54">
        <f>IF($B1380=0,NA(),IF(Inputs!$C$18&lt;&gt;"Yes",NA(),IF(COUNT(I1380,J1380,K1380,L1380,M1380)=0,NA(),MIN(I1380,J1380,K1380,L1380,M1380))))</f>
        <v/>
      </c>
      <c r="O1380" s="54">
        <f>IF($B1380=0,NA(),IF(Inputs!$B$24&lt;&gt;"Yes",NA(),Inputs!$D$24*Inputs!$C$35))</f>
        <v/>
      </c>
      <c r="P1380" s="54">
        <f>IF($B1380=0,NA(),IF(Inputs!$B$25&lt;&gt;"Yes",NA(),Inputs!$D$25*Inputs!$C$35))</f>
        <v/>
      </c>
      <c r="Q1380" s="54">
        <f>IF($B1380=0,NA(),IF(Inputs!$B$26&lt;&gt;"Yes",NA(),Inputs!$D$26*Inputs!$C$35))</f>
        <v/>
      </c>
      <c r="R1380" s="54">
        <f>IF($B1380=0,NA(),IF(Inputs!$B$27&lt;&gt;"Yes",NA(),Inputs!$D$27*Inputs!$C$35))</f>
        <v/>
      </c>
      <c r="S1380" s="54">
        <f>IF($B1380=0,NA(),IF(Inputs!$B$28&lt;&gt;"Yes",NA(),Inputs!$D$28*Inputs!$C$35))</f>
        <v/>
      </c>
      <c r="T1380" s="54">
        <f>IF($B1380=0,NA(),IF(Inputs!$B$29&lt;&gt;"Yes",NA(),Inputs!$D$29*Inputs!$C$35))</f>
        <v/>
      </c>
      <c r="AD1380">
        <f>IF($B1380=0,0,IF(Inputs!$B$6="",0,COUNTIFS(Data!$A$10:$A$3209,"&gt;="&amp;$A1380,Data!$A$10:$A$3209,"&lt;"&amp;$A1380+1)))</f>
        <v/>
      </c>
      <c r="AE1380">
        <f>IF($B1380=0,0,IF(Inputs!$B$7="",0,COUNTIFS(Data!$E$10:$E$3209,"&gt;="&amp;$A1380,Data!$E$10:$E$3209,"&lt;"&amp;$A1380+1)))</f>
        <v/>
      </c>
      <c r="AF1380">
        <f>IF($B1380=0,0,IF(Inputs!$B$8="",0,COUNTIFS(Data!$I$10:$I$3209,"&gt;="&amp;$A1380,Data!$I$10:$I$3209,"&lt;"&amp;$A1380+1)))</f>
        <v/>
      </c>
      <c r="AG1380">
        <f>IF($B1380=0,0,IF(Inputs!$B$9="",0,COUNTIFS(Data!$M$10:$M$3209,"&gt;="&amp;$A1380,Data!$M$10:$M$3209,"&lt;"&amp;$A1380+1)))</f>
        <v/>
      </c>
      <c r="AH1380">
        <f>IF($B1380=0,0,IF(Inputs!$B$10="",0,COUNTIFS(Data!$Q$10:$Q$3209,"&gt;="&amp;$A1380,Data!$Q$10:$Q$3209,"&lt;"&amp;$A1380+1)))</f>
        <v/>
      </c>
    </row>
    <row r="1381">
      <c r="A1381" s="55">
        <f>MIN(Inputs!$C$15,$A1380+IF(WEEKDAY($A1380,2)=5,3,1))</f>
        <v/>
      </c>
      <c r="B1381">
        <f>IF($A1381&gt;$A1380,1,0)</f>
        <v/>
      </c>
      <c r="C1381" s="56">
        <f>IF($B1381=0,"",IF(Inputs!$B$6="","",IF($AD1381=0,C1380,SUMIFS(Data!$B$10:$B$3209,Data!$A$10:$A$3209,"&gt;="&amp;$A1381,Data!$A$10:$A$3209,"&lt;"&amp;$A1381+1)/$AD1381)))</f>
        <v/>
      </c>
      <c r="D1381" s="56">
        <f>IF($B1381=0,"",IF(Inputs!$B$7="","",IF($AE1381=0,D1380,SUMIFS(Data!$F$10:$F$3209,Data!$E$10:$E$3209,"&gt;="&amp;$A1381,Data!$E$10:$E$3209,"&lt;"&amp;$A1381+1)/$AE1381)))</f>
        <v/>
      </c>
      <c r="E1381" s="56">
        <f>IF($B1381=0,"",IF(Inputs!$B$8="","",IF($AF1381=0,E1380,SUMIFS(Data!$J$10:$J$3209,Data!$I$10:$I$3209,"&gt;="&amp;$A1381,Data!$I$10:$I$3209,"&lt;"&amp;$A1381+1)/$AF1381)))</f>
        <v/>
      </c>
      <c r="F1381" s="56">
        <f>IF($B1381=0,"",IF(Inputs!$B$9="","",IF($AG1381=0,F1380,SUMIFS(Data!$N$10:$N$3209,Data!$M$10:$M$3209,"&gt;="&amp;$A1381,Data!$M$10:$M$3209,"&lt;"&amp;$A1381+1)/$AG1381)))</f>
        <v/>
      </c>
      <c r="G1381" s="56">
        <f>IF($B1381=0,"",IF(Inputs!$B$10="","",IF($AH1381=0,G1380,SUMIFS(Data!$R$10:$R$3209,Data!$Q$10:$Q$3209,"&gt;="&amp;$A1381,Data!$Q$10:$Q$3209,"&lt;"&amp;$A1381+1)/$AH1381)))</f>
        <v/>
      </c>
      <c r="I1381" s="54">
        <f>IF($B1381=0,NA(),IF($C1381="",NA(),IF(C$8="",NA(),IF(N(C$8)=0,NA(),IF(Inputs!$C$17="Rebased to 100",$C1381/C$8*100,$C1381)))))</f>
        <v/>
      </c>
      <c r="J1381" s="54">
        <f>IF($B1381=0,NA(),IF($D1381="",NA(),IF(D$8="",NA(),IF(N(D$8)=0,NA(),IF(Inputs!$C$17="Rebased to 100",$D1381/D$8*100,$D1381)))))</f>
        <v/>
      </c>
      <c r="K1381" s="54">
        <f>IF($B1381=0,NA(),IF($E1381="",NA(),IF(E$8="",NA(),IF(N(E$8)=0,NA(),IF(Inputs!$C$17="Rebased to 100",$E1381/E$8*100,$E1381)))))</f>
        <v/>
      </c>
      <c r="L1381" s="54">
        <f>IF($B1381=0,NA(),IF($F1381="",NA(),IF(F$8="",NA(),IF(N(F$8)=0,NA(),IF(Inputs!$C$17="Rebased to 100",$F1381/F$8*100,$F1381)))))</f>
        <v/>
      </c>
      <c r="M1381" s="54">
        <f>IF($B1381=0,NA(),IF($G1381="",NA(),IF(G$8="",NA(),IF(N(G$8)=0,NA(),IF(Inputs!$C$17="Rebased to 100",$G1381/G$8*100,$G1381)))))</f>
        <v/>
      </c>
      <c r="N1381" s="54">
        <f>IF($B1381=0,NA(),IF(Inputs!$C$18&lt;&gt;"Yes",NA(),IF(COUNT(I1381,J1381,K1381,L1381,M1381)=0,NA(),MIN(I1381,J1381,K1381,L1381,M1381))))</f>
        <v/>
      </c>
      <c r="O1381" s="54">
        <f>IF($B1381=0,NA(),IF(Inputs!$B$24&lt;&gt;"Yes",NA(),Inputs!$D$24*Inputs!$C$35))</f>
        <v/>
      </c>
      <c r="P1381" s="54">
        <f>IF($B1381=0,NA(),IF(Inputs!$B$25&lt;&gt;"Yes",NA(),Inputs!$D$25*Inputs!$C$35))</f>
        <v/>
      </c>
      <c r="Q1381" s="54">
        <f>IF($B1381=0,NA(),IF(Inputs!$B$26&lt;&gt;"Yes",NA(),Inputs!$D$26*Inputs!$C$35))</f>
        <v/>
      </c>
      <c r="R1381" s="54">
        <f>IF($B1381=0,NA(),IF(Inputs!$B$27&lt;&gt;"Yes",NA(),Inputs!$D$27*Inputs!$C$35))</f>
        <v/>
      </c>
      <c r="S1381" s="54">
        <f>IF($B1381=0,NA(),IF(Inputs!$B$28&lt;&gt;"Yes",NA(),Inputs!$D$28*Inputs!$C$35))</f>
        <v/>
      </c>
      <c r="T1381" s="54">
        <f>IF($B1381=0,NA(),IF(Inputs!$B$29&lt;&gt;"Yes",NA(),Inputs!$D$29*Inputs!$C$35))</f>
        <v/>
      </c>
      <c r="AD1381">
        <f>IF($B1381=0,0,IF(Inputs!$B$6="",0,COUNTIFS(Data!$A$10:$A$3209,"&gt;="&amp;$A1381,Data!$A$10:$A$3209,"&lt;"&amp;$A1381+1)))</f>
        <v/>
      </c>
      <c r="AE1381">
        <f>IF($B1381=0,0,IF(Inputs!$B$7="",0,COUNTIFS(Data!$E$10:$E$3209,"&gt;="&amp;$A1381,Data!$E$10:$E$3209,"&lt;"&amp;$A1381+1)))</f>
        <v/>
      </c>
      <c r="AF1381">
        <f>IF($B1381=0,0,IF(Inputs!$B$8="",0,COUNTIFS(Data!$I$10:$I$3209,"&gt;="&amp;$A1381,Data!$I$10:$I$3209,"&lt;"&amp;$A1381+1)))</f>
        <v/>
      </c>
      <c r="AG1381">
        <f>IF($B1381=0,0,IF(Inputs!$B$9="",0,COUNTIFS(Data!$M$10:$M$3209,"&gt;="&amp;$A1381,Data!$M$10:$M$3209,"&lt;"&amp;$A1381+1)))</f>
        <v/>
      </c>
      <c r="AH1381">
        <f>IF($B1381=0,0,IF(Inputs!$B$10="",0,COUNTIFS(Data!$Q$10:$Q$3209,"&gt;="&amp;$A1381,Data!$Q$10:$Q$3209,"&lt;"&amp;$A1381+1)))</f>
        <v/>
      </c>
    </row>
    <row r="1382">
      <c r="A1382" s="55">
        <f>MIN(Inputs!$C$15,$A1381+IF(WEEKDAY($A1381,2)=5,3,1))</f>
        <v/>
      </c>
      <c r="B1382">
        <f>IF($A1382&gt;$A1381,1,0)</f>
        <v/>
      </c>
      <c r="C1382" s="56">
        <f>IF($B1382=0,"",IF(Inputs!$B$6="","",IF($AD1382=0,C1381,SUMIFS(Data!$B$10:$B$3209,Data!$A$10:$A$3209,"&gt;="&amp;$A1382,Data!$A$10:$A$3209,"&lt;"&amp;$A1382+1)/$AD1382)))</f>
        <v/>
      </c>
      <c r="D1382" s="56">
        <f>IF($B1382=0,"",IF(Inputs!$B$7="","",IF($AE1382=0,D1381,SUMIFS(Data!$F$10:$F$3209,Data!$E$10:$E$3209,"&gt;="&amp;$A1382,Data!$E$10:$E$3209,"&lt;"&amp;$A1382+1)/$AE1382)))</f>
        <v/>
      </c>
      <c r="E1382" s="56">
        <f>IF($B1382=0,"",IF(Inputs!$B$8="","",IF($AF1382=0,E1381,SUMIFS(Data!$J$10:$J$3209,Data!$I$10:$I$3209,"&gt;="&amp;$A1382,Data!$I$10:$I$3209,"&lt;"&amp;$A1382+1)/$AF1382)))</f>
        <v/>
      </c>
      <c r="F1382" s="56">
        <f>IF($B1382=0,"",IF(Inputs!$B$9="","",IF($AG1382=0,F1381,SUMIFS(Data!$N$10:$N$3209,Data!$M$10:$M$3209,"&gt;="&amp;$A1382,Data!$M$10:$M$3209,"&lt;"&amp;$A1382+1)/$AG1382)))</f>
        <v/>
      </c>
      <c r="G1382" s="56">
        <f>IF($B1382=0,"",IF(Inputs!$B$10="","",IF($AH1382=0,G1381,SUMIFS(Data!$R$10:$R$3209,Data!$Q$10:$Q$3209,"&gt;="&amp;$A1382,Data!$Q$10:$Q$3209,"&lt;"&amp;$A1382+1)/$AH1382)))</f>
        <v/>
      </c>
      <c r="I1382" s="54">
        <f>IF($B1382=0,NA(),IF($C1382="",NA(),IF(C$8="",NA(),IF(N(C$8)=0,NA(),IF(Inputs!$C$17="Rebased to 100",$C1382/C$8*100,$C1382)))))</f>
        <v/>
      </c>
      <c r="J1382" s="54">
        <f>IF($B1382=0,NA(),IF($D1382="",NA(),IF(D$8="",NA(),IF(N(D$8)=0,NA(),IF(Inputs!$C$17="Rebased to 100",$D1382/D$8*100,$D1382)))))</f>
        <v/>
      </c>
      <c r="K1382" s="54">
        <f>IF($B1382=0,NA(),IF($E1382="",NA(),IF(E$8="",NA(),IF(N(E$8)=0,NA(),IF(Inputs!$C$17="Rebased to 100",$E1382/E$8*100,$E1382)))))</f>
        <v/>
      </c>
      <c r="L1382" s="54">
        <f>IF($B1382=0,NA(),IF($F1382="",NA(),IF(F$8="",NA(),IF(N(F$8)=0,NA(),IF(Inputs!$C$17="Rebased to 100",$F1382/F$8*100,$F1382)))))</f>
        <v/>
      </c>
      <c r="M1382" s="54">
        <f>IF($B1382=0,NA(),IF($G1382="",NA(),IF(G$8="",NA(),IF(N(G$8)=0,NA(),IF(Inputs!$C$17="Rebased to 100",$G1382/G$8*100,$G1382)))))</f>
        <v/>
      </c>
      <c r="N1382" s="54">
        <f>IF($B1382=0,NA(),IF(Inputs!$C$18&lt;&gt;"Yes",NA(),IF(COUNT(I1382,J1382,K1382,L1382,M1382)=0,NA(),MIN(I1382,J1382,K1382,L1382,M1382))))</f>
        <v/>
      </c>
      <c r="O1382" s="54">
        <f>IF($B1382=0,NA(),IF(Inputs!$B$24&lt;&gt;"Yes",NA(),Inputs!$D$24*Inputs!$C$35))</f>
        <v/>
      </c>
      <c r="P1382" s="54">
        <f>IF($B1382=0,NA(),IF(Inputs!$B$25&lt;&gt;"Yes",NA(),Inputs!$D$25*Inputs!$C$35))</f>
        <v/>
      </c>
      <c r="Q1382" s="54">
        <f>IF($B1382=0,NA(),IF(Inputs!$B$26&lt;&gt;"Yes",NA(),Inputs!$D$26*Inputs!$C$35))</f>
        <v/>
      </c>
      <c r="R1382" s="54">
        <f>IF($B1382=0,NA(),IF(Inputs!$B$27&lt;&gt;"Yes",NA(),Inputs!$D$27*Inputs!$C$35))</f>
        <v/>
      </c>
      <c r="S1382" s="54">
        <f>IF($B1382=0,NA(),IF(Inputs!$B$28&lt;&gt;"Yes",NA(),Inputs!$D$28*Inputs!$C$35))</f>
        <v/>
      </c>
      <c r="T1382" s="54">
        <f>IF($B1382=0,NA(),IF(Inputs!$B$29&lt;&gt;"Yes",NA(),Inputs!$D$29*Inputs!$C$35))</f>
        <v/>
      </c>
      <c r="AD1382">
        <f>IF($B1382=0,0,IF(Inputs!$B$6="",0,COUNTIFS(Data!$A$10:$A$3209,"&gt;="&amp;$A1382,Data!$A$10:$A$3209,"&lt;"&amp;$A1382+1)))</f>
        <v/>
      </c>
      <c r="AE1382">
        <f>IF($B1382=0,0,IF(Inputs!$B$7="",0,COUNTIFS(Data!$E$10:$E$3209,"&gt;="&amp;$A1382,Data!$E$10:$E$3209,"&lt;"&amp;$A1382+1)))</f>
        <v/>
      </c>
      <c r="AF1382">
        <f>IF($B1382=0,0,IF(Inputs!$B$8="",0,COUNTIFS(Data!$I$10:$I$3209,"&gt;="&amp;$A1382,Data!$I$10:$I$3209,"&lt;"&amp;$A1382+1)))</f>
        <v/>
      </c>
      <c r="AG1382">
        <f>IF($B1382=0,0,IF(Inputs!$B$9="",0,COUNTIFS(Data!$M$10:$M$3209,"&gt;="&amp;$A1382,Data!$M$10:$M$3209,"&lt;"&amp;$A1382+1)))</f>
        <v/>
      </c>
      <c r="AH1382">
        <f>IF($B1382=0,0,IF(Inputs!$B$10="",0,COUNTIFS(Data!$Q$10:$Q$3209,"&gt;="&amp;$A1382,Data!$Q$10:$Q$3209,"&lt;"&amp;$A1382+1)))</f>
        <v/>
      </c>
    </row>
    <row r="1383">
      <c r="A1383" s="55">
        <f>MIN(Inputs!$C$15,$A1382+IF(WEEKDAY($A1382,2)=5,3,1))</f>
        <v/>
      </c>
      <c r="B1383">
        <f>IF($A1383&gt;$A1382,1,0)</f>
        <v/>
      </c>
      <c r="C1383" s="56">
        <f>IF($B1383=0,"",IF(Inputs!$B$6="","",IF($AD1383=0,C1382,SUMIFS(Data!$B$10:$B$3209,Data!$A$10:$A$3209,"&gt;="&amp;$A1383,Data!$A$10:$A$3209,"&lt;"&amp;$A1383+1)/$AD1383)))</f>
        <v/>
      </c>
      <c r="D1383" s="56">
        <f>IF($B1383=0,"",IF(Inputs!$B$7="","",IF($AE1383=0,D1382,SUMIFS(Data!$F$10:$F$3209,Data!$E$10:$E$3209,"&gt;="&amp;$A1383,Data!$E$10:$E$3209,"&lt;"&amp;$A1383+1)/$AE1383)))</f>
        <v/>
      </c>
      <c r="E1383" s="56">
        <f>IF($B1383=0,"",IF(Inputs!$B$8="","",IF($AF1383=0,E1382,SUMIFS(Data!$J$10:$J$3209,Data!$I$10:$I$3209,"&gt;="&amp;$A1383,Data!$I$10:$I$3209,"&lt;"&amp;$A1383+1)/$AF1383)))</f>
        <v/>
      </c>
      <c r="F1383" s="56">
        <f>IF($B1383=0,"",IF(Inputs!$B$9="","",IF($AG1383=0,F1382,SUMIFS(Data!$N$10:$N$3209,Data!$M$10:$M$3209,"&gt;="&amp;$A1383,Data!$M$10:$M$3209,"&lt;"&amp;$A1383+1)/$AG1383)))</f>
        <v/>
      </c>
      <c r="G1383" s="56">
        <f>IF($B1383=0,"",IF(Inputs!$B$10="","",IF($AH1383=0,G1382,SUMIFS(Data!$R$10:$R$3209,Data!$Q$10:$Q$3209,"&gt;="&amp;$A1383,Data!$Q$10:$Q$3209,"&lt;"&amp;$A1383+1)/$AH1383)))</f>
        <v/>
      </c>
      <c r="I1383" s="54">
        <f>IF($B1383=0,NA(),IF($C1383="",NA(),IF(C$8="",NA(),IF(N(C$8)=0,NA(),IF(Inputs!$C$17="Rebased to 100",$C1383/C$8*100,$C1383)))))</f>
        <v/>
      </c>
      <c r="J1383" s="54">
        <f>IF($B1383=0,NA(),IF($D1383="",NA(),IF(D$8="",NA(),IF(N(D$8)=0,NA(),IF(Inputs!$C$17="Rebased to 100",$D1383/D$8*100,$D1383)))))</f>
        <v/>
      </c>
      <c r="K1383" s="54">
        <f>IF($B1383=0,NA(),IF($E1383="",NA(),IF(E$8="",NA(),IF(N(E$8)=0,NA(),IF(Inputs!$C$17="Rebased to 100",$E1383/E$8*100,$E1383)))))</f>
        <v/>
      </c>
      <c r="L1383" s="54">
        <f>IF($B1383=0,NA(),IF($F1383="",NA(),IF(F$8="",NA(),IF(N(F$8)=0,NA(),IF(Inputs!$C$17="Rebased to 100",$F1383/F$8*100,$F1383)))))</f>
        <v/>
      </c>
      <c r="M1383" s="54">
        <f>IF($B1383=0,NA(),IF($G1383="",NA(),IF(G$8="",NA(),IF(N(G$8)=0,NA(),IF(Inputs!$C$17="Rebased to 100",$G1383/G$8*100,$G1383)))))</f>
        <v/>
      </c>
      <c r="N1383" s="54">
        <f>IF($B1383=0,NA(),IF(Inputs!$C$18&lt;&gt;"Yes",NA(),IF(COUNT(I1383,J1383,K1383,L1383,M1383)=0,NA(),MIN(I1383,J1383,K1383,L1383,M1383))))</f>
        <v/>
      </c>
      <c r="O1383" s="54">
        <f>IF($B1383=0,NA(),IF(Inputs!$B$24&lt;&gt;"Yes",NA(),Inputs!$D$24*Inputs!$C$35))</f>
        <v/>
      </c>
      <c r="P1383" s="54">
        <f>IF($B1383=0,NA(),IF(Inputs!$B$25&lt;&gt;"Yes",NA(),Inputs!$D$25*Inputs!$C$35))</f>
        <v/>
      </c>
      <c r="Q1383" s="54">
        <f>IF($B1383=0,NA(),IF(Inputs!$B$26&lt;&gt;"Yes",NA(),Inputs!$D$26*Inputs!$C$35))</f>
        <v/>
      </c>
      <c r="R1383" s="54">
        <f>IF($B1383=0,NA(),IF(Inputs!$B$27&lt;&gt;"Yes",NA(),Inputs!$D$27*Inputs!$C$35))</f>
        <v/>
      </c>
      <c r="S1383" s="54">
        <f>IF($B1383=0,NA(),IF(Inputs!$B$28&lt;&gt;"Yes",NA(),Inputs!$D$28*Inputs!$C$35))</f>
        <v/>
      </c>
      <c r="T1383" s="54">
        <f>IF($B1383=0,NA(),IF(Inputs!$B$29&lt;&gt;"Yes",NA(),Inputs!$D$29*Inputs!$C$35))</f>
        <v/>
      </c>
      <c r="AD1383">
        <f>IF($B1383=0,0,IF(Inputs!$B$6="",0,COUNTIFS(Data!$A$10:$A$3209,"&gt;="&amp;$A1383,Data!$A$10:$A$3209,"&lt;"&amp;$A1383+1)))</f>
        <v/>
      </c>
      <c r="AE1383">
        <f>IF($B1383=0,0,IF(Inputs!$B$7="",0,COUNTIFS(Data!$E$10:$E$3209,"&gt;="&amp;$A1383,Data!$E$10:$E$3209,"&lt;"&amp;$A1383+1)))</f>
        <v/>
      </c>
      <c r="AF1383">
        <f>IF($B1383=0,0,IF(Inputs!$B$8="",0,COUNTIFS(Data!$I$10:$I$3209,"&gt;="&amp;$A1383,Data!$I$10:$I$3209,"&lt;"&amp;$A1383+1)))</f>
        <v/>
      </c>
      <c r="AG1383">
        <f>IF($B1383=0,0,IF(Inputs!$B$9="",0,COUNTIFS(Data!$M$10:$M$3209,"&gt;="&amp;$A1383,Data!$M$10:$M$3209,"&lt;"&amp;$A1383+1)))</f>
        <v/>
      </c>
      <c r="AH1383">
        <f>IF($B1383=0,0,IF(Inputs!$B$10="",0,COUNTIFS(Data!$Q$10:$Q$3209,"&gt;="&amp;$A1383,Data!$Q$10:$Q$3209,"&lt;"&amp;$A1383+1)))</f>
        <v/>
      </c>
    </row>
    <row r="1384">
      <c r="A1384" s="55">
        <f>MIN(Inputs!$C$15,$A1383+IF(WEEKDAY($A1383,2)=5,3,1))</f>
        <v/>
      </c>
      <c r="B1384">
        <f>IF($A1384&gt;$A1383,1,0)</f>
        <v/>
      </c>
      <c r="C1384" s="56">
        <f>IF($B1384=0,"",IF(Inputs!$B$6="","",IF($AD1384=0,C1383,SUMIFS(Data!$B$10:$B$3209,Data!$A$10:$A$3209,"&gt;="&amp;$A1384,Data!$A$10:$A$3209,"&lt;"&amp;$A1384+1)/$AD1384)))</f>
        <v/>
      </c>
      <c r="D1384" s="56">
        <f>IF($B1384=0,"",IF(Inputs!$B$7="","",IF($AE1384=0,D1383,SUMIFS(Data!$F$10:$F$3209,Data!$E$10:$E$3209,"&gt;="&amp;$A1384,Data!$E$10:$E$3209,"&lt;"&amp;$A1384+1)/$AE1384)))</f>
        <v/>
      </c>
      <c r="E1384" s="56">
        <f>IF($B1384=0,"",IF(Inputs!$B$8="","",IF($AF1384=0,E1383,SUMIFS(Data!$J$10:$J$3209,Data!$I$10:$I$3209,"&gt;="&amp;$A1384,Data!$I$10:$I$3209,"&lt;"&amp;$A1384+1)/$AF1384)))</f>
        <v/>
      </c>
      <c r="F1384" s="56">
        <f>IF($B1384=0,"",IF(Inputs!$B$9="","",IF($AG1384=0,F1383,SUMIFS(Data!$N$10:$N$3209,Data!$M$10:$M$3209,"&gt;="&amp;$A1384,Data!$M$10:$M$3209,"&lt;"&amp;$A1384+1)/$AG1384)))</f>
        <v/>
      </c>
      <c r="G1384" s="56">
        <f>IF($B1384=0,"",IF(Inputs!$B$10="","",IF($AH1384=0,G1383,SUMIFS(Data!$R$10:$R$3209,Data!$Q$10:$Q$3209,"&gt;="&amp;$A1384,Data!$Q$10:$Q$3209,"&lt;"&amp;$A1384+1)/$AH1384)))</f>
        <v/>
      </c>
      <c r="I1384" s="54">
        <f>IF($B1384=0,NA(),IF($C1384="",NA(),IF(C$8="",NA(),IF(N(C$8)=0,NA(),IF(Inputs!$C$17="Rebased to 100",$C1384/C$8*100,$C1384)))))</f>
        <v/>
      </c>
      <c r="J1384" s="54">
        <f>IF($B1384=0,NA(),IF($D1384="",NA(),IF(D$8="",NA(),IF(N(D$8)=0,NA(),IF(Inputs!$C$17="Rebased to 100",$D1384/D$8*100,$D1384)))))</f>
        <v/>
      </c>
      <c r="K1384" s="54">
        <f>IF($B1384=0,NA(),IF($E1384="",NA(),IF(E$8="",NA(),IF(N(E$8)=0,NA(),IF(Inputs!$C$17="Rebased to 100",$E1384/E$8*100,$E1384)))))</f>
        <v/>
      </c>
      <c r="L1384" s="54">
        <f>IF($B1384=0,NA(),IF($F1384="",NA(),IF(F$8="",NA(),IF(N(F$8)=0,NA(),IF(Inputs!$C$17="Rebased to 100",$F1384/F$8*100,$F1384)))))</f>
        <v/>
      </c>
      <c r="M1384" s="54">
        <f>IF($B1384=0,NA(),IF($G1384="",NA(),IF(G$8="",NA(),IF(N(G$8)=0,NA(),IF(Inputs!$C$17="Rebased to 100",$G1384/G$8*100,$G1384)))))</f>
        <v/>
      </c>
      <c r="N1384" s="54">
        <f>IF($B1384=0,NA(),IF(Inputs!$C$18&lt;&gt;"Yes",NA(),IF(COUNT(I1384,J1384,K1384,L1384,M1384)=0,NA(),MIN(I1384,J1384,K1384,L1384,M1384))))</f>
        <v/>
      </c>
      <c r="O1384" s="54">
        <f>IF($B1384=0,NA(),IF(Inputs!$B$24&lt;&gt;"Yes",NA(),Inputs!$D$24*Inputs!$C$35))</f>
        <v/>
      </c>
      <c r="P1384" s="54">
        <f>IF($B1384=0,NA(),IF(Inputs!$B$25&lt;&gt;"Yes",NA(),Inputs!$D$25*Inputs!$C$35))</f>
        <v/>
      </c>
      <c r="Q1384" s="54">
        <f>IF($B1384=0,NA(),IF(Inputs!$B$26&lt;&gt;"Yes",NA(),Inputs!$D$26*Inputs!$C$35))</f>
        <v/>
      </c>
      <c r="R1384" s="54">
        <f>IF($B1384=0,NA(),IF(Inputs!$B$27&lt;&gt;"Yes",NA(),Inputs!$D$27*Inputs!$C$35))</f>
        <v/>
      </c>
      <c r="S1384" s="54">
        <f>IF($B1384=0,NA(),IF(Inputs!$B$28&lt;&gt;"Yes",NA(),Inputs!$D$28*Inputs!$C$35))</f>
        <v/>
      </c>
      <c r="T1384" s="54">
        <f>IF($B1384=0,NA(),IF(Inputs!$B$29&lt;&gt;"Yes",NA(),Inputs!$D$29*Inputs!$C$35))</f>
        <v/>
      </c>
      <c r="AD1384">
        <f>IF($B1384=0,0,IF(Inputs!$B$6="",0,COUNTIFS(Data!$A$10:$A$3209,"&gt;="&amp;$A1384,Data!$A$10:$A$3209,"&lt;"&amp;$A1384+1)))</f>
        <v/>
      </c>
      <c r="AE1384">
        <f>IF($B1384=0,0,IF(Inputs!$B$7="",0,COUNTIFS(Data!$E$10:$E$3209,"&gt;="&amp;$A1384,Data!$E$10:$E$3209,"&lt;"&amp;$A1384+1)))</f>
        <v/>
      </c>
      <c r="AF1384">
        <f>IF($B1384=0,0,IF(Inputs!$B$8="",0,COUNTIFS(Data!$I$10:$I$3209,"&gt;="&amp;$A1384,Data!$I$10:$I$3209,"&lt;"&amp;$A1384+1)))</f>
        <v/>
      </c>
      <c r="AG1384">
        <f>IF($B1384=0,0,IF(Inputs!$B$9="",0,COUNTIFS(Data!$M$10:$M$3209,"&gt;="&amp;$A1384,Data!$M$10:$M$3209,"&lt;"&amp;$A1384+1)))</f>
        <v/>
      </c>
      <c r="AH1384">
        <f>IF($B1384=0,0,IF(Inputs!$B$10="",0,COUNTIFS(Data!$Q$10:$Q$3209,"&gt;="&amp;$A1384,Data!$Q$10:$Q$3209,"&lt;"&amp;$A1384+1)))</f>
        <v/>
      </c>
    </row>
    <row r="1385">
      <c r="A1385" s="55">
        <f>MIN(Inputs!$C$15,$A1384+IF(WEEKDAY($A1384,2)=5,3,1))</f>
        <v/>
      </c>
      <c r="B1385">
        <f>IF($A1385&gt;$A1384,1,0)</f>
        <v/>
      </c>
      <c r="C1385" s="56">
        <f>IF($B1385=0,"",IF(Inputs!$B$6="","",IF($AD1385=0,C1384,SUMIFS(Data!$B$10:$B$3209,Data!$A$10:$A$3209,"&gt;="&amp;$A1385,Data!$A$10:$A$3209,"&lt;"&amp;$A1385+1)/$AD1385)))</f>
        <v/>
      </c>
      <c r="D1385" s="56">
        <f>IF($B1385=0,"",IF(Inputs!$B$7="","",IF($AE1385=0,D1384,SUMIFS(Data!$F$10:$F$3209,Data!$E$10:$E$3209,"&gt;="&amp;$A1385,Data!$E$10:$E$3209,"&lt;"&amp;$A1385+1)/$AE1385)))</f>
        <v/>
      </c>
      <c r="E1385" s="56">
        <f>IF($B1385=0,"",IF(Inputs!$B$8="","",IF($AF1385=0,E1384,SUMIFS(Data!$J$10:$J$3209,Data!$I$10:$I$3209,"&gt;="&amp;$A1385,Data!$I$10:$I$3209,"&lt;"&amp;$A1385+1)/$AF1385)))</f>
        <v/>
      </c>
      <c r="F1385" s="56">
        <f>IF($B1385=0,"",IF(Inputs!$B$9="","",IF($AG1385=0,F1384,SUMIFS(Data!$N$10:$N$3209,Data!$M$10:$M$3209,"&gt;="&amp;$A1385,Data!$M$10:$M$3209,"&lt;"&amp;$A1385+1)/$AG1385)))</f>
        <v/>
      </c>
      <c r="G1385" s="56">
        <f>IF($B1385=0,"",IF(Inputs!$B$10="","",IF($AH1385=0,G1384,SUMIFS(Data!$R$10:$R$3209,Data!$Q$10:$Q$3209,"&gt;="&amp;$A1385,Data!$Q$10:$Q$3209,"&lt;"&amp;$A1385+1)/$AH1385)))</f>
        <v/>
      </c>
      <c r="I1385" s="54">
        <f>IF($B1385=0,NA(),IF($C1385="",NA(),IF(C$8="",NA(),IF(N(C$8)=0,NA(),IF(Inputs!$C$17="Rebased to 100",$C1385/C$8*100,$C1385)))))</f>
        <v/>
      </c>
      <c r="J1385" s="54">
        <f>IF($B1385=0,NA(),IF($D1385="",NA(),IF(D$8="",NA(),IF(N(D$8)=0,NA(),IF(Inputs!$C$17="Rebased to 100",$D1385/D$8*100,$D1385)))))</f>
        <v/>
      </c>
      <c r="K1385" s="54">
        <f>IF($B1385=0,NA(),IF($E1385="",NA(),IF(E$8="",NA(),IF(N(E$8)=0,NA(),IF(Inputs!$C$17="Rebased to 100",$E1385/E$8*100,$E1385)))))</f>
        <v/>
      </c>
      <c r="L1385" s="54">
        <f>IF($B1385=0,NA(),IF($F1385="",NA(),IF(F$8="",NA(),IF(N(F$8)=0,NA(),IF(Inputs!$C$17="Rebased to 100",$F1385/F$8*100,$F1385)))))</f>
        <v/>
      </c>
      <c r="M1385" s="54">
        <f>IF($B1385=0,NA(),IF($G1385="",NA(),IF(G$8="",NA(),IF(N(G$8)=0,NA(),IF(Inputs!$C$17="Rebased to 100",$G1385/G$8*100,$G1385)))))</f>
        <v/>
      </c>
      <c r="N1385" s="54">
        <f>IF($B1385=0,NA(),IF(Inputs!$C$18&lt;&gt;"Yes",NA(),IF(COUNT(I1385,J1385,K1385,L1385,M1385)=0,NA(),MIN(I1385,J1385,K1385,L1385,M1385))))</f>
        <v/>
      </c>
      <c r="O1385" s="54">
        <f>IF($B1385=0,NA(),IF(Inputs!$B$24&lt;&gt;"Yes",NA(),Inputs!$D$24*Inputs!$C$35))</f>
        <v/>
      </c>
      <c r="P1385" s="54">
        <f>IF($B1385=0,NA(),IF(Inputs!$B$25&lt;&gt;"Yes",NA(),Inputs!$D$25*Inputs!$C$35))</f>
        <v/>
      </c>
      <c r="Q1385" s="54">
        <f>IF($B1385=0,NA(),IF(Inputs!$B$26&lt;&gt;"Yes",NA(),Inputs!$D$26*Inputs!$C$35))</f>
        <v/>
      </c>
      <c r="R1385" s="54">
        <f>IF($B1385=0,NA(),IF(Inputs!$B$27&lt;&gt;"Yes",NA(),Inputs!$D$27*Inputs!$C$35))</f>
        <v/>
      </c>
      <c r="S1385" s="54">
        <f>IF($B1385=0,NA(),IF(Inputs!$B$28&lt;&gt;"Yes",NA(),Inputs!$D$28*Inputs!$C$35))</f>
        <v/>
      </c>
      <c r="T1385" s="54">
        <f>IF($B1385=0,NA(),IF(Inputs!$B$29&lt;&gt;"Yes",NA(),Inputs!$D$29*Inputs!$C$35))</f>
        <v/>
      </c>
      <c r="AD1385">
        <f>IF($B1385=0,0,IF(Inputs!$B$6="",0,COUNTIFS(Data!$A$10:$A$3209,"&gt;="&amp;$A1385,Data!$A$10:$A$3209,"&lt;"&amp;$A1385+1)))</f>
        <v/>
      </c>
      <c r="AE1385">
        <f>IF($B1385=0,0,IF(Inputs!$B$7="",0,COUNTIFS(Data!$E$10:$E$3209,"&gt;="&amp;$A1385,Data!$E$10:$E$3209,"&lt;"&amp;$A1385+1)))</f>
        <v/>
      </c>
      <c r="AF1385">
        <f>IF($B1385=0,0,IF(Inputs!$B$8="",0,COUNTIFS(Data!$I$10:$I$3209,"&gt;="&amp;$A1385,Data!$I$10:$I$3209,"&lt;"&amp;$A1385+1)))</f>
        <v/>
      </c>
      <c r="AG1385">
        <f>IF($B1385=0,0,IF(Inputs!$B$9="",0,COUNTIFS(Data!$M$10:$M$3209,"&gt;="&amp;$A1385,Data!$M$10:$M$3209,"&lt;"&amp;$A1385+1)))</f>
        <v/>
      </c>
      <c r="AH1385">
        <f>IF($B1385=0,0,IF(Inputs!$B$10="",0,COUNTIFS(Data!$Q$10:$Q$3209,"&gt;="&amp;$A1385,Data!$Q$10:$Q$3209,"&lt;"&amp;$A1385+1)))</f>
        <v/>
      </c>
    </row>
    <row r="1386">
      <c r="A1386" s="55">
        <f>MIN(Inputs!$C$15,$A1385+IF(WEEKDAY($A1385,2)=5,3,1))</f>
        <v/>
      </c>
      <c r="B1386">
        <f>IF($A1386&gt;$A1385,1,0)</f>
        <v/>
      </c>
      <c r="C1386" s="56">
        <f>IF($B1386=0,"",IF(Inputs!$B$6="","",IF($AD1386=0,C1385,SUMIFS(Data!$B$10:$B$3209,Data!$A$10:$A$3209,"&gt;="&amp;$A1386,Data!$A$10:$A$3209,"&lt;"&amp;$A1386+1)/$AD1386)))</f>
        <v/>
      </c>
      <c r="D1386" s="56">
        <f>IF($B1386=0,"",IF(Inputs!$B$7="","",IF($AE1386=0,D1385,SUMIFS(Data!$F$10:$F$3209,Data!$E$10:$E$3209,"&gt;="&amp;$A1386,Data!$E$10:$E$3209,"&lt;"&amp;$A1386+1)/$AE1386)))</f>
        <v/>
      </c>
      <c r="E1386" s="56">
        <f>IF($B1386=0,"",IF(Inputs!$B$8="","",IF($AF1386=0,E1385,SUMIFS(Data!$J$10:$J$3209,Data!$I$10:$I$3209,"&gt;="&amp;$A1386,Data!$I$10:$I$3209,"&lt;"&amp;$A1386+1)/$AF1386)))</f>
        <v/>
      </c>
      <c r="F1386" s="56">
        <f>IF($B1386=0,"",IF(Inputs!$B$9="","",IF($AG1386=0,F1385,SUMIFS(Data!$N$10:$N$3209,Data!$M$10:$M$3209,"&gt;="&amp;$A1386,Data!$M$10:$M$3209,"&lt;"&amp;$A1386+1)/$AG1386)))</f>
        <v/>
      </c>
      <c r="G1386" s="56">
        <f>IF($B1386=0,"",IF(Inputs!$B$10="","",IF($AH1386=0,G1385,SUMIFS(Data!$R$10:$R$3209,Data!$Q$10:$Q$3209,"&gt;="&amp;$A1386,Data!$Q$10:$Q$3209,"&lt;"&amp;$A1386+1)/$AH1386)))</f>
        <v/>
      </c>
      <c r="I1386" s="54">
        <f>IF($B1386=0,NA(),IF($C1386="",NA(),IF(C$8="",NA(),IF(N(C$8)=0,NA(),IF(Inputs!$C$17="Rebased to 100",$C1386/C$8*100,$C1386)))))</f>
        <v/>
      </c>
      <c r="J1386" s="54">
        <f>IF($B1386=0,NA(),IF($D1386="",NA(),IF(D$8="",NA(),IF(N(D$8)=0,NA(),IF(Inputs!$C$17="Rebased to 100",$D1386/D$8*100,$D1386)))))</f>
        <v/>
      </c>
      <c r="K1386" s="54">
        <f>IF($B1386=0,NA(),IF($E1386="",NA(),IF(E$8="",NA(),IF(N(E$8)=0,NA(),IF(Inputs!$C$17="Rebased to 100",$E1386/E$8*100,$E1386)))))</f>
        <v/>
      </c>
      <c r="L1386" s="54">
        <f>IF($B1386=0,NA(),IF($F1386="",NA(),IF(F$8="",NA(),IF(N(F$8)=0,NA(),IF(Inputs!$C$17="Rebased to 100",$F1386/F$8*100,$F1386)))))</f>
        <v/>
      </c>
      <c r="M1386" s="54">
        <f>IF($B1386=0,NA(),IF($G1386="",NA(),IF(G$8="",NA(),IF(N(G$8)=0,NA(),IF(Inputs!$C$17="Rebased to 100",$G1386/G$8*100,$G1386)))))</f>
        <v/>
      </c>
      <c r="N1386" s="54">
        <f>IF($B1386=0,NA(),IF(Inputs!$C$18&lt;&gt;"Yes",NA(),IF(COUNT(I1386,J1386,K1386,L1386,M1386)=0,NA(),MIN(I1386,J1386,K1386,L1386,M1386))))</f>
        <v/>
      </c>
      <c r="O1386" s="54">
        <f>IF($B1386=0,NA(),IF(Inputs!$B$24&lt;&gt;"Yes",NA(),Inputs!$D$24*Inputs!$C$35))</f>
        <v/>
      </c>
      <c r="P1386" s="54">
        <f>IF($B1386=0,NA(),IF(Inputs!$B$25&lt;&gt;"Yes",NA(),Inputs!$D$25*Inputs!$C$35))</f>
        <v/>
      </c>
      <c r="Q1386" s="54">
        <f>IF($B1386=0,NA(),IF(Inputs!$B$26&lt;&gt;"Yes",NA(),Inputs!$D$26*Inputs!$C$35))</f>
        <v/>
      </c>
      <c r="R1386" s="54">
        <f>IF($B1386=0,NA(),IF(Inputs!$B$27&lt;&gt;"Yes",NA(),Inputs!$D$27*Inputs!$C$35))</f>
        <v/>
      </c>
      <c r="S1386" s="54">
        <f>IF($B1386=0,NA(),IF(Inputs!$B$28&lt;&gt;"Yes",NA(),Inputs!$D$28*Inputs!$C$35))</f>
        <v/>
      </c>
      <c r="T1386" s="54">
        <f>IF($B1386=0,NA(),IF(Inputs!$B$29&lt;&gt;"Yes",NA(),Inputs!$D$29*Inputs!$C$35))</f>
        <v/>
      </c>
      <c r="AD1386">
        <f>IF($B1386=0,0,IF(Inputs!$B$6="",0,COUNTIFS(Data!$A$10:$A$3209,"&gt;="&amp;$A1386,Data!$A$10:$A$3209,"&lt;"&amp;$A1386+1)))</f>
        <v/>
      </c>
      <c r="AE1386">
        <f>IF($B1386=0,0,IF(Inputs!$B$7="",0,COUNTIFS(Data!$E$10:$E$3209,"&gt;="&amp;$A1386,Data!$E$10:$E$3209,"&lt;"&amp;$A1386+1)))</f>
        <v/>
      </c>
      <c r="AF1386">
        <f>IF($B1386=0,0,IF(Inputs!$B$8="",0,COUNTIFS(Data!$I$10:$I$3209,"&gt;="&amp;$A1386,Data!$I$10:$I$3209,"&lt;"&amp;$A1386+1)))</f>
        <v/>
      </c>
      <c r="AG1386">
        <f>IF($B1386=0,0,IF(Inputs!$B$9="",0,COUNTIFS(Data!$M$10:$M$3209,"&gt;="&amp;$A1386,Data!$M$10:$M$3209,"&lt;"&amp;$A1386+1)))</f>
        <v/>
      </c>
      <c r="AH1386">
        <f>IF($B1386=0,0,IF(Inputs!$B$10="",0,COUNTIFS(Data!$Q$10:$Q$3209,"&gt;="&amp;$A1386,Data!$Q$10:$Q$3209,"&lt;"&amp;$A1386+1)))</f>
        <v/>
      </c>
    </row>
    <row r="1387">
      <c r="A1387" s="55">
        <f>MIN(Inputs!$C$15,$A1386+IF(WEEKDAY($A1386,2)=5,3,1))</f>
        <v/>
      </c>
      <c r="B1387">
        <f>IF($A1387&gt;$A1386,1,0)</f>
        <v/>
      </c>
      <c r="C1387" s="56">
        <f>IF($B1387=0,"",IF(Inputs!$B$6="","",IF($AD1387=0,C1386,SUMIFS(Data!$B$10:$B$3209,Data!$A$10:$A$3209,"&gt;="&amp;$A1387,Data!$A$10:$A$3209,"&lt;"&amp;$A1387+1)/$AD1387)))</f>
        <v/>
      </c>
      <c r="D1387" s="56">
        <f>IF($B1387=0,"",IF(Inputs!$B$7="","",IF($AE1387=0,D1386,SUMIFS(Data!$F$10:$F$3209,Data!$E$10:$E$3209,"&gt;="&amp;$A1387,Data!$E$10:$E$3209,"&lt;"&amp;$A1387+1)/$AE1387)))</f>
        <v/>
      </c>
      <c r="E1387" s="56">
        <f>IF($B1387=0,"",IF(Inputs!$B$8="","",IF($AF1387=0,E1386,SUMIFS(Data!$J$10:$J$3209,Data!$I$10:$I$3209,"&gt;="&amp;$A1387,Data!$I$10:$I$3209,"&lt;"&amp;$A1387+1)/$AF1387)))</f>
        <v/>
      </c>
      <c r="F1387" s="56">
        <f>IF($B1387=0,"",IF(Inputs!$B$9="","",IF($AG1387=0,F1386,SUMIFS(Data!$N$10:$N$3209,Data!$M$10:$M$3209,"&gt;="&amp;$A1387,Data!$M$10:$M$3209,"&lt;"&amp;$A1387+1)/$AG1387)))</f>
        <v/>
      </c>
      <c r="G1387" s="56">
        <f>IF($B1387=0,"",IF(Inputs!$B$10="","",IF($AH1387=0,G1386,SUMIFS(Data!$R$10:$R$3209,Data!$Q$10:$Q$3209,"&gt;="&amp;$A1387,Data!$Q$10:$Q$3209,"&lt;"&amp;$A1387+1)/$AH1387)))</f>
        <v/>
      </c>
      <c r="I1387" s="54">
        <f>IF($B1387=0,NA(),IF($C1387="",NA(),IF(C$8="",NA(),IF(N(C$8)=0,NA(),IF(Inputs!$C$17="Rebased to 100",$C1387/C$8*100,$C1387)))))</f>
        <v/>
      </c>
      <c r="J1387" s="54">
        <f>IF($B1387=0,NA(),IF($D1387="",NA(),IF(D$8="",NA(),IF(N(D$8)=0,NA(),IF(Inputs!$C$17="Rebased to 100",$D1387/D$8*100,$D1387)))))</f>
        <v/>
      </c>
      <c r="K1387" s="54">
        <f>IF($B1387=0,NA(),IF($E1387="",NA(),IF(E$8="",NA(),IF(N(E$8)=0,NA(),IF(Inputs!$C$17="Rebased to 100",$E1387/E$8*100,$E1387)))))</f>
        <v/>
      </c>
      <c r="L1387" s="54">
        <f>IF($B1387=0,NA(),IF($F1387="",NA(),IF(F$8="",NA(),IF(N(F$8)=0,NA(),IF(Inputs!$C$17="Rebased to 100",$F1387/F$8*100,$F1387)))))</f>
        <v/>
      </c>
      <c r="M1387" s="54">
        <f>IF($B1387=0,NA(),IF($G1387="",NA(),IF(G$8="",NA(),IF(N(G$8)=0,NA(),IF(Inputs!$C$17="Rebased to 100",$G1387/G$8*100,$G1387)))))</f>
        <v/>
      </c>
      <c r="N1387" s="54">
        <f>IF($B1387=0,NA(),IF(Inputs!$C$18&lt;&gt;"Yes",NA(),IF(COUNT(I1387,J1387,K1387,L1387,M1387)=0,NA(),MIN(I1387,J1387,K1387,L1387,M1387))))</f>
        <v/>
      </c>
      <c r="O1387" s="54">
        <f>IF($B1387=0,NA(),IF(Inputs!$B$24&lt;&gt;"Yes",NA(),Inputs!$D$24*Inputs!$C$35))</f>
        <v/>
      </c>
      <c r="P1387" s="54">
        <f>IF($B1387=0,NA(),IF(Inputs!$B$25&lt;&gt;"Yes",NA(),Inputs!$D$25*Inputs!$C$35))</f>
        <v/>
      </c>
      <c r="Q1387" s="54">
        <f>IF($B1387=0,NA(),IF(Inputs!$B$26&lt;&gt;"Yes",NA(),Inputs!$D$26*Inputs!$C$35))</f>
        <v/>
      </c>
      <c r="R1387" s="54">
        <f>IF($B1387=0,NA(),IF(Inputs!$B$27&lt;&gt;"Yes",NA(),Inputs!$D$27*Inputs!$C$35))</f>
        <v/>
      </c>
      <c r="S1387" s="54">
        <f>IF($B1387=0,NA(),IF(Inputs!$B$28&lt;&gt;"Yes",NA(),Inputs!$D$28*Inputs!$C$35))</f>
        <v/>
      </c>
      <c r="T1387" s="54">
        <f>IF($B1387=0,NA(),IF(Inputs!$B$29&lt;&gt;"Yes",NA(),Inputs!$D$29*Inputs!$C$35))</f>
        <v/>
      </c>
      <c r="AD1387">
        <f>IF($B1387=0,0,IF(Inputs!$B$6="",0,COUNTIFS(Data!$A$10:$A$3209,"&gt;="&amp;$A1387,Data!$A$10:$A$3209,"&lt;"&amp;$A1387+1)))</f>
        <v/>
      </c>
      <c r="AE1387">
        <f>IF($B1387=0,0,IF(Inputs!$B$7="",0,COUNTIFS(Data!$E$10:$E$3209,"&gt;="&amp;$A1387,Data!$E$10:$E$3209,"&lt;"&amp;$A1387+1)))</f>
        <v/>
      </c>
      <c r="AF1387">
        <f>IF($B1387=0,0,IF(Inputs!$B$8="",0,COUNTIFS(Data!$I$10:$I$3209,"&gt;="&amp;$A1387,Data!$I$10:$I$3209,"&lt;"&amp;$A1387+1)))</f>
        <v/>
      </c>
      <c r="AG1387">
        <f>IF($B1387=0,0,IF(Inputs!$B$9="",0,COUNTIFS(Data!$M$10:$M$3209,"&gt;="&amp;$A1387,Data!$M$10:$M$3209,"&lt;"&amp;$A1387+1)))</f>
        <v/>
      </c>
      <c r="AH1387">
        <f>IF($B1387=0,0,IF(Inputs!$B$10="",0,COUNTIFS(Data!$Q$10:$Q$3209,"&gt;="&amp;$A1387,Data!$Q$10:$Q$3209,"&lt;"&amp;$A1387+1)))</f>
        <v/>
      </c>
    </row>
    <row r="1388">
      <c r="A1388" s="55">
        <f>MIN(Inputs!$C$15,$A1387+IF(WEEKDAY($A1387,2)=5,3,1))</f>
        <v/>
      </c>
      <c r="B1388">
        <f>IF($A1388&gt;$A1387,1,0)</f>
        <v/>
      </c>
      <c r="C1388" s="56">
        <f>IF($B1388=0,"",IF(Inputs!$B$6="","",IF($AD1388=0,C1387,SUMIFS(Data!$B$10:$B$3209,Data!$A$10:$A$3209,"&gt;="&amp;$A1388,Data!$A$10:$A$3209,"&lt;"&amp;$A1388+1)/$AD1388)))</f>
        <v/>
      </c>
      <c r="D1388" s="56">
        <f>IF($B1388=0,"",IF(Inputs!$B$7="","",IF($AE1388=0,D1387,SUMIFS(Data!$F$10:$F$3209,Data!$E$10:$E$3209,"&gt;="&amp;$A1388,Data!$E$10:$E$3209,"&lt;"&amp;$A1388+1)/$AE1388)))</f>
        <v/>
      </c>
      <c r="E1388" s="56">
        <f>IF($B1388=0,"",IF(Inputs!$B$8="","",IF($AF1388=0,E1387,SUMIFS(Data!$J$10:$J$3209,Data!$I$10:$I$3209,"&gt;="&amp;$A1388,Data!$I$10:$I$3209,"&lt;"&amp;$A1388+1)/$AF1388)))</f>
        <v/>
      </c>
      <c r="F1388" s="56">
        <f>IF($B1388=0,"",IF(Inputs!$B$9="","",IF($AG1388=0,F1387,SUMIFS(Data!$N$10:$N$3209,Data!$M$10:$M$3209,"&gt;="&amp;$A1388,Data!$M$10:$M$3209,"&lt;"&amp;$A1388+1)/$AG1388)))</f>
        <v/>
      </c>
      <c r="G1388" s="56">
        <f>IF($B1388=0,"",IF(Inputs!$B$10="","",IF($AH1388=0,G1387,SUMIFS(Data!$R$10:$R$3209,Data!$Q$10:$Q$3209,"&gt;="&amp;$A1388,Data!$Q$10:$Q$3209,"&lt;"&amp;$A1388+1)/$AH1388)))</f>
        <v/>
      </c>
      <c r="I1388" s="54">
        <f>IF($B1388=0,NA(),IF($C1388="",NA(),IF(C$8="",NA(),IF(N(C$8)=0,NA(),IF(Inputs!$C$17="Rebased to 100",$C1388/C$8*100,$C1388)))))</f>
        <v/>
      </c>
      <c r="J1388" s="54">
        <f>IF($B1388=0,NA(),IF($D1388="",NA(),IF(D$8="",NA(),IF(N(D$8)=0,NA(),IF(Inputs!$C$17="Rebased to 100",$D1388/D$8*100,$D1388)))))</f>
        <v/>
      </c>
      <c r="K1388" s="54">
        <f>IF($B1388=0,NA(),IF($E1388="",NA(),IF(E$8="",NA(),IF(N(E$8)=0,NA(),IF(Inputs!$C$17="Rebased to 100",$E1388/E$8*100,$E1388)))))</f>
        <v/>
      </c>
      <c r="L1388" s="54">
        <f>IF($B1388=0,NA(),IF($F1388="",NA(),IF(F$8="",NA(),IF(N(F$8)=0,NA(),IF(Inputs!$C$17="Rebased to 100",$F1388/F$8*100,$F1388)))))</f>
        <v/>
      </c>
      <c r="M1388" s="54">
        <f>IF($B1388=0,NA(),IF($G1388="",NA(),IF(G$8="",NA(),IF(N(G$8)=0,NA(),IF(Inputs!$C$17="Rebased to 100",$G1388/G$8*100,$G1388)))))</f>
        <v/>
      </c>
      <c r="N1388" s="54">
        <f>IF($B1388=0,NA(),IF(Inputs!$C$18&lt;&gt;"Yes",NA(),IF(COUNT(I1388,J1388,K1388,L1388,M1388)=0,NA(),MIN(I1388,J1388,K1388,L1388,M1388))))</f>
        <v/>
      </c>
      <c r="O1388" s="54">
        <f>IF($B1388=0,NA(),IF(Inputs!$B$24&lt;&gt;"Yes",NA(),Inputs!$D$24*Inputs!$C$35))</f>
        <v/>
      </c>
      <c r="P1388" s="54">
        <f>IF($B1388=0,NA(),IF(Inputs!$B$25&lt;&gt;"Yes",NA(),Inputs!$D$25*Inputs!$C$35))</f>
        <v/>
      </c>
      <c r="Q1388" s="54">
        <f>IF($B1388=0,NA(),IF(Inputs!$B$26&lt;&gt;"Yes",NA(),Inputs!$D$26*Inputs!$C$35))</f>
        <v/>
      </c>
      <c r="R1388" s="54">
        <f>IF($B1388=0,NA(),IF(Inputs!$B$27&lt;&gt;"Yes",NA(),Inputs!$D$27*Inputs!$C$35))</f>
        <v/>
      </c>
      <c r="S1388" s="54">
        <f>IF($B1388=0,NA(),IF(Inputs!$B$28&lt;&gt;"Yes",NA(),Inputs!$D$28*Inputs!$C$35))</f>
        <v/>
      </c>
      <c r="T1388" s="54">
        <f>IF($B1388=0,NA(),IF(Inputs!$B$29&lt;&gt;"Yes",NA(),Inputs!$D$29*Inputs!$C$35))</f>
        <v/>
      </c>
      <c r="AD1388">
        <f>IF($B1388=0,0,IF(Inputs!$B$6="",0,COUNTIFS(Data!$A$10:$A$3209,"&gt;="&amp;$A1388,Data!$A$10:$A$3209,"&lt;"&amp;$A1388+1)))</f>
        <v/>
      </c>
      <c r="AE1388">
        <f>IF($B1388=0,0,IF(Inputs!$B$7="",0,COUNTIFS(Data!$E$10:$E$3209,"&gt;="&amp;$A1388,Data!$E$10:$E$3209,"&lt;"&amp;$A1388+1)))</f>
        <v/>
      </c>
      <c r="AF1388">
        <f>IF($B1388=0,0,IF(Inputs!$B$8="",0,COUNTIFS(Data!$I$10:$I$3209,"&gt;="&amp;$A1388,Data!$I$10:$I$3209,"&lt;"&amp;$A1388+1)))</f>
        <v/>
      </c>
      <c r="AG1388">
        <f>IF($B1388=0,0,IF(Inputs!$B$9="",0,COUNTIFS(Data!$M$10:$M$3209,"&gt;="&amp;$A1388,Data!$M$10:$M$3209,"&lt;"&amp;$A1388+1)))</f>
        <v/>
      </c>
      <c r="AH1388">
        <f>IF($B1388=0,0,IF(Inputs!$B$10="",0,COUNTIFS(Data!$Q$10:$Q$3209,"&gt;="&amp;$A1388,Data!$Q$10:$Q$3209,"&lt;"&amp;$A1388+1)))</f>
        <v/>
      </c>
    </row>
    <row r="1389">
      <c r="A1389" s="55">
        <f>MIN(Inputs!$C$15,$A1388+IF(WEEKDAY($A1388,2)=5,3,1))</f>
        <v/>
      </c>
      <c r="B1389">
        <f>IF($A1389&gt;$A1388,1,0)</f>
        <v/>
      </c>
      <c r="C1389" s="56">
        <f>IF($B1389=0,"",IF(Inputs!$B$6="","",IF($AD1389=0,C1388,SUMIFS(Data!$B$10:$B$3209,Data!$A$10:$A$3209,"&gt;="&amp;$A1389,Data!$A$10:$A$3209,"&lt;"&amp;$A1389+1)/$AD1389)))</f>
        <v/>
      </c>
      <c r="D1389" s="56">
        <f>IF($B1389=0,"",IF(Inputs!$B$7="","",IF($AE1389=0,D1388,SUMIFS(Data!$F$10:$F$3209,Data!$E$10:$E$3209,"&gt;="&amp;$A1389,Data!$E$10:$E$3209,"&lt;"&amp;$A1389+1)/$AE1389)))</f>
        <v/>
      </c>
      <c r="E1389" s="56">
        <f>IF($B1389=0,"",IF(Inputs!$B$8="","",IF($AF1389=0,E1388,SUMIFS(Data!$J$10:$J$3209,Data!$I$10:$I$3209,"&gt;="&amp;$A1389,Data!$I$10:$I$3209,"&lt;"&amp;$A1389+1)/$AF1389)))</f>
        <v/>
      </c>
      <c r="F1389" s="56">
        <f>IF($B1389=0,"",IF(Inputs!$B$9="","",IF($AG1389=0,F1388,SUMIFS(Data!$N$10:$N$3209,Data!$M$10:$M$3209,"&gt;="&amp;$A1389,Data!$M$10:$M$3209,"&lt;"&amp;$A1389+1)/$AG1389)))</f>
        <v/>
      </c>
      <c r="G1389" s="56">
        <f>IF($B1389=0,"",IF(Inputs!$B$10="","",IF($AH1389=0,G1388,SUMIFS(Data!$R$10:$R$3209,Data!$Q$10:$Q$3209,"&gt;="&amp;$A1389,Data!$Q$10:$Q$3209,"&lt;"&amp;$A1389+1)/$AH1389)))</f>
        <v/>
      </c>
      <c r="I1389" s="54">
        <f>IF($B1389=0,NA(),IF($C1389="",NA(),IF(C$8="",NA(),IF(N(C$8)=0,NA(),IF(Inputs!$C$17="Rebased to 100",$C1389/C$8*100,$C1389)))))</f>
        <v/>
      </c>
      <c r="J1389" s="54">
        <f>IF($B1389=0,NA(),IF($D1389="",NA(),IF(D$8="",NA(),IF(N(D$8)=0,NA(),IF(Inputs!$C$17="Rebased to 100",$D1389/D$8*100,$D1389)))))</f>
        <v/>
      </c>
      <c r="K1389" s="54">
        <f>IF($B1389=0,NA(),IF($E1389="",NA(),IF(E$8="",NA(),IF(N(E$8)=0,NA(),IF(Inputs!$C$17="Rebased to 100",$E1389/E$8*100,$E1389)))))</f>
        <v/>
      </c>
      <c r="L1389" s="54">
        <f>IF($B1389=0,NA(),IF($F1389="",NA(),IF(F$8="",NA(),IF(N(F$8)=0,NA(),IF(Inputs!$C$17="Rebased to 100",$F1389/F$8*100,$F1389)))))</f>
        <v/>
      </c>
      <c r="M1389" s="54">
        <f>IF($B1389=0,NA(),IF($G1389="",NA(),IF(G$8="",NA(),IF(N(G$8)=0,NA(),IF(Inputs!$C$17="Rebased to 100",$G1389/G$8*100,$G1389)))))</f>
        <v/>
      </c>
      <c r="N1389" s="54">
        <f>IF($B1389=0,NA(),IF(Inputs!$C$18&lt;&gt;"Yes",NA(),IF(COUNT(I1389,J1389,K1389,L1389,M1389)=0,NA(),MIN(I1389,J1389,K1389,L1389,M1389))))</f>
        <v/>
      </c>
      <c r="O1389" s="54">
        <f>IF($B1389=0,NA(),IF(Inputs!$B$24&lt;&gt;"Yes",NA(),Inputs!$D$24*Inputs!$C$35))</f>
        <v/>
      </c>
      <c r="P1389" s="54">
        <f>IF($B1389=0,NA(),IF(Inputs!$B$25&lt;&gt;"Yes",NA(),Inputs!$D$25*Inputs!$C$35))</f>
        <v/>
      </c>
      <c r="Q1389" s="54">
        <f>IF($B1389=0,NA(),IF(Inputs!$B$26&lt;&gt;"Yes",NA(),Inputs!$D$26*Inputs!$C$35))</f>
        <v/>
      </c>
      <c r="R1389" s="54">
        <f>IF($B1389=0,NA(),IF(Inputs!$B$27&lt;&gt;"Yes",NA(),Inputs!$D$27*Inputs!$C$35))</f>
        <v/>
      </c>
      <c r="S1389" s="54">
        <f>IF($B1389=0,NA(),IF(Inputs!$B$28&lt;&gt;"Yes",NA(),Inputs!$D$28*Inputs!$C$35))</f>
        <v/>
      </c>
      <c r="T1389" s="54">
        <f>IF($B1389=0,NA(),IF(Inputs!$B$29&lt;&gt;"Yes",NA(),Inputs!$D$29*Inputs!$C$35))</f>
        <v/>
      </c>
      <c r="AD1389">
        <f>IF($B1389=0,0,IF(Inputs!$B$6="",0,COUNTIFS(Data!$A$10:$A$3209,"&gt;="&amp;$A1389,Data!$A$10:$A$3209,"&lt;"&amp;$A1389+1)))</f>
        <v/>
      </c>
      <c r="AE1389">
        <f>IF($B1389=0,0,IF(Inputs!$B$7="",0,COUNTIFS(Data!$E$10:$E$3209,"&gt;="&amp;$A1389,Data!$E$10:$E$3209,"&lt;"&amp;$A1389+1)))</f>
        <v/>
      </c>
      <c r="AF1389">
        <f>IF($B1389=0,0,IF(Inputs!$B$8="",0,COUNTIFS(Data!$I$10:$I$3209,"&gt;="&amp;$A1389,Data!$I$10:$I$3209,"&lt;"&amp;$A1389+1)))</f>
        <v/>
      </c>
      <c r="AG1389">
        <f>IF($B1389=0,0,IF(Inputs!$B$9="",0,COUNTIFS(Data!$M$10:$M$3209,"&gt;="&amp;$A1389,Data!$M$10:$M$3209,"&lt;"&amp;$A1389+1)))</f>
        <v/>
      </c>
      <c r="AH1389">
        <f>IF($B1389=0,0,IF(Inputs!$B$10="",0,COUNTIFS(Data!$Q$10:$Q$3209,"&gt;="&amp;$A1389,Data!$Q$10:$Q$3209,"&lt;"&amp;$A1389+1)))</f>
        <v/>
      </c>
    </row>
    <row r="1390">
      <c r="A1390" s="55">
        <f>MIN(Inputs!$C$15,$A1389+IF(WEEKDAY($A1389,2)=5,3,1))</f>
        <v/>
      </c>
      <c r="B1390">
        <f>IF($A1390&gt;$A1389,1,0)</f>
        <v/>
      </c>
      <c r="C1390" s="56">
        <f>IF($B1390=0,"",IF(Inputs!$B$6="","",IF($AD1390=0,C1389,SUMIFS(Data!$B$10:$B$3209,Data!$A$10:$A$3209,"&gt;="&amp;$A1390,Data!$A$10:$A$3209,"&lt;"&amp;$A1390+1)/$AD1390)))</f>
        <v/>
      </c>
      <c r="D1390" s="56">
        <f>IF($B1390=0,"",IF(Inputs!$B$7="","",IF($AE1390=0,D1389,SUMIFS(Data!$F$10:$F$3209,Data!$E$10:$E$3209,"&gt;="&amp;$A1390,Data!$E$10:$E$3209,"&lt;"&amp;$A1390+1)/$AE1390)))</f>
        <v/>
      </c>
      <c r="E1390" s="56">
        <f>IF($B1390=0,"",IF(Inputs!$B$8="","",IF($AF1390=0,E1389,SUMIFS(Data!$J$10:$J$3209,Data!$I$10:$I$3209,"&gt;="&amp;$A1390,Data!$I$10:$I$3209,"&lt;"&amp;$A1390+1)/$AF1390)))</f>
        <v/>
      </c>
      <c r="F1390" s="56">
        <f>IF($B1390=0,"",IF(Inputs!$B$9="","",IF($AG1390=0,F1389,SUMIFS(Data!$N$10:$N$3209,Data!$M$10:$M$3209,"&gt;="&amp;$A1390,Data!$M$10:$M$3209,"&lt;"&amp;$A1390+1)/$AG1390)))</f>
        <v/>
      </c>
      <c r="G1390" s="56">
        <f>IF($B1390=0,"",IF(Inputs!$B$10="","",IF($AH1390=0,G1389,SUMIFS(Data!$R$10:$R$3209,Data!$Q$10:$Q$3209,"&gt;="&amp;$A1390,Data!$Q$10:$Q$3209,"&lt;"&amp;$A1390+1)/$AH1390)))</f>
        <v/>
      </c>
      <c r="I1390" s="54">
        <f>IF($B1390=0,NA(),IF($C1390="",NA(),IF(C$8="",NA(),IF(N(C$8)=0,NA(),IF(Inputs!$C$17="Rebased to 100",$C1390/C$8*100,$C1390)))))</f>
        <v/>
      </c>
      <c r="J1390" s="54">
        <f>IF($B1390=0,NA(),IF($D1390="",NA(),IF(D$8="",NA(),IF(N(D$8)=0,NA(),IF(Inputs!$C$17="Rebased to 100",$D1390/D$8*100,$D1390)))))</f>
        <v/>
      </c>
      <c r="K1390" s="54">
        <f>IF($B1390=0,NA(),IF($E1390="",NA(),IF(E$8="",NA(),IF(N(E$8)=0,NA(),IF(Inputs!$C$17="Rebased to 100",$E1390/E$8*100,$E1390)))))</f>
        <v/>
      </c>
      <c r="L1390" s="54">
        <f>IF($B1390=0,NA(),IF($F1390="",NA(),IF(F$8="",NA(),IF(N(F$8)=0,NA(),IF(Inputs!$C$17="Rebased to 100",$F1390/F$8*100,$F1390)))))</f>
        <v/>
      </c>
      <c r="M1390" s="54">
        <f>IF($B1390=0,NA(),IF($G1390="",NA(),IF(G$8="",NA(),IF(N(G$8)=0,NA(),IF(Inputs!$C$17="Rebased to 100",$G1390/G$8*100,$G1390)))))</f>
        <v/>
      </c>
      <c r="N1390" s="54">
        <f>IF($B1390=0,NA(),IF(Inputs!$C$18&lt;&gt;"Yes",NA(),IF(COUNT(I1390,J1390,K1390,L1390,M1390)=0,NA(),MIN(I1390,J1390,K1390,L1390,M1390))))</f>
        <v/>
      </c>
      <c r="O1390" s="54">
        <f>IF($B1390=0,NA(),IF(Inputs!$B$24&lt;&gt;"Yes",NA(),Inputs!$D$24*Inputs!$C$35))</f>
        <v/>
      </c>
      <c r="P1390" s="54">
        <f>IF($B1390=0,NA(),IF(Inputs!$B$25&lt;&gt;"Yes",NA(),Inputs!$D$25*Inputs!$C$35))</f>
        <v/>
      </c>
      <c r="Q1390" s="54">
        <f>IF($B1390=0,NA(),IF(Inputs!$B$26&lt;&gt;"Yes",NA(),Inputs!$D$26*Inputs!$C$35))</f>
        <v/>
      </c>
      <c r="R1390" s="54">
        <f>IF($B1390=0,NA(),IF(Inputs!$B$27&lt;&gt;"Yes",NA(),Inputs!$D$27*Inputs!$C$35))</f>
        <v/>
      </c>
      <c r="S1390" s="54">
        <f>IF($B1390=0,NA(),IF(Inputs!$B$28&lt;&gt;"Yes",NA(),Inputs!$D$28*Inputs!$C$35))</f>
        <v/>
      </c>
      <c r="T1390" s="54">
        <f>IF($B1390=0,NA(),IF(Inputs!$B$29&lt;&gt;"Yes",NA(),Inputs!$D$29*Inputs!$C$35))</f>
        <v/>
      </c>
      <c r="AD1390">
        <f>IF($B1390=0,0,IF(Inputs!$B$6="",0,COUNTIFS(Data!$A$10:$A$3209,"&gt;="&amp;$A1390,Data!$A$10:$A$3209,"&lt;"&amp;$A1390+1)))</f>
        <v/>
      </c>
      <c r="AE1390">
        <f>IF($B1390=0,0,IF(Inputs!$B$7="",0,COUNTIFS(Data!$E$10:$E$3209,"&gt;="&amp;$A1390,Data!$E$10:$E$3209,"&lt;"&amp;$A1390+1)))</f>
        <v/>
      </c>
      <c r="AF1390">
        <f>IF($B1390=0,0,IF(Inputs!$B$8="",0,COUNTIFS(Data!$I$10:$I$3209,"&gt;="&amp;$A1390,Data!$I$10:$I$3209,"&lt;"&amp;$A1390+1)))</f>
        <v/>
      </c>
      <c r="AG1390">
        <f>IF($B1390=0,0,IF(Inputs!$B$9="",0,COUNTIFS(Data!$M$10:$M$3209,"&gt;="&amp;$A1390,Data!$M$10:$M$3209,"&lt;"&amp;$A1390+1)))</f>
        <v/>
      </c>
      <c r="AH1390">
        <f>IF($B1390=0,0,IF(Inputs!$B$10="",0,COUNTIFS(Data!$Q$10:$Q$3209,"&gt;="&amp;$A1390,Data!$Q$10:$Q$3209,"&lt;"&amp;$A1390+1)))</f>
        <v/>
      </c>
    </row>
    <row r="1391">
      <c r="A1391" s="55">
        <f>MIN(Inputs!$C$15,$A1390+IF(WEEKDAY($A1390,2)=5,3,1))</f>
        <v/>
      </c>
      <c r="B1391">
        <f>IF($A1391&gt;$A1390,1,0)</f>
        <v/>
      </c>
      <c r="C1391" s="56">
        <f>IF($B1391=0,"",IF(Inputs!$B$6="","",IF($AD1391=0,C1390,SUMIFS(Data!$B$10:$B$3209,Data!$A$10:$A$3209,"&gt;="&amp;$A1391,Data!$A$10:$A$3209,"&lt;"&amp;$A1391+1)/$AD1391)))</f>
        <v/>
      </c>
      <c r="D1391" s="56">
        <f>IF($B1391=0,"",IF(Inputs!$B$7="","",IF($AE1391=0,D1390,SUMIFS(Data!$F$10:$F$3209,Data!$E$10:$E$3209,"&gt;="&amp;$A1391,Data!$E$10:$E$3209,"&lt;"&amp;$A1391+1)/$AE1391)))</f>
        <v/>
      </c>
      <c r="E1391" s="56">
        <f>IF($B1391=0,"",IF(Inputs!$B$8="","",IF($AF1391=0,E1390,SUMIFS(Data!$J$10:$J$3209,Data!$I$10:$I$3209,"&gt;="&amp;$A1391,Data!$I$10:$I$3209,"&lt;"&amp;$A1391+1)/$AF1391)))</f>
        <v/>
      </c>
      <c r="F1391" s="56">
        <f>IF($B1391=0,"",IF(Inputs!$B$9="","",IF($AG1391=0,F1390,SUMIFS(Data!$N$10:$N$3209,Data!$M$10:$M$3209,"&gt;="&amp;$A1391,Data!$M$10:$M$3209,"&lt;"&amp;$A1391+1)/$AG1391)))</f>
        <v/>
      </c>
      <c r="G1391" s="56">
        <f>IF($B1391=0,"",IF(Inputs!$B$10="","",IF($AH1391=0,G1390,SUMIFS(Data!$R$10:$R$3209,Data!$Q$10:$Q$3209,"&gt;="&amp;$A1391,Data!$Q$10:$Q$3209,"&lt;"&amp;$A1391+1)/$AH1391)))</f>
        <v/>
      </c>
      <c r="I1391" s="54">
        <f>IF($B1391=0,NA(),IF($C1391="",NA(),IF(C$8="",NA(),IF(N(C$8)=0,NA(),IF(Inputs!$C$17="Rebased to 100",$C1391/C$8*100,$C1391)))))</f>
        <v/>
      </c>
      <c r="J1391" s="54">
        <f>IF($B1391=0,NA(),IF($D1391="",NA(),IF(D$8="",NA(),IF(N(D$8)=0,NA(),IF(Inputs!$C$17="Rebased to 100",$D1391/D$8*100,$D1391)))))</f>
        <v/>
      </c>
      <c r="K1391" s="54">
        <f>IF($B1391=0,NA(),IF($E1391="",NA(),IF(E$8="",NA(),IF(N(E$8)=0,NA(),IF(Inputs!$C$17="Rebased to 100",$E1391/E$8*100,$E1391)))))</f>
        <v/>
      </c>
      <c r="L1391" s="54">
        <f>IF($B1391=0,NA(),IF($F1391="",NA(),IF(F$8="",NA(),IF(N(F$8)=0,NA(),IF(Inputs!$C$17="Rebased to 100",$F1391/F$8*100,$F1391)))))</f>
        <v/>
      </c>
      <c r="M1391" s="54">
        <f>IF($B1391=0,NA(),IF($G1391="",NA(),IF(G$8="",NA(),IF(N(G$8)=0,NA(),IF(Inputs!$C$17="Rebased to 100",$G1391/G$8*100,$G1391)))))</f>
        <v/>
      </c>
      <c r="N1391" s="54">
        <f>IF($B1391=0,NA(),IF(Inputs!$C$18&lt;&gt;"Yes",NA(),IF(COUNT(I1391,J1391,K1391,L1391,M1391)=0,NA(),MIN(I1391,J1391,K1391,L1391,M1391))))</f>
        <v/>
      </c>
      <c r="O1391" s="54">
        <f>IF($B1391=0,NA(),IF(Inputs!$B$24&lt;&gt;"Yes",NA(),Inputs!$D$24*Inputs!$C$35))</f>
        <v/>
      </c>
      <c r="P1391" s="54">
        <f>IF($B1391=0,NA(),IF(Inputs!$B$25&lt;&gt;"Yes",NA(),Inputs!$D$25*Inputs!$C$35))</f>
        <v/>
      </c>
      <c r="Q1391" s="54">
        <f>IF($B1391=0,NA(),IF(Inputs!$B$26&lt;&gt;"Yes",NA(),Inputs!$D$26*Inputs!$C$35))</f>
        <v/>
      </c>
      <c r="R1391" s="54">
        <f>IF($B1391=0,NA(),IF(Inputs!$B$27&lt;&gt;"Yes",NA(),Inputs!$D$27*Inputs!$C$35))</f>
        <v/>
      </c>
      <c r="S1391" s="54">
        <f>IF($B1391=0,NA(),IF(Inputs!$B$28&lt;&gt;"Yes",NA(),Inputs!$D$28*Inputs!$C$35))</f>
        <v/>
      </c>
      <c r="T1391" s="54">
        <f>IF($B1391=0,NA(),IF(Inputs!$B$29&lt;&gt;"Yes",NA(),Inputs!$D$29*Inputs!$C$35))</f>
        <v/>
      </c>
      <c r="AD1391">
        <f>IF($B1391=0,0,IF(Inputs!$B$6="",0,COUNTIFS(Data!$A$10:$A$3209,"&gt;="&amp;$A1391,Data!$A$10:$A$3209,"&lt;"&amp;$A1391+1)))</f>
        <v/>
      </c>
      <c r="AE1391">
        <f>IF($B1391=0,0,IF(Inputs!$B$7="",0,COUNTIFS(Data!$E$10:$E$3209,"&gt;="&amp;$A1391,Data!$E$10:$E$3209,"&lt;"&amp;$A1391+1)))</f>
        <v/>
      </c>
      <c r="AF1391">
        <f>IF($B1391=0,0,IF(Inputs!$B$8="",0,COUNTIFS(Data!$I$10:$I$3209,"&gt;="&amp;$A1391,Data!$I$10:$I$3209,"&lt;"&amp;$A1391+1)))</f>
        <v/>
      </c>
      <c r="AG1391">
        <f>IF($B1391=0,0,IF(Inputs!$B$9="",0,COUNTIFS(Data!$M$10:$M$3209,"&gt;="&amp;$A1391,Data!$M$10:$M$3209,"&lt;"&amp;$A1391+1)))</f>
        <v/>
      </c>
      <c r="AH1391">
        <f>IF($B1391=0,0,IF(Inputs!$B$10="",0,COUNTIFS(Data!$Q$10:$Q$3209,"&gt;="&amp;$A1391,Data!$Q$10:$Q$3209,"&lt;"&amp;$A1391+1)))</f>
        <v/>
      </c>
    </row>
    <row r="1392">
      <c r="A1392" s="55">
        <f>MIN(Inputs!$C$15,$A1391+IF(WEEKDAY($A1391,2)=5,3,1))</f>
        <v/>
      </c>
      <c r="B1392">
        <f>IF($A1392&gt;$A1391,1,0)</f>
        <v/>
      </c>
      <c r="C1392" s="56">
        <f>IF($B1392=0,"",IF(Inputs!$B$6="","",IF($AD1392=0,C1391,SUMIFS(Data!$B$10:$B$3209,Data!$A$10:$A$3209,"&gt;="&amp;$A1392,Data!$A$10:$A$3209,"&lt;"&amp;$A1392+1)/$AD1392)))</f>
        <v/>
      </c>
      <c r="D1392" s="56">
        <f>IF($B1392=0,"",IF(Inputs!$B$7="","",IF($AE1392=0,D1391,SUMIFS(Data!$F$10:$F$3209,Data!$E$10:$E$3209,"&gt;="&amp;$A1392,Data!$E$10:$E$3209,"&lt;"&amp;$A1392+1)/$AE1392)))</f>
        <v/>
      </c>
      <c r="E1392" s="56">
        <f>IF($B1392=0,"",IF(Inputs!$B$8="","",IF($AF1392=0,E1391,SUMIFS(Data!$J$10:$J$3209,Data!$I$10:$I$3209,"&gt;="&amp;$A1392,Data!$I$10:$I$3209,"&lt;"&amp;$A1392+1)/$AF1392)))</f>
        <v/>
      </c>
      <c r="F1392" s="56">
        <f>IF($B1392=0,"",IF(Inputs!$B$9="","",IF($AG1392=0,F1391,SUMIFS(Data!$N$10:$N$3209,Data!$M$10:$M$3209,"&gt;="&amp;$A1392,Data!$M$10:$M$3209,"&lt;"&amp;$A1392+1)/$AG1392)))</f>
        <v/>
      </c>
      <c r="G1392" s="56">
        <f>IF($B1392=0,"",IF(Inputs!$B$10="","",IF($AH1392=0,G1391,SUMIFS(Data!$R$10:$R$3209,Data!$Q$10:$Q$3209,"&gt;="&amp;$A1392,Data!$Q$10:$Q$3209,"&lt;"&amp;$A1392+1)/$AH1392)))</f>
        <v/>
      </c>
      <c r="I1392" s="54">
        <f>IF($B1392=0,NA(),IF($C1392="",NA(),IF(C$8="",NA(),IF(N(C$8)=0,NA(),IF(Inputs!$C$17="Rebased to 100",$C1392/C$8*100,$C1392)))))</f>
        <v/>
      </c>
      <c r="J1392" s="54">
        <f>IF($B1392=0,NA(),IF($D1392="",NA(),IF(D$8="",NA(),IF(N(D$8)=0,NA(),IF(Inputs!$C$17="Rebased to 100",$D1392/D$8*100,$D1392)))))</f>
        <v/>
      </c>
      <c r="K1392" s="54">
        <f>IF($B1392=0,NA(),IF($E1392="",NA(),IF(E$8="",NA(),IF(N(E$8)=0,NA(),IF(Inputs!$C$17="Rebased to 100",$E1392/E$8*100,$E1392)))))</f>
        <v/>
      </c>
      <c r="L1392" s="54">
        <f>IF($B1392=0,NA(),IF($F1392="",NA(),IF(F$8="",NA(),IF(N(F$8)=0,NA(),IF(Inputs!$C$17="Rebased to 100",$F1392/F$8*100,$F1392)))))</f>
        <v/>
      </c>
      <c r="M1392" s="54">
        <f>IF($B1392=0,NA(),IF($G1392="",NA(),IF(G$8="",NA(),IF(N(G$8)=0,NA(),IF(Inputs!$C$17="Rebased to 100",$G1392/G$8*100,$G1392)))))</f>
        <v/>
      </c>
      <c r="N1392" s="54">
        <f>IF($B1392=0,NA(),IF(Inputs!$C$18&lt;&gt;"Yes",NA(),IF(COUNT(I1392,J1392,K1392,L1392,M1392)=0,NA(),MIN(I1392,J1392,K1392,L1392,M1392))))</f>
        <v/>
      </c>
      <c r="O1392" s="54">
        <f>IF($B1392=0,NA(),IF(Inputs!$B$24&lt;&gt;"Yes",NA(),Inputs!$D$24*Inputs!$C$35))</f>
        <v/>
      </c>
      <c r="P1392" s="54">
        <f>IF($B1392=0,NA(),IF(Inputs!$B$25&lt;&gt;"Yes",NA(),Inputs!$D$25*Inputs!$C$35))</f>
        <v/>
      </c>
      <c r="Q1392" s="54">
        <f>IF($B1392=0,NA(),IF(Inputs!$B$26&lt;&gt;"Yes",NA(),Inputs!$D$26*Inputs!$C$35))</f>
        <v/>
      </c>
      <c r="R1392" s="54">
        <f>IF($B1392=0,NA(),IF(Inputs!$B$27&lt;&gt;"Yes",NA(),Inputs!$D$27*Inputs!$C$35))</f>
        <v/>
      </c>
      <c r="S1392" s="54">
        <f>IF($B1392=0,NA(),IF(Inputs!$B$28&lt;&gt;"Yes",NA(),Inputs!$D$28*Inputs!$C$35))</f>
        <v/>
      </c>
      <c r="T1392" s="54">
        <f>IF($B1392=0,NA(),IF(Inputs!$B$29&lt;&gt;"Yes",NA(),Inputs!$D$29*Inputs!$C$35))</f>
        <v/>
      </c>
      <c r="AD1392">
        <f>IF($B1392=0,0,IF(Inputs!$B$6="",0,COUNTIFS(Data!$A$10:$A$3209,"&gt;="&amp;$A1392,Data!$A$10:$A$3209,"&lt;"&amp;$A1392+1)))</f>
        <v/>
      </c>
      <c r="AE1392">
        <f>IF($B1392=0,0,IF(Inputs!$B$7="",0,COUNTIFS(Data!$E$10:$E$3209,"&gt;="&amp;$A1392,Data!$E$10:$E$3209,"&lt;"&amp;$A1392+1)))</f>
        <v/>
      </c>
      <c r="AF1392">
        <f>IF($B1392=0,0,IF(Inputs!$B$8="",0,COUNTIFS(Data!$I$10:$I$3209,"&gt;="&amp;$A1392,Data!$I$10:$I$3209,"&lt;"&amp;$A1392+1)))</f>
        <v/>
      </c>
      <c r="AG1392">
        <f>IF($B1392=0,0,IF(Inputs!$B$9="",0,COUNTIFS(Data!$M$10:$M$3209,"&gt;="&amp;$A1392,Data!$M$10:$M$3209,"&lt;"&amp;$A1392+1)))</f>
        <v/>
      </c>
      <c r="AH1392">
        <f>IF($B1392=0,0,IF(Inputs!$B$10="",0,COUNTIFS(Data!$Q$10:$Q$3209,"&gt;="&amp;$A1392,Data!$Q$10:$Q$3209,"&lt;"&amp;$A1392+1)))</f>
        <v/>
      </c>
    </row>
    <row r="1393">
      <c r="A1393" s="55">
        <f>MIN(Inputs!$C$15,$A1392+IF(WEEKDAY($A1392,2)=5,3,1))</f>
        <v/>
      </c>
      <c r="B1393">
        <f>IF($A1393&gt;$A1392,1,0)</f>
        <v/>
      </c>
      <c r="C1393" s="56">
        <f>IF($B1393=0,"",IF(Inputs!$B$6="","",IF($AD1393=0,C1392,SUMIFS(Data!$B$10:$B$3209,Data!$A$10:$A$3209,"&gt;="&amp;$A1393,Data!$A$10:$A$3209,"&lt;"&amp;$A1393+1)/$AD1393)))</f>
        <v/>
      </c>
      <c r="D1393" s="56">
        <f>IF($B1393=0,"",IF(Inputs!$B$7="","",IF($AE1393=0,D1392,SUMIFS(Data!$F$10:$F$3209,Data!$E$10:$E$3209,"&gt;="&amp;$A1393,Data!$E$10:$E$3209,"&lt;"&amp;$A1393+1)/$AE1393)))</f>
        <v/>
      </c>
      <c r="E1393" s="56">
        <f>IF($B1393=0,"",IF(Inputs!$B$8="","",IF($AF1393=0,E1392,SUMIFS(Data!$J$10:$J$3209,Data!$I$10:$I$3209,"&gt;="&amp;$A1393,Data!$I$10:$I$3209,"&lt;"&amp;$A1393+1)/$AF1393)))</f>
        <v/>
      </c>
      <c r="F1393" s="56">
        <f>IF($B1393=0,"",IF(Inputs!$B$9="","",IF($AG1393=0,F1392,SUMIFS(Data!$N$10:$N$3209,Data!$M$10:$M$3209,"&gt;="&amp;$A1393,Data!$M$10:$M$3209,"&lt;"&amp;$A1393+1)/$AG1393)))</f>
        <v/>
      </c>
      <c r="G1393" s="56">
        <f>IF($B1393=0,"",IF(Inputs!$B$10="","",IF($AH1393=0,G1392,SUMIFS(Data!$R$10:$R$3209,Data!$Q$10:$Q$3209,"&gt;="&amp;$A1393,Data!$Q$10:$Q$3209,"&lt;"&amp;$A1393+1)/$AH1393)))</f>
        <v/>
      </c>
      <c r="I1393" s="54">
        <f>IF($B1393=0,NA(),IF($C1393="",NA(),IF(C$8="",NA(),IF(N(C$8)=0,NA(),IF(Inputs!$C$17="Rebased to 100",$C1393/C$8*100,$C1393)))))</f>
        <v/>
      </c>
      <c r="J1393" s="54">
        <f>IF($B1393=0,NA(),IF($D1393="",NA(),IF(D$8="",NA(),IF(N(D$8)=0,NA(),IF(Inputs!$C$17="Rebased to 100",$D1393/D$8*100,$D1393)))))</f>
        <v/>
      </c>
      <c r="K1393" s="54">
        <f>IF($B1393=0,NA(),IF($E1393="",NA(),IF(E$8="",NA(),IF(N(E$8)=0,NA(),IF(Inputs!$C$17="Rebased to 100",$E1393/E$8*100,$E1393)))))</f>
        <v/>
      </c>
      <c r="L1393" s="54">
        <f>IF($B1393=0,NA(),IF($F1393="",NA(),IF(F$8="",NA(),IF(N(F$8)=0,NA(),IF(Inputs!$C$17="Rebased to 100",$F1393/F$8*100,$F1393)))))</f>
        <v/>
      </c>
      <c r="M1393" s="54">
        <f>IF($B1393=0,NA(),IF($G1393="",NA(),IF(G$8="",NA(),IF(N(G$8)=0,NA(),IF(Inputs!$C$17="Rebased to 100",$G1393/G$8*100,$G1393)))))</f>
        <v/>
      </c>
      <c r="N1393" s="54">
        <f>IF($B1393=0,NA(),IF(Inputs!$C$18&lt;&gt;"Yes",NA(),IF(COUNT(I1393,J1393,K1393,L1393,M1393)=0,NA(),MIN(I1393,J1393,K1393,L1393,M1393))))</f>
        <v/>
      </c>
      <c r="O1393" s="54">
        <f>IF($B1393=0,NA(),IF(Inputs!$B$24&lt;&gt;"Yes",NA(),Inputs!$D$24*Inputs!$C$35))</f>
        <v/>
      </c>
      <c r="P1393" s="54">
        <f>IF($B1393=0,NA(),IF(Inputs!$B$25&lt;&gt;"Yes",NA(),Inputs!$D$25*Inputs!$C$35))</f>
        <v/>
      </c>
      <c r="Q1393" s="54">
        <f>IF($B1393=0,NA(),IF(Inputs!$B$26&lt;&gt;"Yes",NA(),Inputs!$D$26*Inputs!$C$35))</f>
        <v/>
      </c>
      <c r="R1393" s="54">
        <f>IF($B1393=0,NA(),IF(Inputs!$B$27&lt;&gt;"Yes",NA(),Inputs!$D$27*Inputs!$C$35))</f>
        <v/>
      </c>
      <c r="S1393" s="54">
        <f>IF($B1393=0,NA(),IF(Inputs!$B$28&lt;&gt;"Yes",NA(),Inputs!$D$28*Inputs!$C$35))</f>
        <v/>
      </c>
      <c r="T1393" s="54">
        <f>IF($B1393=0,NA(),IF(Inputs!$B$29&lt;&gt;"Yes",NA(),Inputs!$D$29*Inputs!$C$35))</f>
        <v/>
      </c>
      <c r="AD1393">
        <f>IF($B1393=0,0,IF(Inputs!$B$6="",0,COUNTIFS(Data!$A$10:$A$3209,"&gt;="&amp;$A1393,Data!$A$10:$A$3209,"&lt;"&amp;$A1393+1)))</f>
        <v/>
      </c>
      <c r="AE1393">
        <f>IF($B1393=0,0,IF(Inputs!$B$7="",0,COUNTIFS(Data!$E$10:$E$3209,"&gt;="&amp;$A1393,Data!$E$10:$E$3209,"&lt;"&amp;$A1393+1)))</f>
        <v/>
      </c>
      <c r="AF1393">
        <f>IF($B1393=0,0,IF(Inputs!$B$8="",0,COUNTIFS(Data!$I$10:$I$3209,"&gt;="&amp;$A1393,Data!$I$10:$I$3209,"&lt;"&amp;$A1393+1)))</f>
        <v/>
      </c>
      <c r="AG1393">
        <f>IF($B1393=0,0,IF(Inputs!$B$9="",0,COUNTIFS(Data!$M$10:$M$3209,"&gt;="&amp;$A1393,Data!$M$10:$M$3209,"&lt;"&amp;$A1393+1)))</f>
        <v/>
      </c>
      <c r="AH1393">
        <f>IF($B1393=0,0,IF(Inputs!$B$10="",0,COUNTIFS(Data!$Q$10:$Q$3209,"&gt;="&amp;$A1393,Data!$Q$10:$Q$3209,"&lt;"&amp;$A1393+1)))</f>
        <v/>
      </c>
    </row>
    <row r="1394">
      <c r="A1394" s="55">
        <f>MIN(Inputs!$C$15,$A1393+IF(WEEKDAY($A1393,2)=5,3,1))</f>
        <v/>
      </c>
      <c r="B1394">
        <f>IF($A1394&gt;$A1393,1,0)</f>
        <v/>
      </c>
      <c r="C1394" s="56">
        <f>IF($B1394=0,"",IF(Inputs!$B$6="","",IF($AD1394=0,C1393,SUMIFS(Data!$B$10:$B$3209,Data!$A$10:$A$3209,"&gt;="&amp;$A1394,Data!$A$10:$A$3209,"&lt;"&amp;$A1394+1)/$AD1394)))</f>
        <v/>
      </c>
      <c r="D1394" s="56">
        <f>IF($B1394=0,"",IF(Inputs!$B$7="","",IF($AE1394=0,D1393,SUMIFS(Data!$F$10:$F$3209,Data!$E$10:$E$3209,"&gt;="&amp;$A1394,Data!$E$10:$E$3209,"&lt;"&amp;$A1394+1)/$AE1394)))</f>
        <v/>
      </c>
      <c r="E1394" s="56">
        <f>IF($B1394=0,"",IF(Inputs!$B$8="","",IF($AF1394=0,E1393,SUMIFS(Data!$J$10:$J$3209,Data!$I$10:$I$3209,"&gt;="&amp;$A1394,Data!$I$10:$I$3209,"&lt;"&amp;$A1394+1)/$AF1394)))</f>
        <v/>
      </c>
      <c r="F1394" s="56">
        <f>IF($B1394=0,"",IF(Inputs!$B$9="","",IF($AG1394=0,F1393,SUMIFS(Data!$N$10:$N$3209,Data!$M$10:$M$3209,"&gt;="&amp;$A1394,Data!$M$10:$M$3209,"&lt;"&amp;$A1394+1)/$AG1394)))</f>
        <v/>
      </c>
      <c r="G1394" s="56">
        <f>IF($B1394=0,"",IF(Inputs!$B$10="","",IF($AH1394=0,G1393,SUMIFS(Data!$R$10:$R$3209,Data!$Q$10:$Q$3209,"&gt;="&amp;$A1394,Data!$Q$10:$Q$3209,"&lt;"&amp;$A1394+1)/$AH1394)))</f>
        <v/>
      </c>
      <c r="I1394" s="54">
        <f>IF($B1394=0,NA(),IF($C1394="",NA(),IF(C$8="",NA(),IF(N(C$8)=0,NA(),IF(Inputs!$C$17="Rebased to 100",$C1394/C$8*100,$C1394)))))</f>
        <v/>
      </c>
      <c r="J1394" s="54">
        <f>IF($B1394=0,NA(),IF($D1394="",NA(),IF(D$8="",NA(),IF(N(D$8)=0,NA(),IF(Inputs!$C$17="Rebased to 100",$D1394/D$8*100,$D1394)))))</f>
        <v/>
      </c>
      <c r="K1394" s="54">
        <f>IF($B1394=0,NA(),IF($E1394="",NA(),IF(E$8="",NA(),IF(N(E$8)=0,NA(),IF(Inputs!$C$17="Rebased to 100",$E1394/E$8*100,$E1394)))))</f>
        <v/>
      </c>
      <c r="L1394" s="54">
        <f>IF($B1394=0,NA(),IF($F1394="",NA(),IF(F$8="",NA(),IF(N(F$8)=0,NA(),IF(Inputs!$C$17="Rebased to 100",$F1394/F$8*100,$F1394)))))</f>
        <v/>
      </c>
      <c r="M1394" s="54">
        <f>IF($B1394=0,NA(),IF($G1394="",NA(),IF(G$8="",NA(),IF(N(G$8)=0,NA(),IF(Inputs!$C$17="Rebased to 100",$G1394/G$8*100,$G1394)))))</f>
        <v/>
      </c>
      <c r="N1394" s="54">
        <f>IF($B1394=0,NA(),IF(Inputs!$C$18&lt;&gt;"Yes",NA(),IF(COUNT(I1394,J1394,K1394,L1394,M1394)=0,NA(),MIN(I1394,J1394,K1394,L1394,M1394))))</f>
        <v/>
      </c>
      <c r="O1394" s="54">
        <f>IF($B1394=0,NA(),IF(Inputs!$B$24&lt;&gt;"Yes",NA(),Inputs!$D$24*Inputs!$C$35))</f>
        <v/>
      </c>
      <c r="P1394" s="54">
        <f>IF($B1394=0,NA(),IF(Inputs!$B$25&lt;&gt;"Yes",NA(),Inputs!$D$25*Inputs!$C$35))</f>
        <v/>
      </c>
      <c r="Q1394" s="54">
        <f>IF($B1394=0,NA(),IF(Inputs!$B$26&lt;&gt;"Yes",NA(),Inputs!$D$26*Inputs!$C$35))</f>
        <v/>
      </c>
      <c r="R1394" s="54">
        <f>IF($B1394=0,NA(),IF(Inputs!$B$27&lt;&gt;"Yes",NA(),Inputs!$D$27*Inputs!$C$35))</f>
        <v/>
      </c>
      <c r="S1394" s="54">
        <f>IF($B1394=0,NA(),IF(Inputs!$B$28&lt;&gt;"Yes",NA(),Inputs!$D$28*Inputs!$C$35))</f>
        <v/>
      </c>
      <c r="T1394" s="54">
        <f>IF($B1394=0,NA(),IF(Inputs!$B$29&lt;&gt;"Yes",NA(),Inputs!$D$29*Inputs!$C$35))</f>
        <v/>
      </c>
      <c r="AD1394">
        <f>IF($B1394=0,0,IF(Inputs!$B$6="",0,COUNTIFS(Data!$A$10:$A$3209,"&gt;="&amp;$A1394,Data!$A$10:$A$3209,"&lt;"&amp;$A1394+1)))</f>
        <v/>
      </c>
      <c r="AE1394">
        <f>IF($B1394=0,0,IF(Inputs!$B$7="",0,COUNTIFS(Data!$E$10:$E$3209,"&gt;="&amp;$A1394,Data!$E$10:$E$3209,"&lt;"&amp;$A1394+1)))</f>
        <v/>
      </c>
      <c r="AF1394">
        <f>IF($B1394=0,0,IF(Inputs!$B$8="",0,COUNTIFS(Data!$I$10:$I$3209,"&gt;="&amp;$A1394,Data!$I$10:$I$3209,"&lt;"&amp;$A1394+1)))</f>
        <v/>
      </c>
      <c r="AG1394">
        <f>IF($B1394=0,0,IF(Inputs!$B$9="",0,COUNTIFS(Data!$M$10:$M$3209,"&gt;="&amp;$A1394,Data!$M$10:$M$3209,"&lt;"&amp;$A1394+1)))</f>
        <v/>
      </c>
      <c r="AH1394">
        <f>IF($B1394=0,0,IF(Inputs!$B$10="",0,COUNTIFS(Data!$Q$10:$Q$3209,"&gt;="&amp;$A1394,Data!$Q$10:$Q$3209,"&lt;"&amp;$A1394+1)))</f>
        <v/>
      </c>
    </row>
    <row r="1395">
      <c r="A1395" s="55">
        <f>MIN(Inputs!$C$15,$A1394+IF(WEEKDAY($A1394,2)=5,3,1))</f>
        <v/>
      </c>
      <c r="B1395">
        <f>IF($A1395&gt;$A1394,1,0)</f>
        <v/>
      </c>
      <c r="C1395" s="56">
        <f>IF($B1395=0,"",IF(Inputs!$B$6="","",IF($AD1395=0,C1394,SUMIFS(Data!$B$10:$B$3209,Data!$A$10:$A$3209,"&gt;="&amp;$A1395,Data!$A$10:$A$3209,"&lt;"&amp;$A1395+1)/$AD1395)))</f>
        <v/>
      </c>
      <c r="D1395" s="56">
        <f>IF($B1395=0,"",IF(Inputs!$B$7="","",IF($AE1395=0,D1394,SUMIFS(Data!$F$10:$F$3209,Data!$E$10:$E$3209,"&gt;="&amp;$A1395,Data!$E$10:$E$3209,"&lt;"&amp;$A1395+1)/$AE1395)))</f>
        <v/>
      </c>
      <c r="E1395" s="56">
        <f>IF($B1395=0,"",IF(Inputs!$B$8="","",IF($AF1395=0,E1394,SUMIFS(Data!$J$10:$J$3209,Data!$I$10:$I$3209,"&gt;="&amp;$A1395,Data!$I$10:$I$3209,"&lt;"&amp;$A1395+1)/$AF1395)))</f>
        <v/>
      </c>
      <c r="F1395" s="56">
        <f>IF($B1395=0,"",IF(Inputs!$B$9="","",IF($AG1395=0,F1394,SUMIFS(Data!$N$10:$N$3209,Data!$M$10:$M$3209,"&gt;="&amp;$A1395,Data!$M$10:$M$3209,"&lt;"&amp;$A1395+1)/$AG1395)))</f>
        <v/>
      </c>
      <c r="G1395" s="56">
        <f>IF($B1395=0,"",IF(Inputs!$B$10="","",IF($AH1395=0,G1394,SUMIFS(Data!$R$10:$R$3209,Data!$Q$10:$Q$3209,"&gt;="&amp;$A1395,Data!$Q$10:$Q$3209,"&lt;"&amp;$A1395+1)/$AH1395)))</f>
        <v/>
      </c>
      <c r="I1395" s="54">
        <f>IF($B1395=0,NA(),IF($C1395="",NA(),IF(C$8="",NA(),IF(N(C$8)=0,NA(),IF(Inputs!$C$17="Rebased to 100",$C1395/C$8*100,$C1395)))))</f>
        <v/>
      </c>
      <c r="J1395" s="54">
        <f>IF($B1395=0,NA(),IF($D1395="",NA(),IF(D$8="",NA(),IF(N(D$8)=0,NA(),IF(Inputs!$C$17="Rebased to 100",$D1395/D$8*100,$D1395)))))</f>
        <v/>
      </c>
      <c r="K1395" s="54">
        <f>IF($B1395=0,NA(),IF($E1395="",NA(),IF(E$8="",NA(),IF(N(E$8)=0,NA(),IF(Inputs!$C$17="Rebased to 100",$E1395/E$8*100,$E1395)))))</f>
        <v/>
      </c>
      <c r="L1395" s="54">
        <f>IF($B1395=0,NA(),IF($F1395="",NA(),IF(F$8="",NA(),IF(N(F$8)=0,NA(),IF(Inputs!$C$17="Rebased to 100",$F1395/F$8*100,$F1395)))))</f>
        <v/>
      </c>
      <c r="M1395" s="54">
        <f>IF($B1395=0,NA(),IF($G1395="",NA(),IF(G$8="",NA(),IF(N(G$8)=0,NA(),IF(Inputs!$C$17="Rebased to 100",$G1395/G$8*100,$G1395)))))</f>
        <v/>
      </c>
      <c r="N1395" s="54">
        <f>IF($B1395=0,NA(),IF(Inputs!$C$18&lt;&gt;"Yes",NA(),IF(COUNT(I1395,J1395,K1395,L1395,M1395)=0,NA(),MIN(I1395,J1395,K1395,L1395,M1395))))</f>
        <v/>
      </c>
      <c r="O1395" s="54">
        <f>IF($B1395=0,NA(),IF(Inputs!$B$24&lt;&gt;"Yes",NA(),Inputs!$D$24*Inputs!$C$35))</f>
        <v/>
      </c>
      <c r="P1395" s="54">
        <f>IF($B1395=0,NA(),IF(Inputs!$B$25&lt;&gt;"Yes",NA(),Inputs!$D$25*Inputs!$C$35))</f>
        <v/>
      </c>
      <c r="Q1395" s="54">
        <f>IF($B1395=0,NA(),IF(Inputs!$B$26&lt;&gt;"Yes",NA(),Inputs!$D$26*Inputs!$C$35))</f>
        <v/>
      </c>
      <c r="R1395" s="54">
        <f>IF($B1395=0,NA(),IF(Inputs!$B$27&lt;&gt;"Yes",NA(),Inputs!$D$27*Inputs!$C$35))</f>
        <v/>
      </c>
      <c r="S1395" s="54">
        <f>IF($B1395=0,NA(),IF(Inputs!$B$28&lt;&gt;"Yes",NA(),Inputs!$D$28*Inputs!$C$35))</f>
        <v/>
      </c>
      <c r="T1395" s="54">
        <f>IF($B1395=0,NA(),IF(Inputs!$B$29&lt;&gt;"Yes",NA(),Inputs!$D$29*Inputs!$C$35))</f>
        <v/>
      </c>
      <c r="AD1395">
        <f>IF($B1395=0,0,IF(Inputs!$B$6="",0,COUNTIFS(Data!$A$10:$A$3209,"&gt;="&amp;$A1395,Data!$A$10:$A$3209,"&lt;"&amp;$A1395+1)))</f>
        <v/>
      </c>
      <c r="AE1395">
        <f>IF($B1395=0,0,IF(Inputs!$B$7="",0,COUNTIFS(Data!$E$10:$E$3209,"&gt;="&amp;$A1395,Data!$E$10:$E$3209,"&lt;"&amp;$A1395+1)))</f>
        <v/>
      </c>
      <c r="AF1395">
        <f>IF($B1395=0,0,IF(Inputs!$B$8="",0,COUNTIFS(Data!$I$10:$I$3209,"&gt;="&amp;$A1395,Data!$I$10:$I$3209,"&lt;"&amp;$A1395+1)))</f>
        <v/>
      </c>
      <c r="AG1395">
        <f>IF($B1395=0,0,IF(Inputs!$B$9="",0,COUNTIFS(Data!$M$10:$M$3209,"&gt;="&amp;$A1395,Data!$M$10:$M$3209,"&lt;"&amp;$A1395+1)))</f>
        <v/>
      </c>
      <c r="AH1395">
        <f>IF($B1395=0,0,IF(Inputs!$B$10="",0,COUNTIFS(Data!$Q$10:$Q$3209,"&gt;="&amp;$A1395,Data!$Q$10:$Q$3209,"&lt;"&amp;$A1395+1)))</f>
        <v/>
      </c>
    </row>
    <row r="1396">
      <c r="A1396" s="55">
        <f>MIN(Inputs!$C$15,$A1395+IF(WEEKDAY($A1395,2)=5,3,1))</f>
        <v/>
      </c>
      <c r="B1396">
        <f>IF($A1396&gt;$A1395,1,0)</f>
        <v/>
      </c>
      <c r="C1396" s="56">
        <f>IF($B1396=0,"",IF(Inputs!$B$6="","",IF($AD1396=0,C1395,SUMIFS(Data!$B$10:$B$3209,Data!$A$10:$A$3209,"&gt;="&amp;$A1396,Data!$A$10:$A$3209,"&lt;"&amp;$A1396+1)/$AD1396)))</f>
        <v/>
      </c>
      <c r="D1396" s="56">
        <f>IF($B1396=0,"",IF(Inputs!$B$7="","",IF($AE1396=0,D1395,SUMIFS(Data!$F$10:$F$3209,Data!$E$10:$E$3209,"&gt;="&amp;$A1396,Data!$E$10:$E$3209,"&lt;"&amp;$A1396+1)/$AE1396)))</f>
        <v/>
      </c>
      <c r="E1396" s="56">
        <f>IF($B1396=0,"",IF(Inputs!$B$8="","",IF($AF1396=0,E1395,SUMIFS(Data!$J$10:$J$3209,Data!$I$10:$I$3209,"&gt;="&amp;$A1396,Data!$I$10:$I$3209,"&lt;"&amp;$A1396+1)/$AF1396)))</f>
        <v/>
      </c>
      <c r="F1396" s="56">
        <f>IF($B1396=0,"",IF(Inputs!$B$9="","",IF($AG1396=0,F1395,SUMIFS(Data!$N$10:$N$3209,Data!$M$10:$M$3209,"&gt;="&amp;$A1396,Data!$M$10:$M$3209,"&lt;"&amp;$A1396+1)/$AG1396)))</f>
        <v/>
      </c>
      <c r="G1396" s="56">
        <f>IF($B1396=0,"",IF(Inputs!$B$10="","",IF($AH1396=0,G1395,SUMIFS(Data!$R$10:$R$3209,Data!$Q$10:$Q$3209,"&gt;="&amp;$A1396,Data!$Q$10:$Q$3209,"&lt;"&amp;$A1396+1)/$AH1396)))</f>
        <v/>
      </c>
      <c r="I1396" s="54">
        <f>IF($B1396=0,NA(),IF($C1396="",NA(),IF(C$8="",NA(),IF(N(C$8)=0,NA(),IF(Inputs!$C$17="Rebased to 100",$C1396/C$8*100,$C1396)))))</f>
        <v/>
      </c>
      <c r="J1396" s="54">
        <f>IF($B1396=0,NA(),IF($D1396="",NA(),IF(D$8="",NA(),IF(N(D$8)=0,NA(),IF(Inputs!$C$17="Rebased to 100",$D1396/D$8*100,$D1396)))))</f>
        <v/>
      </c>
      <c r="K1396" s="54">
        <f>IF($B1396=0,NA(),IF($E1396="",NA(),IF(E$8="",NA(),IF(N(E$8)=0,NA(),IF(Inputs!$C$17="Rebased to 100",$E1396/E$8*100,$E1396)))))</f>
        <v/>
      </c>
      <c r="L1396" s="54">
        <f>IF($B1396=0,NA(),IF($F1396="",NA(),IF(F$8="",NA(),IF(N(F$8)=0,NA(),IF(Inputs!$C$17="Rebased to 100",$F1396/F$8*100,$F1396)))))</f>
        <v/>
      </c>
      <c r="M1396" s="54">
        <f>IF($B1396=0,NA(),IF($G1396="",NA(),IF(G$8="",NA(),IF(N(G$8)=0,NA(),IF(Inputs!$C$17="Rebased to 100",$G1396/G$8*100,$G1396)))))</f>
        <v/>
      </c>
      <c r="N1396" s="54">
        <f>IF($B1396=0,NA(),IF(Inputs!$C$18&lt;&gt;"Yes",NA(),IF(COUNT(I1396,J1396,K1396,L1396,M1396)=0,NA(),MIN(I1396,J1396,K1396,L1396,M1396))))</f>
        <v/>
      </c>
      <c r="O1396" s="54">
        <f>IF($B1396=0,NA(),IF(Inputs!$B$24&lt;&gt;"Yes",NA(),Inputs!$D$24*Inputs!$C$35))</f>
        <v/>
      </c>
      <c r="P1396" s="54">
        <f>IF($B1396=0,NA(),IF(Inputs!$B$25&lt;&gt;"Yes",NA(),Inputs!$D$25*Inputs!$C$35))</f>
        <v/>
      </c>
      <c r="Q1396" s="54">
        <f>IF($B1396=0,NA(),IF(Inputs!$B$26&lt;&gt;"Yes",NA(),Inputs!$D$26*Inputs!$C$35))</f>
        <v/>
      </c>
      <c r="R1396" s="54">
        <f>IF($B1396=0,NA(),IF(Inputs!$B$27&lt;&gt;"Yes",NA(),Inputs!$D$27*Inputs!$C$35))</f>
        <v/>
      </c>
      <c r="S1396" s="54">
        <f>IF($B1396=0,NA(),IF(Inputs!$B$28&lt;&gt;"Yes",NA(),Inputs!$D$28*Inputs!$C$35))</f>
        <v/>
      </c>
      <c r="T1396" s="54">
        <f>IF($B1396=0,NA(),IF(Inputs!$B$29&lt;&gt;"Yes",NA(),Inputs!$D$29*Inputs!$C$35))</f>
        <v/>
      </c>
      <c r="AD1396">
        <f>IF($B1396=0,0,IF(Inputs!$B$6="",0,COUNTIFS(Data!$A$10:$A$3209,"&gt;="&amp;$A1396,Data!$A$10:$A$3209,"&lt;"&amp;$A1396+1)))</f>
        <v/>
      </c>
      <c r="AE1396">
        <f>IF($B1396=0,0,IF(Inputs!$B$7="",0,COUNTIFS(Data!$E$10:$E$3209,"&gt;="&amp;$A1396,Data!$E$10:$E$3209,"&lt;"&amp;$A1396+1)))</f>
        <v/>
      </c>
      <c r="AF1396">
        <f>IF($B1396=0,0,IF(Inputs!$B$8="",0,COUNTIFS(Data!$I$10:$I$3209,"&gt;="&amp;$A1396,Data!$I$10:$I$3209,"&lt;"&amp;$A1396+1)))</f>
        <v/>
      </c>
      <c r="AG1396">
        <f>IF($B1396=0,0,IF(Inputs!$B$9="",0,COUNTIFS(Data!$M$10:$M$3209,"&gt;="&amp;$A1396,Data!$M$10:$M$3209,"&lt;"&amp;$A1396+1)))</f>
        <v/>
      </c>
      <c r="AH1396">
        <f>IF($B1396=0,0,IF(Inputs!$B$10="",0,COUNTIFS(Data!$Q$10:$Q$3209,"&gt;="&amp;$A1396,Data!$Q$10:$Q$3209,"&lt;"&amp;$A1396+1)))</f>
        <v/>
      </c>
    </row>
    <row r="1397">
      <c r="A1397" s="55">
        <f>MIN(Inputs!$C$15,$A1396+IF(WEEKDAY($A1396,2)=5,3,1))</f>
        <v/>
      </c>
      <c r="B1397">
        <f>IF($A1397&gt;$A1396,1,0)</f>
        <v/>
      </c>
      <c r="C1397" s="56">
        <f>IF($B1397=0,"",IF(Inputs!$B$6="","",IF($AD1397=0,C1396,SUMIFS(Data!$B$10:$B$3209,Data!$A$10:$A$3209,"&gt;="&amp;$A1397,Data!$A$10:$A$3209,"&lt;"&amp;$A1397+1)/$AD1397)))</f>
        <v/>
      </c>
      <c r="D1397" s="56">
        <f>IF($B1397=0,"",IF(Inputs!$B$7="","",IF($AE1397=0,D1396,SUMIFS(Data!$F$10:$F$3209,Data!$E$10:$E$3209,"&gt;="&amp;$A1397,Data!$E$10:$E$3209,"&lt;"&amp;$A1397+1)/$AE1397)))</f>
        <v/>
      </c>
      <c r="E1397" s="56">
        <f>IF($B1397=0,"",IF(Inputs!$B$8="","",IF($AF1397=0,E1396,SUMIFS(Data!$J$10:$J$3209,Data!$I$10:$I$3209,"&gt;="&amp;$A1397,Data!$I$10:$I$3209,"&lt;"&amp;$A1397+1)/$AF1397)))</f>
        <v/>
      </c>
      <c r="F1397" s="56">
        <f>IF($B1397=0,"",IF(Inputs!$B$9="","",IF($AG1397=0,F1396,SUMIFS(Data!$N$10:$N$3209,Data!$M$10:$M$3209,"&gt;="&amp;$A1397,Data!$M$10:$M$3209,"&lt;"&amp;$A1397+1)/$AG1397)))</f>
        <v/>
      </c>
      <c r="G1397" s="56">
        <f>IF($B1397=0,"",IF(Inputs!$B$10="","",IF($AH1397=0,G1396,SUMIFS(Data!$R$10:$R$3209,Data!$Q$10:$Q$3209,"&gt;="&amp;$A1397,Data!$Q$10:$Q$3209,"&lt;"&amp;$A1397+1)/$AH1397)))</f>
        <v/>
      </c>
      <c r="I1397" s="54">
        <f>IF($B1397=0,NA(),IF($C1397="",NA(),IF(C$8="",NA(),IF(N(C$8)=0,NA(),IF(Inputs!$C$17="Rebased to 100",$C1397/C$8*100,$C1397)))))</f>
        <v/>
      </c>
      <c r="J1397" s="54">
        <f>IF($B1397=0,NA(),IF($D1397="",NA(),IF(D$8="",NA(),IF(N(D$8)=0,NA(),IF(Inputs!$C$17="Rebased to 100",$D1397/D$8*100,$D1397)))))</f>
        <v/>
      </c>
      <c r="K1397" s="54">
        <f>IF($B1397=0,NA(),IF($E1397="",NA(),IF(E$8="",NA(),IF(N(E$8)=0,NA(),IF(Inputs!$C$17="Rebased to 100",$E1397/E$8*100,$E1397)))))</f>
        <v/>
      </c>
      <c r="L1397" s="54">
        <f>IF($B1397=0,NA(),IF($F1397="",NA(),IF(F$8="",NA(),IF(N(F$8)=0,NA(),IF(Inputs!$C$17="Rebased to 100",$F1397/F$8*100,$F1397)))))</f>
        <v/>
      </c>
      <c r="M1397" s="54">
        <f>IF($B1397=0,NA(),IF($G1397="",NA(),IF(G$8="",NA(),IF(N(G$8)=0,NA(),IF(Inputs!$C$17="Rebased to 100",$G1397/G$8*100,$G1397)))))</f>
        <v/>
      </c>
      <c r="N1397" s="54">
        <f>IF($B1397=0,NA(),IF(Inputs!$C$18&lt;&gt;"Yes",NA(),IF(COUNT(I1397,J1397,K1397,L1397,M1397)=0,NA(),MIN(I1397,J1397,K1397,L1397,M1397))))</f>
        <v/>
      </c>
      <c r="O1397" s="54">
        <f>IF($B1397=0,NA(),IF(Inputs!$B$24&lt;&gt;"Yes",NA(),Inputs!$D$24*Inputs!$C$35))</f>
        <v/>
      </c>
      <c r="P1397" s="54">
        <f>IF($B1397=0,NA(),IF(Inputs!$B$25&lt;&gt;"Yes",NA(),Inputs!$D$25*Inputs!$C$35))</f>
        <v/>
      </c>
      <c r="Q1397" s="54">
        <f>IF($B1397=0,NA(),IF(Inputs!$B$26&lt;&gt;"Yes",NA(),Inputs!$D$26*Inputs!$C$35))</f>
        <v/>
      </c>
      <c r="R1397" s="54">
        <f>IF($B1397=0,NA(),IF(Inputs!$B$27&lt;&gt;"Yes",NA(),Inputs!$D$27*Inputs!$C$35))</f>
        <v/>
      </c>
      <c r="S1397" s="54">
        <f>IF($B1397=0,NA(),IF(Inputs!$B$28&lt;&gt;"Yes",NA(),Inputs!$D$28*Inputs!$C$35))</f>
        <v/>
      </c>
      <c r="T1397" s="54">
        <f>IF($B1397=0,NA(),IF(Inputs!$B$29&lt;&gt;"Yes",NA(),Inputs!$D$29*Inputs!$C$35))</f>
        <v/>
      </c>
      <c r="AD1397">
        <f>IF($B1397=0,0,IF(Inputs!$B$6="",0,COUNTIFS(Data!$A$10:$A$3209,"&gt;="&amp;$A1397,Data!$A$10:$A$3209,"&lt;"&amp;$A1397+1)))</f>
        <v/>
      </c>
      <c r="AE1397">
        <f>IF($B1397=0,0,IF(Inputs!$B$7="",0,COUNTIFS(Data!$E$10:$E$3209,"&gt;="&amp;$A1397,Data!$E$10:$E$3209,"&lt;"&amp;$A1397+1)))</f>
        <v/>
      </c>
      <c r="AF1397">
        <f>IF($B1397=0,0,IF(Inputs!$B$8="",0,COUNTIFS(Data!$I$10:$I$3209,"&gt;="&amp;$A1397,Data!$I$10:$I$3209,"&lt;"&amp;$A1397+1)))</f>
        <v/>
      </c>
      <c r="AG1397">
        <f>IF($B1397=0,0,IF(Inputs!$B$9="",0,COUNTIFS(Data!$M$10:$M$3209,"&gt;="&amp;$A1397,Data!$M$10:$M$3209,"&lt;"&amp;$A1397+1)))</f>
        <v/>
      </c>
      <c r="AH1397">
        <f>IF($B1397=0,0,IF(Inputs!$B$10="",0,COUNTIFS(Data!$Q$10:$Q$3209,"&gt;="&amp;$A1397,Data!$Q$10:$Q$3209,"&lt;"&amp;$A1397+1)))</f>
        <v/>
      </c>
    </row>
    <row r="1398">
      <c r="A1398" s="55">
        <f>MIN(Inputs!$C$15,$A1397+IF(WEEKDAY($A1397,2)=5,3,1))</f>
        <v/>
      </c>
      <c r="B1398">
        <f>IF($A1398&gt;$A1397,1,0)</f>
        <v/>
      </c>
      <c r="C1398" s="56">
        <f>IF($B1398=0,"",IF(Inputs!$B$6="","",IF($AD1398=0,C1397,SUMIFS(Data!$B$10:$B$3209,Data!$A$10:$A$3209,"&gt;="&amp;$A1398,Data!$A$10:$A$3209,"&lt;"&amp;$A1398+1)/$AD1398)))</f>
        <v/>
      </c>
      <c r="D1398" s="56">
        <f>IF($B1398=0,"",IF(Inputs!$B$7="","",IF($AE1398=0,D1397,SUMIFS(Data!$F$10:$F$3209,Data!$E$10:$E$3209,"&gt;="&amp;$A1398,Data!$E$10:$E$3209,"&lt;"&amp;$A1398+1)/$AE1398)))</f>
        <v/>
      </c>
      <c r="E1398" s="56">
        <f>IF($B1398=0,"",IF(Inputs!$B$8="","",IF($AF1398=0,E1397,SUMIFS(Data!$J$10:$J$3209,Data!$I$10:$I$3209,"&gt;="&amp;$A1398,Data!$I$10:$I$3209,"&lt;"&amp;$A1398+1)/$AF1398)))</f>
        <v/>
      </c>
      <c r="F1398" s="56">
        <f>IF($B1398=0,"",IF(Inputs!$B$9="","",IF($AG1398=0,F1397,SUMIFS(Data!$N$10:$N$3209,Data!$M$10:$M$3209,"&gt;="&amp;$A1398,Data!$M$10:$M$3209,"&lt;"&amp;$A1398+1)/$AG1398)))</f>
        <v/>
      </c>
      <c r="G1398" s="56">
        <f>IF($B1398=0,"",IF(Inputs!$B$10="","",IF($AH1398=0,G1397,SUMIFS(Data!$R$10:$R$3209,Data!$Q$10:$Q$3209,"&gt;="&amp;$A1398,Data!$Q$10:$Q$3209,"&lt;"&amp;$A1398+1)/$AH1398)))</f>
        <v/>
      </c>
      <c r="I1398" s="54">
        <f>IF($B1398=0,NA(),IF($C1398="",NA(),IF(C$8="",NA(),IF(N(C$8)=0,NA(),IF(Inputs!$C$17="Rebased to 100",$C1398/C$8*100,$C1398)))))</f>
        <v/>
      </c>
      <c r="J1398" s="54">
        <f>IF($B1398=0,NA(),IF($D1398="",NA(),IF(D$8="",NA(),IF(N(D$8)=0,NA(),IF(Inputs!$C$17="Rebased to 100",$D1398/D$8*100,$D1398)))))</f>
        <v/>
      </c>
      <c r="K1398" s="54">
        <f>IF($B1398=0,NA(),IF($E1398="",NA(),IF(E$8="",NA(),IF(N(E$8)=0,NA(),IF(Inputs!$C$17="Rebased to 100",$E1398/E$8*100,$E1398)))))</f>
        <v/>
      </c>
      <c r="L1398" s="54">
        <f>IF($B1398=0,NA(),IF($F1398="",NA(),IF(F$8="",NA(),IF(N(F$8)=0,NA(),IF(Inputs!$C$17="Rebased to 100",$F1398/F$8*100,$F1398)))))</f>
        <v/>
      </c>
      <c r="M1398" s="54">
        <f>IF($B1398=0,NA(),IF($G1398="",NA(),IF(G$8="",NA(),IF(N(G$8)=0,NA(),IF(Inputs!$C$17="Rebased to 100",$G1398/G$8*100,$G1398)))))</f>
        <v/>
      </c>
      <c r="N1398" s="54">
        <f>IF($B1398=0,NA(),IF(Inputs!$C$18&lt;&gt;"Yes",NA(),IF(COUNT(I1398,J1398,K1398,L1398,M1398)=0,NA(),MIN(I1398,J1398,K1398,L1398,M1398))))</f>
        <v/>
      </c>
      <c r="O1398" s="54">
        <f>IF($B1398=0,NA(),IF(Inputs!$B$24&lt;&gt;"Yes",NA(),Inputs!$D$24*Inputs!$C$35))</f>
        <v/>
      </c>
      <c r="P1398" s="54">
        <f>IF($B1398=0,NA(),IF(Inputs!$B$25&lt;&gt;"Yes",NA(),Inputs!$D$25*Inputs!$C$35))</f>
        <v/>
      </c>
      <c r="Q1398" s="54">
        <f>IF($B1398=0,NA(),IF(Inputs!$B$26&lt;&gt;"Yes",NA(),Inputs!$D$26*Inputs!$C$35))</f>
        <v/>
      </c>
      <c r="R1398" s="54">
        <f>IF($B1398=0,NA(),IF(Inputs!$B$27&lt;&gt;"Yes",NA(),Inputs!$D$27*Inputs!$C$35))</f>
        <v/>
      </c>
      <c r="S1398" s="54">
        <f>IF($B1398=0,NA(),IF(Inputs!$B$28&lt;&gt;"Yes",NA(),Inputs!$D$28*Inputs!$C$35))</f>
        <v/>
      </c>
      <c r="T1398" s="54">
        <f>IF($B1398=0,NA(),IF(Inputs!$B$29&lt;&gt;"Yes",NA(),Inputs!$D$29*Inputs!$C$35))</f>
        <v/>
      </c>
      <c r="AD1398">
        <f>IF($B1398=0,0,IF(Inputs!$B$6="",0,COUNTIFS(Data!$A$10:$A$3209,"&gt;="&amp;$A1398,Data!$A$10:$A$3209,"&lt;"&amp;$A1398+1)))</f>
        <v/>
      </c>
      <c r="AE1398">
        <f>IF($B1398=0,0,IF(Inputs!$B$7="",0,COUNTIFS(Data!$E$10:$E$3209,"&gt;="&amp;$A1398,Data!$E$10:$E$3209,"&lt;"&amp;$A1398+1)))</f>
        <v/>
      </c>
      <c r="AF1398">
        <f>IF($B1398=0,0,IF(Inputs!$B$8="",0,COUNTIFS(Data!$I$10:$I$3209,"&gt;="&amp;$A1398,Data!$I$10:$I$3209,"&lt;"&amp;$A1398+1)))</f>
        <v/>
      </c>
      <c r="AG1398">
        <f>IF($B1398=0,0,IF(Inputs!$B$9="",0,COUNTIFS(Data!$M$10:$M$3209,"&gt;="&amp;$A1398,Data!$M$10:$M$3209,"&lt;"&amp;$A1398+1)))</f>
        <v/>
      </c>
      <c r="AH1398">
        <f>IF($B1398=0,0,IF(Inputs!$B$10="",0,COUNTIFS(Data!$Q$10:$Q$3209,"&gt;="&amp;$A1398,Data!$Q$10:$Q$3209,"&lt;"&amp;$A1398+1)))</f>
        <v/>
      </c>
    </row>
    <row r="1399">
      <c r="A1399" s="55">
        <f>MIN(Inputs!$C$15,$A1398+IF(WEEKDAY($A1398,2)=5,3,1))</f>
        <v/>
      </c>
      <c r="B1399">
        <f>IF($A1399&gt;$A1398,1,0)</f>
        <v/>
      </c>
      <c r="C1399" s="56">
        <f>IF($B1399=0,"",IF(Inputs!$B$6="","",IF($AD1399=0,C1398,SUMIFS(Data!$B$10:$B$3209,Data!$A$10:$A$3209,"&gt;="&amp;$A1399,Data!$A$10:$A$3209,"&lt;"&amp;$A1399+1)/$AD1399)))</f>
        <v/>
      </c>
      <c r="D1399" s="56">
        <f>IF($B1399=0,"",IF(Inputs!$B$7="","",IF($AE1399=0,D1398,SUMIFS(Data!$F$10:$F$3209,Data!$E$10:$E$3209,"&gt;="&amp;$A1399,Data!$E$10:$E$3209,"&lt;"&amp;$A1399+1)/$AE1399)))</f>
        <v/>
      </c>
      <c r="E1399" s="56">
        <f>IF($B1399=0,"",IF(Inputs!$B$8="","",IF($AF1399=0,E1398,SUMIFS(Data!$J$10:$J$3209,Data!$I$10:$I$3209,"&gt;="&amp;$A1399,Data!$I$10:$I$3209,"&lt;"&amp;$A1399+1)/$AF1399)))</f>
        <v/>
      </c>
      <c r="F1399" s="56">
        <f>IF($B1399=0,"",IF(Inputs!$B$9="","",IF($AG1399=0,F1398,SUMIFS(Data!$N$10:$N$3209,Data!$M$10:$M$3209,"&gt;="&amp;$A1399,Data!$M$10:$M$3209,"&lt;"&amp;$A1399+1)/$AG1399)))</f>
        <v/>
      </c>
      <c r="G1399" s="56">
        <f>IF($B1399=0,"",IF(Inputs!$B$10="","",IF($AH1399=0,G1398,SUMIFS(Data!$R$10:$R$3209,Data!$Q$10:$Q$3209,"&gt;="&amp;$A1399,Data!$Q$10:$Q$3209,"&lt;"&amp;$A1399+1)/$AH1399)))</f>
        <v/>
      </c>
      <c r="I1399" s="54">
        <f>IF($B1399=0,NA(),IF($C1399="",NA(),IF(C$8="",NA(),IF(N(C$8)=0,NA(),IF(Inputs!$C$17="Rebased to 100",$C1399/C$8*100,$C1399)))))</f>
        <v/>
      </c>
      <c r="J1399" s="54">
        <f>IF($B1399=0,NA(),IF($D1399="",NA(),IF(D$8="",NA(),IF(N(D$8)=0,NA(),IF(Inputs!$C$17="Rebased to 100",$D1399/D$8*100,$D1399)))))</f>
        <v/>
      </c>
      <c r="K1399" s="54">
        <f>IF($B1399=0,NA(),IF($E1399="",NA(),IF(E$8="",NA(),IF(N(E$8)=0,NA(),IF(Inputs!$C$17="Rebased to 100",$E1399/E$8*100,$E1399)))))</f>
        <v/>
      </c>
      <c r="L1399" s="54">
        <f>IF($B1399=0,NA(),IF($F1399="",NA(),IF(F$8="",NA(),IF(N(F$8)=0,NA(),IF(Inputs!$C$17="Rebased to 100",$F1399/F$8*100,$F1399)))))</f>
        <v/>
      </c>
      <c r="M1399" s="54">
        <f>IF($B1399=0,NA(),IF($G1399="",NA(),IF(G$8="",NA(),IF(N(G$8)=0,NA(),IF(Inputs!$C$17="Rebased to 100",$G1399/G$8*100,$G1399)))))</f>
        <v/>
      </c>
      <c r="N1399" s="54">
        <f>IF($B1399=0,NA(),IF(Inputs!$C$18&lt;&gt;"Yes",NA(),IF(COUNT(I1399,J1399,K1399,L1399,M1399)=0,NA(),MIN(I1399,J1399,K1399,L1399,M1399))))</f>
        <v/>
      </c>
      <c r="O1399" s="54">
        <f>IF($B1399=0,NA(),IF(Inputs!$B$24&lt;&gt;"Yes",NA(),Inputs!$D$24*Inputs!$C$35))</f>
        <v/>
      </c>
      <c r="P1399" s="54">
        <f>IF($B1399=0,NA(),IF(Inputs!$B$25&lt;&gt;"Yes",NA(),Inputs!$D$25*Inputs!$C$35))</f>
        <v/>
      </c>
      <c r="Q1399" s="54">
        <f>IF($B1399=0,NA(),IF(Inputs!$B$26&lt;&gt;"Yes",NA(),Inputs!$D$26*Inputs!$C$35))</f>
        <v/>
      </c>
      <c r="R1399" s="54">
        <f>IF($B1399=0,NA(),IF(Inputs!$B$27&lt;&gt;"Yes",NA(),Inputs!$D$27*Inputs!$C$35))</f>
        <v/>
      </c>
      <c r="S1399" s="54">
        <f>IF($B1399=0,NA(),IF(Inputs!$B$28&lt;&gt;"Yes",NA(),Inputs!$D$28*Inputs!$C$35))</f>
        <v/>
      </c>
      <c r="T1399" s="54">
        <f>IF($B1399=0,NA(),IF(Inputs!$B$29&lt;&gt;"Yes",NA(),Inputs!$D$29*Inputs!$C$35))</f>
        <v/>
      </c>
      <c r="AD1399">
        <f>IF($B1399=0,0,IF(Inputs!$B$6="",0,COUNTIFS(Data!$A$10:$A$3209,"&gt;="&amp;$A1399,Data!$A$10:$A$3209,"&lt;"&amp;$A1399+1)))</f>
        <v/>
      </c>
      <c r="AE1399">
        <f>IF($B1399=0,0,IF(Inputs!$B$7="",0,COUNTIFS(Data!$E$10:$E$3209,"&gt;="&amp;$A1399,Data!$E$10:$E$3209,"&lt;"&amp;$A1399+1)))</f>
        <v/>
      </c>
      <c r="AF1399">
        <f>IF($B1399=0,0,IF(Inputs!$B$8="",0,COUNTIFS(Data!$I$10:$I$3209,"&gt;="&amp;$A1399,Data!$I$10:$I$3209,"&lt;"&amp;$A1399+1)))</f>
        <v/>
      </c>
      <c r="AG1399">
        <f>IF($B1399=0,0,IF(Inputs!$B$9="",0,COUNTIFS(Data!$M$10:$M$3209,"&gt;="&amp;$A1399,Data!$M$10:$M$3209,"&lt;"&amp;$A1399+1)))</f>
        <v/>
      </c>
      <c r="AH1399">
        <f>IF($B1399=0,0,IF(Inputs!$B$10="",0,COUNTIFS(Data!$Q$10:$Q$3209,"&gt;="&amp;$A1399,Data!$Q$10:$Q$3209,"&lt;"&amp;$A1399+1)))</f>
        <v/>
      </c>
    </row>
    <row r="1400">
      <c r="A1400" s="55">
        <f>MIN(Inputs!$C$15,$A1399+IF(WEEKDAY($A1399,2)=5,3,1))</f>
        <v/>
      </c>
      <c r="B1400">
        <f>IF($A1400&gt;$A1399,1,0)</f>
        <v/>
      </c>
      <c r="C1400" s="56">
        <f>IF($B1400=0,"",IF(Inputs!$B$6="","",IF($AD1400=0,C1399,SUMIFS(Data!$B$10:$B$3209,Data!$A$10:$A$3209,"&gt;="&amp;$A1400,Data!$A$10:$A$3209,"&lt;"&amp;$A1400+1)/$AD1400)))</f>
        <v/>
      </c>
      <c r="D1400" s="56">
        <f>IF($B1400=0,"",IF(Inputs!$B$7="","",IF($AE1400=0,D1399,SUMIFS(Data!$F$10:$F$3209,Data!$E$10:$E$3209,"&gt;="&amp;$A1400,Data!$E$10:$E$3209,"&lt;"&amp;$A1400+1)/$AE1400)))</f>
        <v/>
      </c>
      <c r="E1400" s="56">
        <f>IF($B1400=0,"",IF(Inputs!$B$8="","",IF($AF1400=0,E1399,SUMIFS(Data!$J$10:$J$3209,Data!$I$10:$I$3209,"&gt;="&amp;$A1400,Data!$I$10:$I$3209,"&lt;"&amp;$A1400+1)/$AF1400)))</f>
        <v/>
      </c>
      <c r="F1400" s="56">
        <f>IF($B1400=0,"",IF(Inputs!$B$9="","",IF($AG1400=0,F1399,SUMIFS(Data!$N$10:$N$3209,Data!$M$10:$M$3209,"&gt;="&amp;$A1400,Data!$M$10:$M$3209,"&lt;"&amp;$A1400+1)/$AG1400)))</f>
        <v/>
      </c>
      <c r="G1400" s="56">
        <f>IF($B1400=0,"",IF(Inputs!$B$10="","",IF($AH1400=0,G1399,SUMIFS(Data!$R$10:$R$3209,Data!$Q$10:$Q$3209,"&gt;="&amp;$A1400,Data!$Q$10:$Q$3209,"&lt;"&amp;$A1400+1)/$AH1400)))</f>
        <v/>
      </c>
      <c r="I1400" s="54">
        <f>IF($B1400=0,NA(),IF($C1400="",NA(),IF(C$8="",NA(),IF(N(C$8)=0,NA(),IF(Inputs!$C$17="Rebased to 100",$C1400/C$8*100,$C1400)))))</f>
        <v/>
      </c>
      <c r="J1400" s="54">
        <f>IF($B1400=0,NA(),IF($D1400="",NA(),IF(D$8="",NA(),IF(N(D$8)=0,NA(),IF(Inputs!$C$17="Rebased to 100",$D1400/D$8*100,$D1400)))))</f>
        <v/>
      </c>
      <c r="K1400" s="54">
        <f>IF($B1400=0,NA(),IF($E1400="",NA(),IF(E$8="",NA(),IF(N(E$8)=0,NA(),IF(Inputs!$C$17="Rebased to 100",$E1400/E$8*100,$E1400)))))</f>
        <v/>
      </c>
      <c r="L1400" s="54">
        <f>IF($B1400=0,NA(),IF($F1400="",NA(),IF(F$8="",NA(),IF(N(F$8)=0,NA(),IF(Inputs!$C$17="Rebased to 100",$F1400/F$8*100,$F1400)))))</f>
        <v/>
      </c>
      <c r="M1400" s="54">
        <f>IF($B1400=0,NA(),IF($G1400="",NA(),IF(G$8="",NA(),IF(N(G$8)=0,NA(),IF(Inputs!$C$17="Rebased to 100",$G1400/G$8*100,$G1400)))))</f>
        <v/>
      </c>
      <c r="N1400" s="54">
        <f>IF($B1400=0,NA(),IF(Inputs!$C$18&lt;&gt;"Yes",NA(),IF(COUNT(I1400,J1400,K1400,L1400,M1400)=0,NA(),MIN(I1400,J1400,K1400,L1400,M1400))))</f>
        <v/>
      </c>
      <c r="O1400" s="54">
        <f>IF($B1400=0,NA(),IF(Inputs!$B$24&lt;&gt;"Yes",NA(),Inputs!$D$24*Inputs!$C$35))</f>
        <v/>
      </c>
      <c r="P1400" s="54">
        <f>IF($B1400=0,NA(),IF(Inputs!$B$25&lt;&gt;"Yes",NA(),Inputs!$D$25*Inputs!$C$35))</f>
        <v/>
      </c>
      <c r="Q1400" s="54">
        <f>IF($B1400=0,NA(),IF(Inputs!$B$26&lt;&gt;"Yes",NA(),Inputs!$D$26*Inputs!$C$35))</f>
        <v/>
      </c>
      <c r="R1400" s="54">
        <f>IF($B1400=0,NA(),IF(Inputs!$B$27&lt;&gt;"Yes",NA(),Inputs!$D$27*Inputs!$C$35))</f>
        <v/>
      </c>
      <c r="S1400" s="54">
        <f>IF($B1400=0,NA(),IF(Inputs!$B$28&lt;&gt;"Yes",NA(),Inputs!$D$28*Inputs!$C$35))</f>
        <v/>
      </c>
      <c r="T1400" s="54">
        <f>IF($B1400=0,NA(),IF(Inputs!$B$29&lt;&gt;"Yes",NA(),Inputs!$D$29*Inputs!$C$35))</f>
        <v/>
      </c>
      <c r="AD1400">
        <f>IF($B1400=0,0,IF(Inputs!$B$6="",0,COUNTIFS(Data!$A$10:$A$3209,"&gt;="&amp;$A1400,Data!$A$10:$A$3209,"&lt;"&amp;$A1400+1)))</f>
        <v/>
      </c>
      <c r="AE1400">
        <f>IF($B1400=0,0,IF(Inputs!$B$7="",0,COUNTIFS(Data!$E$10:$E$3209,"&gt;="&amp;$A1400,Data!$E$10:$E$3209,"&lt;"&amp;$A1400+1)))</f>
        <v/>
      </c>
      <c r="AF1400">
        <f>IF($B1400=0,0,IF(Inputs!$B$8="",0,COUNTIFS(Data!$I$10:$I$3209,"&gt;="&amp;$A1400,Data!$I$10:$I$3209,"&lt;"&amp;$A1400+1)))</f>
        <v/>
      </c>
      <c r="AG1400">
        <f>IF($B1400=0,0,IF(Inputs!$B$9="",0,COUNTIFS(Data!$M$10:$M$3209,"&gt;="&amp;$A1400,Data!$M$10:$M$3209,"&lt;"&amp;$A1400+1)))</f>
        <v/>
      </c>
      <c r="AH1400">
        <f>IF($B1400=0,0,IF(Inputs!$B$10="",0,COUNTIFS(Data!$Q$10:$Q$3209,"&gt;="&amp;$A1400,Data!$Q$10:$Q$3209,"&lt;"&amp;$A1400+1)))</f>
        <v/>
      </c>
    </row>
    <row r="1401">
      <c r="A1401" s="55">
        <f>MIN(Inputs!$C$15,$A1400+IF(WEEKDAY($A1400,2)=5,3,1))</f>
        <v/>
      </c>
      <c r="B1401">
        <f>IF($A1401&gt;$A1400,1,0)</f>
        <v/>
      </c>
      <c r="C1401" s="56">
        <f>IF($B1401=0,"",IF(Inputs!$B$6="","",IF($AD1401=0,C1400,SUMIFS(Data!$B$10:$B$3209,Data!$A$10:$A$3209,"&gt;="&amp;$A1401,Data!$A$10:$A$3209,"&lt;"&amp;$A1401+1)/$AD1401)))</f>
        <v/>
      </c>
      <c r="D1401" s="56">
        <f>IF($B1401=0,"",IF(Inputs!$B$7="","",IF($AE1401=0,D1400,SUMIFS(Data!$F$10:$F$3209,Data!$E$10:$E$3209,"&gt;="&amp;$A1401,Data!$E$10:$E$3209,"&lt;"&amp;$A1401+1)/$AE1401)))</f>
        <v/>
      </c>
      <c r="E1401" s="56">
        <f>IF($B1401=0,"",IF(Inputs!$B$8="","",IF($AF1401=0,E1400,SUMIFS(Data!$J$10:$J$3209,Data!$I$10:$I$3209,"&gt;="&amp;$A1401,Data!$I$10:$I$3209,"&lt;"&amp;$A1401+1)/$AF1401)))</f>
        <v/>
      </c>
      <c r="F1401" s="56">
        <f>IF($B1401=0,"",IF(Inputs!$B$9="","",IF($AG1401=0,F1400,SUMIFS(Data!$N$10:$N$3209,Data!$M$10:$M$3209,"&gt;="&amp;$A1401,Data!$M$10:$M$3209,"&lt;"&amp;$A1401+1)/$AG1401)))</f>
        <v/>
      </c>
      <c r="G1401" s="56">
        <f>IF($B1401=0,"",IF(Inputs!$B$10="","",IF($AH1401=0,G1400,SUMIFS(Data!$R$10:$R$3209,Data!$Q$10:$Q$3209,"&gt;="&amp;$A1401,Data!$Q$10:$Q$3209,"&lt;"&amp;$A1401+1)/$AH1401)))</f>
        <v/>
      </c>
      <c r="I1401" s="54">
        <f>IF($B1401=0,NA(),IF($C1401="",NA(),IF(C$8="",NA(),IF(N(C$8)=0,NA(),IF(Inputs!$C$17="Rebased to 100",$C1401/C$8*100,$C1401)))))</f>
        <v/>
      </c>
      <c r="J1401" s="54">
        <f>IF($B1401=0,NA(),IF($D1401="",NA(),IF(D$8="",NA(),IF(N(D$8)=0,NA(),IF(Inputs!$C$17="Rebased to 100",$D1401/D$8*100,$D1401)))))</f>
        <v/>
      </c>
      <c r="K1401" s="54">
        <f>IF($B1401=0,NA(),IF($E1401="",NA(),IF(E$8="",NA(),IF(N(E$8)=0,NA(),IF(Inputs!$C$17="Rebased to 100",$E1401/E$8*100,$E1401)))))</f>
        <v/>
      </c>
      <c r="L1401" s="54">
        <f>IF($B1401=0,NA(),IF($F1401="",NA(),IF(F$8="",NA(),IF(N(F$8)=0,NA(),IF(Inputs!$C$17="Rebased to 100",$F1401/F$8*100,$F1401)))))</f>
        <v/>
      </c>
      <c r="M1401" s="54">
        <f>IF($B1401=0,NA(),IF($G1401="",NA(),IF(G$8="",NA(),IF(N(G$8)=0,NA(),IF(Inputs!$C$17="Rebased to 100",$G1401/G$8*100,$G1401)))))</f>
        <v/>
      </c>
      <c r="N1401" s="54">
        <f>IF($B1401=0,NA(),IF(Inputs!$C$18&lt;&gt;"Yes",NA(),IF(COUNT(I1401,J1401,K1401,L1401,M1401)=0,NA(),MIN(I1401,J1401,K1401,L1401,M1401))))</f>
        <v/>
      </c>
      <c r="O1401" s="54">
        <f>IF($B1401=0,NA(),IF(Inputs!$B$24&lt;&gt;"Yes",NA(),Inputs!$D$24*Inputs!$C$35))</f>
        <v/>
      </c>
      <c r="P1401" s="54">
        <f>IF($B1401=0,NA(),IF(Inputs!$B$25&lt;&gt;"Yes",NA(),Inputs!$D$25*Inputs!$C$35))</f>
        <v/>
      </c>
      <c r="Q1401" s="54">
        <f>IF($B1401=0,NA(),IF(Inputs!$B$26&lt;&gt;"Yes",NA(),Inputs!$D$26*Inputs!$C$35))</f>
        <v/>
      </c>
      <c r="R1401" s="54">
        <f>IF($B1401=0,NA(),IF(Inputs!$B$27&lt;&gt;"Yes",NA(),Inputs!$D$27*Inputs!$C$35))</f>
        <v/>
      </c>
      <c r="S1401" s="54">
        <f>IF($B1401=0,NA(),IF(Inputs!$B$28&lt;&gt;"Yes",NA(),Inputs!$D$28*Inputs!$C$35))</f>
        <v/>
      </c>
      <c r="T1401" s="54">
        <f>IF($B1401=0,NA(),IF(Inputs!$B$29&lt;&gt;"Yes",NA(),Inputs!$D$29*Inputs!$C$35))</f>
        <v/>
      </c>
      <c r="AD1401">
        <f>IF($B1401=0,0,IF(Inputs!$B$6="",0,COUNTIFS(Data!$A$10:$A$3209,"&gt;="&amp;$A1401,Data!$A$10:$A$3209,"&lt;"&amp;$A1401+1)))</f>
        <v/>
      </c>
      <c r="AE1401">
        <f>IF($B1401=0,0,IF(Inputs!$B$7="",0,COUNTIFS(Data!$E$10:$E$3209,"&gt;="&amp;$A1401,Data!$E$10:$E$3209,"&lt;"&amp;$A1401+1)))</f>
        <v/>
      </c>
      <c r="AF1401">
        <f>IF($B1401=0,0,IF(Inputs!$B$8="",0,COUNTIFS(Data!$I$10:$I$3209,"&gt;="&amp;$A1401,Data!$I$10:$I$3209,"&lt;"&amp;$A1401+1)))</f>
        <v/>
      </c>
      <c r="AG1401">
        <f>IF($B1401=0,0,IF(Inputs!$B$9="",0,COUNTIFS(Data!$M$10:$M$3209,"&gt;="&amp;$A1401,Data!$M$10:$M$3209,"&lt;"&amp;$A1401+1)))</f>
        <v/>
      </c>
      <c r="AH1401">
        <f>IF($B1401=0,0,IF(Inputs!$B$10="",0,COUNTIFS(Data!$Q$10:$Q$3209,"&gt;="&amp;$A1401,Data!$Q$10:$Q$3209,"&lt;"&amp;$A1401+1)))</f>
        <v/>
      </c>
    </row>
    <row r="1402">
      <c r="A1402" s="55">
        <f>MIN(Inputs!$C$15,$A1401+IF(WEEKDAY($A1401,2)=5,3,1))</f>
        <v/>
      </c>
      <c r="B1402">
        <f>IF($A1402&gt;$A1401,1,0)</f>
        <v/>
      </c>
      <c r="C1402" s="56">
        <f>IF($B1402=0,"",IF(Inputs!$B$6="","",IF($AD1402=0,C1401,SUMIFS(Data!$B$10:$B$3209,Data!$A$10:$A$3209,"&gt;="&amp;$A1402,Data!$A$10:$A$3209,"&lt;"&amp;$A1402+1)/$AD1402)))</f>
        <v/>
      </c>
      <c r="D1402" s="56">
        <f>IF($B1402=0,"",IF(Inputs!$B$7="","",IF($AE1402=0,D1401,SUMIFS(Data!$F$10:$F$3209,Data!$E$10:$E$3209,"&gt;="&amp;$A1402,Data!$E$10:$E$3209,"&lt;"&amp;$A1402+1)/$AE1402)))</f>
        <v/>
      </c>
      <c r="E1402" s="56">
        <f>IF($B1402=0,"",IF(Inputs!$B$8="","",IF($AF1402=0,E1401,SUMIFS(Data!$J$10:$J$3209,Data!$I$10:$I$3209,"&gt;="&amp;$A1402,Data!$I$10:$I$3209,"&lt;"&amp;$A1402+1)/$AF1402)))</f>
        <v/>
      </c>
      <c r="F1402" s="56">
        <f>IF($B1402=0,"",IF(Inputs!$B$9="","",IF($AG1402=0,F1401,SUMIFS(Data!$N$10:$N$3209,Data!$M$10:$M$3209,"&gt;="&amp;$A1402,Data!$M$10:$M$3209,"&lt;"&amp;$A1402+1)/$AG1402)))</f>
        <v/>
      </c>
      <c r="G1402" s="56">
        <f>IF($B1402=0,"",IF(Inputs!$B$10="","",IF($AH1402=0,G1401,SUMIFS(Data!$R$10:$R$3209,Data!$Q$10:$Q$3209,"&gt;="&amp;$A1402,Data!$Q$10:$Q$3209,"&lt;"&amp;$A1402+1)/$AH1402)))</f>
        <v/>
      </c>
      <c r="I1402" s="54">
        <f>IF($B1402=0,NA(),IF($C1402="",NA(),IF(C$8="",NA(),IF(N(C$8)=0,NA(),IF(Inputs!$C$17="Rebased to 100",$C1402/C$8*100,$C1402)))))</f>
        <v/>
      </c>
      <c r="J1402" s="54">
        <f>IF($B1402=0,NA(),IF($D1402="",NA(),IF(D$8="",NA(),IF(N(D$8)=0,NA(),IF(Inputs!$C$17="Rebased to 100",$D1402/D$8*100,$D1402)))))</f>
        <v/>
      </c>
      <c r="K1402" s="54">
        <f>IF($B1402=0,NA(),IF($E1402="",NA(),IF(E$8="",NA(),IF(N(E$8)=0,NA(),IF(Inputs!$C$17="Rebased to 100",$E1402/E$8*100,$E1402)))))</f>
        <v/>
      </c>
      <c r="L1402" s="54">
        <f>IF($B1402=0,NA(),IF($F1402="",NA(),IF(F$8="",NA(),IF(N(F$8)=0,NA(),IF(Inputs!$C$17="Rebased to 100",$F1402/F$8*100,$F1402)))))</f>
        <v/>
      </c>
      <c r="M1402" s="54">
        <f>IF($B1402=0,NA(),IF($G1402="",NA(),IF(G$8="",NA(),IF(N(G$8)=0,NA(),IF(Inputs!$C$17="Rebased to 100",$G1402/G$8*100,$G1402)))))</f>
        <v/>
      </c>
      <c r="N1402" s="54">
        <f>IF($B1402=0,NA(),IF(Inputs!$C$18&lt;&gt;"Yes",NA(),IF(COUNT(I1402,J1402,K1402,L1402,M1402)=0,NA(),MIN(I1402,J1402,K1402,L1402,M1402))))</f>
        <v/>
      </c>
      <c r="O1402" s="54">
        <f>IF($B1402=0,NA(),IF(Inputs!$B$24&lt;&gt;"Yes",NA(),Inputs!$D$24*Inputs!$C$35))</f>
        <v/>
      </c>
      <c r="P1402" s="54">
        <f>IF($B1402=0,NA(),IF(Inputs!$B$25&lt;&gt;"Yes",NA(),Inputs!$D$25*Inputs!$C$35))</f>
        <v/>
      </c>
      <c r="Q1402" s="54">
        <f>IF($B1402=0,NA(),IF(Inputs!$B$26&lt;&gt;"Yes",NA(),Inputs!$D$26*Inputs!$C$35))</f>
        <v/>
      </c>
      <c r="R1402" s="54">
        <f>IF($B1402=0,NA(),IF(Inputs!$B$27&lt;&gt;"Yes",NA(),Inputs!$D$27*Inputs!$C$35))</f>
        <v/>
      </c>
      <c r="S1402" s="54">
        <f>IF($B1402=0,NA(),IF(Inputs!$B$28&lt;&gt;"Yes",NA(),Inputs!$D$28*Inputs!$C$35))</f>
        <v/>
      </c>
      <c r="T1402" s="54">
        <f>IF($B1402=0,NA(),IF(Inputs!$B$29&lt;&gt;"Yes",NA(),Inputs!$D$29*Inputs!$C$35))</f>
        <v/>
      </c>
      <c r="AD1402">
        <f>IF($B1402=0,0,IF(Inputs!$B$6="",0,COUNTIFS(Data!$A$10:$A$3209,"&gt;="&amp;$A1402,Data!$A$10:$A$3209,"&lt;"&amp;$A1402+1)))</f>
        <v/>
      </c>
      <c r="AE1402">
        <f>IF($B1402=0,0,IF(Inputs!$B$7="",0,COUNTIFS(Data!$E$10:$E$3209,"&gt;="&amp;$A1402,Data!$E$10:$E$3209,"&lt;"&amp;$A1402+1)))</f>
        <v/>
      </c>
      <c r="AF1402">
        <f>IF($B1402=0,0,IF(Inputs!$B$8="",0,COUNTIFS(Data!$I$10:$I$3209,"&gt;="&amp;$A1402,Data!$I$10:$I$3209,"&lt;"&amp;$A1402+1)))</f>
        <v/>
      </c>
      <c r="AG1402">
        <f>IF($B1402=0,0,IF(Inputs!$B$9="",0,COUNTIFS(Data!$M$10:$M$3209,"&gt;="&amp;$A1402,Data!$M$10:$M$3209,"&lt;"&amp;$A1402+1)))</f>
        <v/>
      </c>
      <c r="AH1402">
        <f>IF($B1402=0,0,IF(Inputs!$B$10="",0,COUNTIFS(Data!$Q$10:$Q$3209,"&gt;="&amp;$A1402,Data!$Q$10:$Q$3209,"&lt;"&amp;$A1402+1)))</f>
        <v/>
      </c>
    </row>
    <row r="1403">
      <c r="A1403" s="55">
        <f>MIN(Inputs!$C$15,$A1402+IF(WEEKDAY($A1402,2)=5,3,1))</f>
        <v/>
      </c>
      <c r="B1403">
        <f>IF($A1403&gt;$A1402,1,0)</f>
        <v/>
      </c>
      <c r="C1403" s="56">
        <f>IF($B1403=0,"",IF(Inputs!$B$6="","",IF($AD1403=0,C1402,SUMIFS(Data!$B$10:$B$3209,Data!$A$10:$A$3209,"&gt;="&amp;$A1403,Data!$A$10:$A$3209,"&lt;"&amp;$A1403+1)/$AD1403)))</f>
        <v/>
      </c>
      <c r="D1403" s="56">
        <f>IF($B1403=0,"",IF(Inputs!$B$7="","",IF($AE1403=0,D1402,SUMIFS(Data!$F$10:$F$3209,Data!$E$10:$E$3209,"&gt;="&amp;$A1403,Data!$E$10:$E$3209,"&lt;"&amp;$A1403+1)/$AE1403)))</f>
        <v/>
      </c>
      <c r="E1403" s="56">
        <f>IF($B1403=0,"",IF(Inputs!$B$8="","",IF($AF1403=0,E1402,SUMIFS(Data!$J$10:$J$3209,Data!$I$10:$I$3209,"&gt;="&amp;$A1403,Data!$I$10:$I$3209,"&lt;"&amp;$A1403+1)/$AF1403)))</f>
        <v/>
      </c>
      <c r="F1403" s="56">
        <f>IF($B1403=0,"",IF(Inputs!$B$9="","",IF($AG1403=0,F1402,SUMIFS(Data!$N$10:$N$3209,Data!$M$10:$M$3209,"&gt;="&amp;$A1403,Data!$M$10:$M$3209,"&lt;"&amp;$A1403+1)/$AG1403)))</f>
        <v/>
      </c>
      <c r="G1403" s="56">
        <f>IF($B1403=0,"",IF(Inputs!$B$10="","",IF($AH1403=0,G1402,SUMIFS(Data!$R$10:$R$3209,Data!$Q$10:$Q$3209,"&gt;="&amp;$A1403,Data!$Q$10:$Q$3209,"&lt;"&amp;$A1403+1)/$AH1403)))</f>
        <v/>
      </c>
      <c r="I1403" s="54">
        <f>IF($B1403=0,NA(),IF($C1403="",NA(),IF(C$8="",NA(),IF(N(C$8)=0,NA(),IF(Inputs!$C$17="Rebased to 100",$C1403/C$8*100,$C1403)))))</f>
        <v/>
      </c>
      <c r="J1403" s="54">
        <f>IF($B1403=0,NA(),IF($D1403="",NA(),IF(D$8="",NA(),IF(N(D$8)=0,NA(),IF(Inputs!$C$17="Rebased to 100",$D1403/D$8*100,$D1403)))))</f>
        <v/>
      </c>
      <c r="K1403" s="54">
        <f>IF($B1403=0,NA(),IF($E1403="",NA(),IF(E$8="",NA(),IF(N(E$8)=0,NA(),IF(Inputs!$C$17="Rebased to 100",$E1403/E$8*100,$E1403)))))</f>
        <v/>
      </c>
      <c r="L1403" s="54">
        <f>IF($B1403=0,NA(),IF($F1403="",NA(),IF(F$8="",NA(),IF(N(F$8)=0,NA(),IF(Inputs!$C$17="Rebased to 100",$F1403/F$8*100,$F1403)))))</f>
        <v/>
      </c>
      <c r="M1403" s="54">
        <f>IF($B1403=0,NA(),IF($G1403="",NA(),IF(G$8="",NA(),IF(N(G$8)=0,NA(),IF(Inputs!$C$17="Rebased to 100",$G1403/G$8*100,$G1403)))))</f>
        <v/>
      </c>
      <c r="N1403" s="54">
        <f>IF($B1403=0,NA(),IF(Inputs!$C$18&lt;&gt;"Yes",NA(),IF(COUNT(I1403,J1403,K1403,L1403,M1403)=0,NA(),MIN(I1403,J1403,K1403,L1403,M1403))))</f>
        <v/>
      </c>
      <c r="O1403" s="54">
        <f>IF($B1403=0,NA(),IF(Inputs!$B$24&lt;&gt;"Yes",NA(),Inputs!$D$24*Inputs!$C$35))</f>
        <v/>
      </c>
      <c r="P1403" s="54">
        <f>IF($B1403=0,NA(),IF(Inputs!$B$25&lt;&gt;"Yes",NA(),Inputs!$D$25*Inputs!$C$35))</f>
        <v/>
      </c>
      <c r="Q1403" s="54">
        <f>IF($B1403=0,NA(),IF(Inputs!$B$26&lt;&gt;"Yes",NA(),Inputs!$D$26*Inputs!$C$35))</f>
        <v/>
      </c>
      <c r="R1403" s="54">
        <f>IF($B1403=0,NA(),IF(Inputs!$B$27&lt;&gt;"Yes",NA(),Inputs!$D$27*Inputs!$C$35))</f>
        <v/>
      </c>
      <c r="S1403" s="54">
        <f>IF($B1403=0,NA(),IF(Inputs!$B$28&lt;&gt;"Yes",NA(),Inputs!$D$28*Inputs!$C$35))</f>
        <v/>
      </c>
      <c r="T1403" s="54">
        <f>IF($B1403=0,NA(),IF(Inputs!$B$29&lt;&gt;"Yes",NA(),Inputs!$D$29*Inputs!$C$35))</f>
        <v/>
      </c>
      <c r="AD1403">
        <f>IF($B1403=0,0,IF(Inputs!$B$6="",0,COUNTIFS(Data!$A$10:$A$3209,"&gt;="&amp;$A1403,Data!$A$10:$A$3209,"&lt;"&amp;$A1403+1)))</f>
        <v/>
      </c>
      <c r="AE1403">
        <f>IF($B1403=0,0,IF(Inputs!$B$7="",0,COUNTIFS(Data!$E$10:$E$3209,"&gt;="&amp;$A1403,Data!$E$10:$E$3209,"&lt;"&amp;$A1403+1)))</f>
        <v/>
      </c>
      <c r="AF1403">
        <f>IF($B1403=0,0,IF(Inputs!$B$8="",0,COUNTIFS(Data!$I$10:$I$3209,"&gt;="&amp;$A1403,Data!$I$10:$I$3209,"&lt;"&amp;$A1403+1)))</f>
        <v/>
      </c>
      <c r="AG1403">
        <f>IF($B1403=0,0,IF(Inputs!$B$9="",0,COUNTIFS(Data!$M$10:$M$3209,"&gt;="&amp;$A1403,Data!$M$10:$M$3209,"&lt;"&amp;$A1403+1)))</f>
        <v/>
      </c>
      <c r="AH1403">
        <f>IF($B1403=0,0,IF(Inputs!$B$10="",0,COUNTIFS(Data!$Q$10:$Q$3209,"&gt;="&amp;$A1403,Data!$Q$10:$Q$3209,"&lt;"&amp;$A1403+1)))</f>
        <v/>
      </c>
    </row>
    <row r="1404">
      <c r="A1404" s="55">
        <f>MIN(Inputs!$C$15,$A1403+IF(WEEKDAY($A1403,2)=5,3,1))</f>
        <v/>
      </c>
      <c r="B1404">
        <f>IF($A1404&gt;$A1403,1,0)</f>
        <v/>
      </c>
      <c r="C1404" s="56">
        <f>IF($B1404=0,"",IF(Inputs!$B$6="","",IF($AD1404=0,C1403,SUMIFS(Data!$B$10:$B$3209,Data!$A$10:$A$3209,"&gt;="&amp;$A1404,Data!$A$10:$A$3209,"&lt;"&amp;$A1404+1)/$AD1404)))</f>
        <v/>
      </c>
      <c r="D1404" s="56">
        <f>IF($B1404=0,"",IF(Inputs!$B$7="","",IF($AE1404=0,D1403,SUMIFS(Data!$F$10:$F$3209,Data!$E$10:$E$3209,"&gt;="&amp;$A1404,Data!$E$10:$E$3209,"&lt;"&amp;$A1404+1)/$AE1404)))</f>
        <v/>
      </c>
      <c r="E1404" s="56">
        <f>IF($B1404=0,"",IF(Inputs!$B$8="","",IF($AF1404=0,E1403,SUMIFS(Data!$J$10:$J$3209,Data!$I$10:$I$3209,"&gt;="&amp;$A1404,Data!$I$10:$I$3209,"&lt;"&amp;$A1404+1)/$AF1404)))</f>
        <v/>
      </c>
      <c r="F1404" s="56">
        <f>IF($B1404=0,"",IF(Inputs!$B$9="","",IF($AG1404=0,F1403,SUMIFS(Data!$N$10:$N$3209,Data!$M$10:$M$3209,"&gt;="&amp;$A1404,Data!$M$10:$M$3209,"&lt;"&amp;$A1404+1)/$AG1404)))</f>
        <v/>
      </c>
      <c r="G1404" s="56">
        <f>IF($B1404=0,"",IF(Inputs!$B$10="","",IF($AH1404=0,G1403,SUMIFS(Data!$R$10:$R$3209,Data!$Q$10:$Q$3209,"&gt;="&amp;$A1404,Data!$Q$10:$Q$3209,"&lt;"&amp;$A1404+1)/$AH1404)))</f>
        <v/>
      </c>
      <c r="I1404" s="54">
        <f>IF($B1404=0,NA(),IF($C1404="",NA(),IF(C$8="",NA(),IF(N(C$8)=0,NA(),IF(Inputs!$C$17="Rebased to 100",$C1404/C$8*100,$C1404)))))</f>
        <v/>
      </c>
      <c r="J1404" s="54">
        <f>IF($B1404=0,NA(),IF($D1404="",NA(),IF(D$8="",NA(),IF(N(D$8)=0,NA(),IF(Inputs!$C$17="Rebased to 100",$D1404/D$8*100,$D1404)))))</f>
        <v/>
      </c>
      <c r="K1404" s="54">
        <f>IF($B1404=0,NA(),IF($E1404="",NA(),IF(E$8="",NA(),IF(N(E$8)=0,NA(),IF(Inputs!$C$17="Rebased to 100",$E1404/E$8*100,$E1404)))))</f>
        <v/>
      </c>
      <c r="L1404" s="54">
        <f>IF($B1404=0,NA(),IF($F1404="",NA(),IF(F$8="",NA(),IF(N(F$8)=0,NA(),IF(Inputs!$C$17="Rebased to 100",$F1404/F$8*100,$F1404)))))</f>
        <v/>
      </c>
      <c r="M1404" s="54">
        <f>IF($B1404=0,NA(),IF($G1404="",NA(),IF(G$8="",NA(),IF(N(G$8)=0,NA(),IF(Inputs!$C$17="Rebased to 100",$G1404/G$8*100,$G1404)))))</f>
        <v/>
      </c>
      <c r="N1404" s="54">
        <f>IF($B1404=0,NA(),IF(Inputs!$C$18&lt;&gt;"Yes",NA(),IF(COUNT(I1404,J1404,K1404,L1404,M1404)=0,NA(),MIN(I1404,J1404,K1404,L1404,M1404))))</f>
        <v/>
      </c>
      <c r="O1404" s="54">
        <f>IF($B1404=0,NA(),IF(Inputs!$B$24&lt;&gt;"Yes",NA(),Inputs!$D$24*Inputs!$C$35))</f>
        <v/>
      </c>
      <c r="P1404" s="54">
        <f>IF($B1404=0,NA(),IF(Inputs!$B$25&lt;&gt;"Yes",NA(),Inputs!$D$25*Inputs!$C$35))</f>
        <v/>
      </c>
      <c r="Q1404" s="54">
        <f>IF($B1404=0,NA(),IF(Inputs!$B$26&lt;&gt;"Yes",NA(),Inputs!$D$26*Inputs!$C$35))</f>
        <v/>
      </c>
      <c r="R1404" s="54">
        <f>IF($B1404=0,NA(),IF(Inputs!$B$27&lt;&gt;"Yes",NA(),Inputs!$D$27*Inputs!$C$35))</f>
        <v/>
      </c>
      <c r="S1404" s="54">
        <f>IF($B1404=0,NA(),IF(Inputs!$B$28&lt;&gt;"Yes",NA(),Inputs!$D$28*Inputs!$C$35))</f>
        <v/>
      </c>
      <c r="T1404" s="54">
        <f>IF($B1404=0,NA(),IF(Inputs!$B$29&lt;&gt;"Yes",NA(),Inputs!$D$29*Inputs!$C$35))</f>
        <v/>
      </c>
      <c r="AD1404">
        <f>IF($B1404=0,0,IF(Inputs!$B$6="",0,COUNTIFS(Data!$A$10:$A$3209,"&gt;="&amp;$A1404,Data!$A$10:$A$3209,"&lt;"&amp;$A1404+1)))</f>
        <v/>
      </c>
      <c r="AE1404">
        <f>IF($B1404=0,0,IF(Inputs!$B$7="",0,COUNTIFS(Data!$E$10:$E$3209,"&gt;="&amp;$A1404,Data!$E$10:$E$3209,"&lt;"&amp;$A1404+1)))</f>
        <v/>
      </c>
      <c r="AF1404">
        <f>IF($B1404=0,0,IF(Inputs!$B$8="",0,COUNTIFS(Data!$I$10:$I$3209,"&gt;="&amp;$A1404,Data!$I$10:$I$3209,"&lt;"&amp;$A1404+1)))</f>
        <v/>
      </c>
      <c r="AG1404">
        <f>IF($B1404=0,0,IF(Inputs!$B$9="",0,COUNTIFS(Data!$M$10:$M$3209,"&gt;="&amp;$A1404,Data!$M$10:$M$3209,"&lt;"&amp;$A1404+1)))</f>
        <v/>
      </c>
      <c r="AH1404">
        <f>IF($B1404=0,0,IF(Inputs!$B$10="",0,COUNTIFS(Data!$Q$10:$Q$3209,"&gt;="&amp;$A1404,Data!$Q$10:$Q$3209,"&lt;"&amp;$A1404+1)))</f>
        <v/>
      </c>
    </row>
    <row r="1405">
      <c r="A1405" s="55">
        <f>MIN(Inputs!$C$15,$A1404+IF(WEEKDAY($A1404,2)=5,3,1))</f>
        <v/>
      </c>
      <c r="B1405">
        <f>IF($A1405&gt;$A1404,1,0)</f>
        <v/>
      </c>
      <c r="C1405" s="56">
        <f>IF($B1405=0,"",IF(Inputs!$B$6="","",IF($AD1405=0,C1404,SUMIFS(Data!$B$10:$B$3209,Data!$A$10:$A$3209,"&gt;="&amp;$A1405,Data!$A$10:$A$3209,"&lt;"&amp;$A1405+1)/$AD1405)))</f>
        <v/>
      </c>
      <c r="D1405" s="56">
        <f>IF($B1405=0,"",IF(Inputs!$B$7="","",IF($AE1405=0,D1404,SUMIFS(Data!$F$10:$F$3209,Data!$E$10:$E$3209,"&gt;="&amp;$A1405,Data!$E$10:$E$3209,"&lt;"&amp;$A1405+1)/$AE1405)))</f>
        <v/>
      </c>
      <c r="E1405" s="56">
        <f>IF($B1405=0,"",IF(Inputs!$B$8="","",IF($AF1405=0,E1404,SUMIFS(Data!$J$10:$J$3209,Data!$I$10:$I$3209,"&gt;="&amp;$A1405,Data!$I$10:$I$3209,"&lt;"&amp;$A1405+1)/$AF1405)))</f>
        <v/>
      </c>
      <c r="F1405" s="56">
        <f>IF($B1405=0,"",IF(Inputs!$B$9="","",IF($AG1405=0,F1404,SUMIFS(Data!$N$10:$N$3209,Data!$M$10:$M$3209,"&gt;="&amp;$A1405,Data!$M$10:$M$3209,"&lt;"&amp;$A1405+1)/$AG1405)))</f>
        <v/>
      </c>
      <c r="G1405" s="56">
        <f>IF($B1405=0,"",IF(Inputs!$B$10="","",IF($AH1405=0,G1404,SUMIFS(Data!$R$10:$R$3209,Data!$Q$10:$Q$3209,"&gt;="&amp;$A1405,Data!$Q$10:$Q$3209,"&lt;"&amp;$A1405+1)/$AH1405)))</f>
        <v/>
      </c>
      <c r="I1405" s="54">
        <f>IF($B1405=0,NA(),IF($C1405="",NA(),IF(C$8="",NA(),IF(N(C$8)=0,NA(),IF(Inputs!$C$17="Rebased to 100",$C1405/C$8*100,$C1405)))))</f>
        <v/>
      </c>
      <c r="J1405" s="54">
        <f>IF($B1405=0,NA(),IF($D1405="",NA(),IF(D$8="",NA(),IF(N(D$8)=0,NA(),IF(Inputs!$C$17="Rebased to 100",$D1405/D$8*100,$D1405)))))</f>
        <v/>
      </c>
      <c r="K1405" s="54">
        <f>IF($B1405=0,NA(),IF($E1405="",NA(),IF(E$8="",NA(),IF(N(E$8)=0,NA(),IF(Inputs!$C$17="Rebased to 100",$E1405/E$8*100,$E1405)))))</f>
        <v/>
      </c>
      <c r="L1405" s="54">
        <f>IF($B1405=0,NA(),IF($F1405="",NA(),IF(F$8="",NA(),IF(N(F$8)=0,NA(),IF(Inputs!$C$17="Rebased to 100",$F1405/F$8*100,$F1405)))))</f>
        <v/>
      </c>
      <c r="M1405" s="54">
        <f>IF($B1405=0,NA(),IF($G1405="",NA(),IF(G$8="",NA(),IF(N(G$8)=0,NA(),IF(Inputs!$C$17="Rebased to 100",$G1405/G$8*100,$G1405)))))</f>
        <v/>
      </c>
      <c r="N1405" s="54">
        <f>IF($B1405=0,NA(),IF(Inputs!$C$18&lt;&gt;"Yes",NA(),IF(COUNT(I1405,J1405,K1405,L1405,M1405)=0,NA(),MIN(I1405,J1405,K1405,L1405,M1405))))</f>
        <v/>
      </c>
      <c r="O1405" s="54">
        <f>IF($B1405=0,NA(),IF(Inputs!$B$24&lt;&gt;"Yes",NA(),Inputs!$D$24*Inputs!$C$35))</f>
        <v/>
      </c>
      <c r="P1405" s="54">
        <f>IF($B1405=0,NA(),IF(Inputs!$B$25&lt;&gt;"Yes",NA(),Inputs!$D$25*Inputs!$C$35))</f>
        <v/>
      </c>
      <c r="Q1405" s="54">
        <f>IF($B1405=0,NA(),IF(Inputs!$B$26&lt;&gt;"Yes",NA(),Inputs!$D$26*Inputs!$C$35))</f>
        <v/>
      </c>
      <c r="R1405" s="54">
        <f>IF($B1405=0,NA(),IF(Inputs!$B$27&lt;&gt;"Yes",NA(),Inputs!$D$27*Inputs!$C$35))</f>
        <v/>
      </c>
      <c r="S1405" s="54">
        <f>IF($B1405=0,NA(),IF(Inputs!$B$28&lt;&gt;"Yes",NA(),Inputs!$D$28*Inputs!$C$35))</f>
        <v/>
      </c>
      <c r="T1405" s="54">
        <f>IF($B1405=0,NA(),IF(Inputs!$B$29&lt;&gt;"Yes",NA(),Inputs!$D$29*Inputs!$C$35))</f>
        <v/>
      </c>
      <c r="AD1405">
        <f>IF($B1405=0,0,IF(Inputs!$B$6="",0,COUNTIFS(Data!$A$10:$A$3209,"&gt;="&amp;$A1405,Data!$A$10:$A$3209,"&lt;"&amp;$A1405+1)))</f>
        <v/>
      </c>
      <c r="AE1405">
        <f>IF($B1405=0,0,IF(Inputs!$B$7="",0,COUNTIFS(Data!$E$10:$E$3209,"&gt;="&amp;$A1405,Data!$E$10:$E$3209,"&lt;"&amp;$A1405+1)))</f>
        <v/>
      </c>
      <c r="AF1405">
        <f>IF($B1405=0,0,IF(Inputs!$B$8="",0,COUNTIFS(Data!$I$10:$I$3209,"&gt;="&amp;$A1405,Data!$I$10:$I$3209,"&lt;"&amp;$A1405+1)))</f>
        <v/>
      </c>
      <c r="AG1405">
        <f>IF($B1405=0,0,IF(Inputs!$B$9="",0,COUNTIFS(Data!$M$10:$M$3209,"&gt;="&amp;$A1405,Data!$M$10:$M$3209,"&lt;"&amp;$A1405+1)))</f>
        <v/>
      </c>
      <c r="AH1405">
        <f>IF($B1405=0,0,IF(Inputs!$B$10="",0,COUNTIFS(Data!$Q$10:$Q$3209,"&gt;="&amp;$A1405,Data!$Q$10:$Q$3209,"&lt;"&amp;$A1405+1)))</f>
        <v/>
      </c>
    </row>
    <row r="1406">
      <c r="A1406" s="55">
        <f>MIN(Inputs!$C$15,$A1405+IF(WEEKDAY($A1405,2)=5,3,1))</f>
        <v/>
      </c>
      <c r="B1406">
        <f>IF($A1406&gt;$A1405,1,0)</f>
        <v/>
      </c>
      <c r="C1406" s="56">
        <f>IF($B1406=0,"",IF(Inputs!$B$6="","",IF($AD1406=0,C1405,SUMIFS(Data!$B$10:$B$3209,Data!$A$10:$A$3209,"&gt;="&amp;$A1406,Data!$A$10:$A$3209,"&lt;"&amp;$A1406+1)/$AD1406)))</f>
        <v/>
      </c>
      <c r="D1406" s="56">
        <f>IF($B1406=0,"",IF(Inputs!$B$7="","",IF($AE1406=0,D1405,SUMIFS(Data!$F$10:$F$3209,Data!$E$10:$E$3209,"&gt;="&amp;$A1406,Data!$E$10:$E$3209,"&lt;"&amp;$A1406+1)/$AE1406)))</f>
        <v/>
      </c>
      <c r="E1406" s="56">
        <f>IF($B1406=0,"",IF(Inputs!$B$8="","",IF($AF1406=0,E1405,SUMIFS(Data!$J$10:$J$3209,Data!$I$10:$I$3209,"&gt;="&amp;$A1406,Data!$I$10:$I$3209,"&lt;"&amp;$A1406+1)/$AF1406)))</f>
        <v/>
      </c>
      <c r="F1406" s="56">
        <f>IF($B1406=0,"",IF(Inputs!$B$9="","",IF($AG1406=0,F1405,SUMIFS(Data!$N$10:$N$3209,Data!$M$10:$M$3209,"&gt;="&amp;$A1406,Data!$M$10:$M$3209,"&lt;"&amp;$A1406+1)/$AG1406)))</f>
        <v/>
      </c>
      <c r="G1406" s="56">
        <f>IF($B1406=0,"",IF(Inputs!$B$10="","",IF($AH1406=0,G1405,SUMIFS(Data!$R$10:$R$3209,Data!$Q$10:$Q$3209,"&gt;="&amp;$A1406,Data!$Q$10:$Q$3209,"&lt;"&amp;$A1406+1)/$AH1406)))</f>
        <v/>
      </c>
      <c r="I1406" s="54">
        <f>IF($B1406=0,NA(),IF($C1406="",NA(),IF(C$8="",NA(),IF(N(C$8)=0,NA(),IF(Inputs!$C$17="Rebased to 100",$C1406/C$8*100,$C1406)))))</f>
        <v/>
      </c>
      <c r="J1406" s="54">
        <f>IF($B1406=0,NA(),IF($D1406="",NA(),IF(D$8="",NA(),IF(N(D$8)=0,NA(),IF(Inputs!$C$17="Rebased to 100",$D1406/D$8*100,$D1406)))))</f>
        <v/>
      </c>
      <c r="K1406" s="54">
        <f>IF($B1406=0,NA(),IF($E1406="",NA(),IF(E$8="",NA(),IF(N(E$8)=0,NA(),IF(Inputs!$C$17="Rebased to 100",$E1406/E$8*100,$E1406)))))</f>
        <v/>
      </c>
      <c r="L1406" s="54">
        <f>IF($B1406=0,NA(),IF($F1406="",NA(),IF(F$8="",NA(),IF(N(F$8)=0,NA(),IF(Inputs!$C$17="Rebased to 100",$F1406/F$8*100,$F1406)))))</f>
        <v/>
      </c>
      <c r="M1406" s="54">
        <f>IF($B1406=0,NA(),IF($G1406="",NA(),IF(G$8="",NA(),IF(N(G$8)=0,NA(),IF(Inputs!$C$17="Rebased to 100",$G1406/G$8*100,$G1406)))))</f>
        <v/>
      </c>
      <c r="N1406" s="54">
        <f>IF($B1406=0,NA(),IF(Inputs!$C$18&lt;&gt;"Yes",NA(),IF(COUNT(I1406,J1406,K1406,L1406,M1406)=0,NA(),MIN(I1406,J1406,K1406,L1406,M1406))))</f>
        <v/>
      </c>
      <c r="O1406" s="54">
        <f>IF($B1406=0,NA(),IF(Inputs!$B$24&lt;&gt;"Yes",NA(),Inputs!$D$24*Inputs!$C$35))</f>
        <v/>
      </c>
      <c r="P1406" s="54">
        <f>IF($B1406=0,NA(),IF(Inputs!$B$25&lt;&gt;"Yes",NA(),Inputs!$D$25*Inputs!$C$35))</f>
        <v/>
      </c>
      <c r="Q1406" s="54">
        <f>IF($B1406=0,NA(),IF(Inputs!$B$26&lt;&gt;"Yes",NA(),Inputs!$D$26*Inputs!$C$35))</f>
        <v/>
      </c>
      <c r="R1406" s="54">
        <f>IF($B1406=0,NA(),IF(Inputs!$B$27&lt;&gt;"Yes",NA(),Inputs!$D$27*Inputs!$C$35))</f>
        <v/>
      </c>
      <c r="S1406" s="54">
        <f>IF($B1406=0,NA(),IF(Inputs!$B$28&lt;&gt;"Yes",NA(),Inputs!$D$28*Inputs!$C$35))</f>
        <v/>
      </c>
      <c r="T1406" s="54">
        <f>IF($B1406=0,NA(),IF(Inputs!$B$29&lt;&gt;"Yes",NA(),Inputs!$D$29*Inputs!$C$35))</f>
        <v/>
      </c>
      <c r="AD1406">
        <f>IF($B1406=0,0,IF(Inputs!$B$6="",0,COUNTIFS(Data!$A$10:$A$3209,"&gt;="&amp;$A1406,Data!$A$10:$A$3209,"&lt;"&amp;$A1406+1)))</f>
        <v/>
      </c>
      <c r="AE1406">
        <f>IF($B1406=0,0,IF(Inputs!$B$7="",0,COUNTIFS(Data!$E$10:$E$3209,"&gt;="&amp;$A1406,Data!$E$10:$E$3209,"&lt;"&amp;$A1406+1)))</f>
        <v/>
      </c>
      <c r="AF1406">
        <f>IF($B1406=0,0,IF(Inputs!$B$8="",0,COUNTIFS(Data!$I$10:$I$3209,"&gt;="&amp;$A1406,Data!$I$10:$I$3209,"&lt;"&amp;$A1406+1)))</f>
        <v/>
      </c>
      <c r="AG1406">
        <f>IF($B1406=0,0,IF(Inputs!$B$9="",0,COUNTIFS(Data!$M$10:$M$3209,"&gt;="&amp;$A1406,Data!$M$10:$M$3209,"&lt;"&amp;$A1406+1)))</f>
        <v/>
      </c>
      <c r="AH1406">
        <f>IF($B1406=0,0,IF(Inputs!$B$10="",0,COUNTIFS(Data!$Q$10:$Q$3209,"&gt;="&amp;$A1406,Data!$Q$10:$Q$3209,"&lt;"&amp;$A1406+1)))</f>
        <v/>
      </c>
    </row>
    <row r="1407">
      <c r="A1407" s="55">
        <f>MIN(Inputs!$C$15,$A1406+IF(WEEKDAY($A1406,2)=5,3,1))</f>
        <v/>
      </c>
      <c r="B1407">
        <f>IF($A1407&gt;$A1406,1,0)</f>
        <v/>
      </c>
      <c r="C1407" s="56">
        <f>IF($B1407=0,"",IF(Inputs!$B$6="","",IF($AD1407=0,C1406,SUMIFS(Data!$B$10:$B$3209,Data!$A$10:$A$3209,"&gt;="&amp;$A1407,Data!$A$10:$A$3209,"&lt;"&amp;$A1407+1)/$AD1407)))</f>
        <v/>
      </c>
      <c r="D1407" s="56">
        <f>IF($B1407=0,"",IF(Inputs!$B$7="","",IF($AE1407=0,D1406,SUMIFS(Data!$F$10:$F$3209,Data!$E$10:$E$3209,"&gt;="&amp;$A1407,Data!$E$10:$E$3209,"&lt;"&amp;$A1407+1)/$AE1407)))</f>
        <v/>
      </c>
      <c r="E1407" s="56">
        <f>IF($B1407=0,"",IF(Inputs!$B$8="","",IF($AF1407=0,E1406,SUMIFS(Data!$J$10:$J$3209,Data!$I$10:$I$3209,"&gt;="&amp;$A1407,Data!$I$10:$I$3209,"&lt;"&amp;$A1407+1)/$AF1407)))</f>
        <v/>
      </c>
      <c r="F1407" s="56">
        <f>IF($B1407=0,"",IF(Inputs!$B$9="","",IF($AG1407=0,F1406,SUMIFS(Data!$N$10:$N$3209,Data!$M$10:$M$3209,"&gt;="&amp;$A1407,Data!$M$10:$M$3209,"&lt;"&amp;$A1407+1)/$AG1407)))</f>
        <v/>
      </c>
      <c r="G1407" s="56">
        <f>IF($B1407=0,"",IF(Inputs!$B$10="","",IF($AH1407=0,G1406,SUMIFS(Data!$R$10:$R$3209,Data!$Q$10:$Q$3209,"&gt;="&amp;$A1407,Data!$Q$10:$Q$3209,"&lt;"&amp;$A1407+1)/$AH1407)))</f>
        <v/>
      </c>
      <c r="I1407" s="54">
        <f>IF($B1407=0,NA(),IF($C1407="",NA(),IF(C$8="",NA(),IF(N(C$8)=0,NA(),IF(Inputs!$C$17="Rebased to 100",$C1407/C$8*100,$C1407)))))</f>
        <v/>
      </c>
      <c r="J1407" s="54">
        <f>IF($B1407=0,NA(),IF($D1407="",NA(),IF(D$8="",NA(),IF(N(D$8)=0,NA(),IF(Inputs!$C$17="Rebased to 100",$D1407/D$8*100,$D1407)))))</f>
        <v/>
      </c>
      <c r="K1407" s="54">
        <f>IF($B1407=0,NA(),IF($E1407="",NA(),IF(E$8="",NA(),IF(N(E$8)=0,NA(),IF(Inputs!$C$17="Rebased to 100",$E1407/E$8*100,$E1407)))))</f>
        <v/>
      </c>
      <c r="L1407" s="54">
        <f>IF($B1407=0,NA(),IF($F1407="",NA(),IF(F$8="",NA(),IF(N(F$8)=0,NA(),IF(Inputs!$C$17="Rebased to 100",$F1407/F$8*100,$F1407)))))</f>
        <v/>
      </c>
      <c r="M1407" s="54">
        <f>IF($B1407=0,NA(),IF($G1407="",NA(),IF(G$8="",NA(),IF(N(G$8)=0,NA(),IF(Inputs!$C$17="Rebased to 100",$G1407/G$8*100,$G1407)))))</f>
        <v/>
      </c>
      <c r="N1407" s="54">
        <f>IF($B1407=0,NA(),IF(Inputs!$C$18&lt;&gt;"Yes",NA(),IF(COUNT(I1407,J1407,K1407,L1407,M1407)=0,NA(),MIN(I1407,J1407,K1407,L1407,M1407))))</f>
        <v/>
      </c>
      <c r="O1407" s="54">
        <f>IF($B1407=0,NA(),IF(Inputs!$B$24&lt;&gt;"Yes",NA(),Inputs!$D$24*Inputs!$C$35))</f>
        <v/>
      </c>
      <c r="P1407" s="54">
        <f>IF($B1407=0,NA(),IF(Inputs!$B$25&lt;&gt;"Yes",NA(),Inputs!$D$25*Inputs!$C$35))</f>
        <v/>
      </c>
      <c r="Q1407" s="54">
        <f>IF($B1407=0,NA(),IF(Inputs!$B$26&lt;&gt;"Yes",NA(),Inputs!$D$26*Inputs!$C$35))</f>
        <v/>
      </c>
      <c r="R1407" s="54">
        <f>IF($B1407=0,NA(),IF(Inputs!$B$27&lt;&gt;"Yes",NA(),Inputs!$D$27*Inputs!$C$35))</f>
        <v/>
      </c>
      <c r="S1407" s="54">
        <f>IF($B1407=0,NA(),IF(Inputs!$B$28&lt;&gt;"Yes",NA(),Inputs!$D$28*Inputs!$C$35))</f>
        <v/>
      </c>
      <c r="T1407" s="54">
        <f>IF($B1407=0,NA(),IF(Inputs!$B$29&lt;&gt;"Yes",NA(),Inputs!$D$29*Inputs!$C$35))</f>
        <v/>
      </c>
      <c r="AD1407">
        <f>IF($B1407=0,0,IF(Inputs!$B$6="",0,COUNTIFS(Data!$A$10:$A$3209,"&gt;="&amp;$A1407,Data!$A$10:$A$3209,"&lt;"&amp;$A1407+1)))</f>
        <v/>
      </c>
      <c r="AE1407">
        <f>IF($B1407=0,0,IF(Inputs!$B$7="",0,COUNTIFS(Data!$E$10:$E$3209,"&gt;="&amp;$A1407,Data!$E$10:$E$3209,"&lt;"&amp;$A1407+1)))</f>
        <v/>
      </c>
      <c r="AF1407">
        <f>IF($B1407=0,0,IF(Inputs!$B$8="",0,COUNTIFS(Data!$I$10:$I$3209,"&gt;="&amp;$A1407,Data!$I$10:$I$3209,"&lt;"&amp;$A1407+1)))</f>
        <v/>
      </c>
      <c r="AG1407">
        <f>IF($B1407=0,0,IF(Inputs!$B$9="",0,COUNTIFS(Data!$M$10:$M$3209,"&gt;="&amp;$A1407,Data!$M$10:$M$3209,"&lt;"&amp;$A1407+1)))</f>
        <v/>
      </c>
      <c r="AH1407">
        <f>IF($B1407=0,0,IF(Inputs!$B$10="",0,COUNTIFS(Data!$Q$10:$Q$3209,"&gt;="&amp;$A1407,Data!$Q$10:$Q$3209,"&lt;"&amp;$A1407+1)))</f>
        <v/>
      </c>
    </row>
    <row r="1408">
      <c r="A1408" s="55">
        <f>MIN(Inputs!$C$15,$A1407+IF(WEEKDAY($A1407,2)=5,3,1))</f>
        <v/>
      </c>
      <c r="B1408">
        <f>IF($A1408&gt;$A1407,1,0)</f>
        <v/>
      </c>
      <c r="C1408" s="56">
        <f>IF($B1408=0,"",IF(Inputs!$B$6="","",IF($AD1408=0,C1407,SUMIFS(Data!$B$10:$B$3209,Data!$A$10:$A$3209,"&gt;="&amp;$A1408,Data!$A$10:$A$3209,"&lt;"&amp;$A1408+1)/$AD1408)))</f>
        <v/>
      </c>
      <c r="D1408" s="56">
        <f>IF($B1408=0,"",IF(Inputs!$B$7="","",IF($AE1408=0,D1407,SUMIFS(Data!$F$10:$F$3209,Data!$E$10:$E$3209,"&gt;="&amp;$A1408,Data!$E$10:$E$3209,"&lt;"&amp;$A1408+1)/$AE1408)))</f>
        <v/>
      </c>
      <c r="E1408" s="56">
        <f>IF($B1408=0,"",IF(Inputs!$B$8="","",IF($AF1408=0,E1407,SUMIFS(Data!$J$10:$J$3209,Data!$I$10:$I$3209,"&gt;="&amp;$A1408,Data!$I$10:$I$3209,"&lt;"&amp;$A1408+1)/$AF1408)))</f>
        <v/>
      </c>
      <c r="F1408" s="56">
        <f>IF($B1408=0,"",IF(Inputs!$B$9="","",IF($AG1408=0,F1407,SUMIFS(Data!$N$10:$N$3209,Data!$M$10:$M$3209,"&gt;="&amp;$A1408,Data!$M$10:$M$3209,"&lt;"&amp;$A1408+1)/$AG1408)))</f>
        <v/>
      </c>
      <c r="G1408" s="56">
        <f>IF($B1408=0,"",IF(Inputs!$B$10="","",IF($AH1408=0,G1407,SUMIFS(Data!$R$10:$R$3209,Data!$Q$10:$Q$3209,"&gt;="&amp;$A1408,Data!$Q$10:$Q$3209,"&lt;"&amp;$A1408+1)/$AH1408)))</f>
        <v/>
      </c>
      <c r="I1408" s="54">
        <f>IF($B1408=0,NA(),IF($C1408="",NA(),IF(C$8="",NA(),IF(N(C$8)=0,NA(),IF(Inputs!$C$17="Rebased to 100",$C1408/C$8*100,$C1408)))))</f>
        <v/>
      </c>
      <c r="J1408" s="54">
        <f>IF($B1408=0,NA(),IF($D1408="",NA(),IF(D$8="",NA(),IF(N(D$8)=0,NA(),IF(Inputs!$C$17="Rebased to 100",$D1408/D$8*100,$D1408)))))</f>
        <v/>
      </c>
      <c r="K1408" s="54">
        <f>IF($B1408=0,NA(),IF($E1408="",NA(),IF(E$8="",NA(),IF(N(E$8)=0,NA(),IF(Inputs!$C$17="Rebased to 100",$E1408/E$8*100,$E1408)))))</f>
        <v/>
      </c>
      <c r="L1408" s="54">
        <f>IF($B1408=0,NA(),IF($F1408="",NA(),IF(F$8="",NA(),IF(N(F$8)=0,NA(),IF(Inputs!$C$17="Rebased to 100",$F1408/F$8*100,$F1408)))))</f>
        <v/>
      </c>
      <c r="M1408" s="54">
        <f>IF($B1408=0,NA(),IF($G1408="",NA(),IF(G$8="",NA(),IF(N(G$8)=0,NA(),IF(Inputs!$C$17="Rebased to 100",$G1408/G$8*100,$G1408)))))</f>
        <v/>
      </c>
      <c r="N1408" s="54">
        <f>IF($B1408=0,NA(),IF(Inputs!$C$18&lt;&gt;"Yes",NA(),IF(COUNT(I1408,J1408,K1408,L1408,M1408)=0,NA(),MIN(I1408,J1408,K1408,L1408,M1408))))</f>
        <v/>
      </c>
      <c r="O1408" s="54">
        <f>IF($B1408=0,NA(),IF(Inputs!$B$24&lt;&gt;"Yes",NA(),Inputs!$D$24*Inputs!$C$35))</f>
        <v/>
      </c>
      <c r="P1408" s="54">
        <f>IF($B1408=0,NA(),IF(Inputs!$B$25&lt;&gt;"Yes",NA(),Inputs!$D$25*Inputs!$C$35))</f>
        <v/>
      </c>
      <c r="Q1408" s="54">
        <f>IF($B1408=0,NA(),IF(Inputs!$B$26&lt;&gt;"Yes",NA(),Inputs!$D$26*Inputs!$C$35))</f>
        <v/>
      </c>
      <c r="R1408" s="54">
        <f>IF($B1408=0,NA(),IF(Inputs!$B$27&lt;&gt;"Yes",NA(),Inputs!$D$27*Inputs!$C$35))</f>
        <v/>
      </c>
      <c r="S1408" s="54">
        <f>IF($B1408=0,NA(),IF(Inputs!$B$28&lt;&gt;"Yes",NA(),Inputs!$D$28*Inputs!$C$35))</f>
        <v/>
      </c>
      <c r="T1408" s="54">
        <f>IF($B1408=0,NA(),IF(Inputs!$B$29&lt;&gt;"Yes",NA(),Inputs!$D$29*Inputs!$C$35))</f>
        <v/>
      </c>
      <c r="AD1408">
        <f>IF($B1408=0,0,IF(Inputs!$B$6="",0,COUNTIFS(Data!$A$10:$A$3209,"&gt;="&amp;$A1408,Data!$A$10:$A$3209,"&lt;"&amp;$A1408+1)))</f>
        <v/>
      </c>
      <c r="AE1408">
        <f>IF($B1408=0,0,IF(Inputs!$B$7="",0,COUNTIFS(Data!$E$10:$E$3209,"&gt;="&amp;$A1408,Data!$E$10:$E$3209,"&lt;"&amp;$A1408+1)))</f>
        <v/>
      </c>
      <c r="AF1408">
        <f>IF($B1408=0,0,IF(Inputs!$B$8="",0,COUNTIFS(Data!$I$10:$I$3209,"&gt;="&amp;$A1408,Data!$I$10:$I$3209,"&lt;"&amp;$A1408+1)))</f>
        <v/>
      </c>
      <c r="AG1408">
        <f>IF($B1408=0,0,IF(Inputs!$B$9="",0,COUNTIFS(Data!$M$10:$M$3209,"&gt;="&amp;$A1408,Data!$M$10:$M$3209,"&lt;"&amp;$A1408+1)))</f>
        <v/>
      </c>
      <c r="AH1408">
        <f>IF($B1408=0,0,IF(Inputs!$B$10="",0,COUNTIFS(Data!$Q$10:$Q$3209,"&gt;="&amp;$A1408,Data!$Q$10:$Q$3209,"&lt;"&amp;$A1408+1)))</f>
        <v/>
      </c>
    </row>
    <row r="1409">
      <c r="A1409" s="55">
        <f>MIN(Inputs!$C$15,$A1408+IF(WEEKDAY($A1408,2)=5,3,1))</f>
        <v/>
      </c>
      <c r="B1409">
        <f>IF($A1409&gt;$A1408,1,0)</f>
        <v/>
      </c>
      <c r="C1409" s="56">
        <f>IF($B1409=0,"",IF(Inputs!$B$6="","",IF($AD1409=0,C1408,SUMIFS(Data!$B$10:$B$3209,Data!$A$10:$A$3209,"&gt;="&amp;$A1409,Data!$A$10:$A$3209,"&lt;"&amp;$A1409+1)/$AD1409)))</f>
        <v/>
      </c>
      <c r="D1409" s="56">
        <f>IF($B1409=0,"",IF(Inputs!$B$7="","",IF($AE1409=0,D1408,SUMIFS(Data!$F$10:$F$3209,Data!$E$10:$E$3209,"&gt;="&amp;$A1409,Data!$E$10:$E$3209,"&lt;"&amp;$A1409+1)/$AE1409)))</f>
        <v/>
      </c>
      <c r="E1409" s="56">
        <f>IF($B1409=0,"",IF(Inputs!$B$8="","",IF($AF1409=0,E1408,SUMIFS(Data!$J$10:$J$3209,Data!$I$10:$I$3209,"&gt;="&amp;$A1409,Data!$I$10:$I$3209,"&lt;"&amp;$A1409+1)/$AF1409)))</f>
        <v/>
      </c>
      <c r="F1409" s="56">
        <f>IF($B1409=0,"",IF(Inputs!$B$9="","",IF($AG1409=0,F1408,SUMIFS(Data!$N$10:$N$3209,Data!$M$10:$M$3209,"&gt;="&amp;$A1409,Data!$M$10:$M$3209,"&lt;"&amp;$A1409+1)/$AG1409)))</f>
        <v/>
      </c>
      <c r="G1409" s="56">
        <f>IF($B1409=0,"",IF(Inputs!$B$10="","",IF($AH1409=0,G1408,SUMIFS(Data!$R$10:$R$3209,Data!$Q$10:$Q$3209,"&gt;="&amp;$A1409,Data!$Q$10:$Q$3209,"&lt;"&amp;$A1409+1)/$AH1409)))</f>
        <v/>
      </c>
      <c r="I1409" s="54">
        <f>IF($B1409=0,NA(),IF($C1409="",NA(),IF(C$8="",NA(),IF(N(C$8)=0,NA(),IF(Inputs!$C$17="Rebased to 100",$C1409/C$8*100,$C1409)))))</f>
        <v/>
      </c>
      <c r="J1409" s="54">
        <f>IF($B1409=0,NA(),IF($D1409="",NA(),IF(D$8="",NA(),IF(N(D$8)=0,NA(),IF(Inputs!$C$17="Rebased to 100",$D1409/D$8*100,$D1409)))))</f>
        <v/>
      </c>
      <c r="K1409" s="54">
        <f>IF($B1409=0,NA(),IF($E1409="",NA(),IF(E$8="",NA(),IF(N(E$8)=0,NA(),IF(Inputs!$C$17="Rebased to 100",$E1409/E$8*100,$E1409)))))</f>
        <v/>
      </c>
      <c r="L1409" s="54">
        <f>IF($B1409=0,NA(),IF($F1409="",NA(),IF(F$8="",NA(),IF(N(F$8)=0,NA(),IF(Inputs!$C$17="Rebased to 100",$F1409/F$8*100,$F1409)))))</f>
        <v/>
      </c>
      <c r="M1409" s="54">
        <f>IF($B1409=0,NA(),IF($G1409="",NA(),IF(G$8="",NA(),IF(N(G$8)=0,NA(),IF(Inputs!$C$17="Rebased to 100",$G1409/G$8*100,$G1409)))))</f>
        <v/>
      </c>
      <c r="N1409" s="54">
        <f>IF($B1409=0,NA(),IF(Inputs!$C$18&lt;&gt;"Yes",NA(),IF(COUNT(I1409,J1409,K1409,L1409,M1409)=0,NA(),MIN(I1409,J1409,K1409,L1409,M1409))))</f>
        <v/>
      </c>
      <c r="O1409" s="54">
        <f>IF($B1409=0,NA(),IF(Inputs!$B$24&lt;&gt;"Yes",NA(),Inputs!$D$24*Inputs!$C$35))</f>
        <v/>
      </c>
      <c r="P1409" s="54">
        <f>IF($B1409=0,NA(),IF(Inputs!$B$25&lt;&gt;"Yes",NA(),Inputs!$D$25*Inputs!$C$35))</f>
        <v/>
      </c>
      <c r="Q1409" s="54">
        <f>IF($B1409=0,NA(),IF(Inputs!$B$26&lt;&gt;"Yes",NA(),Inputs!$D$26*Inputs!$C$35))</f>
        <v/>
      </c>
      <c r="R1409" s="54">
        <f>IF($B1409=0,NA(),IF(Inputs!$B$27&lt;&gt;"Yes",NA(),Inputs!$D$27*Inputs!$C$35))</f>
        <v/>
      </c>
      <c r="S1409" s="54">
        <f>IF($B1409=0,NA(),IF(Inputs!$B$28&lt;&gt;"Yes",NA(),Inputs!$D$28*Inputs!$C$35))</f>
        <v/>
      </c>
      <c r="T1409" s="54">
        <f>IF($B1409=0,NA(),IF(Inputs!$B$29&lt;&gt;"Yes",NA(),Inputs!$D$29*Inputs!$C$35))</f>
        <v/>
      </c>
      <c r="AD1409">
        <f>IF($B1409=0,0,IF(Inputs!$B$6="",0,COUNTIFS(Data!$A$10:$A$3209,"&gt;="&amp;$A1409,Data!$A$10:$A$3209,"&lt;"&amp;$A1409+1)))</f>
        <v/>
      </c>
      <c r="AE1409">
        <f>IF($B1409=0,0,IF(Inputs!$B$7="",0,COUNTIFS(Data!$E$10:$E$3209,"&gt;="&amp;$A1409,Data!$E$10:$E$3209,"&lt;"&amp;$A1409+1)))</f>
        <v/>
      </c>
      <c r="AF1409">
        <f>IF($B1409=0,0,IF(Inputs!$B$8="",0,COUNTIFS(Data!$I$10:$I$3209,"&gt;="&amp;$A1409,Data!$I$10:$I$3209,"&lt;"&amp;$A1409+1)))</f>
        <v/>
      </c>
      <c r="AG1409">
        <f>IF($B1409=0,0,IF(Inputs!$B$9="",0,COUNTIFS(Data!$M$10:$M$3209,"&gt;="&amp;$A1409,Data!$M$10:$M$3209,"&lt;"&amp;$A1409+1)))</f>
        <v/>
      </c>
      <c r="AH1409">
        <f>IF($B1409=0,0,IF(Inputs!$B$10="",0,COUNTIFS(Data!$Q$10:$Q$3209,"&gt;="&amp;$A1409,Data!$Q$10:$Q$3209,"&lt;"&amp;$A1409+1)))</f>
        <v/>
      </c>
    </row>
    <row r="1410">
      <c r="A1410" s="55">
        <f>MIN(Inputs!$C$15,$A1409+IF(WEEKDAY($A1409,2)=5,3,1))</f>
        <v/>
      </c>
      <c r="B1410">
        <f>IF($A1410&gt;$A1409,1,0)</f>
        <v/>
      </c>
      <c r="C1410" s="56">
        <f>IF($B1410=0,"",IF(Inputs!$B$6="","",IF($AD1410=0,C1409,SUMIFS(Data!$B$10:$B$3209,Data!$A$10:$A$3209,"&gt;="&amp;$A1410,Data!$A$10:$A$3209,"&lt;"&amp;$A1410+1)/$AD1410)))</f>
        <v/>
      </c>
      <c r="D1410" s="56">
        <f>IF($B1410=0,"",IF(Inputs!$B$7="","",IF($AE1410=0,D1409,SUMIFS(Data!$F$10:$F$3209,Data!$E$10:$E$3209,"&gt;="&amp;$A1410,Data!$E$10:$E$3209,"&lt;"&amp;$A1410+1)/$AE1410)))</f>
        <v/>
      </c>
      <c r="E1410" s="56">
        <f>IF($B1410=0,"",IF(Inputs!$B$8="","",IF($AF1410=0,E1409,SUMIFS(Data!$J$10:$J$3209,Data!$I$10:$I$3209,"&gt;="&amp;$A1410,Data!$I$10:$I$3209,"&lt;"&amp;$A1410+1)/$AF1410)))</f>
        <v/>
      </c>
      <c r="F1410" s="56">
        <f>IF($B1410=0,"",IF(Inputs!$B$9="","",IF($AG1410=0,F1409,SUMIFS(Data!$N$10:$N$3209,Data!$M$10:$M$3209,"&gt;="&amp;$A1410,Data!$M$10:$M$3209,"&lt;"&amp;$A1410+1)/$AG1410)))</f>
        <v/>
      </c>
      <c r="G1410" s="56">
        <f>IF($B1410=0,"",IF(Inputs!$B$10="","",IF($AH1410=0,G1409,SUMIFS(Data!$R$10:$R$3209,Data!$Q$10:$Q$3209,"&gt;="&amp;$A1410,Data!$Q$10:$Q$3209,"&lt;"&amp;$A1410+1)/$AH1410)))</f>
        <v/>
      </c>
      <c r="I1410" s="54">
        <f>IF($B1410=0,NA(),IF($C1410="",NA(),IF(C$8="",NA(),IF(N(C$8)=0,NA(),IF(Inputs!$C$17="Rebased to 100",$C1410/C$8*100,$C1410)))))</f>
        <v/>
      </c>
      <c r="J1410" s="54">
        <f>IF($B1410=0,NA(),IF($D1410="",NA(),IF(D$8="",NA(),IF(N(D$8)=0,NA(),IF(Inputs!$C$17="Rebased to 100",$D1410/D$8*100,$D1410)))))</f>
        <v/>
      </c>
      <c r="K1410" s="54">
        <f>IF($B1410=0,NA(),IF($E1410="",NA(),IF(E$8="",NA(),IF(N(E$8)=0,NA(),IF(Inputs!$C$17="Rebased to 100",$E1410/E$8*100,$E1410)))))</f>
        <v/>
      </c>
      <c r="L1410" s="54">
        <f>IF($B1410=0,NA(),IF($F1410="",NA(),IF(F$8="",NA(),IF(N(F$8)=0,NA(),IF(Inputs!$C$17="Rebased to 100",$F1410/F$8*100,$F1410)))))</f>
        <v/>
      </c>
      <c r="M1410" s="54">
        <f>IF($B1410=0,NA(),IF($G1410="",NA(),IF(G$8="",NA(),IF(N(G$8)=0,NA(),IF(Inputs!$C$17="Rebased to 100",$G1410/G$8*100,$G1410)))))</f>
        <v/>
      </c>
      <c r="N1410" s="54">
        <f>IF($B1410=0,NA(),IF(Inputs!$C$18&lt;&gt;"Yes",NA(),IF(COUNT(I1410,J1410,K1410,L1410,M1410)=0,NA(),MIN(I1410,J1410,K1410,L1410,M1410))))</f>
        <v/>
      </c>
      <c r="O1410" s="54">
        <f>IF($B1410=0,NA(),IF(Inputs!$B$24&lt;&gt;"Yes",NA(),Inputs!$D$24*Inputs!$C$35))</f>
        <v/>
      </c>
      <c r="P1410" s="54">
        <f>IF($B1410=0,NA(),IF(Inputs!$B$25&lt;&gt;"Yes",NA(),Inputs!$D$25*Inputs!$C$35))</f>
        <v/>
      </c>
      <c r="Q1410" s="54">
        <f>IF($B1410=0,NA(),IF(Inputs!$B$26&lt;&gt;"Yes",NA(),Inputs!$D$26*Inputs!$C$35))</f>
        <v/>
      </c>
      <c r="R1410" s="54">
        <f>IF($B1410=0,NA(),IF(Inputs!$B$27&lt;&gt;"Yes",NA(),Inputs!$D$27*Inputs!$C$35))</f>
        <v/>
      </c>
      <c r="S1410" s="54">
        <f>IF($B1410=0,NA(),IF(Inputs!$B$28&lt;&gt;"Yes",NA(),Inputs!$D$28*Inputs!$C$35))</f>
        <v/>
      </c>
      <c r="T1410" s="54">
        <f>IF($B1410=0,NA(),IF(Inputs!$B$29&lt;&gt;"Yes",NA(),Inputs!$D$29*Inputs!$C$35))</f>
        <v/>
      </c>
      <c r="AD1410">
        <f>IF($B1410=0,0,IF(Inputs!$B$6="",0,COUNTIFS(Data!$A$10:$A$3209,"&gt;="&amp;$A1410,Data!$A$10:$A$3209,"&lt;"&amp;$A1410+1)))</f>
        <v/>
      </c>
      <c r="AE1410">
        <f>IF($B1410=0,0,IF(Inputs!$B$7="",0,COUNTIFS(Data!$E$10:$E$3209,"&gt;="&amp;$A1410,Data!$E$10:$E$3209,"&lt;"&amp;$A1410+1)))</f>
        <v/>
      </c>
      <c r="AF1410">
        <f>IF($B1410=0,0,IF(Inputs!$B$8="",0,COUNTIFS(Data!$I$10:$I$3209,"&gt;="&amp;$A1410,Data!$I$10:$I$3209,"&lt;"&amp;$A1410+1)))</f>
        <v/>
      </c>
      <c r="AG1410">
        <f>IF($B1410=0,0,IF(Inputs!$B$9="",0,COUNTIFS(Data!$M$10:$M$3209,"&gt;="&amp;$A1410,Data!$M$10:$M$3209,"&lt;"&amp;$A1410+1)))</f>
        <v/>
      </c>
      <c r="AH1410">
        <f>IF($B1410=0,0,IF(Inputs!$B$10="",0,COUNTIFS(Data!$Q$10:$Q$3209,"&gt;="&amp;$A1410,Data!$Q$10:$Q$3209,"&lt;"&amp;$A1410+1)))</f>
        <v/>
      </c>
    </row>
    <row r="1411">
      <c r="A1411" s="55">
        <f>MIN(Inputs!$C$15,$A1410+IF(WEEKDAY($A1410,2)=5,3,1))</f>
        <v/>
      </c>
      <c r="B1411">
        <f>IF($A1411&gt;$A1410,1,0)</f>
        <v/>
      </c>
      <c r="C1411" s="56">
        <f>IF($B1411=0,"",IF(Inputs!$B$6="","",IF($AD1411=0,C1410,SUMIFS(Data!$B$10:$B$3209,Data!$A$10:$A$3209,"&gt;="&amp;$A1411,Data!$A$10:$A$3209,"&lt;"&amp;$A1411+1)/$AD1411)))</f>
        <v/>
      </c>
      <c r="D1411" s="56">
        <f>IF($B1411=0,"",IF(Inputs!$B$7="","",IF($AE1411=0,D1410,SUMIFS(Data!$F$10:$F$3209,Data!$E$10:$E$3209,"&gt;="&amp;$A1411,Data!$E$10:$E$3209,"&lt;"&amp;$A1411+1)/$AE1411)))</f>
        <v/>
      </c>
      <c r="E1411" s="56">
        <f>IF($B1411=0,"",IF(Inputs!$B$8="","",IF($AF1411=0,E1410,SUMIFS(Data!$J$10:$J$3209,Data!$I$10:$I$3209,"&gt;="&amp;$A1411,Data!$I$10:$I$3209,"&lt;"&amp;$A1411+1)/$AF1411)))</f>
        <v/>
      </c>
      <c r="F1411" s="56">
        <f>IF($B1411=0,"",IF(Inputs!$B$9="","",IF($AG1411=0,F1410,SUMIFS(Data!$N$10:$N$3209,Data!$M$10:$M$3209,"&gt;="&amp;$A1411,Data!$M$10:$M$3209,"&lt;"&amp;$A1411+1)/$AG1411)))</f>
        <v/>
      </c>
      <c r="G1411" s="56">
        <f>IF($B1411=0,"",IF(Inputs!$B$10="","",IF($AH1411=0,G1410,SUMIFS(Data!$R$10:$R$3209,Data!$Q$10:$Q$3209,"&gt;="&amp;$A1411,Data!$Q$10:$Q$3209,"&lt;"&amp;$A1411+1)/$AH1411)))</f>
        <v/>
      </c>
      <c r="I1411" s="54">
        <f>IF($B1411=0,NA(),IF($C1411="",NA(),IF(C$8="",NA(),IF(N(C$8)=0,NA(),IF(Inputs!$C$17="Rebased to 100",$C1411/C$8*100,$C1411)))))</f>
        <v/>
      </c>
      <c r="J1411" s="54">
        <f>IF($B1411=0,NA(),IF($D1411="",NA(),IF(D$8="",NA(),IF(N(D$8)=0,NA(),IF(Inputs!$C$17="Rebased to 100",$D1411/D$8*100,$D1411)))))</f>
        <v/>
      </c>
      <c r="K1411" s="54">
        <f>IF($B1411=0,NA(),IF($E1411="",NA(),IF(E$8="",NA(),IF(N(E$8)=0,NA(),IF(Inputs!$C$17="Rebased to 100",$E1411/E$8*100,$E1411)))))</f>
        <v/>
      </c>
      <c r="L1411" s="54">
        <f>IF($B1411=0,NA(),IF($F1411="",NA(),IF(F$8="",NA(),IF(N(F$8)=0,NA(),IF(Inputs!$C$17="Rebased to 100",$F1411/F$8*100,$F1411)))))</f>
        <v/>
      </c>
      <c r="M1411" s="54">
        <f>IF($B1411=0,NA(),IF($G1411="",NA(),IF(G$8="",NA(),IF(N(G$8)=0,NA(),IF(Inputs!$C$17="Rebased to 100",$G1411/G$8*100,$G1411)))))</f>
        <v/>
      </c>
      <c r="N1411" s="54">
        <f>IF($B1411=0,NA(),IF(Inputs!$C$18&lt;&gt;"Yes",NA(),IF(COUNT(I1411,J1411,K1411,L1411,M1411)=0,NA(),MIN(I1411,J1411,K1411,L1411,M1411))))</f>
        <v/>
      </c>
      <c r="O1411" s="54">
        <f>IF($B1411=0,NA(),IF(Inputs!$B$24&lt;&gt;"Yes",NA(),Inputs!$D$24*Inputs!$C$35))</f>
        <v/>
      </c>
      <c r="P1411" s="54">
        <f>IF($B1411=0,NA(),IF(Inputs!$B$25&lt;&gt;"Yes",NA(),Inputs!$D$25*Inputs!$C$35))</f>
        <v/>
      </c>
      <c r="Q1411" s="54">
        <f>IF($B1411=0,NA(),IF(Inputs!$B$26&lt;&gt;"Yes",NA(),Inputs!$D$26*Inputs!$C$35))</f>
        <v/>
      </c>
      <c r="R1411" s="54">
        <f>IF($B1411=0,NA(),IF(Inputs!$B$27&lt;&gt;"Yes",NA(),Inputs!$D$27*Inputs!$C$35))</f>
        <v/>
      </c>
      <c r="S1411" s="54">
        <f>IF($B1411=0,NA(),IF(Inputs!$B$28&lt;&gt;"Yes",NA(),Inputs!$D$28*Inputs!$C$35))</f>
        <v/>
      </c>
      <c r="T1411" s="54">
        <f>IF($B1411=0,NA(),IF(Inputs!$B$29&lt;&gt;"Yes",NA(),Inputs!$D$29*Inputs!$C$35))</f>
        <v/>
      </c>
      <c r="AD1411">
        <f>IF($B1411=0,0,IF(Inputs!$B$6="",0,COUNTIFS(Data!$A$10:$A$3209,"&gt;="&amp;$A1411,Data!$A$10:$A$3209,"&lt;"&amp;$A1411+1)))</f>
        <v/>
      </c>
      <c r="AE1411">
        <f>IF($B1411=0,0,IF(Inputs!$B$7="",0,COUNTIFS(Data!$E$10:$E$3209,"&gt;="&amp;$A1411,Data!$E$10:$E$3209,"&lt;"&amp;$A1411+1)))</f>
        <v/>
      </c>
      <c r="AF1411">
        <f>IF($B1411=0,0,IF(Inputs!$B$8="",0,COUNTIFS(Data!$I$10:$I$3209,"&gt;="&amp;$A1411,Data!$I$10:$I$3209,"&lt;"&amp;$A1411+1)))</f>
        <v/>
      </c>
      <c r="AG1411">
        <f>IF($B1411=0,0,IF(Inputs!$B$9="",0,COUNTIFS(Data!$M$10:$M$3209,"&gt;="&amp;$A1411,Data!$M$10:$M$3209,"&lt;"&amp;$A1411+1)))</f>
        <v/>
      </c>
      <c r="AH1411">
        <f>IF($B1411=0,0,IF(Inputs!$B$10="",0,COUNTIFS(Data!$Q$10:$Q$3209,"&gt;="&amp;$A1411,Data!$Q$10:$Q$3209,"&lt;"&amp;$A1411+1)))</f>
        <v/>
      </c>
    </row>
    <row r="1412">
      <c r="A1412" s="55">
        <f>MIN(Inputs!$C$15,$A1411+IF(WEEKDAY($A1411,2)=5,3,1))</f>
        <v/>
      </c>
      <c r="B1412">
        <f>IF($A1412&gt;$A1411,1,0)</f>
        <v/>
      </c>
      <c r="C1412" s="56">
        <f>IF($B1412=0,"",IF(Inputs!$B$6="","",IF($AD1412=0,C1411,SUMIFS(Data!$B$10:$B$3209,Data!$A$10:$A$3209,"&gt;="&amp;$A1412,Data!$A$10:$A$3209,"&lt;"&amp;$A1412+1)/$AD1412)))</f>
        <v/>
      </c>
      <c r="D1412" s="56">
        <f>IF($B1412=0,"",IF(Inputs!$B$7="","",IF($AE1412=0,D1411,SUMIFS(Data!$F$10:$F$3209,Data!$E$10:$E$3209,"&gt;="&amp;$A1412,Data!$E$10:$E$3209,"&lt;"&amp;$A1412+1)/$AE1412)))</f>
        <v/>
      </c>
      <c r="E1412" s="56">
        <f>IF($B1412=0,"",IF(Inputs!$B$8="","",IF($AF1412=0,E1411,SUMIFS(Data!$J$10:$J$3209,Data!$I$10:$I$3209,"&gt;="&amp;$A1412,Data!$I$10:$I$3209,"&lt;"&amp;$A1412+1)/$AF1412)))</f>
        <v/>
      </c>
      <c r="F1412" s="56">
        <f>IF($B1412=0,"",IF(Inputs!$B$9="","",IF($AG1412=0,F1411,SUMIFS(Data!$N$10:$N$3209,Data!$M$10:$M$3209,"&gt;="&amp;$A1412,Data!$M$10:$M$3209,"&lt;"&amp;$A1412+1)/$AG1412)))</f>
        <v/>
      </c>
      <c r="G1412" s="56">
        <f>IF($B1412=0,"",IF(Inputs!$B$10="","",IF($AH1412=0,G1411,SUMIFS(Data!$R$10:$R$3209,Data!$Q$10:$Q$3209,"&gt;="&amp;$A1412,Data!$Q$10:$Q$3209,"&lt;"&amp;$A1412+1)/$AH1412)))</f>
        <v/>
      </c>
      <c r="I1412" s="54">
        <f>IF($B1412=0,NA(),IF($C1412="",NA(),IF(C$8="",NA(),IF(N(C$8)=0,NA(),IF(Inputs!$C$17="Rebased to 100",$C1412/C$8*100,$C1412)))))</f>
        <v/>
      </c>
      <c r="J1412" s="54">
        <f>IF($B1412=0,NA(),IF($D1412="",NA(),IF(D$8="",NA(),IF(N(D$8)=0,NA(),IF(Inputs!$C$17="Rebased to 100",$D1412/D$8*100,$D1412)))))</f>
        <v/>
      </c>
      <c r="K1412" s="54">
        <f>IF($B1412=0,NA(),IF($E1412="",NA(),IF(E$8="",NA(),IF(N(E$8)=0,NA(),IF(Inputs!$C$17="Rebased to 100",$E1412/E$8*100,$E1412)))))</f>
        <v/>
      </c>
      <c r="L1412" s="54">
        <f>IF($B1412=0,NA(),IF($F1412="",NA(),IF(F$8="",NA(),IF(N(F$8)=0,NA(),IF(Inputs!$C$17="Rebased to 100",$F1412/F$8*100,$F1412)))))</f>
        <v/>
      </c>
      <c r="M1412" s="54">
        <f>IF($B1412=0,NA(),IF($G1412="",NA(),IF(G$8="",NA(),IF(N(G$8)=0,NA(),IF(Inputs!$C$17="Rebased to 100",$G1412/G$8*100,$G1412)))))</f>
        <v/>
      </c>
      <c r="N1412" s="54">
        <f>IF($B1412=0,NA(),IF(Inputs!$C$18&lt;&gt;"Yes",NA(),IF(COUNT(I1412,J1412,K1412,L1412,M1412)=0,NA(),MIN(I1412,J1412,K1412,L1412,M1412))))</f>
        <v/>
      </c>
      <c r="O1412" s="54">
        <f>IF($B1412=0,NA(),IF(Inputs!$B$24&lt;&gt;"Yes",NA(),Inputs!$D$24*Inputs!$C$35))</f>
        <v/>
      </c>
      <c r="P1412" s="54">
        <f>IF($B1412=0,NA(),IF(Inputs!$B$25&lt;&gt;"Yes",NA(),Inputs!$D$25*Inputs!$C$35))</f>
        <v/>
      </c>
      <c r="Q1412" s="54">
        <f>IF($B1412=0,NA(),IF(Inputs!$B$26&lt;&gt;"Yes",NA(),Inputs!$D$26*Inputs!$C$35))</f>
        <v/>
      </c>
      <c r="R1412" s="54">
        <f>IF($B1412=0,NA(),IF(Inputs!$B$27&lt;&gt;"Yes",NA(),Inputs!$D$27*Inputs!$C$35))</f>
        <v/>
      </c>
      <c r="S1412" s="54">
        <f>IF($B1412=0,NA(),IF(Inputs!$B$28&lt;&gt;"Yes",NA(),Inputs!$D$28*Inputs!$C$35))</f>
        <v/>
      </c>
      <c r="T1412" s="54">
        <f>IF($B1412=0,NA(),IF(Inputs!$B$29&lt;&gt;"Yes",NA(),Inputs!$D$29*Inputs!$C$35))</f>
        <v/>
      </c>
      <c r="AD1412">
        <f>IF($B1412=0,0,IF(Inputs!$B$6="",0,COUNTIFS(Data!$A$10:$A$3209,"&gt;="&amp;$A1412,Data!$A$10:$A$3209,"&lt;"&amp;$A1412+1)))</f>
        <v/>
      </c>
      <c r="AE1412">
        <f>IF($B1412=0,0,IF(Inputs!$B$7="",0,COUNTIFS(Data!$E$10:$E$3209,"&gt;="&amp;$A1412,Data!$E$10:$E$3209,"&lt;"&amp;$A1412+1)))</f>
        <v/>
      </c>
      <c r="AF1412">
        <f>IF($B1412=0,0,IF(Inputs!$B$8="",0,COUNTIFS(Data!$I$10:$I$3209,"&gt;="&amp;$A1412,Data!$I$10:$I$3209,"&lt;"&amp;$A1412+1)))</f>
        <v/>
      </c>
      <c r="AG1412">
        <f>IF($B1412=0,0,IF(Inputs!$B$9="",0,COUNTIFS(Data!$M$10:$M$3209,"&gt;="&amp;$A1412,Data!$M$10:$M$3209,"&lt;"&amp;$A1412+1)))</f>
        <v/>
      </c>
      <c r="AH1412">
        <f>IF($B1412=0,0,IF(Inputs!$B$10="",0,COUNTIFS(Data!$Q$10:$Q$3209,"&gt;="&amp;$A1412,Data!$Q$10:$Q$3209,"&lt;"&amp;$A1412+1)))</f>
        <v/>
      </c>
    </row>
    <row r="1413">
      <c r="A1413" s="55">
        <f>MIN(Inputs!$C$15,$A1412+IF(WEEKDAY($A1412,2)=5,3,1))</f>
        <v/>
      </c>
      <c r="B1413">
        <f>IF($A1413&gt;$A1412,1,0)</f>
        <v/>
      </c>
      <c r="C1413" s="56">
        <f>IF($B1413=0,"",IF(Inputs!$B$6="","",IF($AD1413=0,C1412,SUMIFS(Data!$B$10:$B$3209,Data!$A$10:$A$3209,"&gt;="&amp;$A1413,Data!$A$10:$A$3209,"&lt;"&amp;$A1413+1)/$AD1413)))</f>
        <v/>
      </c>
      <c r="D1413" s="56">
        <f>IF($B1413=0,"",IF(Inputs!$B$7="","",IF($AE1413=0,D1412,SUMIFS(Data!$F$10:$F$3209,Data!$E$10:$E$3209,"&gt;="&amp;$A1413,Data!$E$10:$E$3209,"&lt;"&amp;$A1413+1)/$AE1413)))</f>
        <v/>
      </c>
      <c r="E1413" s="56">
        <f>IF($B1413=0,"",IF(Inputs!$B$8="","",IF($AF1413=0,E1412,SUMIFS(Data!$J$10:$J$3209,Data!$I$10:$I$3209,"&gt;="&amp;$A1413,Data!$I$10:$I$3209,"&lt;"&amp;$A1413+1)/$AF1413)))</f>
        <v/>
      </c>
      <c r="F1413" s="56">
        <f>IF($B1413=0,"",IF(Inputs!$B$9="","",IF($AG1413=0,F1412,SUMIFS(Data!$N$10:$N$3209,Data!$M$10:$M$3209,"&gt;="&amp;$A1413,Data!$M$10:$M$3209,"&lt;"&amp;$A1413+1)/$AG1413)))</f>
        <v/>
      </c>
      <c r="G1413" s="56">
        <f>IF($B1413=0,"",IF(Inputs!$B$10="","",IF($AH1413=0,G1412,SUMIFS(Data!$R$10:$R$3209,Data!$Q$10:$Q$3209,"&gt;="&amp;$A1413,Data!$Q$10:$Q$3209,"&lt;"&amp;$A1413+1)/$AH1413)))</f>
        <v/>
      </c>
      <c r="I1413" s="54">
        <f>IF($B1413=0,NA(),IF($C1413="",NA(),IF(C$8="",NA(),IF(N(C$8)=0,NA(),IF(Inputs!$C$17="Rebased to 100",$C1413/C$8*100,$C1413)))))</f>
        <v/>
      </c>
      <c r="J1413" s="54">
        <f>IF($B1413=0,NA(),IF($D1413="",NA(),IF(D$8="",NA(),IF(N(D$8)=0,NA(),IF(Inputs!$C$17="Rebased to 100",$D1413/D$8*100,$D1413)))))</f>
        <v/>
      </c>
      <c r="K1413" s="54">
        <f>IF($B1413=0,NA(),IF($E1413="",NA(),IF(E$8="",NA(),IF(N(E$8)=0,NA(),IF(Inputs!$C$17="Rebased to 100",$E1413/E$8*100,$E1413)))))</f>
        <v/>
      </c>
      <c r="L1413" s="54">
        <f>IF($B1413=0,NA(),IF($F1413="",NA(),IF(F$8="",NA(),IF(N(F$8)=0,NA(),IF(Inputs!$C$17="Rebased to 100",$F1413/F$8*100,$F1413)))))</f>
        <v/>
      </c>
      <c r="M1413" s="54">
        <f>IF($B1413=0,NA(),IF($G1413="",NA(),IF(G$8="",NA(),IF(N(G$8)=0,NA(),IF(Inputs!$C$17="Rebased to 100",$G1413/G$8*100,$G1413)))))</f>
        <v/>
      </c>
      <c r="N1413" s="54">
        <f>IF($B1413=0,NA(),IF(Inputs!$C$18&lt;&gt;"Yes",NA(),IF(COUNT(I1413,J1413,K1413,L1413,M1413)=0,NA(),MIN(I1413,J1413,K1413,L1413,M1413))))</f>
        <v/>
      </c>
      <c r="O1413" s="54">
        <f>IF($B1413=0,NA(),IF(Inputs!$B$24&lt;&gt;"Yes",NA(),Inputs!$D$24*Inputs!$C$35))</f>
        <v/>
      </c>
      <c r="P1413" s="54">
        <f>IF($B1413=0,NA(),IF(Inputs!$B$25&lt;&gt;"Yes",NA(),Inputs!$D$25*Inputs!$C$35))</f>
        <v/>
      </c>
      <c r="Q1413" s="54">
        <f>IF($B1413=0,NA(),IF(Inputs!$B$26&lt;&gt;"Yes",NA(),Inputs!$D$26*Inputs!$C$35))</f>
        <v/>
      </c>
      <c r="R1413" s="54">
        <f>IF($B1413=0,NA(),IF(Inputs!$B$27&lt;&gt;"Yes",NA(),Inputs!$D$27*Inputs!$C$35))</f>
        <v/>
      </c>
      <c r="S1413" s="54">
        <f>IF($B1413=0,NA(),IF(Inputs!$B$28&lt;&gt;"Yes",NA(),Inputs!$D$28*Inputs!$C$35))</f>
        <v/>
      </c>
      <c r="T1413" s="54">
        <f>IF($B1413=0,NA(),IF(Inputs!$B$29&lt;&gt;"Yes",NA(),Inputs!$D$29*Inputs!$C$35))</f>
        <v/>
      </c>
      <c r="AD1413">
        <f>IF($B1413=0,0,IF(Inputs!$B$6="",0,COUNTIFS(Data!$A$10:$A$3209,"&gt;="&amp;$A1413,Data!$A$10:$A$3209,"&lt;"&amp;$A1413+1)))</f>
        <v/>
      </c>
      <c r="AE1413">
        <f>IF($B1413=0,0,IF(Inputs!$B$7="",0,COUNTIFS(Data!$E$10:$E$3209,"&gt;="&amp;$A1413,Data!$E$10:$E$3209,"&lt;"&amp;$A1413+1)))</f>
        <v/>
      </c>
      <c r="AF1413">
        <f>IF($B1413=0,0,IF(Inputs!$B$8="",0,COUNTIFS(Data!$I$10:$I$3209,"&gt;="&amp;$A1413,Data!$I$10:$I$3209,"&lt;"&amp;$A1413+1)))</f>
        <v/>
      </c>
      <c r="AG1413">
        <f>IF($B1413=0,0,IF(Inputs!$B$9="",0,COUNTIFS(Data!$M$10:$M$3209,"&gt;="&amp;$A1413,Data!$M$10:$M$3209,"&lt;"&amp;$A1413+1)))</f>
        <v/>
      </c>
      <c r="AH1413">
        <f>IF($B1413=0,0,IF(Inputs!$B$10="",0,COUNTIFS(Data!$Q$10:$Q$3209,"&gt;="&amp;$A1413,Data!$Q$10:$Q$3209,"&lt;"&amp;$A1413+1)))</f>
        <v/>
      </c>
    </row>
    <row r="1414">
      <c r="A1414" s="55">
        <f>MIN(Inputs!$C$15,$A1413+IF(WEEKDAY($A1413,2)=5,3,1))</f>
        <v/>
      </c>
      <c r="B1414">
        <f>IF($A1414&gt;$A1413,1,0)</f>
        <v/>
      </c>
      <c r="C1414" s="56">
        <f>IF($B1414=0,"",IF(Inputs!$B$6="","",IF($AD1414=0,C1413,SUMIFS(Data!$B$10:$B$3209,Data!$A$10:$A$3209,"&gt;="&amp;$A1414,Data!$A$10:$A$3209,"&lt;"&amp;$A1414+1)/$AD1414)))</f>
        <v/>
      </c>
      <c r="D1414" s="56">
        <f>IF($B1414=0,"",IF(Inputs!$B$7="","",IF($AE1414=0,D1413,SUMIFS(Data!$F$10:$F$3209,Data!$E$10:$E$3209,"&gt;="&amp;$A1414,Data!$E$10:$E$3209,"&lt;"&amp;$A1414+1)/$AE1414)))</f>
        <v/>
      </c>
      <c r="E1414" s="56">
        <f>IF($B1414=0,"",IF(Inputs!$B$8="","",IF($AF1414=0,E1413,SUMIFS(Data!$J$10:$J$3209,Data!$I$10:$I$3209,"&gt;="&amp;$A1414,Data!$I$10:$I$3209,"&lt;"&amp;$A1414+1)/$AF1414)))</f>
        <v/>
      </c>
      <c r="F1414" s="56">
        <f>IF($B1414=0,"",IF(Inputs!$B$9="","",IF($AG1414=0,F1413,SUMIFS(Data!$N$10:$N$3209,Data!$M$10:$M$3209,"&gt;="&amp;$A1414,Data!$M$10:$M$3209,"&lt;"&amp;$A1414+1)/$AG1414)))</f>
        <v/>
      </c>
      <c r="G1414" s="56">
        <f>IF($B1414=0,"",IF(Inputs!$B$10="","",IF($AH1414=0,G1413,SUMIFS(Data!$R$10:$R$3209,Data!$Q$10:$Q$3209,"&gt;="&amp;$A1414,Data!$Q$10:$Q$3209,"&lt;"&amp;$A1414+1)/$AH1414)))</f>
        <v/>
      </c>
      <c r="I1414" s="54">
        <f>IF($B1414=0,NA(),IF($C1414="",NA(),IF(C$8="",NA(),IF(N(C$8)=0,NA(),IF(Inputs!$C$17="Rebased to 100",$C1414/C$8*100,$C1414)))))</f>
        <v/>
      </c>
      <c r="J1414" s="54">
        <f>IF($B1414=0,NA(),IF($D1414="",NA(),IF(D$8="",NA(),IF(N(D$8)=0,NA(),IF(Inputs!$C$17="Rebased to 100",$D1414/D$8*100,$D1414)))))</f>
        <v/>
      </c>
      <c r="K1414" s="54">
        <f>IF($B1414=0,NA(),IF($E1414="",NA(),IF(E$8="",NA(),IF(N(E$8)=0,NA(),IF(Inputs!$C$17="Rebased to 100",$E1414/E$8*100,$E1414)))))</f>
        <v/>
      </c>
      <c r="L1414" s="54">
        <f>IF($B1414=0,NA(),IF($F1414="",NA(),IF(F$8="",NA(),IF(N(F$8)=0,NA(),IF(Inputs!$C$17="Rebased to 100",$F1414/F$8*100,$F1414)))))</f>
        <v/>
      </c>
      <c r="M1414" s="54">
        <f>IF($B1414=0,NA(),IF($G1414="",NA(),IF(G$8="",NA(),IF(N(G$8)=0,NA(),IF(Inputs!$C$17="Rebased to 100",$G1414/G$8*100,$G1414)))))</f>
        <v/>
      </c>
      <c r="N1414" s="54">
        <f>IF($B1414=0,NA(),IF(Inputs!$C$18&lt;&gt;"Yes",NA(),IF(COUNT(I1414,J1414,K1414,L1414,M1414)=0,NA(),MIN(I1414,J1414,K1414,L1414,M1414))))</f>
        <v/>
      </c>
      <c r="O1414" s="54">
        <f>IF($B1414=0,NA(),IF(Inputs!$B$24&lt;&gt;"Yes",NA(),Inputs!$D$24*Inputs!$C$35))</f>
        <v/>
      </c>
      <c r="P1414" s="54">
        <f>IF($B1414=0,NA(),IF(Inputs!$B$25&lt;&gt;"Yes",NA(),Inputs!$D$25*Inputs!$C$35))</f>
        <v/>
      </c>
      <c r="Q1414" s="54">
        <f>IF($B1414=0,NA(),IF(Inputs!$B$26&lt;&gt;"Yes",NA(),Inputs!$D$26*Inputs!$C$35))</f>
        <v/>
      </c>
      <c r="R1414" s="54">
        <f>IF($B1414=0,NA(),IF(Inputs!$B$27&lt;&gt;"Yes",NA(),Inputs!$D$27*Inputs!$C$35))</f>
        <v/>
      </c>
      <c r="S1414" s="54">
        <f>IF($B1414=0,NA(),IF(Inputs!$B$28&lt;&gt;"Yes",NA(),Inputs!$D$28*Inputs!$C$35))</f>
        <v/>
      </c>
      <c r="T1414" s="54">
        <f>IF($B1414=0,NA(),IF(Inputs!$B$29&lt;&gt;"Yes",NA(),Inputs!$D$29*Inputs!$C$35))</f>
        <v/>
      </c>
      <c r="AD1414">
        <f>IF($B1414=0,0,IF(Inputs!$B$6="",0,COUNTIFS(Data!$A$10:$A$3209,"&gt;="&amp;$A1414,Data!$A$10:$A$3209,"&lt;"&amp;$A1414+1)))</f>
        <v/>
      </c>
      <c r="AE1414">
        <f>IF($B1414=0,0,IF(Inputs!$B$7="",0,COUNTIFS(Data!$E$10:$E$3209,"&gt;="&amp;$A1414,Data!$E$10:$E$3209,"&lt;"&amp;$A1414+1)))</f>
        <v/>
      </c>
      <c r="AF1414">
        <f>IF($B1414=0,0,IF(Inputs!$B$8="",0,COUNTIFS(Data!$I$10:$I$3209,"&gt;="&amp;$A1414,Data!$I$10:$I$3209,"&lt;"&amp;$A1414+1)))</f>
        <v/>
      </c>
      <c r="AG1414">
        <f>IF($B1414=0,0,IF(Inputs!$B$9="",0,COUNTIFS(Data!$M$10:$M$3209,"&gt;="&amp;$A1414,Data!$M$10:$M$3209,"&lt;"&amp;$A1414+1)))</f>
        <v/>
      </c>
      <c r="AH1414">
        <f>IF($B1414=0,0,IF(Inputs!$B$10="",0,COUNTIFS(Data!$Q$10:$Q$3209,"&gt;="&amp;$A1414,Data!$Q$10:$Q$3209,"&lt;"&amp;$A1414+1)))</f>
        <v/>
      </c>
    </row>
    <row r="1415">
      <c r="A1415" s="55">
        <f>MIN(Inputs!$C$15,$A1414+IF(WEEKDAY($A1414,2)=5,3,1))</f>
        <v/>
      </c>
      <c r="B1415">
        <f>IF($A1415&gt;$A1414,1,0)</f>
        <v/>
      </c>
      <c r="C1415" s="56">
        <f>IF($B1415=0,"",IF(Inputs!$B$6="","",IF($AD1415=0,C1414,SUMIFS(Data!$B$10:$B$3209,Data!$A$10:$A$3209,"&gt;="&amp;$A1415,Data!$A$10:$A$3209,"&lt;"&amp;$A1415+1)/$AD1415)))</f>
        <v/>
      </c>
      <c r="D1415" s="56">
        <f>IF($B1415=0,"",IF(Inputs!$B$7="","",IF($AE1415=0,D1414,SUMIFS(Data!$F$10:$F$3209,Data!$E$10:$E$3209,"&gt;="&amp;$A1415,Data!$E$10:$E$3209,"&lt;"&amp;$A1415+1)/$AE1415)))</f>
        <v/>
      </c>
      <c r="E1415" s="56">
        <f>IF($B1415=0,"",IF(Inputs!$B$8="","",IF($AF1415=0,E1414,SUMIFS(Data!$J$10:$J$3209,Data!$I$10:$I$3209,"&gt;="&amp;$A1415,Data!$I$10:$I$3209,"&lt;"&amp;$A1415+1)/$AF1415)))</f>
        <v/>
      </c>
      <c r="F1415" s="56">
        <f>IF($B1415=0,"",IF(Inputs!$B$9="","",IF($AG1415=0,F1414,SUMIFS(Data!$N$10:$N$3209,Data!$M$10:$M$3209,"&gt;="&amp;$A1415,Data!$M$10:$M$3209,"&lt;"&amp;$A1415+1)/$AG1415)))</f>
        <v/>
      </c>
      <c r="G1415" s="56">
        <f>IF($B1415=0,"",IF(Inputs!$B$10="","",IF($AH1415=0,G1414,SUMIFS(Data!$R$10:$R$3209,Data!$Q$10:$Q$3209,"&gt;="&amp;$A1415,Data!$Q$10:$Q$3209,"&lt;"&amp;$A1415+1)/$AH1415)))</f>
        <v/>
      </c>
      <c r="I1415" s="54">
        <f>IF($B1415=0,NA(),IF($C1415="",NA(),IF(C$8="",NA(),IF(N(C$8)=0,NA(),IF(Inputs!$C$17="Rebased to 100",$C1415/C$8*100,$C1415)))))</f>
        <v/>
      </c>
      <c r="J1415" s="54">
        <f>IF($B1415=0,NA(),IF($D1415="",NA(),IF(D$8="",NA(),IF(N(D$8)=0,NA(),IF(Inputs!$C$17="Rebased to 100",$D1415/D$8*100,$D1415)))))</f>
        <v/>
      </c>
      <c r="K1415" s="54">
        <f>IF($B1415=0,NA(),IF($E1415="",NA(),IF(E$8="",NA(),IF(N(E$8)=0,NA(),IF(Inputs!$C$17="Rebased to 100",$E1415/E$8*100,$E1415)))))</f>
        <v/>
      </c>
      <c r="L1415" s="54">
        <f>IF($B1415=0,NA(),IF($F1415="",NA(),IF(F$8="",NA(),IF(N(F$8)=0,NA(),IF(Inputs!$C$17="Rebased to 100",$F1415/F$8*100,$F1415)))))</f>
        <v/>
      </c>
      <c r="M1415" s="54">
        <f>IF($B1415=0,NA(),IF($G1415="",NA(),IF(G$8="",NA(),IF(N(G$8)=0,NA(),IF(Inputs!$C$17="Rebased to 100",$G1415/G$8*100,$G1415)))))</f>
        <v/>
      </c>
      <c r="N1415" s="54">
        <f>IF($B1415=0,NA(),IF(Inputs!$C$18&lt;&gt;"Yes",NA(),IF(COUNT(I1415,J1415,K1415,L1415,M1415)=0,NA(),MIN(I1415,J1415,K1415,L1415,M1415))))</f>
        <v/>
      </c>
      <c r="O1415" s="54">
        <f>IF($B1415=0,NA(),IF(Inputs!$B$24&lt;&gt;"Yes",NA(),Inputs!$D$24*Inputs!$C$35))</f>
        <v/>
      </c>
      <c r="P1415" s="54">
        <f>IF($B1415=0,NA(),IF(Inputs!$B$25&lt;&gt;"Yes",NA(),Inputs!$D$25*Inputs!$C$35))</f>
        <v/>
      </c>
      <c r="Q1415" s="54">
        <f>IF($B1415=0,NA(),IF(Inputs!$B$26&lt;&gt;"Yes",NA(),Inputs!$D$26*Inputs!$C$35))</f>
        <v/>
      </c>
      <c r="R1415" s="54">
        <f>IF($B1415=0,NA(),IF(Inputs!$B$27&lt;&gt;"Yes",NA(),Inputs!$D$27*Inputs!$C$35))</f>
        <v/>
      </c>
      <c r="S1415" s="54">
        <f>IF($B1415=0,NA(),IF(Inputs!$B$28&lt;&gt;"Yes",NA(),Inputs!$D$28*Inputs!$C$35))</f>
        <v/>
      </c>
      <c r="T1415" s="54">
        <f>IF($B1415=0,NA(),IF(Inputs!$B$29&lt;&gt;"Yes",NA(),Inputs!$D$29*Inputs!$C$35))</f>
        <v/>
      </c>
      <c r="AD1415">
        <f>IF($B1415=0,0,IF(Inputs!$B$6="",0,COUNTIFS(Data!$A$10:$A$3209,"&gt;="&amp;$A1415,Data!$A$10:$A$3209,"&lt;"&amp;$A1415+1)))</f>
        <v/>
      </c>
      <c r="AE1415">
        <f>IF($B1415=0,0,IF(Inputs!$B$7="",0,COUNTIFS(Data!$E$10:$E$3209,"&gt;="&amp;$A1415,Data!$E$10:$E$3209,"&lt;"&amp;$A1415+1)))</f>
        <v/>
      </c>
      <c r="AF1415">
        <f>IF($B1415=0,0,IF(Inputs!$B$8="",0,COUNTIFS(Data!$I$10:$I$3209,"&gt;="&amp;$A1415,Data!$I$10:$I$3209,"&lt;"&amp;$A1415+1)))</f>
        <v/>
      </c>
      <c r="AG1415">
        <f>IF($B1415=0,0,IF(Inputs!$B$9="",0,COUNTIFS(Data!$M$10:$M$3209,"&gt;="&amp;$A1415,Data!$M$10:$M$3209,"&lt;"&amp;$A1415+1)))</f>
        <v/>
      </c>
      <c r="AH1415">
        <f>IF($B1415=0,0,IF(Inputs!$B$10="",0,COUNTIFS(Data!$Q$10:$Q$3209,"&gt;="&amp;$A1415,Data!$Q$10:$Q$3209,"&lt;"&amp;$A1415+1)))</f>
        <v/>
      </c>
    </row>
    <row r="1416">
      <c r="A1416" s="55">
        <f>MIN(Inputs!$C$15,$A1415+IF(WEEKDAY($A1415,2)=5,3,1))</f>
        <v/>
      </c>
      <c r="B1416">
        <f>IF($A1416&gt;$A1415,1,0)</f>
        <v/>
      </c>
      <c r="C1416" s="56">
        <f>IF($B1416=0,"",IF(Inputs!$B$6="","",IF($AD1416=0,C1415,SUMIFS(Data!$B$10:$B$3209,Data!$A$10:$A$3209,"&gt;="&amp;$A1416,Data!$A$10:$A$3209,"&lt;"&amp;$A1416+1)/$AD1416)))</f>
        <v/>
      </c>
      <c r="D1416" s="56">
        <f>IF($B1416=0,"",IF(Inputs!$B$7="","",IF($AE1416=0,D1415,SUMIFS(Data!$F$10:$F$3209,Data!$E$10:$E$3209,"&gt;="&amp;$A1416,Data!$E$10:$E$3209,"&lt;"&amp;$A1416+1)/$AE1416)))</f>
        <v/>
      </c>
      <c r="E1416" s="56">
        <f>IF($B1416=0,"",IF(Inputs!$B$8="","",IF($AF1416=0,E1415,SUMIFS(Data!$J$10:$J$3209,Data!$I$10:$I$3209,"&gt;="&amp;$A1416,Data!$I$10:$I$3209,"&lt;"&amp;$A1416+1)/$AF1416)))</f>
        <v/>
      </c>
      <c r="F1416" s="56">
        <f>IF($B1416=0,"",IF(Inputs!$B$9="","",IF($AG1416=0,F1415,SUMIFS(Data!$N$10:$N$3209,Data!$M$10:$M$3209,"&gt;="&amp;$A1416,Data!$M$10:$M$3209,"&lt;"&amp;$A1416+1)/$AG1416)))</f>
        <v/>
      </c>
      <c r="G1416" s="56">
        <f>IF($B1416=0,"",IF(Inputs!$B$10="","",IF($AH1416=0,G1415,SUMIFS(Data!$R$10:$R$3209,Data!$Q$10:$Q$3209,"&gt;="&amp;$A1416,Data!$Q$10:$Q$3209,"&lt;"&amp;$A1416+1)/$AH1416)))</f>
        <v/>
      </c>
      <c r="I1416" s="54">
        <f>IF($B1416=0,NA(),IF($C1416="",NA(),IF(C$8="",NA(),IF(N(C$8)=0,NA(),IF(Inputs!$C$17="Rebased to 100",$C1416/C$8*100,$C1416)))))</f>
        <v/>
      </c>
      <c r="J1416" s="54">
        <f>IF($B1416=0,NA(),IF($D1416="",NA(),IF(D$8="",NA(),IF(N(D$8)=0,NA(),IF(Inputs!$C$17="Rebased to 100",$D1416/D$8*100,$D1416)))))</f>
        <v/>
      </c>
      <c r="K1416" s="54">
        <f>IF($B1416=0,NA(),IF($E1416="",NA(),IF(E$8="",NA(),IF(N(E$8)=0,NA(),IF(Inputs!$C$17="Rebased to 100",$E1416/E$8*100,$E1416)))))</f>
        <v/>
      </c>
      <c r="L1416" s="54">
        <f>IF($B1416=0,NA(),IF($F1416="",NA(),IF(F$8="",NA(),IF(N(F$8)=0,NA(),IF(Inputs!$C$17="Rebased to 100",$F1416/F$8*100,$F1416)))))</f>
        <v/>
      </c>
      <c r="M1416" s="54">
        <f>IF($B1416=0,NA(),IF($G1416="",NA(),IF(G$8="",NA(),IF(N(G$8)=0,NA(),IF(Inputs!$C$17="Rebased to 100",$G1416/G$8*100,$G1416)))))</f>
        <v/>
      </c>
      <c r="N1416" s="54">
        <f>IF($B1416=0,NA(),IF(Inputs!$C$18&lt;&gt;"Yes",NA(),IF(COUNT(I1416,J1416,K1416,L1416,M1416)=0,NA(),MIN(I1416,J1416,K1416,L1416,M1416))))</f>
        <v/>
      </c>
      <c r="O1416" s="54">
        <f>IF($B1416=0,NA(),IF(Inputs!$B$24&lt;&gt;"Yes",NA(),Inputs!$D$24*Inputs!$C$35))</f>
        <v/>
      </c>
      <c r="P1416" s="54">
        <f>IF($B1416=0,NA(),IF(Inputs!$B$25&lt;&gt;"Yes",NA(),Inputs!$D$25*Inputs!$C$35))</f>
        <v/>
      </c>
      <c r="Q1416" s="54">
        <f>IF($B1416=0,NA(),IF(Inputs!$B$26&lt;&gt;"Yes",NA(),Inputs!$D$26*Inputs!$C$35))</f>
        <v/>
      </c>
      <c r="R1416" s="54">
        <f>IF($B1416=0,NA(),IF(Inputs!$B$27&lt;&gt;"Yes",NA(),Inputs!$D$27*Inputs!$C$35))</f>
        <v/>
      </c>
      <c r="S1416" s="54">
        <f>IF($B1416=0,NA(),IF(Inputs!$B$28&lt;&gt;"Yes",NA(),Inputs!$D$28*Inputs!$C$35))</f>
        <v/>
      </c>
      <c r="T1416" s="54">
        <f>IF($B1416=0,NA(),IF(Inputs!$B$29&lt;&gt;"Yes",NA(),Inputs!$D$29*Inputs!$C$35))</f>
        <v/>
      </c>
      <c r="AD1416">
        <f>IF($B1416=0,0,IF(Inputs!$B$6="",0,COUNTIFS(Data!$A$10:$A$3209,"&gt;="&amp;$A1416,Data!$A$10:$A$3209,"&lt;"&amp;$A1416+1)))</f>
        <v/>
      </c>
      <c r="AE1416">
        <f>IF($B1416=0,0,IF(Inputs!$B$7="",0,COUNTIFS(Data!$E$10:$E$3209,"&gt;="&amp;$A1416,Data!$E$10:$E$3209,"&lt;"&amp;$A1416+1)))</f>
        <v/>
      </c>
      <c r="AF1416">
        <f>IF($B1416=0,0,IF(Inputs!$B$8="",0,COUNTIFS(Data!$I$10:$I$3209,"&gt;="&amp;$A1416,Data!$I$10:$I$3209,"&lt;"&amp;$A1416+1)))</f>
        <v/>
      </c>
      <c r="AG1416">
        <f>IF($B1416=0,0,IF(Inputs!$B$9="",0,COUNTIFS(Data!$M$10:$M$3209,"&gt;="&amp;$A1416,Data!$M$10:$M$3209,"&lt;"&amp;$A1416+1)))</f>
        <v/>
      </c>
      <c r="AH1416">
        <f>IF($B1416=0,0,IF(Inputs!$B$10="",0,COUNTIFS(Data!$Q$10:$Q$3209,"&gt;="&amp;$A1416,Data!$Q$10:$Q$3209,"&lt;"&amp;$A1416+1)))</f>
        <v/>
      </c>
    </row>
    <row r="1417">
      <c r="A1417" s="55">
        <f>MIN(Inputs!$C$15,$A1416+IF(WEEKDAY($A1416,2)=5,3,1))</f>
        <v/>
      </c>
      <c r="B1417">
        <f>IF($A1417&gt;$A1416,1,0)</f>
        <v/>
      </c>
      <c r="C1417" s="56">
        <f>IF($B1417=0,"",IF(Inputs!$B$6="","",IF($AD1417=0,C1416,SUMIFS(Data!$B$10:$B$3209,Data!$A$10:$A$3209,"&gt;="&amp;$A1417,Data!$A$10:$A$3209,"&lt;"&amp;$A1417+1)/$AD1417)))</f>
        <v/>
      </c>
      <c r="D1417" s="56">
        <f>IF($B1417=0,"",IF(Inputs!$B$7="","",IF($AE1417=0,D1416,SUMIFS(Data!$F$10:$F$3209,Data!$E$10:$E$3209,"&gt;="&amp;$A1417,Data!$E$10:$E$3209,"&lt;"&amp;$A1417+1)/$AE1417)))</f>
        <v/>
      </c>
      <c r="E1417" s="56">
        <f>IF($B1417=0,"",IF(Inputs!$B$8="","",IF($AF1417=0,E1416,SUMIFS(Data!$J$10:$J$3209,Data!$I$10:$I$3209,"&gt;="&amp;$A1417,Data!$I$10:$I$3209,"&lt;"&amp;$A1417+1)/$AF1417)))</f>
        <v/>
      </c>
      <c r="F1417" s="56">
        <f>IF($B1417=0,"",IF(Inputs!$B$9="","",IF($AG1417=0,F1416,SUMIFS(Data!$N$10:$N$3209,Data!$M$10:$M$3209,"&gt;="&amp;$A1417,Data!$M$10:$M$3209,"&lt;"&amp;$A1417+1)/$AG1417)))</f>
        <v/>
      </c>
      <c r="G1417" s="56">
        <f>IF($B1417=0,"",IF(Inputs!$B$10="","",IF($AH1417=0,G1416,SUMIFS(Data!$R$10:$R$3209,Data!$Q$10:$Q$3209,"&gt;="&amp;$A1417,Data!$Q$10:$Q$3209,"&lt;"&amp;$A1417+1)/$AH1417)))</f>
        <v/>
      </c>
      <c r="I1417" s="54">
        <f>IF($B1417=0,NA(),IF($C1417="",NA(),IF(C$8="",NA(),IF(N(C$8)=0,NA(),IF(Inputs!$C$17="Rebased to 100",$C1417/C$8*100,$C1417)))))</f>
        <v/>
      </c>
      <c r="J1417" s="54">
        <f>IF($B1417=0,NA(),IF($D1417="",NA(),IF(D$8="",NA(),IF(N(D$8)=0,NA(),IF(Inputs!$C$17="Rebased to 100",$D1417/D$8*100,$D1417)))))</f>
        <v/>
      </c>
      <c r="K1417" s="54">
        <f>IF($B1417=0,NA(),IF($E1417="",NA(),IF(E$8="",NA(),IF(N(E$8)=0,NA(),IF(Inputs!$C$17="Rebased to 100",$E1417/E$8*100,$E1417)))))</f>
        <v/>
      </c>
      <c r="L1417" s="54">
        <f>IF($B1417=0,NA(),IF($F1417="",NA(),IF(F$8="",NA(),IF(N(F$8)=0,NA(),IF(Inputs!$C$17="Rebased to 100",$F1417/F$8*100,$F1417)))))</f>
        <v/>
      </c>
      <c r="M1417" s="54">
        <f>IF($B1417=0,NA(),IF($G1417="",NA(),IF(G$8="",NA(),IF(N(G$8)=0,NA(),IF(Inputs!$C$17="Rebased to 100",$G1417/G$8*100,$G1417)))))</f>
        <v/>
      </c>
      <c r="N1417" s="54">
        <f>IF($B1417=0,NA(),IF(Inputs!$C$18&lt;&gt;"Yes",NA(),IF(COUNT(I1417,J1417,K1417,L1417,M1417)=0,NA(),MIN(I1417,J1417,K1417,L1417,M1417))))</f>
        <v/>
      </c>
      <c r="O1417" s="54">
        <f>IF($B1417=0,NA(),IF(Inputs!$B$24&lt;&gt;"Yes",NA(),Inputs!$D$24*Inputs!$C$35))</f>
        <v/>
      </c>
      <c r="P1417" s="54">
        <f>IF($B1417=0,NA(),IF(Inputs!$B$25&lt;&gt;"Yes",NA(),Inputs!$D$25*Inputs!$C$35))</f>
        <v/>
      </c>
      <c r="Q1417" s="54">
        <f>IF($B1417=0,NA(),IF(Inputs!$B$26&lt;&gt;"Yes",NA(),Inputs!$D$26*Inputs!$C$35))</f>
        <v/>
      </c>
      <c r="R1417" s="54">
        <f>IF($B1417=0,NA(),IF(Inputs!$B$27&lt;&gt;"Yes",NA(),Inputs!$D$27*Inputs!$C$35))</f>
        <v/>
      </c>
      <c r="S1417" s="54">
        <f>IF($B1417=0,NA(),IF(Inputs!$B$28&lt;&gt;"Yes",NA(),Inputs!$D$28*Inputs!$C$35))</f>
        <v/>
      </c>
      <c r="T1417" s="54">
        <f>IF($B1417=0,NA(),IF(Inputs!$B$29&lt;&gt;"Yes",NA(),Inputs!$D$29*Inputs!$C$35))</f>
        <v/>
      </c>
      <c r="AD1417">
        <f>IF($B1417=0,0,IF(Inputs!$B$6="",0,COUNTIFS(Data!$A$10:$A$3209,"&gt;="&amp;$A1417,Data!$A$10:$A$3209,"&lt;"&amp;$A1417+1)))</f>
        <v/>
      </c>
      <c r="AE1417">
        <f>IF($B1417=0,0,IF(Inputs!$B$7="",0,COUNTIFS(Data!$E$10:$E$3209,"&gt;="&amp;$A1417,Data!$E$10:$E$3209,"&lt;"&amp;$A1417+1)))</f>
        <v/>
      </c>
      <c r="AF1417">
        <f>IF($B1417=0,0,IF(Inputs!$B$8="",0,COUNTIFS(Data!$I$10:$I$3209,"&gt;="&amp;$A1417,Data!$I$10:$I$3209,"&lt;"&amp;$A1417+1)))</f>
        <v/>
      </c>
      <c r="AG1417">
        <f>IF($B1417=0,0,IF(Inputs!$B$9="",0,COUNTIFS(Data!$M$10:$M$3209,"&gt;="&amp;$A1417,Data!$M$10:$M$3209,"&lt;"&amp;$A1417+1)))</f>
        <v/>
      </c>
      <c r="AH1417">
        <f>IF($B1417=0,0,IF(Inputs!$B$10="",0,COUNTIFS(Data!$Q$10:$Q$3209,"&gt;="&amp;$A1417,Data!$Q$10:$Q$3209,"&lt;"&amp;$A1417+1)))</f>
        <v/>
      </c>
    </row>
    <row r="1418">
      <c r="A1418" s="55">
        <f>MIN(Inputs!$C$15,$A1417+IF(WEEKDAY($A1417,2)=5,3,1))</f>
        <v/>
      </c>
      <c r="B1418">
        <f>IF($A1418&gt;$A1417,1,0)</f>
        <v/>
      </c>
      <c r="C1418" s="56">
        <f>IF($B1418=0,"",IF(Inputs!$B$6="","",IF($AD1418=0,C1417,SUMIFS(Data!$B$10:$B$3209,Data!$A$10:$A$3209,"&gt;="&amp;$A1418,Data!$A$10:$A$3209,"&lt;"&amp;$A1418+1)/$AD1418)))</f>
        <v/>
      </c>
      <c r="D1418" s="56">
        <f>IF($B1418=0,"",IF(Inputs!$B$7="","",IF($AE1418=0,D1417,SUMIFS(Data!$F$10:$F$3209,Data!$E$10:$E$3209,"&gt;="&amp;$A1418,Data!$E$10:$E$3209,"&lt;"&amp;$A1418+1)/$AE1418)))</f>
        <v/>
      </c>
      <c r="E1418" s="56">
        <f>IF($B1418=0,"",IF(Inputs!$B$8="","",IF($AF1418=0,E1417,SUMIFS(Data!$J$10:$J$3209,Data!$I$10:$I$3209,"&gt;="&amp;$A1418,Data!$I$10:$I$3209,"&lt;"&amp;$A1418+1)/$AF1418)))</f>
        <v/>
      </c>
      <c r="F1418" s="56">
        <f>IF($B1418=0,"",IF(Inputs!$B$9="","",IF($AG1418=0,F1417,SUMIFS(Data!$N$10:$N$3209,Data!$M$10:$M$3209,"&gt;="&amp;$A1418,Data!$M$10:$M$3209,"&lt;"&amp;$A1418+1)/$AG1418)))</f>
        <v/>
      </c>
      <c r="G1418" s="56">
        <f>IF($B1418=0,"",IF(Inputs!$B$10="","",IF($AH1418=0,G1417,SUMIFS(Data!$R$10:$R$3209,Data!$Q$10:$Q$3209,"&gt;="&amp;$A1418,Data!$Q$10:$Q$3209,"&lt;"&amp;$A1418+1)/$AH1418)))</f>
        <v/>
      </c>
      <c r="I1418" s="54">
        <f>IF($B1418=0,NA(),IF($C1418="",NA(),IF(C$8="",NA(),IF(N(C$8)=0,NA(),IF(Inputs!$C$17="Rebased to 100",$C1418/C$8*100,$C1418)))))</f>
        <v/>
      </c>
      <c r="J1418" s="54">
        <f>IF($B1418=0,NA(),IF($D1418="",NA(),IF(D$8="",NA(),IF(N(D$8)=0,NA(),IF(Inputs!$C$17="Rebased to 100",$D1418/D$8*100,$D1418)))))</f>
        <v/>
      </c>
      <c r="K1418" s="54">
        <f>IF($B1418=0,NA(),IF($E1418="",NA(),IF(E$8="",NA(),IF(N(E$8)=0,NA(),IF(Inputs!$C$17="Rebased to 100",$E1418/E$8*100,$E1418)))))</f>
        <v/>
      </c>
      <c r="L1418" s="54">
        <f>IF($B1418=0,NA(),IF($F1418="",NA(),IF(F$8="",NA(),IF(N(F$8)=0,NA(),IF(Inputs!$C$17="Rebased to 100",$F1418/F$8*100,$F1418)))))</f>
        <v/>
      </c>
      <c r="M1418" s="54">
        <f>IF($B1418=0,NA(),IF($G1418="",NA(),IF(G$8="",NA(),IF(N(G$8)=0,NA(),IF(Inputs!$C$17="Rebased to 100",$G1418/G$8*100,$G1418)))))</f>
        <v/>
      </c>
      <c r="N1418" s="54">
        <f>IF($B1418=0,NA(),IF(Inputs!$C$18&lt;&gt;"Yes",NA(),IF(COUNT(I1418,J1418,K1418,L1418,M1418)=0,NA(),MIN(I1418,J1418,K1418,L1418,M1418))))</f>
        <v/>
      </c>
      <c r="O1418" s="54">
        <f>IF($B1418=0,NA(),IF(Inputs!$B$24&lt;&gt;"Yes",NA(),Inputs!$D$24*Inputs!$C$35))</f>
        <v/>
      </c>
      <c r="P1418" s="54">
        <f>IF($B1418=0,NA(),IF(Inputs!$B$25&lt;&gt;"Yes",NA(),Inputs!$D$25*Inputs!$C$35))</f>
        <v/>
      </c>
      <c r="Q1418" s="54">
        <f>IF($B1418=0,NA(),IF(Inputs!$B$26&lt;&gt;"Yes",NA(),Inputs!$D$26*Inputs!$C$35))</f>
        <v/>
      </c>
      <c r="R1418" s="54">
        <f>IF($B1418=0,NA(),IF(Inputs!$B$27&lt;&gt;"Yes",NA(),Inputs!$D$27*Inputs!$C$35))</f>
        <v/>
      </c>
      <c r="S1418" s="54">
        <f>IF($B1418=0,NA(),IF(Inputs!$B$28&lt;&gt;"Yes",NA(),Inputs!$D$28*Inputs!$C$35))</f>
        <v/>
      </c>
      <c r="T1418" s="54">
        <f>IF($B1418=0,NA(),IF(Inputs!$B$29&lt;&gt;"Yes",NA(),Inputs!$D$29*Inputs!$C$35))</f>
        <v/>
      </c>
      <c r="AD1418">
        <f>IF($B1418=0,0,IF(Inputs!$B$6="",0,COUNTIFS(Data!$A$10:$A$3209,"&gt;="&amp;$A1418,Data!$A$10:$A$3209,"&lt;"&amp;$A1418+1)))</f>
        <v/>
      </c>
      <c r="AE1418">
        <f>IF($B1418=0,0,IF(Inputs!$B$7="",0,COUNTIFS(Data!$E$10:$E$3209,"&gt;="&amp;$A1418,Data!$E$10:$E$3209,"&lt;"&amp;$A1418+1)))</f>
        <v/>
      </c>
      <c r="AF1418">
        <f>IF($B1418=0,0,IF(Inputs!$B$8="",0,COUNTIFS(Data!$I$10:$I$3209,"&gt;="&amp;$A1418,Data!$I$10:$I$3209,"&lt;"&amp;$A1418+1)))</f>
        <v/>
      </c>
      <c r="AG1418">
        <f>IF($B1418=0,0,IF(Inputs!$B$9="",0,COUNTIFS(Data!$M$10:$M$3209,"&gt;="&amp;$A1418,Data!$M$10:$M$3209,"&lt;"&amp;$A1418+1)))</f>
        <v/>
      </c>
      <c r="AH1418">
        <f>IF($B1418=0,0,IF(Inputs!$B$10="",0,COUNTIFS(Data!$Q$10:$Q$3209,"&gt;="&amp;$A1418,Data!$Q$10:$Q$3209,"&lt;"&amp;$A1418+1)))</f>
        <v/>
      </c>
    </row>
    <row r="1419">
      <c r="A1419" s="55">
        <f>MIN(Inputs!$C$15,$A1418+IF(WEEKDAY($A1418,2)=5,3,1))</f>
        <v/>
      </c>
      <c r="B1419">
        <f>IF($A1419&gt;$A1418,1,0)</f>
        <v/>
      </c>
      <c r="C1419" s="56">
        <f>IF($B1419=0,"",IF(Inputs!$B$6="","",IF($AD1419=0,C1418,SUMIFS(Data!$B$10:$B$3209,Data!$A$10:$A$3209,"&gt;="&amp;$A1419,Data!$A$10:$A$3209,"&lt;"&amp;$A1419+1)/$AD1419)))</f>
        <v/>
      </c>
      <c r="D1419" s="56">
        <f>IF($B1419=0,"",IF(Inputs!$B$7="","",IF($AE1419=0,D1418,SUMIFS(Data!$F$10:$F$3209,Data!$E$10:$E$3209,"&gt;="&amp;$A1419,Data!$E$10:$E$3209,"&lt;"&amp;$A1419+1)/$AE1419)))</f>
        <v/>
      </c>
      <c r="E1419" s="56">
        <f>IF($B1419=0,"",IF(Inputs!$B$8="","",IF($AF1419=0,E1418,SUMIFS(Data!$J$10:$J$3209,Data!$I$10:$I$3209,"&gt;="&amp;$A1419,Data!$I$10:$I$3209,"&lt;"&amp;$A1419+1)/$AF1419)))</f>
        <v/>
      </c>
      <c r="F1419" s="56">
        <f>IF($B1419=0,"",IF(Inputs!$B$9="","",IF($AG1419=0,F1418,SUMIFS(Data!$N$10:$N$3209,Data!$M$10:$M$3209,"&gt;="&amp;$A1419,Data!$M$10:$M$3209,"&lt;"&amp;$A1419+1)/$AG1419)))</f>
        <v/>
      </c>
      <c r="G1419" s="56">
        <f>IF($B1419=0,"",IF(Inputs!$B$10="","",IF($AH1419=0,G1418,SUMIFS(Data!$R$10:$R$3209,Data!$Q$10:$Q$3209,"&gt;="&amp;$A1419,Data!$Q$10:$Q$3209,"&lt;"&amp;$A1419+1)/$AH1419)))</f>
        <v/>
      </c>
      <c r="I1419" s="54">
        <f>IF($B1419=0,NA(),IF($C1419="",NA(),IF(C$8="",NA(),IF(N(C$8)=0,NA(),IF(Inputs!$C$17="Rebased to 100",$C1419/C$8*100,$C1419)))))</f>
        <v/>
      </c>
      <c r="J1419" s="54">
        <f>IF($B1419=0,NA(),IF($D1419="",NA(),IF(D$8="",NA(),IF(N(D$8)=0,NA(),IF(Inputs!$C$17="Rebased to 100",$D1419/D$8*100,$D1419)))))</f>
        <v/>
      </c>
      <c r="K1419" s="54">
        <f>IF($B1419=0,NA(),IF($E1419="",NA(),IF(E$8="",NA(),IF(N(E$8)=0,NA(),IF(Inputs!$C$17="Rebased to 100",$E1419/E$8*100,$E1419)))))</f>
        <v/>
      </c>
      <c r="L1419" s="54">
        <f>IF($B1419=0,NA(),IF($F1419="",NA(),IF(F$8="",NA(),IF(N(F$8)=0,NA(),IF(Inputs!$C$17="Rebased to 100",$F1419/F$8*100,$F1419)))))</f>
        <v/>
      </c>
      <c r="M1419" s="54">
        <f>IF($B1419=0,NA(),IF($G1419="",NA(),IF(G$8="",NA(),IF(N(G$8)=0,NA(),IF(Inputs!$C$17="Rebased to 100",$G1419/G$8*100,$G1419)))))</f>
        <v/>
      </c>
      <c r="N1419" s="54">
        <f>IF($B1419=0,NA(),IF(Inputs!$C$18&lt;&gt;"Yes",NA(),IF(COUNT(I1419,J1419,K1419,L1419,M1419)=0,NA(),MIN(I1419,J1419,K1419,L1419,M1419))))</f>
        <v/>
      </c>
      <c r="O1419" s="54">
        <f>IF($B1419=0,NA(),IF(Inputs!$B$24&lt;&gt;"Yes",NA(),Inputs!$D$24*Inputs!$C$35))</f>
        <v/>
      </c>
      <c r="P1419" s="54">
        <f>IF($B1419=0,NA(),IF(Inputs!$B$25&lt;&gt;"Yes",NA(),Inputs!$D$25*Inputs!$C$35))</f>
        <v/>
      </c>
      <c r="Q1419" s="54">
        <f>IF($B1419=0,NA(),IF(Inputs!$B$26&lt;&gt;"Yes",NA(),Inputs!$D$26*Inputs!$C$35))</f>
        <v/>
      </c>
      <c r="R1419" s="54">
        <f>IF($B1419=0,NA(),IF(Inputs!$B$27&lt;&gt;"Yes",NA(),Inputs!$D$27*Inputs!$C$35))</f>
        <v/>
      </c>
      <c r="S1419" s="54">
        <f>IF($B1419=0,NA(),IF(Inputs!$B$28&lt;&gt;"Yes",NA(),Inputs!$D$28*Inputs!$C$35))</f>
        <v/>
      </c>
      <c r="T1419" s="54">
        <f>IF($B1419=0,NA(),IF(Inputs!$B$29&lt;&gt;"Yes",NA(),Inputs!$D$29*Inputs!$C$35))</f>
        <v/>
      </c>
      <c r="AD1419">
        <f>IF($B1419=0,0,IF(Inputs!$B$6="",0,COUNTIFS(Data!$A$10:$A$3209,"&gt;="&amp;$A1419,Data!$A$10:$A$3209,"&lt;"&amp;$A1419+1)))</f>
        <v/>
      </c>
      <c r="AE1419">
        <f>IF($B1419=0,0,IF(Inputs!$B$7="",0,COUNTIFS(Data!$E$10:$E$3209,"&gt;="&amp;$A1419,Data!$E$10:$E$3209,"&lt;"&amp;$A1419+1)))</f>
        <v/>
      </c>
      <c r="AF1419">
        <f>IF($B1419=0,0,IF(Inputs!$B$8="",0,COUNTIFS(Data!$I$10:$I$3209,"&gt;="&amp;$A1419,Data!$I$10:$I$3209,"&lt;"&amp;$A1419+1)))</f>
        <v/>
      </c>
      <c r="AG1419">
        <f>IF($B1419=0,0,IF(Inputs!$B$9="",0,COUNTIFS(Data!$M$10:$M$3209,"&gt;="&amp;$A1419,Data!$M$10:$M$3209,"&lt;"&amp;$A1419+1)))</f>
        <v/>
      </c>
      <c r="AH1419">
        <f>IF($B1419=0,0,IF(Inputs!$B$10="",0,COUNTIFS(Data!$Q$10:$Q$3209,"&gt;="&amp;$A1419,Data!$Q$10:$Q$3209,"&lt;"&amp;$A1419+1)))</f>
        <v/>
      </c>
    </row>
    <row r="1420">
      <c r="A1420" s="55">
        <f>MIN(Inputs!$C$15,$A1419+IF(WEEKDAY($A1419,2)=5,3,1))</f>
        <v/>
      </c>
      <c r="B1420">
        <f>IF($A1420&gt;$A1419,1,0)</f>
        <v/>
      </c>
      <c r="C1420" s="56">
        <f>IF($B1420=0,"",IF(Inputs!$B$6="","",IF($AD1420=0,C1419,SUMIFS(Data!$B$10:$B$3209,Data!$A$10:$A$3209,"&gt;="&amp;$A1420,Data!$A$10:$A$3209,"&lt;"&amp;$A1420+1)/$AD1420)))</f>
        <v/>
      </c>
      <c r="D1420" s="56">
        <f>IF($B1420=0,"",IF(Inputs!$B$7="","",IF($AE1420=0,D1419,SUMIFS(Data!$F$10:$F$3209,Data!$E$10:$E$3209,"&gt;="&amp;$A1420,Data!$E$10:$E$3209,"&lt;"&amp;$A1420+1)/$AE1420)))</f>
        <v/>
      </c>
      <c r="E1420" s="56">
        <f>IF($B1420=0,"",IF(Inputs!$B$8="","",IF($AF1420=0,E1419,SUMIFS(Data!$J$10:$J$3209,Data!$I$10:$I$3209,"&gt;="&amp;$A1420,Data!$I$10:$I$3209,"&lt;"&amp;$A1420+1)/$AF1420)))</f>
        <v/>
      </c>
      <c r="F1420" s="56">
        <f>IF($B1420=0,"",IF(Inputs!$B$9="","",IF($AG1420=0,F1419,SUMIFS(Data!$N$10:$N$3209,Data!$M$10:$M$3209,"&gt;="&amp;$A1420,Data!$M$10:$M$3209,"&lt;"&amp;$A1420+1)/$AG1420)))</f>
        <v/>
      </c>
      <c r="G1420" s="56">
        <f>IF($B1420=0,"",IF(Inputs!$B$10="","",IF($AH1420=0,G1419,SUMIFS(Data!$R$10:$R$3209,Data!$Q$10:$Q$3209,"&gt;="&amp;$A1420,Data!$Q$10:$Q$3209,"&lt;"&amp;$A1420+1)/$AH1420)))</f>
        <v/>
      </c>
      <c r="I1420" s="54">
        <f>IF($B1420=0,NA(),IF($C1420="",NA(),IF(C$8="",NA(),IF(N(C$8)=0,NA(),IF(Inputs!$C$17="Rebased to 100",$C1420/C$8*100,$C1420)))))</f>
        <v/>
      </c>
      <c r="J1420" s="54">
        <f>IF($B1420=0,NA(),IF($D1420="",NA(),IF(D$8="",NA(),IF(N(D$8)=0,NA(),IF(Inputs!$C$17="Rebased to 100",$D1420/D$8*100,$D1420)))))</f>
        <v/>
      </c>
      <c r="K1420" s="54">
        <f>IF($B1420=0,NA(),IF($E1420="",NA(),IF(E$8="",NA(),IF(N(E$8)=0,NA(),IF(Inputs!$C$17="Rebased to 100",$E1420/E$8*100,$E1420)))))</f>
        <v/>
      </c>
      <c r="L1420" s="54">
        <f>IF($B1420=0,NA(),IF($F1420="",NA(),IF(F$8="",NA(),IF(N(F$8)=0,NA(),IF(Inputs!$C$17="Rebased to 100",$F1420/F$8*100,$F1420)))))</f>
        <v/>
      </c>
      <c r="M1420" s="54">
        <f>IF($B1420=0,NA(),IF($G1420="",NA(),IF(G$8="",NA(),IF(N(G$8)=0,NA(),IF(Inputs!$C$17="Rebased to 100",$G1420/G$8*100,$G1420)))))</f>
        <v/>
      </c>
      <c r="N1420" s="54">
        <f>IF($B1420=0,NA(),IF(Inputs!$C$18&lt;&gt;"Yes",NA(),IF(COUNT(I1420,J1420,K1420,L1420,M1420)=0,NA(),MIN(I1420,J1420,K1420,L1420,M1420))))</f>
        <v/>
      </c>
      <c r="O1420" s="54">
        <f>IF($B1420=0,NA(),IF(Inputs!$B$24&lt;&gt;"Yes",NA(),Inputs!$D$24*Inputs!$C$35))</f>
        <v/>
      </c>
      <c r="P1420" s="54">
        <f>IF($B1420=0,NA(),IF(Inputs!$B$25&lt;&gt;"Yes",NA(),Inputs!$D$25*Inputs!$C$35))</f>
        <v/>
      </c>
      <c r="Q1420" s="54">
        <f>IF($B1420=0,NA(),IF(Inputs!$B$26&lt;&gt;"Yes",NA(),Inputs!$D$26*Inputs!$C$35))</f>
        <v/>
      </c>
      <c r="R1420" s="54">
        <f>IF($B1420=0,NA(),IF(Inputs!$B$27&lt;&gt;"Yes",NA(),Inputs!$D$27*Inputs!$C$35))</f>
        <v/>
      </c>
      <c r="S1420" s="54">
        <f>IF($B1420=0,NA(),IF(Inputs!$B$28&lt;&gt;"Yes",NA(),Inputs!$D$28*Inputs!$C$35))</f>
        <v/>
      </c>
      <c r="T1420" s="54">
        <f>IF($B1420=0,NA(),IF(Inputs!$B$29&lt;&gt;"Yes",NA(),Inputs!$D$29*Inputs!$C$35))</f>
        <v/>
      </c>
      <c r="AD1420">
        <f>IF($B1420=0,0,IF(Inputs!$B$6="",0,COUNTIFS(Data!$A$10:$A$3209,"&gt;="&amp;$A1420,Data!$A$10:$A$3209,"&lt;"&amp;$A1420+1)))</f>
        <v/>
      </c>
      <c r="AE1420">
        <f>IF($B1420=0,0,IF(Inputs!$B$7="",0,COUNTIFS(Data!$E$10:$E$3209,"&gt;="&amp;$A1420,Data!$E$10:$E$3209,"&lt;"&amp;$A1420+1)))</f>
        <v/>
      </c>
      <c r="AF1420">
        <f>IF($B1420=0,0,IF(Inputs!$B$8="",0,COUNTIFS(Data!$I$10:$I$3209,"&gt;="&amp;$A1420,Data!$I$10:$I$3209,"&lt;"&amp;$A1420+1)))</f>
        <v/>
      </c>
      <c r="AG1420">
        <f>IF($B1420=0,0,IF(Inputs!$B$9="",0,COUNTIFS(Data!$M$10:$M$3209,"&gt;="&amp;$A1420,Data!$M$10:$M$3209,"&lt;"&amp;$A1420+1)))</f>
        <v/>
      </c>
      <c r="AH1420">
        <f>IF($B1420=0,0,IF(Inputs!$B$10="",0,COUNTIFS(Data!$Q$10:$Q$3209,"&gt;="&amp;$A1420,Data!$Q$10:$Q$3209,"&lt;"&amp;$A1420+1)))</f>
        <v/>
      </c>
    </row>
    <row r="1421">
      <c r="A1421" s="55">
        <f>MIN(Inputs!$C$15,$A1420+IF(WEEKDAY($A1420,2)=5,3,1))</f>
        <v/>
      </c>
      <c r="B1421">
        <f>IF($A1421&gt;$A1420,1,0)</f>
        <v/>
      </c>
      <c r="C1421" s="56">
        <f>IF($B1421=0,"",IF(Inputs!$B$6="","",IF($AD1421=0,C1420,SUMIFS(Data!$B$10:$B$3209,Data!$A$10:$A$3209,"&gt;="&amp;$A1421,Data!$A$10:$A$3209,"&lt;"&amp;$A1421+1)/$AD1421)))</f>
        <v/>
      </c>
      <c r="D1421" s="56">
        <f>IF($B1421=0,"",IF(Inputs!$B$7="","",IF($AE1421=0,D1420,SUMIFS(Data!$F$10:$F$3209,Data!$E$10:$E$3209,"&gt;="&amp;$A1421,Data!$E$10:$E$3209,"&lt;"&amp;$A1421+1)/$AE1421)))</f>
        <v/>
      </c>
      <c r="E1421" s="56">
        <f>IF($B1421=0,"",IF(Inputs!$B$8="","",IF($AF1421=0,E1420,SUMIFS(Data!$J$10:$J$3209,Data!$I$10:$I$3209,"&gt;="&amp;$A1421,Data!$I$10:$I$3209,"&lt;"&amp;$A1421+1)/$AF1421)))</f>
        <v/>
      </c>
      <c r="F1421" s="56">
        <f>IF($B1421=0,"",IF(Inputs!$B$9="","",IF($AG1421=0,F1420,SUMIFS(Data!$N$10:$N$3209,Data!$M$10:$M$3209,"&gt;="&amp;$A1421,Data!$M$10:$M$3209,"&lt;"&amp;$A1421+1)/$AG1421)))</f>
        <v/>
      </c>
      <c r="G1421" s="56">
        <f>IF($B1421=0,"",IF(Inputs!$B$10="","",IF($AH1421=0,G1420,SUMIFS(Data!$R$10:$R$3209,Data!$Q$10:$Q$3209,"&gt;="&amp;$A1421,Data!$Q$10:$Q$3209,"&lt;"&amp;$A1421+1)/$AH1421)))</f>
        <v/>
      </c>
      <c r="I1421" s="54">
        <f>IF($B1421=0,NA(),IF($C1421="",NA(),IF(C$8="",NA(),IF(N(C$8)=0,NA(),IF(Inputs!$C$17="Rebased to 100",$C1421/C$8*100,$C1421)))))</f>
        <v/>
      </c>
      <c r="J1421" s="54">
        <f>IF($B1421=0,NA(),IF($D1421="",NA(),IF(D$8="",NA(),IF(N(D$8)=0,NA(),IF(Inputs!$C$17="Rebased to 100",$D1421/D$8*100,$D1421)))))</f>
        <v/>
      </c>
      <c r="K1421" s="54">
        <f>IF($B1421=0,NA(),IF($E1421="",NA(),IF(E$8="",NA(),IF(N(E$8)=0,NA(),IF(Inputs!$C$17="Rebased to 100",$E1421/E$8*100,$E1421)))))</f>
        <v/>
      </c>
      <c r="L1421" s="54">
        <f>IF($B1421=0,NA(),IF($F1421="",NA(),IF(F$8="",NA(),IF(N(F$8)=0,NA(),IF(Inputs!$C$17="Rebased to 100",$F1421/F$8*100,$F1421)))))</f>
        <v/>
      </c>
      <c r="M1421" s="54">
        <f>IF($B1421=0,NA(),IF($G1421="",NA(),IF(G$8="",NA(),IF(N(G$8)=0,NA(),IF(Inputs!$C$17="Rebased to 100",$G1421/G$8*100,$G1421)))))</f>
        <v/>
      </c>
      <c r="N1421" s="54">
        <f>IF($B1421=0,NA(),IF(Inputs!$C$18&lt;&gt;"Yes",NA(),IF(COUNT(I1421,J1421,K1421,L1421,M1421)=0,NA(),MIN(I1421,J1421,K1421,L1421,M1421))))</f>
        <v/>
      </c>
      <c r="O1421" s="54">
        <f>IF($B1421=0,NA(),IF(Inputs!$B$24&lt;&gt;"Yes",NA(),Inputs!$D$24*Inputs!$C$35))</f>
        <v/>
      </c>
      <c r="P1421" s="54">
        <f>IF($B1421=0,NA(),IF(Inputs!$B$25&lt;&gt;"Yes",NA(),Inputs!$D$25*Inputs!$C$35))</f>
        <v/>
      </c>
      <c r="Q1421" s="54">
        <f>IF($B1421=0,NA(),IF(Inputs!$B$26&lt;&gt;"Yes",NA(),Inputs!$D$26*Inputs!$C$35))</f>
        <v/>
      </c>
      <c r="R1421" s="54">
        <f>IF($B1421=0,NA(),IF(Inputs!$B$27&lt;&gt;"Yes",NA(),Inputs!$D$27*Inputs!$C$35))</f>
        <v/>
      </c>
      <c r="S1421" s="54">
        <f>IF($B1421=0,NA(),IF(Inputs!$B$28&lt;&gt;"Yes",NA(),Inputs!$D$28*Inputs!$C$35))</f>
        <v/>
      </c>
      <c r="T1421" s="54">
        <f>IF($B1421=0,NA(),IF(Inputs!$B$29&lt;&gt;"Yes",NA(),Inputs!$D$29*Inputs!$C$35))</f>
        <v/>
      </c>
      <c r="AD1421">
        <f>IF($B1421=0,0,IF(Inputs!$B$6="",0,COUNTIFS(Data!$A$10:$A$3209,"&gt;="&amp;$A1421,Data!$A$10:$A$3209,"&lt;"&amp;$A1421+1)))</f>
        <v/>
      </c>
      <c r="AE1421">
        <f>IF($B1421=0,0,IF(Inputs!$B$7="",0,COUNTIFS(Data!$E$10:$E$3209,"&gt;="&amp;$A1421,Data!$E$10:$E$3209,"&lt;"&amp;$A1421+1)))</f>
        <v/>
      </c>
      <c r="AF1421">
        <f>IF($B1421=0,0,IF(Inputs!$B$8="",0,COUNTIFS(Data!$I$10:$I$3209,"&gt;="&amp;$A1421,Data!$I$10:$I$3209,"&lt;"&amp;$A1421+1)))</f>
        <v/>
      </c>
      <c r="AG1421">
        <f>IF($B1421=0,0,IF(Inputs!$B$9="",0,COUNTIFS(Data!$M$10:$M$3209,"&gt;="&amp;$A1421,Data!$M$10:$M$3209,"&lt;"&amp;$A1421+1)))</f>
        <v/>
      </c>
      <c r="AH1421">
        <f>IF($B1421=0,0,IF(Inputs!$B$10="",0,COUNTIFS(Data!$Q$10:$Q$3209,"&gt;="&amp;$A1421,Data!$Q$10:$Q$3209,"&lt;"&amp;$A1421+1)))</f>
        <v/>
      </c>
    </row>
    <row r="1422">
      <c r="A1422" s="55">
        <f>MIN(Inputs!$C$15,$A1421+IF(WEEKDAY($A1421,2)=5,3,1))</f>
        <v/>
      </c>
      <c r="B1422">
        <f>IF($A1422&gt;$A1421,1,0)</f>
        <v/>
      </c>
      <c r="C1422" s="56">
        <f>IF($B1422=0,"",IF(Inputs!$B$6="","",IF($AD1422=0,C1421,SUMIFS(Data!$B$10:$B$3209,Data!$A$10:$A$3209,"&gt;="&amp;$A1422,Data!$A$10:$A$3209,"&lt;"&amp;$A1422+1)/$AD1422)))</f>
        <v/>
      </c>
      <c r="D1422" s="56">
        <f>IF($B1422=0,"",IF(Inputs!$B$7="","",IF($AE1422=0,D1421,SUMIFS(Data!$F$10:$F$3209,Data!$E$10:$E$3209,"&gt;="&amp;$A1422,Data!$E$10:$E$3209,"&lt;"&amp;$A1422+1)/$AE1422)))</f>
        <v/>
      </c>
      <c r="E1422" s="56">
        <f>IF($B1422=0,"",IF(Inputs!$B$8="","",IF($AF1422=0,E1421,SUMIFS(Data!$J$10:$J$3209,Data!$I$10:$I$3209,"&gt;="&amp;$A1422,Data!$I$10:$I$3209,"&lt;"&amp;$A1422+1)/$AF1422)))</f>
        <v/>
      </c>
      <c r="F1422" s="56">
        <f>IF($B1422=0,"",IF(Inputs!$B$9="","",IF($AG1422=0,F1421,SUMIFS(Data!$N$10:$N$3209,Data!$M$10:$M$3209,"&gt;="&amp;$A1422,Data!$M$10:$M$3209,"&lt;"&amp;$A1422+1)/$AG1422)))</f>
        <v/>
      </c>
      <c r="G1422" s="56">
        <f>IF($B1422=0,"",IF(Inputs!$B$10="","",IF($AH1422=0,G1421,SUMIFS(Data!$R$10:$R$3209,Data!$Q$10:$Q$3209,"&gt;="&amp;$A1422,Data!$Q$10:$Q$3209,"&lt;"&amp;$A1422+1)/$AH1422)))</f>
        <v/>
      </c>
      <c r="I1422" s="54">
        <f>IF($B1422=0,NA(),IF($C1422="",NA(),IF(C$8="",NA(),IF(N(C$8)=0,NA(),IF(Inputs!$C$17="Rebased to 100",$C1422/C$8*100,$C1422)))))</f>
        <v/>
      </c>
      <c r="J1422" s="54">
        <f>IF($B1422=0,NA(),IF($D1422="",NA(),IF(D$8="",NA(),IF(N(D$8)=0,NA(),IF(Inputs!$C$17="Rebased to 100",$D1422/D$8*100,$D1422)))))</f>
        <v/>
      </c>
      <c r="K1422" s="54">
        <f>IF($B1422=0,NA(),IF($E1422="",NA(),IF(E$8="",NA(),IF(N(E$8)=0,NA(),IF(Inputs!$C$17="Rebased to 100",$E1422/E$8*100,$E1422)))))</f>
        <v/>
      </c>
      <c r="L1422" s="54">
        <f>IF($B1422=0,NA(),IF($F1422="",NA(),IF(F$8="",NA(),IF(N(F$8)=0,NA(),IF(Inputs!$C$17="Rebased to 100",$F1422/F$8*100,$F1422)))))</f>
        <v/>
      </c>
      <c r="M1422" s="54">
        <f>IF($B1422=0,NA(),IF($G1422="",NA(),IF(G$8="",NA(),IF(N(G$8)=0,NA(),IF(Inputs!$C$17="Rebased to 100",$G1422/G$8*100,$G1422)))))</f>
        <v/>
      </c>
      <c r="N1422" s="54">
        <f>IF($B1422=0,NA(),IF(Inputs!$C$18&lt;&gt;"Yes",NA(),IF(COUNT(I1422,J1422,K1422,L1422,M1422)=0,NA(),MIN(I1422,J1422,K1422,L1422,M1422))))</f>
        <v/>
      </c>
      <c r="O1422" s="54">
        <f>IF($B1422=0,NA(),IF(Inputs!$B$24&lt;&gt;"Yes",NA(),Inputs!$D$24*Inputs!$C$35))</f>
        <v/>
      </c>
      <c r="P1422" s="54">
        <f>IF($B1422=0,NA(),IF(Inputs!$B$25&lt;&gt;"Yes",NA(),Inputs!$D$25*Inputs!$C$35))</f>
        <v/>
      </c>
      <c r="Q1422" s="54">
        <f>IF($B1422=0,NA(),IF(Inputs!$B$26&lt;&gt;"Yes",NA(),Inputs!$D$26*Inputs!$C$35))</f>
        <v/>
      </c>
      <c r="R1422" s="54">
        <f>IF($B1422=0,NA(),IF(Inputs!$B$27&lt;&gt;"Yes",NA(),Inputs!$D$27*Inputs!$C$35))</f>
        <v/>
      </c>
      <c r="S1422" s="54">
        <f>IF($B1422=0,NA(),IF(Inputs!$B$28&lt;&gt;"Yes",NA(),Inputs!$D$28*Inputs!$C$35))</f>
        <v/>
      </c>
      <c r="T1422" s="54">
        <f>IF($B1422=0,NA(),IF(Inputs!$B$29&lt;&gt;"Yes",NA(),Inputs!$D$29*Inputs!$C$35))</f>
        <v/>
      </c>
      <c r="AD1422">
        <f>IF($B1422=0,0,IF(Inputs!$B$6="",0,COUNTIFS(Data!$A$10:$A$3209,"&gt;="&amp;$A1422,Data!$A$10:$A$3209,"&lt;"&amp;$A1422+1)))</f>
        <v/>
      </c>
      <c r="AE1422">
        <f>IF($B1422=0,0,IF(Inputs!$B$7="",0,COUNTIFS(Data!$E$10:$E$3209,"&gt;="&amp;$A1422,Data!$E$10:$E$3209,"&lt;"&amp;$A1422+1)))</f>
        <v/>
      </c>
      <c r="AF1422">
        <f>IF($B1422=0,0,IF(Inputs!$B$8="",0,COUNTIFS(Data!$I$10:$I$3209,"&gt;="&amp;$A1422,Data!$I$10:$I$3209,"&lt;"&amp;$A1422+1)))</f>
        <v/>
      </c>
      <c r="AG1422">
        <f>IF($B1422=0,0,IF(Inputs!$B$9="",0,COUNTIFS(Data!$M$10:$M$3209,"&gt;="&amp;$A1422,Data!$M$10:$M$3209,"&lt;"&amp;$A1422+1)))</f>
        <v/>
      </c>
      <c r="AH1422">
        <f>IF($B1422=0,0,IF(Inputs!$B$10="",0,COUNTIFS(Data!$Q$10:$Q$3209,"&gt;="&amp;$A1422,Data!$Q$10:$Q$3209,"&lt;"&amp;$A1422+1)))</f>
        <v/>
      </c>
    </row>
    <row r="1423">
      <c r="A1423" s="55">
        <f>MIN(Inputs!$C$15,$A1422+IF(WEEKDAY($A1422,2)=5,3,1))</f>
        <v/>
      </c>
      <c r="B1423">
        <f>IF($A1423&gt;$A1422,1,0)</f>
        <v/>
      </c>
      <c r="C1423" s="56">
        <f>IF($B1423=0,"",IF(Inputs!$B$6="","",IF($AD1423=0,C1422,SUMIFS(Data!$B$10:$B$3209,Data!$A$10:$A$3209,"&gt;="&amp;$A1423,Data!$A$10:$A$3209,"&lt;"&amp;$A1423+1)/$AD1423)))</f>
        <v/>
      </c>
      <c r="D1423" s="56">
        <f>IF($B1423=0,"",IF(Inputs!$B$7="","",IF($AE1423=0,D1422,SUMIFS(Data!$F$10:$F$3209,Data!$E$10:$E$3209,"&gt;="&amp;$A1423,Data!$E$10:$E$3209,"&lt;"&amp;$A1423+1)/$AE1423)))</f>
        <v/>
      </c>
      <c r="E1423" s="56">
        <f>IF($B1423=0,"",IF(Inputs!$B$8="","",IF($AF1423=0,E1422,SUMIFS(Data!$J$10:$J$3209,Data!$I$10:$I$3209,"&gt;="&amp;$A1423,Data!$I$10:$I$3209,"&lt;"&amp;$A1423+1)/$AF1423)))</f>
        <v/>
      </c>
      <c r="F1423" s="56">
        <f>IF($B1423=0,"",IF(Inputs!$B$9="","",IF($AG1423=0,F1422,SUMIFS(Data!$N$10:$N$3209,Data!$M$10:$M$3209,"&gt;="&amp;$A1423,Data!$M$10:$M$3209,"&lt;"&amp;$A1423+1)/$AG1423)))</f>
        <v/>
      </c>
      <c r="G1423" s="56">
        <f>IF($B1423=0,"",IF(Inputs!$B$10="","",IF($AH1423=0,G1422,SUMIFS(Data!$R$10:$R$3209,Data!$Q$10:$Q$3209,"&gt;="&amp;$A1423,Data!$Q$10:$Q$3209,"&lt;"&amp;$A1423+1)/$AH1423)))</f>
        <v/>
      </c>
      <c r="I1423" s="54">
        <f>IF($B1423=0,NA(),IF($C1423="",NA(),IF(C$8="",NA(),IF(N(C$8)=0,NA(),IF(Inputs!$C$17="Rebased to 100",$C1423/C$8*100,$C1423)))))</f>
        <v/>
      </c>
      <c r="J1423" s="54">
        <f>IF($B1423=0,NA(),IF($D1423="",NA(),IF(D$8="",NA(),IF(N(D$8)=0,NA(),IF(Inputs!$C$17="Rebased to 100",$D1423/D$8*100,$D1423)))))</f>
        <v/>
      </c>
      <c r="K1423" s="54">
        <f>IF($B1423=0,NA(),IF($E1423="",NA(),IF(E$8="",NA(),IF(N(E$8)=0,NA(),IF(Inputs!$C$17="Rebased to 100",$E1423/E$8*100,$E1423)))))</f>
        <v/>
      </c>
      <c r="L1423" s="54">
        <f>IF($B1423=0,NA(),IF($F1423="",NA(),IF(F$8="",NA(),IF(N(F$8)=0,NA(),IF(Inputs!$C$17="Rebased to 100",$F1423/F$8*100,$F1423)))))</f>
        <v/>
      </c>
      <c r="M1423" s="54">
        <f>IF($B1423=0,NA(),IF($G1423="",NA(),IF(G$8="",NA(),IF(N(G$8)=0,NA(),IF(Inputs!$C$17="Rebased to 100",$G1423/G$8*100,$G1423)))))</f>
        <v/>
      </c>
      <c r="N1423" s="54">
        <f>IF($B1423=0,NA(),IF(Inputs!$C$18&lt;&gt;"Yes",NA(),IF(COUNT(I1423,J1423,K1423,L1423,M1423)=0,NA(),MIN(I1423,J1423,K1423,L1423,M1423))))</f>
        <v/>
      </c>
      <c r="O1423" s="54">
        <f>IF($B1423=0,NA(),IF(Inputs!$B$24&lt;&gt;"Yes",NA(),Inputs!$D$24*Inputs!$C$35))</f>
        <v/>
      </c>
      <c r="P1423" s="54">
        <f>IF($B1423=0,NA(),IF(Inputs!$B$25&lt;&gt;"Yes",NA(),Inputs!$D$25*Inputs!$C$35))</f>
        <v/>
      </c>
      <c r="Q1423" s="54">
        <f>IF($B1423=0,NA(),IF(Inputs!$B$26&lt;&gt;"Yes",NA(),Inputs!$D$26*Inputs!$C$35))</f>
        <v/>
      </c>
      <c r="R1423" s="54">
        <f>IF($B1423=0,NA(),IF(Inputs!$B$27&lt;&gt;"Yes",NA(),Inputs!$D$27*Inputs!$C$35))</f>
        <v/>
      </c>
      <c r="S1423" s="54">
        <f>IF($B1423=0,NA(),IF(Inputs!$B$28&lt;&gt;"Yes",NA(),Inputs!$D$28*Inputs!$C$35))</f>
        <v/>
      </c>
      <c r="T1423" s="54">
        <f>IF($B1423=0,NA(),IF(Inputs!$B$29&lt;&gt;"Yes",NA(),Inputs!$D$29*Inputs!$C$35))</f>
        <v/>
      </c>
      <c r="AD1423">
        <f>IF($B1423=0,0,IF(Inputs!$B$6="",0,COUNTIFS(Data!$A$10:$A$3209,"&gt;="&amp;$A1423,Data!$A$10:$A$3209,"&lt;"&amp;$A1423+1)))</f>
        <v/>
      </c>
      <c r="AE1423">
        <f>IF($B1423=0,0,IF(Inputs!$B$7="",0,COUNTIFS(Data!$E$10:$E$3209,"&gt;="&amp;$A1423,Data!$E$10:$E$3209,"&lt;"&amp;$A1423+1)))</f>
        <v/>
      </c>
      <c r="AF1423">
        <f>IF($B1423=0,0,IF(Inputs!$B$8="",0,COUNTIFS(Data!$I$10:$I$3209,"&gt;="&amp;$A1423,Data!$I$10:$I$3209,"&lt;"&amp;$A1423+1)))</f>
        <v/>
      </c>
      <c r="AG1423">
        <f>IF($B1423=0,0,IF(Inputs!$B$9="",0,COUNTIFS(Data!$M$10:$M$3209,"&gt;="&amp;$A1423,Data!$M$10:$M$3209,"&lt;"&amp;$A1423+1)))</f>
        <v/>
      </c>
      <c r="AH1423">
        <f>IF($B1423=0,0,IF(Inputs!$B$10="",0,COUNTIFS(Data!$Q$10:$Q$3209,"&gt;="&amp;$A1423,Data!$Q$10:$Q$3209,"&lt;"&amp;$A1423+1)))</f>
        <v/>
      </c>
    </row>
    <row r="1424">
      <c r="A1424" s="55">
        <f>MIN(Inputs!$C$15,$A1423+IF(WEEKDAY($A1423,2)=5,3,1))</f>
        <v/>
      </c>
      <c r="B1424">
        <f>IF($A1424&gt;$A1423,1,0)</f>
        <v/>
      </c>
      <c r="C1424" s="56">
        <f>IF($B1424=0,"",IF(Inputs!$B$6="","",IF($AD1424=0,C1423,SUMIFS(Data!$B$10:$B$3209,Data!$A$10:$A$3209,"&gt;="&amp;$A1424,Data!$A$10:$A$3209,"&lt;"&amp;$A1424+1)/$AD1424)))</f>
        <v/>
      </c>
      <c r="D1424" s="56">
        <f>IF($B1424=0,"",IF(Inputs!$B$7="","",IF($AE1424=0,D1423,SUMIFS(Data!$F$10:$F$3209,Data!$E$10:$E$3209,"&gt;="&amp;$A1424,Data!$E$10:$E$3209,"&lt;"&amp;$A1424+1)/$AE1424)))</f>
        <v/>
      </c>
      <c r="E1424" s="56">
        <f>IF($B1424=0,"",IF(Inputs!$B$8="","",IF($AF1424=0,E1423,SUMIFS(Data!$J$10:$J$3209,Data!$I$10:$I$3209,"&gt;="&amp;$A1424,Data!$I$10:$I$3209,"&lt;"&amp;$A1424+1)/$AF1424)))</f>
        <v/>
      </c>
      <c r="F1424" s="56">
        <f>IF($B1424=0,"",IF(Inputs!$B$9="","",IF($AG1424=0,F1423,SUMIFS(Data!$N$10:$N$3209,Data!$M$10:$M$3209,"&gt;="&amp;$A1424,Data!$M$10:$M$3209,"&lt;"&amp;$A1424+1)/$AG1424)))</f>
        <v/>
      </c>
      <c r="G1424" s="56">
        <f>IF($B1424=0,"",IF(Inputs!$B$10="","",IF($AH1424=0,G1423,SUMIFS(Data!$R$10:$R$3209,Data!$Q$10:$Q$3209,"&gt;="&amp;$A1424,Data!$Q$10:$Q$3209,"&lt;"&amp;$A1424+1)/$AH1424)))</f>
        <v/>
      </c>
      <c r="I1424" s="54">
        <f>IF($B1424=0,NA(),IF($C1424="",NA(),IF(C$8="",NA(),IF(N(C$8)=0,NA(),IF(Inputs!$C$17="Rebased to 100",$C1424/C$8*100,$C1424)))))</f>
        <v/>
      </c>
      <c r="J1424" s="54">
        <f>IF($B1424=0,NA(),IF($D1424="",NA(),IF(D$8="",NA(),IF(N(D$8)=0,NA(),IF(Inputs!$C$17="Rebased to 100",$D1424/D$8*100,$D1424)))))</f>
        <v/>
      </c>
      <c r="K1424" s="54">
        <f>IF($B1424=0,NA(),IF($E1424="",NA(),IF(E$8="",NA(),IF(N(E$8)=0,NA(),IF(Inputs!$C$17="Rebased to 100",$E1424/E$8*100,$E1424)))))</f>
        <v/>
      </c>
      <c r="L1424" s="54">
        <f>IF($B1424=0,NA(),IF($F1424="",NA(),IF(F$8="",NA(),IF(N(F$8)=0,NA(),IF(Inputs!$C$17="Rebased to 100",$F1424/F$8*100,$F1424)))))</f>
        <v/>
      </c>
      <c r="M1424" s="54">
        <f>IF($B1424=0,NA(),IF($G1424="",NA(),IF(G$8="",NA(),IF(N(G$8)=0,NA(),IF(Inputs!$C$17="Rebased to 100",$G1424/G$8*100,$G1424)))))</f>
        <v/>
      </c>
      <c r="N1424" s="54">
        <f>IF($B1424=0,NA(),IF(Inputs!$C$18&lt;&gt;"Yes",NA(),IF(COUNT(I1424,J1424,K1424,L1424,M1424)=0,NA(),MIN(I1424,J1424,K1424,L1424,M1424))))</f>
        <v/>
      </c>
      <c r="O1424" s="54">
        <f>IF($B1424=0,NA(),IF(Inputs!$B$24&lt;&gt;"Yes",NA(),Inputs!$D$24*Inputs!$C$35))</f>
        <v/>
      </c>
      <c r="P1424" s="54">
        <f>IF($B1424=0,NA(),IF(Inputs!$B$25&lt;&gt;"Yes",NA(),Inputs!$D$25*Inputs!$C$35))</f>
        <v/>
      </c>
      <c r="Q1424" s="54">
        <f>IF($B1424=0,NA(),IF(Inputs!$B$26&lt;&gt;"Yes",NA(),Inputs!$D$26*Inputs!$C$35))</f>
        <v/>
      </c>
      <c r="R1424" s="54">
        <f>IF($B1424=0,NA(),IF(Inputs!$B$27&lt;&gt;"Yes",NA(),Inputs!$D$27*Inputs!$C$35))</f>
        <v/>
      </c>
      <c r="S1424" s="54">
        <f>IF($B1424=0,NA(),IF(Inputs!$B$28&lt;&gt;"Yes",NA(),Inputs!$D$28*Inputs!$C$35))</f>
        <v/>
      </c>
      <c r="T1424" s="54">
        <f>IF($B1424=0,NA(),IF(Inputs!$B$29&lt;&gt;"Yes",NA(),Inputs!$D$29*Inputs!$C$35))</f>
        <v/>
      </c>
      <c r="AD1424">
        <f>IF($B1424=0,0,IF(Inputs!$B$6="",0,COUNTIFS(Data!$A$10:$A$3209,"&gt;="&amp;$A1424,Data!$A$10:$A$3209,"&lt;"&amp;$A1424+1)))</f>
        <v/>
      </c>
      <c r="AE1424">
        <f>IF($B1424=0,0,IF(Inputs!$B$7="",0,COUNTIFS(Data!$E$10:$E$3209,"&gt;="&amp;$A1424,Data!$E$10:$E$3209,"&lt;"&amp;$A1424+1)))</f>
        <v/>
      </c>
      <c r="AF1424">
        <f>IF($B1424=0,0,IF(Inputs!$B$8="",0,COUNTIFS(Data!$I$10:$I$3209,"&gt;="&amp;$A1424,Data!$I$10:$I$3209,"&lt;"&amp;$A1424+1)))</f>
        <v/>
      </c>
      <c r="AG1424">
        <f>IF($B1424=0,0,IF(Inputs!$B$9="",0,COUNTIFS(Data!$M$10:$M$3209,"&gt;="&amp;$A1424,Data!$M$10:$M$3209,"&lt;"&amp;$A1424+1)))</f>
        <v/>
      </c>
      <c r="AH1424">
        <f>IF($B1424=0,0,IF(Inputs!$B$10="",0,COUNTIFS(Data!$Q$10:$Q$3209,"&gt;="&amp;$A1424,Data!$Q$10:$Q$3209,"&lt;"&amp;$A1424+1)))</f>
        <v/>
      </c>
    </row>
    <row r="1425">
      <c r="A1425" s="55">
        <f>MIN(Inputs!$C$15,$A1424+IF(WEEKDAY($A1424,2)=5,3,1))</f>
        <v/>
      </c>
      <c r="B1425">
        <f>IF($A1425&gt;$A1424,1,0)</f>
        <v/>
      </c>
      <c r="C1425" s="56">
        <f>IF($B1425=0,"",IF(Inputs!$B$6="","",IF($AD1425=0,C1424,SUMIFS(Data!$B$10:$B$3209,Data!$A$10:$A$3209,"&gt;="&amp;$A1425,Data!$A$10:$A$3209,"&lt;"&amp;$A1425+1)/$AD1425)))</f>
        <v/>
      </c>
      <c r="D1425" s="56">
        <f>IF($B1425=0,"",IF(Inputs!$B$7="","",IF($AE1425=0,D1424,SUMIFS(Data!$F$10:$F$3209,Data!$E$10:$E$3209,"&gt;="&amp;$A1425,Data!$E$10:$E$3209,"&lt;"&amp;$A1425+1)/$AE1425)))</f>
        <v/>
      </c>
      <c r="E1425" s="56">
        <f>IF($B1425=0,"",IF(Inputs!$B$8="","",IF($AF1425=0,E1424,SUMIFS(Data!$J$10:$J$3209,Data!$I$10:$I$3209,"&gt;="&amp;$A1425,Data!$I$10:$I$3209,"&lt;"&amp;$A1425+1)/$AF1425)))</f>
        <v/>
      </c>
      <c r="F1425" s="56">
        <f>IF($B1425=0,"",IF(Inputs!$B$9="","",IF($AG1425=0,F1424,SUMIFS(Data!$N$10:$N$3209,Data!$M$10:$M$3209,"&gt;="&amp;$A1425,Data!$M$10:$M$3209,"&lt;"&amp;$A1425+1)/$AG1425)))</f>
        <v/>
      </c>
      <c r="G1425" s="56">
        <f>IF($B1425=0,"",IF(Inputs!$B$10="","",IF($AH1425=0,G1424,SUMIFS(Data!$R$10:$R$3209,Data!$Q$10:$Q$3209,"&gt;="&amp;$A1425,Data!$Q$10:$Q$3209,"&lt;"&amp;$A1425+1)/$AH1425)))</f>
        <v/>
      </c>
      <c r="I1425" s="54">
        <f>IF($B1425=0,NA(),IF($C1425="",NA(),IF(C$8="",NA(),IF(N(C$8)=0,NA(),IF(Inputs!$C$17="Rebased to 100",$C1425/C$8*100,$C1425)))))</f>
        <v/>
      </c>
      <c r="J1425" s="54">
        <f>IF($B1425=0,NA(),IF($D1425="",NA(),IF(D$8="",NA(),IF(N(D$8)=0,NA(),IF(Inputs!$C$17="Rebased to 100",$D1425/D$8*100,$D1425)))))</f>
        <v/>
      </c>
      <c r="K1425" s="54">
        <f>IF($B1425=0,NA(),IF($E1425="",NA(),IF(E$8="",NA(),IF(N(E$8)=0,NA(),IF(Inputs!$C$17="Rebased to 100",$E1425/E$8*100,$E1425)))))</f>
        <v/>
      </c>
      <c r="L1425" s="54">
        <f>IF($B1425=0,NA(),IF($F1425="",NA(),IF(F$8="",NA(),IF(N(F$8)=0,NA(),IF(Inputs!$C$17="Rebased to 100",$F1425/F$8*100,$F1425)))))</f>
        <v/>
      </c>
      <c r="M1425" s="54">
        <f>IF($B1425=0,NA(),IF($G1425="",NA(),IF(G$8="",NA(),IF(N(G$8)=0,NA(),IF(Inputs!$C$17="Rebased to 100",$G1425/G$8*100,$G1425)))))</f>
        <v/>
      </c>
      <c r="N1425" s="54">
        <f>IF($B1425=0,NA(),IF(Inputs!$C$18&lt;&gt;"Yes",NA(),IF(COUNT(I1425,J1425,K1425,L1425,M1425)=0,NA(),MIN(I1425,J1425,K1425,L1425,M1425))))</f>
        <v/>
      </c>
      <c r="O1425" s="54">
        <f>IF($B1425=0,NA(),IF(Inputs!$B$24&lt;&gt;"Yes",NA(),Inputs!$D$24*Inputs!$C$35))</f>
        <v/>
      </c>
      <c r="P1425" s="54">
        <f>IF($B1425=0,NA(),IF(Inputs!$B$25&lt;&gt;"Yes",NA(),Inputs!$D$25*Inputs!$C$35))</f>
        <v/>
      </c>
      <c r="Q1425" s="54">
        <f>IF($B1425=0,NA(),IF(Inputs!$B$26&lt;&gt;"Yes",NA(),Inputs!$D$26*Inputs!$C$35))</f>
        <v/>
      </c>
      <c r="R1425" s="54">
        <f>IF($B1425=0,NA(),IF(Inputs!$B$27&lt;&gt;"Yes",NA(),Inputs!$D$27*Inputs!$C$35))</f>
        <v/>
      </c>
      <c r="S1425" s="54">
        <f>IF($B1425=0,NA(),IF(Inputs!$B$28&lt;&gt;"Yes",NA(),Inputs!$D$28*Inputs!$C$35))</f>
        <v/>
      </c>
      <c r="T1425" s="54">
        <f>IF($B1425=0,NA(),IF(Inputs!$B$29&lt;&gt;"Yes",NA(),Inputs!$D$29*Inputs!$C$35))</f>
        <v/>
      </c>
      <c r="AD1425">
        <f>IF($B1425=0,0,IF(Inputs!$B$6="",0,COUNTIFS(Data!$A$10:$A$3209,"&gt;="&amp;$A1425,Data!$A$10:$A$3209,"&lt;"&amp;$A1425+1)))</f>
        <v/>
      </c>
      <c r="AE1425">
        <f>IF($B1425=0,0,IF(Inputs!$B$7="",0,COUNTIFS(Data!$E$10:$E$3209,"&gt;="&amp;$A1425,Data!$E$10:$E$3209,"&lt;"&amp;$A1425+1)))</f>
        <v/>
      </c>
      <c r="AF1425">
        <f>IF($B1425=0,0,IF(Inputs!$B$8="",0,COUNTIFS(Data!$I$10:$I$3209,"&gt;="&amp;$A1425,Data!$I$10:$I$3209,"&lt;"&amp;$A1425+1)))</f>
        <v/>
      </c>
      <c r="AG1425">
        <f>IF($B1425=0,0,IF(Inputs!$B$9="",0,COUNTIFS(Data!$M$10:$M$3209,"&gt;="&amp;$A1425,Data!$M$10:$M$3209,"&lt;"&amp;$A1425+1)))</f>
        <v/>
      </c>
      <c r="AH1425">
        <f>IF($B1425=0,0,IF(Inputs!$B$10="",0,COUNTIFS(Data!$Q$10:$Q$3209,"&gt;="&amp;$A1425,Data!$Q$10:$Q$3209,"&lt;"&amp;$A1425+1)))</f>
        <v/>
      </c>
    </row>
    <row r="1426">
      <c r="A1426" s="55">
        <f>MIN(Inputs!$C$15,$A1425+IF(WEEKDAY($A1425,2)=5,3,1))</f>
        <v/>
      </c>
      <c r="B1426">
        <f>IF($A1426&gt;$A1425,1,0)</f>
        <v/>
      </c>
      <c r="C1426" s="56">
        <f>IF($B1426=0,"",IF(Inputs!$B$6="","",IF($AD1426=0,C1425,SUMIFS(Data!$B$10:$B$3209,Data!$A$10:$A$3209,"&gt;="&amp;$A1426,Data!$A$10:$A$3209,"&lt;"&amp;$A1426+1)/$AD1426)))</f>
        <v/>
      </c>
      <c r="D1426" s="56">
        <f>IF($B1426=0,"",IF(Inputs!$B$7="","",IF($AE1426=0,D1425,SUMIFS(Data!$F$10:$F$3209,Data!$E$10:$E$3209,"&gt;="&amp;$A1426,Data!$E$10:$E$3209,"&lt;"&amp;$A1426+1)/$AE1426)))</f>
        <v/>
      </c>
      <c r="E1426" s="56">
        <f>IF($B1426=0,"",IF(Inputs!$B$8="","",IF($AF1426=0,E1425,SUMIFS(Data!$J$10:$J$3209,Data!$I$10:$I$3209,"&gt;="&amp;$A1426,Data!$I$10:$I$3209,"&lt;"&amp;$A1426+1)/$AF1426)))</f>
        <v/>
      </c>
      <c r="F1426" s="56">
        <f>IF($B1426=0,"",IF(Inputs!$B$9="","",IF($AG1426=0,F1425,SUMIFS(Data!$N$10:$N$3209,Data!$M$10:$M$3209,"&gt;="&amp;$A1426,Data!$M$10:$M$3209,"&lt;"&amp;$A1426+1)/$AG1426)))</f>
        <v/>
      </c>
      <c r="G1426" s="56">
        <f>IF($B1426=0,"",IF(Inputs!$B$10="","",IF($AH1426=0,G1425,SUMIFS(Data!$R$10:$R$3209,Data!$Q$10:$Q$3209,"&gt;="&amp;$A1426,Data!$Q$10:$Q$3209,"&lt;"&amp;$A1426+1)/$AH1426)))</f>
        <v/>
      </c>
      <c r="I1426" s="54">
        <f>IF($B1426=0,NA(),IF($C1426="",NA(),IF(C$8="",NA(),IF(N(C$8)=0,NA(),IF(Inputs!$C$17="Rebased to 100",$C1426/C$8*100,$C1426)))))</f>
        <v/>
      </c>
      <c r="J1426" s="54">
        <f>IF($B1426=0,NA(),IF($D1426="",NA(),IF(D$8="",NA(),IF(N(D$8)=0,NA(),IF(Inputs!$C$17="Rebased to 100",$D1426/D$8*100,$D1426)))))</f>
        <v/>
      </c>
      <c r="K1426" s="54">
        <f>IF($B1426=0,NA(),IF($E1426="",NA(),IF(E$8="",NA(),IF(N(E$8)=0,NA(),IF(Inputs!$C$17="Rebased to 100",$E1426/E$8*100,$E1426)))))</f>
        <v/>
      </c>
      <c r="L1426" s="54">
        <f>IF($B1426=0,NA(),IF($F1426="",NA(),IF(F$8="",NA(),IF(N(F$8)=0,NA(),IF(Inputs!$C$17="Rebased to 100",$F1426/F$8*100,$F1426)))))</f>
        <v/>
      </c>
      <c r="M1426" s="54">
        <f>IF($B1426=0,NA(),IF($G1426="",NA(),IF(G$8="",NA(),IF(N(G$8)=0,NA(),IF(Inputs!$C$17="Rebased to 100",$G1426/G$8*100,$G1426)))))</f>
        <v/>
      </c>
      <c r="N1426" s="54">
        <f>IF($B1426=0,NA(),IF(Inputs!$C$18&lt;&gt;"Yes",NA(),IF(COUNT(I1426,J1426,K1426,L1426,M1426)=0,NA(),MIN(I1426,J1426,K1426,L1426,M1426))))</f>
        <v/>
      </c>
      <c r="O1426" s="54">
        <f>IF($B1426=0,NA(),IF(Inputs!$B$24&lt;&gt;"Yes",NA(),Inputs!$D$24*Inputs!$C$35))</f>
        <v/>
      </c>
      <c r="P1426" s="54">
        <f>IF($B1426=0,NA(),IF(Inputs!$B$25&lt;&gt;"Yes",NA(),Inputs!$D$25*Inputs!$C$35))</f>
        <v/>
      </c>
      <c r="Q1426" s="54">
        <f>IF($B1426=0,NA(),IF(Inputs!$B$26&lt;&gt;"Yes",NA(),Inputs!$D$26*Inputs!$C$35))</f>
        <v/>
      </c>
      <c r="R1426" s="54">
        <f>IF($B1426=0,NA(),IF(Inputs!$B$27&lt;&gt;"Yes",NA(),Inputs!$D$27*Inputs!$C$35))</f>
        <v/>
      </c>
      <c r="S1426" s="54">
        <f>IF($B1426=0,NA(),IF(Inputs!$B$28&lt;&gt;"Yes",NA(),Inputs!$D$28*Inputs!$C$35))</f>
        <v/>
      </c>
      <c r="T1426" s="54">
        <f>IF($B1426=0,NA(),IF(Inputs!$B$29&lt;&gt;"Yes",NA(),Inputs!$D$29*Inputs!$C$35))</f>
        <v/>
      </c>
      <c r="AD1426">
        <f>IF($B1426=0,0,IF(Inputs!$B$6="",0,COUNTIFS(Data!$A$10:$A$3209,"&gt;="&amp;$A1426,Data!$A$10:$A$3209,"&lt;"&amp;$A1426+1)))</f>
        <v/>
      </c>
      <c r="AE1426">
        <f>IF($B1426=0,0,IF(Inputs!$B$7="",0,COUNTIFS(Data!$E$10:$E$3209,"&gt;="&amp;$A1426,Data!$E$10:$E$3209,"&lt;"&amp;$A1426+1)))</f>
        <v/>
      </c>
      <c r="AF1426">
        <f>IF($B1426=0,0,IF(Inputs!$B$8="",0,COUNTIFS(Data!$I$10:$I$3209,"&gt;="&amp;$A1426,Data!$I$10:$I$3209,"&lt;"&amp;$A1426+1)))</f>
        <v/>
      </c>
      <c r="AG1426">
        <f>IF($B1426=0,0,IF(Inputs!$B$9="",0,COUNTIFS(Data!$M$10:$M$3209,"&gt;="&amp;$A1426,Data!$M$10:$M$3209,"&lt;"&amp;$A1426+1)))</f>
        <v/>
      </c>
      <c r="AH1426">
        <f>IF($B1426=0,0,IF(Inputs!$B$10="",0,COUNTIFS(Data!$Q$10:$Q$3209,"&gt;="&amp;$A1426,Data!$Q$10:$Q$3209,"&lt;"&amp;$A1426+1)))</f>
        <v/>
      </c>
    </row>
    <row r="1427">
      <c r="A1427" s="55">
        <f>MIN(Inputs!$C$15,$A1426+IF(WEEKDAY($A1426,2)=5,3,1))</f>
        <v/>
      </c>
      <c r="B1427">
        <f>IF($A1427&gt;$A1426,1,0)</f>
        <v/>
      </c>
      <c r="C1427" s="56">
        <f>IF($B1427=0,"",IF(Inputs!$B$6="","",IF($AD1427=0,C1426,SUMIFS(Data!$B$10:$B$3209,Data!$A$10:$A$3209,"&gt;="&amp;$A1427,Data!$A$10:$A$3209,"&lt;"&amp;$A1427+1)/$AD1427)))</f>
        <v/>
      </c>
      <c r="D1427" s="56">
        <f>IF($B1427=0,"",IF(Inputs!$B$7="","",IF($AE1427=0,D1426,SUMIFS(Data!$F$10:$F$3209,Data!$E$10:$E$3209,"&gt;="&amp;$A1427,Data!$E$10:$E$3209,"&lt;"&amp;$A1427+1)/$AE1427)))</f>
        <v/>
      </c>
      <c r="E1427" s="56">
        <f>IF($B1427=0,"",IF(Inputs!$B$8="","",IF($AF1427=0,E1426,SUMIFS(Data!$J$10:$J$3209,Data!$I$10:$I$3209,"&gt;="&amp;$A1427,Data!$I$10:$I$3209,"&lt;"&amp;$A1427+1)/$AF1427)))</f>
        <v/>
      </c>
      <c r="F1427" s="56">
        <f>IF($B1427=0,"",IF(Inputs!$B$9="","",IF($AG1427=0,F1426,SUMIFS(Data!$N$10:$N$3209,Data!$M$10:$M$3209,"&gt;="&amp;$A1427,Data!$M$10:$M$3209,"&lt;"&amp;$A1427+1)/$AG1427)))</f>
        <v/>
      </c>
      <c r="G1427" s="56">
        <f>IF($B1427=0,"",IF(Inputs!$B$10="","",IF($AH1427=0,G1426,SUMIFS(Data!$R$10:$R$3209,Data!$Q$10:$Q$3209,"&gt;="&amp;$A1427,Data!$Q$10:$Q$3209,"&lt;"&amp;$A1427+1)/$AH1427)))</f>
        <v/>
      </c>
      <c r="I1427" s="54">
        <f>IF($B1427=0,NA(),IF($C1427="",NA(),IF(C$8="",NA(),IF(N(C$8)=0,NA(),IF(Inputs!$C$17="Rebased to 100",$C1427/C$8*100,$C1427)))))</f>
        <v/>
      </c>
      <c r="J1427" s="54">
        <f>IF($B1427=0,NA(),IF($D1427="",NA(),IF(D$8="",NA(),IF(N(D$8)=0,NA(),IF(Inputs!$C$17="Rebased to 100",$D1427/D$8*100,$D1427)))))</f>
        <v/>
      </c>
      <c r="K1427" s="54">
        <f>IF($B1427=0,NA(),IF($E1427="",NA(),IF(E$8="",NA(),IF(N(E$8)=0,NA(),IF(Inputs!$C$17="Rebased to 100",$E1427/E$8*100,$E1427)))))</f>
        <v/>
      </c>
      <c r="L1427" s="54">
        <f>IF($B1427=0,NA(),IF($F1427="",NA(),IF(F$8="",NA(),IF(N(F$8)=0,NA(),IF(Inputs!$C$17="Rebased to 100",$F1427/F$8*100,$F1427)))))</f>
        <v/>
      </c>
      <c r="M1427" s="54">
        <f>IF($B1427=0,NA(),IF($G1427="",NA(),IF(G$8="",NA(),IF(N(G$8)=0,NA(),IF(Inputs!$C$17="Rebased to 100",$G1427/G$8*100,$G1427)))))</f>
        <v/>
      </c>
      <c r="N1427" s="54">
        <f>IF($B1427=0,NA(),IF(Inputs!$C$18&lt;&gt;"Yes",NA(),IF(COUNT(I1427,J1427,K1427,L1427,M1427)=0,NA(),MIN(I1427,J1427,K1427,L1427,M1427))))</f>
        <v/>
      </c>
      <c r="O1427" s="54">
        <f>IF($B1427=0,NA(),IF(Inputs!$B$24&lt;&gt;"Yes",NA(),Inputs!$D$24*Inputs!$C$35))</f>
        <v/>
      </c>
      <c r="P1427" s="54">
        <f>IF($B1427=0,NA(),IF(Inputs!$B$25&lt;&gt;"Yes",NA(),Inputs!$D$25*Inputs!$C$35))</f>
        <v/>
      </c>
      <c r="Q1427" s="54">
        <f>IF($B1427=0,NA(),IF(Inputs!$B$26&lt;&gt;"Yes",NA(),Inputs!$D$26*Inputs!$C$35))</f>
        <v/>
      </c>
      <c r="R1427" s="54">
        <f>IF($B1427=0,NA(),IF(Inputs!$B$27&lt;&gt;"Yes",NA(),Inputs!$D$27*Inputs!$C$35))</f>
        <v/>
      </c>
      <c r="S1427" s="54">
        <f>IF($B1427=0,NA(),IF(Inputs!$B$28&lt;&gt;"Yes",NA(),Inputs!$D$28*Inputs!$C$35))</f>
        <v/>
      </c>
      <c r="T1427" s="54">
        <f>IF($B1427=0,NA(),IF(Inputs!$B$29&lt;&gt;"Yes",NA(),Inputs!$D$29*Inputs!$C$35))</f>
        <v/>
      </c>
      <c r="AD1427">
        <f>IF($B1427=0,0,IF(Inputs!$B$6="",0,COUNTIFS(Data!$A$10:$A$3209,"&gt;="&amp;$A1427,Data!$A$10:$A$3209,"&lt;"&amp;$A1427+1)))</f>
        <v/>
      </c>
      <c r="AE1427">
        <f>IF($B1427=0,0,IF(Inputs!$B$7="",0,COUNTIFS(Data!$E$10:$E$3209,"&gt;="&amp;$A1427,Data!$E$10:$E$3209,"&lt;"&amp;$A1427+1)))</f>
        <v/>
      </c>
      <c r="AF1427">
        <f>IF($B1427=0,0,IF(Inputs!$B$8="",0,COUNTIFS(Data!$I$10:$I$3209,"&gt;="&amp;$A1427,Data!$I$10:$I$3209,"&lt;"&amp;$A1427+1)))</f>
        <v/>
      </c>
      <c r="AG1427">
        <f>IF($B1427=0,0,IF(Inputs!$B$9="",0,COUNTIFS(Data!$M$10:$M$3209,"&gt;="&amp;$A1427,Data!$M$10:$M$3209,"&lt;"&amp;$A1427+1)))</f>
        <v/>
      </c>
      <c r="AH1427">
        <f>IF($B1427=0,0,IF(Inputs!$B$10="",0,COUNTIFS(Data!$Q$10:$Q$3209,"&gt;="&amp;$A1427,Data!$Q$10:$Q$3209,"&lt;"&amp;$A1427+1)))</f>
        <v/>
      </c>
    </row>
    <row r="1428">
      <c r="A1428" s="55">
        <f>MIN(Inputs!$C$15,$A1427+IF(WEEKDAY($A1427,2)=5,3,1))</f>
        <v/>
      </c>
      <c r="B1428">
        <f>IF($A1428&gt;$A1427,1,0)</f>
        <v/>
      </c>
      <c r="C1428" s="56">
        <f>IF($B1428=0,"",IF(Inputs!$B$6="","",IF($AD1428=0,C1427,SUMIFS(Data!$B$10:$B$3209,Data!$A$10:$A$3209,"&gt;="&amp;$A1428,Data!$A$10:$A$3209,"&lt;"&amp;$A1428+1)/$AD1428)))</f>
        <v/>
      </c>
      <c r="D1428" s="56">
        <f>IF($B1428=0,"",IF(Inputs!$B$7="","",IF($AE1428=0,D1427,SUMIFS(Data!$F$10:$F$3209,Data!$E$10:$E$3209,"&gt;="&amp;$A1428,Data!$E$10:$E$3209,"&lt;"&amp;$A1428+1)/$AE1428)))</f>
        <v/>
      </c>
      <c r="E1428" s="56">
        <f>IF($B1428=0,"",IF(Inputs!$B$8="","",IF($AF1428=0,E1427,SUMIFS(Data!$J$10:$J$3209,Data!$I$10:$I$3209,"&gt;="&amp;$A1428,Data!$I$10:$I$3209,"&lt;"&amp;$A1428+1)/$AF1428)))</f>
        <v/>
      </c>
      <c r="F1428" s="56">
        <f>IF($B1428=0,"",IF(Inputs!$B$9="","",IF($AG1428=0,F1427,SUMIFS(Data!$N$10:$N$3209,Data!$M$10:$M$3209,"&gt;="&amp;$A1428,Data!$M$10:$M$3209,"&lt;"&amp;$A1428+1)/$AG1428)))</f>
        <v/>
      </c>
      <c r="G1428" s="56">
        <f>IF($B1428=0,"",IF(Inputs!$B$10="","",IF($AH1428=0,G1427,SUMIFS(Data!$R$10:$R$3209,Data!$Q$10:$Q$3209,"&gt;="&amp;$A1428,Data!$Q$10:$Q$3209,"&lt;"&amp;$A1428+1)/$AH1428)))</f>
        <v/>
      </c>
      <c r="I1428" s="54">
        <f>IF($B1428=0,NA(),IF($C1428="",NA(),IF(C$8="",NA(),IF(N(C$8)=0,NA(),IF(Inputs!$C$17="Rebased to 100",$C1428/C$8*100,$C1428)))))</f>
        <v/>
      </c>
      <c r="J1428" s="54">
        <f>IF($B1428=0,NA(),IF($D1428="",NA(),IF(D$8="",NA(),IF(N(D$8)=0,NA(),IF(Inputs!$C$17="Rebased to 100",$D1428/D$8*100,$D1428)))))</f>
        <v/>
      </c>
      <c r="K1428" s="54">
        <f>IF($B1428=0,NA(),IF($E1428="",NA(),IF(E$8="",NA(),IF(N(E$8)=0,NA(),IF(Inputs!$C$17="Rebased to 100",$E1428/E$8*100,$E1428)))))</f>
        <v/>
      </c>
      <c r="L1428" s="54">
        <f>IF($B1428=0,NA(),IF($F1428="",NA(),IF(F$8="",NA(),IF(N(F$8)=0,NA(),IF(Inputs!$C$17="Rebased to 100",$F1428/F$8*100,$F1428)))))</f>
        <v/>
      </c>
      <c r="M1428" s="54">
        <f>IF($B1428=0,NA(),IF($G1428="",NA(),IF(G$8="",NA(),IF(N(G$8)=0,NA(),IF(Inputs!$C$17="Rebased to 100",$G1428/G$8*100,$G1428)))))</f>
        <v/>
      </c>
      <c r="N1428" s="54">
        <f>IF($B1428=0,NA(),IF(Inputs!$C$18&lt;&gt;"Yes",NA(),IF(COUNT(I1428,J1428,K1428,L1428,M1428)=0,NA(),MIN(I1428,J1428,K1428,L1428,M1428))))</f>
        <v/>
      </c>
      <c r="O1428" s="54">
        <f>IF($B1428=0,NA(),IF(Inputs!$B$24&lt;&gt;"Yes",NA(),Inputs!$D$24*Inputs!$C$35))</f>
        <v/>
      </c>
      <c r="P1428" s="54">
        <f>IF($B1428=0,NA(),IF(Inputs!$B$25&lt;&gt;"Yes",NA(),Inputs!$D$25*Inputs!$C$35))</f>
        <v/>
      </c>
      <c r="Q1428" s="54">
        <f>IF($B1428=0,NA(),IF(Inputs!$B$26&lt;&gt;"Yes",NA(),Inputs!$D$26*Inputs!$C$35))</f>
        <v/>
      </c>
      <c r="R1428" s="54">
        <f>IF($B1428=0,NA(),IF(Inputs!$B$27&lt;&gt;"Yes",NA(),Inputs!$D$27*Inputs!$C$35))</f>
        <v/>
      </c>
      <c r="S1428" s="54">
        <f>IF($B1428=0,NA(),IF(Inputs!$B$28&lt;&gt;"Yes",NA(),Inputs!$D$28*Inputs!$C$35))</f>
        <v/>
      </c>
      <c r="T1428" s="54">
        <f>IF($B1428=0,NA(),IF(Inputs!$B$29&lt;&gt;"Yes",NA(),Inputs!$D$29*Inputs!$C$35))</f>
        <v/>
      </c>
      <c r="AD1428">
        <f>IF($B1428=0,0,IF(Inputs!$B$6="",0,COUNTIFS(Data!$A$10:$A$3209,"&gt;="&amp;$A1428,Data!$A$10:$A$3209,"&lt;"&amp;$A1428+1)))</f>
        <v/>
      </c>
      <c r="AE1428">
        <f>IF($B1428=0,0,IF(Inputs!$B$7="",0,COUNTIFS(Data!$E$10:$E$3209,"&gt;="&amp;$A1428,Data!$E$10:$E$3209,"&lt;"&amp;$A1428+1)))</f>
        <v/>
      </c>
      <c r="AF1428">
        <f>IF($B1428=0,0,IF(Inputs!$B$8="",0,COUNTIFS(Data!$I$10:$I$3209,"&gt;="&amp;$A1428,Data!$I$10:$I$3209,"&lt;"&amp;$A1428+1)))</f>
        <v/>
      </c>
      <c r="AG1428">
        <f>IF($B1428=0,0,IF(Inputs!$B$9="",0,COUNTIFS(Data!$M$10:$M$3209,"&gt;="&amp;$A1428,Data!$M$10:$M$3209,"&lt;"&amp;$A1428+1)))</f>
        <v/>
      </c>
      <c r="AH1428">
        <f>IF($B1428=0,0,IF(Inputs!$B$10="",0,COUNTIFS(Data!$Q$10:$Q$3209,"&gt;="&amp;$A1428,Data!$Q$10:$Q$3209,"&lt;"&amp;$A1428+1)))</f>
        <v/>
      </c>
    </row>
    <row r="1429">
      <c r="A1429" s="55">
        <f>MIN(Inputs!$C$15,$A1428+IF(WEEKDAY($A1428,2)=5,3,1))</f>
        <v/>
      </c>
      <c r="B1429">
        <f>IF($A1429&gt;$A1428,1,0)</f>
        <v/>
      </c>
      <c r="C1429" s="56">
        <f>IF($B1429=0,"",IF(Inputs!$B$6="","",IF($AD1429=0,C1428,SUMIFS(Data!$B$10:$B$3209,Data!$A$10:$A$3209,"&gt;="&amp;$A1429,Data!$A$10:$A$3209,"&lt;"&amp;$A1429+1)/$AD1429)))</f>
        <v/>
      </c>
      <c r="D1429" s="56">
        <f>IF($B1429=0,"",IF(Inputs!$B$7="","",IF($AE1429=0,D1428,SUMIFS(Data!$F$10:$F$3209,Data!$E$10:$E$3209,"&gt;="&amp;$A1429,Data!$E$10:$E$3209,"&lt;"&amp;$A1429+1)/$AE1429)))</f>
        <v/>
      </c>
      <c r="E1429" s="56">
        <f>IF($B1429=0,"",IF(Inputs!$B$8="","",IF($AF1429=0,E1428,SUMIFS(Data!$J$10:$J$3209,Data!$I$10:$I$3209,"&gt;="&amp;$A1429,Data!$I$10:$I$3209,"&lt;"&amp;$A1429+1)/$AF1429)))</f>
        <v/>
      </c>
      <c r="F1429" s="56">
        <f>IF($B1429=0,"",IF(Inputs!$B$9="","",IF($AG1429=0,F1428,SUMIFS(Data!$N$10:$N$3209,Data!$M$10:$M$3209,"&gt;="&amp;$A1429,Data!$M$10:$M$3209,"&lt;"&amp;$A1429+1)/$AG1429)))</f>
        <v/>
      </c>
      <c r="G1429" s="56">
        <f>IF($B1429=0,"",IF(Inputs!$B$10="","",IF($AH1429=0,G1428,SUMIFS(Data!$R$10:$R$3209,Data!$Q$10:$Q$3209,"&gt;="&amp;$A1429,Data!$Q$10:$Q$3209,"&lt;"&amp;$A1429+1)/$AH1429)))</f>
        <v/>
      </c>
      <c r="I1429" s="54">
        <f>IF($B1429=0,NA(),IF($C1429="",NA(),IF(C$8="",NA(),IF(N(C$8)=0,NA(),IF(Inputs!$C$17="Rebased to 100",$C1429/C$8*100,$C1429)))))</f>
        <v/>
      </c>
      <c r="J1429" s="54">
        <f>IF($B1429=0,NA(),IF($D1429="",NA(),IF(D$8="",NA(),IF(N(D$8)=0,NA(),IF(Inputs!$C$17="Rebased to 100",$D1429/D$8*100,$D1429)))))</f>
        <v/>
      </c>
      <c r="K1429" s="54">
        <f>IF($B1429=0,NA(),IF($E1429="",NA(),IF(E$8="",NA(),IF(N(E$8)=0,NA(),IF(Inputs!$C$17="Rebased to 100",$E1429/E$8*100,$E1429)))))</f>
        <v/>
      </c>
      <c r="L1429" s="54">
        <f>IF($B1429=0,NA(),IF($F1429="",NA(),IF(F$8="",NA(),IF(N(F$8)=0,NA(),IF(Inputs!$C$17="Rebased to 100",$F1429/F$8*100,$F1429)))))</f>
        <v/>
      </c>
      <c r="M1429" s="54">
        <f>IF($B1429=0,NA(),IF($G1429="",NA(),IF(G$8="",NA(),IF(N(G$8)=0,NA(),IF(Inputs!$C$17="Rebased to 100",$G1429/G$8*100,$G1429)))))</f>
        <v/>
      </c>
      <c r="N1429" s="54">
        <f>IF($B1429=0,NA(),IF(Inputs!$C$18&lt;&gt;"Yes",NA(),IF(COUNT(I1429,J1429,K1429,L1429,M1429)=0,NA(),MIN(I1429,J1429,K1429,L1429,M1429))))</f>
        <v/>
      </c>
      <c r="O1429" s="54">
        <f>IF($B1429=0,NA(),IF(Inputs!$B$24&lt;&gt;"Yes",NA(),Inputs!$D$24*Inputs!$C$35))</f>
        <v/>
      </c>
      <c r="P1429" s="54">
        <f>IF($B1429=0,NA(),IF(Inputs!$B$25&lt;&gt;"Yes",NA(),Inputs!$D$25*Inputs!$C$35))</f>
        <v/>
      </c>
      <c r="Q1429" s="54">
        <f>IF($B1429=0,NA(),IF(Inputs!$B$26&lt;&gt;"Yes",NA(),Inputs!$D$26*Inputs!$C$35))</f>
        <v/>
      </c>
      <c r="R1429" s="54">
        <f>IF($B1429=0,NA(),IF(Inputs!$B$27&lt;&gt;"Yes",NA(),Inputs!$D$27*Inputs!$C$35))</f>
        <v/>
      </c>
      <c r="S1429" s="54">
        <f>IF($B1429=0,NA(),IF(Inputs!$B$28&lt;&gt;"Yes",NA(),Inputs!$D$28*Inputs!$C$35))</f>
        <v/>
      </c>
      <c r="T1429" s="54">
        <f>IF($B1429=0,NA(),IF(Inputs!$B$29&lt;&gt;"Yes",NA(),Inputs!$D$29*Inputs!$C$35))</f>
        <v/>
      </c>
      <c r="AD1429">
        <f>IF($B1429=0,0,IF(Inputs!$B$6="",0,COUNTIFS(Data!$A$10:$A$3209,"&gt;="&amp;$A1429,Data!$A$10:$A$3209,"&lt;"&amp;$A1429+1)))</f>
        <v/>
      </c>
      <c r="AE1429">
        <f>IF($B1429=0,0,IF(Inputs!$B$7="",0,COUNTIFS(Data!$E$10:$E$3209,"&gt;="&amp;$A1429,Data!$E$10:$E$3209,"&lt;"&amp;$A1429+1)))</f>
        <v/>
      </c>
      <c r="AF1429">
        <f>IF($B1429=0,0,IF(Inputs!$B$8="",0,COUNTIFS(Data!$I$10:$I$3209,"&gt;="&amp;$A1429,Data!$I$10:$I$3209,"&lt;"&amp;$A1429+1)))</f>
        <v/>
      </c>
      <c r="AG1429">
        <f>IF($B1429=0,0,IF(Inputs!$B$9="",0,COUNTIFS(Data!$M$10:$M$3209,"&gt;="&amp;$A1429,Data!$M$10:$M$3209,"&lt;"&amp;$A1429+1)))</f>
        <v/>
      </c>
      <c r="AH1429">
        <f>IF($B1429=0,0,IF(Inputs!$B$10="",0,COUNTIFS(Data!$Q$10:$Q$3209,"&gt;="&amp;$A1429,Data!$Q$10:$Q$3209,"&lt;"&amp;$A1429+1)))</f>
        <v/>
      </c>
    </row>
    <row r="1430">
      <c r="A1430" s="55">
        <f>MIN(Inputs!$C$15,$A1429+IF(WEEKDAY($A1429,2)=5,3,1))</f>
        <v/>
      </c>
      <c r="B1430">
        <f>IF($A1430&gt;$A1429,1,0)</f>
        <v/>
      </c>
      <c r="C1430" s="56">
        <f>IF($B1430=0,"",IF(Inputs!$B$6="","",IF($AD1430=0,C1429,SUMIFS(Data!$B$10:$B$3209,Data!$A$10:$A$3209,"&gt;="&amp;$A1430,Data!$A$10:$A$3209,"&lt;"&amp;$A1430+1)/$AD1430)))</f>
        <v/>
      </c>
      <c r="D1430" s="56">
        <f>IF($B1430=0,"",IF(Inputs!$B$7="","",IF($AE1430=0,D1429,SUMIFS(Data!$F$10:$F$3209,Data!$E$10:$E$3209,"&gt;="&amp;$A1430,Data!$E$10:$E$3209,"&lt;"&amp;$A1430+1)/$AE1430)))</f>
        <v/>
      </c>
      <c r="E1430" s="56">
        <f>IF($B1430=0,"",IF(Inputs!$B$8="","",IF($AF1430=0,E1429,SUMIFS(Data!$J$10:$J$3209,Data!$I$10:$I$3209,"&gt;="&amp;$A1430,Data!$I$10:$I$3209,"&lt;"&amp;$A1430+1)/$AF1430)))</f>
        <v/>
      </c>
      <c r="F1430" s="56">
        <f>IF($B1430=0,"",IF(Inputs!$B$9="","",IF($AG1430=0,F1429,SUMIFS(Data!$N$10:$N$3209,Data!$M$10:$M$3209,"&gt;="&amp;$A1430,Data!$M$10:$M$3209,"&lt;"&amp;$A1430+1)/$AG1430)))</f>
        <v/>
      </c>
      <c r="G1430" s="56">
        <f>IF($B1430=0,"",IF(Inputs!$B$10="","",IF($AH1430=0,G1429,SUMIFS(Data!$R$10:$R$3209,Data!$Q$10:$Q$3209,"&gt;="&amp;$A1430,Data!$Q$10:$Q$3209,"&lt;"&amp;$A1430+1)/$AH1430)))</f>
        <v/>
      </c>
      <c r="I1430" s="54">
        <f>IF($B1430=0,NA(),IF($C1430="",NA(),IF(C$8="",NA(),IF(N(C$8)=0,NA(),IF(Inputs!$C$17="Rebased to 100",$C1430/C$8*100,$C1430)))))</f>
        <v/>
      </c>
      <c r="J1430" s="54">
        <f>IF($B1430=0,NA(),IF($D1430="",NA(),IF(D$8="",NA(),IF(N(D$8)=0,NA(),IF(Inputs!$C$17="Rebased to 100",$D1430/D$8*100,$D1430)))))</f>
        <v/>
      </c>
      <c r="K1430" s="54">
        <f>IF($B1430=0,NA(),IF($E1430="",NA(),IF(E$8="",NA(),IF(N(E$8)=0,NA(),IF(Inputs!$C$17="Rebased to 100",$E1430/E$8*100,$E1430)))))</f>
        <v/>
      </c>
      <c r="L1430" s="54">
        <f>IF($B1430=0,NA(),IF($F1430="",NA(),IF(F$8="",NA(),IF(N(F$8)=0,NA(),IF(Inputs!$C$17="Rebased to 100",$F1430/F$8*100,$F1430)))))</f>
        <v/>
      </c>
      <c r="M1430" s="54">
        <f>IF($B1430=0,NA(),IF($G1430="",NA(),IF(G$8="",NA(),IF(N(G$8)=0,NA(),IF(Inputs!$C$17="Rebased to 100",$G1430/G$8*100,$G1430)))))</f>
        <v/>
      </c>
      <c r="N1430" s="54">
        <f>IF($B1430=0,NA(),IF(Inputs!$C$18&lt;&gt;"Yes",NA(),IF(COUNT(I1430,J1430,K1430,L1430,M1430)=0,NA(),MIN(I1430,J1430,K1430,L1430,M1430))))</f>
        <v/>
      </c>
      <c r="O1430" s="54">
        <f>IF($B1430=0,NA(),IF(Inputs!$B$24&lt;&gt;"Yes",NA(),Inputs!$D$24*Inputs!$C$35))</f>
        <v/>
      </c>
      <c r="P1430" s="54">
        <f>IF($B1430=0,NA(),IF(Inputs!$B$25&lt;&gt;"Yes",NA(),Inputs!$D$25*Inputs!$C$35))</f>
        <v/>
      </c>
      <c r="Q1430" s="54">
        <f>IF($B1430=0,NA(),IF(Inputs!$B$26&lt;&gt;"Yes",NA(),Inputs!$D$26*Inputs!$C$35))</f>
        <v/>
      </c>
      <c r="R1430" s="54">
        <f>IF($B1430=0,NA(),IF(Inputs!$B$27&lt;&gt;"Yes",NA(),Inputs!$D$27*Inputs!$C$35))</f>
        <v/>
      </c>
      <c r="S1430" s="54">
        <f>IF($B1430=0,NA(),IF(Inputs!$B$28&lt;&gt;"Yes",NA(),Inputs!$D$28*Inputs!$C$35))</f>
        <v/>
      </c>
      <c r="T1430" s="54">
        <f>IF($B1430=0,NA(),IF(Inputs!$B$29&lt;&gt;"Yes",NA(),Inputs!$D$29*Inputs!$C$35))</f>
        <v/>
      </c>
      <c r="AD1430">
        <f>IF($B1430=0,0,IF(Inputs!$B$6="",0,COUNTIFS(Data!$A$10:$A$3209,"&gt;="&amp;$A1430,Data!$A$10:$A$3209,"&lt;"&amp;$A1430+1)))</f>
        <v/>
      </c>
      <c r="AE1430">
        <f>IF($B1430=0,0,IF(Inputs!$B$7="",0,COUNTIFS(Data!$E$10:$E$3209,"&gt;="&amp;$A1430,Data!$E$10:$E$3209,"&lt;"&amp;$A1430+1)))</f>
        <v/>
      </c>
      <c r="AF1430">
        <f>IF($B1430=0,0,IF(Inputs!$B$8="",0,COUNTIFS(Data!$I$10:$I$3209,"&gt;="&amp;$A1430,Data!$I$10:$I$3209,"&lt;"&amp;$A1430+1)))</f>
        <v/>
      </c>
      <c r="AG1430">
        <f>IF($B1430=0,0,IF(Inputs!$B$9="",0,COUNTIFS(Data!$M$10:$M$3209,"&gt;="&amp;$A1430,Data!$M$10:$M$3209,"&lt;"&amp;$A1430+1)))</f>
        <v/>
      </c>
      <c r="AH1430">
        <f>IF($B1430=0,0,IF(Inputs!$B$10="",0,COUNTIFS(Data!$Q$10:$Q$3209,"&gt;="&amp;$A1430,Data!$Q$10:$Q$3209,"&lt;"&amp;$A1430+1)))</f>
        <v/>
      </c>
    </row>
    <row r="1431">
      <c r="A1431" s="55">
        <f>MIN(Inputs!$C$15,$A1430+IF(WEEKDAY($A1430,2)=5,3,1))</f>
        <v/>
      </c>
      <c r="B1431">
        <f>IF($A1431&gt;$A1430,1,0)</f>
        <v/>
      </c>
      <c r="C1431" s="56">
        <f>IF($B1431=0,"",IF(Inputs!$B$6="","",IF($AD1431=0,C1430,SUMIFS(Data!$B$10:$B$3209,Data!$A$10:$A$3209,"&gt;="&amp;$A1431,Data!$A$10:$A$3209,"&lt;"&amp;$A1431+1)/$AD1431)))</f>
        <v/>
      </c>
      <c r="D1431" s="56">
        <f>IF($B1431=0,"",IF(Inputs!$B$7="","",IF($AE1431=0,D1430,SUMIFS(Data!$F$10:$F$3209,Data!$E$10:$E$3209,"&gt;="&amp;$A1431,Data!$E$10:$E$3209,"&lt;"&amp;$A1431+1)/$AE1431)))</f>
        <v/>
      </c>
      <c r="E1431" s="56">
        <f>IF($B1431=0,"",IF(Inputs!$B$8="","",IF($AF1431=0,E1430,SUMIFS(Data!$J$10:$J$3209,Data!$I$10:$I$3209,"&gt;="&amp;$A1431,Data!$I$10:$I$3209,"&lt;"&amp;$A1431+1)/$AF1431)))</f>
        <v/>
      </c>
      <c r="F1431" s="56">
        <f>IF($B1431=0,"",IF(Inputs!$B$9="","",IF($AG1431=0,F1430,SUMIFS(Data!$N$10:$N$3209,Data!$M$10:$M$3209,"&gt;="&amp;$A1431,Data!$M$10:$M$3209,"&lt;"&amp;$A1431+1)/$AG1431)))</f>
        <v/>
      </c>
      <c r="G1431" s="56">
        <f>IF($B1431=0,"",IF(Inputs!$B$10="","",IF($AH1431=0,G1430,SUMIFS(Data!$R$10:$R$3209,Data!$Q$10:$Q$3209,"&gt;="&amp;$A1431,Data!$Q$10:$Q$3209,"&lt;"&amp;$A1431+1)/$AH1431)))</f>
        <v/>
      </c>
      <c r="I1431" s="54">
        <f>IF($B1431=0,NA(),IF($C1431="",NA(),IF(C$8="",NA(),IF(N(C$8)=0,NA(),IF(Inputs!$C$17="Rebased to 100",$C1431/C$8*100,$C1431)))))</f>
        <v/>
      </c>
      <c r="J1431" s="54">
        <f>IF($B1431=0,NA(),IF($D1431="",NA(),IF(D$8="",NA(),IF(N(D$8)=0,NA(),IF(Inputs!$C$17="Rebased to 100",$D1431/D$8*100,$D1431)))))</f>
        <v/>
      </c>
      <c r="K1431" s="54">
        <f>IF($B1431=0,NA(),IF($E1431="",NA(),IF(E$8="",NA(),IF(N(E$8)=0,NA(),IF(Inputs!$C$17="Rebased to 100",$E1431/E$8*100,$E1431)))))</f>
        <v/>
      </c>
      <c r="L1431" s="54">
        <f>IF($B1431=0,NA(),IF($F1431="",NA(),IF(F$8="",NA(),IF(N(F$8)=0,NA(),IF(Inputs!$C$17="Rebased to 100",$F1431/F$8*100,$F1431)))))</f>
        <v/>
      </c>
      <c r="M1431" s="54">
        <f>IF($B1431=0,NA(),IF($G1431="",NA(),IF(G$8="",NA(),IF(N(G$8)=0,NA(),IF(Inputs!$C$17="Rebased to 100",$G1431/G$8*100,$G1431)))))</f>
        <v/>
      </c>
      <c r="N1431" s="54">
        <f>IF($B1431=0,NA(),IF(Inputs!$C$18&lt;&gt;"Yes",NA(),IF(COUNT(I1431,J1431,K1431,L1431,M1431)=0,NA(),MIN(I1431,J1431,K1431,L1431,M1431))))</f>
        <v/>
      </c>
      <c r="O1431" s="54">
        <f>IF($B1431=0,NA(),IF(Inputs!$B$24&lt;&gt;"Yes",NA(),Inputs!$D$24*Inputs!$C$35))</f>
        <v/>
      </c>
      <c r="P1431" s="54">
        <f>IF($B1431=0,NA(),IF(Inputs!$B$25&lt;&gt;"Yes",NA(),Inputs!$D$25*Inputs!$C$35))</f>
        <v/>
      </c>
      <c r="Q1431" s="54">
        <f>IF($B1431=0,NA(),IF(Inputs!$B$26&lt;&gt;"Yes",NA(),Inputs!$D$26*Inputs!$C$35))</f>
        <v/>
      </c>
      <c r="R1431" s="54">
        <f>IF($B1431=0,NA(),IF(Inputs!$B$27&lt;&gt;"Yes",NA(),Inputs!$D$27*Inputs!$C$35))</f>
        <v/>
      </c>
      <c r="S1431" s="54">
        <f>IF($B1431=0,NA(),IF(Inputs!$B$28&lt;&gt;"Yes",NA(),Inputs!$D$28*Inputs!$C$35))</f>
        <v/>
      </c>
      <c r="T1431" s="54">
        <f>IF($B1431=0,NA(),IF(Inputs!$B$29&lt;&gt;"Yes",NA(),Inputs!$D$29*Inputs!$C$35))</f>
        <v/>
      </c>
      <c r="AD1431">
        <f>IF($B1431=0,0,IF(Inputs!$B$6="",0,COUNTIFS(Data!$A$10:$A$3209,"&gt;="&amp;$A1431,Data!$A$10:$A$3209,"&lt;"&amp;$A1431+1)))</f>
        <v/>
      </c>
      <c r="AE1431">
        <f>IF($B1431=0,0,IF(Inputs!$B$7="",0,COUNTIFS(Data!$E$10:$E$3209,"&gt;="&amp;$A1431,Data!$E$10:$E$3209,"&lt;"&amp;$A1431+1)))</f>
        <v/>
      </c>
      <c r="AF1431">
        <f>IF($B1431=0,0,IF(Inputs!$B$8="",0,COUNTIFS(Data!$I$10:$I$3209,"&gt;="&amp;$A1431,Data!$I$10:$I$3209,"&lt;"&amp;$A1431+1)))</f>
        <v/>
      </c>
      <c r="AG1431">
        <f>IF($B1431=0,0,IF(Inputs!$B$9="",0,COUNTIFS(Data!$M$10:$M$3209,"&gt;="&amp;$A1431,Data!$M$10:$M$3209,"&lt;"&amp;$A1431+1)))</f>
        <v/>
      </c>
      <c r="AH1431">
        <f>IF($B1431=0,0,IF(Inputs!$B$10="",0,COUNTIFS(Data!$Q$10:$Q$3209,"&gt;="&amp;$A1431,Data!$Q$10:$Q$3209,"&lt;"&amp;$A1431+1)))</f>
        <v/>
      </c>
    </row>
    <row r="1432">
      <c r="A1432" s="55">
        <f>MIN(Inputs!$C$15,$A1431+IF(WEEKDAY($A1431,2)=5,3,1))</f>
        <v/>
      </c>
      <c r="B1432">
        <f>IF($A1432&gt;$A1431,1,0)</f>
        <v/>
      </c>
      <c r="C1432" s="56">
        <f>IF($B1432=0,"",IF(Inputs!$B$6="","",IF($AD1432=0,C1431,SUMIFS(Data!$B$10:$B$3209,Data!$A$10:$A$3209,"&gt;="&amp;$A1432,Data!$A$10:$A$3209,"&lt;"&amp;$A1432+1)/$AD1432)))</f>
        <v/>
      </c>
      <c r="D1432" s="56">
        <f>IF($B1432=0,"",IF(Inputs!$B$7="","",IF($AE1432=0,D1431,SUMIFS(Data!$F$10:$F$3209,Data!$E$10:$E$3209,"&gt;="&amp;$A1432,Data!$E$10:$E$3209,"&lt;"&amp;$A1432+1)/$AE1432)))</f>
        <v/>
      </c>
      <c r="E1432" s="56">
        <f>IF($B1432=0,"",IF(Inputs!$B$8="","",IF($AF1432=0,E1431,SUMIFS(Data!$J$10:$J$3209,Data!$I$10:$I$3209,"&gt;="&amp;$A1432,Data!$I$10:$I$3209,"&lt;"&amp;$A1432+1)/$AF1432)))</f>
        <v/>
      </c>
      <c r="F1432" s="56">
        <f>IF($B1432=0,"",IF(Inputs!$B$9="","",IF($AG1432=0,F1431,SUMIFS(Data!$N$10:$N$3209,Data!$M$10:$M$3209,"&gt;="&amp;$A1432,Data!$M$10:$M$3209,"&lt;"&amp;$A1432+1)/$AG1432)))</f>
        <v/>
      </c>
      <c r="G1432" s="56">
        <f>IF($B1432=0,"",IF(Inputs!$B$10="","",IF($AH1432=0,G1431,SUMIFS(Data!$R$10:$R$3209,Data!$Q$10:$Q$3209,"&gt;="&amp;$A1432,Data!$Q$10:$Q$3209,"&lt;"&amp;$A1432+1)/$AH1432)))</f>
        <v/>
      </c>
      <c r="I1432" s="54">
        <f>IF($B1432=0,NA(),IF($C1432="",NA(),IF(C$8="",NA(),IF(N(C$8)=0,NA(),IF(Inputs!$C$17="Rebased to 100",$C1432/C$8*100,$C1432)))))</f>
        <v/>
      </c>
      <c r="J1432" s="54">
        <f>IF($B1432=0,NA(),IF($D1432="",NA(),IF(D$8="",NA(),IF(N(D$8)=0,NA(),IF(Inputs!$C$17="Rebased to 100",$D1432/D$8*100,$D1432)))))</f>
        <v/>
      </c>
      <c r="K1432" s="54">
        <f>IF($B1432=0,NA(),IF($E1432="",NA(),IF(E$8="",NA(),IF(N(E$8)=0,NA(),IF(Inputs!$C$17="Rebased to 100",$E1432/E$8*100,$E1432)))))</f>
        <v/>
      </c>
      <c r="L1432" s="54">
        <f>IF($B1432=0,NA(),IF($F1432="",NA(),IF(F$8="",NA(),IF(N(F$8)=0,NA(),IF(Inputs!$C$17="Rebased to 100",$F1432/F$8*100,$F1432)))))</f>
        <v/>
      </c>
      <c r="M1432" s="54">
        <f>IF($B1432=0,NA(),IF($G1432="",NA(),IF(G$8="",NA(),IF(N(G$8)=0,NA(),IF(Inputs!$C$17="Rebased to 100",$G1432/G$8*100,$G1432)))))</f>
        <v/>
      </c>
      <c r="N1432" s="54">
        <f>IF($B1432=0,NA(),IF(Inputs!$C$18&lt;&gt;"Yes",NA(),IF(COUNT(I1432,J1432,K1432,L1432,M1432)=0,NA(),MIN(I1432,J1432,K1432,L1432,M1432))))</f>
        <v/>
      </c>
      <c r="O1432" s="54">
        <f>IF($B1432=0,NA(),IF(Inputs!$B$24&lt;&gt;"Yes",NA(),Inputs!$D$24*Inputs!$C$35))</f>
        <v/>
      </c>
      <c r="P1432" s="54">
        <f>IF($B1432=0,NA(),IF(Inputs!$B$25&lt;&gt;"Yes",NA(),Inputs!$D$25*Inputs!$C$35))</f>
        <v/>
      </c>
      <c r="Q1432" s="54">
        <f>IF($B1432=0,NA(),IF(Inputs!$B$26&lt;&gt;"Yes",NA(),Inputs!$D$26*Inputs!$C$35))</f>
        <v/>
      </c>
      <c r="R1432" s="54">
        <f>IF($B1432=0,NA(),IF(Inputs!$B$27&lt;&gt;"Yes",NA(),Inputs!$D$27*Inputs!$C$35))</f>
        <v/>
      </c>
      <c r="S1432" s="54">
        <f>IF($B1432=0,NA(),IF(Inputs!$B$28&lt;&gt;"Yes",NA(),Inputs!$D$28*Inputs!$C$35))</f>
        <v/>
      </c>
      <c r="T1432" s="54">
        <f>IF($B1432=0,NA(),IF(Inputs!$B$29&lt;&gt;"Yes",NA(),Inputs!$D$29*Inputs!$C$35))</f>
        <v/>
      </c>
      <c r="AD1432">
        <f>IF($B1432=0,0,IF(Inputs!$B$6="",0,COUNTIFS(Data!$A$10:$A$3209,"&gt;="&amp;$A1432,Data!$A$10:$A$3209,"&lt;"&amp;$A1432+1)))</f>
        <v/>
      </c>
      <c r="AE1432">
        <f>IF($B1432=0,0,IF(Inputs!$B$7="",0,COUNTIFS(Data!$E$10:$E$3209,"&gt;="&amp;$A1432,Data!$E$10:$E$3209,"&lt;"&amp;$A1432+1)))</f>
        <v/>
      </c>
      <c r="AF1432">
        <f>IF($B1432=0,0,IF(Inputs!$B$8="",0,COUNTIFS(Data!$I$10:$I$3209,"&gt;="&amp;$A1432,Data!$I$10:$I$3209,"&lt;"&amp;$A1432+1)))</f>
        <v/>
      </c>
      <c r="AG1432">
        <f>IF($B1432=0,0,IF(Inputs!$B$9="",0,COUNTIFS(Data!$M$10:$M$3209,"&gt;="&amp;$A1432,Data!$M$10:$M$3209,"&lt;"&amp;$A1432+1)))</f>
        <v/>
      </c>
      <c r="AH1432">
        <f>IF($B1432=0,0,IF(Inputs!$B$10="",0,COUNTIFS(Data!$Q$10:$Q$3209,"&gt;="&amp;$A1432,Data!$Q$10:$Q$3209,"&lt;"&amp;$A1432+1)))</f>
        <v/>
      </c>
    </row>
    <row r="1433">
      <c r="A1433" s="55">
        <f>MIN(Inputs!$C$15,$A1432+IF(WEEKDAY($A1432,2)=5,3,1))</f>
        <v/>
      </c>
      <c r="B1433">
        <f>IF($A1433&gt;$A1432,1,0)</f>
        <v/>
      </c>
      <c r="C1433" s="56">
        <f>IF($B1433=0,"",IF(Inputs!$B$6="","",IF($AD1433=0,C1432,SUMIFS(Data!$B$10:$B$3209,Data!$A$10:$A$3209,"&gt;="&amp;$A1433,Data!$A$10:$A$3209,"&lt;"&amp;$A1433+1)/$AD1433)))</f>
        <v/>
      </c>
      <c r="D1433" s="56">
        <f>IF($B1433=0,"",IF(Inputs!$B$7="","",IF($AE1433=0,D1432,SUMIFS(Data!$F$10:$F$3209,Data!$E$10:$E$3209,"&gt;="&amp;$A1433,Data!$E$10:$E$3209,"&lt;"&amp;$A1433+1)/$AE1433)))</f>
        <v/>
      </c>
      <c r="E1433" s="56">
        <f>IF($B1433=0,"",IF(Inputs!$B$8="","",IF($AF1433=0,E1432,SUMIFS(Data!$J$10:$J$3209,Data!$I$10:$I$3209,"&gt;="&amp;$A1433,Data!$I$10:$I$3209,"&lt;"&amp;$A1433+1)/$AF1433)))</f>
        <v/>
      </c>
      <c r="F1433" s="56">
        <f>IF($B1433=0,"",IF(Inputs!$B$9="","",IF($AG1433=0,F1432,SUMIFS(Data!$N$10:$N$3209,Data!$M$10:$M$3209,"&gt;="&amp;$A1433,Data!$M$10:$M$3209,"&lt;"&amp;$A1433+1)/$AG1433)))</f>
        <v/>
      </c>
      <c r="G1433" s="56">
        <f>IF($B1433=0,"",IF(Inputs!$B$10="","",IF($AH1433=0,G1432,SUMIFS(Data!$R$10:$R$3209,Data!$Q$10:$Q$3209,"&gt;="&amp;$A1433,Data!$Q$10:$Q$3209,"&lt;"&amp;$A1433+1)/$AH1433)))</f>
        <v/>
      </c>
      <c r="I1433" s="54">
        <f>IF($B1433=0,NA(),IF($C1433="",NA(),IF(C$8="",NA(),IF(N(C$8)=0,NA(),IF(Inputs!$C$17="Rebased to 100",$C1433/C$8*100,$C1433)))))</f>
        <v/>
      </c>
      <c r="J1433" s="54">
        <f>IF($B1433=0,NA(),IF($D1433="",NA(),IF(D$8="",NA(),IF(N(D$8)=0,NA(),IF(Inputs!$C$17="Rebased to 100",$D1433/D$8*100,$D1433)))))</f>
        <v/>
      </c>
      <c r="K1433" s="54">
        <f>IF($B1433=0,NA(),IF($E1433="",NA(),IF(E$8="",NA(),IF(N(E$8)=0,NA(),IF(Inputs!$C$17="Rebased to 100",$E1433/E$8*100,$E1433)))))</f>
        <v/>
      </c>
      <c r="L1433" s="54">
        <f>IF($B1433=0,NA(),IF($F1433="",NA(),IF(F$8="",NA(),IF(N(F$8)=0,NA(),IF(Inputs!$C$17="Rebased to 100",$F1433/F$8*100,$F1433)))))</f>
        <v/>
      </c>
      <c r="M1433" s="54">
        <f>IF($B1433=0,NA(),IF($G1433="",NA(),IF(G$8="",NA(),IF(N(G$8)=0,NA(),IF(Inputs!$C$17="Rebased to 100",$G1433/G$8*100,$G1433)))))</f>
        <v/>
      </c>
      <c r="N1433" s="54">
        <f>IF($B1433=0,NA(),IF(Inputs!$C$18&lt;&gt;"Yes",NA(),IF(COUNT(I1433,J1433,K1433,L1433,M1433)=0,NA(),MIN(I1433,J1433,K1433,L1433,M1433))))</f>
        <v/>
      </c>
      <c r="O1433" s="54">
        <f>IF($B1433=0,NA(),IF(Inputs!$B$24&lt;&gt;"Yes",NA(),Inputs!$D$24*Inputs!$C$35))</f>
        <v/>
      </c>
      <c r="P1433" s="54">
        <f>IF($B1433=0,NA(),IF(Inputs!$B$25&lt;&gt;"Yes",NA(),Inputs!$D$25*Inputs!$C$35))</f>
        <v/>
      </c>
      <c r="Q1433" s="54">
        <f>IF($B1433=0,NA(),IF(Inputs!$B$26&lt;&gt;"Yes",NA(),Inputs!$D$26*Inputs!$C$35))</f>
        <v/>
      </c>
      <c r="R1433" s="54">
        <f>IF($B1433=0,NA(),IF(Inputs!$B$27&lt;&gt;"Yes",NA(),Inputs!$D$27*Inputs!$C$35))</f>
        <v/>
      </c>
      <c r="S1433" s="54">
        <f>IF($B1433=0,NA(),IF(Inputs!$B$28&lt;&gt;"Yes",NA(),Inputs!$D$28*Inputs!$C$35))</f>
        <v/>
      </c>
      <c r="T1433" s="54">
        <f>IF($B1433=0,NA(),IF(Inputs!$B$29&lt;&gt;"Yes",NA(),Inputs!$D$29*Inputs!$C$35))</f>
        <v/>
      </c>
      <c r="AD1433">
        <f>IF($B1433=0,0,IF(Inputs!$B$6="",0,COUNTIFS(Data!$A$10:$A$3209,"&gt;="&amp;$A1433,Data!$A$10:$A$3209,"&lt;"&amp;$A1433+1)))</f>
        <v/>
      </c>
      <c r="AE1433">
        <f>IF($B1433=0,0,IF(Inputs!$B$7="",0,COUNTIFS(Data!$E$10:$E$3209,"&gt;="&amp;$A1433,Data!$E$10:$E$3209,"&lt;"&amp;$A1433+1)))</f>
        <v/>
      </c>
      <c r="AF1433">
        <f>IF($B1433=0,0,IF(Inputs!$B$8="",0,COUNTIFS(Data!$I$10:$I$3209,"&gt;="&amp;$A1433,Data!$I$10:$I$3209,"&lt;"&amp;$A1433+1)))</f>
        <v/>
      </c>
      <c r="AG1433">
        <f>IF($B1433=0,0,IF(Inputs!$B$9="",0,COUNTIFS(Data!$M$10:$M$3209,"&gt;="&amp;$A1433,Data!$M$10:$M$3209,"&lt;"&amp;$A1433+1)))</f>
        <v/>
      </c>
      <c r="AH1433">
        <f>IF($B1433=0,0,IF(Inputs!$B$10="",0,COUNTIFS(Data!$Q$10:$Q$3209,"&gt;="&amp;$A1433,Data!$Q$10:$Q$3209,"&lt;"&amp;$A1433+1)))</f>
        <v/>
      </c>
    </row>
    <row r="1434">
      <c r="A1434" s="55">
        <f>MIN(Inputs!$C$15,$A1433+IF(WEEKDAY($A1433,2)=5,3,1))</f>
        <v/>
      </c>
      <c r="B1434">
        <f>IF($A1434&gt;$A1433,1,0)</f>
        <v/>
      </c>
      <c r="C1434" s="56">
        <f>IF($B1434=0,"",IF(Inputs!$B$6="","",IF($AD1434=0,C1433,SUMIFS(Data!$B$10:$B$3209,Data!$A$10:$A$3209,"&gt;="&amp;$A1434,Data!$A$10:$A$3209,"&lt;"&amp;$A1434+1)/$AD1434)))</f>
        <v/>
      </c>
      <c r="D1434" s="56">
        <f>IF($B1434=0,"",IF(Inputs!$B$7="","",IF($AE1434=0,D1433,SUMIFS(Data!$F$10:$F$3209,Data!$E$10:$E$3209,"&gt;="&amp;$A1434,Data!$E$10:$E$3209,"&lt;"&amp;$A1434+1)/$AE1434)))</f>
        <v/>
      </c>
      <c r="E1434" s="56">
        <f>IF($B1434=0,"",IF(Inputs!$B$8="","",IF($AF1434=0,E1433,SUMIFS(Data!$J$10:$J$3209,Data!$I$10:$I$3209,"&gt;="&amp;$A1434,Data!$I$10:$I$3209,"&lt;"&amp;$A1434+1)/$AF1434)))</f>
        <v/>
      </c>
      <c r="F1434" s="56">
        <f>IF($B1434=0,"",IF(Inputs!$B$9="","",IF($AG1434=0,F1433,SUMIFS(Data!$N$10:$N$3209,Data!$M$10:$M$3209,"&gt;="&amp;$A1434,Data!$M$10:$M$3209,"&lt;"&amp;$A1434+1)/$AG1434)))</f>
        <v/>
      </c>
      <c r="G1434" s="56">
        <f>IF($B1434=0,"",IF(Inputs!$B$10="","",IF($AH1434=0,G1433,SUMIFS(Data!$R$10:$R$3209,Data!$Q$10:$Q$3209,"&gt;="&amp;$A1434,Data!$Q$10:$Q$3209,"&lt;"&amp;$A1434+1)/$AH1434)))</f>
        <v/>
      </c>
      <c r="I1434" s="54">
        <f>IF($B1434=0,NA(),IF($C1434="",NA(),IF(C$8="",NA(),IF(N(C$8)=0,NA(),IF(Inputs!$C$17="Rebased to 100",$C1434/C$8*100,$C1434)))))</f>
        <v/>
      </c>
      <c r="J1434" s="54">
        <f>IF($B1434=0,NA(),IF($D1434="",NA(),IF(D$8="",NA(),IF(N(D$8)=0,NA(),IF(Inputs!$C$17="Rebased to 100",$D1434/D$8*100,$D1434)))))</f>
        <v/>
      </c>
      <c r="K1434" s="54">
        <f>IF($B1434=0,NA(),IF($E1434="",NA(),IF(E$8="",NA(),IF(N(E$8)=0,NA(),IF(Inputs!$C$17="Rebased to 100",$E1434/E$8*100,$E1434)))))</f>
        <v/>
      </c>
      <c r="L1434" s="54">
        <f>IF($B1434=0,NA(),IF($F1434="",NA(),IF(F$8="",NA(),IF(N(F$8)=0,NA(),IF(Inputs!$C$17="Rebased to 100",$F1434/F$8*100,$F1434)))))</f>
        <v/>
      </c>
      <c r="M1434" s="54">
        <f>IF($B1434=0,NA(),IF($G1434="",NA(),IF(G$8="",NA(),IF(N(G$8)=0,NA(),IF(Inputs!$C$17="Rebased to 100",$G1434/G$8*100,$G1434)))))</f>
        <v/>
      </c>
      <c r="N1434" s="54">
        <f>IF($B1434=0,NA(),IF(Inputs!$C$18&lt;&gt;"Yes",NA(),IF(COUNT(I1434,J1434,K1434,L1434,M1434)=0,NA(),MIN(I1434,J1434,K1434,L1434,M1434))))</f>
        <v/>
      </c>
      <c r="O1434" s="54">
        <f>IF($B1434=0,NA(),IF(Inputs!$B$24&lt;&gt;"Yes",NA(),Inputs!$D$24*Inputs!$C$35))</f>
        <v/>
      </c>
      <c r="P1434" s="54">
        <f>IF($B1434=0,NA(),IF(Inputs!$B$25&lt;&gt;"Yes",NA(),Inputs!$D$25*Inputs!$C$35))</f>
        <v/>
      </c>
      <c r="Q1434" s="54">
        <f>IF($B1434=0,NA(),IF(Inputs!$B$26&lt;&gt;"Yes",NA(),Inputs!$D$26*Inputs!$C$35))</f>
        <v/>
      </c>
      <c r="R1434" s="54">
        <f>IF($B1434=0,NA(),IF(Inputs!$B$27&lt;&gt;"Yes",NA(),Inputs!$D$27*Inputs!$C$35))</f>
        <v/>
      </c>
      <c r="S1434" s="54">
        <f>IF($B1434=0,NA(),IF(Inputs!$B$28&lt;&gt;"Yes",NA(),Inputs!$D$28*Inputs!$C$35))</f>
        <v/>
      </c>
      <c r="T1434" s="54">
        <f>IF($B1434=0,NA(),IF(Inputs!$B$29&lt;&gt;"Yes",NA(),Inputs!$D$29*Inputs!$C$35))</f>
        <v/>
      </c>
      <c r="AD1434">
        <f>IF($B1434=0,0,IF(Inputs!$B$6="",0,COUNTIFS(Data!$A$10:$A$3209,"&gt;="&amp;$A1434,Data!$A$10:$A$3209,"&lt;"&amp;$A1434+1)))</f>
        <v/>
      </c>
      <c r="AE1434">
        <f>IF($B1434=0,0,IF(Inputs!$B$7="",0,COUNTIFS(Data!$E$10:$E$3209,"&gt;="&amp;$A1434,Data!$E$10:$E$3209,"&lt;"&amp;$A1434+1)))</f>
        <v/>
      </c>
      <c r="AF1434">
        <f>IF($B1434=0,0,IF(Inputs!$B$8="",0,COUNTIFS(Data!$I$10:$I$3209,"&gt;="&amp;$A1434,Data!$I$10:$I$3209,"&lt;"&amp;$A1434+1)))</f>
        <v/>
      </c>
      <c r="AG1434">
        <f>IF($B1434=0,0,IF(Inputs!$B$9="",0,COUNTIFS(Data!$M$10:$M$3209,"&gt;="&amp;$A1434,Data!$M$10:$M$3209,"&lt;"&amp;$A1434+1)))</f>
        <v/>
      </c>
      <c r="AH1434">
        <f>IF($B1434=0,0,IF(Inputs!$B$10="",0,COUNTIFS(Data!$Q$10:$Q$3209,"&gt;="&amp;$A1434,Data!$Q$10:$Q$3209,"&lt;"&amp;$A1434+1)))</f>
        <v/>
      </c>
    </row>
    <row r="1435">
      <c r="A1435" s="55">
        <f>MIN(Inputs!$C$15,$A1434+IF(WEEKDAY($A1434,2)=5,3,1))</f>
        <v/>
      </c>
      <c r="B1435">
        <f>IF($A1435&gt;$A1434,1,0)</f>
        <v/>
      </c>
      <c r="C1435" s="56">
        <f>IF($B1435=0,"",IF(Inputs!$B$6="","",IF($AD1435=0,C1434,SUMIFS(Data!$B$10:$B$3209,Data!$A$10:$A$3209,"&gt;="&amp;$A1435,Data!$A$10:$A$3209,"&lt;"&amp;$A1435+1)/$AD1435)))</f>
        <v/>
      </c>
      <c r="D1435" s="56">
        <f>IF($B1435=0,"",IF(Inputs!$B$7="","",IF($AE1435=0,D1434,SUMIFS(Data!$F$10:$F$3209,Data!$E$10:$E$3209,"&gt;="&amp;$A1435,Data!$E$10:$E$3209,"&lt;"&amp;$A1435+1)/$AE1435)))</f>
        <v/>
      </c>
      <c r="E1435" s="56">
        <f>IF($B1435=0,"",IF(Inputs!$B$8="","",IF($AF1435=0,E1434,SUMIFS(Data!$J$10:$J$3209,Data!$I$10:$I$3209,"&gt;="&amp;$A1435,Data!$I$10:$I$3209,"&lt;"&amp;$A1435+1)/$AF1435)))</f>
        <v/>
      </c>
      <c r="F1435" s="56">
        <f>IF($B1435=0,"",IF(Inputs!$B$9="","",IF($AG1435=0,F1434,SUMIFS(Data!$N$10:$N$3209,Data!$M$10:$M$3209,"&gt;="&amp;$A1435,Data!$M$10:$M$3209,"&lt;"&amp;$A1435+1)/$AG1435)))</f>
        <v/>
      </c>
      <c r="G1435" s="56">
        <f>IF($B1435=0,"",IF(Inputs!$B$10="","",IF($AH1435=0,G1434,SUMIFS(Data!$R$10:$R$3209,Data!$Q$10:$Q$3209,"&gt;="&amp;$A1435,Data!$Q$10:$Q$3209,"&lt;"&amp;$A1435+1)/$AH1435)))</f>
        <v/>
      </c>
      <c r="I1435" s="54">
        <f>IF($B1435=0,NA(),IF($C1435="",NA(),IF(C$8="",NA(),IF(N(C$8)=0,NA(),IF(Inputs!$C$17="Rebased to 100",$C1435/C$8*100,$C1435)))))</f>
        <v/>
      </c>
      <c r="J1435" s="54">
        <f>IF($B1435=0,NA(),IF($D1435="",NA(),IF(D$8="",NA(),IF(N(D$8)=0,NA(),IF(Inputs!$C$17="Rebased to 100",$D1435/D$8*100,$D1435)))))</f>
        <v/>
      </c>
      <c r="K1435" s="54">
        <f>IF($B1435=0,NA(),IF($E1435="",NA(),IF(E$8="",NA(),IF(N(E$8)=0,NA(),IF(Inputs!$C$17="Rebased to 100",$E1435/E$8*100,$E1435)))))</f>
        <v/>
      </c>
      <c r="L1435" s="54">
        <f>IF($B1435=0,NA(),IF($F1435="",NA(),IF(F$8="",NA(),IF(N(F$8)=0,NA(),IF(Inputs!$C$17="Rebased to 100",$F1435/F$8*100,$F1435)))))</f>
        <v/>
      </c>
      <c r="M1435" s="54">
        <f>IF($B1435=0,NA(),IF($G1435="",NA(),IF(G$8="",NA(),IF(N(G$8)=0,NA(),IF(Inputs!$C$17="Rebased to 100",$G1435/G$8*100,$G1435)))))</f>
        <v/>
      </c>
      <c r="N1435" s="54">
        <f>IF($B1435=0,NA(),IF(Inputs!$C$18&lt;&gt;"Yes",NA(),IF(COUNT(I1435,J1435,K1435,L1435,M1435)=0,NA(),MIN(I1435,J1435,K1435,L1435,M1435))))</f>
        <v/>
      </c>
      <c r="O1435" s="54">
        <f>IF($B1435=0,NA(),IF(Inputs!$B$24&lt;&gt;"Yes",NA(),Inputs!$D$24*Inputs!$C$35))</f>
        <v/>
      </c>
      <c r="P1435" s="54">
        <f>IF($B1435=0,NA(),IF(Inputs!$B$25&lt;&gt;"Yes",NA(),Inputs!$D$25*Inputs!$C$35))</f>
        <v/>
      </c>
      <c r="Q1435" s="54">
        <f>IF($B1435=0,NA(),IF(Inputs!$B$26&lt;&gt;"Yes",NA(),Inputs!$D$26*Inputs!$C$35))</f>
        <v/>
      </c>
      <c r="R1435" s="54">
        <f>IF($B1435=0,NA(),IF(Inputs!$B$27&lt;&gt;"Yes",NA(),Inputs!$D$27*Inputs!$C$35))</f>
        <v/>
      </c>
      <c r="S1435" s="54">
        <f>IF($B1435=0,NA(),IF(Inputs!$B$28&lt;&gt;"Yes",NA(),Inputs!$D$28*Inputs!$C$35))</f>
        <v/>
      </c>
      <c r="T1435" s="54">
        <f>IF($B1435=0,NA(),IF(Inputs!$B$29&lt;&gt;"Yes",NA(),Inputs!$D$29*Inputs!$C$35))</f>
        <v/>
      </c>
      <c r="AD1435">
        <f>IF($B1435=0,0,IF(Inputs!$B$6="",0,COUNTIFS(Data!$A$10:$A$3209,"&gt;="&amp;$A1435,Data!$A$10:$A$3209,"&lt;"&amp;$A1435+1)))</f>
        <v/>
      </c>
      <c r="AE1435">
        <f>IF($B1435=0,0,IF(Inputs!$B$7="",0,COUNTIFS(Data!$E$10:$E$3209,"&gt;="&amp;$A1435,Data!$E$10:$E$3209,"&lt;"&amp;$A1435+1)))</f>
        <v/>
      </c>
      <c r="AF1435">
        <f>IF($B1435=0,0,IF(Inputs!$B$8="",0,COUNTIFS(Data!$I$10:$I$3209,"&gt;="&amp;$A1435,Data!$I$10:$I$3209,"&lt;"&amp;$A1435+1)))</f>
        <v/>
      </c>
      <c r="AG1435">
        <f>IF($B1435=0,0,IF(Inputs!$B$9="",0,COUNTIFS(Data!$M$10:$M$3209,"&gt;="&amp;$A1435,Data!$M$10:$M$3209,"&lt;"&amp;$A1435+1)))</f>
        <v/>
      </c>
      <c r="AH1435">
        <f>IF($B1435=0,0,IF(Inputs!$B$10="",0,COUNTIFS(Data!$Q$10:$Q$3209,"&gt;="&amp;$A1435,Data!$Q$10:$Q$3209,"&lt;"&amp;$A1435+1)))</f>
        <v/>
      </c>
    </row>
    <row r="1436">
      <c r="A1436" s="55">
        <f>MIN(Inputs!$C$15,$A1435+IF(WEEKDAY($A1435,2)=5,3,1))</f>
        <v/>
      </c>
      <c r="B1436">
        <f>IF($A1436&gt;$A1435,1,0)</f>
        <v/>
      </c>
      <c r="C1436" s="56">
        <f>IF($B1436=0,"",IF(Inputs!$B$6="","",IF($AD1436=0,C1435,SUMIFS(Data!$B$10:$B$3209,Data!$A$10:$A$3209,"&gt;="&amp;$A1436,Data!$A$10:$A$3209,"&lt;"&amp;$A1436+1)/$AD1436)))</f>
        <v/>
      </c>
      <c r="D1436" s="56">
        <f>IF($B1436=0,"",IF(Inputs!$B$7="","",IF($AE1436=0,D1435,SUMIFS(Data!$F$10:$F$3209,Data!$E$10:$E$3209,"&gt;="&amp;$A1436,Data!$E$10:$E$3209,"&lt;"&amp;$A1436+1)/$AE1436)))</f>
        <v/>
      </c>
      <c r="E1436" s="56">
        <f>IF($B1436=0,"",IF(Inputs!$B$8="","",IF($AF1436=0,E1435,SUMIFS(Data!$J$10:$J$3209,Data!$I$10:$I$3209,"&gt;="&amp;$A1436,Data!$I$10:$I$3209,"&lt;"&amp;$A1436+1)/$AF1436)))</f>
        <v/>
      </c>
      <c r="F1436" s="56">
        <f>IF($B1436=0,"",IF(Inputs!$B$9="","",IF($AG1436=0,F1435,SUMIFS(Data!$N$10:$N$3209,Data!$M$10:$M$3209,"&gt;="&amp;$A1436,Data!$M$10:$M$3209,"&lt;"&amp;$A1436+1)/$AG1436)))</f>
        <v/>
      </c>
      <c r="G1436" s="56">
        <f>IF($B1436=0,"",IF(Inputs!$B$10="","",IF($AH1436=0,G1435,SUMIFS(Data!$R$10:$R$3209,Data!$Q$10:$Q$3209,"&gt;="&amp;$A1436,Data!$Q$10:$Q$3209,"&lt;"&amp;$A1436+1)/$AH1436)))</f>
        <v/>
      </c>
      <c r="I1436" s="54">
        <f>IF($B1436=0,NA(),IF($C1436="",NA(),IF(C$8="",NA(),IF(N(C$8)=0,NA(),IF(Inputs!$C$17="Rebased to 100",$C1436/C$8*100,$C1436)))))</f>
        <v/>
      </c>
      <c r="J1436" s="54">
        <f>IF($B1436=0,NA(),IF($D1436="",NA(),IF(D$8="",NA(),IF(N(D$8)=0,NA(),IF(Inputs!$C$17="Rebased to 100",$D1436/D$8*100,$D1436)))))</f>
        <v/>
      </c>
      <c r="K1436" s="54">
        <f>IF($B1436=0,NA(),IF($E1436="",NA(),IF(E$8="",NA(),IF(N(E$8)=0,NA(),IF(Inputs!$C$17="Rebased to 100",$E1436/E$8*100,$E1436)))))</f>
        <v/>
      </c>
      <c r="L1436" s="54">
        <f>IF($B1436=0,NA(),IF($F1436="",NA(),IF(F$8="",NA(),IF(N(F$8)=0,NA(),IF(Inputs!$C$17="Rebased to 100",$F1436/F$8*100,$F1436)))))</f>
        <v/>
      </c>
      <c r="M1436" s="54">
        <f>IF($B1436=0,NA(),IF($G1436="",NA(),IF(G$8="",NA(),IF(N(G$8)=0,NA(),IF(Inputs!$C$17="Rebased to 100",$G1436/G$8*100,$G1436)))))</f>
        <v/>
      </c>
      <c r="N1436" s="54">
        <f>IF($B1436=0,NA(),IF(Inputs!$C$18&lt;&gt;"Yes",NA(),IF(COUNT(I1436,J1436,K1436,L1436,M1436)=0,NA(),MIN(I1436,J1436,K1436,L1436,M1436))))</f>
        <v/>
      </c>
      <c r="O1436" s="54">
        <f>IF($B1436=0,NA(),IF(Inputs!$B$24&lt;&gt;"Yes",NA(),Inputs!$D$24*Inputs!$C$35))</f>
        <v/>
      </c>
      <c r="P1436" s="54">
        <f>IF($B1436=0,NA(),IF(Inputs!$B$25&lt;&gt;"Yes",NA(),Inputs!$D$25*Inputs!$C$35))</f>
        <v/>
      </c>
      <c r="Q1436" s="54">
        <f>IF($B1436=0,NA(),IF(Inputs!$B$26&lt;&gt;"Yes",NA(),Inputs!$D$26*Inputs!$C$35))</f>
        <v/>
      </c>
      <c r="R1436" s="54">
        <f>IF($B1436=0,NA(),IF(Inputs!$B$27&lt;&gt;"Yes",NA(),Inputs!$D$27*Inputs!$C$35))</f>
        <v/>
      </c>
      <c r="S1436" s="54">
        <f>IF($B1436=0,NA(),IF(Inputs!$B$28&lt;&gt;"Yes",NA(),Inputs!$D$28*Inputs!$C$35))</f>
        <v/>
      </c>
      <c r="T1436" s="54">
        <f>IF($B1436=0,NA(),IF(Inputs!$B$29&lt;&gt;"Yes",NA(),Inputs!$D$29*Inputs!$C$35))</f>
        <v/>
      </c>
      <c r="AD1436">
        <f>IF($B1436=0,0,IF(Inputs!$B$6="",0,COUNTIFS(Data!$A$10:$A$3209,"&gt;="&amp;$A1436,Data!$A$10:$A$3209,"&lt;"&amp;$A1436+1)))</f>
        <v/>
      </c>
      <c r="AE1436">
        <f>IF($B1436=0,0,IF(Inputs!$B$7="",0,COUNTIFS(Data!$E$10:$E$3209,"&gt;="&amp;$A1436,Data!$E$10:$E$3209,"&lt;"&amp;$A1436+1)))</f>
        <v/>
      </c>
      <c r="AF1436">
        <f>IF($B1436=0,0,IF(Inputs!$B$8="",0,COUNTIFS(Data!$I$10:$I$3209,"&gt;="&amp;$A1436,Data!$I$10:$I$3209,"&lt;"&amp;$A1436+1)))</f>
        <v/>
      </c>
      <c r="AG1436">
        <f>IF($B1436=0,0,IF(Inputs!$B$9="",0,COUNTIFS(Data!$M$10:$M$3209,"&gt;="&amp;$A1436,Data!$M$10:$M$3209,"&lt;"&amp;$A1436+1)))</f>
        <v/>
      </c>
      <c r="AH1436">
        <f>IF($B1436=0,0,IF(Inputs!$B$10="",0,COUNTIFS(Data!$Q$10:$Q$3209,"&gt;="&amp;$A1436,Data!$Q$10:$Q$3209,"&lt;"&amp;$A1436+1)))</f>
        <v/>
      </c>
    </row>
    <row r="1437">
      <c r="A1437" s="55">
        <f>MIN(Inputs!$C$15,$A1436+IF(WEEKDAY($A1436,2)=5,3,1))</f>
        <v/>
      </c>
      <c r="B1437">
        <f>IF($A1437&gt;$A1436,1,0)</f>
        <v/>
      </c>
      <c r="C1437" s="56">
        <f>IF($B1437=0,"",IF(Inputs!$B$6="","",IF($AD1437=0,C1436,SUMIFS(Data!$B$10:$B$3209,Data!$A$10:$A$3209,"&gt;="&amp;$A1437,Data!$A$10:$A$3209,"&lt;"&amp;$A1437+1)/$AD1437)))</f>
        <v/>
      </c>
      <c r="D1437" s="56">
        <f>IF($B1437=0,"",IF(Inputs!$B$7="","",IF($AE1437=0,D1436,SUMIFS(Data!$F$10:$F$3209,Data!$E$10:$E$3209,"&gt;="&amp;$A1437,Data!$E$10:$E$3209,"&lt;"&amp;$A1437+1)/$AE1437)))</f>
        <v/>
      </c>
      <c r="E1437" s="56">
        <f>IF($B1437=0,"",IF(Inputs!$B$8="","",IF($AF1437=0,E1436,SUMIFS(Data!$J$10:$J$3209,Data!$I$10:$I$3209,"&gt;="&amp;$A1437,Data!$I$10:$I$3209,"&lt;"&amp;$A1437+1)/$AF1437)))</f>
        <v/>
      </c>
      <c r="F1437" s="56">
        <f>IF($B1437=0,"",IF(Inputs!$B$9="","",IF($AG1437=0,F1436,SUMIFS(Data!$N$10:$N$3209,Data!$M$10:$M$3209,"&gt;="&amp;$A1437,Data!$M$10:$M$3209,"&lt;"&amp;$A1437+1)/$AG1437)))</f>
        <v/>
      </c>
      <c r="G1437" s="56">
        <f>IF($B1437=0,"",IF(Inputs!$B$10="","",IF($AH1437=0,G1436,SUMIFS(Data!$R$10:$R$3209,Data!$Q$10:$Q$3209,"&gt;="&amp;$A1437,Data!$Q$10:$Q$3209,"&lt;"&amp;$A1437+1)/$AH1437)))</f>
        <v/>
      </c>
      <c r="I1437" s="54">
        <f>IF($B1437=0,NA(),IF($C1437="",NA(),IF(C$8="",NA(),IF(N(C$8)=0,NA(),IF(Inputs!$C$17="Rebased to 100",$C1437/C$8*100,$C1437)))))</f>
        <v/>
      </c>
      <c r="J1437" s="54">
        <f>IF($B1437=0,NA(),IF($D1437="",NA(),IF(D$8="",NA(),IF(N(D$8)=0,NA(),IF(Inputs!$C$17="Rebased to 100",$D1437/D$8*100,$D1437)))))</f>
        <v/>
      </c>
      <c r="K1437" s="54">
        <f>IF($B1437=0,NA(),IF($E1437="",NA(),IF(E$8="",NA(),IF(N(E$8)=0,NA(),IF(Inputs!$C$17="Rebased to 100",$E1437/E$8*100,$E1437)))))</f>
        <v/>
      </c>
      <c r="L1437" s="54">
        <f>IF($B1437=0,NA(),IF($F1437="",NA(),IF(F$8="",NA(),IF(N(F$8)=0,NA(),IF(Inputs!$C$17="Rebased to 100",$F1437/F$8*100,$F1437)))))</f>
        <v/>
      </c>
      <c r="M1437" s="54">
        <f>IF($B1437=0,NA(),IF($G1437="",NA(),IF(G$8="",NA(),IF(N(G$8)=0,NA(),IF(Inputs!$C$17="Rebased to 100",$G1437/G$8*100,$G1437)))))</f>
        <v/>
      </c>
      <c r="N1437" s="54">
        <f>IF($B1437=0,NA(),IF(Inputs!$C$18&lt;&gt;"Yes",NA(),IF(COUNT(I1437,J1437,K1437,L1437,M1437)=0,NA(),MIN(I1437,J1437,K1437,L1437,M1437))))</f>
        <v/>
      </c>
      <c r="O1437" s="54">
        <f>IF($B1437=0,NA(),IF(Inputs!$B$24&lt;&gt;"Yes",NA(),Inputs!$D$24*Inputs!$C$35))</f>
        <v/>
      </c>
      <c r="P1437" s="54">
        <f>IF($B1437=0,NA(),IF(Inputs!$B$25&lt;&gt;"Yes",NA(),Inputs!$D$25*Inputs!$C$35))</f>
        <v/>
      </c>
      <c r="Q1437" s="54">
        <f>IF($B1437=0,NA(),IF(Inputs!$B$26&lt;&gt;"Yes",NA(),Inputs!$D$26*Inputs!$C$35))</f>
        <v/>
      </c>
      <c r="R1437" s="54">
        <f>IF($B1437=0,NA(),IF(Inputs!$B$27&lt;&gt;"Yes",NA(),Inputs!$D$27*Inputs!$C$35))</f>
        <v/>
      </c>
      <c r="S1437" s="54">
        <f>IF($B1437=0,NA(),IF(Inputs!$B$28&lt;&gt;"Yes",NA(),Inputs!$D$28*Inputs!$C$35))</f>
        <v/>
      </c>
      <c r="T1437" s="54">
        <f>IF($B1437=0,NA(),IF(Inputs!$B$29&lt;&gt;"Yes",NA(),Inputs!$D$29*Inputs!$C$35))</f>
        <v/>
      </c>
      <c r="AD1437">
        <f>IF($B1437=0,0,IF(Inputs!$B$6="",0,COUNTIFS(Data!$A$10:$A$3209,"&gt;="&amp;$A1437,Data!$A$10:$A$3209,"&lt;"&amp;$A1437+1)))</f>
        <v/>
      </c>
      <c r="AE1437">
        <f>IF($B1437=0,0,IF(Inputs!$B$7="",0,COUNTIFS(Data!$E$10:$E$3209,"&gt;="&amp;$A1437,Data!$E$10:$E$3209,"&lt;"&amp;$A1437+1)))</f>
        <v/>
      </c>
      <c r="AF1437">
        <f>IF($B1437=0,0,IF(Inputs!$B$8="",0,COUNTIFS(Data!$I$10:$I$3209,"&gt;="&amp;$A1437,Data!$I$10:$I$3209,"&lt;"&amp;$A1437+1)))</f>
        <v/>
      </c>
      <c r="AG1437">
        <f>IF($B1437=0,0,IF(Inputs!$B$9="",0,COUNTIFS(Data!$M$10:$M$3209,"&gt;="&amp;$A1437,Data!$M$10:$M$3209,"&lt;"&amp;$A1437+1)))</f>
        <v/>
      </c>
      <c r="AH1437">
        <f>IF($B1437=0,0,IF(Inputs!$B$10="",0,COUNTIFS(Data!$Q$10:$Q$3209,"&gt;="&amp;$A1437,Data!$Q$10:$Q$3209,"&lt;"&amp;$A1437+1)))</f>
        <v/>
      </c>
    </row>
    <row r="1438">
      <c r="A1438" s="55">
        <f>MIN(Inputs!$C$15,$A1437+IF(WEEKDAY($A1437,2)=5,3,1))</f>
        <v/>
      </c>
      <c r="B1438">
        <f>IF($A1438&gt;$A1437,1,0)</f>
        <v/>
      </c>
      <c r="C1438" s="56">
        <f>IF($B1438=0,"",IF(Inputs!$B$6="","",IF($AD1438=0,C1437,SUMIFS(Data!$B$10:$B$3209,Data!$A$10:$A$3209,"&gt;="&amp;$A1438,Data!$A$10:$A$3209,"&lt;"&amp;$A1438+1)/$AD1438)))</f>
        <v/>
      </c>
      <c r="D1438" s="56">
        <f>IF($B1438=0,"",IF(Inputs!$B$7="","",IF($AE1438=0,D1437,SUMIFS(Data!$F$10:$F$3209,Data!$E$10:$E$3209,"&gt;="&amp;$A1438,Data!$E$10:$E$3209,"&lt;"&amp;$A1438+1)/$AE1438)))</f>
        <v/>
      </c>
      <c r="E1438" s="56">
        <f>IF($B1438=0,"",IF(Inputs!$B$8="","",IF($AF1438=0,E1437,SUMIFS(Data!$J$10:$J$3209,Data!$I$10:$I$3209,"&gt;="&amp;$A1438,Data!$I$10:$I$3209,"&lt;"&amp;$A1438+1)/$AF1438)))</f>
        <v/>
      </c>
      <c r="F1438" s="56">
        <f>IF($B1438=0,"",IF(Inputs!$B$9="","",IF($AG1438=0,F1437,SUMIFS(Data!$N$10:$N$3209,Data!$M$10:$M$3209,"&gt;="&amp;$A1438,Data!$M$10:$M$3209,"&lt;"&amp;$A1438+1)/$AG1438)))</f>
        <v/>
      </c>
      <c r="G1438" s="56">
        <f>IF($B1438=0,"",IF(Inputs!$B$10="","",IF($AH1438=0,G1437,SUMIFS(Data!$R$10:$R$3209,Data!$Q$10:$Q$3209,"&gt;="&amp;$A1438,Data!$Q$10:$Q$3209,"&lt;"&amp;$A1438+1)/$AH1438)))</f>
        <v/>
      </c>
      <c r="I1438" s="54">
        <f>IF($B1438=0,NA(),IF($C1438="",NA(),IF(C$8="",NA(),IF(N(C$8)=0,NA(),IF(Inputs!$C$17="Rebased to 100",$C1438/C$8*100,$C1438)))))</f>
        <v/>
      </c>
      <c r="J1438" s="54">
        <f>IF($B1438=0,NA(),IF($D1438="",NA(),IF(D$8="",NA(),IF(N(D$8)=0,NA(),IF(Inputs!$C$17="Rebased to 100",$D1438/D$8*100,$D1438)))))</f>
        <v/>
      </c>
      <c r="K1438" s="54">
        <f>IF($B1438=0,NA(),IF($E1438="",NA(),IF(E$8="",NA(),IF(N(E$8)=0,NA(),IF(Inputs!$C$17="Rebased to 100",$E1438/E$8*100,$E1438)))))</f>
        <v/>
      </c>
      <c r="L1438" s="54">
        <f>IF($B1438=0,NA(),IF($F1438="",NA(),IF(F$8="",NA(),IF(N(F$8)=0,NA(),IF(Inputs!$C$17="Rebased to 100",$F1438/F$8*100,$F1438)))))</f>
        <v/>
      </c>
      <c r="M1438" s="54">
        <f>IF($B1438=0,NA(),IF($G1438="",NA(),IF(G$8="",NA(),IF(N(G$8)=0,NA(),IF(Inputs!$C$17="Rebased to 100",$G1438/G$8*100,$G1438)))))</f>
        <v/>
      </c>
      <c r="N1438" s="54">
        <f>IF($B1438=0,NA(),IF(Inputs!$C$18&lt;&gt;"Yes",NA(),IF(COUNT(I1438,J1438,K1438,L1438,M1438)=0,NA(),MIN(I1438,J1438,K1438,L1438,M1438))))</f>
        <v/>
      </c>
      <c r="O1438" s="54">
        <f>IF($B1438=0,NA(),IF(Inputs!$B$24&lt;&gt;"Yes",NA(),Inputs!$D$24*Inputs!$C$35))</f>
        <v/>
      </c>
      <c r="P1438" s="54">
        <f>IF($B1438=0,NA(),IF(Inputs!$B$25&lt;&gt;"Yes",NA(),Inputs!$D$25*Inputs!$C$35))</f>
        <v/>
      </c>
      <c r="Q1438" s="54">
        <f>IF($B1438=0,NA(),IF(Inputs!$B$26&lt;&gt;"Yes",NA(),Inputs!$D$26*Inputs!$C$35))</f>
        <v/>
      </c>
      <c r="R1438" s="54">
        <f>IF($B1438=0,NA(),IF(Inputs!$B$27&lt;&gt;"Yes",NA(),Inputs!$D$27*Inputs!$C$35))</f>
        <v/>
      </c>
      <c r="S1438" s="54">
        <f>IF($B1438=0,NA(),IF(Inputs!$B$28&lt;&gt;"Yes",NA(),Inputs!$D$28*Inputs!$C$35))</f>
        <v/>
      </c>
      <c r="T1438" s="54">
        <f>IF($B1438=0,NA(),IF(Inputs!$B$29&lt;&gt;"Yes",NA(),Inputs!$D$29*Inputs!$C$35))</f>
        <v/>
      </c>
      <c r="AD1438">
        <f>IF($B1438=0,0,IF(Inputs!$B$6="",0,COUNTIFS(Data!$A$10:$A$3209,"&gt;="&amp;$A1438,Data!$A$10:$A$3209,"&lt;"&amp;$A1438+1)))</f>
        <v/>
      </c>
      <c r="AE1438">
        <f>IF($B1438=0,0,IF(Inputs!$B$7="",0,COUNTIFS(Data!$E$10:$E$3209,"&gt;="&amp;$A1438,Data!$E$10:$E$3209,"&lt;"&amp;$A1438+1)))</f>
        <v/>
      </c>
      <c r="AF1438">
        <f>IF($B1438=0,0,IF(Inputs!$B$8="",0,COUNTIFS(Data!$I$10:$I$3209,"&gt;="&amp;$A1438,Data!$I$10:$I$3209,"&lt;"&amp;$A1438+1)))</f>
        <v/>
      </c>
      <c r="AG1438">
        <f>IF($B1438=0,0,IF(Inputs!$B$9="",0,COUNTIFS(Data!$M$10:$M$3209,"&gt;="&amp;$A1438,Data!$M$10:$M$3209,"&lt;"&amp;$A1438+1)))</f>
        <v/>
      </c>
      <c r="AH1438">
        <f>IF($B1438=0,0,IF(Inputs!$B$10="",0,COUNTIFS(Data!$Q$10:$Q$3209,"&gt;="&amp;$A1438,Data!$Q$10:$Q$3209,"&lt;"&amp;$A1438+1)))</f>
        <v/>
      </c>
    </row>
    <row r="1439">
      <c r="A1439" s="55">
        <f>MIN(Inputs!$C$15,$A1438+IF(WEEKDAY($A1438,2)=5,3,1))</f>
        <v/>
      </c>
      <c r="B1439">
        <f>IF($A1439&gt;$A1438,1,0)</f>
        <v/>
      </c>
      <c r="C1439" s="56">
        <f>IF($B1439=0,"",IF(Inputs!$B$6="","",IF($AD1439=0,C1438,SUMIFS(Data!$B$10:$B$3209,Data!$A$10:$A$3209,"&gt;="&amp;$A1439,Data!$A$10:$A$3209,"&lt;"&amp;$A1439+1)/$AD1439)))</f>
        <v/>
      </c>
      <c r="D1439" s="56">
        <f>IF($B1439=0,"",IF(Inputs!$B$7="","",IF($AE1439=0,D1438,SUMIFS(Data!$F$10:$F$3209,Data!$E$10:$E$3209,"&gt;="&amp;$A1439,Data!$E$10:$E$3209,"&lt;"&amp;$A1439+1)/$AE1439)))</f>
        <v/>
      </c>
      <c r="E1439" s="56">
        <f>IF($B1439=0,"",IF(Inputs!$B$8="","",IF($AF1439=0,E1438,SUMIFS(Data!$J$10:$J$3209,Data!$I$10:$I$3209,"&gt;="&amp;$A1439,Data!$I$10:$I$3209,"&lt;"&amp;$A1439+1)/$AF1439)))</f>
        <v/>
      </c>
      <c r="F1439" s="56">
        <f>IF($B1439=0,"",IF(Inputs!$B$9="","",IF($AG1439=0,F1438,SUMIFS(Data!$N$10:$N$3209,Data!$M$10:$M$3209,"&gt;="&amp;$A1439,Data!$M$10:$M$3209,"&lt;"&amp;$A1439+1)/$AG1439)))</f>
        <v/>
      </c>
      <c r="G1439" s="56">
        <f>IF($B1439=0,"",IF(Inputs!$B$10="","",IF($AH1439=0,G1438,SUMIFS(Data!$R$10:$R$3209,Data!$Q$10:$Q$3209,"&gt;="&amp;$A1439,Data!$Q$10:$Q$3209,"&lt;"&amp;$A1439+1)/$AH1439)))</f>
        <v/>
      </c>
      <c r="I1439" s="54">
        <f>IF($B1439=0,NA(),IF($C1439="",NA(),IF(C$8="",NA(),IF(N(C$8)=0,NA(),IF(Inputs!$C$17="Rebased to 100",$C1439/C$8*100,$C1439)))))</f>
        <v/>
      </c>
      <c r="J1439" s="54">
        <f>IF($B1439=0,NA(),IF($D1439="",NA(),IF(D$8="",NA(),IF(N(D$8)=0,NA(),IF(Inputs!$C$17="Rebased to 100",$D1439/D$8*100,$D1439)))))</f>
        <v/>
      </c>
      <c r="K1439" s="54">
        <f>IF($B1439=0,NA(),IF($E1439="",NA(),IF(E$8="",NA(),IF(N(E$8)=0,NA(),IF(Inputs!$C$17="Rebased to 100",$E1439/E$8*100,$E1439)))))</f>
        <v/>
      </c>
      <c r="L1439" s="54">
        <f>IF($B1439=0,NA(),IF($F1439="",NA(),IF(F$8="",NA(),IF(N(F$8)=0,NA(),IF(Inputs!$C$17="Rebased to 100",$F1439/F$8*100,$F1439)))))</f>
        <v/>
      </c>
      <c r="M1439" s="54">
        <f>IF($B1439=0,NA(),IF($G1439="",NA(),IF(G$8="",NA(),IF(N(G$8)=0,NA(),IF(Inputs!$C$17="Rebased to 100",$G1439/G$8*100,$G1439)))))</f>
        <v/>
      </c>
      <c r="N1439" s="54">
        <f>IF($B1439=0,NA(),IF(Inputs!$C$18&lt;&gt;"Yes",NA(),IF(COUNT(I1439,J1439,K1439,L1439,M1439)=0,NA(),MIN(I1439,J1439,K1439,L1439,M1439))))</f>
        <v/>
      </c>
      <c r="O1439" s="54">
        <f>IF($B1439=0,NA(),IF(Inputs!$B$24&lt;&gt;"Yes",NA(),Inputs!$D$24*Inputs!$C$35))</f>
        <v/>
      </c>
      <c r="P1439" s="54">
        <f>IF($B1439=0,NA(),IF(Inputs!$B$25&lt;&gt;"Yes",NA(),Inputs!$D$25*Inputs!$C$35))</f>
        <v/>
      </c>
      <c r="Q1439" s="54">
        <f>IF($B1439=0,NA(),IF(Inputs!$B$26&lt;&gt;"Yes",NA(),Inputs!$D$26*Inputs!$C$35))</f>
        <v/>
      </c>
      <c r="R1439" s="54">
        <f>IF($B1439=0,NA(),IF(Inputs!$B$27&lt;&gt;"Yes",NA(),Inputs!$D$27*Inputs!$C$35))</f>
        <v/>
      </c>
      <c r="S1439" s="54">
        <f>IF($B1439=0,NA(),IF(Inputs!$B$28&lt;&gt;"Yes",NA(),Inputs!$D$28*Inputs!$C$35))</f>
        <v/>
      </c>
      <c r="T1439" s="54">
        <f>IF($B1439=0,NA(),IF(Inputs!$B$29&lt;&gt;"Yes",NA(),Inputs!$D$29*Inputs!$C$35))</f>
        <v/>
      </c>
      <c r="AD1439">
        <f>IF($B1439=0,0,IF(Inputs!$B$6="",0,COUNTIFS(Data!$A$10:$A$3209,"&gt;="&amp;$A1439,Data!$A$10:$A$3209,"&lt;"&amp;$A1439+1)))</f>
        <v/>
      </c>
      <c r="AE1439">
        <f>IF($B1439=0,0,IF(Inputs!$B$7="",0,COUNTIFS(Data!$E$10:$E$3209,"&gt;="&amp;$A1439,Data!$E$10:$E$3209,"&lt;"&amp;$A1439+1)))</f>
        <v/>
      </c>
      <c r="AF1439">
        <f>IF($B1439=0,0,IF(Inputs!$B$8="",0,COUNTIFS(Data!$I$10:$I$3209,"&gt;="&amp;$A1439,Data!$I$10:$I$3209,"&lt;"&amp;$A1439+1)))</f>
        <v/>
      </c>
      <c r="AG1439">
        <f>IF($B1439=0,0,IF(Inputs!$B$9="",0,COUNTIFS(Data!$M$10:$M$3209,"&gt;="&amp;$A1439,Data!$M$10:$M$3209,"&lt;"&amp;$A1439+1)))</f>
        <v/>
      </c>
      <c r="AH1439">
        <f>IF($B1439=0,0,IF(Inputs!$B$10="",0,COUNTIFS(Data!$Q$10:$Q$3209,"&gt;="&amp;$A1439,Data!$Q$10:$Q$3209,"&lt;"&amp;$A1439+1)))</f>
        <v/>
      </c>
    </row>
    <row r="1440">
      <c r="A1440" s="55">
        <f>MIN(Inputs!$C$15,$A1439+IF(WEEKDAY($A1439,2)=5,3,1))</f>
        <v/>
      </c>
      <c r="B1440">
        <f>IF($A1440&gt;$A1439,1,0)</f>
        <v/>
      </c>
      <c r="C1440" s="56">
        <f>IF($B1440=0,"",IF(Inputs!$B$6="","",IF($AD1440=0,C1439,SUMIFS(Data!$B$10:$B$3209,Data!$A$10:$A$3209,"&gt;="&amp;$A1440,Data!$A$10:$A$3209,"&lt;"&amp;$A1440+1)/$AD1440)))</f>
        <v/>
      </c>
      <c r="D1440" s="56">
        <f>IF($B1440=0,"",IF(Inputs!$B$7="","",IF($AE1440=0,D1439,SUMIFS(Data!$F$10:$F$3209,Data!$E$10:$E$3209,"&gt;="&amp;$A1440,Data!$E$10:$E$3209,"&lt;"&amp;$A1440+1)/$AE1440)))</f>
        <v/>
      </c>
      <c r="E1440" s="56">
        <f>IF($B1440=0,"",IF(Inputs!$B$8="","",IF($AF1440=0,E1439,SUMIFS(Data!$J$10:$J$3209,Data!$I$10:$I$3209,"&gt;="&amp;$A1440,Data!$I$10:$I$3209,"&lt;"&amp;$A1440+1)/$AF1440)))</f>
        <v/>
      </c>
      <c r="F1440" s="56">
        <f>IF($B1440=0,"",IF(Inputs!$B$9="","",IF($AG1440=0,F1439,SUMIFS(Data!$N$10:$N$3209,Data!$M$10:$M$3209,"&gt;="&amp;$A1440,Data!$M$10:$M$3209,"&lt;"&amp;$A1440+1)/$AG1440)))</f>
        <v/>
      </c>
      <c r="G1440" s="56">
        <f>IF($B1440=0,"",IF(Inputs!$B$10="","",IF($AH1440=0,G1439,SUMIFS(Data!$R$10:$R$3209,Data!$Q$10:$Q$3209,"&gt;="&amp;$A1440,Data!$Q$10:$Q$3209,"&lt;"&amp;$A1440+1)/$AH1440)))</f>
        <v/>
      </c>
      <c r="I1440" s="54">
        <f>IF($B1440=0,NA(),IF($C1440="",NA(),IF(C$8="",NA(),IF(N(C$8)=0,NA(),IF(Inputs!$C$17="Rebased to 100",$C1440/C$8*100,$C1440)))))</f>
        <v/>
      </c>
      <c r="J1440" s="54">
        <f>IF($B1440=0,NA(),IF($D1440="",NA(),IF(D$8="",NA(),IF(N(D$8)=0,NA(),IF(Inputs!$C$17="Rebased to 100",$D1440/D$8*100,$D1440)))))</f>
        <v/>
      </c>
      <c r="K1440" s="54">
        <f>IF($B1440=0,NA(),IF($E1440="",NA(),IF(E$8="",NA(),IF(N(E$8)=0,NA(),IF(Inputs!$C$17="Rebased to 100",$E1440/E$8*100,$E1440)))))</f>
        <v/>
      </c>
      <c r="L1440" s="54">
        <f>IF($B1440=0,NA(),IF($F1440="",NA(),IF(F$8="",NA(),IF(N(F$8)=0,NA(),IF(Inputs!$C$17="Rebased to 100",$F1440/F$8*100,$F1440)))))</f>
        <v/>
      </c>
      <c r="M1440" s="54">
        <f>IF($B1440=0,NA(),IF($G1440="",NA(),IF(G$8="",NA(),IF(N(G$8)=0,NA(),IF(Inputs!$C$17="Rebased to 100",$G1440/G$8*100,$G1440)))))</f>
        <v/>
      </c>
      <c r="N1440" s="54">
        <f>IF($B1440=0,NA(),IF(Inputs!$C$18&lt;&gt;"Yes",NA(),IF(COUNT(I1440,J1440,K1440,L1440,M1440)=0,NA(),MIN(I1440,J1440,K1440,L1440,M1440))))</f>
        <v/>
      </c>
      <c r="O1440" s="54">
        <f>IF($B1440=0,NA(),IF(Inputs!$B$24&lt;&gt;"Yes",NA(),Inputs!$D$24*Inputs!$C$35))</f>
        <v/>
      </c>
      <c r="P1440" s="54">
        <f>IF($B1440=0,NA(),IF(Inputs!$B$25&lt;&gt;"Yes",NA(),Inputs!$D$25*Inputs!$C$35))</f>
        <v/>
      </c>
      <c r="Q1440" s="54">
        <f>IF($B1440=0,NA(),IF(Inputs!$B$26&lt;&gt;"Yes",NA(),Inputs!$D$26*Inputs!$C$35))</f>
        <v/>
      </c>
      <c r="R1440" s="54">
        <f>IF($B1440=0,NA(),IF(Inputs!$B$27&lt;&gt;"Yes",NA(),Inputs!$D$27*Inputs!$C$35))</f>
        <v/>
      </c>
      <c r="S1440" s="54">
        <f>IF($B1440=0,NA(),IF(Inputs!$B$28&lt;&gt;"Yes",NA(),Inputs!$D$28*Inputs!$C$35))</f>
        <v/>
      </c>
      <c r="T1440" s="54">
        <f>IF($B1440=0,NA(),IF(Inputs!$B$29&lt;&gt;"Yes",NA(),Inputs!$D$29*Inputs!$C$35))</f>
        <v/>
      </c>
      <c r="AD1440">
        <f>IF($B1440=0,0,IF(Inputs!$B$6="",0,COUNTIFS(Data!$A$10:$A$3209,"&gt;="&amp;$A1440,Data!$A$10:$A$3209,"&lt;"&amp;$A1440+1)))</f>
        <v/>
      </c>
      <c r="AE1440">
        <f>IF($B1440=0,0,IF(Inputs!$B$7="",0,COUNTIFS(Data!$E$10:$E$3209,"&gt;="&amp;$A1440,Data!$E$10:$E$3209,"&lt;"&amp;$A1440+1)))</f>
        <v/>
      </c>
      <c r="AF1440">
        <f>IF($B1440=0,0,IF(Inputs!$B$8="",0,COUNTIFS(Data!$I$10:$I$3209,"&gt;="&amp;$A1440,Data!$I$10:$I$3209,"&lt;"&amp;$A1440+1)))</f>
        <v/>
      </c>
      <c r="AG1440">
        <f>IF($B1440=0,0,IF(Inputs!$B$9="",0,COUNTIFS(Data!$M$10:$M$3209,"&gt;="&amp;$A1440,Data!$M$10:$M$3209,"&lt;"&amp;$A1440+1)))</f>
        <v/>
      </c>
      <c r="AH1440">
        <f>IF($B1440=0,0,IF(Inputs!$B$10="",0,COUNTIFS(Data!$Q$10:$Q$3209,"&gt;="&amp;$A1440,Data!$Q$10:$Q$3209,"&lt;"&amp;$A1440+1)))</f>
        <v/>
      </c>
    </row>
    <row r="1441">
      <c r="A1441" s="55">
        <f>MIN(Inputs!$C$15,$A1440+IF(WEEKDAY($A1440,2)=5,3,1))</f>
        <v/>
      </c>
      <c r="B1441">
        <f>IF($A1441&gt;$A1440,1,0)</f>
        <v/>
      </c>
      <c r="C1441" s="56">
        <f>IF($B1441=0,"",IF(Inputs!$B$6="","",IF($AD1441=0,C1440,SUMIFS(Data!$B$10:$B$3209,Data!$A$10:$A$3209,"&gt;="&amp;$A1441,Data!$A$10:$A$3209,"&lt;"&amp;$A1441+1)/$AD1441)))</f>
        <v/>
      </c>
      <c r="D1441" s="56">
        <f>IF($B1441=0,"",IF(Inputs!$B$7="","",IF($AE1441=0,D1440,SUMIFS(Data!$F$10:$F$3209,Data!$E$10:$E$3209,"&gt;="&amp;$A1441,Data!$E$10:$E$3209,"&lt;"&amp;$A1441+1)/$AE1441)))</f>
        <v/>
      </c>
      <c r="E1441" s="56">
        <f>IF($B1441=0,"",IF(Inputs!$B$8="","",IF($AF1441=0,E1440,SUMIFS(Data!$J$10:$J$3209,Data!$I$10:$I$3209,"&gt;="&amp;$A1441,Data!$I$10:$I$3209,"&lt;"&amp;$A1441+1)/$AF1441)))</f>
        <v/>
      </c>
      <c r="F1441" s="56">
        <f>IF($B1441=0,"",IF(Inputs!$B$9="","",IF($AG1441=0,F1440,SUMIFS(Data!$N$10:$N$3209,Data!$M$10:$M$3209,"&gt;="&amp;$A1441,Data!$M$10:$M$3209,"&lt;"&amp;$A1441+1)/$AG1441)))</f>
        <v/>
      </c>
      <c r="G1441" s="56">
        <f>IF($B1441=0,"",IF(Inputs!$B$10="","",IF($AH1441=0,G1440,SUMIFS(Data!$R$10:$R$3209,Data!$Q$10:$Q$3209,"&gt;="&amp;$A1441,Data!$Q$10:$Q$3209,"&lt;"&amp;$A1441+1)/$AH1441)))</f>
        <v/>
      </c>
      <c r="I1441" s="54">
        <f>IF($B1441=0,NA(),IF($C1441="",NA(),IF(C$8="",NA(),IF(N(C$8)=0,NA(),IF(Inputs!$C$17="Rebased to 100",$C1441/C$8*100,$C1441)))))</f>
        <v/>
      </c>
      <c r="J1441" s="54">
        <f>IF($B1441=0,NA(),IF($D1441="",NA(),IF(D$8="",NA(),IF(N(D$8)=0,NA(),IF(Inputs!$C$17="Rebased to 100",$D1441/D$8*100,$D1441)))))</f>
        <v/>
      </c>
      <c r="K1441" s="54">
        <f>IF($B1441=0,NA(),IF($E1441="",NA(),IF(E$8="",NA(),IF(N(E$8)=0,NA(),IF(Inputs!$C$17="Rebased to 100",$E1441/E$8*100,$E1441)))))</f>
        <v/>
      </c>
      <c r="L1441" s="54">
        <f>IF($B1441=0,NA(),IF($F1441="",NA(),IF(F$8="",NA(),IF(N(F$8)=0,NA(),IF(Inputs!$C$17="Rebased to 100",$F1441/F$8*100,$F1441)))))</f>
        <v/>
      </c>
      <c r="M1441" s="54">
        <f>IF($B1441=0,NA(),IF($G1441="",NA(),IF(G$8="",NA(),IF(N(G$8)=0,NA(),IF(Inputs!$C$17="Rebased to 100",$G1441/G$8*100,$G1441)))))</f>
        <v/>
      </c>
      <c r="N1441" s="54">
        <f>IF($B1441=0,NA(),IF(Inputs!$C$18&lt;&gt;"Yes",NA(),IF(COUNT(I1441,J1441,K1441,L1441,M1441)=0,NA(),MIN(I1441,J1441,K1441,L1441,M1441))))</f>
        <v/>
      </c>
      <c r="O1441" s="54">
        <f>IF($B1441=0,NA(),IF(Inputs!$B$24&lt;&gt;"Yes",NA(),Inputs!$D$24*Inputs!$C$35))</f>
        <v/>
      </c>
      <c r="P1441" s="54">
        <f>IF($B1441=0,NA(),IF(Inputs!$B$25&lt;&gt;"Yes",NA(),Inputs!$D$25*Inputs!$C$35))</f>
        <v/>
      </c>
      <c r="Q1441" s="54">
        <f>IF($B1441=0,NA(),IF(Inputs!$B$26&lt;&gt;"Yes",NA(),Inputs!$D$26*Inputs!$C$35))</f>
        <v/>
      </c>
      <c r="R1441" s="54">
        <f>IF($B1441=0,NA(),IF(Inputs!$B$27&lt;&gt;"Yes",NA(),Inputs!$D$27*Inputs!$C$35))</f>
        <v/>
      </c>
      <c r="S1441" s="54">
        <f>IF($B1441=0,NA(),IF(Inputs!$B$28&lt;&gt;"Yes",NA(),Inputs!$D$28*Inputs!$C$35))</f>
        <v/>
      </c>
      <c r="T1441" s="54">
        <f>IF($B1441=0,NA(),IF(Inputs!$B$29&lt;&gt;"Yes",NA(),Inputs!$D$29*Inputs!$C$35))</f>
        <v/>
      </c>
      <c r="AD1441">
        <f>IF($B1441=0,0,IF(Inputs!$B$6="",0,COUNTIFS(Data!$A$10:$A$3209,"&gt;="&amp;$A1441,Data!$A$10:$A$3209,"&lt;"&amp;$A1441+1)))</f>
        <v/>
      </c>
      <c r="AE1441">
        <f>IF($B1441=0,0,IF(Inputs!$B$7="",0,COUNTIFS(Data!$E$10:$E$3209,"&gt;="&amp;$A1441,Data!$E$10:$E$3209,"&lt;"&amp;$A1441+1)))</f>
        <v/>
      </c>
      <c r="AF1441">
        <f>IF($B1441=0,0,IF(Inputs!$B$8="",0,COUNTIFS(Data!$I$10:$I$3209,"&gt;="&amp;$A1441,Data!$I$10:$I$3209,"&lt;"&amp;$A1441+1)))</f>
        <v/>
      </c>
      <c r="AG1441">
        <f>IF($B1441=0,0,IF(Inputs!$B$9="",0,COUNTIFS(Data!$M$10:$M$3209,"&gt;="&amp;$A1441,Data!$M$10:$M$3209,"&lt;"&amp;$A1441+1)))</f>
        <v/>
      </c>
      <c r="AH1441">
        <f>IF($B1441=0,0,IF(Inputs!$B$10="",0,COUNTIFS(Data!$Q$10:$Q$3209,"&gt;="&amp;$A1441,Data!$Q$10:$Q$3209,"&lt;"&amp;$A1441+1)))</f>
        <v/>
      </c>
    </row>
    <row r="1442">
      <c r="A1442" s="55">
        <f>MIN(Inputs!$C$15,$A1441+IF(WEEKDAY($A1441,2)=5,3,1))</f>
        <v/>
      </c>
      <c r="B1442">
        <f>IF($A1442&gt;$A1441,1,0)</f>
        <v/>
      </c>
      <c r="C1442" s="56">
        <f>IF($B1442=0,"",IF(Inputs!$B$6="","",IF($AD1442=0,C1441,SUMIFS(Data!$B$10:$B$3209,Data!$A$10:$A$3209,"&gt;="&amp;$A1442,Data!$A$10:$A$3209,"&lt;"&amp;$A1442+1)/$AD1442)))</f>
        <v/>
      </c>
      <c r="D1442" s="56">
        <f>IF($B1442=0,"",IF(Inputs!$B$7="","",IF($AE1442=0,D1441,SUMIFS(Data!$F$10:$F$3209,Data!$E$10:$E$3209,"&gt;="&amp;$A1442,Data!$E$10:$E$3209,"&lt;"&amp;$A1442+1)/$AE1442)))</f>
        <v/>
      </c>
      <c r="E1442" s="56">
        <f>IF($B1442=0,"",IF(Inputs!$B$8="","",IF($AF1442=0,E1441,SUMIFS(Data!$J$10:$J$3209,Data!$I$10:$I$3209,"&gt;="&amp;$A1442,Data!$I$10:$I$3209,"&lt;"&amp;$A1442+1)/$AF1442)))</f>
        <v/>
      </c>
      <c r="F1442" s="56">
        <f>IF($B1442=0,"",IF(Inputs!$B$9="","",IF($AG1442=0,F1441,SUMIFS(Data!$N$10:$N$3209,Data!$M$10:$M$3209,"&gt;="&amp;$A1442,Data!$M$10:$M$3209,"&lt;"&amp;$A1442+1)/$AG1442)))</f>
        <v/>
      </c>
      <c r="G1442" s="56">
        <f>IF($B1442=0,"",IF(Inputs!$B$10="","",IF($AH1442=0,G1441,SUMIFS(Data!$R$10:$R$3209,Data!$Q$10:$Q$3209,"&gt;="&amp;$A1442,Data!$Q$10:$Q$3209,"&lt;"&amp;$A1442+1)/$AH1442)))</f>
        <v/>
      </c>
      <c r="I1442" s="54">
        <f>IF($B1442=0,NA(),IF($C1442="",NA(),IF(C$8="",NA(),IF(N(C$8)=0,NA(),IF(Inputs!$C$17="Rebased to 100",$C1442/C$8*100,$C1442)))))</f>
        <v/>
      </c>
      <c r="J1442" s="54">
        <f>IF($B1442=0,NA(),IF($D1442="",NA(),IF(D$8="",NA(),IF(N(D$8)=0,NA(),IF(Inputs!$C$17="Rebased to 100",$D1442/D$8*100,$D1442)))))</f>
        <v/>
      </c>
      <c r="K1442" s="54">
        <f>IF($B1442=0,NA(),IF($E1442="",NA(),IF(E$8="",NA(),IF(N(E$8)=0,NA(),IF(Inputs!$C$17="Rebased to 100",$E1442/E$8*100,$E1442)))))</f>
        <v/>
      </c>
      <c r="L1442" s="54">
        <f>IF($B1442=0,NA(),IF($F1442="",NA(),IF(F$8="",NA(),IF(N(F$8)=0,NA(),IF(Inputs!$C$17="Rebased to 100",$F1442/F$8*100,$F1442)))))</f>
        <v/>
      </c>
      <c r="M1442" s="54">
        <f>IF($B1442=0,NA(),IF($G1442="",NA(),IF(G$8="",NA(),IF(N(G$8)=0,NA(),IF(Inputs!$C$17="Rebased to 100",$G1442/G$8*100,$G1442)))))</f>
        <v/>
      </c>
      <c r="N1442" s="54">
        <f>IF($B1442=0,NA(),IF(Inputs!$C$18&lt;&gt;"Yes",NA(),IF(COUNT(I1442,J1442,K1442,L1442,M1442)=0,NA(),MIN(I1442,J1442,K1442,L1442,M1442))))</f>
        <v/>
      </c>
      <c r="O1442" s="54">
        <f>IF($B1442=0,NA(),IF(Inputs!$B$24&lt;&gt;"Yes",NA(),Inputs!$D$24*Inputs!$C$35))</f>
        <v/>
      </c>
      <c r="P1442" s="54">
        <f>IF($B1442=0,NA(),IF(Inputs!$B$25&lt;&gt;"Yes",NA(),Inputs!$D$25*Inputs!$C$35))</f>
        <v/>
      </c>
      <c r="Q1442" s="54">
        <f>IF($B1442=0,NA(),IF(Inputs!$B$26&lt;&gt;"Yes",NA(),Inputs!$D$26*Inputs!$C$35))</f>
        <v/>
      </c>
      <c r="R1442" s="54">
        <f>IF($B1442=0,NA(),IF(Inputs!$B$27&lt;&gt;"Yes",NA(),Inputs!$D$27*Inputs!$C$35))</f>
        <v/>
      </c>
      <c r="S1442" s="54">
        <f>IF($B1442=0,NA(),IF(Inputs!$B$28&lt;&gt;"Yes",NA(),Inputs!$D$28*Inputs!$C$35))</f>
        <v/>
      </c>
      <c r="T1442" s="54">
        <f>IF($B1442=0,NA(),IF(Inputs!$B$29&lt;&gt;"Yes",NA(),Inputs!$D$29*Inputs!$C$35))</f>
        <v/>
      </c>
      <c r="AD1442">
        <f>IF($B1442=0,0,IF(Inputs!$B$6="",0,COUNTIFS(Data!$A$10:$A$3209,"&gt;="&amp;$A1442,Data!$A$10:$A$3209,"&lt;"&amp;$A1442+1)))</f>
        <v/>
      </c>
      <c r="AE1442">
        <f>IF($B1442=0,0,IF(Inputs!$B$7="",0,COUNTIFS(Data!$E$10:$E$3209,"&gt;="&amp;$A1442,Data!$E$10:$E$3209,"&lt;"&amp;$A1442+1)))</f>
        <v/>
      </c>
      <c r="AF1442">
        <f>IF($B1442=0,0,IF(Inputs!$B$8="",0,COUNTIFS(Data!$I$10:$I$3209,"&gt;="&amp;$A1442,Data!$I$10:$I$3209,"&lt;"&amp;$A1442+1)))</f>
        <v/>
      </c>
      <c r="AG1442">
        <f>IF($B1442=0,0,IF(Inputs!$B$9="",0,COUNTIFS(Data!$M$10:$M$3209,"&gt;="&amp;$A1442,Data!$M$10:$M$3209,"&lt;"&amp;$A1442+1)))</f>
        <v/>
      </c>
      <c r="AH1442">
        <f>IF($B1442=0,0,IF(Inputs!$B$10="",0,COUNTIFS(Data!$Q$10:$Q$3209,"&gt;="&amp;$A1442,Data!$Q$10:$Q$3209,"&lt;"&amp;$A1442+1)))</f>
        <v/>
      </c>
    </row>
    <row r="1443">
      <c r="A1443" s="55">
        <f>MIN(Inputs!$C$15,$A1442+IF(WEEKDAY($A1442,2)=5,3,1))</f>
        <v/>
      </c>
      <c r="B1443">
        <f>IF($A1443&gt;$A1442,1,0)</f>
        <v/>
      </c>
      <c r="C1443" s="56">
        <f>IF($B1443=0,"",IF(Inputs!$B$6="","",IF($AD1443=0,C1442,SUMIFS(Data!$B$10:$B$3209,Data!$A$10:$A$3209,"&gt;="&amp;$A1443,Data!$A$10:$A$3209,"&lt;"&amp;$A1443+1)/$AD1443)))</f>
        <v/>
      </c>
      <c r="D1443" s="56">
        <f>IF($B1443=0,"",IF(Inputs!$B$7="","",IF($AE1443=0,D1442,SUMIFS(Data!$F$10:$F$3209,Data!$E$10:$E$3209,"&gt;="&amp;$A1443,Data!$E$10:$E$3209,"&lt;"&amp;$A1443+1)/$AE1443)))</f>
        <v/>
      </c>
      <c r="E1443" s="56">
        <f>IF($B1443=0,"",IF(Inputs!$B$8="","",IF($AF1443=0,E1442,SUMIFS(Data!$J$10:$J$3209,Data!$I$10:$I$3209,"&gt;="&amp;$A1443,Data!$I$10:$I$3209,"&lt;"&amp;$A1443+1)/$AF1443)))</f>
        <v/>
      </c>
      <c r="F1443" s="56">
        <f>IF($B1443=0,"",IF(Inputs!$B$9="","",IF($AG1443=0,F1442,SUMIFS(Data!$N$10:$N$3209,Data!$M$10:$M$3209,"&gt;="&amp;$A1443,Data!$M$10:$M$3209,"&lt;"&amp;$A1443+1)/$AG1443)))</f>
        <v/>
      </c>
      <c r="G1443" s="56">
        <f>IF($B1443=0,"",IF(Inputs!$B$10="","",IF($AH1443=0,G1442,SUMIFS(Data!$R$10:$R$3209,Data!$Q$10:$Q$3209,"&gt;="&amp;$A1443,Data!$Q$10:$Q$3209,"&lt;"&amp;$A1443+1)/$AH1443)))</f>
        <v/>
      </c>
      <c r="I1443" s="54">
        <f>IF($B1443=0,NA(),IF($C1443="",NA(),IF(C$8="",NA(),IF(N(C$8)=0,NA(),IF(Inputs!$C$17="Rebased to 100",$C1443/C$8*100,$C1443)))))</f>
        <v/>
      </c>
      <c r="J1443" s="54">
        <f>IF($B1443=0,NA(),IF($D1443="",NA(),IF(D$8="",NA(),IF(N(D$8)=0,NA(),IF(Inputs!$C$17="Rebased to 100",$D1443/D$8*100,$D1443)))))</f>
        <v/>
      </c>
      <c r="K1443" s="54">
        <f>IF($B1443=0,NA(),IF($E1443="",NA(),IF(E$8="",NA(),IF(N(E$8)=0,NA(),IF(Inputs!$C$17="Rebased to 100",$E1443/E$8*100,$E1443)))))</f>
        <v/>
      </c>
      <c r="L1443" s="54">
        <f>IF($B1443=0,NA(),IF($F1443="",NA(),IF(F$8="",NA(),IF(N(F$8)=0,NA(),IF(Inputs!$C$17="Rebased to 100",$F1443/F$8*100,$F1443)))))</f>
        <v/>
      </c>
      <c r="M1443" s="54">
        <f>IF($B1443=0,NA(),IF($G1443="",NA(),IF(G$8="",NA(),IF(N(G$8)=0,NA(),IF(Inputs!$C$17="Rebased to 100",$G1443/G$8*100,$G1443)))))</f>
        <v/>
      </c>
      <c r="N1443" s="54">
        <f>IF($B1443=0,NA(),IF(Inputs!$C$18&lt;&gt;"Yes",NA(),IF(COUNT(I1443,J1443,K1443,L1443,M1443)=0,NA(),MIN(I1443,J1443,K1443,L1443,M1443))))</f>
        <v/>
      </c>
      <c r="O1443" s="54">
        <f>IF($B1443=0,NA(),IF(Inputs!$B$24&lt;&gt;"Yes",NA(),Inputs!$D$24*Inputs!$C$35))</f>
        <v/>
      </c>
      <c r="P1443" s="54">
        <f>IF($B1443=0,NA(),IF(Inputs!$B$25&lt;&gt;"Yes",NA(),Inputs!$D$25*Inputs!$C$35))</f>
        <v/>
      </c>
      <c r="Q1443" s="54">
        <f>IF($B1443=0,NA(),IF(Inputs!$B$26&lt;&gt;"Yes",NA(),Inputs!$D$26*Inputs!$C$35))</f>
        <v/>
      </c>
      <c r="R1443" s="54">
        <f>IF($B1443=0,NA(),IF(Inputs!$B$27&lt;&gt;"Yes",NA(),Inputs!$D$27*Inputs!$C$35))</f>
        <v/>
      </c>
      <c r="S1443" s="54">
        <f>IF($B1443=0,NA(),IF(Inputs!$B$28&lt;&gt;"Yes",NA(),Inputs!$D$28*Inputs!$C$35))</f>
        <v/>
      </c>
      <c r="T1443" s="54">
        <f>IF($B1443=0,NA(),IF(Inputs!$B$29&lt;&gt;"Yes",NA(),Inputs!$D$29*Inputs!$C$35))</f>
        <v/>
      </c>
      <c r="AD1443">
        <f>IF($B1443=0,0,IF(Inputs!$B$6="",0,COUNTIFS(Data!$A$10:$A$3209,"&gt;="&amp;$A1443,Data!$A$10:$A$3209,"&lt;"&amp;$A1443+1)))</f>
        <v/>
      </c>
      <c r="AE1443">
        <f>IF($B1443=0,0,IF(Inputs!$B$7="",0,COUNTIFS(Data!$E$10:$E$3209,"&gt;="&amp;$A1443,Data!$E$10:$E$3209,"&lt;"&amp;$A1443+1)))</f>
        <v/>
      </c>
      <c r="AF1443">
        <f>IF($B1443=0,0,IF(Inputs!$B$8="",0,COUNTIFS(Data!$I$10:$I$3209,"&gt;="&amp;$A1443,Data!$I$10:$I$3209,"&lt;"&amp;$A1443+1)))</f>
        <v/>
      </c>
      <c r="AG1443">
        <f>IF($B1443=0,0,IF(Inputs!$B$9="",0,COUNTIFS(Data!$M$10:$M$3209,"&gt;="&amp;$A1443,Data!$M$10:$M$3209,"&lt;"&amp;$A1443+1)))</f>
        <v/>
      </c>
      <c r="AH1443">
        <f>IF($B1443=0,0,IF(Inputs!$B$10="",0,COUNTIFS(Data!$Q$10:$Q$3209,"&gt;="&amp;$A1443,Data!$Q$10:$Q$3209,"&lt;"&amp;$A1443+1)))</f>
        <v/>
      </c>
    </row>
    <row r="1444">
      <c r="A1444" s="55">
        <f>MIN(Inputs!$C$15,$A1443+IF(WEEKDAY($A1443,2)=5,3,1))</f>
        <v/>
      </c>
      <c r="B1444">
        <f>IF($A1444&gt;$A1443,1,0)</f>
        <v/>
      </c>
      <c r="C1444" s="56">
        <f>IF($B1444=0,"",IF(Inputs!$B$6="","",IF($AD1444=0,C1443,SUMIFS(Data!$B$10:$B$3209,Data!$A$10:$A$3209,"&gt;="&amp;$A1444,Data!$A$10:$A$3209,"&lt;"&amp;$A1444+1)/$AD1444)))</f>
        <v/>
      </c>
      <c r="D1444" s="56">
        <f>IF($B1444=0,"",IF(Inputs!$B$7="","",IF($AE1444=0,D1443,SUMIFS(Data!$F$10:$F$3209,Data!$E$10:$E$3209,"&gt;="&amp;$A1444,Data!$E$10:$E$3209,"&lt;"&amp;$A1444+1)/$AE1444)))</f>
        <v/>
      </c>
      <c r="E1444" s="56">
        <f>IF($B1444=0,"",IF(Inputs!$B$8="","",IF($AF1444=0,E1443,SUMIFS(Data!$J$10:$J$3209,Data!$I$10:$I$3209,"&gt;="&amp;$A1444,Data!$I$10:$I$3209,"&lt;"&amp;$A1444+1)/$AF1444)))</f>
        <v/>
      </c>
      <c r="F1444" s="56">
        <f>IF($B1444=0,"",IF(Inputs!$B$9="","",IF($AG1444=0,F1443,SUMIFS(Data!$N$10:$N$3209,Data!$M$10:$M$3209,"&gt;="&amp;$A1444,Data!$M$10:$M$3209,"&lt;"&amp;$A1444+1)/$AG1444)))</f>
        <v/>
      </c>
      <c r="G1444" s="56">
        <f>IF($B1444=0,"",IF(Inputs!$B$10="","",IF($AH1444=0,G1443,SUMIFS(Data!$R$10:$R$3209,Data!$Q$10:$Q$3209,"&gt;="&amp;$A1444,Data!$Q$10:$Q$3209,"&lt;"&amp;$A1444+1)/$AH1444)))</f>
        <v/>
      </c>
      <c r="I1444" s="54">
        <f>IF($B1444=0,NA(),IF($C1444="",NA(),IF(C$8="",NA(),IF(N(C$8)=0,NA(),IF(Inputs!$C$17="Rebased to 100",$C1444/C$8*100,$C1444)))))</f>
        <v/>
      </c>
      <c r="J1444" s="54">
        <f>IF($B1444=0,NA(),IF($D1444="",NA(),IF(D$8="",NA(),IF(N(D$8)=0,NA(),IF(Inputs!$C$17="Rebased to 100",$D1444/D$8*100,$D1444)))))</f>
        <v/>
      </c>
      <c r="K1444" s="54">
        <f>IF($B1444=0,NA(),IF($E1444="",NA(),IF(E$8="",NA(),IF(N(E$8)=0,NA(),IF(Inputs!$C$17="Rebased to 100",$E1444/E$8*100,$E1444)))))</f>
        <v/>
      </c>
      <c r="L1444" s="54">
        <f>IF($B1444=0,NA(),IF($F1444="",NA(),IF(F$8="",NA(),IF(N(F$8)=0,NA(),IF(Inputs!$C$17="Rebased to 100",$F1444/F$8*100,$F1444)))))</f>
        <v/>
      </c>
      <c r="M1444" s="54">
        <f>IF($B1444=0,NA(),IF($G1444="",NA(),IF(G$8="",NA(),IF(N(G$8)=0,NA(),IF(Inputs!$C$17="Rebased to 100",$G1444/G$8*100,$G1444)))))</f>
        <v/>
      </c>
      <c r="N1444" s="54">
        <f>IF($B1444=0,NA(),IF(Inputs!$C$18&lt;&gt;"Yes",NA(),IF(COUNT(I1444,J1444,K1444,L1444,M1444)=0,NA(),MIN(I1444,J1444,K1444,L1444,M1444))))</f>
        <v/>
      </c>
      <c r="O1444" s="54">
        <f>IF($B1444=0,NA(),IF(Inputs!$B$24&lt;&gt;"Yes",NA(),Inputs!$D$24*Inputs!$C$35))</f>
        <v/>
      </c>
      <c r="P1444" s="54">
        <f>IF($B1444=0,NA(),IF(Inputs!$B$25&lt;&gt;"Yes",NA(),Inputs!$D$25*Inputs!$C$35))</f>
        <v/>
      </c>
      <c r="Q1444" s="54">
        <f>IF($B1444=0,NA(),IF(Inputs!$B$26&lt;&gt;"Yes",NA(),Inputs!$D$26*Inputs!$C$35))</f>
        <v/>
      </c>
      <c r="R1444" s="54">
        <f>IF($B1444=0,NA(),IF(Inputs!$B$27&lt;&gt;"Yes",NA(),Inputs!$D$27*Inputs!$C$35))</f>
        <v/>
      </c>
      <c r="S1444" s="54">
        <f>IF($B1444=0,NA(),IF(Inputs!$B$28&lt;&gt;"Yes",NA(),Inputs!$D$28*Inputs!$C$35))</f>
        <v/>
      </c>
      <c r="T1444" s="54">
        <f>IF($B1444=0,NA(),IF(Inputs!$B$29&lt;&gt;"Yes",NA(),Inputs!$D$29*Inputs!$C$35))</f>
        <v/>
      </c>
      <c r="AD1444">
        <f>IF($B1444=0,0,IF(Inputs!$B$6="",0,COUNTIFS(Data!$A$10:$A$3209,"&gt;="&amp;$A1444,Data!$A$10:$A$3209,"&lt;"&amp;$A1444+1)))</f>
        <v/>
      </c>
      <c r="AE1444">
        <f>IF($B1444=0,0,IF(Inputs!$B$7="",0,COUNTIFS(Data!$E$10:$E$3209,"&gt;="&amp;$A1444,Data!$E$10:$E$3209,"&lt;"&amp;$A1444+1)))</f>
        <v/>
      </c>
      <c r="AF1444">
        <f>IF($B1444=0,0,IF(Inputs!$B$8="",0,COUNTIFS(Data!$I$10:$I$3209,"&gt;="&amp;$A1444,Data!$I$10:$I$3209,"&lt;"&amp;$A1444+1)))</f>
        <v/>
      </c>
      <c r="AG1444">
        <f>IF($B1444=0,0,IF(Inputs!$B$9="",0,COUNTIFS(Data!$M$10:$M$3209,"&gt;="&amp;$A1444,Data!$M$10:$M$3209,"&lt;"&amp;$A1444+1)))</f>
        <v/>
      </c>
      <c r="AH1444">
        <f>IF($B1444=0,0,IF(Inputs!$B$10="",0,COUNTIFS(Data!$Q$10:$Q$3209,"&gt;="&amp;$A1444,Data!$Q$10:$Q$3209,"&lt;"&amp;$A1444+1)))</f>
        <v/>
      </c>
    </row>
    <row r="1445">
      <c r="A1445" s="55">
        <f>MIN(Inputs!$C$15,$A1444+IF(WEEKDAY($A1444,2)=5,3,1))</f>
        <v/>
      </c>
      <c r="B1445">
        <f>IF($A1445&gt;$A1444,1,0)</f>
        <v/>
      </c>
      <c r="C1445" s="56">
        <f>IF($B1445=0,"",IF(Inputs!$B$6="","",IF($AD1445=0,C1444,SUMIFS(Data!$B$10:$B$3209,Data!$A$10:$A$3209,"&gt;="&amp;$A1445,Data!$A$10:$A$3209,"&lt;"&amp;$A1445+1)/$AD1445)))</f>
        <v/>
      </c>
      <c r="D1445" s="56">
        <f>IF($B1445=0,"",IF(Inputs!$B$7="","",IF($AE1445=0,D1444,SUMIFS(Data!$F$10:$F$3209,Data!$E$10:$E$3209,"&gt;="&amp;$A1445,Data!$E$10:$E$3209,"&lt;"&amp;$A1445+1)/$AE1445)))</f>
        <v/>
      </c>
      <c r="E1445" s="56">
        <f>IF($B1445=0,"",IF(Inputs!$B$8="","",IF($AF1445=0,E1444,SUMIFS(Data!$J$10:$J$3209,Data!$I$10:$I$3209,"&gt;="&amp;$A1445,Data!$I$10:$I$3209,"&lt;"&amp;$A1445+1)/$AF1445)))</f>
        <v/>
      </c>
      <c r="F1445" s="56">
        <f>IF($B1445=0,"",IF(Inputs!$B$9="","",IF($AG1445=0,F1444,SUMIFS(Data!$N$10:$N$3209,Data!$M$10:$M$3209,"&gt;="&amp;$A1445,Data!$M$10:$M$3209,"&lt;"&amp;$A1445+1)/$AG1445)))</f>
        <v/>
      </c>
      <c r="G1445" s="56">
        <f>IF($B1445=0,"",IF(Inputs!$B$10="","",IF($AH1445=0,G1444,SUMIFS(Data!$R$10:$R$3209,Data!$Q$10:$Q$3209,"&gt;="&amp;$A1445,Data!$Q$10:$Q$3209,"&lt;"&amp;$A1445+1)/$AH1445)))</f>
        <v/>
      </c>
      <c r="I1445" s="54">
        <f>IF($B1445=0,NA(),IF($C1445="",NA(),IF(C$8="",NA(),IF(N(C$8)=0,NA(),IF(Inputs!$C$17="Rebased to 100",$C1445/C$8*100,$C1445)))))</f>
        <v/>
      </c>
      <c r="J1445" s="54">
        <f>IF($B1445=0,NA(),IF($D1445="",NA(),IF(D$8="",NA(),IF(N(D$8)=0,NA(),IF(Inputs!$C$17="Rebased to 100",$D1445/D$8*100,$D1445)))))</f>
        <v/>
      </c>
      <c r="K1445" s="54">
        <f>IF($B1445=0,NA(),IF($E1445="",NA(),IF(E$8="",NA(),IF(N(E$8)=0,NA(),IF(Inputs!$C$17="Rebased to 100",$E1445/E$8*100,$E1445)))))</f>
        <v/>
      </c>
      <c r="L1445" s="54">
        <f>IF($B1445=0,NA(),IF($F1445="",NA(),IF(F$8="",NA(),IF(N(F$8)=0,NA(),IF(Inputs!$C$17="Rebased to 100",$F1445/F$8*100,$F1445)))))</f>
        <v/>
      </c>
      <c r="M1445" s="54">
        <f>IF($B1445=0,NA(),IF($G1445="",NA(),IF(G$8="",NA(),IF(N(G$8)=0,NA(),IF(Inputs!$C$17="Rebased to 100",$G1445/G$8*100,$G1445)))))</f>
        <v/>
      </c>
      <c r="N1445" s="54">
        <f>IF($B1445=0,NA(),IF(Inputs!$C$18&lt;&gt;"Yes",NA(),IF(COUNT(I1445,J1445,K1445,L1445,M1445)=0,NA(),MIN(I1445,J1445,K1445,L1445,M1445))))</f>
        <v/>
      </c>
      <c r="O1445" s="54">
        <f>IF($B1445=0,NA(),IF(Inputs!$B$24&lt;&gt;"Yes",NA(),Inputs!$D$24*Inputs!$C$35))</f>
        <v/>
      </c>
      <c r="P1445" s="54">
        <f>IF($B1445=0,NA(),IF(Inputs!$B$25&lt;&gt;"Yes",NA(),Inputs!$D$25*Inputs!$C$35))</f>
        <v/>
      </c>
      <c r="Q1445" s="54">
        <f>IF($B1445=0,NA(),IF(Inputs!$B$26&lt;&gt;"Yes",NA(),Inputs!$D$26*Inputs!$C$35))</f>
        <v/>
      </c>
      <c r="R1445" s="54">
        <f>IF($B1445=0,NA(),IF(Inputs!$B$27&lt;&gt;"Yes",NA(),Inputs!$D$27*Inputs!$C$35))</f>
        <v/>
      </c>
      <c r="S1445" s="54">
        <f>IF($B1445=0,NA(),IF(Inputs!$B$28&lt;&gt;"Yes",NA(),Inputs!$D$28*Inputs!$C$35))</f>
        <v/>
      </c>
      <c r="T1445" s="54">
        <f>IF($B1445=0,NA(),IF(Inputs!$B$29&lt;&gt;"Yes",NA(),Inputs!$D$29*Inputs!$C$35))</f>
        <v/>
      </c>
      <c r="AD1445">
        <f>IF($B1445=0,0,IF(Inputs!$B$6="",0,COUNTIFS(Data!$A$10:$A$3209,"&gt;="&amp;$A1445,Data!$A$10:$A$3209,"&lt;"&amp;$A1445+1)))</f>
        <v/>
      </c>
      <c r="AE1445">
        <f>IF($B1445=0,0,IF(Inputs!$B$7="",0,COUNTIFS(Data!$E$10:$E$3209,"&gt;="&amp;$A1445,Data!$E$10:$E$3209,"&lt;"&amp;$A1445+1)))</f>
        <v/>
      </c>
      <c r="AF1445">
        <f>IF($B1445=0,0,IF(Inputs!$B$8="",0,COUNTIFS(Data!$I$10:$I$3209,"&gt;="&amp;$A1445,Data!$I$10:$I$3209,"&lt;"&amp;$A1445+1)))</f>
        <v/>
      </c>
      <c r="AG1445">
        <f>IF($B1445=0,0,IF(Inputs!$B$9="",0,COUNTIFS(Data!$M$10:$M$3209,"&gt;="&amp;$A1445,Data!$M$10:$M$3209,"&lt;"&amp;$A1445+1)))</f>
        <v/>
      </c>
      <c r="AH1445">
        <f>IF($B1445=0,0,IF(Inputs!$B$10="",0,COUNTIFS(Data!$Q$10:$Q$3209,"&gt;="&amp;$A1445,Data!$Q$10:$Q$3209,"&lt;"&amp;$A1445+1)))</f>
        <v/>
      </c>
    </row>
    <row r="1446">
      <c r="A1446" s="55">
        <f>MIN(Inputs!$C$15,$A1445+IF(WEEKDAY($A1445,2)=5,3,1))</f>
        <v/>
      </c>
      <c r="B1446">
        <f>IF($A1446&gt;$A1445,1,0)</f>
        <v/>
      </c>
      <c r="C1446" s="56">
        <f>IF($B1446=0,"",IF(Inputs!$B$6="","",IF($AD1446=0,C1445,SUMIFS(Data!$B$10:$B$3209,Data!$A$10:$A$3209,"&gt;="&amp;$A1446,Data!$A$10:$A$3209,"&lt;"&amp;$A1446+1)/$AD1446)))</f>
        <v/>
      </c>
      <c r="D1446" s="56">
        <f>IF($B1446=0,"",IF(Inputs!$B$7="","",IF($AE1446=0,D1445,SUMIFS(Data!$F$10:$F$3209,Data!$E$10:$E$3209,"&gt;="&amp;$A1446,Data!$E$10:$E$3209,"&lt;"&amp;$A1446+1)/$AE1446)))</f>
        <v/>
      </c>
      <c r="E1446" s="56">
        <f>IF($B1446=0,"",IF(Inputs!$B$8="","",IF($AF1446=0,E1445,SUMIFS(Data!$J$10:$J$3209,Data!$I$10:$I$3209,"&gt;="&amp;$A1446,Data!$I$10:$I$3209,"&lt;"&amp;$A1446+1)/$AF1446)))</f>
        <v/>
      </c>
      <c r="F1446" s="56">
        <f>IF($B1446=0,"",IF(Inputs!$B$9="","",IF($AG1446=0,F1445,SUMIFS(Data!$N$10:$N$3209,Data!$M$10:$M$3209,"&gt;="&amp;$A1446,Data!$M$10:$M$3209,"&lt;"&amp;$A1446+1)/$AG1446)))</f>
        <v/>
      </c>
      <c r="G1446" s="56">
        <f>IF($B1446=0,"",IF(Inputs!$B$10="","",IF($AH1446=0,G1445,SUMIFS(Data!$R$10:$R$3209,Data!$Q$10:$Q$3209,"&gt;="&amp;$A1446,Data!$Q$10:$Q$3209,"&lt;"&amp;$A1446+1)/$AH1446)))</f>
        <v/>
      </c>
      <c r="I1446" s="54">
        <f>IF($B1446=0,NA(),IF($C1446="",NA(),IF(C$8="",NA(),IF(N(C$8)=0,NA(),IF(Inputs!$C$17="Rebased to 100",$C1446/C$8*100,$C1446)))))</f>
        <v/>
      </c>
      <c r="J1446" s="54">
        <f>IF($B1446=0,NA(),IF($D1446="",NA(),IF(D$8="",NA(),IF(N(D$8)=0,NA(),IF(Inputs!$C$17="Rebased to 100",$D1446/D$8*100,$D1446)))))</f>
        <v/>
      </c>
      <c r="K1446" s="54">
        <f>IF($B1446=0,NA(),IF($E1446="",NA(),IF(E$8="",NA(),IF(N(E$8)=0,NA(),IF(Inputs!$C$17="Rebased to 100",$E1446/E$8*100,$E1446)))))</f>
        <v/>
      </c>
      <c r="L1446" s="54">
        <f>IF($B1446=0,NA(),IF($F1446="",NA(),IF(F$8="",NA(),IF(N(F$8)=0,NA(),IF(Inputs!$C$17="Rebased to 100",$F1446/F$8*100,$F1446)))))</f>
        <v/>
      </c>
      <c r="M1446" s="54">
        <f>IF($B1446=0,NA(),IF($G1446="",NA(),IF(G$8="",NA(),IF(N(G$8)=0,NA(),IF(Inputs!$C$17="Rebased to 100",$G1446/G$8*100,$G1446)))))</f>
        <v/>
      </c>
      <c r="N1446" s="54">
        <f>IF($B1446=0,NA(),IF(Inputs!$C$18&lt;&gt;"Yes",NA(),IF(COUNT(I1446,J1446,K1446,L1446,M1446)=0,NA(),MIN(I1446,J1446,K1446,L1446,M1446))))</f>
        <v/>
      </c>
      <c r="O1446" s="54">
        <f>IF($B1446=0,NA(),IF(Inputs!$B$24&lt;&gt;"Yes",NA(),Inputs!$D$24*Inputs!$C$35))</f>
        <v/>
      </c>
      <c r="P1446" s="54">
        <f>IF($B1446=0,NA(),IF(Inputs!$B$25&lt;&gt;"Yes",NA(),Inputs!$D$25*Inputs!$C$35))</f>
        <v/>
      </c>
      <c r="Q1446" s="54">
        <f>IF($B1446=0,NA(),IF(Inputs!$B$26&lt;&gt;"Yes",NA(),Inputs!$D$26*Inputs!$C$35))</f>
        <v/>
      </c>
      <c r="R1446" s="54">
        <f>IF($B1446=0,NA(),IF(Inputs!$B$27&lt;&gt;"Yes",NA(),Inputs!$D$27*Inputs!$C$35))</f>
        <v/>
      </c>
      <c r="S1446" s="54">
        <f>IF($B1446=0,NA(),IF(Inputs!$B$28&lt;&gt;"Yes",NA(),Inputs!$D$28*Inputs!$C$35))</f>
        <v/>
      </c>
      <c r="T1446" s="54">
        <f>IF($B1446=0,NA(),IF(Inputs!$B$29&lt;&gt;"Yes",NA(),Inputs!$D$29*Inputs!$C$35))</f>
        <v/>
      </c>
      <c r="AD1446">
        <f>IF($B1446=0,0,IF(Inputs!$B$6="",0,COUNTIFS(Data!$A$10:$A$3209,"&gt;="&amp;$A1446,Data!$A$10:$A$3209,"&lt;"&amp;$A1446+1)))</f>
        <v/>
      </c>
      <c r="AE1446">
        <f>IF($B1446=0,0,IF(Inputs!$B$7="",0,COUNTIFS(Data!$E$10:$E$3209,"&gt;="&amp;$A1446,Data!$E$10:$E$3209,"&lt;"&amp;$A1446+1)))</f>
        <v/>
      </c>
      <c r="AF1446">
        <f>IF($B1446=0,0,IF(Inputs!$B$8="",0,COUNTIFS(Data!$I$10:$I$3209,"&gt;="&amp;$A1446,Data!$I$10:$I$3209,"&lt;"&amp;$A1446+1)))</f>
        <v/>
      </c>
      <c r="AG1446">
        <f>IF($B1446=0,0,IF(Inputs!$B$9="",0,COUNTIFS(Data!$M$10:$M$3209,"&gt;="&amp;$A1446,Data!$M$10:$M$3209,"&lt;"&amp;$A1446+1)))</f>
        <v/>
      </c>
      <c r="AH1446">
        <f>IF($B1446=0,0,IF(Inputs!$B$10="",0,COUNTIFS(Data!$Q$10:$Q$3209,"&gt;="&amp;$A1446,Data!$Q$10:$Q$3209,"&lt;"&amp;$A1446+1)))</f>
        <v/>
      </c>
    </row>
    <row r="1447">
      <c r="A1447" s="55">
        <f>MIN(Inputs!$C$15,$A1446+IF(WEEKDAY($A1446,2)=5,3,1))</f>
        <v/>
      </c>
      <c r="B1447">
        <f>IF($A1447&gt;$A1446,1,0)</f>
        <v/>
      </c>
      <c r="C1447" s="56">
        <f>IF($B1447=0,"",IF(Inputs!$B$6="","",IF($AD1447=0,C1446,SUMIFS(Data!$B$10:$B$3209,Data!$A$10:$A$3209,"&gt;="&amp;$A1447,Data!$A$10:$A$3209,"&lt;"&amp;$A1447+1)/$AD1447)))</f>
        <v/>
      </c>
      <c r="D1447" s="56">
        <f>IF($B1447=0,"",IF(Inputs!$B$7="","",IF($AE1447=0,D1446,SUMIFS(Data!$F$10:$F$3209,Data!$E$10:$E$3209,"&gt;="&amp;$A1447,Data!$E$10:$E$3209,"&lt;"&amp;$A1447+1)/$AE1447)))</f>
        <v/>
      </c>
      <c r="E1447" s="56">
        <f>IF($B1447=0,"",IF(Inputs!$B$8="","",IF($AF1447=0,E1446,SUMIFS(Data!$J$10:$J$3209,Data!$I$10:$I$3209,"&gt;="&amp;$A1447,Data!$I$10:$I$3209,"&lt;"&amp;$A1447+1)/$AF1447)))</f>
        <v/>
      </c>
      <c r="F1447" s="56">
        <f>IF($B1447=0,"",IF(Inputs!$B$9="","",IF($AG1447=0,F1446,SUMIFS(Data!$N$10:$N$3209,Data!$M$10:$M$3209,"&gt;="&amp;$A1447,Data!$M$10:$M$3209,"&lt;"&amp;$A1447+1)/$AG1447)))</f>
        <v/>
      </c>
      <c r="G1447" s="56">
        <f>IF($B1447=0,"",IF(Inputs!$B$10="","",IF($AH1447=0,G1446,SUMIFS(Data!$R$10:$R$3209,Data!$Q$10:$Q$3209,"&gt;="&amp;$A1447,Data!$Q$10:$Q$3209,"&lt;"&amp;$A1447+1)/$AH1447)))</f>
        <v/>
      </c>
      <c r="I1447" s="54">
        <f>IF($B1447=0,NA(),IF($C1447="",NA(),IF(C$8="",NA(),IF(N(C$8)=0,NA(),IF(Inputs!$C$17="Rebased to 100",$C1447/C$8*100,$C1447)))))</f>
        <v/>
      </c>
      <c r="J1447" s="54">
        <f>IF($B1447=0,NA(),IF($D1447="",NA(),IF(D$8="",NA(),IF(N(D$8)=0,NA(),IF(Inputs!$C$17="Rebased to 100",$D1447/D$8*100,$D1447)))))</f>
        <v/>
      </c>
      <c r="K1447" s="54">
        <f>IF($B1447=0,NA(),IF($E1447="",NA(),IF(E$8="",NA(),IF(N(E$8)=0,NA(),IF(Inputs!$C$17="Rebased to 100",$E1447/E$8*100,$E1447)))))</f>
        <v/>
      </c>
      <c r="L1447" s="54">
        <f>IF($B1447=0,NA(),IF($F1447="",NA(),IF(F$8="",NA(),IF(N(F$8)=0,NA(),IF(Inputs!$C$17="Rebased to 100",$F1447/F$8*100,$F1447)))))</f>
        <v/>
      </c>
      <c r="M1447" s="54">
        <f>IF($B1447=0,NA(),IF($G1447="",NA(),IF(G$8="",NA(),IF(N(G$8)=0,NA(),IF(Inputs!$C$17="Rebased to 100",$G1447/G$8*100,$G1447)))))</f>
        <v/>
      </c>
      <c r="N1447" s="54">
        <f>IF($B1447=0,NA(),IF(Inputs!$C$18&lt;&gt;"Yes",NA(),IF(COUNT(I1447,J1447,K1447,L1447,M1447)=0,NA(),MIN(I1447,J1447,K1447,L1447,M1447))))</f>
        <v/>
      </c>
      <c r="O1447" s="54">
        <f>IF($B1447=0,NA(),IF(Inputs!$B$24&lt;&gt;"Yes",NA(),Inputs!$D$24*Inputs!$C$35))</f>
        <v/>
      </c>
      <c r="P1447" s="54">
        <f>IF($B1447=0,NA(),IF(Inputs!$B$25&lt;&gt;"Yes",NA(),Inputs!$D$25*Inputs!$C$35))</f>
        <v/>
      </c>
      <c r="Q1447" s="54">
        <f>IF($B1447=0,NA(),IF(Inputs!$B$26&lt;&gt;"Yes",NA(),Inputs!$D$26*Inputs!$C$35))</f>
        <v/>
      </c>
      <c r="R1447" s="54">
        <f>IF($B1447=0,NA(),IF(Inputs!$B$27&lt;&gt;"Yes",NA(),Inputs!$D$27*Inputs!$C$35))</f>
        <v/>
      </c>
      <c r="S1447" s="54">
        <f>IF($B1447=0,NA(),IF(Inputs!$B$28&lt;&gt;"Yes",NA(),Inputs!$D$28*Inputs!$C$35))</f>
        <v/>
      </c>
      <c r="T1447" s="54">
        <f>IF($B1447=0,NA(),IF(Inputs!$B$29&lt;&gt;"Yes",NA(),Inputs!$D$29*Inputs!$C$35))</f>
        <v/>
      </c>
      <c r="AD1447">
        <f>IF($B1447=0,0,IF(Inputs!$B$6="",0,COUNTIFS(Data!$A$10:$A$3209,"&gt;="&amp;$A1447,Data!$A$10:$A$3209,"&lt;"&amp;$A1447+1)))</f>
        <v/>
      </c>
      <c r="AE1447">
        <f>IF($B1447=0,0,IF(Inputs!$B$7="",0,COUNTIFS(Data!$E$10:$E$3209,"&gt;="&amp;$A1447,Data!$E$10:$E$3209,"&lt;"&amp;$A1447+1)))</f>
        <v/>
      </c>
      <c r="AF1447">
        <f>IF($B1447=0,0,IF(Inputs!$B$8="",0,COUNTIFS(Data!$I$10:$I$3209,"&gt;="&amp;$A1447,Data!$I$10:$I$3209,"&lt;"&amp;$A1447+1)))</f>
        <v/>
      </c>
      <c r="AG1447">
        <f>IF($B1447=0,0,IF(Inputs!$B$9="",0,COUNTIFS(Data!$M$10:$M$3209,"&gt;="&amp;$A1447,Data!$M$10:$M$3209,"&lt;"&amp;$A1447+1)))</f>
        <v/>
      </c>
      <c r="AH1447">
        <f>IF($B1447=0,0,IF(Inputs!$B$10="",0,COUNTIFS(Data!$Q$10:$Q$3209,"&gt;="&amp;$A1447,Data!$Q$10:$Q$3209,"&lt;"&amp;$A1447+1)))</f>
        <v/>
      </c>
    </row>
    <row r="1448">
      <c r="A1448" s="55">
        <f>MIN(Inputs!$C$15,$A1447+IF(WEEKDAY($A1447,2)=5,3,1))</f>
        <v/>
      </c>
      <c r="B1448">
        <f>IF($A1448&gt;$A1447,1,0)</f>
        <v/>
      </c>
      <c r="C1448" s="56">
        <f>IF($B1448=0,"",IF(Inputs!$B$6="","",IF($AD1448=0,C1447,SUMIFS(Data!$B$10:$B$3209,Data!$A$10:$A$3209,"&gt;="&amp;$A1448,Data!$A$10:$A$3209,"&lt;"&amp;$A1448+1)/$AD1448)))</f>
        <v/>
      </c>
      <c r="D1448" s="56">
        <f>IF($B1448=0,"",IF(Inputs!$B$7="","",IF($AE1448=0,D1447,SUMIFS(Data!$F$10:$F$3209,Data!$E$10:$E$3209,"&gt;="&amp;$A1448,Data!$E$10:$E$3209,"&lt;"&amp;$A1448+1)/$AE1448)))</f>
        <v/>
      </c>
      <c r="E1448" s="56">
        <f>IF($B1448=0,"",IF(Inputs!$B$8="","",IF($AF1448=0,E1447,SUMIFS(Data!$J$10:$J$3209,Data!$I$10:$I$3209,"&gt;="&amp;$A1448,Data!$I$10:$I$3209,"&lt;"&amp;$A1448+1)/$AF1448)))</f>
        <v/>
      </c>
      <c r="F1448" s="56">
        <f>IF($B1448=0,"",IF(Inputs!$B$9="","",IF($AG1448=0,F1447,SUMIFS(Data!$N$10:$N$3209,Data!$M$10:$M$3209,"&gt;="&amp;$A1448,Data!$M$10:$M$3209,"&lt;"&amp;$A1448+1)/$AG1448)))</f>
        <v/>
      </c>
      <c r="G1448" s="56">
        <f>IF($B1448=0,"",IF(Inputs!$B$10="","",IF($AH1448=0,G1447,SUMIFS(Data!$R$10:$R$3209,Data!$Q$10:$Q$3209,"&gt;="&amp;$A1448,Data!$Q$10:$Q$3209,"&lt;"&amp;$A1448+1)/$AH1448)))</f>
        <v/>
      </c>
      <c r="I1448" s="54">
        <f>IF($B1448=0,NA(),IF($C1448="",NA(),IF(C$8="",NA(),IF(N(C$8)=0,NA(),IF(Inputs!$C$17="Rebased to 100",$C1448/C$8*100,$C1448)))))</f>
        <v/>
      </c>
      <c r="J1448" s="54">
        <f>IF($B1448=0,NA(),IF($D1448="",NA(),IF(D$8="",NA(),IF(N(D$8)=0,NA(),IF(Inputs!$C$17="Rebased to 100",$D1448/D$8*100,$D1448)))))</f>
        <v/>
      </c>
      <c r="K1448" s="54">
        <f>IF($B1448=0,NA(),IF($E1448="",NA(),IF(E$8="",NA(),IF(N(E$8)=0,NA(),IF(Inputs!$C$17="Rebased to 100",$E1448/E$8*100,$E1448)))))</f>
        <v/>
      </c>
      <c r="L1448" s="54">
        <f>IF($B1448=0,NA(),IF($F1448="",NA(),IF(F$8="",NA(),IF(N(F$8)=0,NA(),IF(Inputs!$C$17="Rebased to 100",$F1448/F$8*100,$F1448)))))</f>
        <v/>
      </c>
      <c r="M1448" s="54">
        <f>IF($B1448=0,NA(),IF($G1448="",NA(),IF(G$8="",NA(),IF(N(G$8)=0,NA(),IF(Inputs!$C$17="Rebased to 100",$G1448/G$8*100,$G1448)))))</f>
        <v/>
      </c>
      <c r="N1448" s="54">
        <f>IF($B1448=0,NA(),IF(Inputs!$C$18&lt;&gt;"Yes",NA(),IF(COUNT(I1448,J1448,K1448,L1448,M1448)=0,NA(),MIN(I1448,J1448,K1448,L1448,M1448))))</f>
        <v/>
      </c>
      <c r="O1448" s="54">
        <f>IF($B1448=0,NA(),IF(Inputs!$B$24&lt;&gt;"Yes",NA(),Inputs!$D$24*Inputs!$C$35))</f>
        <v/>
      </c>
      <c r="P1448" s="54">
        <f>IF($B1448=0,NA(),IF(Inputs!$B$25&lt;&gt;"Yes",NA(),Inputs!$D$25*Inputs!$C$35))</f>
        <v/>
      </c>
      <c r="Q1448" s="54">
        <f>IF($B1448=0,NA(),IF(Inputs!$B$26&lt;&gt;"Yes",NA(),Inputs!$D$26*Inputs!$C$35))</f>
        <v/>
      </c>
      <c r="R1448" s="54">
        <f>IF($B1448=0,NA(),IF(Inputs!$B$27&lt;&gt;"Yes",NA(),Inputs!$D$27*Inputs!$C$35))</f>
        <v/>
      </c>
      <c r="S1448" s="54">
        <f>IF($B1448=0,NA(),IF(Inputs!$B$28&lt;&gt;"Yes",NA(),Inputs!$D$28*Inputs!$C$35))</f>
        <v/>
      </c>
      <c r="T1448" s="54">
        <f>IF($B1448=0,NA(),IF(Inputs!$B$29&lt;&gt;"Yes",NA(),Inputs!$D$29*Inputs!$C$35))</f>
        <v/>
      </c>
      <c r="AD1448">
        <f>IF($B1448=0,0,IF(Inputs!$B$6="",0,COUNTIFS(Data!$A$10:$A$3209,"&gt;="&amp;$A1448,Data!$A$10:$A$3209,"&lt;"&amp;$A1448+1)))</f>
        <v/>
      </c>
      <c r="AE1448">
        <f>IF($B1448=0,0,IF(Inputs!$B$7="",0,COUNTIFS(Data!$E$10:$E$3209,"&gt;="&amp;$A1448,Data!$E$10:$E$3209,"&lt;"&amp;$A1448+1)))</f>
        <v/>
      </c>
      <c r="AF1448">
        <f>IF($B1448=0,0,IF(Inputs!$B$8="",0,COUNTIFS(Data!$I$10:$I$3209,"&gt;="&amp;$A1448,Data!$I$10:$I$3209,"&lt;"&amp;$A1448+1)))</f>
        <v/>
      </c>
      <c r="AG1448">
        <f>IF($B1448=0,0,IF(Inputs!$B$9="",0,COUNTIFS(Data!$M$10:$M$3209,"&gt;="&amp;$A1448,Data!$M$10:$M$3209,"&lt;"&amp;$A1448+1)))</f>
        <v/>
      </c>
      <c r="AH1448">
        <f>IF($B1448=0,0,IF(Inputs!$B$10="",0,COUNTIFS(Data!$Q$10:$Q$3209,"&gt;="&amp;$A1448,Data!$Q$10:$Q$3209,"&lt;"&amp;$A1448+1)))</f>
        <v/>
      </c>
    </row>
    <row r="1449">
      <c r="A1449" s="55">
        <f>MIN(Inputs!$C$15,$A1448+IF(WEEKDAY($A1448,2)=5,3,1))</f>
        <v/>
      </c>
      <c r="B1449">
        <f>IF($A1449&gt;$A1448,1,0)</f>
        <v/>
      </c>
      <c r="C1449" s="56">
        <f>IF($B1449=0,"",IF(Inputs!$B$6="","",IF($AD1449=0,C1448,SUMIFS(Data!$B$10:$B$3209,Data!$A$10:$A$3209,"&gt;="&amp;$A1449,Data!$A$10:$A$3209,"&lt;"&amp;$A1449+1)/$AD1449)))</f>
        <v/>
      </c>
      <c r="D1449" s="56">
        <f>IF($B1449=0,"",IF(Inputs!$B$7="","",IF($AE1449=0,D1448,SUMIFS(Data!$F$10:$F$3209,Data!$E$10:$E$3209,"&gt;="&amp;$A1449,Data!$E$10:$E$3209,"&lt;"&amp;$A1449+1)/$AE1449)))</f>
        <v/>
      </c>
      <c r="E1449" s="56">
        <f>IF($B1449=0,"",IF(Inputs!$B$8="","",IF($AF1449=0,E1448,SUMIFS(Data!$J$10:$J$3209,Data!$I$10:$I$3209,"&gt;="&amp;$A1449,Data!$I$10:$I$3209,"&lt;"&amp;$A1449+1)/$AF1449)))</f>
        <v/>
      </c>
      <c r="F1449" s="56">
        <f>IF($B1449=0,"",IF(Inputs!$B$9="","",IF($AG1449=0,F1448,SUMIFS(Data!$N$10:$N$3209,Data!$M$10:$M$3209,"&gt;="&amp;$A1449,Data!$M$10:$M$3209,"&lt;"&amp;$A1449+1)/$AG1449)))</f>
        <v/>
      </c>
      <c r="G1449" s="56">
        <f>IF($B1449=0,"",IF(Inputs!$B$10="","",IF($AH1449=0,G1448,SUMIFS(Data!$R$10:$R$3209,Data!$Q$10:$Q$3209,"&gt;="&amp;$A1449,Data!$Q$10:$Q$3209,"&lt;"&amp;$A1449+1)/$AH1449)))</f>
        <v/>
      </c>
      <c r="I1449" s="54">
        <f>IF($B1449=0,NA(),IF($C1449="",NA(),IF(C$8="",NA(),IF(N(C$8)=0,NA(),IF(Inputs!$C$17="Rebased to 100",$C1449/C$8*100,$C1449)))))</f>
        <v/>
      </c>
      <c r="J1449" s="54">
        <f>IF($B1449=0,NA(),IF($D1449="",NA(),IF(D$8="",NA(),IF(N(D$8)=0,NA(),IF(Inputs!$C$17="Rebased to 100",$D1449/D$8*100,$D1449)))))</f>
        <v/>
      </c>
      <c r="K1449" s="54">
        <f>IF($B1449=0,NA(),IF($E1449="",NA(),IF(E$8="",NA(),IF(N(E$8)=0,NA(),IF(Inputs!$C$17="Rebased to 100",$E1449/E$8*100,$E1449)))))</f>
        <v/>
      </c>
      <c r="L1449" s="54">
        <f>IF($B1449=0,NA(),IF($F1449="",NA(),IF(F$8="",NA(),IF(N(F$8)=0,NA(),IF(Inputs!$C$17="Rebased to 100",$F1449/F$8*100,$F1449)))))</f>
        <v/>
      </c>
      <c r="M1449" s="54">
        <f>IF($B1449=0,NA(),IF($G1449="",NA(),IF(G$8="",NA(),IF(N(G$8)=0,NA(),IF(Inputs!$C$17="Rebased to 100",$G1449/G$8*100,$G1449)))))</f>
        <v/>
      </c>
      <c r="N1449" s="54">
        <f>IF($B1449=0,NA(),IF(Inputs!$C$18&lt;&gt;"Yes",NA(),IF(COUNT(I1449,J1449,K1449,L1449,M1449)=0,NA(),MIN(I1449,J1449,K1449,L1449,M1449))))</f>
        <v/>
      </c>
      <c r="O1449" s="54">
        <f>IF($B1449=0,NA(),IF(Inputs!$B$24&lt;&gt;"Yes",NA(),Inputs!$D$24*Inputs!$C$35))</f>
        <v/>
      </c>
      <c r="P1449" s="54">
        <f>IF($B1449=0,NA(),IF(Inputs!$B$25&lt;&gt;"Yes",NA(),Inputs!$D$25*Inputs!$C$35))</f>
        <v/>
      </c>
      <c r="Q1449" s="54">
        <f>IF($B1449=0,NA(),IF(Inputs!$B$26&lt;&gt;"Yes",NA(),Inputs!$D$26*Inputs!$C$35))</f>
        <v/>
      </c>
      <c r="R1449" s="54">
        <f>IF($B1449=0,NA(),IF(Inputs!$B$27&lt;&gt;"Yes",NA(),Inputs!$D$27*Inputs!$C$35))</f>
        <v/>
      </c>
      <c r="S1449" s="54">
        <f>IF($B1449=0,NA(),IF(Inputs!$B$28&lt;&gt;"Yes",NA(),Inputs!$D$28*Inputs!$C$35))</f>
        <v/>
      </c>
      <c r="T1449" s="54">
        <f>IF($B1449=0,NA(),IF(Inputs!$B$29&lt;&gt;"Yes",NA(),Inputs!$D$29*Inputs!$C$35))</f>
        <v/>
      </c>
      <c r="AD1449">
        <f>IF($B1449=0,0,IF(Inputs!$B$6="",0,COUNTIFS(Data!$A$10:$A$3209,"&gt;="&amp;$A1449,Data!$A$10:$A$3209,"&lt;"&amp;$A1449+1)))</f>
        <v/>
      </c>
      <c r="AE1449">
        <f>IF($B1449=0,0,IF(Inputs!$B$7="",0,COUNTIFS(Data!$E$10:$E$3209,"&gt;="&amp;$A1449,Data!$E$10:$E$3209,"&lt;"&amp;$A1449+1)))</f>
        <v/>
      </c>
      <c r="AF1449">
        <f>IF($B1449=0,0,IF(Inputs!$B$8="",0,COUNTIFS(Data!$I$10:$I$3209,"&gt;="&amp;$A1449,Data!$I$10:$I$3209,"&lt;"&amp;$A1449+1)))</f>
        <v/>
      </c>
      <c r="AG1449">
        <f>IF($B1449=0,0,IF(Inputs!$B$9="",0,COUNTIFS(Data!$M$10:$M$3209,"&gt;="&amp;$A1449,Data!$M$10:$M$3209,"&lt;"&amp;$A1449+1)))</f>
        <v/>
      </c>
      <c r="AH1449">
        <f>IF($B1449=0,0,IF(Inputs!$B$10="",0,COUNTIFS(Data!$Q$10:$Q$3209,"&gt;="&amp;$A1449,Data!$Q$10:$Q$3209,"&lt;"&amp;$A1449+1)))</f>
        <v/>
      </c>
    </row>
    <row r="1450">
      <c r="A1450" s="55">
        <f>MIN(Inputs!$C$15,$A1449+IF(WEEKDAY($A1449,2)=5,3,1))</f>
        <v/>
      </c>
      <c r="B1450">
        <f>IF($A1450&gt;$A1449,1,0)</f>
        <v/>
      </c>
      <c r="C1450" s="56">
        <f>IF($B1450=0,"",IF(Inputs!$B$6="","",IF($AD1450=0,C1449,SUMIFS(Data!$B$10:$B$3209,Data!$A$10:$A$3209,"&gt;="&amp;$A1450,Data!$A$10:$A$3209,"&lt;"&amp;$A1450+1)/$AD1450)))</f>
        <v/>
      </c>
      <c r="D1450" s="56">
        <f>IF($B1450=0,"",IF(Inputs!$B$7="","",IF($AE1450=0,D1449,SUMIFS(Data!$F$10:$F$3209,Data!$E$10:$E$3209,"&gt;="&amp;$A1450,Data!$E$10:$E$3209,"&lt;"&amp;$A1450+1)/$AE1450)))</f>
        <v/>
      </c>
      <c r="E1450" s="56">
        <f>IF($B1450=0,"",IF(Inputs!$B$8="","",IF($AF1450=0,E1449,SUMIFS(Data!$J$10:$J$3209,Data!$I$10:$I$3209,"&gt;="&amp;$A1450,Data!$I$10:$I$3209,"&lt;"&amp;$A1450+1)/$AF1450)))</f>
        <v/>
      </c>
      <c r="F1450" s="56">
        <f>IF($B1450=0,"",IF(Inputs!$B$9="","",IF($AG1450=0,F1449,SUMIFS(Data!$N$10:$N$3209,Data!$M$10:$M$3209,"&gt;="&amp;$A1450,Data!$M$10:$M$3209,"&lt;"&amp;$A1450+1)/$AG1450)))</f>
        <v/>
      </c>
      <c r="G1450" s="56">
        <f>IF($B1450=0,"",IF(Inputs!$B$10="","",IF($AH1450=0,G1449,SUMIFS(Data!$R$10:$R$3209,Data!$Q$10:$Q$3209,"&gt;="&amp;$A1450,Data!$Q$10:$Q$3209,"&lt;"&amp;$A1450+1)/$AH1450)))</f>
        <v/>
      </c>
      <c r="I1450" s="54">
        <f>IF($B1450=0,NA(),IF($C1450="",NA(),IF(C$8="",NA(),IF(N(C$8)=0,NA(),IF(Inputs!$C$17="Rebased to 100",$C1450/C$8*100,$C1450)))))</f>
        <v/>
      </c>
      <c r="J1450" s="54">
        <f>IF($B1450=0,NA(),IF($D1450="",NA(),IF(D$8="",NA(),IF(N(D$8)=0,NA(),IF(Inputs!$C$17="Rebased to 100",$D1450/D$8*100,$D1450)))))</f>
        <v/>
      </c>
      <c r="K1450" s="54">
        <f>IF($B1450=0,NA(),IF($E1450="",NA(),IF(E$8="",NA(),IF(N(E$8)=0,NA(),IF(Inputs!$C$17="Rebased to 100",$E1450/E$8*100,$E1450)))))</f>
        <v/>
      </c>
      <c r="L1450" s="54">
        <f>IF($B1450=0,NA(),IF($F1450="",NA(),IF(F$8="",NA(),IF(N(F$8)=0,NA(),IF(Inputs!$C$17="Rebased to 100",$F1450/F$8*100,$F1450)))))</f>
        <v/>
      </c>
      <c r="M1450" s="54">
        <f>IF($B1450=0,NA(),IF($G1450="",NA(),IF(G$8="",NA(),IF(N(G$8)=0,NA(),IF(Inputs!$C$17="Rebased to 100",$G1450/G$8*100,$G1450)))))</f>
        <v/>
      </c>
      <c r="N1450" s="54">
        <f>IF($B1450=0,NA(),IF(Inputs!$C$18&lt;&gt;"Yes",NA(),IF(COUNT(I1450,J1450,K1450,L1450,M1450)=0,NA(),MIN(I1450,J1450,K1450,L1450,M1450))))</f>
        <v/>
      </c>
      <c r="O1450" s="54">
        <f>IF($B1450=0,NA(),IF(Inputs!$B$24&lt;&gt;"Yes",NA(),Inputs!$D$24*Inputs!$C$35))</f>
        <v/>
      </c>
      <c r="P1450" s="54">
        <f>IF($B1450=0,NA(),IF(Inputs!$B$25&lt;&gt;"Yes",NA(),Inputs!$D$25*Inputs!$C$35))</f>
        <v/>
      </c>
      <c r="Q1450" s="54">
        <f>IF($B1450=0,NA(),IF(Inputs!$B$26&lt;&gt;"Yes",NA(),Inputs!$D$26*Inputs!$C$35))</f>
        <v/>
      </c>
      <c r="R1450" s="54">
        <f>IF($B1450=0,NA(),IF(Inputs!$B$27&lt;&gt;"Yes",NA(),Inputs!$D$27*Inputs!$C$35))</f>
        <v/>
      </c>
      <c r="S1450" s="54">
        <f>IF($B1450=0,NA(),IF(Inputs!$B$28&lt;&gt;"Yes",NA(),Inputs!$D$28*Inputs!$C$35))</f>
        <v/>
      </c>
      <c r="T1450" s="54">
        <f>IF($B1450=0,NA(),IF(Inputs!$B$29&lt;&gt;"Yes",NA(),Inputs!$D$29*Inputs!$C$35))</f>
        <v/>
      </c>
      <c r="AD1450">
        <f>IF($B1450=0,0,IF(Inputs!$B$6="",0,COUNTIFS(Data!$A$10:$A$3209,"&gt;="&amp;$A1450,Data!$A$10:$A$3209,"&lt;"&amp;$A1450+1)))</f>
        <v/>
      </c>
      <c r="AE1450">
        <f>IF($B1450=0,0,IF(Inputs!$B$7="",0,COUNTIFS(Data!$E$10:$E$3209,"&gt;="&amp;$A1450,Data!$E$10:$E$3209,"&lt;"&amp;$A1450+1)))</f>
        <v/>
      </c>
      <c r="AF1450">
        <f>IF($B1450=0,0,IF(Inputs!$B$8="",0,COUNTIFS(Data!$I$10:$I$3209,"&gt;="&amp;$A1450,Data!$I$10:$I$3209,"&lt;"&amp;$A1450+1)))</f>
        <v/>
      </c>
      <c r="AG1450">
        <f>IF($B1450=0,0,IF(Inputs!$B$9="",0,COUNTIFS(Data!$M$10:$M$3209,"&gt;="&amp;$A1450,Data!$M$10:$M$3209,"&lt;"&amp;$A1450+1)))</f>
        <v/>
      </c>
      <c r="AH1450">
        <f>IF($B1450=0,0,IF(Inputs!$B$10="",0,COUNTIFS(Data!$Q$10:$Q$3209,"&gt;="&amp;$A1450,Data!$Q$10:$Q$3209,"&lt;"&amp;$A1450+1)))</f>
        <v/>
      </c>
    </row>
    <row r="1451">
      <c r="A1451" s="55">
        <f>MIN(Inputs!$C$15,$A1450+IF(WEEKDAY($A1450,2)=5,3,1))</f>
        <v/>
      </c>
      <c r="B1451">
        <f>IF($A1451&gt;$A1450,1,0)</f>
        <v/>
      </c>
      <c r="C1451" s="56">
        <f>IF($B1451=0,"",IF(Inputs!$B$6="","",IF($AD1451=0,C1450,SUMIFS(Data!$B$10:$B$3209,Data!$A$10:$A$3209,"&gt;="&amp;$A1451,Data!$A$10:$A$3209,"&lt;"&amp;$A1451+1)/$AD1451)))</f>
        <v/>
      </c>
      <c r="D1451" s="56">
        <f>IF($B1451=0,"",IF(Inputs!$B$7="","",IF($AE1451=0,D1450,SUMIFS(Data!$F$10:$F$3209,Data!$E$10:$E$3209,"&gt;="&amp;$A1451,Data!$E$10:$E$3209,"&lt;"&amp;$A1451+1)/$AE1451)))</f>
        <v/>
      </c>
      <c r="E1451" s="56">
        <f>IF($B1451=0,"",IF(Inputs!$B$8="","",IF($AF1451=0,E1450,SUMIFS(Data!$J$10:$J$3209,Data!$I$10:$I$3209,"&gt;="&amp;$A1451,Data!$I$10:$I$3209,"&lt;"&amp;$A1451+1)/$AF1451)))</f>
        <v/>
      </c>
      <c r="F1451" s="56">
        <f>IF($B1451=0,"",IF(Inputs!$B$9="","",IF($AG1451=0,F1450,SUMIFS(Data!$N$10:$N$3209,Data!$M$10:$M$3209,"&gt;="&amp;$A1451,Data!$M$10:$M$3209,"&lt;"&amp;$A1451+1)/$AG1451)))</f>
        <v/>
      </c>
      <c r="G1451" s="56">
        <f>IF($B1451=0,"",IF(Inputs!$B$10="","",IF($AH1451=0,G1450,SUMIFS(Data!$R$10:$R$3209,Data!$Q$10:$Q$3209,"&gt;="&amp;$A1451,Data!$Q$10:$Q$3209,"&lt;"&amp;$A1451+1)/$AH1451)))</f>
        <v/>
      </c>
      <c r="I1451" s="54">
        <f>IF($B1451=0,NA(),IF($C1451="",NA(),IF(C$8="",NA(),IF(N(C$8)=0,NA(),IF(Inputs!$C$17="Rebased to 100",$C1451/C$8*100,$C1451)))))</f>
        <v/>
      </c>
      <c r="J1451" s="54">
        <f>IF($B1451=0,NA(),IF($D1451="",NA(),IF(D$8="",NA(),IF(N(D$8)=0,NA(),IF(Inputs!$C$17="Rebased to 100",$D1451/D$8*100,$D1451)))))</f>
        <v/>
      </c>
      <c r="K1451" s="54">
        <f>IF($B1451=0,NA(),IF($E1451="",NA(),IF(E$8="",NA(),IF(N(E$8)=0,NA(),IF(Inputs!$C$17="Rebased to 100",$E1451/E$8*100,$E1451)))))</f>
        <v/>
      </c>
      <c r="L1451" s="54">
        <f>IF($B1451=0,NA(),IF($F1451="",NA(),IF(F$8="",NA(),IF(N(F$8)=0,NA(),IF(Inputs!$C$17="Rebased to 100",$F1451/F$8*100,$F1451)))))</f>
        <v/>
      </c>
      <c r="M1451" s="54">
        <f>IF($B1451=0,NA(),IF($G1451="",NA(),IF(G$8="",NA(),IF(N(G$8)=0,NA(),IF(Inputs!$C$17="Rebased to 100",$G1451/G$8*100,$G1451)))))</f>
        <v/>
      </c>
      <c r="N1451" s="54">
        <f>IF($B1451=0,NA(),IF(Inputs!$C$18&lt;&gt;"Yes",NA(),IF(COUNT(I1451,J1451,K1451,L1451,M1451)=0,NA(),MIN(I1451,J1451,K1451,L1451,M1451))))</f>
        <v/>
      </c>
      <c r="O1451" s="54">
        <f>IF($B1451=0,NA(),IF(Inputs!$B$24&lt;&gt;"Yes",NA(),Inputs!$D$24*Inputs!$C$35))</f>
        <v/>
      </c>
      <c r="P1451" s="54">
        <f>IF($B1451=0,NA(),IF(Inputs!$B$25&lt;&gt;"Yes",NA(),Inputs!$D$25*Inputs!$C$35))</f>
        <v/>
      </c>
      <c r="Q1451" s="54">
        <f>IF($B1451=0,NA(),IF(Inputs!$B$26&lt;&gt;"Yes",NA(),Inputs!$D$26*Inputs!$C$35))</f>
        <v/>
      </c>
      <c r="R1451" s="54">
        <f>IF($B1451=0,NA(),IF(Inputs!$B$27&lt;&gt;"Yes",NA(),Inputs!$D$27*Inputs!$C$35))</f>
        <v/>
      </c>
      <c r="S1451" s="54">
        <f>IF($B1451=0,NA(),IF(Inputs!$B$28&lt;&gt;"Yes",NA(),Inputs!$D$28*Inputs!$C$35))</f>
        <v/>
      </c>
      <c r="T1451" s="54">
        <f>IF($B1451=0,NA(),IF(Inputs!$B$29&lt;&gt;"Yes",NA(),Inputs!$D$29*Inputs!$C$35))</f>
        <v/>
      </c>
      <c r="AD1451">
        <f>IF($B1451=0,0,IF(Inputs!$B$6="",0,COUNTIFS(Data!$A$10:$A$3209,"&gt;="&amp;$A1451,Data!$A$10:$A$3209,"&lt;"&amp;$A1451+1)))</f>
        <v/>
      </c>
      <c r="AE1451">
        <f>IF($B1451=0,0,IF(Inputs!$B$7="",0,COUNTIFS(Data!$E$10:$E$3209,"&gt;="&amp;$A1451,Data!$E$10:$E$3209,"&lt;"&amp;$A1451+1)))</f>
        <v/>
      </c>
      <c r="AF1451">
        <f>IF($B1451=0,0,IF(Inputs!$B$8="",0,COUNTIFS(Data!$I$10:$I$3209,"&gt;="&amp;$A1451,Data!$I$10:$I$3209,"&lt;"&amp;$A1451+1)))</f>
        <v/>
      </c>
      <c r="AG1451">
        <f>IF($B1451=0,0,IF(Inputs!$B$9="",0,COUNTIFS(Data!$M$10:$M$3209,"&gt;="&amp;$A1451,Data!$M$10:$M$3209,"&lt;"&amp;$A1451+1)))</f>
        <v/>
      </c>
      <c r="AH1451">
        <f>IF($B1451=0,0,IF(Inputs!$B$10="",0,COUNTIFS(Data!$Q$10:$Q$3209,"&gt;="&amp;$A1451,Data!$Q$10:$Q$3209,"&lt;"&amp;$A1451+1)))</f>
        <v/>
      </c>
    </row>
    <row r="1452">
      <c r="A1452" s="55">
        <f>MIN(Inputs!$C$15,$A1451+IF(WEEKDAY($A1451,2)=5,3,1))</f>
        <v/>
      </c>
      <c r="B1452">
        <f>IF($A1452&gt;$A1451,1,0)</f>
        <v/>
      </c>
      <c r="C1452" s="56">
        <f>IF($B1452=0,"",IF(Inputs!$B$6="","",IF($AD1452=0,C1451,SUMIFS(Data!$B$10:$B$3209,Data!$A$10:$A$3209,"&gt;="&amp;$A1452,Data!$A$10:$A$3209,"&lt;"&amp;$A1452+1)/$AD1452)))</f>
        <v/>
      </c>
      <c r="D1452" s="56">
        <f>IF($B1452=0,"",IF(Inputs!$B$7="","",IF($AE1452=0,D1451,SUMIFS(Data!$F$10:$F$3209,Data!$E$10:$E$3209,"&gt;="&amp;$A1452,Data!$E$10:$E$3209,"&lt;"&amp;$A1452+1)/$AE1452)))</f>
        <v/>
      </c>
      <c r="E1452" s="56">
        <f>IF($B1452=0,"",IF(Inputs!$B$8="","",IF($AF1452=0,E1451,SUMIFS(Data!$J$10:$J$3209,Data!$I$10:$I$3209,"&gt;="&amp;$A1452,Data!$I$10:$I$3209,"&lt;"&amp;$A1452+1)/$AF1452)))</f>
        <v/>
      </c>
      <c r="F1452" s="56">
        <f>IF($B1452=0,"",IF(Inputs!$B$9="","",IF($AG1452=0,F1451,SUMIFS(Data!$N$10:$N$3209,Data!$M$10:$M$3209,"&gt;="&amp;$A1452,Data!$M$10:$M$3209,"&lt;"&amp;$A1452+1)/$AG1452)))</f>
        <v/>
      </c>
      <c r="G1452" s="56">
        <f>IF($B1452=0,"",IF(Inputs!$B$10="","",IF($AH1452=0,G1451,SUMIFS(Data!$R$10:$R$3209,Data!$Q$10:$Q$3209,"&gt;="&amp;$A1452,Data!$Q$10:$Q$3209,"&lt;"&amp;$A1452+1)/$AH1452)))</f>
        <v/>
      </c>
      <c r="I1452" s="54">
        <f>IF($B1452=0,NA(),IF($C1452="",NA(),IF(C$8="",NA(),IF(N(C$8)=0,NA(),IF(Inputs!$C$17="Rebased to 100",$C1452/C$8*100,$C1452)))))</f>
        <v/>
      </c>
      <c r="J1452" s="54">
        <f>IF($B1452=0,NA(),IF($D1452="",NA(),IF(D$8="",NA(),IF(N(D$8)=0,NA(),IF(Inputs!$C$17="Rebased to 100",$D1452/D$8*100,$D1452)))))</f>
        <v/>
      </c>
      <c r="K1452" s="54">
        <f>IF($B1452=0,NA(),IF($E1452="",NA(),IF(E$8="",NA(),IF(N(E$8)=0,NA(),IF(Inputs!$C$17="Rebased to 100",$E1452/E$8*100,$E1452)))))</f>
        <v/>
      </c>
      <c r="L1452" s="54">
        <f>IF($B1452=0,NA(),IF($F1452="",NA(),IF(F$8="",NA(),IF(N(F$8)=0,NA(),IF(Inputs!$C$17="Rebased to 100",$F1452/F$8*100,$F1452)))))</f>
        <v/>
      </c>
      <c r="M1452" s="54">
        <f>IF($B1452=0,NA(),IF($G1452="",NA(),IF(G$8="",NA(),IF(N(G$8)=0,NA(),IF(Inputs!$C$17="Rebased to 100",$G1452/G$8*100,$G1452)))))</f>
        <v/>
      </c>
      <c r="N1452" s="54">
        <f>IF($B1452=0,NA(),IF(Inputs!$C$18&lt;&gt;"Yes",NA(),IF(COUNT(I1452,J1452,K1452,L1452,M1452)=0,NA(),MIN(I1452,J1452,K1452,L1452,M1452))))</f>
        <v/>
      </c>
      <c r="O1452" s="54">
        <f>IF($B1452=0,NA(),IF(Inputs!$B$24&lt;&gt;"Yes",NA(),Inputs!$D$24*Inputs!$C$35))</f>
        <v/>
      </c>
      <c r="P1452" s="54">
        <f>IF($B1452=0,NA(),IF(Inputs!$B$25&lt;&gt;"Yes",NA(),Inputs!$D$25*Inputs!$C$35))</f>
        <v/>
      </c>
      <c r="Q1452" s="54">
        <f>IF($B1452=0,NA(),IF(Inputs!$B$26&lt;&gt;"Yes",NA(),Inputs!$D$26*Inputs!$C$35))</f>
        <v/>
      </c>
      <c r="R1452" s="54">
        <f>IF($B1452=0,NA(),IF(Inputs!$B$27&lt;&gt;"Yes",NA(),Inputs!$D$27*Inputs!$C$35))</f>
        <v/>
      </c>
      <c r="S1452" s="54">
        <f>IF($B1452=0,NA(),IF(Inputs!$B$28&lt;&gt;"Yes",NA(),Inputs!$D$28*Inputs!$C$35))</f>
        <v/>
      </c>
      <c r="T1452" s="54">
        <f>IF($B1452=0,NA(),IF(Inputs!$B$29&lt;&gt;"Yes",NA(),Inputs!$D$29*Inputs!$C$35))</f>
        <v/>
      </c>
      <c r="AD1452">
        <f>IF($B1452=0,0,IF(Inputs!$B$6="",0,COUNTIFS(Data!$A$10:$A$3209,"&gt;="&amp;$A1452,Data!$A$10:$A$3209,"&lt;"&amp;$A1452+1)))</f>
        <v/>
      </c>
      <c r="AE1452">
        <f>IF($B1452=0,0,IF(Inputs!$B$7="",0,COUNTIFS(Data!$E$10:$E$3209,"&gt;="&amp;$A1452,Data!$E$10:$E$3209,"&lt;"&amp;$A1452+1)))</f>
        <v/>
      </c>
      <c r="AF1452">
        <f>IF($B1452=0,0,IF(Inputs!$B$8="",0,COUNTIFS(Data!$I$10:$I$3209,"&gt;="&amp;$A1452,Data!$I$10:$I$3209,"&lt;"&amp;$A1452+1)))</f>
        <v/>
      </c>
      <c r="AG1452">
        <f>IF($B1452=0,0,IF(Inputs!$B$9="",0,COUNTIFS(Data!$M$10:$M$3209,"&gt;="&amp;$A1452,Data!$M$10:$M$3209,"&lt;"&amp;$A1452+1)))</f>
        <v/>
      </c>
      <c r="AH1452">
        <f>IF($B1452=0,0,IF(Inputs!$B$10="",0,COUNTIFS(Data!$Q$10:$Q$3209,"&gt;="&amp;$A1452,Data!$Q$10:$Q$3209,"&lt;"&amp;$A1452+1)))</f>
        <v/>
      </c>
    </row>
    <row r="1453">
      <c r="A1453" s="55">
        <f>MIN(Inputs!$C$15,$A1452+IF(WEEKDAY($A1452,2)=5,3,1))</f>
        <v/>
      </c>
      <c r="B1453">
        <f>IF($A1453&gt;$A1452,1,0)</f>
        <v/>
      </c>
      <c r="C1453" s="56">
        <f>IF($B1453=0,"",IF(Inputs!$B$6="","",IF($AD1453=0,C1452,SUMIFS(Data!$B$10:$B$3209,Data!$A$10:$A$3209,"&gt;="&amp;$A1453,Data!$A$10:$A$3209,"&lt;"&amp;$A1453+1)/$AD1453)))</f>
        <v/>
      </c>
      <c r="D1453" s="56">
        <f>IF($B1453=0,"",IF(Inputs!$B$7="","",IF($AE1453=0,D1452,SUMIFS(Data!$F$10:$F$3209,Data!$E$10:$E$3209,"&gt;="&amp;$A1453,Data!$E$10:$E$3209,"&lt;"&amp;$A1453+1)/$AE1453)))</f>
        <v/>
      </c>
      <c r="E1453" s="56">
        <f>IF($B1453=0,"",IF(Inputs!$B$8="","",IF($AF1453=0,E1452,SUMIFS(Data!$J$10:$J$3209,Data!$I$10:$I$3209,"&gt;="&amp;$A1453,Data!$I$10:$I$3209,"&lt;"&amp;$A1453+1)/$AF1453)))</f>
        <v/>
      </c>
      <c r="F1453" s="56">
        <f>IF($B1453=0,"",IF(Inputs!$B$9="","",IF($AG1453=0,F1452,SUMIFS(Data!$N$10:$N$3209,Data!$M$10:$M$3209,"&gt;="&amp;$A1453,Data!$M$10:$M$3209,"&lt;"&amp;$A1453+1)/$AG1453)))</f>
        <v/>
      </c>
      <c r="G1453" s="56">
        <f>IF($B1453=0,"",IF(Inputs!$B$10="","",IF($AH1453=0,G1452,SUMIFS(Data!$R$10:$R$3209,Data!$Q$10:$Q$3209,"&gt;="&amp;$A1453,Data!$Q$10:$Q$3209,"&lt;"&amp;$A1453+1)/$AH1453)))</f>
        <v/>
      </c>
      <c r="I1453" s="54">
        <f>IF($B1453=0,NA(),IF($C1453="",NA(),IF(C$8="",NA(),IF(N(C$8)=0,NA(),IF(Inputs!$C$17="Rebased to 100",$C1453/C$8*100,$C1453)))))</f>
        <v/>
      </c>
      <c r="J1453" s="54">
        <f>IF($B1453=0,NA(),IF($D1453="",NA(),IF(D$8="",NA(),IF(N(D$8)=0,NA(),IF(Inputs!$C$17="Rebased to 100",$D1453/D$8*100,$D1453)))))</f>
        <v/>
      </c>
      <c r="K1453" s="54">
        <f>IF($B1453=0,NA(),IF($E1453="",NA(),IF(E$8="",NA(),IF(N(E$8)=0,NA(),IF(Inputs!$C$17="Rebased to 100",$E1453/E$8*100,$E1453)))))</f>
        <v/>
      </c>
      <c r="L1453" s="54">
        <f>IF($B1453=0,NA(),IF($F1453="",NA(),IF(F$8="",NA(),IF(N(F$8)=0,NA(),IF(Inputs!$C$17="Rebased to 100",$F1453/F$8*100,$F1453)))))</f>
        <v/>
      </c>
      <c r="M1453" s="54">
        <f>IF($B1453=0,NA(),IF($G1453="",NA(),IF(G$8="",NA(),IF(N(G$8)=0,NA(),IF(Inputs!$C$17="Rebased to 100",$G1453/G$8*100,$G1453)))))</f>
        <v/>
      </c>
      <c r="N1453" s="54">
        <f>IF($B1453=0,NA(),IF(Inputs!$C$18&lt;&gt;"Yes",NA(),IF(COUNT(I1453,J1453,K1453,L1453,M1453)=0,NA(),MIN(I1453,J1453,K1453,L1453,M1453))))</f>
        <v/>
      </c>
      <c r="O1453" s="54">
        <f>IF($B1453=0,NA(),IF(Inputs!$B$24&lt;&gt;"Yes",NA(),Inputs!$D$24*Inputs!$C$35))</f>
        <v/>
      </c>
      <c r="P1453" s="54">
        <f>IF($B1453=0,NA(),IF(Inputs!$B$25&lt;&gt;"Yes",NA(),Inputs!$D$25*Inputs!$C$35))</f>
        <v/>
      </c>
      <c r="Q1453" s="54">
        <f>IF($B1453=0,NA(),IF(Inputs!$B$26&lt;&gt;"Yes",NA(),Inputs!$D$26*Inputs!$C$35))</f>
        <v/>
      </c>
      <c r="R1453" s="54">
        <f>IF($B1453=0,NA(),IF(Inputs!$B$27&lt;&gt;"Yes",NA(),Inputs!$D$27*Inputs!$C$35))</f>
        <v/>
      </c>
      <c r="S1453" s="54">
        <f>IF($B1453=0,NA(),IF(Inputs!$B$28&lt;&gt;"Yes",NA(),Inputs!$D$28*Inputs!$C$35))</f>
        <v/>
      </c>
      <c r="T1453" s="54">
        <f>IF($B1453=0,NA(),IF(Inputs!$B$29&lt;&gt;"Yes",NA(),Inputs!$D$29*Inputs!$C$35))</f>
        <v/>
      </c>
      <c r="AD1453">
        <f>IF($B1453=0,0,IF(Inputs!$B$6="",0,COUNTIFS(Data!$A$10:$A$3209,"&gt;="&amp;$A1453,Data!$A$10:$A$3209,"&lt;"&amp;$A1453+1)))</f>
        <v/>
      </c>
      <c r="AE1453">
        <f>IF($B1453=0,0,IF(Inputs!$B$7="",0,COUNTIFS(Data!$E$10:$E$3209,"&gt;="&amp;$A1453,Data!$E$10:$E$3209,"&lt;"&amp;$A1453+1)))</f>
        <v/>
      </c>
      <c r="AF1453">
        <f>IF($B1453=0,0,IF(Inputs!$B$8="",0,COUNTIFS(Data!$I$10:$I$3209,"&gt;="&amp;$A1453,Data!$I$10:$I$3209,"&lt;"&amp;$A1453+1)))</f>
        <v/>
      </c>
      <c r="AG1453">
        <f>IF($B1453=0,0,IF(Inputs!$B$9="",0,COUNTIFS(Data!$M$10:$M$3209,"&gt;="&amp;$A1453,Data!$M$10:$M$3209,"&lt;"&amp;$A1453+1)))</f>
        <v/>
      </c>
      <c r="AH1453">
        <f>IF($B1453=0,0,IF(Inputs!$B$10="",0,COUNTIFS(Data!$Q$10:$Q$3209,"&gt;="&amp;$A1453,Data!$Q$10:$Q$3209,"&lt;"&amp;$A1453+1)))</f>
        <v/>
      </c>
    </row>
    <row r="1454">
      <c r="A1454" s="55">
        <f>MIN(Inputs!$C$15,$A1453+IF(WEEKDAY($A1453,2)=5,3,1))</f>
        <v/>
      </c>
      <c r="B1454">
        <f>IF($A1454&gt;$A1453,1,0)</f>
        <v/>
      </c>
      <c r="C1454" s="56">
        <f>IF($B1454=0,"",IF(Inputs!$B$6="","",IF($AD1454=0,C1453,SUMIFS(Data!$B$10:$B$3209,Data!$A$10:$A$3209,"&gt;="&amp;$A1454,Data!$A$10:$A$3209,"&lt;"&amp;$A1454+1)/$AD1454)))</f>
        <v/>
      </c>
      <c r="D1454" s="56">
        <f>IF($B1454=0,"",IF(Inputs!$B$7="","",IF($AE1454=0,D1453,SUMIFS(Data!$F$10:$F$3209,Data!$E$10:$E$3209,"&gt;="&amp;$A1454,Data!$E$10:$E$3209,"&lt;"&amp;$A1454+1)/$AE1454)))</f>
        <v/>
      </c>
      <c r="E1454" s="56">
        <f>IF($B1454=0,"",IF(Inputs!$B$8="","",IF($AF1454=0,E1453,SUMIFS(Data!$J$10:$J$3209,Data!$I$10:$I$3209,"&gt;="&amp;$A1454,Data!$I$10:$I$3209,"&lt;"&amp;$A1454+1)/$AF1454)))</f>
        <v/>
      </c>
      <c r="F1454" s="56">
        <f>IF($B1454=0,"",IF(Inputs!$B$9="","",IF($AG1454=0,F1453,SUMIFS(Data!$N$10:$N$3209,Data!$M$10:$M$3209,"&gt;="&amp;$A1454,Data!$M$10:$M$3209,"&lt;"&amp;$A1454+1)/$AG1454)))</f>
        <v/>
      </c>
      <c r="G1454" s="56">
        <f>IF($B1454=0,"",IF(Inputs!$B$10="","",IF($AH1454=0,G1453,SUMIFS(Data!$R$10:$R$3209,Data!$Q$10:$Q$3209,"&gt;="&amp;$A1454,Data!$Q$10:$Q$3209,"&lt;"&amp;$A1454+1)/$AH1454)))</f>
        <v/>
      </c>
      <c r="I1454" s="54">
        <f>IF($B1454=0,NA(),IF($C1454="",NA(),IF(C$8="",NA(),IF(N(C$8)=0,NA(),IF(Inputs!$C$17="Rebased to 100",$C1454/C$8*100,$C1454)))))</f>
        <v/>
      </c>
      <c r="J1454" s="54">
        <f>IF($B1454=0,NA(),IF($D1454="",NA(),IF(D$8="",NA(),IF(N(D$8)=0,NA(),IF(Inputs!$C$17="Rebased to 100",$D1454/D$8*100,$D1454)))))</f>
        <v/>
      </c>
      <c r="K1454" s="54">
        <f>IF($B1454=0,NA(),IF($E1454="",NA(),IF(E$8="",NA(),IF(N(E$8)=0,NA(),IF(Inputs!$C$17="Rebased to 100",$E1454/E$8*100,$E1454)))))</f>
        <v/>
      </c>
      <c r="L1454" s="54">
        <f>IF($B1454=0,NA(),IF($F1454="",NA(),IF(F$8="",NA(),IF(N(F$8)=0,NA(),IF(Inputs!$C$17="Rebased to 100",$F1454/F$8*100,$F1454)))))</f>
        <v/>
      </c>
      <c r="M1454" s="54">
        <f>IF($B1454=0,NA(),IF($G1454="",NA(),IF(G$8="",NA(),IF(N(G$8)=0,NA(),IF(Inputs!$C$17="Rebased to 100",$G1454/G$8*100,$G1454)))))</f>
        <v/>
      </c>
      <c r="N1454" s="54">
        <f>IF($B1454=0,NA(),IF(Inputs!$C$18&lt;&gt;"Yes",NA(),IF(COUNT(I1454,J1454,K1454,L1454,M1454)=0,NA(),MIN(I1454,J1454,K1454,L1454,M1454))))</f>
        <v/>
      </c>
      <c r="O1454" s="54">
        <f>IF($B1454=0,NA(),IF(Inputs!$B$24&lt;&gt;"Yes",NA(),Inputs!$D$24*Inputs!$C$35))</f>
        <v/>
      </c>
      <c r="P1454" s="54">
        <f>IF($B1454=0,NA(),IF(Inputs!$B$25&lt;&gt;"Yes",NA(),Inputs!$D$25*Inputs!$C$35))</f>
        <v/>
      </c>
      <c r="Q1454" s="54">
        <f>IF($B1454=0,NA(),IF(Inputs!$B$26&lt;&gt;"Yes",NA(),Inputs!$D$26*Inputs!$C$35))</f>
        <v/>
      </c>
      <c r="R1454" s="54">
        <f>IF($B1454=0,NA(),IF(Inputs!$B$27&lt;&gt;"Yes",NA(),Inputs!$D$27*Inputs!$C$35))</f>
        <v/>
      </c>
      <c r="S1454" s="54">
        <f>IF($B1454=0,NA(),IF(Inputs!$B$28&lt;&gt;"Yes",NA(),Inputs!$D$28*Inputs!$C$35))</f>
        <v/>
      </c>
      <c r="T1454" s="54">
        <f>IF($B1454=0,NA(),IF(Inputs!$B$29&lt;&gt;"Yes",NA(),Inputs!$D$29*Inputs!$C$35))</f>
        <v/>
      </c>
      <c r="AD1454">
        <f>IF($B1454=0,0,IF(Inputs!$B$6="",0,COUNTIFS(Data!$A$10:$A$3209,"&gt;="&amp;$A1454,Data!$A$10:$A$3209,"&lt;"&amp;$A1454+1)))</f>
        <v/>
      </c>
      <c r="AE1454">
        <f>IF($B1454=0,0,IF(Inputs!$B$7="",0,COUNTIFS(Data!$E$10:$E$3209,"&gt;="&amp;$A1454,Data!$E$10:$E$3209,"&lt;"&amp;$A1454+1)))</f>
        <v/>
      </c>
      <c r="AF1454">
        <f>IF($B1454=0,0,IF(Inputs!$B$8="",0,COUNTIFS(Data!$I$10:$I$3209,"&gt;="&amp;$A1454,Data!$I$10:$I$3209,"&lt;"&amp;$A1454+1)))</f>
        <v/>
      </c>
      <c r="AG1454">
        <f>IF($B1454=0,0,IF(Inputs!$B$9="",0,COUNTIFS(Data!$M$10:$M$3209,"&gt;="&amp;$A1454,Data!$M$10:$M$3209,"&lt;"&amp;$A1454+1)))</f>
        <v/>
      </c>
      <c r="AH1454">
        <f>IF($B1454=0,0,IF(Inputs!$B$10="",0,COUNTIFS(Data!$Q$10:$Q$3209,"&gt;="&amp;$A1454,Data!$Q$10:$Q$3209,"&lt;"&amp;$A1454+1)))</f>
        <v/>
      </c>
    </row>
    <row r="1455">
      <c r="A1455" s="55">
        <f>MIN(Inputs!$C$15,$A1454+IF(WEEKDAY($A1454,2)=5,3,1))</f>
        <v/>
      </c>
      <c r="B1455">
        <f>IF($A1455&gt;$A1454,1,0)</f>
        <v/>
      </c>
      <c r="C1455" s="56">
        <f>IF($B1455=0,"",IF(Inputs!$B$6="","",IF($AD1455=0,C1454,SUMIFS(Data!$B$10:$B$3209,Data!$A$10:$A$3209,"&gt;="&amp;$A1455,Data!$A$10:$A$3209,"&lt;"&amp;$A1455+1)/$AD1455)))</f>
        <v/>
      </c>
      <c r="D1455" s="56">
        <f>IF($B1455=0,"",IF(Inputs!$B$7="","",IF($AE1455=0,D1454,SUMIFS(Data!$F$10:$F$3209,Data!$E$10:$E$3209,"&gt;="&amp;$A1455,Data!$E$10:$E$3209,"&lt;"&amp;$A1455+1)/$AE1455)))</f>
        <v/>
      </c>
      <c r="E1455" s="56">
        <f>IF($B1455=0,"",IF(Inputs!$B$8="","",IF($AF1455=0,E1454,SUMIFS(Data!$J$10:$J$3209,Data!$I$10:$I$3209,"&gt;="&amp;$A1455,Data!$I$10:$I$3209,"&lt;"&amp;$A1455+1)/$AF1455)))</f>
        <v/>
      </c>
      <c r="F1455" s="56">
        <f>IF($B1455=0,"",IF(Inputs!$B$9="","",IF($AG1455=0,F1454,SUMIFS(Data!$N$10:$N$3209,Data!$M$10:$M$3209,"&gt;="&amp;$A1455,Data!$M$10:$M$3209,"&lt;"&amp;$A1455+1)/$AG1455)))</f>
        <v/>
      </c>
      <c r="G1455" s="56">
        <f>IF($B1455=0,"",IF(Inputs!$B$10="","",IF($AH1455=0,G1454,SUMIFS(Data!$R$10:$R$3209,Data!$Q$10:$Q$3209,"&gt;="&amp;$A1455,Data!$Q$10:$Q$3209,"&lt;"&amp;$A1455+1)/$AH1455)))</f>
        <v/>
      </c>
      <c r="I1455" s="54">
        <f>IF($B1455=0,NA(),IF($C1455="",NA(),IF(C$8="",NA(),IF(N(C$8)=0,NA(),IF(Inputs!$C$17="Rebased to 100",$C1455/C$8*100,$C1455)))))</f>
        <v/>
      </c>
      <c r="J1455" s="54">
        <f>IF($B1455=0,NA(),IF($D1455="",NA(),IF(D$8="",NA(),IF(N(D$8)=0,NA(),IF(Inputs!$C$17="Rebased to 100",$D1455/D$8*100,$D1455)))))</f>
        <v/>
      </c>
      <c r="K1455" s="54">
        <f>IF($B1455=0,NA(),IF($E1455="",NA(),IF(E$8="",NA(),IF(N(E$8)=0,NA(),IF(Inputs!$C$17="Rebased to 100",$E1455/E$8*100,$E1455)))))</f>
        <v/>
      </c>
      <c r="L1455" s="54">
        <f>IF($B1455=0,NA(),IF($F1455="",NA(),IF(F$8="",NA(),IF(N(F$8)=0,NA(),IF(Inputs!$C$17="Rebased to 100",$F1455/F$8*100,$F1455)))))</f>
        <v/>
      </c>
      <c r="M1455" s="54">
        <f>IF($B1455=0,NA(),IF($G1455="",NA(),IF(G$8="",NA(),IF(N(G$8)=0,NA(),IF(Inputs!$C$17="Rebased to 100",$G1455/G$8*100,$G1455)))))</f>
        <v/>
      </c>
      <c r="N1455" s="54">
        <f>IF($B1455=0,NA(),IF(Inputs!$C$18&lt;&gt;"Yes",NA(),IF(COUNT(I1455,J1455,K1455,L1455,M1455)=0,NA(),MIN(I1455,J1455,K1455,L1455,M1455))))</f>
        <v/>
      </c>
      <c r="O1455" s="54">
        <f>IF($B1455=0,NA(),IF(Inputs!$B$24&lt;&gt;"Yes",NA(),Inputs!$D$24*Inputs!$C$35))</f>
        <v/>
      </c>
      <c r="P1455" s="54">
        <f>IF($B1455=0,NA(),IF(Inputs!$B$25&lt;&gt;"Yes",NA(),Inputs!$D$25*Inputs!$C$35))</f>
        <v/>
      </c>
      <c r="Q1455" s="54">
        <f>IF($B1455=0,NA(),IF(Inputs!$B$26&lt;&gt;"Yes",NA(),Inputs!$D$26*Inputs!$C$35))</f>
        <v/>
      </c>
      <c r="R1455" s="54">
        <f>IF($B1455=0,NA(),IF(Inputs!$B$27&lt;&gt;"Yes",NA(),Inputs!$D$27*Inputs!$C$35))</f>
        <v/>
      </c>
      <c r="S1455" s="54">
        <f>IF($B1455=0,NA(),IF(Inputs!$B$28&lt;&gt;"Yes",NA(),Inputs!$D$28*Inputs!$C$35))</f>
        <v/>
      </c>
      <c r="T1455" s="54">
        <f>IF($B1455=0,NA(),IF(Inputs!$B$29&lt;&gt;"Yes",NA(),Inputs!$D$29*Inputs!$C$35))</f>
        <v/>
      </c>
      <c r="AD1455">
        <f>IF($B1455=0,0,IF(Inputs!$B$6="",0,COUNTIFS(Data!$A$10:$A$3209,"&gt;="&amp;$A1455,Data!$A$10:$A$3209,"&lt;"&amp;$A1455+1)))</f>
        <v/>
      </c>
      <c r="AE1455">
        <f>IF($B1455=0,0,IF(Inputs!$B$7="",0,COUNTIFS(Data!$E$10:$E$3209,"&gt;="&amp;$A1455,Data!$E$10:$E$3209,"&lt;"&amp;$A1455+1)))</f>
        <v/>
      </c>
      <c r="AF1455">
        <f>IF($B1455=0,0,IF(Inputs!$B$8="",0,COUNTIFS(Data!$I$10:$I$3209,"&gt;="&amp;$A1455,Data!$I$10:$I$3209,"&lt;"&amp;$A1455+1)))</f>
        <v/>
      </c>
      <c r="AG1455">
        <f>IF($B1455=0,0,IF(Inputs!$B$9="",0,COUNTIFS(Data!$M$10:$M$3209,"&gt;="&amp;$A1455,Data!$M$10:$M$3209,"&lt;"&amp;$A1455+1)))</f>
        <v/>
      </c>
      <c r="AH1455">
        <f>IF($B1455=0,0,IF(Inputs!$B$10="",0,COUNTIFS(Data!$Q$10:$Q$3209,"&gt;="&amp;$A1455,Data!$Q$10:$Q$3209,"&lt;"&amp;$A1455+1)))</f>
        <v/>
      </c>
    </row>
    <row r="1456">
      <c r="A1456" s="55">
        <f>MIN(Inputs!$C$15,$A1455+IF(WEEKDAY($A1455,2)=5,3,1))</f>
        <v/>
      </c>
      <c r="B1456">
        <f>IF($A1456&gt;$A1455,1,0)</f>
        <v/>
      </c>
      <c r="C1456" s="56">
        <f>IF($B1456=0,"",IF(Inputs!$B$6="","",IF($AD1456=0,C1455,SUMIFS(Data!$B$10:$B$3209,Data!$A$10:$A$3209,"&gt;="&amp;$A1456,Data!$A$10:$A$3209,"&lt;"&amp;$A1456+1)/$AD1456)))</f>
        <v/>
      </c>
      <c r="D1456" s="56">
        <f>IF($B1456=0,"",IF(Inputs!$B$7="","",IF($AE1456=0,D1455,SUMIFS(Data!$F$10:$F$3209,Data!$E$10:$E$3209,"&gt;="&amp;$A1456,Data!$E$10:$E$3209,"&lt;"&amp;$A1456+1)/$AE1456)))</f>
        <v/>
      </c>
      <c r="E1456" s="56">
        <f>IF($B1456=0,"",IF(Inputs!$B$8="","",IF($AF1456=0,E1455,SUMIFS(Data!$J$10:$J$3209,Data!$I$10:$I$3209,"&gt;="&amp;$A1456,Data!$I$10:$I$3209,"&lt;"&amp;$A1456+1)/$AF1456)))</f>
        <v/>
      </c>
      <c r="F1456" s="56">
        <f>IF($B1456=0,"",IF(Inputs!$B$9="","",IF($AG1456=0,F1455,SUMIFS(Data!$N$10:$N$3209,Data!$M$10:$M$3209,"&gt;="&amp;$A1456,Data!$M$10:$M$3209,"&lt;"&amp;$A1456+1)/$AG1456)))</f>
        <v/>
      </c>
      <c r="G1456" s="56">
        <f>IF($B1456=0,"",IF(Inputs!$B$10="","",IF($AH1456=0,G1455,SUMIFS(Data!$R$10:$R$3209,Data!$Q$10:$Q$3209,"&gt;="&amp;$A1456,Data!$Q$10:$Q$3209,"&lt;"&amp;$A1456+1)/$AH1456)))</f>
        <v/>
      </c>
      <c r="I1456" s="54">
        <f>IF($B1456=0,NA(),IF($C1456="",NA(),IF(C$8="",NA(),IF(N(C$8)=0,NA(),IF(Inputs!$C$17="Rebased to 100",$C1456/C$8*100,$C1456)))))</f>
        <v/>
      </c>
      <c r="J1456" s="54">
        <f>IF($B1456=0,NA(),IF($D1456="",NA(),IF(D$8="",NA(),IF(N(D$8)=0,NA(),IF(Inputs!$C$17="Rebased to 100",$D1456/D$8*100,$D1456)))))</f>
        <v/>
      </c>
      <c r="K1456" s="54">
        <f>IF($B1456=0,NA(),IF($E1456="",NA(),IF(E$8="",NA(),IF(N(E$8)=0,NA(),IF(Inputs!$C$17="Rebased to 100",$E1456/E$8*100,$E1456)))))</f>
        <v/>
      </c>
      <c r="L1456" s="54">
        <f>IF($B1456=0,NA(),IF($F1456="",NA(),IF(F$8="",NA(),IF(N(F$8)=0,NA(),IF(Inputs!$C$17="Rebased to 100",$F1456/F$8*100,$F1456)))))</f>
        <v/>
      </c>
      <c r="M1456" s="54">
        <f>IF($B1456=0,NA(),IF($G1456="",NA(),IF(G$8="",NA(),IF(N(G$8)=0,NA(),IF(Inputs!$C$17="Rebased to 100",$G1456/G$8*100,$G1456)))))</f>
        <v/>
      </c>
      <c r="N1456" s="54">
        <f>IF($B1456=0,NA(),IF(Inputs!$C$18&lt;&gt;"Yes",NA(),IF(COUNT(I1456,J1456,K1456,L1456,M1456)=0,NA(),MIN(I1456,J1456,K1456,L1456,M1456))))</f>
        <v/>
      </c>
      <c r="O1456" s="54">
        <f>IF($B1456=0,NA(),IF(Inputs!$B$24&lt;&gt;"Yes",NA(),Inputs!$D$24*Inputs!$C$35))</f>
        <v/>
      </c>
      <c r="P1456" s="54">
        <f>IF($B1456=0,NA(),IF(Inputs!$B$25&lt;&gt;"Yes",NA(),Inputs!$D$25*Inputs!$C$35))</f>
        <v/>
      </c>
      <c r="Q1456" s="54">
        <f>IF($B1456=0,NA(),IF(Inputs!$B$26&lt;&gt;"Yes",NA(),Inputs!$D$26*Inputs!$C$35))</f>
        <v/>
      </c>
      <c r="R1456" s="54">
        <f>IF($B1456=0,NA(),IF(Inputs!$B$27&lt;&gt;"Yes",NA(),Inputs!$D$27*Inputs!$C$35))</f>
        <v/>
      </c>
      <c r="S1456" s="54">
        <f>IF($B1456=0,NA(),IF(Inputs!$B$28&lt;&gt;"Yes",NA(),Inputs!$D$28*Inputs!$C$35))</f>
        <v/>
      </c>
      <c r="T1456" s="54">
        <f>IF($B1456=0,NA(),IF(Inputs!$B$29&lt;&gt;"Yes",NA(),Inputs!$D$29*Inputs!$C$35))</f>
        <v/>
      </c>
      <c r="AD1456">
        <f>IF($B1456=0,0,IF(Inputs!$B$6="",0,COUNTIFS(Data!$A$10:$A$3209,"&gt;="&amp;$A1456,Data!$A$10:$A$3209,"&lt;"&amp;$A1456+1)))</f>
        <v/>
      </c>
      <c r="AE1456">
        <f>IF($B1456=0,0,IF(Inputs!$B$7="",0,COUNTIFS(Data!$E$10:$E$3209,"&gt;="&amp;$A1456,Data!$E$10:$E$3209,"&lt;"&amp;$A1456+1)))</f>
        <v/>
      </c>
      <c r="AF1456">
        <f>IF($B1456=0,0,IF(Inputs!$B$8="",0,COUNTIFS(Data!$I$10:$I$3209,"&gt;="&amp;$A1456,Data!$I$10:$I$3209,"&lt;"&amp;$A1456+1)))</f>
        <v/>
      </c>
      <c r="AG1456">
        <f>IF($B1456=0,0,IF(Inputs!$B$9="",0,COUNTIFS(Data!$M$10:$M$3209,"&gt;="&amp;$A1456,Data!$M$10:$M$3209,"&lt;"&amp;$A1456+1)))</f>
        <v/>
      </c>
      <c r="AH1456">
        <f>IF($B1456=0,0,IF(Inputs!$B$10="",0,COUNTIFS(Data!$Q$10:$Q$3209,"&gt;="&amp;$A1456,Data!$Q$10:$Q$3209,"&lt;"&amp;$A1456+1)))</f>
        <v/>
      </c>
    </row>
    <row r="1457">
      <c r="A1457" s="55">
        <f>MIN(Inputs!$C$15,$A1456+IF(WEEKDAY($A1456,2)=5,3,1))</f>
        <v/>
      </c>
      <c r="B1457">
        <f>IF($A1457&gt;$A1456,1,0)</f>
        <v/>
      </c>
      <c r="C1457" s="56">
        <f>IF($B1457=0,"",IF(Inputs!$B$6="","",IF($AD1457=0,C1456,SUMIFS(Data!$B$10:$B$3209,Data!$A$10:$A$3209,"&gt;="&amp;$A1457,Data!$A$10:$A$3209,"&lt;"&amp;$A1457+1)/$AD1457)))</f>
        <v/>
      </c>
      <c r="D1457" s="56">
        <f>IF($B1457=0,"",IF(Inputs!$B$7="","",IF($AE1457=0,D1456,SUMIFS(Data!$F$10:$F$3209,Data!$E$10:$E$3209,"&gt;="&amp;$A1457,Data!$E$10:$E$3209,"&lt;"&amp;$A1457+1)/$AE1457)))</f>
        <v/>
      </c>
      <c r="E1457" s="56">
        <f>IF($B1457=0,"",IF(Inputs!$B$8="","",IF($AF1457=0,E1456,SUMIFS(Data!$J$10:$J$3209,Data!$I$10:$I$3209,"&gt;="&amp;$A1457,Data!$I$10:$I$3209,"&lt;"&amp;$A1457+1)/$AF1457)))</f>
        <v/>
      </c>
      <c r="F1457" s="56">
        <f>IF($B1457=0,"",IF(Inputs!$B$9="","",IF($AG1457=0,F1456,SUMIFS(Data!$N$10:$N$3209,Data!$M$10:$M$3209,"&gt;="&amp;$A1457,Data!$M$10:$M$3209,"&lt;"&amp;$A1457+1)/$AG1457)))</f>
        <v/>
      </c>
      <c r="G1457" s="56">
        <f>IF($B1457=0,"",IF(Inputs!$B$10="","",IF($AH1457=0,G1456,SUMIFS(Data!$R$10:$R$3209,Data!$Q$10:$Q$3209,"&gt;="&amp;$A1457,Data!$Q$10:$Q$3209,"&lt;"&amp;$A1457+1)/$AH1457)))</f>
        <v/>
      </c>
      <c r="I1457" s="54">
        <f>IF($B1457=0,NA(),IF($C1457="",NA(),IF(C$8="",NA(),IF(N(C$8)=0,NA(),IF(Inputs!$C$17="Rebased to 100",$C1457/C$8*100,$C1457)))))</f>
        <v/>
      </c>
      <c r="J1457" s="54">
        <f>IF($B1457=0,NA(),IF($D1457="",NA(),IF(D$8="",NA(),IF(N(D$8)=0,NA(),IF(Inputs!$C$17="Rebased to 100",$D1457/D$8*100,$D1457)))))</f>
        <v/>
      </c>
      <c r="K1457" s="54">
        <f>IF($B1457=0,NA(),IF($E1457="",NA(),IF(E$8="",NA(),IF(N(E$8)=0,NA(),IF(Inputs!$C$17="Rebased to 100",$E1457/E$8*100,$E1457)))))</f>
        <v/>
      </c>
      <c r="L1457" s="54">
        <f>IF($B1457=0,NA(),IF($F1457="",NA(),IF(F$8="",NA(),IF(N(F$8)=0,NA(),IF(Inputs!$C$17="Rebased to 100",$F1457/F$8*100,$F1457)))))</f>
        <v/>
      </c>
      <c r="M1457" s="54">
        <f>IF($B1457=0,NA(),IF($G1457="",NA(),IF(G$8="",NA(),IF(N(G$8)=0,NA(),IF(Inputs!$C$17="Rebased to 100",$G1457/G$8*100,$G1457)))))</f>
        <v/>
      </c>
      <c r="N1457" s="54">
        <f>IF($B1457=0,NA(),IF(Inputs!$C$18&lt;&gt;"Yes",NA(),IF(COUNT(I1457,J1457,K1457,L1457,M1457)=0,NA(),MIN(I1457,J1457,K1457,L1457,M1457))))</f>
        <v/>
      </c>
      <c r="O1457" s="54">
        <f>IF($B1457=0,NA(),IF(Inputs!$B$24&lt;&gt;"Yes",NA(),Inputs!$D$24*Inputs!$C$35))</f>
        <v/>
      </c>
      <c r="P1457" s="54">
        <f>IF($B1457=0,NA(),IF(Inputs!$B$25&lt;&gt;"Yes",NA(),Inputs!$D$25*Inputs!$C$35))</f>
        <v/>
      </c>
      <c r="Q1457" s="54">
        <f>IF($B1457=0,NA(),IF(Inputs!$B$26&lt;&gt;"Yes",NA(),Inputs!$D$26*Inputs!$C$35))</f>
        <v/>
      </c>
      <c r="R1457" s="54">
        <f>IF($B1457=0,NA(),IF(Inputs!$B$27&lt;&gt;"Yes",NA(),Inputs!$D$27*Inputs!$C$35))</f>
        <v/>
      </c>
      <c r="S1457" s="54">
        <f>IF($B1457=0,NA(),IF(Inputs!$B$28&lt;&gt;"Yes",NA(),Inputs!$D$28*Inputs!$C$35))</f>
        <v/>
      </c>
      <c r="T1457" s="54">
        <f>IF($B1457=0,NA(),IF(Inputs!$B$29&lt;&gt;"Yes",NA(),Inputs!$D$29*Inputs!$C$35))</f>
        <v/>
      </c>
      <c r="AD1457">
        <f>IF($B1457=0,0,IF(Inputs!$B$6="",0,COUNTIFS(Data!$A$10:$A$3209,"&gt;="&amp;$A1457,Data!$A$10:$A$3209,"&lt;"&amp;$A1457+1)))</f>
        <v/>
      </c>
      <c r="AE1457">
        <f>IF($B1457=0,0,IF(Inputs!$B$7="",0,COUNTIFS(Data!$E$10:$E$3209,"&gt;="&amp;$A1457,Data!$E$10:$E$3209,"&lt;"&amp;$A1457+1)))</f>
        <v/>
      </c>
      <c r="AF1457">
        <f>IF($B1457=0,0,IF(Inputs!$B$8="",0,COUNTIFS(Data!$I$10:$I$3209,"&gt;="&amp;$A1457,Data!$I$10:$I$3209,"&lt;"&amp;$A1457+1)))</f>
        <v/>
      </c>
      <c r="AG1457">
        <f>IF($B1457=0,0,IF(Inputs!$B$9="",0,COUNTIFS(Data!$M$10:$M$3209,"&gt;="&amp;$A1457,Data!$M$10:$M$3209,"&lt;"&amp;$A1457+1)))</f>
        <v/>
      </c>
      <c r="AH1457">
        <f>IF($B1457=0,0,IF(Inputs!$B$10="",0,COUNTIFS(Data!$Q$10:$Q$3209,"&gt;="&amp;$A1457,Data!$Q$10:$Q$3209,"&lt;"&amp;$A1457+1)))</f>
        <v/>
      </c>
    </row>
    <row r="1458">
      <c r="A1458" s="55">
        <f>MIN(Inputs!$C$15,$A1457+IF(WEEKDAY($A1457,2)=5,3,1))</f>
        <v/>
      </c>
      <c r="B1458">
        <f>IF($A1458&gt;$A1457,1,0)</f>
        <v/>
      </c>
      <c r="C1458" s="56">
        <f>IF($B1458=0,"",IF(Inputs!$B$6="","",IF($AD1458=0,C1457,SUMIFS(Data!$B$10:$B$3209,Data!$A$10:$A$3209,"&gt;="&amp;$A1458,Data!$A$10:$A$3209,"&lt;"&amp;$A1458+1)/$AD1458)))</f>
        <v/>
      </c>
      <c r="D1458" s="56">
        <f>IF($B1458=0,"",IF(Inputs!$B$7="","",IF($AE1458=0,D1457,SUMIFS(Data!$F$10:$F$3209,Data!$E$10:$E$3209,"&gt;="&amp;$A1458,Data!$E$10:$E$3209,"&lt;"&amp;$A1458+1)/$AE1458)))</f>
        <v/>
      </c>
      <c r="E1458" s="56">
        <f>IF($B1458=0,"",IF(Inputs!$B$8="","",IF($AF1458=0,E1457,SUMIFS(Data!$J$10:$J$3209,Data!$I$10:$I$3209,"&gt;="&amp;$A1458,Data!$I$10:$I$3209,"&lt;"&amp;$A1458+1)/$AF1458)))</f>
        <v/>
      </c>
      <c r="F1458" s="56">
        <f>IF($B1458=0,"",IF(Inputs!$B$9="","",IF($AG1458=0,F1457,SUMIFS(Data!$N$10:$N$3209,Data!$M$10:$M$3209,"&gt;="&amp;$A1458,Data!$M$10:$M$3209,"&lt;"&amp;$A1458+1)/$AG1458)))</f>
        <v/>
      </c>
      <c r="G1458" s="56">
        <f>IF($B1458=0,"",IF(Inputs!$B$10="","",IF($AH1458=0,G1457,SUMIFS(Data!$R$10:$R$3209,Data!$Q$10:$Q$3209,"&gt;="&amp;$A1458,Data!$Q$10:$Q$3209,"&lt;"&amp;$A1458+1)/$AH1458)))</f>
        <v/>
      </c>
      <c r="I1458" s="54">
        <f>IF($B1458=0,NA(),IF($C1458="",NA(),IF(C$8="",NA(),IF(N(C$8)=0,NA(),IF(Inputs!$C$17="Rebased to 100",$C1458/C$8*100,$C1458)))))</f>
        <v/>
      </c>
      <c r="J1458" s="54">
        <f>IF($B1458=0,NA(),IF($D1458="",NA(),IF(D$8="",NA(),IF(N(D$8)=0,NA(),IF(Inputs!$C$17="Rebased to 100",$D1458/D$8*100,$D1458)))))</f>
        <v/>
      </c>
      <c r="K1458" s="54">
        <f>IF($B1458=0,NA(),IF($E1458="",NA(),IF(E$8="",NA(),IF(N(E$8)=0,NA(),IF(Inputs!$C$17="Rebased to 100",$E1458/E$8*100,$E1458)))))</f>
        <v/>
      </c>
      <c r="L1458" s="54">
        <f>IF($B1458=0,NA(),IF($F1458="",NA(),IF(F$8="",NA(),IF(N(F$8)=0,NA(),IF(Inputs!$C$17="Rebased to 100",$F1458/F$8*100,$F1458)))))</f>
        <v/>
      </c>
      <c r="M1458" s="54">
        <f>IF($B1458=0,NA(),IF($G1458="",NA(),IF(G$8="",NA(),IF(N(G$8)=0,NA(),IF(Inputs!$C$17="Rebased to 100",$G1458/G$8*100,$G1458)))))</f>
        <v/>
      </c>
      <c r="N1458" s="54">
        <f>IF($B1458=0,NA(),IF(Inputs!$C$18&lt;&gt;"Yes",NA(),IF(COUNT(I1458,J1458,K1458,L1458,M1458)=0,NA(),MIN(I1458,J1458,K1458,L1458,M1458))))</f>
        <v/>
      </c>
      <c r="O1458" s="54">
        <f>IF($B1458=0,NA(),IF(Inputs!$B$24&lt;&gt;"Yes",NA(),Inputs!$D$24*Inputs!$C$35))</f>
        <v/>
      </c>
      <c r="P1458" s="54">
        <f>IF($B1458=0,NA(),IF(Inputs!$B$25&lt;&gt;"Yes",NA(),Inputs!$D$25*Inputs!$C$35))</f>
        <v/>
      </c>
      <c r="Q1458" s="54">
        <f>IF($B1458=0,NA(),IF(Inputs!$B$26&lt;&gt;"Yes",NA(),Inputs!$D$26*Inputs!$C$35))</f>
        <v/>
      </c>
      <c r="R1458" s="54">
        <f>IF($B1458=0,NA(),IF(Inputs!$B$27&lt;&gt;"Yes",NA(),Inputs!$D$27*Inputs!$C$35))</f>
        <v/>
      </c>
      <c r="S1458" s="54">
        <f>IF($B1458=0,NA(),IF(Inputs!$B$28&lt;&gt;"Yes",NA(),Inputs!$D$28*Inputs!$C$35))</f>
        <v/>
      </c>
      <c r="T1458" s="54">
        <f>IF($B1458=0,NA(),IF(Inputs!$B$29&lt;&gt;"Yes",NA(),Inputs!$D$29*Inputs!$C$35))</f>
        <v/>
      </c>
      <c r="AD1458">
        <f>IF($B1458=0,0,IF(Inputs!$B$6="",0,COUNTIFS(Data!$A$10:$A$3209,"&gt;="&amp;$A1458,Data!$A$10:$A$3209,"&lt;"&amp;$A1458+1)))</f>
        <v/>
      </c>
      <c r="AE1458">
        <f>IF($B1458=0,0,IF(Inputs!$B$7="",0,COUNTIFS(Data!$E$10:$E$3209,"&gt;="&amp;$A1458,Data!$E$10:$E$3209,"&lt;"&amp;$A1458+1)))</f>
        <v/>
      </c>
      <c r="AF1458">
        <f>IF($B1458=0,0,IF(Inputs!$B$8="",0,COUNTIFS(Data!$I$10:$I$3209,"&gt;="&amp;$A1458,Data!$I$10:$I$3209,"&lt;"&amp;$A1458+1)))</f>
        <v/>
      </c>
      <c r="AG1458">
        <f>IF($B1458=0,0,IF(Inputs!$B$9="",0,COUNTIFS(Data!$M$10:$M$3209,"&gt;="&amp;$A1458,Data!$M$10:$M$3209,"&lt;"&amp;$A1458+1)))</f>
        <v/>
      </c>
      <c r="AH1458">
        <f>IF($B1458=0,0,IF(Inputs!$B$10="",0,COUNTIFS(Data!$Q$10:$Q$3209,"&gt;="&amp;$A1458,Data!$Q$10:$Q$3209,"&lt;"&amp;$A1458+1)))</f>
        <v/>
      </c>
    </row>
    <row r="1459">
      <c r="A1459" s="55">
        <f>MIN(Inputs!$C$15,$A1458+IF(WEEKDAY($A1458,2)=5,3,1))</f>
        <v/>
      </c>
      <c r="B1459">
        <f>IF($A1459&gt;$A1458,1,0)</f>
        <v/>
      </c>
      <c r="C1459" s="56">
        <f>IF($B1459=0,"",IF(Inputs!$B$6="","",IF($AD1459=0,C1458,SUMIFS(Data!$B$10:$B$3209,Data!$A$10:$A$3209,"&gt;="&amp;$A1459,Data!$A$10:$A$3209,"&lt;"&amp;$A1459+1)/$AD1459)))</f>
        <v/>
      </c>
      <c r="D1459" s="56">
        <f>IF($B1459=0,"",IF(Inputs!$B$7="","",IF($AE1459=0,D1458,SUMIFS(Data!$F$10:$F$3209,Data!$E$10:$E$3209,"&gt;="&amp;$A1459,Data!$E$10:$E$3209,"&lt;"&amp;$A1459+1)/$AE1459)))</f>
        <v/>
      </c>
      <c r="E1459" s="56">
        <f>IF($B1459=0,"",IF(Inputs!$B$8="","",IF($AF1459=0,E1458,SUMIFS(Data!$J$10:$J$3209,Data!$I$10:$I$3209,"&gt;="&amp;$A1459,Data!$I$10:$I$3209,"&lt;"&amp;$A1459+1)/$AF1459)))</f>
        <v/>
      </c>
      <c r="F1459" s="56">
        <f>IF($B1459=0,"",IF(Inputs!$B$9="","",IF($AG1459=0,F1458,SUMIFS(Data!$N$10:$N$3209,Data!$M$10:$M$3209,"&gt;="&amp;$A1459,Data!$M$10:$M$3209,"&lt;"&amp;$A1459+1)/$AG1459)))</f>
        <v/>
      </c>
      <c r="G1459" s="56">
        <f>IF($B1459=0,"",IF(Inputs!$B$10="","",IF($AH1459=0,G1458,SUMIFS(Data!$R$10:$R$3209,Data!$Q$10:$Q$3209,"&gt;="&amp;$A1459,Data!$Q$10:$Q$3209,"&lt;"&amp;$A1459+1)/$AH1459)))</f>
        <v/>
      </c>
      <c r="I1459" s="54">
        <f>IF($B1459=0,NA(),IF($C1459="",NA(),IF(C$8="",NA(),IF(N(C$8)=0,NA(),IF(Inputs!$C$17="Rebased to 100",$C1459/C$8*100,$C1459)))))</f>
        <v/>
      </c>
      <c r="J1459" s="54">
        <f>IF($B1459=0,NA(),IF($D1459="",NA(),IF(D$8="",NA(),IF(N(D$8)=0,NA(),IF(Inputs!$C$17="Rebased to 100",$D1459/D$8*100,$D1459)))))</f>
        <v/>
      </c>
      <c r="K1459" s="54">
        <f>IF($B1459=0,NA(),IF($E1459="",NA(),IF(E$8="",NA(),IF(N(E$8)=0,NA(),IF(Inputs!$C$17="Rebased to 100",$E1459/E$8*100,$E1459)))))</f>
        <v/>
      </c>
      <c r="L1459" s="54">
        <f>IF($B1459=0,NA(),IF($F1459="",NA(),IF(F$8="",NA(),IF(N(F$8)=0,NA(),IF(Inputs!$C$17="Rebased to 100",$F1459/F$8*100,$F1459)))))</f>
        <v/>
      </c>
      <c r="M1459" s="54">
        <f>IF($B1459=0,NA(),IF($G1459="",NA(),IF(G$8="",NA(),IF(N(G$8)=0,NA(),IF(Inputs!$C$17="Rebased to 100",$G1459/G$8*100,$G1459)))))</f>
        <v/>
      </c>
      <c r="N1459" s="54">
        <f>IF($B1459=0,NA(),IF(Inputs!$C$18&lt;&gt;"Yes",NA(),IF(COUNT(I1459,J1459,K1459,L1459,M1459)=0,NA(),MIN(I1459,J1459,K1459,L1459,M1459))))</f>
        <v/>
      </c>
      <c r="O1459" s="54">
        <f>IF($B1459=0,NA(),IF(Inputs!$B$24&lt;&gt;"Yes",NA(),Inputs!$D$24*Inputs!$C$35))</f>
        <v/>
      </c>
      <c r="P1459" s="54">
        <f>IF($B1459=0,NA(),IF(Inputs!$B$25&lt;&gt;"Yes",NA(),Inputs!$D$25*Inputs!$C$35))</f>
        <v/>
      </c>
      <c r="Q1459" s="54">
        <f>IF($B1459=0,NA(),IF(Inputs!$B$26&lt;&gt;"Yes",NA(),Inputs!$D$26*Inputs!$C$35))</f>
        <v/>
      </c>
      <c r="R1459" s="54">
        <f>IF($B1459=0,NA(),IF(Inputs!$B$27&lt;&gt;"Yes",NA(),Inputs!$D$27*Inputs!$C$35))</f>
        <v/>
      </c>
      <c r="S1459" s="54">
        <f>IF($B1459=0,NA(),IF(Inputs!$B$28&lt;&gt;"Yes",NA(),Inputs!$D$28*Inputs!$C$35))</f>
        <v/>
      </c>
      <c r="T1459" s="54">
        <f>IF($B1459=0,NA(),IF(Inputs!$B$29&lt;&gt;"Yes",NA(),Inputs!$D$29*Inputs!$C$35))</f>
        <v/>
      </c>
      <c r="AD1459">
        <f>IF($B1459=0,0,IF(Inputs!$B$6="",0,COUNTIFS(Data!$A$10:$A$3209,"&gt;="&amp;$A1459,Data!$A$10:$A$3209,"&lt;"&amp;$A1459+1)))</f>
        <v/>
      </c>
      <c r="AE1459">
        <f>IF($B1459=0,0,IF(Inputs!$B$7="",0,COUNTIFS(Data!$E$10:$E$3209,"&gt;="&amp;$A1459,Data!$E$10:$E$3209,"&lt;"&amp;$A1459+1)))</f>
        <v/>
      </c>
      <c r="AF1459">
        <f>IF($B1459=0,0,IF(Inputs!$B$8="",0,COUNTIFS(Data!$I$10:$I$3209,"&gt;="&amp;$A1459,Data!$I$10:$I$3209,"&lt;"&amp;$A1459+1)))</f>
        <v/>
      </c>
      <c r="AG1459">
        <f>IF($B1459=0,0,IF(Inputs!$B$9="",0,COUNTIFS(Data!$M$10:$M$3209,"&gt;="&amp;$A1459,Data!$M$10:$M$3209,"&lt;"&amp;$A1459+1)))</f>
        <v/>
      </c>
      <c r="AH1459">
        <f>IF($B1459=0,0,IF(Inputs!$B$10="",0,COUNTIFS(Data!$Q$10:$Q$3209,"&gt;="&amp;$A1459,Data!$Q$10:$Q$3209,"&lt;"&amp;$A1459+1)))</f>
        <v/>
      </c>
    </row>
    <row r="1460">
      <c r="A1460" s="55">
        <f>MIN(Inputs!$C$15,$A1459+IF(WEEKDAY($A1459,2)=5,3,1))</f>
        <v/>
      </c>
      <c r="B1460">
        <f>IF($A1460&gt;$A1459,1,0)</f>
        <v/>
      </c>
      <c r="C1460" s="56">
        <f>IF($B1460=0,"",IF(Inputs!$B$6="","",IF($AD1460=0,C1459,SUMIFS(Data!$B$10:$B$3209,Data!$A$10:$A$3209,"&gt;="&amp;$A1460,Data!$A$10:$A$3209,"&lt;"&amp;$A1460+1)/$AD1460)))</f>
        <v/>
      </c>
      <c r="D1460" s="56">
        <f>IF($B1460=0,"",IF(Inputs!$B$7="","",IF($AE1460=0,D1459,SUMIFS(Data!$F$10:$F$3209,Data!$E$10:$E$3209,"&gt;="&amp;$A1460,Data!$E$10:$E$3209,"&lt;"&amp;$A1460+1)/$AE1460)))</f>
        <v/>
      </c>
      <c r="E1460" s="56">
        <f>IF($B1460=0,"",IF(Inputs!$B$8="","",IF($AF1460=0,E1459,SUMIFS(Data!$J$10:$J$3209,Data!$I$10:$I$3209,"&gt;="&amp;$A1460,Data!$I$10:$I$3209,"&lt;"&amp;$A1460+1)/$AF1460)))</f>
        <v/>
      </c>
      <c r="F1460" s="56">
        <f>IF($B1460=0,"",IF(Inputs!$B$9="","",IF($AG1460=0,F1459,SUMIFS(Data!$N$10:$N$3209,Data!$M$10:$M$3209,"&gt;="&amp;$A1460,Data!$M$10:$M$3209,"&lt;"&amp;$A1460+1)/$AG1460)))</f>
        <v/>
      </c>
      <c r="G1460" s="56">
        <f>IF($B1460=0,"",IF(Inputs!$B$10="","",IF($AH1460=0,G1459,SUMIFS(Data!$R$10:$R$3209,Data!$Q$10:$Q$3209,"&gt;="&amp;$A1460,Data!$Q$10:$Q$3209,"&lt;"&amp;$A1460+1)/$AH1460)))</f>
        <v/>
      </c>
      <c r="I1460" s="54">
        <f>IF($B1460=0,NA(),IF($C1460="",NA(),IF(C$8="",NA(),IF(N(C$8)=0,NA(),IF(Inputs!$C$17="Rebased to 100",$C1460/C$8*100,$C1460)))))</f>
        <v/>
      </c>
      <c r="J1460" s="54">
        <f>IF($B1460=0,NA(),IF($D1460="",NA(),IF(D$8="",NA(),IF(N(D$8)=0,NA(),IF(Inputs!$C$17="Rebased to 100",$D1460/D$8*100,$D1460)))))</f>
        <v/>
      </c>
      <c r="K1460" s="54">
        <f>IF($B1460=0,NA(),IF($E1460="",NA(),IF(E$8="",NA(),IF(N(E$8)=0,NA(),IF(Inputs!$C$17="Rebased to 100",$E1460/E$8*100,$E1460)))))</f>
        <v/>
      </c>
      <c r="L1460" s="54">
        <f>IF($B1460=0,NA(),IF($F1460="",NA(),IF(F$8="",NA(),IF(N(F$8)=0,NA(),IF(Inputs!$C$17="Rebased to 100",$F1460/F$8*100,$F1460)))))</f>
        <v/>
      </c>
      <c r="M1460" s="54">
        <f>IF($B1460=0,NA(),IF($G1460="",NA(),IF(G$8="",NA(),IF(N(G$8)=0,NA(),IF(Inputs!$C$17="Rebased to 100",$G1460/G$8*100,$G1460)))))</f>
        <v/>
      </c>
      <c r="N1460" s="54">
        <f>IF($B1460=0,NA(),IF(Inputs!$C$18&lt;&gt;"Yes",NA(),IF(COUNT(I1460,J1460,K1460,L1460,M1460)=0,NA(),MIN(I1460,J1460,K1460,L1460,M1460))))</f>
        <v/>
      </c>
      <c r="O1460" s="54">
        <f>IF($B1460=0,NA(),IF(Inputs!$B$24&lt;&gt;"Yes",NA(),Inputs!$D$24*Inputs!$C$35))</f>
        <v/>
      </c>
      <c r="P1460" s="54">
        <f>IF($B1460=0,NA(),IF(Inputs!$B$25&lt;&gt;"Yes",NA(),Inputs!$D$25*Inputs!$C$35))</f>
        <v/>
      </c>
      <c r="Q1460" s="54">
        <f>IF($B1460=0,NA(),IF(Inputs!$B$26&lt;&gt;"Yes",NA(),Inputs!$D$26*Inputs!$C$35))</f>
        <v/>
      </c>
      <c r="R1460" s="54">
        <f>IF($B1460=0,NA(),IF(Inputs!$B$27&lt;&gt;"Yes",NA(),Inputs!$D$27*Inputs!$C$35))</f>
        <v/>
      </c>
      <c r="S1460" s="54">
        <f>IF($B1460=0,NA(),IF(Inputs!$B$28&lt;&gt;"Yes",NA(),Inputs!$D$28*Inputs!$C$35))</f>
        <v/>
      </c>
      <c r="T1460" s="54">
        <f>IF($B1460=0,NA(),IF(Inputs!$B$29&lt;&gt;"Yes",NA(),Inputs!$D$29*Inputs!$C$35))</f>
        <v/>
      </c>
      <c r="AD1460">
        <f>IF($B1460=0,0,IF(Inputs!$B$6="",0,COUNTIFS(Data!$A$10:$A$3209,"&gt;="&amp;$A1460,Data!$A$10:$A$3209,"&lt;"&amp;$A1460+1)))</f>
        <v/>
      </c>
      <c r="AE1460">
        <f>IF($B1460=0,0,IF(Inputs!$B$7="",0,COUNTIFS(Data!$E$10:$E$3209,"&gt;="&amp;$A1460,Data!$E$10:$E$3209,"&lt;"&amp;$A1460+1)))</f>
        <v/>
      </c>
      <c r="AF1460">
        <f>IF($B1460=0,0,IF(Inputs!$B$8="",0,COUNTIFS(Data!$I$10:$I$3209,"&gt;="&amp;$A1460,Data!$I$10:$I$3209,"&lt;"&amp;$A1460+1)))</f>
        <v/>
      </c>
      <c r="AG1460">
        <f>IF($B1460=0,0,IF(Inputs!$B$9="",0,COUNTIFS(Data!$M$10:$M$3209,"&gt;="&amp;$A1460,Data!$M$10:$M$3209,"&lt;"&amp;$A1460+1)))</f>
        <v/>
      </c>
      <c r="AH1460">
        <f>IF($B1460=0,0,IF(Inputs!$B$10="",0,COUNTIFS(Data!$Q$10:$Q$3209,"&gt;="&amp;$A1460,Data!$Q$10:$Q$3209,"&lt;"&amp;$A1460+1)))</f>
        <v/>
      </c>
    </row>
    <row r="1461">
      <c r="A1461" s="55">
        <f>MIN(Inputs!$C$15,$A1460+IF(WEEKDAY($A1460,2)=5,3,1))</f>
        <v/>
      </c>
      <c r="B1461">
        <f>IF($A1461&gt;$A1460,1,0)</f>
        <v/>
      </c>
      <c r="C1461" s="56">
        <f>IF($B1461=0,"",IF(Inputs!$B$6="","",IF($AD1461=0,C1460,SUMIFS(Data!$B$10:$B$3209,Data!$A$10:$A$3209,"&gt;="&amp;$A1461,Data!$A$10:$A$3209,"&lt;"&amp;$A1461+1)/$AD1461)))</f>
        <v/>
      </c>
      <c r="D1461" s="56">
        <f>IF($B1461=0,"",IF(Inputs!$B$7="","",IF($AE1461=0,D1460,SUMIFS(Data!$F$10:$F$3209,Data!$E$10:$E$3209,"&gt;="&amp;$A1461,Data!$E$10:$E$3209,"&lt;"&amp;$A1461+1)/$AE1461)))</f>
        <v/>
      </c>
      <c r="E1461" s="56">
        <f>IF($B1461=0,"",IF(Inputs!$B$8="","",IF($AF1461=0,E1460,SUMIFS(Data!$J$10:$J$3209,Data!$I$10:$I$3209,"&gt;="&amp;$A1461,Data!$I$10:$I$3209,"&lt;"&amp;$A1461+1)/$AF1461)))</f>
        <v/>
      </c>
      <c r="F1461" s="56">
        <f>IF($B1461=0,"",IF(Inputs!$B$9="","",IF($AG1461=0,F1460,SUMIFS(Data!$N$10:$N$3209,Data!$M$10:$M$3209,"&gt;="&amp;$A1461,Data!$M$10:$M$3209,"&lt;"&amp;$A1461+1)/$AG1461)))</f>
        <v/>
      </c>
      <c r="G1461" s="56">
        <f>IF($B1461=0,"",IF(Inputs!$B$10="","",IF($AH1461=0,G1460,SUMIFS(Data!$R$10:$R$3209,Data!$Q$10:$Q$3209,"&gt;="&amp;$A1461,Data!$Q$10:$Q$3209,"&lt;"&amp;$A1461+1)/$AH1461)))</f>
        <v/>
      </c>
      <c r="I1461" s="54">
        <f>IF($B1461=0,NA(),IF($C1461="",NA(),IF(C$8="",NA(),IF(N(C$8)=0,NA(),IF(Inputs!$C$17="Rebased to 100",$C1461/C$8*100,$C1461)))))</f>
        <v/>
      </c>
      <c r="J1461" s="54">
        <f>IF($B1461=0,NA(),IF($D1461="",NA(),IF(D$8="",NA(),IF(N(D$8)=0,NA(),IF(Inputs!$C$17="Rebased to 100",$D1461/D$8*100,$D1461)))))</f>
        <v/>
      </c>
      <c r="K1461" s="54">
        <f>IF($B1461=0,NA(),IF($E1461="",NA(),IF(E$8="",NA(),IF(N(E$8)=0,NA(),IF(Inputs!$C$17="Rebased to 100",$E1461/E$8*100,$E1461)))))</f>
        <v/>
      </c>
      <c r="L1461" s="54">
        <f>IF($B1461=0,NA(),IF($F1461="",NA(),IF(F$8="",NA(),IF(N(F$8)=0,NA(),IF(Inputs!$C$17="Rebased to 100",$F1461/F$8*100,$F1461)))))</f>
        <v/>
      </c>
      <c r="M1461" s="54">
        <f>IF($B1461=0,NA(),IF($G1461="",NA(),IF(G$8="",NA(),IF(N(G$8)=0,NA(),IF(Inputs!$C$17="Rebased to 100",$G1461/G$8*100,$G1461)))))</f>
        <v/>
      </c>
      <c r="N1461" s="54">
        <f>IF($B1461=0,NA(),IF(Inputs!$C$18&lt;&gt;"Yes",NA(),IF(COUNT(I1461,J1461,K1461,L1461,M1461)=0,NA(),MIN(I1461,J1461,K1461,L1461,M1461))))</f>
        <v/>
      </c>
      <c r="O1461" s="54">
        <f>IF($B1461=0,NA(),IF(Inputs!$B$24&lt;&gt;"Yes",NA(),Inputs!$D$24*Inputs!$C$35))</f>
        <v/>
      </c>
      <c r="P1461" s="54">
        <f>IF($B1461=0,NA(),IF(Inputs!$B$25&lt;&gt;"Yes",NA(),Inputs!$D$25*Inputs!$C$35))</f>
        <v/>
      </c>
      <c r="Q1461" s="54">
        <f>IF($B1461=0,NA(),IF(Inputs!$B$26&lt;&gt;"Yes",NA(),Inputs!$D$26*Inputs!$C$35))</f>
        <v/>
      </c>
      <c r="R1461" s="54">
        <f>IF($B1461=0,NA(),IF(Inputs!$B$27&lt;&gt;"Yes",NA(),Inputs!$D$27*Inputs!$C$35))</f>
        <v/>
      </c>
      <c r="S1461" s="54">
        <f>IF($B1461=0,NA(),IF(Inputs!$B$28&lt;&gt;"Yes",NA(),Inputs!$D$28*Inputs!$C$35))</f>
        <v/>
      </c>
      <c r="T1461" s="54">
        <f>IF($B1461=0,NA(),IF(Inputs!$B$29&lt;&gt;"Yes",NA(),Inputs!$D$29*Inputs!$C$35))</f>
        <v/>
      </c>
      <c r="AD1461">
        <f>IF($B1461=0,0,IF(Inputs!$B$6="",0,COUNTIFS(Data!$A$10:$A$3209,"&gt;="&amp;$A1461,Data!$A$10:$A$3209,"&lt;"&amp;$A1461+1)))</f>
        <v/>
      </c>
      <c r="AE1461">
        <f>IF($B1461=0,0,IF(Inputs!$B$7="",0,COUNTIFS(Data!$E$10:$E$3209,"&gt;="&amp;$A1461,Data!$E$10:$E$3209,"&lt;"&amp;$A1461+1)))</f>
        <v/>
      </c>
      <c r="AF1461">
        <f>IF($B1461=0,0,IF(Inputs!$B$8="",0,COUNTIFS(Data!$I$10:$I$3209,"&gt;="&amp;$A1461,Data!$I$10:$I$3209,"&lt;"&amp;$A1461+1)))</f>
        <v/>
      </c>
      <c r="AG1461">
        <f>IF($B1461=0,0,IF(Inputs!$B$9="",0,COUNTIFS(Data!$M$10:$M$3209,"&gt;="&amp;$A1461,Data!$M$10:$M$3209,"&lt;"&amp;$A1461+1)))</f>
        <v/>
      </c>
      <c r="AH1461">
        <f>IF($B1461=0,0,IF(Inputs!$B$10="",0,COUNTIFS(Data!$Q$10:$Q$3209,"&gt;="&amp;$A1461,Data!$Q$10:$Q$3209,"&lt;"&amp;$A1461+1)))</f>
        <v/>
      </c>
    </row>
    <row r="1462">
      <c r="A1462" s="55">
        <f>MIN(Inputs!$C$15,$A1461+IF(WEEKDAY($A1461,2)=5,3,1))</f>
        <v/>
      </c>
      <c r="B1462">
        <f>IF($A1462&gt;$A1461,1,0)</f>
        <v/>
      </c>
      <c r="C1462" s="56">
        <f>IF($B1462=0,"",IF(Inputs!$B$6="","",IF($AD1462=0,C1461,SUMIFS(Data!$B$10:$B$3209,Data!$A$10:$A$3209,"&gt;="&amp;$A1462,Data!$A$10:$A$3209,"&lt;"&amp;$A1462+1)/$AD1462)))</f>
        <v/>
      </c>
      <c r="D1462" s="56">
        <f>IF($B1462=0,"",IF(Inputs!$B$7="","",IF($AE1462=0,D1461,SUMIFS(Data!$F$10:$F$3209,Data!$E$10:$E$3209,"&gt;="&amp;$A1462,Data!$E$10:$E$3209,"&lt;"&amp;$A1462+1)/$AE1462)))</f>
        <v/>
      </c>
      <c r="E1462" s="56">
        <f>IF($B1462=0,"",IF(Inputs!$B$8="","",IF($AF1462=0,E1461,SUMIFS(Data!$J$10:$J$3209,Data!$I$10:$I$3209,"&gt;="&amp;$A1462,Data!$I$10:$I$3209,"&lt;"&amp;$A1462+1)/$AF1462)))</f>
        <v/>
      </c>
      <c r="F1462" s="56">
        <f>IF($B1462=0,"",IF(Inputs!$B$9="","",IF($AG1462=0,F1461,SUMIFS(Data!$N$10:$N$3209,Data!$M$10:$M$3209,"&gt;="&amp;$A1462,Data!$M$10:$M$3209,"&lt;"&amp;$A1462+1)/$AG1462)))</f>
        <v/>
      </c>
      <c r="G1462" s="56">
        <f>IF($B1462=0,"",IF(Inputs!$B$10="","",IF($AH1462=0,G1461,SUMIFS(Data!$R$10:$R$3209,Data!$Q$10:$Q$3209,"&gt;="&amp;$A1462,Data!$Q$10:$Q$3209,"&lt;"&amp;$A1462+1)/$AH1462)))</f>
        <v/>
      </c>
      <c r="I1462" s="54">
        <f>IF($B1462=0,NA(),IF($C1462="",NA(),IF(C$8="",NA(),IF(N(C$8)=0,NA(),IF(Inputs!$C$17="Rebased to 100",$C1462/C$8*100,$C1462)))))</f>
        <v/>
      </c>
      <c r="J1462" s="54">
        <f>IF($B1462=0,NA(),IF($D1462="",NA(),IF(D$8="",NA(),IF(N(D$8)=0,NA(),IF(Inputs!$C$17="Rebased to 100",$D1462/D$8*100,$D1462)))))</f>
        <v/>
      </c>
      <c r="K1462" s="54">
        <f>IF($B1462=0,NA(),IF($E1462="",NA(),IF(E$8="",NA(),IF(N(E$8)=0,NA(),IF(Inputs!$C$17="Rebased to 100",$E1462/E$8*100,$E1462)))))</f>
        <v/>
      </c>
      <c r="L1462" s="54">
        <f>IF($B1462=0,NA(),IF($F1462="",NA(),IF(F$8="",NA(),IF(N(F$8)=0,NA(),IF(Inputs!$C$17="Rebased to 100",$F1462/F$8*100,$F1462)))))</f>
        <v/>
      </c>
      <c r="M1462" s="54">
        <f>IF($B1462=0,NA(),IF($G1462="",NA(),IF(G$8="",NA(),IF(N(G$8)=0,NA(),IF(Inputs!$C$17="Rebased to 100",$G1462/G$8*100,$G1462)))))</f>
        <v/>
      </c>
      <c r="N1462" s="54">
        <f>IF($B1462=0,NA(),IF(Inputs!$C$18&lt;&gt;"Yes",NA(),IF(COUNT(I1462,J1462,K1462,L1462,M1462)=0,NA(),MIN(I1462,J1462,K1462,L1462,M1462))))</f>
        <v/>
      </c>
      <c r="O1462" s="54">
        <f>IF($B1462=0,NA(),IF(Inputs!$B$24&lt;&gt;"Yes",NA(),Inputs!$D$24*Inputs!$C$35))</f>
        <v/>
      </c>
      <c r="P1462" s="54">
        <f>IF($B1462=0,NA(),IF(Inputs!$B$25&lt;&gt;"Yes",NA(),Inputs!$D$25*Inputs!$C$35))</f>
        <v/>
      </c>
      <c r="Q1462" s="54">
        <f>IF($B1462=0,NA(),IF(Inputs!$B$26&lt;&gt;"Yes",NA(),Inputs!$D$26*Inputs!$C$35))</f>
        <v/>
      </c>
      <c r="R1462" s="54">
        <f>IF($B1462=0,NA(),IF(Inputs!$B$27&lt;&gt;"Yes",NA(),Inputs!$D$27*Inputs!$C$35))</f>
        <v/>
      </c>
      <c r="S1462" s="54">
        <f>IF($B1462=0,NA(),IF(Inputs!$B$28&lt;&gt;"Yes",NA(),Inputs!$D$28*Inputs!$C$35))</f>
        <v/>
      </c>
      <c r="T1462" s="54">
        <f>IF($B1462=0,NA(),IF(Inputs!$B$29&lt;&gt;"Yes",NA(),Inputs!$D$29*Inputs!$C$35))</f>
        <v/>
      </c>
      <c r="AD1462">
        <f>IF($B1462=0,0,IF(Inputs!$B$6="",0,COUNTIFS(Data!$A$10:$A$3209,"&gt;="&amp;$A1462,Data!$A$10:$A$3209,"&lt;"&amp;$A1462+1)))</f>
        <v/>
      </c>
      <c r="AE1462">
        <f>IF($B1462=0,0,IF(Inputs!$B$7="",0,COUNTIFS(Data!$E$10:$E$3209,"&gt;="&amp;$A1462,Data!$E$10:$E$3209,"&lt;"&amp;$A1462+1)))</f>
        <v/>
      </c>
      <c r="AF1462">
        <f>IF($B1462=0,0,IF(Inputs!$B$8="",0,COUNTIFS(Data!$I$10:$I$3209,"&gt;="&amp;$A1462,Data!$I$10:$I$3209,"&lt;"&amp;$A1462+1)))</f>
        <v/>
      </c>
      <c r="AG1462">
        <f>IF($B1462=0,0,IF(Inputs!$B$9="",0,COUNTIFS(Data!$M$10:$M$3209,"&gt;="&amp;$A1462,Data!$M$10:$M$3209,"&lt;"&amp;$A1462+1)))</f>
        <v/>
      </c>
      <c r="AH1462">
        <f>IF($B1462=0,0,IF(Inputs!$B$10="",0,COUNTIFS(Data!$Q$10:$Q$3209,"&gt;="&amp;$A1462,Data!$Q$10:$Q$3209,"&lt;"&amp;$A1462+1)))</f>
        <v/>
      </c>
    </row>
    <row r="1463">
      <c r="A1463" s="55">
        <f>MIN(Inputs!$C$15,$A1462+IF(WEEKDAY($A1462,2)=5,3,1))</f>
        <v/>
      </c>
      <c r="B1463">
        <f>IF($A1463&gt;$A1462,1,0)</f>
        <v/>
      </c>
      <c r="C1463" s="56">
        <f>IF($B1463=0,"",IF(Inputs!$B$6="","",IF($AD1463=0,C1462,SUMIFS(Data!$B$10:$B$3209,Data!$A$10:$A$3209,"&gt;="&amp;$A1463,Data!$A$10:$A$3209,"&lt;"&amp;$A1463+1)/$AD1463)))</f>
        <v/>
      </c>
      <c r="D1463" s="56">
        <f>IF($B1463=0,"",IF(Inputs!$B$7="","",IF($AE1463=0,D1462,SUMIFS(Data!$F$10:$F$3209,Data!$E$10:$E$3209,"&gt;="&amp;$A1463,Data!$E$10:$E$3209,"&lt;"&amp;$A1463+1)/$AE1463)))</f>
        <v/>
      </c>
      <c r="E1463" s="56">
        <f>IF($B1463=0,"",IF(Inputs!$B$8="","",IF($AF1463=0,E1462,SUMIFS(Data!$J$10:$J$3209,Data!$I$10:$I$3209,"&gt;="&amp;$A1463,Data!$I$10:$I$3209,"&lt;"&amp;$A1463+1)/$AF1463)))</f>
        <v/>
      </c>
      <c r="F1463" s="56">
        <f>IF($B1463=0,"",IF(Inputs!$B$9="","",IF($AG1463=0,F1462,SUMIFS(Data!$N$10:$N$3209,Data!$M$10:$M$3209,"&gt;="&amp;$A1463,Data!$M$10:$M$3209,"&lt;"&amp;$A1463+1)/$AG1463)))</f>
        <v/>
      </c>
      <c r="G1463" s="56">
        <f>IF($B1463=0,"",IF(Inputs!$B$10="","",IF($AH1463=0,G1462,SUMIFS(Data!$R$10:$R$3209,Data!$Q$10:$Q$3209,"&gt;="&amp;$A1463,Data!$Q$10:$Q$3209,"&lt;"&amp;$A1463+1)/$AH1463)))</f>
        <v/>
      </c>
      <c r="I1463" s="54">
        <f>IF($B1463=0,NA(),IF($C1463="",NA(),IF(C$8="",NA(),IF(N(C$8)=0,NA(),IF(Inputs!$C$17="Rebased to 100",$C1463/C$8*100,$C1463)))))</f>
        <v/>
      </c>
      <c r="J1463" s="54">
        <f>IF($B1463=0,NA(),IF($D1463="",NA(),IF(D$8="",NA(),IF(N(D$8)=0,NA(),IF(Inputs!$C$17="Rebased to 100",$D1463/D$8*100,$D1463)))))</f>
        <v/>
      </c>
      <c r="K1463" s="54">
        <f>IF($B1463=0,NA(),IF($E1463="",NA(),IF(E$8="",NA(),IF(N(E$8)=0,NA(),IF(Inputs!$C$17="Rebased to 100",$E1463/E$8*100,$E1463)))))</f>
        <v/>
      </c>
      <c r="L1463" s="54">
        <f>IF($B1463=0,NA(),IF($F1463="",NA(),IF(F$8="",NA(),IF(N(F$8)=0,NA(),IF(Inputs!$C$17="Rebased to 100",$F1463/F$8*100,$F1463)))))</f>
        <v/>
      </c>
      <c r="M1463" s="54">
        <f>IF($B1463=0,NA(),IF($G1463="",NA(),IF(G$8="",NA(),IF(N(G$8)=0,NA(),IF(Inputs!$C$17="Rebased to 100",$G1463/G$8*100,$G1463)))))</f>
        <v/>
      </c>
      <c r="N1463" s="54">
        <f>IF($B1463=0,NA(),IF(Inputs!$C$18&lt;&gt;"Yes",NA(),IF(COUNT(I1463,J1463,K1463,L1463,M1463)=0,NA(),MIN(I1463,J1463,K1463,L1463,M1463))))</f>
        <v/>
      </c>
      <c r="O1463" s="54">
        <f>IF($B1463=0,NA(),IF(Inputs!$B$24&lt;&gt;"Yes",NA(),Inputs!$D$24*Inputs!$C$35))</f>
        <v/>
      </c>
      <c r="P1463" s="54">
        <f>IF($B1463=0,NA(),IF(Inputs!$B$25&lt;&gt;"Yes",NA(),Inputs!$D$25*Inputs!$C$35))</f>
        <v/>
      </c>
      <c r="Q1463" s="54">
        <f>IF($B1463=0,NA(),IF(Inputs!$B$26&lt;&gt;"Yes",NA(),Inputs!$D$26*Inputs!$C$35))</f>
        <v/>
      </c>
      <c r="R1463" s="54">
        <f>IF($B1463=0,NA(),IF(Inputs!$B$27&lt;&gt;"Yes",NA(),Inputs!$D$27*Inputs!$C$35))</f>
        <v/>
      </c>
      <c r="S1463" s="54">
        <f>IF($B1463=0,NA(),IF(Inputs!$B$28&lt;&gt;"Yes",NA(),Inputs!$D$28*Inputs!$C$35))</f>
        <v/>
      </c>
      <c r="T1463" s="54">
        <f>IF($B1463=0,NA(),IF(Inputs!$B$29&lt;&gt;"Yes",NA(),Inputs!$D$29*Inputs!$C$35))</f>
        <v/>
      </c>
      <c r="AD1463">
        <f>IF($B1463=0,0,IF(Inputs!$B$6="",0,COUNTIFS(Data!$A$10:$A$3209,"&gt;="&amp;$A1463,Data!$A$10:$A$3209,"&lt;"&amp;$A1463+1)))</f>
        <v/>
      </c>
      <c r="AE1463">
        <f>IF($B1463=0,0,IF(Inputs!$B$7="",0,COUNTIFS(Data!$E$10:$E$3209,"&gt;="&amp;$A1463,Data!$E$10:$E$3209,"&lt;"&amp;$A1463+1)))</f>
        <v/>
      </c>
      <c r="AF1463">
        <f>IF($B1463=0,0,IF(Inputs!$B$8="",0,COUNTIFS(Data!$I$10:$I$3209,"&gt;="&amp;$A1463,Data!$I$10:$I$3209,"&lt;"&amp;$A1463+1)))</f>
        <v/>
      </c>
      <c r="AG1463">
        <f>IF($B1463=0,0,IF(Inputs!$B$9="",0,COUNTIFS(Data!$M$10:$M$3209,"&gt;="&amp;$A1463,Data!$M$10:$M$3209,"&lt;"&amp;$A1463+1)))</f>
        <v/>
      </c>
      <c r="AH1463">
        <f>IF($B1463=0,0,IF(Inputs!$B$10="",0,COUNTIFS(Data!$Q$10:$Q$3209,"&gt;="&amp;$A1463,Data!$Q$10:$Q$3209,"&lt;"&amp;$A1463+1)))</f>
        <v/>
      </c>
    </row>
    <row r="1464">
      <c r="A1464" s="55">
        <f>MIN(Inputs!$C$15,$A1463+IF(WEEKDAY($A1463,2)=5,3,1))</f>
        <v/>
      </c>
      <c r="B1464">
        <f>IF($A1464&gt;$A1463,1,0)</f>
        <v/>
      </c>
      <c r="C1464" s="56">
        <f>IF($B1464=0,"",IF(Inputs!$B$6="","",IF($AD1464=0,C1463,SUMIFS(Data!$B$10:$B$3209,Data!$A$10:$A$3209,"&gt;="&amp;$A1464,Data!$A$10:$A$3209,"&lt;"&amp;$A1464+1)/$AD1464)))</f>
        <v/>
      </c>
      <c r="D1464" s="56">
        <f>IF($B1464=0,"",IF(Inputs!$B$7="","",IF($AE1464=0,D1463,SUMIFS(Data!$F$10:$F$3209,Data!$E$10:$E$3209,"&gt;="&amp;$A1464,Data!$E$10:$E$3209,"&lt;"&amp;$A1464+1)/$AE1464)))</f>
        <v/>
      </c>
      <c r="E1464" s="56">
        <f>IF($B1464=0,"",IF(Inputs!$B$8="","",IF($AF1464=0,E1463,SUMIFS(Data!$J$10:$J$3209,Data!$I$10:$I$3209,"&gt;="&amp;$A1464,Data!$I$10:$I$3209,"&lt;"&amp;$A1464+1)/$AF1464)))</f>
        <v/>
      </c>
      <c r="F1464" s="56">
        <f>IF($B1464=0,"",IF(Inputs!$B$9="","",IF($AG1464=0,F1463,SUMIFS(Data!$N$10:$N$3209,Data!$M$10:$M$3209,"&gt;="&amp;$A1464,Data!$M$10:$M$3209,"&lt;"&amp;$A1464+1)/$AG1464)))</f>
        <v/>
      </c>
      <c r="G1464" s="56">
        <f>IF($B1464=0,"",IF(Inputs!$B$10="","",IF($AH1464=0,G1463,SUMIFS(Data!$R$10:$R$3209,Data!$Q$10:$Q$3209,"&gt;="&amp;$A1464,Data!$Q$10:$Q$3209,"&lt;"&amp;$A1464+1)/$AH1464)))</f>
        <v/>
      </c>
      <c r="I1464" s="54">
        <f>IF($B1464=0,NA(),IF($C1464="",NA(),IF(C$8="",NA(),IF(N(C$8)=0,NA(),IF(Inputs!$C$17="Rebased to 100",$C1464/C$8*100,$C1464)))))</f>
        <v/>
      </c>
      <c r="J1464" s="54">
        <f>IF($B1464=0,NA(),IF($D1464="",NA(),IF(D$8="",NA(),IF(N(D$8)=0,NA(),IF(Inputs!$C$17="Rebased to 100",$D1464/D$8*100,$D1464)))))</f>
        <v/>
      </c>
      <c r="K1464" s="54">
        <f>IF($B1464=0,NA(),IF($E1464="",NA(),IF(E$8="",NA(),IF(N(E$8)=0,NA(),IF(Inputs!$C$17="Rebased to 100",$E1464/E$8*100,$E1464)))))</f>
        <v/>
      </c>
      <c r="L1464" s="54">
        <f>IF($B1464=0,NA(),IF($F1464="",NA(),IF(F$8="",NA(),IF(N(F$8)=0,NA(),IF(Inputs!$C$17="Rebased to 100",$F1464/F$8*100,$F1464)))))</f>
        <v/>
      </c>
      <c r="M1464" s="54">
        <f>IF($B1464=0,NA(),IF($G1464="",NA(),IF(G$8="",NA(),IF(N(G$8)=0,NA(),IF(Inputs!$C$17="Rebased to 100",$G1464/G$8*100,$G1464)))))</f>
        <v/>
      </c>
      <c r="N1464" s="54">
        <f>IF($B1464=0,NA(),IF(Inputs!$C$18&lt;&gt;"Yes",NA(),IF(COUNT(I1464,J1464,K1464,L1464,M1464)=0,NA(),MIN(I1464,J1464,K1464,L1464,M1464))))</f>
        <v/>
      </c>
      <c r="O1464" s="54">
        <f>IF($B1464=0,NA(),IF(Inputs!$B$24&lt;&gt;"Yes",NA(),Inputs!$D$24*Inputs!$C$35))</f>
        <v/>
      </c>
      <c r="P1464" s="54">
        <f>IF($B1464=0,NA(),IF(Inputs!$B$25&lt;&gt;"Yes",NA(),Inputs!$D$25*Inputs!$C$35))</f>
        <v/>
      </c>
      <c r="Q1464" s="54">
        <f>IF($B1464=0,NA(),IF(Inputs!$B$26&lt;&gt;"Yes",NA(),Inputs!$D$26*Inputs!$C$35))</f>
        <v/>
      </c>
      <c r="R1464" s="54">
        <f>IF($B1464=0,NA(),IF(Inputs!$B$27&lt;&gt;"Yes",NA(),Inputs!$D$27*Inputs!$C$35))</f>
        <v/>
      </c>
      <c r="S1464" s="54">
        <f>IF($B1464=0,NA(),IF(Inputs!$B$28&lt;&gt;"Yes",NA(),Inputs!$D$28*Inputs!$C$35))</f>
        <v/>
      </c>
      <c r="T1464" s="54">
        <f>IF($B1464=0,NA(),IF(Inputs!$B$29&lt;&gt;"Yes",NA(),Inputs!$D$29*Inputs!$C$35))</f>
        <v/>
      </c>
      <c r="AD1464">
        <f>IF($B1464=0,0,IF(Inputs!$B$6="",0,COUNTIFS(Data!$A$10:$A$3209,"&gt;="&amp;$A1464,Data!$A$10:$A$3209,"&lt;"&amp;$A1464+1)))</f>
        <v/>
      </c>
      <c r="AE1464">
        <f>IF($B1464=0,0,IF(Inputs!$B$7="",0,COUNTIFS(Data!$E$10:$E$3209,"&gt;="&amp;$A1464,Data!$E$10:$E$3209,"&lt;"&amp;$A1464+1)))</f>
        <v/>
      </c>
      <c r="AF1464">
        <f>IF($B1464=0,0,IF(Inputs!$B$8="",0,COUNTIFS(Data!$I$10:$I$3209,"&gt;="&amp;$A1464,Data!$I$10:$I$3209,"&lt;"&amp;$A1464+1)))</f>
        <v/>
      </c>
      <c r="AG1464">
        <f>IF($B1464=0,0,IF(Inputs!$B$9="",0,COUNTIFS(Data!$M$10:$M$3209,"&gt;="&amp;$A1464,Data!$M$10:$M$3209,"&lt;"&amp;$A1464+1)))</f>
        <v/>
      </c>
      <c r="AH1464">
        <f>IF($B1464=0,0,IF(Inputs!$B$10="",0,COUNTIFS(Data!$Q$10:$Q$3209,"&gt;="&amp;$A1464,Data!$Q$10:$Q$3209,"&lt;"&amp;$A1464+1)))</f>
        <v/>
      </c>
    </row>
    <row r="1465">
      <c r="A1465" s="55">
        <f>MIN(Inputs!$C$15,$A1464+IF(WEEKDAY($A1464,2)=5,3,1))</f>
        <v/>
      </c>
      <c r="B1465">
        <f>IF($A1465&gt;$A1464,1,0)</f>
        <v/>
      </c>
      <c r="C1465" s="56">
        <f>IF($B1465=0,"",IF(Inputs!$B$6="","",IF($AD1465=0,C1464,SUMIFS(Data!$B$10:$B$3209,Data!$A$10:$A$3209,"&gt;="&amp;$A1465,Data!$A$10:$A$3209,"&lt;"&amp;$A1465+1)/$AD1465)))</f>
        <v/>
      </c>
      <c r="D1465" s="56">
        <f>IF($B1465=0,"",IF(Inputs!$B$7="","",IF($AE1465=0,D1464,SUMIFS(Data!$F$10:$F$3209,Data!$E$10:$E$3209,"&gt;="&amp;$A1465,Data!$E$10:$E$3209,"&lt;"&amp;$A1465+1)/$AE1465)))</f>
        <v/>
      </c>
      <c r="E1465" s="56">
        <f>IF($B1465=0,"",IF(Inputs!$B$8="","",IF($AF1465=0,E1464,SUMIFS(Data!$J$10:$J$3209,Data!$I$10:$I$3209,"&gt;="&amp;$A1465,Data!$I$10:$I$3209,"&lt;"&amp;$A1465+1)/$AF1465)))</f>
        <v/>
      </c>
      <c r="F1465" s="56">
        <f>IF($B1465=0,"",IF(Inputs!$B$9="","",IF($AG1465=0,F1464,SUMIFS(Data!$N$10:$N$3209,Data!$M$10:$M$3209,"&gt;="&amp;$A1465,Data!$M$10:$M$3209,"&lt;"&amp;$A1465+1)/$AG1465)))</f>
        <v/>
      </c>
      <c r="G1465" s="56">
        <f>IF($B1465=0,"",IF(Inputs!$B$10="","",IF($AH1465=0,G1464,SUMIFS(Data!$R$10:$R$3209,Data!$Q$10:$Q$3209,"&gt;="&amp;$A1465,Data!$Q$10:$Q$3209,"&lt;"&amp;$A1465+1)/$AH1465)))</f>
        <v/>
      </c>
      <c r="I1465" s="54">
        <f>IF($B1465=0,NA(),IF($C1465="",NA(),IF(C$8="",NA(),IF(N(C$8)=0,NA(),IF(Inputs!$C$17="Rebased to 100",$C1465/C$8*100,$C1465)))))</f>
        <v/>
      </c>
      <c r="J1465" s="54">
        <f>IF($B1465=0,NA(),IF($D1465="",NA(),IF(D$8="",NA(),IF(N(D$8)=0,NA(),IF(Inputs!$C$17="Rebased to 100",$D1465/D$8*100,$D1465)))))</f>
        <v/>
      </c>
      <c r="K1465" s="54">
        <f>IF($B1465=0,NA(),IF($E1465="",NA(),IF(E$8="",NA(),IF(N(E$8)=0,NA(),IF(Inputs!$C$17="Rebased to 100",$E1465/E$8*100,$E1465)))))</f>
        <v/>
      </c>
      <c r="L1465" s="54">
        <f>IF($B1465=0,NA(),IF($F1465="",NA(),IF(F$8="",NA(),IF(N(F$8)=0,NA(),IF(Inputs!$C$17="Rebased to 100",$F1465/F$8*100,$F1465)))))</f>
        <v/>
      </c>
      <c r="M1465" s="54">
        <f>IF($B1465=0,NA(),IF($G1465="",NA(),IF(G$8="",NA(),IF(N(G$8)=0,NA(),IF(Inputs!$C$17="Rebased to 100",$G1465/G$8*100,$G1465)))))</f>
        <v/>
      </c>
      <c r="N1465" s="54">
        <f>IF($B1465=0,NA(),IF(Inputs!$C$18&lt;&gt;"Yes",NA(),IF(COUNT(I1465,J1465,K1465,L1465,M1465)=0,NA(),MIN(I1465,J1465,K1465,L1465,M1465))))</f>
        <v/>
      </c>
      <c r="O1465" s="54">
        <f>IF($B1465=0,NA(),IF(Inputs!$B$24&lt;&gt;"Yes",NA(),Inputs!$D$24*Inputs!$C$35))</f>
        <v/>
      </c>
      <c r="P1465" s="54">
        <f>IF($B1465=0,NA(),IF(Inputs!$B$25&lt;&gt;"Yes",NA(),Inputs!$D$25*Inputs!$C$35))</f>
        <v/>
      </c>
      <c r="Q1465" s="54">
        <f>IF($B1465=0,NA(),IF(Inputs!$B$26&lt;&gt;"Yes",NA(),Inputs!$D$26*Inputs!$C$35))</f>
        <v/>
      </c>
      <c r="R1465" s="54">
        <f>IF($B1465=0,NA(),IF(Inputs!$B$27&lt;&gt;"Yes",NA(),Inputs!$D$27*Inputs!$C$35))</f>
        <v/>
      </c>
      <c r="S1465" s="54">
        <f>IF($B1465=0,NA(),IF(Inputs!$B$28&lt;&gt;"Yes",NA(),Inputs!$D$28*Inputs!$C$35))</f>
        <v/>
      </c>
      <c r="T1465" s="54">
        <f>IF($B1465=0,NA(),IF(Inputs!$B$29&lt;&gt;"Yes",NA(),Inputs!$D$29*Inputs!$C$35))</f>
        <v/>
      </c>
      <c r="AD1465">
        <f>IF($B1465=0,0,IF(Inputs!$B$6="",0,COUNTIFS(Data!$A$10:$A$3209,"&gt;="&amp;$A1465,Data!$A$10:$A$3209,"&lt;"&amp;$A1465+1)))</f>
        <v/>
      </c>
      <c r="AE1465">
        <f>IF($B1465=0,0,IF(Inputs!$B$7="",0,COUNTIFS(Data!$E$10:$E$3209,"&gt;="&amp;$A1465,Data!$E$10:$E$3209,"&lt;"&amp;$A1465+1)))</f>
        <v/>
      </c>
      <c r="AF1465">
        <f>IF($B1465=0,0,IF(Inputs!$B$8="",0,COUNTIFS(Data!$I$10:$I$3209,"&gt;="&amp;$A1465,Data!$I$10:$I$3209,"&lt;"&amp;$A1465+1)))</f>
        <v/>
      </c>
      <c r="AG1465">
        <f>IF($B1465=0,0,IF(Inputs!$B$9="",0,COUNTIFS(Data!$M$10:$M$3209,"&gt;="&amp;$A1465,Data!$M$10:$M$3209,"&lt;"&amp;$A1465+1)))</f>
        <v/>
      </c>
      <c r="AH1465">
        <f>IF($B1465=0,0,IF(Inputs!$B$10="",0,COUNTIFS(Data!$Q$10:$Q$3209,"&gt;="&amp;$A1465,Data!$Q$10:$Q$3209,"&lt;"&amp;$A1465+1)))</f>
        <v/>
      </c>
    </row>
    <row r="1466">
      <c r="A1466" s="55">
        <f>MIN(Inputs!$C$15,$A1465+IF(WEEKDAY($A1465,2)=5,3,1))</f>
        <v/>
      </c>
      <c r="B1466">
        <f>IF($A1466&gt;$A1465,1,0)</f>
        <v/>
      </c>
      <c r="C1466" s="56">
        <f>IF($B1466=0,"",IF(Inputs!$B$6="","",IF($AD1466=0,C1465,SUMIFS(Data!$B$10:$B$3209,Data!$A$10:$A$3209,"&gt;="&amp;$A1466,Data!$A$10:$A$3209,"&lt;"&amp;$A1466+1)/$AD1466)))</f>
        <v/>
      </c>
      <c r="D1466" s="56">
        <f>IF($B1466=0,"",IF(Inputs!$B$7="","",IF($AE1466=0,D1465,SUMIFS(Data!$F$10:$F$3209,Data!$E$10:$E$3209,"&gt;="&amp;$A1466,Data!$E$10:$E$3209,"&lt;"&amp;$A1466+1)/$AE1466)))</f>
        <v/>
      </c>
      <c r="E1466" s="56">
        <f>IF($B1466=0,"",IF(Inputs!$B$8="","",IF($AF1466=0,E1465,SUMIFS(Data!$J$10:$J$3209,Data!$I$10:$I$3209,"&gt;="&amp;$A1466,Data!$I$10:$I$3209,"&lt;"&amp;$A1466+1)/$AF1466)))</f>
        <v/>
      </c>
      <c r="F1466" s="56">
        <f>IF($B1466=0,"",IF(Inputs!$B$9="","",IF($AG1466=0,F1465,SUMIFS(Data!$N$10:$N$3209,Data!$M$10:$M$3209,"&gt;="&amp;$A1466,Data!$M$10:$M$3209,"&lt;"&amp;$A1466+1)/$AG1466)))</f>
        <v/>
      </c>
      <c r="G1466" s="56">
        <f>IF($B1466=0,"",IF(Inputs!$B$10="","",IF($AH1466=0,G1465,SUMIFS(Data!$R$10:$R$3209,Data!$Q$10:$Q$3209,"&gt;="&amp;$A1466,Data!$Q$10:$Q$3209,"&lt;"&amp;$A1466+1)/$AH1466)))</f>
        <v/>
      </c>
      <c r="I1466" s="54">
        <f>IF($B1466=0,NA(),IF($C1466="",NA(),IF(C$8="",NA(),IF(N(C$8)=0,NA(),IF(Inputs!$C$17="Rebased to 100",$C1466/C$8*100,$C1466)))))</f>
        <v/>
      </c>
      <c r="J1466" s="54">
        <f>IF($B1466=0,NA(),IF($D1466="",NA(),IF(D$8="",NA(),IF(N(D$8)=0,NA(),IF(Inputs!$C$17="Rebased to 100",$D1466/D$8*100,$D1466)))))</f>
        <v/>
      </c>
      <c r="K1466" s="54">
        <f>IF($B1466=0,NA(),IF($E1466="",NA(),IF(E$8="",NA(),IF(N(E$8)=0,NA(),IF(Inputs!$C$17="Rebased to 100",$E1466/E$8*100,$E1466)))))</f>
        <v/>
      </c>
      <c r="L1466" s="54">
        <f>IF($B1466=0,NA(),IF($F1466="",NA(),IF(F$8="",NA(),IF(N(F$8)=0,NA(),IF(Inputs!$C$17="Rebased to 100",$F1466/F$8*100,$F1466)))))</f>
        <v/>
      </c>
      <c r="M1466" s="54">
        <f>IF($B1466=0,NA(),IF($G1466="",NA(),IF(G$8="",NA(),IF(N(G$8)=0,NA(),IF(Inputs!$C$17="Rebased to 100",$G1466/G$8*100,$G1466)))))</f>
        <v/>
      </c>
      <c r="N1466" s="54">
        <f>IF($B1466=0,NA(),IF(Inputs!$C$18&lt;&gt;"Yes",NA(),IF(COUNT(I1466,J1466,K1466,L1466,M1466)=0,NA(),MIN(I1466,J1466,K1466,L1466,M1466))))</f>
        <v/>
      </c>
      <c r="O1466" s="54">
        <f>IF($B1466=0,NA(),IF(Inputs!$B$24&lt;&gt;"Yes",NA(),Inputs!$D$24*Inputs!$C$35))</f>
        <v/>
      </c>
      <c r="P1466" s="54">
        <f>IF($B1466=0,NA(),IF(Inputs!$B$25&lt;&gt;"Yes",NA(),Inputs!$D$25*Inputs!$C$35))</f>
        <v/>
      </c>
      <c r="Q1466" s="54">
        <f>IF($B1466=0,NA(),IF(Inputs!$B$26&lt;&gt;"Yes",NA(),Inputs!$D$26*Inputs!$C$35))</f>
        <v/>
      </c>
      <c r="R1466" s="54">
        <f>IF($B1466=0,NA(),IF(Inputs!$B$27&lt;&gt;"Yes",NA(),Inputs!$D$27*Inputs!$C$35))</f>
        <v/>
      </c>
      <c r="S1466" s="54">
        <f>IF($B1466=0,NA(),IF(Inputs!$B$28&lt;&gt;"Yes",NA(),Inputs!$D$28*Inputs!$C$35))</f>
        <v/>
      </c>
      <c r="T1466" s="54">
        <f>IF($B1466=0,NA(),IF(Inputs!$B$29&lt;&gt;"Yes",NA(),Inputs!$D$29*Inputs!$C$35))</f>
        <v/>
      </c>
      <c r="AD1466">
        <f>IF($B1466=0,0,IF(Inputs!$B$6="",0,COUNTIFS(Data!$A$10:$A$3209,"&gt;="&amp;$A1466,Data!$A$10:$A$3209,"&lt;"&amp;$A1466+1)))</f>
        <v/>
      </c>
      <c r="AE1466">
        <f>IF($B1466=0,0,IF(Inputs!$B$7="",0,COUNTIFS(Data!$E$10:$E$3209,"&gt;="&amp;$A1466,Data!$E$10:$E$3209,"&lt;"&amp;$A1466+1)))</f>
        <v/>
      </c>
      <c r="AF1466">
        <f>IF($B1466=0,0,IF(Inputs!$B$8="",0,COUNTIFS(Data!$I$10:$I$3209,"&gt;="&amp;$A1466,Data!$I$10:$I$3209,"&lt;"&amp;$A1466+1)))</f>
        <v/>
      </c>
      <c r="AG1466">
        <f>IF($B1466=0,0,IF(Inputs!$B$9="",0,COUNTIFS(Data!$M$10:$M$3209,"&gt;="&amp;$A1466,Data!$M$10:$M$3209,"&lt;"&amp;$A1466+1)))</f>
        <v/>
      </c>
      <c r="AH1466">
        <f>IF($B1466=0,0,IF(Inputs!$B$10="",0,COUNTIFS(Data!$Q$10:$Q$3209,"&gt;="&amp;$A1466,Data!$Q$10:$Q$3209,"&lt;"&amp;$A1466+1)))</f>
        <v/>
      </c>
    </row>
    <row r="1467">
      <c r="A1467" s="55">
        <f>MIN(Inputs!$C$15,$A1466+IF(WEEKDAY($A1466,2)=5,3,1))</f>
        <v/>
      </c>
      <c r="B1467">
        <f>IF($A1467&gt;$A1466,1,0)</f>
        <v/>
      </c>
      <c r="C1467" s="56">
        <f>IF($B1467=0,"",IF(Inputs!$B$6="","",IF($AD1467=0,C1466,SUMIFS(Data!$B$10:$B$3209,Data!$A$10:$A$3209,"&gt;="&amp;$A1467,Data!$A$10:$A$3209,"&lt;"&amp;$A1467+1)/$AD1467)))</f>
        <v/>
      </c>
      <c r="D1467" s="56">
        <f>IF($B1467=0,"",IF(Inputs!$B$7="","",IF($AE1467=0,D1466,SUMIFS(Data!$F$10:$F$3209,Data!$E$10:$E$3209,"&gt;="&amp;$A1467,Data!$E$10:$E$3209,"&lt;"&amp;$A1467+1)/$AE1467)))</f>
        <v/>
      </c>
      <c r="E1467" s="56">
        <f>IF($B1467=0,"",IF(Inputs!$B$8="","",IF($AF1467=0,E1466,SUMIFS(Data!$J$10:$J$3209,Data!$I$10:$I$3209,"&gt;="&amp;$A1467,Data!$I$10:$I$3209,"&lt;"&amp;$A1467+1)/$AF1467)))</f>
        <v/>
      </c>
      <c r="F1467" s="56">
        <f>IF($B1467=0,"",IF(Inputs!$B$9="","",IF($AG1467=0,F1466,SUMIFS(Data!$N$10:$N$3209,Data!$M$10:$M$3209,"&gt;="&amp;$A1467,Data!$M$10:$M$3209,"&lt;"&amp;$A1467+1)/$AG1467)))</f>
        <v/>
      </c>
      <c r="G1467" s="56">
        <f>IF($B1467=0,"",IF(Inputs!$B$10="","",IF($AH1467=0,G1466,SUMIFS(Data!$R$10:$R$3209,Data!$Q$10:$Q$3209,"&gt;="&amp;$A1467,Data!$Q$10:$Q$3209,"&lt;"&amp;$A1467+1)/$AH1467)))</f>
        <v/>
      </c>
      <c r="I1467" s="54">
        <f>IF($B1467=0,NA(),IF($C1467="",NA(),IF(C$8="",NA(),IF(N(C$8)=0,NA(),IF(Inputs!$C$17="Rebased to 100",$C1467/C$8*100,$C1467)))))</f>
        <v/>
      </c>
      <c r="J1467" s="54">
        <f>IF($B1467=0,NA(),IF($D1467="",NA(),IF(D$8="",NA(),IF(N(D$8)=0,NA(),IF(Inputs!$C$17="Rebased to 100",$D1467/D$8*100,$D1467)))))</f>
        <v/>
      </c>
      <c r="K1467" s="54">
        <f>IF($B1467=0,NA(),IF($E1467="",NA(),IF(E$8="",NA(),IF(N(E$8)=0,NA(),IF(Inputs!$C$17="Rebased to 100",$E1467/E$8*100,$E1467)))))</f>
        <v/>
      </c>
      <c r="L1467" s="54">
        <f>IF($B1467=0,NA(),IF($F1467="",NA(),IF(F$8="",NA(),IF(N(F$8)=0,NA(),IF(Inputs!$C$17="Rebased to 100",$F1467/F$8*100,$F1467)))))</f>
        <v/>
      </c>
      <c r="M1467" s="54">
        <f>IF($B1467=0,NA(),IF($G1467="",NA(),IF(G$8="",NA(),IF(N(G$8)=0,NA(),IF(Inputs!$C$17="Rebased to 100",$G1467/G$8*100,$G1467)))))</f>
        <v/>
      </c>
      <c r="N1467" s="54">
        <f>IF($B1467=0,NA(),IF(Inputs!$C$18&lt;&gt;"Yes",NA(),IF(COUNT(I1467,J1467,K1467,L1467,M1467)=0,NA(),MIN(I1467,J1467,K1467,L1467,M1467))))</f>
        <v/>
      </c>
      <c r="O1467" s="54">
        <f>IF($B1467=0,NA(),IF(Inputs!$B$24&lt;&gt;"Yes",NA(),Inputs!$D$24*Inputs!$C$35))</f>
        <v/>
      </c>
      <c r="P1467" s="54">
        <f>IF($B1467=0,NA(),IF(Inputs!$B$25&lt;&gt;"Yes",NA(),Inputs!$D$25*Inputs!$C$35))</f>
        <v/>
      </c>
      <c r="Q1467" s="54">
        <f>IF($B1467=0,NA(),IF(Inputs!$B$26&lt;&gt;"Yes",NA(),Inputs!$D$26*Inputs!$C$35))</f>
        <v/>
      </c>
      <c r="R1467" s="54">
        <f>IF($B1467=0,NA(),IF(Inputs!$B$27&lt;&gt;"Yes",NA(),Inputs!$D$27*Inputs!$C$35))</f>
        <v/>
      </c>
      <c r="S1467" s="54">
        <f>IF($B1467=0,NA(),IF(Inputs!$B$28&lt;&gt;"Yes",NA(),Inputs!$D$28*Inputs!$C$35))</f>
        <v/>
      </c>
      <c r="T1467" s="54">
        <f>IF($B1467=0,NA(),IF(Inputs!$B$29&lt;&gt;"Yes",NA(),Inputs!$D$29*Inputs!$C$35))</f>
        <v/>
      </c>
      <c r="AD1467">
        <f>IF($B1467=0,0,IF(Inputs!$B$6="",0,COUNTIFS(Data!$A$10:$A$3209,"&gt;="&amp;$A1467,Data!$A$10:$A$3209,"&lt;"&amp;$A1467+1)))</f>
        <v/>
      </c>
      <c r="AE1467">
        <f>IF($B1467=0,0,IF(Inputs!$B$7="",0,COUNTIFS(Data!$E$10:$E$3209,"&gt;="&amp;$A1467,Data!$E$10:$E$3209,"&lt;"&amp;$A1467+1)))</f>
        <v/>
      </c>
      <c r="AF1467">
        <f>IF($B1467=0,0,IF(Inputs!$B$8="",0,COUNTIFS(Data!$I$10:$I$3209,"&gt;="&amp;$A1467,Data!$I$10:$I$3209,"&lt;"&amp;$A1467+1)))</f>
        <v/>
      </c>
      <c r="AG1467">
        <f>IF($B1467=0,0,IF(Inputs!$B$9="",0,COUNTIFS(Data!$M$10:$M$3209,"&gt;="&amp;$A1467,Data!$M$10:$M$3209,"&lt;"&amp;$A1467+1)))</f>
        <v/>
      </c>
      <c r="AH1467">
        <f>IF($B1467=0,0,IF(Inputs!$B$10="",0,COUNTIFS(Data!$Q$10:$Q$3209,"&gt;="&amp;$A1467,Data!$Q$10:$Q$3209,"&lt;"&amp;$A1467+1)))</f>
        <v/>
      </c>
    </row>
    <row r="1468">
      <c r="A1468" s="55">
        <f>MIN(Inputs!$C$15,$A1467+IF(WEEKDAY($A1467,2)=5,3,1))</f>
        <v/>
      </c>
      <c r="B1468">
        <f>IF($A1468&gt;$A1467,1,0)</f>
        <v/>
      </c>
      <c r="C1468" s="56">
        <f>IF($B1468=0,"",IF(Inputs!$B$6="","",IF($AD1468=0,C1467,SUMIFS(Data!$B$10:$B$3209,Data!$A$10:$A$3209,"&gt;="&amp;$A1468,Data!$A$10:$A$3209,"&lt;"&amp;$A1468+1)/$AD1468)))</f>
        <v/>
      </c>
      <c r="D1468" s="56">
        <f>IF($B1468=0,"",IF(Inputs!$B$7="","",IF($AE1468=0,D1467,SUMIFS(Data!$F$10:$F$3209,Data!$E$10:$E$3209,"&gt;="&amp;$A1468,Data!$E$10:$E$3209,"&lt;"&amp;$A1468+1)/$AE1468)))</f>
        <v/>
      </c>
      <c r="E1468" s="56">
        <f>IF($B1468=0,"",IF(Inputs!$B$8="","",IF($AF1468=0,E1467,SUMIFS(Data!$J$10:$J$3209,Data!$I$10:$I$3209,"&gt;="&amp;$A1468,Data!$I$10:$I$3209,"&lt;"&amp;$A1468+1)/$AF1468)))</f>
        <v/>
      </c>
      <c r="F1468" s="56">
        <f>IF($B1468=0,"",IF(Inputs!$B$9="","",IF($AG1468=0,F1467,SUMIFS(Data!$N$10:$N$3209,Data!$M$10:$M$3209,"&gt;="&amp;$A1468,Data!$M$10:$M$3209,"&lt;"&amp;$A1468+1)/$AG1468)))</f>
        <v/>
      </c>
      <c r="G1468" s="56">
        <f>IF($B1468=0,"",IF(Inputs!$B$10="","",IF($AH1468=0,G1467,SUMIFS(Data!$R$10:$R$3209,Data!$Q$10:$Q$3209,"&gt;="&amp;$A1468,Data!$Q$10:$Q$3209,"&lt;"&amp;$A1468+1)/$AH1468)))</f>
        <v/>
      </c>
      <c r="I1468" s="54">
        <f>IF($B1468=0,NA(),IF($C1468="",NA(),IF(C$8="",NA(),IF(N(C$8)=0,NA(),IF(Inputs!$C$17="Rebased to 100",$C1468/C$8*100,$C1468)))))</f>
        <v/>
      </c>
      <c r="J1468" s="54">
        <f>IF($B1468=0,NA(),IF($D1468="",NA(),IF(D$8="",NA(),IF(N(D$8)=0,NA(),IF(Inputs!$C$17="Rebased to 100",$D1468/D$8*100,$D1468)))))</f>
        <v/>
      </c>
      <c r="K1468" s="54">
        <f>IF($B1468=0,NA(),IF($E1468="",NA(),IF(E$8="",NA(),IF(N(E$8)=0,NA(),IF(Inputs!$C$17="Rebased to 100",$E1468/E$8*100,$E1468)))))</f>
        <v/>
      </c>
      <c r="L1468" s="54">
        <f>IF($B1468=0,NA(),IF($F1468="",NA(),IF(F$8="",NA(),IF(N(F$8)=0,NA(),IF(Inputs!$C$17="Rebased to 100",$F1468/F$8*100,$F1468)))))</f>
        <v/>
      </c>
      <c r="M1468" s="54">
        <f>IF($B1468=0,NA(),IF($G1468="",NA(),IF(G$8="",NA(),IF(N(G$8)=0,NA(),IF(Inputs!$C$17="Rebased to 100",$G1468/G$8*100,$G1468)))))</f>
        <v/>
      </c>
      <c r="N1468" s="54">
        <f>IF($B1468=0,NA(),IF(Inputs!$C$18&lt;&gt;"Yes",NA(),IF(COUNT(I1468,J1468,K1468,L1468,M1468)=0,NA(),MIN(I1468,J1468,K1468,L1468,M1468))))</f>
        <v/>
      </c>
      <c r="O1468" s="54">
        <f>IF($B1468=0,NA(),IF(Inputs!$B$24&lt;&gt;"Yes",NA(),Inputs!$D$24*Inputs!$C$35))</f>
        <v/>
      </c>
      <c r="P1468" s="54">
        <f>IF($B1468=0,NA(),IF(Inputs!$B$25&lt;&gt;"Yes",NA(),Inputs!$D$25*Inputs!$C$35))</f>
        <v/>
      </c>
      <c r="Q1468" s="54">
        <f>IF($B1468=0,NA(),IF(Inputs!$B$26&lt;&gt;"Yes",NA(),Inputs!$D$26*Inputs!$C$35))</f>
        <v/>
      </c>
      <c r="R1468" s="54">
        <f>IF($B1468=0,NA(),IF(Inputs!$B$27&lt;&gt;"Yes",NA(),Inputs!$D$27*Inputs!$C$35))</f>
        <v/>
      </c>
      <c r="S1468" s="54">
        <f>IF($B1468=0,NA(),IF(Inputs!$B$28&lt;&gt;"Yes",NA(),Inputs!$D$28*Inputs!$C$35))</f>
        <v/>
      </c>
      <c r="T1468" s="54">
        <f>IF($B1468=0,NA(),IF(Inputs!$B$29&lt;&gt;"Yes",NA(),Inputs!$D$29*Inputs!$C$35))</f>
        <v/>
      </c>
      <c r="AD1468">
        <f>IF($B1468=0,0,IF(Inputs!$B$6="",0,COUNTIFS(Data!$A$10:$A$3209,"&gt;="&amp;$A1468,Data!$A$10:$A$3209,"&lt;"&amp;$A1468+1)))</f>
        <v/>
      </c>
      <c r="AE1468">
        <f>IF($B1468=0,0,IF(Inputs!$B$7="",0,COUNTIFS(Data!$E$10:$E$3209,"&gt;="&amp;$A1468,Data!$E$10:$E$3209,"&lt;"&amp;$A1468+1)))</f>
        <v/>
      </c>
      <c r="AF1468">
        <f>IF($B1468=0,0,IF(Inputs!$B$8="",0,COUNTIFS(Data!$I$10:$I$3209,"&gt;="&amp;$A1468,Data!$I$10:$I$3209,"&lt;"&amp;$A1468+1)))</f>
        <v/>
      </c>
      <c r="AG1468">
        <f>IF($B1468=0,0,IF(Inputs!$B$9="",0,COUNTIFS(Data!$M$10:$M$3209,"&gt;="&amp;$A1468,Data!$M$10:$M$3209,"&lt;"&amp;$A1468+1)))</f>
        <v/>
      </c>
      <c r="AH1468">
        <f>IF($B1468=0,0,IF(Inputs!$B$10="",0,COUNTIFS(Data!$Q$10:$Q$3209,"&gt;="&amp;$A1468,Data!$Q$10:$Q$3209,"&lt;"&amp;$A1468+1)))</f>
        <v/>
      </c>
    </row>
    <row r="1469">
      <c r="A1469" s="55">
        <f>MIN(Inputs!$C$15,$A1468+IF(WEEKDAY($A1468,2)=5,3,1))</f>
        <v/>
      </c>
      <c r="B1469">
        <f>IF($A1469&gt;$A1468,1,0)</f>
        <v/>
      </c>
      <c r="C1469" s="56">
        <f>IF($B1469=0,"",IF(Inputs!$B$6="","",IF($AD1469=0,C1468,SUMIFS(Data!$B$10:$B$3209,Data!$A$10:$A$3209,"&gt;="&amp;$A1469,Data!$A$10:$A$3209,"&lt;"&amp;$A1469+1)/$AD1469)))</f>
        <v/>
      </c>
      <c r="D1469" s="56">
        <f>IF($B1469=0,"",IF(Inputs!$B$7="","",IF($AE1469=0,D1468,SUMIFS(Data!$F$10:$F$3209,Data!$E$10:$E$3209,"&gt;="&amp;$A1469,Data!$E$10:$E$3209,"&lt;"&amp;$A1469+1)/$AE1469)))</f>
        <v/>
      </c>
      <c r="E1469" s="56">
        <f>IF($B1469=0,"",IF(Inputs!$B$8="","",IF($AF1469=0,E1468,SUMIFS(Data!$J$10:$J$3209,Data!$I$10:$I$3209,"&gt;="&amp;$A1469,Data!$I$10:$I$3209,"&lt;"&amp;$A1469+1)/$AF1469)))</f>
        <v/>
      </c>
      <c r="F1469" s="56">
        <f>IF($B1469=0,"",IF(Inputs!$B$9="","",IF($AG1469=0,F1468,SUMIFS(Data!$N$10:$N$3209,Data!$M$10:$M$3209,"&gt;="&amp;$A1469,Data!$M$10:$M$3209,"&lt;"&amp;$A1469+1)/$AG1469)))</f>
        <v/>
      </c>
      <c r="G1469" s="56">
        <f>IF($B1469=0,"",IF(Inputs!$B$10="","",IF($AH1469=0,G1468,SUMIFS(Data!$R$10:$R$3209,Data!$Q$10:$Q$3209,"&gt;="&amp;$A1469,Data!$Q$10:$Q$3209,"&lt;"&amp;$A1469+1)/$AH1469)))</f>
        <v/>
      </c>
      <c r="I1469" s="54">
        <f>IF($B1469=0,NA(),IF($C1469="",NA(),IF(C$8="",NA(),IF(N(C$8)=0,NA(),IF(Inputs!$C$17="Rebased to 100",$C1469/C$8*100,$C1469)))))</f>
        <v/>
      </c>
      <c r="J1469" s="54">
        <f>IF($B1469=0,NA(),IF($D1469="",NA(),IF(D$8="",NA(),IF(N(D$8)=0,NA(),IF(Inputs!$C$17="Rebased to 100",$D1469/D$8*100,$D1469)))))</f>
        <v/>
      </c>
      <c r="K1469" s="54">
        <f>IF($B1469=0,NA(),IF($E1469="",NA(),IF(E$8="",NA(),IF(N(E$8)=0,NA(),IF(Inputs!$C$17="Rebased to 100",$E1469/E$8*100,$E1469)))))</f>
        <v/>
      </c>
      <c r="L1469" s="54">
        <f>IF($B1469=0,NA(),IF($F1469="",NA(),IF(F$8="",NA(),IF(N(F$8)=0,NA(),IF(Inputs!$C$17="Rebased to 100",$F1469/F$8*100,$F1469)))))</f>
        <v/>
      </c>
      <c r="M1469" s="54">
        <f>IF($B1469=0,NA(),IF($G1469="",NA(),IF(G$8="",NA(),IF(N(G$8)=0,NA(),IF(Inputs!$C$17="Rebased to 100",$G1469/G$8*100,$G1469)))))</f>
        <v/>
      </c>
      <c r="N1469" s="54">
        <f>IF($B1469=0,NA(),IF(Inputs!$C$18&lt;&gt;"Yes",NA(),IF(COUNT(I1469,J1469,K1469,L1469,M1469)=0,NA(),MIN(I1469,J1469,K1469,L1469,M1469))))</f>
        <v/>
      </c>
      <c r="O1469" s="54">
        <f>IF($B1469=0,NA(),IF(Inputs!$B$24&lt;&gt;"Yes",NA(),Inputs!$D$24*Inputs!$C$35))</f>
        <v/>
      </c>
      <c r="P1469" s="54">
        <f>IF($B1469=0,NA(),IF(Inputs!$B$25&lt;&gt;"Yes",NA(),Inputs!$D$25*Inputs!$C$35))</f>
        <v/>
      </c>
      <c r="Q1469" s="54">
        <f>IF($B1469=0,NA(),IF(Inputs!$B$26&lt;&gt;"Yes",NA(),Inputs!$D$26*Inputs!$C$35))</f>
        <v/>
      </c>
      <c r="R1469" s="54">
        <f>IF($B1469=0,NA(),IF(Inputs!$B$27&lt;&gt;"Yes",NA(),Inputs!$D$27*Inputs!$C$35))</f>
        <v/>
      </c>
      <c r="S1469" s="54">
        <f>IF($B1469=0,NA(),IF(Inputs!$B$28&lt;&gt;"Yes",NA(),Inputs!$D$28*Inputs!$C$35))</f>
        <v/>
      </c>
      <c r="T1469" s="54">
        <f>IF($B1469=0,NA(),IF(Inputs!$B$29&lt;&gt;"Yes",NA(),Inputs!$D$29*Inputs!$C$35))</f>
        <v/>
      </c>
      <c r="AD1469">
        <f>IF($B1469=0,0,IF(Inputs!$B$6="",0,COUNTIFS(Data!$A$10:$A$3209,"&gt;="&amp;$A1469,Data!$A$10:$A$3209,"&lt;"&amp;$A1469+1)))</f>
        <v/>
      </c>
      <c r="AE1469">
        <f>IF($B1469=0,0,IF(Inputs!$B$7="",0,COUNTIFS(Data!$E$10:$E$3209,"&gt;="&amp;$A1469,Data!$E$10:$E$3209,"&lt;"&amp;$A1469+1)))</f>
        <v/>
      </c>
      <c r="AF1469">
        <f>IF($B1469=0,0,IF(Inputs!$B$8="",0,COUNTIFS(Data!$I$10:$I$3209,"&gt;="&amp;$A1469,Data!$I$10:$I$3209,"&lt;"&amp;$A1469+1)))</f>
        <v/>
      </c>
      <c r="AG1469">
        <f>IF($B1469=0,0,IF(Inputs!$B$9="",0,COUNTIFS(Data!$M$10:$M$3209,"&gt;="&amp;$A1469,Data!$M$10:$M$3209,"&lt;"&amp;$A1469+1)))</f>
        <v/>
      </c>
      <c r="AH1469">
        <f>IF($B1469=0,0,IF(Inputs!$B$10="",0,COUNTIFS(Data!$Q$10:$Q$3209,"&gt;="&amp;$A1469,Data!$Q$10:$Q$3209,"&lt;"&amp;$A1469+1)))</f>
        <v/>
      </c>
    </row>
    <row r="1470">
      <c r="A1470" s="55">
        <f>MIN(Inputs!$C$15,$A1469+IF(WEEKDAY($A1469,2)=5,3,1))</f>
        <v/>
      </c>
      <c r="B1470">
        <f>IF($A1470&gt;$A1469,1,0)</f>
        <v/>
      </c>
      <c r="C1470" s="56">
        <f>IF($B1470=0,"",IF(Inputs!$B$6="","",IF($AD1470=0,C1469,SUMIFS(Data!$B$10:$B$3209,Data!$A$10:$A$3209,"&gt;="&amp;$A1470,Data!$A$10:$A$3209,"&lt;"&amp;$A1470+1)/$AD1470)))</f>
        <v/>
      </c>
      <c r="D1470" s="56">
        <f>IF($B1470=0,"",IF(Inputs!$B$7="","",IF($AE1470=0,D1469,SUMIFS(Data!$F$10:$F$3209,Data!$E$10:$E$3209,"&gt;="&amp;$A1470,Data!$E$10:$E$3209,"&lt;"&amp;$A1470+1)/$AE1470)))</f>
        <v/>
      </c>
      <c r="E1470" s="56">
        <f>IF($B1470=0,"",IF(Inputs!$B$8="","",IF($AF1470=0,E1469,SUMIFS(Data!$J$10:$J$3209,Data!$I$10:$I$3209,"&gt;="&amp;$A1470,Data!$I$10:$I$3209,"&lt;"&amp;$A1470+1)/$AF1470)))</f>
        <v/>
      </c>
      <c r="F1470" s="56">
        <f>IF($B1470=0,"",IF(Inputs!$B$9="","",IF($AG1470=0,F1469,SUMIFS(Data!$N$10:$N$3209,Data!$M$10:$M$3209,"&gt;="&amp;$A1470,Data!$M$10:$M$3209,"&lt;"&amp;$A1470+1)/$AG1470)))</f>
        <v/>
      </c>
      <c r="G1470" s="56">
        <f>IF($B1470=0,"",IF(Inputs!$B$10="","",IF($AH1470=0,G1469,SUMIFS(Data!$R$10:$R$3209,Data!$Q$10:$Q$3209,"&gt;="&amp;$A1470,Data!$Q$10:$Q$3209,"&lt;"&amp;$A1470+1)/$AH1470)))</f>
        <v/>
      </c>
      <c r="I1470" s="54">
        <f>IF($B1470=0,NA(),IF($C1470="",NA(),IF(C$8="",NA(),IF(N(C$8)=0,NA(),IF(Inputs!$C$17="Rebased to 100",$C1470/C$8*100,$C1470)))))</f>
        <v/>
      </c>
      <c r="J1470" s="54">
        <f>IF($B1470=0,NA(),IF($D1470="",NA(),IF(D$8="",NA(),IF(N(D$8)=0,NA(),IF(Inputs!$C$17="Rebased to 100",$D1470/D$8*100,$D1470)))))</f>
        <v/>
      </c>
      <c r="K1470" s="54">
        <f>IF($B1470=0,NA(),IF($E1470="",NA(),IF(E$8="",NA(),IF(N(E$8)=0,NA(),IF(Inputs!$C$17="Rebased to 100",$E1470/E$8*100,$E1470)))))</f>
        <v/>
      </c>
      <c r="L1470" s="54">
        <f>IF($B1470=0,NA(),IF($F1470="",NA(),IF(F$8="",NA(),IF(N(F$8)=0,NA(),IF(Inputs!$C$17="Rebased to 100",$F1470/F$8*100,$F1470)))))</f>
        <v/>
      </c>
      <c r="M1470" s="54">
        <f>IF($B1470=0,NA(),IF($G1470="",NA(),IF(G$8="",NA(),IF(N(G$8)=0,NA(),IF(Inputs!$C$17="Rebased to 100",$G1470/G$8*100,$G1470)))))</f>
        <v/>
      </c>
      <c r="N1470" s="54">
        <f>IF($B1470=0,NA(),IF(Inputs!$C$18&lt;&gt;"Yes",NA(),IF(COUNT(I1470,J1470,K1470,L1470,M1470)=0,NA(),MIN(I1470,J1470,K1470,L1470,M1470))))</f>
        <v/>
      </c>
      <c r="O1470" s="54">
        <f>IF($B1470=0,NA(),IF(Inputs!$B$24&lt;&gt;"Yes",NA(),Inputs!$D$24*Inputs!$C$35))</f>
        <v/>
      </c>
      <c r="P1470" s="54">
        <f>IF($B1470=0,NA(),IF(Inputs!$B$25&lt;&gt;"Yes",NA(),Inputs!$D$25*Inputs!$C$35))</f>
        <v/>
      </c>
      <c r="Q1470" s="54">
        <f>IF($B1470=0,NA(),IF(Inputs!$B$26&lt;&gt;"Yes",NA(),Inputs!$D$26*Inputs!$C$35))</f>
        <v/>
      </c>
      <c r="R1470" s="54">
        <f>IF($B1470=0,NA(),IF(Inputs!$B$27&lt;&gt;"Yes",NA(),Inputs!$D$27*Inputs!$C$35))</f>
        <v/>
      </c>
      <c r="S1470" s="54">
        <f>IF($B1470=0,NA(),IF(Inputs!$B$28&lt;&gt;"Yes",NA(),Inputs!$D$28*Inputs!$C$35))</f>
        <v/>
      </c>
      <c r="T1470" s="54">
        <f>IF($B1470=0,NA(),IF(Inputs!$B$29&lt;&gt;"Yes",NA(),Inputs!$D$29*Inputs!$C$35))</f>
        <v/>
      </c>
      <c r="AD1470">
        <f>IF($B1470=0,0,IF(Inputs!$B$6="",0,COUNTIFS(Data!$A$10:$A$3209,"&gt;="&amp;$A1470,Data!$A$10:$A$3209,"&lt;"&amp;$A1470+1)))</f>
        <v/>
      </c>
      <c r="AE1470">
        <f>IF($B1470=0,0,IF(Inputs!$B$7="",0,COUNTIFS(Data!$E$10:$E$3209,"&gt;="&amp;$A1470,Data!$E$10:$E$3209,"&lt;"&amp;$A1470+1)))</f>
        <v/>
      </c>
      <c r="AF1470">
        <f>IF($B1470=0,0,IF(Inputs!$B$8="",0,COUNTIFS(Data!$I$10:$I$3209,"&gt;="&amp;$A1470,Data!$I$10:$I$3209,"&lt;"&amp;$A1470+1)))</f>
        <v/>
      </c>
      <c r="AG1470">
        <f>IF($B1470=0,0,IF(Inputs!$B$9="",0,COUNTIFS(Data!$M$10:$M$3209,"&gt;="&amp;$A1470,Data!$M$10:$M$3209,"&lt;"&amp;$A1470+1)))</f>
        <v/>
      </c>
      <c r="AH1470">
        <f>IF($B1470=0,0,IF(Inputs!$B$10="",0,COUNTIFS(Data!$Q$10:$Q$3209,"&gt;="&amp;$A1470,Data!$Q$10:$Q$3209,"&lt;"&amp;$A1470+1)))</f>
        <v/>
      </c>
    </row>
    <row r="1471">
      <c r="A1471" s="55">
        <f>MIN(Inputs!$C$15,$A1470+IF(WEEKDAY($A1470,2)=5,3,1))</f>
        <v/>
      </c>
      <c r="B1471">
        <f>IF($A1471&gt;$A1470,1,0)</f>
        <v/>
      </c>
      <c r="C1471" s="56">
        <f>IF($B1471=0,"",IF(Inputs!$B$6="","",IF($AD1471=0,C1470,SUMIFS(Data!$B$10:$B$3209,Data!$A$10:$A$3209,"&gt;="&amp;$A1471,Data!$A$10:$A$3209,"&lt;"&amp;$A1471+1)/$AD1471)))</f>
        <v/>
      </c>
      <c r="D1471" s="56">
        <f>IF($B1471=0,"",IF(Inputs!$B$7="","",IF($AE1471=0,D1470,SUMIFS(Data!$F$10:$F$3209,Data!$E$10:$E$3209,"&gt;="&amp;$A1471,Data!$E$10:$E$3209,"&lt;"&amp;$A1471+1)/$AE1471)))</f>
        <v/>
      </c>
      <c r="E1471" s="56">
        <f>IF($B1471=0,"",IF(Inputs!$B$8="","",IF($AF1471=0,E1470,SUMIFS(Data!$J$10:$J$3209,Data!$I$10:$I$3209,"&gt;="&amp;$A1471,Data!$I$10:$I$3209,"&lt;"&amp;$A1471+1)/$AF1471)))</f>
        <v/>
      </c>
      <c r="F1471" s="56">
        <f>IF($B1471=0,"",IF(Inputs!$B$9="","",IF($AG1471=0,F1470,SUMIFS(Data!$N$10:$N$3209,Data!$M$10:$M$3209,"&gt;="&amp;$A1471,Data!$M$10:$M$3209,"&lt;"&amp;$A1471+1)/$AG1471)))</f>
        <v/>
      </c>
      <c r="G1471" s="56">
        <f>IF($B1471=0,"",IF(Inputs!$B$10="","",IF($AH1471=0,G1470,SUMIFS(Data!$R$10:$R$3209,Data!$Q$10:$Q$3209,"&gt;="&amp;$A1471,Data!$Q$10:$Q$3209,"&lt;"&amp;$A1471+1)/$AH1471)))</f>
        <v/>
      </c>
      <c r="I1471" s="54">
        <f>IF($B1471=0,NA(),IF($C1471="",NA(),IF(C$8="",NA(),IF(N(C$8)=0,NA(),IF(Inputs!$C$17="Rebased to 100",$C1471/C$8*100,$C1471)))))</f>
        <v/>
      </c>
      <c r="J1471" s="54">
        <f>IF($B1471=0,NA(),IF($D1471="",NA(),IF(D$8="",NA(),IF(N(D$8)=0,NA(),IF(Inputs!$C$17="Rebased to 100",$D1471/D$8*100,$D1471)))))</f>
        <v/>
      </c>
      <c r="K1471" s="54">
        <f>IF($B1471=0,NA(),IF($E1471="",NA(),IF(E$8="",NA(),IF(N(E$8)=0,NA(),IF(Inputs!$C$17="Rebased to 100",$E1471/E$8*100,$E1471)))))</f>
        <v/>
      </c>
      <c r="L1471" s="54">
        <f>IF($B1471=0,NA(),IF($F1471="",NA(),IF(F$8="",NA(),IF(N(F$8)=0,NA(),IF(Inputs!$C$17="Rebased to 100",$F1471/F$8*100,$F1471)))))</f>
        <v/>
      </c>
      <c r="M1471" s="54">
        <f>IF($B1471=0,NA(),IF($G1471="",NA(),IF(G$8="",NA(),IF(N(G$8)=0,NA(),IF(Inputs!$C$17="Rebased to 100",$G1471/G$8*100,$G1471)))))</f>
        <v/>
      </c>
      <c r="N1471" s="54">
        <f>IF($B1471=0,NA(),IF(Inputs!$C$18&lt;&gt;"Yes",NA(),IF(COUNT(I1471,J1471,K1471,L1471,M1471)=0,NA(),MIN(I1471,J1471,K1471,L1471,M1471))))</f>
        <v/>
      </c>
      <c r="O1471" s="54">
        <f>IF($B1471=0,NA(),IF(Inputs!$B$24&lt;&gt;"Yes",NA(),Inputs!$D$24*Inputs!$C$35))</f>
        <v/>
      </c>
      <c r="P1471" s="54">
        <f>IF($B1471=0,NA(),IF(Inputs!$B$25&lt;&gt;"Yes",NA(),Inputs!$D$25*Inputs!$C$35))</f>
        <v/>
      </c>
      <c r="Q1471" s="54">
        <f>IF($B1471=0,NA(),IF(Inputs!$B$26&lt;&gt;"Yes",NA(),Inputs!$D$26*Inputs!$C$35))</f>
        <v/>
      </c>
      <c r="R1471" s="54">
        <f>IF($B1471=0,NA(),IF(Inputs!$B$27&lt;&gt;"Yes",NA(),Inputs!$D$27*Inputs!$C$35))</f>
        <v/>
      </c>
      <c r="S1471" s="54">
        <f>IF($B1471=0,NA(),IF(Inputs!$B$28&lt;&gt;"Yes",NA(),Inputs!$D$28*Inputs!$C$35))</f>
        <v/>
      </c>
      <c r="T1471" s="54">
        <f>IF($B1471=0,NA(),IF(Inputs!$B$29&lt;&gt;"Yes",NA(),Inputs!$D$29*Inputs!$C$35))</f>
        <v/>
      </c>
      <c r="AD1471">
        <f>IF($B1471=0,0,IF(Inputs!$B$6="",0,COUNTIFS(Data!$A$10:$A$3209,"&gt;="&amp;$A1471,Data!$A$10:$A$3209,"&lt;"&amp;$A1471+1)))</f>
        <v/>
      </c>
      <c r="AE1471">
        <f>IF($B1471=0,0,IF(Inputs!$B$7="",0,COUNTIFS(Data!$E$10:$E$3209,"&gt;="&amp;$A1471,Data!$E$10:$E$3209,"&lt;"&amp;$A1471+1)))</f>
        <v/>
      </c>
      <c r="AF1471">
        <f>IF($B1471=0,0,IF(Inputs!$B$8="",0,COUNTIFS(Data!$I$10:$I$3209,"&gt;="&amp;$A1471,Data!$I$10:$I$3209,"&lt;"&amp;$A1471+1)))</f>
        <v/>
      </c>
      <c r="AG1471">
        <f>IF($B1471=0,0,IF(Inputs!$B$9="",0,COUNTIFS(Data!$M$10:$M$3209,"&gt;="&amp;$A1471,Data!$M$10:$M$3209,"&lt;"&amp;$A1471+1)))</f>
        <v/>
      </c>
      <c r="AH1471">
        <f>IF($B1471=0,0,IF(Inputs!$B$10="",0,COUNTIFS(Data!$Q$10:$Q$3209,"&gt;="&amp;$A1471,Data!$Q$10:$Q$3209,"&lt;"&amp;$A1471+1)))</f>
        <v/>
      </c>
    </row>
    <row r="1472">
      <c r="A1472" s="55">
        <f>MIN(Inputs!$C$15,$A1471+IF(WEEKDAY($A1471,2)=5,3,1))</f>
        <v/>
      </c>
      <c r="B1472">
        <f>IF($A1472&gt;$A1471,1,0)</f>
        <v/>
      </c>
      <c r="C1472" s="56">
        <f>IF($B1472=0,"",IF(Inputs!$B$6="","",IF($AD1472=0,C1471,SUMIFS(Data!$B$10:$B$3209,Data!$A$10:$A$3209,"&gt;="&amp;$A1472,Data!$A$10:$A$3209,"&lt;"&amp;$A1472+1)/$AD1472)))</f>
        <v/>
      </c>
      <c r="D1472" s="56">
        <f>IF($B1472=0,"",IF(Inputs!$B$7="","",IF($AE1472=0,D1471,SUMIFS(Data!$F$10:$F$3209,Data!$E$10:$E$3209,"&gt;="&amp;$A1472,Data!$E$10:$E$3209,"&lt;"&amp;$A1472+1)/$AE1472)))</f>
        <v/>
      </c>
      <c r="E1472" s="56">
        <f>IF($B1472=0,"",IF(Inputs!$B$8="","",IF($AF1472=0,E1471,SUMIFS(Data!$J$10:$J$3209,Data!$I$10:$I$3209,"&gt;="&amp;$A1472,Data!$I$10:$I$3209,"&lt;"&amp;$A1472+1)/$AF1472)))</f>
        <v/>
      </c>
      <c r="F1472" s="56">
        <f>IF($B1472=0,"",IF(Inputs!$B$9="","",IF($AG1472=0,F1471,SUMIFS(Data!$N$10:$N$3209,Data!$M$10:$M$3209,"&gt;="&amp;$A1472,Data!$M$10:$M$3209,"&lt;"&amp;$A1472+1)/$AG1472)))</f>
        <v/>
      </c>
      <c r="G1472" s="56">
        <f>IF($B1472=0,"",IF(Inputs!$B$10="","",IF($AH1472=0,G1471,SUMIFS(Data!$R$10:$R$3209,Data!$Q$10:$Q$3209,"&gt;="&amp;$A1472,Data!$Q$10:$Q$3209,"&lt;"&amp;$A1472+1)/$AH1472)))</f>
        <v/>
      </c>
      <c r="I1472" s="54">
        <f>IF($B1472=0,NA(),IF($C1472="",NA(),IF(C$8="",NA(),IF(N(C$8)=0,NA(),IF(Inputs!$C$17="Rebased to 100",$C1472/C$8*100,$C1472)))))</f>
        <v/>
      </c>
      <c r="J1472" s="54">
        <f>IF($B1472=0,NA(),IF($D1472="",NA(),IF(D$8="",NA(),IF(N(D$8)=0,NA(),IF(Inputs!$C$17="Rebased to 100",$D1472/D$8*100,$D1472)))))</f>
        <v/>
      </c>
      <c r="K1472" s="54">
        <f>IF($B1472=0,NA(),IF($E1472="",NA(),IF(E$8="",NA(),IF(N(E$8)=0,NA(),IF(Inputs!$C$17="Rebased to 100",$E1472/E$8*100,$E1472)))))</f>
        <v/>
      </c>
      <c r="L1472" s="54">
        <f>IF($B1472=0,NA(),IF($F1472="",NA(),IF(F$8="",NA(),IF(N(F$8)=0,NA(),IF(Inputs!$C$17="Rebased to 100",$F1472/F$8*100,$F1472)))))</f>
        <v/>
      </c>
      <c r="M1472" s="54">
        <f>IF($B1472=0,NA(),IF($G1472="",NA(),IF(G$8="",NA(),IF(N(G$8)=0,NA(),IF(Inputs!$C$17="Rebased to 100",$G1472/G$8*100,$G1472)))))</f>
        <v/>
      </c>
      <c r="N1472" s="54">
        <f>IF($B1472=0,NA(),IF(Inputs!$C$18&lt;&gt;"Yes",NA(),IF(COUNT(I1472,J1472,K1472,L1472,M1472)=0,NA(),MIN(I1472,J1472,K1472,L1472,M1472))))</f>
        <v/>
      </c>
      <c r="O1472" s="54">
        <f>IF($B1472=0,NA(),IF(Inputs!$B$24&lt;&gt;"Yes",NA(),Inputs!$D$24*Inputs!$C$35))</f>
        <v/>
      </c>
      <c r="P1472" s="54">
        <f>IF($B1472=0,NA(),IF(Inputs!$B$25&lt;&gt;"Yes",NA(),Inputs!$D$25*Inputs!$C$35))</f>
        <v/>
      </c>
      <c r="Q1472" s="54">
        <f>IF($B1472=0,NA(),IF(Inputs!$B$26&lt;&gt;"Yes",NA(),Inputs!$D$26*Inputs!$C$35))</f>
        <v/>
      </c>
      <c r="R1472" s="54">
        <f>IF($B1472=0,NA(),IF(Inputs!$B$27&lt;&gt;"Yes",NA(),Inputs!$D$27*Inputs!$C$35))</f>
        <v/>
      </c>
      <c r="S1472" s="54">
        <f>IF($B1472=0,NA(),IF(Inputs!$B$28&lt;&gt;"Yes",NA(),Inputs!$D$28*Inputs!$C$35))</f>
        <v/>
      </c>
      <c r="T1472" s="54">
        <f>IF($B1472=0,NA(),IF(Inputs!$B$29&lt;&gt;"Yes",NA(),Inputs!$D$29*Inputs!$C$35))</f>
        <v/>
      </c>
      <c r="AD1472">
        <f>IF($B1472=0,0,IF(Inputs!$B$6="",0,COUNTIFS(Data!$A$10:$A$3209,"&gt;="&amp;$A1472,Data!$A$10:$A$3209,"&lt;"&amp;$A1472+1)))</f>
        <v/>
      </c>
      <c r="AE1472">
        <f>IF($B1472=0,0,IF(Inputs!$B$7="",0,COUNTIFS(Data!$E$10:$E$3209,"&gt;="&amp;$A1472,Data!$E$10:$E$3209,"&lt;"&amp;$A1472+1)))</f>
        <v/>
      </c>
      <c r="AF1472">
        <f>IF($B1472=0,0,IF(Inputs!$B$8="",0,COUNTIFS(Data!$I$10:$I$3209,"&gt;="&amp;$A1472,Data!$I$10:$I$3209,"&lt;"&amp;$A1472+1)))</f>
        <v/>
      </c>
      <c r="AG1472">
        <f>IF($B1472=0,0,IF(Inputs!$B$9="",0,COUNTIFS(Data!$M$10:$M$3209,"&gt;="&amp;$A1472,Data!$M$10:$M$3209,"&lt;"&amp;$A1472+1)))</f>
        <v/>
      </c>
      <c r="AH1472">
        <f>IF($B1472=0,0,IF(Inputs!$B$10="",0,COUNTIFS(Data!$Q$10:$Q$3209,"&gt;="&amp;$A1472,Data!$Q$10:$Q$3209,"&lt;"&amp;$A1472+1)))</f>
        <v/>
      </c>
    </row>
    <row r="1473">
      <c r="A1473" s="55">
        <f>MIN(Inputs!$C$15,$A1472+IF(WEEKDAY($A1472,2)=5,3,1))</f>
        <v/>
      </c>
      <c r="B1473">
        <f>IF($A1473&gt;$A1472,1,0)</f>
        <v/>
      </c>
      <c r="C1473" s="56">
        <f>IF($B1473=0,"",IF(Inputs!$B$6="","",IF($AD1473=0,C1472,SUMIFS(Data!$B$10:$B$3209,Data!$A$10:$A$3209,"&gt;="&amp;$A1473,Data!$A$10:$A$3209,"&lt;"&amp;$A1473+1)/$AD1473)))</f>
        <v/>
      </c>
      <c r="D1473" s="56">
        <f>IF($B1473=0,"",IF(Inputs!$B$7="","",IF($AE1473=0,D1472,SUMIFS(Data!$F$10:$F$3209,Data!$E$10:$E$3209,"&gt;="&amp;$A1473,Data!$E$10:$E$3209,"&lt;"&amp;$A1473+1)/$AE1473)))</f>
        <v/>
      </c>
      <c r="E1473" s="56">
        <f>IF($B1473=0,"",IF(Inputs!$B$8="","",IF($AF1473=0,E1472,SUMIFS(Data!$J$10:$J$3209,Data!$I$10:$I$3209,"&gt;="&amp;$A1473,Data!$I$10:$I$3209,"&lt;"&amp;$A1473+1)/$AF1473)))</f>
        <v/>
      </c>
      <c r="F1473" s="56">
        <f>IF($B1473=0,"",IF(Inputs!$B$9="","",IF($AG1473=0,F1472,SUMIFS(Data!$N$10:$N$3209,Data!$M$10:$M$3209,"&gt;="&amp;$A1473,Data!$M$10:$M$3209,"&lt;"&amp;$A1473+1)/$AG1473)))</f>
        <v/>
      </c>
      <c r="G1473" s="56">
        <f>IF($B1473=0,"",IF(Inputs!$B$10="","",IF($AH1473=0,G1472,SUMIFS(Data!$R$10:$R$3209,Data!$Q$10:$Q$3209,"&gt;="&amp;$A1473,Data!$Q$10:$Q$3209,"&lt;"&amp;$A1473+1)/$AH1473)))</f>
        <v/>
      </c>
      <c r="I1473" s="54">
        <f>IF($B1473=0,NA(),IF($C1473="",NA(),IF(C$8="",NA(),IF(N(C$8)=0,NA(),IF(Inputs!$C$17="Rebased to 100",$C1473/C$8*100,$C1473)))))</f>
        <v/>
      </c>
      <c r="J1473" s="54">
        <f>IF($B1473=0,NA(),IF($D1473="",NA(),IF(D$8="",NA(),IF(N(D$8)=0,NA(),IF(Inputs!$C$17="Rebased to 100",$D1473/D$8*100,$D1473)))))</f>
        <v/>
      </c>
      <c r="K1473" s="54">
        <f>IF($B1473=0,NA(),IF($E1473="",NA(),IF(E$8="",NA(),IF(N(E$8)=0,NA(),IF(Inputs!$C$17="Rebased to 100",$E1473/E$8*100,$E1473)))))</f>
        <v/>
      </c>
      <c r="L1473" s="54">
        <f>IF($B1473=0,NA(),IF($F1473="",NA(),IF(F$8="",NA(),IF(N(F$8)=0,NA(),IF(Inputs!$C$17="Rebased to 100",$F1473/F$8*100,$F1473)))))</f>
        <v/>
      </c>
      <c r="M1473" s="54">
        <f>IF($B1473=0,NA(),IF($G1473="",NA(),IF(G$8="",NA(),IF(N(G$8)=0,NA(),IF(Inputs!$C$17="Rebased to 100",$G1473/G$8*100,$G1473)))))</f>
        <v/>
      </c>
      <c r="N1473" s="54">
        <f>IF($B1473=0,NA(),IF(Inputs!$C$18&lt;&gt;"Yes",NA(),IF(COUNT(I1473,J1473,K1473,L1473,M1473)=0,NA(),MIN(I1473,J1473,K1473,L1473,M1473))))</f>
        <v/>
      </c>
      <c r="O1473" s="54">
        <f>IF($B1473=0,NA(),IF(Inputs!$B$24&lt;&gt;"Yes",NA(),Inputs!$D$24*Inputs!$C$35))</f>
        <v/>
      </c>
      <c r="P1473" s="54">
        <f>IF($B1473=0,NA(),IF(Inputs!$B$25&lt;&gt;"Yes",NA(),Inputs!$D$25*Inputs!$C$35))</f>
        <v/>
      </c>
      <c r="Q1473" s="54">
        <f>IF($B1473=0,NA(),IF(Inputs!$B$26&lt;&gt;"Yes",NA(),Inputs!$D$26*Inputs!$C$35))</f>
        <v/>
      </c>
      <c r="R1473" s="54">
        <f>IF($B1473=0,NA(),IF(Inputs!$B$27&lt;&gt;"Yes",NA(),Inputs!$D$27*Inputs!$C$35))</f>
        <v/>
      </c>
      <c r="S1473" s="54">
        <f>IF($B1473=0,NA(),IF(Inputs!$B$28&lt;&gt;"Yes",NA(),Inputs!$D$28*Inputs!$C$35))</f>
        <v/>
      </c>
      <c r="T1473" s="54">
        <f>IF($B1473=0,NA(),IF(Inputs!$B$29&lt;&gt;"Yes",NA(),Inputs!$D$29*Inputs!$C$35))</f>
        <v/>
      </c>
      <c r="AD1473">
        <f>IF($B1473=0,0,IF(Inputs!$B$6="",0,COUNTIFS(Data!$A$10:$A$3209,"&gt;="&amp;$A1473,Data!$A$10:$A$3209,"&lt;"&amp;$A1473+1)))</f>
        <v/>
      </c>
      <c r="AE1473">
        <f>IF($B1473=0,0,IF(Inputs!$B$7="",0,COUNTIFS(Data!$E$10:$E$3209,"&gt;="&amp;$A1473,Data!$E$10:$E$3209,"&lt;"&amp;$A1473+1)))</f>
        <v/>
      </c>
      <c r="AF1473">
        <f>IF($B1473=0,0,IF(Inputs!$B$8="",0,COUNTIFS(Data!$I$10:$I$3209,"&gt;="&amp;$A1473,Data!$I$10:$I$3209,"&lt;"&amp;$A1473+1)))</f>
        <v/>
      </c>
      <c r="AG1473">
        <f>IF($B1473=0,0,IF(Inputs!$B$9="",0,COUNTIFS(Data!$M$10:$M$3209,"&gt;="&amp;$A1473,Data!$M$10:$M$3209,"&lt;"&amp;$A1473+1)))</f>
        <v/>
      </c>
      <c r="AH1473">
        <f>IF($B1473=0,0,IF(Inputs!$B$10="",0,COUNTIFS(Data!$Q$10:$Q$3209,"&gt;="&amp;$A1473,Data!$Q$10:$Q$3209,"&lt;"&amp;$A1473+1)))</f>
        <v/>
      </c>
    </row>
    <row r="1474">
      <c r="A1474" s="55">
        <f>MIN(Inputs!$C$15,$A1473+IF(WEEKDAY($A1473,2)=5,3,1))</f>
        <v/>
      </c>
      <c r="B1474">
        <f>IF($A1474&gt;$A1473,1,0)</f>
        <v/>
      </c>
      <c r="C1474" s="56">
        <f>IF($B1474=0,"",IF(Inputs!$B$6="","",IF($AD1474=0,C1473,SUMIFS(Data!$B$10:$B$3209,Data!$A$10:$A$3209,"&gt;="&amp;$A1474,Data!$A$10:$A$3209,"&lt;"&amp;$A1474+1)/$AD1474)))</f>
        <v/>
      </c>
      <c r="D1474" s="56">
        <f>IF($B1474=0,"",IF(Inputs!$B$7="","",IF($AE1474=0,D1473,SUMIFS(Data!$F$10:$F$3209,Data!$E$10:$E$3209,"&gt;="&amp;$A1474,Data!$E$10:$E$3209,"&lt;"&amp;$A1474+1)/$AE1474)))</f>
        <v/>
      </c>
      <c r="E1474" s="56">
        <f>IF($B1474=0,"",IF(Inputs!$B$8="","",IF($AF1474=0,E1473,SUMIFS(Data!$J$10:$J$3209,Data!$I$10:$I$3209,"&gt;="&amp;$A1474,Data!$I$10:$I$3209,"&lt;"&amp;$A1474+1)/$AF1474)))</f>
        <v/>
      </c>
      <c r="F1474" s="56">
        <f>IF($B1474=0,"",IF(Inputs!$B$9="","",IF($AG1474=0,F1473,SUMIFS(Data!$N$10:$N$3209,Data!$M$10:$M$3209,"&gt;="&amp;$A1474,Data!$M$10:$M$3209,"&lt;"&amp;$A1474+1)/$AG1474)))</f>
        <v/>
      </c>
      <c r="G1474" s="56">
        <f>IF($B1474=0,"",IF(Inputs!$B$10="","",IF($AH1474=0,G1473,SUMIFS(Data!$R$10:$R$3209,Data!$Q$10:$Q$3209,"&gt;="&amp;$A1474,Data!$Q$10:$Q$3209,"&lt;"&amp;$A1474+1)/$AH1474)))</f>
        <v/>
      </c>
      <c r="I1474" s="54">
        <f>IF($B1474=0,NA(),IF($C1474="",NA(),IF(C$8="",NA(),IF(N(C$8)=0,NA(),IF(Inputs!$C$17="Rebased to 100",$C1474/C$8*100,$C1474)))))</f>
        <v/>
      </c>
      <c r="J1474" s="54">
        <f>IF($B1474=0,NA(),IF($D1474="",NA(),IF(D$8="",NA(),IF(N(D$8)=0,NA(),IF(Inputs!$C$17="Rebased to 100",$D1474/D$8*100,$D1474)))))</f>
        <v/>
      </c>
      <c r="K1474" s="54">
        <f>IF($B1474=0,NA(),IF($E1474="",NA(),IF(E$8="",NA(),IF(N(E$8)=0,NA(),IF(Inputs!$C$17="Rebased to 100",$E1474/E$8*100,$E1474)))))</f>
        <v/>
      </c>
      <c r="L1474" s="54">
        <f>IF($B1474=0,NA(),IF($F1474="",NA(),IF(F$8="",NA(),IF(N(F$8)=0,NA(),IF(Inputs!$C$17="Rebased to 100",$F1474/F$8*100,$F1474)))))</f>
        <v/>
      </c>
      <c r="M1474" s="54">
        <f>IF($B1474=0,NA(),IF($G1474="",NA(),IF(G$8="",NA(),IF(N(G$8)=0,NA(),IF(Inputs!$C$17="Rebased to 100",$G1474/G$8*100,$G1474)))))</f>
        <v/>
      </c>
      <c r="N1474" s="54">
        <f>IF($B1474=0,NA(),IF(Inputs!$C$18&lt;&gt;"Yes",NA(),IF(COUNT(I1474,J1474,K1474,L1474,M1474)=0,NA(),MIN(I1474,J1474,K1474,L1474,M1474))))</f>
        <v/>
      </c>
      <c r="O1474" s="54">
        <f>IF($B1474=0,NA(),IF(Inputs!$B$24&lt;&gt;"Yes",NA(),Inputs!$D$24*Inputs!$C$35))</f>
        <v/>
      </c>
      <c r="P1474" s="54">
        <f>IF($B1474=0,NA(),IF(Inputs!$B$25&lt;&gt;"Yes",NA(),Inputs!$D$25*Inputs!$C$35))</f>
        <v/>
      </c>
      <c r="Q1474" s="54">
        <f>IF($B1474=0,NA(),IF(Inputs!$B$26&lt;&gt;"Yes",NA(),Inputs!$D$26*Inputs!$C$35))</f>
        <v/>
      </c>
      <c r="R1474" s="54">
        <f>IF($B1474=0,NA(),IF(Inputs!$B$27&lt;&gt;"Yes",NA(),Inputs!$D$27*Inputs!$C$35))</f>
        <v/>
      </c>
      <c r="S1474" s="54">
        <f>IF($B1474=0,NA(),IF(Inputs!$B$28&lt;&gt;"Yes",NA(),Inputs!$D$28*Inputs!$C$35))</f>
        <v/>
      </c>
      <c r="T1474" s="54">
        <f>IF($B1474=0,NA(),IF(Inputs!$B$29&lt;&gt;"Yes",NA(),Inputs!$D$29*Inputs!$C$35))</f>
        <v/>
      </c>
      <c r="AD1474">
        <f>IF($B1474=0,0,IF(Inputs!$B$6="",0,COUNTIFS(Data!$A$10:$A$3209,"&gt;="&amp;$A1474,Data!$A$10:$A$3209,"&lt;"&amp;$A1474+1)))</f>
        <v/>
      </c>
      <c r="AE1474">
        <f>IF($B1474=0,0,IF(Inputs!$B$7="",0,COUNTIFS(Data!$E$10:$E$3209,"&gt;="&amp;$A1474,Data!$E$10:$E$3209,"&lt;"&amp;$A1474+1)))</f>
        <v/>
      </c>
      <c r="AF1474">
        <f>IF($B1474=0,0,IF(Inputs!$B$8="",0,COUNTIFS(Data!$I$10:$I$3209,"&gt;="&amp;$A1474,Data!$I$10:$I$3209,"&lt;"&amp;$A1474+1)))</f>
        <v/>
      </c>
      <c r="AG1474">
        <f>IF($B1474=0,0,IF(Inputs!$B$9="",0,COUNTIFS(Data!$M$10:$M$3209,"&gt;="&amp;$A1474,Data!$M$10:$M$3209,"&lt;"&amp;$A1474+1)))</f>
        <v/>
      </c>
      <c r="AH1474">
        <f>IF($B1474=0,0,IF(Inputs!$B$10="",0,COUNTIFS(Data!$Q$10:$Q$3209,"&gt;="&amp;$A1474,Data!$Q$10:$Q$3209,"&lt;"&amp;$A1474+1)))</f>
        <v/>
      </c>
    </row>
    <row r="1475">
      <c r="A1475" s="55">
        <f>MIN(Inputs!$C$15,$A1474+IF(WEEKDAY($A1474,2)=5,3,1))</f>
        <v/>
      </c>
      <c r="B1475">
        <f>IF($A1475&gt;$A1474,1,0)</f>
        <v/>
      </c>
      <c r="C1475" s="56">
        <f>IF($B1475=0,"",IF(Inputs!$B$6="","",IF($AD1475=0,C1474,SUMIFS(Data!$B$10:$B$3209,Data!$A$10:$A$3209,"&gt;="&amp;$A1475,Data!$A$10:$A$3209,"&lt;"&amp;$A1475+1)/$AD1475)))</f>
        <v/>
      </c>
      <c r="D1475" s="56">
        <f>IF($B1475=0,"",IF(Inputs!$B$7="","",IF($AE1475=0,D1474,SUMIFS(Data!$F$10:$F$3209,Data!$E$10:$E$3209,"&gt;="&amp;$A1475,Data!$E$10:$E$3209,"&lt;"&amp;$A1475+1)/$AE1475)))</f>
        <v/>
      </c>
      <c r="E1475" s="56">
        <f>IF($B1475=0,"",IF(Inputs!$B$8="","",IF($AF1475=0,E1474,SUMIFS(Data!$J$10:$J$3209,Data!$I$10:$I$3209,"&gt;="&amp;$A1475,Data!$I$10:$I$3209,"&lt;"&amp;$A1475+1)/$AF1475)))</f>
        <v/>
      </c>
      <c r="F1475" s="56">
        <f>IF($B1475=0,"",IF(Inputs!$B$9="","",IF($AG1475=0,F1474,SUMIFS(Data!$N$10:$N$3209,Data!$M$10:$M$3209,"&gt;="&amp;$A1475,Data!$M$10:$M$3209,"&lt;"&amp;$A1475+1)/$AG1475)))</f>
        <v/>
      </c>
      <c r="G1475" s="56">
        <f>IF($B1475=0,"",IF(Inputs!$B$10="","",IF($AH1475=0,G1474,SUMIFS(Data!$R$10:$R$3209,Data!$Q$10:$Q$3209,"&gt;="&amp;$A1475,Data!$Q$10:$Q$3209,"&lt;"&amp;$A1475+1)/$AH1475)))</f>
        <v/>
      </c>
      <c r="I1475" s="54">
        <f>IF($B1475=0,NA(),IF($C1475="",NA(),IF(C$8="",NA(),IF(N(C$8)=0,NA(),IF(Inputs!$C$17="Rebased to 100",$C1475/C$8*100,$C1475)))))</f>
        <v/>
      </c>
      <c r="J1475" s="54">
        <f>IF($B1475=0,NA(),IF($D1475="",NA(),IF(D$8="",NA(),IF(N(D$8)=0,NA(),IF(Inputs!$C$17="Rebased to 100",$D1475/D$8*100,$D1475)))))</f>
        <v/>
      </c>
      <c r="K1475" s="54">
        <f>IF($B1475=0,NA(),IF($E1475="",NA(),IF(E$8="",NA(),IF(N(E$8)=0,NA(),IF(Inputs!$C$17="Rebased to 100",$E1475/E$8*100,$E1475)))))</f>
        <v/>
      </c>
      <c r="L1475" s="54">
        <f>IF($B1475=0,NA(),IF($F1475="",NA(),IF(F$8="",NA(),IF(N(F$8)=0,NA(),IF(Inputs!$C$17="Rebased to 100",$F1475/F$8*100,$F1475)))))</f>
        <v/>
      </c>
      <c r="M1475" s="54">
        <f>IF($B1475=0,NA(),IF($G1475="",NA(),IF(G$8="",NA(),IF(N(G$8)=0,NA(),IF(Inputs!$C$17="Rebased to 100",$G1475/G$8*100,$G1475)))))</f>
        <v/>
      </c>
      <c r="N1475" s="54">
        <f>IF($B1475=0,NA(),IF(Inputs!$C$18&lt;&gt;"Yes",NA(),IF(COUNT(I1475,J1475,K1475,L1475,M1475)=0,NA(),MIN(I1475,J1475,K1475,L1475,M1475))))</f>
        <v/>
      </c>
      <c r="O1475" s="54">
        <f>IF($B1475=0,NA(),IF(Inputs!$B$24&lt;&gt;"Yes",NA(),Inputs!$D$24*Inputs!$C$35))</f>
        <v/>
      </c>
      <c r="P1475" s="54">
        <f>IF($B1475=0,NA(),IF(Inputs!$B$25&lt;&gt;"Yes",NA(),Inputs!$D$25*Inputs!$C$35))</f>
        <v/>
      </c>
      <c r="Q1475" s="54">
        <f>IF($B1475=0,NA(),IF(Inputs!$B$26&lt;&gt;"Yes",NA(),Inputs!$D$26*Inputs!$C$35))</f>
        <v/>
      </c>
      <c r="R1475" s="54">
        <f>IF($B1475=0,NA(),IF(Inputs!$B$27&lt;&gt;"Yes",NA(),Inputs!$D$27*Inputs!$C$35))</f>
        <v/>
      </c>
      <c r="S1475" s="54">
        <f>IF($B1475=0,NA(),IF(Inputs!$B$28&lt;&gt;"Yes",NA(),Inputs!$D$28*Inputs!$C$35))</f>
        <v/>
      </c>
      <c r="T1475" s="54">
        <f>IF($B1475=0,NA(),IF(Inputs!$B$29&lt;&gt;"Yes",NA(),Inputs!$D$29*Inputs!$C$35))</f>
        <v/>
      </c>
      <c r="AD1475">
        <f>IF($B1475=0,0,IF(Inputs!$B$6="",0,COUNTIFS(Data!$A$10:$A$3209,"&gt;="&amp;$A1475,Data!$A$10:$A$3209,"&lt;"&amp;$A1475+1)))</f>
        <v/>
      </c>
      <c r="AE1475">
        <f>IF($B1475=0,0,IF(Inputs!$B$7="",0,COUNTIFS(Data!$E$10:$E$3209,"&gt;="&amp;$A1475,Data!$E$10:$E$3209,"&lt;"&amp;$A1475+1)))</f>
        <v/>
      </c>
      <c r="AF1475">
        <f>IF($B1475=0,0,IF(Inputs!$B$8="",0,COUNTIFS(Data!$I$10:$I$3209,"&gt;="&amp;$A1475,Data!$I$10:$I$3209,"&lt;"&amp;$A1475+1)))</f>
        <v/>
      </c>
      <c r="AG1475">
        <f>IF($B1475=0,0,IF(Inputs!$B$9="",0,COUNTIFS(Data!$M$10:$M$3209,"&gt;="&amp;$A1475,Data!$M$10:$M$3209,"&lt;"&amp;$A1475+1)))</f>
        <v/>
      </c>
      <c r="AH1475">
        <f>IF($B1475=0,0,IF(Inputs!$B$10="",0,COUNTIFS(Data!$Q$10:$Q$3209,"&gt;="&amp;$A1475,Data!$Q$10:$Q$3209,"&lt;"&amp;$A1475+1)))</f>
        <v/>
      </c>
    </row>
    <row r="1476">
      <c r="A1476" s="55">
        <f>MIN(Inputs!$C$15,$A1475+IF(WEEKDAY($A1475,2)=5,3,1))</f>
        <v/>
      </c>
      <c r="B1476">
        <f>IF($A1476&gt;$A1475,1,0)</f>
        <v/>
      </c>
      <c r="C1476" s="56">
        <f>IF($B1476=0,"",IF(Inputs!$B$6="","",IF($AD1476=0,C1475,SUMIFS(Data!$B$10:$B$3209,Data!$A$10:$A$3209,"&gt;="&amp;$A1476,Data!$A$10:$A$3209,"&lt;"&amp;$A1476+1)/$AD1476)))</f>
        <v/>
      </c>
      <c r="D1476" s="56">
        <f>IF($B1476=0,"",IF(Inputs!$B$7="","",IF($AE1476=0,D1475,SUMIFS(Data!$F$10:$F$3209,Data!$E$10:$E$3209,"&gt;="&amp;$A1476,Data!$E$10:$E$3209,"&lt;"&amp;$A1476+1)/$AE1476)))</f>
        <v/>
      </c>
      <c r="E1476" s="56">
        <f>IF($B1476=0,"",IF(Inputs!$B$8="","",IF($AF1476=0,E1475,SUMIFS(Data!$J$10:$J$3209,Data!$I$10:$I$3209,"&gt;="&amp;$A1476,Data!$I$10:$I$3209,"&lt;"&amp;$A1476+1)/$AF1476)))</f>
        <v/>
      </c>
      <c r="F1476" s="56">
        <f>IF($B1476=0,"",IF(Inputs!$B$9="","",IF($AG1476=0,F1475,SUMIFS(Data!$N$10:$N$3209,Data!$M$10:$M$3209,"&gt;="&amp;$A1476,Data!$M$10:$M$3209,"&lt;"&amp;$A1476+1)/$AG1476)))</f>
        <v/>
      </c>
      <c r="G1476" s="56">
        <f>IF($B1476=0,"",IF(Inputs!$B$10="","",IF($AH1476=0,G1475,SUMIFS(Data!$R$10:$R$3209,Data!$Q$10:$Q$3209,"&gt;="&amp;$A1476,Data!$Q$10:$Q$3209,"&lt;"&amp;$A1476+1)/$AH1476)))</f>
        <v/>
      </c>
      <c r="I1476" s="54">
        <f>IF($B1476=0,NA(),IF($C1476="",NA(),IF(C$8="",NA(),IF(N(C$8)=0,NA(),IF(Inputs!$C$17="Rebased to 100",$C1476/C$8*100,$C1476)))))</f>
        <v/>
      </c>
      <c r="J1476" s="54">
        <f>IF($B1476=0,NA(),IF($D1476="",NA(),IF(D$8="",NA(),IF(N(D$8)=0,NA(),IF(Inputs!$C$17="Rebased to 100",$D1476/D$8*100,$D1476)))))</f>
        <v/>
      </c>
      <c r="K1476" s="54">
        <f>IF($B1476=0,NA(),IF($E1476="",NA(),IF(E$8="",NA(),IF(N(E$8)=0,NA(),IF(Inputs!$C$17="Rebased to 100",$E1476/E$8*100,$E1476)))))</f>
        <v/>
      </c>
      <c r="L1476" s="54">
        <f>IF($B1476=0,NA(),IF($F1476="",NA(),IF(F$8="",NA(),IF(N(F$8)=0,NA(),IF(Inputs!$C$17="Rebased to 100",$F1476/F$8*100,$F1476)))))</f>
        <v/>
      </c>
      <c r="M1476" s="54">
        <f>IF($B1476=0,NA(),IF($G1476="",NA(),IF(G$8="",NA(),IF(N(G$8)=0,NA(),IF(Inputs!$C$17="Rebased to 100",$G1476/G$8*100,$G1476)))))</f>
        <v/>
      </c>
      <c r="N1476" s="54">
        <f>IF($B1476=0,NA(),IF(Inputs!$C$18&lt;&gt;"Yes",NA(),IF(COUNT(I1476,J1476,K1476,L1476,M1476)=0,NA(),MIN(I1476,J1476,K1476,L1476,M1476))))</f>
        <v/>
      </c>
      <c r="O1476" s="54">
        <f>IF($B1476=0,NA(),IF(Inputs!$B$24&lt;&gt;"Yes",NA(),Inputs!$D$24*Inputs!$C$35))</f>
        <v/>
      </c>
      <c r="P1476" s="54">
        <f>IF($B1476=0,NA(),IF(Inputs!$B$25&lt;&gt;"Yes",NA(),Inputs!$D$25*Inputs!$C$35))</f>
        <v/>
      </c>
      <c r="Q1476" s="54">
        <f>IF($B1476=0,NA(),IF(Inputs!$B$26&lt;&gt;"Yes",NA(),Inputs!$D$26*Inputs!$C$35))</f>
        <v/>
      </c>
      <c r="R1476" s="54">
        <f>IF($B1476=0,NA(),IF(Inputs!$B$27&lt;&gt;"Yes",NA(),Inputs!$D$27*Inputs!$C$35))</f>
        <v/>
      </c>
      <c r="S1476" s="54">
        <f>IF($B1476=0,NA(),IF(Inputs!$B$28&lt;&gt;"Yes",NA(),Inputs!$D$28*Inputs!$C$35))</f>
        <v/>
      </c>
      <c r="T1476" s="54">
        <f>IF($B1476=0,NA(),IF(Inputs!$B$29&lt;&gt;"Yes",NA(),Inputs!$D$29*Inputs!$C$35))</f>
        <v/>
      </c>
      <c r="AD1476">
        <f>IF($B1476=0,0,IF(Inputs!$B$6="",0,COUNTIFS(Data!$A$10:$A$3209,"&gt;="&amp;$A1476,Data!$A$10:$A$3209,"&lt;"&amp;$A1476+1)))</f>
        <v/>
      </c>
      <c r="AE1476">
        <f>IF($B1476=0,0,IF(Inputs!$B$7="",0,COUNTIFS(Data!$E$10:$E$3209,"&gt;="&amp;$A1476,Data!$E$10:$E$3209,"&lt;"&amp;$A1476+1)))</f>
        <v/>
      </c>
      <c r="AF1476">
        <f>IF($B1476=0,0,IF(Inputs!$B$8="",0,COUNTIFS(Data!$I$10:$I$3209,"&gt;="&amp;$A1476,Data!$I$10:$I$3209,"&lt;"&amp;$A1476+1)))</f>
        <v/>
      </c>
      <c r="AG1476">
        <f>IF($B1476=0,0,IF(Inputs!$B$9="",0,COUNTIFS(Data!$M$10:$M$3209,"&gt;="&amp;$A1476,Data!$M$10:$M$3209,"&lt;"&amp;$A1476+1)))</f>
        <v/>
      </c>
      <c r="AH1476">
        <f>IF($B1476=0,0,IF(Inputs!$B$10="",0,COUNTIFS(Data!$Q$10:$Q$3209,"&gt;="&amp;$A1476,Data!$Q$10:$Q$3209,"&lt;"&amp;$A1476+1)))</f>
        <v/>
      </c>
    </row>
    <row r="1477">
      <c r="A1477" s="55">
        <f>MIN(Inputs!$C$15,$A1476+IF(WEEKDAY($A1476,2)=5,3,1))</f>
        <v/>
      </c>
      <c r="B1477">
        <f>IF($A1477&gt;$A1476,1,0)</f>
        <v/>
      </c>
      <c r="C1477" s="56">
        <f>IF($B1477=0,"",IF(Inputs!$B$6="","",IF($AD1477=0,C1476,SUMIFS(Data!$B$10:$B$3209,Data!$A$10:$A$3209,"&gt;="&amp;$A1477,Data!$A$10:$A$3209,"&lt;"&amp;$A1477+1)/$AD1477)))</f>
        <v/>
      </c>
      <c r="D1477" s="56">
        <f>IF($B1477=0,"",IF(Inputs!$B$7="","",IF($AE1477=0,D1476,SUMIFS(Data!$F$10:$F$3209,Data!$E$10:$E$3209,"&gt;="&amp;$A1477,Data!$E$10:$E$3209,"&lt;"&amp;$A1477+1)/$AE1477)))</f>
        <v/>
      </c>
      <c r="E1477" s="56">
        <f>IF($B1477=0,"",IF(Inputs!$B$8="","",IF($AF1477=0,E1476,SUMIFS(Data!$J$10:$J$3209,Data!$I$10:$I$3209,"&gt;="&amp;$A1477,Data!$I$10:$I$3209,"&lt;"&amp;$A1477+1)/$AF1477)))</f>
        <v/>
      </c>
      <c r="F1477" s="56">
        <f>IF($B1477=0,"",IF(Inputs!$B$9="","",IF($AG1477=0,F1476,SUMIFS(Data!$N$10:$N$3209,Data!$M$10:$M$3209,"&gt;="&amp;$A1477,Data!$M$10:$M$3209,"&lt;"&amp;$A1477+1)/$AG1477)))</f>
        <v/>
      </c>
      <c r="G1477" s="56">
        <f>IF($B1477=0,"",IF(Inputs!$B$10="","",IF($AH1477=0,G1476,SUMIFS(Data!$R$10:$R$3209,Data!$Q$10:$Q$3209,"&gt;="&amp;$A1477,Data!$Q$10:$Q$3209,"&lt;"&amp;$A1477+1)/$AH1477)))</f>
        <v/>
      </c>
      <c r="I1477" s="54">
        <f>IF($B1477=0,NA(),IF($C1477="",NA(),IF(C$8="",NA(),IF(N(C$8)=0,NA(),IF(Inputs!$C$17="Rebased to 100",$C1477/C$8*100,$C1477)))))</f>
        <v/>
      </c>
      <c r="J1477" s="54">
        <f>IF($B1477=0,NA(),IF($D1477="",NA(),IF(D$8="",NA(),IF(N(D$8)=0,NA(),IF(Inputs!$C$17="Rebased to 100",$D1477/D$8*100,$D1477)))))</f>
        <v/>
      </c>
      <c r="K1477" s="54">
        <f>IF($B1477=0,NA(),IF($E1477="",NA(),IF(E$8="",NA(),IF(N(E$8)=0,NA(),IF(Inputs!$C$17="Rebased to 100",$E1477/E$8*100,$E1477)))))</f>
        <v/>
      </c>
      <c r="L1477" s="54">
        <f>IF($B1477=0,NA(),IF($F1477="",NA(),IF(F$8="",NA(),IF(N(F$8)=0,NA(),IF(Inputs!$C$17="Rebased to 100",$F1477/F$8*100,$F1477)))))</f>
        <v/>
      </c>
      <c r="M1477" s="54">
        <f>IF($B1477=0,NA(),IF($G1477="",NA(),IF(G$8="",NA(),IF(N(G$8)=0,NA(),IF(Inputs!$C$17="Rebased to 100",$G1477/G$8*100,$G1477)))))</f>
        <v/>
      </c>
      <c r="N1477" s="54">
        <f>IF($B1477=0,NA(),IF(Inputs!$C$18&lt;&gt;"Yes",NA(),IF(COUNT(I1477,J1477,K1477,L1477,M1477)=0,NA(),MIN(I1477,J1477,K1477,L1477,M1477))))</f>
        <v/>
      </c>
      <c r="O1477" s="54">
        <f>IF($B1477=0,NA(),IF(Inputs!$B$24&lt;&gt;"Yes",NA(),Inputs!$D$24*Inputs!$C$35))</f>
        <v/>
      </c>
      <c r="P1477" s="54">
        <f>IF($B1477=0,NA(),IF(Inputs!$B$25&lt;&gt;"Yes",NA(),Inputs!$D$25*Inputs!$C$35))</f>
        <v/>
      </c>
      <c r="Q1477" s="54">
        <f>IF($B1477=0,NA(),IF(Inputs!$B$26&lt;&gt;"Yes",NA(),Inputs!$D$26*Inputs!$C$35))</f>
        <v/>
      </c>
      <c r="R1477" s="54">
        <f>IF($B1477=0,NA(),IF(Inputs!$B$27&lt;&gt;"Yes",NA(),Inputs!$D$27*Inputs!$C$35))</f>
        <v/>
      </c>
      <c r="S1477" s="54">
        <f>IF($B1477=0,NA(),IF(Inputs!$B$28&lt;&gt;"Yes",NA(),Inputs!$D$28*Inputs!$C$35))</f>
        <v/>
      </c>
      <c r="T1477" s="54">
        <f>IF($B1477=0,NA(),IF(Inputs!$B$29&lt;&gt;"Yes",NA(),Inputs!$D$29*Inputs!$C$35))</f>
        <v/>
      </c>
      <c r="AD1477">
        <f>IF($B1477=0,0,IF(Inputs!$B$6="",0,COUNTIFS(Data!$A$10:$A$3209,"&gt;="&amp;$A1477,Data!$A$10:$A$3209,"&lt;"&amp;$A1477+1)))</f>
        <v/>
      </c>
      <c r="AE1477">
        <f>IF($B1477=0,0,IF(Inputs!$B$7="",0,COUNTIFS(Data!$E$10:$E$3209,"&gt;="&amp;$A1477,Data!$E$10:$E$3209,"&lt;"&amp;$A1477+1)))</f>
        <v/>
      </c>
      <c r="AF1477">
        <f>IF($B1477=0,0,IF(Inputs!$B$8="",0,COUNTIFS(Data!$I$10:$I$3209,"&gt;="&amp;$A1477,Data!$I$10:$I$3209,"&lt;"&amp;$A1477+1)))</f>
        <v/>
      </c>
      <c r="AG1477">
        <f>IF($B1477=0,0,IF(Inputs!$B$9="",0,COUNTIFS(Data!$M$10:$M$3209,"&gt;="&amp;$A1477,Data!$M$10:$M$3209,"&lt;"&amp;$A1477+1)))</f>
        <v/>
      </c>
      <c r="AH1477">
        <f>IF($B1477=0,0,IF(Inputs!$B$10="",0,COUNTIFS(Data!$Q$10:$Q$3209,"&gt;="&amp;$A1477,Data!$Q$10:$Q$3209,"&lt;"&amp;$A1477+1)))</f>
        <v/>
      </c>
    </row>
    <row r="1478">
      <c r="A1478" s="55">
        <f>MIN(Inputs!$C$15,$A1477+IF(WEEKDAY($A1477,2)=5,3,1))</f>
        <v/>
      </c>
      <c r="B1478">
        <f>IF($A1478&gt;$A1477,1,0)</f>
        <v/>
      </c>
      <c r="C1478" s="56">
        <f>IF($B1478=0,"",IF(Inputs!$B$6="","",IF($AD1478=0,C1477,SUMIFS(Data!$B$10:$B$3209,Data!$A$10:$A$3209,"&gt;="&amp;$A1478,Data!$A$10:$A$3209,"&lt;"&amp;$A1478+1)/$AD1478)))</f>
        <v/>
      </c>
      <c r="D1478" s="56">
        <f>IF($B1478=0,"",IF(Inputs!$B$7="","",IF($AE1478=0,D1477,SUMIFS(Data!$F$10:$F$3209,Data!$E$10:$E$3209,"&gt;="&amp;$A1478,Data!$E$10:$E$3209,"&lt;"&amp;$A1478+1)/$AE1478)))</f>
        <v/>
      </c>
      <c r="E1478" s="56">
        <f>IF($B1478=0,"",IF(Inputs!$B$8="","",IF($AF1478=0,E1477,SUMIFS(Data!$J$10:$J$3209,Data!$I$10:$I$3209,"&gt;="&amp;$A1478,Data!$I$10:$I$3209,"&lt;"&amp;$A1478+1)/$AF1478)))</f>
        <v/>
      </c>
      <c r="F1478" s="56">
        <f>IF($B1478=0,"",IF(Inputs!$B$9="","",IF($AG1478=0,F1477,SUMIFS(Data!$N$10:$N$3209,Data!$M$10:$M$3209,"&gt;="&amp;$A1478,Data!$M$10:$M$3209,"&lt;"&amp;$A1478+1)/$AG1478)))</f>
        <v/>
      </c>
      <c r="G1478" s="56">
        <f>IF($B1478=0,"",IF(Inputs!$B$10="","",IF($AH1478=0,G1477,SUMIFS(Data!$R$10:$R$3209,Data!$Q$10:$Q$3209,"&gt;="&amp;$A1478,Data!$Q$10:$Q$3209,"&lt;"&amp;$A1478+1)/$AH1478)))</f>
        <v/>
      </c>
      <c r="I1478" s="54">
        <f>IF($B1478=0,NA(),IF($C1478="",NA(),IF(C$8="",NA(),IF(N(C$8)=0,NA(),IF(Inputs!$C$17="Rebased to 100",$C1478/C$8*100,$C1478)))))</f>
        <v/>
      </c>
      <c r="J1478" s="54">
        <f>IF($B1478=0,NA(),IF($D1478="",NA(),IF(D$8="",NA(),IF(N(D$8)=0,NA(),IF(Inputs!$C$17="Rebased to 100",$D1478/D$8*100,$D1478)))))</f>
        <v/>
      </c>
      <c r="K1478" s="54">
        <f>IF($B1478=0,NA(),IF($E1478="",NA(),IF(E$8="",NA(),IF(N(E$8)=0,NA(),IF(Inputs!$C$17="Rebased to 100",$E1478/E$8*100,$E1478)))))</f>
        <v/>
      </c>
      <c r="L1478" s="54">
        <f>IF($B1478=0,NA(),IF($F1478="",NA(),IF(F$8="",NA(),IF(N(F$8)=0,NA(),IF(Inputs!$C$17="Rebased to 100",$F1478/F$8*100,$F1478)))))</f>
        <v/>
      </c>
      <c r="M1478" s="54">
        <f>IF($B1478=0,NA(),IF($G1478="",NA(),IF(G$8="",NA(),IF(N(G$8)=0,NA(),IF(Inputs!$C$17="Rebased to 100",$G1478/G$8*100,$G1478)))))</f>
        <v/>
      </c>
      <c r="N1478" s="54">
        <f>IF($B1478=0,NA(),IF(Inputs!$C$18&lt;&gt;"Yes",NA(),IF(COUNT(I1478,J1478,K1478,L1478,M1478)=0,NA(),MIN(I1478,J1478,K1478,L1478,M1478))))</f>
        <v/>
      </c>
      <c r="O1478" s="54">
        <f>IF($B1478=0,NA(),IF(Inputs!$B$24&lt;&gt;"Yes",NA(),Inputs!$D$24*Inputs!$C$35))</f>
        <v/>
      </c>
      <c r="P1478" s="54">
        <f>IF($B1478=0,NA(),IF(Inputs!$B$25&lt;&gt;"Yes",NA(),Inputs!$D$25*Inputs!$C$35))</f>
        <v/>
      </c>
      <c r="Q1478" s="54">
        <f>IF($B1478=0,NA(),IF(Inputs!$B$26&lt;&gt;"Yes",NA(),Inputs!$D$26*Inputs!$C$35))</f>
        <v/>
      </c>
      <c r="R1478" s="54">
        <f>IF($B1478=0,NA(),IF(Inputs!$B$27&lt;&gt;"Yes",NA(),Inputs!$D$27*Inputs!$C$35))</f>
        <v/>
      </c>
      <c r="S1478" s="54">
        <f>IF($B1478=0,NA(),IF(Inputs!$B$28&lt;&gt;"Yes",NA(),Inputs!$D$28*Inputs!$C$35))</f>
        <v/>
      </c>
      <c r="T1478" s="54">
        <f>IF($B1478=0,NA(),IF(Inputs!$B$29&lt;&gt;"Yes",NA(),Inputs!$D$29*Inputs!$C$35))</f>
        <v/>
      </c>
      <c r="AD1478">
        <f>IF($B1478=0,0,IF(Inputs!$B$6="",0,COUNTIFS(Data!$A$10:$A$3209,"&gt;="&amp;$A1478,Data!$A$10:$A$3209,"&lt;"&amp;$A1478+1)))</f>
        <v/>
      </c>
      <c r="AE1478">
        <f>IF($B1478=0,0,IF(Inputs!$B$7="",0,COUNTIFS(Data!$E$10:$E$3209,"&gt;="&amp;$A1478,Data!$E$10:$E$3209,"&lt;"&amp;$A1478+1)))</f>
        <v/>
      </c>
      <c r="AF1478">
        <f>IF($B1478=0,0,IF(Inputs!$B$8="",0,COUNTIFS(Data!$I$10:$I$3209,"&gt;="&amp;$A1478,Data!$I$10:$I$3209,"&lt;"&amp;$A1478+1)))</f>
        <v/>
      </c>
      <c r="AG1478">
        <f>IF($B1478=0,0,IF(Inputs!$B$9="",0,COUNTIFS(Data!$M$10:$M$3209,"&gt;="&amp;$A1478,Data!$M$10:$M$3209,"&lt;"&amp;$A1478+1)))</f>
        <v/>
      </c>
      <c r="AH1478">
        <f>IF($B1478=0,0,IF(Inputs!$B$10="",0,COUNTIFS(Data!$Q$10:$Q$3209,"&gt;="&amp;$A1478,Data!$Q$10:$Q$3209,"&lt;"&amp;$A1478+1)))</f>
        <v/>
      </c>
    </row>
    <row r="1479">
      <c r="A1479" s="55">
        <f>MIN(Inputs!$C$15,$A1478+IF(WEEKDAY($A1478,2)=5,3,1))</f>
        <v/>
      </c>
      <c r="B1479">
        <f>IF($A1479&gt;$A1478,1,0)</f>
        <v/>
      </c>
      <c r="C1479" s="56">
        <f>IF($B1479=0,"",IF(Inputs!$B$6="","",IF($AD1479=0,C1478,SUMIFS(Data!$B$10:$B$3209,Data!$A$10:$A$3209,"&gt;="&amp;$A1479,Data!$A$10:$A$3209,"&lt;"&amp;$A1479+1)/$AD1479)))</f>
        <v/>
      </c>
      <c r="D1479" s="56">
        <f>IF($B1479=0,"",IF(Inputs!$B$7="","",IF($AE1479=0,D1478,SUMIFS(Data!$F$10:$F$3209,Data!$E$10:$E$3209,"&gt;="&amp;$A1479,Data!$E$10:$E$3209,"&lt;"&amp;$A1479+1)/$AE1479)))</f>
        <v/>
      </c>
      <c r="E1479" s="56">
        <f>IF($B1479=0,"",IF(Inputs!$B$8="","",IF($AF1479=0,E1478,SUMIFS(Data!$J$10:$J$3209,Data!$I$10:$I$3209,"&gt;="&amp;$A1479,Data!$I$10:$I$3209,"&lt;"&amp;$A1479+1)/$AF1479)))</f>
        <v/>
      </c>
      <c r="F1479" s="56">
        <f>IF($B1479=0,"",IF(Inputs!$B$9="","",IF($AG1479=0,F1478,SUMIFS(Data!$N$10:$N$3209,Data!$M$10:$M$3209,"&gt;="&amp;$A1479,Data!$M$10:$M$3209,"&lt;"&amp;$A1479+1)/$AG1479)))</f>
        <v/>
      </c>
      <c r="G1479" s="56">
        <f>IF($B1479=0,"",IF(Inputs!$B$10="","",IF($AH1479=0,G1478,SUMIFS(Data!$R$10:$R$3209,Data!$Q$10:$Q$3209,"&gt;="&amp;$A1479,Data!$Q$10:$Q$3209,"&lt;"&amp;$A1479+1)/$AH1479)))</f>
        <v/>
      </c>
      <c r="I1479" s="54">
        <f>IF($B1479=0,NA(),IF($C1479="",NA(),IF(C$8="",NA(),IF(N(C$8)=0,NA(),IF(Inputs!$C$17="Rebased to 100",$C1479/C$8*100,$C1479)))))</f>
        <v/>
      </c>
      <c r="J1479" s="54">
        <f>IF($B1479=0,NA(),IF($D1479="",NA(),IF(D$8="",NA(),IF(N(D$8)=0,NA(),IF(Inputs!$C$17="Rebased to 100",$D1479/D$8*100,$D1479)))))</f>
        <v/>
      </c>
      <c r="K1479" s="54">
        <f>IF($B1479=0,NA(),IF($E1479="",NA(),IF(E$8="",NA(),IF(N(E$8)=0,NA(),IF(Inputs!$C$17="Rebased to 100",$E1479/E$8*100,$E1479)))))</f>
        <v/>
      </c>
      <c r="L1479" s="54">
        <f>IF($B1479=0,NA(),IF($F1479="",NA(),IF(F$8="",NA(),IF(N(F$8)=0,NA(),IF(Inputs!$C$17="Rebased to 100",$F1479/F$8*100,$F1479)))))</f>
        <v/>
      </c>
      <c r="M1479" s="54">
        <f>IF($B1479=0,NA(),IF($G1479="",NA(),IF(G$8="",NA(),IF(N(G$8)=0,NA(),IF(Inputs!$C$17="Rebased to 100",$G1479/G$8*100,$G1479)))))</f>
        <v/>
      </c>
      <c r="N1479" s="54">
        <f>IF($B1479=0,NA(),IF(Inputs!$C$18&lt;&gt;"Yes",NA(),IF(COUNT(I1479,J1479,K1479,L1479,M1479)=0,NA(),MIN(I1479,J1479,K1479,L1479,M1479))))</f>
        <v/>
      </c>
      <c r="O1479" s="54">
        <f>IF($B1479=0,NA(),IF(Inputs!$B$24&lt;&gt;"Yes",NA(),Inputs!$D$24*Inputs!$C$35))</f>
        <v/>
      </c>
      <c r="P1479" s="54">
        <f>IF($B1479=0,NA(),IF(Inputs!$B$25&lt;&gt;"Yes",NA(),Inputs!$D$25*Inputs!$C$35))</f>
        <v/>
      </c>
      <c r="Q1479" s="54">
        <f>IF($B1479=0,NA(),IF(Inputs!$B$26&lt;&gt;"Yes",NA(),Inputs!$D$26*Inputs!$C$35))</f>
        <v/>
      </c>
      <c r="R1479" s="54">
        <f>IF($B1479=0,NA(),IF(Inputs!$B$27&lt;&gt;"Yes",NA(),Inputs!$D$27*Inputs!$C$35))</f>
        <v/>
      </c>
      <c r="S1479" s="54">
        <f>IF($B1479=0,NA(),IF(Inputs!$B$28&lt;&gt;"Yes",NA(),Inputs!$D$28*Inputs!$C$35))</f>
        <v/>
      </c>
      <c r="T1479" s="54">
        <f>IF($B1479=0,NA(),IF(Inputs!$B$29&lt;&gt;"Yes",NA(),Inputs!$D$29*Inputs!$C$35))</f>
        <v/>
      </c>
      <c r="AD1479">
        <f>IF($B1479=0,0,IF(Inputs!$B$6="",0,COUNTIFS(Data!$A$10:$A$3209,"&gt;="&amp;$A1479,Data!$A$10:$A$3209,"&lt;"&amp;$A1479+1)))</f>
        <v/>
      </c>
      <c r="AE1479">
        <f>IF($B1479=0,0,IF(Inputs!$B$7="",0,COUNTIFS(Data!$E$10:$E$3209,"&gt;="&amp;$A1479,Data!$E$10:$E$3209,"&lt;"&amp;$A1479+1)))</f>
        <v/>
      </c>
      <c r="AF1479">
        <f>IF($B1479=0,0,IF(Inputs!$B$8="",0,COUNTIFS(Data!$I$10:$I$3209,"&gt;="&amp;$A1479,Data!$I$10:$I$3209,"&lt;"&amp;$A1479+1)))</f>
        <v/>
      </c>
      <c r="AG1479">
        <f>IF($B1479=0,0,IF(Inputs!$B$9="",0,COUNTIFS(Data!$M$10:$M$3209,"&gt;="&amp;$A1479,Data!$M$10:$M$3209,"&lt;"&amp;$A1479+1)))</f>
        <v/>
      </c>
      <c r="AH1479">
        <f>IF($B1479=0,0,IF(Inputs!$B$10="",0,COUNTIFS(Data!$Q$10:$Q$3209,"&gt;="&amp;$A1479,Data!$Q$10:$Q$3209,"&lt;"&amp;$A1479+1)))</f>
        <v/>
      </c>
    </row>
    <row r="1480">
      <c r="A1480" s="55">
        <f>MIN(Inputs!$C$15,$A1479+IF(WEEKDAY($A1479,2)=5,3,1))</f>
        <v/>
      </c>
      <c r="B1480">
        <f>IF($A1480&gt;$A1479,1,0)</f>
        <v/>
      </c>
      <c r="C1480" s="56">
        <f>IF($B1480=0,"",IF(Inputs!$B$6="","",IF($AD1480=0,C1479,SUMIFS(Data!$B$10:$B$3209,Data!$A$10:$A$3209,"&gt;="&amp;$A1480,Data!$A$10:$A$3209,"&lt;"&amp;$A1480+1)/$AD1480)))</f>
        <v/>
      </c>
      <c r="D1480" s="56">
        <f>IF($B1480=0,"",IF(Inputs!$B$7="","",IF($AE1480=0,D1479,SUMIFS(Data!$F$10:$F$3209,Data!$E$10:$E$3209,"&gt;="&amp;$A1480,Data!$E$10:$E$3209,"&lt;"&amp;$A1480+1)/$AE1480)))</f>
        <v/>
      </c>
      <c r="E1480" s="56">
        <f>IF($B1480=0,"",IF(Inputs!$B$8="","",IF($AF1480=0,E1479,SUMIFS(Data!$J$10:$J$3209,Data!$I$10:$I$3209,"&gt;="&amp;$A1480,Data!$I$10:$I$3209,"&lt;"&amp;$A1480+1)/$AF1480)))</f>
        <v/>
      </c>
      <c r="F1480" s="56">
        <f>IF($B1480=0,"",IF(Inputs!$B$9="","",IF($AG1480=0,F1479,SUMIFS(Data!$N$10:$N$3209,Data!$M$10:$M$3209,"&gt;="&amp;$A1480,Data!$M$10:$M$3209,"&lt;"&amp;$A1480+1)/$AG1480)))</f>
        <v/>
      </c>
      <c r="G1480" s="56">
        <f>IF($B1480=0,"",IF(Inputs!$B$10="","",IF($AH1480=0,G1479,SUMIFS(Data!$R$10:$R$3209,Data!$Q$10:$Q$3209,"&gt;="&amp;$A1480,Data!$Q$10:$Q$3209,"&lt;"&amp;$A1480+1)/$AH1480)))</f>
        <v/>
      </c>
      <c r="I1480" s="54">
        <f>IF($B1480=0,NA(),IF($C1480="",NA(),IF(C$8="",NA(),IF(N(C$8)=0,NA(),IF(Inputs!$C$17="Rebased to 100",$C1480/C$8*100,$C1480)))))</f>
        <v/>
      </c>
      <c r="J1480" s="54">
        <f>IF($B1480=0,NA(),IF($D1480="",NA(),IF(D$8="",NA(),IF(N(D$8)=0,NA(),IF(Inputs!$C$17="Rebased to 100",$D1480/D$8*100,$D1480)))))</f>
        <v/>
      </c>
      <c r="K1480" s="54">
        <f>IF($B1480=0,NA(),IF($E1480="",NA(),IF(E$8="",NA(),IF(N(E$8)=0,NA(),IF(Inputs!$C$17="Rebased to 100",$E1480/E$8*100,$E1480)))))</f>
        <v/>
      </c>
      <c r="L1480" s="54">
        <f>IF($B1480=0,NA(),IF($F1480="",NA(),IF(F$8="",NA(),IF(N(F$8)=0,NA(),IF(Inputs!$C$17="Rebased to 100",$F1480/F$8*100,$F1480)))))</f>
        <v/>
      </c>
      <c r="M1480" s="54">
        <f>IF($B1480=0,NA(),IF($G1480="",NA(),IF(G$8="",NA(),IF(N(G$8)=0,NA(),IF(Inputs!$C$17="Rebased to 100",$G1480/G$8*100,$G1480)))))</f>
        <v/>
      </c>
      <c r="N1480" s="54">
        <f>IF($B1480=0,NA(),IF(Inputs!$C$18&lt;&gt;"Yes",NA(),IF(COUNT(I1480,J1480,K1480,L1480,M1480)=0,NA(),MIN(I1480,J1480,K1480,L1480,M1480))))</f>
        <v/>
      </c>
      <c r="O1480" s="54">
        <f>IF($B1480=0,NA(),IF(Inputs!$B$24&lt;&gt;"Yes",NA(),Inputs!$D$24*Inputs!$C$35))</f>
        <v/>
      </c>
      <c r="P1480" s="54">
        <f>IF($B1480=0,NA(),IF(Inputs!$B$25&lt;&gt;"Yes",NA(),Inputs!$D$25*Inputs!$C$35))</f>
        <v/>
      </c>
      <c r="Q1480" s="54">
        <f>IF($B1480=0,NA(),IF(Inputs!$B$26&lt;&gt;"Yes",NA(),Inputs!$D$26*Inputs!$C$35))</f>
        <v/>
      </c>
      <c r="R1480" s="54">
        <f>IF($B1480=0,NA(),IF(Inputs!$B$27&lt;&gt;"Yes",NA(),Inputs!$D$27*Inputs!$C$35))</f>
        <v/>
      </c>
      <c r="S1480" s="54">
        <f>IF($B1480=0,NA(),IF(Inputs!$B$28&lt;&gt;"Yes",NA(),Inputs!$D$28*Inputs!$C$35))</f>
        <v/>
      </c>
      <c r="T1480" s="54">
        <f>IF($B1480=0,NA(),IF(Inputs!$B$29&lt;&gt;"Yes",NA(),Inputs!$D$29*Inputs!$C$35))</f>
        <v/>
      </c>
      <c r="AD1480">
        <f>IF($B1480=0,0,IF(Inputs!$B$6="",0,COUNTIFS(Data!$A$10:$A$3209,"&gt;="&amp;$A1480,Data!$A$10:$A$3209,"&lt;"&amp;$A1480+1)))</f>
        <v/>
      </c>
      <c r="AE1480">
        <f>IF($B1480=0,0,IF(Inputs!$B$7="",0,COUNTIFS(Data!$E$10:$E$3209,"&gt;="&amp;$A1480,Data!$E$10:$E$3209,"&lt;"&amp;$A1480+1)))</f>
        <v/>
      </c>
      <c r="AF1480">
        <f>IF($B1480=0,0,IF(Inputs!$B$8="",0,COUNTIFS(Data!$I$10:$I$3209,"&gt;="&amp;$A1480,Data!$I$10:$I$3209,"&lt;"&amp;$A1480+1)))</f>
        <v/>
      </c>
      <c r="AG1480">
        <f>IF($B1480=0,0,IF(Inputs!$B$9="",0,COUNTIFS(Data!$M$10:$M$3209,"&gt;="&amp;$A1480,Data!$M$10:$M$3209,"&lt;"&amp;$A1480+1)))</f>
        <v/>
      </c>
      <c r="AH1480">
        <f>IF($B1480=0,0,IF(Inputs!$B$10="",0,COUNTIFS(Data!$Q$10:$Q$3209,"&gt;="&amp;$A1480,Data!$Q$10:$Q$3209,"&lt;"&amp;$A1480+1)))</f>
        <v/>
      </c>
    </row>
    <row r="1481">
      <c r="A1481" s="55">
        <f>MIN(Inputs!$C$15,$A1480+IF(WEEKDAY($A1480,2)=5,3,1))</f>
        <v/>
      </c>
      <c r="B1481">
        <f>IF($A1481&gt;$A1480,1,0)</f>
        <v/>
      </c>
      <c r="C1481" s="56">
        <f>IF($B1481=0,"",IF(Inputs!$B$6="","",IF($AD1481=0,C1480,SUMIFS(Data!$B$10:$B$3209,Data!$A$10:$A$3209,"&gt;="&amp;$A1481,Data!$A$10:$A$3209,"&lt;"&amp;$A1481+1)/$AD1481)))</f>
        <v/>
      </c>
      <c r="D1481" s="56">
        <f>IF($B1481=0,"",IF(Inputs!$B$7="","",IF($AE1481=0,D1480,SUMIFS(Data!$F$10:$F$3209,Data!$E$10:$E$3209,"&gt;="&amp;$A1481,Data!$E$10:$E$3209,"&lt;"&amp;$A1481+1)/$AE1481)))</f>
        <v/>
      </c>
      <c r="E1481" s="56">
        <f>IF($B1481=0,"",IF(Inputs!$B$8="","",IF($AF1481=0,E1480,SUMIFS(Data!$J$10:$J$3209,Data!$I$10:$I$3209,"&gt;="&amp;$A1481,Data!$I$10:$I$3209,"&lt;"&amp;$A1481+1)/$AF1481)))</f>
        <v/>
      </c>
      <c r="F1481" s="56">
        <f>IF($B1481=0,"",IF(Inputs!$B$9="","",IF($AG1481=0,F1480,SUMIFS(Data!$N$10:$N$3209,Data!$M$10:$M$3209,"&gt;="&amp;$A1481,Data!$M$10:$M$3209,"&lt;"&amp;$A1481+1)/$AG1481)))</f>
        <v/>
      </c>
      <c r="G1481" s="56">
        <f>IF($B1481=0,"",IF(Inputs!$B$10="","",IF($AH1481=0,G1480,SUMIFS(Data!$R$10:$R$3209,Data!$Q$10:$Q$3209,"&gt;="&amp;$A1481,Data!$Q$10:$Q$3209,"&lt;"&amp;$A1481+1)/$AH1481)))</f>
        <v/>
      </c>
      <c r="I1481" s="54">
        <f>IF($B1481=0,NA(),IF($C1481="",NA(),IF(C$8="",NA(),IF(N(C$8)=0,NA(),IF(Inputs!$C$17="Rebased to 100",$C1481/C$8*100,$C1481)))))</f>
        <v/>
      </c>
      <c r="J1481" s="54">
        <f>IF($B1481=0,NA(),IF($D1481="",NA(),IF(D$8="",NA(),IF(N(D$8)=0,NA(),IF(Inputs!$C$17="Rebased to 100",$D1481/D$8*100,$D1481)))))</f>
        <v/>
      </c>
      <c r="K1481" s="54">
        <f>IF($B1481=0,NA(),IF($E1481="",NA(),IF(E$8="",NA(),IF(N(E$8)=0,NA(),IF(Inputs!$C$17="Rebased to 100",$E1481/E$8*100,$E1481)))))</f>
        <v/>
      </c>
      <c r="L1481" s="54">
        <f>IF($B1481=0,NA(),IF($F1481="",NA(),IF(F$8="",NA(),IF(N(F$8)=0,NA(),IF(Inputs!$C$17="Rebased to 100",$F1481/F$8*100,$F1481)))))</f>
        <v/>
      </c>
      <c r="M1481" s="54">
        <f>IF($B1481=0,NA(),IF($G1481="",NA(),IF(G$8="",NA(),IF(N(G$8)=0,NA(),IF(Inputs!$C$17="Rebased to 100",$G1481/G$8*100,$G1481)))))</f>
        <v/>
      </c>
      <c r="N1481" s="54">
        <f>IF($B1481=0,NA(),IF(Inputs!$C$18&lt;&gt;"Yes",NA(),IF(COUNT(I1481,J1481,K1481,L1481,M1481)=0,NA(),MIN(I1481,J1481,K1481,L1481,M1481))))</f>
        <v/>
      </c>
      <c r="O1481" s="54">
        <f>IF($B1481=0,NA(),IF(Inputs!$B$24&lt;&gt;"Yes",NA(),Inputs!$D$24*Inputs!$C$35))</f>
        <v/>
      </c>
      <c r="P1481" s="54">
        <f>IF($B1481=0,NA(),IF(Inputs!$B$25&lt;&gt;"Yes",NA(),Inputs!$D$25*Inputs!$C$35))</f>
        <v/>
      </c>
      <c r="Q1481" s="54">
        <f>IF($B1481=0,NA(),IF(Inputs!$B$26&lt;&gt;"Yes",NA(),Inputs!$D$26*Inputs!$C$35))</f>
        <v/>
      </c>
      <c r="R1481" s="54">
        <f>IF($B1481=0,NA(),IF(Inputs!$B$27&lt;&gt;"Yes",NA(),Inputs!$D$27*Inputs!$C$35))</f>
        <v/>
      </c>
      <c r="S1481" s="54">
        <f>IF($B1481=0,NA(),IF(Inputs!$B$28&lt;&gt;"Yes",NA(),Inputs!$D$28*Inputs!$C$35))</f>
        <v/>
      </c>
      <c r="T1481" s="54">
        <f>IF($B1481=0,NA(),IF(Inputs!$B$29&lt;&gt;"Yes",NA(),Inputs!$D$29*Inputs!$C$35))</f>
        <v/>
      </c>
      <c r="AD1481">
        <f>IF($B1481=0,0,IF(Inputs!$B$6="",0,COUNTIFS(Data!$A$10:$A$3209,"&gt;="&amp;$A1481,Data!$A$10:$A$3209,"&lt;"&amp;$A1481+1)))</f>
        <v/>
      </c>
      <c r="AE1481">
        <f>IF($B1481=0,0,IF(Inputs!$B$7="",0,COUNTIFS(Data!$E$10:$E$3209,"&gt;="&amp;$A1481,Data!$E$10:$E$3209,"&lt;"&amp;$A1481+1)))</f>
        <v/>
      </c>
      <c r="AF1481">
        <f>IF($B1481=0,0,IF(Inputs!$B$8="",0,COUNTIFS(Data!$I$10:$I$3209,"&gt;="&amp;$A1481,Data!$I$10:$I$3209,"&lt;"&amp;$A1481+1)))</f>
        <v/>
      </c>
      <c r="AG1481">
        <f>IF($B1481=0,0,IF(Inputs!$B$9="",0,COUNTIFS(Data!$M$10:$M$3209,"&gt;="&amp;$A1481,Data!$M$10:$M$3209,"&lt;"&amp;$A1481+1)))</f>
        <v/>
      </c>
      <c r="AH1481">
        <f>IF($B1481=0,0,IF(Inputs!$B$10="",0,COUNTIFS(Data!$Q$10:$Q$3209,"&gt;="&amp;$A1481,Data!$Q$10:$Q$3209,"&lt;"&amp;$A1481+1)))</f>
        <v/>
      </c>
    </row>
    <row r="1482">
      <c r="A1482" s="55">
        <f>MIN(Inputs!$C$15,$A1481+IF(WEEKDAY($A1481,2)=5,3,1))</f>
        <v/>
      </c>
      <c r="B1482">
        <f>IF($A1482&gt;$A1481,1,0)</f>
        <v/>
      </c>
      <c r="C1482" s="56">
        <f>IF($B1482=0,"",IF(Inputs!$B$6="","",IF($AD1482=0,C1481,SUMIFS(Data!$B$10:$B$3209,Data!$A$10:$A$3209,"&gt;="&amp;$A1482,Data!$A$10:$A$3209,"&lt;"&amp;$A1482+1)/$AD1482)))</f>
        <v/>
      </c>
      <c r="D1482" s="56">
        <f>IF($B1482=0,"",IF(Inputs!$B$7="","",IF($AE1482=0,D1481,SUMIFS(Data!$F$10:$F$3209,Data!$E$10:$E$3209,"&gt;="&amp;$A1482,Data!$E$10:$E$3209,"&lt;"&amp;$A1482+1)/$AE1482)))</f>
        <v/>
      </c>
      <c r="E1482" s="56">
        <f>IF($B1482=0,"",IF(Inputs!$B$8="","",IF($AF1482=0,E1481,SUMIFS(Data!$J$10:$J$3209,Data!$I$10:$I$3209,"&gt;="&amp;$A1482,Data!$I$10:$I$3209,"&lt;"&amp;$A1482+1)/$AF1482)))</f>
        <v/>
      </c>
      <c r="F1482" s="56">
        <f>IF($B1482=0,"",IF(Inputs!$B$9="","",IF($AG1482=0,F1481,SUMIFS(Data!$N$10:$N$3209,Data!$M$10:$M$3209,"&gt;="&amp;$A1482,Data!$M$10:$M$3209,"&lt;"&amp;$A1482+1)/$AG1482)))</f>
        <v/>
      </c>
      <c r="G1482" s="56">
        <f>IF($B1482=0,"",IF(Inputs!$B$10="","",IF($AH1482=0,G1481,SUMIFS(Data!$R$10:$R$3209,Data!$Q$10:$Q$3209,"&gt;="&amp;$A1482,Data!$Q$10:$Q$3209,"&lt;"&amp;$A1482+1)/$AH1482)))</f>
        <v/>
      </c>
      <c r="I1482" s="54">
        <f>IF($B1482=0,NA(),IF($C1482="",NA(),IF(C$8="",NA(),IF(N(C$8)=0,NA(),IF(Inputs!$C$17="Rebased to 100",$C1482/C$8*100,$C1482)))))</f>
        <v/>
      </c>
      <c r="J1482" s="54">
        <f>IF($B1482=0,NA(),IF($D1482="",NA(),IF(D$8="",NA(),IF(N(D$8)=0,NA(),IF(Inputs!$C$17="Rebased to 100",$D1482/D$8*100,$D1482)))))</f>
        <v/>
      </c>
      <c r="K1482" s="54">
        <f>IF($B1482=0,NA(),IF($E1482="",NA(),IF(E$8="",NA(),IF(N(E$8)=0,NA(),IF(Inputs!$C$17="Rebased to 100",$E1482/E$8*100,$E1482)))))</f>
        <v/>
      </c>
      <c r="L1482" s="54">
        <f>IF($B1482=0,NA(),IF($F1482="",NA(),IF(F$8="",NA(),IF(N(F$8)=0,NA(),IF(Inputs!$C$17="Rebased to 100",$F1482/F$8*100,$F1482)))))</f>
        <v/>
      </c>
      <c r="M1482" s="54">
        <f>IF($B1482=0,NA(),IF($G1482="",NA(),IF(G$8="",NA(),IF(N(G$8)=0,NA(),IF(Inputs!$C$17="Rebased to 100",$G1482/G$8*100,$G1482)))))</f>
        <v/>
      </c>
      <c r="N1482" s="54">
        <f>IF($B1482=0,NA(),IF(Inputs!$C$18&lt;&gt;"Yes",NA(),IF(COUNT(I1482,J1482,K1482,L1482,M1482)=0,NA(),MIN(I1482,J1482,K1482,L1482,M1482))))</f>
        <v/>
      </c>
      <c r="O1482" s="54">
        <f>IF($B1482=0,NA(),IF(Inputs!$B$24&lt;&gt;"Yes",NA(),Inputs!$D$24*Inputs!$C$35))</f>
        <v/>
      </c>
      <c r="P1482" s="54">
        <f>IF($B1482=0,NA(),IF(Inputs!$B$25&lt;&gt;"Yes",NA(),Inputs!$D$25*Inputs!$C$35))</f>
        <v/>
      </c>
      <c r="Q1482" s="54">
        <f>IF($B1482=0,NA(),IF(Inputs!$B$26&lt;&gt;"Yes",NA(),Inputs!$D$26*Inputs!$C$35))</f>
        <v/>
      </c>
      <c r="R1482" s="54">
        <f>IF($B1482=0,NA(),IF(Inputs!$B$27&lt;&gt;"Yes",NA(),Inputs!$D$27*Inputs!$C$35))</f>
        <v/>
      </c>
      <c r="S1482" s="54">
        <f>IF($B1482=0,NA(),IF(Inputs!$B$28&lt;&gt;"Yes",NA(),Inputs!$D$28*Inputs!$C$35))</f>
        <v/>
      </c>
      <c r="T1482" s="54">
        <f>IF($B1482=0,NA(),IF(Inputs!$B$29&lt;&gt;"Yes",NA(),Inputs!$D$29*Inputs!$C$35))</f>
        <v/>
      </c>
      <c r="AD1482">
        <f>IF($B1482=0,0,IF(Inputs!$B$6="",0,COUNTIFS(Data!$A$10:$A$3209,"&gt;="&amp;$A1482,Data!$A$10:$A$3209,"&lt;"&amp;$A1482+1)))</f>
        <v/>
      </c>
      <c r="AE1482">
        <f>IF($B1482=0,0,IF(Inputs!$B$7="",0,COUNTIFS(Data!$E$10:$E$3209,"&gt;="&amp;$A1482,Data!$E$10:$E$3209,"&lt;"&amp;$A1482+1)))</f>
        <v/>
      </c>
      <c r="AF1482">
        <f>IF($B1482=0,0,IF(Inputs!$B$8="",0,COUNTIFS(Data!$I$10:$I$3209,"&gt;="&amp;$A1482,Data!$I$10:$I$3209,"&lt;"&amp;$A1482+1)))</f>
        <v/>
      </c>
      <c r="AG1482">
        <f>IF($B1482=0,0,IF(Inputs!$B$9="",0,COUNTIFS(Data!$M$10:$M$3209,"&gt;="&amp;$A1482,Data!$M$10:$M$3209,"&lt;"&amp;$A1482+1)))</f>
        <v/>
      </c>
      <c r="AH1482">
        <f>IF($B1482=0,0,IF(Inputs!$B$10="",0,COUNTIFS(Data!$Q$10:$Q$3209,"&gt;="&amp;$A1482,Data!$Q$10:$Q$3209,"&lt;"&amp;$A1482+1)))</f>
        <v/>
      </c>
    </row>
    <row r="1483">
      <c r="A1483" s="55">
        <f>MIN(Inputs!$C$15,$A1482+IF(WEEKDAY($A1482,2)=5,3,1))</f>
        <v/>
      </c>
      <c r="B1483">
        <f>IF($A1483&gt;$A1482,1,0)</f>
        <v/>
      </c>
      <c r="C1483" s="56">
        <f>IF($B1483=0,"",IF(Inputs!$B$6="","",IF($AD1483=0,C1482,SUMIFS(Data!$B$10:$B$3209,Data!$A$10:$A$3209,"&gt;="&amp;$A1483,Data!$A$10:$A$3209,"&lt;"&amp;$A1483+1)/$AD1483)))</f>
        <v/>
      </c>
      <c r="D1483" s="56">
        <f>IF($B1483=0,"",IF(Inputs!$B$7="","",IF($AE1483=0,D1482,SUMIFS(Data!$F$10:$F$3209,Data!$E$10:$E$3209,"&gt;="&amp;$A1483,Data!$E$10:$E$3209,"&lt;"&amp;$A1483+1)/$AE1483)))</f>
        <v/>
      </c>
      <c r="E1483" s="56">
        <f>IF($B1483=0,"",IF(Inputs!$B$8="","",IF($AF1483=0,E1482,SUMIFS(Data!$J$10:$J$3209,Data!$I$10:$I$3209,"&gt;="&amp;$A1483,Data!$I$10:$I$3209,"&lt;"&amp;$A1483+1)/$AF1483)))</f>
        <v/>
      </c>
      <c r="F1483" s="56">
        <f>IF($B1483=0,"",IF(Inputs!$B$9="","",IF($AG1483=0,F1482,SUMIFS(Data!$N$10:$N$3209,Data!$M$10:$M$3209,"&gt;="&amp;$A1483,Data!$M$10:$M$3209,"&lt;"&amp;$A1483+1)/$AG1483)))</f>
        <v/>
      </c>
      <c r="G1483" s="56">
        <f>IF($B1483=0,"",IF(Inputs!$B$10="","",IF($AH1483=0,G1482,SUMIFS(Data!$R$10:$R$3209,Data!$Q$10:$Q$3209,"&gt;="&amp;$A1483,Data!$Q$10:$Q$3209,"&lt;"&amp;$A1483+1)/$AH1483)))</f>
        <v/>
      </c>
      <c r="I1483" s="54">
        <f>IF($B1483=0,NA(),IF($C1483="",NA(),IF(C$8="",NA(),IF(N(C$8)=0,NA(),IF(Inputs!$C$17="Rebased to 100",$C1483/C$8*100,$C1483)))))</f>
        <v/>
      </c>
      <c r="J1483" s="54">
        <f>IF($B1483=0,NA(),IF($D1483="",NA(),IF(D$8="",NA(),IF(N(D$8)=0,NA(),IF(Inputs!$C$17="Rebased to 100",$D1483/D$8*100,$D1483)))))</f>
        <v/>
      </c>
      <c r="K1483" s="54">
        <f>IF($B1483=0,NA(),IF($E1483="",NA(),IF(E$8="",NA(),IF(N(E$8)=0,NA(),IF(Inputs!$C$17="Rebased to 100",$E1483/E$8*100,$E1483)))))</f>
        <v/>
      </c>
      <c r="L1483" s="54">
        <f>IF($B1483=0,NA(),IF($F1483="",NA(),IF(F$8="",NA(),IF(N(F$8)=0,NA(),IF(Inputs!$C$17="Rebased to 100",$F1483/F$8*100,$F1483)))))</f>
        <v/>
      </c>
      <c r="M1483" s="54">
        <f>IF($B1483=0,NA(),IF($G1483="",NA(),IF(G$8="",NA(),IF(N(G$8)=0,NA(),IF(Inputs!$C$17="Rebased to 100",$G1483/G$8*100,$G1483)))))</f>
        <v/>
      </c>
      <c r="N1483" s="54">
        <f>IF($B1483=0,NA(),IF(Inputs!$C$18&lt;&gt;"Yes",NA(),IF(COUNT(I1483,J1483,K1483,L1483,M1483)=0,NA(),MIN(I1483,J1483,K1483,L1483,M1483))))</f>
        <v/>
      </c>
      <c r="O1483" s="54">
        <f>IF($B1483=0,NA(),IF(Inputs!$B$24&lt;&gt;"Yes",NA(),Inputs!$D$24*Inputs!$C$35))</f>
        <v/>
      </c>
      <c r="P1483" s="54">
        <f>IF($B1483=0,NA(),IF(Inputs!$B$25&lt;&gt;"Yes",NA(),Inputs!$D$25*Inputs!$C$35))</f>
        <v/>
      </c>
      <c r="Q1483" s="54">
        <f>IF($B1483=0,NA(),IF(Inputs!$B$26&lt;&gt;"Yes",NA(),Inputs!$D$26*Inputs!$C$35))</f>
        <v/>
      </c>
      <c r="R1483" s="54">
        <f>IF($B1483=0,NA(),IF(Inputs!$B$27&lt;&gt;"Yes",NA(),Inputs!$D$27*Inputs!$C$35))</f>
        <v/>
      </c>
      <c r="S1483" s="54">
        <f>IF($B1483=0,NA(),IF(Inputs!$B$28&lt;&gt;"Yes",NA(),Inputs!$D$28*Inputs!$C$35))</f>
        <v/>
      </c>
      <c r="T1483" s="54">
        <f>IF($B1483=0,NA(),IF(Inputs!$B$29&lt;&gt;"Yes",NA(),Inputs!$D$29*Inputs!$C$35))</f>
        <v/>
      </c>
      <c r="AD1483">
        <f>IF($B1483=0,0,IF(Inputs!$B$6="",0,COUNTIFS(Data!$A$10:$A$3209,"&gt;="&amp;$A1483,Data!$A$10:$A$3209,"&lt;"&amp;$A1483+1)))</f>
        <v/>
      </c>
      <c r="AE1483">
        <f>IF($B1483=0,0,IF(Inputs!$B$7="",0,COUNTIFS(Data!$E$10:$E$3209,"&gt;="&amp;$A1483,Data!$E$10:$E$3209,"&lt;"&amp;$A1483+1)))</f>
        <v/>
      </c>
      <c r="AF1483">
        <f>IF($B1483=0,0,IF(Inputs!$B$8="",0,COUNTIFS(Data!$I$10:$I$3209,"&gt;="&amp;$A1483,Data!$I$10:$I$3209,"&lt;"&amp;$A1483+1)))</f>
        <v/>
      </c>
      <c r="AG1483">
        <f>IF($B1483=0,0,IF(Inputs!$B$9="",0,COUNTIFS(Data!$M$10:$M$3209,"&gt;="&amp;$A1483,Data!$M$10:$M$3209,"&lt;"&amp;$A1483+1)))</f>
        <v/>
      </c>
      <c r="AH1483">
        <f>IF($B1483=0,0,IF(Inputs!$B$10="",0,COUNTIFS(Data!$Q$10:$Q$3209,"&gt;="&amp;$A1483,Data!$Q$10:$Q$3209,"&lt;"&amp;$A1483+1)))</f>
        <v/>
      </c>
    </row>
    <row r="1484">
      <c r="A1484" s="55">
        <f>MIN(Inputs!$C$15,$A1483+IF(WEEKDAY($A1483,2)=5,3,1))</f>
        <v/>
      </c>
      <c r="B1484">
        <f>IF($A1484&gt;$A1483,1,0)</f>
        <v/>
      </c>
      <c r="C1484" s="56">
        <f>IF($B1484=0,"",IF(Inputs!$B$6="","",IF($AD1484=0,C1483,SUMIFS(Data!$B$10:$B$3209,Data!$A$10:$A$3209,"&gt;="&amp;$A1484,Data!$A$10:$A$3209,"&lt;"&amp;$A1484+1)/$AD1484)))</f>
        <v/>
      </c>
      <c r="D1484" s="56">
        <f>IF($B1484=0,"",IF(Inputs!$B$7="","",IF($AE1484=0,D1483,SUMIFS(Data!$F$10:$F$3209,Data!$E$10:$E$3209,"&gt;="&amp;$A1484,Data!$E$10:$E$3209,"&lt;"&amp;$A1484+1)/$AE1484)))</f>
        <v/>
      </c>
      <c r="E1484" s="56">
        <f>IF($B1484=0,"",IF(Inputs!$B$8="","",IF($AF1484=0,E1483,SUMIFS(Data!$J$10:$J$3209,Data!$I$10:$I$3209,"&gt;="&amp;$A1484,Data!$I$10:$I$3209,"&lt;"&amp;$A1484+1)/$AF1484)))</f>
        <v/>
      </c>
      <c r="F1484" s="56">
        <f>IF($B1484=0,"",IF(Inputs!$B$9="","",IF($AG1484=0,F1483,SUMIFS(Data!$N$10:$N$3209,Data!$M$10:$M$3209,"&gt;="&amp;$A1484,Data!$M$10:$M$3209,"&lt;"&amp;$A1484+1)/$AG1484)))</f>
        <v/>
      </c>
      <c r="G1484" s="56">
        <f>IF($B1484=0,"",IF(Inputs!$B$10="","",IF($AH1484=0,G1483,SUMIFS(Data!$R$10:$R$3209,Data!$Q$10:$Q$3209,"&gt;="&amp;$A1484,Data!$Q$10:$Q$3209,"&lt;"&amp;$A1484+1)/$AH1484)))</f>
        <v/>
      </c>
      <c r="I1484" s="54">
        <f>IF($B1484=0,NA(),IF($C1484="",NA(),IF(C$8="",NA(),IF(N(C$8)=0,NA(),IF(Inputs!$C$17="Rebased to 100",$C1484/C$8*100,$C1484)))))</f>
        <v/>
      </c>
      <c r="J1484" s="54">
        <f>IF($B1484=0,NA(),IF($D1484="",NA(),IF(D$8="",NA(),IF(N(D$8)=0,NA(),IF(Inputs!$C$17="Rebased to 100",$D1484/D$8*100,$D1484)))))</f>
        <v/>
      </c>
      <c r="K1484" s="54">
        <f>IF($B1484=0,NA(),IF($E1484="",NA(),IF(E$8="",NA(),IF(N(E$8)=0,NA(),IF(Inputs!$C$17="Rebased to 100",$E1484/E$8*100,$E1484)))))</f>
        <v/>
      </c>
      <c r="L1484" s="54">
        <f>IF($B1484=0,NA(),IF($F1484="",NA(),IF(F$8="",NA(),IF(N(F$8)=0,NA(),IF(Inputs!$C$17="Rebased to 100",$F1484/F$8*100,$F1484)))))</f>
        <v/>
      </c>
      <c r="M1484" s="54">
        <f>IF($B1484=0,NA(),IF($G1484="",NA(),IF(G$8="",NA(),IF(N(G$8)=0,NA(),IF(Inputs!$C$17="Rebased to 100",$G1484/G$8*100,$G1484)))))</f>
        <v/>
      </c>
      <c r="N1484" s="54">
        <f>IF($B1484=0,NA(),IF(Inputs!$C$18&lt;&gt;"Yes",NA(),IF(COUNT(I1484,J1484,K1484,L1484,M1484)=0,NA(),MIN(I1484,J1484,K1484,L1484,M1484))))</f>
        <v/>
      </c>
      <c r="O1484" s="54">
        <f>IF($B1484=0,NA(),IF(Inputs!$B$24&lt;&gt;"Yes",NA(),Inputs!$D$24*Inputs!$C$35))</f>
        <v/>
      </c>
      <c r="P1484" s="54">
        <f>IF($B1484=0,NA(),IF(Inputs!$B$25&lt;&gt;"Yes",NA(),Inputs!$D$25*Inputs!$C$35))</f>
        <v/>
      </c>
      <c r="Q1484" s="54">
        <f>IF($B1484=0,NA(),IF(Inputs!$B$26&lt;&gt;"Yes",NA(),Inputs!$D$26*Inputs!$C$35))</f>
        <v/>
      </c>
      <c r="R1484" s="54">
        <f>IF($B1484=0,NA(),IF(Inputs!$B$27&lt;&gt;"Yes",NA(),Inputs!$D$27*Inputs!$C$35))</f>
        <v/>
      </c>
      <c r="S1484" s="54">
        <f>IF($B1484=0,NA(),IF(Inputs!$B$28&lt;&gt;"Yes",NA(),Inputs!$D$28*Inputs!$C$35))</f>
        <v/>
      </c>
      <c r="T1484" s="54">
        <f>IF($B1484=0,NA(),IF(Inputs!$B$29&lt;&gt;"Yes",NA(),Inputs!$D$29*Inputs!$C$35))</f>
        <v/>
      </c>
      <c r="AD1484">
        <f>IF($B1484=0,0,IF(Inputs!$B$6="",0,COUNTIFS(Data!$A$10:$A$3209,"&gt;="&amp;$A1484,Data!$A$10:$A$3209,"&lt;"&amp;$A1484+1)))</f>
        <v/>
      </c>
      <c r="AE1484">
        <f>IF($B1484=0,0,IF(Inputs!$B$7="",0,COUNTIFS(Data!$E$10:$E$3209,"&gt;="&amp;$A1484,Data!$E$10:$E$3209,"&lt;"&amp;$A1484+1)))</f>
        <v/>
      </c>
      <c r="AF1484">
        <f>IF($B1484=0,0,IF(Inputs!$B$8="",0,COUNTIFS(Data!$I$10:$I$3209,"&gt;="&amp;$A1484,Data!$I$10:$I$3209,"&lt;"&amp;$A1484+1)))</f>
        <v/>
      </c>
      <c r="AG1484">
        <f>IF($B1484=0,0,IF(Inputs!$B$9="",0,COUNTIFS(Data!$M$10:$M$3209,"&gt;="&amp;$A1484,Data!$M$10:$M$3209,"&lt;"&amp;$A1484+1)))</f>
        <v/>
      </c>
      <c r="AH1484">
        <f>IF($B1484=0,0,IF(Inputs!$B$10="",0,COUNTIFS(Data!$Q$10:$Q$3209,"&gt;="&amp;$A1484,Data!$Q$10:$Q$3209,"&lt;"&amp;$A1484+1)))</f>
        <v/>
      </c>
    </row>
    <row r="1485">
      <c r="A1485" s="55">
        <f>MIN(Inputs!$C$15,$A1484+IF(WEEKDAY($A1484,2)=5,3,1))</f>
        <v/>
      </c>
      <c r="B1485">
        <f>IF($A1485&gt;$A1484,1,0)</f>
        <v/>
      </c>
      <c r="C1485" s="56">
        <f>IF($B1485=0,"",IF(Inputs!$B$6="","",IF($AD1485=0,C1484,SUMIFS(Data!$B$10:$B$3209,Data!$A$10:$A$3209,"&gt;="&amp;$A1485,Data!$A$10:$A$3209,"&lt;"&amp;$A1485+1)/$AD1485)))</f>
        <v/>
      </c>
      <c r="D1485" s="56">
        <f>IF($B1485=0,"",IF(Inputs!$B$7="","",IF($AE1485=0,D1484,SUMIFS(Data!$F$10:$F$3209,Data!$E$10:$E$3209,"&gt;="&amp;$A1485,Data!$E$10:$E$3209,"&lt;"&amp;$A1485+1)/$AE1485)))</f>
        <v/>
      </c>
      <c r="E1485" s="56">
        <f>IF($B1485=0,"",IF(Inputs!$B$8="","",IF($AF1485=0,E1484,SUMIFS(Data!$J$10:$J$3209,Data!$I$10:$I$3209,"&gt;="&amp;$A1485,Data!$I$10:$I$3209,"&lt;"&amp;$A1485+1)/$AF1485)))</f>
        <v/>
      </c>
      <c r="F1485" s="56">
        <f>IF($B1485=0,"",IF(Inputs!$B$9="","",IF($AG1485=0,F1484,SUMIFS(Data!$N$10:$N$3209,Data!$M$10:$M$3209,"&gt;="&amp;$A1485,Data!$M$10:$M$3209,"&lt;"&amp;$A1485+1)/$AG1485)))</f>
        <v/>
      </c>
      <c r="G1485" s="56">
        <f>IF($B1485=0,"",IF(Inputs!$B$10="","",IF($AH1485=0,G1484,SUMIFS(Data!$R$10:$R$3209,Data!$Q$10:$Q$3209,"&gt;="&amp;$A1485,Data!$Q$10:$Q$3209,"&lt;"&amp;$A1485+1)/$AH1485)))</f>
        <v/>
      </c>
      <c r="I1485" s="54">
        <f>IF($B1485=0,NA(),IF($C1485="",NA(),IF(C$8="",NA(),IF(N(C$8)=0,NA(),IF(Inputs!$C$17="Rebased to 100",$C1485/C$8*100,$C1485)))))</f>
        <v/>
      </c>
      <c r="J1485" s="54">
        <f>IF($B1485=0,NA(),IF($D1485="",NA(),IF(D$8="",NA(),IF(N(D$8)=0,NA(),IF(Inputs!$C$17="Rebased to 100",$D1485/D$8*100,$D1485)))))</f>
        <v/>
      </c>
      <c r="K1485" s="54">
        <f>IF($B1485=0,NA(),IF($E1485="",NA(),IF(E$8="",NA(),IF(N(E$8)=0,NA(),IF(Inputs!$C$17="Rebased to 100",$E1485/E$8*100,$E1485)))))</f>
        <v/>
      </c>
      <c r="L1485" s="54">
        <f>IF($B1485=0,NA(),IF($F1485="",NA(),IF(F$8="",NA(),IF(N(F$8)=0,NA(),IF(Inputs!$C$17="Rebased to 100",$F1485/F$8*100,$F1485)))))</f>
        <v/>
      </c>
      <c r="M1485" s="54">
        <f>IF($B1485=0,NA(),IF($G1485="",NA(),IF(G$8="",NA(),IF(N(G$8)=0,NA(),IF(Inputs!$C$17="Rebased to 100",$G1485/G$8*100,$G1485)))))</f>
        <v/>
      </c>
      <c r="N1485" s="54">
        <f>IF($B1485=0,NA(),IF(Inputs!$C$18&lt;&gt;"Yes",NA(),IF(COUNT(I1485,J1485,K1485,L1485,M1485)=0,NA(),MIN(I1485,J1485,K1485,L1485,M1485))))</f>
        <v/>
      </c>
      <c r="O1485" s="54">
        <f>IF($B1485=0,NA(),IF(Inputs!$B$24&lt;&gt;"Yes",NA(),Inputs!$D$24*Inputs!$C$35))</f>
        <v/>
      </c>
      <c r="P1485" s="54">
        <f>IF($B1485=0,NA(),IF(Inputs!$B$25&lt;&gt;"Yes",NA(),Inputs!$D$25*Inputs!$C$35))</f>
        <v/>
      </c>
      <c r="Q1485" s="54">
        <f>IF($B1485=0,NA(),IF(Inputs!$B$26&lt;&gt;"Yes",NA(),Inputs!$D$26*Inputs!$C$35))</f>
        <v/>
      </c>
      <c r="R1485" s="54">
        <f>IF($B1485=0,NA(),IF(Inputs!$B$27&lt;&gt;"Yes",NA(),Inputs!$D$27*Inputs!$C$35))</f>
        <v/>
      </c>
      <c r="S1485" s="54">
        <f>IF($B1485=0,NA(),IF(Inputs!$B$28&lt;&gt;"Yes",NA(),Inputs!$D$28*Inputs!$C$35))</f>
        <v/>
      </c>
      <c r="T1485" s="54">
        <f>IF($B1485=0,NA(),IF(Inputs!$B$29&lt;&gt;"Yes",NA(),Inputs!$D$29*Inputs!$C$35))</f>
        <v/>
      </c>
      <c r="AD1485">
        <f>IF($B1485=0,0,IF(Inputs!$B$6="",0,COUNTIFS(Data!$A$10:$A$3209,"&gt;="&amp;$A1485,Data!$A$10:$A$3209,"&lt;"&amp;$A1485+1)))</f>
        <v/>
      </c>
      <c r="AE1485">
        <f>IF($B1485=0,0,IF(Inputs!$B$7="",0,COUNTIFS(Data!$E$10:$E$3209,"&gt;="&amp;$A1485,Data!$E$10:$E$3209,"&lt;"&amp;$A1485+1)))</f>
        <v/>
      </c>
      <c r="AF1485">
        <f>IF($B1485=0,0,IF(Inputs!$B$8="",0,COUNTIFS(Data!$I$10:$I$3209,"&gt;="&amp;$A1485,Data!$I$10:$I$3209,"&lt;"&amp;$A1485+1)))</f>
        <v/>
      </c>
      <c r="AG1485">
        <f>IF($B1485=0,0,IF(Inputs!$B$9="",0,COUNTIFS(Data!$M$10:$M$3209,"&gt;="&amp;$A1485,Data!$M$10:$M$3209,"&lt;"&amp;$A1485+1)))</f>
        <v/>
      </c>
      <c r="AH1485">
        <f>IF($B1485=0,0,IF(Inputs!$B$10="",0,COUNTIFS(Data!$Q$10:$Q$3209,"&gt;="&amp;$A1485,Data!$Q$10:$Q$3209,"&lt;"&amp;$A1485+1)))</f>
        <v/>
      </c>
    </row>
    <row r="1486">
      <c r="A1486" s="55">
        <f>MIN(Inputs!$C$15,$A1485+IF(WEEKDAY($A1485,2)=5,3,1))</f>
        <v/>
      </c>
      <c r="B1486">
        <f>IF($A1486&gt;$A1485,1,0)</f>
        <v/>
      </c>
      <c r="C1486" s="56">
        <f>IF($B1486=0,"",IF(Inputs!$B$6="","",IF($AD1486=0,C1485,SUMIFS(Data!$B$10:$B$3209,Data!$A$10:$A$3209,"&gt;="&amp;$A1486,Data!$A$10:$A$3209,"&lt;"&amp;$A1486+1)/$AD1486)))</f>
        <v/>
      </c>
      <c r="D1486" s="56">
        <f>IF($B1486=0,"",IF(Inputs!$B$7="","",IF($AE1486=0,D1485,SUMIFS(Data!$F$10:$F$3209,Data!$E$10:$E$3209,"&gt;="&amp;$A1486,Data!$E$10:$E$3209,"&lt;"&amp;$A1486+1)/$AE1486)))</f>
        <v/>
      </c>
      <c r="E1486" s="56">
        <f>IF($B1486=0,"",IF(Inputs!$B$8="","",IF($AF1486=0,E1485,SUMIFS(Data!$J$10:$J$3209,Data!$I$10:$I$3209,"&gt;="&amp;$A1486,Data!$I$10:$I$3209,"&lt;"&amp;$A1486+1)/$AF1486)))</f>
        <v/>
      </c>
      <c r="F1486" s="56">
        <f>IF($B1486=0,"",IF(Inputs!$B$9="","",IF($AG1486=0,F1485,SUMIFS(Data!$N$10:$N$3209,Data!$M$10:$M$3209,"&gt;="&amp;$A1486,Data!$M$10:$M$3209,"&lt;"&amp;$A1486+1)/$AG1486)))</f>
        <v/>
      </c>
      <c r="G1486" s="56">
        <f>IF($B1486=0,"",IF(Inputs!$B$10="","",IF($AH1486=0,G1485,SUMIFS(Data!$R$10:$R$3209,Data!$Q$10:$Q$3209,"&gt;="&amp;$A1486,Data!$Q$10:$Q$3209,"&lt;"&amp;$A1486+1)/$AH1486)))</f>
        <v/>
      </c>
      <c r="I1486" s="54">
        <f>IF($B1486=0,NA(),IF($C1486="",NA(),IF(C$8="",NA(),IF(N(C$8)=0,NA(),IF(Inputs!$C$17="Rebased to 100",$C1486/C$8*100,$C1486)))))</f>
        <v/>
      </c>
      <c r="J1486" s="54">
        <f>IF($B1486=0,NA(),IF($D1486="",NA(),IF(D$8="",NA(),IF(N(D$8)=0,NA(),IF(Inputs!$C$17="Rebased to 100",$D1486/D$8*100,$D1486)))))</f>
        <v/>
      </c>
      <c r="K1486" s="54">
        <f>IF($B1486=0,NA(),IF($E1486="",NA(),IF(E$8="",NA(),IF(N(E$8)=0,NA(),IF(Inputs!$C$17="Rebased to 100",$E1486/E$8*100,$E1486)))))</f>
        <v/>
      </c>
      <c r="L1486" s="54">
        <f>IF($B1486=0,NA(),IF($F1486="",NA(),IF(F$8="",NA(),IF(N(F$8)=0,NA(),IF(Inputs!$C$17="Rebased to 100",$F1486/F$8*100,$F1486)))))</f>
        <v/>
      </c>
      <c r="M1486" s="54">
        <f>IF($B1486=0,NA(),IF($G1486="",NA(),IF(G$8="",NA(),IF(N(G$8)=0,NA(),IF(Inputs!$C$17="Rebased to 100",$G1486/G$8*100,$G1486)))))</f>
        <v/>
      </c>
      <c r="N1486" s="54">
        <f>IF($B1486=0,NA(),IF(Inputs!$C$18&lt;&gt;"Yes",NA(),IF(COUNT(I1486,J1486,K1486,L1486,M1486)=0,NA(),MIN(I1486,J1486,K1486,L1486,M1486))))</f>
        <v/>
      </c>
      <c r="O1486" s="54">
        <f>IF($B1486=0,NA(),IF(Inputs!$B$24&lt;&gt;"Yes",NA(),Inputs!$D$24*Inputs!$C$35))</f>
        <v/>
      </c>
      <c r="P1486" s="54">
        <f>IF($B1486=0,NA(),IF(Inputs!$B$25&lt;&gt;"Yes",NA(),Inputs!$D$25*Inputs!$C$35))</f>
        <v/>
      </c>
      <c r="Q1486" s="54">
        <f>IF($B1486=0,NA(),IF(Inputs!$B$26&lt;&gt;"Yes",NA(),Inputs!$D$26*Inputs!$C$35))</f>
        <v/>
      </c>
      <c r="R1486" s="54">
        <f>IF($B1486=0,NA(),IF(Inputs!$B$27&lt;&gt;"Yes",NA(),Inputs!$D$27*Inputs!$C$35))</f>
        <v/>
      </c>
      <c r="S1486" s="54">
        <f>IF($B1486=0,NA(),IF(Inputs!$B$28&lt;&gt;"Yes",NA(),Inputs!$D$28*Inputs!$C$35))</f>
        <v/>
      </c>
      <c r="T1486" s="54">
        <f>IF($B1486=0,NA(),IF(Inputs!$B$29&lt;&gt;"Yes",NA(),Inputs!$D$29*Inputs!$C$35))</f>
        <v/>
      </c>
      <c r="AD1486">
        <f>IF($B1486=0,0,IF(Inputs!$B$6="",0,COUNTIFS(Data!$A$10:$A$3209,"&gt;="&amp;$A1486,Data!$A$10:$A$3209,"&lt;"&amp;$A1486+1)))</f>
        <v/>
      </c>
      <c r="AE1486">
        <f>IF($B1486=0,0,IF(Inputs!$B$7="",0,COUNTIFS(Data!$E$10:$E$3209,"&gt;="&amp;$A1486,Data!$E$10:$E$3209,"&lt;"&amp;$A1486+1)))</f>
        <v/>
      </c>
      <c r="AF1486">
        <f>IF($B1486=0,0,IF(Inputs!$B$8="",0,COUNTIFS(Data!$I$10:$I$3209,"&gt;="&amp;$A1486,Data!$I$10:$I$3209,"&lt;"&amp;$A1486+1)))</f>
        <v/>
      </c>
      <c r="AG1486">
        <f>IF($B1486=0,0,IF(Inputs!$B$9="",0,COUNTIFS(Data!$M$10:$M$3209,"&gt;="&amp;$A1486,Data!$M$10:$M$3209,"&lt;"&amp;$A1486+1)))</f>
        <v/>
      </c>
      <c r="AH1486">
        <f>IF($B1486=0,0,IF(Inputs!$B$10="",0,COUNTIFS(Data!$Q$10:$Q$3209,"&gt;="&amp;$A1486,Data!$Q$10:$Q$3209,"&lt;"&amp;$A1486+1)))</f>
        <v/>
      </c>
    </row>
    <row r="1487">
      <c r="A1487" s="55">
        <f>MIN(Inputs!$C$15,$A1486+IF(WEEKDAY($A1486,2)=5,3,1))</f>
        <v/>
      </c>
      <c r="B1487">
        <f>IF($A1487&gt;$A1486,1,0)</f>
        <v/>
      </c>
      <c r="C1487" s="56">
        <f>IF($B1487=0,"",IF(Inputs!$B$6="","",IF($AD1487=0,C1486,SUMIFS(Data!$B$10:$B$3209,Data!$A$10:$A$3209,"&gt;="&amp;$A1487,Data!$A$10:$A$3209,"&lt;"&amp;$A1487+1)/$AD1487)))</f>
        <v/>
      </c>
      <c r="D1487" s="56">
        <f>IF($B1487=0,"",IF(Inputs!$B$7="","",IF($AE1487=0,D1486,SUMIFS(Data!$F$10:$F$3209,Data!$E$10:$E$3209,"&gt;="&amp;$A1487,Data!$E$10:$E$3209,"&lt;"&amp;$A1487+1)/$AE1487)))</f>
        <v/>
      </c>
      <c r="E1487" s="56">
        <f>IF($B1487=0,"",IF(Inputs!$B$8="","",IF($AF1487=0,E1486,SUMIFS(Data!$J$10:$J$3209,Data!$I$10:$I$3209,"&gt;="&amp;$A1487,Data!$I$10:$I$3209,"&lt;"&amp;$A1487+1)/$AF1487)))</f>
        <v/>
      </c>
      <c r="F1487" s="56">
        <f>IF($B1487=0,"",IF(Inputs!$B$9="","",IF($AG1487=0,F1486,SUMIFS(Data!$N$10:$N$3209,Data!$M$10:$M$3209,"&gt;="&amp;$A1487,Data!$M$10:$M$3209,"&lt;"&amp;$A1487+1)/$AG1487)))</f>
        <v/>
      </c>
      <c r="G1487" s="56">
        <f>IF($B1487=0,"",IF(Inputs!$B$10="","",IF($AH1487=0,G1486,SUMIFS(Data!$R$10:$R$3209,Data!$Q$10:$Q$3209,"&gt;="&amp;$A1487,Data!$Q$10:$Q$3209,"&lt;"&amp;$A1487+1)/$AH1487)))</f>
        <v/>
      </c>
      <c r="I1487" s="54">
        <f>IF($B1487=0,NA(),IF($C1487="",NA(),IF(C$8="",NA(),IF(N(C$8)=0,NA(),IF(Inputs!$C$17="Rebased to 100",$C1487/C$8*100,$C1487)))))</f>
        <v/>
      </c>
      <c r="J1487" s="54">
        <f>IF($B1487=0,NA(),IF($D1487="",NA(),IF(D$8="",NA(),IF(N(D$8)=0,NA(),IF(Inputs!$C$17="Rebased to 100",$D1487/D$8*100,$D1487)))))</f>
        <v/>
      </c>
      <c r="K1487" s="54">
        <f>IF($B1487=0,NA(),IF($E1487="",NA(),IF(E$8="",NA(),IF(N(E$8)=0,NA(),IF(Inputs!$C$17="Rebased to 100",$E1487/E$8*100,$E1487)))))</f>
        <v/>
      </c>
      <c r="L1487" s="54">
        <f>IF($B1487=0,NA(),IF($F1487="",NA(),IF(F$8="",NA(),IF(N(F$8)=0,NA(),IF(Inputs!$C$17="Rebased to 100",$F1487/F$8*100,$F1487)))))</f>
        <v/>
      </c>
      <c r="M1487" s="54">
        <f>IF($B1487=0,NA(),IF($G1487="",NA(),IF(G$8="",NA(),IF(N(G$8)=0,NA(),IF(Inputs!$C$17="Rebased to 100",$G1487/G$8*100,$G1487)))))</f>
        <v/>
      </c>
      <c r="N1487" s="54">
        <f>IF($B1487=0,NA(),IF(Inputs!$C$18&lt;&gt;"Yes",NA(),IF(COUNT(I1487,J1487,K1487,L1487,M1487)=0,NA(),MIN(I1487,J1487,K1487,L1487,M1487))))</f>
        <v/>
      </c>
      <c r="O1487" s="54">
        <f>IF($B1487=0,NA(),IF(Inputs!$B$24&lt;&gt;"Yes",NA(),Inputs!$D$24*Inputs!$C$35))</f>
        <v/>
      </c>
      <c r="P1487" s="54">
        <f>IF($B1487=0,NA(),IF(Inputs!$B$25&lt;&gt;"Yes",NA(),Inputs!$D$25*Inputs!$C$35))</f>
        <v/>
      </c>
      <c r="Q1487" s="54">
        <f>IF($B1487=0,NA(),IF(Inputs!$B$26&lt;&gt;"Yes",NA(),Inputs!$D$26*Inputs!$C$35))</f>
        <v/>
      </c>
      <c r="R1487" s="54">
        <f>IF($B1487=0,NA(),IF(Inputs!$B$27&lt;&gt;"Yes",NA(),Inputs!$D$27*Inputs!$C$35))</f>
        <v/>
      </c>
      <c r="S1487" s="54">
        <f>IF($B1487=0,NA(),IF(Inputs!$B$28&lt;&gt;"Yes",NA(),Inputs!$D$28*Inputs!$C$35))</f>
        <v/>
      </c>
      <c r="T1487" s="54">
        <f>IF($B1487=0,NA(),IF(Inputs!$B$29&lt;&gt;"Yes",NA(),Inputs!$D$29*Inputs!$C$35))</f>
        <v/>
      </c>
      <c r="AD1487">
        <f>IF($B1487=0,0,IF(Inputs!$B$6="",0,COUNTIFS(Data!$A$10:$A$3209,"&gt;="&amp;$A1487,Data!$A$10:$A$3209,"&lt;"&amp;$A1487+1)))</f>
        <v/>
      </c>
      <c r="AE1487">
        <f>IF($B1487=0,0,IF(Inputs!$B$7="",0,COUNTIFS(Data!$E$10:$E$3209,"&gt;="&amp;$A1487,Data!$E$10:$E$3209,"&lt;"&amp;$A1487+1)))</f>
        <v/>
      </c>
      <c r="AF1487">
        <f>IF($B1487=0,0,IF(Inputs!$B$8="",0,COUNTIFS(Data!$I$10:$I$3209,"&gt;="&amp;$A1487,Data!$I$10:$I$3209,"&lt;"&amp;$A1487+1)))</f>
        <v/>
      </c>
      <c r="AG1487">
        <f>IF($B1487=0,0,IF(Inputs!$B$9="",0,COUNTIFS(Data!$M$10:$M$3209,"&gt;="&amp;$A1487,Data!$M$10:$M$3209,"&lt;"&amp;$A1487+1)))</f>
        <v/>
      </c>
      <c r="AH1487">
        <f>IF($B1487=0,0,IF(Inputs!$B$10="",0,COUNTIFS(Data!$Q$10:$Q$3209,"&gt;="&amp;$A1487,Data!$Q$10:$Q$3209,"&lt;"&amp;$A1487+1)))</f>
        <v/>
      </c>
    </row>
    <row r="1488">
      <c r="A1488" s="55">
        <f>MIN(Inputs!$C$15,$A1487+IF(WEEKDAY($A1487,2)=5,3,1))</f>
        <v/>
      </c>
      <c r="B1488">
        <f>IF($A1488&gt;$A1487,1,0)</f>
        <v/>
      </c>
      <c r="C1488" s="56">
        <f>IF($B1488=0,"",IF(Inputs!$B$6="","",IF($AD1488=0,C1487,SUMIFS(Data!$B$10:$B$3209,Data!$A$10:$A$3209,"&gt;="&amp;$A1488,Data!$A$10:$A$3209,"&lt;"&amp;$A1488+1)/$AD1488)))</f>
        <v/>
      </c>
      <c r="D1488" s="56">
        <f>IF($B1488=0,"",IF(Inputs!$B$7="","",IF($AE1488=0,D1487,SUMIFS(Data!$F$10:$F$3209,Data!$E$10:$E$3209,"&gt;="&amp;$A1488,Data!$E$10:$E$3209,"&lt;"&amp;$A1488+1)/$AE1488)))</f>
        <v/>
      </c>
      <c r="E1488" s="56">
        <f>IF($B1488=0,"",IF(Inputs!$B$8="","",IF($AF1488=0,E1487,SUMIFS(Data!$J$10:$J$3209,Data!$I$10:$I$3209,"&gt;="&amp;$A1488,Data!$I$10:$I$3209,"&lt;"&amp;$A1488+1)/$AF1488)))</f>
        <v/>
      </c>
      <c r="F1488" s="56">
        <f>IF($B1488=0,"",IF(Inputs!$B$9="","",IF($AG1488=0,F1487,SUMIFS(Data!$N$10:$N$3209,Data!$M$10:$M$3209,"&gt;="&amp;$A1488,Data!$M$10:$M$3209,"&lt;"&amp;$A1488+1)/$AG1488)))</f>
        <v/>
      </c>
      <c r="G1488" s="56">
        <f>IF($B1488=0,"",IF(Inputs!$B$10="","",IF($AH1488=0,G1487,SUMIFS(Data!$R$10:$R$3209,Data!$Q$10:$Q$3209,"&gt;="&amp;$A1488,Data!$Q$10:$Q$3209,"&lt;"&amp;$A1488+1)/$AH1488)))</f>
        <v/>
      </c>
      <c r="I1488" s="54">
        <f>IF($B1488=0,NA(),IF($C1488="",NA(),IF(C$8="",NA(),IF(N(C$8)=0,NA(),IF(Inputs!$C$17="Rebased to 100",$C1488/C$8*100,$C1488)))))</f>
        <v/>
      </c>
      <c r="J1488" s="54">
        <f>IF($B1488=0,NA(),IF($D1488="",NA(),IF(D$8="",NA(),IF(N(D$8)=0,NA(),IF(Inputs!$C$17="Rebased to 100",$D1488/D$8*100,$D1488)))))</f>
        <v/>
      </c>
      <c r="K1488" s="54">
        <f>IF($B1488=0,NA(),IF($E1488="",NA(),IF(E$8="",NA(),IF(N(E$8)=0,NA(),IF(Inputs!$C$17="Rebased to 100",$E1488/E$8*100,$E1488)))))</f>
        <v/>
      </c>
      <c r="L1488" s="54">
        <f>IF($B1488=0,NA(),IF($F1488="",NA(),IF(F$8="",NA(),IF(N(F$8)=0,NA(),IF(Inputs!$C$17="Rebased to 100",$F1488/F$8*100,$F1488)))))</f>
        <v/>
      </c>
      <c r="M1488" s="54">
        <f>IF($B1488=0,NA(),IF($G1488="",NA(),IF(G$8="",NA(),IF(N(G$8)=0,NA(),IF(Inputs!$C$17="Rebased to 100",$G1488/G$8*100,$G1488)))))</f>
        <v/>
      </c>
      <c r="N1488" s="54">
        <f>IF($B1488=0,NA(),IF(Inputs!$C$18&lt;&gt;"Yes",NA(),IF(COUNT(I1488,J1488,K1488,L1488,M1488)=0,NA(),MIN(I1488,J1488,K1488,L1488,M1488))))</f>
        <v/>
      </c>
      <c r="O1488" s="54">
        <f>IF($B1488=0,NA(),IF(Inputs!$B$24&lt;&gt;"Yes",NA(),Inputs!$D$24*Inputs!$C$35))</f>
        <v/>
      </c>
      <c r="P1488" s="54">
        <f>IF($B1488=0,NA(),IF(Inputs!$B$25&lt;&gt;"Yes",NA(),Inputs!$D$25*Inputs!$C$35))</f>
        <v/>
      </c>
      <c r="Q1488" s="54">
        <f>IF($B1488=0,NA(),IF(Inputs!$B$26&lt;&gt;"Yes",NA(),Inputs!$D$26*Inputs!$C$35))</f>
        <v/>
      </c>
      <c r="R1488" s="54">
        <f>IF($B1488=0,NA(),IF(Inputs!$B$27&lt;&gt;"Yes",NA(),Inputs!$D$27*Inputs!$C$35))</f>
        <v/>
      </c>
      <c r="S1488" s="54">
        <f>IF($B1488=0,NA(),IF(Inputs!$B$28&lt;&gt;"Yes",NA(),Inputs!$D$28*Inputs!$C$35))</f>
        <v/>
      </c>
      <c r="T1488" s="54">
        <f>IF($B1488=0,NA(),IF(Inputs!$B$29&lt;&gt;"Yes",NA(),Inputs!$D$29*Inputs!$C$35))</f>
        <v/>
      </c>
      <c r="AD1488">
        <f>IF($B1488=0,0,IF(Inputs!$B$6="",0,COUNTIFS(Data!$A$10:$A$3209,"&gt;="&amp;$A1488,Data!$A$10:$A$3209,"&lt;"&amp;$A1488+1)))</f>
        <v/>
      </c>
      <c r="AE1488">
        <f>IF($B1488=0,0,IF(Inputs!$B$7="",0,COUNTIFS(Data!$E$10:$E$3209,"&gt;="&amp;$A1488,Data!$E$10:$E$3209,"&lt;"&amp;$A1488+1)))</f>
        <v/>
      </c>
      <c r="AF1488">
        <f>IF($B1488=0,0,IF(Inputs!$B$8="",0,COUNTIFS(Data!$I$10:$I$3209,"&gt;="&amp;$A1488,Data!$I$10:$I$3209,"&lt;"&amp;$A1488+1)))</f>
        <v/>
      </c>
      <c r="AG1488">
        <f>IF($B1488=0,0,IF(Inputs!$B$9="",0,COUNTIFS(Data!$M$10:$M$3209,"&gt;="&amp;$A1488,Data!$M$10:$M$3209,"&lt;"&amp;$A1488+1)))</f>
        <v/>
      </c>
      <c r="AH1488">
        <f>IF($B1488=0,0,IF(Inputs!$B$10="",0,COUNTIFS(Data!$Q$10:$Q$3209,"&gt;="&amp;$A1488,Data!$Q$10:$Q$3209,"&lt;"&amp;$A1488+1)))</f>
        <v/>
      </c>
    </row>
    <row r="1489">
      <c r="A1489" s="55">
        <f>MIN(Inputs!$C$15,$A1488+IF(WEEKDAY($A1488,2)=5,3,1))</f>
        <v/>
      </c>
      <c r="B1489">
        <f>IF($A1489&gt;$A1488,1,0)</f>
        <v/>
      </c>
      <c r="C1489" s="56">
        <f>IF($B1489=0,"",IF(Inputs!$B$6="","",IF($AD1489=0,C1488,SUMIFS(Data!$B$10:$B$3209,Data!$A$10:$A$3209,"&gt;="&amp;$A1489,Data!$A$10:$A$3209,"&lt;"&amp;$A1489+1)/$AD1489)))</f>
        <v/>
      </c>
      <c r="D1489" s="56">
        <f>IF($B1489=0,"",IF(Inputs!$B$7="","",IF($AE1489=0,D1488,SUMIFS(Data!$F$10:$F$3209,Data!$E$10:$E$3209,"&gt;="&amp;$A1489,Data!$E$10:$E$3209,"&lt;"&amp;$A1489+1)/$AE1489)))</f>
        <v/>
      </c>
      <c r="E1489" s="56">
        <f>IF($B1489=0,"",IF(Inputs!$B$8="","",IF($AF1489=0,E1488,SUMIFS(Data!$J$10:$J$3209,Data!$I$10:$I$3209,"&gt;="&amp;$A1489,Data!$I$10:$I$3209,"&lt;"&amp;$A1489+1)/$AF1489)))</f>
        <v/>
      </c>
      <c r="F1489" s="56">
        <f>IF($B1489=0,"",IF(Inputs!$B$9="","",IF($AG1489=0,F1488,SUMIFS(Data!$N$10:$N$3209,Data!$M$10:$M$3209,"&gt;="&amp;$A1489,Data!$M$10:$M$3209,"&lt;"&amp;$A1489+1)/$AG1489)))</f>
        <v/>
      </c>
      <c r="G1489" s="56">
        <f>IF($B1489=0,"",IF(Inputs!$B$10="","",IF($AH1489=0,G1488,SUMIFS(Data!$R$10:$R$3209,Data!$Q$10:$Q$3209,"&gt;="&amp;$A1489,Data!$Q$10:$Q$3209,"&lt;"&amp;$A1489+1)/$AH1489)))</f>
        <v/>
      </c>
      <c r="I1489" s="54">
        <f>IF($B1489=0,NA(),IF($C1489="",NA(),IF(C$8="",NA(),IF(N(C$8)=0,NA(),IF(Inputs!$C$17="Rebased to 100",$C1489/C$8*100,$C1489)))))</f>
        <v/>
      </c>
      <c r="J1489" s="54">
        <f>IF($B1489=0,NA(),IF($D1489="",NA(),IF(D$8="",NA(),IF(N(D$8)=0,NA(),IF(Inputs!$C$17="Rebased to 100",$D1489/D$8*100,$D1489)))))</f>
        <v/>
      </c>
      <c r="K1489" s="54">
        <f>IF($B1489=0,NA(),IF($E1489="",NA(),IF(E$8="",NA(),IF(N(E$8)=0,NA(),IF(Inputs!$C$17="Rebased to 100",$E1489/E$8*100,$E1489)))))</f>
        <v/>
      </c>
      <c r="L1489" s="54">
        <f>IF($B1489=0,NA(),IF($F1489="",NA(),IF(F$8="",NA(),IF(N(F$8)=0,NA(),IF(Inputs!$C$17="Rebased to 100",$F1489/F$8*100,$F1489)))))</f>
        <v/>
      </c>
      <c r="M1489" s="54">
        <f>IF($B1489=0,NA(),IF($G1489="",NA(),IF(G$8="",NA(),IF(N(G$8)=0,NA(),IF(Inputs!$C$17="Rebased to 100",$G1489/G$8*100,$G1489)))))</f>
        <v/>
      </c>
      <c r="N1489" s="54">
        <f>IF($B1489=0,NA(),IF(Inputs!$C$18&lt;&gt;"Yes",NA(),IF(COUNT(I1489,J1489,K1489,L1489,M1489)=0,NA(),MIN(I1489,J1489,K1489,L1489,M1489))))</f>
        <v/>
      </c>
      <c r="O1489" s="54">
        <f>IF($B1489=0,NA(),IF(Inputs!$B$24&lt;&gt;"Yes",NA(),Inputs!$D$24*Inputs!$C$35))</f>
        <v/>
      </c>
      <c r="P1489" s="54">
        <f>IF($B1489=0,NA(),IF(Inputs!$B$25&lt;&gt;"Yes",NA(),Inputs!$D$25*Inputs!$C$35))</f>
        <v/>
      </c>
      <c r="Q1489" s="54">
        <f>IF($B1489=0,NA(),IF(Inputs!$B$26&lt;&gt;"Yes",NA(),Inputs!$D$26*Inputs!$C$35))</f>
        <v/>
      </c>
      <c r="R1489" s="54">
        <f>IF($B1489=0,NA(),IF(Inputs!$B$27&lt;&gt;"Yes",NA(),Inputs!$D$27*Inputs!$C$35))</f>
        <v/>
      </c>
      <c r="S1489" s="54">
        <f>IF($B1489=0,NA(),IF(Inputs!$B$28&lt;&gt;"Yes",NA(),Inputs!$D$28*Inputs!$C$35))</f>
        <v/>
      </c>
      <c r="T1489" s="54">
        <f>IF($B1489=0,NA(),IF(Inputs!$B$29&lt;&gt;"Yes",NA(),Inputs!$D$29*Inputs!$C$35))</f>
        <v/>
      </c>
      <c r="AD1489">
        <f>IF($B1489=0,0,IF(Inputs!$B$6="",0,COUNTIFS(Data!$A$10:$A$3209,"&gt;="&amp;$A1489,Data!$A$10:$A$3209,"&lt;"&amp;$A1489+1)))</f>
        <v/>
      </c>
      <c r="AE1489">
        <f>IF($B1489=0,0,IF(Inputs!$B$7="",0,COUNTIFS(Data!$E$10:$E$3209,"&gt;="&amp;$A1489,Data!$E$10:$E$3209,"&lt;"&amp;$A1489+1)))</f>
        <v/>
      </c>
      <c r="AF1489">
        <f>IF($B1489=0,0,IF(Inputs!$B$8="",0,COUNTIFS(Data!$I$10:$I$3209,"&gt;="&amp;$A1489,Data!$I$10:$I$3209,"&lt;"&amp;$A1489+1)))</f>
        <v/>
      </c>
      <c r="AG1489">
        <f>IF($B1489=0,0,IF(Inputs!$B$9="",0,COUNTIFS(Data!$M$10:$M$3209,"&gt;="&amp;$A1489,Data!$M$10:$M$3209,"&lt;"&amp;$A1489+1)))</f>
        <v/>
      </c>
      <c r="AH1489">
        <f>IF($B1489=0,0,IF(Inputs!$B$10="",0,COUNTIFS(Data!$Q$10:$Q$3209,"&gt;="&amp;$A1489,Data!$Q$10:$Q$3209,"&lt;"&amp;$A1489+1)))</f>
        <v/>
      </c>
    </row>
    <row r="1490">
      <c r="A1490" s="55">
        <f>MIN(Inputs!$C$15,$A1489+IF(WEEKDAY($A1489,2)=5,3,1))</f>
        <v/>
      </c>
      <c r="B1490">
        <f>IF($A1490&gt;$A1489,1,0)</f>
        <v/>
      </c>
      <c r="C1490" s="56">
        <f>IF($B1490=0,"",IF(Inputs!$B$6="","",IF($AD1490=0,C1489,SUMIFS(Data!$B$10:$B$3209,Data!$A$10:$A$3209,"&gt;="&amp;$A1490,Data!$A$10:$A$3209,"&lt;"&amp;$A1490+1)/$AD1490)))</f>
        <v/>
      </c>
      <c r="D1490" s="56">
        <f>IF($B1490=0,"",IF(Inputs!$B$7="","",IF($AE1490=0,D1489,SUMIFS(Data!$F$10:$F$3209,Data!$E$10:$E$3209,"&gt;="&amp;$A1490,Data!$E$10:$E$3209,"&lt;"&amp;$A1490+1)/$AE1490)))</f>
        <v/>
      </c>
      <c r="E1490" s="56">
        <f>IF($B1490=0,"",IF(Inputs!$B$8="","",IF($AF1490=0,E1489,SUMIFS(Data!$J$10:$J$3209,Data!$I$10:$I$3209,"&gt;="&amp;$A1490,Data!$I$10:$I$3209,"&lt;"&amp;$A1490+1)/$AF1490)))</f>
        <v/>
      </c>
      <c r="F1490" s="56">
        <f>IF($B1490=0,"",IF(Inputs!$B$9="","",IF($AG1490=0,F1489,SUMIFS(Data!$N$10:$N$3209,Data!$M$10:$M$3209,"&gt;="&amp;$A1490,Data!$M$10:$M$3209,"&lt;"&amp;$A1490+1)/$AG1490)))</f>
        <v/>
      </c>
      <c r="G1490" s="56">
        <f>IF($B1490=0,"",IF(Inputs!$B$10="","",IF($AH1490=0,G1489,SUMIFS(Data!$R$10:$R$3209,Data!$Q$10:$Q$3209,"&gt;="&amp;$A1490,Data!$Q$10:$Q$3209,"&lt;"&amp;$A1490+1)/$AH1490)))</f>
        <v/>
      </c>
      <c r="I1490" s="54">
        <f>IF($B1490=0,NA(),IF($C1490="",NA(),IF(C$8="",NA(),IF(N(C$8)=0,NA(),IF(Inputs!$C$17="Rebased to 100",$C1490/C$8*100,$C1490)))))</f>
        <v/>
      </c>
      <c r="J1490" s="54">
        <f>IF($B1490=0,NA(),IF($D1490="",NA(),IF(D$8="",NA(),IF(N(D$8)=0,NA(),IF(Inputs!$C$17="Rebased to 100",$D1490/D$8*100,$D1490)))))</f>
        <v/>
      </c>
      <c r="K1490" s="54">
        <f>IF($B1490=0,NA(),IF($E1490="",NA(),IF(E$8="",NA(),IF(N(E$8)=0,NA(),IF(Inputs!$C$17="Rebased to 100",$E1490/E$8*100,$E1490)))))</f>
        <v/>
      </c>
      <c r="L1490" s="54">
        <f>IF($B1490=0,NA(),IF($F1490="",NA(),IF(F$8="",NA(),IF(N(F$8)=0,NA(),IF(Inputs!$C$17="Rebased to 100",$F1490/F$8*100,$F1490)))))</f>
        <v/>
      </c>
      <c r="M1490" s="54">
        <f>IF($B1490=0,NA(),IF($G1490="",NA(),IF(G$8="",NA(),IF(N(G$8)=0,NA(),IF(Inputs!$C$17="Rebased to 100",$G1490/G$8*100,$G1490)))))</f>
        <v/>
      </c>
      <c r="N1490" s="54">
        <f>IF($B1490=0,NA(),IF(Inputs!$C$18&lt;&gt;"Yes",NA(),IF(COUNT(I1490,J1490,K1490,L1490,M1490)=0,NA(),MIN(I1490,J1490,K1490,L1490,M1490))))</f>
        <v/>
      </c>
      <c r="O1490" s="54">
        <f>IF($B1490=0,NA(),IF(Inputs!$B$24&lt;&gt;"Yes",NA(),Inputs!$D$24*Inputs!$C$35))</f>
        <v/>
      </c>
      <c r="P1490" s="54">
        <f>IF($B1490=0,NA(),IF(Inputs!$B$25&lt;&gt;"Yes",NA(),Inputs!$D$25*Inputs!$C$35))</f>
        <v/>
      </c>
      <c r="Q1490" s="54">
        <f>IF($B1490=0,NA(),IF(Inputs!$B$26&lt;&gt;"Yes",NA(),Inputs!$D$26*Inputs!$C$35))</f>
        <v/>
      </c>
      <c r="R1490" s="54">
        <f>IF($B1490=0,NA(),IF(Inputs!$B$27&lt;&gt;"Yes",NA(),Inputs!$D$27*Inputs!$C$35))</f>
        <v/>
      </c>
      <c r="S1490" s="54">
        <f>IF($B1490=0,NA(),IF(Inputs!$B$28&lt;&gt;"Yes",NA(),Inputs!$D$28*Inputs!$C$35))</f>
        <v/>
      </c>
      <c r="T1490" s="54">
        <f>IF($B1490=0,NA(),IF(Inputs!$B$29&lt;&gt;"Yes",NA(),Inputs!$D$29*Inputs!$C$35))</f>
        <v/>
      </c>
      <c r="AD1490">
        <f>IF($B1490=0,0,IF(Inputs!$B$6="",0,COUNTIFS(Data!$A$10:$A$3209,"&gt;="&amp;$A1490,Data!$A$10:$A$3209,"&lt;"&amp;$A1490+1)))</f>
        <v/>
      </c>
      <c r="AE1490">
        <f>IF($B1490=0,0,IF(Inputs!$B$7="",0,COUNTIFS(Data!$E$10:$E$3209,"&gt;="&amp;$A1490,Data!$E$10:$E$3209,"&lt;"&amp;$A1490+1)))</f>
        <v/>
      </c>
      <c r="AF1490">
        <f>IF($B1490=0,0,IF(Inputs!$B$8="",0,COUNTIFS(Data!$I$10:$I$3209,"&gt;="&amp;$A1490,Data!$I$10:$I$3209,"&lt;"&amp;$A1490+1)))</f>
        <v/>
      </c>
      <c r="AG1490">
        <f>IF($B1490=0,0,IF(Inputs!$B$9="",0,COUNTIFS(Data!$M$10:$M$3209,"&gt;="&amp;$A1490,Data!$M$10:$M$3209,"&lt;"&amp;$A1490+1)))</f>
        <v/>
      </c>
      <c r="AH1490">
        <f>IF($B1490=0,0,IF(Inputs!$B$10="",0,COUNTIFS(Data!$Q$10:$Q$3209,"&gt;="&amp;$A1490,Data!$Q$10:$Q$3209,"&lt;"&amp;$A1490+1)))</f>
        <v/>
      </c>
    </row>
    <row r="1491">
      <c r="A1491" s="55">
        <f>MIN(Inputs!$C$15,$A1490+IF(WEEKDAY($A1490,2)=5,3,1))</f>
        <v/>
      </c>
      <c r="B1491">
        <f>IF($A1491&gt;$A1490,1,0)</f>
        <v/>
      </c>
      <c r="C1491" s="56">
        <f>IF($B1491=0,"",IF(Inputs!$B$6="","",IF($AD1491=0,C1490,SUMIFS(Data!$B$10:$B$3209,Data!$A$10:$A$3209,"&gt;="&amp;$A1491,Data!$A$10:$A$3209,"&lt;"&amp;$A1491+1)/$AD1491)))</f>
        <v/>
      </c>
      <c r="D1491" s="56">
        <f>IF($B1491=0,"",IF(Inputs!$B$7="","",IF($AE1491=0,D1490,SUMIFS(Data!$F$10:$F$3209,Data!$E$10:$E$3209,"&gt;="&amp;$A1491,Data!$E$10:$E$3209,"&lt;"&amp;$A1491+1)/$AE1491)))</f>
        <v/>
      </c>
      <c r="E1491" s="56">
        <f>IF($B1491=0,"",IF(Inputs!$B$8="","",IF($AF1491=0,E1490,SUMIFS(Data!$J$10:$J$3209,Data!$I$10:$I$3209,"&gt;="&amp;$A1491,Data!$I$10:$I$3209,"&lt;"&amp;$A1491+1)/$AF1491)))</f>
        <v/>
      </c>
      <c r="F1491" s="56">
        <f>IF($B1491=0,"",IF(Inputs!$B$9="","",IF($AG1491=0,F1490,SUMIFS(Data!$N$10:$N$3209,Data!$M$10:$M$3209,"&gt;="&amp;$A1491,Data!$M$10:$M$3209,"&lt;"&amp;$A1491+1)/$AG1491)))</f>
        <v/>
      </c>
      <c r="G1491" s="56">
        <f>IF($B1491=0,"",IF(Inputs!$B$10="","",IF($AH1491=0,G1490,SUMIFS(Data!$R$10:$R$3209,Data!$Q$10:$Q$3209,"&gt;="&amp;$A1491,Data!$Q$10:$Q$3209,"&lt;"&amp;$A1491+1)/$AH1491)))</f>
        <v/>
      </c>
      <c r="I1491" s="54">
        <f>IF($B1491=0,NA(),IF($C1491="",NA(),IF(C$8="",NA(),IF(N(C$8)=0,NA(),IF(Inputs!$C$17="Rebased to 100",$C1491/C$8*100,$C1491)))))</f>
        <v/>
      </c>
      <c r="J1491" s="54">
        <f>IF($B1491=0,NA(),IF($D1491="",NA(),IF(D$8="",NA(),IF(N(D$8)=0,NA(),IF(Inputs!$C$17="Rebased to 100",$D1491/D$8*100,$D1491)))))</f>
        <v/>
      </c>
      <c r="K1491" s="54">
        <f>IF($B1491=0,NA(),IF($E1491="",NA(),IF(E$8="",NA(),IF(N(E$8)=0,NA(),IF(Inputs!$C$17="Rebased to 100",$E1491/E$8*100,$E1491)))))</f>
        <v/>
      </c>
      <c r="L1491" s="54">
        <f>IF($B1491=0,NA(),IF($F1491="",NA(),IF(F$8="",NA(),IF(N(F$8)=0,NA(),IF(Inputs!$C$17="Rebased to 100",$F1491/F$8*100,$F1491)))))</f>
        <v/>
      </c>
      <c r="M1491" s="54">
        <f>IF($B1491=0,NA(),IF($G1491="",NA(),IF(G$8="",NA(),IF(N(G$8)=0,NA(),IF(Inputs!$C$17="Rebased to 100",$G1491/G$8*100,$G1491)))))</f>
        <v/>
      </c>
      <c r="N1491" s="54">
        <f>IF($B1491=0,NA(),IF(Inputs!$C$18&lt;&gt;"Yes",NA(),IF(COUNT(I1491,J1491,K1491,L1491,M1491)=0,NA(),MIN(I1491,J1491,K1491,L1491,M1491))))</f>
        <v/>
      </c>
      <c r="O1491" s="54">
        <f>IF($B1491=0,NA(),IF(Inputs!$B$24&lt;&gt;"Yes",NA(),Inputs!$D$24*Inputs!$C$35))</f>
        <v/>
      </c>
      <c r="P1491" s="54">
        <f>IF($B1491=0,NA(),IF(Inputs!$B$25&lt;&gt;"Yes",NA(),Inputs!$D$25*Inputs!$C$35))</f>
        <v/>
      </c>
      <c r="Q1491" s="54">
        <f>IF($B1491=0,NA(),IF(Inputs!$B$26&lt;&gt;"Yes",NA(),Inputs!$D$26*Inputs!$C$35))</f>
        <v/>
      </c>
      <c r="R1491" s="54">
        <f>IF($B1491=0,NA(),IF(Inputs!$B$27&lt;&gt;"Yes",NA(),Inputs!$D$27*Inputs!$C$35))</f>
        <v/>
      </c>
      <c r="S1491" s="54">
        <f>IF($B1491=0,NA(),IF(Inputs!$B$28&lt;&gt;"Yes",NA(),Inputs!$D$28*Inputs!$C$35))</f>
        <v/>
      </c>
      <c r="T1491" s="54">
        <f>IF($B1491=0,NA(),IF(Inputs!$B$29&lt;&gt;"Yes",NA(),Inputs!$D$29*Inputs!$C$35))</f>
        <v/>
      </c>
      <c r="AD1491">
        <f>IF($B1491=0,0,IF(Inputs!$B$6="",0,COUNTIFS(Data!$A$10:$A$3209,"&gt;="&amp;$A1491,Data!$A$10:$A$3209,"&lt;"&amp;$A1491+1)))</f>
        <v/>
      </c>
      <c r="AE1491">
        <f>IF($B1491=0,0,IF(Inputs!$B$7="",0,COUNTIFS(Data!$E$10:$E$3209,"&gt;="&amp;$A1491,Data!$E$10:$E$3209,"&lt;"&amp;$A1491+1)))</f>
        <v/>
      </c>
      <c r="AF1491">
        <f>IF($B1491=0,0,IF(Inputs!$B$8="",0,COUNTIFS(Data!$I$10:$I$3209,"&gt;="&amp;$A1491,Data!$I$10:$I$3209,"&lt;"&amp;$A1491+1)))</f>
        <v/>
      </c>
      <c r="AG1491">
        <f>IF($B1491=0,0,IF(Inputs!$B$9="",0,COUNTIFS(Data!$M$10:$M$3209,"&gt;="&amp;$A1491,Data!$M$10:$M$3209,"&lt;"&amp;$A1491+1)))</f>
        <v/>
      </c>
      <c r="AH1491">
        <f>IF($B1491=0,0,IF(Inputs!$B$10="",0,COUNTIFS(Data!$Q$10:$Q$3209,"&gt;="&amp;$A1491,Data!$Q$10:$Q$3209,"&lt;"&amp;$A1491+1)))</f>
        <v/>
      </c>
    </row>
    <row r="1492">
      <c r="A1492" s="55">
        <f>MIN(Inputs!$C$15,$A1491+IF(WEEKDAY($A1491,2)=5,3,1))</f>
        <v/>
      </c>
      <c r="B1492">
        <f>IF($A1492&gt;$A1491,1,0)</f>
        <v/>
      </c>
      <c r="C1492" s="56">
        <f>IF($B1492=0,"",IF(Inputs!$B$6="","",IF($AD1492=0,C1491,SUMIFS(Data!$B$10:$B$3209,Data!$A$10:$A$3209,"&gt;="&amp;$A1492,Data!$A$10:$A$3209,"&lt;"&amp;$A1492+1)/$AD1492)))</f>
        <v/>
      </c>
      <c r="D1492" s="56">
        <f>IF($B1492=0,"",IF(Inputs!$B$7="","",IF($AE1492=0,D1491,SUMIFS(Data!$F$10:$F$3209,Data!$E$10:$E$3209,"&gt;="&amp;$A1492,Data!$E$10:$E$3209,"&lt;"&amp;$A1492+1)/$AE1492)))</f>
        <v/>
      </c>
      <c r="E1492" s="56">
        <f>IF($B1492=0,"",IF(Inputs!$B$8="","",IF($AF1492=0,E1491,SUMIFS(Data!$J$10:$J$3209,Data!$I$10:$I$3209,"&gt;="&amp;$A1492,Data!$I$10:$I$3209,"&lt;"&amp;$A1492+1)/$AF1492)))</f>
        <v/>
      </c>
      <c r="F1492" s="56">
        <f>IF($B1492=0,"",IF(Inputs!$B$9="","",IF($AG1492=0,F1491,SUMIFS(Data!$N$10:$N$3209,Data!$M$10:$M$3209,"&gt;="&amp;$A1492,Data!$M$10:$M$3209,"&lt;"&amp;$A1492+1)/$AG1492)))</f>
        <v/>
      </c>
      <c r="G1492" s="56">
        <f>IF($B1492=0,"",IF(Inputs!$B$10="","",IF($AH1492=0,G1491,SUMIFS(Data!$R$10:$R$3209,Data!$Q$10:$Q$3209,"&gt;="&amp;$A1492,Data!$Q$10:$Q$3209,"&lt;"&amp;$A1492+1)/$AH1492)))</f>
        <v/>
      </c>
      <c r="I1492" s="54">
        <f>IF($B1492=0,NA(),IF($C1492="",NA(),IF(C$8="",NA(),IF(N(C$8)=0,NA(),IF(Inputs!$C$17="Rebased to 100",$C1492/C$8*100,$C1492)))))</f>
        <v/>
      </c>
      <c r="J1492" s="54">
        <f>IF($B1492=0,NA(),IF($D1492="",NA(),IF(D$8="",NA(),IF(N(D$8)=0,NA(),IF(Inputs!$C$17="Rebased to 100",$D1492/D$8*100,$D1492)))))</f>
        <v/>
      </c>
      <c r="K1492" s="54">
        <f>IF($B1492=0,NA(),IF($E1492="",NA(),IF(E$8="",NA(),IF(N(E$8)=0,NA(),IF(Inputs!$C$17="Rebased to 100",$E1492/E$8*100,$E1492)))))</f>
        <v/>
      </c>
      <c r="L1492" s="54">
        <f>IF($B1492=0,NA(),IF($F1492="",NA(),IF(F$8="",NA(),IF(N(F$8)=0,NA(),IF(Inputs!$C$17="Rebased to 100",$F1492/F$8*100,$F1492)))))</f>
        <v/>
      </c>
      <c r="M1492" s="54">
        <f>IF($B1492=0,NA(),IF($G1492="",NA(),IF(G$8="",NA(),IF(N(G$8)=0,NA(),IF(Inputs!$C$17="Rebased to 100",$G1492/G$8*100,$G1492)))))</f>
        <v/>
      </c>
      <c r="N1492" s="54">
        <f>IF($B1492=0,NA(),IF(Inputs!$C$18&lt;&gt;"Yes",NA(),IF(COUNT(I1492,J1492,K1492,L1492,M1492)=0,NA(),MIN(I1492,J1492,K1492,L1492,M1492))))</f>
        <v/>
      </c>
      <c r="O1492" s="54">
        <f>IF($B1492=0,NA(),IF(Inputs!$B$24&lt;&gt;"Yes",NA(),Inputs!$D$24*Inputs!$C$35))</f>
        <v/>
      </c>
      <c r="P1492" s="54">
        <f>IF($B1492=0,NA(),IF(Inputs!$B$25&lt;&gt;"Yes",NA(),Inputs!$D$25*Inputs!$C$35))</f>
        <v/>
      </c>
      <c r="Q1492" s="54">
        <f>IF($B1492=0,NA(),IF(Inputs!$B$26&lt;&gt;"Yes",NA(),Inputs!$D$26*Inputs!$C$35))</f>
        <v/>
      </c>
      <c r="R1492" s="54">
        <f>IF($B1492=0,NA(),IF(Inputs!$B$27&lt;&gt;"Yes",NA(),Inputs!$D$27*Inputs!$C$35))</f>
        <v/>
      </c>
      <c r="S1492" s="54">
        <f>IF($B1492=0,NA(),IF(Inputs!$B$28&lt;&gt;"Yes",NA(),Inputs!$D$28*Inputs!$C$35))</f>
        <v/>
      </c>
      <c r="T1492" s="54">
        <f>IF($B1492=0,NA(),IF(Inputs!$B$29&lt;&gt;"Yes",NA(),Inputs!$D$29*Inputs!$C$35))</f>
        <v/>
      </c>
      <c r="AD1492">
        <f>IF($B1492=0,0,IF(Inputs!$B$6="",0,COUNTIFS(Data!$A$10:$A$3209,"&gt;="&amp;$A1492,Data!$A$10:$A$3209,"&lt;"&amp;$A1492+1)))</f>
        <v/>
      </c>
      <c r="AE1492">
        <f>IF($B1492=0,0,IF(Inputs!$B$7="",0,COUNTIFS(Data!$E$10:$E$3209,"&gt;="&amp;$A1492,Data!$E$10:$E$3209,"&lt;"&amp;$A1492+1)))</f>
        <v/>
      </c>
      <c r="AF1492">
        <f>IF($B1492=0,0,IF(Inputs!$B$8="",0,COUNTIFS(Data!$I$10:$I$3209,"&gt;="&amp;$A1492,Data!$I$10:$I$3209,"&lt;"&amp;$A1492+1)))</f>
        <v/>
      </c>
      <c r="AG1492">
        <f>IF($B1492=0,0,IF(Inputs!$B$9="",0,COUNTIFS(Data!$M$10:$M$3209,"&gt;="&amp;$A1492,Data!$M$10:$M$3209,"&lt;"&amp;$A1492+1)))</f>
        <v/>
      </c>
      <c r="AH1492">
        <f>IF($B1492=0,0,IF(Inputs!$B$10="",0,COUNTIFS(Data!$Q$10:$Q$3209,"&gt;="&amp;$A1492,Data!$Q$10:$Q$3209,"&lt;"&amp;$A1492+1)))</f>
        <v/>
      </c>
    </row>
    <row r="1493">
      <c r="A1493" s="55">
        <f>MIN(Inputs!$C$15,$A1492+IF(WEEKDAY($A1492,2)=5,3,1))</f>
        <v/>
      </c>
      <c r="B1493">
        <f>IF($A1493&gt;$A1492,1,0)</f>
        <v/>
      </c>
      <c r="C1493" s="56">
        <f>IF($B1493=0,"",IF(Inputs!$B$6="","",IF($AD1493=0,C1492,SUMIFS(Data!$B$10:$B$3209,Data!$A$10:$A$3209,"&gt;="&amp;$A1493,Data!$A$10:$A$3209,"&lt;"&amp;$A1493+1)/$AD1493)))</f>
        <v/>
      </c>
      <c r="D1493" s="56">
        <f>IF($B1493=0,"",IF(Inputs!$B$7="","",IF($AE1493=0,D1492,SUMIFS(Data!$F$10:$F$3209,Data!$E$10:$E$3209,"&gt;="&amp;$A1493,Data!$E$10:$E$3209,"&lt;"&amp;$A1493+1)/$AE1493)))</f>
        <v/>
      </c>
      <c r="E1493" s="56">
        <f>IF($B1493=0,"",IF(Inputs!$B$8="","",IF($AF1493=0,E1492,SUMIFS(Data!$J$10:$J$3209,Data!$I$10:$I$3209,"&gt;="&amp;$A1493,Data!$I$10:$I$3209,"&lt;"&amp;$A1493+1)/$AF1493)))</f>
        <v/>
      </c>
      <c r="F1493" s="56">
        <f>IF($B1493=0,"",IF(Inputs!$B$9="","",IF($AG1493=0,F1492,SUMIFS(Data!$N$10:$N$3209,Data!$M$10:$M$3209,"&gt;="&amp;$A1493,Data!$M$10:$M$3209,"&lt;"&amp;$A1493+1)/$AG1493)))</f>
        <v/>
      </c>
      <c r="G1493" s="56">
        <f>IF($B1493=0,"",IF(Inputs!$B$10="","",IF($AH1493=0,G1492,SUMIFS(Data!$R$10:$R$3209,Data!$Q$10:$Q$3209,"&gt;="&amp;$A1493,Data!$Q$10:$Q$3209,"&lt;"&amp;$A1493+1)/$AH1493)))</f>
        <v/>
      </c>
      <c r="I1493" s="54">
        <f>IF($B1493=0,NA(),IF($C1493="",NA(),IF(C$8="",NA(),IF(N(C$8)=0,NA(),IF(Inputs!$C$17="Rebased to 100",$C1493/C$8*100,$C1493)))))</f>
        <v/>
      </c>
      <c r="J1493" s="54">
        <f>IF($B1493=0,NA(),IF($D1493="",NA(),IF(D$8="",NA(),IF(N(D$8)=0,NA(),IF(Inputs!$C$17="Rebased to 100",$D1493/D$8*100,$D1493)))))</f>
        <v/>
      </c>
      <c r="K1493" s="54">
        <f>IF($B1493=0,NA(),IF($E1493="",NA(),IF(E$8="",NA(),IF(N(E$8)=0,NA(),IF(Inputs!$C$17="Rebased to 100",$E1493/E$8*100,$E1493)))))</f>
        <v/>
      </c>
      <c r="L1493" s="54">
        <f>IF($B1493=0,NA(),IF($F1493="",NA(),IF(F$8="",NA(),IF(N(F$8)=0,NA(),IF(Inputs!$C$17="Rebased to 100",$F1493/F$8*100,$F1493)))))</f>
        <v/>
      </c>
      <c r="M1493" s="54">
        <f>IF($B1493=0,NA(),IF($G1493="",NA(),IF(G$8="",NA(),IF(N(G$8)=0,NA(),IF(Inputs!$C$17="Rebased to 100",$G1493/G$8*100,$G1493)))))</f>
        <v/>
      </c>
      <c r="N1493" s="54">
        <f>IF($B1493=0,NA(),IF(Inputs!$C$18&lt;&gt;"Yes",NA(),IF(COUNT(I1493,J1493,K1493,L1493,M1493)=0,NA(),MIN(I1493,J1493,K1493,L1493,M1493))))</f>
        <v/>
      </c>
      <c r="O1493" s="54">
        <f>IF($B1493=0,NA(),IF(Inputs!$B$24&lt;&gt;"Yes",NA(),Inputs!$D$24*Inputs!$C$35))</f>
        <v/>
      </c>
      <c r="P1493" s="54">
        <f>IF($B1493=0,NA(),IF(Inputs!$B$25&lt;&gt;"Yes",NA(),Inputs!$D$25*Inputs!$C$35))</f>
        <v/>
      </c>
      <c r="Q1493" s="54">
        <f>IF($B1493=0,NA(),IF(Inputs!$B$26&lt;&gt;"Yes",NA(),Inputs!$D$26*Inputs!$C$35))</f>
        <v/>
      </c>
      <c r="R1493" s="54">
        <f>IF($B1493=0,NA(),IF(Inputs!$B$27&lt;&gt;"Yes",NA(),Inputs!$D$27*Inputs!$C$35))</f>
        <v/>
      </c>
      <c r="S1493" s="54">
        <f>IF($B1493=0,NA(),IF(Inputs!$B$28&lt;&gt;"Yes",NA(),Inputs!$D$28*Inputs!$C$35))</f>
        <v/>
      </c>
      <c r="T1493" s="54">
        <f>IF($B1493=0,NA(),IF(Inputs!$B$29&lt;&gt;"Yes",NA(),Inputs!$D$29*Inputs!$C$35))</f>
        <v/>
      </c>
      <c r="AD1493">
        <f>IF($B1493=0,0,IF(Inputs!$B$6="",0,COUNTIFS(Data!$A$10:$A$3209,"&gt;="&amp;$A1493,Data!$A$10:$A$3209,"&lt;"&amp;$A1493+1)))</f>
        <v/>
      </c>
      <c r="AE1493">
        <f>IF($B1493=0,0,IF(Inputs!$B$7="",0,COUNTIFS(Data!$E$10:$E$3209,"&gt;="&amp;$A1493,Data!$E$10:$E$3209,"&lt;"&amp;$A1493+1)))</f>
        <v/>
      </c>
      <c r="AF1493">
        <f>IF($B1493=0,0,IF(Inputs!$B$8="",0,COUNTIFS(Data!$I$10:$I$3209,"&gt;="&amp;$A1493,Data!$I$10:$I$3209,"&lt;"&amp;$A1493+1)))</f>
        <v/>
      </c>
      <c r="AG1493">
        <f>IF($B1493=0,0,IF(Inputs!$B$9="",0,COUNTIFS(Data!$M$10:$M$3209,"&gt;="&amp;$A1493,Data!$M$10:$M$3209,"&lt;"&amp;$A1493+1)))</f>
        <v/>
      </c>
      <c r="AH1493">
        <f>IF($B1493=0,0,IF(Inputs!$B$10="",0,COUNTIFS(Data!$Q$10:$Q$3209,"&gt;="&amp;$A1493,Data!$Q$10:$Q$3209,"&lt;"&amp;$A1493+1)))</f>
        <v/>
      </c>
    </row>
    <row r="1494">
      <c r="A1494" s="55">
        <f>MIN(Inputs!$C$15,$A1493+IF(WEEKDAY($A1493,2)=5,3,1))</f>
        <v/>
      </c>
      <c r="B1494">
        <f>IF($A1494&gt;$A1493,1,0)</f>
        <v/>
      </c>
      <c r="C1494" s="56">
        <f>IF($B1494=0,"",IF(Inputs!$B$6="","",IF($AD1494=0,C1493,SUMIFS(Data!$B$10:$B$3209,Data!$A$10:$A$3209,"&gt;="&amp;$A1494,Data!$A$10:$A$3209,"&lt;"&amp;$A1494+1)/$AD1494)))</f>
        <v/>
      </c>
      <c r="D1494" s="56">
        <f>IF($B1494=0,"",IF(Inputs!$B$7="","",IF($AE1494=0,D1493,SUMIFS(Data!$F$10:$F$3209,Data!$E$10:$E$3209,"&gt;="&amp;$A1494,Data!$E$10:$E$3209,"&lt;"&amp;$A1494+1)/$AE1494)))</f>
        <v/>
      </c>
      <c r="E1494" s="56">
        <f>IF($B1494=0,"",IF(Inputs!$B$8="","",IF($AF1494=0,E1493,SUMIFS(Data!$J$10:$J$3209,Data!$I$10:$I$3209,"&gt;="&amp;$A1494,Data!$I$10:$I$3209,"&lt;"&amp;$A1494+1)/$AF1494)))</f>
        <v/>
      </c>
      <c r="F1494" s="56">
        <f>IF($B1494=0,"",IF(Inputs!$B$9="","",IF($AG1494=0,F1493,SUMIFS(Data!$N$10:$N$3209,Data!$M$10:$M$3209,"&gt;="&amp;$A1494,Data!$M$10:$M$3209,"&lt;"&amp;$A1494+1)/$AG1494)))</f>
        <v/>
      </c>
      <c r="G1494" s="56">
        <f>IF($B1494=0,"",IF(Inputs!$B$10="","",IF($AH1494=0,G1493,SUMIFS(Data!$R$10:$R$3209,Data!$Q$10:$Q$3209,"&gt;="&amp;$A1494,Data!$Q$10:$Q$3209,"&lt;"&amp;$A1494+1)/$AH1494)))</f>
        <v/>
      </c>
      <c r="I1494" s="54">
        <f>IF($B1494=0,NA(),IF($C1494="",NA(),IF(C$8="",NA(),IF(N(C$8)=0,NA(),IF(Inputs!$C$17="Rebased to 100",$C1494/C$8*100,$C1494)))))</f>
        <v/>
      </c>
      <c r="J1494" s="54">
        <f>IF($B1494=0,NA(),IF($D1494="",NA(),IF(D$8="",NA(),IF(N(D$8)=0,NA(),IF(Inputs!$C$17="Rebased to 100",$D1494/D$8*100,$D1494)))))</f>
        <v/>
      </c>
      <c r="K1494" s="54">
        <f>IF($B1494=0,NA(),IF($E1494="",NA(),IF(E$8="",NA(),IF(N(E$8)=0,NA(),IF(Inputs!$C$17="Rebased to 100",$E1494/E$8*100,$E1494)))))</f>
        <v/>
      </c>
      <c r="L1494" s="54">
        <f>IF($B1494=0,NA(),IF($F1494="",NA(),IF(F$8="",NA(),IF(N(F$8)=0,NA(),IF(Inputs!$C$17="Rebased to 100",$F1494/F$8*100,$F1494)))))</f>
        <v/>
      </c>
      <c r="M1494" s="54">
        <f>IF($B1494=0,NA(),IF($G1494="",NA(),IF(G$8="",NA(),IF(N(G$8)=0,NA(),IF(Inputs!$C$17="Rebased to 100",$G1494/G$8*100,$G1494)))))</f>
        <v/>
      </c>
      <c r="N1494" s="54">
        <f>IF($B1494=0,NA(),IF(Inputs!$C$18&lt;&gt;"Yes",NA(),IF(COUNT(I1494,J1494,K1494,L1494,M1494)=0,NA(),MIN(I1494,J1494,K1494,L1494,M1494))))</f>
        <v/>
      </c>
      <c r="O1494" s="54">
        <f>IF($B1494=0,NA(),IF(Inputs!$B$24&lt;&gt;"Yes",NA(),Inputs!$D$24*Inputs!$C$35))</f>
        <v/>
      </c>
      <c r="P1494" s="54">
        <f>IF($B1494=0,NA(),IF(Inputs!$B$25&lt;&gt;"Yes",NA(),Inputs!$D$25*Inputs!$C$35))</f>
        <v/>
      </c>
      <c r="Q1494" s="54">
        <f>IF($B1494=0,NA(),IF(Inputs!$B$26&lt;&gt;"Yes",NA(),Inputs!$D$26*Inputs!$C$35))</f>
        <v/>
      </c>
      <c r="R1494" s="54">
        <f>IF($B1494=0,NA(),IF(Inputs!$B$27&lt;&gt;"Yes",NA(),Inputs!$D$27*Inputs!$C$35))</f>
        <v/>
      </c>
      <c r="S1494" s="54">
        <f>IF($B1494=0,NA(),IF(Inputs!$B$28&lt;&gt;"Yes",NA(),Inputs!$D$28*Inputs!$C$35))</f>
        <v/>
      </c>
      <c r="T1494" s="54">
        <f>IF($B1494=0,NA(),IF(Inputs!$B$29&lt;&gt;"Yes",NA(),Inputs!$D$29*Inputs!$C$35))</f>
        <v/>
      </c>
      <c r="AD1494">
        <f>IF($B1494=0,0,IF(Inputs!$B$6="",0,COUNTIFS(Data!$A$10:$A$3209,"&gt;="&amp;$A1494,Data!$A$10:$A$3209,"&lt;"&amp;$A1494+1)))</f>
        <v/>
      </c>
      <c r="AE1494">
        <f>IF($B1494=0,0,IF(Inputs!$B$7="",0,COUNTIFS(Data!$E$10:$E$3209,"&gt;="&amp;$A1494,Data!$E$10:$E$3209,"&lt;"&amp;$A1494+1)))</f>
        <v/>
      </c>
      <c r="AF1494">
        <f>IF($B1494=0,0,IF(Inputs!$B$8="",0,COUNTIFS(Data!$I$10:$I$3209,"&gt;="&amp;$A1494,Data!$I$10:$I$3209,"&lt;"&amp;$A1494+1)))</f>
        <v/>
      </c>
      <c r="AG1494">
        <f>IF($B1494=0,0,IF(Inputs!$B$9="",0,COUNTIFS(Data!$M$10:$M$3209,"&gt;="&amp;$A1494,Data!$M$10:$M$3209,"&lt;"&amp;$A1494+1)))</f>
        <v/>
      </c>
      <c r="AH1494">
        <f>IF($B1494=0,0,IF(Inputs!$B$10="",0,COUNTIFS(Data!$Q$10:$Q$3209,"&gt;="&amp;$A1494,Data!$Q$10:$Q$3209,"&lt;"&amp;$A1494+1)))</f>
        <v/>
      </c>
    </row>
    <row r="1495">
      <c r="A1495" s="55">
        <f>MIN(Inputs!$C$15,$A1494+IF(WEEKDAY($A1494,2)=5,3,1))</f>
        <v/>
      </c>
      <c r="B1495">
        <f>IF($A1495&gt;$A1494,1,0)</f>
        <v/>
      </c>
      <c r="C1495" s="56">
        <f>IF($B1495=0,"",IF(Inputs!$B$6="","",IF($AD1495=0,C1494,SUMIFS(Data!$B$10:$B$3209,Data!$A$10:$A$3209,"&gt;="&amp;$A1495,Data!$A$10:$A$3209,"&lt;"&amp;$A1495+1)/$AD1495)))</f>
        <v/>
      </c>
      <c r="D1495" s="56">
        <f>IF($B1495=0,"",IF(Inputs!$B$7="","",IF($AE1495=0,D1494,SUMIFS(Data!$F$10:$F$3209,Data!$E$10:$E$3209,"&gt;="&amp;$A1495,Data!$E$10:$E$3209,"&lt;"&amp;$A1495+1)/$AE1495)))</f>
        <v/>
      </c>
      <c r="E1495" s="56">
        <f>IF($B1495=0,"",IF(Inputs!$B$8="","",IF($AF1495=0,E1494,SUMIFS(Data!$J$10:$J$3209,Data!$I$10:$I$3209,"&gt;="&amp;$A1495,Data!$I$10:$I$3209,"&lt;"&amp;$A1495+1)/$AF1495)))</f>
        <v/>
      </c>
      <c r="F1495" s="56">
        <f>IF($B1495=0,"",IF(Inputs!$B$9="","",IF($AG1495=0,F1494,SUMIFS(Data!$N$10:$N$3209,Data!$M$10:$M$3209,"&gt;="&amp;$A1495,Data!$M$10:$M$3209,"&lt;"&amp;$A1495+1)/$AG1495)))</f>
        <v/>
      </c>
      <c r="G1495" s="56">
        <f>IF($B1495=0,"",IF(Inputs!$B$10="","",IF($AH1495=0,G1494,SUMIFS(Data!$R$10:$R$3209,Data!$Q$10:$Q$3209,"&gt;="&amp;$A1495,Data!$Q$10:$Q$3209,"&lt;"&amp;$A1495+1)/$AH1495)))</f>
        <v/>
      </c>
      <c r="I1495" s="54">
        <f>IF($B1495=0,NA(),IF($C1495="",NA(),IF(C$8="",NA(),IF(N(C$8)=0,NA(),IF(Inputs!$C$17="Rebased to 100",$C1495/C$8*100,$C1495)))))</f>
        <v/>
      </c>
      <c r="J1495" s="54">
        <f>IF($B1495=0,NA(),IF($D1495="",NA(),IF(D$8="",NA(),IF(N(D$8)=0,NA(),IF(Inputs!$C$17="Rebased to 100",$D1495/D$8*100,$D1495)))))</f>
        <v/>
      </c>
      <c r="K1495" s="54">
        <f>IF($B1495=0,NA(),IF($E1495="",NA(),IF(E$8="",NA(),IF(N(E$8)=0,NA(),IF(Inputs!$C$17="Rebased to 100",$E1495/E$8*100,$E1495)))))</f>
        <v/>
      </c>
      <c r="L1495" s="54">
        <f>IF($B1495=0,NA(),IF($F1495="",NA(),IF(F$8="",NA(),IF(N(F$8)=0,NA(),IF(Inputs!$C$17="Rebased to 100",$F1495/F$8*100,$F1495)))))</f>
        <v/>
      </c>
      <c r="M1495" s="54">
        <f>IF($B1495=0,NA(),IF($G1495="",NA(),IF(G$8="",NA(),IF(N(G$8)=0,NA(),IF(Inputs!$C$17="Rebased to 100",$G1495/G$8*100,$G1495)))))</f>
        <v/>
      </c>
      <c r="N1495" s="54">
        <f>IF($B1495=0,NA(),IF(Inputs!$C$18&lt;&gt;"Yes",NA(),IF(COUNT(I1495,J1495,K1495,L1495,M1495)=0,NA(),MIN(I1495,J1495,K1495,L1495,M1495))))</f>
        <v/>
      </c>
      <c r="O1495" s="54">
        <f>IF($B1495=0,NA(),IF(Inputs!$B$24&lt;&gt;"Yes",NA(),Inputs!$D$24*Inputs!$C$35))</f>
        <v/>
      </c>
      <c r="P1495" s="54">
        <f>IF($B1495=0,NA(),IF(Inputs!$B$25&lt;&gt;"Yes",NA(),Inputs!$D$25*Inputs!$C$35))</f>
        <v/>
      </c>
      <c r="Q1495" s="54">
        <f>IF($B1495=0,NA(),IF(Inputs!$B$26&lt;&gt;"Yes",NA(),Inputs!$D$26*Inputs!$C$35))</f>
        <v/>
      </c>
      <c r="R1495" s="54">
        <f>IF($B1495=0,NA(),IF(Inputs!$B$27&lt;&gt;"Yes",NA(),Inputs!$D$27*Inputs!$C$35))</f>
        <v/>
      </c>
      <c r="S1495" s="54">
        <f>IF($B1495=0,NA(),IF(Inputs!$B$28&lt;&gt;"Yes",NA(),Inputs!$D$28*Inputs!$C$35))</f>
        <v/>
      </c>
      <c r="T1495" s="54">
        <f>IF($B1495=0,NA(),IF(Inputs!$B$29&lt;&gt;"Yes",NA(),Inputs!$D$29*Inputs!$C$35))</f>
        <v/>
      </c>
      <c r="AD1495">
        <f>IF($B1495=0,0,IF(Inputs!$B$6="",0,COUNTIFS(Data!$A$10:$A$3209,"&gt;="&amp;$A1495,Data!$A$10:$A$3209,"&lt;"&amp;$A1495+1)))</f>
        <v/>
      </c>
      <c r="AE1495">
        <f>IF($B1495=0,0,IF(Inputs!$B$7="",0,COUNTIFS(Data!$E$10:$E$3209,"&gt;="&amp;$A1495,Data!$E$10:$E$3209,"&lt;"&amp;$A1495+1)))</f>
        <v/>
      </c>
      <c r="AF1495">
        <f>IF($B1495=0,0,IF(Inputs!$B$8="",0,COUNTIFS(Data!$I$10:$I$3209,"&gt;="&amp;$A1495,Data!$I$10:$I$3209,"&lt;"&amp;$A1495+1)))</f>
        <v/>
      </c>
      <c r="AG1495">
        <f>IF($B1495=0,0,IF(Inputs!$B$9="",0,COUNTIFS(Data!$M$10:$M$3209,"&gt;="&amp;$A1495,Data!$M$10:$M$3209,"&lt;"&amp;$A1495+1)))</f>
        <v/>
      </c>
      <c r="AH1495">
        <f>IF($B1495=0,0,IF(Inputs!$B$10="",0,COUNTIFS(Data!$Q$10:$Q$3209,"&gt;="&amp;$A1495,Data!$Q$10:$Q$3209,"&lt;"&amp;$A1495+1)))</f>
        <v/>
      </c>
    </row>
    <row r="1496">
      <c r="A1496" s="55">
        <f>MIN(Inputs!$C$15,$A1495+IF(WEEKDAY($A1495,2)=5,3,1))</f>
        <v/>
      </c>
      <c r="B1496">
        <f>IF($A1496&gt;$A1495,1,0)</f>
        <v/>
      </c>
      <c r="C1496" s="56">
        <f>IF($B1496=0,"",IF(Inputs!$B$6="","",IF($AD1496=0,C1495,SUMIFS(Data!$B$10:$B$3209,Data!$A$10:$A$3209,"&gt;="&amp;$A1496,Data!$A$10:$A$3209,"&lt;"&amp;$A1496+1)/$AD1496)))</f>
        <v/>
      </c>
      <c r="D1496" s="56">
        <f>IF($B1496=0,"",IF(Inputs!$B$7="","",IF($AE1496=0,D1495,SUMIFS(Data!$F$10:$F$3209,Data!$E$10:$E$3209,"&gt;="&amp;$A1496,Data!$E$10:$E$3209,"&lt;"&amp;$A1496+1)/$AE1496)))</f>
        <v/>
      </c>
      <c r="E1496" s="56">
        <f>IF($B1496=0,"",IF(Inputs!$B$8="","",IF($AF1496=0,E1495,SUMIFS(Data!$J$10:$J$3209,Data!$I$10:$I$3209,"&gt;="&amp;$A1496,Data!$I$10:$I$3209,"&lt;"&amp;$A1496+1)/$AF1496)))</f>
        <v/>
      </c>
      <c r="F1496" s="56">
        <f>IF($B1496=0,"",IF(Inputs!$B$9="","",IF($AG1496=0,F1495,SUMIFS(Data!$N$10:$N$3209,Data!$M$10:$M$3209,"&gt;="&amp;$A1496,Data!$M$10:$M$3209,"&lt;"&amp;$A1496+1)/$AG1496)))</f>
        <v/>
      </c>
      <c r="G1496" s="56">
        <f>IF($B1496=0,"",IF(Inputs!$B$10="","",IF($AH1496=0,G1495,SUMIFS(Data!$R$10:$R$3209,Data!$Q$10:$Q$3209,"&gt;="&amp;$A1496,Data!$Q$10:$Q$3209,"&lt;"&amp;$A1496+1)/$AH1496)))</f>
        <v/>
      </c>
      <c r="I1496" s="54">
        <f>IF($B1496=0,NA(),IF($C1496="",NA(),IF(C$8="",NA(),IF(N(C$8)=0,NA(),IF(Inputs!$C$17="Rebased to 100",$C1496/C$8*100,$C1496)))))</f>
        <v/>
      </c>
      <c r="J1496" s="54">
        <f>IF($B1496=0,NA(),IF($D1496="",NA(),IF(D$8="",NA(),IF(N(D$8)=0,NA(),IF(Inputs!$C$17="Rebased to 100",$D1496/D$8*100,$D1496)))))</f>
        <v/>
      </c>
      <c r="K1496" s="54">
        <f>IF($B1496=0,NA(),IF($E1496="",NA(),IF(E$8="",NA(),IF(N(E$8)=0,NA(),IF(Inputs!$C$17="Rebased to 100",$E1496/E$8*100,$E1496)))))</f>
        <v/>
      </c>
      <c r="L1496" s="54">
        <f>IF($B1496=0,NA(),IF($F1496="",NA(),IF(F$8="",NA(),IF(N(F$8)=0,NA(),IF(Inputs!$C$17="Rebased to 100",$F1496/F$8*100,$F1496)))))</f>
        <v/>
      </c>
      <c r="M1496" s="54">
        <f>IF($B1496=0,NA(),IF($G1496="",NA(),IF(G$8="",NA(),IF(N(G$8)=0,NA(),IF(Inputs!$C$17="Rebased to 100",$G1496/G$8*100,$G1496)))))</f>
        <v/>
      </c>
      <c r="N1496" s="54">
        <f>IF($B1496=0,NA(),IF(Inputs!$C$18&lt;&gt;"Yes",NA(),IF(COUNT(I1496,J1496,K1496,L1496,M1496)=0,NA(),MIN(I1496,J1496,K1496,L1496,M1496))))</f>
        <v/>
      </c>
      <c r="O1496" s="54">
        <f>IF($B1496=0,NA(),IF(Inputs!$B$24&lt;&gt;"Yes",NA(),Inputs!$D$24*Inputs!$C$35))</f>
        <v/>
      </c>
      <c r="P1496" s="54">
        <f>IF($B1496=0,NA(),IF(Inputs!$B$25&lt;&gt;"Yes",NA(),Inputs!$D$25*Inputs!$C$35))</f>
        <v/>
      </c>
      <c r="Q1496" s="54">
        <f>IF($B1496=0,NA(),IF(Inputs!$B$26&lt;&gt;"Yes",NA(),Inputs!$D$26*Inputs!$C$35))</f>
        <v/>
      </c>
      <c r="R1496" s="54">
        <f>IF($B1496=0,NA(),IF(Inputs!$B$27&lt;&gt;"Yes",NA(),Inputs!$D$27*Inputs!$C$35))</f>
        <v/>
      </c>
      <c r="S1496" s="54">
        <f>IF($B1496=0,NA(),IF(Inputs!$B$28&lt;&gt;"Yes",NA(),Inputs!$D$28*Inputs!$C$35))</f>
        <v/>
      </c>
      <c r="T1496" s="54">
        <f>IF($B1496=0,NA(),IF(Inputs!$B$29&lt;&gt;"Yes",NA(),Inputs!$D$29*Inputs!$C$35))</f>
        <v/>
      </c>
      <c r="AD1496">
        <f>IF($B1496=0,0,IF(Inputs!$B$6="",0,COUNTIFS(Data!$A$10:$A$3209,"&gt;="&amp;$A1496,Data!$A$10:$A$3209,"&lt;"&amp;$A1496+1)))</f>
        <v/>
      </c>
      <c r="AE1496">
        <f>IF($B1496=0,0,IF(Inputs!$B$7="",0,COUNTIFS(Data!$E$10:$E$3209,"&gt;="&amp;$A1496,Data!$E$10:$E$3209,"&lt;"&amp;$A1496+1)))</f>
        <v/>
      </c>
      <c r="AF1496">
        <f>IF($B1496=0,0,IF(Inputs!$B$8="",0,COUNTIFS(Data!$I$10:$I$3209,"&gt;="&amp;$A1496,Data!$I$10:$I$3209,"&lt;"&amp;$A1496+1)))</f>
        <v/>
      </c>
      <c r="AG1496">
        <f>IF($B1496=0,0,IF(Inputs!$B$9="",0,COUNTIFS(Data!$M$10:$M$3209,"&gt;="&amp;$A1496,Data!$M$10:$M$3209,"&lt;"&amp;$A1496+1)))</f>
        <v/>
      </c>
      <c r="AH1496">
        <f>IF($B1496=0,0,IF(Inputs!$B$10="",0,COUNTIFS(Data!$Q$10:$Q$3209,"&gt;="&amp;$A1496,Data!$Q$10:$Q$3209,"&lt;"&amp;$A1496+1)))</f>
        <v/>
      </c>
    </row>
    <row r="1497">
      <c r="A1497" s="55">
        <f>MIN(Inputs!$C$15,$A1496+IF(WEEKDAY($A1496,2)=5,3,1))</f>
        <v/>
      </c>
      <c r="B1497">
        <f>IF($A1497&gt;$A1496,1,0)</f>
        <v/>
      </c>
      <c r="C1497" s="56">
        <f>IF($B1497=0,"",IF(Inputs!$B$6="","",IF($AD1497=0,C1496,SUMIFS(Data!$B$10:$B$3209,Data!$A$10:$A$3209,"&gt;="&amp;$A1497,Data!$A$10:$A$3209,"&lt;"&amp;$A1497+1)/$AD1497)))</f>
        <v/>
      </c>
      <c r="D1497" s="56">
        <f>IF($B1497=0,"",IF(Inputs!$B$7="","",IF($AE1497=0,D1496,SUMIFS(Data!$F$10:$F$3209,Data!$E$10:$E$3209,"&gt;="&amp;$A1497,Data!$E$10:$E$3209,"&lt;"&amp;$A1497+1)/$AE1497)))</f>
        <v/>
      </c>
      <c r="E1497" s="56">
        <f>IF($B1497=0,"",IF(Inputs!$B$8="","",IF($AF1497=0,E1496,SUMIFS(Data!$J$10:$J$3209,Data!$I$10:$I$3209,"&gt;="&amp;$A1497,Data!$I$10:$I$3209,"&lt;"&amp;$A1497+1)/$AF1497)))</f>
        <v/>
      </c>
      <c r="F1497" s="56">
        <f>IF($B1497=0,"",IF(Inputs!$B$9="","",IF($AG1497=0,F1496,SUMIFS(Data!$N$10:$N$3209,Data!$M$10:$M$3209,"&gt;="&amp;$A1497,Data!$M$10:$M$3209,"&lt;"&amp;$A1497+1)/$AG1497)))</f>
        <v/>
      </c>
      <c r="G1497" s="56">
        <f>IF($B1497=0,"",IF(Inputs!$B$10="","",IF($AH1497=0,G1496,SUMIFS(Data!$R$10:$R$3209,Data!$Q$10:$Q$3209,"&gt;="&amp;$A1497,Data!$Q$10:$Q$3209,"&lt;"&amp;$A1497+1)/$AH1497)))</f>
        <v/>
      </c>
      <c r="I1497" s="54">
        <f>IF($B1497=0,NA(),IF($C1497="",NA(),IF(C$8="",NA(),IF(N(C$8)=0,NA(),IF(Inputs!$C$17="Rebased to 100",$C1497/C$8*100,$C1497)))))</f>
        <v/>
      </c>
      <c r="J1497" s="54">
        <f>IF($B1497=0,NA(),IF($D1497="",NA(),IF(D$8="",NA(),IF(N(D$8)=0,NA(),IF(Inputs!$C$17="Rebased to 100",$D1497/D$8*100,$D1497)))))</f>
        <v/>
      </c>
      <c r="K1497" s="54">
        <f>IF($B1497=0,NA(),IF($E1497="",NA(),IF(E$8="",NA(),IF(N(E$8)=0,NA(),IF(Inputs!$C$17="Rebased to 100",$E1497/E$8*100,$E1497)))))</f>
        <v/>
      </c>
      <c r="L1497" s="54">
        <f>IF($B1497=0,NA(),IF($F1497="",NA(),IF(F$8="",NA(),IF(N(F$8)=0,NA(),IF(Inputs!$C$17="Rebased to 100",$F1497/F$8*100,$F1497)))))</f>
        <v/>
      </c>
      <c r="M1497" s="54">
        <f>IF($B1497=0,NA(),IF($G1497="",NA(),IF(G$8="",NA(),IF(N(G$8)=0,NA(),IF(Inputs!$C$17="Rebased to 100",$G1497/G$8*100,$G1497)))))</f>
        <v/>
      </c>
      <c r="N1497" s="54">
        <f>IF($B1497=0,NA(),IF(Inputs!$C$18&lt;&gt;"Yes",NA(),IF(COUNT(I1497,J1497,K1497,L1497,M1497)=0,NA(),MIN(I1497,J1497,K1497,L1497,M1497))))</f>
        <v/>
      </c>
      <c r="O1497" s="54">
        <f>IF($B1497=0,NA(),IF(Inputs!$B$24&lt;&gt;"Yes",NA(),Inputs!$D$24*Inputs!$C$35))</f>
        <v/>
      </c>
      <c r="P1497" s="54">
        <f>IF($B1497=0,NA(),IF(Inputs!$B$25&lt;&gt;"Yes",NA(),Inputs!$D$25*Inputs!$C$35))</f>
        <v/>
      </c>
      <c r="Q1497" s="54">
        <f>IF($B1497=0,NA(),IF(Inputs!$B$26&lt;&gt;"Yes",NA(),Inputs!$D$26*Inputs!$C$35))</f>
        <v/>
      </c>
      <c r="R1497" s="54">
        <f>IF($B1497=0,NA(),IF(Inputs!$B$27&lt;&gt;"Yes",NA(),Inputs!$D$27*Inputs!$C$35))</f>
        <v/>
      </c>
      <c r="S1497" s="54">
        <f>IF($B1497=0,NA(),IF(Inputs!$B$28&lt;&gt;"Yes",NA(),Inputs!$D$28*Inputs!$C$35))</f>
        <v/>
      </c>
      <c r="T1497" s="54">
        <f>IF($B1497=0,NA(),IF(Inputs!$B$29&lt;&gt;"Yes",NA(),Inputs!$D$29*Inputs!$C$35))</f>
        <v/>
      </c>
      <c r="AD1497">
        <f>IF($B1497=0,0,IF(Inputs!$B$6="",0,COUNTIFS(Data!$A$10:$A$3209,"&gt;="&amp;$A1497,Data!$A$10:$A$3209,"&lt;"&amp;$A1497+1)))</f>
        <v/>
      </c>
      <c r="AE1497">
        <f>IF($B1497=0,0,IF(Inputs!$B$7="",0,COUNTIFS(Data!$E$10:$E$3209,"&gt;="&amp;$A1497,Data!$E$10:$E$3209,"&lt;"&amp;$A1497+1)))</f>
        <v/>
      </c>
      <c r="AF1497">
        <f>IF($B1497=0,0,IF(Inputs!$B$8="",0,COUNTIFS(Data!$I$10:$I$3209,"&gt;="&amp;$A1497,Data!$I$10:$I$3209,"&lt;"&amp;$A1497+1)))</f>
        <v/>
      </c>
      <c r="AG1497">
        <f>IF($B1497=0,0,IF(Inputs!$B$9="",0,COUNTIFS(Data!$M$10:$M$3209,"&gt;="&amp;$A1497,Data!$M$10:$M$3209,"&lt;"&amp;$A1497+1)))</f>
        <v/>
      </c>
      <c r="AH1497">
        <f>IF($B1497=0,0,IF(Inputs!$B$10="",0,COUNTIFS(Data!$Q$10:$Q$3209,"&gt;="&amp;$A1497,Data!$Q$10:$Q$3209,"&lt;"&amp;$A1497+1)))</f>
        <v/>
      </c>
    </row>
    <row r="1498">
      <c r="A1498" s="55">
        <f>MIN(Inputs!$C$15,$A1497+IF(WEEKDAY($A1497,2)=5,3,1))</f>
        <v/>
      </c>
      <c r="B1498">
        <f>IF($A1498&gt;$A1497,1,0)</f>
        <v/>
      </c>
      <c r="C1498" s="56">
        <f>IF($B1498=0,"",IF(Inputs!$B$6="","",IF($AD1498=0,C1497,SUMIFS(Data!$B$10:$B$3209,Data!$A$10:$A$3209,"&gt;="&amp;$A1498,Data!$A$10:$A$3209,"&lt;"&amp;$A1498+1)/$AD1498)))</f>
        <v/>
      </c>
      <c r="D1498" s="56">
        <f>IF($B1498=0,"",IF(Inputs!$B$7="","",IF($AE1498=0,D1497,SUMIFS(Data!$F$10:$F$3209,Data!$E$10:$E$3209,"&gt;="&amp;$A1498,Data!$E$10:$E$3209,"&lt;"&amp;$A1498+1)/$AE1498)))</f>
        <v/>
      </c>
      <c r="E1498" s="56">
        <f>IF($B1498=0,"",IF(Inputs!$B$8="","",IF($AF1498=0,E1497,SUMIFS(Data!$J$10:$J$3209,Data!$I$10:$I$3209,"&gt;="&amp;$A1498,Data!$I$10:$I$3209,"&lt;"&amp;$A1498+1)/$AF1498)))</f>
        <v/>
      </c>
      <c r="F1498" s="56">
        <f>IF($B1498=0,"",IF(Inputs!$B$9="","",IF($AG1498=0,F1497,SUMIFS(Data!$N$10:$N$3209,Data!$M$10:$M$3209,"&gt;="&amp;$A1498,Data!$M$10:$M$3209,"&lt;"&amp;$A1498+1)/$AG1498)))</f>
        <v/>
      </c>
      <c r="G1498" s="56">
        <f>IF($B1498=0,"",IF(Inputs!$B$10="","",IF($AH1498=0,G1497,SUMIFS(Data!$R$10:$R$3209,Data!$Q$10:$Q$3209,"&gt;="&amp;$A1498,Data!$Q$10:$Q$3209,"&lt;"&amp;$A1498+1)/$AH1498)))</f>
        <v/>
      </c>
      <c r="I1498" s="54">
        <f>IF($B1498=0,NA(),IF($C1498="",NA(),IF(C$8="",NA(),IF(N(C$8)=0,NA(),IF(Inputs!$C$17="Rebased to 100",$C1498/C$8*100,$C1498)))))</f>
        <v/>
      </c>
      <c r="J1498" s="54">
        <f>IF($B1498=0,NA(),IF($D1498="",NA(),IF(D$8="",NA(),IF(N(D$8)=0,NA(),IF(Inputs!$C$17="Rebased to 100",$D1498/D$8*100,$D1498)))))</f>
        <v/>
      </c>
      <c r="K1498" s="54">
        <f>IF($B1498=0,NA(),IF($E1498="",NA(),IF(E$8="",NA(),IF(N(E$8)=0,NA(),IF(Inputs!$C$17="Rebased to 100",$E1498/E$8*100,$E1498)))))</f>
        <v/>
      </c>
      <c r="L1498" s="54">
        <f>IF($B1498=0,NA(),IF($F1498="",NA(),IF(F$8="",NA(),IF(N(F$8)=0,NA(),IF(Inputs!$C$17="Rebased to 100",$F1498/F$8*100,$F1498)))))</f>
        <v/>
      </c>
      <c r="M1498" s="54">
        <f>IF($B1498=0,NA(),IF($G1498="",NA(),IF(G$8="",NA(),IF(N(G$8)=0,NA(),IF(Inputs!$C$17="Rebased to 100",$G1498/G$8*100,$G1498)))))</f>
        <v/>
      </c>
      <c r="N1498" s="54">
        <f>IF($B1498=0,NA(),IF(Inputs!$C$18&lt;&gt;"Yes",NA(),IF(COUNT(I1498,J1498,K1498,L1498,M1498)=0,NA(),MIN(I1498,J1498,K1498,L1498,M1498))))</f>
        <v/>
      </c>
      <c r="O1498" s="54">
        <f>IF($B1498=0,NA(),IF(Inputs!$B$24&lt;&gt;"Yes",NA(),Inputs!$D$24*Inputs!$C$35))</f>
        <v/>
      </c>
      <c r="P1498" s="54">
        <f>IF($B1498=0,NA(),IF(Inputs!$B$25&lt;&gt;"Yes",NA(),Inputs!$D$25*Inputs!$C$35))</f>
        <v/>
      </c>
      <c r="Q1498" s="54">
        <f>IF($B1498=0,NA(),IF(Inputs!$B$26&lt;&gt;"Yes",NA(),Inputs!$D$26*Inputs!$C$35))</f>
        <v/>
      </c>
      <c r="R1498" s="54">
        <f>IF($B1498=0,NA(),IF(Inputs!$B$27&lt;&gt;"Yes",NA(),Inputs!$D$27*Inputs!$C$35))</f>
        <v/>
      </c>
      <c r="S1498" s="54">
        <f>IF($B1498=0,NA(),IF(Inputs!$B$28&lt;&gt;"Yes",NA(),Inputs!$D$28*Inputs!$C$35))</f>
        <v/>
      </c>
      <c r="T1498" s="54">
        <f>IF($B1498=0,NA(),IF(Inputs!$B$29&lt;&gt;"Yes",NA(),Inputs!$D$29*Inputs!$C$35))</f>
        <v/>
      </c>
      <c r="AD1498">
        <f>IF($B1498=0,0,IF(Inputs!$B$6="",0,COUNTIFS(Data!$A$10:$A$3209,"&gt;="&amp;$A1498,Data!$A$10:$A$3209,"&lt;"&amp;$A1498+1)))</f>
        <v/>
      </c>
      <c r="AE1498">
        <f>IF($B1498=0,0,IF(Inputs!$B$7="",0,COUNTIFS(Data!$E$10:$E$3209,"&gt;="&amp;$A1498,Data!$E$10:$E$3209,"&lt;"&amp;$A1498+1)))</f>
        <v/>
      </c>
      <c r="AF1498">
        <f>IF($B1498=0,0,IF(Inputs!$B$8="",0,COUNTIFS(Data!$I$10:$I$3209,"&gt;="&amp;$A1498,Data!$I$10:$I$3209,"&lt;"&amp;$A1498+1)))</f>
        <v/>
      </c>
      <c r="AG1498">
        <f>IF($B1498=0,0,IF(Inputs!$B$9="",0,COUNTIFS(Data!$M$10:$M$3209,"&gt;="&amp;$A1498,Data!$M$10:$M$3209,"&lt;"&amp;$A1498+1)))</f>
        <v/>
      </c>
      <c r="AH1498">
        <f>IF($B1498=0,0,IF(Inputs!$B$10="",0,COUNTIFS(Data!$Q$10:$Q$3209,"&gt;="&amp;$A1498,Data!$Q$10:$Q$3209,"&lt;"&amp;$A1498+1)))</f>
        <v/>
      </c>
    </row>
    <row r="1499">
      <c r="A1499" s="55">
        <f>MIN(Inputs!$C$15,$A1498+IF(WEEKDAY($A1498,2)=5,3,1))</f>
        <v/>
      </c>
      <c r="B1499">
        <f>IF($A1499&gt;$A1498,1,0)</f>
        <v/>
      </c>
      <c r="C1499" s="56">
        <f>IF($B1499=0,"",IF(Inputs!$B$6="","",IF($AD1499=0,C1498,SUMIFS(Data!$B$10:$B$3209,Data!$A$10:$A$3209,"&gt;="&amp;$A1499,Data!$A$10:$A$3209,"&lt;"&amp;$A1499+1)/$AD1499)))</f>
        <v/>
      </c>
      <c r="D1499" s="56">
        <f>IF($B1499=0,"",IF(Inputs!$B$7="","",IF($AE1499=0,D1498,SUMIFS(Data!$F$10:$F$3209,Data!$E$10:$E$3209,"&gt;="&amp;$A1499,Data!$E$10:$E$3209,"&lt;"&amp;$A1499+1)/$AE1499)))</f>
        <v/>
      </c>
      <c r="E1499" s="56">
        <f>IF($B1499=0,"",IF(Inputs!$B$8="","",IF($AF1499=0,E1498,SUMIFS(Data!$J$10:$J$3209,Data!$I$10:$I$3209,"&gt;="&amp;$A1499,Data!$I$10:$I$3209,"&lt;"&amp;$A1499+1)/$AF1499)))</f>
        <v/>
      </c>
      <c r="F1499" s="56">
        <f>IF($B1499=0,"",IF(Inputs!$B$9="","",IF($AG1499=0,F1498,SUMIFS(Data!$N$10:$N$3209,Data!$M$10:$M$3209,"&gt;="&amp;$A1499,Data!$M$10:$M$3209,"&lt;"&amp;$A1499+1)/$AG1499)))</f>
        <v/>
      </c>
      <c r="G1499" s="56">
        <f>IF($B1499=0,"",IF(Inputs!$B$10="","",IF($AH1499=0,G1498,SUMIFS(Data!$R$10:$R$3209,Data!$Q$10:$Q$3209,"&gt;="&amp;$A1499,Data!$Q$10:$Q$3209,"&lt;"&amp;$A1499+1)/$AH1499)))</f>
        <v/>
      </c>
      <c r="I1499" s="54">
        <f>IF($B1499=0,NA(),IF($C1499="",NA(),IF(C$8="",NA(),IF(N(C$8)=0,NA(),IF(Inputs!$C$17="Rebased to 100",$C1499/C$8*100,$C1499)))))</f>
        <v/>
      </c>
      <c r="J1499" s="54">
        <f>IF($B1499=0,NA(),IF($D1499="",NA(),IF(D$8="",NA(),IF(N(D$8)=0,NA(),IF(Inputs!$C$17="Rebased to 100",$D1499/D$8*100,$D1499)))))</f>
        <v/>
      </c>
      <c r="K1499" s="54">
        <f>IF($B1499=0,NA(),IF($E1499="",NA(),IF(E$8="",NA(),IF(N(E$8)=0,NA(),IF(Inputs!$C$17="Rebased to 100",$E1499/E$8*100,$E1499)))))</f>
        <v/>
      </c>
      <c r="L1499" s="54">
        <f>IF($B1499=0,NA(),IF($F1499="",NA(),IF(F$8="",NA(),IF(N(F$8)=0,NA(),IF(Inputs!$C$17="Rebased to 100",$F1499/F$8*100,$F1499)))))</f>
        <v/>
      </c>
      <c r="M1499" s="54">
        <f>IF($B1499=0,NA(),IF($G1499="",NA(),IF(G$8="",NA(),IF(N(G$8)=0,NA(),IF(Inputs!$C$17="Rebased to 100",$G1499/G$8*100,$G1499)))))</f>
        <v/>
      </c>
      <c r="N1499" s="54">
        <f>IF($B1499=0,NA(),IF(Inputs!$C$18&lt;&gt;"Yes",NA(),IF(COUNT(I1499,J1499,K1499,L1499,M1499)=0,NA(),MIN(I1499,J1499,K1499,L1499,M1499))))</f>
        <v/>
      </c>
      <c r="O1499" s="54">
        <f>IF($B1499=0,NA(),IF(Inputs!$B$24&lt;&gt;"Yes",NA(),Inputs!$D$24*Inputs!$C$35))</f>
        <v/>
      </c>
      <c r="P1499" s="54">
        <f>IF($B1499=0,NA(),IF(Inputs!$B$25&lt;&gt;"Yes",NA(),Inputs!$D$25*Inputs!$C$35))</f>
        <v/>
      </c>
      <c r="Q1499" s="54">
        <f>IF($B1499=0,NA(),IF(Inputs!$B$26&lt;&gt;"Yes",NA(),Inputs!$D$26*Inputs!$C$35))</f>
        <v/>
      </c>
      <c r="R1499" s="54">
        <f>IF($B1499=0,NA(),IF(Inputs!$B$27&lt;&gt;"Yes",NA(),Inputs!$D$27*Inputs!$C$35))</f>
        <v/>
      </c>
      <c r="S1499" s="54">
        <f>IF($B1499=0,NA(),IF(Inputs!$B$28&lt;&gt;"Yes",NA(),Inputs!$D$28*Inputs!$C$35))</f>
        <v/>
      </c>
      <c r="T1499" s="54">
        <f>IF($B1499=0,NA(),IF(Inputs!$B$29&lt;&gt;"Yes",NA(),Inputs!$D$29*Inputs!$C$35))</f>
        <v/>
      </c>
      <c r="AD1499">
        <f>IF($B1499=0,0,IF(Inputs!$B$6="",0,COUNTIFS(Data!$A$10:$A$3209,"&gt;="&amp;$A1499,Data!$A$10:$A$3209,"&lt;"&amp;$A1499+1)))</f>
        <v/>
      </c>
      <c r="AE1499">
        <f>IF($B1499=0,0,IF(Inputs!$B$7="",0,COUNTIFS(Data!$E$10:$E$3209,"&gt;="&amp;$A1499,Data!$E$10:$E$3209,"&lt;"&amp;$A1499+1)))</f>
        <v/>
      </c>
      <c r="AF1499">
        <f>IF($B1499=0,0,IF(Inputs!$B$8="",0,COUNTIFS(Data!$I$10:$I$3209,"&gt;="&amp;$A1499,Data!$I$10:$I$3209,"&lt;"&amp;$A1499+1)))</f>
        <v/>
      </c>
      <c r="AG1499">
        <f>IF($B1499=0,0,IF(Inputs!$B$9="",0,COUNTIFS(Data!$M$10:$M$3209,"&gt;="&amp;$A1499,Data!$M$10:$M$3209,"&lt;"&amp;$A1499+1)))</f>
        <v/>
      </c>
      <c r="AH1499">
        <f>IF($B1499=0,0,IF(Inputs!$B$10="",0,COUNTIFS(Data!$Q$10:$Q$3209,"&gt;="&amp;$A1499,Data!$Q$10:$Q$3209,"&lt;"&amp;$A1499+1)))</f>
        <v/>
      </c>
    </row>
    <row r="1500">
      <c r="A1500" s="55">
        <f>MIN(Inputs!$C$15,$A1499+IF(WEEKDAY($A1499,2)=5,3,1))</f>
        <v/>
      </c>
      <c r="B1500">
        <f>IF($A1500&gt;$A1499,1,0)</f>
        <v/>
      </c>
      <c r="C1500" s="56">
        <f>IF($B1500=0,"",IF(Inputs!$B$6="","",IF($AD1500=0,C1499,SUMIFS(Data!$B$10:$B$3209,Data!$A$10:$A$3209,"&gt;="&amp;$A1500,Data!$A$10:$A$3209,"&lt;"&amp;$A1500+1)/$AD1500)))</f>
        <v/>
      </c>
      <c r="D1500" s="56">
        <f>IF($B1500=0,"",IF(Inputs!$B$7="","",IF($AE1500=0,D1499,SUMIFS(Data!$F$10:$F$3209,Data!$E$10:$E$3209,"&gt;="&amp;$A1500,Data!$E$10:$E$3209,"&lt;"&amp;$A1500+1)/$AE1500)))</f>
        <v/>
      </c>
      <c r="E1500" s="56">
        <f>IF($B1500=0,"",IF(Inputs!$B$8="","",IF($AF1500=0,E1499,SUMIFS(Data!$J$10:$J$3209,Data!$I$10:$I$3209,"&gt;="&amp;$A1500,Data!$I$10:$I$3209,"&lt;"&amp;$A1500+1)/$AF1500)))</f>
        <v/>
      </c>
      <c r="F1500" s="56">
        <f>IF($B1500=0,"",IF(Inputs!$B$9="","",IF($AG1500=0,F1499,SUMIFS(Data!$N$10:$N$3209,Data!$M$10:$M$3209,"&gt;="&amp;$A1500,Data!$M$10:$M$3209,"&lt;"&amp;$A1500+1)/$AG1500)))</f>
        <v/>
      </c>
      <c r="G1500" s="56">
        <f>IF($B1500=0,"",IF(Inputs!$B$10="","",IF($AH1500=0,G1499,SUMIFS(Data!$R$10:$R$3209,Data!$Q$10:$Q$3209,"&gt;="&amp;$A1500,Data!$Q$10:$Q$3209,"&lt;"&amp;$A1500+1)/$AH1500)))</f>
        <v/>
      </c>
      <c r="I1500" s="54">
        <f>IF($B1500=0,NA(),IF($C1500="",NA(),IF(C$8="",NA(),IF(N(C$8)=0,NA(),IF(Inputs!$C$17="Rebased to 100",$C1500/C$8*100,$C1500)))))</f>
        <v/>
      </c>
      <c r="J1500" s="54">
        <f>IF($B1500=0,NA(),IF($D1500="",NA(),IF(D$8="",NA(),IF(N(D$8)=0,NA(),IF(Inputs!$C$17="Rebased to 100",$D1500/D$8*100,$D1500)))))</f>
        <v/>
      </c>
      <c r="K1500" s="54">
        <f>IF($B1500=0,NA(),IF($E1500="",NA(),IF(E$8="",NA(),IF(N(E$8)=0,NA(),IF(Inputs!$C$17="Rebased to 100",$E1500/E$8*100,$E1500)))))</f>
        <v/>
      </c>
      <c r="L1500" s="54">
        <f>IF($B1500=0,NA(),IF($F1500="",NA(),IF(F$8="",NA(),IF(N(F$8)=0,NA(),IF(Inputs!$C$17="Rebased to 100",$F1500/F$8*100,$F1500)))))</f>
        <v/>
      </c>
      <c r="M1500" s="54">
        <f>IF($B1500=0,NA(),IF($G1500="",NA(),IF(G$8="",NA(),IF(N(G$8)=0,NA(),IF(Inputs!$C$17="Rebased to 100",$G1500/G$8*100,$G1500)))))</f>
        <v/>
      </c>
      <c r="N1500" s="54">
        <f>IF($B1500=0,NA(),IF(Inputs!$C$18&lt;&gt;"Yes",NA(),IF(COUNT(I1500,J1500,K1500,L1500,M1500)=0,NA(),MIN(I1500,J1500,K1500,L1500,M1500))))</f>
        <v/>
      </c>
      <c r="O1500" s="54">
        <f>IF($B1500=0,NA(),IF(Inputs!$B$24&lt;&gt;"Yes",NA(),Inputs!$D$24*Inputs!$C$35))</f>
        <v/>
      </c>
      <c r="P1500" s="54">
        <f>IF($B1500=0,NA(),IF(Inputs!$B$25&lt;&gt;"Yes",NA(),Inputs!$D$25*Inputs!$C$35))</f>
        <v/>
      </c>
      <c r="Q1500" s="54">
        <f>IF($B1500=0,NA(),IF(Inputs!$B$26&lt;&gt;"Yes",NA(),Inputs!$D$26*Inputs!$C$35))</f>
        <v/>
      </c>
      <c r="R1500" s="54">
        <f>IF($B1500=0,NA(),IF(Inputs!$B$27&lt;&gt;"Yes",NA(),Inputs!$D$27*Inputs!$C$35))</f>
        <v/>
      </c>
      <c r="S1500" s="54">
        <f>IF($B1500=0,NA(),IF(Inputs!$B$28&lt;&gt;"Yes",NA(),Inputs!$D$28*Inputs!$C$35))</f>
        <v/>
      </c>
      <c r="T1500" s="54">
        <f>IF($B1500=0,NA(),IF(Inputs!$B$29&lt;&gt;"Yes",NA(),Inputs!$D$29*Inputs!$C$35))</f>
        <v/>
      </c>
      <c r="AD1500">
        <f>IF($B1500=0,0,IF(Inputs!$B$6="",0,COUNTIFS(Data!$A$10:$A$3209,"&gt;="&amp;$A1500,Data!$A$10:$A$3209,"&lt;"&amp;$A1500+1)))</f>
        <v/>
      </c>
      <c r="AE1500">
        <f>IF($B1500=0,0,IF(Inputs!$B$7="",0,COUNTIFS(Data!$E$10:$E$3209,"&gt;="&amp;$A1500,Data!$E$10:$E$3209,"&lt;"&amp;$A1500+1)))</f>
        <v/>
      </c>
      <c r="AF1500">
        <f>IF($B1500=0,0,IF(Inputs!$B$8="",0,COUNTIFS(Data!$I$10:$I$3209,"&gt;="&amp;$A1500,Data!$I$10:$I$3209,"&lt;"&amp;$A1500+1)))</f>
        <v/>
      </c>
      <c r="AG1500">
        <f>IF($B1500=0,0,IF(Inputs!$B$9="",0,COUNTIFS(Data!$M$10:$M$3209,"&gt;="&amp;$A1500,Data!$M$10:$M$3209,"&lt;"&amp;$A1500+1)))</f>
        <v/>
      </c>
      <c r="AH1500">
        <f>IF($B1500=0,0,IF(Inputs!$B$10="",0,COUNTIFS(Data!$Q$10:$Q$3209,"&gt;="&amp;$A1500,Data!$Q$10:$Q$3209,"&lt;"&amp;$A1500+1)))</f>
        <v/>
      </c>
    </row>
    <row r="1501">
      <c r="A1501" s="55">
        <f>MIN(Inputs!$C$15,$A1500+IF(WEEKDAY($A1500,2)=5,3,1))</f>
        <v/>
      </c>
      <c r="B1501">
        <f>IF($A1501&gt;$A1500,1,0)</f>
        <v/>
      </c>
      <c r="C1501" s="56">
        <f>IF($B1501=0,"",IF(Inputs!$B$6="","",IF($AD1501=0,C1500,SUMIFS(Data!$B$10:$B$3209,Data!$A$10:$A$3209,"&gt;="&amp;$A1501,Data!$A$10:$A$3209,"&lt;"&amp;$A1501+1)/$AD1501)))</f>
        <v/>
      </c>
      <c r="D1501" s="56">
        <f>IF($B1501=0,"",IF(Inputs!$B$7="","",IF($AE1501=0,D1500,SUMIFS(Data!$F$10:$F$3209,Data!$E$10:$E$3209,"&gt;="&amp;$A1501,Data!$E$10:$E$3209,"&lt;"&amp;$A1501+1)/$AE1501)))</f>
        <v/>
      </c>
      <c r="E1501" s="56">
        <f>IF($B1501=0,"",IF(Inputs!$B$8="","",IF($AF1501=0,E1500,SUMIFS(Data!$J$10:$J$3209,Data!$I$10:$I$3209,"&gt;="&amp;$A1501,Data!$I$10:$I$3209,"&lt;"&amp;$A1501+1)/$AF1501)))</f>
        <v/>
      </c>
      <c r="F1501" s="56">
        <f>IF($B1501=0,"",IF(Inputs!$B$9="","",IF($AG1501=0,F1500,SUMIFS(Data!$N$10:$N$3209,Data!$M$10:$M$3209,"&gt;="&amp;$A1501,Data!$M$10:$M$3209,"&lt;"&amp;$A1501+1)/$AG1501)))</f>
        <v/>
      </c>
      <c r="G1501" s="56">
        <f>IF($B1501=0,"",IF(Inputs!$B$10="","",IF($AH1501=0,G1500,SUMIFS(Data!$R$10:$R$3209,Data!$Q$10:$Q$3209,"&gt;="&amp;$A1501,Data!$Q$10:$Q$3209,"&lt;"&amp;$A1501+1)/$AH1501)))</f>
        <v/>
      </c>
      <c r="I1501" s="54">
        <f>IF($B1501=0,NA(),IF($C1501="",NA(),IF(C$8="",NA(),IF(N(C$8)=0,NA(),IF(Inputs!$C$17="Rebased to 100",$C1501/C$8*100,$C1501)))))</f>
        <v/>
      </c>
      <c r="J1501" s="54">
        <f>IF($B1501=0,NA(),IF($D1501="",NA(),IF(D$8="",NA(),IF(N(D$8)=0,NA(),IF(Inputs!$C$17="Rebased to 100",$D1501/D$8*100,$D1501)))))</f>
        <v/>
      </c>
      <c r="K1501" s="54">
        <f>IF($B1501=0,NA(),IF($E1501="",NA(),IF(E$8="",NA(),IF(N(E$8)=0,NA(),IF(Inputs!$C$17="Rebased to 100",$E1501/E$8*100,$E1501)))))</f>
        <v/>
      </c>
      <c r="L1501" s="54">
        <f>IF($B1501=0,NA(),IF($F1501="",NA(),IF(F$8="",NA(),IF(N(F$8)=0,NA(),IF(Inputs!$C$17="Rebased to 100",$F1501/F$8*100,$F1501)))))</f>
        <v/>
      </c>
      <c r="M1501" s="54">
        <f>IF($B1501=0,NA(),IF($G1501="",NA(),IF(G$8="",NA(),IF(N(G$8)=0,NA(),IF(Inputs!$C$17="Rebased to 100",$G1501/G$8*100,$G1501)))))</f>
        <v/>
      </c>
      <c r="N1501" s="54">
        <f>IF($B1501=0,NA(),IF(Inputs!$C$18&lt;&gt;"Yes",NA(),IF(COUNT(I1501,J1501,K1501,L1501,M1501)=0,NA(),MIN(I1501,J1501,K1501,L1501,M1501))))</f>
        <v/>
      </c>
      <c r="O1501" s="54">
        <f>IF($B1501=0,NA(),IF(Inputs!$B$24&lt;&gt;"Yes",NA(),Inputs!$D$24*Inputs!$C$35))</f>
        <v/>
      </c>
      <c r="P1501" s="54">
        <f>IF($B1501=0,NA(),IF(Inputs!$B$25&lt;&gt;"Yes",NA(),Inputs!$D$25*Inputs!$C$35))</f>
        <v/>
      </c>
      <c r="Q1501" s="54">
        <f>IF($B1501=0,NA(),IF(Inputs!$B$26&lt;&gt;"Yes",NA(),Inputs!$D$26*Inputs!$C$35))</f>
        <v/>
      </c>
      <c r="R1501" s="54">
        <f>IF($B1501=0,NA(),IF(Inputs!$B$27&lt;&gt;"Yes",NA(),Inputs!$D$27*Inputs!$C$35))</f>
        <v/>
      </c>
      <c r="S1501" s="54">
        <f>IF($B1501=0,NA(),IF(Inputs!$B$28&lt;&gt;"Yes",NA(),Inputs!$D$28*Inputs!$C$35))</f>
        <v/>
      </c>
      <c r="T1501" s="54">
        <f>IF($B1501=0,NA(),IF(Inputs!$B$29&lt;&gt;"Yes",NA(),Inputs!$D$29*Inputs!$C$35))</f>
        <v/>
      </c>
      <c r="AD1501">
        <f>IF($B1501=0,0,IF(Inputs!$B$6="",0,COUNTIFS(Data!$A$10:$A$3209,"&gt;="&amp;$A1501,Data!$A$10:$A$3209,"&lt;"&amp;$A1501+1)))</f>
        <v/>
      </c>
      <c r="AE1501">
        <f>IF($B1501=0,0,IF(Inputs!$B$7="",0,COUNTIFS(Data!$E$10:$E$3209,"&gt;="&amp;$A1501,Data!$E$10:$E$3209,"&lt;"&amp;$A1501+1)))</f>
        <v/>
      </c>
      <c r="AF1501">
        <f>IF($B1501=0,0,IF(Inputs!$B$8="",0,COUNTIFS(Data!$I$10:$I$3209,"&gt;="&amp;$A1501,Data!$I$10:$I$3209,"&lt;"&amp;$A1501+1)))</f>
        <v/>
      </c>
      <c r="AG1501">
        <f>IF($B1501=0,0,IF(Inputs!$B$9="",0,COUNTIFS(Data!$M$10:$M$3209,"&gt;="&amp;$A1501,Data!$M$10:$M$3209,"&lt;"&amp;$A1501+1)))</f>
        <v/>
      </c>
      <c r="AH1501">
        <f>IF($B1501=0,0,IF(Inputs!$B$10="",0,COUNTIFS(Data!$Q$10:$Q$3209,"&gt;="&amp;$A1501,Data!$Q$10:$Q$3209,"&lt;"&amp;$A1501+1)))</f>
        <v/>
      </c>
    </row>
    <row r="1502">
      <c r="A1502" s="55">
        <f>MIN(Inputs!$C$15,$A1501+IF(WEEKDAY($A1501,2)=5,3,1))</f>
        <v/>
      </c>
      <c r="B1502">
        <f>IF($A1502&gt;$A1501,1,0)</f>
        <v/>
      </c>
      <c r="C1502" s="56">
        <f>IF($B1502=0,"",IF(Inputs!$B$6="","",IF($AD1502=0,C1501,SUMIFS(Data!$B$10:$B$3209,Data!$A$10:$A$3209,"&gt;="&amp;$A1502,Data!$A$10:$A$3209,"&lt;"&amp;$A1502+1)/$AD1502)))</f>
        <v/>
      </c>
      <c r="D1502" s="56">
        <f>IF($B1502=0,"",IF(Inputs!$B$7="","",IF($AE1502=0,D1501,SUMIFS(Data!$F$10:$F$3209,Data!$E$10:$E$3209,"&gt;="&amp;$A1502,Data!$E$10:$E$3209,"&lt;"&amp;$A1502+1)/$AE1502)))</f>
        <v/>
      </c>
      <c r="E1502" s="56">
        <f>IF($B1502=0,"",IF(Inputs!$B$8="","",IF($AF1502=0,E1501,SUMIFS(Data!$J$10:$J$3209,Data!$I$10:$I$3209,"&gt;="&amp;$A1502,Data!$I$10:$I$3209,"&lt;"&amp;$A1502+1)/$AF1502)))</f>
        <v/>
      </c>
      <c r="F1502" s="56">
        <f>IF($B1502=0,"",IF(Inputs!$B$9="","",IF($AG1502=0,F1501,SUMIFS(Data!$N$10:$N$3209,Data!$M$10:$M$3209,"&gt;="&amp;$A1502,Data!$M$10:$M$3209,"&lt;"&amp;$A1502+1)/$AG1502)))</f>
        <v/>
      </c>
      <c r="G1502" s="56">
        <f>IF($B1502=0,"",IF(Inputs!$B$10="","",IF($AH1502=0,G1501,SUMIFS(Data!$R$10:$R$3209,Data!$Q$10:$Q$3209,"&gt;="&amp;$A1502,Data!$Q$10:$Q$3209,"&lt;"&amp;$A1502+1)/$AH1502)))</f>
        <v/>
      </c>
      <c r="I1502" s="54">
        <f>IF($B1502=0,NA(),IF($C1502="",NA(),IF(C$8="",NA(),IF(N(C$8)=0,NA(),IF(Inputs!$C$17="Rebased to 100",$C1502/C$8*100,$C1502)))))</f>
        <v/>
      </c>
      <c r="J1502" s="54">
        <f>IF($B1502=0,NA(),IF($D1502="",NA(),IF(D$8="",NA(),IF(N(D$8)=0,NA(),IF(Inputs!$C$17="Rebased to 100",$D1502/D$8*100,$D1502)))))</f>
        <v/>
      </c>
      <c r="K1502" s="54">
        <f>IF($B1502=0,NA(),IF($E1502="",NA(),IF(E$8="",NA(),IF(N(E$8)=0,NA(),IF(Inputs!$C$17="Rebased to 100",$E1502/E$8*100,$E1502)))))</f>
        <v/>
      </c>
      <c r="L1502" s="54">
        <f>IF($B1502=0,NA(),IF($F1502="",NA(),IF(F$8="",NA(),IF(N(F$8)=0,NA(),IF(Inputs!$C$17="Rebased to 100",$F1502/F$8*100,$F1502)))))</f>
        <v/>
      </c>
      <c r="M1502" s="54">
        <f>IF($B1502=0,NA(),IF($G1502="",NA(),IF(G$8="",NA(),IF(N(G$8)=0,NA(),IF(Inputs!$C$17="Rebased to 100",$G1502/G$8*100,$G1502)))))</f>
        <v/>
      </c>
      <c r="N1502" s="54">
        <f>IF($B1502=0,NA(),IF(Inputs!$C$18&lt;&gt;"Yes",NA(),IF(COUNT(I1502,J1502,K1502,L1502,M1502)=0,NA(),MIN(I1502,J1502,K1502,L1502,M1502))))</f>
        <v/>
      </c>
      <c r="O1502" s="54">
        <f>IF($B1502=0,NA(),IF(Inputs!$B$24&lt;&gt;"Yes",NA(),Inputs!$D$24*Inputs!$C$35))</f>
        <v/>
      </c>
      <c r="P1502" s="54">
        <f>IF($B1502=0,NA(),IF(Inputs!$B$25&lt;&gt;"Yes",NA(),Inputs!$D$25*Inputs!$C$35))</f>
        <v/>
      </c>
      <c r="Q1502" s="54">
        <f>IF($B1502=0,NA(),IF(Inputs!$B$26&lt;&gt;"Yes",NA(),Inputs!$D$26*Inputs!$C$35))</f>
        <v/>
      </c>
      <c r="R1502" s="54">
        <f>IF($B1502=0,NA(),IF(Inputs!$B$27&lt;&gt;"Yes",NA(),Inputs!$D$27*Inputs!$C$35))</f>
        <v/>
      </c>
      <c r="S1502" s="54">
        <f>IF($B1502=0,NA(),IF(Inputs!$B$28&lt;&gt;"Yes",NA(),Inputs!$D$28*Inputs!$C$35))</f>
        <v/>
      </c>
      <c r="T1502" s="54">
        <f>IF($B1502=0,NA(),IF(Inputs!$B$29&lt;&gt;"Yes",NA(),Inputs!$D$29*Inputs!$C$35))</f>
        <v/>
      </c>
      <c r="AD1502">
        <f>IF($B1502=0,0,IF(Inputs!$B$6="",0,COUNTIFS(Data!$A$10:$A$3209,"&gt;="&amp;$A1502,Data!$A$10:$A$3209,"&lt;"&amp;$A1502+1)))</f>
        <v/>
      </c>
      <c r="AE1502">
        <f>IF($B1502=0,0,IF(Inputs!$B$7="",0,COUNTIFS(Data!$E$10:$E$3209,"&gt;="&amp;$A1502,Data!$E$10:$E$3209,"&lt;"&amp;$A1502+1)))</f>
        <v/>
      </c>
      <c r="AF1502">
        <f>IF($B1502=0,0,IF(Inputs!$B$8="",0,COUNTIFS(Data!$I$10:$I$3209,"&gt;="&amp;$A1502,Data!$I$10:$I$3209,"&lt;"&amp;$A1502+1)))</f>
        <v/>
      </c>
      <c r="AG1502">
        <f>IF($B1502=0,0,IF(Inputs!$B$9="",0,COUNTIFS(Data!$M$10:$M$3209,"&gt;="&amp;$A1502,Data!$M$10:$M$3209,"&lt;"&amp;$A1502+1)))</f>
        <v/>
      </c>
      <c r="AH1502">
        <f>IF($B1502=0,0,IF(Inputs!$B$10="",0,COUNTIFS(Data!$Q$10:$Q$3209,"&gt;="&amp;$A1502,Data!$Q$10:$Q$3209,"&lt;"&amp;$A1502+1)))</f>
        <v/>
      </c>
    </row>
    <row r="1503">
      <c r="A1503" s="55">
        <f>MIN(Inputs!$C$15,$A1502+IF(WEEKDAY($A1502,2)=5,3,1))</f>
        <v/>
      </c>
      <c r="B1503">
        <f>IF($A1503&gt;$A1502,1,0)</f>
        <v/>
      </c>
      <c r="C1503" s="56">
        <f>IF($B1503=0,"",IF(Inputs!$B$6="","",IF($AD1503=0,C1502,SUMIFS(Data!$B$10:$B$3209,Data!$A$10:$A$3209,"&gt;="&amp;$A1503,Data!$A$10:$A$3209,"&lt;"&amp;$A1503+1)/$AD1503)))</f>
        <v/>
      </c>
      <c r="D1503" s="56">
        <f>IF($B1503=0,"",IF(Inputs!$B$7="","",IF($AE1503=0,D1502,SUMIFS(Data!$F$10:$F$3209,Data!$E$10:$E$3209,"&gt;="&amp;$A1503,Data!$E$10:$E$3209,"&lt;"&amp;$A1503+1)/$AE1503)))</f>
        <v/>
      </c>
      <c r="E1503" s="56">
        <f>IF($B1503=0,"",IF(Inputs!$B$8="","",IF($AF1503=0,E1502,SUMIFS(Data!$J$10:$J$3209,Data!$I$10:$I$3209,"&gt;="&amp;$A1503,Data!$I$10:$I$3209,"&lt;"&amp;$A1503+1)/$AF1503)))</f>
        <v/>
      </c>
      <c r="F1503" s="56">
        <f>IF($B1503=0,"",IF(Inputs!$B$9="","",IF($AG1503=0,F1502,SUMIFS(Data!$N$10:$N$3209,Data!$M$10:$M$3209,"&gt;="&amp;$A1503,Data!$M$10:$M$3209,"&lt;"&amp;$A1503+1)/$AG1503)))</f>
        <v/>
      </c>
      <c r="G1503" s="56">
        <f>IF($B1503=0,"",IF(Inputs!$B$10="","",IF($AH1503=0,G1502,SUMIFS(Data!$R$10:$R$3209,Data!$Q$10:$Q$3209,"&gt;="&amp;$A1503,Data!$Q$10:$Q$3209,"&lt;"&amp;$A1503+1)/$AH1503)))</f>
        <v/>
      </c>
      <c r="I1503" s="54">
        <f>IF($B1503=0,NA(),IF($C1503="",NA(),IF(C$8="",NA(),IF(N(C$8)=0,NA(),IF(Inputs!$C$17="Rebased to 100",$C1503/C$8*100,$C1503)))))</f>
        <v/>
      </c>
      <c r="J1503" s="54">
        <f>IF($B1503=0,NA(),IF($D1503="",NA(),IF(D$8="",NA(),IF(N(D$8)=0,NA(),IF(Inputs!$C$17="Rebased to 100",$D1503/D$8*100,$D1503)))))</f>
        <v/>
      </c>
      <c r="K1503" s="54">
        <f>IF($B1503=0,NA(),IF($E1503="",NA(),IF(E$8="",NA(),IF(N(E$8)=0,NA(),IF(Inputs!$C$17="Rebased to 100",$E1503/E$8*100,$E1503)))))</f>
        <v/>
      </c>
      <c r="L1503" s="54">
        <f>IF($B1503=0,NA(),IF($F1503="",NA(),IF(F$8="",NA(),IF(N(F$8)=0,NA(),IF(Inputs!$C$17="Rebased to 100",$F1503/F$8*100,$F1503)))))</f>
        <v/>
      </c>
      <c r="M1503" s="54">
        <f>IF($B1503=0,NA(),IF($G1503="",NA(),IF(G$8="",NA(),IF(N(G$8)=0,NA(),IF(Inputs!$C$17="Rebased to 100",$G1503/G$8*100,$G1503)))))</f>
        <v/>
      </c>
      <c r="N1503" s="54">
        <f>IF($B1503=0,NA(),IF(Inputs!$C$18&lt;&gt;"Yes",NA(),IF(COUNT(I1503,J1503,K1503,L1503,M1503)=0,NA(),MIN(I1503,J1503,K1503,L1503,M1503))))</f>
        <v/>
      </c>
      <c r="O1503" s="54">
        <f>IF($B1503=0,NA(),IF(Inputs!$B$24&lt;&gt;"Yes",NA(),Inputs!$D$24*Inputs!$C$35))</f>
        <v/>
      </c>
      <c r="P1503" s="54">
        <f>IF($B1503=0,NA(),IF(Inputs!$B$25&lt;&gt;"Yes",NA(),Inputs!$D$25*Inputs!$C$35))</f>
        <v/>
      </c>
      <c r="Q1503" s="54">
        <f>IF($B1503=0,NA(),IF(Inputs!$B$26&lt;&gt;"Yes",NA(),Inputs!$D$26*Inputs!$C$35))</f>
        <v/>
      </c>
      <c r="R1503" s="54">
        <f>IF($B1503=0,NA(),IF(Inputs!$B$27&lt;&gt;"Yes",NA(),Inputs!$D$27*Inputs!$C$35))</f>
        <v/>
      </c>
      <c r="S1503" s="54">
        <f>IF($B1503=0,NA(),IF(Inputs!$B$28&lt;&gt;"Yes",NA(),Inputs!$D$28*Inputs!$C$35))</f>
        <v/>
      </c>
      <c r="T1503" s="54">
        <f>IF($B1503=0,NA(),IF(Inputs!$B$29&lt;&gt;"Yes",NA(),Inputs!$D$29*Inputs!$C$35))</f>
        <v/>
      </c>
      <c r="AD1503">
        <f>IF($B1503=0,0,IF(Inputs!$B$6="",0,COUNTIFS(Data!$A$10:$A$3209,"&gt;="&amp;$A1503,Data!$A$10:$A$3209,"&lt;"&amp;$A1503+1)))</f>
        <v/>
      </c>
      <c r="AE1503">
        <f>IF($B1503=0,0,IF(Inputs!$B$7="",0,COUNTIFS(Data!$E$10:$E$3209,"&gt;="&amp;$A1503,Data!$E$10:$E$3209,"&lt;"&amp;$A1503+1)))</f>
        <v/>
      </c>
      <c r="AF1503">
        <f>IF($B1503=0,0,IF(Inputs!$B$8="",0,COUNTIFS(Data!$I$10:$I$3209,"&gt;="&amp;$A1503,Data!$I$10:$I$3209,"&lt;"&amp;$A1503+1)))</f>
        <v/>
      </c>
      <c r="AG1503">
        <f>IF($B1503=0,0,IF(Inputs!$B$9="",0,COUNTIFS(Data!$M$10:$M$3209,"&gt;="&amp;$A1503,Data!$M$10:$M$3209,"&lt;"&amp;$A1503+1)))</f>
        <v/>
      </c>
      <c r="AH1503">
        <f>IF($B1503=0,0,IF(Inputs!$B$10="",0,COUNTIFS(Data!$Q$10:$Q$3209,"&gt;="&amp;$A1503,Data!$Q$10:$Q$3209,"&lt;"&amp;$A1503+1)))</f>
        <v/>
      </c>
    </row>
    <row r="1504">
      <c r="A1504" s="55">
        <f>MIN(Inputs!$C$15,$A1503+IF(WEEKDAY($A1503,2)=5,3,1))</f>
        <v/>
      </c>
      <c r="B1504">
        <f>IF($A1504&gt;$A1503,1,0)</f>
        <v/>
      </c>
      <c r="C1504" s="56">
        <f>IF($B1504=0,"",IF(Inputs!$B$6="","",IF($AD1504=0,C1503,SUMIFS(Data!$B$10:$B$3209,Data!$A$10:$A$3209,"&gt;="&amp;$A1504,Data!$A$10:$A$3209,"&lt;"&amp;$A1504+1)/$AD1504)))</f>
        <v/>
      </c>
      <c r="D1504" s="56">
        <f>IF($B1504=0,"",IF(Inputs!$B$7="","",IF($AE1504=0,D1503,SUMIFS(Data!$F$10:$F$3209,Data!$E$10:$E$3209,"&gt;="&amp;$A1504,Data!$E$10:$E$3209,"&lt;"&amp;$A1504+1)/$AE1504)))</f>
        <v/>
      </c>
      <c r="E1504" s="56">
        <f>IF($B1504=0,"",IF(Inputs!$B$8="","",IF($AF1504=0,E1503,SUMIFS(Data!$J$10:$J$3209,Data!$I$10:$I$3209,"&gt;="&amp;$A1504,Data!$I$10:$I$3209,"&lt;"&amp;$A1504+1)/$AF1504)))</f>
        <v/>
      </c>
      <c r="F1504" s="56">
        <f>IF($B1504=0,"",IF(Inputs!$B$9="","",IF($AG1504=0,F1503,SUMIFS(Data!$N$10:$N$3209,Data!$M$10:$M$3209,"&gt;="&amp;$A1504,Data!$M$10:$M$3209,"&lt;"&amp;$A1504+1)/$AG1504)))</f>
        <v/>
      </c>
      <c r="G1504" s="56">
        <f>IF($B1504=0,"",IF(Inputs!$B$10="","",IF($AH1504=0,G1503,SUMIFS(Data!$R$10:$R$3209,Data!$Q$10:$Q$3209,"&gt;="&amp;$A1504,Data!$Q$10:$Q$3209,"&lt;"&amp;$A1504+1)/$AH1504)))</f>
        <v/>
      </c>
      <c r="I1504" s="54">
        <f>IF($B1504=0,NA(),IF($C1504="",NA(),IF(C$8="",NA(),IF(N(C$8)=0,NA(),IF(Inputs!$C$17="Rebased to 100",$C1504/C$8*100,$C1504)))))</f>
        <v/>
      </c>
      <c r="J1504" s="54">
        <f>IF($B1504=0,NA(),IF($D1504="",NA(),IF(D$8="",NA(),IF(N(D$8)=0,NA(),IF(Inputs!$C$17="Rebased to 100",$D1504/D$8*100,$D1504)))))</f>
        <v/>
      </c>
      <c r="K1504" s="54">
        <f>IF($B1504=0,NA(),IF($E1504="",NA(),IF(E$8="",NA(),IF(N(E$8)=0,NA(),IF(Inputs!$C$17="Rebased to 100",$E1504/E$8*100,$E1504)))))</f>
        <v/>
      </c>
      <c r="L1504" s="54">
        <f>IF($B1504=0,NA(),IF($F1504="",NA(),IF(F$8="",NA(),IF(N(F$8)=0,NA(),IF(Inputs!$C$17="Rebased to 100",$F1504/F$8*100,$F1504)))))</f>
        <v/>
      </c>
      <c r="M1504" s="54">
        <f>IF($B1504=0,NA(),IF($G1504="",NA(),IF(G$8="",NA(),IF(N(G$8)=0,NA(),IF(Inputs!$C$17="Rebased to 100",$G1504/G$8*100,$G1504)))))</f>
        <v/>
      </c>
      <c r="N1504" s="54">
        <f>IF($B1504=0,NA(),IF(Inputs!$C$18&lt;&gt;"Yes",NA(),IF(COUNT(I1504,J1504,K1504,L1504,M1504)=0,NA(),MIN(I1504,J1504,K1504,L1504,M1504))))</f>
        <v/>
      </c>
      <c r="O1504" s="54">
        <f>IF($B1504=0,NA(),IF(Inputs!$B$24&lt;&gt;"Yes",NA(),Inputs!$D$24*Inputs!$C$35))</f>
        <v/>
      </c>
      <c r="P1504" s="54">
        <f>IF($B1504=0,NA(),IF(Inputs!$B$25&lt;&gt;"Yes",NA(),Inputs!$D$25*Inputs!$C$35))</f>
        <v/>
      </c>
      <c r="Q1504" s="54">
        <f>IF($B1504=0,NA(),IF(Inputs!$B$26&lt;&gt;"Yes",NA(),Inputs!$D$26*Inputs!$C$35))</f>
        <v/>
      </c>
      <c r="R1504" s="54">
        <f>IF($B1504=0,NA(),IF(Inputs!$B$27&lt;&gt;"Yes",NA(),Inputs!$D$27*Inputs!$C$35))</f>
        <v/>
      </c>
      <c r="S1504" s="54">
        <f>IF($B1504=0,NA(),IF(Inputs!$B$28&lt;&gt;"Yes",NA(),Inputs!$D$28*Inputs!$C$35))</f>
        <v/>
      </c>
      <c r="T1504" s="54">
        <f>IF($B1504=0,NA(),IF(Inputs!$B$29&lt;&gt;"Yes",NA(),Inputs!$D$29*Inputs!$C$35))</f>
        <v/>
      </c>
      <c r="AD1504">
        <f>IF($B1504=0,0,IF(Inputs!$B$6="",0,COUNTIFS(Data!$A$10:$A$3209,"&gt;="&amp;$A1504,Data!$A$10:$A$3209,"&lt;"&amp;$A1504+1)))</f>
        <v/>
      </c>
      <c r="AE1504">
        <f>IF($B1504=0,0,IF(Inputs!$B$7="",0,COUNTIFS(Data!$E$10:$E$3209,"&gt;="&amp;$A1504,Data!$E$10:$E$3209,"&lt;"&amp;$A1504+1)))</f>
        <v/>
      </c>
      <c r="AF1504">
        <f>IF($B1504=0,0,IF(Inputs!$B$8="",0,COUNTIFS(Data!$I$10:$I$3209,"&gt;="&amp;$A1504,Data!$I$10:$I$3209,"&lt;"&amp;$A1504+1)))</f>
        <v/>
      </c>
      <c r="AG1504">
        <f>IF($B1504=0,0,IF(Inputs!$B$9="",0,COUNTIFS(Data!$M$10:$M$3209,"&gt;="&amp;$A1504,Data!$M$10:$M$3209,"&lt;"&amp;$A1504+1)))</f>
        <v/>
      </c>
      <c r="AH1504">
        <f>IF($B1504=0,0,IF(Inputs!$B$10="",0,COUNTIFS(Data!$Q$10:$Q$3209,"&gt;="&amp;$A1504,Data!$Q$10:$Q$3209,"&lt;"&amp;$A1504+1)))</f>
        <v/>
      </c>
    </row>
    <row r="1505">
      <c r="A1505" s="55">
        <f>MIN(Inputs!$C$15,$A1504+IF(WEEKDAY($A1504,2)=5,3,1))</f>
        <v/>
      </c>
      <c r="B1505">
        <f>IF($A1505&gt;$A1504,1,0)</f>
        <v/>
      </c>
      <c r="C1505" s="56">
        <f>IF($B1505=0,"",IF(Inputs!$B$6="","",IF($AD1505=0,C1504,SUMIFS(Data!$B$10:$B$3209,Data!$A$10:$A$3209,"&gt;="&amp;$A1505,Data!$A$10:$A$3209,"&lt;"&amp;$A1505+1)/$AD1505)))</f>
        <v/>
      </c>
      <c r="D1505" s="56">
        <f>IF($B1505=0,"",IF(Inputs!$B$7="","",IF($AE1505=0,D1504,SUMIFS(Data!$F$10:$F$3209,Data!$E$10:$E$3209,"&gt;="&amp;$A1505,Data!$E$10:$E$3209,"&lt;"&amp;$A1505+1)/$AE1505)))</f>
        <v/>
      </c>
      <c r="E1505" s="56">
        <f>IF($B1505=0,"",IF(Inputs!$B$8="","",IF($AF1505=0,E1504,SUMIFS(Data!$J$10:$J$3209,Data!$I$10:$I$3209,"&gt;="&amp;$A1505,Data!$I$10:$I$3209,"&lt;"&amp;$A1505+1)/$AF1505)))</f>
        <v/>
      </c>
      <c r="F1505" s="56">
        <f>IF($B1505=0,"",IF(Inputs!$B$9="","",IF($AG1505=0,F1504,SUMIFS(Data!$N$10:$N$3209,Data!$M$10:$M$3209,"&gt;="&amp;$A1505,Data!$M$10:$M$3209,"&lt;"&amp;$A1505+1)/$AG1505)))</f>
        <v/>
      </c>
      <c r="G1505" s="56">
        <f>IF($B1505=0,"",IF(Inputs!$B$10="","",IF($AH1505=0,G1504,SUMIFS(Data!$R$10:$R$3209,Data!$Q$10:$Q$3209,"&gt;="&amp;$A1505,Data!$Q$10:$Q$3209,"&lt;"&amp;$A1505+1)/$AH1505)))</f>
        <v/>
      </c>
      <c r="I1505" s="54">
        <f>IF($B1505=0,NA(),IF($C1505="",NA(),IF(C$8="",NA(),IF(N(C$8)=0,NA(),IF(Inputs!$C$17="Rebased to 100",$C1505/C$8*100,$C1505)))))</f>
        <v/>
      </c>
      <c r="J1505" s="54">
        <f>IF($B1505=0,NA(),IF($D1505="",NA(),IF(D$8="",NA(),IF(N(D$8)=0,NA(),IF(Inputs!$C$17="Rebased to 100",$D1505/D$8*100,$D1505)))))</f>
        <v/>
      </c>
      <c r="K1505" s="54">
        <f>IF($B1505=0,NA(),IF($E1505="",NA(),IF(E$8="",NA(),IF(N(E$8)=0,NA(),IF(Inputs!$C$17="Rebased to 100",$E1505/E$8*100,$E1505)))))</f>
        <v/>
      </c>
      <c r="L1505" s="54">
        <f>IF($B1505=0,NA(),IF($F1505="",NA(),IF(F$8="",NA(),IF(N(F$8)=0,NA(),IF(Inputs!$C$17="Rebased to 100",$F1505/F$8*100,$F1505)))))</f>
        <v/>
      </c>
      <c r="M1505" s="54">
        <f>IF($B1505=0,NA(),IF($G1505="",NA(),IF(G$8="",NA(),IF(N(G$8)=0,NA(),IF(Inputs!$C$17="Rebased to 100",$G1505/G$8*100,$G1505)))))</f>
        <v/>
      </c>
      <c r="N1505" s="54">
        <f>IF($B1505=0,NA(),IF(Inputs!$C$18&lt;&gt;"Yes",NA(),IF(COUNT(I1505,J1505,K1505,L1505,M1505)=0,NA(),MIN(I1505,J1505,K1505,L1505,M1505))))</f>
        <v/>
      </c>
      <c r="O1505" s="54">
        <f>IF($B1505=0,NA(),IF(Inputs!$B$24&lt;&gt;"Yes",NA(),Inputs!$D$24*Inputs!$C$35))</f>
        <v/>
      </c>
      <c r="P1505" s="54">
        <f>IF($B1505=0,NA(),IF(Inputs!$B$25&lt;&gt;"Yes",NA(),Inputs!$D$25*Inputs!$C$35))</f>
        <v/>
      </c>
      <c r="Q1505" s="54">
        <f>IF($B1505=0,NA(),IF(Inputs!$B$26&lt;&gt;"Yes",NA(),Inputs!$D$26*Inputs!$C$35))</f>
        <v/>
      </c>
      <c r="R1505" s="54">
        <f>IF($B1505=0,NA(),IF(Inputs!$B$27&lt;&gt;"Yes",NA(),Inputs!$D$27*Inputs!$C$35))</f>
        <v/>
      </c>
      <c r="S1505" s="54">
        <f>IF($B1505=0,NA(),IF(Inputs!$B$28&lt;&gt;"Yes",NA(),Inputs!$D$28*Inputs!$C$35))</f>
        <v/>
      </c>
      <c r="T1505" s="54">
        <f>IF($B1505=0,NA(),IF(Inputs!$B$29&lt;&gt;"Yes",NA(),Inputs!$D$29*Inputs!$C$35))</f>
        <v/>
      </c>
      <c r="AD1505">
        <f>IF($B1505=0,0,IF(Inputs!$B$6="",0,COUNTIFS(Data!$A$10:$A$3209,"&gt;="&amp;$A1505,Data!$A$10:$A$3209,"&lt;"&amp;$A1505+1)))</f>
        <v/>
      </c>
      <c r="AE1505">
        <f>IF($B1505=0,0,IF(Inputs!$B$7="",0,COUNTIFS(Data!$E$10:$E$3209,"&gt;="&amp;$A1505,Data!$E$10:$E$3209,"&lt;"&amp;$A1505+1)))</f>
        <v/>
      </c>
      <c r="AF1505">
        <f>IF($B1505=0,0,IF(Inputs!$B$8="",0,COUNTIFS(Data!$I$10:$I$3209,"&gt;="&amp;$A1505,Data!$I$10:$I$3209,"&lt;"&amp;$A1505+1)))</f>
        <v/>
      </c>
      <c r="AG1505">
        <f>IF($B1505=0,0,IF(Inputs!$B$9="",0,COUNTIFS(Data!$M$10:$M$3209,"&gt;="&amp;$A1505,Data!$M$10:$M$3209,"&lt;"&amp;$A1505+1)))</f>
        <v/>
      </c>
      <c r="AH1505">
        <f>IF($B1505=0,0,IF(Inputs!$B$10="",0,COUNTIFS(Data!$Q$10:$Q$3209,"&gt;="&amp;$A1505,Data!$Q$10:$Q$3209,"&lt;"&amp;$A1505+1)))</f>
        <v/>
      </c>
    </row>
    <row r="1506">
      <c r="A1506" s="55">
        <f>MIN(Inputs!$C$15,$A1505+IF(WEEKDAY($A1505,2)=5,3,1))</f>
        <v/>
      </c>
      <c r="B1506">
        <f>IF($A1506&gt;$A1505,1,0)</f>
        <v/>
      </c>
      <c r="C1506" s="56">
        <f>IF($B1506=0,"",IF(Inputs!$B$6="","",IF($AD1506=0,C1505,SUMIFS(Data!$B$10:$B$3209,Data!$A$10:$A$3209,"&gt;="&amp;$A1506,Data!$A$10:$A$3209,"&lt;"&amp;$A1506+1)/$AD1506)))</f>
        <v/>
      </c>
      <c r="D1506" s="56">
        <f>IF($B1506=0,"",IF(Inputs!$B$7="","",IF($AE1506=0,D1505,SUMIFS(Data!$F$10:$F$3209,Data!$E$10:$E$3209,"&gt;="&amp;$A1506,Data!$E$10:$E$3209,"&lt;"&amp;$A1506+1)/$AE1506)))</f>
        <v/>
      </c>
      <c r="E1506" s="56">
        <f>IF($B1506=0,"",IF(Inputs!$B$8="","",IF($AF1506=0,E1505,SUMIFS(Data!$J$10:$J$3209,Data!$I$10:$I$3209,"&gt;="&amp;$A1506,Data!$I$10:$I$3209,"&lt;"&amp;$A1506+1)/$AF1506)))</f>
        <v/>
      </c>
      <c r="F1506" s="56">
        <f>IF($B1506=0,"",IF(Inputs!$B$9="","",IF($AG1506=0,F1505,SUMIFS(Data!$N$10:$N$3209,Data!$M$10:$M$3209,"&gt;="&amp;$A1506,Data!$M$10:$M$3209,"&lt;"&amp;$A1506+1)/$AG1506)))</f>
        <v/>
      </c>
      <c r="G1506" s="56">
        <f>IF($B1506=0,"",IF(Inputs!$B$10="","",IF($AH1506=0,G1505,SUMIFS(Data!$R$10:$R$3209,Data!$Q$10:$Q$3209,"&gt;="&amp;$A1506,Data!$Q$10:$Q$3209,"&lt;"&amp;$A1506+1)/$AH1506)))</f>
        <v/>
      </c>
      <c r="I1506" s="54">
        <f>IF($B1506=0,NA(),IF($C1506="",NA(),IF(C$8="",NA(),IF(N(C$8)=0,NA(),IF(Inputs!$C$17="Rebased to 100",$C1506/C$8*100,$C1506)))))</f>
        <v/>
      </c>
      <c r="J1506" s="54">
        <f>IF($B1506=0,NA(),IF($D1506="",NA(),IF(D$8="",NA(),IF(N(D$8)=0,NA(),IF(Inputs!$C$17="Rebased to 100",$D1506/D$8*100,$D1506)))))</f>
        <v/>
      </c>
      <c r="K1506" s="54">
        <f>IF($B1506=0,NA(),IF($E1506="",NA(),IF(E$8="",NA(),IF(N(E$8)=0,NA(),IF(Inputs!$C$17="Rebased to 100",$E1506/E$8*100,$E1506)))))</f>
        <v/>
      </c>
      <c r="L1506" s="54">
        <f>IF($B1506=0,NA(),IF($F1506="",NA(),IF(F$8="",NA(),IF(N(F$8)=0,NA(),IF(Inputs!$C$17="Rebased to 100",$F1506/F$8*100,$F1506)))))</f>
        <v/>
      </c>
      <c r="M1506" s="54">
        <f>IF($B1506=0,NA(),IF($G1506="",NA(),IF(G$8="",NA(),IF(N(G$8)=0,NA(),IF(Inputs!$C$17="Rebased to 100",$G1506/G$8*100,$G1506)))))</f>
        <v/>
      </c>
      <c r="N1506" s="54">
        <f>IF($B1506=0,NA(),IF(Inputs!$C$18&lt;&gt;"Yes",NA(),IF(COUNT(I1506,J1506,K1506,L1506,M1506)=0,NA(),MIN(I1506,J1506,K1506,L1506,M1506))))</f>
        <v/>
      </c>
      <c r="O1506" s="54">
        <f>IF($B1506=0,NA(),IF(Inputs!$B$24&lt;&gt;"Yes",NA(),Inputs!$D$24*Inputs!$C$35))</f>
        <v/>
      </c>
      <c r="P1506" s="54">
        <f>IF($B1506=0,NA(),IF(Inputs!$B$25&lt;&gt;"Yes",NA(),Inputs!$D$25*Inputs!$C$35))</f>
        <v/>
      </c>
      <c r="Q1506" s="54">
        <f>IF($B1506=0,NA(),IF(Inputs!$B$26&lt;&gt;"Yes",NA(),Inputs!$D$26*Inputs!$C$35))</f>
        <v/>
      </c>
      <c r="R1506" s="54">
        <f>IF($B1506=0,NA(),IF(Inputs!$B$27&lt;&gt;"Yes",NA(),Inputs!$D$27*Inputs!$C$35))</f>
        <v/>
      </c>
      <c r="S1506" s="54">
        <f>IF($B1506=0,NA(),IF(Inputs!$B$28&lt;&gt;"Yes",NA(),Inputs!$D$28*Inputs!$C$35))</f>
        <v/>
      </c>
      <c r="T1506" s="54">
        <f>IF($B1506=0,NA(),IF(Inputs!$B$29&lt;&gt;"Yes",NA(),Inputs!$D$29*Inputs!$C$35))</f>
        <v/>
      </c>
      <c r="AD1506">
        <f>IF($B1506=0,0,IF(Inputs!$B$6="",0,COUNTIFS(Data!$A$10:$A$3209,"&gt;="&amp;$A1506,Data!$A$10:$A$3209,"&lt;"&amp;$A1506+1)))</f>
        <v/>
      </c>
      <c r="AE1506">
        <f>IF($B1506=0,0,IF(Inputs!$B$7="",0,COUNTIFS(Data!$E$10:$E$3209,"&gt;="&amp;$A1506,Data!$E$10:$E$3209,"&lt;"&amp;$A1506+1)))</f>
        <v/>
      </c>
      <c r="AF1506">
        <f>IF($B1506=0,0,IF(Inputs!$B$8="",0,COUNTIFS(Data!$I$10:$I$3209,"&gt;="&amp;$A1506,Data!$I$10:$I$3209,"&lt;"&amp;$A1506+1)))</f>
        <v/>
      </c>
      <c r="AG1506">
        <f>IF($B1506=0,0,IF(Inputs!$B$9="",0,COUNTIFS(Data!$M$10:$M$3209,"&gt;="&amp;$A1506,Data!$M$10:$M$3209,"&lt;"&amp;$A1506+1)))</f>
        <v/>
      </c>
      <c r="AH1506">
        <f>IF($B1506=0,0,IF(Inputs!$B$10="",0,COUNTIFS(Data!$Q$10:$Q$3209,"&gt;="&amp;$A1506,Data!$Q$10:$Q$3209,"&lt;"&amp;$A1506+1)))</f>
        <v/>
      </c>
    </row>
    <row r="1507">
      <c r="A1507" s="55">
        <f>MIN(Inputs!$C$15,$A1506+IF(WEEKDAY($A1506,2)=5,3,1))</f>
        <v/>
      </c>
      <c r="B1507">
        <f>IF($A1507&gt;$A1506,1,0)</f>
        <v/>
      </c>
      <c r="C1507" s="56">
        <f>IF($B1507=0,"",IF(Inputs!$B$6="","",IF($AD1507=0,C1506,SUMIFS(Data!$B$10:$B$3209,Data!$A$10:$A$3209,"&gt;="&amp;$A1507,Data!$A$10:$A$3209,"&lt;"&amp;$A1507+1)/$AD1507)))</f>
        <v/>
      </c>
      <c r="D1507" s="56">
        <f>IF($B1507=0,"",IF(Inputs!$B$7="","",IF($AE1507=0,D1506,SUMIFS(Data!$F$10:$F$3209,Data!$E$10:$E$3209,"&gt;="&amp;$A1507,Data!$E$10:$E$3209,"&lt;"&amp;$A1507+1)/$AE1507)))</f>
        <v/>
      </c>
      <c r="E1507" s="56">
        <f>IF($B1507=0,"",IF(Inputs!$B$8="","",IF($AF1507=0,E1506,SUMIFS(Data!$J$10:$J$3209,Data!$I$10:$I$3209,"&gt;="&amp;$A1507,Data!$I$10:$I$3209,"&lt;"&amp;$A1507+1)/$AF1507)))</f>
        <v/>
      </c>
      <c r="F1507" s="56">
        <f>IF($B1507=0,"",IF(Inputs!$B$9="","",IF($AG1507=0,F1506,SUMIFS(Data!$N$10:$N$3209,Data!$M$10:$M$3209,"&gt;="&amp;$A1507,Data!$M$10:$M$3209,"&lt;"&amp;$A1507+1)/$AG1507)))</f>
        <v/>
      </c>
      <c r="G1507" s="56">
        <f>IF($B1507=0,"",IF(Inputs!$B$10="","",IF($AH1507=0,G1506,SUMIFS(Data!$R$10:$R$3209,Data!$Q$10:$Q$3209,"&gt;="&amp;$A1507,Data!$Q$10:$Q$3209,"&lt;"&amp;$A1507+1)/$AH1507)))</f>
        <v/>
      </c>
      <c r="I1507" s="54">
        <f>IF($B1507=0,NA(),IF($C1507="",NA(),IF(C$8="",NA(),IF(N(C$8)=0,NA(),IF(Inputs!$C$17="Rebased to 100",$C1507/C$8*100,$C1507)))))</f>
        <v/>
      </c>
      <c r="J1507" s="54">
        <f>IF($B1507=0,NA(),IF($D1507="",NA(),IF(D$8="",NA(),IF(N(D$8)=0,NA(),IF(Inputs!$C$17="Rebased to 100",$D1507/D$8*100,$D1507)))))</f>
        <v/>
      </c>
      <c r="K1507" s="54">
        <f>IF($B1507=0,NA(),IF($E1507="",NA(),IF(E$8="",NA(),IF(N(E$8)=0,NA(),IF(Inputs!$C$17="Rebased to 100",$E1507/E$8*100,$E1507)))))</f>
        <v/>
      </c>
      <c r="L1507" s="54">
        <f>IF($B1507=0,NA(),IF($F1507="",NA(),IF(F$8="",NA(),IF(N(F$8)=0,NA(),IF(Inputs!$C$17="Rebased to 100",$F1507/F$8*100,$F1507)))))</f>
        <v/>
      </c>
      <c r="M1507" s="54">
        <f>IF($B1507=0,NA(),IF($G1507="",NA(),IF(G$8="",NA(),IF(N(G$8)=0,NA(),IF(Inputs!$C$17="Rebased to 100",$G1507/G$8*100,$G1507)))))</f>
        <v/>
      </c>
      <c r="N1507" s="54">
        <f>IF($B1507=0,NA(),IF(Inputs!$C$18&lt;&gt;"Yes",NA(),IF(COUNT(I1507,J1507,K1507,L1507,M1507)=0,NA(),MIN(I1507,J1507,K1507,L1507,M1507))))</f>
        <v/>
      </c>
      <c r="O1507" s="54">
        <f>IF($B1507=0,NA(),IF(Inputs!$B$24&lt;&gt;"Yes",NA(),Inputs!$D$24*Inputs!$C$35))</f>
        <v/>
      </c>
      <c r="P1507" s="54">
        <f>IF($B1507=0,NA(),IF(Inputs!$B$25&lt;&gt;"Yes",NA(),Inputs!$D$25*Inputs!$C$35))</f>
        <v/>
      </c>
      <c r="Q1507" s="54">
        <f>IF($B1507=0,NA(),IF(Inputs!$B$26&lt;&gt;"Yes",NA(),Inputs!$D$26*Inputs!$C$35))</f>
        <v/>
      </c>
      <c r="R1507" s="54">
        <f>IF($B1507=0,NA(),IF(Inputs!$B$27&lt;&gt;"Yes",NA(),Inputs!$D$27*Inputs!$C$35))</f>
        <v/>
      </c>
      <c r="S1507" s="54">
        <f>IF($B1507=0,NA(),IF(Inputs!$B$28&lt;&gt;"Yes",NA(),Inputs!$D$28*Inputs!$C$35))</f>
        <v/>
      </c>
      <c r="T1507" s="54">
        <f>IF($B1507=0,NA(),IF(Inputs!$B$29&lt;&gt;"Yes",NA(),Inputs!$D$29*Inputs!$C$35))</f>
        <v/>
      </c>
      <c r="AD1507">
        <f>IF($B1507=0,0,IF(Inputs!$B$6="",0,COUNTIFS(Data!$A$10:$A$3209,"&gt;="&amp;$A1507,Data!$A$10:$A$3209,"&lt;"&amp;$A1507+1)))</f>
        <v/>
      </c>
      <c r="AE1507">
        <f>IF($B1507=0,0,IF(Inputs!$B$7="",0,COUNTIFS(Data!$E$10:$E$3209,"&gt;="&amp;$A1507,Data!$E$10:$E$3209,"&lt;"&amp;$A1507+1)))</f>
        <v/>
      </c>
      <c r="AF1507">
        <f>IF($B1507=0,0,IF(Inputs!$B$8="",0,COUNTIFS(Data!$I$10:$I$3209,"&gt;="&amp;$A1507,Data!$I$10:$I$3209,"&lt;"&amp;$A1507+1)))</f>
        <v/>
      </c>
      <c r="AG1507">
        <f>IF($B1507=0,0,IF(Inputs!$B$9="",0,COUNTIFS(Data!$M$10:$M$3209,"&gt;="&amp;$A1507,Data!$M$10:$M$3209,"&lt;"&amp;$A1507+1)))</f>
        <v/>
      </c>
      <c r="AH1507">
        <f>IF($B1507=0,0,IF(Inputs!$B$10="",0,COUNTIFS(Data!$Q$10:$Q$3209,"&gt;="&amp;$A1507,Data!$Q$10:$Q$3209,"&lt;"&amp;$A1507+1)))</f>
        <v/>
      </c>
    </row>
    <row r="1508">
      <c r="A1508" s="55">
        <f>MIN(Inputs!$C$15,$A1507+IF(WEEKDAY($A1507,2)=5,3,1))</f>
        <v/>
      </c>
      <c r="B1508">
        <f>IF($A1508&gt;$A1507,1,0)</f>
        <v/>
      </c>
      <c r="C1508" s="56">
        <f>IF($B1508=0,"",IF(Inputs!$B$6="","",IF($AD1508=0,C1507,SUMIFS(Data!$B$10:$B$3209,Data!$A$10:$A$3209,"&gt;="&amp;$A1508,Data!$A$10:$A$3209,"&lt;"&amp;$A1508+1)/$AD1508)))</f>
        <v/>
      </c>
      <c r="D1508" s="56">
        <f>IF($B1508=0,"",IF(Inputs!$B$7="","",IF($AE1508=0,D1507,SUMIFS(Data!$F$10:$F$3209,Data!$E$10:$E$3209,"&gt;="&amp;$A1508,Data!$E$10:$E$3209,"&lt;"&amp;$A1508+1)/$AE1508)))</f>
        <v/>
      </c>
      <c r="E1508" s="56">
        <f>IF($B1508=0,"",IF(Inputs!$B$8="","",IF($AF1508=0,E1507,SUMIFS(Data!$J$10:$J$3209,Data!$I$10:$I$3209,"&gt;="&amp;$A1508,Data!$I$10:$I$3209,"&lt;"&amp;$A1508+1)/$AF1508)))</f>
        <v/>
      </c>
      <c r="F1508" s="56">
        <f>IF($B1508=0,"",IF(Inputs!$B$9="","",IF($AG1508=0,F1507,SUMIFS(Data!$N$10:$N$3209,Data!$M$10:$M$3209,"&gt;="&amp;$A1508,Data!$M$10:$M$3209,"&lt;"&amp;$A1508+1)/$AG1508)))</f>
        <v/>
      </c>
      <c r="G1508" s="56">
        <f>IF($B1508=0,"",IF(Inputs!$B$10="","",IF($AH1508=0,G1507,SUMIFS(Data!$R$10:$R$3209,Data!$Q$10:$Q$3209,"&gt;="&amp;$A1508,Data!$Q$10:$Q$3209,"&lt;"&amp;$A1508+1)/$AH1508)))</f>
        <v/>
      </c>
      <c r="I1508" s="54">
        <f>IF($B1508=0,NA(),IF($C1508="",NA(),IF(C$8="",NA(),IF(N(C$8)=0,NA(),IF(Inputs!$C$17="Rebased to 100",$C1508/C$8*100,$C1508)))))</f>
        <v/>
      </c>
      <c r="J1508" s="54">
        <f>IF($B1508=0,NA(),IF($D1508="",NA(),IF(D$8="",NA(),IF(N(D$8)=0,NA(),IF(Inputs!$C$17="Rebased to 100",$D1508/D$8*100,$D1508)))))</f>
        <v/>
      </c>
      <c r="K1508" s="54">
        <f>IF($B1508=0,NA(),IF($E1508="",NA(),IF(E$8="",NA(),IF(N(E$8)=0,NA(),IF(Inputs!$C$17="Rebased to 100",$E1508/E$8*100,$E1508)))))</f>
        <v/>
      </c>
      <c r="L1508" s="54">
        <f>IF($B1508=0,NA(),IF($F1508="",NA(),IF(F$8="",NA(),IF(N(F$8)=0,NA(),IF(Inputs!$C$17="Rebased to 100",$F1508/F$8*100,$F1508)))))</f>
        <v/>
      </c>
      <c r="M1508" s="54">
        <f>IF($B1508=0,NA(),IF($G1508="",NA(),IF(G$8="",NA(),IF(N(G$8)=0,NA(),IF(Inputs!$C$17="Rebased to 100",$G1508/G$8*100,$G1508)))))</f>
        <v/>
      </c>
      <c r="N1508" s="54">
        <f>IF($B1508=0,NA(),IF(Inputs!$C$18&lt;&gt;"Yes",NA(),IF(COUNT(I1508,J1508,K1508,L1508,M1508)=0,NA(),MIN(I1508,J1508,K1508,L1508,M1508))))</f>
        <v/>
      </c>
      <c r="O1508" s="54">
        <f>IF($B1508=0,NA(),IF(Inputs!$B$24&lt;&gt;"Yes",NA(),Inputs!$D$24*Inputs!$C$35))</f>
        <v/>
      </c>
      <c r="P1508" s="54">
        <f>IF($B1508=0,NA(),IF(Inputs!$B$25&lt;&gt;"Yes",NA(),Inputs!$D$25*Inputs!$C$35))</f>
        <v/>
      </c>
      <c r="Q1508" s="54">
        <f>IF($B1508=0,NA(),IF(Inputs!$B$26&lt;&gt;"Yes",NA(),Inputs!$D$26*Inputs!$C$35))</f>
        <v/>
      </c>
      <c r="R1508" s="54">
        <f>IF($B1508=0,NA(),IF(Inputs!$B$27&lt;&gt;"Yes",NA(),Inputs!$D$27*Inputs!$C$35))</f>
        <v/>
      </c>
      <c r="S1508" s="54">
        <f>IF($B1508=0,NA(),IF(Inputs!$B$28&lt;&gt;"Yes",NA(),Inputs!$D$28*Inputs!$C$35))</f>
        <v/>
      </c>
      <c r="T1508" s="54">
        <f>IF($B1508=0,NA(),IF(Inputs!$B$29&lt;&gt;"Yes",NA(),Inputs!$D$29*Inputs!$C$35))</f>
        <v/>
      </c>
      <c r="AD1508">
        <f>IF($B1508=0,0,IF(Inputs!$B$6="",0,COUNTIFS(Data!$A$10:$A$3209,"&gt;="&amp;$A1508,Data!$A$10:$A$3209,"&lt;"&amp;$A1508+1)))</f>
        <v/>
      </c>
      <c r="AE1508">
        <f>IF($B1508=0,0,IF(Inputs!$B$7="",0,COUNTIFS(Data!$E$10:$E$3209,"&gt;="&amp;$A1508,Data!$E$10:$E$3209,"&lt;"&amp;$A1508+1)))</f>
        <v/>
      </c>
      <c r="AF1508">
        <f>IF($B1508=0,0,IF(Inputs!$B$8="",0,COUNTIFS(Data!$I$10:$I$3209,"&gt;="&amp;$A1508,Data!$I$10:$I$3209,"&lt;"&amp;$A1508+1)))</f>
        <v/>
      </c>
      <c r="AG1508">
        <f>IF($B1508=0,0,IF(Inputs!$B$9="",0,COUNTIFS(Data!$M$10:$M$3209,"&gt;="&amp;$A1508,Data!$M$10:$M$3209,"&lt;"&amp;$A1508+1)))</f>
        <v/>
      </c>
      <c r="AH1508">
        <f>IF($B1508=0,0,IF(Inputs!$B$10="",0,COUNTIFS(Data!$Q$10:$Q$3209,"&gt;="&amp;$A1508,Data!$Q$10:$Q$3209,"&lt;"&amp;$A1508+1)))</f>
        <v/>
      </c>
    </row>
    <row r="1509">
      <c r="A1509" s="55">
        <f>MIN(Inputs!$C$15,$A1508+IF(WEEKDAY($A1508,2)=5,3,1))</f>
        <v/>
      </c>
      <c r="B1509">
        <f>IF($A1509&gt;$A1508,1,0)</f>
        <v/>
      </c>
      <c r="C1509" s="56">
        <f>IF($B1509=0,"",IF(Inputs!$B$6="","",IF($AD1509=0,C1508,SUMIFS(Data!$B$10:$B$3209,Data!$A$10:$A$3209,"&gt;="&amp;$A1509,Data!$A$10:$A$3209,"&lt;"&amp;$A1509+1)/$AD1509)))</f>
        <v/>
      </c>
      <c r="D1509" s="56">
        <f>IF($B1509=0,"",IF(Inputs!$B$7="","",IF($AE1509=0,D1508,SUMIFS(Data!$F$10:$F$3209,Data!$E$10:$E$3209,"&gt;="&amp;$A1509,Data!$E$10:$E$3209,"&lt;"&amp;$A1509+1)/$AE1509)))</f>
        <v/>
      </c>
      <c r="E1509" s="56">
        <f>IF($B1509=0,"",IF(Inputs!$B$8="","",IF($AF1509=0,E1508,SUMIFS(Data!$J$10:$J$3209,Data!$I$10:$I$3209,"&gt;="&amp;$A1509,Data!$I$10:$I$3209,"&lt;"&amp;$A1509+1)/$AF1509)))</f>
        <v/>
      </c>
      <c r="F1509" s="56">
        <f>IF($B1509=0,"",IF(Inputs!$B$9="","",IF($AG1509=0,F1508,SUMIFS(Data!$N$10:$N$3209,Data!$M$10:$M$3209,"&gt;="&amp;$A1509,Data!$M$10:$M$3209,"&lt;"&amp;$A1509+1)/$AG1509)))</f>
        <v/>
      </c>
      <c r="G1509" s="56">
        <f>IF($B1509=0,"",IF(Inputs!$B$10="","",IF($AH1509=0,G1508,SUMIFS(Data!$R$10:$R$3209,Data!$Q$10:$Q$3209,"&gt;="&amp;$A1509,Data!$Q$10:$Q$3209,"&lt;"&amp;$A1509+1)/$AH1509)))</f>
        <v/>
      </c>
      <c r="I1509" s="54">
        <f>IF($B1509=0,NA(),IF($C1509="",NA(),IF(C$8="",NA(),IF(N(C$8)=0,NA(),IF(Inputs!$C$17="Rebased to 100",$C1509/C$8*100,$C1509)))))</f>
        <v/>
      </c>
      <c r="J1509" s="54">
        <f>IF($B1509=0,NA(),IF($D1509="",NA(),IF(D$8="",NA(),IF(N(D$8)=0,NA(),IF(Inputs!$C$17="Rebased to 100",$D1509/D$8*100,$D1509)))))</f>
        <v/>
      </c>
      <c r="K1509" s="54">
        <f>IF($B1509=0,NA(),IF($E1509="",NA(),IF(E$8="",NA(),IF(N(E$8)=0,NA(),IF(Inputs!$C$17="Rebased to 100",$E1509/E$8*100,$E1509)))))</f>
        <v/>
      </c>
      <c r="L1509" s="54">
        <f>IF($B1509=0,NA(),IF($F1509="",NA(),IF(F$8="",NA(),IF(N(F$8)=0,NA(),IF(Inputs!$C$17="Rebased to 100",$F1509/F$8*100,$F1509)))))</f>
        <v/>
      </c>
      <c r="M1509" s="54">
        <f>IF($B1509=0,NA(),IF($G1509="",NA(),IF(G$8="",NA(),IF(N(G$8)=0,NA(),IF(Inputs!$C$17="Rebased to 100",$G1509/G$8*100,$G1509)))))</f>
        <v/>
      </c>
      <c r="N1509" s="54">
        <f>IF($B1509=0,NA(),IF(Inputs!$C$18&lt;&gt;"Yes",NA(),IF(COUNT(I1509,J1509,K1509,L1509,M1509)=0,NA(),MIN(I1509,J1509,K1509,L1509,M1509))))</f>
        <v/>
      </c>
      <c r="O1509" s="54">
        <f>IF($B1509=0,NA(),IF(Inputs!$B$24&lt;&gt;"Yes",NA(),Inputs!$D$24*Inputs!$C$35))</f>
        <v/>
      </c>
      <c r="P1509" s="54">
        <f>IF($B1509=0,NA(),IF(Inputs!$B$25&lt;&gt;"Yes",NA(),Inputs!$D$25*Inputs!$C$35))</f>
        <v/>
      </c>
      <c r="Q1509" s="54">
        <f>IF($B1509=0,NA(),IF(Inputs!$B$26&lt;&gt;"Yes",NA(),Inputs!$D$26*Inputs!$C$35))</f>
        <v/>
      </c>
      <c r="R1509" s="54">
        <f>IF($B1509=0,NA(),IF(Inputs!$B$27&lt;&gt;"Yes",NA(),Inputs!$D$27*Inputs!$C$35))</f>
        <v/>
      </c>
      <c r="S1509" s="54">
        <f>IF($B1509=0,NA(),IF(Inputs!$B$28&lt;&gt;"Yes",NA(),Inputs!$D$28*Inputs!$C$35))</f>
        <v/>
      </c>
      <c r="T1509" s="54">
        <f>IF($B1509=0,NA(),IF(Inputs!$B$29&lt;&gt;"Yes",NA(),Inputs!$D$29*Inputs!$C$35))</f>
        <v/>
      </c>
      <c r="AD1509">
        <f>IF($B1509=0,0,IF(Inputs!$B$6="",0,COUNTIFS(Data!$A$10:$A$3209,"&gt;="&amp;$A1509,Data!$A$10:$A$3209,"&lt;"&amp;$A1509+1)))</f>
        <v/>
      </c>
      <c r="AE1509">
        <f>IF($B1509=0,0,IF(Inputs!$B$7="",0,COUNTIFS(Data!$E$10:$E$3209,"&gt;="&amp;$A1509,Data!$E$10:$E$3209,"&lt;"&amp;$A1509+1)))</f>
        <v/>
      </c>
      <c r="AF1509">
        <f>IF($B1509=0,0,IF(Inputs!$B$8="",0,COUNTIFS(Data!$I$10:$I$3209,"&gt;="&amp;$A1509,Data!$I$10:$I$3209,"&lt;"&amp;$A1509+1)))</f>
        <v/>
      </c>
      <c r="AG1509">
        <f>IF($B1509=0,0,IF(Inputs!$B$9="",0,COUNTIFS(Data!$M$10:$M$3209,"&gt;="&amp;$A1509,Data!$M$10:$M$3209,"&lt;"&amp;$A1509+1)))</f>
        <v/>
      </c>
      <c r="AH1509">
        <f>IF($B1509=0,0,IF(Inputs!$B$10="",0,COUNTIFS(Data!$Q$10:$Q$3209,"&gt;="&amp;$A1509,Data!$Q$10:$Q$3209,"&lt;"&amp;$A1509+1)))</f>
        <v/>
      </c>
    </row>
    <row r="1510">
      <c r="A1510" s="55">
        <f>MIN(Inputs!$C$15,$A1509+IF(WEEKDAY($A1509,2)=5,3,1))</f>
        <v/>
      </c>
      <c r="B1510">
        <f>IF($A1510&gt;$A1509,1,0)</f>
        <v/>
      </c>
      <c r="C1510" s="56">
        <f>IF($B1510=0,"",IF(Inputs!$B$6="","",IF($AD1510=0,C1509,SUMIFS(Data!$B$10:$B$3209,Data!$A$10:$A$3209,"&gt;="&amp;$A1510,Data!$A$10:$A$3209,"&lt;"&amp;$A1510+1)/$AD1510)))</f>
        <v/>
      </c>
      <c r="D1510" s="56">
        <f>IF($B1510=0,"",IF(Inputs!$B$7="","",IF($AE1510=0,D1509,SUMIFS(Data!$F$10:$F$3209,Data!$E$10:$E$3209,"&gt;="&amp;$A1510,Data!$E$10:$E$3209,"&lt;"&amp;$A1510+1)/$AE1510)))</f>
        <v/>
      </c>
      <c r="E1510" s="56">
        <f>IF($B1510=0,"",IF(Inputs!$B$8="","",IF($AF1510=0,E1509,SUMIFS(Data!$J$10:$J$3209,Data!$I$10:$I$3209,"&gt;="&amp;$A1510,Data!$I$10:$I$3209,"&lt;"&amp;$A1510+1)/$AF1510)))</f>
        <v/>
      </c>
      <c r="F1510" s="56">
        <f>IF($B1510=0,"",IF(Inputs!$B$9="","",IF($AG1510=0,F1509,SUMIFS(Data!$N$10:$N$3209,Data!$M$10:$M$3209,"&gt;="&amp;$A1510,Data!$M$10:$M$3209,"&lt;"&amp;$A1510+1)/$AG1510)))</f>
        <v/>
      </c>
      <c r="G1510" s="56">
        <f>IF($B1510=0,"",IF(Inputs!$B$10="","",IF($AH1510=0,G1509,SUMIFS(Data!$R$10:$R$3209,Data!$Q$10:$Q$3209,"&gt;="&amp;$A1510,Data!$Q$10:$Q$3209,"&lt;"&amp;$A1510+1)/$AH1510)))</f>
        <v/>
      </c>
      <c r="I1510" s="54">
        <f>IF($B1510=0,NA(),IF($C1510="",NA(),IF(C$8="",NA(),IF(N(C$8)=0,NA(),IF(Inputs!$C$17="Rebased to 100",$C1510/C$8*100,$C1510)))))</f>
        <v/>
      </c>
      <c r="J1510" s="54">
        <f>IF($B1510=0,NA(),IF($D1510="",NA(),IF(D$8="",NA(),IF(N(D$8)=0,NA(),IF(Inputs!$C$17="Rebased to 100",$D1510/D$8*100,$D1510)))))</f>
        <v/>
      </c>
      <c r="K1510" s="54">
        <f>IF($B1510=0,NA(),IF($E1510="",NA(),IF(E$8="",NA(),IF(N(E$8)=0,NA(),IF(Inputs!$C$17="Rebased to 100",$E1510/E$8*100,$E1510)))))</f>
        <v/>
      </c>
      <c r="L1510" s="54">
        <f>IF($B1510=0,NA(),IF($F1510="",NA(),IF(F$8="",NA(),IF(N(F$8)=0,NA(),IF(Inputs!$C$17="Rebased to 100",$F1510/F$8*100,$F1510)))))</f>
        <v/>
      </c>
      <c r="M1510" s="54">
        <f>IF($B1510=0,NA(),IF($G1510="",NA(),IF(G$8="",NA(),IF(N(G$8)=0,NA(),IF(Inputs!$C$17="Rebased to 100",$G1510/G$8*100,$G1510)))))</f>
        <v/>
      </c>
      <c r="N1510" s="54">
        <f>IF($B1510=0,NA(),IF(Inputs!$C$18&lt;&gt;"Yes",NA(),IF(COUNT(I1510,J1510,K1510,L1510,M1510)=0,NA(),MIN(I1510,J1510,K1510,L1510,M1510))))</f>
        <v/>
      </c>
      <c r="O1510" s="54">
        <f>IF($B1510=0,NA(),IF(Inputs!$B$24&lt;&gt;"Yes",NA(),Inputs!$D$24*Inputs!$C$35))</f>
        <v/>
      </c>
      <c r="P1510" s="54">
        <f>IF($B1510=0,NA(),IF(Inputs!$B$25&lt;&gt;"Yes",NA(),Inputs!$D$25*Inputs!$C$35))</f>
        <v/>
      </c>
      <c r="Q1510" s="54">
        <f>IF($B1510=0,NA(),IF(Inputs!$B$26&lt;&gt;"Yes",NA(),Inputs!$D$26*Inputs!$C$35))</f>
        <v/>
      </c>
      <c r="R1510" s="54">
        <f>IF($B1510=0,NA(),IF(Inputs!$B$27&lt;&gt;"Yes",NA(),Inputs!$D$27*Inputs!$C$35))</f>
        <v/>
      </c>
      <c r="S1510" s="54">
        <f>IF($B1510=0,NA(),IF(Inputs!$B$28&lt;&gt;"Yes",NA(),Inputs!$D$28*Inputs!$C$35))</f>
        <v/>
      </c>
      <c r="T1510" s="54">
        <f>IF($B1510=0,NA(),IF(Inputs!$B$29&lt;&gt;"Yes",NA(),Inputs!$D$29*Inputs!$C$35))</f>
        <v/>
      </c>
      <c r="AD1510">
        <f>IF($B1510=0,0,IF(Inputs!$B$6="",0,COUNTIFS(Data!$A$10:$A$3209,"&gt;="&amp;$A1510,Data!$A$10:$A$3209,"&lt;"&amp;$A1510+1)))</f>
        <v/>
      </c>
      <c r="AE1510">
        <f>IF($B1510=0,0,IF(Inputs!$B$7="",0,COUNTIFS(Data!$E$10:$E$3209,"&gt;="&amp;$A1510,Data!$E$10:$E$3209,"&lt;"&amp;$A1510+1)))</f>
        <v/>
      </c>
      <c r="AF1510">
        <f>IF($B1510=0,0,IF(Inputs!$B$8="",0,COUNTIFS(Data!$I$10:$I$3209,"&gt;="&amp;$A1510,Data!$I$10:$I$3209,"&lt;"&amp;$A1510+1)))</f>
        <v/>
      </c>
      <c r="AG1510">
        <f>IF($B1510=0,0,IF(Inputs!$B$9="",0,COUNTIFS(Data!$M$10:$M$3209,"&gt;="&amp;$A1510,Data!$M$10:$M$3209,"&lt;"&amp;$A1510+1)))</f>
        <v/>
      </c>
      <c r="AH1510">
        <f>IF($B1510=0,0,IF(Inputs!$B$10="",0,COUNTIFS(Data!$Q$10:$Q$3209,"&gt;="&amp;$A1510,Data!$Q$10:$Q$3209,"&lt;"&amp;$A1510+1)))</f>
        <v/>
      </c>
    </row>
    <row r="1511">
      <c r="A1511" s="55">
        <f>MIN(Inputs!$C$15,$A1510+IF(WEEKDAY($A1510,2)=5,3,1))</f>
        <v/>
      </c>
      <c r="B1511">
        <f>IF($A1511&gt;$A1510,1,0)</f>
        <v/>
      </c>
      <c r="C1511" s="56">
        <f>IF($B1511=0,"",IF(Inputs!$B$6="","",IF($AD1511=0,C1510,SUMIFS(Data!$B$10:$B$3209,Data!$A$10:$A$3209,"&gt;="&amp;$A1511,Data!$A$10:$A$3209,"&lt;"&amp;$A1511+1)/$AD1511)))</f>
        <v/>
      </c>
      <c r="D1511" s="56">
        <f>IF($B1511=0,"",IF(Inputs!$B$7="","",IF($AE1511=0,D1510,SUMIFS(Data!$F$10:$F$3209,Data!$E$10:$E$3209,"&gt;="&amp;$A1511,Data!$E$10:$E$3209,"&lt;"&amp;$A1511+1)/$AE1511)))</f>
        <v/>
      </c>
      <c r="E1511" s="56">
        <f>IF($B1511=0,"",IF(Inputs!$B$8="","",IF($AF1511=0,E1510,SUMIFS(Data!$J$10:$J$3209,Data!$I$10:$I$3209,"&gt;="&amp;$A1511,Data!$I$10:$I$3209,"&lt;"&amp;$A1511+1)/$AF1511)))</f>
        <v/>
      </c>
      <c r="F1511" s="56">
        <f>IF($B1511=0,"",IF(Inputs!$B$9="","",IF($AG1511=0,F1510,SUMIFS(Data!$N$10:$N$3209,Data!$M$10:$M$3209,"&gt;="&amp;$A1511,Data!$M$10:$M$3209,"&lt;"&amp;$A1511+1)/$AG1511)))</f>
        <v/>
      </c>
      <c r="G1511" s="56">
        <f>IF($B1511=0,"",IF(Inputs!$B$10="","",IF($AH1511=0,G1510,SUMIFS(Data!$R$10:$R$3209,Data!$Q$10:$Q$3209,"&gt;="&amp;$A1511,Data!$Q$10:$Q$3209,"&lt;"&amp;$A1511+1)/$AH1511)))</f>
        <v/>
      </c>
      <c r="I1511" s="54">
        <f>IF($B1511=0,NA(),IF($C1511="",NA(),IF(C$8="",NA(),IF(N(C$8)=0,NA(),IF(Inputs!$C$17="Rebased to 100",$C1511/C$8*100,$C1511)))))</f>
        <v/>
      </c>
      <c r="J1511" s="54">
        <f>IF($B1511=0,NA(),IF($D1511="",NA(),IF(D$8="",NA(),IF(N(D$8)=0,NA(),IF(Inputs!$C$17="Rebased to 100",$D1511/D$8*100,$D1511)))))</f>
        <v/>
      </c>
      <c r="K1511" s="54">
        <f>IF($B1511=0,NA(),IF($E1511="",NA(),IF(E$8="",NA(),IF(N(E$8)=0,NA(),IF(Inputs!$C$17="Rebased to 100",$E1511/E$8*100,$E1511)))))</f>
        <v/>
      </c>
      <c r="L1511" s="54">
        <f>IF($B1511=0,NA(),IF($F1511="",NA(),IF(F$8="",NA(),IF(N(F$8)=0,NA(),IF(Inputs!$C$17="Rebased to 100",$F1511/F$8*100,$F1511)))))</f>
        <v/>
      </c>
      <c r="M1511" s="54">
        <f>IF($B1511=0,NA(),IF($G1511="",NA(),IF(G$8="",NA(),IF(N(G$8)=0,NA(),IF(Inputs!$C$17="Rebased to 100",$G1511/G$8*100,$G1511)))))</f>
        <v/>
      </c>
      <c r="N1511" s="54">
        <f>IF($B1511=0,NA(),IF(Inputs!$C$18&lt;&gt;"Yes",NA(),IF(COUNT(I1511,J1511,K1511,L1511,M1511)=0,NA(),MIN(I1511,J1511,K1511,L1511,M1511))))</f>
        <v/>
      </c>
      <c r="O1511" s="54">
        <f>IF($B1511=0,NA(),IF(Inputs!$B$24&lt;&gt;"Yes",NA(),Inputs!$D$24*Inputs!$C$35))</f>
        <v/>
      </c>
      <c r="P1511" s="54">
        <f>IF($B1511=0,NA(),IF(Inputs!$B$25&lt;&gt;"Yes",NA(),Inputs!$D$25*Inputs!$C$35))</f>
        <v/>
      </c>
      <c r="Q1511" s="54">
        <f>IF($B1511=0,NA(),IF(Inputs!$B$26&lt;&gt;"Yes",NA(),Inputs!$D$26*Inputs!$C$35))</f>
        <v/>
      </c>
      <c r="R1511" s="54">
        <f>IF($B1511=0,NA(),IF(Inputs!$B$27&lt;&gt;"Yes",NA(),Inputs!$D$27*Inputs!$C$35))</f>
        <v/>
      </c>
      <c r="S1511" s="54">
        <f>IF($B1511=0,NA(),IF(Inputs!$B$28&lt;&gt;"Yes",NA(),Inputs!$D$28*Inputs!$C$35))</f>
        <v/>
      </c>
      <c r="T1511" s="54">
        <f>IF($B1511=0,NA(),IF(Inputs!$B$29&lt;&gt;"Yes",NA(),Inputs!$D$29*Inputs!$C$35))</f>
        <v/>
      </c>
      <c r="AD1511">
        <f>IF($B1511=0,0,IF(Inputs!$B$6="",0,COUNTIFS(Data!$A$10:$A$3209,"&gt;="&amp;$A1511,Data!$A$10:$A$3209,"&lt;"&amp;$A1511+1)))</f>
        <v/>
      </c>
      <c r="AE1511">
        <f>IF($B1511=0,0,IF(Inputs!$B$7="",0,COUNTIFS(Data!$E$10:$E$3209,"&gt;="&amp;$A1511,Data!$E$10:$E$3209,"&lt;"&amp;$A1511+1)))</f>
        <v/>
      </c>
      <c r="AF1511">
        <f>IF($B1511=0,0,IF(Inputs!$B$8="",0,COUNTIFS(Data!$I$10:$I$3209,"&gt;="&amp;$A1511,Data!$I$10:$I$3209,"&lt;"&amp;$A1511+1)))</f>
        <v/>
      </c>
      <c r="AG1511">
        <f>IF($B1511=0,0,IF(Inputs!$B$9="",0,COUNTIFS(Data!$M$10:$M$3209,"&gt;="&amp;$A1511,Data!$M$10:$M$3209,"&lt;"&amp;$A1511+1)))</f>
        <v/>
      </c>
      <c r="AH1511">
        <f>IF($B1511=0,0,IF(Inputs!$B$10="",0,COUNTIFS(Data!$Q$10:$Q$3209,"&gt;="&amp;$A1511,Data!$Q$10:$Q$3209,"&lt;"&amp;$A1511+1)))</f>
        <v/>
      </c>
    </row>
    <row r="1512">
      <c r="A1512" s="55">
        <f>MIN(Inputs!$C$15,$A1511+IF(WEEKDAY($A1511,2)=5,3,1))</f>
        <v/>
      </c>
      <c r="B1512">
        <f>IF($A1512&gt;$A1511,1,0)</f>
        <v/>
      </c>
      <c r="C1512" s="56">
        <f>IF($B1512=0,"",IF(Inputs!$B$6="","",IF($AD1512=0,C1511,SUMIFS(Data!$B$10:$B$3209,Data!$A$10:$A$3209,"&gt;="&amp;$A1512,Data!$A$10:$A$3209,"&lt;"&amp;$A1512+1)/$AD1512)))</f>
        <v/>
      </c>
      <c r="D1512" s="56">
        <f>IF($B1512=0,"",IF(Inputs!$B$7="","",IF($AE1512=0,D1511,SUMIFS(Data!$F$10:$F$3209,Data!$E$10:$E$3209,"&gt;="&amp;$A1512,Data!$E$10:$E$3209,"&lt;"&amp;$A1512+1)/$AE1512)))</f>
        <v/>
      </c>
      <c r="E1512" s="56">
        <f>IF($B1512=0,"",IF(Inputs!$B$8="","",IF($AF1512=0,E1511,SUMIFS(Data!$J$10:$J$3209,Data!$I$10:$I$3209,"&gt;="&amp;$A1512,Data!$I$10:$I$3209,"&lt;"&amp;$A1512+1)/$AF1512)))</f>
        <v/>
      </c>
      <c r="F1512" s="56">
        <f>IF($B1512=0,"",IF(Inputs!$B$9="","",IF($AG1512=0,F1511,SUMIFS(Data!$N$10:$N$3209,Data!$M$10:$M$3209,"&gt;="&amp;$A1512,Data!$M$10:$M$3209,"&lt;"&amp;$A1512+1)/$AG1512)))</f>
        <v/>
      </c>
      <c r="G1512" s="56">
        <f>IF($B1512=0,"",IF(Inputs!$B$10="","",IF($AH1512=0,G1511,SUMIFS(Data!$R$10:$R$3209,Data!$Q$10:$Q$3209,"&gt;="&amp;$A1512,Data!$Q$10:$Q$3209,"&lt;"&amp;$A1512+1)/$AH1512)))</f>
        <v/>
      </c>
      <c r="I1512" s="54">
        <f>IF($B1512=0,NA(),IF($C1512="",NA(),IF(C$8="",NA(),IF(N(C$8)=0,NA(),IF(Inputs!$C$17="Rebased to 100",$C1512/C$8*100,$C1512)))))</f>
        <v/>
      </c>
      <c r="J1512" s="54">
        <f>IF($B1512=0,NA(),IF($D1512="",NA(),IF(D$8="",NA(),IF(N(D$8)=0,NA(),IF(Inputs!$C$17="Rebased to 100",$D1512/D$8*100,$D1512)))))</f>
        <v/>
      </c>
      <c r="K1512" s="54">
        <f>IF($B1512=0,NA(),IF($E1512="",NA(),IF(E$8="",NA(),IF(N(E$8)=0,NA(),IF(Inputs!$C$17="Rebased to 100",$E1512/E$8*100,$E1512)))))</f>
        <v/>
      </c>
      <c r="L1512" s="54">
        <f>IF($B1512=0,NA(),IF($F1512="",NA(),IF(F$8="",NA(),IF(N(F$8)=0,NA(),IF(Inputs!$C$17="Rebased to 100",$F1512/F$8*100,$F1512)))))</f>
        <v/>
      </c>
      <c r="M1512" s="54">
        <f>IF($B1512=0,NA(),IF($G1512="",NA(),IF(G$8="",NA(),IF(N(G$8)=0,NA(),IF(Inputs!$C$17="Rebased to 100",$G1512/G$8*100,$G1512)))))</f>
        <v/>
      </c>
      <c r="N1512" s="54">
        <f>IF($B1512=0,NA(),IF(Inputs!$C$18&lt;&gt;"Yes",NA(),IF(COUNT(I1512,J1512,K1512,L1512,M1512)=0,NA(),MIN(I1512,J1512,K1512,L1512,M1512))))</f>
        <v/>
      </c>
      <c r="O1512" s="54">
        <f>IF($B1512=0,NA(),IF(Inputs!$B$24&lt;&gt;"Yes",NA(),Inputs!$D$24*Inputs!$C$35))</f>
        <v/>
      </c>
      <c r="P1512" s="54">
        <f>IF($B1512=0,NA(),IF(Inputs!$B$25&lt;&gt;"Yes",NA(),Inputs!$D$25*Inputs!$C$35))</f>
        <v/>
      </c>
      <c r="Q1512" s="54">
        <f>IF($B1512=0,NA(),IF(Inputs!$B$26&lt;&gt;"Yes",NA(),Inputs!$D$26*Inputs!$C$35))</f>
        <v/>
      </c>
      <c r="R1512" s="54">
        <f>IF($B1512=0,NA(),IF(Inputs!$B$27&lt;&gt;"Yes",NA(),Inputs!$D$27*Inputs!$C$35))</f>
        <v/>
      </c>
      <c r="S1512" s="54">
        <f>IF($B1512=0,NA(),IF(Inputs!$B$28&lt;&gt;"Yes",NA(),Inputs!$D$28*Inputs!$C$35))</f>
        <v/>
      </c>
      <c r="T1512" s="54">
        <f>IF($B1512=0,NA(),IF(Inputs!$B$29&lt;&gt;"Yes",NA(),Inputs!$D$29*Inputs!$C$35))</f>
        <v/>
      </c>
      <c r="AD1512">
        <f>IF($B1512=0,0,IF(Inputs!$B$6="",0,COUNTIFS(Data!$A$10:$A$3209,"&gt;="&amp;$A1512,Data!$A$10:$A$3209,"&lt;"&amp;$A1512+1)))</f>
        <v/>
      </c>
      <c r="AE1512">
        <f>IF($B1512=0,0,IF(Inputs!$B$7="",0,COUNTIFS(Data!$E$10:$E$3209,"&gt;="&amp;$A1512,Data!$E$10:$E$3209,"&lt;"&amp;$A1512+1)))</f>
        <v/>
      </c>
      <c r="AF1512">
        <f>IF($B1512=0,0,IF(Inputs!$B$8="",0,COUNTIFS(Data!$I$10:$I$3209,"&gt;="&amp;$A1512,Data!$I$10:$I$3209,"&lt;"&amp;$A1512+1)))</f>
        <v/>
      </c>
      <c r="AG1512">
        <f>IF($B1512=0,0,IF(Inputs!$B$9="",0,COUNTIFS(Data!$M$10:$M$3209,"&gt;="&amp;$A1512,Data!$M$10:$M$3209,"&lt;"&amp;$A1512+1)))</f>
        <v/>
      </c>
      <c r="AH1512">
        <f>IF($B1512=0,0,IF(Inputs!$B$10="",0,COUNTIFS(Data!$Q$10:$Q$3209,"&gt;="&amp;$A1512,Data!$Q$10:$Q$3209,"&lt;"&amp;$A1512+1)))</f>
        <v/>
      </c>
    </row>
    <row r="1513">
      <c r="A1513" s="55">
        <f>MIN(Inputs!$C$15,$A1512+IF(WEEKDAY($A1512,2)=5,3,1))</f>
        <v/>
      </c>
      <c r="B1513">
        <f>IF($A1513&gt;$A1512,1,0)</f>
        <v/>
      </c>
      <c r="C1513" s="56">
        <f>IF($B1513=0,"",IF(Inputs!$B$6="","",IF($AD1513=0,C1512,SUMIFS(Data!$B$10:$B$3209,Data!$A$10:$A$3209,"&gt;="&amp;$A1513,Data!$A$10:$A$3209,"&lt;"&amp;$A1513+1)/$AD1513)))</f>
        <v/>
      </c>
      <c r="D1513" s="56">
        <f>IF($B1513=0,"",IF(Inputs!$B$7="","",IF($AE1513=0,D1512,SUMIFS(Data!$F$10:$F$3209,Data!$E$10:$E$3209,"&gt;="&amp;$A1513,Data!$E$10:$E$3209,"&lt;"&amp;$A1513+1)/$AE1513)))</f>
        <v/>
      </c>
      <c r="E1513" s="56">
        <f>IF($B1513=0,"",IF(Inputs!$B$8="","",IF($AF1513=0,E1512,SUMIFS(Data!$J$10:$J$3209,Data!$I$10:$I$3209,"&gt;="&amp;$A1513,Data!$I$10:$I$3209,"&lt;"&amp;$A1513+1)/$AF1513)))</f>
        <v/>
      </c>
      <c r="F1513" s="56">
        <f>IF($B1513=0,"",IF(Inputs!$B$9="","",IF($AG1513=0,F1512,SUMIFS(Data!$N$10:$N$3209,Data!$M$10:$M$3209,"&gt;="&amp;$A1513,Data!$M$10:$M$3209,"&lt;"&amp;$A1513+1)/$AG1513)))</f>
        <v/>
      </c>
      <c r="G1513" s="56">
        <f>IF($B1513=0,"",IF(Inputs!$B$10="","",IF($AH1513=0,G1512,SUMIFS(Data!$R$10:$R$3209,Data!$Q$10:$Q$3209,"&gt;="&amp;$A1513,Data!$Q$10:$Q$3209,"&lt;"&amp;$A1513+1)/$AH1513)))</f>
        <v/>
      </c>
      <c r="I1513" s="54">
        <f>IF($B1513=0,NA(),IF($C1513="",NA(),IF(C$8="",NA(),IF(N(C$8)=0,NA(),IF(Inputs!$C$17="Rebased to 100",$C1513/C$8*100,$C1513)))))</f>
        <v/>
      </c>
      <c r="J1513" s="54">
        <f>IF($B1513=0,NA(),IF($D1513="",NA(),IF(D$8="",NA(),IF(N(D$8)=0,NA(),IF(Inputs!$C$17="Rebased to 100",$D1513/D$8*100,$D1513)))))</f>
        <v/>
      </c>
      <c r="K1513" s="54">
        <f>IF($B1513=0,NA(),IF($E1513="",NA(),IF(E$8="",NA(),IF(N(E$8)=0,NA(),IF(Inputs!$C$17="Rebased to 100",$E1513/E$8*100,$E1513)))))</f>
        <v/>
      </c>
      <c r="L1513" s="54">
        <f>IF($B1513=0,NA(),IF($F1513="",NA(),IF(F$8="",NA(),IF(N(F$8)=0,NA(),IF(Inputs!$C$17="Rebased to 100",$F1513/F$8*100,$F1513)))))</f>
        <v/>
      </c>
      <c r="M1513" s="54">
        <f>IF($B1513=0,NA(),IF($G1513="",NA(),IF(G$8="",NA(),IF(N(G$8)=0,NA(),IF(Inputs!$C$17="Rebased to 100",$G1513/G$8*100,$G1513)))))</f>
        <v/>
      </c>
      <c r="N1513" s="54">
        <f>IF($B1513=0,NA(),IF(Inputs!$C$18&lt;&gt;"Yes",NA(),IF(COUNT(I1513,J1513,K1513,L1513,M1513)=0,NA(),MIN(I1513,J1513,K1513,L1513,M1513))))</f>
        <v/>
      </c>
      <c r="O1513" s="54">
        <f>IF($B1513=0,NA(),IF(Inputs!$B$24&lt;&gt;"Yes",NA(),Inputs!$D$24*Inputs!$C$35))</f>
        <v/>
      </c>
      <c r="P1513" s="54">
        <f>IF($B1513=0,NA(),IF(Inputs!$B$25&lt;&gt;"Yes",NA(),Inputs!$D$25*Inputs!$C$35))</f>
        <v/>
      </c>
      <c r="Q1513" s="54">
        <f>IF($B1513=0,NA(),IF(Inputs!$B$26&lt;&gt;"Yes",NA(),Inputs!$D$26*Inputs!$C$35))</f>
        <v/>
      </c>
      <c r="R1513" s="54">
        <f>IF($B1513=0,NA(),IF(Inputs!$B$27&lt;&gt;"Yes",NA(),Inputs!$D$27*Inputs!$C$35))</f>
        <v/>
      </c>
      <c r="S1513" s="54">
        <f>IF($B1513=0,NA(),IF(Inputs!$B$28&lt;&gt;"Yes",NA(),Inputs!$D$28*Inputs!$C$35))</f>
        <v/>
      </c>
      <c r="T1513" s="54">
        <f>IF($B1513=0,NA(),IF(Inputs!$B$29&lt;&gt;"Yes",NA(),Inputs!$D$29*Inputs!$C$35))</f>
        <v/>
      </c>
      <c r="AD1513">
        <f>IF($B1513=0,0,IF(Inputs!$B$6="",0,COUNTIFS(Data!$A$10:$A$3209,"&gt;="&amp;$A1513,Data!$A$10:$A$3209,"&lt;"&amp;$A1513+1)))</f>
        <v/>
      </c>
      <c r="AE1513">
        <f>IF($B1513=0,0,IF(Inputs!$B$7="",0,COUNTIFS(Data!$E$10:$E$3209,"&gt;="&amp;$A1513,Data!$E$10:$E$3209,"&lt;"&amp;$A1513+1)))</f>
        <v/>
      </c>
      <c r="AF1513">
        <f>IF($B1513=0,0,IF(Inputs!$B$8="",0,COUNTIFS(Data!$I$10:$I$3209,"&gt;="&amp;$A1513,Data!$I$10:$I$3209,"&lt;"&amp;$A1513+1)))</f>
        <v/>
      </c>
      <c r="AG1513">
        <f>IF($B1513=0,0,IF(Inputs!$B$9="",0,COUNTIFS(Data!$M$10:$M$3209,"&gt;="&amp;$A1513,Data!$M$10:$M$3209,"&lt;"&amp;$A1513+1)))</f>
        <v/>
      </c>
      <c r="AH1513">
        <f>IF($B1513=0,0,IF(Inputs!$B$10="",0,COUNTIFS(Data!$Q$10:$Q$3209,"&gt;="&amp;$A1513,Data!$Q$10:$Q$3209,"&lt;"&amp;$A1513+1)))</f>
        <v/>
      </c>
    </row>
    <row r="1514">
      <c r="A1514" s="55">
        <f>MIN(Inputs!$C$15,$A1513+IF(WEEKDAY($A1513,2)=5,3,1))</f>
        <v/>
      </c>
      <c r="B1514">
        <f>IF($A1514&gt;$A1513,1,0)</f>
        <v/>
      </c>
      <c r="C1514" s="56">
        <f>IF($B1514=0,"",IF(Inputs!$B$6="","",IF($AD1514=0,C1513,SUMIFS(Data!$B$10:$B$3209,Data!$A$10:$A$3209,"&gt;="&amp;$A1514,Data!$A$10:$A$3209,"&lt;"&amp;$A1514+1)/$AD1514)))</f>
        <v/>
      </c>
      <c r="D1514" s="56">
        <f>IF($B1514=0,"",IF(Inputs!$B$7="","",IF($AE1514=0,D1513,SUMIFS(Data!$F$10:$F$3209,Data!$E$10:$E$3209,"&gt;="&amp;$A1514,Data!$E$10:$E$3209,"&lt;"&amp;$A1514+1)/$AE1514)))</f>
        <v/>
      </c>
      <c r="E1514" s="56">
        <f>IF($B1514=0,"",IF(Inputs!$B$8="","",IF($AF1514=0,E1513,SUMIFS(Data!$J$10:$J$3209,Data!$I$10:$I$3209,"&gt;="&amp;$A1514,Data!$I$10:$I$3209,"&lt;"&amp;$A1514+1)/$AF1514)))</f>
        <v/>
      </c>
      <c r="F1514" s="56">
        <f>IF($B1514=0,"",IF(Inputs!$B$9="","",IF($AG1514=0,F1513,SUMIFS(Data!$N$10:$N$3209,Data!$M$10:$M$3209,"&gt;="&amp;$A1514,Data!$M$10:$M$3209,"&lt;"&amp;$A1514+1)/$AG1514)))</f>
        <v/>
      </c>
      <c r="G1514" s="56">
        <f>IF($B1514=0,"",IF(Inputs!$B$10="","",IF($AH1514=0,G1513,SUMIFS(Data!$R$10:$R$3209,Data!$Q$10:$Q$3209,"&gt;="&amp;$A1514,Data!$Q$10:$Q$3209,"&lt;"&amp;$A1514+1)/$AH1514)))</f>
        <v/>
      </c>
      <c r="I1514" s="54">
        <f>IF($B1514=0,NA(),IF($C1514="",NA(),IF(C$8="",NA(),IF(N(C$8)=0,NA(),IF(Inputs!$C$17="Rebased to 100",$C1514/C$8*100,$C1514)))))</f>
        <v/>
      </c>
      <c r="J1514" s="54">
        <f>IF($B1514=0,NA(),IF($D1514="",NA(),IF(D$8="",NA(),IF(N(D$8)=0,NA(),IF(Inputs!$C$17="Rebased to 100",$D1514/D$8*100,$D1514)))))</f>
        <v/>
      </c>
      <c r="K1514" s="54">
        <f>IF($B1514=0,NA(),IF($E1514="",NA(),IF(E$8="",NA(),IF(N(E$8)=0,NA(),IF(Inputs!$C$17="Rebased to 100",$E1514/E$8*100,$E1514)))))</f>
        <v/>
      </c>
      <c r="L1514" s="54">
        <f>IF($B1514=0,NA(),IF($F1514="",NA(),IF(F$8="",NA(),IF(N(F$8)=0,NA(),IF(Inputs!$C$17="Rebased to 100",$F1514/F$8*100,$F1514)))))</f>
        <v/>
      </c>
      <c r="M1514" s="54">
        <f>IF($B1514=0,NA(),IF($G1514="",NA(),IF(G$8="",NA(),IF(N(G$8)=0,NA(),IF(Inputs!$C$17="Rebased to 100",$G1514/G$8*100,$G1514)))))</f>
        <v/>
      </c>
      <c r="N1514" s="54">
        <f>IF($B1514=0,NA(),IF(Inputs!$C$18&lt;&gt;"Yes",NA(),IF(COUNT(I1514,J1514,K1514,L1514,M1514)=0,NA(),MIN(I1514,J1514,K1514,L1514,M1514))))</f>
        <v/>
      </c>
      <c r="O1514" s="54">
        <f>IF($B1514=0,NA(),IF(Inputs!$B$24&lt;&gt;"Yes",NA(),Inputs!$D$24*Inputs!$C$35))</f>
        <v/>
      </c>
      <c r="P1514" s="54">
        <f>IF($B1514=0,NA(),IF(Inputs!$B$25&lt;&gt;"Yes",NA(),Inputs!$D$25*Inputs!$C$35))</f>
        <v/>
      </c>
      <c r="Q1514" s="54">
        <f>IF($B1514=0,NA(),IF(Inputs!$B$26&lt;&gt;"Yes",NA(),Inputs!$D$26*Inputs!$C$35))</f>
        <v/>
      </c>
      <c r="R1514" s="54">
        <f>IF($B1514=0,NA(),IF(Inputs!$B$27&lt;&gt;"Yes",NA(),Inputs!$D$27*Inputs!$C$35))</f>
        <v/>
      </c>
      <c r="S1514" s="54">
        <f>IF($B1514=0,NA(),IF(Inputs!$B$28&lt;&gt;"Yes",NA(),Inputs!$D$28*Inputs!$C$35))</f>
        <v/>
      </c>
      <c r="T1514" s="54">
        <f>IF($B1514=0,NA(),IF(Inputs!$B$29&lt;&gt;"Yes",NA(),Inputs!$D$29*Inputs!$C$35))</f>
        <v/>
      </c>
      <c r="AD1514">
        <f>IF($B1514=0,0,IF(Inputs!$B$6="",0,COUNTIFS(Data!$A$10:$A$3209,"&gt;="&amp;$A1514,Data!$A$10:$A$3209,"&lt;"&amp;$A1514+1)))</f>
        <v/>
      </c>
      <c r="AE1514">
        <f>IF($B1514=0,0,IF(Inputs!$B$7="",0,COUNTIFS(Data!$E$10:$E$3209,"&gt;="&amp;$A1514,Data!$E$10:$E$3209,"&lt;"&amp;$A1514+1)))</f>
        <v/>
      </c>
      <c r="AF1514">
        <f>IF($B1514=0,0,IF(Inputs!$B$8="",0,COUNTIFS(Data!$I$10:$I$3209,"&gt;="&amp;$A1514,Data!$I$10:$I$3209,"&lt;"&amp;$A1514+1)))</f>
        <v/>
      </c>
      <c r="AG1514">
        <f>IF($B1514=0,0,IF(Inputs!$B$9="",0,COUNTIFS(Data!$M$10:$M$3209,"&gt;="&amp;$A1514,Data!$M$10:$M$3209,"&lt;"&amp;$A1514+1)))</f>
        <v/>
      </c>
      <c r="AH1514">
        <f>IF($B1514=0,0,IF(Inputs!$B$10="",0,COUNTIFS(Data!$Q$10:$Q$3209,"&gt;="&amp;$A1514,Data!$Q$10:$Q$3209,"&lt;"&amp;$A1514+1)))</f>
        <v/>
      </c>
    </row>
    <row r="1515">
      <c r="A1515" s="55">
        <f>MIN(Inputs!$C$15,$A1514+IF(WEEKDAY($A1514,2)=5,3,1))</f>
        <v/>
      </c>
      <c r="B1515">
        <f>IF($A1515&gt;$A1514,1,0)</f>
        <v/>
      </c>
      <c r="C1515" s="56">
        <f>IF($B1515=0,"",IF(Inputs!$B$6="","",IF($AD1515=0,C1514,SUMIFS(Data!$B$10:$B$3209,Data!$A$10:$A$3209,"&gt;="&amp;$A1515,Data!$A$10:$A$3209,"&lt;"&amp;$A1515+1)/$AD1515)))</f>
        <v/>
      </c>
      <c r="D1515" s="56">
        <f>IF($B1515=0,"",IF(Inputs!$B$7="","",IF($AE1515=0,D1514,SUMIFS(Data!$F$10:$F$3209,Data!$E$10:$E$3209,"&gt;="&amp;$A1515,Data!$E$10:$E$3209,"&lt;"&amp;$A1515+1)/$AE1515)))</f>
        <v/>
      </c>
      <c r="E1515" s="56">
        <f>IF($B1515=0,"",IF(Inputs!$B$8="","",IF($AF1515=0,E1514,SUMIFS(Data!$J$10:$J$3209,Data!$I$10:$I$3209,"&gt;="&amp;$A1515,Data!$I$10:$I$3209,"&lt;"&amp;$A1515+1)/$AF1515)))</f>
        <v/>
      </c>
      <c r="F1515" s="56">
        <f>IF($B1515=0,"",IF(Inputs!$B$9="","",IF($AG1515=0,F1514,SUMIFS(Data!$N$10:$N$3209,Data!$M$10:$M$3209,"&gt;="&amp;$A1515,Data!$M$10:$M$3209,"&lt;"&amp;$A1515+1)/$AG1515)))</f>
        <v/>
      </c>
      <c r="G1515" s="56">
        <f>IF($B1515=0,"",IF(Inputs!$B$10="","",IF($AH1515=0,G1514,SUMIFS(Data!$R$10:$R$3209,Data!$Q$10:$Q$3209,"&gt;="&amp;$A1515,Data!$Q$10:$Q$3209,"&lt;"&amp;$A1515+1)/$AH1515)))</f>
        <v/>
      </c>
      <c r="I1515" s="54">
        <f>IF($B1515=0,NA(),IF($C1515="",NA(),IF(C$8="",NA(),IF(N(C$8)=0,NA(),IF(Inputs!$C$17="Rebased to 100",$C1515/C$8*100,$C1515)))))</f>
        <v/>
      </c>
      <c r="J1515" s="54">
        <f>IF($B1515=0,NA(),IF($D1515="",NA(),IF(D$8="",NA(),IF(N(D$8)=0,NA(),IF(Inputs!$C$17="Rebased to 100",$D1515/D$8*100,$D1515)))))</f>
        <v/>
      </c>
      <c r="K1515" s="54">
        <f>IF($B1515=0,NA(),IF($E1515="",NA(),IF(E$8="",NA(),IF(N(E$8)=0,NA(),IF(Inputs!$C$17="Rebased to 100",$E1515/E$8*100,$E1515)))))</f>
        <v/>
      </c>
      <c r="L1515" s="54">
        <f>IF($B1515=0,NA(),IF($F1515="",NA(),IF(F$8="",NA(),IF(N(F$8)=0,NA(),IF(Inputs!$C$17="Rebased to 100",$F1515/F$8*100,$F1515)))))</f>
        <v/>
      </c>
      <c r="M1515" s="54">
        <f>IF($B1515=0,NA(),IF($G1515="",NA(),IF(G$8="",NA(),IF(N(G$8)=0,NA(),IF(Inputs!$C$17="Rebased to 100",$G1515/G$8*100,$G1515)))))</f>
        <v/>
      </c>
      <c r="N1515" s="54">
        <f>IF($B1515=0,NA(),IF(Inputs!$C$18&lt;&gt;"Yes",NA(),IF(COUNT(I1515,J1515,K1515,L1515,M1515)=0,NA(),MIN(I1515,J1515,K1515,L1515,M1515))))</f>
        <v/>
      </c>
      <c r="O1515" s="54">
        <f>IF($B1515=0,NA(),IF(Inputs!$B$24&lt;&gt;"Yes",NA(),Inputs!$D$24*Inputs!$C$35))</f>
        <v/>
      </c>
      <c r="P1515" s="54">
        <f>IF($B1515=0,NA(),IF(Inputs!$B$25&lt;&gt;"Yes",NA(),Inputs!$D$25*Inputs!$C$35))</f>
        <v/>
      </c>
      <c r="Q1515" s="54">
        <f>IF($B1515=0,NA(),IF(Inputs!$B$26&lt;&gt;"Yes",NA(),Inputs!$D$26*Inputs!$C$35))</f>
        <v/>
      </c>
      <c r="R1515" s="54">
        <f>IF($B1515=0,NA(),IF(Inputs!$B$27&lt;&gt;"Yes",NA(),Inputs!$D$27*Inputs!$C$35))</f>
        <v/>
      </c>
      <c r="S1515" s="54">
        <f>IF($B1515=0,NA(),IF(Inputs!$B$28&lt;&gt;"Yes",NA(),Inputs!$D$28*Inputs!$C$35))</f>
        <v/>
      </c>
      <c r="T1515" s="54">
        <f>IF($B1515=0,NA(),IF(Inputs!$B$29&lt;&gt;"Yes",NA(),Inputs!$D$29*Inputs!$C$35))</f>
        <v/>
      </c>
      <c r="AD1515">
        <f>IF($B1515=0,0,IF(Inputs!$B$6="",0,COUNTIFS(Data!$A$10:$A$3209,"&gt;="&amp;$A1515,Data!$A$10:$A$3209,"&lt;"&amp;$A1515+1)))</f>
        <v/>
      </c>
      <c r="AE1515">
        <f>IF($B1515=0,0,IF(Inputs!$B$7="",0,COUNTIFS(Data!$E$10:$E$3209,"&gt;="&amp;$A1515,Data!$E$10:$E$3209,"&lt;"&amp;$A1515+1)))</f>
        <v/>
      </c>
      <c r="AF1515">
        <f>IF($B1515=0,0,IF(Inputs!$B$8="",0,COUNTIFS(Data!$I$10:$I$3209,"&gt;="&amp;$A1515,Data!$I$10:$I$3209,"&lt;"&amp;$A1515+1)))</f>
        <v/>
      </c>
      <c r="AG1515">
        <f>IF($B1515=0,0,IF(Inputs!$B$9="",0,COUNTIFS(Data!$M$10:$M$3209,"&gt;="&amp;$A1515,Data!$M$10:$M$3209,"&lt;"&amp;$A1515+1)))</f>
        <v/>
      </c>
      <c r="AH1515">
        <f>IF($B1515=0,0,IF(Inputs!$B$10="",0,COUNTIFS(Data!$Q$10:$Q$3209,"&gt;="&amp;$A1515,Data!$Q$10:$Q$3209,"&lt;"&amp;$A1515+1)))</f>
        <v/>
      </c>
    </row>
    <row r="1516">
      <c r="A1516" s="55">
        <f>MIN(Inputs!$C$15,$A1515+IF(WEEKDAY($A1515,2)=5,3,1))</f>
        <v/>
      </c>
      <c r="B1516">
        <f>IF($A1516&gt;$A1515,1,0)</f>
        <v/>
      </c>
      <c r="C1516" s="56">
        <f>IF($B1516=0,"",IF(Inputs!$B$6="","",IF($AD1516=0,C1515,SUMIFS(Data!$B$10:$B$3209,Data!$A$10:$A$3209,"&gt;="&amp;$A1516,Data!$A$10:$A$3209,"&lt;"&amp;$A1516+1)/$AD1516)))</f>
        <v/>
      </c>
      <c r="D1516" s="56">
        <f>IF($B1516=0,"",IF(Inputs!$B$7="","",IF($AE1516=0,D1515,SUMIFS(Data!$F$10:$F$3209,Data!$E$10:$E$3209,"&gt;="&amp;$A1516,Data!$E$10:$E$3209,"&lt;"&amp;$A1516+1)/$AE1516)))</f>
        <v/>
      </c>
      <c r="E1516" s="56">
        <f>IF($B1516=0,"",IF(Inputs!$B$8="","",IF($AF1516=0,E1515,SUMIFS(Data!$J$10:$J$3209,Data!$I$10:$I$3209,"&gt;="&amp;$A1516,Data!$I$10:$I$3209,"&lt;"&amp;$A1516+1)/$AF1516)))</f>
        <v/>
      </c>
      <c r="F1516" s="56">
        <f>IF($B1516=0,"",IF(Inputs!$B$9="","",IF($AG1516=0,F1515,SUMIFS(Data!$N$10:$N$3209,Data!$M$10:$M$3209,"&gt;="&amp;$A1516,Data!$M$10:$M$3209,"&lt;"&amp;$A1516+1)/$AG1516)))</f>
        <v/>
      </c>
      <c r="G1516" s="56">
        <f>IF($B1516=0,"",IF(Inputs!$B$10="","",IF($AH1516=0,G1515,SUMIFS(Data!$R$10:$R$3209,Data!$Q$10:$Q$3209,"&gt;="&amp;$A1516,Data!$Q$10:$Q$3209,"&lt;"&amp;$A1516+1)/$AH1516)))</f>
        <v/>
      </c>
      <c r="I1516" s="54">
        <f>IF($B1516=0,NA(),IF($C1516="",NA(),IF(C$8="",NA(),IF(N(C$8)=0,NA(),IF(Inputs!$C$17="Rebased to 100",$C1516/C$8*100,$C1516)))))</f>
        <v/>
      </c>
      <c r="J1516" s="54">
        <f>IF($B1516=0,NA(),IF($D1516="",NA(),IF(D$8="",NA(),IF(N(D$8)=0,NA(),IF(Inputs!$C$17="Rebased to 100",$D1516/D$8*100,$D1516)))))</f>
        <v/>
      </c>
      <c r="K1516" s="54">
        <f>IF($B1516=0,NA(),IF($E1516="",NA(),IF(E$8="",NA(),IF(N(E$8)=0,NA(),IF(Inputs!$C$17="Rebased to 100",$E1516/E$8*100,$E1516)))))</f>
        <v/>
      </c>
      <c r="L1516" s="54">
        <f>IF($B1516=0,NA(),IF($F1516="",NA(),IF(F$8="",NA(),IF(N(F$8)=0,NA(),IF(Inputs!$C$17="Rebased to 100",$F1516/F$8*100,$F1516)))))</f>
        <v/>
      </c>
      <c r="M1516" s="54">
        <f>IF($B1516=0,NA(),IF($G1516="",NA(),IF(G$8="",NA(),IF(N(G$8)=0,NA(),IF(Inputs!$C$17="Rebased to 100",$G1516/G$8*100,$G1516)))))</f>
        <v/>
      </c>
      <c r="N1516" s="54">
        <f>IF($B1516=0,NA(),IF(Inputs!$C$18&lt;&gt;"Yes",NA(),IF(COUNT(I1516,J1516,K1516,L1516,M1516)=0,NA(),MIN(I1516,J1516,K1516,L1516,M1516))))</f>
        <v/>
      </c>
      <c r="O1516" s="54">
        <f>IF($B1516=0,NA(),IF(Inputs!$B$24&lt;&gt;"Yes",NA(),Inputs!$D$24*Inputs!$C$35))</f>
        <v/>
      </c>
      <c r="P1516" s="54">
        <f>IF($B1516=0,NA(),IF(Inputs!$B$25&lt;&gt;"Yes",NA(),Inputs!$D$25*Inputs!$C$35))</f>
        <v/>
      </c>
      <c r="Q1516" s="54">
        <f>IF($B1516=0,NA(),IF(Inputs!$B$26&lt;&gt;"Yes",NA(),Inputs!$D$26*Inputs!$C$35))</f>
        <v/>
      </c>
      <c r="R1516" s="54">
        <f>IF($B1516=0,NA(),IF(Inputs!$B$27&lt;&gt;"Yes",NA(),Inputs!$D$27*Inputs!$C$35))</f>
        <v/>
      </c>
      <c r="S1516" s="54">
        <f>IF($B1516=0,NA(),IF(Inputs!$B$28&lt;&gt;"Yes",NA(),Inputs!$D$28*Inputs!$C$35))</f>
        <v/>
      </c>
      <c r="T1516" s="54">
        <f>IF($B1516=0,NA(),IF(Inputs!$B$29&lt;&gt;"Yes",NA(),Inputs!$D$29*Inputs!$C$35))</f>
        <v/>
      </c>
      <c r="AD1516">
        <f>IF($B1516=0,0,IF(Inputs!$B$6="",0,COUNTIFS(Data!$A$10:$A$3209,"&gt;="&amp;$A1516,Data!$A$10:$A$3209,"&lt;"&amp;$A1516+1)))</f>
        <v/>
      </c>
      <c r="AE1516">
        <f>IF($B1516=0,0,IF(Inputs!$B$7="",0,COUNTIFS(Data!$E$10:$E$3209,"&gt;="&amp;$A1516,Data!$E$10:$E$3209,"&lt;"&amp;$A1516+1)))</f>
        <v/>
      </c>
      <c r="AF1516">
        <f>IF($B1516=0,0,IF(Inputs!$B$8="",0,COUNTIFS(Data!$I$10:$I$3209,"&gt;="&amp;$A1516,Data!$I$10:$I$3209,"&lt;"&amp;$A1516+1)))</f>
        <v/>
      </c>
      <c r="AG1516">
        <f>IF($B1516=0,0,IF(Inputs!$B$9="",0,COUNTIFS(Data!$M$10:$M$3209,"&gt;="&amp;$A1516,Data!$M$10:$M$3209,"&lt;"&amp;$A1516+1)))</f>
        <v/>
      </c>
      <c r="AH1516">
        <f>IF($B1516=0,0,IF(Inputs!$B$10="",0,COUNTIFS(Data!$Q$10:$Q$3209,"&gt;="&amp;$A1516,Data!$Q$10:$Q$3209,"&lt;"&amp;$A1516+1)))</f>
        <v/>
      </c>
    </row>
    <row r="1517">
      <c r="A1517" s="55">
        <f>MIN(Inputs!$C$15,$A1516+IF(WEEKDAY($A1516,2)=5,3,1))</f>
        <v/>
      </c>
      <c r="B1517">
        <f>IF($A1517&gt;$A1516,1,0)</f>
        <v/>
      </c>
      <c r="C1517" s="56">
        <f>IF($B1517=0,"",IF(Inputs!$B$6="","",IF($AD1517=0,C1516,SUMIFS(Data!$B$10:$B$3209,Data!$A$10:$A$3209,"&gt;="&amp;$A1517,Data!$A$10:$A$3209,"&lt;"&amp;$A1517+1)/$AD1517)))</f>
        <v/>
      </c>
      <c r="D1517" s="56">
        <f>IF($B1517=0,"",IF(Inputs!$B$7="","",IF($AE1517=0,D1516,SUMIFS(Data!$F$10:$F$3209,Data!$E$10:$E$3209,"&gt;="&amp;$A1517,Data!$E$10:$E$3209,"&lt;"&amp;$A1517+1)/$AE1517)))</f>
        <v/>
      </c>
      <c r="E1517" s="56">
        <f>IF($B1517=0,"",IF(Inputs!$B$8="","",IF($AF1517=0,E1516,SUMIFS(Data!$J$10:$J$3209,Data!$I$10:$I$3209,"&gt;="&amp;$A1517,Data!$I$10:$I$3209,"&lt;"&amp;$A1517+1)/$AF1517)))</f>
        <v/>
      </c>
      <c r="F1517" s="56">
        <f>IF($B1517=0,"",IF(Inputs!$B$9="","",IF($AG1517=0,F1516,SUMIFS(Data!$N$10:$N$3209,Data!$M$10:$M$3209,"&gt;="&amp;$A1517,Data!$M$10:$M$3209,"&lt;"&amp;$A1517+1)/$AG1517)))</f>
        <v/>
      </c>
      <c r="G1517" s="56">
        <f>IF($B1517=0,"",IF(Inputs!$B$10="","",IF($AH1517=0,G1516,SUMIFS(Data!$R$10:$R$3209,Data!$Q$10:$Q$3209,"&gt;="&amp;$A1517,Data!$Q$10:$Q$3209,"&lt;"&amp;$A1517+1)/$AH1517)))</f>
        <v/>
      </c>
      <c r="I1517" s="54">
        <f>IF($B1517=0,NA(),IF($C1517="",NA(),IF(C$8="",NA(),IF(N(C$8)=0,NA(),IF(Inputs!$C$17="Rebased to 100",$C1517/C$8*100,$C1517)))))</f>
        <v/>
      </c>
      <c r="J1517" s="54">
        <f>IF($B1517=0,NA(),IF($D1517="",NA(),IF(D$8="",NA(),IF(N(D$8)=0,NA(),IF(Inputs!$C$17="Rebased to 100",$D1517/D$8*100,$D1517)))))</f>
        <v/>
      </c>
      <c r="K1517" s="54">
        <f>IF($B1517=0,NA(),IF($E1517="",NA(),IF(E$8="",NA(),IF(N(E$8)=0,NA(),IF(Inputs!$C$17="Rebased to 100",$E1517/E$8*100,$E1517)))))</f>
        <v/>
      </c>
      <c r="L1517" s="54">
        <f>IF($B1517=0,NA(),IF($F1517="",NA(),IF(F$8="",NA(),IF(N(F$8)=0,NA(),IF(Inputs!$C$17="Rebased to 100",$F1517/F$8*100,$F1517)))))</f>
        <v/>
      </c>
      <c r="M1517" s="54">
        <f>IF($B1517=0,NA(),IF($G1517="",NA(),IF(G$8="",NA(),IF(N(G$8)=0,NA(),IF(Inputs!$C$17="Rebased to 100",$G1517/G$8*100,$G1517)))))</f>
        <v/>
      </c>
      <c r="N1517" s="54">
        <f>IF($B1517=0,NA(),IF(Inputs!$C$18&lt;&gt;"Yes",NA(),IF(COUNT(I1517,J1517,K1517,L1517,M1517)=0,NA(),MIN(I1517,J1517,K1517,L1517,M1517))))</f>
        <v/>
      </c>
      <c r="O1517" s="54">
        <f>IF($B1517=0,NA(),IF(Inputs!$B$24&lt;&gt;"Yes",NA(),Inputs!$D$24*Inputs!$C$35))</f>
        <v/>
      </c>
      <c r="P1517" s="54">
        <f>IF($B1517=0,NA(),IF(Inputs!$B$25&lt;&gt;"Yes",NA(),Inputs!$D$25*Inputs!$C$35))</f>
        <v/>
      </c>
      <c r="Q1517" s="54">
        <f>IF($B1517=0,NA(),IF(Inputs!$B$26&lt;&gt;"Yes",NA(),Inputs!$D$26*Inputs!$C$35))</f>
        <v/>
      </c>
      <c r="R1517" s="54">
        <f>IF($B1517=0,NA(),IF(Inputs!$B$27&lt;&gt;"Yes",NA(),Inputs!$D$27*Inputs!$C$35))</f>
        <v/>
      </c>
      <c r="S1517" s="54">
        <f>IF($B1517=0,NA(),IF(Inputs!$B$28&lt;&gt;"Yes",NA(),Inputs!$D$28*Inputs!$C$35))</f>
        <v/>
      </c>
      <c r="T1517" s="54">
        <f>IF($B1517=0,NA(),IF(Inputs!$B$29&lt;&gt;"Yes",NA(),Inputs!$D$29*Inputs!$C$35))</f>
        <v/>
      </c>
      <c r="AD1517">
        <f>IF($B1517=0,0,IF(Inputs!$B$6="",0,COUNTIFS(Data!$A$10:$A$3209,"&gt;="&amp;$A1517,Data!$A$10:$A$3209,"&lt;"&amp;$A1517+1)))</f>
        <v/>
      </c>
      <c r="AE1517">
        <f>IF($B1517=0,0,IF(Inputs!$B$7="",0,COUNTIFS(Data!$E$10:$E$3209,"&gt;="&amp;$A1517,Data!$E$10:$E$3209,"&lt;"&amp;$A1517+1)))</f>
        <v/>
      </c>
      <c r="AF1517">
        <f>IF($B1517=0,0,IF(Inputs!$B$8="",0,COUNTIFS(Data!$I$10:$I$3209,"&gt;="&amp;$A1517,Data!$I$10:$I$3209,"&lt;"&amp;$A1517+1)))</f>
        <v/>
      </c>
      <c r="AG1517">
        <f>IF($B1517=0,0,IF(Inputs!$B$9="",0,COUNTIFS(Data!$M$10:$M$3209,"&gt;="&amp;$A1517,Data!$M$10:$M$3209,"&lt;"&amp;$A1517+1)))</f>
        <v/>
      </c>
      <c r="AH1517">
        <f>IF($B1517=0,0,IF(Inputs!$B$10="",0,COUNTIFS(Data!$Q$10:$Q$3209,"&gt;="&amp;$A1517,Data!$Q$10:$Q$3209,"&lt;"&amp;$A1517+1)))</f>
        <v/>
      </c>
    </row>
    <row r="1518">
      <c r="A1518" s="55">
        <f>MIN(Inputs!$C$15,$A1517+IF(WEEKDAY($A1517,2)=5,3,1))</f>
        <v/>
      </c>
      <c r="B1518">
        <f>IF($A1518&gt;$A1517,1,0)</f>
        <v/>
      </c>
      <c r="C1518" s="56">
        <f>IF($B1518=0,"",IF(Inputs!$B$6="","",IF($AD1518=0,C1517,SUMIFS(Data!$B$10:$B$3209,Data!$A$10:$A$3209,"&gt;="&amp;$A1518,Data!$A$10:$A$3209,"&lt;"&amp;$A1518+1)/$AD1518)))</f>
        <v/>
      </c>
      <c r="D1518" s="56">
        <f>IF($B1518=0,"",IF(Inputs!$B$7="","",IF($AE1518=0,D1517,SUMIFS(Data!$F$10:$F$3209,Data!$E$10:$E$3209,"&gt;="&amp;$A1518,Data!$E$10:$E$3209,"&lt;"&amp;$A1518+1)/$AE1518)))</f>
        <v/>
      </c>
      <c r="E1518" s="56">
        <f>IF($B1518=0,"",IF(Inputs!$B$8="","",IF($AF1518=0,E1517,SUMIFS(Data!$J$10:$J$3209,Data!$I$10:$I$3209,"&gt;="&amp;$A1518,Data!$I$10:$I$3209,"&lt;"&amp;$A1518+1)/$AF1518)))</f>
        <v/>
      </c>
      <c r="F1518" s="56">
        <f>IF($B1518=0,"",IF(Inputs!$B$9="","",IF($AG1518=0,F1517,SUMIFS(Data!$N$10:$N$3209,Data!$M$10:$M$3209,"&gt;="&amp;$A1518,Data!$M$10:$M$3209,"&lt;"&amp;$A1518+1)/$AG1518)))</f>
        <v/>
      </c>
      <c r="G1518" s="56">
        <f>IF($B1518=0,"",IF(Inputs!$B$10="","",IF($AH1518=0,G1517,SUMIFS(Data!$R$10:$R$3209,Data!$Q$10:$Q$3209,"&gt;="&amp;$A1518,Data!$Q$10:$Q$3209,"&lt;"&amp;$A1518+1)/$AH1518)))</f>
        <v/>
      </c>
      <c r="I1518" s="54">
        <f>IF($B1518=0,NA(),IF($C1518="",NA(),IF(C$8="",NA(),IF(N(C$8)=0,NA(),IF(Inputs!$C$17="Rebased to 100",$C1518/C$8*100,$C1518)))))</f>
        <v/>
      </c>
      <c r="J1518" s="54">
        <f>IF($B1518=0,NA(),IF($D1518="",NA(),IF(D$8="",NA(),IF(N(D$8)=0,NA(),IF(Inputs!$C$17="Rebased to 100",$D1518/D$8*100,$D1518)))))</f>
        <v/>
      </c>
      <c r="K1518" s="54">
        <f>IF($B1518=0,NA(),IF($E1518="",NA(),IF(E$8="",NA(),IF(N(E$8)=0,NA(),IF(Inputs!$C$17="Rebased to 100",$E1518/E$8*100,$E1518)))))</f>
        <v/>
      </c>
      <c r="L1518" s="54">
        <f>IF($B1518=0,NA(),IF($F1518="",NA(),IF(F$8="",NA(),IF(N(F$8)=0,NA(),IF(Inputs!$C$17="Rebased to 100",$F1518/F$8*100,$F1518)))))</f>
        <v/>
      </c>
      <c r="M1518" s="54">
        <f>IF($B1518=0,NA(),IF($G1518="",NA(),IF(G$8="",NA(),IF(N(G$8)=0,NA(),IF(Inputs!$C$17="Rebased to 100",$G1518/G$8*100,$G1518)))))</f>
        <v/>
      </c>
      <c r="N1518" s="54">
        <f>IF($B1518=0,NA(),IF(Inputs!$C$18&lt;&gt;"Yes",NA(),IF(COUNT(I1518,J1518,K1518,L1518,M1518)=0,NA(),MIN(I1518,J1518,K1518,L1518,M1518))))</f>
        <v/>
      </c>
      <c r="O1518" s="54">
        <f>IF($B1518=0,NA(),IF(Inputs!$B$24&lt;&gt;"Yes",NA(),Inputs!$D$24*Inputs!$C$35))</f>
        <v/>
      </c>
      <c r="P1518" s="54">
        <f>IF($B1518=0,NA(),IF(Inputs!$B$25&lt;&gt;"Yes",NA(),Inputs!$D$25*Inputs!$C$35))</f>
        <v/>
      </c>
      <c r="Q1518" s="54">
        <f>IF($B1518=0,NA(),IF(Inputs!$B$26&lt;&gt;"Yes",NA(),Inputs!$D$26*Inputs!$C$35))</f>
        <v/>
      </c>
      <c r="R1518" s="54">
        <f>IF($B1518=0,NA(),IF(Inputs!$B$27&lt;&gt;"Yes",NA(),Inputs!$D$27*Inputs!$C$35))</f>
        <v/>
      </c>
      <c r="S1518" s="54">
        <f>IF($B1518=0,NA(),IF(Inputs!$B$28&lt;&gt;"Yes",NA(),Inputs!$D$28*Inputs!$C$35))</f>
        <v/>
      </c>
      <c r="T1518" s="54">
        <f>IF($B1518=0,NA(),IF(Inputs!$B$29&lt;&gt;"Yes",NA(),Inputs!$D$29*Inputs!$C$35))</f>
        <v/>
      </c>
      <c r="AD1518">
        <f>IF($B1518=0,0,IF(Inputs!$B$6="",0,COUNTIFS(Data!$A$10:$A$3209,"&gt;="&amp;$A1518,Data!$A$10:$A$3209,"&lt;"&amp;$A1518+1)))</f>
        <v/>
      </c>
      <c r="AE1518">
        <f>IF($B1518=0,0,IF(Inputs!$B$7="",0,COUNTIFS(Data!$E$10:$E$3209,"&gt;="&amp;$A1518,Data!$E$10:$E$3209,"&lt;"&amp;$A1518+1)))</f>
        <v/>
      </c>
      <c r="AF1518">
        <f>IF($B1518=0,0,IF(Inputs!$B$8="",0,COUNTIFS(Data!$I$10:$I$3209,"&gt;="&amp;$A1518,Data!$I$10:$I$3209,"&lt;"&amp;$A1518+1)))</f>
        <v/>
      </c>
      <c r="AG1518">
        <f>IF($B1518=0,0,IF(Inputs!$B$9="",0,COUNTIFS(Data!$M$10:$M$3209,"&gt;="&amp;$A1518,Data!$M$10:$M$3209,"&lt;"&amp;$A1518+1)))</f>
        <v/>
      </c>
      <c r="AH1518">
        <f>IF($B1518=0,0,IF(Inputs!$B$10="",0,COUNTIFS(Data!$Q$10:$Q$3209,"&gt;="&amp;$A1518,Data!$Q$10:$Q$3209,"&lt;"&amp;$A1518+1)))</f>
        <v/>
      </c>
    </row>
    <row r="1519">
      <c r="A1519" s="55">
        <f>MIN(Inputs!$C$15,$A1518+IF(WEEKDAY($A1518,2)=5,3,1))</f>
        <v/>
      </c>
      <c r="B1519">
        <f>IF($A1519&gt;$A1518,1,0)</f>
        <v/>
      </c>
      <c r="C1519" s="56">
        <f>IF($B1519=0,"",IF(Inputs!$B$6="","",IF($AD1519=0,C1518,SUMIFS(Data!$B$10:$B$3209,Data!$A$10:$A$3209,"&gt;="&amp;$A1519,Data!$A$10:$A$3209,"&lt;"&amp;$A1519+1)/$AD1519)))</f>
        <v/>
      </c>
      <c r="D1519" s="56">
        <f>IF($B1519=0,"",IF(Inputs!$B$7="","",IF($AE1519=0,D1518,SUMIFS(Data!$F$10:$F$3209,Data!$E$10:$E$3209,"&gt;="&amp;$A1519,Data!$E$10:$E$3209,"&lt;"&amp;$A1519+1)/$AE1519)))</f>
        <v/>
      </c>
      <c r="E1519" s="56">
        <f>IF($B1519=0,"",IF(Inputs!$B$8="","",IF($AF1519=0,E1518,SUMIFS(Data!$J$10:$J$3209,Data!$I$10:$I$3209,"&gt;="&amp;$A1519,Data!$I$10:$I$3209,"&lt;"&amp;$A1519+1)/$AF1519)))</f>
        <v/>
      </c>
      <c r="F1519" s="56">
        <f>IF($B1519=0,"",IF(Inputs!$B$9="","",IF($AG1519=0,F1518,SUMIFS(Data!$N$10:$N$3209,Data!$M$10:$M$3209,"&gt;="&amp;$A1519,Data!$M$10:$M$3209,"&lt;"&amp;$A1519+1)/$AG1519)))</f>
        <v/>
      </c>
      <c r="G1519" s="56">
        <f>IF($B1519=0,"",IF(Inputs!$B$10="","",IF($AH1519=0,G1518,SUMIFS(Data!$R$10:$R$3209,Data!$Q$10:$Q$3209,"&gt;="&amp;$A1519,Data!$Q$10:$Q$3209,"&lt;"&amp;$A1519+1)/$AH1519)))</f>
        <v/>
      </c>
      <c r="I1519" s="54">
        <f>IF($B1519=0,NA(),IF($C1519="",NA(),IF(C$8="",NA(),IF(N(C$8)=0,NA(),IF(Inputs!$C$17="Rebased to 100",$C1519/C$8*100,$C1519)))))</f>
        <v/>
      </c>
      <c r="J1519" s="54">
        <f>IF($B1519=0,NA(),IF($D1519="",NA(),IF(D$8="",NA(),IF(N(D$8)=0,NA(),IF(Inputs!$C$17="Rebased to 100",$D1519/D$8*100,$D1519)))))</f>
        <v/>
      </c>
      <c r="K1519" s="54">
        <f>IF($B1519=0,NA(),IF($E1519="",NA(),IF(E$8="",NA(),IF(N(E$8)=0,NA(),IF(Inputs!$C$17="Rebased to 100",$E1519/E$8*100,$E1519)))))</f>
        <v/>
      </c>
      <c r="L1519" s="54">
        <f>IF($B1519=0,NA(),IF($F1519="",NA(),IF(F$8="",NA(),IF(N(F$8)=0,NA(),IF(Inputs!$C$17="Rebased to 100",$F1519/F$8*100,$F1519)))))</f>
        <v/>
      </c>
      <c r="M1519" s="54">
        <f>IF($B1519=0,NA(),IF($G1519="",NA(),IF(G$8="",NA(),IF(N(G$8)=0,NA(),IF(Inputs!$C$17="Rebased to 100",$G1519/G$8*100,$G1519)))))</f>
        <v/>
      </c>
      <c r="N1519" s="54">
        <f>IF($B1519=0,NA(),IF(Inputs!$C$18&lt;&gt;"Yes",NA(),IF(COUNT(I1519,J1519,K1519,L1519,M1519)=0,NA(),MIN(I1519,J1519,K1519,L1519,M1519))))</f>
        <v/>
      </c>
      <c r="O1519" s="54">
        <f>IF($B1519=0,NA(),IF(Inputs!$B$24&lt;&gt;"Yes",NA(),Inputs!$D$24*Inputs!$C$35))</f>
        <v/>
      </c>
      <c r="P1519" s="54">
        <f>IF($B1519=0,NA(),IF(Inputs!$B$25&lt;&gt;"Yes",NA(),Inputs!$D$25*Inputs!$C$35))</f>
        <v/>
      </c>
      <c r="Q1519" s="54">
        <f>IF($B1519=0,NA(),IF(Inputs!$B$26&lt;&gt;"Yes",NA(),Inputs!$D$26*Inputs!$C$35))</f>
        <v/>
      </c>
      <c r="R1519" s="54">
        <f>IF($B1519=0,NA(),IF(Inputs!$B$27&lt;&gt;"Yes",NA(),Inputs!$D$27*Inputs!$C$35))</f>
        <v/>
      </c>
      <c r="S1519" s="54">
        <f>IF($B1519=0,NA(),IF(Inputs!$B$28&lt;&gt;"Yes",NA(),Inputs!$D$28*Inputs!$C$35))</f>
        <v/>
      </c>
      <c r="T1519" s="54">
        <f>IF($B1519=0,NA(),IF(Inputs!$B$29&lt;&gt;"Yes",NA(),Inputs!$D$29*Inputs!$C$35))</f>
        <v/>
      </c>
      <c r="AD1519">
        <f>IF($B1519=0,0,IF(Inputs!$B$6="",0,COUNTIFS(Data!$A$10:$A$3209,"&gt;="&amp;$A1519,Data!$A$10:$A$3209,"&lt;"&amp;$A1519+1)))</f>
        <v/>
      </c>
      <c r="AE1519">
        <f>IF($B1519=0,0,IF(Inputs!$B$7="",0,COUNTIFS(Data!$E$10:$E$3209,"&gt;="&amp;$A1519,Data!$E$10:$E$3209,"&lt;"&amp;$A1519+1)))</f>
        <v/>
      </c>
      <c r="AF1519">
        <f>IF($B1519=0,0,IF(Inputs!$B$8="",0,COUNTIFS(Data!$I$10:$I$3209,"&gt;="&amp;$A1519,Data!$I$10:$I$3209,"&lt;"&amp;$A1519+1)))</f>
        <v/>
      </c>
      <c r="AG1519">
        <f>IF($B1519=0,0,IF(Inputs!$B$9="",0,COUNTIFS(Data!$M$10:$M$3209,"&gt;="&amp;$A1519,Data!$M$10:$M$3209,"&lt;"&amp;$A1519+1)))</f>
        <v/>
      </c>
      <c r="AH1519">
        <f>IF($B1519=0,0,IF(Inputs!$B$10="",0,COUNTIFS(Data!$Q$10:$Q$3209,"&gt;="&amp;$A1519,Data!$Q$10:$Q$3209,"&lt;"&amp;$A1519+1)))</f>
        <v/>
      </c>
    </row>
    <row r="1520">
      <c r="A1520" s="55">
        <f>MIN(Inputs!$C$15,$A1519+IF(WEEKDAY($A1519,2)=5,3,1))</f>
        <v/>
      </c>
      <c r="B1520">
        <f>IF($A1520&gt;$A1519,1,0)</f>
        <v/>
      </c>
      <c r="C1520" s="56">
        <f>IF($B1520=0,"",IF(Inputs!$B$6="","",IF($AD1520=0,C1519,SUMIFS(Data!$B$10:$B$3209,Data!$A$10:$A$3209,"&gt;="&amp;$A1520,Data!$A$10:$A$3209,"&lt;"&amp;$A1520+1)/$AD1520)))</f>
        <v/>
      </c>
      <c r="D1520" s="56">
        <f>IF($B1520=0,"",IF(Inputs!$B$7="","",IF($AE1520=0,D1519,SUMIFS(Data!$F$10:$F$3209,Data!$E$10:$E$3209,"&gt;="&amp;$A1520,Data!$E$10:$E$3209,"&lt;"&amp;$A1520+1)/$AE1520)))</f>
        <v/>
      </c>
      <c r="E1520" s="56">
        <f>IF($B1520=0,"",IF(Inputs!$B$8="","",IF($AF1520=0,E1519,SUMIFS(Data!$J$10:$J$3209,Data!$I$10:$I$3209,"&gt;="&amp;$A1520,Data!$I$10:$I$3209,"&lt;"&amp;$A1520+1)/$AF1520)))</f>
        <v/>
      </c>
      <c r="F1520" s="56">
        <f>IF($B1520=0,"",IF(Inputs!$B$9="","",IF($AG1520=0,F1519,SUMIFS(Data!$N$10:$N$3209,Data!$M$10:$M$3209,"&gt;="&amp;$A1520,Data!$M$10:$M$3209,"&lt;"&amp;$A1520+1)/$AG1520)))</f>
        <v/>
      </c>
      <c r="G1520" s="56">
        <f>IF($B1520=0,"",IF(Inputs!$B$10="","",IF($AH1520=0,G1519,SUMIFS(Data!$R$10:$R$3209,Data!$Q$10:$Q$3209,"&gt;="&amp;$A1520,Data!$Q$10:$Q$3209,"&lt;"&amp;$A1520+1)/$AH1520)))</f>
        <v/>
      </c>
      <c r="I1520" s="54">
        <f>IF($B1520=0,NA(),IF($C1520="",NA(),IF(C$8="",NA(),IF(N(C$8)=0,NA(),IF(Inputs!$C$17="Rebased to 100",$C1520/C$8*100,$C1520)))))</f>
        <v/>
      </c>
      <c r="J1520" s="54">
        <f>IF($B1520=0,NA(),IF($D1520="",NA(),IF(D$8="",NA(),IF(N(D$8)=0,NA(),IF(Inputs!$C$17="Rebased to 100",$D1520/D$8*100,$D1520)))))</f>
        <v/>
      </c>
      <c r="K1520" s="54">
        <f>IF($B1520=0,NA(),IF($E1520="",NA(),IF(E$8="",NA(),IF(N(E$8)=0,NA(),IF(Inputs!$C$17="Rebased to 100",$E1520/E$8*100,$E1520)))))</f>
        <v/>
      </c>
      <c r="L1520" s="54">
        <f>IF($B1520=0,NA(),IF($F1520="",NA(),IF(F$8="",NA(),IF(N(F$8)=0,NA(),IF(Inputs!$C$17="Rebased to 100",$F1520/F$8*100,$F1520)))))</f>
        <v/>
      </c>
      <c r="M1520" s="54">
        <f>IF($B1520=0,NA(),IF($G1520="",NA(),IF(G$8="",NA(),IF(N(G$8)=0,NA(),IF(Inputs!$C$17="Rebased to 100",$G1520/G$8*100,$G1520)))))</f>
        <v/>
      </c>
      <c r="N1520" s="54">
        <f>IF($B1520=0,NA(),IF(Inputs!$C$18&lt;&gt;"Yes",NA(),IF(COUNT(I1520,J1520,K1520,L1520,M1520)=0,NA(),MIN(I1520,J1520,K1520,L1520,M1520))))</f>
        <v/>
      </c>
      <c r="O1520" s="54">
        <f>IF($B1520=0,NA(),IF(Inputs!$B$24&lt;&gt;"Yes",NA(),Inputs!$D$24*Inputs!$C$35))</f>
        <v/>
      </c>
      <c r="P1520" s="54">
        <f>IF($B1520=0,NA(),IF(Inputs!$B$25&lt;&gt;"Yes",NA(),Inputs!$D$25*Inputs!$C$35))</f>
        <v/>
      </c>
      <c r="Q1520" s="54">
        <f>IF($B1520=0,NA(),IF(Inputs!$B$26&lt;&gt;"Yes",NA(),Inputs!$D$26*Inputs!$C$35))</f>
        <v/>
      </c>
      <c r="R1520" s="54">
        <f>IF($B1520=0,NA(),IF(Inputs!$B$27&lt;&gt;"Yes",NA(),Inputs!$D$27*Inputs!$C$35))</f>
        <v/>
      </c>
      <c r="S1520" s="54">
        <f>IF($B1520=0,NA(),IF(Inputs!$B$28&lt;&gt;"Yes",NA(),Inputs!$D$28*Inputs!$C$35))</f>
        <v/>
      </c>
      <c r="T1520" s="54">
        <f>IF($B1520=0,NA(),IF(Inputs!$B$29&lt;&gt;"Yes",NA(),Inputs!$D$29*Inputs!$C$35))</f>
        <v/>
      </c>
      <c r="AD1520">
        <f>IF($B1520=0,0,IF(Inputs!$B$6="",0,COUNTIFS(Data!$A$10:$A$3209,"&gt;="&amp;$A1520,Data!$A$10:$A$3209,"&lt;"&amp;$A1520+1)))</f>
        <v/>
      </c>
      <c r="AE1520">
        <f>IF($B1520=0,0,IF(Inputs!$B$7="",0,COUNTIFS(Data!$E$10:$E$3209,"&gt;="&amp;$A1520,Data!$E$10:$E$3209,"&lt;"&amp;$A1520+1)))</f>
        <v/>
      </c>
      <c r="AF1520">
        <f>IF($B1520=0,0,IF(Inputs!$B$8="",0,COUNTIFS(Data!$I$10:$I$3209,"&gt;="&amp;$A1520,Data!$I$10:$I$3209,"&lt;"&amp;$A1520+1)))</f>
        <v/>
      </c>
      <c r="AG1520">
        <f>IF($B1520=0,0,IF(Inputs!$B$9="",0,COUNTIFS(Data!$M$10:$M$3209,"&gt;="&amp;$A1520,Data!$M$10:$M$3209,"&lt;"&amp;$A1520+1)))</f>
        <v/>
      </c>
      <c r="AH1520">
        <f>IF($B1520=0,0,IF(Inputs!$B$10="",0,COUNTIFS(Data!$Q$10:$Q$3209,"&gt;="&amp;$A1520,Data!$Q$10:$Q$3209,"&lt;"&amp;$A1520+1)))</f>
        <v/>
      </c>
    </row>
    <row r="1521">
      <c r="A1521" s="55">
        <f>MIN(Inputs!$C$15,$A1520+IF(WEEKDAY($A1520,2)=5,3,1))</f>
        <v/>
      </c>
      <c r="B1521">
        <f>IF($A1521&gt;$A1520,1,0)</f>
        <v/>
      </c>
      <c r="C1521" s="56">
        <f>IF($B1521=0,"",IF(Inputs!$B$6="","",IF($AD1521=0,C1520,SUMIFS(Data!$B$10:$B$3209,Data!$A$10:$A$3209,"&gt;="&amp;$A1521,Data!$A$10:$A$3209,"&lt;"&amp;$A1521+1)/$AD1521)))</f>
        <v/>
      </c>
      <c r="D1521" s="56">
        <f>IF($B1521=0,"",IF(Inputs!$B$7="","",IF($AE1521=0,D1520,SUMIFS(Data!$F$10:$F$3209,Data!$E$10:$E$3209,"&gt;="&amp;$A1521,Data!$E$10:$E$3209,"&lt;"&amp;$A1521+1)/$AE1521)))</f>
        <v/>
      </c>
      <c r="E1521" s="56">
        <f>IF($B1521=0,"",IF(Inputs!$B$8="","",IF($AF1521=0,E1520,SUMIFS(Data!$J$10:$J$3209,Data!$I$10:$I$3209,"&gt;="&amp;$A1521,Data!$I$10:$I$3209,"&lt;"&amp;$A1521+1)/$AF1521)))</f>
        <v/>
      </c>
      <c r="F1521" s="56">
        <f>IF($B1521=0,"",IF(Inputs!$B$9="","",IF($AG1521=0,F1520,SUMIFS(Data!$N$10:$N$3209,Data!$M$10:$M$3209,"&gt;="&amp;$A1521,Data!$M$10:$M$3209,"&lt;"&amp;$A1521+1)/$AG1521)))</f>
        <v/>
      </c>
      <c r="G1521" s="56">
        <f>IF($B1521=0,"",IF(Inputs!$B$10="","",IF($AH1521=0,G1520,SUMIFS(Data!$R$10:$R$3209,Data!$Q$10:$Q$3209,"&gt;="&amp;$A1521,Data!$Q$10:$Q$3209,"&lt;"&amp;$A1521+1)/$AH1521)))</f>
        <v/>
      </c>
      <c r="I1521" s="54">
        <f>IF($B1521=0,NA(),IF($C1521="",NA(),IF(C$8="",NA(),IF(N(C$8)=0,NA(),IF(Inputs!$C$17="Rebased to 100",$C1521/C$8*100,$C1521)))))</f>
        <v/>
      </c>
      <c r="J1521" s="54">
        <f>IF($B1521=0,NA(),IF($D1521="",NA(),IF(D$8="",NA(),IF(N(D$8)=0,NA(),IF(Inputs!$C$17="Rebased to 100",$D1521/D$8*100,$D1521)))))</f>
        <v/>
      </c>
      <c r="K1521" s="54">
        <f>IF($B1521=0,NA(),IF($E1521="",NA(),IF(E$8="",NA(),IF(N(E$8)=0,NA(),IF(Inputs!$C$17="Rebased to 100",$E1521/E$8*100,$E1521)))))</f>
        <v/>
      </c>
      <c r="L1521" s="54">
        <f>IF($B1521=0,NA(),IF($F1521="",NA(),IF(F$8="",NA(),IF(N(F$8)=0,NA(),IF(Inputs!$C$17="Rebased to 100",$F1521/F$8*100,$F1521)))))</f>
        <v/>
      </c>
      <c r="M1521" s="54">
        <f>IF($B1521=0,NA(),IF($G1521="",NA(),IF(G$8="",NA(),IF(N(G$8)=0,NA(),IF(Inputs!$C$17="Rebased to 100",$G1521/G$8*100,$G1521)))))</f>
        <v/>
      </c>
      <c r="N1521" s="54">
        <f>IF($B1521=0,NA(),IF(Inputs!$C$18&lt;&gt;"Yes",NA(),IF(COUNT(I1521,J1521,K1521,L1521,M1521)=0,NA(),MIN(I1521,J1521,K1521,L1521,M1521))))</f>
        <v/>
      </c>
      <c r="O1521" s="54">
        <f>IF($B1521=0,NA(),IF(Inputs!$B$24&lt;&gt;"Yes",NA(),Inputs!$D$24*Inputs!$C$35))</f>
        <v/>
      </c>
      <c r="P1521" s="54">
        <f>IF($B1521=0,NA(),IF(Inputs!$B$25&lt;&gt;"Yes",NA(),Inputs!$D$25*Inputs!$C$35))</f>
        <v/>
      </c>
      <c r="Q1521" s="54">
        <f>IF($B1521=0,NA(),IF(Inputs!$B$26&lt;&gt;"Yes",NA(),Inputs!$D$26*Inputs!$C$35))</f>
        <v/>
      </c>
      <c r="R1521" s="54">
        <f>IF($B1521=0,NA(),IF(Inputs!$B$27&lt;&gt;"Yes",NA(),Inputs!$D$27*Inputs!$C$35))</f>
        <v/>
      </c>
      <c r="S1521" s="54">
        <f>IF($B1521=0,NA(),IF(Inputs!$B$28&lt;&gt;"Yes",NA(),Inputs!$D$28*Inputs!$C$35))</f>
        <v/>
      </c>
      <c r="T1521" s="54">
        <f>IF($B1521=0,NA(),IF(Inputs!$B$29&lt;&gt;"Yes",NA(),Inputs!$D$29*Inputs!$C$35))</f>
        <v/>
      </c>
      <c r="AD1521">
        <f>IF($B1521=0,0,IF(Inputs!$B$6="",0,COUNTIFS(Data!$A$10:$A$3209,"&gt;="&amp;$A1521,Data!$A$10:$A$3209,"&lt;"&amp;$A1521+1)))</f>
        <v/>
      </c>
      <c r="AE1521">
        <f>IF($B1521=0,0,IF(Inputs!$B$7="",0,COUNTIFS(Data!$E$10:$E$3209,"&gt;="&amp;$A1521,Data!$E$10:$E$3209,"&lt;"&amp;$A1521+1)))</f>
        <v/>
      </c>
      <c r="AF1521">
        <f>IF($B1521=0,0,IF(Inputs!$B$8="",0,COUNTIFS(Data!$I$10:$I$3209,"&gt;="&amp;$A1521,Data!$I$10:$I$3209,"&lt;"&amp;$A1521+1)))</f>
        <v/>
      </c>
      <c r="AG1521">
        <f>IF($B1521=0,0,IF(Inputs!$B$9="",0,COUNTIFS(Data!$M$10:$M$3209,"&gt;="&amp;$A1521,Data!$M$10:$M$3209,"&lt;"&amp;$A1521+1)))</f>
        <v/>
      </c>
      <c r="AH1521">
        <f>IF($B1521=0,0,IF(Inputs!$B$10="",0,COUNTIFS(Data!$Q$10:$Q$3209,"&gt;="&amp;$A1521,Data!$Q$10:$Q$3209,"&lt;"&amp;$A1521+1)))</f>
        <v/>
      </c>
    </row>
    <row r="1522">
      <c r="A1522" s="55">
        <f>MIN(Inputs!$C$15,$A1521+IF(WEEKDAY($A1521,2)=5,3,1))</f>
        <v/>
      </c>
      <c r="B1522">
        <f>IF($A1522&gt;$A1521,1,0)</f>
        <v/>
      </c>
      <c r="C1522" s="56">
        <f>IF($B1522=0,"",IF(Inputs!$B$6="","",IF($AD1522=0,C1521,SUMIFS(Data!$B$10:$B$3209,Data!$A$10:$A$3209,"&gt;="&amp;$A1522,Data!$A$10:$A$3209,"&lt;"&amp;$A1522+1)/$AD1522)))</f>
        <v/>
      </c>
      <c r="D1522" s="56">
        <f>IF($B1522=0,"",IF(Inputs!$B$7="","",IF($AE1522=0,D1521,SUMIFS(Data!$F$10:$F$3209,Data!$E$10:$E$3209,"&gt;="&amp;$A1522,Data!$E$10:$E$3209,"&lt;"&amp;$A1522+1)/$AE1522)))</f>
        <v/>
      </c>
      <c r="E1522" s="56">
        <f>IF($B1522=0,"",IF(Inputs!$B$8="","",IF($AF1522=0,E1521,SUMIFS(Data!$J$10:$J$3209,Data!$I$10:$I$3209,"&gt;="&amp;$A1522,Data!$I$10:$I$3209,"&lt;"&amp;$A1522+1)/$AF1522)))</f>
        <v/>
      </c>
      <c r="F1522" s="56">
        <f>IF($B1522=0,"",IF(Inputs!$B$9="","",IF($AG1522=0,F1521,SUMIFS(Data!$N$10:$N$3209,Data!$M$10:$M$3209,"&gt;="&amp;$A1522,Data!$M$10:$M$3209,"&lt;"&amp;$A1522+1)/$AG1522)))</f>
        <v/>
      </c>
      <c r="G1522" s="56">
        <f>IF($B1522=0,"",IF(Inputs!$B$10="","",IF($AH1522=0,G1521,SUMIFS(Data!$R$10:$R$3209,Data!$Q$10:$Q$3209,"&gt;="&amp;$A1522,Data!$Q$10:$Q$3209,"&lt;"&amp;$A1522+1)/$AH1522)))</f>
        <v/>
      </c>
      <c r="I1522" s="54">
        <f>IF($B1522=0,NA(),IF($C1522="",NA(),IF(C$8="",NA(),IF(N(C$8)=0,NA(),IF(Inputs!$C$17="Rebased to 100",$C1522/C$8*100,$C1522)))))</f>
        <v/>
      </c>
      <c r="J1522" s="54">
        <f>IF($B1522=0,NA(),IF($D1522="",NA(),IF(D$8="",NA(),IF(N(D$8)=0,NA(),IF(Inputs!$C$17="Rebased to 100",$D1522/D$8*100,$D1522)))))</f>
        <v/>
      </c>
      <c r="K1522" s="54">
        <f>IF($B1522=0,NA(),IF($E1522="",NA(),IF(E$8="",NA(),IF(N(E$8)=0,NA(),IF(Inputs!$C$17="Rebased to 100",$E1522/E$8*100,$E1522)))))</f>
        <v/>
      </c>
      <c r="L1522" s="54">
        <f>IF($B1522=0,NA(),IF($F1522="",NA(),IF(F$8="",NA(),IF(N(F$8)=0,NA(),IF(Inputs!$C$17="Rebased to 100",$F1522/F$8*100,$F1522)))))</f>
        <v/>
      </c>
      <c r="M1522" s="54">
        <f>IF($B1522=0,NA(),IF($G1522="",NA(),IF(G$8="",NA(),IF(N(G$8)=0,NA(),IF(Inputs!$C$17="Rebased to 100",$G1522/G$8*100,$G1522)))))</f>
        <v/>
      </c>
      <c r="N1522" s="54">
        <f>IF($B1522=0,NA(),IF(Inputs!$C$18&lt;&gt;"Yes",NA(),IF(COUNT(I1522,J1522,K1522,L1522,M1522)=0,NA(),MIN(I1522,J1522,K1522,L1522,M1522))))</f>
        <v/>
      </c>
      <c r="O1522" s="54">
        <f>IF($B1522=0,NA(),IF(Inputs!$B$24&lt;&gt;"Yes",NA(),Inputs!$D$24*Inputs!$C$35))</f>
        <v/>
      </c>
      <c r="P1522" s="54">
        <f>IF($B1522=0,NA(),IF(Inputs!$B$25&lt;&gt;"Yes",NA(),Inputs!$D$25*Inputs!$C$35))</f>
        <v/>
      </c>
      <c r="Q1522" s="54">
        <f>IF($B1522=0,NA(),IF(Inputs!$B$26&lt;&gt;"Yes",NA(),Inputs!$D$26*Inputs!$C$35))</f>
        <v/>
      </c>
      <c r="R1522" s="54">
        <f>IF($B1522=0,NA(),IF(Inputs!$B$27&lt;&gt;"Yes",NA(),Inputs!$D$27*Inputs!$C$35))</f>
        <v/>
      </c>
      <c r="S1522" s="54">
        <f>IF($B1522=0,NA(),IF(Inputs!$B$28&lt;&gt;"Yes",NA(),Inputs!$D$28*Inputs!$C$35))</f>
        <v/>
      </c>
      <c r="T1522" s="54">
        <f>IF($B1522=0,NA(),IF(Inputs!$B$29&lt;&gt;"Yes",NA(),Inputs!$D$29*Inputs!$C$35))</f>
        <v/>
      </c>
      <c r="AD1522">
        <f>IF($B1522=0,0,IF(Inputs!$B$6="",0,COUNTIFS(Data!$A$10:$A$3209,"&gt;="&amp;$A1522,Data!$A$10:$A$3209,"&lt;"&amp;$A1522+1)))</f>
        <v/>
      </c>
      <c r="AE1522">
        <f>IF($B1522=0,0,IF(Inputs!$B$7="",0,COUNTIFS(Data!$E$10:$E$3209,"&gt;="&amp;$A1522,Data!$E$10:$E$3209,"&lt;"&amp;$A1522+1)))</f>
        <v/>
      </c>
      <c r="AF1522">
        <f>IF($B1522=0,0,IF(Inputs!$B$8="",0,COUNTIFS(Data!$I$10:$I$3209,"&gt;="&amp;$A1522,Data!$I$10:$I$3209,"&lt;"&amp;$A1522+1)))</f>
        <v/>
      </c>
      <c r="AG1522">
        <f>IF($B1522=0,0,IF(Inputs!$B$9="",0,COUNTIFS(Data!$M$10:$M$3209,"&gt;="&amp;$A1522,Data!$M$10:$M$3209,"&lt;"&amp;$A1522+1)))</f>
        <v/>
      </c>
      <c r="AH1522">
        <f>IF($B1522=0,0,IF(Inputs!$B$10="",0,COUNTIFS(Data!$Q$10:$Q$3209,"&gt;="&amp;$A1522,Data!$Q$10:$Q$3209,"&lt;"&amp;$A1522+1)))</f>
        <v/>
      </c>
    </row>
    <row r="1523">
      <c r="A1523" s="55">
        <f>MIN(Inputs!$C$15,$A1522+IF(WEEKDAY($A1522,2)=5,3,1))</f>
        <v/>
      </c>
      <c r="B1523">
        <f>IF($A1523&gt;$A1522,1,0)</f>
        <v/>
      </c>
      <c r="C1523" s="56">
        <f>IF($B1523=0,"",IF(Inputs!$B$6="","",IF($AD1523=0,C1522,SUMIFS(Data!$B$10:$B$3209,Data!$A$10:$A$3209,"&gt;="&amp;$A1523,Data!$A$10:$A$3209,"&lt;"&amp;$A1523+1)/$AD1523)))</f>
        <v/>
      </c>
      <c r="D1523" s="56">
        <f>IF($B1523=0,"",IF(Inputs!$B$7="","",IF($AE1523=0,D1522,SUMIFS(Data!$F$10:$F$3209,Data!$E$10:$E$3209,"&gt;="&amp;$A1523,Data!$E$10:$E$3209,"&lt;"&amp;$A1523+1)/$AE1523)))</f>
        <v/>
      </c>
      <c r="E1523" s="56">
        <f>IF($B1523=0,"",IF(Inputs!$B$8="","",IF($AF1523=0,E1522,SUMIFS(Data!$J$10:$J$3209,Data!$I$10:$I$3209,"&gt;="&amp;$A1523,Data!$I$10:$I$3209,"&lt;"&amp;$A1523+1)/$AF1523)))</f>
        <v/>
      </c>
      <c r="F1523" s="56">
        <f>IF($B1523=0,"",IF(Inputs!$B$9="","",IF($AG1523=0,F1522,SUMIFS(Data!$N$10:$N$3209,Data!$M$10:$M$3209,"&gt;="&amp;$A1523,Data!$M$10:$M$3209,"&lt;"&amp;$A1523+1)/$AG1523)))</f>
        <v/>
      </c>
      <c r="G1523" s="56">
        <f>IF($B1523=0,"",IF(Inputs!$B$10="","",IF($AH1523=0,G1522,SUMIFS(Data!$R$10:$R$3209,Data!$Q$10:$Q$3209,"&gt;="&amp;$A1523,Data!$Q$10:$Q$3209,"&lt;"&amp;$A1523+1)/$AH1523)))</f>
        <v/>
      </c>
      <c r="I1523" s="54">
        <f>IF($B1523=0,NA(),IF($C1523="",NA(),IF(C$8="",NA(),IF(N(C$8)=0,NA(),IF(Inputs!$C$17="Rebased to 100",$C1523/C$8*100,$C1523)))))</f>
        <v/>
      </c>
      <c r="J1523" s="54">
        <f>IF($B1523=0,NA(),IF($D1523="",NA(),IF(D$8="",NA(),IF(N(D$8)=0,NA(),IF(Inputs!$C$17="Rebased to 100",$D1523/D$8*100,$D1523)))))</f>
        <v/>
      </c>
      <c r="K1523" s="54">
        <f>IF($B1523=0,NA(),IF($E1523="",NA(),IF(E$8="",NA(),IF(N(E$8)=0,NA(),IF(Inputs!$C$17="Rebased to 100",$E1523/E$8*100,$E1523)))))</f>
        <v/>
      </c>
      <c r="L1523" s="54">
        <f>IF($B1523=0,NA(),IF($F1523="",NA(),IF(F$8="",NA(),IF(N(F$8)=0,NA(),IF(Inputs!$C$17="Rebased to 100",$F1523/F$8*100,$F1523)))))</f>
        <v/>
      </c>
      <c r="M1523" s="54">
        <f>IF($B1523=0,NA(),IF($G1523="",NA(),IF(G$8="",NA(),IF(N(G$8)=0,NA(),IF(Inputs!$C$17="Rebased to 100",$G1523/G$8*100,$G1523)))))</f>
        <v/>
      </c>
      <c r="N1523" s="54">
        <f>IF($B1523=0,NA(),IF(Inputs!$C$18&lt;&gt;"Yes",NA(),IF(COUNT(I1523,J1523,K1523,L1523,M1523)=0,NA(),MIN(I1523,J1523,K1523,L1523,M1523))))</f>
        <v/>
      </c>
      <c r="O1523" s="54">
        <f>IF($B1523=0,NA(),IF(Inputs!$B$24&lt;&gt;"Yes",NA(),Inputs!$D$24*Inputs!$C$35))</f>
        <v/>
      </c>
      <c r="P1523" s="54">
        <f>IF($B1523=0,NA(),IF(Inputs!$B$25&lt;&gt;"Yes",NA(),Inputs!$D$25*Inputs!$C$35))</f>
        <v/>
      </c>
      <c r="Q1523" s="54">
        <f>IF($B1523=0,NA(),IF(Inputs!$B$26&lt;&gt;"Yes",NA(),Inputs!$D$26*Inputs!$C$35))</f>
        <v/>
      </c>
      <c r="R1523" s="54">
        <f>IF($B1523=0,NA(),IF(Inputs!$B$27&lt;&gt;"Yes",NA(),Inputs!$D$27*Inputs!$C$35))</f>
        <v/>
      </c>
      <c r="S1523" s="54">
        <f>IF($B1523=0,NA(),IF(Inputs!$B$28&lt;&gt;"Yes",NA(),Inputs!$D$28*Inputs!$C$35))</f>
        <v/>
      </c>
      <c r="T1523" s="54">
        <f>IF($B1523=0,NA(),IF(Inputs!$B$29&lt;&gt;"Yes",NA(),Inputs!$D$29*Inputs!$C$35))</f>
        <v/>
      </c>
      <c r="AD1523">
        <f>IF($B1523=0,0,IF(Inputs!$B$6="",0,COUNTIFS(Data!$A$10:$A$3209,"&gt;="&amp;$A1523,Data!$A$10:$A$3209,"&lt;"&amp;$A1523+1)))</f>
        <v/>
      </c>
      <c r="AE1523">
        <f>IF($B1523=0,0,IF(Inputs!$B$7="",0,COUNTIFS(Data!$E$10:$E$3209,"&gt;="&amp;$A1523,Data!$E$10:$E$3209,"&lt;"&amp;$A1523+1)))</f>
        <v/>
      </c>
      <c r="AF1523">
        <f>IF($B1523=0,0,IF(Inputs!$B$8="",0,COUNTIFS(Data!$I$10:$I$3209,"&gt;="&amp;$A1523,Data!$I$10:$I$3209,"&lt;"&amp;$A1523+1)))</f>
        <v/>
      </c>
      <c r="AG1523">
        <f>IF($B1523=0,0,IF(Inputs!$B$9="",0,COUNTIFS(Data!$M$10:$M$3209,"&gt;="&amp;$A1523,Data!$M$10:$M$3209,"&lt;"&amp;$A1523+1)))</f>
        <v/>
      </c>
      <c r="AH1523">
        <f>IF($B1523=0,0,IF(Inputs!$B$10="",0,COUNTIFS(Data!$Q$10:$Q$3209,"&gt;="&amp;$A1523,Data!$Q$10:$Q$3209,"&lt;"&amp;$A1523+1)))</f>
        <v/>
      </c>
    </row>
    <row r="1524">
      <c r="A1524" s="55">
        <f>MIN(Inputs!$C$15,$A1523+IF(WEEKDAY($A1523,2)=5,3,1))</f>
        <v/>
      </c>
      <c r="B1524">
        <f>IF($A1524&gt;$A1523,1,0)</f>
        <v/>
      </c>
      <c r="C1524" s="56">
        <f>IF($B1524=0,"",IF(Inputs!$B$6="","",IF($AD1524=0,C1523,SUMIFS(Data!$B$10:$B$3209,Data!$A$10:$A$3209,"&gt;="&amp;$A1524,Data!$A$10:$A$3209,"&lt;"&amp;$A1524+1)/$AD1524)))</f>
        <v/>
      </c>
      <c r="D1524" s="56">
        <f>IF($B1524=0,"",IF(Inputs!$B$7="","",IF($AE1524=0,D1523,SUMIFS(Data!$F$10:$F$3209,Data!$E$10:$E$3209,"&gt;="&amp;$A1524,Data!$E$10:$E$3209,"&lt;"&amp;$A1524+1)/$AE1524)))</f>
        <v/>
      </c>
      <c r="E1524" s="56">
        <f>IF($B1524=0,"",IF(Inputs!$B$8="","",IF($AF1524=0,E1523,SUMIFS(Data!$J$10:$J$3209,Data!$I$10:$I$3209,"&gt;="&amp;$A1524,Data!$I$10:$I$3209,"&lt;"&amp;$A1524+1)/$AF1524)))</f>
        <v/>
      </c>
      <c r="F1524" s="56">
        <f>IF($B1524=0,"",IF(Inputs!$B$9="","",IF($AG1524=0,F1523,SUMIFS(Data!$N$10:$N$3209,Data!$M$10:$M$3209,"&gt;="&amp;$A1524,Data!$M$10:$M$3209,"&lt;"&amp;$A1524+1)/$AG1524)))</f>
        <v/>
      </c>
      <c r="G1524" s="56">
        <f>IF($B1524=0,"",IF(Inputs!$B$10="","",IF($AH1524=0,G1523,SUMIFS(Data!$R$10:$R$3209,Data!$Q$10:$Q$3209,"&gt;="&amp;$A1524,Data!$Q$10:$Q$3209,"&lt;"&amp;$A1524+1)/$AH1524)))</f>
        <v/>
      </c>
      <c r="I1524" s="54">
        <f>IF($B1524=0,NA(),IF($C1524="",NA(),IF(C$8="",NA(),IF(N(C$8)=0,NA(),IF(Inputs!$C$17="Rebased to 100",$C1524/C$8*100,$C1524)))))</f>
        <v/>
      </c>
      <c r="J1524" s="54">
        <f>IF($B1524=0,NA(),IF($D1524="",NA(),IF(D$8="",NA(),IF(N(D$8)=0,NA(),IF(Inputs!$C$17="Rebased to 100",$D1524/D$8*100,$D1524)))))</f>
        <v/>
      </c>
      <c r="K1524" s="54">
        <f>IF($B1524=0,NA(),IF($E1524="",NA(),IF(E$8="",NA(),IF(N(E$8)=0,NA(),IF(Inputs!$C$17="Rebased to 100",$E1524/E$8*100,$E1524)))))</f>
        <v/>
      </c>
      <c r="L1524" s="54">
        <f>IF($B1524=0,NA(),IF($F1524="",NA(),IF(F$8="",NA(),IF(N(F$8)=0,NA(),IF(Inputs!$C$17="Rebased to 100",$F1524/F$8*100,$F1524)))))</f>
        <v/>
      </c>
      <c r="M1524" s="54">
        <f>IF($B1524=0,NA(),IF($G1524="",NA(),IF(G$8="",NA(),IF(N(G$8)=0,NA(),IF(Inputs!$C$17="Rebased to 100",$G1524/G$8*100,$G1524)))))</f>
        <v/>
      </c>
      <c r="N1524" s="54">
        <f>IF($B1524=0,NA(),IF(Inputs!$C$18&lt;&gt;"Yes",NA(),IF(COUNT(I1524,J1524,K1524,L1524,M1524)=0,NA(),MIN(I1524,J1524,K1524,L1524,M1524))))</f>
        <v/>
      </c>
      <c r="O1524" s="54">
        <f>IF($B1524=0,NA(),IF(Inputs!$B$24&lt;&gt;"Yes",NA(),Inputs!$D$24*Inputs!$C$35))</f>
        <v/>
      </c>
      <c r="P1524" s="54">
        <f>IF($B1524=0,NA(),IF(Inputs!$B$25&lt;&gt;"Yes",NA(),Inputs!$D$25*Inputs!$C$35))</f>
        <v/>
      </c>
      <c r="Q1524" s="54">
        <f>IF($B1524=0,NA(),IF(Inputs!$B$26&lt;&gt;"Yes",NA(),Inputs!$D$26*Inputs!$C$35))</f>
        <v/>
      </c>
      <c r="R1524" s="54">
        <f>IF($B1524=0,NA(),IF(Inputs!$B$27&lt;&gt;"Yes",NA(),Inputs!$D$27*Inputs!$C$35))</f>
        <v/>
      </c>
      <c r="S1524" s="54">
        <f>IF($B1524=0,NA(),IF(Inputs!$B$28&lt;&gt;"Yes",NA(),Inputs!$D$28*Inputs!$C$35))</f>
        <v/>
      </c>
      <c r="T1524" s="54">
        <f>IF($B1524=0,NA(),IF(Inputs!$B$29&lt;&gt;"Yes",NA(),Inputs!$D$29*Inputs!$C$35))</f>
        <v/>
      </c>
      <c r="AD1524">
        <f>IF($B1524=0,0,IF(Inputs!$B$6="",0,COUNTIFS(Data!$A$10:$A$3209,"&gt;="&amp;$A1524,Data!$A$10:$A$3209,"&lt;"&amp;$A1524+1)))</f>
        <v/>
      </c>
      <c r="AE1524">
        <f>IF($B1524=0,0,IF(Inputs!$B$7="",0,COUNTIFS(Data!$E$10:$E$3209,"&gt;="&amp;$A1524,Data!$E$10:$E$3209,"&lt;"&amp;$A1524+1)))</f>
        <v/>
      </c>
      <c r="AF1524">
        <f>IF($B1524=0,0,IF(Inputs!$B$8="",0,COUNTIFS(Data!$I$10:$I$3209,"&gt;="&amp;$A1524,Data!$I$10:$I$3209,"&lt;"&amp;$A1524+1)))</f>
        <v/>
      </c>
      <c r="AG1524">
        <f>IF($B1524=0,0,IF(Inputs!$B$9="",0,COUNTIFS(Data!$M$10:$M$3209,"&gt;="&amp;$A1524,Data!$M$10:$M$3209,"&lt;"&amp;$A1524+1)))</f>
        <v/>
      </c>
      <c r="AH1524">
        <f>IF($B1524=0,0,IF(Inputs!$B$10="",0,COUNTIFS(Data!$Q$10:$Q$3209,"&gt;="&amp;$A1524,Data!$Q$10:$Q$3209,"&lt;"&amp;$A1524+1)))</f>
        <v/>
      </c>
    </row>
    <row r="1525">
      <c r="A1525" s="55">
        <f>MIN(Inputs!$C$15,$A1524+IF(WEEKDAY($A1524,2)=5,3,1))</f>
        <v/>
      </c>
      <c r="B1525">
        <f>IF($A1525&gt;$A1524,1,0)</f>
        <v/>
      </c>
      <c r="C1525" s="56">
        <f>IF($B1525=0,"",IF(Inputs!$B$6="","",IF($AD1525=0,C1524,SUMIFS(Data!$B$10:$B$3209,Data!$A$10:$A$3209,"&gt;="&amp;$A1525,Data!$A$10:$A$3209,"&lt;"&amp;$A1525+1)/$AD1525)))</f>
        <v/>
      </c>
      <c r="D1525" s="56">
        <f>IF($B1525=0,"",IF(Inputs!$B$7="","",IF($AE1525=0,D1524,SUMIFS(Data!$F$10:$F$3209,Data!$E$10:$E$3209,"&gt;="&amp;$A1525,Data!$E$10:$E$3209,"&lt;"&amp;$A1525+1)/$AE1525)))</f>
        <v/>
      </c>
      <c r="E1525" s="56">
        <f>IF($B1525=0,"",IF(Inputs!$B$8="","",IF($AF1525=0,E1524,SUMIFS(Data!$J$10:$J$3209,Data!$I$10:$I$3209,"&gt;="&amp;$A1525,Data!$I$10:$I$3209,"&lt;"&amp;$A1525+1)/$AF1525)))</f>
        <v/>
      </c>
      <c r="F1525" s="56">
        <f>IF($B1525=0,"",IF(Inputs!$B$9="","",IF($AG1525=0,F1524,SUMIFS(Data!$N$10:$N$3209,Data!$M$10:$M$3209,"&gt;="&amp;$A1525,Data!$M$10:$M$3209,"&lt;"&amp;$A1525+1)/$AG1525)))</f>
        <v/>
      </c>
      <c r="G1525" s="56">
        <f>IF($B1525=0,"",IF(Inputs!$B$10="","",IF($AH1525=0,G1524,SUMIFS(Data!$R$10:$R$3209,Data!$Q$10:$Q$3209,"&gt;="&amp;$A1525,Data!$Q$10:$Q$3209,"&lt;"&amp;$A1525+1)/$AH1525)))</f>
        <v/>
      </c>
      <c r="I1525" s="54">
        <f>IF($B1525=0,NA(),IF($C1525="",NA(),IF(C$8="",NA(),IF(N(C$8)=0,NA(),IF(Inputs!$C$17="Rebased to 100",$C1525/C$8*100,$C1525)))))</f>
        <v/>
      </c>
      <c r="J1525" s="54">
        <f>IF($B1525=0,NA(),IF($D1525="",NA(),IF(D$8="",NA(),IF(N(D$8)=0,NA(),IF(Inputs!$C$17="Rebased to 100",$D1525/D$8*100,$D1525)))))</f>
        <v/>
      </c>
      <c r="K1525" s="54">
        <f>IF($B1525=0,NA(),IF($E1525="",NA(),IF(E$8="",NA(),IF(N(E$8)=0,NA(),IF(Inputs!$C$17="Rebased to 100",$E1525/E$8*100,$E1525)))))</f>
        <v/>
      </c>
      <c r="L1525" s="54">
        <f>IF($B1525=0,NA(),IF($F1525="",NA(),IF(F$8="",NA(),IF(N(F$8)=0,NA(),IF(Inputs!$C$17="Rebased to 100",$F1525/F$8*100,$F1525)))))</f>
        <v/>
      </c>
      <c r="M1525" s="54">
        <f>IF($B1525=0,NA(),IF($G1525="",NA(),IF(G$8="",NA(),IF(N(G$8)=0,NA(),IF(Inputs!$C$17="Rebased to 100",$G1525/G$8*100,$G1525)))))</f>
        <v/>
      </c>
      <c r="N1525" s="54">
        <f>IF($B1525=0,NA(),IF(Inputs!$C$18&lt;&gt;"Yes",NA(),IF(COUNT(I1525,J1525,K1525,L1525,M1525)=0,NA(),MIN(I1525,J1525,K1525,L1525,M1525))))</f>
        <v/>
      </c>
      <c r="O1525" s="54">
        <f>IF($B1525=0,NA(),IF(Inputs!$B$24&lt;&gt;"Yes",NA(),Inputs!$D$24*Inputs!$C$35))</f>
        <v/>
      </c>
      <c r="P1525" s="54">
        <f>IF($B1525=0,NA(),IF(Inputs!$B$25&lt;&gt;"Yes",NA(),Inputs!$D$25*Inputs!$C$35))</f>
        <v/>
      </c>
      <c r="Q1525" s="54">
        <f>IF($B1525=0,NA(),IF(Inputs!$B$26&lt;&gt;"Yes",NA(),Inputs!$D$26*Inputs!$C$35))</f>
        <v/>
      </c>
      <c r="R1525" s="54">
        <f>IF($B1525=0,NA(),IF(Inputs!$B$27&lt;&gt;"Yes",NA(),Inputs!$D$27*Inputs!$C$35))</f>
        <v/>
      </c>
      <c r="S1525" s="54">
        <f>IF($B1525=0,NA(),IF(Inputs!$B$28&lt;&gt;"Yes",NA(),Inputs!$D$28*Inputs!$C$35))</f>
        <v/>
      </c>
      <c r="T1525" s="54">
        <f>IF($B1525=0,NA(),IF(Inputs!$B$29&lt;&gt;"Yes",NA(),Inputs!$D$29*Inputs!$C$35))</f>
        <v/>
      </c>
      <c r="AD1525">
        <f>IF($B1525=0,0,IF(Inputs!$B$6="",0,COUNTIFS(Data!$A$10:$A$3209,"&gt;="&amp;$A1525,Data!$A$10:$A$3209,"&lt;"&amp;$A1525+1)))</f>
        <v/>
      </c>
      <c r="AE1525">
        <f>IF($B1525=0,0,IF(Inputs!$B$7="",0,COUNTIFS(Data!$E$10:$E$3209,"&gt;="&amp;$A1525,Data!$E$10:$E$3209,"&lt;"&amp;$A1525+1)))</f>
        <v/>
      </c>
      <c r="AF1525">
        <f>IF($B1525=0,0,IF(Inputs!$B$8="",0,COUNTIFS(Data!$I$10:$I$3209,"&gt;="&amp;$A1525,Data!$I$10:$I$3209,"&lt;"&amp;$A1525+1)))</f>
        <v/>
      </c>
      <c r="AG1525">
        <f>IF($B1525=0,0,IF(Inputs!$B$9="",0,COUNTIFS(Data!$M$10:$M$3209,"&gt;="&amp;$A1525,Data!$M$10:$M$3209,"&lt;"&amp;$A1525+1)))</f>
        <v/>
      </c>
      <c r="AH1525">
        <f>IF($B1525=0,0,IF(Inputs!$B$10="",0,COUNTIFS(Data!$Q$10:$Q$3209,"&gt;="&amp;$A1525,Data!$Q$10:$Q$3209,"&lt;"&amp;$A1525+1)))</f>
        <v/>
      </c>
    </row>
    <row r="1526">
      <c r="A1526" s="55">
        <f>MIN(Inputs!$C$15,$A1525+IF(WEEKDAY($A1525,2)=5,3,1))</f>
        <v/>
      </c>
      <c r="B1526">
        <f>IF($A1526&gt;$A1525,1,0)</f>
        <v/>
      </c>
      <c r="C1526" s="56">
        <f>IF($B1526=0,"",IF(Inputs!$B$6="","",IF($AD1526=0,C1525,SUMIFS(Data!$B$10:$B$3209,Data!$A$10:$A$3209,"&gt;="&amp;$A1526,Data!$A$10:$A$3209,"&lt;"&amp;$A1526+1)/$AD1526)))</f>
        <v/>
      </c>
      <c r="D1526" s="56">
        <f>IF($B1526=0,"",IF(Inputs!$B$7="","",IF($AE1526=0,D1525,SUMIFS(Data!$F$10:$F$3209,Data!$E$10:$E$3209,"&gt;="&amp;$A1526,Data!$E$10:$E$3209,"&lt;"&amp;$A1526+1)/$AE1526)))</f>
        <v/>
      </c>
      <c r="E1526" s="56">
        <f>IF($B1526=0,"",IF(Inputs!$B$8="","",IF($AF1526=0,E1525,SUMIFS(Data!$J$10:$J$3209,Data!$I$10:$I$3209,"&gt;="&amp;$A1526,Data!$I$10:$I$3209,"&lt;"&amp;$A1526+1)/$AF1526)))</f>
        <v/>
      </c>
      <c r="F1526" s="56">
        <f>IF($B1526=0,"",IF(Inputs!$B$9="","",IF($AG1526=0,F1525,SUMIFS(Data!$N$10:$N$3209,Data!$M$10:$M$3209,"&gt;="&amp;$A1526,Data!$M$10:$M$3209,"&lt;"&amp;$A1526+1)/$AG1526)))</f>
        <v/>
      </c>
      <c r="G1526" s="56">
        <f>IF($B1526=0,"",IF(Inputs!$B$10="","",IF($AH1526=0,G1525,SUMIFS(Data!$R$10:$R$3209,Data!$Q$10:$Q$3209,"&gt;="&amp;$A1526,Data!$Q$10:$Q$3209,"&lt;"&amp;$A1526+1)/$AH1526)))</f>
        <v/>
      </c>
      <c r="I1526" s="54">
        <f>IF($B1526=0,NA(),IF($C1526="",NA(),IF(C$8="",NA(),IF(N(C$8)=0,NA(),IF(Inputs!$C$17="Rebased to 100",$C1526/C$8*100,$C1526)))))</f>
        <v/>
      </c>
      <c r="J1526" s="54">
        <f>IF($B1526=0,NA(),IF($D1526="",NA(),IF(D$8="",NA(),IF(N(D$8)=0,NA(),IF(Inputs!$C$17="Rebased to 100",$D1526/D$8*100,$D1526)))))</f>
        <v/>
      </c>
      <c r="K1526" s="54">
        <f>IF($B1526=0,NA(),IF($E1526="",NA(),IF(E$8="",NA(),IF(N(E$8)=0,NA(),IF(Inputs!$C$17="Rebased to 100",$E1526/E$8*100,$E1526)))))</f>
        <v/>
      </c>
      <c r="L1526" s="54">
        <f>IF($B1526=0,NA(),IF($F1526="",NA(),IF(F$8="",NA(),IF(N(F$8)=0,NA(),IF(Inputs!$C$17="Rebased to 100",$F1526/F$8*100,$F1526)))))</f>
        <v/>
      </c>
      <c r="M1526" s="54">
        <f>IF($B1526=0,NA(),IF($G1526="",NA(),IF(G$8="",NA(),IF(N(G$8)=0,NA(),IF(Inputs!$C$17="Rebased to 100",$G1526/G$8*100,$G1526)))))</f>
        <v/>
      </c>
      <c r="N1526" s="54">
        <f>IF($B1526=0,NA(),IF(Inputs!$C$18&lt;&gt;"Yes",NA(),IF(COUNT(I1526,J1526,K1526,L1526,M1526)=0,NA(),MIN(I1526,J1526,K1526,L1526,M1526))))</f>
        <v/>
      </c>
      <c r="O1526" s="54">
        <f>IF($B1526=0,NA(),IF(Inputs!$B$24&lt;&gt;"Yes",NA(),Inputs!$D$24*Inputs!$C$35))</f>
        <v/>
      </c>
      <c r="P1526" s="54">
        <f>IF($B1526=0,NA(),IF(Inputs!$B$25&lt;&gt;"Yes",NA(),Inputs!$D$25*Inputs!$C$35))</f>
        <v/>
      </c>
      <c r="Q1526" s="54">
        <f>IF($B1526=0,NA(),IF(Inputs!$B$26&lt;&gt;"Yes",NA(),Inputs!$D$26*Inputs!$C$35))</f>
        <v/>
      </c>
      <c r="R1526" s="54">
        <f>IF($B1526=0,NA(),IF(Inputs!$B$27&lt;&gt;"Yes",NA(),Inputs!$D$27*Inputs!$C$35))</f>
        <v/>
      </c>
      <c r="S1526" s="54">
        <f>IF($B1526=0,NA(),IF(Inputs!$B$28&lt;&gt;"Yes",NA(),Inputs!$D$28*Inputs!$C$35))</f>
        <v/>
      </c>
      <c r="T1526" s="54">
        <f>IF($B1526=0,NA(),IF(Inputs!$B$29&lt;&gt;"Yes",NA(),Inputs!$D$29*Inputs!$C$35))</f>
        <v/>
      </c>
      <c r="AD1526">
        <f>IF($B1526=0,0,IF(Inputs!$B$6="",0,COUNTIFS(Data!$A$10:$A$3209,"&gt;="&amp;$A1526,Data!$A$10:$A$3209,"&lt;"&amp;$A1526+1)))</f>
        <v/>
      </c>
      <c r="AE1526">
        <f>IF($B1526=0,0,IF(Inputs!$B$7="",0,COUNTIFS(Data!$E$10:$E$3209,"&gt;="&amp;$A1526,Data!$E$10:$E$3209,"&lt;"&amp;$A1526+1)))</f>
        <v/>
      </c>
      <c r="AF1526">
        <f>IF($B1526=0,0,IF(Inputs!$B$8="",0,COUNTIFS(Data!$I$10:$I$3209,"&gt;="&amp;$A1526,Data!$I$10:$I$3209,"&lt;"&amp;$A1526+1)))</f>
        <v/>
      </c>
      <c r="AG1526">
        <f>IF($B1526=0,0,IF(Inputs!$B$9="",0,COUNTIFS(Data!$M$10:$M$3209,"&gt;="&amp;$A1526,Data!$M$10:$M$3209,"&lt;"&amp;$A1526+1)))</f>
        <v/>
      </c>
      <c r="AH1526">
        <f>IF($B1526=0,0,IF(Inputs!$B$10="",0,COUNTIFS(Data!$Q$10:$Q$3209,"&gt;="&amp;$A1526,Data!$Q$10:$Q$3209,"&lt;"&amp;$A1526+1)))</f>
        <v/>
      </c>
    </row>
    <row r="1527">
      <c r="A1527" s="55">
        <f>MIN(Inputs!$C$15,$A1526+IF(WEEKDAY($A1526,2)=5,3,1))</f>
        <v/>
      </c>
      <c r="B1527">
        <f>IF($A1527&gt;$A1526,1,0)</f>
        <v/>
      </c>
      <c r="C1527" s="56">
        <f>IF($B1527=0,"",IF(Inputs!$B$6="","",IF($AD1527=0,C1526,SUMIFS(Data!$B$10:$B$3209,Data!$A$10:$A$3209,"&gt;="&amp;$A1527,Data!$A$10:$A$3209,"&lt;"&amp;$A1527+1)/$AD1527)))</f>
        <v/>
      </c>
      <c r="D1527" s="56">
        <f>IF($B1527=0,"",IF(Inputs!$B$7="","",IF($AE1527=0,D1526,SUMIFS(Data!$F$10:$F$3209,Data!$E$10:$E$3209,"&gt;="&amp;$A1527,Data!$E$10:$E$3209,"&lt;"&amp;$A1527+1)/$AE1527)))</f>
        <v/>
      </c>
      <c r="E1527" s="56">
        <f>IF($B1527=0,"",IF(Inputs!$B$8="","",IF($AF1527=0,E1526,SUMIFS(Data!$J$10:$J$3209,Data!$I$10:$I$3209,"&gt;="&amp;$A1527,Data!$I$10:$I$3209,"&lt;"&amp;$A1527+1)/$AF1527)))</f>
        <v/>
      </c>
      <c r="F1527" s="56">
        <f>IF($B1527=0,"",IF(Inputs!$B$9="","",IF($AG1527=0,F1526,SUMIFS(Data!$N$10:$N$3209,Data!$M$10:$M$3209,"&gt;="&amp;$A1527,Data!$M$10:$M$3209,"&lt;"&amp;$A1527+1)/$AG1527)))</f>
        <v/>
      </c>
      <c r="G1527" s="56">
        <f>IF($B1527=0,"",IF(Inputs!$B$10="","",IF($AH1527=0,G1526,SUMIFS(Data!$R$10:$R$3209,Data!$Q$10:$Q$3209,"&gt;="&amp;$A1527,Data!$Q$10:$Q$3209,"&lt;"&amp;$A1527+1)/$AH1527)))</f>
        <v/>
      </c>
      <c r="I1527" s="54">
        <f>IF($B1527=0,NA(),IF($C1527="",NA(),IF(C$8="",NA(),IF(N(C$8)=0,NA(),IF(Inputs!$C$17="Rebased to 100",$C1527/C$8*100,$C1527)))))</f>
        <v/>
      </c>
      <c r="J1527" s="54">
        <f>IF($B1527=0,NA(),IF($D1527="",NA(),IF(D$8="",NA(),IF(N(D$8)=0,NA(),IF(Inputs!$C$17="Rebased to 100",$D1527/D$8*100,$D1527)))))</f>
        <v/>
      </c>
      <c r="K1527" s="54">
        <f>IF($B1527=0,NA(),IF($E1527="",NA(),IF(E$8="",NA(),IF(N(E$8)=0,NA(),IF(Inputs!$C$17="Rebased to 100",$E1527/E$8*100,$E1527)))))</f>
        <v/>
      </c>
      <c r="L1527" s="54">
        <f>IF($B1527=0,NA(),IF($F1527="",NA(),IF(F$8="",NA(),IF(N(F$8)=0,NA(),IF(Inputs!$C$17="Rebased to 100",$F1527/F$8*100,$F1527)))))</f>
        <v/>
      </c>
      <c r="M1527" s="54">
        <f>IF($B1527=0,NA(),IF($G1527="",NA(),IF(G$8="",NA(),IF(N(G$8)=0,NA(),IF(Inputs!$C$17="Rebased to 100",$G1527/G$8*100,$G1527)))))</f>
        <v/>
      </c>
      <c r="N1527" s="54">
        <f>IF($B1527=0,NA(),IF(Inputs!$C$18&lt;&gt;"Yes",NA(),IF(COUNT(I1527,J1527,K1527,L1527,M1527)=0,NA(),MIN(I1527,J1527,K1527,L1527,M1527))))</f>
        <v/>
      </c>
      <c r="O1527" s="54">
        <f>IF($B1527=0,NA(),IF(Inputs!$B$24&lt;&gt;"Yes",NA(),Inputs!$D$24*Inputs!$C$35))</f>
        <v/>
      </c>
      <c r="P1527" s="54">
        <f>IF($B1527=0,NA(),IF(Inputs!$B$25&lt;&gt;"Yes",NA(),Inputs!$D$25*Inputs!$C$35))</f>
        <v/>
      </c>
      <c r="Q1527" s="54">
        <f>IF($B1527=0,NA(),IF(Inputs!$B$26&lt;&gt;"Yes",NA(),Inputs!$D$26*Inputs!$C$35))</f>
        <v/>
      </c>
      <c r="R1527" s="54">
        <f>IF($B1527=0,NA(),IF(Inputs!$B$27&lt;&gt;"Yes",NA(),Inputs!$D$27*Inputs!$C$35))</f>
        <v/>
      </c>
      <c r="S1527" s="54">
        <f>IF($B1527=0,NA(),IF(Inputs!$B$28&lt;&gt;"Yes",NA(),Inputs!$D$28*Inputs!$C$35))</f>
        <v/>
      </c>
      <c r="T1527" s="54">
        <f>IF($B1527=0,NA(),IF(Inputs!$B$29&lt;&gt;"Yes",NA(),Inputs!$D$29*Inputs!$C$35))</f>
        <v/>
      </c>
      <c r="AD1527">
        <f>IF($B1527=0,0,IF(Inputs!$B$6="",0,COUNTIFS(Data!$A$10:$A$3209,"&gt;="&amp;$A1527,Data!$A$10:$A$3209,"&lt;"&amp;$A1527+1)))</f>
        <v/>
      </c>
      <c r="AE1527">
        <f>IF($B1527=0,0,IF(Inputs!$B$7="",0,COUNTIFS(Data!$E$10:$E$3209,"&gt;="&amp;$A1527,Data!$E$10:$E$3209,"&lt;"&amp;$A1527+1)))</f>
        <v/>
      </c>
      <c r="AF1527">
        <f>IF($B1527=0,0,IF(Inputs!$B$8="",0,COUNTIFS(Data!$I$10:$I$3209,"&gt;="&amp;$A1527,Data!$I$10:$I$3209,"&lt;"&amp;$A1527+1)))</f>
        <v/>
      </c>
      <c r="AG1527">
        <f>IF($B1527=0,0,IF(Inputs!$B$9="",0,COUNTIFS(Data!$M$10:$M$3209,"&gt;="&amp;$A1527,Data!$M$10:$M$3209,"&lt;"&amp;$A1527+1)))</f>
        <v/>
      </c>
      <c r="AH1527">
        <f>IF($B1527=0,0,IF(Inputs!$B$10="",0,COUNTIFS(Data!$Q$10:$Q$3209,"&gt;="&amp;$A1527,Data!$Q$10:$Q$3209,"&lt;"&amp;$A1527+1)))</f>
        <v/>
      </c>
    </row>
    <row r="1528">
      <c r="A1528" s="55">
        <f>MIN(Inputs!$C$15,$A1527+IF(WEEKDAY($A1527,2)=5,3,1))</f>
        <v/>
      </c>
      <c r="B1528">
        <f>IF($A1528&gt;$A1527,1,0)</f>
        <v/>
      </c>
      <c r="C1528" s="56">
        <f>IF($B1528=0,"",IF(Inputs!$B$6="","",IF($AD1528=0,C1527,SUMIFS(Data!$B$10:$B$3209,Data!$A$10:$A$3209,"&gt;="&amp;$A1528,Data!$A$10:$A$3209,"&lt;"&amp;$A1528+1)/$AD1528)))</f>
        <v/>
      </c>
      <c r="D1528" s="56">
        <f>IF($B1528=0,"",IF(Inputs!$B$7="","",IF($AE1528=0,D1527,SUMIFS(Data!$F$10:$F$3209,Data!$E$10:$E$3209,"&gt;="&amp;$A1528,Data!$E$10:$E$3209,"&lt;"&amp;$A1528+1)/$AE1528)))</f>
        <v/>
      </c>
      <c r="E1528" s="56">
        <f>IF($B1528=0,"",IF(Inputs!$B$8="","",IF($AF1528=0,E1527,SUMIFS(Data!$J$10:$J$3209,Data!$I$10:$I$3209,"&gt;="&amp;$A1528,Data!$I$10:$I$3209,"&lt;"&amp;$A1528+1)/$AF1528)))</f>
        <v/>
      </c>
      <c r="F1528" s="56">
        <f>IF($B1528=0,"",IF(Inputs!$B$9="","",IF($AG1528=0,F1527,SUMIFS(Data!$N$10:$N$3209,Data!$M$10:$M$3209,"&gt;="&amp;$A1528,Data!$M$10:$M$3209,"&lt;"&amp;$A1528+1)/$AG1528)))</f>
        <v/>
      </c>
      <c r="G1528" s="56">
        <f>IF($B1528=0,"",IF(Inputs!$B$10="","",IF($AH1528=0,G1527,SUMIFS(Data!$R$10:$R$3209,Data!$Q$10:$Q$3209,"&gt;="&amp;$A1528,Data!$Q$10:$Q$3209,"&lt;"&amp;$A1528+1)/$AH1528)))</f>
        <v/>
      </c>
      <c r="I1528" s="54">
        <f>IF($B1528=0,NA(),IF($C1528="",NA(),IF(C$8="",NA(),IF(N(C$8)=0,NA(),IF(Inputs!$C$17="Rebased to 100",$C1528/C$8*100,$C1528)))))</f>
        <v/>
      </c>
      <c r="J1528" s="54">
        <f>IF($B1528=0,NA(),IF($D1528="",NA(),IF(D$8="",NA(),IF(N(D$8)=0,NA(),IF(Inputs!$C$17="Rebased to 100",$D1528/D$8*100,$D1528)))))</f>
        <v/>
      </c>
      <c r="K1528" s="54">
        <f>IF($B1528=0,NA(),IF($E1528="",NA(),IF(E$8="",NA(),IF(N(E$8)=0,NA(),IF(Inputs!$C$17="Rebased to 100",$E1528/E$8*100,$E1528)))))</f>
        <v/>
      </c>
      <c r="L1528" s="54">
        <f>IF($B1528=0,NA(),IF($F1528="",NA(),IF(F$8="",NA(),IF(N(F$8)=0,NA(),IF(Inputs!$C$17="Rebased to 100",$F1528/F$8*100,$F1528)))))</f>
        <v/>
      </c>
      <c r="M1528" s="54">
        <f>IF($B1528=0,NA(),IF($G1528="",NA(),IF(G$8="",NA(),IF(N(G$8)=0,NA(),IF(Inputs!$C$17="Rebased to 100",$G1528/G$8*100,$G1528)))))</f>
        <v/>
      </c>
      <c r="N1528" s="54">
        <f>IF($B1528=0,NA(),IF(Inputs!$C$18&lt;&gt;"Yes",NA(),IF(COUNT(I1528,J1528,K1528,L1528,M1528)=0,NA(),MIN(I1528,J1528,K1528,L1528,M1528))))</f>
        <v/>
      </c>
      <c r="O1528" s="54">
        <f>IF($B1528=0,NA(),IF(Inputs!$B$24&lt;&gt;"Yes",NA(),Inputs!$D$24*Inputs!$C$35))</f>
        <v/>
      </c>
      <c r="P1528" s="54">
        <f>IF($B1528=0,NA(),IF(Inputs!$B$25&lt;&gt;"Yes",NA(),Inputs!$D$25*Inputs!$C$35))</f>
        <v/>
      </c>
      <c r="Q1528" s="54">
        <f>IF($B1528=0,NA(),IF(Inputs!$B$26&lt;&gt;"Yes",NA(),Inputs!$D$26*Inputs!$C$35))</f>
        <v/>
      </c>
      <c r="R1528" s="54">
        <f>IF($B1528=0,NA(),IF(Inputs!$B$27&lt;&gt;"Yes",NA(),Inputs!$D$27*Inputs!$C$35))</f>
        <v/>
      </c>
      <c r="S1528" s="54">
        <f>IF($B1528=0,NA(),IF(Inputs!$B$28&lt;&gt;"Yes",NA(),Inputs!$D$28*Inputs!$C$35))</f>
        <v/>
      </c>
      <c r="T1528" s="54">
        <f>IF($B1528=0,NA(),IF(Inputs!$B$29&lt;&gt;"Yes",NA(),Inputs!$D$29*Inputs!$C$35))</f>
        <v/>
      </c>
      <c r="AD1528">
        <f>IF($B1528=0,0,IF(Inputs!$B$6="",0,COUNTIFS(Data!$A$10:$A$3209,"&gt;="&amp;$A1528,Data!$A$10:$A$3209,"&lt;"&amp;$A1528+1)))</f>
        <v/>
      </c>
      <c r="AE1528">
        <f>IF($B1528=0,0,IF(Inputs!$B$7="",0,COUNTIFS(Data!$E$10:$E$3209,"&gt;="&amp;$A1528,Data!$E$10:$E$3209,"&lt;"&amp;$A1528+1)))</f>
        <v/>
      </c>
      <c r="AF1528">
        <f>IF($B1528=0,0,IF(Inputs!$B$8="",0,COUNTIFS(Data!$I$10:$I$3209,"&gt;="&amp;$A1528,Data!$I$10:$I$3209,"&lt;"&amp;$A1528+1)))</f>
        <v/>
      </c>
      <c r="AG1528">
        <f>IF($B1528=0,0,IF(Inputs!$B$9="",0,COUNTIFS(Data!$M$10:$M$3209,"&gt;="&amp;$A1528,Data!$M$10:$M$3209,"&lt;"&amp;$A1528+1)))</f>
        <v/>
      </c>
      <c r="AH1528">
        <f>IF($B1528=0,0,IF(Inputs!$B$10="",0,COUNTIFS(Data!$Q$10:$Q$3209,"&gt;="&amp;$A1528,Data!$Q$10:$Q$3209,"&lt;"&amp;$A1528+1)))</f>
        <v/>
      </c>
    </row>
    <row r="1529">
      <c r="A1529" s="55">
        <f>MIN(Inputs!$C$15,$A1528+IF(WEEKDAY($A1528,2)=5,3,1))</f>
        <v/>
      </c>
      <c r="B1529">
        <f>IF($A1529&gt;$A1528,1,0)</f>
        <v/>
      </c>
      <c r="C1529" s="56">
        <f>IF($B1529=0,"",IF(Inputs!$B$6="","",IF($AD1529=0,C1528,SUMIFS(Data!$B$10:$B$3209,Data!$A$10:$A$3209,"&gt;="&amp;$A1529,Data!$A$10:$A$3209,"&lt;"&amp;$A1529+1)/$AD1529)))</f>
        <v/>
      </c>
      <c r="D1529" s="56">
        <f>IF($B1529=0,"",IF(Inputs!$B$7="","",IF($AE1529=0,D1528,SUMIFS(Data!$F$10:$F$3209,Data!$E$10:$E$3209,"&gt;="&amp;$A1529,Data!$E$10:$E$3209,"&lt;"&amp;$A1529+1)/$AE1529)))</f>
        <v/>
      </c>
      <c r="E1529" s="56">
        <f>IF($B1529=0,"",IF(Inputs!$B$8="","",IF($AF1529=0,E1528,SUMIFS(Data!$J$10:$J$3209,Data!$I$10:$I$3209,"&gt;="&amp;$A1529,Data!$I$10:$I$3209,"&lt;"&amp;$A1529+1)/$AF1529)))</f>
        <v/>
      </c>
      <c r="F1529" s="56">
        <f>IF($B1529=0,"",IF(Inputs!$B$9="","",IF($AG1529=0,F1528,SUMIFS(Data!$N$10:$N$3209,Data!$M$10:$M$3209,"&gt;="&amp;$A1529,Data!$M$10:$M$3209,"&lt;"&amp;$A1529+1)/$AG1529)))</f>
        <v/>
      </c>
      <c r="G1529" s="56">
        <f>IF($B1529=0,"",IF(Inputs!$B$10="","",IF($AH1529=0,G1528,SUMIFS(Data!$R$10:$R$3209,Data!$Q$10:$Q$3209,"&gt;="&amp;$A1529,Data!$Q$10:$Q$3209,"&lt;"&amp;$A1529+1)/$AH1529)))</f>
        <v/>
      </c>
      <c r="I1529" s="54">
        <f>IF($B1529=0,NA(),IF($C1529="",NA(),IF(C$8="",NA(),IF(N(C$8)=0,NA(),IF(Inputs!$C$17="Rebased to 100",$C1529/C$8*100,$C1529)))))</f>
        <v/>
      </c>
      <c r="J1529" s="54">
        <f>IF($B1529=0,NA(),IF($D1529="",NA(),IF(D$8="",NA(),IF(N(D$8)=0,NA(),IF(Inputs!$C$17="Rebased to 100",$D1529/D$8*100,$D1529)))))</f>
        <v/>
      </c>
      <c r="K1529" s="54">
        <f>IF($B1529=0,NA(),IF($E1529="",NA(),IF(E$8="",NA(),IF(N(E$8)=0,NA(),IF(Inputs!$C$17="Rebased to 100",$E1529/E$8*100,$E1529)))))</f>
        <v/>
      </c>
      <c r="L1529" s="54">
        <f>IF($B1529=0,NA(),IF($F1529="",NA(),IF(F$8="",NA(),IF(N(F$8)=0,NA(),IF(Inputs!$C$17="Rebased to 100",$F1529/F$8*100,$F1529)))))</f>
        <v/>
      </c>
      <c r="M1529" s="54">
        <f>IF($B1529=0,NA(),IF($G1529="",NA(),IF(G$8="",NA(),IF(N(G$8)=0,NA(),IF(Inputs!$C$17="Rebased to 100",$G1529/G$8*100,$G1529)))))</f>
        <v/>
      </c>
      <c r="N1529" s="54">
        <f>IF($B1529=0,NA(),IF(Inputs!$C$18&lt;&gt;"Yes",NA(),IF(COUNT(I1529,J1529,K1529,L1529,M1529)=0,NA(),MIN(I1529,J1529,K1529,L1529,M1529))))</f>
        <v/>
      </c>
      <c r="O1529" s="54">
        <f>IF($B1529=0,NA(),IF(Inputs!$B$24&lt;&gt;"Yes",NA(),Inputs!$D$24*Inputs!$C$35))</f>
        <v/>
      </c>
      <c r="P1529" s="54">
        <f>IF($B1529=0,NA(),IF(Inputs!$B$25&lt;&gt;"Yes",NA(),Inputs!$D$25*Inputs!$C$35))</f>
        <v/>
      </c>
      <c r="Q1529" s="54">
        <f>IF($B1529=0,NA(),IF(Inputs!$B$26&lt;&gt;"Yes",NA(),Inputs!$D$26*Inputs!$C$35))</f>
        <v/>
      </c>
      <c r="R1529" s="54">
        <f>IF($B1529=0,NA(),IF(Inputs!$B$27&lt;&gt;"Yes",NA(),Inputs!$D$27*Inputs!$C$35))</f>
        <v/>
      </c>
      <c r="S1529" s="54">
        <f>IF($B1529=0,NA(),IF(Inputs!$B$28&lt;&gt;"Yes",NA(),Inputs!$D$28*Inputs!$C$35))</f>
        <v/>
      </c>
      <c r="T1529" s="54">
        <f>IF($B1529=0,NA(),IF(Inputs!$B$29&lt;&gt;"Yes",NA(),Inputs!$D$29*Inputs!$C$35))</f>
        <v/>
      </c>
      <c r="AD1529">
        <f>IF($B1529=0,0,IF(Inputs!$B$6="",0,COUNTIFS(Data!$A$10:$A$3209,"&gt;="&amp;$A1529,Data!$A$10:$A$3209,"&lt;"&amp;$A1529+1)))</f>
        <v/>
      </c>
      <c r="AE1529">
        <f>IF($B1529=0,0,IF(Inputs!$B$7="",0,COUNTIFS(Data!$E$10:$E$3209,"&gt;="&amp;$A1529,Data!$E$10:$E$3209,"&lt;"&amp;$A1529+1)))</f>
        <v/>
      </c>
      <c r="AF1529">
        <f>IF($B1529=0,0,IF(Inputs!$B$8="",0,COUNTIFS(Data!$I$10:$I$3209,"&gt;="&amp;$A1529,Data!$I$10:$I$3209,"&lt;"&amp;$A1529+1)))</f>
        <v/>
      </c>
      <c r="AG1529">
        <f>IF($B1529=0,0,IF(Inputs!$B$9="",0,COUNTIFS(Data!$M$10:$M$3209,"&gt;="&amp;$A1529,Data!$M$10:$M$3209,"&lt;"&amp;$A1529+1)))</f>
        <v/>
      </c>
      <c r="AH1529">
        <f>IF($B1529=0,0,IF(Inputs!$B$10="",0,COUNTIFS(Data!$Q$10:$Q$3209,"&gt;="&amp;$A1529,Data!$Q$10:$Q$3209,"&lt;"&amp;$A1529+1)))</f>
        <v/>
      </c>
    </row>
    <row r="1530">
      <c r="A1530" s="55">
        <f>MIN(Inputs!$C$15,$A1529+IF(WEEKDAY($A1529,2)=5,3,1))</f>
        <v/>
      </c>
      <c r="B1530">
        <f>IF($A1530&gt;$A1529,1,0)</f>
        <v/>
      </c>
      <c r="C1530" s="56">
        <f>IF($B1530=0,"",IF(Inputs!$B$6="","",IF($AD1530=0,C1529,SUMIFS(Data!$B$10:$B$3209,Data!$A$10:$A$3209,"&gt;="&amp;$A1530,Data!$A$10:$A$3209,"&lt;"&amp;$A1530+1)/$AD1530)))</f>
        <v/>
      </c>
      <c r="D1530" s="56">
        <f>IF($B1530=0,"",IF(Inputs!$B$7="","",IF($AE1530=0,D1529,SUMIFS(Data!$F$10:$F$3209,Data!$E$10:$E$3209,"&gt;="&amp;$A1530,Data!$E$10:$E$3209,"&lt;"&amp;$A1530+1)/$AE1530)))</f>
        <v/>
      </c>
      <c r="E1530" s="56">
        <f>IF($B1530=0,"",IF(Inputs!$B$8="","",IF($AF1530=0,E1529,SUMIFS(Data!$J$10:$J$3209,Data!$I$10:$I$3209,"&gt;="&amp;$A1530,Data!$I$10:$I$3209,"&lt;"&amp;$A1530+1)/$AF1530)))</f>
        <v/>
      </c>
      <c r="F1530" s="56">
        <f>IF($B1530=0,"",IF(Inputs!$B$9="","",IF($AG1530=0,F1529,SUMIFS(Data!$N$10:$N$3209,Data!$M$10:$M$3209,"&gt;="&amp;$A1530,Data!$M$10:$M$3209,"&lt;"&amp;$A1530+1)/$AG1530)))</f>
        <v/>
      </c>
      <c r="G1530" s="56">
        <f>IF($B1530=0,"",IF(Inputs!$B$10="","",IF($AH1530=0,G1529,SUMIFS(Data!$R$10:$R$3209,Data!$Q$10:$Q$3209,"&gt;="&amp;$A1530,Data!$Q$10:$Q$3209,"&lt;"&amp;$A1530+1)/$AH1530)))</f>
        <v/>
      </c>
      <c r="I1530" s="54">
        <f>IF($B1530=0,NA(),IF($C1530="",NA(),IF(C$8="",NA(),IF(N(C$8)=0,NA(),IF(Inputs!$C$17="Rebased to 100",$C1530/C$8*100,$C1530)))))</f>
        <v/>
      </c>
      <c r="J1530" s="54">
        <f>IF($B1530=0,NA(),IF($D1530="",NA(),IF(D$8="",NA(),IF(N(D$8)=0,NA(),IF(Inputs!$C$17="Rebased to 100",$D1530/D$8*100,$D1530)))))</f>
        <v/>
      </c>
      <c r="K1530" s="54">
        <f>IF($B1530=0,NA(),IF($E1530="",NA(),IF(E$8="",NA(),IF(N(E$8)=0,NA(),IF(Inputs!$C$17="Rebased to 100",$E1530/E$8*100,$E1530)))))</f>
        <v/>
      </c>
      <c r="L1530" s="54">
        <f>IF($B1530=0,NA(),IF($F1530="",NA(),IF(F$8="",NA(),IF(N(F$8)=0,NA(),IF(Inputs!$C$17="Rebased to 100",$F1530/F$8*100,$F1530)))))</f>
        <v/>
      </c>
      <c r="M1530" s="54">
        <f>IF($B1530=0,NA(),IF($G1530="",NA(),IF(G$8="",NA(),IF(N(G$8)=0,NA(),IF(Inputs!$C$17="Rebased to 100",$G1530/G$8*100,$G1530)))))</f>
        <v/>
      </c>
      <c r="N1530" s="54">
        <f>IF($B1530=0,NA(),IF(Inputs!$C$18&lt;&gt;"Yes",NA(),IF(COUNT(I1530,J1530,K1530,L1530,M1530)=0,NA(),MIN(I1530,J1530,K1530,L1530,M1530))))</f>
        <v/>
      </c>
      <c r="O1530" s="54">
        <f>IF($B1530=0,NA(),IF(Inputs!$B$24&lt;&gt;"Yes",NA(),Inputs!$D$24*Inputs!$C$35))</f>
        <v/>
      </c>
      <c r="P1530" s="54">
        <f>IF($B1530=0,NA(),IF(Inputs!$B$25&lt;&gt;"Yes",NA(),Inputs!$D$25*Inputs!$C$35))</f>
        <v/>
      </c>
      <c r="Q1530" s="54">
        <f>IF($B1530=0,NA(),IF(Inputs!$B$26&lt;&gt;"Yes",NA(),Inputs!$D$26*Inputs!$C$35))</f>
        <v/>
      </c>
      <c r="R1530" s="54">
        <f>IF($B1530=0,NA(),IF(Inputs!$B$27&lt;&gt;"Yes",NA(),Inputs!$D$27*Inputs!$C$35))</f>
        <v/>
      </c>
      <c r="S1530" s="54">
        <f>IF($B1530=0,NA(),IF(Inputs!$B$28&lt;&gt;"Yes",NA(),Inputs!$D$28*Inputs!$C$35))</f>
        <v/>
      </c>
      <c r="T1530" s="54">
        <f>IF($B1530=0,NA(),IF(Inputs!$B$29&lt;&gt;"Yes",NA(),Inputs!$D$29*Inputs!$C$35))</f>
        <v/>
      </c>
      <c r="AD1530">
        <f>IF($B1530=0,0,IF(Inputs!$B$6="",0,COUNTIFS(Data!$A$10:$A$3209,"&gt;="&amp;$A1530,Data!$A$10:$A$3209,"&lt;"&amp;$A1530+1)))</f>
        <v/>
      </c>
      <c r="AE1530">
        <f>IF($B1530=0,0,IF(Inputs!$B$7="",0,COUNTIFS(Data!$E$10:$E$3209,"&gt;="&amp;$A1530,Data!$E$10:$E$3209,"&lt;"&amp;$A1530+1)))</f>
        <v/>
      </c>
      <c r="AF1530">
        <f>IF($B1530=0,0,IF(Inputs!$B$8="",0,COUNTIFS(Data!$I$10:$I$3209,"&gt;="&amp;$A1530,Data!$I$10:$I$3209,"&lt;"&amp;$A1530+1)))</f>
        <v/>
      </c>
      <c r="AG1530">
        <f>IF($B1530=0,0,IF(Inputs!$B$9="",0,COUNTIFS(Data!$M$10:$M$3209,"&gt;="&amp;$A1530,Data!$M$10:$M$3209,"&lt;"&amp;$A1530+1)))</f>
        <v/>
      </c>
      <c r="AH1530">
        <f>IF($B1530=0,0,IF(Inputs!$B$10="",0,COUNTIFS(Data!$Q$10:$Q$3209,"&gt;="&amp;$A1530,Data!$Q$10:$Q$3209,"&lt;"&amp;$A1530+1)))</f>
        <v/>
      </c>
    </row>
    <row r="1531">
      <c r="A1531" s="55">
        <f>MIN(Inputs!$C$15,$A1530+IF(WEEKDAY($A1530,2)=5,3,1))</f>
        <v/>
      </c>
      <c r="B1531">
        <f>IF($A1531&gt;$A1530,1,0)</f>
        <v/>
      </c>
      <c r="C1531" s="56">
        <f>IF($B1531=0,"",IF(Inputs!$B$6="","",IF($AD1531=0,C1530,SUMIFS(Data!$B$10:$B$3209,Data!$A$10:$A$3209,"&gt;="&amp;$A1531,Data!$A$10:$A$3209,"&lt;"&amp;$A1531+1)/$AD1531)))</f>
        <v/>
      </c>
      <c r="D1531" s="56">
        <f>IF($B1531=0,"",IF(Inputs!$B$7="","",IF($AE1531=0,D1530,SUMIFS(Data!$F$10:$F$3209,Data!$E$10:$E$3209,"&gt;="&amp;$A1531,Data!$E$10:$E$3209,"&lt;"&amp;$A1531+1)/$AE1531)))</f>
        <v/>
      </c>
      <c r="E1531" s="56">
        <f>IF($B1531=0,"",IF(Inputs!$B$8="","",IF($AF1531=0,E1530,SUMIFS(Data!$J$10:$J$3209,Data!$I$10:$I$3209,"&gt;="&amp;$A1531,Data!$I$10:$I$3209,"&lt;"&amp;$A1531+1)/$AF1531)))</f>
        <v/>
      </c>
      <c r="F1531" s="56">
        <f>IF($B1531=0,"",IF(Inputs!$B$9="","",IF($AG1531=0,F1530,SUMIFS(Data!$N$10:$N$3209,Data!$M$10:$M$3209,"&gt;="&amp;$A1531,Data!$M$10:$M$3209,"&lt;"&amp;$A1531+1)/$AG1531)))</f>
        <v/>
      </c>
      <c r="G1531" s="56">
        <f>IF($B1531=0,"",IF(Inputs!$B$10="","",IF($AH1531=0,G1530,SUMIFS(Data!$R$10:$R$3209,Data!$Q$10:$Q$3209,"&gt;="&amp;$A1531,Data!$Q$10:$Q$3209,"&lt;"&amp;$A1531+1)/$AH1531)))</f>
        <v/>
      </c>
      <c r="I1531" s="54">
        <f>IF($B1531=0,NA(),IF($C1531="",NA(),IF(C$8="",NA(),IF(N(C$8)=0,NA(),IF(Inputs!$C$17="Rebased to 100",$C1531/C$8*100,$C1531)))))</f>
        <v/>
      </c>
      <c r="J1531" s="54">
        <f>IF($B1531=0,NA(),IF($D1531="",NA(),IF(D$8="",NA(),IF(N(D$8)=0,NA(),IF(Inputs!$C$17="Rebased to 100",$D1531/D$8*100,$D1531)))))</f>
        <v/>
      </c>
      <c r="K1531" s="54">
        <f>IF($B1531=0,NA(),IF($E1531="",NA(),IF(E$8="",NA(),IF(N(E$8)=0,NA(),IF(Inputs!$C$17="Rebased to 100",$E1531/E$8*100,$E1531)))))</f>
        <v/>
      </c>
      <c r="L1531" s="54">
        <f>IF($B1531=0,NA(),IF($F1531="",NA(),IF(F$8="",NA(),IF(N(F$8)=0,NA(),IF(Inputs!$C$17="Rebased to 100",$F1531/F$8*100,$F1531)))))</f>
        <v/>
      </c>
      <c r="M1531" s="54">
        <f>IF($B1531=0,NA(),IF($G1531="",NA(),IF(G$8="",NA(),IF(N(G$8)=0,NA(),IF(Inputs!$C$17="Rebased to 100",$G1531/G$8*100,$G1531)))))</f>
        <v/>
      </c>
      <c r="N1531" s="54">
        <f>IF($B1531=0,NA(),IF(Inputs!$C$18&lt;&gt;"Yes",NA(),IF(COUNT(I1531,J1531,K1531,L1531,M1531)=0,NA(),MIN(I1531,J1531,K1531,L1531,M1531))))</f>
        <v/>
      </c>
      <c r="O1531" s="54">
        <f>IF($B1531=0,NA(),IF(Inputs!$B$24&lt;&gt;"Yes",NA(),Inputs!$D$24*Inputs!$C$35))</f>
        <v/>
      </c>
      <c r="P1531" s="54">
        <f>IF($B1531=0,NA(),IF(Inputs!$B$25&lt;&gt;"Yes",NA(),Inputs!$D$25*Inputs!$C$35))</f>
        <v/>
      </c>
      <c r="Q1531" s="54">
        <f>IF($B1531=0,NA(),IF(Inputs!$B$26&lt;&gt;"Yes",NA(),Inputs!$D$26*Inputs!$C$35))</f>
        <v/>
      </c>
      <c r="R1531" s="54">
        <f>IF($B1531=0,NA(),IF(Inputs!$B$27&lt;&gt;"Yes",NA(),Inputs!$D$27*Inputs!$C$35))</f>
        <v/>
      </c>
      <c r="S1531" s="54">
        <f>IF($B1531=0,NA(),IF(Inputs!$B$28&lt;&gt;"Yes",NA(),Inputs!$D$28*Inputs!$C$35))</f>
        <v/>
      </c>
      <c r="T1531" s="54">
        <f>IF($B1531=0,NA(),IF(Inputs!$B$29&lt;&gt;"Yes",NA(),Inputs!$D$29*Inputs!$C$35))</f>
        <v/>
      </c>
      <c r="AD1531">
        <f>IF($B1531=0,0,IF(Inputs!$B$6="",0,COUNTIFS(Data!$A$10:$A$3209,"&gt;="&amp;$A1531,Data!$A$10:$A$3209,"&lt;"&amp;$A1531+1)))</f>
        <v/>
      </c>
      <c r="AE1531">
        <f>IF($B1531=0,0,IF(Inputs!$B$7="",0,COUNTIFS(Data!$E$10:$E$3209,"&gt;="&amp;$A1531,Data!$E$10:$E$3209,"&lt;"&amp;$A1531+1)))</f>
        <v/>
      </c>
      <c r="AF1531">
        <f>IF($B1531=0,0,IF(Inputs!$B$8="",0,COUNTIFS(Data!$I$10:$I$3209,"&gt;="&amp;$A1531,Data!$I$10:$I$3209,"&lt;"&amp;$A1531+1)))</f>
        <v/>
      </c>
      <c r="AG1531">
        <f>IF($B1531=0,0,IF(Inputs!$B$9="",0,COUNTIFS(Data!$M$10:$M$3209,"&gt;="&amp;$A1531,Data!$M$10:$M$3209,"&lt;"&amp;$A1531+1)))</f>
        <v/>
      </c>
      <c r="AH1531">
        <f>IF($B1531=0,0,IF(Inputs!$B$10="",0,COUNTIFS(Data!$Q$10:$Q$3209,"&gt;="&amp;$A1531,Data!$Q$10:$Q$3209,"&lt;"&amp;$A1531+1)))</f>
        <v/>
      </c>
    </row>
    <row r="1532">
      <c r="A1532" s="55">
        <f>MIN(Inputs!$C$15,$A1531+IF(WEEKDAY($A1531,2)=5,3,1))</f>
        <v/>
      </c>
      <c r="B1532">
        <f>IF($A1532&gt;$A1531,1,0)</f>
        <v/>
      </c>
      <c r="C1532" s="56">
        <f>IF($B1532=0,"",IF(Inputs!$B$6="","",IF($AD1532=0,C1531,SUMIFS(Data!$B$10:$B$3209,Data!$A$10:$A$3209,"&gt;="&amp;$A1532,Data!$A$10:$A$3209,"&lt;"&amp;$A1532+1)/$AD1532)))</f>
        <v/>
      </c>
      <c r="D1532" s="56">
        <f>IF($B1532=0,"",IF(Inputs!$B$7="","",IF($AE1532=0,D1531,SUMIFS(Data!$F$10:$F$3209,Data!$E$10:$E$3209,"&gt;="&amp;$A1532,Data!$E$10:$E$3209,"&lt;"&amp;$A1532+1)/$AE1532)))</f>
        <v/>
      </c>
      <c r="E1532" s="56">
        <f>IF($B1532=0,"",IF(Inputs!$B$8="","",IF($AF1532=0,E1531,SUMIFS(Data!$J$10:$J$3209,Data!$I$10:$I$3209,"&gt;="&amp;$A1532,Data!$I$10:$I$3209,"&lt;"&amp;$A1532+1)/$AF1532)))</f>
        <v/>
      </c>
      <c r="F1532" s="56">
        <f>IF($B1532=0,"",IF(Inputs!$B$9="","",IF($AG1532=0,F1531,SUMIFS(Data!$N$10:$N$3209,Data!$M$10:$M$3209,"&gt;="&amp;$A1532,Data!$M$10:$M$3209,"&lt;"&amp;$A1532+1)/$AG1532)))</f>
        <v/>
      </c>
      <c r="G1532" s="56">
        <f>IF($B1532=0,"",IF(Inputs!$B$10="","",IF($AH1532=0,G1531,SUMIFS(Data!$R$10:$R$3209,Data!$Q$10:$Q$3209,"&gt;="&amp;$A1532,Data!$Q$10:$Q$3209,"&lt;"&amp;$A1532+1)/$AH1532)))</f>
        <v/>
      </c>
      <c r="I1532" s="54">
        <f>IF($B1532=0,NA(),IF($C1532="",NA(),IF(C$8="",NA(),IF(N(C$8)=0,NA(),IF(Inputs!$C$17="Rebased to 100",$C1532/C$8*100,$C1532)))))</f>
        <v/>
      </c>
      <c r="J1532" s="54">
        <f>IF($B1532=0,NA(),IF($D1532="",NA(),IF(D$8="",NA(),IF(N(D$8)=0,NA(),IF(Inputs!$C$17="Rebased to 100",$D1532/D$8*100,$D1532)))))</f>
        <v/>
      </c>
      <c r="K1532" s="54">
        <f>IF($B1532=0,NA(),IF($E1532="",NA(),IF(E$8="",NA(),IF(N(E$8)=0,NA(),IF(Inputs!$C$17="Rebased to 100",$E1532/E$8*100,$E1532)))))</f>
        <v/>
      </c>
      <c r="L1532" s="54">
        <f>IF($B1532=0,NA(),IF($F1532="",NA(),IF(F$8="",NA(),IF(N(F$8)=0,NA(),IF(Inputs!$C$17="Rebased to 100",$F1532/F$8*100,$F1532)))))</f>
        <v/>
      </c>
      <c r="M1532" s="54">
        <f>IF($B1532=0,NA(),IF($G1532="",NA(),IF(G$8="",NA(),IF(N(G$8)=0,NA(),IF(Inputs!$C$17="Rebased to 100",$G1532/G$8*100,$G1532)))))</f>
        <v/>
      </c>
      <c r="N1532" s="54">
        <f>IF($B1532=0,NA(),IF(Inputs!$C$18&lt;&gt;"Yes",NA(),IF(COUNT(I1532,J1532,K1532,L1532,M1532)=0,NA(),MIN(I1532,J1532,K1532,L1532,M1532))))</f>
        <v/>
      </c>
      <c r="O1532" s="54">
        <f>IF($B1532=0,NA(),IF(Inputs!$B$24&lt;&gt;"Yes",NA(),Inputs!$D$24*Inputs!$C$35))</f>
        <v/>
      </c>
      <c r="P1532" s="54">
        <f>IF($B1532=0,NA(),IF(Inputs!$B$25&lt;&gt;"Yes",NA(),Inputs!$D$25*Inputs!$C$35))</f>
        <v/>
      </c>
      <c r="Q1532" s="54">
        <f>IF($B1532=0,NA(),IF(Inputs!$B$26&lt;&gt;"Yes",NA(),Inputs!$D$26*Inputs!$C$35))</f>
        <v/>
      </c>
      <c r="R1532" s="54">
        <f>IF($B1532=0,NA(),IF(Inputs!$B$27&lt;&gt;"Yes",NA(),Inputs!$D$27*Inputs!$C$35))</f>
        <v/>
      </c>
      <c r="S1532" s="54">
        <f>IF($B1532=0,NA(),IF(Inputs!$B$28&lt;&gt;"Yes",NA(),Inputs!$D$28*Inputs!$C$35))</f>
        <v/>
      </c>
      <c r="T1532" s="54">
        <f>IF($B1532=0,NA(),IF(Inputs!$B$29&lt;&gt;"Yes",NA(),Inputs!$D$29*Inputs!$C$35))</f>
        <v/>
      </c>
      <c r="AD1532">
        <f>IF($B1532=0,0,IF(Inputs!$B$6="",0,COUNTIFS(Data!$A$10:$A$3209,"&gt;="&amp;$A1532,Data!$A$10:$A$3209,"&lt;"&amp;$A1532+1)))</f>
        <v/>
      </c>
      <c r="AE1532">
        <f>IF($B1532=0,0,IF(Inputs!$B$7="",0,COUNTIFS(Data!$E$10:$E$3209,"&gt;="&amp;$A1532,Data!$E$10:$E$3209,"&lt;"&amp;$A1532+1)))</f>
        <v/>
      </c>
      <c r="AF1532">
        <f>IF($B1532=0,0,IF(Inputs!$B$8="",0,COUNTIFS(Data!$I$10:$I$3209,"&gt;="&amp;$A1532,Data!$I$10:$I$3209,"&lt;"&amp;$A1532+1)))</f>
        <v/>
      </c>
      <c r="AG1532">
        <f>IF($B1532=0,0,IF(Inputs!$B$9="",0,COUNTIFS(Data!$M$10:$M$3209,"&gt;="&amp;$A1532,Data!$M$10:$M$3209,"&lt;"&amp;$A1532+1)))</f>
        <v/>
      </c>
      <c r="AH1532">
        <f>IF($B1532=0,0,IF(Inputs!$B$10="",0,COUNTIFS(Data!$Q$10:$Q$3209,"&gt;="&amp;$A1532,Data!$Q$10:$Q$3209,"&lt;"&amp;$A1532+1)))</f>
        <v/>
      </c>
    </row>
    <row r="1533">
      <c r="A1533" s="55">
        <f>MIN(Inputs!$C$15,$A1532+IF(WEEKDAY($A1532,2)=5,3,1))</f>
        <v/>
      </c>
      <c r="B1533">
        <f>IF($A1533&gt;$A1532,1,0)</f>
        <v/>
      </c>
      <c r="C1533" s="56">
        <f>IF($B1533=0,"",IF(Inputs!$B$6="","",IF($AD1533=0,C1532,SUMIFS(Data!$B$10:$B$3209,Data!$A$10:$A$3209,"&gt;="&amp;$A1533,Data!$A$10:$A$3209,"&lt;"&amp;$A1533+1)/$AD1533)))</f>
        <v/>
      </c>
      <c r="D1533" s="56">
        <f>IF($B1533=0,"",IF(Inputs!$B$7="","",IF($AE1533=0,D1532,SUMIFS(Data!$F$10:$F$3209,Data!$E$10:$E$3209,"&gt;="&amp;$A1533,Data!$E$10:$E$3209,"&lt;"&amp;$A1533+1)/$AE1533)))</f>
        <v/>
      </c>
      <c r="E1533" s="56">
        <f>IF($B1533=0,"",IF(Inputs!$B$8="","",IF($AF1533=0,E1532,SUMIFS(Data!$J$10:$J$3209,Data!$I$10:$I$3209,"&gt;="&amp;$A1533,Data!$I$10:$I$3209,"&lt;"&amp;$A1533+1)/$AF1533)))</f>
        <v/>
      </c>
      <c r="F1533" s="56">
        <f>IF($B1533=0,"",IF(Inputs!$B$9="","",IF($AG1533=0,F1532,SUMIFS(Data!$N$10:$N$3209,Data!$M$10:$M$3209,"&gt;="&amp;$A1533,Data!$M$10:$M$3209,"&lt;"&amp;$A1533+1)/$AG1533)))</f>
        <v/>
      </c>
      <c r="G1533" s="56">
        <f>IF($B1533=0,"",IF(Inputs!$B$10="","",IF($AH1533=0,G1532,SUMIFS(Data!$R$10:$R$3209,Data!$Q$10:$Q$3209,"&gt;="&amp;$A1533,Data!$Q$10:$Q$3209,"&lt;"&amp;$A1533+1)/$AH1533)))</f>
        <v/>
      </c>
      <c r="I1533" s="54">
        <f>IF($B1533=0,NA(),IF($C1533="",NA(),IF(C$8="",NA(),IF(N(C$8)=0,NA(),IF(Inputs!$C$17="Rebased to 100",$C1533/C$8*100,$C1533)))))</f>
        <v/>
      </c>
      <c r="J1533" s="54">
        <f>IF($B1533=0,NA(),IF($D1533="",NA(),IF(D$8="",NA(),IF(N(D$8)=0,NA(),IF(Inputs!$C$17="Rebased to 100",$D1533/D$8*100,$D1533)))))</f>
        <v/>
      </c>
      <c r="K1533" s="54">
        <f>IF($B1533=0,NA(),IF($E1533="",NA(),IF(E$8="",NA(),IF(N(E$8)=0,NA(),IF(Inputs!$C$17="Rebased to 100",$E1533/E$8*100,$E1533)))))</f>
        <v/>
      </c>
      <c r="L1533" s="54">
        <f>IF($B1533=0,NA(),IF($F1533="",NA(),IF(F$8="",NA(),IF(N(F$8)=0,NA(),IF(Inputs!$C$17="Rebased to 100",$F1533/F$8*100,$F1533)))))</f>
        <v/>
      </c>
      <c r="M1533" s="54">
        <f>IF($B1533=0,NA(),IF($G1533="",NA(),IF(G$8="",NA(),IF(N(G$8)=0,NA(),IF(Inputs!$C$17="Rebased to 100",$G1533/G$8*100,$G1533)))))</f>
        <v/>
      </c>
      <c r="N1533" s="54">
        <f>IF($B1533=0,NA(),IF(Inputs!$C$18&lt;&gt;"Yes",NA(),IF(COUNT(I1533,J1533,K1533,L1533,M1533)=0,NA(),MIN(I1533,J1533,K1533,L1533,M1533))))</f>
        <v/>
      </c>
      <c r="O1533" s="54">
        <f>IF($B1533=0,NA(),IF(Inputs!$B$24&lt;&gt;"Yes",NA(),Inputs!$D$24*Inputs!$C$35))</f>
        <v/>
      </c>
      <c r="P1533" s="54">
        <f>IF($B1533=0,NA(),IF(Inputs!$B$25&lt;&gt;"Yes",NA(),Inputs!$D$25*Inputs!$C$35))</f>
        <v/>
      </c>
      <c r="Q1533" s="54">
        <f>IF($B1533=0,NA(),IF(Inputs!$B$26&lt;&gt;"Yes",NA(),Inputs!$D$26*Inputs!$C$35))</f>
        <v/>
      </c>
      <c r="R1533" s="54">
        <f>IF($B1533=0,NA(),IF(Inputs!$B$27&lt;&gt;"Yes",NA(),Inputs!$D$27*Inputs!$C$35))</f>
        <v/>
      </c>
      <c r="S1533" s="54">
        <f>IF($B1533=0,NA(),IF(Inputs!$B$28&lt;&gt;"Yes",NA(),Inputs!$D$28*Inputs!$C$35))</f>
        <v/>
      </c>
      <c r="T1533" s="54">
        <f>IF($B1533=0,NA(),IF(Inputs!$B$29&lt;&gt;"Yes",NA(),Inputs!$D$29*Inputs!$C$35))</f>
        <v/>
      </c>
      <c r="AD1533">
        <f>IF($B1533=0,0,IF(Inputs!$B$6="",0,COUNTIFS(Data!$A$10:$A$3209,"&gt;="&amp;$A1533,Data!$A$10:$A$3209,"&lt;"&amp;$A1533+1)))</f>
        <v/>
      </c>
      <c r="AE1533">
        <f>IF($B1533=0,0,IF(Inputs!$B$7="",0,COUNTIFS(Data!$E$10:$E$3209,"&gt;="&amp;$A1533,Data!$E$10:$E$3209,"&lt;"&amp;$A1533+1)))</f>
        <v/>
      </c>
      <c r="AF1533">
        <f>IF($B1533=0,0,IF(Inputs!$B$8="",0,COUNTIFS(Data!$I$10:$I$3209,"&gt;="&amp;$A1533,Data!$I$10:$I$3209,"&lt;"&amp;$A1533+1)))</f>
        <v/>
      </c>
      <c r="AG1533">
        <f>IF($B1533=0,0,IF(Inputs!$B$9="",0,COUNTIFS(Data!$M$10:$M$3209,"&gt;="&amp;$A1533,Data!$M$10:$M$3209,"&lt;"&amp;$A1533+1)))</f>
        <v/>
      </c>
      <c r="AH1533">
        <f>IF($B1533=0,0,IF(Inputs!$B$10="",0,COUNTIFS(Data!$Q$10:$Q$3209,"&gt;="&amp;$A1533,Data!$Q$10:$Q$3209,"&lt;"&amp;$A1533+1)))</f>
        <v/>
      </c>
    </row>
    <row r="1534">
      <c r="A1534" s="55">
        <f>MIN(Inputs!$C$15,$A1533+IF(WEEKDAY($A1533,2)=5,3,1))</f>
        <v/>
      </c>
      <c r="B1534">
        <f>IF($A1534&gt;$A1533,1,0)</f>
        <v/>
      </c>
      <c r="C1534" s="56">
        <f>IF($B1534=0,"",IF(Inputs!$B$6="","",IF($AD1534=0,C1533,SUMIFS(Data!$B$10:$B$3209,Data!$A$10:$A$3209,"&gt;="&amp;$A1534,Data!$A$10:$A$3209,"&lt;"&amp;$A1534+1)/$AD1534)))</f>
        <v/>
      </c>
      <c r="D1534" s="56">
        <f>IF($B1534=0,"",IF(Inputs!$B$7="","",IF($AE1534=0,D1533,SUMIFS(Data!$F$10:$F$3209,Data!$E$10:$E$3209,"&gt;="&amp;$A1534,Data!$E$10:$E$3209,"&lt;"&amp;$A1534+1)/$AE1534)))</f>
        <v/>
      </c>
      <c r="E1534" s="56">
        <f>IF($B1534=0,"",IF(Inputs!$B$8="","",IF($AF1534=0,E1533,SUMIFS(Data!$J$10:$J$3209,Data!$I$10:$I$3209,"&gt;="&amp;$A1534,Data!$I$10:$I$3209,"&lt;"&amp;$A1534+1)/$AF1534)))</f>
        <v/>
      </c>
      <c r="F1534" s="56">
        <f>IF($B1534=0,"",IF(Inputs!$B$9="","",IF($AG1534=0,F1533,SUMIFS(Data!$N$10:$N$3209,Data!$M$10:$M$3209,"&gt;="&amp;$A1534,Data!$M$10:$M$3209,"&lt;"&amp;$A1534+1)/$AG1534)))</f>
        <v/>
      </c>
      <c r="G1534" s="56">
        <f>IF($B1534=0,"",IF(Inputs!$B$10="","",IF($AH1534=0,G1533,SUMIFS(Data!$R$10:$R$3209,Data!$Q$10:$Q$3209,"&gt;="&amp;$A1534,Data!$Q$10:$Q$3209,"&lt;"&amp;$A1534+1)/$AH1534)))</f>
        <v/>
      </c>
      <c r="I1534" s="54">
        <f>IF($B1534=0,NA(),IF($C1534="",NA(),IF(C$8="",NA(),IF(N(C$8)=0,NA(),IF(Inputs!$C$17="Rebased to 100",$C1534/C$8*100,$C1534)))))</f>
        <v/>
      </c>
      <c r="J1534" s="54">
        <f>IF($B1534=0,NA(),IF($D1534="",NA(),IF(D$8="",NA(),IF(N(D$8)=0,NA(),IF(Inputs!$C$17="Rebased to 100",$D1534/D$8*100,$D1534)))))</f>
        <v/>
      </c>
      <c r="K1534" s="54">
        <f>IF($B1534=0,NA(),IF($E1534="",NA(),IF(E$8="",NA(),IF(N(E$8)=0,NA(),IF(Inputs!$C$17="Rebased to 100",$E1534/E$8*100,$E1534)))))</f>
        <v/>
      </c>
      <c r="L1534" s="54">
        <f>IF($B1534=0,NA(),IF($F1534="",NA(),IF(F$8="",NA(),IF(N(F$8)=0,NA(),IF(Inputs!$C$17="Rebased to 100",$F1534/F$8*100,$F1534)))))</f>
        <v/>
      </c>
      <c r="M1534" s="54">
        <f>IF($B1534=0,NA(),IF($G1534="",NA(),IF(G$8="",NA(),IF(N(G$8)=0,NA(),IF(Inputs!$C$17="Rebased to 100",$G1534/G$8*100,$G1534)))))</f>
        <v/>
      </c>
      <c r="N1534" s="54">
        <f>IF($B1534=0,NA(),IF(Inputs!$C$18&lt;&gt;"Yes",NA(),IF(COUNT(I1534,J1534,K1534,L1534,M1534)=0,NA(),MIN(I1534,J1534,K1534,L1534,M1534))))</f>
        <v/>
      </c>
      <c r="O1534" s="54">
        <f>IF($B1534=0,NA(),IF(Inputs!$B$24&lt;&gt;"Yes",NA(),Inputs!$D$24*Inputs!$C$35))</f>
        <v/>
      </c>
      <c r="P1534" s="54">
        <f>IF($B1534=0,NA(),IF(Inputs!$B$25&lt;&gt;"Yes",NA(),Inputs!$D$25*Inputs!$C$35))</f>
        <v/>
      </c>
      <c r="Q1534" s="54">
        <f>IF($B1534=0,NA(),IF(Inputs!$B$26&lt;&gt;"Yes",NA(),Inputs!$D$26*Inputs!$C$35))</f>
        <v/>
      </c>
      <c r="R1534" s="54">
        <f>IF($B1534=0,NA(),IF(Inputs!$B$27&lt;&gt;"Yes",NA(),Inputs!$D$27*Inputs!$C$35))</f>
        <v/>
      </c>
      <c r="S1534" s="54">
        <f>IF($B1534=0,NA(),IF(Inputs!$B$28&lt;&gt;"Yes",NA(),Inputs!$D$28*Inputs!$C$35))</f>
        <v/>
      </c>
      <c r="T1534" s="54">
        <f>IF($B1534=0,NA(),IF(Inputs!$B$29&lt;&gt;"Yes",NA(),Inputs!$D$29*Inputs!$C$35))</f>
        <v/>
      </c>
      <c r="AD1534">
        <f>IF($B1534=0,0,IF(Inputs!$B$6="",0,COUNTIFS(Data!$A$10:$A$3209,"&gt;="&amp;$A1534,Data!$A$10:$A$3209,"&lt;"&amp;$A1534+1)))</f>
        <v/>
      </c>
      <c r="AE1534">
        <f>IF($B1534=0,0,IF(Inputs!$B$7="",0,COUNTIFS(Data!$E$10:$E$3209,"&gt;="&amp;$A1534,Data!$E$10:$E$3209,"&lt;"&amp;$A1534+1)))</f>
        <v/>
      </c>
      <c r="AF1534">
        <f>IF($B1534=0,0,IF(Inputs!$B$8="",0,COUNTIFS(Data!$I$10:$I$3209,"&gt;="&amp;$A1534,Data!$I$10:$I$3209,"&lt;"&amp;$A1534+1)))</f>
        <v/>
      </c>
      <c r="AG1534">
        <f>IF($B1534=0,0,IF(Inputs!$B$9="",0,COUNTIFS(Data!$M$10:$M$3209,"&gt;="&amp;$A1534,Data!$M$10:$M$3209,"&lt;"&amp;$A1534+1)))</f>
        <v/>
      </c>
      <c r="AH1534">
        <f>IF($B1534=0,0,IF(Inputs!$B$10="",0,COUNTIFS(Data!$Q$10:$Q$3209,"&gt;="&amp;$A1534,Data!$Q$10:$Q$3209,"&lt;"&amp;$A1534+1)))</f>
        <v/>
      </c>
    </row>
    <row r="1535">
      <c r="A1535" s="55">
        <f>MIN(Inputs!$C$15,$A1534+IF(WEEKDAY($A1534,2)=5,3,1))</f>
        <v/>
      </c>
      <c r="B1535">
        <f>IF($A1535&gt;$A1534,1,0)</f>
        <v/>
      </c>
      <c r="C1535" s="56">
        <f>IF($B1535=0,"",IF(Inputs!$B$6="","",IF($AD1535=0,C1534,SUMIFS(Data!$B$10:$B$3209,Data!$A$10:$A$3209,"&gt;="&amp;$A1535,Data!$A$10:$A$3209,"&lt;"&amp;$A1535+1)/$AD1535)))</f>
        <v/>
      </c>
      <c r="D1535" s="56">
        <f>IF($B1535=0,"",IF(Inputs!$B$7="","",IF($AE1535=0,D1534,SUMIFS(Data!$F$10:$F$3209,Data!$E$10:$E$3209,"&gt;="&amp;$A1535,Data!$E$10:$E$3209,"&lt;"&amp;$A1535+1)/$AE1535)))</f>
        <v/>
      </c>
      <c r="E1535" s="56">
        <f>IF($B1535=0,"",IF(Inputs!$B$8="","",IF($AF1535=0,E1534,SUMIFS(Data!$J$10:$J$3209,Data!$I$10:$I$3209,"&gt;="&amp;$A1535,Data!$I$10:$I$3209,"&lt;"&amp;$A1535+1)/$AF1535)))</f>
        <v/>
      </c>
      <c r="F1535" s="56">
        <f>IF($B1535=0,"",IF(Inputs!$B$9="","",IF($AG1535=0,F1534,SUMIFS(Data!$N$10:$N$3209,Data!$M$10:$M$3209,"&gt;="&amp;$A1535,Data!$M$10:$M$3209,"&lt;"&amp;$A1535+1)/$AG1535)))</f>
        <v/>
      </c>
      <c r="G1535" s="56">
        <f>IF($B1535=0,"",IF(Inputs!$B$10="","",IF($AH1535=0,G1534,SUMIFS(Data!$R$10:$R$3209,Data!$Q$10:$Q$3209,"&gt;="&amp;$A1535,Data!$Q$10:$Q$3209,"&lt;"&amp;$A1535+1)/$AH1535)))</f>
        <v/>
      </c>
      <c r="I1535" s="54">
        <f>IF($B1535=0,NA(),IF($C1535="",NA(),IF(C$8="",NA(),IF(N(C$8)=0,NA(),IF(Inputs!$C$17="Rebased to 100",$C1535/C$8*100,$C1535)))))</f>
        <v/>
      </c>
      <c r="J1535" s="54">
        <f>IF($B1535=0,NA(),IF($D1535="",NA(),IF(D$8="",NA(),IF(N(D$8)=0,NA(),IF(Inputs!$C$17="Rebased to 100",$D1535/D$8*100,$D1535)))))</f>
        <v/>
      </c>
      <c r="K1535" s="54">
        <f>IF($B1535=0,NA(),IF($E1535="",NA(),IF(E$8="",NA(),IF(N(E$8)=0,NA(),IF(Inputs!$C$17="Rebased to 100",$E1535/E$8*100,$E1535)))))</f>
        <v/>
      </c>
      <c r="L1535" s="54">
        <f>IF($B1535=0,NA(),IF($F1535="",NA(),IF(F$8="",NA(),IF(N(F$8)=0,NA(),IF(Inputs!$C$17="Rebased to 100",$F1535/F$8*100,$F1535)))))</f>
        <v/>
      </c>
      <c r="M1535" s="54">
        <f>IF($B1535=0,NA(),IF($G1535="",NA(),IF(G$8="",NA(),IF(N(G$8)=0,NA(),IF(Inputs!$C$17="Rebased to 100",$G1535/G$8*100,$G1535)))))</f>
        <v/>
      </c>
      <c r="N1535" s="54">
        <f>IF($B1535=0,NA(),IF(Inputs!$C$18&lt;&gt;"Yes",NA(),IF(COUNT(I1535,J1535,K1535,L1535,M1535)=0,NA(),MIN(I1535,J1535,K1535,L1535,M1535))))</f>
        <v/>
      </c>
      <c r="O1535" s="54">
        <f>IF($B1535=0,NA(),IF(Inputs!$B$24&lt;&gt;"Yes",NA(),Inputs!$D$24*Inputs!$C$35))</f>
        <v/>
      </c>
      <c r="P1535" s="54">
        <f>IF($B1535=0,NA(),IF(Inputs!$B$25&lt;&gt;"Yes",NA(),Inputs!$D$25*Inputs!$C$35))</f>
        <v/>
      </c>
      <c r="Q1535" s="54">
        <f>IF($B1535=0,NA(),IF(Inputs!$B$26&lt;&gt;"Yes",NA(),Inputs!$D$26*Inputs!$C$35))</f>
        <v/>
      </c>
      <c r="R1535" s="54">
        <f>IF($B1535=0,NA(),IF(Inputs!$B$27&lt;&gt;"Yes",NA(),Inputs!$D$27*Inputs!$C$35))</f>
        <v/>
      </c>
      <c r="S1535" s="54">
        <f>IF($B1535=0,NA(),IF(Inputs!$B$28&lt;&gt;"Yes",NA(),Inputs!$D$28*Inputs!$C$35))</f>
        <v/>
      </c>
      <c r="T1535" s="54">
        <f>IF($B1535=0,NA(),IF(Inputs!$B$29&lt;&gt;"Yes",NA(),Inputs!$D$29*Inputs!$C$35))</f>
        <v/>
      </c>
      <c r="AD1535">
        <f>IF($B1535=0,0,IF(Inputs!$B$6="",0,COUNTIFS(Data!$A$10:$A$3209,"&gt;="&amp;$A1535,Data!$A$10:$A$3209,"&lt;"&amp;$A1535+1)))</f>
        <v/>
      </c>
      <c r="AE1535">
        <f>IF($B1535=0,0,IF(Inputs!$B$7="",0,COUNTIFS(Data!$E$10:$E$3209,"&gt;="&amp;$A1535,Data!$E$10:$E$3209,"&lt;"&amp;$A1535+1)))</f>
        <v/>
      </c>
      <c r="AF1535">
        <f>IF($B1535=0,0,IF(Inputs!$B$8="",0,COUNTIFS(Data!$I$10:$I$3209,"&gt;="&amp;$A1535,Data!$I$10:$I$3209,"&lt;"&amp;$A1535+1)))</f>
        <v/>
      </c>
      <c r="AG1535">
        <f>IF($B1535=0,0,IF(Inputs!$B$9="",0,COUNTIFS(Data!$M$10:$M$3209,"&gt;="&amp;$A1535,Data!$M$10:$M$3209,"&lt;"&amp;$A1535+1)))</f>
        <v/>
      </c>
      <c r="AH1535">
        <f>IF($B1535=0,0,IF(Inputs!$B$10="",0,COUNTIFS(Data!$Q$10:$Q$3209,"&gt;="&amp;$A1535,Data!$Q$10:$Q$3209,"&lt;"&amp;$A1535+1)))</f>
        <v/>
      </c>
    </row>
    <row r="1536">
      <c r="A1536" s="55">
        <f>MIN(Inputs!$C$15,$A1535+IF(WEEKDAY($A1535,2)=5,3,1))</f>
        <v/>
      </c>
      <c r="B1536">
        <f>IF($A1536&gt;$A1535,1,0)</f>
        <v/>
      </c>
      <c r="C1536" s="56">
        <f>IF($B1536=0,"",IF(Inputs!$B$6="","",IF($AD1536=0,C1535,SUMIFS(Data!$B$10:$B$3209,Data!$A$10:$A$3209,"&gt;="&amp;$A1536,Data!$A$10:$A$3209,"&lt;"&amp;$A1536+1)/$AD1536)))</f>
        <v/>
      </c>
      <c r="D1536" s="56">
        <f>IF($B1536=0,"",IF(Inputs!$B$7="","",IF($AE1536=0,D1535,SUMIFS(Data!$F$10:$F$3209,Data!$E$10:$E$3209,"&gt;="&amp;$A1536,Data!$E$10:$E$3209,"&lt;"&amp;$A1536+1)/$AE1536)))</f>
        <v/>
      </c>
      <c r="E1536" s="56">
        <f>IF($B1536=0,"",IF(Inputs!$B$8="","",IF($AF1536=0,E1535,SUMIFS(Data!$J$10:$J$3209,Data!$I$10:$I$3209,"&gt;="&amp;$A1536,Data!$I$10:$I$3209,"&lt;"&amp;$A1536+1)/$AF1536)))</f>
        <v/>
      </c>
      <c r="F1536" s="56">
        <f>IF($B1536=0,"",IF(Inputs!$B$9="","",IF($AG1536=0,F1535,SUMIFS(Data!$N$10:$N$3209,Data!$M$10:$M$3209,"&gt;="&amp;$A1536,Data!$M$10:$M$3209,"&lt;"&amp;$A1536+1)/$AG1536)))</f>
        <v/>
      </c>
      <c r="G1536" s="56">
        <f>IF($B1536=0,"",IF(Inputs!$B$10="","",IF($AH1536=0,G1535,SUMIFS(Data!$R$10:$R$3209,Data!$Q$10:$Q$3209,"&gt;="&amp;$A1536,Data!$Q$10:$Q$3209,"&lt;"&amp;$A1536+1)/$AH1536)))</f>
        <v/>
      </c>
      <c r="I1536" s="54">
        <f>IF($B1536=0,NA(),IF($C1536="",NA(),IF(C$8="",NA(),IF(N(C$8)=0,NA(),IF(Inputs!$C$17="Rebased to 100",$C1536/C$8*100,$C1536)))))</f>
        <v/>
      </c>
      <c r="J1536" s="54">
        <f>IF($B1536=0,NA(),IF($D1536="",NA(),IF(D$8="",NA(),IF(N(D$8)=0,NA(),IF(Inputs!$C$17="Rebased to 100",$D1536/D$8*100,$D1536)))))</f>
        <v/>
      </c>
      <c r="K1536" s="54">
        <f>IF($B1536=0,NA(),IF($E1536="",NA(),IF(E$8="",NA(),IF(N(E$8)=0,NA(),IF(Inputs!$C$17="Rebased to 100",$E1536/E$8*100,$E1536)))))</f>
        <v/>
      </c>
      <c r="L1536" s="54">
        <f>IF($B1536=0,NA(),IF($F1536="",NA(),IF(F$8="",NA(),IF(N(F$8)=0,NA(),IF(Inputs!$C$17="Rebased to 100",$F1536/F$8*100,$F1536)))))</f>
        <v/>
      </c>
      <c r="M1536" s="54">
        <f>IF($B1536=0,NA(),IF($G1536="",NA(),IF(G$8="",NA(),IF(N(G$8)=0,NA(),IF(Inputs!$C$17="Rebased to 100",$G1536/G$8*100,$G1536)))))</f>
        <v/>
      </c>
      <c r="N1536" s="54">
        <f>IF($B1536=0,NA(),IF(Inputs!$C$18&lt;&gt;"Yes",NA(),IF(COUNT(I1536,J1536,K1536,L1536,M1536)=0,NA(),MIN(I1536,J1536,K1536,L1536,M1536))))</f>
        <v/>
      </c>
      <c r="O1536" s="54">
        <f>IF($B1536=0,NA(),IF(Inputs!$B$24&lt;&gt;"Yes",NA(),Inputs!$D$24*Inputs!$C$35))</f>
        <v/>
      </c>
      <c r="P1536" s="54">
        <f>IF($B1536=0,NA(),IF(Inputs!$B$25&lt;&gt;"Yes",NA(),Inputs!$D$25*Inputs!$C$35))</f>
        <v/>
      </c>
      <c r="Q1536" s="54">
        <f>IF($B1536=0,NA(),IF(Inputs!$B$26&lt;&gt;"Yes",NA(),Inputs!$D$26*Inputs!$C$35))</f>
        <v/>
      </c>
      <c r="R1536" s="54">
        <f>IF($B1536=0,NA(),IF(Inputs!$B$27&lt;&gt;"Yes",NA(),Inputs!$D$27*Inputs!$C$35))</f>
        <v/>
      </c>
      <c r="S1536" s="54">
        <f>IF($B1536=0,NA(),IF(Inputs!$B$28&lt;&gt;"Yes",NA(),Inputs!$D$28*Inputs!$C$35))</f>
        <v/>
      </c>
      <c r="T1536" s="54">
        <f>IF($B1536=0,NA(),IF(Inputs!$B$29&lt;&gt;"Yes",NA(),Inputs!$D$29*Inputs!$C$35))</f>
        <v/>
      </c>
      <c r="AD1536">
        <f>IF($B1536=0,0,IF(Inputs!$B$6="",0,COUNTIFS(Data!$A$10:$A$3209,"&gt;="&amp;$A1536,Data!$A$10:$A$3209,"&lt;"&amp;$A1536+1)))</f>
        <v/>
      </c>
      <c r="AE1536">
        <f>IF($B1536=0,0,IF(Inputs!$B$7="",0,COUNTIFS(Data!$E$10:$E$3209,"&gt;="&amp;$A1536,Data!$E$10:$E$3209,"&lt;"&amp;$A1536+1)))</f>
        <v/>
      </c>
      <c r="AF1536">
        <f>IF($B1536=0,0,IF(Inputs!$B$8="",0,COUNTIFS(Data!$I$10:$I$3209,"&gt;="&amp;$A1536,Data!$I$10:$I$3209,"&lt;"&amp;$A1536+1)))</f>
        <v/>
      </c>
      <c r="AG1536">
        <f>IF($B1536=0,0,IF(Inputs!$B$9="",0,COUNTIFS(Data!$M$10:$M$3209,"&gt;="&amp;$A1536,Data!$M$10:$M$3209,"&lt;"&amp;$A1536+1)))</f>
        <v/>
      </c>
      <c r="AH1536">
        <f>IF($B1536=0,0,IF(Inputs!$B$10="",0,COUNTIFS(Data!$Q$10:$Q$3209,"&gt;="&amp;$A1536,Data!$Q$10:$Q$3209,"&lt;"&amp;$A1536+1)))</f>
        <v/>
      </c>
    </row>
    <row r="1537">
      <c r="A1537" s="55">
        <f>MIN(Inputs!$C$15,$A1536+IF(WEEKDAY($A1536,2)=5,3,1))</f>
        <v/>
      </c>
      <c r="B1537">
        <f>IF($A1537&gt;$A1536,1,0)</f>
        <v/>
      </c>
      <c r="C1537" s="56">
        <f>IF($B1537=0,"",IF(Inputs!$B$6="","",IF($AD1537=0,C1536,SUMIFS(Data!$B$10:$B$3209,Data!$A$10:$A$3209,"&gt;="&amp;$A1537,Data!$A$10:$A$3209,"&lt;"&amp;$A1537+1)/$AD1537)))</f>
        <v/>
      </c>
      <c r="D1537" s="56">
        <f>IF($B1537=0,"",IF(Inputs!$B$7="","",IF($AE1537=0,D1536,SUMIFS(Data!$F$10:$F$3209,Data!$E$10:$E$3209,"&gt;="&amp;$A1537,Data!$E$10:$E$3209,"&lt;"&amp;$A1537+1)/$AE1537)))</f>
        <v/>
      </c>
      <c r="E1537" s="56">
        <f>IF($B1537=0,"",IF(Inputs!$B$8="","",IF($AF1537=0,E1536,SUMIFS(Data!$J$10:$J$3209,Data!$I$10:$I$3209,"&gt;="&amp;$A1537,Data!$I$10:$I$3209,"&lt;"&amp;$A1537+1)/$AF1537)))</f>
        <v/>
      </c>
      <c r="F1537" s="56">
        <f>IF($B1537=0,"",IF(Inputs!$B$9="","",IF($AG1537=0,F1536,SUMIFS(Data!$N$10:$N$3209,Data!$M$10:$M$3209,"&gt;="&amp;$A1537,Data!$M$10:$M$3209,"&lt;"&amp;$A1537+1)/$AG1537)))</f>
        <v/>
      </c>
      <c r="G1537" s="56">
        <f>IF($B1537=0,"",IF(Inputs!$B$10="","",IF($AH1537=0,G1536,SUMIFS(Data!$R$10:$R$3209,Data!$Q$10:$Q$3209,"&gt;="&amp;$A1537,Data!$Q$10:$Q$3209,"&lt;"&amp;$A1537+1)/$AH1537)))</f>
        <v/>
      </c>
      <c r="I1537" s="54">
        <f>IF($B1537=0,NA(),IF($C1537="",NA(),IF(C$8="",NA(),IF(N(C$8)=0,NA(),IF(Inputs!$C$17="Rebased to 100",$C1537/C$8*100,$C1537)))))</f>
        <v/>
      </c>
      <c r="J1537" s="54">
        <f>IF($B1537=0,NA(),IF($D1537="",NA(),IF(D$8="",NA(),IF(N(D$8)=0,NA(),IF(Inputs!$C$17="Rebased to 100",$D1537/D$8*100,$D1537)))))</f>
        <v/>
      </c>
      <c r="K1537" s="54">
        <f>IF($B1537=0,NA(),IF($E1537="",NA(),IF(E$8="",NA(),IF(N(E$8)=0,NA(),IF(Inputs!$C$17="Rebased to 100",$E1537/E$8*100,$E1537)))))</f>
        <v/>
      </c>
      <c r="L1537" s="54">
        <f>IF($B1537=0,NA(),IF($F1537="",NA(),IF(F$8="",NA(),IF(N(F$8)=0,NA(),IF(Inputs!$C$17="Rebased to 100",$F1537/F$8*100,$F1537)))))</f>
        <v/>
      </c>
      <c r="M1537" s="54">
        <f>IF($B1537=0,NA(),IF($G1537="",NA(),IF(G$8="",NA(),IF(N(G$8)=0,NA(),IF(Inputs!$C$17="Rebased to 100",$G1537/G$8*100,$G1537)))))</f>
        <v/>
      </c>
      <c r="N1537" s="54">
        <f>IF($B1537=0,NA(),IF(Inputs!$C$18&lt;&gt;"Yes",NA(),IF(COUNT(I1537,J1537,K1537,L1537,M1537)=0,NA(),MIN(I1537,J1537,K1537,L1537,M1537))))</f>
        <v/>
      </c>
      <c r="O1537" s="54">
        <f>IF($B1537=0,NA(),IF(Inputs!$B$24&lt;&gt;"Yes",NA(),Inputs!$D$24*Inputs!$C$35))</f>
        <v/>
      </c>
      <c r="P1537" s="54">
        <f>IF($B1537=0,NA(),IF(Inputs!$B$25&lt;&gt;"Yes",NA(),Inputs!$D$25*Inputs!$C$35))</f>
        <v/>
      </c>
      <c r="Q1537" s="54">
        <f>IF($B1537=0,NA(),IF(Inputs!$B$26&lt;&gt;"Yes",NA(),Inputs!$D$26*Inputs!$C$35))</f>
        <v/>
      </c>
      <c r="R1537" s="54">
        <f>IF($B1537=0,NA(),IF(Inputs!$B$27&lt;&gt;"Yes",NA(),Inputs!$D$27*Inputs!$C$35))</f>
        <v/>
      </c>
      <c r="S1537" s="54">
        <f>IF($B1537=0,NA(),IF(Inputs!$B$28&lt;&gt;"Yes",NA(),Inputs!$D$28*Inputs!$C$35))</f>
        <v/>
      </c>
      <c r="T1537" s="54">
        <f>IF($B1537=0,NA(),IF(Inputs!$B$29&lt;&gt;"Yes",NA(),Inputs!$D$29*Inputs!$C$35))</f>
        <v/>
      </c>
      <c r="AD1537">
        <f>IF($B1537=0,0,IF(Inputs!$B$6="",0,COUNTIFS(Data!$A$10:$A$3209,"&gt;="&amp;$A1537,Data!$A$10:$A$3209,"&lt;"&amp;$A1537+1)))</f>
        <v/>
      </c>
      <c r="AE1537">
        <f>IF($B1537=0,0,IF(Inputs!$B$7="",0,COUNTIFS(Data!$E$10:$E$3209,"&gt;="&amp;$A1537,Data!$E$10:$E$3209,"&lt;"&amp;$A1537+1)))</f>
        <v/>
      </c>
      <c r="AF1537">
        <f>IF($B1537=0,0,IF(Inputs!$B$8="",0,COUNTIFS(Data!$I$10:$I$3209,"&gt;="&amp;$A1537,Data!$I$10:$I$3209,"&lt;"&amp;$A1537+1)))</f>
        <v/>
      </c>
      <c r="AG1537">
        <f>IF($B1537=0,0,IF(Inputs!$B$9="",0,COUNTIFS(Data!$M$10:$M$3209,"&gt;="&amp;$A1537,Data!$M$10:$M$3209,"&lt;"&amp;$A1537+1)))</f>
        <v/>
      </c>
      <c r="AH1537">
        <f>IF($B1537=0,0,IF(Inputs!$B$10="",0,COUNTIFS(Data!$Q$10:$Q$3209,"&gt;="&amp;$A1537,Data!$Q$10:$Q$3209,"&lt;"&amp;$A1537+1)))</f>
        <v/>
      </c>
    </row>
    <row r="1538">
      <c r="A1538" s="55">
        <f>MIN(Inputs!$C$15,$A1537+IF(WEEKDAY($A1537,2)=5,3,1))</f>
        <v/>
      </c>
      <c r="B1538">
        <f>IF($A1538&gt;$A1537,1,0)</f>
        <v/>
      </c>
      <c r="C1538" s="56">
        <f>IF($B1538=0,"",IF(Inputs!$B$6="","",IF($AD1538=0,C1537,SUMIFS(Data!$B$10:$B$3209,Data!$A$10:$A$3209,"&gt;="&amp;$A1538,Data!$A$10:$A$3209,"&lt;"&amp;$A1538+1)/$AD1538)))</f>
        <v/>
      </c>
      <c r="D1538" s="56">
        <f>IF($B1538=0,"",IF(Inputs!$B$7="","",IF($AE1538=0,D1537,SUMIFS(Data!$F$10:$F$3209,Data!$E$10:$E$3209,"&gt;="&amp;$A1538,Data!$E$10:$E$3209,"&lt;"&amp;$A1538+1)/$AE1538)))</f>
        <v/>
      </c>
      <c r="E1538" s="56">
        <f>IF($B1538=0,"",IF(Inputs!$B$8="","",IF($AF1538=0,E1537,SUMIFS(Data!$J$10:$J$3209,Data!$I$10:$I$3209,"&gt;="&amp;$A1538,Data!$I$10:$I$3209,"&lt;"&amp;$A1538+1)/$AF1538)))</f>
        <v/>
      </c>
      <c r="F1538" s="56">
        <f>IF($B1538=0,"",IF(Inputs!$B$9="","",IF($AG1538=0,F1537,SUMIFS(Data!$N$10:$N$3209,Data!$M$10:$M$3209,"&gt;="&amp;$A1538,Data!$M$10:$M$3209,"&lt;"&amp;$A1538+1)/$AG1538)))</f>
        <v/>
      </c>
      <c r="G1538" s="56">
        <f>IF($B1538=0,"",IF(Inputs!$B$10="","",IF($AH1538=0,G1537,SUMIFS(Data!$R$10:$R$3209,Data!$Q$10:$Q$3209,"&gt;="&amp;$A1538,Data!$Q$10:$Q$3209,"&lt;"&amp;$A1538+1)/$AH1538)))</f>
        <v/>
      </c>
      <c r="I1538" s="54">
        <f>IF($B1538=0,NA(),IF($C1538="",NA(),IF(C$8="",NA(),IF(N(C$8)=0,NA(),IF(Inputs!$C$17="Rebased to 100",$C1538/C$8*100,$C1538)))))</f>
        <v/>
      </c>
      <c r="J1538" s="54">
        <f>IF($B1538=0,NA(),IF($D1538="",NA(),IF(D$8="",NA(),IF(N(D$8)=0,NA(),IF(Inputs!$C$17="Rebased to 100",$D1538/D$8*100,$D1538)))))</f>
        <v/>
      </c>
      <c r="K1538" s="54">
        <f>IF($B1538=0,NA(),IF($E1538="",NA(),IF(E$8="",NA(),IF(N(E$8)=0,NA(),IF(Inputs!$C$17="Rebased to 100",$E1538/E$8*100,$E1538)))))</f>
        <v/>
      </c>
      <c r="L1538" s="54">
        <f>IF($B1538=0,NA(),IF($F1538="",NA(),IF(F$8="",NA(),IF(N(F$8)=0,NA(),IF(Inputs!$C$17="Rebased to 100",$F1538/F$8*100,$F1538)))))</f>
        <v/>
      </c>
      <c r="M1538" s="54">
        <f>IF($B1538=0,NA(),IF($G1538="",NA(),IF(G$8="",NA(),IF(N(G$8)=0,NA(),IF(Inputs!$C$17="Rebased to 100",$G1538/G$8*100,$G1538)))))</f>
        <v/>
      </c>
      <c r="N1538" s="54">
        <f>IF($B1538=0,NA(),IF(Inputs!$C$18&lt;&gt;"Yes",NA(),IF(COUNT(I1538,J1538,K1538,L1538,M1538)=0,NA(),MIN(I1538,J1538,K1538,L1538,M1538))))</f>
        <v/>
      </c>
      <c r="O1538" s="54">
        <f>IF($B1538=0,NA(),IF(Inputs!$B$24&lt;&gt;"Yes",NA(),Inputs!$D$24*Inputs!$C$35))</f>
        <v/>
      </c>
      <c r="P1538" s="54">
        <f>IF($B1538=0,NA(),IF(Inputs!$B$25&lt;&gt;"Yes",NA(),Inputs!$D$25*Inputs!$C$35))</f>
        <v/>
      </c>
      <c r="Q1538" s="54">
        <f>IF($B1538=0,NA(),IF(Inputs!$B$26&lt;&gt;"Yes",NA(),Inputs!$D$26*Inputs!$C$35))</f>
        <v/>
      </c>
      <c r="R1538" s="54">
        <f>IF($B1538=0,NA(),IF(Inputs!$B$27&lt;&gt;"Yes",NA(),Inputs!$D$27*Inputs!$C$35))</f>
        <v/>
      </c>
      <c r="S1538" s="54">
        <f>IF($B1538=0,NA(),IF(Inputs!$B$28&lt;&gt;"Yes",NA(),Inputs!$D$28*Inputs!$C$35))</f>
        <v/>
      </c>
      <c r="T1538" s="54">
        <f>IF($B1538=0,NA(),IF(Inputs!$B$29&lt;&gt;"Yes",NA(),Inputs!$D$29*Inputs!$C$35))</f>
        <v/>
      </c>
      <c r="AD1538">
        <f>IF($B1538=0,0,IF(Inputs!$B$6="",0,COUNTIFS(Data!$A$10:$A$3209,"&gt;="&amp;$A1538,Data!$A$10:$A$3209,"&lt;"&amp;$A1538+1)))</f>
        <v/>
      </c>
      <c r="AE1538">
        <f>IF($B1538=0,0,IF(Inputs!$B$7="",0,COUNTIFS(Data!$E$10:$E$3209,"&gt;="&amp;$A1538,Data!$E$10:$E$3209,"&lt;"&amp;$A1538+1)))</f>
        <v/>
      </c>
      <c r="AF1538">
        <f>IF($B1538=0,0,IF(Inputs!$B$8="",0,COUNTIFS(Data!$I$10:$I$3209,"&gt;="&amp;$A1538,Data!$I$10:$I$3209,"&lt;"&amp;$A1538+1)))</f>
        <v/>
      </c>
      <c r="AG1538">
        <f>IF($B1538=0,0,IF(Inputs!$B$9="",0,COUNTIFS(Data!$M$10:$M$3209,"&gt;="&amp;$A1538,Data!$M$10:$M$3209,"&lt;"&amp;$A1538+1)))</f>
        <v/>
      </c>
      <c r="AH1538">
        <f>IF($B1538=0,0,IF(Inputs!$B$10="",0,COUNTIFS(Data!$Q$10:$Q$3209,"&gt;="&amp;$A1538,Data!$Q$10:$Q$3209,"&lt;"&amp;$A1538+1)))</f>
        <v/>
      </c>
    </row>
    <row r="1539">
      <c r="A1539" s="55">
        <f>MIN(Inputs!$C$15,$A1538+IF(WEEKDAY($A1538,2)=5,3,1))</f>
        <v/>
      </c>
      <c r="B1539">
        <f>IF($A1539&gt;$A1538,1,0)</f>
        <v/>
      </c>
      <c r="C1539" s="56">
        <f>IF($B1539=0,"",IF(Inputs!$B$6="","",IF($AD1539=0,C1538,SUMIFS(Data!$B$10:$B$3209,Data!$A$10:$A$3209,"&gt;="&amp;$A1539,Data!$A$10:$A$3209,"&lt;"&amp;$A1539+1)/$AD1539)))</f>
        <v/>
      </c>
      <c r="D1539" s="56">
        <f>IF($B1539=0,"",IF(Inputs!$B$7="","",IF($AE1539=0,D1538,SUMIFS(Data!$F$10:$F$3209,Data!$E$10:$E$3209,"&gt;="&amp;$A1539,Data!$E$10:$E$3209,"&lt;"&amp;$A1539+1)/$AE1539)))</f>
        <v/>
      </c>
      <c r="E1539" s="56">
        <f>IF($B1539=0,"",IF(Inputs!$B$8="","",IF($AF1539=0,E1538,SUMIFS(Data!$J$10:$J$3209,Data!$I$10:$I$3209,"&gt;="&amp;$A1539,Data!$I$10:$I$3209,"&lt;"&amp;$A1539+1)/$AF1539)))</f>
        <v/>
      </c>
      <c r="F1539" s="56">
        <f>IF($B1539=0,"",IF(Inputs!$B$9="","",IF($AG1539=0,F1538,SUMIFS(Data!$N$10:$N$3209,Data!$M$10:$M$3209,"&gt;="&amp;$A1539,Data!$M$10:$M$3209,"&lt;"&amp;$A1539+1)/$AG1539)))</f>
        <v/>
      </c>
      <c r="G1539" s="56">
        <f>IF($B1539=0,"",IF(Inputs!$B$10="","",IF($AH1539=0,G1538,SUMIFS(Data!$R$10:$R$3209,Data!$Q$10:$Q$3209,"&gt;="&amp;$A1539,Data!$Q$10:$Q$3209,"&lt;"&amp;$A1539+1)/$AH1539)))</f>
        <v/>
      </c>
      <c r="I1539" s="54">
        <f>IF($B1539=0,NA(),IF($C1539="",NA(),IF(C$8="",NA(),IF(N(C$8)=0,NA(),IF(Inputs!$C$17="Rebased to 100",$C1539/C$8*100,$C1539)))))</f>
        <v/>
      </c>
      <c r="J1539" s="54">
        <f>IF($B1539=0,NA(),IF($D1539="",NA(),IF(D$8="",NA(),IF(N(D$8)=0,NA(),IF(Inputs!$C$17="Rebased to 100",$D1539/D$8*100,$D1539)))))</f>
        <v/>
      </c>
      <c r="K1539" s="54">
        <f>IF($B1539=0,NA(),IF($E1539="",NA(),IF(E$8="",NA(),IF(N(E$8)=0,NA(),IF(Inputs!$C$17="Rebased to 100",$E1539/E$8*100,$E1539)))))</f>
        <v/>
      </c>
      <c r="L1539" s="54">
        <f>IF($B1539=0,NA(),IF($F1539="",NA(),IF(F$8="",NA(),IF(N(F$8)=0,NA(),IF(Inputs!$C$17="Rebased to 100",$F1539/F$8*100,$F1539)))))</f>
        <v/>
      </c>
      <c r="M1539" s="54">
        <f>IF($B1539=0,NA(),IF($G1539="",NA(),IF(G$8="",NA(),IF(N(G$8)=0,NA(),IF(Inputs!$C$17="Rebased to 100",$G1539/G$8*100,$G1539)))))</f>
        <v/>
      </c>
      <c r="N1539" s="54">
        <f>IF($B1539=0,NA(),IF(Inputs!$C$18&lt;&gt;"Yes",NA(),IF(COUNT(I1539,J1539,K1539,L1539,M1539)=0,NA(),MIN(I1539,J1539,K1539,L1539,M1539))))</f>
        <v/>
      </c>
      <c r="O1539" s="54">
        <f>IF($B1539=0,NA(),IF(Inputs!$B$24&lt;&gt;"Yes",NA(),Inputs!$D$24*Inputs!$C$35))</f>
        <v/>
      </c>
      <c r="P1539" s="54">
        <f>IF($B1539=0,NA(),IF(Inputs!$B$25&lt;&gt;"Yes",NA(),Inputs!$D$25*Inputs!$C$35))</f>
        <v/>
      </c>
      <c r="Q1539" s="54">
        <f>IF($B1539=0,NA(),IF(Inputs!$B$26&lt;&gt;"Yes",NA(),Inputs!$D$26*Inputs!$C$35))</f>
        <v/>
      </c>
      <c r="R1539" s="54">
        <f>IF($B1539=0,NA(),IF(Inputs!$B$27&lt;&gt;"Yes",NA(),Inputs!$D$27*Inputs!$C$35))</f>
        <v/>
      </c>
      <c r="S1539" s="54">
        <f>IF($B1539=0,NA(),IF(Inputs!$B$28&lt;&gt;"Yes",NA(),Inputs!$D$28*Inputs!$C$35))</f>
        <v/>
      </c>
      <c r="T1539" s="54">
        <f>IF($B1539=0,NA(),IF(Inputs!$B$29&lt;&gt;"Yes",NA(),Inputs!$D$29*Inputs!$C$35))</f>
        <v/>
      </c>
      <c r="AD1539">
        <f>IF($B1539=0,0,IF(Inputs!$B$6="",0,COUNTIFS(Data!$A$10:$A$3209,"&gt;="&amp;$A1539,Data!$A$10:$A$3209,"&lt;"&amp;$A1539+1)))</f>
        <v/>
      </c>
      <c r="AE1539">
        <f>IF($B1539=0,0,IF(Inputs!$B$7="",0,COUNTIFS(Data!$E$10:$E$3209,"&gt;="&amp;$A1539,Data!$E$10:$E$3209,"&lt;"&amp;$A1539+1)))</f>
        <v/>
      </c>
      <c r="AF1539">
        <f>IF($B1539=0,0,IF(Inputs!$B$8="",0,COUNTIFS(Data!$I$10:$I$3209,"&gt;="&amp;$A1539,Data!$I$10:$I$3209,"&lt;"&amp;$A1539+1)))</f>
        <v/>
      </c>
      <c r="AG1539">
        <f>IF($B1539=0,0,IF(Inputs!$B$9="",0,COUNTIFS(Data!$M$10:$M$3209,"&gt;="&amp;$A1539,Data!$M$10:$M$3209,"&lt;"&amp;$A1539+1)))</f>
        <v/>
      </c>
      <c r="AH1539">
        <f>IF($B1539=0,0,IF(Inputs!$B$10="",0,COUNTIFS(Data!$Q$10:$Q$3209,"&gt;="&amp;$A1539,Data!$Q$10:$Q$3209,"&lt;"&amp;$A1539+1)))</f>
        <v/>
      </c>
    </row>
    <row r="1540">
      <c r="A1540" s="55">
        <f>MIN(Inputs!$C$15,$A1539+IF(WEEKDAY($A1539,2)=5,3,1))</f>
        <v/>
      </c>
      <c r="B1540">
        <f>IF($A1540&gt;$A1539,1,0)</f>
        <v/>
      </c>
      <c r="C1540" s="56">
        <f>IF($B1540=0,"",IF(Inputs!$B$6="","",IF($AD1540=0,C1539,SUMIFS(Data!$B$10:$B$3209,Data!$A$10:$A$3209,"&gt;="&amp;$A1540,Data!$A$10:$A$3209,"&lt;"&amp;$A1540+1)/$AD1540)))</f>
        <v/>
      </c>
      <c r="D1540" s="56">
        <f>IF($B1540=0,"",IF(Inputs!$B$7="","",IF($AE1540=0,D1539,SUMIFS(Data!$F$10:$F$3209,Data!$E$10:$E$3209,"&gt;="&amp;$A1540,Data!$E$10:$E$3209,"&lt;"&amp;$A1540+1)/$AE1540)))</f>
        <v/>
      </c>
      <c r="E1540" s="56">
        <f>IF($B1540=0,"",IF(Inputs!$B$8="","",IF($AF1540=0,E1539,SUMIFS(Data!$J$10:$J$3209,Data!$I$10:$I$3209,"&gt;="&amp;$A1540,Data!$I$10:$I$3209,"&lt;"&amp;$A1540+1)/$AF1540)))</f>
        <v/>
      </c>
      <c r="F1540" s="56">
        <f>IF($B1540=0,"",IF(Inputs!$B$9="","",IF($AG1540=0,F1539,SUMIFS(Data!$N$10:$N$3209,Data!$M$10:$M$3209,"&gt;="&amp;$A1540,Data!$M$10:$M$3209,"&lt;"&amp;$A1540+1)/$AG1540)))</f>
        <v/>
      </c>
      <c r="G1540" s="56">
        <f>IF($B1540=0,"",IF(Inputs!$B$10="","",IF($AH1540=0,G1539,SUMIFS(Data!$R$10:$R$3209,Data!$Q$10:$Q$3209,"&gt;="&amp;$A1540,Data!$Q$10:$Q$3209,"&lt;"&amp;$A1540+1)/$AH1540)))</f>
        <v/>
      </c>
      <c r="I1540" s="54">
        <f>IF($B1540=0,NA(),IF($C1540="",NA(),IF(C$8="",NA(),IF(N(C$8)=0,NA(),IF(Inputs!$C$17="Rebased to 100",$C1540/C$8*100,$C1540)))))</f>
        <v/>
      </c>
      <c r="J1540" s="54">
        <f>IF($B1540=0,NA(),IF($D1540="",NA(),IF(D$8="",NA(),IF(N(D$8)=0,NA(),IF(Inputs!$C$17="Rebased to 100",$D1540/D$8*100,$D1540)))))</f>
        <v/>
      </c>
      <c r="K1540" s="54">
        <f>IF($B1540=0,NA(),IF($E1540="",NA(),IF(E$8="",NA(),IF(N(E$8)=0,NA(),IF(Inputs!$C$17="Rebased to 100",$E1540/E$8*100,$E1540)))))</f>
        <v/>
      </c>
      <c r="L1540" s="54">
        <f>IF($B1540=0,NA(),IF($F1540="",NA(),IF(F$8="",NA(),IF(N(F$8)=0,NA(),IF(Inputs!$C$17="Rebased to 100",$F1540/F$8*100,$F1540)))))</f>
        <v/>
      </c>
      <c r="M1540" s="54">
        <f>IF($B1540=0,NA(),IF($G1540="",NA(),IF(G$8="",NA(),IF(N(G$8)=0,NA(),IF(Inputs!$C$17="Rebased to 100",$G1540/G$8*100,$G1540)))))</f>
        <v/>
      </c>
      <c r="N1540" s="54">
        <f>IF($B1540=0,NA(),IF(Inputs!$C$18&lt;&gt;"Yes",NA(),IF(COUNT(I1540,J1540,K1540,L1540,M1540)=0,NA(),MIN(I1540,J1540,K1540,L1540,M1540))))</f>
        <v/>
      </c>
      <c r="O1540" s="54">
        <f>IF($B1540=0,NA(),IF(Inputs!$B$24&lt;&gt;"Yes",NA(),Inputs!$D$24*Inputs!$C$35))</f>
        <v/>
      </c>
      <c r="P1540" s="54">
        <f>IF($B1540=0,NA(),IF(Inputs!$B$25&lt;&gt;"Yes",NA(),Inputs!$D$25*Inputs!$C$35))</f>
        <v/>
      </c>
      <c r="Q1540" s="54">
        <f>IF($B1540=0,NA(),IF(Inputs!$B$26&lt;&gt;"Yes",NA(),Inputs!$D$26*Inputs!$C$35))</f>
        <v/>
      </c>
      <c r="R1540" s="54">
        <f>IF($B1540=0,NA(),IF(Inputs!$B$27&lt;&gt;"Yes",NA(),Inputs!$D$27*Inputs!$C$35))</f>
        <v/>
      </c>
      <c r="S1540" s="54">
        <f>IF($B1540=0,NA(),IF(Inputs!$B$28&lt;&gt;"Yes",NA(),Inputs!$D$28*Inputs!$C$35))</f>
        <v/>
      </c>
      <c r="T1540" s="54">
        <f>IF($B1540=0,NA(),IF(Inputs!$B$29&lt;&gt;"Yes",NA(),Inputs!$D$29*Inputs!$C$35))</f>
        <v/>
      </c>
      <c r="AD1540">
        <f>IF($B1540=0,0,IF(Inputs!$B$6="",0,COUNTIFS(Data!$A$10:$A$3209,"&gt;="&amp;$A1540,Data!$A$10:$A$3209,"&lt;"&amp;$A1540+1)))</f>
        <v/>
      </c>
      <c r="AE1540">
        <f>IF($B1540=0,0,IF(Inputs!$B$7="",0,COUNTIFS(Data!$E$10:$E$3209,"&gt;="&amp;$A1540,Data!$E$10:$E$3209,"&lt;"&amp;$A1540+1)))</f>
        <v/>
      </c>
      <c r="AF1540">
        <f>IF($B1540=0,0,IF(Inputs!$B$8="",0,COUNTIFS(Data!$I$10:$I$3209,"&gt;="&amp;$A1540,Data!$I$10:$I$3209,"&lt;"&amp;$A1540+1)))</f>
        <v/>
      </c>
      <c r="AG1540">
        <f>IF($B1540=0,0,IF(Inputs!$B$9="",0,COUNTIFS(Data!$M$10:$M$3209,"&gt;="&amp;$A1540,Data!$M$10:$M$3209,"&lt;"&amp;$A1540+1)))</f>
        <v/>
      </c>
      <c r="AH1540">
        <f>IF($B1540=0,0,IF(Inputs!$B$10="",0,COUNTIFS(Data!$Q$10:$Q$3209,"&gt;="&amp;$A1540,Data!$Q$10:$Q$3209,"&lt;"&amp;$A1540+1)))</f>
        <v/>
      </c>
    </row>
    <row r="1541">
      <c r="A1541" s="55">
        <f>MIN(Inputs!$C$15,$A1540+IF(WEEKDAY($A1540,2)=5,3,1))</f>
        <v/>
      </c>
      <c r="B1541">
        <f>IF($A1541&gt;$A1540,1,0)</f>
        <v/>
      </c>
      <c r="C1541" s="56">
        <f>IF($B1541=0,"",IF(Inputs!$B$6="","",IF($AD1541=0,C1540,SUMIFS(Data!$B$10:$B$3209,Data!$A$10:$A$3209,"&gt;="&amp;$A1541,Data!$A$10:$A$3209,"&lt;"&amp;$A1541+1)/$AD1541)))</f>
        <v/>
      </c>
      <c r="D1541" s="56">
        <f>IF($B1541=0,"",IF(Inputs!$B$7="","",IF($AE1541=0,D1540,SUMIFS(Data!$F$10:$F$3209,Data!$E$10:$E$3209,"&gt;="&amp;$A1541,Data!$E$10:$E$3209,"&lt;"&amp;$A1541+1)/$AE1541)))</f>
        <v/>
      </c>
      <c r="E1541" s="56">
        <f>IF($B1541=0,"",IF(Inputs!$B$8="","",IF($AF1541=0,E1540,SUMIFS(Data!$J$10:$J$3209,Data!$I$10:$I$3209,"&gt;="&amp;$A1541,Data!$I$10:$I$3209,"&lt;"&amp;$A1541+1)/$AF1541)))</f>
        <v/>
      </c>
      <c r="F1541" s="56">
        <f>IF($B1541=0,"",IF(Inputs!$B$9="","",IF($AG1541=0,F1540,SUMIFS(Data!$N$10:$N$3209,Data!$M$10:$M$3209,"&gt;="&amp;$A1541,Data!$M$10:$M$3209,"&lt;"&amp;$A1541+1)/$AG1541)))</f>
        <v/>
      </c>
      <c r="G1541" s="56">
        <f>IF($B1541=0,"",IF(Inputs!$B$10="","",IF($AH1541=0,G1540,SUMIFS(Data!$R$10:$R$3209,Data!$Q$10:$Q$3209,"&gt;="&amp;$A1541,Data!$Q$10:$Q$3209,"&lt;"&amp;$A1541+1)/$AH1541)))</f>
        <v/>
      </c>
      <c r="I1541" s="54">
        <f>IF($B1541=0,NA(),IF($C1541="",NA(),IF(C$8="",NA(),IF(N(C$8)=0,NA(),IF(Inputs!$C$17="Rebased to 100",$C1541/C$8*100,$C1541)))))</f>
        <v/>
      </c>
      <c r="J1541" s="54">
        <f>IF($B1541=0,NA(),IF($D1541="",NA(),IF(D$8="",NA(),IF(N(D$8)=0,NA(),IF(Inputs!$C$17="Rebased to 100",$D1541/D$8*100,$D1541)))))</f>
        <v/>
      </c>
      <c r="K1541" s="54">
        <f>IF($B1541=0,NA(),IF($E1541="",NA(),IF(E$8="",NA(),IF(N(E$8)=0,NA(),IF(Inputs!$C$17="Rebased to 100",$E1541/E$8*100,$E1541)))))</f>
        <v/>
      </c>
      <c r="L1541" s="54">
        <f>IF($B1541=0,NA(),IF($F1541="",NA(),IF(F$8="",NA(),IF(N(F$8)=0,NA(),IF(Inputs!$C$17="Rebased to 100",$F1541/F$8*100,$F1541)))))</f>
        <v/>
      </c>
      <c r="M1541" s="54">
        <f>IF($B1541=0,NA(),IF($G1541="",NA(),IF(G$8="",NA(),IF(N(G$8)=0,NA(),IF(Inputs!$C$17="Rebased to 100",$G1541/G$8*100,$G1541)))))</f>
        <v/>
      </c>
      <c r="N1541" s="54">
        <f>IF($B1541=0,NA(),IF(Inputs!$C$18&lt;&gt;"Yes",NA(),IF(COUNT(I1541,J1541,K1541,L1541,M1541)=0,NA(),MIN(I1541,J1541,K1541,L1541,M1541))))</f>
        <v/>
      </c>
      <c r="O1541" s="54">
        <f>IF($B1541=0,NA(),IF(Inputs!$B$24&lt;&gt;"Yes",NA(),Inputs!$D$24*Inputs!$C$35))</f>
        <v/>
      </c>
      <c r="P1541" s="54">
        <f>IF($B1541=0,NA(),IF(Inputs!$B$25&lt;&gt;"Yes",NA(),Inputs!$D$25*Inputs!$C$35))</f>
        <v/>
      </c>
      <c r="Q1541" s="54">
        <f>IF($B1541=0,NA(),IF(Inputs!$B$26&lt;&gt;"Yes",NA(),Inputs!$D$26*Inputs!$C$35))</f>
        <v/>
      </c>
      <c r="R1541" s="54">
        <f>IF($B1541=0,NA(),IF(Inputs!$B$27&lt;&gt;"Yes",NA(),Inputs!$D$27*Inputs!$C$35))</f>
        <v/>
      </c>
      <c r="S1541" s="54">
        <f>IF($B1541=0,NA(),IF(Inputs!$B$28&lt;&gt;"Yes",NA(),Inputs!$D$28*Inputs!$C$35))</f>
        <v/>
      </c>
      <c r="T1541" s="54">
        <f>IF($B1541=0,NA(),IF(Inputs!$B$29&lt;&gt;"Yes",NA(),Inputs!$D$29*Inputs!$C$35))</f>
        <v/>
      </c>
      <c r="AD1541">
        <f>IF($B1541=0,0,IF(Inputs!$B$6="",0,COUNTIFS(Data!$A$10:$A$3209,"&gt;="&amp;$A1541,Data!$A$10:$A$3209,"&lt;"&amp;$A1541+1)))</f>
        <v/>
      </c>
      <c r="AE1541">
        <f>IF($B1541=0,0,IF(Inputs!$B$7="",0,COUNTIFS(Data!$E$10:$E$3209,"&gt;="&amp;$A1541,Data!$E$10:$E$3209,"&lt;"&amp;$A1541+1)))</f>
        <v/>
      </c>
      <c r="AF1541">
        <f>IF($B1541=0,0,IF(Inputs!$B$8="",0,COUNTIFS(Data!$I$10:$I$3209,"&gt;="&amp;$A1541,Data!$I$10:$I$3209,"&lt;"&amp;$A1541+1)))</f>
        <v/>
      </c>
      <c r="AG1541">
        <f>IF($B1541=0,0,IF(Inputs!$B$9="",0,COUNTIFS(Data!$M$10:$M$3209,"&gt;="&amp;$A1541,Data!$M$10:$M$3209,"&lt;"&amp;$A1541+1)))</f>
        <v/>
      </c>
      <c r="AH1541">
        <f>IF($B1541=0,0,IF(Inputs!$B$10="",0,COUNTIFS(Data!$Q$10:$Q$3209,"&gt;="&amp;$A1541,Data!$Q$10:$Q$3209,"&lt;"&amp;$A1541+1)))</f>
        <v/>
      </c>
    </row>
    <row r="1542">
      <c r="A1542" s="55">
        <f>MIN(Inputs!$C$15,$A1541+IF(WEEKDAY($A1541,2)=5,3,1))</f>
        <v/>
      </c>
      <c r="B1542">
        <f>IF($A1542&gt;$A1541,1,0)</f>
        <v/>
      </c>
      <c r="C1542" s="56">
        <f>IF($B1542=0,"",IF(Inputs!$B$6="","",IF($AD1542=0,C1541,SUMIFS(Data!$B$10:$B$3209,Data!$A$10:$A$3209,"&gt;="&amp;$A1542,Data!$A$10:$A$3209,"&lt;"&amp;$A1542+1)/$AD1542)))</f>
        <v/>
      </c>
      <c r="D1542" s="56">
        <f>IF($B1542=0,"",IF(Inputs!$B$7="","",IF($AE1542=0,D1541,SUMIFS(Data!$F$10:$F$3209,Data!$E$10:$E$3209,"&gt;="&amp;$A1542,Data!$E$10:$E$3209,"&lt;"&amp;$A1542+1)/$AE1542)))</f>
        <v/>
      </c>
      <c r="E1542" s="56">
        <f>IF($B1542=0,"",IF(Inputs!$B$8="","",IF($AF1542=0,E1541,SUMIFS(Data!$J$10:$J$3209,Data!$I$10:$I$3209,"&gt;="&amp;$A1542,Data!$I$10:$I$3209,"&lt;"&amp;$A1542+1)/$AF1542)))</f>
        <v/>
      </c>
      <c r="F1542" s="56">
        <f>IF($B1542=0,"",IF(Inputs!$B$9="","",IF($AG1542=0,F1541,SUMIFS(Data!$N$10:$N$3209,Data!$M$10:$M$3209,"&gt;="&amp;$A1542,Data!$M$10:$M$3209,"&lt;"&amp;$A1542+1)/$AG1542)))</f>
        <v/>
      </c>
      <c r="G1542" s="56">
        <f>IF($B1542=0,"",IF(Inputs!$B$10="","",IF($AH1542=0,G1541,SUMIFS(Data!$R$10:$R$3209,Data!$Q$10:$Q$3209,"&gt;="&amp;$A1542,Data!$Q$10:$Q$3209,"&lt;"&amp;$A1542+1)/$AH1542)))</f>
        <v/>
      </c>
      <c r="I1542" s="54">
        <f>IF($B1542=0,NA(),IF($C1542="",NA(),IF(C$8="",NA(),IF(N(C$8)=0,NA(),IF(Inputs!$C$17="Rebased to 100",$C1542/C$8*100,$C1542)))))</f>
        <v/>
      </c>
      <c r="J1542" s="54">
        <f>IF($B1542=0,NA(),IF($D1542="",NA(),IF(D$8="",NA(),IF(N(D$8)=0,NA(),IF(Inputs!$C$17="Rebased to 100",$D1542/D$8*100,$D1542)))))</f>
        <v/>
      </c>
      <c r="K1542" s="54">
        <f>IF($B1542=0,NA(),IF($E1542="",NA(),IF(E$8="",NA(),IF(N(E$8)=0,NA(),IF(Inputs!$C$17="Rebased to 100",$E1542/E$8*100,$E1542)))))</f>
        <v/>
      </c>
      <c r="L1542" s="54">
        <f>IF($B1542=0,NA(),IF($F1542="",NA(),IF(F$8="",NA(),IF(N(F$8)=0,NA(),IF(Inputs!$C$17="Rebased to 100",$F1542/F$8*100,$F1542)))))</f>
        <v/>
      </c>
      <c r="M1542" s="54">
        <f>IF($B1542=0,NA(),IF($G1542="",NA(),IF(G$8="",NA(),IF(N(G$8)=0,NA(),IF(Inputs!$C$17="Rebased to 100",$G1542/G$8*100,$G1542)))))</f>
        <v/>
      </c>
      <c r="N1542" s="54">
        <f>IF($B1542=0,NA(),IF(Inputs!$C$18&lt;&gt;"Yes",NA(),IF(COUNT(I1542,J1542,K1542,L1542,M1542)=0,NA(),MIN(I1542,J1542,K1542,L1542,M1542))))</f>
        <v/>
      </c>
      <c r="O1542" s="54">
        <f>IF($B1542=0,NA(),IF(Inputs!$B$24&lt;&gt;"Yes",NA(),Inputs!$D$24*Inputs!$C$35))</f>
        <v/>
      </c>
      <c r="P1542" s="54">
        <f>IF($B1542=0,NA(),IF(Inputs!$B$25&lt;&gt;"Yes",NA(),Inputs!$D$25*Inputs!$C$35))</f>
        <v/>
      </c>
      <c r="Q1542" s="54">
        <f>IF($B1542=0,NA(),IF(Inputs!$B$26&lt;&gt;"Yes",NA(),Inputs!$D$26*Inputs!$C$35))</f>
        <v/>
      </c>
      <c r="R1542" s="54">
        <f>IF($B1542=0,NA(),IF(Inputs!$B$27&lt;&gt;"Yes",NA(),Inputs!$D$27*Inputs!$C$35))</f>
        <v/>
      </c>
      <c r="S1542" s="54">
        <f>IF($B1542=0,NA(),IF(Inputs!$B$28&lt;&gt;"Yes",NA(),Inputs!$D$28*Inputs!$C$35))</f>
        <v/>
      </c>
      <c r="T1542" s="54">
        <f>IF($B1542=0,NA(),IF(Inputs!$B$29&lt;&gt;"Yes",NA(),Inputs!$D$29*Inputs!$C$35))</f>
        <v/>
      </c>
      <c r="AD1542">
        <f>IF($B1542=0,0,IF(Inputs!$B$6="",0,COUNTIFS(Data!$A$10:$A$3209,"&gt;="&amp;$A1542,Data!$A$10:$A$3209,"&lt;"&amp;$A1542+1)))</f>
        <v/>
      </c>
      <c r="AE1542">
        <f>IF($B1542=0,0,IF(Inputs!$B$7="",0,COUNTIFS(Data!$E$10:$E$3209,"&gt;="&amp;$A1542,Data!$E$10:$E$3209,"&lt;"&amp;$A1542+1)))</f>
        <v/>
      </c>
      <c r="AF1542">
        <f>IF($B1542=0,0,IF(Inputs!$B$8="",0,COUNTIFS(Data!$I$10:$I$3209,"&gt;="&amp;$A1542,Data!$I$10:$I$3209,"&lt;"&amp;$A1542+1)))</f>
        <v/>
      </c>
      <c r="AG1542">
        <f>IF($B1542=0,0,IF(Inputs!$B$9="",0,COUNTIFS(Data!$M$10:$M$3209,"&gt;="&amp;$A1542,Data!$M$10:$M$3209,"&lt;"&amp;$A1542+1)))</f>
        <v/>
      </c>
      <c r="AH1542">
        <f>IF($B1542=0,0,IF(Inputs!$B$10="",0,COUNTIFS(Data!$Q$10:$Q$3209,"&gt;="&amp;$A1542,Data!$Q$10:$Q$3209,"&lt;"&amp;$A1542+1)))</f>
        <v/>
      </c>
    </row>
    <row r="1543">
      <c r="A1543" s="55">
        <f>MIN(Inputs!$C$15,$A1542+IF(WEEKDAY($A1542,2)=5,3,1))</f>
        <v/>
      </c>
      <c r="B1543">
        <f>IF($A1543&gt;$A1542,1,0)</f>
        <v/>
      </c>
      <c r="C1543" s="56">
        <f>IF($B1543=0,"",IF(Inputs!$B$6="","",IF($AD1543=0,C1542,SUMIFS(Data!$B$10:$B$3209,Data!$A$10:$A$3209,"&gt;="&amp;$A1543,Data!$A$10:$A$3209,"&lt;"&amp;$A1543+1)/$AD1543)))</f>
        <v/>
      </c>
      <c r="D1543" s="56">
        <f>IF($B1543=0,"",IF(Inputs!$B$7="","",IF($AE1543=0,D1542,SUMIFS(Data!$F$10:$F$3209,Data!$E$10:$E$3209,"&gt;="&amp;$A1543,Data!$E$10:$E$3209,"&lt;"&amp;$A1543+1)/$AE1543)))</f>
        <v/>
      </c>
      <c r="E1543" s="56">
        <f>IF($B1543=0,"",IF(Inputs!$B$8="","",IF($AF1543=0,E1542,SUMIFS(Data!$J$10:$J$3209,Data!$I$10:$I$3209,"&gt;="&amp;$A1543,Data!$I$10:$I$3209,"&lt;"&amp;$A1543+1)/$AF1543)))</f>
        <v/>
      </c>
      <c r="F1543" s="56">
        <f>IF($B1543=0,"",IF(Inputs!$B$9="","",IF($AG1543=0,F1542,SUMIFS(Data!$N$10:$N$3209,Data!$M$10:$M$3209,"&gt;="&amp;$A1543,Data!$M$10:$M$3209,"&lt;"&amp;$A1543+1)/$AG1543)))</f>
        <v/>
      </c>
      <c r="G1543" s="56">
        <f>IF($B1543=0,"",IF(Inputs!$B$10="","",IF($AH1543=0,G1542,SUMIFS(Data!$R$10:$R$3209,Data!$Q$10:$Q$3209,"&gt;="&amp;$A1543,Data!$Q$10:$Q$3209,"&lt;"&amp;$A1543+1)/$AH1543)))</f>
        <v/>
      </c>
      <c r="I1543" s="54">
        <f>IF($B1543=0,NA(),IF($C1543="",NA(),IF(C$8="",NA(),IF(N(C$8)=0,NA(),IF(Inputs!$C$17="Rebased to 100",$C1543/C$8*100,$C1543)))))</f>
        <v/>
      </c>
      <c r="J1543" s="54">
        <f>IF($B1543=0,NA(),IF($D1543="",NA(),IF(D$8="",NA(),IF(N(D$8)=0,NA(),IF(Inputs!$C$17="Rebased to 100",$D1543/D$8*100,$D1543)))))</f>
        <v/>
      </c>
      <c r="K1543" s="54">
        <f>IF($B1543=0,NA(),IF($E1543="",NA(),IF(E$8="",NA(),IF(N(E$8)=0,NA(),IF(Inputs!$C$17="Rebased to 100",$E1543/E$8*100,$E1543)))))</f>
        <v/>
      </c>
      <c r="L1543" s="54">
        <f>IF($B1543=0,NA(),IF($F1543="",NA(),IF(F$8="",NA(),IF(N(F$8)=0,NA(),IF(Inputs!$C$17="Rebased to 100",$F1543/F$8*100,$F1543)))))</f>
        <v/>
      </c>
      <c r="M1543" s="54">
        <f>IF($B1543=0,NA(),IF($G1543="",NA(),IF(G$8="",NA(),IF(N(G$8)=0,NA(),IF(Inputs!$C$17="Rebased to 100",$G1543/G$8*100,$G1543)))))</f>
        <v/>
      </c>
      <c r="N1543" s="54">
        <f>IF($B1543=0,NA(),IF(Inputs!$C$18&lt;&gt;"Yes",NA(),IF(COUNT(I1543,J1543,K1543,L1543,M1543)=0,NA(),MIN(I1543,J1543,K1543,L1543,M1543))))</f>
        <v/>
      </c>
      <c r="O1543" s="54">
        <f>IF($B1543=0,NA(),IF(Inputs!$B$24&lt;&gt;"Yes",NA(),Inputs!$D$24*Inputs!$C$35))</f>
        <v/>
      </c>
      <c r="P1543" s="54">
        <f>IF($B1543=0,NA(),IF(Inputs!$B$25&lt;&gt;"Yes",NA(),Inputs!$D$25*Inputs!$C$35))</f>
        <v/>
      </c>
      <c r="Q1543" s="54">
        <f>IF($B1543=0,NA(),IF(Inputs!$B$26&lt;&gt;"Yes",NA(),Inputs!$D$26*Inputs!$C$35))</f>
        <v/>
      </c>
      <c r="R1543" s="54">
        <f>IF($B1543=0,NA(),IF(Inputs!$B$27&lt;&gt;"Yes",NA(),Inputs!$D$27*Inputs!$C$35))</f>
        <v/>
      </c>
      <c r="S1543" s="54">
        <f>IF($B1543=0,NA(),IF(Inputs!$B$28&lt;&gt;"Yes",NA(),Inputs!$D$28*Inputs!$C$35))</f>
        <v/>
      </c>
      <c r="T1543" s="54">
        <f>IF($B1543=0,NA(),IF(Inputs!$B$29&lt;&gt;"Yes",NA(),Inputs!$D$29*Inputs!$C$35))</f>
        <v/>
      </c>
      <c r="AD1543">
        <f>IF($B1543=0,0,IF(Inputs!$B$6="",0,COUNTIFS(Data!$A$10:$A$3209,"&gt;="&amp;$A1543,Data!$A$10:$A$3209,"&lt;"&amp;$A1543+1)))</f>
        <v/>
      </c>
      <c r="AE1543">
        <f>IF($B1543=0,0,IF(Inputs!$B$7="",0,COUNTIFS(Data!$E$10:$E$3209,"&gt;="&amp;$A1543,Data!$E$10:$E$3209,"&lt;"&amp;$A1543+1)))</f>
        <v/>
      </c>
      <c r="AF1543">
        <f>IF($B1543=0,0,IF(Inputs!$B$8="",0,COUNTIFS(Data!$I$10:$I$3209,"&gt;="&amp;$A1543,Data!$I$10:$I$3209,"&lt;"&amp;$A1543+1)))</f>
        <v/>
      </c>
      <c r="AG1543">
        <f>IF($B1543=0,0,IF(Inputs!$B$9="",0,COUNTIFS(Data!$M$10:$M$3209,"&gt;="&amp;$A1543,Data!$M$10:$M$3209,"&lt;"&amp;$A1543+1)))</f>
        <v/>
      </c>
      <c r="AH1543">
        <f>IF($B1543=0,0,IF(Inputs!$B$10="",0,COUNTIFS(Data!$Q$10:$Q$3209,"&gt;="&amp;$A1543,Data!$Q$10:$Q$3209,"&lt;"&amp;$A1543+1)))</f>
        <v/>
      </c>
    </row>
    <row r="1544">
      <c r="A1544" s="55">
        <f>MIN(Inputs!$C$15,$A1543+IF(WEEKDAY($A1543,2)=5,3,1))</f>
        <v/>
      </c>
      <c r="B1544">
        <f>IF($A1544&gt;$A1543,1,0)</f>
        <v/>
      </c>
      <c r="C1544" s="56">
        <f>IF($B1544=0,"",IF(Inputs!$B$6="","",IF($AD1544=0,C1543,SUMIFS(Data!$B$10:$B$3209,Data!$A$10:$A$3209,"&gt;="&amp;$A1544,Data!$A$10:$A$3209,"&lt;"&amp;$A1544+1)/$AD1544)))</f>
        <v/>
      </c>
      <c r="D1544" s="56">
        <f>IF($B1544=0,"",IF(Inputs!$B$7="","",IF($AE1544=0,D1543,SUMIFS(Data!$F$10:$F$3209,Data!$E$10:$E$3209,"&gt;="&amp;$A1544,Data!$E$10:$E$3209,"&lt;"&amp;$A1544+1)/$AE1544)))</f>
        <v/>
      </c>
      <c r="E1544" s="56">
        <f>IF($B1544=0,"",IF(Inputs!$B$8="","",IF($AF1544=0,E1543,SUMIFS(Data!$J$10:$J$3209,Data!$I$10:$I$3209,"&gt;="&amp;$A1544,Data!$I$10:$I$3209,"&lt;"&amp;$A1544+1)/$AF1544)))</f>
        <v/>
      </c>
      <c r="F1544" s="56">
        <f>IF($B1544=0,"",IF(Inputs!$B$9="","",IF($AG1544=0,F1543,SUMIFS(Data!$N$10:$N$3209,Data!$M$10:$M$3209,"&gt;="&amp;$A1544,Data!$M$10:$M$3209,"&lt;"&amp;$A1544+1)/$AG1544)))</f>
        <v/>
      </c>
      <c r="G1544" s="56">
        <f>IF($B1544=0,"",IF(Inputs!$B$10="","",IF($AH1544=0,G1543,SUMIFS(Data!$R$10:$R$3209,Data!$Q$10:$Q$3209,"&gt;="&amp;$A1544,Data!$Q$10:$Q$3209,"&lt;"&amp;$A1544+1)/$AH1544)))</f>
        <v/>
      </c>
      <c r="I1544" s="54">
        <f>IF($B1544=0,NA(),IF($C1544="",NA(),IF(C$8="",NA(),IF(N(C$8)=0,NA(),IF(Inputs!$C$17="Rebased to 100",$C1544/C$8*100,$C1544)))))</f>
        <v/>
      </c>
      <c r="J1544" s="54">
        <f>IF($B1544=0,NA(),IF($D1544="",NA(),IF(D$8="",NA(),IF(N(D$8)=0,NA(),IF(Inputs!$C$17="Rebased to 100",$D1544/D$8*100,$D1544)))))</f>
        <v/>
      </c>
      <c r="K1544" s="54">
        <f>IF($B1544=0,NA(),IF($E1544="",NA(),IF(E$8="",NA(),IF(N(E$8)=0,NA(),IF(Inputs!$C$17="Rebased to 100",$E1544/E$8*100,$E1544)))))</f>
        <v/>
      </c>
      <c r="L1544" s="54">
        <f>IF($B1544=0,NA(),IF($F1544="",NA(),IF(F$8="",NA(),IF(N(F$8)=0,NA(),IF(Inputs!$C$17="Rebased to 100",$F1544/F$8*100,$F1544)))))</f>
        <v/>
      </c>
      <c r="M1544" s="54">
        <f>IF($B1544=0,NA(),IF($G1544="",NA(),IF(G$8="",NA(),IF(N(G$8)=0,NA(),IF(Inputs!$C$17="Rebased to 100",$G1544/G$8*100,$G1544)))))</f>
        <v/>
      </c>
      <c r="N1544" s="54">
        <f>IF($B1544=0,NA(),IF(Inputs!$C$18&lt;&gt;"Yes",NA(),IF(COUNT(I1544,J1544,K1544,L1544,M1544)=0,NA(),MIN(I1544,J1544,K1544,L1544,M1544))))</f>
        <v/>
      </c>
      <c r="O1544" s="54">
        <f>IF($B1544=0,NA(),IF(Inputs!$B$24&lt;&gt;"Yes",NA(),Inputs!$D$24*Inputs!$C$35))</f>
        <v/>
      </c>
      <c r="P1544" s="54">
        <f>IF($B1544=0,NA(),IF(Inputs!$B$25&lt;&gt;"Yes",NA(),Inputs!$D$25*Inputs!$C$35))</f>
        <v/>
      </c>
      <c r="Q1544" s="54">
        <f>IF($B1544=0,NA(),IF(Inputs!$B$26&lt;&gt;"Yes",NA(),Inputs!$D$26*Inputs!$C$35))</f>
        <v/>
      </c>
      <c r="R1544" s="54">
        <f>IF($B1544=0,NA(),IF(Inputs!$B$27&lt;&gt;"Yes",NA(),Inputs!$D$27*Inputs!$C$35))</f>
        <v/>
      </c>
      <c r="S1544" s="54">
        <f>IF($B1544=0,NA(),IF(Inputs!$B$28&lt;&gt;"Yes",NA(),Inputs!$D$28*Inputs!$C$35))</f>
        <v/>
      </c>
      <c r="T1544" s="54">
        <f>IF($B1544=0,NA(),IF(Inputs!$B$29&lt;&gt;"Yes",NA(),Inputs!$D$29*Inputs!$C$35))</f>
        <v/>
      </c>
      <c r="AD1544">
        <f>IF($B1544=0,0,IF(Inputs!$B$6="",0,COUNTIFS(Data!$A$10:$A$3209,"&gt;="&amp;$A1544,Data!$A$10:$A$3209,"&lt;"&amp;$A1544+1)))</f>
        <v/>
      </c>
      <c r="AE1544">
        <f>IF($B1544=0,0,IF(Inputs!$B$7="",0,COUNTIFS(Data!$E$10:$E$3209,"&gt;="&amp;$A1544,Data!$E$10:$E$3209,"&lt;"&amp;$A1544+1)))</f>
        <v/>
      </c>
      <c r="AF1544">
        <f>IF($B1544=0,0,IF(Inputs!$B$8="",0,COUNTIFS(Data!$I$10:$I$3209,"&gt;="&amp;$A1544,Data!$I$10:$I$3209,"&lt;"&amp;$A1544+1)))</f>
        <v/>
      </c>
      <c r="AG1544">
        <f>IF($B1544=0,0,IF(Inputs!$B$9="",0,COUNTIFS(Data!$M$10:$M$3209,"&gt;="&amp;$A1544,Data!$M$10:$M$3209,"&lt;"&amp;$A1544+1)))</f>
        <v/>
      </c>
      <c r="AH1544">
        <f>IF($B1544=0,0,IF(Inputs!$B$10="",0,COUNTIFS(Data!$Q$10:$Q$3209,"&gt;="&amp;$A1544,Data!$Q$10:$Q$3209,"&lt;"&amp;$A1544+1)))</f>
        <v/>
      </c>
    </row>
    <row r="1545">
      <c r="A1545" s="55">
        <f>MIN(Inputs!$C$15,$A1544+IF(WEEKDAY($A1544,2)=5,3,1))</f>
        <v/>
      </c>
      <c r="B1545">
        <f>IF($A1545&gt;$A1544,1,0)</f>
        <v/>
      </c>
      <c r="C1545" s="56">
        <f>IF($B1545=0,"",IF(Inputs!$B$6="","",IF($AD1545=0,C1544,SUMIFS(Data!$B$10:$B$3209,Data!$A$10:$A$3209,"&gt;="&amp;$A1545,Data!$A$10:$A$3209,"&lt;"&amp;$A1545+1)/$AD1545)))</f>
        <v/>
      </c>
      <c r="D1545" s="56">
        <f>IF($B1545=0,"",IF(Inputs!$B$7="","",IF($AE1545=0,D1544,SUMIFS(Data!$F$10:$F$3209,Data!$E$10:$E$3209,"&gt;="&amp;$A1545,Data!$E$10:$E$3209,"&lt;"&amp;$A1545+1)/$AE1545)))</f>
        <v/>
      </c>
      <c r="E1545" s="56">
        <f>IF($B1545=0,"",IF(Inputs!$B$8="","",IF($AF1545=0,E1544,SUMIFS(Data!$J$10:$J$3209,Data!$I$10:$I$3209,"&gt;="&amp;$A1545,Data!$I$10:$I$3209,"&lt;"&amp;$A1545+1)/$AF1545)))</f>
        <v/>
      </c>
      <c r="F1545" s="56">
        <f>IF($B1545=0,"",IF(Inputs!$B$9="","",IF($AG1545=0,F1544,SUMIFS(Data!$N$10:$N$3209,Data!$M$10:$M$3209,"&gt;="&amp;$A1545,Data!$M$10:$M$3209,"&lt;"&amp;$A1545+1)/$AG1545)))</f>
        <v/>
      </c>
      <c r="G1545" s="56">
        <f>IF($B1545=0,"",IF(Inputs!$B$10="","",IF($AH1545=0,G1544,SUMIFS(Data!$R$10:$R$3209,Data!$Q$10:$Q$3209,"&gt;="&amp;$A1545,Data!$Q$10:$Q$3209,"&lt;"&amp;$A1545+1)/$AH1545)))</f>
        <v/>
      </c>
      <c r="I1545" s="54">
        <f>IF($B1545=0,NA(),IF($C1545="",NA(),IF(C$8="",NA(),IF(N(C$8)=0,NA(),IF(Inputs!$C$17="Rebased to 100",$C1545/C$8*100,$C1545)))))</f>
        <v/>
      </c>
      <c r="J1545" s="54">
        <f>IF($B1545=0,NA(),IF($D1545="",NA(),IF(D$8="",NA(),IF(N(D$8)=0,NA(),IF(Inputs!$C$17="Rebased to 100",$D1545/D$8*100,$D1545)))))</f>
        <v/>
      </c>
      <c r="K1545" s="54">
        <f>IF($B1545=0,NA(),IF($E1545="",NA(),IF(E$8="",NA(),IF(N(E$8)=0,NA(),IF(Inputs!$C$17="Rebased to 100",$E1545/E$8*100,$E1545)))))</f>
        <v/>
      </c>
      <c r="L1545" s="54">
        <f>IF($B1545=0,NA(),IF($F1545="",NA(),IF(F$8="",NA(),IF(N(F$8)=0,NA(),IF(Inputs!$C$17="Rebased to 100",$F1545/F$8*100,$F1545)))))</f>
        <v/>
      </c>
      <c r="M1545" s="54">
        <f>IF($B1545=0,NA(),IF($G1545="",NA(),IF(G$8="",NA(),IF(N(G$8)=0,NA(),IF(Inputs!$C$17="Rebased to 100",$G1545/G$8*100,$G1545)))))</f>
        <v/>
      </c>
      <c r="N1545" s="54">
        <f>IF($B1545=0,NA(),IF(Inputs!$C$18&lt;&gt;"Yes",NA(),IF(COUNT(I1545,J1545,K1545,L1545,M1545)=0,NA(),MIN(I1545,J1545,K1545,L1545,M1545))))</f>
        <v/>
      </c>
      <c r="O1545" s="54">
        <f>IF($B1545=0,NA(),IF(Inputs!$B$24&lt;&gt;"Yes",NA(),Inputs!$D$24*Inputs!$C$35))</f>
        <v/>
      </c>
      <c r="P1545" s="54">
        <f>IF($B1545=0,NA(),IF(Inputs!$B$25&lt;&gt;"Yes",NA(),Inputs!$D$25*Inputs!$C$35))</f>
        <v/>
      </c>
      <c r="Q1545" s="54">
        <f>IF($B1545=0,NA(),IF(Inputs!$B$26&lt;&gt;"Yes",NA(),Inputs!$D$26*Inputs!$C$35))</f>
        <v/>
      </c>
      <c r="R1545" s="54">
        <f>IF($B1545=0,NA(),IF(Inputs!$B$27&lt;&gt;"Yes",NA(),Inputs!$D$27*Inputs!$C$35))</f>
        <v/>
      </c>
      <c r="S1545" s="54">
        <f>IF($B1545=0,NA(),IF(Inputs!$B$28&lt;&gt;"Yes",NA(),Inputs!$D$28*Inputs!$C$35))</f>
        <v/>
      </c>
      <c r="T1545" s="54">
        <f>IF($B1545=0,NA(),IF(Inputs!$B$29&lt;&gt;"Yes",NA(),Inputs!$D$29*Inputs!$C$35))</f>
        <v/>
      </c>
      <c r="AD1545">
        <f>IF($B1545=0,0,IF(Inputs!$B$6="",0,COUNTIFS(Data!$A$10:$A$3209,"&gt;="&amp;$A1545,Data!$A$10:$A$3209,"&lt;"&amp;$A1545+1)))</f>
        <v/>
      </c>
      <c r="AE1545">
        <f>IF($B1545=0,0,IF(Inputs!$B$7="",0,COUNTIFS(Data!$E$10:$E$3209,"&gt;="&amp;$A1545,Data!$E$10:$E$3209,"&lt;"&amp;$A1545+1)))</f>
        <v/>
      </c>
      <c r="AF1545">
        <f>IF($B1545=0,0,IF(Inputs!$B$8="",0,COUNTIFS(Data!$I$10:$I$3209,"&gt;="&amp;$A1545,Data!$I$10:$I$3209,"&lt;"&amp;$A1545+1)))</f>
        <v/>
      </c>
      <c r="AG1545">
        <f>IF($B1545=0,0,IF(Inputs!$B$9="",0,COUNTIFS(Data!$M$10:$M$3209,"&gt;="&amp;$A1545,Data!$M$10:$M$3209,"&lt;"&amp;$A1545+1)))</f>
        <v/>
      </c>
      <c r="AH1545">
        <f>IF($B1545=0,0,IF(Inputs!$B$10="",0,COUNTIFS(Data!$Q$10:$Q$3209,"&gt;="&amp;$A1545,Data!$Q$10:$Q$3209,"&lt;"&amp;$A1545+1)))</f>
        <v/>
      </c>
    </row>
    <row r="1546">
      <c r="A1546" s="55">
        <f>MIN(Inputs!$C$15,$A1545+IF(WEEKDAY($A1545,2)=5,3,1))</f>
        <v/>
      </c>
      <c r="B1546">
        <f>IF($A1546&gt;$A1545,1,0)</f>
        <v/>
      </c>
      <c r="C1546" s="56">
        <f>IF($B1546=0,"",IF(Inputs!$B$6="","",IF($AD1546=0,C1545,SUMIFS(Data!$B$10:$B$3209,Data!$A$10:$A$3209,"&gt;="&amp;$A1546,Data!$A$10:$A$3209,"&lt;"&amp;$A1546+1)/$AD1546)))</f>
        <v/>
      </c>
      <c r="D1546" s="56">
        <f>IF($B1546=0,"",IF(Inputs!$B$7="","",IF($AE1546=0,D1545,SUMIFS(Data!$F$10:$F$3209,Data!$E$10:$E$3209,"&gt;="&amp;$A1546,Data!$E$10:$E$3209,"&lt;"&amp;$A1546+1)/$AE1546)))</f>
        <v/>
      </c>
      <c r="E1546" s="56">
        <f>IF($B1546=0,"",IF(Inputs!$B$8="","",IF($AF1546=0,E1545,SUMIFS(Data!$J$10:$J$3209,Data!$I$10:$I$3209,"&gt;="&amp;$A1546,Data!$I$10:$I$3209,"&lt;"&amp;$A1546+1)/$AF1546)))</f>
        <v/>
      </c>
      <c r="F1546" s="56">
        <f>IF($B1546=0,"",IF(Inputs!$B$9="","",IF($AG1546=0,F1545,SUMIFS(Data!$N$10:$N$3209,Data!$M$10:$M$3209,"&gt;="&amp;$A1546,Data!$M$10:$M$3209,"&lt;"&amp;$A1546+1)/$AG1546)))</f>
        <v/>
      </c>
      <c r="G1546" s="56">
        <f>IF($B1546=0,"",IF(Inputs!$B$10="","",IF($AH1546=0,G1545,SUMIFS(Data!$R$10:$R$3209,Data!$Q$10:$Q$3209,"&gt;="&amp;$A1546,Data!$Q$10:$Q$3209,"&lt;"&amp;$A1546+1)/$AH1546)))</f>
        <v/>
      </c>
      <c r="I1546" s="54">
        <f>IF($B1546=0,NA(),IF($C1546="",NA(),IF(C$8="",NA(),IF(N(C$8)=0,NA(),IF(Inputs!$C$17="Rebased to 100",$C1546/C$8*100,$C1546)))))</f>
        <v/>
      </c>
      <c r="J1546" s="54">
        <f>IF($B1546=0,NA(),IF($D1546="",NA(),IF(D$8="",NA(),IF(N(D$8)=0,NA(),IF(Inputs!$C$17="Rebased to 100",$D1546/D$8*100,$D1546)))))</f>
        <v/>
      </c>
      <c r="K1546" s="54">
        <f>IF($B1546=0,NA(),IF($E1546="",NA(),IF(E$8="",NA(),IF(N(E$8)=0,NA(),IF(Inputs!$C$17="Rebased to 100",$E1546/E$8*100,$E1546)))))</f>
        <v/>
      </c>
      <c r="L1546" s="54">
        <f>IF($B1546=0,NA(),IF($F1546="",NA(),IF(F$8="",NA(),IF(N(F$8)=0,NA(),IF(Inputs!$C$17="Rebased to 100",$F1546/F$8*100,$F1546)))))</f>
        <v/>
      </c>
      <c r="M1546" s="54">
        <f>IF($B1546=0,NA(),IF($G1546="",NA(),IF(G$8="",NA(),IF(N(G$8)=0,NA(),IF(Inputs!$C$17="Rebased to 100",$G1546/G$8*100,$G1546)))))</f>
        <v/>
      </c>
      <c r="N1546" s="54">
        <f>IF($B1546=0,NA(),IF(Inputs!$C$18&lt;&gt;"Yes",NA(),IF(COUNT(I1546,J1546,K1546,L1546,M1546)=0,NA(),MIN(I1546,J1546,K1546,L1546,M1546))))</f>
        <v/>
      </c>
      <c r="O1546" s="54">
        <f>IF($B1546=0,NA(),IF(Inputs!$B$24&lt;&gt;"Yes",NA(),Inputs!$D$24*Inputs!$C$35))</f>
        <v/>
      </c>
      <c r="P1546" s="54">
        <f>IF($B1546=0,NA(),IF(Inputs!$B$25&lt;&gt;"Yes",NA(),Inputs!$D$25*Inputs!$C$35))</f>
        <v/>
      </c>
      <c r="Q1546" s="54">
        <f>IF($B1546=0,NA(),IF(Inputs!$B$26&lt;&gt;"Yes",NA(),Inputs!$D$26*Inputs!$C$35))</f>
        <v/>
      </c>
      <c r="R1546" s="54">
        <f>IF($B1546=0,NA(),IF(Inputs!$B$27&lt;&gt;"Yes",NA(),Inputs!$D$27*Inputs!$C$35))</f>
        <v/>
      </c>
      <c r="S1546" s="54">
        <f>IF($B1546=0,NA(),IF(Inputs!$B$28&lt;&gt;"Yes",NA(),Inputs!$D$28*Inputs!$C$35))</f>
        <v/>
      </c>
      <c r="T1546" s="54">
        <f>IF($B1546=0,NA(),IF(Inputs!$B$29&lt;&gt;"Yes",NA(),Inputs!$D$29*Inputs!$C$35))</f>
        <v/>
      </c>
      <c r="AD1546">
        <f>IF($B1546=0,0,IF(Inputs!$B$6="",0,COUNTIFS(Data!$A$10:$A$3209,"&gt;="&amp;$A1546,Data!$A$10:$A$3209,"&lt;"&amp;$A1546+1)))</f>
        <v/>
      </c>
      <c r="AE1546">
        <f>IF($B1546=0,0,IF(Inputs!$B$7="",0,COUNTIFS(Data!$E$10:$E$3209,"&gt;="&amp;$A1546,Data!$E$10:$E$3209,"&lt;"&amp;$A1546+1)))</f>
        <v/>
      </c>
      <c r="AF1546">
        <f>IF($B1546=0,0,IF(Inputs!$B$8="",0,COUNTIFS(Data!$I$10:$I$3209,"&gt;="&amp;$A1546,Data!$I$10:$I$3209,"&lt;"&amp;$A1546+1)))</f>
        <v/>
      </c>
      <c r="AG1546">
        <f>IF($B1546=0,0,IF(Inputs!$B$9="",0,COUNTIFS(Data!$M$10:$M$3209,"&gt;="&amp;$A1546,Data!$M$10:$M$3209,"&lt;"&amp;$A1546+1)))</f>
        <v/>
      </c>
      <c r="AH1546">
        <f>IF($B1546=0,0,IF(Inputs!$B$10="",0,COUNTIFS(Data!$Q$10:$Q$3209,"&gt;="&amp;$A1546,Data!$Q$10:$Q$3209,"&lt;"&amp;$A1546+1)))</f>
        <v/>
      </c>
    </row>
    <row r="1547">
      <c r="A1547" s="55">
        <f>MIN(Inputs!$C$15,$A1546+IF(WEEKDAY($A1546,2)=5,3,1))</f>
        <v/>
      </c>
      <c r="B1547">
        <f>IF($A1547&gt;$A1546,1,0)</f>
        <v/>
      </c>
      <c r="C1547" s="56">
        <f>IF($B1547=0,"",IF(Inputs!$B$6="","",IF($AD1547=0,C1546,SUMIFS(Data!$B$10:$B$3209,Data!$A$10:$A$3209,"&gt;="&amp;$A1547,Data!$A$10:$A$3209,"&lt;"&amp;$A1547+1)/$AD1547)))</f>
        <v/>
      </c>
      <c r="D1547" s="56">
        <f>IF($B1547=0,"",IF(Inputs!$B$7="","",IF($AE1547=0,D1546,SUMIFS(Data!$F$10:$F$3209,Data!$E$10:$E$3209,"&gt;="&amp;$A1547,Data!$E$10:$E$3209,"&lt;"&amp;$A1547+1)/$AE1547)))</f>
        <v/>
      </c>
      <c r="E1547" s="56">
        <f>IF($B1547=0,"",IF(Inputs!$B$8="","",IF($AF1547=0,E1546,SUMIFS(Data!$J$10:$J$3209,Data!$I$10:$I$3209,"&gt;="&amp;$A1547,Data!$I$10:$I$3209,"&lt;"&amp;$A1547+1)/$AF1547)))</f>
        <v/>
      </c>
      <c r="F1547" s="56">
        <f>IF($B1547=0,"",IF(Inputs!$B$9="","",IF($AG1547=0,F1546,SUMIFS(Data!$N$10:$N$3209,Data!$M$10:$M$3209,"&gt;="&amp;$A1547,Data!$M$10:$M$3209,"&lt;"&amp;$A1547+1)/$AG1547)))</f>
        <v/>
      </c>
      <c r="G1547" s="56">
        <f>IF($B1547=0,"",IF(Inputs!$B$10="","",IF($AH1547=0,G1546,SUMIFS(Data!$R$10:$R$3209,Data!$Q$10:$Q$3209,"&gt;="&amp;$A1547,Data!$Q$10:$Q$3209,"&lt;"&amp;$A1547+1)/$AH1547)))</f>
        <v/>
      </c>
      <c r="I1547" s="54">
        <f>IF($B1547=0,NA(),IF($C1547="",NA(),IF(C$8="",NA(),IF(N(C$8)=0,NA(),IF(Inputs!$C$17="Rebased to 100",$C1547/C$8*100,$C1547)))))</f>
        <v/>
      </c>
      <c r="J1547" s="54">
        <f>IF($B1547=0,NA(),IF($D1547="",NA(),IF(D$8="",NA(),IF(N(D$8)=0,NA(),IF(Inputs!$C$17="Rebased to 100",$D1547/D$8*100,$D1547)))))</f>
        <v/>
      </c>
      <c r="K1547" s="54">
        <f>IF($B1547=0,NA(),IF($E1547="",NA(),IF(E$8="",NA(),IF(N(E$8)=0,NA(),IF(Inputs!$C$17="Rebased to 100",$E1547/E$8*100,$E1547)))))</f>
        <v/>
      </c>
      <c r="L1547" s="54">
        <f>IF($B1547=0,NA(),IF($F1547="",NA(),IF(F$8="",NA(),IF(N(F$8)=0,NA(),IF(Inputs!$C$17="Rebased to 100",$F1547/F$8*100,$F1547)))))</f>
        <v/>
      </c>
      <c r="M1547" s="54">
        <f>IF($B1547=0,NA(),IF($G1547="",NA(),IF(G$8="",NA(),IF(N(G$8)=0,NA(),IF(Inputs!$C$17="Rebased to 100",$G1547/G$8*100,$G1547)))))</f>
        <v/>
      </c>
      <c r="N1547" s="54">
        <f>IF($B1547=0,NA(),IF(Inputs!$C$18&lt;&gt;"Yes",NA(),IF(COUNT(I1547,J1547,K1547,L1547,M1547)=0,NA(),MIN(I1547,J1547,K1547,L1547,M1547))))</f>
        <v/>
      </c>
      <c r="O1547" s="54">
        <f>IF($B1547=0,NA(),IF(Inputs!$B$24&lt;&gt;"Yes",NA(),Inputs!$D$24*Inputs!$C$35))</f>
        <v/>
      </c>
      <c r="P1547" s="54">
        <f>IF($B1547=0,NA(),IF(Inputs!$B$25&lt;&gt;"Yes",NA(),Inputs!$D$25*Inputs!$C$35))</f>
        <v/>
      </c>
      <c r="Q1547" s="54">
        <f>IF($B1547=0,NA(),IF(Inputs!$B$26&lt;&gt;"Yes",NA(),Inputs!$D$26*Inputs!$C$35))</f>
        <v/>
      </c>
      <c r="R1547" s="54">
        <f>IF($B1547=0,NA(),IF(Inputs!$B$27&lt;&gt;"Yes",NA(),Inputs!$D$27*Inputs!$C$35))</f>
        <v/>
      </c>
      <c r="S1547" s="54">
        <f>IF($B1547=0,NA(),IF(Inputs!$B$28&lt;&gt;"Yes",NA(),Inputs!$D$28*Inputs!$C$35))</f>
        <v/>
      </c>
      <c r="T1547" s="54">
        <f>IF($B1547=0,NA(),IF(Inputs!$B$29&lt;&gt;"Yes",NA(),Inputs!$D$29*Inputs!$C$35))</f>
        <v/>
      </c>
      <c r="AD1547">
        <f>IF($B1547=0,0,IF(Inputs!$B$6="",0,COUNTIFS(Data!$A$10:$A$3209,"&gt;="&amp;$A1547,Data!$A$10:$A$3209,"&lt;"&amp;$A1547+1)))</f>
        <v/>
      </c>
      <c r="AE1547">
        <f>IF($B1547=0,0,IF(Inputs!$B$7="",0,COUNTIFS(Data!$E$10:$E$3209,"&gt;="&amp;$A1547,Data!$E$10:$E$3209,"&lt;"&amp;$A1547+1)))</f>
        <v/>
      </c>
      <c r="AF1547">
        <f>IF($B1547=0,0,IF(Inputs!$B$8="",0,COUNTIFS(Data!$I$10:$I$3209,"&gt;="&amp;$A1547,Data!$I$10:$I$3209,"&lt;"&amp;$A1547+1)))</f>
        <v/>
      </c>
      <c r="AG1547">
        <f>IF($B1547=0,0,IF(Inputs!$B$9="",0,COUNTIFS(Data!$M$10:$M$3209,"&gt;="&amp;$A1547,Data!$M$10:$M$3209,"&lt;"&amp;$A1547+1)))</f>
        <v/>
      </c>
      <c r="AH1547">
        <f>IF($B1547=0,0,IF(Inputs!$B$10="",0,COUNTIFS(Data!$Q$10:$Q$3209,"&gt;="&amp;$A1547,Data!$Q$10:$Q$3209,"&lt;"&amp;$A1547+1)))</f>
        <v/>
      </c>
    </row>
    <row r="1548">
      <c r="A1548" s="55">
        <f>MIN(Inputs!$C$15,$A1547+IF(WEEKDAY($A1547,2)=5,3,1))</f>
        <v/>
      </c>
      <c r="B1548">
        <f>IF($A1548&gt;$A1547,1,0)</f>
        <v/>
      </c>
      <c r="C1548" s="56">
        <f>IF($B1548=0,"",IF(Inputs!$B$6="","",IF($AD1548=0,C1547,SUMIFS(Data!$B$10:$B$3209,Data!$A$10:$A$3209,"&gt;="&amp;$A1548,Data!$A$10:$A$3209,"&lt;"&amp;$A1548+1)/$AD1548)))</f>
        <v/>
      </c>
      <c r="D1548" s="56">
        <f>IF($B1548=0,"",IF(Inputs!$B$7="","",IF($AE1548=0,D1547,SUMIFS(Data!$F$10:$F$3209,Data!$E$10:$E$3209,"&gt;="&amp;$A1548,Data!$E$10:$E$3209,"&lt;"&amp;$A1548+1)/$AE1548)))</f>
        <v/>
      </c>
      <c r="E1548" s="56">
        <f>IF($B1548=0,"",IF(Inputs!$B$8="","",IF($AF1548=0,E1547,SUMIFS(Data!$J$10:$J$3209,Data!$I$10:$I$3209,"&gt;="&amp;$A1548,Data!$I$10:$I$3209,"&lt;"&amp;$A1548+1)/$AF1548)))</f>
        <v/>
      </c>
      <c r="F1548" s="56">
        <f>IF($B1548=0,"",IF(Inputs!$B$9="","",IF($AG1548=0,F1547,SUMIFS(Data!$N$10:$N$3209,Data!$M$10:$M$3209,"&gt;="&amp;$A1548,Data!$M$10:$M$3209,"&lt;"&amp;$A1548+1)/$AG1548)))</f>
        <v/>
      </c>
      <c r="G1548" s="56">
        <f>IF($B1548=0,"",IF(Inputs!$B$10="","",IF($AH1548=0,G1547,SUMIFS(Data!$R$10:$R$3209,Data!$Q$10:$Q$3209,"&gt;="&amp;$A1548,Data!$Q$10:$Q$3209,"&lt;"&amp;$A1548+1)/$AH1548)))</f>
        <v/>
      </c>
      <c r="I1548" s="54">
        <f>IF($B1548=0,NA(),IF($C1548="",NA(),IF(C$8="",NA(),IF(N(C$8)=0,NA(),IF(Inputs!$C$17="Rebased to 100",$C1548/C$8*100,$C1548)))))</f>
        <v/>
      </c>
      <c r="J1548" s="54">
        <f>IF($B1548=0,NA(),IF($D1548="",NA(),IF(D$8="",NA(),IF(N(D$8)=0,NA(),IF(Inputs!$C$17="Rebased to 100",$D1548/D$8*100,$D1548)))))</f>
        <v/>
      </c>
      <c r="K1548" s="54">
        <f>IF($B1548=0,NA(),IF($E1548="",NA(),IF(E$8="",NA(),IF(N(E$8)=0,NA(),IF(Inputs!$C$17="Rebased to 100",$E1548/E$8*100,$E1548)))))</f>
        <v/>
      </c>
      <c r="L1548" s="54">
        <f>IF($B1548=0,NA(),IF($F1548="",NA(),IF(F$8="",NA(),IF(N(F$8)=0,NA(),IF(Inputs!$C$17="Rebased to 100",$F1548/F$8*100,$F1548)))))</f>
        <v/>
      </c>
      <c r="M1548" s="54">
        <f>IF($B1548=0,NA(),IF($G1548="",NA(),IF(G$8="",NA(),IF(N(G$8)=0,NA(),IF(Inputs!$C$17="Rebased to 100",$G1548/G$8*100,$G1548)))))</f>
        <v/>
      </c>
      <c r="N1548" s="54">
        <f>IF($B1548=0,NA(),IF(Inputs!$C$18&lt;&gt;"Yes",NA(),IF(COUNT(I1548,J1548,K1548,L1548,M1548)=0,NA(),MIN(I1548,J1548,K1548,L1548,M1548))))</f>
        <v/>
      </c>
      <c r="O1548" s="54">
        <f>IF($B1548=0,NA(),IF(Inputs!$B$24&lt;&gt;"Yes",NA(),Inputs!$D$24*Inputs!$C$35))</f>
        <v/>
      </c>
      <c r="P1548" s="54">
        <f>IF($B1548=0,NA(),IF(Inputs!$B$25&lt;&gt;"Yes",NA(),Inputs!$D$25*Inputs!$C$35))</f>
        <v/>
      </c>
      <c r="Q1548" s="54">
        <f>IF($B1548=0,NA(),IF(Inputs!$B$26&lt;&gt;"Yes",NA(),Inputs!$D$26*Inputs!$C$35))</f>
        <v/>
      </c>
      <c r="R1548" s="54">
        <f>IF($B1548=0,NA(),IF(Inputs!$B$27&lt;&gt;"Yes",NA(),Inputs!$D$27*Inputs!$C$35))</f>
        <v/>
      </c>
      <c r="S1548" s="54">
        <f>IF($B1548=0,NA(),IF(Inputs!$B$28&lt;&gt;"Yes",NA(),Inputs!$D$28*Inputs!$C$35))</f>
        <v/>
      </c>
      <c r="T1548" s="54">
        <f>IF($B1548=0,NA(),IF(Inputs!$B$29&lt;&gt;"Yes",NA(),Inputs!$D$29*Inputs!$C$35))</f>
        <v/>
      </c>
      <c r="AD1548">
        <f>IF($B1548=0,0,IF(Inputs!$B$6="",0,COUNTIFS(Data!$A$10:$A$3209,"&gt;="&amp;$A1548,Data!$A$10:$A$3209,"&lt;"&amp;$A1548+1)))</f>
        <v/>
      </c>
      <c r="AE1548">
        <f>IF($B1548=0,0,IF(Inputs!$B$7="",0,COUNTIFS(Data!$E$10:$E$3209,"&gt;="&amp;$A1548,Data!$E$10:$E$3209,"&lt;"&amp;$A1548+1)))</f>
        <v/>
      </c>
      <c r="AF1548">
        <f>IF($B1548=0,0,IF(Inputs!$B$8="",0,COUNTIFS(Data!$I$10:$I$3209,"&gt;="&amp;$A1548,Data!$I$10:$I$3209,"&lt;"&amp;$A1548+1)))</f>
        <v/>
      </c>
      <c r="AG1548">
        <f>IF($B1548=0,0,IF(Inputs!$B$9="",0,COUNTIFS(Data!$M$10:$M$3209,"&gt;="&amp;$A1548,Data!$M$10:$M$3209,"&lt;"&amp;$A1548+1)))</f>
        <v/>
      </c>
      <c r="AH1548">
        <f>IF($B1548=0,0,IF(Inputs!$B$10="",0,COUNTIFS(Data!$Q$10:$Q$3209,"&gt;="&amp;$A1548,Data!$Q$10:$Q$3209,"&lt;"&amp;$A1548+1)))</f>
        <v/>
      </c>
    </row>
    <row r="1549">
      <c r="A1549" s="55">
        <f>MIN(Inputs!$C$15,$A1548+IF(WEEKDAY($A1548,2)=5,3,1))</f>
        <v/>
      </c>
      <c r="B1549">
        <f>IF($A1549&gt;$A1548,1,0)</f>
        <v/>
      </c>
      <c r="C1549" s="56">
        <f>IF($B1549=0,"",IF(Inputs!$B$6="","",IF($AD1549=0,C1548,SUMIFS(Data!$B$10:$B$3209,Data!$A$10:$A$3209,"&gt;="&amp;$A1549,Data!$A$10:$A$3209,"&lt;"&amp;$A1549+1)/$AD1549)))</f>
        <v/>
      </c>
      <c r="D1549" s="56">
        <f>IF($B1549=0,"",IF(Inputs!$B$7="","",IF($AE1549=0,D1548,SUMIFS(Data!$F$10:$F$3209,Data!$E$10:$E$3209,"&gt;="&amp;$A1549,Data!$E$10:$E$3209,"&lt;"&amp;$A1549+1)/$AE1549)))</f>
        <v/>
      </c>
      <c r="E1549" s="56">
        <f>IF($B1549=0,"",IF(Inputs!$B$8="","",IF($AF1549=0,E1548,SUMIFS(Data!$J$10:$J$3209,Data!$I$10:$I$3209,"&gt;="&amp;$A1549,Data!$I$10:$I$3209,"&lt;"&amp;$A1549+1)/$AF1549)))</f>
        <v/>
      </c>
      <c r="F1549" s="56">
        <f>IF($B1549=0,"",IF(Inputs!$B$9="","",IF($AG1549=0,F1548,SUMIFS(Data!$N$10:$N$3209,Data!$M$10:$M$3209,"&gt;="&amp;$A1549,Data!$M$10:$M$3209,"&lt;"&amp;$A1549+1)/$AG1549)))</f>
        <v/>
      </c>
      <c r="G1549" s="56">
        <f>IF($B1549=0,"",IF(Inputs!$B$10="","",IF($AH1549=0,G1548,SUMIFS(Data!$R$10:$R$3209,Data!$Q$10:$Q$3209,"&gt;="&amp;$A1549,Data!$Q$10:$Q$3209,"&lt;"&amp;$A1549+1)/$AH1549)))</f>
        <v/>
      </c>
      <c r="I1549" s="54">
        <f>IF($B1549=0,NA(),IF($C1549="",NA(),IF(C$8="",NA(),IF(N(C$8)=0,NA(),IF(Inputs!$C$17="Rebased to 100",$C1549/C$8*100,$C1549)))))</f>
        <v/>
      </c>
      <c r="J1549" s="54">
        <f>IF($B1549=0,NA(),IF($D1549="",NA(),IF(D$8="",NA(),IF(N(D$8)=0,NA(),IF(Inputs!$C$17="Rebased to 100",$D1549/D$8*100,$D1549)))))</f>
        <v/>
      </c>
      <c r="K1549" s="54">
        <f>IF($B1549=0,NA(),IF($E1549="",NA(),IF(E$8="",NA(),IF(N(E$8)=0,NA(),IF(Inputs!$C$17="Rebased to 100",$E1549/E$8*100,$E1549)))))</f>
        <v/>
      </c>
      <c r="L1549" s="54">
        <f>IF($B1549=0,NA(),IF($F1549="",NA(),IF(F$8="",NA(),IF(N(F$8)=0,NA(),IF(Inputs!$C$17="Rebased to 100",$F1549/F$8*100,$F1549)))))</f>
        <v/>
      </c>
      <c r="M1549" s="54">
        <f>IF($B1549=0,NA(),IF($G1549="",NA(),IF(G$8="",NA(),IF(N(G$8)=0,NA(),IF(Inputs!$C$17="Rebased to 100",$G1549/G$8*100,$G1549)))))</f>
        <v/>
      </c>
      <c r="N1549" s="54">
        <f>IF($B1549=0,NA(),IF(Inputs!$C$18&lt;&gt;"Yes",NA(),IF(COUNT(I1549,J1549,K1549,L1549,M1549)=0,NA(),MIN(I1549,J1549,K1549,L1549,M1549))))</f>
        <v/>
      </c>
      <c r="O1549" s="54">
        <f>IF($B1549=0,NA(),IF(Inputs!$B$24&lt;&gt;"Yes",NA(),Inputs!$D$24*Inputs!$C$35))</f>
        <v/>
      </c>
      <c r="P1549" s="54">
        <f>IF($B1549=0,NA(),IF(Inputs!$B$25&lt;&gt;"Yes",NA(),Inputs!$D$25*Inputs!$C$35))</f>
        <v/>
      </c>
      <c r="Q1549" s="54">
        <f>IF($B1549=0,NA(),IF(Inputs!$B$26&lt;&gt;"Yes",NA(),Inputs!$D$26*Inputs!$C$35))</f>
        <v/>
      </c>
      <c r="R1549" s="54">
        <f>IF($B1549=0,NA(),IF(Inputs!$B$27&lt;&gt;"Yes",NA(),Inputs!$D$27*Inputs!$C$35))</f>
        <v/>
      </c>
      <c r="S1549" s="54">
        <f>IF($B1549=0,NA(),IF(Inputs!$B$28&lt;&gt;"Yes",NA(),Inputs!$D$28*Inputs!$C$35))</f>
        <v/>
      </c>
      <c r="T1549" s="54">
        <f>IF($B1549=0,NA(),IF(Inputs!$B$29&lt;&gt;"Yes",NA(),Inputs!$D$29*Inputs!$C$35))</f>
        <v/>
      </c>
      <c r="AD1549">
        <f>IF($B1549=0,0,IF(Inputs!$B$6="",0,COUNTIFS(Data!$A$10:$A$3209,"&gt;="&amp;$A1549,Data!$A$10:$A$3209,"&lt;"&amp;$A1549+1)))</f>
        <v/>
      </c>
      <c r="AE1549">
        <f>IF($B1549=0,0,IF(Inputs!$B$7="",0,COUNTIFS(Data!$E$10:$E$3209,"&gt;="&amp;$A1549,Data!$E$10:$E$3209,"&lt;"&amp;$A1549+1)))</f>
        <v/>
      </c>
      <c r="AF1549">
        <f>IF($B1549=0,0,IF(Inputs!$B$8="",0,COUNTIFS(Data!$I$10:$I$3209,"&gt;="&amp;$A1549,Data!$I$10:$I$3209,"&lt;"&amp;$A1549+1)))</f>
        <v/>
      </c>
      <c r="AG1549">
        <f>IF($B1549=0,0,IF(Inputs!$B$9="",0,COUNTIFS(Data!$M$10:$M$3209,"&gt;="&amp;$A1549,Data!$M$10:$M$3209,"&lt;"&amp;$A1549+1)))</f>
        <v/>
      </c>
      <c r="AH1549">
        <f>IF($B1549=0,0,IF(Inputs!$B$10="",0,COUNTIFS(Data!$Q$10:$Q$3209,"&gt;="&amp;$A1549,Data!$Q$10:$Q$3209,"&lt;"&amp;$A1549+1)))</f>
        <v/>
      </c>
    </row>
    <row r="1550">
      <c r="A1550" s="55">
        <f>MIN(Inputs!$C$15,$A1549+IF(WEEKDAY($A1549,2)=5,3,1))</f>
        <v/>
      </c>
      <c r="B1550">
        <f>IF($A1550&gt;$A1549,1,0)</f>
        <v/>
      </c>
      <c r="C1550" s="56">
        <f>IF($B1550=0,"",IF(Inputs!$B$6="","",IF($AD1550=0,C1549,SUMIFS(Data!$B$10:$B$3209,Data!$A$10:$A$3209,"&gt;="&amp;$A1550,Data!$A$10:$A$3209,"&lt;"&amp;$A1550+1)/$AD1550)))</f>
        <v/>
      </c>
      <c r="D1550" s="56">
        <f>IF($B1550=0,"",IF(Inputs!$B$7="","",IF($AE1550=0,D1549,SUMIFS(Data!$F$10:$F$3209,Data!$E$10:$E$3209,"&gt;="&amp;$A1550,Data!$E$10:$E$3209,"&lt;"&amp;$A1550+1)/$AE1550)))</f>
        <v/>
      </c>
      <c r="E1550" s="56">
        <f>IF($B1550=0,"",IF(Inputs!$B$8="","",IF($AF1550=0,E1549,SUMIFS(Data!$J$10:$J$3209,Data!$I$10:$I$3209,"&gt;="&amp;$A1550,Data!$I$10:$I$3209,"&lt;"&amp;$A1550+1)/$AF1550)))</f>
        <v/>
      </c>
      <c r="F1550" s="56">
        <f>IF($B1550=0,"",IF(Inputs!$B$9="","",IF($AG1550=0,F1549,SUMIFS(Data!$N$10:$N$3209,Data!$M$10:$M$3209,"&gt;="&amp;$A1550,Data!$M$10:$M$3209,"&lt;"&amp;$A1550+1)/$AG1550)))</f>
        <v/>
      </c>
      <c r="G1550" s="56">
        <f>IF($B1550=0,"",IF(Inputs!$B$10="","",IF($AH1550=0,G1549,SUMIFS(Data!$R$10:$R$3209,Data!$Q$10:$Q$3209,"&gt;="&amp;$A1550,Data!$Q$10:$Q$3209,"&lt;"&amp;$A1550+1)/$AH1550)))</f>
        <v/>
      </c>
      <c r="I1550" s="54">
        <f>IF($B1550=0,NA(),IF($C1550="",NA(),IF(C$8="",NA(),IF(N(C$8)=0,NA(),IF(Inputs!$C$17="Rebased to 100",$C1550/C$8*100,$C1550)))))</f>
        <v/>
      </c>
      <c r="J1550" s="54">
        <f>IF($B1550=0,NA(),IF($D1550="",NA(),IF(D$8="",NA(),IF(N(D$8)=0,NA(),IF(Inputs!$C$17="Rebased to 100",$D1550/D$8*100,$D1550)))))</f>
        <v/>
      </c>
      <c r="K1550" s="54">
        <f>IF($B1550=0,NA(),IF($E1550="",NA(),IF(E$8="",NA(),IF(N(E$8)=0,NA(),IF(Inputs!$C$17="Rebased to 100",$E1550/E$8*100,$E1550)))))</f>
        <v/>
      </c>
      <c r="L1550" s="54">
        <f>IF($B1550=0,NA(),IF($F1550="",NA(),IF(F$8="",NA(),IF(N(F$8)=0,NA(),IF(Inputs!$C$17="Rebased to 100",$F1550/F$8*100,$F1550)))))</f>
        <v/>
      </c>
      <c r="M1550" s="54">
        <f>IF($B1550=0,NA(),IF($G1550="",NA(),IF(G$8="",NA(),IF(N(G$8)=0,NA(),IF(Inputs!$C$17="Rebased to 100",$G1550/G$8*100,$G1550)))))</f>
        <v/>
      </c>
      <c r="N1550" s="54">
        <f>IF($B1550=0,NA(),IF(Inputs!$C$18&lt;&gt;"Yes",NA(),IF(COUNT(I1550,J1550,K1550,L1550,M1550)=0,NA(),MIN(I1550,J1550,K1550,L1550,M1550))))</f>
        <v/>
      </c>
      <c r="O1550" s="54">
        <f>IF($B1550=0,NA(),IF(Inputs!$B$24&lt;&gt;"Yes",NA(),Inputs!$D$24*Inputs!$C$35))</f>
        <v/>
      </c>
      <c r="P1550" s="54">
        <f>IF($B1550=0,NA(),IF(Inputs!$B$25&lt;&gt;"Yes",NA(),Inputs!$D$25*Inputs!$C$35))</f>
        <v/>
      </c>
      <c r="Q1550" s="54">
        <f>IF($B1550=0,NA(),IF(Inputs!$B$26&lt;&gt;"Yes",NA(),Inputs!$D$26*Inputs!$C$35))</f>
        <v/>
      </c>
      <c r="R1550" s="54">
        <f>IF($B1550=0,NA(),IF(Inputs!$B$27&lt;&gt;"Yes",NA(),Inputs!$D$27*Inputs!$C$35))</f>
        <v/>
      </c>
      <c r="S1550" s="54">
        <f>IF($B1550=0,NA(),IF(Inputs!$B$28&lt;&gt;"Yes",NA(),Inputs!$D$28*Inputs!$C$35))</f>
        <v/>
      </c>
      <c r="T1550" s="54">
        <f>IF($B1550=0,NA(),IF(Inputs!$B$29&lt;&gt;"Yes",NA(),Inputs!$D$29*Inputs!$C$35))</f>
        <v/>
      </c>
      <c r="AD1550">
        <f>IF($B1550=0,0,IF(Inputs!$B$6="",0,COUNTIFS(Data!$A$10:$A$3209,"&gt;="&amp;$A1550,Data!$A$10:$A$3209,"&lt;"&amp;$A1550+1)))</f>
        <v/>
      </c>
      <c r="AE1550">
        <f>IF($B1550=0,0,IF(Inputs!$B$7="",0,COUNTIFS(Data!$E$10:$E$3209,"&gt;="&amp;$A1550,Data!$E$10:$E$3209,"&lt;"&amp;$A1550+1)))</f>
        <v/>
      </c>
      <c r="AF1550">
        <f>IF($B1550=0,0,IF(Inputs!$B$8="",0,COUNTIFS(Data!$I$10:$I$3209,"&gt;="&amp;$A1550,Data!$I$10:$I$3209,"&lt;"&amp;$A1550+1)))</f>
        <v/>
      </c>
      <c r="AG1550">
        <f>IF($B1550=0,0,IF(Inputs!$B$9="",0,COUNTIFS(Data!$M$10:$M$3209,"&gt;="&amp;$A1550,Data!$M$10:$M$3209,"&lt;"&amp;$A1550+1)))</f>
        <v/>
      </c>
      <c r="AH1550">
        <f>IF($B1550=0,0,IF(Inputs!$B$10="",0,COUNTIFS(Data!$Q$10:$Q$3209,"&gt;="&amp;$A1550,Data!$Q$10:$Q$3209,"&lt;"&amp;$A1550+1)))</f>
        <v/>
      </c>
    </row>
    <row r="1551">
      <c r="A1551" s="55">
        <f>MIN(Inputs!$C$15,$A1550+IF(WEEKDAY($A1550,2)=5,3,1))</f>
        <v/>
      </c>
      <c r="B1551">
        <f>IF($A1551&gt;$A1550,1,0)</f>
        <v/>
      </c>
      <c r="C1551" s="56">
        <f>IF($B1551=0,"",IF(Inputs!$B$6="","",IF($AD1551=0,C1550,SUMIFS(Data!$B$10:$B$3209,Data!$A$10:$A$3209,"&gt;="&amp;$A1551,Data!$A$10:$A$3209,"&lt;"&amp;$A1551+1)/$AD1551)))</f>
        <v/>
      </c>
      <c r="D1551" s="56">
        <f>IF($B1551=0,"",IF(Inputs!$B$7="","",IF($AE1551=0,D1550,SUMIFS(Data!$F$10:$F$3209,Data!$E$10:$E$3209,"&gt;="&amp;$A1551,Data!$E$10:$E$3209,"&lt;"&amp;$A1551+1)/$AE1551)))</f>
        <v/>
      </c>
      <c r="E1551" s="56">
        <f>IF($B1551=0,"",IF(Inputs!$B$8="","",IF($AF1551=0,E1550,SUMIFS(Data!$J$10:$J$3209,Data!$I$10:$I$3209,"&gt;="&amp;$A1551,Data!$I$10:$I$3209,"&lt;"&amp;$A1551+1)/$AF1551)))</f>
        <v/>
      </c>
      <c r="F1551" s="56">
        <f>IF($B1551=0,"",IF(Inputs!$B$9="","",IF($AG1551=0,F1550,SUMIFS(Data!$N$10:$N$3209,Data!$M$10:$M$3209,"&gt;="&amp;$A1551,Data!$M$10:$M$3209,"&lt;"&amp;$A1551+1)/$AG1551)))</f>
        <v/>
      </c>
      <c r="G1551" s="56">
        <f>IF($B1551=0,"",IF(Inputs!$B$10="","",IF($AH1551=0,G1550,SUMIFS(Data!$R$10:$R$3209,Data!$Q$10:$Q$3209,"&gt;="&amp;$A1551,Data!$Q$10:$Q$3209,"&lt;"&amp;$A1551+1)/$AH1551)))</f>
        <v/>
      </c>
      <c r="I1551" s="54">
        <f>IF($B1551=0,NA(),IF($C1551="",NA(),IF(C$8="",NA(),IF(N(C$8)=0,NA(),IF(Inputs!$C$17="Rebased to 100",$C1551/C$8*100,$C1551)))))</f>
        <v/>
      </c>
      <c r="J1551" s="54">
        <f>IF($B1551=0,NA(),IF($D1551="",NA(),IF(D$8="",NA(),IF(N(D$8)=0,NA(),IF(Inputs!$C$17="Rebased to 100",$D1551/D$8*100,$D1551)))))</f>
        <v/>
      </c>
      <c r="K1551" s="54">
        <f>IF($B1551=0,NA(),IF($E1551="",NA(),IF(E$8="",NA(),IF(N(E$8)=0,NA(),IF(Inputs!$C$17="Rebased to 100",$E1551/E$8*100,$E1551)))))</f>
        <v/>
      </c>
      <c r="L1551" s="54">
        <f>IF($B1551=0,NA(),IF($F1551="",NA(),IF(F$8="",NA(),IF(N(F$8)=0,NA(),IF(Inputs!$C$17="Rebased to 100",$F1551/F$8*100,$F1551)))))</f>
        <v/>
      </c>
      <c r="M1551" s="54">
        <f>IF($B1551=0,NA(),IF($G1551="",NA(),IF(G$8="",NA(),IF(N(G$8)=0,NA(),IF(Inputs!$C$17="Rebased to 100",$G1551/G$8*100,$G1551)))))</f>
        <v/>
      </c>
      <c r="N1551" s="54">
        <f>IF($B1551=0,NA(),IF(Inputs!$C$18&lt;&gt;"Yes",NA(),IF(COUNT(I1551,J1551,K1551,L1551,M1551)=0,NA(),MIN(I1551,J1551,K1551,L1551,M1551))))</f>
        <v/>
      </c>
      <c r="O1551" s="54">
        <f>IF($B1551=0,NA(),IF(Inputs!$B$24&lt;&gt;"Yes",NA(),Inputs!$D$24*Inputs!$C$35))</f>
        <v/>
      </c>
      <c r="P1551" s="54">
        <f>IF($B1551=0,NA(),IF(Inputs!$B$25&lt;&gt;"Yes",NA(),Inputs!$D$25*Inputs!$C$35))</f>
        <v/>
      </c>
      <c r="Q1551" s="54">
        <f>IF($B1551=0,NA(),IF(Inputs!$B$26&lt;&gt;"Yes",NA(),Inputs!$D$26*Inputs!$C$35))</f>
        <v/>
      </c>
      <c r="R1551" s="54">
        <f>IF($B1551=0,NA(),IF(Inputs!$B$27&lt;&gt;"Yes",NA(),Inputs!$D$27*Inputs!$C$35))</f>
        <v/>
      </c>
      <c r="S1551" s="54">
        <f>IF($B1551=0,NA(),IF(Inputs!$B$28&lt;&gt;"Yes",NA(),Inputs!$D$28*Inputs!$C$35))</f>
        <v/>
      </c>
      <c r="T1551" s="54">
        <f>IF($B1551=0,NA(),IF(Inputs!$B$29&lt;&gt;"Yes",NA(),Inputs!$D$29*Inputs!$C$35))</f>
        <v/>
      </c>
      <c r="AD1551">
        <f>IF($B1551=0,0,IF(Inputs!$B$6="",0,COUNTIFS(Data!$A$10:$A$3209,"&gt;="&amp;$A1551,Data!$A$10:$A$3209,"&lt;"&amp;$A1551+1)))</f>
        <v/>
      </c>
      <c r="AE1551">
        <f>IF($B1551=0,0,IF(Inputs!$B$7="",0,COUNTIFS(Data!$E$10:$E$3209,"&gt;="&amp;$A1551,Data!$E$10:$E$3209,"&lt;"&amp;$A1551+1)))</f>
        <v/>
      </c>
      <c r="AF1551">
        <f>IF($B1551=0,0,IF(Inputs!$B$8="",0,COUNTIFS(Data!$I$10:$I$3209,"&gt;="&amp;$A1551,Data!$I$10:$I$3209,"&lt;"&amp;$A1551+1)))</f>
        <v/>
      </c>
      <c r="AG1551">
        <f>IF($B1551=0,0,IF(Inputs!$B$9="",0,COUNTIFS(Data!$M$10:$M$3209,"&gt;="&amp;$A1551,Data!$M$10:$M$3209,"&lt;"&amp;$A1551+1)))</f>
        <v/>
      </c>
      <c r="AH1551">
        <f>IF($B1551=0,0,IF(Inputs!$B$10="",0,COUNTIFS(Data!$Q$10:$Q$3209,"&gt;="&amp;$A1551,Data!$Q$10:$Q$3209,"&lt;"&amp;$A1551+1)))</f>
        <v/>
      </c>
    </row>
    <row r="1552">
      <c r="A1552" s="55">
        <f>MIN(Inputs!$C$15,$A1551+IF(WEEKDAY($A1551,2)=5,3,1))</f>
        <v/>
      </c>
      <c r="B1552">
        <f>IF($A1552&gt;$A1551,1,0)</f>
        <v/>
      </c>
      <c r="C1552" s="56">
        <f>IF($B1552=0,"",IF(Inputs!$B$6="","",IF($AD1552=0,C1551,SUMIFS(Data!$B$10:$B$3209,Data!$A$10:$A$3209,"&gt;="&amp;$A1552,Data!$A$10:$A$3209,"&lt;"&amp;$A1552+1)/$AD1552)))</f>
        <v/>
      </c>
      <c r="D1552" s="56">
        <f>IF($B1552=0,"",IF(Inputs!$B$7="","",IF($AE1552=0,D1551,SUMIFS(Data!$F$10:$F$3209,Data!$E$10:$E$3209,"&gt;="&amp;$A1552,Data!$E$10:$E$3209,"&lt;"&amp;$A1552+1)/$AE1552)))</f>
        <v/>
      </c>
      <c r="E1552" s="56">
        <f>IF($B1552=0,"",IF(Inputs!$B$8="","",IF($AF1552=0,E1551,SUMIFS(Data!$J$10:$J$3209,Data!$I$10:$I$3209,"&gt;="&amp;$A1552,Data!$I$10:$I$3209,"&lt;"&amp;$A1552+1)/$AF1552)))</f>
        <v/>
      </c>
      <c r="F1552" s="56">
        <f>IF($B1552=0,"",IF(Inputs!$B$9="","",IF($AG1552=0,F1551,SUMIFS(Data!$N$10:$N$3209,Data!$M$10:$M$3209,"&gt;="&amp;$A1552,Data!$M$10:$M$3209,"&lt;"&amp;$A1552+1)/$AG1552)))</f>
        <v/>
      </c>
      <c r="G1552" s="56">
        <f>IF($B1552=0,"",IF(Inputs!$B$10="","",IF($AH1552=0,G1551,SUMIFS(Data!$R$10:$R$3209,Data!$Q$10:$Q$3209,"&gt;="&amp;$A1552,Data!$Q$10:$Q$3209,"&lt;"&amp;$A1552+1)/$AH1552)))</f>
        <v/>
      </c>
      <c r="I1552" s="54">
        <f>IF($B1552=0,NA(),IF($C1552="",NA(),IF(C$8="",NA(),IF(N(C$8)=0,NA(),IF(Inputs!$C$17="Rebased to 100",$C1552/C$8*100,$C1552)))))</f>
        <v/>
      </c>
      <c r="J1552" s="54">
        <f>IF($B1552=0,NA(),IF($D1552="",NA(),IF(D$8="",NA(),IF(N(D$8)=0,NA(),IF(Inputs!$C$17="Rebased to 100",$D1552/D$8*100,$D1552)))))</f>
        <v/>
      </c>
      <c r="K1552" s="54">
        <f>IF($B1552=0,NA(),IF($E1552="",NA(),IF(E$8="",NA(),IF(N(E$8)=0,NA(),IF(Inputs!$C$17="Rebased to 100",$E1552/E$8*100,$E1552)))))</f>
        <v/>
      </c>
      <c r="L1552" s="54">
        <f>IF($B1552=0,NA(),IF($F1552="",NA(),IF(F$8="",NA(),IF(N(F$8)=0,NA(),IF(Inputs!$C$17="Rebased to 100",$F1552/F$8*100,$F1552)))))</f>
        <v/>
      </c>
      <c r="M1552" s="54">
        <f>IF($B1552=0,NA(),IF($G1552="",NA(),IF(G$8="",NA(),IF(N(G$8)=0,NA(),IF(Inputs!$C$17="Rebased to 100",$G1552/G$8*100,$G1552)))))</f>
        <v/>
      </c>
      <c r="N1552" s="54">
        <f>IF($B1552=0,NA(),IF(Inputs!$C$18&lt;&gt;"Yes",NA(),IF(COUNT(I1552,J1552,K1552,L1552,M1552)=0,NA(),MIN(I1552,J1552,K1552,L1552,M1552))))</f>
        <v/>
      </c>
      <c r="O1552" s="54">
        <f>IF($B1552=0,NA(),IF(Inputs!$B$24&lt;&gt;"Yes",NA(),Inputs!$D$24*Inputs!$C$35))</f>
        <v/>
      </c>
      <c r="P1552" s="54">
        <f>IF($B1552=0,NA(),IF(Inputs!$B$25&lt;&gt;"Yes",NA(),Inputs!$D$25*Inputs!$C$35))</f>
        <v/>
      </c>
      <c r="Q1552" s="54">
        <f>IF($B1552=0,NA(),IF(Inputs!$B$26&lt;&gt;"Yes",NA(),Inputs!$D$26*Inputs!$C$35))</f>
        <v/>
      </c>
      <c r="R1552" s="54">
        <f>IF($B1552=0,NA(),IF(Inputs!$B$27&lt;&gt;"Yes",NA(),Inputs!$D$27*Inputs!$C$35))</f>
        <v/>
      </c>
      <c r="S1552" s="54">
        <f>IF($B1552=0,NA(),IF(Inputs!$B$28&lt;&gt;"Yes",NA(),Inputs!$D$28*Inputs!$C$35))</f>
        <v/>
      </c>
      <c r="T1552" s="54">
        <f>IF($B1552=0,NA(),IF(Inputs!$B$29&lt;&gt;"Yes",NA(),Inputs!$D$29*Inputs!$C$35))</f>
        <v/>
      </c>
      <c r="AD1552">
        <f>IF($B1552=0,0,IF(Inputs!$B$6="",0,COUNTIFS(Data!$A$10:$A$3209,"&gt;="&amp;$A1552,Data!$A$10:$A$3209,"&lt;"&amp;$A1552+1)))</f>
        <v/>
      </c>
      <c r="AE1552">
        <f>IF($B1552=0,0,IF(Inputs!$B$7="",0,COUNTIFS(Data!$E$10:$E$3209,"&gt;="&amp;$A1552,Data!$E$10:$E$3209,"&lt;"&amp;$A1552+1)))</f>
        <v/>
      </c>
      <c r="AF1552">
        <f>IF($B1552=0,0,IF(Inputs!$B$8="",0,COUNTIFS(Data!$I$10:$I$3209,"&gt;="&amp;$A1552,Data!$I$10:$I$3209,"&lt;"&amp;$A1552+1)))</f>
        <v/>
      </c>
      <c r="AG1552">
        <f>IF($B1552=0,0,IF(Inputs!$B$9="",0,COUNTIFS(Data!$M$10:$M$3209,"&gt;="&amp;$A1552,Data!$M$10:$M$3209,"&lt;"&amp;$A1552+1)))</f>
        <v/>
      </c>
      <c r="AH1552">
        <f>IF($B1552=0,0,IF(Inputs!$B$10="",0,COUNTIFS(Data!$Q$10:$Q$3209,"&gt;="&amp;$A1552,Data!$Q$10:$Q$3209,"&lt;"&amp;$A1552+1)))</f>
        <v/>
      </c>
    </row>
    <row r="1553">
      <c r="A1553" s="55">
        <f>MIN(Inputs!$C$15,$A1552+IF(WEEKDAY($A1552,2)=5,3,1))</f>
        <v/>
      </c>
      <c r="B1553">
        <f>IF($A1553&gt;$A1552,1,0)</f>
        <v/>
      </c>
      <c r="C1553" s="56">
        <f>IF($B1553=0,"",IF(Inputs!$B$6="","",IF($AD1553=0,C1552,SUMIFS(Data!$B$10:$B$3209,Data!$A$10:$A$3209,"&gt;="&amp;$A1553,Data!$A$10:$A$3209,"&lt;"&amp;$A1553+1)/$AD1553)))</f>
        <v/>
      </c>
      <c r="D1553" s="56">
        <f>IF($B1553=0,"",IF(Inputs!$B$7="","",IF($AE1553=0,D1552,SUMIFS(Data!$F$10:$F$3209,Data!$E$10:$E$3209,"&gt;="&amp;$A1553,Data!$E$10:$E$3209,"&lt;"&amp;$A1553+1)/$AE1553)))</f>
        <v/>
      </c>
      <c r="E1553" s="56">
        <f>IF($B1553=0,"",IF(Inputs!$B$8="","",IF($AF1553=0,E1552,SUMIFS(Data!$J$10:$J$3209,Data!$I$10:$I$3209,"&gt;="&amp;$A1553,Data!$I$10:$I$3209,"&lt;"&amp;$A1553+1)/$AF1553)))</f>
        <v/>
      </c>
      <c r="F1553" s="56">
        <f>IF($B1553=0,"",IF(Inputs!$B$9="","",IF($AG1553=0,F1552,SUMIFS(Data!$N$10:$N$3209,Data!$M$10:$M$3209,"&gt;="&amp;$A1553,Data!$M$10:$M$3209,"&lt;"&amp;$A1553+1)/$AG1553)))</f>
        <v/>
      </c>
      <c r="G1553" s="56">
        <f>IF($B1553=0,"",IF(Inputs!$B$10="","",IF($AH1553=0,G1552,SUMIFS(Data!$R$10:$R$3209,Data!$Q$10:$Q$3209,"&gt;="&amp;$A1553,Data!$Q$10:$Q$3209,"&lt;"&amp;$A1553+1)/$AH1553)))</f>
        <v/>
      </c>
      <c r="I1553" s="54">
        <f>IF($B1553=0,NA(),IF($C1553="",NA(),IF(C$8="",NA(),IF(N(C$8)=0,NA(),IF(Inputs!$C$17="Rebased to 100",$C1553/C$8*100,$C1553)))))</f>
        <v/>
      </c>
      <c r="J1553" s="54">
        <f>IF($B1553=0,NA(),IF($D1553="",NA(),IF(D$8="",NA(),IF(N(D$8)=0,NA(),IF(Inputs!$C$17="Rebased to 100",$D1553/D$8*100,$D1553)))))</f>
        <v/>
      </c>
      <c r="K1553" s="54">
        <f>IF($B1553=0,NA(),IF($E1553="",NA(),IF(E$8="",NA(),IF(N(E$8)=0,NA(),IF(Inputs!$C$17="Rebased to 100",$E1553/E$8*100,$E1553)))))</f>
        <v/>
      </c>
      <c r="L1553" s="54">
        <f>IF($B1553=0,NA(),IF($F1553="",NA(),IF(F$8="",NA(),IF(N(F$8)=0,NA(),IF(Inputs!$C$17="Rebased to 100",$F1553/F$8*100,$F1553)))))</f>
        <v/>
      </c>
      <c r="M1553" s="54">
        <f>IF($B1553=0,NA(),IF($G1553="",NA(),IF(G$8="",NA(),IF(N(G$8)=0,NA(),IF(Inputs!$C$17="Rebased to 100",$G1553/G$8*100,$G1553)))))</f>
        <v/>
      </c>
      <c r="N1553" s="54">
        <f>IF($B1553=0,NA(),IF(Inputs!$C$18&lt;&gt;"Yes",NA(),IF(COUNT(I1553,J1553,K1553,L1553,M1553)=0,NA(),MIN(I1553,J1553,K1553,L1553,M1553))))</f>
        <v/>
      </c>
      <c r="O1553" s="54">
        <f>IF($B1553=0,NA(),IF(Inputs!$B$24&lt;&gt;"Yes",NA(),Inputs!$D$24*Inputs!$C$35))</f>
        <v/>
      </c>
      <c r="P1553" s="54">
        <f>IF($B1553=0,NA(),IF(Inputs!$B$25&lt;&gt;"Yes",NA(),Inputs!$D$25*Inputs!$C$35))</f>
        <v/>
      </c>
      <c r="Q1553" s="54">
        <f>IF($B1553=0,NA(),IF(Inputs!$B$26&lt;&gt;"Yes",NA(),Inputs!$D$26*Inputs!$C$35))</f>
        <v/>
      </c>
      <c r="R1553" s="54">
        <f>IF($B1553=0,NA(),IF(Inputs!$B$27&lt;&gt;"Yes",NA(),Inputs!$D$27*Inputs!$C$35))</f>
        <v/>
      </c>
      <c r="S1553" s="54">
        <f>IF($B1553=0,NA(),IF(Inputs!$B$28&lt;&gt;"Yes",NA(),Inputs!$D$28*Inputs!$C$35))</f>
        <v/>
      </c>
      <c r="T1553" s="54">
        <f>IF($B1553=0,NA(),IF(Inputs!$B$29&lt;&gt;"Yes",NA(),Inputs!$D$29*Inputs!$C$35))</f>
        <v/>
      </c>
      <c r="AD1553">
        <f>IF($B1553=0,0,IF(Inputs!$B$6="",0,COUNTIFS(Data!$A$10:$A$3209,"&gt;="&amp;$A1553,Data!$A$10:$A$3209,"&lt;"&amp;$A1553+1)))</f>
        <v/>
      </c>
      <c r="AE1553">
        <f>IF($B1553=0,0,IF(Inputs!$B$7="",0,COUNTIFS(Data!$E$10:$E$3209,"&gt;="&amp;$A1553,Data!$E$10:$E$3209,"&lt;"&amp;$A1553+1)))</f>
        <v/>
      </c>
      <c r="AF1553">
        <f>IF($B1553=0,0,IF(Inputs!$B$8="",0,COUNTIFS(Data!$I$10:$I$3209,"&gt;="&amp;$A1553,Data!$I$10:$I$3209,"&lt;"&amp;$A1553+1)))</f>
        <v/>
      </c>
      <c r="AG1553">
        <f>IF($B1553=0,0,IF(Inputs!$B$9="",0,COUNTIFS(Data!$M$10:$M$3209,"&gt;="&amp;$A1553,Data!$M$10:$M$3209,"&lt;"&amp;$A1553+1)))</f>
        <v/>
      </c>
      <c r="AH1553">
        <f>IF($B1553=0,0,IF(Inputs!$B$10="",0,COUNTIFS(Data!$Q$10:$Q$3209,"&gt;="&amp;$A1553,Data!$Q$10:$Q$3209,"&lt;"&amp;$A1553+1)))</f>
        <v/>
      </c>
    </row>
    <row r="1554">
      <c r="A1554" s="55">
        <f>MIN(Inputs!$C$15,$A1553+IF(WEEKDAY($A1553,2)=5,3,1))</f>
        <v/>
      </c>
      <c r="B1554">
        <f>IF($A1554&gt;$A1553,1,0)</f>
        <v/>
      </c>
      <c r="C1554" s="56">
        <f>IF($B1554=0,"",IF(Inputs!$B$6="","",IF($AD1554=0,C1553,SUMIFS(Data!$B$10:$B$3209,Data!$A$10:$A$3209,"&gt;="&amp;$A1554,Data!$A$10:$A$3209,"&lt;"&amp;$A1554+1)/$AD1554)))</f>
        <v/>
      </c>
      <c r="D1554" s="56">
        <f>IF($B1554=0,"",IF(Inputs!$B$7="","",IF($AE1554=0,D1553,SUMIFS(Data!$F$10:$F$3209,Data!$E$10:$E$3209,"&gt;="&amp;$A1554,Data!$E$10:$E$3209,"&lt;"&amp;$A1554+1)/$AE1554)))</f>
        <v/>
      </c>
      <c r="E1554" s="56">
        <f>IF($B1554=0,"",IF(Inputs!$B$8="","",IF($AF1554=0,E1553,SUMIFS(Data!$J$10:$J$3209,Data!$I$10:$I$3209,"&gt;="&amp;$A1554,Data!$I$10:$I$3209,"&lt;"&amp;$A1554+1)/$AF1554)))</f>
        <v/>
      </c>
      <c r="F1554" s="56">
        <f>IF($B1554=0,"",IF(Inputs!$B$9="","",IF($AG1554=0,F1553,SUMIFS(Data!$N$10:$N$3209,Data!$M$10:$M$3209,"&gt;="&amp;$A1554,Data!$M$10:$M$3209,"&lt;"&amp;$A1554+1)/$AG1554)))</f>
        <v/>
      </c>
      <c r="G1554" s="56">
        <f>IF($B1554=0,"",IF(Inputs!$B$10="","",IF($AH1554=0,G1553,SUMIFS(Data!$R$10:$R$3209,Data!$Q$10:$Q$3209,"&gt;="&amp;$A1554,Data!$Q$10:$Q$3209,"&lt;"&amp;$A1554+1)/$AH1554)))</f>
        <v/>
      </c>
      <c r="I1554" s="54">
        <f>IF($B1554=0,NA(),IF($C1554="",NA(),IF(C$8="",NA(),IF(N(C$8)=0,NA(),IF(Inputs!$C$17="Rebased to 100",$C1554/C$8*100,$C1554)))))</f>
        <v/>
      </c>
      <c r="J1554" s="54">
        <f>IF($B1554=0,NA(),IF($D1554="",NA(),IF(D$8="",NA(),IF(N(D$8)=0,NA(),IF(Inputs!$C$17="Rebased to 100",$D1554/D$8*100,$D1554)))))</f>
        <v/>
      </c>
      <c r="K1554" s="54">
        <f>IF($B1554=0,NA(),IF($E1554="",NA(),IF(E$8="",NA(),IF(N(E$8)=0,NA(),IF(Inputs!$C$17="Rebased to 100",$E1554/E$8*100,$E1554)))))</f>
        <v/>
      </c>
      <c r="L1554" s="54">
        <f>IF($B1554=0,NA(),IF($F1554="",NA(),IF(F$8="",NA(),IF(N(F$8)=0,NA(),IF(Inputs!$C$17="Rebased to 100",$F1554/F$8*100,$F1554)))))</f>
        <v/>
      </c>
      <c r="M1554" s="54">
        <f>IF($B1554=0,NA(),IF($G1554="",NA(),IF(G$8="",NA(),IF(N(G$8)=0,NA(),IF(Inputs!$C$17="Rebased to 100",$G1554/G$8*100,$G1554)))))</f>
        <v/>
      </c>
      <c r="N1554" s="54">
        <f>IF($B1554=0,NA(),IF(Inputs!$C$18&lt;&gt;"Yes",NA(),IF(COUNT(I1554,J1554,K1554,L1554,M1554)=0,NA(),MIN(I1554,J1554,K1554,L1554,M1554))))</f>
        <v/>
      </c>
      <c r="O1554" s="54">
        <f>IF($B1554=0,NA(),IF(Inputs!$B$24&lt;&gt;"Yes",NA(),Inputs!$D$24*Inputs!$C$35))</f>
        <v/>
      </c>
      <c r="P1554" s="54">
        <f>IF($B1554=0,NA(),IF(Inputs!$B$25&lt;&gt;"Yes",NA(),Inputs!$D$25*Inputs!$C$35))</f>
        <v/>
      </c>
      <c r="Q1554" s="54">
        <f>IF($B1554=0,NA(),IF(Inputs!$B$26&lt;&gt;"Yes",NA(),Inputs!$D$26*Inputs!$C$35))</f>
        <v/>
      </c>
      <c r="R1554" s="54">
        <f>IF($B1554=0,NA(),IF(Inputs!$B$27&lt;&gt;"Yes",NA(),Inputs!$D$27*Inputs!$C$35))</f>
        <v/>
      </c>
      <c r="S1554" s="54">
        <f>IF($B1554=0,NA(),IF(Inputs!$B$28&lt;&gt;"Yes",NA(),Inputs!$D$28*Inputs!$C$35))</f>
        <v/>
      </c>
      <c r="T1554" s="54">
        <f>IF($B1554=0,NA(),IF(Inputs!$B$29&lt;&gt;"Yes",NA(),Inputs!$D$29*Inputs!$C$35))</f>
        <v/>
      </c>
      <c r="AD1554">
        <f>IF($B1554=0,0,IF(Inputs!$B$6="",0,COUNTIFS(Data!$A$10:$A$3209,"&gt;="&amp;$A1554,Data!$A$10:$A$3209,"&lt;"&amp;$A1554+1)))</f>
        <v/>
      </c>
      <c r="AE1554">
        <f>IF($B1554=0,0,IF(Inputs!$B$7="",0,COUNTIFS(Data!$E$10:$E$3209,"&gt;="&amp;$A1554,Data!$E$10:$E$3209,"&lt;"&amp;$A1554+1)))</f>
        <v/>
      </c>
      <c r="AF1554">
        <f>IF($B1554=0,0,IF(Inputs!$B$8="",0,COUNTIFS(Data!$I$10:$I$3209,"&gt;="&amp;$A1554,Data!$I$10:$I$3209,"&lt;"&amp;$A1554+1)))</f>
        <v/>
      </c>
      <c r="AG1554">
        <f>IF($B1554=0,0,IF(Inputs!$B$9="",0,COUNTIFS(Data!$M$10:$M$3209,"&gt;="&amp;$A1554,Data!$M$10:$M$3209,"&lt;"&amp;$A1554+1)))</f>
        <v/>
      </c>
      <c r="AH1554">
        <f>IF($B1554=0,0,IF(Inputs!$B$10="",0,COUNTIFS(Data!$Q$10:$Q$3209,"&gt;="&amp;$A1554,Data!$Q$10:$Q$3209,"&lt;"&amp;$A1554+1)))</f>
        <v/>
      </c>
    </row>
    <row r="1555">
      <c r="A1555" s="55">
        <f>MIN(Inputs!$C$15,$A1554+IF(WEEKDAY($A1554,2)=5,3,1))</f>
        <v/>
      </c>
      <c r="B1555">
        <f>IF($A1555&gt;$A1554,1,0)</f>
        <v/>
      </c>
      <c r="C1555" s="56">
        <f>IF($B1555=0,"",IF(Inputs!$B$6="","",IF($AD1555=0,C1554,SUMIFS(Data!$B$10:$B$3209,Data!$A$10:$A$3209,"&gt;="&amp;$A1555,Data!$A$10:$A$3209,"&lt;"&amp;$A1555+1)/$AD1555)))</f>
        <v/>
      </c>
      <c r="D1555" s="56">
        <f>IF($B1555=0,"",IF(Inputs!$B$7="","",IF($AE1555=0,D1554,SUMIFS(Data!$F$10:$F$3209,Data!$E$10:$E$3209,"&gt;="&amp;$A1555,Data!$E$10:$E$3209,"&lt;"&amp;$A1555+1)/$AE1555)))</f>
        <v/>
      </c>
      <c r="E1555" s="56">
        <f>IF($B1555=0,"",IF(Inputs!$B$8="","",IF($AF1555=0,E1554,SUMIFS(Data!$J$10:$J$3209,Data!$I$10:$I$3209,"&gt;="&amp;$A1555,Data!$I$10:$I$3209,"&lt;"&amp;$A1555+1)/$AF1555)))</f>
        <v/>
      </c>
      <c r="F1555" s="56">
        <f>IF($B1555=0,"",IF(Inputs!$B$9="","",IF($AG1555=0,F1554,SUMIFS(Data!$N$10:$N$3209,Data!$M$10:$M$3209,"&gt;="&amp;$A1555,Data!$M$10:$M$3209,"&lt;"&amp;$A1555+1)/$AG1555)))</f>
        <v/>
      </c>
      <c r="G1555" s="56">
        <f>IF($B1555=0,"",IF(Inputs!$B$10="","",IF($AH1555=0,G1554,SUMIFS(Data!$R$10:$R$3209,Data!$Q$10:$Q$3209,"&gt;="&amp;$A1555,Data!$Q$10:$Q$3209,"&lt;"&amp;$A1555+1)/$AH1555)))</f>
        <v/>
      </c>
      <c r="I1555" s="54">
        <f>IF($B1555=0,NA(),IF($C1555="",NA(),IF(C$8="",NA(),IF(N(C$8)=0,NA(),IF(Inputs!$C$17="Rebased to 100",$C1555/C$8*100,$C1555)))))</f>
        <v/>
      </c>
      <c r="J1555" s="54">
        <f>IF($B1555=0,NA(),IF($D1555="",NA(),IF(D$8="",NA(),IF(N(D$8)=0,NA(),IF(Inputs!$C$17="Rebased to 100",$D1555/D$8*100,$D1555)))))</f>
        <v/>
      </c>
      <c r="K1555" s="54">
        <f>IF($B1555=0,NA(),IF($E1555="",NA(),IF(E$8="",NA(),IF(N(E$8)=0,NA(),IF(Inputs!$C$17="Rebased to 100",$E1555/E$8*100,$E1555)))))</f>
        <v/>
      </c>
      <c r="L1555" s="54">
        <f>IF($B1555=0,NA(),IF($F1555="",NA(),IF(F$8="",NA(),IF(N(F$8)=0,NA(),IF(Inputs!$C$17="Rebased to 100",$F1555/F$8*100,$F1555)))))</f>
        <v/>
      </c>
      <c r="M1555" s="54">
        <f>IF($B1555=0,NA(),IF($G1555="",NA(),IF(G$8="",NA(),IF(N(G$8)=0,NA(),IF(Inputs!$C$17="Rebased to 100",$G1555/G$8*100,$G1555)))))</f>
        <v/>
      </c>
      <c r="N1555" s="54">
        <f>IF($B1555=0,NA(),IF(Inputs!$C$18&lt;&gt;"Yes",NA(),IF(COUNT(I1555,J1555,K1555,L1555,M1555)=0,NA(),MIN(I1555,J1555,K1555,L1555,M1555))))</f>
        <v/>
      </c>
      <c r="O1555" s="54">
        <f>IF($B1555=0,NA(),IF(Inputs!$B$24&lt;&gt;"Yes",NA(),Inputs!$D$24*Inputs!$C$35))</f>
        <v/>
      </c>
      <c r="P1555" s="54">
        <f>IF($B1555=0,NA(),IF(Inputs!$B$25&lt;&gt;"Yes",NA(),Inputs!$D$25*Inputs!$C$35))</f>
        <v/>
      </c>
      <c r="Q1555" s="54">
        <f>IF($B1555=0,NA(),IF(Inputs!$B$26&lt;&gt;"Yes",NA(),Inputs!$D$26*Inputs!$C$35))</f>
        <v/>
      </c>
      <c r="R1555" s="54">
        <f>IF($B1555=0,NA(),IF(Inputs!$B$27&lt;&gt;"Yes",NA(),Inputs!$D$27*Inputs!$C$35))</f>
        <v/>
      </c>
      <c r="S1555" s="54">
        <f>IF($B1555=0,NA(),IF(Inputs!$B$28&lt;&gt;"Yes",NA(),Inputs!$D$28*Inputs!$C$35))</f>
        <v/>
      </c>
      <c r="T1555" s="54">
        <f>IF($B1555=0,NA(),IF(Inputs!$B$29&lt;&gt;"Yes",NA(),Inputs!$D$29*Inputs!$C$35))</f>
        <v/>
      </c>
      <c r="AD1555">
        <f>IF($B1555=0,0,IF(Inputs!$B$6="",0,COUNTIFS(Data!$A$10:$A$3209,"&gt;="&amp;$A1555,Data!$A$10:$A$3209,"&lt;"&amp;$A1555+1)))</f>
        <v/>
      </c>
      <c r="AE1555">
        <f>IF($B1555=0,0,IF(Inputs!$B$7="",0,COUNTIFS(Data!$E$10:$E$3209,"&gt;="&amp;$A1555,Data!$E$10:$E$3209,"&lt;"&amp;$A1555+1)))</f>
        <v/>
      </c>
      <c r="AF1555">
        <f>IF($B1555=0,0,IF(Inputs!$B$8="",0,COUNTIFS(Data!$I$10:$I$3209,"&gt;="&amp;$A1555,Data!$I$10:$I$3209,"&lt;"&amp;$A1555+1)))</f>
        <v/>
      </c>
      <c r="AG1555">
        <f>IF($B1555=0,0,IF(Inputs!$B$9="",0,COUNTIFS(Data!$M$10:$M$3209,"&gt;="&amp;$A1555,Data!$M$10:$M$3209,"&lt;"&amp;$A1555+1)))</f>
        <v/>
      </c>
      <c r="AH1555">
        <f>IF($B1555=0,0,IF(Inputs!$B$10="",0,COUNTIFS(Data!$Q$10:$Q$3209,"&gt;="&amp;$A1555,Data!$Q$10:$Q$3209,"&lt;"&amp;$A1555+1)))</f>
        <v/>
      </c>
    </row>
    <row r="1556">
      <c r="A1556" s="55">
        <f>MIN(Inputs!$C$15,$A1555+IF(WEEKDAY($A1555,2)=5,3,1))</f>
        <v/>
      </c>
      <c r="B1556">
        <f>IF($A1556&gt;$A1555,1,0)</f>
        <v/>
      </c>
      <c r="C1556" s="56">
        <f>IF($B1556=0,"",IF(Inputs!$B$6="","",IF($AD1556=0,C1555,SUMIFS(Data!$B$10:$B$3209,Data!$A$10:$A$3209,"&gt;="&amp;$A1556,Data!$A$10:$A$3209,"&lt;"&amp;$A1556+1)/$AD1556)))</f>
        <v/>
      </c>
      <c r="D1556" s="56">
        <f>IF($B1556=0,"",IF(Inputs!$B$7="","",IF($AE1556=0,D1555,SUMIFS(Data!$F$10:$F$3209,Data!$E$10:$E$3209,"&gt;="&amp;$A1556,Data!$E$10:$E$3209,"&lt;"&amp;$A1556+1)/$AE1556)))</f>
        <v/>
      </c>
      <c r="E1556" s="56">
        <f>IF($B1556=0,"",IF(Inputs!$B$8="","",IF($AF1556=0,E1555,SUMIFS(Data!$J$10:$J$3209,Data!$I$10:$I$3209,"&gt;="&amp;$A1556,Data!$I$10:$I$3209,"&lt;"&amp;$A1556+1)/$AF1556)))</f>
        <v/>
      </c>
      <c r="F1556" s="56">
        <f>IF($B1556=0,"",IF(Inputs!$B$9="","",IF($AG1556=0,F1555,SUMIFS(Data!$N$10:$N$3209,Data!$M$10:$M$3209,"&gt;="&amp;$A1556,Data!$M$10:$M$3209,"&lt;"&amp;$A1556+1)/$AG1556)))</f>
        <v/>
      </c>
      <c r="G1556" s="56">
        <f>IF($B1556=0,"",IF(Inputs!$B$10="","",IF($AH1556=0,G1555,SUMIFS(Data!$R$10:$R$3209,Data!$Q$10:$Q$3209,"&gt;="&amp;$A1556,Data!$Q$10:$Q$3209,"&lt;"&amp;$A1556+1)/$AH1556)))</f>
        <v/>
      </c>
      <c r="I1556" s="54">
        <f>IF($B1556=0,NA(),IF($C1556="",NA(),IF(C$8="",NA(),IF(N(C$8)=0,NA(),IF(Inputs!$C$17="Rebased to 100",$C1556/C$8*100,$C1556)))))</f>
        <v/>
      </c>
      <c r="J1556" s="54">
        <f>IF($B1556=0,NA(),IF($D1556="",NA(),IF(D$8="",NA(),IF(N(D$8)=0,NA(),IF(Inputs!$C$17="Rebased to 100",$D1556/D$8*100,$D1556)))))</f>
        <v/>
      </c>
      <c r="K1556" s="54">
        <f>IF($B1556=0,NA(),IF($E1556="",NA(),IF(E$8="",NA(),IF(N(E$8)=0,NA(),IF(Inputs!$C$17="Rebased to 100",$E1556/E$8*100,$E1556)))))</f>
        <v/>
      </c>
      <c r="L1556" s="54">
        <f>IF($B1556=0,NA(),IF($F1556="",NA(),IF(F$8="",NA(),IF(N(F$8)=0,NA(),IF(Inputs!$C$17="Rebased to 100",$F1556/F$8*100,$F1556)))))</f>
        <v/>
      </c>
      <c r="M1556" s="54">
        <f>IF($B1556=0,NA(),IF($G1556="",NA(),IF(G$8="",NA(),IF(N(G$8)=0,NA(),IF(Inputs!$C$17="Rebased to 100",$G1556/G$8*100,$G1556)))))</f>
        <v/>
      </c>
      <c r="N1556" s="54">
        <f>IF($B1556=0,NA(),IF(Inputs!$C$18&lt;&gt;"Yes",NA(),IF(COUNT(I1556,J1556,K1556,L1556,M1556)=0,NA(),MIN(I1556,J1556,K1556,L1556,M1556))))</f>
        <v/>
      </c>
      <c r="O1556" s="54">
        <f>IF($B1556=0,NA(),IF(Inputs!$B$24&lt;&gt;"Yes",NA(),Inputs!$D$24*Inputs!$C$35))</f>
        <v/>
      </c>
      <c r="P1556" s="54">
        <f>IF($B1556=0,NA(),IF(Inputs!$B$25&lt;&gt;"Yes",NA(),Inputs!$D$25*Inputs!$C$35))</f>
        <v/>
      </c>
      <c r="Q1556" s="54">
        <f>IF($B1556=0,NA(),IF(Inputs!$B$26&lt;&gt;"Yes",NA(),Inputs!$D$26*Inputs!$C$35))</f>
        <v/>
      </c>
      <c r="R1556" s="54">
        <f>IF($B1556=0,NA(),IF(Inputs!$B$27&lt;&gt;"Yes",NA(),Inputs!$D$27*Inputs!$C$35))</f>
        <v/>
      </c>
      <c r="S1556" s="54">
        <f>IF($B1556=0,NA(),IF(Inputs!$B$28&lt;&gt;"Yes",NA(),Inputs!$D$28*Inputs!$C$35))</f>
        <v/>
      </c>
      <c r="T1556" s="54">
        <f>IF($B1556=0,NA(),IF(Inputs!$B$29&lt;&gt;"Yes",NA(),Inputs!$D$29*Inputs!$C$35))</f>
        <v/>
      </c>
      <c r="AD1556">
        <f>IF($B1556=0,0,IF(Inputs!$B$6="",0,COUNTIFS(Data!$A$10:$A$3209,"&gt;="&amp;$A1556,Data!$A$10:$A$3209,"&lt;"&amp;$A1556+1)))</f>
        <v/>
      </c>
      <c r="AE1556">
        <f>IF($B1556=0,0,IF(Inputs!$B$7="",0,COUNTIFS(Data!$E$10:$E$3209,"&gt;="&amp;$A1556,Data!$E$10:$E$3209,"&lt;"&amp;$A1556+1)))</f>
        <v/>
      </c>
      <c r="AF1556">
        <f>IF($B1556=0,0,IF(Inputs!$B$8="",0,COUNTIFS(Data!$I$10:$I$3209,"&gt;="&amp;$A1556,Data!$I$10:$I$3209,"&lt;"&amp;$A1556+1)))</f>
        <v/>
      </c>
      <c r="AG1556">
        <f>IF($B1556=0,0,IF(Inputs!$B$9="",0,COUNTIFS(Data!$M$10:$M$3209,"&gt;="&amp;$A1556,Data!$M$10:$M$3209,"&lt;"&amp;$A1556+1)))</f>
        <v/>
      </c>
      <c r="AH1556">
        <f>IF($B1556=0,0,IF(Inputs!$B$10="",0,COUNTIFS(Data!$Q$10:$Q$3209,"&gt;="&amp;$A1556,Data!$Q$10:$Q$3209,"&lt;"&amp;$A1556+1)))</f>
        <v/>
      </c>
    </row>
    <row r="1557">
      <c r="A1557" s="55">
        <f>MIN(Inputs!$C$15,$A1556+IF(WEEKDAY($A1556,2)=5,3,1))</f>
        <v/>
      </c>
      <c r="B1557">
        <f>IF($A1557&gt;$A1556,1,0)</f>
        <v/>
      </c>
      <c r="C1557" s="56">
        <f>IF($B1557=0,"",IF(Inputs!$B$6="","",IF($AD1557=0,C1556,SUMIFS(Data!$B$10:$B$3209,Data!$A$10:$A$3209,"&gt;="&amp;$A1557,Data!$A$10:$A$3209,"&lt;"&amp;$A1557+1)/$AD1557)))</f>
        <v/>
      </c>
      <c r="D1557" s="56">
        <f>IF($B1557=0,"",IF(Inputs!$B$7="","",IF($AE1557=0,D1556,SUMIFS(Data!$F$10:$F$3209,Data!$E$10:$E$3209,"&gt;="&amp;$A1557,Data!$E$10:$E$3209,"&lt;"&amp;$A1557+1)/$AE1557)))</f>
        <v/>
      </c>
      <c r="E1557" s="56">
        <f>IF($B1557=0,"",IF(Inputs!$B$8="","",IF($AF1557=0,E1556,SUMIFS(Data!$J$10:$J$3209,Data!$I$10:$I$3209,"&gt;="&amp;$A1557,Data!$I$10:$I$3209,"&lt;"&amp;$A1557+1)/$AF1557)))</f>
        <v/>
      </c>
      <c r="F1557" s="56">
        <f>IF($B1557=0,"",IF(Inputs!$B$9="","",IF($AG1557=0,F1556,SUMIFS(Data!$N$10:$N$3209,Data!$M$10:$M$3209,"&gt;="&amp;$A1557,Data!$M$10:$M$3209,"&lt;"&amp;$A1557+1)/$AG1557)))</f>
        <v/>
      </c>
      <c r="G1557" s="56">
        <f>IF($B1557=0,"",IF(Inputs!$B$10="","",IF($AH1557=0,G1556,SUMIFS(Data!$R$10:$R$3209,Data!$Q$10:$Q$3209,"&gt;="&amp;$A1557,Data!$Q$10:$Q$3209,"&lt;"&amp;$A1557+1)/$AH1557)))</f>
        <v/>
      </c>
      <c r="I1557" s="54">
        <f>IF($B1557=0,NA(),IF($C1557="",NA(),IF(C$8="",NA(),IF(N(C$8)=0,NA(),IF(Inputs!$C$17="Rebased to 100",$C1557/C$8*100,$C1557)))))</f>
        <v/>
      </c>
      <c r="J1557" s="54">
        <f>IF($B1557=0,NA(),IF($D1557="",NA(),IF(D$8="",NA(),IF(N(D$8)=0,NA(),IF(Inputs!$C$17="Rebased to 100",$D1557/D$8*100,$D1557)))))</f>
        <v/>
      </c>
      <c r="K1557" s="54">
        <f>IF($B1557=0,NA(),IF($E1557="",NA(),IF(E$8="",NA(),IF(N(E$8)=0,NA(),IF(Inputs!$C$17="Rebased to 100",$E1557/E$8*100,$E1557)))))</f>
        <v/>
      </c>
      <c r="L1557" s="54">
        <f>IF($B1557=0,NA(),IF($F1557="",NA(),IF(F$8="",NA(),IF(N(F$8)=0,NA(),IF(Inputs!$C$17="Rebased to 100",$F1557/F$8*100,$F1557)))))</f>
        <v/>
      </c>
      <c r="M1557" s="54">
        <f>IF($B1557=0,NA(),IF($G1557="",NA(),IF(G$8="",NA(),IF(N(G$8)=0,NA(),IF(Inputs!$C$17="Rebased to 100",$G1557/G$8*100,$G1557)))))</f>
        <v/>
      </c>
      <c r="N1557" s="54">
        <f>IF($B1557=0,NA(),IF(Inputs!$C$18&lt;&gt;"Yes",NA(),IF(COUNT(I1557,J1557,K1557,L1557,M1557)=0,NA(),MIN(I1557,J1557,K1557,L1557,M1557))))</f>
        <v/>
      </c>
      <c r="O1557" s="54">
        <f>IF($B1557=0,NA(),IF(Inputs!$B$24&lt;&gt;"Yes",NA(),Inputs!$D$24*Inputs!$C$35))</f>
        <v/>
      </c>
      <c r="P1557" s="54">
        <f>IF($B1557=0,NA(),IF(Inputs!$B$25&lt;&gt;"Yes",NA(),Inputs!$D$25*Inputs!$C$35))</f>
        <v/>
      </c>
      <c r="Q1557" s="54">
        <f>IF($B1557=0,NA(),IF(Inputs!$B$26&lt;&gt;"Yes",NA(),Inputs!$D$26*Inputs!$C$35))</f>
        <v/>
      </c>
      <c r="R1557" s="54">
        <f>IF($B1557=0,NA(),IF(Inputs!$B$27&lt;&gt;"Yes",NA(),Inputs!$D$27*Inputs!$C$35))</f>
        <v/>
      </c>
      <c r="S1557" s="54">
        <f>IF($B1557=0,NA(),IF(Inputs!$B$28&lt;&gt;"Yes",NA(),Inputs!$D$28*Inputs!$C$35))</f>
        <v/>
      </c>
      <c r="T1557" s="54">
        <f>IF($B1557=0,NA(),IF(Inputs!$B$29&lt;&gt;"Yes",NA(),Inputs!$D$29*Inputs!$C$35))</f>
        <v/>
      </c>
      <c r="AD1557">
        <f>IF($B1557=0,0,IF(Inputs!$B$6="",0,COUNTIFS(Data!$A$10:$A$3209,"&gt;="&amp;$A1557,Data!$A$10:$A$3209,"&lt;"&amp;$A1557+1)))</f>
        <v/>
      </c>
      <c r="AE1557">
        <f>IF($B1557=0,0,IF(Inputs!$B$7="",0,COUNTIFS(Data!$E$10:$E$3209,"&gt;="&amp;$A1557,Data!$E$10:$E$3209,"&lt;"&amp;$A1557+1)))</f>
        <v/>
      </c>
      <c r="AF1557">
        <f>IF($B1557=0,0,IF(Inputs!$B$8="",0,COUNTIFS(Data!$I$10:$I$3209,"&gt;="&amp;$A1557,Data!$I$10:$I$3209,"&lt;"&amp;$A1557+1)))</f>
        <v/>
      </c>
      <c r="AG1557">
        <f>IF($B1557=0,0,IF(Inputs!$B$9="",0,COUNTIFS(Data!$M$10:$M$3209,"&gt;="&amp;$A1557,Data!$M$10:$M$3209,"&lt;"&amp;$A1557+1)))</f>
        <v/>
      </c>
      <c r="AH1557">
        <f>IF($B1557=0,0,IF(Inputs!$B$10="",0,COUNTIFS(Data!$Q$10:$Q$3209,"&gt;="&amp;$A1557,Data!$Q$10:$Q$3209,"&lt;"&amp;$A1557+1)))</f>
        <v/>
      </c>
    </row>
    <row r="1558">
      <c r="A1558" s="55">
        <f>MIN(Inputs!$C$15,$A1557+IF(WEEKDAY($A1557,2)=5,3,1))</f>
        <v/>
      </c>
      <c r="B1558">
        <f>IF($A1558&gt;$A1557,1,0)</f>
        <v/>
      </c>
      <c r="C1558" s="56">
        <f>IF($B1558=0,"",IF(Inputs!$B$6="","",IF($AD1558=0,C1557,SUMIFS(Data!$B$10:$B$3209,Data!$A$10:$A$3209,"&gt;="&amp;$A1558,Data!$A$10:$A$3209,"&lt;"&amp;$A1558+1)/$AD1558)))</f>
        <v/>
      </c>
      <c r="D1558" s="56">
        <f>IF($B1558=0,"",IF(Inputs!$B$7="","",IF($AE1558=0,D1557,SUMIFS(Data!$F$10:$F$3209,Data!$E$10:$E$3209,"&gt;="&amp;$A1558,Data!$E$10:$E$3209,"&lt;"&amp;$A1558+1)/$AE1558)))</f>
        <v/>
      </c>
      <c r="E1558" s="56">
        <f>IF($B1558=0,"",IF(Inputs!$B$8="","",IF($AF1558=0,E1557,SUMIFS(Data!$J$10:$J$3209,Data!$I$10:$I$3209,"&gt;="&amp;$A1558,Data!$I$10:$I$3209,"&lt;"&amp;$A1558+1)/$AF1558)))</f>
        <v/>
      </c>
      <c r="F1558" s="56">
        <f>IF($B1558=0,"",IF(Inputs!$B$9="","",IF($AG1558=0,F1557,SUMIFS(Data!$N$10:$N$3209,Data!$M$10:$M$3209,"&gt;="&amp;$A1558,Data!$M$10:$M$3209,"&lt;"&amp;$A1558+1)/$AG1558)))</f>
        <v/>
      </c>
      <c r="G1558" s="56">
        <f>IF($B1558=0,"",IF(Inputs!$B$10="","",IF($AH1558=0,G1557,SUMIFS(Data!$R$10:$R$3209,Data!$Q$10:$Q$3209,"&gt;="&amp;$A1558,Data!$Q$10:$Q$3209,"&lt;"&amp;$A1558+1)/$AH1558)))</f>
        <v/>
      </c>
      <c r="I1558" s="54">
        <f>IF($B1558=0,NA(),IF($C1558="",NA(),IF(C$8="",NA(),IF(N(C$8)=0,NA(),IF(Inputs!$C$17="Rebased to 100",$C1558/C$8*100,$C1558)))))</f>
        <v/>
      </c>
      <c r="J1558" s="54">
        <f>IF($B1558=0,NA(),IF($D1558="",NA(),IF(D$8="",NA(),IF(N(D$8)=0,NA(),IF(Inputs!$C$17="Rebased to 100",$D1558/D$8*100,$D1558)))))</f>
        <v/>
      </c>
      <c r="K1558" s="54">
        <f>IF($B1558=0,NA(),IF($E1558="",NA(),IF(E$8="",NA(),IF(N(E$8)=0,NA(),IF(Inputs!$C$17="Rebased to 100",$E1558/E$8*100,$E1558)))))</f>
        <v/>
      </c>
      <c r="L1558" s="54">
        <f>IF($B1558=0,NA(),IF($F1558="",NA(),IF(F$8="",NA(),IF(N(F$8)=0,NA(),IF(Inputs!$C$17="Rebased to 100",$F1558/F$8*100,$F1558)))))</f>
        <v/>
      </c>
      <c r="M1558" s="54">
        <f>IF($B1558=0,NA(),IF($G1558="",NA(),IF(G$8="",NA(),IF(N(G$8)=0,NA(),IF(Inputs!$C$17="Rebased to 100",$G1558/G$8*100,$G1558)))))</f>
        <v/>
      </c>
      <c r="N1558" s="54">
        <f>IF($B1558=0,NA(),IF(Inputs!$C$18&lt;&gt;"Yes",NA(),IF(COUNT(I1558,J1558,K1558,L1558,M1558)=0,NA(),MIN(I1558,J1558,K1558,L1558,M1558))))</f>
        <v/>
      </c>
      <c r="O1558" s="54">
        <f>IF($B1558=0,NA(),IF(Inputs!$B$24&lt;&gt;"Yes",NA(),Inputs!$D$24*Inputs!$C$35))</f>
        <v/>
      </c>
      <c r="P1558" s="54">
        <f>IF($B1558=0,NA(),IF(Inputs!$B$25&lt;&gt;"Yes",NA(),Inputs!$D$25*Inputs!$C$35))</f>
        <v/>
      </c>
      <c r="Q1558" s="54">
        <f>IF($B1558=0,NA(),IF(Inputs!$B$26&lt;&gt;"Yes",NA(),Inputs!$D$26*Inputs!$C$35))</f>
        <v/>
      </c>
      <c r="R1558" s="54">
        <f>IF($B1558=0,NA(),IF(Inputs!$B$27&lt;&gt;"Yes",NA(),Inputs!$D$27*Inputs!$C$35))</f>
        <v/>
      </c>
      <c r="S1558" s="54">
        <f>IF($B1558=0,NA(),IF(Inputs!$B$28&lt;&gt;"Yes",NA(),Inputs!$D$28*Inputs!$C$35))</f>
        <v/>
      </c>
      <c r="T1558" s="54">
        <f>IF($B1558=0,NA(),IF(Inputs!$B$29&lt;&gt;"Yes",NA(),Inputs!$D$29*Inputs!$C$35))</f>
        <v/>
      </c>
      <c r="AD1558">
        <f>IF($B1558=0,0,IF(Inputs!$B$6="",0,COUNTIFS(Data!$A$10:$A$3209,"&gt;="&amp;$A1558,Data!$A$10:$A$3209,"&lt;"&amp;$A1558+1)))</f>
        <v/>
      </c>
      <c r="AE1558">
        <f>IF($B1558=0,0,IF(Inputs!$B$7="",0,COUNTIFS(Data!$E$10:$E$3209,"&gt;="&amp;$A1558,Data!$E$10:$E$3209,"&lt;"&amp;$A1558+1)))</f>
        <v/>
      </c>
      <c r="AF1558">
        <f>IF($B1558=0,0,IF(Inputs!$B$8="",0,COUNTIFS(Data!$I$10:$I$3209,"&gt;="&amp;$A1558,Data!$I$10:$I$3209,"&lt;"&amp;$A1558+1)))</f>
        <v/>
      </c>
      <c r="AG1558">
        <f>IF($B1558=0,0,IF(Inputs!$B$9="",0,COUNTIFS(Data!$M$10:$M$3209,"&gt;="&amp;$A1558,Data!$M$10:$M$3209,"&lt;"&amp;$A1558+1)))</f>
        <v/>
      </c>
      <c r="AH1558">
        <f>IF($B1558=0,0,IF(Inputs!$B$10="",0,COUNTIFS(Data!$Q$10:$Q$3209,"&gt;="&amp;$A1558,Data!$Q$10:$Q$3209,"&lt;"&amp;$A1558+1)))</f>
        <v/>
      </c>
    </row>
    <row r="1559">
      <c r="A1559" s="55">
        <f>MIN(Inputs!$C$15,$A1558+IF(WEEKDAY($A1558,2)=5,3,1))</f>
        <v/>
      </c>
      <c r="B1559">
        <f>IF($A1559&gt;$A1558,1,0)</f>
        <v/>
      </c>
      <c r="C1559" s="56">
        <f>IF($B1559=0,"",IF(Inputs!$B$6="","",IF($AD1559=0,C1558,SUMIFS(Data!$B$10:$B$3209,Data!$A$10:$A$3209,"&gt;="&amp;$A1559,Data!$A$10:$A$3209,"&lt;"&amp;$A1559+1)/$AD1559)))</f>
        <v/>
      </c>
      <c r="D1559" s="56">
        <f>IF($B1559=0,"",IF(Inputs!$B$7="","",IF($AE1559=0,D1558,SUMIFS(Data!$F$10:$F$3209,Data!$E$10:$E$3209,"&gt;="&amp;$A1559,Data!$E$10:$E$3209,"&lt;"&amp;$A1559+1)/$AE1559)))</f>
        <v/>
      </c>
      <c r="E1559" s="56">
        <f>IF($B1559=0,"",IF(Inputs!$B$8="","",IF($AF1559=0,E1558,SUMIFS(Data!$J$10:$J$3209,Data!$I$10:$I$3209,"&gt;="&amp;$A1559,Data!$I$10:$I$3209,"&lt;"&amp;$A1559+1)/$AF1559)))</f>
        <v/>
      </c>
      <c r="F1559" s="56">
        <f>IF($B1559=0,"",IF(Inputs!$B$9="","",IF($AG1559=0,F1558,SUMIFS(Data!$N$10:$N$3209,Data!$M$10:$M$3209,"&gt;="&amp;$A1559,Data!$M$10:$M$3209,"&lt;"&amp;$A1559+1)/$AG1559)))</f>
        <v/>
      </c>
      <c r="G1559" s="56">
        <f>IF($B1559=0,"",IF(Inputs!$B$10="","",IF($AH1559=0,G1558,SUMIFS(Data!$R$10:$R$3209,Data!$Q$10:$Q$3209,"&gt;="&amp;$A1559,Data!$Q$10:$Q$3209,"&lt;"&amp;$A1559+1)/$AH1559)))</f>
        <v/>
      </c>
      <c r="I1559" s="54">
        <f>IF($B1559=0,NA(),IF($C1559="",NA(),IF(C$8="",NA(),IF(N(C$8)=0,NA(),IF(Inputs!$C$17="Rebased to 100",$C1559/C$8*100,$C1559)))))</f>
        <v/>
      </c>
      <c r="J1559" s="54">
        <f>IF($B1559=0,NA(),IF($D1559="",NA(),IF(D$8="",NA(),IF(N(D$8)=0,NA(),IF(Inputs!$C$17="Rebased to 100",$D1559/D$8*100,$D1559)))))</f>
        <v/>
      </c>
      <c r="K1559" s="54">
        <f>IF($B1559=0,NA(),IF($E1559="",NA(),IF(E$8="",NA(),IF(N(E$8)=0,NA(),IF(Inputs!$C$17="Rebased to 100",$E1559/E$8*100,$E1559)))))</f>
        <v/>
      </c>
      <c r="L1559" s="54">
        <f>IF($B1559=0,NA(),IF($F1559="",NA(),IF(F$8="",NA(),IF(N(F$8)=0,NA(),IF(Inputs!$C$17="Rebased to 100",$F1559/F$8*100,$F1559)))))</f>
        <v/>
      </c>
      <c r="M1559" s="54">
        <f>IF($B1559=0,NA(),IF($G1559="",NA(),IF(G$8="",NA(),IF(N(G$8)=0,NA(),IF(Inputs!$C$17="Rebased to 100",$G1559/G$8*100,$G1559)))))</f>
        <v/>
      </c>
      <c r="N1559" s="54">
        <f>IF($B1559=0,NA(),IF(Inputs!$C$18&lt;&gt;"Yes",NA(),IF(COUNT(I1559,J1559,K1559,L1559,M1559)=0,NA(),MIN(I1559,J1559,K1559,L1559,M1559))))</f>
        <v/>
      </c>
      <c r="O1559" s="54">
        <f>IF($B1559=0,NA(),IF(Inputs!$B$24&lt;&gt;"Yes",NA(),Inputs!$D$24*Inputs!$C$35))</f>
        <v/>
      </c>
      <c r="P1559" s="54">
        <f>IF($B1559=0,NA(),IF(Inputs!$B$25&lt;&gt;"Yes",NA(),Inputs!$D$25*Inputs!$C$35))</f>
        <v/>
      </c>
      <c r="Q1559" s="54">
        <f>IF($B1559=0,NA(),IF(Inputs!$B$26&lt;&gt;"Yes",NA(),Inputs!$D$26*Inputs!$C$35))</f>
        <v/>
      </c>
      <c r="R1559" s="54">
        <f>IF($B1559=0,NA(),IF(Inputs!$B$27&lt;&gt;"Yes",NA(),Inputs!$D$27*Inputs!$C$35))</f>
        <v/>
      </c>
      <c r="S1559" s="54">
        <f>IF($B1559=0,NA(),IF(Inputs!$B$28&lt;&gt;"Yes",NA(),Inputs!$D$28*Inputs!$C$35))</f>
        <v/>
      </c>
      <c r="T1559" s="54">
        <f>IF($B1559=0,NA(),IF(Inputs!$B$29&lt;&gt;"Yes",NA(),Inputs!$D$29*Inputs!$C$35))</f>
        <v/>
      </c>
      <c r="AD1559">
        <f>IF($B1559=0,0,IF(Inputs!$B$6="",0,COUNTIFS(Data!$A$10:$A$3209,"&gt;="&amp;$A1559,Data!$A$10:$A$3209,"&lt;"&amp;$A1559+1)))</f>
        <v/>
      </c>
      <c r="AE1559">
        <f>IF($B1559=0,0,IF(Inputs!$B$7="",0,COUNTIFS(Data!$E$10:$E$3209,"&gt;="&amp;$A1559,Data!$E$10:$E$3209,"&lt;"&amp;$A1559+1)))</f>
        <v/>
      </c>
      <c r="AF1559">
        <f>IF($B1559=0,0,IF(Inputs!$B$8="",0,COUNTIFS(Data!$I$10:$I$3209,"&gt;="&amp;$A1559,Data!$I$10:$I$3209,"&lt;"&amp;$A1559+1)))</f>
        <v/>
      </c>
      <c r="AG1559">
        <f>IF($B1559=0,0,IF(Inputs!$B$9="",0,COUNTIFS(Data!$M$10:$M$3209,"&gt;="&amp;$A1559,Data!$M$10:$M$3209,"&lt;"&amp;$A1559+1)))</f>
        <v/>
      </c>
      <c r="AH1559">
        <f>IF($B1559=0,0,IF(Inputs!$B$10="",0,COUNTIFS(Data!$Q$10:$Q$3209,"&gt;="&amp;$A1559,Data!$Q$10:$Q$3209,"&lt;"&amp;$A1559+1)))</f>
        <v/>
      </c>
    </row>
    <row r="1560">
      <c r="A1560" s="55">
        <f>MIN(Inputs!$C$15,$A1559+IF(WEEKDAY($A1559,2)=5,3,1))</f>
        <v/>
      </c>
      <c r="B1560">
        <f>IF($A1560&gt;$A1559,1,0)</f>
        <v/>
      </c>
      <c r="C1560" s="56">
        <f>IF($B1560=0,"",IF(Inputs!$B$6="","",IF($AD1560=0,C1559,SUMIFS(Data!$B$10:$B$3209,Data!$A$10:$A$3209,"&gt;="&amp;$A1560,Data!$A$10:$A$3209,"&lt;"&amp;$A1560+1)/$AD1560)))</f>
        <v/>
      </c>
      <c r="D1560" s="56">
        <f>IF($B1560=0,"",IF(Inputs!$B$7="","",IF($AE1560=0,D1559,SUMIFS(Data!$F$10:$F$3209,Data!$E$10:$E$3209,"&gt;="&amp;$A1560,Data!$E$10:$E$3209,"&lt;"&amp;$A1560+1)/$AE1560)))</f>
        <v/>
      </c>
      <c r="E1560" s="56">
        <f>IF($B1560=0,"",IF(Inputs!$B$8="","",IF($AF1560=0,E1559,SUMIFS(Data!$J$10:$J$3209,Data!$I$10:$I$3209,"&gt;="&amp;$A1560,Data!$I$10:$I$3209,"&lt;"&amp;$A1560+1)/$AF1560)))</f>
        <v/>
      </c>
      <c r="F1560" s="56">
        <f>IF($B1560=0,"",IF(Inputs!$B$9="","",IF($AG1560=0,F1559,SUMIFS(Data!$N$10:$N$3209,Data!$M$10:$M$3209,"&gt;="&amp;$A1560,Data!$M$10:$M$3209,"&lt;"&amp;$A1560+1)/$AG1560)))</f>
        <v/>
      </c>
      <c r="G1560" s="56">
        <f>IF($B1560=0,"",IF(Inputs!$B$10="","",IF($AH1560=0,G1559,SUMIFS(Data!$R$10:$R$3209,Data!$Q$10:$Q$3209,"&gt;="&amp;$A1560,Data!$Q$10:$Q$3209,"&lt;"&amp;$A1560+1)/$AH1560)))</f>
        <v/>
      </c>
      <c r="I1560" s="54">
        <f>IF($B1560=0,NA(),IF($C1560="",NA(),IF(C$8="",NA(),IF(N(C$8)=0,NA(),IF(Inputs!$C$17="Rebased to 100",$C1560/C$8*100,$C1560)))))</f>
        <v/>
      </c>
      <c r="J1560" s="54">
        <f>IF($B1560=0,NA(),IF($D1560="",NA(),IF(D$8="",NA(),IF(N(D$8)=0,NA(),IF(Inputs!$C$17="Rebased to 100",$D1560/D$8*100,$D1560)))))</f>
        <v/>
      </c>
      <c r="K1560" s="54">
        <f>IF($B1560=0,NA(),IF($E1560="",NA(),IF(E$8="",NA(),IF(N(E$8)=0,NA(),IF(Inputs!$C$17="Rebased to 100",$E1560/E$8*100,$E1560)))))</f>
        <v/>
      </c>
      <c r="L1560" s="54">
        <f>IF($B1560=0,NA(),IF($F1560="",NA(),IF(F$8="",NA(),IF(N(F$8)=0,NA(),IF(Inputs!$C$17="Rebased to 100",$F1560/F$8*100,$F1560)))))</f>
        <v/>
      </c>
      <c r="M1560" s="54">
        <f>IF($B1560=0,NA(),IF($G1560="",NA(),IF(G$8="",NA(),IF(N(G$8)=0,NA(),IF(Inputs!$C$17="Rebased to 100",$G1560/G$8*100,$G1560)))))</f>
        <v/>
      </c>
      <c r="N1560" s="54">
        <f>IF($B1560=0,NA(),IF(Inputs!$C$18&lt;&gt;"Yes",NA(),IF(COUNT(I1560,J1560,K1560,L1560,M1560)=0,NA(),MIN(I1560,J1560,K1560,L1560,M1560))))</f>
        <v/>
      </c>
      <c r="O1560" s="54">
        <f>IF($B1560=0,NA(),IF(Inputs!$B$24&lt;&gt;"Yes",NA(),Inputs!$D$24*Inputs!$C$35))</f>
        <v/>
      </c>
      <c r="P1560" s="54">
        <f>IF($B1560=0,NA(),IF(Inputs!$B$25&lt;&gt;"Yes",NA(),Inputs!$D$25*Inputs!$C$35))</f>
        <v/>
      </c>
      <c r="Q1560" s="54">
        <f>IF($B1560=0,NA(),IF(Inputs!$B$26&lt;&gt;"Yes",NA(),Inputs!$D$26*Inputs!$C$35))</f>
        <v/>
      </c>
      <c r="R1560" s="54">
        <f>IF($B1560=0,NA(),IF(Inputs!$B$27&lt;&gt;"Yes",NA(),Inputs!$D$27*Inputs!$C$35))</f>
        <v/>
      </c>
      <c r="S1560" s="54">
        <f>IF($B1560=0,NA(),IF(Inputs!$B$28&lt;&gt;"Yes",NA(),Inputs!$D$28*Inputs!$C$35))</f>
        <v/>
      </c>
      <c r="T1560" s="54">
        <f>IF($B1560=0,NA(),IF(Inputs!$B$29&lt;&gt;"Yes",NA(),Inputs!$D$29*Inputs!$C$35))</f>
        <v/>
      </c>
      <c r="AD1560">
        <f>IF($B1560=0,0,IF(Inputs!$B$6="",0,COUNTIFS(Data!$A$10:$A$3209,"&gt;="&amp;$A1560,Data!$A$10:$A$3209,"&lt;"&amp;$A1560+1)))</f>
        <v/>
      </c>
      <c r="AE1560">
        <f>IF($B1560=0,0,IF(Inputs!$B$7="",0,COUNTIFS(Data!$E$10:$E$3209,"&gt;="&amp;$A1560,Data!$E$10:$E$3209,"&lt;"&amp;$A1560+1)))</f>
        <v/>
      </c>
      <c r="AF1560">
        <f>IF($B1560=0,0,IF(Inputs!$B$8="",0,COUNTIFS(Data!$I$10:$I$3209,"&gt;="&amp;$A1560,Data!$I$10:$I$3209,"&lt;"&amp;$A1560+1)))</f>
        <v/>
      </c>
      <c r="AG1560">
        <f>IF($B1560=0,0,IF(Inputs!$B$9="",0,COUNTIFS(Data!$M$10:$M$3209,"&gt;="&amp;$A1560,Data!$M$10:$M$3209,"&lt;"&amp;$A1560+1)))</f>
        <v/>
      </c>
      <c r="AH1560">
        <f>IF($B1560=0,0,IF(Inputs!$B$10="",0,COUNTIFS(Data!$Q$10:$Q$3209,"&gt;="&amp;$A1560,Data!$Q$10:$Q$3209,"&lt;"&amp;$A1560+1)))</f>
        <v/>
      </c>
    </row>
    <row r="1561">
      <c r="A1561" s="55">
        <f>MIN(Inputs!$C$15,$A1560+IF(WEEKDAY($A1560,2)=5,3,1))</f>
        <v/>
      </c>
      <c r="B1561">
        <f>IF($A1561&gt;$A1560,1,0)</f>
        <v/>
      </c>
      <c r="C1561" s="56">
        <f>IF($B1561=0,"",IF(Inputs!$B$6="","",IF($AD1561=0,C1560,SUMIFS(Data!$B$10:$B$3209,Data!$A$10:$A$3209,"&gt;="&amp;$A1561,Data!$A$10:$A$3209,"&lt;"&amp;$A1561+1)/$AD1561)))</f>
        <v/>
      </c>
      <c r="D1561" s="56">
        <f>IF($B1561=0,"",IF(Inputs!$B$7="","",IF($AE1561=0,D1560,SUMIFS(Data!$F$10:$F$3209,Data!$E$10:$E$3209,"&gt;="&amp;$A1561,Data!$E$10:$E$3209,"&lt;"&amp;$A1561+1)/$AE1561)))</f>
        <v/>
      </c>
      <c r="E1561" s="56">
        <f>IF($B1561=0,"",IF(Inputs!$B$8="","",IF($AF1561=0,E1560,SUMIFS(Data!$J$10:$J$3209,Data!$I$10:$I$3209,"&gt;="&amp;$A1561,Data!$I$10:$I$3209,"&lt;"&amp;$A1561+1)/$AF1561)))</f>
        <v/>
      </c>
      <c r="F1561" s="56">
        <f>IF($B1561=0,"",IF(Inputs!$B$9="","",IF($AG1561=0,F1560,SUMIFS(Data!$N$10:$N$3209,Data!$M$10:$M$3209,"&gt;="&amp;$A1561,Data!$M$10:$M$3209,"&lt;"&amp;$A1561+1)/$AG1561)))</f>
        <v/>
      </c>
      <c r="G1561" s="56">
        <f>IF($B1561=0,"",IF(Inputs!$B$10="","",IF($AH1561=0,G1560,SUMIFS(Data!$R$10:$R$3209,Data!$Q$10:$Q$3209,"&gt;="&amp;$A1561,Data!$Q$10:$Q$3209,"&lt;"&amp;$A1561+1)/$AH1561)))</f>
        <v/>
      </c>
      <c r="I1561" s="54">
        <f>IF($B1561=0,NA(),IF($C1561="",NA(),IF(C$8="",NA(),IF(N(C$8)=0,NA(),IF(Inputs!$C$17="Rebased to 100",$C1561/C$8*100,$C1561)))))</f>
        <v/>
      </c>
      <c r="J1561" s="54">
        <f>IF($B1561=0,NA(),IF($D1561="",NA(),IF(D$8="",NA(),IF(N(D$8)=0,NA(),IF(Inputs!$C$17="Rebased to 100",$D1561/D$8*100,$D1561)))))</f>
        <v/>
      </c>
      <c r="K1561" s="54">
        <f>IF($B1561=0,NA(),IF($E1561="",NA(),IF(E$8="",NA(),IF(N(E$8)=0,NA(),IF(Inputs!$C$17="Rebased to 100",$E1561/E$8*100,$E1561)))))</f>
        <v/>
      </c>
      <c r="L1561" s="54">
        <f>IF($B1561=0,NA(),IF($F1561="",NA(),IF(F$8="",NA(),IF(N(F$8)=0,NA(),IF(Inputs!$C$17="Rebased to 100",$F1561/F$8*100,$F1561)))))</f>
        <v/>
      </c>
      <c r="M1561" s="54">
        <f>IF($B1561=0,NA(),IF($G1561="",NA(),IF(G$8="",NA(),IF(N(G$8)=0,NA(),IF(Inputs!$C$17="Rebased to 100",$G1561/G$8*100,$G1561)))))</f>
        <v/>
      </c>
      <c r="N1561" s="54">
        <f>IF($B1561=0,NA(),IF(Inputs!$C$18&lt;&gt;"Yes",NA(),IF(COUNT(I1561,J1561,K1561,L1561,M1561)=0,NA(),MIN(I1561,J1561,K1561,L1561,M1561))))</f>
        <v/>
      </c>
      <c r="O1561" s="54">
        <f>IF($B1561=0,NA(),IF(Inputs!$B$24&lt;&gt;"Yes",NA(),Inputs!$D$24*Inputs!$C$35))</f>
        <v/>
      </c>
      <c r="P1561" s="54">
        <f>IF($B1561=0,NA(),IF(Inputs!$B$25&lt;&gt;"Yes",NA(),Inputs!$D$25*Inputs!$C$35))</f>
        <v/>
      </c>
      <c r="Q1561" s="54">
        <f>IF($B1561=0,NA(),IF(Inputs!$B$26&lt;&gt;"Yes",NA(),Inputs!$D$26*Inputs!$C$35))</f>
        <v/>
      </c>
      <c r="R1561" s="54">
        <f>IF($B1561=0,NA(),IF(Inputs!$B$27&lt;&gt;"Yes",NA(),Inputs!$D$27*Inputs!$C$35))</f>
        <v/>
      </c>
      <c r="S1561" s="54">
        <f>IF($B1561=0,NA(),IF(Inputs!$B$28&lt;&gt;"Yes",NA(),Inputs!$D$28*Inputs!$C$35))</f>
        <v/>
      </c>
      <c r="T1561" s="54">
        <f>IF($B1561=0,NA(),IF(Inputs!$B$29&lt;&gt;"Yes",NA(),Inputs!$D$29*Inputs!$C$35))</f>
        <v/>
      </c>
      <c r="AD1561">
        <f>IF($B1561=0,0,IF(Inputs!$B$6="",0,COUNTIFS(Data!$A$10:$A$3209,"&gt;="&amp;$A1561,Data!$A$10:$A$3209,"&lt;"&amp;$A1561+1)))</f>
        <v/>
      </c>
      <c r="AE1561">
        <f>IF($B1561=0,0,IF(Inputs!$B$7="",0,COUNTIFS(Data!$E$10:$E$3209,"&gt;="&amp;$A1561,Data!$E$10:$E$3209,"&lt;"&amp;$A1561+1)))</f>
        <v/>
      </c>
      <c r="AF1561">
        <f>IF($B1561=0,0,IF(Inputs!$B$8="",0,COUNTIFS(Data!$I$10:$I$3209,"&gt;="&amp;$A1561,Data!$I$10:$I$3209,"&lt;"&amp;$A1561+1)))</f>
        <v/>
      </c>
      <c r="AG1561">
        <f>IF($B1561=0,0,IF(Inputs!$B$9="",0,COUNTIFS(Data!$M$10:$M$3209,"&gt;="&amp;$A1561,Data!$M$10:$M$3209,"&lt;"&amp;$A1561+1)))</f>
        <v/>
      </c>
      <c r="AH1561">
        <f>IF($B1561=0,0,IF(Inputs!$B$10="",0,COUNTIFS(Data!$Q$10:$Q$3209,"&gt;="&amp;$A1561,Data!$Q$10:$Q$3209,"&lt;"&amp;$A1561+1)))</f>
        <v/>
      </c>
    </row>
    <row r="1562">
      <c r="A1562" s="55">
        <f>MIN(Inputs!$C$15,$A1561+IF(WEEKDAY($A1561,2)=5,3,1))</f>
        <v/>
      </c>
      <c r="B1562">
        <f>IF($A1562&gt;$A1561,1,0)</f>
        <v/>
      </c>
      <c r="C1562" s="56">
        <f>IF($B1562=0,"",IF(Inputs!$B$6="","",IF($AD1562=0,C1561,SUMIFS(Data!$B$10:$B$3209,Data!$A$10:$A$3209,"&gt;="&amp;$A1562,Data!$A$10:$A$3209,"&lt;"&amp;$A1562+1)/$AD1562)))</f>
        <v/>
      </c>
      <c r="D1562" s="56">
        <f>IF($B1562=0,"",IF(Inputs!$B$7="","",IF($AE1562=0,D1561,SUMIFS(Data!$F$10:$F$3209,Data!$E$10:$E$3209,"&gt;="&amp;$A1562,Data!$E$10:$E$3209,"&lt;"&amp;$A1562+1)/$AE1562)))</f>
        <v/>
      </c>
      <c r="E1562" s="56">
        <f>IF($B1562=0,"",IF(Inputs!$B$8="","",IF($AF1562=0,E1561,SUMIFS(Data!$J$10:$J$3209,Data!$I$10:$I$3209,"&gt;="&amp;$A1562,Data!$I$10:$I$3209,"&lt;"&amp;$A1562+1)/$AF1562)))</f>
        <v/>
      </c>
      <c r="F1562" s="56">
        <f>IF($B1562=0,"",IF(Inputs!$B$9="","",IF($AG1562=0,F1561,SUMIFS(Data!$N$10:$N$3209,Data!$M$10:$M$3209,"&gt;="&amp;$A1562,Data!$M$10:$M$3209,"&lt;"&amp;$A1562+1)/$AG1562)))</f>
        <v/>
      </c>
      <c r="G1562" s="56">
        <f>IF($B1562=0,"",IF(Inputs!$B$10="","",IF($AH1562=0,G1561,SUMIFS(Data!$R$10:$R$3209,Data!$Q$10:$Q$3209,"&gt;="&amp;$A1562,Data!$Q$10:$Q$3209,"&lt;"&amp;$A1562+1)/$AH1562)))</f>
        <v/>
      </c>
      <c r="I1562" s="54">
        <f>IF($B1562=0,NA(),IF($C1562="",NA(),IF(C$8="",NA(),IF(N(C$8)=0,NA(),IF(Inputs!$C$17="Rebased to 100",$C1562/C$8*100,$C1562)))))</f>
        <v/>
      </c>
      <c r="J1562" s="54">
        <f>IF($B1562=0,NA(),IF($D1562="",NA(),IF(D$8="",NA(),IF(N(D$8)=0,NA(),IF(Inputs!$C$17="Rebased to 100",$D1562/D$8*100,$D1562)))))</f>
        <v/>
      </c>
      <c r="K1562" s="54">
        <f>IF($B1562=0,NA(),IF($E1562="",NA(),IF(E$8="",NA(),IF(N(E$8)=0,NA(),IF(Inputs!$C$17="Rebased to 100",$E1562/E$8*100,$E1562)))))</f>
        <v/>
      </c>
      <c r="L1562" s="54">
        <f>IF($B1562=0,NA(),IF($F1562="",NA(),IF(F$8="",NA(),IF(N(F$8)=0,NA(),IF(Inputs!$C$17="Rebased to 100",$F1562/F$8*100,$F1562)))))</f>
        <v/>
      </c>
      <c r="M1562" s="54">
        <f>IF($B1562=0,NA(),IF($G1562="",NA(),IF(G$8="",NA(),IF(N(G$8)=0,NA(),IF(Inputs!$C$17="Rebased to 100",$G1562/G$8*100,$G1562)))))</f>
        <v/>
      </c>
      <c r="N1562" s="54">
        <f>IF($B1562=0,NA(),IF(Inputs!$C$18&lt;&gt;"Yes",NA(),IF(COUNT(I1562,J1562,K1562,L1562,M1562)=0,NA(),MIN(I1562,J1562,K1562,L1562,M1562))))</f>
        <v/>
      </c>
      <c r="O1562" s="54">
        <f>IF($B1562=0,NA(),IF(Inputs!$B$24&lt;&gt;"Yes",NA(),Inputs!$D$24*Inputs!$C$35))</f>
        <v/>
      </c>
      <c r="P1562" s="54">
        <f>IF($B1562=0,NA(),IF(Inputs!$B$25&lt;&gt;"Yes",NA(),Inputs!$D$25*Inputs!$C$35))</f>
        <v/>
      </c>
      <c r="Q1562" s="54">
        <f>IF($B1562=0,NA(),IF(Inputs!$B$26&lt;&gt;"Yes",NA(),Inputs!$D$26*Inputs!$C$35))</f>
        <v/>
      </c>
      <c r="R1562" s="54">
        <f>IF($B1562=0,NA(),IF(Inputs!$B$27&lt;&gt;"Yes",NA(),Inputs!$D$27*Inputs!$C$35))</f>
        <v/>
      </c>
      <c r="S1562" s="54">
        <f>IF($B1562=0,NA(),IF(Inputs!$B$28&lt;&gt;"Yes",NA(),Inputs!$D$28*Inputs!$C$35))</f>
        <v/>
      </c>
      <c r="T1562" s="54">
        <f>IF($B1562=0,NA(),IF(Inputs!$B$29&lt;&gt;"Yes",NA(),Inputs!$D$29*Inputs!$C$35))</f>
        <v/>
      </c>
      <c r="AD1562">
        <f>IF($B1562=0,0,IF(Inputs!$B$6="",0,COUNTIFS(Data!$A$10:$A$3209,"&gt;="&amp;$A1562,Data!$A$10:$A$3209,"&lt;"&amp;$A1562+1)))</f>
        <v/>
      </c>
      <c r="AE1562">
        <f>IF($B1562=0,0,IF(Inputs!$B$7="",0,COUNTIFS(Data!$E$10:$E$3209,"&gt;="&amp;$A1562,Data!$E$10:$E$3209,"&lt;"&amp;$A1562+1)))</f>
        <v/>
      </c>
      <c r="AF1562">
        <f>IF($B1562=0,0,IF(Inputs!$B$8="",0,COUNTIFS(Data!$I$10:$I$3209,"&gt;="&amp;$A1562,Data!$I$10:$I$3209,"&lt;"&amp;$A1562+1)))</f>
        <v/>
      </c>
      <c r="AG1562">
        <f>IF($B1562=0,0,IF(Inputs!$B$9="",0,COUNTIFS(Data!$M$10:$M$3209,"&gt;="&amp;$A1562,Data!$M$10:$M$3209,"&lt;"&amp;$A1562+1)))</f>
        <v/>
      </c>
      <c r="AH1562">
        <f>IF($B1562=0,0,IF(Inputs!$B$10="",0,COUNTIFS(Data!$Q$10:$Q$3209,"&gt;="&amp;$A1562,Data!$Q$10:$Q$3209,"&lt;"&amp;$A1562+1)))</f>
        <v/>
      </c>
    </row>
    <row r="1563">
      <c r="A1563" s="55">
        <f>MIN(Inputs!$C$15,$A1562+IF(WEEKDAY($A1562,2)=5,3,1))</f>
        <v/>
      </c>
      <c r="B1563">
        <f>IF($A1563&gt;$A1562,1,0)</f>
        <v/>
      </c>
      <c r="C1563" s="56">
        <f>IF($B1563=0,"",IF(Inputs!$B$6="","",IF($AD1563=0,C1562,SUMIFS(Data!$B$10:$B$3209,Data!$A$10:$A$3209,"&gt;="&amp;$A1563,Data!$A$10:$A$3209,"&lt;"&amp;$A1563+1)/$AD1563)))</f>
        <v/>
      </c>
      <c r="D1563" s="56">
        <f>IF($B1563=0,"",IF(Inputs!$B$7="","",IF($AE1563=0,D1562,SUMIFS(Data!$F$10:$F$3209,Data!$E$10:$E$3209,"&gt;="&amp;$A1563,Data!$E$10:$E$3209,"&lt;"&amp;$A1563+1)/$AE1563)))</f>
        <v/>
      </c>
      <c r="E1563" s="56">
        <f>IF($B1563=0,"",IF(Inputs!$B$8="","",IF($AF1563=0,E1562,SUMIFS(Data!$J$10:$J$3209,Data!$I$10:$I$3209,"&gt;="&amp;$A1563,Data!$I$10:$I$3209,"&lt;"&amp;$A1563+1)/$AF1563)))</f>
        <v/>
      </c>
      <c r="F1563" s="56">
        <f>IF($B1563=0,"",IF(Inputs!$B$9="","",IF($AG1563=0,F1562,SUMIFS(Data!$N$10:$N$3209,Data!$M$10:$M$3209,"&gt;="&amp;$A1563,Data!$M$10:$M$3209,"&lt;"&amp;$A1563+1)/$AG1563)))</f>
        <v/>
      </c>
      <c r="G1563" s="56">
        <f>IF($B1563=0,"",IF(Inputs!$B$10="","",IF($AH1563=0,G1562,SUMIFS(Data!$R$10:$R$3209,Data!$Q$10:$Q$3209,"&gt;="&amp;$A1563,Data!$Q$10:$Q$3209,"&lt;"&amp;$A1563+1)/$AH1563)))</f>
        <v/>
      </c>
      <c r="I1563" s="54">
        <f>IF($B1563=0,NA(),IF($C1563="",NA(),IF(C$8="",NA(),IF(N(C$8)=0,NA(),IF(Inputs!$C$17="Rebased to 100",$C1563/C$8*100,$C1563)))))</f>
        <v/>
      </c>
      <c r="J1563" s="54">
        <f>IF($B1563=0,NA(),IF($D1563="",NA(),IF(D$8="",NA(),IF(N(D$8)=0,NA(),IF(Inputs!$C$17="Rebased to 100",$D1563/D$8*100,$D1563)))))</f>
        <v/>
      </c>
      <c r="K1563" s="54">
        <f>IF($B1563=0,NA(),IF($E1563="",NA(),IF(E$8="",NA(),IF(N(E$8)=0,NA(),IF(Inputs!$C$17="Rebased to 100",$E1563/E$8*100,$E1563)))))</f>
        <v/>
      </c>
      <c r="L1563" s="54">
        <f>IF($B1563=0,NA(),IF($F1563="",NA(),IF(F$8="",NA(),IF(N(F$8)=0,NA(),IF(Inputs!$C$17="Rebased to 100",$F1563/F$8*100,$F1563)))))</f>
        <v/>
      </c>
      <c r="M1563" s="54">
        <f>IF($B1563=0,NA(),IF($G1563="",NA(),IF(G$8="",NA(),IF(N(G$8)=0,NA(),IF(Inputs!$C$17="Rebased to 100",$G1563/G$8*100,$G1563)))))</f>
        <v/>
      </c>
      <c r="N1563" s="54">
        <f>IF($B1563=0,NA(),IF(Inputs!$C$18&lt;&gt;"Yes",NA(),IF(COUNT(I1563,J1563,K1563,L1563,M1563)=0,NA(),MIN(I1563,J1563,K1563,L1563,M1563))))</f>
        <v/>
      </c>
      <c r="O1563" s="54">
        <f>IF($B1563=0,NA(),IF(Inputs!$B$24&lt;&gt;"Yes",NA(),Inputs!$D$24*Inputs!$C$35))</f>
        <v/>
      </c>
      <c r="P1563" s="54">
        <f>IF($B1563=0,NA(),IF(Inputs!$B$25&lt;&gt;"Yes",NA(),Inputs!$D$25*Inputs!$C$35))</f>
        <v/>
      </c>
      <c r="Q1563" s="54">
        <f>IF($B1563=0,NA(),IF(Inputs!$B$26&lt;&gt;"Yes",NA(),Inputs!$D$26*Inputs!$C$35))</f>
        <v/>
      </c>
      <c r="R1563" s="54">
        <f>IF($B1563=0,NA(),IF(Inputs!$B$27&lt;&gt;"Yes",NA(),Inputs!$D$27*Inputs!$C$35))</f>
        <v/>
      </c>
      <c r="S1563" s="54">
        <f>IF($B1563=0,NA(),IF(Inputs!$B$28&lt;&gt;"Yes",NA(),Inputs!$D$28*Inputs!$C$35))</f>
        <v/>
      </c>
      <c r="T1563" s="54">
        <f>IF($B1563=0,NA(),IF(Inputs!$B$29&lt;&gt;"Yes",NA(),Inputs!$D$29*Inputs!$C$35))</f>
        <v/>
      </c>
      <c r="AD1563">
        <f>IF($B1563=0,0,IF(Inputs!$B$6="",0,COUNTIFS(Data!$A$10:$A$3209,"&gt;="&amp;$A1563,Data!$A$10:$A$3209,"&lt;"&amp;$A1563+1)))</f>
        <v/>
      </c>
      <c r="AE1563">
        <f>IF($B1563=0,0,IF(Inputs!$B$7="",0,COUNTIFS(Data!$E$10:$E$3209,"&gt;="&amp;$A1563,Data!$E$10:$E$3209,"&lt;"&amp;$A1563+1)))</f>
        <v/>
      </c>
      <c r="AF1563">
        <f>IF($B1563=0,0,IF(Inputs!$B$8="",0,COUNTIFS(Data!$I$10:$I$3209,"&gt;="&amp;$A1563,Data!$I$10:$I$3209,"&lt;"&amp;$A1563+1)))</f>
        <v/>
      </c>
      <c r="AG1563">
        <f>IF($B1563=0,0,IF(Inputs!$B$9="",0,COUNTIFS(Data!$M$10:$M$3209,"&gt;="&amp;$A1563,Data!$M$10:$M$3209,"&lt;"&amp;$A1563+1)))</f>
        <v/>
      </c>
      <c r="AH1563">
        <f>IF($B1563=0,0,IF(Inputs!$B$10="",0,COUNTIFS(Data!$Q$10:$Q$3209,"&gt;="&amp;$A1563,Data!$Q$10:$Q$3209,"&lt;"&amp;$A1563+1)))</f>
        <v/>
      </c>
    </row>
    <row r="1564">
      <c r="A1564" s="55">
        <f>MIN(Inputs!$C$15,$A1563+IF(WEEKDAY($A1563,2)=5,3,1))</f>
        <v/>
      </c>
      <c r="B1564">
        <f>IF($A1564&gt;$A1563,1,0)</f>
        <v/>
      </c>
      <c r="C1564" s="56">
        <f>IF($B1564=0,"",IF(Inputs!$B$6="","",IF($AD1564=0,C1563,SUMIFS(Data!$B$10:$B$3209,Data!$A$10:$A$3209,"&gt;="&amp;$A1564,Data!$A$10:$A$3209,"&lt;"&amp;$A1564+1)/$AD1564)))</f>
        <v/>
      </c>
      <c r="D1564" s="56">
        <f>IF($B1564=0,"",IF(Inputs!$B$7="","",IF($AE1564=0,D1563,SUMIFS(Data!$F$10:$F$3209,Data!$E$10:$E$3209,"&gt;="&amp;$A1564,Data!$E$10:$E$3209,"&lt;"&amp;$A1564+1)/$AE1564)))</f>
        <v/>
      </c>
      <c r="E1564" s="56">
        <f>IF($B1564=0,"",IF(Inputs!$B$8="","",IF($AF1564=0,E1563,SUMIFS(Data!$J$10:$J$3209,Data!$I$10:$I$3209,"&gt;="&amp;$A1564,Data!$I$10:$I$3209,"&lt;"&amp;$A1564+1)/$AF1564)))</f>
        <v/>
      </c>
      <c r="F1564" s="56">
        <f>IF($B1564=0,"",IF(Inputs!$B$9="","",IF($AG1564=0,F1563,SUMIFS(Data!$N$10:$N$3209,Data!$M$10:$M$3209,"&gt;="&amp;$A1564,Data!$M$10:$M$3209,"&lt;"&amp;$A1564+1)/$AG1564)))</f>
        <v/>
      </c>
      <c r="G1564" s="56">
        <f>IF($B1564=0,"",IF(Inputs!$B$10="","",IF($AH1564=0,G1563,SUMIFS(Data!$R$10:$R$3209,Data!$Q$10:$Q$3209,"&gt;="&amp;$A1564,Data!$Q$10:$Q$3209,"&lt;"&amp;$A1564+1)/$AH1564)))</f>
        <v/>
      </c>
      <c r="I1564" s="54">
        <f>IF($B1564=0,NA(),IF($C1564="",NA(),IF(C$8="",NA(),IF(N(C$8)=0,NA(),IF(Inputs!$C$17="Rebased to 100",$C1564/C$8*100,$C1564)))))</f>
        <v/>
      </c>
      <c r="J1564" s="54">
        <f>IF($B1564=0,NA(),IF($D1564="",NA(),IF(D$8="",NA(),IF(N(D$8)=0,NA(),IF(Inputs!$C$17="Rebased to 100",$D1564/D$8*100,$D1564)))))</f>
        <v/>
      </c>
      <c r="K1564" s="54">
        <f>IF($B1564=0,NA(),IF($E1564="",NA(),IF(E$8="",NA(),IF(N(E$8)=0,NA(),IF(Inputs!$C$17="Rebased to 100",$E1564/E$8*100,$E1564)))))</f>
        <v/>
      </c>
      <c r="L1564" s="54">
        <f>IF($B1564=0,NA(),IF($F1564="",NA(),IF(F$8="",NA(),IF(N(F$8)=0,NA(),IF(Inputs!$C$17="Rebased to 100",$F1564/F$8*100,$F1564)))))</f>
        <v/>
      </c>
      <c r="M1564" s="54">
        <f>IF($B1564=0,NA(),IF($G1564="",NA(),IF(G$8="",NA(),IF(N(G$8)=0,NA(),IF(Inputs!$C$17="Rebased to 100",$G1564/G$8*100,$G1564)))))</f>
        <v/>
      </c>
      <c r="N1564" s="54">
        <f>IF($B1564=0,NA(),IF(Inputs!$C$18&lt;&gt;"Yes",NA(),IF(COUNT(I1564,J1564,K1564,L1564,M1564)=0,NA(),MIN(I1564,J1564,K1564,L1564,M1564))))</f>
        <v/>
      </c>
      <c r="O1564" s="54">
        <f>IF($B1564=0,NA(),IF(Inputs!$B$24&lt;&gt;"Yes",NA(),Inputs!$D$24*Inputs!$C$35))</f>
        <v/>
      </c>
      <c r="P1564" s="54">
        <f>IF($B1564=0,NA(),IF(Inputs!$B$25&lt;&gt;"Yes",NA(),Inputs!$D$25*Inputs!$C$35))</f>
        <v/>
      </c>
      <c r="Q1564" s="54">
        <f>IF($B1564=0,NA(),IF(Inputs!$B$26&lt;&gt;"Yes",NA(),Inputs!$D$26*Inputs!$C$35))</f>
        <v/>
      </c>
      <c r="R1564" s="54">
        <f>IF($B1564=0,NA(),IF(Inputs!$B$27&lt;&gt;"Yes",NA(),Inputs!$D$27*Inputs!$C$35))</f>
        <v/>
      </c>
      <c r="S1564" s="54">
        <f>IF($B1564=0,NA(),IF(Inputs!$B$28&lt;&gt;"Yes",NA(),Inputs!$D$28*Inputs!$C$35))</f>
        <v/>
      </c>
      <c r="T1564" s="54">
        <f>IF($B1564=0,NA(),IF(Inputs!$B$29&lt;&gt;"Yes",NA(),Inputs!$D$29*Inputs!$C$35))</f>
        <v/>
      </c>
      <c r="AD1564">
        <f>IF($B1564=0,0,IF(Inputs!$B$6="",0,COUNTIFS(Data!$A$10:$A$3209,"&gt;="&amp;$A1564,Data!$A$10:$A$3209,"&lt;"&amp;$A1564+1)))</f>
        <v/>
      </c>
      <c r="AE1564">
        <f>IF($B1564=0,0,IF(Inputs!$B$7="",0,COUNTIFS(Data!$E$10:$E$3209,"&gt;="&amp;$A1564,Data!$E$10:$E$3209,"&lt;"&amp;$A1564+1)))</f>
        <v/>
      </c>
      <c r="AF1564">
        <f>IF($B1564=0,0,IF(Inputs!$B$8="",0,COUNTIFS(Data!$I$10:$I$3209,"&gt;="&amp;$A1564,Data!$I$10:$I$3209,"&lt;"&amp;$A1564+1)))</f>
        <v/>
      </c>
      <c r="AG1564">
        <f>IF($B1564=0,0,IF(Inputs!$B$9="",0,COUNTIFS(Data!$M$10:$M$3209,"&gt;="&amp;$A1564,Data!$M$10:$M$3209,"&lt;"&amp;$A1564+1)))</f>
        <v/>
      </c>
      <c r="AH1564">
        <f>IF($B1564=0,0,IF(Inputs!$B$10="",0,COUNTIFS(Data!$Q$10:$Q$3209,"&gt;="&amp;$A1564,Data!$Q$10:$Q$3209,"&lt;"&amp;$A1564+1)))</f>
        <v/>
      </c>
    </row>
    <row r="1565">
      <c r="A1565" s="55">
        <f>MIN(Inputs!$C$15,$A1564+IF(WEEKDAY($A1564,2)=5,3,1))</f>
        <v/>
      </c>
      <c r="B1565">
        <f>IF($A1565&gt;$A1564,1,0)</f>
        <v/>
      </c>
      <c r="C1565" s="56">
        <f>IF($B1565=0,"",IF(Inputs!$B$6="","",IF($AD1565=0,C1564,SUMIFS(Data!$B$10:$B$3209,Data!$A$10:$A$3209,"&gt;="&amp;$A1565,Data!$A$10:$A$3209,"&lt;"&amp;$A1565+1)/$AD1565)))</f>
        <v/>
      </c>
      <c r="D1565" s="56">
        <f>IF($B1565=0,"",IF(Inputs!$B$7="","",IF($AE1565=0,D1564,SUMIFS(Data!$F$10:$F$3209,Data!$E$10:$E$3209,"&gt;="&amp;$A1565,Data!$E$10:$E$3209,"&lt;"&amp;$A1565+1)/$AE1565)))</f>
        <v/>
      </c>
      <c r="E1565" s="56">
        <f>IF($B1565=0,"",IF(Inputs!$B$8="","",IF($AF1565=0,E1564,SUMIFS(Data!$J$10:$J$3209,Data!$I$10:$I$3209,"&gt;="&amp;$A1565,Data!$I$10:$I$3209,"&lt;"&amp;$A1565+1)/$AF1565)))</f>
        <v/>
      </c>
      <c r="F1565" s="56">
        <f>IF($B1565=0,"",IF(Inputs!$B$9="","",IF($AG1565=0,F1564,SUMIFS(Data!$N$10:$N$3209,Data!$M$10:$M$3209,"&gt;="&amp;$A1565,Data!$M$10:$M$3209,"&lt;"&amp;$A1565+1)/$AG1565)))</f>
        <v/>
      </c>
      <c r="G1565" s="56">
        <f>IF($B1565=0,"",IF(Inputs!$B$10="","",IF($AH1565=0,G1564,SUMIFS(Data!$R$10:$R$3209,Data!$Q$10:$Q$3209,"&gt;="&amp;$A1565,Data!$Q$10:$Q$3209,"&lt;"&amp;$A1565+1)/$AH1565)))</f>
        <v/>
      </c>
      <c r="I1565" s="54">
        <f>IF($B1565=0,NA(),IF($C1565="",NA(),IF(C$8="",NA(),IF(N(C$8)=0,NA(),IF(Inputs!$C$17="Rebased to 100",$C1565/C$8*100,$C1565)))))</f>
        <v/>
      </c>
      <c r="J1565" s="54">
        <f>IF($B1565=0,NA(),IF($D1565="",NA(),IF(D$8="",NA(),IF(N(D$8)=0,NA(),IF(Inputs!$C$17="Rebased to 100",$D1565/D$8*100,$D1565)))))</f>
        <v/>
      </c>
      <c r="K1565" s="54">
        <f>IF($B1565=0,NA(),IF($E1565="",NA(),IF(E$8="",NA(),IF(N(E$8)=0,NA(),IF(Inputs!$C$17="Rebased to 100",$E1565/E$8*100,$E1565)))))</f>
        <v/>
      </c>
      <c r="L1565" s="54">
        <f>IF($B1565=0,NA(),IF($F1565="",NA(),IF(F$8="",NA(),IF(N(F$8)=0,NA(),IF(Inputs!$C$17="Rebased to 100",$F1565/F$8*100,$F1565)))))</f>
        <v/>
      </c>
      <c r="M1565" s="54">
        <f>IF($B1565=0,NA(),IF($G1565="",NA(),IF(G$8="",NA(),IF(N(G$8)=0,NA(),IF(Inputs!$C$17="Rebased to 100",$G1565/G$8*100,$G1565)))))</f>
        <v/>
      </c>
      <c r="N1565" s="54">
        <f>IF($B1565=0,NA(),IF(Inputs!$C$18&lt;&gt;"Yes",NA(),IF(COUNT(I1565,J1565,K1565,L1565,M1565)=0,NA(),MIN(I1565,J1565,K1565,L1565,M1565))))</f>
        <v/>
      </c>
      <c r="O1565" s="54">
        <f>IF($B1565=0,NA(),IF(Inputs!$B$24&lt;&gt;"Yes",NA(),Inputs!$D$24*Inputs!$C$35))</f>
        <v/>
      </c>
      <c r="P1565" s="54">
        <f>IF($B1565=0,NA(),IF(Inputs!$B$25&lt;&gt;"Yes",NA(),Inputs!$D$25*Inputs!$C$35))</f>
        <v/>
      </c>
      <c r="Q1565" s="54">
        <f>IF($B1565=0,NA(),IF(Inputs!$B$26&lt;&gt;"Yes",NA(),Inputs!$D$26*Inputs!$C$35))</f>
        <v/>
      </c>
      <c r="R1565" s="54">
        <f>IF($B1565=0,NA(),IF(Inputs!$B$27&lt;&gt;"Yes",NA(),Inputs!$D$27*Inputs!$C$35))</f>
        <v/>
      </c>
      <c r="S1565" s="54">
        <f>IF($B1565=0,NA(),IF(Inputs!$B$28&lt;&gt;"Yes",NA(),Inputs!$D$28*Inputs!$C$35))</f>
        <v/>
      </c>
      <c r="T1565" s="54">
        <f>IF($B1565=0,NA(),IF(Inputs!$B$29&lt;&gt;"Yes",NA(),Inputs!$D$29*Inputs!$C$35))</f>
        <v/>
      </c>
      <c r="AD1565">
        <f>IF($B1565=0,0,IF(Inputs!$B$6="",0,COUNTIFS(Data!$A$10:$A$3209,"&gt;="&amp;$A1565,Data!$A$10:$A$3209,"&lt;"&amp;$A1565+1)))</f>
        <v/>
      </c>
      <c r="AE1565">
        <f>IF($B1565=0,0,IF(Inputs!$B$7="",0,COUNTIFS(Data!$E$10:$E$3209,"&gt;="&amp;$A1565,Data!$E$10:$E$3209,"&lt;"&amp;$A1565+1)))</f>
        <v/>
      </c>
      <c r="AF1565">
        <f>IF($B1565=0,0,IF(Inputs!$B$8="",0,COUNTIFS(Data!$I$10:$I$3209,"&gt;="&amp;$A1565,Data!$I$10:$I$3209,"&lt;"&amp;$A1565+1)))</f>
        <v/>
      </c>
      <c r="AG1565">
        <f>IF($B1565=0,0,IF(Inputs!$B$9="",0,COUNTIFS(Data!$M$10:$M$3209,"&gt;="&amp;$A1565,Data!$M$10:$M$3209,"&lt;"&amp;$A1565+1)))</f>
        <v/>
      </c>
      <c r="AH1565">
        <f>IF($B1565=0,0,IF(Inputs!$B$10="",0,COUNTIFS(Data!$Q$10:$Q$3209,"&gt;="&amp;$A1565,Data!$Q$10:$Q$3209,"&lt;"&amp;$A1565+1)))</f>
        <v/>
      </c>
    </row>
    <row r="1566">
      <c r="A1566" s="55">
        <f>MIN(Inputs!$C$15,$A1565+IF(WEEKDAY($A1565,2)=5,3,1))</f>
        <v/>
      </c>
      <c r="B1566">
        <f>IF($A1566&gt;$A1565,1,0)</f>
        <v/>
      </c>
      <c r="C1566" s="56">
        <f>IF($B1566=0,"",IF(Inputs!$B$6="","",IF($AD1566=0,C1565,SUMIFS(Data!$B$10:$B$3209,Data!$A$10:$A$3209,"&gt;="&amp;$A1566,Data!$A$10:$A$3209,"&lt;"&amp;$A1566+1)/$AD1566)))</f>
        <v/>
      </c>
      <c r="D1566" s="56">
        <f>IF($B1566=0,"",IF(Inputs!$B$7="","",IF($AE1566=0,D1565,SUMIFS(Data!$F$10:$F$3209,Data!$E$10:$E$3209,"&gt;="&amp;$A1566,Data!$E$10:$E$3209,"&lt;"&amp;$A1566+1)/$AE1566)))</f>
        <v/>
      </c>
      <c r="E1566" s="56">
        <f>IF($B1566=0,"",IF(Inputs!$B$8="","",IF($AF1566=0,E1565,SUMIFS(Data!$J$10:$J$3209,Data!$I$10:$I$3209,"&gt;="&amp;$A1566,Data!$I$10:$I$3209,"&lt;"&amp;$A1566+1)/$AF1566)))</f>
        <v/>
      </c>
      <c r="F1566" s="56">
        <f>IF($B1566=0,"",IF(Inputs!$B$9="","",IF($AG1566=0,F1565,SUMIFS(Data!$N$10:$N$3209,Data!$M$10:$M$3209,"&gt;="&amp;$A1566,Data!$M$10:$M$3209,"&lt;"&amp;$A1566+1)/$AG1566)))</f>
        <v/>
      </c>
      <c r="G1566" s="56">
        <f>IF($B1566=0,"",IF(Inputs!$B$10="","",IF($AH1566=0,G1565,SUMIFS(Data!$R$10:$R$3209,Data!$Q$10:$Q$3209,"&gt;="&amp;$A1566,Data!$Q$10:$Q$3209,"&lt;"&amp;$A1566+1)/$AH1566)))</f>
        <v/>
      </c>
      <c r="I1566" s="54">
        <f>IF($B1566=0,NA(),IF($C1566="",NA(),IF(C$8="",NA(),IF(N(C$8)=0,NA(),IF(Inputs!$C$17="Rebased to 100",$C1566/C$8*100,$C1566)))))</f>
        <v/>
      </c>
      <c r="J1566" s="54">
        <f>IF($B1566=0,NA(),IF($D1566="",NA(),IF(D$8="",NA(),IF(N(D$8)=0,NA(),IF(Inputs!$C$17="Rebased to 100",$D1566/D$8*100,$D1566)))))</f>
        <v/>
      </c>
      <c r="K1566" s="54">
        <f>IF($B1566=0,NA(),IF($E1566="",NA(),IF(E$8="",NA(),IF(N(E$8)=0,NA(),IF(Inputs!$C$17="Rebased to 100",$E1566/E$8*100,$E1566)))))</f>
        <v/>
      </c>
      <c r="L1566" s="54">
        <f>IF($B1566=0,NA(),IF($F1566="",NA(),IF(F$8="",NA(),IF(N(F$8)=0,NA(),IF(Inputs!$C$17="Rebased to 100",$F1566/F$8*100,$F1566)))))</f>
        <v/>
      </c>
      <c r="M1566" s="54">
        <f>IF($B1566=0,NA(),IF($G1566="",NA(),IF(G$8="",NA(),IF(N(G$8)=0,NA(),IF(Inputs!$C$17="Rebased to 100",$G1566/G$8*100,$G1566)))))</f>
        <v/>
      </c>
      <c r="N1566" s="54">
        <f>IF($B1566=0,NA(),IF(Inputs!$C$18&lt;&gt;"Yes",NA(),IF(COUNT(I1566,J1566,K1566,L1566,M1566)=0,NA(),MIN(I1566,J1566,K1566,L1566,M1566))))</f>
        <v/>
      </c>
      <c r="O1566" s="54">
        <f>IF($B1566=0,NA(),IF(Inputs!$B$24&lt;&gt;"Yes",NA(),Inputs!$D$24*Inputs!$C$35))</f>
        <v/>
      </c>
      <c r="P1566" s="54">
        <f>IF($B1566=0,NA(),IF(Inputs!$B$25&lt;&gt;"Yes",NA(),Inputs!$D$25*Inputs!$C$35))</f>
        <v/>
      </c>
      <c r="Q1566" s="54">
        <f>IF($B1566=0,NA(),IF(Inputs!$B$26&lt;&gt;"Yes",NA(),Inputs!$D$26*Inputs!$C$35))</f>
        <v/>
      </c>
      <c r="R1566" s="54">
        <f>IF($B1566=0,NA(),IF(Inputs!$B$27&lt;&gt;"Yes",NA(),Inputs!$D$27*Inputs!$C$35))</f>
        <v/>
      </c>
      <c r="S1566" s="54">
        <f>IF($B1566=0,NA(),IF(Inputs!$B$28&lt;&gt;"Yes",NA(),Inputs!$D$28*Inputs!$C$35))</f>
        <v/>
      </c>
      <c r="T1566" s="54">
        <f>IF($B1566=0,NA(),IF(Inputs!$B$29&lt;&gt;"Yes",NA(),Inputs!$D$29*Inputs!$C$35))</f>
        <v/>
      </c>
      <c r="AD1566">
        <f>IF($B1566=0,0,IF(Inputs!$B$6="",0,COUNTIFS(Data!$A$10:$A$3209,"&gt;="&amp;$A1566,Data!$A$10:$A$3209,"&lt;"&amp;$A1566+1)))</f>
        <v/>
      </c>
      <c r="AE1566">
        <f>IF($B1566=0,0,IF(Inputs!$B$7="",0,COUNTIFS(Data!$E$10:$E$3209,"&gt;="&amp;$A1566,Data!$E$10:$E$3209,"&lt;"&amp;$A1566+1)))</f>
        <v/>
      </c>
      <c r="AF1566">
        <f>IF($B1566=0,0,IF(Inputs!$B$8="",0,COUNTIFS(Data!$I$10:$I$3209,"&gt;="&amp;$A1566,Data!$I$10:$I$3209,"&lt;"&amp;$A1566+1)))</f>
        <v/>
      </c>
      <c r="AG1566">
        <f>IF($B1566=0,0,IF(Inputs!$B$9="",0,COUNTIFS(Data!$M$10:$M$3209,"&gt;="&amp;$A1566,Data!$M$10:$M$3209,"&lt;"&amp;$A1566+1)))</f>
        <v/>
      </c>
      <c r="AH1566">
        <f>IF($B1566=0,0,IF(Inputs!$B$10="",0,COUNTIFS(Data!$Q$10:$Q$3209,"&gt;="&amp;$A1566,Data!$Q$10:$Q$3209,"&lt;"&amp;$A1566+1)))</f>
        <v/>
      </c>
    </row>
    <row r="1567">
      <c r="A1567" s="55">
        <f>MIN(Inputs!$C$15,$A1566+IF(WEEKDAY($A1566,2)=5,3,1))</f>
        <v/>
      </c>
      <c r="B1567">
        <f>IF($A1567&gt;$A1566,1,0)</f>
        <v/>
      </c>
      <c r="C1567" s="56">
        <f>IF($B1567=0,"",IF(Inputs!$B$6="","",IF($AD1567=0,C1566,SUMIFS(Data!$B$10:$B$3209,Data!$A$10:$A$3209,"&gt;="&amp;$A1567,Data!$A$10:$A$3209,"&lt;"&amp;$A1567+1)/$AD1567)))</f>
        <v/>
      </c>
      <c r="D1567" s="56">
        <f>IF($B1567=0,"",IF(Inputs!$B$7="","",IF($AE1567=0,D1566,SUMIFS(Data!$F$10:$F$3209,Data!$E$10:$E$3209,"&gt;="&amp;$A1567,Data!$E$10:$E$3209,"&lt;"&amp;$A1567+1)/$AE1567)))</f>
        <v/>
      </c>
      <c r="E1567" s="56">
        <f>IF($B1567=0,"",IF(Inputs!$B$8="","",IF($AF1567=0,E1566,SUMIFS(Data!$J$10:$J$3209,Data!$I$10:$I$3209,"&gt;="&amp;$A1567,Data!$I$10:$I$3209,"&lt;"&amp;$A1567+1)/$AF1567)))</f>
        <v/>
      </c>
      <c r="F1567" s="56">
        <f>IF($B1567=0,"",IF(Inputs!$B$9="","",IF($AG1567=0,F1566,SUMIFS(Data!$N$10:$N$3209,Data!$M$10:$M$3209,"&gt;="&amp;$A1567,Data!$M$10:$M$3209,"&lt;"&amp;$A1567+1)/$AG1567)))</f>
        <v/>
      </c>
      <c r="G1567" s="56">
        <f>IF($B1567=0,"",IF(Inputs!$B$10="","",IF($AH1567=0,G1566,SUMIFS(Data!$R$10:$R$3209,Data!$Q$10:$Q$3209,"&gt;="&amp;$A1567,Data!$Q$10:$Q$3209,"&lt;"&amp;$A1567+1)/$AH1567)))</f>
        <v/>
      </c>
      <c r="I1567" s="54">
        <f>IF($B1567=0,NA(),IF($C1567="",NA(),IF(C$8="",NA(),IF(N(C$8)=0,NA(),IF(Inputs!$C$17="Rebased to 100",$C1567/C$8*100,$C1567)))))</f>
        <v/>
      </c>
      <c r="J1567" s="54">
        <f>IF($B1567=0,NA(),IF($D1567="",NA(),IF(D$8="",NA(),IF(N(D$8)=0,NA(),IF(Inputs!$C$17="Rebased to 100",$D1567/D$8*100,$D1567)))))</f>
        <v/>
      </c>
      <c r="K1567" s="54">
        <f>IF($B1567=0,NA(),IF($E1567="",NA(),IF(E$8="",NA(),IF(N(E$8)=0,NA(),IF(Inputs!$C$17="Rebased to 100",$E1567/E$8*100,$E1567)))))</f>
        <v/>
      </c>
      <c r="L1567" s="54">
        <f>IF($B1567=0,NA(),IF($F1567="",NA(),IF(F$8="",NA(),IF(N(F$8)=0,NA(),IF(Inputs!$C$17="Rebased to 100",$F1567/F$8*100,$F1567)))))</f>
        <v/>
      </c>
      <c r="M1567" s="54">
        <f>IF($B1567=0,NA(),IF($G1567="",NA(),IF(G$8="",NA(),IF(N(G$8)=0,NA(),IF(Inputs!$C$17="Rebased to 100",$G1567/G$8*100,$G1567)))))</f>
        <v/>
      </c>
      <c r="N1567" s="54">
        <f>IF($B1567=0,NA(),IF(Inputs!$C$18&lt;&gt;"Yes",NA(),IF(COUNT(I1567,J1567,K1567,L1567,M1567)=0,NA(),MIN(I1567,J1567,K1567,L1567,M1567))))</f>
        <v/>
      </c>
      <c r="O1567" s="54">
        <f>IF($B1567=0,NA(),IF(Inputs!$B$24&lt;&gt;"Yes",NA(),Inputs!$D$24*Inputs!$C$35))</f>
        <v/>
      </c>
      <c r="P1567" s="54">
        <f>IF($B1567=0,NA(),IF(Inputs!$B$25&lt;&gt;"Yes",NA(),Inputs!$D$25*Inputs!$C$35))</f>
        <v/>
      </c>
      <c r="Q1567" s="54">
        <f>IF($B1567=0,NA(),IF(Inputs!$B$26&lt;&gt;"Yes",NA(),Inputs!$D$26*Inputs!$C$35))</f>
        <v/>
      </c>
      <c r="R1567" s="54">
        <f>IF($B1567=0,NA(),IF(Inputs!$B$27&lt;&gt;"Yes",NA(),Inputs!$D$27*Inputs!$C$35))</f>
        <v/>
      </c>
      <c r="S1567" s="54">
        <f>IF($B1567=0,NA(),IF(Inputs!$B$28&lt;&gt;"Yes",NA(),Inputs!$D$28*Inputs!$C$35))</f>
        <v/>
      </c>
      <c r="T1567" s="54">
        <f>IF($B1567=0,NA(),IF(Inputs!$B$29&lt;&gt;"Yes",NA(),Inputs!$D$29*Inputs!$C$35))</f>
        <v/>
      </c>
      <c r="AD1567">
        <f>IF($B1567=0,0,IF(Inputs!$B$6="",0,COUNTIFS(Data!$A$10:$A$3209,"&gt;="&amp;$A1567,Data!$A$10:$A$3209,"&lt;"&amp;$A1567+1)))</f>
        <v/>
      </c>
      <c r="AE1567">
        <f>IF($B1567=0,0,IF(Inputs!$B$7="",0,COUNTIFS(Data!$E$10:$E$3209,"&gt;="&amp;$A1567,Data!$E$10:$E$3209,"&lt;"&amp;$A1567+1)))</f>
        <v/>
      </c>
      <c r="AF1567">
        <f>IF($B1567=0,0,IF(Inputs!$B$8="",0,COUNTIFS(Data!$I$10:$I$3209,"&gt;="&amp;$A1567,Data!$I$10:$I$3209,"&lt;"&amp;$A1567+1)))</f>
        <v/>
      </c>
      <c r="AG1567">
        <f>IF($B1567=0,0,IF(Inputs!$B$9="",0,COUNTIFS(Data!$M$10:$M$3209,"&gt;="&amp;$A1567,Data!$M$10:$M$3209,"&lt;"&amp;$A1567+1)))</f>
        <v/>
      </c>
      <c r="AH1567">
        <f>IF($B1567=0,0,IF(Inputs!$B$10="",0,COUNTIFS(Data!$Q$10:$Q$3209,"&gt;="&amp;$A1567,Data!$Q$10:$Q$3209,"&lt;"&amp;$A1567+1)))</f>
        <v/>
      </c>
    </row>
    <row r="1568">
      <c r="A1568" s="55">
        <f>MIN(Inputs!$C$15,$A1567+IF(WEEKDAY($A1567,2)=5,3,1))</f>
        <v/>
      </c>
      <c r="B1568">
        <f>IF($A1568&gt;$A1567,1,0)</f>
        <v/>
      </c>
      <c r="C1568" s="56">
        <f>IF($B1568=0,"",IF(Inputs!$B$6="","",IF($AD1568=0,C1567,SUMIFS(Data!$B$10:$B$3209,Data!$A$10:$A$3209,"&gt;="&amp;$A1568,Data!$A$10:$A$3209,"&lt;"&amp;$A1568+1)/$AD1568)))</f>
        <v/>
      </c>
      <c r="D1568" s="56">
        <f>IF($B1568=0,"",IF(Inputs!$B$7="","",IF($AE1568=0,D1567,SUMIFS(Data!$F$10:$F$3209,Data!$E$10:$E$3209,"&gt;="&amp;$A1568,Data!$E$10:$E$3209,"&lt;"&amp;$A1568+1)/$AE1568)))</f>
        <v/>
      </c>
      <c r="E1568" s="56">
        <f>IF($B1568=0,"",IF(Inputs!$B$8="","",IF($AF1568=0,E1567,SUMIFS(Data!$J$10:$J$3209,Data!$I$10:$I$3209,"&gt;="&amp;$A1568,Data!$I$10:$I$3209,"&lt;"&amp;$A1568+1)/$AF1568)))</f>
        <v/>
      </c>
      <c r="F1568" s="56">
        <f>IF($B1568=0,"",IF(Inputs!$B$9="","",IF($AG1568=0,F1567,SUMIFS(Data!$N$10:$N$3209,Data!$M$10:$M$3209,"&gt;="&amp;$A1568,Data!$M$10:$M$3209,"&lt;"&amp;$A1568+1)/$AG1568)))</f>
        <v/>
      </c>
      <c r="G1568" s="56">
        <f>IF($B1568=0,"",IF(Inputs!$B$10="","",IF($AH1568=0,G1567,SUMIFS(Data!$R$10:$R$3209,Data!$Q$10:$Q$3209,"&gt;="&amp;$A1568,Data!$Q$10:$Q$3209,"&lt;"&amp;$A1568+1)/$AH1568)))</f>
        <v/>
      </c>
      <c r="I1568" s="54">
        <f>IF($B1568=0,NA(),IF($C1568="",NA(),IF(C$8="",NA(),IF(N(C$8)=0,NA(),IF(Inputs!$C$17="Rebased to 100",$C1568/C$8*100,$C1568)))))</f>
        <v/>
      </c>
      <c r="J1568" s="54">
        <f>IF($B1568=0,NA(),IF($D1568="",NA(),IF(D$8="",NA(),IF(N(D$8)=0,NA(),IF(Inputs!$C$17="Rebased to 100",$D1568/D$8*100,$D1568)))))</f>
        <v/>
      </c>
      <c r="K1568" s="54">
        <f>IF($B1568=0,NA(),IF($E1568="",NA(),IF(E$8="",NA(),IF(N(E$8)=0,NA(),IF(Inputs!$C$17="Rebased to 100",$E1568/E$8*100,$E1568)))))</f>
        <v/>
      </c>
      <c r="L1568" s="54">
        <f>IF($B1568=0,NA(),IF($F1568="",NA(),IF(F$8="",NA(),IF(N(F$8)=0,NA(),IF(Inputs!$C$17="Rebased to 100",$F1568/F$8*100,$F1568)))))</f>
        <v/>
      </c>
      <c r="M1568" s="54">
        <f>IF($B1568=0,NA(),IF($G1568="",NA(),IF(G$8="",NA(),IF(N(G$8)=0,NA(),IF(Inputs!$C$17="Rebased to 100",$G1568/G$8*100,$G1568)))))</f>
        <v/>
      </c>
      <c r="N1568" s="54">
        <f>IF($B1568=0,NA(),IF(Inputs!$C$18&lt;&gt;"Yes",NA(),IF(COUNT(I1568,J1568,K1568,L1568,M1568)=0,NA(),MIN(I1568,J1568,K1568,L1568,M1568))))</f>
        <v/>
      </c>
      <c r="O1568" s="54">
        <f>IF($B1568=0,NA(),IF(Inputs!$B$24&lt;&gt;"Yes",NA(),Inputs!$D$24*Inputs!$C$35))</f>
        <v/>
      </c>
      <c r="P1568" s="54">
        <f>IF($B1568=0,NA(),IF(Inputs!$B$25&lt;&gt;"Yes",NA(),Inputs!$D$25*Inputs!$C$35))</f>
        <v/>
      </c>
      <c r="Q1568" s="54">
        <f>IF($B1568=0,NA(),IF(Inputs!$B$26&lt;&gt;"Yes",NA(),Inputs!$D$26*Inputs!$C$35))</f>
        <v/>
      </c>
      <c r="R1568" s="54">
        <f>IF($B1568=0,NA(),IF(Inputs!$B$27&lt;&gt;"Yes",NA(),Inputs!$D$27*Inputs!$C$35))</f>
        <v/>
      </c>
      <c r="S1568" s="54">
        <f>IF($B1568=0,NA(),IF(Inputs!$B$28&lt;&gt;"Yes",NA(),Inputs!$D$28*Inputs!$C$35))</f>
        <v/>
      </c>
      <c r="T1568" s="54">
        <f>IF($B1568=0,NA(),IF(Inputs!$B$29&lt;&gt;"Yes",NA(),Inputs!$D$29*Inputs!$C$35))</f>
        <v/>
      </c>
      <c r="AD1568">
        <f>IF($B1568=0,0,IF(Inputs!$B$6="",0,COUNTIFS(Data!$A$10:$A$3209,"&gt;="&amp;$A1568,Data!$A$10:$A$3209,"&lt;"&amp;$A1568+1)))</f>
        <v/>
      </c>
      <c r="AE1568">
        <f>IF($B1568=0,0,IF(Inputs!$B$7="",0,COUNTIFS(Data!$E$10:$E$3209,"&gt;="&amp;$A1568,Data!$E$10:$E$3209,"&lt;"&amp;$A1568+1)))</f>
        <v/>
      </c>
      <c r="AF1568">
        <f>IF($B1568=0,0,IF(Inputs!$B$8="",0,COUNTIFS(Data!$I$10:$I$3209,"&gt;="&amp;$A1568,Data!$I$10:$I$3209,"&lt;"&amp;$A1568+1)))</f>
        <v/>
      </c>
      <c r="AG1568">
        <f>IF($B1568=0,0,IF(Inputs!$B$9="",0,COUNTIFS(Data!$M$10:$M$3209,"&gt;="&amp;$A1568,Data!$M$10:$M$3209,"&lt;"&amp;$A1568+1)))</f>
        <v/>
      </c>
      <c r="AH1568">
        <f>IF($B1568=0,0,IF(Inputs!$B$10="",0,COUNTIFS(Data!$Q$10:$Q$3209,"&gt;="&amp;$A1568,Data!$Q$10:$Q$3209,"&lt;"&amp;$A1568+1)))</f>
        <v/>
      </c>
    </row>
    <row r="1569">
      <c r="A1569" s="55">
        <f>MIN(Inputs!$C$15,$A1568+IF(WEEKDAY($A1568,2)=5,3,1))</f>
        <v/>
      </c>
      <c r="B1569">
        <f>IF($A1569&gt;$A1568,1,0)</f>
        <v/>
      </c>
      <c r="C1569" s="56">
        <f>IF($B1569=0,"",IF(Inputs!$B$6="","",IF($AD1569=0,C1568,SUMIFS(Data!$B$10:$B$3209,Data!$A$10:$A$3209,"&gt;="&amp;$A1569,Data!$A$10:$A$3209,"&lt;"&amp;$A1569+1)/$AD1569)))</f>
        <v/>
      </c>
      <c r="D1569" s="56">
        <f>IF($B1569=0,"",IF(Inputs!$B$7="","",IF($AE1569=0,D1568,SUMIFS(Data!$F$10:$F$3209,Data!$E$10:$E$3209,"&gt;="&amp;$A1569,Data!$E$10:$E$3209,"&lt;"&amp;$A1569+1)/$AE1569)))</f>
        <v/>
      </c>
      <c r="E1569" s="56">
        <f>IF($B1569=0,"",IF(Inputs!$B$8="","",IF($AF1569=0,E1568,SUMIFS(Data!$J$10:$J$3209,Data!$I$10:$I$3209,"&gt;="&amp;$A1569,Data!$I$10:$I$3209,"&lt;"&amp;$A1569+1)/$AF1569)))</f>
        <v/>
      </c>
      <c r="F1569" s="56">
        <f>IF($B1569=0,"",IF(Inputs!$B$9="","",IF($AG1569=0,F1568,SUMIFS(Data!$N$10:$N$3209,Data!$M$10:$M$3209,"&gt;="&amp;$A1569,Data!$M$10:$M$3209,"&lt;"&amp;$A1569+1)/$AG1569)))</f>
        <v/>
      </c>
      <c r="G1569" s="56">
        <f>IF($B1569=0,"",IF(Inputs!$B$10="","",IF($AH1569=0,G1568,SUMIFS(Data!$R$10:$R$3209,Data!$Q$10:$Q$3209,"&gt;="&amp;$A1569,Data!$Q$10:$Q$3209,"&lt;"&amp;$A1569+1)/$AH1569)))</f>
        <v/>
      </c>
      <c r="I1569" s="54">
        <f>IF($B1569=0,NA(),IF($C1569="",NA(),IF(C$8="",NA(),IF(N(C$8)=0,NA(),IF(Inputs!$C$17="Rebased to 100",$C1569/C$8*100,$C1569)))))</f>
        <v/>
      </c>
      <c r="J1569" s="54">
        <f>IF($B1569=0,NA(),IF($D1569="",NA(),IF(D$8="",NA(),IF(N(D$8)=0,NA(),IF(Inputs!$C$17="Rebased to 100",$D1569/D$8*100,$D1569)))))</f>
        <v/>
      </c>
      <c r="K1569" s="54">
        <f>IF($B1569=0,NA(),IF($E1569="",NA(),IF(E$8="",NA(),IF(N(E$8)=0,NA(),IF(Inputs!$C$17="Rebased to 100",$E1569/E$8*100,$E1569)))))</f>
        <v/>
      </c>
      <c r="L1569" s="54">
        <f>IF($B1569=0,NA(),IF($F1569="",NA(),IF(F$8="",NA(),IF(N(F$8)=0,NA(),IF(Inputs!$C$17="Rebased to 100",$F1569/F$8*100,$F1569)))))</f>
        <v/>
      </c>
      <c r="M1569" s="54">
        <f>IF($B1569=0,NA(),IF($G1569="",NA(),IF(G$8="",NA(),IF(N(G$8)=0,NA(),IF(Inputs!$C$17="Rebased to 100",$G1569/G$8*100,$G1569)))))</f>
        <v/>
      </c>
      <c r="N1569" s="54">
        <f>IF($B1569=0,NA(),IF(Inputs!$C$18&lt;&gt;"Yes",NA(),IF(COUNT(I1569,J1569,K1569,L1569,M1569)=0,NA(),MIN(I1569,J1569,K1569,L1569,M1569))))</f>
        <v/>
      </c>
      <c r="O1569" s="54">
        <f>IF($B1569=0,NA(),IF(Inputs!$B$24&lt;&gt;"Yes",NA(),Inputs!$D$24*Inputs!$C$35))</f>
        <v/>
      </c>
      <c r="P1569" s="54">
        <f>IF($B1569=0,NA(),IF(Inputs!$B$25&lt;&gt;"Yes",NA(),Inputs!$D$25*Inputs!$C$35))</f>
        <v/>
      </c>
      <c r="Q1569" s="54">
        <f>IF($B1569=0,NA(),IF(Inputs!$B$26&lt;&gt;"Yes",NA(),Inputs!$D$26*Inputs!$C$35))</f>
        <v/>
      </c>
      <c r="R1569" s="54">
        <f>IF($B1569=0,NA(),IF(Inputs!$B$27&lt;&gt;"Yes",NA(),Inputs!$D$27*Inputs!$C$35))</f>
        <v/>
      </c>
      <c r="S1569" s="54">
        <f>IF($B1569=0,NA(),IF(Inputs!$B$28&lt;&gt;"Yes",NA(),Inputs!$D$28*Inputs!$C$35))</f>
        <v/>
      </c>
      <c r="T1569" s="54">
        <f>IF($B1569=0,NA(),IF(Inputs!$B$29&lt;&gt;"Yes",NA(),Inputs!$D$29*Inputs!$C$35))</f>
        <v/>
      </c>
      <c r="AD1569">
        <f>IF($B1569=0,0,IF(Inputs!$B$6="",0,COUNTIFS(Data!$A$10:$A$3209,"&gt;="&amp;$A1569,Data!$A$10:$A$3209,"&lt;"&amp;$A1569+1)))</f>
        <v/>
      </c>
      <c r="AE1569">
        <f>IF($B1569=0,0,IF(Inputs!$B$7="",0,COUNTIFS(Data!$E$10:$E$3209,"&gt;="&amp;$A1569,Data!$E$10:$E$3209,"&lt;"&amp;$A1569+1)))</f>
        <v/>
      </c>
      <c r="AF1569">
        <f>IF($B1569=0,0,IF(Inputs!$B$8="",0,COUNTIFS(Data!$I$10:$I$3209,"&gt;="&amp;$A1569,Data!$I$10:$I$3209,"&lt;"&amp;$A1569+1)))</f>
        <v/>
      </c>
      <c r="AG1569">
        <f>IF($B1569=0,0,IF(Inputs!$B$9="",0,COUNTIFS(Data!$M$10:$M$3209,"&gt;="&amp;$A1569,Data!$M$10:$M$3209,"&lt;"&amp;$A1569+1)))</f>
        <v/>
      </c>
      <c r="AH1569">
        <f>IF($B1569=0,0,IF(Inputs!$B$10="",0,COUNTIFS(Data!$Q$10:$Q$3209,"&gt;="&amp;$A1569,Data!$Q$10:$Q$3209,"&lt;"&amp;$A1569+1)))</f>
        <v/>
      </c>
    </row>
    <row r="1570">
      <c r="A1570" s="55">
        <f>MIN(Inputs!$C$15,$A1569+IF(WEEKDAY($A1569,2)=5,3,1))</f>
        <v/>
      </c>
      <c r="B1570">
        <f>IF($A1570&gt;$A1569,1,0)</f>
        <v/>
      </c>
      <c r="C1570" s="56">
        <f>IF($B1570=0,"",IF(Inputs!$B$6="","",IF($AD1570=0,C1569,SUMIFS(Data!$B$10:$B$3209,Data!$A$10:$A$3209,"&gt;="&amp;$A1570,Data!$A$10:$A$3209,"&lt;"&amp;$A1570+1)/$AD1570)))</f>
        <v/>
      </c>
      <c r="D1570" s="56">
        <f>IF($B1570=0,"",IF(Inputs!$B$7="","",IF($AE1570=0,D1569,SUMIFS(Data!$F$10:$F$3209,Data!$E$10:$E$3209,"&gt;="&amp;$A1570,Data!$E$10:$E$3209,"&lt;"&amp;$A1570+1)/$AE1570)))</f>
        <v/>
      </c>
      <c r="E1570" s="56">
        <f>IF($B1570=0,"",IF(Inputs!$B$8="","",IF($AF1570=0,E1569,SUMIFS(Data!$J$10:$J$3209,Data!$I$10:$I$3209,"&gt;="&amp;$A1570,Data!$I$10:$I$3209,"&lt;"&amp;$A1570+1)/$AF1570)))</f>
        <v/>
      </c>
      <c r="F1570" s="56">
        <f>IF($B1570=0,"",IF(Inputs!$B$9="","",IF($AG1570=0,F1569,SUMIFS(Data!$N$10:$N$3209,Data!$M$10:$M$3209,"&gt;="&amp;$A1570,Data!$M$10:$M$3209,"&lt;"&amp;$A1570+1)/$AG1570)))</f>
        <v/>
      </c>
      <c r="G1570" s="56">
        <f>IF($B1570=0,"",IF(Inputs!$B$10="","",IF($AH1570=0,G1569,SUMIFS(Data!$R$10:$R$3209,Data!$Q$10:$Q$3209,"&gt;="&amp;$A1570,Data!$Q$10:$Q$3209,"&lt;"&amp;$A1570+1)/$AH1570)))</f>
        <v/>
      </c>
      <c r="I1570" s="54">
        <f>IF($B1570=0,NA(),IF($C1570="",NA(),IF(C$8="",NA(),IF(N(C$8)=0,NA(),IF(Inputs!$C$17="Rebased to 100",$C1570/C$8*100,$C1570)))))</f>
        <v/>
      </c>
      <c r="J1570" s="54">
        <f>IF($B1570=0,NA(),IF($D1570="",NA(),IF(D$8="",NA(),IF(N(D$8)=0,NA(),IF(Inputs!$C$17="Rebased to 100",$D1570/D$8*100,$D1570)))))</f>
        <v/>
      </c>
      <c r="K1570" s="54">
        <f>IF($B1570=0,NA(),IF($E1570="",NA(),IF(E$8="",NA(),IF(N(E$8)=0,NA(),IF(Inputs!$C$17="Rebased to 100",$E1570/E$8*100,$E1570)))))</f>
        <v/>
      </c>
      <c r="L1570" s="54">
        <f>IF($B1570=0,NA(),IF($F1570="",NA(),IF(F$8="",NA(),IF(N(F$8)=0,NA(),IF(Inputs!$C$17="Rebased to 100",$F1570/F$8*100,$F1570)))))</f>
        <v/>
      </c>
      <c r="M1570" s="54">
        <f>IF($B1570=0,NA(),IF($G1570="",NA(),IF(G$8="",NA(),IF(N(G$8)=0,NA(),IF(Inputs!$C$17="Rebased to 100",$G1570/G$8*100,$G1570)))))</f>
        <v/>
      </c>
      <c r="N1570" s="54">
        <f>IF($B1570=0,NA(),IF(Inputs!$C$18&lt;&gt;"Yes",NA(),IF(COUNT(I1570,J1570,K1570,L1570,M1570)=0,NA(),MIN(I1570,J1570,K1570,L1570,M1570))))</f>
        <v/>
      </c>
      <c r="O1570" s="54">
        <f>IF($B1570=0,NA(),IF(Inputs!$B$24&lt;&gt;"Yes",NA(),Inputs!$D$24*Inputs!$C$35))</f>
        <v/>
      </c>
      <c r="P1570" s="54">
        <f>IF($B1570=0,NA(),IF(Inputs!$B$25&lt;&gt;"Yes",NA(),Inputs!$D$25*Inputs!$C$35))</f>
        <v/>
      </c>
      <c r="Q1570" s="54">
        <f>IF($B1570=0,NA(),IF(Inputs!$B$26&lt;&gt;"Yes",NA(),Inputs!$D$26*Inputs!$C$35))</f>
        <v/>
      </c>
      <c r="R1570" s="54">
        <f>IF($B1570=0,NA(),IF(Inputs!$B$27&lt;&gt;"Yes",NA(),Inputs!$D$27*Inputs!$C$35))</f>
        <v/>
      </c>
      <c r="S1570" s="54">
        <f>IF($B1570=0,NA(),IF(Inputs!$B$28&lt;&gt;"Yes",NA(),Inputs!$D$28*Inputs!$C$35))</f>
        <v/>
      </c>
      <c r="T1570" s="54">
        <f>IF($B1570=0,NA(),IF(Inputs!$B$29&lt;&gt;"Yes",NA(),Inputs!$D$29*Inputs!$C$35))</f>
        <v/>
      </c>
      <c r="AD1570">
        <f>IF($B1570=0,0,IF(Inputs!$B$6="",0,COUNTIFS(Data!$A$10:$A$3209,"&gt;="&amp;$A1570,Data!$A$10:$A$3209,"&lt;"&amp;$A1570+1)))</f>
        <v/>
      </c>
      <c r="AE1570">
        <f>IF($B1570=0,0,IF(Inputs!$B$7="",0,COUNTIFS(Data!$E$10:$E$3209,"&gt;="&amp;$A1570,Data!$E$10:$E$3209,"&lt;"&amp;$A1570+1)))</f>
        <v/>
      </c>
      <c r="AF1570">
        <f>IF($B1570=0,0,IF(Inputs!$B$8="",0,COUNTIFS(Data!$I$10:$I$3209,"&gt;="&amp;$A1570,Data!$I$10:$I$3209,"&lt;"&amp;$A1570+1)))</f>
        <v/>
      </c>
      <c r="AG1570">
        <f>IF($B1570=0,0,IF(Inputs!$B$9="",0,COUNTIFS(Data!$M$10:$M$3209,"&gt;="&amp;$A1570,Data!$M$10:$M$3209,"&lt;"&amp;$A1570+1)))</f>
        <v/>
      </c>
      <c r="AH1570">
        <f>IF($B1570=0,0,IF(Inputs!$B$10="",0,COUNTIFS(Data!$Q$10:$Q$3209,"&gt;="&amp;$A1570,Data!$Q$10:$Q$3209,"&lt;"&amp;$A1570+1)))</f>
        <v/>
      </c>
    </row>
    <row r="1571">
      <c r="A1571" s="55">
        <f>MIN(Inputs!$C$15,$A1570+IF(WEEKDAY($A1570,2)=5,3,1))</f>
        <v/>
      </c>
      <c r="B1571">
        <f>IF($A1571&gt;$A1570,1,0)</f>
        <v/>
      </c>
      <c r="C1571" s="56">
        <f>IF($B1571=0,"",IF(Inputs!$B$6="","",IF($AD1571=0,C1570,SUMIFS(Data!$B$10:$B$3209,Data!$A$10:$A$3209,"&gt;="&amp;$A1571,Data!$A$10:$A$3209,"&lt;"&amp;$A1571+1)/$AD1571)))</f>
        <v/>
      </c>
      <c r="D1571" s="56">
        <f>IF($B1571=0,"",IF(Inputs!$B$7="","",IF($AE1571=0,D1570,SUMIFS(Data!$F$10:$F$3209,Data!$E$10:$E$3209,"&gt;="&amp;$A1571,Data!$E$10:$E$3209,"&lt;"&amp;$A1571+1)/$AE1571)))</f>
        <v/>
      </c>
      <c r="E1571" s="56">
        <f>IF($B1571=0,"",IF(Inputs!$B$8="","",IF($AF1571=0,E1570,SUMIFS(Data!$J$10:$J$3209,Data!$I$10:$I$3209,"&gt;="&amp;$A1571,Data!$I$10:$I$3209,"&lt;"&amp;$A1571+1)/$AF1571)))</f>
        <v/>
      </c>
      <c r="F1571" s="56">
        <f>IF($B1571=0,"",IF(Inputs!$B$9="","",IF($AG1571=0,F1570,SUMIFS(Data!$N$10:$N$3209,Data!$M$10:$M$3209,"&gt;="&amp;$A1571,Data!$M$10:$M$3209,"&lt;"&amp;$A1571+1)/$AG1571)))</f>
        <v/>
      </c>
      <c r="G1571" s="56">
        <f>IF($B1571=0,"",IF(Inputs!$B$10="","",IF($AH1571=0,G1570,SUMIFS(Data!$R$10:$R$3209,Data!$Q$10:$Q$3209,"&gt;="&amp;$A1571,Data!$Q$10:$Q$3209,"&lt;"&amp;$A1571+1)/$AH1571)))</f>
        <v/>
      </c>
      <c r="I1571" s="54">
        <f>IF($B1571=0,NA(),IF($C1571="",NA(),IF(C$8="",NA(),IF(N(C$8)=0,NA(),IF(Inputs!$C$17="Rebased to 100",$C1571/C$8*100,$C1571)))))</f>
        <v/>
      </c>
      <c r="J1571" s="54">
        <f>IF($B1571=0,NA(),IF($D1571="",NA(),IF(D$8="",NA(),IF(N(D$8)=0,NA(),IF(Inputs!$C$17="Rebased to 100",$D1571/D$8*100,$D1571)))))</f>
        <v/>
      </c>
      <c r="K1571" s="54">
        <f>IF($B1571=0,NA(),IF($E1571="",NA(),IF(E$8="",NA(),IF(N(E$8)=0,NA(),IF(Inputs!$C$17="Rebased to 100",$E1571/E$8*100,$E1571)))))</f>
        <v/>
      </c>
      <c r="L1571" s="54">
        <f>IF($B1571=0,NA(),IF($F1571="",NA(),IF(F$8="",NA(),IF(N(F$8)=0,NA(),IF(Inputs!$C$17="Rebased to 100",$F1571/F$8*100,$F1571)))))</f>
        <v/>
      </c>
      <c r="M1571" s="54">
        <f>IF($B1571=0,NA(),IF($G1571="",NA(),IF(G$8="",NA(),IF(N(G$8)=0,NA(),IF(Inputs!$C$17="Rebased to 100",$G1571/G$8*100,$G1571)))))</f>
        <v/>
      </c>
      <c r="N1571" s="54">
        <f>IF($B1571=0,NA(),IF(Inputs!$C$18&lt;&gt;"Yes",NA(),IF(COUNT(I1571,J1571,K1571,L1571,M1571)=0,NA(),MIN(I1571,J1571,K1571,L1571,M1571))))</f>
        <v/>
      </c>
      <c r="O1571" s="54">
        <f>IF($B1571=0,NA(),IF(Inputs!$B$24&lt;&gt;"Yes",NA(),Inputs!$D$24*Inputs!$C$35))</f>
        <v/>
      </c>
      <c r="P1571" s="54">
        <f>IF($B1571=0,NA(),IF(Inputs!$B$25&lt;&gt;"Yes",NA(),Inputs!$D$25*Inputs!$C$35))</f>
        <v/>
      </c>
      <c r="Q1571" s="54">
        <f>IF($B1571=0,NA(),IF(Inputs!$B$26&lt;&gt;"Yes",NA(),Inputs!$D$26*Inputs!$C$35))</f>
        <v/>
      </c>
      <c r="R1571" s="54">
        <f>IF($B1571=0,NA(),IF(Inputs!$B$27&lt;&gt;"Yes",NA(),Inputs!$D$27*Inputs!$C$35))</f>
        <v/>
      </c>
      <c r="S1571" s="54">
        <f>IF($B1571=0,NA(),IF(Inputs!$B$28&lt;&gt;"Yes",NA(),Inputs!$D$28*Inputs!$C$35))</f>
        <v/>
      </c>
      <c r="T1571" s="54">
        <f>IF($B1571=0,NA(),IF(Inputs!$B$29&lt;&gt;"Yes",NA(),Inputs!$D$29*Inputs!$C$35))</f>
        <v/>
      </c>
      <c r="AD1571">
        <f>IF($B1571=0,0,IF(Inputs!$B$6="",0,COUNTIFS(Data!$A$10:$A$3209,"&gt;="&amp;$A1571,Data!$A$10:$A$3209,"&lt;"&amp;$A1571+1)))</f>
        <v/>
      </c>
      <c r="AE1571">
        <f>IF($B1571=0,0,IF(Inputs!$B$7="",0,COUNTIFS(Data!$E$10:$E$3209,"&gt;="&amp;$A1571,Data!$E$10:$E$3209,"&lt;"&amp;$A1571+1)))</f>
        <v/>
      </c>
      <c r="AF1571">
        <f>IF($B1571=0,0,IF(Inputs!$B$8="",0,COUNTIFS(Data!$I$10:$I$3209,"&gt;="&amp;$A1571,Data!$I$10:$I$3209,"&lt;"&amp;$A1571+1)))</f>
        <v/>
      </c>
      <c r="AG1571">
        <f>IF($B1571=0,0,IF(Inputs!$B$9="",0,COUNTIFS(Data!$M$10:$M$3209,"&gt;="&amp;$A1571,Data!$M$10:$M$3209,"&lt;"&amp;$A1571+1)))</f>
        <v/>
      </c>
      <c r="AH1571">
        <f>IF($B1571=0,0,IF(Inputs!$B$10="",0,COUNTIFS(Data!$Q$10:$Q$3209,"&gt;="&amp;$A1571,Data!$Q$10:$Q$3209,"&lt;"&amp;$A1571+1)))</f>
        <v/>
      </c>
    </row>
    <row r="1572">
      <c r="A1572" s="55">
        <f>MIN(Inputs!$C$15,$A1571+IF(WEEKDAY($A1571,2)=5,3,1))</f>
        <v/>
      </c>
      <c r="B1572">
        <f>IF($A1572&gt;$A1571,1,0)</f>
        <v/>
      </c>
      <c r="C1572" s="56">
        <f>IF($B1572=0,"",IF(Inputs!$B$6="","",IF($AD1572=0,C1571,SUMIFS(Data!$B$10:$B$3209,Data!$A$10:$A$3209,"&gt;="&amp;$A1572,Data!$A$10:$A$3209,"&lt;"&amp;$A1572+1)/$AD1572)))</f>
        <v/>
      </c>
      <c r="D1572" s="56">
        <f>IF($B1572=0,"",IF(Inputs!$B$7="","",IF($AE1572=0,D1571,SUMIFS(Data!$F$10:$F$3209,Data!$E$10:$E$3209,"&gt;="&amp;$A1572,Data!$E$10:$E$3209,"&lt;"&amp;$A1572+1)/$AE1572)))</f>
        <v/>
      </c>
      <c r="E1572" s="56">
        <f>IF($B1572=0,"",IF(Inputs!$B$8="","",IF($AF1572=0,E1571,SUMIFS(Data!$J$10:$J$3209,Data!$I$10:$I$3209,"&gt;="&amp;$A1572,Data!$I$10:$I$3209,"&lt;"&amp;$A1572+1)/$AF1572)))</f>
        <v/>
      </c>
      <c r="F1572" s="56">
        <f>IF($B1572=0,"",IF(Inputs!$B$9="","",IF($AG1572=0,F1571,SUMIFS(Data!$N$10:$N$3209,Data!$M$10:$M$3209,"&gt;="&amp;$A1572,Data!$M$10:$M$3209,"&lt;"&amp;$A1572+1)/$AG1572)))</f>
        <v/>
      </c>
      <c r="G1572" s="56">
        <f>IF($B1572=0,"",IF(Inputs!$B$10="","",IF($AH1572=0,G1571,SUMIFS(Data!$R$10:$R$3209,Data!$Q$10:$Q$3209,"&gt;="&amp;$A1572,Data!$Q$10:$Q$3209,"&lt;"&amp;$A1572+1)/$AH1572)))</f>
        <v/>
      </c>
      <c r="I1572" s="54">
        <f>IF($B1572=0,NA(),IF($C1572="",NA(),IF(C$8="",NA(),IF(N(C$8)=0,NA(),IF(Inputs!$C$17="Rebased to 100",$C1572/C$8*100,$C1572)))))</f>
        <v/>
      </c>
      <c r="J1572" s="54">
        <f>IF($B1572=0,NA(),IF($D1572="",NA(),IF(D$8="",NA(),IF(N(D$8)=0,NA(),IF(Inputs!$C$17="Rebased to 100",$D1572/D$8*100,$D1572)))))</f>
        <v/>
      </c>
      <c r="K1572" s="54">
        <f>IF($B1572=0,NA(),IF($E1572="",NA(),IF(E$8="",NA(),IF(N(E$8)=0,NA(),IF(Inputs!$C$17="Rebased to 100",$E1572/E$8*100,$E1572)))))</f>
        <v/>
      </c>
      <c r="L1572" s="54">
        <f>IF($B1572=0,NA(),IF($F1572="",NA(),IF(F$8="",NA(),IF(N(F$8)=0,NA(),IF(Inputs!$C$17="Rebased to 100",$F1572/F$8*100,$F1572)))))</f>
        <v/>
      </c>
      <c r="M1572" s="54">
        <f>IF($B1572=0,NA(),IF($G1572="",NA(),IF(G$8="",NA(),IF(N(G$8)=0,NA(),IF(Inputs!$C$17="Rebased to 100",$G1572/G$8*100,$G1572)))))</f>
        <v/>
      </c>
      <c r="N1572" s="54">
        <f>IF($B1572=0,NA(),IF(Inputs!$C$18&lt;&gt;"Yes",NA(),IF(COUNT(I1572,J1572,K1572,L1572,M1572)=0,NA(),MIN(I1572,J1572,K1572,L1572,M1572))))</f>
        <v/>
      </c>
      <c r="O1572" s="54">
        <f>IF($B1572=0,NA(),IF(Inputs!$B$24&lt;&gt;"Yes",NA(),Inputs!$D$24*Inputs!$C$35))</f>
        <v/>
      </c>
      <c r="P1572" s="54">
        <f>IF($B1572=0,NA(),IF(Inputs!$B$25&lt;&gt;"Yes",NA(),Inputs!$D$25*Inputs!$C$35))</f>
        <v/>
      </c>
      <c r="Q1572" s="54">
        <f>IF($B1572=0,NA(),IF(Inputs!$B$26&lt;&gt;"Yes",NA(),Inputs!$D$26*Inputs!$C$35))</f>
        <v/>
      </c>
      <c r="R1572" s="54">
        <f>IF($B1572=0,NA(),IF(Inputs!$B$27&lt;&gt;"Yes",NA(),Inputs!$D$27*Inputs!$C$35))</f>
        <v/>
      </c>
      <c r="S1572" s="54">
        <f>IF($B1572=0,NA(),IF(Inputs!$B$28&lt;&gt;"Yes",NA(),Inputs!$D$28*Inputs!$C$35))</f>
        <v/>
      </c>
      <c r="T1572" s="54">
        <f>IF($B1572=0,NA(),IF(Inputs!$B$29&lt;&gt;"Yes",NA(),Inputs!$D$29*Inputs!$C$35))</f>
        <v/>
      </c>
      <c r="AD1572">
        <f>IF($B1572=0,0,IF(Inputs!$B$6="",0,COUNTIFS(Data!$A$10:$A$3209,"&gt;="&amp;$A1572,Data!$A$10:$A$3209,"&lt;"&amp;$A1572+1)))</f>
        <v/>
      </c>
      <c r="AE1572">
        <f>IF($B1572=0,0,IF(Inputs!$B$7="",0,COUNTIFS(Data!$E$10:$E$3209,"&gt;="&amp;$A1572,Data!$E$10:$E$3209,"&lt;"&amp;$A1572+1)))</f>
        <v/>
      </c>
      <c r="AF1572">
        <f>IF($B1572=0,0,IF(Inputs!$B$8="",0,COUNTIFS(Data!$I$10:$I$3209,"&gt;="&amp;$A1572,Data!$I$10:$I$3209,"&lt;"&amp;$A1572+1)))</f>
        <v/>
      </c>
      <c r="AG1572">
        <f>IF($B1572=0,0,IF(Inputs!$B$9="",0,COUNTIFS(Data!$M$10:$M$3209,"&gt;="&amp;$A1572,Data!$M$10:$M$3209,"&lt;"&amp;$A1572+1)))</f>
        <v/>
      </c>
      <c r="AH1572">
        <f>IF($B1572=0,0,IF(Inputs!$B$10="",0,COUNTIFS(Data!$Q$10:$Q$3209,"&gt;="&amp;$A1572,Data!$Q$10:$Q$3209,"&lt;"&amp;$A1572+1)))</f>
        <v/>
      </c>
    </row>
    <row r="1573">
      <c r="A1573" s="55">
        <f>MIN(Inputs!$C$15,$A1572+IF(WEEKDAY($A1572,2)=5,3,1))</f>
        <v/>
      </c>
      <c r="B1573">
        <f>IF($A1573&gt;$A1572,1,0)</f>
        <v/>
      </c>
      <c r="C1573" s="56">
        <f>IF($B1573=0,"",IF(Inputs!$B$6="","",IF($AD1573=0,C1572,SUMIFS(Data!$B$10:$B$3209,Data!$A$10:$A$3209,"&gt;="&amp;$A1573,Data!$A$10:$A$3209,"&lt;"&amp;$A1573+1)/$AD1573)))</f>
        <v/>
      </c>
      <c r="D1573" s="56">
        <f>IF($B1573=0,"",IF(Inputs!$B$7="","",IF($AE1573=0,D1572,SUMIFS(Data!$F$10:$F$3209,Data!$E$10:$E$3209,"&gt;="&amp;$A1573,Data!$E$10:$E$3209,"&lt;"&amp;$A1573+1)/$AE1573)))</f>
        <v/>
      </c>
      <c r="E1573" s="56">
        <f>IF($B1573=0,"",IF(Inputs!$B$8="","",IF($AF1573=0,E1572,SUMIFS(Data!$J$10:$J$3209,Data!$I$10:$I$3209,"&gt;="&amp;$A1573,Data!$I$10:$I$3209,"&lt;"&amp;$A1573+1)/$AF1573)))</f>
        <v/>
      </c>
      <c r="F1573" s="56">
        <f>IF($B1573=0,"",IF(Inputs!$B$9="","",IF($AG1573=0,F1572,SUMIFS(Data!$N$10:$N$3209,Data!$M$10:$M$3209,"&gt;="&amp;$A1573,Data!$M$10:$M$3209,"&lt;"&amp;$A1573+1)/$AG1573)))</f>
        <v/>
      </c>
      <c r="G1573" s="56">
        <f>IF($B1573=0,"",IF(Inputs!$B$10="","",IF($AH1573=0,G1572,SUMIFS(Data!$R$10:$R$3209,Data!$Q$10:$Q$3209,"&gt;="&amp;$A1573,Data!$Q$10:$Q$3209,"&lt;"&amp;$A1573+1)/$AH1573)))</f>
        <v/>
      </c>
      <c r="I1573" s="54">
        <f>IF($B1573=0,NA(),IF($C1573="",NA(),IF(C$8="",NA(),IF(N(C$8)=0,NA(),IF(Inputs!$C$17="Rebased to 100",$C1573/C$8*100,$C1573)))))</f>
        <v/>
      </c>
      <c r="J1573" s="54">
        <f>IF($B1573=0,NA(),IF($D1573="",NA(),IF(D$8="",NA(),IF(N(D$8)=0,NA(),IF(Inputs!$C$17="Rebased to 100",$D1573/D$8*100,$D1573)))))</f>
        <v/>
      </c>
      <c r="K1573" s="54">
        <f>IF($B1573=0,NA(),IF($E1573="",NA(),IF(E$8="",NA(),IF(N(E$8)=0,NA(),IF(Inputs!$C$17="Rebased to 100",$E1573/E$8*100,$E1573)))))</f>
        <v/>
      </c>
      <c r="L1573" s="54">
        <f>IF($B1573=0,NA(),IF($F1573="",NA(),IF(F$8="",NA(),IF(N(F$8)=0,NA(),IF(Inputs!$C$17="Rebased to 100",$F1573/F$8*100,$F1573)))))</f>
        <v/>
      </c>
      <c r="M1573" s="54">
        <f>IF($B1573=0,NA(),IF($G1573="",NA(),IF(G$8="",NA(),IF(N(G$8)=0,NA(),IF(Inputs!$C$17="Rebased to 100",$G1573/G$8*100,$G1573)))))</f>
        <v/>
      </c>
      <c r="N1573" s="54">
        <f>IF($B1573=0,NA(),IF(Inputs!$C$18&lt;&gt;"Yes",NA(),IF(COUNT(I1573,J1573,K1573,L1573,M1573)=0,NA(),MIN(I1573,J1573,K1573,L1573,M1573))))</f>
        <v/>
      </c>
      <c r="O1573" s="54">
        <f>IF($B1573=0,NA(),IF(Inputs!$B$24&lt;&gt;"Yes",NA(),Inputs!$D$24*Inputs!$C$35))</f>
        <v/>
      </c>
      <c r="P1573" s="54">
        <f>IF($B1573=0,NA(),IF(Inputs!$B$25&lt;&gt;"Yes",NA(),Inputs!$D$25*Inputs!$C$35))</f>
        <v/>
      </c>
      <c r="Q1573" s="54">
        <f>IF($B1573=0,NA(),IF(Inputs!$B$26&lt;&gt;"Yes",NA(),Inputs!$D$26*Inputs!$C$35))</f>
        <v/>
      </c>
      <c r="R1573" s="54">
        <f>IF($B1573=0,NA(),IF(Inputs!$B$27&lt;&gt;"Yes",NA(),Inputs!$D$27*Inputs!$C$35))</f>
        <v/>
      </c>
      <c r="S1573" s="54">
        <f>IF($B1573=0,NA(),IF(Inputs!$B$28&lt;&gt;"Yes",NA(),Inputs!$D$28*Inputs!$C$35))</f>
        <v/>
      </c>
      <c r="T1573" s="54">
        <f>IF($B1573=0,NA(),IF(Inputs!$B$29&lt;&gt;"Yes",NA(),Inputs!$D$29*Inputs!$C$35))</f>
        <v/>
      </c>
      <c r="AD1573">
        <f>IF($B1573=0,0,IF(Inputs!$B$6="",0,COUNTIFS(Data!$A$10:$A$3209,"&gt;="&amp;$A1573,Data!$A$10:$A$3209,"&lt;"&amp;$A1573+1)))</f>
        <v/>
      </c>
      <c r="AE1573">
        <f>IF($B1573=0,0,IF(Inputs!$B$7="",0,COUNTIFS(Data!$E$10:$E$3209,"&gt;="&amp;$A1573,Data!$E$10:$E$3209,"&lt;"&amp;$A1573+1)))</f>
        <v/>
      </c>
      <c r="AF1573">
        <f>IF($B1573=0,0,IF(Inputs!$B$8="",0,COUNTIFS(Data!$I$10:$I$3209,"&gt;="&amp;$A1573,Data!$I$10:$I$3209,"&lt;"&amp;$A1573+1)))</f>
        <v/>
      </c>
      <c r="AG1573">
        <f>IF($B1573=0,0,IF(Inputs!$B$9="",0,COUNTIFS(Data!$M$10:$M$3209,"&gt;="&amp;$A1573,Data!$M$10:$M$3209,"&lt;"&amp;$A1573+1)))</f>
        <v/>
      </c>
      <c r="AH1573">
        <f>IF($B1573=0,0,IF(Inputs!$B$10="",0,COUNTIFS(Data!$Q$10:$Q$3209,"&gt;="&amp;$A1573,Data!$Q$10:$Q$3209,"&lt;"&amp;$A1573+1)))</f>
        <v/>
      </c>
    </row>
    <row r="1574">
      <c r="A1574" s="55">
        <f>MIN(Inputs!$C$15,$A1573+IF(WEEKDAY($A1573,2)=5,3,1))</f>
        <v/>
      </c>
      <c r="B1574">
        <f>IF($A1574&gt;$A1573,1,0)</f>
        <v/>
      </c>
      <c r="C1574" s="56">
        <f>IF($B1574=0,"",IF(Inputs!$B$6="","",IF($AD1574=0,C1573,SUMIFS(Data!$B$10:$B$3209,Data!$A$10:$A$3209,"&gt;="&amp;$A1574,Data!$A$10:$A$3209,"&lt;"&amp;$A1574+1)/$AD1574)))</f>
        <v/>
      </c>
      <c r="D1574" s="56">
        <f>IF($B1574=0,"",IF(Inputs!$B$7="","",IF($AE1574=0,D1573,SUMIFS(Data!$F$10:$F$3209,Data!$E$10:$E$3209,"&gt;="&amp;$A1574,Data!$E$10:$E$3209,"&lt;"&amp;$A1574+1)/$AE1574)))</f>
        <v/>
      </c>
      <c r="E1574" s="56">
        <f>IF($B1574=0,"",IF(Inputs!$B$8="","",IF($AF1574=0,E1573,SUMIFS(Data!$J$10:$J$3209,Data!$I$10:$I$3209,"&gt;="&amp;$A1574,Data!$I$10:$I$3209,"&lt;"&amp;$A1574+1)/$AF1574)))</f>
        <v/>
      </c>
      <c r="F1574" s="56">
        <f>IF($B1574=0,"",IF(Inputs!$B$9="","",IF($AG1574=0,F1573,SUMIFS(Data!$N$10:$N$3209,Data!$M$10:$M$3209,"&gt;="&amp;$A1574,Data!$M$10:$M$3209,"&lt;"&amp;$A1574+1)/$AG1574)))</f>
        <v/>
      </c>
      <c r="G1574" s="56">
        <f>IF($B1574=0,"",IF(Inputs!$B$10="","",IF($AH1574=0,G1573,SUMIFS(Data!$R$10:$R$3209,Data!$Q$10:$Q$3209,"&gt;="&amp;$A1574,Data!$Q$10:$Q$3209,"&lt;"&amp;$A1574+1)/$AH1574)))</f>
        <v/>
      </c>
      <c r="I1574" s="54">
        <f>IF($B1574=0,NA(),IF($C1574="",NA(),IF(C$8="",NA(),IF(N(C$8)=0,NA(),IF(Inputs!$C$17="Rebased to 100",$C1574/C$8*100,$C1574)))))</f>
        <v/>
      </c>
      <c r="J1574" s="54">
        <f>IF($B1574=0,NA(),IF($D1574="",NA(),IF(D$8="",NA(),IF(N(D$8)=0,NA(),IF(Inputs!$C$17="Rebased to 100",$D1574/D$8*100,$D1574)))))</f>
        <v/>
      </c>
      <c r="K1574" s="54">
        <f>IF($B1574=0,NA(),IF($E1574="",NA(),IF(E$8="",NA(),IF(N(E$8)=0,NA(),IF(Inputs!$C$17="Rebased to 100",$E1574/E$8*100,$E1574)))))</f>
        <v/>
      </c>
      <c r="L1574" s="54">
        <f>IF($B1574=0,NA(),IF($F1574="",NA(),IF(F$8="",NA(),IF(N(F$8)=0,NA(),IF(Inputs!$C$17="Rebased to 100",$F1574/F$8*100,$F1574)))))</f>
        <v/>
      </c>
      <c r="M1574" s="54">
        <f>IF($B1574=0,NA(),IF($G1574="",NA(),IF(G$8="",NA(),IF(N(G$8)=0,NA(),IF(Inputs!$C$17="Rebased to 100",$G1574/G$8*100,$G1574)))))</f>
        <v/>
      </c>
      <c r="N1574" s="54">
        <f>IF($B1574=0,NA(),IF(Inputs!$C$18&lt;&gt;"Yes",NA(),IF(COUNT(I1574,J1574,K1574,L1574,M1574)=0,NA(),MIN(I1574,J1574,K1574,L1574,M1574))))</f>
        <v/>
      </c>
      <c r="O1574" s="54">
        <f>IF($B1574=0,NA(),IF(Inputs!$B$24&lt;&gt;"Yes",NA(),Inputs!$D$24*Inputs!$C$35))</f>
        <v/>
      </c>
      <c r="P1574" s="54">
        <f>IF($B1574=0,NA(),IF(Inputs!$B$25&lt;&gt;"Yes",NA(),Inputs!$D$25*Inputs!$C$35))</f>
        <v/>
      </c>
      <c r="Q1574" s="54">
        <f>IF($B1574=0,NA(),IF(Inputs!$B$26&lt;&gt;"Yes",NA(),Inputs!$D$26*Inputs!$C$35))</f>
        <v/>
      </c>
      <c r="R1574" s="54">
        <f>IF($B1574=0,NA(),IF(Inputs!$B$27&lt;&gt;"Yes",NA(),Inputs!$D$27*Inputs!$C$35))</f>
        <v/>
      </c>
      <c r="S1574" s="54">
        <f>IF($B1574=0,NA(),IF(Inputs!$B$28&lt;&gt;"Yes",NA(),Inputs!$D$28*Inputs!$C$35))</f>
        <v/>
      </c>
      <c r="T1574" s="54">
        <f>IF($B1574=0,NA(),IF(Inputs!$B$29&lt;&gt;"Yes",NA(),Inputs!$D$29*Inputs!$C$35))</f>
        <v/>
      </c>
      <c r="AD1574">
        <f>IF($B1574=0,0,IF(Inputs!$B$6="",0,COUNTIFS(Data!$A$10:$A$3209,"&gt;="&amp;$A1574,Data!$A$10:$A$3209,"&lt;"&amp;$A1574+1)))</f>
        <v/>
      </c>
      <c r="AE1574">
        <f>IF($B1574=0,0,IF(Inputs!$B$7="",0,COUNTIFS(Data!$E$10:$E$3209,"&gt;="&amp;$A1574,Data!$E$10:$E$3209,"&lt;"&amp;$A1574+1)))</f>
        <v/>
      </c>
      <c r="AF1574">
        <f>IF($B1574=0,0,IF(Inputs!$B$8="",0,COUNTIFS(Data!$I$10:$I$3209,"&gt;="&amp;$A1574,Data!$I$10:$I$3209,"&lt;"&amp;$A1574+1)))</f>
        <v/>
      </c>
      <c r="AG1574">
        <f>IF($B1574=0,0,IF(Inputs!$B$9="",0,COUNTIFS(Data!$M$10:$M$3209,"&gt;="&amp;$A1574,Data!$M$10:$M$3209,"&lt;"&amp;$A1574+1)))</f>
        <v/>
      </c>
      <c r="AH1574">
        <f>IF($B1574=0,0,IF(Inputs!$B$10="",0,COUNTIFS(Data!$Q$10:$Q$3209,"&gt;="&amp;$A1574,Data!$Q$10:$Q$3209,"&lt;"&amp;$A1574+1)))</f>
        <v/>
      </c>
    </row>
    <row r="1575">
      <c r="A1575" s="55">
        <f>MIN(Inputs!$C$15,$A1574+IF(WEEKDAY($A1574,2)=5,3,1))</f>
        <v/>
      </c>
      <c r="B1575">
        <f>IF($A1575&gt;$A1574,1,0)</f>
        <v/>
      </c>
      <c r="C1575" s="56">
        <f>IF($B1575=0,"",IF(Inputs!$B$6="","",IF($AD1575=0,C1574,SUMIFS(Data!$B$10:$B$3209,Data!$A$10:$A$3209,"&gt;="&amp;$A1575,Data!$A$10:$A$3209,"&lt;"&amp;$A1575+1)/$AD1575)))</f>
        <v/>
      </c>
      <c r="D1575" s="56">
        <f>IF($B1575=0,"",IF(Inputs!$B$7="","",IF($AE1575=0,D1574,SUMIFS(Data!$F$10:$F$3209,Data!$E$10:$E$3209,"&gt;="&amp;$A1575,Data!$E$10:$E$3209,"&lt;"&amp;$A1575+1)/$AE1575)))</f>
        <v/>
      </c>
      <c r="E1575" s="56">
        <f>IF($B1575=0,"",IF(Inputs!$B$8="","",IF($AF1575=0,E1574,SUMIFS(Data!$J$10:$J$3209,Data!$I$10:$I$3209,"&gt;="&amp;$A1575,Data!$I$10:$I$3209,"&lt;"&amp;$A1575+1)/$AF1575)))</f>
        <v/>
      </c>
      <c r="F1575" s="56">
        <f>IF($B1575=0,"",IF(Inputs!$B$9="","",IF($AG1575=0,F1574,SUMIFS(Data!$N$10:$N$3209,Data!$M$10:$M$3209,"&gt;="&amp;$A1575,Data!$M$10:$M$3209,"&lt;"&amp;$A1575+1)/$AG1575)))</f>
        <v/>
      </c>
      <c r="G1575" s="56">
        <f>IF($B1575=0,"",IF(Inputs!$B$10="","",IF($AH1575=0,G1574,SUMIFS(Data!$R$10:$R$3209,Data!$Q$10:$Q$3209,"&gt;="&amp;$A1575,Data!$Q$10:$Q$3209,"&lt;"&amp;$A1575+1)/$AH1575)))</f>
        <v/>
      </c>
      <c r="I1575" s="54">
        <f>IF($B1575=0,NA(),IF($C1575="",NA(),IF(C$8="",NA(),IF(N(C$8)=0,NA(),IF(Inputs!$C$17="Rebased to 100",$C1575/C$8*100,$C1575)))))</f>
        <v/>
      </c>
      <c r="J1575" s="54">
        <f>IF($B1575=0,NA(),IF($D1575="",NA(),IF(D$8="",NA(),IF(N(D$8)=0,NA(),IF(Inputs!$C$17="Rebased to 100",$D1575/D$8*100,$D1575)))))</f>
        <v/>
      </c>
      <c r="K1575" s="54">
        <f>IF($B1575=0,NA(),IF($E1575="",NA(),IF(E$8="",NA(),IF(N(E$8)=0,NA(),IF(Inputs!$C$17="Rebased to 100",$E1575/E$8*100,$E1575)))))</f>
        <v/>
      </c>
      <c r="L1575" s="54">
        <f>IF($B1575=0,NA(),IF($F1575="",NA(),IF(F$8="",NA(),IF(N(F$8)=0,NA(),IF(Inputs!$C$17="Rebased to 100",$F1575/F$8*100,$F1575)))))</f>
        <v/>
      </c>
      <c r="M1575" s="54">
        <f>IF($B1575=0,NA(),IF($G1575="",NA(),IF(G$8="",NA(),IF(N(G$8)=0,NA(),IF(Inputs!$C$17="Rebased to 100",$G1575/G$8*100,$G1575)))))</f>
        <v/>
      </c>
      <c r="N1575" s="54">
        <f>IF($B1575=0,NA(),IF(Inputs!$C$18&lt;&gt;"Yes",NA(),IF(COUNT(I1575,J1575,K1575,L1575,M1575)=0,NA(),MIN(I1575,J1575,K1575,L1575,M1575))))</f>
        <v/>
      </c>
      <c r="O1575" s="54">
        <f>IF($B1575=0,NA(),IF(Inputs!$B$24&lt;&gt;"Yes",NA(),Inputs!$D$24*Inputs!$C$35))</f>
        <v/>
      </c>
      <c r="P1575" s="54">
        <f>IF($B1575=0,NA(),IF(Inputs!$B$25&lt;&gt;"Yes",NA(),Inputs!$D$25*Inputs!$C$35))</f>
        <v/>
      </c>
      <c r="Q1575" s="54">
        <f>IF($B1575=0,NA(),IF(Inputs!$B$26&lt;&gt;"Yes",NA(),Inputs!$D$26*Inputs!$C$35))</f>
        <v/>
      </c>
      <c r="R1575" s="54">
        <f>IF($B1575=0,NA(),IF(Inputs!$B$27&lt;&gt;"Yes",NA(),Inputs!$D$27*Inputs!$C$35))</f>
        <v/>
      </c>
      <c r="S1575" s="54">
        <f>IF($B1575=0,NA(),IF(Inputs!$B$28&lt;&gt;"Yes",NA(),Inputs!$D$28*Inputs!$C$35))</f>
        <v/>
      </c>
      <c r="T1575" s="54">
        <f>IF($B1575=0,NA(),IF(Inputs!$B$29&lt;&gt;"Yes",NA(),Inputs!$D$29*Inputs!$C$35))</f>
        <v/>
      </c>
      <c r="AD1575">
        <f>IF($B1575=0,0,IF(Inputs!$B$6="",0,COUNTIFS(Data!$A$10:$A$3209,"&gt;="&amp;$A1575,Data!$A$10:$A$3209,"&lt;"&amp;$A1575+1)))</f>
        <v/>
      </c>
      <c r="AE1575">
        <f>IF($B1575=0,0,IF(Inputs!$B$7="",0,COUNTIFS(Data!$E$10:$E$3209,"&gt;="&amp;$A1575,Data!$E$10:$E$3209,"&lt;"&amp;$A1575+1)))</f>
        <v/>
      </c>
      <c r="AF1575">
        <f>IF($B1575=0,0,IF(Inputs!$B$8="",0,COUNTIFS(Data!$I$10:$I$3209,"&gt;="&amp;$A1575,Data!$I$10:$I$3209,"&lt;"&amp;$A1575+1)))</f>
        <v/>
      </c>
      <c r="AG1575">
        <f>IF($B1575=0,0,IF(Inputs!$B$9="",0,COUNTIFS(Data!$M$10:$M$3209,"&gt;="&amp;$A1575,Data!$M$10:$M$3209,"&lt;"&amp;$A1575+1)))</f>
        <v/>
      </c>
      <c r="AH1575">
        <f>IF($B1575=0,0,IF(Inputs!$B$10="",0,COUNTIFS(Data!$Q$10:$Q$3209,"&gt;="&amp;$A1575,Data!$Q$10:$Q$3209,"&lt;"&amp;$A1575+1)))</f>
        <v/>
      </c>
    </row>
    <row r="1576">
      <c r="A1576" s="55">
        <f>MIN(Inputs!$C$15,$A1575+IF(WEEKDAY($A1575,2)=5,3,1))</f>
        <v/>
      </c>
      <c r="B1576">
        <f>IF($A1576&gt;$A1575,1,0)</f>
        <v/>
      </c>
      <c r="C1576" s="56">
        <f>IF($B1576=0,"",IF(Inputs!$B$6="","",IF($AD1576=0,C1575,SUMIFS(Data!$B$10:$B$3209,Data!$A$10:$A$3209,"&gt;="&amp;$A1576,Data!$A$10:$A$3209,"&lt;"&amp;$A1576+1)/$AD1576)))</f>
        <v/>
      </c>
      <c r="D1576" s="56">
        <f>IF($B1576=0,"",IF(Inputs!$B$7="","",IF($AE1576=0,D1575,SUMIFS(Data!$F$10:$F$3209,Data!$E$10:$E$3209,"&gt;="&amp;$A1576,Data!$E$10:$E$3209,"&lt;"&amp;$A1576+1)/$AE1576)))</f>
        <v/>
      </c>
      <c r="E1576" s="56">
        <f>IF($B1576=0,"",IF(Inputs!$B$8="","",IF($AF1576=0,E1575,SUMIFS(Data!$J$10:$J$3209,Data!$I$10:$I$3209,"&gt;="&amp;$A1576,Data!$I$10:$I$3209,"&lt;"&amp;$A1576+1)/$AF1576)))</f>
        <v/>
      </c>
      <c r="F1576" s="56">
        <f>IF($B1576=0,"",IF(Inputs!$B$9="","",IF($AG1576=0,F1575,SUMIFS(Data!$N$10:$N$3209,Data!$M$10:$M$3209,"&gt;="&amp;$A1576,Data!$M$10:$M$3209,"&lt;"&amp;$A1576+1)/$AG1576)))</f>
        <v/>
      </c>
      <c r="G1576" s="56">
        <f>IF($B1576=0,"",IF(Inputs!$B$10="","",IF($AH1576=0,G1575,SUMIFS(Data!$R$10:$R$3209,Data!$Q$10:$Q$3209,"&gt;="&amp;$A1576,Data!$Q$10:$Q$3209,"&lt;"&amp;$A1576+1)/$AH1576)))</f>
        <v/>
      </c>
      <c r="I1576" s="54">
        <f>IF($B1576=0,NA(),IF($C1576="",NA(),IF(C$8="",NA(),IF(N(C$8)=0,NA(),IF(Inputs!$C$17="Rebased to 100",$C1576/C$8*100,$C1576)))))</f>
        <v/>
      </c>
      <c r="J1576" s="54">
        <f>IF($B1576=0,NA(),IF($D1576="",NA(),IF(D$8="",NA(),IF(N(D$8)=0,NA(),IF(Inputs!$C$17="Rebased to 100",$D1576/D$8*100,$D1576)))))</f>
        <v/>
      </c>
      <c r="K1576" s="54">
        <f>IF($B1576=0,NA(),IF($E1576="",NA(),IF(E$8="",NA(),IF(N(E$8)=0,NA(),IF(Inputs!$C$17="Rebased to 100",$E1576/E$8*100,$E1576)))))</f>
        <v/>
      </c>
      <c r="L1576" s="54">
        <f>IF($B1576=0,NA(),IF($F1576="",NA(),IF(F$8="",NA(),IF(N(F$8)=0,NA(),IF(Inputs!$C$17="Rebased to 100",$F1576/F$8*100,$F1576)))))</f>
        <v/>
      </c>
      <c r="M1576" s="54">
        <f>IF($B1576=0,NA(),IF($G1576="",NA(),IF(G$8="",NA(),IF(N(G$8)=0,NA(),IF(Inputs!$C$17="Rebased to 100",$G1576/G$8*100,$G1576)))))</f>
        <v/>
      </c>
      <c r="N1576" s="54">
        <f>IF($B1576=0,NA(),IF(Inputs!$C$18&lt;&gt;"Yes",NA(),IF(COUNT(I1576,J1576,K1576,L1576,M1576)=0,NA(),MIN(I1576,J1576,K1576,L1576,M1576))))</f>
        <v/>
      </c>
      <c r="O1576" s="54">
        <f>IF($B1576=0,NA(),IF(Inputs!$B$24&lt;&gt;"Yes",NA(),Inputs!$D$24*Inputs!$C$35))</f>
        <v/>
      </c>
      <c r="P1576" s="54">
        <f>IF($B1576=0,NA(),IF(Inputs!$B$25&lt;&gt;"Yes",NA(),Inputs!$D$25*Inputs!$C$35))</f>
        <v/>
      </c>
      <c r="Q1576" s="54">
        <f>IF($B1576=0,NA(),IF(Inputs!$B$26&lt;&gt;"Yes",NA(),Inputs!$D$26*Inputs!$C$35))</f>
        <v/>
      </c>
      <c r="R1576" s="54">
        <f>IF($B1576=0,NA(),IF(Inputs!$B$27&lt;&gt;"Yes",NA(),Inputs!$D$27*Inputs!$C$35))</f>
        <v/>
      </c>
      <c r="S1576" s="54">
        <f>IF($B1576=0,NA(),IF(Inputs!$B$28&lt;&gt;"Yes",NA(),Inputs!$D$28*Inputs!$C$35))</f>
        <v/>
      </c>
      <c r="T1576" s="54">
        <f>IF($B1576=0,NA(),IF(Inputs!$B$29&lt;&gt;"Yes",NA(),Inputs!$D$29*Inputs!$C$35))</f>
        <v/>
      </c>
      <c r="AD1576">
        <f>IF($B1576=0,0,IF(Inputs!$B$6="",0,COUNTIFS(Data!$A$10:$A$3209,"&gt;="&amp;$A1576,Data!$A$10:$A$3209,"&lt;"&amp;$A1576+1)))</f>
        <v/>
      </c>
      <c r="AE1576">
        <f>IF($B1576=0,0,IF(Inputs!$B$7="",0,COUNTIFS(Data!$E$10:$E$3209,"&gt;="&amp;$A1576,Data!$E$10:$E$3209,"&lt;"&amp;$A1576+1)))</f>
        <v/>
      </c>
      <c r="AF1576">
        <f>IF($B1576=0,0,IF(Inputs!$B$8="",0,COUNTIFS(Data!$I$10:$I$3209,"&gt;="&amp;$A1576,Data!$I$10:$I$3209,"&lt;"&amp;$A1576+1)))</f>
        <v/>
      </c>
      <c r="AG1576">
        <f>IF($B1576=0,0,IF(Inputs!$B$9="",0,COUNTIFS(Data!$M$10:$M$3209,"&gt;="&amp;$A1576,Data!$M$10:$M$3209,"&lt;"&amp;$A1576+1)))</f>
        <v/>
      </c>
      <c r="AH1576">
        <f>IF($B1576=0,0,IF(Inputs!$B$10="",0,COUNTIFS(Data!$Q$10:$Q$3209,"&gt;="&amp;$A1576,Data!$Q$10:$Q$3209,"&lt;"&amp;$A1576+1)))</f>
        <v/>
      </c>
    </row>
    <row r="1577">
      <c r="A1577" s="55">
        <f>MIN(Inputs!$C$15,$A1576+IF(WEEKDAY($A1576,2)=5,3,1))</f>
        <v/>
      </c>
      <c r="B1577">
        <f>IF($A1577&gt;$A1576,1,0)</f>
        <v/>
      </c>
      <c r="C1577" s="56">
        <f>IF($B1577=0,"",IF(Inputs!$B$6="","",IF($AD1577=0,C1576,SUMIFS(Data!$B$10:$B$3209,Data!$A$10:$A$3209,"&gt;="&amp;$A1577,Data!$A$10:$A$3209,"&lt;"&amp;$A1577+1)/$AD1577)))</f>
        <v/>
      </c>
      <c r="D1577" s="56">
        <f>IF($B1577=0,"",IF(Inputs!$B$7="","",IF($AE1577=0,D1576,SUMIFS(Data!$F$10:$F$3209,Data!$E$10:$E$3209,"&gt;="&amp;$A1577,Data!$E$10:$E$3209,"&lt;"&amp;$A1577+1)/$AE1577)))</f>
        <v/>
      </c>
      <c r="E1577" s="56">
        <f>IF($B1577=0,"",IF(Inputs!$B$8="","",IF($AF1577=0,E1576,SUMIFS(Data!$J$10:$J$3209,Data!$I$10:$I$3209,"&gt;="&amp;$A1577,Data!$I$10:$I$3209,"&lt;"&amp;$A1577+1)/$AF1577)))</f>
        <v/>
      </c>
      <c r="F1577" s="56">
        <f>IF($B1577=0,"",IF(Inputs!$B$9="","",IF($AG1577=0,F1576,SUMIFS(Data!$N$10:$N$3209,Data!$M$10:$M$3209,"&gt;="&amp;$A1577,Data!$M$10:$M$3209,"&lt;"&amp;$A1577+1)/$AG1577)))</f>
        <v/>
      </c>
      <c r="G1577" s="56">
        <f>IF($B1577=0,"",IF(Inputs!$B$10="","",IF($AH1577=0,G1576,SUMIFS(Data!$R$10:$R$3209,Data!$Q$10:$Q$3209,"&gt;="&amp;$A1577,Data!$Q$10:$Q$3209,"&lt;"&amp;$A1577+1)/$AH1577)))</f>
        <v/>
      </c>
      <c r="I1577" s="54">
        <f>IF($B1577=0,NA(),IF($C1577="",NA(),IF(C$8="",NA(),IF(N(C$8)=0,NA(),IF(Inputs!$C$17="Rebased to 100",$C1577/C$8*100,$C1577)))))</f>
        <v/>
      </c>
      <c r="J1577" s="54">
        <f>IF($B1577=0,NA(),IF($D1577="",NA(),IF(D$8="",NA(),IF(N(D$8)=0,NA(),IF(Inputs!$C$17="Rebased to 100",$D1577/D$8*100,$D1577)))))</f>
        <v/>
      </c>
      <c r="K1577" s="54">
        <f>IF($B1577=0,NA(),IF($E1577="",NA(),IF(E$8="",NA(),IF(N(E$8)=0,NA(),IF(Inputs!$C$17="Rebased to 100",$E1577/E$8*100,$E1577)))))</f>
        <v/>
      </c>
      <c r="L1577" s="54">
        <f>IF($B1577=0,NA(),IF($F1577="",NA(),IF(F$8="",NA(),IF(N(F$8)=0,NA(),IF(Inputs!$C$17="Rebased to 100",$F1577/F$8*100,$F1577)))))</f>
        <v/>
      </c>
      <c r="M1577" s="54">
        <f>IF($B1577=0,NA(),IF($G1577="",NA(),IF(G$8="",NA(),IF(N(G$8)=0,NA(),IF(Inputs!$C$17="Rebased to 100",$G1577/G$8*100,$G1577)))))</f>
        <v/>
      </c>
      <c r="N1577" s="54">
        <f>IF($B1577=0,NA(),IF(Inputs!$C$18&lt;&gt;"Yes",NA(),IF(COUNT(I1577,J1577,K1577,L1577,M1577)=0,NA(),MIN(I1577,J1577,K1577,L1577,M1577))))</f>
        <v/>
      </c>
      <c r="O1577" s="54">
        <f>IF($B1577=0,NA(),IF(Inputs!$B$24&lt;&gt;"Yes",NA(),Inputs!$D$24*Inputs!$C$35))</f>
        <v/>
      </c>
      <c r="P1577" s="54">
        <f>IF($B1577=0,NA(),IF(Inputs!$B$25&lt;&gt;"Yes",NA(),Inputs!$D$25*Inputs!$C$35))</f>
        <v/>
      </c>
      <c r="Q1577" s="54">
        <f>IF($B1577=0,NA(),IF(Inputs!$B$26&lt;&gt;"Yes",NA(),Inputs!$D$26*Inputs!$C$35))</f>
        <v/>
      </c>
      <c r="R1577" s="54">
        <f>IF($B1577=0,NA(),IF(Inputs!$B$27&lt;&gt;"Yes",NA(),Inputs!$D$27*Inputs!$C$35))</f>
        <v/>
      </c>
      <c r="S1577" s="54">
        <f>IF($B1577=0,NA(),IF(Inputs!$B$28&lt;&gt;"Yes",NA(),Inputs!$D$28*Inputs!$C$35))</f>
        <v/>
      </c>
      <c r="T1577" s="54">
        <f>IF($B1577=0,NA(),IF(Inputs!$B$29&lt;&gt;"Yes",NA(),Inputs!$D$29*Inputs!$C$35))</f>
        <v/>
      </c>
      <c r="AD1577">
        <f>IF($B1577=0,0,IF(Inputs!$B$6="",0,COUNTIFS(Data!$A$10:$A$3209,"&gt;="&amp;$A1577,Data!$A$10:$A$3209,"&lt;"&amp;$A1577+1)))</f>
        <v/>
      </c>
      <c r="AE1577">
        <f>IF($B1577=0,0,IF(Inputs!$B$7="",0,COUNTIFS(Data!$E$10:$E$3209,"&gt;="&amp;$A1577,Data!$E$10:$E$3209,"&lt;"&amp;$A1577+1)))</f>
        <v/>
      </c>
      <c r="AF1577">
        <f>IF($B1577=0,0,IF(Inputs!$B$8="",0,COUNTIFS(Data!$I$10:$I$3209,"&gt;="&amp;$A1577,Data!$I$10:$I$3209,"&lt;"&amp;$A1577+1)))</f>
        <v/>
      </c>
      <c r="AG1577">
        <f>IF($B1577=0,0,IF(Inputs!$B$9="",0,COUNTIFS(Data!$M$10:$M$3209,"&gt;="&amp;$A1577,Data!$M$10:$M$3209,"&lt;"&amp;$A1577+1)))</f>
        <v/>
      </c>
      <c r="AH1577">
        <f>IF($B1577=0,0,IF(Inputs!$B$10="",0,COUNTIFS(Data!$Q$10:$Q$3209,"&gt;="&amp;$A1577,Data!$Q$10:$Q$3209,"&lt;"&amp;$A1577+1)))</f>
        <v/>
      </c>
    </row>
    <row r="1578">
      <c r="A1578" s="55">
        <f>MIN(Inputs!$C$15,$A1577+IF(WEEKDAY($A1577,2)=5,3,1))</f>
        <v/>
      </c>
      <c r="B1578">
        <f>IF($A1578&gt;$A1577,1,0)</f>
        <v/>
      </c>
      <c r="C1578" s="56">
        <f>IF($B1578=0,"",IF(Inputs!$B$6="","",IF($AD1578=0,C1577,SUMIFS(Data!$B$10:$B$3209,Data!$A$10:$A$3209,"&gt;="&amp;$A1578,Data!$A$10:$A$3209,"&lt;"&amp;$A1578+1)/$AD1578)))</f>
        <v/>
      </c>
      <c r="D1578" s="56">
        <f>IF($B1578=0,"",IF(Inputs!$B$7="","",IF($AE1578=0,D1577,SUMIFS(Data!$F$10:$F$3209,Data!$E$10:$E$3209,"&gt;="&amp;$A1578,Data!$E$10:$E$3209,"&lt;"&amp;$A1578+1)/$AE1578)))</f>
        <v/>
      </c>
      <c r="E1578" s="56">
        <f>IF($B1578=0,"",IF(Inputs!$B$8="","",IF($AF1578=0,E1577,SUMIFS(Data!$J$10:$J$3209,Data!$I$10:$I$3209,"&gt;="&amp;$A1578,Data!$I$10:$I$3209,"&lt;"&amp;$A1578+1)/$AF1578)))</f>
        <v/>
      </c>
      <c r="F1578" s="56">
        <f>IF($B1578=0,"",IF(Inputs!$B$9="","",IF($AG1578=0,F1577,SUMIFS(Data!$N$10:$N$3209,Data!$M$10:$M$3209,"&gt;="&amp;$A1578,Data!$M$10:$M$3209,"&lt;"&amp;$A1578+1)/$AG1578)))</f>
        <v/>
      </c>
      <c r="G1578" s="56">
        <f>IF($B1578=0,"",IF(Inputs!$B$10="","",IF($AH1578=0,G1577,SUMIFS(Data!$R$10:$R$3209,Data!$Q$10:$Q$3209,"&gt;="&amp;$A1578,Data!$Q$10:$Q$3209,"&lt;"&amp;$A1578+1)/$AH1578)))</f>
        <v/>
      </c>
      <c r="I1578" s="54">
        <f>IF($B1578=0,NA(),IF($C1578="",NA(),IF(C$8="",NA(),IF(N(C$8)=0,NA(),IF(Inputs!$C$17="Rebased to 100",$C1578/C$8*100,$C1578)))))</f>
        <v/>
      </c>
      <c r="J1578" s="54">
        <f>IF($B1578=0,NA(),IF($D1578="",NA(),IF(D$8="",NA(),IF(N(D$8)=0,NA(),IF(Inputs!$C$17="Rebased to 100",$D1578/D$8*100,$D1578)))))</f>
        <v/>
      </c>
      <c r="K1578" s="54">
        <f>IF($B1578=0,NA(),IF($E1578="",NA(),IF(E$8="",NA(),IF(N(E$8)=0,NA(),IF(Inputs!$C$17="Rebased to 100",$E1578/E$8*100,$E1578)))))</f>
        <v/>
      </c>
      <c r="L1578" s="54">
        <f>IF($B1578=0,NA(),IF($F1578="",NA(),IF(F$8="",NA(),IF(N(F$8)=0,NA(),IF(Inputs!$C$17="Rebased to 100",$F1578/F$8*100,$F1578)))))</f>
        <v/>
      </c>
      <c r="M1578" s="54">
        <f>IF($B1578=0,NA(),IF($G1578="",NA(),IF(G$8="",NA(),IF(N(G$8)=0,NA(),IF(Inputs!$C$17="Rebased to 100",$G1578/G$8*100,$G1578)))))</f>
        <v/>
      </c>
      <c r="N1578" s="54">
        <f>IF($B1578=0,NA(),IF(Inputs!$C$18&lt;&gt;"Yes",NA(),IF(COUNT(I1578,J1578,K1578,L1578,M1578)=0,NA(),MIN(I1578,J1578,K1578,L1578,M1578))))</f>
        <v/>
      </c>
      <c r="O1578" s="54">
        <f>IF($B1578=0,NA(),IF(Inputs!$B$24&lt;&gt;"Yes",NA(),Inputs!$D$24*Inputs!$C$35))</f>
        <v/>
      </c>
      <c r="P1578" s="54">
        <f>IF($B1578=0,NA(),IF(Inputs!$B$25&lt;&gt;"Yes",NA(),Inputs!$D$25*Inputs!$C$35))</f>
        <v/>
      </c>
      <c r="Q1578" s="54">
        <f>IF($B1578=0,NA(),IF(Inputs!$B$26&lt;&gt;"Yes",NA(),Inputs!$D$26*Inputs!$C$35))</f>
        <v/>
      </c>
      <c r="R1578" s="54">
        <f>IF($B1578=0,NA(),IF(Inputs!$B$27&lt;&gt;"Yes",NA(),Inputs!$D$27*Inputs!$C$35))</f>
        <v/>
      </c>
      <c r="S1578" s="54">
        <f>IF($B1578=0,NA(),IF(Inputs!$B$28&lt;&gt;"Yes",NA(),Inputs!$D$28*Inputs!$C$35))</f>
        <v/>
      </c>
      <c r="T1578" s="54">
        <f>IF($B1578=0,NA(),IF(Inputs!$B$29&lt;&gt;"Yes",NA(),Inputs!$D$29*Inputs!$C$35))</f>
        <v/>
      </c>
      <c r="AD1578">
        <f>IF($B1578=0,0,IF(Inputs!$B$6="",0,COUNTIFS(Data!$A$10:$A$3209,"&gt;="&amp;$A1578,Data!$A$10:$A$3209,"&lt;"&amp;$A1578+1)))</f>
        <v/>
      </c>
      <c r="AE1578">
        <f>IF($B1578=0,0,IF(Inputs!$B$7="",0,COUNTIFS(Data!$E$10:$E$3209,"&gt;="&amp;$A1578,Data!$E$10:$E$3209,"&lt;"&amp;$A1578+1)))</f>
        <v/>
      </c>
      <c r="AF1578">
        <f>IF($B1578=0,0,IF(Inputs!$B$8="",0,COUNTIFS(Data!$I$10:$I$3209,"&gt;="&amp;$A1578,Data!$I$10:$I$3209,"&lt;"&amp;$A1578+1)))</f>
        <v/>
      </c>
      <c r="AG1578">
        <f>IF($B1578=0,0,IF(Inputs!$B$9="",0,COUNTIFS(Data!$M$10:$M$3209,"&gt;="&amp;$A1578,Data!$M$10:$M$3209,"&lt;"&amp;$A1578+1)))</f>
        <v/>
      </c>
      <c r="AH1578">
        <f>IF($B1578=0,0,IF(Inputs!$B$10="",0,COUNTIFS(Data!$Q$10:$Q$3209,"&gt;="&amp;$A1578,Data!$Q$10:$Q$3209,"&lt;"&amp;$A1578+1)))</f>
        <v/>
      </c>
    </row>
    <row r="1579">
      <c r="A1579" s="55">
        <f>MIN(Inputs!$C$15,$A1578+IF(WEEKDAY($A1578,2)=5,3,1))</f>
        <v/>
      </c>
      <c r="B1579">
        <f>IF($A1579&gt;$A1578,1,0)</f>
        <v/>
      </c>
      <c r="C1579" s="56">
        <f>IF($B1579=0,"",IF(Inputs!$B$6="","",IF($AD1579=0,C1578,SUMIFS(Data!$B$10:$B$3209,Data!$A$10:$A$3209,"&gt;="&amp;$A1579,Data!$A$10:$A$3209,"&lt;"&amp;$A1579+1)/$AD1579)))</f>
        <v/>
      </c>
      <c r="D1579" s="56">
        <f>IF($B1579=0,"",IF(Inputs!$B$7="","",IF($AE1579=0,D1578,SUMIFS(Data!$F$10:$F$3209,Data!$E$10:$E$3209,"&gt;="&amp;$A1579,Data!$E$10:$E$3209,"&lt;"&amp;$A1579+1)/$AE1579)))</f>
        <v/>
      </c>
      <c r="E1579" s="56">
        <f>IF($B1579=0,"",IF(Inputs!$B$8="","",IF($AF1579=0,E1578,SUMIFS(Data!$J$10:$J$3209,Data!$I$10:$I$3209,"&gt;="&amp;$A1579,Data!$I$10:$I$3209,"&lt;"&amp;$A1579+1)/$AF1579)))</f>
        <v/>
      </c>
      <c r="F1579" s="56">
        <f>IF($B1579=0,"",IF(Inputs!$B$9="","",IF($AG1579=0,F1578,SUMIFS(Data!$N$10:$N$3209,Data!$M$10:$M$3209,"&gt;="&amp;$A1579,Data!$M$10:$M$3209,"&lt;"&amp;$A1579+1)/$AG1579)))</f>
        <v/>
      </c>
      <c r="G1579" s="56">
        <f>IF($B1579=0,"",IF(Inputs!$B$10="","",IF($AH1579=0,G1578,SUMIFS(Data!$R$10:$R$3209,Data!$Q$10:$Q$3209,"&gt;="&amp;$A1579,Data!$Q$10:$Q$3209,"&lt;"&amp;$A1579+1)/$AH1579)))</f>
        <v/>
      </c>
      <c r="I1579" s="54">
        <f>IF($B1579=0,NA(),IF($C1579="",NA(),IF(C$8="",NA(),IF(N(C$8)=0,NA(),IF(Inputs!$C$17="Rebased to 100",$C1579/C$8*100,$C1579)))))</f>
        <v/>
      </c>
      <c r="J1579" s="54">
        <f>IF($B1579=0,NA(),IF($D1579="",NA(),IF(D$8="",NA(),IF(N(D$8)=0,NA(),IF(Inputs!$C$17="Rebased to 100",$D1579/D$8*100,$D1579)))))</f>
        <v/>
      </c>
      <c r="K1579" s="54">
        <f>IF($B1579=0,NA(),IF($E1579="",NA(),IF(E$8="",NA(),IF(N(E$8)=0,NA(),IF(Inputs!$C$17="Rebased to 100",$E1579/E$8*100,$E1579)))))</f>
        <v/>
      </c>
      <c r="L1579" s="54">
        <f>IF($B1579=0,NA(),IF($F1579="",NA(),IF(F$8="",NA(),IF(N(F$8)=0,NA(),IF(Inputs!$C$17="Rebased to 100",$F1579/F$8*100,$F1579)))))</f>
        <v/>
      </c>
      <c r="M1579" s="54">
        <f>IF($B1579=0,NA(),IF($G1579="",NA(),IF(G$8="",NA(),IF(N(G$8)=0,NA(),IF(Inputs!$C$17="Rebased to 100",$G1579/G$8*100,$G1579)))))</f>
        <v/>
      </c>
      <c r="N1579" s="54">
        <f>IF($B1579=0,NA(),IF(Inputs!$C$18&lt;&gt;"Yes",NA(),IF(COUNT(I1579,J1579,K1579,L1579,M1579)=0,NA(),MIN(I1579,J1579,K1579,L1579,M1579))))</f>
        <v/>
      </c>
      <c r="O1579" s="54">
        <f>IF($B1579=0,NA(),IF(Inputs!$B$24&lt;&gt;"Yes",NA(),Inputs!$D$24*Inputs!$C$35))</f>
        <v/>
      </c>
      <c r="P1579" s="54">
        <f>IF($B1579=0,NA(),IF(Inputs!$B$25&lt;&gt;"Yes",NA(),Inputs!$D$25*Inputs!$C$35))</f>
        <v/>
      </c>
      <c r="Q1579" s="54">
        <f>IF($B1579=0,NA(),IF(Inputs!$B$26&lt;&gt;"Yes",NA(),Inputs!$D$26*Inputs!$C$35))</f>
        <v/>
      </c>
      <c r="R1579" s="54">
        <f>IF($B1579=0,NA(),IF(Inputs!$B$27&lt;&gt;"Yes",NA(),Inputs!$D$27*Inputs!$C$35))</f>
        <v/>
      </c>
      <c r="S1579" s="54">
        <f>IF($B1579=0,NA(),IF(Inputs!$B$28&lt;&gt;"Yes",NA(),Inputs!$D$28*Inputs!$C$35))</f>
        <v/>
      </c>
      <c r="T1579" s="54">
        <f>IF($B1579=0,NA(),IF(Inputs!$B$29&lt;&gt;"Yes",NA(),Inputs!$D$29*Inputs!$C$35))</f>
        <v/>
      </c>
      <c r="AD1579">
        <f>IF($B1579=0,0,IF(Inputs!$B$6="",0,COUNTIFS(Data!$A$10:$A$3209,"&gt;="&amp;$A1579,Data!$A$10:$A$3209,"&lt;"&amp;$A1579+1)))</f>
        <v/>
      </c>
      <c r="AE1579">
        <f>IF($B1579=0,0,IF(Inputs!$B$7="",0,COUNTIFS(Data!$E$10:$E$3209,"&gt;="&amp;$A1579,Data!$E$10:$E$3209,"&lt;"&amp;$A1579+1)))</f>
        <v/>
      </c>
      <c r="AF1579">
        <f>IF($B1579=0,0,IF(Inputs!$B$8="",0,COUNTIFS(Data!$I$10:$I$3209,"&gt;="&amp;$A1579,Data!$I$10:$I$3209,"&lt;"&amp;$A1579+1)))</f>
        <v/>
      </c>
      <c r="AG1579">
        <f>IF($B1579=0,0,IF(Inputs!$B$9="",0,COUNTIFS(Data!$M$10:$M$3209,"&gt;="&amp;$A1579,Data!$M$10:$M$3209,"&lt;"&amp;$A1579+1)))</f>
        <v/>
      </c>
      <c r="AH1579">
        <f>IF($B1579=0,0,IF(Inputs!$B$10="",0,COUNTIFS(Data!$Q$10:$Q$3209,"&gt;="&amp;$A1579,Data!$Q$10:$Q$3209,"&lt;"&amp;$A1579+1)))</f>
        <v/>
      </c>
    </row>
    <row r="1580">
      <c r="A1580" s="55">
        <f>MIN(Inputs!$C$15,$A1579+IF(WEEKDAY($A1579,2)=5,3,1))</f>
        <v/>
      </c>
      <c r="B1580">
        <f>IF($A1580&gt;$A1579,1,0)</f>
        <v/>
      </c>
      <c r="C1580" s="56">
        <f>IF($B1580=0,"",IF(Inputs!$B$6="","",IF($AD1580=0,C1579,SUMIFS(Data!$B$10:$B$3209,Data!$A$10:$A$3209,"&gt;="&amp;$A1580,Data!$A$10:$A$3209,"&lt;"&amp;$A1580+1)/$AD1580)))</f>
        <v/>
      </c>
      <c r="D1580" s="56">
        <f>IF($B1580=0,"",IF(Inputs!$B$7="","",IF($AE1580=0,D1579,SUMIFS(Data!$F$10:$F$3209,Data!$E$10:$E$3209,"&gt;="&amp;$A1580,Data!$E$10:$E$3209,"&lt;"&amp;$A1580+1)/$AE1580)))</f>
        <v/>
      </c>
      <c r="E1580" s="56">
        <f>IF($B1580=0,"",IF(Inputs!$B$8="","",IF($AF1580=0,E1579,SUMIFS(Data!$J$10:$J$3209,Data!$I$10:$I$3209,"&gt;="&amp;$A1580,Data!$I$10:$I$3209,"&lt;"&amp;$A1580+1)/$AF1580)))</f>
        <v/>
      </c>
      <c r="F1580" s="56">
        <f>IF($B1580=0,"",IF(Inputs!$B$9="","",IF($AG1580=0,F1579,SUMIFS(Data!$N$10:$N$3209,Data!$M$10:$M$3209,"&gt;="&amp;$A1580,Data!$M$10:$M$3209,"&lt;"&amp;$A1580+1)/$AG1580)))</f>
        <v/>
      </c>
      <c r="G1580" s="56">
        <f>IF($B1580=0,"",IF(Inputs!$B$10="","",IF($AH1580=0,G1579,SUMIFS(Data!$R$10:$R$3209,Data!$Q$10:$Q$3209,"&gt;="&amp;$A1580,Data!$Q$10:$Q$3209,"&lt;"&amp;$A1580+1)/$AH1580)))</f>
        <v/>
      </c>
      <c r="I1580" s="54">
        <f>IF($B1580=0,NA(),IF($C1580="",NA(),IF(C$8="",NA(),IF(N(C$8)=0,NA(),IF(Inputs!$C$17="Rebased to 100",$C1580/C$8*100,$C1580)))))</f>
        <v/>
      </c>
      <c r="J1580" s="54">
        <f>IF($B1580=0,NA(),IF($D1580="",NA(),IF(D$8="",NA(),IF(N(D$8)=0,NA(),IF(Inputs!$C$17="Rebased to 100",$D1580/D$8*100,$D1580)))))</f>
        <v/>
      </c>
      <c r="K1580" s="54">
        <f>IF($B1580=0,NA(),IF($E1580="",NA(),IF(E$8="",NA(),IF(N(E$8)=0,NA(),IF(Inputs!$C$17="Rebased to 100",$E1580/E$8*100,$E1580)))))</f>
        <v/>
      </c>
      <c r="L1580" s="54">
        <f>IF($B1580=0,NA(),IF($F1580="",NA(),IF(F$8="",NA(),IF(N(F$8)=0,NA(),IF(Inputs!$C$17="Rebased to 100",$F1580/F$8*100,$F1580)))))</f>
        <v/>
      </c>
      <c r="M1580" s="54">
        <f>IF($B1580=0,NA(),IF($G1580="",NA(),IF(G$8="",NA(),IF(N(G$8)=0,NA(),IF(Inputs!$C$17="Rebased to 100",$G1580/G$8*100,$G1580)))))</f>
        <v/>
      </c>
      <c r="N1580" s="54">
        <f>IF($B1580=0,NA(),IF(Inputs!$C$18&lt;&gt;"Yes",NA(),IF(COUNT(I1580,J1580,K1580,L1580,M1580)=0,NA(),MIN(I1580,J1580,K1580,L1580,M1580))))</f>
        <v/>
      </c>
      <c r="O1580" s="54">
        <f>IF($B1580=0,NA(),IF(Inputs!$B$24&lt;&gt;"Yes",NA(),Inputs!$D$24*Inputs!$C$35))</f>
        <v/>
      </c>
      <c r="P1580" s="54">
        <f>IF($B1580=0,NA(),IF(Inputs!$B$25&lt;&gt;"Yes",NA(),Inputs!$D$25*Inputs!$C$35))</f>
        <v/>
      </c>
      <c r="Q1580" s="54">
        <f>IF($B1580=0,NA(),IF(Inputs!$B$26&lt;&gt;"Yes",NA(),Inputs!$D$26*Inputs!$C$35))</f>
        <v/>
      </c>
      <c r="R1580" s="54">
        <f>IF($B1580=0,NA(),IF(Inputs!$B$27&lt;&gt;"Yes",NA(),Inputs!$D$27*Inputs!$C$35))</f>
        <v/>
      </c>
      <c r="S1580" s="54">
        <f>IF($B1580=0,NA(),IF(Inputs!$B$28&lt;&gt;"Yes",NA(),Inputs!$D$28*Inputs!$C$35))</f>
        <v/>
      </c>
      <c r="T1580" s="54">
        <f>IF($B1580=0,NA(),IF(Inputs!$B$29&lt;&gt;"Yes",NA(),Inputs!$D$29*Inputs!$C$35))</f>
        <v/>
      </c>
      <c r="AD1580">
        <f>IF($B1580=0,0,IF(Inputs!$B$6="",0,COUNTIFS(Data!$A$10:$A$3209,"&gt;="&amp;$A1580,Data!$A$10:$A$3209,"&lt;"&amp;$A1580+1)))</f>
        <v/>
      </c>
      <c r="AE1580">
        <f>IF($B1580=0,0,IF(Inputs!$B$7="",0,COUNTIFS(Data!$E$10:$E$3209,"&gt;="&amp;$A1580,Data!$E$10:$E$3209,"&lt;"&amp;$A1580+1)))</f>
        <v/>
      </c>
      <c r="AF1580">
        <f>IF($B1580=0,0,IF(Inputs!$B$8="",0,COUNTIFS(Data!$I$10:$I$3209,"&gt;="&amp;$A1580,Data!$I$10:$I$3209,"&lt;"&amp;$A1580+1)))</f>
        <v/>
      </c>
      <c r="AG1580">
        <f>IF($B1580=0,0,IF(Inputs!$B$9="",0,COUNTIFS(Data!$M$10:$M$3209,"&gt;="&amp;$A1580,Data!$M$10:$M$3209,"&lt;"&amp;$A1580+1)))</f>
        <v/>
      </c>
      <c r="AH1580">
        <f>IF($B1580=0,0,IF(Inputs!$B$10="",0,COUNTIFS(Data!$Q$10:$Q$3209,"&gt;="&amp;$A1580,Data!$Q$10:$Q$3209,"&lt;"&amp;$A1580+1)))</f>
        <v/>
      </c>
    </row>
    <row r="1581">
      <c r="A1581" s="55">
        <f>MIN(Inputs!$C$15,$A1580+IF(WEEKDAY($A1580,2)=5,3,1))</f>
        <v/>
      </c>
      <c r="B1581">
        <f>IF($A1581&gt;$A1580,1,0)</f>
        <v/>
      </c>
      <c r="C1581" s="56">
        <f>IF($B1581=0,"",IF(Inputs!$B$6="","",IF($AD1581=0,C1580,SUMIFS(Data!$B$10:$B$3209,Data!$A$10:$A$3209,"&gt;="&amp;$A1581,Data!$A$10:$A$3209,"&lt;"&amp;$A1581+1)/$AD1581)))</f>
        <v/>
      </c>
      <c r="D1581" s="56">
        <f>IF($B1581=0,"",IF(Inputs!$B$7="","",IF($AE1581=0,D1580,SUMIFS(Data!$F$10:$F$3209,Data!$E$10:$E$3209,"&gt;="&amp;$A1581,Data!$E$10:$E$3209,"&lt;"&amp;$A1581+1)/$AE1581)))</f>
        <v/>
      </c>
      <c r="E1581" s="56">
        <f>IF($B1581=0,"",IF(Inputs!$B$8="","",IF($AF1581=0,E1580,SUMIFS(Data!$J$10:$J$3209,Data!$I$10:$I$3209,"&gt;="&amp;$A1581,Data!$I$10:$I$3209,"&lt;"&amp;$A1581+1)/$AF1581)))</f>
        <v/>
      </c>
      <c r="F1581" s="56">
        <f>IF($B1581=0,"",IF(Inputs!$B$9="","",IF($AG1581=0,F1580,SUMIFS(Data!$N$10:$N$3209,Data!$M$10:$M$3209,"&gt;="&amp;$A1581,Data!$M$10:$M$3209,"&lt;"&amp;$A1581+1)/$AG1581)))</f>
        <v/>
      </c>
      <c r="G1581" s="56">
        <f>IF($B1581=0,"",IF(Inputs!$B$10="","",IF($AH1581=0,G1580,SUMIFS(Data!$R$10:$R$3209,Data!$Q$10:$Q$3209,"&gt;="&amp;$A1581,Data!$Q$10:$Q$3209,"&lt;"&amp;$A1581+1)/$AH1581)))</f>
        <v/>
      </c>
      <c r="I1581" s="54">
        <f>IF($B1581=0,NA(),IF($C1581="",NA(),IF(C$8="",NA(),IF(N(C$8)=0,NA(),IF(Inputs!$C$17="Rebased to 100",$C1581/C$8*100,$C1581)))))</f>
        <v/>
      </c>
      <c r="J1581" s="54">
        <f>IF($B1581=0,NA(),IF($D1581="",NA(),IF(D$8="",NA(),IF(N(D$8)=0,NA(),IF(Inputs!$C$17="Rebased to 100",$D1581/D$8*100,$D1581)))))</f>
        <v/>
      </c>
      <c r="K1581" s="54">
        <f>IF($B1581=0,NA(),IF($E1581="",NA(),IF(E$8="",NA(),IF(N(E$8)=0,NA(),IF(Inputs!$C$17="Rebased to 100",$E1581/E$8*100,$E1581)))))</f>
        <v/>
      </c>
      <c r="L1581" s="54">
        <f>IF($B1581=0,NA(),IF($F1581="",NA(),IF(F$8="",NA(),IF(N(F$8)=0,NA(),IF(Inputs!$C$17="Rebased to 100",$F1581/F$8*100,$F1581)))))</f>
        <v/>
      </c>
      <c r="M1581" s="54">
        <f>IF($B1581=0,NA(),IF($G1581="",NA(),IF(G$8="",NA(),IF(N(G$8)=0,NA(),IF(Inputs!$C$17="Rebased to 100",$G1581/G$8*100,$G1581)))))</f>
        <v/>
      </c>
      <c r="N1581" s="54">
        <f>IF($B1581=0,NA(),IF(Inputs!$C$18&lt;&gt;"Yes",NA(),IF(COUNT(I1581,J1581,K1581,L1581,M1581)=0,NA(),MIN(I1581,J1581,K1581,L1581,M1581))))</f>
        <v/>
      </c>
      <c r="O1581" s="54">
        <f>IF($B1581=0,NA(),IF(Inputs!$B$24&lt;&gt;"Yes",NA(),Inputs!$D$24*Inputs!$C$35))</f>
        <v/>
      </c>
      <c r="P1581" s="54">
        <f>IF($B1581=0,NA(),IF(Inputs!$B$25&lt;&gt;"Yes",NA(),Inputs!$D$25*Inputs!$C$35))</f>
        <v/>
      </c>
      <c r="Q1581" s="54">
        <f>IF($B1581=0,NA(),IF(Inputs!$B$26&lt;&gt;"Yes",NA(),Inputs!$D$26*Inputs!$C$35))</f>
        <v/>
      </c>
      <c r="R1581" s="54">
        <f>IF($B1581=0,NA(),IF(Inputs!$B$27&lt;&gt;"Yes",NA(),Inputs!$D$27*Inputs!$C$35))</f>
        <v/>
      </c>
      <c r="S1581" s="54">
        <f>IF($B1581=0,NA(),IF(Inputs!$B$28&lt;&gt;"Yes",NA(),Inputs!$D$28*Inputs!$C$35))</f>
        <v/>
      </c>
      <c r="T1581" s="54">
        <f>IF($B1581=0,NA(),IF(Inputs!$B$29&lt;&gt;"Yes",NA(),Inputs!$D$29*Inputs!$C$35))</f>
        <v/>
      </c>
      <c r="AD1581">
        <f>IF($B1581=0,0,IF(Inputs!$B$6="",0,COUNTIFS(Data!$A$10:$A$3209,"&gt;="&amp;$A1581,Data!$A$10:$A$3209,"&lt;"&amp;$A1581+1)))</f>
        <v/>
      </c>
      <c r="AE1581">
        <f>IF($B1581=0,0,IF(Inputs!$B$7="",0,COUNTIFS(Data!$E$10:$E$3209,"&gt;="&amp;$A1581,Data!$E$10:$E$3209,"&lt;"&amp;$A1581+1)))</f>
        <v/>
      </c>
      <c r="AF1581">
        <f>IF($B1581=0,0,IF(Inputs!$B$8="",0,COUNTIFS(Data!$I$10:$I$3209,"&gt;="&amp;$A1581,Data!$I$10:$I$3209,"&lt;"&amp;$A1581+1)))</f>
        <v/>
      </c>
      <c r="AG1581">
        <f>IF($B1581=0,0,IF(Inputs!$B$9="",0,COUNTIFS(Data!$M$10:$M$3209,"&gt;="&amp;$A1581,Data!$M$10:$M$3209,"&lt;"&amp;$A1581+1)))</f>
        <v/>
      </c>
      <c r="AH1581">
        <f>IF($B1581=0,0,IF(Inputs!$B$10="",0,COUNTIFS(Data!$Q$10:$Q$3209,"&gt;="&amp;$A1581,Data!$Q$10:$Q$3209,"&lt;"&amp;$A1581+1)))</f>
        <v/>
      </c>
    </row>
    <row r="1582">
      <c r="A1582" s="55">
        <f>MIN(Inputs!$C$15,$A1581+IF(WEEKDAY($A1581,2)=5,3,1))</f>
        <v/>
      </c>
      <c r="B1582">
        <f>IF($A1582&gt;$A1581,1,0)</f>
        <v/>
      </c>
      <c r="C1582" s="56">
        <f>IF($B1582=0,"",IF(Inputs!$B$6="","",IF($AD1582=0,C1581,SUMIFS(Data!$B$10:$B$3209,Data!$A$10:$A$3209,"&gt;="&amp;$A1582,Data!$A$10:$A$3209,"&lt;"&amp;$A1582+1)/$AD1582)))</f>
        <v/>
      </c>
      <c r="D1582" s="56">
        <f>IF($B1582=0,"",IF(Inputs!$B$7="","",IF($AE1582=0,D1581,SUMIFS(Data!$F$10:$F$3209,Data!$E$10:$E$3209,"&gt;="&amp;$A1582,Data!$E$10:$E$3209,"&lt;"&amp;$A1582+1)/$AE1582)))</f>
        <v/>
      </c>
      <c r="E1582" s="56">
        <f>IF($B1582=0,"",IF(Inputs!$B$8="","",IF($AF1582=0,E1581,SUMIFS(Data!$J$10:$J$3209,Data!$I$10:$I$3209,"&gt;="&amp;$A1582,Data!$I$10:$I$3209,"&lt;"&amp;$A1582+1)/$AF1582)))</f>
        <v/>
      </c>
      <c r="F1582" s="56">
        <f>IF($B1582=0,"",IF(Inputs!$B$9="","",IF($AG1582=0,F1581,SUMIFS(Data!$N$10:$N$3209,Data!$M$10:$M$3209,"&gt;="&amp;$A1582,Data!$M$10:$M$3209,"&lt;"&amp;$A1582+1)/$AG1582)))</f>
        <v/>
      </c>
      <c r="G1582" s="56">
        <f>IF($B1582=0,"",IF(Inputs!$B$10="","",IF($AH1582=0,G1581,SUMIFS(Data!$R$10:$R$3209,Data!$Q$10:$Q$3209,"&gt;="&amp;$A1582,Data!$Q$10:$Q$3209,"&lt;"&amp;$A1582+1)/$AH1582)))</f>
        <v/>
      </c>
      <c r="I1582" s="54">
        <f>IF($B1582=0,NA(),IF($C1582="",NA(),IF(C$8="",NA(),IF(N(C$8)=0,NA(),IF(Inputs!$C$17="Rebased to 100",$C1582/C$8*100,$C1582)))))</f>
        <v/>
      </c>
      <c r="J1582" s="54">
        <f>IF($B1582=0,NA(),IF($D1582="",NA(),IF(D$8="",NA(),IF(N(D$8)=0,NA(),IF(Inputs!$C$17="Rebased to 100",$D1582/D$8*100,$D1582)))))</f>
        <v/>
      </c>
      <c r="K1582" s="54">
        <f>IF($B1582=0,NA(),IF($E1582="",NA(),IF(E$8="",NA(),IF(N(E$8)=0,NA(),IF(Inputs!$C$17="Rebased to 100",$E1582/E$8*100,$E1582)))))</f>
        <v/>
      </c>
      <c r="L1582" s="54">
        <f>IF($B1582=0,NA(),IF($F1582="",NA(),IF(F$8="",NA(),IF(N(F$8)=0,NA(),IF(Inputs!$C$17="Rebased to 100",$F1582/F$8*100,$F1582)))))</f>
        <v/>
      </c>
      <c r="M1582" s="54">
        <f>IF($B1582=0,NA(),IF($G1582="",NA(),IF(G$8="",NA(),IF(N(G$8)=0,NA(),IF(Inputs!$C$17="Rebased to 100",$G1582/G$8*100,$G1582)))))</f>
        <v/>
      </c>
      <c r="N1582" s="54">
        <f>IF($B1582=0,NA(),IF(Inputs!$C$18&lt;&gt;"Yes",NA(),IF(COUNT(I1582,J1582,K1582,L1582,M1582)=0,NA(),MIN(I1582,J1582,K1582,L1582,M1582))))</f>
        <v/>
      </c>
      <c r="O1582" s="54">
        <f>IF($B1582=0,NA(),IF(Inputs!$B$24&lt;&gt;"Yes",NA(),Inputs!$D$24*Inputs!$C$35))</f>
        <v/>
      </c>
      <c r="P1582" s="54">
        <f>IF($B1582=0,NA(),IF(Inputs!$B$25&lt;&gt;"Yes",NA(),Inputs!$D$25*Inputs!$C$35))</f>
        <v/>
      </c>
      <c r="Q1582" s="54">
        <f>IF($B1582=0,NA(),IF(Inputs!$B$26&lt;&gt;"Yes",NA(),Inputs!$D$26*Inputs!$C$35))</f>
        <v/>
      </c>
      <c r="R1582" s="54">
        <f>IF($B1582=0,NA(),IF(Inputs!$B$27&lt;&gt;"Yes",NA(),Inputs!$D$27*Inputs!$C$35))</f>
        <v/>
      </c>
      <c r="S1582" s="54">
        <f>IF($B1582=0,NA(),IF(Inputs!$B$28&lt;&gt;"Yes",NA(),Inputs!$D$28*Inputs!$C$35))</f>
        <v/>
      </c>
      <c r="T1582" s="54">
        <f>IF($B1582=0,NA(),IF(Inputs!$B$29&lt;&gt;"Yes",NA(),Inputs!$D$29*Inputs!$C$35))</f>
        <v/>
      </c>
      <c r="AD1582">
        <f>IF($B1582=0,0,IF(Inputs!$B$6="",0,COUNTIFS(Data!$A$10:$A$3209,"&gt;="&amp;$A1582,Data!$A$10:$A$3209,"&lt;"&amp;$A1582+1)))</f>
        <v/>
      </c>
      <c r="AE1582">
        <f>IF($B1582=0,0,IF(Inputs!$B$7="",0,COUNTIFS(Data!$E$10:$E$3209,"&gt;="&amp;$A1582,Data!$E$10:$E$3209,"&lt;"&amp;$A1582+1)))</f>
        <v/>
      </c>
      <c r="AF1582">
        <f>IF($B1582=0,0,IF(Inputs!$B$8="",0,COUNTIFS(Data!$I$10:$I$3209,"&gt;="&amp;$A1582,Data!$I$10:$I$3209,"&lt;"&amp;$A1582+1)))</f>
        <v/>
      </c>
      <c r="AG1582">
        <f>IF($B1582=0,0,IF(Inputs!$B$9="",0,COUNTIFS(Data!$M$10:$M$3209,"&gt;="&amp;$A1582,Data!$M$10:$M$3209,"&lt;"&amp;$A1582+1)))</f>
        <v/>
      </c>
      <c r="AH1582">
        <f>IF($B1582=0,0,IF(Inputs!$B$10="",0,COUNTIFS(Data!$Q$10:$Q$3209,"&gt;="&amp;$A1582,Data!$Q$10:$Q$3209,"&lt;"&amp;$A1582+1)))</f>
        <v/>
      </c>
    </row>
    <row r="1583">
      <c r="A1583" s="55">
        <f>MIN(Inputs!$C$15,$A1582+IF(WEEKDAY($A1582,2)=5,3,1))</f>
        <v/>
      </c>
      <c r="B1583">
        <f>IF($A1583&gt;$A1582,1,0)</f>
        <v/>
      </c>
      <c r="C1583" s="56">
        <f>IF($B1583=0,"",IF(Inputs!$B$6="","",IF($AD1583=0,C1582,SUMIFS(Data!$B$10:$B$3209,Data!$A$10:$A$3209,"&gt;="&amp;$A1583,Data!$A$10:$A$3209,"&lt;"&amp;$A1583+1)/$AD1583)))</f>
        <v/>
      </c>
      <c r="D1583" s="56">
        <f>IF($B1583=0,"",IF(Inputs!$B$7="","",IF($AE1583=0,D1582,SUMIFS(Data!$F$10:$F$3209,Data!$E$10:$E$3209,"&gt;="&amp;$A1583,Data!$E$10:$E$3209,"&lt;"&amp;$A1583+1)/$AE1583)))</f>
        <v/>
      </c>
      <c r="E1583" s="56">
        <f>IF($B1583=0,"",IF(Inputs!$B$8="","",IF($AF1583=0,E1582,SUMIFS(Data!$J$10:$J$3209,Data!$I$10:$I$3209,"&gt;="&amp;$A1583,Data!$I$10:$I$3209,"&lt;"&amp;$A1583+1)/$AF1583)))</f>
        <v/>
      </c>
      <c r="F1583" s="56">
        <f>IF($B1583=0,"",IF(Inputs!$B$9="","",IF($AG1583=0,F1582,SUMIFS(Data!$N$10:$N$3209,Data!$M$10:$M$3209,"&gt;="&amp;$A1583,Data!$M$10:$M$3209,"&lt;"&amp;$A1583+1)/$AG1583)))</f>
        <v/>
      </c>
      <c r="G1583" s="56">
        <f>IF($B1583=0,"",IF(Inputs!$B$10="","",IF($AH1583=0,G1582,SUMIFS(Data!$R$10:$R$3209,Data!$Q$10:$Q$3209,"&gt;="&amp;$A1583,Data!$Q$10:$Q$3209,"&lt;"&amp;$A1583+1)/$AH1583)))</f>
        <v/>
      </c>
      <c r="I1583" s="54">
        <f>IF($B1583=0,NA(),IF($C1583="",NA(),IF(C$8="",NA(),IF(N(C$8)=0,NA(),IF(Inputs!$C$17="Rebased to 100",$C1583/C$8*100,$C1583)))))</f>
        <v/>
      </c>
      <c r="J1583" s="54">
        <f>IF($B1583=0,NA(),IF($D1583="",NA(),IF(D$8="",NA(),IF(N(D$8)=0,NA(),IF(Inputs!$C$17="Rebased to 100",$D1583/D$8*100,$D1583)))))</f>
        <v/>
      </c>
      <c r="K1583" s="54">
        <f>IF($B1583=0,NA(),IF($E1583="",NA(),IF(E$8="",NA(),IF(N(E$8)=0,NA(),IF(Inputs!$C$17="Rebased to 100",$E1583/E$8*100,$E1583)))))</f>
        <v/>
      </c>
      <c r="L1583" s="54">
        <f>IF($B1583=0,NA(),IF($F1583="",NA(),IF(F$8="",NA(),IF(N(F$8)=0,NA(),IF(Inputs!$C$17="Rebased to 100",$F1583/F$8*100,$F1583)))))</f>
        <v/>
      </c>
      <c r="M1583" s="54">
        <f>IF($B1583=0,NA(),IF($G1583="",NA(),IF(G$8="",NA(),IF(N(G$8)=0,NA(),IF(Inputs!$C$17="Rebased to 100",$G1583/G$8*100,$G1583)))))</f>
        <v/>
      </c>
      <c r="N1583" s="54">
        <f>IF($B1583=0,NA(),IF(Inputs!$C$18&lt;&gt;"Yes",NA(),IF(COUNT(I1583,J1583,K1583,L1583,M1583)=0,NA(),MIN(I1583,J1583,K1583,L1583,M1583))))</f>
        <v/>
      </c>
      <c r="O1583" s="54">
        <f>IF($B1583=0,NA(),IF(Inputs!$B$24&lt;&gt;"Yes",NA(),Inputs!$D$24*Inputs!$C$35))</f>
        <v/>
      </c>
      <c r="P1583" s="54">
        <f>IF($B1583=0,NA(),IF(Inputs!$B$25&lt;&gt;"Yes",NA(),Inputs!$D$25*Inputs!$C$35))</f>
        <v/>
      </c>
      <c r="Q1583" s="54">
        <f>IF($B1583=0,NA(),IF(Inputs!$B$26&lt;&gt;"Yes",NA(),Inputs!$D$26*Inputs!$C$35))</f>
        <v/>
      </c>
      <c r="R1583" s="54">
        <f>IF($B1583=0,NA(),IF(Inputs!$B$27&lt;&gt;"Yes",NA(),Inputs!$D$27*Inputs!$C$35))</f>
        <v/>
      </c>
      <c r="S1583" s="54">
        <f>IF($B1583=0,NA(),IF(Inputs!$B$28&lt;&gt;"Yes",NA(),Inputs!$D$28*Inputs!$C$35))</f>
        <v/>
      </c>
      <c r="T1583" s="54">
        <f>IF($B1583=0,NA(),IF(Inputs!$B$29&lt;&gt;"Yes",NA(),Inputs!$D$29*Inputs!$C$35))</f>
        <v/>
      </c>
      <c r="AD1583">
        <f>IF($B1583=0,0,IF(Inputs!$B$6="",0,COUNTIFS(Data!$A$10:$A$3209,"&gt;="&amp;$A1583,Data!$A$10:$A$3209,"&lt;"&amp;$A1583+1)))</f>
        <v/>
      </c>
      <c r="AE1583">
        <f>IF($B1583=0,0,IF(Inputs!$B$7="",0,COUNTIFS(Data!$E$10:$E$3209,"&gt;="&amp;$A1583,Data!$E$10:$E$3209,"&lt;"&amp;$A1583+1)))</f>
        <v/>
      </c>
      <c r="AF1583">
        <f>IF($B1583=0,0,IF(Inputs!$B$8="",0,COUNTIFS(Data!$I$10:$I$3209,"&gt;="&amp;$A1583,Data!$I$10:$I$3209,"&lt;"&amp;$A1583+1)))</f>
        <v/>
      </c>
      <c r="AG1583">
        <f>IF($B1583=0,0,IF(Inputs!$B$9="",0,COUNTIFS(Data!$M$10:$M$3209,"&gt;="&amp;$A1583,Data!$M$10:$M$3209,"&lt;"&amp;$A1583+1)))</f>
        <v/>
      </c>
      <c r="AH1583">
        <f>IF($B1583=0,0,IF(Inputs!$B$10="",0,COUNTIFS(Data!$Q$10:$Q$3209,"&gt;="&amp;$A1583,Data!$Q$10:$Q$3209,"&lt;"&amp;$A1583+1)))</f>
        <v/>
      </c>
    </row>
    <row r="1584">
      <c r="A1584" s="55">
        <f>MIN(Inputs!$C$15,$A1583+IF(WEEKDAY($A1583,2)=5,3,1))</f>
        <v/>
      </c>
      <c r="B1584">
        <f>IF($A1584&gt;$A1583,1,0)</f>
        <v/>
      </c>
      <c r="C1584" s="56">
        <f>IF($B1584=0,"",IF(Inputs!$B$6="","",IF($AD1584=0,C1583,SUMIFS(Data!$B$10:$B$3209,Data!$A$10:$A$3209,"&gt;="&amp;$A1584,Data!$A$10:$A$3209,"&lt;"&amp;$A1584+1)/$AD1584)))</f>
        <v/>
      </c>
      <c r="D1584" s="56">
        <f>IF($B1584=0,"",IF(Inputs!$B$7="","",IF($AE1584=0,D1583,SUMIFS(Data!$F$10:$F$3209,Data!$E$10:$E$3209,"&gt;="&amp;$A1584,Data!$E$10:$E$3209,"&lt;"&amp;$A1584+1)/$AE1584)))</f>
        <v/>
      </c>
      <c r="E1584" s="56">
        <f>IF($B1584=0,"",IF(Inputs!$B$8="","",IF($AF1584=0,E1583,SUMIFS(Data!$J$10:$J$3209,Data!$I$10:$I$3209,"&gt;="&amp;$A1584,Data!$I$10:$I$3209,"&lt;"&amp;$A1584+1)/$AF1584)))</f>
        <v/>
      </c>
      <c r="F1584" s="56">
        <f>IF($B1584=0,"",IF(Inputs!$B$9="","",IF($AG1584=0,F1583,SUMIFS(Data!$N$10:$N$3209,Data!$M$10:$M$3209,"&gt;="&amp;$A1584,Data!$M$10:$M$3209,"&lt;"&amp;$A1584+1)/$AG1584)))</f>
        <v/>
      </c>
      <c r="G1584" s="56">
        <f>IF($B1584=0,"",IF(Inputs!$B$10="","",IF($AH1584=0,G1583,SUMIFS(Data!$R$10:$R$3209,Data!$Q$10:$Q$3209,"&gt;="&amp;$A1584,Data!$Q$10:$Q$3209,"&lt;"&amp;$A1584+1)/$AH1584)))</f>
        <v/>
      </c>
      <c r="I1584" s="54">
        <f>IF($B1584=0,NA(),IF($C1584="",NA(),IF(C$8="",NA(),IF(N(C$8)=0,NA(),IF(Inputs!$C$17="Rebased to 100",$C1584/C$8*100,$C1584)))))</f>
        <v/>
      </c>
      <c r="J1584" s="54">
        <f>IF($B1584=0,NA(),IF($D1584="",NA(),IF(D$8="",NA(),IF(N(D$8)=0,NA(),IF(Inputs!$C$17="Rebased to 100",$D1584/D$8*100,$D1584)))))</f>
        <v/>
      </c>
      <c r="K1584" s="54">
        <f>IF($B1584=0,NA(),IF($E1584="",NA(),IF(E$8="",NA(),IF(N(E$8)=0,NA(),IF(Inputs!$C$17="Rebased to 100",$E1584/E$8*100,$E1584)))))</f>
        <v/>
      </c>
      <c r="L1584" s="54">
        <f>IF($B1584=0,NA(),IF($F1584="",NA(),IF(F$8="",NA(),IF(N(F$8)=0,NA(),IF(Inputs!$C$17="Rebased to 100",$F1584/F$8*100,$F1584)))))</f>
        <v/>
      </c>
      <c r="M1584" s="54">
        <f>IF($B1584=0,NA(),IF($G1584="",NA(),IF(G$8="",NA(),IF(N(G$8)=0,NA(),IF(Inputs!$C$17="Rebased to 100",$G1584/G$8*100,$G1584)))))</f>
        <v/>
      </c>
      <c r="N1584" s="54">
        <f>IF($B1584=0,NA(),IF(Inputs!$C$18&lt;&gt;"Yes",NA(),IF(COUNT(I1584,J1584,K1584,L1584,M1584)=0,NA(),MIN(I1584,J1584,K1584,L1584,M1584))))</f>
        <v/>
      </c>
      <c r="O1584" s="54">
        <f>IF($B1584=0,NA(),IF(Inputs!$B$24&lt;&gt;"Yes",NA(),Inputs!$D$24*Inputs!$C$35))</f>
        <v/>
      </c>
      <c r="P1584" s="54">
        <f>IF($B1584=0,NA(),IF(Inputs!$B$25&lt;&gt;"Yes",NA(),Inputs!$D$25*Inputs!$C$35))</f>
        <v/>
      </c>
      <c r="Q1584" s="54">
        <f>IF($B1584=0,NA(),IF(Inputs!$B$26&lt;&gt;"Yes",NA(),Inputs!$D$26*Inputs!$C$35))</f>
        <v/>
      </c>
      <c r="R1584" s="54">
        <f>IF($B1584=0,NA(),IF(Inputs!$B$27&lt;&gt;"Yes",NA(),Inputs!$D$27*Inputs!$C$35))</f>
        <v/>
      </c>
      <c r="S1584" s="54">
        <f>IF($B1584=0,NA(),IF(Inputs!$B$28&lt;&gt;"Yes",NA(),Inputs!$D$28*Inputs!$C$35))</f>
        <v/>
      </c>
      <c r="T1584" s="54">
        <f>IF($B1584=0,NA(),IF(Inputs!$B$29&lt;&gt;"Yes",NA(),Inputs!$D$29*Inputs!$C$35))</f>
        <v/>
      </c>
      <c r="AD1584">
        <f>IF($B1584=0,0,IF(Inputs!$B$6="",0,COUNTIFS(Data!$A$10:$A$3209,"&gt;="&amp;$A1584,Data!$A$10:$A$3209,"&lt;"&amp;$A1584+1)))</f>
        <v/>
      </c>
      <c r="AE1584">
        <f>IF($B1584=0,0,IF(Inputs!$B$7="",0,COUNTIFS(Data!$E$10:$E$3209,"&gt;="&amp;$A1584,Data!$E$10:$E$3209,"&lt;"&amp;$A1584+1)))</f>
        <v/>
      </c>
      <c r="AF1584">
        <f>IF($B1584=0,0,IF(Inputs!$B$8="",0,COUNTIFS(Data!$I$10:$I$3209,"&gt;="&amp;$A1584,Data!$I$10:$I$3209,"&lt;"&amp;$A1584+1)))</f>
        <v/>
      </c>
      <c r="AG1584">
        <f>IF($B1584=0,0,IF(Inputs!$B$9="",0,COUNTIFS(Data!$M$10:$M$3209,"&gt;="&amp;$A1584,Data!$M$10:$M$3209,"&lt;"&amp;$A1584+1)))</f>
        <v/>
      </c>
      <c r="AH1584">
        <f>IF($B1584=0,0,IF(Inputs!$B$10="",0,COUNTIFS(Data!$Q$10:$Q$3209,"&gt;="&amp;$A1584,Data!$Q$10:$Q$3209,"&lt;"&amp;$A1584+1)))</f>
        <v/>
      </c>
    </row>
    <row r="1585">
      <c r="A1585" s="55">
        <f>MIN(Inputs!$C$15,$A1584+IF(WEEKDAY($A1584,2)=5,3,1))</f>
        <v/>
      </c>
      <c r="B1585">
        <f>IF($A1585&gt;$A1584,1,0)</f>
        <v/>
      </c>
      <c r="C1585" s="56">
        <f>IF($B1585=0,"",IF(Inputs!$B$6="","",IF($AD1585=0,C1584,SUMIFS(Data!$B$10:$B$3209,Data!$A$10:$A$3209,"&gt;="&amp;$A1585,Data!$A$10:$A$3209,"&lt;"&amp;$A1585+1)/$AD1585)))</f>
        <v/>
      </c>
      <c r="D1585" s="56">
        <f>IF($B1585=0,"",IF(Inputs!$B$7="","",IF($AE1585=0,D1584,SUMIFS(Data!$F$10:$F$3209,Data!$E$10:$E$3209,"&gt;="&amp;$A1585,Data!$E$10:$E$3209,"&lt;"&amp;$A1585+1)/$AE1585)))</f>
        <v/>
      </c>
      <c r="E1585" s="56">
        <f>IF($B1585=0,"",IF(Inputs!$B$8="","",IF($AF1585=0,E1584,SUMIFS(Data!$J$10:$J$3209,Data!$I$10:$I$3209,"&gt;="&amp;$A1585,Data!$I$10:$I$3209,"&lt;"&amp;$A1585+1)/$AF1585)))</f>
        <v/>
      </c>
      <c r="F1585" s="56">
        <f>IF($B1585=0,"",IF(Inputs!$B$9="","",IF($AG1585=0,F1584,SUMIFS(Data!$N$10:$N$3209,Data!$M$10:$M$3209,"&gt;="&amp;$A1585,Data!$M$10:$M$3209,"&lt;"&amp;$A1585+1)/$AG1585)))</f>
        <v/>
      </c>
      <c r="G1585" s="56">
        <f>IF($B1585=0,"",IF(Inputs!$B$10="","",IF($AH1585=0,G1584,SUMIFS(Data!$R$10:$R$3209,Data!$Q$10:$Q$3209,"&gt;="&amp;$A1585,Data!$Q$10:$Q$3209,"&lt;"&amp;$A1585+1)/$AH1585)))</f>
        <v/>
      </c>
      <c r="I1585" s="54">
        <f>IF($B1585=0,NA(),IF($C1585="",NA(),IF(C$8="",NA(),IF(N(C$8)=0,NA(),IF(Inputs!$C$17="Rebased to 100",$C1585/C$8*100,$C1585)))))</f>
        <v/>
      </c>
      <c r="J1585" s="54">
        <f>IF($B1585=0,NA(),IF($D1585="",NA(),IF(D$8="",NA(),IF(N(D$8)=0,NA(),IF(Inputs!$C$17="Rebased to 100",$D1585/D$8*100,$D1585)))))</f>
        <v/>
      </c>
      <c r="K1585" s="54">
        <f>IF($B1585=0,NA(),IF($E1585="",NA(),IF(E$8="",NA(),IF(N(E$8)=0,NA(),IF(Inputs!$C$17="Rebased to 100",$E1585/E$8*100,$E1585)))))</f>
        <v/>
      </c>
      <c r="L1585" s="54">
        <f>IF($B1585=0,NA(),IF($F1585="",NA(),IF(F$8="",NA(),IF(N(F$8)=0,NA(),IF(Inputs!$C$17="Rebased to 100",$F1585/F$8*100,$F1585)))))</f>
        <v/>
      </c>
      <c r="M1585" s="54">
        <f>IF($B1585=0,NA(),IF($G1585="",NA(),IF(G$8="",NA(),IF(N(G$8)=0,NA(),IF(Inputs!$C$17="Rebased to 100",$G1585/G$8*100,$G1585)))))</f>
        <v/>
      </c>
      <c r="N1585" s="54">
        <f>IF($B1585=0,NA(),IF(Inputs!$C$18&lt;&gt;"Yes",NA(),IF(COUNT(I1585,J1585,K1585,L1585,M1585)=0,NA(),MIN(I1585,J1585,K1585,L1585,M1585))))</f>
        <v/>
      </c>
      <c r="O1585" s="54">
        <f>IF($B1585=0,NA(),IF(Inputs!$B$24&lt;&gt;"Yes",NA(),Inputs!$D$24*Inputs!$C$35))</f>
        <v/>
      </c>
      <c r="P1585" s="54">
        <f>IF($B1585=0,NA(),IF(Inputs!$B$25&lt;&gt;"Yes",NA(),Inputs!$D$25*Inputs!$C$35))</f>
        <v/>
      </c>
      <c r="Q1585" s="54">
        <f>IF($B1585=0,NA(),IF(Inputs!$B$26&lt;&gt;"Yes",NA(),Inputs!$D$26*Inputs!$C$35))</f>
        <v/>
      </c>
      <c r="R1585" s="54">
        <f>IF($B1585=0,NA(),IF(Inputs!$B$27&lt;&gt;"Yes",NA(),Inputs!$D$27*Inputs!$C$35))</f>
        <v/>
      </c>
      <c r="S1585" s="54">
        <f>IF($B1585=0,NA(),IF(Inputs!$B$28&lt;&gt;"Yes",NA(),Inputs!$D$28*Inputs!$C$35))</f>
        <v/>
      </c>
      <c r="T1585" s="54">
        <f>IF($B1585=0,NA(),IF(Inputs!$B$29&lt;&gt;"Yes",NA(),Inputs!$D$29*Inputs!$C$35))</f>
        <v/>
      </c>
      <c r="AD1585">
        <f>IF($B1585=0,0,IF(Inputs!$B$6="",0,COUNTIFS(Data!$A$10:$A$3209,"&gt;="&amp;$A1585,Data!$A$10:$A$3209,"&lt;"&amp;$A1585+1)))</f>
        <v/>
      </c>
      <c r="AE1585">
        <f>IF($B1585=0,0,IF(Inputs!$B$7="",0,COUNTIFS(Data!$E$10:$E$3209,"&gt;="&amp;$A1585,Data!$E$10:$E$3209,"&lt;"&amp;$A1585+1)))</f>
        <v/>
      </c>
      <c r="AF1585">
        <f>IF($B1585=0,0,IF(Inputs!$B$8="",0,COUNTIFS(Data!$I$10:$I$3209,"&gt;="&amp;$A1585,Data!$I$10:$I$3209,"&lt;"&amp;$A1585+1)))</f>
        <v/>
      </c>
      <c r="AG1585">
        <f>IF($B1585=0,0,IF(Inputs!$B$9="",0,COUNTIFS(Data!$M$10:$M$3209,"&gt;="&amp;$A1585,Data!$M$10:$M$3209,"&lt;"&amp;$A1585+1)))</f>
        <v/>
      </c>
      <c r="AH1585">
        <f>IF($B1585=0,0,IF(Inputs!$B$10="",0,COUNTIFS(Data!$Q$10:$Q$3209,"&gt;="&amp;$A1585,Data!$Q$10:$Q$3209,"&lt;"&amp;$A1585+1)))</f>
        <v/>
      </c>
    </row>
    <row r="1586">
      <c r="A1586" s="55">
        <f>MIN(Inputs!$C$15,$A1585+IF(WEEKDAY($A1585,2)=5,3,1))</f>
        <v/>
      </c>
      <c r="B1586">
        <f>IF($A1586&gt;$A1585,1,0)</f>
        <v/>
      </c>
      <c r="C1586" s="56">
        <f>IF($B1586=0,"",IF(Inputs!$B$6="","",IF($AD1586=0,C1585,SUMIFS(Data!$B$10:$B$3209,Data!$A$10:$A$3209,"&gt;="&amp;$A1586,Data!$A$10:$A$3209,"&lt;"&amp;$A1586+1)/$AD1586)))</f>
        <v/>
      </c>
      <c r="D1586" s="56">
        <f>IF($B1586=0,"",IF(Inputs!$B$7="","",IF($AE1586=0,D1585,SUMIFS(Data!$F$10:$F$3209,Data!$E$10:$E$3209,"&gt;="&amp;$A1586,Data!$E$10:$E$3209,"&lt;"&amp;$A1586+1)/$AE1586)))</f>
        <v/>
      </c>
      <c r="E1586" s="56">
        <f>IF($B1586=0,"",IF(Inputs!$B$8="","",IF($AF1586=0,E1585,SUMIFS(Data!$J$10:$J$3209,Data!$I$10:$I$3209,"&gt;="&amp;$A1586,Data!$I$10:$I$3209,"&lt;"&amp;$A1586+1)/$AF1586)))</f>
        <v/>
      </c>
      <c r="F1586" s="56">
        <f>IF($B1586=0,"",IF(Inputs!$B$9="","",IF($AG1586=0,F1585,SUMIFS(Data!$N$10:$N$3209,Data!$M$10:$M$3209,"&gt;="&amp;$A1586,Data!$M$10:$M$3209,"&lt;"&amp;$A1586+1)/$AG1586)))</f>
        <v/>
      </c>
      <c r="G1586" s="56">
        <f>IF($B1586=0,"",IF(Inputs!$B$10="","",IF($AH1586=0,G1585,SUMIFS(Data!$R$10:$R$3209,Data!$Q$10:$Q$3209,"&gt;="&amp;$A1586,Data!$Q$10:$Q$3209,"&lt;"&amp;$A1586+1)/$AH1586)))</f>
        <v/>
      </c>
      <c r="I1586" s="54">
        <f>IF($B1586=0,NA(),IF($C1586="",NA(),IF(C$8="",NA(),IF(N(C$8)=0,NA(),IF(Inputs!$C$17="Rebased to 100",$C1586/C$8*100,$C1586)))))</f>
        <v/>
      </c>
      <c r="J1586" s="54">
        <f>IF($B1586=0,NA(),IF($D1586="",NA(),IF(D$8="",NA(),IF(N(D$8)=0,NA(),IF(Inputs!$C$17="Rebased to 100",$D1586/D$8*100,$D1586)))))</f>
        <v/>
      </c>
      <c r="K1586" s="54">
        <f>IF($B1586=0,NA(),IF($E1586="",NA(),IF(E$8="",NA(),IF(N(E$8)=0,NA(),IF(Inputs!$C$17="Rebased to 100",$E1586/E$8*100,$E1586)))))</f>
        <v/>
      </c>
      <c r="L1586" s="54">
        <f>IF($B1586=0,NA(),IF($F1586="",NA(),IF(F$8="",NA(),IF(N(F$8)=0,NA(),IF(Inputs!$C$17="Rebased to 100",$F1586/F$8*100,$F1586)))))</f>
        <v/>
      </c>
      <c r="M1586" s="54">
        <f>IF($B1586=0,NA(),IF($G1586="",NA(),IF(G$8="",NA(),IF(N(G$8)=0,NA(),IF(Inputs!$C$17="Rebased to 100",$G1586/G$8*100,$G1586)))))</f>
        <v/>
      </c>
      <c r="N1586" s="54">
        <f>IF($B1586=0,NA(),IF(Inputs!$C$18&lt;&gt;"Yes",NA(),IF(COUNT(I1586,J1586,K1586,L1586,M1586)=0,NA(),MIN(I1586,J1586,K1586,L1586,M1586))))</f>
        <v/>
      </c>
      <c r="O1586" s="54">
        <f>IF($B1586=0,NA(),IF(Inputs!$B$24&lt;&gt;"Yes",NA(),Inputs!$D$24*Inputs!$C$35))</f>
        <v/>
      </c>
      <c r="P1586" s="54">
        <f>IF($B1586=0,NA(),IF(Inputs!$B$25&lt;&gt;"Yes",NA(),Inputs!$D$25*Inputs!$C$35))</f>
        <v/>
      </c>
      <c r="Q1586" s="54">
        <f>IF($B1586=0,NA(),IF(Inputs!$B$26&lt;&gt;"Yes",NA(),Inputs!$D$26*Inputs!$C$35))</f>
        <v/>
      </c>
      <c r="R1586" s="54">
        <f>IF($B1586=0,NA(),IF(Inputs!$B$27&lt;&gt;"Yes",NA(),Inputs!$D$27*Inputs!$C$35))</f>
        <v/>
      </c>
      <c r="S1586" s="54">
        <f>IF($B1586=0,NA(),IF(Inputs!$B$28&lt;&gt;"Yes",NA(),Inputs!$D$28*Inputs!$C$35))</f>
        <v/>
      </c>
      <c r="T1586" s="54">
        <f>IF($B1586=0,NA(),IF(Inputs!$B$29&lt;&gt;"Yes",NA(),Inputs!$D$29*Inputs!$C$35))</f>
        <v/>
      </c>
      <c r="AD1586">
        <f>IF($B1586=0,0,IF(Inputs!$B$6="",0,COUNTIFS(Data!$A$10:$A$3209,"&gt;="&amp;$A1586,Data!$A$10:$A$3209,"&lt;"&amp;$A1586+1)))</f>
        <v/>
      </c>
      <c r="AE1586">
        <f>IF($B1586=0,0,IF(Inputs!$B$7="",0,COUNTIFS(Data!$E$10:$E$3209,"&gt;="&amp;$A1586,Data!$E$10:$E$3209,"&lt;"&amp;$A1586+1)))</f>
        <v/>
      </c>
      <c r="AF1586">
        <f>IF($B1586=0,0,IF(Inputs!$B$8="",0,COUNTIFS(Data!$I$10:$I$3209,"&gt;="&amp;$A1586,Data!$I$10:$I$3209,"&lt;"&amp;$A1586+1)))</f>
        <v/>
      </c>
      <c r="AG1586">
        <f>IF($B1586=0,0,IF(Inputs!$B$9="",0,COUNTIFS(Data!$M$10:$M$3209,"&gt;="&amp;$A1586,Data!$M$10:$M$3209,"&lt;"&amp;$A1586+1)))</f>
        <v/>
      </c>
      <c r="AH1586">
        <f>IF($B1586=0,0,IF(Inputs!$B$10="",0,COUNTIFS(Data!$Q$10:$Q$3209,"&gt;="&amp;$A1586,Data!$Q$10:$Q$3209,"&lt;"&amp;$A1586+1)))</f>
        <v/>
      </c>
    </row>
    <row r="1587">
      <c r="A1587" s="55">
        <f>MIN(Inputs!$C$15,$A1586+IF(WEEKDAY($A1586,2)=5,3,1))</f>
        <v/>
      </c>
      <c r="B1587">
        <f>IF($A1587&gt;$A1586,1,0)</f>
        <v/>
      </c>
      <c r="C1587" s="56">
        <f>IF($B1587=0,"",IF(Inputs!$B$6="","",IF($AD1587=0,C1586,SUMIFS(Data!$B$10:$B$3209,Data!$A$10:$A$3209,"&gt;="&amp;$A1587,Data!$A$10:$A$3209,"&lt;"&amp;$A1587+1)/$AD1587)))</f>
        <v/>
      </c>
      <c r="D1587" s="56">
        <f>IF($B1587=0,"",IF(Inputs!$B$7="","",IF($AE1587=0,D1586,SUMIFS(Data!$F$10:$F$3209,Data!$E$10:$E$3209,"&gt;="&amp;$A1587,Data!$E$10:$E$3209,"&lt;"&amp;$A1587+1)/$AE1587)))</f>
        <v/>
      </c>
      <c r="E1587" s="56">
        <f>IF($B1587=0,"",IF(Inputs!$B$8="","",IF($AF1587=0,E1586,SUMIFS(Data!$J$10:$J$3209,Data!$I$10:$I$3209,"&gt;="&amp;$A1587,Data!$I$10:$I$3209,"&lt;"&amp;$A1587+1)/$AF1587)))</f>
        <v/>
      </c>
      <c r="F1587" s="56">
        <f>IF($B1587=0,"",IF(Inputs!$B$9="","",IF($AG1587=0,F1586,SUMIFS(Data!$N$10:$N$3209,Data!$M$10:$M$3209,"&gt;="&amp;$A1587,Data!$M$10:$M$3209,"&lt;"&amp;$A1587+1)/$AG1587)))</f>
        <v/>
      </c>
      <c r="G1587" s="56">
        <f>IF($B1587=0,"",IF(Inputs!$B$10="","",IF($AH1587=0,G1586,SUMIFS(Data!$R$10:$R$3209,Data!$Q$10:$Q$3209,"&gt;="&amp;$A1587,Data!$Q$10:$Q$3209,"&lt;"&amp;$A1587+1)/$AH1587)))</f>
        <v/>
      </c>
      <c r="I1587" s="54">
        <f>IF($B1587=0,NA(),IF($C1587="",NA(),IF(C$8="",NA(),IF(N(C$8)=0,NA(),IF(Inputs!$C$17="Rebased to 100",$C1587/C$8*100,$C1587)))))</f>
        <v/>
      </c>
      <c r="J1587" s="54">
        <f>IF($B1587=0,NA(),IF($D1587="",NA(),IF(D$8="",NA(),IF(N(D$8)=0,NA(),IF(Inputs!$C$17="Rebased to 100",$D1587/D$8*100,$D1587)))))</f>
        <v/>
      </c>
      <c r="K1587" s="54">
        <f>IF($B1587=0,NA(),IF($E1587="",NA(),IF(E$8="",NA(),IF(N(E$8)=0,NA(),IF(Inputs!$C$17="Rebased to 100",$E1587/E$8*100,$E1587)))))</f>
        <v/>
      </c>
      <c r="L1587" s="54">
        <f>IF($B1587=0,NA(),IF($F1587="",NA(),IF(F$8="",NA(),IF(N(F$8)=0,NA(),IF(Inputs!$C$17="Rebased to 100",$F1587/F$8*100,$F1587)))))</f>
        <v/>
      </c>
      <c r="M1587" s="54">
        <f>IF($B1587=0,NA(),IF($G1587="",NA(),IF(G$8="",NA(),IF(N(G$8)=0,NA(),IF(Inputs!$C$17="Rebased to 100",$G1587/G$8*100,$G1587)))))</f>
        <v/>
      </c>
      <c r="N1587" s="54">
        <f>IF($B1587=0,NA(),IF(Inputs!$C$18&lt;&gt;"Yes",NA(),IF(COUNT(I1587,J1587,K1587,L1587,M1587)=0,NA(),MIN(I1587,J1587,K1587,L1587,M1587))))</f>
        <v/>
      </c>
      <c r="O1587" s="54">
        <f>IF($B1587=0,NA(),IF(Inputs!$B$24&lt;&gt;"Yes",NA(),Inputs!$D$24*Inputs!$C$35))</f>
        <v/>
      </c>
      <c r="P1587" s="54">
        <f>IF($B1587=0,NA(),IF(Inputs!$B$25&lt;&gt;"Yes",NA(),Inputs!$D$25*Inputs!$C$35))</f>
        <v/>
      </c>
      <c r="Q1587" s="54">
        <f>IF($B1587=0,NA(),IF(Inputs!$B$26&lt;&gt;"Yes",NA(),Inputs!$D$26*Inputs!$C$35))</f>
        <v/>
      </c>
      <c r="R1587" s="54">
        <f>IF($B1587=0,NA(),IF(Inputs!$B$27&lt;&gt;"Yes",NA(),Inputs!$D$27*Inputs!$C$35))</f>
        <v/>
      </c>
      <c r="S1587" s="54">
        <f>IF($B1587=0,NA(),IF(Inputs!$B$28&lt;&gt;"Yes",NA(),Inputs!$D$28*Inputs!$C$35))</f>
        <v/>
      </c>
      <c r="T1587" s="54">
        <f>IF($B1587=0,NA(),IF(Inputs!$B$29&lt;&gt;"Yes",NA(),Inputs!$D$29*Inputs!$C$35))</f>
        <v/>
      </c>
      <c r="AD1587">
        <f>IF($B1587=0,0,IF(Inputs!$B$6="",0,COUNTIFS(Data!$A$10:$A$3209,"&gt;="&amp;$A1587,Data!$A$10:$A$3209,"&lt;"&amp;$A1587+1)))</f>
        <v/>
      </c>
      <c r="AE1587">
        <f>IF($B1587=0,0,IF(Inputs!$B$7="",0,COUNTIFS(Data!$E$10:$E$3209,"&gt;="&amp;$A1587,Data!$E$10:$E$3209,"&lt;"&amp;$A1587+1)))</f>
        <v/>
      </c>
      <c r="AF1587">
        <f>IF($B1587=0,0,IF(Inputs!$B$8="",0,COUNTIFS(Data!$I$10:$I$3209,"&gt;="&amp;$A1587,Data!$I$10:$I$3209,"&lt;"&amp;$A1587+1)))</f>
        <v/>
      </c>
      <c r="AG1587">
        <f>IF($B1587=0,0,IF(Inputs!$B$9="",0,COUNTIFS(Data!$M$10:$M$3209,"&gt;="&amp;$A1587,Data!$M$10:$M$3209,"&lt;"&amp;$A1587+1)))</f>
        <v/>
      </c>
      <c r="AH1587">
        <f>IF($B1587=0,0,IF(Inputs!$B$10="",0,COUNTIFS(Data!$Q$10:$Q$3209,"&gt;="&amp;$A1587,Data!$Q$10:$Q$3209,"&lt;"&amp;$A1587+1)))</f>
        <v/>
      </c>
    </row>
    <row r="1588">
      <c r="A1588" s="55">
        <f>MIN(Inputs!$C$15,$A1587+IF(WEEKDAY($A1587,2)=5,3,1))</f>
        <v/>
      </c>
      <c r="B1588">
        <f>IF($A1588&gt;$A1587,1,0)</f>
        <v/>
      </c>
      <c r="C1588" s="56">
        <f>IF($B1588=0,"",IF(Inputs!$B$6="","",IF($AD1588=0,C1587,SUMIFS(Data!$B$10:$B$3209,Data!$A$10:$A$3209,"&gt;="&amp;$A1588,Data!$A$10:$A$3209,"&lt;"&amp;$A1588+1)/$AD1588)))</f>
        <v/>
      </c>
      <c r="D1588" s="56">
        <f>IF($B1588=0,"",IF(Inputs!$B$7="","",IF($AE1588=0,D1587,SUMIFS(Data!$F$10:$F$3209,Data!$E$10:$E$3209,"&gt;="&amp;$A1588,Data!$E$10:$E$3209,"&lt;"&amp;$A1588+1)/$AE1588)))</f>
        <v/>
      </c>
      <c r="E1588" s="56">
        <f>IF($B1588=0,"",IF(Inputs!$B$8="","",IF($AF1588=0,E1587,SUMIFS(Data!$J$10:$J$3209,Data!$I$10:$I$3209,"&gt;="&amp;$A1588,Data!$I$10:$I$3209,"&lt;"&amp;$A1588+1)/$AF1588)))</f>
        <v/>
      </c>
      <c r="F1588" s="56">
        <f>IF($B1588=0,"",IF(Inputs!$B$9="","",IF($AG1588=0,F1587,SUMIFS(Data!$N$10:$N$3209,Data!$M$10:$M$3209,"&gt;="&amp;$A1588,Data!$M$10:$M$3209,"&lt;"&amp;$A1588+1)/$AG1588)))</f>
        <v/>
      </c>
      <c r="G1588" s="56">
        <f>IF($B1588=0,"",IF(Inputs!$B$10="","",IF($AH1588=0,G1587,SUMIFS(Data!$R$10:$R$3209,Data!$Q$10:$Q$3209,"&gt;="&amp;$A1588,Data!$Q$10:$Q$3209,"&lt;"&amp;$A1588+1)/$AH1588)))</f>
        <v/>
      </c>
      <c r="I1588" s="54">
        <f>IF($B1588=0,NA(),IF($C1588="",NA(),IF(C$8="",NA(),IF(N(C$8)=0,NA(),IF(Inputs!$C$17="Rebased to 100",$C1588/C$8*100,$C1588)))))</f>
        <v/>
      </c>
      <c r="J1588" s="54">
        <f>IF($B1588=0,NA(),IF($D1588="",NA(),IF(D$8="",NA(),IF(N(D$8)=0,NA(),IF(Inputs!$C$17="Rebased to 100",$D1588/D$8*100,$D1588)))))</f>
        <v/>
      </c>
      <c r="K1588" s="54">
        <f>IF($B1588=0,NA(),IF($E1588="",NA(),IF(E$8="",NA(),IF(N(E$8)=0,NA(),IF(Inputs!$C$17="Rebased to 100",$E1588/E$8*100,$E1588)))))</f>
        <v/>
      </c>
      <c r="L1588" s="54">
        <f>IF($B1588=0,NA(),IF($F1588="",NA(),IF(F$8="",NA(),IF(N(F$8)=0,NA(),IF(Inputs!$C$17="Rebased to 100",$F1588/F$8*100,$F1588)))))</f>
        <v/>
      </c>
      <c r="M1588" s="54">
        <f>IF($B1588=0,NA(),IF($G1588="",NA(),IF(G$8="",NA(),IF(N(G$8)=0,NA(),IF(Inputs!$C$17="Rebased to 100",$G1588/G$8*100,$G1588)))))</f>
        <v/>
      </c>
      <c r="N1588" s="54">
        <f>IF($B1588=0,NA(),IF(Inputs!$C$18&lt;&gt;"Yes",NA(),IF(COUNT(I1588,J1588,K1588,L1588,M1588)=0,NA(),MIN(I1588,J1588,K1588,L1588,M1588))))</f>
        <v/>
      </c>
      <c r="O1588" s="54">
        <f>IF($B1588=0,NA(),IF(Inputs!$B$24&lt;&gt;"Yes",NA(),Inputs!$D$24*Inputs!$C$35))</f>
        <v/>
      </c>
      <c r="P1588" s="54">
        <f>IF($B1588=0,NA(),IF(Inputs!$B$25&lt;&gt;"Yes",NA(),Inputs!$D$25*Inputs!$C$35))</f>
        <v/>
      </c>
      <c r="Q1588" s="54">
        <f>IF($B1588=0,NA(),IF(Inputs!$B$26&lt;&gt;"Yes",NA(),Inputs!$D$26*Inputs!$C$35))</f>
        <v/>
      </c>
      <c r="R1588" s="54">
        <f>IF($B1588=0,NA(),IF(Inputs!$B$27&lt;&gt;"Yes",NA(),Inputs!$D$27*Inputs!$C$35))</f>
        <v/>
      </c>
      <c r="S1588" s="54">
        <f>IF($B1588=0,NA(),IF(Inputs!$B$28&lt;&gt;"Yes",NA(),Inputs!$D$28*Inputs!$C$35))</f>
        <v/>
      </c>
      <c r="T1588" s="54">
        <f>IF($B1588=0,NA(),IF(Inputs!$B$29&lt;&gt;"Yes",NA(),Inputs!$D$29*Inputs!$C$35))</f>
        <v/>
      </c>
      <c r="AD1588">
        <f>IF($B1588=0,0,IF(Inputs!$B$6="",0,COUNTIFS(Data!$A$10:$A$3209,"&gt;="&amp;$A1588,Data!$A$10:$A$3209,"&lt;"&amp;$A1588+1)))</f>
        <v/>
      </c>
      <c r="AE1588">
        <f>IF($B1588=0,0,IF(Inputs!$B$7="",0,COUNTIFS(Data!$E$10:$E$3209,"&gt;="&amp;$A1588,Data!$E$10:$E$3209,"&lt;"&amp;$A1588+1)))</f>
        <v/>
      </c>
      <c r="AF1588">
        <f>IF($B1588=0,0,IF(Inputs!$B$8="",0,COUNTIFS(Data!$I$10:$I$3209,"&gt;="&amp;$A1588,Data!$I$10:$I$3209,"&lt;"&amp;$A1588+1)))</f>
        <v/>
      </c>
      <c r="AG1588">
        <f>IF($B1588=0,0,IF(Inputs!$B$9="",0,COUNTIFS(Data!$M$10:$M$3209,"&gt;="&amp;$A1588,Data!$M$10:$M$3209,"&lt;"&amp;$A1588+1)))</f>
        <v/>
      </c>
      <c r="AH1588">
        <f>IF($B1588=0,0,IF(Inputs!$B$10="",0,COUNTIFS(Data!$Q$10:$Q$3209,"&gt;="&amp;$A1588,Data!$Q$10:$Q$3209,"&lt;"&amp;$A1588+1)))</f>
        <v/>
      </c>
    </row>
    <row r="1589">
      <c r="A1589" s="55">
        <f>MIN(Inputs!$C$15,$A1588+IF(WEEKDAY($A1588,2)=5,3,1))</f>
        <v/>
      </c>
      <c r="B1589">
        <f>IF($A1589&gt;$A1588,1,0)</f>
        <v/>
      </c>
      <c r="C1589" s="56">
        <f>IF($B1589=0,"",IF(Inputs!$B$6="","",IF($AD1589=0,C1588,SUMIFS(Data!$B$10:$B$3209,Data!$A$10:$A$3209,"&gt;="&amp;$A1589,Data!$A$10:$A$3209,"&lt;"&amp;$A1589+1)/$AD1589)))</f>
        <v/>
      </c>
      <c r="D1589" s="56">
        <f>IF($B1589=0,"",IF(Inputs!$B$7="","",IF($AE1589=0,D1588,SUMIFS(Data!$F$10:$F$3209,Data!$E$10:$E$3209,"&gt;="&amp;$A1589,Data!$E$10:$E$3209,"&lt;"&amp;$A1589+1)/$AE1589)))</f>
        <v/>
      </c>
      <c r="E1589" s="56">
        <f>IF($B1589=0,"",IF(Inputs!$B$8="","",IF($AF1589=0,E1588,SUMIFS(Data!$J$10:$J$3209,Data!$I$10:$I$3209,"&gt;="&amp;$A1589,Data!$I$10:$I$3209,"&lt;"&amp;$A1589+1)/$AF1589)))</f>
        <v/>
      </c>
      <c r="F1589" s="56">
        <f>IF($B1589=0,"",IF(Inputs!$B$9="","",IF($AG1589=0,F1588,SUMIFS(Data!$N$10:$N$3209,Data!$M$10:$M$3209,"&gt;="&amp;$A1589,Data!$M$10:$M$3209,"&lt;"&amp;$A1589+1)/$AG1589)))</f>
        <v/>
      </c>
      <c r="G1589" s="56">
        <f>IF($B1589=0,"",IF(Inputs!$B$10="","",IF($AH1589=0,G1588,SUMIFS(Data!$R$10:$R$3209,Data!$Q$10:$Q$3209,"&gt;="&amp;$A1589,Data!$Q$10:$Q$3209,"&lt;"&amp;$A1589+1)/$AH1589)))</f>
        <v/>
      </c>
      <c r="I1589" s="54">
        <f>IF($B1589=0,NA(),IF($C1589="",NA(),IF(C$8="",NA(),IF(N(C$8)=0,NA(),IF(Inputs!$C$17="Rebased to 100",$C1589/C$8*100,$C1589)))))</f>
        <v/>
      </c>
      <c r="J1589" s="54">
        <f>IF($B1589=0,NA(),IF($D1589="",NA(),IF(D$8="",NA(),IF(N(D$8)=0,NA(),IF(Inputs!$C$17="Rebased to 100",$D1589/D$8*100,$D1589)))))</f>
        <v/>
      </c>
      <c r="K1589" s="54">
        <f>IF($B1589=0,NA(),IF($E1589="",NA(),IF(E$8="",NA(),IF(N(E$8)=0,NA(),IF(Inputs!$C$17="Rebased to 100",$E1589/E$8*100,$E1589)))))</f>
        <v/>
      </c>
      <c r="L1589" s="54">
        <f>IF($B1589=0,NA(),IF($F1589="",NA(),IF(F$8="",NA(),IF(N(F$8)=0,NA(),IF(Inputs!$C$17="Rebased to 100",$F1589/F$8*100,$F1589)))))</f>
        <v/>
      </c>
      <c r="M1589" s="54">
        <f>IF($B1589=0,NA(),IF($G1589="",NA(),IF(G$8="",NA(),IF(N(G$8)=0,NA(),IF(Inputs!$C$17="Rebased to 100",$G1589/G$8*100,$G1589)))))</f>
        <v/>
      </c>
      <c r="N1589" s="54">
        <f>IF($B1589=0,NA(),IF(Inputs!$C$18&lt;&gt;"Yes",NA(),IF(COUNT(I1589,J1589,K1589,L1589,M1589)=0,NA(),MIN(I1589,J1589,K1589,L1589,M1589))))</f>
        <v/>
      </c>
      <c r="O1589" s="54">
        <f>IF($B1589=0,NA(),IF(Inputs!$B$24&lt;&gt;"Yes",NA(),Inputs!$D$24*Inputs!$C$35))</f>
        <v/>
      </c>
      <c r="P1589" s="54">
        <f>IF($B1589=0,NA(),IF(Inputs!$B$25&lt;&gt;"Yes",NA(),Inputs!$D$25*Inputs!$C$35))</f>
        <v/>
      </c>
      <c r="Q1589" s="54">
        <f>IF($B1589=0,NA(),IF(Inputs!$B$26&lt;&gt;"Yes",NA(),Inputs!$D$26*Inputs!$C$35))</f>
        <v/>
      </c>
      <c r="R1589" s="54">
        <f>IF($B1589=0,NA(),IF(Inputs!$B$27&lt;&gt;"Yes",NA(),Inputs!$D$27*Inputs!$C$35))</f>
        <v/>
      </c>
      <c r="S1589" s="54">
        <f>IF($B1589=0,NA(),IF(Inputs!$B$28&lt;&gt;"Yes",NA(),Inputs!$D$28*Inputs!$C$35))</f>
        <v/>
      </c>
      <c r="T1589" s="54">
        <f>IF($B1589=0,NA(),IF(Inputs!$B$29&lt;&gt;"Yes",NA(),Inputs!$D$29*Inputs!$C$35))</f>
        <v/>
      </c>
      <c r="AD1589">
        <f>IF($B1589=0,0,IF(Inputs!$B$6="",0,COUNTIFS(Data!$A$10:$A$3209,"&gt;="&amp;$A1589,Data!$A$10:$A$3209,"&lt;"&amp;$A1589+1)))</f>
        <v/>
      </c>
      <c r="AE1589">
        <f>IF($B1589=0,0,IF(Inputs!$B$7="",0,COUNTIFS(Data!$E$10:$E$3209,"&gt;="&amp;$A1589,Data!$E$10:$E$3209,"&lt;"&amp;$A1589+1)))</f>
        <v/>
      </c>
      <c r="AF1589">
        <f>IF($B1589=0,0,IF(Inputs!$B$8="",0,COUNTIFS(Data!$I$10:$I$3209,"&gt;="&amp;$A1589,Data!$I$10:$I$3209,"&lt;"&amp;$A1589+1)))</f>
        <v/>
      </c>
      <c r="AG1589">
        <f>IF($B1589=0,0,IF(Inputs!$B$9="",0,COUNTIFS(Data!$M$10:$M$3209,"&gt;="&amp;$A1589,Data!$M$10:$M$3209,"&lt;"&amp;$A1589+1)))</f>
        <v/>
      </c>
      <c r="AH1589">
        <f>IF($B1589=0,0,IF(Inputs!$B$10="",0,COUNTIFS(Data!$Q$10:$Q$3209,"&gt;="&amp;$A1589,Data!$Q$10:$Q$3209,"&lt;"&amp;$A1589+1)))</f>
        <v/>
      </c>
    </row>
    <row r="1590">
      <c r="A1590" s="55">
        <f>MIN(Inputs!$C$15,$A1589+IF(WEEKDAY($A1589,2)=5,3,1))</f>
        <v/>
      </c>
      <c r="B1590">
        <f>IF($A1590&gt;$A1589,1,0)</f>
        <v/>
      </c>
      <c r="C1590" s="56">
        <f>IF($B1590=0,"",IF(Inputs!$B$6="","",IF($AD1590=0,C1589,SUMIFS(Data!$B$10:$B$3209,Data!$A$10:$A$3209,"&gt;="&amp;$A1590,Data!$A$10:$A$3209,"&lt;"&amp;$A1590+1)/$AD1590)))</f>
        <v/>
      </c>
      <c r="D1590" s="56">
        <f>IF($B1590=0,"",IF(Inputs!$B$7="","",IF($AE1590=0,D1589,SUMIFS(Data!$F$10:$F$3209,Data!$E$10:$E$3209,"&gt;="&amp;$A1590,Data!$E$10:$E$3209,"&lt;"&amp;$A1590+1)/$AE1590)))</f>
        <v/>
      </c>
      <c r="E1590" s="56">
        <f>IF($B1590=0,"",IF(Inputs!$B$8="","",IF($AF1590=0,E1589,SUMIFS(Data!$J$10:$J$3209,Data!$I$10:$I$3209,"&gt;="&amp;$A1590,Data!$I$10:$I$3209,"&lt;"&amp;$A1590+1)/$AF1590)))</f>
        <v/>
      </c>
      <c r="F1590" s="56">
        <f>IF($B1590=0,"",IF(Inputs!$B$9="","",IF($AG1590=0,F1589,SUMIFS(Data!$N$10:$N$3209,Data!$M$10:$M$3209,"&gt;="&amp;$A1590,Data!$M$10:$M$3209,"&lt;"&amp;$A1590+1)/$AG1590)))</f>
        <v/>
      </c>
      <c r="G1590" s="56">
        <f>IF($B1590=0,"",IF(Inputs!$B$10="","",IF($AH1590=0,G1589,SUMIFS(Data!$R$10:$R$3209,Data!$Q$10:$Q$3209,"&gt;="&amp;$A1590,Data!$Q$10:$Q$3209,"&lt;"&amp;$A1590+1)/$AH1590)))</f>
        <v/>
      </c>
      <c r="I1590" s="54">
        <f>IF($B1590=0,NA(),IF($C1590="",NA(),IF(C$8="",NA(),IF(N(C$8)=0,NA(),IF(Inputs!$C$17="Rebased to 100",$C1590/C$8*100,$C1590)))))</f>
        <v/>
      </c>
      <c r="J1590" s="54">
        <f>IF($B1590=0,NA(),IF($D1590="",NA(),IF(D$8="",NA(),IF(N(D$8)=0,NA(),IF(Inputs!$C$17="Rebased to 100",$D1590/D$8*100,$D1590)))))</f>
        <v/>
      </c>
      <c r="K1590" s="54">
        <f>IF($B1590=0,NA(),IF($E1590="",NA(),IF(E$8="",NA(),IF(N(E$8)=0,NA(),IF(Inputs!$C$17="Rebased to 100",$E1590/E$8*100,$E1590)))))</f>
        <v/>
      </c>
      <c r="L1590" s="54">
        <f>IF($B1590=0,NA(),IF($F1590="",NA(),IF(F$8="",NA(),IF(N(F$8)=0,NA(),IF(Inputs!$C$17="Rebased to 100",$F1590/F$8*100,$F1590)))))</f>
        <v/>
      </c>
      <c r="M1590" s="54">
        <f>IF($B1590=0,NA(),IF($G1590="",NA(),IF(G$8="",NA(),IF(N(G$8)=0,NA(),IF(Inputs!$C$17="Rebased to 100",$G1590/G$8*100,$G1590)))))</f>
        <v/>
      </c>
      <c r="N1590" s="54">
        <f>IF($B1590=0,NA(),IF(Inputs!$C$18&lt;&gt;"Yes",NA(),IF(COUNT(I1590,J1590,K1590,L1590,M1590)=0,NA(),MIN(I1590,J1590,K1590,L1590,M1590))))</f>
        <v/>
      </c>
      <c r="O1590" s="54">
        <f>IF($B1590=0,NA(),IF(Inputs!$B$24&lt;&gt;"Yes",NA(),Inputs!$D$24*Inputs!$C$35))</f>
        <v/>
      </c>
      <c r="P1590" s="54">
        <f>IF($B1590=0,NA(),IF(Inputs!$B$25&lt;&gt;"Yes",NA(),Inputs!$D$25*Inputs!$C$35))</f>
        <v/>
      </c>
      <c r="Q1590" s="54">
        <f>IF($B1590=0,NA(),IF(Inputs!$B$26&lt;&gt;"Yes",NA(),Inputs!$D$26*Inputs!$C$35))</f>
        <v/>
      </c>
      <c r="R1590" s="54">
        <f>IF($B1590=0,NA(),IF(Inputs!$B$27&lt;&gt;"Yes",NA(),Inputs!$D$27*Inputs!$C$35))</f>
        <v/>
      </c>
      <c r="S1590" s="54">
        <f>IF($B1590=0,NA(),IF(Inputs!$B$28&lt;&gt;"Yes",NA(),Inputs!$D$28*Inputs!$C$35))</f>
        <v/>
      </c>
      <c r="T1590" s="54">
        <f>IF($B1590=0,NA(),IF(Inputs!$B$29&lt;&gt;"Yes",NA(),Inputs!$D$29*Inputs!$C$35))</f>
        <v/>
      </c>
      <c r="AD1590">
        <f>IF($B1590=0,0,IF(Inputs!$B$6="",0,COUNTIFS(Data!$A$10:$A$3209,"&gt;="&amp;$A1590,Data!$A$10:$A$3209,"&lt;"&amp;$A1590+1)))</f>
        <v/>
      </c>
      <c r="AE1590">
        <f>IF($B1590=0,0,IF(Inputs!$B$7="",0,COUNTIFS(Data!$E$10:$E$3209,"&gt;="&amp;$A1590,Data!$E$10:$E$3209,"&lt;"&amp;$A1590+1)))</f>
        <v/>
      </c>
      <c r="AF1590">
        <f>IF($B1590=0,0,IF(Inputs!$B$8="",0,COUNTIFS(Data!$I$10:$I$3209,"&gt;="&amp;$A1590,Data!$I$10:$I$3209,"&lt;"&amp;$A1590+1)))</f>
        <v/>
      </c>
      <c r="AG1590">
        <f>IF($B1590=0,0,IF(Inputs!$B$9="",0,COUNTIFS(Data!$M$10:$M$3209,"&gt;="&amp;$A1590,Data!$M$10:$M$3209,"&lt;"&amp;$A1590+1)))</f>
        <v/>
      </c>
      <c r="AH1590">
        <f>IF($B1590=0,0,IF(Inputs!$B$10="",0,COUNTIFS(Data!$Q$10:$Q$3209,"&gt;="&amp;$A1590,Data!$Q$10:$Q$3209,"&lt;"&amp;$A1590+1)))</f>
        <v/>
      </c>
    </row>
    <row r="1591">
      <c r="A1591" s="55">
        <f>MIN(Inputs!$C$15,$A1590+IF(WEEKDAY($A1590,2)=5,3,1))</f>
        <v/>
      </c>
      <c r="B1591">
        <f>IF($A1591&gt;$A1590,1,0)</f>
        <v/>
      </c>
      <c r="C1591" s="56">
        <f>IF($B1591=0,"",IF(Inputs!$B$6="","",IF($AD1591=0,C1590,SUMIFS(Data!$B$10:$B$3209,Data!$A$10:$A$3209,"&gt;="&amp;$A1591,Data!$A$10:$A$3209,"&lt;"&amp;$A1591+1)/$AD1591)))</f>
        <v/>
      </c>
      <c r="D1591" s="56">
        <f>IF($B1591=0,"",IF(Inputs!$B$7="","",IF($AE1591=0,D1590,SUMIFS(Data!$F$10:$F$3209,Data!$E$10:$E$3209,"&gt;="&amp;$A1591,Data!$E$10:$E$3209,"&lt;"&amp;$A1591+1)/$AE1591)))</f>
        <v/>
      </c>
      <c r="E1591" s="56">
        <f>IF($B1591=0,"",IF(Inputs!$B$8="","",IF($AF1591=0,E1590,SUMIFS(Data!$J$10:$J$3209,Data!$I$10:$I$3209,"&gt;="&amp;$A1591,Data!$I$10:$I$3209,"&lt;"&amp;$A1591+1)/$AF1591)))</f>
        <v/>
      </c>
      <c r="F1591" s="56">
        <f>IF($B1591=0,"",IF(Inputs!$B$9="","",IF($AG1591=0,F1590,SUMIFS(Data!$N$10:$N$3209,Data!$M$10:$M$3209,"&gt;="&amp;$A1591,Data!$M$10:$M$3209,"&lt;"&amp;$A1591+1)/$AG1591)))</f>
        <v/>
      </c>
      <c r="G1591" s="56">
        <f>IF($B1591=0,"",IF(Inputs!$B$10="","",IF($AH1591=0,G1590,SUMIFS(Data!$R$10:$R$3209,Data!$Q$10:$Q$3209,"&gt;="&amp;$A1591,Data!$Q$10:$Q$3209,"&lt;"&amp;$A1591+1)/$AH1591)))</f>
        <v/>
      </c>
      <c r="I1591" s="54">
        <f>IF($B1591=0,NA(),IF($C1591="",NA(),IF(C$8="",NA(),IF(N(C$8)=0,NA(),IF(Inputs!$C$17="Rebased to 100",$C1591/C$8*100,$C1591)))))</f>
        <v/>
      </c>
      <c r="J1591" s="54">
        <f>IF($B1591=0,NA(),IF($D1591="",NA(),IF(D$8="",NA(),IF(N(D$8)=0,NA(),IF(Inputs!$C$17="Rebased to 100",$D1591/D$8*100,$D1591)))))</f>
        <v/>
      </c>
      <c r="K1591" s="54">
        <f>IF($B1591=0,NA(),IF($E1591="",NA(),IF(E$8="",NA(),IF(N(E$8)=0,NA(),IF(Inputs!$C$17="Rebased to 100",$E1591/E$8*100,$E1591)))))</f>
        <v/>
      </c>
      <c r="L1591" s="54">
        <f>IF($B1591=0,NA(),IF($F1591="",NA(),IF(F$8="",NA(),IF(N(F$8)=0,NA(),IF(Inputs!$C$17="Rebased to 100",$F1591/F$8*100,$F1591)))))</f>
        <v/>
      </c>
      <c r="M1591" s="54">
        <f>IF($B1591=0,NA(),IF($G1591="",NA(),IF(G$8="",NA(),IF(N(G$8)=0,NA(),IF(Inputs!$C$17="Rebased to 100",$G1591/G$8*100,$G1591)))))</f>
        <v/>
      </c>
      <c r="N1591" s="54">
        <f>IF($B1591=0,NA(),IF(Inputs!$C$18&lt;&gt;"Yes",NA(),IF(COUNT(I1591,J1591,K1591,L1591,M1591)=0,NA(),MIN(I1591,J1591,K1591,L1591,M1591))))</f>
        <v/>
      </c>
      <c r="O1591" s="54">
        <f>IF($B1591=0,NA(),IF(Inputs!$B$24&lt;&gt;"Yes",NA(),Inputs!$D$24*Inputs!$C$35))</f>
        <v/>
      </c>
      <c r="P1591" s="54">
        <f>IF($B1591=0,NA(),IF(Inputs!$B$25&lt;&gt;"Yes",NA(),Inputs!$D$25*Inputs!$C$35))</f>
        <v/>
      </c>
      <c r="Q1591" s="54">
        <f>IF($B1591=0,NA(),IF(Inputs!$B$26&lt;&gt;"Yes",NA(),Inputs!$D$26*Inputs!$C$35))</f>
        <v/>
      </c>
      <c r="R1591" s="54">
        <f>IF($B1591=0,NA(),IF(Inputs!$B$27&lt;&gt;"Yes",NA(),Inputs!$D$27*Inputs!$C$35))</f>
        <v/>
      </c>
      <c r="S1591" s="54">
        <f>IF($B1591=0,NA(),IF(Inputs!$B$28&lt;&gt;"Yes",NA(),Inputs!$D$28*Inputs!$C$35))</f>
        <v/>
      </c>
      <c r="T1591" s="54">
        <f>IF($B1591=0,NA(),IF(Inputs!$B$29&lt;&gt;"Yes",NA(),Inputs!$D$29*Inputs!$C$35))</f>
        <v/>
      </c>
      <c r="AD1591">
        <f>IF($B1591=0,0,IF(Inputs!$B$6="",0,COUNTIFS(Data!$A$10:$A$3209,"&gt;="&amp;$A1591,Data!$A$10:$A$3209,"&lt;"&amp;$A1591+1)))</f>
        <v/>
      </c>
      <c r="AE1591">
        <f>IF($B1591=0,0,IF(Inputs!$B$7="",0,COUNTIFS(Data!$E$10:$E$3209,"&gt;="&amp;$A1591,Data!$E$10:$E$3209,"&lt;"&amp;$A1591+1)))</f>
        <v/>
      </c>
      <c r="AF1591">
        <f>IF($B1591=0,0,IF(Inputs!$B$8="",0,COUNTIFS(Data!$I$10:$I$3209,"&gt;="&amp;$A1591,Data!$I$10:$I$3209,"&lt;"&amp;$A1591+1)))</f>
        <v/>
      </c>
      <c r="AG1591">
        <f>IF($B1591=0,0,IF(Inputs!$B$9="",0,COUNTIFS(Data!$M$10:$M$3209,"&gt;="&amp;$A1591,Data!$M$10:$M$3209,"&lt;"&amp;$A1591+1)))</f>
        <v/>
      </c>
      <c r="AH1591">
        <f>IF($B1591=0,0,IF(Inputs!$B$10="",0,COUNTIFS(Data!$Q$10:$Q$3209,"&gt;="&amp;$A1591,Data!$Q$10:$Q$3209,"&lt;"&amp;$A1591+1)))</f>
        <v/>
      </c>
    </row>
    <row r="1592">
      <c r="A1592" s="55">
        <f>MIN(Inputs!$C$15,$A1591+IF(WEEKDAY($A1591,2)=5,3,1))</f>
        <v/>
      </c>
      <c r="B1592">
        <f>IF($A1592&gt;$A1591,1,0)</f>
        <v/>
      </c>
      <c r="C1592" s="56">
        <f>IF($B1592=0,"",IF(Inputs!$B$6="","",IF($AD1592=0,C1591,SUMIFS(Data!$B$10:$B$3209,Data!$A$10:$A$3209,"&gt;="&amp;$A1592,Data!$A$10:$A$3209,"&lt;"&amp;$A1592+1)/$AD1592)))</f>
        <v/>
      </c>
      <c r="D1592" s="56">
        <f>IF($B1592=0,"",IF(Inputs!$B$7="","",IF($AE1592=0,D1591,SUMIFS(Data!$F$10:$F$3209,Data!$E$10:$E$3209,"&gt;="&amp;$A1592,Data!$E$10:$E$3209,"&lt;"&amp;$A1592+1)/$AE1592)))</f>
        <v/>
      </c>
      <c r="E1592" s="56">
        <f>IF($B1592=0,"",IF(Inputs!$B$8="","",IF($AF1592=0,E1591,SUMIFS(Data!$J$10:$J$3209,Data!$I$10:$I$3209,"&gt;="&amp;$A1592,Data!$I$10:$I$3209,"&lt;"&amp;$A1592+1)/$AF1592)))</f>
        <v/>
      </c>
      <c r="F1592" s="56">
        <f>IF($B1592=0,"",IF(Inputs!$B$9="","",IF($AG1592=0,F1591,SUMIFS(Data!$N$10:$N$3209,Data!$M$10:$M$3209,"&gt;="&amp;$A1592,Data!$M$10:$M$3209,"&lt;"&amp;$A1592+1)/$AG1592)))</f>
        <v/>
      </c>
      <c r="G1592" s="56">
        <f>IF($B1592=0,"",IF(Inputs!$B$10="","",IF($AH1592=0,G1591,SUMIFS(Data!$R$10:$R$3209,Data!$Q$10:$Q$3209,"&gt;="&amp;$A1592,Data!$Q$10:$Q$3209,"&lt;"&amp;$A1592+1)/$AH1592)))</f>
        <v/>
      </c>
      <c r="I1592" s="54">
        <f>IF($B1592=0,NA(),IF($C1592="",NA(),IF(C$8="",NA(),IF(N(C$8)=0,NA(),IF(Inputs!$C$17="Rebased to 100",$C1592/C$8*100,$C1592)))))</f>
        <v/>
      </c>
      <c r="J1592" s="54">
        <f>IF($B1592=0,NA(),IF($D1592="",NA(),IF(D$8="",NA(),IF(N(D$8)=0,NA(),IF(Inputs!$C$17="Rebased to 100",$D1592/D$8*100,$D1592)))))</f>
        <v/>
      </c>
      <c r="K1592" s="54">
        <f>IF($B1592=0,NA(),IF($E1592="",NA(),IF(E$8="",NA(),IF(N(E$8)=0,NA(),IF(Inputs!$C$17="Rebased to 100",$E1592/E$8*100,$E1592)))))</f>
        <v/>
      </c>
      <c r="L1592" s="54">
        <f>IF($B1592=0,NA(),IF($F1592="",NA(),IF(F$8="",NA(),IF(N(F$8)=0,NA(),IF(Inputs!$C$17="Rebased to 100",$F1592/F$8*100,$F1592)))))</f>
        <v/>
      </c>
      <c r="M1592" s="54">
        <f>IF($B1592=0,NA(),IF($G1592="",NA(),IF(G$8="",NA(),IF(N(G$8)=0,NA(),IF(Inputs!$C$17="Rebased to 100",$G1592/G$8*100,$G1592)))))</f>
        <v/>
      </c>
      <c r="N1592" s="54">
        <f>IF($B1592=0,NA(),IF(Inputs!$C$18&lt;&gt;"Yes",NA(),IF(COUNT(I1592,J1592,K1592,L1592,M1592)=0,NA(),MIN(I1592,J1592,K1592,L1592,M1592))))</f>
        <v/>
      </c>
      <c r="O1592" s="54">
        <f>IF($B1592=0,NA(),IF(Inputs!$B$24&lt;&gt;"Yes",NA(),Inputs!$D$24*Inputs!$C$35))</f>
        <v/>
      </c>
      <c r="P1592" s="54">
        <f>IF($B1592=0,NA(),IF(Inputs!$B$25&lt;&gt;"Yes",NA(),Inputs!$D$25*Inputs!$C$35))</f>
        <v/>
      </c>
      <c r="Q1592" s="54">
        <f>IF($B1592=0,NA(),IF(Inputs!$B$26&lt;&gt;"Yes",NA(),Inputs!$D$26*Inputs!$C$35))</f>
        <v/>
      </c>
      <c r="R1592" s="54">
        <f>IF($B1592=0,NA(),IF(Inputs!$B$27&lt;&gt;"Yes",NA(),Inputs!$D$27*Inputs!$C$35))</f>
        <v/>
      </c>
      <c r="S1592" s="54">
        <f>IF($B1592=0,NA(),IF(Inputs!$B$28&lt;&gt;"Yes",NA(),Inputs!$D$28*Inputs!$C$35))</f>
        <v/>
      </c>
      <c r="T1592" s="54">
        <f>IF($B1592=0,NA(),IF(Inputs!$B$29&lt;&gt;"Yes",NA(),Inputs!$D$29*Inputs!$C$35))</f>
        <v/>
      </c>
      <c r="AD1592">
        <f>IF($B1592=0,0,IF(Inputs!$B$6="",0,COUNTIFS(Data!$A$10:$A$3209,"&gt;="&amp;$A1592,Data!$A$10:$A$3209,"&lt;"&amp;$A1592+1)))</f>
        <v/>
      </c>
      <c r="AE1592">
        <f>IF($B1592=0,0,IF(Inputs!$B$7="",0,COUNTIFS(Data!$E$10:$E$3209,"&gt;="&amp;$A1592,Data!$E$10:$E$3209,"&lt;"&amp;$A1592+1)))</f>
        <v/>
      </c>
      <c r="AF1592">
        <f>IF($B1592=0,0,IF(Inputs!$B$8="",0,COUNTIFS(Data!$I$10:$I$3209,"&gt;="&amp;$A1592,Data!$I$10:$I$3209,"&lt;"&amp;$A1592+1)))</f>
        <v/>
      </c>
      <c r="AG1592">
        <f>IF($B1592=0,0,IF(Inputs!$B$9="",0,COUNTIFS(Data!$M$10:$M$3209,"&gt;="&amp;$A1592,Data!$M$10:$M$3209,"&lt;"&amp;$A1592+1)))</f>
        <v/>
      </c>
      <c r="AH1592">
        <f>IF($B1592=0,0,IF(Inputs!$B$10="",0,COUNTIFS(Data!$Q$10:$Q$3209,"&gt;="&amp;$A1592,Data!$Q$10:$Q$3209,"&lt;"&amp;$A1592+1)))</f>
        <v/>
      </c>
    </row>
    <row r="1593">
      <c r="A1593" s="55">
        <f>MIN(Inputs!$C$15,$A1592+IF(WEEKDAY($A1592,2)=5,3,1))</f>
        <v/>
      </c>
      <c r="B1593">
        <f>IF($A1593&gt;$A1592,1,0)</f>
        <v/>
      </c>
      <c r="C1593" s="56">
        <f>IF($B1593=0,"",IF(Inputs!$B$6="","",IF($AD1593=0,C1592,SUMIFS(Data!$B$10:$B$3209,Data!$A$10:$A$3209,"&gt;="&amp;$A1593,Data!$A$10:$A$3209,"&lt;"&amp;$A1593+1)/$AD1593)))</f>
        <v/>
      </c>
      <c r="D1593" s="56">
        <f>IF($B1593=0,"",IF(Inputs!$B$7="","",IF($AE1593=0,D1592,SUMIFS(Data!$F$10:$F$3209,Data!$E$10:$E$3209,"&gt;="&amp;$A1593,Data!$E$10:$E$3209,"&lt;"&amp;$A1593+1)/$AE1593)))</f>
        <v/>
      </c>
      <c r="E1593" s="56">
        <f>IF($B1593=0,"",IF(Inputs!$B$8="","",IF($AF1593=0,E1592,SUMIFS(Data!$J$10:$J$3209,Data!$I$10:$I$3209,"&gt;="&amp;$A1593,Data!$I$10:$I$3209,"&lt;"&amp;$A1593+1)/$AF1593)))</f>
        <v/>
      </c>
      <c r="F1593" s="56">
        <f>IF($B1593=0,"",IF(Inputs!$B$9="","",IF($AG1593=0,F1592,SUMIFS(Data!$N$10:$N$3209,Data!$M$10:$M$3209,"&gt;="&amp;$A1593,Data!$M$10:$M$3209,"&lt;"&amp;$A1593+1)/$AG1593)))</f>
        <v/>
      </c>
      <c r="G1593" s="56">
        <f>IF($B1593=0,"",IF(Inputs!$B$10="","",IF($AH1593=0,G1592,SUMIFS(Data!$R$10:$R$3209,Data!$Q$10:$Q$3209,"&gt;="&amp;$A1593,Data!$Q$10:$Q$3209,"&lt;"&amp;$A1593+1)/$AH1593)))</f>
        <v/>
      </c>
      <c r="I1593" s="54">
        <f>IF($B1593=0,NA(),IF($C1593="",NA(),IF(C$8="",NA(),IF(N(C$8)=0,NA(),IF(Inputs!$C$17="Rebased to 100",$C1593/C$8*100,$C1593)))))</f>
        <v/>
      </c>
      <c r="J1593" s="54">
        <f>IF($B1593=0,NA(),IF($D1593="",NA(),IF(D$8="",NA(),IF(N(D$8)=0,NA(),IF(Inputs!$C$17="Rebased to 100",$D1593/D$8*100,$D1593)))))</f>
        <v/>
      </c>
      <c r="K1593" s="54">
        <f>IF($B1593=0,NA(),IF($E1593="",NA(),IF(E$8="",NA(),IF(N(E$8)=0,NA(),IF(Inputs!$C$17="Rebased to 100",$E1593/E$8*100,$E1593)))))</f>
        <v/>
      </c>
      <c r="L1593" s="54">
        <f>IF($B1593=0,NA(),IF($F1593="",NA(),IF(F$8="",NA(),IF(N(F$8)=0,NA(),IF(Inputs!$C$17="Rebased to 100",$F1593/F$8*100,$F1593)))))</f>
        <v/>
      </c>
      <c r="M1593" s="54">
        <f>IF($B1593=0,NA(),IF($G1593="",NA(),IF(G$8="",NA(),IF(N(G$8)=0,NA(),IF(Inputs!$C$17="Rebased to 100",$G1593/G$8*100,$G1593)))))</f>
        <v/>
      </c>
      <c r="N1593" s="54">
        <f>IF($B1593=0,NA(),IF(Inputs!$C$18&lt;&gt;"Yes",NA(),IF(COUNT(I1593,J1593,K1593,L1593,M1593)=0,NA(),MIN(I1593,J1593,K1593,L1593,M1593))))</f>
        <v/>
      </c>
      <c r="O1593" s="54">
        <f>IF($B1593=0,NA(),IF(Inputs!$B$24&lt;&gt;"Yes",NA(),Inputs!$D$24*Inputs!$C$35))</f>
        <v/>
      </c>
      <c r="P1593" s="54">
        <f>IF($B1593=0,NA(),IF(Inputs!$B$25&lt;&gt;"Yes",NA(),Inputs!$D$25*Inputs!$C$35))</f>
        <v/>
      </c>
      <c r="Q1593" s="54">
        <f>IF($B1593=0,NA(),IF(Inputs!$B$26&lt;&gt;"Yes",NA(),Inputs!$D$26*Inputs!$C$35))</f>
        <v/>
      </c>
      <c r="R1593" s="54">
        <f>IF($B1593=0,NA(),IF(Inputs!$B$27&lt;&gt;"Yes",NA(),Inputs!$D$27*Inputs!$C$35))</f>
        <v/>
      </c>
      <c r="S1593" s="54">
        <f>IF($B1593=0,NA(),IF(Inputs!$B$28&lt;&gt;"Yes",NA(),Inputs!$D$28*Inputs!$C$35))</f>
        <v/>
      </c>
      <c r="T1593" s="54">
        <f>IF($B1593=0,NA(),IF(Inputs!$B$29&lt;&gt;"Yes",NA(),Inputs!$D$29*Inputs!$C$35))</f>
        <v/>
      </c>
      <c r="AD1593">
        <f>IF($B1593=0,0,IF(Inputs!$B$6="",0,COUNTIFS(Data!$A$10:$A$3209,"&gt;="&amp;$A1593,Data!$A$10:$A$3209,"&lt;"&amp;$A1593+1)))</f>
        <v/>
      </c>
      <c r="AE1593">
        <f>IF($B1593=0,0,IF(Inputs!$B$7="",0,COUNTIFS(Data!$E$10:$E$3209,"&gt;="&amp;$A1593,Data!$E$10:$E$3209,"&lt;"&amp;$A1593+1)))</f>
        <v/>
      </c>
      <c r="AF1593">
        <f>IF($B1593=0,0,IF(Inputs!$B$8="",0,COUNTIFS(Data!$I$10:$I$3209,"&gt;="&amp;$A1593,Data!$I$10:$I$3209,"&lt;"&amp;$A1593+1)))</f>
        <v/>
      </c>
      <c r="AG1593">
        <f>IF($B1593=0,0,IF(Inputs!$B$9="",0,COUNTIFS(Data!$M$10:$M$3209,"&gt;="&amp;$A1593,Data!$M$10:$M$3209,"&lt;"&amp;$A1593+1)))</f>
        <v/>
      </c>
      <c r="AH1593">
        <f>IF($B1593=0,0,IF(Inputs!$B$10="",0,COUNTIFS(Data!$Q$10:$Q$3209,"&gt;="&amp;$A1593,Data!$Q$10:$Q$3209,"&lt;"&amp;$A1593+1)))</f>
        <v/>
      </c>
    </row>
    <row r="1594">
      <c r="A1594" s="55">
        <f>MIN(Inputs!$C$15,$A1593+IF(WEEKDAY($A1593,2)=5,3,1))</f>
        <v/>
      </c>
      <c r="B1594">
        <f>IF($A1594&gt;$A1593,1,0)</f>
        <v/>
      </c>
      <c r="C1594" s="56">
        <f>IF($B1594=0,"",IF(Inputs!$B$6="","",IF($AD1594=0,C1593,SUMIFS(Data!$B$10:$B$3209,Data!$A$10:$A$3209,"&gt;="&amp;$A1594,Data!$A$10:$A$3209,"&lt;"&amp;$A1594+1)/$AD1594)))</f>
        <v/>
      </c>
      <c r="D1594" s="56">
        <f>IF($B1594=0,"",IF(Inputs!$B$7="","",IF($AE1594=0,D1593,SUMIFS(Data!$F$10:$F$3209,Data!$E$10:$E$3209,"&gt;="&amp;$A1594,Data!$E$10:$E$3209,"&lt;"&amp;$A1594+1)/$AE1594)))</f>
        <v/>
      </c>
      <c r="E1594" s="56">
        <f>IF($B1594=0,"",IF(Inputs!$B$8="","",IF($AF1594=0,E1593,SUMIFS(Data!$J$10:$J$3209,Data!$I$10:$I$3209,"&gt;="&amp;$A1594,Data!$I$10:$I$3209,"&lt;"&amp;$A1594+1)/$AF1594)))</f>
        <v/>
      </c>
      <c r="F1594" s="56">
        <f>IF($B1594=0,"",IF(Inputs!$B$9="","",IF($AG1594=0,F1593,SUMIFS(Data!$N$10:$N$3209,Data!$M$10:$M$3209,"&gt;="&amp;$A1594,Data!$M$10:$M$3209,"&lt;"&amp;$A1594+1)/$AG1594)))</f>
        <v/>
      </c>
      <c r="G1594" s="56">
        <f>IF($B1594=0,"",IF(Inputs!$B$10="","",IF($AH1594=0,G1593,SUMIFS(Data!$R$10:$R$3209,Data!$Q$10:$Q$3209,"&gt;="&amp;$A1594,Data!$Q$10:$Q$3209,"&lt;"&amp;$A1594+1)/$AH1594)))</f>
        <v/>
      </c>
      <c r="I1594" s="54">
        <f>IF($B1594=0,NA(),IF($C1594="",NA(),IF(C$8="",NA(),IF(N(C$8)=0,NA(),IF(Inputs!$C$17="Rebased to 100",$C1594/C$8*100,$C1594)))))</f>
        <v/>
      </c>
      <c r="J1594" s="54">
        <f>IF($B1594=0,NA(),IF($D1594="",NA(),IF(D$8="",NA(),IF(N(D$8)=0,NA(),IF(Inputs!$C$17="Rebased to 100",$D1594/D$8*100,$D1594)))))</f>
        <v/>
      </c>
      <c r="K1594" s="54">
        <f>IF($B1594=0,NA(),IF($E1594="",NA(),IF(E$8="",NA(),IF(N(E$8)=0,NA(),IF(Inputs!$C$17="Rebased to 100",$E1594/E$8*100,$E1594)))))</f>
        <v/>
      </c>
      <c r="L1594" s="54">
        <f>IF($B1594=0,NA(),IF($F1594="",NA(),IF(F$8="",NA(),IF(N(F$8)=0,NA(),IF(Inputs!$C$17="Rebased to 100",$F1594/F$8*100,$F1594)))))</f>
        <v/>
      </c>
      <c r="M1594" s="54">
        <f>IF($B1594=0,NA(),IF($G1594="",NA(),IF(G$8="",NA(),IF(N(G$8)=0,NA(),IF(Inputs!$C$17="Rebased to 100",$G1594/G$8*100,$G1594)))))</f>
        <v/>
      </c>
      <c r="N1594" s="54">
        <f>IF($B1594=0,NA(),IF(Inputs!$C$18&lt;&gt;"Yes",NA(),IF(COUNT(I1594,J1594,K1594,L1594,M1594)=0,NA(),MIN(I1594,J1594,K1594,L1594,M1594))))</f>
        <v/>
      </c>
      <c r="O1594" s="54">
        <f>IF($B1594=0,NA(),IF(Inputs!$B$24&lt;&gt;"Yes",NA(),Inputs!$D$24*Inputs!$C$35))</f>
        <v/>
      </c>
      <c r="P1594" s="54">
        <f>IF($B1594=0,NA(),IF(Inputs!$B$25&lt;&gt;"Yes",NA(),Inputs!$D$25*Inputs!$C$35))</f>
        <v/>
      </c>
      <c r="Q1594" s="54">
        <f>IF($B1594=0,NA(),IF(Inputs!$B$26&lt;&gt;"Yes",NA(),Inputs!$D$26*Inputs!$C$35))</f>
        <v/>
      </c>
      <c r="R1594" s="54">
        <f>IF($B1594=0,NA(),IF(Inputs!$B$27&lt;&gt;"Yes",NA(),Inputs!$D$27*Inputs!$C$35))</f>
        <v/>
      </c>
      <c r="S1594" s="54">
        <f>IF($B1594=0,NA(),IF(Inputs!$B$28&lt;&gt;"Yes",NA(),Inputs!$D$28*Inputs!$C$35))</f>
        <v/>
      </c>
      <c r="T1594" s="54">
        <f>IF($B1594=0,NA(),IF(Inputs!$B$29&lt;&gt;"Yes",NA(),Inputs!$D$29*Inputs!$C$35))</f>
        <v/>
      </c>
      <c r="AD1594">
        <f>IF($B1594=0,0,IF(Inputs!$B$6="",0,COUNTIFS(Data!$A$10:$A$3209,"&gt;="&amp;$A1594,Data!$A$10:$A$3209,"&lt;"&amp;$A1594+1)))</f>
        <v/>
      </c>
      <c r="AE1594">
        <f>IF($B1594=0,0,IF(Inputs!$B$7="",0,COUNTIFS(Data!$E$10:$E$3209,"&gt;="&amp;$A1594,Data!$E$10:$E$3209,"&lt;"&amp;$A1594+1)))</f>
        <v/>
      </c>
      <c r="AF1594">
        <f>IF($B1594=0,0,IF(Inputs!$B$8="",0,COUNTIFS(Data!$I$10:$I$3209,"&gt;="&amp;$A1594,Data!$I$10:$I$3209,"&lt;"&amp;$A1594+1)))</f>
        <v/>
      </c>
      <c r="AG1594">
        <f>IF($B1594=0,0,IF(Inputs!$B$9="",0,COUNTIFS(Data!$M$10:$M$3209,"&gt;="&amp;$A1594,Data!$M$10:$M$3209,"&lt;"&amp;$A1594+1)))</f>
        <v/>
      </c>
      <c r="AH1594">
        <f>IF($B1594=0,0,IF(Inputs!$B$10="",0,COUNTIFS(Data!$Q$10:$Q$3209,"&gt;="&amp;$A1594,Data!$Q$10:$Q$3209,"&lt;"&amp;$A1594+1)))</f>
        <v/>
      </c>
    </row>
    <row r="1595">
      <c r="A1595" s="55">
        <f>MIN(Inputs!$C$15,$A1594+IF(WEEKDAY($A1594,2)=5,3,1))</f>
        <v/>
      </c>
      <c r="B1595">
        <f>IF($A1595&gt;$A1594,1,0)</f>
        <v/>
      </c>
      <c r="C1595" s="56">
        <f>IF($B1595=0,"",IF(Inputs!$B$6="","",IF($AD1595=0,C1594,SUMIFS(Data!$B$10:$B$3209,Data!$A$10:$A$3209,"&gt;="&amp;$A1595,Data!$A$10:$A$3209,"&lt;"&amp;$A1595+1)/$AD1595)))</f>
        <v/>
      </c>
      <c r="D1595" s="56">
        <f>IF($B1595=0,"",IF(Inputs!$B$7="","",IF($AE1595=0,D1594,SUMIFS(Data!$F$10:$F$3209,Data!$E$10:$E$3209,"&gt;="&amp;$A1595,Data!$E$10:$E$3209,"&lt;"&amp;$A1595+1)/$AE1595)))</f>
        <v/>
      </c>
      <c r="E1595" s="56">
        <f>IF($B1595=0,"",IF(Inputs!$B$8="","",IF($AF1595=0,E1594,SUMIFS(Data!$J$10:$J$3209,Data!$I$10:$I$3209,"&gt;="&amp;$A1595,Data!$I$10:$I$3209,"&lt;"&amp;$A1595+1)/$AF1595)))</f>
        <v/>
      </c>
      <c r="F1595" s="56">
        <f>IF($B1595=0,"",IF(Inputs!$B$9="","",IF($AG1595=0,F1594,SUMIFS(Data!$N$10:$N$3209,Data!$M$10:$M$3209,"&gt;="&amp;$A1595,Data!$M$10:$M$3209,"&lt;"&amp;$A1595+1)/$AG1595)))</f>
        <v/>
      </c>
      <c r="G1595" s="56">
        <f>IF($B1595=0,"",IF(Inputs!$B$10="","",IF($AH1595=0,G1594,SUMIFS(Data!$R$10:$R$3209,Data!$Q$10:$Q$3209,"&gt;="&amp;$A1595,Data!$Q$10:$Q$3209,"&lt;"&amp;$A1595+1)/$AH1595)))</f>
        <v/>
      </c>
      <c r="I1595" s="54">
        <f>IF($B1595=0,NA(),IF($C1595="",NA(),IF(C$8="",NA(),IF(N(C$8)=0,NA(),IF(Inputs!$C$17="Rebased to 100",$C1595/C$8*100,$C1595)))))</f>
        <v/>
      </c>
      <c r="J1595" s="54">
        <f>IF($B1595=0,NA(),IF($D1595="",NA(),IF(D$8="",NA(),IF(N(D$8)=0,NA(),IF(Inputs!$C$17="Rebased to 100",$D1595/D$8*100,$D1595)))))</f>
        <v/>
      </c>
      <c r="K1595" s="54">
        <f>IF($B1595=0,NA(),IF($E1595="",NA(),IF(E$8="",NA(),IF(N(E$8)=0,NA(),IF(Inputs!$C$17="Rebased to 100",$E1595/E$8*100,$E1595)))))</f>
        <v/>
      </c>
      <c r="L1595" s="54">
        <f>IF($B1595=0,NA(),IF($F1595="",NA(),IF(F$8="",NA(),IF(N(F$8)=0,NA(),IF(Inputs!$C$17="Rebased to 100",$F1595/F$8*100,$F1595)))))</f>
        <v/>
      </c>
      <c r="M1595" s="54">
        <f>IF($B1595=0,NA(),IF($G1595="",NA(),IF(G$8="",NA(),IF(N(G$8)=0,NA(),IF(Inputs!$C$17="Rebased to 100",$G1595/G$8*100,$G1595)))))</f>
        <v/>
      </c>
      <c r="N1595" s="54">
        <f>IF($B1595=0,NA(),IF(Inputs!$C$18&lt;&gt;"Yes",NA(),IF(COUNT(I1595,J1595,K1595,L1595,M1595)=0,NA(),MIN(I1595,J1595,K1595,L1595,M1595))))</f>
        <v/>
      </c>
      <c r="O1595" s="54">
        <f>IF($B1595=0,NA(),IF(Inputs!$B$24&lt;&gt;"Yes",NA(),Inputs!$D$24*Inputs!$C$35))</f>
        <v/>
      </c>
      <c r="P1595" s="54">
        <f>IF($B1595=0,NA(),IF(Inputs!$B$25&lt;&gt;"Yes",NA(),Inputs!$D$25*Inputs!$C$35))</f>
        <v/>
      </c>
      <c r="Q1595" s="54">
        <f>IF($B1595=0,NA(),IF(Inputs!$B$26&lt;&gt;"Yes",NA(),Inputs!$D$26*Inputs!$C$35))</f>
        <v/>
      </c>
      <c r="R1595" s="54">
        <f>IF($B1595=0,NA(),IF(Inputs!$B$27&lt;&gt;"Yes",NA(),Inputs!$D$27*Inputs!$C$35))</f>
        <v/>
      </c>
      <c r="S1595" s="54">
        <f>IF($B1595=0,NA(),IF(Inputs!$B$28&lt;&gt;"Yes",NA(),Inputs!$D$28*Inputs!$C$35))</f>
        <v/>
      </c>
      <c r="T1595" s="54">
        <f>IF($B1595=0,NA(),IF(Inputs!$B$29&lt;&gt;"Yes",NA(),Inputs!$D$29*Inputs!$C$35))</f>
        <v/>
      </c>
      <c r="AD1595">
        <f>IF($B1595=0,0,IF(Inputs!$B$6="",0,COUNTIFS(Data!$A$10:$A$3209,"&gt;="&amp;$A1595,Data!$A$10:$A$3209,"&lt;"&amp;$A1595+1)))</f>
        <v/>
      </c>
      <c r="AE1595">
        <f>IF($B1595=0,0,IF(Inputs!$B$7="",0,COUNTIFS(Data!$E$10:$E$3209,"&gt;="&amp;$A1595,Data!$E$10:$E$3209,"&lt;"&amp;$A1595+1)))</f>
        <v/>
      </c>
      <c r="AF1595">
        <f>IF($B1595=0,0,IF(Inputs!$B$8="",0,COUNTIFS(Data!$I$10:$I$3209,"&gt;="&amp;$A1595,Data!$I$10:$I$3209,"&lt;"&amp;$A1595+1)))</f>
        <v/>
      </c>
      <c r="AG1595">
        <f>IF($B1595=0,0,IF(Inputs!$B$9="",0,COUNTIFS(Data!$M$10:$M$3209,"&gt;="&amp;$A1595,Data!$M$10:$M$3209,"&lt;"&amp;$A1595+1)))</f>
        <v/>
      </c>
      <c r="AH1595">
        <f>IF($B1595=0,0,IF(Inputs!$B$10="",0,COUNTIFS(Data!$Q$10:$Q$3209,"&gt;="&amp;$A1595,Data!$Q$10:$Q$3209,"&lt;"&amp;$A1595+1)))</f>
        <v/>
      </c>
    </row>
    <row r="1596">
      <c r="A1596" s="55">
        <f>MIN(Inputs!$C$15,$A1595+IF(WEEKDAY($A1595,2)=5,3,1))</f>
        <v/>
      </c>
      <c r="B1596">
        <f>IF($A1596&gt;$A1595,1,0)</f>
        <v/>
      </c>
      <c r="C1596" s="56">
        <f>IF($B1596=0,"",IF(Inputs!$B$6="","",IF($AD1596=0,C1595,SUMIFS(Data!$B$10:$B$3209,Data!$A$10:$A$3209,"&gt;="&amp;$A1596,Data!$A$10:$A$3209,"&lt;"&amp;$A1596+1)/$AD1596)))</f>
        <v/>
      </c>
      <c r="D1596" s="56">
        <f>IF($B1596=0,"",IF(Inputs!$B$7="","",IF($AE1596=0,D1595,SUMIFS(Data!$F$10:$F$3209,Data!$E$10:$E$3209,"&gt;="&amp;$A1596,Data!$E$10:$E$3209,"&lt;"&amp;$A1596+1)/$AE1596)))</f>
        <v/>
      </c>
      <c r="E1596" s="56">
        <f>IF($B1596=0,"",IF(Inputs!$B$8="","",IF($AF1596=0,E1595,SUMIFS(Data!$J$10:$J$3209,Data!$I$10:$I$3209,"&gt;="&amp;$A1596,Data!$I$10:$I$3209,"&lt;"&amp;$A1596+1)/$AF1596)))</f>
        <v/>
      </c>
      <c r="F1596" s="56">
        <f>IF($B1596=0,"",IF(Inputs!$B$9="","",IF($AG1596=0,F1595,SUMIFS(Data!$N$10:$N$3209,Data!$M$10:$M$3209,"&gt;="&amp;$A1596,Data!$M$10:$M$3209,"&lt;"&amp;$A1596+1)/$AG1596)))</f>
        <v/>
      </c>
      <c r="G1596" s="56">
        <f>IF($B1596=0,"",IF(Inputs!$B$10="","",IF($AH1596=0,G1595,SUMIFS(Data!$R$10:$R$3209,Data!$Q$10:$Q$3209,"&gt;="&amp;$A1596,Data!$Q$10:$Q$3209,"&lt;"&amp;$A1596+1)/$AH1596)))</f>
        <v/>
      </c>
      <c r="I1596" s="54">
        <f>IF($B1596=0,NA(),IF($C1596="",NA(),IF(C$8="",NA(),IF(N(C$8)=0,NA(),IF(Inputs!$C$17="Rebased to 100",$C1596/C$8*100,$C1596)))))</f>
        <v/>
      </c>
      <c r="J1596" s="54">
        <f>IF($B1596=0,NA(),IF($D1596="",NA(),IF(D$8="",NA(),IF(N(D$8)=0,NA(),IF(Inputs!$C$17="Rebased to 100",$D1596/D$8*100,$D1596)))))</f>
        <v/>
      </c>
      <c r="K1596" s="54">
        <f>IF($B1596=0,NA(),IF($E1596="",NA(),IF(E$8="",NA(),IF(N(E$8)=0,NA(),IF(Inputs!$C$17="Rebased to 100",$E1596/E$8*100,$E1596)))))</f>
        <v/>
      </c>
      <c r="L1596" s="54">
        <f>IF($B1596=0,NA(),IF($F1596="",NA(),IF(F$8="",NA(),IF(N(F$8)=0,NA(),IF(Inputs!$C$17="Rebased to 100",$F1596/F$8*100,$F1596)))))</f>
        <v/>
      </c>
      <c r="M1596" s="54">
        <f>IF($B1596=0,NA(),IF($G1596="",NA(),IF(G$8="",NA(),IF(N(G$8)=0,NA(),IF(Inputs!$C$17="Rebased to 100",$G1596/G$8*100,$G1596)))))</f>
        <v/>
      </c>
      <c r="N1596" s="54">
        <f>IF($B1596=0,NA(),IF(Inputs!$C$18&lt;&gt;"Yes",NA(),IF(COUNT(I1596,J1596,K1596,L1596,M1596)=0,NA(),MIN(I1596,J1596,K1596,L1596,M1596))))</f>
        <v/>
      </c>
      <c r="O1596" s="54">
        <f>IF($B1596=0,NA(),IF(Inputs!$B$24&lt;&gt;"Yes",NA(),Inputs!$D$24*Inputs!$C$35))</f>
        <v/>
      </c>
      <c r="P1596" s="54">
        <f>IF($B1596=0,NA(),IF(Inputs!$B$25&lt;&gt;"Yes",NA(),Inputs!$D$25*Inputs!$C$35))</f>
        <v/>
      </c>
      <c r="Q1596" s="54">
        <f>IF($B1596=0,NA(),IF(Inputs!$B$26&lt;&gt;"Yes",NA(),Inputs!$D$26*Inputs!$C$35))</f>
        <v/>
      </c>
      <c r="R1596" s="54">
        <f>IF($B1596=0,NA(),IF(Inputs!$B$27&lt;&gt;"Yes",NA(),Inputs!$D$27*Inputs!$C$35))</f>
        <v/>
      </c>
      <c r="S1596" s="54">
        <f>IF($B1596=0,NA(),IF(Inputs!$B$28&lt;&gt;"Yes",NA(),Inputs!$D$28*Inputs!$C$35))</f>
        <v/>
      </c>
      <c r="T1596" s="54">
        <f>IF($B1596=0,NA(),IF(Inputs!$B$29&lt;&gt;"Yes",NA(),Inputs!$D$29*Inputs!$C$35))</f>
        <v/>
      </c>
      <c r="AD1596">
        <f>IF($B1596=0,0,IF(Inputs!$B$6="",0,COUNTIFS(Data!$A$10:$A$3209,"&gt;="&amp;$A1596,Data!$A$10:$A$3209,"&lt;"&amp;$A1596+1)))</f>
        <v/>
      </c>
      <c r="AE1596">
        <f>IF($B1596=0,0,IF(Inputs!$B$7="",0,COUNTIFS(Data!$E$10:$E$3209,"&gt;="&amp;$A1596,Data!$E$10:$E$3209,"&lt;"&amp;$A1596+1)))</f>
        <v/>
      </c>
      <c r="AF1596">
        <f>IF($B1596=0,0,IF(Inputs!$B$8="",0,COUNTIFS(Data!$I$10:$I$3209,"&gt;="&amp;$A1596,Data!$I$10:$I$3209,"&lt;"&amp;$A1596+1)))</f>
        <v/>
      </c>
      <c r="AG1596">
        <f>IF($B1596=0,0,IF(Inputs!$B$9="",0,COUNTIFS(Data!$M$10:$M$3209,"&gt;="&amp;$A1596,Data!$M$10:$M$3209,"&lt;"&amp;$A1596+1)))</f>
        <v/>
      </c>
      <c r="AH1596">
        <f>IF($B1596=0,0,IF(Inputs!$B$10="",0,COUNTIFS(Data!$Q$10:$Q$3209,"&gt;="&amp;$A1596,Data!$Q$10:$Q$3209,"&lt;"&amp;$A1596+1)))</f>
        <v/>
      </c>
    </row>
    <row r="1597">
      <c r="A1597" s="55">
        <f>MIN(Inputs!$C$15,$A1596+IF(WEEKDAY($A1596,2)=5,3,1))</f>
        <v/>
      </c>
      <c r="B1597">
        <f>IF($A1597&gt;$A1596,1,0)</f>
        <v/>
      </c>
      <c r="C1597" s="56">
        <f>IF($B1597=0,"",IF(Inputs!$B$6="","",IF($AD1597=0,C1596,SUMIFS(Data!$B$10:$B$3209,Data!$A$10:$A$3209,"&gt;="&amp;$A1597,Data!$A$10:$A$3209,"&lt;"&amp;$A1597+1)/$AD1597)))</f>
        <v/>
      </c>
      <c r="D1597" s="56">
        <f>IF($B1597=0,"",IF(Inputs!$B$7="","",IF($AE1597=0,D1596,SUMIFS(Data!$F$10:$F$3209,Data!$E$10:$E$3209,"&gt;="&amp;$A1597,Data!$E$10:$E$3209,"&lt;"&amp;$A1597+1)/$AE1597)))</f>
        <v/>
      </c>
      <c r="E1597" s="56">
        <f>IF($B1597=0,"",IF(Inputs!$B$8="","",IF($AF1597=0,E1596,SUMIFS(Data!$J$10:$J$3209,Data!$I$10:$I$3209,"&gt;="&amp;$A1597,Data!$I$10:$I$3209,"&lt;"&amp;$A1597+1)/$AF1597)))</f>
        <v/>
      </c>
      <c r="F1597" s="56">
        <f>IF($B1597=0,"",IF(Inputs!$B$9="","",IF($AG1597=0,F1596,SUMIFS(Data!$N$10:$N$3209,Data!$M$10:$M$3209,"&gt;="&amp;$A1597,Data!$M$10:$M$3209,"&lt;"&amp;$A1597+1)/$AG1597)))</f>
        <v/>
      </c>
      <c r="G1597" s="56">
        <f>IF($B1597=0,"",IF(Inputs!$B$10="","",IF($AH1597=0,G1596,SUMIFS(Data!$R$10:$R$3209,Data!$Q$10:$Q$3209,"&gt;="&amp;$A1597,Data!$Q$10:$Q$3209,"&lt;"&amp;$A1597+1)/$AH1597)))</f>
        <v/>
      </c>
      <c r="I1597" s="54">
        <f>IF($B1597=0,NA(),IF($C1597="",NA(),IF(C$8="",NA(),IF(N(C$8)=0,NA(),IF(Inputs!$C$17="Rebased to 100",$C1597/C$8*100,$C1597)))))</f>
        <v/>
      </c>
      <c r="J1597" s="54">
        <f>IF($B1597=0,NA(),IF($D1597="",NA(),IF(D$8="",NA(),IF(N(D$8)=0,NA(),IF(Inputs!$C$17="Rebased to 100",$D1597/D$8*100,$D1597)))))</f>
        <v/>
      </c>
      <c r="K1597" s="54">
        <f>IF($B1597=0,NA(),IF($E1597="",NA(),IF(E$8="",NA(),IF(N(E$8)=0,NA(),IF(Inputs!$C$17="Rebased to 100",$E1597/E$8*100,$E1597)))))</f>
        <v/>
      </c>
      <c r="L1597" s="54">
        <f>IF($B1597=0,NA(),IF($F1597="",NA(),IF(F$8="",NA(),IF(N(F$8)=0,NA(),IF(Inputs!$C$17="Rebased to 100",$F1597/F$8*100,$F1597)))))</f>
        <v/>
      </c>
      <c r="M1597" s="54">
        <f>IF($B1597=0,NA(),IF($G1597="",NA(),IF(G$8="",NA(),IF(N(G$8)=0,NA(),IF(Inputs!$C$17="Rebased to 100",$G1597/G$8*100,$G1597)))))</f>
        <v/>
      </c>
      <c r="N1597" s="54">
        <f>IF($B1597=0,NA(),IF(Inputs!$C$18&lt;&gt;"Yes",NA(),IF(COUNT(I1597,J1597,K1597,L1597,M1597)=0,NA(),MIN(I1597,J1597,K1597,L1597,M1597))))</f>
        <v/>
      </c>
      <c r="O1597" s="54">
        <f>IF($B1597=0,NA(),IF(Inputs!$B$24&lt;&gt;"Yes",NA(),Inputs!$D$24*Inputs!$C$35))</f>
        <v/>
      </c>
      <c r="P1597" s="54">
        <f>IF($B1597=0,NA(),IF(Inputs!$B$25&lt;&gt;"Yes",NA(),Inputs!$D$25*Inputs!$C$35))</f>
        <v/>
      </c>
      <c r="Q1597" s="54">
        <f>IF($B1597=0,NA(),IF(Inputs!$B$26&lt;&gt;"Yes",NA(),Inputs!$D$26*Inputs!$C$35))</f>
        <v/>
      </c>
      <c r="R1597" s="54">
        <f>IF($B1597=0,NA(),IF(Inputs!$B$27&lt;&gt;"Yes",NA(),Inputs!$D$27*Inputs!$C$35))</f>
        <v/>
      </c>
      <c r="S1597" s="54">
        <f>IF($B1597=0,NA(),IF(Inputs!$B$28&lt;&gt;"Yes",NA(),Inputs!$D$28*Inputs!$C$35))</f>
        <v/>
      </c>
      <c r="T1597" s="54">
        <f>IF($B1597=0,NA(),IF(Inputs!$B$29&lt;&gt;"Yes",NA(),Inputs!$D$29*Inputs!$C$35))</f>
        <v/>
      </c>
      <c r="AD1597">
        <f>IF($B1597=0,0,IF(Inputs!$B$6="",0,COUNTIFS(Data!$A$10:$A$3209,"&gt;="&amp;$A1597,Data!$A$10:$A$3209,"&lt;"&amp;$A1597+1)))</f>
        <v/>
      </c>
      <c r="AE1597">
        <f>IF($B1597=0,0,IF(Inputs!$B$7="",0,COUNTIFS(Data!$E$10:$E$3209,"&gt;="&amp;$A1597,Data!$E$10:$E$3209,"&lt;"&amp;$A1597+1)))</f>
        <v/>
      </c>
      <c r="AF1597">
        <f>IF($B1597=0,0,IF(Inputs!$B$8="",0,COUNTIFS(Data!$I$10:$I$3209,"&gt;="&amp;$A1597,Data!$I$10:$I$3209,"&lt;"&amp;$A1597+1)))</f>
        <v/>
      </c>
      <c r="AG1597">
        <f>IF($B1597=0,0,IF(Inputs!$B$9="",0,COUNTIFS(Data!$M$10:$M$3209,"&gt;="&amp;$A1597,Data!$M$10:$M$3209,"&lt;"&amp;$A1597+1)))</f>
        <v/>
      </c>
      <c r="AH1597">
        <f>IF($B1597=0,0,IF(Inputs!$B$10="",0,COUNTIFS(Data!$Q$10:$Q$3209,"&gt;="&amp;$A1597,Data!$Q$10:$Q$3209,"&lt;"&amp;$A1597+1)))</f>
        <v/>
      </c>
    </row>
    <row r="1598">
      <c r="A1598" s="55">
        <f>MIN(Inputs!$C$15,$A1597+IF(WEEKDAY($A1597,2)=5,3,1))</f>
        <v/>
      </c>
      <c r="B1598">
        <f>IF($A1598&gt;$A1597,1,0)</f>
        <v/>
      </c>
      <c r="C1598" s="56">
        <f>IF($B1598=0,"",IF(Inputs!$B$6="","",IF($AD1598=0,C1597,SUMIFS(Data!$B$10:$B$3209,Data!$A$10:$A$3209,"&gt;="&amp;$A1598,Data!$A$10:$A$3209,"&lt;"&amp;$A1598+1)/$AD1598)))</f>
        <v/>
      </c>
      <c r="D1598" s="56">
        <f>IF($B1598=0,"",IF(Inputs!$B$7="","",IF($AE1598=0,D1597,SUMIFS(Data!$F$10:$F$3209,Data!$E$10:$E$3209,"&gt;="&amp;$A1598,Data!$E$10:$E$3209,"&lt;"&amp;$A1598+1)/$AE1598)))</f>
        <v/>
      </c>
      <c r="E1598" s="56">
        <f>IF($B1598=0,"",IF(Inputs!$B$8="","",IF($AF1598=0,E1597,SUMIFS(Data!$J$10:$J$3209,Data!$I$10:$I$3209,"&gt;="&amp;$A1598,Data!$I$10:$I$3209,"&lt;"&amp;$A1598+1)/$AF1598)))</f>
        <v/>
      </c>
      <c r="F1598" s="56">
        <f>IF($B1598=0,"",IF(Inputs!$B$9="","",IF($AG1598=0,F1597,SUMIFS(Data!$N$10:$N$3209,Data!$M$10:$M$3209,"&gt;="&amp;$A1598,Data!$M$10:$M$3209,"&lt;"&amp;$A1598+1)/$AG1598)))</f>
        <v/>
      </c>
      <c r="G1598" s="56">
        <f>IF($B1598=0,"",IF(Inputs!$B$10="","",IF($AH1598=0,G1597,SUMIFS(Data!$R$10:$R$3209,Data!$Q$10:$Q$3209,"&gt;="&amp;$A1598,Data!$Q$10:$Q$3209,"&lt;"&amp;$A1598+1)/$AH1598)))</f>
        <v/>
      </c>
      <c r="I1598" s="54">
        <f>IF($B1598=0,NA(),IF($C1598="",NA(),IF(C$8="",NA(),IF(N(C$8)=0,NA(),IF(Inputs!$C$17="Rebased to 100",$C1598/C$8*100,$C1598)))))</f>
        <v/>
      </c>
      <c r="J1598" s="54">
        <f>IF($B1598=0,NA(),IF($D1598="",NA(),IF(D$8="",NA(),IF(N(D$8)=0,NA(),IF(Inputs!$C$17="Rebased to 100",$D1598/D$8*100,$D1598)))))</f>
        <v/>
      </c>
      <c r="K1598" s="54">
        <f>IF($B1598=0,NA(),IF($E1598="",NA(),IF(E$8="",NA(),IF(N(E$8)=0,NA(),IF(Inputs!$C$17="Rebased to 100",$E1598/E$8*100,$E1598)))))</f>
        <v/>
      </c>
      <c r="L1598" s="54">
        <f>IF($B1598=0,NA(),IF($F1598="",NA(),IF(F$8="",NA(),IF(N(F$8)=0,NA(),IF(Inputs!$C$17="Rebased to 100",$F1598/F$8*100,$F1598)))))</f>
        <v/>
      </c>
      <c r="M1598" s="54">
        <f>IF($B1598=0,NA(),IF($G1598="",NA(),IF(G$8="",NA(),IF(N(G$8)=0,NA(),IF(Inputs!$C$17="Rebased to 100",$G1598/G$8*100,$G1598)))))</f>
        <v/>
      </c>
      <c r="N1598" s="54">
        <f>IF($B1598=0,NA(),IF(Inputs!$C$18&lt;&gt;"Yes",NA(),IF(COUNT(I1598,J1598,K1598,L1598,M1598)=0,NA(),MIN(I1598,J1598,K1598,L1598,M1598))))</f>
        <v/>
      </c>
      <c r="O1598" s="54">
        <f>IF($B1598=0,NA(),IF(Inputs!$B$24&lt;&gt;"Yes",NA(),Inputs!$D$24*Inputs!$C$35))</f>
        <v/>
      </c>
      <c r="P1598" s="54">
        <f>IF($B1598=0,NA(),IF(Inputs!$B$25&lt;&gt;"Yes",NA(),Inputs!$D$25*Inputs!$C$35))</f>
        <v/>
      </c>
      <c r="Q1598" s="54">
        <f>IF($B1598=0,NA(),IF(Inputs!$B$26&lt;&gt;"Yes",NA(),Inputs!$D$26*Inputs!$C$35))</f>
        <v/>
      </c>
      <c r="R1598" s="54">
        <f>IF($B1598=0,NA(),IF(Inputs!$B$27&lt;&gt;"Yes",NA(),Inputs!$D$27*Inputs!$C$35))</f>
        <v/>
      </c>
      <c r="S1598" s="54">
        <f>IF($B1598=0,NA(),IF(Inputs!$B$28&lt;&gt;"Yes",NA(),Inputs!$D$28*Inputs!$C$35))</f>
        <v/>
      </c>
      <c r="T1598" s="54">
        <f>IF($B1598=0,NA(),IF(Inputs!$B$29&lt;&gt;"Yes",NA(),Inputs!$D$29*Inputs!$C$35))</f>
        <v/>
      </c>
      <c r="AD1598">
        <f>IF($B1598=0,0,IF(Inputs!$B$6="",0,COUNTIFS(Data!$A$10:$A$3209,"&gt;="&amp;$A1598,Data!$A$10:$A$3209,"&lt;"&amp;$A1598+1)))</f>
        <v/>
      </c>
      <c r="AE1598">
        <f>IF($B1598=0,0,IF(Inputs!$B$7="",0,COUNTIFS(Data!$E$10:$E$3209,"&gt;="&amp;$A1598,Data!$E$10:$E$3209,"&lt;"&amp;$A1598+1)))</f>
        <v/>
      </c>
      <c r="AF1598">
        <f>IF($B1598=0,0,IF(Inputs!$B$8="",0,COUNTIFS(Data!$I$10:$I$3209,"&gt;="&amp;$A1598,Data!$I$10:$I$3209,"&lt;"&amp;$A1598+1)))</f>
        <v/>
      </c>
      <c r="AG1598">
        <f>IF($B1598=0,0,IF(Inputs!$B$9="",0,COUNTIFS(Data!$M$10:$M$3209,"&gt;="&amp;$A1598,Data!$M$10:$M$3209,"&lt;"&amp;$A1598+1)))</f>
        <v/>
      </c>
      <c r="AH1598">
        <f>IF($B1598=0,0,IF(Inputs!$B$10="",0,COUNTIFS(Data!$Q$10:$Q$3209,"&gt;="&amp;$A1598,Data!$Q$10:$Q$3209,"&lt;"&amp;$A1598+1)))</f>
        <v/>
      </c>
    </row>
    <row r="1599">
      <c r="A1599" s="55">
        <f>MIN(Inputs!$C$15,$A1598+IF(WEEKDAY($A1598,2)=5,3,1))</f>
        <v/>
      </c>
      <c r="B1599">
        <f>IF($A1599&gt;$A1598,1,0)</f>
        <v/>
      </c>
      <c r="C1599" s="56">
        <f>IF($B1599=0,"",IF(Inputs!$B$6="","",IF($AD1599=0,C1598,SUMIFS(Data!$B$10:$B$3209,Data!$A$10:$A$3209,"&gt;="&amp;$A1599,Data!$A$10:$A$3209,"&lt;"&amp;$A1599+1)/$AD1599)))</f>
        <v/>
      </c>
      <c r="D1599" s="56">
        <f>IF($B1599=0,"",IF(Inputs!$B$7="","",IF($AE1599=0,D1598,SUMIFS(Data!$F$10:$F$3209,Data!$E$10:$E$3209,"&gt;="&amp;$A1599,Data!$E$10:$E$3209,"&lt;"&amp;$A1599+1)/$AE1599)))</f>
        <v/>
      </c>
      <c r="E1599" s="56">
        <f>IF($B1599=0,"",IF(Inputs!$B$8="","",IF($AF1599=0,E1598,SUMIFS(Data!$J$10:$J$3209,Data!$I$10:$I$3209,"&gt;="&amp;$A1599,Data!$I$10:$I$3209,"&lt;"&amp;$A1599+1)/$AF1599)))</f>
        <v/>
      </c>
      <c r="F1599" s="56">
        <f>IF($B1599=0,"",IF(Inputs!$B$9="","",IF($AG1599=0,F1598,SUMIFS(Data!$N$10:$N$3209,Data!$M$10:$M$3209,"&gt;="&amp;$A1599,Data!$M$10:$M$3209,"&lt;"&amp;$A1599+1)/$AG1599)))</f>
        <v/>
      </c>
      <c r="G1599" s="56">
        <f>IF($B1599=0,"",IF(Inputs!$B$10="","",IF($AH1599=0,G1598,SUMIFS(Data!$R$10:$R$3209,Data!$Q$10:$Q$3209,"&gt;="&amp;$A1599,Data!$Q$10:$Q$3209,"&lt;"&amp;$A1599+1)/$AH1599)))</f>
        <v/>
      </c>
      <c r="I1599" s="54">
        <f>IF($B1599=0,NA(),IF($C1599="",NA(),IF(C$8="",NA(),IF(N(C$8)=0,NA(),IF(Inputs!$C$17="Rebased to 100",$C1599/C$8*100,$C1599)))))</f>
        <v/>
      </c>
      <c r="J1599" s="54">
        <f>IF($B1599=0,NA(),IF($D1599="",NA(),IF(D$8="",NA(),IF(N(D$8)=0,NA(),IF(Inputs!$C$17="Rebased to 100",$D1599/D$8*100,$D1599)))))</f>
        <v/>
      </c>
      <c r="K1599" s="54">
        <f>IF($B1599=0,NA(),IF($E1599="",NA(),IF(E$8="",NA(),IF(N(E$8)=0,NA(),IF(Inputs!$C$17="Rebased to 100",$E1599/E$8*100,$E1599)))))</f>
        <v/>
      </c>
      <c r="L1599" s="54">
        <f>IF($B1599=0,NA(),IF($F1599="",NA(),IF(F$8="",NA(),IF(N(F$8)=0,NA(),IF(Inputs!$C$17="Rebased to 100",$F1599/F$8*100,$F1599)))))</f>
        <v/>
      </c>
      <c r="M1599" s="54">
        <f>IF($B1599=0,NA(),IF($G1599="",NA(),IF(G$8="",NA(),IF(N(G$8)=0,NA(),IF(Inputs!$C$17="Rebased to 100",$G1599/G$8*100,$G1599)))))</f>
        <v/>
      </c>
      <c r="N1599" s="54">
        <f>IF($B1599=0,NA(),IF(Inputs!$C$18&lt;&gt;"Yes",NA(),IF(COUNT(I1599,J1599,K1599,L1599,M1599)=0,NA(),MIN(I1599,J1599,K1599,L1599,M1599))))</f>
        <v/>
      </c>
      <c r="O1599" s="54">
        <f>IF($B1599=0,NA(),IF(Inputs!$B$24&lt;&gt;"Yes",NA(),Inputs!$D$24*Inputs!$C$35))</f>
        <v/>
      </c>
      <c r="P1599" s="54">
        <f>IF($B1599=0,NA(),IF(Inputs!$B$25&lt;&gt;"Yes",NA(),Inputs!$D$25*Inputs!$C$35))</f>
        <v/>
      </c>
      <c r="Q1599" s="54">
        <f>IF($B1599=0,NA(),IF(Inputs!$B$26&lt;&gt;"Yes",NA(),Inputs!$D$26*Inputs!$C$35))</f>
        <v/>
      </c>
      <c r="R1599" s="54">
        <f>IF($B1599=0,NA(),IF(Inputs!$B$27&lt;&gt;"Yes",NA(),Inputs!$D$27*Inputs!$C$35))</f>
        <v/>
      </c>
      <c r="S1599" s="54">
        <f>IF($B1599=0,NA(),IF(Inputs!$B$28&lt;&gt;"Yes",NA(),Inputs!$D$28*Inputs!$C$35))</f>
        <v/>
      </c>
      <c r="T1599" s="54">
        <f>IF($B1599=0,NA(),IF(Inputs!$B$29&lt;&gt;"Yes",NA(),Inputs!$D$29*Inputs!$C$35))</f>
        <v/>
      </c>
      <c r="AD1599">
        <f>IF($B1599=0,0,IF(Inputs!$B$6="",0,COUNTIFS(Data!$A$10:$A$3209,"&gt;="&amp;$A1599,Data!$A$10:$A$3209,"&lt;"&amp;$A1599+1)))</f>
        <v/>
      </c>
      <c r="AE1599">
        <f>IF($B1599=0,0,IF(Inputs!$B$7="",0,COUNTIFS(Data!$E$10:$E$3209,"&gt;="&amp;$A1599,Data!$E$10:$E$3209,"&lt;"&amp;$A1599+1)))</f>
        <v/>
      </c>
      <c r="AF1599">
        <f>IF($B1599=0,0,IF(Inputs!$B$8="",0,COUNTIFS(Data!$I$10:$I$3209,"&gt;="&amp;$A1599,Data!$I$10:$I$3209,"&lt;"&amp;$A1599+1)))</f>
        <v/>
      </c>
      <c r="AG1599">
        <f>IF($B1599=0,0,IF(Inputs!$B$9="",0,COUNTIFS(Data!$M$10:$M$3209,"&gt;="&amp;$A1599,Data!$M$10:$M$3209,"&lt;"&amp;$A1599+1)))</f>
        <v/>
      </c>
      <c r="AH1599">
        <f>IF($B1599=0,0,IF(Inputs!$B$10="",0,COUNTIFS(Data!$Q$10:$Q$3209,"&gt;="&amp;$A1599,Data!$Q$10:$Q$3209,"&lt;"&amp;$A1599+1)))</f>
        <v/>
      </c>
    </row>
    <row r="1600">
      <c r="A1600" s="55">
        <f>MIN(Inputs!$C$15,$A1599+IF(WEEKDAY($A1599,2)=5,3,1))</f>
        <v/>
      </c>
      <c r="B1600">
        <f>IF($A1600&gt;$A1599,1,0)</f>
        <v/>
      </c>
      <c r="C1600" s="56">
        <f>IF($B1600=0,"",IF(Inputs!$B$6="","",IF($AD1600=0,C1599,SUMIFS(Data!$B$10:$B$3209,Data!$A$10:$A$3209,"&gt;="&amp;$A1600,Data!$A$10:$A$3209,"&lt;"&amp;$A1600+1)/$AD1600)))</f>
        <v/>
      </c>
      <c r="D1600" s="56">
        <f>IF($B1600=0,"",IF(Inputs!$B$7="","",IF($AE1600=0,D1599,SUMIFS(Data!$F$10:$F$3209,Data!$E$10:$E$3209,"&gt;="&amp;$A1600,Data!$E$10:$E$3209,"&lt;"&amp;$A1600+1)/$AE1600)))</f>
        <v/>
      </c>
      <c r="E1600" s="56">
        <f>IF($B1600=0,"",IF(Inputs!$B$8="","",IF($AF1600=0,E1599,SUMIFS(Data!$J$10:$J$3209,Data!$I$10:$I$3209,"&gt;="&amp;$A1600,Data!$I$10:$I$3209,"&lt;"&amp;$A1600+1)/$AF1600)))</f>
        <v/>
      </c>
      <c r="F1600" s="56">
        <f>IF($B1600=0,"",IF(Inputs!$B$9="","",IF($AG1600=0,F1599,SUMIFS(Data!$N$10:$N$3209,Data!$M$10:$M$3209,"&gt;="&amp;$A1600,Data!$M$10:$M$3209,"&lt;"&amp;$A1600+1)/$AG1600)))</f>
        <v/>
      </c>
      <c r="G1600" s="56">
        <f>IF($B1600=0,"",IF(Inputs!$B$10="","",IF($AH1600=0,G1599,SUMIFS(Data!$R$10:$R$3209,Data!$Q$10:$Q$3209,"&gt;="&amp;$A1600,Data!$Q$10:$Q$3209,"&lt;"&amp;$A1600+1)/$AH1600)))</f>
        <v/>
      </c>
      <c r="I1600" s="54">
        <f>IF($B1600=0,NA(),IF($C1600="",NA(),IF(C$8="",NA(),IF(N(C$8)=0,NA(),IF(Inputs!$C$17="Rebased to 100",$C1600/C$8*100,$C1600)))))</f>
        <v/>
      </c>
      <c r="J1600" s="54">
        <f>IF($B1600=0,NA(),IF($D1600="",NA(),IF(D$8="",NA(),IF(N(D$8)=0,NA(),IF(Inputs!$C$17="Rebased to 100",$D1600/D$8*100,$D1600)))))</f>
        <v/>
      </c>
      <c r="K1600" s="54">
        <f>IF($B1600=0,NA(),IF($E1600="",NA(),IF(E$8="",NA(),IF(N(E$8)=0,NA(),IF(Inputs!$C$17="Rebased to 100",$E1600/E$8*100,$E1600)))))</f>
        <v/>
      </c>
      <c r="L1600" s="54">
        <f>IF($B1600=0,NA(),IF($F1600="",NA(),IF(F$8="",NA(),IF(N(F$8)=0,NA(),IF(Inputs!$C$17="Rebased to 100",$F1600/F$8*100,$F1600)))))</f>
        <v/>
      </c>
      <c r="M1600" s="54">
        <f>IF($B1600=0,NA(),IF($G1600="",NA(),IF(G$8="",NA(),IF(N(G$8)=0,NA(),IF(Inputs!$C$17="Rebased to 100",$G1600/G$8*100,$G1600)))))</f>
        <v/>
      </c>
      <c r="N1600" s="54">
        <f>IF($B1600=0,NA(),IF(Inputs!$C$18&lt;&gt;"Yes",NA(),IF(COUNT(I1600,J1600,K1600,L1600,M1600)=0,NA(),MIN(I1600,J1600,K1600,L1600,M1600))))</f>
        <v/>
      </c>
      <c r="O1600" s="54">
        <f>IF($B1600=0,NA(),IF(Inputs!$B$24&lt;&gt;"Yes",NA(),Inputs!$D$24*Inputs!$C$35))</f>
        <v/>
      </c>
      <c r="P1600" s="54">
        <f>IF($B1600=0,NA(),IF(Inputs!$B$25&lt;&gt;"Yes",NA(),Inputs!$D$25*Inputs!$C$35))</f>
        <v/>
      </c>
      <c r="Q1600" s="54">
        <f>IF($B1600=0,NA(),IF(Inputs!$B$26&lt;&gt;"Yes",NA(),Inputs!$D$26*Inputs!$C$35))</f>
        <v/>
      </c>
      <c r="R1600" s="54">
        <f>IF($B1600=0,NA(),IF(Inputs!$B$27&lt;&gt;"Yes",NA(),Inputs!$D$27*Inputs!$C$35))</f>
        <v/>
      </c>
      <c r="S1600" s="54">
        <f>IF($B1600=0,NA(),IF(Inputs!$B$28&lt;&gt;"Yes",NA(),Inputs!$D$28*Inputs!$C$35))</f>
        <v/>
      </c>
      <c r="T1600" s="54">
        <f>IF($B1600=0,NA(),IF(Inputs!$B$29&lt;&gt;"Yes",NA(),Inputs!$D$29*Inputs!$C$35))</f>
        <v/>
      </c>
      <c r="AD1600">
        <f>IF($B1600=0,0,IF(Inputs!$B$6="",0,COUNTIFS(Data!$A$10:$A$3209,"&gt;="&amp;$A1600,Data!$A$10:$A$3209,"&lt;"&amp;$A1600+1)))</f>
        <v/>
      </c>
      <c r="AE1600">
        <f>IF($B1600=0,0,IF(Inputs!$B$7="",0,COUNTIFS(Data!$E$10:$E$3209,"&gt;="&amp;$A1600,Data!$E$10:$E$3209,"&lt;"&amp;$A1600+1)))</f>
        <v/>
      </c>
      <c r="AF1600">
        <f>IF($B1600=0,0,IF(Inputs!$B$8="",0,COUNTIFS(Data!$I$10:$I$3209,"&gt;="&amp;$A1600,Data!$I$10:$I$3209,"&lt;"&amp;$A1600+1)))</f>
        <v/>
      </c>
      <c r="AG1600">
        <f>IF($B1600=0,0,IF(Inputs!$B$9="",0,COUNTIFS(Data!$M$10:$M$3209,"&gt;="&amp;$A1600,Data!$M$10:$M$3209,"&lt;"&amp;$A1600+1)))</f>
        <v/>
      </c>
      <c r="AH1600">
        <f>IF($B1600=0,0,IF(Inputs!$B$10="",0,COUNTIFS(Data!$Q$10:$Q$3209,"&gt;="&amp;$A1600,Data!$Q$10:$Q$3209,"&lt;"&amp;$A1600+1)))</f>
        <v/>
      </c>
    </row>
    <row r="1601">
      <c r="A1601" s="55">
        <f>MIN(Inputs!$C$15,$A1600+IF(WEEKDAY($A1600,2)=5,3,1))</f>
        <v/>
      </c>
      <c r="B1601">
        <f>IF($A1601&gt;$A1600,1,0)</f>
        <v/>
      </c>
      <c r="C1601" s="56">
        <f>IF($B1601=0,"",IF(Inputs!$B$6="","",IF($AD1601=0,C1600,SUMIFS(Data!$B$10:$B$3209,Data!$A$10:$A$3209,"&gt;="&amp;$A1601,Data!$A$10:$A$3209,"&lt;"&amp;$A1601+1)/$AD1601)))</f>
        <v/>
      </c>
      <c r="D1601" s="56">
        <f>IF($B1601=0,"",IF(Inputs!$B$7="","",IF($AE1601=0,D1600,SUMIFS(Data!$F$10:$F$3209,Data!$E$10:$E$3209,"&gt;="&amp;$A1601,Data!$E$10:$E$3209,"&lt;"&amp;$A1601+1)/$AE1601)))</f>
        <v/>
      </c>
      <c r="E1601" s="56">
        <f>IF($B1601=0,"",IF(Inputs!$B$8="","",IF($AF1601=0,E1600,SUMIFS(Data!$J$10:$J$3209,Data!$I$10:$I$3209,"&gt;="&amp;$A1601,Data!$I$10:$I$3209,"&lt;"&amp;$A1601+1)/$AF1601)))</f>
        <v/>
      </c>
      <c r="F1601" s="56">
        <f>IF($B1601=0,"",IF(Inputs!$B$9="","",IF($AG1601=0,F1600,SUMIFS(Data!$N$10:$N$3209,Data!$M$10:$M$3209,"&gt;="&amp;$A1601,Data!$M$10:$M$3209,"&lt;"&amp;$A1601+1)/$AG1601)))</f>
        <v/>
      </c>
      <c r="G1601" s="56">
        <f>IF($B1601=0,"",IF(Inputs!$B$10="","",IF($AH1601=0,G1600,SUMIFS(Data!$R$10:$R$3209,Data!$Q$10:$Q$3209,"&gt;="&amp;$A1601,Data!$Q$10:$Q$3209,"&lt;"&amp;$A1601+1)/$AH1601)))</f>
        <v/>
      </c>
      <c r="I1601" s="54">
        <f>IF($B1601=0,NA(),IF($C1601="",NA(),IF(C$8="",NA(),IF(N(C$8)=0,NA(),IF(Inputs!$C$17="Rebased to 100",$C1601/C$8*100,$C1601)))))</f>
        <v/>
      </c>
      <c r="J1601" s="54">
        <f>IF($B1601=0,NA(),IF($D1601="",NA(),IF(D$8="",NA(),IF(N(D$8)=0,NA(),IF(Inputs!$C$17="Rebased to 100",$D1601/D$8*100,$D1601)))))</f>
        <v/>
      </c>
      <c r="K1601" s="54">
        <f>IF($B1601=0,NA(),IF($E1601="",NA(),IF(E$8="",NA(),IF(N(E$8)=0,NA(),IF(Inputs!$C$17="Rebased to 100",$E1601/E$8*100,$E1601)))))</f>
        <v/>
      </c>
      <c r="L1601" s="54">
        <f>IF($B1601=0,NA(),IF($F1601="",NA(),IF(F$8="",NA(),IF(N(F$8)=0,NA(),IF(Inputs!$C$17="Rebased to 100",$F1601/F$8*100,$F1601)))))</f>
        <v/>
      </c>
      <c r="M1601" s="54">
        <f>IF($B1601=0,NA(),IF($G1601="",NA(),IF(G$8="",NA(),IF(N(G$8)=0,NA(),IF(Inputs!$C$17="Rebased to 100",$G1601/G$8*100,$G1601)))))</f>
        <v/>
      </c>
      <c r="N1601" s="54">
        <f>IF($B1601=0,NA(),IF(Inputs!$C$18&lt;&gt;"Yes",NA(),IF(COUNT(I1601,J1601,K1601,L1601,M1601)=0,NA(),MIN(I1601,J1601,K1601,L1601,M1601))))</f>
        <v/>
      </c>
      <c r="O1601" s="54">
        <f>IF($B1601=0,NA(),IF(Inputs!$B$24&lt;&gt;"Yes",NA(),Inputs!$D$24*Inputs!$C$35))</f>
        <v/>
      </c>
      <c r="P1601" s="54">
        <f>IF($B1601=0,NA(),IF(Inputs!$B$25&lt;&gt;"Yes",NA(),Inputs!$D$25*Inputs!$C$35))</f>
        <v/>
      </c>
      <c r="Q1601" s="54">
        <f>IF($B1601=0,NA(),IF(Inputs!$B$26&lt;&gt;"Yes",NA(),Inputs!$D$26*Inputs!$C$35))</f>
        <v/>
      </c>
      <c r="R1601" s="54">
        <f>IF($B1601=0,NA(),IF(Inputs!$B$27&lt;&gt;"Yes",NA(),Inputs!$D$27*Inputs!$C$35))</f>
        <v/>
      </c>
      <c r="S1601" s="54">
        <f>IF($B1601=0,NA(),IF(Inputs!$B$28&lt;&gt;"Yes",NA(),Inputs!$D$28*Inputs!$C$35))</f>
        <v/>
      </c>
      <c r="T1601" s="54">
        <f>IF($B1601=0,NA(),IF(Inputs!$B$29&lt;&gt;"Yes",NA(),Inputs!$D$29*Inputs!$C$35))</f>
        <v/>
      </c>
      <c r="AD1601">
        <f>IF($B1601=0,0,IF(Inputs!$B$6="",0,COUNTIFS(Data!$A$10:$A$3209,"&gt;="&amp;$A1601,Data!$A$10:$A$3209,"&lt;"&amp;$A1601+1)))</f>
        <v/>
      </c>
      <c r="AE1601">
        <f>IF($B1601=0,0,IF(Inputs!$B$7="",0,COUNTIFS(Data!$E$10:$E$3209,"&gt;="&amp;$A1601,Data!$E$10:$E$3209,"&lt;"&amp;$A1601+1)))</f>
        <v/>
      </c>
      <c r="AF1601">
        <f>IF($B1601=0,0,IF(Inputs!$B$8="",0,COUNTIFS(Data!$I$10:$I$3209,"&gt;="&amp;$A1601,Data!$I$10:$I$3209,"&lt;"&amp;$A1601+1)))</f>
        <v/>
      </c>
      <c r="AG1601">
        <f>IF($B1601=0,0,IF(Inputs!$B$9="",0,COUNTIFS(Data!$M$10:$M$3209,"&gt;="&amp;$A1601,Data!$M$10:$M$3209,"&lt;"&amp;$A1601+1)))</f>
        <v/>
      </c>
      <c r="AH1601">
        <f>IF($B1601=0,0,IF(Inputs!$B$10="",0,COUNTIFS(Data!$Q$10:$Q$3209,"&gt;="&amp;$A1601,Data!$Q$10:$Q$3209,"&lt;"&amp;$A1601+1)))</f>
        <v/>
      </c>
    </row>
    <row r="1602">
      <c r="A1602" s="55">
        <f>MIN(Inputs!$C$15,$A1601+IF(WEEKDAY($A1601,2)=5,3,1))</f>
        <v/>
      </c>
      <c r="B1602">
        <f>IF($A1602&gt;$A1601,1,0)</f>
        <v/>
      </c>
      <c r="C1602" s="56">
        <f>IF($B1602=0,"",IF(Inputs!$B$6="","",IF($AD1602=0,C1601,SUMIFS(Data!$B$10:$B$3209,Data!$A$10:$A$3209,"&gt;="&amp;$A1602,Data!$A$10:$A$3209,"&lt;"&amp;$A1602+1)/$AD1602)))</f>
        <v/>
      </c>
      <c r="D1602" s="56">
        <f>IF($B1602=0,"",IF(Inputs!$B$7="","",IF($AE1602=0,D1601,SUMIFS(Data!$F$10:$F$3209,Data!$E$10:$E$3209,"&gt;="&amp;$A1602,Data!$E$10:$E$3209,"&lt;"&amp;$A1602+1)/$AE1602)))</f>
        <v/>
      </c>
      <c r="E1602" s="56">
        <f>IF($B1602=0,"",IF(Inputs!$B$8="","",IF($AF1602=0,E1601,SUMIFS(Data!$J$10:$J$3209,Data!$I$10:$I$3209,"&gt;="&amp;$A1602,Data!$I$10:$I$3209,"&lt;"&amp;$A1602+1)/$AF1602)))</f>
        <v/>
      </c>
      <c r="F1602" s="56">
        <f>IF($B1602=0,"",IF(Inputs!$B$9="","",IF($AG1602=0,F1601,SUMIFS(Data!$N$10:$N$3209,Data!$M$10:$M$3209,"&gt;="&amp;$A1602,Data!$M$10:$M$3209,"&lt;"&amp;$A1602+1)/$AG1602)))</f>
        <v/>
      </c>
      <c r="G1602" s="56">
        <f>IF($B1602=0,"",IF(Inputs!$B$10="","",IF($AH1602=0,G1601,SUMIFS(Data!$R$10:$R$3209,Data!$Q$10:$Q$3209,"&gt;="&amp;$A1602,Data!$Q$10:$Q$3209,"&lt;"&amp;$A1602+1)/$AH1602)))</f>
        <v/>
      </c>
      <c r="I1602" s="54">
        <f>IF($B1602=0,NA(),IF($C1602="",NA(),IF(C$8="",NA(),IF(N(C$8)=0,NA(),IF(Inputs!$C$17="Rebased to 100",$C1602/C$8*100,$C1602)))))</f>
        <v/>
      </c>
      <c r="J1602" s="54">
        <f>IF($B1602=0,NA(),IF($D1602="",NA(),IF(D$8="",NA(),IF(N(D$8)=0,NA(),IF(Inputs!$C$17="Rebased to 100",$D1602/D$8*100,$D1602)))))</f>
        <v/>
      </c>
      <c r="K1602" s="54">
        <f>IF($B1602=0,NA(),IF($E1602="",NA(),IF(E$8="",NA(),IF(N(E$8)=0,NA(),IF(Inputs!$C$17="Rebased to 100",$E1602/E$8*100,$E1602)))))</f>
        <v/>
      </c>
      <c r="L1602" s="54">
        <f>IF($B1602=0,NA(),IF($F1602="",NA(),IF(F$8="",NA(),IF(N(F$8)=0,NA(),IF(Inputs!$C$17="Rebased to 100",$F1602/F$8*100,$F1602)))))</f>
        <v/>
      </c>
      <c r="M1602" s="54">
        <f>IF($B1602=0,NA(),IF($G1602="",NA(),IF(G$8="",NA(),IF(N(G$8)=0,NA(),IF(Inputs!$C$17="Rebased to 100",$G1602/G$8*100,$G1602)))))</f>
        <v/>
      </c>
      <c r="N1602" s="54">
        <f>IF($B1602=0,NA(),IF(Inputs!$C$18&lt;&gt;"Yes",NA(),IF(COUNT(I1602,J1602,K1602,L1602,M1602)=0,NA(),MIN(I1602,J1602,K1602,L1602,M1602))))</f>
        <v/>
      </c>
      <c r="O1602" s="54">
        <f>IF($B1602=0,NA(),IF(Inputs!$B$24&lt;&gt;"Yes",NA(),Inputs!$D$24*Inputs!$C$35))</f>
        <v/>
      </c>
      <c r="P1602" s="54">
        <f>IF($B1602=0,NA(),IF(Inputs!$B$25&lt;&gt;"Yes",NA(),Inputs!$D$25*Inputs!$C$35))</f>
        <v/>
      </c>
      <c r="Q1602" s="54">
        <f>IF($B1602=0,NA(),IF(Inputs!$B$26&lt;&gt;"Yes",NA(),Inputs!$D$26*Inputs!$C$35))</f>
        <v/>
      </c>
      <c r="R1602" s="54">
        <f>IF($B1602=0,NA(),IF(Inputs!$B$27&lt;&gt;"Yes",NA(),Inputs!$D$27*Inputs!$C$35))</f>
        <v/>
      </c>
      <c r="S1602" s="54">
        <f>IF($B1602=0,NA(),IF(Inputs!$B$28&lt;&gt;"Yes",NA(),Inputs!$D$28*Inputs!$C$35))</f>
        <v/>
      </c>
      <c r="T1602" s="54">
        <f>IF($B1602=0,NA(),IF(Inputs!$B$29&lt;&gt;"Yes",NA(),Inputs!$D$29*Inputs!$C$35))</f>
        <v/>
      </c>
      <c r="AD1602">
        <f>IF($B1602=0,0,IF(Inputs!$B$6="",0,COUNTIFS(Data!$A$10:$A$3209,"&gt;="&amp;$A1602,Data!$A$10:$A$3209,"&lt;"&amp;$A1602+1)))</f>
        <v/>
      </c>
      <c r="AE1602">
        <f>IF($B1602=0,0,IF(Inputs!$B$7="",0,COUNTIFS(Data!$E$10:$E$3209,"&gt;="&amp;$A1602,Data!$E$10:$E$3209,"&lt;"&amp;$A1602+1)))</f>
        <v/>
      </c>
      <c r="AF1602">
        <f>IF($B1602=0,0,IF(Inputs!$B$8="",0,COUNTIFS(Data!$I$10:$I$3209,"&gt;="&amp;$A1602,Data!$I$10:$I$3209,"&lt;"&amp;$A1602+1)))</f>
        <v/>
      </c>
      <c r="AG1602">
        <f>IF($B1602=0,0,IF(Inputs!$B$9="",0,COUNTIFS(Data!$M$10:$M$3209,"&gt;="&amp;$A1602,Data!$M$10:$M$3209,"&lt;"&amp;$A1602+1)))</f>
        <v/>
      </c>
      <c r="AH1602">
        <f>IF($B1602=0,0,IF(Inputs!$B$10="",0,COUNTIFS(Data!$Q$10:$Q$3209,"&gt;="&amp;$A1602,Data!$Q$10:$Q$3209,"&lt;"&amp;$A1602+1)))</f>
        <v/>
      </c>
    </row>
    <row r="1603">
      <c r="A1603" s="55">
        <f>MIN(Inputs!$C$15,$A1602+IF(WEEKDAY($A1602,2)=5,3,1))</f>
        <v/>
      </c>
      <c r="B1603">
        <f>IF($A1603&gt;$A1602,1,0)</f>
        <v/>
      </c>
      <c r="C1603" s="56">
        <f>IF($B1603=0,"",IF(Inputs!$B$6="","",IF($AD1603=0,C1602,SUMIFS(Data!$B$10:$B$3209,Data!$A$10:$A$3209,"&gt;="&amp;$A1603,Data!$A$10:$A$3209,"&lt;"&amp;$A1603+1)/$AD1603)))</f>
        <v/>
      </c>
      <c r="D1603" s="56">
        <f>IF($B1603=0,"",IF(Inputs!$B$7="","",IF($AE1603=0,D1602,SUMIFS(Data!$F$10:$F$3209,Data!$E$10:$E$3209,"&gt;="&amp;$A1603,Data!$E$10:$E$3209,"&lt;"&amp;$A1603+1)/$AE1603)))</f>
        <v/>
      </c>
      <c r="E1603" s="56">
        <f>IF($B1603=0,"",IF(Inputs!$B$8="","",IF($AF1603=0,E1602,SUMIFS(Data!$J$10:$J$3209,Data!$I$10:$I$3209,"&gt;="&amp;$A1603,Data!$I$10:$I$3209,"&lt;"&amp;$A1603+1)/$AF1603)))</f>
        <v/>
      </c>
      <c r="F1603" s="56">
        <f>IF($B1603=0,"",IF(Inputs!$B$9="","",IF($AG1603=0,F1602,SUMIFS(Data!$N$10:$N$3209,Data!$M$10:$M$3209,"&gt;="&amp;$A1603,Data!$M$10:$M$3209,"&lt;"&amp;$A1603+1)/$AG1603)))</f>
        <v/>
      </c>
      <c r="G1603" s="56">
        <f>IF($B1603=0,"",IF(Inputs!$B$10="","",IF($AH1603=0,G1602,SUMIFS(Data!$R$10:$R$3209,Data!$Q$10:$Q$3209,"&gt;="&amp;$A1603,Data!$Q$10:$Q$3209,"&lt;"&amp;$A1603+1)/$AH1603)))</f>
        <v/>
      </c>
      <c r="I1603" s="54">
        <f>IF($B1603=0,NA(),IF($C1603="",NA(),IF(C$8="",NA(),IF(N(C$8)=0,NA(),IF(Inputs!$C$17="Rebased to 100",$C1603/C$8*100,$C1603)))))</f>
        <v/>
      </c>
      <c r="J1603" s="54">
        <f>IF($B1603=0,NA(),IF($D1603="",NA(),IF(D$8="",NA(),IF(N(D$8)=0,NA(),IF(Inputs!$C$17="Rebased to 100",$D1603/D$8*100,$D1603)))))</f>
        <v/>
      </c>
      <c r="K1603" s="54">
        <f>IF($B1603=0,NA(),IF($E1603="",NA(),IF(E$8="",NA(),IF(N(E$8)=0,NA(),IF(Inputs!$C$17="Rebased to 100",$E1603/E$8*100,$E1603)))))</f>
        <v/>
      </c>
      <c r="L1603" s="54">
        <f>IF($B1603=0,NA(),IF($F1603="",NA(),IF(F$8="",NA(),IF(N(F$8)=0,NA(),IF(Inputs!$C$17="Rebased to 100",$F1603/F$8*100,$F1603)))))</f>
        <v/>
      </c>
      <c r="M1603" s="54">
        <f>IF($B1603=0,NA(),IF($G1603="",NA(),IF(G$8="",NA(),IF(N(G$8)=0,NA(),IF(Inputs!$C$17="Rebased to 100",$G1603/G$8*100,$G1603)))))</f>
        <v/>
      </c>
      <c r="N1603" s="54">
        <f>IF($B1603=0,NA(),IF(Inputs!$C$18&lt;&gt;"Yes",NA(),IF(COUNT(I1603,J1603,K1603,L1603,M1603)=0,NA(),MIN(I1603,J1603,K1603,L1603,M1603))))</f>
        <v/>
      </c>
      <c r="O1603" s="54">
        <f>IF($B1603=0,NA(),IF(Inputs!$B$24&lt;&gt;"Yes",NA(),Inputs!$D$24*Inputs!$C$35))</f>
        <v/>
      </c>
      <c r="P1603" s="54">
        <f>IF($B1603=0,NA(),IF(Inputs!$B$25&lt;&gt;"Yes",NA(),Inputs!$D$25*Inputs!$C$35))</f>
        <v/>
      </c>
      <c r="Q1603" s="54">
        <f>IF($B1603=0,NA(),IF(Inputs!$B$26&lt;&gt;"Yes",NA(),Inputs!$D$26*Inputs!$C$35))</f>
        <v/>
      </c>
      <c r="R1603" s="54">
        <f>IF($B1603=0,NA(),IF(Inputs!$B$27&lt;&gt;"Yes",NA(),Inputs!$D$27*Inputs!$C$35))</f>
        <v/>
      </c>
      <c r="S1603" s="54">
        <f>IF($B1603=0,NA(),IF(Inputs!$B$28&lt;&gt;"Yes",NA(),Inputs!$D$28*Inputs!$C$35))</f>
        <v/>
      </c>
      <c r="T1603" s="54">
        <f>IF($B1603=0,NA(),IF(Inputs!$B$29&lt;&gt;"Yes",NA(),Inputs!$D$29*Inputs!$C$35))</f>
        <v/>
      </c>
      <c r="AD1603">
        <f>IF($B1603=0,0,IF(Inputs!$B$6="",0,COUNTIFS(Data!$A$10:$A$3209,"&gt;="&amp;$A1603,Data!$A$10:$A$3209,"&lt;"&amp;$A1603+1)))</f>
        <v/>
      </c>
      <c r="AE1603">
        <f>IF($B1603=0,0,IF(Inputs!$B$7="",0,COUNTIFS(Data!$E$10:$E$3209,"&gt;="&amp;$A1603,Data!$E$10:$E$3209,"&lt;"&amp;$A1603+1)))</f>
        <v/>
      </c>
      <c r="AF1603">
        <f>IF($B1603=0,0,IF(Inputs!$B$8="",0,COUNTIFS(Data!$I$10:$I$3209,"&gt;="&amp;$A1603,Data!$I$10:$I$3209,"&lt;"&amp;$A1603+1)))</f>
        <v/>
      </c>
      <c r="AG1603">
        <f>IF($B1603=0,0,IF(Inputs!$B$9="",0,COUNTIFS(Data!$M$10:$M$3209,"&gt;="&amp;$A1603,Data!$M$10:$M$3209,"&lt;"&amp;$A1603+1)))</f>
        <v/>
      </c>
      <c r="AH1603">
        <f>IF($B1603=0,0,IF(Inputs!$B$10="",0,COUNTIFS(Data!$Q$10:$Q$3209,"&gt;="&amp;$A1603,Data!$Q$10:$Q$3209,"&lt;"&amp;$A1603+1)))</f>
        <v/>
      </c>
    </row>
    <row r="1604">
      <c r="A1604" s="55">
        <f>MIN(Inputs!$C$15,$A1603+IF(WEEKDAY($A1603,2)=5,3,1))</f>
        <v/>
      </c>
      <c r="B1604">
        <f>IF($A1604&gt;$A1603,1,0)</f>
        <v/>
      </c>
      <c r="C1604" s="56">
        <f>IF($B1604=0,"",IF(Inputs!$B$6="","",IF($AD1604=0,C1603,SUMIFS(Data!$B$10:$B$3209,Data!$A$10:$A$3209,"&gt;="&amp;$A1604,Data!$A$10:$A$3209,"&lt;"&amp;$A1604+1)/$AD1604)))</f>
        <v/>
      </c>
      <c r="D1604" s="56">
        <f>IF($B1604=0,"",IF(Inputs!$B$7="","",IF($AE1604=0,D1603,SUMIFS(Data!$F$10:$F$3209,Data!$E$10:$E$3209,"&gt;="&amp;$A1604,Data!$E$10:$E$3209,"&lt;"&amp;$A1604+1)/$AE1604)))</f>
        <v/>
      </c>
      <c r="E1604" s="56">
        <f>IF($B1604=0,"",IF(Inputs!$B$8="","",IF($AF1604=0,E1603,SUMIFS(Data!$J$10:$J$3209,Data!$I$10:$I$3209,"&gt;="&amp;$A1604,Data!$I$10:$I$3209,"&lt;"&amp;$A1604+1)/$AF1604)))</f>
        <v/>
      </c>
      <c r="F1604" s="56">
        <f>IF($B1604=0,"",IF(Inputs!$B$9="","",IF($AG1604=0,F1603,SUMIFS(Data!$N$10:$N$3209,Data!$M$10:$M$3209,"&gt;="&amp;$A1604,Data!$M$10:$M$3209,"&lt;"&amp;$A1604+1)/$AG1604)))</f>
        <v/>
      </c>
      <c r="G1604" s="56">
        <f>IF($B1604=0,"",IF(Inputs!$B$10="","",IF($AH1604=0,G1603,SUMIFS(Data!$R$10:$R$3209,Data!$Q$10:$Q$3209,"&gt;="&amp;$A1604,Data!$Q$10:$Q$3209,"&lt;"&amp;$A1604+1)/$AH1604)))</f>
        <v/>
      </c>
      <c r="I1604" s="54">
        <f>IF($B1604=0,NA(),IF($C1604="",NA(),IF(C$8="",NA(),IF(N(C$8)=0,NA(),IF(Inputs!$C$17="Rebased to 100",$C1604/C$8*100,$C1604)))))</f>
        <v/>
      </c>
      <c r="J1604" s="54">
        <f>IF($B1604=0,NA(),IF($D1604="",NA(),IF(D$8="",NA(),IF(N(D$8)=0,NA(),IF(Inputs!$C$17="Rebased to 100",$D1604/D$8*100,$D1604)))))</f>
        <v/>
      </c>
      <c r="K1604" s="54">
        <f>IF($B1604=0,NA(),IF($E1604="",NA(),IF(E$8="",NA(),IF(N(E$8)=0,NA(),IF(Inputs!$C$17="Rebased to 100",$E1604/E$8*100,$E1604)))))</f>
        <v/>
      </c>
      <c r="L1604" s="54">
        <f>IF($B1604=0,NA(),IF($F1604="",NA(),IF(F$8="",NA(),IF(N(F$8)=0,NA(),IF(Inputs!$C$17="Rebased to 100",$F1604/F$8*100,$F1604)))))</f>
        <v/>
      </c>
      <c r="M1604" s="54">
        <f>IF($B1604=0,NA(),IF($G1604="",NA(),IF(G$8="",NA(),IF(N(G$8)=0,NA(),IF(Inputs!$C$17="Rebased to 100",$G1604/G$8*100,$G1604)))))</f>
        <v/>
      </c>
      <c r="N1604" s="54">
        <f>IF($B1604=0,NA(),IF(Inputs!$C$18&lt;&gt;"Yes",NA(),IF(COUNT(I1604,J1604,K1604,L1604,M1604)=0,NA(),MIN(I1604,J1604,K1604,L1604,M1604))))</f>
        <v/>
      </c>
      <c r="O1604" s="54">
        <f>IF($B1604=0,NA(),IF(Inputs!$B$24&lt;&gt;"Yes",NA(),Inputs!$D$24*Inputs!$C$35))</f>
        <v/>
      </c>
      <c r="P1604" s="54">
        <f>IF($B1604=0,NA(),IF(Inputs!$B$25&lt;&gt;"Yes",NA(),Inputs!$D$25*Inputs!$C$35))</f>
        <v/>
      </c>
      <c r="Q1604" s="54">
        <f>IF($B1604=0,NA(),IF(Inputs!$B$26&lt;&gt;"Yes",NA(),Inputs!$D$26*Inputs!$C$35))</f>
        <v/>
      </c>
      <c r="R1604" s="54">
        <f>IF($B1604=0,NA(),IF(Inputs!$B$27&lt;&gt;"Yes",NA(),Inputs!$D$27*Inputs!$C$35))</f>
        <v/>
      </c>
      <c r="S1604" s="54">
        <f>IF($B1604=0,NA(),IF(Inputs!$B$28&lt;&gt;"Yes",NA(),Inputs!$D$28*Inputs!$C$35))</f>
        <v/>
      </c>
      <c r="T1604" s="54">
        <f>IF($B1604=0,NA(),IF(Inputs!$B$29&lt;&gt;"Yes",NA(),Inputs!$D$29*Inputs!$C$35))</f>
        <v/>
      </c>
      <c r="AD1604">
        <f>IF($B1604=0,0,IF(Inputs!$B$6="",0,COUNTIFS(Data!$A$10:$A$3209,"&gt;="&amp;$A1604,Data!$A$10:$A$3209,"&lt;"&amp;$A1604+1)))</f>
        <v/>
      </c>
      <c r="AE1604">
        <f>IF($B1604=0,0,IF(Inputs!$B$7="",0,COUNTIFS(Data!$E$10:$E$3209,"&gt;="&amp;$A1604,Data!$E$10:$E$3209,"&lt;"&amp;$A1604+1)))</f>
        <v/>
      </c>
      <c r="AF1604">
        <f>IF($B1604=0,0,IF(Inputs!$B$8="",0,COUNTIFS(Data!$I$10:$I$3209,"&gt;="&amp;$A1604,Data!$I$10:$I$3209,"&lt;"&amp;$A1604+1)))</f>
        <v/>
      </c>
      <c r="AG1604">
        <f>IF($B1604=0,0,IF(Inputs!$B$9="",0,COUNTIFS(Data!$M$10:$M$3209,"&gt;="&amp;$A1604,Data!$M$10:$M$3209,"&lt;"&amp;$A1604+1)))</f>
        <v/>
      </c>
      <c r="AH1604">
        <f>IF($B1604=0,0,IF(Inputs!$B$10="",0,COUNTIFS(Data!$Q$10:$Q$3209,"&gt;="&amp;$A1604,Data!$Q$10:$Q$3209,"&lt;"&amp;$A1604+1)))</f>
        <v/>
      </c>
    </row>
    <row r="1605">
      <c r="A1605" s="55">
        <f>MIN(Inputs!$C$15,$A1604+IF(WEEKDAY($A1604,2)=5,3,1))</f>
        <v/>
      </c>
      <c r="B1605">
        <f>IF($A1605&gt;$A1604,1,0)</f>
        <v/>
      </c>
      <c r="C1605" s="56">
        <f>IF($B1605=0,"",IF(Inputs!$B$6="","",IF($AD1605=0,C1604,SUMIFS(Data!$B$10:$B$3209,Data!$A$10:$A$3209,"&gt;="&amp;$A1605,Data!$A$10:$A$3209,"&lt;"&amp;$A1605+1)/$AD1605)))</f>
        <v/>
      </c>
      <c r="D1605" s="56">
        <f>IF($B1605=0,"",IF(Inputs!$B$7="","",IF($AE1605=0,D1604,SUMIFS(Data!$F$10:$F$3209,Data!$E$10:$E$3209,"&gt;="&amp;$A1605,Data!$E$10:$E$3209,"&lt;"&amp;$A1605+1)/$AE1605)))</f>
        <v/>
      </c>
      <c r="E1605" s="56">
        <f>IF($B1605=0,"",IF(Inputs!$B$8="","",IF($AF1605=0,E1604,SUMIFS(Data!$J$10:$J$3209,Data!$I$10:$I$3209,"&gt;="&amp;$A1605,Data!$I$10:$I$3209,"&lt;"&amp;$A1605+1)/$AF1605)))</f>
        <v/>
      </c>
      <c r="F1605" s="56">
        <f>IF($B1605=0,"",IF(Inputs!$B$9="","",IF($AG1605=0,F1604,SUMIFS(Data!$N$10:$N$3209,Data!$M$10:$M$3209,"&gt;="&amp;$A1605,Data!$M$10:$M$3209,"&lt;"&amp;$A1605+1)/$AG1605)))</f>
        <v/>
      </c>
      <c r="G1605" s="56">
        <f>IF($B1605=0,"",IF(Inputs!$B$10="","",IF($AH1605=0,G1604,SUMIFS(Data!$R$10:$R$3209,Data!$Q$10:$Q$3209,"&gt;="&amp;$A1605,Data!$Q$10:$Q$3209,"&lt;"&amp;$A1605+1)/$AH1605)))</f>
        <v/>
      </c>
      <c r="I1605" s="54">
        <f>IF($B1605=0,NA(),IF($C1605="",NA(),IF(C$8="",NA(),IF(N(C$8)=0,NA(),IF(Inputs!$C$17="Rebased to 100",$C1605/C$8*100,$C1605)))))</f>
        <v/>
      </c>
      <c r="J1605" s="54">
        <f>IF($B1605=0,NA(),IF($D1605="",NA(),IF(D$8="",NA(),IF(N(D$8)=0,NA(),IF(Inputs!$C$17="Rebased to 100",$D1605/D$8*100,$D1605)))))</f>
        <v/>
      </c>
      <c r="K1605" s="54">
        <f>IF($B1605=0,NA(),IF($E1605="",NA(),IF(E$8="",NA(),IF(N(E$8)=0,NA(),IF(Inputs!$C$17="Rebased to 100",$E1605/E$8*100,$E1605)))))</f>
        <v/>
      </c>
      <c r="L1605" s="54">
        <f>IF($B1605=0,NA(),IF($F1605="",NA(),IF(F$8="",NA(),IF(N(F$8)=0,NA(),IF(Inputs!$C$17="Rebased to 100",$F1605/F$8*100,$F1605)))))</f>
        <v/>
      </c>
      <c r="M1605" s="54">
        <f>IF($B1605=0,NA(),IF($G1605="",NA(),IF(G$8="",NA(),IF(N(G$8)=0,NA(),IF(Inputs!$C$17="Rebased to 100",$G1605/G$8*100,$G1605)))))</f>
        <v/>
      </c>
      <c r="N1605" s="54">
        <f>IF($B1605=0,NA(),IF(Inputs!$C$18&lt;&gt;"Yes",NA(),IF(COUNT(I1605,J1605,K1605,L1605,M1605)=0,NA(),MIN(I1605,J1605,K1605,L1605,M1605))))</f>
        <v/>
      </c>
      <c r="O1605" s="54">
        <f>IF($B1605=0,NA(),IF(Inputs!$B$24&lt;&gt;"Yes",NA(),Inputs!$D$24*Inputs!$C$35))</f>
        <v/>
      </c>
      <c r="P1605" s="54">
        <f>IF($B1605=0,NA(),IF(Inputs!$B$25&lt;&gt;"Yes",NA(),Inputs!$D$25*Inputs!$C$35))</f>
        <v/>
      </c>
      <c r="Q1605" s="54">
        <f>IF($B1605=0,NA(),IF(Inputs!$B$26&lt;&gt;"Yes",NA(),Inputs!$D$26*Inputs!$C$35))</f>
        <v/>
      </c>
      <c r="R1605" s="54">
        <f>IF($B1605=0,NA(),IF(Inputs!$B$27&lt;&gt;"Yes",NA(),Inputs!$D$27*Inputs!$C$35))</f>
        <v/>
      </c>
      <c r="S1605" s="54">
        <f>IF($B1605=0,NA(),IF(Inputs!$B$28&lt;&gt;"Yes",NA(),Inputs!$D$28*Inputs!$C$35))</f>
        <v/>
      </c>
      <c r="T1605" s="54">
        <f>IF($B1605=0,NA(),IF(Inputs!$B$29&lt;&gt;"Yes",NA(),Inputs!$D$29*Inputs!$C$35))</f>
        <v/>
      </c>
      <c r="AD1605">
        <f>IF($B1605=0,0,IF(Inputs!$B$6="",0,COUNTIFS(Data!$A$10:$A$3209,"&gt;="&amp;$A1605,Data!$A$10:$A$3209,"&lt;"&amp;$A1605+1)))</f>
        <v/>
      </c>
      <c r="AE1605">
        <f>IF($B1605=0,0,IF(Inputs!$B$7="",0,COUNTIFS(Data!$E$10:$E$3209,"&gt;="&amp;$A1605,Data!$E$10:$E$3209,"&lt;"&amp;$A1605+1)))</f>
        <v/>
      </c>
      <c r="AF1605">
        <f>IF($B1605=0,0,IF(Inputs!$B$8="",0,COUNTIFS(Data!$I$10:$I$3209,"&gt;="&amp;$A1605,Data!$I$10:$I$3209,"&lt;"&amp;$A1605+1)))</f>
        <v/>
      </c>
      <c r="AG1605">
        <f>IF($B1605=0,0,IF(Inputs!$B$9="",0,COUNTIFS(Data!$M$10:$M$3209,"&gt;="&amp;$A1605,Data!$M$10:$M$3209,"&lt;"&amp;$A1605+1)))</f>
        <v/>
      </c>
      <c r="AH1605">
        <f>IF($B1605=0,0,IF(Inputs!$B$10="",0,COUNTIFS(Data!$Q$10:$Q$3209,"&gt;="&amp;$A1605,Data!$Q$10:$Q$3209,"&lt;"&amp;$A1605+1)))</f>
        <v/>
      </c>
    </row>
    <row r="1606">
      <c r="A1606" s="55">
        <f>MIN(Inputs!$C$15,$A1605+IF(WEEKDAY($A1605,2)=5,3,1))</f>
        <v/>
      </c>
      <c r="B1606">
        <f>IF($A1606&gt;$A1605,1,0)</f>
        <v/>
      </c>
      <c r="C1606" s="56">
        <f>IF($B1606=0,"",IF(Inputs!$B$6="","",IF($AD1606=0,C1605,SUMIFS(Data!$B$10:$B$3209,Data!$A$10:$A$3209,"&gt;="&amp;$A1606,Data!$A$10:$A$3209,"&lt;"&amp;$A1606+1)/$AD1606)))</f>
        <v/>
      </c>
      <c r="D1606" s="56">
        <f>IF($B1606=0,"",IF(Inputs!$B$7="","",IF($AE1606=0,D1605,SUMIFS(Data!$F$10:$F$3209,Data!$E$10:$E$3209,"&gt;="&amp;$A1606,Data!$E$10:$E$3209,"&lt;"&amp;$A1606+1)/$AE1606)))</f>
        <v/>
      </c>
      <c r="E1606" s="56">
        <f>IF($B1606=0,"",IF(Inputs!$B$8="","",IF($AF1606=0,E1605,SUMIFS(Data!$J$10:$J$3209,Data!$I$10:$I$3209,"&gt;="&amp;$A1606,Data!$I$10:$I$3209,"&lt;"&amp;$A1606+1)/$AF1606)))</f>
        <v/>
      </c>
      <c r="F1606" s="56">
        <f>IF($B1606=0,"",IF(Inputs!$B$9="","",IF($AG1606=0,F1605,SUMIFS(Data!$N$10:$N$3209,Data!$M$10:$M$3209,"&gt;="&amp;$A1606,Data!$M$10:$M$3209,"&lt;"&amp;$A1606+1)/$AG1606)))</f>
        <v/>
      </c>
      <c r="G1606" s="56">
        <f>IF($B1606=0,"",IF(Inputs!$B$10="","",IF($AH1606=0,G1605,SUMIFS(Data!$R$10:$R$3209,Data!$Q$10:$Q$3209,"&gt;="&amp;$A1606,Data!$Q$10:$Q$3209,"&lt;"&amp;$A1606+1)/$AH1606)))</f>
        <v/>
      </c>
      <c r="I1606" s="54">
        <f>IF($B1606=0,NA(),IF($C1606="",NA(),IF(C$8="",NA(),IF(N(C$8)=0,NA(),IF(Inputs!$C$17="Rebased to 100",$C1606/C$8*100,$C1606)))))</f>
        <v/>
      </c>
      <c r="J1606" s="54">
        <f>IF($B1606=0,NA(),IF($D1606="",NA(),IF(D$8="",NA(),IF(N(D$8)=0,NA(),IF(Inputs!$C$17="Rebased to 100",$D1606/D$8*100,$D1606)))))</f>
        <v/>
      </c>
      <c r="K1606" s="54">
        <f>IF($B1606=0,NA(),IF($E1606="",NA(),IF(E$8="",NA(),IF(N(E$8)=0,NA(),IF(Inputs!$C$17="Rebased to 100",$E1606/E$8*100,$E1606)))))</f>
        <v/>
      </c>
      <c r="L1606" s="54">
        <f>IF($B1606=0,NA(),IF($F1606="",NA(),IF(F$8="",NA(),IF(N(F$8)=0,NA(),IF(Inputs!$C$17="Rebased to 100",$F1606/F$8*100,$F1606)))))</f>
        <v/>
      </c>
      <c r="M1606" s="54">
        <f>IF($B1606=0,NA(),IF($G1606="",NA(),IF(G$8="",NA(),IF(N(G$8)=0,NA(),IF(Inputs!$C$17="Rebased to 100",$G1606/G$8*100,$G1606)))))</f>
        <v/>
      </c>
      <c r="N1606" s="54">
        <f>IF($B1606=0,NA(),IF(Inputs!$C$18&lt;&gt;"Yes",NA(),IF(COUNT(I1606,J1606,K1606,L1606,M1606)=0,NA(),MIN(I1606,J1606,K1606,L1606,M1606))))</f>
        <v/>
      </c>
      <c r="O1606" s="54">
        <f>IF($B1606=0,NA(),IF(Inputs!$B$24&lt;&gt;"Yes",NA(),Inputs!$D$24*Inputs!$C$35))</f>
        <v/>
      </c>
      <c r="P1606" s="54">
        <f>IF($B1606=0,NA(),IF(Inputs!$B$25&lt;&gt;"Yes",NA(),Inputs!$D$25*Inputs!$C$35))</f>
        <v/>
      </c>
      <c r="Q1606" s="54">
        <f>IF($B1606=0,NA(),IF(Inputs!$B$26&lt;&gt;"Yes",NA(),Inputs!$D$26*Inputs!$C$35))</f>
        <v/>
      </c>
      <c r="R1606" s="54">
        <f>IF($B1606=0,NA(),IF(Inputs!$B$27&lt;&gt;"Yes",NA(),Inputs!$D$27*Inputs!$C$35))</f>
        <v/>
      </c>
      <c r="S1606" s="54">
        <f>IF($B1606=0,NA(),IF(Inputs!$B$28&lt;&gt;"Yes",NA(),Inputs!$D$28*Inputs!$C$35))</f>
        <v/>
      </c>
      <c r="T1606" s="54">
        <f>IF($B1606=0,NA(),IF(Inputs!$B$29&lt;&gt;"Yes",NA(),Inputs!$D$29*Inputs!$C$35))</f>
        <v/>
      </c>
      <c r="AD1606">
        <f>IF($B1606=0,0,IF(Inputs!$B$6="",0,COUNTIFS(Data!$A$10:$A$3209,"&gt;="&amp;$A1606,Data!$A$10:$A$3209,"&lt;"&amp;$A1606+1)))</f>
        <v/>
      </c>
      <c r="AE1606">
        <f>IF($B1606=0,0,IF(Inputs!$B$7="",0,COUNTIFS(Data!$E$10:$E$3209,"&gt;="&amp;$A1606,Data!$E$10:$E$3209,"&lt;"&amp;$A1606+1)))</f>
        <v/>
      </c>
      <c r="AF1606">
        <f>IF($B1606=0,0,IF(Inputs!$B$8="",0,COUNTIFS(Data!$I$10:$I$3209,"&gt;="&amp;$A1606,Data!$I$10:$I$3209,"&lt;"&amp;$A1606+1)))</f>
        <v/>
      </c>
      <c r="AG1606">
        <f>IF($B1606=0,0,IF(Inputs!$B$9="",0,COUNTIFS(Data!$M$10:$M$3209,"&gt;="&amp;$A1606,Data!$M$10:$M$3209,"&lt;"&amp;$A1606+1)))</f>
        <v/>
      </c>
      <c r="AH1606">
        <f>IF($B1606=0,0,IF(Inputs!$B$10="",0,COUNTIFS(Data!$Q$10:$Q$3209,"&gt;="&amp;$A1606,Data!$Q$10:$Q$3209,"&lt;"&amp;$A1606+1)))</f>
        <v/>
      </c>
    </row>
    <row r="1607">
      <c r="A1607" s="55">
        <f>MIN(Inputs!$C$15,$A1606+IF(WEEKDAY($A1606,2)=5,3,1))</f>
        <v/>
      </c>
      <c r="B1607">
        <f>IF($A1607&gt;$A1606,1,0)</f>
        <v/>
      </c>
      <c r="C1607" s="56">
        <f>IF($B1607=0,"",IF(Inputs!$B$6="","",IF($AD1607=0,C1606,SUMIFS(Data!$B$10:$B$3209,Data!$A$10:$A$3209,"&gt;="&amp;$A1607,Data!$A$10:$A$3209,"&lt;"&amp;$A1607+1)/$AD1607)))</f>
        <v/>
      </c>
      <c r="D1607" s="56">
        <f>IF($B1607=0,"",IF(Inputs!$B$7="","",IF($AE1607=0,D1606,SUMIFS(Data!$F$10:$F$3209,Data!$E$10:$E$3209,"&gt;="&amp;$A1607,Data!$E$10:$E$3209,"&lt;"&amp;$A1607+1)/$AE1607)))</f>
        <v/>
      </c>
      <c r="E1607" s="56">
        <f>IF($B1607=0,"",IF(Inputs!$B$8="","",IF($AF1607=0,E1606,SUMIFS(Data!$J$10:$J$3209,Data!$I$10:$I$3209,"&gt;="&amp;$A1607,Data!$I$10:$I$3209,"&lt;"&amp;$A1607+1)/$AF1607)))</f>
        <v/>
      </c>
      <c r="F1607" s="56">
        <f>IF($B1607=0,"",IF(Inputs!$B$9="","",IF($AG1607=0,F1606,SUMIFS(Data!$N$10:$N$3209,Data!$M$10:$M$3209,"&gt;="&amp;$A1607,Data!$M$10:$M$3209,"&lt;"&amp;$A1607+1)/$AG1607)))</f>
        <v/>
      </c>
      <c r="G1607" s="56">
        <f>IF($B1607=0,"",IF(Inputs!$B$10="","",IF($AH1607=0,G1606,SUMIFS(Data!$R$10:$R$3209,Data!$Q$10:$Q$3209,"&gt;="&amp;$A1607,Data!$Q$10:$Q$3209,"&lt;"&amp;$A1607+1)/$AH1607)))</f>
        <v/>
      </c>
      <c r="I1607" s="54">
        <f>IF($B1607=0,NA(),IF($C1607="",NA(),IF(C$8="",NA(),IF(N(C$8)=0,NA(),IF(Inputs!$C$17="Rebased to 100",$C1607/C$8*100,$C1607)))))</f>
        <v/>
      </c>
      <c r="J1607" s="54">
        <f>IF($B1607=0,NA(),IF($D1607="",NA(),IF(D$8="",NA(),IF(N(D$8)=0,NA(),IF(Inputs!$C$17="Rebased to 100",$D1607/D$8*100,$D1607)))))</f>
        <v/>
      </c>
      <c r="K1607" s="54">
        <f>IF($B1607=0,NA(),IF($E1607="",NA(),IF(E$8="",NA(),IF(N(E$8)=0,NA(),IF(Inputs!$C$17="Rebased to 100",$E1607/E$8*100,$E1607)))))</f>
        <v/>
      </c>
      <c r="L1607" s="54">
        <f>IF($B1607=0,NA(),IF($F1607="",NA(),IF(F$8="",NA(),IF(N(F$8)=0,NA(),IF(Inputs!$C$17="Rebased to 100",$F1607/F$8*100,$F1607)))))</f>
        <v/>
      </c>
      <c r="M1607" s="54">
        <f>IF($B1607=0,NA(),IF($G1607="",NA(),IF(G$8="",NA(),IF(N(G$8)=0,NA(),IF(Inputs!$C$17="Rebased to 100",$G1607/G$8*100,$G1607)))))</f>
        <v/>
      </c>
      <c r="N1607" s="54">
        <f>IF($B1607=0,NA(),IF(Inputs!$C$18&lt;&gt;"Yes",NA(),IF(COUNT(I1607,J1607,K1607,L1607,M1607)=0,NA(),MIN(I1607,J1607,K1607,L1607,M1607))))</f>
        <v/>
      </c>
      <c r="O1607" s="54">
        <f>IF($B1607=0,NA(),IF(Inputs!$B$24&lt;&gt;"Yes",NA(),Inputs!$D$24*Inputs!$C$35))</f>
        <v/>
      </c>
      <c r="P1607" s="54">
        <f>IF($B1607=0,NA(),IF(Inputs!$B$25&lt;&gt;"Yes",NA(),Inputs!$D$25*Inputs!$C$35))</f>
        <v/>
      </c>
      <c r="Q1607" s="54">
        <f>IF($B1607=0,NA(),IF(Inputs!$B$26&lt;&gt;"Yes",NA(),Inputs!$D$26*Inputs!$C$35))</f>
        <v/>
      </c>
      <c r="R1607" s="54">
        <f>IF($B1607=0,NA(),IF(Inputs!$B$27&lt;&gt;"Yes",NA(),Inputs!$D$27*Inputs!$C$35))</f>
        <v/>
      </c>
      <c r="S1607" s="54">
        <f>IF($B1607=0,NA(),IF(Inputs!$B$28&lt;&gt;"Yes",NA(),Inputs!$D$28*Inputs!$C$35))</f>
        <v/>
      </c>
      <c r="T1607" s="54">
        <f>IF($B1607=0,NA(),IF(Inputs!$B$29&lt;&gt;"Yes",NA(),Inputs!$D$29*Inputs!$C$35))</f>
        <v/>
      </c>
      <c r="AD1607">
        <f>IF($B1607=0,0,IF(Inputs!$B$6="",0,COUNTIFS(Data!$A$10:$A$3209,"&gt;="&amp;$A1607,Data!$A$10:$A$3209,"&lt;"&amp;$A1607+1)))</f>
        <v/>
      </c>
      <c r="AE1607">
        <f>IF($B1607=0,0,IF(Inputs!$B$7="",0,COUNTIFS(Data!$E$10:$E$3209,"&gt;="&amp;$A1607,Data!$E$10:$E$3209,"&lt;"&amp;$A1607+1)))</f>
        <v/>
      </c>
      <c r="AF1607">
        <f>IF($B1607=0,0,IF(Inputs!$B$8="",0,COUNTIFS(Data!$I$10:$I$3209,"&gt;="&amp;$A1607,Data!$I$10:$I$3209,"&lt;"&amp;$A1607+1)))</f>
        <v/>
      </c>
      <c r="AG1607">
        <f>IF($B1607=0,0,IF(Inputs!$B$9="",0,COUNTIFS(Data!$M$10:$M$3209,"&gt;="&amp;$A1607,Data!$M$10:$M$3209,"&lt;"&amp;$A1607+1)))</f>
        <v/>
      </c>
      <c r="AH1607">
        <f>IF($B1607=0,0,IF(Inputs!$B$10="",0,COUNTIFS(Data!$Q$10:$Q$3209,"&gt;="&amp;$A1607,Data!$Q$10:$Q$3209,"&lt;"&amp;$A1607+1)))</f>
        <v/>
      </c>
    </row>
    <row r="1608">
      <c r="A1608" s="55">
        <f>MIN(Inputs!$C$15,$A1607+IF(WEEKDAY($A1607,2)=5,3,1))</f>
        <v/>
      </c>
      <c r="B1608">
        <f>IF($A1608&gt;$A1607,1,0)</f>
        <v/>
      </c>
      <c r="C1608" s="56">
        <f>IF($B1608=0,"",IF(Inputs!$B$6="","",IF($AD1608=0,C1607,SUMIFS(Data!$B$10:$B$3209,Data!$A$10:$A$3209,"&gt;="&amp;$A1608,Data!$A$10:$A$3209,"&lt;"&amp;$A1608+1)/$AD1608)))</f>
        <v/>
      </c>
      <c r="D1608" s="56">
        <f>IF($B1608=0,"",IF(Inputs!$B$7="","",IF($AE1608=0,D1607,SUMIFS(Data!$F$10:$F$3209,Data!$E$10:$E$3209,"&gt;="&amp;$A1608,Data!$E$10:$E$3209,"&lt;"&amp;$A1608+1)/$AE1608)))</f>
        <v/>
      </c>
      <c r="E1608" s="56">
        <f>IF($B1608=0,"",IF(Inputs!$B$8="","",IF($AF1608=0,E1607,SUMIFS(Data!$J$10:$J$3209,Data!$I$10:$I$3209,"&gt;="&amp;$A1608,Data!$I$10:$I$3209,"&lt;"&amp;$A1608+1)/$AF1608)))</f>
        <v/>
      </c>
      <c r="F1608" s="56">
        <f>IF($B1608=0,"",IF(Inputs!$B$9="","",IF($AG1608=0,F1607,SUMIFS(Data!$N$10:$N$3209,Data!$M$10:$M$3209,"&gt;="&amp;$A1608,Data!$M$10:$M$3209,"&lt;"&amp;$A1608+1)/$AG1608)))</f>
        <v/>
      </c>
      <c r="G1608" s="56">
        <f>IF($B1608=0,"",IF(Inputs!$B$10="","",IF($AH1608=0,G1607,SUMIFS(Data!$R$10:$R$3209,Data!$Q$10:$Q$3209,"&gt;="&amp;$A1608,Data!$Q$10:$Q$3209,"&lt;"&amp;$A1608+1)/$AH1608)))</f>
        <v/>
      </c>
      <c r="I1608" s="54">
        <f>IF($B1608=0,NA(),IF($C1608="",NA(),IF(C$8="",NA(),IF(N(C$8)=0,NA(),IF(Inputs!$C$17="Rebased to 100",$C1608/C$8*100,$C1608)))))</f>
        <v/>
      </c>
      <c r="J1608" s="54">
        <f>IF($B1608=0,NA(),IF($D1608="",NA(),IF(D$8="",NA(),IF(N(D$8)=0,NA(),IF(Inputs!$C$17="Rebased to 100",$D1608/D$8*100,$D1608)))))</f>
        <v/>
      </c>
      <c r="K1608" s="54">
        <f>IF($B1608=0,NA(),IF($E1608="",NA(),IF(E$8="",NA(),IF(N(E$8)=0,NA(),IF(Inputs!$C$17="Rebased to 100",$E1608/E$8*100,$E1608)))))</f>
        <v/>
      </c>
      <c r="L1608" s="54">
        <f>IF($B1608=0,NA(),IF($F1608="",NA(),IF(F$8="",NA(),IF(N(F$8)=0,NA(),IF(Inputs!$C$17="Rebased to 100",$F1608/F$8*100,$F1608)))))</f>
        <v/>
      </c>
      <c r="M1608" s="54">
        <f>IF($B1608=0,NA(),IF($G1608="",NA(),IF(G$8="",NA(),IF(N(G$8)=0,NA(),IF(Inputs!$C$17="Rebased to 100",$G1608/G$8*100,$G1608)))))</f>
        <v/>
      </c>
      <c r="N1608" s="54">
        <f>IF($B1608=0,NA(),IF(Inputs!$C$18&lt;&gt;"Yes",NA(),IF(COUNT(I1608,J1608,K1608,L1608,M1608)=0,NA(),MIN(I1608,J1608,K1608,L1608,M1608))))</f>
        <v/>
      </c>
      <c r="O1608" s="54">
        <f>IF($B1608=0,NA(),IF(Inputs!$B$24&lt;&gt;"Yes",NA(),Inputs!$D$24*Inputs!$C$35))</f>
        <v/>
      </c>
      <c r="P1608" s="54">
        <f>IF($B1608=0,NA(),IF(Inputs!$B$25&lt;&gt;"Yes",NA(),Inputs!$D$25*Inputs!$C$35))</f>
        <v/>
      </c>
      <c r="Q1608" s="54">
        <f>IF($B1608=0,NA(),IF(Inputs!$B$26&lt;&gt;"Yes",NA(),Inputs!$D$26*Inputs!$C$35))</f>
        <v/>
      </c>
      <c r="R1608" s="54">
        <f>IF($B1608=0,NA(),IF(Inputs!$B$27&lt;&gt;"Yes",NA(),Inputs!$D$27*Inputs!$C$35))</f>
        <v/>
      </c>
      <c r="S1608" s="54">
        <f>IF($B1608=0,NA(),IF(Inputs!$B$28&lt;&gt;"Yes",NA(),Inputs!$D$28*Inputs!$C$35))</f>
        <v/>
      </c>
      <c r="T1608" s="54">
        <f>IF($B1608=0,NA(),IF(Inputs!$B$29&lt;&gt;"Yes",NA(),Inputs!$D$29*Inputs!$C$35))</f>
        <v/>
      </c>
      <c r="AD1608">
        <f>IF($B1608=0,0,IF(Inputs!$B$6="",0,COUNTIFS(Data!$A$10:$A$3209,"&gt;="&amp;$A1608,Data!$A$10:$A$3209,"&lt;"&amp;$A1608+1)))</f>
        <v/>
      </c>
      <c r="AE1608">
        <f>IF($B1608=0,0,IF(Inputs!$B$7="",0,COUNTIFS(Data!$E$10:$E$3209,"&gt;="&amp;$A1608,Data!$E$10:$E$3209,"&lt;"&amp;$A1608+1)))</f>
        <v/>
      </c>
      <c r="AF1608">
        <f>IF($B1608=0,0,IF(Inputs!$B$8="",0,COUNTIFS(Data!$I$10:$I$3209,"&gt;="&amp;$A1608,Data!$I$10:$I$3209,"&lt;"&amp;$A1608+1)))</f>
        <v/>
      </c>
      <c r="AG1608">
        <f>IF($B1608=0,0,IF(Inputs!$B$9="",0,COUNTIFS(Data!$M$10:$M$3209,"&gt;="&amp;$A1608,Data!$M$10:$M$3209,"&lt;"&amp;$A1608+1)))</f>
        <v/>
      </c>
      <c r="AH1608">
        <f>IF($B1608=0,0,IF(Inputs!$B$10="",0,COUNTIFS(Data!$Q$10:$Q$3209,"&gt;="&amp;$A1608,Data!$Q$10:$Q$3209,"&lt;"&amp;$A1608+1)))</f>
        <v/>
      </c>
    </row>
    <row r="1609">
      <c r="A1609" s="55">
        <f>MIN(Inputs!$C$15,$A1608+IF(WEEKDAY($A1608,2)=5,3,1))</f>
        <v/>
      </c>
      <c r="B1609">
        <f>IF($A1609&gt;$A1608,1,0)</f>
        <v/>
      </c>
      <c r="C1609" s="56">
        <f>IF($B1609=0,"",IF(Inputs!$B$6="","",IF($AD1609=0,C1608,SUMIFS(Data!$B$10:$B$3209,Data!$A$10:$A$3209,"&gt;="&amp;$A1609,Data!$A$10:$A$3209,"&lt;"&amp;$A1609+1)/$AD1609)))</f>
        <v/>
      </c>
      <c r="D1609" s="56">
        <f>IF($B1609=0,"",IF(Inputs!$B$7="","",IF($AE1609=0,D1608,SUMIFS(Data!$F$10:$F$3209,Data!$E$10:$E$3209,"&gt;="&amp;$A1609,Data!$E$10:$E$3209,"&lt;"&amp;$A1609+1)/$AE1609)))</f>
        <v/>
      </c>
      <c r="E1609" s="56">
        <f>IF($B1609=0,"",IF(Inputs!$B$8="","",IF($AF1609=0,E1608,SUMIFS(Data!$J$10:$J$3209,Data!$I$10:$I$3209,"&gt;="&amp;$A1609,Data!$I$10:$I$3209,"&lt;"&amp;$A1609+1)/$AF1609)))</f>
        <v/>
      </c>
      <c r="F1609" s="56">
        <f>IF($B1609=0,"",IF(Inputs!$B$9="","",IF($AG1609=0,F1608,SUMIFS(Data!$N$10:$N$3209,Data!$M$10:$M$3209,"&gt;="&amp;$A1609,Data!$M$10:$M$3209,"&lt;"&amp;$A1609+1)/$AG1609)))</f>
        <v/>
      </c>
      <c r="G1609" s="56">
        <f>IF($B1609=0,"",IF(Inputs!$B$10="","",IF($AH1609=0,G1608,SUMIFS(Data!$R$10:$R$3209,Data!$Q$10:$Q$3209,"&gt;="&amp;$A1609,Data!$Q$10:$Q$3209,"&lt;"&amp;$A1609+1)/$AH1609)))</f>
        <v/>
      </c>
      <c r="I1609" s="54">
        <f>IF($B1609=0,NA(),IF($C1609="",NA(),IF(C$8="",NA(),IF(N(C$8)=0,NA(),IF(Inputs!$C$17="Rebased to 100",$C1609/C$8*100,$C1609)))))</f>
        <v/>
      </c>
      <c r="J1609" s="54">
        <f>IF($B1609=0,NA(),IF($D1609="",NA(),IF(D$8="",NA(),IF(N(D$8)=0,NA(),IF(Inputs!$C$17="Rebased to 100",$D1609/D$8*100,$D1609)))))</f>
        <v/>
      </c>
      <c r="K1609" s="54">
        <f>IF($B1609=0,NA(),IF($E1609="",NA(),IF(E$8="",NA(),IF(N(E$8)=0,NA(),IF(Inputs!$C$17="Rebased to 100",$E1609/E$8*100,$E1609)))))</f>
        <v/>
      </c>
      <c r="L1609" s="54">
        <f>IF($B1609=0,NA(),IF($F1609="",NA(),IF(F$8="",NA(),IF(N(F$8)=0,NA(),IF(Inputs!$C$17="Rebased to 100",$F1609/F$8*100,$F1609)))))</f>
        <v/>
      </c>
      <c r="M1609" s="54">
        <f>IF($B1609=0,NA(),IF($G1609="",NA(),IF(G$8="",NA(),IF(N(G$8)=0,NA(),IF(Inputs!$C$17="Rebased to 100",$G1609/G$8*100,$G1609)))))</f>
        <v/>
      </c>
      <c r="N1609" s="54">
        <f>IF($B1609=0,NA(),IF(Inputs!$C$18&lt;&gt;"Yes",NA(),IF(COUNT(I1609,J1609,K1609,L1609,M1609)=0,NA(),MIN(I1609,J1609,K1609,L1609,M1609))))</f>
        <v/>
      </c>
      <c r="O1609" s="54">
        <f>IF($B1609=0,NA(),IF(Inputs!$B$24&lt;&gt;"Yes",NA(),Inputs!$D$24*Inputs!$C$35))</f>
        <v/>
      </c>
      <c r="P1609" s="54">
        <f>IF($B1609=0,NA(),IF(Inputs!$B$25&lt;&gt;"Yes",NA(),Inputs!$D$25*Inputs!$C$35))</f>
        <v/>
      </c>
      <c r="Q1609" s="54">
        <f>IF($B1609=0,NA(),IF(Inputs!$B$26&lt;&gt;"Yes",NA(),Inputs!$D$26*Inputs!$C$35))</f>
        <v/>
      </c>
      <c r="R1609" s="54">
        <f>IF($B1609=0,NA(),IF(Inputs!$B$27&lt;&gt;"Yes",NA(),Inputs!$D$27*Inputs!$C$35))</f>
        <v/>
      </c>
      <c r="S1609" s="54">
        <f>IF($B1609=0,NA(),IF(Inputs!$B$28&lt;&gt;"Yes",NA(),Inputs!$D$28*Inputs!$C$35))</f>
        <v/>
      </c>
      <c r="T1609" s="54">
        <f>IF($B1609=0,NA(),IF(Inputs!$B$29&lt;&gt;"Yes",NA(),Inputs!$D$29*Inputs!$C$35))</f>
        <v/>
      </c>
      <c r="AD1609">
        <f>IF($B1609=0,0,IF(Inputs!$B$6="",0,COUNTIFS(Data!$A$10:$A$3209,"&gt;="&amp;$A1609,Data!$A$10:$A$3209,"&lt;"&amp;$A1609+1)))</f>
        <v/>
      </c>
      <c r="AE1609">
        <f>IF($B1609=0,0,IF(Inputs!$B$7="",0,COUNTIFS(Data!$E$10:$E$3209,"&gt;="&amp;$A1609,Data!$E$10:$E$3209,"&lt;"&amp;$A1609+1)))</f>
        <v/>
      </c>
      <c r="AF1609">
        <f>IF($B1609=0,0,IF(Inputs!$B$8="",0,COUNTIFS(Data!$I$10:$I$3209,"&gt;="&amp;$A1609,Data!$I$10:$I$3209,"&lt;"&amp;$A1609+1)))</f>
        <v/>
      </c>
      <c r="AG1609">
        <f>IF($B1609=0,0,IF(Inputs!$B$9="",0,COUNTIFS(Data!$M$10:$M$3209,"&gt;="&amp;$A1609,Data!$M$10:$M$3209,"&lt;"&amp;$A1609+1)))</f>
        <v/>
      </c>
      <c r="AH1609">
        <f>IF($B1609=0,0,IF(Inputs!$B$10="",0,COUNTIFS(Data!$Q$10:$Q$3209,"&gt;="&amp;$A1609,Data!$Q$10:$Q$3209,"&lt;"&amp;$A1609+1)))</f>
        <v/>
      </c>
    </row>
    <row r="1610">
      <c r="A1610" s="55">
        <f>MIN(Inputs!$C$15,$A1609+IF(WEEKDAY($A1609,2)=5,3,1))</f>
        <v/>
      </c>
      <c r="B1610">
        <f>IF($A1610&gt;$A1609,1,0)</f>
        <v/>
      </c>
      <c r="C1610" s="56">
        <f>IF($B1610=0,"",IF(Inputs!$B$6="","",IF($AD1610=0,C1609,SUMIFS(Data!$B$10:$B$3209,Data!$A$10:$A$3209,"&gt;="&amp;$A1610,Data!$A$10:$A$3209,"&lt;"&amp;$A1610+1)/$AD1610)))</f>
        <v/>
      </c>
      <c r="D1610" s="56">
        <f>IF($B1610=0,"",IF(Inputs!$B$7="","",IF($AE1610=0,D1609,SUMIFS(Data!$F$10:$F$3209,Data!$E$10:$E$3209,"&gt;="&amp;$A1610,Data!$E$10:$E$3209,"&lt;"&amp;$A1610+1)/$AE1610)))</f>
        <v/>
      </c>
      <c r="E1610" s="56">
        <f>IF($B1610=0,"",IF(Inputs!$B$8="","",IF($AF1610=0,E1609,SUMIFS(Data!$J$10:$J$3209,Data!$I$10:$I$3209,"&gt;="&amp;$A1610,Data!$I$10:$I$3209,"&lt;"&amp;$A1610+1)/$AF1610)))</f>
        <v/>
      </c>
      <c r="F1610" s="56">
        <f>IF($B1610=0,"",IF(Inputs!$B$9="","",IF($AG1610=0,F1609,SUMIFS(Data!$N$10:$N$3209,Data!$M$10:$M$3209,"&gt;="&amp;$A1610,Data!$M$10:$M$3209,"&lt;"&amp;$A1610+1)/$AG1610)))</f>
        <v/>
      </c>
      <c r="G1610" s="56">
        <f>IF($B1610=0,"",IF(Inputs!$B$10="","",IF($AH1610=0,G1609,SUMIFS(Data!$R$10:$R$3209,Data!$Q$10:$Q$3209,"&gt;="&amp;$A1610,Data!$Q$10:$Q$3209,"&lt;"&amp;$A1610+1)/$AH1610)))</f>
        <v/>
      </c>
      <c r="I1610" s="54">
        <f>IF($B1610=0,NA(),IF($C1610="",NA(),IF(C$8="",NA(),IF(N(C$8)=0,NA(),IF(Inputs!$C$17="Rebased to 100",$C1610/C$8*100,$C1610)))))</f>
        <v/>
      </c>
      <c r="J1610" s="54">
        <f>IF($B1610=0,NA(),IF($D1610="",NA(),IF(D$8="",NA(),IF(N(D$8)=0,NA(),IF(Inputs!$C$17="Rebased to 100",$D1610/D$8*100,$D1610)))))</f>
        <v/>
      </c>
      <c r="K1610" s="54">
        <f>IF($B1610=0,NA(),IF($E1610="",NA(),IF(E$8="",NA(),IF(N(E$8)=0,NA(),IF(Inputs!$C$17="Rebased to 100",$E1610/E$8*100,$E1610)))))</f>
        <v/>
      </c>
      <c r="L1610" s="54">
        <f>IF($B1610=0,NA(),IF($F1610="",NA(),IF(F$8="",NA(),IF(N(F$8)=0,NA(),IF(Inputs!$C$17="Rebased to 100",$F1610/F$8*100,$F1610)))))</f>
        <v/>
      </c>
      <c r="M1610" s="54">
        <f>IF($B1610=0,NA(),IF($G1610="",NA(),IF(G$8="",NA(),IF(N(G$8)=0,NA(),IF(Inputs!$C$17="Rebased to 100",$G1610/G$8*100,$G1610)))))</f>
        <v/>
      </c>
      <c r="N1610" s="54">
        <f>IF($B1610=0,NA(),IF(Inputs!$C$18&lt;&gt;"Yes",NA(),IF(COUNT(I1610,J1610,K1610,L1610,M1610)=0,NA(),MIN(I1610,J1610,K1610,L1610,M1610))))</f>
        <v/>
      </c>
      <c r="O1610" s="54">
        <f>IF($B1610=0,NA(),IF(Inputs!$B$24&lt;&gt;"Yes",NA(),Inputs!$D$24*Inputs!$C$35))</f>
        <v/>
      </c>
      <c r="P1610" s="54">
        <f>IF($B1610=0,NA(),IF(Inputs!$B$25&lt;&gt;"Yes",NA(),Inputs!$D$25*Inputs!$C$35))</f>
        <v/>
      </c>
      <c r="Q1610" s="54">
        <f>IF($B1610=0,NA(),IF(Inputs!$B$26&lt;&gt;"Yes",NA(),Inputs!$D$26*Inputs!$C$35))</f>
        <v/>
      </c>
      <c r="R1610" s="54">
        <f>IF($B1610=0,NA(),IF(Inputs!$B$27&lt;&gt;"Yes",NA(),Inputs!$D$27*Inputs!$C$35))</f>
        <v/>
      </c>
      <c r="S1610" s="54">
        <f>IF($B1610=0,NA(),IF(Inputs!$B$28&lt;&gt;"Yes",NA(),Inputs!$D$28*Inputs!$C$35))</f>
        <v/>
      </c>
      <c r="T1610" s="54">
        <f>IF($B1610=0,NA(),IF(Inputs!$B$29&lt;&gt;"Yes",NA(),Inputs!$D$29*Inputs!$C$35))</f>
        <v/>
      </c>
      <c r="AD1610">
        <f>IF($B1610=0,0,IF(Inputs!$B$6="",0,COUNTIFS(Data!$A$10:$A$3209,"&gt;="&amp;$A1610,Data!$A$10:$A$3209,"&lt;"&amp;$A1610+1)))</f>
        <v/>
      </c>
      <c r="AE1610">
        <f>IF($B1610=0,0,IF(Inputs!$B$7="",0,COUNTIFS(Data!$E$10:$E$3209,"&gt;="&amp;$A1610,Data!$E$10:$E$3209,"&lt;"&amp;$A1610+1)))</f>
        <v/>
      </c>
      <c r="AF1610">
        <f>IF($B1610=0,0,IF(Inputs!$B$8="",0,COUNTIFS(Data!$I$10:$I$3209,"&gt;="&amp;$A1610,Data!$I$10:$I$3209,"&lt;"&amp;$A1610+1)))</f>
        <v/>
      </c>
      <c r="AG1610">
        <f>IF($B1610=0,0,IF(Inputs!$B$9="",0,COUNTIFS(Data!$M$10:$M$3209,"&gt;="&amp;$A1610,Data!$M$10:$M$3209,"&lt;"&amp;$A1610+1)))</f>
        <v/>
      </c>
      <c r="AH1610">
        <f>IF($B1610=0,0,IF(Inputs!$B$10="",0,COUNTIFS(Data!$Q$10:$Q$3209,"&gt;="&amp;$A1610,Data!$Q$10:$Q$3209,"&lt;"&amp;$A1610+1)))</f>
        <v/>
      </c>
    </row>
    <row r="1611">
      <c r="A1611" s="55">
        <f>MIN(Inputs!$C$15,$A1610+IF(WEEKDAY($A1610,2)=5,3,1))</f>
        <v/>
      </c>
      <c r="B1611">
        <f>IF($A1611&gt;$A1610,1,0)</f>
        <v/>
      </c>
      <c r="C1611" s="56">
        <f>IF($B1611=0,"",IF(Inputs!$B$6="","",IF($AD1611=0,C1610,SUMIFS(Data!$B$10:$B$3209,Data!$A$10:$A$3209,"&gt;="&amp;$A1611,Data!$A$10:$A$3209,"&lt;"&amp;$A1611+1)/$AD1611)))</f>
        <v/>
      </c>
      <c r="D1611" s="56">
        <f>IF($B1611=0,"",IF(Inputs!$B$7="","",IF($AE1611=0,D1610,SUMIFS(Data!$F$10:$F$3209,Data!$E$10:$E$3209,"&gt;="&amp;$A1611,Data!$E$10:$E$3209,"&lt;"&amp;$A1611+1)/$AE1611)))</f>
        <v/>
      </c>
      <c r="E1611" s="56">
        <f>IF($B1611=0,"",IF(Inputs!$B$8="","",IF($AF1611=0,E1610,SUMIFS(Data!$J$10:$J$3209,Data!$I$10:$I$3209,"&gt;="&amp;$A1611,Data!$I$10:$I$3209,"&lt;"&amp;$A1611+1)/$AF1611)))</f>
        <v/>
      </c>
      <c r="F1611" s="56">
        <f>IF($B1611=0,"",IF(Inputs!$B$9="","",IF($AG1611=0,F1610,SUMIFS(Data!$N$10:$N$3209,Data!$M$10:$M$3209,"&gt;="&amp;$A1611,Data!$M$10:$M$3209,"&lt;"&amp;$A1611+1)/$AG1611)))</f>
        <v/>
      </c>
      <c r="G1611" s="56">
        <f>IF($B1611=0,"",IF(Inputs!$B$10="","",IF($AH1611=0,G1610,SUMIFS(Data!$R$10:$R$3209,Data!$Q$10:$Q$3209,"&gt;="&amp;$A1611,Data!$Q$10:$Q$3209,"&lt;"&amp;$A1611+1)/$AH1611)))</f>
        <v/>
      </c>
      <c r="I1611" s="54">
        <f>IF($B1611=0,NA(),IF($C1611="",NA(),IF(C$8="",NA(),IF(N(C$8)=0,NA(),IF(Inputs!$C$17="Rebased to 100",$C1611/C$8*100,$C1611)))))</f>
        <v/>
      </c>
      <c r="J1611" s="54">
        <f>IF($B1611=0,NA(),IF($D1611="",NA(),IF(D$8="",NA(),IF(N(D$8)=0,NA(),IF(Inputs!$C$17="Rebased to 100",$D1611/D$8*100,$D1611)))))</f>
        <v/>
      </c>
      <c r="K1611" s="54">
        <f>IF($B1611=0,NA(),IF($E1611="",NA(),IF(E$8="",NA(),IF(N(E$8)=0,NA(),IF(Inputs!$C$17="Rebased to 100",$E1611/E$8*100,$E1611)))))</f>
        <v/>
      </c>
      <c r="L1611" s="54">
        <f>IF($B1611=0,NA(),IF($F1611="",NA(),IF(F$8="",NA(),IF(N(F$8)=0,NA(),IF(Inputs!$C$17="Rebased to 100",$F1611/F$8*100,$F1611)))))</f>
        <v/>
      </c>
      <c r="M1611" s="54">
        <f>IF($B1611=0,NA(),IF($G1611="",NA(),IF(G$8="",NA(),IF(N(G$8)=0,NA(),IF(Inputs!$C$17="Rebased to 100",$G1611/G$8*100,$G1611)))))</f>
        <v/>
      </c>
      <c r="N1611" s="54">
        <f>IF($B1611=0,NA(),IF(Inputs!$C$18&lt;&gt;"Yes",NA(),IF(COUNT(I1611,J1611,K1611,L1611,M1611)=0,NA(),MIN(I1611,J1611,K1611,L1611,M1611))))</f>
        <v/>
      </c>
      <c r="O1611" s="54">
        <f>IF($B1611=0,NA(),IF(Inputs!$B$24&lt;&gt;"Yes",NA(),Inputs!$D$24*Inputs!$C$35))</f>
        <v/>
      </c>
      <c r="P1611" s="54">
        <f>IF($B1611=0,NA(),IF(Inputs!$B$25&lt;&gt;"Yes",NA(),Inputs!$D$25*Inputs!$C$35))</f>
        <v/>
      </c>
      <c r="Q1611" s="54">
        <f>IF($B1611=0,NA(),IF(Inputs!$B$26&lt;&gt;"Yes",NA(),Inputs!$D$26*Inputs!$C$35))</f>
        <v/>
      </c>
      <c r="R1611" s="54">
        <f>IF($B1611=0,NA(),IF(Inputs!$B$27&lt;&gt;"Yes",NA(),Inputs!$D$27*Inputs!$C$35))</f>
        <v/>
      </c>
      <c r="S1611" s="54">
        <f>IF($B1611=0,NA(),IF(Inputs!$B$28&lt;&gt;"Yes",NA(),Inputs!$D$28*Inputs!$C$35))</f>
        <v/>
      </c>
      <c r="T1611" s="54">
        <f>IF($B1611=0,NA(),IF(Inputs!$B$29&lt;&gt;"Yes",NA(),Inputs!$D$29*Inputs!$C$35))</f>
        <v/>
      </c>
      <c r="AD1611">
        <f>IF($B1611=0,0,IF(Inputs!$B$6="",0,COUNTIFS(Data!$A$10:$A$3209,"&gt;="&amp;$A1611,Data!$A$10:$A$3209,"&lt;"&amp;$A1611+1)))</f>
        <v/>
      </c>
      <c r="AE1611">
        <f>IF($B1611=0,0,IF(Inputs!$B$7="",0,COUNTIFS(Data!$E$10:$E$3209,"&gt;="&amp;$A1611,Data!$E$10:$E$3209,"&lt;"&amp;$A1611+1)))</f>
        <v/>
      </c>
      <c r="AF1611">
        <f>IF($B1611=0,0,IF(Inputs!$B$8="",0,COUNTIFS(Data!$I$10:$I$3209,"&gt;="&amp;$A1611,Data!$I$10:$I$3209,"&lt;"&amp;$A1611+1)))</f>
        <v/>
      </c>
      <c r="AG1611">
        <f>IF($B1611=0,0,IF(Inputs!$B$9="",0,COUNTIFS(Data!$M$10:$M$3209,"&gt;="&amp;$A1611,Data!$M$10:$M$3209,"&lt;"&amp;$A1611+1)))</f>
        <v/>
      </c>
      <c r="AH1611">
        <f>IF($B1611=0,0,IF(Inputs!$B$10="",0,COUNTIFS(Data!$Q$10:$Q$3209,"&gt;="&amp;$A1611,Data!$Q$10:$Q$3209,"&lt;"&amp;$A1611+1)))</f>
        <v/>
      </c>
    </row>
    <row r="1612">
      <c r="A1612" s="55">
        <f>MIN(Inputs!$C$15,$A1611+IF(WEEKDAY($A1611,2)=5,3,1))</f>
        <v/>
      </c>
      <c r="B1612">
        <f>IF($A1612&gt;$A1611,1,0)</f>
        <v/>
      </c>
      <c r="C1612" s="56">
        <f>IF($B1612=0,"",IF(Inputs!$B$6="","",IF($AD1612=0,C1611,SUMIFS(Data!$B$10:$B$3209,Data!$A$10:$A$3209,"&gt;="&amp;$A1612,Data!$A$10:$A$3209,"&lt;"&amp;$A1612+1)/$AD1612)))</f>
        <v/>
      </c>
      <c r="D1612" s="56">
        <f>IF($B1612=0,"",IF(Inputs!$B$7="","",IF($AE1612=0,D1611,SUMIFS(Data!$F$10:$F$3209,Data!$E$10:$E$3209,"&gt;="&amp;$A1612,Data!$E$10:$E$3209,"&lt;"&amp;$A1612+1)/$AE1612)))</f>
        <v/>
      </c>
      <c r="E1612" s="56">
        <f>IF($B1612=0,"",IF(Inputs!$B$8="","",IF($AF1612=0,E1611,SUMIFS(Data!$J$10:$J$3209,Data!$I$10:$I$3209,"&gt;="&amp;$A1612,Data!$I$10:$I$3209,"&lt;"&amp;$A1612+1)/$AF1612)))</f>
        <v/>
      </c>
      <c r="F1612" s="56">
        <f>IF($B1612=0,"",IF(Inputs!$B$9="","",IF($AG1612=0,F1611,SUMIFS(Data!$N$10:$N$3209,Data!$M$10:$M$3209,"&gt;="&amp;$A1612,Data!$M$10:$M$3209,"&lt;"&amp;$A1612+1)/$AG1612)))</f>
        <v/>
      </c>
      <c r="G1612" s="56">
        <f>IF($B1612=0,"",IF(Inputs!$B$10="","",IF($AH1612=0,G1611,SUMIFS(Data!$R$10:$R$3209,Data!$Q$10:$Q$3209,"&gt;="&amp;$A1612,Data!$Q$10:$Q$3209,"&lt;"&amp;$A1612+1)/$AH1612)))</f>
        <v/>
      </c>
      <c r="I1612" s="54">
        <f>IF($B1612=0,NA(),IF($C1612="",NA(),IF(C$8="",NA(),IF(N(C$8)=0,NA(),IF(Inputs!$C$17="Rebased to 100",$C1612/C$8*100,$C1612)))))</f>
        <v/>
      </c>
      <c r="J1612" s="54">
        <f>IF($B1612=0,NA(),IF($D1612="",NA(),IF(D$8="",NA(),IF(N(D$8)=0,NA(),IF(Inputs!$C$17="Rebased to 100",$D1612/D$8*100,$D1612)))))</f>
        <v/>
      </c>
      <c r="K1612" s="54">
        <f>IF($B1612=0,NA(),IF($E1612="",NA(),IF(E$8="",NA(),IF(N(E$8)=0,NA(),IF(Inputs!$C$17="Rebased to 100",$E1612/E$8*100,$E1612)))))</f>
        <v/>
      </c>
      <c r="L1612" s="54">
        <f>IF($B1612=0,NA(),IF($F1612="",NA(),IF(F$8="",NA(),IF(N(F$8)=0,NA(),IF(Inputs!$C$17="Rebased to 100",$F1612/F$8*100,$F1612)))))</f>
        <v/>
      </c>
      <c r="M1612" s="54">
        <f>IF($B1612=0,NA(),IF($G1612="",NA(),IF(G$8="",NA(),IF(N(G$8)=0,NA(),IF(Inputs!$C$17="Rebased to 100",$G1612/G$8*100,$G1612)))))</f>
        <v/>
      </c>
      <c r="N1612" s="54">
        <f>IF($B1612=0,NA(),IF(Inputs!$C$18&lt;&gt;"Yes",NA(),IF(COUNT(I1612,J1612,K1612,L1612,M1612)=0,NA(),MIN(I1612,J1612,K1612,L1612,M1612))))</f>
        <v/>
      </c>
      <c r="O1612" s="54">
        <f>IF($B1612=0,NA(),IF(Inputs!$B$24&lt;&gt;"Yes",NA(),Inputs!$D$24*Inputs!$C$35))</f>
        <v/>
      </c>
      <c r="P1612" s="54">
        <f>IF($B1612=0,NA(),IF(Inputs!$B$25&lt;&gt;"Yes",NA(),Inputs!$D$25*Inputs!$C$35))</f>
        <v/>
      </c>
      <c r="Q1612" s="54">
        <f>IF($B1612=0,NA(),IF(Inputs!$B$26&lt;&gt;"Yes",NA(),Inputs!$D$26*Inputs!$C$35))</f>
        <v/>
      </c>
      <c r="R1612" s="54">
        <f>IF($B1612=0,NA(),IF(Inputs!$B$27&lt;&gt;"Yes",NA(),Inputs!$D$27*Inputs!$C$35))</f>
        <v/>
      </c>
      <c r="S1612" s="54">
        <f>IF($B1612=0,NA(),IF(Inputs!$B$28&lt;&gt;"Yes",NA(),Inputs!$D$28*Inputs!$C$35))</f>
        <v/>
      </c>
      <c r="T1612" s="54">
        <f>IF($B1612=0,NA(),IF(Inputs!$B$29&lt;&gt;"Yes",NA(),Inputs!$D$29*Inputs!$C$35))</f>
        <v/>
      </c>
      <c r="AD1612">
        <f>IF($B1612=0,0,IF(Inputs!$B$6="",0,COUNTIFS(Data!$A$10:$A$3209,"&gt;="&amp;$A1612,Data!$A$10:$A$3209,"&lt;"&amp;$A1612+1)))</f>
        <v/>
      </c>
      <c r="AE1612">
        <f>IF($B1612=0,0,IF(Inputs!$B$7="",0,COUNTIFS(Data!$E$10:$E$3209,"&gt;="&amp;$A1612,Data!$E$10:$E$3209,"&lt;"&amp;$A1612+1)))</f>
        <v/>
      </c>
      <c r="AF1612">
        <f>IF($B1612=0,0,IF(Inputs!$B$8="",0,COUNTIFS(Data!$I$10:$I$3209,"&gt;="&amp;$A1612,Data!$I$10:$I$3209,"&lt;"&amp;$A1612+1)))</f>
        <v/>
      </c>
      <c r="AG1612">
        <f>IF($B1612=0,0,IF(Inputs!$B$9="",0,COUNTIFS(Data!$M$10:$M$3209,"&gt;="&amp;$A1612,Data!$M$10:$M$3209,"&lt;"&amp;$A1612+1)))</f>
        <v/>
      </c>
      <c r="AH1612">
        <f>IF($B1612=0,0,IF(Inputs!$B$10="",0,COUNTIFS(Data!$Q$10:$Q$3209,"&gt;="&amp;$A1612,Data!$Q$10:$Q$3209,"&lt;"&amp;$A1612+1)))</f>
        <v/>
      </c>
    </row>
    <row r="1613">
      <c r="A1613" s="55">
        <f>MIN(Inputs!$C$15,$A1612+IF(WEEKDAY($A1612,2)=5,3,1))</f>
        <v/>
      </c>
      <c r="B1613">
        <f>IF($A1613&gt;$A1612,1,0)</f>
        <v/>
      </c>
      <c r="C1613" s="56">
        <f>IF($B1613=0,"",IF(Inputs!$B$6="","",IF($AD1613=0,C1612,SUMIFS(Data!$B$10:$B$3209,Data!$A$10:$A$3209,"&gt;="&amp;$A1613,Data!$A$10:$A$3209,"&lt;"&amp;$A1613+1)/$AD1613)))</f>
        <v/>
      </c>
      <c r="D1613" s="56">
        <f>IF($B1613=0,"",IF(Inputs!$B$7="","",IF($AE1613=0,D1612,SUMIFS(Data!$F$10:$F$3209,Data!$E$10:$E$3209,"&gt;="&amp;$A1613,Data!$E$10:$E$3209,"&lt;"&amp;$A1613+1)/$AE1613)))</f>
        <v/>
      </c>
      <c r="E1613" s="56">
        <f>IF($B1613=0,"",IF(Inputs!$B$8="","",IF($AF1613=0,E1612,SUMIFS(Data!$J$10:$J$3209,Data!$I$10:$I$3209,"&gt;="&amp;$A1613,Data!$I$10:$I$3209,"&lt;"&amp;$A1613+1)/$AF1613)))</f>
        <v/>
      </c>
      <c r="F1613" s="56">
        <f>IF($B1613=0,"",IF(Inputs!$B$9="","",IF($AG1613=0,F1612,SUMIFS(Data!$N$10:$N$3209,Data!$M$10:$M$3209,"&gt;="&amp;$A1613,Data!$M$10:$M$3209,"&lt;"&amp;$A1613+1)/$AG1613)))</f>
        <v/>
      </c>
      <c r="G1613" s="56">
        <f>IF($B1613=0,"",IF(Inputs!$B$10="","",IF($AH1613=0,G1612,SUMIFS(Data!$R$10:$R$3209,Data!$Q$10:$Q$3209,"&gt;="&amp;$A1613,Data!$Q$10:$Q$3209,"&lt;"&amp;$A1613+1)/$AH1613)))</f>
        <v/>
      </c>
      <c r="I1613" s="54">
        <f>IF($B1613=0,NA(),IF($C1613="",NA(),IF(C$8="",NA(),IF(N(C$8)=0,NA(),IF(Inputs!$C$17="Rebased to 100",$C1613/C$8*100,$C1613)))))</f>
        <v/>
      </c>
      <c r="J1613" s="54">
        <f>IF($B1613=0,NA(),IF($D1613="",NA(),IF(D$8="",NA(),IF(N(D$8)=0,NA(),IF(Inputs!$C$17="Rebased to 100",$D1613/D$8*100,$D1613)))))</f>
        <v/>
      </c>
      <c r="K1613" s="54">
        <f>IF($B1613=0,NA(),IF($E1613="",NA(),IF(E$8="",NA(),IF(N(E$8)=0,NA(),IF(Inputs!$C$17="Rebased to 100",$E1613/E$8*100,$E1613)))))</f>
        <v/>
      </c>
      <c r="L1613" s="54">
        <f>IF($B1613=0,NA(),IF($F1613="",NA(),IF(F$8="",NA(),IF(N(F$8)=0,NA(),IF(Inputs!$C$17="Rebased to 100",$F1613/F$8*100,$F1613)))))</f>
        <v/>
      </c>
      <c r="M1613" s="54">
        <f>IF($B1613=0,NA(),IF($G1613="",NA(),IF(G$8="",NA(),IF(N(G$8)=0,NA(),IF(Inputs!$C$17="Rebased to 100",$G1613/G$8*100,$G1613)))))</f>
        <v/>
      </c>
      <c r="N1613" s="54">
        <f>IF($B1613=0,NA(),IF(Inputs!$C$18&lt;&gt;"Yes",NA(),IF(COUNT(I1613,J1613,K1613,L1613,M1613)=0,NA(),MIN(I1613,J1613,K1613,L1613,M1613))))</f>
        <v/>
      </c>
      <c r="O1613" s="54">
        <f>IF($B1613=0,NA(),IF(Inputs!$B$24&lt;&gt;"Yes",NA(),Inputs!$D$24*Inputs!$C$35))</f>
        <v/>
      </c>
      <c r="P1613" s="54">
        <f>IF($B1613=0,NA(),IF(Inputs!$B$25&lt;&gt;"Yes",NA(),Inputs!$D$25*Inputs!$C$35))</f>
        <v/>
      </c>
      <c r="Q1613" s="54">
        <f>IF($B1613=0,NA(),IF(Inputs!$B$26&lt;&gt;"Yes",NA(),Inputs!$D$26*Inputs!$C$35))</f>
        <v/>
      </c>
      <c r="R1613" s="54">
        <f>IF($B1613=0,NA(),IF(Inputs!$B$27&lt;&gt;"Yes",NA(),Inputs!$D$27*Inputs!$C$35))</f>
        <v/>
      </c>
      <c r="S1613" s="54">
        <f>IF($B1613=0,NA(),IF(Inputs!$B$28&lt;&gt;"Yes",NA(),Inputs!$D$28*Inputs!$C$35))</f>
        <v/>
      </c>
      <c r="T1613" s="54">
        <f>IF($B1613=0,NA(),IF(Inputs!$B$29&lt;&gt;"Yes",NA(),Inputs!$D$29*Inputs!$C$35))</f>
        <v/>
      </c>
      <c r="AD1613">
        <f>IF($B1613=0,0,IF(Inputs!$B$6="",0,COUNTIFS(Data!$A$10:$A$3209,"&gt;="&amp;$A1613,Data!$A$10:$A$3209,"&lt;"&amp;$A1613+1)))</f>
        <v/>
      </c>
      <c r="AE1613">
        <f>IF($B1613=0,0,IF(Inputs!$B$7="",0,COUNTIFS(Data!$E$10:$E$3209,"&gt;="&amp;$A1613,Data!$E$10:$E$3209,"&lt;"&amp;$A1613+1)))</f>
        <v/>
      </c>
      <c r="AF1613">
        <f>IF($B1613=0,0,IF(Inputs!$B$8="",0,COUNTIFS(Data!$I$10:$I$3209,"&gt;="&amp;$A1613,Data!$I$10:$I$3209,"&lt;"&amp;$A1613+1)))</f>
        <v/>
      </c>
      <c r="AG1613">
        <f>IF($B1613=0,0,IF(Inputs!$B$9="",0,COUNTIFS(Data!$M$10:$M$3209,"&gt;="&amp;$A1613,Data!$M$10:$M$3209,"&lt;"&amp;$A1613+1)))</f>
        <v/>
      </c>
      <c r="AH1613">
        <f>IF($B1613=0,0,IF(Inputs!$B$10="",0,COUNTIFS(Data!$Q$10:$Q$3209,"&gt;="&amp;$A1613,Data!$Q$10:$Q$3209,"&lt;"&amp;$A1613+1)))</f>
        <v/>
      </c>
    </row>
    <row r="1614">
      <c r="A1614" s="55">
        <f>MIN(Inputs!$C$15,$A1613+IF(WEEKDAY($A1613,2)=5,3,1))</f>
        <v/>
      </c>
      <c r="B1614">
        <f>IF($A1614&gt;$A1613,1,0)</f>
        <v/>
      </c>
      <c r="C1614" s="56">
        <f>IF($B1614=0,"",IF(Inputs!$B$6="","",IF($AD1614=0,C1613,SUMIFS(Data!$B$10:$B$3209,Data!$A$10:$A$3209,"&gt;="&amp;$A1614,Data!$A$10:$A$3209,"&lt;"&amp;$A1614+1)/$AD1614)))</f>
        <v/>
      </c>
      <c r="D1614" s="56">
        <f>IF($B1614=0,"",IF(Inputs!$B$7="","",IF($AE1614=0,D1613,SUMIFS(Data!$F$10:$F$3209,Data!$E$10:$E$3209,"&gt;="&amp;$A1614,Data!$E$10:$E$3209,"&lt;"&amp;$A1614+1)/$AE1614)))</f>
        <v/>
      </c>
      <c r="E1614" s="56">
        <f>IF($B1614=0,"",IF(Inputs!$B$8="","",IF($AF1614=0,E1613,SUMIFS(Data!$J$10:$J$3209,Data!$I$10:$I$3209,"&gt;="&amp;$A1614,Data!$I$10:$I$3209,"&lt;"&amp;$A1614+1)/$AF1614)))</f>
        <v/>
      </c>
      <c r="F1614" s="56">
        <f>IF($B1614=0,"",IF(Inputs!$B$9="","",IF($AG1614=0,F1613,SUMIFS(Data!$N$10:$N$3209,Data!$M$10:$M$3209,"&gt;="&amp;$A1614,Data!$M$10:$M$3209,"&lt;"&amp;$A1614+1)/$AG1614)))</f>
        <v/>
      </c>
      <c r="G1614" s="56">
        <f>IF($B1614=0,"",IF(Inputs!$B$10="","",IF($AH1614=0,G1613,SUMIFS(Data!$R$10:$R$3209,Data!$Q$10:$Q$3209,"&gt;="&amp;$A1614,Data!$Q$10:$Q$3209,"&lt;"&amp;$A1614+1)/$AH1614)))</f>
        <v/>
      </c>
      <c r="I1614" s="54">
        <f>IF($B1614=0,NA(),IF($C1614="",NA(),IF(C$8="",NA(),IF(N(C$8)=0,NA(),IF(Inputs!$C$17="Rebased to 100",$C1614/C$8*100,$C1614)))))</f>
        <v/>
      </c>
      <c r="J1614" s="54">
        <f>IF($B1614=0,NA(),IF($D1614="",NA(),IF(D$8="",NA(),IF(N(D$8)=0,NA(),IF(Inputs!$C$17="Rebased to 100",$D1614/D$8*100,$D1614)))))</f>
        <v/>
      </c>
      <c r="K1614" s="54">
        <f>IF($B1614=0,NA(),IF($E1614="",NA(),IF(E$8="",NA(),IF(N(E$8)=0,NA(),IF(Inputs!$C$17="Rebased to 100",$E1614/E$8*100,$E1614)))))</f>
        <v/>
      </c>
      <c r="L1614" s="54">
        <f>IF($B1614=0,NA(),IF($F1614="",NA(),IF(F$8="",NA(),IF(N(F$8)=0,NA(),IF(Inputs!$C$17="Rebased to 100",$F1614/F$8*100,$F1614)))))</f>
        <v/>
      </c>
      <c r="M1614" s="54">
        <f>IF($B1614=0,NA(),IF($G1614="",NA(),IF(G$8="",NA(),IF(N(G$8)=0,NA(),IF(Inputs!$C$17="Rebased to 100",$G1614/G$8*100,$G1614)))))</f>
        <v/>
      </c>
      <c r="N1614" s="54">
        <f>IF($B1614=0,NA(),IF(Inputs!$C$18&lt;&gt;"Yes",NA(),IF(COUNT(I1614,J1614,K1614,L1614,M1614)=0,NA(),MIN(I1614,J1614,K1614,L1614,M1614))))</f>
        <v/>
      </c>
      <c r="O1614" s="54">
        <f>IF($B1614=0,NA(),IF(Inputs!$B$24&lt;&gt;"Yes",NA(),Inputs!$D$24*Inputs!$C$35))</f>
        <v/>
      </c>
      <c r="P1614" s="54">
        <f>IF($B1614=0,NA(),IF(Inputs!$B$25&lt;&gt;"Yes",NA(),Inputs!$D$25*Inputs!$C$35))</f>
        <v/>
      </c>
      <c r="Q1614" s="54">
        <f>IF($B1614=0,NA(),IF(Inputs!$B$26&lt;&gt;"Yes",NA(),Inputs!$D$26*Inputs!$C$35))</f>
        <v/>
      </c>
      <c r="R1614" s="54">
        <f>IF($B1614=0,NA(),IF(Inputs!$B$27&lt;&gt;"Yes",NA(),Inputs!$D$27*Inputs!$C$35))</f>
        <v/>
      </c>
      <c r="S1614" s="54">
        <f>IF($B1614=0,NA(),IF(Inputs!$B$28&lt;&gt;"Yes",NA(),Inputs!$D$28*Inputs!$C$35))</f>
        <v/>
      </c>
      <c r="T1614" s="54">
        <f>IF($B1614=0,NA(),IF(Inputs!$B$29&lt;&gt;"Yes",NA(),Inputs!$D$29*Inputs!$C$35))</f>
        <v/>
      </c>
      <c r="AD1614">
        <f>IF($B1614=0,0,IF(Inputs!$B$6="",0,COUNTIFS(Data!$A$10:$A$3209,"&gt;="&amp;$A1614,Data!$A$10:$A$3209,"&lt;"&amp;$A1614+1)))</f>
        <v/>
      </c>
      <c r="AE1614">
        <f>IF($B1614=0,0,IF(Inputs!$B$7="",0,COUNTIFS(Data!$E$10:$E$3209,"&gt;="&amp;$A1614,Data!$E$10:$E$3209,"&lt;"&amp;$A1614+1)))</f>
        <v/>
      </c>
      <c r="AF1614">
        <f>IF($B1614=0,0,IF(Inputs!$B$8="",0,COUNTIFS(Data!$I$10:$I$3209,"&gt;="&amp;$A1614,Data!$I$10:$I$3209,"&lt;"&amp;$A1614+1)))</f>
        <v/>
      </c>
      <c r="AG1614">
        <f>IF($B1614=0,0,IF(Inputs!$B$9="",0,COUNTIFS(Data!$M$10:$M$3209,"&gt;="&amp;$A1614,Data!$M$10:$M$3209,"&lt;"&amp;$A1614+1)))</f>
        <v/>
      </c>
      <c r="AH1614">
        <f>IF($B1614=0,0,IF(Inputs!$B$10="",0,COUNTIFS(Data!$Q$10:$Q$3209,"&gt;="&amp;$A1614,Data!$Q$10:$Q$3209,"&lt;"&amp;$A1614+1)))</f>
        <v/>
      </c>
    </row>
    <row r="1615">
      <c r="A1615" s="55">
        <f>MIN(Inputs!$C$15,$A1614+IF(WEEKDAY($A1614,2)=5,3,1))</f>
        <v/>
      </c>
      <c r="B1615">
        <f>IF($A1615&gt;$A1614,1,0)</f>
        <v/>
      </c>
      <c r="C1615" s="56">
        <f>IF($B1615=0,"",IF(Inputs!$B$6="","",IF($AD1615=0,C1614,SUMIFS(Data!$B$10:$B$3209,Data!$A$10:$A$3209,"&gt;="&amp;$A1615,Data!$A$10:$A$3209,"&lt;"&amp;$A1615+1)/$AD1615)))</f>
        <v/>
      </c>
      <c r="D1615" s="56">
        <f>IF($B1615=0,"",IF(Inputs!$B$7="","",IF($AE1615=0,D1614,SUMIFS(Data!$F$10:$F$3209,Data!$E$10:$E$3209,"&gt;="&amp;$A1615,Data!$E$10:$E$3209,"&lt;"&amp;$A1615+1)/$AE1615)))</f>
        <v/>
      </c>
      <c r="E1615" s="56">
        <f>IF($B1615=0,"",IF(Inputs!$B$8="","",IF($AF1615=0,E1614,SUMIFS(Data!$J$10:$J$3209,Data!$I$10:$I$3209,"&gt;="&amp;$A1615,Data!$I$10:$I$3209,"&lt;"&amp;$A1615+1)/$AF1615)))</f>
        <v/>
      </c>
      <c r="F1615" s="56">
        <f>IF($B1615=0,"",IF(Inputs!$B$9="","",IF($AG1615=0,F1614,SUMIFS(Data!$N$10:$N$3209,Data!$M$10:$M$3209,"&gt;="&amp;$A1615,Data!$M$10:$M$3209,"&lt;"&amp;$A1615+1)/$AG1615)))</f>
        <v/>
      </c>
      <c r="G1615" s="56">
        <f>IF($B1615=0,"",IF(Inputs!$B$10="","",IF($AH1615=0,G1614,SUMIFS(Data!$R$10:$R$3209,Data!$Q$10:$Q$3209,"&gt;="&amp;$A1615,Data!$Q$10:$Q$3209,"&lt;"&amp;$A1615+1)/$AH1615)))</f>
        <v/>
      </c>
      <c r="I1615" s="54">
        <f>IF($B1615=0,NA(),IF($C1615="",NA(),IF(C$8="",NA(),IF(N(C$8)=0,NA(),IF(Inputs!$C$17="Rebased to 100",$C1615/C$8*100,$C1615)))))</f>
        <v/>
      </c>
      <c r="J1615" s="54">
        <f>IF($B1615=0,NA(),IF($D1615="",NA(),IF(D$8="",NA(),IF(N(D$8)=0,NA(),IF(Inputs!$C$17="Rebased to 100",$D1615/D$8*100,$D1615)))))</f>
        <v/>
      </c>
      <c r="K1615" s="54">
        <f>IF($B1615=0,NA(),IF($E1615="",NA(),IF(E$8="",NA(),IF(N(E$8)=0,NA(),IF(Inputs!$C$17="Rebased to 100",$E1615/E$8*100,$E1615)))))</f>
        <v/>
      </c>
      <c r="L1615" s="54">
        <f>IF($B1615=0,NA(),IF($F1615="",NA(),IF(F$8="",NA(),IF(N(F$8)=0,NA(),IF(Inputs!$C$17="Rebased to 100",$F1615/F$8*100,$F1615)))))</f>
        <v/>
      </c>
      <c r="M1615" s="54">
        <f>IF($B1615=0,NA(),IF($G1615="",NA(),IF(G$8="",NA(),IF(N(G$8)=0,NA(),IF(Inputs!$C$17="Rebased to 100",$G1615/G$8*100,$G1615)))))</f>
        <v/>
      </c>
      <c r="N1615" s="54">
        <f>IF($B1615=0,NA(),IF(Inputs!$C$18&lt;&gt;"Yes",NA(),IF(COUNT(I1615,J1615,K1615,L1615,M1615)=0,NA(),MIN(I1615,J1615,K1615,L1615,M1615))))</f>
        <v/>
      </c>
      <c r="O1615" s="54">
        <f>IF($B1615=0,NA(),IF(Inputs!$B$24&lt;&gt;"Yes",NA(),Inputs!$D$24*Inputs!$C$35))</f>
        <v/>
      </c>
      <c r="P1615" s="54">
        <f>IF($B1615=0,NA(),IF(Inputs!$B$25&lt;&gt;"Yes",NA(),Inputs!$D$25*Inputs!$C$35))</f>
        <v/>
      </c>
      <c r="Q1615" s="54">
        <f>IF($B1615=0,NA(),IF(Inputs!$B$26&lt;&gt;"Yes",NA(),Inputs!$D$26*Inputs!$C$35))</f>
        <v/>
      </c>
      <c r="R1615" s="54">
        <f>IF($B1615=0,NA(),IF(Inputs!$B$27&lt;&gt;"Yes",NA(),Inputs!$D$27*Inputs!$C$35))</f>
        <v/>
      </c>
      <c r="S1615" s="54">
        <f>IF($B1615=0,NA(),IF(Inputs!$B$28&lt;&gt;"Yes",NA(),Inputs!$D$28*Inputs!$C$35))</f>
        <v/>
      </c>
      <c r="T1615" s="54">
        <f>IF($B1615=0,NA(),IF(Inputs!$B$29&lt;&gt;"Yes",NA(),Inputs!$D$29*Inputs!$C$35))</f>
        <v/>
      </c>
      <c r="AD1615">
        <f>IF($B1615=0,0,IF(Inputs!$B$6="",0,COUNTIFS(Data!$A$10:$A$3209,"&gt;="&amp;$A1615,Data!$A$10:$A$3209,"&lt;"&amp;$A1615+1)))</f>
        <v/>
      </c>
      <c r="AE1615">
        <f>IF($B1615=0,0,IF(Inputs!$B$7="",0,COUNTIFS(Data!$E$10:$E$3209,"&gt;="&amp;$A1615,Data!$E$10:$E$3209,"&lt;"&amp;$A1615+1)))</f>
        <v/>
      </c>
      <c r="AF1615">
        <f>IF($B1615=0,0,IF(Inputs!$B$8="",0,COUNTIFS(Data!$I$10:$I$3209,"&gt;="&amp;$A1615,Data!$I$10:$I$3209,"&lt;"&amp;$A1615+1)))</f>
        <v/>
      </c>
      <c r="AG1615">
        <f>IF($B1615=0,0,IF(Inputs!$B$9="",0,COUNTIFS(Data!$M$10:$M$3209,"&gt;="&amp;$A1615,Data!$M$10:$M$3209,"&lt;"&amp;$A1615+1)))</f>
        <v/>
      </c>
      <c r="AH1615">
        <f>IF($B1615=0,0,IF(Inputs!$B$10="",0,COUNTIFS(Data!$Q$10:$Q$3209,"&gt;="&amp;$A1615,Data!$Q$10:$Q$3209,"&lt;"&amp;$A1615+1)))</f>
        <v/>
      </c>
    </row>
    <row r="1616">
      <c r="A1616" s="55">
        <f>MIN(Inputs!$C$15,$A1615+IF(WEEKDAY($A1615,2)=5,3,1))</f>
        <v/>
      </c>
      <c r="B1616">
        <f>IF($A1616&gt;$A1615,1,0)</f>
        <v/>
      </c>
      <c r="C1616" s="56">
        <f>IF($B1616=0,"",IF(Inputs!$B$6="","",IF($AD1616=0,C1615,SUMIFS(Data!$B$10:$B$3209,Data!$A$10:$A$3209,"&gt;="&amp;$A1616,Data!$A$10:$A$3209,"&lt;"&amp;$A1616+1)/$AD1616)))</f>
        <v/>
      </c>
      <c r="D1616" s="56">
        <f>IF($B1616=0,"",IF(Inputs!$B$7="","",IF($AE1616=0,D1615,SUMIFS(Data!$F$10:$F$3209,Data!$E$10:$E$3209,"&gt;="&amp;$A1616,Data!$E$10:$E$3209,"&lt;"&amp;$A1616+1)/$AE1616)))</f>
        <v/>
      </c>
      <c r="E1616" s="56">
        <f>IF($B1616=0,"",IF(Inputs!$B$8="","",IF($AF1616=0,E1615,SUMIFS(Data!$J$10:$J$3209,Data!$I$10:$I$3209,"&gt;="&amp;$A1616,Data!$I$10:$I$3209,"&lt;"&amp;$A1616+1)/$AF1616)))</f>
        <v/>
      </c>
      <c r="F1616" s="56">
        <f>IF($B1616=0,"",IF(Inputs!$B$9="","",IF($AG1616=0,F1615,SUMIFS(Data!$N$10:$N$3209,Data!$M$10:$M$3209,"&gt;="&amp;$A1616,Data!$M$10:$M$3209,"&lt;"&amp;$A1616+1)/$AG1616)))</f>
        <v/>
      </c>
      <c r="G1616" s="56">
        <f>IF($B1616=0,"",IF(Inputs!$B$10="","",IF($AH1616=0,G1615,SUMIFS(Data!$R$10:$R$3209,Data!$Q$10:$Q$3209,"&gt;="&amp;$A1616,Data!$Q$10:$Q$3209,"&lt;"&amp;$A1616+1)/$AH1616)))</f>
        <v/>
      </c>
      <c r="I1616" s="54">
        <f>IF($B1616=0,NA(),IF($C1616="",NA(),IF(C$8="",NA(),IF(N(C$8)=0,NA(),IF(Inputs!$C$17="Rebased to 100",$C1616/C$8*100,$C1616)))))</f>
        <v/>
      </c>
      <c r="J1616" s="54">
        <f>IF($B1616=0,NA(),IF($D1616="",NA(),IF(D$8="",NA(),IF(N(D$8)=0,NA(),IF(Inputs!$C$17="Rebased to 100",$D1616/D$8*100,$D1616)))))</f>
        <v/>
      </c>
      <c r="K1616" s="54">
        <f>IF($B1616=0,NA(),IF($E1616="",NA(),IF(E$8="",NA(),IF(N(E$8)=0,NA(),IF(Inputs!$C$17="Rebased to 100",$E1616/E$8*100,$E1616)))))</f>
        <v/>
      </c>
      <c r="L1616" s="54">
        <f>IF($B1616=0,NA(),IF($F1616="",NA(),IF(F$8="",NA(),IF(N(F$8)=0,NA(),IF(Inputs!$C$17="Rebased to 100",$F1616/F$8*100,$F1616)))))</f>
        <v/>
      </c>
      <c r="M1616" s="54">
        <f>IF($B1616=0,NA(),IF($G1616="",NA(),IF(G$8="",NA(),IF(N(G$8)=0,NA(),IF(Inputs!$C$17="Rebased to 100",$G1616/G$8*100,$G1616)))))</f>
        <v/>
      </c>
      <c r="N1616" s="54">
        <f>IF($B1616=0,NA(),IF(Inputs!$C$18&lt;&gt;"Yes",NA(),IF(COUNT(I1616,J1616,K1616,L1616,M1616)=0,NA(),MIN(I1616,J1616,K1616,L1616,M1616))))</f>
        <v/>
      </c>
      <c r="O1616" s="54">
        <f>IF($B1616=0,NA(),IF(Inputs!$B$24&lt;&gt;"Yes",NA(),Inputs!$D$24*Inputs!$C$35))</f>
        <v/>
      </c>
      <c r="P1616" s="54">
        <f>IF($B1616=0,NA(),IF(Inputs!$B$25&lt;&gt;"Yes",NA(),Inputs!$D$25*Inputs!$C$35))</f>
        <v/>
      </c>
      <c r="Q1616" s="54">
        <f>IF($B1616=0,NA(),IF(Inputs!$B$26&lt;&gt;"Yes",NA(),Inputs!$D$26*Inputs!$C$35))</f>
        <v/>
      </c>
      <c r="R1616" s="54">
        <f>IF($B1616=0,NA(),IF(Inputs!$B$27&lt;&gt;"Yes",NA(),Inputs!$D$27*Inputs!$C$35))</f>
        <v/>
      </c>
      <c r="S1616" s="54">
        <f>IF($B1616=0,NA(),IF(Inputs!$B$28&lt;&gt;"Yes",NA(),Inputs!$D$28*Inputs!$C$35))</f>
        <v/>
      </c>
      <c r="T1616" s="54">
        <f>IF($B1616=0,NA(),IF(Inputs!$B$29&lt;&gt;"Yes",NA(),Inputs!$D$29*Inputs!$C$35))</f>
        <v/>
      </c>
      <c r="AD1616">
        <f>IF($B1616=0,0,IF(Inputs!$B$6="",0,COUNTIFS(Data!$A$10:$A$3209,"&gt;="&amp;$A1616,Data!$A$10:$A$3209,"&lt;"&amp;$A1616+1)))</f>
        <v/>
      </c>
      <c r="AE1616">
        <f>IF($B1616=0,0,IF(Inputs!$B$7="",0,COUNTIFS(Data!$E$10:$E$3209,"&gt;="&amp;$A1616,Data!$E$10:$E$3209,"&lt;"&amp;$A1616+1)))</f>
        <v/>
      </c>
      <c r="AF1616">
        <f>IF($B1616=0,0,IF(Inputs!$B$8="",0,COUNTIFS(Data!$I$10:$I$3209,"&gt;="&amp;$A1616,Data!$I$10:$I$3209,"&lt;"&amp;$A1616+1)))</f>
        <v/>
      </c>
      <c r="AG1616">
        <f>IF($B1616=0,0,IF(Inputs!$B$9="",0,COUNTIFS(Data!$M$10:$M$3209,"&gt;="&amp;$A1616,Data!$M$10:$M$3209,"&lt;"&amp;$A1616+1)))</f>
        <v/>
      </c>
      <c r="AH1616">
        <f>IF($B1616=0,0,IF(Inputs!$B$10="",0,COUNTIFS(Data!$Q$10:$Q$3209,"&gt;="&amp;$A1616,Data!$Q$10:$Q$3209,"&lt;"&amp;$A1616+1)))</f>
        <v/>
      </c>
    </row>
    <row r="1617">
      <c r="A1617" s="55">
        <f>MIN(Inputs!$C$15,$A1616+IF(WEEKDAY($A1616,2)=5,3,1))</f>
        <v/>
      </c>
      <c r="B1617">
        <f>IF($A1617&gt;$A1616,1,0)</f>
        <v/>
      </c>
      <c r="C1617" s="56">
        <f>IF($B1617=0,"",IF(Inputs!$B$6="","",IF($AD1617=0,C1616,SUMIFS(Data!$B$10:$B$3209,Data!$A$10:$A$3209,"&gt;="&amp;$A1617,Data!$A$10:$A$3209,"&lt;"&amp;$A1617+1)/$AD1617)))</f>
        <v/>
      </c>
      <c r="D1617" s="56">
        <f>IF($B1617=0,"",IF(Inputs!$B$7="","",IF($AE1617=0,D1616,SUMIFS(Data!$F$10:$F$3209,Data!$E$10:$E$3209,"&gt;="&amp;$A1617,Data!$E$10:$E$3209,"&lt;"&amp;$A1617+1)/$AE1617)))</f>
        <v/>
      </c>
      <c r="E1617" s="56">
        <f>IF($B1617=0,"",IF(Inputs!$B$8="","",IF($AF1617=0,E1616,SUMIFS(Data!$J$10:$J$3209,Data!$I$10:$I$3209,"&gt;="&amp;$A1617,Data!$I$10:$I$3209,"&lt;"&amp;$A1617+1)/$AF1617)))</f>
        <v/>
      </c>
      <c r="F1617" s="56">
        <f>IF($B1617=0,"",IF(Inputs!$B$9="","",IF($AG1617=0,F1616,SUMIFS(Data!$N$10:$N$3209,Data!$M$10:$M$3209,"&gt;="&amp;$A1617,Data!$M$10:$M$3209,"&lt;"&amp;$A1617+1)/$AG1617)))</f>
        <v/>
      </c>
      <c r="G1617" s="56">
        <f>IF($B1617=0,"",IF(Inputs!$B$10="","",IF($AH1617=0,G1616,SUMIFS(Data!$R$10:$R$3209,Data!$Q$10:$Q$3209,"&gt;="&amp;$A1617,Data!$Q$10:$Q$3209,"&lt;"&amp;$A1617+1)/$AH1617)))</f>
        <v/>
      </c>
      <c r="I1617" s="54">
        <f>IF($B1617=0,NA(),IF($C1617="",NA(),IF(C$8="",NA(),IF(N(C$8)=0,NA(),IF(Inputs!$C$17="Rebased to 100",$C1617/C$8*100,$C1617)))))</f>
        <v/>
      </c>
      <c r="J1617" s="54">
        <f>IF($B1617=0,NA(),IF($D1617="",NA(),IF(D$8="",NA(),IF(N(D$8)=0,NA(),IF(Inputs!$C$17="Rebased to 100",$D1617/D$8*100,$D1617)))))</f>
        <v/>
      </c>
      <c r="K1617" s="54">
        <f>IF($B1617=0,NA(),IF($E1617="",NA(),IF(E$8="",NA(),IF(N(E$8)=0,NA(),IF(Inputs!$C$17="Rebased to 100",$E1617/E$8*100,$E1617)))))</f>
        <v/>
      </c>
      <c r="L1617" s="54">
        <f>IF($B1617=0,NA(),IF($F1617="",NA(),IF(F$8="",NA(),IF(N(F$8)=0,NA(),IF(Inputs!$C$17="Rebased to 100",$F1617/F$8*100,$F1617)))))</f>
        <v/>
      </c>
      <c r="M1617" s="54">
        <f>IF($B1617=0,NA(),IF($G1617="",NA(),IF(G$8="",NA(),IF(N(G$8)=0,NA(),IF(Inputs!$C$17="Rebased to 100",$G1617/G$8*100,$G1617)))))</f>
        <v/>
      </c>
      <c r="N1617" s="54">
        <f>IF($B1617=0,NA(),IF(Inputs!$C$18&lt;&gt;"Yes",NA(),IF(COUNT(I1617,J1617,K1617,L1617,M1617)=0,NA(),MIN(I1617,J1617,K1617,L1617,M1617))))</f>
        <v/>
      </c>
      <c r="O1617" s="54">
        <f>IF($B1617=0,NA(),IF(Inputs!$B$24&lt;&gt;"Yes",NA(),Inputs!$D$24*Inputs!$C$35))</f>
        <v/>
      </c>
      <c r="P1617" s="54">
        <f>IF($B1617=0,NA(),IF(Inputs!$B$25&lt;&gt;"Yes",NA(),Inputs!$D$25*Inputs!$C$35))</f>
        <v/>
      </c>
      <c r="Q1617" s="54">
        <f>IF($B1617=0,NA(),IF(Inputs!$B$26&lt;&gt;"Yes",NA(),Inputs!$D$26*Inputs!$C$35))</f>
        <v/>
      </c>
      <c r="R1617" s="54">
        <f>IF($B1617=0,NA(),IF(Inputs!$B$27&lt;&gt;"Yes",NA(),Inputs!$D$27*Inputs!$C$35))</f>
        <v/>
      </c>
      <c r="S1617" s="54">
        <f>IF($B1617=0,NA(),IF(Inputs!$B$28&lt;&gt;"Yes",NA(),Inputs!$D$28*Inputs!$C$35))</f>
        <v/>
      </c>
      <c r="T1617" s="54">
        <f>IF($B1617=0,NA(),IF(Inputs!$B$29&lt;&gt;"Yes",NA(),Inputs!$D$29*Inputs!$C$35))</f>
        <v/>
      </c>
      <c r="AD1617">
        <f>IF($B1617=0,0,IF(Inputs!$B$6="",0,COUNTIFS(Data!$A$10:$A$3209,"&gt;="&amp;$A1617,Data!$A$10:$A$3209,"&lt;"&amp;$A1617+1)))</f>
        <v/>
      </c>
      <c r="AE1617">
        <f>IF($B1617=0,0,IF(Inputs!$B$7="",0,COUNTIFS(Data!$E$10:$E$3209,"&gt;="&amp;$A1617,Data!$E$10:$E$3209,"&lt;"&amp;$A1617+1)))</f>
        <v/>
      </c>
      <c r="AF1617">
        <f>IF($B1617=0,0,IF(Inputs!$B$8="",0,COUNTIFS(Data!$I$10:$I$3209,"&gt;="&amp;$A1617,Data!$I$10:$I$3209,"&lt;"&amp;$A1617+1)))</f>
        <v/>
      </c>
      <c r="AG1617">
        <f>IF($B1617=0,0,IF(Inputs!$B$9="",0,COUNTIFS(Data!$M$10:$M$3209,"&gt;="&amp;$A1617,Data!$M$10:$M$3209,"&lt;"&amp;$A1617+1)))</f>
        <v/>
      </c>
      <c r="AH1617">
        <f>IF($B1617=0,0,IF(Inputs!$B$10="",0,COUNTIFS(Data!$Q$10:$Q$3209,"&gt;="&amp;$A1617,Data!$Q$10:$Q$3209,"&lt;"&amp;$A1617+1)))</f>
        <v/>
      </c>
    </row>
    <row r="1618">
      <c r="A1618" s="55">
        <f>MIN(Inputs!$C$15,$A1617+IF(WEEKDAY($A1617,2)=5,3,1))</f>
        <v/>
      </c>
      <c r="B1618">
        <f>IF($A1618&gt;$A1617,1,0)</f>
        <v/>
      </c>
      <c r="C1618" s="56">
        <f>IF($B1618=0,"",IF(Inputs!$B$6="","",IF($AD1618=0,C1617,SUMIFS(Data!$B$10:$B$3209,Data!$A$10:$A$3209,"&gt;="&amp;$A1618,Data!$A$10:$A$3209,"&lt;"&amp;$A1618+1)/$AD1618)))</f>
        <v/>
      </c>
      <c r="D1618" s="56">
        <f>IF($B1618=0,"",IF(Inputs!$B$7="","",IF($AE1618=0,D1617,SUMIFS(Data!$F$10:$F$3209,Data!$E$10:$E$3209,"&gt;="&amp;$A1618,Data!$E$10:$E$3209,"&lt;"&amp;$A1618+1)/$AE1618)))</f>
        <v/>
      </c>
      <c r="E1618" s="56">
        <f>IF($B1618=0,"",IF(Inputs!$B$8="","",IF($AF1618=0,E1617,SUMIFS(Data!$J$10:$J$3209,Data!$I$10:$I$3209,"&gt;="&amp;$A1618,Data!$I$10:$I$3209,"&lt;"&amp;$A1618+1)/$AF1618)))</f>
        <v/>
      </c>
      <c r="F1618" s="56">
        <f>IF($B1618=0,"",IF(Inputs!$B$9="","",IF($AG1618=0,F1617,SUMIFS(Data!$N$10:$N$3209,Data!$M$10:$M$3209,"&gt;="&amp;$A1618,Data!$M$10:$M$3209,"&lt;"&amp;$A1618+1)/$AG1618)))</f>
        <v/>
      </c>
      <c r="G1618" s="56">
        <f>IF($B1618=0,"",IF(Inputs!$B$10="","",IF($AH1618=0,G1617,SUMIFS(Data!$R$10:$R$3209,Data!$Q$10:$Q$3209,"&gt;="&amp;$A1618,Data!$Q$10:$Q$3209,"&lt;"&amp;$A1618+1)/$AH1618)))</f>
        <v/>
      </c>
      <c r="I1618" s="54">
        <f>IF($B1618=0,NA(),IF($C1618="",NA(),IF(C$8="",NA(),IF(N(C$8)=0,NA(),IF(Inputs!$C$17="Rebased to 100",$C1618/C$8*100,$C1618)))))</f>
        <v/>
      </c>
      <c r="J1618" s="54">
        <f>IF($B1618=0,NA(),IF($D1618="",NA(),IF(D$8="",NA(),IF(N(D$8)=0,NA(),IF(Inputs!$C$17="Rebased to 100",$D1618/D$8*100,$D1618)))))</f>
        <v/>
      </c>
      <c r="K1618" s="54">
        <f>IF($B1618=0,NA(),IF($E1618="",NA(),IF(E$8="",NA(),IF(N(E$8)=0,NA(),IF(Inputs!$C$17="Rebased to 100",$E1618/E$8*100,$E1618)))))</f>
        <v/>
      </c>
      <c r="L1618" s="54">
        <f>IF($B1618=0,NA(),IF($F1618="",NA(),IF(F$8="",NA(),IF(N(F$8)=0,NA(),IF(Inputs!$C$17="Rebased to 100",$F1618/F$8*100,$F1618)))))</f>
        <v/>
      </c>
      <c r="M1618" s="54">
        <f>IF($B1618=0,NA(),IF($G1618="",NA(),IF(G$8="",NA(),IF(N(G$8)=0,NA(),IF(Inputs!$C$17="Rebased to 100",$G1618/G$8*100,$G1618)))))</f>
        <v/>
      </c>
      <c r="N1618" s="54">
        <f>IF($B1618=0,NA(),IF(Inputs!$C$18&lt;&gt;"Yes",NA(),IF(COUNT(I1618,J1618,K1618,L1618,M1618)=0,NA(),MIN(I1618,J1618,K1618,L1618,M1618))))</f>
        <v/>
      </c>
      <c r="O1618" s="54">
        <f>IF($B1618=0,NA(),IF(Inputs!$B$24&lt;&gt;"Yes",NA(),Inputs!$D$24*Inputs!$C$35))</f>
        <v/>
      </c>
      <c r="P1618" s="54">
        <f>IF($B1618=0,NA(),IF(Inputs!$B$25&lt;&gt;"Yes",NA(),Inputs!$D$25*Inputs!$C$35))</f>
        <v/>
      </c>
      <c r="Q1618" s="54">
        <f>IF($B1618=0,NA(),IF(Inputs!$B$26&lt;&gt;"Yes",NA(),Inputs!$D$26*Inputs!$C$35))</f>
        <v/>
      </c>
      <c r="R1618" s="54">
        <f>IF($B1618=0,NA(),IF(Inputs!$B$27&lt;&gt;"Yes",NA(),Inputs!$D$27*Inputs!$C$35))</f>
        <v/>
      </c>
      <c r="S1618" s="54">
        <f>IF($B1618=0,NA(),IF(Inputs!$B$28&lt;&gt;"Yes",NA(),Inputs!$D$28*Inputs!$C$35))</f>
        <v/>
      </c>
      <c r="T1618" s="54">
        <f>IF($B1618=0,NA(),IF(Inputs!$B$29&lt;&gt;"Yes",NA(),Inputs!$D$29*Inputs!$C$35))</f>
        <v/>
      </c>
      <c r="AD1618">
        <f>IF($B1618=0,0,IF(Inputs!$B$6="",0,COUNTIFS(Data!$A$10:$A$3209,"&gt;="&amp;$A1618,Data!$A$10:$A$3209,"&lt;"&amp;$A1618+1)))</f>
        <v/>
      </c>
      <c r="AE1618">
        <f>IF($B1618=0,0,IF(Inputs!$B$7="",0,COUNTIFS(Data!$E$10:$E$3209,"&gt;="&amp;$A1618,Data!$E$10:$E$3209,"&lt;"&amp;$A1618+1)))</f>
        <v/>
      </c>
      <c r="AF1618">
        <f>IF($B1618=0,0,IF(Inputs!$B$8="",0,COUNTIFS(Data!$I$10:$I$3209,"&gt;="&amp;$A1618,Data!$I$10:$I$3209,"&lt;"&amp;$A1618+1)))</f>
        <v/>
      </c>
      <c r="AG1618">
        <f>IF($B1618=0,0,IF(Inputs!$B$9="",0,COUNTIFS(Data!$M$10:$M$3209,"&gt;="&amp;$A1618,Data!$M$10:$M$3209,"&lt;"&amp;$A1618+1)))</f>
        <v/>
      </c>
      <c r="AH1618">
        <f>IF($B1618=0,0,IF(Inputs!$B$10="",0,COUNTIFS(Data!$Q$10:$Q$3209,"&gt;="&amp;$A1618,Data!$Q$10:$Q$3209,"&lt;"&amp;$A1618+1)))</f>
        <v/>
      </c>
    </row>
    <row r="1619">
      <c r="A1619" s="55">
        <f>MIN(Inputs!$C$15,$A1618+IF(WEEKDAY($A1618,2)=5,3,1))</f>
        <v/>
      </c>
      <c r="B1619">
        <f>IF($A1619&gt;$A1618,1,0)</f>
        <v/>
      </c>
      <c r="C1619" s="56">
        <f>IF($B1619=0,"",IF(Inputs!$B$6="","",IF($AD1619=0,C1618,SUMIFS(Data!$B$10:$B$3209,Data!$A$10:$A$3209,"&gt;="&amp;$A1619,Data!$A$10:$A$3209,"&lt;"&amp;$A1619+1)/$AD1619)))</f>
        <v/>
      </c>
      <c r="D1619" s="56">
        <f>IF($B1619=0,"",IF(Inputs!$B$7="","",IF($AE1619=0,D1618,SUMIFS(Data!$F$10:$F$3209,Data!$E$10:$E$3209,"&gt;="&amp;$A1619,Data!$E$10:$E$3209,"&lt;"&amp;$A1619+1)/$AE1619)))</f>
        <v/>
      </c>
      <c r="E1619" s="56">
        <f>IF($B1619=0,"",IF(Inputs!$B$8="","",IF($AF1619=0,E1618,SUMIFS(Data!$J$10:$J$3209,Data!$I$10:$I$3209,"&gt;="&amp;$A1619,Data!$I$10:$I$3209,"&lt;"&amp;$A1619+1)/$AF1619)))</f>
        <v/>
      </c>
      <c r="F1619" s="56">
        <f>IF($B1619=0,"",IF(Inputs!$B$9="","",IF($AG1619=0,F1618,SUMIFS(Data!$N$10:$N$3209,Data!$M$10:$M$3209,"&gt;="&amp;$A1619,Data!$M$10:$M$3209,"&lt;"&amp;$A1619+1)/$AG1619)))</f>
        <v/>
      </c>
      <c r="G1619" s="56">
        <f>IF($B1619=0,"",IF(Inputs!$B$10="","",IF($AH1619=0,G1618,SUMIFS(Data!$R$10:$R$3209,Data!$Q$10:$Q$3209,"&gt;="&amp;$A1619,Data!$Q$10:$Q$3209,"&lt;"&amp;$A1619+1)/$AH1619)))</f>
        <v/>
      </c>
      <c r="I1619" s="54">
        <f>IF($B1619=0,NA(),IF($C1619="",NA(),IF(C$8="",NA(),IF(N(C$8)=0,NA(),IF(Inputs!$C$17="Rebased to 100",$C1619/C$8*100,$C1619)))))</f>
        <v/>
      </c>
      <c r="J1619" s="54">
        <f>IF($B1619=0,NA(),IF($D1619="",NA(),IF(D$8="",NA(),IF(N(D$8)=0,NA(),IF(Inputs!$C$17="Rebased to 100",$D1619/D$8*100,$D1619)))))</f>
        <v/>
      </c>
      <c r="K1619" s="54">
        <f>IF($B1619=0,NA(),IF($E1619="",NA(),IF(E$8="",NA(),IF(N(E$8)=0,NA(),IF(Inputs!$C$17="Rebased to 100",$E1619/E$8*100,$E1619)))))</f>
        <v/>
      </c>
      <c r="L1619" s="54">
        <f>IF($B1619=0,NA(),IF($F1619="",NA(),IF(F$8="",NA(),IF(N(F$8)=0,NA(),IF(Inputs!$C$17="Rebased to 100",$F1619/F$8*100,$F1619)))))</f>
        <v/>
      </c>
      <c r="M1619" s="54">
        <f>IF($B1619=0,NA(),IF($G1619="",NA(),IF(G$8="",NA(),IF(N(G$8)=0,NA(),IF(Inputs!$C$17="Rebased to 100",$G1619/G$8*100,$G1619)))))</f>
        <v/>
      </c>
      <c r="N1619" s="54">
        <f>IF($B1619=0,NA(),IF(Inputs!$C$18&lt;&gt;"Yes",NA(),IF(COUNT(I1619,J1619,K1619,L1619,M1619)=0,NA(),MIN(I1619,J1619,K1619,L1619,M1619))))</f>
        <v/>
      </c>
      <c r="O1619" s="54">
        <f>IF($B1619=0,NA(),IF(Inputs!$B$24&lt;&gt;"Yes",NA(),Inputs!$D$24*Inputs!$C$35))</f>
        <v/>
      </c>
      <c r="P1619" s="54">
        <f>IF($B1619=0,NA(),IF(Inputs!$B$25&lt;&gt;"Yes",NA(),Inputs!$D$25*Inputs!$C$35))</f>
        <v/>
      </c>
      <c r="Q1619" s="54">
        <f>IF($B1619=0,NA(),IF(Inputs!$B$26&lt;&gt;"Yes",NA(),Inputs!$D$26*Inputs!$C$35))</f>
        <v/>
      </c>
      <c r="R1619" s="54">
        <f>IF($B1619=0,NA(),IF(Inputs!$B$27&lt;&gt;"Yes",NA(),Inputs!$D$27*Inputs!$C$35))</f>
        <v/>
      </c>
      <c r="S1619" s="54">
        <f>IF($B1619=0,NA(),IF(Inputs!$B$28&lt;&gt;"Yes",NA(),Inputs!$D$28*Inputs!$C$35))</f>
        <v/>
      </c>
      <c r="T1619" s="54">
        <f>IF($B1619=0,NA(),IF(Inputs!$B$29&lt;&gt;"Yes",NA(),Inputs!$D$29*Inputs!$C$35))</f>
        <v/>
      </c>
      <c r="AD1619">
        <f>IF($B1619=0,0,IF(Inputs!$B$6="",0,COUNTIFS(Data!$A$10:$A$3209,"&gt;="&amp;$A1619,Data!$A$10:$A$3209,"&lt;"&amp;$A1619+1)))</f>
        <v/>
      </c>
      <c r="AE1619">
        <f>IF($B1619=0,0,IF(Inputs!$B$7="",0,COUNTIFS(Data!$E$10:$E$3209,"&gt;="&amp;$A1619,Data!$E$10:$E$3209,"&lt;"&amp;$A1619+1)))</f>
        <v/>
      </c>
      <c r="AF1619">
        <f>IF($B1619=0,0,IF(Inputs!$B$8="",0,COUNTIFS(Data!$I$10:$I$3209,"&gt;="&amp;$A1619,Data!$I$10:$I$3209,"&lt;"&amp;$A1619+1)))</f>
        <v/>
      </c>
      <c r="AG1619">
        <f>IF($B1619=0,0,IF(Inputs!$B$9="",0,COUNTIFS(Data!$M$10:$M$3209,"&gt;="&amp;$A1619,Data!$M$10:$M$3209,"&lt;"&amp;$A1619+1)))</f>
        <v/>
      </c>
      <c r="AH1619">
        <f>IF($B1619=0,0,IF(Inputs!$B$10="",0,COUNTIFS(Data!$Q$10:$Q$3209,"&gt;="&amp;$A1619,Data!$Q$10:$Q$3209,"&lt;"&amp;$A1619+1)))</f>
        <v/>
      </c>
    </row>
    <row r="1620">
      <c r="A1620" s="55">
        <f>MIN(Inputs!$C$15,$A1619+IF(WEEKDAY($A1619,2)=5,3,1))</f>
        <v/>
      </c>
      <c r="B1620">
        <f>IF($A1620&gt;$A1619,1,0)</f>
        <v/>
      </c>
      <c r="C1620" s="56">
        <f>IF($B1620=0,"",IF(Inputs!$B$6="","",IF($AD1620=0,C1619,SUMIFS(Data!$B$10:$B$3209,Data!$A$10:$A$3209,"&gt;="&amp;$A1620,Data!$A$10:$A$3209,"&lt;"&amp;$A1620+1)/$AD1620)))</f>
        <v/>
      </c>
      <c r="D1620" s="56">
        <f>IF($B1620=0,"",IF(Inputs!$B$7="","",IF($AE1620=0,D1619,SUMIFS(Data!$F$10:$F$3209,Data!$E$10:$E$3209,"&gt;="&amp;$A1620,Data!$E$10:$E$3209,"&lt;"&amp;$A1620+1)/$AE1620)))</f>
        <v/>
      </c>
      <c r="E1620" s="56">
        <f>IF($B1620=0,"",IF(Inputs!$B$8="","",IF($AF1620=0,E1619,SUMIFS(Data!$J$10:$J$3209,Data!$I$10:$I$3209,"&gt;="&amp;$A1620,Data!$I$10:$I$3209,"&lt;"&amp;$A1620+1)/$AF1620)))</f>
        <v/>
      </c>
      <c r="F1620" s="56">
        <f>IF($B1620=0,"",IF(Inputs!$B$9="","",IF($AG1620=0,F1619,SUMIFS(Data!$N$10:$N$3209,Data!$M$10:$M$3209,"&gt;="&amp;$A1620,Data!$M$10:$M$3209,"&lt;"&amp;$A1620+1)/$AG1620)))</f>
        <v/>
      </c>
      <c r="G1620" s="56">
        <f>IF($B1620=0,"",IF(Inputs!$B$10="","",IF($AH1620=0,G1619,SUMIFS(Data!$R$10:$R$3209,Data!$Q$10:$Q$3209,"&gt;="&amp;$A1620,Data!$Q$10:$Q$3209,"&lt;"&amp;$A1620+1)/$AH1620)))</f>
        <v/>
      </c>
      <c r="I1620" s="54">
        <f>IF($B1620=0,NA(),IF($C1620="",NA(),IF(C$8="",NA(),IF(N(C$8)=0,NA(),IF(Inputs!$C$17="Rebased to 100",$C1620/C$8*100,$C1620)))))</f>
        <v/>
      </c>
      <c r="J1620" s="54">
        <f>IF($B1620=0,NA(),IF($D1620="",NA(),IF(D$8="",NA(),IF(N(D$8)=0,NA(),IF(Inputs!$C$17="Rebased to 100",$D1620/D$8*100,$D1620)))))</f>
        <v/>
      </c>
      <c r="K1620" s="54">
        <f>IF($B1620=0,NA(),IF($E1620="",NA(),IF(E$8="",NA(),IF(N(E$8)=0,NA(),IF(Inputs!$C$17="Rebased to 100",$E1620/E$8*100,$E1620)))))</f>
        <v/>
      </c>
      <c r="L1620" s="54">
        <f>IF($B1620=0,NA(),IF($F1620="",NA(),IF(F$8="",NA(),IF(N(F$8)=0,NA(),IF(Inputs!$C$17="Rebased to 100",$F1620/F$8*100,$F1620)))))</f>
        <v/>
      </c>
      <c r="M1620" s="54">
        <f>IF($B1620=0,NA(),IF($G1620="",NA(),IF(G$8="",NA(),IF(N(G$8)=0,NA(),IF(Inputs!$C$17="Rebased to 100",$G1620/G$8*100,$G1620)))))</f>
        <v/>
      </c>
      <c r="N1620" s="54">
        <f>IF($B1620=0,NA(),IF(Inputs!$C$18&lt;&gt;"Yes",NA(),IF(COUNT(I1620,J1620,K1620,L1620,M1620)=0,NA(),MIN(I1620,J1620,K1620,L1620,M1620))))</f>
        <v/>
      </c>
      <c r="O1620" s="54">
        <f>IF($B1620=0,NA(),IF(Inputs!$B$24&lt;&gt;"Yes",NA(),Inputs!$D$24*Inputs!$C$35))</f>
        <v/>
      </c>
      <c r="P1620" s="54">
        <f>IF($B1620=0,NA(),IF(Inputs!$B$25&lt;&gt;"Yes",NA(),Inputs!$D$25*Inputs!$C$35))</f>
        <v/>
      </c>
      <c r="Q1620" s="54">
        <f>IF($B1620=0,NA(),IF(Inputs!$B$26&lt;&gt;"Yes",NA(),Inputs!$D$26*Inputs!$C$35))</f>
        <v/>
      </c>
      <c r="R1620" s="54">
        <f>IF($B1620=0,NA(),IF(Inputs!$B$27&lt;&gt;"Yes",NA(),Inputs!$D$27*Inputs!$C$35))</f>
        <v/>
      </c>
      <c r="S1620" s="54">
        <f>IF($B1620=0,NA(),IF(Inputs!$B$28&lt;&gt;"Yes",NA(),Inputs!$D$28*Inputs!$C$35))</f>
        <v/>
      </c>
      <c r="T1620" s="54">
        <f>IF($B1620=0,NA(),IF(Inputs!$B$29&lt;&gt;"Yes",NA(),Inputs!$D$29*Inputs!$C$35))</f>
        <v/>
      </c>
      <c r="AD1620">
        <f>IF($B1620=0,0,IF(Inputs!$B$6="",0,COUNTIFS(Data!$A$10:$A$3209,"&gt;="&amp;$A1620,Data!$A$10:$A$3209,"&lt;"&amp;$A1620+1)))</f>
        <v/>
      </c>
      <c r="AE1620">
        <f>IF($B1620=0,0,IF(Inputs!$B$7="",0,COUNTIFS(Data!$E$10:$E$3209,"&gt;="&amp;$A1620,Data!$E$10:$E$3209,"&lt;"&amp;$A1620+1)))</f>
        <v/>
      </c>
      <c r="AF1620">
        <f>IF($B1620=0,0,IF(Inputs!$B$8="",0,COUNTIFS(Data!$I$10:$I$3209,"&gt;="&amp;$A1620,Data!$I$10:$I$3209,"&lt;"&amp;$A1620+1)))</f>
        <v/>
      </c>
      <c r="AG1620">
        <f>IF($B1620=0,0,IF(Inputs!$B$9="",0,COUNTIFS(Data!$M$10:$M$3209,"&gt;="&amp;$A1620,Data!$M$10:$M$3209,"&lt;"&amp;$A1620+1)))</f>
        <v/>
      </c>
      <c r="AH1620">
        <f>IF($B1620=0,0,IF(Inputs!$B$10="",0,COUNTIFS(Data!$Q$10:$Q$3209,"&gt;="&amp;$A1620,Data!$Q$10:$Q$3209,"&lt;"&amp;$A1620+1)))</f>
        <v/>
      </c>
    </row>
    <row r="1621">
      <c r="A1621" s="55">
        <f>MIN(Inputs!$C$15,$A1620+IF(WEEKDAY($A1620,2)=5,3,1))</f>
        <v/>
      </c>
      <c r="B1621">
        <f>IF($A1621&gt;$A1620,1,0)</f>
        <v/>
      </c>
      <c r="C1621" s="56">
        <f>IF($B1621=0,"",IF(Inputs!$B$6="","",IF($AD1621=0,C1620,SUMIFS(Data!$B$10:$B$3209,Data!$A$10:$A$3209,"&gt;="&amp;$A1621,Data!$A$10:$A$3209,"&lt;"&amp;$A1621+1)/$AD1621)))</f>
        <v/>
      </c>
      <c r="D1621" s="56">
        <f>IF($B1621=0,"",IF(Inputs!$B$7="","",IF($AE1621=0,D1620,SUMIFS(Data!$F$10:$F$3209,Data!$E$10:$E$3209,"&gt;="&amp;$A1621,Data!$E$10:$E$3209,"&lt;"&amp;$A1621+1)/$AE1621)))</f>
        <v/>
      </c>
      <c r="E1621" s="56">
        <f>IF($B1621=0,"",IF(Inputs!$B$8="","",IF($AF1621=0,E1620,SUMIFS(Data!$J$10:$J$3209,Data!$I$10:$I$3209,"&gt;="&amp;$A1621,Data!$I$10:$I$3209,"&lt;"&amp;$A1621+1)/$AF1621)))</f>
        <v/>
      </c>
      <c r="F1621" s="56">
        <f>IF($B1621=0,"",IF(Inputs!$B$9="","",IF($AG1621=0,F1620,SUMIFS(Data!$N$10:$N$3209,Data!$M$10:$M$3209,"&gt;="&amp;$A1621,Data!$M$10:$M$3209,"&lt;"&amp;$A1621+1)/$AG1621)))</f>
        <v/>
      </c>
      <c r="G1621" s="56">
        <f>IF($B1621=0,"",IF(Inputs!$B$10="","",IF($AH1621=0,G1620,SUMIFS(Data!$R$10:$R$3209,Data!$Q$10:$Q$3209,"&gt;="&amp;$A1621,Data!$Q$10:$Q$3209,"&lt;"&amp;$A1621+1)/$AH1621)))</f>
        <v/>
      </c>
      <c r="I1621" s="54">
        <f>IF($B1621=0,NA(),IF($C1621="",NA(),IF(C$8="",NA(),IF(N(C$8)=0,NA(),IF(Inputs!$C$17="Rebased to 100",$C1621/C$8*100,$C1621)))))</f>
        <v/>
      </c>
      <c r="J1621" s="54">
        <f>IF($B1621=0,NA(),IF($D1621="",NA(),IF(D$8="",NA(),IF(N(D$8)=0,NA(),IF(Inputs!$C$17="Rebased to 100",$D1621/D$8*100,$D1621)))))</f>
        <v/>
      </c>
      <c r="K1621" s="54">
        <f>IF($B1621=0,NA(),IF($E1621="",NA(),IF(E$8="",NA(),IF(N(E$8)=0,NA(),IF(Inputs!$C$17="Rebased to 100",$E1621/E$8*100,$E1621)))))</f>
        <v/>
      </c>
      <c r="L1621" s="54">
        <f>IF($B1621=0,NA(),IF($F1621="",NA(),IF(F$8="",NA(),IF(N(F$8)=0,NA(),IF(Inputs!$C$17="Rebased to 100",$F1621/F$8*100,$F1621)))))</f>
        <v/>
      </c>
      <c r="M1621" s="54">
        <f>IF($B1621=0,NA(),IF($G1621="",NA(),IF(G$8="",NA(),IF(N(G$8)=0,NA(),IF(Inputs!$C$17="Rebased to 100",$G1621/G$8*100,$G1621)))))</f>
        <v/>
      </c>
      <c r="N1621" s="54">
        <f>IF($B1621=0,NA(),IF(Inputs!$C$18&lt;&gt;"Yes",NA(),IF(COUNT(I1621,J1621,K1621,L1621,M1621)=0,NA(),MIN(I1621,J1621,K1621,L1621,M1621))))</f>
        <v/>
      </c>
      <c r="O1621" s="54">
        <f>IF($B1621=0,NA(),IF(Inputs!$B$24&lt;&gt;"Yes",NA(),Inputs!$D$24*Inputs!$C$35))</f>
        <v/>
      </c>
      <c r="P1621" s="54">
        <f>IF($B1621=0,NA(),IF(Inputs!$B$25&lt;&gt;"Yes",NA(),Inputs!$D$25*Inputs!$C$35))</f>
        <v/>
      </c>
      <c r="Q1621" s="54">
        <f>IF($B1621=0,NA(),IF(Inputs!$B$26&lt;&gt;"Yes",NA(),Inputs!$D$26*Inputs!$C$35))</f>
        <v/>
      </c>
      <c r="R1621" s="54">
        <f>IF($B1621=0,NA(),IF(Inputs!$B$27&lt;&gt;"Yes",NA(),Inputs!$D$27*Inputs!$C$35))</f>
        <v/>
      </c>
      <c r="S1621" s="54">
        <f>IF($B1621=0,NA(),IF(Inputs!$B$28&lt;&gt;"Yes",NA(),Inputs!$D$28*Inputs!$C$35))</f>
        <v/>
      </c>
      <c r="T1621" s="54">
        <f>IF($B1621=0,NA(),IF(Inputs!$B$29&lt;&gt;"Yes",NA(),Inputs!$D$29*Inputs!$C$35))</f>
        <v/>
      </c>
      <c r="AD1621">
        <f>IF($B1621=0,0,IF(Inputs!$B$6="",0,COUNTIFS(Data!$A$10:$A$3209,"&gt;="&amp;$A1621,Data!$A$10:$A$3209,"&lt;"&amp;$A1621+1)))</f>
        <v/>
      </c>
      <c r="AE1621">
        <f>IF($B1621=0,0,IF(Inputs!$B$7="",0,COUNTIFS(Data!$E$10:$E$3209,"&gt;="&amp;$A1621,Data!$E$10:$E$3209,"&lt;"&amp;$A1621+1)))</f>
        <v/>
      </c>
      <c r="AF1621">
        <f>IF($B1621=0,0,IF(Inputs!$B$8="",0,COUNTIFS(Data!$I$10:$I$3209,"&gt;="&amp;$A1621,Data!$I$10:$I$3209,"&lt;"&amp;$A1621+1)))</f>
        <v/>
      </c>
      <c r="AG1621">
        <f>IF($B1621=0,0,IF(Inputs!$B$9="",0,COUNTIFS(Data!$M$10:$M$3209,"&gt;="&amp;$A1621,Data!$M$10:$M$3209,"&lt;"&amp;$A1621+1)))</f>
        <v/>
      </c>
      <c r="AH1621">
        <f>IF($B1621=0,0,IF(Inputs!$B$10="",0,COUNTIFS(Data!$Q$10:$Q$3209,"&gt;="&amp;$A1621,Data!$Q$10:$Q$3209,"&lt;"&amp;$A1621+1)))</f>
        <v/>
      </c>
    </row>
    <row r="1622">
      <c r="A1622" s="55">
        <f>MIN(Inputs!$C$15,$A1621+IF(WEEKDAY($A1621,2)=5,3,1))</f>
        <v/>
      </c>
      <c r="B1622">
        <f>IF($A1622&gt;$A1621,1,0)</f>
        <v/>
      </c>
      <c r="C1622" s="56">
        <f>IF($B1622=0,"",IF(Inputs!$B$6="","",IF($AD1622=0,C1621,SUMIFS(Data!$B$10:$B$3209,Data!$A$10:$A$3209,"&gt;="&amp;$A1622,Data!$A$10:$A$3209,"&lt;"&amp;$A1622+1)/$AD1622)))</f>
        <v/>
      </c>
      <c r="D1622" s="56">
        <f>IF($B1622=0,"",IF(Inputs!$B$7="","",IF($AE1622=0,D1621,SUMIFS(Data!$F$10:$F$3209,Data!$E$10:$E$3209,"&gt;="&amp;$A1622,Data!$E$10:$E$3209,"&lt;"&amp;$A1622+1)/$AE1622)))</f>
        <v/>
      </c>
      <c r="E1622" s="56">
        <f>IF($B1622=0,"",IF(Inputs!$B$8="","",IF($AF1622=0,E1621,SUMIFS(Data!$J$10:$J$3209,Data!$I$10:$I$3209,"&gt;="&amp;$A1622,Data!$I$10:$I$3209,"&lt;"&amp;$A1622+1)/$AF1622)))</f>
        <v/>
      </c>
      <c r="F1622" s="56">
        <f>IF($B1622=0,"",IF(Inputs!$B$9="","",IF($AG1622=0,F1621,SUMIFS(Data!$N$10:$N$3209,Data!$M$10:$M$3209,"&gt;="&amp;$A1622,Data!$M$10:$M$3209,"&lt;"&amp;$A1622+1)/$AG1622)))</f>
        <v/>
      </c>
      <c r="G1622" s="56">
        <f>IF($B1622=0,"",IF(Inputs!$B$10="","",IF($AH1622=0,G1621,SUMIFS(Data!$R$10:$R$3209,Data!$Q$10:$Q$3209,"&gt;="&amp;$A1622,Data!$Q$10:$Q$3209,"&lt;"&amp;$A1622+1)/$AH1622)))</f>
        <v/>
      </c>
      <c r="I1622" s="54">
        <f>IF($B1622=0,NA(),IF($C1622="",NA(),IF(C$8="",NA(),IF(N(C$8)=0,NA(),IF(Inputs!$C$17="Rebased to 100",$C1622/C$8*100,$C1622)))))</f>
        <v/>
      </c>
      <c r="J1622" s="54">
        <f>IF($B1622=0,NA(),IF($D1622="",NA(),IF(D$8="",NA(),IF(N(D$8)=0,NA(),IF(Inputs!$C$17="Rebased to 100",$D1622/D$8*100,$D1622)))))</f>
        <v/>
      </c>
      <c r="K1622" s="54">
        <f>IF($B1622=0,NA(),IF($E1622="",NA(),IF(E$8="",NA(),IF(N(E$8)=0,NA(),IF(Inputs!$C$17="Rebased to 100",$E1622/E$8*100,$E1622)))))</f>
        <v/>
      </c>
      <c r="L1622" s="54">
        <f>IF($B1622=0,NA(),IF($F1622="",NA(),IF(F$8="",NA(),IF(N(F$8)=0,NA(),IF(Inputs!$C$17="Rebased to 100",$F1622/F$8*100,$F1622)))))</f>
        <v/>
      </c>
      <c r="M1622" s="54">
        <f>IF($B1622=0,NA(),IF($G1622="",NA(),IF(G$8="",NA(),IF(N(G$8)=0,NA(),IF(Inputs!$C$17="Rebased to 100",$G1622/G$8*100,$G1622)))))</f>
        <v/>
      </c>
      <c r="N1622" s="54">
        <f>IF($B1622=0,NA(),IF(Inputs!$C$18&lt;&gt;"Yes",NA(),IF(COUNT(I1622,J1622,K1622,L1622,M1622)=0,NA(),MIN(I1622,J1622,K1622,L1622,M1622))))</f>
        <v/>
      </c>
      <c r="O1622" s="54">
        <f>IF($B1622=0,NA(),IF(Inputs!$B$24&lt;&gt;"Yes",NA(),Inputs!$D$24*Inputs!$C$35))</f>
        <v/>
      </c>
      <c r="P1622" s="54">
        <f>IF($B1622=0,NA(),IF(Inputs!$B$25&lt;&gt;"Yes",NA(),Inputs!$D$25*Inputs!$C$35))</f>
        <v/>
      </c>
      <c r="Q1622" s="54">
        <f>IF($B1622=0,NA(),IF(Inputs!$B$26&lt;&gt;"Yes",NA(),Inputs!$D$26*Inputs!$C$35))</f>
        <v/>
      </c>
      <c r="R1622" s="54">
        <f>IF($B1622=0,NA(),IF(Inputs!$B$27&lt;&gt;"Yes",NA(),Inputs!$D$27*Inputs!$C$35))</f>
        <v/>
      </c>
      <c r="S1622" s="54">
        <f>IF($B1622=0,NA(),IF(Inputs!$B$28&lt;&gt;"Yes",NA(),Inputs!$D$28*Inputs!$C$35))</f>
        <v/>
      </c>
      <c r="T1622" s="54">
        <f>IF($B1622=0,NA(),IF(Inputs!$B$29&lt;&gt;"Yes",NA(),Inputs!$D$29*Inputs!$C$35))</f>
        <v/>
      </c>
      <c r="AD1622">
        <f>IF($B1622=0,0,IF(Inputs!$B$6="",0,COUNTIFS(Data!$A$10:$A$3209,"&gt;="&amp;$A1622,Data!$A$10:$A$3209,"&lt;"&amp;$A1622+1)))</f>
        <v/>
      </c>
      <c r="AE1622">
        <f>IF($B1622=0,0,IF(Inputs!$B$7="",0,COUNTIFS(Data!$E$10:$E$3209,"&gt;="&amp;$A1622,Data!$E$10:$E$3209,"&lt;"&amp;$A1622+1)))</f>
        <v/>
      </c>
      <c r="AF1622">
        <f>IF($B1622=0,0,IF(Inputs!$B$8="",0,COUNTIFS(Data!$I$10:$I$3209,"&gt;="&amp;$A1622,Data!$I$10:$I$3209,"&lt;"&amp;$A1622+1)))</f>
        <v/>
      </c>
      <c r="AG1622">
        <f>IF($B1622=0,0,IF(Inputs!$B$9="",0,COUNTIFS(Data!$M$10:$M$3209,"&gt;="&amp;$A1622,Data!$M$10:$M$3209,"&lt;"&amp;$A1622+1)))</f>
        <v/>
      </c>
      <c r="AH1622">
        <f>IF($B1622=0,0,IF(Inputs!$B$10="",0,COUNTIFS(Data!$Q$10:$Q$3209,"&gt;="&amp;$A1622,Data!$Q$10:$Q$3209,"&lt;"&amp;$A1622+1)))</f>
        <v/>
      </c>
    </row>
    <row r="1623">
      <c r="A1623" s="55">
        <f>MIN(Inputs!$C$15,$A1622+IF(WEEKDAY($A1622,2)=5,3,1))</f>
        <v/>
      </c>
      <c r="B1623">
        <f>IF($A1623&gt;$A1622,1,0)</f>
        <v/>
      </c>
      <c r="C1623" s="56">
        <f>IF($B1623=0,"",IF(Inputs!$B$6="","",IF($AD1623=0,C1622,SUMIFS(Data!$B$10:$B$3209,Data!$A$10:$A$3209,"&gt;="&amp;$A1623,Data!$A$10:$A$3209,"&lt;"&amp;$A1623+1)/$AD1623)))</f>
        <v/>
      </c>
      <c r="D1623" s="56">
        <f>IF($B1623=0,"",IF(Inputs!$B$7="","",IF($AE1623=0,D1622,SUMIFS(Data!$F$10:$F$3209,Data!$E$10:$E$3209,"&gt;="&amp;$A1623,Data!$E$10:$E$3209,"&lt;"&amp;$A1623+1)/$AE1623)))</f>
        <v/>
      </c>
      <c r="E1623" s="56">
        <f>IF($B1623=0,"",IF(Inputs!$B$8="","",IF($AF1623=0,E1622,SUMIFS(Data!$J$10:$J$3209,Data!$I$10:$I$3209,"&gt;="&amp;$A1623,Data!$I$10:$I$3209,"&lt;"&amp;$A1623+1)/$AF1623)))</f>
        <v/>
      </c>
      <c r="F1623" s="56">
        <f>IF($B1623=0,"",IF(Inputs!$B$9="","",IF($AG1623=0,F1622,SUMIFS(Data!$N$10:$N$3209,Data!$M$10:$M$3209,"&gt;="&amp;$A1623,Data!$M$10:$M$3209,"&lt;"&amp;$A1623+1)/$AG1623)))</f>
        <v/>
      </c>
      <c r="G1623" s="56">
        <f>IF($B1623=0,"",IF(Inputs!$B$10="","",IF($AH1623=0,G1622,SUMIFS(Data!$R$10:$R$3209,Data!$Q$10:$Q$3209,"&gt;="&amp;$A1623,Data!$Q$10:$Q$3209,"&lt;"&amp;$A1623+1)/$AH1623)))</f>
        <v/>
      </c>
      <c r="I1623" s="54">
        <f>IF($B1623=0,NA(),IF($C1623="",NA(),IF(C$8="",NA(),IF(N(C$8)=0,NA(),IF(Inputs!$C$17="Rebased to 100",$C1623/C$8*100,$C1623)))))</f>
        <v/>
      </c>
      <c r="J1623" s="54">
        <f>IF($B1623=0,NA(),IF($D1623="",NA(),IF(D$8="",NA(),IF(N(D$8)=0,NA(),IF(Inputs!$C$17="Rebased to 100",$D1623/D$8*100,$D1623)))))</f>
        <v/>
      </c>
      <c r="K1623" s="54">
        <f>IF($B1623=0,NA(),IF($E1623="",NA(),IF(E$8="",NA(),IF(N(E$8)=0,NA(),IF(Inputs!$C$17="Rebased to 100",$E1623/E$8*100,$E1623)))))</f>
        <v/>
      </c>
      <c r="L1623" s="54">
        <f>IF($B1623=0,NA(),IF($F1623="",NA(),IF(F$8="",NA(),IF(N(F$8)=0,NA(),IF(Inputs!$C$17="Rebased to 100",$F1623/F$8*100,$F1623)))))</f>
        <v/>
      </c>
      <c r="M1623" s="54">
        <f>IF($B1623=0,NA(),IF($G1623="",NA(),IF(G$8="",NA(),IF(N(G$8)=0,NA(),IF(Inputs!$C$17="Rebased to 100",$G1623/G$8*100,$G1623)))))</f>
        <v/>
      </c>
      <c r="N1623" s="54">
        <f>IF($B1623=0,NA(),IF(Inputs!$C$18&lt;&gt;"Yes",NA(),IF(COUNT(I1623,J1623,K1623,L1623,M1623)=0,NA(),MIN(I1623,J1623,K1623,L1623,M1623))))</f>
        <v/>
      </c>
      <c r="O1623" s="54">
        <f>IF($B1623=0,NA(),IF(Inputs!$B$24&lt;&gt;"Yes",NA(),Inputs!$D$24*Inputs!$C$35))</f>
        <v/>
      </c>
      <c r="P1623" s="54">
        <f>IF($B1623=0,NA(),IF(Inputs!$B$25&lt;&gt;"Yes",NA(),Inputs!$D$25*Inputs!$C$35))</f>
        <v/>
      </c>
      <c r="Q1623" s="54">
        <f>IF($B1623=0,NA(),IF(Inputs!$B$26&lt;&gt;"Yes",NA(),Inputs!$D$26*Inputs!$C$35))</f>
        <v/>
      </c>
      <c r="R1623" s="54">
        <f>IF($B1623=0,NA(),IF(Inputs!$B$27&lt;&gt;"Yes",NA(),Inputs!$D$27*Inputs!$C$35))</f>
        <v/>
      </c>
      <c r="S1623" s="54">
        <f>IF($B1623=0,NA(),IF(Inputs!$B$28&lt;&gt;"Yes",NA(),Inputs!$D$28*Inputs!$C$35))</f>
        <v/>
      </c>
      <c r="T1623" s="54">
        <f>IF($B1623=0,NA(),IF(Inputs!$B$29&lt;&gt;"Yes",NA(),Inputs!$D$29*Inputs!$C$35))</f>
        <v/>
      </c>
      <c r="AD1623">
        <f>IF($B1623=0,0,IF(Inputs!$B$6="",0,COUNTIFS(Data!$A$10:$A$3209,"&gt;="&amp;$A1623,Data!$A$10:$A$3209,"&lt;"&amp;$A1623+1)))</f>
        <v/>
      </c>
      <c r="AE1623">
        <f>IF($B1623=0,0,IF(Inputs!$B$7="",0,COUNTIFS(Data!$E$10:$E$3209,"&gt;="&amp;$A1623,Data!$E$10:$E$3209,"&lt;"&amp;$A1623+1)))</f>
        <v/>
      </c>
      <c r="AF1623">
        <f>IF($B1623=0,0,IF(Inputs!$B$8="",0,COUNTIFS(Data!$I$10:$I$3209,"&gt;="&amp;$A1623,Data!$I$10:$I$3209,"&lt;"&amp;$A1623+1)))</f>
        <v/>
      </c>
      <c r="AG1623">
        <f>IF($B1623=0,0,IF(Inputs!$B$9="",0,COUNTIFS(Data!$M$10:$M$3209,"&gt;="&amp;$A1623,Data!$M$10:$M$3209,"&lt;"&amp;$A1623+1)))</f>
        <v/>
      </c>
      <c r="AH1623">
        <f>IF($B1623=0,0,IF(Inputs!$B$10="",0,COUNTIFS(Data!$Q$10:$Q$3209,"&gt;="&amp;$A1623,Data!$Q$10:$Q$3209,"&lt;"&amp;$A1623+1)))</f>
        <v/>
      </c>
    </row>
    <row r="1624">
      <c r="A1624" s="55">
        <f>MIN(Inputs!$C$15,$A1623+IF(WEEKDAY($A1623,2)=5,3,1))</f>
        <v/>
      </c>
      <c r="B1624">
        <f>IF($A1624&gt;$A1623,1,0)</f>
        <v/>
      </c>
      <c r="C1624" s="56">
        <f>IF($B1624=0,"",IF(Inputs!$B$6="","",IF($AD1624=0,C1623,SUMIFS(Data!$B$10:$B$3209,Data!$A$10:$A$3209,"&gt;="&amp;$A1624,Data!$A$10:$A$3209,"&lt;"&amp;$A1624+1)/$AD1624)))</f>
        <v/>
      </c>
      <c r="D1624" s="56">
        <f>IF($B1624=0,"",IF(Inputs!$B$7="","",IF($AE1624=0,D1623,SUMIFS(Data!$F$10:$F$3209,Data!$E$10:$E$3209,"&gt;="&amp;$A1624,Data!$E$10:$E$3209,"&lt;"&amp;$A1624+1)/$AE1624)))</f>
        <v/>
      </c>
      <c r="E1624" s="56">
        <f>IF($B1624=0,"",IF(Inputs!$B$8="","",IF($AF1624=0,E1623,SUMIFS(Data!$J$10:$J$3209,Data!$I$10:$I$3209,"&gt;="&amp;$A1624,Data!$I$10:$I$3209,"&lt;"&amp;$A1624+1)/$AF1624)))</f>
        <v/>
      </c>
      <c r="F1624" s="56">
        <f>IF($B1624=0,"",IF(Inputs!$B$9="","",IF($AG1624=0,F1623,SUMIFS(Data!$N$10:$N$3209,Data!$M$10:$M$3209,"&gt;="&amp;$A1624,Data!$M$10:$M$3209,"&lt;"&amp;$A1624+1)/$AG1624)))</f>
        <v/>
      </c>
      <c r="G1624" s="56">
        <f>IF($B1624=0,"",IF(Inputs!$B$10="","",IF($AH1624=0,G1623,SUMIFS(Data!$R$10:$R$3209,Data!$Q$10:$Q$3209,"&gt;="&amp;$A1624,Data!$Q$10:$Q$3209,"&lt;"&amp;$A1624+1)/$AH1624)))</f>
        <v/>
      </c>
      <c r="I1624" s="54">
        <f>IF($B1624=0,NA(),IF($C1624="",NA(),IF(C$8="",NA(),IF(N(C$8)=0,NA(),IF(Inputs!$C$17="Rebased to 100",$C1624/C$8*100,$C1624)))))</f>
        <v/>
      </c>
      <c r="J1624" s="54">
        <f>IF($B1624=0,NA(),IF($D1624="",NA(),IF(D$8="",NA(),IF(N(D$8)=0,NA(),IF(Inputs!$C$17="Rebased to 100",$D1624/D$8*100,$D1624)))))</f>
        <v/>
      </c>
      <c r="K1624" s="54">
        <f>IF($B1624=0,NA(),IF($E1624="",NA(),IF(E$8="",NA(),IF(N(E$8)=0,NA(),IF(Inputs!$C$17="Rebased to 100",$E1624/E$8*100,$E1624)))))</f>
        <v/>
      </c>
      <c r="L1624" s="54">
        <f>IF($B1624=0,NA(),IF($F1624="",NA(),IF(F$8="",NA(),IF(N(F$8)=0,NA(),IF(Inputs!$C$17="Rebased to 100",$F1624/F$8*100,$F1624)))))</f>
        <v/>
      </c>
      <c r="M1624" s="54">
        <f>IF($B1624=0,NA(),IF($G1624="",NA(),IF(G$8="",NA(),IF(N(G$8)=0,NA(),IF(Inputs!$C$17="Rebased to 100",$G1624/G$8*100,$G1624)))))</f>
        <v/>
      </c>
      <c r="N1624" s="54">
        <f>IF($B1624=0,NA(),IF(Inputs!$C$18&lt;&gt;"Yes",NA(),IF(COUNT(I1624,J1624,K1624,L1624,M1624)=0,NA(),MIN(I1624,J1624,K1624,L1624,M1624))))</f>
        <v/>
      </c>
      <c r="O1624" s="54">
        <f>IF($B1624=0,NA(),IF(Inputs!$B$24&lt;&gt;"Yes",NA(),Inputs!$D$24*Inputs!$C$35))</f>
        <v/>
      </c>
      <c r="P1624" s="54">
        <f>IF($B1624=0,NA(),IF(Inputs!$B$25&lt;&gt;"Yes",NA(),Inputs!$D$25*Inputs!$C$35))</f>
        <v/>
      </c>
      <c r="Q1624" s="54">
        <f>IF($B1624=0,NA(),IF(Inputs!$B$26&lt;&gt;"Yes",NA(),Inputs!$D$26*Inputs!$C$35))</f>
        <v/>
      </c>
      <c r="R1624" s="54">
        <f>IF($B1624=0,NA(),IF(Inputs!$B$27&lt;&gt;"Yes",NA(),Inputs!$D$27*Inputs!$C$35))</f>
        <v/>
      </c>
      <c r="S1624" s="54">
        <f>IF($B1624=0,NA(),IF(Inputs!$B$28&lt;&gt;"Yes",NA(),Inputs!$D$28*Inputs!$C$35))</f>
        <v/>
      </c>
      <c r="T1624" s="54">
        <f>IF($B1624=0,NA(),IF(Inputs!$B$29&lt;&gt;"Yes",NA(),Inputs!$D$29*Inputs!$C$35))</f>
        <v/>
      </c>
      <c r="AD1624">
        <f>IF($B1624=0,0,IF(Inputs!$B$6="",0,COUNTIFS(Data!$A$10:$A$3209,"&gt;="&amp;$A1624,Data!$A$10:$A$3209,"&lt;"&amp;$A1624+1)))</f>
        <v/>
      </c>
      <c r="AE1624">
        <f>IF($B1624=0,0,IF(Inputs!$B$7="",0,COUNTIFS(Data!$E$10:$E$3209,"&gt;="&amp;$A1624,Data!$E$10:$E$3209,"&lt;"&amp;$A1624+1)))</f>
        <v/>
      </c>
      <c r="AF1624">
        <f>IF($B1624=0,0,IF(Inputs!$B$8="",0,COUNTIFS(Data!$I$10:$I$3209,"&gt;="&amp;$A1624,Data!$I$10:$I$3209,"&lt;"&amp;$A1624+1)))</f>
        <v/>
      </c>
      <c r="AG1624">
        <f>IF($B1624=0,0,IF(Inputs!$B$9="",0,COUNTIFS(Data!$M$10:$M$3209,"&gt;="&amp;$A1624,Data!$M$10:$M$3209,"&lt;"&amp;$A1624+1)))</f>
        <v/>
      </c>
      <c r="AH1624">
        <f>IF($B1624=0,0,IF(Inputs!$B$10="",0,COUNTIFS(Data!$Q$10:$Q$3209,"&gt;="&amp;$A1624,Data!$Q$10:$Q$3209,"&lt;"&amp;$A1624+1)))</f>
        <v/>
      </c>
    </row>
    <row r="1625">
      <c r="A1625" s="55">
        <f>MIN(Inputs!$C$15,$A1624+IF(WEEKDAY($A1624,2)=5,3,1))</f>
        <v/>
      </c>
      <c r="B1625">
        <f>IF($A1625&gt;$A1624,1,0)</f>
        <v/>
      </c>
      <c r="C1625" s="56">
        <f>IF($B1625=0,"",IF(Inputs!$B$6="","",IF($AD1625=0,C1624,SUMIFS(Data!$B$10:$B$3209,Data!$A$10:$A$3209,"&gt;="&amp;$A1625,Data!$A$10:$A$3209,"&lt;"&amp;$A1625+1)/$AD1625)))</f>
        <v/>
      </c>
      <c r="D1625" s="56">
        <f>IF($B1625=0,"",IF(Inputs!$B$7="","",IF($AE1625=0,D1624,SUMIFS(Data!$F$10:$F$3209,Data!$E$10:$E$3209,"&gt;="&amp;$A1625,Data!$E$10:$E$3209,"&lt;"&amp;$A1625+1)/$AE1625)))</f>
        <v/>
      </c>
      <c r="E1625" s="56">
        <f>IF($B1625=0,"",IF(Inputs!$B$8="","",IF($AF1625=0,E1624,SUMIFS(Data!$J$10:$J$3209,Data!$I$10:$I$3209,"&gt;="&amp;$A1625,Data!$I$10:$I$3209,"&lt;"&amp;$A1625+1)/$AF1625)))</f>
        <v/>
      </c>
      <c r="F1625" s="56">
        <f>IF($B1625=0,"",IF(Inputs!$B$9="","",IF($AG1625=0,F1624,SUMIFS(Data!$N$10:$N$3209,Data!$M$10:$M$3209,"&gt;="&amp;$A1625,Data!$M$10:$M$3209,"&lt;"&amp;$A1625+1)/$AG1625)))</f>
        <v/>
      </c>
      <c r="G1625" s="56">
        <f>IF($B1625=0,"",IF(Inputs!$B$10="","",IF($AH1625=0,G1624,SUMIFS(Data!$R$10:$R$3209,Data!$Q$10:$Q$3209,"&gt;="&amp;$A1625,Data!$Q$10:$Q$3209,"&lt;"&amp;$A1625+1)/$AH1625)))</f>
        <v/>
      </c>
      <c r="I1625" s="54">
        <f>IF($B1625=0,NA(),IF($C1625="",NA(),IF(C$8="",NA(),IF(N(C$8)=0,NA(),IF(Inputs!$C$17="Rebased to 100",$C1625/C$8*100,$C1625)))))</f>
        <v/>
      </c>
      <c r="J1625" s="54">
        <f>IF($B1625=0,NA(),IF($D1625="",NA(),IF(D$8="",NA(),IF(N(D$8)=0,NA(),IF(Inputs!$C$17="Rebased to 100",$D1625/D$8*100,$D1625)))))</f>
        <v/>
      </c>
      <c r="K1625" s="54">
        <f>IF($B1625=0,NA(),IF($E1625="",NA(),IF(E$8="",NA(),IF(N(E$8)=0,NA(),IF(Inputs!$C$17="Rebased to 100",$E1625/E$8*100,$E1625)))))</f>
        <v/>
      </c>
      <c r="L1625" s="54">
        <f>IF($B1625=0,NA(),IF($F1625="",NA(),IF(F$8="",NA(),IF(N(F$8)=0,NA(),IF(Inputs!$C$17="Rebased to 100",$F1625/F$8*100,$F1625)))))</f>
        <v/>
      </c>
      <c r="M1625" s="54">
        <f>IF($B1625=0,NA(),IF($G1625="",NA(),IF(G$8="",NA(),IF(N(G$8)=0,NA(),IF(Inputs!$C$17="Rebased to 100",$G1625/G$8*100,$G1625)))))</f>
        <v/>
      </c>
      <c r="N1625" s="54">
        <f>IF($B1625=0,NA(),IF(Inputs!$C$18&lt;&gt;"Yes",NA(),IF(COUNT(I1625,J1625,K1625,L1625,M1625)=0,NA(),MIN(I1625,J1625,K1625,L1625,M1625))))</f>
        <v/>
      </c>
      <c r="O1625" s="54">
        <f>IF($B1625=0,NA(),IF(Inputs!$B$24&lt;&gt;"Yes",NA(),Inputs!$D$24*Inputs!$C$35))</f>
        <v/>
      </c>
      <c r="P1625" s="54">
        <f>IF($B1625=0,NA(),IF(Inputs!$B$25&lt;&gt;"Yes",NA(),Inputs!$D$25*Inputs!$C$35))</f>
        <v/>
      </c>
      <c r="Q1625" s="54">
        <f>IF($B1625=0,NA(),IF(Inputs!$B$26&lt;&gt;"Yes",NA(),Inputs!$D$26*Inputs!$C$35))</f>
        <v/>
      </c>
      <c r="R1625" s="54">
        <f>IF($B1625=0,NA(),IF(Inputs!$B$27&lt;&gt;"Yes",NA(),Inputs!$D$27*Inputs!$C$35))</f>
        <v/>
      </c>
      <c r="S1625" s="54">
        <f>IF($B1625=0,NA(),IF(Inputs!$B$28&lt;&gt;"Yes",NA(),Inputs!$D$28*Inputs!$C$35))</f>
        <v/>
      </c>
      <c r="T1625" s="54">
        <f>IF($B1625=0,NA(),IF(Inputs!$B$29&lt;&gt;"Yes",NA(),Inputs!$D$29*Inputs!$C$35))</f>
        <v/>
      </c>
      <c r="AD1625">
        <f>IF($B1625=0,0,IF(Inputs!$B$6="",0,COUNTIFS(Data!$A$10:$A$3209,"&gt;="&amp;$A1625,Data!$A$10:$A$3209,"&lt;"&amp;$A1625+1)))</f>
        <v/>
      </c>
      <c r="AE1625">
        <f>IF($B1625=0,0,IF(Inputs!$B$7="",0,COUNTIFS(Data!$E$10:$E$3209,"&gt;="&amp;$A1625,Data!$E$10:$E$3209,"&lt;"&amp;$A1625+1)))</f>
        <v/>
      </c>
      <c r="AF1625">
        <f>IF($B1625=0,0,IF(Inputs!$B$8="",0,COUNTIFS(Data!$I$10:$I$3209,"&gt;="&amp;$A1625,Data!$I$10:$I$3209,"&lt;"&amp;$A1625+1)))</f>
        <v/>
      </c>
      <c r="AG1625">
        <f>IF($B1625=0,0,IF(Inputs!$B$9="",0,COUNTIFS(Data!$M$10:$M$3209,"&gt;="&amp;$A1625,Data!$M$10:$M$3209,"&lt;"&amp;$A1625+1)))</f>
        <v/>
      </c>
      <c r="AH1625">
        <f>IF($B1625=0,0,IF(Inputs!$B$10="",0,COUNTIFS(Data!$Q$10:$Q$3209,"&gt;="&amp;$A1625,Data!$Q$10:$Q$3209,"&lt;"&amp;$A1625+1)))</f>
        <v/>
      </c>
    </row>
    <row r="1626">
      <c r="A1626" s="55">
        <f>MIN(Inputs!$C$15,$A1625+IF(WEEKDAY($A1625,2)=5,3,1))</f>
        <v/>
      </c>
      <c r="B1626">
        <f>IF($A1626&gt;$A1625,1,0)</f>
        <v/>
      </c>
      <c r="C1626" s="56">
        <f>IF($B1626=0,"",IF(Inputs!$B$6="","",IF($AD1626=0,C1625,SUMIFS(Data!$B$10:$B$3209,Data!$A$10:$A$3209,"&gt;="&amp;$A1626,Data!$A$10:$A$3209,"&lt;"&amp;$A1626+1)/$AD1626)))</f>
        <v/>
      </c>
      <c r="D1626" s="56">
        <f>IF($B1626=0,"",IF(Inputs!$B$7="","",IF($AE1626=0,D1625,SUMIFS(Data!$F$10:$F$3209,Data!$E$10:$E$3209,"&gt;="&amp;$A1626,Data!$E$10:$E$3209,"&lt;"&amp;$A1626+1)/$AE1626)))</f>
        <v/>
      </c>
      <c r="E1626" s="56">
        <f>IF($B1626=0,"",IF(Inputs!$B$8="","",IF($AF1626=0,E1625,SUMIFS(Data!$J$10:$J$3209,Data!$I$10:$I$3209,"&gt;="&amp;$A1626,Data!$I$10:$I$3209,"&lt;"&amp;$A1626+1)/$AF1626)))</f>
        <v/>
      </c>
      <c r="F1626" s="56">
        <f>IF($B1626=0,"",IF(Inputs!$B$9="","",IF($AG1626=0,F1625,SUMIFS(Data!$N$10:$N$3209,Data!$M$10:$M$3209,"&gt;="&amp;$A1626,Data!$M$10:$M$3209,"&lt;"&amp;$A1626+1)/$AG1626)))</f>
        <v/>
      </c>
      <c r="G1626" s="56">
        <f>IF($B1626=0,"",IF(Inputs!$B$10="","",IF($AH1626=0,G1625,SUMIFS(Data!$R$10:$R$3209,Data!$Q$10:$Q$3209,"&gt;="&amp;$A1626,Data!$Q$10:$Q$3209,"&lt;"&amp;$A1626+1)/$AH1626)))</f>
        <v/>
      </c>
      <c r="I1626" s="54">
        <f>IF($B1626=0,NA(),IF($C1626="",NA(),IF(C$8="",NA(),IF(N(C$8)=0,NA(),IF(Inputs!$C$17="Rebased to 100",$C1626/C$8*100,$C1626)))))</f>
        <v/>
      </c>
      <c r="J1626" s="54">
        <f>IF($B1626=0,NA(),IF($D1626="",NA(),IF(D$8="",NA(),IF(N(D$8)=0,NA(),IF(Inputs!$C$17="Rebased to 100",$D1626/D$8*100,$D1626)))))</f>
        <v/>
      </c>
      <c r="K1626" s="54">
        <f>IF($B1626=0,NA(),IF($E1626="",NA(),IF(E$8="",NA(),IF(N(E$8)=0,NA(),IF(Inputs!$C$17="Rebased to 100",$E1626/E$8*100,$E1626)))))</f>
        <v/>
      </c>
      <c r="L1626" s="54">
        <f>IF($B1626=0,NA(),IF($F1626="",NA(),IF(F$8="",NA(),IF(N(F$8)=0,NA(),IF(Inputs!$C$17="Rebased to 100",$F1626/F$8*100,$F1626)))))</f>
        <v/>
      </c>
      <c r="M1626" s="54">
        <f>IF($B1626=0,NA(),IF($G1626="",NA(),IF(G$8="",NA(),IF(N(G$8)=0,NA(),IF(Inputs!$C$17="Rebased to 100",$G1626/G$8*100,$G1626)))))</f>
        <v/>
      </c>
      <c r="N1626" s="54">
        <f>IF($B1626=0,NA(),IF(Inputs!$C$18&lt;&gt;"Yes",NA(),IF(COUNT(I1626,J1626,K1626,L1626,M1626)=0,NA(),MIN(I1626,J1626,K1626,L1626,M1626))))</f>
        <v/>
      </c>
      <c r="O1626" s="54">
        <f>IF($B1626=0,NA(),IF(Inputs!$B$24&lt;&gt;"Yes",NA(),Inputs!$D$24*Inputs!$C$35))</f>
        <v/>
      </c>
      <c r="P1626" s="54">
        <f>IF($B1626=0,NA(),IF(Inputs!$B$25&lt;&gt;"Yes",NA(),Inputs!$D$25*Inputs!$C$35))</f>
        <v/>
      </c>
      <c r="Q1626" s="54">
        <f>IF($B1626=0,NA(),IF(Inputs!$B$26&lt;&gt;"Yes",NA(),Inputs!$D$26*Inputs!$C$35))</f>
        <v/>
      </c>
      <c r="R1626" s="54">
        <f>IF($B1626=0,NA(),IF(Inputs!$B$27&lt;&gt;"Yes",NA(),Inputs!$D$27*Inputs!$C$35))</f>
        <v/>
      </c>
      <c r="S1626" s="54">
        <f>IF($B1626=0,NA(),IF(Inputs!$B$28&lt;&gt;"Yes",NA(),Inputs!$D$28*Inputs!$C$35))</f>
        <v/>
      </c>
      <c r="T1626" s="54">
        <f>IF($B1626=0,NA(),IF(Inputs!$B$29&lt;&gt;"Yes",NA(),Inputs!$D$29*Inputs!$C$35))</f>
        <v/>
      </c>
      <c r="AD1626">
        <f>IF($B1626=0,0,IF(Inputs!$B$6="",0,COUNTIFS(Data!$A$10:$A$3209,"&gt;="&amp;$A1626,Data!$A$10:$A$3209,"&lt;"&amp;$A1626+1)))</f>
        <v/>
      </c>
      <c r="AE1626">
        <f>IF($B1626=0,0,IF(Inputs!$B$7="",0,COUNTIFS(Data!$E$10:$E$3209,"&gt;="&amp;$A1626,Data!$E$10:$E$3209,"&lt;"&amp;$A1626+1)))</f>
        <v/>
      </c>
      <c r="AF1626">
        <f>IF($B1626=0,0,IF(Inputs!$B$8="",0,COUNTIFS(Data!$I$10:$I$3209,"&gt;="&amp;$A1626,Data!$I$10:$I$3209,"&lt;"&amp;$A1626+1)))</f>
        <v/>
      </c>
      <c r="AG1626">
        <f>IF($B1626=0,0,IF(Inputs!$B$9="",0,COUNTIFS(Data!$M$10:$M$3209,"&gt;="&amp;$A1626,Data!$M$10:$M$3209,"&lt;"&amp;$A1626+1)))</f>
        <v/>
      </c>
      <c r="AH1626">
        <f>IF($B1626=0,0,IF(Inputs!$B$10="",0,COUNTIFS(Data!$Q$10:$Q$3209,"&gt;="&amp;$A1626,Data!$Q$10:$Q$3209,"&lt;"&amp;$A1626+1)))</f>
        <v/>
      </c>
    </row>
    <row r="1627">
      <c r="A1627" s="55">
        <f>MIN(Inputs!$C$15,$A1626+IF(WEEKDAY($A1626,2)=5,3,1))</f>
        <v/>
      </c>
      <c r="B1627">
        <f>IF($A1627&gt;$A1626,1,0)</f>
        <v/>
      </c>
      <c r="C1627" s="56">
        <f>IF($B1627=0,"",IF(Inputs!$B$6="","",IF($AD1627=0,C1626,SUMIFS(Data!$B$10:$B$3209,Data!$A$10:$A$3209,"&gt;="&amp;$A1627,Data!$A$10:$A$3209,"&lt;"&amp;$A1627+1)/$AD1627)))</f>
        <v/>
      </c>
      <c r="D1627" s="56">
        <f>IF($B1627=0,"",IF(Inputs!$B$7="","",IF($AE1627=0,D1626,SUMIFS(Data!$F$10:$F$3209,Data!$E$10:$E$3209,"&gt;="&amp;$A1627,Data!$E$10:$E$3209,"&lt;"&amp;$A1627+1)/$AE1627)))</f>
        <v/>
      </c>
      <c r="E1627" s="56">
        <f>IF($B1627=0,"",IF(Inputs!$B$8="","",IF($AF1627=0,E1626,SUMIFS(Data!$J$10:$J$3209,Data!$I$10:$I$3209,"&gt;="&amp;$A1627,Data!$I$10:$I$3209,"&lt;"&amp;$A1627+1)/$AF1627)))</f>
        <v/>
      </c>
      <c r="F1627" s="56">
        <f>IF($B1627=0,"",IF(Inputs!$B$9="","",IF($AG1627=0,F1626,SUMIFS(Data!$N$10:$N$3209,Data!$M$10:$M$3209,"&gt;="&amp;$A1627,Data!$M$10:$M$3209,"&lt;"&amp;$A1627+1)/$AG1627)))</f>
        <v/>
      </c>
      <c r="G1627" s="56">
        <f>IF($B1627=0,"",IF(Inputs!$B$10="","",IF($AH1627=0,G1626,SUMIFS(Data!$R$10:$R$3209,Data!$Q$10:$Q$3209,"&gt;="&amp;$A1627,Data!$Q$10:$Q$3209,"&lt;"&amp;$A1627+1)/$AH1627)))</f>
        <v/>
      </c>
      <c r="I1627" s="54">
        <f>IF($B1627=0,NA(),IF($C1627="",NA(),IF(C$8="",NA(),IF(N(C$8)=0,NA(),IF(Inputs!$C$17="Rebased to 100",$C1627/C$8*100,$C1627)))))</f>
        <v/>
      </c>
      <c r="J1627" s="54">
        <f>IF($B1627=0,NA(),IF($D1627="",NA(),IF(D$8="",NA(),IF(N(D$8)=0,NA(),IF(Inputs!$C$17="Rebased to 100",$D1627/D$8*100,$D1627)))))</f>
        <v/>
      </c>
      <c r="K1627" s="54">
        <f>IF($B1627=0,NA(),IF($E1627="",NA(),IF(E$8="",NA(),IF(N(E$8)=0,NA(),IF(Inputs!$C$17="Rebased to 100",$E1627/E$8*100,$E1627)))))</f>
        <v/>
      </c>
      <c r="L1627" s="54">
        <f>IF($B1627=0,NA(),IF($F1627="",NA(),IF(F$8="",NA(),IF(N(F$8)=0,NA(),IF(Inputs!$C$17="Rebased to 100",$F1627/F$8*100,$F1627)))))</f>
        <v/>
      </c>
      <c r="M1627" s="54">
        <f>IF($B1627=0,NA(),IF($G1627="",NA(),IF(G$8="",NA(),IF(N(G$8)=0,NA(),IF(Inputs!$C$17="Rebased to 100",$G1627/G$8*100,$G1627)))))</f>
        <v/>
      </c>
      <c r="N1627" s="54">
        <f>IF($B1627=0,NA(),IF(Inputs!$C$18&lt;&gt;"Yes",NA(),IF(COUNT(I1627,J1627,K1627,L1627,M1627)=0,NA(),MIN(I1627,J1627,K1627,L1627,M1627))))</f>
        <v/>
      </c>
      <c r="O1627" s="54">
        <f>IF($B1627=0,NA(),IF(Inputs!$B$24&lt;&gt;"Yes",NA(),Inputs!$D$24*Inputs!$C$35))</f>
        <v/>
      </c>
      <c r="P1627" s="54">
        <f>IF($B1627=0,NA(),IF(Inputs!$B$25&lt;&gt;"Yes",NA(),Inputs!$D$25*Inputs!$C$35))</f>
        <v/>
      </c>
      <c r="Q1627" s="54">
        <f>IF($B1627=0,NA(),IF(Inputs!$B$26&lt;&gt;"Yes",NA(),Inputs!$D$26*Inputs!$C$35))</f>
        <v/>
      </c>
      <c r="R1627" s="54">
        <f>IF($B1627=0,NA(),IF(Inputs!$B$27&lt;&gt;"Yes",NA(),Inputs!$D$27*Inputs!$C$35))</f>
        <v/>
      </c>
      <c r="S1627" s="54">
        <f>IF($B1627=0,NA(),IF(Inputs!$B$28&lt;&gt;"Yes",NA(),Inputs!$D$28*Inputs!$C$35))</f>
        <v/>
      </c>
      <c r="T1627" s="54">
        <f>IF($B1627=0,NA(),IF(Inputs!$B$29&lt;&gt;"Yes",NA(),Inputs!$D$29*Inputs!$C$35))</f>
        <v/>
      </c>
      <c r="AD1627">
        <f>IF($B1627=0,0,IF(Inputs!$B$6="",0,COUNTIFS(Data!$A$10:$A$3209,"&gt;="&amp;$A1627,Data!$A$10:$A$3209,"&lt;"&amp;$A1627+1)))</f>
        <v/>
      </c>
      <c r="AE1627">
        <f>IF($B1627=0,0,IF(Inputs!$B$7="",0,COUNTIFS(Data!$E$10:$E$3209,"&gt;="&amp;$A1627,Data!$E$10:$E$3209,"&lt;"&amp;$A1627+1)))</f>
        <v/>
      </c>
      <c r="AF1627">
        <f>IF($B1627=0,0,IF(Inputs!$B$8="",0,COUNTIFS(Data!$I$10:$I$3209,"&gt;="&amp;$A1627,Data!$I$10:$I$3209,"&lt;"&amp;$A1627+1)))</f>
        <v/>
      </c>
      <c r="AG1627">
        <f>IF($B1627=0,0,IF(Inputs!$B$9="",0,COUNTIFS(Data!$M$10:$M$3209,"&gt;="&amp;$A1627,Data!$M$10:$M$3209,"&lt;"&amp;$A1627+1)))</f>
        <v/>
      </c>
      <c r="AH1627">
        <f>IF($B1627=0,0,IF(Inputs!$B$10="",0,COUNTIFS(Data!$Q$10:$Q$3209,"&gt;="&amp;$A1627,Data!$Q$10:$Q$3209,"&lt;"&amp;$A1627+1)))</f>
        <v/>
      </c>
    </row>
    <row r="1628">
      <c r="A1628" s="55">
        <f>MIN(Inputs!$C$15,$A1627+IF(WEEKDAY($A1627,2)=5,3,1))</f>
        <v/>
      </c>
      <c r="B1628">
        <f>IF($A1628&gt;$A1627,1,0)</f>
        <v/>
      </c>
      <c r="C1628" s="56">
        <f>IF($B1628=0,"",IF(Inputs!$B$6="","",IF($AD1628=0,C1627,SUMIFS(Data!$B$10:$B$3209,Data!$A$10:$A$3209,"&gt;="&amp;$A1628,Data!$A$10:$A$3209,"&lt;"&amp;$A1628+1)/$AD1628)))</f>
        <v/>
      </c>
      <c r="D1628" s="56">
        <f>IF($B1628=0,"",IF(Inputs!$B$7="","",IF($AE1628=0,D1627,SUMIFS(Data!$F$10:$F$3209,Data!$E$10:$E$3209,"&gt;="&amp;$A1628,Data!$E$10:$E$3209,"&lt;"&amp;$A1628+1)/$AE1628)))</f>
        <v/>
      </c>
      <c r="E1628" s="56">
        <f>IF($B1628=0,"",IF(Inputs!$B$8="","",IF($AF1628=0,E1627,SUMIFS(Data!$J$10:$J$3209,Data!$I$10:$I$3209,"&gt;="&amp;$A1628,Data!$I$10:$I$3209,"&lt;"&amp;$A1628+1)/$AF1628)))</f>
        <v/>
      </c>
      <c r="F1628" s="56">
        <f>IF($B1628=0,"",IF(Inputs!$B$9="","",IF($AG1628=0,F1627,SUMIFS(Data!$N$10:$N$3209,Data!$M$10:$M$3209,"&gt;="&amp;$A1628,Data!$M$10:$M$3209,"&lt;"&amp;$A1628+1)/$AG1628)))</f>
        <v/>
      </c>
      <c r="G1628" s="56">
        <f>IF($B1628=0,"",IF(Inputs!$B$10="","",IF($AH1628=0,G1627,SUMIFS(Data!$R$10:$R$3209,Data!$Q$10:$Q$3209,"&gt;="&amp;$A1628,Data!$Q$10:$Q$3209,"&lt;"&amp;$A1628+1)/$AH1628)))</f>
        <v/>
      </c>
      <c r="I1628" s="54">
        <f>IF($B1628=0,NA(),IF($C1628="",NA(),IF(C$8="",NA(),IF(N(C$8)=0,NA(),IF(Inputs!$C$17="Rebased to 100",$C1628/C$8*100,$C1628)))))</f>
        <v/>
      </c>
      <c r="J1628" s="54">
        <f>IF($B1628=0,NA(),IF($D1628="",NA(),IF(D$8="",NA(),IF(N(D$8)=0,NA(),IF(Inputs!$C$17="Rebased to 100",$D1628/D$8*100,$D1628)))))</f>
        <v/>
      </c>
      <c r="K1628" s="54">
        <f>IF($B1628=0,NA(),IF($E1628="",NA(),IF(E$8="",NA(),IF(N(E$8)=0,NA(),IF(Inputs!$C$17="Rebased to 100",$E1628/E$8*100,$E1628)))))</f>
        <v/>
      </c>
      <c r="L1628" s="54">
        <f>IF($B1628=0,NA(),IF($F1628="",NA(),IF(F$8="",NA(),IF(N(F$8)=0,NA(),IF(Inputs!$C$17="Rebased to 100",$F1628/F$8*100,$F1628)))))</f>
        <v/>
      </c>
      <c r="M1628" s="54">
        <f>IF($B1628=0,NA(),IF($G1628="",NA(),IF(G$8="",NA(),IF(N(G$8)=0,NA(),IF(Inputs!$C$17="Rebased to 100",$G1628/G$8*100,$G1628)))))</f>
        <v/>
      </c>
      <c r="N1628" s="54">
        <f>IF($B1628=0,NA(),IF(Inputs!$C$18&lt;&gt;"Yes",NA(),IF(COUNT(I1628,J1628,K1628,L1628,M1628)=0,NA(),MIN(I1628,J1628,K1628,L1628,M1628))))</f>
        <v/>
      </c>
      <c r="O1628" s="54">
        <f>IF($B1628=0,NA(),IF(Inputs!$B$24&lt;&gt;"Yes",NA(),Inputs!$D$24*Inputs!$C$35))</f>
        <v/>
      </c>
      <c r="P1628" s="54">
        <f>IF($B1628=0,NA(),IF(Inputs!$B$25&lt;&gt;"Yes",NA(),Inputs!$D$25*Inputs!$C$35))</f>
        <v/>
      </c>
      <c r="Q1628" s="54">
        <f>IF($B1628=0,NA(),IF(Inputs!$B$26&lt;&gt;"Yes",NA(),Inputs!$D$26*Inputs!$C$35))</f>
        <v/>
      </c>
      <c r="R1628" s="54">
        <f>IF($B1628=0,NA(),IF(Inputs!$B$27&lt;&gt;"Yes",NA(),Inputs!$D$27*Inputs!$C$35))</f>
        <v/>
      </c>
      <c r="S1628" s="54">
        <f>IF($B1628=0,NA(),IF(Inputs!$B$28&lt;&gt;"Yes",NA(),Inputs!$D$28*Inputs!$C$35))</f>
        <v/>
      </c>
      <c r="T1628" s="54">
        <f>IF($B1628=0,NA(),IF(Inputs!$B$29&lt;&gt;"Yes",NA(),Inputs!$D$29*Inputs!$C$35))</f>
        <v/>
      </c>
      <c r="AD1628">
        <f>IF($B1628=0,0,IF(Inputs!$B$6="",0,COUNTIFS(Data!$A$10:$A$3209,"&gt;="&amp;$A1628,Data!$A$10:$A$3209,"&lt;"&amp;$A1628+1)))</f>
        <v/>
      </c>
      <c r="AE1628">
        <f>IF($B1628=0,0,IF(Inputs!$B$7="",0,COUNTIFS(Data!$E$10:$E$3209,"&gt;="&amp;$A1628,Data!$E$10:$E$3209,"&lt;"&amp;$A1628+1)))</f>
        <v/>
      </c>
      <c r="AF1628">
        <f>IF($B1628=0,0,IF(Inputs!$B$8="",0,COUNTIFS(Data!$I$10:$I$3209,"&gt;="&amp;$A1628,Data!$I$10:$I$3209,"&lt;"&amp;$A1628+1)))</f>
        <v/>
      </c>
      <c r="AG1628">
        <f>IF($B1628=0,0,IF(Inputs!$B$9="",0,COUNTIFS(Data!$M$10:$M$3209,"&gt;="&amp;$A1628,Data!$M$10:$M$3209,"&lt;"&amp;$A1628+1)))</f>
        <v/>
      </c>
      <c r="AH1628">
        <f>IF($B1628=0,0,IF(Inputs!$B$10="",0,COUNTIFS(Data!$Q$10:$Q$3209,"&gt;="&amp;$A1628,Data!$Q$10:$Q$3209,"&lt;"&amp;$A1628+1)))</f>
        <v/>
      </c>
    </row>
    <row r="1629">
      <c r="A1629" s="55">
        <f>MIN(Inputs!$C$15,$A1628+IF(WEEKDAY($A1628,2)=5,3,1))</f>
        <v/>
      </c>
      <c r="B1629">
        <f>IF($A1629&gt;$A1628,1,0)</f>
        <v/>
      </c>
      <c r="C1629" s="56">
        <f>IF($B1629=0,"",IF(Inputs!$B$6="","",IF($AD1629=0,C1628,SUMIFS(Data!$B$10:$B$3209,Data!$A$10:$A$3209,"&gt;="&amp;$A1629,Data!$A$10:$A$3209,"&lt;"&amp;$A1629+1)/$AD1629)))</f>
        <v/>
      </c>
      <c r="D1629" s="56">
        <f>IF($B1629=0,"",IF(Inputs!$B$7="","",IF($AE1629=0,D1628,SUMIFS(Data!$F$10:$F$3209,Data!$E$10:$E$3209,"&gt;="&amp;$A1629,Data!$E$10:$E$3209,"&lt;"&amp;$A1629+1)/$AE1629)))</f>
        <v/>
      </c>
      <c r="E1629" s="56">
        <f>IF($B1629=0,"",IF(Inputs!$B$8="","",IF($AF1629=0,E1628,SUMIFS(Data!$J$10:$J$3209,Data!$I$10:$I$3209,"&gt;="&amp;$A1629,Data!$I$10:$I$3209,"&lt;"&amp;$A1629+1)/$AF1629)))</f>
        <v/>
      </c>
      <c r="F1629" s="56">
        <f>IF($B1629=0,"",IF(Inputs!$B$9="","",IF($AG1629=0,F1628,SUMIFS(Data!$N$10:$N$3209,Data!$M$10:$M$3209,"&gt;="&amp;$A1629,Data!$M$10:$M$3209,"&lt;"&amp;$A1629+1)/$AG1629)))</f>
        <v/>
      </c>
      <c r="G1629" s="56">
        <f>IF($B1629=0,"",IF(Inputs!$B$10="","",IF($AH1629=0,G1628,SUMIFS(Data!$R$10:$R$3209,Data!$Q$10:$Q$3209,"&gt;="&amp;$A1629,Data!$Q$10:$Q$3209,"&lt;"&amp;$A1629+1)/$AH1629)))</f>
        <v/>
      </c>
      <c r="I1629" s="54">
        <f>IF($B1629=0,NA(),IF($C1629="",NA(),IF(C$8="",NA(),IF(N(C$8)=0,NA(),IF(Inputs!$C$17="Rebased to 100",$C1629/C$8*100,$C1629)))))</f>
        <v/>
      </c>
      <c r="J1629" s="54">
        <f>IF($B1629=0,NA(),IF($D1629="",NA(),IF(D$8="",NA(),IF(N(D$8)=0,NA(),IF(Inputs!$C$17="Rebased to 100",$D1629/D$8*100,$D1629)))))</f>
        <v/>
      </c>
      <c r="K1629" s="54">
        <f>IF($B1629=0,NA(),IF($E1629="",NA(),IF(E$8="",NA(),IF(N(E$8)=0,NA(),IF(Inputs!$C$17="Rebased to 100",$E1629/E$8*100,$E1629)))))</f>
        <v/>
      </c>
      <c r="L1629" s="54">
        <f>IF($B1629=0,NA(),IF($F1629="",NA(),IF(F$8="",NA(),IF(N(F$8)=0,NA(),IF(Inputs!$C$17="Rebased to 100",$F1629/F$8*100,$F1629)))))</f>
        <v/>
      </c>
      <c r="M1629" s="54">
        <f>IF($B1629=0,NA(),IF($G1629="",NA(),IF(G$8="",NA(),IF(N(G$8)=0,NA(),IF(Inputs!$C$17="Rebased to 100",$G1629/G$8*100,$G1629)))))</f>
        <v/>
      </c>
      <c r="N1629" s="54">
        <f>IF($B1629=0,NA(),IF(Inputs!$C$18&lt;&gt;"Yes",NA(),IF(COUNT(I1629,J1629,K1629,L1629,M1629)=0,NA(),MIN(I1629,J1629,K1629,L1629,M1629))))</f>
        <v/>
      </c>
      <c r="O1629" s="54">
        <f>IF($B1629=0,NA(),IF(Inputs!$B$24&lt;&gt;"Yes",NA(),Inputs!$D$24*Inputs!$C$35))</f>
        <v/>
      </c>
      <c r="P1629" s="54">
        <f>IF($B1629=0,NA(),IF(Inputs!$B$25&lt;&gt;"Yes",NA(),Inputs!$D$25*Inputs!$C$35))</f>
        <v/>
      </c>
      <c r="Q1629" s="54">
        <f>IF($B1629=0,NA(),IF(Inputs!$B$26&lt;&gt;"Yes",NA(),Inputs!$D$26*Inputs!$C$35))</f>
        <v/>
      </c>
      <c r="R1629" s="54">
        <f>IF($B1629=0,NA(),IF(Inputs!$B$27&lt;&gt;"Yes",NA(),Inputs!$D$27*Inputs!$C$35))</f>
        <v/>
      </c>
      <c r="S1629" s="54">
        <f>IF($B1629=0,NA(),IF(Inputs!$B$28&lt;&gt;"Yes",NA(),Inputs!$D$28*Inputs!$C$35))</f>
        <v/>
      </c>
      <c r="T1629" s="54">
        <f>IF($B1629=0,NA(),IF(Inputs!$B$29&lt;&gt;"Yes",NA(),Inputs!$D$29*Inputs!$C$35))</f>
        <v/>
      </c>
      <c r="AD1629">
        <f>IF($B1629=0,0,IF(Inputs!$B$6="",0,COUNTIFS(Data!$A$10:$A$3209,"&gt;="&amp;$A1629,Data!$A$10:$A$3209,"&lt;"&amp;$A1629+1)))</f>
        <v/>
      </c>
      <c r="AE1629">
        <f>IF($B1629=0,0,IF(Inputs!$B$7="",0,COUNTIFS(Data!$E$10:$E$3209,"&gt;="&amp;$A1629,Data!$E$10:$E$3209,"&lt;"&amp;$A1629+1)))</f>
        <v/>
      </c>
      <c r="AF1629">
        <f>IF($B1629=0,0,IF(Inputs!$B$8="",0,COUNTIFS(Data!$I$10:$I$3209,"&gt;="&amp;$A1629,Data!$I$10:$I$3209,"&lt;"&amp;$A1629+1)))</f>
        <v/>
      </c>
      <c r="AG1629">
        <f>IF($B1629=0,0,IF(Inputs!$B$9="",0,COUNTIFS(Data!$M$10:$M$3209,"&gt;="&amp;$A1629,Data!$M$10:$M$3209,"&lt;"&amp;$A1629+1)))</f>
        <v/>
      </c>
      <c r="AH1629">
        <f>IF($B1629=0,0,IF(Inputs!$B$10="",0,COUNTIFS(Data!$Q$10:$Q$3209,"&gt;="&amp;$A1629,Data!$Q$10:$Q$3209,"&lt;"&amp;$A1629+1)))</f>
        <v/>
      </c>
    </row>
    <row r="1630">
      <c r="A1630" s="55">
        <f>MIN(Inputs!$C$15,$A1629+IF(WEEKDAY($A1629,2)=5,3,1))</f>
        <v/>
      </c>
      <c r="B1630">
        <f>IF($A1630&gt;$A1629,1,0)</f>
        <v/>
      </c>
      <c r="C1630" s="56">
        <f>IF($B1630=0,"",IF(Inputs!$B$6="","",IF($AD1630=0,C1629,SUMIFS(Data!$B$10:$B$3209,Data!$A$10:$A$3209,"&gt;="&amp;$A1630,Data!$A$10:$A$3209,"&lt;"&amp;$A1630+1)/$AD1630)))</f>
        <v/>
      </c>
      <c r="D1630" s="56">
        <f>IF($B1630=0,"",IF(Inputs!$B$7="","",IF($AE1630=0,D1629,SUMIFS(Data!$F$10:$F$3209,Data!$E$10:$E$3209,"&gt;="&amp;$A1630,Data!$E$10:$E$3209,"&lt;"&amp;$A1630+1)/$AE1630)))</f>
        <v/>
      </c>
      <c r="E1630" s="56">
        <f>IF($B1630=0,"",IF(Inputs!$B$8="","",IF($AF1630=0,E1629,SUMIFS(Data!$J$10:$J$3209,Data!$I$10:$I$3209,"&gt;="&amp;$A1630,Data!$I$10:$I$3209,"&lt;"&amp;$A1630+1)/$AF1630)))</f>
        <v/>
      </c>
      <c r="F1630" s="56">
        <f>IF($B1630=0,"",IF(Inputs!$B$9="","",IF($AG1630=0,F1629,SUMIFS(Data!$N$10:$N$3209,Data!$M$10:$M$3209,"&gt;="&amp;$A1630,Data!$M$10:$M$3209,"&lt;"&amp;$A1630+1)/$AG1630)))</f>
        <v/>
      </c>
      <c r="G1630" s="56">
        <f>IF($B1630=0,"",IF(Inputs!$B$10="","",IF($AH1630=0,G1629,SUMIFS(Data!$R$10:$R$3209,Data!$Q$10:$Q$3209,"&gt;="&amp;$A1630,Data!$Q$10:$Q$3209,"&lt;"&amp;$A1630+1)/$AH1630)))</f>
        <v/>
      </c>
      <c r="I1630" s="54">
        <f>IF($B1630=0,NA(),IF($C1630="",NA(),IF(C$8="",NA(),IF(N(C$8)=0,NA(),IF(Inputs!$C$17="Rebased to 100",$C1630/C$8*100,$C1630)))))</f>
        <v/>
      </c>
      <c r="J1630" s="54">
        <f>IF($B1630=0,NA(),IF($D1630="",NA(),IF(D$8="",NA(),IF(N(D$8)=0,NA(),IF(Inputs!$C$17="Rebased to 100",$D1630/D$8*100,$D1630)))))</f>
        <v/>
      </c>
      <c r="K1630" s="54">
        <f>IF($B1630=0,NA(),IF($E1630="",NA(),IF(E$8="",NA(),IF(N(E$8)=0,NA(),IF(Inputs!$C$17="Rebased to 100",$E1630/E$8*100,$E1630)))))</f>
        <v/>
      </c>
      <c r="L1630" s="54">
        <f>IF($B1630=0,NA(),IF($F1630="",NA(),IF(F$8="",NA(),IF(N(F$8)=0,NA(),IF(Inputs!$C$17="Rebased to 100",$F1630/F$8*100,$F1630)))))</f>
        <v/>
      </c>
      <c r="M1630" s="54">
        <f>IF($B1630=0,NA(),IF($G1630="",NA(),IF(G$8="",NA(),IF(N(G$8)=0,NA(),IF(Inputs!$C$17="Rebased to 100",$G1630/G$8*100,$G1630)))))</f>
        <v/>
      </c>
      <c r="N1630" s="54">
        <f>IF($B1630=0,NA(),IF(Inputs!$C$18&lt;&gt;"Yes",NA(),IF(COUNT(I1630,J1630,K1630,L1630,M1630)=0,NA(),MIN(I1630,J1630,K1630,L1630,M1630))))</f>
        <v/>
      </c>
      <c r="O1630" s="54">
        <f>IF($B1630=0,NA(),IF(Inputs!$B$24&lt;&gt;"Yes",NA(),Inputs!$D$24*Inputs!$C$35))</f>
        <v/>
      </c>
      <c r="P1630" s="54">
        <f>IF($B1630=0,NA(),IF(Inputs!$B$25&lt;&gt;"Yes",NA(),Inputs!$D$25*Inputs!$C$35))</f>
        <v/>
      </c>
      <c r="Q1630" s="54">
        <f>IF($B1630=0,NA(),IF(Inputs!$B$26&lt;&gt;"Yes",NA(),Inputs!$D$26*Inputs!$C$35))</f>
        <v/>
      </c>
      <c r="R1630" s="54">
        <f>IF($B1630=0,NA(),IF(Inputs!$B$27&lt;&gt;"Yes",NA(),Inputs!$D$27*Inputs!$C$35))</f>
        <v/>
      </c>
      <c r="S1630" s="54">
        <f>IF($B1630=0,NA(),IF(Inputs!$B$28&lt;&gt;"Yes",NA(),Inputs!$D$28*Inputs!$C$35))</f>
        <v/>
      </c>
      <c r="T1630" s="54">
        <f>IF($B1630=0,NA(),IF(Inputs!$B$29&lt;&gt;"Yes",NA(),Inputs!$D$29*Inputs!$C$35))</f>
        <v/>
      </c>
      <c r="AD1630">
        <f>IF($B1630=0,0,IF(Inputs!$B$6="",0,COUNTIFS(Data!$A$10:$A$3209,"&gt;="&amp;$A1630,Data!$A$10:$A$3209,"&lt;"&amp;$A1630+1)))</f>
        <v/>
      </c>
      <c r="AE1630">
        <f>IF($B1630=0,0,IF(Inputs!$B$7="",0,COUNTIFS(Data!$E$10:$E$3209,"&gt;="&amp;$A1630,Data!$E$10:$E$3209,"&lt;"&amp;$A1630+1)))</f>
        <v/>
      </c>
      <c r="AF1630">
        <f>IF($B1630=0,0,IF(Inputs!$B$8="",0,COUNTIFS(Data!$I$10:$I$3209,"&gt;="&amp;$A1630,Data!$I$10:$I$3209,"&lt;"&amp;$A1630+1)))</f>
        <v/>
      </c>
      <c r="AG1630">
        <f>IF($B1630=0,0,IF(Inputs!$B$9="",0,COUNTIFS(Data!$M$10:$M$3209,"&gt;="&amp;$A1630,Data!$M$10:$M$3209,"&lt;"&amp;$A1630+1)))</f>
        <v/>
      </c>
      <c r="AH1630">
        <f>IF($B1630=0,0,IF(Inputs!$B$10="",0,COUNTIFS(Data!$Q$10:$Q$3209,"&gt;="&amp;$A1630,Data!$Q$10:$Q$3209,"&lt;"&amp;$A1630+1)))</f>
        <v/>
      </c>
    </row>
    <row r="1631">
      <c r="A1631" s="55">
        <f>MIN(Inputs!$C$15,$A1630+IF(WEEKDAY($A1630,2)=5,3,1))</f>
        <v/>
      </c>
      <c r="B1631">
        <f>IF($A1631&gt;$A1630,1,0)</f>
        <v/>
      </c>
      <c r="C1631" s="56">
        <f>IF($B1631=0,"",IF(Inputs!$B$6="","",IF($AD1631=0,C1630,SUMIFS(Data!$B$10:$B$3209,Data!$A$10:$A$3209,"&gt;="&amp;$A1631,Data!$A$10:$A$3209,"&lt;"&amp;$A1631+1)/$AD1631)))</f>
        <v/>
      </c>
      <c r="D1631" s="56">
        <f>IF($B1631=0,"",IF(Inputs!$B$7="","",IF($AE1631=0,D1630,SUMIFS(Data!$F$10:$F$3209,Data!$E$10:$E$3209,"&gt;="&amp;$A1631,Data!$E$10:$E$3209,"&lt;"&amp;$A1631+1)/$AE1631)))</f>
        <v/>
      </c>
      <c r="E1631" s="56">
        <f>IF($B1631=0,"",IF(Inputs!$B$8="","",IF($AF1631=0,E1630,SUMIFS(Data!$J$10:$J$3209,Data!$I$10:$I$3209,"&gt;="&amp;$A1631,Data!$I$10:$I$3209,"&lt;"&amp;$A1631+1)/$AF1631)))</f>
        <v/>
      </c>
      <c r="F1631" s="56">
        <f>IF($B1631=0,"",IF(Inputs!$B$9="","",IF($AG1631=0,F1630,SUMIFS(Data!$N$10:$N$3209,Data!$M$10:$M$3209,"&gt;="&amp;$A1631,Data!$M$10:$M$3209,"&lt;"&amp;$A1631+1)/$AG1631)))</f>
        <v/>
      </c>
      <c r="G1631" s="56">
        <f>IF($B1631=0,"",IF(Inputs!$B$10="","",IF($AH1631=0,G1630,SUMIFS(Data!$R$10:$R$3209,Data!$Q$10:$Q$3209,"&gt;="&amp;$A1631,Data!$Q$10:$Q$3209,"&lt;"&amp;$A1631+1)/$AH1631)))</f>
        <v/>
      </c>
      <c r="I1631" s="54">
        <f>IF($B1631=0,NA(),IF($C1631="",NA(),IF(C$8="",NA(),IF(N(C$8)=0,NA(),IF(Inputs!$C$17="Rebased to 100",$C1631/C$8*100,$C1631)))))</f>
        <v/>
      </c>
      <c r="J1631" s="54">
        <f>IF($B1631=0,NA(),IF($D1631="",NA(),IF(D$8="",NA(),IF(N(D$8)=0,NA(),IF(Inputs!$C$17="Rebased to 100",$D1631/D$8*100,$D1631)))))</f>
        <v/>
      </c>
      <c r="K1631" s="54">
        <f>IF($B1631=0,NA(),IF($E1631="",NA(),IF(E$8="",NA(),IF(N(E$8)=0,NA(),IF(Inputs!$C$17="Rebased to 100",$E1631/E$8*100,$E1631)))))</f>
        <v/>
      </c>
      <c r="L1631" s="54">
        <f>IF($B1631=0,NA(),IF($F1631="",NA(),IF(F$8="",NA(),IF(N(F$8)=0,NA(),IF(Inputs!$C$17="Rebased to 100",$F1631/F$8*100,$F1631)))))</f>
        <v/>
      </c>
      <c r="M1631" s="54">
        <f>IF($B1631=0,NA(),IF($G1631="",NA(),IF(G$8="",NA(),IF(N(G$8)=0,NA(),IF(Inputs!$C$17="Rebased to 100",$G1631/G$8*100,$G1631)))))</f>
        <v/>
      </c>
      <c r="N1631" s="54">
        <f>IF($B1631=0,NA(),IF(Inputs!$C$18&lt;&gt;"Yes",NA(),IF(COUNT(I1631,J1631,K1631,L1631,M1631)=0,NA(),MIN(I1631,J1631,K1631,L1631,M1631))))</f>
        <v/>
      </c>
      <c r="O1631" s="54">
        <f>IF($B1631=0,NA(),IF(Inputs!$B$24&lt;&gt;"Yes",NA(),Inputs!$D$24*Inputs!$C$35))</f>
        <v/>
      </c>
      <c r="P1631" s="54">
        <f>IF($B1631=0,NA(),IF(Inputs!$B$25&lt;&gt;"Yes",NA(),Inputs!$D$25*Inputs!$C$35))</f>
        <v/>
      </c>
      <c r="Q1631" s="54">
        <f>IF($B1631=0,NA(),IF(Inputs!$B$26&lt;&gt;"Yes",NA(),Inputs!$D$26*Inputs!$C$35))</f>
        <v/>
      </c>
      <c r="R1631" s="54">
        <f>IF($B1631=0,NA(),IF(Inputs!$B$27&lt;&gt;"Yes",NA(),Inputs!$D$27*Inputs!$C$35))</f>
        <v/>
      </c>
      <c r="S1631" s="54">
        <f>IF($B1631=0,NA(),IF(Inputs!$B$28&lt;&gt;"Yes",NA(),Inputs!$D$28*Inputs!$C$35))</f>
        <v/>
      </c>
      <c r="T1631" s="54">
        <f>IF($B1631=0,NA(),IF(Inputs!$B$29&lt;&gt;"Yes",NA(),Inputs!$D$29*Inputs!$C$35))</f>
        <v/>
      </c>
      <c r="AD1631">
        <f>IF($B1631=0,0,IF(Inputs!$B$6="",0,COUNTIFS(Data!$A$10:$A$3209,"&gt;="&amp;$A1631,Data!$A$10:$A$3209,"&lt;"&amp;$A1631+1)))</f>
        <v/>
      </c>
      <c r="AE1631">
        <f>IF($B1631=0,0,IF(Inputs!$B$7="",0,COUNTIFS(Data!$E$10:$E$3209,"&gt;="&amp;$A1631,Data!$E$10:$E$3209,"&lt;"&amp;$A1631+1)))</f>
        <v/>
      </c>
      <c r="AF1631">
        <f>IF($B1631=0,0,IF(Inputs!$B$8="",0,COUNTIFS(Data!$I$10:$I$3209,"&gt;="&amp;$A1631,Data!$I$10:$I$3209,"&lt;"&amp;$A1631+1)))</f>
        <v/>
      </c>
      <c r="AG1631">
        <f>IF($B1631=0,0,IF(Inputs!$B$9="",0,COUNTIFS(Data!$M$10:$M$3209,"&gt;="&amp;$A1631,Data!$M$10:$M$3209,"&lt;"&amp;$A1631+1)))</f>
        <v/>
      </c>
      <c r="AH1631">
        <f>IF($B1631=0,0,IF(Inputs!$B$10="",0,COUNTIFS(Data!$Q$10:$Q$3209,"&gt;="&amp;$A1631,Data!$Q$10:$Q$3209,"&lt;"&amp;$A1631+1)))</f>
        <v/>
      </c>
    </row>
    <row r="1632">
      <c r="A1632" s="55">
        <f>MIN(Inputs!$C$15,$A1631+IF(WEEKDAY($A1631,2)=5,3,1))</f>
        <v/>
      </c>
      <c r="B1632">
        <f>IF($A1632&gt;$A1631,1,0)</f>
        <v/>
      </c>
      <c r="C1632" s="56">
        <f>IF($B1632=0,"",IF(Inputs!$B$6="","",IF($AD1632=0,C1631,SUMIFS(Data!$B$10:$B$3209,Data!$A$10:$A$3209,"&gt;="&amp;$A1632,Data!$A$10:$A$3209,"&lt;"&amp;$A1632+1)/$AD1632)))</f>
        <v/>
      </c>
      <c r="D1632" s="56">
        <f>IF($B1632=0,"",IF(Inputs!$B$7="","",IF($AE1632=0,D1631,SUMIFS(Data!$F$10:$F$3209,Data!$E$10:$E$3209,"&gt;="&amp;$A1632,Data!$E$10:$E$3209,"&lt;"&amp;$A1632+1)/$AE1632)))</f>
        <v/>
      </c>
      <c r="E1632" s="56">
        <f>IF($B1632=0,"",IF(Inputs!$B$8="","",IF($AF1632=0,E1631,SUMIFS(Data!$J$10:$J$3209,Data!$I$10:$I$3209,"&gt;="&amp;$A1632,Data!$I$10:$I$3209,"&lt;"&amp;$A1632+1)/$AF1632)))</f>
        <v/>
      </c>
      <c r="F1632" s="56">
        <f>IF($B1632=0,"",IF(Inputs!$B$9="","",IF($AG1632=0,F1631,SUMIFS(Data!$N$10:$N$3209,Data!$M$10:$M$3209,"&gt;="&amp;$A1632,Data!$M$10:$M$3209,"&lt;"&amp;$A1632+1)/$AG1632)))</f>
        <v/>
      </c>
      <c r="G1632" s="56">
        <f>IF($B1632=0,"",IF(Inputs!$B$10="","",IF($AH1632=0,G1631,SUMIFS(Data!$R$10:$R$3209,Data!$Q$10:$Q$3209,"&gt;="&amp;$A1632,Data!$Q$10:$Q$3209,"&lt;"&amp;$A1632+1)/$AH1632)))</f>
        <v/>
      </c>
      <c r="I1632" s="54">
        <f>IF($B1632=0,NA(),IF($C1632="",NA(),IF(C$8="",NA(),IF(N(C$8)=0,NA(),IF(Inputs!$C$17="Rebased to 100",$C1632/C$8*100,$C1632)))))</f>
        <v/>
      </c>
      <c r="J1632" s="54">
        <f>IF($B1632=0,NA(),IF($D1632="",NA(),IF(D$8="",NA(),IF(N(D$8)=0,NA(),IF(Inputs!$C$17="Rebased to 100",$D1632/D$8*100,$D1632)))))</f>
        <v/>
      </c>
      <c r="K1632" s="54">
        <f>IF($B1632=0,NA(),IF($E1632="",NA(),IF(E$8="",NA(),IF(N(E$8)=0,NA(),IF(Inputs!$C$17="Rebased to 100",$E1632/E$8*100,$E1632)))))</f>
        <v/>
      </c>
      <c r="L1632" s="54">
        <f>IF($B1632=0,NA(),IF($F1632="",NA(),IF(F$8="",NA(),IF(N(F$8)=0,NA(),IF(Inputs!$C$17="Rebased to 100",$F1632/F$8*100,$F1632)))))</f>
        <v/>
      </c>
      <c r="M1632" s="54">
        <f>IF($B1632=0,NA(),IF($G1632="",NA(),IF(G$8="",NA(),IF(N(G$8)=0,NA(),IF(Inputs!$C$17="Rebased to 100",$G1632/G$8*100,$G1632)))))</f>
        <v/>
      </c>
      <c r="N1632" s="54">
        <f>IF($B1632=0,NA(),IF(Inputs!$C$18&lt;&gt;"Yes",NA(),IF(COUNT(I1632,J1632,K1632,L1632,M1632)=0,NA(),MIN(I1632,J1632,K1632,L1632,M1632))))</f>
        <v/>
      </c>
      <c r="O1632" s="54">
        <f>IF($B1632=0,NA(),IF(Inputs!$B$24&lt;&gt;"Yes",NA(),Inputs!$D$24*Inputs!$C$35))</f>
        <v/>
      </c>
      <c r="P1632" s="54">
        <f>IF($B1632=0,NA(),IF(Inputs!$B$25&lt;&gt;"Yes",NA(),Inputs!$D$25*Inputs!$C$35))</f>
        <v/>
      </c>
      <c r="Q1632" s="54">
        <f>IF($B1632=0,NA(),IF(Inputs!$B$26&lt;&gt;"Yes",NA(),Inputs!$D$26*Inputs!$C$35))</f>
        <v/>
      </c>
      <c r="R1632" s="54">
        <f>IF($B1632=0,NA(),IF(Inputs!$B$27&lt;&gt;"Yes",NA(),Inputs!$D$27*Inputs!$C$35))</f>
        <v/>
      </c>
      <c r="S1632" s="54">
        <f>IF($B1632=0,NA(),IF(Inputs!$B$28&lt;&gt;"Yes",NA(),Inputs!$D$28*Inputs!$C$35))</f>
        <v/>
      </c>
      <c r="T1632" s="54">
        <f>IF($B1632=0,NA(),IF(Inputs!$B$29&lt;&gt;"Yes",NA(),Inputs!$D$29*Inputs!$C$35))</f>
        <v/>
      </c>
      <c r="AD1632">
        <f>IF($B1632=0,0,IF(Inputs!$B$6="",0,COUNTIFS(Data!$A$10:$A$3209,"&gt;="&amp;$A1632,Data!$A$10:$A$3209,"&lt;"&amp;$A1632+1)))</f>
        <v/>
      </c>
      <c r="AE1632">
        <f>IF($B1632=0,0,IF(Inputs!$B$7="",0,COUNTIFS(Data!$E$10:$E$3209,"&gt;="&amp;$A1632,Data!$E$10:$E$3209,"&lt;"&amp;$A1632+1)))</f>
        <v/>
      </c>
      <c r="AF1632">
        <f>IF($B1632=0,0,IF(Inputs!$B$8="",0,COUNTIFS(Data!$I$10:$I$3209,"&gt;="&amp;$A1632,Data!$I$10:$I$3209,"&lt;"&amp;$A1632+1)))</f>
        <v/>
      </c>
      <c r="AG1632">
        <f>IF($B1632=0,0,IF(Inputs!$B$9="",0,COUNTIFS(Data!$M$10:$M$3209,"&gt;="&amp;$A1632,Data!$M$10:$M$3209,"&lt;"&amp;$A1632+1)))</f>
        <v/>
      </c>
      <c r="AH1632">
        <f>IF($B1632=0,0,IF(Inputs!$B$10="",0,COUNTIFS(Data!$Q$10:$Q$3209,"&gt;="&amp;$A1632,Data!$Q$10:$Q$3209,"&lt;"&amp;$A1632+1)))</f>
        <v/>
      </c>
    </row>
    <row r="1633">
      <c r="A1633" s="55">
        <f>MIN(Inputs!$C$15,$A1632+IF(WEEKDAY($A1632,2)=5,3,1))</f>
        <v/>
      </c>
      <c r="B1633">
        <f>IF($A1633&gt;$A1632,1,0)</f>
        <v/>
      </c>
      <c r="C1633" s="56">
        <f>IF($B1633=0,"",IF(Inputs!$B$6="","",IF($AD1633=0,C1632,SUMIFS(Data!$B$10:$B$3209,Data!$A$10:$A$3209,"&gt;="&amp;$A1633,Data!$A$10:$A$3209,"&lt;"&amp;$A1633+1)/$AD1633)))</f>
        <v/>
      </c>
      <c r="D1633" s="56">
        <f>IF($B1633=0,"",IF(Inputs!$B$7="","",IF($AE1633=0,D1632,SUMIFS(Data!$F$10:$F$3209,Data!$E$10:$E$3209,"&gt;="&amp;$A1633,Data!$E$10:$E$3209,"&lt;"&amp;$A1633+1)/$AE1633)))</f>
        <v/>
      </c>
      <c r="E1633" s="56">
        <f>IF($B1633=0,"",IF(Inputs!$B$8="","",IF($AF1633=0,E1632,SUMIFS(Data!$J$10:$J$3209,Data!$I$10:$I$3209,"&gt;="&amp;$A1633,Data!$I$10:$I$3209,"&lt;"&amp;$A1633+1)/$AF1633)))</f>
        <v/>
      </c>
      <c r="F1633" s="56">
        <f>IF($B1633=0,"",IF(Inputs!$B$9="","",IF($AG1633=0,F1632,SUMIFS(Data!$N$10:$N$3209,Data!$M$10:$M$3209,"&gt;="&amp;$A1633,Data!$M$10:$M$3209,"&lt;"&amp;$A1633+1)/$AG1633)))</f>
        <v/>
      </c>
      <c r="G1633" s="56">
        <f>IF($B1633=0,"",IF(Inputs!$B$10="","",IF($AH1633=0,G1632,SUMIFS(Data!$R$10:$R$3209,Data!$Q$10:$Q$3209,"&gt;="&amp;$A1633,Data!$Q$10:$Q$3209,"&lt;"&amp;$A1633+1)/$AH1633)))</f>
        <v/>
      </c>
      <c r="I1633" s="54">
        <f>IF($B1633=0,NA(),IF($C1633="",NA(),IF(C$8="",NA(),IF(N(C$8)=0,NA(),IF(Inputs!$C$17="Rebased to 100",$C1633/C$8*100,$C1633)))))</f>
        <v/>
      </c>
      <c r="J1633" s="54">
        <f>IF($B1633=0,NA(),IF($D1633="",NA(),IF(D$8="",NA(),IF(N(D$8)=0,NA(),IF(Inputs!$C$17="Rebased to 100",$D1633/D$8*100,$D1633)))))</f>
        <v/>
      </c>
      <c r="K1633" s="54">
        <f>IF($B1633=0,NA(),IF($E1633="",NA(),IF(E$8="",NA(),IF(N(E$8)=0,NA(),IF(Inputs!$C$17="Rebased to 100",$E1633/E$8*100,$E1633)))))</f>
        <v/>
      </c>
      <c r="L1633" s="54">
        <f>IF($B1633=0,NA(),IF($F1633="",NA(),IF(F$8="",NA(),IF(N(F$8)=0,NA(),IF(Inputs!$C$17="Rebased to 100",$F1633/F$8*100,$F1633)))))</f>
        <v/>
      </c>
      <c r="M1633" s="54">
        <f>IF($B1633=0,NA(),IF($G1633="",NA(),IF(G$8="",NA(),IF(N(G$8)=0,NA(),IF(Inputs!$C$17="Rebased to 100",$G1633/G$8*100,$G1633)))))</f>
        <v/>
      </c>
      <c r="N1633" s="54">
        <f>IF($B1633=0,NA(),IF(Inputs!$C$18&lt;&gt;"Yes",NA(),IF(COUNT(I1633,J1633,K1633,L1633,M1633)=0,NA(),MIN(I1633,J1633,K1633,L1633,M1633))))</f>
        <v/>
      </c>
      <c r="O1633" s="54">
        <f>IF($B1633=0,NA(),IF(Inputs!$B$24&lt;&gt;"Yes",NA(),Inputs!$D$24*Inputs!$C$35))</f>
        <v/>
      </c>
      <c r="P1633" s="54">
        <f>IF($B1633=0,NA(),IF(Inputs!$B$25&lt;&gt;"Yes",NA(),Inputs!$D$25*Inputs!$C$35))</f>
        <v/>
      </c>
      <c r="Q1633" s="54">
        <f>IF($B1633=0,NA(),IF(Inputs!$B$26&lt;&gt;"Yes",NA(),Inputs!$D$26*Inputs!$C$35))</f>
        <v/>
      </c>
      <c r="R1633" s="54">
        <f>IF($B1633=0,NA(),IF(Inputs!$B$27&lt;&gt;"Yes",NA(),Inputs!$D$27*Inputs!$C$35))</f>
        <v/>
      </c>
      <c r="S1633" s="54">
        <f>IF($B1633=0,NA(),IF(Inputs!$B$28&lt;&gt;"Yes",NA(),Inputs!$D$28*Inputs!$C$35))</f>
        <v/>
      </c>
      <c r="T1633" s="54">
        <f>IF($B1633=0,NA(),IF(Inputs!$B$29&lt;&gt;"Yes",NA(),Inputs!$D$29*Inputs!$C$35))</f>
        <v/>
      </c>
      <c r="AD1633">
        <f>IF($B1633=0,0,IF(Inputs!$B$6="",0,COUNTIFS(Data!$A$10:$A$3209,"&gt;="&amp;$A1633,Data!$A$10:$A$3209,"&lt;"&amp;$A1633+1)))</f>
        <v/>
      </c>
      <c r="AE1633">
        <f>IF($B1633=0,0,IF(Inputs!$B$7="",0,COUNTIFS(Data!$E$10:$E$3209,"&gt;="&amp;$A1633,Data!$E$10:$E$3209,"&lt;"&amp;$A1633+1)))</f>
        <v/>
      </c>
      <c r="AF1633">
        <f>IF($B1633=0,0,IF(Inputs!$B$8="",0,COUNTIFS(Data!$I$10:$I$3209,"&gt;="&amp;$A1633,Data!$I$10:$I$3209,"&lt;"&amp;$A1633+1)))</f>
        <v/>
      </c>
      <c r="AG1633">
        <f>IF($B1633=0,0,IF(Inputs!$B$9="",0,COUNTIFS(Data!$M$10:$M$3209,"&gt;="&amp;$A1633,Data!$M$10:$M$3209,"&lt;"&amp;$A1633+1)))</f>
        <v/>
      </c>
      <c r="AH1633">
        <f>IF($B1633=0,0,IF(Inputs!$B$10="",0,COUNTIFS(Data!$Q$10:$Q$3209,"&gt;="&amp;$A1633,Data!$Q$10:$Q$3209,"&lt;"&amp;$A1633+1)))</f>
        <v/>
      </c>
    </row>
    <row r="1634">
      <c r="A1634" s="55">
        <f>MIN(Inputs!$C$15,$A1633+IF(WEEKDAY($A1633,2)=5,3,1))</f>
        <v/>
      </c>
      <c r="B1634">
        <f>IF($A1634&gt;$A1633,1,0)</f>
        <v/>
      </c>
      <c r="C1634" s="56">
        <f>IF($B1634=0,"",IF(Inputs!$B$6="","",IF($AD1634=0,C1633,SUMIFS(Data!$B$10:$B$3209,Data!$A$10:$A$3209,"&gt;="&amp;$A1634,Data!$A$10:$A$3209,"&lt;"&amp;$A1634+1)/$AD1634)))</f>
        <v/>
      </c>
      <c r="D1634" s="56">
        <f>IF($B1634=0,"",IF(Inputs!$B$7="","",IF($AE1634=0,D1633,SUMIFS(Data!$F$10:$F$3209,Data!$E$10:$E$3209,"&gt;="&amp;$A1634,Data!$E$10:$E$3209,"&lt;"&amp;$A1634+1)/$AE1634)))</f>
        <v/>
      </c>
      <c r="E1634" s="56">
        <f>IF($B1634=0,"",IF(Inputs!$B$8="","",IF($AF1634=0,E1633,SUMIFS(Data!$J$10:$J$3209,Data!$I$10:$I$3209,"&gt;="&amp;$A1634,Data!$I$10:$I$3209,"&lt;"&amp;$A1634+1)/$AF1634)))</f>
        <v/>
      </c>
      <c r="F1634" s="56">
        <f>IF($B1634=0,"",IF(Inputs!$B$9="","",IF($AG1634=0,F1633,SUMIFS(Data!$N$10:$N$3209,Data!$M$10:$M$3209,"&gt;="&amp;$A1634,Data!$M$10:$M$3209,"&lt;"&amp;$A1634+1)/$AG1634)))</f>
        <v/>
      </c>
      <c r="G1634" s="56">
        <f>IF($B1634=0,"",IF(Inputs!$B$10="","",IF($AH1634=0,G1633,SUMIFS(Data!$R$10:$R$3209,Data!$Q$10:$Q$3209,"&gt;="&amp;$A1634,Data!$Q$10:$Q$3209,"&lt;"&amp;$A1634+1)/$AH1634)))</f>
        <v/>
      </c>
      <c r="I1634" s="54">
        <f>IF($B1634=0,NA(),IF($C1634="",NA(),IF(C$8="",NA(),IF(N(C$8)=0,NA(),IF(Inputs!$C$17="Rebased to 100",$C1634/C$8*100,$C1634)))))</f>
        <v/>
      </c>
      <c r="J1634" s="54">
        <f>IF($B1634=0,NA(),IF($D1634="",NA(),IF(D$8="",NA(),IF(N(D$8)=0,NA(),IF(Inputs!$C$17="Rebased to 100",$D1634/D$8*100,$D1634)))))</f>
        <v/>
      </c>
      <c r="K1634" s="54">
        <f>IF($B1634=0,NA(),IF($E1634="",NA(),IF(E$8="",NA(),IF(N(E$8)=0,NA(),IF(Inputs!$C$17="Rebased to 100",$E1634/E$8*100,$E1634)))))</f>
        <v/>
      </c>
      <c r="L1634" s="54">
        <f>IF($B1634=0,NA(),IF($F1634="",NA(),IF(F$8="",NA(),IF(N(F$8)=0,NA(),IF(Inputs!$C$17="Rebased to 100",$F1634/F$8*100,$F1634)))))</f>
        <v/>
      </c>
      <c r="M1634" s="54">
        <f>IF($B1634=0,NA(),IF($G1634="",NA(),IF(G$8="",NA(),IF(N(G$8)=0,NA(),IF(Inputs!$C$17="Rebased to 100",$G1634/G$8*100,$G1634)))))</f>
        <v/>
      </c>
      <c r="N1634" s="54">
        <f>IF($B1634=0,NA(),IF(Inputs!$C$18&lt;&gt;"Yes",NA(),IF(COUNT(I1634,J1634,K1634,L1634,M1634)=0,NA(),MIN(I1634,J1634,K1634,L1634,M1634))))</f>
        <v/>
      </c>
      <c r="O1634" s="54">
        <f>IF($B1634=0,NA(),IF(Inputs!$B$24&lt;&gt;"Yes",NA(),Inputs!$D$24*Inputs!$C$35))</f>
        <v/>
      </c>
      <c r="P1634" s="54">
        <f>IF($B1634=0,NA(),IF(Inputs!$B$25&lt;&gt;"Yes",NA(),Inputs!$D$25*Inputs!$C$35))</f>
        <v/>
      </c>
      <c r="Q1634" s="54">
        <f>IF($B1634=0,NA(),IF(Inputs!$B$26&lt;&gt;"Yes",NA(),Inputs!$D$26*Inputs!$C$35))</f>
        <v/>
      </c>
      <c r="R1634" s="54">
        <f>IF($B1634=0,NA(),IF(Inputs!$B$27&lt;&gt;"Yes",NA(),Inputs!$D$27*Inputs!$C$35))</f>
        <v/>
      </c>
      <c r="S1634" s="54">
        <f>IF($B1634=0,NA(),IF(Inputs!$B$28&lt;&gt;"Yes",NA(),Inputs!$D$28*Inputs!$C$35))</f>
        <v/>
      </c>
      <c r="T1634" s="54">
        <f>IF($B1634=0,NA(),IF(Inputs!$B$29&lt;&gt;"Yes",NA(),Inputs!$D$29*Inputs!$C$35))</f>
        <v/>
      </c>
      <c r="AD1634">
        <f>IF($B1634=0,0,IF(Inputs!$B$6="",0,COUNTIFS(Data!$A$10:$A$3209,"&gt;="&amp;$A1634,Data!$A$10:$A$3209,"&lt;"&amp;$A1634+1)))</f>
        <v/>
      </c>
      <c r="AE1634">
        <f>IF($B1634=0,0,IF(Inputs!$B$7="",0,COUNTIFS(Data!$E$10:$E$3209,"&gt;="&amp;$A1634,Data!$E$10:$E$3209,"&lt;"&amp;$A1634+1)))</f>
        <v/>
      </c>
      <c r="AF1634">
        <f>IF($B1634=0,0,IF(Inputs!$B$8="",0,COUNTIFS(Data!$I$10:$I$3209,"&gt;="&amp;$A1634,Data!$I$10:$I$3209,"&lt;"&amp;$A1634+1)))</f>
        <v/>
      </c>
      <c r="AG1634">
        <f>IF($B1634=0,0,IF(Inputs!$B$9="",0,COUNTIFS(Data!$M$10:$M$3209,"&gt;="&amp;$A1634,Data!$M$10:$M$3209,"&lt;"&amp;$A1634+1)))</f>
        <v/>
      </c>
      <c r="AH1634">
        <f>IF($B1634=0,0,IF(Inputs!$B$10="",0,COUNTIFS(Data!$Q$10:$Q$3209,"&gt;="&amp;$A1634,Data!$Q$10:$Q$3209,"&lt;"&amp;$A1634+1)))</f>
        <v/>
      </c>
    </row>
    <row r="1635">
      <c r="A1635" s="55">
        <f>MIN(Inputs!$C$15,$A1634+IF(WEEKDAY($A1634,2)=5,3,1))</f>
        <v/>
      </c>
      <c r="B1635">
        <f>IF($A1635&gt;$A1634,1,0)</f>
        <v/>
      </c>
      <c r="C1635" s="56">
        <f>IF($B1635=0,"",IF(Inputs!$B$6="","",IF($AD1635=0,C1634,SUMIFS(Data!$B$10:$B$3209,Data!$A$10:$A$3209,"&gt;="&amp;$A1635,Data!$A$10:$A$3209,"&lt;"&amp;$A1635+1)/$AD1635)))</f>
        <v/>
      </c>
      <c r="D1635" s="56">
        <f>IF($B1635=0,"",IF(Inputs!$B$7="","",IF($AE1635=0,D1634,SUMIFS(Data!$F$10:$F$3209,Data!$E$10:$E$3209,"&gt;="&amp;$A1635,Data!$E$10:$E$3209,"&lt;"&amp;$A1635+1)/$AE1635)))</f>
        <v/>
      </c>
      <c r="E1635" s="56">
        <f>IF($B1635=0,"",IF(Inputs!$B$8="","",IF($AF1635=0,E1634,SUMIFS(Data!$J$10:$J$3209,Data!$I$10:$I$3209,"&gt;="&amp;$A1635,Data!$I$10:$I$3209,"&lt;"&amp;$A1635+1)/$AF1635)))</f>
        <v/>
      </c>
      <c r="F1635" s="56">
        <f>IF($B1635=0,"",IF(Inputs!$B$9="","",IF($AG1635=0,F1634,SUMIFS(Data!$N$10:$N$3209,Data!$M$10:$M$3209,"&gt;="&amp;$A1635,Data!$M$10:$M$3209,"&lt;"&amp;$A1635+1)/$AG1635)))</f>
        <v/>
      </c>
      <c r="G1635" s="56">
        <f>IF($B1635=0,"",IF(Inputs!$B$10="","",IF($AH1635=0,G1634,SUMIFS(Data!$R$10:$R$3209,Data!$Q$10:$Q$3209,"&gt;="&amp;$A1635,Data!$Q$10:$Q$3209,"&lt;"&amp;$A1635+1)/$AH1635)))</f>
        <v/>
      </c>
      <c r="I1635" s="54">
        <f>IF($B1635=0,NA(),IF($C1635="",NA(),IF(C$8="",NA(),IF(N(C$8)=0,NA(),IF(Inputs!$C$17="Rebased to 100",$C1635/C$8*100,$C1635)))))</f>
        <v/>
      </c>
      <c r="J1635" s="54">
        <f>IF($B1635=0,NA(),IF($D1635="",NA(),IF(D$8="",NA(),IF(N(D$8)=0,NA(),IF(Inputs!$C$17="Rebased to 100",$D1635/D$8*100,$D1635)))))</f>
        <v/>
      </c>
      <c r="K1635" s="54">
        <f>IF($B1635=0,NA(),IF($E1635="",NA(),IF(E$8="",NA(),IF(N(E$8)=0,NA(),IF(Inputs!$C$17="Rebased to 100",$E1635/E$8*100,$E1635)))))</f>
        <v/>
      </c>
      <c r="L1635" s="54">
        <f>IF($B1635=0,NA(),IF($F1635="",NA(),IF(F$8="",NA(),IF(N(F$8)=0,NA(),IF(Inputs!$C$17="Rebased to 100",$F1635/F$8*100,$F1635)))))</f>
        <v/>
      </c>
      <c r="M1635" s="54">
        <f>IF($B1635=0,NA(),IF($G1635="",NA(),IF(G$8="",NA(),IF(N(G$8)=0,NA(),IF(Inputs!$C$17="Rebased to 100",$G1635/G$8*100,$G1635)))))</f>
        <v/>
      </c>
      <c r="N1635" s="54">
        <f>IF($B1635=0,NA(),IF(Inputs!$C$18&lt;&gt;"Yes",NA(),IF(COUNT(I1635,J1635,K1635,L1635,M1635)=0,NA(),MIN(I1635,J1635,K1635,L1635,M1635))))</f>
        <v/>
      </c>
      <c r="O1635" s="54">
        <f>IF($B1635=0,NA(),IF(Inputs!$B$24&lt;&gt;"Yes",NA(),Inputs!$D$24*Inputs!$C$35))</f>
        <v/>
      </c>
      <c r="P1635" s="54">
        <f>IF($B1635=0,NA(),IF(Inputs!$B$25&lt;&gt;"Yes",NA(),Inputs!$D$25*Inputs!$C$35))</f>
        <v/>
      </c>
      <c r="Q1635" s="54">
        <f>IF($B1635=0,NA(),IF(Inputs!$B$26&lt;&gt;"Yes",NA(),Inputs!$D$26*Inputs!$C$35))</f>
        <v/>
      </c>
      <c r="R1635" s="54">
        <f>IF($B1635=0,NA(),IF(Inputs!$B$27&lt;&gt;"Yes",NA(),Inputs!$D$27*Inputs!$C$35))</f>
        <v/>
      </c>
      <c r="S1635" s="54">
        <f>IF($B1635=0,NA(),IF(Inputs!$B$28&lt;&gt;"Yes",NA(),Inputs!$D$28*Inputs!$C$35))</f>
        <v/>
      </c>
      <c r="T1635" s="54">
        <f>IF($B1635=0,NA(),IF(Inputs!$B$29&lt;&gt;"Yes",NA(),Inputs!$D$29*Inputs!$C$35))</f>
        <v/>
      </c>
      <c r="AD1635">
        <f>IF($B1635=0,0,IF(Inputs!$B$6="",0,COUNTIFS(Data!$A$10:$A$3209,"&gt;="&amp;$A1635,Data!$A$10:$A$3209,"&lt;"&amp;$A1635+1)))</f>
        <v/>
      </c>
      <c r="AE1635">
        <f>IF($B1635=0,0,IF(Inputs!$B$7="",0,COUNTIFS(Data!$E$10:$E$3209,"&gt;="&amp;$A1635,Data!$E$10:$E$3209,"&lt;"&amp;$A1635+1)))</f>
        <v/>
      </c>
      <c r="AF1635">
        <f>IF($B1635=0,0,IF(Inputs!$B$8="",0,COUNTIFS(Data!$I$10:$I$3209,"&gt;="&amp;$A1635,Data!$I$10:$I$3209,"&lt;"&amp;$A1635+1)))</f>
        <v/>
      </c>
      <c r="AG1635">
        <f>IF($B1635=0,0,IF(Inputs!$B$9="",0,COUNTIFS(Data!$M$10:$M$3209,"&gt;="&amp;$A1635,Data!$M$10:$M$3209,"&lt;"&amp;$A1635+1)))</f>
        <v/>
      </c>
      <c r="AH1635">
        <f>IF($B1635=0,0,IF(Inputs!$B$10="",0,COUNTIFS(Data!$Q$10:$Q$3209,"&gt;="&amp;$A1635,Data!$Q$10:$Q$3209,"&lt;"&amp;$A1635+1)))</f>
        <v/>
      </c>
    </row>
    <row r="1636">
      <c r="A1636" s="55">
        <f>MIN(Inputs!$C$15,$A1635+IF(WEEKDAY($A1635,2)=5,3,1))</f>
        <v/>
      </c>
      <c r="B1636">
        <f>IF($A1636&gt;$A1635,1,0)</f>
        <v/>
      </c>
      <c r="C1636" s="56">
        <f>IF($B1636=0,"",IF(Inputs!$B$6="","",IF($AD1636=0,C1635,SUMIFS(Data!$B$10:$B$3209,Data!$A$10:$A$3209,"&gt;="&amp;$A1636,Data!$A$10:$A$3209,"&lt;"&amp;$A1636+1)/$AD1636)))</f>
        <v/>
      </c>
      <c r="D1636" s="56">
        <f>IF($B1636=0,"",IF(Inputs!$B$7="","",IF($AE1636=0,D1635,SUMIFS(Data!$F$10:$F$3209,Data!$E$10:$E$3209,"&gt;="&amp;$A1636,Data!$E$10:$E$3209,"&lt;"&amp;$A1636+1)/$AE1636)))</f>
        <v/>
      </c>
      <c r="E1636" s="56">
        <f>IF($B1636=0,"",IF(Inputs!$B$8="","",IF($AF1636=0,E1635,SUMIFS(Data!$J$10:$J$3209,Data!$I$10:$I$3209,"&gt;="&amp;$A1636,Data!$I$10:$I$3209,"&lt;"&amp;$A1636+1)/$AF1636)))</f>
        <v/>
      </c>
      <c r="F1636" s="56">
        <f>IF($B1636=0,"",IF(Inputs!$B$9="","",IF($AG1636=0,F1635,SUMIFS(Data!$N$10:$N$3209,Data!$M$10:$M$3209,"&gt;="&amp;$A1636,Data!$M$10:$M$3209,"&lt;"&amp;$A1636+1)/$AG1636)))</f>
        <v/>
      </c>
      <c r="G1636" s="56">
        <f>IF($B1636=0,"",IF(Inputs!$B$10="","",IF($AH1636=0,G1635,SUMIFS(Data!$R$10:$R$3209,Data!$Q$10:$Q$3209,"&gt;="&amp;$A1636,Data!$Q$10:$Q$3209,"&lt;"&amp;$A1636+1)/$AH1636)))</f>
        <v/>
      </c>
      <c r="I1636" s="54">
        <f>IF($B1636=0,NA(),IF($C1636="",NA(),IF(C$8="",NA(),IF(N(C$8)=0,NA(),IF(Inputs!$C$17="Rebased to 100",$C1636/C$8*100,$C1636)))))</f>
        <v/>
      </c>
      <c r="J1636" s="54">
        <f>IF($B1636=0,NA(),IF($D1636="",NA(),IF(D$8="",NA(),IF(N(D$8)=0,NA(),IF(Inputs!$C$17="Rebased to 100",$D1636/D$8*100,$D1636)))))</f>
        <v/>
      </c>
      <c r="K1636" s="54">
        <f>IF($B1636=0,NA(),IF($E1636="",NA(),IF(E$8="",NA(),IF(N(E$8)=0,NA(),IF(Inputs!$C$17="Rebased to 100",$E1636/E$8*100,$E1636)))))</f>
        <v/>
      </c>
      <c r="L1636" s="54">
        <f>IF($B1636=0,NA(),IF($F1636="",NA(),IF(F$8="",NA(),IF(N(F$8)=0,NA(),IF(Inputs!$C$17="Rebased to 100",$F1636/F$8*100,$F1636)))))</f>
        <v/>
      </c>
      <c r="M1636" s="54">
        <f>IF($B1636=0,NA(),IF($G1636="",NA(),IF(G$8="",NA(),IF(N(G$8)=0,NA(),IF(Inputs!$C$17="Rebased to 100",$G1636/G$8*100,$G1636)))))</f>
        <v/>
      </c>
      <c r="N1636" s="54">
        <f>IF($B1636=0,NA(),IF(Inputs!$C$18&lt;&gt;"Yes",NA(),IF(COUNT(I1636,J1636,K1636,L1636,M1636)=0,NA(),MIN(I1636,J1636,K1636,L1636,M1636))))</f>
        <v/>
      </c>
      <c r="O1636" s="54">
        <f>IF($B1636=0,NA(),IF(Inputs!$B$24&lt;&gt;"Yes",NA(),Inputs!$D$24*Inputs!$C$35))</f>
        <v/>
      </c>
      <c r="P1636" s="54">
        <f>IF($B1636=0,NA(),IF(Inputs!$B$25&lt;&gt;"Yes",NA(),Inputs!$D$25*Inputs!$C$35))</f>
        <v/>
      </c>
      <c r="Q1636" s="54">
        <f>IF($B1636=0,NA(),IF(Inputs!$B$26&lt;&gt;"Yes",NA(),Inputs!$D$26*Inputs!$C$35))</f>
        <v/>
      </c>
      <c r="R1636" s="54">
        <f>IF($B1636=0,NA(),IF(Inputs!$B$27&lt;&gt;"Yes",NA(),Inputs!$D$27*Inputs!$C$35))</f>
        <v/>
      </c>
      <c r="S1636" s="54">
        <f>IF($B1636=0,NA(),IF(Inputs!$B$28&lt;&gt;"Yes",NA(),Inputs!$D$28*Inputs!$C$35))</f>
        <v/>
      </c>
      <c r="T1636" s="54">
        <f>IF($B1636=0,NA(),IF(Inputs!$B$29&lt;&gt;"Yes",NA(),Inputs!$D$29*Inputs!$C$35))</f>
        <v/>
      </c>
      <c r="AD1636">
        <f>IF($B1636=0,0,IF(Inputs!$B$6="",0,COUNTIFS(Data!$A$10:$A$3209,"&gt;="&amp;$A1636,Data!$A$10:$A$3209,"&lt;"&amp;$A1636+1)))</f>
        <v/>
      </c>
      <c r="AE1636">
        <f>IF($B1636=0,0,IF(Inputs!$B$7="",0,COUNTIFS(Data!$E$10:$E$3209,"&gt;="&amp;$A1636,Data!$E$10:$E$3209,"&lt;"&amp;$A1636+1)))</f>
        <v/>
      </c>
      <c r="AF1636">
        <f>IF($B1636=0,0,IF(Inputs!$B$8="",0,COUNTIFS(Data!$I$10:$I$3209,"&gt;="&amp;$A1636,Data!$I$10:$I$3209,"&lt;"&amp;$A1636+1)))</f>
        <v/>
      </c>
      <c r="AG1636">
        <f>IF($B1636=0,0,IF(Inputs!$B$9="",0,COUNTIFS(Data!$M$10:$M$3209,"&gt;="&amp;$A1636,Data!$M$10:$M$3209,"&lt;"&amp;$A1636+1)))</f>
        <v/>
      </c>
      <c r="AH1636">
        <f>IF($B1636=0,0,IF(Inputs!$B$10="",0,COUNTIFS(Data!$Q$10:$Q$3209,"&gt;="&amp;$A1636,Data!$Q$10:$Q$3209,"&lt;"&amp;$A1636+1)))</f>
        <v/>
      </c>
    </row>
    <row r="1637">
      <c r="A1637" s="55">
        <f>MIN(Inputs!$C$15,$A1636+IF(WEEKDAY($A1636,2)=5,3,1))</f>
        <v/>
      </c>
      <c r="B1637">
        <f>IF($A1637&gt;$A1636,1,0)</f>
        <v/>
      </c>
      <c r="C1637" s="56">
        <f>IF($B1637=0,"",IF(Inputs!$B$6="","",IF($AD1637=0,C1636,SUMIFS(Data!$B$10:$B$3209,Data!$A$10:$A$3209,"&gt;="&amp;$A1637,Data!$A$10:$A$3209,"&lt;"&amp;$A1637+1)/$AD1637)))</f>
        <v/>
      </c>
      <c r="D1637" s="56">
        <f>IF($B1637=0,"",IF(Inputs!$B$7="","",IF($AE1637=0,D1636,SUMIFS(Data!$F$10:$F$3209,Data!$E$10:$E$3209,"&gt;="&amp;$A1637,Data!$E$10:$E$3209,"&lt;"&amp;$A1637+1)/$AE1637)))</f>
        <v/>
      </c>
      <c r="E1637" s="56">
        <f>IF($B1637=0,"",IF(Inputs!$B$8="","",IF($AF1637=0,E1636,SUMIFS(Data!$J$10:$J$3209,Data!$I$10:$I$3209,"&gt;="&amp;$A1637,Data!$I$10:$I$3209,"&lt;"&amp;$A1637+1)/$AF1637)))</f>
        <v/>
      </c>
      <c r="F1637" s="56">
        <f>IF($B1637=0,"",IF(Inputs!$B$9="","",IF($AG1637=0,F1636,SUMIFS(Data!$N$10:$N$3209,Data!$M$10:$M$3209,"&gt;="&amp;$A1637,Data!$M$10:$M$3209,"&lt;"&amp;$A1637+1)/$AG1637)))</f>
        <v/>
      </c>
      <c r="G1637" s="56">
        <f>IF($B1637=0,"",IF(Inputs!$B$10="","",IF($AH1637=0,G1636,SUMIFS(Data!$R$10:$R$3209,Data!$Q$10:$Q$3209,"&gt;="&amp;$A1637,Data!$Q$10:$Q$3209,"&lt;"&amp;$A1637+1)/$AH1637)))</f>
        <v/>
      </c>
      <c r="I1637" s="54">
        <f>IF($B1637=0,NA(),IF($C1637="",NA(),IF(C$8="",NA(),IF(N(C$8)=0,NA(),IF(Inputs!$C$17="Rebased to 100",$C1637/C$8*100,$C1637)))))</f>
        <v/>
      </c>
      <c r="J1637" s="54">
        <f>IF($B1637=0,NA(),IF($D1637="",NA(),IF(D$8="",NA(),IF(N(D$8)=0,NA(),IF(Inputs!$C$17="Rebased to 100",$D1637/D$8*100,$D1637)))))</f>
        <v/>
      </c>
      <c r="K1637" s="54">
        <f>IF($B1637=0,NA(),IF($E1637="",NA(),IF(E$8="",NA(),IF(N(E$8)=0,NA(),IF(Inputs!$C$17="Rebased to 100",$E1637/E$8*100,$E1637)))))</f>
        <v/>
      </c>
      <c r="L1637" s="54">
        <f>IF($B1637=0,NA(),IF($F1637="",NA(),IF(F$8="",NA(),IF(N(F$8)=0,NA(),IF(Inputs!$C$17="Rebased to 100",$F1637/F$8*100,$F1637)))))</f>
        <v/>
      </c>
      <c r="M1637" s="54">
        <f>IF($B1637=0,NA(),IF($G1637="",NA(),IF(G$8="",NA(),IF(N(G$8)=0,NA(),IF(Inputs!$C$17="Rebased to 100",$G1637/G$8*100,$G1637)))))</f>
        <v/>
      </c>
      <c r="N1637" s="54">
        <f>IF($B1637=0,NA(),IF(Inputs!$C$18&lt;&gt;"Yes",NA(),IF(COUNT(I1637,J1637,K1637,L1637,M1637)=0,NA(),MIN(I1637,J1637,K1637,L1637,M1637))))</f>
        <v/>
      </c>
      <c r="O1637" s="54">
        <f>IF($B1637=0,NA(),IF(Inputs!$B$24&lt;&gt;"Yes",NA(),Inputs!$D$24*Inputs!$C$35))</f>
        <v/>
      </c>
      <c r="P1637" s="54">
        <f>IF($B1637=0,NA(),IF(Inputs!$B$25&lt;&gt;"Yes",NA(),Inputs!$D$25*Inputs!$C$35))</f>
        <v/>
      </c>
      <c r="Q1637" s="54">
        <f>IF($B1637=0,NA(),IF(Inputs!$B$26&lt;&gt;"Yes",NA(),Inputs!$D$26*Inputs!$C$35))</f>
        <v/>
      </c>
      <c r="R1637" s="54">
        <f>IF($B1637=0,NA(),IF(Inputs!$B$27&lt;&gt;"Yes",NA(),Inputs!$D$27*Inputs!$C$35))</f>
        <v/>
      </c>
      <c r="S1637" s="54">
        <f>IF($B1637=0,NA(),IF(Inputs!$B$28&lt;&gt;"Yes",NA(),Inputs!$D$28*Inputs!$C$35))</f>
        <v/>
      </c>
      <c r="T1637" s="54">
        <f>IF($B1637=0,NA(),IF(Inputs!$B$29&lt;&gt;"Yes",NA(),Inputs!$D$29*Inputs!$C$35))</f>
        <v/>
      </c>
      <c r="AD1637">
        <f>IF($B1637=0,0,IF(Inputs!$B$6="",0,COUNTIFS(Data!$A$10:$A$3209,"&gt;="&amp;$A1637,Data!$A$10:$A$3209,"&lt;"&amp;$A1637+1)))</f>
        <v/>
      </c>
      <c r="AE1637">
        <f>IF($B1637=0,0,IF(Inputs!$B$7="",0,COUNTIFS(Data!$E$10:$E$3209,"&gt;="&amp;$A1637,Data!$E$10:$E$3209,"&lt;"&amp;$A1637+1)))</f>
        <v/>
      </c>
      <c r="AF1637">
        <f>IF($B1637=0,0,IF(Inputs!$B$8="",0,COUNTIFS(Data!$I$10:$I$3209,"&gt;="&amp;$A1637,Data!$I$10:$I$3209,"&lt;"&amp;$A1637+1)))</f>
        <v/>
      </c>
      <c r="AG1637">
        <f>IF($B1637=0,0,IF(Inputs!$B$9="",0,COUNTIFS(Data!$M$10:$M$3209,"&gt;="&amp;$A1637,Data!$M$10:$M$3209,"&lt;"&amp;$A1637+1)))</f>
        <v/>
      </c>
      <c r="AH1637">
        <f>IF($B1637=0,0,IF(Inputs!$B$10="",0,COUNTIFS(Data!$Q$10:$Q$3209,"&gt;="&amp;$A1637,Data!$Q$10:$Q$3209,"&lt;"&amp;$A1637+1)))</f>
        <v/>
      </c>
    </row>
    <row r="1638">
      <c r="A1638" s="55">
        <f>MIN(Inputs!$C$15,$A1637+IF(WEEKDAY($A1637,2)=5,3,1))</f>
        <v/>
      </c>
      <c r="B1638">
        <f>IF($A1638&gt;$A1637,1,0)</f>
        <v/>
      </c>
      <c r="C1638" s="56">
        <f>IF($B1638=0,"",IF(Inputs!$B$6="","",IF($AD1638=0,C1637,SUMIFS(Data!$B$10:$B$3209,Data!$A$10:$A$3209,"&gt;="&amp;$A1638,Data!$A$10:$A$3209,"&lt;"&amp;$A1638+1)/$AD1638)))</f>
        <v/>
      </c>
      <c r="D1638" s="56">
        <f>IF($B1638=0,"",IF(Inputs!$B$7="","",IF($AE1638=0,D1637,SUMIFS(Data!$F$10:$F$3209,Data!$E$10:$E$3209,"&gt;="&amp;$A1638,Data!$E$10:$E$3209,"&lt;"&amp;$A1638+1)/$AE1638)))</f>
        <v/>
      </c>
      <c r="E1638" s="56">
        <f>IF($B1638=0,"",IF(Inputs!$B$8="","",IF($AF1638=0,E1637,SUMIFS(Data!$J$10:$J$3209,Data!$I$10:$I$3209,"&gt;="&amp;$A1638,Data!$I$10:$I$3209,"&lt;"&amp;$A1638+1)/$AF1638)))</f>
        <v/>
      </c>
      <c r="F1638" s="56">
        <f>IF($B1638=0,"",IF(Inputs!$B$9="","",IF($AG1638=0,F1637,SUMIFS(Data!$N$10:$N$3209,Data!$M$10:$M$3209,"&gt;="&amp;$A1638,Data!$M$10:$M$3209,"&lt;"&amp;$A1638+1)/$AG1638)))</f>
        <v/>
      </c>
      <c r="G1638" s="56">
        <f>IF($B1638=0,"",IF(Inputs!$B$10="","",IF($AH1638=0,G1637,SUMIFS(Data!$R$10:$R$3209,Data!$Q$10:$Q$3209,"&gt;="&amp;$A1638,Data!$Q$10:$Q$3209,"&lt;"&amp;$A1638+1)/$AH1638)))</f>
        <v/>
      </c>
      <c r="I1638" s="54">
        <f>IF($B1638=0,NA(),IF($C1638="",NA(),IF(C$8="",NA(),IF(N(C$8)=0,NA(),IF(Inputs!$C$17="Rebased to 100",$C1638/C$8*100,$C1638)))))</f>
        <v/>
      </c>
      <c r="J1638" s="54">
        <f>IF($B1638=0,NA(),IF($D1638="",NA(),IF(D$8="",NA(),IF(N(D$8)=0,NA(),IF(Inputs!$C$17="Rebased to 100",$D1638/D$8*100,$D1638)))))</f>
        <v/>
      </c>
      <c r="K1638" s="54">
        <f>IF($B1638=0,NA(),IF($E1638="",NA(),IF(E$8="",NA(),IF(N(E$8)=0,NA(),IF(Inputs!$C$17="Rebased to 100",$E1638/E$8*100,$E1638)))))</f>
        <v/>
      </c>
      <c r="L1638" s="54">
        <f>IF($B1638=0,NA(),IF($F1638="",NA(),IF(F$8="",NA(),IF(N(F$8)=0,NA(),IF(Inputs!$C$17="Rebased to 100",$F1638/F$8*100,$F1638)))))</f>
        <v/>
      </c>
      <c r="M1638" s="54">
        <f>IF($B1638=0,NA(),IF($G1638="",NA(),IF(G$8="",NA(),IF(N(G$8)=0,NA(),IF(Inputs!$C$17="Rebased to 100",$G1638/G$8*100,$G1638)))))</f>
        <v/>
      </c>
      <c r="N1638" s="54">
        <f>IF($B1638=0,NA(),IF(Inputs!$C$18&lt;&gt;"Yes",NA(),IF(COUNT(I1638,J1638,K1638,L1638,M1638)=0,NA(),MIN(I1638,J1638,K1638,L1638,M1638))))</f>
        <v/>
      </c>
      <c r="O1638" s="54">
        <f>IF($B1638=0,NA(),IF(Inputs!$B$24&lt;&gt;"Yes",NA(),Inputs!$D$24*Inputs!$C$35))</f>
        <v/>
      </c>
      <c r="P1638" s="54">
        <f>IF($B1638=0,NA(),IF(Inputs!$B$25&lt;&gt;"Yes",NA(),Inputs!$D$25*Inputs!$C$35))</f>
        <v/>
      </c>
      <c r="Q1638" s="54">
        <f>IF($B1638=0,NA(),IF(Inputs!$B$26&lt;&gt;"Yes",NA(),Inputs!$D$26*Inputs!$C$35))</f>
        <v/>
      </c>
      <c r="R1638" s="54">
        <f>IF($B1638=0,NA(),IF(Inputs!$B$27&lt;&gt;"Yes",NA(),Inputs!$D$27*Inputs!$C$35))</f>
        <v/>
      </c>
      <c r="S1638" s="54">
        <f>IF($B1638=0,NA(),IF(Inputs!$B$28&lt;&gt;"Yes",NA(),Inputs!$D$28*Inputs!$C$35))</f>
        <v/>
      </c>
      <c r="T1638" s="54">
        <f>IF($B1638=0,NA(),IF(Inputs!$B$29&lt;&gt;"Yes",NA(),Inputs!$D$29*Inputs!$C$35))</f>
        <v/>
      </c>
      <c r="AD1638">
        <f>IF($B1638=0,0,IF(Inputs!$B$6="",0,COUNTIFS(Data!$A$10:$A$3209,"&gt;="&amp;$A1638,Data!$A$10:$A$3209,"&lt;"&amp;$A1638+1)))</f>
        <v/>
      </c>
      <c r="AE1638">
        <f>IF($B1638=0,0,IF(Inputs!$B$7="",0,COUNTIFS(Data!$E$10:$E$3209,"&gt;="&amp;$A1638,Data!$E$10:$E$3209,"&lt;"&amp;$A1638+1)))</f>
        <v/>
      </c>
      <c r="AF1638">
        <f>IF($B1638=0,0,IF(Inputs!$B$8="",0,COUNTIFS(Data!$I$10:$I$3209,"&gt;="&amp;$A1638,Data!$I$10:$I$3209,"&lt;"&amp;$A1638+1)))</f>
        <v/>
      </c>
      <c r="AG1638">
        <f>IF($B1638=0,0,IF(Inputs!$B$9="",0,COUNTIFS(Data!$M$10:$M$3209,"&gt;="&amp;$A1638,Data!$M$10:$M$3209,"&lt;"&amp;$A1638+1)))</f>
        <v/>
      </c>
      <c r="AH1638">
        <f>IF($B1638=0,0,IF(Inputs!$B$10="",0,COUNTIFS(Data!$Q$10:$Q$3209,"&gt;="&amp;$A1638,Data!$Q$10:$Q$3209,"&lt;"&amp;$A1638+1)))</f>
        <v/>
      </c>
    </row>
    <row r="1639">
      <c r="A1639" s="55">
        <f>MIN(Inputs!$C$15,$A1638+IF(WEEKDAY($A1638,2)=5,3,1))</f>
        <v/>
      </c>
      <c r="B1639">
        <f>IF($A1639&gt;$A1638,1,0)</f>
        <v/>
      </c>
      <c r="C1639" s="56">
        <f>IF($B1639=0,"",IF(Inputs!$B$6="","",IF($AD1639=0,C1638,SUMIFS(Data!$B$10:$B$3209,Data!$A$10:$A$3209,"&gt;="&amp;$A1639,Data!$A$10:$A$3209,"&lt;"&amp;$A1639+1)/$AD1639)))</f>
        <v/>
      </c>
      <c r="D1639" s="56">
        <f>IF($B1639=0,"",IF(Inputs!$B$7="","",IF($AE1639=0,D1638,SUMIFS(Data!$F$10:$F$3209,Data!$E$10:$E$3209,"&gt;="&amp;$A1639,Data!$E$10:$E$3209,"&lt;"&amp;$A1639+1)/$AE1639)))</f>
        <v/>
      </c>
      <c r="E1639" s="56">
        <f>IF($B1639=0,"",IF(Inputs!$B$8="","",IF($AF1639=0,E1638,SUMIFS(Data!$J$10:$J$3209,Data!$I$10:$I$3209,"&gt;="&amp;$A1639,Data!$I$10:$I$3209,"&lt;"&amp;$A1639+1)/$AF1639)))</f>
        <v/>
      </c>
      <c r="F1639" s="56">
        <f>IF($B1639=0,"",IF(Inputs!$B$9="","",IF($AG1639=0,F1638,SUMIFS(Data!$N$10:$N$3209,Data!$M$10:$M$3209,"&gt;="&amp;$A1639,Data!$M$10:$M$3209,"&lt;"&amp;$A1639+1)/$AG1639)))</f>
        <v/>
      </c>
      <c r="G1639" s="56">
        <f>IF($B1639=0,"",IF(Inputs!$B$10="","",IF($AH1639=0,G1638,SUMIFS(Data!$R$10:$R$3209,Data!$Q$10:$Q$3209,"&gt;="&amp;$A1639,Data!$Q$10:$Q$3209,"&lt;"&amp;$A1639+1)/$AH1639)))</f>
        <v/>
      </c>
      <c r="I1639" s="54">
        <f>IF($B1639=0,NA(),IF($C1639="",NA(),IF(C$8="",NA(),IF(N(C$8)=0,NA(),IF(Inputs!$C$17="Rebased to 100",$C1639/C$8*100,$C1639)))))</f>
        <v/>
      </c>
      <c r="J1639" s="54">
        <f>IF($B1639=0,NA(),IF($D1639="",NA(),IF(D$8="",NA(),IF(N(D$8)=0,NA(),IF(Inputs!$C$17="Rebased to 100",$D1639/D$8*100,$D1639)))))</f>
        <v/>
      </c>
      <c r="K1639" s="54">
        <f>IF($B1639=0,NA(),IF($E1639="",NA(),IF(E$8="",NA(),IF(N(E$8)=0,NA(),IF(Inputs!$C$17="Rebased to 100",$E1639/E$8*100,$E1639)))))</f>
        <v/>
      </c>
      <c r="L1639" s="54">
        <f>IF($B1639=0,NA(),IF($F1639="",NA(),IF(F$8="",NA(),IF(N(F$8)=0,NA(),IF(Inputs!$C$17="Rebased to 100",$F1639/F$8*100,$F1639)))))</f>
        <v/>
      </c>
      <c r="M1639" s="54">
        <f>IF($B1639=0,NA(),IF($G1639="",NA(),IF(G$8="",NA(),IF(N(G$8)=0,NA(),IF(Inputs!$C$17="Rebased to 100",$G1639/G$8*100,$G1639)))))</f>
        <v/>
      </c>
      <c r="N1639" s="54">
        <f>IF($B1639=0,NA(),IF(Inputs!$C$18&lt;&gt;"Yes",NA(),IF(COUNT(I1639,J1639,K1639,L1639,M1639)=0,NA(),MIN(I1639,J1639,K1639,L1639,M1639))))</f>
        <v/>
      </c>
      <c r="O1639" s="54">
        <f>IF($B1639=0,NA(),IF(Inputs!$B$24&lt;&gt;"Yes",NA(),Inputs!$D$24*Inputs!$C$35))</f>
        <v/>
      </c>
      <c r="P1639" s="54">
        <f>IF($B1639=0,NA(),IF(Inputs!$B$25&lt;&gt;"Yes",NA(),Inputs!$D$25*Inputs!$C$35))</f>
        <v/>
      </c>
      <c r="Q1639" s="54">
        <f>IF($B1639=0,NA(),IF(Inputs!$B$26&lt;&gt;"Yes",NA(),Inputs!$D$26*Inputs!$C$35))</f>
        <v/>
      </c>
      <c r="R1639" s="54">
        <f>IF($B1639=0,NA(),IF(Inputs!$B$27&lt;&gt;"Yes",NA(),Inputs!$D$27*Inputs!$C$35))</f>
        <v/>
      </c>
      <c r="S1639" s="54">
        <f>IF($B1639=0,NA(),IF(Inputs!$B$28&lt;&gt;"Yes",NA(),Inputs!$D$28*Inputs!$C$35))</f>
        <v/>
      </c>
      <c r="T1639" s="54">
        <f>IF($B1639=0,NA(),IF(Inputs!$B$29&lt;&gt;"Yes",NA(),Inputs!$D$29*Inputs!$C$35))</f>
        <v/>
      </c>
      <c r="AD1639">
        <f>IF($B1639=0,0,IF(Inputs!$B$6="",0,COUNTIFS(Data!$A$10:$A$3209,"&gt;="&amp;$A1639,Data!$A$10:$A$3209,"&lt;"&amp;$A1639+1)))</f>
        <v/>
      </c>
      <c r="AE1639">
        <f>IF($B1639=0,0,IF(Inputs!$B$7="",0,COUNTIFS(Data!$E$10:$E$3209,"&gt;="&amp;$A1639,Data!$E$10:$E$3209,"&lt;"&amp;$A1639+1)))</f>
        <v/>
      </c>
      <c r="AF1639">
        <f>IF($B1639=0,0,IF(Inputs!$B$8="",0,COUNTIFS(Data!$I$10:$I$3209,"&gt;="&amp;$A1639,Data!$I$10:$I$3209,"&lt;"&amp;$A1639+1)))</f>
        <v/>
      </c>
      <c r="AG1639">
        <f>IF($B1639=0,0,IF(Inputs!$B$9="",0,COUNTIFS(Data!$M$10:$M$3209,"&gt;="&amp;$A1639,Data!$M$10:$M$3209,"&lt;"&amp;$A1639+1)))</f>
        <v/>
      </c>
      <c r="AH1639">
        <f>IF($B1639=0,0,IF(Inputs!$B$10="",0,COUNTIFS(Data!$Q$10:$Q$3209,"&gt;="&amp;$A1639,Data!$Q$10:$Q$3209,"&lt;"&amp;$A1639+1)))</f>
        <v/>
      </c>
    </row>
    <row r="1640">
      <c r="A1640" s="55">
        <f>MIN(Inputs!$C$15,$A1639+IF(WEEKDAY($A1639,2)=5,3,1))</f>
        <v/>
      </c>
      <c r="B1640">
        <f>IF($A1640&gt;$A1639,1,0)</f>
        <v/>
      </c>
      <c r="C1640" s="56">
        <f>IF($B1640=0,"",IF(Inputs!$B$6="","",IF($AD1640=0,C1639,SUMIFS(Data!$B$10:$B$3209,Data!$A$10:$A$3209,"&gt;="&amp;$A1640,Data!$A$10:$A$3209,"&lt;"&amp;$A1640+1)/$AD1640)))</f>
        <v/>
      </c>
      <c r="D1640" s="56">
        <f>IF($B1640=0,"",IF(Inputs!$B$7="","",IF($AE1640=0,D1639,SUMIFS(Data!$F$10:$F$3209,Data!$E$10:$E$3209,"&gt;="&amp;$A1640,Data!$E$10:$E$3209,"&lt;"&amp;$A1640+1)/$AE1640)))</f>
        <v/>
      </c>
      <c r="E1640" s="56">
        <f>IF($B1640=0,"",IF(Inputs!$B$8="","",IF($AF1640=0,E1639,SUMIFS(Data!$J$10:$J$3209,Data!$I$10:$I$3209,"&gt;="&amp;$A1640,Data!$I$10:$I$3209,"&lt;"&amp;$A1640+1)/$AF1640)))</f>
        <v/>
      </c>
      <c r="F1640" s="56">
        <f>IF($B1640=0,"",IF(Inputs!$B$9="","",IF($AG1640=0,F1639,SUMIFS(Data!$N$10:$N$3209,Data!$M$10:$M$3209,"&gt;="&amp;$A1640,Data!$M$10:$M$3209,"&lt;"&amp;$A1640+1)/$AG1640)))</f>
        <v/>
      </c>
      <c r="G1640" s="56">
        <f>IF($B1640=0,"",IF(Inputs!$B$10="","",IF($AH1640=0,G1639,SUMIFS(Data!$R$10:$R$3209,Data!$Q$10:$Q$3209,"&gt;="&amp;$A1640,Data!$Q$10:$Q$3209,"&lt;"&amp;$A1640+1)/$AH1640)))</f>
        <v/>
      </c>
      <c r="I1640" s="54">
        <f>IF($B1640=0,NA(),IF($C1640="",NA(),IF(C$8="",NA(),IF(N(C$8)=0,NA(),IF(Inputs!$C$17="Rebased to 100",$C1640/C$8*100,$C1640)))))</f>
        <v/>
      </c>
      <c r="J1640" s="54">
        <f>IF($B1640=0,NA(),IF($D1640="",NA(),IF(D$8="",NA(),IF(N(D$8)=0,NA(),IF(Inputs!$C$17="Rebased to 100",$D1640/D$8*100,$D1640)))))</f>
        <v/>
      </c>
      <c r="K1640" s="54">
        <f>IF($B1640=0,NA(),IF($E1640="",NA(),IF(E$8="",NA(),IF(N(E$8)=0,NA(),IF(Inputs!$C$17="Rebased to 100",$E1640/E$8*100,$E1640)))))</f>
        <v/>
      </c>
      <c r="L1640" s="54">
        <f>IF($B1640=0,NA(),IF($F1640="",NA(),IF(F$8="",NA(),IF(N(F$8)=0,NA(),IF(Inputs!$C$17="Rebased to 100",$F1640/F$8*100,$F1640)))))</f>
        <v/>
      </c>
      <c r="M1640" s="54">
        <f>IF($B1640=0,NA(),IF($G1640="",NA(),IF(G$8="",NA(),IF(N(G$8)=0,NA(),IF(Inputs!$C$17="Rebased to 100",$G1640/G$8*100,$G1640)))))</f>
        <v/>
      </c>
      <c r="N1640" s="54">
        <f>IF($B1640=0,NA(),IF(Inputs!$C$18&lt;&gt;"Yes",NA(),IF(COUNT(I1640,J1640,K1640,L1640,M1640)=0,NA(),MIN(I1640,J1640,K1640,L1640,M1640))))</f>
        <v/>
      </c>
      <c r="O1640" s="54">
        <f>IF($B1640=0,NA(),IF(Inputs!$B$24&lt;&gt;"Yes",NA(),Inputs!$D$24*Inputs!$C$35))</f>
        <v/>
      </c>
      <c r="P1640" s="54">
        <f>IF($B1640=0,NA(),IF(Inputs!$B$25&lt;&gt;"Yes",NA(),Inputs!$D$25*Inputs!$C$35))</f>
        <v/>
      </c>
      <c r="Q1640" s="54">
        <f>IF($B1640=0,NA(),IF(Inputs!$B$26&lt;&gt;"Yes",NA(),Inputs!$D$26*Inputs!$C$35))</f>
        <v/>
      </c>
      <c r="R1640" s="54">
        <f>IF($B1640=0,NA(),IF(Inputs!$B$27&lt;&gt;"Yes",NA(),Inputs!$D$27*Inputs!$C$35))</f>
        <v/>
      </c>
      <c r="S1640" s="54">
        <f>IF($B1640=0,NA(),IF(Inputs!$B$28&lt;&gt;"Yes",NA(),Inputs!$D$28*Inputs!$C$35))</f>
        <v/>
      </c>
      <c r="T1640" s="54">
        <f>IF($B1640=0,NA(),IF(Inputs!$B$29&lt;&gt;"Yes",NA(),Inputs!$D$29*Inputs!$C$35))</f>
        <v/>
      </c>
      <c r="AD1640">
        <f>IF($B1640=0,0,IF(Inputs!$B$6="",0,COUNTIFS(Data!$A$10:$A$3209,"&gt;="&amp;$A1640,Data!$A$10:$A$3209,"&lt;"&amp;$A1640+1)))</f>
        <v/>
      </c>
      <c r="AE1640">
        <f>IF($B1640=0,0,IF(Inputs!$B$7="",0,COUNTIFS(Data!$E$10:$E$3209,"&gt;="&amp;$A1640,Data!$E$10:$E$3209,"&lt;"&amp;$A1640+1)))</f>
        <v/>
      </c>
      <c r="AF1640">
        <f>IF($B1640=0,0,IF(Inputs!$B$8="",0,COUNTIFS(Data!$I$10:$I$3209,"&gt;="&amp;$A1640,Data!$I$10:$I$3209,"&lt;"&amp;$A1640+1)))</f>
        <v/>
      </c>
      <c r="AG1640">
        <f>IF($B1640=0,0,IF(Inputs!$B$9="",0,COUNTIFS(Data!$M$10:$M$3209,"&gt;="&amp;$A1640,Data!$M$10:$M$3209,"&lt;"&amp;$A1640+1)))</f>
        <v/>
      </c>
      <c r="AH1640">
        <f>IF($B1640=0,0,IF(Inputs!$B$10="",0,COUNTIFS(Data!$Q$10:$Q$3209,"&gt;="&amp;$A1640,Data!$Q$10:$Q$3209,"&lt;"&amp;$A1640+1)))</f>
        <v/>
      </c>
    </row>
    <row r="1641">
      <c r="A1641" s="55">
        <f>MIN(Inputs!$C$15,$A1640+IF(WEEKDAY($A1640,2)=5,3,1))</f>
        <v/>
      </c>
      <c r="B1641">
        <f>IF($A1641&gt;$A1640,1,0)</f>
        <v/>
      </c>
      <c r="C1641" s="56">
        <f>IF($B1641=0,"",IF(Inputs!$B$6="","",IF($AD1641=0,C1640,SUMIFS(Data!$B$10:$B$3209,Data!$A$10:$A$3209,"&gt;="&amp;$A1641,Data!$A$10:$A$3209,"&lt;"&amp;$A1641+1)/$AD1641)))</f>
        <v/>
      </c>
      <c r="D1641" s="56">
        <f>IF($B1641=0,"",IF(Inputs!$B$7="","",IF($AE1641=0,D1640,SUMIFS(Data!$F$10:$F$3209,Data!$E$10:$E$3209,"&gt;="&amp;$A1641,Data!$E$10:$E$3209,"&lt;"&amp;$A1641+1)/$AE1641)))</f>
        <v/>
      </c>
      <c r="E1641" s="56">
        <f>IF($B1641=0,"",IF(Inputs!$B$8="","",IF($AF1641=0,E1640,SUMIFS(Data!$J$10:$J$3209,Data!$I$10:$I$3209,"&gt;="&amp;$A1641,Data!$I$10:$I$3209,"&lt;"&amp;$A1641+1)/$AF1641)))</f>
        <v/>
      </c>
      <c r="F1641" s="56">
        <f>IF($B1641=0,"",IF(Inputs!$B$9="","",IF($AG1641=0,F1640,SUMIFS(Data!$N$10:$N$3209,Data!$M$10:$M$3209,"&gt;="&amp;$A1641,Data!$M$10:$M$3209,"&lt;"&amp;$A1641+1)/$AG1641)))</f>
        <v/>
      </c>
      <c r="G1641" s="56">
        <f>IF($B1641=0,"",IF(Inputs!$B$10="","",IF($AH1641=0,G1640,SUMIFS(Data!$R$10:$R$3209,Data!$Q$10:$Q$3209,"&gt;="&amp;$A1641,Data!$Q$10:$Q$3209,"&lt;"&amp;$A1641+1)/$AH1641)))</f>
        <v/>
      </c>
      <c r="I1641" s="54">
        <f>IF($B1641=0,NA(),IF($C1641="",NA(),IF(C$8="",NA(),IF(N(C$8)=0,NA(),IF(Inputs!$C$17="Rebased to 100",$C1641/C$8*100,$C1641)))))</f>
        <v/>
      </c>
      <c r="J1641" s="54">
        <f>IF($B1641=0,NA(),IF($D1641="",NA(),IF(D$8="",NA(),IF(N(D$8)=0,NA(),IF(Inputs!$C$17="Rebased to 100",$D1641/D$8*100,$D1641)))))</f>
        <v/>
      </c>
      <c r="K1641" s="54">
        <f>IF($B1641=0,NA(),IF($E1641="",NA(),IF(E$8="",NA(),IF(N(E$8)=0,NA(),IF(Inputs!$C$17="Rebased to 100",$E1641/E$8*100,$E1641)))))</f>
        <v/>
      </c>
      <c r="L1641" s="54">
        <f>IF($B1641=0,NA(),IF($F1641="",NA(),IF(F$8="",NA(),IF(N(F$8)=0,NA(),IF(Inputs!$C$17="Rebased to 100",$F1641/F$8*100,$F1641)))))</f>
        <v/>
      </c>
      <c r="M1641" s="54">
        <f>IF($B1641=0,NA(),IF($G1641="",NA(),IF(G$8="",NA(),IF(N(G$8)=0,NA(),IF(Inputs!$C$17="Rebased to 100",$G1641/G$8*100,$G1641)))))</f>
        <v/>
      </c>
      <c r="N1641" s="54">
        <f>IF($B1641=0,NA(),IF(Inputs!$C$18&lt;&gt;"Yes",NA(),IF(COUNT(I1641,J1641,K1641,L1641,M1641)=0,NA(),MIN(I1641,J1641,K1641,L1641,M1641))))</f>
        <v/>
      </c>
      <c r="O1641" s="54">
        <f>IF($B1641=0,NA(),IF(Inputs!$B$24&lt;&gt;"Yes",NA(),Inputs!$D$24*Inputs!$C$35))</f>
        <v/>
      </c>
      <c r="P1641" s="54">
        <f>IF($B1641=0,NA(),IF(Inputs!$B$25&lt;&gt;"Yes",NA(),Inputs!$D$25*Inputs!$C$35))</f>
        <v/>
      </c>
      <c r="Q1641" s="54">
        <f>IF($B1641=0,NA(),IF(Inputs!$B$26&lt;&gt;"Yes",NA(),Inputs!$D$26*Inputs!$C$35))</f>
        <v/>
      </c>
      <c r="R1641" s="54">
        <f>IF($B1641=0,NA(),IF(Inputs!$B$27&lt;&gt;"Yes",NA(),Inputs!$D$27*Inputs!$C$35))</f>
        <v/>
      </c>
      <c r="S1641" s="54">
        <f>IF($B1641=0,NA(),IF(Inputs!$B$28&lt;&gt;"Yes",NA(),Inputs!$D$28*Inputs!$C$35))</f>
        <v/>
      </c>
      <c r="T1641" s="54">
        <f>IF($B1641=0,NA(),IF(Inputs!$B$29&lt;&gt;"Yes",NA(),Inputs!$D$29*Inputs!$C$35))</f>
        <v/>
      </c>
      <c r="AD1641">
        <f>IF($B1641=0,0,IF(Inputs!$B$6="",0,COUNTIFS(Data!$A$10:$A$3209,"&gt;="&amp;$A1641,Data!$A$10:$A$3209,"&lt;"&amp;$A1641+1)))</f>
        <v/>
      </c>
      <c r="AE1641">
        <f>IF($B1641=0,0,IF(Inputs!$B$7="",0,COUNTIFS(Data!$E$10:$E$3209,"&gt;="&amp;$A1641,Data!$E$10:$E$3209,"&lt;"&amp;$A1641+1)))</f>
        <v/>
      </c>
      <c r="AF1641">
        <f>IF($B1641=0,0,IF(Inputs!$B$8="",0,COUNTIFS(Data!$I$10:$I$3209,"&gt;="&amp;$A1641,Data!$I$10:$I$3209,"&lt;"&amp;$A1641+1)))</f>
        <v/>
      </c>
      <c r="AG1641">
        <f>IF($B1641=0,0,IF(Inputs!$B$9="",0,COUNTIFS(Data!$M$10:$M$3209,"&gt;="&amp;$A1641,Data!$M$10:$M$3209,"&lt;"&amp;$A1641+1)))</f>
        <v/>
      </c>
      <c r="AH1641">
        <f>IF($B1641=0,0,IF(Inputs!$B$10="",0,COUNTIFS(Data!$Q$10:$Q$3209,"&gt;="&amp;$A1641,Data!$Q$10:$Q$3209,"&lt;"&amp;$A1641+1)))</f>
        <v/>
      </c>
    </row>
    <row r="1642">
      <c r="A1642" s="55">
        <f>MIN(Inputs!$C$15,$A1641+IF(WEEKDAY($A1641,2)=5,3,1))</f>
        <v/>
      </c>
      <c r="B1642">
        <f>IF($A1642&gt;$A1641,1,0)</f>
        <v/>
      </c>
      <c r="C1642" s="56">
        <f>IF($B1642=0,"",IF(Inputs!$B$6="","",IF($AD1642=0,C1641,SUMIFS(Data!$B$10:$B$3209,Data!$A$10:$A$3209,"&gt;="&amp;$A1642,Data!$A$10:$A$3209,"&lt;"&amp;$A1642+1)/$AD1642)))</f>
        <v/>
      </c>
      <c r="D1642" s="56">
        <f>IF($B1642=0,"",IF(Inputs!$B$7="","",IF($AE1642=0,D1641,SUMIFS(Data!$F$10:$F$3209,Data!$E$10:$E$3209,"&gt;="&amp;$A1642,Data!$E$10:$E$3209,"&lt;"&amp;$A1642+1)/$AE1642)))</f>
        <v/>
      </c>
      <c r="E1642" s="56">
        <f>IF($B1642=0,"",IF(Inputs!$B$8="","",IF($AF1642=0,E1641,SUMIFS(Data!$J$10:$J$3209,Data!$I$10:$I$3209,"&gt;="&amp;$A1642,Data!$I$10:$I$3209,"&lt;"&amp;$A1642+1)/$AF1642)))</f>
        <v/>
      </c>
      <c r="F1642" s="56">
        <f>IF($B1642=0,"",IF(Inputs!$B$9="","",IF($AG1642=0,F1641,SUMIFS(Data!$N$10:$N$3209,Data!$M$10:$M$3209,"&gt;="&amp;$A1642,Data!$M$10:$M$3209,"&lt;"&amp;$A1642+1)/$AG1642)))</f>
        <v/>
      </c>
      <c r="G1642" s="56">
        <f>IF($B1642=0,"",IF(Inputs!$B$10="","",IF($AH1642=0,G1641,SUMIFS(Data!$R$10:$R$3209,Data!$Q$10:$Q$3209,"&gt;="&amp;$A1642,Data!$Q$10:$Q$3209,"&lt;"&amp;$A1642+1)/$AH1642)))</f>
        <v/>
      </c>
      <c r="I1642" s="54">
        <f>IF($B1642=0,NA(),IF($C1642="",NA(),IF(C$8="",NA(),IF(N(C$8)=0,NA(),IF(Inputs!$C$17="Rebased to 100",$C1642/C$8*100,$C1642)))))</f>
        <v/>
      </c>
      <c r="J1642" s="54">
        <f>IF($B1642=0,NA(),IF($D1642="",NA(),IF(D$8="",NA(),IF(N(D$8)=0,NA(),IF(Inputs!$C$17="Rebased to 100",$D1642/D$8*100,$D1642)))))</f>
        <v/>
      </c>
      <c r="K1642" s="54">
        <f>IF($B1642=0,NA(),IF($E1642="",NA(),IF(E$8="",NA(),IF(N(E$8)=0,NA(),IF(Inputs!$C$17="Rebased to 100",$E1642/E$8*100,$E1642)))))</f>
        <v/>
      </c>
      <c r="L1642" s="54">
        <f>IF($B1642=0,NA(),IF($F1642="",NA(),IF(F$8="",NA(),IF(N(F$8)=0,NA(),IF(Inputs!$C$17="Rebased to 100",$F1642/F$8*100,$F1642)))))</f>
        <v/>
      </c>
      <c r="M1642" s="54">
        <f>IF($B1642=0,NA(),IF($G1642="",NA(),IF(G$8="",NA(),IF(N(G$8)=0,NA(),IF(Inputs!$C$17="Rebased to 100",$G1642/G$8*100,$G1642)))))</f>
        <v/>
      </c>
      <c r="N1642" s="54">
        <f>IF($B1642=0,NA(),IF(Inputs!$C$18&lt;&gt;"Yes",NA(),IF(COUNT(I1642,J1642,K1642,L1642,M1642)=0,NA(),MIN(I1642,J1642,K1642,L1642,M1642))))</f>
        <v/>
      </c>
      <c r="O1642" s="54">
        <f>IF($B1642=0,NA(),IF(Inputs!$B$24&lt;&gt;"Yes",NA(),Inputs!$D$24*Inputs!$C$35))</f>
        <v/>
      </c>
      <c r="P1642" s="54">
        <f>IF($B1642=0,NA(),IF(Inputs!$B$25&lt;&gt;"Yes",NA(),Inputs!$D$25*Inputs!$C$35))</f>
        <v/>
      </c>
      <c r="Q1642" s="54">
        <f>IF($B1642=0,NA(),IF(Inputs!$B$26&lt;&gt;"Yes",NA(),Inputs!$D$26*Inputs!$C$35))</f>
        <v/>
      </c>
      <c r="R1642" s="54">
        <f>IF($B1642=0,NA(),IF(Inputs!$B$27&lt;&gt;"Yes",NA(),Inputs!$D$27*Inputs!$C$35))</f>
        <v/>
      </c>
      <c r="S1642" s="54">
        <f>IF($B1642=0,NA(),IF(Inputs!$B$28&lt;&gt;"Yes",NA(),Inputs!$D$28*Inputs!$C$35))</f>
        <v/>
      </c>
      <c r="T1642" s="54">
        <f>IF($B1642=0,NA(),IF(Inputs!$B$29&lt;&gt;"Yes",NA(),Inputs!$D$29*Inputs!$C$35))</f>
        <v/>
      </c>
      <c r="AD1642">
        <f>IF($B1642=0,0,IF(Inputs!$B$6="",0,COUNTIFS(Data!$A$10:$A$3209,"&gt;="&amp;$A1642,Data!$A$10:$A$3209,"&lt;"&amp;$A1642+1)))</f>
        <v/>
      </c>
      <c r="AE1642">
        <f>IF($B1642=0,0,IF(Inputs!$B$7="",0,COUNTIFS(Data!$E$10:$E$3209,"&gt;="&amp;$A1642,Data!$E$10:$E$3209,"&lt;"&amp;$A1642+1)))</f>
        <v/>
      </c>
      <c r="AF1642">
        <f>IF($B1642=0,0,IF(Inputs!$B$8="",0,COUNTIFS(Data!$I$10:$I$3209,"&gt;="&amp;$A1642,Data!$I$10:$I$3209,"&lt;"&amp;$A1642+1)))</f>
        <v/>
      </c>
      <c r="AG1642">
        <f>IF($B1642=0,0,IF(Inputs!$B$9="",0,COUNTIFS(Data!$M$10:$M$3209,"&gt;="&amp;$A1642,Data!$M$10:$M$3209,"&lt;"&amp;$A1642+1)))</f>
        <v/>
      </c>
      <c r="AH1642">
        <f>IF($B1642=0,0,IF(Inputs!$B$10="",0,COUNTIFS(Data!$Q$10:$Q$3209,"&gt;="&amp;$A1642,Data!$Q$10:$Q$3209,"&lt;"&amp;$A1642+1)))</f>
        <v/>
      </c>
    </row>
    <row r="1643">
      <c r="A1643" s="55">
        <f>MIN(Inputs!$C$15,$A1642+IF(WEEKDAY($A1642,2)=5,3,1))</f>
        <v/>
      </c>
      <c r="B1643">
        <f>IF($A1643&gt;$A1642,1,0)</f>
        <v/>
      </c>
      <c r="C1643" s="56">
        <f>IF($B1643=0,"",IF(Inputs!$B$6="","",IF($AD1643=0,C1642,SUMIFS(Data!$B$10:$B$3209,Data!$A$10:$A$3209,"&gt;="&amp;$A1643,Data!$A$10:$A$3209,"&lt;"&amp;$A1643+1)/$AD1643)))</f>
        <v/>
      </c>
      <c r="D1643" s="56">
        <f>IF($B1643=0,"",IF(Inputs!$B$7="","",IF($AE1643=0,D1642,SUMIFS(Data!$F$10:$F$3209,Data!$E$10:$E$3209,"&gt;="&amp;$A1643,Data!$E$10:$E$3209,"&lt;"&amp;$A1643+1)/$AE1643)))</f>
        <v/>
      </c>
      <c r="E1643" s="56">
        <f>IF($B1643=0,"",IF(Inputs!$B$8="","",IF($AF1643=0,E1642,SUMIFS(Data!$J$10:$J$3209,Data!$I$10:$I$3209,"&gt;="&amp;$A1643,Data!$I$10:$I$3209,"&lt;"&amp;$A1643+1)/$AF1643)))</f>
        <v/>
      </c>
      <c r="F1643" s="56">
        <f>IF($B1643=0,"",IF(Inputs!$B$9="","",IF($AG1643=0,F1642,SUMIFS(Data!$N$10:$N$3209,Data!$M$10:$M$3209,"&gt;="&amp;$A1643,Data!$M$10:$M$3209,"&lt;"&amp;$A1643+1)/$AG1643)))</f>
        <v/>
      </c>
      <c r="G1643" s="56">
        <f>IF($B1643=0,"",IF(Inputs!$B$10="","",IF($AH1643=0,G1642,SUMIFS(Data!$R$10:$R$3209,Data!$Q$10:$Q$3209,"&gt;="&amp;$A1643,Data!$Q$10:$Q$3209,"&lt;"&amp;$A1643+1)/$AH1643)))</f>
        <v/>
      </c>
      <c r="I1643" s="54">
        <f>IF($B1643=0,NA(),IF($C1643="",NA(),IF(C$8="",NA(),IF(N(C$8)=0,NA(),IF(Inputs!$C$17="Rebased to 100",$C1643/C$8*100,$C1643)))))</f>
        <v/>
      </c>
      <c r="J1643" s="54">
        <f>IF($B1643=0,NA(),IF($D1643="",NA(),IF(D$8="",NA(),IF(N(D$8)=0,NA(),IF(Inputs!$C$17="Rebased to 100",$D1643/D$8*100,$D1643)))))</f>
        <v/>
      </c>
      <c r="K1643" s="54">
        <f>IF($B1643=0,NA(),IF($E1643="",NA(),IF(E$8="",NA(),IF(N(E$8)=0,NA(),IF(Inputs!$C$17="Rebased to 100",$E1643/E$8*100,$E1643)))))</f>
        <v/>
      </c>
      <c r="L1643" s="54">
        <f>IF($B1643=0,NA(),IF($F1643="",NA(),IF(F$8="",NA(),IF(N(F$8)=0,NA(),IF(Inputs!$C$17="Rebased to 100",$F1643/F$8*100,$F1643)))))</f>
        <v/>
      </c>
      <c r="M1643" s="54">
        <f>IF($B1643=0,NA(),IF($G1643="",NA(),IF(G$8="",NA(),IF(N(G$8)=0,NA(),IF(Inputs!$C$17="Rebased to 100",$G1643/G$8*100,$G1643)))))</f>
        <v/>
      </c>
      <c r="N1643" s="54">
        <f>IF($B1643=0,NA(),IF(Inputs!$C$18&lt;&gt;"Yes",NA(),IF(COUNT(I1643,J1643,K1643,L1643,M1643)=0,NA(),MIN(I1643,J1643,K1643,L1643,M1643))))</f>
        <v/>
      </c>
      <c r="O1643" s="54">
        <f>IF($B1643=0,NA(),IF(Inputs!$B$24&lt;&gt;"Yes",NA(),Inputs!$D$24*Inputs!$C$35))</f>
        <v/>
      </c>
      <c r="P1643" s="54">
        <f>IF($B1643=0,NA(),IF(Inputs!$B$25&lt;&gt;"Yes",NA(),Inputs!$D$25*Inputs!$C$35))</f>
        <v/>
      </c>
      <c r="Q1643" s="54">
        <f>IF($B1643=0,NA(),IF(Inputs!$B$26&lt;&gt;"Yes",NA(),Inputs!$D$26*Inputs!$C$35))</f>
        <v/>
      </c>
      <c r="R1643" s="54">
        <f>IF($B1643=0,NA(),IF(Inputs!$B$27&lt;&gt;"Yes",NA(),Inputs!$D$27*Inputs!$C$35))</f>
        <v/>
      </c>
      <c r="S1643" s="54">
        <f>IF($B1643=0,NA(),IF(Inputs!$B$28&lt;&gt;"Yes",NA(),Inputs!$D$28*Inputs!$C$35))</f>
        <v/>
      </c>
      <c r="T1643" s="54">
        <f>IF($B1643=0,NA(),IF(Inputs!$B$29&lt;&gt;"Yes",NA(),Inputs!$D$29*Inputs!$C$35))</f>
        <v/>
      </c>
      <c r="AD1643">
        <f>IF($B1643=0,0,IF(Inputs!$B$6="",0,COUNTIFS(Data!$A$10:$A$3209,"&gt;="&amp;$A1643,Data!$A$10:$A$3209,"&lt;"&amp;$A1643+1)))</f>
        <v/>
      </c>
      <c r="AE1643">
        <f>IF($B1643=0,0,IF(Inputs!$B$7="",0,COUNTIFS(Data!$E$10:$E$3209,"&gt;="&amp;$A1643,Data!$E$10:$E$3209,"&lt;"&amp;$A1643+1)))</f>
        <v/>
      </c>
      <c r="AF1643">
        <f>IF($B1643=0,0,IF(Inputs!$B$8="",0,COUNTIFS(Data!$I$10:$I$3209,"&gt;="&amp;$A1643,Data!$I$10:$I$3209,"&lt;"&amp;$A1643+1)))</f>
        <v/>
      </c>
      <c r="AG1643">
        <f>IF($B1643=0,0,IF(Inputs!$B$9="",0,COUNTIFS(Data!$M$10:$M$3209,"&gt;="&amp;$A1643,Data!$M$10:$M$3209,"&lt;"&amp;$A1643+1)))</f>
        <v/>
      </c>
      <c r="AH1643">
        <f>IF($B1643=0,0,IF(Inputs!$B$10="",0,COUNTIFS(Data!$Q$10:$Q$3209,"&gt;="&amp;$A1643,Data!$Q$10:$Q$3209,"&lt;"&amp;$A1643+1)))</f>
        <v/>
      </c>
    </row>
    <row r="1644">
      <c r="A1644" s="55">
        <f>MIN(Inputs!$C$15,$A1643+IF(WEEKDAY($A1643,2)=5,3,1))</f>
        <v/>
      </c>
      <c r="B1644">
        <f>IF($A1644&gt;$A1643,1,0)</f>
        <v/>
      </c>
      <c r="C1644" s="56">
        <f>IF($B1644=0,"",IF(Inputs!$B$6="","",IF($AD1644=0,C1643,SUMIFS(Data!$B$10:$B$3209,Data!$A$10:$A$3209,"&gt;="&amp;$A1644,Data!$A$10:$A$3209,"&lt;"&amp;$A1644+1)/$AD1644)))</f>
        <v/>
      </c>
      <c r="D1644" s="56">
        <f>IF($B1644=0,"",IF(Inputs!$B$7="","",IF($AE1644=0,D1643,SUMIFS(Data!$F$10:$F$3209,Data!$E$10:$E$3209,"&gt;="&amp;$A1644,Data!$E$10:$E$3209,"&lt;"&amp;$A1644+1)/$AE1644)))</f>
        <v/>
      </c>
      <c r="E1644" s="56">
        <f>IF($B1644=0,"",IF(Inputs!$B$8="","",IF($AF1644=0,E1643,SUMIFS(Data!$J$10:$J$3209,Data!$I$10:$I$3209,"&gt;="&amp;$A1644,Data!$I$10:$I$3209,"&lt;"&amp;$A1644+1)/$AF1644)))</f>
        <v/>
      </c>
      <c r="F1644" s="56">
        <f>IF($B1644=0,"",IF(Inputs!$B$9="","",IF($AG1644=0,F1643,SUMIFS(Data!$N$10:$N$3209,Data!$M$10:$M$3209,"&gt;="&amp;$A1644,Data!$M$10:$M$3209,"&lt;"&amp;$A1644+1)/$AG1644)))</f>
        <v/>
      </c>
      <c r="G1644" s="56">
        <f>IF($B1644=0,"",IF(Inputs!$B$10="","",IF($AH1644=0,G1643,SUMIFS(Data!$R$10:$R$3209,Data!$Q$10:$Q$3209,"&gt;="&amp;$A1644,Data!$Q$10:$Q$3209,"&lt;"&amp;$A1644+1)/$AH1644)))</f>
        <v/>
      </c>
      <c r="I1644" s="54">
        <f>IF($B1644=0,NA(),IF($C1644="",NA(),IF(C$8="",NA(),IF(N(C$8)=0,NA(),IF(Inputs!$C$17="Rebased to 100",$C1644/C$8*100,$C1644)))))</f>
        <v/>
      </c>
      <c r="J1644" s="54">
        <f>IF($B1644=0,NA(),IF($D1644="",NA(),IF(D$8="",NA(),IF(N(D$8)=0,NA(),IF(Inputs!$C$17="Rebased to 100",$D1644/D$8*100,$D1644)))))</f>
        <v/>
      </c>
      <c r="K1644" s="54">
        <f>IF($B1644=0,NA(),IF($E1644="",NA(),IF(E$8="",NA(),IF(N(E$8)=0,NA(),IF(Inputs!$C$17="Rebased to 100",$E1644/E$8*100,$E1644)))))</f>
        <v/>
      </c>
      <c r="L1644" s="54">
        <f>IF($B1644=0,NA(),IF($F1644="",NA(),IF(F$8="",NA(),IF(N(F$8)=0,NA(),IF(Inputs!$C$17="Rebased to 100",$F1644/F$8*100,$F1644)))))</f>
        <v/>
      </c>
      <c r="M1644" s="54">
        <f>IF($B1644=0,NA(),IF($G1644="",NA(),IF(G$8="",NA(),IF(N(G$8)=0,NA(),IF(Inputs!$C$17="Rebased to 100",$G1644/G$8*100,$G1644)))))</f>
        <v/>
      </c>
      <c r="N1644" s="54">
        <f>IF($B1644=0,NA(),IF(Inputs!$C$18&lt;&gt;"Yes",NA(),IF(COUNT(I1644,J1644,K1644,L1644,M1644)=0,NA(),MIN(I1644,J1644,K1644,L1644,M1644))))</f>
        <v/>
      </c>
      <c r="O1644" s="54">
        <f>IF($B1644=0,NA(),IF(Inputs!$B$24&lt;&gt;"Yes",NA(),Inputs!$D$24*Inputs!$C$35))</f>
        <v/>
      </c>
      <c r="P1644" s="54">
        <f>IF($B1644=0,NA(),IF(Inputs!$B$25&lt;&gt;"Yes",NA(),Inputs!$D$25*Inputs!$C$35))</f>
        <v/>
      </c>
      <c r="Q1644" s="54">
        <f>IF($B1644=0,NA(),IF(Inputs!$B$26&lt;&gt;"Yes",NA(),Inputs!$D$26*Inputs!$C$35))</f>
        <v/>
      </c>
      <c r="R1644" s="54">
        <f>IF($B1644=0,NA(),IF(Inputs!$B$27&lt;&gt;"Yes",NA(),Inputs!$D$27*Inputs!$C$35))</f>
        <v/>
      </c>
      <c r="S1644" s="54">
        <f>IF($B1644=0,NA(),IF(Inputs!$B$28&lt;&gt;"Yes",NA(),Inputs!$D$28*Inputs!$C$35))</f>
        <v/>
      </c>
      <c r="T1644" s="54">
        <f>IF($B1644=0,NA(),IF(Inputs!$B$29&lt;&gt;"Yes",NA(),Inputs!$D$29*Inputs!$C$35))</f>
        <v/>
      </c>
      <c r="AD1644">
        <f>IF($B1644=0,0,IF(Inputs!$B$6="",0,COUNTIFS(Data!$A$10:$A$3209,"&gt;="&amp;$A1644,Data!$A$10:$A$3209,"&lt;"&amp;$A1644+1)))</f>
        <v/>
      </c>
      <c r="AE1644">
        <f>IF($B1644=0,0,IF(Inputs!$B$7="",0,COUNTIFS(Data!$E$10:$E$3209,"&gt;="&amp;$A1644,Data!$E$10:$E$3209,"&lt;"&amp;$A1644+1)))</f>
        <v/>
      </c>
      <c r="AF1644">
        <f>IF($B1644=0,0,IF(Inputs!$B$8="",0,COUNTIFS(Data!$I$10:$I$3209,"&gt;="&amp;$A1644,Data!$I$10:$I$3209,"&lt;"&amp;$A1644+1)))</f>
        <v/>
      </c>
      <c r="AG1644">
        <f>IF($B1644=0,0,IF(Inputs!$B$9="",0,COUNTIFS(Data!$M$10:$M$3209,"&gt;="&amp;$A1644,Data!$M$10:$M$3209,"&lt;"&amp;$A1644+1)))</f>
        <v/>
      </c>
      <c r="AH1644">
        <f>IF($B1644=0,0,IF(Inputs!$B$10="",0,COUNTIFS(Data!$Q$10:$Q$3209,"&gt;="&amp;$A1644,Data!$Q$10:$Q$3209,"&lt;"&amp;$A1644+1)))</f>
        <v/>
      </c>
    </row>
    <row r="1645">
      <c r="A1645" s="55">
        <f>MIN(Inputs!$C$15,$A1644+IF(WEEKDAY($A1644,2)=5,3,1))</f>
        <v/>
      </c>
      <c r="B1645">
        <f>IF($A1645&gt;$A1644,1,0)</f>
        <v/>
      </c>
      <c r="C1645" s="56">
        <f>IF($B1645=0,"",IF(Inputs!$B$6="","",IF($AD1645=0,C1644,SUMIFS(Data!$B$10:$B$3209,Data!$A$10:$A$3209,"&gt;="&amp;$A1645,Data!$A$10:$A$3209,"&lt;"&amp;$A1645+1)/$AD1645)))</f>
        <v/>
      </c>
      <c r="D1645" s="56">
        <f>IF($B1645=0,"",IF(Inputs!$B$7="","",IF($AE1645=0,D1644,SUMIFS(Data!$F$10:$F$3209,Data!$E$10:$E$3209,"&gt;="&amp;$A1645,Data!$E$10:$E$3209,"&lt;"&amp;$A1645+1)/$AE1645)))</f>
        <v/>
      </c>
      <c r="E1645" s="56">
        <f>IF($B1645=0,"",IF(Inputs!$B$8="","",IF($AF1645=0,E1644,SUMIFS(Data!$J$10:$J$3209,Data!$I$10:$I$3209,"&gt;="&amp;$A1645,Data!$I$10:$I$3209,"&lt;"&amp;$A1645+1)/$AF1645)))</f>
        <v/>
      </c>
      <c r="F1645" s="56">
        <f>IF($B1645=0,"",IF(Inputs!$B$9="","",IF($AG1645=0,F1644,SUMIFS(Data!$N$10:$N$3209,Data!$M$10:$M$3209,"&gt;="&amp;$A1645,Data!$M$10:$M$3209,"&lt;"&amp;$A1645+1)/$AG1645)))</f>
        <v/>
      </c>
      <c r="G1645" s="56">
        <f>IF($B1645=0,"",IF(Inputs!$B$10="","",IF($AH1645=0,G1644,SUMIFS(Data!$R$10:$R$3209,Data!$Q$10:$Q$3209,"&gt;="&amp;$A1645,Data!$Q$10:$Q$3209,"&lt;"&amp;$A1645+1)/$AH1645)))</f>
        <v/>
      </c>
      <c r="I1645" s="54">
        <f>IF($B1645=0,NA(),IF($C1645="",NA(),IF(C$8="",NA(),IF(N(C$8)=0,NA(),IF(Inputs!$C$17="Rebased to 100",$C1645/C$8*100,$C1645)))))</f>
        <v/>
      </c>
      <c r="J1645" s="54">
        <f>IF($B1645=0,NA(),IF($D1645="",NA(),IF(D$8="",NA(),IF(N(D$8)=0,NA(),IF(Inputs!$C$17="Rebased to 100",$D1645/D$8*100,$D1645)))))</f>
        <v/>
      </c>
      <c r="K1645" s="54">
        <f>IF($B1645=0,NA(),IF($E1645="",NA(),IF(E$8="",NA(),IF(N(E$8)=0,NA(),IF(Inputs!$C$17="Rebased to 100",$E1645/E$8*100,$E1645)))))</f>
        <v/>
      </c>
      <c r="L1645" s="54">
        <f>IF($B1645=0,NA(),IF($F1645="",NA(),IF(F$8="",NA(),IF(N(F$8)=0,NA(),IF(Inputs!$C$17="Rebased to 100",$F1645/F$8*100,$F1645)))))</f>
        <v/>
      </c>
      <c r="M1645" s="54">
        <f>IF($B1645=0,NA(),IF($G1645="",NA(),IF(G$8="",NA(),IF(N(G$8)=0,NA(),IF(Inputs!$C$17="Rebased to 100",$G1645/G$8*100,$G1645)))))</f>
        <v/>
      </c>
      <c r="N1645" s="54">
        <f>IF($B1645=0,NA(),IF(Inputs!$C$18&lt;&gt;"Yes",NA(),IF(COUNT(I1645,J1645,K1645,L1645,M1645)=0,NA(),MIN(I1645,J1645,K1645,L1645,M1645))))</f>
        <v/>
      </c>
      <c r="O1645" s="54">
        <f>IF($B1645=0,NA(),IF(Inputs!$B$24&lt;&gt;"Yes",NA(),Inputs!$D$24*Inputs!$C$35))</f>
        <v/>
      </c>
      <c r="P1645" s="54">
        <f>IF($B1645=0,NA(),IF(Inputs!$B$25&lt;&gt;"Yes",NA(),Inputs!$D$25*Inputs!$C$35))</f>
        <v/>
      </c>
      <c r="Q1645" s="54">
        <f>IF($B1645=0,NA(),IF(Inputs!$B$26&lt;&gt;"Yes",NA(),Inputs!$D$26*Inputs!$C$35))</f>
        <v/>
      </c>
      <c r="R1645" s="54">
        <f>IF($B1645=0,NA(),IF(Inputs!$B$27&lt;&gt;"Yes",NA(),Inputs!$D$27*Inputs!$C$35))</f>
        <v/>
      </c>
      <c r="S1645" s="54">
        <f>IF($B1645=0,NA(),IF(Inputs!$B$28&lt;&gt;"Yes",NA(),Inputs!$D$28*Inputs!$C$35))</f>
        <v/>
      </c>
      <c r="T1645" s="54">
        <f>IF($B1645=0,NA(),IF(Inputs!$B$29&lt;&gt;"Yes",NA(),Inputs!$D$29*Inputs!$C$35))</f>
        <v/>
      </c>
      <c r="AD1645">
        <f>IF($B1645=0,0,IF(Inputs!$B$6="",0,COUNTIFS(Data!$A$10:$A$3209,"&gt;="&amp;$A1645,Data!$A$10:$A$3209,"&lt;"&amp;$A1645+1)))</f>
        <v/>
      </c>
      <c r="AE1645">
        <f>IF($B1645=0,0,IF(Inputs!$B$7="",0,COUNTIFS(Data!$E$10:$E$3209,"&gt;="&amp;$A1645,Data!$E$10:$E$3209,"&lt;"&amp;$A1645+1)))</f>
        <v/>
      </c>
      <c r="AF1645">
        <f>IF($B1645=0,0,IF(Inputs!$B$8="",0,COUNTIFS(Data!$I$10:$I$3209,"&gt;="&amp;$A1645,Data!$I$10:$I$3209,"&lt;"&amp;$A1645+1)))</f>
        <v/>
      </c>
      <c r="AG1645">
        <f>IF($B1645=0,0,IF(Inputs!$B$9="",0,COUNTIFS(Data!$M$10:$M$3209,"&gt;="&amp;$A1645,Data!$M$10:$M$3209,"&lt;"&amp;$A1645+1)))</f>
        <v/>
      </c>
      <c r="AH1645">
        <f>IF($B1645=0,0,IF(Inputs!$B$10="",0,COUNTIFS(Data!$Q$10:$Q$3209,"&gt;="&amp;$A1645,Data!$Q$10:$Q$3209,"&lt;"&amp;$A1645+1)))</f>
        <v/>
      </c>
    </row>
    <row r="1646">
      <c r="A1646" s="55">
        <f>MIN(Inputs!$C$15,$A1645+IF(WEEKDAY($A1645,2)=5,3,1))</f>
        <v/>
      </c>
      <c r="B1646">
        <f>IF($A1646&gt;$A1645,1,0)</f>
        <v/>
      </c>
      <c r="C1646" s="56">
        <f>IF($B1646=0,"",IF(Inputs!$B$6="","",IF($AD1646=0,C1645,SUMIFS(Data!$B$10:$B$3209,Data!$A$10:$A$3209,"&gt;="&amp;$A1646,Data!$A$10:$A$3209,"&lt;"&amp;$A1646+1)/$AD1646)))</f>
        <v/>
      </c>
      <c r="D1646" s="56">
        <f>IF($B1646=0,"",IF(Inputs!$B$7="","",IF($AE1646=0,D1645,SUMIFS(Data!$F$10:$F$3209,Data!$E$10:$E$3209,"&gt;="&amp;$A1646,Data!$E$10:$E$3209,"&lt;"&amp;$A1646+1)/$AE1646)))</f>
        <v/>
      </c>
      <c r="E1646" s="56">
        <f>IF($B1646=0,"",IF(Inputs!$B$8="","",IF($AF1646=0,E1645,SUMIFS(Data!$J$10:$J$3209,Data!$I$10:$I$3209,"&gt;="&amp;$A1646,Data!$I$10:$I$3209,"&lt;"&amp;$A1646+1)/$AF1646)))</f>
        <v/>
      </c>
      <c r="F1646" s="56">
        <f>IF($B1646=0,"",IF(Inputs!$B$9="","",IF($AG1646=0,F1645,SUMIFS(Data!$N$10:$N$3209,Data!$M$10:$M$3209,"&gt;="&amp;$A1646,Data!$M$10:$M$3209,"&lt;"&amp;$A1646+1)/$AG1646)))</f>
        <v/>
      </c>
      <c r="G1646" s="56">
        <f>IF($B1646=0,"",IF(Inputs!$B$10="","",IF($AH1646=0,G1645,SUMIFS(Data!$R$10:$R$3209,Data!$Q$10:$Q$3209,"&gt;="&amp;$A1646,Data!$Q$10:$Q$3209,"&lt;"&amp;$A1646+1)/$AH1646)))</f>
        <v/>
      </c>
      <c r="I1646" s="54">
        <f>IF($B1646=0,NA(),IF($C1646="",NA(),IF(C$8="",NA(),IF(N(C$8)=0,NA(),IF(Inputs!$C$17="Rebased to 100",$C1646/C$8*100,$C1646)))))</f>
        <v/>
      </c>
      <c r="J1646" s="54">
        <f>IF($B1646=0,NA(),IF($D1646="",NA(),IF(D$8="",NA(),IF(N(D$8)=0,NA(),IF(Inputs!$C$17="Rebased to 100",$D1646/D$8*100,$D1646)))))</f>
        <v/>
      </c>
      <c r="K1646" s="54">
        <f>IF($B1646=0,NA(),IF($E1646="",NA(),IF(E$8="",NA(),IF(N(E$8)=0,NA(),IF(Inputs!$C$17="Rebased to 100",$E1646/E$8*100,$E1646)))))</f>
        <v/>
      </c>
      <c r="L1646" s="54">
        <f>IF($B1646=0,NA(),IF($F1646="",NA(),IF(F$8="",NA(),IF(N(F$8)=0,NA(),IF(Inputs!$C$17="Rebased to 100",$F1646/F$8*100,$F1646)))))</f>
        <v/>
      </c>
      <c r="M1646" s="54">
        <f>IF($B1646=0,NA(),IF($G1646="",NA(),IF(G$8="",NA(),IF(N(G$8)=0,NA(),IF(Inputs!$C$17="Rebased to 100",$G1646/G$8*100,$G1646)))))</f>
        <v/>
      </c>
      <c r="N1646" s="54">
        <f>IF($B1646=0,NA(),IF(Inputs!$C$18&lt;&gt;"Yes",NA(),IF(COUNT(I1646,J1646,K1646,L1646,M1646)=0,NA(),MIN(I1646,J1646,K1646,L1646,M1646))))</f>
        <v/>
      </c>
      <c r="O1646" s="54">
        <f>IF($B1646=0,NA(),IF(Inputs!$B$24&lt;&gt;"Yes",NA(),Inputs!$D$24*Inputs!$C$35))</f>
        <v/>
      </c>
      <c r="P1646" s="54">
        <f>IF($B1646=0,NA(),IF(Inputs!$B$25&lt;&gt;"Yes",NA(),Inputs!$D$25*Inputs!$C$35))</f>
        <v/>
      </c>
      <c r="Q1646" s="54">
        <f>IF($B1646=0,NA(),IF(Inputs!$B$26&lt;&gt;"Yes",NA(),Inputs!$D$26*Inputs!$C$35))</f>
        <v/>
      </c>
      <c r="R1646" s="54">
        <f>IF($B1646=0,NA(),IF(Inputs!$B$27&lt;&gt;"Yes",NA(),Inputs!$D$27*Inputs!$C$35))</f>
        <v/>
      </c>
      <c r="S1646" s="54">
        <f>IF($B1646=0,NA(),IF(Inputs!$B$28&lt;&gt;"Yes",NA(),Inputs!$D$28*Inputs!$C$35))</f>
        <v/>
      </c>
      <c r="T1646" s="54">
        <f>IF($B1646=0,NA(),IF(Inputs!$B$29&lt;&gt;"Yes",NA(),Inputs!$D$29*Inputs!$C$35))</f>
        <v/>
      </c>
      <c r="AD1646">
        <f>IF($B1646=0,0,IF(Inputs!$B$6="",0,COUNTIFS(Data!$A$10:$A$3209,"&gt;="&amp;$A1646,Data!$A$10:$A$3209,"&lt;"&amp;$A1646+1)))</f>
        <v/>
      </c>
      <c r="AE1646">
        <f>IF($B1646=0,0,IF(Inputs!$B$7="",0,COUNTIFS(Data!$E$10:$E$3209,"&gt;="&amp;$A1646,Data!$E$10:$E$3209,"&lt;"&amp;$A1646+1)))</f>
        <v/>
      </c>
      <c r="AF1646">
        <f>IF($B1646=0,0,IF(Inputs!$B$8="",0,COUNTIFS(Data!$I$10:$I$3209,"&gt;="&amp;$A1646,Data!$I$10:$I$3209,"&lt;"&amp;$A1646+1)))</f>
        <v/>
      </c>
      <c r="AG1646">
        <f>IF($B1646=0,0,IF(Inputs!$B$9="",0,COUNTIFS(Data!$M$10:$M$3209,"&gt;="&amp;$A1646,Data!$M$10:$M$3209,"&lt;"&amp;$A1646+1)))</f>
        <v/>
      </c>
      <c r="AH1646">
        <f>IF($B1646=0,0,IF(Inputs!$B$10="",0,COUNTIFS(Data!$Q$10:$Q$3209,"&gt;="&amp;$A1646,Data!$Q$10:$Q$3209,"&lt;"&amp;$A1646+1)))</f>
        <v/>
      </c>
    </row>
    <row r="1647">
      <c r="A1647" s="55">
        <f>MIN(Inputs!$C$15,$A1646+IF(WEEKDAY($A1646,2)=5,3,1))</f>
        <v/>
      </c>
      <c r="B1647">
        <f>IF($A1647&gt;$A1646,1,0)</f>
        <v/>
      </c>
      <c r="C1647" s="56">
        <f>IF($B1647=0,"",IF(Inputs!$B$6="","",IF($AD1647=0,C1646,SUMIFS(Data!$B$10:$B$3209,Data!$A$10:$A$3209,"&gt;="&amp;$A1647,Data!$A$10:$A$3209,"&lt;"&amp;$A1647+1)/$AD1647)))</f>
        <v/>
      </c>
      <c r="D1647" s="56">
        <f>IF($B1647=0,"",IF(Inputs!$B$7="","",IF($AE1647=0,D1646,SUMIFS(Data!$F$10:$F$3209,Data!$E$10:$E$3209,"&gt;="&amp;$A1647,Data!$E$10:$E$3209,"&lt;"&amp;$A1647+1)/$AE1647)))</f>
        <v/>
      </c>
      <c r="E1647" s="56">
        <f>IF($B1647=0,"",IF(Inputs!$B$8="","",IF($AF1647=0,E1646,SUMIFS(Data!$J$10:$J$3209,Data!$I$10:$I$3209,"&gt;="&amp;$A1647,Data!$I$10:$I$3209,"&lt;"&amp;$A1647+1)/$AF1647)))</f>
        <v/>
      </c>
      <c r="F1647" s="56">
        <f>IF($B1647=0,"",IF(Inputs!$B$9="","",IF($AG1647=0,F1646,SUMIFS(Data!$N$10:$N$3209,Data!$M$10:$M$3209,"&gt;="&amp;$A1647,Data!$M$10:$M$3209,"&lt;"&amp;$A1647+1)/$AG1647)))</f>
        <v/>
      </c>
      <c r="G1647" s="56">
        <f>IF($B1647=0,"",IF(Inputs!$B$10="","",IF($AH1647=0,G1646,SUMIFS(Data!$R$10:$R$3209,Data!$Q$10:$Q$3209,"&gt;="&amp;$A1647,Data!$Q$10:$Q$3209,"&lt;"&amp;$A1647+1)/$AH1647)))</f>
        <v/>
      </c>
      <c r="I1647" s="54">
        <f>IF($B1647=0,NA(),IF($C1647="",NA(),IF(C$8="",NA(),IF(N(C$8)=0,NA(),IF(Inputs!$C$17="Rebased to 100",$C1647/C$8*100,$C1647)))))</f>
        <v/>
      </c>
      <c r="J1647" s="54">
        <f>IF($B1647=0,NA(),IF($D1647="",NA(),IF(D$8="",NA(),IF(N(D$8)=0,NA(),IF(Inputs!$C$17="Rebased to 100",$D1647/D$8*100,$D1647)))))</f>
        <v/>
      </c>
      <c r="K1647" s="54">
        <f>IF($B1647=0,NA(),IF($E1647="",NA(),IF(E$8="",NA(),IF(N(E$8)=0,NA(),IF(Inputs!$C$17="Rebased to 100",$E1647/E$8*100,$E1647)))))</f>
        <v/>
      </c>
      <c r="L1647" s="54">
        <f>IF($B1647=0,NA(),IF($F1647="",NA(),IF(F$8="",NA(),IF(N(F$8)=0,NA(),IF(Inputs!$C$17="Rebased to 100",$F1647/F$8*100,$F1647)))))</f>
        <v/>
      </c>
      <c r="M1647" s="54">
        <f>IF($B1647=0,NA(),IF($G1647="",NA(),IF(G$8="",NA(),IF(N(G$8)=0,NA(),IF(Inputs!$C$17="Rebased to 100",$G1647/G$8*100,$G1647)))))</f>
        <v/>
      </c>
      <c r="N1647" s="54">
        <f>IF($B1647=0,NA(),IF(Inputs!$C$18&lt;&gt;"Yes",NA(),IF(COUNT(I1647,J1647,K1647,L1647,M1647)=0,NA(),MIN(I1647,J1647,K1647,L1647,M1647))))</f>
        <v/>
      </c>
      <c r="O1647" s="54">
        <f>IF($B1647=0,NA(),IF(Inputs!$B$24&lt;&gt;"Yes",NA(),Inputs!$D$24*Inputs!$C$35))</f>
        <v/>
      </c>
      <c r="P1647" s="54">
        <f>IF($B1647=0,NA(),IF(Inputs!$B$25&lt;&gt;"Yes",NA(),Inputs!$D$25*Inputs!$C$35))</f>
        <v/>
      </c>
      <c r="Q1647" s="54">
        <f>IF($B1647=0,NA(),IF(Inputs!$B$26&lt;&gt;"Yes",NA(),Inputs!$D$26*Inputs!$C$35))</f>
        <v/>
      </c>
      <c r="R1647" s="54">
        <f>IF($B1647=0,NA(),IF(Inputs!$B$27&lt;&gt;"Yes",NA(),Inputs!$D$27*Inputs!$C$35))</f>
        <v/>
      </c>
      <c r="S1647" s="54">
        <f>IF($B1647=0,NA(),IF(Inputs!$B$28&lt;&gt;"Yes",NA(),Inputs!$D$28*Inputs!$C$35))</f>
        <v/>
      </c>
      <c r="T1647" s="54">
        <f>IF($B1647=0,NA(),IF(Inputs!$B$29&lt;&gt;"Yes",NA(),Inputs!$D$29*Inputs!$C$35))</f>
        <v/>
      </c>
      <c r="AD1647">
        <f>IF($B1647=0,0,IF(Inputs!$B$6="",0,COUNTIFS(Data!$A$10:$A$3209,"&gt;="&amp;$A1647,Data!$A$10:$A$3209,"&lt;"&amp;$A1647+1)))</f>
        <v/>
      </c>
      <c r="AE1647">
        <f>IF($B1647=0,0,IF(Inputs!$B$7="",0,COUNTIFS(Data!$E$10:$E$3209,"&gt;="&amp;$A1647,Data!$E$10:$E$3209,"&lt;"&amp;$A1647+1)))</f>
        <v/>
      </c>
      <c r="AF1647">
        <f>IF($B1647=0,0,IF(Inputs!$B$8="",0,COUNTIFS(Data!$I$10:$I$3209,"&gt;="&amp;$A1647,Data!$I$10:$I$3209,"&lt;"&amp;$A1647+1)))</f>
        <v/>
      </c>
      <c r="AG1647">
        <f>IF($B1647=0,0,IF(Inputs!$B$9="",0,COUNTIFS(Data!$M$10:$M$3209,"&gt;="&amp;$A1647,Data!$M$10:$M$3209,"&lt;"&amp;$A1647+1)))</f>
        <v/>
      </c>
      <c r="AH1647">
        <f>IF($B1647=0,0,IF(Inputs!$B$10="",0,COUNTIFS(Data!$Q$10:$Q$3209,"&gt;="&amp;$A1647,Data!$Q$10:$Q$3209,"&lt;"&amp;$A1647+1)))</f>
        <v/>
      </c>
    </row>
    <row r="1648">
      <c r="A1648" s="55">
        <f>MIN(Inputs!$C$15,$A1647+IF(WEEKDAY($A1647,2)=5,3,1))</f>
        <v/>
      </c>
      <c r="B1648">
        <f>IF($A1648&gt;$A1647,1,0)</f>
        <v/>
      </c>
      <c r="C1648" s="56">
        <f>IF($B1648=0,"",IF(Inputs!$B$6="","",IF($AD1648=0,C1647,SUMIFS(Data!$B$10:$B$3209,Data!$A$10:$A$3209,"&gt;="&amp;$A1648,Data!$A$10:$A$3209,"&lt;"&amp;$A1648+1)/$AD1648)))</f>
        <v/>
      </c>
      <c r="D1648" s="56">
        <f>IF($B1648=0,"",IF(Inputs!$B$7="","",IF($AE1648=0,D1647,SUMIFS(Data!$F$10:$F$3209,Data!$E$10:$E$3209,"&gt;="&amp;$A1648,Data!$E$10:$E$3209,"&lt;"&amp;$A1648+1)/$AE1648)))</f>
        <v/>
      </c>
      <c r="E1648" s="56">
        <f>IF($B1648=0,"",IF(Inputs!$B$8="","",IF($AF1648=0,E1647,SUMIFS(Data!$J$10:$J$3209,Data!$I$10:$I$3209,"&gt;="&amp;$A1648,Data!$I$10:$I$3209,"&lt;"&amp;$A1648+1)/$AF1648)))</f>
        <v/>
      </c>
      <c r="F1648" s="56">
        <f>IF($B1648=0,"",IF(Inputs!$B$9="","",IF($AG1648=0,F1647,SUMIFS(Data!$N$10:$N$3209,Data!$M$10:$M$3209,"&gt;="&amp;$A1648,Data!$M$10:$M$3209,"&lt;"&amp;$A1648+1)/$AG1648)))</f>
        <v/>
      </c>
      <c r="G1648" s="56">
        <f>IF($B1648=0,"",IF(Inputs!$B$10="","",IF($AH1648=0,G1647,SUMIFS(Data!$R$10:$R$3209,Data!$Q$10:$Q$3209,"&gt;="&amp;$A1648,Data!$Q$10:$Q$3209,"&lt;"&amp;$A1648+1)/$AH1648)))</f>
        <v/>
      </c>
      <c r="I1648" s="54">
        <f>IF($B1648=0,NA(),IF($C1648="",NA(),IF(C$8="",NA(),IF(N(C$8)=0,NA(),IF(Inputs!$C$17="Rebased to 100",$C1648/C$8*100,$C1648)))))</f>
        <v/>
      </c>
      <c r="J1648" s="54">
        <f>IF($B1648=0,NA(),IF($D1648="",NA(),IF(D$8="",NA(),IF(N(D$8)=0,NA(),IF(Inputs!$C$17="Rebased to 100",$D1648/D$8*100,$D1648)))))</f>
        <v/>
      </c>
      <c r="K1648" s="54">
        <f>IF($B1648=0,NA(),IF($E1648="",NA(),IF(E$8="",NA(),IF(N(E$8)=0,NA(),IF(Inputs!$C$17="Rebased to 100",$E1648/E$8*100,$E1648)))))</f>
        <v/>
      </c>
      <c r="L1648" s="54">
        <f>IF($B1648=0,NA(),IF($F1648="",NA(),IF(F$8="",NA(),IF(N(F$8)=0,NA(),IF(Inputs!$C$17="Rebased to 100",$F1648/F$8*100,$F1648)))))</f>
        <v/>
      </c>
      <c r="M1648" s="54">
        <f>IF($B1648=0,NA(),IF($G1648="",NA(),IF(G$8="",NA(),IF(N(G$8)=0,NA(),IF(Inputs!$C$17="Rebased to 100",$G1648/G$8*100,$G1648)))))</f>
        <v/>
      </c>
      <c r="N1648" s="54">
        <f>IF($B1648=0,NA(),IF(Inputs!$C$18&lt;&gt;"Yes",NA(),IF(COUNT(I1648,J1648,K1648,L1648,M1648)=0,NA(),MIN(I1648,J1648,K1648,L1648,M1648))))</f>
        <v/>
      </c>
      <c r="O1648" s="54">
        <f>IF($B1648=0,NA(),IF(Inputs!$B$24&lt;&gt;"Yes",NA(),Inputs!$D$24*Inputs!$C$35))</f>
        <v/>
      </c>
      <c r="P1648" s="54">
        <f>IF($B1648=0,NA(),IF(Inputs!$B$25&lt;&gt;"Yes",NA(),Inputs!$D$25*Inputs!$C$35))</f>
        <v/>
      </c>
      <c r="Q1648" s="54">
        <f>IF($B1648=0,NA(),IF(Inputs!$B$26&lt;&gt;"Yes",NA(),Inputs!$D$26*Inputs!$C$35))</f>
        <v/>
      </c>
      <c r="R1648" s="54">
        <f>IF($B1648=0,NA(),IF(Inputs!$B$27&lt;&gt;"Yes",NA(),Inputs!$D$27*Inputs!$C$35))</f>
        <v/>
      </c>
      <c r="S1648" s="54">
        <f>IF($B1648=0,NA(),IF(Inputs!$B$28&lt;&gt;"Yes",NA(),Inputs!$D$28*Inputs!$C$35))</f>
        <v/>
      </c>
      <c r="T1648" s="54">
        <f>IF($B1648=0,NA(),IF(Inputs!$B$29&lt;&gt;"Yes",NA(),Inputs!$D$29*Inputs!$C$35))</f>
        <v/>
      </c>
      <c r="AD1648">
        <f>IF($B1648=0,0,IF(Inputs!$B$6="",0,COUNTIFS(Data!$A$10:$A$3209,"&gt;="&amp;$A1648,Data!$A$10:$A$3209,"&lt;"&amp;$A1648+1)))</f>
        <v/>
      </c>
      <c r="AE1648">
        <f>IF($B1648=0,0,IF(Inputs!$B$7="",0,COUNTIFS(Data!$E$10:$E$3209,"&gt;="&amp;$A1648,Data!$E$10:$E$3209,"&lt;"&amp;$A1648+1)))</f>
        <v/>
      </c>
      <c r="AF1648">
        <f>IF($B1648=0,0,IF(Inputs!$B$8="",0,COUNTIFS(Data!$I$10:$I$3209,"&gt;="&amp;$A1648,Data!$I$10:$I$3209,"&lt;"&amp;$A1648+1)))</f>
        <v/>
      </c>
      <c r="AG1648">
        <f>IF($B1648=0,0,IF(Inputs!$B$9="",0,COUNTIFS(Data!$M$10:$M$3209,"&gt;="&amp;$A1648,Data!$M$10:$M$3209,"&lt;"&amp;$A1648+1)))</f>
        <v/>
      </c>
      <c r="AH1648">
        <f>IF($B1648=0,0,IF(Inputs!$B$10="",0,COUNTIFS(Data!$Q$10:$Q$3209,"&gt;="&amp;$A1648,Data!$Q$10:$Q$3209,"&lt;"&amp;$A1648+1)))</f>
        <v/>
      </c>
    </row>
    <row r="1649">
      <c r="A1649" s="55">
        <f>MIN(Inputs!$C$15,$A1648+IF(WEEKDAY($A1648,2)=5,3,1))</f>
        <v/>
      </c>
      <c r="B1649">
        <f>IF($A1649&gt;$A1648,1,0)</f>
        <v/>
      </c>
      <c r="C1649" s="56">
        <f>IF($B1649=0,"",IF(Inputs!$B$6="","",IF($AD1649=0,C1648,SUMIFS(Data!$B$10:$B$3209,Data!$A$10:$A$3209,"&gt;="&amp;$A1649,Data!$A$10:$A$3209,"&lt;"&amp;$A1649+1)/$AD1649)))</f>
        <v/>
      </c>
      <c r="D1649" s="56">
        <f>IF($B1649=0,"",IF(Inputs!$B$7="","",IF($AE1649=0,D1648,SUMIFS(Data!$F$10:$F$3209,Data!$E$10:$E$3209,"&gt;="&amp;$A1649,Data!$E$10:$E$3209,"&lt;"&amp;$A1649+1)/$AE1649)))</f>
        <v/>
      </c>
      <c r="E1649" s="56">
        <f>IF($B1649=0,"",IF(Inputs!$B$8="","",IF($AF1649=0,E1648,SUMIFS(Data!$J$10:$J$3209,Data!$I$10:$I$3209,"&gt;="&amp;$A1649,Data!$I$10:$I$3209,"&lt;"&amp;$A1649+1)/$AF1649)))</f>
        <v/>
      </c>
      <c r="F1649" s="56">
        <f>IF($B1649=0,"",IF(Inputs!$B$9="","",IF($AG1649=0,F1648,SUMIFS(Data!$N$10:$N$3209,Data!$M$10:$M$3209,"&gt;="&amp;$A1649,Data!$M$10:$M$3209,"&lt;"&amp;$A1649+1)/$AG1649)))</f>
        <v/>
      </c>
      <c r="G1649" s="56">
        <f>IF($B1649=0,"",IF(Inputs!$B$10="","",IF($AH1649=0,G1648,SUMIFS(Data!$R$10:$R$3209,Data!$Q$10:$Q$3209,"&gt;="&amp;$A1649,Data!$Q$10:$Q$3209,"&lt;"&amp;$A1649+1)/$AH1649)))</f>
        <v/>
      </c>
      <c r="I1649" s="54">
        <f>IF($B1649=0,NA(),IF($C1649="",NA(),IF(C$8="",NA(),IF(N(C$8)=0,NA(),IF(Inputs!$C$17="Rebased to 100",$C1649/C$8*100,$C1649)))))</f>
        <v/>
      </c>
      <c r="J1649" s="54">
        <f>IF($B1649=0,NA(),IF($D1649="",NA(),IF(D$8="",NA(),IF(N(D$8)=0,NA(),IF(Inputs!$C$17="Rebased to 100",$D1649/D$8*100,$D1649)))))</f>
        <v/>
      </c>
      <c r="K1649" s="54">
        <f>IF($B1649=0,NA(),IF($E1649="",NA(),IF(E$8="",NA(),IF(N(E$8)=0,NA(),IF(Inputs!$C$17="Rebased to 100",$E1649/E$8*100,$E1649)))))</f>
        <v/>
      </c>
      <c r="L1649" s="54">
        <f>IF($B1649=0,NA(),IF($F1649="",NA(),IF(F$8="",NA(),IF(N(F$8)=0,NA(),IF(Inputs!$C$17="Rebased to 100",$F1649/F$8*100,$F1649)))))</f>
        <v/>
      </c>
      <c r="M1649" s="54">
        <f>IF($B1649=0,NA(),IF($G1649="",NA(),IF(G$8="",NA(),IF(N(G$8)=0,NA(),IF(Inputs!$C$17="Rebased to 100",$G1649/G$8*100,$G1649)))))</f>
        <v/>
      </c>
      <c r="N1649" s="54">
        <f>IF($B1649=0,NA(),IF(Inputs!$C$18&lt;&gt;"Yes",NA(),IF(COUNT(I1649,J1649,K1649,L1649,M1649)=0,NA(),MIN(I1649,J1649,K1649,L1649,M1649))))</f>
        <v/>
      </c>
      <c r="O1649" s="54">
        <f>IF($B1649=0,NA(),IF(Inputs!$B$24&lt;&gt;"Yes",NA(),Inputs!$D$24*Inputs!$C$35))</f>
        <v/>
      </c>
      <c r="P1649" s="54">
        <f>IF($B1649=0,NA(),IF(Inputs!$B$25&lt;&gt;"Yes",NA(),Inputs!$D$25*Inputs!$C$35))</f>
        <v/>
      </c>
      <c r="Q1649" s="54">
        <f>IF($B1649=0,NA(),IF(Inputs!$B$26&lt;&gt;"Yes",NA(),Inputs!$D$26*Inputs!$C$35))</f>
        <v/>
      </c>
      <c r="R1649" s="54">
        <f>IF($B1649=0,NA(),IF(Inputs!$B$27&lt;&gt;"Yes",NA(),Inputs!$D$27*Inputs!$C$35))</f>
        <v/>
      </c>
      <c r="S1649" s="54">
        <f>IF($B1649=0,NA(),IF(Inputs!$B$28&lt;&gt;"Yes",NA(),Inputs!$D$28*Inputs!$C$35))</f>
        <v/>
      </c>
      <c r="T1649" s="54">
        <f>IF($B1649=0,NA(),IF(Inputs!$B$29&lt;&gt;"Yes",NA(),Inputs!$D$29*Inputs!$C$35))</f>
        <v/>
      </c>
      <c r="AD1649">
        <f>IF($B1649=0,0,IF(Inputs!$B$6="",0,COUNTIFS(Data!$A$10:$A$3209,"&gt;="&amp;$A1649,Data!$A$10:$A$3209,"&lt;"&amp;$A1649+1)))</f>
        <v/>
      </c>
      <c r="AE1649">
        <f>IF($B1649=0,0,IF(Inputs!$B$7="",0,COUNTIFS(Data!$E$10:$E$3209,"&gt;="&amp;$A1649,Data!$E$10:$E$3209,"&lt;"&amp;$A1649+1)))</f>
        <v/>
      </c>
      <c r="AF1649">
        <f>IF($B1649=0,0,IF(Inputs!$B$8="",0,COUNTIFS(Data!$I$10:$I$3209,"&gt;="&amp;$A1649,Data!$I$10:$I$3209,"&lt;"&amp;$A1649+1)))</f>
        <v/>
      </c>
      <c r="AG1649">
        <f>IF($B1649=0,0,IF(Inputs!$B$9="",0,COUNTIFS(Data!$M$10:$M$3209,"&gt;="&amp;$A1649,Data!$M$10:$M$3209,"&lt;"&amp;$A1649+1)))</f>
        <v/>
      </c>
      <c r="AH1649">
        <f>IF($B1649=0,0,IF(Inputs!$B$10="",0,COUNTIFS(Data!$Q$10:$Q$3209,"&gt;="&amp;$A1649,Data!$Q$10:$Q$3209,"&lt;"&amp;$A1649+1)))</f>
        <v/>
      </c>
    </row>
    <row r="1650">
      <c r="A1650" s="55">
        <f>MIN(Inputs!$C$15,$A1649+IF(WEEKDAY($A1649,2)=5,3,1))</f>
        <v/>
      </c>
      <c r="B1650">
        <f>IF($A1650&gt;$A1649,1,0)</f>
        <v/>
      </c>
      <c r="C1650" s="56">
        <f>IF($B1650=0,"",IF(Inputs!$B$6="","",IF($AD1650=0,C1649,SUMIFS(Data!$B$10:$B$3209,Data!$A$10:$A$3209,"&gt;="&amp;$A1650,Data!$A$10:$A$3209,"&lt;"&amp;$A1650+1)/$AD1650)))</f>
        <v/>
      </c>
      <c r="D1650" s="56">
        <f>IF($B1650=0,"",IF(Inputs!$B$7="","",IF($AE1650=0,D1649,SUMIFS(Data!$F$10:$F$3209,Data!$E$10:$E$3209,"&gt;="&amp;$A1650,Data!$E$10:$E$3209,"&lt;"&amp;$A1650+1)/$AE1650)))</f>
        <v/>
      </c>
      <c r="E1650" s="56">
        <f>IF($B1650=0,"",IF(Inputs!$B$8="","",IF($AF1650=0,E1649,SUMIFS(Data!$J$10:$J$3209,Data!$I$10:$I$3209,"&gt;="&amp;$A1650,Data!$I$10:$I$3209,"&lt;"&amp;$A1650+1)/$AF1650)))</f>
        <v/>
      </c>
      <c r="F1650" s="56">
        <f>IF($B1650=0,"",IF(Inputs!$B$9="","",IF($AG1650=0,F1649,SUMIFS(Data!$N$10:$N$3209,Data!$M$10:$M$3209,"&gt;="&amp;$A1650,Data!$M$10:$M$3209,"&lt;"&amp;$A1650+1)/$AG1650)))</f>
        <v/>
      </c>
      <c r="G1650" s="56">
        <f>IF($B1650=0,"",IF(Inputs!$B$10="","",IF($AH1650=0,G1649,SUMIFS(Data!$R$10:$R$3209,Data!$Q$10:$Q$3209,"&gt;="&amp;$A1650,Data!$Q$10:$Q$3209,"&lt;"&amp;$A1650+1)/$AH1650)))</f>
        <v/>
      </c>
      <c r="I1650" s="54">
        <f>IF($B1650=0,NA(),IF($C1650="",NA(),IF(C$8="",NA(),IF(N(C$8)=0,NA(),IF(Inputs!$C$17="Rebased to 100",$C1650/C$8*100,$C1650)))))</f>
        <v/>
      </c>
      <c r="J1650" s="54">
        <f>IF($B1650=0,NA(),IF($D1650="",NA(),IF(D$8="",NA(),IF(N(D$8)=0,NA(),IF(Inputs!$C$17="Rebased to 100",$D1650/D$8*100,$D1650)))))</f>
        <v/>
      </c>
      <c r="K1650" s="54">
        <f>IF($B1650=0,NA(),IF($E1650="",NA(),IF(E$8="",NA(),IF(N(E$8)=0,NA(),IF(Inputs!$C$17="Rebased to 100",$E1650/E$8*100,$E1650)))))</f>
        <v/>
      </c>
      <c r="L1650" s="54">
        <f>IF($B1650=0,NA(),IF($F1650="",NA(),IF(F$8="",NA(),IF(N(F$8)=0,NA(),IF(Inputs!$C$17="Rebased to 100",$F1650/F$8*100,$F1650)))))</f>
        <v/>
      </c>
      <c r="M1650" s="54">
        <f>IF($B1650=0,NA(),IF($G1650="",NA(),IF(G$8="",NA(),IF(N(G$8)=0,NA(),IF(Inputs!$C$17="Rebased to 100",$G1650/G$8*100,$G1650)))))</f>
        <v/>
      </c>
      <c r="N1650" s="54">
        <f>IF($B1650=0,NA(),IF(Inputs!$C$18&lt;&gt;"Yes",NA(),IF(COUNT(I1650,J1650,K1650,L1650,M1650)=0,NA(),MIN(I1650,J1650,K1650,L1650,M1650))))</f>
        <v/>
      </c>
      <c r="O1650" s="54">
        <f>IF($B1650=0,NA(),IF(Inputs!$B$24&lt;&gt;"Yes",NA(),Inputs!$D$24*Inputs!$C$35))</f>
        <v/>
      </c>
      <c r="P1650" s="54">
        <f>IF($B1650=0,NA(),IF(Inputs!$B$25&lt;&gt;"Yes",NA(),Inputs!$D$25*Inputs!$C$35))</f>
        <v/>
      </c>
      <c r="Q1650" s="54">
        <f>IF($B1650=0,NA(),IF(Inputs!$B$26&lt;&gt;"Yes",NA(),Inputs!$D$26*Inputs!$C$35))</f>
        <v/>
      </c>
      <c r="R1650" s="54">
        <f>IF($B1650=0,NA(),IF(Inputs!$B$27&lt;&gt;"Yes",NA(),Inputs!$D$27*Inputs!$C$35))</f>
        <v/>
      </c>
      <c r="S1650" s="54">
        <f>IF($B1650=0,NA(),IF(Inputs!$B$28&lt;&gt;"Yes",NA(),Inputs!$D$28*Inputs!$C$35))</f>
        <v/>
      </c>
      <c r="T1650" s="54">
        <f>IF($B1650=0,NA(),IF(Inputs!$B$29&lt;&gt;"Yes",NA(),Inputs!$D$29*Inputs!$C$35))</f>
        <v/>
      </c>
      <c r="AD1650">
        <f>IF($B1650=0,0,IF(Inputs!$B$6="",0,COUNTIFS(Data!$A$10:$A$3209,"&gt;="&amp;$A1650,Data!$A$10:$A$3209,"&lt;"&amp;$A1650+1)))</f>
        <v/>
      </c>
      <c r="AE1650">
        <f>IF($B1650=0,0,IF(Inputs!$B$7="",0,COUNTIFS(Data!$E$10:$E$3209,"&gt;="&amp;$A1650,Data!$E$10:$E$3209,"&lt;"&amp;$A1650+1)))</f>
        <v/>
      </c>
      <c r="AF1650">
        <f>IF($B1650=0,0,IF(Inputs!$B$8="",0,COUNTIFS(Data!$I$10:$I$3209,"&gt;="&amp;$A1650,Data!$I$10:$I$3209,"&lt;"&amp;$A1650+1)))</f>
        <v/>
      </c>
      <c r="AG1650">
        <f>IF($B1650=0,0,IF(Inputs!$B$9="",0,COUNTIFS(Data!$M$10:$M$3209,"&gt;="&amp;$A1650,Data!$M$10:$M$3209,"&lt;"&amp;$A1650+1)))</f>
        <v/>
      </c>
      <c r="AH1650">
        <f>IF($B1650=0,0,IF(Inputs!$B$10="",0,COUNTIFS(Data!$Q$10:$Q$3209,"&gt;="&amp;$A1650,Data!$Q$10:$Q$3209,"&lt;"&amp;$A1650+1)))</f>
        <v/>
      </c>
    </row>
    <row r="1651">
      <c r="A1651" s="55">
        <f>MIN(Inputs!$C$15,$A1650+IF(WEEKDAY($A1650,2)=5,3,1))</f>
        <v/>
      </c>
      <c r="B1651">
        <f>IF($A1651&gt;$A1650,1,0)</f>
        <v/>
      </c>
      <c r="C1651" s="56">
        <f>IF($B1651=0,"",IF(Inputs!$B$6="","",IF($AD1651=0,C1650,SUMIFS(Data!$B$10:$B$3209,Data!$A$10:$A$3209,"&gt;="&amp;$A1651,Data!$A$10:$A$3209,"&lt;"&amp;$A1651+1)/$AD1651)))</f>
        <v/>
      </c>
      <c r="D1651" s="56">
        <f>IF($B1651=0,"",IF(Inputs!$B$7="","",IF($AE1651=0,D1650,SUMIFS(Data!$F$10:$F$3209,Data!$E$10:$E$3209,"&gt;="&amp;$A1651,Data!$E$10:$E$3209,"&lt;"&amp;$A1651+1)/$AE1651)))</f>
        <v/>
      </c>
      <c r="E1651" s="56">
        <f>IF($B1651=0,"",IF(Inputs!$B$8="","",IF($AF1651=0,E1650,SUMIFS(Data!$J$10:$J$3209,Data!$I$10:$I$3209,"&gt;="&amp;$A1651,Data!$I$10:$I$3209,"&lt;"&amp;$A1651+1)/$AF1651)))</f>
        <v/>
      </c>
      <c r="F1651" s="56">
        <f>IF($B1651=0,"",IF(Inputs!$B$9="","",IF($AG1651=0,F1650,SUMIFS(Data!$N$10:$N$3209,Data!$M$10:$M$3209,"&gt;="&amp;$A1651,Data!$M$10:$M$3209,"&lt;"&amp;$A1651+1)/$AG1651)))</f>
        <v/>
      </c>
      <c r="G1651" s="56">
        <f>IF($B1651=0,"",IF(Inputs!$B$10="","",IF($AH1651=0,G1650,SUMIFS(Data!$R$10:$R$3209,Data!$Q$10:$Q$3209,"&gt;="&amp;$A1651,Data!$Q$10:$Q$3209,"&lt;"&amp;$A1651+1)/$AH1651)))</f>
        <v/>
      </c>
      <c r="I1651" s="54">
        <f>IF($B1651=0,NA(),IF($C1651="",NA(),IF(C$8="",NA(),IF(N(C$8)=0,NA(),IF(Inputs!$C$17="Rebased to 100",$C1651/C$8*100,$C1651)))))</f>
        <v/>
      </c>
      <c r="J1651" s="54">
        <f>IF($B1651=0,NA(),IF($D1651="",NA(),IF(D$8="",NA(),IF(N(D$8)=0,NA(),IF(Inputs!$C$17="Rebased to 100",$D1651/D$8*100,$D1651)))))</f>
        <v/>
      </c>
      <c r="K1651" s="54">
        <f>IF($B1651=0,NA(),IF($E1651="",NA(),IF(E$8="",NA(),IF(N(E$8)=0,NA(),IF(Inputs!$C$17="Rebased to 100",$E1651/E$8*100,$E1651)))))</f>
        <v/>
      </c>
      <c r="L1651" s="54">
        <f>IF($B1651=0,NA(),IF($F1651="",NA(),IF(F$8="",NA(),IF(N(F$8)=0,NA(),IF(Inputs!$C$17="Rebased to 100",$F1651/F$8*100,$F1651)))))</f>
        <v/>
      </c>
      <c r="M1651" s="54">
        <f>IF($B1651=0,NA(),IF($G1651="",NA(),IF(G$8="",NA(),IF(N(G$8)=0,NA(),IF(Inputs!$C$17="Rebased to 100",$G1651/G$8*100,$G1651)))))</f>
        <v/>
      </c>
      <c r="N1651" s="54">
        <f>IF($B1651=0,NA(),IF(Inputs!$C$18&lt;&gt;"Yes",NA(),IF(COUNT(I1651,J1651,K1651,L1651,M1651)=0,NA(),MIN(I1651,J1651,K1651,L1651,M1651))))</f>
        <v/>
      </c>
      <c r="O1651" s="54">
        <f>IF($B1651=0,NA(),IF(Inputs!$B$24&lt;&gt;"Yes",NA(),Inputs!$D$24*Inputs!$C$35))</f>
        <v/>
      </c>
      <c r="P1651" s="54">
        <f>IF($B1651=0,NA(),IF(Inputs!$B$25&lt;&gt;"Yes",NA(),Inputs!$D$25*Inputs!$C$35))</f>
        <v/>
      </c>
      <c r="Q1651" s="54">
        <f>IF($B1651=0,NA(),IF(Inputs!$B$26&lt;&gt;"Yes",NA(),Inputs!$D$26*Inputs!$C$35))</f>
        <v/>
      </c>
      <c r="R1651" s="54">
        <f>IF($B1651=0,NA(),IF(Inputs!$B$27&lt;&gt;"Yes",NA(),Inputs!$D$27*Inputs!$C$35))</f>
        <v/>
      </c>
      <c r="S1651" s="54">
        <f>IF($B1651=0,NA(),IF(Inputs!$B$28&lt;&gt;"Yes",NA(),Inputs!$D$28*Inputs!$C$35))</f>
        <v/>
      </c>
      <c r="T1651" s="54">
        <f>IF($B1651=0,NA(),IF(Inputs!$B$29&lt;&gt;"Yes",NA(),Inputs!$D$29*Inputs!$C$35))</f>
        <v/>
      </c>
      <c r="AD1651">
        <f>IF($B1651=0,0,IF(Inputs!$B$6="",0,COUNTIFS(Data!$A$10:$A$3209,"&gt;="&amp;$A1651,Data!$A$10:$A$3209,"&lt;"&amp;$A1651+1)))</f>
        <v/>
      </c>
      <c r="AE1651">
        <f>IF($B1651=0,0,IF(Inputs!$B$7="",0,COUNTIFS(Data!$E$10:$E$3209,"&gt;="&amp;$A1651,Data!$E$10:$E$3209,"&lt;"&amp;$A1651+1)))</f>
        <v/>
      </c>
      <c r="AF1651">
        <f>IF($B1651=0,0,IF(Inputs!$B$8="",0,COUNTIFS(Data!$I$10:$I$3209,"&gt;="&amp;$A1651,Data!$I$10:$I$3209,"&lt;"&amp;$A1651+1)))</f>
        <v/>
      </c>
      <c r="AG1651">
        <f>IF($B1651=0,0,IF(Inputs!$B$9="",0,COUNTIFS(Data!$M$10:$M$3209,"&gt;="&amp;$A1651,Data!$M$10:$M$3209,"&lt;"&amp;$A1651+1)))</f>
        <v/>
      </c>
      <c r="AH1651">
        <f>IF($B1651=0,0,IF(Inputs!$B$10="",0,COUNTIFS(Data!$Q$10:$Q$3209,"&gt;="&amp;$A1651,Data!$Q$10:$Q$3209,"&lt;"&amp;$A1651+1)))</f>
        <v/>
      </c>
    </row>
    <row r="1652">
      <c r="A1652" s="55">
        <f>MIN(Inputs!$C$15,$A1651+IF(WEEKDAY($A1651,2)=5,3,1))</f>
        <v/>
      </c>
      <c r="B1652">
        <f>IF($A1652&gt;$A1651,1,0)</f>
        <v/>
      </c>
      <c r="C1652" s="56">
        <f>IF($B1652=0,"",IF(Inputs!$B$6="","",IF($AD1652=0,C1651,SUMIFS(Data!$B$10:$B$3209,Data!$A$10:$A$3209,"&gt;="&amp;$A1652,Data!$A$10:$A$3209,"&lt;"&amp;$A1652+1)/$AD1652)))</f>
        <v/>
      </c>
      <c r="D1652" s="56">
        <f>IF($B1652=0,"",IF(Inputs!$B$7="","",IF($AE1652=0,D1651,SUMIFS(Data!$F$10:$F$3209,Data!$E$10:$E$3209,"&gt;="&amp;$A1652,Data!$E$10:$E$3209,"&lt;"&amp;$A1652+1)/$AE1652)))</f>
        <v/>
      </c>
      <c r="E1652" s="56">
        <f>IF($B1652=0,"",IF(Inputs!$B$8="","",IF($AF1652=0,E1651,SUMIFS(Data!$J$10:$J$3209,Data!$I$10:$I$3209,"&gt;="&amp;$A1652,Data!$I$10:$I$3209,"&lt;"&amp;$A1652+1)/$AF1652)))</f>
        <v/>
      </c>
      <c r="F1652" s="56">
        <f>IF($B1652=0,"",IF(Inputs!$B$9="","",IF($AG1652=0,F1651,SUMIFS(Data!$N$10:$N$3209,Data!$M$10:$M$3209,"&gt;="&amp;$A1652,Data!$M$10:$M$3209,"&lt;"&amp;$A1652+1)/$AG1652)))</f>
        <v/>
      </c>
      <c r="G1652" s="56">
        <f>IF($B1652=0,"",IF(Inputs!$B$10="","",IF($AH1652=0,G1651,SUMIFS(Data!$R$10:$R$3209,Data!$Q$10:$Q$3209,"&gt;="&amp;$A1652,Data!$Q$10:$Q$3209,"&lt;"&amp;$A1652+1)/$AH1652)))</f>
        <v/>
      </c>
      <c r="I1652" s="54">
        <f>IF($B1652=0,NA(),IF($C1652="",NA(),IF(C$8="",NA(),IF(N(C$8)=0,NA(),IF(Inputs!$C$17="Rebased to 100",$C1652/C$8*100,$C1652)))))</f>
        <v/>
      </c>
      <c r="J1652" s="54">
        <f>IF($B1652=0,NA(),IF($D1652="",NA(),IF(D$8="",NA(),IF(N(D$8)=0,NA(),IF(Inputs!$C$17="Rebased to 100",$D1652/D$8*100,$D1652)))))</f>
        <v/>
      </c>
      <c r="K1652" s="54">
        <f>IF($B1652=0,NA(),IF($E1652="",NA(),IF(E$8="",NA(),IF(N(E$8)=0,NA(),IF(Inputs!$C$17="Rebased to 100",$E1652/E$8*100,$E1652)))))</f>
        <v/>
      </c>
      <c r="L1652" s="54">
        <f>IF($B1652=0,NA(),IF($F1652="",NA(),IF(F$8="",NA(),IF(N(F$8)=0,NA(),IF(Inputs!$C$17="Rebased to 100",$F1652/F$8*100,$F1652)))))</f>
        <v/>
      </c>
      <c r="M1652" s="54">
        <f>IF($B1652=0,NA(),IF($G1652="",NA(),IF(G$8="",NA(),IF(N(G$8)=0,NA(),IF(Inputs!$C$17="Rebased to 100",$G1652/G$8*100,$G1652)))))</f>
        <v/>
      </c>
      <c r="N1652" s="54">
        <f>IF($B1652=0,NA(),IF(Inputs!$C$18&lt;&gt;"Yes",NA(),IF(COUNT(I1652,J1652,K1652,L1652,M1652)=0,NA(),MIN(I1652,J1652,K1652,L1652,M1652))))</f>
        <v/>
      </c>
      <c r="O1652" s="54">
        <f>IF($B1652=0,NA(),IF(Inputs!$B$24&lt;&gt;"Yes",NA(),Inputs!$D$24*Inputs!$C$35))</f>
        <v/>
      </c>
      <c r="P1652" s="54">
        <f>IF($B1652=0,NA(),IF(Inputs!$B$25&lt;&gt;"Yes",NA(),Inputs!$D$25*Inputs!$C$35))</f>
        <v/>
      </c>
      <c r="Q1652" s="54">
        <f>IF($B1652=0,NA(),IF(Inputs!$B$26&lt;&gt;"Yes",NA(),Inputs!$D$26*Inputs!$C$35))</f>
        <v/>
      </c>
      <c r="R1652" s="54">
        <f>IF($B1652=0,NA(),IF(Inputs!$B$27&lt;&gt;"Yes",NA(),Inputs!$D$27*Inputs!$C$35))</f>
        <v/>
      </c>
      <c r="S1652" s="54">
        <f>IF($B1652=0,NA(),IF(Inputs!$B$28&lt;&gt;"Yes",NA(),Inputs!$D$28*Inputs!$C$35))</f>
        <v/>
      </c>
      <c r="T1652" s="54">
        <f>IF($B1652=0,NA(),IF(Inputs!$B$29&lt;&gt;"Yes",NA(),Inputs!$D$29*Inputs!$C$35))</f>
        <v/>
      </c>
      <c r="AD1652">
        <f>IF($B1652=0,0,IF(Inputs!$B$6="",0,COUNTIFS(Data!$A$10:$A$3209,"&gt;="&amp;$A1652,Data!$A$10:$A$3209,"&lt;"&amp;$A1652+1)))</f>
        <v/>
      </c>
      <c r="AE1652">
        <f>IF($B1652=0,0,IF(Inputs!$B$7="",0,COUNTIFS(Data!$E$10:$E$3209,"&gt;="&amp;$A1652,Data!$E$10:$E$3209,"&lt;"&amp;$A1652+1)))</f>
        <v/>
      </c>
      <c r="AF1652">
        <f>IF($B1652=0,0,IF(Inputs!$B$8="",0,COUNTIFS(Data!$I$10:$I$3209,"&gt;="&amp;$A1652,Data!$I$10:$I$3209,"&lt;"&amp;$A1652+1)))</f>
        <v/>
      </c>
      <c r="AG1652">
        <f>IF($B1652=0,0,IF(Inputs!$B$9="",0,COUNTIFS(Data!$M$10:$M$3209,"&gt;="&amp;$A1652,Data!$M$10:$M$3209,"&lt;"&amp;$A1652+1)))</f>
        <v/>
      </c>
      <c r="AH1652">
        <f>IF($B1652=0,0,IF(Inputs!$B$10="",0,COUNTIFS(Data!$Q$10:$Q$3209,"&gt;="&amp;$A1652,Data!$Q$10:$Q$3209,"&lt;"&amp;$A1652+1)))</f>
        <v/>
      </c>
    </row>
    <row r="1653">
      <c r="A1653" s="55">
        <f>MIN(Inputs!$C$15,$A1652+IF(WEEKDAY($A1652,2)=5,3,1))</f>
        <v/>
      </c>
      <c r="B1653">
        <f>IF($A1653&gt;$A1652,1,0)</f>
        <v/>
      </c>
      <c r="C1653" s="56">
        <f>IF($B1653=0,"",IF(Inputs!$B$6="","",IF($AD1653=0,C1652,SUMIFS(Data!$B$10:$B$3209,Data!$A$10:$A$3209,"&gt;="&amp;$A1653,Data!$A$10:$A$3209,"&lt;"&amp;$A1653+1)/$AD1653)))</f>
        <v/>
      </c>
      <c r="D1653" s="56">
        <f>IF($B1653=0,"",IF(Inputs!$B$7="","",IF($AE1653=0,D1652,SUMIFS(Data!$F$10:$F$3209,Data!$E$10:$E$3209,"&gt;="&amp;$A1653,Data!$E$10:$E$3209,"&lt;"&amp;$A1653+1)/$AE1653)))</f>
        <v/>
      </c>
      <c r="E1653" s="56">
        <f>IF($B1653=0,"",IF(Inputs!$B$8="","",IF($AF1653=0,E1652,SUMIFS(Data!$J$10:$J$3209,Data!$I$10:$I$3209,"&gt;="&amp;$A1653,Data!$I$10:$I$3209,"&lt;"&amp;$A1653+1)/$AF1653)))</f>
        <v/>
      </c>
      <c r="F1653" s="56">
        <f>IF($B1653=0,"",IF(Inputs!$B$9="","",IF($AG1653=0,F1652,SUMIFS(Data!$N$10:$N$3209,Data!$M$10:$M$3209,"&gt;="&amp;$A1653,Data!$M$10:$M$3209,"&lt;"&amp;$A1653+1)/$AG1653)))</f>
        <v/>
      </c>
      <c r="G1653" s="56">
        <f>IF($B1653=0,"",IF(Inputs!$B$10="","",IF($AH1653=0,G1652,SUMIFS(Data!$R$10:$R$3209,Data!$Q$10:$Q$3209,"&gt;="&amp;$A1653,Data!$Q$10:$Q$3209,"&lt;"&amp;$A1653+1)/$AH1653)))</f>
        <v/>
      </c>
      <c r="I1653" s="54">
        <f>IF($B1653=0,NA(),IF($C1653="",NA(),IF(C$8="",NA(),IF(N(C$8)=0,NA(),IF(Inputs!$C$17="Rebased to 100",$C1653/C$8*100,$C1653)))))</f>
        <v/>
      </c>
      <c r="J1653" s="54">
        <f>IF($B1653=0,NA(),IF($D1653="",NA(),IF(D$8="",NA(),IF(N(D$8)=0,NA(),IF(Inputs!$C$17="Rebased to 100",$D1653/D$8*100,$D1653)))))</f>
        <v/>
      </c>
      <c r="K1653" s="54">
        <f>IF($B1653=0,NA(),IF($E1653="",NA(),IF(E$8="",NA(),IF(N(E$8)=0,NA(),IF(Inputs!$C$17="Rebased to 100",$E1653/E$8*100,$E1653)))))</f>
        <v/>
      </c>
      <c r="L1653" s="54">
        <f>IF($B1653=0,NA(),IF($F1653="",NA(),IF(F$8="",NA(),IF(N(F$8)=0,NA(),IF(Inputs!$C$17="Rebased to 100",$F1653/F$8*100,$F1653)))))</f>
        <v/>
      </c>
      <c r="M1653" s="54">
        <f>IF($B1653=0,NA(),IF($G1653="",NA(),IF(G$8="",NA(),IF(N(G$8)=0,NA(),IF(Inputs!$C$17="Rebased to 100",$G1653/G$8*100,$G1653)))))</f>
        <v/>
      </c>
      <c r="N1653" s="54">
        <f>IF($B1653=0,NA(),IF(Inputs!$C$18&lt;&gt;"Yes",NA(),IF(COUNT(I1653,J1653,K1653,L1653,M1653)=0,NA(),MIN(I1653,J1653,K1653,L1653,M1653))))</f>
        <v/>
      </c>
      <c r="O1653" s="54">
        <f>IF($B1653=0,NA(),IF(Inputs!$B$24&lt;&gt;"Yes",NA(),Inputs!$D$24*Inputs!$C$35))</f>
        <v/>
      </c>
      <c r="P1653" s="54">
        <f>IF($B1653=0,NA(),IF(Inputs!$B$25&lt;&gt;"Yes",NA(),Inputs!$D$25*Inputs!$C$35))</f>
        <v/>
      </c>
      <c r="Q1653" s="54">
        <f>IF($B1653=0,NA(),IF(Inputs!$B$26&lt;&gt;"Yes",NA(),Inputs!$D$26*Inputs!$C$35))</f>
        <v/>
      </c>
      <c r="R1653" s="54">
        <f>IF($B1653=0,NA(),IF(Inputs!$B$27&lt;&gt;"Yes",NA(),Inputs!$D$27*Inputs!$C$35))</f>
        <v/>
      </c>
      <c r="S1653" s="54">
        <f>IF($B1653=0,NA(),IF(Inputs!$B$28&lt;&gt;"Yes",NA(),Inputs!$D$28*Inputs!$C$35))</f>
        <v/>
      </c>
      <c r="T1653" s="54">
        <f>IF($B1653=0,NA(),IF(Inputs!$B$29&lt;&gt;"Yes",NA(),Inputs!$D$29*Inputs!$C$35))</f>
        <v/>
      </c>
      <c r="AD1653">
        <f>IF($B1653=0,0,IF(Inputs!$B$6="",0,COUNTIFS(Data!$A$10:$A$3209,"&gt;="&amp;$A1653,Data!$A$10:$A$3209,"&lt;"&amp;$A1653+1)))</f>
        <v/>
      </c>
      <c r="AE1653">
        <f>IF($B1653=0,0,IF(Inputs!$B$7="",0,COUNTIFS(Data!$E$10:$E$3209,"&gt;="&amp;$A1653,Data!$E$10:$E$3209,"&lt;"&amp;$A1653+1)))</f>
        <v/>
      </c>
      <c r="AF1653">
        <f>IF($B1653=0,0,IF(Inputs!$B$8="",0,COUNTIFS(Data!$I$10:$I$3209,"&gt;="&amp;$A1653,Data!$I$10:$I$3209,"&lt;"&amp;$A1653+1)))</f>
        <v/>
      </c>
      <c r="AG1653">
        <f>IF($B1653=0,0,IF(Inputs!$B$9="",0,COUNTIFS(Data!$M$10:$M$3209,"&gt;="&amp;$A1653,Data!$M$10:$M$3209,"&lt;"&amp;$A1653+1)))</f>
        <v/>
      </c>
      <c r="AH1653">
        <f>IF($B1653=0,0,IF(Inputs!$B$10="",0,COUNTIFS(Data!$Q$10:$Q$3209,"&gt;="&amp;$A1653,Data!$Q$10:$Q$3209,"&lt;"&amp;$A1653+1)))</f>
        <v/>
      </c>
    </row>
    <row r="1654">
      <c r="A1654" s="55">
        <f>MIN(Inputs!$C$15,$A1653+IF(WEEKDAY($A1653,2)=5,3,1))</f>
        <v/>
      </c>
      <c r="B1654">
        <f>IF($A1654&gt;$A1653,1,0)</f>
        <v/>
      </c>
      <c r="C1654" s="56">
        <f>IF($B1654=0,"",IF(Inputs!$B$6="","",IF($AD1654=0,C1653,SUMIFS(Data!$B$10:$B$3209,Data!$A$10:$A$3209,"&gt;="&amp;$A1654,Data!$A$10:$A$3209,"&lt;"&amp;$A1654+1)/$AD1654)))</f>
        <v/>
      </c>
      <c r="D1654" s="56">
        <f>IF($B1654=0,"",IF(Inputs!$B$7="","",IF($AE1654=0,D1653,SUMIFS(Data!$F$10:$F$3209,Data!$E$10:$E$3209,"&gt;="&amp;$A1654,Data!$E$10:$E$3209,"&lt;"&amp;$A1654+1)/$AE1654)))</f>
        <v/>
      </c>
      <c r="E1654" s="56">
        <f>IF($B1654=0,"",IF(Inputs!$B$8="","",IF($AF1654=0,E1653,SUMIFS(Data!$J$10:$J$3209,Data!$I$10:$I$3209,"&gt;="&amp;$A1654,Data!$I$10:$I$3209,"&lt;"&amp;$A1654+1)/$AF1654)))</f>
        <v/>
      </c>
      <c r="F1654" s="56">
        <f>IF($B1654=0,"",IF(Inputs!$B$9="","",IF($AG1654=0,F1653,SUMIFS(Data!$N$10:$N$3209,Data!$M$10:$M$3209,"&gt;="&amp;$A1654,Data!$M$10:$M$3209,"&lt;"&amp;$A1654+1)/$AG1654)))</f>
        <v/>
      </c>
      <c r="G1654" s="56">
        <f>IF($B1654=0,"",IF(Inputs!$B$10="","",IF($AH1654=0,G1653,SUMIFS(Data!$R$10:$R$3209,Data!$Q$10:$Q$3209,"&gt;="&amp;$A1654,Data!$Q$10:$Q$3209,"&lt;"&amp;$A1654+1)/$AH1654)))</f>
        <v/>
      </c>
      <c r="I1654" s="54">
        <f>IF($B1654=0,NA(),IF($C1654="",NA(),IF(C$8="",NA(),IF(N(C$8)=0,NA(),IF(Inputs!$C$17="Rebased to 100",$C1654/C$8*100,$C1654)))))</f>
        <v/>
      </c>
      <c r="J1654" s="54">
        <f>IF($B1654=0,NA(),IF($D1654="",NA(),IF(D$8="",NA(),IF(N(D$8)=0,NA(),IF(Inputs!$C$17="Rebased to 100",$D1654/D$8*100,$D1654)))))</f>
        <v/>
      </c>
      <c r="K1654" s="54">
        <f>IF($B1654=0,NA(),IF($E1654="",NA(),IF(E$8="",NA(),IF(N(E$8)=0,NA(),IF(Inputs!$C$17="Rebased to 100",$E1654/E$8*100,$E1654)))))</f>
        <v/>
      </c>
      <c r="L1654" s="54">
        <f>IF($B1654=0,NA(),IF($F1654="",NA(),IF(F$8="",NA(),IF(N(F$8)=0,NA(),IF(Inputs!$C$17="Rebased to 100",$F1654/F$8*100,$F1654)))))</f>
        <v/>
      </c>
      <c r="M1654" s="54">
        <f>IF($B1654=0,NA(),IF($G1654="",NA(),IF(G$8="",NA(),IF(N(G$8)=0,NA(),IF(Inputs!$C$17="Rebased to 100",$G1654/G$8*100,$G1654)))))</f>
        <v/>
      </c>
      <c r="N1654" s="54">
        <f>IF($B1654=0,NA(),IF(Inputs!$C$18&lt;&gt;"Yes",NA(),IF(COUNT(I1654,J1654,K1654,L1654,M1654)=0,NA(),MIN(I1654,J1654,K1654,L1654,M1654))))</f>
        <v/>
      </c>
      <c r="O1654" s="54">
        <f>IF($B1654=0,NA(),IF(Inputs!$B$24&lt;&gt;"Yes",NA(),Inputs!$D$24*Inputs!$C$35))</f>
        <v/>
      </c>
      <c r="P1654" s="54">
        <f>IF($B1654=0,NA(),IF(Inputs!$B$25&lt;&gt;"Yes",NA(),Inputs!$D$25*Inputs!$C$35))</f>
        <v/>
      </c>
      <c r="Q1654" s="54">
        <f>IF($B1654=0,NA(),IF(Inputs!$B$26&lt;&gt;"Yes",NA(),Inputs!$D$26*Inputs!$C$35))</f>
        <v/>
      </c>
      <c r="R1654" s="54">
        <f>IF($B1654=0,NA(),IF(Inputs!$B$27&lt;&gt;"Yes",NA(),Inputs!$D$27*Inputs!$C$35))</f>
        <v/>
      </c>
      <c r="S1654" s="54">
        <f>IF($B1654=0,NA(),IF(Inputs!$B$28&lt;&gt;"Yes",NA(),Inputs!$D$28*Inputs!$C$35))</f>
        <v/>
      </c>
      <c r="T1654" s="54">
        <f>IF($B1654=0,NA(),IF(Inputs!$B$29&lt;&gt;"Yes",NA(),Inputs!$D$29*Inputs!$C$35))</f>
        <v/>
      </c>
      <c r="AD1654">
        <f>IF($B1654=0,0,IF(Inputs!$B$6="",0,COUNTIFS(Data!$A$10:$A$3209,"&gt;="&amp;$A1654,Data!$A$10:$A$3209,"&lt;"&amp;$A1654+1)))</f>
        <v/>
      </c>
      <c r="AE1654">
        <f>IF($B1654=0,0,IF(Inputs!$B$7="",0,COUNTIFS(Data!$E$10:$E$3209,"&gt;="&amp;$A1654,Data!$E$10:$E$3209,"&lt;"&amp;$A1654+1)))</f>
        <v/>
      </c>
      <c r="AF1654">
        <f>IF($B1654=0,0,IF(Inputs!$B$8="",0,COUNTIFS(Data!$I$10:$I$3209,"&gt;="&amp;$A1654,Data!$I$10:$I$3209,"&lt;"&amp;$A1654+1)))</f>
        <v/>
      </c>
      <c r="AG1654">
        <f>IF($B1654=0,0,IF(Inputs!$B$9="",0,COUNTIFS(Data!$M$10:$M$3209,"&gt;="&amp;$A1654,Data!$M$10:$M$3209,"&lt;"&amp;$A1654+1)))</f>
        <v/>
      </c>
      <c r="AH1654">
        <f>IF($B1654=0,0,IF(Inputs!$B$10="",0,COUNTIFS(Data!$Q$10:$Q$3209,"&gt;="&amp;$A1654,Data!$Q$10:$Q$3209,"&lt;"&amp;$A1654+1)))</f>
        <v/>
      </c>
    </row>
    <row r="1655">
      <c r="A1655" s="55">
        <f>MIN(Inputs!$C$15,$A1654+IF(WEEKDAY($A1654,2)=5,3,1))</f>
        <v/>
      </c>
      <c r="B1655">
        <f>IF($A1655&gt;$A1654,1,0)</f>
        <v/>
      </c>
      <c r="C1655" s="56">
        <f>IF($B1655=0,"",IF(Inputs!$B$6="","",IF($AD1655=0,C1654,SUMIFS(Data!$B$10:$B$3209,Data!$A$10:$A$3209,"&gt;="&amp;$A1655,Data!$A$10:$A$3209,"&lt;"&amp;$A1655+1)/$AD1655)))</f>
        <v/>
      </c>
      <c r="D1655" s="56">
        <f>IF($B1655=0,"",IF(Inputs!$B$7="","",IF($AE1655=0,D1654,SUMIFS(Data!$F$10:$F$3209,Data!$E$10:$E$3209,"&gt;="&amp;$A1655,Data!$E$10:$E$3209,"&lt;"&amp;$A1655+1)/$AE1655)))</f>
        <v/>
      </c>
      <c r="E1655" s="56">
        <f>IF($B1655=0,"",IF(Inputs!$B$8="","",IF($AF1655=0,E1654,SUMIFS(Data!$J$10:$J$3209,Data!$I$10:$I$3209,"&gt;="&amp;$A1655,Data!$I$10:$I$3209,"&lt;"&amp;$A1655+1)/$AF1655)))</f>
        <v/>
      </c>
      <c r="F1655" s="56">
        <f>IF($B1655=0,"",IF(Inputs!$B$9="","",IF($AG1655=0,F1654,SUMIFS(Data!$N$10:$N$3209,Data!$M$10:$M$3209,"&gt;="&amp;$A1655,Data!$M$10:$M$3209,"&lt;"&amp;$A1655+1)/$AG1655)))</f>
        <v/>
      </c>
      <c r="G1655" s="56">
        <f>IF($B1655=0,"",IF(Inputs!$B$10="","",IF($AH1655=0,G1654,SUMIFS(Data!$R$10:$R$3209,Data!$Q$10:$Q$3209,"&gt;="&amp;$A1655,Data!$Q$10:$Q$3209,"&lt;"&amp;$A1655+1)/$AH1655)))</f>
        <v/>
      </c>
      <c r="I1655" s="54">
        <f>IF($B1655=0,NA(),IF($C1655="",NA(),IF(C$8="",NA(),IF(N(C$8)=0,NA(),IF(Inputs!$C$17="Rebased to 100",$C1655/C$8*100,$C1655)))))</f>
        <v/>
      </c>
      <c r="J1655" s="54">
        <f>IF($B1655=0,NA(),IF($D1655="",NA(),IF(D$8="",NA(),IF(N(D$8)=0,NA(),IF(Inputs!$C$17="Rebased to 100",$D1655/D$8*100,$D1655)))))</f>
        <v/>
      </c>
      <c r="K1655" s="54">
        <f>IF($B1655=0,NA(),IF($E1655="",NA(),IF(E$8="",NA(),IF(N(E$8)=0,NA(),IF(Inputs!$C$17="Rebased to 100",$E1655/E$8*100,$E1655)))))</f>
        <v/>
      </c>
      <c r="L1655" s="54">
        <f>IF($B1655=0,NA(),IF($F1655="",NA(),IF(F$8="",NA(),IF(N(F$8)=0,NA(),IF(Inputs!$C$17="Rebased to 100",$F1655/F$8*100,$F1655)))))</f>
        <v/>
      </c>
      <c r="M1655" s="54">
        <f>IF($B1655=0,NA(),IF($G1655="",NA(),IF(G$8="",NA(),IF(N(G$8)=0,NA(),IF(Inputs!$C$17="Rebased to 100",$G1655/G$8*100,$G1655)))))</f>
        <v/>
      </c>
      <c r="N1655" s="54">
        <f>IF($B1655=0,NA(),IF(Inputs!$C$18&lt;&gt;"Yes",NA(),IF(COUNT(I1655,J1655,K1655,L1655,M1655)=0,NA(),MIN(I1655,J1655,K1655,L1655,M1655))))</f>
        <v/>
      </c>
      <c r="O1655" s="54">
        <f>IF($B1655=0,NA(),IF(Inputs!$B$24&lt;&gt;"Yes",NA(),Inputs!$D$24*Inputs!$C$35))</f>
        <v/>
      </c>
      <c r="P1655" s="54">
        <f>IF($B1655=0,NA(),IF(Inputs!$B$25&lt;&gt;"Yes",NA(),Inputs!$D$25*Inputs!$C$35))</f>
        <v/>
      </c>
      <c r="Q1655" s="54">
        <f>IF($B1655=0,NA(),IF(Inputs!$B$26&lt;&gt;"Yes",NA(),Inputs!$D$26*Inputs!$C$35))</f>
        <v/>
      </c>
      <c r="R1655" s="54">
        <f>IF($B1655=0,NA(),IF(Inputs!$B$27&lt;&gt;"Yes",NA(),Inputs!$D$27*Inputs!$C$35))</f>
        <v/>
      </c>
      <c r="S1655" s="54">
        <f>IF($B1655=0,NA(),IF(Inputs!$B$28&lt;&gt;"Yes",NA(),Inputs!$D$28*Inputs!$C$35))</f>
        <v/>
      </c>
      <c r="T1655" s="54">
        <f>IF($B1655=0,NA(),IF(Inputs!$B$29&lt;&gt;"Yes",NA(),Inputs!$D$29*Inputs!$C$35))</f>
        <v/>
      </c>
      <c r="AD1655">
        <f>IF($B1655=0,0,IF(Inputs!$B$6="",0,COUNTIFS(Data!$A$10:$A$3209,"&gt;="&amp;$A1655,Data!$A$10:$A$3209,"&lt;"&amp;$A1655+1)))</f>
        <v/>
      </c>
      <c r="AE1655">
        <f>IF($B1655=0,0,IF(Inputs!$B$7="",0,COUNTIFS(Data!$E$10:$E$3209,"&gt;="&amp;$A1655,Data!$E$10:$E$3209,"&lt;"&amp;$A1655+1)))</f>
        <v/>
      </c>
      <c r="AF1655">
        <f>IF($B1655=0,0,IF(Inputs!$B$8="",0,COUNTIFS(Data!$I$10:$I$3209,"&gt;="&amp;$A1655,Data!$I$10:$I$3209,"&lt;"&amp;$A1655+1)))</f>
        <v/>
      </c>
      <c r="AG1655">
        <f>IF($B1655=0,0,IF(Inputs!$B$9="",0,COUNTIFS(Data!$M$10:$M$3209,"&gt;="&amp;$A1655,Data!$M$10:$M$3209,"&lt;"&amp;$A1655+1)))</f>
        <v/>
      </c>
      <c r="AH1655">
        <f>IF($B1655=0,0,IF(Inputs!$B$10="",0,COUNTIFS(Data!$Q$10:$Q$3209,"&gt;="&amp;$A1655,Data!$Q$10:$Q$3209,"&lt;"&amp;$A1655+1)))</f>
        <v/>
      </c>
    </row>
    <row r="1656">
      <c r="A1656" s="55">
        <f>MIN(Inputs!$C$15,$A1655+IF(WEEKDAY($A1655,2)=5,3,1))</f>
        <v/>
      </c>
      <c r="B1656">
        <f>IF($A1656&gt;$A1655,1,0)</f>
        <v/>
      </c>
      <c r="C1656" s="56">
        <f>IF($B1656=0,"",IF(Inputs!$B$6="","",IF($AD1656=0,C1655,SUMIFS(Data!$B$10:$B$3209,Data!$A$10:$A$3209,"&gt;="&amp;$A1656,Data!$A$10:$A$3209,"&lt;"&amp;$A1656+1)/$AD1656)))</f>
        <v/>
      </c>
      <c r="D1656" s="56">
        <f>IF($B1656=0,"",IF(Inputs!$B$7="","",IF($AE1656=0,D1655,SUMIFS(Data!$F$10:$F$3209,Data!$E$10:$E$3209,"&gt;="&amp;$A1656,Data!$E$10:$E$3209,"&lt;"&amp;$A1656+1)/$AE1656)))</f>
        <v/>
      </c>
      <c r="E1656" s="56">
        <f>IF($B1656=0,"",IF(Inputs!$B$8="","",IF($AF1656=0,E1655,SUMIFS(Data!$J$10:$J$3209,Data!$I$10:$I$3209,"&gt;="&amp;$A1656,Data!$I$10:$I$3209,"&lt;"&amp;$A1656+1)/$AF1656)))</f>
        <v/>
      </c>
      <c r="F1656" s="56">
        <f>IF($B1656=0,"",IF(Inputs!$B$9="","",IF($AG1656=0,F1655,SUMIFS(Data!$N$10:$N$3209,Data!$M$10:$M$3209,"&gt;="&amp;$A1656,Data!$M$10:$M$3209,"&lt;"&amp;$A1656+1)/$AG1656)))</f>
        <v/>
      </c>
      <c r="G1656" s="56">
        <f>IF($B1656=0,"",IF(Inputs!$B$10="","",IF($AH1656=0,G1655,SUMIFS(Data!$R$10:$R$3209,Data!$Q$10:$Q$3209,"&gt;="&amp;$A1656,Data!$Q$10:$Q$3209,"&lt;"&amp;$A1656+1)/$AH1656)))</f>
        <v/>
      </c>
      <c r="I1656" s="54">
        <f>IF($B1656=0,NA(),IF($C1656="",NA(),IF(C$8="",NA(),IF(N(C$8)=0,NA(),IF(Inputs!$C$17="Rebased to 100",$C1656/C$8*100,$C1656)))))</f>
        <v/>
      </c>
      <c r="J1656" s="54">
        <f>IF($B1656=0,NA(),IF($D1656="",NA(),IF(D$8="",NA(),IF(N(D$8)=0,NA(),IF(Inputs!$C$17="Rebased to 100",$D1656/D$8*100,$D1656)))))</f>
        <v/>
      </c>
      <c r="K1656" s="54">
        <f>IF($B1656=0,NA(),IF($E1656="",NA(),IF(E$8="",NA(),IF(N(E$8)=0,NA(),IF(Inputs!$C$17="Rebased to 100",$E1656/E$8*100,$E1656)))))</f>
        <v/>
      </c>
      <c r="L1656" s="54">
        <f>IF($B1656=0,NA(),IF($F1656="",NA(),IF(F$8="",NA(),IF(N(F$8)=0,NA(),IF(Inputs!$C$17="Rebased to 100",$F1656/F$8*100,$F1656)))))</f>
        <v/>
      </c>
      <c r="M1656" s="54">
        <f>IF($B1656=0,NA(),IF($G1656="",NA(),IF(G$8="",NA(),IF(N(G$8)=0,NA(),IF(Inputs!$C$17="Rebased to 100",$G1656/G$8*100,$G1656)))))</f>
        <v/>
      </c>
      <c r="N1656" s="54">
        <f>IF($B1656=0,NA(),IF(Inputs!$C$18&lt;&gt;"Yes",NA(),IF(COUNT(I1656,J1656,K1656,L1656,M1656)=0,NA(),MIN(I1656,J1656,K1656,L1656,M1656))))</f>
        <v/>
      </c>
      <c r="O1656" s="54">
        <f>IF($B1656=0,NA(),IF(Inputs!$B$24&lt;&gt;"Yes",NA(),Inputs!$D$24*Inputs!$C$35))</f>
        <v/>
      </c>
      <c r="P1656" s="54">
        <f>IF($B1656=0,NA(),IF(Inputs!$B$25&lt;&gt;"Yes",NA(),Inputs!$D$25*Inputs!$C$35))</f>
        <v/>
      </c>
      <c r="Q1656" s="54">
        <f>IF($B1656=0,NA(),IF(Inputs!$B$26&lt;&gt;"Yes",NA(),Inputs!$D$26*Inputs!$C$35))</f>
        <v/>
      </c>
      <c r="R1656" s="54">
        <f>IF($B1656=0,NA(),IF(Inputs!$B$27&lt;&gt;"Yes",NA(),Inputs!$D$27*Inputs!$C$35))</f>
        <v/>
      </c>
      <c r="S1656" s="54">
        <f>IF($B1656=0,NA(),IF(Inputs!$B$28&lt;&gt;"Yes",NA(),Inputs!$D$28*Inputs!$C$35))</f>
        <v/>
      </c>
      <c r="T1656" s="54">
        <f>IF($B1656=0,NA(),IF(Inputs!$B$29&lt;&gt;"Yes",NA(),Inputs!$D$29*Inputs!$C$35))</f>
        <v/>
      </c>
      <c r="AD1656">
        <f>IF($B1656=0,0,IF(Inputs!$B$6="",0,COUNTIFS(Data!$A$10:$A$3209,"&gt;="&amp;$A1656,Data!$A$10:$A$3209,"&lt;"&amp;$A1656+1)))</f>
        <v/>
      </c>
      <c r="AE1656">
        <f>IF($B1656=0,0,IF(Inputs!$B$7="",0,COUNTIFS(Data!$E$10:$E$3209,"&gt;="&amp;$A1656,Data!$E$10:$E$3209,"&lt;"&amp;$A1656+1)))</f>
        <v/>
      </c>
      <c r="AF1656">
        <f>IF($B1656=0,0,IF(Inputs!$B$8="",0,COUNTIFS(Data!$I$10:$I$3209,"&gt;="&amp;$A1656,Data!$I$10:$I$3209,"&lt;"&amp;$A1656+1)))</f>
        <v/>
      </c>
      <c r="AG1656">
        <f>IF($B1656=0,0,IF(Inputs!$B$9="",0,COUNTIFS(Data!$M$10:$M$3209,"&gt;="&amp;$A1656,Data!$M$10:$M$3209,"&lt;"&amp;$A1656+1)))</f>
        <v/>
      </c>
      <c r="AH1656">
        <f>IF($B1656=0,0,IF(Inputs!$B$10="",0,COUNTIFS(Data!$Q$10:$Q$3209,"&gt;="&amp;$A1656,Data!$Q$10:$Q$3209,"&lt;"&amp;$A1656+1)))</f>
        <v/>
      </c>
    </row>
    <row r="1657">
      <c r="A1657" s="55">
        <f>MIN(Inputs!$C$15,$A1656+IF(WEEKDAY($A1656,2)=5,3,1))</f>
        <v/>
      </c>
      <c r="B1657">
        <f>IF($A1657&gt;$A1656,1,0)</f>
        <v/>
      </c>
      <c r="C1657" s="56">
        <f>IF($B1657=0,"",IF(Inputs!$B$6="","",IF($AD1657=0,C1656,SUMIFS(Data!$B$10:$B$3209,Data!$A$10:$A$3209,"&gt;="&amp;$A1657,Data!$A$10:$A$3209,"&lt;"&amp;$A1657+1)/$AD1657)))</f>
        <v/>
      </c>
      <c r="D1657" s="56">
        <f>IF($B1657=0,"",IF(Inputs!$B$7="","",IF($AE1657=0,D1656,SUMIFS(Data!$F$10:$F$3209,Data!$E$10:$E$3209,"&gt;="&amp;$A1657,Data!$E$10:$E$3209,"&lt;"&amp;$A1657+1)/$AE1657)))</f>
        <v/>
      </c>
      <c r="E1657" s="56">
        <f>IF($B1657=0,"",IF(Inputs!$B$8="","",IF($AF1657=0,E1656,SUMIFS(Data!$J$10:$J$3209,Data!$I$10:$I$3209,"&gt;="&amp;$A1657,Data!$I$10:$I$3209,"&lt;"&amp;$A1657+1)/$AF1657)))</f>
        <v/>
      </c>
      <c r="F1657" s="56">
        <f>IF($B1657=0,"",IF(Inputs!$B$9="","",IF($AG1657=0,F1656,SUMIFS(Data!$N$10:$N$3209,Data!$M$10:$M$3209,"&gt;="&amp;$A1657,Data!$M$10:$M$3209,"&lt;"&amp;$A1657+1)/$AG1657)))</f>
        <v/>
      </c>
      <c r="G1657" s="56">
        <f>IF($B1657=0,"",IF(Inputs!$B$10="","",IF($AH1657=0,G1656,SUMIFS(Data!$R$10:$R$3209,Data!$Q$10:$Q$3209,"&gt;="&amp;$A1657,Data!$Q$10:$Q$3209,"&lt;"&amp;$A1657+1)/$AH1657)))</f>
        <v/>
      </c>
      <c r="I1657" s="54">
        <f>IF($B1657=0,NA(),IF($C1657="",NA(),IF(C$8="",NA(),IF(N(C$8)=0,NA(),IF(Inputs!$C$17="Rebased to 100",$C1657/C$8*100,$C1657)))))</f>
        <v/>
      </c>
      <c r="J1657" s="54">
        <f>IF($B1657=0,NA(),IF($D1657="",NA(),IF(D$8="",NA(),IF(N(D$8)=0,NA(),IF(Inputs!$C$17="Rebased to 100",$D1657/D$8*100,$D1657)))))</f>
        <v/>
      </c>
      <c r="K1657" s="54">
        <f>IF($B1657=0,NA(),IF($E1657="",NA(),IF(E$8="",NA(),IF(N(E$8)=0,NA(),IF(Inputs!$C$17="Rebased to 100",$E1657/E$8*100,$E1657)))))</f>
        <v/>
      </c>
      <c r="L1657" s="54">
        <f>IF($B1657=0,NA(),IF($F1657="",NA(),IF(F$8="",NA(),IF(N(F$8)=0,NA(),IF(Inputs!$C$17="Rebased to 100",$F1657/F$8*100,$F1657)))))</f>
        <v/>
      </c>
      <c r="M1657" s="54">
        <f>IF($B1657=0,NA(),IF($G1657="",NA(),IF(G$8="",NA(),IF(N(G$8)=0,NA(),IF(Inputs!$C$17="Rebased to 100",$G1657/G$8*100,$G1657)))))</f>
        <v/>
      </c>
      <c r="N1657" s="54">
        <f>IF($B1657=0,NA(),IF(Inputs!$C$18&lt;&gt;"Yes",NA(),IF(COUNT(I1657,J1657,K1657,L1657,M1657)=0,NA(),MIN(I1657,J1657,K1657,L1657,M1657))))</f>
        <v/>
      </c>
      <c r="O1657" s="54">
        <f>IF($B1657=0,NA(),IF(Inputs!$B$24&lt;&gt;"Yes",NA(),Inputs!$D$24*Inputs!$C$35))</f>
        <v/>
      </c>
      <c r="P1657" s="54">
        <f>IF($B1657=0,NA(),IF(Inputs!$B$25&lt;&gt;"Yes",NA(),Inputs!$D$25*Inputs!$C$35))</f>
        <v/>
      </c>
      <c r="Q1657" s="54">
        <f>IF($B1657=0,NA(),IF(Inputs!$B$26&lt;&gt;"Yes",NA(),Inputs!$D$26*Inputs!$C$35))</f>
        <v/>
      </c>
      <c r="R1657" s="54">
        <f>IF($B1657=0,NA(),IF(Inputs!$B$27&lt;&gt;"Yes",NA(),Inputs!$D$27*Inputs!$C$35))</f>
        <v/>
      </c>
      <c r="S1657" s="54">
        <f>IF($B1657=0,NA(),IF(Inputs!$B$28&lt;&gt;"Yes",NA(),Inputs!$D$28*Inputs!$C$35))</f>
        <v/>
      </c>
      <c r="T1657" s="54">
        <f>IF($B1657=0,NA(),IF(Inputs!$B$29&lt;&gt;"Yes",NA(),Inputs!$D$29*Inputs!$C$35))</f>
        <v/>
      </c>
      <c r="AD1657">
        <f>IF($B1657=0,0,IF(Inputs!$B$6="",0,COUNTIFS(Data!$A$10:$A$3209,"&gt;="&amp;$A1657,Data!$A$10:$A$3209,"&lt;"&amp;$A1657+1)))</f>
        <v/>
      </c>
      <c r="AE1657">
        <f>IF($B1657=0,0,IF(Inputs!$B$7="",0,COUNTIFS(Data!$E$10:$E$3209,"&gt;="&amp;$A1657,Data!$E$10:$E$3209,"&lt;"&amp;$A1657+1)))</f>
        <v/>
      </c>
      <c r="AF1657">
        <f>IF($B1657=0,0,IF(Inputs!$B$8="",0,COUNTIFS(Data!$I$10:$I$3209,"&gt;="&amp;$A1657,Data!$I$10:$I$3209,"&lt;"&amp;$A1657+1)))</f>
        <v/>
      </c>
      <c r="AG1657">
        <f>IF($B1657=0,0,IF(Inputs!$B$9="",0,COUNTIFS(Data!$M$10:$M$3209,"&gt;="&amp;$A1657,Data!$M$10:$M$3209,"&lt;"&amp;$A1657+1)))</f>
        <v/>
      </c>
      <c r="AH1657">
        <f>IF($B1657=0,0,IF(Inputs!$B$10="",0,COUNTIFS(Data!$Q$10:$Q$3209,"&gt;="&amp;$A1657,Data!$Q$10:$Q$3209,"&lt;"&amp;$A1657+1)))</f>
        <v/>
      </c>
    </row>
    <row r="1658">
      <c r="A1658" s="55">
        <f>MIN(Inputs!$C$15,$A1657+IF(WEEKDAY($A1657,2)=5,3,1))</f>
        <v/>
      </c>
      <c r="B1658">
        <f>IF($A1658&gt;$A1657,1,0)</f>
        <v/>
      </c>
      <c r="C1658" s="56">
        <f>IF($B1658=0,"",IF(Inputs!$B$6="","",IF($AD1658=0,C1657,SUMIFS(Data!$B$10:$B$3209,Data!$A$10:$A$3209,"&gt;="&amp;$A1658,Data!$A$10:$A$3209,"&lt;"&amp;$A1658+1)/$AD1658)))</f>
        <v/>
      </c>
      <c r="D1658" s="56">
        <f>IF($B1658=0,"",IF(Inputs!$B$7="","",IF($AE1658=0,D1657,SUMIFS(Data!$F$10:$F$3209,Data!$E$10:$E$3209,"&gt;="&amp;$A1658,Data!$E$10:$E$3209,"&lt;"&amp;$A1658+1)/$AE1658)))</f>
        <v/>
      </c>
      <c r="E1658" s="56">
        <f>IF($B1658=0,"",IF(Inputs!$B$8="","",IF($AF1658=0,E1657,SUMIFS(Data!$J$10:$J$3209,Data!$I$10:$I$3209,"&gt;="&amp;$A1658,Data!$I$10:$I$3209,"&lt;"&amp;$A1658+1)/$AF1658)))</f>
        <v/>
      </c>
      <c r="F1658" s="56">
        <f>IF($B1658=0,"",IF(Inputs!$B$9="","",IF($AG1658=0,F1657,SUMIFS(Data!$N$10:$N$3209,Data!$M$10:$M$3209,"&gt;="&amp;$A1658,Data!$M$10:$M$3209,"&lt;"&amp;$A1658+1)/$AG1658)))</f>
        <v/>
      </c>
      <c r="G1658" s="56">
        <f>IF($B1658=0,"",IF(Inputs!$B$10="","",IF($AH1658=0,G1657,SUMIFS(Data!$R$10:$R$3209,Data!$Q$10:$Q$3209,"&gt;="&amp;$A1658,Data!$Q$10:$Q$3209,"&lt;"&amp;$A1658+1)/$AH1658)))</f>
        <v/>
      </c>
      <c r="I1658" s="54">
        <f>IF($B1658=0,NA(),IF($C1658="",NA(),IF(C$8="",NA(),IF(N(C$8)=0,NA(),IF(Inputs!$C$17="Rebased to 100",$C1658/C$8*100,$C1658)))))</f>
        <v/>
      </c>
      <c r="J1658" s="54">
        <f>IF($B1658=0,NA(),IF($D1658="",NA(),IF(D$8="",NA(),IF(N(D$8)=0,NA(),IF(Inputs!$C$17="Rebased to 100",$D1658/D$8*100,$D1658)))))</f>
        <v/>
      </c>
      <c r="K1658" s="54">
        <f>IF($B1658=0,NA(),IF($E1658="",NA(),IF(E$8="",NA(),IF(N(E$8)=0,NA(),IF(Inputs!$C$17="Rebased to 100",$E1658/E$8*100,$E1658)))))</f>
        <v/>
      </c>
      <c r="L1658" s="54">
        <f>IF($B1658=0,NA(),IF($F1658="",NA(),IF(F$8="",NA(),IF(N(F$8)=0,NA(),IF(Inputs!$C$17="Rebased to 100",$F1658/F$8*100,$F1658)))))</f>
        <v/>
      </c>
      <c r="M1658" s="54">
        <f>IF($B1658=0,NA(),IF($G1658="",NA(),IF(G$8="",NA(),IF(N(G$8)=0,NA(),IF(Inputs!$C$17="Rebased to 100",$G1658/G$8*100,$G1658)))))</f>
        <v/>
      </c>
      <c r="N1658" s="54">
        <f>IF($B1658=0,NA(),IF(Inputs!$C$18&lt;&gt;"Yes",NA(),IF(COUNT(I1658,J1658,K1658,L1658,M1658)=0,NA(),MIN(I1658,J1658,K1658,L1658,M1658))))</f>
        <v/>
      </c>
      <c r="O1658" s="54">
        <f>IF($B1658=0,NA(),IF(Inputs!$B$24&lt;&gt;"Yes",NA(),Inputs!$D$24*Inputs!$C$35))</f>
        <v/>
      </c>
      <c r="P1658" s="54">
        <f>IF($B1658=0,NA(),IF(Inputs!$B$25&lt;&gt;"Yes",NA(),Inputs!$D$25*Inputs!$C$35))</f>
        <v/>
      </c>
      <c r="Q1658" s="54">
        <f>IF($B1658=0,NA(),IF(Inputs!$B$26&lt;&gt;"Yes",NA(),Inputs!$D$26*Inputs!$C$35))</f>
        <v/>
      </c>
      <c r="R1658" s="54">
        <f>IF($B1658=0,NA(),IF(Inputs!$B$27&lt;&gt;"Yes",NA(),Inputs!$D$27*Inputs!$C$35))</f>
        <v/>
      </c>
      <c r="S1658" s="54">
        <f>IF($B1658=0,NA(),IF(Inputs!$B$28&lt;&gt;"Yes",NA(),Inputs!$D$28*Inputs!$C$35))</f>
        <v/>
      </c>
      <c r="T1658" s="54">
        <f>IF($B1658=0,NA(),IF(Inputs!$B$29&lt;&gt;"Yes",NA(),Inputs!$D$29*Inputs!$C$35))</f>
        <v/>
      </c>
      <c r="AD1658">
        <f>IF($B1658=0,0,IF(Inputs!$B$6="",0,COUNTIFS(Data!$A$10:$A$3209,"&gt;="&amp;$A1658,Data!$A$10:$A$3209,"&lt;"&amp;$A1658+1)))</f>
        <v/>
      </c>
      <c r="AE1658">
        <f>IF($B1658=0,0,IF(Inputs!$B$7="",0,COUNTIFS(Data!$E$10:$E$3209,"&gt;="&amp;$A1658,Data!$E$10:$E$3209,"&lt;"&amp;$A1658+1)))</f>
        <v/>
      </c>
      <c r="AF1658">
        <f>IF($B1658=0,0,IF(Inputs!$B$8="",0,COUNTIFS(Data!$I$10:$I$3209,"&gt;="&amp;$A1658,Data!$I$10:$I$3209,"&lt;"&amp;$A1658+1)))</f>
        <v/>
      </c>
      <c r="AG1658">
        <f>IF($B1658=0,0,IF(Inputs!$B$9="",0,COUNTIFS(Data!$M$10:$M$3209,"&gt;="&amp;$A1658,Data!$M$10:$M$3209,"&lt;"&amp;$A1658+1)))</f>
        <v/>
      </c>
      <c r="AH1658">
        <f>IF($B1658=0,0,IF(Inputs!$B$10="",0,COUNTIFS(Data!$Q$10:$Q$3209,"&gt;="&amp;$A1658,Data!$Q$10:$Q$3209,"&lt;"&amp;$A1658+1)))</f>
        <v/>
      </c>
    </row>
    <row r="1659">
      <c r="A1659" s="55">
        <f>MIN(Inputs!$C$15,$A1658+IF(WEEKDAY($A1658,2)=5,3,1))</f>
        <v/>
      </c>
      <c r="B1659">
        <f>IF($A1659&gt;$A1658,1,0)</f>
        <v/>
      </c>
      <c r="C1659" s="56">
        <f>IF($B1659=0,"",IF(Inputs!$B$6="","",IF($AD1659=0,C1658,SUMIFS(Data!$B$10:$B$3209,Data!$A$10:$A$3209,"&gt;="&amp;$A1659,Data!$A$10:$A$3209,"&lt;"&amp;$A1659+1)/$AD1659)))</f>
        <v/>
      </c>
      <c r="D1659" s="56">
        <f>IF($B1659=0,"",IF(Inputs!$B$7="","",IF($AE1659=0,D1658,SUMIFS(Data!$F$10:$F$3209,Data!$E$10:$E$3209,"&gt;="&amp;$A1659,Data!$E$10:$E$3209,"&lt;"&amp;$A1659+1)/$AE1659)))</f>
        <v/>
      </c>
      <c r="E1659" s="56">
        <f>IF($B1659=0,"",IF(Inputs!$B$8="","",IF($AF1659=0,E1658,SUMIFS(Data!$J$10:$J$3209,Data!$I$10:$I$3209,"&gt;="&amp;$A1659,Data!$I$10:$I$3209,"&lt;"&amp;$A1659+1)/$AF1659)))</f>
        <v/>
      </c>
      <c r="F1659" s="56">
        <f>IF($B1659=0,"",IF(Inputs!$B$9="","",IF($AG1659=0,F1658,SUMIFS(Data!$N$10:$N$3209,Data!$M$10:$M$3209,"&gt;="&amp;$A1659,Data!$M$10:$M$3209,"&lt;"&amp;$A1659+1)/$AG1659)))</f>
        <v/>
      </c>
      <c r="G1659" s="56">
        <f>IF($B1659=0,"",IF(Inputs!$B$10="","",IF($AH1659=0,G1658,SUMIFS(Data!$R$10:$R$3209,Data!$Q$10:$Q$3209,"&gt;="&amp;$A1659,Data!$Q$10:$Q$3209,"&lt;"&amp;$A1659+1)/$AH1659)))</f>
        <v/>
      </c>
      <c r="I1659" s="54">
        <f>IF($B1659=0,NA(),IF($C1659="",NA(),IF(C$8="",NA(),IF(N(C$8)=0,NA(),IF(Inputs!$C$17="Rebased to 100",$C1659/C$8*100,$C1659)))))</f>
        <v/>
      </c>
      <c r="J1659" s="54">
        <f>IF($B1659=0,NA(),IF($D1659="",NA(),IF(D$8="",NA(),IF(N(D$8)=0,NA(),IF(Inputs!$C$17="Rebased to 100",$D1659/D$8*100,$D1659)))))</f>
        <v/>
      </c>
      <c r="K1659" s="54">
        <f>IF($B1659=0,NA(),IF($E1659="",NA(),IF(E$8="",NA(),IF(N(E$8)=0,NA(),IF(Inputs!$C$17="Rebased to 100",$E1659/E$8*100,$E1659)))))</f>
        <v/>
      </c>
      <c r="L1659" s="54">
        <f>IF($B1659=0,NA(),IF($F1659="",NA(),IF(F$8="",NA(),IF(N(F$8)=0,NA(),IF(Inputs!$C$17="Rebased to 100",$F1659/F$8*100,$F1659)))))</f>
        <v/>
      </c>
      <c r="M1659" s="54">
        <f>IF($B1659=0,NA(),IF($G1659="",NA(),IF(G$8="",NA(),IF(N(G$8)=0,NA(),IF(Inputs!$C$17="Rebased to 100",$G1659/G$8*100,$G1659)))))</f>
        <v/>
      </c>
      <c r="N1659" s="54">
        <f>IF($B1659=0,NA(),IF(Inputs!$C$18&lt;&gt;"Yes",NA(),IF(COUNT(I1659,J1659,K1659,L1659,M1659)=0,NA(),MIN(I1659,J1659,K1659,L1659,M1659))))</f>
        <v/>
      </c>
      <c r="O1659" s="54">
        <f>IF($B1659=0,NA(),IF(Inputs!$B$24&lt;&gt;"Yes",NA(),Inputs!$D$24*Inputs!$C$35))</f>
        <v/>
      </c>
      <c r="P1659" s="54">
        <f>IF($B1659=0,NA(),IF(Inputs!$B$25&lt;&gt;"Yes",NA(),Inputs!$D$25*Inputs!$C$35))</f>
        <v/>
      </c>
      <c r="Q1659" s="54">
        <f>IF($B1659=0,NA(),IF(Inputs!$B$26&lt;&gt;"Yes",NA(),Inputs!$D$26*Inputs!$C$35))</f>
        <v/>
      </c>
      <c r="R1659" s="54">
        <f>IF($B1659=0,NA(),IF(Inputs!$B$27&lt;&gt;"Yes",NA(),Inputs!$D$27*Inputs!$C$35))</f>
        <v/>
      </c>
      <c r="S1659" s="54">
        <f>IF($B1659=0,NA(),IF(Inputs!$B$28&lt;&gt;"Yes",NA(),Inputs!$D$28*Inputs!$C$35))</f>
        <v/>
      </c>
      <c r="T1659" s="54">
        <f>IF($B1659=0,NA(),IF(Inputs!$B$29&lt;&gt;"Yes",NA(),Inputs!$D$29*Inputs!$C$35))</f>
        <v/>
      </c>
      <c r="AD1659">
        <f>IF($B1659=0,0,IF(Inputs!$B$6="",0,COUNTIFS(Data!$A$10:$A$3209,"&gt;="&amp;$A1659,Data!$A$10:$A$3209,"&lt;"&amp;$A1659+1)))</f>
        <v/>
      </c>
      <c r="AE1659">
        <f>IF($B1659=0,0,IF(Inputs!$B$7="",0,COUNTIFS(Data!$E$10:$E$3209,"&gt;="&amp;$A1659,Data!$E$10:$E$3209,"&lt;"&amp;$A1659+1)))</f>
        <v/>
      </c>
      <c r="AF1659">
        <f>IF($B1659=0,0,IF(Inputs!$B$8="",0,COUNTIFS(Data!$I$10:$I$3209,"&gt;="&amp;$A1659,Data!$I$10:$I$3209,"&lt;"&amp;$A1659+1)))</f>
        <v/>
      </c>
      <c r="AG1659">
        <f>IF($B1659=0,0,IF(Inputs!$B$9="",0,COUNTIFS(Data!$M$10:$M$3209,"&gt;="&amp;$A1659,Data!$M$10:$M$3209,"&lt;"&amp;$A1659+1)))</f>
        <v/>
      </c>
      <c r="AH1659">
        <f>IF($B1659=0,0,IF(Inputs!$B$10="",0,COUNTIFS(Data!$Q$10:$Q$3209,"&gt;="&amp;$A1659,Data!$Q$10:$Q$3209,"&lt;"&amp;$A1659+1)))</f>
        <v/>
      </c>
    </row>
    <row r="1660">
      <c r="A1660" s="55">
        <f>MIN(Inputs!$C$15,$A1659+IF(WEEKDAY($A1659,2)=5,3,1))</f>
        <v/>
      </c>
      <c r="B1660">
        <f>IF($A1660&gt;$A1659,1,0)</f>
        <v/>
      </c>
      <c r="C1660" s="56">
        <f>IF($B1660=0,"",IF(Inputs!$B$6="","",IF($AD1660=0,C1659,SUMIFS(Data!$B$10:$B$3209,Data!$A$10:$A$3209,"&gt;="&amp;$A1660,Data!$A$10:$A$3209,"&lt;"&amp;$A1660+1)/$AD1660)))</f>
        <v/>
      </c>
      <c r="D1660" s="56">
        <f>IF($B1660=0,"",IF(Inputs!$B$7="","",IF($AE1660=0,D1659,SUMIFS(Data!$F$10:$F$3209,Data!$E$10:$E$3209,"&gt;="&amp;$A1660,Data!$E$10:$E$3209,"&lt;"&amp;$A1660+1)/$AE1660)))</f>
        <v/>
      </c>
      <c r="E1660" s="56">
        <f>IF($B1660=0,"",IF(Inputs!$B$8="","",IF($AF1660=0,E1659,SUMIFS(Data!$J$10:$J$3209,Data!$I$10:$I$3209,"&gt;="&amp;$A1660,Data!$I$10:$I$3209,"&lt;"&amp;$A1660+1)/$AF1660)))</f>
        <v/>
      </c>
      <c r="F1660" s="56">
        <f>IF($B1660=0,"",IF(Inputs!$B$9="","",IF($AG1660=0,F1659,SUMIFS(Data!$N$10:$N$3209,Data!$M$10:$M$3209,"&gt;="&amp;$A1660,Data!$M$10:$M$3209,"&lt;"&amp;$A1660+1)/$AG1660)))</f>
        <v/>
      </c>
      <c r="G1660" s="56">
        <f>IF($B1660=0,"",IF(Inputs!$B$10="","",IF($AH1660=0,G1659,SUMIFS(Data!$R$10:$R$3209,Data!$Q$10:$Q$3209,"&gt;="&amp;$A1660,Data!$Q$10:$Q$3209,"&lt;"&amp;$A1660+1)/$AH1660)))</f>
        <v/>
      </c>
      <c r="I1660" s="54">
        <f>IF($B1660=0,NA(),IF($C1660="",NA(),IF(C$8="",NA(),IF(N(C$8)=0,NA(),IF(Inputs!$C$17="Rebased to 100",$C1660/C$8*100,$C1660)))))</f>
        <v/>
      </c>
      <c r="J1660" s="54">
        <f>IF($B1660=0,NA(),IF($D1660="",NA(),IF(D$8="",NA(),IF(N(D$8)=0,NA(),IF(Inputs!$C$17="Rebased to 100",$D1660/D$8*100,$D1660)))))</f>
        <v/>
      </c>
      <c r="K1660" s="54">
        <f>IF($B1660=0,NA(),IF($E1660="",NA(),IF(E$8="",NA(),IF(N(E$8)=0,NA(),IF(Inputs!$C$17="Rebased to 100",$E1660/E$8*100,$E1660)))))</f>
        <v/>
      </c>
      <c r="L1660" s="54">
        <f>IF($B1660=0,NA(),IF($F1660="",NA(),IF(F$8="",NA(),IF(N(F$8)=0,NA(),IF(Inputs!$C$17="Rebased to 100",$F1660/F$8*100,$F1660)))))</f>
        <v/>
      </c>
      <c r="M1660" s="54">
        <f>IF($B1660=0,NA(),IF($G1660="",NA(),IF(G$8="",NA(),IF(N(G$8)=0,NA(),IF(Inputs!$C$17="Rebased to 100",$G1660/G$8*100,$G1660)))))</f>
        <v/>
      </c>
      <c r="N1660" s="54">
        <f>IF($B1660=0,NA(),IF(Inputs!$C$18&lt;&gt;"Yes",NA(),IF(COUNT(I1660,J1660,K1660,L1660,M1660)=0,NA(),MIN(I1660,J1660,K1660,L1660,M1660))))</f>
        <v/>
      </c>
      <c r="O1660" s="54">
        <f>IF($B1660=0,NA(),IF(Inputs!$B$24&lt;&gt;"Yes",NA(),Inputs!$D$24*Inputs!$C$35))</f>
        <v/>
      </c>
      <c r="P1660" s="54">
        <f>IF($B1660=0,NA(),IF(Inputs!$B$25&lt;&gt;"Yes",NA(),Inputs!$D$25*Inputs!$C$35))</f>
        <v/>
      </c>
      <c r="Q1660" s="54">
        <f>IF($B1660=0,NA(),IF(Inputs!$B$26&lt;&gt;"Yes",NA(),Inputs!$D$26*Inputs!$C$35))</f>
        <v/>
      </c>
      <c r="R1660" s="54">
        <f>IF($B1660=0,NA(),IF(Inputs!$B$27&lt;&gt;"Yes",NA(),Inputs!$D$27*Inputs!$C$35))</f>
        <v/>
      </c>
      <c r="S1660" s="54">
        <f>IF($B1660=0,NA(),IF(Inputs!$B$28&lt;&gt;"Yes",NA(),Inputs!$D$28*Inputs!$C$35))</f>
        <v/>
      </c>
      <c r="T1660" s="54">
        <f>IF($B1660=0,NA(),IF(Inputs!$B$29&lt;&gt;"Yes",NA(),Inputs!$D$29*Inputs!$C$35))</f>
        <v/>
      </c>
      <c r="AD1660">
        <f>IF($B1660=0,0,IF(Inputs!$B$6="",0,COUNTIFS(Data!$A$10:$A$3209,"&gt;="&amp;$A1660,Data!$A$10:$A$3209,"&lt;"&amp;$A1660+1)))</f>
        <v/>
      </c>
      <c r="AE1660">
        <f>IF($B1660=0,0,IF(Inputs!$B$7="",0,COUNTIFS(Data!$E$10:$E$3209,"&gt;="&amp;$A1660,Data!$E$10:$E$3209,"&lt;"&amp;$A1660+1)))</f>
        <v/>
      </c>
      <c r="AF1660">
        <f>IF($B1660=0,0,IF(Inputs!$B$8="",0,COUNTIFS(Data!$I$10:$I$3209,"&gt;="&amp;$A1660,Data!$I$10:$I$3209,"&lt;"&amp;$A1660+1)))</f>
        <v/>
      </c>
      <c r="AG1660">
        <f>IF($B1660=0,0,IF(Inputs!$B$9="",0,COUNTIFS(Data!$M$10:$M$3209,"&gt;="&amp;$A1660,Data!$M$10:$M$3209,"&lt;"&amp;$A1660+1)))</f>
        <v/>
      </c>
      <c r="AH1660">
        <f>IF($B1660=0,0,IF(Inputs!$B$10="",0,COUNTIFS(Data!$Q$10:$Q$3209,"&gt;="&amp;$A1660,Data!$Q$10:$Q$3209,"&lt;"&amp;$A1660+1)))</f>
        <v/>
      </c>
    </row>
    <row r="1661">
      <c r="A1661" s="55">
        <f>MIN(Inputs!$C$15,$A1660+IF(WEEKDAY($A1660,2)=5,3,1))</f>
        <v/>
      </c>
      <c r="B1661">
        <f>IF($A1661&gt;$A1660,1,0)</f>
        <v/>
      </c>
      <c r="C1661" s="56">
        <f>IF($B1661=0,"",IF(Inputs!$B$6="","",IF($AD1661=0,C1660,SUMIFS(Data!$B$10:$B$3209,Data!$A$10:$A$3209,"&gt;="&amp;$A1661,Data!$A$10:$A$3209,"&lt;"&amp;$A1661+1)/$AD1661)))</f>
        <v/>
      </c>
      <c r="D1661" s="56">
        <f>IF($B1661=0,"",IF(Inputs!$B$7="","",IF($AE1661=0,D1660,SUMIFS(Data!$F$10:$F$3209,Data!$E$10:$E$3209,"&gt;="&amp;$A1661,Data!$E$10:$E$3209,"&lt;"&amp;$A1661+1)/$AE1661)))</f>
        <v/>
      </c>
      <c r="E1661" s="56">
        <f>IF($B1661=0,"",IF(Inputs!$B$8="","",IF($AF1661=0,E1660,SUMIFS(Data!$J$10:$J$3209,Data!$I$10:$I$3209,"&gt;="&amp;$A1661,Data!$I$10:$I$3209,"&lt;"&amp;$A1661+1)/$AF1661)))</f>
        <v/>
      </c>
      <c r="F1661" s="56">
        <f>IF($B1661=0,"",IF(Inputs!$B$9="","",IF($AG1661=0,F1660,SUMIFS(Data!$N$10:$N$3209,Data!$M$10:$M$3209,"&gt;="&amp;$A1661,Data!$M$10:$M$3209,"&lt;"&amp;$A1661+1)/$AG1661)))</f>
        <v/>
      </c>
      <c r="G1661" s="56">
        <f>IF($B1661=0,"",IF(Inputs!$B$10="","",IF($AH1661=0,G1660,SUMIFS(Data!$R$10:$R$3209,Data!$Q$10:$Q$3209,"&gt;="&amp;$A1661,Data!$Q$10:$Q$3209,"&lt;"&amp;$A1661+1)/$AH1661)))</f>
        <v/>
      </c>
      <c r="I1661" s="54">
        <f>IF($B1661=0,NA(),IF($C1661="",NA(),IF(C$8="",NA(),IF(N(C$8)=0,NA(),IF(Inputs!$C$17="Rebased to 100",$C1661/C$8*100,$C1661)))))</f>
        <v/>
      </c>
      <c r="J1661" s="54">
        <f>IF($B1661=0,NA(),IF($D1661="",NA(),IF(D$8="",NA(),IF(N(D$8)=0,NA(),IF(Inputs!$C$17="Rebased to 100",$D1661/D$8*100,$D1661)))))</f>
        <v/>
      </c>
      <c r="K1661" s="54">
        <f>IF($B1661=0,NA(),IF($E1661="",NA(),IF(E$8="",NA(),IF(N(E$8)=0,NA(),IF(Inputs!$C$17="Rebased to 100",$E1661/E$8*100,$E1661)))))</f>
        <v/>
      </c>
      <c r="L1661" s="54">
        <f>IF($B1661=0,NA(),IF($F1661="",NA(),IF(F$8="",NA(),IF(N(F$8)=0,NA(),IF(Inputs!$C$17="Rebased to 100",$F1661/F$8*100,$F1661)))))</f>
        <v/>
      </c>
      <c r="M1661" s="54">
        <f>IF($B1661=0,NA(),IF($G1661="",NA(),IF(G$8="",NA(),IF(N(G$8)=0,NA(),IF(Inputs!$C$17="Rebased to 100",$G1661/G$8*100,$G1661)))))</f>
        <v/>
      </c>
      <c r="N1661" s="54">
        <f>IF($B1661=0,NA(),IF(Inputs!$C$18&lt;&gt;"Yes",NA(),IF(COUNT(I1661,J1661,K1661,L1661,M1661)=0,NA(),MIN(I1661,J1661,K1661,L1661,M1661))))</f>
        <v/>
      </c>
      <c r="O1661" s="54">
        <f>IF($B1661=0,NA(),IF(Inputs!$B$24&lt;&gt;"Yes",NA(),Inputs!$D$24*Inputs!$C$35))</f>
        <v/>
      </c>
      <c r="P1661" s="54">
        <f>IF($B1661=0,NA(),IF(Inputs!$B$25&lt;&gt;"Yes",NA(),Inputs!$D$25*Inputs!$C$35))</f>
        <v/>
      </c>
      <c r="Q1661" s="54">
        <f>IF($B1661=0,NA(),IF(Inputs!$B$26&lt;&gt;"Yes",NA(),Inputs!$D$26*Inputs!$C$35))</f>
        <v/>
      </c>
      <c r="R1661" s="54">
        <f>IF($B1661=0,NA(),IF(Inputs!$B$27&lt;&gt;"Yes",NA(),Inputs!$D$27*Inputs!$C$35))</f>
        <v/>
      </c>
      <c r="S1661" s="54">
        <f>IF($B1661=0,NA(),IF(Inputs!$B$28&lt;&gt;"Yes",NA(),Inputs!$D$28*Inputs!$C$35))</f>
        <v/>
      </c>
      <c r="T1661" s="54">
        <f>IF($B1661=0,NA(),IF(Inputs!$B$29&lt;&gt;"Yes",NA(),Inputs!$D$29*Inputs!$C$35))</f>
        <v/>
      </c>
      <c r="AD1661">
        <f>IF($B1661=0,0,IF(Inputs!$B$6="",0,COUNTIFS(Data!$A$10:$A$3209,"&gt;="&amp;$A1661,Data!$A$10:$A$3209,"&lt;"&amp;$A1661+1)))</f>
        <v/>
      </c>
      <c r="AE1661">
        <f>IF($B1661=0,0,IF(Inputs!$B$7="",0,COUNTIFS(Data!$E$10:$E$3209,"&gt;="&amp;$A1661,Data!$E$10:$E$3209,"&lt;"&amp;$A1661+1)))</f>
        <v/>
      </c>
      <c r="AF1661">
        <f>IF($B1661=0,0,IF(Inputs!$B$8="",0,COUNTIFS(Data!$I$10:$I$3209,"&gt;="&amp;$A1661,Data!$I$10:$I$3209,"&lt;"&amp;$A1661+1)))</f>
        <v/>
      </c>
      <c r="AG1661">
        <f>IF($B1661=0,0,IF(Inputs!$B$9="",0,COUNTIFS(Data!$M$10:$M$3209,"&gt;="&amp;$A1661,Data!$M$10:$M$3209,"&lt;"&amp;$A1661+1)))</f>
        <v/>
      </c>
      <c r="AH1661">
        <f>IF($B1661=0,0,IF(Inputs!$B$10="",0,COUNTIFS(Data!$Q$10:$Q$3209,"&gt;="&amp;$A1661,Data!$Q$10:$Q$3209,"&lt;"&amp;$A1661+1)))</f>
        <v/>
      </c>
    </row>
    <row r="1662">
      <c r="A1662" s="55">
        <f>MIN(Inputs!$C$15,$A1661+IF(WEEKDAY($A1661,2)=5,3,1))</f>
        <v/>
      </c>
      <c r="B1662">
        <f>IF($A1662&gt;$A1661,1,0)</f>
        <v/>
      </c>
      <c r="C1662" s="56">
        <f>IF($B1662=0,"",IF(Inputs!$B$6="","",IF($AD1662=0,C1661,SUMIFS(Data!$B$10:$B$3209,Data!$A$10:$A$3209,"&gt;="&amp;$A1662,Data!$A$10:$A$3209,"&lt;"&amp;$A1662+1)/$AD1662)))</f>
        <v/>
      </c>
      <c r="D1662" s="56">
        <f>IF($B1662=0,"",IF(Inputs!$B$7="","",IF($AE1662=0,D1661,SUMIFS(Data!$F$10:$F$3209,Data!$E$10:$E$3209,"&gt;="&amp;$A1662,Data!$E$10:$E$3209,"&lt;"&amp;$A1662+1)/$AE1662)))</f>
        <v/>
      </c>
      <c r="E1662" s="56">
        <f>IF($B1662=0,"",IF(Inputs!$B$8="","",IF($AF1662=0,E1661,SUMIFS(Data!$J$10:$J$3209,Data!$I$10:$I$3209,"&gt;="&amp;$A1662,Data!$I$10:$I$3209,"&lt;"&amp;$A1662+1)/$AF1662)))</f>
        <v/>
      </c>
      <c r="F1662" s="56">
        <f>IF($B1662=0,"",IF(Inputs!$B$9="","",IF($AG1662=0,F1661,SUMIFS(Data!$N$10:$N$3209,Data!$M$10:$M$3209,"&gt;="&amp;$A1662,Data!$M$10:$M$3209,"&lt;"&amp;$A1662+1)/$AG1662)))</f>
        <v/>
      </c>
      <c r="G1662" s="56">
        <f>IF($B1662=0,"",IF(Inputs!$B$10="","",IF($AH1662=0,G1661,SUMIFS(Data!$R$10:$R$3209,Data!$Q$10:$Q$3209,"&gt;="&amp;$A1662,Data!$Q$10:$Q$3209,"&lt;"&amp;$A1662+1)/$AH1662)))</f>
        <v/>
      </c>
      <c r="I1662" s="54">
        <f>IF($B1662=0,NA(),IF($C1662="",NA(),IF(C$8="",NA(),IF(N(C$8)=0,NA(),IF(Inputs!$C$17="Rebased to 100",$C1662/C$8*100,$C1662)))))</f>
        <v/>
      </c>
      <c r="J1662" s="54">
        <f>IF($B1662=0,NA(),IF($D1662="",NA(),IF(D$8="",NA(),IF(N(D$8)=0,NA(),IF(Inputs!$C$17="Rebased to 100",$D1662/D$8*100,$D1662)))))</f>
        <v/>
      </c>
      <c r="K1662" s="54">
        <f>IF($B1662=0,NA(),IF($E1662="",NA(),IF(E$8="",NA(),IF(N(E$8)=0,NA(),IF(Inputs!$C$17="Rebased to 100",$E1662/E$8*100,$E1662)))))</f>
        <v/>
      </c>
      <c r="L1662" s="54">
        <f>IF($B1662=0,NA(),IF($F1662="",NA(),IF(F$8="",NA(),IF(N(F$8)=0,NA(),IF(Inputs!$C$17="Rebased to 100",$F1662/F$8*100,$F1662)))))</f>
        <v/>
      </c>
      <c r="M1662" s="54">
        <f>IF($B1662=0,NA(),IF($G1662="",NA(),IF(G$8="",NA(),IF(N(G$8)=0,NA(),IF(Inputs!$C$17="Rebased to 100",$G1662/G$8*100,$G1662)))))</f>
        <v/>
      </c>
      <c r="N1662" s="54">
        <f>IF($B1662=0,NA(),IF(Inputs!$C$18&lt;&gt;"Yes",NA(),IF(COUNT(I1662,J1662,K1662,L1662,M1662)=0,NA(),MIN(I1662,J1662,K1662,L1662,M1662))))</f>
        <v/>
      </c>
      <c r="O1662" s="54">
        <f>IF($B1662=0,NA(),IF(Inputs!$B$24&lt;&gt;"Yes",NA(),Inputs!$D$24*Inputs!$C$35))</f>
        <v/>
      </c>
      <c r="P1662" s="54">
        <f>IF($B1662=0,NA(),IF(Inputs!$B$25&lt;&gt;"Yes",NA(),Inputs!$D$25*Inputs!$C$35))</f>
        <v/>
      </c>
      <c r="Q1662" s="54">
        <f>IF($B1662=0,NA(),IF(Inputs!$B$26&lt;&gt;"Yes",NA(),Inputs!$D$26*Inputs!$C$35))</f>
        <v/>
      </c>
      <c r="R1662" s="54">
        <f>IF($B1662=0,NA(),IF(Inputs!$B$27&lt;&gt;"Yes",NA(),Inputs!$D$27*Inputs!$C$35))</f>
        <v/>
      </c>
      <c r="S1662" s="54">
        <f>IF($B1662=0,NA(),IF(Inputs!$B$28&lt;&gt;"Yes",NA(),Inputs!$D$28*Inputs!$C$35))</f>
        <v/>
      </c>
      <c r="T1662" s="54">
        <f>IF($B1662=0,NA(),IF(Inputs!$B$29&lt;&gt;"Yes",NA(),Inputs!$D$29*Inputs!$C$35))</f>
        <v/>
      </c>
      <c r="AD1662">
        <f>IF($B1662=0,0,IF(Inputs!$B$6="",0,COUNTIFS(Data!$A$10:$A$3209,"&gt;="&amp;$A1662,Data!$A$10:$A$3209,"&lt;"&amp;$A1662+1)))</f>
        <v/>
      </c>
      <c r="AE1662">
        <f>IF($B1662=0,0,IF(Inputs!$B$7="",0,COUNTIFS(Data!$E$10:$E$3209,"&gt;="&amp;$A1662,Data!$E$10:$E$3209,"&lt;"&amp;$A1662+1)))</f>
        <v/>
      </c>
      <c r="AF1662">
        <f>IF($B1662=0,0,IF(Inputs!$B$8="",0,COUNTIFS(Data!$I$10:$I$3209,"&gt;="&amp;$A1662,Data!$I$10:$I$3209,"&lt;"&amp;$A1662+1)))</f>
        <v/>
      </c>
      <c r="AG1662">
        <f>IF($B1662=0,0,IF(Inputs!$B$9="",0,COUNTIFS(Data!$M$10:$M$3209,"&gt;="&amp;$A1662,Data!$M$10:$M$3209,"&lt;"&amp;$A1662+1)))</f>
        <v/>
      </c>
      <c r="AH1662">
        <f>IF($B1662=0,0,IF(Inputs!$B$10="",0,COUNTIFS(Data!$Q$10:$Q$3209,"&gt;="&amp;$A1662,Data!$Q$10:$Q$3209,"&lt;"&amp;$A1662+1)))</f>
        <v/>
      </c>
    </row>
    <row r="1663">
      <c r="A1663" s="55">
        <f>MIN(Inputs!$C$15,$A1662+IF(WEEKDAY($A1662,2)=5,3,1))</f>
        <v/>
      </c>
      <c r="B1663">
        <f>IF($A1663&gt;$A1662,1,0)</f>
        <v/>
      </c>
      <c r="C1663" s="56">
        <f>IF($B1663=0,"",IF(Inputs!$B$6="","",IF($AD1663=0,C1662,SUMIFS(Data!$B$10:$B$3209,Data!$A$10:$A$3209,"&gt;="&amp;$A1663,Data!$A$10:$A$3209,"&lt;"&amp;$A1663+1)/$AD1663)))</f>
        <v/>
      </c>
      <c r="D1663" s="56">
        <f>IF($B1663=0,"",IF(Inputs!$B$7="","",IF($AE1663=0,D1662,SUMIFS(Data!$F$10:$F$3209,Data!$E$10:$E$3209,"&gt;="&amp;$A1663,Data!$E$10:$E$3209,"&lt;"&amp;$A1663+1)/$AE1663)))</f>
        <v/>
      </c>
      <c r="E1663" s="56">
        <f>IF($B1663=0,"",IF(Inputs!$B$8="","",IF($AF1663=0,E1662,SUMIFS(Data!$J$10:$J$3209,Data!$I$10:$I$3209,"&gt;="&amp;$A1663,Data!$I$10:$I$3209,"&lt;"&amp;$A1663+1)/$AF1663)))</f>
        <v/>
      </c>
      <c r="F1663" s="56">
        <f>IF($B1663=0,"",IF(Inputs!$B$9="","",IF($AG1663=0,F1662,SUMIFS(Data!$N$10:$N$3209,Data!$M$10:$M$3209,"&gt;="&amp;$A1663,Data!$M$10:$M$3209,"&lt;"&amp;$A1663+1)/$AG1663)))</f>
        <v/>
      </c>
      <c r="G1663" s="56">
        <f>IF($B1663=0,"",IF(Inputs!$B$10="","",IF($AH1663=0,G1662,SUMIFS(Data!$R$10:$R$3209,Data!$Q$10:$Q$3209,"&gt;="&amp;$A1663,Data!$Q$10:$Q$3209,"&lt;"&amp;$A1663+1)/$AH1663)))</f>
        <v/>
      </c>
      <c r="I1663" s="54">
        <f>IF($B1663=0,NA(),IF($C1663="",NA(),IF(C$8="",NA(),IF(N(C$8)=0,NA(),IF(Inputs!$C$17="Rebased to 100",$C1663/C$8*100,$C1663)))))</f>
        <v/>
      </c>
      <c r="J1663" s="54">
        <f>IF($B1663=0,NA(),IF($D1663="",NA(),IF(D$8="",NA(),IF(N(D$8)=0,NA(),IF(Inputs!$C$17="Rebased to 100",$D1663/D$8*100,$D1663)))))</f>
        <v/>
      </c>
      <c r="K1663" s="54">
        <f>IF($B1663=0,NA(),IF($E1663="",NA(),IF(E$8="",NA(),IF(N(E$8)=0,NA(),IF(Inputs!$C$17="Rebased to 100",$E1663/E$8*100,$E1663)))))</f>
        <v/>
      </c>
      <c r="L1663" s="54">
        <f>IF($B1663=0,NA(),IF($F1663="",NA(),IF(F$8="",NA(),IF(N(F$8)=0,NA(),IF(Inputs!$C$17="Rebased to 100",$F1663/F$8*100,$F1663)))))</f>
        <v/>
      </c>
      <c r="M1663" s="54">
        <f>IF($B1663=0,NA(),IF($G1663="",NA(),IF(G$8="",NA(),IF(N(G$8)=0,NA(),IF(Inputs!$C$17="Rebased to 100",$G1663/G$8*100,$G1663)))))</f>
        <v/>
      </c>
      <c r="N1663" s="54">
        <f>IF($B1663=0,NA(),IF(Inputs!$C$18&lt;&gt;"Yes",NA(),IF(COUNT(I1663,J1663,K1663,L1663,M1663)=0,NA(),MIN(I1663,J1663,K1663,L1663,M1663))))</f>
        <v/>
      </c>
      <c r="O1663" s="54">
        <f>IF($B1663=0,NA(),IF(Inputs!$B$24&lt;&gt;"Yes",NA(),Inputs!$D$24*Inputs!$C$35))</f>
        <v/>
      </c>
      <c r="P1663" s="54">
        <f>IF($B1663=0,NA(),IF(Inputs!$B$25&lt;&gt;"Yes",NA(),Inputs!$D$25*Inputs!$C$35))</f>
        <v/>
      </c>
      <c r="Q1663" s="54">
        <f>IF($B1663=0,NA(),IF(Inputs!$B$26&lt;&gt;"Yes",NA(),Inputs!$D$26*Inputs!$C$35))</f>
        <v/>
      </c>
      <c r="R1663" s="54">
        <f>IF($B1663=0,NA(),IF(Inputs!$B$27&lt;&gt;"Yes",NA(),Inputs!$D$27*Inputs!$C$35))</f>
        <v/>
      </c>
      <c r="S1663" s="54">
        <f>IF($B1663=0,NA(),IF(Inputs!$B$28&lt;&gt;"Yes",NA(),Inputs!$D$28*Inputs!$C$35))</f>
        <v/>
      </c>
      <c r="T1663" s="54">
        <f>IF($B1663=0,NA(),IF(Inputs!$B$29&lt;&gt;"Yes",NA(),Inputs!$D$29*Inputs!$C$35))</f>
        <v/>
      </c>
      <c r="AD1663">
        <f>IF($B1663=0,0,IF(Inputs!$B$6="",0,COUNTIFS(Data!$A$10:$A$3209,"&gt;="&amp;$A1663,Data!$A$10:$A$3209,"&lt;"&amp;$A1663+1)))</f>
        <v/>
      </c>
      <c r="AE1663">
        <f>IF($B1663=0,0,IF(Inputs!$B$7="",0,COUNTIFS(Data!$E$10:$E$3209,"&gt;="&amp;$A1663,Data!$E$10:$E$3209,"&lt;"&amp;$A1663+1)))</f>
        <v/>
      </c>
      <c r="AF1663">
        <f>IF($B1663=0,0,IF(Inputs!$B$8="",0,COUNTIFS(Data!$I$10:$I$3209,"&gt;="&amp;$A1663,Data!$I$10:$I$3209,"&lt;"&amp;$A1663+1)))</f>
        <v/>
      </c>
      <c r="AG1663">
        <f>IF($B1663=0,0,IF(Inputs!$B$9="",0,COUNTIFS(Data!$M$10:$M$3209,"&gt;="&amp;$A1663,Data!$M$10:$M$3209,"&lt;"&amp;$A1663+1)))</f>
        <v/>
      </c>
      <c r="AH1663">
        <f>IF($B1663=0,0,IF(Inputs!$B$10="",0,COUNTIFS(Data!$Q$10:$Q$3209,"&gt;="&amp;$A1663,Data!$Q$10:$Q$3209,"&lt;"&amp;$A1663+1)))</f>
        <v/>
      </c>
    </row>
    <row r="1664">
      <c r="A1664" s="55">
        <f>MIN(Inputs!$C$15,$A1663+IF(WEEKDAY($A1663,2)=5,3,1))</f>
        <v/>
      </c>
      <c r="B1664">
        <f>IF($A1664&gt;$A1663,1,0)</f>
        <v/>
      </c>
      <c r="C1664" s="56">
        <f>IF($B1664=0,"",IF(Inputs!$B$6="","",IF($AD1664=0,C1663,SUMIFS(Data!$B$10:$B$3209,Data!$A$10:$A$3209,"&gt;="&amp;$A1664,Data!$A$10:$A$3209,"&lt;"&amp;$A1664+1)/$AD1664)))</f>
        <v/>
      </c>
      <c r="D1664" s="56">
        <f>IF($B1664=0,"",IF(Inputs!$B$7="","",IF($AE1664=0,D1663,SUMIFS(Data!$F$10:$F$3209,Data!$E$10:$E$3209,"&gt;="&amp;$A1664,Data!$E$10:$E$3209,"&lt;"&amp;$A1664+1)/$AE1664)))</f>
        <v/>
      </c>
      <c r="E1664" s="56">
        <f>IF($B1664=0,"",IF(Inputs!$B$8="","",IF($AF1664=0,E1663,SUMIFS(Data!$J$10:$J$3209,Data!$I$10:$I$3209,"&gt;="&amp;$A1664,Data!$I$10:$I$3209,"&lt;"&amp;$A1664+1)/$AF1664)))</f>
        <v/>
      </c>
      <c r="F1664" s="56">
        <f>IF($B1664=0,"",IF(Inputs!$B$9="","",IF($AG1664=0,F1663,SUMIFS(Data!$N$10:$N$3209,Data!$M$10:$M$3209,"&gt;="&amp;$A1664,Data!$M$10:$M$3209,"&lt;"&amp;$A1664+1)/$AG1664)))</f>
        <v/>
      </c>
      <c r="G1664" s="56">
        <f>IF($B1664=0,"",IF(Inputs!$B$10="","",IF($AH1664=0,G1663,SUMIFS(Data!$R$10:$R$3209,Data!$Q$10:$Q$3209,"&gt;="&amp;$A1664,Data!$Q$10:$Q$3209,"&lt;"&amp;$A1664+1)/$AH1664)))</f>
        <v/>
      </c>
      <c r="I1664" s="54">
        <f>IF($B1664=0,NA(),IF($C1664="",NA(),IF(C$8="",NA(),IF(N(C$8)=0,NA(),IF(Inputs!$C$17="Rebased to 100",$C1664/C$8*100,$C1664)))))</f>
        <v/>
      </c>
      <c r="J1664" s="54">
        <f>IF($B1664=0,NA(),IF($D1664="",NA(),IF(D$8="",NA(),IF(N(D$8)=0,NA(),IF(Inputs!$C$17="Rebased to 100",$D1664/D$8*100,$D1664)))))</f>
        <v/>
      </c>
      <c r="K1664" s="54">
        <f>IF($B1664=0,NA(),IF($E1664="",NA(),IF(E$8="",NA(),IF(N(E$8)=0,NA(),IF(Inputs!$C$17="Rebased to 100",$E1664/E$8*100,$E1664)))))</f>
        <v/>
      </c>
      <c r="L1664" s="54">
        <f>IF($B1664=0,NA(),IF($F1664="",NA(),IF(F$8="",NA(),IF(N(F$8)=0,NA(),IF(Inputs!$C$17="Rebased to 100",$F1664/F$8*100,$F1664)))))</f>
        <v/>
      </c>
      <c r="M1664" s="54">
        <f>IF($B1664=0,NA(),IF($G1664="",NA(),IF(G$8="",NA(),IF(N(G$8)=0,NA(),IF(Inputs!$C$17="Rebased to 100",$G1664/G$8*100,$G1664)))))</f>
        <v/>
      </c>
      <c r="N1664" s="54">
        <f>IF($B1664=0,NA(),IF(Inputs!$C$18&lt;&gt;"Yes",NA(),IF(COUNT(I1664,J1664,K1664,L1664,M1664)=0,NA(),MIN(I1664,J1664,K1664,L1664,M1664))))</f>
        <v/>
      </c>
      <c r="O1664" s="54">
        <f>IF($B1664=0,NA(),IF(Inputs!$B$24&lt;&gt;"Yes",NA(),Inputs!$D$24*Inputs!$C$35))</f>
        <v/>
      </c>
      <c r="P1664" s="54">
        <f>IF($B1664=0,NA(),IF(Inputs!$B$25&lt;&gt;"Yes",NA(),Inputs!$D$25*Inputs!$C$35))</f>
        <v/>
      </c>
      <c r="Q1664" s="54">
        <f>IF($B1664=0,NA(),IF(Inputs!$B$26&lt;&gt;"Yes",NA(),Inputs!$D$26*Inputs!$C$35))</f>
        <v/>
      </c>
      <c r="R1664" s="54">
        <f>IF($B1664=0,NA(),IF(Inputs!$B$27&lt;&gt;"Yes",NA(),Inputs!$D$27*Inputs!$C$35))</f>
        <v/>
      </c>
      <c r="S1664" s="54">
        <f>IF($B1664=0,NA(),IF(Inputs!$B$28&lt;&gt;"Yes",NA(),Inputs!$D$28*Inputs!$C$35))</f>
        <v/>
      </c>
      <c r="T1664" s="54">
        <f>IF($B1664=0,NA(),IF(Inputs!$B$29&lt;&gt;"Yes",NA(),Inputs!$D$29*Inputs!$C$35))</f>
        <v/>
      </c>
      <c r="AD1664">
        <f>IF($B1664=0,0,IF(Inputs!$B$6="",0,COUNTIFS(Data!$A$10:$A$3209,"&gt;="&amp;$A1664,Data!$A$10:$A$3209,"&lt;"&amp;$A1664+1)))</f>
        <v/>
      </c>
      <c r="AE1664">
        <f>IF($B1664=0,0,IF(Inputs!$B$7="",0,COUNTIFS(Data!$E$10:$E$3209,"&gt;="&amp;$A1664,Data!$E$10:$E$3209,"&lt;"&amp;$A1664+1)))</f>
        <v/>
      </c>
      <c r="AF1664">
        <f>IF($B1664=0,0,IF(Inputs!$B$8="",0,COUNTIFS(Data!$I$10:$I$3209,"&gt;="&amp;$A1664,Data!$I$10:$I$3209,"&lt;"&amp;$A1664+1)))</f>
        <v/>
      </c>
      <c r="AG1664">
        <f>IF($B1664=0,0,IF(Inputs!$B$9="",0,COUNTIFS(Data!$M$10:$M$3209,"&gt;="&amp;$A1664,Data!$M$10:$M$3209,"&lt;"&amp;$A1664+1)))</f>
        <v/>
      </c>
      <c r="AH1664">
        <f>IF($B1664=0,0,IF(Inputs!$B$10="",0,COUNTIFS(Data!$Q$10:$Q$3209,"&gt;="&amp;$A1664,Data!$Q$10:$Q$3209,"&lt;"&amp;$A1664+1)))</f>
        <v/>
      </c>
    </row>
    <row r="1665">
      <c r="A1665" s="55">
        <f>MIN(Inputs!$C$15,$A1664+IF(WEEKDAY($A1664,2)=5,3,1))</f>
        <v/>
      </c>
      <c r="B1665">
        <f>IF($A1665&gt;$A1664,1,0)</f>
        <v/>
      </c>
      <c r="C1665" s="56">
        <f>IF($B1665=0,"",IF(Inputs!$B$6="","",IF($AD1665=0,C1664,SUMIFS(Data!$B$10:$B$3209,Data!$A$10:$A$3209,"&gt;="&amp;$A1665,Data!$A$10:$A$3209,"&lt;"&amp;$A1665+1)/$AD1665)))</f>
        <v/>
      </c>
      <c r="D1665" s="56">
        <f>IF($B1665=0,"",IF(Inputs!$B$7="","",IF($AE1665=0,D1664,SUMIFS(Data!$F$10:$F$3209,Data!$E$10:$E$3209,"&gt;="&amp;$A1665,Data!$E$10:$E$3209,"&lt;"&amp;$A1665+1)/$AE1665)))</f>
        <v/>
      </c>
      <c r="E1665" s="56">
        <f>IF($B1665=0,"",IF(Inputs!$B$8="","",IF($AF1665=0,E1664,SUMIFS(Data!$J$10:$J$3209,Data!$I$10:$I$3209,"&gt;="&amp;$A1665,Data!$I$10:$I$3209,"&lt;"&amp;$A1665+1)/$AF1665)))</f>
        <v/>
      </c>
      <c r="F1665" s="56">
        <f>IF($B1665=0,"",IF(Inputs!$B$9="","",IF($AG1665=0,F1664,SUMIFS(Data!$N$10:$N$3209,Data!$M$10:$M$3209,"&gt;="&amp;$A1665,Data!$M$10:$M$3209,"&lt;"&amp;$A1665+1)/$AG1665)))</f>
        <v/>
      </c>
      <c r="G1665" s="56">
        <f>IF($B1665=0,"",IF(Inputs!$B$10="","",IF($AH1665=0,G1664,SUMIFS(Data!$R$10:$R$3209,Data!$Q$10:$Q$3209,"&gt;="&amp;$A1665,Data!$Q$10:$Q$3209,"&lt;"&amp;$A1665+1)/$AH1665)))</f>
        <v/>
      </c>
      <c r="I1665" s="54">
        <f>IF($B1665=0,NA(),IF($C1665="",NA(),IF(C$8="",NA(),IF(N(C$8)=0,NA(),IF(Inputs!$C$17="Rebased to 100",$C1665/C$8*100,$C1665)))))</f>
        <v/>
      </c>
      <c r="J1665" s="54">
        <f>IF($B1665=0,NA(),IF($D1665="",NA(),IF(D$8="",NA(),IF(N(D$8)=0,NA(),IF(Inputs!$C$17="Rebased to 100",$D1665/D$8*100,$D1665)))))</f>
        <v/>
      </c>
      <c r="K1665" s="54">
        <f>IF($B1665=0,NA(),IF($E1665="",NA(),IF(E$8="",NA(),IF(N(E$8)=0,NA(),IF(Inputs!$C$17="Rebased to 100",$E1665/E$8*100,$E1665)))))</f>
        <v/>
      </c>
      <c r="L1665" s="54">
        <f>IF($B1665=0,NA(),IF($F1665="",NA(),IF(F$8="",NA(),IF(N(F$8)=0,NA(),IF(Inputs!$C$17="Rebased to 100",$F1665/F$8*100,$F1665)))))</f>
        <v/>
      </c>
      <c r="M1665" s="54">
        <f>IF($B1665=0,NA(),IF($G1665="",NA(),IF(G$8="",NA(),IF(N(G$8)=0,NA(),IF(Inputs!$C$17="Rebased to 100",$G1665/G$8*100,$G1665)))))</f>
        <v/>
      </c>
      <c r="N1665" s="54">
        <f>IF($B1665=0,NA(),IF(Inputs!$C$18&lt;&gt;"Yes",NA(),IF(COUNT(I1665,J1665,K1665,L1665,M1665)=0,NA(),MIN(I1665,J1665,K1665,L1665,M1665))))</f>
        <v/>
      </c>
      <c r="O1665" s="54">
        <f>IF($B1665=0,NA(),IF(Inputs!$B$24&lt;&gt;"Yes",NA(),Inputs!$D$24*Inputs!$C$35))</f>
        <v/>
      </c>
      <c r="P1665" s="54">
        <f>IF($B1665=0,NA(),IF(Inputs!$B$25&lt;&gt;"Yes",NA(),Inputs!$D$25*Inputs!$C$35))</f>
        <v/>
      </c>
      <c r="Q1665" s="54">
        <f>IF($B1665=0,NA(),IF(Inputs!$B$26&lt;&gt;"Yes",NA(),Inputs!$D$26*Inputs!$C$35))</f>
        <v/>
      </c>
      <c r="R1665" s="54">
        <f>IF($B1665=0,NA(),IF(Inputs!$B$27&lt;&gt;"Yes",NA(),Inputs!$D$27*Inputs!$C$35))</f>
        <v/>
      </c>
      <c r="S1665" s="54">
        <f>IF($B1665=0,NA(),IF(Inputs!$B$28&lt;&gt;"Yes",NA(),Inputs!$D$28*Inputs!$C$35))</f>
        <v/>
      </c>
      <c r="T1665" s="54">
        <f>IF($B1665=0,NA(),IF(Inputs!$B$29&lt;&gt;"Yes",NA(),Inputs!$D$29*Inputs!$C$35))</f>
        <v/>
      </c>
      <c r="AD1665">
        <f>IF($B1665=0,0,IF(Inputs!$B$6="",0,COUNTIFS(Data!$A$10:$A$3209,"&gt;="&amp;$A1665,Data!$A$10:$A$3209,"&lt;"&amp;$A1665+1)))</f>
        <v/>
      </c>
      <c r="AE1665">
        <f>IF($B1665=0,0,IF(Inputs!$B$7="",0,COUNTIFS(Data!$E$10:$E$3209,"&gt;="&amp;$A1665,Data!$E$10:$E$3209,"&lt;"&amp;$A1665+1)))</f>
        <v/>
      </c>
      <c r="AF1665">
        <f>IF($B1665=0,0,IF(Inputs!$B$8="",0,COUNTIFS(Data!$I$10:$I$3209,"&gt;="&amp;$A1665,Data!$I$10:$I$3209,"&lt;"&amp;$A1665+1)))</f>
        <v/>
      </c>
      <c r="AG1665">
        <f>IF($B1665=0,0,IF(Inputs!$B$9="",0,COUNTIFS(Data!$M$10:$M$3209,"&gt;="&amp;$A1665,Data!$M$10:$M$3209,"&lt;"&amp;$A1665+1)))</f>
        <v/>
      </c>
      <c r="AH1665">
        <f>IF($B1665=0,0,IF(Inputs!$B$10="",0,COUNTIFS(Data!$Q$10:$Q$3209,"&gt;="&amp;$A1665,Data!$Q$10:$Q$3209,"&lt;"&amp;$A1665+1)))</f>
        <v/>
      </c>
    </row>
    <row r="1666">
      <c r="A1666" s="55">
        <f>MIN(Inputs!$C$15,$A1665+IF(WEEKDAY($A1665,2)=5,3,1))</f>
        <v/>
      </c>
      <c r="B1666">
        <f>IF($A1666&gt;$A1665,1,0)</f>
        <v/>
      </c>
      <c r="C1666" s="56">
        <f>IF($B1666=0,"",IF(Inputs!$B$6="","",IF($AD1666=0,C1665,SUMIFS(Data!$B$10:$B$3209,Data!$A$10:$A$3209,"&gt;="&amp;$A1666,Data!$A$10:$A$3209,"&lt;"&amp;$A1666+1)/$AD1666)))</f>
        <v/>
      </c>
      <c r="D1666" s="56">
        <f>IF($B1666=0,"",IF(Inputs!$B$7="","",IF($AE1666=0,D1665,SUMIFS(Data!$F$10:$F$3209,Data!$E$10:$E$3209,"&gt;="&amp;$A1666,Data!$E$10:$E$3209,"&lt;"&amp;$A1666+1)/$AE1666)))</f>
        <v/>
      </c>
      <c r="E1666" s="56">
        <f>IF($B1666=0,"",IF(Inputs!$B$8="","",IF($AF1666=0,E1665,SUMIFS(Data!$J$10:$J$3209,Data!$I$10:$I$3209,"&gt;="&amp;$A1666,Data!$I$10:$I$3209,"&lt;"&amp;$A1666+1)/$AF1666)))</f>
        <v/>
      </c>
      <c r="F1666" s="56">
        <f>IF($B1666=0,"",IF(Inputs!$B$9="","",IF($AG1666=0,F1665,SUMIFS(Data!$N$10:$N$3209,Data!$M$10:$M$3209,"&gt;="&amp;$A1666,Data!$M$10:$M$3209,"&lt;"&amp;$A1666+1)/$AG1666)))</f>
        <v/>
      </c>
      <c r="G1666" s="56">
        <f>IF($B1666=0,"",IF(Inputs!$B$10="","",IF($AH1666=0,G1665,SUMIFS(Data!$R$10:$R$3209,Data!$Q$10:$Q$3209,"&gt;="&amp;$A1666,Data!$Q$10:$Q$3209,"&lt;"&amp;$A1666+1)/$AH1666)))</f>
        <v/>
      </c>
      <c r="I1666" s="54">
        <f>IF($B1666=0,NA(),IF($C1666="",NA(),IF(C$8="",NA(),IF(N(C$8)=0,NA(),IF(Inputs!$C$17="Rebased to 100",$C1666/C$8*100,$C1666)))))</f>
        <v/>
      </c>
      <c r="J1666" s="54">
        <f>IF($B1666=0,NA(),IF($D1666="",NA(),IF(D$8="",NA(),IF(N(D$8)=0,NA(),IF(Inputs!$C$17="Rebased to 100",$D1666/D$8*100,$D1666)))))</f>
        <v/>
      </c>
      <c r="K1666" s="54">
        <f>IF($B1666=0,NA(),IF($E1666="",NA(),IF(E$8="",NA(),IF(N(E$8)=0,NA(),IF(Inputs!$C$17="Rebased to 100",$E1666/E$8*100,$E1666)))))</f>
        <v/>
      </c>
      <c r="L1666" s="54">
        <f>IF($B1666=0,NA(),IF($F1666="",NA(),IF(F$8="",NA(),IF(N(F$8)=0,NA(),IF(Inputs!$C$17="Rebased to 100",$F1666/F$8*100,$F1666)))))</f>
        <v/>
      </c>
      <c r="M1666" s="54">
        <f>IF($B1666=0,NA(),IF($G1666="",NA(),IF(G$8="",NA(),IF(N(G$8)=0,NA(),IF(Inputs!$C$17="Rebased to 100",$G1666/G$8*100,$G1666)))))</f>
        <v/>
      </c>
      <c r="N1666" s="54">
        <f>IF($B1666=0,NA(),IF(Inputs!$C$18&lt;&gt;"Yes",NA(),IF(COUNT(I1666,J1666,K1666,L1666,M1666)=0,NA(),MIN(I1666,J1666,K1666,L1666,M1666))))</f>
        <v/>
      </c>
      <c r="O1666" s="54">
        <f>IF($B1666=0,NA(),IF(Inputs!$B$24&lt;&gt;"Yes",NA(),Inputs!$D$24*Inputs!$C$35))</f>
        <v/>
      </c>
      <c r="P1666" s="54">
        <f>IF($B1666=0,NA(),IF(Inputs!$B$25&lt;&gt;"Yes",NA(),Inputs!$D$25*Inputs!$C$35))</f>
        <v/>
      </c>
      <c r="Q1666" s="54">
        <f>IF($B1666=0,NA(),IF(Inputs!$B$26&lt;&gt;"Yes",NA(),Inputs!$D$26*Inputs!$C$35))</f>
        <v/>
      </c>
      <c r="R1666" s="54">
        <f>IF($B1666=0,NA(),IF(Inputs!$B$27&lt;&gt;"Yes",NA(),Inputs!$D$27*Inputs!$C$35))</f>
        <v/>
      </c>
      <c r="S1666" s="54">
        <f>IF($B1666=0,NA(),IF(Inputs!$B$28&lt;&gt;"Yes",NA(),Inputs!$D$28*Inputs!$C$35))</f>
        <v/>
      </c>
      <c r="T1666" s="54">
        <f>IF($B1666=0,NA(),IF(Inputs!$B$29&lt;&gt;"Yes",NA(),Inputs!$D$29*Inputs!$C$35))</f>
        <v/>
      </c>
      <c r="AD1666">
        <f>IF($B1666=0,0,IF(Inputs!$B$6="",0,COUNTIFS(Data!$A$10:$A$3209,"&gt;="&amp;$A1666,Data!$A$10:$A$3209,"&lt;"&amp;$A1666+1)))</f>
        <v/>
      </c>
      <c r="AE1666">
        <f>IF($B1666=0,0,IF(Inputs!$B$7="",0,COUNTIFS(Data!$E$10:$E$3209,"&gt;="&amp;$A1666,Data!$E$10:$E$3209,"&lt;"&amp;$A1666+1)))</f>
        <v/>
      </c>
      <c r="AF1666">
        <f>IF($B1666=0,0,IF(Inputs!$B$8="",0,COUNTIFS(Data!$I$10:$I$3209,"&gt;="&amp;$A1666,Data!$I$10:$I$3209,"&lt;"&amp;$A1666+1)))</f>
        <v/>
      </c>
      <c r="AG1666">
        <f>IF($B1666=0,0,IF(Inputs!$B$9="",0,COUNTIFS(Data!$M$10:$M$3209,"&gt;="&amp;$A1666,Data!$M$10:$M$3209,"&lt;"&amp;$A1666+1)))</f>
        <v/>
      </c>
      <c r="AH1666">
        <f>IF($B1666=0,0,IF(Inputs!$B$10="",0,COUNTIFS(Data!$Q$10:$Q$3209,"&gt;="&amp;$A1666,Data!$Q$10:$Q$3209,"&lt;"&amp;$A1666+1)))</f>
        <v/>
      </c>
    </row>
    <row r="1667">
      <c r="A1667" s="55">
        <f>MIN(Inputs!$C$15,$A1666+IF(WEEKDAY($A1666,2)=5,3,1))</f>
        <v/>
      </c>
      <c r="B1667">
        <f>IF($A1667&gt;$A1666,1,0)</f>
        <v/>
      </c>
      <c r="C1667" s="56">
        <f>IF($B1667=0,"",IF(Inputs!$B$6="","",IF($AD1667=0,C1666,SUMIFS(Data!$B$10:$B$3209,Data!$A$10:$A$3209,"&gt;="&amp;$A1667,Data!$A$10:$A$3209,"&lt;"&amp;$A1667+1)/$AD1667)))</f>
        <v/>
      </c>
      <c r="D1667" s="56">
        <f>IF($B1667=0,"",IF(Inputs!$B$7="","",IF($AE1667=0,D1666,SUMIFS(Data!$F$10:$F$3209,Data!$E$10:$E$3209,"&gt;="&amp;$A1667,Data!$E$10:$E$3209,"&lt;"&amp;$A1667+1)/$AE1667)))</f>
        <v/>
      </c>
      <c r="E1667" s="56">
        <f>IF($B1667=0,"",IF(Inputs!$B$8="","",IF($AF1667=0,E1666,SUMIFS(Data!$J$10:$J$3209,Data!$I$10:$I$3209,"&gt;="&amp;$A1667,Data!$I$10:$I$3209,"&lt;"&amp;$A1667+1)/$AF1667)))</f>
        <v/>
      </c>
      <c r="F1667" s="56">
        <f>IF($B1667=0,"",IF(Inputs!$B$9="","",IF($AG1667=0,F1666,SUMIFS(Data!$N$10:$N$3209,Data!$M$10:$M$3209,"&gt;="&amp;$A1667,Data!$M$10:$M$3209,"&lt;"&amp;$A1667+1)/$AG1667)))</f>
        <v/>
      </c>
      <c r="G1667" s="56">
        <f>IF($B1667=0,"",IF(Inputs!$B$10="","",IF($AH1667=0,G1666,SUMIFS(Data!$R$10:$R$3209,Data!$Q$10:$Q$3209,"&gt;="&amp;$A1667,Data!$Q$10:$Q$3209,"&lt;"&amp;$A1667+1)/$AH1667)))</f>
        <v/>
      </c>
      <c r="I1667" s="54">
        <f>IF($B1667=0,NA(),IF($C1667="",NA(),IF(C$8="",NA(),IF(N(C$8)=0,NA(),IF(Inputs!$C$17="Rebased to 100",$C1667/C$8*100,$C1667)))))</f>
        <v/>
      </c>
      <c r="J1667" s="54">
        <f>IF($B1667=0,NA(),IF($D1667="",NA(),IF(D$8="",NA(),IF(N(D$8)=0,NA(),IF(Inputs!$C$17="Rebased to 100",$D1667/D$8*100,$D1667)))))</f>
        <v/>
      </c>
      <c r="K1667" s="54">
        <f>IF($B1667=0,NA(),IF($E1667="",NA(),IF(E$8="",NA(),IF(N(E$8)=0,NA(),IF(Inputs!$C$17="Rebased to 100",$E1667/E$8*100,$E1667)))))</f>
        <v/>
      </c>
      <c r="L1667" s="54">
        <f>IF($B1667=0,NA(),IF($F1667="",NA(),IF(F$8="",NA(),IF(N(F$8)=0,NA(),IF(Inputs!$C$17="Rebased to 100",$F1667/F$8*100,$F1667)))))</f>
        <v/>
      </c>
      <c r="M1667" s="54">
        <f>IF($B1667=0,NA(),IF($G1667="",NA(),IF(G$8="",NA(),IF(N(G$8)=0,NA(),IF(Inputs!$C$17="Rebased to 100",$G1667/G$8*100,$G1667)))))</f>
        <v/>
      </c>
      <c r="N1667" s="54">
        <f>IF($B1667=0,NA(),IF(Inputs!$C$18&lt;&gt;"Yes",NA(),IF(COUNT(I1667,J1667,K1667,L1667,M1667)=0,NA(),MIN(I1667,J1667,K1667,L1667,M1667))))</f>
        <v/>
      </c>
      <c r="O1667" s="54">
        <f>IF($B1667=0,NA(),IF(Inputs!$B$24&lt;&gt;"Yes",NA(),Inputs!$D$24*Inputs!$C$35))</f>
        <v/>
      </c>
      <c r="P1667" s="54">
        <f>IF($B1667=0,NA(),IF(Inputs!$B$25&lt;&gt;"Yes",NA(),Inputs!$D$25*Inputs!$C$35))</f>
        <v/>
      </c>
      <c r="Q1667" s="54">
        <f>IF($B1667=0,NA(),IF(Inputs!$B$26&lt;&gt;"Yes",NA(),Inputs!$D$26*Inputs!$C$35))</f>
        <v/>
      </c>
      <c r="R1667" s="54">
        <f>IF($B1667=0,NA(),IF(Inputs!$B$27&lt;&gt;"Yes",NA(),Inputs!$D$27*Inputs!$C$35))</f>
        <v/>
      </c>
      <c r="S1667" s="54">
        <f>IF($B1667=0,NA(),IF(Inputs!$B$28&lt;&gt;"Yes",NA(),Inputs!$D$28*Inputs!$C$35))</f>
        <v/>
      </c>
      <c r="T1667" s="54">
        <f>IF($B1667=0,NA(),IF(Inputs!$B$29&lt;&gt;"Yes",NA(),Inputs!$D$29*Inputs!$C$35))</f>
        <v/>
      </c>
      <c r="AD1667">
        <f>IF($B1667=0,0,IF(Inputs!$B$6="",0,COUNTIFS(Data!$A$10:$A$3209,"&gt;="&amp;$A1667,Data!$A$10:$A$3209,"&lt;"&amp;$A1667+1)))</f>
        <v/>
      </c>
      <c r="AE1667">
        <f>IF($B1667=0,0,IF(Inputs!$B$7="",0,COUNTIFS(Data!$E$10:$E$3209,"&gt;="&amp;$A1667,Data!$E$10:$E$3209,"&lt;"&amp;$A1667+1)))</f>
        <v/>
      </c>
      <c r="AF1667">
        <f>IF($B1667=0,0,IF(Inputs!$B$8="",0,COUNTIFS(Data!$I$10:$I$3209,"&gt;="&amp;$A1667,Data!$I$10:$I$3209,"&lt;"&amp;$A1667+1)))</f>
        <v/>
      </c>
      <c r="AG1667">
        <f>IF($B1667=0,0,IF(Inputs!$B$9="",0,COUNTIFS(Data!$M$10:$M$3209,"&gt;="&amp;$A1667,Data!$M$10:$M$3209,"&lt;"&amp;$A1667+1)))</f>
        <v/>
      </c>
      <c r="AH1667">
        <f>IF($B1667=0,0,IF(Inputs!$B$10="",0,COUNTIFS(Data!$Q$10:$Q$3209,"&gt;="&amp;$A1667,Data!$Q$10:$Q$3209,"&lt;"&amp;$A1667+1)))</f>
        <v/>
      </c>
    </row>
    <row r="1668">
      <c r="A1668" s="55">
        <f>MIN(Inputs!$C$15,$A1667+IF(WEEKDAY($A1667,2)=5,3,1))</f>
        <v/>
      </c>
      <c r="B1668">
        <f>IF($A1668&gt;$A1667,1,0)</f>
        <v/>
      </c>
      <c r="C1668" s="56">
        <f>IF($B1668=0,"",IF(Inputs!$B$6="","",IF($AD1668=0,C1667,SUMIFS(Data!$B$10:$B$3209,Data!$A$10:$A$3209,"&gt;="&amp;$A1668,Data!$A$10:$A$3209,"&lt;"&amp;$A1668+1)/$AD1668)))</f>
        <v/>
      </c>
      <c r="D1668" s="56">
        <f>IF($B1668=0,"",IF(Inputs!$B$7="","",IF($AE1668=0,D1667,SUMIFS(Data!$F$10:$F$3209,Data!$E$10:$E$3209,"&gt;="&amp;$A1668,Data!$E$10:$E$3209,"&lt;"&amp;$A1668+1)/$AE1668)))</f>
        <v/>
      </c>
      <c r="E1668" s="56">
        <f>IF($B1668=0,"",IF(Inputs!$B$8="","",IF($AF1668=0,E1667,SUMIFS(Data!$J$10:$J$3209,Data!$I$10:$I$3209,"&gt;="&amp;$A1668,Data!$I$10:$I$3209,"&lt;"&amp;$A1668+1)/$AF1668)))</f>
        <v/>
      </c>
      <c r="F1668" s="56">
        <f>IF($B1668=0,"",IF(Inputs!$B$9="","",IF($AG1668=0,F1667,SUMIFS(Data!$N$10:$N$3209,Data!$M$10:$M$3209,"&gt;="&amp;$A1668,Data!$M$10:$M$3209,"&lt;"&amp;$A1668+1)/$AG1668)))</f>
        <v/>
      </c>
      <c r="G1668" s="56">
        <f>IF($B1668=0,"",IF(Inputs!$B$10="","",IF($AH1668=0,G1667,SUMIFS(Data!$R$10:$R$3209,Data!$Q$10:$Q$3209,"&gt;="&amp;$A1668,Data!$Q$10:$Q$3209,"&lt;"&amp;$A1668+1)/$AH1668)))</f>
        <v/>
      </c>
      <c r="I1668" s="54">
        <f>IF($B1668=0,NA(),IF($C1668="",NA(),IF(C$8="",NA(),IF(N(C$8)=0,NA(),IF(Inputs!$C$17="Rebased to 100",$C1668/C$8*100,$C1668)))))</f>
        <v/>
      </c>
      <c r="J1668" s="54">
        <f>IF($B1668=0,NA(),IF($D1668="",NA(),IF(D$8="",NA(),IF(N(D$8)=0,NA(),IF(Inputs!$C$17="Rebased to 100",$D1668/D$8*100,$D1668)))))</f>
        <v/>
      </c>
      <c r="K1668" s="54">
        <f>IF($B1668=0,NA(),IF($E1668="",NA(),IF(E$8="",NA(),IF(N(E$8)=0,NA(),IF(Inputs!$C$17="Rebased to 100",$E1668/E$8*100,$E1668)))))</f>
        <v/>
      </c>
      <c r="L1668" s="54">
        <f>IF($B1668=0,NA(),IF($F1668="",NA(),IF(F$8="",NA(),IF(N(F$8)=0,NA(),IF(Inputs!$C$17="Rebased to 100",$F1668/F$8*100,$F1668)))))</f>
        <v/>
      </c>
      <c r="M1668" s="54">
        <f>IF($B1668=0,NA(),IF($G1668="",NA(),IF(G$8="",NA(),IF(N(G$8)=0,NA(),IF(Inputs!$C$17="Rebased to 100",$G1668/G$8*100,$G1668)))))</f>
        <v/>
      </c>
      <c r="N1668" s="54">
        <f>IF($B1668=0,NA(),IF(Inputs!$C$18&lt;&gt;"Yes",NA(),IF(COUNT(I1668,J1668,K1668,L1668,M1668)=0,NA(),MIN(I1668,J1668,K1668,L1668,M1668))))</f>
        <v/>
      </c>
      <c r="O1668" s="54">
        <f>IF($B1668=0,NA(),IF(Inputs!$B$24&lt;&gt;"Yes",NA(),Inputs!$D$24*Inputs!$C$35))</f>
        <v/>
      </c>
      <c r="P1668" s="54">
        <f>IF($B1668=0,NA(),IF(Inputs!$B$25&lt;&gt;"Yes",NA(),Inputs!$D$25*Inputs!$C$35))</f>
        <v/>
      </c>
      <c r="Q1668" s="54">
        <f>IF($B1668=0,NA(),IF(Inputs!$B$26&lt;&gt;"Yes",NA(),Inputs!$D$26*Inputs!$C$35))</f>
        <v/>
      </c>
      <c r="R1668" s="54">
        <f>IF($B1668=0,NA(),IF(Inputs!$B$27&lt;&gt;"Yes",NA(),Inputs!$D$27*Inputs!$C$35))</f>
        <v/>
      </c>
      <c r="S1668" s="54">
        <f>IF($B1668=0,NA(),IF(Inputs!$B$28&lt;&gt;"Yes",NA(),Inputs!$D$28*Inputs!$C$35))</f>
        <v/>
      </c>
      <c r="T1668" s="54">
        <f>IF($B1668=0,NA(),IF(Inputs!$B$29&lt;&gt;"Yes",NA(),Inputs!$D$29*Inputs!$C$35))</f>
        <v/>
      </c>
      <c r="AD1668">
        <f>IF($B1668=0,0,IF(Inputs!$B$6="",0,COUNTIFS(Data!$A$10:$A$3209,"&gt;="&amp;$A1668,Data!$A$10:$A$3209,"&lt;"&amp;$A1668+1)))</f>
        <v/>
      </c>
      <c r="AE1668">
        <f>IF($B1668=0,0,IF(Inputs!$B$7="",0,COUNTIFS(Data!$E$10:$E$3209,"&gt;="&amp;$A1668,Data!$E$10:$E$3209,"&lt;"&amp;$A1668+1)))</f>
        <v/>
      </c>
      <c r="AF1668">
        <f>IF($B1668=0,0,IF(Inputs!$B$8="",0,COUNTIFS(Data!$I$10:$I$3209,"&gt;="&amp;$A1668,Data!$I$10:$I$3209,"&lt;"&amp;$A1668+1)))</f>
        <v/>
      </c>
      <c r="AG1668">
        <f>IF($B1668=0,0,IF(Inputs!$B$9="",0,COUNTIFS(Data!$M$10:$M$3209,"&gt;="&amp;$A1668,Data!$M$10:$M$3209,"&lt;"&amp;$A1668+1)))</f>
        <v/>
      </c>
      <c r="AH1668">
        <f>IF($B1668=0,0,IF(Inputs!$B$10="",0,COUNTIFS(Data!$Q$10:$Q$3209,"&gt;="&amp;$A1668,Data!$Q$10:$Q$3209,"&lt;"&amp;$A1668+1)))</f>
        <v/>
      </c>
    </row>
    <row r="1669">
      <c r="A1669" s="55">
        <f>MIN(Inputs!$C$15,$A1668+IF(WEEKDAY($A1668,2)=5,3,1))</f>
        <v/>
      </c>
      <c r="B1669">
        <f>IF($A1669&gt;$A1668,1,0)</f>
        <v/>
      </c>
      <c r="C1669" s="56">
        <f>IF($B1669=0,"",IF(Inputs!$B$6="","",IF($AD1669=0,C1668,SUMIFS(Data!$B$10:$B$3209,Data!$A$10:$A$3209,"&gt;="&amp;$A1669,Data!$A$10:$A$3209,"&lt;"&amp;$A1669+1)/$AD1669)))</f>
        <v/>
      </c>
      <c r="D1669" s="56">
        <f>IF($B1669=0,"",IF(Inputs!$B$7="","",IF($AE1669=0,D1668,SUMIFS(Data!$F$10:$F$3209,Data!$E$10:$E$3209,"&gt;="&amp;$A1669,Data!$E$10:$E$3209,"&lt;"&amp;$A1669+1)/$AE1669)))</f>
        <v/>
      </c>
      <c r="E1669" s="56">
        <f>IF($B1669=0,"",IF(Inputs!$B$8="","",IF($AF1669=0,E1668,SUMIFS(Data!$J$10:$J$3209,Data!$I$10:$I$3209,"&gt;="&amp;$A1669,Data!$I$10:$I$3209,"&lt;"&amp;$A1669+1)/$AF1669)))</f>
        <v/>
      </c>
      <c r="F1669" s="56">
        <f>IF($B1669=0,"",IF(Inputs!$B$9="","",IF($AG1669=0,F1668,SUMIFS(Data!$N$10:$N$3209,Data!$M$10:$M$3209,"&gt;="&amp;$A1669,Data!$M$10:$M$3209,"&lt;"&amp;$A1669+1)/$AG1669)))</f>
        <v/>
      </c>
      <c r="G1669" s="56">
        <f>IF($B1669=0,"",IF(Inputs!$B$10="","",IF($AH1669=0,G1668,SUMIFS(Data!$R$10:$R$3209,Data!$Q$10:$Q$3209,"&gt;="&amp;$A1669,Data!$Q$10:$Q$3209,"&lt;"&amp;$A1669+1)/$AH1669)))</f>
        <v/>
      </c>
      <c r="I1669" s="54">
        <f>IF($B1669=0,NA(),IF($C1669="",NA(),IF(C$8="",NA(),IF(N(C$8)=0,NA(),IF(Inputs!$C$17="Rebased to 100",$C1669/C$8*100,$C1669)))))</f>
        <v/>
      </c>
      <c r="J1669" s="54">
        <f>IF($B1669=0,NA(),IF($D1669="",NA(),IF(D$8="",NA(),IF(N(D$8)=0,NA(),IF(Inputs!$C$17="Rebased to 100",$D1669/D$8*100,$D1669)))))</f>
        <v/>
      </c>
      <c r="K1669" s="54">
        <f>IF($B1669=0,NA(),IF($E1669="",NA(),IF(E$8="",NA(),IF(N(E$8)=0,NA(),IF(Inputs!$C$17="Rebased to 100",$E1669/E$8*100,$E1669)))))</f>
        <v/>
      </c>
      <c r="L1669" s="54">
        <f>IF($B1669=0,NA(),IF($F1669="",NA(),IF(F$8="",NA(),IF(N(F$8)=0,NA(),IF(Inputs!$C$17="Rebased to 100",$F1669/F$8*100,$F1669)))))</f>
        <v/>
      </c>
      <c r="M1669" s="54">
        <f>IF($B1669=0,NA(),IF($G1669="",NA(),IF(G$8="",NA(),IF(N(G$8)=0,NA(),IF(Inputs!$C$17="Rebased to 100",$G1669/G$8*100,$G1669)))))</f>
        <v/>
      </c>
      <c r="N1669" s="54">
        <f>IF($B1669=0,NA(),IF(Inputs!$C$18&lt;&gt;"Yes",NA(),IF(COUNT(I1669,J1669,K1669,L1669,M1669)=0,NA(),MIN(I1669,J1669,K1669,L1669,M1669))))</f>
        <v/>
      </c>
      <c r="O1669" s="54">
        <f>IF($B1669=0,NA(),IF(Inputs!$B$24&lt;&gt;"Yes",NA(),Inputs!$D$24*Inputs!$C$35))</f>
        <v/>
      </c>
      <c r="P1669" s="54">
        <f>IF($B1669=0,NA(),IF(Inputs!$B$25&lt;&gt;"Yes",NA(),Inputs!$D$25*Inputs!$C$35))</f>
        <v/>
      </c>
      <c r="Q1669" s="54">
        <f>IF($B1669=0,NA(),IF(Inputs!$B$26&lt;&gt;"Yes",NA(),Inputs!$D$26*Inputs!$C$35))</f>
        <v/>
      </c>
      <c r="R1669" s="54">
        <f>IF($B1669=0,NA(),IF(Inputs!$B$27&lt;&gt;"Yes",NA(),Inputs!$D$27*Inputs!$C$35))</f>
        <v/>
      </c>
      <c r="S1669" s="54">
        <f>IF($B1669=0,NA(),IF(Inputs!$B$28&lt;&gt;"Yes",NA(),Inputs!$D$28*Inputs!$C$35))</f>
        <v/>
      </c>
      <c r="T1669" s="54">
        <f>IF($B1669=0,NA(),IF(Inputs!$B$29&lt;&gt;"Yes",NA(),Inputs!$D$29*Inputs!$C$35))</f>
        <v/>
      </c>
      <c r="AD1669">
        <f>IF($B1669=0,0,IF(Inputs!$B$6="",0,COUNTIFS(Data!$A$10:$A$3209,"&gt;="&amp;$A1669,Data!$A$10:$A$3209,"&lt;"&amp;$A1669+1)))</f>
        <v/>
      </c>
      <c r="AE1669">
        <f>IF($B1669=0,0,IF(Inputs!$B$7="",0,COUNTIFS(Data!$E$10:$E$3209,"&gt;="&amp;$A1669,Data!$E$10:$E$3209,"&lt;"&amp;$A1669+1)))</f>
        <v/>
      </c>
      <c r="AF1669">
        <f>IF($B1669=0,0,IF(Inputs!$B$8="",0,COUNTIFS(Data!$I$10:$I$3209,"&gt;="&amp;$A1669,Data!$I$10:$I$3209,"&lt;"&amp;$A1669+1)))</f>
        <v/>
      </c>
      <c r="AG1669">
        <f>IF($B1669=0,0,IF(Inputs!$B$9="",0,COUNTIFS(Data!$M$10:$M$3209,"&gt;="&amp;$A1669,Data!$M$10:$M$3209,"&lt;"&amp;$A1669+1)))</f>
        <v/>
      </c>
      <c r="AH1669">
        <f>IF($B1669=0,0,IF(Inputs!$B$10="",0,COUNTIFS(Data!$Q$10:$Q$3209,"&gt;="&amp;$A1669,Data!$Q$10:$Q$3209,"&lt;"&amp;$A1669+1)))</f>
        <v/>
      </c>
    </row>
    <row r="1670">
      <c r="A1670" s="55">
        <f>MIN(Inputs!$C$15,$A1669+IF(WEEKDAY($A1669,2)=5,3,1))</f>
        <v/>
      </c>
      <c r="B1670">
        <f>IF($A1670&gt;$A1669,1,0)</f>
        <v/>
      </c>
      <c r="C1670" s="56">
        <f>IF($B1670=0,"",IF(Inputs!$B$6="","",IF($AD1670=0,C1669,SUMIFS(Data!$B$10:$B$3209,Data!$A$10:$A$3209,"&gt;="&amp;$A1670,Data!$A$10:$A$3209,"&lt;"&amp;$A1670+1)/$AD1670)))</f>
        <v/>
      </c>
      <c r="D1670" s="56">
        <f>IF($B1670=0,"",IF(Inputs!$B$7="","",IF($AE1670=0,D1669,SUMIFS(Data!$F$10:$F$3209,Data!$E$10:$E$3209,"&gt;="&amp;$A1670,Data!$E$10:$E$3209,"&lt;"&amp;$A1670+1)/$AE1670)))</f>
        <v/>
      </c>
      <c r="E1670" s="56">
        <f>IF($B1670=0,"",IF(Inputs!$B$8="","",IF($AF1670=0,E1669,SUMIFS(Data!$J$10:$J$3209,Data!$I$10:$I$3209,"&gt;="&amp;$A1670,Data!$I$10:$I$3209,"&lt;"&amp;$A1670+1)/$AF1670)))</f>
        <v/>
      </c>
      <c r="F1670" s="56">
        <f>IF($B1670=0,"",IF(Inputs!$B$9="","",IF($AG1670=0,F1669,SUMIFS(Data!$N$10:$N$3209,Data!$M$10:$M$3209,"&gt;="&amp;$A1670,Data!$M$10:$M$3209,"&lt;"&amp;$A1670+1)/$AG1670)))</f>
        <v/>
      </c>
      <c r="G1670" s="56">
        <f>IF($B1670=0,"",IF(Inputs!$B$10="","",IF($AH1670=0,G1669,SUMIFS(Data!$R$10:$R$3209,Data!$Q$10:$Q$3209,"&gt;="&amp;$A1670,Data!$Q$10:$Q$3209,"&lt;"&amp;$A1670+1)/$AH1670)))</f>
        <v/>
      </c>
      <c r="I1670" s="54">
        <f>IF($B1670=0,NA(),IF($C1670="",NA(),IF(C$8="",NA(),IF(N(C$8)=0,NA(),IF(Inputs!$C$17="Rebased to 100",$C1670/C$8*100,$C1670)))))</f>
        <v/>
      </c>
      <c r="J1670" s="54">
        <f>IF($B1670=0,NA(),IF($D1670="",NA(),IF(D$8="",NA(),IF(N(D$8)=0,NA(),IF(Inputs!$C$17="Rebased to 100",$D1670/D$8*100,$D1670)))))</f>
        <v/>
      </c>
      <c r="K1670" s="54">
        <f>IF($B1670=0,NA(),IF($E1670="",NA(),IF(E$8="",NA(),IF(N(E$8)=0,NA(),IF(Inputs!$C$17="Rebased to 100",$E1670/E$8*100,$E1670)))))</f>
        <v/>
      </c>
      <c r="L1670" s="54">
        <f>IF($B1670=0,NA(),IF($F1670="",NA(),IF(F$8="",NA(),IF(N(F$8)=0,NA(),IF(Inputs!$C$17="Rebased to 100",$F1670/F$8*100,$F1670)))))</f>
        <v/>
      </c>
      <c r="M1670" s="54">
        <f>IF($B1670=0,NA(),IF($G1670="",NA(),IF(G$8="",NA(),IF(N(G$8)=0,NA(),IF(Inputs!$C$17="Rebased to 100",$G1670/G$8*100,$G1670)))))</f>
        <v/>
      </c>
      <c r="N1670" s="54">
        <f>IF($B1670=0,NA(),IF(Inputs!$C$18&lt;&gt;"Yes",NA(),IF(COUNT(I1670,J1670,K1670,L1670,M1670)=0,NA(),MIN(I1670,J1670,K1670,L1670,M1670))))</f>
        <v/>
      </c>
      <c r="O1670" s="54">
        <f>IF($B1670=0,NA(),IF(Inputs!$B$24&lt;&gt;"Yes",NA(),Inputs!$D$24*Inputs!$C$35))</f>
        <v/>
      </c>
      <c r="P1670" s="54">
        <f>IF($B1670=0,NA(),IF(Inputs!$B$25&lt;&gt;"Yes",NA(),Inputs!$D$25*Inputs!$C$35))</f>
        <v/>
      </c>
      <c r="Q1670" s="54">
        <f>IF($B1670=0,NA(),IF(Inputs!$B$26&lt;&gt;"Yes",NA(),Inputs!$D$26*Inputs!$C$35))</f>
        <v/>
      </c>
      <c r="R1670" s="54">
        <f>IF($B1670=0,NA(),IF(Inputs!$B$27&lt;&gt;"Yes",NA(),Inputs!$D$27*Inputs!$C$35))</f>
        <v/>
      </c>
      <c r="S1670" s="54">
        <f>IF($B1670=0,NA(),IF(Inputs!$B$28&lt;&gt;"Yes",NA(),Inputs!$D$28*Inputs!$C$35))</f>
        <v/>
      </c>
      <c r="T1670" s="54">
        <f>IF($B1670=0,NA(),IF(Inputs!$B$29&lt;&gt;"Yes",NA(),Inputs!$D$29*Inputs!$C$35))</f>
        <v/>
      </c>
      <c r="AD1670">
        <f>IF($B1670=0,0,IF(Inputs!$B$6="",0,COUNTIFS(Data!$A$10:$A$3209,"&gt;="&amp;$A1670,Data!$A$10:$A$3209,"&lt;"&amp;$A1670+1)))</f>
        <v/>
      </c>
      <c r="AE1670">
        <f>IF($B1670=0,0,IF(Inputs!$B$7="",0,COUNTIFS(Data!$E$10:$E$3209,"&gt;="&amp;$A1670,Data!$E$10:$E$3209,"&lt;"&amp;$A1670+1)))</f>
        <v/>
      </c>
      <c r="AF1670">
        <f>IF($B1670=0,0,IF(Inputs!$B$8="",0,COUNTIFS(Data!$I$10:$I$3209,"&gt;="&amp;$A1670,Data!$I$10:$I$3209,"&lt;"&amp;$A1670+1)))</f>
        <v/>
      </c>
      <c r="AG1670">
        <f>IF($B1670=0,0,IF(Inputs!$B$9="",0,COUNTIFS(Data!$M$10:$M$3209,"&gt;="&amp;$A1670,Data!$M$10:$M$3209,"&lt;"&amp;$A1670+1)))</f>
        <v/>
      </c>
      <c r="AH1670">
        <f>IF($B1670=0,0,IF(Inputs!$B$10="",0,COUNTIFS(Data!$Q$10:$Q$3209,"&gt;="&amp;$A1670,Data!$Q$10:$Q$3209,"&lt;"&amp;$A1670+1)))</f>
        <v/>
      </c>
    </row>
    <row r="1671">
      <c r="A1671" s="55">
        <f>MIN(Inputs!$C$15,$A1670+IF(WEEKDAY($A1670,2)=5,3,1))</f>
        <v/>
      </c>
      <c r="B1671">
        <f>IF($A1671&gt;$A1670,1,0)</f>
        <v/>
      </c>
      <c r="C1671" s="56">
        <f>IF($B1671=0,"",IF(Inputs!$B$6="","",IF($AD1671=0,C1670,SUMIFS(Data!$B$10:$B$3209,Data!$A$10:$A$3209,"&gt;="&amp;$A1671,Data!$A$10:$A$3209,"&lt;"&amp;$A1671+1)/$AD1671)))</f>
        <v/>
      </c>
      <c r="D1671" s="56">
        <f>IF($B1671=0,"",IF(Inputs!$B$7="","",IF($AE1671=0,D1670,SUMIFS(Data!$F$10:$F$3209,Data!$E$10:$E$3209,"&gt;="&amp;$A1671,Data!$E$10:$E$3209,"&lt;"&amp;$A1671+1)/$AE1671)))</f>
        <v/>
      </c>
      <c r="E1671" s="56">
        <f>IF($B1671=0,"",IF(Inputs!$B$8="","",IF($AF1671=0,E1670,SUMIFS(Data!$J$10:$J$3209,Data!$I$10:$I$3209,"&gt;="&amp;$A1671,Data!$I$10:$I$3209,"&lt;"&amp;$A1671+1)/$AF1671)))</f>
        <v/>
      </c>
      <c r="F1671" s="56">
        <f>IF($B1671=0,"",IF(Inputs!$B$9="","",IF($AG1671=0,F1670,SUMIFS(Data!$N$10:$N$3209,Data!$M$10:$M$3209,"&gt;="&amp;$A1671,Data!$M$10:$M$3209,"&lt;"&amp;$A1671+1)/$AG1671)))</f>
        <v/>
      </c>
      <c r="G1671" s="56">
        <f>IF($B1671=0,"",IF(Inputs!$B$10="","",IF($AH1671=0,G1670,SUMIFS(Data!$R$10:$R$3209,Data!$Q$10:$Q$3209,"&gt;="&amp;$A1671,Data!$Q$10:$Q$3209,"&lt;"&amp;$A1671+1)/$AH1671)))</f>
        <v/>
      </c>
      <c r="I1671" s="54">
        <f>IF($B1671=0,NA(),IF($C1671="",NA(),IF(C$8="",NA(),IF(N(C$8)=0,NA(),IF(Inputs!$C$17="Rebased to 100",$C1671/C$8*100,$C1671)))))</f>
        <v/>
      </c>
      <c r="J1671" s="54">
        <f>IF($B1671=0,NA(),IF($D1671="",NA(),IF(D$8="",NA(),IF(N(D$8)=0,NA(),IF(Inputs!$C$17="Rebased to 100",$D1671/D$8*100,$D1671)))))</f>
        <v/>
      </c>
      <c r="K1671" s="54">
        <f>IF($B1671=0,NA(),IF($E1671="",NA(),IF(E$8="",NA(),IF(N(E$8)=0,NA(),IF(Inputs!$C$17="Rebased to 100",$E1671/E$8*100,$E1671)))))</f>
        <v/>
      </c>
      <c r="L1671" s="54">
        <f>IF($B1671=0,NA(),IF($F1671="",NA(),IF(F$8="",NA(),IF(N(F$8)=0,NA(),IF(Inputs!$C$17="Rebased to 100",$F1671/F$8*100,$F1671)))))</f>
        <v/>
      </c>
      <c r="M1671" s="54">
        <f>IF($B1671=0,NA(),IF($G1671="",NA(),IF(G$8="",NA(),IF(N(G$8)=0,NA(),IF(Inputs!$C$17="Rebased to 100",$G1671/G$8*100,$G1671)))))</f>
        <v/>
      </c>
      <c r="N1671" s="54">
        <f>IF($B1671=0,NA(),IF(Inputs!$C$18&lt;&gt;"Yes",NA(),IF(COUNT(I1671,J1671,K1671,L1671,M1671)=0,NA(),MIN(I1671,J1671,K1671,L1671,M1671))))</f>
        <v/>
      </c>
      <c r="O1671" s="54">
        <f>IF($B1671=0,NA(),IF(Inputs!$B$24&lt;&gt;"Yes",NA(),Inputs!$D$24*Inputs!$C$35))</f>
        <v/>
      </c>
      <c r="P1671" s="54">
        <f>IF($B1671=0,NA(),IF(Inputs!$B$25&lt;&gt;"Yes",NA(),Inputs!$D$25*Inputs!$C$35))</f>
        <v/>
      </c>
      <c r="Q1671" s="54">
        <f>IF($B1671=0,NA(),IF(Inputs!$B$26&lt;&gt;"Yes",NA(),Inputs!$D$26*Inputs!$C$35))</f>
        <v/>
      </c>
      <c r="R1671" s="54">
        <f>IF($B1671=0,NA(),IF(Inputs!$B$27&lt;&gt;"Yes",NA(),Inputs!$D$27*Inputs!$C$35))</f>
        <v/>
      </c>
      <c r="S1671" s="54">
        <f>IF($B1671=0,NA(),IF(Inputs!$B$28&lt;&gt;"Yes",NA(),Inputs!$D$28*Inputs!$C$35))</f>
        <v/>
      </c>
      <c r="T1671" s="54">
        <f>IF($B1671=0,NA(),IF(Inputs!$B$29&lt;&gt;"Yes",NA(),Inputs!$D$29*Inputs!$C$35))</f>
        <v/>
      </c>
      <c r="AD1671">
        <f>IF($B1671=0,0,IF(Inputs!$B$6="",0,COUNTIFS(Data!$A$10:$A$3209,"&gt;="&amp;$A1671,Data!$A$10:$A$3209,"&lt;"&amp;$A1671+1)))</f>
        <v/>
      </c>
      <c r="AE1671">
        <f>IF($B1671=0,0,IF(Inputs!$B$7="",0,COUNTIFS(Data!$E$10:$E$3209,"&gt;="&amp;$A1671,Data!$E$10:$E$3209,"&lt;"&amp;$A1671+1)))</f>
        <v/>
      </c>
      <c r="AF1671">
        <f>IF($B1671=0,0,IF(Inputs!$B$8="",0,COUNTIFS(Data!$I$10:$I$3209,"&gt;="&amp;$A1671,Data!$I$10:$I$3209,"&lt;"&amp;$A1671+1)))</f>
        <v/>
      </c>
      <c r="AG1671">
        <f>IF($B1671=0,0,IF(Inputs!$B$9="",0,COUNTIFS(Data!$M$10:$M$3209,"&gt;="&amp;$A1671,Data!$M$10:$M$3209,"&lt;"&amp;$A1671+1)))</f>
        <v/>
      </c>
      <c r="AH1671">
        <f>IF($B1671=0,0,IF(Inputs!$B$10="",0,COUNTIFS(Data!$Q$10:$Q$3209,"&gt;="&amp;$A1671,Data!$Q$10:$Q$3209,"&lt;"&amp;$A1671+1)))</f>
        <v/>
      </c>
    </row>
    <row r="1672">
      <c r="A1672" s="55">
        <f>MIN(Inputs!$C$15,$A1671+IF(WEEKDAY($A1671,2)=5,3,1))</f>
        <v/>
      </c>
      <c r="B1672">
        <f>IF($A1672&gt;$A1671,1,0)</f>
        <v/>
      </c>
      <c r="C1672" s="56">
        <f>IF($B1672=0,"",IF(Inputs!$B$6="","",IF($AD1672=0,C1671,SUMIFS(Data!$B$10:$B$3209,Data!$A$10:$A$3209,"&gt;="&amp;$A1672,Data!$A$10:$A$3209,"&lt;"&amp;$A1672+1)/$AD1672)))</f>
        <v/>
      </c>
      <c r="D1672" s="56">
        <f>IF($B1672=0,"",IF(Inputs!$B$7="","",IF($AE1672=0,D1671,SUMIFS(Data!$F$10:$F$3209,Data!$E$10:$E$3209,"&gt;="&amp;$A1672,Data!$E$10:$E$3209,"&lt;"&amp;$A1672+1)/$AE1672)))</f>
        <v/>
      </c>
      <c r="E1672" s="56">
        <f>IF($B1672=0,"",IF(Inputs!$B$8="","",IF($AF1672=0,E1671,SUMIFS(Data!$J$10:$J$3209,Data!$I$10:$I$3209,"&gt;="&amp;$A1672,Data!$I$10:$I$3209,"&lt;"&amp;$A1672+1)/$AF1672)))</f>
        <v/>
      </c>
      <c r="F1672" s="56">
        <f>IF($B1672=0,"",IF(Inputs!$B$9="","",IF($AG1672=0,F1671,SUMIFS(Data!$N$10:$N$3209,Data!$M$10:$M$3209,"&gt;="&amp;$A1672,Data!$M$10:$M$3209,"&lt;"&amp;$A1672+1)/$AG1672)))</f>
        <v/>
      </c>
      <c r="G1672" s="56">
        <f>IF($B1672=0,"",IF(Inputs!$B$10="","",IF($AH1672=0,G1671,SUMIFS(Data!$R$10:$R$3209,Data!$Q$10:$Q$3209,"&gt;="&amp;$A1672,Data!$Q$10:$Q$3209,"&lt;"&amp;$A1672+1)/$AH1672)))</f>
        <v/>
      </c>
      <c r="I1672" s="54">
        <f>IF($B1672=0,NA(),IF($C1672="",NA(),IF(C$8="",NA(),IF(N(C$8)=0,NA(),IF(Inputs!$C$17="Rebased to 100",$C1672/C$8*100,$C1672)))))</f>
        <v/>
      </c>
      <c r="J1672" s="54">
        <f>IF($B1672=0,NA(),IF($D1672="",NA(),IF(D$8="",NA(),IF(N(D$8)=0,NA(),IF(Inputs!$C$17="Rebased to 100",$D1672/D$8*100,$D1672)))))</f>
        <v/>
      </c>
      <c r="K1672" s="54">
        <f>IF($B1672=0,NA(),IF($E1672="",NA(),IF(E$8="",NA(),IF(N(E$8)=0,NA(),IF(Inputs!$C$17="Rebased to 100",$E1672/E$8*100,$E1672)))))</f>
        <v/>
      </c>
      <c r="L1672" s="54">
        <f>IF($B1672=0,NA(),IF($F1672="",NA(),IF(F$8="",NA(),IF(N(F$8)=0,NA(),IF(Inputs!$C$17="Rebased to 100",$F1672/F$8*100,$F1672)))))</f>
        <v/>
      </c>
      <c r="M1672" s="54">
        <f>IF($B1672=0,NA(),IF($G1672="",NA(),IF(G$8="",NA(),IF(N(G$8)=0,NA(),IF(Inputs!$C$17="Rebased to 100",$G1672/G$8*100,$G1672)))))</f>
        <v/>
      </c>
      <c r="N1672" s="54">
        <f>IF($B1672=0,NA(),IF(Inputs!$C$18&lt;&gt;"Yes",NA(),IF(COUNT(I1672,J1672,K1672,L1672,M1672)=0,NA(),MIN(I1672,J1672,K1672,L1672,M1672))))</f>
        <v/>
      </c>
      <c r="O1672" s="54">
        <f>IF($B1672=0,NA(),IF(Inputs!$B$24&lt;&gt;"Yes",NA(),Inputs!$D$24*Inputs!$C$35))</f>
        <v/>
      </c>
      <c r="P1672" s="54">
        <f>IF($B1672=0,NA(),IF(Inputs!$B$25&lt;&gt;"Yes",NA(),Inputs!$D$25*Inputs!$C$35))</f>
        <v/>
      </c>
      <c r="Q1672" s="54">
        <f>IF($B1672=0,NA(),IF(Inputs!$B$26&lt;&gt;"Yes",NA(),Inputs!$D$26*Inputs!$C$35))</f>
        <v/>
      </c>
      <c r="R1672" s="54">
        <f>IF($B1672=0,NA(),IF(Inputs!$B$27&lt;&gt;"Yes",NA(),Inputs!$D$27*Inputs!$C$35))</f>
        <v/>
      </c>
      <c r="S1672" s="54">
        <f>IF($B1672=0,NA(),IF(Inputs!$B$28&lt;&gt;"Yes",NA(),Inputs!$D$28*Inputs!$C$35))</f>
        <v/>
      </c>
      <c r="T1672" s="54">
        <f>IF($B1672=0,NA(),IF(Inputs!$B$29&lt;&gt;"Yes",NA(),Inputs!$D$29*Inputs!$C$35))</f>
        <v/>
      </c>
      <c r="AD1672">
        <f>IF($B1672=0,0,IF(Inputs!$B$6="",0,COUNTIFS(Data!$A$10:$A$3209,"&gt;="&amp;$A1672,Data!$A$10:$A$3209,"&lt;"&amp;$A1672+1)))</f>
        <v/>
      </c>
      <c r="AE1672">
        <f>IF($B1672=0,0,IF(Inputs!$B$7="",0,COUNTIFS(Data!$E$10:$E$3209,"&gt;="&amp;$A1672,Data!$E$10:$E$3209,"&lt;"&amp;$A1672+1)))</f>
        <v/>
      </c>
      <c r="AF1672">
        <f>IF($B1672=0,0,IF(Inputs!$B$8="",0,COUNTIFS(Data!$I$10:$I$3209,"&gt;="&amp;$A1672,Data!$I$10:$I$3209,"&lt;"&amp;$A1672+1)))</f>
        <v/>
      </c>
      <c r="AG1672">
        <f>IF($B1672=0,0,IF(Inputs!$B$9="",0,COUNTIFS(Data!$M$10:$M$3209,"&gt;="&amp;$A1672,Data!$M$10:$M$3209,"&lt;"&amp;$A1672+1)))</f>
        <v/>
      </c>
      <c r="AH1672">
        <f>IF($B1672=0,0,IF(Inputs!$B$10="",0,COUNTIFS(Data!$Q$10:$Q$3209,"&gt;="&amp;$A1672,Data!$Q$10:$Q$3209,"&lt;"&amp;$A1672+1)))</f>
        <v/>
      </c>
    </row>
    <row r="1673">
      <c r="A1673" s="55">
        <f>MIN(Inputs!$C$15,$A1672+IF(WEEKDAY($A1672,2)=5,3,1))</f>
        <v/>
      </c>
      <c r="B1673">
        <f>IF($A1673&gt;$A1672,1,0)</f>
        <v/>
      </c>
      <c r="C1673" s="56">
        <f>IF($B1673=0,"",IF(Inputs!$B$6="","",IF($AD1673=0,C1672,SUMIFS(Data!$B$10:$B$3209,Data!$A$10:$A$3209,"&gt;="&amp;$A1673,Data!$A$10:$A$3209,"&lt;"&amp;$A1673+1)/$AD1673)))</f>
        <v/>
      </c>
      <c r="D1673" s="56">
        <f>IF($B1673=0,"",IF(Inputs!$B$7="","",IF($AE1673=0,D1672,SUMIFS(Data!$F$10:$F$3209,Data!$E$10:$E$3209,"&gt;="&amp;$A1673,Data!$E$10:$E$3209,"&lt;"&amp;$A1673+1)/$AE1673)))</f>
        <v/>
      </c>
      <c r="E1673" s="56">
        <f>IF($B1673=0,"",IF(Inputs!$B$8="","",IF($AF1673=0,E1672,SUMIFS(Data!$J$10:$J$3209,Data!$I$10:$I$3209,"&gt;="&amp;$A1673,Data!$I$10:$I$3209,"&lt;"&amp;$A1673+1)/$AF1673)))</f>
        <v/>
      </c>
      <c r="F1673" s="56">
        <f>IF($B1673=0,"",IF(Inputs!$B$9="","",IF($AG1673=0,F1672,SUMIFS(Data!$N$10:$N$3209,Data!$M$10:$M$3209,"&gt;="&amp;$A1673,Data!$M$10:$M$3209,"&lt;"&amp;$A1673+1)/$AG1673)))</f>
        <v/>
      </c>
      <c r="G1673" s="56">
        <f>IF($B1673=0,"",IF(Inputs!$B$10="","",IF($AH1673=0,G1672,SUMIFS(Data!$R$10:$R$3209,Data!$Q$10:$Q$3209,"&gt;="&amp;$A1673,Data!$Q$10:$Q$3209,"&lt;"&amp;$A1673+1)/$AH1673)))</f>
        <v/>
      </c>
      <c r="I1673" s="54">
        <f>IF($B1673=0,NA(),IF($C1673="",NA(),IF(C$8="",NA(),IF(N(C$8)=0,NA(),IF(Inputs!$C$17="Rebased to 100",$C1673/C$8*100,$C1673)))))</f>
        <v/>
      </c>
      <c r="J1673" s="54">
        <f>IF($B1673=0,NA(),IF($D1673="",NA(),IF(D$8="",NA(),IF(N(D$8)=0,NA(),IF(Inputs!$C$17="Rebased to 100",$D1673/D$8*100,$D1673)))))</f>
        <v/>
      </c>
      <c r="K1673" s="54">
        <f>IF($B1673=0,NA(),IF($E1673="",NA(),IF(E$8="",NA(),IF(N(E$8)=0,NA(),IF(Inputs!$C$17="Rebased to 100",$E1673/E$8*100,$E1673)))))</f>
        <v/>
      </c>
      <c r="L1673" s="54">
        <f>IF($B1673=0,NA(),IF($F1673="",NA(),IF(F$8="",NA(),IF(N(F$8)=0,NA(),IF(Inputs!$C$17="Rebased to 100",$F1673/F$8*100,$F1673)))))</f>
        <v/>
      </c>
      <c r="M1673" s="54">
        <f>IF($B1673=0,NA(),IF($G1673="",NA(),IF(G$8="",NA(),IF(N(G$8)=0,NA(),IF(Inputs!$C$17="Rebased to 100",$G1673/G$8*100,$G1673)))))</f>
        <v/>
      </c>
      <c r="N1673" s="54">
        <f>IF($B1673=0,NA(),IF(Inputs!$C$18&lt;&gt;"Yes",NA(),IF(COUNT(I1673,J1673,K1673,L1673,M1673)=0,NA(),MIN(I1673,J1673,K1673,L1673,M1673))))</f>
        <v/>
      </c>
      <c r="O1673" s="54">
        <f>IF($B1673=0,NA(),IF(Inputs!$B$24&lt;&gt;"Yes",NA(),Inputs!$D$24*Inputs!$C$35))</f>
        <v/>
      </c>
      <c r="P1673" s="54">
        <f>IF($B1673=0,NA(),IF(Inputs!$B$25&lt;&gt;"Yes",NA(),Inputs!$D$25*Inputs!$C$35))</f>
        <v/>
      </c>
      <c r="Q1673" s="54">
        <f>IF($B1673=0,NA(),IF(Inputs!$B$26&lt;&gt;"Yes",NA(),Inputs!$D$26*Inputs!$C$35))</f>
        <v/>
      </c>
      <c r="R1673" s="54">
        <f>IF($B1673=0,NA(),IF(Inputs!$B$27&lt;&gt;"Yes",NA(),Inputs!$D$27*Inputs!$C$35))</f>
        <v/>
      </c>
      <c r="S1673" s="54">
        <f>IF($B1673=0,NA(),IF(Inputs!$B$28&lt;&gt;"Yes",NA(),Inputs!$D$28*Inputs!$C$35))</f>
        <v/>
      </c>
      <c r="T1673" s="54">
        <f>IF($B1673=0,NA(),IF(Inputs!$B$29&lt;&gt;"Yes",NA(),Inputs!$D$29*Inputs!$C$35))</f>
        <v/>
      </c>
      <c r="AD1673">
        <f>IF($B1673=0,0,IF(Inputs!$B$6="",0,COUNTIFS(Data!$A$10:$A$3209,"&gt;="&amp;$A1673,Data!$A$10:$A$3209,"&lt;"&amp;$A1673+1)))</f>
        <v/>
      </c>
      <c r="AE1673">
        <f>IF($B1673=0,0,IF(Inputs!$B$7="",0,COUNTIFS(Data!$E$10:$E$3209,"&gt;="&amp;$A1673,Data!$E$10:$E$3209,"&lt;"&amp;$A1673+1)))</f>
        <v/>
      </c>
      <c r="AF1673">
        <f>IF($B1673=0,0,IF(Inputs!$B$8="",0,COUNTIFS(Data!$I$10:$I$3209,"&gt;="&amp;$A1673,Data!$I$10:$I$3209,"&lt;"&amp;$A1673+1)))</f>
        <v/>
      </c>
      <c r="AG1673">
        <f>IF($B1673=0,0,IF(Inputs!$B$9="",0,COUNTIFS(Data!$M$10:$M$3209,"&gt;="&amp;$A1673,Data!$M$10:$M$3209,"&lt;"&amp;$A1673+1)))</f>
        <v/>
      </c>
      <c r="AH1673">
        <f>IF($B1673=0,0,IF(Inputs!$B$10="",0,COUNTIFS(Data!$Q$10:$Q$3209,"&gt;="&amp;$A1673,Data!$Q$10:$Q$3209,"&lt;"&amp;$A1673+1)))</f>
        <v/>
      </c>
    </row>
    <row r="1674">
      <c r="A1674" s="55">
        <f>MIN(Inputs!$C$15,$A1673+IF(WEEKDAY($A1673,2)=5,3,1))</f>
        <v/>
      </c>
      <c r="B1674">
        <f>IF($A1674&gt;$A1673,1,0)</f>
        <v/>
      </c>
      <c r="C1674" s="56">
        <f>IF($B1674=0,"",IF(Inputs!$B$6="","",IF($AD1674=0,C1673,SUMIFS(Data!$B$10:$B$3209,Data!$A$10:$A$3209,"&gt;="&amp;$A1674,Data!$A$10:$A$3209,"&lt;"&amp;$A1674+1)/$AD1674)))</f>
        <v/>
      </c>
      <c r="D1674" s="56">
        <f>IF($B1674=0,"",IF(Inputs!$B$7="","",IF($AE1674=0,D1673,SUMIFS(Data!$F$10:$F$3209,Data!$E$10:$E$3209,"&gt;="&amp;$A1674,Data!$E$10:$E$3209,"&lt;"&amp;$A1674+1)/$AE1674)))</f>
        <v/>
      </c>
      <c r="E1674" s="56">
        <f>IF($B1674=0,"",IF(Inputs!$B$8="","",IF($AF1674=0,E1673,SUMIFS(Data!$J$10:$J$3209,Data!$I$10:$I$3209,"&gt;="&amp;$A1674,Data!$I$10:$I$3209,"&lt;"&amp;$A1674+1)/$AF1674)))</f>
        <v/>
      </c>
      <c r="F1674" s="56">
        <f>IF($B1674=0,"",IF(Inputs!$B$9="","",IF($AG1674=0,F1673,SUMIFS(Data!$N$10:$N$3209,Data!$M$10:$M$3209,"&gt;="&amp;$A1674,Data!$M$10:$M$3209,"&lt;"&amp;$A1674+1)/$AG1674)))</f>
        <v/>
      </c>
      <c r="G1674" s="56">
        <f>IF($B1674=0,"",IF(Inputs!$B$10="","",IF($AH1674=0,G1673,SUMIFS(Data!$R$10:$R$3209,Data!$Q$10:$Q$3209,"&gt;="&amp;$A1674,Data!$Q$10:$Q$3209,"&lt;"&amp;$A1674+1)/$AH1674)))</f>
        <v/>
      </c>
      <c r="I1674" s="54">
        <f>IF($B1674=0,NA(),IF($C1674="",NA(),IF(C$8="",NA(),IF(N(C$8)=0,NA(),IF(Inputs!$C$17="Rebased to 100",$C1674/C$8*100,$C1674)))))</f>
        <v/>
      </c>
      <c r="J1674" s="54">
        <f>IF($B1674=0,NA(),IF($D1674="",NA(),IF(D$8="",NA(),IF(N(D$8)=0,NA(),IF(Inputs!$C$17="Rebased to 100",$D1674/D$8*100,$D1674)))))</f>
        <v/>
      </c>
      <c r="K1674" s="54">
        <f>IF($B1674=0,NA(),IF($E1674="",NA(),IF(E$8="",NA(),IF(N(E$8)=0,NA(),IF(Inputs!$C$17="Rebased to 100",$E1674/E$8*100,$E1674)))))</f>
        <v/>
      </c>
      <c r="L1674" s="54">
        <f>IF($B1674=0,NA(),IF($F1674="",NA(),IF(F$8="",NA(),IF(N(F$8)=0,NA(),IF(Inputs!$C$17="Rebased to 100",$F1674/F$8*100,$F1674)))))</f>
        <v/>
      </c>
      <c r="M1674" s="54">
        <f>IF($B1674=0,NA(),IF($G1674="",NA(),IF(G$8="",NA(),IF(N(G$8)=0,NA(),IF(Inputs!$C$17="Rebased to 100",$G1674/G$8*100,$G1674)))))</f>
        <v/>
      </c>
      <c r="N1674" s="54">
        <f>IF($B1674=0,NA(),IF(Inputs!$C$18&lt;&gt;"Yes",NA(),IF(COUNT(I1674,J1674,K1674,L1674,M1674)=0,NA(),MIN(I1674,J1674,K1674,L1674,M1674))))</f>
        <v/>
      </c>
      <c r="O1674" s="54">
        <f>IF($B1674=0,NA(),IF(Inputs!$B$24&lt;&gt;"Yes",NA(),Inputs!$D$24*Inputs!$C$35))</f>
        <v/>
      </c>
      <c r="P1674" s="54">
        <f>IF($B1674=0,NA(),IF(Inputs!$B$25&lt;&gt;"Yes",NA(),Inputs!$D$25*Inputs!$C$35))</f>
        <v/>
      </c>
      <c r="Q1674" s="54">
        <f>IF($B1674=0,NA(),IF(Inputs!$B$26&lt;&gt;"Yes",NA(),Inputs!$D$26*Inputs!$C$35))</f>
        <v/>
      </c>
      <c r="R1674" s="54">
        <f>IF($B1674=0,NA(),IF(Inputs!$B$27&lt;&gt;"Yes",NA(),Inputs!$D$27*Inputs!$C$35))</f>
        <v/>
      </c>
      <c r="S1674" s="54">
        <f>IF($B1674=0,NA(),IF(Inputs!$B$28&lt;&gt;"Yes",NA(),Inputs!$D$28*Inputs!$C$35))</f>
        <v/>
      </c>
      <c r="T1674" s="54">
        <f>IF($B1674=0,NA(),IF(Inputs!$B$29&lt;&gt;"Yes",NA(),Inputs!$D$29*Inputs!$C$35))</f>
        <v/>
      </c>
      <c r="AD1674">
        <f>IF($B1674=0,0,IF(Inputs!$B$6="",0,COUNTIFS(Data!$A$10:$A$3209,"&gt;="&amp;$A1674,Data!$A$10:$A$3209,"&lt;"&amp;$A1674+1)))</f>
        <v/>
      </c>
      <c r="AE1674">
        <f>IF($B1674=0,0,IF(Inputs!$B$7="",0,COUNTIFS(Data!$E$10:$E$3209,"&gt;="&amp;$A1674,Data!$E$10:$E$3209,"&lt;"&amp;$A1674+1)))</f>
        <v/>
      </c>
      <c r="AF1674">
        <f>IF($B1674=0,0,IF(Inputs!$B$8="",0,COUNTIFS(Data!$I$10:$I$3209,"&gt;="&amp;$A1674,Data!$I$10:$I$3209,"&lt;"&amp;$A1674+1)))</f>
        <v/>
      </c>
      <c r="AG1674">
        <f>IF($B1674=0,0,IF(Inputs!$B$9="",0,COUNTIFS(Data!$M$10:$M$3209,"&gt;="&amp;$A1674,Data!$M$10:$M$3209,"&lt;"&amp;$A1674+1)))</f>
        <v/>
      </c>
      <c r="AH1674">
        <f>IF($B1674=0,0,IF(Inputs!$B$10="",0,COUNTIFS(Data!$Q$10:$Q$3209,"&gt;="&amp;$A1674,Data!$Q$10:$Q$3209,"&lt;"&amp;$A1674+1)))</f>
        <v/>
      </c>
    </row>
    <row r="1675">
      <c r="A1675" s="55">
        <f>MIN(Inputs!$C$15,$A1674+IF(WEEKDAY($A1674,2)=5,3,1))</f>
        <v/>
      </c>
      <c r="B1675">
        <f>IF($A1675&gt;$A1674,1,0)</f>
        <v/>
      </c>
      <c r="C1675" s="56">
        <f>IF($B1675=0,"",IF(Inputs!$B$6="","",IF($AD1675=0,C1674,SUMIFS(Data!$B$10:$B$3209,Data!$A$10:$A$3209,"&gt;="&amp;$A1675,Data!$A$10:$A$3209,"&lt;"&amp;$A1675+1)/$AD1675)))</f>
        <v/>
      </c>
      <c r="D1675" s="56">
        <f>IF($B1675=0,"",IF(Inputs!$B$7="","",IF($AE1675=0,D1674,SUMIFS(Data!$F$10:$F$3209,Data!$E$10:$E$3209,"&gt;="&amp;$A1675,Data!$E$10:$E$3209,"&lt;"&amp;$A1675+1)/$AE1675)))</f>
        <v/>
      </c>
      <c r="E1675" s="56">
        <f>IF($B1675=0,"",IF(Inputs!$B$8="","",IF($AF1675=0,E1674,SUMIFS(Data!$J$10:$J$3209,Data!$I$10:$I$3209,"&gt;="&amp;$A1675,Data!$I$10:$I$3209,"&lt;"&amp;$A1675+1)/$AF1675)))</f>
        <v/>
      </c>
      <c r="F1675" s="56">
        <f>IF($B1675=0,"",IF(Inputs!$B$9="","",IF($AG1675=0,F1674,SUMIFS(Data!$N$10:$N$3209,Data!$M$10:$M$3209,"&gt;="&amp;$A1675,Data!$M$10:$M$3209,"&lt;"&amp;$A1675+1)/$AG1675)))</f>
        <v/>
      </c>
      <c r="G1675" s="56">
        <f>IF($B1675=0,"",IF(Inputs!$B$10="","",IF($AH1675=0,G1674,SUMIFS(Data!$R$10:$R$3209,Data!$Q$10:$Q$3209,"&gt;="&amp;$A1675,Data!$Q$10:$Q$3209,"&lt;"&amp;$A1675+1)/$AH1675)))</f>
        <v/>
      </c>
      <c r="I1675" s="54">
        <f>IF($B1675=0,NA(),IF($C1675="",NA(),IF(C$8="",NA(),IF(N(C$8)=0,NA(),IF(Inputs!$C$17="Rebased to 100",$C1675/C$8*100,$C1675)))))</f>
        <v/>
      </c>
      <c r="J1675" s="54">
        <f>IF($B1675=0,NA(),IF($D1675="",NA(),IF(D$8="",NA(),IF(N(D$8)=0,NA(),IF(Inputs!$C$17="Rebased to 100",$D1675/D$8*100,$D1675)))))</f>
        <v/>
      </c>
      <c r="K1675" s="54">
        <f>IF($B1675=0,NA(),IF($E1675="",NA(),IF(E$8="",NA(),IF(N(E$8)=0,NA(),IF(Inputs!$C$17="Rebased to 100",$E1675/E$8*100,$E1675)))))</f>
        <v/>
      </c>
      <c r="L1675" s="54">
        <f>IF($B1675=0,NA(),IF($F1675="",NA(),IF(F$8="",NA(),IF(N(F$8)=0,NA(),IF(Inputs!$C$17="Rebased to 100",$F1675/F$8*100,$F1675)))))</f>
        <v/>
      </c>
      <c r="M1675" s="54">
        <f>IF($B1675=0,NA(),IF($G1675="",NA(),IF(G$8="",NA(),IF(N(G$8)=0,NA(),IF(Inputs!$C$17="Rebased to 100",$G1675/G$8*100,$G1675)))))</f>
        <v/>
      </c>
      <c r="N1675" s="54">
        <f>IF($B1675=0,NA(),IF(Inputs!$C$18&lt;&gt;"Yes",NA(),IF(COUNT(I1675,J1675,K1675,L1675,M1675)=0,NA(),MIN(I1675,J1675,K1675,L1675,M1675))))</f>
        <v/>
      </c>
      <c r="O1675" s="54">
        <f>IF($B1675=0,NA(),IF(Inputs!$B$24&lt;&gt;"Yes",NA(),Inputs!$D$24*Inputs!$C$35))</f>
        <v/>
      </c>
      <c r="P1675" s="54">
        <f>IF($B1675=0,NA(),IF(Inputs!$B$25&lt;&gt;"Yes",NA(),Inputs!$D$25*Inputs!$C$35))</f>
        <v/>
      </c>
      <c r="Q1675" s="54">
        <f>IF($B1675=0,NA(),IF(Inputs!$B$26&lt;&gt;"Yes",NA(),Inputs!$D$26*Inputs!$C$35))</f>
        <v/>
      </c>
      <c r="R1675" s="54">
        <f>IF($B1675=0,NA(),IF(Inputs!$B$27&lt;&gt;"Yes",NA(),Inputs!$D$27*Inputs!$C$35))</f>
        <v/>
      </c>
      <c r="S1675" s="54">
        <f>IF($B1675=0,NA(),IF(Inputs!$B$28&lt;&gt;"Yes",NA(),Inputs!$D$28*Inputs!$C$35))</f>
        <v/>
      </c>
      <c r="T1675" s="54">
        <f>IF($B1675=0,NA(),IF(Inputs!$B$29&lt;&gt;"Yes",NA(),Inputs!$D$29*Inputs!$C$35))</f>
        <v/>
      </c>
      <c r="AD1675">
        <f>IF($B1675=0,0,IF(Inputs!$B$6="",0,COUNTIFS(Data!$A$10:$A$3209,"&gt;="&amp;$A1675,Data!$A$10:$A$3209,"&lt;"&amp;$A1675+1)))</f>
        <v/>
      </c>
      <c r="AE1675">
        <f>IF($B1675=0,0,IF(Inputs!$B$7="",0,COUNTIFS(Data!$E$10:$E$3209,"&gt;="&amp;$A1675,Data!$E$10:$E$3209,"&lt;"&amp;$A1675+1)))</f>
        <v/>
      </c>
      <c r="AF1675">
        <f>IF($B1675=0,0,IF(Inputs!$B$8="",0,COUNTIFS(Data!$I$10:$I$3209,"&gt;="&amp;$A1675,Data!$I$10:$I$3209,"&lt;"&amp;$A1675+1)))</f>
        <v/>
      </c>
      <c r="AG1675">
        <f>IF($B1675=0,0,IF(Inputs!$B$9="",0,COUNTIFS(Data!$M$10:$M$3209,"&gt;="&amp;$A1675,Data!$M$10:$M$3209,"&lt;"&amp;$A1675+1)))</f>
        <v/>
      </c>
      <c r="AH1675">
        <f>IF($B1675=0,0,IF(Inputs!$B$10="",0,COUNTIFS(Data!$Q$10:$Q$3209,"&gt;="&amp;$A1675,Data!$Q$10:$Q$3209,"&lt;"&amp;$A1675+1)))</f>
        <v/>
      </c>
    </row>
    <row r="1676">
      <c r="A1676" s="55">
        <f>MIN(Inputs!$C$15,$A1675+IF(WEEKDAY($A1675,2)=5,3,1))</f>
        <v/>
      </c>
      <c r="B1676">
        <f>IF($A1676&gt;$A1675,1,0)</f>
        <v/>
      </c>
      <c r="C1676" s="56">
        <f>IF($B1676=0,"",IF(Inputs!$B$6="","",IF($AD1676=0,C1675,SUMIFS(Data!$B$10:$B$3209,Data!$A$10:$A$3209,"&gt;="&amp;$A1676,Data!$A$10:$A$3209,"&lt;"&amp;$A1676+1)/$AD1676)))</f>
        <v/>
      </c>
      <c r="D1676" s="56">
        <f>IF($B1676=0,"",IF(Inputs!$B$7="","",IF($AE1676=0,D1675,SUMIFS(Data!$F$10:$F$3209,Data!$E$10:$E$3209,"&gt;="&amp;$A1676,Data!$E$10:$E$3209,"&lt;"&amp;$A1676+1)/$AE1676)))</f>
        <v/>
      </c>
      <c r="E1676" s="56">
        <f>IF($B1676=0,"",IF(Inputs!$B$8="","",IF($AF1676=0,E1675,SUMIFS(Data!$J$10:$J$3209,Data!$I$10:$I$3209,"&gt;="&amp;$A1676,Data!$I$10:$I$3209,"&lt;"&amp;$A1676+1)/$AF1676)))</f>
        <v/>
      </c>
      <c r="F1676" s="56">
        <f>IF($B1676=0,"",IF(Inputs!$B$9="","",IF($AG1676=0,F1675,SUMIFS(Data!$N$10:$N$3209,Data!$M$10:$M$3209,"&gt;="&amp;$A1676,Data!$M$10:$M$3209,"&lt;"&amp;$A1676+1)/$AG1676)))</f>
        <v/>
      </c>
      <c r="G1676" s="56">
        <f>IF($B1676=0,"",IF(Inputs!$B$10="","",IF($AH1676=0,G1675,SUMIFS(Data!$R$10:$R$3209,Data!$Q$10:$Q$3209,"&gt;="&amp;$A1676,Data!$Q$10:$Q$3209,"&lt;"&amp;$A1676+1)/$AH1676)))</f>
        <v/>
      </c>
      <c r="I1676" s="54">
        <f>IF($B1676=0,NA(),IF($C1676="",NA(),IF(C$8="",NA(),IF(N(C$8)=0,NA(),IF(Inputs!$C$17="Rebased to 100",$C1676/C$8*100,$C1676)))))</f>
        <v/>
      </c>
      <c r="J1676" s="54">
        <f>IF($B1676=0,NA(),IF($D1676="",NA(),IF(D$8="",NA(),IF(N(D$8)=0,NA(),IF(Inputs!$C$17="Rebased to 100",$D1676/D$8*100,$D1676)))))</f>
        <v/>
      </c>
      <c r="K1676" s="54">
        <f>IF($B1676=0,NA(),IF($E1676="",NA(),IF(E$8="",NA(),IF(N(E$8)=0,NA(),IF(Inputs!$C$17="Rebased to 100",$E1676/E$8*100,$E1676)))))</f>
        <v/>
      </c>
      <c r="L1676" s="54">
        <f>IF($B1676=0,NA(),IF($F1676="",NA(),IF(F$8="",NA(),IF(N(F$8)=0,NA(),IF(Inputs!$C$17="Rebased to 100",$F1676/F$8*100,$F1676)))))</f>
        <v/>
      </c>
      <c r="M1676" s="54">
        <f>IF($B1676=0,NA(),IF($G1676="",NA(),IF(G$8="",NA(),IF(N(G$8)=0,NA(),IF(Inputs!$C$17="Rebased to 100",$G1676/G$8*100,$G1676)))))</f>
        <v/>
      </c>
      <c r="N1676" s="54">
        <f>IF($B1676=0,NA(),IF(Inputs!$C$18&lt;&gt;"Yes",NA(),IF(COUNT(I1676,J1676,K1676,L1676,M1676)=0,NA(),MIN(I1676,J1676,K1676,L1676,M1676))))</f>
        <v/>
      </c>
      <c r="O1676" s="54">
        <f>IF($B1676=0,NA(),IF(Inputs!$B$24&lt;&gt;"Yes",NA(),Inputs!$D$24*Inputs!$C$35))</f>
        <v/>
      </c>
      <c r="P1676" s="54">
        <f>IF($B1676=0,NA(),IF(Inputs!$B$25&lt;&gt;"Yes",NA(),Inputs!$D$25*Inputs!$C$35))</f>
        <v/>
      </c>
      <c r="Q1676" s="54">
        <f>IF($B1676=0,NA(),IF(Inputs!$B$26&lt;&gt;"Yes",NA(),Inputs!$D$26*Inputs!$C$35))</f>
        <v/>
      </c>
      <c r="R1676" s="54">
        <f>IF($B1676=0,NA(),IF(Inputs!$B$27&lt;&gt;"Yes",NA(),Inputs!$D$27*Inputs!$C$35))</f>
        <v/>
      </c>
      <c r="S1676" s="54">
        <f>IF($B1676=0,NA(),IF(Inputs!$B$28&lt;&gt;"Yes",NA(),Inputs!$D$28*Inputs!$C$35))</f>
        <v/>
      </c>
      <c r="T1676" s="54">
        <f>IF($B1676=0,NA(),IF(Inputs!$B$29&lt;&gt;"Yes",NA(),Inputs!$D$29*Inputs!$C$35))</f>
        <v/>
      </c>
      <c r="AD1676">
        <f>IF($B1676=0,0,IF(Inputs!$B$6="",0,COUNTIFS(Data!$A$10:$A$3209,"&gt;="&amp;$A1676,Data!$A$10:$A$3209,"&lt;"&amp;$A1676+1)))</f>
        <v/>
      </c>
      <c r="AE1676">
        <f>IF($B1676=0,0,IF(Inputs!$B$7="",0,COUNTIFS(Data!$E$10:$E$3209,"&gt;="&amp;$A1676,Data!$E$10:$E$3209,"&lt;"&amp;$A1676+1)))</f>
        <v/>
      </c>
      <c r="AF1676">
        <f>IF($B1676=0,0,IF(Inputs!$B$8="",0,COUNTIFS(Data!$I$10:$I$3209,"&gt;="&amp;$A1676,Data!$I$10:$I$3209,"&lt;"&amp;$A1676+1)))</f>
        <v/>
      </c>
      <c r="AG1676">
        <f>IF($B1676=0,0,IF(Inputs!$B$9="",0,COUNTIFS(Data!$M$10:$M$3209,"&gt;="&amp;$A1676,Data!$M$10:$M$3209,"&lt;"&amp;$A1676+1)))</f>
        <v/>
      </c>
      <c r="AH1676">
        <f>IF($B1676=0,0,IF(Inputs!$B$10="",0,COUNTIFS(Data!$Q$10:$Q$3209,"&gt;="&amp;$A1676,Data!$Q$10:$Q$3209,"&lt;"&amp;$A1676+1)))</f>
        <v/>
      </c>
    </row>
    <row r="1677">
      <c r="A1677" s="55">
        <f>MIN(Inputs!$C$15,$A1676+IF(WEEKDAY($A1676,2)=5,3,1))</f>
        <v/>
      </c>
      <c r="B1677">
        <f>IF($A1677&gt;$A1676,1,0)</f>
        <v/>
      </c>
      <c r="C1677" s="56">
        <f>IF($B1677=0,"",IF(Inputs!$B$6="","",IF($AD1677=0,C1676,SUMIFS(Data!$B$10:$B$3209,Data!$A$10:$A$3209,"&gt;="&amp;$A1677,Data!$A$10:$A$3209,"&lt;"&amp;$A1677+1)/$AD1677)))</f>
        <v/>
      </c>
      <c r="D1677" s="56">
        <f>IF($B1677=0,"",IF(Inputs!$B$7="","",IF($AE1677=0,D1676,SUMIFS(Data!$F$10:$F$3209,Data!$E$10:$E$3209,"&gt;="&amp;$A1677,Data!$E$10:$E$3209,"&lt;"&amp;$A1677+1)/$AE1677)))</f>
        <v/>
      </c>
      <c r="E1677" s="56">
        <f>IF($B1677=0,"",IF(Inputs!$B$8="","",IF($AF1677=0,E1676,SUMIFS(Data!$J$10:$J$3209,Data!$I$10:$I$3209,"&gt;="&amp;$A1677,Data!$I$10:$I$3209,"&lt;"&amp;$A1677+1)/$AF1677)))</f>
        <v/>
      </c>
      <c r="F1677" s="56">
        <f>IF($B1677=0,"",IF(Inputs!$B$9="","",IF($AG1677=0,F1676,SUMIFS(Data!$N$10:$N$3209,Data!$M$10:$M$3209,"&gt;="&amp;$A1677,Data!$M$10:$M$3209,"&lt;"&amp;$A1677+1)/$AG1677)))</f>
        <v/>
      </c>
      <c r="G1677" s="56">
        <f>IF($B1677=0,"",IF(Inputs!$B$10="","",IF($AH1677=0,G1676,SUMIFS(Data!$R$10:$R$3209,Data!$Q$10:$Q$3209,"&gt;="&amp;$A1677,Data!$Q$10:$Q$3209,"&lt;"&amp;$A1677+1)/$AH1677)))</f>
        <v/>
      </c>
      <c r="I1677" s="54">
        <f>IF($B1677=0,NA(),IF($C1677="",NA(),IF(C$8="",NA(),IF(N(C$8)=0,NA(),IF(Inputs!$C$17="Rebased to 100",$C1677/C$8*100,$C1677)))))</f>
        <v/>
      </c>
      <c r="J1677" s="54">
        <f>IF($B1677=0,NA(),IF($D1677="",NA(),IF(D$8="",NA(),IF(N(D$8)=0,NA(),IF(Inputs!$C$17="Rebased to 100",$D1677/D$8*100,$D1677)))))</f>
        <v/>
      </c>
      <c r="K1677" s="54">
        <f>IF($B1677=0,NA(),IF($E1677="",NA(),IF(E$8="",NA(),IF(N(E$8)=0,NA(),IF(Inputs!$C$17="Rebased to 100",$E1677/E$8*100,$E1677)))))</f>
        <v/>
      </c>
      <c r="L1677" s="54">
        <f>IF($B1677=0,NA(),IF($F1677="",NA(),IF(F$8="",NA(),IF(N(F$8)=0,NA(),IF(Inputs!$C$17="Rebased to 100",$F1677/F$8*100,$F1677)))))</f>
        <v/>
      </c>
      <c r="M1677" s="54">
        <f>IF($B1677=0,NA(),IF($G1677="",NA(),IF(G$8="",NA(),IF(N(G$8)=0,NA(),IF(Inputs!$C$17="Rebased to 100",$G1677/G$8*100,$G1677)))))</f>
        <v/>
      </c>
      <c r="N1677" s="54">
        <f>IF($B1677=0,NA(),IF(Inputs!$C$18&lt;&gt;"Yes",NA(),IF(COUNT(I1677,J1677,K1677,L1677,M1677)=0,NA(),MIN(I1677,J1677,K1677,L1677,M1677))))</f>
        <v/>
      </c>
      <c r="O1677" s="54">
        <f>IF($B1677=0,NA(),IF(Inputs!$B$24&lt;&gt;"Yes",NA(),Inputs!$D$24*Inputs!$C$35))</f>
        <v/>
      </c>
      <c r="P1677" s="54">
        <f>IF($B1677=0,NA(),IF(Inputs!$B$25&lt;&gt;"Yes",NA(),Inputs!$D$25*Inputs!$C$35))</f>
        <v/>
      </c>
      <c r="Q1677" s="54">
        <f>IF($B1677=0,NA(),IF(Inputs!$B$26&lt;&gt;"Yes",NA(),Inputs!$D$26*Inputs!$C$35))</f>
        <v/>
      </c>
      <c r="R1677" s="54">
        <f>IF($B1677=0,NA(),IF(Inputs!$B$27&lt;&gt;"Yes",NA(),Inputs!$D$27*Inputs!$C$35))</f>
        <v/>
      </c>
      <c r="S1677" s="54">
        <f>IF($B1677=0,NA(),IF(Inputs!$B$28&lt;&gt;"Yes",NA(),Inputs!$D$28*Inputs!$C$35))</f>
        <v/>
      </c>
      <c r="T1677" s="54">
        <f>IF($B1677=0,NA(),IF(Inputs!$B$29&lt;&gt;"Yes",NA(),Inputs!$D$29*Inputs!$C$35))</f>
        <v/>
      </c>
      <c r="AD1677">
        <f>IF($B1677=0,0,IF(Inputs!$B$6="",0,COUNTIFS(Data!$A$10:$A$3209,"&gt;="&amp;$A1677,Data!$A$10:$A$3209,"&lt;"&amp;$A1677+1)))</f>
        <v/>
      </c>
      <c r="AE1677">
        <f>IF($B1677=0,0,IF(Inputs!$B$7="",0,COUNTIFS(Data!$E$10:$E$3209,"&gt;="&amp;$A1677,Data!$E$10:$E$3209,"&lt;"&amp;$A1677+1)))</f>
        <v/>
      </c>
      <c r="AF1677">
        <f>IF($B1677=0,0,IF(Inputs!$B$8="",0,COUNTIFS(Data!$I$10:$I$3209,"&gt;="&amp;$A1677,Data!$I$10:$I$3209,"&lt;"&amp;$A1677+1)))</f>
        <v/>
      </c>
      <c r="AG1677">
        <f>IF($B1677=0,0,IF(Inputs!$B$9="",0,COUNTIFS(Data!$M$10:$M$3209,"&gt;="&amp;$A1677,Data!$M$10:$M$3209,"&lt;"&amp;$A1677+1)))</f>
        <v/>
      </c>
      <c r="AH1677">
        <f>IF($B1677=0,0,IF(Inputs!$B$10="",0,COUNTIFS(Data!$Q$10:$Q$3209,"&gt;="&amp;$A1677,Data!$Q$10:$Q$3209,"&lt;"&amp;$A1677+1)))</f>
        <v/>
      </c>
    </row>
    <row r="1678">
      <c r="A1678" s="55">
        <f>MIN(Inputs!$C$15,$A1677+IF(WEEKDAY($A1677,2)=5,3,1))</f>
        <v/>
      </c>
      <c r="B1678">
        <f>IF($A1678&gt;$A1677,1,0)</f>
        <v/>
      </c>
      <c r="C1678" s="56">
        <f>IF($B1678=0,"",IF(Inputs!$B$6="","",IF($AD1678=0,C1677,SUMIFS(Data!$B$10:$B$3209,Data!$A$10:$A$3209,"&gt;="&amp;$A1678,Data!$A$10:$A$3209,"&lt;"&amp;$A1678+1)/$AD1678)))</f>
        <v/>
      </c>
      <c r="D1678" s="56">
        <f>IF($B1678=0,"",IF(Inputs!$B$7="","",IF($AE1678=0,D1677,SUMIFS(Data!$F$10:$F$3209,Data!$E$10:$E$3209,"&gt;="&amp;$A1678,Data!$E$10:$E$3209,"&lt;"&amp;$A1678+1)/$AE1678)))</f>
        <v/>
      </c>
      <c r="E1678" s="56">
        <f>IF($B1678=0,"",IF(Inputs!$B$8="","",IF($AF1678=0,E1677,SUMIFS(Data!$J$10:$J$3209,Data!$I$10:$I$3209,"&gt;="&amp;$A1678,Data!$I$10:$I$3209,"&lt;"&amp;$A1678+1)/$AF1678)))</f>
        <v/>
      </c>
      <c r="F1678" s="56">
        <f>IF($B1678=0,"",IF(Inputs!$B$9="","",IF($AG1678=0,F1677,SUMIFS(Data!$N$10:$N$3209,Data!$M$10:$M$3209,"&gt;="&amp;$A1678,Data!$M$10:$M$3209,"&lt;"&amp;$A1678+1)/$AG1678)))</f>
        <v/>
      </c>
      <c r="G1678" s="56">
        <f>IF($B1678=0,"",IF(Inputs!$B$10="","",IF($AH1678=0,G1677,SUMIFS(Data!$R$10:$R$3209,Data!$Q$10:$Q$3209,"&gt;="&amp;$A1678,Data!$Q$10:$Q$3209,"&lt;"&amp;$A1678+1)/$AH1678)))</f>
        <v/>
      </c>
      <c r="I1678" s="54">
        <f>IF($B1678=0,NA(),IF($C1678="",NA(),IF(C$8="",NA(),IF(N(C$8)=0,NA(),IF(Inputs!$C$17="Rebased to 100",$C1678/C$8*100,$C1678)))))</f>
        <v/>
      </c>
      <c r="J1678" s="54">
        <f>IF($B1678=0,NA(),IF($D1678="",NA(),IF(D$8="",NA(),IF(N(D$8)=0,NA(),IF(Inputs!$C$17="Rebased to 100",$D1678/D$8*100,$D1678)))))</f>
        <v/>
      </c>
      <c r="K1678" s="54">
        <f>IF($B1678=0,NA(),IF($E1678="",NA(),IF(E$8="",NA(),IF(N(E$8)=0,NA(),IF(Inputs!$C$17="Rebased to 100",$E1678/E$8*100,$E1678)))))</f>
        <v/>
      </c>
      <c r="L1678" s="54">
        <f>IF($B1678=0,NA(),IF($F1678="",NA(),IF(F$8="",NA(),IF(N(F$8)=0,NA(),IF(Inputs!$C$17="Rebased to 100",$F1678/F$8*100,$F1678)))))</f>
        <v/>
      </c>
      <c r="M1678" s="54">
        <f>IF($B1678=0,NA(),IF($G1678="",NA(),IF(G$8="",NA(),IF(N(G$8)=0,NA(),IF(Inputs!$C$17="Rebased to 100",$G1678/G$8*100,$G1678)))))</f>
        <v/>
      </c>
      <c r="N1678" s="54">
        <f>IF($B1678=0,NA(),IF(Inputs!$C$18&lt;&gt;"Yes",NA(),IF(COUNT(I1678,J1678,K1678,L1678,M1678)=0,NA(),MIN(I1678,J1678,K1678,L1678,M1678))))</f>
        <v/>
      </c>
      <c r="O1678" s="54">
        <f>IF($B1678=0,NA(),IF(Inputs!$B$24&lt;&gt;"Yes",NA(),Inputs!$D$24*Inputs!$C$35))</f>
        <v/>
      </c>
      <c r="P1678" s="54">
        <f>IF($B1678=0,NA(),IF(Inputs!$B$25&lt;&gt;"Yes",NA(),Inputs!$D$25*Inputs!$C$35))</f>
        <v/>
      </c>
      <c r="Q1678" s="54">
        <f>IF($B1678=0,NA(),IF(Inputs!$B$26&lt;&gt;"Yes",NA(),Inputs!$D$26*Inputs!$C$35))</f>
        <v/>
      </c>
      <c r="R1678" s="54">
        <f>IF($B1678=0,NA(),IF(Inputs!$B$27&lt;&gt;"Yes",NA(),Inputs!$D$27*Inputs!$C$35))</f>
        <v/>
      </c>
      <c r="S1678" s="54">
        <f>IF($B1678=0,NA(),IF(Inputs!$B$28&lt;&gt;"Yes",NA(),Inputs!$D$28*Inputs!$C$35))</f>
        <v/>
      </c>
      <c r="T1678" s="54">
        <f>IF($B1678=0,NA(),IF(Inputs!$B$29&lt;&gt;"Yes",NA(),Inputs!$D$29*Inputs!$C$35))</f>
        <v/>
      </c>
      <c r="AD1678">
        <f>IF($B1678=0,0,IF(Inputs!$B$6="",0,COUNTIFS(Data!$A$10:$A$3209,"&gt;="&amp;$A1678,Data!$A$10:$A$3209,"&lt;"&amp;$A1678+1)))</f>
        <v/>
      </c>
      <c r="AE1678">
        <f>IF($B1678=0,0,IF(Inputs!$B$7="",0,COUNTIFS(Data!$E$10:$E$3209,"&gt;="&amp;$A1678,Data!$E$10:$E$3209,"&lt;"&amp;$A1678+1)))</f>
        <v/>
      </c>
      <c r="AF1678">
        <f>IF($B1678=0,0,IF(Inputs!$B$8="",0,COUNTIFS(Data!$I$10:$I$3209,"&gt;="&amp;$A1678,Data!$I$10:$I$3209,"&lt;"&amp;$A1678+1)))</f>
        <v/>
      </c>
      <c r="AG1678">
        <f>IF($B1678=0,0,IF(Inputs!$B$9="",0,COUNTIFS(Data!$M$10:$M$3209,"&gt;="&amp;$A1678,Data!$M$10:$M$3209,"&lt;"&amp;$A1678+1)))</f>
        <v/>
      </c>
      <c r="AH1678">
        <f>IF($B1678=0,0,IF(Inputs!$B$10="",0,COUNTIFS(Data!$Q$10:$Q$3209,"&gt;="&amp;$A1678,Data!$Q$10:$Q$3209,"&lt;"&amp;$A1678+1)))</f>
        <v/>
      </c>
    </row>
    <row r="1679">
      <c r="A1679" s="55">
        <f>MIN(Inputs!$C$15,$A1678+IF(WEEKDAY($A1678,2)=5,3,1))</f>
        <v/>
      </c>
      <c r="B1679">
        <f>IF($A1679&gt;$A1678,1,0)</f>
        <v/>
      </c>
      <c r="C1679" s="56">
        <f>IF($B1679=0,"",IF(Inputs!$B$6="","",IF($AD1679=0,C1678,SUMIFS(Data!$B$10:$B$3209,Data!$A$10:$A$3209,"&gt;="&amp;$A1679,Data!$A$10:$A$3209,"&lt;"&amp;$A1679+1)/$AD1679)))</f>
        <v/>
      </c>
      <c r="D1679" s="56">
        <f>IF($B1679=0,"",IF(Inputs!$B$7="","",IF($AE1679=0,D1678,SUMIFS(Data!$F$10:$F$3209,Data!$E$10:$E$3209,"&gt;="&amp;$A1679,Data!$E$10:$E$3209,"&lt;"&amp;$A1679+1)/$AE1679)))</f>
        <v/>
      </c>
      <c r="E1679" s="56">
        <f>IF($B1679=0,"",IF(Inputs!$B$8="","",IF($AF1679=0,E1678,SUMIFS(Data!$J$10:$J$3209,Data!$I$10:$I$3209,"&gt;="&amp;$A1679,Data!$I$10:$I$3209,"&lt;"&amp;$A1679+1)/$AF1679)))</f>
        <v/>
      </c>
      <c r="F1679" s="56">
        <f>IF($B1679=0,"",IF(Inputs!$B$9="","",IF($AG1679=0,F1678,SUMIFS(Data!$N$10:$N$3209,Data!$M$10:$M$3209,"&gt;="&amp;$A1679,Data!$M$10:$M$3209,"&lt;"&amp;$A1679+1)/$AG1679)))</f>
        <v/>
      </c>
      <c r="G1679" s="56">
        <f>IF($B1679=0,"",IF(Inputs!$B$10="","",IF($AH1679=0,G1678,SUMIFS(Data!$R$10:$R$3209,Data!$Q$10:$Q$3209,"&gt;="&amp;$A1679,Data!$Q$10:$Q$3209,"&lt;"&amp;$A1679+1)/$AH1679)))</f>
        <v/>
      </c>
      <c r="I1679" s="54">
        <f>IF($B1679=0,NA(),IF($C1679="",NA(),IF(C$8="",NA(),IF(N(C$8)=0,NA(),IF(Inputs!$C$17="Rebased to 100",$C1679/C$8*100,$C1679)))))</f>
        <v/>
      </c>
      <c r="J1679" s="54">
        <f>IF($B1679=0,NA(),IF($D1679="",NA(),IF(D$8="",NA(),IF(N(D$8)=0,NA(),IF(Inputs!$C$17="Rebased to 100",$D1679/D$8*100,$D1679)))))</f>
        <v/>
      </c>
      <c r="K1679" s="54">
        <f>IF($B1679=0,NA(),IF($E1679="",NA(),IF(E$8="",NA(),IF(N(E$8)=0,NA(),IF(Inputs!$C$17="Rebased to 100",$E1679/E$8*100,$E1679)))))</f>
        <v/>
      </c>
      <c r="L1679" s="54">
        <f>IF($B1679=0,NA(),IF($F1679="",NA(),IF(F$8="",NA(),IF(N(F$8)=0,NA(),IF(Inputs!$C$17="Rebased to 100",$F1679/F$8*100,$F1679)))))</f>
        <v/>
      </c>
      <c r="M1679" s="54">
        <f>IF($B1679=0,NA(),IF($G1679="",NA(),IF(G$8="",NA(),IF(N(G$8)=0,NA(),IF(Inputs!$C$17="Rebased to 100",$G1679/G$8*100,$G1679)))))</f>
        <v/>
      </c>
      <c r="N1679" s="54">
        <f>IF($B1679=0,NA(),IF(Inputs!$C$18&lt;&gt;"Yes",NA(),IF(COUNT(I1679,J1679,K1679,L1679,M1679)=0,NA(),MIN(I1679,J1679,K1679,L1679,M1679))))</f>
        <v/>
      </c>
      <c r="O1679" s="54">
        <f>IF($B1679=0,NA(),IF(Inputs!$B$24&lt;&gt;"Yes",NA(),Inputs!$D$24*Inputs!$C$35))</f>
        <v/>
      </c>
      <c r="P1679" s="54">
        <f>IF($B1679=0,NA(),IF(Inputs!$B$25&lt;&gt;"Yes",NA(),Inputs!$D$25*Inputs!$C$35))</f>
        <v/>
      </c>
      <c r="Q1679" s="54">
        <f>IF($B1679=0,NA(),IF(Inputs!$B$26&lt;&gt;"Yes",NA(),Inputs!$D$26*Inputs!$C$35))</f>
        <v/>
      </c>
      <c r="R1679" s="54">
        <f>IF($B1679=0,NA(),IF(Inputs!$B$27&lt;&gt;"Yes",NA(),Inputs!$D$27*Inputs!$C$35))</f>
        <v/>
      </c>
      <c r="S1679" s="54">
        <f>IF($B1679=0,NA(),IF(Inputs!$B$28&lt;&gt;"Yes",NA(),Inputs!$D$28*Inputs!$C$35))</f>
        <v/>
      </c>
      <c r="T1679" s="54">
        <f>IF($B1679=0,NA(),IF(Inputs!$B$29&lt;&gt;"Yes",NA(),Inputs!$D$29*Inputs!$C$35))</f>
        <v/>
      </c>
      <c r="AD1679">
        <f>IF($B1679=0,0,IF(Inputs!$B$6="",0,COUNTIFS(Data!$A$10:$A$3209,"&gt;="&amp;$A1679,Data!$A$10:$A$3209,"&lt;"&amp;$A1679+1)))</f>
        <v/>
      </c>
      <c r="AE1679">
        <f>IF($B1679=0,0,IF(Inputs!$B$7="",0,COUNTIFS(Data!$E$10:$E$3209,"&gt;="&amp;$A1679,Data!$E$10:$E$3209,"&lt;"&amp;$A1679+1)))</f>
        <v/>
      </c>
      <c r="AF1679">
        <f>IF($B1679=0,0,IF(Inputs!$B$8="",0,COUNTIFS(Data!$I$10:$I$3209,"&gt;="&amp;$A1679,Data!$I$10:$I$3209,"&lt;"&amp;$A1679+1)))</f>
        <v/>
      </c>
      <c r="AG1679">
        <f>IF($B1679=0,0,IF(Inputs!$B$9="",0,COUNTIFS(Data!$M$10:$M$3209,"&gt;="&amp;$A1679,Data!$M$10:$M$3209,"&lt;"&amp;$A1679+1)))</f>
        <v/>
      </c>
      <c r="AH1679">
        <f>IF($B1679=0,0,IF(Inputs!$B$10="",0,COUNTIFS(Data!$Q$10:$Q$3209,"&gt;="&amp;$A1679,Data!$Q$10:$Q$3209,"&lt;"&amp;$A1679+1)))</f>
        <v/>
      </c>
    </row>
    <row r="1680">
      <c r="A1680" s="55">
        <f>MIN(Inputs!$C$15,$A1679+IF(WEEKDAY($A1679,2)=5,3,1))</f>
        <v/>
      </c>
      <c r="B1680">
        <f>IF($A1680&gt;$A1679,1,0)</f>
        <v/>
      </c>
      <c r="C1680" s="56">
        <f>IF($B1680=0,"",IF(Inputs!$B$6="","",IF($AD1680=0,C1679,SUMIFS(Data!$B$10:$B$3209,Data!$A$10:$A$3209,"&gt;="&amp;$A1680,Data!$A$10:$A$3209,"&lt;"&amp;$A1680+1)/$AD1680)))</f>
        <v/>
      </c>
      <c r="D1680" s="56">
        <f>IF($B1680=0,"",IF(Inputs!$B$7="","",IF($AE1680=0,D1679,SUMIFS(Data!$F$10:$F$3209,Data!$E$10:$E$3209,"&gt;="&amp;$A1680,Data!$E$10:$E$3209,"&lt;"&amp;$A1680+1)/$AE1680)))</f>
        <v/>
      </c>
      <c r="E1680" s="56">
        <f>IF($B1680=0,"",IF(Inputs!$B$8="","",IF($AF1680=0,E1679,SUMIFS(Data!$J$10:$J$3209,Data!$I$10:$I$3209,"&gt;="&amp;$A1680,Data!$I$10:$I$3209,"&lt;"&amp;$A1680+1)/$AF1680)))</f>
        <v/>
      </c>
      <c r="F1680" s="56">
        <f>IF($B1680=0,"",IF(Inputs!$B$9="","",IF($AG1680=0,F1679,SUMIFS(Data!$N$10:$N$3209,Data!$M$10:$M$3209,"&gt;="&amp;$A1680,Data!$M$10:$M$3209,"&lt;"&amp;$A1680+1)/$AG1680)))</f>
        <v/>
      </c>
      <c r="G1680" s="56">
        <f>IF($B1680=0,"",IF(Inputs!$B$10="","",IF($AH1680=0,G1679,SUMIFS(Data!$R$10:$R$3209,Data!$Q$10:$Q$3209,"&gt;="&amp;$A1680,Data!$Q$10:$Q$3209,"&lt;"&amp;$A1680+1)/$AH1680)))</f>
        <v/>
      </c>
      <c r="I1680" s="54">
        <f>IF($B1680=0,NA(),IF($C1680="",NA(),IF(C$8="",NA(),IF(N(C$8)=0,NA(),IF(Inputs!$C$17="Rebased to 100",$C1680/C$8*100,$C1680)))))</f>
        <v/>
      </c>
      <c r="J1680" s="54">
        <f>IF($B1680=0,NA(),IF($D1680="",NA(),IF(D$8="",NA(),IF(N(D$8)=0,NA(),IF(Inputs!$C$17="Rebased to 100",$D1680/D$8*100,$D1680)))))</f>
        <v/>
      </c>
      <c r="K1680" s="54">
        <f>IF($B1680=0,NA(),IF($E1680="",NA(),IF(E$8="",NA(),IF(N(E$8)=0,NA(),IF(Inputs!$C$17="Rebased to 100",$E1680/E$8*100,$E1680)))))</f>
        <v/>
      </c>
      <c r="L1680" s="54">
        <f>IF($B1680=0,NA(),IF($F1680="",NA(),IF(F$8="",NA(),IF(N(F$8)=0,NA(),IF(Inputs!$C$17="Rebased to 100",$F1680/F$8*100,$F1680)))))</f>
        <v/>
      </c>
      <c r="M1680" s="54">
        <f>IF($B1680=0,NA(),IF($G1680="",NA(),IF(G$8="",NA(),IF(N(G$8)=0,NA(),IF(Inputs!$C$17="Rebased to 100",$G1680/G$8*100,$G1680)))))</f>
        <v/>
      </c>
      <c r="N1680" s="54">
        <f>IF($B1680=0,NA(),IF(Inputs!$C$18&lt;&gt;"Yes",NA(),IF(COUNT(I1680,J1680,K1680,L1680,M1680)=0,NA(),MIN(I1680,J1680,K1680,L1680,M1680))))</f>
        <v/>
      </c>
      <c r="O1680" s="54">
        <f>IF($B1680=0,NA(),IF(Inputs!$B$24&lt;&gt;"Yes",NA(),Inputs!$D$24*Inputs!$C$35))</f>
        <v/>
      </c>
      <c r="P1680" s="54">
        <f>IF($B1680=0,NA(),IF(Inputs!$B$25&lt;&gt;"Yes",NA(),Inputs!$D$25*Inputs!$C$35))</f>
        <v/>
      </c>
      <c r="Q1680" s="54">
        <f>IF($B1680=0,NA(),IF(Inputs!$B$26&lt;&gt;"Yes",NA(),Inputs!$D$26*Inputs!$C$35))</f>
        <v/>
      </c>
      <c r="R1680" s="54">
        <f>IF($B1680=0,NA(),IF(Inputs!$B$27&lt;&gt;"Yes",NA(),Inputs!$D$27*Inputs!$C$35))</f>
        <v/>
      </c>
      <c r="S1680" s="54">
        <f>IF($B1680=0,NA(),IF(Inputs!$B$28&lt;&gt;"Yes",NA(),Inputs!$D$28*Inputs!$C$35))</f>
        <v/>
      </c>
      <c r="T1680" s="54">
        <f>IF($B1680=0,NA(),IF(Inputs!$B$29&lt;&gt;"Yes",NA(),Inputs!$D$29*Inputs!$C$35))</f>
        <v/>
      </c>
      <c r="AD1680">
        <f>IF($B1680=0,0,IF(Inputs!$B$6="",0,COUNTIFS(Data!$A$10:$A$3209,"&gt;="&amp;$A1680,Data!$A$10:$A$3209,"&lt;"&amp;$A1680+1)))</f>
        <v/>
      </c>
      <c r="AE1680">
        <f>IF($B1680=0,0,IF(Inputs!$B$7="",0,COUNTIFS(Data!$E$10:$E$3209,"&gt;="&amp;$A1680,Data!$E$10:$E$3209,"&lt;"&amp;$A1680+1)))</f>
        <v/>
      </c>
      <c r="AF1680">
        <f>IF($B1680=0,0,IF(Inputs!$B$8="",0,COUNTIFS(Data!$I$10:$I$3209,"&gt;="&amp;$A1680,Data!$I$10:$I$3209,"&lt;"&amp;$A1680+1)))</f>
        <v/>
      </c>
      <c r="AG1680">
        <f>IF($B1680=0,0,IF(Inputs!$B$9="",0,COUNTIFS(Data!$M$10:$M$3209,"&gt;="&amp;$A1680,Data!$M$10:$M$3209,"&lt;"&amp;$A1680+1)))</f>
        <v/>
      </c>
      <c r="AH1680">
        <f>IF($B1680=0,0,IF(Inputs!$B$10="",0,COUNTIFS(Data!$Q$10:$Q$3209,"&gt;="&amp;$A1680,Data!$Q$10:$Q$3209,"&lt;"&amp;$A1680+1)))</f>
        <v/>
      </c>
    </row>
    <row r="1681">
      <c r="A1681" s="55">
        <f>MIN(Inputs!$C$15,$A1680+IF(WEEKDAY($A1680,2)=5,3,1))</f>
        <v/>
      </c>
      <c r="B1681">
        <f>IF($A1681&gt;$A1680,1,0)</f>
        <v/>
      </c>
      <c r="C1681" s="56">
        <f>IF($B1681=0,"",IF(Inputs!$B$6="","",IF($AD1681=0,C1680,SUMIFS(Data!$B$10:$B$3209,Data!$A$10:$A$3209,"&gt;="&amp;$A1681,Data!$A$10:$A$3209,"&lt;"&amp;$A1681+1)/$AD1681)))</f>
        <v/>
      </c>
      <c r="D1681" s="56">
        <f>IF($B1681=0,"",IF(Inputs!$B$7="","",IF($AE1681=0,D1680,SUMIFS(Data!$F$10:$F$3209,Data!$E$10:$E$3209,"&gt;="&amp;$A1681,Data!$E$10:$E$3209,"&lt;"&amp;$A1681+1)/$AE1681)))</f>
        <v/>
      </c>
      <c r="E1681" s="56">
        <f>IF($B1681=0,"",IF(Inputs!$B$8="","",IF($AF1681=0,E1680,SUMIFS(Data!$J$10:$J$3209,Data!$I$10:$I$3209,"&gt;="&amp;$A1681,Data!$I$10:$I$3209,"&lt;"&amp;$A1681+1)/$AF1681)))</f>
        <v/>
      </c>
      <c r="F1681" s="56">
        <f>IF($B1681=0,"",IF(Inputs!$B$9="","",IF($AG1681=0,F1680,SUMIFS(Data!$N$10:$N$3209,Data!$M$10:$M$3209,"&gt;="&amp;$A1681,Data!$M$10:$M$3209,"&lt;"&amp;$A1681+1)/$AG1681)))</f>
        <v/>
      </c>
      <c r="G1681" s="56">
        <f>IF($B1681=0,"",IF(Inputs!$B$10="","",IF($AH1681=0,G1680,SUMIFS(Data!$R$10:$R$3209,Data!$Q$10:$Q$3209,"&gt;="&amp;$A1681,Data!$Q$10:$Q$3209,"&lt;"&amp;$A1681+1)/$AH1681)))</f>
        <v/>
      </c>
      <c r="I1681" s="54">
        <f>IF($B1681=0,NA(),IF($C1681="",NA(),IF(C$8="",NA(),IF(N(C$8)=0,NA(),IF(Inputs!$C$17="Rebased to 100",$C1681/C$8*100,$C1681)))))</f>
        <v/>
      </c>
      <c r="J1681" s="54">
        <f>IF($B1681=0,NA(),IF($D1681="",NA(),IF(D$8="",NA(),IF(N(D$8)=0,NA(),IF(Inputs!$C$17="Rebased to 100",$D1681/D$8*100,$D1681)))))</f>
        <v/>
      </c>
      <c r="K1681" s="54">
        <f>IF($B1681=0,NA(),IF($E1681="",NA(),IF(E$8="",NA(),IF(N(E$8)=0,NA(),IF(Inputs!$C$17="Rebased to 100",$E1681/E$8*100,$E1681)))))</f>
        <v/>
      </c>
      <c r="L1681" s="54">
        <f>IF($B1681=0,NA(),IF($F1681="",NA(),IF(F$8="",NA(),IF(N(F$8)=0,NA(),IF(Inputs!$C$17="Rebased to 100",$F1681/F$8*100,$F1681)))))</f>
        <v/>
      </c>
      <c r="M1681" s="54">
        <f>IF($B1681=0,NA(),IF($G1681="",NA(),IF(G$8="",NA(),IF(N(G$8)=0,NA(),IF(Inputs!$C$17="Rebased to 100",$G1681/G$8*100,$G1681)))))</f>
        <v/>
      </c>
      <c r="N1681" s="54">
        <f>IF($B1681=0,NA(),IF(Inputs!$C$18&lt;&gt;"Yes",NA(),IF(COUNT(I1681,J1681,K1681,L1681,M1681)=0,NA(),MIN(I1681,J1681,K1681,L1681,M1681))))</f>
        <v/>
      </c>
      <c r="O1681" s="54">
        <f>IF($B1681=0,NA(),IF(Inputs!$B$24&lt;&gt;"Yes",NA(),Inputs!$D$24*Inputs!$C$35))</f>
        <v/>
      </c>
      <c r="P1681" s="54">
        <f>IF($B1681=0,NA(),IF(Inputs!$B$25&lt;&gt;"Yes",NA(),Inputs!$D$25*Inputs!$C$35))</f>
        <v/>
      </c>
      <c r="Q1681" s="54">
        <f>IF($B1681=0,NA(),IF(Inputs!$B$26&lt;&gt;"Yes",NA(),Inputs!$D$26*Inputs!$C$35))</f>
        <v/>
      </c>
      <c r="R1681" s="54">
        <f>IF($B1681=0,NA(),IF(Inputs!$B$27&lt;&gt;"Yes",NA(),Inputs!$D$27*Inputs!$C$35))</f>
        <v/>
      </c>
      <c r="S1681" s="54">
        <f>IF($B1681=0,NA(),IF(Inputs!$B$28&lt;&gt;"Yes",NA(),Inputs!$D$28*Inputs!$C$35))</f>
        <v/>
      </c>
      <c r="T1681" s="54">
        <f>IF($B1681=0,NA(),IF(Inputs!$B$29&lt;&gt;"Yes",NA(),Inputs!$D$29*Inputs!$C$35))</f>
        <v/>
      </c>
      <c r="AD1681">
        <f>IF($B1681=0,0,IF(Inputs!$B$6="",0,COUNTIFS(Data!$A$10:$A$3209,"&gt;="&amp;$A1681,Data!$A$10:$A$3209,"&lt;"&amp;$A1681+1)))</f>
        <v/>
      </c>
      <c r="AE1681">
        <f>IF($B1681=0,0,IF(Inputs!$B$7="",0,COUNTIFS(Data!$E$10:$E$3209,"&gt;="&amp;$A1681,Data!$E$10:$E$3209,"&lt;"&amp;$A1681+1)))</f>
        <v/>
      </c>
      <c r="AF1681">
        <f>IF($B1681=0,0,IF(Inputs!$B$8="",0,COUNTIFS(Data!$I$10:$I$3209,"&gt;="&amp;$A1681,Data!$I$10:$I$3209,"&lt;"&amp;$A1681+1)))</f>
        <v/>
      </c>
      <c r="AG1681">
        <f>IF($B1681=0,0,IF(Inputs!$B$9="",0,COUNTIFS(Data!$M$10:$M$3209,"&gt;="&amp;$A1681,Data!$M$10:$M$3209,"&lt;"&amp;$A1681+1)))</f>
        <v/>
      </c>
      <c r="AH1681">
        <f>IF($B1681=0,0,IF(Inputs!$B$10="",0,COUNTIFS(Data!$Q$10:$Q$3209,"&gt;="&amp;$A1681,Data!$Q$10:$Q$3209,"&lt;"&amp;$A1681+1)))</f>
        <v/>
      </c>
    </row>
    <row r="1682">
      <c r="A1682" s="55">
        <f>MIN(Inputs!$C$15,$A1681+IF(WEEKDAY($A1681,2)=5,3,1))</f>
        <v/>
      </c>
      <c r="B1682">
        <f>IF($A1682&gt;$A1681,1,0)</f>
        <v/>
      </c>
      <c r="C1682" s="56">
        <f>IF($B1682=0,"",IF(Inputs!$B$6="","",IF($AD1682=0,C1681,SUMIFS(Data!$B$10:$B$3209,Data!$A$10:$A$3209,"&gt;="&amp;$A1682,Data!$A$10:$A$3209,"&lt;"&amp;$A1682+1)/$AD1682)))</f>
        <v/>
      </c>
      <c r="D1682" s="56">
        <f>IF($B1682=0,"",IF(Inputs!$B$7="","",IF($AE1682=0,D1681,SUMIFS(Data!$F$10:$F$3209,Data!$E$10:$E$3209,"&gt;="&amp;$A1682,Data!$E$10:$E$3209,"&lt;"&amp;$A1682+1)/$AE1682)))</f>
        <v/>
      </c>
      <c r="E1682" s="56">
        <f>IF($B1682=0,"",IF(Inputs!$B$8="","",IF($AF1682=0,E1681,SUMIFS(Data!$J$10:$J$3209,Data!$I$10:$I$3209,"&gt;="&amp;$A1682,Data!$I$10:$I$3209,"&lt;"&amp;$A1682+1)/$AF1682)))</f>
        <v/>
      </c>
      <c r="F1682" s="56">
        <f>IF($B1682=0,"",IF(Inputs!$B$9="","",IF($AG1682=0,F1681,SUMIFS(Data!$N$10:$N$3209,Data!$M$10:$M$3209,"&gt;="&amp;$A1682,Data!$M$10:$M$3209,"&lt;"&amp;$A1682+1)/$AG1682)))</f>
        <v/>
      </c>
      <c r="G1682" s="56">
        <f>IF($B1682=0,"",IF(Inputs!$B$10="","",IF($AH1682=0,G1681,SUMIFS(Data!$R$10:$R$3209,Data!$Q$10:$Q$3209,"&gt;="&amp;$A1682,Data!$Q$10:$Q$3209,"&lt;"&amp;$A1682+1)/$AH1682)))</f>
        <v/>
      </c>
      <c r="I1682" s="54">
        <f>IF($B1682=0,NA(),IF($C1682="",NA(),IF(C$8="",NA(),IF(N(C$8)=0,NA(),IF(Inputs!$C$17="Rebased to 100",$C1682/C$8*100,$C1682)))))</f>
        <v/>
      </c>
      <c r="J1682" s="54">
        <f>IF($B1682=0,NA(),IF($D1682="",NA(),IF(D$8="",NA(),IF(N(D$8)=0,NA(),IF(Inputs!$C$17="Rebased to 100",$D1682/D$8*100,$D1682)))))</f>
        <v/>
      </c>
      <c r="K1682" s="54">
        <f>IF($B1682=0,NA(),IF($E1682="",NA(),IF(E$8="",NA(),IF(N(E$8)=0,NA(),IF(Inputs!$C$17="Rebased to 100",$E1682/E$8*100,$E1682)))))</f>
        <v/>
      </c>
      <c r="L1682" s="54">
        <f>IF($B1682=0,NA(),IF($F1682="",NA(),IF(F$8="",NA(),IF(N(F$8)=0,NA(),IF(Inputs!$C$17="Rebased to 100",$F1682/F$8*100,$F1682)))))</f>
        <v/>
      </c>
      <c r="M1682" s="54">
        <f>IF($B1682=0,NA(),IF($G1682="",NA(),IF(G$8="",NA(),IF(N(G$8)=0,NA(),IF(Inputs!$C$17="Rebased to 100",$G1682/G$8*100,$G1682)))))</f>
        <v/>
      </c>
      <c r="N1682" s="54">
        <f>IF($B1682=0,NA(),IF(Inputs!$C$18&lt;&gt;"Yes",NA(),IF(COUNT(I1682,J1682,K1682,L1682,M1682)=0,NA(),MIN(I1682,J1682,K1682,L1682,M1682))))</f>
        <v/>
      </c>
      <c r="O1682" s="54">
        <f>IF($B1682=0,NA(),IF(Inputs!$B$24&lt;&gt;"Yes",NA(),Inputs!$D$24*Inputs!$C$35))</f>
        <v/>
      </c>
      <c r="P1682" s="54">
        <f>IF($B1682=0,NA(),IF(Inputs!$B$25&lt;&gt;"Yes",NA(),Inputs!$D$25*Inputs!$C$35))</f>
        <v/>
      </c>
      <c r="Q1682" s="54">
        <f>IF($B1682=0,NA(),IF(Inputs!$B$26&lt;&gt;"Yes",NA(),Inputs!$D$26*Inputs!$C$35))</f>
        <v/>
      </c>
      <c r="R1682" s="54">
        <f>IF($B1682=0,NA(),IF(Inputs!$B$27&lt;&gt;"Yes",NA(),Inputs!$D$27*Inputs!$C$35))</f>
        <v/>
      </c>
      <c r="S1682" s="54">
        <f>IF($B1682=0,NA(),IF(Inputs!$B$28&lt;&gt;"Yes",NA(),Inputs!$D$28*Inputs!$C$35))</f>
        <v/>
      </c>
      <c r="T1682" s="54">
        <f>IF($B1682=0,NA(),IF(Inputs!$B$29&lt;&gt;"Yes",NA(),Inputs!$D$29*Inputs!$C$35))</f>
        <v/>
      </c>
      <c r="AD1682">
        <f>IF($B1682=0,0,IF(Inputs!$B$6="",0,COUNTIFS(Data!$A$10:$A$3209,"&gt;="&amp;$A1682,Data!$A$10:$A$3209,"&lt;"&amp;$A1682+1)))</f>
        <v/>
      </c>
      <c r="AE1682">
        <f>IF($B1682=0,0,IF(Inputs!$B$7="",0,COUNTIFS(Data!$E$10:$E$3209,"&gt;="&amp;$A1682,Data!$E$10:$E$3209,"&lt;"&amp;$A1682+1)))</f>
        <v/>
      </c>
      <c r="AF1682">
        <f>IF($B1682=0,0,IF(Inputs!$B$8="",0,COUNTIFS(Data!$I$10:$I$3209,"&gt;="&amp;$A1682,Data!$I$10:$I$3209,"&lt;"&amp;$A1682+1)))</f>
        <v/>
      </c>
      <c r="AG1682">
        <f>IF($B1682=0,0,IF(Inputs!$B$9="",0,COUNTIFS(Data!$M$10:$M$3209,"&gt;="&amp;$A1682,Data!$M$10:$M$3209,"&lt;"&amp;$A1682+1)))</f>
        <v/>
      </c>
      <c r="AH1682">
        <f>IF($B1682=0,0,IF(Inputs!$B$10="",0,COUNTIFS(Data!$Q$10:$Q$3209,"&gt;="&amp;$A1682,Data!$Q$10:$Q$3209,"&lt;"&amp;$A1682+1)))</f>
        <v/>
      </c>
    </row>
    <row r="1683">
      <c r="A1683" s="55">
        <f>MIN(Inputs!$C$15,$A1682+IF(WEEKDAY($A1682,2)=5,3,1))</f>
        <v/>
      </c>
      <c r="B1683">
        <f>IF($A1683&gt;$A1682,1,0)</f>
        <v/>
      </c>
      <c r="C1683" s="56">
        <f>IF($B1683=0,"",IF(Inputs!$B$6="","",IF($AD1683=0,C1682,SUMIFS(Data!$B$10:$B$3209,Data!$A$10:$A$3209,"&gt;="&amp;$A1683,Data!$A$10:$A$3209,"&lt;"&amp;$A1683+1)/$AD1683)))</f>
        <v/>
      </c>
      <c r="D1683" s="56">
        <f>IF($B1683=0,"",IF(Inputs!$B$7="","",IF($AE1683=0,D1682,SUMIFS(Data!$F$10:$F$3209,Data!$E$10:$E$3209,"&gt;="&amp;$A1683,Data!$E$10:$E$3209,"&lt;"&amp;$A1683+1)/$AE1683)))</f>
        <v/>
      </c>
      <c r="E1683" s="56">
        <f>IF($B1683=0,"",IF(Inputs!$B$8="","",IF($AF1683=0,E1682,SUMIFS(Data!$J$10:$J$3209,Data!$I$10:$I$3209,"&gt;="&amp;$A1683,Data!$I$10:$I$3209,"&lt;"&amp;$A1683+1)/$AF1683)))</f>
        <v/>
      </c>
      <c r="F1683" s="56">
        <f>IF($B1683=0,"",IF(Inputs!$B$9="","",IF($AG1683=0,F1682,SUMIFS(Data!$N$10:$N$3209,Data!$M$10:$M$3209,"&gt;="&amp;$A1683,Data!$M$10:$M$3209,"&lt;"&amp;$A1683+1)/$AG1683)))</f>
        <v/>
      </c>
      <c r="G1683" s="56">
        <f>IF($B1683=0,"",IF(Inputs!$B$10="","",IF($AH1683=0,G1682,SUMIFS(Data!$R$10:$R$3209,Data!$Q$10:$Q$3209,"&gt;="&amp;$A1683,Data!$Q$10:$Q$3209,"&lt;"&amp;$A1683+1)/$AH1683)))</f>
        <v/>
      </c>
      <c r="I1683" s="54">
        <f>IF($B1683=0,NA(),IF($C1683="",NA(),IF(C$8="",NA(),IF(N(C$8)=0,NA(),IF(Inputs!$C$17="Rebased to 100",$C1683/C$8*100,$C1683)))))</f>
        <v/>
      </c>
      <c r="J1683" s="54">
        <f>IF($B1683=0,NA(),IF($D1683="",NA(),IF(D$8="",NA(),IF(N(D$8)=0,NA(),IF(Inputs!$C$17="Rebased to 100",$D1683/D$8*100,$D1683)))))</f>
        <v/>
      </c>
      <c r="K1683" s="54">
        <f>IF($B1683=0,NA(),IF($E1683="",NA(),IF(E$8="",NA(),IF(N(E$8)=0,NA(),IF(Inputs!$C$17="Rebased to 100",$E1683/E$8*100,$E1683)))))</f>
        <v/>
      </c>
      <c r="L1683" s="54">
        <f>IF($B1683=0,NA(),IF($F1683="",NA(),IF(F$8="",NA(),IF(N(F$8)=0,NA(),IF(Inputs!$C$17="Rebased to 100",$F1683/F$8*100,$F1683)))))</f>
        <v/>
      </c>
      <c r="M1683" s="54">
        <f>IF($B1683=0,NA(),IF($G1683="",NA(),IF(G$8="",NA(),IF(N(G$8)=0,NA(),IF(Inputs!$C$17="Rebased to 100",$G1683/G$8*100,$G1683)))))</f>
        <v/>
      </c>
      <c r="N1683" s="54">
        <f>IF($B1683=0,NA(),IF(Inputs!$C$18&lt;&gt;"Yes",NA(),IF(COUNT(I1683,J1683,K1683,L1683,M1683)=0,NA(),MIN(I1683,J1683,K1683,L1683,M1683))))</f>
        <v/>
      </c>
      <c r="O1683" s="54">
        <f>IF($B1683=0,NA(),IF(Inputs!$B$24&lt;&gt;"Yes",NA(),Inputs!$D$24*Inputs!$C$35))</f>
        <v/>
      </c>
      <c r="P1683" s="54">
        <f>IF($B1683=0,NA(),IF(Inputs!$B$25&lt;&gt;"Yes",NA(),Inputs!$D$25*Inputs!$C$35))</f>
        <v/>
      </c>
      <c r="Q1683" s="54">
        <f>IF($B1683=0,NA(),IF(Inputs!$B$26&lt;&gt;"Yes",NA(),Inputs!$D$26*Inputs!$C$35))</f>
        <v/>
      </c>
      <c r="R1683" s="54">
        <f>IF($B1683=0,NA(),IF(Inputs!$B$27&lt;&gt;"Yes",NA(),Inputs!$D$27*Inputs!$C$35))</f>
        <v/>
      </c>
      <c r="S1683" s="54">
        <f>IF($B1683=0,NA(),IF(Inputs!$B$28&lt;&gt;"Yes",NA(),Inputs!$D$28*Inputs!$C$35))</f>
        <v/>
      </c>
      <c r="T1683" s="54">
        <f>IF($B1683=0,NA(),IF(Inputs!$B$29&lt;&gt;"Yes",NA(),Inputs!$D$29*Inputs!$C$35))</f>
        <v/>
      </c>
      <c r="AD1683">
        <f>IF($B1683=0,0,IF(Inputs!$B$6="",0,COUNTIFS(Data!$A$10:$A$3209,"&gt;="&amp;$A1683,Data!$A$10:$A$3209,"&lt;"&amp;$A1683+1)))</f>
        <v/>
      </c>
      <c r="AE1683">
        <f>IF($B1683=0,0,IF(Inputs!$B$7="",0,COUNTIFS(Data!$E$10:$E$3209,"&gt;="&amp;$A1683,Data!$E$10:$E$3209,"&lt;"&amp;$A1683+1)))</f>
        <v/>
      </c>
      <c r="AF1683">
        <f>IF($B1683=0,0,IF(Inputs!$B$8="",0,COUNTIFS(Data!$I$10:$I$3209,"&gt;="&amp;$A1683,Data!$I$10:$I$3209,"&lt;"&amp;$A1683+1)))</f>
        <v/>
      </c>
      <c r="AG1683">
        <f>IF($B1683=0,0,IF(Inputs!$B$9="",0,COUNTIFS(Data!$M$10:$M$3209,"&gt;="&amp;$A1683,Data!$M$10:$M$3209,"&lt;"&amp;$A1683+1)))</f>
        <v/>
      </c>
      <c r="AH1683">
        <f>IF($B1683=0,0,IF(Inputs!$B$10="",0,COUNTIFS(Data!$Q$10:$Q$3209,"&gt;="&amp;$A1683,Data!$Q$10:$Q$3209,"&lt;"&amp;$A1683+1)))</f>
        <v/>
      </c>
    </row>
    <row r="1684">
      <c r="A1684" s="55">
        <f>MIN(Inputs!$C$15,$A1683+IF(WEEKDAY($A1683,2)=5,3,1))</f>
        <v/>
      </c>
      <c r="B1684">
        <f>IF($A1684&gt;$A1683,1,0)</f>
        <v/>
      </c>
      <c r="C1684" s="56">
        <f>IF($B1684=0,"",IF(Inputs!$B$6="","",IF($AD1684=0,C1683,SUMIFS(Data!$B$10:$B$3209,Data!$A$10:$A$3209,"&gt;="&amp;$A1684,Data!$A$10:$A$3209,"&lt;"&amp;$A1684+1)/$AD1684)))</f>
        <v/>
      </c>
      <c r="D1684" s="56">
        <f>IF($B1684=0,"",IF(Inputs!$B$7="","",IF($AE1684=0,D1683,SUMIFS(Data!$F$10:$F$3209,Data!$E$10:$E$3209,"&gt;="&amp;$A1684,Data!$E$10:$E$3209,"&lt;"&amp;$A1684+1)/$AE1684)))</f>
        <v/>
      </c>
      <c r="E1684" s="56">
        <f>IF($B1684=0,"",IF(Inputs!$B$8="","",IF($AF1684=0,E1683,SUMIFS(Data!$J$10:$J$3209,Data!$I$10:$I$3209,"&gt;="&amp;$A1684,Data!$I$10:$I$3209,"&lt;"&amp;$A1684+1)/$AF1684)))</f>
        <v/>
      </c>
      <c r="F1684" s="56">
        <f>IF($B1684=0,"",IF(Inputs!$B$9="","",IF($AG1684=0,F1683,SUMIFS(Data!$N$10:$N$3209,Data!$M$10:$M$3209,"&gt;="&amp;$A1684,Data!$M$10:$M$3209,"&lt;"&amp;$A1684+1)/$AG1684)))</f>
        <v/>
      </c>
      <c r="G1684" s="56">
        <f>IF($B1684=0,"",IF(Inputs!$B$10="","",IF($AH1684=0,G1683,SUMIFS(Data!$R$10:$R$3209,Data!$Q$10:$Q$3209,"&gt;="&amp;$A1684,Data!$Q$10:$Q$3209,"&lt;"&amp;$A1684+1)/$AH1684)))</f>
        <v/>
      </c>
      <c r="I1684" s="54">
        <f>IF($B1684=0,NA(),IF($C1684="",NA(),IF(C$8="",NA(),IF(N(C$8)=0,NA(),IF(Inputs!$C$17="Rebased to 100",$C1684/C$8*100,$C1684)))))</f>
        <v/>
      </c>
      <c r="J1684" s="54">
        <f>IF($B1684=0,NA(),IF($D1684="",NA(),IF(D$8="",NA(),IF(N(D$8)=0,NA(),IF(Inputs!$C$17="Rebased to 100",$D1684/D$8*100,$D1684)))))</f>
        <v/>
      </c>
      <c r="K1684" s="54">
        <f>IF($B1684=0,NA(),IF($E1684="",NA(),IF(E$8="",NA(),IF(N(E$8)=0,NA(),IF(Inputs!$C$17="Rebased to 100",$E1684/E$8*100,$E1684)))))</f>
        <v/>
      </c>
      <c r="L1684" s="54">
        <f>IF($B1684=0,NA(),IF($F1684="",NA(),IF(F$8="",NA(),IF(N(F$8)=0,NA(),IF(Inputs!$C$17="Rebased to 100",$F1684/F$8*100,$F1684)))))</f>
        <v/>
      </c>
      <c r="M1684" s="54">
        <f>IF($B1684=0,NA(),IF($G1684="",NA(),IF(G$8="",NA(),IF(N(G$8)=0,NA(),IF(Inputs!$C$17="Rebased to 100",$G1684/G$8*100,$G1684)))))</f>
        <v/>
      </c>
      <c r="N1684" s="54">
        <f>IF($B1684=0,NA(),IF(Inputs!$C$18&lt;&gt;"Yes",NA(),IF(COUNT(I1684,J1684,K1684,L1684,M1684)=0,NA(),MIN(I1684,J1684,K1684,L1684,M1684))))</f>
        <v/>
      </c>
      <c r="O1684" s="54">
        <f>IF($B1684=0,NA(),IF(Inputs!$B$24&lt;&gt;"Yes",NA(),Inputs!$D$24*Inputs!$C$35))</f>
        <v/>
      </c>
      <c r="P1684" s="54">
        <f>IF($B1684=0,NA(),IF(Inputs!$B$25&lt;&gt;"Yes",NA(),Inputs!$D$25*Inputs!$C$35))</f>
        <v/>
      </c>
      <c r="Q1684" s="54">
        <f>IF($B1684=0,NA(),IF(Inputs!$B$26&lt;&gt;"Yes",NA(),Inputs!$D$26*Inputs!$C$35))</f>
        <v/>
      </c>
      <c r="R1684" s="54">
        <f>IF($B1684=0,NA(),IF(Inputs!$B$27&lt;&gt;"Yes",NA(),Inputs!$D$27*Inputs!$C$35))</f>
        <v/>
      </c>
      <c r="S1684" s="54">
        <f>IF($B1684=0,NA(),IF(Inputs!$B$28&lt;&gt;"Yes",NA(),Inputs!$D$28*Inputs!$C$35))</f>
        <v/>
      </c>
      <c r="T1684" s="54">
        <f>IF($B1684=0,NA(),IF(Inputs!$B$29&lt;&gt;"Yes",NA(),Inputs!$D$29*Inputs!$C$35))</f>
        <v/>
      </c>
      <c r="AD1684">
        <f>IF($B1684=0,0,IF(Inputs!$B$6="",0,COUNTIFS(Data!$A$10:$A$3209,"&gt;="&amp;$A1684,Data!$A$10:$A$3209,"&lt;"&amp;$A1684+1)))</f>
        <v/>
      </c>
      <c r="AE1684">
        <f>IF($B1684=0,0,IF(Inputs!$B$7="",0,COUNTIFS(Data!$E$10:$E$3209,"&gt;="&amp;$A1684,Data!$E$10:$E$3209,"&lt;"&amp;$A1684+1)))</f>
        <v/>
      </c>
      <c r="AF1684">
        <f>IF($B1684=0,0,IF(Inputs!$B$8="",0,COUNTIFS(Data!$I$10:$I$3209,"&gt;="&amp;$A1684,Data!$I$10:$I$3209,"&lt;"&amp;$A1684+1)))</f>
        <v/>
      </c>
      <c r="AG1684">
        <f>IF($B1684=0,0,IF(Inputs!$B$9="",0,COUNTIFS(Data!$M$10:$M$3209,"&gt;="&amp;$A1684,Data!$M$10:$M$3209,"&lt;"&amp;$A1684+1)))</f>
        <v/>
      </c>
      <c r="AH1684">
        <f>IF($B1684=0,0,IF(Inputs!$B$10="",0,COUNTIFS(Data!$Q$10:$Q$3209,"&gt;="&amp;$A1684,Data!$Q$10:$Q$3209,"&lt;"&amp;$A1684+1)))</f>
        <v/>
      </c>
    </row>
    <row r="1685">
      <c r="A1685" s="55">
        <f>MIN(Inputs!$C$15,$A1684+IF(WEEKDAY($A1684,2)=5,3,1))</f>
        <v/>
      </c>
      <c r="B1685">
        <f>IF($A1685&gt;$A1684,1,0)</f>
        <v/>
      </c>
      <c r="C1685" s="56">
        <f>IF($B1685=0,"",IF(Inputs!$B$6="","",IF($AD1685=0,C1684,SUMIFS(Data!$B$10:$B$3209,Data!$A$10:$A$3209,"&gt;="&amp;$A1685,Data!$A$10:$A$3209,"&lt;"&amp;$A1685+1)/$AD1685)))</f>
        <v/>
      </c>
      <c r="D1685" s="56">
        <f>IF($B1685=0,"",IF(Inputs!$B$7="","",IF($AE1685=0,D1684,SUMIFS(Data!$F$10:$F$3209,Data!$E$10:$E$3209,"&gt;="&amp;$A1685,Data!$E$10:$E$3209,"&lt;"&amp;$A1685+1)/$AE1685)))</f>
        <v/>
      </c>
      <c r="E1685" s="56">
        <f>IF($B1685=0,"",IF(Inputs!$B$8="","",IF($AF1685=0,E1684,SUMIFS(Data!$J$10:$J$3209,Data!$I$10:$I$3209,"&gt;="&amp;$A1685,Data!$I$10:$I$3209,"&lt;"&amp;$A1685+1)/$AF1685)))</f>
        <v/>
      </c>
      <c r="F1685" s="56">
        <f>IF($B1685=0,"",IF(Inputs!$B$9="","",IF($AG1685=0,F1684,SUMIFS(Data!$N$10:$N$3209,Data!$M$10:$M$3209,"&gt;="&amp;$A1685,Data!$M$10:$M$3209,"&lt;"&amp;$A1685+1)/$AG1685)))</f>
        <v/>
      </c>
      <c r="G1685" s="56">
        <f>IF($B1685=0,"",IF(Inputs!$B$10="","",IF($AH1685=0,G1684,SUMIFS(Data!$R$10:$R$3209,Data!$Q$10:$Q$3209,"&gt;="&amp;$A1685,Data!$Q$10:$Q$3209,"&lt;"&amp;$A1685+1)/$AH1685)))</f>
        <v/>
      </c>
      <c r="I1685" s="54">
        <f>IF($B1685=0,NA(),IF($C1685="",NA(),IF(C$8="",NA(),IF(N(C$8)=0,NA(),IF(Inputs!$C$17="Rebased to 100",$C1685/C$8*100,$C1685)))))</f>
        <v/>
      </c>
      <c r="J1685" s="54">
        <f>IF($B1685=0,NA(),IF($D1685="",NA(),IF(D$8="",NA(),IF(N(D$8)=0,NA(),IF(Inputs!$C$17="Rebased to 100",$D1685/D$8*100,$D1685)))))</f>
        <v/>
      </c>
      <c r="K1685" s="54">
        <f>IF($B1685=0,NA(),IF($E1685="",NA(),IF(E$8="",NA(),IF(N(E$8)=0,NA(),IF(Inputs!$C$17="Rebased to 100",$E1685/E$8*100,$E1685)))))</f>
        <v/>
      </c>
      <c r="L1685" s="54">
        <f>IF($B1685=0,NA(),IF($F1685="",NA(),IF(F$8="",NA(),IF(N(F$8)=0,NA(),IF(Inputs!$C$17="Rebased to 100",$F1685/F$8*100,$F1685)))))</f>
        <v/>
      </c>
      <c r="M1685" s="54">
        <f>IF($B1685=0,NA(),IF($G1685="",NA(),IF(G$8="",NA(),IF(N(G$8)=0,NA(),IF(Inputs!$C$17="Rebased to 100",$G1685/G$8*100,$G1685)))))</f>
        <v/>
      </c>
      <c r="N1685" s="54">
        <f>IF($B1685=0,NA(),IF(Inputs!$C$18&lt;&gt;"Yes",NA(),IF(COUNT(I1685,J1685,K1685,L1685,M1685)=0,NA(),MIN(I1685,J1685,K1685,L1685,M1685))))</f>
        <v/>
      </c>
      <c r="O1685" s="54">
        <f>IF($B1685=0,NA(),IF(Inputs!$B$24&lt;&gt;"Yes",NA(),Inputs!$D$24*Inputs!$C$35))</f>
        <v/>
      </c>
      <c r="P1685" s="54">
        <f>IF($B1685=0,NA(),IF(Inputs!$B$25&lt;&gt;"Yes",NA(),Inputs!$D$25*Inputs!$C$35))</f>
        <v/>
      </c>
      <c r="Q1685" s="54">
        <f>IF($B1685=0,NA(),IF(Inputs!$B$26&lt;&gt;"Yes",NA(),Inputs!$D$26*Inputs!$C$35))</f>
        <v/>
      </c>
      <c r="R1685" s="54">
        <f>IF($B1685=0,NA(),IF(Inputs!$B$27&lt;&gt;"Yes",NA(),Inputs!$D$27*Inputs!$C$35))</f>
        <v/>
      </c>
      <c r="S1685" s="54">
        <f>IF($B1685=0,NA(),IF(Inputs!$B$28&lt;&gt;"Yes",NA(),Inputs!$D$28*Inputs!$C$35))</f>
        <v/>
      </c>
      <c r="T1685" s="54">
        <f>IF($B1685=0,NA(),IF(Inputs!$B$29&lt;&gt;"Yes",NA(),Inputs!$D$29*Inputs!$C$35))</f>
        <v/>
      </c>
      <c r="AD1685">
        <f>IF($B1685=0,0,IF(Inputs!$B$6="",0,COUNTIFS(Data!$A$10:$A$3209,"&gt;="&amp;$A1685,Data!$A$10:$A$3209,"&lt;"&amp;$A1685+1)))</f>
        <v/>
      </c>
      <c r="AE1685">
        <f>IF($B1685=0,0,IF(Inputs!$B$7="",0,COUNTIFS(Data!$E$10:$E$3209,"&gt;="&amp;$A1685,Data!$E$10:$E$3209,"&lt;"&amp;$A1685+1)))</f>
        <v/>
      </c>
      <c r="AF1685">
        <f>IF($B1685=0,0,IF(Inputs!$B$8="",0,COUNTIFS(Data!$I$10:$I$3209,"&gt;="&amp;$A1685,Data!$I$10:$I$3209,"&lt;"&amp;$A1685+1)))</f>
        <v/>
      </c>
      <c r="AG1685">
        <f>IF($B1685=0,0,IF(Inputs!$B$9="",0,COUNTIFS(Data!$M$10:$M$3209,"&gt;="&amp;$A1685,Data!$M$10:$M$3209,"&lt;"&amp;$A1685+1)))</f>
        <v/>
      </c>
      <c r="AH1685">
        <f>IF($B1685=0,0,IF(Inputs!$B$10="",0,COUNTIFS(Data!$Q$10:$Q$3209,"&gt;="&amp;$A1685,Data!$Q$10:$Q$3209,"&lt;"&amp;$A1685+1)))</f>
        <v/>
      </c>
    </row>
    <row r="1686">
      <c r="A1686" s="55">
        <f>MIN(Inputs!$C$15,$A1685+IF(WEEKDAY($A1685,2)=5,3,1))</f>
        <v/>
      </c>
      <c r="B1686">
        <f>IF($A1686&gt;$A1685,1,0)</f>
        <v/>
      </c>
      <c r="C1686" s="56">
        <f>IF($B1686=0,"",IF(Inputs!$B$6="","",IF($AD1686=0,C1685,SUMIFS(Data!$B$10:$B$3209,Data!$A$10:$A$3209,"&gt;="&amp;$A1686,Data!$A$10:$A$3209,"&lt;"&amp;$A1686+1)/$AD1686)))</f>
        <v/>
      </c>
      <c r="D1686" s="56">
        <f>IF($B1686=0,"",IF(Inputs!$B$7="","",IF($AE1686=0,D1685,SUMIFS(Data!$F$10:$F$3209,Data!$E$10:$E$3209,"&gt;="&amp;$A1686,Data!$E$10:$E$3209,"&lt;"&amp;$A1686+1)/$AE1686)))</f>
        <v/>
      </c>
      <c r="E1686" s="56">
        <f>IF($B1686=0,"",IF(Inputs!$B$8="","",IF($AF1686=0,E1685,SUMIFS(Data!$J$10:$J$3209,Data!$I$10:$I$3209,"&gt;="&amp;$A1686,Data!$I$10:$I$3209,"&lt;"&amp;$A1686+1)/$AF1686)))</f>
        <v/>
      </c>
      <c r="F1686" s="56">
        <f>IF($B1686=0,"",IF(Inputs!$B$9="","",IF($AG1686=0,F1685,SUMIFS(Data!$N$10:$N$3209,Data!$M$10:$M$3209,"&gt;="&amp;$A1686,Data!$M$10:$M$3209,"&lt;"&amp;$A1686+1)/$AG1686)))</f>
        <v/>
      </c>
      <c r="G1686" s="56">
        <f>IF($B1686=0,"",IF(Inputs!$B$10="","",IF($AH1686=0,G1685,SUMIFS(Data!$R$10:$R$3209,Data!$Q$10:$Q$3209,"&gt;="&amp;$A1686,Data!$Q$10:$Q$3209,"&lt;"&amp;$A1686+1)/$AH1686)))</f>
        <v/>
      </c>
      <c r="I1686" s="54">
        <f>IF($B1686=0,NA(),IF($C1686="",NA(),IF(C$8="",NA(),IF(N(C$8)=0,NA(),IF(Inputs!$C$17="Rebased to 100",$C1686/C$8*100,$C1686)))))</f>
        <v/>
      </c>
      <c r="J1686" s="54">
        <f>IF($B1686=0,NA(),IF($D1686="",NA(),IF(D$8="",NA(),IF(N(D$8)=0,NA(),IF(Inputs!$C$17="Rebased to 100",$D1686/D$8*100,$D1686)))))</f>
        <v/>
      </c>
      <c r="K1686" s="54">
        <f>IF($B1686=0,NA(),IF($E1686="",NA(),IF(E$8="",NA(),IF(N(E$8)=0,NA(),IF(Inputs!$C$17="Rebased to 100",$E1686/E$8*100,$E1686)))))</f>
        <v/>
      </c>
      <c r="L1686" s="54">
        <f>IF($B1686=0,NA(),IF($F1686="",NA(),IF(F$8="",NA(),IF(N(F$8)=0,NA(),IF(Inputs!$C$17="Rebased to 100",$F1686/F$8*100,$F1686)))))</f>
        <v/>
      </c>
      <c r="M1686" s="54">
        <f>IF($B1686=0,NA(),IF($G1686="",NA(),IF(G$8="",NA(),IF(N(G$8)=0,NA(),IF(Inputs!$C$17="Rebased to 100",$G1686/G$8*100,$G1686)))))</f>
        <v/>
      </c>
      <c r="N1686" s="54">
        <f>IF($B1686=0,NA(),IF(Inputs!$C$18&lt;&gt;"Yes",NA(),IF(COUNT(I1686,J1686,K1686,L1686,M1686)=0,NA(),MIN(I1686,J1686,K1686,L1686,M1686))))</f>
        <v/>
      </c>
      <c r="O1686" s="54">
        <f>IF($B1686=0,NA(),IF(Inputs!$B$24&lt;&gt;"Yes",NA(),Inputs!$D$24*Inputs!$C$35))</f>
        <v/>
      </c>
      <c r="P1686" s="54">
        <f>IF($B1686=0,NA(),IF(Inputs!$B$25&lt;&gt;"Yes",NA(),Inputs!$D$25*Inputs!$C$35))</f>
        <v/>
      </c>
      <c r="Q1686" s="54">
        <f>IF($B1686=0,NA(),IF(Inputs!$B$26&lt;&gt;"Yes",NA(),Inputs!$D$26*Inputs!$C$35))</f>
        <v/>
      </c>
      <c r="R1686" s="54">
        <f>IF($B1686=0,NA(),IF(Inputs!$B$27&lt;&gt;"Yes",NA(),Inputs!$D$27*Inputs!$C$35))</f>
        <v/>
      </c>
      <c r="S1686" s="54">
        <f>IF($B1686=0,NA(),IF(Inputs!$B$28&lt;&gt;"Yes",NA(),Inputs!$D$28*Inputs!$C$35))</f>
        <v/>
      </c>
      <c r="T1686" s="54">
        <f>IF($B1686=0,NA(),IF(Inputs!$B$29&lt;&gt;"Yes",NA(),Inputs!$D$29*Inputs!$C$35))</f>
        <v/>
      </c>
      <c r="AD1686">
        <f>IF($B1686=0,0,IF(Inputs!$B$6="",0,COUNTIFS(Data!$A$10:$A$3209,"&gt;="&amp;$A1686,Data!$A$10:$A$3209,"&lt;"&amp;$A1686+1)))</f>
        <v/>
      </c>
      <c r="AE1686">
        <f>IF($B1686=0,0,IF(Inputs!$B$7="",0,COUNTIFS(Data!$E$10:$E$3209,"&gt;="&amp;$A1686,Data!$E$10:$E$3209,"&lt;"&amp;$A1686+1)))</f>
        <v/>
      </c>
      <c r="AF1686">
        <f>IF($B1686=0,0,IF(Inputs!$B$8="",0,COUNTIFS(Data!$I$10:$I$3209,"&gt;="&amp;$A1686,Data!$I$10:$I$3209,"&lt;"&amp;$A1686+1)))</f>
        <v/>
      </c>
      <c r="AG1686">
        <f>IF($B1686=0,0,IF(Inputs!$B$9="",0,COUNTIFS(Data!$M$10:$M$3209,"&gt;="&amp;$A1686,Data!$M$10:$M$3209,"&lt;"&amp;$A1686+1)))</f>
        <v/>
      </c>
      <c r="AH1686">
        <f>IF($B1686=0,0,IF(Inputs!$B$10="",0,COUNTIFS(Data!$Q$10:$Q$3209,"&gt;="&amp;$A1686,Data!$Q$10:$Q$3209,"&lt;"&amp;$A1686+1)))</f>
        <v/>
      </c>
    </row>
    <row r="1687">
      <c r="A1687" s="55">
        <f>MIN(Inputs!$C$15,$A1686+IF(WEEKDAY($A1686,2)=5,3,1))</f>
        <v/>
      </c>
      <c r="B1687">
        <f>IF($A1687&gt;$A1686,1,0)</f>
        <v/>
      </c>
      <c r="C1687" s="56">
        <f>IF($B1687=0,"",IF(Inputs!$B$6="","",IF($AD1687=0,C1686,SUMIFS(Data!$B$10:$B$3209,Data!$A$10:$A$3209,"&gt;="&amp;$A1687,Data!$A$10:$A$3209,"&lt;"&amp;$A1687+1)/$AD1687)))</f>
        <v/>
      </c>
      <c r="D1687" s="56">
        <f>IF($B1687=0,"",IF(Inputs!$B$7="","",IF($AE1687=0,D1686,SUMIFS(Data!$F$10:$F$3209,Data!$E$10:$E$3209,"&gt;="&amp;$A1687,Data!$E$10:$E$3209,"&lt;"&amp;$A1687+1)/$AE1687)))</f>
        <v/>
      </c>
      <c r="E1687" s="56">
        <f>IF($B1687=0,"",IF(Inputs!$B$8="","",IF($AF1687=0,E1686,SUMIFS(Data!$J$10:$J$3209,Data!$I$10:$I$3209,"&gt;="&amp;$A1687,Data!$I$10:$I$3209,"&lt;"&amp;$A1687+1)/$AF1687)))</f>
        <v/>
      </c>
      <c r="F1687" s="56">
        <f>IF($B1687=0,"",IF(Inputs!$B$9="","",IF($AG1687=0,F1686,SUMIFS(Data!$N$10:$N$3209,Data!$M$10:$M$3209,"&gt;="&amp;$A1687,Data!$M$10:$M$3209,"&lt;"&amp;$A1687+1)/$AG1687)))</f>
        <v/>
      </c>
      <c r="G1687" s="56">
        <f>IF($B1687=0,"",IF(Inputs!$B$10="","",IF($AH1687=0,G1686,SUMIFS(Data!$R$10:$R$3209,Data!$Q$10:$Q$3209,"&gt;="&amp;$A1687,Data!$Q$10:$Q$3209,"&lt;"&amp;$A1687+1)/$AH1687)))</f>
        <v/>
      </c>
      <c r="I1687" s="54">
        <f>IF($B1687=0,NA(),IF($C1687="",NA(),IF(C$8="",NA(),IF(N(C$8)=0,NA(),IF(Inputs!$C$17="Rebased to 100",$C1687/C$8*100,$C1687)))))</f>
        <v/>
      </c>
      <c r="J1687" s="54">
        <f>IF($B1687=0,NA(),IF($D1687="",NA(),IF(D$8="",NA(),IF(N(D$8)=0,NA(),IF(Inputs!$C$17="Rebased to 100",$D1687/D$8*100,$D1687)))))</f>
        <v/>
      </c>
      <c r="K1687" s="54">
        <f>IF($B1687=0,NA(),IF($E1687="",NA(),IF(E$8="",NA(),IF(N(E$8)=0,NA(),IF(Inputs!$C$17="Rebased to 100",$E1687/E$8*100,$E1687)))))</f>
        <v/>
      </c>
      <c r="L1687" s="54">
        <f>IF($B1687=0,NA(),IF($F1687="",NA(),IF(F$8="",NA(),IF(N(F$8)=0,NA(),IF(Inputs!$C$17="Rebased to 100",$F1687/F$8*100,$F1687)))))</f>
        <v/>
      </c>
      <c r="M1687" s="54">
        <f>IF($B1687=0,NA(),IF($G1687="",NA(),IF(G$8="",NA(),IF(N(G$8)=0,NA(),IF(Inputs!$C$17="Rebased to 100",$G1687/G$8*100,$G1687)))))</f>
        <v/>
      </c>
      <c r="N1687" s="54">
        <f>IF($B1687=0,NA(),IF(Inputs!$C$18&lt;&gt;"Yes",NA(),IF(COUNT(I1687,J1687,K1687,L1687,M1687)=0,NA(),MIN(I1687,J1687,K1687,L1687,M1687))))</f>
        <v/>
      </c>
      <c r="O1687" s="54">
        <f>IF($B1687=0,NA(),IF(Inputs!$B$24&lt;&gt;"Yes",NA(),Inputs!$D$24*Inputs!$C$35))</f>
        <v/>
      </c>
      <c r="P1687" s="54">
        <f>IF($B1687=0,NA(),IF(Inputs!$B$25&lt;&gt;"Yes",NA(),Inputs!$D$25*Inputs!$C$35))</f>
        <v/>
      </c>
      <c r="Q1687" s="54">
        <f>IF($B1687=0,NA(),IF(Inputs!$B$26&lt;&gt;"Yes",NA(),Inputs!$D$26*Inputs!$C$35))</f>
        <v/>
      </c>
      <c r="R1687" s="54">
        <f>IF($B1687=0,NA(),IF(Inputs!$B$27&lt;&gt;"Yes",NA(),Inputs!$D$27*Inputs!$C$35))</f>
        <v/>
      </c>
      <c r="S1687" s="54">
        <f>IF($B1687=0,NA(),IF(Inputs!$B$28&lt;&gt;"Yes",NA(),Inputs!$D$28*Inputs!$C$35))</f>
        <v/>
      </c>
      <c r="T1687" s="54">
        <f>IF($B1687=0,NA(),IF(Inputs!$B$29&lt;&gt;"Yes",NA(),Inputs!$D$29*Inputs!$C$35))</f>
        <v/>
      </c>
      <c r="AD1687">
        <f>IF($B1687=0,0,IF(Inputs!$B$6="",0,COUNTIFS(Data!$A$10:$A$3209,"&gt;="&amp;$A1687,Data!$A$10:$A$3209,"&lt;"&amp;$A1687+1)))</f>
        <v/>
      </c>
      <c r="AE1687">
        <f>IF($B1687=0,0,IF(Inputs!$B$7="",0,COUNTIFS(Data!$E$10:$E$3209,"&gt;="&amp;$A1687,Data!$E$10:$E$3209,"&lt;"&amp;$A1687+1)))</f>
        <v/>
      </c>
      <c r="AF1687">
        <f>IF($B1687=0,0,IF(Inputs!$B$8="",0,COUNTIFS(Data!$I$10:$I$3209,"&gt;="&amp;$A1687,Data!$I$10:$I$3209,"&lt;"&amp;$A1687+1)))</f>
        <v/>
      </c>
      <c r="AG1687">
        <f>IF($B1687=0,0,IF(Inputs!$B$9="",0,COUNTIFS(Data!$M$10:$M$3209,"&gt;="&amp;$A1687,Data!$M$10:$M$3209,"&lt;"&amp;$A1687+1)))</f>
        <v/>
      </c>
      <c r="AH1687">
        <f>IF($B1687=0,0,IF(Inputs!$B$10="",0,COUNTIFS(Data!$Q$10:$Q$3209,"&gt;="&amp;$A1687,Data!$Q$10:$Q$3209,"&lt;"&amp;$A1687+1)))</f>
        <v/>
      </c>
    </row>
    <row r="1688">
      <c r="A1688" s="55">
        <f>MIN(Inputs!$C$15,$A1687+IF(WEEKDAY($A1687,2)=5,3,1))</f>
        <v/>
      </c>
      <c r="B1688">
        <f>IF($A1688&gt;$A1687,1,0)</f>
        <v/>
      </c>
      <c r="C1688" s="56">
        <f>IF($B1688=0,"",IF(Inputs!$B$6="","",IF($AD1688=0,C1687,SUMIFS(Data!$B$10:$B$3209,Data!$A$10:$A$3209,"&gt;="&amp;$A1688,Data!$A$10:$A$3209,"&lt;"&amp;$A1688+1)/$AD1688)))</f>
        <v/>
      </c>
      <c r="D1688" s="56">
        <f>IF($B1688=0,"",IF(Inputs!$B$7="","",IF($AE1688=0,D1687,SUMIFS(Data!$F$10:$F$3209,Data!$E$10:$E$3209,"&gt;="&amp;$A1688,Data!$E$10:$E$3209,"&lt;"&amp;$A1688+1)/$AE1688)))</f>
        <v/>
      </c>
      <c r="E1688" s="56">
        <f>IF($B1688=0,"",IF(Inputs!$B$8="","",IF($AF1688=0,E1687,SUMIFS(Data!$J$10:$J$3209,Data!$I$10:$I$3209,"&gt;="&amp;$A1688,Data!$I$10:$I$3209,"&lt;"&amp;$A1688+1)/$AF1688)))</f>
        <v/>
      </c>
      <c r="F1688" s="56">
        <f>IF($B1688=0,"",IF(Inputs!$B$9="","",IF($AG1688=0,F1687,SUMIFS(Data!$N$10:$N$3209,Data!$M$10:$M$3209,"&gt;="&amp;$A1688,Data!$M$10:$M$3209,"&lt;"&amp;$A1688+1)/$AG1688)))</f>
        <v/>
      </c>
      <c r="G1688" s="56">
        <f>IF($B1688=0,"",IF(Inputs!$B$10="","",IF($AH1688=0,G1687,SUMIFS(Data!$R$10:$R$3209,Data!$Q$10:$Q$3209,"&gt;="&amp;$A1688,Data!$Q$10:$Q$3209,"&lt;"&amp;$A1688+1)/$AH1688)))</f>
        <v/>
      </c>
      <c r="I1688" s="54">
        <f>IF($B1688=0,NA(),IF($C1688="",NA(),IF(C$8="",NA(),IF(N(C$8)=0,NA(),IF(Inputs!$C$17="Rebased to 100",$C1688/C$8*100,$C1688)))))</f>
        <v/>
      </c>
      <c r="J1688" s="54">
        <f>IF($B1688=0,NA(),IF($D1688="",NA(),IF(D$8="",NA(),IF(N(D$8)=0,NA(),IF(Inputs!$C$17="Rebased to 100",$D1688/D$8*100,$D1688)))))</f>
        <v/>
      </c>
      <c r="K1688" s="54">
        <f>IF($B1688=0,NA(),IF($E1688="",NA(),IF(E$8="",NA(),IF(N(E$8)=0,NA(),IF(Inputs!$C$17="Rebased to 100",$E1688/E$8*100,$E1688)))))</f>
        <v/>
      </c>
      <c r="L1688" s="54">
        <f>IF($B1688=0,NA(),IF($F1688="",NA(),IF(F$8="",NA(),IF(N(F$8)=0,NA(),IF(Inputs!$C$17="Rebased to 100",$F1688/F$8*100,$F1688)))))</f>
        <v/>
      </c>
      <c r="M1688" s="54">
        <f>IF($B1688=0,NA(),IF($G1688="",NA(),IF(G$8="",NA(),IF(N(G$8)=0,NA(),IF(Inputs!$C$17="Rebased to 100",$G1688/G$8*100,$G1688)))))</f>
        <v/>
      </c>
      <c r="N1688" s="54">
        <f>IF($B1688=0,NA(),IF(Inputs!$C$18&lt;&gt;"Yes",NA(),IF(COUNT(I1688,J1688,K1688,L1688,M1688)=0,NA(),MIN(I1688,J1688,K1688,L1688,M1688))))</f>
        <v/>
      </c>
      <c r="O1688" s="54">
        <f>IF($B1688=0,NA(),IF(Inputs!$B$24&lt;&gt;"Yes",NA(),Inputs!$D$24*Inputs!$C$35))</f>
        <v/>
      </c>
      <c r="P1688" s="54">
        <f>IF($B1688=0,NA(),IF(Inputs!$B$25&lt;&gt;"Yes",NA(),Inputs!$D$25*Inputs!$C$35))</f>
        <v/>
      </c>
      <c r="Q1688" s="54">
        <f>IF($B1688=0,NA(),IF(Inputs!$B$26&lt;&gt;"Yes",NA(),Inputs!$D$26*Inputs!$C$35))</f>
        <v/>
      </c>
      <c r="R1688" s="54">
        <f>IF($B1688=0,NA(),IF(Inputs!$B$27&lt;&gt;"Yes",NA(),Inputs!$D$27*Inputs!$C$35))</f>
        <v/>
      </c>
      <c r="S1688" s="54">
        <f>IF($B1688=0,NA(),IF(Inputs!$B$28&lt;&gt;"Yes",NA(),Inputs!$D$28*Inputs!$C$35))</f>
        <v/>
      </c>
      <c r="T1688" s="54">
        <f>IF($B1688=0,NA(),IF(Inputs!$B$29&lt;&gt;"Yes",NA(),Inputs!$D$29*Inputs!$C$35))</f>
        <v/>
      </c>
      <c r="AD1688">
        <f>IF($B1688=0,0,IF(Inputs!$B$6="",0,COUNTIFS(Data!$A$10:$A$3209,"&gt;="&amp;$A1688,Data!$A$10:$A$3209,"&lt;"&amp;$A1688+1)))</f>
        <v/>
      </c>
      <c r="AE1688">
        <f>IF($B1688=0,0,IF(Inputs!$B$7="",0,COUNTIFS(Data!$E$10:$E$3209,"&gt;="&amp;$A1688,Data!$E$10:$E$3209,"&lt;"&amp;$A1688+1)))</f>
        <v/>
      </c>
      <c r="AF1688">
        <f>IF($B1688=0,0,IF(Inputs!$B$8="",0,COUNTIFS(Data!$I$10:$I$3209,"&gt;="&amp;$A1688,Data!$I$10:$I$3209,"&lt;"&amp;$A1688+1)))</f>
        <v/>
      </c>
      <c r="AG1688">
        <f>IF($B1688=0,0,IF(Inputs!$B$9="",0,COUNTIFS(Data!$M$10:$M$3209,"&gt;="&amp;$A1688,Data!$M$10:$M$3209,"&lt;"&amp;$A1688+1)))</f>
        <v/>
      </c>
      <c r="AH1688">
        <f>IF($B1688=0,0,IF(Inputs!$B$10="",0,COUNTIFS(Data!$Q$10:$Q$3209,"&gt;="&amp;$A1688,Data!$Q$10:$Q$3209,"&lt;"&amp;$A1688+1)))</f>
        <v/>
      </c>
    </row>
    <row r="1689">
      <c r="A1689" s="55">
        <f>MIN(Inputs!$C$15,$A1688+IF(WEEKDAY($A1688,2)=5,3,1))</f>
        <v/>
      </c>
      <c r="B1689">
        <f>IF($A1689&gt;$A1688,1,0)</f>
        <v/>
      </c>
      <c r="C1689" s="56">
        <f>IF($B1689=0,"",IF(Inputs!$B$6="","",IF($AD1689=0,C1688,SUMIFS(Data!$B$10:$B$3209,Data!$A$10:$A$3209,"&gt;="&amp;$A1689,Data!$A$10:$A$3209,"&lt;"&amp;$A1689+1)/$AD1689)))</f>
        <v/>
      </c>
      <c r="D1689" s="56">
        <f>IF($B1689=0,"",IF(Inputs!$B$7="","",IF($AE1689=0,D1688,SUMIFS(Data!$F$10:$F$3209,Data!$E$10:$E$3209,"&gt;="&amp;$A1689,Data!$E$10:$E$3209,"&lt;"&amp;$A1689+1)/$AE1689)))</f>
        <v/>
      </c>
      <c r="E1689" s="56">
        <f>IF($B1689=0,"",IF(Inputs!$B$8="","",IF($AF1689=0,E1688,SUMIFS(Data!$J$10:$J$3209,Data!$I$10:$I$3209,"&gt;="&amp;$A1689,Data!$I$10:$I$3209,"&lt;"&amp;$A1689+1)/$AF1689)))</f>
        <v/>
      </c>
      <c r="F1689" s="56">
        <f>IF($B1689=0,"",IF(Inputs!$B$9="","",IF($AG1689=0,F1688,SUMIFS(Data!$N$10:$N$3209,Data!$M$10:$M$3209,"&gt;="&amp;$A1689,Data!$M$10:$M$3209,"&lt;"&amp;$A1689+1)/$AG1689)))</f>
        <v/>
      </c>
      <c r="G1689" s="56">
        <f>IF($B1689=0,"",IF(Inputs!$B$10="","",IF($AH1689=0,G1688,SUMIFS(Data!$R$10:$R$3209,Data!$Q$10:$Q$3209,"&gt;="&amp;$A1689,Data!$Q$10:$Q$3209,"&lt;"&amp;$A1689+1)/$AH1689)))</f>
        <v/>
      </c>
      <c r="I1689" s="54">
        <f>IF($B1689=0,NA(),IF($C1689="",NA(),IF(C$8="",NA(),IF(N(C$8)=0,NA(),IF(Inputs!$C$17="Rebased to 100",$C1689/C$8*100,$C1689)))))</f>
        <v/>
      </c>
      <c r="J1689" s="54">
        <f>IF($B1689=0,NA(),IF($D1689="",NA(),IF(D$8="",NA(),IF(N(D$8)=0,NA(),IF(Inputs!$C$17="Rebased to 100",$D1689/D$8*100,$D1689)))))</f>
        <v/>
      </c>
      <c r="K1689" s="54">
        <f>IF($B1689=0,NA(),IF($E1689="",NA(),IF(E$8="",NA(),IF(N(E$8)=0,NA(),IF(Inputs!$C$17="Rebased to 100",$E1689/E$8*100,$E1689)))))</f>
        <v/>
      </c>
      <c r="L1689" s="54">
        <f>IF($B1689=0,NA(),IF($F1689="",NA(),IF(F$8="",NA(),IF(N(F$8)=0,NA(),IF(Inputs!$C$17="Rebased to 100",$F1689/F$8*100,$F1689)))))</f>
        <v/>
      </c>
      <c r="M1689" s="54">
        <f>IF($B1689=0,NA(),IF($G1689="",NA(),IF(G$8="",NA(),IF(N(G$8)=0,NA(),IF(Inputs!$C$17="Rebased to 100",$G1689/G$8*100,$G1689)))))</f>
        <v/>
      </c>
      <c r="N1689" s="54">
        <f>IF($B1689=0,NA(),IF(Inputs!$C$18&lt;&gt;"Yes",NA(),IF(COUNT(I1689,J1689,K1689,L1689,M1689)=0,NA(),MIN(I1689,J1689,K1689,L1689,M1689))))</f>
        <v/>
      </c>
      <c r="O1689" s="54">
        <f>IF($B1689=0,NA(),IF(Inputs!$B$24&lt;&gt;"Yes",NA(),Inputs!$D$24*Inputs!$C$35))</f>
        <v/>
      </c>
      <c r="P1689" s="54">
        <f>IF($B1689=0,NA(),IF(Inputs!$B$25&lt;&gt;"Yes",NA(),Inputs!$D$25*Inputs!$C$35))</f>
        <v/>
      </c>
      <c r="Q1689" s="54">
        <f>IF($B1689=0,NA(),IF(Inputs!$B$26&lt;&gt;"Yes",NA(),Inputs!$D$26*Inputs!$C$35))</f>
        <v/>
      </c>
      <c r="R1689" s="54">
        <f>IF($B1689=0,NA(),IF(Inputs!$B$27&lt;&gt;"Yes",NA(),Inputs!$D$27*Inputs!$C$35))</f>
        <v/>
      </c>
      <c r="S1689" s="54">
        <f>IF($B1689=0,NA(),IF(Inputs!$B$28&lt;&gt;"Yes",NA(),Inputs!$D$28*Inputs!$C$35))</f>
        <v/>
      </c>
      <c r="T1689" s="54">
        <f>IF($B1689=0,NA(),IF(Inputs!$B$29&lt;&gt;"Yes",NA(),Inputs!$D$29*Inputs!$C$35))</f>
        <v/>
      </c>
      <c r="AD1689">
        <f>IF($B1689=0,0,IF(Inputs!$B$6="",0,COUNTIFS(Data!$A$10:$A$3209,"&gt;="&amp;$A1689,Data!$A$10:$A$3209,"&lt;"&amp;$A1689+1)))</f>
        <v/>
      </c>
      <c r="AE1689">
        <f>IF($B1689=0,0,IF(Inputs!$B$7="",0,COUNTIFS(Data!$E$10:$E$3209,"&gt;="&amp;$A1689,Data!$E$10:$E$3209,"&lt;"&amp;$A1689+1)))</f>
        <v/>
      </c>
      <c r="AF1689">
        <f>IF($B1689=0,0,IF(Inputs!$B$8="",0,COUNTIFS(Data!$I$10:$I$3209,"&gt;="&amp;$A1689,Data!$I$10:$I$3209,"&lt;"&amp;$A1689+1)))</f>
        <v/>
      </c>
      <c r="AG1689">
        <f>IF($B1689=0,0,IF(Inputs!$B$9="",0,COUNTIFS(Data!$M$10:$M$3209,"&gt;="&amp;$A1689,Data!$M$10:$M$3209,"&lt;"&amp;$A1689+1)))</f>
        <v/>
      </c>
      <c r="AH1689">
        <f>IF($B1689=0,0,IF(Inputs!$B$10="",0,COUNTIFS(Data!$Q$10:$Q$3209,"&gt;="&amp;$A1689,Data!$Q$10:$Q$3209,"&lt;"&amp;$A1689+1)))</f>
        <v/>
      </c>
    </row>
    <row r="1690">
      <c r="A1690" s="55">
        <f>MIN(Inputs!$C$15,$A1689+IF(WEEKDAY($A1689,2)=5,3,1))</f>
        <v/>
      </c>
      <c r="B1690">
        <f>IF($A1690&gt;$A1689,1,0)</f>
        <v/>
      </c>
      <c r="C1690" s="56">
        <f>IF($B1690=0,"",IF(Inputs!$B$6="","",IF($AD1690=0,C1689,SUMIFS(Data!$B$10:$B$3209,Data!$A$10:$A$3209,"&gt;="&amp;$A1690,Data!$A$10:$A$3209,"&lt;"&amp;$A1690+1)/$AD1690)))</f>
        <v/>
      </c>
      <c r="D1690" s="56">
        <f>IF($B1690=0,"",IF(Inputs!$B$7="","",IF($AE1690=0,D1689,SUMIFS(Data!$F$10:$F$3209,Data!$E$10:$E$3209,"&gt;="&amp;$A1690,Data!$E$10:$E$3209,"&lt;"&amp;$A1690+1)/$AE1690)))</f>
        <v/>
      </c>
      <c r="E1690" s="56">
        <f>IF($B1690=0,"",IF(Inputs!$B$8="","",IF($AF1690=0,E1689,SUMIFS(Data!$J$10:$J$3209,Data!$I$10:$I$3209,"&gt;="&amp;$A1690,Data!$I$10:$I$3209,"&lt;"&amp;$A1690+1)/$AF1690)))</f>
        <v/>
      </c>
      <c r="F1690" s="56">
        <f>IF($B1690=0,"",IF(Inputs!$B$9="","",IF($AG1690=0,F1689,SUMIFS(Data!$N$10:$N$3209,Data!$M$10:$M$3209,"&gt;="&amp;$A1690,Data!$M$10:$M$3209,"&lt;"&amp;$A1690+1)/$AG1690)))</f>
        <v/>
      </c>
      <c r="G1690" s="56">
        <f>IF($B1690=0,"",IF(Inputs!$B$10="","",IF($AH1690=0,G1689,SUMIFS(Data!$R$10:$R$3209,Data!$Q$10:$Q$3209,"&gt;="&amp;$A1690,Data!$Q$10:$Q$3209,"&lt;"&amp;$A1690+1)/$AH1690)))</f>
        <v/>
      </c>
      <c r="I1690" s="54">
        <f>IF($B1690=0,NA(),IF($C1690="",NA(),IF(C$8="",NA(),IF(N(C$8)=0,NA(),IF(Inputs!$C$17="Rebased to 100",$C1690/C$8*100,$C1690)))))</f>
        <v/>
      </c>
      <c r="J1690" s="54">
        <f>IF($B1690=0,NA(),IF($D1690="",NA(),IF(D$8="",NA(),IF(N(D$8)=0,NA(),IF(Inputs!$C$17="Rebased to 100",$D1690/D$8*100,$D1690)))))</f>
        <v/>
      </c>
      <c r="K1690" s="54">
        <f>IF($B1690=0,NA(),IF($E1690="",NA(),IF(E$8="",NA(),IF(N(E$8)=0,NA(),IF(Inputs!$C$17="Rebased to 100",$E1690/E$8*100,$E1690)))))</f>
        <v/>
      </c>
      <c r="L1690" s="54">
        <f>IF($B1690=0,NA(),IF($F1690="",NA(),IF(F$8="",NA(),IF(N(F$8)=0,NA(),IF(Inputs!$C$17="Rebased to 100",$F1690/F$8*100,$F1690)))))</f>
        <v/>
      </c>
      <c r="M1690" s="54">
        <f>IF($B1690=0,NA(),IF($G1690="",NA(),IF(G$8="",NA(),IF(N(G$8)=0,NA(),IF(Inputs!$C$17="Rebased to 100",$G1690/G$8*100,$G1690)))))</f>
        <v/>
      </c>
      <c r="N1690" s="54">
        <f>IF($B1690=0,NA(),IF(Inputs!$C$18&lt;&gt;"Yes",NA(),IF(COUNT(I1690,J1690,K1690,L1690,M1690)=0,NA(),MIN(I1690,J1690,K1690,L1690,M1690))))</f>
        <v/>
      </c>
      <c r="O1690" s="54">
        <f>IF($B1690=0,NA(),IF(Inputs!$B$24&lt;&gt;"Yes",NA(),Inputs!$D$24*Inputs!$C$35))</f>
        <v/>
      </c>
      <c r="P1690" s="54">
        <f>IF($B1690=0,NA(),IF(Inputs!$B$25&lt;&gt;"Yes",NA(),Inputs!$D$25*Inputs!$C$35))</f>
        <v/>
      </c>
      <c r="Q1690" s="54">
        <f>IF($B1690=0,NA(),IF(Inputs!$B$26&lt;&gt;"Yes",NA(),Inputs!$D$26*Inputs!$C$35))</f>
        <v/>
      </c>
      <c r="R1690" s="54">
        <f>IF($B1690=0,NA(),IF(Inputs!$B$27&lt;&gt;"Yes",NA(),Inputs!$D$27*Inputs!$C$35))</f>
        <v/>
      </c>
      <c r="S1690" s="54">
        <f>IF($B1690=0,NA(),IF(Inputs!$B$28&lt;&gt;"Yes",NA(),Inputs!$D$28*Inputs!$C$35))</f>
        <v/>
      </c>
      <c r="T1690" s="54">
        <f>IF($B1690=0,NA(),IF(Inputs!$B$29&lt;&gt;"Yes",NA(),Inputs!$D$29*Inputs!$C$35))</f>
        <v/>
      </c>
      <c r="AD1690">
        <f>IF($B1690=0,0,IF(Inputs!$B$6="",0,COUNTIFS(Data!$A$10:$A$3209,"&gt;="&amp;$A1690,Data!$A$10:$A$3209,"&lt;"&amp;$A1690+1)))</f>
        <v/>
      </c>
      <c r="AE1690">
        <f>IF($B1690=0,0,IF(Inputs!$B$7="",0,COUNTIFS(Data!$E$10:$E$3209,"&gt;="&amp;$A1690,Data!$E$10:$E$3209,"&lt;"&amp;$A1690+1)))</f>
        <v/>
      </c>
      <c r="AF1690">
        <f>IF($B1690=0,0,IF(Inputs!$B$8="",0,COUNTIFS(Data!$I$10:$I$3209,"&gt;="&amp;$A1690,Data!$I$10:$I$3209,"&lt;"&amp;$A1690+1)))</f>
        <v/>
      </c>
      <c r="AG1690">
        <f>IF($B1690=0,0,IF(Inputs!$B$9="",0,COUNTIFS(Data!$M$10:$M$3209,"&gt;="&amp;$A1690,Data!$M$10:$M$3209,"&lt;"&amp;$A1690+1)))</f>
        <v/>
      </c>
      <c r="AH1690">
        <f>IF($B1690=0,0,IF(Inputs!$B$10="",0,COUNTIFS(Data!$Q$10:$Q$3209,"&gt;="&amp;$A1690,Data!$Q$10:$Q$3209,"&lt;"&amp;$A1690+1)))</f>
        <v/>
      </c>
    </row>
    <row r="1691">
      <c r="A1691" s="55">
        <f>MIN(Inputs!$C$15,$A1690+IF(WEEKDAY($A1690,2)=5,3,1))</f>
        <v/>
      </c>
      <c r="B1691">
        <f>IF($A1691&gt;$A1690,1,0)</f>
        <v/>
      </c>
      <c r="C1691" s="56">
        <f>IF($B1691=0,"",IF(Inputs!$B$6="","",IF($AD1691=0,C1690,SUMIFS(Data!$B$10:$B$3209,Data!$A$10:$A$3209,"&gt;="&amp;$A1691,Data!$A$10:$A$3209,"&lt;"&amp;$A1691+1)/$AD1691)))</f>
        <v/>
      </c>
      <c r="D1691" s="56">
        <f>IF($B1691=0,"",IF(Inputs!$B$7="","",IF($AE1691=0,D1690,SUMIFS(Data!$F$10:$F$3209,Data!$E$10:$E$3209,"&gt;="&amp;$A1691,Data!$E$10:$E$3209,"&lt;"&amp;$A1691+1)/$AE1691)))</f>
        <v/>
      </c>
      <c r="E1691" s="56">
        <f>IF($B1691=0,"",IF(Inputs!$B$8="","",IF($AF1691=0,E1690,SUMIFS(Data!$J$10:$J$3209,Data!$I$10:$I$3209,"&gt;="&amp;$A1691,Data!$I$10:$I$3209,"&lt;"&amp;$A1691+1)/$AF1691)))</f>
        <v/>
      </c>
      <c r="F1691" s="56">
        <f>IF($B1691=0,"",IF(Inputs!$B$9="","",IF($AG1691=0,F1690,SUMIFS(Data!$N$10:$N$3209,Data!$M$10:$M$3209,"&gt;="&amp;$A1691,Data!$M$10:$M$3209,"&lt;"&amp;$A1691+1)/$AG1691)))</f>
        <v/>
      </c>
      <c r="G1691" s="56">
        <f>IF($B1691=0,"",IF(Inputs!$B$10="","",IF($AH1691=0,G1690,SUMIFS(Data!$R$10:$R$3209,Data!$Q$10:$Q$3209,"&gt;="&amp;$A1691,Data!$Q$10:$Q$3209,"&lt;"&amp;$A1691+1)/$AH1691)))</f>
        <v/>
      </c>
      <c r="I1691" s="54">
        <f>IF($B1691=0,NA(),IF($C1691="",NA(),IF(C$8="",NA(),IF(N(C$8)=0,NA(),IF(Inputs!$C$17="Rebased to 100",$C1691/C$8*100,$C1691)))))</f>
        <v/>
      </c>
      <c r="J1691" s="54">
        <f>IF($B1691=0,NA(),IF($D1691="",NA(),IF(D$8="",NA(),IF(N(D$8)=0,NA(),IF(Inputs!$C$17="Rebased to 100",$D1691/D$8*100,$D1691)))))</f>
        <v/>
      </c>
      <c r="K1691" s="54">
        <f>IF($B1691=0,NA(),IF($E1691="",NA(),IF(E$8="",NA(),IF(N(E$8)=0,NA(),IF(Inputs!$C$17="Rebased to 100",$E1691/E$8*100,$E1691)))))</f>
        <v/>
      </c>
      <c r="L1691" s="54">
        <f>IF($B1691=0,NA(),IF($F1691="",NA(),IF(F$8="",NA(),IF(N(F$8)=0,NA(),IF(Inputs!$C$17="Rebased to 100",$F1691/F$8*100,$F1691)))))</f>
        <v/>
      </c>
      <c r="M1691" s="54">
        <f>IF($B1691=0,NA(),IF($G1691="",NA(),IF(G$8="",NA(),IF(N(G$8)=0,NA(),IF(Inputs!$C$17="Rebased to 100",$G1691/G$8*100,$G1691)))))</f>
        <v/>
      </c>
      <c r="N1691" s="54">
        <f>IF($B1691=0,NA(),IF(Inputs!$C$18&lt;&gt;"Yes",NA(),IF(COUNT(I1691,J1691,K1691,L1691,M1691)=0,NA(),MIN(I1691,J1691,K1691,L1691,M1691))))</f>
        <v/>
      </c>
      <c r="O1691" s="54">
        <f>IF($B1691=0,NA(),IF(Inputs!$B$24&lt;&gt;"Yes",NA(),Inputs!$D$24*Inputs!$C$35))</f>
        <v/>
      </c>
      <c r="P1691" s="54">
        <f>IF($B1691=0,NA(),IF(Inputs!$B$25&lt;&gt;"Yes",NA(),Inputs!$D$25*Inputs!$C$35))</f>
        <v/>
      </c>
      <c r="Q1691" s="54">
        <f>IF($B1691=0,NA(),IF(Inputs!$B$26&lt;&gt;"Yes",NA(),Inputs!$D$26*Inputs!$C$35))</f>
        <v/>
      </c>
      <c r="R1691" s="54">
        <f>IF($B1691=0,NA(),IF(Inputs!$B$27&lt;&gt;"Yes",NA(),Inputs!$D$27*Inputs!$C$35))</f>
        <v/>
      </c>
      <c r="S1691" s="54">
        <f>IF($B1691=0,NA(),IF(Inputs!$B$28&lt;&gt;"Yes",NA(),Inputs!$D$28*Inputs!$C$35))</f>
        <v/>
      </c>
      <c r="T1691" s="54">
        <f>IF($B1691=0,NA(),IF(Inputs!$B$29&lt;&gt;"Yes",NA(),Inputs!$D$29*Inputs!$C$35))</f>
        <v/>
      </c>
      <c r="AD1691">
        <f>IF($B1691=0,0,IF(Inputs!$B$6="",0,COUNTIFS(Data!$A$10:$A$3209,"&gt;="&amp;$A1691,Data!$A$10:$A$3209,"&lt;"&amp;$A1691+1)))</f>
        <v/>
      </c>
      <c r="AE1691">
        <f>IF($B1691=0,0,IF(Inputs!$B$7="",0,COUNTIFS(Data!$E$10:$E$3209,"&gt;="&amp;$A1691,Data!$E$10:$E$3209,"&lt;"&amp;$A1691+1)))</f>
        <v/>
      </c>
      <c r="AF1691">
        <f>IF($B1691=0,0,IF(Inputs!$B$8="",0,COUNTIFS(Data!$I$10:$I$3209,"&gt;="&amp;$A1691,Data!$I$10:$I$3209,"&lt;"&amp;$A1691+1)))</f>
        <v/>
      </c>
      <c r="AG1691">
        <f>IF($B1691=0,0,IF(Inputs!$B$9="",0,COUNTIFS(Data!$M$10:$M$3209,"&gt;="&amp;$A1691,Data!$M$10:$M$3209,"&lt;"&amp;$A1691+1)))</f>
        <v/>
      </c>
      <c r="AH1691">
        <f>IF($B1691=0,0,IF(Inputs!$B$10="",0,COUNTIFS(Data!$Q$10:$Q$3209,"&gt;="&amp;$A1691,Data!$Q$10:$Q$3209,"&lt;"&amp;$A1691+1)))</f>
        <v/>
      </c>
    </row>
    <row r="1692">
      <c r="A1692" s="55">
        <f>MIN(Inputs!$C$15,$A1691+IF(WEEKDAY($A1691,2)=5,3,1))</f>
        <v/>
      </c>
      <c r="B1692">
        <f>IF($A1692&gt;$A1691,1,0)</f>
        <v/>
      </c>
      <c r="C1692" s="56">
        <f>IF($B1692=0,"",IF(Inputs!$B$6="","",IF($AD1692=0,C1691,SUMIFS(Data!$B$10:$B$3209,Data!$A$10:$A$3209,"&gt;="&amp;$A1692,Data!$A$10:$A$3209,"&lt;"&amp;$A1692+1)/$AD1692)))</f>
        <v/>
      </c>
      <c r="D1692" s="56">
        <f>IF($B1692=0,"",IF(Inputs!$B$7="","",IF($AE1692=0,D1691,SUMIFS(Data!$F$10:$F$3209,Data!$E$10:$E$3209,"&gt;="&amp;$A1692,Data!$E$10:$E$3209,"&lt;"&amp;$A1692+1)/$AE1692)))</f>
        <v/>
      </c>
      <c r="E1692" s="56">
        <f>IF($B1692=0,"",IF(Inputs!$B$8="","",IF($AF1692=0,E1691,SUMIFS(Data!$J$10:$J$3209,Data!$I$10:$I$3209,"&gt;="&amp;$A1692,Data!$I$10:$I$3209,"&lt;"&amp;$A1692+1)/$AF1692)))</f>
        <v/>
      </c>
      <c r="F1692" s="56">
        <f>IF($B1692=0,"",IF(Inputs!$B$9="","",IF($AG1692=0,F1691,SUMIFS(Data!$N$10:$N$3209,Data!$M$10:$M$3209,"&gt;="&amp;$A1692,Data!$M$10:$M$3209,"&lt;"&amp;$A1692+1)/$AG1692)))</f>
        <v/>
      </c>
      <c r="G1692" s="56">
        <f>IF($B1692=0,"",IF(Inputs!$B$10="","",IF($AH1692=0,G1691,SUMIFS(Data!$R$10:$R$3209,Data!$Q$10:$Q$3209,"&gt;="&amp;$A1692,Data!$Q$10:$Q$3209,"&lt;"&amp;$A1692+1)/$AH1692)))</f>
        <v/>
      </c>
      <c r="I1692" s="54">
        <f>IF($B1692=0,NA(),IF($C1692="",NA(),IF(C$8="",NA(),IF(N(C$8)=0,NA(),IF(Inputs!$C$17="Rebased to 100",$C1692/C$8*100,$C1692)))))</f>
        <v/>
      </c>
      <c r="J1692" s="54">
        <f>IF($B1692=0,NA(),IF($D1692="",NA(),IF(D$8="",NA(),IF(N(D$8)=0,NA(),IF(Inputs!$C$17="Rebased to 100",$D1692/D$8*100,$D1692)))))</f>
        <v/>
      </c>
      <c r="K1692" s="54">
        <f>IF($B1692=0,NA(),IF($E1692="",NA(),IF(E$8="",NA(),IF(N(E$8)=0,NA(),IF(Inputs!$C$17="Rebased to 100",$E1692/E$8*100,$E1692)))))</f>
        <v/>
      </c>
      <c r="L1692" s="54">
        <f>IF($B1692=0,NA(),IF($F1692="",NA(),IF(F$8="",NA(),IF(N(F$8)=0,NA(),IF(Inputs!$C$17="Rebased to 100",$F1692/F$8*100,$F1692)))))</f>
        <v/>
      </c>
      <c r="M1692" s="54">
        <f>IF($B1692=0,NA(),IF($G1692="",NA(),IF(G$8="",NA(),IF(N(G$8)=0,NA(),IF(Inputs!$C$17="Rebased to 100",$G1692/G$8*100,$G1692)))))</f>
        <v/>
      </c>
      <c r="N1692" s="54">
        <f>IF($B1692=0,NA(),IF(Inputs!$C$18&lt;&gt;"Yes",NA(),IF(COUNT(I1692,J1692,K1692,L1692,M1692)=0,NA(),MIN(I1692,J1692,K1692,L1692,M1692))))</f>
        <v/>
      </c>
      <c r="O1692" s="54">
        <f>IF($B1692=0,NA(),IF(Inputs!$B$24&lt;&gt;"Yes",NA(),Inputs!$D$24*Inputs!$C$35))</f>
        <v/>
      </c>
      <c r="P1692" s="54">
        <f>IF($B1692=0,NA(),IF(Inputs!$B$25&lt;&gt;"Yes",NA(),Inputs!$D$25*Inputs!$C$35))</f>
        <v/>
      </c>
      <c r="Q1692" s="54">
        <f>IF($B1692=0,NA(),IF(Inputs!$B$26&lt;&gt;"Yes",NA(),Inputs!$D$26*Inputs!$C$35))</f>
        <v/>
      </c>
      <c r="R1692" s="54">
        <f>IF($B1692=0,NA(),IF(Inputs!$B$27&lt;&gt;"Yes",NA(),Inputs!$D$27*Inputs!$C$35))</f>
        <v/>
      </c>
      <c r="S1692" s="54">
        <f>IF($B1692=0,NA(),IF(Inputs!$B$28&lt;&gt;"Yes",NA(),Inputs!$D$28*Inputs!$C$35))</f>
        <v/>
      </c>
      <c r="T1692" s="54">
        <f>IF($B1692=0,NA(),IF(Inputs!$B$29&lt;&gt;"Yes",NA(),Inputs!$D$29*Inputs!$C$35))</f>
        <v/>
      </c>
      <c r="AD1692">
        <f>IF($B1692=0,0,IF(Inputs!$B$6="",0,COUNTIFS(Data!$A$10:$A$3209,"&gt;="&amp;$A1692,Data!$A$10:$A$3209,"&lt;"&amp;$A1692+1)))</f>
        <v/>
      </c>
      <c r="AE1692">
        <f>IF($B1692=0,0,IF(Inputs!$B$7="",0,COUNTIFS(Data!$E$10:$E$3209,"&gt;="&amp;$A1692,Data!$E$10:$E$3209,"&lt;"&amp;$A1692+1)))</f>
        <v/>
      </c>
      <c r="AF1692">
        <f>IF($B1692=0,0,IF(Inputs!$B$8="",0,COUNTIFS(Data!$I$10:$I$3209,"&gt;="&amp;$A1692,Data!$I$10:$I$3209,"&lt;"&amp;$A1692+1)))</f>
        <v/>
      </c>
      <c r="AG1692">
        <f>IF($B1692=0,0,IF(Inputs!$B$9="",0,COUNTIFS(Data!$M$10:$M$3209,"&gt;="&amp;$A1692,Data!$M$10:$M$3209,"&lt;"&amp;$A1692+1)))</f>
        <v/>
      </c>
      <c r="AH1692">
        <f>IF($B1692=0,0,IF(Inputs!$B$10="",0,COUNTIFS(Data!$Q$10:$Q$3209,"&gt;="&amp;$A1692,Data!$Q$10:$Q$3209,"&lt;"&amp;$A1692+1)))</f>
        <v/>
      </c>
    </row>
    <row r="1693">
      <c r="A1693" s="55">
        <f>MIN(Inputs!$C$15,$A1692+IF(WEEKDAY($A1692,2)=5,3,1))</f>
        <v/>
      </c>
      <c r="B1693">
        <f>IF($A1693&gt;$A1692,1,0)</f>
        <v/>
      </c>
      <c r="C1693" s="56">
        <f>IF($B1693=0,"",IF(Inputs!$B$6="","",IF($AD1693=0,C1692,SUMIFS(Data!$B$10:$B$3209,Data!$A$10:$A$3209,"&gt;="&amp;$A1693,Data!$A$10:$A$3209,"&lt;"&amp;$A1693+1)/$AD1693)))</f>
        <v/>
      </c>
      <c r="D1693" s="56">
        <f>IF($B1693=0,"",IF(Inputs!$B$7="","",IF($AE1693=0,D1692,SUMIFS(Data!$F$10:$F$3209,Data!$E$10:$E$3209,"&gt;="&amp;$A1693,Data!$E$10:$E$3209,"&lt;"&amp;$A1693+1)/$AE1693)))</f>
        <v/>
      </c>
      <c r="E1693" s="56">
        <f>IF($B1693=0,"",IF(Inputs!$B$8="","",IF($AF1693=0,E1692,SUMIFS(Data!$J$10:$J$3209,Data!$I$10:$I$3209,"&gt;="&amp;$A1693,Data!$I$10:$I$3209,"&lt;"&amp;$A1693+1)/$AF1693)))</f>
        <v/>
      </c>
      <c r="F1693" s="56">
        <f>IF($B1693=0,"",IF(Inputs!$B$9="","",IF($AG1693=0,F1692,SUMIFS(Data!$N$10:$N$3209,Data!$M$10:$M$3209,"&gt;="&amp;$A1693,Data!$M$10:$M$3209,"&lt;"&amp;$A1693+1)/$AG1693)))</f>
        <v/>
      </c>
      <c r="G1693" s="56">
        <f>IF($B1693=0,"",IF(Inputs!$B$10="","",IF($AH1693=0,G1692,SUMIFS(Data!$R$10:$R$3209,Data!$Q$10:$Q$3209,"&gt;="&amp;$A1693,Data!$Q$10:$Q$3209,"&lt;"&amp;$A1693+1)/$AH1693)))</f>
        <v/>
      </c>
      <c r="I1693" s="54">
        <f>IF($B1693=0,NA(),IF($C1693="",NA(),IF(C$8="",NA(),IF(N(C$8)=0,NA(),IF(Inputs!$C$17="Rebased to 100",$C1693/C$8*100,$C1693)))))</f>
        <v/>
      </c>
      <c r="J1693" s="54">
        <f>IF($B1693=0,NA(),IF($D1693="",NA(),IF(D$8="",NA(),IF(N(D$8)=0,NA(),IF(Inputs!$C$17="Rebased to 100",$D1693/D$8*100,$D1693)))))</f>
        <v/>
      </c>
      <c r="K1693" s="54">
        <f>IF($B1693=0,NA(),IF($E1693="",NA(),IF(E$8="",NA(),IF(N(E$8)=0,NA(),IF(Inputs!$C$17="Rebased to 100",$E1693/E$8*100,$E1693)))))</f>
        <v/>
      </c>
      <c r="L1693" s="54">
        <f>IF($B1693=0,NA(),IF($F1693="",NA(),IF(F$8="",NA(),IF(N(F$8)=0,NA(),IF(Inputs!$C$17="Rebased to 100",$F1693/F$8*100,$F1693)))))</f>
        <v/>
      </c>
      <c r="M1693" s="54">
        <f>IF($B1693=0,NA(),IF($G1693="",NA(),IF(G$8="",NA(),IF(N(G$8)=0,NA(),IF(Inputs!$C$17="Rebased to 100",$G1693/G$8*100,$G1693)))))</f>
        <v/>
      </c>
      <c r="N1693" s="54">
        <f>IF($B1693=0,NA(),IF(Inputs!$C$18&lt;&gt;"Yes",NA(),IF(COUNT(I1693,J1693,K1693,L1693,M1693)=0,NA(),MIN(I1693,J1693,K1693,L1693,M1693))))</f>
        <v/>
      </c>
      <c r="O1693" s="54">
        <f>IF($B1693=0,NA(),IF(Inputs!$B$24&lt;&gt;"Yes",NA(),Inputs!$D$24*Inputs!$C$35))</f>
        <v/>
      </c>
      <c r="P1693" s="54">
        <f>IF($B1693=0,NA(),IF(Inputs!$B$25&lt;&gt;"Yes",NA(),Inputs!$D$25*Inputs!$C$35))</f>
        <v/>
      </c>
      <c r="Q1693" s="54">
        <f>IF($B1693=0,NA(),IF(Inputs!$B$26&lt;&gt;"Yes",NA(),Inputs!$D$26*Inputs!$C$35))</f>
        <v/>
      </c>
      <c r="R1693" s="54">
        <f>IF($B1693=0,NA(),IF(Inputs!$B$27&lt;&gt;"Yes",NA(),Inputs!$D$27*Inputs!$C$35))</f>
        <v/>
      </c>
      <c r="S1693" s="54">
        <f>IF($B1693=0,NA(),IF(Inputs!$B$28&lt;&gt;"Yes",NA(),Inputs!$D$28*Inputs!$C$35))</f>
        <v/>
      </c>
      <c r="T1693" s="54">
        <f>IF($B1693=0,NA(),IF(Inputs!$B$29&lt;&gt;"Yes",NA(),Inputs!$D$29*Inputs!$C$35))</f>
        <v/>
      </c>
      <c r="AD1693">
        <f>IF($B1693=0,0,IF(Inputs!$B$6="",0,COUNTIFS(Data!$A$10:$A$3209,"&gt;="&amp;$A1693,Data!$A$10:$A$3209,"&lt;"&amp;$A1693+1)))</f>
        <v/>
      </c>
      <c r="AE1693">
        <f>IF($B1693=0,0,IF(Inputs!$B$7="",0,COUNTIFS(Data!$E$10:$E$3209,"&gt;="&amp;$A1693,Data!$E$10:$E$3209,"&lt;"&amp;$A1693+1)))</f>
        <v/>
      </c>
      <c r="AF1693">
        <f>IF($B1693=0,0,IF(Inputs!$B$8="",0,COUNTIFS(Data!$I$10:$I$3209,"&gt;="&amp;$A1693,Data!$I$10:$I$3209,"&lt;"&amp;$A1693+1)))</f>
        <v/>
      </c>
      <c r="AG1693">
        <f>IF($B1693=0,0,IF(Inputs!$B$9="",0,COUNTIFS(Data!$M$10:$M$3209,"&gt;="&amp;$A1693,Data!$M$10:$M$3209,"&lt;"&amp;$A1693+1)))</f>
        <v/>
      </c>
      <c r="AH1693">
        <f>IF($B1693=0,0,IF(Inputs!$B$10="",0,COUNTIFS(Data!$Q$10:$Q$3209,"&gt;="&amp;$A1693,Data!$Q$10:$Q$3209,"&lt;"&amp;$A1693+1)))</f>
        <v/>
      </c>
    </row>
    <row r="1694">
      <c r="A1694" s="55">
        <f>MIN(Inputs!$C$15,$A1693+IF(WEEKDAY($A1693,2)=5,3,1))</f>
        <v/>
      </c>
      <c r="B1694">
        <f>IF($A1694&gt;$A1693,1,0)</f>
        <v/>
      </c>
      <c r="C1694" s="56">
        <f>IF($B1694=0,"",IF(Inputs!$B$6="","",IF($AD1694=0,C1693,SUMIFS(Data!$B$10:$B$3209,Data!$A$10:$A$3209,"&gt;="&amp;$A1694,Data!$A$10:$A$3209,"&lt;"&amp;$A1694+1)/$AD1694)))</f>
        <v/>
      </c>
      <c r="D1694" s="56">
        <f>IF($B1694=0,"",IF(Inputs!$B$7="","",IF($AE1694=0,D1693,SUMIFS(Data!$F$10:$F$3209,Data!$E$10:$E$3209,"&gt;="&amp;$A1694,Data!$E$10:$E$3209,"&lt;"&amp;$A1694+1)/$AE1694)))</f>
        <v/>
      </c>
      <c r="E1694" s="56">
        <f>IF($B1694=0,"",IF(Inputs!$B$8="","",IF($AF1694=0,E1693,SUMIFS(Data!$J$10:$J$3209,Data!$I$10:$I$3209,"&gt;="&amp;$A1694,Data!$I$10:$I$3209,"&lt;"&amp;$A1694+1)/$AF1694)))</f>
        <v/>
      </c>
      <c r="F1694" s="56">
        <f>IF($B1694=0,"",IF(Inputs!$B$9="","",IF($AG1694=0,F1693,SUMIFS(Data!$N$10:$N$3209,Data!$M$10:$M$3209,"&gt;="&amp;$A1694,Data!$M$10:$M$3209,"&lt;"&amp;$A1694+1)/$AG1694)))</f>
        <v/>
      </c>
      <c r="G1694" s="56">
        <f>IF($B1694=0,"",IF(Inputs!$B$10="","",IF($AH1694=0,G1693,SUMIFS(Data!$R$10:$R$3209,Data!$Q$10:$Q$3209,"&gt;="&amp;$A1694,Data!$Q$10:$Q$3209,"&lt;"&amp;$A1694+1)/$AH1694)))</f>
        <v/>
      </c>
      <c r="I1694" s="54">
        <f>IF($B1694=0,NA(),IF($C1694="",NA(),IF(C$8="",NA(),IF(N(C$8)=0,NA(),IF(Inputs!$C$17="Rebased to 100",$C1694/C$8*100,$C1694)))))</f>
        <v/>
      </c>
      <c r="J1694" s="54">
        <f>IF($B1694=0,NA(),IF($D1694="",NA(),IF(D$8="",NA(),IF(N(D$8)=0,NA(),IF(Inputs!$C$17="Rebased to 100",$D1694/D$8*100,$D1694)))))</f>
        <v/>
      </c>
      <c r="K1694" s="54">
        <f>IF($B1694=0,NA(),IF($E1694="",NA(),IF(E$8="",NA(),IF(N(E$8)=0,NA(),IF(Inputs!$C$17="Rebased to 100",$E1694/E$8*100,$E1694)))))</f>
        <v/>
      </c>
      <c r="L1694" s="54">
        <f>IF($B1694=0,NA(),IF($F1694="",NA(),IF(F$8="",NA(),IF(N(F$8)=0,NA(),IF(Inputs!$C$17="Rebased to 100",$F1694/F$8*100,$F1694)))))</f>
        <v/>
      </c>
      <c r="M1694" s="54">
        <f>IF($B1694=0,NA(),IF($G1694="",NA(),IF(G$8="",NA(),IF(N(G$8)=0,NA(),IF(Inputs!$C$17="Rebased to 100",$G1694/G$8*100,$G1694)))))</f>
        <v/>
      </c>
      <c r="N1694" s="54">
        <f>IF($B1694=0,NA(),IF(Inputs!$C$18&lt;&gt;"Yes",NA(),IF(COUNT(I1694,J1694,K1694,L1694,M1694)=0,NA(),MIN(I1694,J1694,K1694,L1694,M1694))))</f>
        <v/>
      </c>
      <c r="O1694" s="54">
        <f>IF($B1694=0,NA(),IF(Inputs!$B$24&lt;&gt;"Yes",NA(),Inputs!$D$24*Inputs!$C$35))</f>
        <v/>
      </c>
      <c r="P1694" s="54">
        <f>IF($B1694=0,NA(),IF(Inputs!$B$25&lt;&gt;"Yes",NA(),Inputs!$D$25*Inputs!$C$35))</f>
        <v/>
      </c>
      <c r="Q1694" s="54">
        <f>IF($B1694=0,NA(),IF(Inputs!$B$26&lt;&gt;"Yes",NA(),Inputs!$D$26*Inputs!$C$35))</f>
        <v/>
      </c>
      <c r="R1694" s="54">
        <f>IF($B1694=0,NA(),IF(Inputs!$B$27&lt;&gt;"Yes",NA(),Inputs!$D$27*Inputs!$C$35))</f>
        <v/>
      </c>
      <c r="S1694" s="54">
        <f>IF($B1694=0,NA(),IF(Inputs!$B$28&lt;&gt;"Yes",NA(),Inputs!$D$28*Inputs!$C$35))</f>
        <v/>
      </c>
      <c r="T1694" s="54">
        <f>IF($B1694=0,NA(),IF(Inputs!$B$29&lt;&gt;"Yes",NA(),Inputs!$D$29*Inputs!$C$35))</f>
        <v/>
      </c>
      <c r="AD1694">
        <f>IF($B1694=0,0,IF(Inputs!$B$6="",0,COUNTIFS(Data!$A$10:$A$3209,"&gt;="&amp;$A1694,Data!$A$10:$A$3209,"&lt;"&amp;$A1694+1)))</f>
        <v/>
      </c>
      <c r="AE1694">
        <f>IF($B1694=0,0,IF(Inputs!$B$7="",0,COUNTIFS(Data!$E$10:$E$3209,"&gt;="&amp;$A1694,Data!$E$10:$E$3209,"&lt;"&amp;$A1694+1)))</f>
        <v/>
      </c>
      <c r="AF1694">
        <f>IF($B1694=0,0,IF(Inputs!$B$8="",0,COUNTIFS(Data!$I$10:$I$3209,"&gt;="&amp;$A1694,Data!$I$10:$I$3209,"&lt;"&amp;$A1694+1)))</f>
        <v/>
      </c>
      <c r="AG1694">
        <f>IF($B1694=0,0,IF(Inputs!$B$9="",0,COUNTIFS(Data!$M$10:$M$3209,"&gt;="&amp;$A1694,Data!$M$10:$M$3209,"&lt;"&amp;$A1694+1)))</f>
        <v/>
      </c>
      <c r="AH1694">
        <f>IF($B1694=0,0,IF(Inputs!$B$10="",0,COUNTIFS(Data!$Q$10:$Q$3209,"&gt;="&amp;$A1694,Data!$Q$10:$Q$3209,"&lt;"&amp;$A1694+1)))</f>
        <v/>
      </c>
    </row>
    <row r="1695">
      <c r="A1695" s="55">
        <f>MIN(Inputs!$C$15,$A1694+IF(WEEKDAY($A1694,2)=5,3,1))</f>
        <v/>
      </c>
      <c r="B1695">
        <f>IF($A1695&gt;$A1694,1,0)</f>
        <v/>
      </c>
      <c r="C1695" s="56">
        <f>IF($B1695=0,"",IF(Inputs!$B$6="","",IF($AD1695=0,C1694,SUMIFS(Data!$B$10:$B$3209,Data!$A$10:$A$3209,"&gt;="&amp;$A1695,Data!$A$10:$A$3209,"&lt;"&amp;$A1695+1)/$AD1695)))</f>
        <v/>
      </c>
      <c r="D1695" s="56">
        <f>IF($B1695=0,"",IF(Inputs!$B$7="","",IF($AE1695=0,D1694,SUMIFS(Data!$F$10:$F$3209,Data!$E$10:$E$3209,"&gt;="&amp;$A1695,Data!$E$10:$E$3209,"&lt;"&amp;$A1695+1)/$AE1695)))</f>
        <v/>
      </c>
      <c r="E1695" s="56">
        <f>IF($B1695=0,"",IF(Inputs!$B$8="","",IF($AF1695=0,E1694,SUMIFS(Data!$J$10:$J$3209,Data!$I$10:$I$3209,"&gt;="&amp;$A1695,Data!$I$10:$I$3209,"&lt;"&amp;$A1695+1)/$AF1695)))</f>
        <v/>
      </c>
      <c r="F1695" s="56">
        <f>IF($B1695=0,"",IF(Inputs!$B$9="","",IF($AG1695=0,F1694,SUMIFS(Data!$N$10:$N$3209,Data!$M$10:$M$3209,"&gt;="&amp;$A1695,Data!$M$10:$M$3209,"&lt;"&amp;$A1695+1)/$AG1695)))</f>
        <v/>
      </c>
      <c r="G1695" s="56">
        <f>IF($B1695=0,"",IF(Inputs!$B$10="","",IF($AH1695=0,G1694,SUMIFS(Data!$R$10:$R$3209,Data!$Q$10:$Q$3209,"&gt;="&amp;$A1695,Data!$Q$10:$Q$3209,"&lt;"&amp;$A1695+1)/$AH1695)))</f>
        <v/>
      </c>
      <c r="I1695" s="54">
        <f>IF($B1695=0,NA(),IF($C1695="",NA(),IF(C$8="",NA(),IF(N(C$8)=0,NA(),IF(Inputs!$C$17="Rebased to 100",$C1695/C$8*100,$C1695)))))</f>
        <v/>
      </c>
      <c r="J1695" s="54">
        <f>IF($B1695=0,NA(),IF($D1695="",NA(),IF(D$8="",NA(),IF(N(D$8)=0,NA(),IF(Inputs!$C$17="Rebased to 100",$D1695/D$8*100,$D1695)))))</f>
        <v/>
      </c>
      <c r="K1695" s="54">
        <f>IF($B1695=0,NA(),IF($E1695="",NA(),IF(E$8="",NA(),IF(N(E$8)=0,NA(),IF(Inputs!$C$17="Rebased to 100",$E1695/E$8*100,$E1695)))))</f>
        <v/>
      </c>
      <c r="L1695" s="54">
        <f>IF($B1695=0,NA(),IF($F1695="",NA(),IF(F$8="",NA(),IF(N(F$8)=0,NA(),IF(Inputs!$C$17="Rebased to 100",$F1695/F$8*100,$F1695)))))</f>
        <v/>
      </c>
      <c r="M1695" s="54">
        <f>IF($B1695=0,NA(),IF($G1695="",NA(),IF(G$8="",NA(),IF(N(G$8)=0,NA(),IF(Inputs!$C$17="Rebased to 100",$G1695/G$8*100,$G1695)))))</f>
        <v/>
      </c>
      <c r="N1695" s="54">
        <f>IF($B1695=0,NA(),IF(Inputs!$C$18&lt;&gt;"Yes",NA(),IF(COUNT(I1695,J1695,K1695,L1695,M1695)=0,NA(),MIN(I1695,J1695,K1695,L1695,M1695))))</f>
        <v/>
      </c>
      <c r="O1695" s="54">
        <f>IF($B1695=0,NA(),IF(Inputs!$B$24&lt;&gt;"Yes",NA(),Inputs!$D$24*Inputs!$C$35))</f>
        <v/>
      </c>
      <c r="P1695" s="54">
        <f>IF($B1695=0,NA(),IF(Inputs!$B$25&lt;&gt;"Yes",NA(),Inputs!$D$25*Inputs!$C$35))</f>
        <v/>
      </c>
      <c r="Q1695" s="54">
        <f>IF($B1695=0,NA(),IF(Inputs!$B$26&lt;&gt;"Yes",NA(),Inputs!$D$26*Inputs!$C$35))</f>
        <v/>
      </c>
      <c r="R1695" s="54">
        <f>IF($B1695=0,NA(),IF(Inputs!$B$27&lt;&gt;"Yes",NA(),Inputs!$D$27*Inputs!$C$35))</f>
        <v/>
      </c>
      <c r="S1695" s="54">
        <f>IF($B1695=0,NA(),IF(Inputs!$B$28&lt;&gt;"Yes",NA(),Inputs!$D$28*Inputs!$C$35))</f>
        <v/>
      </c>
      <c r="T1695" s="54">
        <f>IF($B1695=0,NA(),IF(Inputs!$B$29&lt;&gt;"Yes",NA(),Inputs!$D$29*Inputs!$C$35))</f>
        <v/>
      </c>
      <c r="AD1695">
        <f>IF($B1695=0,0,IF(Inputs!$B$6="",0,COUNTIFS(Data!$A$10:$A$3209,"&gt;="&amp;$A1695,Data!$A$10:$A$3209,"&lt;"&amp;$A1695+1)))</f>
        <v/>
      </c>
      <c r="AE1695">
        <f>IF($B1695=0,0,IF(Inputs!$B$7="",0,COUNTIFS(Data!$E$10:$E$3209,"&gt;="&amp;$A1695,Data!$E$10:$E$3209,"&lt;"&amp;$A1695+1)))</f>
        <v/>
      </c>
      <c r="AF1695">
        <f>IF($B1695=0,0,IF(Inputs!$B$8="",0,COUNTIFS(Data!$I$10:$I$3209,"&gt;="&amp;$A1695,Data!$I$10:$I$3209,"&lt;"&amp;$A1695+1)))</f>
        <v/>
      </c>
      <c r="AG1695">
        <f>IF($B1695=0,0,IF(Inputs!$B$9="",0,COUNTIFS(Data!$M$10:$M$3209,"&gt;="&amp;$A1695,Data!$M$10:$M$3209,"&lt;"&amp;$A1695+1)))</f>
        <v/>
      </c>
      <c r="AH1695">
        <f>IF($B1695=0,0,IF(Inputs!$B$10="",0,COUNTIFS(Data!$Q$10:$Q$3209,"&gt;="&amp;$A1695,Data!$Q$10:$Q$3209,"&lt;"&amp;$A1695+1)))</f>
        <v/>
      </c>
    </row>
    <row r="1696">
      <c r="A1696" s="55">
        <f>MIN(Inputs!$C$15,$A1695+IF(WEEKDAY($A1695,2)=5,3,1))</f>
        <v/>
      </c>
      <c r="B1696">
        <f>IF($A1696&gt;$A1695,1,0)</f>
        <v/>
      </c>
      <c r="C1696" s="56">
        <f>IF($B1696=0,"",IF(Inputs!$B$6="","",IF($AD1696=0,C1695,SUMIFS(Data!$B$10:$B$3209,Data!$A$10:$A$3209,"&gt;="&amp;$A1696,Data!$A$10:$A$3209,"&lt;"&amp;$A1696+1)/$AD1696)))</f>
        <v/>
      </c>
      <c r="D1696" s="56">
        <f>IF($B1696=0,"",IF(Inputs!$B$7="","",IF($AE1696=0,D1695,SUMIFS(Data!$F$10:$F$3209,Data!$E$10:$E$3209,"&gt;="&amp;$A1696,Data!$E$10:$E$3209,"&lt;"&amp;$A1696+1)/$AE1696)))</f>
        <v/>
      </c>
      <c r="E1696" s="56">
        <f>IF($B1696=0,"",IF(Inputs!$B$8="","",IF($AF1696=0,E1695,SUMIFS(Data!$J$10:$J$3209,Data!$I$10:$I$3209,"&gt;="&amp;$A1696,Data!$I$10:$I$3209,"&lt;"&amp;$A1696+1)/$AF1696)))</f>
        <v/>
      </c>
      <c r="F1696" s="56">
        <f>IF($B1696=0,"",IF(Inputs!$B$9="","",IF($AG1696=0,F1695,SUMIFS(Data!$N$10:$N$3209,Data!$M$10:$M$3209,"&gt;="&amp;$A1696,Data!$M$10:$M$3209,"&lt;"&amp;$A1696+1)/$AG1696)))</f>
        <v/>
      </c>
      <c r="G1696" s="56">
        <f>IF($B1696=0,"",IF(Inputs!$B$10="","",IF($AH1696=0,G1695,SUMIFS(Data!$R$10:$R$3209,Data!$Q$10:$Q$3209,"&gt;="&amp;$A1696,Data!$Q$10:$Q$3209,"&lt;"&amp;$A1696+1)/$AH1696)))</f>
        <v/>
      </c>
      <c r="I1696" s="54">
        <f>IF($B1696=0,NA(),IF($C1696="",NA(),IF(C$8="",NA(),IF(N(C$8)=0,NA(),IF(Inputs!$C$17="Rebased to 100",$C1696/C$8*100,$C1696)))))</f>
        <v/>
      </c>
      <c r="J1696" s="54">
        <f>IF($B1696=0,NA(),IF($D1696="",NA(),IF(D$8="",NA(),IF(N(D$8)=0,NA(),IF(Inputs!$C$17="Rebased to 100",$D1696/D$8*100,$D1696)))))</f>
        <v/>
      </c>
      <c r="K1696" s="54">
        <f>IF($B1696=0,NA(),IF($E1696="",NA(),IF(E$8="",NA(),IF(N(E$8)=0,NA(),IF(Inputs!$C$17="Rebased to 100",$E1696/E$8*100,$E1696)))))</f>
        <v/>
      </c>
      <c r="L1696" s="54">
        <f>IF($B1696=0,NA(),IF($F1696="",NA(),IF(F$8="",NA(),IF(N(F$8)=0,NA(),IF(Inputs!$C$17="Rebased to 100",$F1696/F$8*100,$F1696)))))</f>
        <v/>
      </c>
      <c r="M1696" s="54">
        <f>IF($B1696=0,NA(),IF($G1696="",NA(),IF(G$8="",NA(),IF(N(G$8)=0,NA(),IF(Inputs!$C$17="Rebased to 100",$G1696/G$8*100,$G1696)))))</f>
        <v/>
      </c>
      <c r="N1696" s="54">
        <f>IF($B1696=0,NA(),IF(Inputs!$C$18&lt;&gt;"Yes",NA(),IF(COUNT(I1696,J1696,K1696,L1696,M1696)=0,NA(),MIN(I1696,J1696,K1696,L1696,M1696))))</f>
        <v/>
      </c>
      <c r="O1696" s="54">
        <f>IF($B1696=0,NA(),IF(Inputs!$B$24&lt;&gt;"Yes",NA(),Inputs!$D$24*Inputs!$C$35))</f>
        <v/>
      </c>
      <c r="P1696" s="54">
        <f>IF($B1696=0,NA(),IF(Inputs!$B$25&lt;&gt;"Yes",NA(),Inputs!$D$25*Inputs!$C$35))</f>
        <v/>
      </c>
      <c r="Q1696" s="54">
        <f>IF($B1696=0,NA(),IF(Inputs!$B$26&lt;&gt;"Yes",NA(),Inputs!$D$26*Inputs!$C$35))</f>
        <v/>
      </c>
      <c r="R1696" s="54">
        <f>IF($B1696=0,NA(),IF(Inputs!$B$27&lt;&gt;"Yes",NA(),Inputs!$D$27*Inputs!$C$35))</f>
        <v/>
      </c>
      <c r="S1696" s="54">
        <f>IF($B1696=0,NA(),IF(Inputs!$B$28&lt;&gt;"Yes",NA(),Inputs!$D$28*Inputs!$C$35))</f>
        <v/>
      </c>
      <c r="T1696" s="54">
        <f>IF($B1696=0,NA(),IF(Inputs!$B$29&lt;&gt;"Yes",NA(),Inputs!$D$29*Inputs!$C$35))</f>
        <v/>
      </c>
      <c r="AD1696">
        <f>IF($B1696=0,0,IF(Inputs!$B$6="",0,COUNTIFS(Data!$A$10:$A$3209,"&gt;="&amp;$A1696,Data!$A$10:$A$3209,"&lt;"&amp;$A1696+1)))</f>
        <v/>
      </c>
      <c r="AE1696">
        <f>IF($B1696=0,0,IF(Inputs!$B$7="",0,COUNTIFS(Data!$E$10:$E$3209,"&gt;="&amp;$A1696,Data!$E$10:$E$3209,"&lt;"&amp;$A1696+1)))</f>
        <v/>
      </c>
      <c r="AF1696">
        <f>IF($B1696=0,0,IF(Inputs!$B$8="",0,COUNTIFS(Data!$I$10:$I$3209,"&gt;="&amp;$A1696,Data!$I$10:$I$3209,"&lt;"&amp;$A1696+1)))</f>
        <v/>
      </c>
      <c r="AG1696">
        <f>IF($B1696=0,0,IF(Inputs!$B$9="",0,COUNTIFS(Data!$M$10:$M$3209,"&gt;="&amp;$A1696,Data!$M$10:$M$3209,"&lt;"&amp;$A1696+1)))</f>
        <v/>
      </c>
      <c r="AH1696">
        <f>IF($B1696=0,0,IF(Inputs!$B$10="",0,COUNTIFS(Data!$Q$10:$Q$3209,"&gt;="&amp;$A1696,Data!$Q$10:$Q$3209,"&lt;"&amp;$A1696+1)))</f>
        <v/>
      </c>
    </row>
    <row r="1697">
      <c r="A1697" s="55">
        <f>MIN(Inputs!$C$15,$A1696+IF(WEEKDAY($A1696,2)=5,3,1))</f>
        <v/>
      </c>
      <c r="B1697">
        <f>IF($A1697&gt;$A1696,1,0)</f>
        <v/>
      </c>
      <c r="C1697" s="56">
        <f>IF($B1697=0,"",IF(Inputs!$B$6="","",IF($AD1697=0,C1696,SUMIFS(Data!$B$10:$B$3209,Data!$A$10:$A$3209,"&gt;="&amp;$A1697,Data!$A$10:$A$3209,"&lt;"&amp;$A1697+1)/$AD1697)))</f>
        <v/>
      </c>
      <c r="D1697" s="56">
        <f>IF($B1697=0,"",IF(Inputs!$B$7="","",IF($AE1697=0,D1696,SUMIFS(Data!$F$10:$F$3209,Data!$E$10:$E$3209,"&gt;="&amp;$A1697,Data!$E$10:$E$3209,"&lt;"&amp;$A1697+1)/$AE1697)))</f>
        <v/>
      </c>
      <c r="E1697" s="56">
        <f>IF($B1697=0,"",IF(Inputs!$B$8="","",IF($AF1697=0,E1696,SUMIFS(Data!$J$10:$J$3209,Data!$I$10:$I$3209,"&gt;="&amp;$A1697,Data!$I$10:$I$3209,"&lt;"&amp;$A1697+1)/$AF1697)))</f>
        <v/>
      </c>
      <c r="F1697" s="56">
        <f>IF($B1697=0,"",IF(Inputs!$B$9="","",IF($AG1697=0,F1696,SUMIFS(Data!$N$10:$N$3209,Data!$M$10:$M$3209,"&gt;="&amp;$A1697,Data!$M$10:$M$3209,"&lt;"&amp;$A1697+1)/$AG1697)))</f>
        <v/>
      </c>
      <c r="G1697" s="56">
        <f>IF($B1697=0,"",IF(Inputs!$B$10="","",IF($AH1697=0,G1696,SUMIFS(Data!$R$10:$R$3209,Data!$Q$10:$Q$3209,"&gt;="&amp;$A1697,Data!$Q$10:$Q$3209,"&lt;"&amp;$A1697+1)/$AH1697)))</f>
        <v/>
      </c>
      <c r="I1697" s="54">
        <f>IF($B1697=0,NA(),IF($C1697="",NA(),IF(C$8="",NA(),IF(N(C$8)=0,NA(),IF(Inputs!$C$17="Rebased to 100",$C1697/C$8*100,$C1697)))))</f>
        <v/>
      </c>
      <c r="J1697" s="54">
        <f>IF($B1697=0,NA(),IF($D1697="",NA(),IF(D$8="",NA(),IF(N(D$8)=0,NA(),IF(Inputs!$C$17="Rebased to 100",$D1697/D$8*100,$D1697)))))</f>
        <v/>
      </c>
      <c r="K1697" s="54">
        <f>IF($B1697=0,NA(),IF($E1697="",NA(),IF(E$8="",NA(),IF(N(E$8)=0,NA(),IF(Inputs!$C$17="Rebased to 100",$E1697/E$8*100,$E1697)))))</f>
        <v/>
      </c>
      <c r="L1697" s="54">
        <f>IF($B1697=0,NA(),IF($F1697="",NA(),IF(F$8="",NA(),IF(N(F$8)=0,NA(),IF(Inputs!$C$17="Rebased to 100",$F1697/F$8*100,$F1697)))))</f>
        <v/>
      </c>
      <c r="M1697" s="54">
        <f>IF($B1697=0,NA(),IF($G1697="",NA(),IF(G$8="",NA(),IF(N(G$8)=0,NA(),IF(Inputs!$C$17="Rebased to 100",$G1697/G$8*100,$G1697)))))</f>
        <v/>
      </c>
      <c r="N1697" s="54">
        <f>IF($B1697=0,NA(),IF(Inputs!$C$18&lt;&gt;"Yes",NA(),IF(COUNT(I1697,J1697,K1697,L1697,M1697)=0,NA(),MIN(I1697,J1697,K1697,L1697,M1697))))</f>
        <v/>
      </c>
      <c r="O1697" s="54">
        <f>IF($B1697=0,NA(),IF(Inputs!$B$24&lt;&gt;"Yes",NA(),Inputs!$D$24*Inputs!$C$35))</f>
        <v/>
      </c>
      <c r="P1697" s="54">
        <f>IF($B1697=0,NA(),IF(Inputs!$B$25&lt;&gt;"Yes",NA(),Inputs!$D$25*Inputs!$C$35))</f>
        <v/>
      </c>
      <c r="Q1697" s="54">
        <f>IF($B1697=0,NA(),IF(Inputs!$B$26&lt;&gt;"Yes",NA(),Inputs!$D$26*Inputs!$C$35))</f>
        <v/>
      </c>
      <c r="R1697" s="54">
        <f>IF($B1697=0,NA(),IF(Inputs!$B$27&lt;&gt;"Yes",NA(),Inputs!$D$27*Inputs!$C$35))</f>
        <v/>
      </c>
      <c r="S1697" s="54">
        <f>IF($B1697=0,NA(),IF(Inputs!$B$28&lt;&gt;"Yes",NA(),Inputs!$D$28*Inputs!$C$35))</f>
        <v/>
      </c>
      <c r="T1697" s="54">
        <f>IF($B1697=0,NA(),IF(Inputs!$B$29&lt;&gt;"Yes",NA(),Inputs!$D$29*Inputs!$C$35))</f>
        <v/>
      </c>
      <c r="AD1697">
        <f>IF($B1697=0,0,IF(Inputs!$B$6="",0,COUNTIFS(Data!$A$10:$A$3209,"&gt;="&amp;$A1697,Data!$A$10:$A$3209,"&lt;"&amp;$A1697+1)))</f>
        <v/>
      </c>
      <c r="AE1697">
        <f>IF($B1697=0,0,IF(Inputs!$B$7="",0,COUNTIFS(Data!$E$10:$E$3209,"&gt;="&amp;$A1697,Data!$E$10:$E$3209,"&lt;"&amp;$A1697+1)))</f>
        <v/>
      </c>
      <c r="AF1697">
        <f>IF($B1697=0,0,IF(Inputs!$B$8="",0,COUNTIFS(Data!$I$10:$I$3209,"&gt;="&amp;$A1697,Data!$I$10:$I$3209,"&lt;"&amp;$A1697+1)))</f>
        <v/>
      </c>
      <c r="AG1697">
        <f>IF($B1697=0,0,IF(Inputs!$B$9="",0,COUNTIFS(Data!$M$10:$M$3209,"&gt;="&amp;$A1697,Data!$M$10:$M$3209,"&lt;"&amp;$A1697+1)))</f>
        <v/>
      </c>
      <c r="AH1697">
        <f>IF($B1697=0,0,IF(Inputs!$B$10="",0,COUNTIFS(Data!$Q$10:$Q$3209,"&gt;="&amp;$A1697,Data!$Q$10:$Q$3209,"&lt;"&amp;$A1697+1)))</f>
        <v/>
      </c>
    </row>
    <row r="1698">
      <c r="A1698" s="55">
        <f>MIN(Inputs!$C$15,$A1697+IF(WEEKDAY($A1697,2)=5,3,1))</f>
        <v/>
      </c>
      <c r="B1698">
        <f>IF($A1698&gt;$A1697,1,0)</f>
        <v/>
      </c>
      <c r="C1698" s="56">
        <f>IF($B1698=0,"",IF(Inputs!$B$6="","",IF($AD1698=0,C1697,SUMIFS(Data!$B$10:$B$3209,Data!$A$10:$A$3209,"&gt;="&amp;$A1698,Data!$A$10:$A$3209,"&lt;"&amp;$A1698+1)/$AD1698)))</f>
        <v/>
      </c>
      <c r="D1698" s="56">
        <f>IF($B1698=0,"",IF(Inputs!$B$7="","",IF($AE1698=0,D1697,SUMIFS(Data!$F$10:$F$3209,Data!$E$10:$E$3209,"&gt;="&amp;$A1698,Data!$E$10:$E$3209,"&lt;"&amp;$A1698+1)/$AE1698)))</f>
        <v/>
      </c>
      <c r="E1698" s="56">
        <f>IF($B1698=0,"",IF(Inputs!$B$8="","",IF($AF1698=0,E1697,SUMIFS(Data!$J$10:$J$3209,Data!$I$10:$I$3209,"&gt;="&amp;$A1698,Data!$I$10:$I$3209,"&lt;"&amp;$A1698+1)/$AF1698)))</f>
        <v/>
      </c>
      <c r="F1698" s="56">
        <f>IF($B1698=0,"",IF(Inputs!$B$9="","",IF($AG1698=0,F1697,SUMIFS(Data!$N$10:$N$3209,Data!$M$10:$M$3209,"&gt;="&amp;$A1698,Data!$M$10:$M$3209,"&lt;"&amp;$A1698+1)/$AG1698)))</f>
        <v/>
      </c>
      <c r="G1698" s="56">
        <f>IF($B1698=0,"",IF(Inputs!$B$10="","",IF($AH1698=0,G1697,SUMIFS(Data!$R$10:$R$3209,Data!$Q$10:$Q$3209,"&gt;="&amp;$A1698,Data!$Q$10:$Q$3209,"&lt;"&amp;$A1698+1)/$AH1698)))</f>
        <v/>
      </c>
      <c r="I1698" s="54">
        <f>IF($B1698=0,NA(),IF($C1698="",NA(),IF(C$8="",NA(),IF(N(C$8)=0,NA(),IF(Inputs!$C$17="Rebased to 100",$C1698/C$8*100,$C1698)))))</f>
        <v/>
      </c>
      <c r="J1698" s="54">
        <f>IF($B1698=0,NA(),IF($D1698="",NA(),IF(D$8="",NA(),IF(N(D$8)=0,NA(),IF(Inputs!$C$17="Rebased to 100",$D1698/D$8*100,$D1698)))))</f>
        <v/>
      </c>
      <c r="K1698" s="54">
        <f>IF($B1698=0,NA(),IF($E1698="",NA(),IF(E$8="",NA(),IF(N(E$8)=0,NA(),IF(Inputs!$C$17="Rebased to 100",$E1698/E$8*100,$E1698)))))</f>
        <v/>
      </c>
      <c r="L1698" s="54">
        <f>IF($B1698=0,NA(),IF($F1698="",NA(),IF(F$8="",NA(),IF(N(F$8)=0,NA(),IF(Inputs!$C$17="Rebased to 100",$F1698/F$8*100,$F1698)))))</f>
        <v/>
      </c>
      <c r="M1698" s="54">
        <f>IF($B1698=0,NA(),IF($G1698="",NA(),IF(G$8="",NA(),IF(N(G$8)=0,NA(),IF(Inputs!$C$17="Rebased to 100",$G1698/G$8*100,$G1698)))))</f>
        <v/>
      </c>
      <c r="N1698" s="54">
        <f>IF($B1698=0,NA(),IF(Inputs!$C$18&lt;&gt;"Yes",NA(),IF(COUNT(I1698,J1698,K1698,L1698,M1698)=0,NA(),MIN(I1698,J1698,K1698,L1698,M1698))))</f>
        <v/>
      </c>
      <c r="O1698" s="54">
        <f>IF($B1698=0,NA(),IF(Inputs!$B$24&lt;&gt;"Yes",NA(),Inputs!$D$24*Inputs!$C$35))</f>
        <v/>
      </c>
      <c r="P1698" s="54">
        <f>IF($B1698=0,NA(),IF(Inputs!$B$25&lt;&gt;"Yes",NA(),Inputs!$D$25*Inputs!$C$35))</f>
        <v/>
      </c>
      <c r="Q1698" s="54">
        <f>IF($B1698=0,NA(),IF(Inputs!$B$26&lt;&gt;"Yes",NA(),Inputs!$D$26*Inputs!$C$35))</f>
        <v/>
      </c>
      <c r="R1698" s="54">
        <f>IF($B1698=0,NA(),IF(Inputs!$B$27&lt;&gt;"Yes",NA(),Inputs!$D$27*Inputs!$C$35))</f>
        <v/>
      </c>
      <c r="S1698" s="54">
        <f>IF($B1698=0,NA(),IF(Inputs!$B$28&lt;&gt;"Yes",NA(),Inputs!$D$28*Inputs!$C$35))</f>
        <v/>
      </c>
      <c r="T1698" s="54">
        <f>IF($B1698=0,NA(),IF(Inputs!$B$29&lt;&gt;"Yes",NA(),Inputs!$D$29*Inputs!$C$35))</f>
        <v/>
      </c>
      <c r="AD1698">
        <f>IF($B1698=0,0,IF(Inputs!$B$6="",0,COUNTIFS(Data!$A$10:$A$3209,"&gt;="&amp;$A1698,Data!$A$10:$A$3209,"&lt;"&amp;$A1698+1)))</f>
        <v/>
      </c>
      <c r="AE1698">
        <f>IF($B1698=0,0,IF(Inputs!$B$7="",0,COUNTIFS(Data!$E$10:$E$3209,"&gt;="&amp;$A1698,Data!$E$10:$E$3209,"&lt;"&amp;$A1698+1)))</f>
        <v/>
      </c>
      <c r="AF1698">
        <f>IF($B1698=0,0,IF(Inputs!$B$8="",0,COUNTIFS(Data!$I$10:$I$3209,"&gt;="&amp;$A1698,Data!$I$10:$I$3209,"&lt;"&amp;$A1698+1)))</f>
        <v/>
      </c>
      <c r="AG1698">
        <f>IF($B1698=0,0,IF(Inputs!$B$9="",0,COUNTIFS(Data!$M$10:$M$3209,"&gt;="&amp;$A1698,Data!$M$10:$M$3209,"&lt;"&amp;$A1698+1)))</f>
        <v/>
      </c>
      <c r="AH1698">
        <f>IF($B1698=0,0,IF(Inputs!$B$10="",0,COUNTIFS(Data!$Q$10:$Q$3209,"&gt;="&amp;$A1698,Data!$Q$10:$Q$3209,"&lt;"&amp;$A1698+1)))</f>
        <v/>
      </c>
    </row>
    <row r="1699">
      <c r="A1699" s="55">
        <f>MIN(Inputs!$C$15,$A1698+IF(WEEKDAY($A1698,2)=5,3,1))</f>
        <v/>
      </c>
      <c r="B1699">
        <f>IF($A1699&gt;$A1698,1,0)</f>
        <v/>
      </c>
      <c r="C1699" s="56">
        <f>IF($B1699=0,"",IF(Inputs!$B$6="","",IF($AD1699=0,C1698,SUMIFS(Data!$B$10:$B$3209,Data!$A$10:$A$3209,"&gt;="&amp;$A1699,Data!$A$10:$A$3209,"&lt;"&amp;$A1699+1)/$AD1699)))</f>
        <v/>
      </c>
      <c r="D1699" s="56">
        <f>IF($B1699=0,"",IF(Inputs!$B$7="","",IF($AE1699=0,D1698,SUMIFS(Data!$F$10:$F$3209,Data!$E$10:$E$3209,"&gt;="&amp;$A1699,Data!$E$10:$E$3209,"&lt;"&amp;$A1699+1)/$AE1699)))</f>
        <v/>
      </c>
      <c r="E1699" s="56">
        <f>IF($B1699=0,"",IF(Inputs!$B$8="","",IF($AF1699=0,E1698,SUMIFS(Data!$J$10:$J$3209,Data!$I$10:$I$3209,"&gt;="&amp;$A1699,Data!$I$10:$I$3209,"&lt;"&amp;$A1699+1)/$AF1699)))</f>
        <v/>
      </c>
      <c r="F1699" s="56">
        <f>IF($B1699=0,"",IF(Inputs!$B$9="","",IF($AG1699=0,F1698,SUMIFS(Data!$N$10:$N$3209,Data!$M$10:$M$3209,"&gt;="&amp;$A1699,Data!$M$10:$M$3209,"&lt;"&amp;$A1699+1)/$AG1699)))</f>
        <v/>
      </c>
      <c r="G1699" s="56">
        <f>IF($B1699=0,"",IF(Inputs!$B$10="","",IF($AH1699=0,G1698,SUMIFS(Data!$R$10:$R$3209,Data!$Q$10:$Q$3209,"&gt;="&amp;$A1699,Data!$Q$10:$Q$3209,"&lt;"&amp;$A1699+1)/$AH1699)))</f>
        <v/>
      </c>
      <c r="I1699" s="54">
        <f>IF($B1699=0,NA(),IF($C1699="",NA(),IF(C$8="",NA(),IF(N(C$8)=0,NA(),IF(Inputs!$C$17="Rebased to 100",$C1699/C$8*100,$C1699)))))</f>
        <v/>
      </c>
      <c r="J1699" s="54">
        <f>IF($B1699=0,NA(),IF($D1699="",NA(),IF(D$8="",NA(),IF(N(D$8)=0,NA(),IF(Inputs!$C$17="Rebased to 100",$D1699/D$8*100,$D1699)))))</f>
        <v/>
      </c>
      <c r="K1699" s="54">
        <f>IF($B1699=0,NA(),IF($E1699="",NA(),IF(E$8="",NA(),IF(N(E$8)=0,NA(),IF(Inputs!$C$17="Rebased to 100",$E1699/E$8*100,$E1699)))))</f>
        <v/>
      </c>
      <c r="L1699" s="54">
        <f>IF($B1699=0,NA(),IF($F1699="",NA(),IF(F$8="",NA(),IF(N(F$8)=0,NA(),IF(Inputs!$C$17="Rebased to 100",$F1699/F$8*100,$F1699)))))</f>
        <v/>
      </c>
      <c r="M1699" s="54">
        <f>IF($B1699=0,NA(),IF($G1699="",NA(),IF(G$8="",NA(),IF(N(G$8)=0,NA(),IF(Inputs!$C$17="Rebased to 100",$G1699/G$8*100,$G1699)))))</f>
        <v/>
      </c>
      <c r="N1699" s="54">
        <f>IF($B1699=0,NA(),IF(Inputs!$C$18&lt;&gt;"Yes",NA(),IF(COUNT(I1699,J1699,K1699,L1699,M1699)=0,NA(),MIN(I1699,J1699,K1699,L1699,M1699))))</f>
        <v/>
      </c>
      <c r="O1699" s="54">
        <f>IF($B1699=0,NA(),IF(Inputs!$B$24&lt;&gt;"Yes",NA(),Inputs!$D$24*Inputs!$C$35))</f>
        <v/>
      </c>
      <c r="P1699" s="54">
        <f>IF($B1699=0,NA(),IF(Inputs!$B$25&lt;&gt;"Yes",NA(),Inputs!$D$25*Inputs!$C$35))</f>
        <v/>
      </c>
      <c r="Q1699" s="54">
        <f>IF($B1699=0,NA(),IF(Inputs!$B$26&lt;&gt;"Yes",NA(),Inputs!$D$26*Inputs!$C$35))</f>
        <v/>
      </c>
      <c r="R1699" s="54">
        <f>IF($B1699=0,NA(),IF(Inputs!$B$27&lt;&gt;"Yes",NA(),Inputs!$D$27*Inputs!$C$35))</f>
        <v/>
      </c>
      <c r="S1699" s="54">
        <f>IF($B1699=0,NA(),IF(Inputs!$B$28&lt;&gt;"Yes",NA(),Inputs!$D$28*Inputs!$C$35))</f>
        <v/>
      </c>
      <c r="T1699" s="54">
        <f>IF($B1699=0,NA(),IF(Inputs!$B$29&lt;&gt;"Yes",NA(),Inputs!$D$29*Inputs!$C$35))</f>
        <v/>
      </c>
      <c r="AD1699">
        <f>IF($B1699=0,0,IF(Inputs!$B$6="",0,COUNTIFS(Data!$A$10:$A$3209,"&gt;="&amp;$A1699,Data!$A$10:$A$3209,"&lt;"&amp;$A1699+1)))</f>
        <v/>
      </c>
      <c r="AE1699">
        <f>IF($B1699=0,0,IF(Inputs!$B$7="",0,COUNTIFS(Data!$E$10:$E$3209,"&gt;="&amp;$A1699,Data!$E$10:$E$3209,"&lt;"&amp;$A1699+1)))</f>
        <v/>
      </c>
      <c r="AF1699">
        <f>IF($B1699=0,0,IF(Inputs!$B$8="",0,COUNTIFS(Data!$I$10:$I$3209,"&gt;="&amp;$A1699,Data!$I$10:$I$3209,"&lt;"&amp;$A1699+1)))</f>
        <v/>
      </c>
      <c r="AG1699">
        <f>IF($B1699=0,0,IF(Inputs!$B$9="",0,COUNTIFS(Data!$M$10:$M$3209,"&gt;="&amp;$A1699,Data!$M$10:$M$3209,"&lt;"&amp;$A1699+1)))</f>
        <v/>
      </c>
      <c r="AH1699">
        <f>IF($B1699=0,0,IF(Inputs!$B$10="",0,COUNTIFS(Data!$Q$10:$Q$3209,"&gt;="&amp;$A1699,Data!$Q$10:$Q$3209,"&lt;"&amp;$A1699+1)))</f>
        <v/>
      </c>
    </row>
    <row r="1700">
      <c r="A1700" s="55">
        <f>MIN(Inputs!$C$15,$A1699+IF(WEEKDAY($A1699,2)=5,3,1))</f>
        <v/>
      </c>
      <c r="B1700">
        <f>IF($A1700&gt;$A1699,1,0)</f>
        <v/>
      </c>
      <c r="C1700" s="56">
        <f>IF($B1700=0,"",IF(Inputs!$B$6="","",IF($AD1700=0,C1699,SUMIFS(Data!$B$10:$B$3209,Data!$A$10:$A$3209,"&gt;="&amp;$A1700,Data!$A$10:$A$3209,"&lt;"&amp;$A1700+1)/$AD1700)))</f>
        <v/>
      </c>
      <c r="D1700" s="56">
        <f>IF($B1700=0,"",IF(Inputs!$B$7="","",IF($AE1700=0,D1699,SUMIFS(Data!$F$10:$F$3209,Data!$E$10:$E$3209,"&gt;="&amp;$A1700,Data!$E$10:$E$3209,"&lt;"&amp;$A1700+1)/$AE1700)))</f>
        <v/>
      </c>
      <c r="E1700" s="56">
        <f>IF($B1700=0,"",IF(Inputs!$B$8="","",IF($AF1700=0,E1699,SUMIFS(Data!$J$10:$J$3209,Data!$I$10:$I$3209,"&gt;="&amp;$A1700,Data!$I$10:$I$3209,"&lt;"&amp;$A1700+1)/$AF1700)))</f>
        <v/>
      </c>
      <c r="F1700" s="56">
        <f>IF($B1700=0,"",IF(Inputs!$B$9="","",IF($AG1700=0,F1699,SUMIFS(Data!$N$10:$N$3209,Data!$M$10:$M$3209,"&gt;="&amp;$A1700,Data!$M$10:$M$3209,"&lt;"&amp;$A1700+1)/$AG1700)))</f>
        <v/>
      </c>
      <c r="G1700" s="56">
        <f>IF($B1700=0,"",IF(Inputs!$B$10="","",IF($AH1700=0,G1699,SUMIFS(Data!$R$10:$R$3209,Data!$Q$10:$Q$3209,"&gt;="&amp;$A1700,Data!$Q$10:$Q$3209,"&lt;"&amp;$A1700+1)/$AH1700)))</f>
        <v/>
      </c>
      <c r="I1700" s="54">
        <f>IF($B1700=0,NA(),IF($C1700="",NA(),IF(C$8="",NA(),IF(N(C$8)=0,NA(),IF(Inputs!$C$17="Rebased to 100",$C1700/C$8*100,$C1700)))))</f>
        <v/>
      </c>
      <c r="J1700" s="54">
        <f>IF($B1700=0,NA(),IF($D1700="",NA(),IF(D$8="",NA(),IF(N(D$8)=0,NA(),IF(Inputs!$C$17="Rebased to 100",$D1700/D$8*100,$D1700)))))</f>
        <v/>
      </c>
      <c r="K1700" s="54">
        <f>IF($B1700=0,NA(),IF($E1700="",NA(),IF(E$8="",NA(),IF(N(E$8)=0,NA(),IF(Inputs!$C$17="Rebased to 100",$E1700/E$8*100,$E1700)))))</f>
        <v/>
      </c>
      <c r="L1700" s="54">
        <f>IF($B1700=0,NA(),IF($F1700="",NA(),IF(F$8="",NA(),IF(N(F$8)=0,NA(),IF(Inputs!$C$17="Rebased to 100",$F1700/F$8*100,$F1700)))))</f>
        <v/>
      </c>
      <c r="M1700" s="54">
        <f>IF($B1700=0,NA(),IF($G1700="",NA(),IF(G$8="",NA(),IF(N(G$8)=0,NA(),IF(Inputs!$C$17="Rebased to 100",$G1700/G$8*100,$G1700)))))</f>
        <v/>
      </c>
      <c r="N1700" s="54">
        <f>IF($B1700=0,NA(),IF(Inputs!$C$18&lt;&gt;"Yes",NA(),IF(COUNT(I1700,J1700,K1700,L1700,M1700)=0,NA(),MIN(I1700,J1700,K1700,L1700,M1700))))</f>
        <v/>
      </c>
      <c r="O1700" s="54">
        <f>IF($B1700=0,NA(),IF(Inputs!$B$24&lt;&gt;"Yes",NA(),Inputs!$D$24*Inputs!$C$35))</f>
        <v/>
      </c>
      <c r="P1700" s="54">
        <f>IF($B1700=0,NA(),IF(Inputs!$B$25&lt;&gt;"Yes",NA(),Inputs!$D$25*Inputs!$C$35))</f>
        <v/>
      </c>
      <c r="Q1700" s="54">
        <f>IF($B1700=0,NA(),IF(Inputs!$B$26&lt;&gt;"Yes",NA(),Inputs!$D$26*Inputs!$C$35))</f>
        <v/>
      </c>
      <c r="R1700" s="54">
        <f>IF($B1700=0,NA(),IF(Inputs!$B$27&lt;&gt;"Yes",NA(),Inputs!$D$27*Inputs!$C$35))</f>
        <v/>
      </c>
      <c r="S1700" s="54">
        <f>IF($B1700=0,NA(),IF(Inputs!$B$28&lt;&gt;"Yes",NA(),Inputs!$D$28*Inputs!$C$35))</f>
        <v/>
      </c>
      <c r="T1700" s="54">
        <f>IF($B1700=0,NA(),IF(Inputs!$B$29&lt;&gt;"Yes",NA(),Inputs!$D$29*Inputs!$C$35))</f>
        <v/>
      </c>
      <c r="AD1700">
        <f>IF($B1700=0,0,IF(Inputs!$B$6="",0,COUNTIFS(Data!$A$10:$A$3209,"&gt;="&amp;$A1700,Data!$A$10:$A$3209,"&lt;"&amp;$A1700+1)))</f>
        <v/>
      </c>
      <c r="AE1700">
        <f>IF($B1700=0,0,IF(Inputs!$B$7="",0,COUNTIFS(Data!$E$10:$E$3209,"&gt;="&amp;$A1700,Data!$E$10:$E$3209,"&lt;"&amp;$A1700+1)))</f>
        <v/>
      </c>
      <c r="AF1700">
        <f>IF($B1700=0,0,IF(Inputs!$B$8="",0,COUNTIFS(Data!$I$10:$I$3209,"&gt;="&amp;$A1700,Data!$I$10:$I$3209,"&lt;"&amp;$A1700+1)))</f>
        <v/>
      </c>
      <c r="AG1700">
        <f>IF($B1700=0,0,IF(Inputs!$B$9="",0,COUNTIFS(Data!$M$10:$M$3209,"&gt;="&amp;$A1700,Data!$M$10:$M$3209,"&lt;"&amp;$A1700+1)))</f>
        <v/>
      </c>
      <c r="AH1700">
        <f>IF($B1700=0,0,IF(Inputs!$B$10="",0,COUNTIFS(Data!$Q$10:$Q$3209,"&gt;="&amp;$A1700,Data!$Q$10:$Q$3209,"&lt;"&amp;$A1700+1)))</f>
        <v/>
      </c>
    </row>
    <row r="1701">
      <c r="A1701" s="55">
        <f>MIN(Inputs!$C$15,$A1700+IF(WEEKDAY($A1700,2)=5,3,1))</f>
        <v/>
      </c>
      <c r="B1701">
        <f>IF($A1701&gt;$A1700,1,0)</f>
        <v/>
      </c>
      <c r="C1701" s="56">
        <f>IF($B1701=0,"",IF(Inputs!$B$6="","",IF($AD1701=0,C1700,SUMIFS(Data!$B$10:$B$3209,Data!$A$10:$A$3209,"&gt;="&amp;$A1701,Data!$A$10:$A$3209,"&lt;"&amp;$A1701+1)/$AD1701)))</f>
        <v/>
      </c>
      <c r="D1701" s="56">
        <f>IF($B1701=0,"",IF(Inputs!$B$7="","",IF($AE1701=0,D1700,SUMIFS(Data!$F$10:$F$3209,Data!$E$10:$E$3209,"&gt;="&amp;$A1701,Data!$E$10:$E$3209,"&lt;"&amp;$A1701+1)/$AE1701)))</f>
        <v/>
      </c>
      <c r="E1701" s="56">
        <f>IF($B1701=0,"",IF(Inputs!$B$8="","",IF($AF1701=0,E1700,SUMIFS(Data!$J$10:$J$3209,Data!$I$10:$I$3209,"&gt;="&amp;$A1701,Data!$I$10:$I$3209,"&lt;"&amp;$A1701+1)/$AF1701)))</f>
        <v/>
      </c>
      <c r="F1701" s="56">
        <f>IF($B1701=0,"",IF(Inputs!$B$9="","",IF($AG1701=0,F1700,SUMIFS(Data!$N$10:$N$3209,Data!$M$10:$M$3209,"&gt;="&amp;$A1701,Data!$M$10:$M$3209,"&lt;"&amp;$A1701+1)/$AG1701)))</f>
        <v/>
      </c>
      <c r="G1701" s="56">
        <f>IF($B1701=0,"",IF(Inputs!$B$10="","",IF($AH1701=0,G1700,SUMIFS(Data!$R$10:$R$3209,Data!$Q$10:$Q$3209,"&gt;="&amp;$A1701,Data!$Q$10:$Q$3209,"&lt;"&amp;$A1701+1)/$AH1701)))</f>
        <v/>
      </c>
      <c r="I1701" s="54">
        <f>IF($B1701=0,NA(),IF($C1701="",NA(),IF(C$8="",NA(),IF(N(C$8)=0,NA(),IF(Inputs!$C$17="Rebased to 100",$C1701/C$8*100,$C1701)))))</f>
        <v/>
      </c>
      <c r="J1701" s="54">
        <f>IF($B1701=0,NA(),IF($D1701="",NA(),IF(D$8="",NA(),IF(N(D$8)=0,NA(),IF(Inputs!$C$17="Rebased to 100",$D1701/D$8*100,$D1701)))))</f>
        <v/>
      </c>
      <c r="K1701" s="54">
        <f>IF($B1701=0,NA(),IF($E1701="",NA(),IF(E$8="",NA(),IF(N(E$8)=0,NA(),IF(Inputs!$C$17="Rebased to 100",$E1701/E$8*100,$E1701)))))</f>
        <v/>
      </c>
      <c r="L1701" s="54">
        <f>IF($B1701=0,NA(),IF($F1701="",NA(),IF(F$8="",NA(),IF(N(F$8)=0,NA(),IF(Inputs!$C$17="Rebased to 100",$F1701/F$8*100,$F1701)))))</f>
        <v/>
      </c>
      <c r="M1701" s="54">
        <f>IF($B1701=0,NA(),IF($G1701="",NA(),IF(G$8="",NA(),IF(N(G$8)=0,NA(),IF(Inputs!$C$17="Rebased to 100",$G1701/G$8*100,$G1701)))))</f>
        <v/>
      </c>
      <c r="N1701" s="54">
        <f>IF($B1701=0,NA(),IF(Inputs!$C$18&lt;&gt;"Yes",NA(),IF(COUNT(I1701,J1701,K1701,L1701,M1701)=0,NA(),MIN(I1701,J1701,K1701,L1701,M1701))))</f>
        <v/>
      </c>
      <c r="O1701" s="54">
        <f>IF($B1701=0,NA(),IF(Inputs!$B$24&lt;&gt;"Yes",NA(),Inputs!$D$24*Inputs!$C$35))</f>
        <v/>
      </c>
      <c r="P1701" s="54">
        <f>IF($B1701=0,NA(),IF(Inputs!$B$25&lt;&gt;"Yes",NA(),Inputs!$D$25*Inputs!$C$35))</f>
        <v/>
      </c>
      <c r="Q1701" s="54">
        <f>IF($B1701=0,NA(),IF(Inputs!$B$26&lt;&gt;"Yes",NA(),Inputs!$D$26*Inputs!$C$35))</f>
        <v/>
      </c>
      <c r="R1701" s="54">
        <f>IF($B1701=0,NA(),IF(Inputs!$B$27&lt;&gt;"Yes",NA(),Inputs!$D$27*Inputs!$C$35))</f>
        <v/>
      </c>
      <c r="S1701" s="54">
        <f>IF($B1701=0,NA(),IF(Inputs!$B$28&lt;&gt;"Yes",NA(),Inputs!$D$28*Inputs!$C$35))</f>
        <v/>
      </c>
      <c r="T1701" s="54">
        <f>IF($B1701=0,NA(),IF(Inputs!$B$29&lt;&gt;"Yes",NA(),Inputs!$D$29*Inputs!$C$35))</f>
        <v/>
      </c>
      <c r="AD1701">
        <f>IF($B1701=0,0,IF(Inputs!$B$6="",0,COUNTIFS(Data!$A$10:$A$3209,"&gt;="&amp;$A1701,Data!$A$10:$A$3209,"&lt;"&amp;$A1701+1)))</f>
        <v/>
      </c>
      <c r="AE1701">
        <f>IF($B1701=0,0,IF(Inputs!$B$7="",0,COUNTIFS(Data!$E$10:$E$3209,"&gt;="&amp;$A1701,Data!$E$10:$E$3209,"&lt;"&amp;$A1701+1)))</f>
        <v/>
      </c>
      <c r="AF1701">
        <f>IF($B1701=0,0,IF(Inputs!$B$8="",0,COUNTIFS(Data!$I$10:$I$3209,"&gt;="&amp;$A1701,Data!$I$10:$I$3209,"&lt;"&amp;$A1701+1)))</f>
        <v/>
      </c>
      <c r="AG1701">
        <f>IF($B1701=0,0,IF(Inputs!$B$9="",0,COUNTIFS(Data!$M$10:$M$3209,"&gt;="&amp;$A1701,Data!$M$10:$M$3209,"&lt;"&amp;$A1701+1)))</f>
        <v/>
      </c>
      <c r="AH1701">
        <f>IF($B1701=0,0,IF(Inputs!$B$10="",0,COUNTIFS(Data!$Q$10:$Q$3209,"&gt;="&amp;$A1701,Data!$Q$10:$Q$3209,"&lt;"&amp;$A1701+1)))</f>
        <v/>
      </c>
    </row>
    <row r="1702">
      <c r="A1702" s="55">
        <f>MIN(Inputs!$C$15,$A1701+IF(WEEKDAY($A1701,2)=5,3,1))</f>
        <v/>
      </c>
      <c r="B1702">
        <f>IF($A1702&gt;$A1701,1,0)</f>
        <v/>
      </c>
      <c r="C1702" s="56">
        <f>IF($B1702=0,"",IF(Inputs!$B$6="","",IF($AD1702=0,C1701,SUMIFS(Data!$B$10:$B$3209,Data!$A$10:$A$3209,"&gt;="&amp;$A1702,Data!$A$10:$A$3209,"&lt;"&amp;$A1702+1)/$AD1702)))</f>
        <v/>
      </c>
      <c r="D1702" s="56">
        <f>IF($B1702=0,"",IF(Inputs!$B$7="","",IF($AE1702=0,D1701,SUMIFS(Data!$F$10:$F$3209,Data!$E$10:$E$3209,"&gt;="&amp;$A1702,Data!$E$10:$E$3209,"&lt;"&amp;$A1702+1)/$AE1702)))</f>
        <v/>
      </c>
      <c r="E1702" s="56">
        <f>IF($B1702=0,"",IF(Inputs!$B$8="","",IF($AF1702=0,E1701,SUMIFS(Data!$J$10:$J$3209,Data!$I$10:$I$3209,"&gt;="&amp;$A1702,Data!$I$10:$I$3209,"&lt;"&amp;$A1702+1)/$AF1702)))</f>
        <v/>
      </c>
      <c r="F1702" s="56">
        <f>IF($B1702=0,"",IF(Inputs!$B$9="","",IF($AG1702=0,F1701,SUMIFS(Data!$N$10:$N$3209,Data!$M$10:$M$3209,"&gt;="&amp;$A1702,Data!$M$10:$M$3209,"&lt;"&amp;$A1702+1)/$AG1702)))</f>
        <v/>
      </c>
      <c r="G1702" s="56">
        <f>IF($B1702=0,"",IF(Inputs!$B$10="","",IF($AH1702=0,G1701,SUMIFS(Data!$R$10:$R$3209,Data!$Q$10:$Q$3209,"&gt;="&amp;$A1702,Data!$Q$10:$Q$3209,"&lt;"&amp;$A1702+1)/$AH1702)))</f>
        <v/>
      </c>
      <c r="I1702" s="54">
        <f>IF($B1702=0,NA(),IF($C1702="",NA(),IF(C$8="",NA(),IF(N(C$8)=0,NA(),IF(Inputs!$C$17="Rebased to 100",$C1702/C$8*100,$C1702)))))</f>
        <v/>
      </c>
      <c r="J1702" s="54">
        <f>IF($B1702=0,NA(),IF($D1702="",NA(),IF(D$8="",NA(),IF(N(D$8)=0,NA(),IF(Inputs!$C$17="Rebased to 100",$D1702/D$8*100,$D1702)))))</f>
        <v/>
      </c>
      <c r="K1702" s="54">
        <f>IF($B1702=0,NA(),IF($E1702="",NA(),IF(E$8="",NA(),IF(N(E$8)=0,NA(),IF(Inputs!$C$17="Rebased to 100",$E1702/E$8*100,$E1702)))))</f>
        <v/>
      </c>
      <c r="L1702" s="54">
        <f>IF($B1702=0,NA(),IF($F1702="",NA(),IF(F$8="",NA(),IF(N(F$8)=0,NA(),IF(Inputs!$C$17="Rebased to 100",$F1702/F$8*100,$F1702)))))</f>
        <v/>
      </c>
      <c r="M1702" s="54">
        <f>IF($B1702=0,NA(),IF($G1702="",NA(),IF(G$8="",NA(),IF(N(G$8)=0,NA(),IF(Inputs!$C$17="Rebased to 100",$G1702/G$8*100,$G1702)))))</f>
        <v/>
      </c>
      <c r="N1702" s="54">
        <f>IF($B1702=0,NA(),IF(Inputs!$C$18&lt;&gt;"Yes",NA(),IF(COUNT(I1702,J1702,K1702,L1702,M1702)=0,NA(),MIN(I1702,J1702,K1702,L1702,M1702))))</f>
        <v/>
      </c>
      <c r="O1702" s="54">
        <f>IF($B1702=0,NA(),IF(Inputs!$B$24&lt;&gt;"Yes",NA(),Inputs!$D$24*Inputs!$C$35))</f>
        <v/>
      </c>
      <c r="P1702" s="54">
        <f>IF($B1702=0,NA(),IF(Inputs!$B$25&lt;&gt;"Yes",NA(),Inputs!$D$25*Inputs!$C$35))</f>
        <v/>
      </c>
      <c r="Q1702" s="54">
        <f>IF($B1702=0,NA(),IF(Inputs!$B$26&lt;&gt;"Yes",NA(),Inputs!$D$26*Inputs!$C$35))</f>
        <v/>
      </c>
      <c r="R1702" s="54">
        <f>IF($B1702=0,NA(),IF(Inputs!$B$27&lt;&gt;"Yes",NA(),Inputs!$D$27*Inputs!$C$35))</f>
        <v/>
      </c>
      <c r="S1702" s="54">
        <f>IF($B1702=0,NA(),IF(Inputs!$B$28&lt;&gt;"Yes",NA(),Inputs!$D$28*Inputs!$C$35))</f>
        <v/>
      </c>
      <c r="T1702" s="54">
        <f>IF($B1702=0,NA(),IF(Inputs!$B$29&lt;&gt;"Yes",NA(),Inputs!$D$29*Inputs!$C$35))</f>
        <v/>
      </c>
      <c r="AD1702">
        <f>IF($B1702=0,0,IF(Inputs!$B$6="",0,COUNTIFS(Data!$A$10:$A$3209,"&gt;="&amp;$A1702,Data!$A$10:$A$3209,"&lt;"&amp;$A1702+1)))</f>
        <v/>
      </c>
      <c r="AE1702">
        <f>IF($B1702=0,0,IF(Inputs!$B$7="",0,COUNTIFS(Data!$E$10:$E$3209,"&gt;="&amp;$A1702,Data!$E$10:$E$3209,"&lt;"&amp;$A1702+1)))</f>
        <v/>
      </c>
      <c r="AF1702">
        <f>IF($B1702=0,0,IF(Inputs!$B$8="",0,COUNTIFS(Data!$I$10:$I$3209,"&gt;="&amp;$A1702,Data!$I$10:$I$3209,"&lt;"&amp;$A1702+1)))</f>
        <v/>
      </c>
      <c r="AG1702">
        <f>IF($B1702=0,0,IF(Inputs!$B$9="",0,COUNTIFS(Data!$M$10:$M$3209,"&gt;="&amp;$A1702,Data!$M$10:$M$3209,"&lt;"&amp;$A1702+1)))</f>
        <v/>
      </c>
      <c r="AH1702">
        <f>IF($B1702=0,0,IF(Inputs!$B$10="",0,COUNTIFS(Data!$Q$10:$Q$3209,"&gt;="&amp;$A1702,Data!$Q$10:$Q$3209,"&lt;"&amp;$A1702+1)))</f>
        <v/>
      </c>
    </row>
    <row r="1703">
      <c r="A1703" s="55">
        <f>MIN(Inputs!$C$15,$A1702+IF(WEEKDAY($A1702,2)=5,3,1))</f>
        <v/>
      </c>
      <c r="B1703">
        <f>IF($A1703&gt;$A1702,1,0)</f>
        <v/>
      </c>
      <c r="C1703" s="56">
        <f>IF($B1703=0,"",IF(Inputs!$B$6="","",IF($AD1703=0,C1702,SUMIFS(Data!$B$10:$B$3209,Data!$A$10:$A$3209,"&gt;="&amp;$A1703,Data!$A$10:$A$3209,"&lt;"&amp;$A1703+1)/$AD1703)))</f>
        <v/>
      </c>
      <c r="D1703" s="56">
        <f>IF($B1703=0,"",IF(Inputs!$B$7="","",IF($AE1703=0,D1702,SUMIFS(Data!$F$10:$F$3209,Data!$E$10:$E$3209,"&gt;="&amp;$A1703,Data!$E$10:$E$3209,"&lt;"&amp;$A1703+1)/$AE1703)))</f>
        <v/>
      </c>
      <c r="E1703" s="56">
        <f>IF($B1703=0,"",IF(Inputs!$B$8="","",IF($AF1703=0,E1702,SUMIFS(Data!$J$10:$J$3209,Data!$I$10:$I$3209,"&gt;="&amp;$A1703,Data!$I$10:$I$3209,"&lt;"&amp;$A1703+1)/$AF1703)))</f>
        <v/>
      </c>
      <c r="F1703" s="56">
        <f>IF($B1703=0,"",IF(Inputs!$B$9="","",IF($AG1703=0,F1702,SUMIFS(Data!$N$10:$N$3209,Data!$M$10:$M$3209,"&gt;="&amp;$A1703,Data!$M$10:$M$3209,"&lt;"&amp;$A1703+1)/$AG1703)))</f>
        <v/>
      </c>
      <c r="G1703" s="56">
        <f>IF($B1703=0,"",IF(Inputs!$B$10="","",IF($AH1703=0,G1702,SUMIFS(Data!$R$10:$R$3209,Data!$Q$10:$Q$3209,"&gt;="&amp;$A1703,Data!$Q$10:$Q$3209,"&lt;"&amp;$A1703+1)/$AH1703)))</f>
        <v/>
      </c>
      <c r="I1703" s="54">
        <f>IF($B1703=0,NA(),IF($C1703="",NA(),IF(C$8="",NA(),IF(N(C$8)=0,NA(),IF(Inputs!$C$17="Rebased to 100",$C1703/C$8*100,$C1703)))))</f>
        <v/>
      </c>
      <c r="J1703" s="54">
        <f>IF($B1703=0,NA(),IF($D1703="",NA(),IF(D$8="",NA(),IF(N(D$8)=0,NA(),IF(Inputs!$C$17="Rebased to 100",$D1703/D$8*100,$D1703)))))</f>
        <v/>
      </c>
      <c r="K1703" s="54">
        <f>IF($B1703=0,NA(),IF($E1703="",NA(),IF(E$8="",NA(),IF(N(E$8)=0,NA(),IF(Inputs!$C$17="Rebased to 100",$E1703/E$8*100,$E1703)))))</f>
        <v/>
      </c>
      <c r="L1703" s="54">
        <f>IF($B1703=0,NA(),IF($F1703="",NA(),IF(F$8="",NA(),IF(N(F$8)=0,NA(),IF(Inputs!$C$17="Rebased to 100",$F1703/F$8*100,$F1703)))))</f>
        <v/>
      </c>
      <c r="M1703" s="54">
        <f>IF($B1703=0,NA(),IF($G1703="",NA(),IF(G$8="",NA(),IF(N(G$8)=0,NA(),IF(Inputs!$C$17="Rebased to 100",$G1703/G$8*100,$G1703)))))</f>
        <v/>
      </c>
      <c r="N1703" s="54">
        <f>IF($B1703=0,NA(),IF(Inputs!$C$18&lt;&gt;"Yes",NA(),IF(COUNT(I1703,J1703,K1703,L1703,M1703)=0,NA(),MIN(I1703,J1703,K1703,L1703,M1703))))</f>
        <v/>
      </c>
      <c r="O1703" s="54">
        <f>IF($B1703=0,NA(),IF(Inputs!$B$24&lt;&gt;"Yes",NA(),Inputs!$D$24*Inputs!$C$35))</f>
        <v/>
      </c>
      <c r="P1703" s="54">
        <f>IF($B1703=0,NA(),IF(Inputs!$B$25&lt;&gt;"Yes",NA(),Inputs!$D$25*Inputs!$C$35))</f>
        <v/>
      </c>
      <c r="Q1703" s="54">
        <f>IF($B1703=0,NA(),IF(Inputs!$B$26&lt;&gt;"Yes",NA(),Inputs!$D$26*Inputs!$C$35))</f>
        <v/>
      </c>
      <c r="R1703" s="54">
        <f>IF($B1703=0,NA(),IF(Inputs!$B$27&lt;&gt;"Yes",NA(),Inputs!$D$27*Inputs!$C$35))</f>
        <v/>
      </c>
      <c r="S1703" s="54">
        <f>IF($B1703=0,NA(),IF(Inputs!$B$28&lt;&gt;"Yes",NA(),Inputs!$D$28*Inputs!$C$35))</f>
        <v/>
      </c>
      <c r="T1703" s="54">
        <f>IF($B1703=0,NA(),IF(Inputs!$B$29&lt;&gt;"Yes",NA(),Inputs!$D$29*Inputs!$C$35))</f>
        <v/>
      </c>
      <c r="AD1703">
        <f>IF($B1703=0,0,IF(Inputs!$B$6="",0,COUNTIFS(Data!$A$10:$A$3209,"&gt;="&amp;$A1703,Data!$A$10:$A$3209,"&lt;"&amp;$A1703+1)))</f>
        <v/>
      </c>
      <c r="AE1703">
        <f>IF($B1703=0,0,IF(Inputs!$B$7="",0,COUNTIFS(Data!$E$10:$E$3209,"&gt;="&amp;$A1703,Data!$E$10:$E$3209,"&lt;"&amp;$A1703+1)))</f>
        <v/>
      </c>
      <c r="AF1703">
        <f>IF($B1703=0,0,IF(Inputs!$B$8="",0,COUNTIFS(Data!$I$10:$I$3209,"&gt;="&amp;$A1703,Data!$I$10:$I$3209,"&lt;"&amp;$A1703+1)))</f>
        <v/>
      </c>
      <c r="AG1703">
        <f>IF($B1703=0,0,IF(Inputs!$B$9="",0,COUNTIFS(Data!$M$10:$M$3209,"&gt;="&amp;$A1703,Data!$M$10:$M$3209,"&lt;"&amp;$A1703+1)))</f>
        <v/>
      </c>
      <c r="AH1703">
        <f>IF($B1703=0,0,IF(Inputs!$B$10="",0,COUNTIFS(Data!$Q$10:$Q$3209,"&gt;="&amp;$A1703,Data!$Q$10:$Q$3209,"&lt;"&amp;$A1703+1)))</f>
        <v/>
      </c>
    </row>
    <row r="1704">
      <c r="A1704" s="55">
        <f>MIN(Inputs!$C$15,$A1703+IF(WEEKDAY($A1703,2)=5,3,1))</f>
        <v/>
      </c>
      <c r="B1704">
        <f>IF($A1704&gt;$A1703,1,0)</f>
        <v/>
      </c>
      <c r="C1704" s="56">
        <f>IF($B1704=0,"",IF(Inputs!$B$6="","",IF($AD1704=0,C1703,SUMIFS(Data!$B$10:$B$3209,Data!$A$10:$A$3209,"&gt;="&amp;$A1704,Data!$A$10:$A$3209,"&lt;"&amp;$A1704+1)/$AD1704)))</f>
        <v/>
      </c>
      <c r="D1704" s="56">
        <f>IF($B1704=0,"",IF(Inputs!$B$7="","",IF($AE1704=0,D1703,SUMIFS(Data!$F$10:$F$3209,Data!$E$10:$E$3209,"&gt;="&amp;$A1704,Data!$E$10:$E$3209,"&lt;"&amp;$A1704+1)/$AE1704)))</f>
        <v/>
      </c>
      <c r="E1704" s="56">
        <f>IF($B1704=0,"",IF(Inputs!$B$8="","",IF($AF1704=0,E1703,SUMIFS(Data!$J$10:$J$3209,Data!$I$10:$I$3209,"&gt;="&amp;$A1704,Data!$I$10:$I$3209,"&lt;"&amp;$A1704+1)/$AF1704)))</f>
        <v/>
      </c>
      <c r="F1704" s="56">
        <f>IF($B1704=0,"",IF(Inputs!$B$9="","",IF($AG1704=0,F1703,SUMIFS(Data!$N$10:$N$3209,Data!$M$10:$M$3209,"&gt;="&amp;$A1704,Data!$M$10:$M$3209,"&lt;"&amp;$A1704+1)/$AG1704)))</f>
        <v/>
      </c>
      <c r="G1704" s="56">
        <f>IF($B1704=0,"",IF(Inputs!$B$10="","",IF($AH1704=0,G1703,SUMIFS(Data!$R$10:$R$3209,Data!$Q$10:$Q$3209,"&gt;="&amp;$A1704,Data!$Q$10:$Q$3209,"&lt;"&amp;$A1704+1)/$AH1704)))</f>
        <v/>
      </c>
      <c r="I1704" s="54">
        <f>IF($B1704=0,NA(),IF($C1704="",NA(),IF(C$8="",NA(),IF(N(C$8)=0,NA(),IF(Inputs!$C$17="Rebased to 100",$C1704/C$8*100,$C1704)))))</f>
        <v/>
      </c>
      <c r="J1704" s="54">
        <f>IF($B1704=0,NA(),IF($D1704="",NA(),IF(D$8="",NA(),IF(N(D$8)=0,NA(),IF(Inputs!$C$17="Rebased to 100",$D1704/D$8*100,$D1704)))))</f>
        <v/>
      </c>
      <c r="K1704" s="54">
        <f>IF($B1704=0,NA(),IF($E1704="",NA(),IF(E$8="",NA(),IF(N(E$8)=0,NA(),IF(Inputs!$C$17="Rebased to 100",$E1704/E$8*100,$E1704)))))</f>
        <v/>
      </c>
      <c r="L1704" s="54">
        <f>IF($B1704=0,NA(),IF($F1704="",NA(),IF(F$8="",NA(),IF(N(F$8)=0,NA(),IF(Inputs!$C$17="Rebased to 100",$F1704/F$8*100,$F1704)))))</f>
        <v/>
      </c>
      <c r="M1704" s="54">
        <f>IF($B1704=0,NA(),IF($G1704="",NA(),IF(G$8="",NA(),IF(N(G$8)=0,NA(),IF(Inputs!$C$17="Rebased to 100",$G1704/G$8*100,$G1704)))))</f>
        <v/>
      </c>
      <c r="N1704" s="54">
        <f>IF($B1704=0,NA(),IF(Inputs!$C$18&lt;&gt;"Yes",NA(),IF(COUNT(I1704,J1704,K1704,L1704,M1704)=0,NA(),MIN(I1704,J1704,K1704,L1704,M1704))))</f>
        <v/>
      </c>
      <c r="O1704" s="54">
        <f>IF($B1704=0,NA(),IF(Inputs!$B$24&lt;&gt;"Yes",NA(),Inputs!$D$24*Inputs!$C$35))</f>
        <v/>
      </c>
      <c r="P1704" s="54">
        <f>IF($B1704=0,NA(),IF(Inputs!$B$25&lt;&gt;"Yes",NA(),Inputs!$D$25*Inputs!$C$35))</f>
        <v/>
      </c>
      <c r="Q1704" s="54">
        <f>IF($B1704=0,NA(),IF(Inputs!$B$26&lt;&gt;"Yes",NA(),Inputs!$D$26*Inputs!$C$35))</f>
        <v/>
      </c>
      <c r="R1704" s="54">
        <f>IF($B1704=0,NA(),IF(Inputs!$B$27&lt;&gt;"Yes",NA(),Inputs!$D$27*Inputs!$C$35))</f>
        <v/>
      </c>
      <c r="S1704" s="54">
        <f>IF($B1704=0,NA(),IF(Inputs!$B$28&lt;&gt;"Yes",NA(),Inputs!$D$28*Inputs!$C$35))</f>
        <v/>
      </c>
      <c r="T1704" s="54">
        <f>IF($B1704=0,NA(),IF(Inputs!$B$29&lt;&gt;"Yes",NA(),Inputs!$D$29*Inputs!$C$35))</f>
        <v/>
      </c>
      <c r="AD1704">
        <f>IF($B1704=0,0,IF(Inputs!$B$6="",0,COUNTIFS(Data!$A$10:$A$3209,"&gt;="&amp;$A1704,Data!$A$10:$A$3209,"&lt;"&amp;$A1704+1)))</f>
        <v/>
      </c>
      <c r="AE1704">
        <f>IF($B1704=0,0,IF(Inputs!$B$7="",0,COUNTIFS(Data!$E$10:$E$3209,"&gt;="&amp;$A1704,Data!$E$10:$E$3209,"&lt;"&amp;$A1704+1)))</f>
        <v/>
      </c>
      <c r="AF1704">
        <f>IF($B1704=0,0,IF(Inputs!$B$8="",0,COUNTIFS(Data!$I$10:$I$3209,"&gt;="&amp;$A1704,Data!$I$10:$I$3209,"&lt;"&amp;$A1704+1)))</f>
        <v/>
      </c>
      <c r="AG1704">
        <f>IF($B1704=0,0,IF(Inputs!$B$9="",0,COUNTIFS(Data!$M$10:$M$3209,"&gt;="&amp;$A1704,Data!$M$10:$M$3209,"&lt;"&amp;$A1704+1)))</f>
        <v/>
      </c>
      <c r="AH1704">
        <f>IF($B1704=0,0,IF(Inputs!$B$10="",0,COUNTIFS(Data!$Q$10:$Q$3209,"&gt;="&amp;$A1704,Data!$Q$10:$Q$3209,"&lt;"&amp;$A1704+1)))</f>
        <v/>
      </c>
    </row>
    <row r="1705">
      <c r="A1705" s="55">
        <f>MIN(Inputs!$C$15,$A1704+IF(WEEKDAY($A1704,2)=5,3,1))</f>
        <v/>
      </c>
      <c r="B1705">
        <f>IF($A1705&gt;$A1704,1,0)</f>
        <v/>
      </c>
      <c r="C1705" s="56">
        <f>IF($B1705=0,"",IF(Inputs!$B$6="","",IF($AD1705=0,C1704,SUMIFS(Data!$B$10:$B$3209,Data!$A$10:$A$3209,"&gt;="&amp;$A1705,Data!$A$10:$A$3209,"&lt;"&amp;$A1705+1)/$AD1705)))</f>
        <v/>
      </c>
      <c r="D1705" s="56">
        <f>IF($B1705=0,"",IF(Inputs!$B$7="","",IF($AE1705=0,D1704,SUMIFS(Data!$F$10:$F$3209,Data!$E$10:$E$3209,"&gt;="&amp;$A1705,Data!$E$10:$E$3209,"&lt;"&amp;$A1705+1)/$AE1705)))</f>
        <v/>
      </c>
      <c r="E1705" s="56">
        <f>IF($B1705=0,"",IF(Inputs!$B$8="","",IF($AF1705=0,E1704,SUMIFS(Data!$J$10:$J$3209,Data!$I$10:$I$3209,"&gt;="&amp;$A1705,Data!$I$10:$I$3209,"&lt;"&amp;$A1705+1)/$AF1705)))</f>
        <v/>
      </c>
      <c r="F1705" s="56">
        <f>IF($B1705=0,"",IF(Inputs!$B$9="","",IF($AG1705=0,F1704,SUMIFS(Data!$N$10:$N$3209,Data!$M$10:$M$3209,"&gt;="&amp;$A1705,Data!$M$10:$M$3209,"&lt;"&amp;$A1705+1)/$AG1705)))</f>
        <v/>
      </c>
      <c r="G1705" s="56">
        <f>IF($B1705=0,"",IF(Inputs!$B$10="","",IF($AH1705=0,G1704,SUMIFS(Data!$R$10:$R$3209,Data!$Q$10:$Q$3209,"&gt;="&amp;$A1705,Data!$Q$10:$Q$3209,"&lt;"&amp;$A1705+1)/$AH1705)))</f>
        <v/>
      </c>
      <c r="I1705" s="54">
        <f>IF($B1705=0,NA(),IF($C1705="",NA(),IF(C$8="",NA(),IF(N(C$8)=0,NA(),IF(Inputs!$C$17="Rebased to 100",$C1705/C$8*100,$C1705)))))</f>
        <v/>
      </c>
      <c r="J1705" s="54">
        <f>IF($B1705=0,NA(),IF($D1705="",NA(),IF(D$8="",NA(),IF(N(D$8)=0,NA(),IF(Inputs!$C$17="Rebased to 100",$D1705/D$8*100,$D1705)))))</f>
        <v/>
      </c>
      <c r="K1705" s="54">
        <f>IF($B1705=0,NA(),IF($E1705="",NA(),IF(E$8="",NA(),IF(N(E$8)=0,NA(),IF(Inputs!$C$17="Rebased to 100",$E1705/E$8*100,$E1705)))))</f>
        <v/>
      </c>
      <c r="L1705" s="54">
        <f>IF($B1705=0,NA(),IF($F1705="",NA(),IF(F$8="",NA(),IF(N(F$8)=0,NA(),IF(Inputs!$C$17="Rebased to 100",$F1705/F$8*100,$F1705)))))</f>
        <v/>
      </c>
      <c r="M1705" s="54">
        <f>IF($B1705=0,NA(),IF($G1705="",NA(),IF(G$8="",NA(),IF(N(G$8)=0,NA(),IF(Inputs!$C$17="Rebased to 100",$G1705/G$8*100,$G1705)))))</f>
        <v/>
      </c>
      <c r="N1705" s="54">
        <f>IF($B1705=0,NA(),IF(Inputs!$C$18&lt;&gt;"Yes",NA(),IF(COUNT(I1705,J1705,K1705,L1705,M1705)=0,NA(),MIN(I1705,J1705,K1705,L1705,M1705))))</f>
        <v/>
      </c>
      <c r="O1705" s="54">
        <f>IF($B1705=0,NA(),IF(Inputs!$B$24&lt;&gt;"Yes",NA(),Inputs!$D$24*Inputs!$C$35))</f>
        <v/>
      </c>
      <c r="P1705" s="54">
        <f>IF($B1705=0,NA(),IF(Inputs!$B$25&lt;&gt;"Yes",NA(),Inputs!$D$25*Inputs!$C$35))</f>
        <v/>
      </c>
      <c r="Q1705" s="54">
        <f>IF($B1705=0,NA(),IF(Inputs!$B$26&lt;&gt;"Yes",NA(),Inputs!$D$26*Inputs!$C$35))</f>
        <v/>
      </c>
      <c r="R1705" s="54">
        <f>IF($B1705=0,NA(),IF(Inputs!$B$27&lt;&gt;"Yes",NA(),Inputs!$D$27*Inputs!$C$35))</f>
        <v/>
      </c>
      <c r="S1705" s="54">
        <f>IF($B1705=0,NA(),IF(Inputs!$B$28&lt;&gt;"Yes",NA(),Inputs!$D$28*Inputs!$C$35))</f>
        <v/>
      </c>
      <c r="T1705" s="54">
        <f>IF($B1705=0,NA(),IF(Inputs!$B$29&lt;&gt;"Yes",NA(),Inputs!$D$29*Inputs!$C$35))</f>
        <v/>
      </c>
      <c r="AD1705">
        <f>IF($B1705=0,0,IF(Inputs!$B$6="",0,COUNTIFS(Data!$A$10:$A$3209,"&gt;="&amp;$A1705,Data!$A$10:$A$3209,"&lt;"&amp;$A1705+1)))</f>
        <v/>
      </c>
      <c r="AE1705">
        <f>IF($B1705=0,0,IF(Inputs!$B$7="",0,COUNTIFS(Data!$E$10:$E$3209,"&gt;="&amp;$A1705,Data!$E$10:$E$3209,"&lt;"&amp;$A1705+1)))</f>
        <v/>
      </c>
      <c r="AF1705">
        <f>IF($B1705=0,0,IF(Inputs!$B$8="",0,COUNTIFS(Data!$I$10:$I$3209,"&gt;="&amp;$A1705,Data!$I$10:$I$3209,"&lt;"&amp;$A1705+1)))</f>
        <v/>
      </c>
      <c r="AG1705">
        <f>IF($B1705=0,0,IF(Inputs!$B$9="",0,COUNTIFS(Data!$M$10:$M$3209,"&gt;="&amp;$A1705,Data!$M$10:$M$3209,"&lt;"&amp;$A1705+1)))</f>
        <v/>
      </c>
      <c r="AH1705">
        <f>IF($B1705=0,0,IF(Inputs!$B$10="",0,COUNTIFS(Data!$Q$10:$Q$3209,"&gt;="&amp;$A1705,Data!$Q$10:$Q$3209,"&lt;"&amp;$A1705+1)))</f>
        <v/>
      </c>
    </row>
    <row r="1706">
      <c r="A1706" s="55">
        <f>MIN(Inputs!$C$15,$A1705+IF(WEEKDAY($A1705,2)=5,3,1))</f>
        <v/>
      </c>
      <c r="B1706">
        <f>IF($A1706&gt;$A1705,1,0)</f>
        <v/>
      </c>
      <c r="C1706" s="56">
        <f>IF($B1706=0,"",IF(Inputs!$B$6="","",IF($AD1706=0,C1705,SUMIFS(Data!$B$10:$B$3209,Data!$A$10:$A$3209,"&gt;="&amp;$A1706,Data!$A$10:$A$3209,"&lt;"&amp;$A1706+1)/$AD1706)))</f>
        <v/>
      </c>
      <c r="D1706" s="56">
        <f>IF($B1706=0,"",IF(Inputs!$B$7="","",IF($AE1706=0,D1705,SUMIFS(Data!$F$10:$F$3209,Data!$E$10:$E$3209,"&gt;="&amp;$A1706,Data!$E$10:$E$3209,"&lt;"&amp;$A1706+1)/$AE1706)))</f>
        <v/>
      </c>
      <c r="E1706" s="56">
        <f>IF($B1706=0,"",IF(Inputs!$B$8="","",IF($AF1706=0,E1705,SUMIFS(Data!$J$10:$J$3209,Data!$I$10:$I$3209,"&gt;="&amp;$A1706,Data!$I$10:$I$3209,"&lt;"&amp;$A1706+1)/$AF1706)))</f>
        <v/>
      </c>
      <c r="F1706" s="56">
        <f>IF($B1706=0,"",IF(Inputs!$B$9="","",IF($AG1706=0,F1705,SUMIFS(Data!$N$10:$N$3209,Data!$M$10:$M$3209,"&gt;="&amp;$A1706,Data!$M$10:$M$3209,"&lt;"&amp;$A1706+1)/$AG1706)))</f>
        <v/>
      </c>
      <c r="G1706" s="56">
        <f>IF($B1706=0,"",IF(Inputs!$B$10="","",IF($AH1706=0,G1705,SUMIFS(Data!$R$10:$R$3209,Data!$Q$10:$Q$3209,"&gt;="&amp;$A1706,Data!$Q$10:$Q$3209,"&lt;"&amp;$A1706+1)/$AH1706)))</f>
        <v/>
      </c>
      <c r="I1706" s="54">
        <f>IF($B1706=0,NA(),IF($C1706="",NA(),IF(C$8="",NA(),IF(N(C$8)=0,NA(),IF(Inputs!$C$17="Rebased to 100",$C1706/C$8*100,$C1706)))))</f>
        <v/>
      </c>
      <c r="J1706" s="54">
        <f>IF($B1706=0,NA(),IF($D1706="",NA(),IF(D$8="",NA(),IF(N(D$8)=0,NA(),IF(Inputs!$C$17="Rebased to 100",$D1706/D$8*100,$D1706)))))</f>
        <v/>
      </c>
      <c r="K1706" s="54">
        <f>IF($B1706=0,NA(),IF($E1706="",NA(),IF(E$8="",NA(),IF(N(E$8)=0,NA(),IF(Inputs!$C$17="Rebased to 100",$E1706/E$8*100,$E1706)))))</f>
        <v/>
      </c>
      <c r="L1706" s="54">
        <f>IF($B1706=0,NA(),IF($F1706="",NA(),IF(F$8="",NA(),IF(N(F$8)=0,NA(),IF(Inputs!$C$17="Rebased to 100",$F1706/F$8*100,$F1706)))))</f>
        <v/>
      </c>
      <c r="M1706" s="54">
        <f>IF($B1706=0,NA(),IF($G1706="",NA(),IF(G$8="",NA(),IF(N(G$8)=0,NA(),IF(Inputs!$C$17="Rebased to 100",$G1706/G$8*100,$G1706)))))</f>
        <v/>
      </c>
      <c r="N1706" s="54">
        <f>IF($B1706=0,NA(),IF(Inputs!$C$18&lt;&gt;"Yes",NA(),IF(COUNT(I1706,J1706,K1706,L1706,M1706)=0,NA(),MIN(I1706,J1706,K1706,L1706,M1706))))</f>
        <v/>
      </c>
      <c r="O1706" s="54">
        <f>IF($B1706=0,NA(),IF(Inputs!$B$24&lt;&gt;"Yes",NA(),Inputs!$D$24*Inputs!$C$35))</f>
        <v/>
      </c>
      <c r="P1706" s="54">
        <f>IF($B1706=0,NA(),IF(Inputs!$B$25&lt;&gt;"Yes",NA(),Inputs!$D$25*Inputs!$C$35))</f>
        <v/>
      </c>
      <c r="Q1706" s="54">
        <f>IF($B1706=0,NA(),IF(Inputs!$B$26&lt;&gt;"Yes",NA(),Inputs!$D$26*Inputs!$C$35))</f>
        <v/>
      </c>
      <c r="R1706" s="54">
        <f>IF($B1706=0,NA(),IF(Inputs!$B$27&lt;&gt;"Yes",NA(),Inputs!$D$27*Inputs!$C$35))</f>
        <v/>
      </c>
      <c r="S1706" s="54">
        <f>IF($B1706=0,NA(),IF(Inputs!$B$28&lt;&gt;"Yes",NA(),Inputs!$D$28*Inputs!$C$35))</f>
        <v/>
      </c>
      <c r="T1706" s="54">
        <f>IF($B1706=0,NA(),IF(Inputs!$B$29&lt;&gt;"Yes",NA(),Inputs!$D$29*Inputs!$C$35))</f>
        <v/>
      </c>
      <c r="AD1706">
        <f>IF($B1706=0,0,IF(Inputs!$B$6="",0,COUNTIFS(Data!$A$10:$A$3209,"&gt;="&amp;$A1706,Data!$A$10:$A$3209,"&lt;"&amp;$A1706+1)))</f>
        <v/>
      </c>
      <c r="AE1706">
        <f>IF($B1706=0,0,IF(Inputs!$B$7="",0,COUNTIFS(Data!$E$10:$E$3209,"&gt;="&amp;$A1706,Data!$E$10:$E$3209,"&lt;"&amp;$A1706+1)))</f>
        <v/>
      </c>
      <c r="AF1706">
        <f>IF($B1706=0,0,IF(Inputs!$B$8="",0,COUNTIFS(Data!$I$10:$I$3209,"&gt;="&amp;$A1706,Data!$I$10:$I$3209,"&lt;"&amp;$A1706+1)))</f>
        <v/>
      </c>
      <c r="AG1706">
        <f>IF($B1706=0,0,IF(Inputs!$B$9="",0,COUNTIFS(Data!$M$10:$M$3209,"&gt;="&amp;$A1706,Data!$M$10:$M$3209,"&lt;"&amp;$A1706+1)))</f>
        <v/>
      </c>
      <c r="AH1706">
        <f>IF($B1706=0,0,IF(Inputs!$B$10="",0,COUNTIFS(Data!$Q$10:$Q$3209,"&gt;="&amp;$A1706,Data!$Q$10:$Q$3209,"&lt;"&amp;$A1706+1)))</f>
        <v/>
      </c>
    </row>
    <row r="1707">
      <c r="A1707" s="55">
        <f>MIN(Inputs!$C$15,$A1706+IF(WEEKDAY($A1706,2)=5,3,1))</f>
        <v/>
      </c>
      <c r="B1707">
        <f>IF($A1707&gt;$A1706,1,0)</f>
        <v/>
      </c>
      <c r="C1707" s="56">
        <f>IF($B1707=0,"",IF(Inputs!$B$6="","",IF($AD1707=0,C1706,SUMIFS(Data!$B$10:$B$3209,Data!$A$10:$A$3209,"&gt;="&amp;$A1707,Data!$A$10:$A$3209,"&lt;"&amp;$A1707+1)/$AD1707)))</f>
        <v/>
      </c>
      <c r="D1707" s="56">
        <f>IF($B1707=0,"",IF(Inputs!$B$7="","",IF($AE1707=0,D1706,SUMIFS(Data!$F$10:$F$3209,Data!$E$10:$E$3209,"&gt;="&amp;$A1707,Data!$E$10:$E$3209,"&lt;"&amp;$A1707+1)/$AE1707)))</f>
        <v/>
      </c>
      <c r="E1707" s="56">
        <f>IF($B1707=0,"",IF(Inputs!$B$8="","",IF($AF1707=0,E1706,SUMIFS(Data!$J$10:$J$3209,Data!$I$10:$I$3209,"&gt;="&amp;$A1707,Data!$I$10:$I$3209,"&lt;"&amp;$A1707+1)/$AF1707)))</f>
        <v/>
      </c>
      <c r="F1707" s="56">
        <f>IF($B1707=0,"",IF(Inputs!$B$9="","",IF($AG1707=0,F1706,SUMIFS(Data!$N$10:$N$3209,Data!$M$10:$M$3209,"&gt;="&amp;$A1707,Data!$M$10:$M$3209,"&lt;"&amp;$A1707+1)/$AG1707)))</f>
        <v/>
      </c>
      <c r="G1707" s="56">
        <f>IF($B1707=0,"",IF(Inputs!$B$10="","",IF($AH1707=0,G1706,SUMIFS(Data!$R$10:$R$3209,Data!$Q$10:$Q$3209,"&gt;="&amp;$A1707,Data!$Q$10:$Q$3209,"&lt;"&amp;$A1707+1)/$AH1707)))</f>
        <v/>
      </c>
      <c r="I1707" s="54">
        <f>IF($B1707=0,NA(),IF($C1707="",NA(),IF(C$8="",NA(),IF(N(C$8)=0,NA(),IF(Inputs!$C$17="Rebased to 100",$C1707/C$8*100,$C1707)))))</f>
        <v/>
      </c>
      <c r="J1707" s="54">
        <f>IF($B1707=0,NA(),IF($D1707="",NA(),IF(D$8="",NA(),IF(N(D$8)=0,NA(),IF(Inputs!$C$17="Rebased to 100",$D1707/D$8*100,$D1707)))))</f>
        <v/>
      </c>
      <c r="K1707" s="54">
        <f>IF($B1707=0,NA(),IF($E1707="",NA(),IF(E$8="",NA(),IF(N(E$8)=0,NA(),IF(Inputs!$C$17="Rebased to 100",$E1707/E$8*100,$E1707)))))</f>
        <v/>
      </c>
      <c r="L1707" s="54">
        <f>IF($B1707=0,NA(),IF($F1707="",NA(),IF(F$8="",NA(),IF(N(F$8)=0,NA(),IF(Inputs!$C$17="Rebased to 100",$F1707/F$8*100,$F1707)))))</f>
        <v/>
      </c>
      <c r="M1707" s="54">
        <f>IF($B1707=0,NA(),IF($G1707="",NA(),IF(G$8="",NA(),IF(N(G$8)=0,NA(),IF(Inputs!$C$17="Rebased to 100",$G1707/G$8*100,$G1707)))))</f>
        <v/>
      </c>
      <c r="N1707" s="54">
        <f>IF($B1707=0,NA(),IF(Inputs!$C$18&lt;&gt;"Yes",NA(),IF(COUNT(I1707,J1707,K1707,L1707,M1707)=0,NA(),MIN(I1707,J1707,K1707,L1707,M1707))))</f>
        <v/>
      </c>
      <c r="O1707" s="54">
        <f>IF($B1707=0,NA(),IF(Inputs!$B$24&lt;&gt;"Yes",NA(),Inputs!$D$24*Inputs!$C$35))</f>
        <v/>
      </c>
      <c r="P1707" s="54">
        <f>IF($B1707=0,NA(),IF(Inputs!$B$25&lt;&gt;"Yes",NA(),Inputs!$D$25*Inputs!$C$35))</f>
        <v/>
      </c>
      <c r="Q1707" s="54">
        <f>IF($B1707=0,NA(),IF(Inputs!$B$26&lt;&gt;"Yes",NA(),Inputs!$D$26*Inputs!$C$35))</f>
        <v/>
      </c>
      <c r="R1707" s="54">
        <f>IF($B1707=0,NA(),IF(Inputs!$B$27&lt;&gt;"Yes",NA(),Inputs!$D$27*Inputs!$C$35))</f>
        <v/>
      </c>
      <c r="S1707" s="54">
        <f>IF($B1707=0,NA(),IF(Inputs!$B$28&lt;&gt;"Yes",NA(),Inputs!$D$28*Inputs!$C$35))</f>
        <v/>
      </c>
      <c r="T1707" s="54">
        <f>IF($B1707=0,NA(),IF(Inputs!$B$29&lt;&gt;"Yes",NA(),Inputs!$D$29*Inputs!$C$35))</f>
        <v/>
      </c>
      <c r="AD1707">
        <f>IF($B1707=0,0,IF(Inputs!$B$6="",0,COUNTIFS(Data!$A$10:$A$3209,"&gt;="&amp;$A1707,Data!$A$10:$A$3209,"&lt;"&amp;$A1707+1)))</f>
        <v/>
      </c>
      <c r="AE1707">
        <f>IF($B1707=0,0,IF(Inputs!$B$7="",0,COUNTIFS(Data!$E$10:$E$3209,"&gt;="&amp;$A1707,Data!$E$10:$E$3209,"&lt;"&amp;$A1707+1)))</f>
        <v/>
      </c>
      <c r="AF1707">
        <f>IF($B1707=0,0,IF(Inputs!$B$8="",0,COUNTIFS(Data!$I$10:$I$3209,"&gt;="&amp;$A1707,Data!$I$10:$I$3209,"&lt;"&amp;$A1707+1)))</f>
        <v/>
      </c>
      <c r="AG1707">
        <f>IF($B1707=0,0,IF(Inputs!$B$9="",0,COUNTIFS(Data!$M$10:$M$3209,"&gt;="&amp;$A1707,Data!$M$10:$M$3209,"&lt;"&amp;$A1707+1)))</f>
        <v/>
      </c>
      <c r="AH1707">
        <f>IF($B1707=0,0,IF(Inputs!$B$10="",0,COUNTIFS(Data!$Q$10:$Q$3209,"&gt;="&amp;$A1707,Data!$Q$10:$Q$3209,"&lt;"&amp;$A1707+1)))</f>
        <v/>
      </c>
    </row>
    <row r="1708">
      <c r="A1708" s="55">
        <f>MIN(Inputs!$C$15,$A1707+IF(WEEKDAY($A1707,2)=5,3,1))</f>
        <v/>
      </c>
      <c r="B1708">
        <f>IF($A1708&gt;$A1707,1,0)</f>
        <v/>
      </c>
      <c r="C1708" s="56">
        <f>IF($B1708=0,"",IF(Inputs!$B$6="","",IF($AD1708=0,C1707,SUMIFS(Data!$B$10:$B$3209,Data!$A$10:$A$3209,"&gt;="&amp;$A1708,Data!$A$10:$A$3209,"&lt;"&amp;$A1708+1)/$AD1708)))</f>
        <v/>
      </c>
      <c r="D1708" s="56">
        <f>IF($B1708=0,"",IF(Inputs!$B$7="","",IF($AE1708=0,D1707,SUMIFS(Data!$F$10:$F$3209,Data!$E$10:$E$3209,"&gt;="&amp;$A1708,Data!$E$10:$E$3209,"&lt;"&amp;$A1708+1)/$AE1708)))</f>
        <v/>
      </c>
      <c r="E1708" s="56">
        <f>IF($B1708=0,"",IF(Inputs!$B$8="","",IF($AF1708=0,E1707,SUMIFS(Data!$J$10:$J$3209,Data!$I$10:$I$3209,"&gt;="&amp;$A1708,Data!$I$10:$I$3209,"&lt;"&amp;$A1708+1)/$AF1708)))</f>
        <v/>
      </c>
      <c r="F1708" s="56">
        <f>IF($B1708=0,"",IF(Inputs!$B$9="","",IF($AG1708=0,F1707,SUMIFS(Data!$N$10:$N$3209,Data!$M$10:$M$3209,"&gt;="&amp;$A1708,Data!$M$10:$M$3209,"&lt;"&amp;$A1708+1)/$AG1708)))</f>
        <v/>
      </c>
      <c r="G1708" s="56">
        <f>IF($B1708=0,"",IF(Inputs!$B$10="","",IF($AH1708=0,G1707,SUMIFS(Data!$R$10:$R$3209,Data!$Q$10:$Q$3209,"&gt;="&amp;$A1708,Data!$Q$10:$Q$3209,"&lt;"&amp;$A1708+1)/$AH1708)))</f>
        <v/>
      </c>
      <c r="I1708" s="54">
        <f>IF($B1708=0,NA(),IF($C1708="",NA(),IF(C$8="",NA(),IF(N(C$8)=0,NA(),IF(Inputs!$C$17="Rebased to 100",$C1708/C$8*100,$C1708)))))</f>
        <v/>
      </c>
      <c r="J1708" s="54">
        <f>IF($B1708=0,NA(),IF($D1708="",NA(),IF(D$8="",NA(),IF(N(D$8)=0,NA(),IF(Inputs!$C$17="Rebased to 100",$D1708/D$8*100,$D1708)))))</f>
        <v/>
      </c>
      <c r="K1708" s="54">
        <f>IF($B1708=0,NA(),IF($E1708="",NA(),IF(E$8="",NA(),IF(N(E$8)=0,NA(),IF(Inputs!$C$17="Rebased to 100",$E1708/E$8*100,$E1708)))))</f>
        <v/>
      </c>
      <c r="L1708" s="54">
        <f>IF($B1708=0,NA(),IF($F1708="",NA(),IF(F$8="",NA(),IF(N(F$8)=0,NA(),IF(Inputs!$C$17="Rebased to 100",$F1708/F$8*100,$F1708)))))</f>
        <v/>
      </c>
      <c r="M1708" s="54">
        <f>IF($B1708=0,NA(),IF($G1708="",NA(),IF(G$8="",NA(),IF(N(G$8)=0,NA(),IF(Inputs!$C$17="Rebased to 100",$G1708/G$8*100,$G1708)))))</f>
        <v/>
      </c>
      <c r="N1708" s="54">
        <f>IF($B1708=0,NA(),IF(Inputs!$C$18&lt;&gt;"Yes",NA(),IF(COUNT(I1708,J1708,K1708,L1708,M1708)=0,NA(),MIN(I1708,J1708,K1708,L1708,M1708))))</f>
        <v/>
      </c>
      <c r="O1708" s="54">
        <f>IF($B1708=0,NA(),IF(Inputs!$B$24&lt;&gt;"Yes",NA(),Inputs!$D$24*Inputs!$C$35))</f>
        <v/>
      </c>
      <c r="P1708" s="54">
        <f>IF($B1708=0,NA(),IF(Inputs!$B$25&lt;&gt;"Yes",NA(),Inputs!$D$25*Inputs!$C$35))</f>
        <v/>
      </c>
      <c r="Q1708" s="54">
        <f>IF($B1708=0,NA(),IF(Inputs!$B$26&lt;&gt;"Yes",NA(),Inputs!$D$26*Inputs!$C$35))</f>
        <v/>
      </c>
      <c r="R1708" s="54">
        <f>IF($B1708=0,NA(),IF(Inputs!$B$27&lt;&gt;"Yes",NA(),Inputs!$D$27*Inputs!$C$35))</f>
        <v/>
      </c>
      <c r="S1708" s="54">
        <f>IF($B1708=0,NA(),IF(Inputs!$B$28&lt;&gt;"Yes",NA(),Inputs!$D$28*Inputs!$C$35))</f>
        <v/>
      </c>
      <c r="T1708" s="54">
        <f>IF($B1708=0,NA(),IF(Inputs!$B$29&lt;&gt;"Yes",NA(),Inputs!$D$29*Inputs!$C$35))</f>
        <v/>
      </c>
      <c r="AD1708">
        <f>IF($B1708=0,0,IF(Inputs!$B$6="",0,COUNTIFS(Data!$A$10:$A$3209,"&gt;="&amp;$A1708,Data!$A$10:$A$3209,"&lt;"&amp;$A1708+1)))</f>
        <v/>
      </c>
      <c r="AE1708">
        <f>IF($B1708=0,0,IF(Inputs!$B$7="",0,COUNTIFS(Data!$E$10:$E$3209,"&gt;="&amp;$A1708,Data!$E$10:$E$3209,"&lt;"&amp;$A1708+1)))</f>
        <v/>
      </c>
      <c r="AF1708">
        <f>IF($B1708=0,0,IF(Inputs!$B$8="",0,COUNTIFS(Data!$I$10:$I$3209,"&gt;="&amp;$A1708,Data!$I$10:$I$3209,"&lt;"&amp;$A1708+1)))</f>
        <v/>
      </c>
      <c r="AG1708">
        <f>IF($B1708=0,0,IF(Inputs!$B$9="",0,COUNTIFS(Data!$M$10:$M$3209,"&gt;="&amp;$A1708,Data!$M$10:$M$3209,"&lt;"&amp;$A1708+1)))</f>
        <v/>
      </c>
      <c r="AH1708">
        <f>IF($B1708=0,0,IF(Inputs!$B$10="",0,COUNTIFS(Data!$Q$10:$Q$3209,"&gt;="&amp;$A1708,Data!$Q$10:$Q$3209,"&lt;"&amp;$A1708+1)))</f>
        <v/>
      </c>
    </row>
    <row r="1709">
      <c r="A1709" s="55">
        <f>MIN(Inputs!$C$15,$A1708+IF(WEEKDAY($A1708,2)=5,3,1))</f>
        <v/>
      </c>
      <c r="B1709">
        <f>IF($A1709&gt;$A1708,1,0)</f>
        <v/>
      </c>
      <c r="C1709" s="56">
        <f>IF($B1709=0,"",IF(Inputs!$B$6="","",IF($AD1709=0,C1708,SUMIFS(Data!$B$10:$B$3209,Data!$A$10:$A$3209,"&gt;="&amp;$A1709,Data!$A$10:$A$3209,"&lt;"&amp;$A1709+1)/$AD1709)))</f>
        <v/>
      </c>
      <c r="D1709" s="56">
        <f>IF($B1709=0,"",IF(Inputs!$B$7="","",IF($AE1709=0,D1708,SUMIFS(Data!$F$10:$F$3209,Data!$E$10:$E$3209,"&gt;="&amp;$A1709,Data!$E$10:$E$3209,"&lt;"&amp;$A1709+1)/$AE1709)))</f>
        <v/>
      </c>
      <c r="E1709" s="56">
        <f>IF($B1709=0,"",IF(Inputs!$B$8="","",IF($AF1709=0,E1708,SUMIFS(Data!$J$10:$J$3209,Data!$I$10:$I$3209,"&gt;="&amp;$A1709,Data!$I$10:$I$3209,"&lt;"&amp;$A1709+1)/$AF1709)))</f>
        <v/>
      </c>
      <c r="F1709" s="56">
        <f>IF($B1709=0,"",IF(Inputs!$B$9="","",IF($AG1709=0,F1708,SUMIFS(Data!$N$10:$N$3209,Data!$M$10:$M$3209,"&gt;="&amp;$A1709,Data!$M$10:$M$3209,"&lt;"&amp;$A1709+1)/$AG1709)))</f>
        <v/>
      </c>
      <c r="G1709" s="56">
        <f>IF($B1709=0,"",IF(Inputs!$B$10="","",IF($AH1709=0,G1708,SUMIFS(Data!$R$10:$R$3209,Data!$Q$10:$Q$3209,"&gt;="&amp;$A1709,Data!$Q$10:$Q$3209,"&lt;"&amp;$A1709+1)/$AH1709)))</f>
        <v/>
      </c>
      <c r="I1709" s="54">
        <f>IF($B1709=0,NA(),IF($C1709="",NA(),IF(C$8="",NA(),IF(N(C$8)=0,NA(),IF(Inputs!$C$17="Rebased to 100",$C1709/C$8*100,$C1709)))))</f>
        <v/>
      </c>
      <c r="J1709" s="54">
        <f>IF($B1709=0,NA(),IF($D1709="",NA(),IF(D$8="",NA(),IF(N(D$8)=0,NA(),IF(Inputs!$C$17="Rebased to 100",$D1709/D$8*100,$D1709)))))</f>
        <v/>
      </c>
      <c r="K1709" s="54">
        <f>IF($B1709=0,NA(),IF($E1709="",NA(),IF(E$8="",NA(),IF(N(E$8)=0,NA(),IF(Inputs!$C$17="Rebased to 100",$E1709/E$8*100,$E1709)))))</f>
        <v/>
      </c>
      <c r="L1709" s="54">
        <f>IF($B1709=0,NA(),IF($F1709="",NA(),IF(F$8="",NA(),IF(N(F$8)=0,NA(),IF(Inputs!$C$17="Rebased to 100",$F1709/F$8*100,$F1709)))))</f>
        <v/>
      </c>
      <c r="M1709" s="54">
        <f>IF($B1709=0,NA(),IF($G1709="",NA(),IF(G$8="",NA(),IF(N(G$8)=0,NA(),IF(Inputs!$C$17="Rebased to 100",$G1709/G$8*100,$G1709)))))</f>
        <v/>
      </c>
      <c r="N1709" s="54">
        <f>IF($B1709=0,NA(),IF(Inputs!$C$18&lt;&gt;"Yes",NA(),IF(COUNT(I1709,J1709,K1709,L1709,M1709)=0,NA(),MIN(I1709,J1709,K1709,L1709,M1709))))</f>
        <v/>
      </c>
      <c r="O1709" s="54">
        <f>IF($B1709=0,NA(),IF(Inputs!$B$24&lt;&gt;"Yes",NA(),Inputs!$D$24*Inputs!$C$35))</f>
        <v/>
      </c>
      <c r="P1709" s="54">
        <f>IF($B1709=0,NA(),IF(Inputs!$B$25&lt;&gt;"Yes",NA(),Inputs!$D$25*Inputs!$C$35))</f>
        <v/>
      </c>
      <c r="Q1709" s="54">
        <f>IF($B1709=0,NA(),IF(Inputs!$B$26&lt;&gt;"Yes",NA(),Inputs!$D$26*Inputs!$C$35))</f>
        <v/>
      </c>
      <c r="R1709" s="54">
        <f>IF($B1709=0,NA(),IF(Inputs!$B$27&lt;&gt;"Yes",NA(),Inputs!$D$27*Inputs!$C$35))</f>
        <v/>
      </c>
      <c r="S1709" s="54">
        <f>IF($B1709=0,NA(),IF(Inputs!$B$28&lt;&gt;"Yes",NA(),Inputs!$D$28*Inputs!$C$35))</f>
        <v/>
      </c>
      <c r="T1709" s="54">
        <f>IF($B1709=0,NA(),IF(Inputs!$B$29&lt;&gt;"Yes",NA(),Inputs!$D$29*Inputs!$C$35))</f>
        <v/>
      </c>
      <c r="AD1709">
        <f>IF($B1709=0,0,IF(Inputs!$B$6="",0,COUNTIFS(Data!$A$10:$A$3209,"&gt;="&amp;$A1709,Data!$A$10:$A$3209,"&lt;"&amp;$A1709+1)))</f>
        <v/>
      </c>
      <c r="AE1709">
        <f>IF($B1709=0,0,IF(Inputs!$B$7="",0,COUNTIFS(Data!$E$10:$E$3209,"&gt;="&amp;$A1709,Data!$E$10:$E$3209,"&lt;"&amp;$A1709+1)))</f>
        <v/>
      </c>
      <c r="AF1709">
        <f>IF($B1709=0,0,IF(Inputs!$B$8="",0,COUNTIFS(Data!$I$10:$I$3209,"&gt;="&amp;$A1709,Data!$I$10:$I$3209,"&lt;"&amp;$A1709+1)))</f>
        <v/>
      </c>
      <c r="AG1709">
        <f>IF($B1709=0,0,IF(Inputs!$B$9="",0,COUNTIFS(Data!$M$10:$M$3209,"&gt;="&amp;$A1709,Data!$M$10:$M$3209,"&lt;"&amp;$A1709+1)))</f>
        <v/>
      </c>
      <c r="AH1709">
        <f>IF($B1709=0,0,IF(Inputs!$B$10="",0,COUNTIFS(Data!$Q$10:$Q$3209,"&gt;="&amp;$A1709,Data!$Q$10:$Q$3209,"&lt;"&amp;$A1709+1)))</f>
        <v/>
      </c>
    </row>
    <row r="1710">
      <c r="A1710" s="55">
        <f>MIN(Inputs!$C$15,$A1709+IF(WEEKDAY($A1709,2)=5,3,1))</f>
        <v/>
      </c>
      <c r="B1710">
        <f>IF($A1710&gt;$A1709,1,0)</f>
        <v/>
      </c>
      <c r="C1710" s="56">
        <f>IF($B1710=0,"",IF(Inputs!$B$6="","",IF($AD1710=0,C1709,SUMIFS(Data!$B$10:$B$3209,Data!$A$10:$A$3209,"&gt;="&amp;$A1710,Data!$A$10:$A$3209,"&lt;"&amp;$A1710+1)/$AD1710)))</f>
        <v/>
      </c>
      <c r="D1710" s="56">
        <f>IF($B1710=0,"",IF(Inputs!$B$7="","",IF($AE1710=0,D1709,SUMIFS(Data!$F$10:$F$3209,Data!$E$10:$E$3209,"&gt;="&amp;$A1710,Data!$E$10:$E$3209,"&lt;"&amp;$A1710+1)/$AE1710)))</f>
        <v/>
      </c>
      <c r="E1710" s="56">
        <f>IF($B1710=0,"",IF(Inputs!$B$8="","",IF($AF1710=0,E1709,SUMIFS(Data!$J$10:$J$3209,Data!$I$10:$I$3209,"&gt;="&amp;$A1710,Data!$I$10:$I$3209,"&lt;"&amp;$A1710+1)/$AF1710)))</f>
        <v/>
      </c>
      <c r="F1710" s="56">
        <f>IF($B1710=0,"",IF(Inputs!$B$9="","",IF($AG1710=0,F1709,SUMIFS(Data!$N$10:$N$3209,Data!$M$10:$M$3209,"&gt;="&amp;$A1710,Data!$M$10:$M$3209,"&lt;"&amp;$A1710+1)/$AG1710)))</f>
        <v/>
      </c>
      <c r="G1710" s="56">
        <f>IF($B1710=0,"",IF(Inputs!$B$10="","",IF($AH1710=0,G1709,SUMIFS(Data!$R$10:$R$3209,Data!$Q$10:$Q$3209,"&gt;="&amp;$A1710,Data!$Q$10:$Q$3209,"&lt;"&amp;$A1710+1)/$AH1710)))</f>
        <v/>
      </c>
      <c r="I1710" s="54">
        <f>IF($B1710=0,NA(),IF($C1710="",NA(),IF(C$8="",NA(),IF(N(C$8)=0,NA(),IF(Inputs!$C$17="Rebased to 100",$C1710/C$8*100,$C1710)))))</f>
        <v/>
      </c>
      <c r="J1710" s="54">
        <f>IF($B1710=0,NA(),IF($D1710="",NA(),IF(D$8="",NA(),IF(N(D$8)=0,NA(),IF(Inputs!$C$17="Rebased to 100",$D1710/D$8*100,$D1710)))))</f>
        <v/>
      </c>
      <c r="K1710" s="54">
        <f>IF($B1710=0,NA(),IF($E1710="",NA(),IF(E$8="",NA(),IF(N(E$8)=0,NA(),IF(Inputs!$C$17="Rebased to 100",$E1710/E$8*100,$E1710)))))</f>
        <v/>
      </c>
      <c r="L1710" s="54">
        <f>IF($B1710=0,NA(),IF($F1710="",NA(),IF(F$8="",NA(),IF(N(F$8)=0,NA(),IF(Inputs!$C$17="Rebased to 100",$F1710/F$8*100,$F1710)))))</f>
        <v/>
      </c>
      <c r="M1710" s="54">
        <f>IF($B1710=0,NA(),IF($G1710="",NA(),IF(G$8="",NA(),IF(N(G$8)=0,NA(),IF(Inputs!$C$17="Rebased to 100",$G1710/G$8*100,$G1710)))))</f>
        <v/>
      </c>
      <c r="N1710" s="54">
        <f>IF($B1710=0,NA(),IF(Inputs!$C$18&lt;&gt;"Yes",NA(),IF(COUNT(I1710,J1710,K1710,L1710,M1710)=0,NA(),MIN(I1710,J1710,K1710,L1710,M1710))))</f>
        <v/>
      </c>
      <c r="O1710" s="54">
        <f>IF($B1710=0,NA(),IF(Inputs!$B$24&lt;&gt;"Yes",NA(),Inputs!$D$24*Inputs!$C$35))</f>
        <v/>
      </c>
      <c r="P1710" s="54">
        <f>IF($B1710=0,NA(),IF(Inputs!$B$25&lt;&gt;"Yes",NA(),Inputs!$D$25*Inputs!$C$35))</f>
        <v/>
      </c>
      <c r="Q1710" s="54">
        <f>IF($B1710=0,NA(),IF(Inputs!$B$26&lt;&gt;"Yes",NA(),Inputs!$D$26*Inputs!$C$35))</f>
        <v/>
      </c>
      <c r="R1710" s="54">
        <f>IF($B1710=0,NA(),IF(Inputs!$B$27&lt;&gt;"Yes",NA(),Inputs!$D$27*Inputs!$C$35))</f>
        <v/>
      </c>
      <c r="S1710" s="54">
        <f>IF($B1710=0,NA(),IF(Inputs!$B$28&lt;&gt;"Yes",NA(),Inputs!$D$28*Inputs!$C$35))</f>
        <v/>
      </c>
      <c r="T1710" s="54">
        <f>IF($B1710=0,NA(),IF(Inputs!$B$29&lt;&gt;"Yes",NA(),Inputs!$D$29*Inputs!$C$35))</f>
        <v/>
      </c>
      <c r="AD1710">
        <f>IF($B1710=0,0,IF(Inputs!$B$6="",0,COUNTIFS(Data!$A$10:$A$3209,"&gt;="&amp;$A1710,Data!$A$10:$A$3209,"&lt;"&amp;$A1710+1)))</f>
        <v/>
      </c>
      <c r="AE1710">
        <f>IF($B1710=0,0,IF(Inputs!$B$7="",0,COUNTIFS(Data!$E$10:$E$3209,"&gt;="&amp;$A1710,Data!$E$10:$E$3209,"&lt;"&amp;$A1710+1)))</f>
        <v/>
      </c>
      <c r="AF1710">
        <f>IF($B1710=0,0,IF(Inputs!$B$8="",0,COUNTIFS(Data!$I$10:$I$3209,"&gt;="&amp;$A1710,Data!$I$10:$I$3209,"&lt;"&amp;$A1710+1)))</f>
        <v/>
      </c>
      <c r="AG1710">
        <f>IF($B1710=0,0,IF(Inputs!$B$9="",0,COUNTIFS(Data!$M$10:$M$3209,"&gt;="&amp;$A1710,Data!$M$10:$M$3209,"&lt;"&amp;$A1710+1)))</f>
        <v/>
      </c>
      <c r="AH1710">
        <f>IF($B1710=0,0,IF(Inputs!$B$10="",0,COUNTIFS(Data!$Q$10:$Q$3209,"&gt;="&amp;$A1710,Data!$Q$10:$Q$3209,"&lt;"&amp;$A1710+1)))</f>
        <v/>
      </c>
    </row>
    <row r="1711">
      <c r="A1711" s="55">
        <f>MIN(Inputs!$C$15,$A1710+IF(WEEKDAY($A1710,2)=5,3,1))</f>
        <v/>
      </c>
      <c r="B1711">
        <f>IF($A1711&gt;$A1710,1,0)</f>
        <v/>
      </c>
      <c r="C1711" s="56">
        <f>IF($B1711=0,"",IF(Inputs!$B$6="","",IF($AD1711=0,C1710,SUMIFS(Data!$B$10:$B$3209,Data!$A$10:$A$3209,"&gt;="&amp;$A1711,Data!$A$10:$A$3209,"&lt;"&amp;$A1711+1)/$AD1711)))</f>
        <v/>
      </c>
      <c r="D1711" s="56">
        <f>IF($B1711=0,"",IF(Inputs!$B$7="","",IF($AE1711=0,D1710,SUMIFS(Data!$F$10:$F$3209,Data!$E$10:$E$3209,"&gt;="&amp;$A1711,Data!$E$10:$E$3209,"&lt;"&amp;$A1711+1)/$AE1711)))</f>
        <v/>
      </c>
      <c r="E1711" s="56">
        <f>IF($B1711=0,"",IF(Inputs!$B$8="","",IF($AF1711=0,E1710,SUMIFS(Data!$J$10:$J$3209,Data!$I$10:$I$3209,"&gt;="&amp;$A1711,Data!$I$10:$I$3209,"&lt;"&amp;$A1711+1)/$AF1711)))</f>
        <v/>
      </c>
      <c r="F1711" s="56">
        <f>IF($B1711=0,"",IF(Inputs!$B$9="","",IF($AG1711=0,F1710,SUMIFS(Data!$N$10:$N$3209,Data!$M$10:$M$3209,"&gt;="&amp;$A1711,Data!$M$10:$M$3209,"&lt;"&amp;$A1711+1)/$AG1711)))</f>
        <v/>
      </c>
      <c r="G1711" s="56">
        <f>IF($B1711=0,"",IF(Inputs!$B$10="","",IF($AH1711=0,G1710,SUMIFS(Data!$R$10:$R$3209,Data!$Q$10:$Q$3209,"&gt;="&amp;$A1711,Data!$Q$10:$Q$3209,"&lt;"&amp;$A1711+1)/$AH1711)))</f>
        <v/>
      </c>
      <c r="I1711" s="54">
        <f>IF($B1711=0,NA(),IF($C1711="",NA(),IF(C$8="",NA(),IF(N(C$8)=0,NA(),IF(Inputs!$C$17="Rebased to 100",$C1711/C$8*100,$C1711)))))</f>
        <v/>
      </c>
      <c r="J1711" s="54">
        <f>IF($B1711=0,NA(),IF($D1711="",NA(),IF(D$8="",NA(),IF(N(D$8)=0,NA(),IF(Inputs!$C$17="Rebased to 100",$D1711/D$8*100,$D1711)))))</f>
        <v/>
      </c>
      <c r="K1711" s="54">
        <f>IF($B1711=0,NA(),IF($E1711="",NA(),IF(E$8="",NA(),IF(N(E$8)=0,NA(),IF(Inputs!$C$17="Rebased to 100",$E1711/E$8*100,$E1711)))))</f>
        <v/>
      </c>
      <c r="L1711" s="54">
        <f>IF($B1711=0,NA(),IF($F1711="",NA(),IF(F$8="",NA(),IF(N(F$8)=0,NA(),IF(Inputs!$C$17="Rebased to 100",$F1711/F$8*100,$F1711)))))</f>
        <v/>
      </c>
      <c r="M1711" s="54">
        <f>IF($B1711=0,NA(),IF($G1711="",NA(),IF(G$8="",NA(),IF(N(G$8)=0,NA(),IF(Inputs!$C$17="Rebased to 100",$G1711/G$8*100,$G1711)))))</f>
        <v/>
      </c>
      <c r="N1711" s="54">
        <f>IF($B1711=0,NA(),IF(Inputs!$C$18&lt;&gt;"Yes",NA(),IF(COUNT(I1711,J1711,K1711,L1711,M1711)=0,NA(),MIN(I1711,J1711,K1711,L1711,M1711))))</f>
        <v/>
      </c>
      <c r="O1711" s="54">
        <f>IF($B1711=0,NA(),IF(Inputs!$B$24&lt;&gt;"Yes",NA(),Inputs!$D$24*Inputs!$C$35))</f>
        <v/>
      </c>
      <c r="P1711" s="54">
        <f>IF($B1711=0,NA(),IF(Inputs!$B$25&lt;&gt;"Yes",NA(),Inputs!$D$25*Inputs!$C$35))</f>
        <v/>
      </c>
      <c r="Q1711" s="54">
        <f>IF($B1711=0,NA(),IF(Inputs!$B$26&lt;&gt;"Yes",NA(),Inputs!$D$26*Inputs!$C$35))</f>
        <v/>
      </c>
      <c r="R1711" s="54">
        <f>IF($B1711=0,NA(),IF(Inputs!$B$27&lt;&gt;"Yes",NA(),Inputs!$D$27*Inputs!$C$35))</f>
        <v/>
      </c>
      <c r="S1711" s="54">
        <f>IF($B1711=0,NA(),IF(Inputs!$B$28&lt;&gt;"Yes",NA(),Inputs!$D$28*Inputs!$C$35))</f>
        <v/>
      </c>
      <c r="T1711" s="54">
        <f>IF($B1711=0,NA(),IF(Inputs!$B$29&lt;&gt;"Yes",NA(),Inputs!$D$29*Inputs!$C$35))</f>
        <v/>
      </c>
      <c r="AD1711">
        <f>IF($B1711=0,0,IF(Inputs!$B$6="",0,COUNTIFS(Data!$A$10:$A$3209,"&gt;="&amp;$A1711,Data!$A$10:$A$3209,"&lt;"&amp;$A1711+1)))</f>
        <v/>
      </c>
      <c r="AE1711">
        <f>IF($B1711=0,0,IF(Inputs!$B$7="",0,COUNTIFS(Data!$E$10:$E$3209,"&gt;="&amp;$A1711,Data!$E$10:$E$3209,"&lt;"&amp;$A1711+1)))</f>
        <v/>
      </c>
      <c r="AF1711">
        <f>IF($B1711=0,0,IF(Inputs!$B$8="",0,COUNTIFS(Data!$I$10:$I$3209,"&gt;="&amp;$A1711,Data!$I$10:$I$3209,"&lt;"&amp;$A1711+1)))</f>
        <v/>
      </c>
      <c r="AG1711">
        <f>IF($B1711=0,0,IF(Inputs!$B$9="",0,COUNTIFS(Data!$M$10:$M$3209,"&gt;="&amp;$A1711,Data!$M$10:$M$3209,"&lt;"&amp;$A1711+1)))</f>
        <v/>
      </c>
      <c r="AH1711">
        <f>IF($B1711=0,0,IF(Inputs!$B$10="",0,COUNTIFS(Data!$Q$10:$Q$3209,"&gt;="&amp;$A1711,Data!$Q$10:$Q$3209,"&lt;"&amp;$A1711+1)))</f>
        <v/>
      </c>
    </row>
    <row r="1712">
      <c r="A1712" s="55">
        <f>MIN(Inputs!$C$15,$A1711+IF(WEEKDAY($A1711,2)=5,3,1))</f>
        <v/>
      </c>
      <c r="B1712">
        <f>IF($A1712&gt;$A1711,1,0)</f>
        <v/>
      </c>
      <c r="C1712" s="56">
        <f>IF($B1712=0,"",IF(Inputs!$B$6="","",IF($AD1712=0,C1711,SUMIFS(Data!$B$10:$B$3209,Data!$A$10:$A$3209,"&gt;="&amp;$A1712,Data!$A$10:$A$3209,"&lt;"&amp;$A1712+1)/$AD1712)))</f>
        <v/>
      </c>
      <c r="D1712" s="56">
        <f>IF($B1712=0,"",IF(Inputs!$B$7="","",IF($AE1712=0,D1711,SUMIFS(Data!$F$10:$F$3209,Data!$E$10:$E$3209,"&gt;="&amp;$A1712,Data!$E$10:$E$3209,"&lt;"&amp;$A1712+1)/$AE1712)))</f>
        <v/>
      </c>
      <c r="E1712" s="56">
        <f>IF($B1712=0,"",IF(Inputs!$B$8="","",IF($AF1712=0,E1711,SUMIFS(Data!$J$10:$J$3209,Data!$I$10:$I$3209,"&gt;="&amp;$A1712,Data!$I$10:$I$3209,"&lt;"&amp;$A1712+1)/$AF1712)))</f>
        <v/>
      </c>
      <c r="F1712" s="56">
        <f>IF($B1712=0,"",IF(Inputs!$B$9="","",IF($AG1712=0,F1711,SUMIFS(Data!$N$10:$N$3209,Data!$M$10:$M$3209,"&gt;="&amp;$A1712,Data!$M$10:$M$3209,"&lt;"&amp;$A1712+1)/$AG1712)))</f>
        <v/>
      </c>
      <c r="G1712" s="56">
        <f>IF($B1712=0,"",IF(Inputs!$B$10="","",IF($AH1712=0,G1711,SUMIFS(Data!$R$10:$R$3209,Data!$Q$10:$Q$3209,"&gt;="&amp;$A1712,Data!$Q$10:$Q$3209,"&lt;"&amp;$A1712+1)/$AH1712)))</f>
        <v/>
      </c>
      <c r="I1712" s="54">
        <f>IF($B1712=0,NA(),IF($C1712="",NA(),IF(C$8="",NA(),IF(N(C$8)=0,NA(),IF(Inputs!$C$17="Rebased to 100",$C1712/C$8*100,$C1712)))))</f>
        <v/>
      </c>
      <c r="J1712" s="54">
        <f>IF($B1712=0,NA(),IF($D1712="",NA(),IF(D$8="",NA(),IF(N(D$8)=0,NA(),IF(Inputs!$C$17="Rebased to 100",$D1712/D$8*100,$D1712)))))</f>
        <v/>
      </c>
      <c r="K1712" s="54">
        <f>IF($B1712=0,NA(),IF($E1712="",NA(),IF(E$8="",NA(),IF(N(E$8)=0,NA(),IF(Inputs!$C$17="Rebased to 100",$E1712/E$8*100,$E1712)))))</f>
        <v/>
      </c>
      <c r="L1712" s="54">
        <f>IF($B1712=0,NA(),IF($F1712="",NA(),IF(F$8="",NA(),IF(N(F$8)=0,NA(),IF(Inputs!$C$17="Rebased to 100",$F1712/F$8*100,$F1712)))))</f>
        <v/>
      </c>
      <c r="M1712" s="54">
        <f>IF($B1712=0,NA(),IF($G1712="",NA(),IF(G$8="",NA(),IF(N(G$8)=0,NA(),IF(Inputs!$C$17="Rebased to 100",$G1712/G$8*100,$G1712)))))</f>
        <v/>
      </c>
      <c r="N1712" s="54">
        <f>IF($B1712=0,NA(),IF(Inputs!$C$18&lt;&gt;"Yes",NA(),IF(COUNT(I1712,J1712,K1712,L1712,M1712)=0,NA(),MIN(I1712,J1712,K1712,L1712,M1712))))</f>
        <v/>
      </c>
      <c r="O1712" s="54">
        <f>IF($B1712=0,NA(),IF(Inputs!$B$24&lt;&gt;"Yes",NA(),Inputs!$D$24*Inputs!$C$35))</f>
        <v/>
      </c>
      <c r="P1712" s="54">
        <f>IF($B1712=0,NA(),IF(Inputs!$B$25&lt;&gt;"Yes",NA(),Inputs!$D$25*Inputs!$C$35))</f>
        <v/>
      </c>
      <c r="Q1712" s="54">
        <f>IF($B1712=0,NA(),IF(Inputs!$B$26&lt;&gt;"Yes",NA(),Inputs!$D$26*Inputs!$C$35))</f>
        <v/>
      </c>
      <c r="R1712" s="54">
        <f>IF($B1712=0,NA(),IF(Inputs!$B$27&lt;&gt;"Yes",NA(),Inputs!$D$27*Inputs!$C$35))</f>
        <v/>
      </c>
      <c r="S1712" s="54">
        <f>IF($B1712=0,NA(),IF(Inputs!$B$28&lt;&gt;"Yes",NA(),Inputs!$D$28*Inputs!$C$35))</f>
        <v/>
      </c>
      <c r="T1712" s="54">
        <f>IF($B1712=0,NA(),IF(Inputs!$B$29&lt;&gt;"Yes",NA(),Inputs!$D$29*Inputs!$C$35))</f>
        <v/>
      </c>
      <c r="AD1712">
        <f>IF($B1712=0,0,IF(Inputs!$B$6="",0,COUNTIFS(Data!$A$10:$A$3209,"&gt;="&amp;$A1712,Data!$A$10:$A$3209,"&lt;"&amp;$A1712+1)))</f>
        <v/>
      </c>
      <c r="AE1712">
        <f>IF($B1712=0,0,IF(Inputs!$B$7="",0,COUNTIFS(Data!$E$10:$E$3209,"&gt;="&amp;$A1712,Data!$E$10:$E$3209,"&lt;"&amp;$A1712+1)))</f>
        <v/>
      </c>
      <c r="AF1712">
        <f>IF($B1712=0,0,IF(Inputs!$B$8="",0,COUNTIFS(Data!$I$10:$I$3209,"&gt;="&amp;$A1712,Data!$I$10:$I$3209,"&lt;"&amp;$A1712+1)))</f>
        <v/>
      </c>
      <c r="AG1712">
        <f>IF($B1712=0,0,IF(Inputs!$B$9="",0,COUNTIFS(Data!$M$10:$M$3209,"&gt;="&amp;$A1712,Data!$M$10:$M$3209,"&lt;"&amp;$A1712+1)))</f>
        <v/>
      </c>
      <c r="AH1712">
        <f>IF($B1712=0,0,IF(Inputs!$B$10="",0,COUNTIFS(Data!$Q$10:$Q$3209,"&gt;="&amp;$A1712,Data!$Q$10:$Q$3209,"&lt;"&amp;$A1712+1)))</f>
        <v/>
      </c>
    </row>
    <row r="1713">
      <c r="A1713" s="55">
        <f>MIN(Inputs!$C$15,$A1712+IF(WEEKDAY($A1712,2)=5,3,1))</f>
        <v/>
      </c>
      <c r="B1713">
        <f>IF($A1713&gt;$A1712,1,0)</f>
        <v/>
      </c>
      <c r="C1713" s="56">
        <f>IF($B1713=0,"",IF(Inputs!$B$6="","",IF($AD1713=0,C1712,SUMIFS(Data!$B$10:$B$3209,Data!$A$10:$A$3209,"&gt;="&amp;$A1713,Data!$A$10:$A$3209,"&lt;"&amp;$A1713+1)/$AD1713)))</f>
        <v/>
      </c>
      <c r="D1713" s="56">
        <f>IF($B1713=0,"",IF(Inputs!$B$7="","",IF($AE1713=0,D1712,SUMIFS(Data!$F$10:$F$3209,Data!$E$10:$E$3209,"&gt;="&amp;$A1713,Data!$E$10:$E$3209,"&lt;"&amp;$A1713+1)/$AE1713)))</f>
        <v/>
      </c>
      <c r="E1713" s="56">
        <f>IF($B1713=0,"",IF(Inputs!$B$8="","",IF($AF1713=0,E1712,SUMIFS(Data!$J$10:$J$3209,Data!$I$10:$I$3209,"&gt;="&amp;$A1713,Data!$I$10:$I$3209,"&lt;"&amp;$A1713+1)/$AF1713)))</f>
        <v/>
      </c>
      <c r="F1713" s="56">
        <f>IF($B1713=0,"",IF(Inputs!$B$9="","",IF($AG1713=0,F1712,SUMIFS(Data!$N$10:$N$3209,Data!$M$10:$M$3209,"&gt;="&amp;$A1713,Data!$M$10:$M$3209,"&lt;"&amp;$A1713+1)/$AG1713)))</f>
        <v/>
      </c>
      <c r="G1713" s="56">
        <f>IF($B1713=0,"",IF(Inputs!$B$10="","",IF($AH1713=0,G1712,SUMIFS(Data!$R$10:$R$3209,Data!$Q$10:$Q$3209,"&gt;="&amp;$A1713,Data!$Q$10:$Q$3209,"&lt;"&amp;$A1713+1)/$AH1713)))</f>
        <v/>
      </c>
      <c r="I1713" s="54">
        <f>IF($B1713=0,NA(),IF($C1713="",NA(),IF(C$8="",NA(),IF(N(C$8)=0,NA(),IF(Inputs!$C$17="Rebased to 100",$C1713/C$8*100,$C1713)))))</f>
        <v/>
      </c>
      <c r="J1713" s="54">
        <f>IF($B1713=0,NA(),IF($D1713="",NA(),IF(D$8="",NA(),IF(N(D$8)=0,NA(),IF(Inputs!$C$17="Rebased to 100",$D1713/D$8*100,$D1713)))))</f>
        <v/>
      </c>
      <c r="K1713" s="54">
        <f>IF($B1713=0,NA(),IF($E1713="",NA(),IF(E$8="",NA(),IF(N(E$8)=0,NA(),IF(Inputs!$C$17="Rebased to 100",$E1713/E$8*100,$E1713)))))</f>
        <v/>
      </c>
      <c r="L1713" s="54">
        <f>IF($B1713=0,NA(),IF($F1713="",NA(),IF(F$8="",NA(),IF(N(F$8)=0,NA(),IF(Inputs!$C$17="Rebased to 100",$F1713/F$8*100,$F1713)))))</f>
        <v/>
      </c>
      <c r="M1713" s="54">
        <f>IF($B1713=0,NA(),IF($G1713="",NA(),IF(G$8="",NA(),IF(N(G$8)=0,NA(),IF(Inputs!$C$17="Rebased to 100",$G1713/G$8*100,$G1713)))))</f>
        <v/>
      </c>
      <c r="N1713" s="54">
        <f>IF($B1713=0,NA(),IF(Inputs!$C$18&lt;&gt;"Yes",NA(),IF(COUNT(I1713,J1713,K1713,L1713,M1713)=0,NA(),MIN(I1713,J1713,K1713,L1713,M1713))))</f>
        <v/>
      </c>
      <c r="O1713" s="54">
        <f>IF($B1713=0,NA(),IF(Inputs!$B$24&lt;&gt;"Yes",NA(),Inputs!$D$24*Inputs!$C$35))</f>
        <v/>
      </c>
      <c r="P1713" s="54">
        <f>IF($B1713=0,NA(),IF(Inputs!$B$25&lt;&gt;"Yes",NA(),Inputs!$D$25*Inputs!$C$35))</f>
        <v/>
      </c>
      <c r="Q1713" s="54">
        <f>IF($B1713=0,NA(),IF(Inputs!$B$26&lt;&gt;"Yes",NA(),Inputs!$D$26*Inputs!$C$35))</f>
        <v/>
      </c>
      <c r="R1713" s="54">
        <f>IF($B1713=0,NA(),IF(Inputs!$B$27&lt;&gt;"Yes",NA(),Inputs!$D$27*Inputs!$C$35))</f>
        <v/>
      </c>
      <c r="S1713" s="54">
        <f>IF($B1713=0,NA(),IF(Inputs!$B$28&lt;&gt;"Yes",NA(),Inputs!$D$28*Inputs!$C$35))</f>
        <v/>
      </c>
      <c r="T1713" s="54">
        <f>IF($B1713=0,NA(),IF(Inputs!$B$29&lt;&gt;"Yes",NA(),Inputs!$D$29*Inputs!$C$35))</f>
        <v/>
      </c>
      <c r="AD1713">
        <f>IF($B1713=0,0,IF(Inputs!$B$6="",0,COUNTIFS(Data!$A$10:$A$3209,"&gt;="&amp;$A1713,Data!$A$10:$A$3209,"&lt;"&amp;$A1713+1)))</f>
        <v/>
      </c>
      <c r="AE1713">
        <f>IF($B1713=0,0,IF(Inputs!$B$7="",0,COUNTIFS(Data!$E$10:$E$3209,"&gt;="&amp;$A1713,Data!$E$10:$E$3209,"&lt;"&amp;$A1713+1)))</f>
        <v/>
      </c>
      <c r="AF1713">
        <f>IF($B1713=0,0,IF(Inputs!$B$8="",0,COUNTIFS(Data!$I$10:$I$3209,"&gt;="&amp;$A1713,Data!$I$10:$I$3209,"&lt;"&amp;$A1713+1)))</f>
        <v/>
      </c>
      <c r="AG1713">
        <f>IF($B1713=0,0,IF(Inputs!$B$9="",0,COUNTIFS(Data!$M$10:$M$3209,"&gt;="&amp;$A1713,Data!$M$10:$M$3209,"&lt;"&amp;$A1713+1)))</f>
        <v/>
      </c>
      <c r="AH1713">
        <f>IF($B1713=0,0,IF(Inputs!$B$10="",0,COUNTIFS(Data!$Q$10:$Q$3209,"&gt;="&amp;$A1713,Data!$Q$10:$Q$3209,"&lt;"&amp;$A1713+1)))</f>
        <v/>
      </c>
    </row>
    <row r="1714">
      <c r="A1714" s="55">
        <f>MIN(Inputs!$C$15,$A1713+IF(WEEKDAY($A1713,2)=5,3,1))</f>
        <v/>
      </c>
      <c r="B1714">
        <f>IF($A1714&gt;$A1713,1,0)</f>
        <v/>
      </c>
      <c r="C1714" s="56">
        <f>IF($B1714=0,"",IF(Inputs!$B$6="","",IF($AD1714=0,C1713,SUMIFS(Data!$B$10:$B$3209,Data!$A$10:$A$3209,"&gt;="&amp;$A1714,Data!$A$10:$A$3209,"&lt;"&amp;$A1714+1)/$AD1714)))</f>
        <v/>
      </c>
      <c r="D1714" s="56">
        <f>IF($B1714=0,"",IF(Inputs!$B$7="","",IF($AE1714=0,D1713,SUMIFS(Data!$F$10:$F$3209,Data!$E$10:$E$3209,"&gt;="&amp;$A1714,Data!$E$10:$E$3209,"&lt;"&amp;$A1714+1)/$AE1714)))</f>
        <v/>
      </c>
      <c r="E1714" s="56">
        <f>IF($B1714=0,"",IF(Inputs!$B$8="","",IF($AF1714=0,E1713,SUMIFS(Data!$J$10:$J$3209,Data!$I$10:$I$3209,"&gt;="&amp;$A1714,Data!$I$10:$I$3209,"&lt;"&amp;$A1714+1)/$AF1714)))</f>
        <v/>
      </c>
      <c r="F1714" s="56">
        <f>IF($B1714=0,"",IF(Inputs!$B$9="","",IF($AG1714=0,F1713,SUMIFS(Data!$N$10:$N$3209,Data!$M$10:$M$3209,"&gt;="&amp;$A1714,Data!$M$10:$M$3209,"&lt;"&amp;$A1714+1)/$AG1714)))</f>
        <v/>
      </c>
      <c r="G1714" s="56">
        <f>IF($B1714=0,"",IF(Inputs!$B$10="","",IF($AH1714=0,G1713,SUMIFS(Data!$R$10:$R$3209,Data!$Q$10:$Q$3209,"&gt;="&amp;$A1714,Data!$Q$10:$Q$3209,"&lt;"&amp;$A1714+1)/$AH1714)))</f>
        <v/>
      </c>
      <c r="I1714" s="54">
        <f>IF($B1714=0,NA(),IF($C1714="",NA(),IF(C$8="",NA(),IF(N(C$8)=0,NA(),IF(Inputs!$C$17="Rebased to 100",$C1714/C$8*100,$C1714)))))</f>
        <v/>
      </c>
      <c r="J1714" s="54">
        <f>IF($B1714=0,NA(),IF($D1714="",NA(),IF(D$8="",NA(),IF(N(D$8)=0,NA(),IF(Inputs!$C$17="Rebased to 100",$D1714/D$8*100,$D1714)))))</f>
        <v/>
      </c>
      <c r="K1714" s="54">
        <f>IF($B1714=0,NA(),IF($E1714="",NA(),IF(E$8="",NA(),IF(N(E$8)=0,NA(),IF(Inputs!$C$17="Rebased to 100",$E1714/E$8*100,$E1714)))))</f>
        <v/>
      </c>
      <c r="L1714" s="54">
        <f>IF($B1714=0,NA(),IF($F1714="",NA(),IF(F$8="",NA(),IF(N(F$8)=0,NA(),IF(Inputs!$C$17="Rebased to 100",$F1714/F$8*100,$F1714)))))</f>
        <v/>
      </c>
      <c r="M1714" s="54">
        <f>IF($B1714=0,NA(),IF($G1714="",NA(),IF(G$8="",NA(),IF(N(G$8)=0,NA(),IF(Inputs!$C$17="Rebased to 100",$G1714/G$8*100,$G1714)))))</f>
        <v/>
      </c>
      <c r="N1714" s="54">
        <f>IF($B1714=0,NA(),IF(Inputs!$C$18&lt;&gt;"Yes",NA(),IF(COUNT(I1714,J1714,K1714,L1714,M1714)=0,NA(),MIN(I1714,J1714,K1714,L1714,M1714))))</f>
        <v/>
      </c>
      <c r="O1714" s="54">
        <f>IF($B1714=0,NA(),IF(Inputs!$B$24&lt;&gt;"Yes",NA(),Inputs!$D$24*Inputs!$C$35))</f>
        <v/>
      </c>
      <c r="P1714" s="54">
        <f>IF($B1714=0,NA(),IF(Inputs!$B$25&lt;&gt;"Yes",NA(),Inputs!$D$25*Inputs!$C$35))</f>
        <v/>
      </c>
      <c r="Q1714" s="54">
        <f>IF($B1714=0,NA(),IF(Inputs!$B$26&lt;&gt;"Yes",NA(),Inputs!$D$26*Inputs!$C$35))</f>
        <v/>
      </c>
      <c r="R1714" s="54">
        <f>IF($B1714=0,NA(),IF(Inputs!$B$27&lt;&gt;"Yes",NA(),Inputs!$D$27*Inputs!$C$35))</f>
        <v/>
      </c>
      <c r="S1714" s="54">
        <f>IF($B1714=0,NA(),IF(Inputs!$B$28&lt;&gt;"Yes",NA(),Inputs!$D$28*Inputs!$C$35))</f>
        <v/>
      </c>
      <c r="T1714" s="54">
        <f>IF($B1714=0,NA(),IF(Inputs!$B$29&lt;&gt;"Yes",NA(),Inputs!$D$29*Inputs!$C$35))</f>
        <v/>
      </c>
      <c r="AD1714">
        <f>IF($B1714=0,0,IF(Inputs!$B$6="",0,COUNTIFS(Data!$A$10:$A$3209,"&gt;="&amp;$A1714,Data!$A$10:$A$3209,"&lt;"&amp;$A1714+1)))</f>
        <v/>
      </c>
      <c r="AE1714">
        <f>IF($B1714=0,0,IF(Inputs!$B$7="",0,COUNTIFS(Data!$E$10:$E$3209,"&gt;="&amp;$A1714,Data!$E$10:$E$3209,"&lt;"&amp;$A1714+1)))</f>
        <v/>
      </c>
      <c r="AF1714">
        <f>IF($B1714=0,0,IF(Inputs!$B$8="",0,COUNTIFS(Data!$I$10:$I$3209,"&gt;="&amp;$A1714,Data!$I$10:$I$3209,"&lt;"&amp;$A1714+1)))</f>
        <v/>
      </c>
      <c r="AG1714">
        <f>IF($B1714=0,0,IF(Inputs!$B$9="",0,COUNTIFS(Data!$M$10:$M$3209,"&gt;="&amp;$A1714,Data!$M$10:$M$3209,"&lt;"&amp;$A1714+1)))</f>
        <v/>
      </c>
      <c r="AH1714">
        <f>IF($B1714=0,0,IF(Inputs!$B$10="",0,COUNTIFS(Data!$Q$10:$Q$3209,"&gt;="&amp;$A1714,Data!$Q$10:$Q$3209,"&lt;"&amp;$A1714+1)))</f>
        <v/>
      </c>
    </row>
    <row r="1715">
      <c r="A1715" s="55">
        <f>MIN(Inputs!$C$15,$A1714+IF(WEEKDAY($A1714,2)=5,3,1))</f>
        <v/>
      </c>
      <c r="B1715">
        <f>IF($A1715&gt;$A1714,1,0)</f>
        <v/>
      </c>
      <c r="C1715" s="56">
        <f>IF($B1715=0,"",IF(Inputs!$B$6="","",IF($AD1715=0,C1714,SUMIFS(Data!$B$10:$B$3209,Data!$A$10:$A$3209,"&gt;="&amp;$A1715,Data!$A$10:$A$3209,"&lt;"&amp;$A1715+1)/$AD1715)))</f>
        <v/>
      </c>
      <c r="D1715" s="56">
        <f>IF($B1715=0,"",IF(Inputs!$B$7="","",IF($AE1715=0,D1714,SUMIFS(Data!$F$10:$F$3209,Data!$E$10:$E$3209,"&gt;="&amp;$A1715,Data!$E$10:$E$3209,"&lt;"&amp;$A1715+1)/$AE1715)))</f>
        <v/>
      </c>
      <c r="E1715" s="56">
        <f>IF($B1715=0,"",IF(Inputs!$B$8="","",IF($AF1715=0,E1714,SUMIFS(Data!$J$10:$J$3209,Data!$I$10:$I$3209,"&gt;="&amp;$A1715,Data!$I$10:$I$3209,"&lt;"&amp;$A1715+1)/$AF1715)))</f>
        <v/>
      </c>
      <c r="F1715" s="56">
        <f>IF($B1715=0,"",IF(Inputs!$B$9="","",IF($AG1715=0,F1714,SUMIFS(Data!$N$10:$N$3209,Data!$M$10:$M$3209,"&gt;="&amp;$A1715,Data!$M$10:$M$3209,"&lt;"&amp;$A1715+1)/$AG1715)))</f>
        <v/>
      </c>
      <c r="G1715" s="56">
        <f>IF($B1715=0,"",IF(Inputs!$B$10="","",IF($AH1715=0,G1714,SUMIFS(Data!$R$10:$R$3209,Data!$Q$10:$Q$3209,"&gt;="&amp;$A1715,Data!$Q$10:$Q$3209,"&lt;"&amp;$A1715+1)/$AH1715)))</f>
        <v/>
      </c>
      <c r="I1715" s="54">
        <f>IF($B1715=0,NA(),IF($C1715="",NA(),IF(C$8="",NA(),IF(N(C$8)=0,NA(),IF(Inputs!$C$17="Rebased to 100",$C1715/C$8*100,$C1715)))))</f>
        <v/>
      </c>
      <c r="J1715" s="54">
        <f>IF($B1715=0,NA(),IF($D1715="",NA(),IF(D$8="",NA(),IF(N(D$8)=0,NA(),IF(Inputs!$C$17="Rebased to 100",$D1715/D$8*100,$D1715)))))</f>
        <v/>
      </c>
      <c r="K1715" s="54">
        <f>IF($B1715=0,NA(),IF($E1715="",NA(),IF(E$8="",NA(),IF(N(E$8)=0,NA(),IF(Inputs!$C$17="Rebased to 100",$E1715/E$8*100,$E1715)))))</f>
        <v/>
      </c>
      <c r="L1715" s="54">
        <f>IF($B1715=0,NA(),IF($F1715="",NA(),IF(F$8="",NA(),IF(N(F$8)=0,NA(),IF(Inputs!$C$17="Rebased to 100",$F1715/F$8*100,$F1715)))))</f>
        <v/>
      </c>
      <c r="M1715" s="54">
        <f>IF($B1715=0,NA(),IF($G1715="",NA(),IF(G$8="",NA(),IF(N(G$8)=0,NA(),IF(Inputs!$C$17="Rebased to 100",$G1715/G$8*100,$G1715)))))</f>
        <v/>
      </c>
      <c r="N1715" s="54">
        <f>IF($B1715=0,NA(),IF(Inputs!$C$18&lt;&gt;"Yes",NA(),IF(COUNT(I1715,J1715,K1715,L1715,M1715)=0,NA(),MIN(I1715,J1715,K1715,L1715,M1715))))</f>
        <v/>
      </c>
      <c r="O1715" s="54">
        <f>IF($B1715=0,NA(),IF(Inputs!$B$24&lt;&gt;"Yes",NA(),Inputs!$D$24*Inputs!$C$35))</f>
        <v/>
      </c>
      <c r="P1715" s="54">
        <f>IF($B1715=0,NA(),IF(Inputs!$B$25&lt;&gt;"Yes",NA(),Inputs!$D$25*Inputs!$C$35))</f>
        <v/>
      </c>
      <c r="Q1715" s="54">
        <f>IF($B1715=0,NA(),IF(Inputs!$B$26&lt;&gt;"Yes",NA(),Inputs!$D$26*Inputs!$C$35))</f>
        <v/>
      </c>
      <c r="R1715" s="54">
        <f>IF($B1715=0,NA(),IF(Inputs!$B$27&lt;&gt;"Yes",NA(),Inputs!$D$27*Inputs!$C$35))</f>
        <v/>
      </c>
      <c r="S1715" s="54">
        <f>IF($B1715=0,NA(),IF(Inputs!$B$28&lt;&gt;"Yes",NA(),Inputs!$D$28*Inputs!$C$35))</f>
        <v/>
      </c>
      <c r="T1715" s="54">
        <f>IF($B1715=0,NA(),IF(Inputs!$B$29&lt;&gt;"Yes",NA(),Inputs!$D$29*Inputs!$C$35))</f>
        <v/>
      </c>
      <c r="AD1715">
        <f>IF($B1715=0,0,IF(Inputs!$B$6="",0,COUNTIFS(Data!$A$10:$A$3209,"&gt;="&amp;$A1715,Data!$A$10:$A$3209,"&lt;"&amp;$A1715+1)))</f>
        <v/>
      </c>
      <c r="AE1715">
        <f>IF($B1715=0,0,IF(Inputs!$B$7="",0,COUNTIFS(Data!$E$10:$E$3209,"&gt;="&amp;$A1715,Data!$E$10:$E$3209,"&lt;"&amp;$A1715+1)))</f>
        <v/>
      </c>
      <c r="AF1715">
        <f>IF($B1715=0,0,IF(Inputs!$B$8="",0,COUNTIFS(Data!$I$10:$I$3209,"&gt;="&amp;$A1715,Data!$I$10:$I$3209,"&lt;"&amp;$A1715+1)))</f>
        <v/>
      </c>
      <c r="AG1715">
        <f>IF($B1715=0,0,IF(Inputs!$B$9="",0,COUNTIFS(Data!$M$10:$M$3209,"&gt;="&amp;$A1715,Data!$M$10:$M$3209,"&lt;"&amp;$A1715+1)))</f>
        <v/>
      </c>
      <c r="AH1715">
        <f>IF($B1715=0,0,IF(Inputs!$B$10="",0,COUNTIFS(Data!$Q$10:$Q$3209,"&gt;="&amp;$A1715,Data!$Q$10:$Q$3209,"&lt;"&amp;$A1715+1)))</f>
        <v/>
      </c>
    </row>
    <row r="1716">
      <c r="A1716" s="55">
        <f>MIN(Inputs!$C$15,$A1715+IF(WEEKDAY($A1715,2)=5,3,1))</f>
        <v/>
      </c>
      <c r="B1716">
        <f>IF($A1716&gt;$A1715,1,0)</f>
        <v/>
      </c>
      <c r="C1716" s="56">
        <f>IF($B1716=0,"",IF(Inputs!$B$6="","",IF($AD1716=0,C1715,SUMIFS(Data!$B$10:$B$3209,Data!$A$10:$A$3209,"&gt;="&amp;$A1716,Data!$A$10:$A$3209,"&lt;"&amp;$A1716+1)/$AD1716)))</f>
        <v/>
      </c>
      <c r="D1716" s="56">
        <f>IF($B1716=0,"",IF(Inputs!$B$7="","",IF($AE1716=0,D1715,SUMIFS(Data!$F$10:$F$3209,Data!$E$10:$E$3209,"&gt;="&amp;$A1716,Data!$E$10:$E$3209,"&lt;"&amp;$A1716+1)/$AE1716)))</f>
        <v/>
      </c>
      <c r="E1716" s="56">
        <f>IF($B1716=0,"",IF(Inputs!$B$8="","",IF($AF1716=0,E1715,SUMIFS(Data!$J$10:$J$3209,Data!$I$10:$I$3209,"&gt;="&amp;$A1716,Data!$I$10:$I$3209,"&lt;"&amp;$A1716+1)/$AF1716)))</f>
        <v/>
      </c>
      <c r="F1716" s="56">
        <f>IF($B1716=0,"",IF(Inputs!$B$9="","",IF($AG1716=0,F1715,SUMIFS(Data!$N$10:$N$3209,Data!$M$10:$M$3209,"&gt;="&amp;$A1716,Data!$M$10:$M$3209,"&lt;"&amp;$A1716+1)/$AG1716)))</f>
        <v/>
      </c>
      <c r="G1716" s="56">
        <f>IF($B1716=0,"",IF(Inputs!$B$10="","",IF($AH1716=0,G1715,SUMIFS(Data!$R$10:$R$3209,Data!$Q$10:$Q$3209,"&gt;="&amp;$A1716,Data!$Q$10:$Q$3209,"&lt;"&amp;$A1716+1)/$AH1716)))</f>
        <v/>
      </c>
      <c r="I1716" s="54">
        <f>IF($B1716=0,NA(),IF($C1716="",NA(),IF(C$8="",NA(),IF(N(C$8)=0,NA(),IF(Inputs!$C$17="Rebased to 100",$C1716/C$8*100,$C1716)))))</f>
        <v/>
      </c>
      <c r="J1716" s="54">
        <f>IF($B1716=0,NA(),IF($D1716="",NA(),IF(D$8="",NA(),IF(N(D$8)=0,NA(),IF(Inputs!$C$17="Rebased to 100",$D1716/D$8*100,$D1716)))))</f>
        <v/>
      </c>
      <c r="K1716" s="54">
        <f>IF($B1716=0,NA(),IF($E1716="",NA(),IF(E$8="",NA(),IF(N(E$8)=0,NA(),IF(Inputs!$C$17="Rebased to 100",$E1716/E$8*100,$E1716)))))</f>
        <v/>
      </c>
      <c r="L1716" s="54">
        <f>IF($B1716=0,NA(),IF($F1716="",NA(),IF(F$8="",NA(),IF(N(F$8)=0,NA(),IF(Inputs!$C$17="Rebased to 100",$F1716/F$8*100,$F1716)))))</f>
        <v/>
      </c>
      <c r="M1716" s="54">
        <f>IF($B1716=0,NA(),IF($G1716="",NA(),IF(G$8="",NA(),IF(N(G$8)=0,NA(),IF(Inputs!$C$17="Rebased to 100",$G1716/G$8*100,$G1716)))))</f>
        <v/>
      </c>
      <c r="N1716" s="54">
        <f>IF($B1716=0,NA(),IF(Inputs!$C$18&lt;&gt;"Yes",NA(),IF(COUNT(I1716,J1716,K1716,L1716,M1716)=0,NA(),MIN(I1716,J1716,K1716,L1716,M1716))))</f>
        <v/>
      </c>
      <c r="O1716" s="54">
        <f>IF($B1716=0,NA(),IF(Inputs!$B$24&lt;&gt;"Yes",NA(),Inputs!$D$24*Inputs!$C$35))</f>
        <v/>
      </c>
      <c r="P1716" s="54">
        <f>IF($B1716=0,NA(),IF(Inputs!$B$25&lt;&gt;"Yes",NA(),Inputs!$D$25*Inputs!$C$35))</f>
        <v/>
      </c>
      <c r="Q1716" s="54">
        <f>IF($B1716=0,NA(),IF(Inputs!$B$26&lt;&gt;"Yes",NA(),Inputs!$D$26*Inputs!$C$35))</f>
        <v/>
      </c>
      <c r="R1716" s="54">
        <f>IF($B1716=0,NA(),IF(Inputs!$B$27&lt;&gt;"Yes",NA(),Inputs!$D$27*Inputs!$C$35))</f>
        <v/>
      </c>
      <c r="S1716" s="54">
        <f>IF($B1716=0,NA(),IF(Inputs!$B$28&lt;&gt;"Yes",NA(),Inputs!$D$28*Inputs!$C$35))</f>
        <v/>
      </c>
      <c r="T1716" s="54">
        <f>IF($B1716=0,NA(),IF(Inputs!$B$29&lt;&gt;"Yes",NA(),Inputs!$D$29*Inputs!$C$35))</f>
        <v/>
      </c>
      <c r="AD1716">
        <f>IF($B1716=0,0,IF(Inputs!$B$6="",0,COUNTIFS(Data!$A$10:$A$3209,"&gt;="&amp;$A1716,Data!$A$10:$A$3209,"&lt;"&amp;$A1716+1)))</f>
        <v/>
      </c>
      <c r="AE1716">
        <f>IF($B1716=0,0,IF(Inputs!$B$7="",0,COUNTIFS(Data!$E$10:$E$3209,"&gt;="&amp;$A1716,Data!$E$10:$E$3209,"&lt;"&amp;$A1716+1)))</f>
        <v/>
      </c>
      <c r="AF1716">
        <f>IF($B1716=0,0,IF(Inputs!$B$8="",0,COUNTIFS(Data!$I$10:$I$3209,"&gt;="&amp;$A1716,Data!$I$10:$I$3209,"&lt;"&amp;$A1716+1)))</f>
        <v/>
      </c>
      <c r="AG1716">
        <f>IF($B1716=0,0,IF(Inputs!$B$9="",0,COUNTIFS(Data!$M$10:$M$3209,"&gt;="&amp;$A1716,Data!$M$10:$M$3209,"&lt;"&amp;$A1716+1)))</f>
        <v/>
      </c>
      <c r="AH1716">
        <f>IF($B1716=0,0,IF(Inputs!$B$10="",0,COUNTIFS(Data!$Q$10:$Q$3209,"&gt;="&amp;$A1716,Data!$Q$10:$Q$3209,"&lt;"&amp;$A1716+1)))</f>
        <v/>
      </c>
    </row>
    <row r="1717">
      <c r="A1717" s="55">
        <f>MIN(Inputs!$C$15,$A1716+IF(WEEKDAY($A1716,2)=5,3,1))</f>
        <v/>
      </c>
      <c r="B1717">
        <f>IF($A1717&gt;$A1716,1,0)</f>
        <v/>
      </c>
      <c r="C1717" s="56">
        <f>IF($B1717=0,"",IF(Inputs!$B$6="","",IF($AD1717=0,C1716,SUMIFS(Data!$B$10:$B$3209,Data!$A$10:$A$3209,"&gt;="&amp;$A1717,Data!$A$10:$A$3209,"&lt;"&amp;$A1717+1)/$AD1717)))</f>
        <v/>
      </c>
      <c r="D1717" s="56">
        <f>IF($B1717=0,"",IF(Inputs!$B$7="","",IF($AE1717=0,D1716,SUMIFS(Data!$F$10:$F$3209,Data!$E$10:$E$3209,"&gt;="&amp;$A1717,Data!$E$10:$E$3209,"&lt;"&amp;$A1717+1)/$AE1717)))</f>
        <v/>
      </c>
      <c r="E1717" s="56">
        <f>IF($B1717=0,"",IF(Inputs!$B$8="","",IF($AF1717=0,E1716,SUMIFS(Data!$J$10:$J$3209,Data!$I$10:$I$3209,"&gt;="&amp;$A1717,Data!$I$10:$I$3209,"&lt;"&amp;$A1717+1)/$AF1717)))</f>
        <v/>
      </c>
      <c r="F1717" s="56">
        <f>IF($B1717=0,"",IF(Inputs!$B$9="","",IF($AG1717=0,F1716,SUMIFS(Data!$N$10:$N$3209,Data!$M$10:$M$3209,"&gt;="&amp;$A1717,Data!$M$10:$M$3209,"&lt;"&amp;$A1717+1)/$AG1717)))</f>
        <v/>
      </c>
      <c r="G1717" s="56">
        <f>IF($B1717=0,"",IF(Inputs!$B$10="","",IF($AH1717=0,G1716,SUMIFS(Data!$R$10:$R$3209,Data!$Q$10:$Q$3209,"&gt;="&amp;$A1717,Data!$Q$10:$Q$3209,"&lt;"&amp;$A1717+1)/$AH1717)))</f>
        <v/>
      </c>
      <c r="I1717" s="54">
        <f>IF($B1717=0,NA(),IF($C1717="",NA(),IF(C$8="",NA(),IF(N(C$8)=0,NA(),IF(Inputs!$C$17="Rebased to 100",$C1717/C$8*100,$C1717)))))</f>
        <v/>
      </c>
      <c r="J1717" s="54">
        <f>IF($B1717=0,NA(),IF($D1717="",NA(),IF(D$8="",NA(),IF(N(D$8)=0,NA(),IF(Inputs!$C$17="Rebased to 100",$D1717/D$8*100,$D1717)))))</f>
        <v/>
      </c>
      <c r="K1717" s="54">
        <f>IF($B1717=0,NA(),IF($E1717="",NA(),IF(E$8="",NA(),IF(N(E$8)=0,NA(),IF(Inputs!$C$17="Rebased to 100",$E1717/E$8*100,$E1717)))))</f>
        <v/>
      </c>
      <c r="L1717" s="54">
        <f>IF($B1717=0,NA(),IF($F1717="",NA(),IF(F$8="",NA(),IF(N(F$8)=0,NA(),IF(Inputs!$C$17="Rebased to 100",$F1717/F$8*100,$F1717)))))</f>
        <v/>
      </c>
      <c r="M1717" s="54">
        <f>IF($B1717=0,NA(),IF($G1717="",NA(),IF(G$8="",NA(),IF(N(G$8)=0,NA(),IF(Inputs!$C$17="Rebased to 100",$G1717/G$8*100,$G1717)))))</f>
        <v/>
      </c>
      <c r="N1717" s="54">
        <f>IF($B1717=0,NA(),IF(Inputs!$C$18&lt;&gt;"Yes",NA(),IF(COUNT(I1717,J1717,K1717,L1717,M1717)=0,NA(),MIN(I1717,J1717,K1717,L1717,M1717))))</f>
        <v/>
      </c>
      <c r="O1717" s="54">
        <f>IF($B1717=0,NA(),IF(Inputs!$B$24&lt;&gt;"Yes",NA(),Inputs!$D$24*Inputs!$C$35))</f>
        <v/>
      </c>
      <c r="P1717" s="54">
        <f>IF($B1717=0,NA(),IF(Inputs!$B$25&lt;&gt;"Yes",NA(),Inputs!$D$25*Inputs!$C$35))</f>
        <v/>
      </c>
      <c r="Q1717" s="54">
        <f>IF($B1717=0,NA(),IF(Inputs!$B$26&lt;&gt;"Yes",NA(),Inputs!$D$26*Inputs!$C$35))</f>
        <v/>
      </c>
      <c r="R1717" s="54">
        <f>IF($B1717=0,NA(),IF(Inputs!$B$27&lt;&gt;"Yes",NA(),Inputs!$D$27*Inputs!$C$35))</f>
        <v/>
      </c>
      <c r="S1717" s="54">
        <f>IF($B1717=0,NA(),IF(Inputs!$B$28&lt;&gt;"Yes",NA(),Inputs!$D$28*Inputs!$C$35))</f>
        <v/>
      </c>
      <c r="T1717" s="54">
        <f>IF($B1717=0,NA(),IF(Inputs!$B$29&lt;&gt;"Yes",NA(),Inputs!$D$29*Inputs!$C$35))</f>
        <v/>
      </c>
      <c r="AD1717">
        <f>IF($B1717=0,0,IF(Inputs!$B$6="",0,COUNTIFS(Data!$A$10:$A$3209,"&gt;="&amp;$A1717,Data!$A$10:$A$3209,"&lt;"&amp;$A1717+1)))</f>
        <v/>
      </c>
      <c r="AE1717">
        <f>IF($B1717=0,0,IF(Inputs!$B$7="",0,COUNTIFS(Data!$E$10:$E$3209,"&gt;="&amp;$A1717,Data!$E$10:$E$3209,"&lt;"&amp;$A1717+1)))</f>
        <v/>
      </c>
      <c r="AF1717">
        <f>IF($B1717=0,0,IF(Inputs!$B$8="",0,COUNTIFS(Data!$I$10:$I$3209,"&gt;="&amp;$A1717,Data!$I$10:$I$3209,"&lt;"&amp;$A1717+1)))</f>
        <v/>
      </c>
      <c r="AG1717">
        <f>IF($B1717=0,0,IF(Inputs!$B$9="",0,COUNTIFS(Data!$M$10:$M$3209,"&gt;="&amp;$A1717,Data!$M$10:$M$3209,"&lt;"&amp;$A1717+1)))</f>
        <v/>
      </c>
      <c r="AH1717">
        <f>IF($B1717=0,0,IF(Inputs!$B$10="",0,COUNTIFS(Data!$Q$10:$Q$3209,"&gt;="&amp;$A1717,Data!$Q$10:$Q$3209,"&lt;"&amp;$A1717+1)))</f>
        <v/>
      </c>
    </row>
    <row r="1718">
      <c r="A1718" s="55">
        <f>MIN(Inputs!$C$15,$A1717+IF(WEEKDAY($A1717,2)=5,3,1))</f>
        <v/>
      </c>
      <c r="B1718">
        <f>IF($A1718&gt;$A1717,1,0)</f>
        <v/>
      </c>
      <c r="C1718" s="56">
        <f>IF($B1718=0,"",IF(Inputs!$B$6="","",IF($AD1718=0,C1717,SUMIFS(Data!$B$10:$B$3209,Data!$A$10:$A$3209,"&gt;="&amp;$A1718,Data!$A$10:$A$3209,"&lt;"&amp;$A1718+1)/$AD1718)))</f>
        <v/>
      </c>
      <c r="D1718" s="56">
        <f>IF($B1718=0,"",IF(Inputs!$B$7="","",IF($AE1718=0,D1717,SUMIFS(Data!$F$10:$F$3209,Data!$E$10:$E$3209,"&gt;="&amp;$A1718,Data!$E$10:$E$3209,"&lt;"&amp;$A1718+1)/$AE1718)))</f>
        <v/>
      </c>
      <c r="E1718" s="56">
        <f>IF($B1718=0,"",IF(Inputs!$B$8="","",IF($AF1718=0,E1717,SUMIFS(Data!$J$10:$J$3209,Data!$I$10:$I$3209,"&gt;="&amp;$A1718,Data!$I$10:$I$3209,"&lt;"&amp;$A1718+1)/$AF1718)))</f>
        <v/>
      </c>
      <c r="F1718" s="56">
        <f>IF($B1718=0,"",IF(Inputs!$B$9="","",IF($AG1718=0,F1717,SUMIFS(Data!$N$10:$N$3209,Data!$M$10:$M$3209,"&gt;="&amp;$A1718,Data!$M$10:$M$3209,"&lt;"&amp;$A1718+1)/$AG1718)))</f>
        <v/>
      </c>
      <c r="G1718" s="56">
        <f>IF($B1718=0,"",IF(Inputs!$B$10="","",IF($AH1718=0,G1717,SUMIFS(Data!$R$10:$R$3209,Data!$Q$10:$Q$3209,"&gt;="&amp;$A1718,Data!$Q$10:$Q$3209,"&lt;"&amp;$A1718+1)/$AH1718)))</f>
        <v/>
      </c>
      <c r="I1718" s="54">
        <f>IF($B1718=0,NA(),IF($C1718="",NA(),IF(C$8="",NA(),IF(N(C$8)=0,NA(),IF(Inputs!$C$17="Rebased to 100",$C1718/C$8*100,$C1718)))))</f>
        <v/>
      </c>
      <c r="J1718" s="54">
        <f>IF($B1718=0,NA(),IF($D1718="",NA(),IF(D$8="",NA(),IF(N(D$8)=0,NA(),IF(Inputs!$C$17="Rebased to 100",$D1718/D$8*100,$D1718)))))</f>
        <v/>
      </c>
      <c r="K1718" s="54">
        <f>IF($B1718=0,NA(),IF($E1718="",NA(),IF(E$8="",NA(),IF(N(E$8)=0,NA(),IF(Inputs!$C$17="Rebased to 100",$E1718/E$8*100,$E1718)))))</f>
        <v/>
      </c>
      <c r="L1718" s="54">
        <f>IF($B1718=0,NA(),IF($F1718="",NA(),IF(F$8="",NA(),IF(N(F$8)=0,NA(),IF(Inputs!$C$17="Rebased to 100",$F1718/F$8*100,$F1718)))))</f>
        <v/>
      </c>
      <c r="M1718" s="54">
        <f>IF($B1718=0,NA(),IF($G1718="",NA(),IF(G$8="",NA(),IF(N(G$8)=0,NA(),IF(Inputs!$C$17="Rebased to 100",$G1718/G$8*100,$G1718)))))</f>
        <v/>
      </c>
      <c r="N1718" s="54">
        <f>IF($B1718=0,NA(),IF(Inputs!$C$18&lt;&gt;"Yes",NA(),IF(COUNT(I1718,J1718,K1718,L1718,M1718)=0,NA(),MIN(I1718,J1718,K1718,L1718,M1718))))</f>
        <v/>
      </c>
      <c r="O1718" s="54">
        <f>IF($B1718=0,NA(),IF(Inputs!$B$24&lt;&gt;"Yes",NA(),Inputs!$D$24*Inputs!$C$35))</f>
        <v/>
      </c>
      <c r="P1718" s="54">
        <f>IF($B1718=0,NA(),IF(Inputs!$B$25&lt;&gt;"Yes",NA(),Inputs!$D$25*Inputs!$C$35))</f>
        <v/>
      </c>
      <c r="Q1718" s="54">
        <f>IF($B1718=0,NA(),IF(Inputs!$B$26&lt;&gt;"Yes",NA(),Inputs!$D$26*Inputs!$C$35))</f>
        <v/>
      </c>
      <c r="R1718" s="54">
        <f>IF($B1718=0,NA(),IF(Inputs!$B$27&lt;&gt;"Yes",NA(),Inputs!$D$27*Inputs!$C$35))</f>
        <v/>
      </c>
      <c r="S1718" s="54">
        <f>IF($B1718=0,NA(),IF(Inputs!$B$28&lt;&gt;"Yes",NA(),Inputs!$D$28*Inputs!$C$35))</f>
        <v/>
      </c>
      <c r="T1718" s="54">
        <f>IF($B1718=0,NA(),IF(Inputs!$B$29&lt;&gt;"Yes",NA(),Inputs!$D$29*Inputs!$C$35))</f>
        <v/>
      </c>
      <c r="AD1718">
        <f>IF($B1718=0,0,IF(Inputs!$B$6="",0,COUNTIFS(Data!$A$10:$A$3209,"&gt;="&amp;$A1718,Data!$A$10:$A$3209,"&lt;"&amp;$A1718+1)))</f>
        <v/>
      </c>
      <c r="AE1718">
        <f>IF($B1718=0,0,IF(Inputs!$B$7="",0,COUNTIFS(Data!$E$10:$E$3209,"&gt;="&amp;$A1718,Data!$E$10:$E$3209,"&lt;"&amp;$A1718+1)))</f>
        <v/>
      </c>
      <c r="AF1718">
        <f>IF($B1718=0,0,IF(Inputs!$B$8="",0,COUNTIFS(Data!$I$10:$I$3209,"&gt;="&amp;$A1718,Data!$I$10:$I$3209,"&lt;"&amp;$A1718+1)))</f>
        <v/>
      </c>
      <c r="AG1718">
        <f>IF($B1718=0,0,IF(Inputs!$B$9="",0,COUNTIFS(Data!$M$10:$M$3209,"&gt;="&amp;$A1718,Data!$M$10:$M$3209,"&lt;"&amp;$A1718+1)))</f>
        <v/>
      </c>
      <c r="AH1718">
        <f>IF($B1718=0,0,IF(Inputs!$B$10="",0,COUNTIFS(Data!$Q$10:$Q$3209,"&gt;="&amp;$A1718,Data!$Q$10:$Q$3209,"&lt;"&amp;$A1718+1)))</f>
        <v/>
      </c>
    </row>
    <row r="1719">
      <c r="A1719" s="55">
        <f>MIN(Inputs!$C$15,$A1718+IF(WEEKDAY($A1718,2)=5,3,1))</f>
        <v/>
      </c>
      <c r="B1719">
        <f>IF($A1719&gt;$A1718,1,0)</f>
        <v/>
      </c>
      <c r="C1719" s="56">
        <f>IF($B1719=0,"",IF(Inputs!$B$6="","",IF($AD1719=0,C1718,SUMIFS(Data!$B$10:$B$3209,Data!$A$10:$A$3209,"&gt;="&amp;$A1719,Data!$A$10:$A$3209,"&lt;"&amp;$A1719+1)/$AD1719)))</f>
        <v/>
      </c>
      <c r="D1719" s="56">
        <f>IF($B1719=0,"",IF(Inputs!$B$7="","",IF($AE1719=0,D1718,SUMIFS(Data!$F$10:$F$3209,Data!$E$10:$E$3209,"&gt;="&amp;$A1719,Data!$E$10:$E$3209,"&lt;"&amp;$A1719+1)/$AE1719)))</f>
        <v/>
      </c>
      <c r="E1719" s="56">
        <f>IF($B1719=0,"",IF(Inputs!$B$8="","",IF($AF1719=0,E1718,SUMIFS(Data!$J$10:$J$3209,Data!$I$10:$I$3209,"&gt;="&amp;$A1719,Data!$I$10:$I$3209,"&lt;"&amp;$A1719+1)/$AF1719)))</f>
        <v/>
      </c>
      <c r="F1719" s="56">
        <f>IF($B1719=0,"",IF(Inputs!$B$9="","",IF($AG1719=0,F1718,SUMIFS(Data!$N$10:$N$3209,Data!$M$10:$M$3209,"&gt;="&amp;$A1719,Data!$M$10:$M$3209,"&lt;"&amp;$A1719+1)/$AG1719)))</f>
        <v/>
      </c>
      <c r="G1719" s="56">
        <f>IF($B1719=0,"",IF(Inputs!$B$10="","",IF($AH1719=0,G1718,SUMIFS(Data!$R$10:$R$3209,Data!$Q$10:$Q$3209,"&gt;="&amp;$A1719,Data!$Q$10:$Q$3209,"&lt;"&amp;$A1719+1)/$AH1719)))</f>
        <v/>
      </c>
      <c r="I1719" s="54">
        <f>IF($B1719=0,NA(),IF($C1719="",NA(),IF(C$8="",NA(),IF(N(C$8)=0,NA(),IF(Inputs!$C$17="Rebased to 100",$C1719/C$8*100,$C1719)))))</f>
        <v/>
      </c>
      <c r="J1719" s="54">
        <f>IF($B1719=0,NA(),IF($D1719="",NA(),IF(D$8="",NA(),IF(N(D$8)=0,NA(),IF(Inputs!$C$17="Rebased to 100",$D1719/D$8*100,$D1719)))))</f>
        <v/>
      </c>
      <c r="K1719" s="54">
        <f>IF($B1719=0,NA(),IF($E1719="",NA(),IF(E$8="",NA(),IF(N(E$8)=0,NA(),IF(Inputs!$C$17="Rebased to 100",$E1719/E$8*100,$E1719)))))</f>
        <v/>
      </c>
      <c r="L1719" s="54">
        <f>IF($B1719=0,NA(),IF($F1719="",NA(),IF(F$8="",NA(),IF(N(F$8)=0,NA(),IF(Inputs!$C$17="Rebased to 100",$F1719/F$8*100,$F1719)))))</f>
        <v/>
      </c>
      <c r="M1719" s="54">
        <f>IF($B1719=0,NA(),IF($G1719="",NA(),IF(G$8="",NA(),IF(N(G$8)=0,NA(),IF(Inputs!$C$17="Rebased to 100",$G1719/G$8*100,$G1719)))))</f>
        <v/>
      </c>
      <c r="N1719" s="54">
        <f>IF($B1719=0,NA(),IF(Inputs!$C$18&lt;&gt;"Yes",NA(),IF(COUNT(I1719,J1719,K1719,L1719,M1719)=0,NA(),MIN(I1719,J1719,K1719,L1719,M1719))))</f>
        <v/>
      </c>
      <c r="O1719" s="54">
        <f>IF($B1719=0,NA(),IF(Inputs!$B$24&lt;&gt;"Yes",NA(),Inputs!$D$24*Inputs!$C$35))</f>
        <v/>
      </c>
      <c r="P1719" s="54">
        <f>IF($B1719=0,NA(),IF(Inputs!$B$25&lt;&gt;"Yes",NA(),Inputs!$D$25*Inputs!$C$35))</f>
        <v/>
      </c>
      <c r="Q1719" s="54">
        <f>IF($B1719=0,NA(),IF(Inputs!$B$26&lt;&gt;"Yes",NA(),Inputs!$D$26*Inputs!$C$35))</f>
        <v/>
      </c>
      <c r="R1719" s="54">
        <f>IF($B1719=0,NA(),IF(Inputs!$B$27&lt;&gt;"Yes",NA(),Inputs!$D$27*Inputs!$C$35))</f>
        <v/>
      </c>
      <c r="S1719" s="54">
        <f>IF($B1719=0,NA(),IF(Inputs!$B$28&lt;&gt;"Yes",NA(),Inputs!$D$28*Inputs!$C$35))</f>
        <v/>
      </c>
      <c r="T1719" s="54">
        <f>IF($B1719=0,NA(),IF(Inputs!$B$29&lt;&gt;"Yes",NA(),Inputs!$D$29*Inputs!$C$35))</f>
        <v/>
      </c>
      <c r="AD1719">
        <f>IF($B1719=0,0,IF(Inputs!$B$6="",0,COUNTIFS(Data!$A$10:$A$3209,"&gt;="&amp;$A1719,Data!$A$10:$A$3209,"&lt;"&amp;$A1719+1)))</f>
        <v/>
      </c>
      <c r="AE1719">
        <f>IF($B1719=0,0,IF(Inputs!$B$7="",0,COUNTIFS(Data!$E$10:$E$3209,"&gt;="&amp;$A1719,Data!$E$10:$E$3209,"&lt;"&amp;$A1719+1)))</f>
        <v/>
      </c>
      <c r="AF1719">
        <f>IF($B1719=0,0,IF(Inputs!$B$8="",0,COUNTIFS(Data!$I$10:$I$3209,"&gt;="&amp;$A1719,Data!$I$10:$I$3209,"&lt;"&amp;$A1719+1)))</f>
        <v/>
      </c>
      <c r="AG1719">
        <f>IF($B1719=0,0,IF(Inputs!$B$9="",0,COUNTIFS(Data!$M$10:$M$3209,"&gt;="&amp;$A1719,Data!$M$10:$M$3209,"&lt;"&amp;$A1719+1)))</f>
        <v/>
      </c>
      <c r="AH1719">
        <f>IF($B1719=0,0,IF(Inputs!$B$10="",0,COUNTIFS(Data!$Q$10:$Q$3209,"&gt;="&amp;$A1719,Data!$Q$10:$Q$3209,"&lt;"&amp;$A1719+1)))</f>
        <v/>
      </c>
    </row>
    <row r="1720">
      <c r="A1720" s="55">
        <f>MIN(Inputs!$C$15,$A1719+IF(WEEKDAY($A1719,2)=5,3,1))</f>
        <v/>
      </c>
      <c r="B1720">
        <f>IF($A1720&gt;$A1719,1,0)</f>
        <v/>
      </c>
      <c r="C1720" s="56">
        <f>IF($B1720=0,"",IF(Inputs!$B$6="","",IF($AD1720=0,C1719,SUMIFS(Data!$B$10:$B$3209,Data!$A$10:$A$3209,"&gt;="&amp;$A1720,Data!$A$10:$A$3209,"&lt;"&amp;$A1720+1)/$AD1720)))</f>
        <v/>
      </c>
      <c r="D1720" s="56">
        <f>IF($B1720=0,"",IF(Inputs!$B$7="","",IF($AE1720=0,D1719,SUMIFS(Data!$F$10:$F$3209,Data!$E$10:$E$3209,"&gt;="&amp;$A1720,Data!$E$10:$E$3209,"&lt;"&amp;$A1720+1)/$AE1720)))</f>
        <v/>
      </c>
      <c r="E1720" s="56">
        <f>IF($B1720=0,"",IF(Inputs!$B$8="","",IF($AF1720=0,E1719,SUMIFS(Data!$J$10:$J$3209,Data!$I$10:$I$3209,"&gt;="&amp;$A1720,Data!$I$10:$I$3209,"&lt;"&amp;$A1720+1)/$AF1720)))</f>
        <v/>
      </c>
      <c r="F1720" s="56">
        <f>IF($B1720=0,"",IF(Inputs!$B$9="","",IF($AG1720=0,F1719,SUMIFS(Data!$N$10:$N$3209,Data!$M$10:$M$3209,"&gt;="&amp;$A1720,Data!$M$10:$M$3209,"&lt;"&amp;$A1720+1)/$AG1720)))</f>
        <v/>
      </c>
      <c r="G1720" s="56">
        <f>IF($B1720=0,"",IF(Inputs!$B$10="","",IF($AH1720=0,G1719,SUMIFS(Data!$R$10:$R$3209,Data!$Q$10:$Q$3209,"&gt;="&amp;$A1720,Data!$Q$10:$Q$3209,"&lt;"&amp;$A1720+1)/$AH1720)))</f>
        <v/>
      </c>
      <c r="I1720" s="54">
        <f>IF($B1720=0,NA(),IF($C1720="",NA(),IF(C$8="",NA(),IF(N(C$8)=0,NA(),IF(Inputs!$C$17="Rebased to 100",$C1720/C$8*100,$C1720)))))</f>
        <v/>
      </c>
      <c r="J1720" s="54">
        <f>IF($B1720=0,NA(),IF($D1720="",NA(),IF(D$8="",NA(),IF(N(D$8)=0,NA(),IF(Inputs!$C$17="Rebased to 100",$D1720/D$8*100,$D1720)))))</f>
        <v/>
      </c>
      <c r="K1720" s="54">
        <f>IF($B1720=0,NA(),IF($E1720="",NA(),IF(E$8="",NA(),IF(N(E$8)=0,NA(),IF(Inputs!$C$17="Rebased to 100",$E1720/E$8*100,$E1720)))))</f>
        <v/>
      </c>
      <c r="L1720" s="54">
        <f>IF($B1720=0,NA(),IF($F1720="",NA(),IF(F$8="",NA(),IF(N(F$8)=0,NA(),IF(Inputs!$C$17="Rebased to 100",$F1720/F$8*100,$F1720)))))</f>
        <v/>
      </c>
      <c r="M1720" s="54">
        <f>IF($B1720=0,NA(),IF($G1720="",NA(),IF(G$8="",NA(),IF(N(G$8)=0,NA(),IF(Inputs!$C$17="Rebased to 100",$G1720/G$8*100,$G1720)))))</f>
        <v/>
      </c>
      <c r="N1720" s="54">
        <f>IF($B1720=0,NA(),IF(Inputs!$C$18&lt;&gt;"Yes",NA(),IF(COUNT(I1720,J1720,K1720,L1720,M1720)=0,NA(),MIN(I1720,J1720,K1720,L1720,M1720))))</f>
        <v/>
      </c>
      <c r="O1720" s="54">
        <f>IF($B1720=0,NA(),IF(Inputs!$B$24&lt;&gt;"Yes",NA(),Inputs!$D$24*Inputs!$C$35))</f>
        <v/>
      </c>
      <c r="P1720" s="54">
        <f>IF($B1720=0,NA(),IF(Inputs!$B$25&lt;&gt;"Yes",NA(),Inputs!$D$25*Inputs!$C$35))</f>
        <v/>
      </c>
      <c r="Q1720" s="54">
        <f>IF($B1720=0,NA(),IF(Inputs!$B$26&lt;&gt;"Yes",NA(),Inputs!$D$26*Inputs!$C$35))</f>
        <v/>
      </c>
      <c r="R1720" s="54">
        <f>IF($B1720=0,NA(),IF(Inputs!$B$27&lt;&gt;"Yes",NA(),Inputs!$D$27*Inputs!$C$35))</f>
        <v/>
      </c>
      <c r="S1720" s="54">
        <f>IF($B1720=0,NA(),IF(Inputs!$B$28&lt;&gt;"Yes",NA(),Inputs!$D$28*Inputs!$C$35))</f>
        <v/>
      </c>
      <c r="T1720" s="54">
        <f>IF($B1720=0,NA(),IF(Inputs!$B$29&lt;&gt;"Yes",NA(),Inputs!$D$29*Inputs!$C$35))</f>
        <v/>
      </c>
      <c r="AD1720">
        <f>IF($B1720=0,0,IF(Inputs!$B$6="",0,COUNTIFS(Data!$A$10:$A$3209,"&gt;="&amp;$A1720,Data!$A$10:$A$3209,"&lt;"&amp;$A1720+1)))</f>
        <v/>
      </c>
      <c r="AE1720">
        <f>IF($B1720=0,0,IF(Inputs!$B$7="",0,COUNTIFS(Data!$E$10:$E$3209,"&gt;="&amp;$A1720,Data!$E$10:$E$3209,"&lt;"&amp;$A1720+1)))</f>
        <v/>
      </c>
      <c r="AF1720">
        <f>IF($B1720=0,0,IF(Inputs!$B$8="",0,COUNTIFS(Data!$I$10:$I$3209,"&gt;="&amp;$A1720,Data!$I$10:$I$3209,"&lt;"&amp;$A1720+1)))</f>
        <v/>
      </c>
      <c r="AG1720">
        <f>IF($B1720=0,0,IF(Inputs!$B$9="",0,COUNTIFS(Data!$M$10:$M$3209,"&gt;="&amp;$A1720,Data!$M$10:$M$3209,"&lt;"&amp;$A1720+1)))</f>
        <v/>
      </c>
      <c r="AH1720">
        <f>IF($B1720=0,0,IF(Inputs!$B$10="",0,COUNTIFS(Data!$Q$10:$Q$3209,"&gt;="&amp;$A1720,Data!$Q$10:$Q$3209,"&lt;"&amp;$A1720+1)))</f>
        <v/>
      </c>
    </row>
    <row r="1721">
      <c r="A1721" s="55">
        <f>MIN(Inputs!$C$15,$A1720+IF(WEEKDAY($A1720,2)=5,3,1))</f>
        <v/>
      </c>
      <c r="B1721">
        <f>IF($A1721&gt;$A1720,1,0)</f>
        <v/>
      </c>
      <c r="C1721" s="56">
        <f>IF($B1721=0,"",IF(Inputs!$B$6="","",IF($AD1721=0,C1720,SUMIFS(Data!$B$10:$B$3209,Data!$A$10:$A$3209,"&gt;="&amp;$A1721,Data!$A$10:$A$3209,"&lt;"&amp;$A1721+1)/$AD1721)))</f>
        <v/>
      </c>
      <c r="D1721" s="56">
        <f>IF($B1721=0,"",IF(Inputs!$B$7="","",IF($AE1721=0,D1720,SUMIFS(Data!$F$10:$F$3209,Data!$E$10:$E$3209,"&gt;="&amp;$A1721,Data!$E$10:$E$3209,"&lt;"&amp;$A1721+1)/$AE1721)))</f>
        <v/>
      </c>
      <c r="E1721" s="56">
        <f>IF($B1721=0,"",IF(Inputs!$B$8="","",IF($AF1721=0,E1720,SUMIFS(Data!$J$10:$J$3209,Data!$I$10:$I$3209,"&gt;="&amp;$A1721,Data!$I$10:$I$3209,"&lt;"&amp;$A1721+1)/$AF1721)))</f>
        <v/>
      </c>
      <c r="F1721" s="56">
        <f>IF($B1721=0,"",IF(Inputs!$B$9="","",IF($AG1721=0,F1720,SUMIFS(Data!$N$10:$N$3209,Data!$M$10:$M$3209,"&gt;="&amp;$A1721,Data!$M$10:$M$3209,"&lt;"&amp;$A1721+1)/$AG1721)))</f>
        <v/>
      </c>
      <c r="G1721" s="56">
        <f>IF($B1721=0,"",IF(Inputs!$B$10="","",IF($AH1721=0,G1720,SUMIFS(Data!$R$10:$R$3209,Data!$Q$10:$Q$3209,"&gt;="&amp;$A1721,Data!$Q$10:$Q$3209,"&lt;"&amp;$A1721+1)/$AH1721)))</f>
        <v/>
      </c>
      <c r="I1721" s="54">
        <f>IF($B1721=0,NA(),IF($C1721="",NA(),IF(C$8="",NA(),IF(N(C$8)=0,NA(),IF(Inputs!$C$17="Rebased to 100",$C1721/C$8*100,$C1721)))))</f>
        <v/>
      </c>
      <c r="J1721" s="54">
        <f>IF($B1721=0,NA(),IF($D1721="",NA(),IF(D$8="",NA(),IF(N(D$8)=0,NA(),IF(Inputs!$C$17="Rebased to 100",$D1721/D$8*100,$D1721)))))</f>
        <v/>
      </c>
      <c r="K1721" s="54">
        <f>IF($B1721=0,NA(),IF($E1721="",NA(),IF(E$8="",NA(),IF(N(E$8)=0,NA(),IF(Inputs!$C$17="Rebased to 100",$E1721/E$8*100,$E1721)))))</f>
        <v/>
      </c>
      <c r="L1721" s="54">
        <f>IF($B1721=0,NA(),IF($F1721="",NA(),IF(F$8="",NA(),IF(N(F$8)=0,NA(),IF(Inputs!$C$17="Rebased to 100",$F1721/F$8*100,$F1721)))))</f>
        <v/>
      </c>
      <c r="M1721" s="54">
        <f>IF($B1721=0,NA(),IF($G1721="",NA(),IF(G$8="",NA(),IF(N(G$8)=0,NA(),IF(Inputs!$C$17="Rebased to 100",$G1721/G$8*100,$G1721)))))</f>
        <v/>
      </c>
      <c r="N1721" s="54">
        <f>IF($B1721=0,NA(),IF(Inputs!$C$18&lt;&gt;"Yes",NA(),IF(COUNT(I1721,J1721,K1721,L1721,M1721)=0,NA(),MIN(I1721,J1721,K1721,L1721,M1721))))</f>
        <v/>
      </c>
      <c r="O1721" s="54">
        <f>IF($B1721=0,NA(),IF(Inputs!$B$24&lt;&gt;"Yes",NA(),Inputs!$D$24*Inputs!$C$35))</f>
        <v/>
      </c>
      <c r="P1721" s="54">
        <f>IF($B1721=0,NA(),IF(Inputs!$B$25&lt;&gt;"Yes",NA(),Inputs!$D$25*Inputs!$C$35))</f>
        <v/>
      </c>
      <c r="Q1721" s="54">
        <f>IF($B1721=0,NA(),IF(Inputs!$B$26&lt;&gt;"Yes",NA(),Inputs!$D$26*Inputs!$C$35))</f>
        <v/>
      </c>
      <c r="R1721" s="54">
        <f>IF($B1721=0,NA(),IF(Inputs!$B$27&lt;&gt;"Yes",NA(),Inputs!$D$27*Inputs!$C$35))</f>
        <v/>
      </c>
      <c r="S1721" s="54">
        <f>IF($B1721=0,NA(),IF(Inputs!$B$28&lt;&gt;"Yes",NA(),Inputs!$D$28*Inputs!$C$35))</f>
        <v/>
      </c>
      <c r="T1721" s="54">
        <f>IF($B1721=0,NA(),IF(Inputs!$B$29&lt;&gt;"Yes",NA(),Inputs!$D$29*Inputs!$C$35))</f>
        <v/>
      </c>
      <c r="AD1721">
        <f>IF($B1721=0,0,IF(Inputs!$B$6="",0,COUNTIFS(Data!$A$10:$A$3209,"&gt;="&amp;$A1721,Data!$A$10:$A$3209,"&lt;"&amp;$A1721+1)))</f>
        <v/>
      </c>
      <c r="AE1721">
        <f>IF($B1721=0,0,IF(Inputs!$B$7="",0,COUNTIFS(Data!$E$10:$E$3209,"&gt;="&amp;$A1721,Data!$E$10:$E$3209,"&lt;"&amp;$A1721+1)))</f>
        <v/>
      </c>
      <c r="AF1721">
        <f>IF($B1721=0,0,IF(Inputs!$B$8="",0,COUNTIFS(Data!$I$10:$I$3209,"&gt;="&amp;$A1721,Data!$I$10:$I$3209,"&lt;"&amp;$A1721+1)))</f>
        <v/>
      </c>
      <c r="AG1721">
        <f>IF($B1721=0,0,IF(Inputs!$B$9="",0,COUNTIFS(Data!$M$10:$M$3209,"&gt;="&amp;$A1721,Data!$M$10:$M$3209,"&lt;"&amp;$A1721+1)))</f>
        <v/>
      </c>
      <c r="AH1721">
        <f>IF($B1721=0,0,IF(Inputs!$B$10="",0,COUNTIFS(Data!$Q$10:$Q$3209,"&gt;="&amp;$A1721,Data!$Q$10:$Q$3209,"&lt;"&amp;$A1721+1)))</f>
        <v/>
      </c>
    </row>
    <row r="1722">
      <c r="A1722" s="55">
        <f>MIN(Inputs!$C$15,$A1721+IF(WEEKDAY($A1721,2)=5,3,1))</f>
        <v/>
      </c>
      <c r="B1722">
        <f>IF($A1722&gt;$A1721,1,0)</f>
        <v/>
      </c>
      <c r="C1722" s="56">
        <f>IF($B1722=0,"",IF(Inputs!$B$6="","",IF($AD1722=0,C1721,SUMIFS(Data!$B$10:$B$3209,Data!$A$10:$A$3209,"&gt;="&amp;$A1722,Data!$A$10:$A$3209,"&lt;"&amp;$A1722+1)/$AD1722)))</f>
        <v/>
      </c>
      <c r="D1722" s="56">
        <f>IF($B1722=0,"",IF(Inputs!$B$7="","",IF($AE1722=0,D1721,SUMIFS(Data!$F$10:$F$3209,Data!$E$10:$E$3209,"&gt;="&amp;$A1722,Data!$E$10:$E$3209,"&lt;"&amp;$A1722+1)/$AE1722)))</f>
        <v/>
      </c>
      <c r="E1722" s="56">
        <f>IF($B1722=0,"",IF(Inputs!$B$8="","",IF($AF1722=0,E1721,SUMIFS(Data!$J$10:$J$3209,Data!$I$10:$I$3209,"&gt;="&amp;$A1722,Data!$I$10:$I$3209,"&lt;"&amp;$A1722+1)/$AF1722)))</f>
        <v/>
      </c>
      <c r="F1722" s="56">
        <f>IF($B1722=0,"",IF(Inputs!$B$9="","",IF($AG1722=0,F1721,SUMIFS(Data!$N$10:$N$3209,Data!$M$10:$M$3209,"&gt;="&amp;$A1722,Data!$M$10:$M$3209,"&lt;"&amp;$A1722+1)/$AG1722)))</f>
        <v/>
      </c>
      <c r="G1722" s="56">
        <f>IF($B1722=0,"",IF(Inputs!$B$10="","",IF($AH1722=0,G1721,SUMIFS(Data!$R$10:$R$3209,Data!$Q$10:$Q$3209,"&gt;="&amp;$A1722,Data!$Q$10:$Q$3209,"&lt;"&amp;$A1722+1)/$AH1722)))</f>
        <v/>
      </c>
      <c r="I1722" s="54">
        <f>IF($B1722=0,NA(),IF($C1722="",NA(),IF(C$8="",NA(),IF(N(C$8)=0,NA(),IF(Inputs!$C$17="Rebased to 100",$C1722/C$8*100,$C1722)))))</f>
        <v/>
      </c>
      <c r="J1722" s="54">
        <f>IF($B1722=0,NA(),IF($D1722="",NA(),IF(D$8="",NA(),IF(N(D$8)=0,NA(),IF(Inputs!$C$17="Rebased to 100",$D1722/D$8*100,$D1722)))))</f>
        <v/>
      </c>
      <c r="K1722" s="54">
        <f>IF($B1722=0,NA(),IF($E1722="",NA(),IF(E$8="",NA(),IF(N(E$8)=0,NA(),IF(Inputs!$C$17="Rebased to 100",$E1722/E$8*100,$E1722)))))</f>
        <v/>
      </c>
      <c r="L1722" s="54">
        <f>IF($B1722=0,NA(),IF($F1722="",NA(),IF(F$8="",NA(),IF(N(F$8)=0,NA(),IF(Inputs!$C$17="Rebased to 100",$F1722/F$8*100,$F1722)))))</f>
        <v/>
      </c>
      <c r="M1722" s="54">
        <f>IF($B1722=0,NA(),IF($G1722="",NA(),IF(G$8="",NA(),IF(N(G$8)=0,NA(),IF(Inputs!$C$17="Rebased to 100",$G1722/G$8*100,$G1722)))))</f>
        <v/>
      </c>
      <c r="N1722" s="54">
        <f>IF($B1722=0,NA(),IF(Inputs!$C$18&lt;&gt;"Yes",NA(),IF(COUNT(I1722,J1722,K1722,L1722,M1722)=0,NA(),MIN(I1722,J1722,K1722,L1722,M1722))))</f>
        <v/>
      </c>
      <c r="O1722" s="54">
        <f>IF($B1722=0,NA(),IF(Inputs!$B$24&lt;&gt;"Yes",NA(),Inputs!$D$24*Inputs!$C$35))</f>
        <v/>
      </c>
      <c r="P1722" s="54">
        <f>IF($B1722=0,NA(),IF(Inputs!$B$25&lt;&gt;"Yes",NA(),Inputs!$D$25*Inputs!$C$35))</f>
        <v/>
      </c>
      <c r="Q1722" s="54">
        <f>IF($B1722=0,NA(),IF(Inputs!$B$26&lt;&gt;"Yes",NA(),Inputs!$D$26*Inputs!$C$35))</f>
        <v/>
      </c>
      <c r="R1722" s="54">
        <f>IF($B1722=0,NA(),IF(Inputs!$B$27&lt;&gt;"Yes",NA(),Inputs!$D$27*Inputs!$C$35))</f>
        <v/>
      </c>
      <c r="S1722" s="54">
        <f>IF($B1722=0,NA(),IF(Inputs!$B$28&lt;&gt;"Yes",NA(),Inputs!$D$28*Inputs!$C$35))</f>
        <v/>
      </c>
      <c r="T1722" s="54">
        <f>IF($B1722=0,NA(),IF(Inputs!$B$29&lt;&gt;"Yes",NA(),Inputs!$D$29*Inputs!$C$35))</f>
        <v/>
      </c>
      <c r="AD1722">
        <f>IF($B1722=0,0,IF(Inputs!$B$6="",0,COUNTIFS(Data!$A$10:$A$3209,"&gt;="&amp;$A1722,Data!$A$10:$A$3209,"&lt;"&amp;$A1722+1)))</f>
        <v/>
      </c>
      <c r="AE1722">
        <f>IF($B1722=0,0,IF(Inputs!$B$7="",0,COUNTIFS(Data!$E$10:$E$3209,"&gt;="&amp;$A1722,Data!$E$10:$E$3209,"&lt;"&amp;$A1722+1)))</f>
        <v/>
      </c>
      <c r="AF1722">
        <f>IF($B1722=0,0,IF(Inputs!$B$8="",0,COUNTIFS(Data!$I$10:$I$3209,"&gt;="&amp;$A1722,Data!$I$10:$I$3209,"&lt;"&amp;$A1722+1)))</f>
        <v/>
      </c>
      <c r="AG1722">
        <f>IF($B1722=0,0,IF(Inputs!$B$9="",0,COUNTIFS(Data!$M$10:$M$3209,"&gt;="&amp;$A1722,Data!$M$10:$M$3209,"&lt;"&amp;$A1722+1)))</f>
        <v/>
      </c>
      <c r="AH1722">
        <f>IF($B1722=0,0,IF(Inputs!$B$10="",0,COUNTIFS(Data!$Q$10:$Q$3209,"&gt;="&amp;$A1722,Data!$Q$10:$Q$3209,"&lt;"&amp;$A1722+1)))</f>
        <v/>
      </c>
    </row>
    <row r="1723">
      <c r="A1723" s="55">
        <f>MIN(Inputs!$C$15,$A1722+IF(WEEKDAY($A1722,2)=5,3,1))</f>
        <v/>
      </c>
      <c r="B1723">
        <f>IF($A1723&gt;$A1722,1,0)</f>
        <v/>
      </c>
      <c r="C1723" s="56">
        <f>IF($B1723=0,"",IF(Inputs!$B$6="","",IF($AD1723=0,C1722,SUMIFS(Data!$B$10:$B$3209,Data!$A$10:$A$3209,"&gt;="&amp;$A1723,Data!$A$10:$A$3209,"&lt;"&amp;$A1723+1)/$AD1723)))</f>
        <v/>
      </c>
      <c r="D1723" s="56">
        <f>IF($B1723=0,"",IF(Inputs!$B$7="","",IF($AE1723=0,D1722,SUMIFS(Data!$F$10:$F$3209,Data!$E$10:$E$3209,"&gt;="&amp;$A1723,Data!$E$10:$E$3209,"&lt;"&amp;$A1723+1)/$AE1723)))</f>
        <v/>
      </c>
      <c r="E1723" s="56">
        <f>IF($B1723=0,"",IF(Inputs!$B$8="","",IF($AF1723=0,E1722,SUMIFS(Data!$J$10:$J$3209,Data!$I$10:$I$3209,"&gt;="&amp;$A1723,Data!$I$10:$I$3209,"&lt;"&amp;$A1723+1)/$AF1723)))</f>
        <v/>
      </c>
      <c r="F1723" s="56">
        <f>IF($B1723=0,"",IF(Inputs!$B$9="","",IF($AG1723=0,F1722,SUMIFS(Data!$N$10:$N$3209,Data!$M$10:$M$3209,"&gt;="&amp;$A1723,Data!$M$10:$M$3209,"&lt;"&amp;$A1723+1)/$AG1723)))</f>
        <v/>
      </c>
      <c r="G1723" s="56">
        <f>IF($B1723=0,"",IF(Inputs!$B$10="","",IF($AH1723=0,G1722,SUMIFS(Data!$R$10:$R$3209,Data!$Q$10:$Q$3209,"&gt;="&amp;$A1723,Data!$Q$10:$Q$3209,"&lt;"&amp;$A1723+1)/$AH1723)))</f>
        <v/>
      </c>
      <c r="I1723" s="54">
        <f>IF($B1723=0,NA(),IF($C1723="",NA(),IF(C$8="",NA(),IF(N(C$8)=0,NA(),IF(Inputs!$C$17="Rebased to 100",$C1723/C$8*100,$C1723)))))</f>
        <v/>
      </c>
      <c r="J1723" s="54">
        <f>IF($B1723=0,NA(),IF($D1723="",NA(),IF(D$8="",NA(),IF(N(D$8)=0,NA(),IF(Inputs!$C$17="Rebased to 100",$D1723/D$8*100,$D1723)))))</f>
        <v/>
      </c>
      <c r="K1723" s="54">
        <f>IF($B1723=0,NA(),IF($E1723="",NA(),IF(E$8="",NA(),IF(N(E$8)=0,NA(),IF(Inputs!$C$17="Rebased to 100",$E1723/E$8*100,$E1723)))))</f>
        <v/>
      </c>
      <c r="L1723" s="54">
        <f>IF($B1723=0,NA(),IF($F1723="",NA(),IF(F$8="",NA(),IF(N(F$8)=0,NA(),IF(Inputs!$C$17="Rebased to 100",$F1723/F$8*100,$F1723)))))</f>
        <v/>
      </c>
      <c r="M1723" s="54">
        <f>IF($B1723=0,NA(),IF($G1723="",NA(),IF(G$8="",NA(),IF(N(G$8)=0,NA(),IF(Inputs!$C$17="Rebased to 100",$G1723/G$8*100,$G1723)))))</f>
        <v/>
      </c>
      <c r="N1723" s="54">
        <f>IF($B1723=0,NA(),IF(Inputs!$C$18&lt;&gt;"Yes",NA(),IF(COUNT(I1723,J1723,K1723,L1723,M1723)=0,NA(),MIN(I1723,J1723,K1723,L1723,M1723))))</f>
        <v/>
      </c>
      <c r="O1723" s="54">
        <f>IF($B1723=0,NA(),IF(Inputs!$B$24&lt;&gt;"Yes",NA(),Inputs!$D$24*Inputs!$C$35))</f>
        <v/>
      </c>
      <c r="P1723" s="54">
        <f>IF($B1723=0,NA(),IF(Inputs!$B$25&lt;&gt;"Yes",NA(),Inputs!$D$25*Inputs!$C$35))</f>
        <v/>
      </c>
      <c r="Q1723" s="54">
        <f>IF($B1723=0,NA(),IF(Inputs!$B$26&lt;&gt;"Yes",NA(),Inputs!$D$26*Inputs!$C$35))</f>
        <v/>
      </c>
      <c r="R1723" s="54">
        <f>IF($B1723=0,NA(),IF(Inputs!$B$27&lt;&gt;"Yes",NA(),Inputs!$D$27*Inputs!$C$35))</f>
        <v/>
      </c>
      <c r="S1723" s="54">
        <f>IF($B1723=0,NA(),IF(Inputs!$B$28&lt;&gt;"Yes",NA(),Inputs!$D$28*Inputs!$C$35))</f>
        <v/>
      </c>
      <c r="T1723" s="54">
        <f>IF($B1723=0,NA(),IF(Inputs!$B$29&lt;&gt;"Yes",NA(),Inputs!$D$29*Inputs!$C$35))</f>
        <v/>
      </c>
      <c r="AD1723">
        <f>IF($B1723=0,0,IF(Inputs!$B$6="",0,COUNTIFS(Data!$A$10:$A$3209,"&gt;="&amp;$A1723,Data!$A$10:$A$3209,"&lt;"&amp;$A1723+1)))</f>
        <v/>
      </c>
      <c r="AE1723">
        <f>IF($B1723=0,0,IF(Inputs!$B$7="",0,COUNTIFS(Data!$E$10:$E$3209,"&gt;="&amp;$A1723,Data!$E$10:$E$3209,"&lt;"&amp;$A1723+1)))</f>
        <v/>
      </c>
      <c r="AF1723">
        <f>IF($B1723=0,0,IF(Inputs!$B$8="",0,COUNTIFS(Data!$I$10:$I$3209,"&gt;="&amp;$A1723,Data!$I$10:$I$3209,"&lt;"&amp;$A1723+1)))</f>
        <v/>
      </c>
      <c r="AG1723">
        <f>IF($B1723=0,0,IF(Inputs!$B$9="",0,COUNTIFS(Data!$M$10:$M$3209,"&gt;="&amp;$A1723,Data!$M$10:$M$3209,"&lt;"&amp;$A1723+1)))</f>
        <v/>
      </c>
      <c r="AH1723">
        <f>IF($B1723=0,0,IF(Inputs!$B$10="",0,COUNTIFS(Data!$Q$10:$Q$3209,"&gt;="&amp;$A1723,Data!$Q$10:$Q$3209,"&lt;"&amp;$A1723+1)))</f>
        <v/>
      </c>
    </row>
    <row r="1724">
      <c r="A1724" s="55">
        <f>MIN(Inputs!$C$15,$A1723+IF(WEEKDAY($A1723,2)=5,3,1))</f>
        <v/>
      </c>
      <c r="B1724">
        <f>IF($A1724&gt;$A1723,1,0)</f>
        <v/>
      </c>
      <c r="C1724" s="56">
        <f>IF($B1724=0,"",IF(Inputs!$B$6="","",IF($AD1724=0,C1723,SUMIFS(Data!$B$10:$B$3209,Data!$A$10:$A$3209,"&gt;="&amp;$A1724,Data!$A$10:$A$3209,"&lt;"&amp;$A1724+1)/$AD1724)))</f>
        <v/>
      </c>
      <c r="D1724" s="56">
        <f>IF($B1724=0,"",IF(Inputs!$B$7="","",IF($AE1724=0,D1723,SUMIFS(Data!$F$10:$F$3209,Data!$E$10:$E$3209,"&gt;="&amp;$A1724,Data!$E$10:$E$3209,"&lt;"&amp;$A1724+1)/$AE1724)))</f>
        <v/>
      </c>
      <c r="E1724" s="56">
        <f>IF($B1724=0,"",IF(Inputs!$B$8="","",IF($AF1724=0,E1723,SUMIFS(Data!$J$10:$J$3209,Data!$I$10:$I$3209,"&gt;="&amp;$A1724,Data!$I$10:$I$3209,"&lt;"&amp;$A1724+1)/$AF1724)))</f>
        <v/>
      </c>
      <c r="F1724" s="56">
        <f>IF($B1724=0,"",IF(Inputs!$B$9="","",IF($AG1724=0,F1723,SUMIFS(Data!$N$10:$N$3209,Data!$M$10:$M$3209,"&gt;="&amp;$A1724,Data!$M$10:$M$3209,"&lt;"&amp;$A1724+1)/$AG1724)))</f>
        <v/>
      </c>
      <c r="G1724" s="56">
        <f>IF($B1724=0,"",IF(Inputs!$B$10="","",IF($AH1724=0,G1723,SUMIFS(Data!$R$10:$R$3209,Data!$Q$10:$Q$3209,"&gt;="&amp;$A1724,Data!$Q$10:$Q$3209,"&lt;"&amp;$A1724+1)/$AH1724)))</f>
        <v/>
      </c>
      <c r="I1724" s="54">
        <f>IF($B1724=0,NA(),IF($C1724="",NA(),IF(C$8="",NA(),IF(N(C$8)=0,NA(),IF(Inputs!$C$17="Rebased to 100",$C1724/C$8*100,$C1724)))))</f>
        <v/>
      </c>
      <c r="J1724" s="54">
        <f>IF($B1724=0,NA(),IF($D1724="",NA(),IF(D$8="",NA(),IF(N(D$8)=0,NA(),IF(Inputs!$C$17="Rebased to 100",$D1724/D$8*100,$D1724)))))</f>
        <v/>
      </c>
      <c r="K1724" s="54">
        <f>IF($B1724=0,NA(),IF($E1724="",NA(),IF(E$8="",NA(),IF(N(E$8)=0,NA(),IF(Inputs!$C$17="Rebased to 100",$E1724/E$8*100,$E1724)))))</f>
        <v/>
      </c>
      <c r="L1724" s="54">
        <f>IF($B1724=0,NA(),IF($F1724="",NA(),IF(F$8="",NA(),IF(N(F$8)=0,NA(),IF(Inputs!$C$17="Rebased to 100",$F1724/F$8*100,$F1724)))))</f>
        <v/>
      </c>
      <c r="M1724" s="54">
        <f>IF($B1724=0,NA(),IF($G1724="",NA(),IF(G$8="",NA(),IF(N(G$8)=0,NA(),IF(Inputs!$C$17="Rebased to 100",$G1724/G$8*100,$G1724)))))</f>
        <v/>
      </c>
      <c r="N1724" s="54">
        <f>IF($B1724=0,NA(),IF(Inputs!$C$18&lt;&gt;"Yes",NA(),IF(COUNT(I1724,J1724,K1724,L1724,M1724)=0,NA(),MIN(I1724,J1724,K1724,L1724,M1724))))</f>
        <v/>
      </c>
      <c r="O1724" s="54">
        <f>IF($B1724=0,NA(),IF(Inputs!$B$24&lt;&gt;"Yes",NA(),Inputs!$D$24*Inputs!$C$35))</f>
        <v/>
      </c>
      <c r="P1724" s="54">
        <f>IF($B1724=0,NA(),IF(Inputs!$B$25&lt;&gt;"Yes",NA(),Inputs!$D$25*Inputs!$C$35))</f>
        <v/>
      </c>
      <c r="Q1724" s="54">
        <f>IF($B1724=0,NA(),IF(Inputs!$B$26&lt;&gt;"Yes",NA(),Inputs!$D$26*Inputs!$C$35))</f>
        <v/>
      </c>
      <c r="R1724" s="54">
        <f>IF($B1724=0,NA(),IF(Inputs!$B$27&lt;&gt;"Yes",NA(),Inputs!$D$27*Inputs!$C$35))</f>
        <v/>
      </c>
      <c r="S1724" s="54">
        <f>IF($B1724=0,NA(),IF(Inputs!$B$28&lt;&gt;"Yes",NA(),Inputs!$D$28*Inputs!$C$35))</f>
        <v/>
      </c>
      <c r="T1724" s="54">
        <f>IF($B1724=0,NA(),IF(Inputs!$B$29&lt;&gt;"Yes",NA(),Inputs!$D$29*Inputs!$C$35))</f>
        <v/>
      </c>
      <c r="AD1724">
        <f>IF($B1724=0,0,IF(Inputs!$B$6="",0,COUNTIFS(Data!$A$10:$A$3209,"&gt;="&amp;$A1724,Data!$A$10:$A$3209,"&lt;"&amp;$A1724+1)))</f>
        <v/>
      </c>
      <c r="AE1724">
        <f>IF($B1724=0,0,IF(Inputs!$B$7="",0,COUNTIFS(Data!$E$10:$E$3209,"&gt;="&amp;$A1724,Data!$E$10:$E$3209,"&lt;"&amp;$A1724+1)))</f>
        <v/>
      </c>
      <c r="AF1724">
        <f>IF($B1724=0,0,IF(Inputs!$B$8="",0,COUNTIFS(Data!$I$10:$I$3209,"&gt;="&amp;$A1724,Data!$I$10:$I$3209,"&lt;"&amp;$A1724+1)))</f>
        <v/>
      </c>
      <c r="AG1724">
        <f>IF($B1724=0,0,IF(Inputs!$B$9="",0,COUNTIFS(Data!$M$10:$M$3209,"&gt;="&amp;$A1724,Data!$M$10:$M$3209,"&lt;"&amp;$A1724+1)))</f>
        <v/>
      </c>
      <c r="AH1724">
        <f>IF($B1724=0,0,IF(Inputs!$B$10="",0,COUNTIFS(Data!$Q$10:$Q$3209,"&gt;="&amp;$A1724,Data!$Q$10:$Q$3209,"&lt;"&amp;$A1724+1)))</f>
        <v/>
      </c>
    </row>
    <row r="1725">
      <c r="A1725" s="55">
        <f>MIN(Inputs!$C$15,$A1724+IF(WEEKDAY($A1724,2)=5,3,1))</f>
        <v/>
      </c>
      <c r="B1725">
        <f>IF($A1725&gt;$A1724,1,0)</f>
        <v/>
      </c>
      <c r="C1725" s="56">
        <f>IF($B1725=0,"",IF(Inputs!$B$6="","",IF($AD1725=0,C1724,SUMIFS(Data!$B$10:$B$3209,Data!$A$10:$A$3209,"&gt;="&amp;$A1725,Data!$A$10:$A$3209,"&lt;"&amp;$A1725+1)/$AD1725)))</f>
        <v/>
      </c>
      <c r="D1725" s="56">
        <f>IF($B1725=0,"",IF(Inputs!$B$7="","",IF($AE1725=0,D1724,SUMIFS(Data!$F$10:$F$3209,Data!$E$10:$E$3209,"&gt;="&amp;$A1725,Data!$E$10:$E$3209,"&lt;"&amp;$A1725+1)/$AE1725)))</f>
        <v/>
      </c>
      <c r="E1725" s="56">
        <f>IF($B1725=0,"",IF(Inputs!$B$8="","",IF($AF1725=0,E1724,SUMIFS(Data!$J$10:$J$3209,Data!$I$10:$I$3209,"&gt;="&amp;$A1725,Data!$I$10:$I$3209,"&lt;"&amp;$A1725+1)/$AF1725)))</f>
        <v/>
      </c>
      <c r="F1725" s="56">
        <f>IF($B1725=0,"",IF(Inputs!$B$9="","",IF($AG1725=0,F1724,SUMIFS(Data!$N$10:$N$3209,Data!$M$10:$M$3209,"&gt;="&amp;$A1725,Data!$M$10:$M$3209,"&lt;"&amp;$A1725+1)/$AG1725)))</f>
        <v/>
      </c>
      <c r="G1725" s="56">
        <f>IF($B1725=0,"",IF(Inputs!$B$10="","",IF($AH1725=0,G1724,SUMIFS(Data!$R$10:$R$3209,Data!$Q$10:$Q$3209,"&gt;="&amp;$A1725,Data!$Q$10:$Q$3209,"&lt;"&amp;$A1725+1)/$AH1725)))</f>
        <v/>
      </c>
      <c r="I1725" s="54">
        <f>IF($B1725=0,NA(),IF($C1725="",NA(),IF(C$8="",NA(),IF(N(C$8)=0,NA(),IF(Inputs!$C$17="Rebased to 100",$C1725/C$8*100,$C1725)))))</f>
        <v/>
      </c>
      <c r="J1725" s="54">
        <f>IF($B1725=0,NA(),IF($D1725="",NA(),IF(D$8="",NA(),IF(N(D$8)=0,NA(),IF(Inputs!$C$17="Rebased to 100",$D1725/D$8*100,$D1725)))))</f>
        <v/>
      </c>
      <c r="K1725" s="54">
        <f>IF($B1725=0,NA(),IF($E1725="",NA(),IF(E$8="",NA(),IF(N(E$8)=0,NA(),IF(Inputs!$C$17="Rebased to 100",$E1725/E$8*100,$E1725)))))</f>
        <v/>
      </c>
      <c r="L1725" s="54">
        <f>IF($B1725=0,NA(),IF($F1725="",NA(),IF(F$8="",NA(),IF(N(F$8)=0,NA(),IF(Inputs!$C$17="Rebased to 100",$F1725/F$8*100,$F1725)))))</f>
        <v/>
      </c>
      <c r="M1725" s="54">
        <f>IF($B1725=0,NA(),IF($G1725="",NA(),IF(G$8="",NA(),IF(N(G$8)=0,NA(),IF(Inputs!$C$17="Rebased to 100",$G1725/G$8*100,$G1725)))))</f>
        <v/>
      </c>
      <c r="N1725" s="54">
        <f>IF($B1725=0,NA(),IF(Inputs!$C$18&lt;&gt;"Yes",NA(),IF(COUNT(I1725,J1725,K1725,L1725,M1725)=0,NA(),MIN(I1725,J1725,K1725,L1725,M1725))))</f>
        <v/>
      </c>
      <c r="O1725" s="54">
        <f>IF($B1725=0,NA(),IF(Inputs!$B$24&lt;&gt;"Yes",NA(),Inputs!$D$24*Inputs!$C$35))</f>
        <v/>
      </c>
      <c r="P1725" s="54">
        <f>IF($B1725=0,NA(),IF(Inputs!$B$25&lt;&gt;"Yes",NA(),Inputs!$D$25*Inputs!$C$35))</f>
        <v/>
      </c>
      <c r="Q1725" s="54">
        <f>IF($B1725=0,NA(),IF(Inputs!$B$26&lt;&gt;"Yes",NA(),Inputs!$D$26*Inputs!$C$35))</f>
        <v/>
      </c>
      <c r="R1725" s="54">
        <f>IF($B1725=0,NA(),IF(Inputs!$B$27&lt;&gt;"Yes",NA(),Inputs!$D$27*Inputs!$C$35))</f>
        <v/>
      </c>
      <c r="S1725" s="54">
        <f>IF($B1725=0,NA(),IF(Inputs!$B$28&lt;&gt;"Yes",NA(),Inputs!$D$28*Inputs!$C$35))</f>
        <v/>
      </c>
      <c r="T1725" s="54">
        <f>IF($B1725=0,NA(),IF(Inputs!$B$29&lt;&gt;"Yes",NA(),Inputs!$D$29*Inputs!$C$35))</f>
        <v/>
      </c>
      <c r="AD1725">
        <f>IF($B1725=0,0,IF(Inputs!$B$6="",0,COUNTIFS(Data!$A$10:$A$3209,"&gt;="&amp;$A1725,Data!$A$10:$A$3209,"&lt;"&amp;$A1725+1)))</f>
        <v/>
      </c>
      <c r="AE1725">
        <f>IF($B1725=0,0,IF(Inputs!$B$7="",0,COUNTIFS(Data!$E$10:$E$3209,"&gt;="&amp;$A1725,Data!$E$10:$E$3209,"&lt;"&amp;$A1725+1)))</f>
        <v/>
      </c>
      <c r="AF1725">
        <f>IF($B1725=0,0,IF(Inputs!$B$8="",0,COUNTIFS(Data!$I$10:$I$3209,"&gt;="&amp;$A1725,Data!$I$10:$I$3209,"&lt;"&amp;$A1725+1)))</f>
        <v/>
      </c>
      <c r="AG1725">
        <f>IF($B1725=0,0,IF(Inputs!$B$9="",0,COUNTIFS(Data!$M$10:$M$3209,"&gt;="&amp;$A1725,Data!$M$10:$M$3209,"&lt;"&amp;$A1725+1)))</f>
        <v/>
      </c>
      <c r="AH1725">
        <f>IF($B1725=0,0,IF(Inputs!$B$10="",0,COUNTIFS(Data!$Q$10:$Q$3209,"&gt;="&amp;$A1725,Data!$Q$10:$Q$3209,"&lt;"&amp;$A1725+1)))</f>
        <v/>
      </c>
    </row>
    <row r="1726">
      <c r="A1726" s="55">
        <f>MIN(Inputs!$C$15,$A1725+IF(WEEKDAY($A1725,2)=5,3,1))</f>
        <v/>
      </c>
      <c r="B1726">
        <f>IF($A1726&gt;$A1725,1,0)</f>
        <v/>
      </c>
      <c r="C1726" s="56">
        <f>IF($B1726=0,"",IF(Inputs!$B$6="","",IF($AD1726=0,C1725,SUMIFS(Data!$B$10:$B$3209,Data!$A$10:$A$3209,"&gt;="&amp;$A1726,Data!$A$10:$A$3209,"&lt;"&amp;$A1726+1)/$AD1726)))</f>
        <v/>
      </c>
      <c r="D1726" s="56">
        <f>IF($B1726=0,"",IF(Inputs!$B$7="","",IF($AE1726=0,D1725,SUMIFS(Data!$F$10:$F$3209,Data!$E$10:$E$3209,"&gt;="&amp;$A1726,Data!$E$10:$E$3209,"&lt;"&amp;$A1726+1)/$AE1726)))</f>
        <v/>
      </c>
      <c r="E1726" s="56">
        <f>IF($B1726=0,"",IF(Inputs!$B$8="","",IF($AF1726=0,E1725,SUMIFS(Data!$J$10:$J$3209,Data!$I$10:$I$3209,"&gt;="&amp;$A1726,Data!$I$10:$I$3209,"&lt;"&amp;$A1726+1)/$AF1726)))</f>
        <v/>
      </c>
      <c r="F1726" s="56">
        <f>IF($B1726=0,"",IF(Inputs!$B$9="","",IF($AG1726=0,F1725,SUMIFS(Data!$N$10:$N$3209,Data!$M$10:$M$3209,"&gt;="&amp;$A1726,Data!$M$10:$M$3209,"&lt;"&amp;$A1726+1)/$AG1726)))</f>
        <v/>
      </c>
      <c r="G1726" s="56">
        <f>IF($B1726=0,"",IF(Inputs!$B$10="","",IF($AH1726=0,G1725,SUMIFS(Data!$R$10:$R$3209,Data!$Q$10:$Q$3209,"&gt;="&amp;$A1726,Data!$Q$10:$Q$3209,"&lt;"&amp;$A1726+1)/$AH1726)))</f>
        <v/>
      </c>
      <c r="I1726" s="54">
        <f>IF($B1726=0,NA(),IF($C1726="",NA(),IF(C$8="",NA(),IF(N(C$8)=0,NA(),IF(Inputs!$C$17="Rebased to 100",$C1726/C$8*100,$C1726)))))</f>
        <v/>
      </c>
      <c r="J1726" s="54">
        <f>IF($B1726=0,NA(),IF($D1726="",NA(),IF(D$8="",NA(),IF(N(D$8)=0,NA(),IF(Inputs!$C$17="Rebased to 100",$D1726/D$8*100,$D1726)))))</f>
        <v/>
      </c>
      <c r="K1726" s="54">
        <f>IF($B1726=0,NA(),IF($E1726="",NA(),IF(E$8="",NA(),IF(N(E$8)=0,NA(),IF(Inputs!$C$17="Rebased to 100",$E1726/E$8*100,$E1726)))))</f>
        <v/>
      </c>
      <c r="L1726" s="54">
        <f>IF($B1726=0,NA(),IF($F1726="",NA(),IF(F$8="",NA(),IF(N(F$8)=0,NA(),IF(Inputs!$C$17="Rebased to 100",$F1726/F$8*100,$F1726)))))</f>
        <v/>
      </c>
      <c r="M1726" s="54">
        <f>IF($B1726=0,NA(),IF($G1726="",NA(),IF(G$8="",NA(),IF(N(G$8)=0,NA(),IF(Inputs!$C$17="Rebased to 100",$G1726/G$8*100,$G1726)))))</f>
        <v/>
      </c>
      <c r="N1726" s="54">
        <f>IF($B1726=0,NA(),IF(Inputs!$C$18&lt;&gt;"Yes",NA(),IF(COUNT(I1726,J1726,K1726,L1726,M1726)=0,NA(),MIN(I1726,J1726,K1726,L1726,M1726))))</f>
        <v/>
      </c>
      <c r="O1726" s="54">
        <f>IF($B1726=0,NA(),IF(Inputs!$B$24&lt;&gt;"Yes",NA(),Inputs!$D$24*Inputs!$C$35))</f>
        <v/>
      </c>
      <c r="P1726" s="54">
        <f>IF($B1726=0,NA(),IF(Inputs!$B$25&lt;&gt;"Yes",NA(),Inputs!$D$25*Inputs!$C$35))</f>
        <v/>
      </c>
      <c r="Q1726" s="54">
        <f>IF($B1726=0,NA(),IF(Inputs!$B$26&lt;&gt;"Yes",NA(),Inputs!$D$26*Inputs!$C$35))</f>
        <v/>
      </c>
      <c r="R1726" s="54">
        <f>IF($B1726=0,NA(),IF(Inputs!$B$27&lt;&gt;"Yes",NA(),Inputs!$D$27*Inputs!$C$35))</f>
        <v/>
      </c>
      <c r="S1726" s="54">
        <f>IF($B1726=0,NA(),IF(Inputs!$B$28&lt;&gt;"Yes",NA(),Inputs!$D$28*Inputs!$C$35))</f>
        <v/>
      </c>
      <c r="T1726" s="54">
        <f>IF($B1726=0,NA(),IF(Inputs!$B$29&lt;&gt;"Yes",NA(),Inputs!$D$29*Inputs!$C$35))</f>
        <v/>
      </c>
      <c r="AD1726">
        <f>IF($B1726=0,0,IF(Inputs!$B$6="",0,COUNTIFS(Data!$A$10:$A$3209,"&gt;="&amp;$A1726,Data!$A$10:$A$3209,"&lt;"&amp;$A1726+1)))</f>
        <v/>
      </c>
      <c r="AE1726">
        <f>IF($B1726=0,0,IF(Inputs!$B$7="",0,COUNTIFS(Data!$E$10:$E$3209,"&gt;="&amp;$A1726,Data!$E$10:$E$3209,"&lt;"&amp;$A1726+1)))</f>
        <v/>
      </c>
      <c r="AF1726">
        <f>IF($B1726=0,0,IF(Inputs!$B$8="",0,COUNTIFS(Data!$I$10:$I$3209,"&gt;="&amp;$A1726,Data!$I$10:$I$3209,"&lt;"&amp;$A1726+1)))</f>
        <v/>
      </c>
      <c r="AG1726">
        <f>IF($B1726=0,0,IF(Inputs!$B$9="",0,COUNTIFS(Data!$M$10:$M$3209,"&gt;="&amp;$A1726,Data!$M$10:$M$3209,"&lt;"&amp;$A1726+1)))</f>
        <v/>
      </c>
      <c r="AH1726">
        <f>IF($B1726=0,0,IF(Inputs!$B$10="",0,COUNTIFS(Data!$Q$10:$Q$3209,"&gt;="&amp;$A1726,Data!$Q$10:$Q$3209,"&lt;"&amp;$A1726+1)))</f>
        <v/>
      </c>
    </row>
    <row r="1727">
      <c r="A1727" s="55">
        <f>MIN(Inputs!$C$15,$A1726+IF(WEEKDAY($A1726,2)=5,3,1))</f>
        <v/>
      </c>
      <c r="B1727">
        <f>IF($A1727&gt;$A1726,1,0)</f>
        <v/>
      </c>
      <c r="C1727" s="56">
        <f>IF($B1727=0,"",IF(Inputs!$B$6="","",IF($AD1727=0,C1726,SUMIFS(Data!$B$10:$B$3209,Data!$A$10:$A$3209,"&gt;="&amp;$A1727,Data!$A$10:$A$3209,"&lt;"&amp;$A1727+1)/$AD1727)))</f>
        <v/>
      </c>
      <c r="D1727" s="56">
        <f>IF($B1727=0,"",IF(Inputs!$B$7="","",IF($AE1727=0,D1726,SUMIFS(Data!$F$10:$F$3209,Data!$E$10:$E$3209,"&gt;="&amp;$A1727,Data!$E$10:$E$3209,"&lt;"&amp;$A1727+1)/$AE1727)))</f>
        <v/>
      </c>
      <c r="E1727" s="56">
        <f>IF($B1727=0,"",IF(Inputs!$B$8="","",IF($AF1727=0,E1726,SUMIFS(Data!$J$10:$J$3209,Data!$I$10:$I$3209,"&gt;="&amp;$A1727,Data!$I$10:$I$3209,"&lt;"&amp;$A1727+1)/$AF1727)))</f>
        <v/>
      </c>
      <c r="F1727" s="56">
        <f>IF($B1727=0,"",IF(Inputs!$B$9="","",IF($AG1727=0,F1726,SUMIFS(Data!$N$10:$N$3209,Data!$M$10:$M$3209,"&gt;="&amp;$A1727,Data!$M$10:$M$3209,"&lt;"&amp;$A1727+1)/$AG1727)))</f>
        <v/>
      </c>
      <c r="G1727" s="56">
        <f>IF($B1727=0,"",IF(Inputs!$B$10="","",IF($AH1727=0,G1726,SUMIFS(Data!$R$10:$R$3209,Data!$Q$10:$Q$3209,"&gt;="&amp;$A1727,Data!$Q$10:$Q$3209,"&lt;"&amp;$A1727+1)/$AH1727)))</f>
        <v/>
      </c>
      <c r="I1727" s="54">
        <f>IF($B1727=0,NA(),IF($C1727="",NA(),IF(C$8="",NA(),IF(N(C$8)=0,NA(),IF(Inputs!$C$17="Rebased to 100",$C1727/C$8*100,$C1727)))))</f>
        <v/>
      </c>
      <c r="J1727" s="54">
        <f>IF($B1727=0,NA(),IF($D1727="",NA(),IF(D$8="",NA(),IF(N(D$8)=0,NA(),IF(Inputs!$C$17="Rebased to 100",$D1727/D$8*100,$D1727)))))</f>
        <v/>
      </c>
      <c r="K1727" s="54">
        <f>IF($B1727=0,NA(),IF($E1727="",NA(),IF(E$8="",NA(),IF(N(E$8)=0,NA(),IF(Inputs!$C$17="Rebased to 100",$E1727/E$8*100,$E1727)))))</f>
        <v/>
      </c>
      <c r="L1727" s="54">
        <f>IF($B1727=0,NA(),IF($F1727="",NA(),IF(F$8="",NA(),IF(N(F$8)=0,NA(),IF(Inputs!$C$17="Rebased to 100",$F1727/F$8*100,$F1727)))))</f>
        <v/>
      </c>
      <c r="M1727" s="54">
        <f>IF($B1727=0,NA(),IF($G1727="",NA(),IF(G$8="",NA(),IF(N(G$8)=0,NA(),IF(Inputs!$C$17="Rebased to 100",$G1727/G$8*100,$G1727)))))</f>
        <v/>
      </c>
      <c r="N1727" s="54">
        <f>IF($B1727=0,NA(),IF(Inputs!$C$18&lt;&gt;"Yes",NA(),IF(COUNT(I1727,J1727,K1727,L1727,M1727)=0,NA(),MIN(I1727,J1727,K1727,L1727,M1727))))</f>
        <v/>
      </c>
      <c r="O1727" s="54">
        <f>IF($B1727=0,NA(),IF(Inputs!$B$24&lt;&gt;"Yes",NA(),Inputs!$D$24*Inputs!$C$35))</f>
        <v/>
      </c>
      <c r="P1727" s="54">
        <f>IF($B1727=0,NA(),IF(Inputs!$B$25&lt;&gt;"Yes",NA(),Inputs!$D$25*Inputs!$C$35))</f>
        <v/>
      </c>
      <c r="Q1727" s="54">
        <f>IF($B1727=0,NA(),IF(Inputs!$B$26&lt;&gt;"Yes",NA(),Inputs!$D$26*Inputs!$C$35))</f>
        <v/>
      </c>
      <c r="R1727" s="54">
        <f>IF($B1727=0,NA(),IF(Inputs!$B$27&lt;&gt;"Yes",NA(),Inputs!$D$27*Inputs!$C$35))</f>
        <v/>
      </c>
      <c r="S1727" s="54">
        <f>IF($B1727=0,NA(),IF(Inputs!$B$28&lt;&gt;"Yes",NA(),Inputs!$D$28*Inputs!$C$35))</f>
        <v/>
      </c>
      <c r="T1727" s="54">
        <f>IF($B1727=0,NA(),IF(Inputs!$B$29&lt;&gt;"Yes",NA(),Inputs!$D$29*Inputs!$C$35))</f>
        <v/>
      </c>
      <c r="AD1727">
        <f>IF($B1727=0,0,IF(Inputs!$B$6="",0,COUNTIFS(Data!$A$10:$A$3209,"&gt;="&amp;$A1727,Data!$A$10:$A$3209,"&lt;"&amp;$A1727+1)))</f>
        <v/>
      </c>
      <c r="AE1727">
        <f>IF($B1727=0,0,IF(Inputs!$B$7="",0,COUNTIFS(Data!$E$10:$E$3209,"&gt;="&amp;$A1727,Data!$E$10:$E$3209,"&lt;"&amp;$A1727+1)))</f>
        <v/>
      </c>
      <c r="AF1727">
        <f>IF($B1727=0,0,IF(Inputs!$B$8="",0,COUNTIFS(Data!$I$10:$I$3209,"&gt;="&amp;$A1727,Data!$I$10:$I$3209,"&lt;"&amp;$A1727+1)))</f>
        <v/>
      </c>
      <c r="AG1727">
        <f>IF($B1727=0,0,IF(Inputs!$B$9="",0,COUNTIFS(Data!$M$10:$M$3209,"&gt;="&amp;$A1727,Data!$M$10:$M$3209,"&lt;"&amp;$A1727+1)))</f>
        <v/>
      </c>
      <c r="AH1727">
        <f>IF($B1727=0,0,IF(Inputs!$B$10="",0,COUNTIFS(Data!$Q$10:$Q$3209,"&gt;="&amp;$A1727,Data!$Q$10:$Q$3209,"&lt;"&amp;$A1727+1)))</f>
        <v/>
      </c>
    </row>
    <row r="1728">
      <c r="A1728" s="55">
        <f>MIN(Inputs!$C$15,$A1727+IF(WEEKDAY($A1727,2)=5,3,1))</f>
        <v/>
      </c>
      <c r="B1728">
        <f>IF($A1728&gt;$A1727,1,0)</f>
        <v/>
      </c>
      <c r="C1728" s="56">
        <f>IF($B1728=0,"",IF(Inputs!$B$6="","",IF($AD1728=0,C1727,SUMIFS(Data!$B$10:$B$3209,Data!$A$10:$A$3209,"&gt;="&amp;$A1728,Data!$A$10:$A$3209,"&lt;"&amp;$A1728+1)/$AD1728)))</f>
        <v/>
      </c>
      <c r="D1728" s="56">
        <f>IF($B1728=0,"",IF(Inputs!$B$7="","",IF($AE1728=0,D1727,SUMIFS(Data!$F$10:$F$3209,Data!$E$10:$E$3209,"&gt;="&amp;$A1728,Data!$E$10:$E$3209,"&lt;"&amp;$A1728+1)/$AE1728)))</f>
        <v/>
      </c>
      <c r="E1728" s="56">
        <f>IF($B1728=0,"",IF(Inputs!$B$8="","",IF($AF1728=0,E1727,SUMIFS(Data!$J$10:$J$3209,Data!$I$10:$I$3209,"&gt;="&amp;$A1728,Data!$I$10:$I$3209,"&lt;"&amp;$A1728+1)/$AF1728)))</f>
        <v/>
      </c>
      <c r="F1728" s="56">
        <f>IF($B1728=0,"",IF(Inputs!$B$9="","",IF($AG1728=0,F1727,SUMIFS(Data!$N$10:$N$3209,Data!$M$10:$M$3209,"&gt;="&amp;$A1728,Data!$M$10:$M$3209,"&lt;"&amp;$A1728+1)/$AG1728)))</f>
        <v/>
      </c>
      <c r="G1728" s="56">
        <f>IF($B1728=0,"",IF(Inputs!$B$10="","",IF($AH1728=0,G1727,SUMIFS(Data!$R$10:$R$3209,Data!$Q$10:$Q$3209,"&gt;="&amp;$A1728,Data!$Q$10:$Q$3209,"&lt;"&amp;$A1728+1)/$AH1728)))</f>
        <v/>
      </c>
      <c r="I1728" s="54">
        <f>IF($B1728=0,NA(),IF($C1728="",NA(),IF(C$8="",NA(),IF(N(C$8)=0,NA(),IF(Inputs!$C$17="Rebased to 100",$C1728/C$8*100,$C1728)))))</f>
        <v/>
      </c>
      <c r="J1728" s="54">
        <f>IF($B1728=0,NA(),IF($D1728="",NA(),IF(D$8="",NA(),IF(N(D$8)=0,NA(),IF(Inputs!$C$17="Rebased to 100",$D1728/D$8*100,$D1728)))))</f>
        <v/>
      </c>
      <c r="K1728" s="54">
        <f>IF($B1728=0,NA(),IF($E1728="",NA(),IF(E$8="",NA(),IF(N(E$8)=0,NA(),IF(Inputs!$C$17="Rebased to 100",$E1728/E$8*100,$E1728)))))</f>
        <v/>
      </c>
      <c r="L1728" s="54">
        <f>IF($B1728=0,NA(),IF($F1728="",NA(),IF(F$8="",NA(),IF(N(F$8)=0,NA(),IF(Inputs!$C$17="Rebased to 100",$F1728/F$8*100,$F1728)))))</f>
        <v/>
      </c>
      <c r="M1728" s="54">
        <f>IF($B1728=0,NA(),IF($G1728="",NA(),IF(G$8="",NA(),IF(N(G$8)=0,NA(),IF(Inputs!$C$17="Rebased to 100",$G1728/G$8*100,$G1728)))))</f>
        <v/>
      </c>
      <c r="N1728" s="54">
        <f>IF($B1728=0,NA(),IF(Inputs!$C$18&lt;&gt;"Yes",NA(),IF(COUNT(I1728,J1728,K1728,L1728,M1728)=0,NA(),MIN(I1728,J1728,K1728,L1728,M1728))))</f>
        <v/>
      </c>
      <c r="O1728" s="54">
        <f>IF($B1728=0,NA(),IF(Inputs!$B$24&lt;&gt;"Yes",NA(),Inputs!$D$24*Inputs!$C$35))</f>
        <v/>
      </c>
      <c r="P1728" s="54">
        <f>IF($B1728=0,NA(),IF(Inputs!$B$25&lt;&gt;"Yes",NA(),Inputs!$D$25*Inputs!$C$35))</f>
        <v/>
      </c>
      <c r="Q1728" s="54">
        <f>IF($B1728=0,NA(),IF(Inputs!$B$26&lt;&gt;"Yes",NA(),Inputs!$D$26*Inputs!$C$35))</f>
        <v/>
      </c>
      <c r="R1728" s="54">
        <f>IF($B1728=0,NA(),IF(Inputs!$B$27&lt;&gt;"Yes",NA(),Inputs!$D$27*Inputs!$C$35))</f>
        <v/>
      </c>
      <c r="S1728" s="54">
        <f>IF($B1728=0,NA(),IF(Inputs!$B$28&lt;&gt;"Yes",NA(),Inputs!$D$28*Inputs!$C$35))</f>
        <v/>
      </c>
      <c r="T1728" s="54">
        <f>IF($B1728=0,NA(),IF(Inputs!$B$29&lt;&gt;"Yes",NA(),Inputs!$D$29*Inputs!$C$35))</f>
        <v/>
      </c>
      <c r="AD1728">
        <f>IF($B1728=0,0,IF(Inputs!$B$6="",0,COUNTIFS(Data!$A$10:$A$3209,"&gt;="&amp;$A1728,Data!$A$10:$A$3209,"&lt;"&amp;$A1728+1)))</f>
        <v/>
      </c>
      <c r="AE1728">
        <f>IF($B1728=0,0,IF(Inputs!$B$7="",0,COUNTIFS(Data!$E$10:$E$3209,"&gt;="&amp;$A1728,Data!$E$10:$E$3209,"&lt;"&amp;$A1728+1)))</f>
        <v/>
      </c>
      <c r="AF1728">
        <f>IF($B1728=0,0,IF(Inputs!$B$8="",0,COUNTIFS(Data!$I$10:$I$3209,"&gt;="&amp;$A1728,Data!$I$10:$I$3209,"&lt;"&amp;$A1728+1)))</f>
        <v/>
      </c>
      <c r="AG1728">
        <f>IF($B1728=0,0,IF(Inputs!$B$9="",0,COUNTIFS(Data!$M$10:$M$3209,"&gt;="&amp;$A1728,Data!$M$10:$M$3209,"&lt;"&amp;$A1728+1)))</f>
        <v/>
      </c>
      <c r="AH1728">
        <f>IF($B1728=0,0,IF(Inputs!$B$10="",0,COUNTIFS(Data!$Q$10:$Q$3209,"&gt;="&amp;$A1728,Data!$Q$10:$Q$3209,"&lt;"&amp;$A1728+1)))</f>
        <v/>
      </c>
    </row>
    <row r="1729">
      <c r="A1729" s="55">
        <f>MIN(Inputs!$C$15,$A1728+IF(WEEKDAY($A1728,2)=5,3,1))</f>
        <v/>
      </c>
      <c r="B1729">
        <f>IF($A1729&gt;$A1728,1,0)</f>
        <v/>
      </c>
      <c r="C1729" s="56">
        <f>IF($B1729=0,"",IF(Inputs!$B$6="","",IF($AD1729=0,C1728,SUMIFS(Data!$B$10:$B$3209,Data!$A$10:$A$3209,"&gt;="&amp;$A1729,Data!$A$10:$A$3209,"&lt;"&amp;$A1729+1)/$AD1729)))</f>
        <v/>
      </c>
      <c r="D1729" s="56">
        <f>IF($B1729=0,"",IF(Inputs!$B$7="","",IF($AE1729=0,D1728,SUMIFS(Data!$F$10:$F$3209,Data!$E$10:$E$3209,"&gt;="&amp;$A1729,Data!$E$10:$E$3209,"&lt;"&amp;$A1729+1)/$AE1729)))</f>
        <v/>
      </c>
      <c r="E1729" s="56">
        <f>IF($B1729=0,"",IF(Inputs!$B$8="","",IF($AF1729=0,E1728,SUMIFS(Data!$J$10:$J$3209,Data!$I$10:$I$3209,"&gt;="&amp;$A1729,Data!$I$10:$I$3209,"&lt;"&amp;$A1729+1)/$AF1729)))</f>
        <v/>
      </c>
      <c r="F1729" s="56">
        <f>IF($B1729=0,"",IF(Inputs!$B$9="","",IF($AG1729=0,F1728,SUMIFS(Data!$N$10:$N$3209,Data!$M$10:$M$3209,"&gt;="&amp;$A1729,Data!$M$10:$M$3209,"&lt;"&amp;$A1729+1)/$AG1729)))</f>
        <v/>
      </c>
      <c r="G1729" s="56">
        <f>IF($B1729=0,"",IF(Inputs!$B$10="","",IF($AH1729=0,G1728,SUMIFS(Data!$R$10:$R$3209,Data!$Q$10:$Q$3209,"&gt;="&amp;$A1729,Data!$Q$10:$Q$3209,"&lt;"&amp;$A1729+1)/$AH1729)))</f>
        <v/>
      </c>
      <c r="I1729" s="54">
        <f>IF($B1729=0,NA(),IF($C1729="",NA(),IF(C$8="",NA(),IF(N(C$8)=0,NA(),IF(Inputs!$C$17="Rebased to 100",$C1729/C$8*100,$C1729)))))</f>
        <v/>
      </c>
      <c r="J1729" s="54">
        <f>IF($B1729=0,NA(),IF($D1729="",NA(),IF(D$8="",NA(),IF(N(D$8)=0,NA(),IF(Inputs!$C$17="Rebased to 100",$D1729/D$8*100,$D1729)))))</f>
        <v/>
      </c>
      <c r="K1729" s="54">
        <f>IF($B1729=0,NA(),IF($E1729="",NA(),IF(E$8="",NA(),IF(N(E$8)=0,NA(),IF(Inputs!$C$17="Rebased to 100",$E1729/E$8*100,$E1729)))))</f>
        <v/>
      </c>
      <c r="L1729" s="54">
        <f>IF($B1729=0,NA(),IF($F1729="",NA(),IF(F$8="",NA(),IF(N(F$8)=0,NA(),IF(Inputs!$C$17="Rebased to 100",$F1729/F$8*100,$F1729)))))</f>
        <v/>
      </c>
      <c r="M1729" s="54">
        <f>IF($B1729=0,NA(),IF($G1729="",NA(),IF(G$8="",NA(),IF(N(G$8)=0,NA(),IF(Inputs!$C$17="Rebased to 100",$G1729/G$8*100,$G1729)))))</f>
        <v/>
      </c>
      <c r="N1729" s="54">
        <f>IF($B1729=0,NA(),IF(Inputs!$C$18&lt;&gt;"Yes",NA(),IF(COUNT(I1729,J1729,K1729,L1729,M1729)=0,NA(),MIN(I1729,J1729,K1729,L1729,M1729))))</f>
        <v/>
      </c>
      <c r="O1729" s="54">
        <f>IF($B1729=0,NA(),IF(Inputs!$B$24&lt;&gt;"Yes",NA(),Inputs!$D$24*Inputs!$C$35))</f>
        <v/>
      </c>
      <c r="P1729" s="54">
        <f>IF($B1729=0,NA(),IF(Inputs!$B$25&lt;&gt;"Yes",NA(),Inputs!$D$25*Inputs!$C$35))</f>
        <v/>
      </c>
      <c r="Q1729" s="54">
        <f>IF($B1729=0,NA(),IF(Inputs!$B$26&lt;&gt;"Yes",NA(),Inputs!$D$26*Inputs!$C$35))</f>
        <v/>
      </c>
      <c r="R1729" s="54">
        <f>IF($B1729=0,NA(),IF(Inputs!$B$27&lt;&gt;"Yes",NA(),Inputs!$D$27*Inputs!$C$35))</f>
        <v/>
      </c>
      <c r="S1729" s="54">
        <f>IF($B1729=0,NA(),IF(Inputs!$B$28&lt;&gt;"Yes",NA(),Inputs!$D$28*Inputs!$C$35))</f>
        <v/>
      </c>
      <c r="T1729" s="54">
        <f>IF($B1729=0,NA(),IF(Inputs!$B$29&lt;&gt;"Yes",NA(),Inputs!$D$29*Inputs!$C$35))</f>
        <v/>
      </c>
      <c r="AD1729">
        <f>IF($B1729=0,0,IF(Inputs!$B$6="",0,COUNTIFS(Data!$A$10:$A$3209,"&gt;="&amp;$A1729,Data!$A$10:$A$3209,"&lt;"&amp;$A1729+1)))</f>
        <v/>
      </c>
      <c r="AE1729">
        <f>IF($B1729=0,0,IF(Inputs!$B$7="",0,COUNTIFS(Data!$E$10:$E$3209,"&gt;="&amp;$A1729,Data!$E$10:$E$3209,"&lt;"&amp;$A1729+1)))</f>
        <v/>
      </c>
      <c r="AF1729">
        <f>IF($B1729=0,0,IF(Inputs!$B$8="",0,COUNTIFS(Data!$I$10:$I$3209,"&gt;="&amp;$A1729,Data!$I$10:$I$3209,"&lt;"&amp;$A1729+1)))</f>
        <v/>
      </c>
      <c r="AG1729">
        <f>IF($B1729=0,0,IF(Inputs!$B$9="",0,COUNTIFS(Data!$M$10:$M$3209,"&gt;="&amp;$A1729,Data!$M$10:$M$3209,"&lt;"&amp;$A1729+1)))</f>
        <v/>
      </c>
      <c r="AH1729">
        <f>IF($B1729=0,0,IF(Inputs!$B$10="",0,COUNTIFS(Data!$Q$10:$Q$3209,"&gt;="&amp;$A1729,Data!$Q$10:$Q$3209,"&lt;"&amp;$A1729+1)))</f>
        <v/>
      </c>
    </row>
    <row r="1730">
      <c r="A1730" s="55">
        <f>MIN(Inputs!$C$15,$A1729+IF(WEEKDAY($A1729,2)=5,3,1))</f>
        <v/>
      </c>
      <c r="B1730">
        <f>IF($A1730&gt;$A1729,1,0)</f>
        <v/>
      </c>
      <c r="C1730" s="56">
        <f>IF($B1730=0,"",IF(Inputs!$B$6="","",IF($AD1730=0,C1729,SUMIFS(Data!$B$10:$B$3209,Data!$A$10:$A$3209,"&gt;="&amp;$A1730,Data!$A$10:$A$3209,"&lt;"&amp;$A1730+1)/$AD1730)))</f>
        <v/>
      </c>
      <c r="D1730" s="56">
        <f>IF($B1730=0,"",IF(Inputs!$B$7="","",IF($AE1730=0,D1729,SUMIFS(Data!$F$10:$F$3209,Data!$E$10:$E$3209,"&gt;="&amp;$A1730,Data!$E$10:$E$3209,"&lt;"&amp;$A1730+1)/$AE1730)))</f>
        <v/>
      </c>
      <c r="E1730" s="56">
        <f>IF($B1730=0,"",IF(Inputs!$B$8="","",IF($AF1730=0,E1729,SUMIFS(Data!$J$10:$J$3209,Data!$I$10:$I$3209,"&gt;="&amp;$A1730,Data!$I$10:$I$3209,"&lt;"&amp;$A1730+1)/$AF1730)))</f>
        <v/>
      </c>
      <c r="F1730" s="56">
        <f>IF($B1730=0,"",IF(Inputs!$B$9="","",IF($AG1730=0,F1729,SUMIFS(Data!$N$10:$N$3209,Data!$M$10:$M$3209,"&gt;="&amp;$A1730,Data!$M$10:$M$3209,"&lt;"&amp;$A1730+1)/$AG1730)))</f>
        <v/>
      </c>
      <c r="G1730" s="56">
        <f>IF($B1730=0,"",IF(Inputs!$B$10="","",IF($AH1730=0,G1729,SUMIFS(Data!$R$10:$R$3209,Data!$Q$10:$Q$3209,"&gt;="&amp;$A1730,Data!$Q$10:$Q$3209,"&lt;"&amp;$A1730+1)/$AH1730)))</f>
        <v/>
      </c>
      <c r="I1730" s="54">
        <f>IF($B1730=0,NA(),IF($C1730="",NA(),IF(C$8="",NA(),IF(N(C$8)=0,NA(),IF(Inputs!$C$17="Rebased to 100",$C1730/C$8*100,$C1730)))))</f>
        <v/>
      </c>
      <c r="J1730" s="54">
        <f>IF($B1730=0,NA(),IF($D1730="",NA(),IF(D$8="",NA(),IF(N(D$8)=0,NA(),IF(Inputs!$C$17="Rebased to 100",$D1730/D$8*100,$D1730)))))</f>
        <v/>
      </c>
      <c r="K1730" s="54">
        <f>IF($B1730=0,NA(),IF($E1730="",NA(),IF(E$8="",NA(),IF(N(E$8)=0,NA(),IF(Inputs!$C$17="Rebased to 100",$E1730/E$8*100,$E1730)))))</f>
        <v/>
      </c>
      <c r="L1730" s="54">
        <f>IF($B1730=0,NA(),IF($F1730="",NA(),IF(F$8="",NA(),IF(N(F$8)=0,NA(),IF(Inputs!$C$17="Rebased to 100",$F1730/F$8*100,$F1730)))))</f>
        <v/>
      </c>
      <c r="M1730" s="54">
        <f>IF($B1730=0,NA(),IF($G1730="",NA(),IF(G$8="",NA(),IF(N(G$8)=0,NA(),IF(Inputs!$C$17="Rebased to 100",$G1730/G$8*100,$G1730)))))</f>
        <v/>
      </c>
      <c r="N1730" s="54">
        <f>IF($B1730=0,NA(),IF(Inputs!$C$18&lt;&gt;"Yes",NA(),IF(COUNT(I1730,J1730,K1730,L1730,M1730)=0,NA(),MIN(I1730,J1730,K1730,L1730,M1730))))</f>
        <v/>
      </c>
      <c r="O1730" s="54">
        <f>IF($B1730=0,NA(),IF(Inputs!$B$24&lt;&gt;"Yes",NA(),Inputs!$D$24*Inputs!$C$35))</f>
        <v/>
      </c>
      <c r="P1730" s="54">
        <f>IF($B1730=0,NA(),IF(Inputs!$B$25&lt;&gt;"Yes",NA(),Inputs!$D$25*Inputs!$C$35))</f>
        <v/>
      </c>
      <c r="Q1730" s="54">
        <f>IF($B1730=0,NA(),IF(Inputs!$B$26&lt;&gt;"Yes",NA(),Inputs!$D$26*Inputs!$C$35))</f>
        <v/>
      </c>
      <c r="R1730" s="54">
        <f>IF($B1730=0,NA(),IF(Inputs!$B$27&lt;&gt;"Yes",NA(),Inputs!$D$27*Inputs!$C$35))</f>
        <v/>
      </c>
      <c r="S1730" s="54">
        <f>IF($B1730=0,NA(),IF(Inputs!$B$28&lt;&gt;"Yes",NA(),Inputs!$D$28*Inputs!$C$35))</f>
        <v/>
      </c>
      <c r="T1730" s="54">
        <f>IF($B1730=0,NA(),IF(Inputs!$B$29&lt;&gt;"Yes",NA(),Inputs!$D$29*Inputs!$C$35))</f>
        <v/>
      </c>
      <c r="AD1730">
        <f>IF($B1730=0,0,IF(Inputs!$B$6="",0,COUNTIFS(Data!$A$10:$A$3209,"&gt;="&amp;$A1730,Data!$A$10:$A$3209,"&lt;"&amp;$A1730+1)))</f>
        <v/>
      </c>
      <c r="AE1730">
        <f>IF($B1730=0,0,IF(Inputs!$B$7="",0,COUNTIFS(Data!$E$10:$E$3209,"&gt;="&amp;$A1730,Data!$E$10:$E$3209,"&lt;"&amp;$A1730+1)))</f>
        <v/>
      </c>
      <c r="AF1730">
        <f>IF($B1730=0,0,IF(Inputs!$B$8="",0,COUNTIFS(Data!$I$10:$I$3209,"&gt;="&amp;$A1730,Data!$I$10:$I$3209,"&lt;"&amp;$A1730+1)))</f>
        <v/>
      </c>
      <c r="AG1730">
        <f>IF($B1730=0,0,IF(Inputs!$B$9="",0,COUNTIFS(Data!$M$10:$M$3209,"&gt;="&amp;$A1730,Data!$M$10:$M$3209,"&lt;"&amp;$A1730+1)))</f>
        <v/>
      </c>
      <c r="AH1730">
        <f>IF($B1730=0,0,IF(Inputs!$B$10="",0,COUNTIFS(Data!$Q$10:$Q$3209,"&gt;="&amp;$A1730,Data!$Q$10:$Q$3209,"&lt;"&amp;$A1730+1)))</f>
        <v/>
      </c>
    </row>
    <row r="1731">
      <c r="A1731" s="55">
        <f>MIN(Inputs!$C$15,$A1730+IF(WEEKDAY($A1730,2)=5,3,1))</f>
        <v/>
      </c>
      <c r="B1731">
        <f>IF($A1731&gt;$A1730,1,0)</f>
        <v/>
      </c>
      <c r="C1731" s="56">
        <f>IF($B1731=0,"",IF(Inputs!$B$6="","",IF($AD1731=0,C1730,SUMIFS(Data!$B$10:$B$3209,Data!$A$10:$A$3209,"&gt;="&amp;$A1731,Data!$A$10:$A$3209,"&lt;"&amp;$A1731+1)/$AD1731)))</f>
        <v/>
      </c>
      <c r="D1731" s="56">
        <f>IF($B1731=0,"",IF(Inputs!$B$7="","",IF($AE1731=0,D1730,SUMIFS(Data!$F$10:$F$3209,Data!$E$10:$E$3209,"&gt;="&amp;$A1731,Data!$E$10:$E$3209,"&lt;"&amp;$A1731+1)/$AE1731)))</f>
        <v/>
      </c>
      <c r="E1731" s="56">
        <f>IF($B1731=0,"",IF(Inputs!$B$8="","",IF($AF1731=0,E1730,SUMIFS(Data!$J$10:$J$3209,Data!$I$10:$I$3209,"&gt;="&amp;$A1731,Data!$I$10:$I$3209,"&lt;"&amp;$A1731+1)/$AF1731)))</f>
        <v/>
      </c>
      <c r="F1731" s="56">
        <f>IF($B1731=0,"",IF(Inputs!$B$9="","",IF($AG1731=0,F1730,SUMIFS(Data!$N$10:$N$3209,Data!$M$10:$M$3209,"&gt;="&amp;$A1731,Data!$M$10:$M$3209,"&lt;"&amp;$A1731+1)/$AG1731)))</f>
        <v/>
      </c>
      <c r="G1731" s="56">
        <f>IF($B1731=0,"",IF(Inputs!$B$10="","",IF($AH1731=0,G1730,SUMIFS(Data!$R$10:$R$3209,Data!$Q$10:$Q$3209,"&gt;="&amp;$A1731,Data!$Q$10:$Q$3209,"&lt;"&amp;$A1731+1)/$AH1731)))</f>
        <v/>
      </c>
      <c r="I1731" s="54">
        <f>IF($B1731=0,NA(),IF($C1731="",NA(),IF(C$8="",NA(),IF(N(C$8)=0,NA(),IF(Inputs!$C$17="Rebased to 100",$C1731/C$8*100,$C1731)))))</f>
        <v/>
      </c>
      <c r="J1731" s="54">
        <f>IF($B1731=0,NA(),IF($D1731="",NA(),IF(D$8="",NA(),IF(N(D$8)=0,NA(),IF(Inputs!$C$17="Rebased to 100",$D1731/D$8*100,$D1731)))))</f>
        <v/>
      </c>
      <c r="K1731" s="54">
        <f>IF($B1731=0,NA(),IF($E1731="",NA(),IF(E$8="",NA(),IF(N(E$8)=0,NA(),IF(Inputs!$C$17="Rebased to 100",$E1731/E$8*100,$E1731)))))</f>
        <v/>
      </c>
      <c r="L1731" s="54">
        <f>IF($B1731=0,NA(),IF($F1731="",NA(),IF(F$8="",NA(),IF(N(F$8)=0,NA(),IF(Inputs!$C$17="Rebased to 100",$F1731/F$8*100,$F1731)))))</f>
        <v/>
      </c>
      <c r="M1731" s="54">
        <f>IF($B1731=0,NA(),IF($G1731="",NA(),IF(G$8="",NA(),IF(N(G$8)=0,NA(),IF(Inputs!$C$17="Rebased to 100",$G1731/G$8*100,$G1731)))))</f>
        <v/>
      </c>
      <c r="N1731" s="54">
        <f>IF($B1731=0,NA(),IF(Inputs!$C$18&lt;&gt;"Yes",NA(),IF(COUNT(I1731,J1731,K1731,L1731,M1731)=0,NA(),MIN(I1731,J1731,K1731,L1731,M1731))))</f>
        <v/>
      </c>
      <c r="O1731" s="54">
        <f>IF($B1731=0,NA(),IF(Inputs!$B$24&lt;&gt;"Yes",NA(),Inputs!$D$24*Inputs!$C$35))</f>
        <v/>
      </c>
      <c r="P1731" s="54">
        <f>IF($B1731=0,NA(),IF(Inputs!$B$25&lt;&gt;"Yes",NA(),Inputs!$D$25*Inputs!$C$35))</f>
        <v/>
      </c>
      <c r="Q1731" s="54">
        <f>IF($B1731=0,NA(),IF(Inputs!$B$26&lt;&gt;"Yes",NA(),Inputs!$D$26*Inputs!$C$35))</f>
        <v/>
      </c>
      <c r="R1731" s="54">
        <f>IF($B1731=0,NA(),IF(Inputs!$B$27&lt;&gt;"Yes",NA(),Inputs!$D$27*Inputs!$C$35))</f>
        <v/>
      </c>
      <c r="S1731" s="54">
        <f>IF($B1731=0,NA(),IF(Inputs!$B$28&lt;&gt;"Yes",NA(),Inputs!$D$28*Inputs!$C$35))</f>
        <v/>
      </c>
      <c r="T1731" s="54">
        <f>IF($B1731=0,NA(),IF(Inputs!$B$29&lt;&gt;"Yes",NA(),Inputs!$D$29*Inputs!$C$35))</f>
        <v/>
      </c>
      <c r="AD1731">
        <f>IF($B1731=0,0,IF(Inputs!$B$6="",0,COUNTIFS(Data!$A$10:$A$3209,"&gt;="&amp;$A1731,Data!$A$10:$A$3209,"&lt;"&amp;$A1731+1)))</f>
        <v/>
      </c>
      <c r="AE1731">
        <f>IF($B1731=0,0,IF(Inputs!$B$7="",0,COUNTIFS(Data!$E$10:$E$3209,"&gt;="&amp;$A1731,Data!$E$10:$E$3209,"&lt;"&amp;$A1731+1)))</f>
        <v/>
      </c>
      <c r="AF1731">
        <f>IF($B1731=0,0,IF(Inputs!$B$8="",0,COUNTIFS(Data!$I$10:$I$3209,"&gt;="&amp;$A1731,Data!$I$10:$I$3209,"&lt;"&amp;$A1731+1)))</f>
        <v/>
      </c>
      <c r="AG1731">
        <f>IF($B1731=0,0,IF(Inputs!$B$9="",0,COUNTIFS(Data!$M$10:$M$3209,"&gt;="&amp;$A1731,Data!$M$10:$M$3209,"&lt;"&amp;$A1731+1)))</f>
        <v/>
      </c>
      <c r="AH1731">
        <f>IF($B1731=0,0,IF(Inputs!$B$10="",0,COUNTIFS(Data!$Q$10:$Q$3209,"&gt;="&amp;$A1731,Data!$Q$10:$Q$3209,"&lt;"&amp;$A1731+1)))</f>
        <v/>
      </c>
    </row>
    <row r="1732">
      <c r="A1732" s="55">
        <f>MIN(Inputs!$C$15,$A1731+IF(WEEKDAY($A1731,2)=5,3,1))</f>
        <v/>
      </c>
      <c r="B1732">
        <f>IF($A1732&gt;$A1731,1,0)</f>
        <v/>
      </c>
      <c r="C1732" s="56">
        <f>IF($B1732=0,"",IF(Inputs!$B$6="","",IF($AD1732=0,C1731,SUMIFS(Data!$B$10:$B$3209,Data!$A$10:$A$3209,"&gt;="&amp;$A1732,Data!$A$10:$A$3209,"&lt;"&amp;$A1732+1)/$AD1732)))</f>
        <v/>
      </c>
      <c r="D1732" s="56">
        <f>IF($B1732=0,"",IF(Inputs!$B$7="","",IF($AE1732=0,D1731,SUMIFS(Data!$F$10:$F$3209,Data!$E$10:$E$3209,"&gt;="&amp;$A1732,Data!$E$10:$E$3209,"&lt;"&amp;$A1732+1)/$AE1732)))</f>
        <v/>
      </c>
      <c r="E1732" s="56">
        <f>IF($B1732=0,"",IF(Inputs!$B$8="","",IF($AF1732=0,E1731,SUMIFS(Data!$J$10:$J$3209,Data!$I$10:$I$3209,"&gt;="&amp;$A1732,Data!$I$10:$I$3209,"&lt;"&amp;$A1732+1)/$AF1732)))</f>
        <v/>
      </c>
      <c r="F1732" s="56">
        <f>IF($B1732=0,"",IF(Inputs!$B$9="","",IF($AG1732=0,F1731,SUMIFS(Data!$N$10:$N$3209,Data!$M$10:$M$3209,"&gt;="&amp;$A1732,Data!$M$10:$M$3209,"&lt;"&amp;$A1732+1)/$AG1732)))</f>
        <v/>
      </c>
      <c r="G1732" s="56">
        <f>IF($B1732=0,"",IF(Inputs!$B$10="","",IF($AH1732=0,G1731,SUMIFS(Data!$R$10:$R$3209,Data!$Q$10:$Q$3209,"&gt;="&amp;$A1732,Data!$Q$10:$Q$3209,"&lt;"&amp;$A1732+1)/$AH1732)))</f>
        <v/>
      </c>
      <c r="I1732" s="54">
        <f>IF($B1732=0,NA(),IF($C1732="",NA(),IF(C$8="",NA(),IF(N(C$8)=0,NA(),IF(Inputs!$C$17="Rebased to 100",$C1732/C$8*100,$C1732)))))</f>
        <v/>
      </c>
      <c r="J1732" s="54">
        <f>IF($B1732=0,NA(),IF($D1732="",NA(),IF(D$8="",NA(),IF(N(D$8)=0,NA(),IF(Inputs!$C$17="Rebased to 100",$D1732/D$8*100,$D1732)))))</f>
        <v/>
      </c>
      <c r="K1732" s="54">
        <f>IF($B1732=0,NA(),IF($E1732="",NA(),IF(E$8="",NA(),IF(N(E$8)=0,NA(),IF(Inputs!$C$17="Rebased to 100",$E1732/E$8*100,$E1732)))))</f>
        <v/>
      </c>
      <c r="L1732" s="54">
        <f>IF($B1732=0,NA(),IF($F1732="",NA(),IF(F$8="",NA(),IF(N(F$8)=0,NA(),IF(Inputs!$C$17="Rebased to 100",$F1732/F$8*100,$F1732)))))</f>
        <v/>
      </c>
      <c r="M1732" s="54">
        <f>IF($B1732=0,NA(),IF($G1732="",NA(),IF(G$8="",NA(),IF(N(G$8)=0,NA(),IF(Inputs!$C$17="Rebased to 100",$G1732/G$8*100,$G1732)))))</f>
        <v/>
      </c>
      <c r="N1732" s="54">
        <f>IF($B1732=0,NA(),IF(Inputs!$C$18&lt;&gt;"Yes",NA(),IF(COUNT(I1732,J1732,K1732,L1732,M1732)=0,NA(),MIN(I1732,J1732,K1732,L1732,M1732))))</f>
        <v/>
      </c>
      <c r="O1732" s="54">
        <f>IF($B1732=0,NA(),IF(Inputs!$B$24&lt;&gt;"Yes",NA(),Inputs!$D$24*Inputs!$C$35))</f>
        <v/>
      </c>
      <c r="P1732" s="54">
        <f>IF($B1732=0,NA(),IF(Inputs!$B$25&lt;&gt;"Yes",NA(),Inputs!$D$25*Inputs!$C$35))</f>
        <v/>
      </c>
      <c r="Q1732" s="54">
        <f>IF($B1732=0,NA(),IF(Inputs!$B$26&lt;&gt;"Yes",NA(),Inputs!$D$26*Inputs!$C$35))</f>
        <v/>
      </c>
      <c r="R1732" s="54">
        <f>IF($B1732=0,NA(),IF(Inputs!$B$27&lt;&gt;"Yes",NA(),Inputs!$D$27*Inputs!$C$35))</f>
        <v/>
      </c>
      <c r="S1732" s="54">
        <f>IF($B1732=0,NA(),IF(Inputs!$B$28&lt;&gt;"Yes",NA(),Inputs!$D$28*Inputs!$C$35))</f>
        <v/>
      </c>
      <c r="T1732" s="54">
        <f>IF($B1732=0,NA(),IF(Inputs!$B$29&lt;&gt;"Yes",NA(),Inputs!$D$29*Inputs!$C$35))</f>
        <v/>
      </c>
      <c r="AD1732">
        <f>IF($B1732=0,0,IF(Inputs!$B$6="",0,COUNTIFS(Data!$A$10:$A$3209,"&gt;="&amp;$A1732,Data!$A$10:$A$3209,"&lt;"&amp;$A1732+1)))</f>
        <v/>
      </c>
      <c r="AE1732">
        <f>IF($B1732=0,0,IF(Inputs!$B$7="",0,COUNTIFS(Data!$E$10:$E$3209,"&gt;="&amp;$A1732,Data!$E$10:$E$3209,"&lt;"&amp;$A1732+1)))</f>
        <v/>
      </c>
      <c r="AF1732">
        <f>IF($B1732=0,0,IF(Inputs!$B$8="",0,COUNTIFS(Data!$I$10:$I$3209,"&gt;="&amp;$A1732,Data!$I$10:$I$3209,"&lt;"&amp;$A1732+1)))</f>
        <v/>
      </c>
      <c r="AG1732">
        <f>IF($B1732=0,0,IF(Inputs!$B$9="",0,COUNTIFS(Data!$M$10:$M$3209,"&gt;="&amp;$A1732,Data!$M$10:$M$3209,"&lt;"&amp;$A1732+1)))</f>
        <v/>
      </c>
      <c r="AH1732">
        <f>IF($B1732=0,0,IF(Inputs!$B$10="",0,COUNTIFS(Data!$Q$10:$Q$3209,"&gt;="&amp;$A1732,Data!$Q$10:$Q$3209,"&lt;"&amp;$A1732+1)))</f>
        <v/>
      </c>
    </row>
    <row r="1733">
      <c r="A1733" s="55">
        <f>MIN(Inputs!$C$15,$A1732+IF(WEEKDAY($A1732,2)=5,3,1))</f>
        <v/>
      </c>
      <c r="B1733">
        <f>IF($A1733&gt;$A1732,1,0)</f>
        <v/>
      </c>
      <c r="C1733" s="56">
        <f>IF($B1733=0,"",IF(Inputs!$B$6="","",IF($AD1733=0,C1732,SUMIFS(Data!$B$10:$B$3209,Data!$A$10:$A$3209,"&gt;="&amp;$A1733,Data!$A$10:$A$3209,"&lt;"&amp;$A1733+1)/$AD1733)))</f>
        <v/>
      </c>
      <c r="D1733" s="56">
        <f>IF($B1733=0,"",IF(Inputs!$B$7="","",IF($AE1733=0,D1732,SUMIFS(Data!$F$10:$F$3209,Data!$E$10:$E$3209,"&gt;="&amp;$A1733,Data!$E$10:$E$3209,"&lt;"&amp;$A1733+1)/$AE1733)))</f>
        <v/>
      </c>
      <c r="E1733" s="56">
        <f>IF($B1733=0,"",IF(Inputs!$B$8="","",IF($AF1733=0,E1732,SUMIFS(Data!$J$10:$J$3209,Data!$I$10:$I$3209,"&gt;="&amp;$A1733,Data!$I$10:$I$3209,"&lt;"&amp;$A1733+1)/$AF1733)))</f>
        <v/>
      </c>
      <c r="F1733" s="56">
        <f>IF($B1733=0,"",IF(Inputs!$B$9="","",IF($AG1733=0,F1732,SUMIFS(Data!$N$10:$N$3209,Data!$M$10:$M$3209,"&gt;="&amp;$A1733,Data!$M$10:$M$3209,"&lt;"&amp;$A1733+1)/$AG1733)))</f>
        <v/>
      </c>
      <c r="G1733" s="56">
        <f>IF($B1733=0,"",IF(Inputs!$B$10="","",IF($AH1733=0,G1732,SUMIFS(Data!$R$10:$R$3209,Data!$Q$10:$Q$3209,"&gt;="&amp;$A1733,Data!$Q$10:$Q$3209,"&lt;"&amp;$A1733+1)/$AH1733)))</f>
        <v/>
      </c>
      <c r="I1733" s="54">
        <f>IF($B1733=0,NA(),IF($C1733="",NA(),IF(C$8="",NA(),IF(N(C$8)=0,NA(),IF(Inputs!$C$17="Rebased to 100",$C1733/C$8*100,$C1733)))))</f>
        <v/>
      </c>
      <c r="J1733" s="54">
        <f>IF($B1733=0,NA(),IF($D1733="",NA(),IF(D$8="",NA(),IF(N(D$8)=0,NA(),IF(Inputs!$C$17="Rebased to 100",$D1733/D$8*100,$D1733)))))</f>
        <v/>
      </c>
      <c r="K1733" s="54">
        <f>IF($B1733=0,NA(),IF($E1733="",NA(),IF(E$8="",NA(),IF(N(E$8)=0,NA(),IF(Inputs!$C$17="Rebased to 100",$E1733/E$8*100,$E1733)))))</f>
        <v/>
      </c>
      <c r="L1733" s="54">
        <f>IF($B1733=0,NA(),IF($F1733="",NA(),IF(F$8="",NA(),IF(N(F$8)=0,NA(),IF(Inputs!$C$17="Rebased to 100",$F1733/F$8*100,$F1733)))))</f>
        <v/>
      </c>
      <c r="M1733" s="54">
        <f>IF($B1733=0,NA(),IF($G1733="",NA(),IF(G$8="",NA(),IF(N(G$8)=0,NA(),IF(Inputs!$C$17="Rebased to 100",$G1733/G$8*100,$G1733)))))</f>
        <v/>
      </c>
      <c r="N1733" s="54">
        <f>IF($B1733=0,NA(),IF(Inputs!$C$18&lt;&gt;"Yes",NA(),IF(COUNT(I1733,J1733,K1733,L1733,M1733)=0,NA(),MIN(I1733,J1733,K1733,L1733,M1733))))</f>
        <v/>
      </c>
      <c r="O1733" s="54">
        <f>IF($B1733=0,NA(),IF(Inputs!$B$24&lt;&gt;"Yes",NA(),Inputs!$D$24*Inputs!$C$35))</f>
        <v/>
      </c>
      <c r="P1733" s="54">
        <f>IF($B1733=0,NA(),IF(Inputs!$B$25&lt;&gt;"Yes",NA(),Inputs!$D$25*Inputs!$C$35))</f>
        <v/>
      </c>
      <c r="Q1733" s="54">
        <f>IF($B1733=0,NA(),IF(Inputs!$B$26&lt;&gt;"Yes",NA(),Inputs!$D$26*Inputs!$C$35))</f>
        <v/>
      </c>
      <c r="R1733" s="54">
        <f>IF($B1733=0,NA(),IF(Inputs!$B$27&lt;&gt;"Yes",NA(),Inputs!$D$27*Inputs!$C$35))</f>
        <v/>
      </c>
      <c r="S1733" s="54">
        <f>IF($B1733=0,NA(),IF(Inputs!$B$28&lt;&gt;"Yes",NA(),Inputs!$D$28*Inputs!$C$35))</f>
        <v/>
      </c>
      <c r="T1733" s="54">
        <f>IF($B1733=0,NA(),IF(Inputs!$B$29&lt;&gt;"Yes",NA(),Inputs!$D$29*Inputs!$C$35))</f>
        <v/>
      </c>
      <c r="AD1733">
        <f>IF($B1733=0,0,IF(Inputs!$B$6="",0,COUNTIFS(Data!$A$10:$A$3209,"&gt;="&amp;$A1733,Data!$A$10:$A$3209,"&lt;"&amp;$A1733+1)))</f>
        <v/>
      </c>
      <c r="AE1733">
        <f>IF($B1733=0,0,IF(Inputs!$B$7="",0,COUNTIFS(Data!$E$10:$E$3209,"&gt;="&amp;$A1733,Data!$E$10:$E$3209,"&lt;"&amp;$A1733+1)))</f>
        <v/>
      </c>
      <c r="AF1733">
        <f>IF($B1733=0,0,IF(Inputs!$B$8="",0,COUNTIFS(Data!$I$10:$I$3209,"&gt;="&amp;$A1733,Data!$I$10:$I$3209,"&lt;"&amp;$A1733+1)))</f>
        <v/>
      </c>
      <c r="AG1733">
        <f>IF($B1733=0,0,IF(Inputs!$B$9="",0,COUNTIFS(Data!$M$10:$M$3209,"&gt;="&amp;$A1733,Data!$M$10:$M$3209,"&lt;"&amp;$A1733+1)))</f>
        <v/>
      </c>
      <c r="AH1733">
        <f>IF($B1733=0,0,IF(Inputs!$B$10="",0,COUNTIFS(Data!$Q$10:$Q$3209,"&gt;="&amp;$A1733,Data!$Q$10:$Q$3209,"&lt;"&amp;$A1733+1)))</f>
        <v/>
      </c>
    </row>
    <row r="1734">
      <c r="A1734" s="55">
        <f>MIN(Inputs!$C$15,$A1733+IF(WEEKDAY($A1733,2)=5,3,1))</f>
        <v/>
      </c>
      <c r="B1734">
        <f>IF($A1734&gt;$A1733,1,0)</f>
        <v/>
      </c>
      <c r="C1734" s="56">
        <f>IF($B1734=0,"",IF(Inputs!$B$6="","",IF($AD1734=0,C1733,SUMIFS(Data!$B$10:$B$3209,Data!$A$10:$A$3209,"&gt;="&amp;$A1734,Data!$A$10:$A$3209,"&lt;"&amp;$A1734+1)/$AD1734)))</f>
        <v/>
      </c>
      <c r="D1734" s="56">
        <f>IF($B1734=0,"",IF(Inputs!$B$7="","",IF($AE1734=0,D1733,SUMIFS(Data!$F$10:$F$3209,Data!$E$10:$E$3209,"&gt;="&amp;$A1734,Data!$E$10:$E$3209,"&lt;"&amp;$A1734+1)/$AE1734)))</f>
        <v/>
      </c>
      <c r="E1734" s="56">
        <f>IF($B1734=0,"",IF(Inputs!$B$8="","",IF($AF1734=0,E1733,SUMIFS(Data!$J$10:$J$3209,Data!$I$10:$I$3209,"&gt;="&amp;$A1734,Data!$I$10:$I$3209,"&lt;"&amp;$A1734+1)/$AF1734)))</f>
        <v/>
      </c>
      <c r="F1734" s="56">
        <f>IF($B1734=0,"",IF(Inputs!$B$9="","",IF($AG1734=0,F1733,SUMIFS(Data!$N$10:$N$3209,Data!$M$10:$M$3209,"&gt;="&amp;$A1734,Data!$M$10:$M$3209,"&lt;"&amp;$A1734+1)/$AG1734)))</f>
        <v/>
      </c>
      <c r="G1734" s="56">
        <f>IF($B1734=0,"",IF(Inputs!$B$10="","",IF($AH1734=0,G1733,SUMIFS(Data!$R$10:$R$3209,Data!$Q$10:$Q$3209,"&gt;="&amp;$A1734,Data!$Q$10:$Q$3209,"&lt;"&amp;$A1734+1)/$AH1734)))</f>
        <v/>
      </c>
      <c r="I1734" s="54">
        <f>IF($B1734=0,NA(),IF($C1734="",NA(),IF(C$8="",NA(),IF(N(C$8)=0,NA(),IF(Inputs!$C$17="Rebased to 100",$C1734/C$8*100,$C1734)))))</f>
        <v/>
      </c>
      <c r="J1734" s="54">
        <f>IF($B1734=0,NA(),IF($D1734="",NA(),IF(D$8="",NA(),IF(N(D$8)=0,NA(),IF(Inputs!$C$17="Rebased to 100",$D1734/D$8*100,$D1734)))))</f>
        <v/>
      </c>
      <c r="K1734" s="54">
        <f>IF($B1734=0,NA(),IF($E1734="",NA(),IF(E$8="",NA(),IF(N(E$8)=0,NA(),IF(Inputs!$C$17="Rebased to 100",$E1734/E$8*100,$E1734)))))</f>
        <v/>
      </c>
      <c r="L1734" s="54">
        <f>IF($B1734=0,NA(),IF($F1734="",NA(),IF(F$8="",NA(),IF(N(F$8)=0,NA(),IF(Inputs!$C$17="Rebased to 100",$F1734/F$8*100,$F1734)))))</f>
        <v/>
      </c>
      <c r="M1734" s="54">
        <f>IF($B1734=0,NA(),IF($G1734="",NA(),IF(G$8="",NA(),IF(N(G$8)=0,NA(),IF(Inputs!$C$17="Rebased to 100",$G1734/G$8*100,$G1734)))))</f>
        <v/>
      </c>
      <c r="N1734" s="54">
        <f>IF($B1734=0,NA(),IF(Inputs!$C$18&lt;&gt;"Yes",NA(),IF(COUNT(I1734,J1734,K1734,L1734,M1734)=0,NA(),MIN(I1734,J1734,K1734,L1734,M1734))))</f>
        <v/>
      </c>
      <c r="O1734" s="54">
        <f>IF($B1734=0,NA(),IF(Inputs!$B$24&lt;&gt;"Yes",NA(),Inputs!$D$24*Inputs!$C$35))</f>
        <v/>
      </c>
      <c r="P1734" s="54">
        <f>IF($B1734=0,NA(),IF(Inputs!$B$25&lt;&gt;"Yes",NA(),Inputs!$D$25*Inputs!$C$35))</f>
        <v/>
      </c>
      <c r="Q1734" s="54">
        <f>IF($B1734=0,NA(),IF(Inputs!$B$26&lt;&gt;"Yes",NA(),Inputs!$D$26*Inputs!$C$35))</f>
        <v/>
      </c>
      <c r="R1734" s="54">
        <f>IF($B1734=0,NA(),IF(Inputs!$B$27&lt;&gt;"Yes",NA(),Inputs!$D$27*Inputs!$C$35))</f>
        <v/>
      </c>
      <c r="S1734" s="54">
        <f>IF($B1734=0,NA(),IF(Inputs!$B$28&lt;&gt;"Yes",NA(),Inputs!$D$28*Inputs!$C$35))</f>
        <v/>
      </c>
      <c r="T1734" s="54">
        <f>IF($B1734=0,NA(),IF(Inputs!$B$29&lt;&gt;"Yes",NA(),Inputs!$D$29*Inputs!$C$35))</f>
        <v/>
      </c>
      <c r="AD1734">
        <f>IF($B1734=0,0,IF(Inputs!$B$6="",0,COUNTIFS(Data!$A$10:$A$3209,"&gt;="&amp;$A1734,Data!$A$10:$A$3209,"&lt;"&amp;$A1734+1)))</f>
        <v/>
      </c>
      <c r="AE1734">
        <f>IF($B1734=0,0,IF(Inputs!$B$7="",0,COUNTIFS(Data!$E$10:$E$3209,"&gt;="&amp;$A1734,Data!$E$10:$E$3209,"&lt;"&amp;$A1734+1)))</f>
        <v/>
      </c>
      <c r="AF1734">
        <f>IF($B1734=0,0,IF(Inputs!$B$8="",0,COUNTIFS(Data!$I$10:$I$3209,"&gt;="&amp;$A1734,Data!$I$10:$I$3209,"&lt;"&amp;$A1734+1)))</f>
        <v/>
      </c>
      <c r="AG1734">
        <f>IF($B1734=0,0,IF(Inputs!$B$9="",0,COUNTIFS(Data!$M$10:$M$3209,"&gt;="&amp;$A1734,Data!$M$10:$M$3209,"&lt;"&amp;$A1734+1)))</f>
        <v/>
      </c>
      <c r="AH1734">
        <f>IF($B1734=0,0,IF(Inputs!$B$10="",0,COUNTIFS(Data!$Q$10:$Q$3209,"&gt;="&amp;$A1734,Data!$Q$10:$Q$3209,"&lt;"&amp;$A1734+1)))</f>
        <v/>
      </c>
    </row>
    <row r="1735">
      <c r="A1735" s="55">
        <f>MIN(Inputs!$C$15,$A1734+IF(WEEKDAY($A1734,2)=5,3,1))</f>
        <v/>
      </c>
      <c r="B1735">
        <f>IF($A1735&gt;$A1734,1,0)</f>
        <v/>
      </c>
      <c r="C1735" s="56">
        <f>IF($B1735=0,"",IF(Inputs!$B$6="","",IF($AD1735=0,C1734,SUMIFS(Data!$B$10:$B$3209,Data!$A$10:$A$3209,"&gt;="&amp;$A1735,Data!$A$10:$A$3209,"&lt;"&amp;$A1735+1)/$AD1735)))</f>
        <v/>
      </c>
      <c r="D1735" s="56">
        <f>IF($B1735=0,"",IF(Inputs!$B$7="","",IF($AE1735=0,D1734,SUMIFS(Data!$F$10:$F$3209,Data!$E$10:$E$3209,"&gt;="&amp;$A1735,Data!$E$10:$E$3209,"&lt;"&amp;$A1735+1)/$AE1735)))</f>
        <v/>
      </c>
      <c r="E1735" s="56">
        <f>IF($B1735=0,"",IF(Inputs!$B$8="","",IF($AF1735=0,E1734,SUMIFS(Data!$J$10:$J$3209,Data!$I$10:$I$3209,"&gt;="&amp;$A1735,Data!$I$10:$I$3209,"&lt;"&amp;$A1735+1)/$AF1735)))</f>
        <v/>
      </c>
      <c r="F1735" s="56">
        <f>IF($B1735=0,"",IF(Inputs!$B$9="","",IF($AG1735=0,F1734,SUMIFS(Data!$N$10:$N$3209,Data!$M$10:$M$3209,"&gt;="&amp;$A1735,Data!$M$10:$M$3209,"&lt;"&amp;$A1735+1)/$AG1735)))</f>
        <v/>
      </c>
      <c r="G1735" s="56">
        <f>IF($B1735=0,"",IF(Inputs!$B$10="","",IF($AH1735=0,G1734,SUMIFS(Data!$R$10:$R$3209,Data!$Q$10:$Q$3209,"&gt;="&amp;$A1735,Data!$Q$10:$Q$3209,"&lt;"&amp;$A1735+1)/$AH1735)))</f>
        <v/>
      </c>
      <c r="I1735" s="54">
        <f>IF($B1735=0,NA(),IF($C1735="",NA(),IF(C$8="",NA(),IF(N(C$8)=0,NA(),IF(Inputs!$C$17="Rebased to 100",$C1735/C$8*100,$C1735)))))</f>
        <v/>
      </c>
      <c r="J1735" s="54">
        <f>IF($B1735=0,NA(),IF($D1735="",NA(),IF(D$8="",NA(),IF(N(D$8)=0,NA(),IF(Inputs!$C$17="Rebased to 100",$D1735/D$8*100,$D1735)))))</f>
        <v/>
      </c>
      <c r="K1735" s="54">
        <f>IF($B1735=0,NA(),IF($E1735="",NA(),IF(E$8="",NA(),IF(N(E$8)=0,NA(),IF(Inputs!$C$17="Rebased to 100",$E1735/E$8*100,$E1735)))))</f>
        <v/>
      </c>
      <c r="L1735" s="54">
        <f>IF($B1735=0,NA(),IF($F1735="",NA(),IF(F$8="",NA(),IF(N(F$8)=0,NA(),IF(Inputs!$C$17="Rebased to 100",$F1735/F$8*100,$F1735)))))</f>
        <v/>
      </c>
      <c r="M1735" s="54">
        <f>IF($B1735=0,NA(),IF($G1735="",NA(),IF(G$8="",NA(),IF(N(G$8)=0,NA(),IF(Inputs!$C$17="Rebased to 100",$G1735/G$8*100,$G1735)))))</f>
        <v/>
      </c>
      <c r="N1735" s="54">
        <f>IF($B1735=0,NA(),IF(Inputs!$C$18&lt;&gt;"Yes",NA(),IF(COUNT(I1735,J1735,K1735,L1735,M1735)=0,NA(),MIN(I1735,J1735,K1735,L1735,M1735))))</f>
        <v/>
      </c>
      <c r="O1735" s="54">
        <f>IF($B1735=0,NA(),IF(Inputs!$B$24&lt;&gt;"Yes",NA(),Inputs!$D$24*Inputs!$C$35))</f>
        <v/>
      </c>
      <c r="P1735" s="54">
        <f>IF($B1735=0,NA(),IF(Inputs!$B$25&lt;&gt;"Yes",NA(),Inputs!$D$25*Inputs!$C$35))</f>
        <v/>
      </c>
      <c r="Q1735" s="54">
        <f>IF($B1735=0,NA(),IF(Inputs!$B$26&lt;&gt;"Yes",NA(),Inputs!$D$26*Inputs!$C$35))</f>
        <v/>
      </c>
      <c r="R1735" s="54">
        <f>IF($B1735=0,NA(),IF(Inputs!$B$27&lt;&gt;"Yes",NA(),Inputs!$D$27*Inputs!$C$35))</f>
        <v/>
      </c>
      <c r="S1735" s="54">
        <f>IF($B1735=0,NA(),IF(Inputs!$B$28&lt;&gt;"Yes",NA(),Inputs!$D$28*Inputs!$C$35))</f>
        <v/>
      </c>
      <c r="T1735" s="54">
        <f>IF($B1735=0,NA(),IF(Inputs!$B$29&lt;&gt;"Yes",NA(),Inputs!$D$29*Inputs!$C$35))</f>
        <v/>
      </c>
      <c r="AD1735">
        <f>IF($B1735=0,0,IF(Inputs!$B$6="",0,COUNTIFS(Data!$A$10:$A$3209,"&gt;="&amp;$A1735,Data!$A$10:$A$3209,"&lt;"&amp;$A1735+1)))</f>
        <v/>
      </c>
      <c r="AE1735">
        <f>IF($B1735=0,0,IF(Inputs!$B$7="",0,COUNTIFS(Data!$E$10:$E$3209,"&gt;="&amp;$A1735,Data!$E$10:$E$3209,"&lt;"&amp;$A1735+1)))</f>
        <v/>
      </c>
      <c r="AF1735">
        <f>IF($B1735=0,0,IF(Inputs!$B$8="",0,COUNTIFS(Data!$I$10:$I$3209,"&gt;="&amp;$A1735,Data!$I$10:$I$3209,"&lt;"&amp;$A1735+1)))</f>
        <v/>
      </c>
      <c r="AG1735">
        <f>IF($B1735=0,0,IF(Inputs!$B$9="",0,COUNTIFS(Data!$M$10:$M$3209,"&gt;="&amp;$A1735,Data!$M$10:$M$3209,"&lt;"&amp;$A1735+1)))</f>
        <v/>
      </c>
      <c r="AH1735">
        <f>IF($B1735=0,0,IF(Inputs!$B$10="",0,COUNTIFS(Data!$Q$10:$Q$3209,"&gt;="&amp;$A1735,Data!$Q$10:$Q$3209,"&lt;"&amp;$A1735+1)))</f>
        <v/>
      </c>
    </row>
    <row r="1736">
      <c r="A1736" s="55">
        <f>MIN(Inputs!$C$15,$A1735+IF(WEEKDAY($A1735,2)=5,3,1))</f>
        <v/>
      </c>
      <c r="B1736">
        <f>IF($A1736&gt;$A1735,1,0)</f>
        <v/>
      </c>
      <c r="C1736" s="56">
        <f>IF($B1736=0,"",IF(Inputs!$B$6="","",IF($AD1736=0,C1735,SUMIFS(Data!$B$10:$B$3209,Data!$A$10:$A$3209,"&gt;="&amp;$A1736,Data!$A$10:$A$3209,"&lt;"&amp;$A1736+1)/$AD1736)))</f>
        <v/>
      </c>
      <c r="D1736" s="56">
        <f>IF($B1736=0,"",IF(Inputs!$B$7="","",IF($AE1736=0,D1735,SUMIFS(Data!$F$10:$F$3209,Data!$E$10:$E$3209,"&gt;="&amp;$A1736,Data!$E$10:$E$3209,"&lt;"&amp;$A1736+1)/$AE1736)))</f>
        <v/>
      </c>
      <c r="E1736" s="56">
        <f>IF($B1736=0,"",IF(Inputs!$B$8="","",IF($AF1736=0,E1735,SUMIFS(Data!$J$10:$J$3209,Data!$I$10:$I$3209,"&gt;="&amp;$A1736,Data!$I$10:$I$3209,"&lt;"&amp;$A1736+1)/$AF1736)))</f>
        <v/>
      </c>
      <c r="F1736" s="56">
        <f>IF($B1736=0,"",IF(Inputs!$B$9="","",IF($AG1736=0,F1735,SUMIFS(Data!$N$10:$N$3209,Data!$M$10:$M$3209,"&gt;="&amp;$A1736,Data!$M$10:$M$3209,"&lt;"&amp;$A1736+1)/$AG1736)))</f>
        <v/>
      </c>
      <c r="G1736" s="56">
        <f>IF($B1736=0,"",IF(Inputs!$B$10="","",IF($AH1736=0,G1735,SUMIFS(Data!$R$10:$R$3209,Data!$Q$10:$Q$3209,"&gt;="&amp;$A1736,Data!$Q$10:$Q$3209,"&lt;"&amp;$A1736+1)/$AH1736)))</f>
        <v/>
      </c>
      <c r="I1736" s="54">
        <f>IF($B1736=0,NA(),IF($C1736="",NA(),IF(C$8="",NA(),IF(N(C$8)=0,NA(),IF(Inputs!$C$17="Rebased to 100",$C1736/C$8*100,$C1736)))))</f>
        <v/>
      </c>
      <c r="J1736" s="54">
        <f>IF($B1736=0,NA(),IF($D1736="",NA(),IF(D$8="",NA(),IF(N(D$8)=0,NA(),IF(Inputs!$C$17="Rebased to 100",$D1736/D$8*100,$D1736)))))</f>
        <v/>
      </c>
      <c r="K1736" s="54">
        <f>IF($B1736=0,NA(),IF($E1736="",NA(),IF(E$8="",NA(),IF(N(E$8)=0,NA(),IF(Inputs!$C$17="Rebased to 100",$E1736/E$8*100,$E1736)))))</f>
        <v/>
      </c>
      <c r="L1736" s="54">
        <f>IF($B1736=0,NA(),IF($F1736="",NA(),IF(F$8="",NA(),IF(N(F$8)=0,NA(),IF(Inputs!$C$17="Rebased to 100",$F1736/F$8*100,$F1736)))))</f>
        <v/>
      </c>
      <c r="M1736" s="54">
        <f>IF($B1736=0,NA(),IF($G1736="",NA(),IF(G$8="",NA(),IF(N(G$8)=0,NA(),IF(Inputs!$C$17="Rebased to 100",$G1736/G$8*100,$G1736)))))</f>
        <v/>
      </c>
      <c r="N1736" s="54">
        <f>IF($B1736=0,NA(),IF(Inputs!$C$18&lt;&gt;"Yes",NA(),IF(COUNT(I1736,J1736,K1736,L1736,M1736)=0,NA(),MIN(I1736,J1736,K1736,L1736,M1736))))</f>
        <v/>
      </c>
      <c r="O1736" s="54">
        <f>IF($B1736=0,NA(),IF(Inputs!$B$24&lt;&gt;"Yes",NA(),Inputs!$D$24*Inputs!$C$35))</f>
        <v/>
      </c>
      <c r="P1736" s="54">
        <f>IF($B1736=0,NA(),IF(Inputs!$B$25&lt;&gt;"Yes",NA(),Inputs!$D$25*Inputs!$C$35))</f>
        <v/>
      </c>
      <c r="Q1736" s="54">
        <f>IF($B1736=0,NA(),IF(Inputs!$B$26&lt;&gt;"Yes",NA(),Inputs!$D$26*Inputs!$C$35))</f>
        <v/>
      </c>
      <c r="R1736" s="54">
        <f>IF($B1736=0,NA(),IF(Inputs!$B$27&lt;&gt;"Yes",NA(),Inputs!$D$27*Inputs!$C$35))</f>
        <v/>
      </c>
      <c r="S1736" s="54">
        <f>IF($B1736=0,NA(),IF(Inputs!$B$28&lt;&gt;"Yes",NA(),Inputs!$D$28*Inputs!$C$35))</f>
        <v/>
      </c>
      <c r="T1736" s="54">
        <f>IF($B1736=0,NA(),IF(Inputs!$B$29&lt;&gt;"Yes",NA(),Inputs!$D$29*Inputs!$C$35))</f>
        <v/>
      </c>
      <c r="AD1736">
        <f>IF($B1736=0,0,IF(Inputs!$B$6="",0,COUNTIFS(Data!$A$10:$A$3209,"&gt;="&amp;$A1736,Data!$A$10:$A$3209,"&lt;"&amp;$A1736+1)))</f>
        <v/>
      </c>
      <c r="AE1736">
        <f>IF($B1736=0,0,IF(Inputs!$B$7="",0,COUNTIFS(Data!$E$10:$E$3209,"&gt;="&amp;$A1736,Data!$E$10:$E$3209,"&lt;"&amp;$A1736+1)))</f>
        <v/>
      </c>
      <c r="AF1736">
        <f>IF($B1736=0,0,IF(Inputs!$B$8="",0,COUNTIFS(Data!$I$10:$I$3209,"&gt;="&amp;$A1736,Data!$I$10:$I$3209,"&lt;"&amp;$A1736+1)))</f>
        <v/>
      </c>
      <c r="AG1736">
        <f>IF($B1736=0,0,IF(Inputs!$B$9="",0,COUNTIFS(Data!$M$10:$M$3209,"&gt;="&amp;$A1736,Data!$M$10:$M$3209,"&lt;"&amp;$A1736+1)))</f>
        <v/>
      </c>
      <c r="AH1736">
        <f>IF($B1736=0,0,IF(Inputs!$B$10="",0,COUNTIFS(Data!$Q$10:$Q$3209,"&gt;="&amp;$A1736,Data!$Q$10:$Q$3209,"&lt;"&amp;$A1736+1)))</f>
        <v/>
      </c>
    </row>
    <row r="1737">
      <c r="A1737" s="55">
        <f>MIN(Inputs!$C$15,$A1736+IF(WEEKDAY($A1736,2)=5,3,1))</f>
        <v/>
      </c>
      <c r="B1737">
        <f>IF($A1737&gt;$A1736,1,0)</f>
        <v/>
      </c>
      <c r="C1737" s="56">
        <f>IF($B1737=0,"",IF(Inputs!$B$6="","",IF($AD1737=0,C1736,SUMIFS(Data!$B$10:$B$3209,Data!$A$10:$A$3209,"&gt;="&amp;$A1737,Data!$A$10:$A$3209,"&lt;"&amp;$A1737+1)/$AD1737)))</f>
        <v/>
      </c>
      <c r="D1737" s="56">
        <f>IF($B1737=0,"",IF(Inputs!$B$7="","",IF($AE1737=0,D1736,SUMIFS(Data!$F$10:$F$3209,Data!$E$10:$E$3209,"&gt;="&amp;$A1737,Data!$E$10:$E$3209,"&lt;"&amp;$A1737+1)/$AE1737)))</f>
        <v/>
      </c>
      <c r="E1737" s="56">
        <f>IF($B1737=0,"",IF(Inputs!$B$8="","",IF($AF1737=0,E1736,SUMIFS(Data!$J$10:$J$3209,Data!$I$10:$I$3209,"&gt;="&amp;$A1737,Data!$I$10:$I$3209,"&lt;"&amp;$A1737+1)/$AF1737)))</f>
        <v/>
      </c>
      <c r="F1737" s="56">
        <f>IF($B1737=0,"",IF(Inputs!$B$9="","",IF($AG1737=0,F1736,SUMIFS(Data!$N$10:$N$3209,Data!$M$10:$M$3209,"&gt;="&amp;$A1737,Data!$M$10:$M$3209,"&lt;"&amp;$A1737+1)/$AG1737)))</f>
        <v/>
      </c>
      <c r="G1737" s="56">
        <f>IF($B1737=0,"",IF(Inputs!$B$10="","",IF($AH1737=0,G1736,SUMIFS(Data!$R$10:$R$3209,Data!$Q$10:$Q$3209,"&gt;="&amp;$A1737,Data!$Q$10:$Q$3209,"&lt;"&amp;$A1737+1)/$AH1737)))</f>
        <v/>
      </c>
      <c r="I1737" s="54">
        <f>IF($B1737=0,NA(),IF($C1737="",NA(),IF(C$8="",NA(),IF(N(C$8)=0,NA(),IF(Inputs!$C$17="Rebased to 100",$C1737/C$8*100,$C1737)))))</f>
        <v/>
      </c>
      <c r="J1737" s="54">
        <f>IF($B1737=0,NA(),IF($D1737="",NA(),IF(D$8="",NA(),IF(N(D$8)=0,NA(),IF(Inputs!$C$17="Rebased to 100",$D1737/D$8*100,$D1737)))))</f>
        <v/>
      </c>
      <c r="K1737" s="54">
        <f>IF($B1737=0,NA(),IF($E1737="",NA(),IF(E$8="",NA(),IF(N(E$8)=0,NA(),IF(Inputs!$C$17="Rebased to 100",$E1737/E$8*100,$E1737)))))</f>
        <v/>
      </c>
      <c r="L1737" s="54">
        <f>IF($B1737=0,NA(),IF($F1737="",NA(),IF(F$8="",NA(),IF(N(F$8)=0,NA(),IF(Inputs!$C$17="Rebased to 100",$F1737/F$8*100,$F1737)))))</f>
        <v/>
      </c>
      <c r="M1737" s="54">
        <f>IF($B1737=0,NA(),IF($G1737="",NA(),IF(G$8="",NA(),IF(N(G$8)=0,NA(),IF(Inputs!$C$17="Rebased to 100",$G1737/G$8*100,$G1737)))))</f>
        <v/>
      </c>
      <c r="N1737" s="54">
        <f>IF($B1737=0,NA(),IF(Inputs!$C$18&lt;&gt;"Yes",NA(),IF(COUNT(I1737,J1737,K1737,L1737,M1737)=0,NA(),MIN(I1737,J1737,K1737,L1737,M1737))))</f>
        <v/>
      </c>
      <c r="O1737" s="54">
        <f>IF($B1737=0,NA(),IF(Inputs!$B$24&lt;&gt;"Yes",NA(),Inputs!$D$24*Inputs!$C$35))</f>
        <v/>
      </c>
      <c r="P1737" s="54">
        <f>IF($B1737=0,NA(),IF(Inputs!$B$25&lt;&gt;"Yes",NA(),Inputs!$D$25*Inputs!$C$35))</f>
        <v/>
      </c>
      <c r="Q1737" s="54">
        <f>IF($B1737=0,NA(),IF(Inputs!$B$26&lt;&gt;"Yes",NA(),Inputs!$D$26*Inputs!$C$35))</f>
        <v/>
      </c>
      <c r="R1737" s="54">
        <f>IF($B1737=0,NA(),IF(Inputs!$B$27&lt;&gt;"Yes",NA(),Inputs!$D$27*Inputs!$C$35))</f>
        <v/>
      </c>
      <c r="S1737" s="54">
        <f>IF($B1737=0,NA(),IF(Inputs!$B$28&lt;&gt;"Yes",NA(),Inputs!$D$28*Inputs!$C$35))</f>
        <v/>
      </c>
      <c r="T1737" s="54">
        <f>IF($B1737=0,NA(),IF(Inputs!$B$29&lt;&gt;"Yes",NA(),Inputs!$D$29*Inputs!$C$35))</f>
        <v/>
      </c>
      <c r="AD1737">
        <f>IF($B1737=0,0,IF(Inputs!$B$6="",0,COUNTIFS(Data!$A$10:$A$3209,"&gt;="&amp;$A1737,Data!$A$10:$A$3209,"&lt;"&amp;$A1737+1)))</f>
        <v/>
      </c>
      <c r="AE1737">
        <f>IF($B1737=0,0,IF(Inputs!$B$7="",0,COUNTIFS(Data!$E$10:$E$3209,"&gt;="&amp;$A1737,Data!$E$10:$E$3209,"&lt;"&amp;$A1737+1)))</f>
        <v/>
      </c>
      <c r="AF1737">
        <f>IF($B1737=0,0,IF(Inputs!$B$8="",0,COUNTIFS(Data!$I$10:$I$3209,"&gt;="&amp;$A1737,Data!$I$10:$I$3209,"&lt;"&amp;$A1737+1)))</f>
        <v/>
      </c>
      <c r="AG1737">
        <f>IF($B1737=0,0,IF(Inputs!$B$9="",0,COUNTIFS(Data!$M$10:$M$3209,"&gt;="&amp;$A1737,Data!$M$10:$M$3209,"&lt;"&amp;$A1737+1)))</f>
        <v/>
      </c>
      <c r="AH1737">
        <f>IF($B1737=0,0,IF(Inputs!$B$10="",0,COUNTIFS(Data!$Q$10:$Q$3209,"&gt;="&amp;$A1737,Data!$Q$10:$Q$3209,"&lt;"&amp;$A1737+1)))</f>
        <v/>
      </c>
    </row>
    <row r="1738">
      <c r="A1738" s="55">
        <f>MIN(Inputs!$C$15,$A1737+IF(WEEKDAY($A1737,2)=5,3,1))</f>
        <v/>
      </c>
      <c r="B1738">
        <f>IF($A1738&gt;$A1737,1,0)</f>
        <v/>
      </c>
      <c r="C1738" s="56">
        <f>IF($B1738=0,"",IF(Inputs!$B$6="","",IF($AD1738=0,C1737,SUMIFS(Data!$B$10:$B$3209,Data!$A$10:$A$3209,"&gt;="&amp;$A1738,Data!$A$10:$A$3209,"&lt;"&amp;$A1738+1)/$AD1738)))</f>
        <v/>
      </c>
      <c r="D1738" s="56">
        <f>IF($B1738=0,"",IF(Inputs!$B$7="","",IF($AE1738=0,D1737,SUMIFS(Data!$F$10:$F$3209,Data!$E$10:$E$3209,"&gt;="&amp;$A1738,Data!$E$10:$E$3209,"&lt;"&amp;$A1738+1)/$AE1738)))</f>
        <v/>
      </c>
      <c r="E1738" s="56">
        <f>IF($B1738=0,"",IF(Inputs!$B$8="","",IF($AF1738=0,E1737,SUMIFS(Data!$J$10:$J$3209,Data!$I$10:$I$3209,"&gt;="&amp;$A1738,Data!$I$10:$I$3209,"&lt;"&amp;$A1738+1)/$AF1738)))</f>
        <v/>
      </c>
      <c r="F1738" s="56">
        <f>IF($B1738=0,"",IF(Inputs!$B$9="","",IF($AG1738=0,F1737,SUMIFS(Data!$N$10:$N$3209,Data!$M$10:$M$3209,"&gt;="&amp;$A1738,Data!$M$10:$M$3209,"&lt;"&amp;$A1738+1)/$AG1738)))</f>
        <v/>
      </c>
      <c r="G1738" s="56">
        <f>IF($B1738=0,"",IF(Inputs!$B$10="","",IF($AH1738=0,G1737,SUMIFS(Data!$R$10:$R$3209,Data!$Q$10:$Q$3209,"&gt;="&amp;$A1738,Data!$Q$10:$Q$3209,"&lt;"&amp;$A1738+1)/$AH1738)))</f>
        <v/>
      </c>
      <c r="I1738" s="54">
        <f>IF($B1738=0,NA(),IF($C1738="",NA(),IF(C$8="",NA(),IF(N(C$8)=0,NA(),IF(Inputs!$C$17="Rebased to 100",$C1738/C$8*100,$C1738)))))</f>
        <v/>
      </c>
      <c r="J1738" s="54">
        <f>IF($B1738=0,NA(),IF($D1738="",NA(),IF(D$8="",NA(),IF(N(D$8)=0,NA(),IF(Inputs!$C$17="Rebased to 100",$D1738/D$8*100,$D1738)))))</f>
        <v/>
      </c>
      <c r="K1738" s="54">
        <f>IF($B1738=0,NA(),IF($E1738="",NA(),IF(E$8="",NA(),IF(N(E$8)=0,NA(),IF(Inputs!$C$17="Rebased to 100",$E1738/E$8*100,$E1738)))))</f>
        <v/>
      </c>
      <c r="L1738" s="54">
        <f>IF($B1738=0,NA(),IF($F1738="",NA(),IF(F$8="",NA(),IF(N(F$8)=0,NA(),IF(Inputs!$C$17="Rebased to 100",$F1738/F$8*100,$F1738)))))</f>
        <v/>
      </c>
      <c r="M1738" s="54">
        <f>IF($B1738=0,NA(),IF($G1738="",NA(),IF(G$8="",NA(),IF(N(G$8)=0,NA(),IF(Inputs!$C$17="Rebased to 100",$G1738/G$8*100,$G1738)))))</f>
        <v/>
      </c>
      <c r="N1738" s="54">
        <f>IF($B1738=0,NA(),IF(Inputs!$C$18&lt;&gt;"Yes",NA(),IF(COUNT(I1738,J1738,K1738,L1738,M1738)=0,NA(),MIN(I1738,J1738,K1738,L1738,M1738))))</f>
        <v/>
      </c>
      <c r="O1738" s="54">
        <f>IF($B1738=0,NA(),IF(Inputs!$B$24&lt;&gt;"Yes",NA(),Inputs!$D$24*Inputs!$C$35))</f>
        <v/>
      </c>
      <c r="P1738" s="54">
        <f>IF($B1738=0,NA(),IF(Inputs!$B$25&lt;&gt;"Yes",NA(),Inputs!$D$25*Inputs!$C$35))</f>
        <v/>
      </c>
      <c r="Q1738" s="54">
        <f>IF($B1738=0,NA(),IF(Inputs!$B$26&lt;&gt;"Yes",NA(),Inputs!$D$26*Inputs!$C$35))</f>
        <v/>
      </c>
      <c r="R1738" s="54">
        <f>IF($B1738=0,NA(),IF(Inputs!$B$27&lt;&gt;"Yes",NA(),Inputs!$D$27*Inputs!$C$35))</f>
        <v/>
      </c>
      <c r="S1738" s="54">
        <f>IF($B1738=0,NA(),IF(Inputs!$B$28&lt;&gt;"Yes",NA(),Inputs!$D$28*Inputs!$C$35))</f>
        <v/>
      </c>
      <c r="T1738" s="54">
        <f>IF($B1738=0,NA(),IF(Inputs!$B$29&lt;&gt;"Yes",NA(),Inputs!$D$29*Inputs!$C$35))</f>
        <v/>
      </c>
      <c r="AD1738">
        <f>IF($B1738=0,0,IF(Inputs!$B$6="",0,COUNTIFS(Data!$A$10:$A$3209,"&gt;="&amp;$A1738,Data!$A$10:$A$3209,"&lt;"&amp;$A1738+1)))</f>
        <v/>
      </c>
      <c r="AE1738">
        <f>IF($B1738=0,0,IF(Inputs!$B$7="",0,COUNTIFS(Data!$E$10:$E$3209,"&gt;="&amp;$A1738,Data!$E$10:$E$3209,"&lt;"&amp;$A1738+1)))</f>
        <v/>
      </c>
      <c r="AF1738">
        <f>IF($B1738=0,0,IF(Inputs!$B$8="",0,COUNTIFS(Data!$I$10:$I$3209,"&gt;="&amp;$A1738,Data!$I$10:$I$3209,"&lt;"&amp;$A1738+1)))</f>
        <v/>
      </c>
      <c r="AG1738">
        <f>IF($B1738=0,0,IF(Inputs!$B$9="",0,COUNTIFS(Data!$M$10:$M$3209,"&gt;="&amp;$A1738,Data!$M$10:$M$3209,"&lt;"&amp;$A1738+1)))</f>
        <v/>
      </c>
      <c r="AH1738">
        <f>IF($B1738=0,0,IF(Inputs!$B$10="",0,COUNTIFS(Data!$Q$10:$Q$3209,"&gt;="&amp;$A1738,Data!$Q$10:$Q$3209,"&lt;"&amp;$A1738+1)))</f>
        <v/>
      </c>
    </row>
    <row r="1739">
      <c r="A1739" s="55">
        <f>MIN(Inputs!$C$15,$A1738+IF(WEEKDAY($A1738,2)=5,3,1))</f>
        <v/>
      </c>
      <c r="B1739">
        <f>IF($A1739&gt;$A1738,1,0)</f>
        <v/>
      </c>
      <c r="C1739" s="56">
        <f>IF($B1739=0,"",IF(Inputs!$B$6="","",IF($AD1739=0,C1738,SUMIFS(Data!$B$10:$B$3209,Data!$A$10:$A$3209,"&gt;="&amp;$A1739,Data!$A$10:$A$3209,"&lt;"&amp;$A1739+1)/$AD1739)))</f>
        <v/>
      </c>
      <c r="D1739" s="56">
        <f>IF($B1739=0,"",IF(Inputs!$B$7="","",IF($AE1739=0,D1738,SUMIFS(Data!$F$10:$F$3209,Data!$E$10:$E$3209,"&gt;="&amp;$A1739,Data!$E$10:$E$3209,"&lt;"&amp;$A1739+1)/$AE1739)))</f>
        <v/>
      </c>
      <c r="E1739" s="56">
        <f>IF($B1739=0,"",IF(Inputs!$B$8="","",IF($AF1739=0,E1738,SUMIFS(Data!$J$10:$J$3209,Data!$I$10:$I$3209,"&gt;="&amp;$A1739,Data!$I$10:$I$3209,"&lt;"&amp;$A1739+1)/$AF1739)))</f>
        <v/>
      </c>
      <c r="F1739" s="56">
        <f>IF($B1739=0,"",IF(Inputs!$B$9="","",IF($AG1739=0,F1738,SUMIFS(Data!$N$10:$N$3209,Data!$M$10:$M$3209,"&gt;="&amp;$A1739,Data!$M$10:$M$3209,"&lt;"&amp;$A1739+1)/$AG1739)))</f>
        <v/>
      </c>
      <c r="G1739" s="56">
        <f>IF($B1739=0,"",IF(Inputs!$B$10="","",IF($AH1739=0,G1738,SUMIFS(Data!$R$10:$R$3209,Data!$Q$10:$Q$3209,"&gt;="&amp;$A1739,Data!$Q$10:$Q$3209,"&lt;"&amp;$A1739+1)/$AH1739)))</f>
        <v/>
      </c>
      <c r="I1739" s="54">
        <f>IF($B1739=0,NA(),IF($C1739="",NA(),IF(C$8="",NA(),IF(N(C$8)=0,NA(),IF(Inputs!$C$17="Rebased to 100",$C1739/C$8*100,$C1739)))))</f>
        <v/>
      </c>
      <c r="J1739" s="54">
        <f>IF($B1739=0,NA(),IF($D1739="",NA(),IF(D$8="",NA(),IF(N(D$8)=0,NA(),IF(Inputs!$C$17="Rebased to 100",$D1739/D$8*100,$D1739)))))</f>
        <v/>
      </c>
      <c r="K1739" s="54">
        <f>IF($B1739=0,NA(),IF($E1739="",NA(),IF(E$8="",NA(),IF(N(E$8)=0,NA(),IF(Inputs!$C$17="Rebased to 100",$E1739/E$8*100,$E1739)))))</f>
        <v/>
      </c>
      <c r="L1739" s="54">
        <f>IF($B1739=0,NA(),IF($F1739="",NA(),IF(F$8="",NA(),IF(N(F$8)=0,NA(),IF(Inputs!$C$17="Rebased to 100",$F1739/F$8*100,$F1739)))))</f>
        <v/>
      </c>
      <c r="M1739" s="54">
        <f>IF($B1739=0,NA(),IF($G1739="",NA(),IF(G$8="",NA(),IF(N(G$8)=0,NA(),IF(Inputs!$C$17="Rebased to 100",$G1739/G$8*100,$G1739)))))</f>
        <v/>
      </c>
      <c r="N1739" s="54">
        <f>IF($B1739=0,NA(),IF(Inputs!$C$18&lt;&gt;"Yes",NA(),IF(COUNT(I1739,J1739,K1739,L1739,M1739)=0,NA(),MIN(I1739,J1739,K1739,L1739,M1739))))</f>
        <v/>
      </c>
      <c r="O1739" s="54">
        <f>IF($B1739=0,NA(),IF(Inputs!$B$24&lt;&gt;"Yes",NA(),Inputs!$D$24*Inputs!$C$35))</f>
        <v/>
      </c>
      <c r="P1739" s="54">
        <f>IF($B1739=0,NA(),IF(Inputs!$B$25&lt;&gt;"Yes",NA(),Inputs!$D$25*Inputs!$C$35))</f>
        <v/>
      </c>
      <c r="Q1739" s="54">
        <f>IF($B1739=0,NA(),IF(Inputs!$B$26&lt;&gt;"Yes",NA(),Inputs!$D$26*Inputs!$C$35))</f>
        <v/>
      </c>
      <c r="R1739" s="54">
        <f>IF($B1739=0,NA(),IF(Inputs!$B$27&lt;&gt;"Yes",NA(),Inputs!$D$27*Inputs!$C$35))</f>
        <v/>
      </c>
      <c r="S1739" s="54">
        <f>IF($B1739=0,NA(),IF(Inputs!$B$28&lt;&gt;"Yes",NA(),Inputs!$D$28*Inputs!$C$35))</f>
        <v/>
      </c>
      <c r="T1739" s="54">
        <f>IF($B1739=0,NA(),IF(Inputs!$B$29&lt;&gt;"Yes",NA(),Inputs!$D$29*Inputs!$C$35))</f>
        <v/>
      </c>
      <c r="AD1739">
        <f>IF($B1739=0,0,IF(Inputs!$B$6="",0,COUNTIFS(Data!$A$10:$A$3209,"&gt;="&amp;$A1739,Data!$A$10:$A$3209,"&lt;"&amp;$A1739+1)))</f>
        <v/>
      </c>
      <c r="AE1739">
        <f>IF($B1739=0,0,IF(Inputs!$B$7="",0,COUNTIFS(Data!$E$10:$E$3209,"&gt;="&amp;$A1739,Data!$E$10:$E$3209,"&lt;"&amp;$A1739+1)))</f>
        <v/>
      </c>
      <c r="AF1739">
        <f>IF($B1739=0,0,IF(Inputs!$B$8="",0,COUNTIFS(Data!$I$10:$I$3209,"&gt;="&amp;$A1739,Data!$I$10:$I$3209,"&lt;"&amp;$A1739+1)))</f>
        <v/>
      </c>
      <c r="AG1739">
        <f>IF($B1739=0,0,IF(Inputs!$B$9="",0,COUNTIFS(Data!$M$10:$M$3209,"&gt;="&amp;$A1739,Data!$M$10:$M$3209,"&lt;"&amp;$A1739+1)))</f>
        <v/>
      </c>
      <c r="AH1739">
        <f>IF($B1739=0,0,IF(Inputs!$B$10="",0,COUNTIFS(Data!$Q$10:$Q$3209,"&gt;="&amp;$A1739,Data!$Q$10:$Q$3209,"&lt;"&amp;$A1739+1)))</f>
        <v/>
      </c>
    </row>
    <row r="1740">
      <c r="A1740" s="55">
        <f>MIN(Inputs!$C$15,$A1739+IF(WEEKDAY($A1739,2)=5,3,1))</f>
        <v/>
      </c>
      <c r="B1740">
        <f>IF($A1740&gt;$A1739,1,0)</f>
        <v/>
      </c>
      <c r="C1740" s="56">
        <f>IF($B1740=0,"",IF(Inputs!$B$6="","",IF($AD1740=0,C1739,SUMIFS(Data!$B$10:$B$3209,Data!$A$10:$A$3209,"&gt;="&amp;$A1740,Data!$A$10:$A$3209,"&lt;"&amp;$A1740+1)/$AD1740)))</f>
        <v/>
      </c>
      <c r="D1740" s="56">
        <f>IF($B1740=0,"",IF(Inputs!$B$7="","",IF($AE1740=0,D1739,SUMIFS(Data!$F$10:$F$3209,Data!$E$10:$E$3209,"&gt;="&amp;$A1740,Data!$E$10:$E$3209,"&lt;"&amp;$A1740+1)/$AE1740)))</f>
        <v/>
      </c>
      <c r="E1740" s="56">
        <f>IF($B1740=0,"",IF(Inputs!$B$8="","",IF($AF1740=0,E1739,SUMIFS(Data!$J$10:$J$3209,Data!$I$10:$I$3209,"&gt;="&amp;$A1740,Data!$I$10:$I$3209,"&lt;"&amp;$A1740+1)/$AF1740)))</f>
        <v/>
      </c>
      <c r="F1740" s="56">
        <f>IF($B1740=0,"",IF(Inputs!$B$9="","",IF($AG1740=0,F1739,SUMIFS(Data!$N$10:$N$3209,Data!$M$10:$M$3209,"&gt;="&amp;$A1740,Data!$M$10:$M$3209,"&lt;"&amp;$A1740+1)/$AG1740)))</f>
        <v/>
      </c>
      <c r="G1740" s="56">
        <f>IF($B1740=0,"",IF(Inputs!$B$10="","",IF($AH1740=0,G1739,SUMIFS(Data!$R$10:$R$3209,Data!$Q$10:$Q$3209,"&gt;="&amp;$A1740,Data!$Q$10:$Q$3209,"&lt;"&amp;$A1740+1)/$AH1740)))</f>
        <v/>
      </c>
      <c r="I1740" s="54">
        <f>IF($B1740=0,NA(),IF($C1740="",NA(),IF(C$8="",NA(),IF(N(C$8)=0,NA(),IF(Inputs!$C$17="Rebased to 100",$C1740/C$8*100,$C1740)))))</f>
        <v/>
      </c>
      <c r="J1740" s="54">
        <f>IF($B1740=0,NA(),IF($D1740="",NA(),IF(D$8="",NA(),IF(N(D$8)=0,NA(),IF(Inputs!$C$17="Rebased to 100",$D1740/D$8*100,$D1740)))))</f>
        <v/>
      </c>
      <c r="K1740" s="54">
        <f>IF($B1740=0,NA(),IF($E1740="",NA(),IF(E$8="",NA(),IF(N(E$8)=0,NA(),IF(Inputs!$C$17="Rebased to 100",$E1740/E$8*100,$E1740)))))</f>
        <v/>
      </c>
      <c r="L1740" s="54">
        <f>IF($B1740=0,NA(),IF($F1740="",NA(),IF(F$8="",NA(),IF(N(F$8)=0,NA(),IF(Inputs!$C$17="Rebased to 100",$F1740/F$8*100,$F1740)))))</f>
        <v/>
      </c>
      <c r="M1740" s="54">
        <f>IF($B1740=0,NA(),IF($G1740="",NA(),IF(G$8="",NA(),IF(N(G$8)=0,NA(),IF(Inputs!$C$17="Rebased to 100",$G1740/G$8*100,$G1740)))))</f>
        <v/>
      </c>
      <c r="N1740" s="54">
        <f>IF($B1740=0,NA(),IF(Inputs!$C$18&lt;&gt;"Yes",NA(),IF(COUNT(I1740,J1740,K1740,L1740,M1740)=0,NA(),MIN(I1740,J1740,K1740,L1740,M1740))))</f>
        <v/>
      </c>
      <c r="O1740" s="54">
        <f>IF($B1740=0,NA(),IF(Inputs!$B$24&lt;&gt;"Yes",NA(),Inputs!$D$24*Inputs!$C$35))</f>
        <v/>
      </c>
      <c r="P1740" s="54">
        <f>IF($B1740=0,NA(),IF(Inputs!$B$25&lt;&gt;"Yes",NA(),Inputs!$D$25*Inputs!$C$35))</f>
        <v/>
      </c>
      <c r="Q1740" s="54">
        <f>IF($B1740=0,NA(),IF(Inputs!$B$26&lt;&gt;"Yes",NA(),Inputs!$D$26*Inputs!$C$35))</f>
        <v/>
      </c>
      <c r="R1740" s="54">
        <f>IF($B1740=0,NA(),IF(Inputs!$B$27&lt;&gt;"Yes",NA(),Inputs!$D$27*Inputs!$C$35))</f>
        <v/>
      </c>
      <c r="S1740" s="54">
        <f>IF($B1740=0,NA(),IF(Inputs!$B$28&lt;&gt;"Yes",NA(),Inputs!$D$28*Inputs!$C$35))</f>
        <v/>
      </c>
      <c r="T1740" s="54">
        <f>IF($B1740=0,NA(),IF(Inputs!$B$29&lt;&gt;"Yes",NA(),Inputs!$D$29*Inputs!$C$35))</f>
        <v/>
      </c>
      <c r="AD1740">
        <f>IF($B1740=0,0,IF(Inputs!$B$6="",0,COUNTIFS(Data!$A$10:$A$3209,"&gt;="&amp;$A1740,Data!$A$10:$A$3209,"&lt;"&amp;$A1740+1)))</f>
        <v/>
      </c>
      <c r="AE1740">
        <f>IF($B1740=0,0,IF(Inputs!$B$7="",0,COUNTIFS(Data!$E$10:$E$3209,"&gt;="&amp;$A1740,Data!$E$10:$E$3209,"&lt;"&amp;$A1740+1)))</f>
        <v/>
      </c>
      <c r="AF1740">
        <f>IF($B1740=0,0,IF(Inputs!$B$8="",0,COUNTIFS(Data!$I$10:$I$3209,"&gt;="&amp;$A1740,Data!$I$10:$I$3209,"&lt;"&amp;$A1740+1)))</f>
        <v/>
      </c>
      <c r="AG1740">
        <f>IF($B1740=0,0,IF(Inputs!$B$9="",0,COUNTIFS(Data!$M$10:$M$3209,"&gt;="&amp;$A1740,Data!$M$10:$M$3209,"&lt;"&amp;$A1740+1)))</f>
        <v/>
      </c>
      <c r="AH1740">
        <f>IF($B1740=0,0,IF(Inputs!$B$10="",0,COUNTIFS(Data!$Q$10:$Q$3209,"&gt;="&amp;$A1740,Data!$Q$10:$Q$3209,"&lt;"&amp;$A1740+1)))</f>
        <v/>
      </c>
    </row>
    <row r="1741">
      <c r="A1741" s="55">
        <f>MIN(Inputs!$C$15,$A1740+IF(WEEKDAY($A1740,2)=5,3,1))</f>
        <v/>
      </c>
      <c r="B1741">
        <f>IF($A1741&gt;$A1740,1,0)</f>
        <v/>
      </c>
      <c r="C1741" s="56">
        <f>IF($B1741=0,"",IF(Inputs!$B$6="","",IF($AD1741=0,C1740,SUMIFS(Data!$B$10:$B$3209,Data!$A$10:$A$3209,"&gt;="&amp;$A1741,Data!$A$10:$A$3209,"&lt;"&amp;$A1741+1)/$AD1741)))</f>
        <v/>
      </c>
      <c r="D1741" s="56">
        <f>IF($B1741=0,"",IF(Inputs!$B$7="","",IF($AE1741=0,D1740,SUMIFS(Data!$F$10:$F$3209,Data!$E$10:$E$3209,"&gt;="&amp;$A1741,Data!$E$10:$E$3209,"&lt;"&amp;$A1741+1)/$AE1741)))</f>
        <v/>
      </c>
      <c r="E1741" s="56">
        <f>IF($B1741=0,"",IF(Inputs!$B$8="","",IF($AF1741=0,E1740,SUMIFS(Data!$J$10:$J$3209,Data!$I$10:$I$3209,"&gt;="&amp;$A1741,Data!$I$10:$I$3209,"&lt;"&amp;$A1741+1)/$AF1741)))</f>
        <v/>
      </c>
      <c r="F1741" s="56">
        <f>IF($B1741=0,"",IF(Inputs!$B$9="","",IF($AG1741=0,F1740,SUMIFS(Data!$N$10:$N$3209,Data!$M$10:$M$3209,"&gt;="&amp;$A1741,Data!$M$10:$M$3209,"&lt;"&amp;$A1741+1)/$AG1741)))</f>
        <v/>
      </c>
      <c r="G1741" s="56">
        <f>IF($B1741=0,"",IF(Inputs!$B$10="","",IF($AH1741=0,G1740,SUMIFS(Data!$R$10:$R$3209,Data!$Q$10:$Q$3209,"&gt;="&amp;$A1741,Data!$Q$10:$Q$3209,"&lt;"&amp;$A1741+1)/$AH1741)))</f>
        <v/>
      </c>
      <c r="I1741" s="54">
        <f>IF($B1741=0,NA(),IF($C1741="",NA(),IF(C$8="",NA(),IF(N(C$8)=0,NA(),IF(Inputs!$C$17="Rebased to 100",$C1741/C$8*100,$C1741)))))</f>
        <v/>
      </c>
      <c r="J1741" s="54">
        <f>IF($B1741=0,NA(),IF($D1741="",NA(),IF(D$8="",NA(),IF(N(D$8)=0,NA(),IF(Inputs!$C$17="Rebased to 100",$D1741/D$8*100,$D1741)))))</f>
        <v/>
      </c>
      <c r="K1741" s="54">
        <f>IF($B1741=0,NA(),IF($E1741="",NA(),IF(E$8="",NA(),IF(N(E$8)=0,NA(),IF(Inputs!$C$17="Rebased to 100",$E1741/E$8*100,$E1741)))))</f>
        <v/>
      </c>
      <c r="L1741" s="54">
        <f>IF($B1741=0,NA(),IF($F1741="",NA(),IF(F$8="",NA(),IF(N(F$8)=0,NA(),IF(Inputs!$C$17="Rebased to 100",$F1741/F$8*100,$F1741)))))</f>
        <v/>
      </c>
      <c r="M1741" s="54">
        <f>IF($B1741=0,NA(),IF($G1741="",NA(),IF(G$8="",NA(),IF(N(G$8)=0,NA(),IF(Inputs!$C$17="Rebased to 100",$G1741/G$8*100,$G1741)))))</f>
        <v/>
      </c>
      <c r="N1741" s="54">
        <f>IF($B1741=0,NA(),IF(Inputs!$C$18&lt;&gt;"Yes",NA(),IF(COUNT(I1741,J1741,K1741,L1741,M1741)=0,NA(),MIN(I1741,J1741,K1741,L1741,M1741))))</f>
        <v/>
      </c>
      <c r="O1741" s="54">
        <f>IF($B1741=0,NA(),IF(Inputs!$B$24&lt;&gt;"Yes",NA(),Inputs!$D$24*Inputs!$C$35))</f>
        <v/>
      </c>
      <c r="P1741" s="54">
        <f>IF($B1741=0,NA(),IF(Inputs!$B$25&lt;&gt;"Yes",NA(),Inputs!$D$25*Inputs!$C$35))</f>
        <v/>
      </c>
      <c r="Q1741" s="54">
        <f>IF($B1741=0,NA(),IF(Inputs!$B$26&lt;&gt;"Yes",NA(),Inputs!$D$26*Inputs!$C$35))</f>
        <v/>
      </c>
      <c r="R1741" s="54">
        <f>IF($B1741=0,NA(),IF(Inputs!$B$27&lt;&gt;"Yes",NA(),Inputs!$D$27*Inputs!$C$35))</f>
        <v/>
      </c>
      <c r="S1741" s="54">
        <f>IF($B1741=0,NA(),IF(Inputs!$B$28&lt;&gt;"Yes",NA(),Inputs!$D$28*Inputs!$C$35))</f>
        <v/>
      </c>
      <c r="T1741" s="54">
        <f>IF($B1741=0,NA(),IF(Inputs!$B$29&lt;&gt;"Yes",NA(),Inputs!$D$29*Inputs!$C$35))</f>
        <v/>
      </c>
      <c r="AD1741">
        <f>IF($B1741=0,0,IF(Inputs!$B$6="",0,COUNTIFS(Data!$A$10:$A$3209,"&gt;="&amp;$A1741,Data!$A$10:$A$3209,"&lt;"&amp;$A1741+1)))</f>
        <v/>
      </c>
      <c r="AE1741">
        <f>IF($B1741=0,0,IF(Inputs!$B$7="",0,COUNTIFS(Data!$E$10:$E$3209,"&gt;="&amp;$A1741,Data!$E$10:$E$3209,"&lt;"&amp;$A1741+1)))</f>
        <v/>
      </c>
      <c r="AF1741">
        <f>IF($B1741=0,0,IF(Inputs!$B$8="",0,COUNTIFS(Data!$I$10:$I$3209,"&gt;="&amp;$A1741,Data!$I$10:$I$3209,"&lt;"&amp;$A1741+1)))</f>
        <v/>
      </c>
      <c r="AG1741">
        <f>IF($B1741=0,0,IF(Inputs!$B$9="",0,COUNTIFS(Data!$M$10:$M$3209,"&gt;="&amp;$A1741,Data!$M$10:$M$3209,"&lt;"&amp;$A1741+1)))</f>
        <v/>
      </c>
      <c r="AH1741">
        <f>IF($B1741=0,0,IF(Inputs!$B$10="",0,COUNTIFS(Data!$Q$10:$Q$3209,"&gt;="&amp;$A1741,Data!$Q$10:$Q$3209,"&lt;"&amp;$A1741+1)))</f>
        <v/>
      </c>
    </row>
    <row r="1742">
      <c r="A1742" s="55">
        <f>MIN(Inputs!$C$15,$A1741+IF(WEEKDAY($A1741,2)=5,3,1))</f>
        <v/>
      </c>
      <c r="B1742">
        <f>IF($A1742&gt;$A1741,1,0)</f>
        <v/>
      </c>
      <c r="C1742" s="56">
        <f>IF($B1742=0,"",IF(Inputs!$B$6="","",IF($AD1742=0,C1741,SUMIFS(Data!$B$10:$B$3209,Data!$A$10:$A$3209,"&gt;="&amp;$A1742,Data!$A$10:$A$3209,"&lt;"&amp;$A1742+1)/$AD1742)))</f>
        <v/>
      </c>
      <c r="D1742" s="56">
        <f>IF($B1742=0,"",IF(Inputs!$B$7="","",IF($AE1742=0,D1741,SUMIFS(Data!$F$10:$F$3209,Data!$E$10:$E$3209,"&gt;="&amp;$A1742,Data!$E$10:$E$3209,"&lt;"&amp;$A1742+1)/$AE1742)))</f>
        <v/>
      </c>
      <c r="E1742" s="56">
        <f>IF($B1742=0,"",IF(Inputs!$B$8="","",IF($AF1742=0,E1741,SUMIFS(Data!$J$10:$J$3209,Data!$I$10:$I$3209,"&gt;="&amp;$A1742,Data!$I$10:$I$3209,"&lt;"&amp;$A1742+1)/$AF1742)))</f>
        <v/>
      </c>
      <c r="F1742" s="56">
        <f>IF($B1742=0,"",IF(Inputs!$B$9="","",IF($AG1742=0,F1741,SUMIFS(Data!$N$10:$N$3209,Data!$M$10:$M$3209,"&gt;="&amp;$A1742,Data!$M$10:$M$3209,"&lt;"&amp;$A1742+1)/$AG1742)))</f>
        <v/>
      </c>
      <c r="G1742" s="56">
        <f>IF($B1742=0,"",IF(Inputs!$B$10="","",IF($AH1742=0,G1741,SUMIFS(Data!$R$10:$R$3209,Data!$Q$10:$Q$3209,"&gt;="&amp;$A1742,Data!$Q$10:$Q$3209,"&lt;"&amp;$A1742+1)/$AH1742)))</f>
        <v/>
      </c>
      <c r="I1742" s="54">
        <f>IF($B1742=0,NA(),IF($C1742="",NA(),IF(C$8="",NA(),IF(N(C$8)=0,NA(),IF(Inputs!$C$17="Rebased to 100",$C1742/C$8*100,$C1742)))))</f>
        <v/>
      </c>
      <c r="J1742" s="54">
        <f>IF($B1742=0,NA(),IF($D1742="",NA(),IF(D$8="",NA(),IF(N(D$8)=0,NA(),IF(Inputs!$C$17="Rebased to 100",$D1742/D$8*100,$D1742)))))</f>
        <v/>
      </c>
      <c r="K1742" s="54">
        <f>IF($B1742=0,NA(),IF($E1742="",NA(),IF(E$8="",NA(),IF(N(E$8)=0,NA(),IF(Inputs!$C$17="Rebased to 100",$E1742/E$8*100,$E1742)))))</f>
        <v/>
      </c>
      <c r="L1742" s="54">
        <f>IF($B1742=0,NA(),IF($F1742="",NA(),IF(F$8="",NA(),IF(N(F$8)=0,NA(),IF(Inputs!$C$17="Rebased to 100",$F1742/F$8*100,$F1742)))))</f>
        <v/>
      </c>
      <c r="M1742" s="54">
        <f>IF($B1742=0,NA(),IF($G1742="",NA(),IF(G$8="",NA(),IF(N(G$8)=0,NA(),IF(Inputs!$C$17="Rebased to 100",$G1742/G$8*100,$G1742)))))</f>
        <v/>
      </c>
      <c r="N1742" s="54">
        <f>IF($B1742=0,NA(),IF(Inputs!$C$18&lt;&gt;"Yes",NA(),IF(COUNT(I1742,J1742,K1742,L1742,M1742)=0,NA(),MIN(I1742,J1742,K1742,L1742,M1742))))</f>
        <v/>
      </c>
      <c r="O1742" s="54">
        <f>IF($B1742=0,NA(),IF(Inputs!$B$24&lt;&gt;"Yes",NA(),Inputs!$D$24*Inputs!$C$35))</f>
        <v/>
      </c>
      <c r="P1742" s="54">
        <f>IF($B1742=0,NA(),IF(Inputs!$B$25&lt;&gt;"Yes",NA(),Inputs!$D$25*Inputs!$C$35))</f>
        <v/>
      </c>
      <c r="Q1742" s="54">
        <f>IF($B1742=0,NA(),IF(Inputs!$B$26&lt;&gt;"Yes",NA(),Inputs!$D$26*Inputs!$C$35))</f>
        <v/>
      </c>
      <c r="R1742" s="54">
        <f>IF($B1742=0,NA(),IF(Inputs!$B$27&lt;&gt;"Yes",NA(),Inputs!$D$27*Inputs!$C$35))</f>
        <v/>
      </c>
      <c r="S1742" s="54">
        <f>IF($B1742=0,NA(),IF(Inputs!$B$28&lt;&gt;"Yes",NA(),Inputs!$D$28*Inputs!$C$35))</f>
        <v/>
      </c>
      <c r="T1742" s="54">
        <f>IF($B1742=0,NA(),IF(Inputs!$B$29&lt;&gt;"Yes",NA(),Inputs!$D$29*Inputs!$C$35))</f>
        <v/>
      </c>
      <c r="AD1742">
        <f>IF($B1742=0,0,IF(Inputs!$B$6="",0,COUNTIFS(Data!$A$10:$A$3209,"&gt;="&amp;$A1742,Data!$A$10:$A$3209,"&lt;"&amp;$A1742+1)))</f>
        <v/>
      </c>
      <c r="AE1742">
        <f>IF($B1742=0,0,IF(Inputs!$B$7="",0,COUNTIFS(Data!$E$10:$E$3209,"&gt;="&amp;$A1742,Data!$E$10:$E$3209,"&lt;"&amp;$A1742+1)))</f>
        <v/>
      </c>
      <c r="AF1742">
        <f>IF($B1742=0,0,IF(Inputs!$B$8="",0,COUNTIFS(Data!$I$10:$I$3209,"&gt;="&amp;$A1742,Data!$I$10:$I$3209,"&lt;"&amp;$A1742+1)))</f>
        <v/>
      </c>
      <c r="AG1742">
        <f>IF($B1742=0,0,IF(Inputs!$B$9="",0,COUNTIFS(Data!$M$10:$M$3209,"&gt;="&amp;$A1742,Data!$M$10:$M$3209,"&lt;"&amp;$A1742+1)))</f>
        <v/>
      </c>
      <c r="AH1742">
        <f>IF($B1742=0,0,IF(Inputs!$B$10="",0,COUNTIFS(Data!$Q$10:$Q$3209,"&gt;="&amp;$A1742,Data!$Q$10:$Q$3209,"&lt;"&amp;$A1742+1)))</f>
        <v/>
      </c>
    </row>
    <row r="1743">
      <c r="A1743" s="55">
        <f>MIN(Inputs!$C$15,$A1742+IF(WEEKDAY($A1742,2)=5,3,1))</f>
        <v/>
      </c>
      <c r="B1743">
        <f>IF($A1743&gt;$A1742,1,0)</f>
        <v/>
      </c>
      <c r="C1743" s="56">
        <f>IF($B1743=0,"",IF(Inputs!$B$6="","",IF($AD1743=0,C1742,SUMIFS(Data!$B$10:$B$3209,Data!$A$10:$A$3209,"&gt;="&amp;$A1743,Data!$A$10:$A$3209,"&lt;"&amp;$A1743+1)/$AD1743)))</f>
        <v/>
      </c>
      <c r="D1743" s="56">
        <f>IF($B1743=0,"",IF(Inputs!$B$7="","",IF($AE1743=0,D1742,SUMIFS(Data!$F$10:$F$3209,Data!$E$10:$E$3209,"&gt;="&amp;$A1743,Data!$E$10:$E$3209,"&lt;"&amp;$A1743+1)/$AE1743)))</f>
        <v/>
      </c>
      <c r="E1743" s="56">
        <f>IF($B1743=0,"",IF(Inputs!$B$8="","",IF($AF1743=0,E1742,SUMIFS(Data!$J$10:$J$3209,Data!$I$10:$I$3209,"&gt;="&amp;$A1743,Data!$I$10:$I$3209,"&lt;"&amp;$A1743+1)/$AF1743)))</f>
        <v/>
      </c>
      <c r="F1743" s="56">
        <f>IF($B1743=0,"",IF(Inputs!$B$9="","",IF($AG1743=0,F1742,SUMIFS(Data!$N$10:$N$3209,Data!$M$10:$M$3209,"&gt;="&amp;$A1743,Data!$M$10:$M$3209,"&lt;"&amp;$A1743+1)/$AG1743)))</f>
        <v/>
      </c>
      <c r="G1743" s="56">
        <f>IF($B1743=0,"",IF(Inputs!$B$10="","",IF($AH1743=0,G1742,SUMIFS(Data!$R$10:$R$3209,Data!$Q$10:$Q$3209,"&gt;="&amp;$A1743,Data!$Q$10:$Q$3209,"&lt;"&amp;$A1743+1)/$AH1743)))</f>
        <v/>
      </c>
      <c r="I1743" s="54">
        <f>IF($B1743=0,NA(),IF($C1743="",NA(),IF(C$8="",NA(),IF(N(C$8)=0,NA(),IF(Inputs!$C$17="Rebased to 100",$C1743/C$8*100,$C1743)))))</f>
        <v/>
      </c>
      <c r="J1743" s="54">
        <f>IF($B1743=0,NA(),IF($D1743="",NA(),IF(D$8="",NA(),IF(N(D$8)=0,NA(),IF(Inputs!$C$17="Rebased to 100",$D1743/D$8*100,$D1743)))))</f>
        <v/>
      </c>
      <c r="K1743" s="54">
        <f>IF($B1743=0,NA(),IF($E1743="",NA(),IF(E$8="",NA(),IF(N(E$8)=0,NA(),IF(Inputs!$C$17="Rebased to 100",$E1743/E$8*100,$E1743)))))</f>
        <v/>
      </c>
      <c r="L1743" s="54">
        <f>IF($B1743=0,NA(),IF($F1743="",NA(),IF(F$8="",NA(),IF(N(F$8)=0,NA(),IF(Inputs!$C$17="Rebased to 100",$F1743/F$8*100,$F1743)))))</f>
        <v/>
      </c>
      <c r="M1743" s="54">
        <f>IF($B1743=0,NA(),IF($G1743="",NA(),IF(G$8="",NA(),IF(N(G$8)=0,NA(),IF(Inputs!$C$17="Rebased to 100",$G1743/G$8*100,$G1743)))))</f>
        <v/>
      </c>
      <c r="N1743" s="54">
        <f>IF($B1743=0,NA(),IF(Inputs!$C$18&lt;&gt;"Yes",NA(),IF(COUNT(I1743,J1743,K1743,L1743,M1743)=0,NA(),MIN(I1743,J1743,K1743,L1743,M1743))))</f>
        <v/>
      </c>
      <c r="O1743" s="54">
        <f>IF($B1743=0,NA(),IF(Inputs!$B$24&lt;&gt;"Yes",NA(),Inputs!$D$24*Inputs!$C$35))</f>
        <v/>
      </c>
      <c r="P1743" s="54">
        <f>IF($B1743=0,NA(),IF(Inputs!$B$25&lt;&gt;"Yes",NA(),Inputs!$D$25*Inputs!$C$35))</f>
        <v/>
      </c>
      <c r="Q1743" s="54">
        <f>IF($B1743=0,NA(),IF(Inputs!$B$26&lt;&gt;"Yes",NA(),Inputs!$D$26*Inputs!$C$35))</f>
        <v/>
      </c>
      <c r="R1743" s="54">
        <f>IF($B1743=0,NA(),IF(Inputs!$B$27&lt;&gt;"Yes",NA(),Inputs!$D$27*Inputs!$C$35))</f>
        <v/>
      </c>
      <c r="S1743" s="54">
        <f>IF($B1743=0,NA(),IF(Inputs!$B$28&lt;&gt;"Yes",NA(),Inputs!$D$28*Inputs!$C$35))</f>
        <v/>
      </c>
      <c r="T1743" s="54">
        <f>IF($B1743=0,NA(),IF(Inputs!$B$29&lt;&gt;"Yes",NA(),Inputs!$D$29*Inputs!$C$35))</f>
        <v/>
      </c>
      <c r="AD1743">
        <f>IF($B1743=0,0,IF(Inputs!$B$6="",0,COUNTIFS(Data!$A$10:$A$3209,"&gt;="&amp;$A1743,Data!$A$10:$A$3209,"&lt;"&amp;$A1743+1)))</f>
        <v/>
      </c>
      <c r="AE1743">
        <f>IF($B1743=0,0,IF(Inputs!$B$7="",0,COUNTIFS(Data!$E$10:$E$3209,"&gt;="&amp;$A1743,Data!$E$10:$E$3209,"&lt;"&amp;$A1743+1)))</f>
        <v/>
      </c>
      <c r="AF1743">
        <f>IF($B1743=0,0,IF(Inputs!$B$8="",0,COUNTIFS(Data!$I$10:$I$3209,"&gt;="&amp;$A1743,Data!$I$10:$I$3209,"&lt;"&amp;$A1743+1)))</f>
        <v/>
      </c>
      <c r="AG1743">
        <f>IF($B1743=0,0,IF(Inputs!$B$9="",0,COUNTIFS(Data!$M$10:$M$3209,"&gt;="&amp;$A1743,Data!$M$10:$M$3209,"&lt;"&amp;$A1743+1)))</f>
        <v/>
      </c>
      <c r="AH1743">
        <f>IF($B1743=0,0,IF(Inputs!$B$10="",0,COUNTIFS(Data!$Q$10:$Q$3209,"&gt;="&amp;$A1743,Data!$Q$10:$Q$3209,"&lt;"&amp;$A1743+1)))</f>
        <v/>
      </c>
    </row>
    <row r="1744">
      <c r="A1744" s="55">
        <f>MIN(Inputs!$C$15,$A1743+IF(WEEKDAY($A1743,2)=5,3,1))</f>
        <v/>
      </c>
      <c r="B1744">
        <f>IF($A1744&gt;$A1743,1,0)</f>
        <v/>
      </c>
      <c r="C1744" s="56">
        <f>IF($B1744=0,"",IF(Inputs!$B$6="","",IF($AD1744=0,C1743,SUMIFS(Data!$B$10:$B$3209,Data!$A$10:$A$3209,"&gt;="&amp;$A1744,Data!$A$10:$A$3209,"&lt;"&amp;$A1744+1)/$AD1744)))</f>
        <v/>
      </c>
      <c r="D1744" s="56">
        <f>IF($B1744=0,"",IF(Inputs!$B$7="","",IF($AE1744=0,D1743,SUMIFS(Data!$F$10:$F$3209,Data!$E$10:$E$3209,"&gt;="&amp;$A1744,Data!$E$10:$E$3209,"&lt;"&amp;$A1744+1)/$AE1744)))</f>
        <v/>
      </c>
      <c r="E1744" s="56">
        <f>IF($B1744=0,"",IF(Inputs!$B$8="","",IF($AF1744=0,E1743,SUMIFS(Data!$J$10:$J$3209,Data!$I$10:$I$3209,"&gt;="&amp;$A1744,Data!$I$10:$I$3209,"&lt;"&amp;$A1744+1)/$AF1744)))</f>
        <v/>
      </c>
      <c r="F1744" s="56">
        <f>IF($B1744=0,"",IF(Inputs!$B$9="","",IF($AG1744=0,F1743,SUMIFS(Data!$N$10:$N$3209,Data!$M$10:$M$3209,"&gt;="&amp;$A1744,Data!$M$10:$M$3209,"&lt;"&amp;$A1744+1)/$AG1744)))</f>
        <v/>
      </c>
      <c r="G1744" s="56">
        <f>IF($B1744=0,"",IF(Inputs!$B$10="","",IF($AH1744=0,G1743,SUMIFS(Data!$R$10:$R$3209,Data!$Q$10:$Q$3209,"&gt;="&amp;$A1744,Data!$Q$10:$Q$3209,"&lt;"&amp;$A1744+1)/$AH1744)))</f>
        <v/>
      </c>
      <c r="I1744" s="54">
        <f>IF($B1744=0,NA(),IF($C1744="",NA(),IF(C$8="",NA(),IF(N(C$8)=0,NA(),IF(Inputs!$C$17="Rebased to 100",$C1744/C$8*100,$C1744)))))</f>
        <v/>
      </c>
      <c r="J1744" s="54">
        <f>IF($B1744=0,NA(),IF($D1744="",NA(),IF(D$8="",NA(),IF(N(D$8)=0,NA(),IF(Inputs!$C$17="Rebased to 100",$D1744/D$8*100,$D1744)))))</f>
        <v/>
      </c>
      <c r="K1744" s="54">
        <f>IF($B1744=0,NA(),IF($E1744="",NA(),IF(E$8="",NA(),IF(N(E$8)=0,NA(),IF(Inputs!$C$17="Rebased to 100",$E1744/E$8*100,$E1744)))))</f>
        <v/>
      </c>
      <c r="L1744" s="54">
        <f>IF($B1744=0,NA(),IF($F1744="",NA(),IF(F$8="",NA(),IF(N(F$8)=0,NA(),IF(Inputs!$C$17="Rebased to 100",$F1744/F$8*100,$F1744)))))</f>
        <v/>
      </c>
      <c r="M1744" s="54">
        <f>IF($B1744=0,NA(),IF($G1744="",NA(),IF(G$8="",NA(),IF(N(G$8)=0,NA(),IF(Inputs!$C$17="Rebased to 100",$G1744/G$8*100,$G1744)))))</f>
        <v/>
      </c>
      <c r="N1744" s="54">
        <f>IF($B1744=0,NA(),IF(Inputs!$C$18&lt;&gt;"Yes",NA(),IF(COUNT(I1744,J1744,K1744,L1744,M1744)=0,NA(),MIN(I1744,J1744,K1744,L1744,M1744))))</f>
        <v/>
      </c>
      <c r="O1744" s="54">
        <f>IF($B1744=0,NA(),IF(Inputs!$B$24&lt;&gt;"Yes",NA(),Inputs!$D$24*Inputs!$C$35))</f>
        <v/>
      </c>
      <c r="P1744" s="54">
        <f>IF($B1744=0,NA(),IF(Inputs!$B$25&lt;&gt;"Yes",NA(),Inputs!$D$25*Inputs!$C$35))</f>
        <v/>
      </c>
      <c r="Q1744" s="54">
        <f>IF($B1744=0,NA(),IF(Inputs!$B$26&lt;&gt;"Yes",NA(),Inputs!$D$26*Inputs!$C$35))</f>
        <v/>
      </c>
      <c r="R1744" s="54">
        <f>IF($B1744=0,NA(),IF(Inputs!$B$27&lt;&gt;"Yes",NA(),Inputs!$D$27*Inputs!$C$35))</f>
        <v/>
      </c>
      <c r="S1744" s="54">
        <f>IF($B1744=0,NA(),IF(Inputs!$B$28&lt;&gt;"Yes",NA(),Inputs!$D$28*Inputs!$C$35))</f>
        <v/>
      </c>
      <c r="T1744" s="54">
        <f>IF($B1744=0,NA(),IF(Inputs!$B$29&lt;&gt;"Yes",NA(),Inputs!$D$29*Inputs!$C$35))</f>
        <v/>
      </c>
      <c r="AD1744">
        <f>IF($B1744=0,0,IF(Inputs!$B$6="",0,COUNTIFS(Data!$A$10:$A$3209,"&gt;="&amp;$A1744,Data!$A$10:$A$3209,"&lt;"&amp;$A1744+1)))</f>
        <v/>
      </c>
      <c r="AE1744">
        <f>IF($B1744=0,0,IF(Inputs!$B$7="",0,COUNTIFS(Data!$E$10:$E$3209,"&gt;="&amp;$A1744,Data!$E$10:$E$3209,"&lt;"&amp;$A1744+1)))</f>
        <v/>
      </c>
      <c r="AF1744">
        <f>IF($B1744=0,0,IF(Inputs!$B$8="",0,COUNTIFS(Data!$I$10:$I$3209,"&gt;="&amp;$A1744,Data!$I$10:$I$3209,"&lt;"&amp;$A1744+1)))</f>
        <v/>
      </c>
      <c r="AG1744">
        <f>IF($B1744=0,0,IF(Inputs!$B$9="",0,COUNTIFS(Data!$M$10:$M$3209,"&gt;="&amp;$A1744,Data!$M$10:$M$3209,"&lt;"&amp;$A1744+1)))</f>
        <v/>
      </c>
      <c r="AH1744">
        <f>IF($B1744=0,0,IF(Inputs!$B$10="",0,COUNTIFS(Data!$Q$10:$Q$3209,"&gt;="&amp;$A1744,Data!$Q$10:$Q$3209,"&lt;"&amp;$A1744+1)))</f>
        <v/>
      </c>
    </row>
    <row r="1745">
      <c r="A1745" s="55">
        <f>MIN(Inputs!$C$15,$A1744+IF(WEEKDAY($A1744,2)=5,3,1))</f>
        <v/>
      </c>
      <c r="B1745">
        <f>IF($A1745&gt;$A1744,1,0)</f>
        <v/>
      </c>
      <c r="C1745" s="56">
        <f>IF($B1745=0,"",IF(Inputs!$B$6="","",IF($AD1745=0,C1744,SUMIFS(Data!$B$10:$B$3209,Data!$A$10:$A$3209,"&gt;="&amp;$A1745,Data!$A$10:$A$3209,"&lt;"&amp;$A1745+1)/$AD1745)))</f>
        <v/>
      </c>
      <c r="D1745" s="56">
        <f>IF($B1745=0,"",IF(Inputs!$B$7="","",IF($AE1745=0,D1744,SUMIFS(Data!$F$10:$F$3209,Data!$E$10:$E$3209,"&gt;="&amp;$A1745,Data!$E$10:$E$3209,"&lt;"&amp;$A1745+1)/$AE1745)))</f>
        <v/>
      </c>
      <c r="E1745" s="56">
        <f>IF($B1745=0,"",IF(Inputs!$B$8="","",IF($AF1745=0,E1744,SUMIFS(Data!$J$10:$J$3209,Data!$I$10:$I$3209,"&gt;="&amp;$A1745,Data!$I$10:$I$3209,"&lt;"&amp;$A1745+1)/$AF1745)))</f>
        <v/>
      </c>
      <c r="F1745" s="56">
        <f>IF($B1745=0,"",IF(Inputs!$B$9="","",IF($AG1745=0,F1744,SUMIFS(Data!$N$10:$N$3209,Data!$M$10:$M$3209,"&gt;="&amp;$A1745,Data!$M$10:$M$3209,"&lt;"&amp;$A1745+1)/$AG1745)))</f>
        <v/>
      </c>
      <c r="G1745" s="56">
        <f>IF($B1745=0,"",IF(Inputs!$B$10="","",IF($AH1745=0,G1744,SUMIFS(Data!$R$10:$R$3209,Data!$Q$10:$Q$3209,"&gt;="&amp;$A1745,Data!$Q$10:$Q$3209,"&lt;"&amp;$A1745+1)/$AH1745)))</f>
        <v/>
      </c>
      <c r="I1745" s="54">
        <f>IF($B1745=0,NA(),IF($C1745="",NA(),IF(C$8="",NA(),IF(N(C$8)=0,NA(),IF(Inputs!$C$17="Rebased to 100",$C1745/C$8*100,$C1745)))))</f>
        <v/>
      </c>
      <c r="J1745" s="54">
        <f>IF($B1745=0,NA(),IF($D1745="",NA(),IF(D$8="",NA(),IF(N(D$8)=0,NA(),IF(Inputs!$C$17="Rebased to 100",$D1745/D$8*100,$D1745)))))</f>
        <v/>
      </c>
      <c r="K1745" s="54">
        <f>IF($B1745=0,NA(),IF($E1745="",NA(),IF(E$8="",NA(),IF(N(E$8)=0,NA(),IF(Inputs!$C$17="Rebased to 100",$E1745/E$8*100,$E1745)))))</f>
        <v/>
      </c>
      <c r="L1745" s="54">
        <f>IF($B1745=0,NA(),IF($F1745="",NA(),IF(F$8="",NA(),IF(N(F$8)=0,NA(),IF(Inputs!$C$17="Rebased to 100",$F1745/F$8*100,$F1745)))))</f>
        <v/>
      </c>
      <c r="M1745" s="54">
        <f>IF($B1745=0,NA(),IF($G1745="",NA(),IF(G$8="",NA(),IF(N(G$8)=0,NA(),IF(Inputs!$C$17="Rebased to 100",$G1745/G$8*100,$G1745)))))</f>
        <v/>
      </c>
      <c r="N1745" s="54">
        <f>IF($B1745=0,NA(),IF(Inputs!$C$18&lt;&gt;"Yes",NA(),IF(COUNT(I1745,J1745,K1745,L1745,M1745)=0,NA(),MIN(I1745,J1745,K1745,L1745,M1745))))</f>
        <v/>
      </c>
      <c r="O1745" s="54">
        <f>IF($B1745=0,NA(),IF(Inputs!$B$24&lt;&gt;"Yes",NA(),Inputs!$D$24*Inputs!$C$35))</f>
        <v/>
      </c>
      <c r="P1745" s="54">
        <f>IF($B1745=0,NA(),IF(Inputs!$B$25&lt;&gt;"Yes",NA(),Inputs!$D$25*Inputs!$C$35))</f>
        <v/>
      </c>
      <c r="Q1745" s="54">
        <f>IF($B1745=0,NA(),IF(Inputs!$B$26&lt;&gt;"Yes",NA(),Inputs!$D$26*Inputs!$C$35))</f>
        <v/>
      </c>
      <c r="R1745" s="54">
        <f>IF($B1745=0,NA(),IF(Inputs!$B$27&lt;&gt;"Yes",NA(),Inputs!$D$27*Inputs!$C$35))</f>
        <v/>
      </c>
      <c r="S1745" s="54">
        <f>IF($B1745=0,NA(),IF(Inputs!$B$28&lt;&gt;"Yes",NA(),Inputs!$D$28*Inputs!$C$35))</f>
        <v/>
      </c>
      <c r="T1745" s="54">
        <f>IF($B1745=0,NA(),IF(Inputs!$B$29&lt;&gt;"Yes",NA(),Inputs!$D$29*Inputs!$C$35))</f>
        <v/>
      </c>
      <c r="AD1745">
        <f>IF($B1745=0,0,IF(Inputs!$B$6="",0,COUNTIFS(Data!$A$10:$A$3209,"&gt;="&amp;$A1745,Data!$A$10:$A$3209,"&lt;"&amp;$A1745+1)))</f>
        <v/>
      </c>
      <c r="AE1745">
        <f>IF($B1745=0,0,IF(Inputs!$B$7="",0,COUNTIFS(Data!$E$10:$E$3209,"&gt;="&amp;$A1745,Data!$E$10:$E$3209,"&lt;"&amp;$A1745+1)))</f>
        <v/>
      </c>
      <c r="AF1745">
        <f>IF($B1745=0,0,IF(Inputs!$B$8="",0,COUNTIFS(Data!$I$10:$I$3209,"&gt;="&amp;$A1745,Data!$I$10:$I$3209,"&lt;"&amp;$A1745+1)))</f>
        <v/>
      </c>
      <c r="AG1745">
        <f>IF($B1745=0,0,IF(Inputs!$B$9="",0,COUNTIFS(Data!$M$10:$M$3209,"&gt;="&amp;$A1745,Data!$M$10:$M$3209,"&lt;"&amp;$A1745+1)))</f>
        <v/>
      </c>
      <c r="AH1745">
        <f>IF($B1745=0,0,IF(Inputs!$B$10="",0,COUNTIFS(Data!$Q$10:$Q$3209,"&gt;="&amp;$A1745,Data!$Q$10:$Q$3209,"&lt;"&amp;$A1745+1)))</f>
        <v/>
      </c>
    </row>
    <row r="1746">
      <c r="A1746" s="55">
        <f>MIN(Inputs!$C$15,$A1745+IF(WEEKDAY($A1745,2)=5,3,1))</f>
        <v/>
      </c>
      <c r="B1746">
        <f>IF($A1746&gt;$A1745,1,0)</f>
        <v/>
      </c>
      <c r="C1746" s="56">
        <f>IF($B1746=0,"",IF(Inputs!$B$6="","",IF($AD1746=0,C1745,SUMIFS(Data!$B$10:$B$3209,Data!$A$10:$A$3209,"&gt;="&amp;$A1746,Data!$A$10:$A$3209,"&lt;"&amp;$A1746+1)/$AD1746)))</f>
        <v/>
      </c>
      <c r="D1746" s="56">
        <f>IF($B1746=0,"",IF(Inputs!$B$7="","",IF($AE1746=0,D1745,SUMIFS(Data!$F$10:$F$3209,Data!$E$10:$E$3209,"&gt;="&amp;$A1746,Data!$E$10:$E$3209,"&lt;"&amp;$A1746+1)/$AE1746)))</f>
        <v/>
      </c>
      <c r="E1746" s="56">
        <f>IF($B1746=0,"",IF(Inputs!$B$8="","",IF($AF1746=0,E1745,SUMIFS(Data!$J$10:$J$3209,Data!$I$10:$I$3209,"&gt;="&amp;$A1746,Data!$I$10:$I$3209,"&lt;"&amp;$A1746+1)/$AF1746)))</f>
        <v/>
      </c>
      <c r="F1746" s="56">
        <f>IF($B1746=0,"",IF(Inputs!$B$9="","",IF($AG1746=0,F1745,SUMIFS(Data!$N$10:$N$3209,Data!$M$10:$M$3209,"&gt;="&amp;$A1746,Data!$M$10:$M$3209,"&lt;"&amp;$A1746+1)/$AG1746)))</f>
        <v/>
      </c>
      <c r="G1746" s="56">
        <f>IF($B1746=0,"",IF(Inputs!$B$10="","",IF($AH1746=0,G1745,SUMIFS(Data!$R$10:$R$3209,Data!$Q$10:$Q$3209,"&gt;="&amp;$A1746,Data!$Q$10:$Q$3209,"&lt;"&amp;$A1746+1)/$AH1746)))</f>
        <v/>
      </c>
      <c r="I1746" s="54">
        <f>IF($B1746=0,NA(),IF($C1746="",NA(),IF(C$8="",NA(),IF(N(C$8)=0,NA(),IF(Inputs!$C$17="Rebased to 100",$C1746/C$8*100,$C1746)))))</f>
        <v/>
      </c>
      <c r="J1746" s="54">
        <f>IF($B1746=0,NA(),IF($D1746="",NA(),IF(D$8="",NA(),IF(N(D$8)=0,NA(),IF(Inputs!$C$17="Rebased to 100",$D1746/D$8*100,$D1746)))))</f>
        <v/>
      </c>
      <c r="K1746" s="54">
        <f>IF($B1746=0,NA(),IF($E1746="",NA(),IF(E$8="",NA(),IF(N(E$8)=0,NA(),IF(Inputs!$C$17="Rebased to 100",$E1746/E$8*100,$E1746)))))</f>
        <v/>
      </c>
      <c r="L1746" s="54">
        <f>IF($B1746=0,NA(),IF($F1746="",NA(),IF(F$8="",NA(),IF(N(F$8)=0,NA(),IF(Inputs!$C$17="Rebased to 100",$F1746/F$8*100,$F1746)))))</f>
        <v/>
      </c>
      <c r="M1746" s="54">
        <f>IF($B1746=0,NA(),IF($G1746="",NA(),IF(G$8="",NA(),IF(N(G$8)=0,NA(),IF(Inputs!$C$17="Rebased to 100",$G1746/G$8*100,$G1746)))))</f>
        <v/>
      </c>
      <c r="N1746" s="54">
        <f>IF($B1746=0,NA(),IF(Inputs!$C$18&lt;&gt;"Yes",NA(),IF(COUNT(I1746,J1746,K1746,L1746,M1746)=0,NA(),MIN(I1746,J1746,K1746,L1746,M1746))))</f>
        <v/>
      </c>
      <c r="O1746" s="54">
        <f>IF($B1746=0,NA(),IF(Inputs!$B$24&lt;&gt;"Yes",NA(),Inputs!$D$24*Inputs!$C$35))</f>
        <v/>
      </c>
      <c r="P1746" s="54">
        <f>IF($B1746=0,NA(),IF(Inputs!$B$25&lt;&gt;"Yes",NA(),Inputs!$D$25*Inputs!$C$35))</f>
        <v/>
      </c>
      <c r="Q1746" s="54">
        <f>IF($B1746=0,NA(),IF(Inputs!$B$26&lt;&gt;"Yes",NA(),Inputs!$D$26*Inputs!$C$35))</f>
        <v/>
      </c>
      <c r="R1746" s="54">
        <f>IF($B1746=0,NA(),IF(Inputs!$B$27&lt;&gt;"Yes",NA(),Inputs!$D$27*Inputs!$C$35))</f>
        <v/>
      </c>
      <c r="S1746" s="54">
        <f>IF($B1746=0,NA(),IF(Inputs!$B$28&lt;&gt;"Yes",NA(),Inputs!$D$28*Inputs!$C$35))</f>
        <v/>
      </c>
      <c r="T1746" s="54">
        <f>IF($B1746=0,NA(),IF(Inputs!$B$29&lt;&gt;"Yes",NA(),Inputs!$D$29*Inputs!$C$35))</f>
        <v/>
      </c>
      <c r="AD1746">
        <f>IF($B1746=0,0,IF(Inputs!$B$6="",0,COUNTIFS(Data!$A$10:$A$3209,"&gt;="&amp;$A1746,Data!$A$10:$A$3209,"&lt;"&amp;$A1746+1)))</f>
        <v/>
      </c>
      <c r="AE1746">
        <f>IF($B1746=0,0,IF(Inputs!$B$7="",0,COUNTIFS(Data!$E$10:$E$3209,"&gt;="&amp;$A1746,Data!$E$10:$E$3209,"&lt;"&amp;$A1746+1)))</f>
        <v/>
      </c>
      <c r="AF1746">
        <f>IF($B1746=0,0,IF(Inputs!$B$8="",0,COUNTIFS(Data!$I$10:$I$3209,"&gt;="&amp;$A1746,Data!$I$10:$I$3209,"&lt;"&amp;$A1746+1)))</f>
        <v/>
      </c>
      <c r="AG1746">
        <f>IF($B1746=0,0,IF(Inputs!$B$9="",0,COUNTIFS(Data!$M$10:$M$3209,"&gt;="&amp;$A1746,Data!$M$10:$M$3209,"&lt;"&amp;$A1746+1)))</f>
        <v/>
      </c>
      <c r="AH1746">
        <f>IF($B1746=0,0,IF(Inputs!$B$10="",0,COUNTIFS(Data!$Q$10:$Q$3209,"&gt;="&amp;$A1746,Data!$Q$10:$Q$3209,"&lt;"&amp;$A1746+1)))</f>
        <v/>
      </c>
    </row>
    <row r="1747">
      <c r="A1747" s="55">
        <f>MIN(Inputs!$C$15,$A1746+IF(WEEKDAY($A1746,2)=5,3,1))</f>
        <v/>
      </c>
      <c r="B1747">
        <f>IF($A1747&gt;$A1746,1,0)</f>
        <v/>
      </c>
      <c r="C1747" s="56">
        <f>IF($B1747=0,"",IF(Inputs!$B$6="","",IF($AD1747=0,C1746,SUMIFS(Data!$B$10:$B$3209,Data!$A$10:$A$3209,"&gt;="&amp;$A1747,Data!$A$10:$A$3209,"&lt;"&amp;$A1747+1)/$AD1747)))</f>
        <v/>
      </c>
      <c r="D1747" s="56">
        <f>IF($B1747=0,"",IF(Inputs!$B$7="","",IF($AE1747=0,D1746,SUMIFS(Data!$F$10:$F$3209,Data!$E$10:$E$3209,"&gt;="&amp;$A1747,Data!$E$10:$E$3209,"&lt;"&amp;$A1747+1)/$AE1747)))</f>
        <v/>
      </c>
      <c r="E1747" s="56">
        <f>IF($B1747=0,"",IF(Inputs!$B$8="","",IF($AF1747=0,E1746,SUMIFS(Data!$J$10:$J$3209,Data!$I$10:$I$3209,"&gt;="&amp;$A1747,Data!$I$10:$I$3209,"&lt;"&amp;$A1747+1)/$AF1747)))</f>
        <v/>
      </c>
      <c r="F1747" s="56">
        <f>IF($B1747=0,"",IF(Inputs!$B$9="","",IF($AG1747=0,F1746,SUMIFS(Data!$N$10:$N$3209,Data!$M$10:$M$3209,"&gt;="&amp;$A1747,Data!$M$10:$M$3209,"&lt;"&amp;$A1747+1)/$AG1747)))</f>
        <v/>
      </c>
      <c r="G1747" s="56">
        <f>IF($B1747=0,"",IF(Inputs!$B$10="","",IF($AH1747=0,G1746,SUMIFS(Data!$R$10:$R$3209,Data!$Q$10:$Q$3209,"&gt;="&amp;$A1747,Data!$Q$10:$Q$3209,"&lt;"&amp;$A1747+1)/$AH1747)))</f>
        <v/>
      </c>
      <c r="I1747" s="54">
        <f>IF($B1747=0,NA(),IF($C1747="",NA(),IF(C$8="",NA(),IF(N(C$8)=0,NA(),IF(Inputs!$C$17="Rebased to 100",$C1747/C$8*100,$C1747)))))</f>
        <v/>
      </c>
      <c r="J1747" s="54">
        <f>IF($B1747=0,NA(),IF($D1747="",NA(),IF(D$8="",NA(),IF(N(D$8)=0,NA(),IF(Inputs!$C$17="Rebased to 100",$D1747/D$8*100,$D1747)))))</f>
        <v/>
      </c>
      <c r="K1747" s="54">
        <f>IF($B1747=0,NA(),IF($E1747="",NA(),IF(E$8="",NA(),IF(N(E$8)=0,NA(),IF(Inputs!$C$17="Rebased to 100",$E1747/E$8*100,$E1747)))))</f>
        <v/>
      </c>
      <c r="L1747" s="54">
        <f>IF($B1747=0,NA(),IF($F1747="",NA(),IF(F$8="",NA(),IF(N(F$8)=0,NA(),IF(Inputs!$C$17="Rebased to 100",$F1747/F$8*100,$F1747)))))</f>
        <v/>
      </c>
      <c r="M1747" s="54">
        <f>IF($B1747=0,NA(),IF($G1747="",NA(),IF(G$8="",NA(),IF(N(G$8)=0,NA(),IF(Inputs!$C$17="Rebased to 100",$G1747/G$8*100,$G1747)))))</f>
        <v/>
      </c>
      <c r="N1747" s="54">
        <f>IF($B1747=0,NA(),IF(Inputs!$C$18&lt;&gt;"Yes",NA(),IF(COUNT(I1747,J1747,K1747,L1747,M1747)=0,NA(),MIN(I1747,J1747,K1747,L1747,M1747))))</f>
        <v/>
      </c>
      <c r="O1747" s="54">
        <f>IF($B1747=0,NA(),IF(Inputs!$B$24&lt;&gt;"Yes",NA(),Inputs!$D$24*Inputs!$C$35))</f>
        <v/>
      </c>
      <c r="P1747" s="54">
        <f>IF($B1747=0,NA(),IF(Inputs!$B$25&lt;&gt;"Yes",NA(),Inputs!$D$25*Inputs!$C$35))</f>
        <v/>
      </c>
      <c r="Q1747" s="54">
        <f>IF($B1747=0,NA(),IF(Inputs!$B$26&lt;&gt;"Yes",NA(),Inputs!$D$26*Inputs!$C$35))</f>
        <v/>
      </c>
      <c r="R1747" s="54">
        <f>IF($B1747=0,NA(),IF(Inputs!$B$27&lt;&gt;"Yes",NA(),Inputs!$D$27*Inputs!$C$35))</f>
        <v/>
      </c>
      <c r="S1747" s="54">
        <f>IF($B1747=0,NA(),IF(Inputs!$B$28&lt;&gt;"Yes",NA(),Inputs!$D$28*Inputs!$C$35))</f>
        <v/>
      </c>
      <c r="T1747" s="54">
        <f>IF($B1747=0,NA(),IF(Inputs!$B$29&lt;&gt;"Yes",NA(),Inputs!$D$29*Inputs!$C$35))</f>
        <v/>
      </c>
      <c r="AD1747">
        <f>IF($B1747=0,0,IF(Inputs!$B$6="",0,COUNTIFS(Data!$A$10:$A$3209,"&gt;="&amp;$A1747,Data!$A$10:$A$3209,"&lt;"&amp;$A1747+1)))</f>
        <v/>
      </c>
      <c r="AE1747">
        <f>IF($B1747=0,0,IF(Inputs!$B$7="",0,COUNTIFS(Data!$E$10:$E$3209,"&gt;="&amp;$A1747,Data!$E$10:$E$3209,"&lt;"&amp;$A1747+1)))</f>
        <v/>
      </c>
      <c r="AF1747">
        <f>IF($B1747=0,0,IF(Inputs!$B$8="",0,COUNTIFS(Data!$I$10:$I$3209,"&gt;="&amp;$A1747,Data!$I$10:$I$3209,"&lt;"&amp;$A1747+1)))</f>
        <v/>
      </c>
      <c r="AG1747">
        <f>IF($B1747=0,0,IF(Inputs!$B$9="",0,COUNTIFS(Data!$M$10:$M$3209,"&gt;="&amp;$A1747,Data!$M$10:$M$3209,"&lt;"&amp;$A1747+1)))</f>
        <v/>
      </c>
      <c r="AH1747">
        <f>IF($B1747=0,0,IF(Inputs!$B$10="",0,COUNTIFS(Data!$Q$10:$Q$3209,"&gt;="&amp;$A1747,Data!$Q$10:$Q$3209,"&lt;"&amp;$A1747+1)))</f>
        <v/>
      </c>
    </row>
    <row r="1748">
      <c r="A1748" s="55">
        <f>MIN(Inputs!$C$15,$A1747+IF(WEEKDAY($A1747,2)=5,3,1))</f>
        <v/>
      </c>
      <c r="B1748">
        <f>IF($A1748&gt;$A1747,1,0)</f>
        <v/>
      </c>
      <c r="C1748" s="56">
        <f>IF($B1748=0,"",IF(Inputs!$B$6="","",IF($AD1748=0,C1747,SUMIFS(Data!$B$10:$B$3209,Data!$A$10:$A$3209,"&gt;="&amp;$A1748,Data!$A$10:$A$3209,"&lt;"&amp;$A1748+1)/$AD1748)))</f>
        <v/>
      </c>
      <c r="D1748" s="56">
        <f>IF($B1748=0,"",IF(Inputs!$B$7="","",IF($AE1748=0,D1747,SUMIFS(Data!$F$10:$F$3209,Data!$E$10:$E$3209,"&gt;="&amp;$A1748,Data!$E$10:$E$3209,"&lt;"&amp;$A1748+1)/$AE1748)))</f>
        <v/>
      </c>
      <c r="E1748" s="56">
        <f>IF($B1748=0,"",IF(Inputs!$B$8="","",IF($AF1748=0,E1747,SUMIFS(Data!$J$10:$J$3209,Data!$I$10:$I$3209,"&gt;="&amp;$A1748,Data!$I$10:$I$3209,"&lt;"&amp;$A1748+1)/$AF1748)))</f>
        <v/>
      </c>
      <c r="F1748" s="56">
        <f>IF($B1748=0,"",IF(Inputs!$B$9="","",IF($AG1748=0,F1747,SUMIFS(Data!$N$10:$N$3209,Data!$M$10:$M$3209,"&gt;="&amp;$A1748,Data!$M$10:$M$3209,"&lt;"&amp;$A1748+1)/$AG1748)))</f>
        <v/>
      </c>
      <c r="G1748" s="56">
        <f>IF($B1748=0,"",IF(Inputs!$B$10="","",IF($AH1748=0,G1747,SUMIFS(Data!$R$10:$R$3209,Data!$Q$10:$Q$3209,"&gt;="&amp;$A1748,Data!$Q$10:$Q$3209,"&lt;"&amp;$A1748+1)/$AH1748)))</f>
        <v/>
      </c>
      <c r="I1748" s="54">
        <f>IF($B1748=0,NA(),IF($C1748="",NA(),IF(C$8="",NA(),IF(N(C$8)=0,NA(),IF(Inputs!$C$17="Rebased to 100",$C1748/C$8*100,$C1748)))))</f>
        <v/>
      </c>
      <c r="J1748" s="54">
        <f>IF($B1748=0,NA(),IF($D1748="",NA(),IF(D$8="",NA(),IF(N(D$8)=0,NA(),IF(Inputs!$C$17="Rebased to 100",$D1748/D$8*100,$D1748)))))</f>
        <v/>
      </c>
      <c r="K1748" s="54">
        <f>IF($B1748=0,NA(),IF($E1748="",NA(),IF(E$8="",NA(),IF(N(E$8)=0,NA(),IF(Inputs!$C$17="Rebased to 100",$E1748/E$8*100,$E1748)))))</f>
        <v/>
      </c>
      <c r="L1748" s="54">
        <f>IF($B1748=0,NA(),IF($F1748="",NA(),IF(F$8="",NA(),IF(N(F$8)=0,NA(),IF(Inputs!$C$17="Rebased to 100",$F1748/F$8*100,$F1748)))))</f>
        <v/>
      </c>
      <c r="M1748" s="54">
        <f>IF($B1748=0,NA(),IF($G1748="",NA(),IF(G$8="",NA(),IF(N(G$8)=0,NA(),IF(Inputs!$C$17="Rebased to 100",$G1748/G$8*100,$G1748)))))</f>
        <v/>
      </c>
      <c r="N1748" s="54">
        <f>IF($B1748=0,NA(),IF(Inputs!$C$18&lt;&gt;"Yes",NA(),IF(COUNT(I1748,J1748,K1748,L1748,M1748)=0,NA(),MIN(I1748,J1748,K1748,L1748,M1748))))</f>
        <v/>
      </c>
      <c r="O1748" s="54">
        <f>IF($B1748=0,NA(),IF(Inputs!$B$24&lt;&gt;"Yes",NA(),Inputs!$D$24*Inputs!$C$35))</f>
        <v/>
      </c>
      <c r="P1748" s="54">
        <f>IF($B1748=0,NA(),IF(Inputs!$B$25&lt;&gt;"Yes",NA(),Inputs!$D$25*Inputs!$C$35))</f>
        <v/>
      </c>
      <c r="Q1748" s="54">
        <f>IF($B1748=0,NA(),IF(Inputs!$B$26&lt;&gt;"Yes",NA(),Inputs!$D$26*Inputs!$C$35))</f>
        <v/>
      </c>
      <c r="R1748" s="54">
        <f>IF($B1748=0,NA(),IF(Inputs!$B$27&lt;&gt;"Yes",NA(),Inputs!$D$27*Inputs!$C$35))</f>
        <v/>
      </c>
      <c r="S1748" s="54">
        <f>IF($B1748=0,NA(),IF(Inputs!$B$28&lt;&gt;"Yes",NA(),Inputs!$D$28*Inputs!$C$35))</f>
        <v/>
      </c>
      <c r="T1748" s="54">
        <f>IF($B1748=0,NA(),IF(Inputs!$B$29&lt;&gt;"Yes",NA(),Inputs!$D$29*Inputs!$C$35))</f>
        <v/>
      </c>
      <c r="AD1748">
        <f>IF($B1748=0,0,IF(Inputs!$B$6="",0,COUNTIFS(Data!$A$10:$A$3209,"&gt;="&amp;$A1748,Data!$A$10:$A$3209,"&lt;"&amp;$A1748+1)))</f>
        <v/>
      </c>
      <c r="AE1748">
        <f>IF($B1748=0,0,IF(Inputs!$B$7="",0,COUNTIFS(Data!$E$10:$E$3209,"&gt;="&amp;$A1748,Data!$E$10:$E$3209,"&lt;"&amp;$A1748+1)))</f>
        <v/>
      </c>
      <c r="AF1748">
        <f>IF($B1748=0,0,IF(Inputs!$B$8="",0,COUNTIFS(Data!$I$10:$I$3209,"&gt;="&amp;$A1748,Data!$I$10:$I$3209,"&lt;"&amp;$A1748+1)))</f>
        <v/>
      </c>
      <c r="AG1748">
        <f>IF($B1748=0,0,IF(Inputs!$B$9="",0,COUNTIFS(Data!$M$10:$M$3209,"&gt;="&amp;$A1748,Data!$M$10:$M$3209,"&lt;"&amp;$A1748+1)))</f>
        <v/>
      </c>
      <c r="AH1748">
        <f>IF($B1748=0,0,IF(Inputs!$B$10="",0,COUNTIFS(Data!$Q$10:$Q$3209,"&gt;="&amp;$A1748,Data!$Q$10:$Q$3209,"&lt;"&amp;$A1748+1)))</f>
        <v/>
      </c>
    </row>
    <row r="1749">
      <c r="A1749" s="55">
        <f>MIN(Inputs!$C$15,$A1748+IF(WEEKDAY($A1748,2)=5,3,1))</f>
        <v/>
      </c>
      <c r="B1749">
        <f>IF($A1749&gt;$A1748,1,0)</f>
        <v/>
      </c>
      <c r="C1749" s="56">
        <f>IF($B1749=0,"",IF(Inputs!$B$6="","",IF($AD1749=0,C1748,SUMIFS(Data!$B$10:$B$3209,Data!$A$10:$A$3209,"&gt;="&amp;$A1749,Data!$A$10:$A$3209,"&lt;"&amp;$A1749+1)/$AD1749)))</f>
        <v/>
      </c>
      <c r="D1749" s="56">
        <f>IF($B1749=0,"",IF(Inputs!$B$7="","",IF($AE1749=0,D1748,SUMIFS(Data!$F$10:$F$3209,Data!$E$10:$E$3209,"&gt;="&amp;$A1749,Data!$E$10:$E$3209,"&lt;"&amp;$A1749+1)/$AE1749)))</f>
        <v/>
      </c>
      <c r="E1749" s="56">
        <f>IF($B1749=0,"",IF(Inputs!$B$8="","",IF($AF1749=0,E1748,SUMIFS(Data!$J$10:$J$3209,Data!$I$10:$I$3209,"&gt;="&amp;$A1749,Data!$I$10:$I$3209,"&lt;"&amp;$A1749+1)/$AF1749)))</f>
        <v/>
      </c>
      <c r="F1749" s="56">
        <f>IF($B1749=0,"",IF(Inputs!$B$9="","",IF($AG1749=0,F1748,SUMIFS(Data!$N$10:$N$3209,Data!$M$10:$M$3209,"&gt;="&amp;$A1749,Data!$M$10:$M$3209,"&lt;"&amp;$A1749+1)/$AG1749)))</f>
        <v/>
      </c>
      <c r="G1749" s="56">
        <f>IF($B1749=0,"",IF(Inputs!$B$10="","",IF($AH1749=0,G1748,SUMIFS(Data!$R$10:$R$3209,Data!$Q$10:$Q$3209,"&gt;="&amp;$A1749,Data!$Q$10:$Q$3209,"&lt;"&amp;$A1749+1)/$AH1749)))</f>
        <v/>
      </c>
      <c r="I1749" s="54">
        <f>IF($B1749=0,NA(),IF($C1749="",NA(),IF(C$8="",NA(),IF(N(C$8)=0,NA(),IF(Inputs!$C$17="Rebased to 100",$C1749/C$8*100,$C1749)))))</f>
        <v/>
      </c>
      <c r="J1749" s="54">
        <f>IF($B1749=0,NA(),IF($D1749="",NA(),IF(D$8="",NA(),IF(N(D$8)=0,NA(),IF(Inputs!$C$17="Rebased to 100",$D1749/D$8*100,$D1749)))))</f>
        <v/>
      </c>
      <c r="K1749" s="54">
        <f>IF($B1749=0,NA(),IF($E1749="",NA(),IF(E$8="",NA(),IF(N(E$8)=0,NA(),IF(Inputs!$C$17="Rebased to 100",$E1749/E$8*100,$E1749)))))</f>
        <v/>
      </c>
      <c r="L1749" s="54">
        <f>IF($B1749=0,NA(),IF($F1749="",NA(),IF(F$8="",NA(),IF(N(F$8)=0,NA(),IF(Inputs!$C$17="Rebased to 100",$F1749/F$8*100,$F1749)))))</f>
        <v/>
      </c>
      <c r="M1749" s="54">
        <f>IF($B1749=0,NA(),IF($G1749="",NA(),IF(G$8="",NA(),IF(N(G$8)=0,NA(),IF(Inputs!$C$17="Rebased to 100",$G1749/G$8*100,$G1749)))))</f>
        <v/>
      </c>
      <c r="N1749" s="54">
        <f>IF($B1749=0,NA(),IF(Inputs!$C$18&lt;&gt;"Yes",NA(),IF(COUNT(I1749,J1749,K1749,L1749,M1749)=0,NA(),MIN(I1749,J1749,K1749,L1749,M1749))))</f>
        <v/>
      </c>
      <c r="O1749" s="54">
        <f>IF($B1749=0,NA(),IF(Inputs!$B$24&lt;&gt;"Yes",NA(),Inputs!$D$24*Inputs!$C$35))</f>
        <v/>
      </c>
      <c r="P1749" s="54">
        <f>IF($B1749=0,NA(),IF(Inputs!$B$25&lt;&gt;"Yes",NA(),Inputs!$D$25*Inputs!$C$35))</f>
        <v/>
      </c>
      <c r="Q1749" s="54">
        <f>IF($B1749=0,NA(),IF(Inputs!$B$26&lt;&gt;"Yes",NA(),Inputs!$D$26*Inputs!$C$35))</f>
        <v/>
      </c>
      <c r="R1749" s="54">
        <f>IF($B1749=0,NA(),IF(Inputs!$B$27&lt;&gt;"Yes",NA(),Inputs!$D$27*Inputs!$C$35))</f>
        <v/>
      </c>
      <c r="S1749" s="54">
        <f>IF($B1749=0,NA(),IF(Inputs!$B$28&lt;&gt;"Yes",NA(),Inputs!$D$28*Inputs!$C$35))</f>
        <v/>
      </c>
      <c r="T1749" s="54">
        <f>IF($B1749=0,NA(),IF(Inputs!$B$29&lt;&gt;"Yes",NA(),Inputs!$D$29*Inputs!$C$35))</f>
        <v/>
      </c>
      <c r="AD1749">
        <f>IF($B1749=0,0,IF(Inputs!$B$6="",0,COUNTIFS(Data!$A$10:$A$3209,"&gt;="&amp;$A1749,Data!$A$10:$A$3209,"&lt;"&amp;$A1749+1)))</f>
        <v/>
      </c>
      <c r="AE1749">
        <f>IF($B1749=0,0,IF(Inputs!$B$7="",0,COUNTIFS(Data!$E$10:$E$3209,"&gt;="&amp;$A1749,Data!$E$10:$E$3209,"&lt;"&amp;$A1749+1)))</f>
        <v/>
      </c>
      <c r="AF1749">
        <f>IF($B1749=0,0,IF(Inputs!$B$8="",0,COUNTIFS(Data!$I$10:$I$3209,"&gt;="&amp;$A1749,Data!$I$10:$I$3209,"&lt;"&amp;$A1749+1)))</f>
        <v/>
      </c>
      <c r="AG1749">
        <f>IF($B1749=0,0,IF(Inputs!$B$9="",0,COUNTIFS(Data!$M$10:$M$3209,"&gt;="&amp;$A1749,Data!$M$10:$M$3209,"&lt;"&amp;$A1749+1)))</f>
        <v/>
      </c>
      <c r="AH1749">
        <f>IF($B1749=0,0,IF(Inputs!$B$10="",0,COUNTIFS(Data!$Q$10:$Q$3209,"&gt;="&amp;$A1749,Data!$Q$10:$Q$3209,"&lt;"&amp;$A1749+1)))</f>
        <v/>
      </c>
    </row>
    <row r="1750">
      <c r="A1750" s="55">
        <f>MIN(Inputs!$C$15,$A1749+IF(WEEKDAY($A1749,2)=5,3,1))</f>
        <v/>
      </c>
      <c r="B1750">
        <f>IF($A1750&gt;$A1749,1,0)</f>
        <v/>
      </c>
      <c r="C1750" s="56">
        <f>IF($B1750=0,"",IF(Inputs!$B$6="","",IF($AD1750=0,C1749,SUMIFS(Data!$B$10:$B$3209,Data!$A$10:$A$3209,"&gt;="&amp;$A1750,Data!$A$10:$A$3209,"&lt;"&amp;$A1750+1)/$AD1750)))</f>
        <v/>
      </c>
      <c r="D1750" s="56">
        <f>IF($B1750=0,"",IF(Inputs!$B$7="","",IF($AE1750=0,D1749,SUMIFS(Data!$F$10:$F$3209,Data!$E$10:$E$3209,"&gt;="&amp;$A1750,Data!$E$10:$E$3209,"&lt;"&amp;$A1750+1)/$AE1750)))</f>
        <v/>
      </c>
      <c r="E1750" s="56">
        <f>IF($B1750=0,"",IF(Inputs!$B$8="","",IF($AF1750=0,E1749,SUMIFS(Data!$J$10:$J$3209,Data!$I$10:$I$3209,"&gt;="&amp;$A1750,Data!$I$10:$I$3209,"&lt;"&amp;$A1750+1)/$AF1750)))</f>
        <v/>
      </c>
      <c r="F1750" s="56">
        <f>IF($B1750=0,"",IF(Inputs!$B$9="","",IF($AG1750=0,F1749,SUMIFS(Data!$N$10:$N$3209,Data!$M$10:$M$3209,"&gt;="&amp;$A1750,Data!$M$10:$M$3209,"&lt;"&amp;$A1750+1)/$AG1750)))</f>
        <v/>
      </c>
      <c r="G1750" s="56">
        <f>IF($B1750=0,"",IF(Inputs!$B$10="","",IF($AH1750=0,G1749,SUMIFS(Data!$R$10:$R$3209,Data!$Q$10:$Q$3209,"&gt;="&amp;$A1750,Data!$Q$10:$Q$3209,"&lt;"&amp;$A1750+1)/$AH1750)))</f>
        <v/>
      </c>
      <c r="I1750" s="54">
        <f>IF($B1750=0,NA(),IF($C1750="",NA(),IF(C$8="",NA(),IF(N(C$8)=0,NA(),IF(Inputs!$C$17="Rebased to 100",$C1750/C$8*100,$C1750)))))</f>
        <v/>
      </c>
      <c r="J1750" s="54">
        <f>IF($B1750=0,NA(),IF($D1750="",NA(),IF(D$8="",NA(),IF(N(D$8)=0,NA(),IF(Inputs!$C$17="Rebased to 100",$D1750/D$8*100,$D1750)))))</f>
        <v/>
      </c>
      <c r="K1750" s="54">
        <f>IF($B1750=0,NA(),IF($E1750="",NA(),IF(E$8="",NA(),IF(N(E$8)=0,NA(),IF(Inputs!$C$17="Rebased to 100",$E1750/E$8*100,$E1750)))))</f>
        <v/>
      </c>
      <c r="L1750" s="54">
        <f>IF($B1750=0,NA(),IF($F1750="",NA(),IF(F$8="",NA(),IF(N(F$8)=0,NA(),IF(Inputs!$C$17="Rebased to 100",$F1750/F$8*100,$F1750)))))</f>
        <v/>
      </c>
      <c r="M1750" s="54">
        <f>IF($B1750=0,NA(),IF($G1750="",NA(),IF(G$8="",NA(),IF(N(G$8)=0,NA(),IF(Inputs!$C$17="Rebased to 100",$G1750/G$8*100,$G1750)))))</f>
        <v/>
      </c>
      <c r="N1750" s="54">
        <f>IF($B1750=0,NA(),IF(Inputs!$C$18&lt;&gt;"Yes",NA(),IF(COUNT(I1750,J1750,K1750,L1750,M1750)=0,NA(),MIN(I1750,J1750,K1750,L1750,M1750))))</f>
        <v/>
      </c>
      <c r="O1750" s="54">
        <f>IF($B1750=0,NA(),IF(Inputs!$B$24&lt;&gt;"Yes",NA(),Inputs!$D$24*Inputs!$C$35))</f>
        <v/>
      </c>
      <c r="P1750" s="54">
        <f>IF($B1750=0,NA(),IF(Inputs!$B$25&lt;&gt;"Yes",NA(),Inputs!$D$25*Inputs!$C$35))</f>
        <v/>
      </c>
      <c r="Q1750" s="54">
        <f>IF($B1750=0,NA(),IF(Inputs!$B$26&lt;&gt;"Yes",NA(),Inputs!$D$26*Inputs!$C$35))</f>
        <v/>
      </c>
      <c r="R1750" s="54">
        <f>IF($B1750=0,NA(),IF(Inputs!$B$27&lt;&gt;"Yes",NA(),Inputs!$D$27*Inputs!$C$35))</f>
        <v/>
      </c>
      <c r="S1750" s="54">
        <f>IF($B1750=0,NA(),IF(Inputs!$B$28&lt;&gt;"Yes",NA(),Inputs!$D$28*Inputs!$C$35))</f>
        <v/>
      </c>
      <c r="T1750" s="54">
        <f>IF($B1750=0,NA(),IF(Inputs!$B$29&lt;&gt;"Yes",NA(),Inputs!$D$29*Inputs!$C$35))</f>
        <v/>
      </c>
      <c r="AD1750">
        <f>IF($B1750=0,0,IF(Inputs!$B$6="",0,COUNTIFS(Data!$A$10:$A$3209,"&gt;="&amp;$A1750,Data!$A$10:$A$3209,"&lt;"&amp;$A1750+1)))</f>
        <v/>
      </c>
      <c r="AE1750">
        <f>IF($B1750=0,0,IF(Inputs!$B$7="",0,COUNTIFS(Data!$E$10:$E$3209,"&gt;="&amp;$A1750,Data!$E$10:$E$3209,"&lt;"&amp;$A1750+1)))</f>
        <v/>
      </c>
      <c r="AF1750">
        <f>IF($B1750=0,0,IF(Inputs!$B$8="",0,COUNTIFS(Data!$I$10:$I$3209,"&gt;="&amp;$A1750,Data!$I$10:$I$3209,"&lt;"&amp;$A1750+1)))</f>
        <v/>
      </c>
      <c r="AG1750">
        <f>IF($B1750=0,0,IF(Inputs!$B$9="",0,COUNTIFS(Data!$M$10:$M$3209,"&gt;="&amp;$A1750,Data!$M$10:$M$3209,"&lt;"&amp;$A1750+1)))</f>
        <v/>
      </c>
      <c r="AH1750">
        <f>IF($B1750=0,0,IF(Inputs!$B$10="",0,COUNTIFS(Data!$Q$10:$Q$3209,"&gt;="&amp;$A1750,Data!$Q$10:$Q$3209,"&lt;"&amp;$A1750+1)))</f>
        <v/>
      </c>
    </row>
    <row r="1751">
      <c r="A1751" s="55">
        <f>MIN(Inputs!$C$15,$A1750+IF(WEEKDAY($A1750,2)=5,3,1))</f>
        <v/>
      </c>
      <c r="B1751">
        <f>IF($A1751&gt;$A1750,1,0)</f>
        <v/>
      </c>
      <c r="C1751" s="56">
        <f>IF($B1751=0,"",IF(Inputs!$B$6="","",IF($AD1751=0,C1750,SUMIFS(Data!$B$10:$B$3209,Data!$A$10:$A$3209,"&gt;="&amp;$A1751,Data!$A$10:$A$3209,"&lt;"&amp;$A1751+1)/$AD1751)))</f>
        <v/>
      </c>
      <c r="D1751" s="56">
        <f>IF($B1751=0,"",IF(Inputs!$B$7="","",IF($AE1751=0,D1750,SUMIFS(Data!$F$10:$F$3209,Data!$E$10:$E$3209,"&gt;="&amp;$A1751,Data!$E$10:$E$3209,"&lt;"&amp;$A1751+1)/$AE1751)))</f>
        <v/>
      </c>
      <c r="E1751" s="56">
        <f>IF($B1751=0,"",IF(Inputs!$B$8="","",IF($AF1751=0,E1750,SUMIFS(Data!$J$10:$J$3209,Data!$I$10:$I$3209,"&gt;="&amp;$A1751,Data!$I$10:$I$3209,"&lt;"&amp;$A1751+1)/$AF1751)))</f>
        <v/>
      </c>
      <c r="F1751" s="56">
        <f>IF($B1751=0,"",IF(Inputs!$B$9="","",IF($AG1751=0,F1750,SUMIFS(Data!$N$10:$N$3209,Data!$M$10:$M$3209,"&gt;="&amp;$A1751,Data!$M$10:$M$3209,"&lt;"&amp;$A1751+1)/$AG1751)))</f>
        <v/>
      </c>
      <c r="G1751" s="56">
        <f>IF($B1751=0,"",IF(Inputs!$B$10="","",IF($AH1751=0,G1750,SUMIFS(Data!$R$10:$R$3209,Data!$Q$10:$Q$3209,"&gt;="&amp;$A1751,Data!$Q$10:$Q$3209,"&lt;"&amp;$A1751+1)/$AH1751)))</f>
        <v/>
      </c>
      <c r="I1751" s="54">
        <f>IF($B1751=0,NA(),IF($C1751="",NA(),IF(C$8="",NA(),IF(N(C$8)=0,NA(),IF(Inputs!$C$17="Rebased to 100",$C1751/C$8*100,$C1751)))))</f>
        <v/>
      </c>
      <c r="J1751" s="54">
        <f>IF($B1751=0,NA(),IF($D1751="",NA(),IF(D$8="",NA(),IF(N(D$8)=0,NA(),IF(Inputs!$C$17="Rebased to 100",$D1751/D$8*100,$D1751)))))</f>
        <v/>
      </c>
      <c r="K1751" s="54">
        <f>IF($B1751=0,NA(),IF($E1751="",NA(),IF(E$8="",NA(),IF(N(E$8)=0,NA(),IF(Inputs!$C$17="Rebased to 100",$E1751/E$8*100,$E1751)))))</f>
        <v/>
      </c>
      <c r="L1751" s="54">
        <f>IF($B1751=0,NA(),IF($F1751="",NA(),IF(F$8="",NA(),IF(N(F$8)=0,NA(),IF(Inputs!$C$17="Rebased to 100",$F1751/F$8*100,$F1751)))))</f>
        <v/>
      </c>
      <c r="M1751" s="54">
        <f>IF($B1751=0,NA(),IF($G1751="",NA(),IF(G$8="",NA(),IF(N(G$8)=0,NA(),IF(Inputs!$C$17="Rebased to 100",$G1751/G$8*100,$G1751)))))</f>
        <v/>
      </c>
      <c r="N1751" s="54">
        <f>IF($B1751=0,NA(),IF(Inputs!$C$18&lt;&gt;"Yes",NA(),IF(COUNT(I1751,J1751,K1751,L1751,M1751)=0,NA(),MIN(I1751,J1751,K1751,L1751,M1751))))</f>
        <v/>
      </c>
      <c r="O1751" s="54">
        <f>IF($B1751=0,NA(),IF(Inputs!$B$24&lt;&gt;"Yes",NA(),Inputs!$D$24*Inputs!$C$35))</f>
        <v/>
      </c>
      <c r="P1751" s="54">
        <f>IF($B1751=0,NA(),IF(Inputs!$B$25&lt;&gt;"Yes",NA(),Inputs!$D$25*Inputs!$C$35))</f>
        <v/>
      </c>
      <c r="Q1751" s="54">
        <f>IF($B1751=0,NA(),IF(Inputs!$B$26&lt;&gt;"Yes",NA(),Inputs!$D$26*Inputs!$C$35))</f>
        <v/>
      </c>
      <c r="R1751" s="54">
        <f>IF($B1751=0,NA(),IF(Inputs!$B$27&lt;&gt;"Yes",NA(),Inputs!$D$27*Inputs!$C$35))</f>
        <v/>
      </c>
      <c r="S1751" s="54">
        <f>IF($B1751=0,NA(),IF(Inputs!$B$28&lt;&gt;"Yes",NA(),Inputs!$D$28*Inputs!$C$35))</f>
        <v/>
      </c>
      <c r="T1751" s="54">
        <f>IF($B1751=0,NA(),IF(Inputs!$B$29&lt;&gt;"Yes",NA(),Inputs!$D$29*Inputs!$C$35))</f>
        <v/>
      </c>
      <c r="AD1751">
        <f>IF($B1751=0,0,IF(Inputs!$B$6="",0,COUNTIFS(Data!$A$10:$A$3209,"&gt;="&amp;$A1751,Data!$A$10:$A$3209,"&lt;"&amp;$A1751+1)))</f>
        <v/>
      </c>
      <c r="AE1751">
        <f>IF($B1751=0,0,IF(Inputs!$B$7="",0,COUNTIFS(Data!$E$10:$E$3209,"&gt;="&amp;$A1751,Data!$E$10:$E$3209,"&lt;"&amp;$A1751+1)))</f>
        <v/>
      </c>
      <c r="AF1751">
        <f>IF($B1751=0,0,IF(Inputs!$B$8="",0,COUNTIFS(Data!$I$10:$I$3209,"&gt;="&amp;$A1751,Data!$I$10:$I$3209,"&lt;"&amp;$A1751+1)))</f>
        <v/>
      </c>
      <c r="AG1751">
        <f>IF($B1751=0,0,IF(Inputs!$B$9="",0,COUNTIFS(Data!$M$10:$M$3209,"&gt;="&amp;$A1751,Data!$M$10:$M$3209,"&lt;"&amp;$A1751+1)))</f>
        <v/>
      </c>
      <c r="AH1751">
        <f>IF($B1751=0,0,IF(Inputs!$B$10="",0,COUNTIFS(Data!$Q$10:$Q$3209,"&gt;="&amp;$A1751,Data!$Q$10:$Q$3209,"&lt;"&amp;$A1751+1)))</f>
        <v/>
      </c>
    </row>
    <row r="1752">
      <c r="A1752" s="55">
        <f>MIN(Inputs!$C$15,$A1751+IF(WEEKDAY($A1751,2)=5,3,1))</f>
        <v/>
      </c>
      <c r="B1752">
        <f>IF($A1752&gt;$A1751,1,0)</f>
        <v/>
      </c>
      <c r="C1752" s="56">
        <f>IF($B1752=0,"",IF(Inputs!$B$6="","",IF($AD1752=0,C1751,SUMIFS(Data!$B$10:$B$3209,Data!$A$10:$A$3209,"&gt;="&amp;$A1752,Data!$A$10:$A$3209,"&lt;"&amp;$A1752+1)/$AD1752)))</f>
        <v/>
      </c>
      <c r="D1752" s="56">
        <f>IF($B1752=0,"",IF(Inputs!$B$7="","",IF($AE1752=0,D1751,SUMIFS(Data!$F$10:$F$3209,Data!$E$10:$E$3209,"&gt;="&amp;$A1752,Data!$E$10:$E$3209,"&lt;"&amp;$A1752+1)/$AE1752)))</f>
        <v/>
      </c>
      <c r="E1752" s="56">
        <f>IF($B1752=0,"",IF(Inputs!$B$8="","",IF($AF1752=0,E1751,SUMIFS(Data!$J$10:$J$3209,Data!$I$10:$I$3209,"&gt;="&amp;$A1752,Data!$I$10:$I$3209,"&lt;"&amp;$A1752+1)/$AF1752)))</f>
        <v/>
      </c>
      <c r="F1752" s="56">
        <f>IF($B1752=0,"",IF(Inputs!$B$9="","",IF($AG1752=0,F1751,SUMIFS(Data!$N$10:$N$3209,Data!$M$10:$M$3209,"&gt;="&amp;$A1752,Data!$M$10:$M$3209,"&lt;"&amp;$A1752+1)/$AG1752)))</f>
        <v/>
      </c>
      <c r="G1752" s="56">
        <f>IF($B1752=0,"",IF(Inputs!$B$10="","",IF($AH1752=0,G1751,SUMIFS(Data!$R$10:$R$3209,Data!$Q$10:$Q$3209,"&gt;="&amp;$A1752,Data!$Q$10:$Q$3209,"&lt;"&amp;$A1752+1)/$AH1752)))</f>
        <v/>
      </c>
      <c r="I1752" s="54">
        <f>IF($B1752=0,NA(),IF($C1752="",NA(),IF(C$8="",NA(),IF(N(C$8)=0,NA(),IF(Inputs!$C$17="Rebased to 100",$C1752/C$8*100,$C1752)))))</f>
        <v/>
      </c>
      <c r="J1752" s="54">
        <f>IF($B1752=0,NA(),IF($D1752="",NA(),IF(D$8="",NA(),IF(N(D$8)=0,NA(),IF(Inputs!$C$17="Rebased to 100",$D1752/D$8*100,$D1752)))))</f>
        <v/>
      </c>
      <c r="K1752" s="54">
        <f>IF($B1752=0,NA(),IF($E1752="",NA(),IF(E$8="",NA(),IF(N(E$8)=0,NA(),IF(Inputs!$C$17="Rebased to 100",$E1752/E$8*100,$E1752)))))</f>
        <v/>
      </c>
      <c r="L1752" s="54">
        <f>IF($B1752=0,NA(),IF($F1752="",NA(),IF(F$8="",NA(),IF(N(F$8)=0,NA(),IF(Inputs!$C$17="Rebased to 100",$F1752/F$8*100,$F1752)))))</f>
        <v/>
      </c>
      <c r="M1752" s="54">
        <f>IF($B1752=0,NA(),IF($G1752="",NA(),IF(G$8="",NA(),IF(N(G$8)=0,NA(),IF(Inputs!$C$17="Rebased to 100",$G1752/G$8*100,$G1752)))))</f>
        <v/>
      </c>
      <c r="N1752" s="54">
        <f>IF($B1752=0,NA(),IF(Inputs!$C$18&lt;&gt;"Yes",NA(),IF(COUNT(I1752,J1752,K1752,L1752,M1752)=0,NA(),MIN(I1752,J1752,K1752,L1752,M1752))))</f>
        <v/>
      </c>
      <c r="O1752" s="54">
        <f>IF($B1752=0,NA(),IF(Inputs!$B$24&lt;&gt;"Yes",NA(),Inputs!$D$24*Inputs!$C$35))</f>
        <v/>
      </c>
      <c r="P1752" s="54">
        <f>IF($B1752=0,NA(),IF(Inputs!$B$25&lt;&gt;"Yes",NA(),Inputs!$D$25*Inputs!$C$35))</f>
        <v/>
      </c>
      <c r="Q1752" s="54">
        <f>IF($B1752=0,NA(),IF(Inputs!$B$26&lt;&gt;"Yes",NA(),Inputs!$D$26*Inputs!$C$35))</f>
        <v/>
      </c>
      <c r="R1752" s="54">
        <f>IF($B1752=0,NA(),IF(Inputs!$B$27&lt;&gt;"Yes",NA(),Inputs!$D$27*Inputs!$C$35))</f>
        <v/>
      </c>
      <c r="S1752" s="54">
        <f>IF($B1752=0,NA(),IF(Inputs!$B$28&lt;&gt;"Yes",NA(),Inputs!$D$28*Inputs!$C$35))</f>
        <v/>
      </c>
      <c r="T1752" s="54">
        <f>IF($B1752=0,NA(),IF(Inputs!$B$29&lt;&gt;"Yes",NA(),Inputs!$D$29*Inputs!$C$35))</f>
        <v/>
      </c>
      <c r="AD1752">
        <f>IF($B1752=0,0,IF(Inputs!$B$6="",0,COUNTIFS(Data!$A$10:$A$3209,"&gt;="&amp;$A1752,Data!$A$10:$A$3209,"&lt;"&amp;$A1752+1)))</f>
        <v/>
      </c>
      <c r="AE1752">
        <f>IF($B1752=0,0,IF(Inputs!$B$7="",0,COUNTIFS(Data!$E$10:$E$3209,"&gt;="&amp;$A1752,Data!$E$10:$E$3209,"&lt;"&amp;$A1752+1)))</f>
        <v/>
      </c>
      <c r="AF1752">
        <f>IF($B1752=0,0,IF(Inputs!$B$8="",0,COUNTIFS(Data!$I$10:$I$3209,"&gt;="&amp;$A1752,Data!$I$10:$I$3209,"&lt;"&amp;$A1752+1)))</f>
        <v/>
      </c>
      <c r="AG1752">
        <f>IF($B1752=0,0,IF(Inputs!$B$9="",0,COUNTIFS(Data!$M$10:$M$3209,"&gt;="&amp;$A1752,Data!$M$10:$M$3209,"&lt;"&amp;$A1752+1)))</f>
        <v/>
      </c>
      <c r="AH1752">
        <f>IF($B1752=0,0,IF(Inputs!$B$10="",0,COUNTIFS(Data!$Q$10:$Q$3209,"&gt;="&amp;$A1752,Data!$Q$10:$Q$3209,"&lt;"&amp;$A1752+1)))</f>
        <v/>
      </c>
    </row>
    <row r="1753">
      <c r="A1753" s="55">
        <f>MIN(Inputs!$C$15,$A1752+IF(WEEKDAY($A1752,2)=5,3,1))</f>
        <v/>
      </c>
      <c r="B1753">
        <f>IF($A1753&gt;$A1752,1,0)</f>
        <v/>
      </c>
      <c r="C1753" s="56">
        <f>IF($B1753=0,"",IF(Inputs!$B$6="","",IF($AD1753=0,C1752,SUMIFS(Data!$B$10:$B$3209,Data!$A$10:$A$3209,"&gt;="&amp;$A1753,Data!$A$10:$A$3209,"&lt;"&amp;$A1753+1)/$AD1753)))</f>
        <v/>
      </c>
      <c r="D1753" s="56">
        <f>IF($B1753=0,"",IF(Inputs!$B$7="","",IF($AE1753=0,D1752,SUMIFS(Data!$F$10:$F$3209,Data!$E$10:$E$3209,"&gt;="&amp;$A1753,Data!$E$10:$E$3209,"&lt;"&amp;$A1753+1)/$AE1753)))</f>
        <v/>
      </c>
      <c r="E1753" s="56">
        <f>IF($B1753=0,"",IF(Inputs!$B$8="","",IF($AF1753=0,E1752,SUMIFS(Data!$J$10:$J$3209,Data!$I$10:$I$3209,"&gt;="&amp;$A1753,Data!$I$10:$I$3209,"&lt;"&amp;$A1753+1)/$AF1753)))</f>
        <v/>
      </c>
      <c r="F1753" s="56">
        <f>IF($B1753=0,"",IF(Inputs!$B$9="","",IF($AG1753=0,F1752,SUMIFS(Data!$N$10:$N$3209,Data!$M$10:$M$3209,"&gt;="&amp;$A1753,Data!$M$10:$M$3209,"&lt;"&amp;$A1753+1)/$AG1753)))</f>
        <v/>
      </c>
      <c r="G1753" s="56">
        <f>IF($B1753=0,"",IF(Inputs!$B$10="","",IF($AH1753=0,G1752,SUMIFS(Data!$R$10:$R$3209,Data!$Q$10:$Q$3209,"&gt;="&amp;$A1753,Data!$Q$10:$Q$3209,"&lt;"&amp;$A1753+1)/$AH1753)))</f>
        <v/>
      </c>
      <c r="I1753" s="54">
        <f>IF($B1753=0,NA(),IF($C1753="",NA(),IF(C$8="",NA(),IF(N(C$8)=0,NA(),IF(Inputs!$C$17="Rebased to 100",$C1753/C$8*100,$C1753)))))</f>
        <v/>
      </c>
      <c r="J1753" s="54">
        <f>IF($B1753=0,NA(),IF($D1753="",NA(),IF(D$8="",NA(),IF(N(D$8)=0,NA(),IF(Inputs!$C$17="Rebased to 100",$D1753/D$8*100,$D1753)))))</f>
        <v/>
      </c>
      <c r="K1753" s="54">
        <f>IF($B1753=0,NA(),IF($E1753="",NA(),IF(E$8="",NA(),IF(N(E$8)=0,NA(),IF(Inputs!$C$17="Rebased to 100",$E1753/E$8*100,$E1753)))))</f>
        <v/>
      </c>
      <c r="L1753" s="54">
        <f>IF($B1753=0,NA(),IF($F1753="",NA(),IF(F$8="",NA(),IF(N(F$8)=0,NA(),IF(Inputs!$C$17="Rebased to 100",$F1753/F$8*100,$F1753)))))</f>
        <v/>
      </c>
      <c r="M1753" s="54">
        <f>IF($B1753=0,NA(),IF($G1753="",NA(),IF(G$8="",NA(),IF(N(G$8)=0,NA(),IF(Inputs!$C$17="Rebased to 100",$G1753/G$8*100,$G1753)))))</f>
        <v/>
      </c>
      <c r="N1753" s="54">
        <f>IF($B1753=0,NA(),IF(Inputs!$C$18&lt;&gt;"Yes",NA(),IF(COUNT(I1753,J1753,K1753,L1753,M1753)=0,NA(),MIN(I1753,J1753,K1753,L1753,M1753))))</f>
        <v/>
      </c>
      <c r="O1753" s="54">
        <f>IF($B1753=0,NA(),IF(Inputs!$B$24&lt;&gt;"Yes",NA(),Inputs!$D$24*Inputs!$C$35))</f>
        <v/>
      </c>
      <c r="P1753" s="54">
        <f>IF($B1753=0,NA(),IF(Inputs!$B$25&lt;&gt;"Yes",NA(),Inputs!$D$25*Inputs!$C$35))</f>
        <v/>
      </c>
      <c r="Q1753" s="54">
        <f>IF($B1753=0,NA(),IF(Inputs!$B$26&lt;&gt;"Yes",NA(),Inputs!$D$26*Inputs!$C$35))</f>
        <v/>
      </c>
      <c r="R1753" s="54">
        <f>IF($B1753=0,NA(),IF(Inputs!$B$27&lt;&gt;"Yes",NA(),Inputs!$D$27*Inputs!$C$35))</f>
        <v/>
      </c>
      <c r="S1753" s="54">
        <f>IF($B1753=0,NA(),IF(Inputs!$B$28&lt;&gt;"Yes",NA(),Inputs!$D$28*Inputs!$C$35))</f>
        <v/>
      </c>
      <c r="T1753" s="54">
        <f>IF($B1753=0,NA(),IF(Inputs!$B$29&lt;&gt;"Yes",NA(),Inputs!$D$29*Inputs!$C$35))</f>
        <v/>
      </c>
      <c r="AD1753">
        <f>IF($B1753=0,0,IF(Inputs!$B$6="",0,COUNTIFS(Data!$A$10:$A$3209,"&gt;="&amp;$A1753,Data!$A$10:$A$3209,"&lt;"&amp;$A1753+1)))</f>
        <v/>
      </c>
      <c r="AE1753">
        <f>IF($B1753=0,0,IF(Inputs!$B$7="",0,COUNTIFS(Data!$E$10:$E$3209,"&gt;="&amp;$A1753,Data!$E$10:$E$3209,"&lt;"&amp;$A1753+1)))</f>
        <v/>
      </c>
      <c r="AF1753">
        <f>IF($B1753=0,0,IF(Inputs!$B$8="",0,COUNTIFS(Data!$I$10:$I$3209,"&gt;="&amp;$A1753,Data!$I$10:$I$3209,"&lt;"&amp;$A1753+1)))</f>
        <v/>
      </c>
      <c r="AG1753">
        <f>IF($B1753=0,0,IF(Inputs!$B$9="",0,COUNTIFS(Data!$M$10:$M$3209,"&gt;="&amp;$A1753,Data!$M$10:$M$3209,"&lt;"&amp;$A1753+1)))</f>
        <v/>
      </c>
      <c r="AH1753">
        <f>IF($B1753=0,0,IF(Inputs!$B$10="",0,COUNTIFS(Data!$Q$10:$Q$3209,"&gt;="&amp;$A1753,Data!$Q$10:$Q$3209,"&lt;"&amp;$A1753+1)))</f>
        <v/>
      </c>
    </row>
    <row r="1754">
      <c r="A1754" s="55">
        <f>MIN(Inputs!$C$15,$A1753+IF(WEEKDAY($A1753,2)=5,3,1))</f>
        <v/>
      </c>
      <c r="B1754">
        <f>IF($A1754&gt;$A1753,1,0)</f>
        <v/>
      </c>
      <c r="C1754" s="56">
        <f>IF($B1754=0,"",IF(Inputs!$B$6="","",IF($AD1754=0,C1753,SUMIFS(Data!$B$10:$B$3209,Data!$A$10:$A$3209,"&gt;="&amp;$A1754,Data!$A$10:$A$3209,"&lt;"&amp;$A1754+1)/$AD1754)))</f>
        <v/>
      </c>
      <c r="D1754" s="56">
        <f>IF($B1754=0,"",IF(Inputs!$B$7="","",IF($AE1754=0,D1753,SUMIFS(Data!$F$10:$F$3209,Data!$E$10:$E$3209,"&gt;="&amp;$A1754,Data!$E$10:$E$3209,"&lt;"&amp;$A1754+1)/$AE1754)))</f>
        <v/>
      </c>
      <c r="E1754" s="56">
        <f>IF($B1754=0,"",IF(Inputs!$B$8="","",IF($AF1754=0,E1753,SUMIFS(Data!$J$10:$J$3209,Data!$I$10:$I$3209,"&gt;="&amp;$A1754,Data!$I$10:$I$3209,"&lt;"&amp;$A1754+1)/$AF1754)))</f>
        <v/>
      </c>
      <c r="F1754" s="56">
        <f>IF($B1754=0,"",IF(Inputs!$B$9="","",IF($AG1754=0,F1753,SUMIFS(Data!$N$10:$N$3209,Data!$M$10:$M$3209,"&gt;="&amp;$A1754,Data!$M$10:$M$3209,"&lt;"&amp;$A1754+1)/$AG1754)))</f>
        <v/>
      </c>
      <c r="G1754" s="56">
        <f>IF($B1754=0,"",IF(Inputs!$B$10="","",IF($AH1754=0,G1753,SUMIFS(Data!$R$10:$R$3209,Data!$Q$10:$Q$3209,"&gt;="&amp;$A1754,Data!$Q$10:$Q$3209,"&lt;"&amp;$A1754+1)/$AH1754)))</f>
        <v/>
      </c>
      <c r="I1754" s="54">
        <f>IF($B1754=0,NA(),IF($C1754="",NA(),IF(C$8="",NA(),IF(N(C$8)=0,NA(),IF(Inputs!$C$17="Rebased to 100",$C1754/C$8*100,$C1754)))))</f>
        <v/>
      </c>
      <c r="J1754" s="54">
        <f>IF($B1754=0,NA(),IF($D1754="",NA(),IF(D$8="",NA(),IF(N(D$8)=0,NA(),IF(Inputs!$C$17="Rebased to 100",$D1754/D$8*100,$D1754)))))</f>
        <v/>
      </c>
      <c r="K1754" s="54">
        <f>IF($B1754=0,NA(),IF($E1754="",NA(),IF(E$8="",NA(),IF(N(E$8)=0,NA(),IF(Inputs!$C$17="Rebased to 100",$E1754/E$8*100,$E1754)))))</f>
        <v/>
      </c>
      <c r="L1754" s="54">
        <f>IF($B1754=0,NA(),IF($F1754="",NA(),IF(F$8="",NA(),IF(N(F$8)=0,NA(),IF(Inputs!$C$17="Rebased to 100",$F1754/F$8*100,$F1754)))))</f>
        <v/>
      </c>
      <c r="M1754" s="54">
        <f>IF($B1754=0,NA(),IF($G1754="",NA(),IF(G$8="",NA(),IF(N(G$8)=0,NA(),IF(Inputs!$C$17="Rebased to 100",$G1754/G$8*100,$G1754)))))</f>
        <v/>
      </c>
      <c r="N1754" s="54">
        <f>IF($B1754=0,NA(),IF(Inputs!$C$18&lt;&gt;"Yes",NA(),IF(COUNT(I1754,J1754,K1754,L1754,M1754)=0,NA(),MIN(I1754,J1754,K1754,L1754,M1754))))</f>
        <v/>
      </c>
      <c r="O1754" s="54">
        <f>IF($B1754=0,NA(),IF(Inputs!$B$24&lt;&gt;"Yes",NA(),Inputs!$D$24*Inputs!$C$35))</f>
        <v/>
      </c>
      <c r="P1754" s="54">
        <f>IF($B1754=0,NA(),IF(Inputs!$B$25&lt;&gt;"Yes",NA(),Inputs!$D$25*Inputs!$C$35))</f>
        <v/>
      </c>
      <c r="Q1754" s="54">
        <f>IF($B1754=0,NA(),IF(Inputs!$B$26&lt;&gt;"Yes",NA(),Inputs!$D$26*Inputs!$C$35))</f>
        <v/>
      </c>
      <c r="R1754" s="54">
        <f>IF($B1754=0,NA(),IF(Inputs!$B$27&lt;&gt;"Yes",NA(),Inputs!$D$27*Inputs!$C$35))</f>
        <v/>
      </c>
      <c r="S1754" s="54">
        <f>IF($B1754=0,NA(),IF(Inputs!$B$28&lt;&gt;"Yes",NA(),Inputs!$D$28*Inputs!$C$35))</f>
        <v/>
      </c>
      <c r="T1754" s="54">
        <f>IF($B1754=0,NA(),IF(Inputs!$B$29&lt;&gt;"Yes",NA(),Inputs!$D$29*Inputs!$C$35))</f>
        <v/>
      </c>
      <c r="AD1754">
        <f>IF($B1754=0,0,IF(Inputs!$B$6="",0,COUNTIFS(Data!$A$10:$A$3209,"&gt;="&amp;$A1754,Data!$A$10:$A$3209,"&lt;"&amp;$A1754+1)))</f>
        <v/>
      </c>
      <c r="AE1754">
        <f>IF($B1754=0,0,IF(Inputs!$B$7="",0,COUNTIFS(Data!$E$10:$E$3209,"&gt;="&amp;$A1754,Data!$E$10:$E$3209,"&lt;"&amp;$A1754+1)))</f>
        <v/>
      </c>
      <c r="AF1754">
        <f>IF($B1754=0,0,IF(Inputs!$B$8="",0,COUNTIFS(Data!$I$10:$I$3209,"&gt;="&amp;$A1754,Data!$I$10:$I$3209,"&lt;"&amp;$A1754+1)))</f>
        <v/>
      </c>
      <c r="AG1754">
        <f>IF($B1754=0,0,IF(Inputs!$B$9="",0,COUNTIFS(Data!$M$10:$M$3209,"&gt;="&amp;$A1754,Data!$M$10:$M$3209,"&lt;"&amp;$A1754+1)))</f>
        <v/>
      </c>
      <c r="AH1754">
        <f>IF($B1754=0,0,IF(Inputs!$B$10="",0,COUNTIFS(Data!$Q$10:$Q$3209,"&gt;="&amp;$A1754,Data!$Q$10:$Q$3209,"&lt;"&amp;$A1754+1)))</f>
        <v/>
      </c>
    </row>
    <row r="1755">
      <c r="A1755" s="55">
        <f>MIN(Inputs!$C$15,$A1754+IF(WEEKDAY($A1754,2)=5,3,1))</f>
        <v/>
      </c>
      <c r="B1755">
        <f>IF($A1755&gt;$A1754,1,0)</f>
        <v/>
      </c>
      <c r="C1755" s="56">
        <f>IF($B1755=0,"",IF(Inputs!$B$6="","",IF($AD1755=0,C1754,SUMIFS(Data!$B$10:$B$3209,Data!$A$10:$A$3209,"&gt;="&amp;$A1755,Data!$A$10:$A$3209,"&lt;"&amp;$A1755+1)/$AD1755)))</f>
        <v/>
      </c>
      <c r="D1755" s="56">
        <f>IF($B1755=0,"",IF(Inputs!$B$7="","",IF($AE1755=0,D1754,SUMIFS(Data!$F$10:$F$3209,Data!$E$10:$E$3209,"&gt;="&amp;$A1755,Data!$E$10:$E$3209,"&lt;"&amp;$A1755+1)/$AE1755)))</f>
        <v/>
      </c>
      <c r="E1755" s="56">
        <f>IF($B1755=0,"",IF(Inputs!$B$8="","",IF($AF1755=0,E1754,SUMIFS(Data!$J$10:$J$3209,Data!$I$10:$I$3209,"&gt;="&amp;$A1755,Data!$I$10:$I$3209,"&lt;"&amp;$A1755+1)/$AF1755)))</f>
        <v/>
      </c>
      <c r="F1755" s="56">
        <f>IF($B1755=0,"",IF(Inputs!$B$9="","",IF($AG1755=0,F1754,SUMIFS(Data!$N$10:$N$3209,Data!$M$10:$M$3209,"&gt;="&amp;$A1755,Data!$M$10:$M$3209,"&lt;"&amp;$A1755+1)/$AG1755)))</f>
        <v/>
      </c>
      <c r="G1755" s="56">
        <f>IF($B1755=0,"",IF(Inputs!$B$10="","",IF($AH1755=0,G1754,SUMIFS(Data!$R$10:$R$3209,Data!$Q$10:$Q$3209,"&gt;="&amp;$A1755,Data!$Q$10:$Q$3209,"&lt;"&amp;$A1755+1)/$AH1755)))</f>
        <v/>
      </c>
      <c r="I1755" s="54">
        <f>IF($B1755=0,NA(),IF($C1755="",NA(),IF(C$8="",NA(),IF(N(C$8)=0,NA(),IF(Inputs!$C$17="Rebased to 100",$C1755/C$8*100,$C1755)))))</f>
        <v/>
      </c>
      <c r="J1755" s="54">
        <f>IF($B1755=0,NA(),IF($D1755="",NA(),IF(D$8="",NA(),IF(N(D$8)=0,NA(),IF(Inputs!$C$17="Rebased to 100",$D1755/D$8*100,$D1755)))))</f>
        <v/>
      </c>
      <c r="K1755" s="54">
        <f>IF($B1755=0,NA(),IF($E1755="",NA(),IF(E$8="",NA(),IF(N(E$8)=0,NA(),IF(Inputs!$C$17="Rebased to 100",$E1755/E$8*100,$E1755)))))</f>
        <v/>
      </c>
      <c r="L1755" s="54">
        <f>IF($B1755=0,NA(),IF($F1755="",NA(),IF(F$8="",NA(),IF(N(F$8)=0,NA(),IF(Inputs!$C$17="Rebased to 100",$F1755/F$8*100,$F1755)))))</f>
        <v/>
      </c>
      <c r="M1755" s="54">
        <f>IF($B1755=0,NA(),IF($G1755="",NA(),IF(G$8="",NA(),IF(N(G$8)=0,NA(),IF(Inputs!$C$17="Rebased to 100",$G1755/G$8*100,$G1755)))))</f>
        <v/>
      </c>
      <c r="N1755" s="54">
        <f>IF($B1755=0,NA(),IF(Inputs!$C$18&lt;&gt;"Yes",NA(),IF(COUNT(I1755,J1755,K1755,L1755,M1755)=0,NA(),MIN(I1755,J1755,K1755,L1755,M1755))))</f>
        <v/>
      </c>
      <c r="O1755" s="54">
        <f>IF($B1755=0,NA(),IF(Inputs!$B$24&lt;&gt;"Yes",NA(),Inputs!$D$24*Inputs!$C$35))</f>
        <v/>
      </c>
      <c r="P1755" s="54">
        <f>IF($B1755=0,NA(),IF(Inputs!$B$25&lt;&gt;"Yes",NA(),Inputs!$D$25*Inputs!$C$35))</f>
        <v/>
      </c>
      <c r="Q1755" s="54">
        <f>IF($B1755=0,NA(),IF(Inputs!$B$26&lt;&gt;"Yes",NA(),Inputs!$D$26*Inputs!$C$35))</f>
        <v/>
      </c>
      <c r="R1755" s="54">
        <f>IF($B1755=0,NA(),IF(Inputs!$B$27&lt;&gt;"Yes",NA(),Inputs!$D$27*Inputs!$C$35))</f>
        <v/>
      </c>
      <c r="S1755" s="54">
        <f>IF($B1755=0,NA(),IF(Inputs!$B$28&lt;&gt;"Yes",NA(),Inputs!$D$28*Inputs!$C$35))</f>
        <v/>
      </c>
      <c r="T1755" s="54">
        <f>IF($B1755=0,NA(),IF(Inputs!$B$29&lt;&gt;"Yes",NA(),Inputs!$D$29*Inputs!$C$35))</f>
        <v/>
      </c>
      <c r="AD1755">
        <f>IF($B1755=0,0,IF(Inputs!$B$6="",0,COUNTIFS(Data!$A$10:$A$3209,"&gt;="&amp;$A1755,Data!$A$10:$A$3209,"&lt;"&amp;$A1755+1)))</f>
        <v/>
      </c>
      <c r="AE1755">
        <f>IF($B1755=0,0,IF(Inputs!$B$7="",0,COUNTIFS(Data!$E$10:$E$3209,"&gt;="&amp;$A1755,Data!$E$10:$E$3209,"&lt;"&amp;$A1755+1)))</f>
        <v/>
      </c>
      <c r="AF1755">
        <f>IF($B1755=0,0,IF(Inputs!$B$8="",0,COUNTIFS(Data!$I$10:$I$3209,"&gt;="&amp;$A1755,Data!$I$10:$I$3209,"&lt;"&amp;$A1755+1)))</f>
        <v/>
      </c>
      <c r="AG1755">
        <f>IF($B1755=0,0,IF(Inputs!$B$9="",0,COUNTIFS(Data!$M$10:$M$3209,"&gt;="&amp;$A1755,Data!$M$10:$M$3209,"&lt;"&amp;$A1755+1)))</f>
        <v/>
      </c>
      <c r="AH1755">
        <f>IF($B1755=0,0,IF(Inputs!$B$10="",0,COUNTIFS(Data!$Q$10:$Q$3209,"&gt;="&amp;$A1755,Data!$Q$10:$Q$3209,"&lt;"&amp;$A1755+1)))</f>
        <v/>
      </c>
    </row>
    <row r="1756">
      <c r="A1756" s="55">
        <f>MIN(Inputs!$C$15,$A1755+IF(WEEKDAY($A1755,2)=5,3,1))</f>
        <v/>
      </c>
      <c r="B1756">
        <f>IF($A1756&gt;$A1755,1,0)</f>
        <v/>
      </c>
      <c r="C1756" s="56">
        <f>IF($B1756=0,"",IF(Inputs!$B$6="","",IF($AD1756=0,C1755,SUMIFS(Data!$B$10:$B$3209,Data!$A$10:$A$3209,"&gt;="&amp;$A1756,Data!$A$10:$A$3209,"&lt;"&amp;$A1756+1)/$AD1756)))</f>
        <v/>
      </c>
      <c r="D1756" s="56">
        <f>IF($B1756=0,"",IF(Inputs!$B$7="","",IF($AE1756=0,D1755,SUMIFS(Data!$F$10:$F$3209,Data!$E$10:$E$3209,"&gt;="&amp;$A1756,Data!$E$10:$E$3209,"&lt;"&amp;$A1756+1)/$AE1756)))</f>
        <v/>
      </c>
      <c r="E1756" s="56">
        <f>IF($B1756=0,"",IF(Inputs!$B$8="","",IF($AF1756=0,E1755,SUMIFS(Data!$J$10:$J$3209,Data!$I$10:$I$3209,"&gt;="&amp;$A1756,Data!$I$10:$I$3209,"&lt;"&amp;$A1756+1)/$AF1756)))</f>
        <v/>
      </c>
      <c r="F1756" s="56">
        <f>IF($B1756=0,"",IF(Inputs!$B$9="","",IF($AG1756=0,F1755,SUMIFS(Data!$N$10:$N$3209,Data!$M$10:$M$3209,"&gt;="&amp;$A1756,Data!$M$10:$M$3209,"&lt;"&amp;$A1756+1)/$AG1756)))</f>
        <v/>
      </c>
      <c r="G1756" s="56">
        <f>IF($B1756=0,"",IF(Inputs!$B$10="","",IF($AH1756=0,G1755,SUMIFS(Data!$R$10:$R$3209,Data!$Q$10:$Q$3209,"&gt;="&amp;$A1756,Data!$Q$10:$Q$3209,"&lt;"&amp;$A1756+1)/$AH1756)))</f>
        <v/>
      </c>
      <c r="I1756" s="54">
        <f>IF($B1756=0,NA(),IF($C1756="",NA(),IF(C$8="",NA(),IF(N(C$8)=0,NA(),IF(Inputs!$C$17="Rebased to 100",$C1756/C$8*100,$C1756)))))</f>
        <v/>
      </c>
      <c r="J1756" s="54">
        <f>IF($B1756=0,NA(),IF($D1756="",NA(),IF(D$8="",NA(),IF(N(D$8)=0,NA(),IF(Inputs!$C$17="Rebased to 100",$D1756/D$8*100,$D1756)))))</f>
        <v/>
      </c>
      <c r="K1756" s="54">
        <f>IF($B1756=0,NA(),IF($E1756="",NA(),IF(E$8="",NA(),IF(N(E$8)=0,NA(),IF(Inputs!$C$17="Rebased to 100",$E1756/E$8*100,$E1756)))))</f>
        <v/>
      </c>
      <c r="L1756" s="54">
        <f>IF($B1756=0,NA(),IF($F1756="",NA(),IF(F$8="",NA(),IF(N(F$8)=0,NA(),IF(Inputs!$C$17="Rebased to 100",$F1756/F$8*100,$F1756)))))</f>
        <v/>
      </c>
      <c r="M1756" s="54">
        <f>IF($B1756=0,NA(),IF($G1756="",NA(),IF(G$8="",NA(),IF(N(G$8)=0,NA(),IF(Inputs!$C$17="Rebased to 100",$G1756/G$8*100,$G1756)))))</f>
        <v/>
      </c>
      <c r="N1756" s="54">
        <f>IF($B1756=0,NA(),IF(Inputs!$C$18&lt;&gt;"Yes",NA(),IF(COUNT(I1756,J1756,K1756,L1756,M1756)=0,NA(),MIN(I1756,J1756,K1756,L1756,M1756))))</f>
        <v/>
      </c>
      <c r="O1756" s="54">
        <f>IF($B1756=0,NA(),IF(Inputs!$B$24&lt;&gt;"Yes",NA(),Inputs!$D$24*Inputs!$C$35))</f>
        <v/>
      </c>
      <c r="P1756" s="54">
        <f>IF($B1756=0,NA(),IF(Inputs!$B$25&lt;&gt;"Yes",NA(),Inputs!$D$25*Inputs!$C$35))</f>
        <v/>
      </c>
      <c r="Q1756" s="54">
        <f>IF($B1756=0,NA(),IF(Inputs!$B$26&lt;&gt;"Yes",NA(),Inputs!$D$26*Inputs!$C$35))</f>
        <v/>
      </c>
      <c r="R1756" s="54">
        <f>IF($B1756=0,NA(),IF(Inputs!$B$27&lt;&gt;"Yes",NA(),Inputs!$D$27*Inputs!$C$35))</f>
        <v/>
      </c>
      <c r="S1756" s="54">
        <f>IF($B1756=0,NA(),IF(Inputs!$B$28&lt;&gt;"Yes",NA(),Inputs!$D$28*Inputs!$C$35))</f>
        <v/>
      </c>
      <c r="T1756" s="54">
        <f>IF($B1756=0,NA(),IF(Inputs!$B$29&lt;&gt;"Yes",NA(),Inputs!$D$29*Inputs!$C$35))</f>
        <v/>
      </c>
      <c r="AD1756">
        <f>IF($B1756=0,0,IF(Inputs!$B$6="",0,COUNTIFS(Data!$A$10:$A$3209,"&gt;="&amp;$A1756,Data!$A$10:$A$3209,"&lt;"&amp;$A1756+1)))</f>
        <v/>
      </c>
      <c r="AE1756">
        <f>IF($B1756=0,0,IF(Inputs!$B$7="",0,COUNTIFS(Data!$E$10:$E$3209,"&gt;="&amp;$A1756,Data!$E$10:$E$3209,"&lt;"&amp;$A1756+1)))</f>
        <v/>
      </c>
      <c r="AF1756">
        <f>IF($B1756=0,0,IF(Inputs!$B$8="",0,COUNTIFS(Data!$I$10:$I$3209,"&gt;="&amp;$A1756,Data!$I$10:$I$3209,"&lt;"&amp;$A1756+1)))</f>
        <v/>
      </c>
      <c r="AG1756">
        <f>IF($B1756=0,0,IF(Inputs!$B$9="",0,COUNTIFS(Data!$M$10:$M$3209,"&gt;="&amp;$A1756,Data!$M$10:$M$3209,"&lt;"&amp;$A1756+1)))</f>
        <v/>
      </c>
      <c r="AH1756">
        <f>IF($B1756=0,0,IF(Inputs!$B$10="",0,COUNTIFS(Data!$Q$10:$Q$3209,"&gt;="&amp;$A1756,Data!$Q$10:$Q$3209,"&lt;"&amp;$A1756+1)))</f>
        <v/>
      </c>
    </row>
    <row r="1757">
      <c r="A1757" s="55">
        <f>MIN(Inputs!$C$15,$A1756+IF(WEEKDAY($A1756,2)=5,3,1))</f>
        <v/>
      </c>
      <c r="B1757">
        <f>IF($A1757&gt;$A1756,1,0)</f>
        <v/>
      </c>
      <c r="C1757" s="56">
        <f>IF($B1757=0,"",IF(Inputs!$B$6="","",IF($AD1757=0,C1756,SUMIFS(Data!$B$10:$B$3209,Data!$A$10:$A$3209,"&gt;="&amp;$A1757,Data!$A$10:$A$3209,"&lt;"&amp;$A1757+1)/$AD1757)))</f>
        <v/>
      </c>
      <c r="D1757" s="56">
        <f>IF($B1757=0,"",IF(Inputs!$B$7="","",IF($AE1757=0,D1756,SUMIFS(Data!$F$10:$F$3209,Data!$E$10:$E$3209,"&gt;="&amp;$A1757,Data!$E$10:$E$3209,"&lt;"&amp;$A1757+1)/$AE1757)))</f>
        <v/>
      </c>
      <c r="E1757" s="56">
        <f>IF($B1757=0,"",IF(Inputs!$B$8="","",IF($AF1757=0,E1756,SUMIFS(Data!$J$10:$J$3209,Data!$I$10:$I$3209,"&gt;="&amp;$A1757,Data!$I$10:$I$3209,"&lt;"&amp;$A1757+1)/$AF1757)))</f>
        <v/>
      </c>
      <c r="F1757" s="56">
        <f>IF($B1757=0,"",IF(Inputs!$B$9="","",IF($AG1757=0,F1756,SUMIFS(Data!$N$10:$N$3209,Data!$M$10:$M$3209,"&gt;="&amp;$A1757,Data!$M$10:$M$3209,"&lt;"&amp;$A1757+1)/$AG1757)))</f>
        <v/>
      </c>
      <c r="G1757" s="56">
        <f>IF($B1757=0,"",IF(Inputs!$B$10="","",IF($AH1757=0,G1756,SUMIFS(Data!$R$10:$R$3209,Data!$Q$10:$Q$3209,"&gt;="&amp;$A1757,Data!$Q$10:$Q$3209,"&lt;"&amp;$A1757+1)/$AH1757)))</f>
        <v/>
      </c>
      <c r="I1757" s="54">
        <f>IF($B1757=0,NA(),IF($C1757="",NA(),IF(C$8="",NA(),IF(N(C$8)=0,NA(),IF(Inputs!$C$17="Rebased to 100",$C1757/C$8*100,$C1757)))))</f>
        <v/>
      </c>
      <c r="J1757" s="54">
        <f>IF($B1757=0,NA(),IF($D1757="",NA(),IF(D$8="",NA(),IF(N(D$8)=0,NA(),IF(Inputs!$C$17="Rebased to 100",$D1757/D$8*100,$D1757)))))</f>
        <v/>
      </c>
      <c r="K1757" s="54">
        <f>IF($B1757=0,NA(),IF($E1757="",NA(),IF(E$8="",NA(),IF(N(E$8)=0,NA(),IF(Inputs!$C$17="Rebased to 100",$E1757/E$8*100,$E1757)))))</f>
        <v/>
      </c>
      <c r="L1757" s="54">
        <f>IF($B1757=0,NA(),IF($F1757="",NA(),IF(F$8="",NA(),IF(N(F$8)=0,NA(),IF(Inputs!$C$17="Rebased to 100",$F1757/F$8*100,$F1757)))))</f>
        <v/>
      </c>
      <c r="M1757" s="54">
        <f>IF($B1757=0,NA(),IF($G1757="",NA(),IF(G$8="",NA(),IF(N(G$8)=0,NA(),IF(Inputs!$C$17="Rebased to 100",$G1757/G$8*100,$G1757)))))</f>
        <v/>
      </c>
      <c r="N1757" s="54">
        <f>IF($B1757=0,NA(),IF(Inputs!$C$18&lt;&gt;"Yes",NA(),IF(COUNT(I1757,J1757,K1757,L1757,M1757)=0,NA(),MIN(I1757,J1757,K1757,L1757,M1757))))</f>
        <v/>
      </c>
      <c r="O1757" s="54">
        <f>IF($B1757=0,NA(),IF(Inputs!$B$24&lt;&gt;"Yes",NA(),Inputs!$D$24*Inputs!$C$35))</f>
        <v/>
      </c>
      <c r="P1757" s="54">
        <f>IF($B1757=0,NA(),IF(Inputs!$B$25&lt;&gt;"Yes",NA(),Inputs!$D$25*Inputs!$C$35))</f>
        <v/>
      </c>
      <c r="Q1757" s="54">
        <f>IF($B1757=0,NA(),IF(Inputs!$B$26&lt;&gt;"Yes",NA(),Inputs!$D$26*Inputs!$C$35))</f>
        <v/>
      </c>
      <c r="R1757" s="54">
        <f>IF($B1757=0,NA(),IF(Inputs!$B$27&lt;&gt;"Yes",NA(),Inputs!$D$27*Inputs!$C$35))</f>
        <v/>
      </c>
      <c r="S1757" s="54">
        <f>IF($B1757=0,NA(),IF(Inputs!$B$28&lt;&gt;"Yes",NA(),Inputs!$D$28*Inputs!$C$35))</f>
        <v/>
      </c>
      <c r="T1757" s="54">
        <f>IF($B1757=0,NA(),IF(Inputs!$B$29&lt;&gt;"Yes",NA(),Inputs!$D$29*Inputs!$C$35))</f>
        <v/>
      </c>
      <c r="AD1757">
        <f>IF($B1757=0,0,IF(Inputs!$B$6="",0,COUNTIFS(Data!$A$10:$A$3209,"&gt;="&amp;$A1757,Data!$A$10:$A$3209,"&lt;"&amp;$A1757+1)))</f>
        <v/>
      </c>
      <c r="AE1757">
        <f>IF($B1757=0,0,IF(Inputs!$B$7="",0,COUNTIFS(Data!$E$10:$E$3209,"&gt;="&amp;$A1757,Data!$E$10:$E$3209,"&lt;"&amp;$A1757+1)))</f>
        <v/>
      </c>
      <c r="AF1757">
        <f>IF($B1757=0,0,IF(Inputs!$B$8="",0,COUNTIFS(Data!$I$10:$I$3209,"&gt;="&amp;$A1757,Data!$I$10:$I$3209,"&lt;"&amp;$A1757+1)))</f>
        <v/>
      </c>
      <c r="AG1757">
        <f>IF($B1757=0,0,IF(Inputs!$B$9="",0,COUNTIFS(Data!$M$10:$M$3209,"&gt;="&amp;$A1757,Data!$M$10:$M$3209,"&lt;"&amp;$A1757+1)))</f>
        <v/>
      </c>
      <c r="AH1757">
        <f>IF($B1757=0,0,IF(Inputs!$B$10="",0,COUNTIFS(Data!$Q$10:$Q$3209,"&gt;="&amp;$A1757,Data!$Q$10:$Q$3209,"&lt;"&amp;$A1757+1)))</f>
        <v/>
      </c>
    </row>
    <row r="1758">
      <c r="A1758" s="55">
        <f>MIN(Inputs!$C$15,$A1757+IF(WEEKDAY($A1757,2)=5,3,1))</f>
        <v/>
      </c>
      <c r="B1758">
        <f>IF($A1758&gt;$A1757,1,0)</f>
        <v/>
      </c>
      <c r="C1758" s="56">
        <f>IF($B1758=0,"",IF(Inputs!$B$6="","",IF($AD1758=0,C1757,SUMIFS(Data!$B$10:$B$3209,Data!$A$10:$A$3209,"&gt;="&amp;$A1758,Data!$A$10:$A$3209,"&lt;"&amp;$A1758+1)/$AD1758)))</f>
        <v/>
      </c>
      <c r="D1758" s="56">
        <f>IF($B1758=0,"",IF(Inputs!$B$7="","",IF($AE1758=0,D1757,SUMIFS(Data!$F$10:$F$3209,Data!$E$10:$E$3209,"&gt;="&amp;$A1758,Data!$E$10:$E$3209,"&lt;"&amp;$A1758+1)/$AE1758)))</f>
        <v/>
      </c>
      <c r="E1758" s="56">
        <f>IF($B1758=0,"",IF(Inputs!$B$8="","",IF($AF1758=0,E1757,SUMIFS(Data!$J$10:$J$3209,Data!$I$10:$I$3209,"&gt;="&amp;$A1758,Data!$I$10:$I$3209,"&lt;"&amp;$A1758+1)/$AF1758)))</f>
        <v/>
      </c>
      <c r="F1758" s="56">
        <f>IF($B1758=0,"",IF(Inputs!$B$9="","",IF($AG1758=0,F1757,SUMIFS(Data!$N$10:$N$3209,Data!$M$10:$M$3209,"&gt;="&amp;$A1758,Data!$M$10:$M$3209,"&lt;"&amp;$A1758+1)/$AG1758)))</f>
        <v/>
      </c>
      <c r="G1758" s="56">
        <f>IF($B1758=0,"",IF(Inputs!$B$10="","",IF($AH1758=0,G1757,SUMIFS(Data!$R$10:$R$3209,Data!$Q$10:$Q$3209,"&gt;="&amp;$A1758,Data!$Q$10:$Q$3209,"&lt;"&amp;$A1758+1)/$AH1758)))</f>
        <v/>
      </c>
      <c r="I1758" s="54">
        <f>IF($B1758=0,NA(),IF($C1758="",NA(),IF(C$8="",NA(),IF(N(C$8)=0,NA(),IF(Inputs!$C$17="Rebased to 100",$C1758/C$8*100,$C1758)))))</f>
        <v/>
      </c>
      <c r="J1758" s="54">
        <f>IF($B1758=0,NA(),IF($D1758="",NA(),IF(D$8="",NA(),IF(N(D$8)=0,NA(),IF(Inputs!$C$17="Rebased to 100",$D1758/D$8*100,$D1758)))))</f>
        <v/>
      </c>
      <c r="K1758" s="54">
        <f>IF($B1758=0,NA(),IF($E1758="",NA(),IF(E$8="",NA(),IF(N(E$8)=0,NA(),IF(Inputs!$C$17="Rebased to 100",$E1758/E$8*100,$E1758)))))</f>
        <v/>
      </c>
      <c r="L1758" s="54">
        <f>IF($B1758=0,NA(),IF($F1758="",NA(),IF(F$8="",NA(),IF(N(F$8)=0,NA(),IF(Inputs!$C$17="Rebased to 100",$F1758/F$8*100,$F1758)))))</f>
        <v/>
      </c>
      <c r="M1758" s="54">
        <f>IF($B1758=0,NA(),IF($G1758="",NA(),IF(G$8="",NA(),IF(N(G$8)=0,NA(),IF(Inputs!$C$17="Rebased to 100",$G1758/G$8*100,$G1758)))))</f>
        <v/>
      </c>
      <c r="N1758" s="54">
        <f>IF($B1758=0,NA(),IF(Inputs!$C$18&lt;&gt;"Yes",NA(),IF(COUNT(I1758,J1758,K1758,L1758,M1758)=0,NA(),MIN(I1758,J1758,K1758,L1758,M1758))))</f>
        <v/>
      </c>
      <c r="O1758" s="54">
        <f>IF($B1758=0,NA(),IF(Inputs!$B$24&lt;&gt;"Yes",NA(),Inputs!$D$24*Inputs!$C$35))</f>
        <v/>
      </c>
      <c r="P1758" s="54">
        <f>IF($B1758=0,NA(),IF(Inputs!$B$25&lt;&gt;"Yes",NA(),Inputs!$D$25*Inputs!$C$35))</f>
        <v/>
      </c>
      <c r="Q1758" s="54">
        <f>IF($B1758=0,NA(),IF(Inputs!$B$26&lt;&gt;"Yes",NA(),Inputs!$D$26*Inputs!$C$35))</f>
        <v/>
      </c>
      <c r="R1758" s="54">
        <f>IF($B1758=0,NA(),IF(Inputs!$B$27&lt;&gt;"Yes",NA(),Inputs!$D$27*Inputs!$C$35))</f>
        <v/>
      </c>
      <c r="S1758" s="54">
        <f>IF($B1758=0,NA(),IF(Inputs!$B$28&lt;&gt;"Yes",NA(),Inputs!$D$28*Inputs!$C$35))</f>
        <v/>
      </c>
      <c r="T1758" s="54">
        <f>IF($B1758=0,NA(),IF(Inputs!$B$29&lt;&gt;"Yes",NA(),Inputs!$D$29*Inputs!$C$35))</f>
        <v/>
      </c>
      <c r="AD1758">
        <f>IF($B1758=0,0,IF(Inputs!$B$6="",0,COUNTIFS(Data!$A$10:$A$3209,"&gt;="&amp;$A1758,Data!$A$10:$A$3209,"&lt;"&amp;$A1758+1)))</f>
        <v/>
      </c>
      <c r="AE1758">
        <f>IF($B1758=0,0,IF(Inputs!$B$7="",0,COUNTIFS(Data!$E$10:$E$3209,"&gt;="&amp;$A1758,Data!$E$10:$E$3209,"&lt;"&amp;$A1758+1)))</f>
        <v/>
      </c>
      <c r="AF1758">
        <f>IF($B1758=0,0,IF(Inputs!$B$8="",0,COUNTIFS(Data!$I$10:$I$3209,"&gt;="&amp;$A1758,Data!$I$10:$I$3209,"&lt;"&amp;$A1758+1)))</f>
        <v/>
      </c>
      <c r="AG1758">
        <f>IF($B1758=0,0,IF(Inputs!$B$9="",0,COUNTIFS(Data!$M$10:$M$3209,"&gt;="&amp;$A1758,Data!$M$10:$M$3209,"&lt;"&amp;$A1758+1)))</f>
        <v/>
      </c>
      <c r="AH1758">
        <f>IF($B1758=0,0,IF(Inputs!$B$10="",0,COUNTIFS(Data!$Q$10:$Q$3209,"&gt;="&amp;$A1758,Data!$Q$10:$Q$3209,"&lt;"&amp;$A1758+1)))</f>
        <v/>
      </c>
    </row>
    <row r="1759">
      <c r="A1759" s="55">
        <f>MIN(Inputs!$C$15,$A1758+IF(WEEKDAY($A1758,2)=5,3,1))</f>
        <v/>
      </c>
      <c r="B1759">
        <f>IF($A1759&gt;$A1758,1,0)</f>
        <v/>
      </c>
      <c r="C1759" s="56">
        <f>IF($B1759=0,"",IF(Inputs!$B$6="","",IF($AD1759=0,C1758,SUMIFS(Data!$B$10:$B$3209,Data!$A$10:$A$3209,"&gt;="&amp;$A1759,Data!$A$10:$A$3209,"&lt;"&amp;$A1759+1)/$AD1759)))</f>
        <v/>
      </c>
      <c r="D1759" s="56">
        <f>IF($B1759=0,"",IF(Inputs!$B$7="","",IF($AE1759=0,D1758,SUMIFS(Data!$F$10:$F$3209,Data!$E$10:$E$3209,"&gt;="&amp;$A1759,Data!$E$10:$E$3209,"&lt;"&amp;$A1759+1)/$AE1759)))</f>
        <v/>
      </c>
      <c r="E1759" s="56">
        <f>IF($B1759=0,"",IF(Inputs!$B$8="","",IF($AF1759=0,E1758,SUMIFS(Data!$J$10:$J$3209,Data!$I$10:$I$3209,"&gt;="&amp;$A1759,Data!$I$10:$I$3209,"&lt;"&amp;$A1759+1)/$AF1759)))</f>
        <v/>
      </c>
      <c r="F1759" s="56">
        <f>IF($B1759=0,"",IF(Inputs!$B$9="","",IF($AG1759=0,F1758,SUMIFS(Data!$N$10:$N$3209,Data!$M$10:$M$3209,"&gt;="&amp;$A1759,Data!$M$10:$M$3209,"&lt;"&amp;$A1759+1)/$AG1759)))</f>
        <v/>
      </c>
      <c r="G1759" s="56">
        <f>IF($B1759=0,"",IF(Inputs!$B$10="","",IF($AH1759=0,G1758,SUMIFS(Data!$R$10:$R$3209,Data!$Q$10:$Q$3209,"&gt;="&amp;$A1759,Data!$Q$10:$Q$3209,"&lt;"&amp;$A1759+1)/$AH1759)))</f>
        <v/>
      </c>
      <c r="I1759" s="54">
        <f>IF($B1759=0,NA(),IF($C1759="",NA(),IF(C$8="",NA(),IF(N(C$8)=0,NA(),IF(Inputs!$C$17="Rebased to 100",$C1759/C$8*100,$C1759)))))</f>
        <v/>
      </c>
      <c r="J1759" s="54">
        <f>IF($B1759=0,NA(),IF($D1759="",NA(),IF(D$8="",NA(),IF(N(D$8)=0,NA(),IF(Inputs!$C$17="Rebased to 100",$D1759/D$8*100,$D1759)))))</f>
        <v/>
      </c>
      <c r="K1759" s="54">
        <f>IF($B1759=0,NA(),IF($E1759="",NA(),IF(E$8="",NA(),IF(N(E$8)=0,NA(),IF(Inputs!$C$17="Rebased to 100",$E1759/E$8*100,$E1759)))))</f>
        <v/>
      </c>
      <c r="L1759" s="54">
        <f>IF($B1759=0,NA(),IF($F1759="",NA(),IF(F$8="",NA(),IF(N(F$8)=0,NA(),IF(Inputs!$C$17="Rebased to 100",$F1759/F$8*100,$F1759)))))</f>
        <v/>
      </c>
      <c r="M1759" s="54">
        <f>IF($B1759=0,NA(),IF($G1759="",NA(),IF(G$8="",NA(),IF(N(G$8)=0,NA(),IF(Inputs!$C$17="Rebased to 100",$G1759/G$8*100,$G1759)))))</f>
        <v/>
      </c>
      <c r="N1759" s="54">
        <f>IF($B1759=0,NA(),IF(Inputs!$C$18&lt;&gt;"Yes",NA(),IF(COUNT(I1759,J1759,K1759,L1759,M1759)=0,NA(),MIN(I1759,J1759,K1759,L1759,M1759))))</f>
        <v/>
      </c>
      <c r="O1759" s="54">
        <f>IF($B1759=0,NA(),IF(Inputs!$B$24&lt;&gt;"Yes",NA(),Inputs!$D$24*Inputs!$C$35))</f>
        <v/>
      </c>
      <c r="P1759" s="54">
        <f>IF($B1759=0,NA(),IF(Inputs!$B$25&lt;&gt;"Yes",NA(),Inputs!$D$25*Inputs!$C$35))</f>
        <v/>
      </c>
      <c r="Q1759" s="54">
        <f>IF($B1759=0,NA(),IF(Inputs!$B$26&lt;&gt;"Yes",NA(),Inputs!$D$26*Inputs!$C$35))</f>
        <v/>
      </c>
      <c r="R1759" s="54">
        <f>IF($B1759=0,NA(),IF(Inputs!$B$27&lt;&gt;"Yes",NA(),Inputs!$D$27*Inputs!$C$35))</f>
        <v/>
      </c>
      <c r="S1759" s="54">
        <f>IF($B1759=0,NA(),IF(Inputs!$B$28&lt;&gt;"Yes",NA(),Inputs!$D$28*Inputs!$C$35))</f>
        <v/>
      </c>
      <c r="T1759" s="54">
        <f>IF($B1759=0,NA(),IF(Inputs!$B$29&lt;&gt;"Yes",NA(),Inputs!$D$29*Inputs!$C$35))</f>
        <v/>
      </c>
      <c r="AD1759">
        <f>IF($B1759=0,0,IF(Inputs!$B$6="",0,COUNTIFS(Data!$A$10:$A$3209,"&gt;="&amp;$A1759,Data!$A$10:$A$3209,"&lt;"&amp;$A1759+1)))</f>
        <v/>
      </c>
      <c r="AE1759">
        <f>IF($B1759=0,0,IF(Inputs!$B$7="",0,COUNTIFS(Data!$E$10:$E$3209,"&gt;="&amp;$A1759,Data!$E$10:$E$3209,"&lt;"&amp;$A1759+1)))</f>
        <v/>
      </c>
      <c r="AF1759">
        <f>IF($B1759=0,0,IF(Inputs!$B$8="",0,COUNTIFS(Data!$I$10:$I$3209,"&gt;="&amp;$A1759,Data!$I$10:$I$3209,"&lt;"&amp;$A1759+1)))</f>
        <v/>
      </c>
      <c r="AG1759">
        <f>IF($B1759=0,0,IF(Inputs!$B$9="",0,COUNTIFS(Data!$M$10:$M$3209,"&gt;="&amp;$A1759,Data!$M$10:$M$3209,"&lt;"&amp;$A1759+1)))</f>
        <v/>
      </c>
      <c r="AH1759">
        <f>IF($B1759=0,0,IF(Inputs!$B$10="",0,COUNTIFS(Data!$Q$10:$Q$3209,"&gt;="&amp;$A1759,Data!$Q$10:$Q$3209,"&lt;"&amp;$A1759+1)))</f>
        <v/>
      </c>
    </row>
    <row r="1760">
      <c r="A1760" s="55">
        <f>MIN(Inputs!$C$15,$A1759+IF(WEEKDAY($A1759,2)=5,3,1))</f>
        <v/>
      </c>
      <c r="B1760">
        <f>IF($A1760&gt;$A1759,1,0)</f>
        <v/>
      </c>
      <c r="C1760" s="56">
        <f>IF($B1760=0,"",IF(Inputs!$B$6="","",IF($AD1760=0,C1759,SUMIFS(Data!$B$10:$B$3209,Data!$A$10:$A$3209,"&gt;="&amp;$A1760,Data!$A$10:$A$3209,"&lt;"&amp;$A1760+1)/$AD1760)))</f>
        <v/>
      </c>
      <c r="D1760" s="56">
        <f>IF($B1760=0,"",IF(Inputs!$B$7="","",IF($AE1760=0,D1759,SUMIFS(Data!$F$10:$F$3209,Data!$E$10:$E$3209,"&gt;="&amp;$A1760,Data!$E$10:$E$3209,"&lt;"&amp;$A1760+1)/$AE1760)))</f>
        <v/>
      </c>
      <c r="E1760" s="56">
        <f>IF($B1760=0,"",IF(Inputs!$B$8="","",IF($AF1760=0,E1759,SUMIFS(Data!$J$10:$J$3209,Data!$I$10:$I$3209,"&gt;="&amp;$A1760,Data!$I$10:$I$3209,"&lt;"&amp;$A1760+1)/$AF1760)))</f>
        <v/>
      </c>
      <c r="F1760" s="56">
        <f>IF($B1760=0,"",IF(Inputs!$B$9="","",IF($AG1760=0,F1759,SUMIFS(Data!$N$10:$N$3209,Data!$M$10:$M$3209,"&gt;="&amp;$A1760,Data!$M$10:$M$3209,"&lt;"&amp;$A1760+1)/$AG1760)))</f>
        <v/>
      </c>
      <c r="G1760" s="56">
        <f>IF($B1760=0,"",IF(Inputs!$B$10="","",IF($AH1760=0,G1759,SUMIFS(Data!$R$10:$R$3209,Data!$Q$10:$Q$3209,"&gt;="&amp;$A1760,Data!$Q$10:$Q$3209,"&lt;"&amp;$A1760+1)/$AH1760)))</f>
        <v/>
      </c>
      <c r="I1760" s="54">
        <f>IF($B1760=0,NA(),IF($C1760="",NA(),IF(C$8="",NA(),IF(N(C$8)=0,NA(),IF(Inputs!$C$17="Rebased to 100",$C1760/C$8*100,$C1760)))))</f>
        <v/>
      </c>
      <c r="J1760" s="54">
        <f>IF($B1760=0,NA(),IF($D1760="",NA(),IF(D$8="",NA(),IF(N(D$8)=0,NA(),IF(Inputs!$C$17="Rebased to 100",$D1760/D$8*100,$D1760)))))</f>
        <v/>
      </c>
      <c r="K1760" s="54">
        <f>IF($B1760=0,NA(),IF($E1760="",NA(),IF(E$8="",NA(),IF(N(E$8)=0,NA(),IF(Inputs!$C$17="Rebased to 100",$E1760/E$8*100,$E1760)))))</f>
        <v/>
      </c>
      <c r="L1760" s="54">
        <f>IF($B1760=0,NA(),IF($F1760="",NA(),IF(F$8="",NA(),IF(N(F$8)=0,NA(),IF(Inputs!$C$17="Rebased to 100",$F1760/F$8*100,$F1760)))))</f>
        <v/>
      </c>
      <c r="M1760" s="54">
        <f>IF($B1760=0,NA(),IF($G1760="",NA(),IF(G$8="",NA(),IF(N(G$8)=0,NA(),IF(Inputs!$C$17="Rebased to 100",$G1760/G$8*100,$G1760)))))</f>
        <v/>
      </c>
      <c r="N1760" s="54">
        <f>IF($B1760=0,NA(),IF(Inputs!$C$18&lt;&gt;"Yes",NA(),IF(COUNT(I1760,J1760,K1760,L1760,M1760)=0,NA(),MIN(I1760,J1760,K1760,L1760,M1760))))</f>
        <v/>
      </c>
      <c r="O1760" s="54">
        <f>IF($B1760=0,NA(),IF(Inputs!$B$24&lt;&gt;"Yes",NA(),Inputs!$D$24*Inputs!$C$35))</f>
        <v/>
      </c>
      <c r="P1760" s="54">
        <f>IF($B1760=0,NA(),IF(Inputs!$B$25&lt;&gt;"Yes",NA(),Inputs!$D$25*Inputs!$C$35))</f>
        <v/>
      </c>
      <c r="Q1760" s="54">
        <f>IF($B1760=0,NA(),IF(Inputs!$B$26&lt;&gt;"Yes",NA(),Inputs!$D$26*Inputs!$C$35))</f>
        <v/>
      </c>
      <c r="R1760" s="54">
        <f>IF($B1760=0,NA(),IF(Inputs!$B$27&lt;&gt;"Yes",NA(),Inputs!$D$27*Inputs!$C$35))</f>
        <v/>
      </c>
      <c r="S1760" s="54">
        <f>IF($B1760=0,NA(),IF(Inputs!$B$28&lt;&gt;"Yes",NA(),Inputs!$D$28*Inputs!$C$35))</f>
        <v/>
      </c>
      <c r="T1760" s="54">
        <f>IF($B1760=0,NA(),IF(Inputs!$B$29&lt;&gt;"Yes",NA(),Inputs!$D$29*Inputs!$C$35))</f>
        <v/>
      </c>
      <c r="AD1760">
        <f>IF($B1760=0,0,IF(Inputs!$B$6="",0,COUNTIFS(Data!$A$10:$A$3209,"&gt;="&amp;$A1760,Data!$A$10:$A$3209,"&lt;"&amp;$A1760+1)))</f>
        <v/>
      </c>
      <c r="AE1760">
        <f>IF($B1760=0,0,IF(Inputs!$B$7="",0,COUNTIFS(Data!$E$10:$E$3209,"&gt;="&amp;$A1760,Data!$E$10:$E$3209,"&lt;"&amp;$A1760+1)))</f>
        <v/>
      </c>
      <c r="AF1760">
        <f>IF($B1760=0,0,IF(Inputs!$B$8="",0,COUNTIFS(Data!$I$10:$I$3209,"&gt;="&amp;$A1760,Data!$I$10:$I$3209,"&lt;"&amp;$A1760+1)))</f>
        <v/>
      </c>
      <c r="AG1760">
        <f>IF($B1760=0,0,IF(Inputs!$B$9="",0,COUNTIFS(Data!$M$10:$M$3209,"&gt;="&amp;$A1760,Data!$M$10:$M$3209,"&lt;"&amp;$A1760+1)))</f>
        <v/>
      </c>
      <c r="AH1760">
        <f>IF($B1760=0,0,IF(Inputs!$B$10="",0,COUNTIFS(Data!$Q$10:$Q$3209,"&gt;="&amp;$A1760,Data!$Q$10:$Q$3209,"&lt;"&amp;$A1760+1)))</f>
        <v/>
      </c>
    </row>
    <row r="1761">
      <c r="A1761" s="55">
        <f>MIN(Inputs!$C$15,$A1760+IF(WEEKDAY($A1760,2)=5,3,1))</f>
        <v/>
      </c>
      <c r="B1761">
        <f>IF($A1761&gt;$A1760,1,0)</f>
        <v/>
      </c>
      <c r="C1761" s="56">
        <f>IF($B1761=0,"",IF(Inputs!$B$6="","",IF($AD1761=0,C1760,SUMIFS(Data!$B$10:$B$3209,Data!$A$10:$A$3209,"&gt;="&amp;$A1761,Data!$A$10:$A$3209,"&lt;"&amp;$A1761+1)/$AD1761)))</f>
        <v/>
      </c>
      <c r="D1761" s="56">
        <f>IF($B1761=0,"",IF(Inputs!$B$7="","",IF($AE1761=0,D1760,SUMIFS(Data!$F$10:$F$3209,Data!$E$10:$E$3209,"&gt;="&amp;$A1761,Data!$E$10:$E$3209,"&lt;"&amp;$A1761+1)/$AE1761)))</f>
        <v/>
      </c>
      <c r="E1761" s="56">
        <f>IF($B1761=0,"",IF(Inputs!$B$8="","",IF($AF1761=0,E1760,SUMIFS(Data!$J$10:$J$3209,Data!$I$10:$I$3209,"&gt;="&amp;$A1761,Data!$I$10:$I$3209,"&lt;"&amp;$A1761+1)/$AF1761)))</f>
        <v/>
      </c>
      <c r="F1761" s="56">
        <f>IF($B1761=0,"",IF(Inputs!$B$9="","",IF($AG1761=0,F1760,SUMIFS(Data!$N$10:$N$3209,Data!$M$10:$M$3209,"&gt;="&amp;$A1761,Data!$M$10:$M$3209,"&lt;"&amp;$A1761+1)/$AG1761)))</f>
        <v/>
      </c>
      <c r="G1761" s="56">
        <f>IF($B1761=0,"",IF(Inputs!$B$10="","",IF($AH1761=0,G1760,SUMIFS(Data!$R$10:$R$3209,Data!$Q$10:$Q$3209,"&gt;="&amp;$A1761,Data!$Q$10:$Q$3209,"&lt;"&amp;$A1761+1)/$AH1761)))</f>
        <v/>
      </c>
      <c r="I1761" s="54">
        <f>IF($B1761=0,NA(),IF($C1761="",NA(),IF(C$8="",NA(),IF(N(C$8)=0,NA(),IF(Inputs!$C$17="Rebased to 100",$C1761/C$8*100,$C1761)))))</f>
        <v/>
      </c>
      <c r="J1761" s="54">
        <f>IF($B1761=0,NA(),IF($D1761="",NA(),IF(D$8="",NA(),IF(N(D$8)=0,NA(),IF(Inputs!$C$17="Rebased to 100",$D1761/D$8*100,$D1761)))))</f>
        <v/>
      </c>
      <c r="K1761" s="54">
        <f>IF($B1761=0,NA(),IF($E1761="",NA(),IF(E$8="",NA(),IF(N(E$8)=0,NA(),IF(Inputs!$C$17="Rebased to 100",$E1761/E$8*100,$E1761)))))</f>
        <v/>
      </c>
      <c r="L1761" s="54">
        <f>IF($B1761=0,NA(),IF($F1761="",NA(),IF(F$8="",NA(),IF(N(F$8)=0,NA(),IF(Inputs!$C$17="Rebased to 100",$F1761/F$8*100,$F1761)))))</f>
        <v/>
      </c>
      <c r="M1761" s="54">
        <f>IF($B1761=0,NA(),IF($G1761="",NA(),IF(G$8="",NA(),IF(N(G$8)=0,NA(),IF(Inputs!$C$17="Rebased to 100",$G1761/G$8*100,$G1761)))))</f>
        <v/>
      </c>
      <c r="N1761" s="54">
        <f>IF($B1761=0,NA(),IF(Inputs!$C$18&lt;&gt;"Yes",NA(),IF(COUNT(I1761,J1761,K1761,L1761,M1761)=0,NA(),MIN(I1761,J1761,K1761,L1761,M1761))))</f>
        <v/>
      </c>
      <c r="O1761" s="54">
        <f>IF($B1761=0,NA(),IF(Inputs!$B$24&lt;&gt;"Yes",NA(),Inputs!$D$24*Inputs!$C$35))</f>
        <v/>
      </c>
      <c r="P1761" s="54">
        <f>IF($B1761=0,NA(),IF(Inputs!$B$25&lt;&gt;"Yes",NA(),Inputs!$D$25*Inputs!$C$35))</f>
        <v/>
      </c>
      <c r="Q1761" s="54">
        <f>IF($B1761=0,NA(),IF(Inputs!$B$26&lt;&gt;"Yes",NA(),Inputs!$D$26*Inputs!$C$35))</f>
        <v/>
      </c>
      <c r="R1761" s="54">
        <f>IF($B1761=0,NA(),IF(Inputs!$B$27&lt;&gt;"Yes",NA(),Inputs!$D$27*Inputs!$C$35))</f>
        <v/>
      </c>
      <c r="S1761" s="54">
        <f>IF($B1761=0,NA(),IF(Inputs!$B$28&lt;&gt;"Yes",NA(),Inputs!$D$28*Inputs!$C$35))</f>
        <v/>
      </c>
      <c r="T1761" s="54">
        <f>IF($B1761=0,NA(),IF(Inputs!$B$29&lt;&gt;"Yes",NA(),Inputs!$D$29*Inputs!$C$35))</f>
        <v/>
      </c>
      <c r="AD1761">
        <f>IF($B1761=0,0,IF(Inputs!$B$6="",0,COUNTIFS(Data!$A$10:$A$3209,"&gt;="&amp;$A1761,Data!$A$10:$A$3209,"&lt;"&amp;$A1761+1)))</f>
        <v/>
      </c>
      <c r="AE1761">
        <f>IF($B1761=0,0,IF(Inputs!$B$7="",0,COUNTIFS(Data!$E$10:$E$3209,"&gt;="&amp;$A1761,Data!$E$10:$E$3209,"&lt;"&amp;$A1761+1)))</f>
        <v/>
      </c>
      <c r="AF1761">
        <f>IF($B1761=0,0,IF(Inputs!$B$8="",0,COUNTIFS(Data!$I$10:$I$3209,"&gt;="&amp;$A1761,Data!$I$10:$I$3209,"&lt;"&amp;$A1761+1)))</f>
        <v/>
      </c>
      <c r="AG1761">
        <f>IF($B1761=0,0,IF(Inputs!$B$9="",0,COUNTIFS(Data!$M$10:$M$3209,"&gt;="&amp;$A1761,Data!$M$10:$M$3209,"&lt;"&amp;$A1761+1)))</f>
        <v/>
      </c>
      <c r="AH1761">
        <f>IF($B1761=0,0,IF(Inputs!$B$10="",0,COUNTIFS(Data!$Q$10:$Q$3209,"&gt;="&amp;$A1761,Data!$Q$10:$Q$3209,"&lt;"&amp;$A1761+1)))</f>
        <v/>
      </c>
    </row>
    <row r="1762">
      <c r="A1762" s="55">
        <f>MIN(Inputs!$C$15,$A1761+IF(WEEKDAY($A1761,2)=5,3,1))</f>
        <v/>
      </c>
      <c r="B1762">
        <f>IF($A1762&gt;$A1761,1,0)</f>
        <v/>
      </c>
      <c r="C1762" s="56">
        <f>IF($B1762=0,"",IF(Inputs!$B$6="","",IF($AD1762=0,C1761,SUMIFS(Data!$B$10:$B$3209,Data!$A$10:$A$3209,"&gt;="&amp;$A1762,Data!$A$10:$A$3209,"&lt;"&amp;$A1762+1)/$AD1762)))</f>
        <v/>
      </c>
      <c r="D1762" s="56">
        <f>IF($B1762=0,"",IF(Inputs!$B$7="","",IF($AE1762=0,D1761,SUMIFS(Data!$F$10:$F$3209,Data!$E$10:$E$3209,"&gt;="&amp;$A1762,Data!$E$10:$E$3209,"&lt;"&amp;$A1762+1)/$AE1762)))</f>
        <v/>
      </c>
      <c r="E1762" s="56">
        <f>IF($B1762=0,"",IF(Inputs!$B$8="","",IF($AF1762=0,E1761,SUMIFS(Data!$J$10:$J$3209,Data!$I$10:$I$3209,"&gt;="&amp;$A1762,Data!$I$10:$I$3209,"&lt;"&amp;$A1762+1)/$AF1762)))</f>
        <v/>
      </c>
      <c r="F1762" s="56">
        <f>IF($B1762=0,"",IF(Inputs!$B$9="","",IF($AG1762=0,F1761,SUMIFS(Data!$N$10:$N$3209,Data!$M$10:$M$3209,"&gt;="&amp;$A1762,Data!$M$10:$M$3209,"&lt;"&amp;$A1762+1)/$AG1762)))</f>
        <v/>
      </c>
      <c r="G1762" s="56">
        <f>IF($B1762=0,"",IF(Inputs!$B$10="","",IF($AH1762=0,G1761,SUMIFS(Data!$R$10:$R$3209,Data!$Q$10:$Q$3209,"&gt;="&amp;$A1762,Data!$Q$10:$Q$3209,"&lt;"&amp;$A1762+1)/$AH1762)))</f>
        <v/>
      </c>
      <c r="I1762" s="54">
        <f>IF($B1762=0,NA(),IF($C1762="",NA(),IF(C$8="",NA(),IF(N(C$8)=0,NA(),IF(Inputs!$C$17="Rebased to 100",$C1762/C$8*100,$C1762)))))</f>
        <v/>
      </c>
      <c r="J1762" s="54">
        <f>IF($B1762=0,NA(),IF($D1762="",NA(),IF(D$8="",NA(),IF(N(D$8)=0,NA(),IF(Inputs!$C$17="Rebased to 100",$D1762/D$8*100,$D1762)))))</f>
        <v/>
      </c>
      <c r="K1762" s="54">
        <f>IF($B1762=0,NA(),IF($E1762="",NA(),IF(E$8="",NA(),IF(N(E$8)=0,NA(),IF(Inputs!$C$17="Rebased to 100",$E1762/E$8*100,$E1762)))))</f>
        <v/>
      </c>
      <c r="L1762" s="54">
        <f>IF($B1762=0,NA(),IF($F1762="",NA(),IF(F$8="",NA(),IF(N(F$8)=0,NA(),IF(Inputs!$C$17="Rebased to 100",$F1762/F$8*100,$F1762)))))</f>
        <v/>
      </c>
      <c r="M1762" s="54">
        <f>IF($B1762=0,NA(),IF($G1762="",NA(),IF(G$8="",NA(),IF(N(G$8)=0,NA(),IF(Inputs!$C$17="Rebased to 100",$G1762/G$8*100,$G1762)))))</f>
        <v/>
      </c>
      <c r="N1762" s="54">
        <f>IF($B1762=0,NA(),IF(Inputs!$C$18&lt;&gt;"Yes",NA(),IF(COUNT(I1762,J1762,K1762,L1762,M1762)=0,NA(),MIN(I1762,J1762,K1762,L1762,M1762))))</f>
        <v/>
      </c>
      <c r="O1762" s="54">
        <f>IF($B1762=0,NA(),IF(Inputs!$B$24&lt;&gt;"Yes",NA(),Inputs!$D$24*Inputs!$C$35))</f>
        <v/>
      </c>
      <c r="P1762" s="54">
        <f>IF($B1762=0,NA(),IF(Inputs!$B$25&lt;&gt;"Yes",NA(),Inputs!$D$25*Inputs!$C$35))</f>
        <v/>
      </c>
      <c r="Q1762" s="54">
        <f>IF($B1762=0,NA(),IF(Inputs!$B$26&lt;&gt;"Yes",NA(),Inputs!$D$26*Inputs!$C$35))</f>
        <v/>
      </c>
      <c r="R1762" s="54">
        <f>IF($B1762=0,NA(),IF(Inputs!$B$27&lt;&gt;"Yes",NA(),Inputs!$D$27*Inputs!$C$35))</f>
        <v/>
      </c>
      <c r="S1762" s="54">
        <f>IF($B1762=0,NA(),IF(Inputs!$B$28&lt;&gt;"Yes",NA(),Inputs!$D$28*Inputs!$C$35))</f>
        <v/>
      </c>
      <c r="T1762" s="54">
        <f>IF($B1762=0,NA(),IF(Inputs!$B$29&lt;&gt;"Yes",NA(),Inputs!$D$29*Inputs!$C$35))</f>
        <v/>
      </c>
      <c r="AD1762">
        <f>IF($B1762=0,0,IF(Inputs!$B$6="",0,COUNTIFS(Data!$A$10:$A$3209,"&gt;="&amp;$A1762,Data!$A$10:$A$3209,"&lt;"&amp;$A1762+1)))</f>
        <v/>
      </c>
      <c r="AE1762">
        <f>IF($B1762=0,0,IF(Inputs!$B$7="",0,COUNTIFS(Data!$E$10:$E$3209,"&gt;="&amp;$A1762,Data!$E$10:$E$3209,"&lt;"&amp;$A1762+1)))</f>
        <v/>
      </c>
      <c r="AF1762">
        <f>IF($B1762=0,0,IF(Inputs!$B$8="",0,COUNTIFS(Data!$I$10:$I$3209,"&gt;="&amp;$A1762,Data!$I$10:$I$3209,"&lt;"&amp;$A1762+1)))</f>
        <v/>
      </c>
      <c r="AG1762">
        <f>IF($B1762=0,0,IF(Inputs!$B$9="",0,COUNTIFS(Data!$M$10:$M$3209,"&gt;="&amp;$A1762,Data!$M$10:$M$3209,"&lt;"&amp;$A1762+1)))</f>
        <v/>
      </c>
      <c r="AH1762">
        <f>IF($B1762=0,0,IF(Inputs!$B$10="",0,COUNTIFS(Data!$Q$10:$Q$3209,"&gt;="&amp;$A1762,Data!$Q$10:$Q$3209,"&lt;"&amp;$A1762+1)))</f>
        <v/>
      </c>
    </row>
    <row r="1763">
      <c r="A1763" s="55">
        <f>MIN(Inputs!$C$15,$A1762+IF(WEEKDAY($A1762,2)=5,3,1))</f>
        <v/>
      </c>
      <c r="B1763">
        <f>IF($A1763&gt;$A1762,1,0)</f>
        <v/>
      </c>
      <c r="C1763" s="56">
        <f>IF($B1763=0,"",IF(Inputs!$B$6="","",IF($AD1763=0,C1762,SUMIFS(Data!$B$10:$B$3209,Data!$A$10:$A$3209,"&gt;="&amp;$A1763,Data!$A$10:$A$3209,"&lt;"&amp;$A1763+1)/$AD1763)))</f>
        <v/>
      </c>
      <c r="D1763" s="56">
        <f>IF($B1763=0,"",IF(Inputs!$B$7="","",IF($AE1763=0,D1762,SUMIFS(Data!$F$10:$F$3209,Data!$E$10:$E$3209,"&gt;="&amp;$A1763,Data!$E$10:$E$3209,"&lt;"&amp;$A1763+1)/$AE1763)))</f>
        <v/>
      </c>
      <c r="E1763" s="56">
        <f>IF($B1763=0,"",IF(Inputs!$B$8="","",IF($AF1763=0,E1762,SUMIFS(Data!$J$10:$J$3209,Data!$I$10:$I$3209,"&gt;="&amp;$A1763,Data!$I$10:$I$3209,"&lt;"&amp;$A1763+1)/$AF1763)))</f>
        <v/>
      </c>
      <c r="F1763" s="56">
        <f>IF($B1763=0,"",IF(Inputs!$B$9="","",IF($AG1763=0,F1762,SUMIFS(Data!$N$10:$N$3209,Data!$M$10:$M$3209,"&gt;="&amp;$A1763,Data!$M$10:$M$3209,"&lt;"&amp;$A1763+1)/$AG1763)))</f>
        <v/>
      </c>
      <c r="G1763" s="56">
        <f>IF($B1763=0,"",IF(Inputs!$B$10="","",IF($AH1763=0,G1762,SUMIFS(Data!$R$10:$R$3209,Data!$Q$10:$Q$3209,"&gt;="&amp;$A1763,Data!$Q$10:$Q$3209,"&lt;"&amp;$A1763+1)/$AH1763)))</f>
        <v/>
      </c>
      <c r="I1763" s="54">
        <f>IF($B1763=0,NA(),IF($C1763="",NA(),IF(C$8="",NA(),IF(N(C$8)=0,NA(),IF(Inputs!$C$17="Rebased to 100",$C1763/C$8*100,$C1763)))))</f>
        <v/>
      </c>
      <c r="J1763" s="54">
        <f>IF($B1763=0,NA(),IF($D1763="",NA(),IF(D$8="",NA(),IF(N(D$8)=0,NA(),IF(Inputs!$C$17="Rebased to 100",$D1763/D$8*100,$D1763)))))</f>
        <v/>
      </c>
      <c r="K1763" s="54">
        <f>IF($B1763=0,NA(),IF($E1763="",NA(),IF(E$8="",NA(),IF(N(E$8)=0,NA(),IF(Inputs!$C$17="Rebased to 100",$E1763/E$8*100,$E1763)))))</f>
        <v/>
      </c>
      <c r="L1763" s="54">
        <f>IF($B1763=0,NA(),IF($F1763="",NA(),IF(F$8="",NA(),IF(N(F$8)=0,NA(),IF(Inputs!$C$17="Rebased to 100",$F1763/F$8*100,$F1763)))))</f>
        <v/>
      </c>
      <c r="M1763" s="54">
        <f>IF($B1763=0,NA(),IF($G1763="",NA(),IF(G$8="",NA(),IF(N(G$8)=0,NA(),IF(Inputs!$C$17="Rebased to 100",$G1763/G$8*100,$G1763)))))</f>
        <v/>
      </c>
      <c r="N1763" s="54">
        <f>IF($B1763=0,NA(),IF(Inputs!$C$18&lt;&gt;"Yes",NA(),IF(COUNT(I1763,J1763,K1763,L1763,M1763)=0,NA(),MIN(I1763,J1763,K1763,L1763,M1763))))</f>
        <v/>
      </c>
      <c r="O1763" s="54">
        <f>IF($B1763=0,NA(),IF(Inputs!$B$24&lt;&gt;"Yes",NA(),Inputs!$D$24*Inputs!$C$35))</f>
        <v/>
      </c>
      <c r="P1763" s="54">
        <f>IF($B1763=0,NA(),IF(Inputs!$B$25&lt;&gt;"Yes",NA(),Inputs!$D$25*Inputs!$C$35))</f>
        <v/>
      </c>
      <c r="Q1763" s="54">
        <f>IF($B1763=0,NA(),IF(Inputs!$B$26&lt;&gt;"Yes",NA(),Inputs!$D$26*Inputs!$C$35))</f>
        <v/>
      </c>
      <c r="R1763" s="54">
        <f>IF($B1763=0,NA(),IF(Inputs!$B$27&lt;&gt;"Yes",NA(),Inputs!$D$27*Inputs!$C$35))</f>
        <v/>
      </c>
      <c r="S1763" s="54">
        <f>IF($B1763=0,NA(),IF(Inputs!$B$28&lt;&gt;"Yes",NA(),Inputs!$D$28*Inputs!$C$35))</f>
        <v/>
      </c>
      <c r="T1763" s="54">
        <f>IF($B1763=0,NA(),IF(Inputs!$B$29&lt;&gt;"Yes",NA(),Inputs!$D$29*Inputs!$C$35))</f>
        <v/>
      </c>
      <c r="AD1763">
        <f>IF($B1763=0,0,IF(Inputs!$B$6="",0,COUNTIFS(Data!$A$10:$A$3209,"&gt;="&amp;$A1763,Data!$A$10:$A$3209,"&lt;"&amp;$A1763+1)))</f>
        <v/>
      </c>
      <c r="AE1763">
        <f>IF($B1763=0,0,IF(Inputs!$B$7="",0,COUNTIFS(Data!$E$10:$E$3209,"&gt;="&amp;$A1763,Data!$E$10:$E$3209,"&lt;"&amp;$A1763+1)))</f>
        <v/>
      </c>
      <c r="AF1763">
        <f>IF($B1763=0,0,IF(Inputs!$B$8="",0,COUNTIFS(Data!$I$10:$I$3209,"&gt;="&amp;$A1763,Data!$I$10:$I$3209,"&lt;"&amp;$A1763+1)))</f>
        <v/>
      </c>
      <c r="AG1763">
        <f>IF($B1763=0,0,IF(Inputs!$B$9="",0,COUNTIFS(Data!$M$10:$M$3209,"&gt;="&amp;$A1763,Data!$M$10:$M$3209,"&lt;"&amp;$A1763+1)))</f>
        <v/>
      </c>
      <c r="AH1763">
        <f>IF($B1763=0,0,IF(Inputs!$B$10="",0,COUNTIFS(Data!$Q$10:$Q$3209,"&gt;="&amp;$A1763,Data!$Q$10:$Q$3209,"&lt;"&amp;$A1763+1)))</f>
        <v/>
      </c>
    </row>
    <row r="1764">
      <c r="A1764" s="55">
        <f>MIN(Inputs!$C$15,$A1763+IF(WEEKDAY($A1763,2)=5,3,1))</f>
        <v/>
      </c>
      <c r="B1764">
        <f>IF($A1764&gt;$A1763,1,0)</f>
        <v/>
      </c>
      <c r="C1764" s="56">
        <f>IF($B1764=0,"",IF(Inputs!$B$6="","",IF($AD1764=0,C1763,SUMIFS(Data!$B$10:$B$3209,Data!$A$10:$A$3209,"&gt;="&amp;$A1764,Data!$A$10:$A$3209,"&lt;"&amp;$A1764+1)/$AD1764)))</f>
        <v/>
      </c>
      <c r="D1764" s="56">
        <f>IF($B1764=0,"",IF(Inputs!$B$7="","",IF($AE1764=0,D1763,SUMIFS(Data!$F$10:$F$3209,Data!$E$10:$E$3209,"&gt;="&amp;$A1764,Data!$E$10:$E$3209,"&lt;"&amp;$A1764+1)/$AE1764)))</f>
        <v/>
      </c>
      <c r="E1764" s="56">
        <f>IF($B1764=0,"",IF(Inputs!$B$8="","",IF($AF1764=0,E1763,SUMIFS(Data!$J$10:$J$3209,Data!$I$10:$I$3209,"&gt;="&amp;$A1764,Data!$I$10:$I$3209,"&lt;"&amp;$A1764+1)/$AF1764)))</f>
        <v/>
      </c>
      <c r="F1764" s="56">
        <f>IF($B1764=0,"",IF(Inputs!$B$9="","",IF($AG1764=0,F1763,SUMIFS(Data!$N$10:$N$3209,Data!$M$10:$M$3209,"&gt;="&amp;$A1764,Data!$M$10:$M$3209,"&lt;"&amp;$A1764+1)/$AG1764)))</f>
        <v/>
      </c>
      <c r="G1764" s="56">
        <f>IF($B1764=0,"",IF(Inputs!$B$10="","",IF($AH1764=0,G1763,SUMIFS(Data!$R$10:$R$3209,Data!$Q$10:$Q$3209,"&gt;="&amp;$A1764,Data!$Q$10:$Q$3209,"&lt;"&amp;$A1764+1)/$AH1764)))</f>
        <v/>
      </c>
      <c r="I1764" s="54">
        <f>IF($B1764=0,NA(),IF($C1764="",NA(),IF(C$8="",NA(),IF(N(C$8)=0,NA(),IF(Inputs!$C$17="Rebased to 100",$C1764/C$8*100,$C1764)))))</f>
        <v/>
      </c>
      <c r="J1764" s="54">
        <f>IF($B1764=0,NA(),IF($D1764="",NA(),IF(D$8="",NA(),IF(N(D$8)=0,NA(),IF(Inputs!$C$17="Rebased to 100",$D1764/D$8*100,$D1764)))))</f>
        <v/>
      </c>
      <c r="K1764" s="54">
        <f>IF($B1764=0,NA(),IF($E1764="",NA(),IF(E$8="",NA(),IF(N(E$8)=0,NA(),IF(Inputs!$C$17="Rebased to 100",$E1764/E$8*100,$E1764)))))</f>
        <v/>
      </c>
      <c r="L1764" s="54">
        <f>IF($B1764=0,NA(),IF($F1764="",NA(),IF(F$8="",NA(),IF(N(F$8)=0,NA(),IF(Inputs!$C$17="Rebased to 100",$F1764/F$8*100,$F1764)))))</f>
        <v/>
      </c>
      <c r="M1764" s="54">
        <f>IF($B1764=0,NA(),IF($G1764="",NA(),IF(G$8="",NA(),IF(N(G$8)=0,NA(),IF(Inputs!$C$17="Rebased to 100",$G1764/G$8*100,$G1764)))))</f>
        <v/>
      </c>
      <c r="N1764" s="54">
        <f>IF($B1764=0,NA(),IF(Inputs!$C$18&lt;&gt;"Yes",NA(),IF(COUNT(I1764,J1764,K1764,L1764,M1764)=0,NA(),MIN(I1764,J1764,K1764,L1764,M1764))))</f>
        <v/>
      </c>
      <c r="O1764" s="54">
        <f>IF($B1764=0,NA(),IF(Inputs!$B$24&lt;&gt;"Yes",NA(),Inputs!$D$24*Inputs!$C$35))</f>
        <v/>
      </c>
      <c r="P1764" s="54">
        <f>IF($B1764=0,NA(),IF(Inputs!$B$25&lt;&gt;"Yes",NA(),Inputs!$D$25*Inputs!$C$35))</f>
        <v/>
      </c>
      <c r="Q1764" s="54">
        <f>IF($B1764=0,NA(),IF(Inputs!$B$26&lt;&gt;"Yes",NA(),Inputs!$D$26*Inputs!$C$35))</f>
        <v/>
      </c>
      <c r="R1764" s="54">
        <f>IF($B1764=0,NA(),IF(Inputs!$B$27&lt;&gt;"Yes",NA(),Inputs!$D$27*Inputs!$C$35))</f>
        <v/>
      </c>
      <c r="S1764" s="54">
        <f>IF($B1764=0,NA(),IF(Inputs!$B$28&lt;&gt;"Yes",NA(),Inputs!$D$28*Inputs!$C$35))</f>
        <v/>
      </c>
      <c r="T1764" s="54">
        <f>IF($B1764=0,NA(),IF(Inputs!$B$29&lt;&gt;"Yes",NA(),Inputs!$D$29*Inputs!$C$35))</f>
        <v/>
      </c>
      <c r="AD1764">
        <f>IF($B1764=0,0,IF(Inputs!$B$6="",0,COUNTIFS(Data!$A$10:$A$3209,"&gt;="&amp;$A1764,Data!$A$10:$A$3209,"&lt;"&amp;$A1764+1)))</f>
        <v/>
      </c>
      <c r="AE1764">
        <f>IF($B1764=0,0,IF(Inputs!$B$7="",0,COUNTIFS(Data!$E$10:$E$3209,"&gt;="&amp;$A1764,Data!$E$10:$E$3209,"&lt;"&amp;$A1764+1)))</f>
        <v/>
      </c>
      <c r="AF1764">
        <f>IF($B1764=0,0,IF(Inputs!$B$8="",0,COUNTIFS(Data!$I$10:$I$3209,"&gt;="&amp;$A1764,Data!$I$10:$I$3209,"&lt;"&amp;$A1764+1)))</f>
        <v/>
      </c>
      <c r="AG1764">
        <f>IF($B1764=0,0,IF(Inputs!$B$9="",0,COUNTIFS(Data!$M$10:$M$3209,"&gt;="&amp;$A1764,Data!$M$10:$M$3209,"&lt;"&amp;$A1764+1)))</f>
        <v/>
      </c>
      <c r="AH1764">
        <f>IF($B1764=0,0,IF(Inputs!$B$10="",0,COUNTIFS(Data!$Q$10:$Q$3209,"&gt;="&amp;$A1764,Data!$Q$10:$Q$3209,"&lt;"&amp;$A1764+1)))</f>
        <v/>
      </c>
    </row>
    <row r="1765">
      <c r="A1765" s="55">
        <f>MIN(Inputs!$C$15,$A1764+IF(WEEKDAY($A1764,2)=5,3,1))</f>
        <v/>
      </c>
      <c r="B1765">
        <f>IF($A1765&gt;$A1764,1,0)</f>
        <v/>
      </c>
      <c r="C1765" s="56">
        <f>IF($B1765=0,"",IF(Inputs!$B$6="","",IF($AD1765=0,C1764,SUMIFS(Data!$B$10:$B$3209,Data!$A$10:$A$3209,"&gt;="&amp;$A1765,Data!$A$10:$A$3209,"&lt;"&amp;$A1765+1)/$AD1765)))</f>
        <v/>
      </c>
      <c r="D1765" s="56">
        <f>IF($B1765=0,"",IF(Inputs!$B$7="","",IF($AE1765=0,D1764,SUMIFS(Data!$F$10:$F$3209,Data!$E$10:$E$3209,"&gt;="&amp;$A1765,Data!$E$10:$E$3209,"&lt;"&amp;$A1765+1)/$AE1765)))</f>
        <v/>
      </c>
      <c r="E1765" s="56">
        <f>IF($B1765=0,"",IF(Inputs!$B$8="","",IF($AF1765=0,E1764,SUMIFS(Data!$J$10:$J$3209,Data!$I$10:$I$3209,"&gt;="&amp;$A1765,Data!$I$10:$I$3209,"&lt;"&amp;$A1765+1)/$AF1765)))</f>
        <v/>
      </c>
      <c r="F1765" s="56">
        <f>IF($B1765=0,"",IF(Inputs!$B$9="","",IF($AG1765=0,F1764,SUMIFS(Data!$N$10:$N$3209,Data!$M$10:$M$3209,"&gt;="&amp;$A1765,Data!$M$10:$M$3209,"&lt;"&amp;$A1765+1)/$AG1765)))</f>
        <v/>
      </c>
      <c r="G1765" s="56">
        <f>IF($B1765=0,"",IF(Inputs!$B$10="","",IF($AH1765=0,G1764,SUMIFS(Data!$R$10:$R$3209,Data!$Q$10:$Q$3209,"&gt;="&amp;$A1765,Data!$Q$10:$Q$3209,"&lt;"&amp;$A1765+1)/$AH1765)))</f>
        <v/>
      </c>
      <c r="I1765" s="54">
        <f>IF($B1765=0,NA(),IF($C1765="",NA(),IF(C$8="",NA(),IF(N(C$8)=0,NA(),IF(Inputs!$C$17="Rebased to 100",$C1765/C$8*100,$C1765)))))</f>
        <v/>
      </c>
      <c r="J1765" s="54">
        <f>IF($B1765=0,NA(),IF($D1765="",NA(),IF(D$8="",NA(),IF(N(D$8)=0,NA(),IF(Inputs!$C$17="Rebased to 100",$D1765/D$8*100,$D1765)))))</f>
        <v/>
      </c>
      <c r="K1765" s="54">
        <f>IF($B1765=0,NA(),IF($E1765="",NA(),IF(E$8="",NA(),IF(N(E$8)=0,NA(),IF(Inputs!$C$17="Rebased to 100",$E1765/E$8*100,$E1765)))))</f>
        <v/>
      </c>
      <c r="L1765" s="54">
        <f>IF($B1765=0,NA(),IF($F1765="",NA(),IF(F$8="",NA(),IF(N(F$8)=0,NA(),IF(Inputs!$C$17="Rebased to 100",$F1765/F$8*100,$F1765)))))</f>
        <v/>
      </c>
      <c r="M1765" s="54">
        <f>IF($B1765=0,NA(),IF($G1765="",NA(),IF(G$8="",NA(),IF(N(G$8)=0,NA(),IF(Inputs!$C$17="Rebased to 100",$G1765/G$8*100,$G1765)))))</f>
        <v/>
      </c>
      <c r="N1765" s="54">
        <f>IF($B1765=0,NA(),IF(Inputs!$C$18&lt;&gt;"Yes",NA(),IF(COUNT(I1765,J1765,K1765,L1765,M1765)=0,NA(),MIN(I1765,J1765,K1765,L1765,M1765))))</f>
        <v/>
      </c>
      <c r="O1765" s="54">
        <f>IF($B1765=0,NA(),IF(Inputs!$B$24&lt;&gt;"Yes",NA(),Inputs!$D$24*Inputs!$C$35))</f>
        <v/>
      </c>
      <c r="P1765" s="54">
        <f>IF($B1765=0,NA(),IF(Inputs!$B$25&lt;&gt;"Yes",NA(),Inputs!$D$25*Inputs!$C$35))</f>
        <v/>
      </c>
      <c r="Q1765" s="54">
        <f>IF($B1765=0,NA(),IF(Inputs!$B$26&lt;&gt;"Yes",NA(),Inputs!$D$26*Inputs!$C$35))</f>
        <v/>
      </c>
      <c r="R1765" s="54">
        <f>IF($B1765=0,NA(),IF(Inputs!$B$27&lt;&gt;"Yes",NA(),Inputs!$D$27*Inputs!$C$35))</f>
        <v/>
      </c>
      <c r="S1765" s="54">
        <f>IF($B1765=0,NA(),IF(Inputs!$B$28&lt;&gt;"Yes",NA(),Inputs!$D$28*Inputs!$C$35))</f>
        <v/>
      </c>
      <c r="T1765" s="54">
        <f>IF($B1765=0,NA(),IF(Inputs!$B$29&lt;&gt;"Yes",NA(),Inputs!$D$29*Inputs!$C$35))</f>
        <v/>
      </c>
      <c r="AD1765">
        <f>IF($B1765=0,0,IF(Inputs!$B$6="",0,COUNTIFS(Data!$A$10:$A$3209,"&gt;="&amp;$A1765,Data!$A$10:$A$3209,"&lt;"&amp;$A1765+1)))</f>
        <v/>
      </c>
      <c r="AE1765">
        <f>IF($B1765=0,0,IF(Inputs!$B$7="",0,COUNTIFS(Data!$E$10:$E$3209,"&gt;="&amp;$A1765,Data!$E$10:$E$3209,"&lt;"&amp;$A1765+1)))</f>
        <v/>
      </c>
      <c r="AF1765">
        <f>IF($B1765=0,0,IF(Inputs!$B$8="",0,COUNTIFS(Data!$I$10:$I$3209,"&gt;="&amp;$A1765,Data!$I$10:$I$3209,"&lt;"&amp;$A1765+1)))</f>
        <v/>
      </c>
      <c r="AG1765">
        <f>IF($B1765=0,0,IF(Inputs!$B$9="",0,COUNTIFS(Data!$M$10:$M$3209,"&gt;="&amp;$A1765,Data!$M$10:$M$3209,"&lt;"&amp;$A1765+1)))</f>
        <v/>
      </c>
      <c r="AH1765">
        <f>IF($B1765=0,0,IF(Inputs!$B$10="",0,COUNTIFS(Data!$Q$10:$Q$3209,"&gt;="&amp;$A1765,Data!$Q$10:$Q$3209,"&lt;"&amp;$A1765+1)))</f>
        <v/>
      </c>
    </row>
    <row r="1766">
      <c r="A1766" s="55">
        <f>MIN(Inputs!$C$15,$A1765+IF(WEEKDAY($A1765,2)=5,3,1))</f>
        <v/>
      </c>
      <c r="B1766">
        <f>IF($A1766&gt;$A1765,1,0)</f>
        <v/>
      </c>
      <c r="C1766" s="56">
        <f>IF($B1766=0,"",IF(Inputs!$B$6="","",IF($AD1766=0,C1765,SUMIFS(Data!$B$10:$B$3209,Data!$A$10:$A$3209,"&gt;="&amp;$A1766,Data!$A$10:$A$3209,"&lt;"&amp;$A1766+1)/$AD1766)))</f>
        <v/>
      </c>
      <c r="D1766" s="56">
        <f>IF($B1766=0,"",IF(Inputs!$B$7="","",IF($AE1766=0,D1765,SUMIFS(Data!$F$10:$F$3209,Data!$E$10:$E$3209,"&gt;="&amp;$A1766,Data!$E$10:$E$3209,"&lt;"&amp;$A1766+1)/$AE1766)))</f>
        <v/>
      </c>
      <c r="E1766" s="56">
        <f>IF($B1766=0,"",IF(Inputs!$B$8="","",IF($AF1766=0,E1765,SUMIFS(Data!$J$10:$J$3209,Data!$I$10:$I$3209,"&gt;="&amp;$A1766,Data!$I$10:$I$3209,"&lt;"&amp;$A1766+1)/$AF1766)))</f>
        <v/>
      </c>
      <c r="F1766" s="56">
        <f>IF($B1766=0,"",IF(Inputs!$B$9="","",IF($AG1766=0,F1765,SUMIFS(Data!$N$10:$N$3209,Data!$M$10:$M$3209,"&gt;="&amp;$A1766,Data!$M$10:$M$3209,"&lt;"&amp;$A1766+1)/$AG1766)))</f>
        <v/>
      </c>
      <c r="G1766" s="56">
        <f>IF($B1766=0,"",IF(Inputs!$B$10="","",IF($AH1766=0,G1765,SUMIFS(Data!$R$10:$R$3209,Data!$Q$10:$Q$3209,"&gt;="&amp;$A1766,Data!$Q$10:$Q$3209,"&lt;"&amp;$A1766+1)/$AH1766)))</f>
        <v/>
      </c>
      <c r="I1766" s="54">
        <f>IF($B1766=0,NA(),IF($C1766="",NA(),IF(C$8="",NA(),IF(N(C$8)=0,NA(),IF(Inputs!$C$17="Rebased to 100",$C1766/C$8*100,$C1766)))))</f>
        <v/>
      </c>
      <c r="J1766" s="54">
        <f>IF($B1766=0,NA(),IF($D1766="",NA(),IF(D$8="",NA(),IF(N(D$8)=0,NA(),IF(Inputs!$C$17="Rebased to 100",$D1766/D$8*100,$D1766)))))</f>
        <v/>
      </c>
      <c r="K1766" s="54">
        <f>IF($B1766=0,NA(),IF($E1766="",NA(),IF(E$8="",NA(),IF(N(E$8)=0,NA(),IF(Inputs!$C$17="Rebased to 100",$E1766/E$8*100,$E1766)))))</f>
        <v/>
      </c>
      <c r="L1766" s="54">
        <f>IF($B1766=0,NA(),IF($F1766="",NA(),IF(F$8="",NA(),IF(N(F$8)=0,NA(),IF(Inputs!$C$17="Rebased to 100",$F1766/F$8*100,$F1766)))))</f>
        <v/>
      </c>
      <c r="M1766" s="54">
        <f>IF($B1766=0,NA(),IF($G1766="",NA(),IF(G$8="",NA(),IF(N(G$8)=0,NA(),IF(Inputs!$C$17="Rebased to 100",$G1766/G$8*100,$G1766)))))</f>
        <v/>
      </c>
      <c r="N1766" s="54">
        <f>IF($B1766=0,NA(),IF(Inputs!$C$18&lt;&gt;"Yes",NA(),IF(COUNT(I1766,J1766,K1766,L1766,M1766)=0,NA(),MIN(I1766,J1766,K1766,L1766,M1766))))</f>
        <v/>
      </c>
      <c r="O1766" s="54">
        <f>IF($B1766=0,NA(),IF(Inputs!$B$24&lt;&gt;"Yes",NA(),Inputs!$D$24*Inputs!$C$35))</f>
        <v/>
      </c>
      <c r="P1766" s="54">
        <f>IF($B1766=0,NA(),IF(Inputs!$B$25&lt;&gt;"Yes",NA(),Inputs!$D$25*Inputs!$C$35))</f>
        <v/>
      </c>
      <c r="Q1766" s="54">
        <f>IF($B1766=0,NA(),IF(Inputs!$B$26&lt;&gt;"Yes",NA(),Inputs!$D$26*Inputs!$C$35))</f>
        <v/>
      </c>
      <c r="R1766" s="54">
        <f>IF($B1766=0,NA(),IF(Inputs!$B$27&lt;&gt;"Yes",NA(),Inputs!$D$27*Inputs!$C$35))</f>
        <v/>
      </c>
      <c r="S1766" s="54">
        <f>IF($B1766=0,NA(),IF(Inputs!$B$28&lt;&gt;"Yes",NA(),Inputs!$D$28*Inputs!$C$35))</f>
        <v/>
      </c>
      <c r="T1766" s="54">
        <f>IF($B1766=0,NA(),IF(Inputs!$B$29&lt;&gt;"Yes",NA(),Inputs!$D$29*Inputs!$C$35))</f>
        <v/>
      </c>
      <c r="AD1766">
        <f>IF($B1766=0,0,IF(Inputs!$B$6="",0,COUNTIFS(Data!$A$10:$A$3209,"&gt;="&amp;$A1766,Data!$A$10:$A$3209,"&lt;"&amp;$A1766+1)))</f>
        <v/>
      </c>
      <c r="AE1766">
        <f>IF($B1766=0,0,IF(Inputs!$B$7="",0,COUNTIFS(Data!$E$10:$E$3209,"&gt;="&amp;$A1766,Data!$E$10:$E$3209,"&lt;"&amp;$A1766+1)))</f>
        <v/>
      </c>
      <c r="AF1766">
        <f>IF($B1766=0,0,IF(Inputs!$B$8="",0,COUNTIFS(Data!$I$10:$I$3209,"&gt;="&amp;$A1766,Data!$I$10:$I$3209,"&lt;"&amp;$A1766+1)))</f>
        <v/>
      </c>
      <c r="AG1766">
        <f>IF($B1766=0,0,IF(Inputs!$B$9="",0,COUNTIFS(Data!$M$10:$M$3209,"&gt;="&amp;$A1766,Data!$M$10:$M$3209,"&lt;"&amp;$A1766+1)))</f>
        <v/>
      </c>
      <c r="AH1766">
        <f>IF($B1766=0,0,IF(Inputs!$B$10="",0,COUNTIFS(Data!$Q$10:$Q$3209,"&gt;="&amp;$A1766,Data!$Q$10:$Q$3209,"&lt;"&amp;$A1766+1)))</f>
        <v/>
      </c>
    </row>
    <row r="1767">
      <c r="A1767" s="55">
        <f>MIN(Inputs!$C$15,$A1766+IF(WEEKDAY($A1766,2)=5,3,1))</f>
        <v/>
      </c>
      <c r="B1767">
        <f>IF($A1767&gt;$A1766,1,0)</f>
        <v/>
      </c>
      <c r="C1767" s="56">
        <f>IF($B1767=0,"",IF(Inputs!$B$6="","",IF($AD1767=0,C1766,SUMIFS(Data!$B$10:$B$3209,Data!$A$10:$A$3209,"&gt;="&amp;$A1767,Data!$A$10:$A$3209,"&lt;"&amp;$A1767+1)/$AD1767)))</f>
        <v/>
      </c>
      <c r="D1767" s="56">
        <f>IF($B1767=0,"",IF(Inputs!$B$7="","",IF($AE1767=0,D1766,SUMIFS(Data!$F$10:$F$3209,Data!$E$10:$E$3209,"&gt;="&amp;$A1767,Data!$E$10:$E$3209,"&lt;"&amp;$A1767+1)/$AE1767)))</f>
        <v/>
      </c>
      <c r="E1767" s="56">
        <f>IF($B1767=0,"",IF(Inputs!$B$8="","",IF($AF1767=0,E1766,SUMIFS(Data!$J$10:$J$3209,Data!$I$10:$I$3209,"&gt;="&amp;$A1767,Data!$I$10:$I$3209,"&lt;"&amp;$A1767+1)/$AF1767)))</f>
        <v/>
      </c>
      <c r="F1767" s="56">
        <f>IF($B1767=0,"",IF(Inputs!$B$9="","",IF($AG1767=0,F1766,SUMIFS(Data!$N$10:$N$3209,Data!$M$10:$M$3209,"&gt;="&amp;$A1767,Data!$M$10:$M$3209,"&lt;"&amp;$A1767+1)/$AG1767)))</f>
        <v/>
      </c>
      <c r="G1767" s="56">
        <f>IF($B1767=0,"",IF(Inputs!$B$10="","",IF($AH1767=0,G1766,SUMIFS(Data!$R$10:$R$3209,Data!$Q$10:$Q$3209,"&gt;="&amp;$A1767,Data!$Q$10:$Q$3209,"&lt;"&amp;$A1767+1)/$AH1767)))</f>
        <v/>
      </c>
      <c r="I1767" s="54">
        <f>IF($B1767=0,NA(),IF($C1767="",NA(),IF(C$8="",NA(),IF(N(C$8)=0,NA(),IF(Inputs!$C$17="Rebased to 100",$C1767/C$8*100,$C1767)))))</f>
        <v/>
      </c>
      <c r="J1767" s="54">
        <f>IF($B1767=0,NA(),IF($D1767="",NA(),IF(D$8="",NA(),IF(N(D$8)=0,NA(),IF(Inputs!$C$17="Rebased to 100",$D1767/D$8*100,$D1767)))))</f>
        <v/>
      </c>
      <c r="K1767" s="54">
        <f>IF($B1767=0,NA(),IF($E1767="",NA(),IF(E$8="",NA(),IF(N(E$8)=0,NA(),IF(Inputs!$C$17="Rebased to 100",$E1767/E$8*100,$E1767)))))</f>
        <v/>
      </c>
      <c r="L1767" s="54">
        <f>IF($B1767=0,NA(),IF($F1767="",NA(),IF(F$8="",NA(),IF(N(F$8)=0,NA(),IF(Inputs!$C$17="Rebased to 100",$F1767/F$8*100,$F1767)))))</f>
        <v/>
      </c>
      <c r="M1767" s="54">
        <f>IF($B1767=0,NA(),IF($G1767="",NA(),IF(G$8="",NA(),IF(N(G$8)=0,NA(),IF(Inputs!$C$17="Rebased to 100",$G1767/G$8*100,$G1767)))))</f>
        <v/>
      </c>
      <c r="N1767" s="54">
        <f>IF($B1767=0,NA(),IF(Inputs!$C$18&lt;&gt;"Yes",NA(),IF(COUNT(I1767,J1767,K1767,L1767,M1767)=0,NA(),MIN(I1767,J1767,K1767,L1767,M1767))))</f>
        <v/>
      </c>
      <c r="O1767" s="54">
        <f>IF($B1767=0,NA(),IF(Inputs!$B$24&lt;&gt;"Yes",NA(),Inputs!$D$24*Inputs!$C$35))</f>
        <v/>
      </c>
      <c r="P1767" s="54">
        <f>IF($B1767=0,NA(),IF(Inputs!$B$25&lt;&gt;"Yes",NA(),Inputs!$D$25*Inputs!$C$35))</f>
        <v/>
      </c>
      <c r="Q1767" s="54">
        <f>IF($B1767=0,NA(),IF(Inputs!$B$26&lt;&gt;"Yes",NA(),Inputs!$D$26*Inputs!$C$35))</f>
        <v/>
      </c>
      <c r="R1767" s="54">
        <f>IF($B1767=0,NA(),IF(Inputs!$B$27&lt;&gt;"Yes",NA(),Inputs!$D$27*Inputs!$C$35))</f>
        <v/>
      </c>
      <c r="S1767" s="54">
        <f>IF($B1767=0,NA(),IF(Inputs!$B$28&lt;&gt;"Yes",NA(),Inputs!$D$28*Inputs!$C$35))</f>
        <v/>
      </c>
      <c r="T1767" s="54">
        <f>IF($B1767=0,NA(),IF(Inputs!$B$29&lt;&gt;"Yes",NA(),Inputs!$D$29*Inputs!$C$35))</f>
        <v/>
      </c>
      <c r="AD1767">
        <f>IF($B1767=0,0,IF(Inputs!$B$6="",0,COUNTIFS(Data!$A$10:$A$3209,"&gt;="&amp;$A1767,Data!$A$10:$A$3209,"&lt;"&amp;$A1767+1)))</f>
        <v/>
      </c>
      <c r="AE1767">
        <f>IF($B1767=0,0,IF(Inputs!$B$7="",0,COUNTIFS(Data!$E$10:$E$3209,"&gt;="&amp;$A1767,Data!$E$10:$E$3209,"&lt;"&amp;$A1767+1)))</f>
        <v/>
      </c>
      <c r="AF1767">
        <f>IF($B1767=0,0,IF(Inputs!$B$8="",0,COUNTIFS(Data!$I$10:$I$3209,"&gt;="&amp;$A1767,Data!$I$10:$I$3209,"&lt;"&amp;$A1767+1)))</f>
        <v/>
      </c>
      <c r="AG1767">
        <f>IF($B1767=0,0,IF(Inputs!$B$9="",0,COUNTIFS(Data!$M$10:$M$3209,"&gt;="&amp;$A1767,Data!$M$10:$M$3209,"&lt;"&amp;$A1767+1)))</f>
        <v/>
      </c>
      <c r="AH1767">
        <f>IF($B1767=0,0,IF(Inputs!$B$10="",0,COUNTIFS(Data!$Q$10:$Q$3209,"&gt;="&amp;$A1767,Data!$Q$10:$Q$3209,"&lt;"&amp;$A1767+1)))</f>
        <v/>
      </c>
    </row>
    <row r="1768">
      <c r="A1768" s="55">
        <f>MIN(Inputs!$C$15,$A1767+IF(WEEKDAY($A1767,2)=5,3,1))</f>
        <v/>
      </c>
      <c r="B1768">
        <f>IF($A1768&gt;$A1767,1,0)</f>
        <v/>
      </c>
      <c r="C1768" s="56">
        <f>IF($B1768=0,"",IF(Inputs!$B$6="","",IF($AD1768=0,C1767,SUMIFS(Data!$B$10:$B$3209,Data!$A$10:$A$3209,"&gt;="&amp;$A1768,Data!$A$10:$A$3209,"&lt;"&amp;$A1768+1)/$AD1768)))</f>
        <v/>
      </c>
      <c r="D1768" s="56">
        <f>IF($B1768=0,"",IF(Inputs!$B$7="","",IF($AE1768=0,D1767,SUMIFS(Data!$F$10:$F$3209,Data!$E$10:$E$3209,"&gt;="&amp;$A1768,Data!$E$10:$E$3209,"&lt;"&amp;$A1768+1)/$AE1768)))</f>
        <v/>
      </c>
      <c r="E1768" s="56">
        <f>IF($B1768=0,"",IF(Inputs!$B$8="","",IF($AF1768=0,E1767,SUMIFS(Data!$J$10:$J$3209,Data!$I$10:$I$3209,"&gt;="&amp;$A1768,Data!$I$10:$I$3209,"&lt;"&amp;$A1768+1)/$AF1768)))</f>
        <v/>
      </c>
      <c r="F1768" s="56">
        <f>IF($B1768=0,"",IF(Inputs!$B$9="","",IF($AG1768=0,F1767,SUMIFS(Data!$N$10:$N$3209,Data!$M$10:$M$3209,"&gt;="&amp;$A1768,Data!$M$10:$M$3209,"&lt;"&amp;$A1768+1)/$AG1768)))</f>
        <v/>
      </c>
      <c r="G1768" s="56">
        <f>IF($B1768=0,"",IF(Inputs!$B$10="","",IF($AH1768=0,G1767,SUMIFS(Data!$R$10:$R$3209,Data!$Q$10:$Q$3209,"&gt;="&amp;$A1768,Data!$Q$10:$Q$3209,"&lt;"&amp;$A1768+1)/$AH1768)))</f>
        <v/>
      </c>
      <c r="I1768" s="54">
        <f>IF($B1768=0,NA(),IF($C1768="",NA(),IF(C$8="",NA(),IF(N(C$8)=0,NA(),IF(Inputs!$C$17="Rebased to 100",$C1768/C$8*100,$C1768)))))</f>
        <v/>
      </c>
      <c r="J1768" s="54">
        <f>IF($B1768=0,NA(),IF($D1768="",NA(),IF(D$8="",NA(),IF(N(D$8)=0,NA(),IF(Inputs!$C$17="Rebased to 100",$D1768/D$8*100,$D1768)))))</f>
        <v/>
      </c>
      <c r="K1768" s="54">
        <f>IF($B1768=0,NA(),IF($E1768="",NA(),IF(E$8="",NA(),IF(N(E$8)=0,NA(),IF(Inputs!$C$17="Rebased to 100",$E1768/E$8*100,$E1768)))))</f>
        <v/>
      </c>
      <c r="L1768" s="54">
        <f>IF($B1768=0,NA(),IF($F1768="",NA(),IF(F$8="",NA(),IF(N(F$8)=0,NA(),IF(Inputs!$C$17="Rebased to 100",$F1768/F$8*100,$F1768)))))</f>
        <v/>
      </c>
      <c r="M1768" s="54">
        <f>IF($B1768=0,NA(),IF($G1768="",NA(),IF(G$8="",NA(),IF(N(G$8)=0,NA(),IF(Inputs!$C$17="Rebased to 100",$G1768/G$8*100,$G1768)))))</f>
        <v/>
      </c>
      <c r="N1768" s="54">
        <f>IF($B1768=0,NA(),IF(Inputs!$C$18&lt;&gt;"Yes",NA(),IF(COUNT(I1768,J1768,K1768,L1768,M1768)=0,NA(),MIN(I1768,J1768,K1768,L1768,M1768))))</f>
        <v/>
      </c>
      <c r="O1768" s="54">
        <f>IF($B1768=0,NA(),IF(Inputs!$B$24&lt;&gt;"Yes",NA(),Inputs!$D$24*Inputs!$C$35))</f>
        <v/>
      </c>
      <c r="P1768" s="54">
        <f>IF($B1768=0,NA(),IF(Inputs!$B$25&lt;&gt;"Yes",NA(),Inputs!$D$25*Inputs!$C$35))</f>
        <v/>
      </c>
      <c r="Q1768" s="54">
        <f>IF($B1768=0,NA(),IF(Inputs!$B$26&lt;&gt;"Yes",NA(),Inputs!$D$26*Inputs!$C$35))</f>
        <v/>
      </c>
      <c r="R1768" s="54">
        <f>IF($B1768=0,NA(),IF(Inputs!$B$27&lt;&gt;"Yes",NA(),Inputs!$D$27*Inputs!$C$35))</f>
        <v/>
      </c>
      <c r="S1768" s="54">
        <f>IF($B1768=0,NA(),IF(Inputs!$B$28&lt;&gt;"Yes",NA(),Inputs!$D$28*Inputs!$C$35))</f>
        <v/>
      </c>
      <c r="T1768" s="54">
        <f>IF($B1768=0,NA(),IF(Inputs!$B$29&lt;&gt;"Yes",NA(),Inputs!$D$29*Inputs!$C$35))</f>
        <v/>
      </c>
      <c r="AD1768">
        <f>IF($B1768=0,0,IF(Inputs!$B$6="",0,COUNTIFS(Data!$A$10:$A$3209,"&gt;="&amp;$A1768,Data!$A$10:$A$3209,"&lt;"&amp;$A1768+1)))</f>
        <v/>
      </c>
      <c r="AE1768">
        <f>IF($B1768=0,0,IF(Inputs!$B$7="",0,COUNTIFS(Data!$E$10:$E$3209,"&gt;="&amp;$A1768,Data!$E$10:$E$3209,"&lt;"&amp;$A1768+1)))</f>
        <v/>
      </c>
      <c r="AF1768">
        <f>IF($B1768=0,0,IF(Inputs!$B$8="",0,COUNTIFS(Data!$I$10:$I$3209,"&gt;="&amp;$A1768,Data!$I$10:$I$3209,"&lt;"&amp;$A1768+1)))</f>
        <v/>
      </c>
      <c r="AG1768">
        <f>IF($B1768=0,0,IF(Inputs!$B$9="",0,COUNTIFS(Data!$M$10:$M$3209,"&gt;="&amp;$A1768,Data!$M$10:$M$3209,"&lt;"&amp;$A1768+1)))</f>
        <v/>
      </c>
      <c r="AH1768">
        <f>IF($B1768=0,0,IF(Inputs!$B$10="",0,COUNTIFS(Data!$Q$10:$Q$3209,"&gt;="&amp;$A1768,Data!$Q$10:$Q$3209,"&lt;"&amp;$A1768+1)))</f>
        <v/>
      </c>
    </row>
    <row r="1769">
      <c r="A1769" s="55">
        <f>MIN(Inputs!$C$15,$A1768+IF(WEEKDAY($A1768,2)=5,3,1))</f>
        <v/>
      </c>
      <c r="B1769">
        <f>IF($A1769&gt;$A1768,1,0)</f>
        <v/>
      </c>
      <c r="C1769" s="56">
        <f>IF($B1769=0,"",IF(Inputs!$B$6="","",IF($AD1769=0,C1768,SUMIFS(Data!$B$10:$B$3209,Data!$A$10:$A$3209,"&gt;="&amp;$A1769,Data!$A$10:$A$3209,"&lt;"&amp;$A1769+1)/$AD1769)))</f>
        <v/>
      </c>
      <c r="D1769" s="56">
        <f>IF($B1769=0,"",IF(Inputs!$B$7="","",IF($AE1769=0,D1768,SUMIFS(Data!$F$10:$F$3209,Data!$E$10:$E$3209,"&gt;="&amp;$A1769,Data!$E$10:$E$3209,"&lt;"&amp;$A1769+1)/$AE1769)))</f>
        <v/>
      </c>
      <c r="E1769" s="56">
        <f>IF($B1769=0,"",IF(Inputs!$B$8="","",IF($AF1769=0,E1768,SUMIFS(Data!$J$10:$J$3209,Data!$I$10:$I$3209,"&gt;="&amp;$A1769,Data!$I$10:$I$3209,"&lt;"&amp;$A1769+1)/$AF1769)))</f>
        <v/>
      </c>
      <c r="F1769" s="56">
        <f>IF($B1769=0,"",IF(Inputs!$B$9="","",IF($AG1769=0,F1768,SUMIFS(Data!$N$10:$N$3209,Data!$M$10:$M$3209,"&gt;="&amp;$A1769,Data!$M$10:$M$3209,"&lt;"&amp;$A1769+1)/$AG1769)))</f>
        <v/>
      </c>
      <c r="G1769" s="56">
        <f>IF($B1769=0,"",IF(Inputs!$B$10="","",IF($AH1769=0,G1768,SUMIFS(Data!$R$10:$R$3209,Data!$Q$10:$Q$3209,"&gt;="&amp;$A1769,Data!$Q$10:$Q$3209,"&lt;"&amp;$A1769+1)/$AH1769)))</f>
        <v/>
      </c>
      <c r="I1769" s="54">
        <f>IF($B1769=0,NA(),IF($C1769="",NA(),IF(C$8="",NA(),IF(N(C$8)=0,NA(),IF(Inputs!$C$17="Rebased to 100",$C1769/C$8*100,$C1769)))))</f>
        <v/>
      </c>
      <c r="J1769" s="54">
        <f>IF($B1769=0,NA(),IF($D1769="",NA(),IF(D$8="",NA(),IF(N(D$8)=0,NA(),IF(Inputs!$C$17="Rebased to 100",$D1769/D$8*100,$D1769)))))</f>
        <v/>
      </c>
      <c r="K1769" s="54">
        <f>IF($B1769=0,NA(),IF($E1769="",NA(),IF(E$8="",NA(),IF(N(E$8)=0,NA(),IF(Inputs!$C$17="Rebased to 100",$E1769/E$8*100,$E1769)))))</f>
        <v/>
      </c>
      <c r="L1769" s="54">
        <f>IF($B1769=0,NA(),IF($F1769="",NA(),IF(F$8="",NA(),IF(N(F$8)=0,NA(),IF(Inputs!$C$17="Rebased to 100",$F1769/F$8*100,$F1769)))))</f>
        <v/>
      </c>
      <c r="M1769" s="54">
        <f>IF($B1769=0,NA(),IF($G1769="",NA(),IF(G$8="",NA(),IF(N(G$8)=0,NA(),IF(Inputs!$C$17="Rebased to 100",$G1769/G$8*100,$G1769)))))</f>
        <v/>
      </c>
      <c r="N1769" s="54">
        <f>IF($B1769=0,NA(),IF(Inputs!$C$18&lt;&gt;"Yes",NA(),IF(COUNT(I1769,J1769,K1769,L1769,M1769)=0,NA(),MIN(I1769,J1769,K1769,L1769,M1769))))</f>
        <v/>
      </c>
      <c r="O1769" s="54">
        <f>IF($B1769=0,NA(),IF(Inputs!$B$24&lt;&gt;"Yes",NA(),Inputs!$D$24*Inputs!$C$35))</f>
        <v/>
      </c>
      <c r="P1769" s="54">
        <f>IF($B1769=0,NA(),IF(Inputs!$B$25&lt;&gt;"Yes",NA(),Inputs!$D$25*Inputs!$C$35))</f>
        <v/>
      </c>
      <c r="Q1769" s="54">
        <f>IF($B1769=0,NA(),IF(Inputs!$B$26&lt;&gt;"Yes",NA(),Inputs!$D$26*Inputs!$C$35))</f>
        <v/>
      </c>
      <c r="R1769" s="54">
        <f>IF($B1769=0,NA(),IF(Inputs!$B$27&lt;&gt;"Yes",NA(),Inputs!$D$27*Inputs!$C$35))</f>
        <v/>
      </c>
      <c r="S1769" s="54">
        <f>IF($B1769=0,NA(),IF(Inputs!$B$28&lt;&gt;"Yes",NA(),Inputs!$D$28*Inputs!$C$35))</f>
        <v/>
      </c>
      <c r="T1769" s="54">
        <f>IF($B1769=0,NA(),IF(Inputs!$B$29&lt;&gt;"Yes",NA(),Inputs!$D$29*Inputs!$C$35))</f>
        <v/>
      </c>
      <c r="AD1769">
        <f>IF($B1769=0,0,IF(Inputs!$B$6="",0,COUNTIFS(Data!$A$10:$A$3209,"&gt;="&amp;$A1769,Data!$A$10:$A$3209,"&lt;"&amp;$A1769+1)))</f>
        <v/>
      </c>
      <c r="AE1769">
        <f>IF($B1769=0,0,IF(Inputs!$B$7="",0,COUNTIFS(Data!$E$10:$E$3209,"&gt;="&amp;$A1769,Data!$E$10:$E$3209,"&lt;"&amp;$A1769+1)))</f>
        <v/>
      </c>
      <c r="AF1769">
        <f>IF($B1769=0,0,IF(Inputs!$B$8="",0,COUNTIFS(Data!$I$10:$I$3209,"&gt;="&amp;$A1769,Data!$I$10:$I$3209,"&lt;"&amp;$A1769+1)))</f>
        <v/>
      </c>
      <c r="AG1769">
        <f>IF($B1769=0,0,IF(Inputs!$B$9="",0,COUNTIFS(Data!$M$10:$M$3209,"&gt;="&amp;$A1769,Data!$M$10:$M$3209,"&lt;"&amp;$A1769+1)))</f>
        <v/>
      </c>
      <c r="AH1769">
        <f>IF($B1769=0,0,IF(Inputs!$B$10="",0,COUNTIFS(Data!$Q$10:$Q$3209,"&gt;="&amp;$A1769,Data!$Q$10:$Q$3209,"&lt;"&amp;$A1769+1)))</f>
        <v/>
      </c>
    </row>
    <row r="1770">
      <c r="A1770" s="55">
        <f>MIN(Inputs!$C$15,$A1769+IF(WEEKDAY($A1769,2)=5,3,1))</f>
        <v/>
      </c>
      <c r="B1770">
        <f>IF($A1770&gt;$A1769,1,0)</f>
        <v/>
      </c>
      <c r="C1770" s="56">
        <f>IF($B1770=0,"",IF(Inputs!$B$6="","",IF($AD1770=0,C1769,SUMIFS(Data!$B$10:$B$3209,Data!$A$10:$A$3209,"&gt;="&amp;$A1770,Data!$A$10:$A$3209,"&lt;"&amp;$A1770+1)/$AD1770)))</f>
        <v/>
      </c>
      <c r="D1770" s="56">
        <f>IF($B1770=0,"",IF(Inputs!$B$7="","",IF($AE1770=0,D1769,SUMIFS(Data!$F$10:$F$3209,Data!$E$10:$E$3209,"&gt;="&amp;$A1770,Data!$E$10:$E$3209,"&lt;"&amp;$A1770+1)/$AE1770)))</f>
        <v/>
      </c>
      <c r="E1770" s="56">
        <f>IF($B1770=0,"",IF(Inputs!$B$8="","",IF($AF1770=0,E1769,SUMIFS(Data!$J$10:$J$3209,Data!$I$10:$I$3209,"&gt;="&amp;$A1770,Data!$I$10:$I$3209,"&lt;"&amp;$A1770+1)/$AF1770)))</f>
        <v/>
      </c>
      <c r="F1770" s="56">
        <f>IF($B1770=0,"",IF(Inputs!$B$9="","",IF($AG1770=0,F1769,SUMIFS(Data!$N$10:$N$3209,Data!$M$10:$M$3209,"&gt;="&amp;$A1770,Data!$M$10:$M$3209,"&lt;"&amp;$A1770+1)/$AG1770)))</f>
        <v/>
      </c>
      <c r="G1770" s="56">
        <f>IF($B1770=0,"",IF(Inputs!$B$10="","",IF($AH1770=0,G1769,SUMIFS(Data!$R$10:$R$3209,Data!$Q$10:$Q$3209,"&gt;="&amp;$A1770,Data!$Q$10:$Q$3209,"&lt;"&amp;$A1770+1)/$AH1770)))</f>
        <v/>
      </c>
      <c r="I1770" s="54">
        <f>IF($B1770=0,NA(),IF($C1770="",NA(),IF(C$8="",NA(),IF(N(C$8)=0,NA(),IF(Inputs!$C$17="Rebased to 100",$C1770/C$8*100,$C1770)))))</f>
        <v/>
      </c>
      <c r="J1770" s="54">
        <f>IF($B1770=0,NA(),IF($D1770="",NA(),IF(D$8="",NA(),IF(N(D$8)=0,NA(),IF(Inputs!$C$17="Rebased to 100",$D1770/D$8*100,$D1770)))))</f>
        <v/>
      </c>
      <c r="K1770" s="54">
        <f>IF($B1770=0,NA(),IF($E1770="",NA(),IF(E$8="",NA(),IF(N(E$8)=0,NA(),IF(Inputs!$C$17="Rebased to 100",$E1770/E$8*100,$E1770)))))</f>
        <v/>
      </c>
      <c r="L1770" s="54">
        <f>IF($B1770=0,NA(),IF($F1770="",NA(),IF(F$8="",NA(),IF(N(F$8)=0,NA(),IF(Inputs!$C$17="Rebased to 100",$F1770/F$8*100,$F1770)))))</f>
        <v/>
      </c>
      <c r="M1770" s="54">
        <f>IF($B1770=0,NA(),IF($G1770="",NA(),IF(G$8="",NA(),IF(N(G$8)=0,NA(),IF(Inputs!$C$17="Rebased to 100",$G1770/G$8*100,$G1770)))))</f>
        <v/>
      </c>
      <c r="N1770" s="54">
        <f>IF($B1770=0,NA(),IF(Inputs!$C$18&lt;&gt;"Yes",NA(),IF(COUNT(I1770,J1770,K1770,L1770,M1770)=0,NA(),MIN(I1770,J1770,K1770,L1770,M1770))))</f>
        <v/>
      </c>
      <c r="O1770" s="54">
        <f>IF($B1770=0,NA(),IF(Inputs!$B$24&lt;&gt;"Yes",NA(),Inputs!$D$24*Inputs!$C$35))</f>
        <v/>
      </c>
      <c r="P1770" s="54">
        <f>IF($B1770=0,NA(),IF(Inputs!$B$25&lt;&gt;"Yes",NA(),Inputs!$D$25*Inputs!$C$35))</f>
        <v/>
      </c>
      <c r="Q1770" s="54">
        <f>IF($B1770=0,NA(),IF(Inputs!$B$26&lt;&gt;"Yes",NA(),Inputs!$D$26*Inputs!$C$35))</f>
        <v/>
      </c>
      <c r="R1770" s="54">
        <f>IF($B1770=0,NA(),IF(Inputs!$B$27&lt;&gt;"Yes",NA(),Inputs!$D$27*Inputs!$C$35))</f>
        <v/>
      </c>
      <c r="S1770" s="54">
        <f>IF($B1770=0,NA(),IF(Inputs!$B$28&lt;&gt;"Yes",NA(),Inputs!$D$28*Inputs!$C$35))</f>
        <v/>
      </c>
      <c r="T1770" s="54">
        <f>IF($B1770=0,NA(),IF(Inputs!$B$29&lt;&gt;"Yes",NA(),Inputs!$D$29*Inputs!$C$35))</f>
        <v/>
      </c>
      <c r="AD1770">
        <f>IF($B1770=0,0,IF(Inputs!$B$6="",0,COUNTIFS(Data!$A$10:$A$3209,"&gt;="&amp;$A1770,Data!$A$10:$A$3209,"&lt;"&amp;$A1770+1)))</f>
        <v/>
      </c>
      <c r="AE1770">
        <f>IF($B1770=0,0,IF(Inputs!$B$7="",0,COUNTIFS(Data!$E$10:$E$3209,"&gt;="&amp;$A1770,Data!$E$10:$E$3209,"&lt;"&amp;$A1770+1)))</f>
        <v/>
      </c>
      <c r="AF1770">
        <f>IF($B1770=0,0,IF(Inputs!$B$8="",0,COUNTIFS(Data!$I$10:$I$3209,"&gt;="&amp;$A1770,Data!$I$10:$I$3209,"&lt;"&amp;$A1770+1)))</f>
        <v/>
      </c>
      <c r="AG1770">
        <f>IF($B1770=0,0,IF(Inputs!$B$9="",0,COUNTIFS(Data!$M$10:$M$3209,"&gt;="&amp;$A1770,Data!$M$10:$M$3209,"&lt;"&amp;$A1770+1)))</f>
        <v/>
      </c>
      <c r="AH1770">
        <f>IF($B1770=0,0,IF(Inputs!$B$10="",0,COUNTIFS(Data!$Q$10:$Q$3209,"&gt;="&amp;$A1770,Data!$Q$10:$Q$3209,"&lt;"&amp;$A1770+1)))</f>
        <v/>
      </c>
    </row>
    <row r="1771">
      <c r="A1771" s="55">
        <f>MIN(Inputs!$C$15,$A1770+IF(WEEKDAY($A1770,2)=5,3,1))</f>
        <v/>
      </c>
      <c r="B1771">
        <f>IF($A1771&gt;$A1770,1,0)</f>
        <v/>
      </c>
      <c r="C1771" s="56">
        <f>IF($B1771=0,"",IF(Inputs!$B$6="","",IF($AD1771=0,C1770,SUMIFS(Data!$B$10:$B$3209,Data!$A$10:$A$3209,"&gt;="&amp;$A1771,Data!$A$10:$A$3209,"&lt;"&amp;$A1771+1)/$AD1771)))</f>
        <v/>
      </c>
      <c r="D1771" s="56">
        <f>IF($B1771=0,"",IF(Inputs!$B$7="","",IF($AE1771=0,D1770,SUMIFS(Data!$F$10:$F$3209,Data!$E$10:$E$3209,"&gt;="&amp;$A1771,Data!$E$10:$E$3209,"&lt;"&amp;$A1771+1)/$AE1771)))</f>
        <v/>
      </c>
      <c r="E1771" s="56">
        <f>IF($B1771=0,"",IF(Inputs!$B$8="","",IF($AF1771=0,E1770,SUMIFS(Data!$J$10:$J$3209,Data!$I$10:$I$3209,"&gt;="&amp;$A1771,Data!$I$10:$I$3209,"&lt;"&amp;$A1771+1)/$AF1771)))</f>
        <v/>
      </c>
      <c r="F1771" s="56">
        <f>IF($B1771=0,"",IF(Inputs!$B$9="","",IF($AG1771=0,F1770,SUMIFS(Data!$N$10:$N$3209,Data!$M$10:$M$3209,"&gt;="&amp;$A1771,Data!$M$10:$M$3209,"&lt;"&amp;$A1771+1)/$AG1771)))</f>
        <v/>
      </c>
      <c r="G1771" s="56">
        <f>IF($B1771=0,"",IF(Inputs!$B$10="","",IF($AH1771=0,G1770,SUMIFS(Data!$R$10:$R$3209,Data!$Q$10:$Q$3209,"&gt;="&amp;$A1771,Data!$Q$10:$Q$3209,"&lt;"&amp;$A1771+1)/$AH1771)))</f>
        <v/>
      </c>
      <c r="I1771" s="54">
        <f>IF($B1771=0,NA(),IF($C1771="",NA(),IF(C$8="",NA(),IF(N(C$8)=0,NA(),IF(Inputs!$C$17="Rebased to 100",$C1771/C$8*100,$C1771)))))</f>
        <v/>
      </c>
      <c r="J1771" s="54">
        <f>IF($B1771=0,NA(),IF($D1771="",NA(),IF(D$8="",NA(),IF(N(D$8)=0,NA(),IF(Inputs!$C$17="Rebased to 100",$D1771/D$8*100,$D1771)))))</f>
        <v/>
      </c>
      <c r="K1771" s="54">
        <f>IF($B1771=0,NA(),IF($E1771="",NA(),IF(E$8="",NA(),IF(N(E$8)=0,NA(),IF(Inputs!$C$17="Rebased to 100",$E1771/E$8*100,$E1771)))))</f>
        <v/>
      </c>
      <c r="L1771" s="54">
        <f>IF($B1771=0,NA(),IF($F1771="",NA(),IF(F$8="",NA(),IF(N(F$8)=0,NA(),IF(Inputs!$C$17="Rebased to 100",$F1771/F$8*100,$F1771)))))</f>
        <v/>
      </c>
      <c r="M1771" s="54">
        <f>IF($B1771=0,NA(),IF($G1771="",NA(),IF(G$8="",NA(),IF(N(G$8)=0,NA(),IF(Inputs!$C$17="Rebased to 100",$G1771/G$8*100,$G1771)))))</f>
        <v/>
      </c>
      <c r="N1771" s="54">
        <f>IF($B1771=0,NA(),IF(Inputs!$C$18&lt;&gt;"Yes",NA(),IF(COUNT(I1771,J1771,K1771,L1771,M1771)=0,NA(),MIN(I1771,J1771,K1771,L1771,M1771))))</f>
        <v/>
      </c>
      <c r="O1771" s="54">
        <f>IF($B1771=0,NA(),IF(Inputs!$B$24&lt;&gt;"Yes",NA(),Inputs!$D$24*Inputs!$C$35))</f>
        <v/>
      </c>
      <c r="P1771" s="54">
        <f>IF($B1771=0,NA(),IF(Inputs!$B$25&lt;&gt;"Yes",NA(),Inputs!$D$25*Inputs!$C$35))</f>
        <v/>
      </c>
      <c r="Q1771" s="54">
        <f>IF($B1771=0,NA(),IF(Inputs!$B$26&lt;&gt;"Yes",NA(),Inputs!$D$26*Inputs!$C$35))</f>
        <v/>
      </c>
      <c r="R1771" s="54">
        <f>IF($B1771=0,NA(),IF(Inputs!$B$27&lt;&gt;"Yes",NA(),Inputs!$D$27*Inputs!$C$35))</f>
        <v/>
      </c>
      <c r="S1771" s="54">
        <f>IF($B1771=0,NA(),IF(Inputs!$B$28&lt;&gt;"Yes",NA(),Inputs!$D$28*Inputs!$C$35))</f>
        <v/>
      </c>
      <c r="T1771" s="54">
        <f>IF($B1771=0,NA(),IF(Inputs!$B$29&lt;&gt;"Yes",NA(),Inputs!$D$29*Inputs!$C$35))</f>
        <v/>
      </c>
      <c r="AD1771">
        <f>IF($B1771=0,0,IF(Inputs!$B$6="",0,COUNTIFS(Data!$A$10:$A$3209,"&gt;="&amp;$A1771,Data!$A$10:$A$3209,"&lt;"&amp;$A1771+1)))</f>
        <v/>
      </c>
      <c r="AE1771">
        <f>IF($B1771=0,0,IF(Inputs!$B$7="",0,COUNTIFS(Data!$E$10:$E$3209,"&gt;="&amp;$A1771,Data!$E$10:$E$3209,"&lt;"&amp;$A1771+1)))</f>
        <v/>
      </c>
      <c r="AF1771">
        <f>IF($B1771=0,0,IF(Inputs!$B$8="",0,COUNTIFS(Data!$I$10:$I$3209,"&gt;="&amp;$A1771,Data!$I$10:$I$3209,"&lt;"&amp;$A1771+1)))</f>
        <v/>
      </c>
      <c r="AG1771">
        <f>IF($B1771=0,0,IF(Inputs!$B$9="",0,COUNTIFS(Data!$M$10:$M$3209,"&gt;="&amp;$A1771,Data!$M$10:$M$3209,"&lt;"&amp;$A1771+1)))</f>
        <v/>
      </c>
      <c r="AH1771">
        <f>IF($B1771=0,0,IF(Inputs!$B$10="",0,COUNTIFS(Data!$Q$10:$Q$3209,"&gt;="&amp;$A1771,Data!$Q$10:$Q$3209,"&lt;"&amp;$A1771+1)))</f>
        <v/>
      </c>
    </row>
    <row r="1772">
      <c r="A1772" s="55">
        <f>MIN(Inputs!$C$15,$A1771+IF(WEEKDAY($A1771,2)=5,3,1))</f>
        <v/>
      </c>
      <c r="B1772">
        <f>IF($A1772&gt;$A1771,1,0)</f>
        <v/>
      </c>
      <c r="C1772" s="56">
        <f>IF($B1772=0,"",IF(Inputs!$B$6="","",IF($AD1772=0,C1771,SUMIFS(Data!$B$10:$B$3209,Data!$A$10:$A$3209,"&gt;="&amp;$A1772,Data!$A$10:$A$3209,"&lt;"&amp;$A1772+1)/$AD1772)))</f>
        <v/>
      </c>
      <c r="D1772" s="56">
        <f>IF($B1772=0,"",IF(Inputs!$B$7="","",IF($AE1772=0,D1771,SUMIFS(Data!$F$10:$F$3209,Data!$E$10:$E$3209,"&gt;="&amp;$A1772,Data!$E$10:$E$3209,"&lt;"&amp;$A1772+1)/$AE1772)))</f>
        <v/>
      </c>
      <c r="E1772" s="56">
        <f>IF($B1772=0,"",IF(Inputs!$B$8="","",IF($AF1772=0,E1771,SUMIFS(Data!$J$10:$J$3209,Data!$I$10:$I$3209,"&gt;="&amp;$A1772,Data!$I$10:$I$3209,"&lt;"&amp;$A1772+1)/$AF1772)))</f>
        <v/>
      </c>
      <c r="F1772" s="56">
        <f>IF($B1772=0,"",IF(Inputs!$B$9="","",IF($AG1772=0,F1771,SUMIFS(Data!$N$10:$N$3209,Data!$M$10:$M$3209,"&gt;="&amp;$A1772,Data!$M$10:$M$3209,"&lt;"&amp;$A1772+1)/$AG1772)))</f>
        <v/>
      </c>
      <c r="G1772" s="56">
        <f>IF($B1772=0,"",IF(Inputs!$B$10="","",IF($AH1772=0,G1771,SUMIFS(Data!$R$10:$R$3209,Data!$Q$10:$Q$3209,"&gt;="&amp;$A1772,Data!$Q$10:$Q$3209,"&lt;"&amp;$A1772+1)/$AH1772)))</f>
        <v/>
      </c>
      <c r="I1772" s="54">
        <f>IF($B1772=0,NA(),IF($C1772="",NA(),IF(C$8="",NA(),IF(N(C$8)=0,NA(),IF(Inputs!$C$17="Rebased to 100",$C1772/C$8*100,$C1772)))))</f>
        <v/>
      </c>
      <c r="J1772" s="54">
        <f>IF($B1772=0,NA(),IF($D1772="",NA(),IF(D$8="",NA(),IF(N(D$8)=0,NA(),IF(Inputs!$C$17="Rebased to 100",$D1772/D$8*100,$D1772)))))</f>
        <v/>
      </c>
      <c r="K1772" s="54">
        <f>IF($B1772=0,NA(),IF($E1772="",NA(),IF(E$8="",NA(),IF(N(E$8)=0,NA(),IF(Inputs!$C$17="Rebased to 100",$E1772/E$8*100,$E1772)))))</f>
        <v/>
      </c>
      <c r="L1772" s="54">
        <f>IF($B1772=0,NA(),IF($F1772="",NA(),IF(F$8="",NA(),IF(N(F$8)=0,NA(),IF(Inputs!$C$17="Rebased to 100",$F1772/F$8*100,$F1772)))))</f>
        <v/>
      </c>
      <c r="M1772" s="54">
        <f>IF($B1772=0,NA(),IF($G1772="",NA(),IF(G$8="",NA(),IF(N(G$8)=0,NA(),IF(Inputs!$C$17="Rebased to 100",$G1772/G$8*100,$G1772)))))</f>
        <v/>
      </c>
      <c r="N1772" s="54">
        <f>IF($B1772=0,NA(),IF(Inputs!$C$18&lt;&gt;"Yes",NA(),IF(COUNT(I1772,J1772,K1772,L1772,M1772)=0,NA(),MIN(I1772,J1772,K1772,L1772,M1772))))</f>
        <v/>
      </c>
      <c r="O1772" s="54">
        <f>IF($B1772=0,NA(),IF(Inputs!$B$24&lt;&gt;"Yes",NA(),Inputs!$D$24*Inputs!$C$35))</f>
        <v/>
      </c>
      <c r="P1772" s="54">
        <f>IF($B1772=0,NA(),IF(Inputs!$B$25&lt;&gt;"Yes",NA(),Inputs!$D$25*Inputs!$C$35))</f>
        <v/>
      </c>
      <c r="Q1772" s="54">
        <f>IF($B1772=0,NA(),IF(Inputs!$B$26&lt;&gt;"Yes",NA(),Inputs!$D$26*Inputs!$C$35))</f>
        <v/>
      </c>
      <c r="R1772" s="54">
        <f>IF($B1772=0,NA(),IF(Inputs!$B$27&lt;&gt;"Yes",NA(),Inputs!$D$27*Inputs!$C$35))</f>
        <v/>
      </c>
      <c r="S1772" s="54">
        <f>IF($B1772=0,NA(),IF(Inputs!$B$28&lt;&gt;"Yes",NA(),Inputs!$D$28*Inputs!$C$35))</f>
        <v/>
      </c>
      <c r="T1772" s="54">
        <f>IF($B1772=0,NA(),IF(Inputs!$B$29&lt;&gt;"Yes",NA(),Inputs!$D$29*Inputs!$C$35))</f>
        <v/>
      </c>
      <c r="AD1772">
        <f>IF($B1772=0,0,IF(Inputs!$B$6="",0,COUNTIFS(Data!$A$10:$A$3209,"&gt;="&amp;$A1772,Data!$A$10:$A$3209,"&lt;"&amp;$A1772+1)))</f>
        <v/>
      </c>
      <c r="AE1772">
        <f>IF($B1772=0,0,IF(Inputs!$B$7="",0,COUNTIFS(Data!$E$10:$E$3209,"&gt;="&amp;$A1772,Data!$E$10:$E$3209,"&lt;"&amp;$A1772+1)))</f>
        <v/>
      </c>
      <c r="AF1772">
        <f>IF($B1772=0,0,IF(Inputs!$B$8="",0,COUNTIFS(Data!$I$10:$I$3209,"&gt;="&amp;$A1772,Data!$I$10:$I$3209,"&lt;"&amp;$A1772+1)))</f>
        <v/>
      </c>
      <c r="AG1772">
        <f>IF($B1772=0,0,IF(Inputs!$B$9="",0,COUNTIFS(Data!$M$10:$M$3209,"&gt;="&amp;$A1772,Data!$M$10:$M$3209,"&lt;"&amp;$A1772+1)))</f>
        <v/>
      </c>
      <c r="AH1772">
        <f>IF($B1772=0,0,IF(Inputs!$B$10="",0,COUNTIFS(Data!$Q$10:$Q$3209,"&gt;="&amp;$A1772,Data!$Q$10:$Q$3209,"&lt;"&amp;$A1772+1)))</f>
        <v/>
      </c>
    </row>
    <row r="1773">
      <c r="A1773" s="55">
        <f>MIN(Inputs!$C$15,$A1772+IF(WEEKDAY($A1772,2)=5,3,1))</f>
        <v/>
      </c>
      <c r="B1773">
        <f>IF($A1773&gt;$A1772,1,0)</f>
        <v/>
      </c>
      <c r="C1773" s="56">
        <f>IF($B1773=0,"",IF(Inputs!$B$6="","",IF($AD1773=0,C1772,SUMIFS(Data!$B$10:$B$3209,Data!$A$10:$A$3209,"&gt;="&amp;$A1773,Data!$A$10:$A$3209,"&lt;"&amp;$A1773+1)/$AD1773)))</f>
        <v/>
      </c>
      <c r="D1773" s="56">
        <f>IF($B1773=0,"",IF(Inputs!$B$7="","",IF($AE1773=0,D1772,SUMIFS(Data!$F$10:$F$3209,Data!$E$10:$E$3209,"&gt;="&amp;$A1773,Data!$E$10:$E$3209,"&lt;"&amp;$A1773+1)/$AE1773)))</f>
        <v/>
      </c>
      <c r="E1773" s="56">
        <f>IF($B1773=0,"",IF(Inputs!$B$8="","",IF($AF1773=0,E1772,SUMIFS(Data!$J$10:$J$3209,Data!$I$10:$I$3209,"&gt;="&amp;$A1773,Data!$I$10:$I$3209,"&lt;"&amp;$A1773+1)/$AF1773)))</f>
        <v/>
      </c>
      <c r="F1773" s="56">
        <f>IF($B1773=0,"",IF(Inputs!$B$9="","",IF($AG1773=0,F1772,SUMIFS(Data!$N$10:$N$3209,Data!$M$10:$M$3209,"&gt;="&amp;$A1773,Data!$M$10:$M$3209,"&lt;"&amp;$A1773+1)/$AG1773)))</f>
        <v/>
      </c>
      <c r="G1773" s="56">
        <f>IF($B1773=0,"",IF(Inputs!$B$10="","",IF($AH1773=0,G1772,SUMIFS(Data!$R$10:$R$3209,Data!$Q$10:$Q$3209,"&gt;="&amp;$A1773,Data!$Q$10:$Q$3209,"&lt;"&amp;$A1773+1)/$AH1773)))</f>
        <v/>
      </c>
      <c r="I1773" s="54">
        <f>IF($B1773=0,NA(),IF($C1773="",NA(),IF(C$8="",NA(),IF(N(C$8)=0,NA(),IF(Inputs!$C$17="Rebased to 100",$C1773/C$8*100,$C1773)))))</f>
        <v/>
      </c>
      <c r="J1773" s="54">
        <f>IF($B1773=0,NA(),IF($D1773="",NA(),IF(D$8="",NA(),IF(N(D$8)=0,NA(),IF(Inputs!$C$17="Rebased to 100",$D1773/D$8*100,$D1773)))))</f>
        <v/>
      </c>
      <c r="K1773" s="54">
        <f>IF($B1773=0,NA(),IF($E1773="",NA(),IF(E$8="",NA(),IF(N(E$8)=0,NA(),IF(Inputs!$C$17="Rebased to 100",$E1773/E$8*100,$E1773)))))</f>
        <v/>
      </c>
      <c r="L1773" s="54">
        <f>IF($B1773=0,NA(),IF($F1773="",NA(),IF(F$8="",NA(),IF(N(F$8)=0,NA(),IF(Inputs!$C$17="Rebased to 100",$F1773/F$8*100,$F1773)))))</f>
        <v/>
      </c>
      <c r="M1773" s="54">
        <f>IF($B1773=0,NA(),IF($G1773="",NA(),IF(G$8="",NA(),IF(N(G$8)=0,NA(),IF(Inputs!$C$17="Rebased to 100",$G1773/G$8*100,$G1773)))))</f>
        <v/>
      </c>
      <c r="N1773" s="54">
        <f>IF($B1773=0,NA(),IF(Inputs!$C$18&lt;&gt;"Yes",NA(),IF(COUNT(I1773,J1773,K1773,L1773,M1773)=0,NA(),MIN(I1773,J1773,K1773,L1773,M1773))))</f>
        <v/>
      </c>
      <c r="O1773" s="54">
        <f>IF($B1773=0,NA(),IF(Inputs!$B$24&lt;&gt;"Yes",NA(),Inputs!$D$24*Inputs!$C$35))</f>
        <v/>
      </c>
      <c r="P1773" s="54">
        <f>IF($B1773=0,NA(),IF(Inputs!$B$25&lt;&gt;"Yes",NA(),Inputs!$D$25*Inputs!$C$35))</f>
        <v/>
      </c>
      <c r="Q1773" s="54">
        <f>IF($B1773=0,NA(),IF(Inputs!$B$26&lt;&gt;"Yes",NA(),Inputs!$D$26*Inputs!$C$35))</f>
        <v/>
      </c>
      <c r="R1773" s="54">
        <f>IF($B1773=0,NA(),IF(Inputs!$B$27&lt;&gt;"Yes",NA(),Inputs!$D$27*Inputs!$C$35))</f>
        <v/>
      </c>
      <c r="S1773" s="54">
        <f>IF($B1773=0,NA(),IF(Inputs!$B$28&lt;&gt;"Yes",NA(),Inputs!$D$28*Inputs!$C$35))</f>
        <v/>
      </c>
      <c r="T1773" s="54">
        <f>IF($B1773=0,NA(),IF(Inputs!$B$29&lt;&gt;"Yes",NA(),Inputs!$D$29*Inputs!$C$35))</f>
        <v/>
      </c>
      <c r="AD1773">
        <f>IF($B1773=0,0,IF(Inputs!$B$6="",0,COUNTIFS(Data!$A$10:$A$3209,"&gt;="&amp;$A1773,Data!$A$10:$A$3209,"&lt;"&amp;$A1773+1)))</f>
        <v/>
      </c>
      <c r="AE1773">
        <f>IF($B1773=0,0,IF(Inputs!$B$7="",0,COUNTIFS(Data!$E$10:$E$3209,"&gt;="&amp;$A1773,Data!$E$10:$E$3209,"&lt;"&amp;$A1773+1)))</f>
        <v/>
      </c>
      <c r="AF1773">
        <f>IF($B1773=0,0,IF(Inputs!$B$8="",0,COUNTIFS(Data!$I$10:$I$3209,"&gt;="&amp;$A1773,Data!$I$10:$I$3209,"&lt;"&amp;$A1773+1)))</f>
        <v/>
      </c>
      <c r="AG1773">
        <f>IF($B1773=0,0,IF(Inputs!$B$9="",0,COUNTIFS(Data!$M$10:$M$3209,"&gt;="&amp;$A1773,Data!$M$10:$M$3209,"&lt;"&amp;$A1773+1)))</f>
        <v/>
      </c>
      <c r="AH1773">
        <f>IF($B1773=0,0,IF(Inputs!$B$10="",0,COUNTIFS(Data!$Q$10:$Q$3209,"&gt;="&amp;$A1773,Data!$Q$10:$Q$3209,"&lt;"&amp;$A1773+1)))</f>
        <v/>
      </c>
    </row>
    <row r="1774">
      <c r="A1774" s="55">
        <f>MIN(Inputs!$C$15,$A1773+IF(WEEKDAY($A1773,2)=5,3,1))</f>
        <v/>
      </c>
      <c r="B1774">
        <f>IF($A1774&gt;$A1773,1,0)</f>
        <v/>
      </c>
      <c r="C1774" s="56">
        <f>IF($B1774=0,"",IF(Inputs!$B$6="","",IF($AD1774=0,C1773,SUMIFS(Data!$B$10:$B$3209,Data!$A$10:$A$3209,"&gt;="&amp;$A1774,Data!$A$10:$A$3209,"&lt;"&amp;$A1774+1)/$AD1774)))</f>
        <v/>
      </c>
      <c r="D1774" s="56">
        <f>IF($B1774=0,"",IF(Inputs!$B$7="","",IF($AE1774=0,D1773,SUMIFS(Data!$F$10:$F$3209,Data!$E$10:$E$3209,"&gt;="&amp;$A1774,Data!$E$10:$E$3209,"&lt;"&amp;$A1774+1)/$AE1774)))</f>
        <v/>
      </c>
      <c r="E1774" s="56">
        <f>IF($B1774=0,"",IF(Inputs!$B$8="","",IF($AF1774=0,E1773,SUMIFS(Data!$J$10:$J$3209,Data!$I$10:$I$3209,"&gt;="&amp;$A1774,Data!$I$10:$I$3209,"&lt;"&amp;$A1774+1)/$AF1774)))</f>
        <v/>
      </c>
      <c r="F1774" s="56">
        <f>IF($B1774=0,"",IF(Inputs!$B$9="","",IF($AG1774=0,F1773,SUMIFS(Data!$N$10:$N$3209,Data!$M$10:$M$3209,"&gt;="&amp;$A1774,Data!$M$10:$M$3209,"&lt;"&amp;$A1774+1)/$AG1774)))</f>
        <v/>
      </c>
      <c r="G1774" s="56">
        <f>IF($B1774=0,"",IF(Inputs!$B$10="","",IF($AH1774=0,G1773,SUMIFS(Data!$R$10:$R$3209,Data!$Q$10:$Q$3209,"&gt;="&amp;$A1774,Data!$Q$10:$Q$3209,"&lt;"&amp;$A1774+1)/$AH1774)))</f>
        <v/>
      </c>
      <c r="I1774" s="54">
        <f>IF($B1774=0,NA(),IF($C1774="",NA(),IF(C$8="",NA(),IF(N(C$8)=0,NA(),IF(Inputs!$C$17="Rebased to 100",$C1774/C$8*100,$C1774)))))</f>
        <v/>
      </c>
      <c r="J1774" s="54">
        <f>IF($B1774=0,NA(),IF($D1774="",NA(),IF(D$8="",NA(),IF(N(D$8)=0,NA(),IF(Inputs!$C$17="Rebased to 100",$D1774/D$8*100,$D1774)))))</f>
        <v/>
      </c>
      <c r="K1774" s="54">
        <f>IF($B1774=0,NA(),IF($E1774="",NA(),IF(E$8="",NA(),IF(N(E$8)=0,NA(),IF(Inputs!$C$17="Rebased to 100",$E1774/E$8*100,$E1774)))))</f>
        <v/>
      </c>
      <c r="L1774" s="54">
        <f>IF($B1774=0,NA(),IF($F1774="",NA(),IF(F$8="",NA(),IF(N(F$8)=0,NA(),IF(Inputs!$C$17="Rebased to 100",$F1774/F$8*100,$F1774)))))</f>
        <v/>
      </c>
      <c r="M1774" s="54">
        <f>IF($B1774=0,NA(),IF($G1774="",NA(),IF(G$8="",NA(),IF(N(G$8)=0,NA(),IF(Inputs!$C$17="Rebased to 100",$G1774/G$8*100,$G1774)))))</f>
        <v/>
      </c>
      <c r="N1774" s="54">
        <f>IF($B1774=0,NA(),IF(Inputs!$C$18&lt;&gt;"Yes",NA(),IF(COUNT(I1774,J1774,K1774,L1774,M1774)=0,NA(),MIN(I1774,J1774,K1774,L1774,M1774))))</f>
        <v/>
      </c>
      <c r="O1774" s="54">
        <f>IF($B1774=0,NA(),IF(Inputs!$B$24&lt;&gt;"Yes",NA(),Inputs!$D$24*Inputs!$C$35))</f>
        <v/>
      </c>
      <c r="P1774" s="54">
        <f>IF($B1774=0,NA(),IF(Inputs!$B$25&lt;&gt;"Yes",NA(),Inputs!$D$25*Inputs!$C$35))</f>
        <v/>
      </c>
      <c r="Q1774" s="54">
        <f>IF($B1774=0,NA(),IF(Inputs!$B$26&lt;&gt;"Yes",NA(),Inputs!$D$26*Inputs!$C$35))</f>
        <v/>
      </c>
      <c r="R1774" s="54">
        <f>IF($B1774=0,NA(),IF(Inputs!$B$27&lt;&gt;"Yes",NA(),Inputs!$D$27*Inputs!$C$35))</f>
        <v/>
      </c>
      <c r="S1774" s="54">
        <f>IF($B1774=0,NA(),IF(Inputs!$B$28&lt;&gt;"Yes",NA(),Inputs!$D$28*Inputs!$C$35))</f>
        <v/>
      </c>
      <c r="T1774" s="54">
        <f>IF($B1774=0,NA(),IF(Inputs!$B$29&lt;&gt;"Yes",NA(),Inputs!$D$29*Inputs!$C$35))</f>
        <v/>
      </c>
      <c r="AD1774">
        <f>IF($B1774=0,0,IF(Inputs!$B$6="",0,COUNTIFS(Data!$A$10:$A$3209,"&gt;="&amp;$A1774,Data!$A$10:$A$3209,"&lt;"&amp;$A1774+1)))</f>
        <v/>
      </c>
      <c r="AE1774">
        <f>IF($B1774=0,0,IF(Inputs!$B$7="",0,COUNTIFS(Data!$E$10:$E$3209,"&gt;="&amp;$A1774,Data!$E$10:$E$3209,"&lt;"&amp;$A1774+1)))</f>
        <v/>
      </c>
      <c r="AF1774">
        <f>IF($B1774=0,0,IF(Inputs!$B$8="",0,COUNTIFS(Data!$I$10:$I$3209,"&gt;="&amp;$A1774,Data!$I$10:$I$3209,"&lt;"&amp;$A1774+1)))</f>
        <v/>
      </c>
      <c r="AG1774">
        <f>IF($B1774=0,0,IF(Inputs!$B$9="",0,COUNTIFS(Data!$M$10:$M$3209,"&gt;="&amp;$A1774,Data!$M$10:$M$3209,"&lt;"&amp;$A1774+1)))</f>
        <v/>
      </c>
      <c r="AH1774">
        <f>IF($B1774=0,0,IF(Inputs!$B$10="",0,COUNTIFS(Data!$Q$10:$Q$3209,"&gt;="&amp;$A1774,Data!$Q$10:$Q$3209,"&lt;"&amp;$A1774+1)))</f>
        <v/>
      </c>
    </row>
    <row r="1775">
      <c r="A1775" s="55">
        <f>MIN(Inputs!$C$15,$A1774+IF(WEEKDAY($A1774,2)=5,3,1))</f>
        <v/>
      </c>
      <c r="B1775">
        <f>IF($A1775&gt;$A1774,1,0)</f>
        <v/>
      </c>
      <c r="C1775" s="56">
        <f>IF($B1775=0,"",IF(Inputs!$B$6="","",IF($AD1775=0,C1774,SUMIFS(Data!$B$10:$B$3209,Data!$A$10:$A$3209,"&gt;="&amp;$A1775,Data!$A$10:$A$3209,"&lt;"&amp;$A1775+1)/$AD1775)))</f>
        <v/>
      </c>
      <c r="D1775" s="56">
        <f>IF($B1775=0,"",IF(Inputs!$B$7="","",IF($AE1775=0,D1774,SUMIFS(Data!$F$10:$F$3209,Data!$E$10:$E$3209,"&gt;="&amp;$A1775,Data!$E$10:$E$3209,"&lt;"&amp;$A1775+1)/$AE1775)))</f>
        <v/>
      </c>
      <c r="E1775" s="56">
        <f>IF($B1775=0,"",IF(Inputs!$B$8="","",IF($AF1775=0,E1774,SUMIFS(Data!$J$10:$J$3209,Data!$I$10:$I$3209,"&gt;="&amp;$A1775,Data!$I$10:$I$3209,"&lt;"&amp;$A1775+1)/$AF1775)))</f>
        <v/>
      </c>
      <c r="F1775" s="56">
        <f>IF($B1775=0,"",IF(Inputs!$B$9="","",IF($AG1775=0,F1774,SUMIFS(Data!$N$10:$N$3209,Data!$M$10:$M$3209,"&gt;="&amp;$A1775,Data!$M$10:$M$3209,"&lt;"&amp;$A1775+1)/$AG1775)))</f>
        <v/>
      </c>
      <c r="G1775" s="56">
        <f>IF($B1775=0,"",IF(Inputs!$B$10="","",IF($AH1775=0,G1774,SUMIFS(Data!$R$10:$R$3209,Data!$Q$10:$Q$3209,"&gt;="&amp;$A1775,Data!$Q$10:$Q$3209,"&lt;"&amp;$A1775+1)/$AH1775)))</f>
        <v/>
      </c>
      <c r="I1775" s="54">
        <f>IF($B1775=0,NA(),IF($C1775="",NA(),IF(C$8="",NA(),IF(N(C$8)=0,NA(),IF(Inputs!$C$17="Rebased to 100",$C1775/C$8*100,$C1775)))))</f>
        <v/>
      </c>
      <c r="J1775" s="54">
        <f>IF($B1775=0,NA(),IF($D1775="",NA(),IF(D$8="",NA(),IF(N(D$8)=0,NA(),IF(Inputs!$C$17="Rebased to 100",$D1775/D$8*100,$D1775)))))</f>
        <v/>
      </c>
      <c r="K1775" s="54">
        <f>IF($B1775=0,NA(),IF($E1775="",NA(),IF(E$8="",NA(),IF(N(E$8)=0,NA(),IF(Inputs!$C$17="Rebased to 100",$E1775/E$8*100,$E1775)))))</f>
        <v/>
      </c>
      <c r="L1775" s="54">
        <f>IF($B1775=0,NA(),IF($F1775="",NA(),IF(F$8="",NA(),IF(N(F$8)=0,NA(),IF(Inputs!$C$17="Rebased to 100",$F1775/F$8*100,$F1775)))))</f>
        <v/>
      </c>
      <c r="M1775" s="54">
        <f>IF($B1775=0,NA(),IF($G1775="",NA(),IF(G$8="",NA(),IF(N(G$8)=0,NA(),IF(Inputs!$C$17="Rebased to 100",$G1775/G$8*100,$G1775)))))</f>
        <v/>
      </c>
      <c r="N1775" s="54">
        <f>IF($B1775=0,NA(),IF(Inputs!$C$18&lt;&gt;"Yes",NA(),IF(COUNT(I1775,J1775,K1775,L1775,M1775)=0,NA(),MIN(I1775,J1775,K1775,L1775,M1775))))</f>
        <v/>
      </c>
      <c r="O1775" s="54">
        <f>IF($B1775=0,NA(),IF(Inputs!$B$24&lt;&gt;"Yes",NA(),Inputs!$D$24*Inputs!$C$35))</f>
        <v/>
      </c>
      <c r="P1775" s="54">
        <f>IF($B1775=0,NA(),IF(Inputs!$B$25&lt;&gt;"Yes",NA(),Inputs!$D$25*Inputs!$C$35))</f>
        <v/>
      </c>
      <c r="Q1775" s="54">
        <f>IF($B1775=0,NA(),IF(Inputs!$B$26&lt;&gt;"Yes",NA(),Inputs!$D$26*Inputs!$C$35))</f>
        <v/>
      </c>
      <c r="R1775" s="54">
        <f>IF($B1775=0,NA(),IF(Inputs!$B$27&lt;&gt;"Yes",NA(),Inputs!$D$27*Inputs!$C$35))</f>
        <v/>
      </c>
      <c r="S1775" s="54">
        <f>IF($B1775=0,NA(),IF(Inputs!$B$28&lt;&gt;"Yes",NA(),Inputs!$D$28*Inputs!$C$35))</f>
        <v/>
      </c>
      <c r="T1775" s="54">
        <f>IF($B1775=0,NA(),IF(Inputs!$B$29&lt;&gt;"Yes",NA(),Inputs!$D$29*Inputs!$C$35))</f>
        <v/>
      </c>
      <c r="AD1775">
        <f>IF($B1775=0,0,IF(Inputs!$B$6="",0,COUNTIFS(Data!$A$10:$A$3209,"&gt;="&amp;$A1775,Data!$A$10:$A$3209,"&lt;"&amp;$A1775+1)))</f>
        <v/>
      </c>
      <c r="AE1775">
        <f>IF($B1775=0,0,IF(Inputs!$B$7="",0,COUNTIFS(Data!$E$10:$E$3209,"&gt;="&amp;$A1775,Data!$E$10:$E$3209,"&lt;"&amp;$A1775+1)))</f>
        <v/>
      </c>
      <c r="AF1775">
        <f>IF($B1775=0,0,IF(Inputs!$B$8="",0,COUNTIFS(Data!$I$10:$I$3209,"&gt;="&amp;$A1775,Data!$I$10:$I$3209,"&lt;"&amp;$A1775+1)))</f>
        <v/>
      </c>
      <c r="AG1775">
        <f>IF($B1775=0,0,IF(Inputs!$B$9="",0,COUNTIFS(Data!$M$10:$M$3209,"&gt;="&amp;$A1775,Data!$M$10:$M$3209,"&lt;"&amp;$A1775+1)))</f>
        <v/>
      </c>
      <c r="AH1775">
        <f>IF($B1775=0,0,IF(Inputs!$B$10="",0,COUNTIFS(Data!$Q$10:$Q$3209,"&gt;="&amp;$A1775,Data!$Q$10:$Q$3209,"&lt;"&amp;$A1775+1)))</f>
        <v/>
      </c>
    </row>
    <row r="1776">
      <c r="A1776" s="55">
        <f>MIN(Inputs!$C$15,$A1775+IF(WEEKDAY($A1775,2)=5,3,1))</f>
        <v/>
      </c>
      <c r="B1776">
        <f>IF($A1776&gt;$A1775,1,0)</f>
        <v/>
      </c>
      <c r="C1776" s="56">
        <f>IF($B1776=0,"",IF(Inputs!$B$6="","",IF($AD1776=0,C1775,SUMIFS(Data!$B$10:$B$3209,Data!$A$10:$A$3209,"&gt;="&amp;$A1776,Data!$A$10:$A$3209,"&lt;"&amp;$A1776+1)/$AD1776)))</f>
        <v/>
      </c>
      <c r="D1776" s="56">
        <f>IF($B1776=0,"",IF(Inputs!$B$7="","",IF($AE1776=0,D1775,SUMIFS(Data!$F$10:$F$3209,Data!$E$10:$E$3209,"&gt;="&amp;$A1776,Data!$E$10:$E$3209,"&lt;"&amp;$A1776+1)/$AE1776)))</f>
        <v/>
      </c>
      <c r="E1776" s="56">
        <f>IF($B1776=0,"",IF(Inputs!$B$8="","",IF($AF1776=0,E1775,SUMIFS(Data!$J$10:$J$3209,Data!$I$10:$I$3209,"&gt;="&amp;$A1776,Data!$I$10:$I$3209,"&lt;"&amp;$A1776+1)/$AF1776)))</f>
        <v/>
      </c>
      <c r="F1776" s="56">
        <f>IF($B1776=0,"",IF(Inputs!$B$9="","",IF($AG1776=0,F1775,SUMIFS(Data!$N$10:$N$3209,Data!$M$10:$M$3209,"&gt;="&amp;$A1776,Data!$M$10:$M$3209,"&lt;"&amp;$A1776+1)/$AG1776)))</f>
        <v/>
      </c>
      <c r="G1776" s="56">
        <f>IF($B1776=0,"",IF(Inputs!$B$10="","",IF($AH1776=0,G1775,SUMIFS(Data!$R$10:$R$3209,Data!$Q$10:$Q$3209,"&gt;="&amp;$A1776,Data!$Q$10:$Q$3209,"&lt;"&amp;$A1776+1)/$AH1776)))</f>
        <v/>
      </c>
      <c r="I1776" s="54">
        <f>IF($B1776=0,NA(),IF($C1776="",NA(),IF(C$8="",NA(),IF(N(C$8)=0,NA(),IF(Inputs!$C$17="Rebased to 100",$C1776/C$8*100,$C1776)))))</f>
        <v/>
      </c>
      <c r="J1776" s="54">
        <f>IF($B1776=0,NA(),IF($D1776="",NA(),IF(D$8="",NA(),IF(N(D$8)=0,NA(),IF(Inputs!$C$17="Rebased to 100",$D1776/D$8*100,$D1776)))))</f>
        <v/>
      </c>
      <c r="K1776" s="54">
        <f>IF($B1776=0,NA(),IF($E1776="",NA(),IF(E$8="",NA(),IF(N(E$8)=0,NA(),IF(Inputs!$C$17="Rebased to 100",$E1776/E$8*100,$E1776)))))</f>
        <v/>
      </c>
      <c r="L1776" s="54">
        <f>IF($B1776=0,NA(),IF($F1776="",NA(),IF(F$8="",NA(),IF(N(F$8)=0,NA(),IF(Inputs!$C$17="Rebased to 100",$F1776/F$8*100,$F1776)))))</f>
        <v/>
      </c>
      <c r="M1776" s="54">
        <f>IF($B1776=0,NA(),IF($G1776="",NA(),IF(G$8="",NA(),IF(N(G$8)=0,NA(),IF(Inputs!$C$17="Rebased to 100",$G1776/G$8*100,$G1776)))))</f>
        <v/>
      </c>
      <c r="N1776" s="54">
        <f>IF($B1776=0,NA(),IF(Inputs!$C$18&lt;&gt;"Yes",NA(),IF(COUNT(I1776,J1776,K1776,L1776,M1776)=0,NA(),MIN(I1776,J1776,K1776,L1776,M1776))))</f>
        <v/>
      </c>
      <c r="O1776" s="54">
        <f>IF($B1776=0,NA(),IF(Inputs!$B$24&lt;&gt;"Yes",NA(),Inputs!$D$24*Inputs!$C$35))</f>
        <v/>
      </c>
      <c r="P1776" s="54">
        <f>IF($B1776=0,NA(),IF(Inputs!$B$25&lt;&gt;"Yes",NA(),Inputs!$D$25*Inputs!$C$35))</f>
        <v/>
      </c>
      <c r="Q1776" s="54">
        <f>IF($B1776=0,NA(),IF(Inputs!$B$26&lt;&gt;"Yes",NA(),Inputs!$D$26*Inputs!$C$35))</f>
        <v/>
      </c>
      <c r="R1776" s="54">
        <f>IF($B1776=0,NA(),IF(Inputs!$B$27&lt;&gt;"Yes",NA(),Inputs!$D$27*Inputs!$C$35))</f>
        <v/>
      </c>
      <c r="S1776" s="54">
        <f>IF($B1776=0,NA(),IF(Inputs!$B$28&lt;&gt;"Yes",NA(),Inputs!$D$28*Inputs!$C$35))</f>
        <v/>
      </c>
      <c r="T1776" s="54">
        <f>IF($B1776=0,NA(),IF(Inputs!$B$29&lt;&gt;"Yes",NA(),Inputs!$D$29*Inputs!$C$35))</f>
        <v/>
      </c>
      <c r="AD1776">
        <f>IF($B1776=0,0,IF(Inputs!$B$6="",0,COUNTIFS(Data!$A$10:$A$3209,"&gt;="&amp;$A1776,Data!$A$10:$A$3209,"&lt;"&amp;$A1776+1)))</f>
        <v/>
      </c>
      <c r="AE1776">
        <f>IF($B1776=0,0,IF(Inputs!$B$7="",0,COUNTIFS(Data!$E$10:$E$3209,"&gt;="&amp;$A1776,Data!$E$10:$E$3209,"&lt;"&amp;$A1776+1)))</f>
        <v/>
      </c>
      <c r="AF1776">
        <f>IF($B1776=0,0,IF(Inputs!$B$8="",0,COUNTIFS(Data!$I$10:$I$3209,"&gt;="&amp;$A1776,Data!$I$10:$I$3209,"&lt;"&amp;$A1776+1)))</f>
        <v/>
      </c>
      <c r="AG1776">
        <f>IF($B1776=0,0,IF(Inputs!$B$9="",0,COUNTIFS(Data!$M$10:$M$3209,"&gt;="&amp;$A1776,Data!$M$10:$M$3209,"&lt;"&amp;$A1776+1)))</f>
        <v/>
      </c>
      <c r="AH1776">
        <f>IF($B1776=0,0,IF(Inputs!$B$10="",0,COUNTIFS(Data!$Q$10:$Q$3209,"&gt;="&amp;$A1776,Data!$Q$10:$Q$3209,"&lt;"&amp;$A1776+1)))</f>
        <v/>
      </c>
    </row>
    <row r="1777">
      <c r="A1777" s="55">
        <f>MIN(Inputs!$C$15,$A1776+IF(WEEKDAY($A1776,2)=5,3,1))</f>
        <v/>
      </c>
      <c r="B1777">
        <f>IF($A1777&gt;$A1776,1,0)</f>
        <v/>
      </c>
      <c r="C1777" s="56">
        <f>IF($B1777=0,"",IF(Inputs!$B$6="","",IF($AD1777=0,C1776,SUMIFS(Data!$B$10:$B$3209,Data!$A$10:$A$3209,"&gt;="&amp;$A1777,Data!$A$10:$A$3209,"&lt;"&amp;$A1777+1)/$AD1777)))</f>
        <v/>
      </c>
      <c r="D1777" s="56">
        <f>IF($B1777=0,"",IF(Inputs!$B$7="","",IF($AE1777=0,D1776,SUMIFS(Data!$F$10:$F$3209,Data!$E$10:$E$3209,"&gt;="&amp;$A1777,Data!$E$10:$E$3209,"&lt;"&amp;$A1777+1)/$AE1777)))</f>
        <v/>
      </c>
      <c r="E1777" s="56">
        <f>IF($B1777=0,"",IF(Inputs!$B$8="","",IF($AF1777=0,E1776,SUMIFS(Data!$J$10:$J$3209,Data!$I$10:$I$3209,"&gt;="&amp;$A1777,Data!$I$10:$I$3209,"&lt;"&amp;$A1777+1)/$AF1777)))</f>
        <v/>
      </c>
      <c r="F1777" s="56">
        <f>IF($B1777=0,"",IF(Inputs!$B$9="","",IF($AG1777=0,F1776,SUMIFS(Data!$N$10:$N$3209,Data!$M$10:$M$3209,"&gt;="&amp;$A1777,Data!$M$10:$M$3209,"&lt;"&amp;$A1777+1)/$AG1777)))</f>
        <v/>
      </c>
      <c r="G1777" s="56">
        <f>IF($B1777=0,"",IF(Inputs!$B$10="","",IF($AH1777=0,G1776,SUMIFS(Data!$R$10:$R$3209,Data!$Q$10:$Q$3209,"&gt;="&amp;$A1777,Data!$Q$10:$Q$3209,"&lt;"&amp;$A1777+1)/$AH1777)))</f>
        <v/>
      </c>
      <c r="I1777" s="54">
        <f>IF($B1777=0,NA(),IF($C1777="",NA(),IF(C$8="",NA(),IF(N(C$8)=0,NA(),IF(Inputs!$C$17="Rebased to 100",$C1777/C$8*100,$C1777)))))</f>
        <v/>
      </c>
      <c r="J1777" s="54">
        <f>IF($B1777=0,NA(),IF($D1777="",NA(),IF(D$8="",NA(),IF(N(D$8)=0,NA(),IF(Inputs!$C$17="Rebased to 100",$D1777/D$8*100,$D1777)))))</f>
        <v/>
      </c>
      <c r="K1777" s="54">
        <f>IF($B1777=0,NA(),IF($E1777="",NA(),IF(E$8="",NA(),IF(N(E$8)=0,NA(),IF(Inputs!$C$17="Rebased to 100",$E1777/E$8*100,$E1777)))))</f>
        <v/>
      </c>
      <c r="L1777" s="54">
        <f>IF($B1777=0,NA(),IF($F1777="",NA(),IF(F$8="",NA(),IF(N(F$8)=0,NA(),IF(Inputs!$C$17="Rebased to 100",$F1777/F$8*100,$F1777)))))</f>
        <v/>
      </c>
      <c r="M1777" s="54">
        <f>IF($B1777=0,NA(),IF($G1777="",NA(),IF(G$8="",NA(),IF(N(G$8)=0,NA(),IF(Inputs!$C$17="Rebased to 100",$G1777/G$8*100,$G1777)))))</f>
        <v/>
      </c>
      <c r="N1777" s="54">
        <f>IF($B1777=0,NA(),IF(Inputs!$C$18&lt;&gt;"Yes",NA(),IF(COUNT(I1777,J1777,K1777,L1777,M1777)=0,NA(),MIN(I1777,J1777,K1777,L1777,M1777))))</f>
        <v/>
      </c>
      <c r="O1777" s="54">
        <f>IF($B1777=0,NA(),IF(Inputs!$B$24&lt;&gt;"Yes",NA(),Inputs!$D$24*Inputs!$C$35))</f>
        <v/>
      </c>
      <c r="P1777" s="54">
        <f>IF($B1777=0,NA(),IF(Inputs!$B$25&lt;&gt;"Yes",NA(),Inputs!$D$25*Inputs!$C$35))</f>
        <v/>
      </c>
      <c r="Q1777" s="54">
        <f>IF($B1777=0,NA(),IF(Inputs!$B$26&lt;&gt;"Yes",NA(),Inputs!$D$26*Inputs!$C$35))</f>
        <v/>
      </c>
      <c r="R1777" s="54">
        <f>IF($B1777=0,NA(),IF(Inputs!$B$27&lt;&gt;"Yes",NA(),Inputs!$D$27*Inputs!$C$35))</f>
        <v/>
      </c>
      <c r="S1777" s="54">
        <f>IF($B1777=0,NA(),IF(Inputs!$B$28&lt;&gt;"Yes",NA(),Inputs!$D$28*Inputs!$C$35))</f>
        <v/>
      </c>
      <c r="T1777" s="54">
        <f>IF($B1777=0,NA(),IF(Inputs!$B$29&lt;&gt;"Yes",NA(),Inputs!$D$29*Inputs!$C$35))</f>
        <v/>
      </c>
      <c r="AD1777">
        <f>IF($B1777=0,0,IF(Inputs!$B$6="",0,COUNTIFS(Data!$A$10:$A$3209,"&gt;="&amp;$A1777,Data!$A$10:$A$3209,"&lt;"&amp;$A1777+1)))</f>
        <v/>
      </c>
      <c r="AE1777">
        <f>IF($B1777=0,0,IF(Inputs!$B$7="",0,COUNTIFS(Data!$E$10:$E$3209,"&gt;="&amp;$A1777,Data!$E$10:$E$3209,"&lt;"&amp;$A1777+1)))</f>
        <v/>
      </c>
      <c r="AF1777">
        <f>IF($B1777=0,0,IF(Inputs!$B$8="",0,COUNTIFS(Data!$I$10:$I$3209,"&gt;="&amp;$A1777,Data!$I$10:$I$3209,"&lt;"&amp;$A1777+1)))</f>
        <v/>
      </c>
      <c r="AG1777">
        <f>IF($B1777=0,0,IF(Inputs!$B$9="",0,COUNTIFS(Data!$M$10:$M$3209,"&gt;="&amp;$A1777,Data!$M$10:$M$3209,"&lt;"&amp;$A1777+1)))</f>
        <v/>
      </c>
      <c r="AH1777">
        <f>IF($B1777=0,0,IF(Inputs!$B$10="",0,COUNTIFS(Data!$Q$10:$Q$3209,"&gt;="&amp;$A1777,Data!$Q$10:$Q$3209,"&lt;"&amp;$A1777+1)))</f>
        <v/>
      </c>
    </row>
    <row r="1778">
      <c r="A1778" s="55">
        <f>MIN(Inputs!$C$15,$A1777+IF(WEEKDAY($A1777,2)=5,3,1))</f>
        <v/>
      </c>
      <c r="B1778">
        <f>IF($A1778&gt;$A1777,1,0)</f>
        <v/>
      </c>
      <c r="C1778" s="56">
        <f>IF($B1778=0,"",IF(Inputs!$B$6="","",IF($AD1778=0,C1777,SUMIFS(Data!$B$10:$B$3209,Data!$A$10:$A$3209,"&gt;="&amp;$A1778,Data!$A$10:$A$3209,"&lt;"&amp;$A1778+1)/$AD1778)))</f>
        <v/>
      </c>
      <c r="D1778" s="56">
        <f>IF($B1778=0,"",IF(Inputs!$B$7="","",IF($AE1778=0,D1777,SUMIFS(Data!$F$10:$F$3209,Data!$E$10:$E$3209,"&gt;="&amp;$A1778,Data!$E$10:$E$3209,"&lt;"&amp;$A1778+1)/$AE1778)))</f>
        <v/>
      </c>
      <c r="E1778" s="56">
        <f>IF($B1778=0,"",IF(Inputs!$B$8="","",IF($AF1778=0,E1777,SUMIFS(Data!$J$10:$J$3209,Data!$I$10:$I$3209,"&gt;="&amp;$A1778,Data!$I$10:$I$3209,"&lt;"&amp;$A1778+1)/$AF1778)))</f>
        <v/>
      </c>
      <c r="F1778" s="56">
        <f>IF($B1778=0,"",IF(Inputs!$B$9="","",IF($AG1778=0,F1777,SUMIFS(Data!$N$10:$N$3209,Data!$M$10:$M$3209,"&gt;="&amp;$A1778,Data!$M$10:$M$3209,"&lt;"&amp;$A1778+1)/$AG1778)))</f>
        <v/>
      </c>
      <c r="G1778" s="56">
        <f>IF($B1778=0,"",IF(Inputs!$B$10="","",IF($AH1778=0,G1777,SUMIFS(Data!$R$10:$R$3209,Data!$Q$10:$Q$3209,"&gt;="&amp;$A1778,Data!$Q$10:$Q$3209,"&lt;"&amp;$A1778+1)/$AH1778)))</f>
        <v/>
      </c>
      <c r="I1778" s="54">
        <f>IF($B1778=0,NA(),IF($C1778="",NA(),IF(C$8="",NA(),IF(N(C$8)=0,NA(),IF(Inputs!$C$17="Rebased to 100",$C1778/C$8*100,$C1778)))))</f>
        <v/>
      </c>
      <c r="J1778" s="54">
        <f>IF($B1778=0,NA(),IF($D1778="",NA(),IF(D$8="",NA(),IF(N(D$8)=0,NA(),IF(Inputs!$C$17="Rebased to 100",$D1778/D$8*100,$D1778)))))</f>
        <v/>
      </c>
      <c r="K1778" s="54">
        <f>IF($B1778=0,NA(),IF($E1778="",NA(),IF(E$8="",NA(),IF(N(E$8)=0,NA(),IF(Inputs!$C$17="Rebased to 100",$E1778/E$8*100,$E1778)))))</f>
        <v/>
      </c>
      <c r="L1778" s="54">
        <f>IF($B1778=0,NA(),IF($F1778="",NA(),IF(F$8="",NA(),IF(N(F$8)=0,NA(),IF(Inputs!$C$17="Rebased to 100",$F1778/F$8*100,$F1778)))))</f>
        <v/>
      </c>
      <c r="M1778" s="54">
        <f>IF($B1778=0,NA(),IF($G1778="",NA(),IF(G$8="",NA(),IF(N(G$8)=0,NA(),IF(Inputs!$C$17="Rebased to 100",$G1778/G$8*100,$G1778)))))</f>
        <v/>
      </c>
      <c r="N1778" s="54">
        <f>IF($B1778=0,NA(),IF(Inputs!$C$18&lt;&gt;"Yes",NA(),IF(COUNT(I1778,J1778,K1778,L1778,M1778)=0,NA(),MIN(I1778,J1778,K1778,L1778,M1778))))</f>
        <v/>
      </c>
      <c r="O1778" s="54">
        <f>IF($B1778=0,NA(),IF(Inputs!$B$24&lt;&gt;"Yes",NA(),Inputs!$D$24*Inputs!$C$35))</f>
        <v/>
      </c>
      <c r="P1778" s="54">
        <f>IF($B1778=0,NA(),IF(Inputs!$B$25&lt;&gt;"Yes",NA(),Inputs!$D$25*Inputs!$C$35))</f>
        <v/>
      </c>
      <c r="Q1778" s="54">
        <f>IF($B1778=0,NA(),IF(Inputs!$B$26&lt;&gt;"Yes",NA(),Inputs!$D$26*Inputs!$C$35))</f>
        <v/>
      </c>
      <c r="R1778" s="54">
        <f>IF($B1778=0,NA(),IF(Inputs!$B$27&lt;&gt;"Yes",NA(),Inputs!$D$27*Inputs!$C$35))</f>
        <v/>
      </c>
      <c r="S1778" s="54">
        <f>IF($B1778=0,NA(),IF(Inputs!$B$28&lt;&gt;"Yes",NA(),Inputs!$D$28*Inputs!$C$35))</f>
        <v/>
      </c>
      <c r="T1778" s="54">
        <f>IF($B1778=0,NA(),IF(Inputs!$B$29&lt;&gt;"Yes",NA(),Inputs!$D$29*Inputs!$C$35))</f>
        <v/>
      </c>
      <c r="AD1778">
        <f>IF($B1778=0,0,IF(Inputs!$B$6="",0,COUNTIFS(Data!$A$10:$A$3209,"&gt;="&amp;$A1778,Data!$A$10:$A$3209,"&lt;"&amp;$A1778+1)))</f>
        <v/>
      </c>
      <c r="AE1778">
        <f>IF($B1778=0,0,IF(Inputs!$B$7="",0,COUNTIFS(Data!$E$10:$E$3209,"&gt;="&amp;$A1778,Data!$E$10:$E$3209,"&lt;"&amp;$A1778+1)))</f>
        <v/>
      </c>
      <c r="AF1778">
        <f>IF($B1778=0,0,IF(Inputs!$B$8="",0,COUNTIFS(Data!$I$10:$I$3209,"&gt;="&amp;$A1778,Data!$I$10:$I$3209,"&lt;"&amp;$A1778+1)))</f>
        <v/>
      </c>
      <c r="AG1778">
        <f>IF($B1778=0,0,IF(Inputs!$B$9="",0,COUNTIFS(Data!$M$10:$M$3209,"&gt;="&amp;$A1778,Data!$M$10:$M$3209,"&lt;"&amp;$A1778+1)))</f>
        <v/>
      </c>
      <c r="AH1778">
        <f>IF($B1778=0,0,IF(Inputs!$B$10="",0,COUNTIFS(Data!$Q$10:$Q$3209,"&gt;="&amp;$A1778,Data!$Q$10:$Q$3209,"&lt;"&amp;$A1778+1)))</f>
        <v/>
      </c>
    </row>
    <row r="1779">
      <c r="A1779" s="55">
        <f>MIN(Inputs!$C$15,$A1778+IF(WEEKDAY($A1778,2)=5,3,1))</f>
        <v/>
      </c>
      <c r="B1779">
        <f>IF($A1779&gt;$A1778,1,0)</f>
        <v/>
      </c>
      <c r="C1779" s="56">
        <f>IF($B1779=0,"",IF(Inputs!$B$6="","",IF($AD1779=0,C1778,SUMIFS(Data!$B$10:$B$3209,Data!$A$10:$A$3209,"&gt;="&amp;$A1779,Data!$A$10:$A$3209,"&lt;"&amp;$A1779+1)/$AD1779)))</f>
        <v/>
      </c>
      <c r="D1779" s="56">
        <f>IF($B1779=0,"",IF(Inputs!$B$7="","",IF($AE1779=0,D1778,SUMIFS(Data!$F$10:$F$3209,Data!$E$10:$E$3209,"&gt;="&amp;$A1779,Data!$E$10:$E$3209,"&lt;"&amp;$A1779+1)/$AE1779)))</f>
        <v/>
      </c>
      <c r="E1779" s="56">
        <f>IF($B1779=0,"",IF(Inputs!$B$8="","",IF($AF1779=0,E1778,SUMIFS(Data!$J$10:$J$3209,Data!$I$10:$I$3209,"&gt;="&amp;$A1779,Data!$I$10:$I$3209,"&lt;"&amp;$A1779+1)/$AF1779)))</f>
        <v/>
      </c>
      <c r="F1779" s="56">
        <f>IF($B1779=0,"",IF(Inputs!$B$9="","",IF($AG1779=0,F1778,SUMIFS(Data!$N$10:$N$3209,Data!$M$10:$M$3209,"&gt;="&amp;$A1779,Data!$M$10:$M$3209,"&lt;"&amp;$A1779+1)/$AG1779)))</f>
        <v/>
      </c>
      <c r="G1779" s="56">
        <f>IF($B1779=0,"",IF(Inputs!$B$10="","",IF($AH1779=0,G1778,SUMIFS(Data!$R$10:$R$3209,Data!$Q$10:$Q$3209,"&gt;="&amp;$A1779,Data!$Q$10:$Q$3209,"&lt;"&amp;$A1779+1)/$AH1779)))</f>
        <v/>
      </c>
      <c r="I1779" s="54">
        <f>IF($B1779=0,NA(),IF($C1779="",NA(),IF(C$8="",NA(),IF(N(C$8)=0,NA(),IF(Inputs!$C$17="Rebased to 100",$C1779/C$8*100,$C1779)))))</f>
        <v/>
      </c>
      <c r="J1779" s="54">
        <f>IF($B1779=0,NA(),IF($D1779="",NA(),IF(D$8="",NA(),IF(N(D$8)=0,NA(),IF(Inputs!$C$17="Rebased to 100",$D1779/D$8*100,$D1779)))))</f>
        <v/>
      </c>
      <c r="K1779" s="54">
        <f>IF($B1779=0,NA(),IF($E1779="",NA(),IF(E$8="",NA(),IF(N(E$8)=0,NA(),IF(Inputs!$C$17="Rebased to 100",$E1779/E$8*100,$E1779)))))</f>
        <v/>
      </c>
      <c r="L1779" s="54">
        <f>IF($B1779=0,NA(),IF($F1779="",NA(),IF(F$8="",NA(),IF(N(F$8)=0,NA(),IF(Inputs!$C$17="Rebased to 100",$F1779/F$8*100,$F1779)))))</f>
        <v/>
      </c>
      <c r="M1779" s="54">
        <f>IF($B1779=0,NA(),IF($G1779="",NA(),IF(G$8="",NA(),IF(N(G$8)=0,NA(),IF(Inputs!$C$17="Rebased to 100",$G1779/G$8*100,$G1779)))))</f>
        <v/>
      </c>
      <c r="N1779" s="54">
        <f>IF($B1779=0,NA(),IF(Inputs!$C$18&lt;&gt;"Yes",NA(),IF(COUNT(I1779,J1779,K1779,L1779,M1779)=0,NA(),MIN(I1779,J1779,K1779,L1779,M1779))))</f>
        <v/>
      </c>
      <c r="O1779" s="54">
        <f>IF($B1779=0,NA(),IF(Inputs!$B$24&lt;&gt;"Yes",NA(),Inputs!$D$24*Inputs!$C$35))</f>
        <v/>
      </c>
      <c r="P1779" s="54">
        <f>IF($B1779=0,NA(),IF(Inputs!$B$25&lt;&gt;"Yes",NA(),Inputs!$D$25*Inputs!$C$35))</f>
        <v/>
      </c>
      <c r="Q1779" s="54">
        <f>IF($B1779=0,NA(),IF(Inputs!$B$26&lt;&gt;"Yes",NA(),Inputs!$D$26*Inputs!$C$35))</f>
        <v/>
      </c>
      <c r="R1779" s="54">
        <f>IF($B1779=0,NA(),IF(Inputs!$B$27&lt;&gt;"Yes",NA(),Inputs!$D$27*Inputs!$C$35))</f>
        <v/>
      </c>
      <c r="S1779" s="54">
        <f>IF($B1779=0,NA(),IF(Inputs!$B$28&lt;&gt;"Yes",NA(),Inputs!$D$28*Inputs!$C$35))</f>
        <v/>
      </c>
      <c r="T1779" s="54">
        <f>IF($B1779=0,NA(),IF(Inputs!$B$29&lt;&gt;"Yes",NA(),Inputs!$D$29*Inputs!$C$35))</f>
        <v/>
      </c>
      <c r="AD1779">
        <f>IF($B1779=0,0,IF(Inputs!$B$6="",0,COUNTIFS(Data!$A$10:$A$3209,"&gt;="&amp;$A1779,Data!$A$10:$A$3209,"&lt;"&amp;$A1779+1)))</f>
        <v/>
      </c>
      <c r="AE1779">
        <f>IF($B1779=0,0,IF(Inputs!$B$7="",0,COUNTIFS(Data!$E$10:$E$3209,"&gt;="&amp;$A1779,Data!$E$10:$E$3209,"&lt;"&amp;$A1779+1)))</f>
        <v/>
      </c>
      <c r="AF1779">
        <f>IF($B1779=0,0,IF(Inputs!$B$8="",0,COUNTIFS(Data!$I$10:$I$3209,"&gt;="&amp;$A1779,Data!$I$10:$I$3209,"&lt;"&amp;$A1779+1)))</f>
        <v/>
      </c>
      <c r="AG1779">
        <f>IF($B1779=0,0,IF(Inputs!$B$9="",0,COUNTIFS(Data!$M$10:$M$3209,"&gt;="&amp;$A1779,Data!$M$10:$M$3209,"&lt;"&amp;$A1779+1)))</f>
        <v/>
      </c>
      <c r="AH1779">
        <f>IF($B1779=0,0,IF(Inputs!$B$10="",0,COUNTIFS(Data!$Q$10:$Q$3209,"&gt;="&amp;$A1779,Data!$Q$10:$Q$3209,"&lt;"&amp;$A1779+1)))</f>
        <v/>
      </c>
    </row>
    <row r="1780">
      <c r="A1780" s="55">
        <f>MIN(Inputs!$C$15,$A1779+IF(WEEKDAY($A1779,2)=5,3,1))</f>
        <v/>
      </c>
      <c r="B1780">
        <f>IF($A1780&gt;$A1779,1,0)</f>
        <v/>
      </c>
      <c r="C1780" s="56">
        <f>IF($B1780=0,"",IF(Inputs!$B$6="","",IF($AD1780=0,C1779,SUMIFS(Data!$B$10:$B$3209,Data!$A$10:$A$3209,"&gt;="&amp;$A1780,Data!$A$10:$A$3209,"&lt;"&amp;$A1780+1)/$AD1780)))</f>
        <v/>
      </c>
      <c r="D1780" s="56">
        <f>IF($B1780=0,"",IF(Inputs!$B$7="","",IF($AE1780=0,D1779,SUMIFS(Data!$F$10:$F$3209,Data!$E$10:$E$3209,"&gt;="&amp;$A1780,Data!$E$10:$E$3209,"&lt;"&amp;$A1780+1)/$AE1780)))</f>
        <v/>
      </c>
      <c r="E1780" s="56">
        <f>IF($B1780=0,"",IF(Inputs!$B$8="","",IF($AF1780=0,E1779,SUMIFS(Data!$J$10:$J$3209,Data!$I$10:$I$3209,"&gt;="&amp;$A1780,Data!$I$10:$I$3209,"&lt;"&amp;$A1780+1)/$AF1780)))</f>
        <v/>
      </c>
      <c r="F1780" s="56">
        <f>IF($B1780=0,"",IF(Inputs!$B$9="","",IF($AG1780=0,F1779,SUMIFS(Data!$N$10:$N$3209,Data!$M$10:$M$3209,"&gt;="&amp;$A1780,Data!$M$10:$M$3209,"&lt;"&amp;$A1780+1)/$AG1780)))</f>
        <v/>
      </c>
      <c r="G1780" s="56">
        <f>IF($B1780=0,"",IF(Inputs!$B$10="","",IF($AH1780=0,G1779,SUMIFS(Data!$R$10:$R$3209,Data!$Q$10:$Q$3209,"&gt;="&amp;$A1780,Data!$Q$10:$Q$3209,"&lt;"&amp;$A1780+1)/$AH1780)))</f>
        <v/>
      </c>
      <c r="I1780" s="54">
        <f>IF($B1780=0,NA(),IF($C1780="",NA(),IF(C$8="",NA(),IF(N(C$8)=0,NA(),IF(Inputs!$C$17="Rebased to 100",$C1780/C$8*100,$C1780)))))</f>
        <v/>
      </c>
      <c r="J1780" s="54">
        <f>IF($B1780=0,NA(),IF($D1780="",NA(),IF(D$8="",NA(),IF(N(D$8)=0,NA(),IF(Inputs!$C$17="Rebased to 100",$D1780/D$8*100,$D1780)))))</f>
        <v/>
      </c>
      <c r="K1780" s="54">
        <f>IF($B1780=0,NA(),IF($E1780="",NA(),IF(E$8="",NA(),IF(N(E$8)=0,NA(),IF(Inputs!$C$17="Rebased to 100",$E1780/E$8*100,$E1780)))))</f>
        <v/>
      </c>
      <c r="L1780" s="54">
        <f>IF($B1780=0,NA(),IF($F1780="",NA(),IF(F$8="",NA(),IF(N(F$8)=0,NA(),IF(Inputs!$C$17="Rebased to 100",$F1780/F$8*100,$F1780)))))</f>
        <v/>
      </c>
      <c r="M1780" s="54">
        <f>IF($B1780=0,NA(),IF($G1780="",NA(),IF(G$8="",NA(),IF(N(G$8)=0,NA(),IF(Inputs!$C$17="Rebased to 100",$G1780/G$8*100,$G1780)))))</f>
        <v/>
      </c>
      <c r="N1780" s="54">
        <f>IF($B1780=0,NA(),IF(Inputs!$C$18&lt;&gt;"Yes",NA(),IF(COUNT(I1780,J1780,K1780,L1780,M1780)=0,NA(),MIN(I1780,J1780,K1780,L1780,M1780))))</f>
        <v/>
      </c>
      <c r="O1780" s="54">
        <f>IF($B1780=0,NA(),IF(Inputs!$B$24&lt;&gt;"Yes",NA(),Inputs!$D$24*Inputs!$C$35))</f>
        <v/>
      </c>
      <c r="P1780" s="54">
        <f>IF($B1780=0,NA(),IF(Inputs!$B$25&lt;&gt;"Yes",NA(),Inputs!$D$25*Inputs!$C$35))</f>
        <v/>
      </c>
      <c r="Q1780" s="54">
        <f>IF($B1780=0,NA(),IF(Inputs!$B$26&lt;&gt;"Yes",NA(),Inputs!$D$26*Inputs!$C$35))</f>
        <v/>
      </c>
      <c r="R1780" s="54">
        <f>IF($B1780=0,NA(),IF(Inputs!$B$27&lt;&gt;"Yes",NA(),Inputs!$D$27*Inputs!$C$35))</f>
        <v/>
      </c>
      <c r="S1780" s="54">
        <f>IF($B1780=0,NA(),IF(Inputs!$B$28&lt;&gt;"Yes",NA(),Inputs!$D$28*Inputs!$C$35))</f>
        <v/>
      </c>
      <c r="T1780" s="54">
        <f>IF($B1780=0,NA(),IF(Inputs!$B$29&lt;&gt;"Yes",NA(),Inputs!$D$29*Inputs!$C$35))</f>
        <v/>
      </c>
      <c r="AD1780">
        <f>IF($B1780=0,0,IF(Inputs!$B$6="",0,COUNTIFS(Data!$A$10:$A$3209,"&gt;="&amp;$A1780,Data!$A$10:$A$3209,"&lt;"&amp;$A1780+1)))</f>
        <v/>
      </c>
      <c r="AE1780">
        <f>IF($B1780=0,0,IF(Inputs!$B$7="",0,COUNTIFS(Data!$E$10:$E$3209,"&gt;="&amp;$A1780,Data!$E$10:$E$3209,"&lt;"&amp;$A1780+1)))</f>
        <v/>
      </c>
      <c r="AF1780">
        <f>IF($B1780=0,0,IF(Inputs!$B$8="",0,COUNTIFS(Data!$I$10:$I$3209,"&gt;="&amp;$A1780,Data!$I$10:$I$3209,"&lt;"&amp;$A1780+1)))</f>
        <v/>
      </c>
      <c r="AG1780">
        <f>IF($B1780=0,0,IF(Inputs!$B$9="",0,COUNTIFS(Data!$M$10:$M$3209,"&gt;="&amp;$A1780,Data!$M$10:$M$3209,"&lt;"&amp;$A1780+1)))</f>
        <v/>
      </c>
      <c r="AH1780">
        <f>IF($B1780=0,0,IF(Inputs!$B$10="",0,COUNTIFS(Data!$Q$10:$Q$3209,"&gt;="&amp;$A1780,Data!$Q$10:$Q$3209,"&lt;"&amp;$A1780+1)))</f>
        <v/>
      </c>
    </row>
    <row r="1781">
      <c r="A1781" s="55">
        <f>MIN(Inputs!$C$15,$A1780+IF(WEEKDAY($A1780,2)=5,3,1))</f>
        <v/>
      </c>
      <c r="B1781">
        <f>IF($A1781&gt;$A1780,1,0)</f>
        <v/>
      </c>
      <c r="C1781" s="56">
        <f>IF($B1781=0,"",IF(Inputs!$B$6="","",IF($AD1781=0,C1780,SUMIFS(Data!$B$10:$B$3209,Data!$A$10:$A$3209,"&gt;="&amp;$A1781,Data!$A$10:$A$3209,"&lt;"&amp;$A1781+1)/$AD1781)))</f>
        <v/>
      </c>
      <c r="D1781" s="56">
        <f>IF($B1781=0,"",IF(Inputs!$B$7="","",IF($AE1781=0,D1780,SUMIFS(Data!$F$10:$F$3209,Data!$E$10:$E$3209,"&gt;="&amp;$A1781,Data!$E$10:$E$3209,"&lt;"&amp;$A1781+1)/$AE1781)))</f>
        <v/>
      </c>
      <c r="E1781" s="56">
        <f>IF($B1781=0,"",IF(Inputs!$B$8="","",IF($AF1781=0,E1780,SUMIFS(Data!$J$10:$J$3209,Data!$I$10:$I$3209,"&gt;="&amp;$A1781,Data!$I$10:$I$3209,"&lt;"&amp;$A1781+1)/$AF1781)))</f>
        <v/>
      </c>
      <c r="F1781" s="56">
        <f>IF($B1781=0,"",IF(Inputs!$B$9="","",IF($AG1781=0,F1780,SUMIFS(Data!$N$10:$N$3209,Data!$M$10:$M$3209,"&gt;="&amp;$A1781,Data!$M$10:$M$3209,"&lt;"&amp;$A1781+1)/$AG1781)))</f>
        <v/>
      </c>
      <c r="G1781" s="56">
        <f>IF($B1781=0,"",IF(Inputs!$B$10="","",IF($AH1781=0,G1780,SUMIFS(Data!$R$10:$R$3209,Data!$Q$10:$Q$3209,"&gt;="&amp;$A1781,Data!$Q$10:$Q$3209,"&lt;"&amp;$A1781+1)/$AH1781)))</f>
        <v/>
      </c>
      <c r="I1781" s="54">
        <f>IF($B1781=0,NA(),IF($C1781="",NA(),IF(C$8="",NA(),IF(N(C$8)=0,NA(),IF(Inputs!$C$17="Rebased to 100",$C1781/C$8*100,$C1781)))))</f>
        <v/>
      </c>
      <c r="J1781" s="54">
        <f>IF($B1781=0,NA(),IF($D1781="",NA(),IF(D$8="",NA(),IF(N(D$8)=0,NA(),IF(Inputs!$C$17="Rebased to 100",$D1781/D$8*100,$D1781)))))</f>
        <v/>
      </c>
      <c r="K1781" s="54">
        <f>IF($B1781=0,NA(),IF($E1781="",NA(),IF(E$8="",NA(),IF(N(E$8)=0,NA(),IF(Inputs!$C$17="Rebased to 100",$E1781/E$8*100,$E1781)))))</f>
        <v/>
      </c>
      <c r="L1781" s="54">
        <f>IF($B1781=0,NA(),IF($F1781="",NA(),IF(F$8="",NA(),IF(N(F$8)=0,NA(),IF(Inputs!$C$17="Rebased to 100",$F1781/F$8*100,$F1781)))))</f>
        <v/>
      </c>
      <c r="M1781" s="54">
        <f>IF($B1781=0,NA(),IF($G1781="",NA(),IF(G$8="",NA(),IF(N(G$8)=0,NA(),IF(Inputs!$C$17="Rebased to 100",$G1781/G$8*100,$G1781)))))</f>
        <v/>
      </c>
      <c r="N1781" s="54">
        <f>IF($B1781=0,NA(),IF(Inputs!$C$18&lt;&gt;"Yes",NA(),IF(COUNT(I1781,J1781,K1781,L1781,M1781)=0,NA(),MIN(I1781,J1781,K1781,L1781,M1781))))</f>
        <v/>
      </c>
      <c r="O1781" s="54">
        <f>IF($B1781=0,NA(),IF(Inputs!$B$24&lt;&gt;"Yes",NA(),Inputs!$D$24*Inputs!$C$35))</f>
        <v/>
      </c>
      <c r="P1781" s="54">
        <f>IF($B1781=0,NA(),IF(Inputs!$B$25&lt;&gt;"Yes",NA(),Inputs!$D$25*Inputs!$C$35))</f>
        <v/>
      </c>
      <c r="Q1781" s="54">
        <f>IF($B1781=0,NA(),IF(Inputs!$B$26&lt;&gt;"Yes",NA(),Inputs!$D$26*Inputs!$C$35))</f>
        <v/>
      </c>
      <c r="R1781" s="54">
        <f>IF($B1781=0,NA(),IF(Inputs!$B$27&lt;&gt;"Yes",NA(),Inputs!$D$27*Inputs!$C$35))</f>
        <v/>
      </c>
      <c r="S1781" s="54">
        <f>IF($B1781=0,NA(),IF(Inputs!$B$28&lt;&gt;"Yes",NA(),Inputs!$D$28*Inputs!$C$35))</f>
        <v/>
      </c>
      <c r="T1781" s="54">
        <f>IF($B1781=0,NA(),IF(Inputs!$B$29&lt;&gt;"Yes",NA(),Inputs!$D$29*Inputs!$C$35))</f>
        <v/>
      </c>
      <c r="AD1781">
        <f>IF($B1781=0,0,IF(Inputs!$B$6="",0,COUNTIFS(Data!$A$10:$A$3209,"&gt;="&amp;$A1781,Data!$A$10:$A$3209,"&lt;"&amp;$A1781+1)))</f>
        <v/>
      </c>
      <c r="AE1781">
        <f>IF($B1781=0,0,IF(Inputs!$B$7="",0,COUNTIFS(Data!$E$10:$E$3209,"&gt;="&amp;$A1781,Data!$E$10:$E$3209,"&lt;"&amp;$A1781+1)))</f>
        <v/>
      </c>
      <c r="AF1781">
        <f>IF($B1781=0,0,IF(Inputs!$B$8="",0,COUNTIFS(Data!$I$10:$I$3209,"&gt;="&amp;$A1781,Data!$I$10:$I$3209,"&lt;"&amp;$A1781+1)))</f>
        <v/>
      </c>
      <c r="AG1781">
        <f>IF($B1781=0,0,IF(Inputs!$B$9="",0,COUNTIFS(Data!$M$10:$M$3209,"&gt;="&amp;$A1781,Data!$M$10:$M$3209,"&lt;"&amp;$A1781+1)))</f>
        <v/>
      </c>
      <c r="AH1781">
        <f>IF($B1781=0,0,IF(Inputs!$B$10="",0,COUNTIFS(Data!$Q$10:$Q$3209,"&gt;="&amp;$A1781,Data!$Q$10:$Q$3209,"&lt;"&amp;$A1781+1)))</f>
        <v/>
      </c>
    </row>
    <row r="1782">
      <c r="A1782" s="55">
        <f>MIN(Inputs!$C$15,$A1781+IF(WEEKDAY($A1781,2)=5,3,1))</f>
        <v/>
      </c>
      <c r="B1782">
        <f>IF($A1782&gt;$A1781,1,0)</f>
        <v/>
      </c>
      <c r="C1782" s="56">
        <f>IF($B1782=0,"",IF(Inputs!$B$6="","",IF($AD1782=0,C1781,SUMIFS(Data!$B$10:$B$3209,Data!$A$10:$A$3209,"&gt;="&amp;$A1782,Data!$A$10:$A$3209,"&lt;"&amp;$A1782+1)/$AD1782)))</f>
        <v/>
      </c>
      <c r="D1782" s="56">
        <f>IF($B1782=0,"",IF(Inputs!$B$7="","",IF($AE1782=0,D1781,SUMIFS(Data!$F$10:$F$3209,Data!$E$10:$E$3209,"&gt;="&amp;$A1782,Data!$E$10:$E$3209,"&lt;"&amp;$A1782+1)/$AE1782)))</f>
        <v/>
      </c>
      <c r="E1782" s="56">
        <f>IF($B1782=0,"",IF(Inputs!$B$8="","",IF($AF1782=0,E1781,SUMIFS(Data!$J$10:$J$3209,Data!$I$10:$I$3209,"&gt;="&amp;$A1782,Data!$I$10:$I$3209,"&lt;"&amp;$A1782+1)/$AF1782)))</f>
        <v/>
      </c>
      <c r="F1782" s="56">
        <f>IF($B1782=0,"",IF(Inputs!$B$9="","",IF($AG1782=0,F1781,SUMIFS(Data!$N$10:$N$3209,Data!$M$10:$M$3209,"&gt;="&amp;$A1782,Data!$M$10:$M$3209,"&lt;"&amp;$A1782+1)/$AG1782)))</f>
        <v/>
      </c>
      <c r="G1782" s="56">
        <f>IF($B1782=0,"",IF(Inputs!$B$10="","",IF($AH1782=0,G1781,SUMIFS(Data!$R$10:$R$3209,Data!$Q$10:$Q$3209,"&gt;="&amp;$A1782,Data!$Q$10:$Q$3209,"&lt;"&amp;$A1782+1)/$AH1782)))</f>
        <v/>
      </c>
      <c r="I1782" s="54">
        <f>IF($B1782=0,NA(),IF($C1782="",NA(),IF(C$8="",NA(),IF(N(C$8)=0,NA(),IF(Inputs!$C$17="Rebased to 100",$C1782/C$8*100,$C1782)))))</f>
        <v/>
      </c>
      <c r="J1782" s="54">
        <f>IF($B1782=0,NA(),IF($D1782="",NA(),IF(D$8="",NA(),IF(N(D$8)=0,NA(),IF(Inputs!$C$17="Rebased to 100",$D1782/D$8*100,$D1782)))))</f>
        <v/>
      </c>
      <c r="K1782" s="54">
        <f>IF($B1782=0,NA(),IF($E1782="",NA(),IF(E$8="",NA(),IF(N(E$8)=0,NA(),IF(Inputs!$C$17="Rebased to 100",$E1782/E$8*100,$E1782)))))</f>
        <v/>
      </c>
      <c r="L1782" s="54">
        <f>IF($B1782=0,NA(),IF($F1782="",NA(),IF(F$8="",NA(),IF(N(F$8)=0,NA(),IF(Inputs!$C$17="Rebased to 100",$F1782/F$8*100,$F1782)))))</f>
        <v/>
      </c>
      <c r="M1782" s="54">
        <f>IF($B1782=0,NA(),IF($G1782="",NA(),IF(G$8="",NA(),IF(N(G$8)=0,NA(),IF(Inputs!$C$17="Rebased to 100",$G1782/G$8*100,$G1782)))))</f>
        <v/>
      </c>
      <c r="N1782" s="54">
        <f>IF($B1782=0,NA(),IF(Inputs!$C$18&lt;&gt;"Yes",NA(),IF(COUNT(I1782,J1782,K1782,L1782,M1782)=0,NA(),MIN(I1782,J1782,K1782,L1782,M1782))))</f>
        <v/>
      </c>
      <c r="O1782" s="54">
        <f>IF($B1782=0,NA(),IF(Inputs!$B$24&lt;&gt;"Yes",NA(),Inputs!$D$24*Inputs!$C$35))</f>
        <v/>
      </c>
      <c r="P1782" s="54">
        <f>IF($B1782=0,NA(),IF(Inputs!$B$25&lt;&gt;"Yes",NA(),Inputs!$D$25*Inputs!$C$35))</f>
        <v/>
      </c>
      <c r="Q1782" s="54">
        <f>IF($B1782=0,NA(),IF(Inputs!$B$26&lt;&gt;"Yes",NA(),Inputs!$D$26*Inputs!$C$35))</f>
        <v/>
      </c>
      <c r="R1782" s="54">
        <f>IF($B1782=0,NA(),IF(Inputs!$B$27&lt;&gt;"Yes",NA(),Inputs!$D$27*Inputs!$C$35))</f>
        <v/>
      </c>
      <c r="S1782" s="54">
        <f>IF($B1782=0,NA(),IF(Inputs!$B$28&lt;&gt;"Yes",NA(),Inputs!$D$28*Inputs!$C$35))</f>
        <v/>
      </c>
      <c r="T1782" s="54">
        <f>IF($B1782=0,NA(),IF(Inputs!$B$29&lt;&gt;"Yes",NA(),Inputs!$D$29*Inputs!$C$35))</f>
        <v/>
      </c>
      <c r="AD1782">
        <f>IF($B1782=0,0,IF(Inputs!$B$6="",0,COUNTIFS(Data!$A$10:$A$3209,"&gt;="&amp;$A1782,Data!$A$10:$A$3209,"&lt;"&amp;$A1782+1)))</f>
        <v/>
      </c>
      <c r="AE1782">
        <f>IF($B1782=0,0,IF(Inputs!$B$7="",0,COUNTIFS(Data!$E$10:$E$3209,"&gt;="&amp;$A1782,Data!$E$10:$E$3209,"&lt;"&amp;$A1782+1)))</f>
        <v/>
      </c>
      <c r="AF1782">
        <f>IF($B1782=0,0,IF(Inputs!$B$8="",0,COUNTIFS(Data!$I$10:$I$3209,"&gt;="&amp;$A1782,Data!$I$10:$I$3209,"&lt;"&amp;$A1782+1)))</f>
        <v/>
      </c>
      <c r="AG1782">
        <f>IF($B1782=0,0,IF(Inputs!$B$9="",0,COUNTIFS(Data!$M$10:$M$3209,"&gt;="&amp;$A1782,Data!$M$10:$M$3209,"&lt;"&amp;$A1782+1)))</f>
        <v/>
      </c>
      <c r="AH1782">
        <f>IF($B1782=0,0,IF(Inputs!$B$10="",0,COUNTIFS(Data!$Q$10:$Q$3209,"&gt;="&amp;$A1782,Data!$Q$10:$Q$3209,"&lt;"&amp;$A1782+1)))</f>
        <v/>
      </c>
    </row>
    <row r="1783">
      <c r="A1783" s="55">
        <f>MIN(Inputs!$C$15,$A1782+IF(WEEKDAY($A1782,2)=5,3,1))</f>
        <v/>
      </c>
      <c r="B1783">
        <f>IF($A1783&gt;$A1782,1,0)</f>
        <v/>
      </c>
      <c r="C1783" s="56">
        <f>IF($B1783=0,"",IF(Inputs!$B$6="","",IF($AD1783=0,C1782,SUMIFS(Data!$B$10:$B$3209,Data!$A$10:$A$3209,"&gt;="&amp;$A1783,Data!$A$10:$A$3209,"&lt;"&amp;$A1783+1)/$AD1783)))</f>
        <v/>
      </c>
      <c r="D1783" s="56">
        <f>IF($B1783=0,"",IF(Inputs!$B$7="","",IF($AE1783=0,D1782,SUMIFS(Data!$F$10:$F$3209,Data!$E$10:$E$3209,"&gt;="&amp;$A1783,Data!$E$10:$E$3209,"&lt;"&amp;$A1783+1)/$AE1783)))</f>
        <v/>
      </c>
      <c r="E1783" s="56">
        <f>IF($B1783=0,"",IF(Inputs!$B$8="","",IF($AF1783=0,E1782,SUMIFS(Data!$J$10:$J$3209,Data!$I$10:$I$3209,"&gt;="&amp;$A1783,Data!$I$10:$I$3209,"&lt;"&amp;$A1783+1)/$AF1783)))</f>
        <v/>
      </c>
      <c r="F1783" s="56">
        <f>IF($B1783=0,"",IF(Inputs!$B$9="","",IF($AG1783=0,F1782,SUMIFS(Data!$N$10:$N$3209,Data!$M$10:$M$3209,"&gt;="&amp;$A1783,Data!$M$10:$M$3209,"&lt;"&amp;$A1783+1)/$AG1783)))</f>
        <v/>
      </c>
      <c r="G1783" s="56">
        <f>IF($B1783=0,"",IF(Inputs!$B$10="","",IF($AH1783=0,G1782,SUMIFS(Data!$R$10:$R$3209,Data!$Q$10:$Q$3209,"&gt;="&amp;$A1783,Data!$Q$10:$Q$3209,"&lt;"&amp;$A1783+1)/$AH1783)))</f>
        <v/>
      </c>
      <c r="I1783" s="54">
        <f>IF($B1783=0,NA(),IF($C1783="",NA(),IF(C$8="",NA(),IF(N(C$8)=0,NA(),IF(Inputs!$C$17="Rebased to 100",$C1783/C$8*100,$C1783)))))</f>
        <v/>
      </c>
      <c r="J1783" s="54">
        <f>IF($B1783=0,NA(),IF($D1783="",NA(),IF(D$8="",NA(),IF(N(D$8)=0,NA(),IF(Inputs!$C$17="Rebased to 100",$D1783/D$8*100,$D1783)))))</f>
        <v/>
      </c>
      <c r="K1783" s="54">
        <f>IF($B1783=0,NA(),IF($E1783="",NA(),IF(E$8="",NA(),IF(N(E$8)=0,NA(),IF(Inputs!$C$17="Rebased to 100",$E1783/E$8*100,$E1783)))))</f>
        <v/>
      </c>
      <c r="L1783" s="54">
        <f>IF($B1783=0,NA(),IF($F1783="",NA(),IF(F$8="",NA(),IF(N(F$8)=0,NA(),IF(Inputs!$C$17="Rebased to 100",$F1783/F$8*100,$F1783)))))</f>
        <v/>
      </c>
      <c r="M1783" s="54">
        <f>IF($B1783=0,NA(),IF($G1783="",NA(),IF(G$8="",NA(),IF(N(G$8)=0,NA(),IF(Inputs!$C$17="Rebased to 100",$G1783/G$8*100,$G1783)))))</f>
        <v/>
      </c>
      <c r="N1783" s="54">
        <f>IF($B1783=0,NA(),IF(Inputs!$C$18&lt;&gt;"Yes",NA(),IF(COUNT(I1783,J1783,K1783,L1783,M1783)=0,NA(),MIN(I1783,J1783,K1783,L1783,M1783))))</f>
        <v/>
      </c>
      <c r="O1783" s="54">
        <f>IF($B1783=0,NA(),IF(Inputs!$B$24&lt;&gt;"Yes",NA(),Inputs!$D$24*Inputs!$C$35))</f>
        <v/>
      </c>
      <c r="P1783" s="54">
        <f>IF($B1783=0,NA(),IF(Inputs!$B$25&lt;&gt;"Yes",NA(),Inputs!$D$25*Inputs!$C$35))</f>
        <v/>
      </c>
      <c r="Q1783" s="54">
        <f>IF($B1783=0,NA(),IF(Inputs!$B$26&lt;&gt;"Yes",NA(),Inputs!$D$26*Inputs!$C$35))</f>
        <v/>
      </c>
      <c r="R1783" s="54">
        <f>IF($B1783=0,NA(),IF(Inputs!$B$27&lt;&gt;"Yes",NA(),Inputs!$D$27*Inputs!$C$35))</f>
        <v/>
      </c>
      <c r="S1783" s="54">
        <f>IF($B1783=0,NA(),IF(Inputs!$B$28&lt;&gt;"Yes",NA(),Inputs!$D$28*Inputs!$C$35))</f>
        <v/>
      </c>
      <c r="T1783" s="54">
        <f>IF($B1783=0,NA(),IF(Inputs!$B$29&lt;&gt;"Yes",NA(),Inputs!$D$29*Inputs!$C$35))</f>
        <v/>
      </c>
      <c r="AD1783">
        <f>IF($B1783=0,0,IF(Inputs!$B$6="",0,COUNTIFS(Data!$A$10:$A$3209,"&gt;="&amp;$A1783,Data!$A$10:$A$3209,"&lt;"&amp;$A1783+1)))</f>
        <v/>
      </c>
      <c r="AE1783">
        <f>IF($B1783=0,0,IF(Inputs!$B$7="",0,COUNTIFS(Data!$E$10:$E$3209,"&gt;="&amp;$A1783,Data!$E$10:$E$3209,"&lt;"&amp;$A1783+1)))</f>
        <v/>
      </c>
      <c r="AF1783">
        <f>IF($B1783=0,0,IF(Inputs!$B$8="",0,COUNTIFS(Data!$I$10:$I$3209,"&gt;="&amp;$A1783,Data!$I$10:$I$3209,"&lt;"&amp;$A1783+1)))</f>
        <v/>
      </c>
      <c r="AG1783">
        <f>IF($B1783=0,0,IF(Inputs!$B$9="",0,COUNTIFS(Data!$M$10:$M$3209,"&gt;="&amp;$A1783,Data!$M$10:$M$3209,"&lt;"&amp;$A1783+1)))</f>
        <v/>
      </c>
      <c r="AH1783">
        <f>IF($B1783=0,0,IF(Inputs!$B$10="",0,COUNTIFS(Data!$Q$10:$Q$3209,"&gt;="&amp;$A1783,Data!$Q$10:$Q$3209,"&lt;"&amp;$A1783+1)))</f>
        <v/>
      </c>
    </row>
    <row r="1784">
      <c r="A1784" s="55">
        <f>MIN(Inputs!$C$15,$A1783+IF(WEEKDAY($A1783,2)=5,3,1))</f>
        <v/>
      </c>
      <c r="B1784">
        <f>IF($A1784&gt;$A1783,1,0)</f>
        <v/>
      </c>
      <c r="C1784" s="56">
        <f>IF($B1784=0,"",IF(Inputs!$B$6="","",IF($AD1784=0,C1783,SUMIFS(Data!$B$10:$B$3209,Data!$A$10:$A$3209,"&gt;="&amp;$A1784,Data!$A$10:$A$3209,"&lt;"&amp;$A1784+1)/$AD1784)))</f>
        <v/>
      </c>
      <c r="D1784" s="56">
        <f>IF($B1784=0,"",IF(Inputs!$B$7="","",IF($AE1784=0,D1783,SUMIFS(Data!$F$10:$F$3209,Data!$E$10:$E$3209,"&gt;="&amp;$A1784,Data!$E$10:$E$3209,"&lt;"&amp;$A1784+1)/$AE1784)))</f>
        <v/>
      </c>
      <c r="E1784" s="56">
        <f>IF($B1784=0,"",IF(Inputs!$B$8="","",IF($AF1784=0,E1783,SUMIFS(Data!$J$10:$J$3209,Data!$I$10:$I$3209,"&gt;="&amp;$A1784,Data!$I$10:$I$3209,"&lt;"&amp;$A1784+1)/$AF1784)))</f>
        <v/>
      </c>
      <c r="F1784" s="56">
        <f>IF($B1784=0,"",IF(Inputs!$B$9="","",IF($AG1784=0,F1783,SUMIFS(Data!$N$10:$N$3209,Data!$M$10:$M$3209,"&gt;="&amp;$A1784,Data!$M$10:$M$3209,"&lt;"&amp;$A1784+1)/$AG1784)))</f>
        <v/>
      </c>
      <c r="G1784" s="56">
        <f>IF($B1784=0,"",IF(Inputs!$B$10="","",IF($AH1784=0,G1783,SUMIFS(Data!$R$10:$R$3209,Data!$Q$10:$Q$3209,"&gt;="&amp;$A1784,Data!$Q$10:$Q$3209,"&lt;"&amp;$A1784+1)/$AH1784)))</f>
        <v/>
      </c>
      <c r="I1784" s="54">
        <f>IF($B1784=0,NA(),IF($C1784="",NA(),IF(C$8="",NA(),IF(N(C$8)=0,NA(),IF(Inputs!$C$17="Rebased to 100",$C1784/C$8*100,$C1784)))))</f>
        <v/>
      </c>
      <c r="J1784" s="54">
        <f>IF($B1784=0,NA(),IF($D1784="",NA(),IF(D$8="",NA(),IF(N(D$8)=0,NA(),IF(Inputs!$C$17="Rebased to 100",$D1784/D$8*100,$D1784)))))</f>
        <v/>
      </c>
      <c r="K1784" s="54">
        <f>IF($B1784=0,NA(),IF($E1784="",NA(),IF(E$8="",NA(),IF(N(E$8)=0,NA(),IF(Inputs!$C$17="Rebased to 100",$E1784/E$8*100,$E1784)))))</f>
        <v/>
      </c>
      <c r="L1784" s="54">
        <f>IF($B1784=0,NA(),IF($F1784="",NA(),IF(F$8="",NA(),IF(N(F$8)=0,NA(),IF(Inputs!$C$17="Rebased to 100",$F1784/F$8*100,$F1784)))))</f>
        <v/>
      </c>
      <c r="M1784" s="54">
        <f>IF($B1784=0,NA(),IF($G1784="",NA(),IF(G$8="",NA(),IF(N(G$8)=0,NA(),IF(Inputs!$C$17="Rebased to 100",$G1784/G$8*100,$G1784)))))</f>
        <v/>
      </c>
      <c r="N1784" s="54">
        <f>IF($B1784=0,NA(),IF(Inputs!$C$18&lt;&gt;"Yes",NA(),IF(COUNT(I1784,J1784,K1784,L1784,M1784)=0,NA(),MIN(I1784,J1784,K1784,L1784,M1784))))</f>
        <v/>
      </c>
      <c r="O1784" s="54">
        <f>IF($B1784=0,NA(),IF(Inputs!$B$24&lt;&gt;"Yes",NA(),Inputs!$D$24*Inputs!$C$35))</f>
        <v/>
      </c>
      <c r="P1784" s="54">
        <f>IF($B1784=0,NA(),IF(Inputs!$B$25&lt;&gt;"Yes",NA(),Inputs!$D$25*Inputs!$C$35))</f>
        <v/>
      </c>
      <c r="Q1784" s="54">
        <f>IF($B1784=0,NA(),IF(Inputs!$B$26&lt;&gt;"Yes",NA(),Inputs!$D$26*Inputs!$C$35))</f>
        <v/>
      </c>
      <c r="R1784" s="54">
        <f>IF($B1784=0,NA(),IF(Inputs!$B$27&lt;&gt;"Yes",NA(),Inputs!$D$27*Inputs!$C$35))</f>
        <v/>
      </c>
      <c r="S1784" s="54">
        <f>IF($B1784=0,NA(),IF(Inputs!$B$28&lt;&gt;"Yes",NA(),Inputs!$D$28*Inputs!$C$35))</f>
        <v/>
      </c>
      <c r="T1784" s="54">
        <f>IF($B1784=0,NA(),IF(Inputs!$B$29&lt;&gt;"Yes",NA(),Inputs!$D$29*Inputs!$C$35))</f>
        <v/>
      </c>
      <c r="AD1784">
        <f>IF($B1784=0,0,IF(Inputs!$B$6="",0,COUNTIFS(Data!$A$10:$A$3209,"&gt;="&amp;$A1784,Data!$A$10:$A$3209,"&lt;"&amp;$A1784+1)))</f>
        <v/>
      </c>
      <c r="AE1784">
        <f>IF($B1784=0,0,IF(Inputs!$B$7="",0,COUNTIFS(Data!$E$10:$E$3209,"&gt;="&amp;$A1784,Data!$E$10:$E$3209,"&lt;"&amp;$A1784+1)))</f>
        <v/>
      </c>
      <c r="AF1784">
        <f>IF($B1784=0,0,IF(Inputs!$B$8="",0,COUNTIFS(Data!$I$10:$I$3209,"&gt;="&amp;$A1784,Data!$I$10:$I$3209,"&lt;"&amp;$A1784+1)))</f>
        <v/>
      </c>
      <c r="AG1784">
        <f>IF($B1784=0,0,IF(Inputs!$B$9="",0,COUNTIFS(Data!$M$10:$M$3209,"&gt;="&amp;$A1784,Data!$M$10:$M$3209,"&lt;"&amp;$A1784+1)))</f>
        <v/>
      </c>
      <c r="AH1784">
        <f>IF($B1784=0,0,IF(Inputs!$B$10="",0,COUNTIFS(Data!$Q$10:$Q$3209,"&gt;="&amp;$A1784,Data!$Q$10:$Q$3209,"&lt;"&amp;$A1784+1)))</f>
        <v/>
      </c>
    </row>
    <row r="1785">
      <c r="A1785" s="55">
        <f>MIN(Inputs!$C$15,$A1784+IF(WEEKDAY($A1784,2)=5,3,1))</f>
        <v/>
      </c>
      <c r="B1785">
        <f>IF($A1785&gt;$A1784,1,0)</f>
        <v/>
      </c>
      <c r="C1785" s="56">
        <f>IF($B1785=0,"",IF(Inputs!$B$6="","",IF($AD1785=0,C1784,SUMIFS(Data!$B$10:$B$3209,Data!$A$10:$A$3209,"&gt;="&amp;$A1785,Data!$A$10:$A$3209,"&lt;"&amp;$A1785+1)/$AD1785)))</f>
        <v/>
      </c>
      <c r="D1785" s="56">
        <f>IF($B1785=0,"",IF(Inputs!$B$7="","",IF($AE1785=0,D1784,SUMIFS(Data!$F$10:$F$3209,Data!$E$10:$E$3209,"&gt;="&amp;$A1785,Data!$E$10:$E$3209,"&lt;"&amp;$A1785+1)/$AE1785)))</f>
        <v/>
      </c>
      <c r="E1785" s="56">
        <f>IF($B1785=0,"",IF(Inputs!$B$8="","",IF($AF1785=0,E1784,SUMIFS(Data!$J$10:$J$3209,Data!$I$10:$I$3209,"&gt;="&amp;$A1785,Data!$I$10:$I$3209,"&lt;"&amp;$A1785+1)/$AF1785)))</f>
        <v/>
      </c>
      <c r="F1785" s="56">
        <f>IF($B1785=0,"",IF(Inputs!$B$9="","",IF($AG1785=0,F1784,SUMIFS(Data!$N$10:$N$3209,Data!$M$10:$M$3209,"&gt;="&amp;$A1785,Data!$M$10:$M$3209,"&lt;"&amp;$A1785+1)/$AG1785)))</f>
        <v/>
      </c>
      <c r="G1785" s="56">
        <f>IF($B1785=0,"",IF(Inputs!$B$10="","",IF($AH1785=0,G1784,SUMIFS(Data!$R$10:$R$3209,Data!$Q$10:$Q$3209,"&gt;="&amp;$A1785,Data!$Q$10:$Q$3209,"&lt;"&amp;$A1785+1)/$AH1785)))</f>
        <v/>
      </c>
      <c r="I1785" s="54">
        <f>IF($B1785=0,NA(),IF($C1785="",NA(),IF(C$8="",NA(),IF(N(C$8)=0,NA(),IF(Inputs!$C$17="Rebased to 100",$C1785/C$8*100,$C1785)))))</f>
        <v/>
      </c>
      <c r="J1785" s="54">
        <f>IF($B1785=0,NA(),IF($D1785="",NA(),IF(D$8="",NA(),IF(N(D$8)=0,NA(),IF(Inputs!$C$17="Rebased to 100",$D1785/D$8*100,$D1785)))))</f>
        <v/>
      </c>
      <c r="K1785" s="54">
        <f>IF($B1785=0,NA(),IF($E1785="",NA(),IF(E$8="",NA(),IF(N(E$8)=0,NA(),IF(Inputs!$C$17="Rebased to 100",$E1785/E$8*100,$E1785)))))</f>
        <v/>
      </c>
      <c r="L1785" s="54">
        <f>IF($B1785=0,NA(),IF($F1785="",NA(),IF(F$8="",NA(),IF(N(F$8)=0,NA(),IF(Inputs!$C$17="Rebased to 100",$F1785/F$8*100,$F1785)))))</f>
        <v/>
      </c>
      <c r="M1785" s="54">
        <f>IF($B1785=0,NA(),IF($G1785="",NA(),IF(G$8="",NA(),IF(N(G$8)=0,NA(),IF(Inputs!$C$17="Rebased to 100",$G1785/G$8*100,$G1785)))))</f>
        <v/>
      </c>
      <c r="N1785" s="54">
        <f>IF($B1785=0,NA(),IF(Inputs!$C$18&lt;&gt;"Yes",NA(),IF(COUNT(I1785,J1785,K1785,L1785,M1785)=0,NA(),MIN(I1785,J1785,K1785,L1785,M1785))))</f>
        <v/>
      </c>
      <c r="O1785" s="54">
        <f>IF($B1785=0,NA(),IF(Inputs!$B$24&lt;&gt;"Yes",NA(),Inputs!$D$24*Inputs!$C$35))</f>
        <v/>
      </c>
      <c r="P1785" s="54">
        <f>IF($B1785=0,NA(),IF(Inputs!$B$25&lt;&gt;"Yes",NA(),Inputs!$D$25*Inputs!$C$35))</f>
        <v/>
      </c>
      <c r="Q1785" s="54">
        <f>IF($B1785=0,NA(),IF(Inputs!$B$26&lt;&gt;"Yes",NA(),Inputs!$D$26*Inputs!$C$35))</f>
        <v/>
      </c>
      <c r="R1785" s="54">
        <f>IF($B1785=0,NA(),IF(Inputs!$B$27&lt;&gt;"Yes",NA(),Inputs!$D$27*Inputs!$C$35))</f>
        <v/>
      </c>
      <c r="S1785" s="54">
        <f>IF($B1785=0,NA(),IF(Inputs!$B$28&lt;&gt;"Yes",NA(),Inputs!$D$28*Inputs!$C$35))</f>
        <v/>
      </c>
      <c r="T1785" s="54">
        <f>IF($B1785=0,NA(),IF(Inputs!$B$29&lt;&gt;"Yes",NA(),Inputs!$D$29*Inputs!$C$35))</f>
        <v/>
      </c>
      <c r="AD1785">
        <f>IF($B1785=0,0,IF(Inputs!$B$6="",0,COUNTIFS(Data!$A$10:$A$3209,"&gt;="&amp;$A1785,Data!$A$10:$A$3209,"&lt;"&amp;$A1785+1)))</f>
        <v/>
      </c>
      <c r="AE1785">
        <f>IF($B1785=0,0,IF(Inputs!$B$7="",0,COUNTIFS(Data!$E$10:$E$3209,"&gt;="&amp;$A1785,Data!$E$10:$E$3209,"&lt;"&amp;$A1785+1)))</f>
        <v/>
      </c>
      <c r="AF1785">
        <f>IF($B1785=0,0,IF(Inputs!$B$8="",0,COUNTIFS(Data!$I$10:$I$3209,"&gt;="&amp;$A1785,Data!$I$10:$I$3209,"&lt;"&amp;$A1785+1)))</f>
        <v/>
      </c>
      <c r="AG1785">
        <f>IF($B1785=0,0,IF(Inputs!$B$9="",0,COUNTIFS(Data!$M$10:$M$3209,"&gt;="&amp;$A1785,Data!$M$10:$M$3209,"&lt;"&amp;$A1785+1)))</f>
        <v/>
      </c>
      <c r="AH1785">
        <f>IF($B1785=0,0,IF(Inputs!$B$10="",0,COUNTIFS(Data!$Q$10:$Q$3209,"&gt;="&amp;$A1785,Data!$Q$10:$Q$3209,"&lt;"&amp;$A1785+1)))</f>
        <v/>
      </c>
    </row>
    <row r="1786">
      <c r="A1786" s="55">
        <f>MIN(Inputs!$C$15,$A1785+IF(WEEKDAY($A1785,2)=5,3,1))</f>
        <v/>
      </c>
      <c r="B1786">
        <f>IF($A1786&gt;$A1785,1,0)</f>
        <v/>
      </c>
      <c r="C1786" s="56">
        <f>IF($B1786=0,"",IF(Inputs!$B$6="","",IF($AD1786=0,C1785,SUMIFS(Data!$B$10:$B$3209,Data!$A$10:$A$3209,"&gt;="&amp;$A1786,Data!$A$10:$A$3209,"&lt;"&amp;$A1786+1)/$AD1786)))</f>
        <v/>
      </c>
      <c r="D1786" s="56">
        <f>IF($B1786=0,"",IF(Inputs!$B$7="","",IF($AE1786=0,D1785,SUMIFS(Data!$F$10:$F$3209,Data!$E$10:$E$3209,"&gt;="&amp;$A1786,Data!$E$10:$E$3209,"&lt;"&amp;$A1786+1)/$AE1786)))</f>
        <v/>
      </c>
      <c r="E1786" s="56">
        <f>IF($B1786=0,"",IF(Inputs!$B$8="","",IF($AF1786=0,E1785,SUMIFS(Data!$J$10:$J$3209,Data!$I$10:$I$3209,"&gt;="&amp;$A1786,Data!$I$10:$I$3209,"&lt;"&amp;$A1786+1)/$AF1786)))</f>
        <v/>
      </c>
      <c r="F1786" s="56">
        <f>IF($B1786=0,"",IF(Inputs!$B$9="","",IF($AG1786=0,F1785,SUMIFS(Data!$N$10:$N$3209,Data!$M$10:$M$3209,"&gt;="&amp;$A1786,Data!$M$10:$M$3209,"&lt;"&amp;$A1786+1)/$AG1786)))</f>
        <v/>
      </c>
      <c r="G1786" s="56">
        <f>IF($B1786=0,"",IF(Inputs!$B$10="","",IF($AH1786=0,G1785,SUMIFS(Data!$R$10:$R$3209,Data!$Q$10:$Q$3209,"&gt;="&amp;$A1786,Data!$Q$10:$Q$3209,"&lt;"&amp;$A1786+1)/$AH1786)))</f>
        <v/>
      </c>
      <c r="I1786" s="54">
        <f>IF($B1786=0,NA(),IF($C1786="",NA(),IF(C$8="",NA(),IF(N(C$8)=0,NA(),IF(Inputs!$C$17="Rebased to 100",$C1786/C$8*100,$C1786)))))</f>
        <v/>
      </c>
      <c r="J1786" s="54">
        <f>IF($B1786=0,NA(),IF($D1786="",NA(),IF(D$8="",NA(),IF(N(D$8)=0,NA(),IF(Inputs!$C$17="Rebased to 100",$D1786/D$8*100,$D1786)))))</f>
        <v/>
      </c>
      <c r="K1786" s="54">
        <f>IF($B1786=0,NA(),IF($E1786="",NA(),IF(E$8="",NA(),IF(N(E$8)=0,NA(),IF(Inputs!$C$17="Rebased to 100",$E1786/E$8*100,$E1786)))))</f>
        <v/>
      </c>
      <c r="L1786" s="54">
        <f>IF($B1786=0,NA(),IF($F1786="",NA(),IF(F$8="",NA(),IF(N(F$8)=0,NA(),IF(Inputs!$C$17="Rebased to 100",$F1786/F$8*100,$F1786)))))</f>
        <v/>
      </c>
      <c r="M1786" s="54">
        <f>IF($B1786=0,NA(),IF($G1786="",NA(),IF(G$8="",NA(),IF(N(G$8)=0,NA(),IF(Inputs!$C$17="Rebased to 100",$G1786/G$8*100,$G1786)))))</f>
        <v/>
      </c>
      <c r="N1786" s="54">
        <f>IF($B1786=0,NA(),IF(Inputs!$C$18&lt;&gt;"Yes",NA(),IF(COUNT(I1786,J1786,K1786,L1786,M1786)=0,NA(),MIN(I1786,J1786,K1786,L1786,M1786))))</f>
        <v/>
      </c>
      <c r="O1786" s="54">
        <f>IF($B1786=0,NA(),IF(Inputs!$B$24&lt;&gt;"Yes",NA(),Inputs!$D$24*Inputs!$C$35))</f>
        <v/>
      </c>
      <c r="P1786" s="54">
        <f>IF($B1786=0,NA(),IF(Inputs!$B$25&lt;&gt;"Yes",NA(),Inputs!$D$25*Inputs!$C$35))</f>
        <v/>
      </c>
      <c r="Q1786" s="54">
        <f>IF($B1786=0,NA(),IF(Inputs!$B$26&lt;&gt;"Yes",NA(),Inputs!$D$26*Inputs!$C$35))</f>
        <v/>
      </c>
      <c r="R1786" s="54">
        <f>IF($B1786=0,NA(),IF(Inputs!$B$27&lt;&gt;"Yes",NA(),Inputs!$D$27*Inputs!$C$35))</f>
        <v/>
      </c>
      <c r="S1786" s="54">
        <f>IF($B1786=0,NA(),IF(Inputs!$B$28&lt;&gt;"Yes",NA(),Inputs!$D$28*Inputs!$C$35))</f>
        <v/>
      </c>
      <c r="T1786" s="54">
        <f>IF($B1786=0,NA(),IF(Inputs!$B$29&lt;&gt;"Yes",NA(),Inputs!$D$29*Inputs!$C$35))</f>
        <v/>
      </c>
      <c r="AD1786">
        <f>IF($B1786=0,0,IF(Inputs!$B$6="",0,COUNTIFS(Data!$A$10:$A$3209,"&gt;="&amp;$A1786,Data!$A$10:$A$3209,"&lt;"&amp;$A1786+1)))</f>
        <v/>
      </c>
      <c r="AE1786">
        <f>IF($B1786=0,0,IF(Inputs!$B$7="",0,COUNTIFS(Data!$E$10:$E$3209,"&gt;="&amp;$A1786,Data!$E$10:$E$3209,"&lt;"&amp;$A1786+1)))</f>
        <v/>
      </c>
      <c r="AF1786">
        <f>IF($B1786=0,0,IF(Inputs!$B$8="",0,COUNTIFS(Data!$I$10:$I$3209,"&gt;="&amp;$A1786,Data!$I$10:$I$3209,"&lt;"&amp;$A1786+1)))</f>
        <v/>
      </c>
      <c r="AG1786">
        <f>IF($B1786=0,0,IF(Inputs!$B$9="",0,COUNTIFS(Data!$M$10:$M$3209,"&gt;="&amp;$A1786,Data!$M$10:$M$3209,"&lt;"&amp;$A1786+1)))</f>
        <v/>
      </c>
      <c r="AH1786">
        <f>IF($B1786=0,0,IF(Inputs!$B$10="",0,COUNTIFS(Data!$Q$10:$Q$3209,"&gt;="&amp;$A1786,Data!$Q$10:$Q$3209,"&lt;"&amp;$A1786+1)))</f>
        <v/>
      </c>
    </row>
    <row r="1787">
      <c r="A1787" s="55">
        <f>MIN(Inputs!$C$15,$A1786+IF(WEEKDAY($A1786,2)=5,3,1))</f>
        <v/>
      </c>
      <c r="B1787">
        <f>IF($A1787&gt;$A1786,1,0)</f>
        <v/>
      </c>
      <c r="C1787" s="56">
        <f>IF($B1787=0,"",IF(Inputs!$B$6="","",IF($AD1787=0,C1786,SUMIFS(Data!$B$10:$B$3209,Data!$A$10:$A$3209,"&gt;="&amp;$A1787,Data!$A$10:$A$3209,"&lt;"&amp;$A1787+1)/$AD1787)))</f>
        <v/>
      </c>
      <c r="D1787" s="56">
        <f>IF($B1787=0,"",IF(Inputs!$B$7="","",IF($AE1787=0,D1786,SUMIFS(Data!$F$10:$F$3209,Data!$E$10:$E$3209,"&gt;="&amp;$A1787,Data!$E$10:$E$3209,"&lt;"&amp;$A1787+1)/$AE1787)))</f>
        <v/>
      </c>
      <c r="E1787" s="56">
        <f>IF($B1787=0,"",IF(Inputs!$B$8="","",IF($AF1787=0,E1786,SUMIFS(Data!$J$10:$J$3209,Data!$I$10:$I$3209,"&gt;="&amp;$A1787,Data!$I$10:$I$3209,"&lt;"&amp;$A1787+1)/$AF1787)))</f>
        <v/>
      </c>
      <c r="F1787" s="56">
        <f>IF($B1787=0,"",IF(Inputs!$B$9="","",IF($AG1787=0,F1786,SUMIFS(Data!$N$10:$N$3209,Data!$M$10:$M$3209,"&gt;="&amp;$A1787,Data!$M$10:$M$3209,"&lt;"&amp;$A1787+1)/$AG1787)))</f>
        <v/>
      </c>
      <c r="G1787" s="56">
        <f>IF($B1787=0,"",IF(Inputs!$B$10="","",IF($AH1787=0,G1786,SUMIFS(Data!$R$10:$R$3209,Data!$Q$10:$Q$3209,"&gt;="&amp;$A1787,Data!$Q$10:$Q$3209,"&lt;"&amp;$A1787+1)/$AH1787)))</f>
        <v/>
      </c>
      <c r="I1787" s="54">
        <f>IF($B1787=0,NA(),IF($C1787="",NA(),IF(C$8="",NA(),IF(N(C$8)=0,NA(),IF(Inputs!$C$17="Rebased to 100",$C1787/C$8*100,$C1787)))))</f>
        <v/>
      </c>
      <c r="J1787" s="54">
        <f>IF($B1787=0,NA(),IF($D1787="",NA(),IF(D$8="",NA(),IF(N(D$8)=0,NA(),IF(Inputs!$C$17="Rebased to 100",$D1787/D$8*100,$D1787)))))</f>
        <v/>
      </c>
      <c r="K1787" s="54">
        <f>IF($B1787=0,NA(),IF($E1787="",NA(),IF(E$8="",NA(),IF(N(E$8)=0,NA(),IF(Inputs!$C$17="Rebased to 100",$E1787/E$8*100,$E1787)))))</f>
        <v/>
      </c>
      <c r="L1787" s="54">
        <f>IF($B1787=0,NA(),IF($F1787="",NA(),IF(F$8="",NA(),IF(N(F$8)=0,NA(),IF(Inputs!$C$17="Rebased to 100",$F1787/F$8*100,$F1787)))))</f>
        <v/>
      </c>
      <c r="M1787" s="54">
        <f>IF($B1787=0,NA(),IF($G1787="",NA(),IF(G$8="",NA(),IF(N(G$8)=0,NA(),IF(Inputs!$C$17="Rebased to 100",$G1787/G$8*100,$G1787)))))</f>
        <v/>
      </c>
      <c r="N1787" s="54">
        <f>IF($B1787=0,NA(),IF(Inputs!$C$18&lt;&gt;"Yes",NA(),IF(COUNT(I1787,J1787,K1787,L1787,M1787)=0,NA(),MIN(I1787,J1787,K1787,L1787,M1787))))</f>
        <v/>
      </c>
      <c r="O1787" s="54">
        <f>IF($B1787=0,NA(),IF(Inputs!$B$24&lt;&gt;"Yes",NA(),Inputs!$D$24*Inputs!$C$35))</f>
        <v/>
      </c>
      <c r="P1787" s="54">
        <f>IF($B1787=0,NA(),IF(Inputs!$B$25&lt;&gt;"Yes",NA(),Inputs!$D$25*Inputs!$C$35))</f>
        <v/>
      </c>
      <c r="Q1787" s="54">
        <f>IF($B1787=0,NA(),IF(Inputs!$B$26&lt;&gt;"Yes",NA(),Inputs!$D$26*Inputs!$C$35))</f>
        <v/>
      </c>
      <c r="R1787" s="54">
        <f>IF($B1787=0,NA(),IF(Inputs!$B$27&lt;&gt;"Yes",NA(),Inputs!$D$27*Inputs!$C$35))</f>
        <v/>
      </c>
      <c r="S1787" s="54">
        <f>IF($B1787=0,NA(),IF(Inputs!$B$28&lt;&gt;"Yes",NA(),Inputs!$D$28*Inputs!$C$35))</f>
        <v/>
      </c>
      <c r="T1787" s="54">
        <f>IF($B1787=0,NA(),IF(Inputs!$B$29&lt;&gt;"Yes",NA(),Inputs!$D$29*Inputs!$C$35))</f>
        <v/>
      </c>
      <c r="AD1787">
        <f>IF($B1787=0,0,IF(Inputs!$B$6="",0,COUNTIFS(Data!$A$10:$A$3209,"&gt;="&amp;$A1787,Data!$A$10:$A$3209,"&lt;"&amp;$A1787+1)))</f>
        <v/>
      </c>
      <c r="AE1787">
        <f>IF($B1787=0,0,IF(Inputs!$B$7="",0,COUNTIFS(Data!$E$10:$E$3209,"&gt;="&amp;$A1787,Data!$E$10:$E$3209,"&lt;"&amp;$A1787+1)))</f>
        <v/>
      </c>
      <c r="AF1787">
        <f>IF($B1787=0,0,IF(Inputs!$B$8="",0,COUNTIFS(Data!$I$10:$I$3209,"&gt;="&amp;$A1787,Data!$I$10:$I$3209,"&lt;"&amp;$A1787+1)))</f>
        <v/>
      </c>
      <c r="AG1787">
        <f>IF($B1787=0,0,IF(Inputs!$B$9="",0,COUNTIFS(Data!$M$10:$M$3209,"&gt;="&amp;$A1787,Data!$M$10:$M$3209,"&lt;"&amp;$A1787+1)))</f>
        <v/>
      </c>
      <c r="AH1787">
        <f>IF($B1787=0,0,IF(Inputs!$B$10="",0,COUNTIFS(Data!$Q$10:$Q$3209,"&gt;="&amp;$A1787,Data!$Q$10:$Q$3209,"&lt;"&amp;$A1787+1)))</f>
        <v/>
      </c>
    </row>
    <row r="1788">
      <c r="A1788" s="55">
        <f>MIN(Inputs!$C$15,$A1787+IF(WEEKDAY($A1787,2)=5,3,1))</f>
        <v/>
      </c>
      <c r="B1788">
        <f>IF($A1788&gt;$A1787,1,0)</f>
        <v/>
      </c>
      <c r="C1788" s="56">
        <f>IF($B1788=0,"",IF(Inputs!$B$6="","",IF($AD1788=0,C1787,SUMIFS(Data!$B$10:$B$3209,Data!$A$10:$A$3209,"&gt;="&amp;$A1788,Data!$A$10:$A$3209,"&lt;"&amp;$A1788+1)/$AD1788)))</f>
        <v/>
      </c>
      <c r="D1788" s="56">
        <f>IF($B1788=0,"",IF(Inputs!$B$7="","",IF($AE1788=0,D1787,SUMIFS(Data!$F$10:$F$3209,Data!$E$10:$E$3209,"&gt;="&amp;$A1788,Data!$E$10:$E$3209,"&lt;"&amp;$A1788+1)/$AE1788)))</f>
        <v/>
      </c>
      <c r="E1788" s="56">
        <f>IF($B1788=0,"",IF(Inputs!$B$8="","",IF($AF1788=0,E1787,SUMIFS(Data!$J$10:$J$3209,Data!$I$10:$I$3209,"&gt;="&amp;$A1788,Data!$I$10:$I$3209,"&lt;"&amp;$A1788+1)/$AF1788)))</f>
        <v/>
      </c>
      <c r="F1788" s="56">
        <f>IF($B1788=0,"",IF(Inputs!$B$9="","",IF($AG1788=0,F1787,SUMIFS(Data!$N$10:$N$3209,Data!$M$10:$M$3209,"&gt;="&amp;$A1788,Data!$M$10:$M$3209,"&lt;"&amp;$A1788+1)/$AG1788)))</f>
        <v/>
      </c>
      <c r="G1788" s="56">
        <f>IF($B1788=0,"",IF(Inputs!$B$10="","",IF($AH1788=0,G1787,SUMIFS(Data!$R$10:$R$3209,Data!$Q$10:$Q$3209,"&gt;="&amp;$A1788,Data!$Q$10:$Q$3209,"&lt;"&amp;$A1788+1)/$AH1788)))</f>
        <v/>
      </c>
      <c r="I1788" s="54">
        <f>IF($B1788=0,NA(),IF($C1788="",NA(),IF(C$8="",NA(),IF(N(C$8)=0,NA(),IF(Inputs!$C$17="Rebased to 100",$C1788/C$8*100,$C1788)))))</f>
        <v/>
      </c>
      <c r="J1788" s="54">
        <f>IF($B1788=0,NA(),IF($D1788="",NA(),IF(D$8="",NA(),IF(N(D$8)=0,NA(),IF(Inputs!$C$17="Rebased to 100",$D1788/D$8*100,$D1788)))))</f>
        <v/>
      </c>
      <c r="K1788" s="54">
        <f>IF($B1788=0,NA(),IF($E1788="",NA(),IF(E$8="",NA(),IF(N(E$8)=0,NA(),IF(Inputs!$C$17="Rebased to 100",$E1788/E$8*100,$E1788)))))</f>
        <v/>
      </c>
      <c r="L1788" s="54">
        <f>IF($B1788=0,NA(),IF($F1788="",NA(),IF(F$8="",NA(),IF(N(F$8)=0,NA(),IF(Inputs!$C$17="Rebased to 100",$F1788/F$8*100,$F1788)))))</f>
        <v/>
      </c>
      <c r="M1788" s="54">
        <f>IF($B1788=0,NA(),IF($G1788="",NA(),IF(G$8="",NA(),IF(N(G$8)=0,NA(),IF(Inputs!$C$17="Rebased to 100",$G1788/G$8*100,$G1788)))))</f>
        <v/>
      </c>
      <c r="N1788" s="54">
        <f>IF($B1788=0,NA(),IF(Inputs!$C$18&lt;&gt;"Yes",NA(),IF(COUNT(I1788,J1788,K1788,L1788,M1788)=0,NA(),MIN(I1788,J1788,K1788,L1788,M1788))))</f>
        <v/>
      </c>
      <c r="O1788" s="54">
        <f>IF($B1788=0,NA(),IF(Inputs!$B$24&lt;&gt;"Yes",NA(),Inputs!$D$24*Inputs!$C$35))</f>
        <v/>
      </c>
      <c r="P1788" s="54">
        <f>IF($B1788=0,NA(),IF(Inputs!$B$25&lt;&gt;"Yes",NA(),Inputs!$D$25*Inputs!$C$35))</f>
        <v/>
      </c>
      <c r="Q1788" s="54">
        <f>IF($B1788=0,NA(),IF(Inputs!$B$26&lt;&gt;"Yes",NA(),Inputs!$D$26*Inputs!$C$35))</f>
        <v/>
      </c>
      <c r="R1788" s="54">
        <f>IF($B1788=0,NA(),IF(Inputs!$B$27&lt;&gt;"Yes",NA(),Inputs!$D$27*Inputs!$C$35))</f>
        <v/>
      </c>
      <c r="S1788" s="54">
        <f>IF($B1788=0,NA(),IF(Inputs!$B$28&lt;&gt;"Yes",NA(),Inputs!$D$28*Inputs!$C$35))</f>
        <v/>
      </c>
      <c r="T1788" s="54">
        <f>IF($B1788=0,NA(),IF(Inputs!$B$29&lt;&gt;"Yes",NA(),Inputs!$D$29*Inputs!$C$35))</f>
        <v/>
      </c>
      <c r="AD1788">
        <f>IF($B1788=0,0,IF(Inputs!$B$6="",0,COUNTIFS(Data!$A$10:$A$3209,"&gt;="&amp;$A1788,Data!$A$10:$A$3209,"&lt;"&amp;$A1788+1)))</f>
        <v/>
      </c>
      <c r="AE1788">
        <f>IF($B1788=0,0,IF(Inputs!$B$7="",0,COUNTIFS(Data!$E$10:$E$3209,"&gt;="&amp;$A1788,Data!$E$10:$E$3209,"&lt;"&amp;$A1788+1)))</f>
        <v/>
      </c>
      <c r="AF1788">
        <f>IF($B1788=0,0,IF(Inputs!$B$8="",0,COUNTIFS(Data!$I$10:$I$3209,"&gt;="&amp;$A1788,Data!$I$10:$I$3209,"&lt;"&amp;$A1788+1)))</f>
        <v/>
      </c>
      <c r="AG1788">
        <f>IF($B1788=0,0,IF(Inputs!$B$9="",0,COUNTIFS(Data!$M$10:$M$3209,"&gt;="&amp;$A1788,Data!$M$10:$M$3209,"&lt;"&amp;$A1788+1)))</f>
        <v/>
      </c>
      <c r="AH1788">
        <f>IF($B1788=0,0,IF(Inputs!$B$10="",0,COUNTIFS(Data!$Q$10:$Q$3209,"&gt;="&amp;$A1788,Data!$Q$10:$Q$3209,"&lt;"&amp;$A1788+1)))</f>
        <v/>
      </c>
    </row>
    <row r="1789">
      <c r="A1789" s="55">
        <f>MIN(Inputs!$C$15,$A1788+IF(WEEKDAY($A1788,2)=5,3,1))</f>
        <v/>
      </c>
      <c r="B1789">
        <f>IF($A1789&gt;$A1788,1,0)</f>
        <v/>
      </c>
      <c r="C1789" s="56">
        <f>IF($B1789=0,"",IF(Inputs!$B$6="","",IF($AD1789=0,C1788,SUMIFS(Data!$B$10:$B$3209,Data!$A$10:$A$3209,"&gt;="&amp;$A1789,Data!$A$10:$A$3209,"&lt;"&amp;$A1789+1)/$AD1789)))</f>
        <v/>
      </c>
      <c r="D1789" s="56">
        <f>IF($B1789=0,"",IF(Inputs!$B$7="","",IF($AE1789=0,D1788,SUMIFS(Data!$F$10:$F$3209,Data!$E$10:$E$3209,"&gt;="&amp;$A1789,Data!$E$10:$E$3209,"&lt;"&amp;$A1789+1)/$AE1789)))</f>
        <v/>
      </c>
      <c r="E1789" s="56">
        <f>IF($B1789=0,"",IF(Inputs!$B$8="","",IF($AF1789=0,E1788,SUMIFS(Data!$J$10:$J$3209,Data!$I$10:$I$3209,"&gt;="&amp;$A1789,Data!$I$10:$I$3209,"&lt;"&amp;$A1789+1)/$AF1789)))</f>
        <v/>
      </c>
      <c r="F1789" s="56">
        <f>IF($B1789=0,"",IF(Inputs!$B$9="","",IF($AG1789=0,F1788,SUMIFS(Data!$N$10:$N$3209,Data!$M$10:$M$3209,"&gt;="&amp;$A1789,Data!$M$10:$M$3209,"&lt;"&amp;$A1789+1)/$AG1789)))</f>
        <v/>
      </c>
      <c r="G1789" s="56">
        <f>IF($B1789=0,"",IF(Inputs!$B$10="","",IF($AH1789=0,G1788,SUMIFS(Data!$R$10:$R$3209,Data!$Q$10:$Q$3209,"&gt;="&amp;$A1789,Data!$Q$10:$Q$3209,"&lt;"&amp;$A1789+1)/$AH1789)))</f>
        <v/>
      </c>
      <c r="I1789" s="54">
        <f>IF($B1789=0,NA(),IF($C1789="",NA(),IF(C$8="",NA(),IF(N(C$8)=0,NA(),IF(Inputs!$C$17="Rebased to 100",$C1789/C$8*100,$C1789)))))</f>
        <v/>
      </c>
      <c r="J1789" s="54">
        <f>IF($B1789=0,NA(),IF($D1789="",NA(),IF(D$8="",NA(),IF(N(D$8)=0,NA(),IF(Inputs!$C$17="Rebased to 100",$D1789/D$8*100,$D1789)))))</f>
        <v/>
      </c>
      <c r="K1789" s="54">
        <f>IF($B1789=0,NA(),IF($E1789="",NA(),IF(E$8="",NA(),IF(N(E$8)=0,NA(),IF(Inputs!$C$17="Rebased to 100",$E1789/E$8*100,$E1789)))))</f>
        <v/>
      </c>
      <c r="L1789" s="54">
        <f>IF($B1789=0,NA(),IF($F1789="",NA(),IF(F$8="",NA(),IF(N(F$8)=0,NA(),IF(Inputs!$C$17="Rebased to 100",$F1789/F$8*100,$F1789)))))</f>
        <v/>
      </c>
      <c r="M1789" s="54">
        <f>IF($B1789=0,NA(),IF($G1789="",NA(),IF(G$8="",NA(),IF(N(G$8)=0,NA(),IF(Inputs!$C$17="Rebased to 100",$G1789/G$8*100,$G1789)))))</f>
        <v/>
      </c>
      <c r="N1789" s="54">
        <f>IF($B1789=0,NA(),IF(Inputs!$C$18&lt;&gt;"Yes",NA(),IF(COUNT(I1789,J1789,K1789,L1789,M1789)=0,NA(),MIN(I1789,J1789,K1789,L1789,M1789))))</f>
        <v/>
      </c>
      <c r="O1789" s="54">
        <f>IF($B1789=0,NA(),IF(Inputs!$B$24&lt;&gt;"Yes",NA(),Inputs!$D$24*Inputs!$C$35))</f>
        <v/>
      </c>
      <c r="P1789" s="54">
        <f>IF($B1789=0,NA(),IF(Inputs!$B$25&lt;&gt;"Yes",NA(),Inputs!$D$25*Inputs!$C$35))</f>
        <v/>
      </c>
      <c r="Q1789" s="54">
        <f>IF($B1789=0,NA(),IF(Inputs!$B$26&lt;&gt;"Yes",NA(),Inputs!$D$26*Inputs!$C$35))</f>
        <v/>
      </c>
      <c r="R1789" s="54">
        <f>IF($B1789=0,NA(),IF(Inputs!$B$27&lt;&gt;"Yes",NA(),Inputs!$D$27*Inputs!$C$35))</f>
        <v/>
      </c>
      <c r="S1789" s="54">
        <f>IF($B1789=0,NA(),IF(Inputs!$B$28&lt;&gt;"Yes",NA(),Inputs!$D$28*Inputs!$C$35))</f>
        <v/>
      </c>
      <c r="T1789" s="54">
        <f>IF($B1789=0,NA(),IF(Inputs!$B$29&lt;&gt;"Yes",NA(),Inputs!$D$29*Inputs!$C$35))</f>
        <v/>
      </c>
      <c r="AD1789">
        <f>IF($B1789=0,0,IF(Inputs!$B$6="",0,COUNTIFS(Data!$A$10:$A$3209,"&gt;="&amp;$A1789,Data!$A$10:$A$3209,"&lt;"&amp;$A1789+1)))</f>
        <v/>
      </c>
      <c r="AE1789">
        <f>IF($B1789=0,0,IF(Inputs!$B$7="",0,COUNTIFS(Data!$E$10:$E$3209,"&gt;="&amp;$A1789,Data!$E$10:$E$3209,"&lt;"&amp;$A1789+1)))</f>
        <v/>
      </c>
      <c r="AF1789">
        <f>IF($B1789=0,0,IF(Inputs!$B$8="",0,COUNTIFS(Data!$I$10:$I$3209,"&gt;="&amp;$A1789,Data!$I$10:$I$3209,"&lt;"&amp;$A1789+1)))</f>
        <v/>
      </c>
      <c r="AG1789">
        <f>IF($B1789=0,0,IF(Inputs!$B$9="",0,COUNTIFS(Data!$M$10:$M$3209,"&gt;="&amp;$A1789,Data!$M$10:$M$3209,"&lt;"&amp;$A1789+1)))</f>
        <v/>
      </c>
      <c r="AH1789">
        <f>IF($B1789=0,0,IF(Inputs!$B$10="",0,COUNTIFS(Data!$Q$10:$Q$3209,"&gt;="&amp;$A1789,Data!$Q$10:$Q$3209,"&lt;"&amp;$A1789+1)))</f>
        <v/>
      </c>
    </row>
    <row r="1790">
      <c r="A1790" s="55">
        <f>MIN(Inputs!$C$15,$A1789+IF(WEEKDAY($A1789,2)=5,3,1))</f>
        <v/>
      </c>
      <c r="B1790">
        <f>IF($A1790&gt;$A1789,1,0)</f>
        <v/>
      </c>
      <c r="C1790" s="56">
        <f>IF($B1790=0,"",IF(Inputs!$B$6="","",IF($AD1790=0,C1789,SUMIFS(Data!$B$10:$B$3209,Data!$A$10:$A$3209,"&gt;="&amp;$A1790,Data!$A$10:$A$3209,"&lt;"&amp;$A1790+1)/$AD1790)))</f>
        <v/>
      </c>
      <c r="D1790" s="56">
        <f>IF($B1790=0,"",IF(Inputs!$B$7="","",IF($AE1790=0,D1789,SUMIFS(Data!$F$10:$F$3209,Data!$E$10:$E$3209,"&gt;="&amp;$A1790,Data!$E$10:$E$3209,"&lt;"&amp;$A1790+1)/$AE1790)))</f>
        <v/>
      </c>
      <c r="E1790" s="56">
        <f>IF($B1790=0,"",IF(Inputs!$B$8="","",IF($AF1790=0,E1789,SUMIFS(Data!$J$10:$J$3209,Data!$I$10:$I$3209,"&gt;="&amp;$A1790,Data!$I$10:$I$3209,"&lt;"&amp;$A1790+1)/$AF1790)))</f>
        <v/>
      </c>
      <c r="F1790" s="56">
        <f>IF($B1790=0,"",IF(Inputs!$B$9="","",IF($AG1790=0,F1789,SUMIFS(Data!$N$10:$N$3209,Data!$M$10:$M$3209,"&gt;="&amp;$A1790,Data!$M$10:$M$3209,"&lt;"&amp;$A1790+1)/$AG1790)))</f>
        <v/>
      </c>
      <c r="G1790" s="56">
        <f>IF($B1790=0,"",IF(Inputs!$B$10="","",IF($AH1790=0,G1789,SUMIFS(Data!$R$10:$R$3209,Data!$Q$10:$Q$3209,"&gt;="&amp;$A1790,Data!$Q$10:$Q$3209,"&lt;"&amp;$A1790+1)/$AH1790)))</f>
        <v/>
      </c>
      <c r="I1790" s="54">
        <f>IF($B1790=0,NA(),IF($C1790="",NA(),IF(C$8="",NA(),IF(N(C$8)=0,NA(),IF(Inputs!$C$17="Rebased to 100",$C1790/C$8*100,$C1790)))))</f>
        <v/>
      </c>
      <c r="J1790" s="54">
        <f>IF($B1790=0,NA(),IF($D1790="",NA(),IF(D$8="",NA(),IF(N(D$8)=0,NA(),IF(Inputs!$C$17="Rebased to 100",$D1790/D$8*100,$D1790)))))</f>
        <v/>
      </c>
      <c r="K1790" s="54">
        <f>IF($B1790=0,NA(),IF($E1790="",NA(),IF(E$8="",NA(),IF(N(E$8)=0,NA(),IF(Inputs!$C$17="Rebased to 100",$E1790/E$8*100,$E1790)))))</f>
        <v/>
      </c>
      <c r="L1790" s="54">
        <f>IF($B1790=0,NA(),IF($F1790="",NA(),IF(F$8="",NA(),IF(N(F$8)=0,NA(),IF(Inputs!$C$17="Rebased to 100",$F1790/F$8*100,$F1790)))))</f>
        <v/>
      </c>
      <c r="M1790" s="54">
        <f>IF($B1790=0,NA(),IF($G1790="",NA(),IF(G$8="",NA(),IF(N(G$8)=0,NA(),IF(Inputs!$C$17="Rebased to 100",$G1790/G$8*100,$G1790)))))</f>
        <v/>
      </c>
      <c r="N1790" s="54">
        <f>IF($B1790=0,NA(),IF(Inputs!$C$18&lt;&gt;"Yes",NA(),IF(COUNT(I1790,J1790,K1790,L1790,M1790)=0,NA(),MIN(I1790,J1790,K1790,L1790,M1790))))</f>
        <v/>
      </c>
      <c r="O1790" s="54">
        <f>IF($B1790=0,NA(),IF(Inputs!$B$24&lt;&gt;"Yes",NA(),Inputs!$D$24*Inputs!$C$35))</f>
        <v/>
      </c>
      <c r="P1790" s="54">
        <f>IF($B1790=0,NA(),IF(Inputs!$B$25&lt;&gt;"Yes",NA(),Inputs!$D$25*Inputs!$C$35))</f>
        <v/>
      </c>
      <c r="Q1790" s="54">
        <f>IF($B1790=0,NA(),IF(Inputs!$B$26&lt;&gt;"Yes",NA(),Inputs!$D$26*Inputs!$C$35))</f>
        <v/>
      </c>
      <c r="R1790" s="54">
        <f>IF($B1790=0,NA(),IF(Inputs!$B$27&lt;&gt;"Yes",NA(),Inputs!$D$27*Inputs!$C$35))</f>
        <v/>
      </c>
      <c r="S1790" s="54">
        <f>IF($B1790=0,NA(),IF(Inputs!$B$28&lt;&gt;"Yes",NA(),Inputs!$D$28*Inputs!$C$35))</f>
        <v/>
      </c>
      <c r="T1790" s="54">
        <f>IF($B1790=0,NA(),IF(Inputs!$B$29&lt;&gt;"Yes",NA(),Inputs!$D$29*Inputs!$C$35))</f>
        <v/>
      </c>
      <c r="AD1790">
        <f>IF($B1790=0,0,IF(Inputs!$B$6="",0,COUNTIFS(Data!$A$10:$A$3209,"&gt;="&amp;$A1790,Data!$A$10:$A$3209,"&lt;"&amp;$A1790+1)))</f>
        <v/>
      </c>
      <c r="AE1790">
        <f>IF($B1790=0,0,IF(Inputs!$B$7="",0,COUNTIFS(Data!$E$10:$E$3209,"&gt;="&amp;$A1790,Data!$E$10:$E$3209,"&lt;"&amp;$A1790+1)))</f>
        <v/>
      </c>
      <c r="AF1790">
        <f>IF($B1790=0,0,IF(Inputs!$B$8="",0,COUNTIFS(Data!$I$10:$I$3209,"&gt;="&amp;$A1790,Data!$I$10:$I$3209,"&lt;"&amp;$A1790+1)))</f>
        <v/>
      </c>
      <c r="AG1790">
        <f>IF($B1790=0,0,IF(Inputs!$B$9="",0,COUNTIFS(Data!$M$10:$M$3209,"&gt;="&amp;$A1790,Data!$M$10:$M$3209,"&lt;"&amp;$A1790+1)))</f>
        <v/>
      </c>
      <c r="AH1790">
        <f>IF($B1790=0,0,IF(Inputs!$B$10="",0,COUNTIFS(Data!$Q$10:$Q$3209,"&gt;="&amp;$A1790,Data!$Q$10:$Q$3209,"&lt;"&amp;$A1790+1)))</f>
        <v/>
      </c>
    </row>
    <row r="1791">
      <c r="A1791" s="55">
        <f>MIN(Inputs!$C$15,$A1790+IF(WEEKDAY($A1790,2)=5,3,1))</f>
        <v/>
      </c>
      <c r="B1791">
        <f>IF($A1791&gt;$A1790,1,0)</f>
        <v/>
      </c>
      <c r="C1791" s="56">
        <f>IF($B1791=0,"",IF(Inputs!$B$6="","",IF($AD1791=0,C1790,SUMIFS(Data!$B$10:$B$3209,Data!$A$10:$A$3209,"&gt;="&amp;$A1791,Data!$A$10:$A$3209,"&lt;"&amp;$A1791+1)/$AD1791)))</f>
        <v/>
      </c>
      <c r="D1791" s="56">
        <f>IF($B1791=0,"",IF(Inputs!$B$7="","",IF($AE1791=0,D1790,SUMIFS(Data!$F$10:$F$3209,Data!$E$10:$E$3209,"&gt;="&amp;$A1791,Data!$E$10:$E$3209,"&lt;"&amp;$A1791+1)/$AE1791)))</f>
        <v/>
      </c>
      <c r="E1791" s="56">
        <f>IF($B1791=0,"",IF(Inputs!$B$8="","",IF($AF1791=0,E1790,SUMIFS(Data!$J$10:$J$3209,Data!$I$10:$I$3209,"&gt;="&amp;$A1791,Data!$I$10:$I$3209,"&lt;"&amp;$A1791+1)/$AF1791)))</f>
        <v/>
      </c>
      <c r="F1791" s="56">
        <f>IF($B1791=0,"",IF(Inputs!$B$9="","",IF($AG1791=0,F1790,SUMIFS(Data!$N$10:$N$3209,Data!$M$10:$M$3209,"&gt;="&amp;$A1791,Data!$M$10:$M$3209,"&lt;"&amp;$A1791+1)/$AG1791)))</f>
        <v/>
      </c>
      <c r="G1791" s="56">
        <f>IF($B1791=0,"",IF(Inputs!$B$10="","",IF($AH1791=0,G1790,SUMIFS(Data!$R$10:$R$3209,Data!$Q$10:$Q$3209,"&gt;="&amp;$A1791,Data!$Q$10:$Q$3209,"&lt;"&amp;$A1791+1)/$AH1791)))</f>
        <v/>
      </c>
      <c r="I1791" s="54">
        <f>IF($B1791=0,NA(),IF($C1791="",NA(),IF(C$8="",NA(),IF(N(C$8)=0,NA(),IF(Inputs!$C$17="Rebased to 100",$C1791/C$8*100,$C1791)))))</f>
        <v/>
      </c>
      <c r="J1791" s="54">
        <f>IF($B1791=0,NA(),IF($D1791="",NA(),IF(D$8="",NA(),IF(N(D$8)=0,NA(),IF(Inputs!$C$17="Rebased to 100",$D1791/D$8*100,$D1791)))))</f>
        <v/>
      </c>
      <c r="K1791" s="54">
        <f>IF($B1791=0,NA(),IF($E1791="",NA(),IF(E$8="",NA(),IF(N(E$8)=0,NA(),IF(Inputs!$C$17="Rebased to 100",$E1791/E$8*100,$E1791)))))</f>
        <v/>
      </c>
      <c r="L1791" s="54">
        <f>IF($B1791=0,NA(),IF($F1791="",NA(),IF(F$8="",NA(),IF(N(F$8)=0,NA(),IF(Inputs!$C$17="Rebased to 100",$F1791/F$8*100,$F1791)))))</f>
        <v/>
      </c>
      <c r="M1791" s="54">
        <f>IF($B1791=0,NA(),IF($G1791="",NA(),IF(G$8="",NA(),IF(N(G$8)=0,NA(),IF(Inputs!$C$17="Rebased to 100",$G1791/G$8*100,$G1791)))))</f>
        <v/>
      </c>
      <c r="N1791" s="54">
        <f>IF($B1791=0,NA(),IF(Inputs!$C$18&lt;&gt;"Yes",NA(),IF(COUNT(I1791,J1791,K1791,L1791,M1791)=0,NA(),MIN(I1791,J1791,K1791,L1791,M1791))))</f>
        <v/>
      </c>
      <c r="O1791" s="54">
        <f>IF($B1791=0,NA(),IF(Inputs!$B$24&lt;&gt;"Yes",NA(),Inputs!$D$24*Inputs!$C$35))</f>
        <v/>
      </c>
      <c r="P1791" s="54">
        <f>IF($B1791=0,NA(),IF(Inputs!$B$25&lt;&gt;"Yes",NA(),Inputs!$D$25*Inputs!$C$35))</f>
        <v/>
      </c>
      <c r="Q1791" s="54">
        <f>IF($B1791=0,NA(),IF(Inputs!$B$26&lt;&gt;"Yes",NA(),Inputs!$D$26*Inputs!$C$35))</f>
        <v/>
      </c>
      <c r="R1791" s="54">
        <f>IF($B1791=0,NA(),IF(Inputs!$B$27&lt;&gt;"Yes",NA(),Inputs!$D$27*Inputs!$C$35))</f>
        <v/>
      </c>
      <c r="S1791" s="54">
        <f>IF($B1791=0,NA(),IF(Inputs!$B$28&lt;&gt;"Yes",NA(),Inputs!$D$28*Inputs!$C$35))</f>
        <v/>
      </c>
      <c r="T1791" s="54">
        <f>IF($B1791=0,NA(),IF(Inputs!$B$29&lt;&gt;"Yes",NA(),Inputs!$D$29*Inputs!$C$35))</f>
        <v/>
      </c>
      <c r="AD1791">
        <f>IF($B1791=0,0,IF(Inputs!$B$6="",0,COUNTIFS(Data!$A$10:$A$3209,"&gt;="&amp;$A1791,Data!$A$10:$A$3209,"&lt;"&amp;$A1791+1)))</f>
        <v/>
      </c>
      <c r="AE1791">
        <f>IF($B1791=0,0,IF(Inputs!$B$7="",0,COUNTIFS(Data!$E$10:$E$3209,"&gt;="&amp;$A1791,Data!$E$10:$E$3209,"&lt;"&amp;$A1791+1)))</f>
        <v/>
      </c>
      <c r="AF1791">
        <f>IF($B1791=0,0,IF(Inputs!$B$8="",0,COUNTIFS(Data!$I$10:$I$3209,"&gt;="&amp;$A1791,Data!$I$10:$I$3209,"&lt;"&amp;$A1791+1)))</f>
        <v/>
      </c>
      <c r="AG1791">
        <f>IF($B1791=0,0,IF(Inputs!$B$9="",0,COUNTIFS(Data!$M$10:$M$3209,"&gt;="&amp;$A1791,Data!$M$10:$M$3209,"&lt;"&amp;$A1791+1)))</f>
        <v/>
      </c>
      <c r="AH1791">
        <f>IF($B1791=0,0,IF(Inputs!$B$10="",0,COUNTIFS(Data!$Q$10:$Q$3209,"&gt;="&amp;$A1791,Data!$Q$10:$Q$3209,"&lt;"&amp;$A1791+1)))</f>
        <v/>
      </c>
    </row>
    <row r="1792">
      <c r="A1792" s="55">
        <f>MIN(Inputs!$C$15,$A1791+IF(WEEKDAY($A1791,2)=5,3,1))</f>
        <v/>
      </c>
      <c r="B1792">
        <f>IF($A1792&gt;$A1791,1,0)</f>
        <v/>
      </c>
      <c r="C1792" s="56">
        <f>IF($B1792=0,"",IF(Inputs!$B$6="","",IF($AD1792=0,C1791,SUMIFS(Data!$B$10:$B$3209,Data!$A$10:$A$3209,"&gt;="&amp;$A1792,Data!$A$10:$A$3209,"&lt;"&amp;$A1792+1)/$AD1792)))</f>
        <v/>
      </c>
      <c r="D1792" s="56">
        <f>IF($B1792=0,"",IF(Inputs!$B$7="","",IF($AE1792=0,D1791,SUMIFS(Data!$F$10:$F$3209,Data!$E$10:$E$3209,"&gt;="&amp;$A1792,Data!$E$10:$E$3209,"&lt;"&amp;$A1792+1)/$AE1792)))</f>
        <v/>
      </c>
      <c r="E1792" s="56">
        <f>IF($B1792=0,"",IF(Inputs!$B$8="","",IF($AF1792=0,E1791,SUMIFS(Data!$J$10:$J$3209,Data!$I$10:$I$3209,"&gt;="&amp;$A1792,Data!$I$10:$I$3209,"&lt;"&amp;$A1792+1)/$AF1792)))</f>
        <v/>
      </c>
      <c r="F1792" s="56">
        <f>IF($B1792=0,"",IF(Inputs!$B$9="","",IF($AG1792=0,F1791,SUMIFS(Data!$N$10:$N$3209,Data!$M$10:$M$3209,"&gt;="&amp;$A1792,Data!$M$10:$M$3209,"&lt;"&amp;$A1792+1)/$AG1792)))</f>
        <v/>
      </c>
      <c r="G1792" s="56">
        <f>IF($B1792=0,"",IF(Inputs!$B$10="","",IF($AH1792=0,G1791,SUMIFS(Data!$R$10:$R$3209,Data!$Q$10:$Q$3209,"&gt;="&amp;$A1792,Data!$Q$10:$Q$3209,"&lt;"&amp;$A1792+1)/$AH1792)))</f>
        <v/>
      </c>
      <c r="I1792" s="54">
        <f>IF($B1792=0,NA(),IF($C1792="",NA(),IF(C$8="",NA(),IF(N(C$8)=0,NA(),IF(Inputs!$C$17="Rebased to 100",$C1792/C$8*100,$C1792)))))</f>
        <v/>
      </c>
      <c r="J1792" s="54">
        <f>IF($B1792=0,NA(),IF($D1792="",NA(),IF(D$8="",NA(),IF(N(D$8)=0,NA(),IF(Inputs!$C$17="Rebased to 100",$D1792/D$8*100,$D1792)))))</f>
        <v/>
      </c>
      <c r="K1792" s="54">
        <f>IF($B1792=0,NA(),IF($E1792="",NA(),IF(E$8="",NA(),IF(N(E$8)=0,NA(),IF(Inputs!$C$17="Rebased to 100",$E1792/E$8*100,$E1792)))))</f>
        <v/>
      </c>
      <c r="L1792" s="54">
        <f>IF($B1792=0,NA(),IF($F1792="",NA(),IF(F$8="",NA(),IF(N(F$8)=0,NA(),IF(Inputs!$C$17="Rebased to 100",$F1792/F$8*100,$F1792)))))</f>
        <v/>
      </c>
      <c r="M1792" s="54">
        <f>IF($B1792=0,NA(),IF($G1792="",NA(),IF(G$8="",NA(),IF(N(G$8)=0,NA(),IF(Inputs!$C$17="Rebased to 100",$G1792/G$8*100,$G1792)))))</f>
        <v/>
      </c>
      <c r="N1792" s="54">
        <f>IF($B1792=0,NA(),IF(Inputs!$C$18&lt;&gt;"Yes",NA(),IF(COUNT(I1792,J1792,K1792,L1792,M1792)=0,NA(),MIN(I1792,J1792,K1792,L1792,M1792))))</f>
        <v/>
      </c>
      <c r="O1792" s="54">
        <f>IF($B1792=0,NA(),IF(Inputs!$B$24&lt;&gt;"Yes",NA(),Inputs!$D$24*Inputs!$C$35))</f>
        <v/>
      </c>
      <c r="P1792" s="54">
        <f>IF($B1792=0,NA(),IF(Inputs!$B$25&lt;&gt;"Yes",NA(),Inputs!$D$25*Inputs!$C$35))</f>
        <v/>
      </c>
      <c r="Q1792" s="54">
        <f>IF($B1792=0,NA(),IF(Inputs!$B$26&lt;&gt;"Yes",NA(),Inputs!$D$26*Inputs!$C$35))</f>
        <v/>
      </c>
      <c r="R1792" s="54">
        <f>IF($B1792=0,NA(),IF(Inputs!$B$27&lt;&gt;"Yes",NA(),Inputs!$D$27*Inputs!$C$35))</f>
        <v/>
      </c>
      <c r="S1792" s="54">
        <f>IF($B1792=0,NA(),IF(Inputs!$B$28&lt;&gt;"Yes",NA(),Inputs!$D$28*Inputs!$C$35))</f>
        <v/>
      </c>
      <c r="T1792" s="54">
        <f>IF($B1792=0,NA(),IF(Inputs!$B$29&lt;&gt;"Yes",NA(),Inputs!$D$29*Inputs!$C$35))</f>
        <v/>
      </c>
      <c r="AD1792">
        <f>IF($B1792=0,0,IF(Inputs!$B$6="",0,COUNTIFS(Data!$A$10:$A$3209,"&gt;="&amp;$A1792,Data!$A$10:$A$3209,"&lt;"&amp;$A1792+1)))</f>
        <v/>
      </c>
      <c r="AE1792">
        <f>IF($B1792=0,0,IF(Inputs!$B$7="",0,COUNTIFS(Data!$E$10:$E$3209,"&gt;="&amp;$A1792,Data!$E$10:$E$3209,"&lt;"&amp;$A1792+1)))</f>
        <v/>
      </c>
      <c r="AF1792">
        <f>IF($B1792=0,0,IF(Inputs!$B$8="",0,COUNTIFS(Data!$I$10:$I$3209,"&gt;="&amp;$A1792,Data!$I$10:$I$3209,"&lt;"&amp;$A1792+1)))</f>
        <v/>
      </c>
      <c r="AG1792">
        <f>IF($B1792=0,0,IF(Inputs!$B$9="",0,COUNTIFS(Data!$M$10:$M$3209,"&gt;="&amp;$A1792,Data!$M$10:$M$3209,"&lt;"&amp;$A1792+1)))</f>
        <v/>
      </c>
      <c r="AH1792">
        <f>IF($B1792=0,0,IF(Inputs!$B$10="",0,COUNTIFS(Data!$Q$10:$Q$3209,"&gt;="&amp;$A1792,Data!$Q$10:$Q$3209,"&lt;"&amp;$A1792+1)))</f>
        <v/>
      </c>
    </row>
    <row r="1793">
      <c r="A1793" s="55">
        <f>MIN(Inputs!$C$15,$A1792+IF(WEEKDAY($A1792,2)=5,3,1))</f>
        <v/>
      </c>
      <c r="B1793">
        <f>IF($A1793&gt;$A1792,1,0)</f>
        <v/>
      </c>
      <c r="C1793" s="56">
        <f>IF($B1793=0,"",IF(Inputs!$B$6="","",IF($AD1793=0,C1792,SUMIFS(Data!$B$10:$B$3209,Data!$A$10:$A$3209,"&gt;="&amp;$A1793,Data!$A$10:$A$3209,"&lt;"&amp;$A1793+1)/$AD1793)))</f>
        <v/>
      </c>
      <c r="D1793" s="56">
        <f>IF($B1793=0,"",IF(Inputs!$B$7="","",IF($AE1793=0,D1792,SUMIFS(Data!$F$10:$F$3209,Data!$E$10:$E$3209,"&gt;="&amp;$A1793,Data!$E$10:$E$3209,"&lt;"&amp;$A1793+1)/$AE1793)))</f>
        <v/>
      </c>
      <c r="E1793" s="56">
        <f>IF($B1793=0,"",IF(Inputs!$B$8="","",IF($AF1793=0,E1792,SUMIFS(Data!$J$10:$J$3209,Data!$I$10:$I$3209,"&gt;="&amp;$A1793,Data!$I$10:$I$3209,"&lt;"&amp;$A1793+1)/$AF1793)))</f>
        <v/>
      </c>
      <c r="F1793" s="56">
        <f>IF($B1793=0,"",IF(Inputs!$B$9="","",IF($AG1793=0,F1792,SUMIFS(Data!$N$10:$N$3209,Data!$M$10:$M$3209,"&gt;="&amp;$A1793,Data!$M$10:$M$3209,"&lt;"&amp;$A1793+1)/$AG1793)))</f>
        <v/>
      </c>
      <c r="G1793" s="56">
        <f>IF($B1793=0,"",IF(Inputs!$B$10="","",IF($AH1793=0,G1792,SUMIFS(Data!$R$10:$R$3209,Data!$Q$10:$Q$3209,"&gt;="&amp;$A1793,Data!$Q$10:$Q$3209,"&lt;"&amp;$A1793+1)/$AH1793)))</f>
        <v/>
      </c>
      <c r="I1793" s="54">
        <f>IF($B1793=0,NA(),IF($C1793="",NA(),IF(C$8="",NA(),IF(N(C$8)=0,NA(),IF(Inputs!$C$17="Rebased to 100",$C1793/C$8*100,$C1793)))))</f>
        <v/>
      </c>
      <c r="J1793" s="54">
        <f>IF($B1793=0,NA(),IF($D1793="",NA(),IF(D$8="",NA(),IF(N(D$8)=0,NA(),IF(Inputs!$C$17="Rebased to 100",$D1793/D$8*100,$D1793)))))</f>
        <v/>
      </c>
      <c r="K1793" s="54">
        <f>IF($B1793=0,NA(),IF($E1793="",NA(),IF(E$8="",NA(),IF(N(E$8)=0,NA(),IF(Inputs!$C$17="Rebased to 100",$E1793/E$8*100,$E1793)))))</f>
        <v/>
      </c>
      <c r="L1793" s="54">
        <f>IF($B1793=0,NA(),IF($F1793="",NA(),IF(F$8="",NA(),IF(N(F$8)=0,NA(),IF(Inputs!$C$17="Rebased to 100",$F1793/F$8*100,$F1793)))))</f>
        <v/>
      </c>
      <c r="M1793" s="54">
        <f>IF($B1793=0,NA(),IF($G1793="",NA(),IF(G$8="",NA(),IF(N(G$8)=0,NA(),IF(Inputs!$C$17="Rebased to 100",$G1793/G$8*100,$G1793)))))</f>
        <v/>
      </c>
      <c r="N1793" s="54">
        <f>IF($B1793=0,NA(),IF(Inputs!$C$18&lt;&gt;"Yes",NA(),IF(COUNT(I1793,J1793,K1793,L1793,M1793)=0,NA(),MIN(I1793,J1793,K1793,L1793,M1793))))</f>
        <v/>
      </c>
      <c r="O1793" s="54">
        <f>IF($B1793=0,NA(),IF(Inputs!$B$24&lt;&gt;"Yes",NA(),Inputs!$D$24*Inputs!$C$35))</f>
        <v/>
      </c>
      <c r="P1793" s="54">
        <f>IF($B1793=0,NA(),IF(Inputs!$B$25&lt;&gt;"Yes",NA(),Inputs!$D$25*Inputs!$C$35))</f>
        <v/>
      </c>
      <c r="Q1793" s="54">
        <f>IF($B1793=0,NA(),IF(Inputs!$B$26&lt;&gt;"Yes",NA(),Inputs!$D$26*Inputs!$C$35))</f>
        <v/>
      </c>
      <c r="R1793" s="54">
        <f>IF($B1793=0,NA(),IF(Inputs!$B$27&lt;&gt;"Yes",NA(),Inputs!$D$27*Inputs!$C$35))</f>
        <v/>
      </c>
      <c r="S1793" s="54">
        <f>IF($B1793=0,NA(),IF(Inputs!$B$28&lt;&gt;"Yes",NA(),Inputs!$D$28*Inputs!$C$35))</f>
        <v/>
      </c>
      <c r="T1793" s="54">
        <f>IF($B1793=0,NA(),IF(Inputs!$B$29&lt;&gt;"Yes",NA(),Inputs!$D$29*Inputs!$C$35))</f>
        <v/>
      </c>
      <c r="AD1793">
        <f>IF($B1793=0,0,IF(Inputs!$B$6="",0,COUNTIFS(Data!$A$10:$A$3209,"&gt;="&amp;$A1793,Data!$A$10:$A$3209,"&lt;"&amp;$A1793+1)))</f>
        <v/>
      </c>
      <c r="AE1793">
        <f>IF($B1793=0,0,IF(Inputs!$B$7="",0,COUNTIFS(Data!$E$10:$E$3209,"&gt;="&amp;$A1793,Data!$E$10:$E$3209,"&lt;"&amp;$A1793+1)))</f>
        <v/>
      </c>
      <c r="AF1793">
        <f>IF($B1793=0,0,IF(Inputs!$B$8="",0,COUNTIFS(Data!$I$10:$I$3209,"&gt;="&amp;$A1793,Data!$I$10:$I$3209,"&lt;"&amp;$A1793+1)))</f>
        <v/>
      </c>
      <c r="AG1793">
        <f>IF($B1793=0,0,IF(Inputs!$B$9="",0,COUNTIFS(Data!$M$10:$M$3209,"&gt;="&amp;$A1793,Data!$M$10:$M$3209,"&lt;"&amp;$A1793+1)))</f>
        <v/>
      </c>
      <c r="AH1793">
        <f>IF($B1793=0,0,IF(Inputs!$B$10="",0,COUNTIFS(Data!$Q$10:$Q$3209,"&gt;="&amp;$A1793,Data!$Q$10:$Q$3209,"&lt;"&amp;$A1793+1)))</f>
        <v/>
      </c>
    </row>
    <row r="1794">
      <c r="A1794" s="55">
        <f>MIN(Inputs!$C$15,$A1793+IF(WEEKDAY($A1793,2)=5,3,1))</f>
        <v/>
      </c>
      <c r="B1794">
        <f>IF($A1794&gt;$A1793,1,0)</f>
        <v/>
      </c>
      <c r="C1794" s="56">
        <f>IF($B1794=0,"",IF(Inputs!$B$6="","",IF($AD1794=0,C1793,SUMIFS(Data!$B$10:$B$3209,Data!$A$10:$A$3209,"&gt;="&amp;$A1794,Data!$A$10:$A$3209,"&lt;"&amp;$A1794+1)/$AD1794)))</f>
        <v/>
      </c>
      <c r="D1794" s="56">
        <f>IF($B1794=0,"",IF(Inputs!$B$7="","",IF($AE1794=0,D1793,SUMIFS(Data!$F$10:$F$3209,Data!$E$10:$E$3209,"&gt;="&amp;$A1794,Data!$E$10:$E$3209,"&lt;"&amp;$A1794+1)/$AE1794)))</f>
        <v/>
      </c>
      <c r="E1794" s="56">
        <f>IF($B1794=0,"",IF(Inputs!$B$8="","",IF($AF1794=0,E1793,SUMIFS(Data!$J$10:$J$3209,Data!$I$10:$I$3209,"&gt;="&amp;$A1794,Data!$I$10:$I$3209,"&lt;"&amp;$A1794+1)/$AF1794)))</f>
        <v/>
      </c>
      <c r="F1794" s="56">
        <f>IF($B1794=0,"",IF(Inputs!$B$9="","",IF($AG1794=0,F1793,SUMIFS(Data!$N$10:$N$3209,Data!$M$10:$M$3209,"&gt;="&amp;$A1794,Data!$M$10:$M$3209,"&lt;"&amp;$A1794+1)/$AG1794)))</f>
        <v/>
      </c>
      <c r="G1794" s="56">
        <f>IF($B1794=0,"",IF(Inputs!$B$10="","",IF($AH1794=0,G1793,SUMIFS(Data!$R$10:$R$3209,Data!$Q$10:$Q$3209,"&gt;="&amp;$A1794,Data!$Q$10:$Q$3209,"&lt;"&amp;$A1794+1)/$AH1794)))</f>
        <v/>
      </c>
      <c r="I1794" s="54">
        <f>IF($B1794=0,NA(),IF($C1794="",NA(),IF(C$8="",NA(),IF(N(C$8)=0,NA(),IF(Inputs!$C$17="Rebased to 100",$C1794/C$8*100,$C1794)))))</f>
        <v/>
      </c>
      <c r="J1794" s="54">
        <f>IF($B1794=0,NA(),IF($D1794="",NA(),IF(D$8="",NA(),IF(N(D$8)=0,NA(),IF(Inputs!$C$17="Rebased to 100",$D1794/D$8*100,$D1794)))))</f>
        <v/>
      </c>
      <c r="K1794" s="54">
        <f>IF($B1794=0,NA(),IF($E1794="",NA(),IF(E$8="",NA(),IF(N(E$8)=0,NA(),IF(Inputs!$C$17="Rebased to 100",$E1794/E$8*100,$E1794)))))</f>
        <v/>
      </c>
      <c r="L1794" s="54">
        <f>IF($B1794=0,NA(),IF($F1794="",NA(),IF(F$8="",NA(),IF(N(F$8)=0,NA(),IF(Inputs!$C$17="Rebased to 100",$F1794/F$8*100,$F1794)))))</f>
        <v/>
      </c>
      <c r="M1794" s="54">
        <f>IF($B1794=0,NA(),IF($G1794="",NA(),IF(G$8="",NA(),IF(N(G$8)=0,NA(),IF(Inputs!$C$17="Rebased to 100",$G1794/G$8*100,$G1794)))))</f>
        <v/>
      </c>
      <c r="N1794" s="54">
        <f>IF($B1794=0,NA(),IF(Inputs!$C$18&lt;&gt;"Yes",NA(),IF(COUNT(I1794,J1794,K1794,L1794,M1794)=0,NA(),MIN(I1794,J1794,K1794,L1794,M1794))))</f>
        <v/>
      </c>
      <c r="O1794" s="54">
        <f>IF($B1794=0,NA(),IF(Inputs!$B$24&lt;&gt;"Yes",NA(),Inputs!$D$24*Inputs!$C$35))</f>
        <v/>
      </c>
      <c r="P1794" s="54">
        <f>IF($B1794=0,NA(),IF(Inputs!$B$25&lt;&gt;"Yes",NA(),Inputs!$D$25*Inputs!$C$35))</f>
        <v/>
      </c>
      <c r="Q1794" s="54">
        <f>IF($B1794=0,NA(),IF(Inputs!$B$26&lt;&gt;"Yes",NA(),Inputs!$D$26*Inputs!$C$35))</f>
        <v/>
      </c>
      <c r="R1794" s="54">
        <f>IF($B1794=0,NA(),IF(Inputs!$B$27&lt;&gt;"Yes",NA(),Inputs!$D$27*Inputs!$C$35))</f>
        <v/>
      </c>
      <c r="S1794" s="54">
        <f>IF($B1794=0,NA(),IF(Inputs!$B$28&lt;&gt;"Yes",NA(),Inputs!$D$28*Inputs!$C$35))</f>
        <v/>
      </c>
      <c r="T1794" s="54">
        <f>IF($B1794=0,NA(),IF(Inputs!$B$29&lt;&gt;"Yes",NA(),Inputs!$D$29*Inputs!$C$35))</f>
        <v/>
      </c>
      <c r="AD1794">
        <f>IF($B1794=0,0,IF(Inputs!$B$6="",0,COUNTIFS(Data!$A$10:$A$3209,"&gt;="&amp;$A1794,Data!$A$10:$A$3209,"&lt;"&amp;$A1794+1)))</f>
        <v/>
      </c>
      <c r="AE1794">
        <f>IF($B1794=0,0,IF(Inputs!$B$7="",0,COUNTIFS(Data!$E$10:$E$3209,"&gt;="&amp;$A1794,Data!$E$10:$E$3209,"&lt;"&amp;$A1794+1)))</f>
        <v/>
      </c>
      <c r="AF1794">
        <f>IF($B1794=0,0,IF(Inputs!$B$8="",0,COUNTIFS(Data!$I$10:$I$3209,"&gt;="&amp;$A1794,Data!$I$10:$I$3209,"&lt;"&amp;$A1794+1)))</f>
        <v/>
      </c>
      <c r="AG1794">
        <f>IF($B1794=0,0,IF(Inputs!$B$9="",0,COUNTIFS(Data!$M$10:$M$3209,"&gt;="&amp;$A1794,Data!$M$10:$M$3209,"&lt;"&amp;$A1794+1)))</f>
        <v/>
      </c>
      <c r="AH1794">
        <f>IF($B1794=0,0,IF(Inputs!$B$10="",0,COUNTIFS(Data!$Q$10:$Q$3209,"&gt;="&amp;$A1794,Data!$Q$10:$Q$3209,"&lt;"&amp;$A1794+1)))</f>
        <v/>
      </c>
    </row>
    <row r="1795">
      <c r="A1795" s="55">
        <f>MIN(Inputs!$C$15,$A1794+IF(WEEKDAY($A1794,2)=5,3,1))</f>
        <v/>
      </c>
      <c r="B1795">
        <f>IF($A1795&gt;$A1794,1,0)</f>
        <v/>
      </c>
      <c r="C1795" s="56">
        <f>IF($B1795=0,"",IF(Inputs!$B$6="","",IF($AD1795=0,C1794,SUMIFS(Data!$B$10:$B$3209,Data!$A$10:$A$3209,"&gt;="&amp;$A1795,Data!$A$10:$A$3209,"&lt;"&amp;$A1795+1)/$AD1795)))</f>
        <v/>
      </c>
      <c r="D1795" s="56">
        <f>IF($B1795=0,"",IF(Inputs!$B$7="","",IF($AE1795=0,D1794,SUMIFS(Data!$F$10:$F$3209,Data!$E$10:$E$3209,"&gt;="&amp;$A1795,Data!$E$10:$E$3209,"&lt;"&amp;$A1795+1)/$AE1795)))</f>
        <v/>
      </c>
      <c r="E1795" s="56">
        <f>IF($B1795=0,"",IF(Inputs!$B$8="","",IF($AF1795=0,E1794,SUMIFS(Data!$J$10:$J$3209,Data!$I$10:$I$3209,"&gt;="&amp;$A1795,Data!$I$10:$I$3209,"&lt;"&amp;$A1795+1)/$AF1795)))</f>
        <v/>
      </c>
      <c r="F1795" s="56">
        <f>IF($B1795=0,"",IF(Inputs!$B$9="","",IF($AG1795=0,F1794,SUMIFS(Data!$N$10:$N$3209,Data!$M$10:$M$3209,"&gt;="&amp;$A1795,Data!$M$10:$M$3209,"&lt;"&amp;$A1795+1)/$AG1795)))</f>
        <v/>
      </c>
      <c r="G1795" s="56">
        <f>IF($B1795=0,"",IF(Inputs!$B$10="","",IF($AH1795=0,G1794,SUMIFS(Data!$R$10:$R$3209,Data!$Q$10:$Q$3209,"&gt;="&amp;$A1795,Data!$Q$10:$Q$3209,"&lt;"&amp;$A1795+1)/$AH1795)))</f>
        <v/>
      </c>
      <c r="I1795" s="54">
        <f>IF($B1795=0,NA(),IF($C1795="",NA(),IF(C$8="",NA(),IF(N(C$8)=0,NA(),IF(Inputs!$C$17="Rebased to 100",$C1795/C$8*100,$C1795)))))</f>
        <v/>
      </c>
      <c r="J1795" s="54">
        <f>IF($B1795=0,NA(),IF($D1795="",NA(),IF(D$8="",NA(),IF(N(D$8)=0,NA(),IF(Inputs!$C$17="Rebased to 100",$D1795/D$8*100,$D1795)))))</f>
        <v/>
      </c>
      <c r="K1795" s="54">
        <f>IF($B1795=0,NA(),IF($E1795="",NA(),IF(E$8="",NA(),IF(N(E$8)=0,NA(),IF(Inputs!$C$17="Rebased to 100",$E1795/E$8*100,$E1795)))))</f>
        <v/>
      </c>
      <c r="L1795" s="54">
        <f>IF($B1795=0,NA(),IF($F1795="",NA(),IF(F$8="",NA(),IF(N(F$8)=0,NA(),IF(Inputs!$C$17="Rebased to 100",$F1795/F$8*100,$F1795)))))</f>
        <v/>
      </c>
      <c r="M1795" s="54">
        <f>IF($B1795=0,NA(),IF($G1795="",NA(),IF(G$8="",NA(),IF(N(G$8)=0,NA(),IF(Inputs!$C$17="Rebased to 100",$G1795/G$8*100,$G1795)))))</f>
        <v/>
      </c>
      <c r="N1795" s="54">
        <f>IF($B1795=0,NA(),IF(Inputs!$C$18&lt;&gt;"Yes",NA(),IF(COUNT(I1795,J1795,K1795,L1795,M1795)=0,NA(),MIN(I1795,J1795,K1795,L1795,M1795))))</f>
        <v/>
      </c>
      <c r="O1795" s="54">
        <f>IF($B1795=0,NA(),IF(Inputs!$B$24&lt;&gt;"Yes",NA(),Inputs!$D$24*Inputs!$C$35))</f>
        <v/>
      </c>
      <c r="P1795" s="54">
        <f>IF($B1795=0,NA(),IF(Inputs!$B$25&lt;&gt;"Yes",NA(),Inputs!$D$25*Inputs!$C$35))</f>
        <v/>
      </c>
      <c r="Q1795" s="54">
        <f>IF($B1795=0,NA(),IF(Inputs!$B$26&lt;&gt;"Yes",NA(),Inputs!$D$26*Inputs!$C$35))</f>
        <v/>
      </c>
      <c r="R1795" s="54">
        <f>IF($B1795=0,NA(),IF(Inputs!$B$27&lt;&gt;"Yes",NA(),Inputs!$D$27*Inputs!$C$35))</f>
        <v/>
      </c>
      <c r="S1795" s="54">
        <f>IF($B1795=0,NA(),IF(Inputs!$B$28&lt;&gt;"Yes",NA(),Inputs!$D$28*Inputs!$C$35))</f>
        <v/>
      </c>
      <c r="T1795" s="54">
        <f>IF($B1795=0,NA(),IF(Inputs!$B$29&lt;&gt;"Yes",NA(),Inputs!$D$29*Inputs!$C$35))</f>
        <v/>
      </c>
      <c r="AD1795">
        <f>IF($B1795=0,0,IF(Inputs!$B$6="",0,COUNTIFS(Data!$A$10:$A$3209,"&gt;="&amp;$A1795,Data!$A$10:$A$3209,"&lt;"&amp;$A1795+1)))</f>
        <v/>
      </c>
      <c r="AE1795">
        <f>IF($B1795=0,0,IF(Inputs!$B$7="",0,COUNTIFS(Data!$E$10:$E$3209,"&gt;="&amp;$A1795,Data!$E$10:$E$3209,"&lt;"&amp;$A1795+1)))</f>
        <v/>
      </c>
      <c r="AF1795">
        <f>IF($B1795=0,0,IF(Inputs!$B$8="",0,COUNTIFS(Data!$I$10:$I$3209,"&gt;="&amp;$A1795,Data!$I$10:$I$3209,"&lt;"&amp;$A1795+1)))</f>
        <v/>
      </c>
      <c r="AG1795">
        <f>IF($B1795=0,0,IF(Inputs!$B$9="",0,COUNTIFS(Data!$M$10:$M$3209,"&gt;="&amp;$A1795,Data!$M$10:$M$3209,"&lt;"&amp;$A1795+1)))</f>
        <v/>
      </c>
      <c r="AH1795">
        <f>IF($B1795=0,0,IF(Inputs!$B$10="",0,COUNTIFS(Data!$Q$10:$Q$3209,"&gt;="&amp;$A1795,Data!$Q$10:$Q$3209,"&lt;"&amp;$A1795+1)))</f>
        <v/>
      </c>
    </row>
    <row r="1796">
      <c r="A1796" s="55">
        <f>MIN(Inputs!$C$15,$A1795+IF(WEEKDAY($A1795,2)=5,3,1))</f>
        <v/>
      </c>
      <c r="B1796">
        <f>IF($A1796&gt;$A1795,1,0)</f>
        <v/>
      </c>
      <c r="C1796" s="56">
        <f>IF($B1796=0,"",IF(Inputs!$B$6="","",IF($AD1796=0,C1795,SUMIFS(Data!$B$10:$B$3209,Data!$A$10:$A$3209,"&gt;="&amp;$A1796,Data!$A$10:$A$3209,"&lt;"&amp;$A1796+1)/$AD1796)))</f>
        <v/>
      </c>
      <c r="D1796" s="56">
        <f>IF($B1796=0,"",IF(Inputs!$B$7="","",IF($AE1796=0,D1795,SUMIFS(Data!$F$10:$F$3209,Data!$E$10:$E$3209,"&gt;="&amp;$A1796,Data!$E$10:$E$3209,"&lt;"&amp;$A1796+1)/$AE1796)))</f>
        <v/>
      </c>
      <c r="E1796" s="56">
        <f>IF($B1796=0,"",IF(Inputs!$B$8="","",IF($AF1796=0,E1795,SUMIFS(Data!$J$10:$J$3209,Data!$I$10:$I$3209,"&gt;="&amp;$A1796,Data!$I$10:$I$3209,"&lt;"&amp;$A1796+1)/$AF1796)))</f>
        <v/>
      </c>
      <c r="F1796" s="56">
        <f>IF($B1796=0,"",IF(Inputs!$B$9="","",IF($AG1796=0,F1795,SUMIFS(Data!$N$10:$N$3209,Data!$M$10:$M$3209,"&gt;="&amp;$A1796,Data!$M$10:$M$3209,"&lt;"&amp;$A1796+1)/$AG1796)))</f>
        <v/>
      </c>
      <c r="G1796" s="56">
        <f>IF($B1796=0,"",IF(Inputs!$B$10="","",IF($AH1796=0,G1795,SUMIFS(Data!$R$10:$R$3209,Data!$Q$10:$Q$3209,"&gt;="&amp;$A1796,Data!$Q$10:$Q$3209,"&lt;"&amp;$A1796+1)/$AH1796)))</f>
        <v/>
      </c>
      <c r="I1796" s="54">
        <f>IF($B1796=0,NA(),IF($C1796="",NA(),IF(C$8="",NA(),IF(N(C$8)=0,NA(),IF(Inputs!$C$17="Rebased to 100",$C1796/C$8*100,$C1796)))))</f>
        <v/>
      </c>
      <c r="J1796" s="54">
        <f>IF($B1796=0,NA(),IF($D1796="",NA(),IF(D$8="",NA(),IF(N(D$8)=0,NA(),IF(Inputs!$C$17="Rebased to 100",$D1796/D$8*100,$D1796)))))</f>
        <v/>
      </c>
      <c r="K1796" s="54">
        <f>IF($B1796=0,NA(),IF($E1796="",NA(),IF(E$8="",NA(),IF(N(E$8)=0,NA(),IF(Inputs!$C$17="Rebased to 100",$E1796/E$8*100,$E1796)))))</f>
        <v/>
      </c>
      <c r="L1796" s="54">
        <f>IF($B1796=0,NA(),IF($F1796="",NA(),IF(F$8="",NA(),IF(N(F$8)=0,NA(),IF(Inputs!$C$17="Rebased to 100",$F1796/F$8*100,$F1796)))))</f>
        <v/>
      </c>
      <c r="M1796" s="54">
        <f>IF($B1796=0,NA(),IF($G1796="",NA(),IF(G$8="",NA(),IF(N(G$8)=0,NA(),IF(Inputs!$C$17="Rebased to 100",$G1796/G$8*100,$G1796)))))</f>
        <v/>
      </c>
      <c r="N1796" s="54">
        <f>IF($B1796=0,NA(),IF(Inputs!$C$18&lt;&gt;"Yes",NA(),IF(COUNT(I1796,J1796,K1796,L1796,M1796)=0,NA(),MIN(I1796,J1796,K1796,L1796,M1796))))</f>
        <v/>
      </c>
      <c r="O1796" s="54">
        <f>IF($B1796=0,NA(),IF(Inputs!$B$24&lt;&gt;"Yes",NA(),Inputs!$D$24*Inputs!$C$35))</f>
        <v/>
      </c>
      <c r="P1796" s="54">
        <f>IF($B1796=0,NA(),IF(Inputs!$B$25&lt;&gt;"Yes",NA(),Inputs!$D$25*Inputs!$C$35))</f>
        <v/>
      </c>
      <c r="Q1796" s="54">
        <f>IF($B1796=0,NA(),IF(Inputs!$B$26&lt;&gt;"Yes",NA(),Inputs!$D$26*Inputs!$C$35))</f>
        <v/>
      </c>
      <c r="R1796" s="54">
        <f>IF($B1796=0,NA(),IF(Inputs!$B$27&lt;&gt;"Yes",NA(),Inputs!$D$27*Inputs!$C$35))</f>
        <v/>
      </c>
      <c r="S1796" s="54">
        <f>IF($B1796=0,NA(),IF(Inputs!$B$28&lt;&gt;"Yes",NA(),Inputs!$D$28*Inputs!$C$35))</f>
        <v/>
      </c>
      <c r="T1796" s="54">
        <f>IF($B1796=0,NA(),IF(Inputs!$B$29&lt;&gt;"Yes",NA(),Inputs!$D$29*Inputs!$C$35))</f>
        <v/>
      </c>
      <c r="AD1796">
        <f>IF($B1796=0,0,IF(Inputs!$B$6="",0,COUNTIFS(Data!$A$10:$A$3209,"&gt;="&amp;$A1796,Data!$A$10:$A$3209,"&lt;"&amp;$A1796+1)))</f>
        <v/>
      </c>
      <c r="AE1796">
        <f>IF($B1796=0,0,IF(Inputs!$B$7="",0,COUNTIFS(Data!$E$10:$E$3209,"&gt;="&amp;$A1796,Data!$E$10:$E$3209,"&lt;"&amp;$A1796+1)))</f>
        <v/>
      </c>
      <c r="AF1796">
        <f>IF($B1796=0,0,IF(Inputs!$B$8="",0,COUNTIFS(Data!$I$10:$I$3209,"&gt;="&amp;$A1796,Data!$I$10:$I$3209,"&lt;"&amp;$A1796+1)))</f>
        <v/>
      </c>
      <c r="AG1796">
        <f>IF($B1796=0,0,IF(Inputs!$B$9="",0,COUNTIFS(Data!$M$10:$M$3209,"&gt;="&amp;$A1796,Data!$M$10:$M$3209,"&lt;"&amp;$A1796+1)))</f>
        <v/>
      </c>
      <c r="AH1796">
        <f>IF($B1796=0,0,IF(Inputs!$B$10="",0,COUNTIFS(Data!$Q$10:$Q$3209,"&gt;="&amp;$A1796,Data!$Q$10:$Q$3209,"&lt;"&amp;$A1796+1)))</f>
        <v/>
      </c>
    </row>
    <row r="1797">
      <c r="A1797" s="55">
        <f>MIN(Inputs!$C$15,$A1796+IF(WEEKDAY($A1796,2)=5,3,1))</f>
        <v/>
      </c>
      <c r="B1797">
        <f>IF($A1797&gt;$A1796,1,0)</f>
        <v/>
      </c>
      <c r="C1797" s="56">
        <f>IF($B1797=0,"",IF(Inputs!$B$6="","",IF($AD1797=0,C1796,SUMIFS(Data!$B$10:$B$3209,Data!$A$10:$A$3209,"&gt;="&amp;$A1797,Data!$A$10:$A$3209,"&lt;"&amp;$A1797+1)/$AD1797)))</f>
        <v/>
      </c>
      <c r="D1797" s="56">
        <f>IF($B1797=0,"",IF(Inputs!$B$7="","",IF($AE1797=0,D1796,SUMIFS(Data!$F$10:$F$3209,Data!$E$10:$E$3209,"&gt;="&amp;$A1797,Data!$E$10:$E$3209,"&lt;"&amp;$A1797+1)/$AE1797)))</f>
        <v/>
      </c>
      <c r="E1797" s="56">
        <f>IF($B1797=0,"",IF(Inputs!$B$8="","",IF($AF1797=0,E1796,SUMIFS(Data!$J$10:$J$3209,Data!$I$10:$I$3209,"&gt;="&amp;$A1797,Data!$I$10:$I$3209,"&lt;"&amp;$A1797+1)/$AF1797)))</f>
        <v/>
      </c>
      <c r="F1797" s="56">
        <f>IF($B1797=0,"",IF(Inputs!$B$9="","",IF($AG1797=0,F1796,SUMIFS(Data!$N$10:$N$3209,Data!$M$10:$M$3209,"&gt;="&amp;$A1797,Data!$M$10:$M$3209,"&lt;"&amp;$A1797+1)/$AG1797)))</f>
        <v/>
      </c>
      <c r="G1797" s="56">
        <f>IF($B1797=0,"",IF(Inputs!$B$10="","",IF($AH1797=0,G1796,SUMIFS(Data!$R$10:$R$3209,Data!$Q$10:$Q$3209,"&gt;="&amp;$A1797,Data!$Q$10:$Q$3209,"&lt;"&amp;$A1797+1)/$AH1797)))</f>
        <v/>
      </c>
      <c r="I1797" s="54">
        <f>IF($B1797=0,NA(),IF($C1797="",NA(),IF(C$8="",NA(),IF(N(C$8)=0,NA(),IF(Inputs!$C$17="Rebased to 100",$C1797/C$8*100,$C1797)))))</f>
        <v/>
      </c>
      <c r="J1797" s="54">
        <f>IF($B1797=0,NA(),IF($D1797="",NA(),IF(D$8="",NA(),IF(N(D$8)=0,NA(),IF(Inputs!$C$17="Rebased to 100",$D1797/D$8*100,$D1797)))))</f>
        <v/>
      </c>
      <c r="K1797" s="54">
        <f>IF($B1797=0,NA(),IF($E1797="",NA(),IF(E$8="",NA(),IF(N(E$8)=0,NA(),IF(Inputs!$C$17="Rebased to 100",$E1797/E$8*100,$E1797)))))</f>
        <v/>
      </c>
      <c r="L1797" s="54">
        <f>IF($B1797=0,NA(),IF($F1797="",NA(),IF(F$8="",NA(),IF(N(F$8)=0,NA(),IF(Inputs!$C$17="Rebased to 100",$F1797/F$8*100,$F1797)))))</f>
        <v/>
      </c>
      <c r="M1797" s="54">
        <f>IF($B1797=0,NA(),IF($G1797="",NA(),IF(G$8="",NA(),IF(N(G$8)=0,NA(),IF(Inputs!$C$17="Rebased to 100",$G1797/G$8*100,$G1797)))))</f>
        <v/>
      </c>
      <c r="N1797" s="54">
        <f>IF($B1797=0,NA(),IF(Inputs!$C$18&lt;&gt;"Yes",NA(),IF(COUNT(I1797,J1797,K1797,L1797,M1797)=0,NA(),MIN(I1797,J1797,K1797,L1797,M1797))))</f>
        <v/>
      </c>
      <c r="O1797" s="54">
        <f>IF($B1797=0,NA(),IF(Inputs!$B$24&lt;&gt;"Yes",NA(),Inputs!$D$24*Inputs!$C$35))</f>
        <v/>
      </c>
      <c r="P1797" s="54">
        <f>IF($B1797=0,NA(),IF(Inputs!$B$25&lt;&gt;"Yes",NA(),Inputs!$D$25*Inputs!$C$35))</f>
        <v/>
      </c>
      <c r="Q1797" s="54">
        <f>IF($B1797=0,NA(),IF(Inputs!$B$26&lt;&gt;"Yes",NA(),Inputs!$D$26*Inputs!$C$35))</f>
        <v/>
      </c>
      <c r="R1797" s="54">
        <f>IF($B1797=0,NA(),IF(Inputs!$B$27&lt;&gt;"Yes",NA(),Inputs!$D$27*Inputs!$C$35))</f>
        <v/>
      </c>
      <c r="S1797" s="54">
        <f>IF($B1797=0,NA(),IF(Inputs!$B$28&lt;&gt;"Yes",NA(),Inputs!$D$28*Inputs!$C$35))</f>
        <v/>
      </c>
      <c r="T1797" s="54">
        <f>IF($B1797=0,NA(),IF(Inputs!$B$29&lt;&gt;"Yes",NA(),Inputs!$D$29*Inputs!$C$35))</f>
        <v/>
      </c>
      <c r="AD1797">
        <f>IF($B1797=0,0,IF(Inputs!$B$6="",0,COUNTIFS(Data!$A$10:$A$3209,"&gt;="&amp;$A1797,Data!$A$10:$A$3209,"&lt;"&amp;$A1797+1)))</f>
        <v/>
      </c>
      <c r="AE1797">
        <f>IF($B1797=0,0,IF(Inputs!$B$7="",0,COUNTIFS(Data!$E$10:$E$3209,"&gt;="&amp;$A1797,Data!$E$10:$E$3209,"&lt;"&amp;$A1797+1)))</f>
        <v/>
      </c>
      <c r="AF1797">
        <f>IF($B1797=0,0,IF(Inputs!$B$8="",0,COUNTIFS(Data!$I$10:$I$3209,"&gt;="&amp;$A1797,Data!$I$10:$I$3209,"&lt;"&amp;$A1797+1)))</f>
        <v/>
      </c>
      <c r="AG1797">
        <f>IF($B1797=0,0,IF(Inputs!$B$9="",0,COUNTIFS(Data!$M$10:$M$3209,"&gt;="&amp;$A1797,Data!$M$10:$M$3209,"&lt;"&amp;$A1797+1)))</f>
        <v/>
      </c>
      <c r="AH1797">
        <f>IF($B1797=0,0,IF(Inputs!$B$10="",0,COUNTIFS(Data!$Q$10:$Q$3209,"&gt;="&amp;$A1797,Data!$Q$10:$Q$3209,"&lt;"&amp;$A1797+1)))</f>
        <v/>
      </c>
    </row>
    <row r="1798">
      <c r="A1798" s="55">
        <f>MIN(Inputs!$C$15,$A1797+IF(WEEKDAY($A1797,2)=5,3,1))</f>
        <v/>
      </c>
      <c r="B1798">
        <f>IF($A1798&gt;$A1797,1,0)</f>
        <v/>
      </c>
      <c r="C1798" s="56">
        <f>IF($B1798=0,"",IF(Inputs!$B$6="","",IF($AD1798=0,C1797,SUMIFS(Data!$B$10:$B$3209,Data!$A$10:$A$3209,"&gt;="&amp;$A1798,Data!$A$10:$A$3209,"&lt;"&amp;$A1798+1)/$AD1798)))</f>
        <v/>
      </c>
      <c r="D1798" s="56">
        <f>IF($B1798=0,"",IF(Inputs!$B$7="","",IF($AE1798=0,D1797,SUMIFS(Data!$F$10:$F$3209,Data!$E$10:$E$3209,"&gt;="&amp;$A1798,Data!$E$10:$E$3209,"&lt;"&amp;$A1798+1)/$AE1798)))</f>
        <v/>
      </c>
      <c r="E1798" s="56">
        <f>IF($B1798=0,"",IF(Inputs!$B$8="","",IF($AF1798=0,E1797,SUMIFS(Data!$J$10:$J$3209,Data!$I$10:$I$3209,"&gt;="&amp;$A1798,Data!$I$10:$I$3209,"&lt;"&amp;$A1798+1)/$AF1798)))</f>
        <v/>
      </c>
      <c r="F1798" s="56">
        <f>IF($B1798=0,"",IF(Inputs!$B$9="","",IF($AG1798=0,F1797,SUMIFS(Data!$N$10:$N$3209,Data!$M$10:$M$3209,"&gt;="&amp;$A1798,Data!$M$10:$M$3209,"&lt;"&amp;$A1798+1)/$AG1798)))</f>
        <v/>
      </c>
      <c r="G1798" s="56">
        <f>IF($B1798=0,"",IF(Inputs!$B$10="","",IF($AH1798=0,G1797,SUMIFS(Data!$R$10:$R$3209,Data!$Q$10:$Q$3209,"&gt;="&amp;$A1798,Data!$Q$10:$Q$3209,"&lt;"&amp;$A1798+1)/$AH1798)))</f>
        <v/>
      </c>
      <c r="I1798" s="54">
        <f>IF($B1798=0,NA(),IF($C1798="",NA(),IF(C$8="",NA(),IF(N(C$8)=0,NA(),IF(Inputs!$C$17="Rebased to 100",$C1798/C$8*100,$C1798)))))</f>
        <v/>
      </c>
      <c r="J1798" s="54">
        <f>IF($B1798=0,NA(),IF($D1798="",NA(),IF(D$8="",NA(),IF(N(D$8)=0,NA(),IF(Inputs!$C$17="Rebased to 100",$D1798/D$8*100,$D1798)))))</f>
        <v/>
      </c>
      <c r="K1798" s="54">
        <f>IF($B1798=0,NA(),IF($E1798="",NA(),IF(E$8="",NA(),IF(N(E$8)=0,NA(),IF(Inputs!$C$17="Rebased to 100",$E1798/E$8*100,$E1798)))))</f>
        <v/>
      </c>
      <c r="L1798" s="54">
        <f>IF($B1798=0,NA(),IF($F1798="",NA(),IF(F$8="",NA(),IF(N(F$8)=0,NA(),IF(Inputs!$C$17="Rebased to 100",$F1798/F$8*100,$F1798)))))</f>
        <v/>
      </c>
      <c r="M1798" s="54">
        <f>IF($B1798=0,NA(),IF($G1798="",NA(),IF(G$8="",NA(),IF(N(G$8)=0,NA(),IF(Inputs!$C$17="Rebased to 100",$G1798/G$8*100,$G1798)))))</f>
        <v/>
      </c>
      <c r="N1798" s="54">
        <f>IF($B1798=0,NA(),IF(Inputs!$C$18&lt;&gt;"Yes",NA(),IF(COUNT(I1798,J1798,K1798,L1798,M1798)=0,NA(),MIN(I1798,J1798,K1798,L1798,M1798))))</f>
        <v/>
      </c>
      <c r="O1798" s="54">
        <f>IF($B1798=0,NA(),IF(Inputs!$B$24&lt;&gt;"Yes",NA(),Inputs!$D$24*Inputs!$C$35))</f>
        <v/>
      </c>
      <c r="P1798" s="54">
        <f>IF($B1798=0,NA(),IF(Inputs!$B$25&lt;&gt;"Yes",NA(),Inputs!$D$25*Inputs!$C$35))</f>
        <v/>
      </c>
      <c r="Q1798" s="54">
        <f>IF($B1798=0,NA(),IF(Inputs!$B$26&lt;&gt;"Yes",NA(),Inputs!$D$26*Inputs!$C$35))</f>
        <v/>
      </c>
      <c r="R1798" s="54">
        <f>IF($B1798=0,NA(),IF(Inputs!$B$27&lt;&gt;"Yes",NA(),Inputs!$D$27*Inputs!$C$35))</f>
        <v/>
      </c>
      <c r="S1798" s="54">
        <f>IF($B1798=0,NA(),IF(Inputs!$B$28&lt;&gt;"Yes",NA(),Inputs!$D$28*Inputs!$C$35))</f>
        <v/>
      </c>
      <c r="T1798" s="54">
        <f>IF($B1798=0,NA(),IF(Inputs!$B$29&lt;&gt;"Yes",NA(),Inputs!$D$29*Inputs!$C$35))</f>
        <v/>
      </c>
      <c r="AD1798">
        <f>IF($B1798=0,0,IF(Inputs!$B$6="",0,COUNTIFS(Data!$A$10:$A$3209,"&gt;="&amp;$A1798,Data!$A$10:$A$3209,"&lt;"&amp;$A1798+1)))</f>
        <v/>
      </c>
      <c r="AE1798">
        <f>IF($B1798=0,0,IF(Inputs!$B$7="",0,COUNTIFS(Data!$E$10:$E$3209,"&gt;="&amp;$A1798,Data!$E$10:$E$3209,"&lt;"&amp;$A1798+1)))</f>
        <v/>
      </c>
      <c r="AF1798">
        <f>IF($B1798=0,0,IF(Inputs!$B$8="",0,COUNTIFS(Data!$I$10:$I$3209,"&gt;="&amp;$A1798,Data!$I$10:$I$3209,"&lt;"&amp;$A1798+1)))</f>
        <v/>
      </c>
      <c r="AG1798">
        <f>IF($B1798=0,0,IF(Inputs!$B$9="",0,COUNTIFS(Data!$M$10:$M$3209,"&gt;="&amp;$A1798,Data!$M$10:$M$3209,"&lt;"&amp;$A1798+1)))</f>
        <v/>
      </c>
      <c r="AH1798">
        <f>IF($B1798=0,0,IF(Inputs!$B$10="",0,COUNTIFS(Data!$Q$10:$Q$3209,"&gt;="&amp;$A1798,Data!$Q$10:$Q$3209,"&lt;"&amp;$A1798+1)))</f>
        <v/>
      </c>
    </row>
    <row r="1799">
      <c r="A1799" s="55">
        <f>MIN(Inputs!$C$15,$A1798+IF(WEEKDAY($A1798,2)=5,3,1))</f>
        <v/>
      </c>
      <c r="B1799">
        <f>IF($A1799&gt;$A1798,1,0)</f>
        <v/>
      </c>
      <c r="C1799" s="56">
        <f>IF($B1799=0,"",IF(Inputs!$B$6="","",IF($AD1799=0,C1798,SUMIFS(Data!$B$10:$B$3209,Data!$A$10:$A$3209,"&gt;="&amp;$A1799,Data!$A$10:$A$3209,"&lt;"&amp;$A1799+1)/$AD1799)))</f>
        <v/>
      </c>
      <c r="D1799" s="56">
        <f>IF($B1799=0,"",IF(Inputs!$B$7="","",IF($AE1799=0,D1798,SUMIFS(Data!$F$10:$F$3209,Data!$E$10:$E$3209,"&gt;="&amp;$A1799,Data!$E$10:$E$3209,"&lt;"&amp;$A1799+1)/$AE1799)))</f>
        <v/>
      </c>
      <c r="E1799" s="56">
        <f>IF($B1799=0,"",IF(Inputs!$B$8="","",IF($AF1799=0,E1798,SUMIFS(Data!$J$10:$J$3209,Data!$I$10:$I$3209,"&gt;="&amp;$A1799,Data!$I$10:$I$3209,"&lt;"&amp;$A1799+1)/$AF1799)))</f>
        <v/>
      </c>
      <c r="F1799" s="56">
        <f>IF($B1799=0,"",IF(Inputs!$B$9="","",IF($AG1799=0,F1798,SUMIFS(Data!$N$10:$N$3209,Data!$M$10:$M$3209,"&gt;="&amp;$A1799,Data!$M$10:$M$3209,"&lt;"&amp;$A1799+1)/$AG1799)))</f>
        <v/>
      </c>
      <c r="G1799" s="56">
        <f>IF($B1799=0,"",IF(Inputs!$B$10="","",IF($AH1799=0,G1798,SUMIFS(Data!$R$10:$R$3209,Data!$Q$10:$Q$3209,"&gt;="&amp;$A1799,Data!$Q$10:$Q$3209,"&lt;"&amp;$A1799+1)/$AH1799)))</f>
        <v/>
      </c>
      <c r="I1799" s="54">
        <f>IF($B1799=0,NA(),IF($C1799="",NA(),IF(C$8="",NA(),IF(N(C$8)=0,NA(),IF(Inputs!$C$17="Rebased to 100",$C1799/C$8*100,$C1799)))))</f>
        <v/>
      </c>
      <c r="J1799" s="54">
        <f>IF($B1799=0,NA(),IF($D1799="",NA(),IF(D$8="",NA(),IF(N(D$8)=0,NA(),IF(Inputs!$C$17="Rebased to 100",$D1799/D$8*100,$D1799)))))</f>
        <v/>
      </c>
      <c r="K1799" s="54">
        <f>IF($B1799=0,NA(),IF($E1799="",NA(),IF(E$8="",NA(),IF(N(E$8)=0,NA(),IF(Inputs!$C$17="Rebased to 100",$E1799/E$8*100,$E1799)))))</f>
        <v/>
      </c>
      <c r="L1799" s="54">
        <f>IF($B1799=0,NA(),IF($F1799="",NA(),IF(F$8="",NA(),IF(N(F$8)=0,NA(),IF(Inputs!$C$17="Rebased to 100",$F1799/F$8*100,$F1799)))))</f>
        <v/>
      </c>
      <c r="M1799" s="54">
        <f>IF($B1799=0,NA(),IF($G1799="",NA(),IF(G$8="",NA(),IF(N(G$8)=0,NA(),IF(Inputs!$C$17="Rebased to 100",$G1799/G$8*100,$G1799)))))</f>
        <v/>
      </c>
      <c r="N1799" s="54">
        <f>IF($B1799=0,NA(),IF(Inputs!$C$18&lt;&gt;"Yes",NA(),IF(COUNT(I1799,J1799,K1799,L1799,M1799)=0,NA(),MIN(I1799,J1799,K1799,L1799,M1799))))</f>
        <v/>
      </c>
      <c r="O1799" s="54">
        <f>IF($B1799=0,NA(),IF(Inputs!$B$24&lt;&gt;"Yes",NA(),Inputs!$D$24*Inputs!$C$35))</f>
        <v/>
      </c>
      <c r="P1799" s="54">
        <f>IF($B1799=0,NA(),IF(Inputs!$B$25&lt;&gt;"Yes",NA(),Inputs!$D$25*Inputs!$C$35))</f>
        <v/>
      </c>
      <c r="Q1799" s="54">
        <f>IF($B1799=0,NA(),IF(Inputs!$B$26&lt;&gt;"Yes",NA(),Inputs!$D$26*Inputs!$C$35))</f>
        <v/>
      </c>
      <c r="R1799" s="54">
        <f>IF($B1799=0,NA(),IF(Inputs!$B$27&lt;&gt;"Yes",NA(),Inputs!$D$27*Inputs!$C$35))</f>
        <v/>
      </c>
      <c r="S1799" s="54">
        <f>IF($B1799=0,NA(),IF(Inputs!$B$28&lt;&gt;"Yes",NA(),Inputs!$D$28*Inputs!$C$35))</f>
        <v/>
      </c>
      <c r="T1799" s="54">
        <f>IF($B1799=0,NA(),IF(Inputs!$B$29&lt;&gt;"Yes",NA(),Inputs!$D$29*Inputs!$C$35))</f>
        <v/>
      </c>
      <c r="AD1799">
        <f>IF($B1799=0,0,IF(Inputs!$B$6="",0,COUNTIFS(Data!$A$10:$A$3209,"&gt;="&amp;$A1799,Data!$A$10:$A$3209,"&lt;"&amp;$A1799+1)))</f>
        <v/>
      </c>
      <c r="AE1799">
        <f>IF($B1799=0,0,IF(Inputs!$B$7="",0,COUNTIFS(Data!$E$10:$E$3209,"&gt;="&amp;$A1799,Data!$E$10:$E$3209,"&lt;"&amp;$A1799+1)))</f>
        <v/>
      </c>
      <c r="AF1799">
        <f>IF($B1799=0,0,IF(Inputs!$B$8="",0,COUNTIFS(Data!$I$10:$I$3209,"&gt;="&amp;$A1799,Data!$I$10:$I$3209,"&lt;"&amp;$A1799+1)))</f>
        <v/>
      </c>
      <c r="AG1799">
        <f>IF($B1799=0,0,IF(Inputs!$B$9="",0,COUNTIFS(Data!$M$10:$M$3209,"&gt;="&amp;$A1799,Data!$M$10:$M$3209,"&lt;"&amp;$A1799+1)))</f>
        <v/>
      </c>
      <c r="AH1799">
        <f>IF($B1799=0,0,IF(Inputs!$B$10="",0,COUNTIFS(Data!$Q$10:$Q$3209,"&gt;="&amp;$A1799,Data!$Q$10:$Q$3209,"&lt;"&amp;$A1799+1)))</f>
        <v/>
      </c>
    </row>
    <row r="1800">
      <c r="A1800" s="55">
        <f>MIN(Inputs!$C$15,$A1799+IF(WEEKDAY($A1799,2)=5,3,1))</f>
        <v/>
      </c>
      <c r="B1800">
        <f>IF($A1800&gt;$A1799,1,0)</f>
        <v/>
      </c>
      <c r="C1800" s="56">
        <f>IF($B1800=0,"",IF(Inputs!$B$6="","",IF($AD1800=0,C1799,SUMIFS(Data!$B$10:$B$3209,Data!$A$10:$A$3209,"&gt;="&amp;$A1800,Data!$A$10:$A$3209,"&lt;"&amp;$A1800+1)/$AD1800)))</f>
        <v/>
      </c>
      <c r="D1800" s="56">
        <f>IF($B1800=0,"",IF(Inputs!$B$7="","",IF($AE1800=0,D1799,SUMIFS(Data!$F$10:$F$3209,Data!$E$10:$E$3209,"&gt;="&amp;$A1800,Data!$E$10:$E$3209,"&lt;"&amp;$A1800+1)/$AE1800)))</f>
        <v/>
      </c>
      <c r="E1800" s="56">
        <f>IF($B1800=0,"",IF(Inputs!$B$8="","",IF($AF1800=0,E1799,SUMIFS(Data!$J$10:$J$3209,Data!$I$10:$I$3209,"&gt;="&amp;$A1800,Data!$I$10:$I$3209,"&lt;"&amp;$A1800+1)/$AF1800)))</f>
        <v/>
      </c>
      <c r="F1800" s="56">
        <f>IF($B1800=0,"",IF(Inputs!$B$9="","",IF($AG1800=0,F1799,SUMIFS(Data!$N$10:$N$3209,Data!$M$10:$M$3209,"&gt;="&amp;$A1800,Data!$M$10:$M$3209,"&lt;"&amp;$A1800+1)/$AG1800)))</f>
        <v/>
      </c>
      <c r="G1800" s="56">
        <f>IF($B1800=0,"",IF(Inputs!$B$10="","",IF($AH1800=0,G1799,SUMIFS(Data!$R$10:$R$3209,Data!$Q$10:$Q$3209,"&gt;="&amp;$A1800,Data!$Q$10:$Q$3209,"&lt;"&amp;$A1800+1)/$AH1800)))</f>
        <v/>
      </c>
      <c r="I1800" s="54">
        <f>IF($B1800=0,NA(),IF($C1800="",NA(),IF(C$8="",NA(),IF(N(C$8)=0,NA(),IF(Inputs!$C$17="Rebased to 100",$C1800/C$8*100,$C1800)))))</f>
        <v/>
      </c>
      <c r="J1800" s="54">
        <f>IF($B1800=0,NA(),IF($D1800="",NA(),IF(D$8="",NA(),IF(N(D$8)=0,NA(),IF(Inputs!$C$17="Rebased to 100",$D1800/D$8*100,$D1800)))))</f>
        <v/>
      </c>
      <c r="K1800" s="54">
        <f>IF($B1800=0,NA(),IF($E1800="",NA(),IF(E$8="",NA(),IF(N(E$8)=0,NA(),IF(Inputs!$C$17="Rebased to 100",$E1800/E$8*100,$E1800)))))</f>
        <v/>
      </c>
      <c r="L1800" s="54">
        <f>IF($B1800=0,NA(),IF($F1800="",NA(),IF(F$8="",NA(),IF(N(F$8)=0,NA(),IF(Inputs!$C$17="Rebased to 100",$F1800/F$8*100,$F1800)))))</f>
        <v/>
      </c>
      <c r="M1800" s="54">
        <f>IF($B1800=0,NA(),IF($G1800="",NA(),IF(G$8="",NA(),IF(N(G$8)=0,NA(),IF(Inputs!$C$17="Rebased to 100",$G1800/G$8*100,$G1800)))))</f>
        <v/>
      </c>
      <c r="N1800" s="54">
        <f>IF($B1800=0,NA(),IF(Inputs!$C$18&lt;&gt;"Yes",NA(),IF(COUNT(I1800,J1800,K1800,L1800,M1800)=0,NA(),MIN(I1800,J1800,K1800,L1800,M1800))))</f>
        <v/>
      </c>
      <c r="O1800" s="54">
        <f>IF($B1800=0,NA(),IF(Inputs!$B$24&lt;&gt;"Yes",NA(),Inputs!$D$24*Inputs!$C$35))</f>
        <v/>
      </c>
      <c r="P1800" s="54">
        <f>IF($B1800=0,NA(),IF(Inputs!$B$25&lt;&gt;"Yes",NA(),Inputs!$D$25*Inputs!$C$35))</f>
        <v/>
      </c>
      <c r="Q1800" s="54">
        <f>IF($B1800=0,NA(),IF(Inputs!$B$26&lt;&gt;"Yes",NA(),Inputs!$D$26*Inputs!$C$35))</f>
        <v/>
      </c>
      <c r="R1800" s="54">
        <f>IF($B1800=0,NA(),IF(Inputs!$B$27&lt;&gt;"Yes",NA(),Inputs!$D$27*Inputs!$C$35))</f>
        <v/>
      </c>
      <c r="S1800" s="54">
        <f>IF($B1800=0,NA(),IF(Inputs!$B$28&lt;&gt;"Yes",NA(),Inputs!$D$28*Inputs!$C$35))</f>
        <v/>
      </c>
      <c r="T1800" s="54">
        <f>IF($B1800=0,NA(),IF(Inputs!$B$29&lt;&gt;"Yes",NA(),Inputs!$D$29*Inputs!$C$35))</f>
        <v/>
      </c>
      <c r="AD1800">
        <f>IF($B1800=0,0,IF(Inputs!$B$6="",0,COUNTIFS(Data!$A$10:$A$3209,"&gt;="&amp;$A1800,Data!$A$10:$A$3209,"&lt;"&amp;$A1800+1)))</f>
        <v/>
      </c>
      <c r="AE1800">
        <f>IF($B1800=0,0,IF(Inputs!$B$7="",0,COUNTIFS(Data!$E$10:$E$3209,"&gt;="&amp;$A1800,Data!$E$10:$E$3209,"&lt;"&amp;$A1800+1)))</f>
        <v/>
      </c>
      <c r="AF1800">
        <f>IF($B1800=0,0,IF(Inputs!$B$8="",0,COUNTIFS(Data!$I$10:$I$3209,"&gt;="&amp;$A1800,Data!$I$10:$I$3209,"&lt;"&amp;$A1800+1)))</f>
        <v/>
      </c>
      <c r="AG1800">
        <f>IF($B1800=0,0,IF(Inputs!$B$9="",0,COUNTIFS(Data!$M$10:$M$3209,"&gt;="&amp;$A1800,Data!$M$10:$M$3209,"&lt;"&amp;$A1800+1)))</f>
        <v/>
      </c>
      <c r="AH1800">
        <f>IF($B1800=0,0,IF(Inputs!$B$10="",0,COUNTIFS(Data!$Q$10:$Q$3209,"&gt;="&amp;$A1800,Data!$Q$10:$Q$3209,"&lt;"&amp;$A1800+1)))</f>
        <v/>
      </c>
    </row>
    <row r="1801">
      <c r="A1801" s="55">
        <f>MIN(Inputs!$C$15,$A1800+IF(WEEKDAY($A1800,2)=5,3,1))</f>
        <v/>
      </c>
      <c r="B1801">
        <f>IF($A1801&gt;$A1800,1,0)</f>
        <v/>
      </c>
      <c r="C1801" s="56">
        <f>IF($B1801=0,"",IF(Inputs!$B$6="","",IF($AD1801=0,C1800,SUMIFS(Data!$B$10:$B$3209,Data!$A$10:$A$3209,"&gt;="&amp;$A1801,Data!$A$10:$A$3209,"&lt;"&amp;$A1801+1)/$AD1801)))</f>
        <v/>
      </c>
      <c r="D1801" s="56">
        <f>IF($B1801=0,"",IF(Inputs!$B$7="","",IF($AE1801=0,D1800,SUMIFS(Data!$F$10:$F$3209,Data!$E$10:$E$3209,"&gt;="&amp;$A1801,Data!$E$10:$E$3209,"&lt;"&amp;$A1801+1)/$AE1801)))</f>
        <v/>
      </c>
      <c r="E1801" s="56">
        <f>IF($B1801=0,"",IF(Inputs!$B$8="","",IF($AF1801=0,E1800,SUMIFS(Data!$J$10:$J$3209,Data!$I$10:$I$3209,"&gt;="&amp;$A1801,Data!$I$10:$I$3209,"&lt;"&amp;$A1801+1)/$AF1801)))</f>
        <v/>
      </c>
      <c r="F1801" s="56">
        <f>IF($B1801=0,"",IF(Inputs!$B$9="","",IF($AG1801=0,F1800,SUMIFS(Data!$N$10:$N$3209,Data!$M$10:$M$3209,"&gt;="&amp;$A1801,Data!$M$10:$M$3209,"&lt;"&amp;$A1801+1)/$AG1801)))</f>
        <v/>
      </c>
      <c r="G1801" s="56">
        <f>IF($B1801=0,"",IF(Inputs!$B$10="","",IF($AH1801=0,G1800,SUMIFS(Data!$R$10:$R$3209,Data!$Q$10:$Q$3209,"&gt;="&amp;$A1801,Data!$Q$10:$Q$3209,"&lt;"&amp;$A1801+1)/$AH1801)))</f>
        <v/>
      </c>
      <c r="I1801" s="54">
        <f>IF($B1801=0,NA(),IF($C1801="",NA(),IF(C$8="",NA(),IF(N(C$8)=0,NA(),IF(Inputs!$C$17="Rebased to 100",$C1801/C$8*100,$C1801)))))</f>
        <v/>
      </c>
      <c r="J1801" s="54">
        <f>IF($B1801=0,NA(),IF($D1801="",NA(),IF(D$8="",NA(),IF(N(D$8)=0,NA(),IF(Inputs!$C$17="Rebased to 100",$D1801/D$8*100,$D1801)))))</f>
        <v/>
      </c>
      <c r="K1801" s="54">
        <f>IF($B1801=0,NA(),IF($E1801="",NA(),IF(E$8="",NA(),IF(N(E$8)=0,NA(),IF(Inputs!$C$17="Rebased to 100",$E1801/E$8*100,$E1801)))))</f>
        <v/>
      </c>
      <c r="L1801" s="54">
        <f>IF($B1801=0,NA(),IF($F1801="",NA(),IF(F$8="",NA(),IF(N(F$8)=0,NA(),IF(Inputs!$C$17="Rebased to 100",$F1801/F$8*100,$F1801)))))</f>
        <v/>
      </c>
      <c r="M1801" s="54">
        <f>IF($B1801=0,NA(),IF($G1801="",NA(),IF(G$8="",NA(),IF(N(G$8)=0,NA(),IF(Inputs!$C$17="Rebased to 100",$G1801/G$8*100,$G1801)))))</f>
        <v/>
      </c>
      <c r="N1801" s="54">
        <f>IF($B1801=0,NA(),IF(Inputs!$C$18&lt;&gt;"Yes",NA(),IF(COUNT(I1801,J1801,K1801,L1801,M1801)=0,NA(),MIN(I1801,J1801,K1801,L1801,M1801))))</f>
        <v/>
      </c>
      <c r="O1801" s="54">
        <f>IF($B1801=0,NA(),IF(Inputs!$B$24&lt;&gt;"Yes",NA(),Inputs!$D$24*Inputs!$C$35))</f>
        <v/>
      </c>
      <c r="P1801" s="54">
        <f>IF($B1801=0,NA(),IF(Inputs!$B$25&lt;&gt;"Yes",NA(),Inputs!$D$25*Inputs!$C$35))</f>
        <v/>
      </c>
      <c r="Q1801" s="54">
        <f>IF($B1801=0,NA(),IF(Inputs!$B$26&lt;&gt;"Yes",NA(),Inputs!$D$26*Inputs!$C$35))</f>
        <v/>
      </c>
      <c r="R1801" s="54">
        <f>IF($B1801=0,NA(),IF(Inputs!$B$27&lt;&gt;"Yes",NA(),Inputs!$D$27*Inputs!$C$35))</f>
        <v/>
      </c>
      <c r="S1801" s="54">
        <f>IF($B1801=0,NA(),IF(Inputs!$B$28&lt;&gt;"Yes",NA(),Inputs!$D$28*Inputs!$C$35))</f>
        <v/>
      </c>
      <c r="T1801" s="54">
        <f>IF($B1801=0,NA(),IF(Inputs!$B$29&lt;&gt;"Yes",NA(),Inputs!$D$29*Inputs!$C$35))</f>
        <v/>
      </c>
      <c r="AD1801">
        <f>IF($B1801=0,0,IF(Inputs!$B$6="",0,COUNTIFS(Data!$A$10:$A$3209,"&gt;="&amp;$A1801,Data!$A$10:$A$3209,"&lt;"&amp;$A1801+1)))</f>
        <v/>
      </c>
      <c r="AE1801">
        <f>IF($B1801=0,0,IF(Inputs!$B$7="",0,COUNTIFS(Data!$E$10:$E$3209,"&gt;="&amp;$A1801,Data!$E$10:$E$3209,"&lt;"&amp;$A1801+1)))</f>
        <v/>
      </c>
      <c r="AF1801">
        <f>IF($B1801=0,0,IF(Inputs!$B$8="",0,COUNTIFS(Data!$I$10:$I$3209,"&gt;="&amp;$A1801,Data!$I$10:$I$3209,"&lt;"&amp;$A1801+1)))</f>
        <v/>
      </c>
      <c r="AG1801">
        <f>IF($B1801=0,0,IF(Inputs!$B$9="",0,COUNTIFS(Data!$M$10:$M$3209,"&gt;="&amp;$A1801,Data!$M$10:$M$3209,"&lt;"&amp;$A1801+1)))</f>
        <v/>
      </c>
      <c r="AH1801">
        <f>IF($B1801=0,0,IF(Inputs!$B$10="",0,COUNTIFS(Data!$Q$10:$Q$3209,"&gt;="&amp;$A1801,Data!$Q$10:$Q$3209,"&lt;"&amp;$A1801+1)))</f>
        <v/>
      </c>
    </row>
    <row r="1802">
      <c r="A1802" s="55">
        <f>MIN(Inputs!$C$15,$A1801+IF(WEEKDAY($A1801,2)=5,3,1))</f>
        <v/>
      </c>
      <c r="B1802">
        <f>IF($A1802&gt;$A1801,1,0)</f>
        <v/>
      </c>
      <c r="C1802" s="56">
        <f>IF($B1802=0,"",IF(Inputs!$B$6="","",IF($AD1802=0,C1801,SUMIFS(Data!$B$10:$B$3209,Data!$A$10:$A$3209,"&gt;="&amp;$A1802,Data!$A$10:$A$3209,"&lt;"&amp;$A1802+1)/$AD1802)))</f>
        <v/>
      </c>
      <c r="D1802" s="56">
        <f>IF($B1802=0,"",IF(Inputs!$B$7="","",IF($AE1802=0,D1801,SUMIFS(Data!$F$10:$F$3209,Data!$E$10:$E$3209,"&gt;="&amp;$A1802,Data!$E$10:$E$3209,"&lt;"&amp;$A1802+1)/$AE1802)))</f>
        <v/>
      </c>
      <c r="E1802" s="56">
        <f>IF($B1802=0,"",IF(Inputs!$B$8="","",IF($AF1802=0,E1801,SUMIFS(Data!$J$10:$J$3209,Data!$I$10:$I$3209,"&gt;="&amp;$A1802,Data!$I$10:$I$3209,"&lt;"&amp;$A1802+1)/$AF1802)))</f>
        <v/>
      </c>
      <c r="F1802" s="56">
        <f>IF($B1802=0,"",IF(Inputs!$B$9="","",IF($AG1802=0,F1801,SUMIFS(Data!$N$10:$N$3209,Data!$M$10:$M$3209,"&gt;="&amp;$A1802,Data!$M$10:$M$3209,"&lt;"&amp;$A1802+1)/$AG1802)))</f>
        <v/>
      </c>
      <c r="G1802" s="56">
        <f>IF($B1802=0,"",IF(Inputs!$B$10="","",IF($AH1802=0,G1801,SUMIFS(Data!$R$10:$R$3209,Data!$Q$10:$Q$3209,"&gt;="&amp;$A1802,Data!$Q$10:$Q$3209,"&lt;"&amp;$A1802+1)/$AH1802)))</f>
        <v/>
      </c>
      <c r="I1802" s="54">
        <f>IF($B1802=0,NA(),IF($C1802="",NA(),IF(C$8="",NA(),IF(N(C$8)=0,NA(),IF(Inputs!$C$17="Rebased to 100",$C1802/C$8*100,$C1802)))))</f>
        <v/>
      </c>
      <c r="J1802" s="54">
        <f>IF($B1802=0,NA(),IF($D1802="",NA(),IF(D$8="",NA(),IF(N(D$8)=0,NA(),IF(Inputs!$C$17="Rebased to 100",$D1802/D$8*100,$D1802)))))</f>
        <v/>
      </c>
      <c r="K1802" s="54">
        <f>IF($B1802=0,NA(),IF($E1802="",NA(),IF(E$8="",NA(),IF(N(E$8)=0,NA(),IF(Inputs!$C$17="Rebased to 100",$E1802/E$8*100,$E1802)))))</f>
        <v/>
      </c>
      <c r="L1802" s="54">
        <f>IF($B1802=0,NA(),IF($F1802="",NA(),IF(F$8="",NA(),IF(N(F$8)=0,NA(),IF(Inputs!$C$17="Rebased to 100",$F1802/F$8*100,$F1802)))))</f>
        <v/>
      </c>
      <c r="M1802" s="54">
        <f>IF($B1802=0,NA(),IF($G1802="",NA(),IF(G$8="",NA(),IF(N(G$8)=0,NA(),IF(Inputs!$C$17="Rebased to 100",$G1802/G$8*100,$G1802)))))</f>
        <v/>
      </c>
      <c r="N1802" s="54">
        <f>IF($B1802=0,NA(),IF(Inputs!$C$18&lt;&gt;"Yes",NA(),IF(COUNT(I1802,J1802,K1802,L1802,M1802)=0,NA(),MIN(I1802,J1802,K1802,L1802,M1802))))</f>
        <v/>
      </c>
      <c r="O1802" s="54">
        <f>IF($B1802=0,NA(),IF(Inputs!$B$24&lt;&gt;"Yes",NA(),Inputs!$D$24*Inputs!$C$35))</f>
        <v/>
      </c>
      <c r="P1802" s="54">
        <f>IF($B1802=0,NA(),IF(Inputs!$B$25&lt;&gt;"Yes",NA(),Inputs!$D$25*Inputs!$C$35))</f>
        <v/>
      </c>
      <c r="Q1802" s="54">
        <f>IF($B1802=0,NA(),IF(Inputs!$B$26&lt;&gt;"Yes",NA(),Inputs!$D$26*Inputs!$C$35))</f>
        <v/>
      </c>
      <c r="R1802" s="54">
        <f>IF($B1802=0,NA(),IF(Inputs!$B$27&lt;&gt;"Yes",NA(),Inputs!$D$27*Inputs!$C$35))</f>
        <v/>
      </c>
      <c r="S1802" s="54">
        <f>IF($B1802=0,NA(),IF(Inputs!$B$28&lt;&gt;"Yes",NA(),Inputs!$D$28*Inputs!$C$35))</f>
        <v/>
      </c>
      <c r="T1802" s="54">
        <f>IF($B1802=0,NA(),IF(Inputs!$B$29&lt;&gt;"Yes",NA(),Inputs!$D$29*Inputs!$C$35))</f>
        <v/>
      </c>
      <c r="AD1802">
        <f>IF($B1802=0,0,IF(Inputs!$B$6="",0,COUNTIFS(Data!$A$10:$A$3209,"&gt;="&amp;$A1802,Data!$A$10:$A$3209,"&lt;"&amp;$A1802+1)))</f>
        <v/>
      </c>
      <c r="AE1802">
        <f>IF($B1802=0,0,IF(Inputs!$B$7="",0,COUNTIFS(Data!$E$10:$E$3209,"&gt;="&amp;$A1802,Data!$E$10:$E$3209,"&lt;"&amp;$A1802+1)))</f>
        <v/>
      </c>
      <c r="AF1802">
        <f>IF($B1802=0,0,IF(Inputs!$B$8="",0,COUNTIFS(Data!$I$10:$I$3209,"&gt;="&amp;$A1802,Data!$I$10:$I$3209,"&lt;"&amp;$A1802+1)))</f>
        <v/>
      </c>
      <c r="AG1802">
        <f>IF($B1802=0,0,IF(Inputs!$B$9="",0,COUNTIFS(Data!$M$10:$M$3209,"&gt;="&amp;$A1802,Data!$M$10:$M$3209,"&lt;"&amp;$A1802+1)))</f>
        <v/>
      </c>
      <c r="AH1802">
        <f>IF($B1802=0,0,IF(Inputs!$B$10="",0,COUNTIFS(Data!$Q$10:$Q$3209,"&gt;="&amp;$A1802,Data!$Q$10:$Q$3209,"&lt;"&amp;$A1802+1)))</f>
        <v/>
      </c>
    </row>
    <row r="1803">
      <c r="A1803" s="55">
        <f>MIN(Inputs!$C$15,$A1802+IF(WEEKDAY($A1802,2)=5,3,1))</f>
        <v/>
      </c>
      <c r="B1803">
        <f>IF($A1803&gt;$A1802,1,0)</f>
        <v/>
      </c>
      <c r="C1803" s="56">
        <f>IF($B1803=0,"",IF(Inputs!$B$6="","",IF($AD1803=0,C1802,SUMIFS(Data!$B$10:$B$3209,Data!$A$10:$A$3209,"&gt;="&amp;$A1803,Data!$A$10:$A$3209,"&lt;"&amp;$A1803+1)/$AD1803)))</f>
        <v/>
      </c>
      <c r="D1803" s="56">
        <f>IF($B1803=0,"",IF(Inputs!$B$7="","",IF($AE1803=0,D1802,SUMIFS(Data!$F$10:$F$3209,Data!$E$10:$E$3209,"&gt;="&amp;$A1803,Data!$E$10:$E$3209,"&lt;"&amp;$A1803+1)/$AE1803)))</f>
        <v/>
      </c>
      <c r="E1803" s="56">
        <f>IF($B1803=0,"",IF(Inputs!$B$8="","",IF($AF1803=0,E1802,SUMIFS(Data!$J$10:$J$3209,Data!$I$10:$I$3209,"&gt;="&amp;$A1803,Data!$I$10:$I$3209,"&lt;"&amp;$A1803+1)/$AF1803)))</f>
        <v/>
      </c>
      <c r="F1803" s="56">
        <f>IF($B1803=0,"",IF(Inputs!$B$9="","",IF($AG1803=0,F1802,SUMIFS(Data!$N$10:$N$3209,Data!$M$10:$M$3209,"&gt;="&amp;$A1803,Data!$M$10:$M$3209,"&lt;"&amp;$A1803+1)/$AG1803)))</f>
        <v/>
      </c>
      <c r="G1803" s="56">
        <f>IF($B1803=0,"",IF(Inputs!$B$10="","",IF($AH1803=0,G1802,SUMIFS(Data!$R$10:$R$3209,Data!$Q$10:$Q$3209,"&gt;="&amp;$A1803,Data!$Q$10:$Q$3209,"&lt;"&amp;$A1803+1)/$AH1803)))</f>
        <v/>
      </c>
      <c r="I1803" s="54">
        <f>IF($B1803=0,NA(),IF($C1803="",NA(),IF(C$8="",NA(),IF(N(C$8)=0,NA(),IF(Inputs!$C$17="Rebased to 100",$C1803/C$8*100,$C1803)))))</f>
        <v/>
      </c>
      <c r="J1803" s="54">
        <f>IF($B1803=0,NA(),IF($D1803="",NA(),IF(D$8="",NA(),IF(N(D$8)=0,NA(),IF(Inputs!$C$17="Rebased to 100",$D1803/D$8*100,$D1803)))))</f>
        <v/>
      </c>
      <c r="K1803" s="54">
        <f>IF($B1803=0,NA(),IF($E1803="",NA(),IF(E$8="",NA(),IF(N(E$8)=0,NA(),IF(Inputs!$C$17="Rebased to 100",$E1803/E$8*100,$E1803)))))</f>
        <v/>
      </c>
      <c r="L1803" s="54">
        <f>IF($B1803=0,NA(),IF($F1803="",NA(),IF(F$8="",NA(),IF(N(F$8)=0,NA(),IF(Inputs!$C$17="Rebased to 100",$F1803/F$8*100,$F1803)))))</f>
        <v/>
      </c>
      <c r="M1803" s="54">
        <f>IF($B1803=0,NA(),IF($G1803="",NA(),IF(G$8="",NA(),IF(N(G$8)=0,NA(),IF(Inputs!$C$17="Rebased to 100",$G1803/G$8*100,$G1803)))))</f>
        <v/>
      </c>
      <c r="N1803" s="54">
        <f>IF($B1803=0,NA(),IF(Inputs!$C$18&lt;&gt;"Yes",NA(),IF(COUNT(I1803,J1803,K1803,L1803,M1803)=0,NA(),MIN(I1803,J1803,K1803,L1803,M1803))))</f>
        <v/>
      </c>
      <c r="O1803" s="54">
        <f>IF($B1803=0,NA(),IF(Inputs!$B$24&lt;&gt;"Yes",NA(),Inputs!$D$24*Inputs!$C$35))</f>
        <v/>
      </c>
      <c r="P1803" s="54">
        <f>IF($B1803=0,NA(),IF(Inputs!$B$25&lt;&gt;"Yes",NA(),Inputs!$D$25*Inputs!$C$35))</f>
        <v/>
      </c>
      <c r="Q1803" s="54">
        <f>IF($B1803=0,NA(),IF(Inputs!$B$26&lt;&gt;"Yes",NA(),Inputs!$D$26*Inputs!$C$35))</f>
        <v/>
      </c>
      <c r="R1803" s="54">
        <f>IF($B1803=0,NA(),IF(Inputs!$B$27&lt;&gt;"Yes",NA(),Inputs!$D$27*Inputs!$C$35))</f>
        <v/>
      </c>
      <c r="S1803" s="54">
        <f>IF($B1803=0,NA(),IF(Inputs!$B$28&lt;&gt;"Yes",NA(),Inputs!$D$28*Inputs!$C$35))</f>
        <v/>
      </c>
      <c r="T1803" s="54">
        <f>IF($B1803=0,NA(),IF(Inputs!$B$29&lt;&gt;"Yes",NA(),Inputs!$D$29*Inputs!$C$35))</f>
        <v/>
      </c>
      <c r="AD1803">
        <f>IF($B1803=0,0,IF(Inputs!$B$6="",0,COUNTIFS(Data!$A$10:$A$3209,"&gt;="&amp;$A1803,Data!$A$10:$A$3209,"&lt;"&amp;$A1803+1)))</f>
        <v/>
      </c>
      <c r="AE1803">
        <f>IF($B1803=0,0,IF(Inputs!$B$7="",0,COUNTIFS(Data!$E$10:$E$3209,"&gt;="&amp;$A1803,Data!$E$10:$E$3209,"&lt;"&amp;$A1803+1)))</f>
        <v/>
      </c>
      <c r="AF1803">
        <f>IF($B1803=0,0,IF(Inputs!$B$8="",0,COUNTIFS(Data!$I$10:$I$3209,"&gt;="&amp;$A1803,Data!$I$10:$I$3209,"&lt;"&amp;$A1803+1)))</f>
        <v/>
      </c>
      <c r="AG1803">
        <f>IF($B1803=0,0,IF(Inputs!$B$9="",0,COUNTIFS(Data!$M$10:$M$3209,"&gt;="&amp;$A1803,Data!$M$10:$M$3209,"&lt;"&amp;$A1803+1)))</f>
        <v/>
      </c>
      <c r="AH1803">
        <f>IF($B1803=0,0,IF(Inputs!$B$10="",0,COUNTIFS(Data!$Q$10:$Q$3209,"&gt;="&amp;$A1803,Data!$Q$10:$Q$3209,"&lt;"&amp;$A1803+1)))</f>
        <v/>
      </c>
    </row>
    <row r="1804">
      <c r="A1804" s="55">
        <f>MIN(Inputs!$C$15,$A1803+IF(WEEKDAY($A1803,2)=5,3,1))</f>
        <v/>
      </c>
      <c r="B1804">
        <f>IF($A1804&gt;$A1803,1,0)</f>
        <v/>
      </c>
      <c r="C1804" s="56">
        <f>IF($B1804=0,"",IF(Inputs!$B$6="","",IF($AD1804=0,C1803,SUMIFS(Data!$B$10:$B$3209,Data!$A$10:$A$3209,"&gt;="&amp;$A1804,Data!$A$10:$A$3209,"&lt;"&amp;$A1804+1)/$AD1804)))</f>
        <v/>
      </c>
      <c r="D1804" s="56">
        <f>IF($B1804=0,"",IF(Inputs!$B$7="","",IF($AE1804=0,D1803,SUMIFS(Data!$F$10:$F$3209,Data!$E$10:$E$3209,"&gt;="&amp;$A1804,Data!$E$10:$E$3209,"&lt;"&amp;$A1804+1)/$AE1804)))</f>
        <v/>
      </c>
      <c r="E1804" s="56">
        <f>IF($B1804=0,"",IF(Inputs!$B$8="","",IF($AF1804=0,E1803,SUMIFS(Data!$J$10:$J$3209,Data!$I$10:$I$3209,"&gt;="&amp;$A1804,Data!$I$10:$I$3209,"&lt;"&amp;$A1804+1)/$AF1804)))</f>
        <v/>
      </c>
      <c r="F1804" s="56">
        <f>IF($B1804=0,"",IF(Inputs!$B$9="","",IF($AG1804=0,F1803,SUMIFS(Data!$N$10:$N$3209,Data!$M$10:$M$3209,"&gt;="&amp;$A1804,Data!$M$10:$M$3209,"&lt;"&amp;$A1804+1)/$AG1804)))</f>
        <v/>
      </c>
      <c r="G1804" s="56">
        <f>IF($B1804=0,"",IF(Inputs!$B$10="","",IF($AH1804=0,G1803,SUMIFS(Data!$R$10:$R$3209,Data!$Q$10:$Q$3209,"&gt;="&amp;$A1804,Data!$Q$10:$Q$3209,"&lt;"&amp;$A1804+1)/$AH1804)))</f>
        <v/>
      </c>
      <c r="I1804" s="54">
        <f>IF($B1804=0,NA(),IF($C1804="",NA(),IF(C$8="",NA(),IF(N(C$8)=0,NA(),IF(Inputs!$C$17="Rebased to 100",$C1804/C$8*100,$C1804)))))</f>
        <v/>
      </c>
      <c r="J1804" s="54">
        <f>IF($B1804=0,NA(),IF($D1804="",NA(),IF(D$8="",NA(),IF(N(D$8)=0,NA(),IF(Inputs!$C$17="Rebased to 100",$D1804/D$8*100,$D1804)))))</f>
        <v/>
      </c>
      <c r="K1804" s="54">
        <f>IF($B1804=0,NA(),IF($E1804="",NA(),IF(E$8="",NA(),IF(N(E$8)=0,NA(),IF(Inputs!$C$17="Rebased to 100",$E1804/E$8*100,$E1804)))))</f>
        <v/>
      </c>
      <c r="L1804" s="54">
        <f>IF($B1804=0,NA(),IF($F1804="",NA(),IF(F$8="",NA(),IF(N(F$8)=0,NA(),IF(Inputs!$C$17="Rebased to 100",$F1804/F$8*100,$F1804)))))</f>
        <v/>
      </c>
      <c r="M1804" s="54">
        <f>IF($B1804=0,NA(),IF($G1804="",NA(),IF(G$8="",NA(),IF(N(G$8)=0,NA(),IF(Inputs!$C$17="Rebased to 100",$G1804/G$8*100,$G1804)))))</f>
        <v/>
      </c>
      <c r="N1804" s="54">
        <f>IF($B1804=0,NA(),IF(Inputs!$C$18&lt;&gt;"Yes",NA(),IF(COUNT(I1804,J1804,K1804,L1804,M1804)=0,NA(),MIN(I1804,J1804,K1804,L1804,M1804))))</f>
        <v/>
      </c>
      <c r="O1804" s="54">
        <f>IF($B1804=0,NA(),IF(Inputs!$B$24&lt;&gt;"Yes",NA(),Inputs!$D$24*Inputs!$C$35))</f>
        <v/>
      </c>
      <c r="P1804" s="54">
        <f>IF($B1804=0,NA(),IF(Inputs!$B$25&lt;&gt;"Yes",NA(),Inputs!$D$25*Inputs!$C$35))</f>
        <v/>
      </c>
      <c r="Q1804" s="54">
        <f>IF($B1804=0,NA(),IF(Inputs!$B$26&lt;&gt;"Yes",NA(),Inputs!$D$26*Inputs!$C$35))</f>
        <v/>
      </c>
      <c r="R1804" s="54">
        <f>IF($B1804=0,NA(),IF(Inputs!$B$27&lt;&gt;"Yes",NA(),Inputs!$D$27*Inputs!$C$35))</f>
        <v/>
      </c>
      <c r="S1804" s="54">
        <f>IF($B1804=0,NA(),IF(Inputs!$B$28&lt;&gt;"Yes",NA(),Inputs!$D$28*Inputs!$C$35))</f>
        <v/>
      </c>
      <c r="T1804" s="54">
        <f>IF($B1804=0,NA(),IF(Inputs!$B$29&lt;&gt;"Yes",NA(),Inputs!$D$29*Inputs!$C$35))</f>
        <v/>
      </c>
      <c r="AD1804">
        <f>IF($B1804=0,0,IF(Inputs!$B$6="",0,COUNTIFS(Data!$A$10:$A$3209,"&gt;="&amp;$A1804,Data!$A$10:$A$3209,"&lt;"&amp;$A1804+1)))</f>
        <v/>
      </c>
      <c r="AE1804">
        <f>IF($B1804=0,0,IF(Inputs!$B$7="",0,COUNTIFS(Data!$E$10:$E$3209,"&gt;="&amp;$A1804,Data!$E$10:$E$3209,"&lt;"&amp;$A1804+1)))</f>
        <v/>
      </c>
      <c r="AF1804">
        <f>IF($B1804=0,0,IF(Inputs!$B$8="",0,COUNTIFS(Data!$I$10:$I$3209,"&gt;="&amp;$A1804,Data!$I$10:$I$3209,"&lt;"&amp;$A1804+1)))</f>
        <v/>
      </c>
      <c r="AG1804">
        <f>IF($B1804=0,0,IF(Inputs!$B$9="",0,COUNTIFS(Data!$M$10:$M$3209,"&gt;="&amp;$A1804,Data!$M$10:$M$3209,"&lt;"&amp;$A1804+1)))</f>
        <v/>
      </c>
      <c r="AH1804">
        <f>IF($B1804=0,0,IF(Inputs!$B$10="",0,COUNTIFS(Data!$Q$10:$Q$3209,"&gt;="&amp;$A1804,Data!$Q$10:$Q$3209,"&lt;"&amp;$A1804+1)))</f>
        <v/>
      </c>
    </row>
    <row r="1805">
      <c r="A1805" s="55">
        <f>MIN(Inputs!$C$15,$A1804+IF(WEEKDAY($A1804,2)=5,3,1))</f>
        <v/>
      </c>
      <c r="B1805">
        <f>IF($A1805&gt;$A1804,1,0)</f>
        <v/>
      </c>
      <c r="C1805" s="56">
        <f>IF($B1805=0,"",IF(Inputs!$B$6="","",IF($AD1805=0,C1804,SUMIFS(Data!$B$10:$B$3209,Data!$A$10:$A$3209,"&gt;="&amp;$A1805,Data!$A$10:$A$3209,"&lt;"&amp;$A1805+1)/$AD1805)))</f>
        <v/>
      </c>
      <c r="D1805" s="56">
        <f>IF($B1805=0,"",IF(Inputs!$B$7="","",IF($AE1805=0,D1804,SUMIFS(Data!$F$10:$F$3209,Data!$E$10:$E$3209,"&gt;="&amp;$A1805,Data!$E$10:$E$3209,"&lt;"&amp;$A1805+1)/$AE1805)))</f>
        <v/>
      </c>
      <c r="E1805" s="56">
        <f>IF($B1805=0,"",IF(Inputs!$B$8="","",IF($AF1805=0,E1804,SUMIFS(Data!$J$10:$J$3209,Data!$I$10:$I$3209,"&gt;="&amp;$A1805,Data!$I$10:$I$3209,"&lt;"&amp;$A1805+1)/$AF1805)))</f>
        <v/>
      </c>
      <c r="F1805" s="56">
        <f>IF($B1805=0,"",IF(Inputs!$B$9="","",IF($AG1805=0,F1804,SUMIFS(Data!$N$10:$N$3209,Data!$M$10:$M$3209,"&gt;="&amp;$A1805,Data!$M$10:$M$3209,"&lt;"&amp;$A1805+1)/$AG1805)))</f>
        <v/>
      </c>
      <c r="G1805" s="56">
        <f>IF($B1805=0,"",IF(Inputs!$B$10="","",IF($AH1805=0,G1804,SUMIFS(Data!$R$10:$R$3209,Data!$Q$10:$Q$3209,"&gt;="&amp;$A1805,Data!$Q$10:$Q$3209,"&lt;"&amp;$A1805+1)/$AH1805)))</f>
        <v/>
      </c>
      <c r="I1805" s="54">
        <f>IF($B1805=0,NA(),IF($C1805="",NA(),IF(C$8="",NA(),IF(N(C$8)=0,NA(),IF(Inputs!$C$17="Rebased to 100",$C1805/C$8*100,$C1805)))))</f>
        <v/>
      </c>
      <c r="J1805" s="54">
        <f>IF($B1805=0,NA(),IF($D1805="",NA(),IF(D$8="",NA(),IF(N(D$8)=0,NA(),IF(Inputs!$C$17="Rebased to 100",$D1805/D$8*100,$D1805)))))</f>
        <v/>
      </c>
      <c r="K1805" s="54">
        <f>IF($B1805=0,NA(),IF($E1805="",NA(),IF(E$8="",NA(),IF(N(E$8)=0,NA(),IF(Inputs!$C$17="Rebased to 100",$E1805/E$8*100,$E1805)))))</f>
        <v/>
      </c>
      <c r="L1805" s="54">
        <f>IF($B1805=0,NA(),IF($F1805="",NA(),IF(F$8="",NA(),IF(N(F$8)=0,NA(),IF(Inputs!$C$17="Rebased to 100",$F1805/F$8*100,$F1805)))))</f>
        <v/>
      </c>
      <c r="M1805" s="54">
        <f>IF($B1805=0,NA(),IF($G1805="",NA(),IF(G$8="",NA(),IF(N(G$8)=0,NA(),IF(Inputs!$C$17="Rebased to 100",$G1805/G$8*100,$G1805)))))</f>
        <v/>
      </c>
      <c r="N1805" s="54">
        <f>IF($B1805=0,NA(),IF(Inputs!$C$18&lt;&gt;"Yes",NA(),IF(COUNT(I1805,J1805,K1805,L1805,M1805)=0,NA(),MIN(I1805,J1805,K1805,L1805,M1805))))</f>
        <v/>
      </c>
      <c r="O1805" s="54">
        <f>IF($B1805=0,NA(),IF(Inputs!$B$24&lt;&gt;"Yes",NA(),Inputs!$D$24*Inputs!$C$35))</f>
        <v/>
      </c>
      <c r="P1805" s="54">
        <f>IF($B1805=0,NA(),IF(Inputs!$B$25&lt;&gt;"Yes",NA(),Inputs!$D$25*Inputs!$C$35))</f>
        <v/>
      </c>
      <c r="Q1805" s="54">
        <f>IF($B1805=0,NA(),IF(Inputs!$B$26&lt;&gt;"Yes",NA(),Inputs!$D$26*Inputs!$C$35))</f>
        <v/>
      </c>
      <c r="R1805" s="54">
        <f>IF($B1805=0,NA(),IF(Inputs!$B$27&lt;&gt;"Yes",NA(),Inputs!$D$27*Inputs!$C$35))</f>
        <v/>
      </c>
      <c r="S1805" s="54">
        <f>IF($B1805=0,NA(),IF(Inputs!$B$28&lt;&gt;"Yes",NA(),Inputs!$D$28*Inputs!$C$35))</f>
        <v/>
      </c>
      <c r="T1805" s="54">
        <f>IF($B1805=0,NA(),IF(Inputs!$B$29&lt;&gt;"Yes",NA(),Inputs!$D$29*Inputs!$C$35))</f>
        <v/>
      </c>
      <c r="AD1805">
        <f>IF($B1805=0,0,IF(Inputs!$B$6="",0,COUNTIFS(Data!$A$10:$A$3209,"&gt;="&amp;$A1805,Data!$A$10:$A$3209,"&lt;"&amp;$A1805+1)))</f>
        <v/>
      </c>
      <c r="AE1805">
        <f>IF($B1805=0,0,IF(Inputs!$B$7="",0,COUNTIFS(Data!$E$10:$E$3209,"&gt;="&amp;$A1805,Data!$E$10:$E$3209,"&lt;"&amp;$A1805+1)))</f>
        <v/>
      </c>
      <c r="AF1805">
        <f>IF($B1805=0,0,IF(Inputs!$B$8="",0,COUNTIFS(Data!$I$10:$I$3209,"&gt;="&amp;$A1805,Data!$I$10:$I$3209,"&lt;"&amp;$A1805+1)))</f>
        <v/>
      </c>
      <c r="AG1805">
        <f>IF($B1805=0,0,IF(Inputs!$B$9="",0,COUNTIFS(Data!$M$10:$M$3209,"&gt;="&amp;$A1805,Data!$M$10:$M$3209,"&lt;"&amp;$A1805+1)))</f>
        <v/>
      </c>
      <c r="AH1805">
        <f>IF($B1805=0,0,IF(Inputs!$B$10="",0,COUNTIFS(Data!$Q$10:$Q$3209,"&gt;="&amp;$A1805,Data!$Q$10:$Q$3209,"&lt;"&amp;$A1805+1)))</f>
        <v/>
      </c>
    </row>
    <row r="1806">
      <c r="A1806" s="55">
        <f>MIN(Inputs!$C$15,$A1805+IF(WEEKDAY($A1805,2)=5,3,1))</f>
        <v/>
      </c>
      <c r="B1806">
        <f>IF($A1806&gt;$A1805,1,0)</f>
        <v/>
      </c>
      <c r="C1806" s="56">
        <f>IF($B1806=0,"",IF(Inputs!$B$6="","",IF($AD1806=0,C1805,SUMIFS(Data!$B$10:$B$3209,Data!$A$10:$A$3209,"&gt;="&amp;$A1806,Data!$A$10:$A$3209,"&lt;"&amp;$A1806+1)/$AD1806)))</f>
        <v/>
      </c>
      <c r="D1806" s="56">
        <f>IF($B1806=0,"",IF(Inputs!$B$7="","",IF($AE1806=0,D1805,SUMIFS(Data!$F$10:$F$3209,Data!$E$10:$E$3209,"&gt;="&amp;$A1806,Data!$E$10:$E$3209,"&lt;"&amp;$A1806+1)/$AE1806)))</f>
        <v/>
      </c>
      <c r="E1806" s="56">
        <f>IF($B1806=0,"",IF(Inputs!$B$8="","",IF($AF1806=0,E1805,SUMIFS(Data!$J$10:$J$3209,Data!$I$10:$I$3209,"&gt;="&amp;$A1806,Data!$I$10:$I$3209,"&lt;"&amp;$A1806+1)/$AF1806)))</f>
        <v/>
      </c>
      <c r="F1806" s="56">
        <f>IF($B1806=0,"",IF(Inputs!$B$9="","",IF($AG1806=0,F1805,SUMIFS(Data!$N$10:$N$3209,Data!$M$10:$M$3209,"&gt;="&amp;$A1806,Data!$M$10:$M$3209,"&lt;"&amp;$A1806+1)/$AG1806)))</f>
        <v/>
      </c>
      <c r="G1806" s="56">
        <f>IF($B1806=0,"",IF(Inputs!$B$10="","",IF($AH1806=0,G1805,SUMIFS(Data!$R$10:$R$3209,Data!$Q$10:$Q$3209,"&gt;="&amp;$A1806,Data!$Q$10:$Q$3209,"&lt;"&amp;$A1806+1)/$AH1806)))</f>
        <v/>
      </c>
      <c r="I1806" s="54">
        <f>IF($B1806=0,NA(),IF($C1806="",NA(),IF(C$8="",NA(),IF(N(C$8)=0,NA(),IF(Inputs!$C$17="Rebased to 100",$C1806/C$8*100,$C1806)))))</f>
        <v/>
      </c>
      <c r="J1806" s="54">
        <f>IF($B1806=0,NA(),IF($D1806="",NA(),IF(D$8="",NA(),IF(N(D$8)=0,NA(),IF(Inputs!$C$17="Rebased to 100",$D1806/D$8*100,$D1806)))))</f>
        <v/>
      </c>
      <c r="K1806" s="54">
        <f>IF($B1806=0,NA(),IF($E1806="",NA(),IF(E$8="",NA(),IF(N(E$8)=0,NA(),IF(Inputs!$C$17="Rebased to 100",$E1806/E$8*100,$E1806)))))</f>
        <v/>
      </c>
      <c r="L1806" s="54">
        <f>IF($B1806=0,NA(),IF($F1806="",NA(),IF(F$8="",NA(),IF(N(F$8)=0,NA(),IF(Inputs!$C$17="Rebased to 100",$F1806/F$8*100,$F1806)))))</f>
        <v/>
      </c>
      <c r="M1806" s="54">
        <f>IF($B1806=0,NA(),IF($G1806="",NA(),IF(G$8="",NA(),IF(N(G$8)=0,NA(),IF(Inputs!$C$17="Rebased to 100",$G1806/G$8*100,$G1806)))))</f>
        <v/>
      </c>
      <c r="N1806" s="54">
        <f>IF($B1806=0,NA(),IF(Inputs!$C$18&lt;&gt;"Yes",NA(),IF(COUNT(I1806,J1806,K1806,L1806,M1806)=0,NA(),MIN(I1806,J1806,K1806,L1806,M1806))))</f>
        <v/>
      </c>
      <c r="O1806" s="54">
        <f>IF($B1806=0,NA(),IF(Inputs!$B$24&lt;&gt;"Yes",NA(),Inputs!$D$24*Inputs!$C$35))</f>
        <v/>
      </c>
      <c r="P1806" s="54">
        <f>IF($B1806=0,NA(),IF(Inputs!$B$25&lt;&gt;"Yes",NA(),Inputs!$D$25*Inputs!$C$35))</f>
        <v/>
      </c>
      <c r="Q1806" s="54">
        <f>IF($B1806=0,NA(),IF(Inputs!$B$26&lt;&gt;"Yes",NA(),Inputs!$D$26*Inputs!$C$35))</f>
        <v/>
      </c>
      <c r="R1806" s="54">
        <f>IF($B1806=0,NA(),IF(Inputs!$B$27&lt;&gt;"Yes",NA(),Inputs!$D$27*Inputs!$C$35))</f>
        <v/>
      </c>
      <c r="S1806" s="54">
        <f>IF($B1806=0,NA(),IF(Inputs!$B$28&lt;&gt;"Yes",NA(),Inputs!$D$28*Inputs!$C$35))</f>
        <v/>
      </c>
      <c r="T1806" s="54">
        <f>IF($B1806=0,NA(),IF(Inputs!$B$29&lt;&gt;"Yes",NA(),Inputs!$D$29*Inputs!$C$35))</f>
        <v/>
      </c>
      <c r="AD1806">
        <f>IF($B1806=0,0,IF(Inputs!$B$6="",0,COUNTIFS(Data!$A$10:$A$3209,"&gt;="&amp;$A1806,Data!$A$10:$A$3209,"&lt;"&amp;$A1806+1)))</f>
        <v/>
      </c>
      <c r="AE1806">
        <f>IF($B1806=0,0,IF(Inputs!$B$7="",0,COUNTIFS(Data!$E$10:$E$3209,"&gt;="&amp;$A1806,Data!$E$10:$E$3209,"&lt;"&amp;$A1806+1)))</f>
        <v/>
      </c>
      <c r="AF1806">
        <f>IF($B1806=0,0,IF(Inputs!$B$8="",0,COUNTIFS(Data!$I$10:$I$3209,"&gt;="&amp;$A1806,Data!$I$10:$I$3209,"&lt;"&amp;$A1806+1)))</f>
        <v/>
      </c>
      <c r="AG1806">
        <f>IF($B1806=0,0,IF(Inputs!$B$9="",0,COUNTIFS(Data!$M$10:$M$3209,"&gt;="&amp;$A1806,Data!$M$10:$M$3209,"&lt;"&amp;$A1806+1)))</f>
        <v/>
      </c>
      <c r="AH1806">
        <f>IF($B1806=0,0,IF(Inputs!$B$10="",0,COUNTIFS(Data!$Q$10:$Q$3209,"&gt;="&amp;$A1806,Data!$Q$10:$Q$3209,"&lt;"&amp;$A1806+1)))</f>
        <v/>
      </c>
    </row>
    <row r="1807">
      <c r="A1807" s="55">
        <f>MIN(Inputs!$C$15,$A1806+IF(WEEKDAY($A1806,2)=5,3,1))</f>
        <v/>
      </c>
      <c r="B1807">
        <f>IF($A1807&gt;$A1806,1,0)</f>
        <v/>
      </c>
      <c r="C1807" s="56">
        <f>IF($B1807=0,"",IF(Inputs!$B$6="","",IF($AD1807=0,C1806,SUMIFS(Data!$B$10:$B$3209,Data!$A$10:$A$3209,"&gt;="&amp;$A1807,Data!$A$10:$A$3209,"&lt;"&amp;$A1807+1)/$AD1807)))</f>
        <v/>
      </c>
      <c r="D1807" s="56">
        <f>IF($B1807=0,"",IF(Inputs!$B$7="","",IF($AE1807=0,D1806,SUMIFS(Data!$F$10:$F$3209,Data!$E$10:$E$3209,"&gt;="&amp;$A1807,Data!$E$10:$E$3209,"&lt;"&amp;$A1807+1)/$AE1807)))</f>
        <v/>
      </c>
      <c r="E1807" s="56">
        <f>IF($B1807=0,"",IF(Inputs!$B$8="","",IF($AF1807=0,E1806,SUMIFS(Data!$J$10:$J$3209,Data!$I$10:$I$3209,"&gt;="&amp;$A1807,Data!$I$10:$I$3209,"&lt;"&amp;$A1807+1)/$AF1807)))</f>
        <v/>
      </c>
      <c r="F1807" s="56">
        <f>IF($B1807=0,"",IF(Inputs!$B$9="","",IF($AG1807=0,F1806,SUMIFS(Data!$N$10:$N$3209,Data!$M$10:$M$3209,"&gt;="&amp;$A1807,Data!$M$10:$M$3209,"&lt;"&amp;$A1807+1)/$AG1807)))</f>
        <v/>
      </c>
      <c r="G1807" s="56">
        <f>IF($B1807=0,"",IF(Inputs!$B$10="","",IF($AH1807=0,G1806,SUMIFS(Data!$R$10:$R$3209,Data!$Q$10:$Q$3209,"&gt;="&amp;$A1807,Data!$Q$10:$Q$3209,"&lt;"&amp;$A1807+1)/$AH1807)))</f>
        <v/>
      </c>
      <c r="I1807" s="54">
        <f>IF($B1807=0,NA(),IF($C1807="",NA(),IF(C$8="",NA(),IF(N(C$8)=0,NA(),IF(Inputs!$C$17="Rebased to 100",$C1807/C$8*100,$C1807)))))</f>
        <v/>
      </c>
      <c r="J1807" s="54">
        <f>IF($B1807=0,NA(),IF($D1807="",NA(),IF(D$8="",NA(),IF(N(D$8)=0,NA(),IF(Inputs!$C$17="Rebased to 100",$D1807/D$8*100,$D1807)))))</f>
        <v/>
      </c>
      <c r="K1807" s="54">
        <f>IF($B1807=0,NA(),IF($E1807="",NA(),IF(E$8="",NA(),IF(N(E$8)=0,NA(),IF(Inputs!$C$17="Rebased to 100",$E1807/E$8*100,$E1807)))))</f>
        <v/>
      </c>
      <c r="L1807" s="54">
        <f>IF($B1807=0,NA(),IF($F1807="",NA(),IF(F$8="",NA(),IF(N(F$8)=0,NA(),IF(Inputs!$C$17="Rebased to 100",$F1807/F$8*100,$F1807)))))</f>
        <v/>
      </c>
      <c r="M1807" s="54">
        <f>IF($B1807=0,NA(),IF($G1807="",NA(),IF(G$8="",NA(),IF(N(G$8)=0,NA(),IF(Inputs!$C$17="Rebased to 100",$G1807/G$8*100,$G1807)))))</f>
        <v/>
      </c>
      <c r="N1807" s="54">
        <f>IF($B1807=0,NA(),IF(Inputs!$C$18&lt;&gt;"Yes",NA(),IF(COUNT(I1807,J1807,K1807,L1807,M1807)=0,NA(),MIN(I1807,J1807,K1807,L1807,M1807))))</f>
        <v/>
      </c>
      <c r="O1807" s="54">
        <f>IF($B1807=0,NA(),IF(Inputs!$B$24&lt;&gt;"Yes",NA(),Inputs!$D$24*Inputs!$C$35))</f>
        <v/>
      </c>
      <c r="P1807" s="54">
        <f>IF($B1807=0,NA(),IF(Inputs!$B$25&lt;&gt;"Yes",NA(),Inputs!$D$25*Inputs!$C$35))</f>
        <v/>
      </c>
      <c r="Q1807" s="54">
        <f>IF($B1807=0,NA(),IF(Inputs!$B$26&lt;&gt;"Yes",NA(),Inputs!$D$26*Inputs!$C$35))</f>
        <v/>
      </c>
      <c r="R1807" s="54">
        <f>IF($B1807=0,NA(),IF(Inputs!$B$27&lt;&gt;"Yes",NA(),Inputs!$D$27*Inputs!$C$35))</f>
        <v/>
      </c>
      <c r="S1807" s="54">
        <f>IF($B1807=0,NA(),IF(Inputs!$B$28&lt;&gt;"Yes",NA(),Inputs!$D$28*Inputs!$C$35))</f>
        <v/>
      </c>
      <c r="T1807" s="54">
        <f>IF($B1807=0,NA(),IF(Inputs!$B$29&lt;&gt;"Yes",NA(),Inputs!$D$29*Inputs!$C$35))</f>
        <v/>
      </c>
      <c r="AD1807">
        <f>IF($B1807=0,0,IF(Inputs!$B$6="",0,COUNTIFS(Data!$A$10:$A$3209,"&gt;="&amp;$A1807,Data!$A$10:$A$3209,"&lt;"&amp;$A1807+1)))</f>
        <v/>
      </c>
      <c r="AE1807">
        <f>IF($B1807=0,0,IF(Inputs!$B$7="",0,COUNTIFS(Data!$E$10:$E$3209,"&gt;="&amp;$A1807,Data!$E$10:$E$3209,"&lt;"&amp;$A1807+1)))</f>
        <v/>
      </c>
      <c r="AF1807">
        <f>IF($B1807=0,0,IF(Inputs!$B$8="",0,COUNTIFS(Data!$I$10:$I$3209,"&gt;="&amp;$A1807,Data!$I$10:$I$3209,"&lt;"&amp;$A1807+1)))</f>
        <v/>
      </c>
      <c r="AG1807">
        <f>IF($B1807=0,0,IF(Inputs!$B$9="",0,COUNTIFS(Data!$M$10:$M$3209,"&gt;="&amp;$A1807,Data!$M$10:$M$3209,"&lt;"&amp;$A1807+1)))</f>
        <v/>
      </c>
      <c r="AH1807">
        <f>IF($B1807=0,0,IF(Inputs!$B$10="",0,COUNTIFS(Data!$Q$10:$Q$3209,"&gt;="&amp;$A1807,Data!$Q$10:$Q$3209,"&lt;"&amp;$A1807+1)))</f>
        <v/>
      </c>
    </row>
    <row r="1808">
      <c r="A1808" s="55">
        <f>MIN(Inputs!$C$15,$A1807+IF(WEEKDAY($A1807,2)=5,3,1))</f>
        <v/>
      </c>
      <c r="B1808">
        <f>IF($A1808&gt;$A1807,1,0)</f>
        <v/>
      </c>
      <c r="C1808" s="56">
        <f>IF($B1808=0,"",IF(Inputs!$B$6="","",IF($AD1808=0,C1807,SUMIFS(Data!$B$10:$B$3209,Data!$A$10:$A$3209,"&gt;="&amp;$A1808,Data!$A$10:$A$3209,"&lt;"&amp;$A1808+1)/$AD1808)))</f>
        <v/>
      </c>
      <c r="D1808" s="56">
        <f>IF($B1808=0,"",IF(Inputs!$B$7="","",IF($AE1808=0,D1807,SUMIFS(Data!$F$10:$F$3209,Data!$E$10:$E$3209,"&gt;="&amp;$A1808,Data!$E$10:$E$3209,"&lt;"&amp;$A1808+1)/$AE1808)))</f>
        <v/>
      </c>
      <c r="E1808" s="56">
        <f>IF($B1808=0,"",IF(Inputs!$B$8="","",IF($AF1808=0,E1807,SUMIFS(Data!$J$10:$J$3209,Data!$I$10:$I$3209,"&gt;="&amp;$A1808,Data!$I$10:$I$3209,"&lt;"&amp;$A1808+1)/$AF1808)))</f>
        <v/>
      </c>
      <c r="F1808" s="56">
        <f>IF($B1808=0,"",IF(Inputs!$B$9="","",IF($AG1808=0,F1807,SUMIFS(Data!$N$10:$N$3209,Data!$M$10:$M$3209,"&gt;="&amp;$A1808,Data!$M$10:$M$3209,"&lt;"&amp;$A1808+1)/$AG1808)))</f>
        <v/>
      </c>
      <c r="G1808" s="56">
        <f>IF($B1808=0,"",IF(Inputs!$B$10="","",IF($AH1808=0,G1807,SUMIFS(Data!$R$10:$R$3209,Data!$Q$10:$Q$3209,"&gt;="&amp;$A1808,Data!$Q$10:$Q$3209,"&lt;"&amp;$A1808+1)/$AH1808)))</f>
        <v/>
      </c>
      <c r="I1808" s="54">
        <f>IF($B1808=0,NA(),IF($C1808="",NA(),IF(C$8="",NA(),IF(N(C$8)=0,NA(),IF(Inputs!$C$17="Rebased to 100",$C1808/C$8*100,$C1808)))))</f>
        <v/>
      </c>
      <c r="J1808" s="54">
        <f>IF($B1808=0,NA(),IF($D1808="",NA(),IF(D$8="",NA(),IF(N(D$8)=0,NA(),IF(Inputs!$C$17="Rebased to 100",$D1808/D$8*100,$D1808)))))</f>
        <v/>
      </c>
      <c r="K1808" s="54">
        <f>IF($B1808=0,NA(),IF($E1808="",NA(),IF(E$8="",NA(),IF(N(E$8)=0,NA(),IF(Inputs!$C$17="Rebased to 100",$E1808/E$8*100,$E1808)))))</f>
        <v/>
      </c>
      <c r="L1808" s="54">
        <f>IF($B1808=0,NA(),IF($F1808="",NA(),IF(F$8="",NA(),IF(N(F$8)=0,NA(),IF(Inputs!$C$17="Rebased to 100",$F1808/F$8*100,$F1808)))))</f>
        <v/>
      </c>
      <c r="M1808" s="54">
        <f>IF($B1808=0,NA(),IF($G1808="",NA(),IF(G$8="",NA(),IF(N(G$8)=0,NA(),IF(Inputs!$C$17="Rebased to 100",$G1808/G$8*100,$G1808)))))</f>
        <v/>
      </c>
      <c r="N1808" s="54">
        <f>IF($B1808=0,NA(),IF(Inputs!$C$18&lt;&gt;"Yes",NA(),IF(COUNT(I1808,J1808,K1808,L1808,M1808)=0,NA(),MIN(I1808,J1808,K1808,L1808,M1808))))</f>
        <v/>
      </c>
      <c r="O1808" s="54">
        <f>IF($B1808=0,NA(),IF(Inputs!$B$24&lt;&gt;"Yes",NA(),Inputs!$D$24*Inputs!$C$35))</f>
        <v/>
      </c>
      <c r="P1808" s="54">
        <f>IF($B1808=0,NA(),IF(Inputs!$B$25&lt;&gt;"Yes",NA(),Inputs!$D$25*Inputs!$C$35))</f>
        <v/>
      </c>
      <c r="Q1808" s="54">
        <f>IF($B1808=0,NA(),IF(Inputs!$B$26&lt;&gt;"Yes",NA(),Inputs!$D$26*Inputs!$C$35))</f>
        <v/>
      </c>
      <c r="R1808" s="54">
        <f>IF($B1808=0,NA(),IF(Inputs!$B$27&lt;&gt;"Yes",NA(),Inputs!$D$27*Inputs!$C$35))</f>
        <v/>
      </c>
      <c r="S1808" s="54">
        <f>IF($B1808=0,NA(),IF(Inputs!$B$28&lt;&gt;"Yes",NA(),Inputs!$D$28*Inputs!$C$35))</f>
        <v/>
      </c>
      <c r="T1808" s="54">
        <f>IF($B1808=0,NA(),IF(Inputs!$B$29&lt;&gt;"Yes",NA(),Inputs!$D$29*Inputs!$C$35))</f>
        <v/>
      </c>
      <c r="AD1808">
        <f>IF($B1808=0,0,IF(Inputs!$B$6="",0,COUNTIFS(Data!$A$10:$A$3209,"&gt;="&amp;$A1808,Data!$A$10:$A$3209,"&lt;"&amp;$A1808+1)))</f>
        <v/>
      </c>
      <c r="AE1808">
        <f>IF($B1808=0,0,IF(Inputs!$B$7="",0,COUNTIFS(Data!$E$10:$E$3209,"&gt;="&amp;$A1808,Data!$E$10:$E$3209,"&lt;"&amp;$A1808+1)))</f>
        <v/>
      </c>
      <c r="AF1808">
        <f>IF($B1808=0,0,IF(Inputs!$B$8="",0,COUNTIFS(Data!$I$10:$I$3209,"&gt;="&amp;$A1808,Data!$I$10:$I$3209,"&lt;"&amp;$A1808+1)))</f>
        <v/>
      </c>
      <c r="AG1808">
        <f>IF($B1808=0,0,IF(Inputs!$B$9="",0,COUNTIFS(Data!$M$10:$M$3209,"&gt;="&amp;$A1808,Data!$M$10:$M$3209,"&lt;"&amp;$A1808+1)))</f>
        <v/>
      </c>
      <c r="AH1808">
        <f>IF($B1808=0,0,IF(Inputs!$B$10="",0,COUNTIFS(Data!$Q$10:$Q$3209,"&gt;="&amp;$A1808,Data!$Q$10:$Q$3209,"&lt;"&amp;$A1808+1)))</f>
        <v/>
      </c>
    </row>
    <row r="1809">
      <c r="A1809" s="55">
        <f>MIN(Inputs!$C$15,$A1808+IF(WEEKDAY($A1808,2)=5,3,1))</f>
        <v/>
      </c>
      <c r="B1809">
        <f>IF($A1809&gt;$A1808,1,0)</f>
        <v/>
      </c>
      <c r="C1809" s="56">
        <f>IF($B1809=0,"",IF(Inputs!$B$6="","",IF($AD1809=0,C1808,SUMIFS(Data!$B$10:$B$3209,Data!$A$10:$A$3209,"&gt;="&amp;$A1809,Data!$A$10:$A$3209,"&lt;"&amp;$A1809+1)/$AD1809)))</f>
        <v/>
      </c>
      <c r="D1809" s="56">
        <f>IF($B1809=0,"",IF(Inputs!$B$7="","",IF($AE1809=0,D1808,SUMIFS(Data!$F$10:$F$3209,Data!$E$10:$E$3209,"&gt;="&amp;$A1809,Data!$E$10:$E$3209,"&lt;"&amp;$A1809+1)/$AE1809)))</f>
        <v/>
      </c>
      <c r="E1809" s="56">
        <f>IF($B1809=0,"",IF(Inputs!$B$8="","",IF($AF1809=0,E1808,SUMIFS(Data!$J$10:$J$3209,Data!$I$10:$I$3209,"&gt;="&amp;$A1809,Data!$I$10:$I$3209,"&lt;"&amp;$A1809+1)/$AF1809)))</f>
        <v/>
      </c>
      <c r="F1809" s="56">
        <f>IF($B1809=0,"",IF(Inputs!$B$9="","",IF($AG1809=0,F1808,SUMIFS(Data!$N$10:$N$3209,Data!$M$10:$M$3209,"&gt;="&amp;$A1809,Data!$M$10:$M$3209,"&lt;"&amp;$A1809+1)/$AG1809)))</f>
        <v/>
      </c>
      <c r="G1809" s="56">
        <f>IF($B1809=0,"",IF(Inputs!$B$10="","",IF($AH1809=0,G1808,SUMIFS(Data!$R$10:$R$3209,Data!$Q$10:$Q$3209,"&gt;="&amp;$A1809,Data!$Q$10:$Q$3209,"&lt;"&amp;$A1809+1)/$AH1809)))</f>
        <v/>
      </c>
      <c r="I1809" s="54">
        <f>IF($B1809=0,NA(),IF($C1809="",NA(),IF(C$8="",NA(),IF(N(C$8)=0,NA(),IF(Inputs!$C$17="Rebased to 100",$C1809/C$8*100,$C1809)))))</f>
        <v/>
      </c>
      <c r="J1809" s="54">
        <f>IF($B1809=0,NA(),IF($D1809="",NA(),IF(D$8="",NA(),IF(N(D$8)=0,NA(),IF(Inputs!$C$17="Rebased to 100",$D1809/D$8*100,$D1809)))))</f>
        <v/>
      </c>
      <c r="K1809" s="54">
        <f>IF($B1809=0,NA(),IF($E1809="",NA(),IF(E$8="",NA(),IF(N(E$8)=0,NA(),IF(Inputs!$C$17="Rebased to 100",$E1809/E$8*100,$E1809)))))</f>
        <v/>
      </c>
      <c r="L1809" s="54">
        <f>IF($B1809=0,NA(),IF($F1809="",NA(),IF(F$8="",NA(),IF(N(F$8)=0,NA(),IF(Inputs!$C$17="Rebased to 100",$F1809/F$8*100,$F1809)))))</f>
        <v/>
      </c>
      <c r="M1809" s="54">
        <f>IF($B1809=0,NA(),IF($G1809="",NA(),IF(G$8="",NA(),IF(N(G$8)=0,NA(),IF(Inputs!$C$17="Rebased to 100",$G1809/G$8*100,$G1809)))))</f>
        <v/>
      </c>
      <c r="N1809" s="54">
        <f>IF($B1809=0,NA(),IF(Inputs!$C$18&lt;&gt;"Yes",NA(),IF(COUNT(I1809,J1809,K1809,L1809,M1809)=0,NA(),MIN(I1809,J1809,K1809,L1809,M1809))))</f>
        <v/>
      </c>
      <c r="O1809" s="54">
        <f>IF($B1809=0,NA(),IF(Inputs!$B$24&lt;&gt;"Yes",NA(),Inputs!$D$24*Inputs!$C$35))</f>
        <v/>
      </c>
      <c r="P1809" s="54">
        <f>IF($B1809=0,NA(),IF(Inputs!$B$25&lt;&gt;"Yes",NA(),Inputs!$D$25*Inputs!$C$35))</f>
        <v/>
      </c>
      <c r="Q1809" s="54">
        <f>IF($B1809=0,NA(),IF(Inputs!$B$26&lt;&gt;"Yes",NA(),Inputs!$D$26*Inputs!$C$35))</f>
        <v/>
      </c>
      <c r="R1809" s="54">
        <f>IF($B1809=0,NA(),IF(Inputs!$B$27&lt;&gt;"Yes",NA(),Inputs!$D$27*Inputs!$C$35))</f>
        <v/>
      </c>
      <c r="S1809" s="54">
        <f>IF($B1809=0,NA(),IF(Inputs!$B$28&lt;&gt;"Yes",NA(),Inputs!$D$28*Inputs!$C$35))</f>
        <v/>
      </c>
      <c r="T1809" s="54">
        <f>IF($B1809=0,NA(),IF(Inputs!$B$29&lt;&gt;"Yes",NA(),Inputs!$D$29*Inputs!$C$35))</f>
        <v/>
      </c>
      <c r="AD1809">
        <f>IF($B1809=0,0,IF(Inputs!$B$6="",0,COUNTIFS(Data!$A$10:$A$3209,"&gt;="&amp;$A1809,Data!$A$10:$A$3209,"&lt;"&amp;$A1809+1)))</f>
        <v/>
      </c>
      <c r="AE1809">
        <f>IF($B1809=0,0,IF(Inputs!$B$7="",0,COUNTIFS(Data!$E$10:$E$3209,"&gt;="&amp;$A1809,Data!$E$10:$E$3209,"&lt;"&amp;$A1809+1)))</f>
        <v/>
      </c>
      <c r="AF1809">
        <f>IF($B1809=0,0,IF(Inputs!$B$8="",0,COUNTIFS(Data!$I$10:$I$3209,"&gt;="&amp;$A1809,Data!$I$10:$I$3209,"&lt;"&amp;$A1809+1)))</f>
        <v/>
      </c>
      <c r="AG1809">
        <f>IF($B1809=0,0,IF(Inputs!$B$9="",0,COUNTIFS(Data!$M$10:$M$3209,"&gt;="&amp;$A1809,Data!$M$10:$M$3209,"&lt;"&amp;$A1809+1)))</f>
        <v/>
      </c>
      <c r="AH1809">
        <f>IF($B1809=0,0,IF(Inputs!$B$10="",0,COUNTIFS(Data!$Q$10:$Q$3209,"&gt;="&amp;$A1809,Data!$Q$10:$Q$3209,"&lt;"&amp;$A1809+1)))</f>
        <v/>
      </c>
    </row>
    <row r="1810">
      <c r="A1810" s="55">
        <f>MIN(Inputs!$C$15,$A1809+IF(WEEKDAY($A1809,2)=5,3,1))</f>
        <v/>
      </c>
      <c r="B1810">
        <f>IF($A1810&gt;$A1809,1,0)</f>
        <v/>
      </c>
      <c r="C1810" s="56">
        <f>IF($B1810=0,"",IF(Inputs!$B$6="","",IF($AD1810=0,C1809,SUMIFS(Data!$B$10:$B$3209,Data!$A$10:$A$3209,"&gt;="&amp;$A1810,Data!$A$10:$A$3209,"&lt;"&amp;$A1810+1)/$AD1810)))</f>
        <v/>
      </c>
      <c r="D1810" s="56">
        <f>IF($B1810=0,"",IF(Inputs!$B$7="","",IF($AE1810=0,D1809,SUMIFS(Data!$F$10:$F$3209,Data!$E$10:$E$3209,"&gt;="&amp;$A1810,Data!$E$10:$E$3209,"&lt;"&amp;$A1810+1)/$AE1810)))</f>
        <v/>
      </c>
      <c r="E1810" s="56">
        <f>IF($B1810=0,"",IF(Inputs!$B$8="","",IF($AF1810=0,E1809,SUMIFS(Data!$J$10:$J$3209,Data!$I$10:$I$3209,"&gt;="&amp;$A1810,Data!$I$10:$I$3209,"&lt;"&amp;$A1810+1)/$AF1810)))</f>
        <v/>
      </c>
      <c r="F1810" s="56">
        <f>IF($B1810=0,"",IF(Inputs!$B$9="","",IF($AG1810=0,F1809,SUMIFS(Data!$N$10:$N$3209,Data!$M$10:$M$3209,"&gt;="&amp;$A1810,Data!$M$10:$M$3209,"&lt;"&amp;$A1810+1)/$AG1810)))</f>
        <v/>
      </c>
      <c r="G1810" s="56">
        <f>IF($B1810=0,"",IF(Inputs!$B$10="","",IF($AH1810=0,G1809,SUMIFS(Data!$R$10:$R$3209,Data!$Q$10:$Q$3209,"&gt;="&amp;$A1810,Data!$Q$10:$Q$3209,"&lt;"&amp;$A1810+1)/$AH1810)))</f>
        <v/>
      </c>
      <c r="I1810" s="54">
        <f>IF($B1810=0,NA(),IF($C1810="",NA(),IF(C$8="",NA(),IF(N(C$8)=0,NA(),IF(Inputs!$C$17="Rebased to 100",$C1810/C$8*100,$C1810)))))</f>
        <v/>
      </c>
      <c r="J1810" s="54">
        <f>IF($B1810=0,NA(),IF($D1810="",NA(),IF(D$8="",NA(),IF(N(D$8)=0,NA(),IF(Inputs!$C$17="Rebased to 100",$D1810/D$8*100,$D1810)))))</f>
        <v/>
      </c>
      <c r="K1810" s="54">
        <f>IF($B1810=0,NA(),IF($E1810="",NA(),IF(E$8="",NA(),IF(N(E$8)=0,NA(),IF(Inputs!$C$17="Rebased to 100",$E1810/E$8*100,$E1810)))))</f>
        <v/>
      </c>
      <c r="L1810" s="54">
        <f>IF($B1810=0,NA(),IF($F1810="",NA(),IF(F$8="",NA(),IF(N(F$8)=0,NA(),IF(Inputs!$C$17="Rebased to 100",$F1810/F$8*100,$F1810)))))</f>
        <v/>
      </c>
      <c r="M1810" s="54">
        <f>IF($B1810=0,NA(),IF($G1810="",NA(),IF(G$8="",NA(),IF(N(G$8)=0,NA(),IF(Inputs!$C$17="Rebased to 100",$G1810/G$8*100,$G1810)))))</f>
        <v/>
      </c>
      <c r="N1810" s="54">
        <f>IF($B1810=0,NA(),IF(Inputs!$C$18&lt;&gt;"Yes",NA(),IF(COUNT(I1810,J1810,K1810,L1810,M1810)=0,NA(),MIN(I1810,J1810,K1810,L1810,M1810))))</f>
        <v/>
      </c>
      <c r="O1810" s="54">
        <f>IF($B1810=0,NA(),IF(Inputs!$B$24&lt;&gt;"Yes",NA(),Inputs!$D$24*Inputs!$C$35))</f>
        <v/>
      </c>
      <c r="P1810" s="54">
        <f>IF($B1810=0,NA(),IF(Inputs!$B$25&lt;&gt;"Yes",NA(),Inputs!$D$25*Inputs!$C$35))</f>
        <v/>
      </c>
      <c r="Q1810" s="54">
        <f>IF($B1810=0,NA(),IF(Inputs!$B$26&lt;&gt;"Yes",NA(),Inputs!$D$26*Inputs!$C$35))</f>
        <v/>
      </c>
      <c r="R1810" s="54">
        <f>IF($B1810=0,NA(),IF(Inputs!$B$27&lt;&gt;"Yes",NA(),Inputs!$D$27*Inputs!$C$35))</f>
        <v/>
      </c>
      <c r="S1810" s="54">
        <f>IF($B1810=0,NA(),IF(Inputs!$B$28&lt;&gt;"Yes",NA(),Inputs!$D$28*Inputs!$C$35))</f>
        <v/>
      </c>
      <c r="T1810" s="54">
        <f>IF($B1810=0,NA(),IF(Inputs!$B$29&lt;&gt;"Yes",NA(),Inputs!$D$29*Inputs!$C$35))</f>
        <v/>
      </c>
      <c r="AD1810">
        <f>IF($B1810=0,0,IF(Inputs!$B$6="",0,COUNTIFS(Data!$A$10:$A$3209,"&gt;="&amp;$A1810,Data!$A$10:$A$3209,"&lt;"&amp;$A1810+1)))</f>
        <v/>
      </c>
      <c r="AE1810">
        <f>IF($B1810=0,0,IF(Inputs!$B$7="",0,COUNTIFS(Data!$E$10:$E$3209,"&gt;="&amp;$A1810,Data!$E$10:$E$3209,"&lt;"&amp;$A1810+1)))</f>
        <v/>
      </c>
      <c r="AF1810">
        <f>IF($B1810=0,0,IF(Inputs!$B$8="",0,COUNTIFS(Data!$I$10:$I$3209,"&gt;="&amp;$A1810,Data!$I$10:$I$3209,"&lt;"&amp;$A1810+1)))</f>
        <v/>
      </c>
      <c r="AG1810">
        <f>IF($B1810=0,0,IF(Inputs!$B$9="",0,COUNTIFS(Data!$M$10:$M$3209,"&gt;="&amp;$A1810,Data!$M$10:$M$3209,"&lt;"&amp;$A1810+1)))</f>
        <v/>
      </c>
      <c r="AH1810">
        <f>IF($B1810=0,0,IF(Inputs!$B$10="",0,COUNTIFS(Data!$Q$10:$Q$3209,"&gt;="&amp;$A1810,Data!$Q$10:$Q$3209,"&lt;"&amp;$A1810+1)))</f>
        <v/>
      </c>
    </row>
    <row r="1811">
      <c r="A1811" s="55">
        <f>MIN(Inputs!$C$15,$A1810+IF(WEEKDAY($A1810,2)=5,3,1))</f>
        <v/>
      </c>
      <c r="B1811">
        <f>IF($A1811&gt;$A1810,1,0)</f>
        <v/>
      </c>
      <c r="C1811" s="56">
        <f>IF($B1811=0,"",IF(Inputs!$B$6="","",IF($AD1811=0,C1810,SUMIFS(Data!$B$10:$B$3209,Data!$A$10:$A$3209,"&gt;="&amp;$A1811,Data!$A$10:$A$3209,"&lt;"&amp;$A1811+1)/$AD1811)))</f>
        <v/>
      </c>
      <c r="D1811" s="56">
        <f>IF($B1811=0,"",IF(Inputs!$B$7="","",IF($AE1811=0,D1810,SUMIFS(Data!$F$10:$F$3209,Data!$E$10:$E$3209,"&gt;="&amp;$A1811,Data!$E$10:$E$3209,"&lt;"&amp;$A1811+1)/$AE1811)))</f>
        <v/>
      </c>
      <c r="E1811" s="56">
        <f>IF($B1811=0,"",IF(Inputs!$B$8="","",IF($AF1811=0,E1810,SUMIFS(Data!$J$10:$J$3209,Data!$I$10:$I$3209,"&gt;="&amp;$A1811,Data!$I$10:$I$3209,"&lt;"&amp;$A1811+1)/$AF1811)))</f>
        <v/>
      </c>
      <c r="F1811" s="56">
        <f>IF($B1811=0,"",IF(Inputs!$B$9="","",IF($AG1811=0,F1810,SUMIFS(Data!$N$10:$N$3209,Data!$M$10:$M$3209,"&gt;="&amp;$A1811,Data!$M$10:$M$3209,"&lt;"&amp;$A1811+1)/$AG1811)))</f>
        <v/>
      </c>
      <c r="G1811" s="56">
        <f>IF($B1811=0,"",IF(Inputs!$B$10="","",IF($AH1811=0,G1810,SUMIFS(Data!$R$10:$R$3209,Data!$Q$10:$Q$3209,"&gt;="&amp;$A1811,Data!$Q$10:$Q$3209,"&lt;"&amp;$A1811+1)/$AH1811)))</f>
        <v/>
      </c>
      <c r="I1811" s="54">
        <f>IF($B1811=0,NA(),IF($C1811="",NA(),IF(C$8="",NA(),IF(N(C$8)=0,NA(),IF(Inputs!$C$17="Rebased to 100",$C1811/C$8*100,$C1811)))))</f>
        <v/>
      </c>
      <c r="J1811" s="54">
        <f>IF($B1811=0,NA(),IF($D1811="",NA(),IF(D$8="",NA(),IF(N(D$8)=0,NA(),IF(Inputs!$C$17="Rebased to 100",$D1811/D$8*100,$D1811)))))</f>
        <v/>
      </c>
      <c r="K1811" s="54">
        <f>IF($B1811=0,NA(),IF($E1811="",NA(),IF(E$8="",NA(),IF(N(E$8)=0,NA(),IF(Inputs!$C$17="Rebased to 100",$E1811/E$8*100,$E1811)))))</f>
        <v/>
      </c>
      <c r="L1811" s="54">
        <f>IF($B1811=0,NA(),IF($F1811="",NA(),IF(F$8="",NA(),IF(N(F$8)=0,NA(),IF(Inputs!$C$17="Rebased to 100",$F1811/F$8*100,$F1811)))))</f>
        <v/>
      </c>
      <c r="M1811" s="54">
        <f>IF($B1811=0,NA(),IF($G1811="",NA(),IF(G$8="",NA(),IF(N(G$8)=0,NA(),IF(Inputs!$C$17="Rebased to 100",$G1811/G$8*100,$G1811)))))</f>
        <v/>
      </c>
      <c r="N1811" s="54">
        <f>IF($B1811=0,NA(),IF(Inputs!$C$18&lt;&gt;"Yes",NA(),IF(COUNT(I1811,J1811,K1811,L1811,M1811)=0,NA(),MIN(I1811,J1811,K1811,L1811,M1811))))</f>
        <v/>
      </c>
      <c r="O1811" s="54">
        <f>IF($B1811=0,NA(),IF(Inputs!$B$24&lt;&gt;"Yes",NA(),Inputs!$D$24*Inputs!$C$35))</f>
        <v/>
      </c>
      <c r="P1811" s="54">
        <f>IF($B1811=0,NA(),IF(Inputs!$B$25&lt;&gt;"Yes",NA(),Inputs!$D$25*Inputs!$C$35))</f>
        <v/>
      </c>
      <c r="Q1811" s="54">
        <f>IF($B1811=0,NA(),IF(Inputs!$B$26&lt;&gt;"Yes",NA(),Inputs!$D$26*Inputs!$C$35))</f>
        <v/>
      </c>
      <c r="R1811" s="54">
        <f>IF($B1811=0,NA(),IF(Inputs!$B$27&lt;&gt;"Yes",NA(),Inputs!$D$27*Inputs!$C$35))</f>
        <v/>
      </c>
      <c r="S1811" s="54">
        <f>IF($B1811=0,NA(),IF(Inputs!$B$28&lt;&gt;"Yes",NA(),Inputs!$D$28*Inputs!$C$35))</f>
        <v/>
      </c>
      <c r="T1811" s="54">
        <f>IF($B1811=0,NA(),IF(Inputs!$B$29&lt;&gt;"Yes",NA(),Inputs!$D$29*Inputs!$C$35))</f>
        <v/>
      </c>
      <c r="AD1811">
        <f>IF($B1811=0,0,IF(Inputs!$B$6="",0,COUNTIFS(Data!$A$10:$A$3209,"&gt;="&amp;$A1811,Data!$A$10:$A$3209,"&lt;"&amp;$A1811+1)))</f>
        <v/>
      </c>
      <c r="AE1811">
        <f>IF($B1811=0,0,IF(Inputs!$B$7="",0,COUNTIFS(Data!$E$10:$E$3209,"&gt;="&amp;$A1811,Data!$E$10:$E$3209,"&lt;"&amp;$A1811+1)))</f>
        <v/>
      </c>
      <c r="AF1811">
        <f>IF($B1811=0,0,IF(Inputs!$B$8="",0,COUNTIFS(Data!$I$10:$I$3209,"&gt;="&amp;$A1811,Data!$I$10:$I$3209,"&lt;"&amp;$A1811+1)))</f>
        <v/>
      </c>
      <c r="AG1811">
        <f>IF($B1811=0,0,IF(Inputs!$B$9="",0,COUNTIFS(Data!$M$10:$M$3209,"&gt;="&amp;$A1811,Data!$M$10:$M$3209,"&lt;"&amp;$A1811+1)))</f>
        <v/>
      </c>
      <c r="AH1811">
        <f>IF($B1811=0,0,IF(Inputs!$B$10="",0,COUNTIFS(Data!$Q$10:$Q$3209,"&gt;="&amp;$A1811,Data!$Q$10:$Q$3209,"&lt;"&amp;$A1811+1)))</f>
        <v/>
      </c>
    </row>
    <row r="1812">
      <c r="A1812" s="55">
        <f>MIN(Inputs!$C$15,$A1811+IF(WEEKDAY($A1811,2)=5,3,1))</f>
        <v/>
      </c>
      <c r="B1812">
        <f>IF($A1812&gt;$A1811,1,0)</f>
        <v/>
      </c>
      <c r="C1812" s="56">
        <f>IF($B1812=0,"",IF(Inputs!$B$6="","",IF($AD1812=0,C1811,SUMIFS(Data!$B$10:$B$3209,Data!$A$10:$A$3209,"&gt;="&amp;$A1812,Data!$A$10:$A$3209,"&lt;"&amp;$A1812+1)/$AD1812)))</f>
        <v/>
      </c>
      <c r="D1812" s="56">
        <f>IF($B1812=0,"",IF(Inputs!$B$7="","",IF($AE1812=0,D1811,SUMIFS(Data!$F$10:$F$3209,Data!$E$10:$E$3209,"&gt;="&amp;$A1812,Data!$E$10:$E$3209,"&lt;"&amp;$A1812+1)/$AE1812)))</f>
        <v/>
      </c>
      <c r="E1812" s="56">
        <f>IF($B1812=0,"",IF(Inputs!$B$8="","",IF($AF1812=0,E1811,SUMIFS(Data!$J$10:$J$3209,Data!$I$10:$I$3209,"&gt;="&amp;$A1812,Data!$I$10:$I$3209,"&lt;"&amp;$A1812+1)/$AF1812)))</f>
        <v/>
      </c>
      <c r="F1812" s="56">
        <f>IF($B1812=0,"",IF(Inputs!$B$9="","",IF($AG1812=0,F1811,SUMIFS(Data!$N$10:$N$3209,Data!$M$10:$M$3209,"&gt;="&amp;$A1812,Data!$M$10:$M$3209,"&lt;"&amp;$A1812+1)/$AG1812)))</f>
        <v/>
      </c>
      <c r="G1812" s="56">
        <f>IF($B1812=0,"",IF(Inputs!$B$10="","",IF($AH1812=0,G1811,SUMIFS(Data!$R$10:$R$3209,Data!$Q$10:$Q$3209,"&gt;="&amp;$A1812,Data!$Q$10:$Q$3209,"&lt;"&amp;$A1812+1)/$AH1812)))</f>
        <v/>
      </c>
      <c r="I1812" s="54">
        <f>IF($B1812=0,NA(),IF($C1812="",NA(),IF(C$8="",NA(),IF(N(C$8)=0,NA(),IF(Inputs!$C$17="Rebased to 100",$C1812/C$8*100,$C1812)))))</f>
        <v/>
      </c>
      <c r="J1812" s="54">
        <f>IF($B1812=0,NA(),IF($D1812="",NA(),IF(D$8="",NA(),IF(N(D$8)=0,NA(),IF(Inputs!$C$17="Rebased to 100",$D1812/D$8*100,$D1812)))))</f>
        <v/>
      </c>
      <c r="K1812" s="54">
        <f>IF($B1812=0,NA(),IF($E1812="",NA(),IF(E$8="",NA(),IF(N(E$8)=0,NA(),IF(Inputs!$C$17="Rebased to 100",$E1812/E$8*100,$E1812)))))</f>
        <v/>
      </c>
      <c r="L1812" s="54">
        <f>IF($B1812=0,NA(),IF($F1812="",NA(),IF(F$8="",NA(),IF(N(F$8)=0,NA(),IF(Inputs!$C$17="Rebased to 100",$F1812/F$8*100,$F1812)))))</f>
        <v/>
      </c>
      <c r="M1812" s="54">
        <f>IF($B1812=0,NA(),IF($G1812="",NA(),IF(G$8="",NA(),IF(N(G$8)=0,NA(),IF(Inputs!$C$17="Rebased to 100",$G1812/G$8*100,$G1812)))))</f>
        <v/>
      </c>
      <c r="N1812" s="54">
        <f>IF($B1812=0,NA(),IF(Inputs!$C$18&lt;&gt;"Yes",NA(),IF(COUNT(I1812,J1812,K1812,L1812,M1812)=0,NA(),MIN(I1812,J1812,K1812,L1812,M1812))))</f>
        <v/>
      </c>
      <c r="O1812" s="54">
        <f>IF($B1812=0,NA(),IF(Inputs!$B$24&lt;&gt;"Yes",NA(),Inputs!$D$24*Inputs!$C$35))</f>
        <v/>
      </c>
      <c r="P1812" s="54">
        <f>IF($B1812=0,NA(),IF(Inputs!$B$25&lt;&gt;"Yes",NA(),Inputs!$D$25*Inputs!$C$35))</f>
        <v/>
      </c>
      <c r="Q1812" s="54">
        <f>IF($B1812=0,NA(),IF(Inputs!$B$26&lt;&gt;"Yes",NA(),Inputs!$D$26*Inputs!$C$35))</f>
        <v/>
      </c>
      <c r="R1812" s="54">
        <f>IF($B1812=0,NA(),IF(Inputs!$B$27&lt;&gt;"Yes",NA(),Inputs!$D$27*Inputs!$C$35))</f>
        <v/>
      </c>
      <c r="S1812" s="54">
        <f>IF($B1812=0,NA(),IF(Inputs!$B$28&lt;&gt;"Yes",NA(),Inputs!$D$28*Inputs!$C$35))</f>
        <v/>
      </c>
      <c r="T1812" s="54">
        <f>IF($B1812=0,NA(),IF(Inputs!$B$29&lt;&gt;"Yes",NA(),Inputs!$D$29*Inputs!$C$35))</f>
        <v/>
      </c>
      <c r="AD1812">
        <f>IF($B1812=0,0,IF(Inputs!$B$6="",0,COUNTIFS(Data!$A$10:$A$3209,"&gt;="&amp;$A1812,Data!$A$10:$A$3209,"&lt;"&amp;$A1812+1)))</f>
        <v/>
      </c>
      <c r="AE1812">
        <f>IF($B1812=0,0,IF(Inputs!$B$7="",0,COUNTIFS(Data!$E$10:$E$3209,"&gt;="&amp;$A1812,Data!$E$10:$E$3209,"&lt;"&amp;$A1812+1)))</f>
        <v/>
      </c>
      <c r="AF1812">
        <f>IF($B1812=0,0,IF(Inputs!$B$8="",0,COUNTIFS(Data!$I$10:$I$3209,"&gt;="&amp;$A1812,Data!$I$10:$I$3209,"&lt;"&amp;$A1812+1)))</f>
        <v/>
      </c>
      <c r="AG1812">
        <f>IF($B1812=0,0,IF(Inputs!$B$9="",0,COUNTIFS(Data!$M$10:$M$3209,"&gt;="&amp;$A1812,Data!$M$10:$M$3209,"&lt;"&amp;$A1812+1)))</f>
        <v/>
      </c>
      <c r="AH1812">
        <f>IF($B1812=0,0,IF(Inputs!$B$10="",0,COUNTIFS(Data!$Q$10:$Q$3209,"&gt;="&amp;$A1812,Data!$Q$10:$Q$3209,"&lt;"&amp;$A1812+1)))</f>
        <v/>
      </c>
    </row>
    <row r="1813">
      <c r="A1813" s="55">
        <f>MIN(Inputs!$C$15,$A1812+IF(WEEKDAY($A1812,2)=5,3,1))</f>
        <v/>
      </c>
      <c r="B1813">
        <f>IF($A1813&gt;$A1812,1,0)</f>
        <v/>
      </c>
      <c r="C1813" s="56">
        <f>IF($B1813=0,"",IF(Inputs!$B$6="","",IF($AD1813=0,C1812,SUMIFS(Data!$B$10:$B$3209,Data!$A$10:$A$3209,"&gt;="&amp;$A1813,Data!$A$10:$A$3209,"&lt;"&amp;$A1813+1)/$AD1813)))</f>
        <v/>
      </c>
      <c r="D1813" s="56">
        <f>IF($B1813=0,"",IF(Inputs!$B$7="","",IF($AE1813=0,D1812,SUMIFS(Data!$F$10:$F$3209,Data!$E$10:$E$3209,"&gt;="&amp;$A1813,Data!$E$10:$E$3209,"&lt;"&amp;$A1813+1)/$AE1813)))</f>
        <v/>
      </c>
      <c r="E1813" s="56">
        <f>IF($B1813=0,"",IF(Inputs!$B$8="","",IF($AF1813=0,E1812,SUMIFS(Data!$J$10:$J$3209,Data!$I$10:$I$3209,"&gt;="&amp;$A1813,Data!$I$10:$I$3209,"&lt;"&amp;$A1813+1)/$AF1813)))</f>
        <v/>
      </c>
      <c r="F1813" s="56">
        <f>IF($B1813=0,"",IF(Inputs!$B$9="","",IF($AG1813=0,F1812,SUMIFS(Data!$N$10:$N$3209,Data!$M$10:$M$3209,"&gt;="&amp;$A1813,Data!$M$10:$M$3209,"&lt;"&amp;$A1813+1)/$AG1813)))</f>
        <v/>
      </c>
      <c r="G1813" s="56">
        <f>IF($B1813=0,"",IF(Inputs!$B$10="","",IF($AH1813=0,G1812,SUMIFS(Data!$R$10:$R$3209,Data!$Q$10:$Q$3209,"&gt;="&amp;$A1813,Data!$Q$10:$Q$3209,"&lt;"&amp;$A1813+1)/$AH1813)))</f>
        <v/>
      </c>
      <c r="I1813" s="54">
        <f>IF($B1813=0,NA(),IF($C1813="",NA(),IF(C$8="",NA(),IF(N(C$8)=0,NA(),IF(Inputs!$C$17="Rebased to 100",$C1813/C$8*100,$C1813)))))</f>
        <v/>
      </c>
      <c r="J1813" s="54">
        <f>IF($B1813=0,NA(),IF($D1813="",NA(),IF(D$8="",NA(),IF(N(D$8)=0,NA(),IF(Inputs!$C$17="Rebased to 100",$D1813/D$8*100,$D1813)))))</f>
        <v/>
      </c>
      <c r="K1813" s="54">
        <f>IF($B1813=0,NA(),IF($E1813="",NA(),IF(E$8="",NA(),IF(N(E$8)=0,NA(),IF(Inputs!$C$17="Rebased to 100",$E1813/E$8*100,$E1813)))))</f>
        <v/>
      </c>
      <c r="L1813" s="54">
        <f>IF($B1813=0,NA(),IF($F1813="",NA(),IF(F$8="",NA(),IF(N(F$8)=0,NA(),IF(Inputs!$C$17="Rebased to 100",$F1813/F$8*100,$F1813)))))</f>
        <v/>
      </c>
      <c r="M1813" s="54">
        <f>IF($B1813=0,NA(),IF($G1813="",NA(),IF(G$8="",NA(),IF(N(G$8)=0,NA(),IF(Inputs!$C$17="Rebased to 100",$G1813/G$8*100,$G1813)))))</f>
        <v/>
      </c>
      <c r="N1813" s="54">
        <f>IF($B1813=0,NA(),IF(Inputs!$C$18&lt;&gt;"Yes",NA(),IF(COUNT(I1813,J1813,K1813,L1813,M1813)=0,NA(),MIN(I1813,J1813,K1813,L1813,M1813))))</f>
        <v/>
      </c>
      <c r="O1813" s="54">
        <f>IF($B1813=0,NA(),IF(Inputs!$B$24&lt;&gt;"Yes",NA(),Inputs!$D$24*Inputs!$C$35))</f>
        <v/>
      </c>
      <c r="P1813" s="54">
        <f>IF($B1813=0,NA(),IF(Inputs!$B$25&lt;&gt;"Yes",NA(),Inputs!$D$25*Inputs!$C$35))</f>
        <v/>
      </c>
      <c r="Q1813" s="54">
        <f>IF($B1813=0,NA(),IF(Inputs!$B$26&lt;&gt;"Yes",NA(),Inputs!$D$26*Inputs!$C$35))</f>
        <v/>
      </c>
      <c r="R1813" s="54">
        <f>IF($B1813=0,NA(),IF(Inputs!$B$27&lt;&gt;"Yes",NA(),Inputs!$D$27*Inputs!$C$35))</f>
        <v/>
      </c>
      <c r="S1813" s="54">
        <f>IF($B1813=0,NA(),IF(Inputs!$B$28&lt;&gt;"Yes",NA(),Inputs!$D$28*Inputs!$C$35))</f>
        <v/>
      </c>
      <c r="T1813" s="54">
        <f>IF($B1813=0,NA(),IF(Inputs!$B$29&lt;&gt;"Yes",NA(),Inputs!$D$29*Inputs!$C$35))</f>
        <v/>
      </c>
      <c r="AD1813">
        <f>IF($B1813=0,0,IF(Inputs!$B$6="",0,COUNTIFS(Data!$A$10:$A$3209,"&gt;="&amp;$A1813,Data!$A$10:$A$3209,"&lt;"&amp;$A1813+1)))</f>
        <v/>
      </c>
      <c r="AE1813">
        <f>IF($B1813=0,0,IF(Inputs!$B$7="",0,COUNTIFS(Data!$E$10:$E$3209,"&gt;="&amp;$A1813,Data!$E$10:$E$3209,"&lt;"&amp;$A1813+1)))</f>
        <v/>
      </c>
      <c r="AF1813">
        <f>IF($B1813=0,0,IF(Inputs!$B$8="",0,COUNTIFS(Data!$I$10:$I$3209,"&gt;="&amp;$A1813,Data!$I$10:$I$3209,"&lt;"&amp;$A1813+1)))</f>
        <v/>
      </c>
      <c r="AG1813">
        <f>IF($B1813=0,0,IF(Inputs!$B$9="",0,COUNTIFS(Data!$M$10:$M$3209,"&gt;="&amp;$A1813,Data!$M$10:$M$3209,"&lt;"&amp;$A1813+1)))</f>
        <v/>
      </c>
      <c r="AH1813">
        <f>IF($B1813=0,0,IF(Inputs!$B$10="",0,COUNTIFS(Data!$Q$10:$Q$3209,"&gt;="&amp;$A1813,Data!$Q$10:$Q$3209,"&lt;"&amp;$A1813+1)))</f>
        <v/>
      </c>
    </row>
    <row r="1814">
      <c r="A1814" s="55">
        <f>MIN(Inputs!$C$15,$A1813+IF(WEEKDAY($A1813,2)=5,3,1))</f>
        <v/>
      </c>
      <c r="B1814">
        <f>IF($A1814&gt;$A1813,1,0)</f>
        <v/>
      </c>
      <c r="C1814" s="56">
        <f>IF($B1814=0,"",IF(Inputs!$B$6="","",IF($AD1814=0,C1813,SUMIFS(Data!$B$10:$B$3209,Data!$A$10:$A$3209,"&gt;="&amp;$A1814,Data!$A$10:$A$3209,"&lt;"&amp;$A1814+1)/$AD1814)))</f>
        <v/>
      </c>
      <c r="D1814" s="56">
        <f>IF($B1814=0,"",IF(Inputs!$B$7="","",IF($AE1814=0,D1813,SUMIFS(Data!$F$10:$F$3209,Data!$E$10:$E$3209,"&gt;="&amp;$A1814,Data!$E$10:$E$3209,"&lt;"&amp;$A1814+1)/$AE1814)))</f>
        <v/>
      </c>
      <c r="E1814" s="56">
        <f>IF($B1814=0,"",IF(Inputs!$B$8="","",IF($AF1814=0,E1813,SUMIFS(Data!$J$10:$J$3209,Data!$I$10:$I$3209,"&gt;="&amp;$A1814,Data!$I$10:$I$3209,"&lt;"&amp;$A1814+1)/$AF1814)))</f>
        <v/>
      </c>
      <c r="F1814" s="56">
        <f>IF($B1814=0,"",IF(Inputs!$B$9="","",IF($AG1814=0,F1813,SUMIFS(Data!$N$10:$N$3209,Data!$M$10:$M$3209,"&gt;="&amp;$A1814,Data!$M$10:$M$3209,"&lt;"&amp;$A1814+1)/$AG1814)))</f>
        <v/>
      </c>
      <c r="G1814" s="56">
        <f>IF($B1814=0,"",IF(Inputs!$B$10="","",IF($AH1814=0,G1813,SUMIFS(Data!$R$10:$R$3209,Data!$Q$10:$Q$3209,"&gt;="&amp;$A1814,Data!$Q$10:$Q$3209,"&lt;"&amp;$A1814+1)/$AH1814)))</f>
        <v/>
      </c>
      <c r="I1814" s="54">
        <f>IF($B1814=0,NA(),IF($C1814="",NA(),IF(C$8="",NA(),IF(N(C$8)=0,NA(),IF(Inputs!$C$17="Rebased to 100",$C1814/C$8*100,$C1814)))))</f>
        <v/>
      </c>
      <c r="J1814" s="54">
        <f>IF($B1814=0,NA(),IF($D1814="",NA(),IF(D$8="",NA(),IF(N(D$8)=0,NA(),IF(Inputs!$C$17="Rebased to 100",$D1814/D$8*100,$D1814)))))</f>
        <v/>
      </c>
      <c r="K1814" s="54">
        <f>IF($B1814=0,NA(),IF($E1814="",NA(),IF(E$8="",NA(),IF(N(E$8)=0,NA(),IF(Inputs!$C$17="Rebased to 100",$E1814/E$8*100,$E1814)))))</f>
        <v/>
      </c>
      <c r="L1814" s="54">
        <f>IF($B1814=0,NA(),IF($F1814="",NA(),IF(F$8="",NA(),IF(N(F$8)=0,NA(),IF(Inputs!$C$17="Rebased to 100",$F1814/F$8*100,$F1814)))))</f>
        <v/>
      </c>
      <c r="M1814" s="54">
        <f>IF($B1814=0,NA(),IF($G1814="",NA(),IF(G$8="",NA(),IF(N(G$8)=0,NA(),IF(Inputs!$C$17="Rebased to 100",$G1814/G$8*100,$G1814)))))</f>
        <v/>
      </c>
      <c r="N1814" s="54">
        <f>IF($B1814=0,NA(),IF(Inputs!$C$18&lt;&gt;"Yes",NA(),IF(COUNT(I1814,J1814,K1814,L1814,M1814)=0,NA(),MIN(I1814,J1814,K1814,L1814,M1814))))</f>
        <v/>
      </c>
      <c r="O1814" s="54">
        <f>IF($B1814=0,NA(),IF(Inputs!$B$24&lt;&gt;"Yes",NA(),Inputs!$D$24*Inputs!$C$35))</f>
        <v/>
      </c>
      <c r="P1814" s="54">
        <f>IF($B1814=0,NA(),IF(Inputs!$B$25&lt;&gt;"Yes",NA(),Inputs!$D$25*Inputs!$C$35))</f>
        <v/>
      </c>
      <c r="Q1814" s="54">
        <f>IF($B1814=0,NA(),IF(Inputs!$B$26&lt;&gt;"Yes",NA(),Inputs!$D$26*Inputs!$C$35))</f>
        <v/>
      </c>
      <c r="R1814" s="54">
        <f>IF($B1814=0,NA(),IF(Inputs!$B$27&lt;&gt;"Yes",NA(),Inputs!$D$27*Inputs!$C$35))</f>
        <v/>
      </c>
      <c r="S1814" s="54">
        <f>IF($B1814=0,NA(),IF(Inputs!$B$28&lt;&gt;"Yes",NA(),Inputs!$D$28*Inputs!$C$35))</f>
        <v/>
      </c>
      <c r="T1814" s="54">
        <f>IF($B1814=0,NA(),IF(Inputs!$B$29&lt;&gt;"Yes",NA(),Inputs!$D$29*Inputs!$C$35))</f>
        <v/>
      </c>
      <c r="AD1814">
        <f>IF($B1814=0,0,IF(Inputs!$B$6="",0,COUNTIFS(Data!$A$10:$A$3209,"&gt;="&amp;$A1814,Data!$A$10:$A$3209,"&lt;"&amp;$A1814+1)))</f>
        <v/>
      </c>
      <c r="AE1814">
        <f>IF($B1814=0,0,IF(Inputs!$B$7="",0,COUNTIFS(Data!$E$10:$E$3209,"&gt;="&amp;$A1814,Data!$E$10:$E$3209,"&lt;"&amp;$A1814+1)))</f>
        <v/>
      </c>
      <c r="AF1814">
        <f>IF($B1814=0,0,IF(Inputs!$B$8="",0,COUNTIFS(Data!$I$10:$I$3209,"&gt;="&amp;$A1814,Data!$I$10:$I$3209,"&lt;"&amp;$A1814+1)))</f>
        <v/>
      </c>
      <c r="AG1814">
        <f>IF($B1814=0,0,IF(Inputs!$B$9="",0,COUNTIFS(Data!$M$10:$M$3209,"&gt;="&amp;$A1814,Data!$M$10:$M$3209,"&lt;"&amp;$A1814+1)))</f>
        <v/>
      </c>
      <c r="AH1814">
        <f>IF($B1814=0,0,IF(Inputs!$B$10="",0,COUNTIFS(Data!$Q$10:$Q$3209,"&gt;="&amp;$A1814,Data!$Q$10:$Q$3209,"&lt;"&amp;$A1814+1)))</f>
        <v/>
      </c>
    </row>
    <row r="1815">
      <c r="A1815" s="55">
        <f>MIN(Inputs!$C$15,$A1814+IF(WEEKDAY($A1814,2)=5,3,1))</f>
        <v/>
      </c>
      <c r="B1815">
        <f>IF($A1815&gt;$A1814,1,0)</f>
        <v/>
      </c>
      <c r="C1815" s="56">
        <f>IF($B1815=0,"",IF(Inputs!$B$6="","",IF($AD1815=0,C1814,SUMIFS(Data!$B$10:$B$3209,Data!$A$10:$A$3209,"&gt;="&amp;$A1815,Data!$A$10:$A$3209,"&lt;"&amp;$A1815+1)/$AD1815)))</f>
        <v/>
      </c>
      <c r="D1815" s="56">
        <f>IF($B1815=0,"",IF(Inputs!$B$7="","",IF($AE1815=0,D1814,SUMIFS(Data!$F$10:$F$3209,Data!$E$10:$E$3209,"&gt;="&amp;$A1815,Data!$E$10:$E$3209,"&lt;"&amp;$A1815+1)/$AE1815)))</f>
        <v/>
      </c>
      <c r="E1815" s="56">
        <f>IF($B1815=0,"",IF(Inputs!$B$8="","",IF($AF1815=0,E1814,SUMIFS(Data!$J$10:$J$3209,Data!$I$10:$I$3209,"&gt;="&amp;$A1815,Data!$I$10:$I$3209,"&lt;"&amp;$A1815+1)/$AF1815)))</f>
        <v/>
      </c>
      <c r="F1815" s="56">
        <f>IF($B1815=0,"",IF(Inputs!$B$9="","",IF($AG1815=0,F1814,SUMIFS(Data!$N$10:$N$3209,Data!$M$10:$M$3209,"&gt;="&amp;$A1815,Data!$M$10:$M$3209,"&lt;"&amp;$A1815+1)/$AG1815)))</f>
        <v/>
      </c>
      <c r="G1815" s="56">
        <f>IF($B1815=0,"",IF(Inputs!$B$10="","",IF($AH1815=0,G1814,SUMIFS(Data!$R$10:$R$3209,Data!$Q$10:$Q$3209,"&gt;="&amp;$A1815,Data!$Q$10:$Q$3209,"&lt;"&amp;$A1815+1)/$AH1815)))</f>
        <v/>
      </c>
      <c r="I1815" s="54">
        <f>IF($B1815=0,NA(),IF($C1815="",NA(),IF(C$8="",NA(),IF(N(C$8)=0,NA(),IF(Inputs!$C$17="Rebased to 100",$C1815/C$8*100,$C1815)))))</f>
        <v/>
      </c>
      <c r="J1815" s="54">
        <f>IF($B1815=0,NA(),IF($D1815="",NA(),IF(D$8="",NA(),IF(N(D$8)=0,NA(),IF(Inputs!$C$17="Rebased to 100",$D1815/D$8*100,$D1815)))))</f>
        <v/>
      </c>
      <c r="K1815" s="54">
        <f>IF($B1815=0,NA(),IF($E1815="",NA(),IF(E$8="",NA(),IF(N(E$8)=0,NA(),IF(Inputs!$C$17="Rebased to 100",$E1815/E$8*100,$E1815)))))</f>
        <v/>
      </c>
      <c r="L1815" s="54">
        <f>IF($B1815=0,NA(),IF($F1815="",NA(),IF(F$8="",NA(),IF(N(F$8)=0,NA(),IF(Inputs!$C$17="Rebased to 100",$F1815/F$8*100,$F1815)))))</f>
        <v/>
      </c>
      <c r="M1815" s="54">
        <f>IF($B1815=0,NA(),IF($G1815="",NA(),IF(G$8="",NA(),IF(N(G$8)=0,NA(),IF(Inputs!$C$17="Rebased to 100",$G1815/G$8*100,$G1815)))))</f>
        <v/>
      </c>
      <c r="N1815" s="54">
        <f>IF($B1815=0,NA(),IF(Inputs!$C$18&lt;&gt;"Yes",NA(),IF(COUNT(I1815,J1815,K1815,L1815,M1815)=0,NA(),MIN(I1815,J1815,K1815,L1815,M1815))))</f>
        <v/>
      </c>
      <c r="O1815" s="54">
        <f>IF($B1815=0,NA(),IF(Inputs!$B$24&lt;&gt;"Yes",NA(),Inputs!$D$24*Inputs!$C$35))</f>
        <v/>
      </c>
      <c r="P1815" s="54">
        <f>IF($B1815=0,NA(),IF(Inputs!$B$25&lt;&gt;"Yes",NA(),Inputs!$D$25*Inputs!$C$35))</f>
        <v/>
      </c>
      <c r="Q1815" s="54">
        <f>IF($B1815=0,NA(),IF(Inputs!$B$26&lt;&gt;"Yes",NA(),Inputs!$D$26*Inputs!$C$35))</f>
        <v/>
      </c>
      <c r="R1815" s="54">
        <f>IF($B1815=0,NA(),IF(Inputs!$B$27&lt;&gt;"Yes",NA(),Inputs!$D$27*Inputs!$C$35))</f>
        <v/>
      </c>
      <c r="S1815" s="54">
        <f>IF($B1815=0,NA(),IF(Inputs!$B$28&lt;&gt;"Yes",NA(),Inputs!$D$28*Inputs!$C$35))</f>
        <v/>
      </c>
      <c r="T1815" s="54">
        <f>IF($B1815=0,NA(),IF(Inputs!$B$29&lt;&gt;"Yes",NA(),Inputs!$D$29*Inputs!$C$35))</f>
        <v/>
      </c>
      <c r="AD1815">
        <f>IF($B1815=0,0,IF(Inputs!$B$6="",0,COUNTIFS(Data!$A$10:$A$3209,"&gt;="&amp;$A1815,Data!$A$10:$A$3209,"&lt;"&amp;$A1815+1)))</f>
        <v/>
      </c>
      <c r="AE1815">
        <f>IF($B1815=0,0,IF(Inputs!$B$7="",0,COUNTIFS(Data!$E$10:$E$3209,"&gt;="&amp;$A1815,Data!$E$10:$E$3209,"&lt;"&amp;$A1815+1)))</f>
        <v/>
      </c>
      <c r="AF1815">
        <f>IF($B1815=0,0,IF(Inputs!$B$8="",0,COUNTIFS(Data!$I$10:$I$3209,"&gt;="&amp;$A1815,Data!$I$10:$I$3209,"&lt;"&amp;$A1815+1)))</f>
        <v/>
      </c>
      <c r="AG1815">
        <f>IF($B1815=0,0,IF(Inputs!$B$9="",0,COUNTIFS(Data!$M$10:$M$3209,"&gt;="&amp;$A1815,Data!$M$10:$M$3209,"&lt;"&amp;$A1815+1)))</f>
        <v/>
      </c>
      <c r="AH1815">
        <f>IF($B1815=0,0,IF(Inputs!$B$10="",0,COUNTIFS(Data!$Q$10:$Q$3209,"&gt;="&amp;$A1815,Data!$Q$10:$Q$3209,"&lt;"&amp;$A1815+1)))</f>
        <v/>
      </c>
    </row>
    <row r="1816">
      <c r="A1816" s="55">
        <f>MIN(Inputs!$C$15,$A1815+IF(WEEKDAY($A1815,2)=5,3,1))</f>
        <v/>
      </c>
      <c r="B1816">
        <f>IF($A1816&gt;$A1815,1,0)</f>
        <v/>
      </c>
      <c r="C1816" s="56">
        <f>IF($B1816=0,"",IF(Inputs!$B$6="","",IF($AD1816=0,C1815,SUMIFS(Data!$B$10:$B$3209,Data!$A$10:$A$3209,"&gt;="&amp;$A1816,Data!$A$10:$A$3209,"&lt;"&amp;$A1816+1)/$AD1816)))</f>
        <v/>
      </c>
      <c r="D1816" s="56">
        <f>IF($B1816=0,"",IF(Inputs!$B$7="","",IF($AE1816=0,D1815,SUMIFS(Data!$F$10:$F$3209,Data!$E$10:$E$3209,"&gt;="&amp;$A1816,Data!$E$10:$E$3209,"&lt;"&amp;$A1816+1)/$AE1816)))</f>
        <v/>
      </c>
      <c r="E1816" s="56">
        <f>IF($B1816=0,"",IF(Inputs!$B$8="","",IF($AF1816=0,E1815,SUMIFS(Data!$J$10:$J$3209,Data!$I$10:$I$3209,"&gt;="&amp;$A1816,Data!$I$10:$I$3209,"&lt;"&amp;$A1816+1)/$AF1816)))</f>
        <v/>
      </c>
      <c r="F1816" s="56">
        <f>IF($B1816=0,"",IF(Inputs!$B$9="","",IF($AG1816=0,F1815,SUMIFS(Data!$N$10:$N$3209,Data!$M$10:$M$3209,"&gt;="&amp;$A1816,Data!$M$10:$M$3209,"&lt;"&amp;$A1816+1)/$AG1816)))</f>
        <v/>
      </c>
      <c r="G1816" s="56">
        <f>IF($B1816=0,"",IF(Inputs!$B$10="","",IF($AH1816=0,G1815,SUMIFS(Data!$R$10:$R$3209,Data!$Q$10:$Q$3209,"&gt;="&amp;$A1816,Data!$Q$10:$Q$3209,"&lt;"&amp;$A1816+1)/$AH1816)))</f>
        <v/>
      </c>
      <c r="I1816" s="54">
        <f>IF($B1816=0,NA(),IF($C1816="",NA(),IF(C$8="",NA(),IF(N(C$8)=0,NA(),IF(Inputs!$C$17="Rebased to 100",$C1816/C$8*100,$C1816)))))</f>
        <v/>
      </c>
      <c r="J1816" s="54">
        <f>IF($B1816=0,NA(),IF($D1816="",NA(),IF(D$8="",NA(),IF(N(D$8)=0,NA(),IF(Inputs!$C$17="Rebased to 100",$D1816/D$8*100,$D1816)))))</f>
        <v/>
      </c>
      <c r="K1816" s="54">
        <f>IF($B1816=0,NA(),IF($E1816="",NA(),IF(E$8="",NA(),IF(N(E$8)=0,NA(),IF(Inputs!$C$17="Rebased to 100",$E1816/E$8*100,$E1816)))))</f>
        <v/>
      </c>
      <c r="L1816" s="54">
        <f>IF($B1816=0,NA(),IF($F1816="",NA(),IF(F$8="",NA(),IF(N(F$8)=0,NA(),IF(Inputs!$C$17="Rebased to 100",$F1816/F$8*100,$F1816)))))</f>
        <v/>
      </c>
      <c r="M1816" s="54">
        <f>IF($B1816=0,NA(),IF($G1816="",NA(),IF(G$8="",NA(),IF(N(G$8)=0,NA(),IF(Inputs!$C$17="Rebased to 100",$G1816/G$8*100,$G1816)))))</f>
        <v/>
      </c>
      <c r="N1816" s="54">
        <f>IF($B1816=0,NA(),IF(Inputs!$C$18&lt;&gt;"Yes",NA(),IF(COUNT(I1816,J1816,K1816,L1816,M1816)=0,NA(),MIN(I1816,J1816,K1816,L1816,M1816))))</f>
        <v/>
      </c>
      <c r="O1816" s="54">
        <f>IF($B1816=0,NA(),IF(Inputs!$B$24&lt;&gt;"Yes",NA(),Inputs!$D$24*Inputs!$C$35))</f>
        <v/>
      </c>
      <c r="P1816" s="54">
        <f>IF($B1816=0,NA(),IF(Inputs!$B$25&lt;&gt;"Yes",NA(),Inputs!$D$25*Inputs!$C$35))</f>
        <v/>
      </c>
      <c r="Q1816" s="54">
        <f>IF($B1816=0,NA(),IF(Inputs!$B$26&lt;&gt;"Yes",NA(),Inputs!$D$26*Inputs!$C$35))</f>
        <v/>
      </c>
      <c r="R1816" s="54">
        <f>IF($B1816=0,NA(),IF(Inputs!$B$27&lt;&gt;"Yes",NA(),Inputs!$D$27*Inputs!$C$35))</f>
        <v/>
      </c>
      <c r="S1816" s="54">
        <f>IF($B1816=0,NA(),IF(Inputs!$B$28&lt;&gt;"Yes",NA(),Inputs!$D$28*Inputs!$C$35))</f>
        <v/>
      </c>
      <c r="T1816" s="54">
        <f>IF($B1816=0,NA(),IF(Inputs!$B$29&lt;&gt;"Yes",NA(),Inputs!$D$29*Inputs!$C$35))</f>
        <v/>
      </c>
      <c r="AD1816">
        <f>IF($B1816=0,0,IF(Inputs!$B$6="",0,COUNTIFS(Data!$A$10:$A$3209,"&gt;="&amp;$A1816,Data!$A$10:$A$3209,"&lt;"&amp;$A1816+1)))</f>
        <v/>
      </c>
      <c r="AE1816">
        <f>IF($B1816=0,0,IF(Inputs!$B$7="",0,COUNTIFS(Data!$E$10:$E$3209,"&gt;="&amp;$A1816,Data!$E$10:$E$3209,"&lt;"&amp;$A1816+1)))</f>
        <v/>
      </c>
      <c r="AF1816">
        <f>IF($B1816=0,0,IF(Inputs!$B$8="",0,COUNTIFS(Data!$I$10:$I$3209,"&gt;="&amp;$A1816,Data!$I$10:$I$3209,"&lt;"&amp;$A1816+1)))</f>
        <v/>
      </c>
      <c r="AG1816">
        <f>IF($B1816=0,0,IF(Inputs!$B$9="",0,COUNTIFS(Data!$M$10:$M$3209,"&gt;="&amp;$A1816,Data!$M$10:$M$3209,"&lt;"&amp;$A1816+1)))</f>
        <v/>
      </c>
      <c r="AH1816">
        <f>IF($B1816=0,0,IF(Inputs!$B$10="",0,COUNTIFS(Data!$Q$10:$Q$3209,"&gt;="&amp;$A1816,Data!$Q$10:$Q$3209,"&lt;"&amp;$A1816+1)))</f>
        <v/>
      </c>
    </row>
    <row r="1817">
      <c r="A1817" s="55">
        <f>MIN(Inputs!$C$15,$A1816+IF(WEEKDAY($A1816,2)=5,3,1))</f>
        <v/>
      </c>
      <c r="B1817">
        <f>IF($A1817&gt;$A1816,1,0)</f>
        <v/>
      </c>
      <c r="C1817" s="56">
        <f>IF($B1817=0,"",IF(Inputs!$B$6="","",IF($AD1817=0,C1816,SUMIFS(Data!$B$10:$B$3209,Data!$A$10:$A$3209,"&gt;="&amp;$A1817,Data!$A$10:$A$3209,"&lt;"&amp;$A1817+1)/$AD1817)))</f>
        <v/>
      </c>
      <c r="D1817" s="56">
        <f>IF($B1817=0,"",IF(Inputs!$B$7="","",IF($AE1817=0,D1816,SUMIFS(Data!$F$10:$F$3209,Data!$E$10:$E$3209,"&gt;="&amp;$A1817,Data!$E$10:$E$3209,"&lt;"&amp;$A1817+1)/$AE1817)))</f>
        <v/>
      </c>
      <c r="E1817" s="56">
        <f>IF($B1817=0,"",IF(Inputs!$B$8="","",IF($AF1817=0,E1816,SUMIFS(Data!$J$10:$J$3209,Data!$I$10:$I$3209,"&gt;="&amp;$A1817,Data!$I$10:$I$3209,"&lt;"&amp;$A1817+1)/$AF1817)))</f>
        <v/>
      </c>
      <c r="F1817" s="56">
        <f>IF($B1817=0,"",IF(Inputs!$B$9="","",IF($AG1817=0,F1816,SUMIFS(Data!$N$10:$N$3209,Data!$M$10:$M$3209,"&gt;="&amp;$A1817,Data!$M$10:$M$3209,"&lt;"&amp;$A1817+1)/$AG1817)))</f>
        <v/>
      </c>
      <c r="G1817" s="56">
        <f>IF($B1817=0,"",IF(Inputs!$B$10="","",IF($AH1817=0,G1816,SUMIFS(Data!$R$10:$R$3209,Data!$Q$10:$Q$3209,"&gt;="&amp;$A1817,Data!$Q$10:$Q$3209,"&lt;"&amp;$A1817+1)/$AH1817)))</f>
        <v/>
      </c>
      <c r="I1817" s="54">
        <f>IF($B1817=0,NA(),IF($C1817="",NA(),IF(C$8="",NA(),IF(N(C$8)=0,NA(),IF(Inputs!$C$17="Rebased to 100",$C1817/C$8*100,$C1817)))))</f>
        <v/>
      </c>
      <c r="J1817" s="54">
        <f>IF($B1817=0,NA(),IF($D1817="",NA(),IF(D$8="",NA(),IF(N(D$8)=0,NA(),IF(Inputs!$C$17="Rebased to 100",$D1817/D$8*100,$D1817)))))</f>
        <v/>
      </c>
      <c r="K1817" s="54">
        <f>IF($B1817=0,NA(),IF($E1817="",NA(),IF(E$8="",NA(),IF(N(E$8)=0,NA(),IF(Inputs!$C$17="Rebased to 100",$E1817/E$8*100,$E1817)))))</f>
        <v/>
      </c>
      <c r="L1817" s="54">
        <f>IF($B1817=0,NA(),IF($F1817="",NA(),IF(F$8="",NA(),IF(N(F$8)=0,NA(),IF(Inputs!$C$17="Rebased to 100",$F1817/F$8*100,$F1817)))))</f>
        <v/>
      </c>
      <c r="M1817" s="54">
        <f>IF($B1817=0,NA(),IF($G1817="",NA(),IF(G$8="",NA(),IF(N(G$8)=0,NA(),IF(Inputs!$C$17="Rebased to 100",$G1817/G$8*100,$G1817)))))</f>
        <v/>
      </c>
      <c r="N1817" s="54">
        <f>IF($B1817=0,NA(),IF(Inputs!$C$18&lt;&gt;"Yes",NA(),IF(COUNT(I1817,J1817,K1817,L1817,M1817)=0,NA(),MIN(I1817,J1817,K1817,L1817,M1817))))</f>
        <v/>
      </c>
      <c r="O1817" s="54">
        <f>IF($B1817=0,NA(),IF(Inputs!$B$24&lt;&gt;"Yes",NA(),Inputs!$D$24*Inputs!$C$35))</f>
        <v/>
      </c>
      <c r="P1817" s="54">
        <f>IF($B1817=0,NA(),IF(Inputs!$B$25&lt;&gt;"Yes",NA(),Inputs!$D$25*Inputs!$C$35))</f>
        <v/>
      </c>
      <c r="Q1817" s="54">
        <f>IF($B1817=0,NA(),IF(Inputs!$B$26&lt;&gt;"Yes",NA(),Inputs!$D$26*Inputs!$C$35))</f>
        <v/>
      </c>
      <c r="R1817" s="54">
        <f>IF($B1817=0,NA(),IF(Inputs!$B$27&lt;&gt;"Yes",NA(),Inputs!$D$27*Inputs!$C$35))</f>
        <v/>
      </c>
      <c r="S1817" s="54">
        <f>IF($B1817=0,NA(),IF(Inputs!$B$28&lt;&gt;"Yes",NA(),Inputs!$D$28*Inputs!$C$35))</f>
        <v/>
      </c>
      <c r="T1817" s="54">
        <f>IF($B1817=0,NA(),IF(Inputs!$B$29&lt;&gt;"Yes",NA(),Inputs!$D$29*Inputs!$C$35))</f>
        <v/>
      </c>
      <c r="AD1817">
        <f>IF($B1817=0,0,IF(Inputs!$B$6="",0,COUNTIFS(Data!$A$10:$A$3209,"&gt;="&amp;$A1817,Data!$A$10:$A$3209,"&lt;"&amp;$A1817+1)))</f>
        <v/>
      </c>
      <c r="AE1817">
        <f>IF($B1817=0,0,IF(Inputs!$B$7="",0,COUNTIFS(Data!$E$10:$E$3209,"&gt;="&amp;$A1817,Data!$E$10:$E$3209,"&lt;"&amp;$A1817+1)))</f>
        <v/>
      </c>
      <c r="AF1817">
        <f>IF($B1817=0,0,IF(Inputs!$B$8="",0,COUNTIFS(Data!$I$10:$I$3209,"&gt;="&amp;$A1817,Data!$I$10:$I$3209,"&lt;"&amp;$A1817+1)))</f>
        <v/>
      </c>
      <c r="AG1817">
        <f>IF($B1817=0,0,IF(Inputs!$B$9="",0,COUNTIFS(Data!$M$10:$M$3209,"&gt;="&amp;$A1817,Data!$M$10:$M$3209,"&lt;"&amp;$A1817+1)))</f>
        <v/>
      </c>
      <c r="AH1817">
        <f>IF($B1817=0,0,IF(Inputs!$B$10="",0,COUNTIFS(Data!$Q$10:$Q$3209,"&gt;="&amp;$A1817,Data!$Q$10:$Q$3209,"&lt;"&amp;$A1817+1)))</f>
        <v/>
      </c>
    </row>
    <row r="1818">
      <c r="A1818" s="55">
        <f>MIN(Inputs!$C$15,$A1817+IF(WEEKDAY($A1817,2)=5,3,1))</f>
        <v/>
      </c>
      <c r="B1818">
        <f>IF($A1818&gt;$A1817,1,0)</f>
        <v/>
      </c>
      <c r="C1818" s="56">
        <f>IF($B1818=0,"",IF(Inputs!$B$6="","",IF($AD1818=0,C1817,SUMIFS(Data!$B$10:$B$3209,Data!$A$10:$A$3209,"&gt;="&amp;$A1818,Data!$A$10:$A$3209,"&lt;"&amp;$A1818+1)/$AD1818)))</f>
        <v/>
      </c>
      <c r="D1818" s="56">
        <f>IF($B1818=0,"",IF(Inputs!$B$7="","",IF($AE1818=0,D1817,SUMIFS(Data!$F$10:$F$3209,Data!$E$10:$E$3209,"&gt;="&amp;$A1818,Data!$E$10:$E$3209,"&lt;"&amp;$A1818+1)/$AE1818)))</f>
        <v/>
      </c>
      <c r="E1818" s="56">
        <f>IF($B1818=0,"",IF(Inputs!$B$8="","",IF($AF1818=0,E1817,SUMIFS(Data!$J$10:$J$3209,Data!$I$10:$I$3209,"&gt;="&amp;$A1818,Data!$I$10:$I$3209,"&lt;"&amp;$A1818+1)/$AF1818)))</f>
        <v/>
      </c>
      <c r="F1818" s="56">
        <f>IF($B1818=0,"",IF(Inputs!$B$9="","",IF($AG1818=0,F1817,SUMIFS(Data!$N$10:$N$3209,Data!$M$10:$M$3209,"&gt;="&amp;$A1818,Data!$M$10:$M$3209,"&lt;"&amp;$A1818+1)/$AG1818)))</f>
        <v/>
      </c>
      <c r="G1818" s="56">
        <f>IF($B1818=0,"",IF(Inputs!$B$10="","",IF($AH1818=0,G1817,SUMIFS(Data!$R$10:$R$3209,Data!$Q$10:$Q$3209,"&gt;="&amp;$A1818,Data!$Q$10:$Q$3209,"&lt;"&amp;$A1818+1)/$AH1818)))</f>
        <v/>
      </c>
      <c r="I1818" s="54">
        <f>IF($B1818=0,NA(),IF($C1818="",NA(),IF(C$8="",NA(),IF(N(C$8)=0,NA(),IF(Inputs!$C$17="Rebased to 100",$C1818/C$8*100,$C1818)))))</f>
        <v/>
      </c>
      <c r="J1818" s="54">
        <f>IF($B1818=0,NA(),IF($D1818="",NA(),IF(D$8="",NA(),IF(N(D$8)=0,NA(),IF(Inputs!$C$17="Rebased to 100",$D1818/D$8*100,$D1818)))))</f>
        <v/>
      </c>
      <c r="K1818" s="54">
        <f>IF($B1818=0,NA(),IF($E1818="",NA(),IF(E$8="",NA(),IF(N(E$8)=0,NA(),IF(Inputs!$C$17="Rebased to 100",$E1818/E$8*100,$E1818)))))</f>
        <v/>
      </c>
      <c r="L1818" s="54">
        <f>IF($B1818=0,NA(),IF($F1818="",NA(),IF(F$8="",NA(),IF(N(F$8)=0,NA(),IF(Inputs!$C$17="Rebased to 100",$F1818/F$8*100,$F1818)))))</f>
        <v/>
      </c>
      <c r="M1818" s="54">
        <f>IF($B1818=0,NA(),IF($G1818="",NA(),IF(G$8="",NA(),IF(N(G$8)=0,NA(),IF(Inputs!$C$17="Rebased to 100",$G1818/G$8*100,$G1818)))))</f>
        <v/>
      </c>
      <c r="N1818" s="54">
        <f>IF($B1818=0,NA(),IF(Inputs!$C$18&lt;&gt;"Yes",NA(),IF(COUNT(I1818,J1818,K1818,L1818,M1818)=0,NA(),MIN(I1818,J1818,K1818,L1818,M1818))))</f>
        <v/>
      </c>
      <c r="O1818" s="54">
        <f>IF($B1818=0,NA(),IF(Inputs!$B$24&lt;&gt;"Yes",NA(),Inputs!$D$24*Inputs!$C$35))</f>
        <v/>
      </c>
      <c r="P1818" s="54">
        <f>IF($B1818=0,NA(),IF(Inputs!$B$25&lt;&gt;"Yes",NA(),Inputs!$D$25*Inputs!$C$35))</f>
        <v/>
      </c>
      <c r="Q1818" s="54">
        <f>IF($B1818=0,NA(),IF(Inputs!$B$26&lt;&gt;"Yes",NA(),Inputs!$D$26*Inputs!$C$35))</f>
        <v/>
      </c>
      <c r="R1818" s="54">
        <f>IF($B1818=0,NA(),IF(Inputs!$B$27&lt;&gt;"Yes",NA(),Inputs!$D$27*Inputs!$C$35))</f>
        <v/>
      </c>
      <c r="S1818" s="54">
        <f>IF($B1818=0,NA(),IF(Inputs!$B$28&lt;&gt;"Yes",NA(),Inputs!$D$28*Inputs!$C$35))</f>
        <v/>
      </c>
      <c r="T1818" s="54">
        <f>IF($B1818=0,NA(),IF(Inputs!$B$29&lt;&gt;"Yes",NA(),Inputs!$D$29*Inputs!$C$35))</f>
        <v/>
      </c>
      <c r="AD1818">
        <f>IF($B1818=0,0,IF(Inputs!$B$6="",0,COUNTIFS(Data!$A$10:$A$3209,"&gt;="&amp;$A1818,Data!$A$10:$A$3209,"&lt;"&amp;$A1818+1)))</f>
        <v/>
      </c>
      <c r="AE1818">
        <f>IF($B1818=0,0,IF(Inputs!$B$7="",0,COUNTIFS(Data!$E$10:$E$3209,"&gt;="&amp;$A1818,Data!$E$10:$E$3209,"&lt;"&amp;$A1818+1)))</f>
        <v/>
      </c>
      <c r="AF1818">
        <f>IF($B1818=0,0,IF(Inputs!$B$8="",0,COUNTIFS(Data!$I$10:$I$3209,"&gt;="&amp;$A1818,Data!$I$10:$I$3209,"&lt;"&amp;$A1818+1)))</f>
        <v/>
      </c>
      <c r="AG1818">
        <f>IF($B1818=0,0,IF(Inputs!$B$9="",0,COUNTIFS(Data!$M$10:$M$3209,"&gt;="&amp;$A1818,Data!$M$10:$M$3209,"&lt;"&amp;$A1818+1)))</f>
        <v/>
      </c>
      <c r="AH1818">
        <f>IF($B1818=0,0,IF(Inputs!$B$10="",0,COUNTIFS(Data!$Q$10:$Q$3209,"&gt;="&amp;$A1818,Data!$Q$10:$Q$3209,"&lt;"&amp;$A1818+1)))</f>
        <v/>
      </c>
    </row>
    <row r="1819">
      <c r="A1819" s="55">
        <f>MIN(Inputs!$C$15,$A1818+IF(WEEKDAY($A1818,2)=5,3,1))</f>
        <v/>
      </c>
      <c r="B1819">
        <f>IF($A1819&gt;$A1818,1,0)</f>
        <v/>
      </c>
      <c r="C1819" s="56">
        <f>IF($B1819=0,"",IF(Inputs!$B$6="","",IF($AD1819=0,C1818,SUMIFS(Data!$B$10:$B$3209,Data!$A$10:$A$3209,"&gt;="&amp;$A1819,Data!$A$10:$A$3209,"&lt;"&amp;$A1819+1)/$AD1819)))</f>
        <v/>
      </c>
      <c r="D1819" s="56">
        <f>IF($B1819=0,"",IF(Inputs!$B$7="","",IF($AE1819=0,D1818,SUMIFS(Data!$F$10:$F$3209,Data!$E$10:$E$3209,"&gt;="&amp;$A1819,Data!$E$10:$E$3209,"&lt;"&amp;$A1819+1)/$AE1819)))</f>
        <v/>
      </c>
      <c r="E1819" s="56">
        <f>IF($B1819=0,"",IF(Inputs!$B$8="","",IF($AF1819=0,E1818,SUMIFS(Data!$J$10:$J$3209,Data!$I$10:$I$3209,"&gt;="&amp;$A1819,Data!$I$10:$I$3209,"&lt;"&amp;$A1819+1)/$AF1819)))</f>
        <v/>
      </c>
      <c r="F1819" s="56">
        <f>IF($B1819=0,"",IF(Inputs!$B$9="","",IF($AG1819=0,F1818,SUMIFS(Data!$N$10:$N$3209,Data!$M$10:$M$3209,"&gt;="&amp;$A1819,Data!$M$10:$M$3209,"&lt;"&amp;$A1819+1)/$AG1819)))</f>
        <v/>
      </c>
      <c r="G1819" s="56">
        <f>IF($B1819=0,"",IF(Inputs!$B$10="","",IF($AH1819=0,G1818,SUMIFS(Data!$R$10:$R$3209,Data!$Q$10:$Q$3209,"&gt;="&amp;$A1819,Data!$Q$10:$Q$3209,"&lt;"&amp;$A1819+1)/$AH1819)))</f>
        <v/>
      </c>
      <c r="I1819" s="54">
        <f>IF($B1819=0,NA(),IF($C1819="",NA(),IF(C$8="",NA(),IF(N(C$8)=0,NA(),IF(Inputs!$C$17="Rebased to 100",$C1819/C$8*100,$C1819)))))</f>
        <v/>
      </c>
      <c r="J1819" s="54">
        <f>IF($B1819=0,NA(),IF($D1819="",NA(),IF(D$8="",NA(),IF(N(D$8)=0,NA(),IF(Inputs!$C$17="Rebased to 100",$D1819/D$8*100,$D1819)))))</f>
        <v/>
      </c>
      <c r="K1819" s="54">
        <f>IF($B1819=0,NA(),IF($E1819="",NA(),IF(E$8="",NA(),IF(N(E$8)=0,NA(),IF(Inputs!$C$17="Rebased to 100",$E1819/E$8*100,$E1819)))))</f>
        <v/>
      </c>
      <c r="L1819" s="54">
        <f>IF($B1819=0,NA(),IF($F1819="",NA(),IF(F$8="",NA(),IF(N(F$8)=0,NA(),IF(Inputs!$C$17="Rebased to 100",$F1819/F$8*100,$F1819)))))</f>
        <v/>
      </c>
      <c r="M1819" s="54">
        <f>IF($B1819=0,NA(),IF($G1819="",NA(),IF(G$8="",NA(),IF(N(G$8)=0,NA(),IF(Inputs!$C$17="Rebased to 100",$G1819/G$8*100,$G1819)))))</f>
        <v/>
      </c>
      <c r="N1819" s="54">
        <f>IF($B1819=0,NA(),IF(Inputs!$C$18&lt;&gt;"Yes",NA(),IF(COUNT(I1819,J1819,K1819,L1819,M1819)=0,NA(),MIN(I1819,J1819,K1819,L1819,M1819))))</f>
        <v/>
      </c>
      <c r="O1819" s="54">
        <f>IF($B1819=0,NA(),IF(Inputs!$B$24&lt;&gt;"Yes",NA(),Inputs!$D$24*Inputs!$C$35))</f>
        <v/>
      </c>
      <c r="P1819" s="54">
        <f>IF($B1819=0,NA(),IF(Inputs!$B$25&lt;&gt;"Yes",NA(),Inputs!$D$25*Inputs!$C$35))</f>
        <v/>
      </c>
      <c r="Q1819" s="54">
        <f>IF($B1819=0,NA(),IF(Inputs!$B$26&lt;&gt;"Yes",NA(),Inputs!$D$26*Inputs!$C$35))</f>
        <v/>
      </c>
      <c r="R1819" s="54">
        <f>IF($B1819=0,NA(),IF(Inputs!$B$27&lt;&gt;"Yes",NA(),Inputs!$D$27*Inputs!$C$35))</f>
        <v/>
      </c>
      <c r="S1819" s="54">
        <f>IF($B1819=0,NA(),IF(Inputs!$B$28&lt;&gt;"Yes",NA(),Inputs!$D$28*Inputs!$C$35))</f>
        <v/>
      </c>
      <c r="T1819" s="54">
        <f>IF($B1819=0,NA(),IF(Inputs!$B$29&lt;&gt;"Yes",NA(),Inputs!$D$29*Inputs!$C$35))</f>
        <v/>
      </c>
      <c r="AD1819">
        <f>IF($B1819=0,0,IF(Inputs!$B$6="",0,COUNTIFS(Data!$A$10:$A$3209,"&gt;="&amp;$A1819,Data!$A$10:$A$3209,"&lt;"&amp;$A1819+1)))</f>
        <v/>
      </c>
      <c r="AE1819">
        <f>IF($B1819=0,0,IF(Inputs!$B$7="",0,COUNTIFS(Data!$E$10:$E$3209,"&gt;="&amp;$A1819,Data!$E$10:$E$3209,"&lt;"&amp;$A1819+1)))</f>
        <v/>
      </c>
      <c r="AF1819">
        <f>IF($B1819=0,0,IF(Inputs!$B$8="",0,COUNTIFS(Data!$I$10:$I$3209,"&gt;="&amp;$A1819,Data!$I$10:$I$3209,"&lt;"&amp;$A1819+1)))</f>
        <v/>
      </c>
      <c r="AG1819">
        <f>IF($B1819=0,0,IF(Inputs!$B$9="",0,COUNTIFS(Data!$M$10:$M$3209,"&gt;="&amp;$A1819,Data!$M$10:$M$3209,"&lt;"&amp;$A1819+1)))</f>
        <v/>
      </c>
      <c r="AH1819">
        <f>IF($B1819=0,0,IF(Inputs!$B$10="",0,COUNTIFS(Data!$Q$10:$Q$3209,"&gt;="&amp;$A1819,Data!$Q$10:$Q$3209,"&lt;"&amp;$A1819+1)))</f>
        <v/>
      </c>
    </row>
    <row r="1820">
      <c r="A1820" s="55">
        <f>MIN(Inputs!$C$15,$A1819+IF(WEEKDAY($A1819,2)=5,3,1))</f>
        <v/>
      </c>
      <c r="B1820">
        <f>IF($A1820&gt;$A1819,1,0)</f>
        <v/>
      </c>
      <c r="C1820" s="56">
        <f>IF($B1820=0,"",IF(Inputs!$B$6="","",IF($AD1820=0,C1819,SUMIFS(Data!$B$10:$B$3209,Data!$A$10:$A$3209,"&gt;="&amp;$A1820,Data!$A$10:$A$3209,"&lt;"&amp;$A1820+1)/$AD1820)))</f>
        <v/>
      </c>
      <c r="D1820" s="56">
        <f>IF($B1820=0,"",IF(Inputs!$B$7="","",IF($AE1820=0,D1819,SUMIFS(Data!$F$10:$F$3209,Data!$E$10:$E$3209,"&gt;="&amp;$A1820,Data!$E$10:$E$3209,"&lt;"&amp;$A1820+1)/$AE1820)))</f>
        <v/>
      </c>
      <c r="E1820" s="56">
        <f>IF($B1820=0,"",IF(Inputs!$B$8="","",IF($AF1820=0,E1819,SUMIFS(Data!$J$10:$J$3209,Data!$I$10:$I$3209,"&gt;="&amp;$A1820,Data!$I$10:$I$3209,"&lt;"&amp;$A1820+1)/$AF1820)))</f>
        <v/>
      </c>
      <c r="F1820" s="56">
        <f>IF($B1820=0,"",IF(Inputs!$B$9="","",IF($AG1820=0,F1819,SUMIFS(Data!$N$10:$N$3209,Data!$M$10:$M$3209,"&gt;="&amp;$A1820,Data!$M$10:$M$3209,"&lt;"&amp;$A1820+1)/$AG1820)))</f>
        <v/>
      </c>
      <c r="G1820" s="56">
        <f>IF($B1820=0,"",IF(Inputs!$B$10="","",IF($AH1820=0,G1819,SUMIFS(Data!$R$10:$R$3209,Data!$Q$10:$Q$3209,"&gt;="&amp;$A1820,Data!$Q$10:$Q$3209,"&lt;"&amp;$A1820+1)/$AH1820)))</f>
        <v/>
      </c>
      <c r="I1820" s="54">
        <f>IF($B1820=0,NA(),IF($C1820="",NA(),IF(C$8="",NA(),IF(N(C$8)=0,NA(),IF(Inputs!$C$17="Rebased to 100",$C1820/C$8*100,$C1820)))))</f>
        <v/>
      </c>
      <c r="J1820" s="54">
        <f>IF($B1820=0,NA(),IF($D1820="",NA(),IF(D$8="",NA(),IF(N(D$8)=0,NA(),IF(Inputs!$C$17="Rebased to 100",$D1820/D$8*100,$D1820)))))</f>
        <v/>
      </c>
      <c r="K1820" s="54">
        <f>IF($B1820=0,NA(),IF($E1820="",NA(),IF(E$8="",NA(),IF(N(E$8)=0,NA(),IF(Inputs!$C$17="Rebased to 100",$E1820/E$8*100,$E1820)))))</f>
        <v/>
      </c>
      <c r="L1820" s="54">
        <f>IF($B1820=0,NA(),IF($F1820="",NA(),IF(F$8="",NA(),IF(N(F$8)=0,NA(),IF(Inputs!$C$17="Rebased to 100",$F1820/F$8*100,$F1820)))))</f>
        <v/>
      </c>
      <c r="M1820" s="54">
        <f>IF($B1820=0,NA(),IF($G1820="",NA(),IF(G$8="",NA(),IF(N(G$8)=0,NA(),IF(Inputs!$C$17="Rebased to 100",$G1820/G$8*100,$G1820)))))</f>
        <v/>
      </c>
      <c r="N1820" s="54">
        <f>IF($B1820=0,NA(),IF(Inputs!$C$18&lt;&gt;"Yes",NA(),IF(COUNT(I1820,J1820,K1820,L1820,M1820)=0,NA(),MIN(I1820,J1820,K1820,L1820,M1820))))</f>
        <v/>
      </c>
      <c r="O1820" s="54">
        <f>IF($B1820=0,NA(),IF(Inputs!$B$24&lt;&gt;"Yes",NA(),Inputs!$D$24*Inputs!$C$35))</f>
        <v/>
      </c>
      <c r="P1820" s="54">
        <f>IF($B1820=0,NA(),IF(Inputs!$B$25&lt;&gt;"Yes",NA(),Inputs!$D$25*Inputs!$C$35))</f>
        <v/>
      </c>
      <c r="Q1820" s="54">
        <f>IF($B1820=0,NA(),IF(Inputs!$B$26&lt;&gt;"Yes",NA(),Inputs!$D$26*Inputs!$C$35))</f>
        <v/>
      </c>
      <c r="R1820" s="54">
        <f>IF($B1820=0,NA(),IF(Inputs!$B$27&lt;&gt;"Yes",NA(),Inputs!$D$27*Inputs!$C$35))</f>
        <v/>
      </c>
      <c r="S1820" s="54">
        <f>IF($B1820=0,NA(),IF(Inputs!$B$28&lt;&gt;"Yes",NA(),Inputs!$D$28*Inputs!$C$35))</f>
        <v/>
      </c>
      <c r="T1820" s="54">
        <f>IF($B1820=0,NA(),IF(Inputs!$B$29&lt;&gt;"Yes",NA(),Inputs!$D$29*Inputs!$C$35))</f>
        <v/>
      </c>
      <c r="AD1820">
        <f>IF($B1820=0,0,IF(Inputs!$B$6="",0,COUNTIFS(Data!$A$10:$A$3209,"&gt;="&amp;$A1820,Data!$A$10:$A$3209,"&lt;"&amp;$A1820+1)))</f>
        <v/>
      </c>
      <c r="AE1820">
        <f>IF($B1820=0,0,IF(Inputs!$B$7="",0,COUNTIFS(Data!$E$10:$E$3209,"&gt;="&amp;$A1820,Data!$E$10:$E$3209,"&lt;"&amp;$A1820+1)))</f>
        <v/>
      </c>
      <c r="AF1820">
        <f>IF($B1820=0,0,IF(Inputs!$B$8="",0,COUNTIFS(Data!$I$10:$I$3209,"&gt;="&amp;$A1820,Data!$I$10:$I$3209,"&lt;"&amp;$A1820+1)))</f>
        <v/>
      </c>
      <c r="AG1820">
        <f>IF($B1820=0,0,IF(Inputs!$B$9="",0,COUNTIFS(Data!$M$10:$M$3209,"&gt;="&amp;$A1820,Data!$M$10:$M$3209,"&lt;"&amp;$A1820+1)))</f>
        <v/>
      </c>
      <c r="AH1820">
        <f>IF($B1820=0,0,IF(Inputs!$B$10="",0,COUNTIFS(Data!$Q$10:$Q$3209,"&gt;="&amp;$A1820,Data!$Q$10:$Q$3209,"&lt;"&amp;$A1820+1)))</f>
        <v/>
      </c>
    </row>
    <row r="1821">
      <c r="A1821" s="55">
        <f>MIN(Inputs!$C$15,$A1820+IF(WEEKDAY($A1820,2)=5,3,1))</f>
        <v/>
      </c>
      <c r="B1821">
        <f>IF($A1821&gt;$A1820,1,0)</f>
        <v/>
      </c>
      <c r="C1821" s="56">
        <f>IF($B1821=0,"",IF(Inputs!$B$6="","",IF($AD1821=0,C1820,SUMIFS(Data!$B$10:$B$3209,Data!$A$10:$A$3209,"&gt;="&amp;$A1821,Data!$A$10:$A$3209,"&lt;"&amp;$A1821+1)/$AD1821)))</f>
        <v/>
      </c>
      <c r="D1821" s="56">
        <f>IF($B1821=0,"",IF(Inputs!$B$7="","",IF($AE1821=0,D1820,SUMIFS(Data!$F$10:$F$3209,Data!$E$10:$E$3209,"&gt;="&amp;$A1821,Data!$E$10:$E$3209,"&lt;"&amp;$A1821+1)/$AE1821)))</f>
        <v/>
      </c>
      <c r="E1821" s="56">
        <f>IF($B1821=0,"",IF(Inputs!$B$8="","",IF($AF1821=0,E1820,SUMIFS(Data!$J$10:$J$3209,Data!$I$10:$I$3209,"&gt;="&amp;$A1821,Data!$I$10:$I$3209,"&lt;"&amp;$A1821+1)/$AF1821)))</f>
        <v/>
      </c>
      <c r="F1821" s="56">
        <f>IF($B1821=0,"",IF(Inputs!$B$9="","",IF($AG1821=0,F1820,SUMIFS(Data!$N$10:$N$3209,Data!$M$10:$M$3209,"&gt;="&amp;$A1821,Data!$M$10:$M$3209,"&lt;"&amp;$A1821+1)/$AG1821)))</f>
        <v/>
      </c>
      <c r="G1821" s="56">
        <f>IF($B1821=0,"",IF(Inputs!$B$10="","",IF($AH1821=0,G1820,SUMIFS(Data!$R$10:$R$3209,Data!$Q$10:$Q$3209,"&gt;="&amp;$A1821,Data!$Q$10:$Q$3209,"&lt;"&amp;$A1821+1)/$AH1821)))</f>
        <v/>
      </c>
      <c r="I1821" s="54">
        <f>IF($B1821=0,NA(),IF($C1821="",NA(),IF(C$8="",NA(),IF(N(C$8)=0,NA(),IF(Inputs!$C$17="Rebased to 100",$C1821/C$8*100,$C1821)))))</f>
        <v/>
      </c>
      <c r="J1821" s="54">
        <f>IF($B1821=0,NA(),IF($D1821="",NA(),IF(D$8="",NA(),IF(N(D$8)=0,NA(),IF(Inputs!$C$17="Rebased to 100",$D1821/D$8*100,$D1821)))))</f>
        <v/>
      </c>
      <c r="K1821" s="54">
        <f>IF($B1821=0,NA(),IF($E1821="",NA(),IF(E$8="",NA(),IF(N(E$8)=0,NA(),IF(Inputs!$C$17="Rebased to 100",$E1821/E$8*100,$E1821)))))</f>
        <v/>
      </c>
      <c r="L1821" s="54">
        <f>IF($B1821=0,NA(),IF($F1821="",NA(),IF(F$8="",NA(),IF(N(F$8)=0,NA(),IF(Inputs!$C$17="Rebased to 100",$F1821/F$8*100,$F1821)))))</f>
        <v/>
      </c>
      <c r="M1821" s="54">
        <f>IF($B1821=0,NA(),IF($G1821="",NA(),IF(G$8="",NA(),IF(N(G$8)=0,NA(),IF(Inputs!$C$17="Rebased to 100",$G1821/G$8*100,$G1821)))))</f>
        <v/>
      </c>
      <c r="N1821" s="54">
        <f>IF($B1821=0,NA(),IF(Inputs!$C$18&lt;&gt;"Yes",NA(),IF(COUNT(I1821,J1821,K1821,L1821,M1821)=0,NA(),MIN(I1821,J1821,K1821,L1821,M1821))))</f>
        <v/>
      </c>
      <c r="O1821" s="54">
        <f>IF($B1821=0,NA(),IF(Inputs!$B$24&lt;&gt;"Yes",NA(),Inputs!$D$24*Inputs!$C$35))</f>
        <v/>
      </c>
      <c r="P1821" s="54">
        <f>IF($B1821=0,NA(),IF(Inputs!$B$25&lt;&gt;"Yes",NA(),Inputs!$D$25*Inputs!$C$35))</f>
        <v/>
      </c>
      <c r="Q1821" s="54">
        <f>IF($B1821=0,NA(),IF(Inputs!$B$26&lt;&gt;"Yes",NA(),Inputs!$D$26*Inputs!$C$35))</f>
        <v/>
      </c>
      <c r="R1821" s="54">
        <f>IF($B1821=0,NA(),IF(Inputs!$B$27&lt;&gt;"Yes",NA(),Inputs!$D$27*Inputs!$C$35))</f>
        <v/>
      </c>
      <c r="S1821" s="54">
        <f>IF($B1821=0,NA(),IF(Inputs!$B$28&lt;&gt;"Yes",NA(),Inputs!$D$28*Inputs!$C$35))</f>
        <v/>
      </c>
      <c r="T1821" s="54">
        <f>IF($B1821=0,NA(),IF(Inputs!$B$29&lt;&gt;"Yes",NA(),Inputs!$D$29*Inputs!$C$35))</f>
        <v/>
      </c>
      <c r="AD1821">
        <f>IF($B1821=0,0,IF(Inputs!$B$6="",0,COUNTIFS(Data!$A$10:$A$3209,"&gt;="&amp;$A1821,Data!$A$10:$A$3209,"&lt;"&amp;$A1821+1)))</f>
        <v/>
      </c>
      <c r="AE1821">
        <f>IF($B1821=0,0,IF(Inputs!$B$7="",0,COUNTIFS(Data!$E$10:$E$3209,"&gt;="&amp;$A1821,Data!$E$10:$E$3209,"&lt;"&amp;$A1821+1)))</f>
        <v/>
      </c>
      <c r="AF1821">
        <f>IF($B1821=0,0,IF(Inputs!$B$8="",0,COUNTIFS(Data!$I$10:$I$3209,"&gt;="&amp;$A1821,Data!$I$10:$I$3209,"&lt;"&amp;$A1821+1)))</f>
        <v/>
      </c>
      <c r="AG1821">
        <f>IF($B1821=0,0,IF(Inputs!$B$9="",0,COUNTIFS(Data!$M$10:$M$3209,"&gt;="&amp;$A1821,Data!$M$10:$M$3209,"&lt;"&amp;$A1821+1)))</f>
        <v/>
      </c>
      <c r="AH1821">
        <f>IF($B1821=0,0,IF(Inputs!$B$10="",0,COUNTIFS(Data!$Q$10:$Q$3209,"&gt;="&amp;$A1821,Data!$Q$10:$Q$3209,"&lt;"&amp;$A1821+1)))</f>
        <v/>
      </c>
    </row>
    <row r="1822">
      <c r="A1822" s="55">
        <f>MIN(Inputs!$C$15,$A1821+IF(WEEKDAY($A1821,2)=5,3,1))</f>
        <v/>
      </c>
      <c r="B1822">
        <f>IF($A1822&gt;$A1821,1,0)</f>
        <v/>
      </c>
      <c r="C1822" s="56">
        <f>IF($B1822=0,"",IF(Inputs!$B$6="","",IF($AD1822=0,C1821,SUMIFS(Data!$B$10:$B$3209,Data!$A$10:$A$3209,"&gt;="&amp;$A1822,Data!$A$10:$A$3209,"&lt;"&amp;$A1822+1)/$AD1822)))</f>
        <v/>
      </c>
      <c r="D1822" s="56">
        <f>IF($B1822=0,"",IF(Inputs!$B$7="","",IF($AE1822=0,D1821,SUMIFS(Data!$F$10:$F$3209,Data!$E$10:$E$3209,"&gt;="&amp;$A1822,Data!$E$10:$E$3209,"&lt;"&amp;$A1822+1)/$AE1822)))</f>
        <v/>
      </c>
      <c r="E1822" s="56">
        <f>IF($B1822=0,"",IF(Inputs!$B$8="","",IF($AF1822=0,E1821,SUMIFS(Data!$J$10:$J$3209,Data!$I$10:$I$3209,"&gt;="&amp;$A1822,Data!$I$10:$I$3209,"&lt;"&amp;$A1822+1)/$AF1822)))</f>
        <v/>
      </c>
      <c r="F1822" s="56">
        <f>IF($B1822=0,"",IF(Inputs!$B$9="","",IF($AG1822=0,F1821,SUMIFS(Data!$N$10:$N$3209,Data!$M$10:$M$3209,"&gt;="&amp;$A1822,Data!$M$10:$M$3209,"&lt;"&amp;$A1822+1)/$AG1822)))</f>
        <v/>
      </c>
      <c r="G1822" s="56">
        <f>IF($B1822=0,"",IF(Inputs!$B$10="","",IF($AH1822=0,G1821,SUMIFS(Data!$R$10:$R$3209,Data!$Q$10:$Q$3209,"&gt;="&amp;$A1822,Data!$Q$10:$Q$3209,"&lt;"&amp;$A1822+1)/$AH1822)))</f>
        <v/>
      </c>
      <c r="I1822" s="54">
        <f>IF($B1822=0,NA(),IF($C1822="",NA(),IF(C$8="",NA(),IF(N(C$8)=0,NA(),IF(Inputs!$C$17="Rebased to 100",$C1822/C$8*100,$C1822)))))</f>
        <v/>
      </c>
      <c r="J1822" s="54">
        <f>IF($B1822=0,NA(),IF($D1822="",NA(),IF(D$8="",NA(),IF(N(D$8)=0,NA(),IF(Inputs!$C$17="Rebased to 100",$D1822/D$8*100,$D1822)))))</f>
        <v/>
      </c>
      <c r="K1822" s="54">
        <f>IF($B1822=0,NA(),IF($E1822="",NA(),IF(E$8="",NA(),IF(N(E$8)=0,NA(),IF(Inputs!$C$17="Rebased to 100",$E1822/E$8*100,$E1822)))))</f>
        <v/>
      </c>
      <c r="L1822" s="54">
        <f>IF($B1822=0,NA(),IF($F1822="",NA(),IF(F$8="",NA(),IF(N(F$8)=0,NA(),IF(Inputs!$C$17="Rebased to 100",$F1822/F$8*100,$F1822)))))</f>
        <v/>
      </c>
      <c r="M1822" s="54">
        <f>IF($B1822=0,NA(),IF($G1822="",NA(),IF(G$8="",NA(),IF(N(G$8)=0,NA(),IF(Inputs!$C$17="Rebased to 100",$G1822/G$8*100,$G1822)))))</f>
        <v/>
      </c>
      <c r="N1822" s="54">
        <f>IF($B1822=0,NA(),IF(Inputs!$C$18&lt;&gt;"Yes",NA(),IF(COUNT(I1822,J1822,K1822,L1822,M1822)=0,NA(),MIN(I1822,J1822,K1822,L1822,M1822))))</f>
        <v/>
      </c>
      <c r="O1822" s="54">
        <f>IF($B1822=0,NA(),IF(Inputs!$B$24&lt;&gt;"Yes",NA(),Inputs!$D$24*Inputs!$C$35))</f>
        <v/>
      </c>
      <c r="P1822" s="54">
        <f>IF($B1822=0,NA(),IF(Inputs!$B$25&lt;&gt;"Yes",NA(),Inputs!$D$25*Inputs!$C$35))</f>
        <v/>
      </c>
      <c r="Q1822" s="54">
        <f>IF($B1822=0,NA(),IF(Inputs!$B$26&lt;&gt;"Yes",NA(),Inputs!$D$26*Inputs!$C$35))</f>
        <v/>
      </c>
      <c r="R1822" s="54">
        <f>IF($B1822=0,NA(),IF(Inputs!$B$27&lt;&gt;"Yes",NA(),Inputs!$D$27*Inputs!$C$35))</f>
        <v/>
      </c>
      <c r="S1822" s="54">
        <f>IF($B1822=0,NA(),IF(Inputs!$B$28&lt;&gt;"Yes",NA(),Inputs!$D$28*Inputs!$C$35))</f>
        <v/>
      </c>
      <c r="T1822" s="54">
        <f>IF($B1822=0,NA(),IF(Inputs!$B$29&lt;&gt;"Yes",NA(),Inputs!$D$29*Inputs!$C$35))</f>
        <v/>
      </c>
      <c r="AD1822">
        <f>IF($B1822=0,0,IF(Inputs!$B$6="",0,COUNTIFS(Data!$A$10:$A$3209,"&gt;="&amp;$A1822,Data!$A$10:$A$3209,"&lt;"&amp;$A1822+1)))</f>
        <v/>
      </c>
      <c r="AE1822">
        <f>IF($B1822=0,0,IF(Inputs!$B$7="",0,COUNTIFS(Data!$E$10:$E$3209,"&gt;="&amp;$A1822,Data!$E$10:$E$3209,"&lt;"&amp;$A1822+1)))</f>
        <v/>
      </c>
      <c r="AF1822">
        <f>IF($B1822=0,0,IF(Inputs!$B$8="",0,COUNTIFS(Data!$I$10:$I$3209,"&gt;="&amp;$A1822,Data!$I$10:$I$3209,"&lt;"&amp;$A1822+1)))</f>
        <v/>
      </c>
      <c r="AG1822">
        <f>IF($B1822=0,0,IF(Inputs!$B$9="",0,COUNTIFS(Data!$M$10:$M$3209,"&gt;="&amp;$A1822,Data!$M$10:$M$3209,"&lt;"&amp;$A1822+1)))</f>
        <v/>
      </c>
      <c r="AH1822">
        <f>IF($B1822=0,0,IF(Inputs!$B$10="",0,COUNTIFS(Data!$Q$10:$Q$3209,"&gt;="&amp;$A1822,Data!$Q$10:$Q$3209,"&lt;"&amp;$A1822+1)))</f>
        <v/>
      </c>
    </row>
    <row r="1823">
      <c r="A1823" s="55">
        <f>MIN(Inputs!$C$15,$A1822+IF(WEEKDAY($A1822,2)=5,3,1))</f>
        <v/>
      </c>
      <c r="B1823">
        <f>IF($A1823&gt;$A1822,1,0)</f>
        <v/>
      </c>
      <c r="C1823" s="56">
        <f>IF($B1823=0,"",IF(Inputs!$B$6="","",IF($AD1823=0,C1822,SUMIFS(Data!$B$10:$B$3209,Data!$A$10:$A$3209,"&gt;="&amp;$A1823,Data!$A$10:$A$3209,"&lt;"&amp;$A1823+1)/$AD1823)))</f>
        <v/>
      </c>
      <c r="D1823" s="56">
        <f>IF($B1823=0,"",IF(Inputs!$B$7="","",IF($AE1823=0,D1822,SUMIFS(Data!$F$10:$F$3209,Data!$E$10:$E$3209,"&gt;="&amp;$A1823,Data!$E$10:$E$3209,"&lt;"&amp;$A1823+1)/$AE1823)))</f>
        <v/>
      </c>
      <c r="E1823" s="56">
        <f>IF($B1823=0,"",IF(Inputs!$B$8="","",IF($AF1823=0,E1822,SUMIFS(Data!$J$10:$J$3209,Data!$I$10:$I$3209,"&gt;="&amp;$A1823,Data!$I$10:$I$3209,"&lt;"&amp;$A1823+1)/$AF1823)))</f>
        <v/>
      </c>
      <c r="F1823" s="56">
        <f>IF($B1823=0,"",IF(Inputs!$B$9="","",IF($AG1823=0,F1822,SUMIFS(Data!$N$10:$N$3209,Data!$M$10:$M$3209,"&gt;="&amp;$A1823,Data!$M$10:$M$3209,"&lt;"&amp;$A1823+1)/$AG1823)))</f>
        <v/>
      </c>
      <c r="G1823" s="56">
        <f>IF($B1823=0,"",IF(Inputs!$B$10="","",IF($AH1823=0,G1822,SUMIFS(Data!$R$10:$R$3209,Data!$Q$10:$Q$3209,"&gt;="&amp;$A1823,Data!$Q$10:$Q$3209,"&lt;"&amp;$A1823+1)/$AH1823)))</f>
        <v/>
      </c>
      <c r="I1823" s="54">
        <f>IF($B1823=0,NA(),IF($C1823="",NA(),IF(C$8="",NA(),IF(N(C$8)=0,NA(),IF(Inputs!$C$17="Rebased to 100",$C1823/C$8*100,$C1823)))))</f>
        <v/>
      </c>
      <c r="J1823" s="54">
        <f>IF($B1823=0,NA(),IF($D1823="",NA(),IF(D$8="",NA(),IF(N(D$8)=0,NA(),IF(Inputs!$C$17="Rebased to 100",$D1823/D$8*100,$D1823)))))</f>
        <v/>
      </c>
      <c r="K1823" s="54">
        <f>IF($B1823=0,NA(),IF($E1823="",NA(),IF(E$8="",NA(),IF(N(E$8)=0,NA(),IF(Inputs!$C$17="Rebased to 100",$E1823/E$8*100,$E1823)))))</f>
        <v/>
      </c>
      <c r="L1823" s="54">
        <f>IF($B1823=0,NA(),IF($F1823="",NA(),IF(F$8="",NA(),IF(N(F$8)=0,NA(),IF(Inputs!$C$17="Rebased to 100",$F1823/F$8*100,$F1823)))))</f>
        <v/>
      </c>
      <c r="M1823" s="54">
        <f>IF($B1823=0,NA(),IF($G1823="",NA(),IF(G$8="",NA(),IF(N(G$8)=0,NA(),IF(Inputs!$C$17="Rebased to 100",$G1823/G$8*100,$G1823)))))</f>
        <v/>
      </c>
      <c r="N1823" s="54">
        <f>IF($B1823=0,NA(),IF(Inputs!$C$18&lt;&gt;"Yes",NA(),IF(COUNT(I1823,J1823,K1823,L1823,M1823)=0,NA(),MIN(I1823,J1823,K1823,L1823,M1823))))</f>
        <v/>
      </c>
      <c r="O1823" s="54">
        <f>IF($B1823=0,NA(),IF(Inputs!$B$24&lt;&gt;"Yes",NA(),Inputs!$D$24*Inputs!$C$35))</f>
        <v/>
      </c>
      <c r="P1823" s="54">
        <f>IF($B1823=0,NA(),IF(Inputs!$B$25&lt;&gt;"Yes",NA(),Inputs!$D$25*Inputs!$C$35))</f>
        <v/>
      </c>
      <c r="Q1823" s="54">
        <f>IF($B1823=0,NA(),IF(Inputs!$B$26&lt;&gt;"Yes",NA(),Inputs!$D$26*Inputs!$C$35))</f>
        <v/>
      </c>
      <c r="R1823" s="54">
        <f>IF($B1823=0,NA(),IF(Inputs!$B$27&lt;&gt;"Yes",NA(),Inputs!$D$27*Inputs!$C$35))</f>
        <v/>
      </c>
      <c r="S1823" s="54">
        <f>IF($B1823=0,NA(),IF(Inputs!$B$28&lt;&gt;"Yes",NA(),Inputs!$D$28*Inputs!$C$35))</f>
        <v/>
      </c>
      <c r="T1823" s="54">
        <f>IF($B1823=0,NA(),IF(Inputs!$B$29&lt;&gt;"Yes",NA(),Inputs!$D$29*Inputs!$C$35))</f>
        <v/>
      </c>
      <c r="AD1823">
        <f>IF($B1823=0,0,IF(Inputs!$B$6="",0,COUNTIFS(Data!$A$10:$A$3209,"&gt;="&amp;$A1823,Data!$A$10:$A$3209,"&lt;"&amp;$A1823+1)))</f>
        <v/>
      </c>
      <c r="AE1823">
        <f>IF($B1823=0,0,IF(Inputs!$B$7="",0,COUNTIFS(Data!$E$10:$E$3209,"&gt;="&amp;$A1823,Data!$E$10:$E$3209,"&lt;"&amp;$A1823+1)))</f>
        <v/>
      </c>
      <c r="AF1823">
        <f>IF($B1823=0,0,IF(Inputs!$B$8="",0,COUNTIFS(Data!$I$10:$I$3209,"&gt;="&amp;$A1823,Data!$I$10:$I$3209,"&lt;"&amp;$A1823+1)))</f>
        <v/>
      </c>
      <c r="AG1823">
        <f>IF($B1823=0,0,IF(Inputs!$B$9="",0,COUNTIFS(Data!$M$10:$M$3209,"&gt;="&amp;$A1823,Data!$M$10:$M$3209,"&lt;"&amp;$A1823+1)))</f>
        <v/>
      </c>
      <c r="AH1823">
        <f>IF($B1823=0,0,IF(Inputs!$B$10="",0,COUNTIFS(Data!$Q$10:$Q$3209,"&gt;="&amp;$A1823,Data!$Q$10:$Q$3209,"&lt;"&amp;$A1823+1)))</f>
        <v/>
      </c>
    </row>
    <row r="1824">
      <c r="A1824" s="55">
        <f>MIN(Inputs!$C$15,$A1823+IF(WEEKDAY($A1823,2)=5,3,1))</f>
        <v/>
      </c>
      <c r="B1824">
        <f>IF($A1824&gt;$A1823,1,0)</f>
        <v/>
      </c>
      <c r="C1824" s="56">
        <f>IF($B1824=0,"",IF(Inputs!$B$6="","",IF($AD1824=0,C1823,SUMIFS(Data!$B$10:$B$3209,Data!$A$10:$A$3209,"&gt;="&amp;$A1824,Data!$A$10:$A$3209,"&lt;"&amp;$A1824+1)/$AD1824)))</f>
        <v/>
      </c>
      <c r="D1824" s="56">
        <f>IF($B1824=0,"",IF(Inputs!$B$7="","",IF($AE1824=0,D1823,SUMIFS(Data!$F$10:$F$3209,Data!$E$10:$E$3209,"&gt;="&amp;$A1824,Data!$E$10:$E$3209,"&lt;"&amp;$A1824+1)/$AE1824)))</f>
        <v/>
      </c>
      <c r="E1824" s="56">
        <f>IF($B1824=0,"",IF(Inputs!$B$8="","",IF($AF1824=0,E1823,SUMIFS(Data!$J$10:$J$3209,Data!$I$10:$I$3209,"&gt;="&amp;$A1824,Data!$I$10:$I$3209,"&lt;"&amp;$A1824+1)/$AF1824)))</f>
        <v/>
      </c>
      <c r="F1824" s="56">
        <f>IF($B1824=0,"",IF(Inputs!$B$9="","",IF($AG1824=0,F1823,SUMIFS(Data!$N$10:$N$3209,Data!$M$10:$M$3209,"&gt;="&amp;$A1824,Data!$M$10:$M$3209,"&lt;"&amp;$A1824+1)/$AG1824)))</f>
        <v/>
      </c>
      <c r="G1824" s="56">
        <f>IF($B1824=0,"",IF(Inputs!$B$10="","",IF($AH1824=0,G1823,SUMIFS(Data!$R$10:$R$3209,Data!$Q$10:$Q$3209,"&gt;="&amp;$A1824,Data!$Q$10:$Q$3209,"&lt;"&amp;$A1824+1)/$AH1824)))</f>
        <v/>
      </c>
      <c r="I1824" s="54">
        <f>IF($B1824=0,NA(),IF($C1824="",NA(),IF(C$8="",NA(),IF(N(C$8)=0,NA(),IF(Inputs!$C$17="Rebased to 100",$C1824/C$8*100,$C1824)))))</f>
        <v/>
      </c>
      <c r="J1824" s="54">
        <f>IF($B1824=0,NA(),IF($D1824="",NA(),IF(D$8="",NA(),IF(N(D$8)=0,NA(),IF(Inputs!$C$17="Rebased to 100",$D1824/D$8*100,$D1824)))))</f>
        <v/>
      </c>
      <c r="K1824" s="54">
        <f>IF($B1824=0,NA(),IF($E1824="",NA(),IF(E$8="",NA(),IF(N(E$8)=0,NA(),IF(Inputs!$C$17="Rebased to 100",$E1824/E$8*100,$E1824)))))</f>
        <v/>
      </c>
      <c r="L1824" s="54">
        <f>IF($B1824=0,NA(),IF($F1824="",NA(),IF(F$8="",NA(),IF(N(F$8)=0,NA(),IF(Inputs!$C$17="Rebased to 100",$F1824/F$8*100,$F1824)))))</f>
        <v/>
      </c>
      <c r="M1824" s="54">
        <f>IF($B1824=0,NA(),IF($G1824="",NA(),IF(G$8="",NA(),IF(N(G$8)=0,NA(),IF(Inputs!$C$17="Rebased to 100",$G1824/G$8*100,$G1824)))))</f>
        <v/>
      </c>
      <c r="N1824" s="54">
        <f>IF($B1824=0,NA(),IF(Inputs!$C$18&lt;&gt;"Yes",NA(),IF(COUNT(I1824,J1824,K1824,L1824,M1824)=0,NA(),MIN(I1824,J1824,K1824,L1824,M1824))))</f>
        <v/>
      </c>
      <c r="O1824" s="54">
        <f>IF($B1824=0,NA(),IF(Inputs!$B$24&lt;&gt;"Yes",NA(),Inputs!$D$24*Inputs!$C$35))</f>
        <v/>
      </c>
      <c r="P1824" s="54">
        <f>IF($B1824=0,NA(),IF(Inputs!$B$25&lt;&gt;"Yes",NA(),Inputs!$D$25*Inputs!$C$35))</f>
        <v/>
      </c>
      <c r="Q1824" s="54">
        <f>IF($B1824=0,NA(),IF(Inputs!$B$26&lt;&gt;"Yes",NA(),Inputs!$D$26*Inputs!$C$35))</f>
        <v/>
      </c>
      <c r="R1824" s="54">
        <f>IF($B1824=0,NA(),IF(Inputs!$B$27&lt;&gt;"Yes",NA(),Inputs!$D$27*Inputs!$C$35))</f>
        <v/>
      </c>
      <c r="S1824" s="54">
        <f>IF($B1824=0,NA(),IF(Inputs!$B$28&lt;&gt;"Yes",NA(),Inputs!$D$28*Inputs!$C$35))</f>
        <v/>
      </c>
      <c r="T1824" s="54">
        <f>IF($B1824=0,NA(),IF(Inputs!$B$29&lt;&gt;"Yes",NA(),Inputs!$D$29*Inputs!$C$35))</f>
        <v/>
      </c>
      <c r="AD1824">
        <f>IF($B1824=0,0,IF(Inputs!$B$6="",0,COUNTIFS(Data!$A$10:$A$3209,"&gt;="&amp;$A1824,Data!$A$10:$A$3209,"&lt;"&amp;$A1824+1)))</f>
        <v/>
      </c>
      <c r="AE1824">
        <f>IF($B1824=0,0,IF(Inputs!$B$7="",0,COUNTIFS(Data!$E$10:$E$3209,"&gt;="&amp;$A1824,Data!$E$10:$E$3209,"&lt;"&amp;$A1824+1)))</f>
        <v/>
      </c>
      <c r="AF1824">
        <f>IF($B1824=0,0,IF(Inputs!$B$8="",0,COUNTIFS(Data!$I$10:$I$3209,"&gt;="&amp;$A1824,Data!$I$10:$I$3209,"&lt;"&amp;$A1824+1)))</f>
        <v/>
      </c>
      <c r="AG1824">
        <f>IF($B1824=0,0,IF(Inputs!$B$9="",0,COUNTIFS(Data!$M$10:$M$3209,"&gt;="&amp;$A1824,Data!$M$10:$M$3209,"&lt;"&amp;$A1824+1)))</f>
        <v/>
      </c>
      <c r="AH1824">
        <f>IF($B1824=0,0,IF(Inputs!$B$10="",0,COUNTIFS(Data!$Q$10:$Q$3209,"&gt;="&amp;$A1824,Data!$Q$10:$Q$3209,"&lt;"&amp;$A1824+1)))</f>
        <v/>
      </c>
    </row>
    <row r="1825">
      <c r="A1825" s="55">
        <f>MIN(Inputs!$C$15,$A1824+IF(WEEKDAY($A1824,2)=5,3,1))</f>
        <v/>
      </c>
      <c r="B1825">
        <f>IF($A1825&gt;$A1824,1,0)</f>
        <v/>
      </c>
      <c r="C1825" s="56">
        <f>IF($B1825=0,"",IF(Inputs!$B$6="","",IF($AD1825=0,C1824,SUMIFS(Data!$B$10:$B$3209,Data!$A$10:$A$3209,"&gt;="&amp;$A1825,Data!$A$10:$A$3209,"&lt;"&amp;$A1825+1)/$AD1825)))</f>
        <v/>
      </c>
      <c r="D1825" s="56">
        <f>IF($B1825=0,"",IF(Inputs!$B$7="","",IF($AE1825=0,D1824,SUMIFS(Data!$F$10:$F$3209,Data!$E$10:$E$3209,"&gt;="&amp;$A1825,Data!$E$10:$E$3209,"&lt;"&amp;$A1825+1)/$AE1825)))</f>
        <v/>
      </c>
      <c r="E1825" s="56">
        <f>IF($B1825=0,"",IF(Inputs!$B$8="","",IF($AF1825=0,E1824,SUMIFS(Data!$J$10:$J$3209,Data!$I$10:$I$3209,"&gt;="&amp;$A1825,Data!$I$10:$I$3209,"&lt;"&amp;$A1825+1)/$AF1825)))</f>
        <v/>
      </c>
      <c r="F1825" s="56">
        <f>IF($B1825=0,"",IF(Inputs!$B$9="","",IF($AG1825=0,F1824,SUMIFS(Data!$N$10:$N$3209,Data!$M$10:$M$3209,"&gt;="&amp;$A1825,Data!$M$10:$M$3209,"&lt;"&amp;$A1825+1)/$AG1825)))</f>
        <v/>
      </c>
      <c r="G1825" s="56">
        <f>IF($B1825=0,"",IF(Inputs!$B$10="","",IF($AH1825=0,G1824,SUMIFS(Data!$R$10:$R$3209,Data!$Q$10:$Q$3209,"&gt;="&amp;$A1825,Data!$Q$10:$Q$3209,"&lt;"&amp;$A1825+1)/$AH1825)))</f>
        <v/>
      </c>
      <c r="I1825" s="54">
        <f>IF($B1825=0,NA(),IF($C1825="",NA(),IF(C$8="",NA(),IF(N(C$8)=0,NA(),IF(Inputs!$C$17="Rebased to 100",$C1825/C$8*100,$C1825)))))</f>
        <v/>
      </c>
      <c r="J1825" s="54">
        <f>IF($B1825=0,NA(),IF($D1825="",NA(),IF(D$8="",NA(),IF(N(D$8)=0,NA(),IF(Inputs!$C$17="Rebased to 100",$D1825/D$8*100,$D1825)))))</f>
        <v/>
      </c>
      <c r="K1825" s="54">
        <f>IF($B1825=0,NA(),IF($E1825="",NA(),IF(E$8="",NA(),IF(N(E$8)=0,NA(),IF(Inputs!$C$17="Rebased to 100",$E1825/E$8*100,$E1825)))))</f>
        <v/>
      </c>
      <c r="L1825" s="54">
        <f>IF($B1825=0,NA(),IF($F1825="",NA(),IF(F$8="",NA(),IF(N(F$8)=0,NA(),IF(Inputs!$C$17="Rebased to 100",$F1825/F$8*100,$F1825)))))</f>
        <v/>
      </c>
      <c r="M1825" s="54">
        <f>IF($B1825=0,NA(),IF($G1825="",NA(),IF(G$8="",NA(),IF(N(G$8)=0,NA(),IF(Inputs!$C$17="Rebased to 100",$G1825/G$8*100,$G1825)))))</f>
        <v/>
      </c>
      <c r="N1825" s="54">
        <f>IF($B1825=0,NA(),IF(Inputs!$C$18&lt;&gt;"Yes",NA(),IF(COUNT(I1825,J1825,K1825,L1825,M1825)=0,NA(),MIN(I1825,J1825,K1825,L1825,M1825))))</f>
        <v/>
      </c>
      <c r="O1825" s="54">
        <f>IF($B1825=0,NA(),IF(Inputs!$B$24&lt;&gt;"Yes",NA(),Inputs!$D$24*Inputs!$C$35))</f>
        <v/>
      </c>
      <c r="P1825" s="54">
        <f>IF($B1825=0,NA(),IF(Inputs!$B$25&lt;&gt;"Yes",NA(),Inputs!$D$25*Inputs!$C$35))</f>
        <v/>
      </c>
      <c r="Q1825" s="54">
        <f>IF($B1825=0,NA(),IF(Inputs!$B$26&lt;&gt;"Yes",NA(),Inputs!$D$26*Inputs!$C$35))</f>
        <v/>
      </c>
      <c r="R1825" s="54">
        <f>IF($B1825=0,NA(),IF(Inputs!$B$27&lt;&gt;"Yes",NA(),Inputs!$D$27*Inputs!$C$35))</f>
        <v/>
      </c>
      <c r="S1825" s="54">
        <f>IF($B1825=0,NA(),IF(Inputs!$B$28&lt;&gt;"Yes",NA(),Inputs!$D$28*Inputs!$C$35))</f>
        <v/>
      </c>
      <c r="T1825" s="54">
        <f>IF($B1825=0,NA(),IF(Inputs!$B$29&lt;&gt;"Yes",NA(),Inputs!$D$29*Inputs!$C$35))</f>
        <v/>
      </c>
      <c r="AD1825">
        <f>IF($B1825=0,0,IF(Inputs!$B$6="",0,COUNTIFS(Data!$A$10:$A$3209,"&gt;="&amp;$A1825,Data!$A$10:$A$3209,"&lt;"&amp;$A1825+1)))</f>
        <v/>
      </c>
      <c r="AE1825">
        <f>IF($B1825=0,0,IF(Inputs!$B$7="",0,COUNTIFS(Data!$E$10:$E$3209,"&gt;="&amp;$A1825,Data!$E$10:$E$3209,"&lt;"&amp;$A1825+1)))</f>
        <v/>
      </c>
      <c r="AF1825">
        <f>IF($B1825=0,0,IF(Inputs!$B$8="",0,COUNTIFS(Data!$I$10:$I$3209,"&gt;="&amp;$A1825,Data!$I$10:$I$3209,"&lt;"&amp;$A1825+1)))</f>
        <v/>
      </c>
      <c r="AG1825">
        <f>IF($B1825=0,0,IF(Inputs!$B$9="",0,COUNTIFS(Data!$M$10:$M$3209,"&gt;="&amp;$A1825,Data!$M$10:$M$3209,"&lt;"&amp;$A1825+1)))</f>
        <v/>
      </c>
      <c r="AH1825">
        <f>IF($B1825=0,0,IF(Inputs!$B$10="",0,COUNTIFS(Data!$Q$10:$Q$3209,"&gt;="&amp;$A1825,Data!$Q$10:$Q$3209,"&lt;"&amp;$A1825+1)))</f>
        <v/>
      </c>
    </row>
    <row r="1826">
      <c r="A1826" s="55">
        <f>MIN(Inputs!$C$15,$A1825+IF(WEEKDAY($A1825,2)=5,3,1))</f>
        <v/>
      </c>
      <c r="B1826">
        <f>IF($A1826&gt;$A1825,1,0)</f>
        <v/>
      </c>
      <c r="C1826" s="56">
        <f>IF($B1826=0,"",IF(Inputs!$B$6="","",IF($AD1826=0,C1825,SUMIFS(Data!$B$10:$B$3209,Data!$A$10:$A$3209,"&gt;="&amp;$A1826,Data!$A$10:$A$3209,"&lt;"&amp;$A1826+1)/$AD1826)))</f>
        <v/>
      </c>
      <c r="D1826" s="56">
        <f>IF($B1826=0,"",IF(Inputs!$B$7="","",IF($AE1826=0,D1825,SUMIFS(Data!$F$10:$F$3209,Data!$E$10:$E$3209,"&gt;="&amp;$A1826,Data!$E$10:$E$3209,"&lt;"&amp;$A1826+1)/$AE1826)))</f>
        <v/>
      </c>
      <c r="E1826" s="56">
        <f>IF($B1826=0,"",IF(Inputs!$B$8="","",IF($AF1826=0,E1825,SUMIFS(Data!$J$10:$J$3209,Data!$I$10:$I$3209,"&gt;="&amp;$A1826,Data!$I$10:$I$3209,"&lt;"&amp;$A1826+1)/$AF1826)))</f>
        <v/>
      </c>
      <c r="F1826" s="56">
        <f>IF($B1826=0,"",IF(Inputs!$B$9="","",IF($AG1826=0,F1825,SUMIFS(Data!$N$10:$N$3209,Data!$M$10:$M$3209,"&gt;="&amp;$A1826,Data!$M$10:$M$3209,"&lt;"&amp;$A1826+1)/$AG1826)))</f>
        <v/>
      </c>
      <c r="G1826" s="56">
        <f>IF($B1826=0,"",IF(Inputs!$B$10="","",IF($AH1826=0,G1825,SUMIFS(Data!$R$10:$R$3209,Data!$Q$10:$Q$3209,"&gt;="&amp;$A1826,Data!$Q$10:$Q$3209,"&lt;"&amp;$A1826+1)/$AH1826)))</f>
        <v/>
      </c>
      <c r="I1826" s="54">
        <f>IF($B1826=0,NA(),IF($C1826="",NA(),IF(C$8="",NA(),IF(N(C$8)=0,NA(),IF(Inputs!$C$17="Rebased to 100",$C1826/C$8*100,$C1826)))))</f>
        <v/>
      </c>
      <c r="J1826" s="54">
        <f>IF($B1826=0,NA(),IF($D1826="",NA(),IF(D$8="",NA(),IF(N(D$8)=0,NA(),IF(Inputs!$C$17="Rebased to 100",$D1826/D$8*100,$D1826)))))</f>
        <v/>
      </c>
      <c r="K1826" s="54">
        <f>IF($B1826=0,NA(),IF($E1826="",NA(),IF(E$8="",NA(),IF(N(E$8)=0,NA(),IF(Inputs!$C$17="Rebased to 100",$E1826/E$8*100,$E1826)))))</f>
        <v/>
      </c>
      <c r="L1826" s="54">
        <f>IF($B1826=0,NA(),IF($F1826="",NA(),IF(F$8="",NA(),IF(N(F$8)=0,NA(),IF(Inputs!$C$17="Rebased to 100",$F1826/F$8*100,$F1826)))))</f>
        <v/>
      </c>
      <c r="M1826" s="54">
        <f>IF($B1826=0,NA(),IF($G1826="",NA(),IF(G$8="",NA(),IF(N(G$8)=0,NA(),IF(Inputs!$C$17="Rebased to 100",$G1826/G$8*100,$G1826)))))</f>
        <v/>
      </c>
      <c r="N1826" s="54">
        <f>IF($B1826=0,NA(),IF(Inputs!$C$18&lt;&gt;"Yes",NA(),IF(COUNT(I1826,J1826,K1826,L1826,M1826)=0,NA(),MIN(I1826,J1826,K1826,L1826,M1826))))</f>
        <v/>
      </c>
      <c r="O1826" s="54">
        <f>IF($B1826=0,NA(),IF(Inputs!$B$24&lt;&gt;"Yes",NA(),Inputs!$D$24*Inputs!$C$35))</f>
        <v/>
      </c>
      <c r="P1826" s="54">
        <f>IF($B1826=0,NA(),IF(Inputs!$B$25&lt;&gt;"Yes",NA(),Inputs!$D$25*Inputs!$C$35))</f>
        <v/>
      </c>
      <c r="Q1826" s="54">
        <f>IF($B1826=0,NA(),IF(Inputs!$B$26&lt;&gt;"Yes",NA(),Inputs!$D$26*Inputs!$C$35))</f>
        <v/>
      </c>
      <c r="R1826" s="54">
        <f>IF($B1826=0,NA(),IF(Inputs!$B$27&lt;&gt;"Yes",NA(),Inputs!$D$27*Inputs!$C$35))</f>
        <v/>
      </c>
      <c r="S1826" s="54">
        <f>IF($B1826=0,NA(),IF(Inputs!$B$28&lt;&gt;"Yes",NA(),Inputs!$D$28*Inputs!$C$35))</f>
        <v/>
      </c>
      <c r="T1826" s="54">
        <f>IF($B1826=0,NA(),IF(Inputs!$B$29&lt;&gt;"Yes",NA(),Inputs!$D$29*Inputs!$C$35))</f>
        <v/>
      </c>
      <c r="AD1826">
        <f>IF($B1826=0,0,IF(Inputs!$B$6="",0,COUNTIFS(Data!$A$10:$A$3209,"&gt;="&amp;$A1826,Data!$A$10:$A$3209,"&lt;"&amp;$A1826+1)))</f>
        <v/>
      </c>
      <c r="AE1826">
        <f>IF($B1826=0,0,IF(Inputs!$B$7="",0,COUNTIFS(Data!$E$10:$E$3209,"&gt;="&amp;$A1826,Data!$E$10:$E$3209,"&lt;"&amp;$A1826+1)))</f>
        <v/>
      </c>
      <c r="AF1826">
        <f>IF($B1826=0,0,IF(Inputs!$B$8="",0,COUNTIFS(Data!$I$10:$I$3209,"&gt;="&amp;$A1826,Data!$I$10:$I$3209,"&lt;"&amp;$A1826+1)))</f>
        <v/>
      </c>
      <c r="AG1826">
        <f>IF($B1826=0,0,IF(Inputs!$B$9="",0,COUNTIFS(Data!$M$10:$M$3209,"&gt;="&amp;$A1826,Data!$M$10:$M$3209,"&lt;"&amp;$A1826+1)))</f>
        <v/>
      </c>
      <c r="AH1826">
        <f>IF($B1826=0,0,IF(Inputs!$B$10="",0,COUNTIFS(Data!$Q$10:$Q$3209,"&gt;="&amp;$A1826,Data!$Q$10:$Q$3209,"&lt;"&amp;$A1826+1)))</f>
        <v/>
      </c>
    </row>
    <row r="1827">
      <c r="A1827" s="55">
        <f>MIN(Inputs!$C$15,$A1826+IF(WEEKDAY($A1826,2)=5,3,1))</f>
        <v/>
      </c>
      <c r="B1827">
        <f>IF($A1827&gt;$A1826,1,0)</f>
        <v/>
      </c>
      <c r="C1827" s="56">
        <f>IF($B1827=0,"",IF(Inputs!$B$6="","",IF($AD1827=0,C1826,SUMIFS(Data!$B$10:$B$3209,Data!$A$10:$A$3209,"&gt;="&amp;$A1827,Data!$A$10:$A$3209,"&lt;"&amp;$A1827+1)/$AD1827)))</f>
        <v/>
      </c>
      <c r="D1827" s="56">
        <f>IF($B1827=0,"",IF(Inputs!$B$7="","",IF($AE1827=0,D1826,SUMIFS(Data!$F$10:$F$3209,Data!$E$10:$E$3209,"&gt;="&amp;$A1827,Data!$E$10:$E$3209,"&lt;"&amp;$A1827+1)/$AE1827)))</f>
        <v/>
      </c>
      <c r="E1827" s="56">
        <f>IF($B1827=0,"",IF(Inputs!$B$8="","",IF($AF1827=0,E1826,SUMIFS(Data!$J$10:$J$3209,Data!$I$10:$I$3209,"&gt;="&amp;$A1827,Data!$I$10:$I$3209,"&lt;"&amp;$A1827+1)/$AF1827)))</f>
        <v/>
      </c>
      <c r="F1827" s="56">
        <f>IF($B1827=0,"",IF(Inputs!$B$9="","",IF($AG1827=0,F1826,SUMIFS(Data!$N$10:$N$3209,Data!$M$10:$M$3209,"&gt;="&amp;$A1827,Data!$M$10:$M$3209,"&lt;"&amp;$A1827+1)/$AG1827)))</f>
        <v/>
      </c>
      <c r="G1827" s="56">
        <f>IF($B1827=0,"",IF(Inputs!$B$10="","",IF($AH1827=0,G1826,SUMIFS(Data!$R$10:$R$3209,Data!$Q$10:$Q$3209,"&gt;="&amp;$A1827,Data!$Q$10:$Q$3209,"&lt;"&amp;$A1827+1)/$AH1827)))</f>
        <v/>
      </c>
      <c r="I1827" s="54">
        <f>IF($B1827=0,NA(),IF($C1827="",NA(),IF(C$8="",NA(),IF(N(C$8)=0,NA(),IF(Inputs!$C$17="Rebased to 100",$C1827/C$8*100,$C1827)))))</f>
        <v/>
      </c>
      <c r="J1827" s="54">
        <f>IF($B1827=0,NA(),IF($D1827="",NA(),IF(D$8="",NA(),IF(N(D$8)=0,NA(),IF(Inputs!$C$17="Rebased to 100",$D1827/D$8*100,$D1827)))))</f>
        <v/>
      </c>
      <c r="K1827" s="54">
        <f>IF($B1827=0,NA(),IF($E1827="",NA(),IF(E$8="",NA(),IF(N(E$8)=0,NA(),IF(Inputs!$C$17="Rebased to 100",$E1827/E$8*100,$E1827)))))</f>
        <v/>
      </c>
      <c r="L1827" s="54">
        <f>IF($B1827=0,NA(),IF($F1827="",NA(),IF(F$8="",NA(),IF(N(F$8)=0,NA(),IF(Inputs!$C$17="Rebased to 100",$F1827/F$8*100,$F1827)))))</f>
        <v/>
      </c>
      <c r="M1827" s="54">
        <f>IF($B1827=0,NA(),IF($G1827="",NA(),IF(G$8="",NA(),IF(N(G$8)=0,NA(),IF(Inputs!$C$17="Rebased to 100",$G1827/G$8*100,$G1827)))))</f>
        <v/>
      </c>
      <c r="N1827" s="54">
        <f>IF($B1827=0,NA(),IF(Inputs!$C$18&lt;&gt;"Yes",NA(),IF(COUNT(I1827,J1827,K1827,L1827,M1827)=0,NA(),MIN(I1827,J1827,K1827,L1827,M1827))))</f>
        <v/>
      </c>
      <c r="O1827" s="54">
        <f>IF($B1827=0,NA(),IF(Inputs!$B$24&lt;&gt;"Yes",NA(),Inputs!$D$24*Inputs!$C$35))</f>
        <v/>
      </c>
      <c r="P1827" s="54">
        <f>IF($B1827=0,NA(),IF(Inputs!$B$25&lt;&gt;"Yes",NA(),Inputs!$D$25*Inputs!$C$35))</f>
        <v/>
      </c>
      <c r="Q1827" s="54">
        <f>IF($B1827=0,NA(),IF(Inputs!$B$26&lt;&gt;"Yes",NA(),Inputs!$D$26*Inputs!$C$35))</f>
        <v/>
      </c>
      <c r="R1827" s="54">
        <f>IF($B1827=0,NA(),IF(Inputs!$B$27&lt;&gt;"Yes",NA(),Inputs!$D$27*Inputs!$C$35))</f>
        <v/>
      </c>
      <c r="S1827" s="54">
        <f>IF($B1827=0,NA(),IF(Inputs!$B$28&lt;&gt;"Yes",NA(),Inputs!$D$28*Inputs!$C$35))</f>
        <v/>
      </c>
      <c r="T1827" s="54">
        <f>IF($B1827=0,NA(),IF(Inputs!$B$29&lt;&gt;"Yes",NA(),Inputs!$D$29*Inputs!$C$35))</f>
        <v/>
      </c>
      <c r="AD1827">
        <f>IF($B1827=0,0,IF(Inputs!$B$6="",0,COUNTIFS(Data!$A$10:$A$3209,"&gt;="&amp;$A1827,Data!$A$10:$A$3209,"&lt;"&amp;$A1827+1)))</f>
        <v/>
      </c>
      <c r="AE1827">
        <f>IF($B1827=0,0,IF(Inputs!$B$7="",0,COUNTIFS(Data!$E$10:$E$3209,"&gt;="&amp;$A1827,Data!$E$10:$E$3209,"&lt;"&amp;$A1827+1)))</f>
        <v/>
      </c>
      <c r="AF1827">
        <f>IF($B1827=0,0,IF(Inputs!$B$8="",0,COUNTIFS(Data!$I$10:$I$3209,"&gt;="&amp;$A1827,Data!$I$10:$I$3209,"&lt;"&amp;$A1827+1)))</f>
        <v/>
      </c>
      <c r="AG1827">
        <f>IF($B1827=0,0,IF(Inputs!$B$9="",0,COUNTIFS(Data!$M$10:$M$3209,"&gt;="&amp;$A1827,Data!$M$10:$M$3209,"&lt;"&amp;$A1827+1)))</f>
        <v/>
      </c>
      <c r="AH1827">
        <f>IF($B1827=0,0,IF(Inputs!$B$10="",0,COUNTIFS(Data!$Q$10:$Q$3209,"&gt;="&amp;$A1827,Data!$Q$10:$Q$3209,"&lt;"&amp;$A1827+1)))</f>
        <v/>
      </c>
    </row>
    <row r="1828">
      <c r="A1828" s="55">
        <f>MIN(Inputs!$C$15,$A1827+IF(WEEKDAY($A1827,2)=5,3,1))</f>
        <v/>
      </c>
      <c r="B1828">
        <f>IF($A1828&gt;$A1827,1,0)</f>
        <v/>
      </c>
      <c r="C1828" s="56">
        <f>IF($B1828=0,"",IF(Inputs!$B$6="","",IF($AD1828=0,C1827,SUMIFS(Data!$B$10:$B$3209,Data!$A$10:$A$3209,"&gt;="&amp;$A1828,Data!$A$10:$A$3209,"&lt;"&amp;$A1828+1)/$AD1828)))</f>
        <v/>
      </c>
      <c r="D1828" s="56">
        <f>IF($B1828=0,"",IF(Inputs!$B$7="","",IF($AE1828=0,D1827,SUMIFS(Data!$F$10:$F$3209,Data!$E$10:$E$3209,"&gt;="&amp;$A1828,Data!$E$10:$E$3209,"&lt;"&amp;$A1828+1)/$AE1828)))</f>
        <v/>
      </c>
      <c r="E1828" s="56">
        <f>IF($B1828=0,"",IF(Inputs!$B$8="","",IF($AF1828=0,E1827,SUMIFS(Data!$J$10:$J$3209,Data!$I$10:$I$3209,"&gt;="&amp;$A1828,Data!$I$10:$I$3209,"&lt;"&amp;$A1828+1)/$AF1828)))</f>
        <v/>
      </c>
      <c r="F1828" s="56">
        <f>IF($B1828=0,"",IF(Inputs!$B$9="","",IF($AG1828=0,F1827,SUMIFS(Data!$N$10:$N$3209,Data!$M$10:$M$3209,"&gt;="&amp;$A1828,Data!$M$10:$M$3209,"&lt;"&amp;$A1828+1)/$AG1828)))</f>
        <v/>
      </c>
      <c r="G1828" s="56">
        <f>IF($B1828=0,"",IF(Inputs!$B$10="","",IF($AH1828=0,G1827,SUMIFS(Data!$R$10:$R$3209,Data!$Q$10:$Q$3209,"&gt;="&amp;$A1828,Data!$Q$10:$Q$3209,"&lt;"&amp;$A1828+1)/$AH1828)))</f>
        <v/>
      </c>
      <c r="I1828" s="54">
        <f>IF($B1828=0,NA(),IF($C1828="",NA(),IF(C$8="",NA(),IF(N(C$8)=0,NA(),IF(Inputs!$C$17="Rebased to 100",$C1828/C$8*100,$C1828)))))</f>
        <v/>
      </c>
      <c r="J1828" s="54">
        <f>IF($B1828=0,NA(),IF($D1828="",NA(),IF(D$8="",NA(),IF(N(D$8)=0,NA(),IF(Inputs!$C$17="Rebased to 100",$D1828/D$8*100,$D1828)))))</f>
        <v/>
      </c>
      <c r="K1828" s="54">
        <f>IF($B1828=0,NA(),IF($E1828="",NA(),IF(E$8="",NA(),IF(N(E$8)=0,NA(),IF(Inputs!$C$17="Rebased to 100",$E1828/E$8*100,$E1828)))))</f>
        <v/>
      </c>
      <c r="L1828" s="54">
        <f>IF($B1828=0,NA(),IF($F1828="",NA(),IF(F$8="",NA(),IF(N(F$8)=0,NA(),IF(Inputs!$C$17="Rebased to 100",$F1828/F$8*100,$F1828)))))</f>
        <v/>
      </c>
      <c r="M1828" s="54">
        <f>IF($B1828=0,NA(),IF($G1828="",NA(),IF(G$8="",NA(),IF(N(G$8)=0,NA(),IF(Inputs!$C$17="Rebased to 100",$G1828/G$8*100,$G1828)))))</f>
        <v/>
      </c>
      <c r="N1828" s="54">
        <f>IF($B1828=0,NA(),IF(Inputs!$C$18&lt;&gt;"Yes",NA(),IF(COUNT(I1828,J1828,K1828,L1828,M1828)=0,NA(),MIN(I1828,J1828,K1828,L1828,M1828))))</f>
        <v/>
      </c>
      <c r="O1828" s="54">
        <f>IF($B1828=0,NA(),IF(Inputs!$B$24&lt;&gt;"Yes",NA(),Inputs!$D$24*Inputs!$C$35))</f>
        <v/>
      </c>
      <c r="P1828" s="54">
        <f>IF($B1828=0,NA(),IF(Inputs!$B$25&lt;&gt;"Yes",NA(),Inputs!$D$25*Inputs!$C$35))</f>
        <v/>
      </c>
      <c r="Q1828" s="54">
        <f>IF($B1828=0,NA(),IF(Inputs!$B$26&lt;&gt;"Yes",NA(),Inputs!$D$26*Inputs!$C$35))</f>
        <v/>
      </c>
      <c r="R1828" s="54">
        <f>IF($B1828=0,NA(),IF(Inputs!$B$27&lt;&gt;"Yes",NA(),Inputs!$D$27*Inputs!$C$35))</f>
        <v/>
      </c>
      <c r="S1828" s="54">
        <f>IF($B1828=0,NA(),IF(Inputs!$B$28&lt;&gt;"Yes",NA(),Inputs!$D$28*Inputs!$C$35))</f>
        <v/>
      </c>
      <c r="T1828" s="54">
        <f>IF($B1828=0,NA(),IF(Inputs!$B$29&lt;&gt;"Yes",NA(),Inputs!$D$29*Inputs!$C$35))</f>
        <v/>
      </c>
      <c r="AD1828">
        <f>IF($B1828=0,0,IF(Inputs!$B$6="",0,COUNTIFS(Data!$A$10:$A$3209,"&gt;="&amp;$A1828,Data!$A$10:$A$3209,"&lt;"&amp;$A1828+1)))</f>
        <v/>
      </c>
      <c r="AE1828">
        <f>IF($B1828=0,0,IF(Inputs!$B$7="",0,COUNTIFS(Data!$E$10:$E$3209,"&gt;="&amp;$A1828,Data!$E$10:$E$3209,"&lt;"&amp;$A1828+1)))</f>
        <v/>
      </c>
      <c r="AF1828">
        <f>IF($B1828=0,0,IF(Inputs!$B$8="",0,COUNTIFS(Data!$I$10:$I$3209,"&gt;="&amp;$A1828,Data!$I$10:$I$3209,"&lt;"&amp;$A1828+1)))</f>
        <v/>
      </c>
      <c r="AG1828">
        <f>IF($B1828=0,0,IF(Inputs!$B$9="",0,COUNTIFS(Data!$M$10:$M$3209,"&gt;="&amp;$A1828,Data!$M$10:$M$3209,"&lt;"&amp;$A1828+1)))</f>
        <v/>
      </c>
      <c r="AH1828">
        <f>IF($B1828=0,0,IF(Inputs!$B$10="",0,COUNTIFS(Data!$Q$10:$Q$3209,"&gt;="&amp;$A1828,Data!$Q$10:$Q$3209,"&lt;"&amp;$A1828+1)))</f>
        <v/>
      </c>
    </row>
    <row r="1829">
      <c r="A1829" s="55">
        <f>MIN(Inputs!$C$15,$A1828+IF(WEEKDAY($A1828,2)=5,3,1))</f>
        <v/>
      </c>
      <c r="B1829">
        <f>IF($A1829&gt;$A1828,1,0)</f>
        <v/>
      </c>
      <c r="C1829" s="56">
        <f>IF($B1829=0,"",IF(Inputs!$B$6="","",IF($AD1829=0,C1828,SUMIFS(Data!$B$10:$B$3209,Data!$A$10:$A$3209,"&gt;="&amp;$A1829,Data!$A$10:$A$3209,"&lt;"&amp;$A1829+1)/$AD1829)))</f>
        <v/>
      </c>
      <c r="D1829" s="56">
        <f>IF($B1829=0,"",IF(Inputs!$B$7="","",IF($AE1829=0,D1828,SUMIFS(Data!$F$10:$F$3209,Data!$E$10:$E$3209,"&gt;="&amp;$A1829,Data!$E$10:$E$3209,"&lt;"&amp;$A1829+1)/$AE1829)))</f>
        <v/>
      </c>
      <c r="E1829" s="56">
        <f>IF($B1829=0,"",IF(Inputs!$B$8="","",IF($AF1829=0,E1828,SUMIFS(Data!$J$10:$J$3209,Data!$I$10:$I$3209,"&gt;="&amp;$A1829,Data!$I$10:$I$3209,"&lt;"&amp;$A1829+1)/$AF1829)))</f>
        <v/>
      </c>
      <c r="F1829" s="56">
        <f>IF($B1829=0,"",IF(Inputs!$B$9="","",IF($AG1829=0,F1828,SUMIFS(Data!$N$10:$N$3209,Data!$M$10:$M$3209,"&gt;="&amp;$A1829,Data!$M$10:$M$3209,"&lt;"&amp;$A1829+1)/$AG1829)))</f>
        <v/>
      </c>
      <c r="G1829" s="56">
        <f>IF($B1829=0,"",IF(Inputs!$B$10="","",IF($AH1829=0,G1828,SUMIFS(Data!$R$10:$R$3209,Data!$Q$10:$Q$3209,"&gt;="&amp;$A1829,Data!$Q$10:$Q$3209,"&lt;"&amp;$A1829+1)/$AH1829)))</f>
        <v/>
      </c>
      <c r="I1829" s="54">
        <f>IF($B1829=0,NA(),IF($C1829="",NA(),IF(C$8="",NA(),IF(N(C$8)=0,NA(),IF(Inputs!$C$17="Rebased to 100",$C1829/C$8*100,$C1829)))))</f>
        <v/>
      </c>
      <c r="J1829" s="54">
        <f>IF($B1829=0,NA(),IF($D1829="",NA(),IF(D$8="",NA(),IF(N(D$8)=0,NA(),IF(Inputs!$C$17="Rebased to 100",$D1829/D$8*100,$D1829)))))</f>
        <v/>
      </c>
      <c r="K1829" s="54">
        <f>IF($B1829=0,NA(),IF($E1829="",NA(),IF(E$8="",NA(),IF(N(E$8)=0,NA(),IF(Inputs!$C$17="Rebased to 100",$E1829/E$8*100,$E1829)))))</f>
        <v/>
      </c>
      <c r="L1829" s="54">
        <f>IF($B1829=0,NA(),IF($F1829="",NA(),IF(F$8="",NA(),IF(N(F$8)=0,NA(),IF(Inputs!$C$17="Rebased to 100",$F1829/F$8*100,$F1829)))))</f>
        <v/>
      </c>
      <c r="M1829" s="54">
        <f>IF($B1829=0,NA(),IF($G1829="",NA(),IF(G$8="",NA(),IF(N(G$8)=0,NA(),IF(Inputs!$C$17="Rebased to 100",$G1829/G$8*100,$G1829)))))</f>
        <v/>
      </c>
      <c r="N1829" s="54">
        <f>IF($B1829=0,NA(),IF(Inputs!$C$18&lt;&gt;"Yes",NA(),IF(COUNT(I1829,J1829,K1829,L1829,M1829)=0,NA(),MIN(I1829,J1829,K1829,L1829,M1829))))</f>
        <v/>
      </c>
      <c r="O1829" s="54">
        <f>IF($B1829=0,NA(),IF(Inputs!$B$24&lt;&gt;"Yes",NA(),Inputs!$D$24*Inputs!$C$35))</f>
        <v/>
      </c>
      <c r="P1829" s="54">
        <f>IF($B1829=0,NA(),IF(Inputs!$B$25&lt;&gt;"Yes",NA(),Inputs!$D$25*Inputs!$C$35))</f>
        <v/>
      </c>
      <c r="Q1829" s="54">
        <f>IF($B1829=0,NA(),IF(Inputs!$B$26&lt;&gt;"Yes",NA(),Inputs!$D$26*Inputs!$C$35))</f>
        <v/>
      </c>
      <c r="R1829" s="54">
        <f>IF($B1829=0,NA(),IF(Inputs!$B$27&lt;&gt;"Yes",NA(),Inputs!$D$27*Inputs!$C$35))</f>
        <v/>
      </c>
      <c r="S1829" s="54">
        <f>IF($B1829=0,NA(),IF(Inputs!$B$28&lt;&gt;"Yes",NA(),Inputs!$D$28*Inputs!$C$35))</f>
        <v/>
      </c>
      <c r="T1829" s="54">
        <f>IF($B1829=0,NA(),IF(Inputs!$B$29&lt;&gt;"Yes",NA(),Inputs!$D$29*Inputs!$C$35))</f>
        <v/>
      </c>
      <c r="AD1829">
        <f>IF($B1829=0,0,IF(Inputs!$B$6="",0,COUNTIFS(Data!$A$10:$A$3209,"&gt;="&amp;$A1829,Data!$A$10:$A$3209,"&lt;"&amp;$A1829+1)))</f>
        <v/>
      </c>
      <c r="AE1829">
        <f>IF($B1829=0,0,IF(Inputs!$B$7="",0,COUNTIFS(Data!$E$10:$E$3209,"&gt;="&amp;$A1829,Data!$E$10:$E$3209,"&lt;"&amp;$A1829+1)))</f>
        <v/>
      </c>
      <c r="AF1829">
        <f>IF($B1829=0,0,IF(Inputs!$B$8="",0,COUNTIFS(Data!$I$10:$I$3209,"&gt;="&amp;$A1829,Data!$I$10:$I$3209,"&lt;"&amp;$A1829+1)))</f>
        <v/>
      </c>
      <c r="AG1829">
        <f>IF($B1829=0,0,IF(Inputs!$B$9="",0,COUNTIFS(Data!$M$10:$M$3209,"&gt;="&amp;$A1829,Data!$M$10:$M$3209,"&lt;"&amp;$A1829+1)))</f>
        <v/>
      </c>
      <c r="AH1829">
        <f>IF($B1829=0,0,IF(Inputs!$B$10="",0,COUNTIFS(Data!$Q$10:$Q$3209,"&gt;="&amp;$A1829,Data!$Q$10:$Q$3209,"&lt;"&amp;$A1829+1)))</f>
        <v/>
      </c>
    </row>
    <row r="1830">
      <c r="A1830" s="55">
        <f>MIN(Inputs!$C$15,$A1829+IF(WEEKDAY($A1829,2)=5,3,1))</f>
        <v/>
      </c>
      <c r="B1830">
        <f>IF($A1830&gt;$A1829,1,0)</f>
        <v/>
      </c>
      <c r="C1830" s="56">
        <f>IF($B1830=0,"",IF(Inputs!$B$6="","",IF($AD1830=0,C1829,SUMIFS(Data!$B$10:$B$3209,Data!$A$10:$A$3209,"&gt;="&amp;$A1830,Data!$A$10:$A$3209,"&lt;"&amp;$A1830+1)/$AD1830)))</f>
        <v/>
      </c>
      <c r="D1830" s="56">
        <f>IF($B1830=0,"",IF(Inputs!$B$7="","",IF($AE1830=0,D1829,SUMIFS(Data!$F$10:$F$3209,Data!$E$10:$E$3209,"&gt;="&amp;$A1830,Data!$E$10:$E$3209,"&lt;"&amp;$A1830+1)/$AE1830)))</f>
        <v/>
      </c>
      <c r="E1830" s="56">
        <f>IF($B1830=0,"",IF(Inputs!$B$8="","",IF($AF1830=0,E1829,SUMIFS(Data!$J$10:$J$3209,Data!$I$10:$I$3209,"&gt;="&amp;$A1830,Data!$I$10:$I$3209,"&lt;"&amp;$A1830+1)/$AF1830)))</f>
        <v/>
      </c>
      <c r="F1830" s="56">
        <f>IF($B1830=0,"",IF(Inputs!$B$9="","",IF($AG1830=0,F1829,SUMIFS(Data!$N$10:$N$3209,Data!$M$10:$M$3209,"&gt;="&amp;$A1830,Data!$M$10:$M$3209,"&lt;"&amp;$A1830+1)/$AG1830)))</f>
        <v/>
      </c>
      <c r="G1830" s="56">
        <f>IF($B1830=0,"",IF(Inputs!$B$10="","",IF($AH1830=0,G1829,SUMIFS(Data!$R$10:$R$3209,Data!$Q$10:$Q$3209,"&gt;="&amp;$A1830,Data!$Q$10:$Q$3209,"&lt;"&amp;$A1830+1)/$AH1830)))</f>
        <v/>
      </c>
      <c r="I1830" s="54">
        <f>IF($B1830=0,NA(),IF($C1830="",NA(),IF(C$8="",NA(),IF(N(C$8)=0,NA(),IF(Inputs!$C$17="Rebased to 100",$C1830/C$8*100,$C1830)))))</f>
        <v/>
      </c>
      <c r="J1830" s="54">
        <f>IF($B1830=0,NA(),IF($D1830="",NA(),IF(D$8="",NA(),IF(N(D$8)=0,NA(),IF(Inputs!$C$17="Rebased to 100",$D1830/D$8*100,$D1830)))))</f>
        <v/>
      </c>
      <c r="K1830" s="54">
        <f>IF($B1830=0,NA(),IF($E1830="",NA(),IF(E$8="",NA(),IF(N(E$8)=0,NA(),IF(Inputs!$C$17="Rebased to 100",$E1830/E$8*100,$E1830)))))</f>
        <v/>
      </c>
      <c r="L1830" s="54">
        <f>IF($B1830=0,NA(),IF($F1830="",NA(),IF(F$8="",NA(),IF(N(F$8)=0,NA(),IF(Inputs!$C$17="Rebased to 100",$F1830/F$8*100,$F1830)))))</f>
        <v/>
      </c>
      <c r="M1830" s="54">
        <f>IF($B1830=0,NA(),IF($G1830="",NA(),IF(G$8="",NA(),IF(N(G$8)=0,NA(),IF(Inputs!$C$17="Rebased to 100",$G1830/G$8*100,$G1830)))))</f>
        <v/>
      </c>
      <c r="N1830" s="54">
        <f>IF($B1830=0,NA(),IF(Inputs!$C$18&lt;&gt;"Yes",NA(),IF(COUNT(I1830,J1830,K1830,L1830,M1830)=0,NA(),MIN(I1830,J1830,K1830,L1830,M1830))))</f>
        <v/>
      </c>
      <c r="O1830" s="54">
        <f>IF($B1830=0,NA(),IF(Inputs!$B$24&lt;&gt;"Yes",NA(),Inputs!$D$24*Inputs!$C$35))</f>
        <v/>
      </c>
      <c r="P1830" s="54">
        <f>IF($B1830=0,NA(),IF(Inputs!$B$25&lt;&gt;"Yes",NA(),Inputs!$D$25*Inputs!$C$35))</f>
        <v/>
      </c>
      <c r="Q1830" s="54">
        <f>IF($B1830=0,NA(),IF(Inputs!$B$26&lt;&gt;"Yes",NA(),Inputs!$D$26*Inputs!$C$35))</f>
        <v/>
      </c>
      <c r="R1830" s="54">
        <f>IF($B1830=0,NA(),IF(Inputs!$B$27&lt;&gt;"Yes",NA(),Inputs!$D$27*Inputs!$C$35))</f>
        <v/>
      </c>
      <c r="S1830" s="54">
        <f>IF($B1830=0,NA(),IF(Inputs!$B$28&lt;&gt;"Yes",NA(),Inputs!$D$28*Inputs!$C$35))</f>
        <v/>
      </c>
      <c r="T1830" s="54">
        <f>IF($B1830=0,NA(),IF(Inputs!$B$29&lt;&gt;"Yes",NA(),Inputs!$D$29*Inputs!$C$35))</f>
        <v/>
      </c>
      <c r="AD1830">
        <f>IF($B1830=0,0,IF(Inputs!$B$6="",0,COUNTIFS(Data!$A$10:$A$3209,"&gt;="&amp;$A1830,Data!$A$10:$A$3209,"&lt;"&amp;$A1830+1)))</f>
        <v/>
      </c>
      <c r="AE1830">
        <f>IF($B1830=0,0,IF(Inputs!$B$7="",0,COUNTIFS(Data!$E$10:$E$3209,"&gt;="&amp;$A1830,Data!$E$10:$E$3209,"&lt;"&amp;$A1830+1)))</f>
        <v/>
      </c>
      <c r="AF1830">
        <f>IF($B1830=0,0,IF(Inputs!$B$8="",0,COUNTIFS(Data!$I$10:$I$3209,"&gt;="&amp;$A1830,Data!$I$10:$I$3209,"&lt;"&amp;$A1830+1)))</f>
        <v/>
      </c>
      <c r="AG1830">
        <f>IF($B1830=0,0,IF(Inputs!$B$9="",0,COUNTIFS(Data!$M$10:$M$3209,"&gt;="&amp;$A1830,Data!$M$10:$M$3209,"&lt;"&amp;$A1830+1)))</f>
        <v/>
      </c>
      <c r="AH1830">
        <f>IF($B1830=0,0,IF(Inputs!$B$10="",0,COUNTIFS(Data!$Q$10:$Q$3209,"&gt;="&amp;$A1830,Data!$Q$10:$Q$3209,"&lt;"&amp;$A1830+1)))</f>
        <v/>
      </c>
    </row>
    <row r="1831">
      <c r="A1831" s="55">
        <f>MIN(Inputs!$C$15,$A1830+IF(WEEKDAY($A1830,2)=5,3,1))</f>
        <v/>
      </c>
      <c r="B1831">
        <f>IF($A1831&gt;$A1830,1,0)</f>
        <v/>
      </c>
      <c r="C1831" s="56">
        <f>IF($B1831=0,"",IF(Inputs!$B$6="","",IF($AD1831=0,C1830,SUMIFS(Data!$B$10:$B$3209,Data!$A$10:$A$3209,"&gt;="&amp;$A1831,Data!$A$10:$A$3209,"&lt;"&amp;$A1831+1)/$AD1831)))</f>
        <v/>
      </c>
      <c r="D1831" s="56">
        <f>IF($B1831=0,"",IF(Inputs!$B$7="","",IF($AE1831=0,D1830,SUMIFS(Data!$F$10:$F$3209,Data!$E$10:$E$3209,"&gt;="&amp;$A1831,Data!$E$10:$E$3209,"&lt;"&amp;$A1831+1)/$AE1831)))</f>
        <v/>
      </c>
      <c r="E1831" s="56">
        <f>IF($B1831=0,"",IF(Inputs!$B$8="","",IF($AF1831=0,E1830,SUMIFS(Data!$J$10:$J$3209,Data!$I$10:$I$3209,"&gt;="&amp;$A1831,Data!$I$10:$I$3209,"&lt;"&amp;$A1831+1)/$AF1831)))</f>
        <v/>
      </c>
      <c r="F1831" s="56">
        <f>IF($B1831=0,"",IF(Inputs!$B$9="","",IF($AG1831=0,F1830,SUMIFS(Data!$N$10:$N$3209,Data!$M$10:$M$3209,"&gt;="&amp;$A1831,Data!$M$10:$M$3209,"&lt;"&amp;$A1831+1)/$AG1831)))</f>
        <v/>
      </c>
      <c r="G1831" s="56">
        <f>IF($B1831=0,"",IF(Inputs!$B$10="","",IF($AH1831=0,G1830,SUMIFS(Data!$R$10:$R$3209,Data!$Q$10:$Q$3209,"&gt;="&amp;$A1831,Data!$Q$10:$Q$3209,"&lt;"&amp;$A1831+1)/$AH1831)))</f>
        <v/>
      </c>
      <c r="I1831" s="54">
        <f>IF($B1831=0,NA(),IF($C1831="",NA(),IF(C$8="",NA(),IF(N(C$8)=0,NA(),IF(Inputs!$C$17="Rebased to 100",$C1831/C$8*100,$C1831)))))</f>
        <v/>
      </c>
      <c r="J1831" s="54">
        <f>IF($B1831=0,NA(),IF($D1831="",NA(),IF(D$8="",NA(),IF(N(D$8)=0,NA(),IF(Inputs!$C$17="Rebased to 100",$D1831/D$8*100,$D1831)))))</f>
        <v/>
      </c>
      <c r="K1831" s="54">
        <f>IF($B1831=0,NA(),IF($E1831="",NA(),IF(E$8="",NA(),IF(N(E$8)=0,NA(),IF(Inputs!$C$17="Rebased to 100",$E1831/E$8*100,$E1831)))))</f>
        <v/>
      </c>
      <c r="L1831" s="54">
        <f>IF($B1831=0,NA(),IF($F1831="",NA(),IF(F$8="",NA(),IF(N(F$8)=0,NA(),IF(Inputs!$C$17="Rebased to 100",$F1831/F$8*100,$F1831)))))</f>
        <v/>
      </c>
      <c r="M1831" s="54">
        <f>IF($B1831=0,NA(),IF($G1831="",NA(),IF(G$8="",NA(),IF(N(G$8)=0,NA(),IF(Inputs!$C$17="Rebased to 100",$G1831/G$8*100,$G1831)))))</f>
        <v/>
      </c>
      <c r="N1831" s="54">
        <f>IF($B1831=0,NA(),IF(Inputs!$C$18&lt;&gt;"Yes",NA(),IF(COUNT(I1831,J1831,K1831,L1831,M1831)=0,NA(),MIN(I1831,J1831,K1831,L1831,M1831))))</f>
        <v/>
      </c>
      <c r="O1831" s="54">
        <f>IF($B1831=0,NA(),IF(Inputs!$B$24&lt;&gt;"Yes",NA(),Inputs!$D$24*Inputs!$C$35))</f>
        <v/>
      </c>
      <c r="P1831" s="54">
        <f>IF($B1831=0,NA(),IF(Inputs!$B$25&lt;&gt;"Yes",NA(),Inputs!$D$25*Inputs!$C$35))</f>
        <v/>
      </c>
      <c r="Q1831" s="54">
        <f>IF($B1831=0,NA(),IF(Inputs!$B$26&lt;&gt;"Yes",NA(),Inputs!$D$26*Inputs!$C$35))</f>
        <v/>
      </c>
      <c r="R1831" s="54">
        <f>IF($B1831=0,NA(),IF(Inputs!$B$27&lt;&gt;"Yes",NA(),Inputs!$D$27*Inputs!$C$35))</f>
        <v/>
      </c>
      <c r="S1831" s="54">
        <f>IF($B1831=0,NA(),IF(Inputs!$B$28&lt;&gt;"Yes",NA(),Inputs!$D$28*Inputs!$C$35))</f>
        <v/>
      </c>
      <c r="T1831" s="54">
        <f>IF($B1831=0,NA(),IF(Inputs!$B$29&lt;&gt;"Yes",NA(),Inputs!$D$29*Inputs!$C$35))</f>
        <v/>
      </c>
      <c r="AD1831">
        <f>IF($B1831=0,0,IF(Inputs!$B$6="",0,COUNTIFS(Data!$A$10:$A$3209,"&gt;="&amp;$A1831,Data!$A$10:$A$3209,"&lt;"&amp;$A1831+1)))</f>
        <v/>
      </c>
      <c r="AE1831">
        <f>IF($B1831=0,0,IF(Inputs!$B$7="",0,COUNTIFS(Data!$E$10:$E$3209,"&gt;="&amp;$A1831,Data!$E$10:$E$3209,"&lt;"&amp;$A1831+1)))</f>
        <v/>
      </c>
      <c r="AF1831">
        <f>IF($B1831=0,0,IF(Inputs!$B$8="",0,COUNTIFS(Data!$I$10:$I$3209,"&gt;="&amp;$A1831,Data!$I$10:$I$3209,"&lt;"&amp;$A1831+1)))</f>
        <v/>
      </c>
      <c r="AG1831">
        <f>IF($B1831=0,0,IF(Inputs!$B$9="",0,COUNTIFS(Data!$M$10:$M$3209,"&gt;="&amp;$A1831,Data!$M$10:$M$3209,"&lt;"&amp;$A1831+1)))</f>
        <v/>
      </c>
      <c r="AH1831">
        <f>IF($B1831=0,0,IF(Inputs!$B$10="",0,COUNTIFS(Data!$Q$10:$Q$3209,"&gt;="&amp;$A1831,Data!$Q$10:$Q$3209,"&lt;"&amp;$A1831+1)))</f>
        <v/>
      </c>
    </row>
    <row r="1832">
      <c r="A1832" s="55">
        <f>MIN(Inputs!$C$15,$A1831+IF(WEEKDAY($A1831,2)=5,3,1))</f>
        <v/>
      </c>
      <c r="B1832">
        <f>IF($A1832&gt;$A1831,1,0)</f>
        <v/>
      </c>
      <c r="C1832" s="56">
        <f>IF($B1832=0,"",IF(Inputs!$B$6="","",IF($AD1832=0,C1831,SUMIFS(Data!$B$10:$B$3209,Data!$A$10:$A$3209,"&gt;="&amp;$A1832,Data!$A$10:$A$3209,"&lt;"&amp;$A1832+1)/$AD1832)))</f>
        <v/>
      </c>
      <c r="D1832" s="56">
        <f>IF($B1832=0,"",IF(Inputs!$B$7="","",IF($AE1832=0,D1831,SUMIFS(Data!$F$10:$F$3209,Data!$E$10:$E$3209,"&gt;="&amp;$A1832,Data!$E$10:$E$3209,"&lt;"&amp;$A1832+1)/$AE1832)))</f>
        <v/>
      </c>
      <c r="E1832" s="56">
        <f>IF($B1832=0,"",IF(Inputs!$B$8="","",IF($AF1832=0,E1831,SUMIFS(Data!$J$10:$J$3209,Data!$I$10:$I$3209,"&gt;="&amp;$A1832,Data!$I$10:$I$3209,"&lt;"&amp;$A1832+1)/$AF1832)))</f>
        <v/>
      </c>
      <c r="F1832" s="56">
        <f>IF($B1832=0,"",IF(Inputs!$B$9="","",IF($AG1832=0,F1831,SUMIFS(Data!$N$10:$N$3209,Data!$M$10:$M$3209,"&gt;="&amp;$A1832,Data!$M$10:$M$3209,"&lt;"&amp;$A1832+1)/$AG1832)))</f>
        <v/>
      </c>
      <c r="G1832" s="56">
        <f>IF($B1832=0,"",IF(Inputs!$B$10="","",IF($AH1832=0,G1831,SUMIFS(Data!$R$10:$R$3209,Data!$Q$10:$Q$3209,"&gt;="&amp;$A1832,Data!$Q$10:$Q$3209,"&lt;"&amp;$A1832+1)/$AH1832)))</f>
        <v/>
      </c>
      <c r="I1832" s="54">
        <f>IF($B1832=0,NA(),IF($C1832="",NA(),IF(C$8="",NA(),IF(N(C$8)=0,NA(),IF(Inputs!$C$17="Rebased to 100",$C1832/C$8*100,$C1832)))))</f>
        <v/>
      </c>
      <c r="J1832" s="54">
        <f>IF($B1832=0,NA(),IF($D1832="",NA(),IF(D$8="",NA(),IF(N(D$8)=0,NA(),IF(Inputs!$C$17="Rebased to 100",$D1832/D$8*100,$D1832)))))</f>
        <v/>
      </c>
      <c r="K1832" s="54">
        <f>IF($B1832=0,NA(),IF($E1832="",NA(),IF(E$8="",NA(),IF(N(E$8)=0,NA(),IF(Inputs!$C$17="Rebased to 100",$E1832/E$8*100,$E1832)))))</f>
        <v/>
      </c>
      <c r="L1832" s="54">
        <f>IF($B1832=0,NA(),IF($F1832="",NA(),IF(F$8="",NA(),IF(N(F$8)=0,NA(),IF(Inputs!$C$17="Rebased to 100",$F1832/F$8*100,$F1832)))))</f>
        <v/>
      </c>
      <c r="M1832" s="54">
        <f>IF($B1832=0,NA(),IF($G1832="",NA(),IF(G$8="",NA(),IF(N(G$8)=0,NA(),IF(Inputs!$C$17="Rebased to 100",$G1832/G$8*100,$G1832)))))</f>
        <v/>
      </c>
      <c r="N1832" s="54">
        <f>IF($B1832=0,NA(),IF(Inputs!$C$18&lt;&gt;"Yes",NA(),IF(COUNT(I1832,J1832,K1832,L1832,M1832)=0,NA(),MIN(I1832,J1832,K1832,L1832,M1832))))</f>
        <v/>
      </c>
      <c r="O1832" s="54">
        <f>IF($B1832=0,NA(),IF(Inputs!$B$24&lt;&gt;"Yes",NA(),Inputs!$D$24*Inputs!$C$35))</f>
        <v/>
      </c>
      <c r="P1832" s="54">
        <f>IF($B1832=0,NA(),IF(Inputs!$B$25&lt;&gt;"Yes",NA(),Inputs!$D$25*Inputs!$C$35))</f>
        <v/>
      </c>
      <c r="Q1832" s="54">
        <f>IF($B1832=0,NA(),IF(Inputs!$B$26&lt;&gt;"Yes",NA(),Inputs!$D$26*Inputs!$C$35))</f>
        <v/>
      </c>
      <c r="R1832" s="54">
        <f>IF($B1832=0,NA(),IF(Inputs!$B$27&lt;&gt;"Yes",NA(),Inputs!$D$27*Inputs!$C$35))</f>
        <v/>
      </c>
      <c r="S1832" s="54">
        <f>IF($B1832=0,NA(),IF(Inputs!$B$28&lt;&gt;"Yes",NA(),Inputs!$D$28*Inputs!$C$35))</f>
        <v/>
      </c>
      <c r="T1832" s="54">
        <f>IF($B1832=0,NA(),IF(Inputs!$B$29&lt;&gt;"Yes",NA(),Inputs!$D$29*Inputs!$C$35))</f>
        <v/>
      </c>
      <c r="AD1832">
        <f>IF($B1832=0,0,IF(Inputs!$B$6="",0,COUNTIFS(Data!$A$10:$A$3209,"&gt;="&amp;$A1832,Data!$A$10:$A$3209,"&lt;"&amp;$A1832+1)))</f>
        <v/>
      </c>
      <c r="AE1832">
        <f>IF($B1832=0,0,IF(Inputs!$B$7="",0,COUNTIFS(Data!$E$10:$E$3209,"&gt;="&amp;$A1832,Data!$E$10:$E$3209,"&lt;"&amp;$A1832+1)))</f>
        <v/>
      </c>
      <c r="AF1832">
        <f>IF($B1832=0,0,IF(Inputs!$B$8="",0,COUNTIFS(Data!$I$10:$I$3209,"&gt;="&amp;$A1832,Data!$I$10:$I$3209,"&lt;"&amp;$A1832+1)))</f>
        <v/>
      </c>
      <c r="AG1832">
        <f>IF($B1832=0,0,IF(Inputs!$B$9="",0,COUNTIFS(Data!$M$10:$M$3209,"&gt;="&amp;$A1832,Data!$M$10:$M$3209,"&lt;"&amp;$A1832+1)))</f>
        <v/>
      </c>
      <c r="AH1832">
        <f>IF($B1832=0,0,IF(Inputs!$B$10="",0,COUNTIFS(Data!$Q$10:$Q$3209,"&gt;="&amp;$A1832,Data!$Q$10:$Q$3209,"&lt;"&amp;$A1832+1)))</f>
        <v/>
      </c>
    </row>
    <row r="1833">
      <c r="A1833" s="55">
        <f>MIN(Inputs!$C$15,$A1832+IF(WEEKDAY($A1832,2)=5,3,1))</f>
        <v/>
      </c>
      <c r="B1833">
        <f>IF($A1833&gt;$A1832,1,0)</f>
        <v/>
      </c>
      <c r="C1833" s="56">
        <f>IF($B1833=0,"",IF(Inputs!$B$6="","",IF($AD1833=0,C1832,SUMIFS(Data!$B$10:$B$3209,Data!$A$10:$A$3209,"&gt;="&amp;$A1833,Data!$A$10:$A$3209,"&lt;"&amp;$A1833+1)/$AD1833)))</f>
        <v/>
      </c>
      <c r="D1833" s="56">
        <f>IF($B1833=0,"",IF(Inputs!$B$7="","",IF($AE1833=0,D1832,SUMIFS(Data!$F$10:$F$3209,Data!$E$10:$E$3209,"&gt;="&amp;$A1833,Data!$E$10:$E$3209,"&lt;"&amp;$A1833+1)/$AE1833)))</f>
        <v/>
      </c>
      <c r="E1833" s="56">
        <f>IF($B1833=0,"",IF(Inputs!$B$8="","",IF($AF1833=0,E1832,SUMIFS(Data!$J$10:$J$3209,Data!$I$10:$I$3209,"&gt;="&amp;$A1833,Data!$I$10:$I$3209,"&lt;"&amp;$A1833+1)/$AF1833)))</f>
        <v/>
      </c>
      <c r="F1833" s="56">
        <f>IF($B1833=0,"",IF(Inputs!$B$9="","",IF($AG1833=0,F1832,SUMIFS(Data!$N$10:$N$3209,Data!$M$10:$M$3209,"&gt;="&amp;$A1833,Data!$M$10:$M$3209,"&lt;"&amp;$A1833+1)/$AG1833)))</f>
        <v/>
      </c>
      <c r="G1833" s="56">
        <f>IF($B1833=0,"",IF(Inputs!$B$10="","",IF($AH1833=0,G1832,SUMIFS(Data!$R$10:$R$3209,Data!$Q$10:$Q$3209,"&gt;="&amp;$A1833,Data!$Q$10:$Q$3209,"&lt;"&amp;$A1833+1)/$AH1833)))</f>
        <v/>
      </c>
      <c r="I1833" s="54">
        <f>IF($B1833=0,NA(),IF($C1833="",NA(),IF(C$8="",NA(),IF(N(C$8)=0,NA(),IF(Inputs!$C$17="Rebased to 100",$C1833/C$8*100,$C1833)))))</f>
        <v/>
      </c>
      <c r="J1833" s="54">
        <f>IF($B1833=0,NA(),IF($D1833="",NA(),IF(D$8="",NA(),IF(N(D$8)=0,NA(),IF(Inputs!$C$17="Rebased to 100",$D1833/D$8*100,$D1833)))))</f>
        <v/>
      </c>
      <c r="K1833" s="54">
        <f>IF($B1833=0,NA(),IF($E1833="",NA(),IF(E$8="",NA(),IF(N(E$8)=0,NA(),IF(Inputs!$C$17="Rebased to 100",$E1833/E$8*100,$E1833)))))</f>
        <v/>
      </c>
      <c r="L1833" s="54">
        <f>IF($B1833=0,NA(),IF($F1833="",NA(),IF(F$8="",NA(),IF(N(F$8)=0,NA(),IF(Inputs!$C$17="Rebased to 100",$F1833/F$8*100,$F1833)))))</f>
        <v/>
      </c>
      <c r="M1833" s="54">
        <f>IF($B1833=0,NA(),IF($G1833="",NA(),IF(G$8="",NA(),IF(N(G$8)=0,NA(),IF(Inputs!$C$17="Rebased to 100",$G1833/G$8*100,$G1833)))))</f>
        <v/>
      </c>
      <c r="N1833" s="54">
        <f>IF($B1833=0,NA(),IF(Inputs!$C$18&lt;&gt;"Yes",NA(),IF(COUNT(I1833,J1833,K1833,L1833,M1833)=0,NA(),MIN(I1833,J1833,K1833,L1833,M1833))))</f>
        <v/>
      </c>
      <c r="O1833" s="54">
        <f>IF($B1833=0,NA(),IF(Inputs!$B$24&lt;&gt;"Yes",NA(),Inputs!$D$24*Inputs!$C$35))</f>
        <v/>
      </c>
      <c r="P1833" s="54">
        <f>IF($B1833=0,NA(),IF(Inputs!$B$25&lt;&gt;"Yes",NA(),Inputs!$D$25*Inputs!$C$35))</f>
        <v/>
      </c>
      <c r="Q1833" s="54">
        <f>IF($B1833=0,NA(),IF(Inputs!$B$26&lt;&gt;"Yes",NA(),Inputs!$D$26*Inputs!$C$35))</f>
        <v/>
      </c>
      <c r="R1833" s="54">
        <f>IF($B1833=0,NA(),IF(Inputs!$B$27&lt;&gt;"Yes",NA(),Inputs!$D$27*Inputs!$C$35))</f>
        <v/>
      </c>
      <c r="S1833" s="54">
        <f>IF($B1833=0,NA(),IF(Inputs!$B$28&lt;&gt;"Yes",NA(),Inputs!$D$28*Inputs!$C$35))</f>
        <v/>
      </c>
      <c r="T1833" s="54">
        <f>IF($B1833=0,NA(),IF(Inputs!$B$29&lt;&gt;"Yes",NA(),Inputs!$D$29*Inputs!$C$35))</f>
        <v/>
      </c>
      <c r="AD1833">
        <f>IF($B1833=0,0,IF(Inputs!$B$6="",0,COUNTIFS(Data!$A$10:$A$3209,"&gt;="&amp;$A1833,Data!$A$10:$A$3209,"&lt;"&amp;$A1833+1)))</f>
        <v/>
      </c>
      <c r="AE1833">
        <f>IF($B1833=0,0,IF(Inputs!$B$7="",0,COUNTIFS(Data!$E$10:$E$3209,"&gt;="&amp;$A1833,Data!$E$10:$E$3209,"&lt;"&amp;$A1833+1)))</f>
        <v/>
      </c>
      <c r="AF1833">
        <f>IF($B1833=0,0,IF(Inputs!$B$8="",0,COUNTIFS(Data!$I$10:$I$3209,"&gt;="&amp;$A1833,Data!$I$10:$I$3209,"&lt;"&amp;$A1833+1)))</f>
        <v/>
      </c>
      <c r="AG1833">
        <f>IF($B1833=0,0,IF(Inputs!$B$9="",0,COUNTIFS(Data!$M$10:$M$3209,"&gt;="&amp;$A1833,Data!$M$10:$M$3209,"&lt;"&amp;$A1833+1)))</f>
        <v/>
      </c>
      <c r="AH1833">
        <f>IF($B1833=0,0,IF(Inputs!$B$10="",0,COUNTIFS(Data!$Q$10:$Q$3209,"&gt;="&amp;$A1833,Data!$Q$10:$Q$3209,"&lt;"&amp;$A1833+1)))</f>
        <v/>
      </c>
    </row>
    <row r="1834">
      <c r="A1834" s="55">
        <f>MIN(Inputs!$C$15,$A1833+IF(WEEKDAY($A1833,2)=5,3,1))</f>
        <v/>
      </c>
      <c r="B1834">
        <f>IF($A1834&gt;$A1833,1,0)</f>
        <v/>
      </c>
      <c r="C1834" s="56">
        <f>IF($B1834=0,"",IF(Inputs!$B$6="","",IF($AD1834=0,C1833,SUMIFS(Data!$B$10:$B$3209,Data!$A$10:$A$3209,"&gt;="&amp;$A1834,Data!$A$10:$A$3209,"&lt;"&amp;$A1834+1)/$AD1834)))</f>
        <v/>
      </c>
      <c r="D1834" s="56">
        <f>IF($B1834=0,"",IF(Inputs!$B$7="","",IF($AE1834=0,D1833,SUMIFS(Data!$F$10:$F$3209,Data!$E$10:$E$3209,"&gt;="&amp;$A1834,Data!$E$10:$E$3209,"&lt;"&amp;$A1834+1)/$AE1834)))</f>
        <v/>
      </c>
      <c r="E1834" s="56">
        <f>IF($B1834=0,"",IF(Inputs!$B$8="","",IF($AF1834=0,E1833,SUMIFS(Data!$J$10:$J$3209,Data!$I$10:$I$3209,"&gt;="&amp;$A1834,Data!$I$10:$I$3209,"&lt;"&amp;$A1834+1)/$AF1834)))</f>
        <v/>
      </c>
      <c r="F1834" s="56">
        <f>IF($B1834=0,"",IF(Inputs!$B$9="","",IF($AG1834=0,F1833,SUMIFS(Data!$N$10:$N$3209,Data!$M$10:$M$3209,"&gt;="&amp;$A1834,Data!$M$10:$M$3209,"&lt;"&amp;$A1834+1)/$AG1834)))</f>
        <v/>
      </c>
      <c r="G1834" s="56">
        <f>IF($B1834=0,"",IF(Inputs!$B$10="","",IF($AH1834=0,G1833,SUMIFS(Data!$R$10:$R$3209,Data!$Q$10:$Q$3209,"&gt;="&amp;$A1834,Data!$Q$10:$Q$3209,"&lt;"&amp;$A1834+1)/$AH1834)))</f>
        <v/>
      </c>
      <c r="I1834" s="54">
        <f>IF($B1834=0,NA(),IF($C1834="",NA(),IF(C$8="",NA(),IF(N(C$8)=0,NA(),IF(Inputs!$C$17="Rebased to 100",$C1834/C$8*100,$C1834)))))</f>
        <v/>
      </c>
      <c r="J1834" s="54">
        <f>IF($B1834=0,NA(),IF($D1834="",NA(),IF(D$8="",NA(),IF(N(D$8)=0,NA(),IF(Inputs!$C$17="Rebased to 100",$D1834/D$8*100,$D1834)))))</f>
        <v/>
      </c>
      <c r="K1834" s="54">
        <f>IF($B1834=0,NA(),IF($E1834="",NA(),IF(E$8="",NA(),IF(N(E$8)=0,NA(),IF(Inputs!$C$17="Rebased to 100",$E1834/E$8*100,$E1834)))))</f>
        <v/>
      </c>
      <c r="L1834" s="54">
        <f>IF($B1834=0,NA(),IF($F1834="",NA(),IF(F$8="",NA(),IF(N(F$8)=0,NA(),IF(Inputs!$C$17="Rebased to 100",$F1834/F$8*100,$F1834)))))</f>
        <v/>
      </c>
      <c r="M1834" s="54">
        <f>IF($B1834=0,NA(),IF($G1834="",NA(),IF(G$8="",NA(),IF(N(G$8)=0,NA(),IF(Inputs!$C$17="Rebased to 100",$G1834/G$8*100,$G1834)))))</f>
        <v/>
      </c>
      <c r="N1834" s="54">
        <f>IF($B1834=0,NA(),IF(Inputs!$C$18&lt;&gt;"Yes",NA(),IF(COUNT(I1834,J1834,K1834,L1834,M1834)=0,NA(),MIN(I1834,J1834,K1834,L1834,M1834))))</f>
        <v/>
      </c>
      <c r="O1834" s="54">
        <f>IF($B1834=0,NA(),IF(Inputs!$B$24&lt;&gt;"Yes",NA(),Inputs!$D$24*Inputs!$C$35))</f>
        <v/>
      </c>
      <c r="P1834" s="54">
        <f>IF($B1834=0,NA(),IF(Inputs!$B$25&lt;&gt;"Yes",NA(),Inputs!$D$25*Inputs!$C$35))</f>
        <v/>
      </c>
      <c r="Q1834" s="54">
        <f>IF($B1834=0,NA(),IF(Inputs!$B$26&lt;&gt;"Yes",NA(),Inputs!$D$26*Inputs!$C$35))</f>
        <v/>
      </c>
      <c r="R1834" s="54">
        <f>IF($B1834=0,NA(),IF(Inputs!$B$27&lt;&gt;"Yes",NA(),Inputs!$D$27*Inputs!$C$35))</f>
        <v/>
      </c>
      <c r="S1834" s="54">
        <f>IF($B1834=0,NA(),IF(Inputs!$B$28&lt;&gt;"Yes",NA(),Inputs!$D$28*Inputs!$C$35))</f>
        <v/>
      </c>
      <c r="T1834" s="54">
        <f>IF($B1834=0,NA(),IF(Inputs!$B$29&lt;&gt;"Yes",NA(),Inputs!$D$29*Inputs!$C$35))</f>
        <v/>
      </c>
      <c r="AD1834">
        <f>IF($B1834=0,0,IF(Inputs!$B$6="",0,COUNTIFS(Data!$A$10:$A$3209,"&gt;="&amp;$A1834,Data!$A$10:$A$3209,"&lt;"&amp;$A1834+1)))</f>
        <v/>
      </c>
      <c r="AE1834">
        <f>IF($B1834=0,0,IF(Inputs!$B$7="",0,COUNTIFS(Data!$E$10:$E$3209,"&gt;="&amp;$A1834,Data!$E$10:$E$3209,"&lt;"&amp;$A1834+1)))</f>
        <v/>
      </c>
      <c r="AF1834">
        <f>IF($B1834=0,0,IF(Inputs!$B$8="",0,COUNTIFS(Data!$I$10:$I$3209,"&gt;="&amp;$A1834,Data!$I$10:$I$3209,"&lt;"&amp;$A1834+1)))</f>
        <v/>
      </c>
      <c r="AG1834">
        <f>IF($B1834=0,0,IF(Inputs!$B$9="",0,COUNTIFS(Data!$M$10:$M$3209,"&gt;="&amp;$A1834,Data!$M$10:$M$3209,"&lt;"&amp;$A1834+1)))</f>
        <v/>
      </c>
      <c r="AH1834">
        <f>IF($B1834=0,0,IF(Inputs!$B$10="",0,COUNTIFS(Data!$Q$10:$Q$3209,"&gt;="&amp;$A1834,Data!$Q$10:$Q$3209,"&lt;"&amp;$A1834+1)))</f>
        <v/>
      </c>
    </row>
    <row r="1835">
      <c r="A1835" s="55">
        <f>MIN(Inputs!$C$15,$A1834+IF(WEEKDAY($A1834,2)=5,3,1))</f>
        <v/>
      </c>
      <c r="B1835">
        <f>IF($A1835&gt;$A1834,1,0)</f>
        <v/>
      </c>
      <c r="C1835" s="56">
        <f>IF($B1835=0,"",IF(Inputs!$B$6="","",IF($AD1835=0,C1834,SUMIFS(Data!$B$10:$B$3209,Data!$A$10:$A$3209,"&gt;="&amp;$A1835,Data!$A$10:$A$3209,"&lt;"&amp;$A1835+1)/$AD1835)))</f>
        <v/>
      </c>
      <c r="D1835" s="56">
        <f>IF($B1835=0,"",IF(Inputs!$B$7="","",IF($AE1835=0,D1834,SUMIFS(Data!$F$10:$F$3209,Data!$E$10:$E$3209,"&gt;="&amp;$A1835,Data!$E$10:$E$3209,"&lt;"&amp;$A1835+1)/$AE1835)))</f>
        <v/>
      </c>
      <c r="E1835" s="56">
        <f>IF($B1835=0,"",IF(Inputs!$B$8="","",IF($AF1835=0,E1834,SUMIFS(Data!$J$10:$J$3209,Data!$I$10:$I$3209,"&gt;="&amp;$A1835,Data!$I$10:$I$3209,"&lt;"&amp;$A1835+1)/$AF1835)))</f>
        <v/>
      </c>
      <c r="F1835" s="56">
        <f>IF($B1835=0,"",IF(Inputs!$B$9="","",IF($AG1835=0,F1834,SUMIFS(Data!$N$10:$N$3209,Data!$M$10:$M$3209,"&gt;="&amp;$A1835,Data!$M$10:$M$3209,"&lt;"&amp;$A1835+1)/$AG1835)))</f>
        <v/>
      </c>
      <c r="G1835" s="56">
        <f>IF($B1835=0,"",IF(Inputs!$B$10="","",IF($AH1835=0,G1834,SUMIFS(Data!$R$10:$R$3209,Data!$Q$10:$Q$3209,"&gt;="&amp;$A1835,Data!$Q$10:$Q$3209,"&lt;"&amp;$A1835+1)/$AH1835)))</f>
        <v/>
      </c>
      <c r="I1835" s="54">
        <f>IF($B1835=0,NA(),IF($C1835="",NA(),IF(C$8="",NA(),IF(N(C$8)=0,NA(),IF(Inputs!$C$17="Rebased to 100",$C1835/C$8*100,$C1835)))))</f>
        <v/>
      </c>
      <c r="J1835" s="54">
        <f>IF($B1835=0,NA(),IF($D1835="",NA(),IF(D$8="",NA(),IF(N(D$8)=0,NA(),IF(Inputs!$C$17="Rebased to 100",$D1835/D$8*100,$D1835)))))</f>
        <v/>
      </c>
      <c r="K1835" s="54">
        <f>IF($B1835=0,NA(),IF($E1835="",NA(),IF(E$8="",NA(),IF(N(E$8)=0,NA(),IF(Inputs!$C$17="Rebased to 100",$E1835/E$8*100,$E1835)))))</f>
        <v/>
      </c>
      <c r="L1835" s="54">
        <f>IF($B1835=0,NA(),IF($F1835="",NA(),IF(F$8="",NA(),IF(N(F$8)=0,NA(),IF(Inputs!$C$17="Rebased to 100",$F1835/F$8*100,$F1835)))))</f>
        <v/>
      </c>
      <c r="M1835" s="54">
        <f>IF($B1835=0,NA(),IF($G1835="",NA(),IF(G$8="",NA(),IF(N(G$8)=0,NA(),IF(Inputs!$C$17="Rebased to 100",$G1835/G$8*100,$G1835)))))</f>
        <v/>
      </c>
      <c r="N1835" s="54">
        <f>IF($B1835=0,NA(),IF(Inputs!$C$18&lt;&gt;"Yes",NA(),IF(COUNT(I1835,J1835,K1835,L1835,M1835)=0,NA(),MIN(I1835,J1835,K1835,L1835,M1835))))</f>
        <v/>
      </c>
      <c r="O1835" s="54">
        <f>IF($B1835=0,NA(),IF(Inputs!$B$24&lt;&gt;"Yes",NA(),Inputs!$D$24*Inputs!$C$35))</f>
        <v/>
      </c>
      <c r="P1835" s="54">
        <f>IF($B1835=0,NA(),IF(Inputs!$B$25&lt;&gt;"Yes",NA(),Inputs!$D$25*Inputs!$C$35))</f>
        <v/>
      </c>
      <c r="Q1835" s="54">
        <f>IF($B1835=0,NA(),IF(Inputs!$B$26&lt;&gt;"Yes",NA(),Inputs!$D$26*Inputs!$C$35))</f>
        <v/>
      </c>
      <c r="R1835" s="54">
        <f>IF($B1835=0,NA(),IF(Inputs!$B$27&lt;&gt;"Yes",NA(),Inputs!$D$27*Inputs!$C$35))</f>
        <v/>
      </c>
      <c r="S1835" s="54">
        <f>IF($B1835=0,NA(),IF(Inputs!$B$28&lt;&gt;"Yes",NA(),Inputs!$D$28*Inputs!$C$35))</f>
        <v/>
      </c>
      <c r="T1835" s="54">
        <f>IF($B1835=0,NA(),IF(Inputs!$B$29&lt;&gt;"Yes",NA(),Inputs!$D$29*Inputs!$C$35))</f>
        <v/>
      </c>
      <c r="AD1835">
        <f>IF($B1835=0,0,IF(Inputs!$B$6="",0,COUNTIFS(Data!$A$10:$A$3209,"&gt;="&amp;$A1835,Data!$A$10:$A$3209,"&lt;"&amp;$A1835+1)))</f>
        <v/>
      </c>
      <c r="AE1835">
        <f>IF($B1835=0,0,IF(Inputs!$B$7="",0,COUNTIFS(Data!$E$10:$E$3209,"&gt;="&amp;$A1835,Data!$E$10:$E$3209,"&lt;"&amp;$A1835+1)))</f>
        <v/>
      </c>
      <c r="AF1835">
        <f>IF($B1835=0,0,IF(Inputs!$B$8="",0,COUNTIFS(Data!$I$10:$I$3209,"&gt;="&amp;$A1835,Data!$I$10:$I$3209,"&lt;"&amp;$A1835+1)))</f>
        <v/>
      </c>
      <c r="AG1835">
        <f>IF($B1835=0,0,IF(Inputs!$B$9="",0,COUNTIFS(Data!$M$10:$M$3209,"&gt;="&amp;$A1835,Data!$M$10:$M$3209,"&lt;"&amp;$A1835+1)))</f>
        <v/>
      </c>
      <c r="AH1835">
        <f>IF($B1835=0,0,IF(Inputs!$B$10="",0,COUNTIFS(Data!$Q$10:$Q$3209,"&gt;="&amp;$A1835,Data!$Q$10:$Q$3209,"&lt;"&amp;$A1835+1)))</f>
        <v/>
      </c>
    </row>
    <row r="1836">
      <c r="A1836" s="55">
        <f>MIN(Inputs!$C$15,$A1835+IF(WEEKDAY($A1835,2)=5,3,1))</f>
        <v/>
      </c>
      <c r="B1836">
        <f>IF($A1836&gt;$A1835,1,0)</f>
        <v/>
      </c>
      <c r="C1836" s="56">
        <f>IF($B1836=0,"",IF(Inputs!$B$6="","",IF($AD1836=0,C1835,SUMIFS(Data!$B$10:$B$3209,Data!$A$10:$A$3209,"&gt;="&amp;$A1836,Data!$A$10:$A$3209,"&lt;"&amp;$A1836+1)/$AD1836)))</f>
        <v/>
      </c>
      <c r="D1836" s="56">
        <f>IF($B1836=0,"",IF(Inputs!$B$7="","",IF($AE1836=0,D1835,SUMIFS(Data!$F$10:$F$3209,Data!$E$10:$E$3209,"&gt;="&amp;$A1836,Data!$E$10:$E$3209,"&lt;"&amp;$A1836+1)/$AE1836)))</f>
        <v/>
      </c>
      <c r="E1836" s="56">
        <f>IF($B1836=0,"",IF(Inputs!$B$8="","",IF($AF1836=0,E1835,SUMIFS(Data!$J$10:$J$3209,Data!$I$10:$I$3209,"&gt;="&amp;$A1836,Data!$I$10:$I$3209,"&lt;"&amp;$A1836+1)/$AF1836)))</f>
        <v/>
      </c>
      <c r="F1836" s="56">
        <f>IF($B1836=0,"",IF(Inputs!$B$9="","",IF($AG1836=0,F1835,SUMIFS(Data!$N$10:$N$3209,Data!$M$10:$M$3209,"&gt;="&amp;$A1836,Data!$M$10:$M$3209,"&lt;"&amp;$A1836+1)/$AG1836)))</f>
        <v/>
      </c>
      <c r="G1836" s="56">
        <f>IF($B1836=0,"",IF(Inputs!$B$10="","",IF($AH1836=0,G1835,SUMIFS(Data!$R$10:$R$3209,Data!$Q$10:$Q$3209,"&gt;="&amp;$A1836,Data!$Q$10:$Q$3209,"&lt;"&amp;$A1836+1)/$AH1836)))</f>
        <v/>
      </c>
      <c r="I1836" s="54">
        <f>IF($B1836=0,NA(),IF($C1836="",NA(),IF(C$8="",NA(),IF(N(C$8)=0,NA(),IF(Inputs!$C$17="Rebased to 100",$C1836/C$8*100,$C1836)))))</f>
        <v/>
      </c>
      <c r="J1836" s="54">
        <f>IF($B1836=0,NA(),IF($D1836="",NA(),IF(D$8="",NA(),IF(N(D$8)=0,NA(),IF(Inputs!$C$17="Rebased to 100",$D1836/D$8*100,$D1836)))))</f>
        <v/>
      </c>
      <c r="K1836" s="54">
        <f>IF($B1836=0,NA(),IF($E1836="",NA(),IF(E$8="",NA(),IF(N(E$8)=0,NA(),IF(Inputs!$C$17="Rebased to 100",$E1836/E$8*100,$E1836)))))</f>
        <v/>
      </c>
      <c r="L1836" s="54">
        <f>IF($B1836=0,NA(),IF($F1836="",NA(),IF(F$8="",NA(),IF(N(F$8)=0,NA(),IF(Inputs!$C$17="Rebased to 100",$F1836/F$8*100,$F1836)))))</f>
        <v/>
      </c>
      <c r="M1836" s="54">
        <f>IF($B1836=0,NA(),IF($G1836="",NA(),IF(G$8="",NA(),IF(N(G$8)=0,NA(),IF(Inputs!$C$17="Rebased to 100",$G1836/G$8*100,$G1836)))))</f>
        <v/>
      </c>
      <c r="N1836" s="54">
        <f>IF($B1836=0,NA(),IF(Inputs!$C$18&lt;&gt;"Yes",NA(),IF(COUNT(I1836,J1836,K1836,L1836,M1836)=0,NA(),MIN(I1836,J1836,K1836,L1836,M1836))))</f>
        <v/>
      </c>
      <c r="O1836" s="54">
        <f>IF($B1836=0,NA(),IF(Inputs!$B$24&lt;&gt;"Yes",NA(),Inputs!$D$24*Inputs!$C$35))</f>
        <v/>
      </c>
      <c r="P1836" s="54">
        <f>IF($B1836=0,NA(),IF(Inputs!$B$25&lt;&gt;"Yes",NA(),Inputs!$D$25*Inputs!$C$35))</f>
        <v/>
      </c>
      <c r="Q1836" s="54">
        <f>IF($B1836=0,NA(),IF(Inputs!$B$26&lt;&gt;"Yes",NA(),Inputs!$D$26*Inputs!$C$35))</f>
        <v/>
      </c>
      <c r="R1836" s="54">
        <f>IF($B1836=0,NA(),IF(Inputs!$B$27&lt;&gt;"Yes",NA(),Inputs!$D$27*Inputs!$C$35))</f>
        <v/>
      </c>
      <c r="S1836" s="54">
        <f>IF($B1836=0,NA(),IF(Inputs!$B$28&lt;&gt;"Yes",NA(),Inputs!$D$28*Inputs!$C$35))</f>
        <v/>
      </c>
      <c r="T1836" s="54">
        <f>IF($B1836=0,NA(),IF(Inputs!$B$29&lt;&gt;"Yes",NA(),Inputs!$D$29*Inputs!$C$35))</f>
        <v/>
      </c>
      <c r="AD1836">
        <f>IF($B1836=0,0,IF(Inputs!$B$6="",0,COUNTIFS(Data!$A$10:$A$3209,"&gt;="&amp;$A1836,Data!$A$10:$A$3209,"&lt;"&amp;$A1836+1)))</f>
        <v/>
      </c>
      <c r="AE1836">
        <f>IF($B1836=0,0,IF(Inputs!$B$7="",0,COUNTIFS(Data!$E$10:$E$3209,"&gt;="&amp;$A1836,Data!$E$10:$E$3209,"&lt;"&amp;$A1836+1)))</f>
        <v/>
      </c>
      <c r="AF1836">
        <f>IF($B1836=0,0,IF(Inputs!$B$8="",0,COUNTIFS(Data!$I$10:$I$3209,"&gt;="&amp;$A1836,Data!$I$10:$I$3209,"&lt;"&amp;$A1836+1)))</f>
        <v/>
      </c>
      <c r="AG1836">
        <f>IF($B1836=0,0,IF(Inputs!$B$9="",0,COUNTIFS(Data!$M$10:$M$3209,"&gt;="&amp;$A1836,Data!$M$10:$M$3209,"&lt;"&amp;$A1836+1)))</f>
        <v/>
      </c>
      <c r="AH1836">
        <f>IF($B1836=0,0,IF(Inputs!$B$10="",0,COUNTIFS(Data!$Q$10:$Q$3209,"&gt;="&amp;$A1836,Data!$Q$10:$Q$3209,"&lt;"&amp;$A1836+1)))</f>
        <v/>
      </c>
    </row>
    <row r="1837">
      <c r="A1837" s="55">
        <f>MIN(Inputs!$C$15,$A1836+IF(WEEKDAY($A1836,2)=5,3,1))</f>
        <v/>
      </c>
      <c r="B1837">
        <f>IF($A1837&gt;$A1836,1,0)</f>
        <v/>
      </c>
      <c r="C1837" s="56">
        <f>IF($B1837=0,"",IF(Inputs!$B$6="","",IF($AD1837=0,C1836,SUMIFS(Data!$B$10:$B$3209,Data!$A$10:$A$3209,"&gt;="&amp;$A1837,Data!$A$10:$A$3209,"&lt;"&amp;$A1837+1)/$AD1837)))</f>
        <v/>
      </c>
      <c r="D1837" s="56">
        <f>IF($B1837=0,"",IF(Inputs!$B$7="","",IF($AE1837=0,D1836,SUMIFS(Data!$F$10:$F$3209,Data!$E$10:$E$3209,"&gt;="&amp;$A1837,Data!$E$10:$E$3209,"&lt;"&amp;$A1837+1)/$AE1837)))</f>
        <v/>
      </c>
      <c r="E1837" s="56">
        <f>IF($B1837=0,"",IF(Inputs!$B$8="","",IF($AF1837=0,E1836,SUMIFS(Data!$J$10:$J$3209,Data!$I$10:$I$3209,"&gt;="&amp;$A1837,Data!$I$10:$I$3209,"&lt;"&amp;$A1837+1)/$AF1837)))</f>
        <v/>
      </c>
      <c r="F1837" s="56">
        <f>IF($B1837=0,"",IF(Inputs!$B$9="","",IF($AG1837=0,F1836,SUMIFS(Data!$N$10:$N$3209,Data!$M$10:$M$3209,"&gt;="&amp;$A1837,Data!$M$10:$M$3209,"&lt;"&amp;$A1837+1)/$AG1837)))</f>
        <v/>
      </c>
      <c r="G1837" s="56">
        <f>IF($B1837=0,"",IF(Inputs!$B$10="","",IF($AH1837=0,G1836,SUMIFS(Data!$R$10:$R$3209,Data!$Q$10:$Q$3209,"&gt;="&amp;$A1837,Data!$Q$10:$Q$3209,"&lt;"&amp;$A1837+1)/$AH1837)))</f>
        <v/>
      </c>
      <c r="I1837" s="54">
        <f>IF($B1837=0,NA(),IF($C1837="",NA(),IF(C$8="",NA(),IF(N(C$8)=0,NA(),IF(Inputs!$C$17="Rebased to 100",$C1837/C$8*100,$C1837)))))</f>
        <v/>
      </c>
      <c r="J1837" s="54">
        <f>IF($B1837=0,NA(),IF($D1837="",NA(),IF(D$8="",NA(),IF(N(D$8)=0,NA(),IF(Inputs!$C$17="Rebased to 100",$D1837/D$8*100,$D1837)))))</f>
        <v/>
      </c>
      <c r="K1837" s="54">
        <f>IF($B1837=0,NA(),IF($E1837="",NA(),IF(E$8="",NA(),IF(N(E$8)=0,NA(),IF(Inputs!$C$17="Rebased to 100",$E1837/E$8*100,$E1837)))))</f>
        <v/>
      </c>
      <c r="L1837" s="54">
        <f>IF($B1837=0,NA(),IF($F1837="",NA(),IF(F$8="",NA(),IF(N(F$8)=0,NA(),IF(Inputs!$C$17="Rebased to 100",$F1837/F$8*100,$F1837)))))</f>
        <v/>
      </c>
      <c r="M1837" s="54">
        <f>IF($B1837=0,NA(),IF($G1837="",NA(),IF(G$8="",NA(),IF(N(G$8)=0,NA(),IF(Inputs!$C$17="Rebased to 100",$G1837/G$8*100,$G1837)))))</f>
        <v/>
      </c>
      <c r="N1837" s="54">
        <f>IF($B1837=0,NA(),IF(Inputs!$C$18&lt;&gt;"Yes",NA(),IF(COUNT(I1837,J1837,K1837,L1837,M1837)=0,NA(),MIN(I1837,J1837,K1837,L1837,M1837))))</f>
        <v/>
      </c>
      <c r="O1837" s="54">
        <f>IF($B1837=0,NA(),IF(Inputs!$B$24&lt;&gt;"Yes",NA(),Inputs!$D$24*Inputs!$C$35))</f>
        <v/>
      </c>
      <c r="P1837" s="54">
        <f>IF($B1837=0,NA(),IF(Inputs!$B$25&lt;&gt;"Yes",NA(),Inputs!$D$25*Inputs!$C$35))</f>
        <v/>
      </c>
      <c r="Q1837" s="54">
        <f>IF($B1837=0,NA(),IF(Inputs!$B$26&lt;&gt;"Yes",NA(),Inputs!$D$26*Inputs!$C$35))</f>
        <v/>
      </c>
      <c r="R1837" s="54">
        <f>IF($B1837=0,NA(),IF(Inputs!$B$27&lt;&gt;"Yes",NA(),Inputs!$D$27*Inputs!$C$35))</f>
        <v/>
      </c>
      <c r="S1837" s="54">
        <f>IF($B1837=0,NA(),IF(Inputs!$B$28&lt;&gt;"Yes",NA(),Inputs!$D$28*Inputs!$C$35))</f>
        <v/>
      </c>
      <c r="T1837" s="54">
        <f>IF($B1837=0,NA(),IF(Inputs!$B$29&lt;&gt;"Yes",NA(),Inputs!$D$29*Inputs!$C$35))</f>
        <v/>
      </c>
      <c r="AD1837">
        <f>IF($B1837=0,0,IF(Inputs!$B$6="",0,COUNTIFS(Data!$A$10:$A$3209,"&gt;="&amp;$A1837,Data!$A$10:$A$3209,"&lt;"&amp;$A1837+1)))</f>
        <v/>
      </c>
      <c r="AE1837">
        <f>IF($B1837=0,0,IF(Inputs!$B$7="",0,COUNTIFS(Data!$E$10:$E$3209,"&gt;="&amp;$A1837,Data!$E$10:$E$3209,"&lt;"&amp;$A1837+1)))</f>
        <v/>
      </c>
      <c r="AF1837">
        <f>IF($B1837=0,0,IF(Inputs!$B$8="",0,COUNTIFS(Data!$I$10:$I$3209,"&gt;="&amp;$A1837,Data!$I$10:$I$3209,"&lt;"&amp;$A1837+1)))</f>
        <v/>
      </c>
      <c r="AG1837">
        <f>IF($B1837=0,0,IF(Inputs!$B$9="",0,COUNTIFS(Data!$M$10:$M$3209,"&gt;="&amp;$A1837,Data!$M$10:$M$3209,"&lt;"&amp;$A1837+1)))</f>
        <v/>
      </c>
      <c r="AH1837">
        <f>IF($B1837=0,0,IF(Inputs!$B$10="",0,COUNTIFS(Data!$Q$10:$Q$3209,"&gt;="&amp;$A1837,Data!$Q$10:$Q$3209,"&lt;"&amp;$A1837+1)))</f>
        <v/>
      </c>
    </row>
    <row r="1838">
      <c r="A1838" s="55">
        <f>MIN(Inputs!$C$15,$A1837+IF(WEEKDAY($A1837,2)=5,3,1))</f>
        <v/>
      </c>
      <c r="B1838">
        <f>IF($A1838&gt;$A1837,1,0)</f>
        <v/>
      </c>
      <c r="C1838" s="56">
        <f>IF($B1838=0,"",IF(Inputs!$B$6="","",IF($AD1838=0,C1837,SUMIFS(Data!$B$10:$B$3209,Data!$A$10:$A$3209,"&gt;="&amp;$A1838,Data!$A$10:$A$3209,"&lt;"&amp;$A1838+1)/$AD1838)))</f>
        <v/>
      </c>
      <c r="D1838" s="56">
        <f>IF($B1838=0,"",IF(Inputs!$B$7="","",IF($AE1838=0,D1837,SUMIFS(Data!$F$10:$F$3209,Data!$E$10:$E$3209,"&gt;="&amp;$A1838,Data!$E$10:$E$3209,"&lt;"&amp;$A1838+1)/$AE1838)))</f>
        <v/>
      </c>
      <c r="E1838" s="56">
        <f>IF($B1838=0,"",IF(Inputs!$B$8="","",IF($AF1838=0,E1837,SUMIFS(Data!$J$10:$J$3209,Data!$I$10:$I$3209,"&gt;="&amp;$A1838,Data!$I$10:$I$3209,"&lt;"&amp;$A1838+1)/$AF1838)))</f>
        <v/>
      </c>
      <c r="F1838" s="56">
        <f>IF($B1838=0,"",IF(Inputs!$B$9="","",IF($AG1838=0,F1837,SUMIFS(Data!$N$10:$N$3209,Data!$M$10:$M$3209,"&gt;="&amp;$A1838,Data!$M$10:$M$3209,"&lt;"&amp;$A1838+1)/$AG1838)))</f>
        <v/>
      </c>
      <c r="G1838" s="56">
        <f>IF($B1838=0,"",IF(Inputs!$B$10="","",IF($AH1838=0,G1837,SUMIFS(Data!$R$10:$R$3209,Data!$Q$10:$Q$3209,"&gt;="&amp;$A1838,Data!$Q$10:$Q$3209,"&lt;"&amp;$A1838+1)/$AH1838)))</f>
        <v/>
      </c>
      <c r="I1838" s="54">
        <f>IF($B1838=0,NA(),IF($C1838="",NA(),IF(C$8="",NA(),IF(N(C$8)=0,NA(),IF(Inputs!$C$17="Rebased to 100",$C1838/C$8*100,$C1838)))))</f>
        <v/>
      </c>
      <c r="J1838" s="54">
        <f>IF($B1838=0,NA(),IF($D1838="",NA(),IF(D$8="",NA(),IF(N(D$8)=0,NA(),IF(Inputs!$C$17="Rebased to 100",$D1838/D$8*100,$D1838)))))</f>
        <v/>
      </c>
      <c r="K1838" s="54">
        <f>IF($B1838=0,NA(),IF($E1838="",NA(),IF(E$8="",NA(),IF(N(E$8)=0,NA(),IF(Inputs!$C$17="Rebased to 100",$E1838/E$8*100,$E1838)))))</f>
        <v/>
      </c>
      <c r="L1838" s="54">
        <f>IF($B1838=0,NA(),IF($F1838="",NA(),IF(F$8="",NA(),IF(N(F$8)=0,NA(),IF(Inputs!$C$17="Rebased to 100",$F1838/F$8*100,$F1838)))))</f>
        <v/>
      </c>
      <c r="M1838" s="54">
        <f>IF($B1838=0,NA(),IF($G1838="",NA(),IF(G$8="",NA(),IF(N(G$8)=0,NA(),IF(Inputs!$C$17="Rebased to 100",$G1838/G$8*100,$G1838)))))</f>
        <v/>
      </c>
      <c r="N1838" s="54">
        <f>IF($B1838=0,NA(),IF(Inputs!$C$18&lt;&gt;"Yes",NA(),IF(COUNT(I1838,J1838,K1838,L1838,M1838)=0,NA(),MIN(I1838,J1838,K1838,L1838,M1838))))</f>
        <v/>
      </c>
      <c r="O1838" s="54">
        <f>IF($B1838=0,NA(),IF(Inputs!$B$24&lt;&gt;"Yes",NA(),Inputs!$D$24*Inputs!$C$35))</f>
        <v/>
      </c>
      <c r="P1838" s="54">
        <f>IF($B1838=0,NA(),IF(Inputs!$B$25&lt;&gt;"Yes",NA(),Inputs!$D$25*Inputs!$C$35))</f>
        <v/>
      </c>
      <c r="Q1838" s="54">
        <f>IF($B1838=0,NA(),IF(Inputs!$B$26&lt;&gt;"Yes",NA(),Inputs!$D$26*Inputs!$C$35))</f>
        <v/>
      </c>
      <c r="R1838" s="54">
        <f>IF($B1838=0,NA(),IF(Inputs!$B$27&lt;&gt;"Yes",NA(),Inputs!$D$27*Inputs!$C$35))</f>
        <v/>
      </c>
      <c r="S1838" s="54">
        <f>IF($B1838=0,NA(),IF(Inputs!$B$28&lt;&gt;"Yes",NA(),Inputs!$D$28*Inputs!$C$35))</f>
        <v/>
      </c>
      <c r="T1838" s="54">
        <f>IF($B1838=0,NA(),IF(Inputs!$B$29&lt;&gt;"Yes",NA(),Inputs!$D$29*Inputs!$C$35))</f>
        <v/>
      </c>
      <c r="AD1838">
        <f>IF($B1838=0,0,IF(Inputs!$B$6="",0,COUNTIFS(Data!$A$10:$A$3209,"&gt;="&amp;$A1838,Data!$A$10:$A$3209,"&lt;"&amp;$A1838+1)))</f>
        <v/>
      </c>
      <c r="AE1838">
        <f>IF($B1838=0,0,IF(Inputs!$B$7="",0,COUNTIFS(Data!$E$10:$E$3209,"&gt;="&amp;$A1838,Data!$E$10:$E$3209,"&lt;"&amp;$A1838+1)))</f>
        <v/>
      </c>
      <c r="AF1838">
        <f>IF($B1838=0,0,IF(Inputs!$B$8="",0,COUNTIFS(Data!$I$10:$I$3209,"&gt;="&amp;$A1838,Data!$I$10:$I$3209,"&lt;"&amp;$A1838+1)))</f>
        <v/>
      </c>
      <c r="AG1838">
        <f>IF($B1838=0,0,IF(Inputs!$B$9="",0,COUNTIFS(Data!$M$10:$M$3209,"&gt;="&amp;$A1838,Data!$M$10:$M$3209,"&lt;"&amp;$A1838+1)))</f>
        <v/>
      </c>
      <c r="AH1838">
        <f>IF($B1838=0,0,IF(Inputs!$B$10="",0,COUNTIFS(Data!$Q$10:$Q$3209,"&gt;="&amp;$A1838,Data!$Q$10:$Q$3209,"&lt;"&amp;$A1838+1)))</f>
        <v/>
      </c>
    </row>
    <row r="1839">
      <c r="A1839" s="55">
        <f>MIN(Inputs!$C$15,$A1838+IF(WEEKDAY($A1838,2)=5,3,1))</f>
        <v/>
      </c>
      <c r="B1839">
        <f>IF($A1839&gt;$A1838,1,0)</f>
        <v/>
      </c>
      <c r="C1839" s="56">
        <f>IF($B1839=0,"",IF(Inputs!$B$6="","",IF($AD1839=0,C1838,SUMIFS(Data!$B$10:$B$3209,Data!$A$10:$A$3209,"&gt;="&amp;$A1839,Data!$A$10:$A$3209,"&lt;"&amp;$A1839+1)/$AD1839)))</f>
        <v/>
      </c>
      <c r="D1839" s="56">
        <f>IF($B1839=0,"",IF(Inputs!$B$7="","",IF($AE1839=0,D1838,SUMIFS(Data!$F$10:$F$3209,Data!$E$10:$E$3209,"&gt;="&amp;$A1839,Data!$E$10:$E$3209,"&lt;"&amp;$A1839+1)/$AE1839)))</f>
        <v/>
      </c>
      <c r="E1839" s="56">
        <f>IF($B1839=0,"",IF(Inputs!$B$8="","",IF($AF1839=0,E1838,SUMIFS(Data!$J$10:$J$3209,Data!$I$10:$I$3209,"&gt;="&amp;$A1839,Data!$I$10:$I$3209,"&lt;"&amp;$A1839+1)/$AF1839)))</f>
        <v/>
      </c>
      <c r="F1839" s="56">
        <f>IF($B1839=0,"",IF(Inputs!$B$9="","",IF($AG1839=0,F1838,SUMIFS(Data!$N$10:$N$3209,Data!$M$10:$M$3209,"&gt;="&amp;$A1839,Data!$M$10:$M$3209,"&lt;"&amp;$A1839+1)/$AG1839)))</f>
        <v/>
      </c>
      <c r="G1839" s="56">
        <f>IF($B1839=0,"",IF(Inputs!$B$10="","",IF($AH1839=0,G1838,SUMIFS(Data!$R$10:$R$3209,Data!$Q$10:$Q$3209,"&gt;="&amp;$A1839,Data!$Q$10:$Q$3209,"&lt;"&amp;$A1839+1)/$AH1839)))</f>
        <v/>
      </c>
      <c r="I1839" s="54">
        <f>IF($B1839=0,NA(),IF($C1839="",NA(),IF(C$8="",NA(),IF(N(C$8)=0,NA(),IF(Inputs!$C$17="Rebased to 100",$C1839/C$8*100,$C1839)))))</f>
        <v/>
      </c>
      <c r="J1839" s="54">
        <f>IF($B1839=0,NA(),IF($D1839="",NA(),IF(D$8="",NA(),IF(N(D$8)=0,NA(),IF(Inputs!$C$17="Rebased to 100",$D1839/D$8*100,$D1839)))))</f>
        <v/>
      </c>
      <c r="K1839" s="54">
        <f>IF($B1839=0,NA(),IF($E1839="",NA(),IF(E$8="",NA(),IF(N(E$8)=0,NA(),IF(Inputs!$C$17="Rebased to 100",$E1839/E$8*100,$E1839)))))</f>
        <v/>
      </c>
      <c r="L1839" s="54">
        <f>IF($B1839=0,NA(),IF($F1839="",NA(),IF(F$8="",NA(),IF(N(F$8)=0,NA(),IF(Inputs!$C$17="Rebased to 100",$F1839/F$8*100,$F1839)))))</f>
        <v/>
      </c>
      <c r="M1839" s="54">
        <f>IF($B1839=0,NA(),IF($G1839="",NA(),IF(G$8="",NA(),IF(N(G$8)=0,NA(),IF(Inputs!$C$17="Rebased to 100",$G1839/G$8*100,$G1839)))))</f>
        <v/>
      </c>
      <c r="N1839" s="54">
        <f>IF($B1839=0,NA(),IF(Inputs!$C$18&lt;&gt;"Yes",NA(),IF(COUNT(I1839,J1839,K1839,L1839,M1839)=0,NA(),MIN(I1839,J1839,K1839,L1839,M1839))))</f>
        <v/>
      </c>
      <c r="O1839" s="54">
        <f>IF($B1839=0,NA(),IF(Inputs!$B$24&lt;&gt;"Yes",NA(),Inputs!$D$24*Inputs!$C$35))</f>
        <v/>
      </c>
      <c r="P1839" s="54">
        <f>IF($B1839=0,NA(),IF(Inputs!$B$25&lt;&gt;"Yes",NA(),Inputs!$D$25*Inputs!$C$35))</f>
        <v/>
      </c>
      <c r="Q1839" s="54">
        <f>IF($B1839=0,NA(),IF(Inputs!$B$26&lt;&gt;"Yes",NA(),Inputs!$D$26*Inputs!$C$35))</f>
        <v/>
      </c>
      <c r="R1839" s="54">
        <f>IF($B1839=0,NA(),IF(Inputs!$B$27&lt;&gt;"Yes",NA(),Inputs!$D$27*Inputs!$C$35))</f>
        <v/>
      </c>
      <c r="S1839" s="54">
        <f>IF($B1839=0,NA(),IF(Inputs!$B$28&lt;&gt;"Yes",NA(),Inputs!$D$28*Inputs!$C$35))</f>
        <v/>
      </c>
      <c r="T1839" s="54">
        <f>IF($B1839=0,NA(),IF(Inputs!$B$29&lt;&gt;"Yes",NA(),Inputs!$D$29*Inputs!$C$35))</f>
        <v/>
      </c>
      <c r="AD1839">
        <f>IF($B1839=0,0,IF(Inputs!$B$6="",0,COUNTIFS(Data!$A$10:$A$3209,"&gt;="&amp;$A1839,Data!$A$10:$A$3209,"&lt;"&amp;$A1839+1)))</f>
        <v/>
      </c>
      <c r="AE1839">
        <f>IF($B1839=0,0,IF(Inputs!$B$7="",0,COUNTIFS(Data!$E$10:$E$3209,"&gt;="&amp;$A1839,Data!$E$10:$E$3209,"&lt;"&amp;$A1839+1)))</f>
        <v/>
      </c>
      <c r="AF1839">
        <f>IF($B1839=0,0,IF(Inputs!$B$8="",0,COUNTIFS(Data!$I$10:$I$3209,"&gt;="&amp;$A1839,Data!$I$10:$I$3209,"&lt;"&amp;$A1839+1)))</f>
        <v/>
      </c>
      <c r="AG1839">
        <f>IF($B1839=0,0,IF(Inputs!$B$9="",0,COUNTIFS(Data!$M$10:$M$3209,"&gt;="&amp;$A1839,Data!$M$10:$M$3209,"&lt;"&amp;$A1839+1)))</f>
        <v/>
      </c>
      <c r="AH1839">
        <f>IF($B1839=0,0,IF(Inputs!$B$10="",0,COUNTIFS(Data!$Q$10:$Q$3209,"&gt;="&amp;$A1839,Data!$Q$10:$Q$3209,"&lt;"&amp;$A1839+1)))</f>
        <v/>
      </c>
    </row>
    <row r="1840">
      <c r="A1840" s="55">
        <f>MIN(Inputs!$C$15,$A1839+IF(WEEKDAY($A1839,2)=5,3,1))</f>
        <v/>
      </c>
      <c r="B1840">
        <f>IF($A1840&gt;$A1839,1,0)</f>
        <v/>
      </c>
      <c r="C1840" s="56">
        <f>IF($B1840=0,"",IF(Inputs!$B$6="","",IF($AD1840=0,C1839,SUMIFS(Data!$B$10:$B$3209,Data!$A$10:$A$3209,"&gt;="&amp;$A1840,Data!$A$10:$A$3209,"&lt;"&amp;$A1840+1)/$AD1840)))</f>
        <v/>
      </c>
      <c r="D1840" s="56">
        <f>IF($B1840=0,"",IF(Inputs!$B$7="","",IF($AE1840=0,D1839,SUMIFS(Data!$F$10:$F$3209,Data!$E$10:$E$3209,"&gt;="&amp;$A1840,Data!$E$10:$E$3209,"&lt;"&amp;$A1840+1)/$AE1840)))</f>
        <v/>
      </c>
      <c r="E1840" s="56">
        <f>IF($B1840=0,"",IF(Inputs!$B$8="","",IF($AF1840=0,E1839,SUMIFS(Data!$J$10:$J$3209,Data!$I$10:$I$3209,"&gt;="&amp;$A1840,Data!$I$10:$I$3209,"&lt;"&amp;$A1840+1)/$AF1840)))</f>
        <v/>
      </c>
      <c r="F1840" s="56">
        <f>IF($B1840=0,"",IF(Inputs!$B$9="","",IF($AG1840=0,F1839,SUMIFS(Data!$N$10:$N$3209,Data!$M$10:$M$3209,"&gt;="&amp;$A1840,Data!$M$10:$M$3209,"&lt;"&amp;$A1840+1)/$AG1840)))</f>
        <v/>
      </c>
      <c r="G1840" s="56">
        <f>IF($B1840=0,"",IF(Inputs!$B$10="","",IF($AH1840=0,G1839,SUMIFS(Data!$R$10:$R$3209,Data!$Q$10:$Q$3209,"&gt;="&amp;$A1840,Data!$Q$10:$Q$3209,"&lt;"&amp;$A1840+1)/$AH1840)))</f>
        <v/>
      </c>
      <c r="I1840" s="54">
        <f>IF($B1840=0,NA(),IF($C1840="",NA(),IF(C$8="",NA(),IF(N(C$8)=0,NA(),IF(Inputs!$C$17="Rebased to 100",$C1840/C$8*100,$C1840)))))</f>
        <v/>
      </c>
      <c r="J1840" s="54">
        <f>IF($B1840=0,NA(),IF($D1840="",NA(),IF(D$8="",NA(),IF(N(D$8)=0,NA(),IF(Inputs!$C$17="Rebased to 100",$D1840/D$8*100,$D1840)))))</f>
        <v/>
      </c>
      <c r="K1840" s="54">
        <f>IF($B1840=0,NA(),IF($E1840="",NA(),IF(E$8="",NA(),IF(N(E$8)=0,NA(),IF(Inputs!$C$17="Rebased to 100",$E1840/E$8*100,$E1840)))))</f>
        <v/>
      </c>
      <c r="L1840" s="54">
        <f>IF($B1840=0,NA(),IF($F1840="",NA(),IF(F$8="",NA(),IF(N(F$8)=0,NA(),IF(Inputs!$C$17="Rebased to 100",$F1840/F$8*100,$F1840)))))</f>
        <v/>
      </c>
      <c r="M1840" s="54">
        <f>IF($B1840=0,NA(),IF($G1840="",NA(),IF(G$8="",NA(),IF(N(G$8)=0,NA(),IF(Inputs!$C$17="Rebased to 100",$G1840/G$8*100,$G1840)))))</f>
        <v/>
      </c>
      <c r="N1840" s="54">
        <f>IF($B1840=0,NA(),IF(Inputs!$C$18&lt;&gt;"Yes",NA(),IF(COUNT(I1840,J1840,K1840,L1840,M1840)=0,NA(),MIN(I1840,J1840,K1840,L1840,M1840))))</f>
        <v/>
      </c>
      <c r="O1840" s="54">
        <f>IF($B1840=0,NA(),IF(Inputs!$B$24&lt;&gt;"Yes",NA(),Inputs!$D$24*Inputs!$C$35))</f>
        <v/>
      </c>
      <c r="P1840" s="54">
        <f>IF($B1840=0,NA(),IF(Inputs!$B$25&lt;&gt;"Yes",NA(),Inputs!$D$25*Inputs!$C$35))</f>
        <v/>
      </c>
      <c r="Q1840" s="54">
        <f>IF($B1840=0,NA(),IF(Inputs!$B$26&lt;&gt;"Yes",NA(),Inputs!$D$26*Inputs!$C$35))</f>
        <v/>
      </c>
      <c r="R1840" s="54">
        <f>IF($B1840=0,NA(),IF(Inputs!$B$27&lt;&gt;"Yes",NA(),Inputs!$D$27*Inputs!$C$35))</f>
        <v/>
      </c>
      <c r="S1840" s="54">
        <f>IF($B1840=0,NA(),IF(Inputs!$B$28&lt;&gt;"Yes",NA(),Inputs!$D$28*Inputs!$C$35))</f>
        <v/>
      </c>
      <c r="T1840" s="54">
        <f>IF($B1840=0,NA(),IF(Inputs!$B$29&lt;&gt;"Yes",NA(),Inputs!$D$29*Inputs!$C$35))</f>
        <v/>
      </c>
      <c r="AD1840">
        <f>IF($B1840=0,0,IF(Inputs!$B$6="",0,COUNTIFS(Data!$A$10:$A$3209,"&gt;="&amp;$A1840,Data!$A$10:$A$3209,"&lt;"&amp;$A1840+1)))</f>
        <v/>
      </c>
      <c r="AE1840">
        <f>IF($B1840=0,0,IF(Inputs!$B$7="",0,COUNTIFS(Data!$E$10:$E$3209,"&gt;="&amp;$A1840,Data!$E$10:$E$3209,"&lt;"&amp;$A1840+1)))</f>
        <v/>
      </c>
      <c r="AF1840">
        <f>IF($B1840=0,0,IF(Inputs!$B$8="",0,COUNTIFS(Data!$I$10:$I$3209,"&gt;="&amp;$A1840,Data!$I$10:$I$3209,"&lt;"&amp;$A1840+1)))</f>
        <v/>
      </c>
      <c r="AG1840">
        <f>IF($B1840=0,0,IF(Inputs!$B$9="",0,COUNTIFS(Data!$M$10:$M$3209,"&gt;="&amp;$A1840,Data!$M$10:$M$3209,"&lt;"&amp;$A1840+1)))</f>
        <v/>
      </c>
      <c r="AH1840">
        <f>IF($B1840=0,0,IF(Inputs!$B$10="",0,COUNTIFS(Data!$Q$10:$Q$3209,"&gt;="&amp;$A1840,Data!$Q$10:$Q$3209,"&lt;"&amp;$A1840+1)))</f>
        <v/>
      </c>
    </row>
    <row r="1841">
      <c r="A1841" s="55">
        <f>MIN(Inputs!$C$15,$A1840+IF(WEEKDAY($A1840,2)=5,3,1))</f>
        <v/>
      </c>
      <c r="B1841">
        <f>IF($A1841&gt;$A1840,1,0)</f>
        <v/>
      </c>
      <c r="C1841" s="56">
        <f>IF($B1841=0,"",IF(Inputs!$B$6="","",IF($AD1841=0,C1840,SUMIFS(Data!$B$10:$B$3209,Data!$A$10:$A$3209,"&gt;="&amp;$A1841,Data!$A$10:$A$3209,"&lt;"&amp;$A1841+1)/$AD1841)))</f>
        <v/>
      </c>
      <c r="D1841" s="56">
        <f>IF($B1841=0,"",IF(Inputs!$B$7="","",IF($AE1841=0,D1840,SUMIFS(Data!$F$10:$F$3209,Data!$E$10:$E$3209,"&gt;="&amp;$A1841,Data!$E$10:$E$3209,"&lt;"&amp;$A1841+1)/$AE1841)))</f>
        <v/>
      </c>
      <c r="E1841" s="56">
        <f>IF($B1841=0,"",IF(Inputs!$B$8="","",IF($AF1841=0,E1840,SUMIFS(Data!$J$10:$J$3209,Data!$I$10:$I$3209,"&gt;="&amp;$A1841,Data!$I$10:$I$3209,"&lt;"&amp;$A1841+1)/$AF1841)))</f>
        <v/>
      </c>
      <c r="F1841" s="56">
        <f>IF($B1841=0,"",IF(Inputs!$B$9="","",IF($AG1841=0,F1840,SUMIFS(Data!$N$10:$N$3209,Data!$M$10:$M$3209,"&gt;="&amp;$A1841,Data!$M$10:$M$3209,"&lt;"&amp;$A1841+1)/$AG1841)))</f>
        <v/>
      </c>
      <c r="G1841" s="56">
        <f>IF($B1841=0,"",IF(Inputs!$B$10="","",IF($AH1841=0,G1840,SUMIFS(Data!$R$10:$R$3209,Data!$Q$10:$Q$3209,"&gt;="&amp;$A1841,Data!$Q$10:$Q$3209,"&lt;"&amp;$A1841+1)/$AH1841)))</f>
        <v/>
      </c>
      <c r="I1841" s="54">
        <f>IF($B1841=0,NA(),IF($C1841="",NA(),IF(C$8="",NA(),IF(N(C$8)=0,NA(),IF(Inputs!$C$17="Rebased to 100",$C1841/C$8*100,$C1841)))))</f>
        <v/>
      </c>
      <c r="J1841" s="54">
        <f>IF($B1841=0,NA(),IF($D1841="",NA(),IF(D$8="",NA(),IF(N(D$8)=0,NA(),IF(Inputs!$C$17="Rebased to 100",$D1841/D$8*100,$D1841)))))</f>
        <v/>
      </c>
      <c r="K1841" s="54">
        <f>IF($B1841=0,NA(),IF($E1841="",NA(),IF(E$8="",NA(),IF(N(E$8)=0,NA(),IF(Inputs!$C$17="Rebased to 100",$E1841/E$8*100,$E1841)))))</f>
        <v/>
      </c>
      <c r="L1841" s="54">
        <f>IF($B1841=0,NA(),IF($F1841="",NA(),IF(F$8="",NA(),IF(N(F$8)=0,NA(),IF(Inputs!$C$17="Rebased to 100",$F1841/F$8*100,$F1841)))))</f>
        <v/>
      </c>
      <c r="M1841" s="54">
        <f>IF($B1841=0,NA(),IF($G1841="",NA(),IF(G$8="",NA(),IF(N(G$8)=0,NA(),IF(Inputs!$C$17="Rebased to 100",$G1841/G$8*100,$G1841)))))</f>
        <v/>
      </c>
      <c r="N1841" s="54">
        <f>IF($B1841=0,NA(),IF(Inputs!$C$18&lt;&gt;"Yes",NA(),IF(COUNT(I1841,J1841,K1841,L1841,M1841)=0,NA(),MIN(I1841,J1841,K1841,L1841,M1841))))</f>
        <v/>
      </c>
      <c r="O1841" s="54">
        <f>IF($B1841=0,NA(),IF(Inputs!$B$24&lt;&gt;"Yes",NA(),Inputs!$D$24*Inputs!$C$35))</f>
        <v/>
      </c>
      <c r="P1841" s="54">
        <f>IF($B1841=0,NA(),IF(Inputs!$B$25&lt;&gt;"Yes",NA(),Inputs!$D$25*Inputs!$C$35))</f>
        <v/>
      </c>
      <c r="Q1841" s="54">
        <f>IF($B1841=0,NA(),IF(Inputs!$B$26&lt;&gt;"Yes",NA(),Inputs!$D$26*Inputs!$C$35))</f>
        <v/>
      </c>
      <c r="R1841" s="54">
        <f>IF($B1841=0,NA(),IF(Inputs!$B$27&lt;&gt;"Yes",NA(),Inputs!$D$27*Inputs!$C$35))</f>
        <v/>
      </c>
      <c r="S1841" s="54">
        <f>IF($B1841=0,NA(),IF(Inputs!$B$28&lt;&gt;"Yes",NA(),Inputs!$D$28*Inputs!$C$35))</f>
        <v/>
      </c>
      <c r="T1841" s="54">
        <f>IF($B1841=0,NA(),IF(Inputs!$B$29&lt;&gt;"Yes",NA(),Inputs!$D$29*Inputs!$C$35))</f>
        <v/>
      </c>
      <c r="AD1841">
        <f>IF($B1841=0,0,IF(Inputs!$B$6="",0,COUNTIFS(Data!$A$10:$A$3209,"&gt;="&amp;$A1841,Data!$A$10:$A$3209,"&lt;"&amp;$A1841+1)))</f>
        <v/>
      </c>
      <c r="AE1841">
        <f>IF($B1841=0,0,IF(Inputs!$B$7="",0,COUNTIFS(Data!$E$10:$E$3209,"&gt;="&amp;$A1841,Data!$E$10:$E$3209,"&lt;"&amp;$A1841+1)))</f>
        <v/>
      </c>
      <c r="AF1841">
        <f>IF($B1841=0,0,IF(Inputs!$B$8="",0,COUNTIFS(Data!$I$10:$I$3209,"&gt;="&amp;$A1841,Data!$I$10:$I$3209,"&lt;"&amp;$A1841+1)))</f>
        <v/>
      </c>
      <c r="AG1841">
        <f>IF($B1841=0,0,IF(Inputs!$B$9="",0,COUNTIFS(Data!$M$10:$M$3209,"&gt;="&amp;$A1841,Data!$M$10:$M$3209,"&lt;"&amp;$A1841+1)))</f>
        <v/>
      </c>
      <c r="AH1841">
        <f>IF($B1841=0,0,IF(Inputs!$B$10="",0,COUNTIFS(Data!$Q$10:$Q$3209,"&gt;="&amp;$A1841,Data!$Q$10:$Q$3209,"&lt;"&amp;$A1841+1)))</f>
        <v/>
      </c>
    </row>
    <row r="1842">
      <c r="A1842" s="55">
        <f>MIN(Inputs!$C$15,$A1841+IF(WEEKDAY($A1841,2)=5,3,1))</f>
        <v/>
      </c>
      <c r="B1842">
        <f>IF($A1842&gt;$A1841,1,0)</f>
        <v/>
      </c>
      <c r="C1842" s="56">
        <f>IF($B1842=0,"",IF(Inputs!$B$6="","",IF($AD1842=0,C1841,SUMIFS(Data!$B$10:$B$3209,Data!$A$10:$A$3209,"&gt;="&amp;$A1842,Data!$A$10:$A$3209,"&lt;"&amp;$A1842+1)/$AD1842)))</f>
        <v/>
      </c>
      <c r="D1842" s="56">
        <f>IF($B1842=0,"",IF(Inputs!$B$7="","",IF($AE1842=0,D1841,SUMIFS(Data!$F$10:$F$3209,Data!$E$10:$E$3209,"&gt;="&amp;$A1842,Data!$E$10:$E$3209,"&lt;"&amp;$A1842+1)/$AE1842)))</f>
        <v/>
      </c>
      <c r="E1842" s="56">
        <f>IF($B1842=0,"",IF(Inputs!$B$8="","",IF($AF1842=0,E1841,SUMIFS(Data!$J$10:$J$3209,Data!$I$10:$I$3209,"&gt;="&amp;$A1842,Data!$I$10:$I$3209,"&lt;"&amp;$A1842+1)/$AF1842)))</f>
        <v/>
      </c>
      <c r="F1842" s="56">
        <f>IF($B1842=0,"",IF(Inputs!$B$9="","",IF($AG1842=0,F1841,SUMIFS(Data!$N$10:$N$3209,Data!$M$10:$M$3209,"&gt;="&amp;$A1842,Data!$M$10:$M$3209,"&lt;"&amp;$A1842+1)/$AG1842)))</f>
        <v/>
      </c>
      <c r="G1842" s="56">
        <f>IF($B1842=0,"",IF(Inputs!$B$10="","",IF($AH1842=0,G1841,SUMIFS(Data!$R$10:$R$3209,Data!$Q$10:$Q$3209,"&gt;="&amp;$A1842,Data!$Q$10:$Q$3209,"&lt;"&amp;$A1842+1)/$AH1842)))</f>
        <v/>
      </c>
      <c r="I1842" s="54">
        <f>IF($B1842=0,NA(),IF($C1842="",NA(),IF(C$8="",NA(),IF(N(C$8)=0,NA(),IF(Inputs!$C$17="Rebased to 100",$C1842/C$8*100,$C1842)))))</f>
        <v/>
      </c>
      <c r="J1842" s="54">
        <f>IF($B1842=0,NA(),IF($D1842="",NA(),IF(D$8="",NA(),IF(N(D$8)=0,NA(),IF(Inputs!$C$17="Rebased to 100",$D1842/D$8*100,$D1842)))))</f>
        <v/>
      </c>
      <c r="K1842" s="54">
        <f>IF($B1842=0,NA(),IF($E1842="",NA(),IF(E$8="",NA(),IF(N(E$8)=0,NA(),IF(Inputs!$C$17="Rebased to 100",$E1842/E$8*100,$E1842)))))</f>
        <v/>
      </c>
      <c r="L1842" s="54">
        <f>IF($B1842=0,NA(),IF($F1842="",NA(),IF(F$8="",NA(),IF(N(F$8)=0,NA(),IF(Inputs!$C$17="Rebased to 100",$F1842/F$8*100,$F1842)))))</f>
        <v/>
      </c>
      <c r="M1842" s="54">
        <f>IF($B1842=0,NA(),IF($G1842="",NA(),IF(G$8="",NA(),IF(N(G$8)=0,NA(),IF(Inputs!$C$17="Rebased to 100",$G1842/G$8*100,$G1842)))))</f>
        <v/>
      </c>
      <c r="N1842" s="54">
        <f>IF($B1842=0,NA(),IF(Inputs!$C$18&lt;&gt;"Yes",NA(),IF(COUNT(I1842,J1842,K1842,L1842,M1842)=0,NA(),MIN(I1842,J1842,K1842,L1842,M1842))))</f>
        <v/>
      </c>
      <c r="O1842" s="54">
        <f>IF($B1842=0,NA(),IF(Inputs!$B$24&lt;&gt;"Yes",NA(),Inputs!$D$24*Inputs!$C$35))</f>
        <v/>
      </c>
      <c r="P1842" s="54">
        <f>IF($B1842=0,NA(),IF(Inputs!$B$25&lt;&gt;"Yes",NA(),Inputs!$D$25*Inputs!$C$35))</f>
        <v/>
      </c>
      <c r="Q1842" s="54">
        <f>IF($B1842=0,NA(),IF(Inputs!$B$26&lt;&gt;"Yes",NA(),Inputs!$D$26*Inputs!$C$35))</f>
        <v/>
      </c>
      <c r="R1842" s="54">
        <f>IF($B1842=0,NA(),IF(Inputs!$B$27&lt;&gt;"Yes",NA(),Inputs!$D$27*Inputs!$C$35))</f>
        <v/>
      </c>
      <c r="S1842" s="54">
        <f>IF($B1842=0,NA(),IF(Inputs!$B$28&lt;&gt;"Yes",NA(),Inputs!$D$28*Inputs!$C$35))</f>
        <v/>
      </c>
      <c r="T1842" s="54">
        <f>IF($B1842=0,NA(),IF(Inputs!$B$29&lt;&gt;"Yes",NA(),Inputs!$D$29*Inputs!$C$35))</f>
        <v/>
      </c>
      <c r="AD1842">
        <f>IF($B1842=0,0,IF(Inputs!$B$6="",0,COUNTIFS(Data!$A$10:$A$3209,"&gt;="&amp;$A1842,Data!$A$10:$A$3209,"&lt;"&amp;$A1842+1)))</f>
        <v/>
      </c>
      <c r="AE1842">
        <f>IF($B1842=0,0,IF(Inputs!$B$7="",0,COUNTIFS(Data!$E$10:$E$3209,"&gt;="&amp;$A1842,Data!$E$10:$E$3209,"&lt;"&amp;$A1842+1)))</f>
        <v/>
      </c>
      <c r="AF1842">
        <f>IF($B1842=0,0,IF(Inputs!$B$8="",0,COUNTIFS(Data!$I$10:$I$3209,"&gt;="&amp;$A1842,Data!$I$10:$I$3209,"&lt;"&amp;$A1842+1)))</f>
        <v/>
      </c>
      <c r="AG1842">
        <f>IF($B1842=0,0,IF(Inputs!$B$9="",0,COUNTIFS(Data!$M$10:$M$3209,"&gt;="&amp;$A1842,Data!$M$10:$M$3209,"&lt;"&amp;$A1842+1)))</f>
        <v/>
      </c>
      <c r="AH1842">
        <f>IF($B1842=0,0,IF(Inputs!$B$10="",0,COUNTIFS(Data!$Q$10:$Q$3209,"&gt;="&amp;$A1842,Data!$Q$10:$Q$3209,"&lt;"&amp;$A1842+1)))</f>
        <v/>
      </c>
    </row>
    <row r="1843">
      <c r="A1843" s="55">
        <f>MIN(Inputs!$C$15,$A1842+IF(WEEKDAY($A1842,2)=5,3,1))</f>
        <v/>
      </c>
      <c r="B1843">
        <f>IF($A1843&gt;$A1842,1,0)</f>
        <v/>
      </c>
      <c r="C1843" s="56">
        <f>IF($B1843=0,"",IF(Inputs!$B$6="","",IF($AD1843=0,C1842,SUMIFS(Data!$B$10:$B$3209,Data!$A$10:$A$3209,"&gt;="&amp;$A1843,Data!$A$10:$A$3209,"&lt;"&amp;$A1843+1)/$AD1843)))</f>
        <v/>
      </c>
      <c r="D1843" s="56">
        <f>IF($B1843=0,"",IF(Inputs!$B$7="","",IF($AE1843=0,D1842,SUMIFS(Data!$F$10:$F$3209,Data!$E$10:$E$3209,"&gt;="&amp;$A1843,Data!$E$10:$E$3209,"&lt;"&amp;$A1843+1)/$AE1843)))</f>
        <v/>
      </c>
      <c r="E1843" s="56">
        <f>IF($B1843=0,"",IF(Inputs!$B$8="","",IF($AF1843=0,E1842,SUMIFS(Data!$J$10:$J$3209,Data!$I$10:$I$3209,"&gt;="&amp;$A1843,Data!$I$10:$I$3209,"&lt;"&amp;$A1843+1)/$AF1843)))</f>
        <v/>
      </c>
      <c r="F1843" s="56">
        <f>IF($B1843=0,"",IF(Inputs!$B$9="","",IF($AG1843=0,F1842,SUMIFS(Data!$N$10:$N$3209,Data!$M$10:$M$3209,"&gt;="&amp;$A1843,Data!$M$10:$M$3209,"&lt;"&amp;$A1843+1)/$AG1843)))</f>
        <v/>
      </c>
      <c r="G1843" s="56">
        <f>IF($B1843=0,"",IF(Inputs!$B$10="","",IF($AH1843=0,G1842,SUMIFS(Data!$R$10:$R$3209,Data!$Q$10:$Q$3209,"&gt;="&amp;$A1843,Data!$Q$10:$Q$3209,"&lt;"&amp;$A1843+1)/$AH1843)))</f>
        <v/>
      </c>
      <c r="I1843" s="54">
        <f>IF($B1843=0,NA(),IF($C1843="",NA(),IF(C$8="",NA(),IF(N(C$8)=0,NA(),IF(Inputs!$C$17="Rebased to 100",$C1843/C$8*100,$C1843)))))</f>
        <v/>
      </c>
      <c r="J1843" s="54">
        <f>IF($B1843=0,NA(),IF($D1843="",NA(),IF(D$8="",NA(),IF(N(D$8)=0,NA(),IF(Inputs!$C$17="Rebased to 100",$D1843/D$8*100,$D1843)))))</f>
        <v/>
      </c>
      <c r="K1843" s="54">
        <f>IF($B1843=0,NA(),IF($E1843="",NA(),IF(E$8="",NA(),IF(N(E$8)=0,NA(),IF(Inputs!$C$17="Rebased to 100",$E1843/E$8*100,$E1843)))))</f>
        <v/>
      </c>
      <c r="L1843" s="54">
        <f>IF($B1843=0,NA(),IF($F1843="",NA(),IF(F$8="",NA(),IF(N(F$8)=0,NA(),IF(Inputs!$C$17="Rebased to 100",$F1843/F$8*100,$F1843)))))</f>
        <v/>
      </c>
      <c r="M1843" s="54">
        <f>IF($B1843=0,NA(),IF($G1843="",NA(),IF(G$8="",NA(),IF(N(G$8)=0,NA(),IF(Inputs!$C$17="Rebased to 100",$G1843/G$8*100,$G1843)))))</f>
        <v/>
      </c>
      <c r="N1843" s="54">
        <f>IF($B1843=0,NA(),IF(Inputs!$C$18&lt;&gt;"Yes",NA(),IF(COUNT(I1843,J1843,K1843,L1843,M1843)=0,NA(),MIN(I1843,J1843,K1843,L1843,M1843))))</f>
        <v/>
      </c>
      <c r="O1843" s="54">
        <f>IF($B1843=0,NA(),IF(Inputs!$B$24&lt;&gt;"Yes",NA(),Inputs!$D$24*Inputs!$C$35))</f>
        <v/>
      </c>
      <c r="P1843" s="54">
        <f>IF($B1843=0,NA(),IF(Inputs!$B$25&lt;&gt;"Yes",NA(),Inputs!$D$25*Inputs!$C$35))</f>
        <v/>
      </c>
      <c r="Q1843" s="54">
        <f>IF($B1843=0,NA(),IF(Inputs!$B$26&lt;&gt;"Yes",NA(),Inputs!$D$26*Inputs!$C$35))</f>
        <v/>
      </c>
      <c r="R1843" s="54">
        <f>IF($B1843=0,NA(),IF(Inputs!$B$27&lt;&gt;"Yes",NA(),Inputs!$D$27*Inputs!$C$35))</f>
        <v/>
      </c>
      <c r="S1843" s="54">
        <f>IF($B1843=0,NA(),IF(Inputs!$B$28&lt;&gt;"Yes",NA(),Inputs!$D$28*Inputs!$C$35))</f>
        <v/>
      </c>
      <c r="T1843" s="54">
        <f>IF($B1843=0,NA(),IF(Inputs!$B$29&lt;&gt;"Yes",NA(),Inputs!$D$29*Inputs!$C$35))</f>
        <v/>
      </c>
      <c r="AD1843">
        <f>IF($B1843=0,0,IF(Inputs!$B$6="",0,COUNTIFS(Data!$A$10:$A$3209,"&gt;="&amp;$A1843,Data!$A$10:$A$3209,"&lt;"&amp;$A1843+1)))</f>
        <v/>
      </c>
      <c r="AE1843">
        <f>IF($B1843=0,0,IF(Inputs!$B$7="",0,COUNTIFS(Data!$E$10:$E$3209,"&gt;="&amp;$A1843,Data!$E$10:$E$3209,"&lt;"&amp;$A1843+1)))</f>
        <v/>
      </c>
      <c r="AF1843">
        <f>IF($B1843=0,0,IF(Inputs!$B$8="",0,COUNTIFS(Data!$I$10:$I$3209,"&gt;="&amp;$A1843,Data!$I$10:$I$3209,"&lt;"&amp;$A1843+1)))</f>
        <v/>
      </c>
      <c r="AG1843">
        <f>IF($B1843=0,0,IF(Inputs!$B$9="",0,COUNTIFS(Data!$M$10:$M$3209,"&gt;="&amp;$A1843,Data!$M$10:$M$3209,"&lt;"&amp;$A1843+1)))</f>
        <v/>
      </c>
      <c r="AH1843">
        <f>IF($B1843=0,0,IF(Inputs!$B$10="",0,COUNTIFS(Data!$Q$10:$Q$3209,"&gt;="&amp;$A1843,Data!$Q$10:$Q$3209,"&lt;"&amp;$A1843+1)))</f>
        <v/>
      </c>
    </row>
    <row r="1844">
      <c r="A1844" s="55">
        <f>MIN(Inputs!$C$15,$A1843+IF(WEEKDAY($A1843,2)=5,3,1))</f>
        <v/>
      </c>
      <c r="B1844">
        <f>IF($A1844&gt;$A1843,1,0)</f>
        <v/>
      </c>
      <c r="C1844" s="56">
        <f>IF($B1844=0,"",IF(Inputs!$B$6="","",IF($AD1844=0,C1843,SUMIFS(Data!$B$10:$B$3209,Data!$A$10:$A$3209,"&gt;="&amp;$A1844,Data!$A$10:$A$3209,"&lt;"&amp;$A1844+1)/$AD1844)))</f>
        <v/>
      </c>
      <c r="D1844" s="56">
        <f>IF($B1844=0,"",IF(Inputs!$B$7="","",IF($AE1844=0,D1843,SUMIFS(Data!$F$10:$F$3209,Data!$E$10:$E$3209,"&gt;="&amp;$A1844,Data!$E$10:$E$3209,"&lt;"&amp;$A1844+1)/$AE1844)))</f>
        <v/>
      </c>
      <c r="E1844" s="56">
        <f>IF($B1844=0,"",IF(Inputs!$B$8="","",IF($AF1844=0,E1843,SUMIFS(Data!$J$10:$J$3209,Data!$I$10:$I$3209,"&gt;="&amp;$A1844,Data!$I$10:$I$3209,"&lt;"&amp;$A1844+1)/$AF1844)))</f>
        <v/>
      </c>
      <c r="F1844" s="56">
        <f>IF($B1844=0,"",IF(Inputs!$B$9="","",IF($AG1844=0,F1843,SUMIFS(Data!$N$10:$N$3209,Data!$M$10:$M$3209,"&gt;="&amp;$A1844,Data!$M$10:$M$3209,"&lt;"&amp;$A1844+1)/$AG1844)))</f>
        <v/>
      </c>
      <c r="G1844" s="56">
        <f>IF($B1844=0,"",IF(Inputs!$B$10="","",IF($AH1844=0,G1843,SUMIFS(Data!$R$10:$R$3209,Data!$Q$10:$Q$3209,"&gt;="&amp;$A1844,Data!$Q$10:$Q$3209,"&lt;"&amp;$A1844+1)/$AH1844)))</f>
        <v/>
      </c>
      <c r="I1844" s="54">
        <f>IF($B1844=0,NA(),IF($C1844="",NA(),IF(C$8="",NA(),IF(N(C$8)=0,NA(),IF(Inputs!$C$17="Rebased to 100",$C1844/C$8*100,$C1844)))))</f>
        <v/>
      </c>
      <c r="J1844" s="54">
        <f>IF($B1844=0,NA(),IF($D1844="",NA(),IF(D$8="",NA(),IF(N(D$8)=0,NA(),IF(Inputs!$C$17="Rebased to 100",$D1844/D$8*100,$D1844)))))</f>
        <v/>
      </c>
      <c r="K1844" s="54">
        <f>IF($B1844=0,NA(),IF($E1844="",NA(),IF(E$8="",NA(),IF(N(E$8)=0,NA(),IF(Inputs!$C$17="Rebased to 100",$E1844/E$8*100,$E1844)))))</f>
        <v/>
      </c>
      <c r="L1844" s="54">
        <f>IF($B1844=0,NA(),IF($F1844="",NA(),IF(F$8="",NA(),IF(N(F$8)=0,NA(),IF(Inputs!$C$17="Rebased to 100",$F1844/F$8*100,$F1844)))))</f>
        <v/>
      </c>
      <c r="M1844" s="54">
        <f>IF($B1844=0,NA(),IF($G1844="",NA(),IF(G$8="",NA(),IF(N(G$8)=0,NA(),IF(Inputs!$C$17="Rebased to 100",$G1844/G$8*100,$G1844)))))</f>
        <v/>
      </c>
      <c r="N1844" s="54">
        <f>IF($B1844=0,NA(),IF(Inputs!$C$18&lt;&gt;"Yes",NA(),IF(COUNT(I1844,J1844,K1844,L1844,M1844)=0,NA(),MIN(I1844,J1844,K1844,L1844,M1844))))</f>
        <v/>
      </c>
      <c r="O1844" s="54">
        <f>IF($B1844=0,NA(),IF(Inputs!$B$24&lt;&gt;"Yes",NA(),Inputs!$D$24*Inputs!$C$35))</f>
        <v/>
      </c>
      <c r="P1844" s="54">
        <f>IF($B1844=0,NA(),IF(Inputs!$B$25&lt;&gt;"Yes",NA(),Inputs!$D$25*Inputs!$C$35))</f>
        <v/>
      </c>
      <c r="Q1844" s="54">
        <f>IF($B1844=0,NA(),IF(Inputs!$B$26&lt;&gt;"Yes",NA(),Inputs!$D$26*Inputs!$C$35))</f>
        <v/>
      </c>
      <c r="R1844" s="54">
        <f>IF($B1844=0,NA(),IF(Inputs!$B$27&lt;&gt;"Yes",NA(),Inputs!$D$27*Inputs!$C$35))</f>
        <v/>
      </c>
      <c r="S1844" s="54">
        <f>IF($B1844=0,NA(),IF(Inputs!$B$28&lt;&gt;"Yes",NA(),Inputs!$D$28*Inputs!$C$35))</f>
        <v/>
      </c>
      <c r="T1844" s="54">
        <f>IF($B1844=0,NA(),IF(Inputs!$B$29&lt;&gt;"Yes",NA(),Inputs!$D$29*Inputs!$C$35))</f>
        <v/>
      </c>
      <c r="AD1844">
        <f>IF($B1844=0,0,IF(Inputs!$B$6="",0,COUNTIFS(Data!$A$10:$A$3209,"&gt;="&amp;$A1844,Data!$A$10:$A$3209,"&lt;"&amp;$A1844+1)))</f>
        <v/>
      </c>
      <c r="AE1844">
        <f>IF($B1844=0,0,IF(Inputs!$B$7="",0,COUNTIFS(Data!$E$10:$E$3209,"&gt;="&amp;$A1844,Data!$E$10:$E$3209,"&lt;"&amp;$A1844+1)))</f>
        <v/>
      </c>
      <c r="AF1844">
        <f>IF($B1844=0,0,IF(Inputs!$B$8="",0,COUNTIFS(Data!$I$10:$I$3209,"&gt;="&amp;$A1844,Data!$I$10:$I$3209,"&lt;"&amp;$A1844+1)))</f>
        <v/>
      </c>
      <c r="AG1844">
        <f>IF($B1844=0,0,IF(Inputs!$B$9="",0,COUNTIFS(Data!$M$10:$M$3209,"&gt;="&amp;$A1844,Data!$M$10:$M$3209,"&lt;"&amp;$A1844+1)))</f>
        <v/>
      </c>
      <c r="AH1844">
        <f>IF($B1844=0,0,IF(Inputs!$B$10="",0,COUNTIFS(Data!$Q$10:$Q$3209,"&gt;="&amp;$A1844,Data!$Q$10:$Q$3209,"&lt;"&amp;$A1844+1)))</f>
        <v/>
      </c>
    </row>
    <row r="1845">
      <c r="A1845" s="55">
        <f>MIN(Inputs!$C$15,$A1844+IF(WEEKDAY($A1844,2)=5,3,1))</f>
        <v/>
      </c>
      <c r="B1845">
        <f>IF($A1845&gt;$A1844,1,0)</f>
        <v/>
      </c>
      <c r="C1845" s="56">
        <f>IF($B1845=0,"",IF(Inputs!$B$6="","",IF($AD1845=0,C1844,SUMIFS(Data!$B$10:$B$3209,Data!$A$10:$A$3209,"&gt;="&amp;$A1845,Data!$A$10:$A$3209,"&lt;"&amp;$A1845+1)/$AD1845)))</f>
        <v/>
      </c>
      <c r="D1845" s="56">
        <f>IF($B1845=0,"",IF(Inputs!$B$7="","",IF($AE1845=0,D1844,SUMIFS(Data!$F$10:$F$3209,Data!$E$10:$E$3209,"&gt;="&amp;$A1845,Data!$E$10:$E$3209,"&lt;"&amp;$A1845+1)/$AE1845)))</f>
        <v/>
      </c>
      <c r="E1845" s="56">
        <f>IF($B1845=0,"",IF(Inputs!$B$8="","",IF($AF1845=0,E1844,SUMIFS(Data!$J$10:$J$3209,Data!$I$10:$I$3209,"&gt;="&amp;$A1845,Data!$I$10:$I$3209,"&lt;"&amp;$A1845+1)/$AF1845)))</f>
        <v/>
      </c>
      <c r="F1845" s="56">
        <f>IF($B1845=0,"",IF(Inputs!$B$9="","",IF($AG1845=0,F1844,SUMIFS(Data!$N$10:$N$3209,Data!$M$10:$M$3209,"&gt;="&amp;$A1845,Data!$M$10:$M$3209,"&lt;"&amp;$A1845+1)/$AG1845)))</f>
        <v/>
      </c>
      <c r="G1845" s="56">
        <f>IF($B1845=0,"",IF(Inputs!$B$10="","",IF($AH1845=0,G1844,SUMIFS(Data!$R$10:$R$3209,Data!$Q$10:$Q$3209,"&gt;="&amp;$A1845,Data!$Q$10:$Q$3209,"&lt;"&amp;$A1845+1)/$AH1845)))</f>
        <v/>
      </c>
      <c r="I1845" s="54">
        <f>IF($B1845=0,NA(),IF($C1845="",NA(),IF(C$8="",NA(),IF(N(C$8)=0,NA(),IF(Inputs!$C$17="Rebased to 100",$C1845/C$8*100,$C1845)))))</f>
        <v/>
      </c>
      <c r="J1845" s="54">
        <f>IF($B1845=0,NA(),IF($D1845="",NA(),IF(D$8="",NA(),IF(N(D$8)=0,NA(),IF(Inputs!$C$17="Rebased to 100",$D1845/D$8*100,$D1845)))))</f>
        <v/>
      </c>
      <c r="K1845" s="54">
        <f>IF($B1845=0,NA(),IF($E1845="",NA(),IF(E$8="",NA(),IF(N(E$8)=0,NA(),IF(Inputs!$C$17="Rebased to 100",$E1845/E$8*100,$E1845)))))</f>
        <v/>
      </c>
      <c r="L1845" s="54">
        <f>IF($B1845=0,NA(),IF($F1845="",NA(),IF(F$8="",NA(),IF(N(F$8)=0,NA(),IF(Inputs!$C$17="Rebased to 100",$F1845/F$8*100,$F1845)))))</f>
        <v/>
      </c>
      <c r="M1845" s="54">
        <f>IF($B1845=0,NA(),IF($G1845="",NA(),IF(G$8="",NA(),IF(N(G$8)=0,NA(),IF(Inputs!$C$17="Rebased to 100",$G1845/G$8*100,$G1845)))))</f>
        <v/>
      </c>
      <c r="N1845" s="54">
        <f>IF($B1845=0,NA(),IF(Inputs!$C$18&lt;&gt;"Yes",NA(),IF(COUNT(I1845,J1845,K1845,L1845,M1845)=0,NA(),MIN(I1845,J1845,K1845,L1845,M1845))))</f>
        <v/>
      </c>
      <c r="O1845" s="54">
        <f>IF($B1845=0,NA(),IF(Inputs!$B$24&lt;&gt;"Yes",NA(),Inputs!$D$24*Inputs!$C$35))</f>
        <v/>
      </c>
      <c r="P1845" s="54">
        <f>IF($B1845=0,NA(),IF(Inputs!$B$25&lt;&gt;"Yes",NA(),Inputs!$D$25*Inputs!$C$35))</f>
        <v/>
      </c>
      <c r="Q1845" s="54">
        <f>IF($B1845=0,NA(),IF(Inputs!$B$26&lt;&gt;"Yes",NA(),Inputs!$D$26*Inputs!$C$35))</f>
        <v/>
      </c>
      <c r="R1845" s="54">
        <f>IF($B1845=0,NA(),IF(Inputs!$B$27&lt;&gt;"Yes",NA(),Inputs!$D$27*Inputs!$C$35))</f>
        <v/>
      </c>
      <c r="S1845" s="54">
        <f>IF($B1845=0,NA(),IF(Inputs!$B$28&lt;&gt;"Yes",NA(),Inputs!$D$28*Inputs!$C$35))</f>
        <v/>
      </c>
      <c r="T1845" s="54">
        <f>IF($B1845=0,NA(),IF(Inputs!$B$29&lt;&gt;"Yes",NA(),Inputs!$D$29*Inputs!$C$35))</f>
        <v/>
      </c>
      <c r="AD1845">
        <f>IF($B1845=0,0,IF(Inputs!$B$6="",0,COUNTIFS(Data!$A$10:$A$3209,"&gt;="&amp;$A1845,Data!$A$10:$A$3209,"&lt;"&amp;$A1845+1)))</f>
        <v/>
      </c>
      <c r="AE1845">
        <f>IF($B1845=0,0,IF(Inputs!$B$7="",0,COUNTIFS(Data!$E$10:$E$3209,"&gt;="&amp;$A1845,Data!$E$10:$E$3209,"&lt;"&amp;$A1845+1)))</f>
        <v/>
      </c>
      <c r="AF1845">
        <f>IF($B1845=0,0,IF(Inputs!$B$8="",0,COUNTIFS(Data!$I$10:$I$3209,"&gt;="&amp;$A1845,Data!$I$10:$I$3209,"&lt;"&amp;$A1845+1)))</f>
        <v/>
      </c>
      <c r="AG1845">
        <f>IF($B1845=0,0,IF(Inputs!$B$9="",0,COUNTIFS(Data!$M$10:$M$3209,"&gt;="&amp;$A1845,Data!$M$10:$M$3209,"&lt;"&amp;$A1845+1)))</f>
        <v/>
      </c>
      <c r="AH1845">
        <f>IF($B1845=0,0,IF(Inputs!$B$10="",0,COUNTIFS(Data!$Q$10:$Q$3209,"&gt;="&amp;$A1845,Data!$Q$10:$Q$3209,"&lt;"&amp;$A1845+1)))</f>
        <v/>
      </c>
    </row>
    <row r="1846">
      <c r="A1846" s="55">
        <f>MIN(Inputs!$C$15,$A1845+IF(WEEKDAY($A1845,2)=5,3,1))</f>
        <v/>
      </c>
      <c r="B1846">
        <f>IF($A1846&gt;$A1845,1,0)</f>
        <v/>
      </c>
      <c r="C1846" s="56">
        <f>IF($B1846=0,"",IF(Inputs!$B$6="","",IF($AD1846=0,C1845,SUMIFS(Data!$B$10:$B$3209,Data!$A$10:$A$3209,"&gt;="&amp;$A1846,Data!$A$10:$A$3209,"&lt;"&amp;$A1846+1)/$AD1846)))</f>
        <v/>
      </c>
      <c r="D1846" s="56">
        <f>IF($B1846=0,"",IF(Inputs!$B$7="","",IF($AE1846=0,D1845,SUMIFS(Data!$F$10:$F$3209,Data!$E$10:$E$3209,"&gt;="&amp;$A1846,Data!$E$10:$E$3209,"&lt;"&amp;$A1846+1)/$AE1846)))</f>
        <v/>
      </c>
      <c r="E1846" s="56">
        <f>IF($B1846=0,"",IF(Inputs!$B$8="","",IF($AF1846=0,E1845,SUMIFS(Data!$J$10:$J$3209,Data!$I$10:$I$3209,"&gt;="&amp;$A1846,Data!$I$10:$I$3209,"&lt;"&amp;$A1846+1)/$AF1846)))</f>
        <v/>
      </c>
      <c r="F1846" s="56">
        <f>IF($B1846=0,"",IF(Inputs!$B$9="","",IF($AG1846=0,F1845,SUMIFS(Data!$N$10:$N$3209,Data!$M$10:$M$3209,"&gt;="&amp;$A1846,Data!$M$10:$M$3209,"&lt;"&amp;$A1846+1)/$AG1846)))</f>
        <v/>
      </c>
      <c r="G1846" s="56">
        <f>IF($B1846=0,"",IF(Inputs!$B$10="","",IF($AH1846=0,G1845,SUMIFS(Data!$R$10:$R$3209,Data!$Q$10:$Q$3209,"&gt;="&amp;$A1846,Data!$Q$10:$Q$3209,"&lt;"&amp;$A1846+1)/$AH1846)))</f>
        <v/>
      </c>
      <c r="I1846" s="54">
        <f>IF($B1846=0,NA(),IF($C1846="",NA(),IF(C$8="",NA(),IF(N(C$8)=0,NA(),IF(Inputs!$C$17="Rebased to 100",$C1846/C$8*100,$C1846)))))</f>
        <v/>
      </c>
      <c r="J1846" s="54">
        <f>IF($B1846=0,NA(),IF($D1846="",NA(),IF(D$8="",NA(),IF(N(D$8)=0,NA(),IF(Inputs!$C$17="Rebased to 100",$D1846/D$8*100,$D1846)))))</f>
        <v/>
      </c>
      <c r="K1846" s="54">
        <f>IF($B1846=0,NA(),IF($E1846="",NA(),IF(E$8="",NA(),IF(N(E$8)=0,NA(),IF(Inputs!$C$17="Rebased to 100",$E1846/E$8*100,$E1846)))))</f>
        <v/>
      </c>
      <c r="L1846" s="54">
        <f>IF($B1846=0,NA(),IF($F1846="",NA(),IF(F$8="",NA(),IF(N(F$8)=0,NA(),IF(Inputs!$C$17="Rebased to 100",$F1846/F$8*100,$F1846)))))</f>
        <v/>
      </c>
      <c r="M1846" s="54">
        <f>IF($B1846=0,NA(),IF($G1846="",NA(),IF(G$8="",NA(),IF(N(G$8)=0,NA(),IF(Inputs!$C$17="Rebased to 100",$G1846/G$8*100,$G1846)))))</f>
        <v/>
      </c>
      <c r="N1846" s="54">
        <f>IF($B1846=0,NA(),IF(Inputs!$C$18&lt;&gt;"Yes",NA(),IF(COUNT(I1846,J1846,K1846,L1846,M1846)=0,NA(),MIN(I1846,J1846,K1846,L1846,M1846))))</f>
        <v/>
      </c>
      <c r="O1846" s="54">
        <f>IF($B1846=0,NA(),IF(Inputs!$B$24&lt;&gt;"Yes",NA(),Inputs!$D$24*Inputs!$C$35))</f>
        <v/>
      </c>
      <c r="P1846" s="54">
        <f>IF($B1846=0,NA(),IF(Inputs!$B$25&lt;&gt;"Yes",NA(),Inputs!$D$25*Inputs!$C$35))</f>
        <v/>
      </c>
      <c r="Q1846" s="54">
        <f>IF($B1846=0,NA(),IF(Inputs!$B$26&lt;&gt;"Yes",NA(),Inputs!$D$26*Inputs!$C$35))</f>
        <v/>
      </c>
      <c r="R1846" s="54">
        <f>IF($B1846=0,NA(),IF(Inputs!$B$27&lt;&gt;"Yes",NA(),Inputs!$D$27*Inputs!$C$35))</f>
        <v/>
      </c>
      <c r="S1846" s="54">
        <f>IF($B1846=0,NA(),IF(Inputs!$B$28&lt;&gt;"Yes",NA(),Inputs!$D$28*Inputs!$C$35))</f>
        <v/>
      </c>
      <c r="T1846" s="54">
        <f>IF($B1846=0,NA(),IF(Inputs!$B$29&lt;&gt;"Yes",NA(),Inputs!$D$29*Inputs!$C$35))</f>
        <v/>
      </c>
      <c r="AD1846">
        <f>IF($B1846=0,0,IF(Inputs!$B$6="",0,COUNTIFS(Data!$A$10:$A$3209,"&gt;="&amp;$A1846,Data!$A$10:$A$3209,"&lt;"&amp;$A1846+1)))</f>
        <v/>
      </c>
      <c r="AE1846">
        <f>IF($B1846=0,0,IF(Inputs!$B$7="",0,COUNTIFS(Data!$E$10:$E$3209,"&gt;="&amp;$A1846,Data!$E$10:$E$3209,"&lt;"&amp;$A1846+1)))</f>
        <v/>
      </c>
      <c r="AF1846">
        <f>IF($B1846=0,0,IF(Inputs!$B$8="",0,COUNTIFS(Data!$I$10:$I$3209,"&gt;="&amp;$A1846,Data!$I$10:$I$3209,"&lt;"&amp;$A1846+1)))</f>
        <v/>
      </c>
      <c r="AG1846">
        <f>IF($B1846=0,0,IF(Inputs!$B$9="",0,COUNTIFS(Data!$M$10:$M$3209,"&gt;="&amp;$A1846,Data!$M$10:$M$3209,"&lt;"&amp;$A1846+1)))</f>
        <v/>
      </c>
      <c r="AH1846">
        <f>IF($B1846=0,0,IF(Inputs!$B$10="",0,COUNTIFS(Data!$Q$10:$Q$3209,"&gt;="&amp;$A1846,Data!$Q$10:$Q$3209,"&lt;"&amp;$A1846+1)))</f>
        <v/>
      </c>
    </row>
    <row r="1847">
      <c r="A1847" s="55">
        <f>MIN(Inputs!$C$15,$A1846+IF(WEEKDAY($A1846,2)=5,3,1))</f>
        <v/>
      </c>
      <c r="B1847">
        <f>IF($A1847&gt;$A1846,1,0)</f>
        <v/>
      </c>
      <c r="C1847" s="56">
        <f>IF($B1847=0,"",IF(Inputs!$B$6="","",IF($AD1847=0,C1846,SUMIFS(Data!$B$10:$B$3209,Data!$A$10:$A$3209,"&gt;="&amp;$A1847,Data!$A$10:$A$3209,"&lt;"&amp;$A1847+1)/$AD1847)))</f>
        <v/>
      </c>
      <c r="D1847" s="56">
        <f>IF($B1847=0,"",IF(Inputs!$B$7="","",IF($AE1847=0,D1846,SUMIFS(Data!$F$10:$F$3209,Data!$E$10:$E$3209,"&gt;="&amp;$A1847,Data!$E$10:$E$3209,"&lt;"&amp;$A1847+1)/$AE1847)))</f>
        <v/>
      </c>
      <c r="E1847" s="56">
        <f>IF($B1847=0,"",IF(Inputs!$B$8="","",IF($AF1847=0,E1846,SUMIFS(Data!$J$10:$J$3209,Data!$I$10:$I$3209,"&gt;="&amp;$A1847,Data!$I$10:$I$3209,"&lt;"&amp;$A1847+1)/$AF1847)))</f>
        <v/>
      </c>
      <c r="F1847" s="56">
        <f>IF($B1847=0,"",IF(Inputs!$B$9="","",IF($AG1847=0,F1846,SUMIFS(Data!$N$10:$N$3209,Data!$M$10:$M$3209,"&gt;="&amp;$A1847,Data!$M$10:$M$3209,"&lt;"&amp;$A1847+1)/$AG1847)))</f>
        <v/>
      </c>
      <c r="G1847" s="56">
        <f>IF($B1847=0,"",IF(Inputs!$B$10="","",IF($AH1847=0,G1846,SUMIFS(Data!$R$10:$R$3209,Data!$Q$10:$Q$3209,"&gt;="&amp;$A1847,Data!$Q$10:$Q$3209,"&lt;"&amp;$A1847+1)/$AH1847)))</f>
        <v/>
      </c>
      <c r="I1847" s="54">
        <f>IF($B1847=0,NA(),IF($C1847="",NA(),IF(C$8="",NA(),IF(N(C$8)=0,NA(),IF(Inputs!$C$17="Rebased to 100",$C1847/C$8*100,$C1847)))))</f>
        <v/>
      </c>
      <c r="J1847" s="54">
        <f>IF($B1847=0,NA(),IF($D1847="",NA(),IF(D$8="",NA(),IF(N(D$8)=0,NA(),IF(Inputs!$C$17="Rebased to 100",$D1847/D$8*100,$D1847)))))</f>
        <v/>
      </c>
      <c r="K1847" s="54">
        <f>IF($B1847=0,NA(),IF($E1847="",NA(),IF(E$8="",NA(),IF(N(E$8)=0,NA(),IF(Inputs!$C$17="Rebased to 100",$E1847/E$8*100,$E1847)))))</f>
        <v/>
      </c>
      <c r="L1847" s="54">
        <f>IF($B1847=0,NA(),IF($F1847="",NA(),IF(F$8="",NA(),IF(N(F$8)=0,NA(),IF(Inputs!$C$17="Rebased to 100",$F1847/F$8*100,$F1847)))))</f>
        <v/>
      </c>
      <c r="M1847" s="54">
        <f>IF($B1847=0,NA(),IF($G1847="",NA(),IF(G$8="",NA(),IF(N(G$8)=0,NA(),IF(Inputs!$C$17="Rebased to 100",$G1847/G$8*100,$G1847)))))</f>
        <v/>
      </c>
      <c r="N1847" s="54">
        <f>IF($B1847=0,NA(),IF(Inputs!$C$18&lt;&gt;"Yes",NA(),IF(COUNT(I1847,J1847,K1847,L1847,M1847)=0,NA(),MIN(I1847,J1847,K1847,L1847,M1847))))</f>
        <v/>
      </c>
      <c r="O1847" s="54">
        <f>IF($B1847=0,NA(),IF(Inputs!$B$24&lt;&gt;"Yes",NA(),Inputs!$D$24*Inputs!$C$35))</f>
        <v/>
      </c>
      <c r="P1847" s="54">
        <f>IF($B1847=0,NA(),IF(Inputs!$B$25&lt;&gt;"Yes",NA(),Inputs!$D$25*Inputs!$C$35))</f>
        <v/>
      </c>
      <c r="Q1847" s="54">
        <f>IF($B1847=0,NA(),IF(Inputs!$B$26&lt;&gt;"Yes",NA(),Inputs!$D$26*Inputs!$C$35))</f>
        <v/>
      </c>
      <c r="R1847" s="54">
        <f>IF($B1847=0,NA(),IF(Inputs!$B$27&lt;&gt;"Yes",NA(),Inputs!$D$27*Inputs!$C$35))</f>
        <v/>
      </c>
      <c r="S1847" s="54">
        <f>IF($B1847=0,NA(),IF(Inputs!$B$28&lt;&gt;"Yes",NA(),Inputs!$D$28*Inputs!$C$35))</f>
        <v/>
      </c>
      <c r="T1847" s="54">
        <f>IF($B1847=0,NA(),IF(Inputs!$B$29&lt;&gt;"Yes",NA(),Inputs!$D$29*Inputs!$C$35))</f>
        <v/>
      </c>
      <c r="AD1847">
        <f>IF($B1847=0,0,IF(Inputs!$B$6="",0,COUNTIFS(Data!$A$10:$A$3209,"&gt;="&amp;$A1847,Data!$A$10:$A$3209,"&lt;"&amp;$A1847+1)))</f>
        <v/>
      </c>
      <c r="AE1847">
        <f>IF($B1847=0,0,IF(Inputs!$B$7="",0,COUNTIFS(Data!$E$10:$E$3209,"&gt;="&amp;$A1847,Data!$E$10:$E$3209,"&lt;"&amp;$A1847+1)))</f>
        <v/>
      </c>
      <c r="AF1847">
        <f>IF($B1847=0,0,IF(Inputs!$B$8="",0,COUNTIFS(Data!$I$10:$I$3209,"&gt;="&amp;$A1847,Data!$I$10:$I$3209,"&lt;"&amp;$A1847+1)))</f>
        <v/>
      </c>
      <c r="AG1847">
        <f>IF($B1847=0,0,IF(Inputs!$B$9="",0,COUNTIFS(Data!$M$10:$M$3209,"&gt;="&amp;$A1847,Data!$M$10:$M$3209,"&lt;"&amp;$A1847+1)))</f>
        <v/>
      </c>
      <c r="AH1847">
        <f>IF($B1847=0,0,IF(Inputs!$B$10="",0,COUNTIFS(Data!$Q$10:$Q$3209,"&gt;="&amp;$A1847,Data!$Q$10:$Q$3209,"&lt;"&amp;$A1847+1)))</f>
        <v/>
      </c>
    </row>
    <row r="1848">
      <c r="A1848" s="55">
        <f>MIN(Inputs!$C$15,$A1847+IF(WEEKDAY($A1847,2)=5,3,1))</f>
        <v/>
      </c>
      <c r="B1848">
        <f>IF($A1848&gt;$A1847,1,0)</f>
        <v/>
      </c>
      <c r="C1848" s="56">
        <f>IF($B1848=0,"",IF(Inputs!$B$6="","",IF($AD1848=0,C1847,SUMIFS(Data!$B$10:$B$3209,Data!$A$10:$A$3209,"&gt;="&amp;$A1848,Data!$A$10:$A$3209,"&lt;"&amp;$A1848+1)/$AD1848)))</f>
        <v/>
      </c>
      <c r="D1848" s="56">
        <f>IF($B1848=0,"",IF(Inputs!$B$7="","",IF($AE1848=0,D1847,SUMIFS(Data!$F$10:$F$3209,Data!$E$10:$E$3209,"&gt;="&amp;$A1848,Data!$E$10:$E$3209,"&lt;"&amp;$A1848+1)/$AE1848)))</f>
        <v/>
      </c>
      <c r="E1848" s="56">
        <f>IF($B1848=0,"",IF(Inputs!$B$8="","",IF($AF1848=0,E1847,SUMIFS(Data!$J$10:$J$3209,Data!$I$10:$I$3209,"&gt;="&amp;$A1848,Data!$I$10:$I$3209,"&lt;"&amp;$A1848+1)/$AF1848)))</f>
        <v/>
      </c>
      <c r="F1848" s="56">
        <f>IF($B1848=0,"",IF(Inputs!$B$9="","",IF($AG1848=0,F1847,SUMIFS(Data!$N$10:$N$3209,Data!$M$10:$M$3209,"&gt;="&amp;$A1848,Data!$M$10:$M$3209,"&lt;"&amp;$A1848+1)/$AG1848)))</f>
        <v/>
      </c>
      <c r="G1848" s="56">
        <f>IF($B1848=0,"",IF(Inputs!$B$10="","",IF($AH1848=0,G1847,SUMIFS(Data!$R$10:$R$3209,Data!$Q$10:$Q$3209,"&gt;="&amp;$A1848,Data!$Q$10:$Q$3209,"&lt;"&amp;$A1848+1)/$AH1848)))</f>
        <v/>
      </c>
      <c r="I1848" s="54">
        <f>IF($B1848=0,NA(),IF($C1848="",NA(),IF(C$8="",NA(),IF(N(C$8)=0,NA(),IF(Inputs!$C$17="Rebased to 100",$C1848/C$8*100,$C1848)))))</f>
        <v/>
      </c>
      <c r="J1848" s="54">
        <f>IF($B1848=0,NA(),IF($D1848="",NA(),IF(D$8="",NA(),IF(N(D$8)=0,NA(),IF(Inputs!$C$17="Rebased to 100",$D1848/D$8*100,$D1848)))))</f>
        <v/>
      </c>
      <c r="K1848" s="54">
        <f>IF($B1848=0,NA(),IF($E1848="",NA(),IF(E$8="",NA(),IF(N(E$8)=0,NA(),IF(Inputs!$C$17="Rebased to 100",$E1848/E$8*100,$E1848)))))</f>
        <v/>
      </c>
      <c r="L1848" s="54">
        <f>IF($B1848=0,NA(),IF($F1848="",NA(),IF(F$8="",NA(),IF(N(F$8)=0,NA(),IF(Inputs!$C$17="Rebased to 100",$F1848/F$8*100,$F1848)))))</f>
        <v/>
      </c>
      <c r="M1848" s="54">
        <f>IF($B1848=0,NA(),IF($G1848="",NA(),IF(G$8="",NA(),IF(N(G$8)=0,NA(),IF(Inputs!$C$17="Rebased to 100",$G1848/G$8*100,$G1848)))))</f>
        <v/>
      </c>
      <c r="N1848" s="54">
        <f>IF($B1848=0,NA(),IF(Inputs!$C$18&lt;&gt;"Yes",NA(),IF(COUNT(I1848,J1848,K1848,L1848,M1848)=0,NA(),MIN(I1848,J1848,K1848,L1848,M1848))))</f>
        <v/>
      </c>
      <c r="O1848" s="54">
        <f>IF($B1848=0,NA(),IF(Inputs!$B$24&lt;&gt;"Yes",NA(),Inputs!$D$24*Inputs!$C$35))</f>
        <v/>
      </c>
      <c r="P1848" s="54">
        <f>IF($B1848=0,NA(),IF(Inputs!$B$25&lt;&gt;"Yes",NA(),Inputs!$D$25*Inputs!$C$35))</f>
        <v/>
      </c>
      <c r="Q1848" s="54">
        <f>IF($B1848=0,NA(),IF(Inputs!$B$26&lt;&gt;"Yes",NA(),Inputs!$D$26*Inputs!$C$35))</f>
        <v/>
      </c>
      <c r="R1848" s="54">
        <f>IF($B1848=0,NA(),IF(Inputs!$B$27&lt;&gt;"Yes",NA(),Inputs!$D$27*Inputs!$C$35))</f>
        <v/>
      </c>
      <c r="S1848" s="54">
        <f>IF($B1848=0,NA(),IF(Inputs!$B$28&lt;&gt;"Yes",NA(),Inputs!$D$28*Inputs!$C$35))</f>
        <v/>
      </c>
      <c r="T1848" s="54">
        <f>IF($B1848=0,NA(),IF(Inputs!$B$29&lt;&gt;"Yes",NA(),Inputs!$D$29*Inputs!$C$35))</f>
        <v/>
      </c>
      <c r="AD1848">
        <f>IF($B1848=0,0,IF(Inputs!$B$6="",0,COUNTIFS(Data!$A$10:$A$3209,"&gt;="&amp;$A1848,Data!$A$10:$A$3209,"&lt;"&amp;$A1848+1)))</f>
        <v/>
      </c>
      <c r="AE1848">
        <f>IF($B1848=0,0,IF(Inputs!$B$7="",0,COUNTIFS(Data!$E$10:$E$3209,"&gt;="&amp;$A1848,Data!$E$10:$E$3209,"&lt;"&amp;$A1848+1)))</f>
        <v/>
      </c>
      <c r="AF1848">
        <f>IF($B1848=0,0,IF(Inputs!$B$8="",0,COUNTIFS(Data!$I$10:$I$3209,"&gt;="&amp;$A1848,Data!$I$10:$I$3209,"&lt;"&amp;$A1848+1)))</f>
        <v/>
      </c>
      <c r="AG1848">
        <f>IF($B1848=0,0,IF(Inputs!$B$9="",0,COUNTIFS(Data!$M$10:$M$3209,"&gt;="&amp;$A1848,Data!$M$10:$M$3209,"&lt;"&amp;$A1848+1)))</f>
        <v/>
      </c>
      <c r="AH1848">
        <f>IF($B1848=0,0,IF(Inputs!$B$10="",0,COUNTIFS(Data!$Q$10:$Q$3209,"&gt;="&amp;$A1848,Data!$Q$10:$Q$3209,"&lt;"&amp;$A1848+1)))</f>
        <v/>
      </c>
    </row>
    <row r="1849">
      <c r="A1849" s="55">
        <f>MIN(Inputs!$C$15,$A1848+IF(WEEKDAY($A1848,2)=5,3,1))</f>
        <v/>
      </c>
      <c r="B1849">
        <f>IF($A1849&gt;$A1848,1,0)</f>
        <v/>
      </c>
      <c r="C1849" s="56">
        <f>IF($B1849=0,"",IF(Inputs!$B$6="","",IF($AD1849=0,C1848,SUMIFS(Data!$B$10:$B$3209,Data!$A$10:$A$3209,"&gt;="&amp;$A1849,Data!$A$10:$A$3209,"&lt;"&amp;$A1849+1)/$AD1849)))</f>
        <v/>
      </c>
      <c r="D1849" s="56">
        <f>IF($B1849=0,"",IF(Inputs!$B$7="","",IF($AE1849=0,D1848,SUMIFS(Data!$F$10:$F$3209,Data!$E$10:$E$3209,"&gt;="&amp;$A1849,Data!$E$10:$E$3209,"&lt;"&amp;$A1849+1)/$AE1849)))</f>
        <v/>
      </c>
      <c r="E1849" s="56">
        <f>IF($B1849=0,"",IF(Inputs!$B$8="","",IF($AF1849=0,E1848,SUMIFS(Data!$J$10:$J$3209,Data!$I$10:$I$3209,"&gt;="&amp;$A1849,Data!$I$10:$I$3209,"&lt;"&amp;$A1849+1)/$AF1849)))</f>
        <v/>
      </c>
      <c r="F1849" s="56">
        <f>IF($B1849=0,"",IF(Inputs!$B$9="","",IF($AG1849=0,F1848,SUMIFS(Data!$N$10:$N$3209,Data!$M$10:$M$3209,"&gt;="&amp;$A1849,Data!$M$10:$M$3209,"&lt;"&amp;$A1849+1)/$AG1849)))</f>
        <v/>
      </c>
      <c r="G1849" s="56">
        <f>IF($B1849=0,"",IF(Inputs!$B$10="","",IF($AH1849=0,G1848,SUMIFS(Data!$R$10:$R$3209,Data!$Q$10:$Q$3209,"&gt;="&amp;$A1849,Data!$Q$10:$Q$3209,"&lt;"&amp;$A1849+1)/$AH1849)))</f>
        <v/>
      </c>
      <c r="I1849" s="54">
        <f>IF($B1849=0,NA(),IF($C1849="",NA(),IF(C$8="",NA(),IF(N(C$8)=0,NA(),IF(Inputs!$C$17="Rebased to 100",$C1849/C$8*100,$C1849)))))</f>
        <v/>
      </c>
      <c r="J1849" s="54">
        <f>IF($B1849=0,NA(),IF($D1849="",NA(),IF(D$8="",NA(),IF(N(D$8)=0,NA(),IF(Inputs!$C$17="Rebased to 100",$D1849/D$8*100,$D1849)))))</f>
        <v/>
      </c>
      <c r="K1849" s="54">
        <f>IF($B1849=0,NA(),IF($E1849="",NA(),IF(E$8="",NA(),IF(N(E$8)=0,NA(),IF(Inputs!$C$17="Rebased to 100",$E1849/E$8*100,$E1849)))))</f>
        <v/>
      </c>
      <c r="L1849" s="54">
        <f>IF($B1849=0,NA(),IF($F1849="",NA(),IF(F$8="",NA(),IF(N(F$8)=0,NA(),IF(Inputs!$C$17="Rebased to 100",$F1849/F$8*100,$F1849)))))</f>
        <v/>
      </c>
      <c r="M1849" s="54">
        <f>IF($B1849=0,NA(),IF($G1849="",NA(),IF(G$8="",NA(),IF(N(G$8)=0,NA(),IF(Inputs!$C$17="Rebased to 100",$G1849/G$8*100,$G1849)))))</f>
        <v/>
      </c>
      <c r="N1849" s="54">
        <f>IF($B1849=0,NA(),IF(Inputs!$C$18&lt;&gt;"Yes",NA(),IF(COUNT(I1849,J1849,K1849,L1849,M1849)=0,NA(),MIN(I1849,J1849,K1849,L1849,M1849))))</f>
        <v/>
      </c>
      <c r="O1849" s="54">
        <f>IF($B1849=0,NA(),IF(Inputs!$B$24&lt;&gt;"Yes",NA(),Inputs!$D$24*Inputs!$C$35))</f>
        <v/>
      </c>
      <c r="P1849" s="54">
        <f>IF($B1849=0,NA(),IF(Inputs!$B$25&lt;&gt;"Yes",NA(),Inputs!$D$25*Inputs!$C$35))</f>
        <v/>
      </c>
      <c r="Q1849" s="54">
        <f>IF($B1849=0,NA(),IF(Inputs!$B$26&lt;&gt;"Yes",NA(),Inputs!$D$26*Inputs!$C$35))</f>
        <v/>
      </c>
      <c r="R1849" s="54">
        <f>IF($B1849=0,NA(),IF(Inputs!$B$27&lt;&gt;"Yes",NA(),Inputs!$D$27*Inputs!$C$35))</f>
        <v/>
      </c>
      <c r="S1849" s="54">
        <f>IF($B1849=0,NA(),IF(Inputs!$B$28&lt;&gt;"Yes",NA(),Inputs!$D$28*Inputs!$C$35))</f>
        <v/>
      </c>
      <c r="T1849" s="54">
        <f>IF($B1849=0,NA(),IF(Inputs!$B$29&lt;&gt;"Yes",NA(),Inputs!$D$29*Inputs!$C$35))</f>
        <v/>
      </c>
      <c r="AD1849">
        <f>IF($B1849=0,0,IF(Inputs!$B$6="",0,COUNTIFS(Data!$A$10:$A$3209,"&gt;="&amp;$A1849,Data!$A$10:$A$3209,"&lt;"&amp;$A1849+1)))</f>
        <v/>
      </c>
      <c r="AE1849">
        <f>IF($B1849=0,0,IF(Inputs!$B$7="",0,COUNTIFS(Data!$E$10:$E$3209,"&gt;="&amp;$A1849,Data!$E$10:$E$3209,"&lt;"&amp;$A1849+1)))</f>
        <v/>
      </c>
      <c r="AF1849">
        <f>IF($B1849=0,0,IF(Inputs!$B$8="",0,COUNTIFS(Data!$I$10:$I$3209,"&gt;="&amp;$A1849,Data!$I$10:$I$3209,"&lt;"&amp;$A1849+1)))</f>
        <v/>
      </c>
      <c r="AG1849">
        <f>IF($B1849=0,0,IF(Inputs!$B$9="",0,COUNTIFS(Data!$M$10:$M$3209,"&gt;="&amp;$A1849,Data!$M$10:$M$3209,"&lt;"&amp;$A1849+1)))</f>
        <v/>
      </c>
      <c r="AH1849">
        <f>IF($B1849=0,0,IF(Inputs!$B$10="",0,COUNTIFS(Data!$Q$10:$Q$3209,"&gt;="&amp;$A1849,Data!$Q$10:$Q$3209,"&lt;"&amp;$A1849+1)))</f>
        <v/>
      </c>
    </row>
    <row r="1850">
      <c r="A1850" s="55">
        <f>MIN(Inputs!$C$15,$A1849+IF(WEEKDAY($A1849,2)=5,3,1))</f>
        <v/>
      </c>
      <c r="B1850">
        <f>IF($A1850&gt;$A1849,1,0)</f>
        <v/>
      </c>
      <c r="C1850" s="56">
        <f>IF($B1850=0,"",IF(Inputs!$B$6="","",IF($AD1850=0,C1849,SUMIFS(Data!$B$10:$B$3209,Data!$A$10:$A$3209,"&gt;="&amp;$A1850,Data!$A$10:$A$3209,"&lt;"&amp;$A1850+1)/$AD1850)))</f>
        <v/>
      </c>
      <c r="D1850" s="56">
        <f>IF($B1850=0,"",IF(Inputs!$B$7="","",IF($AE1850=0,D1849,SUMIFS(Data!$F$10:$F$3209,Data!$E$10:$E$3209,"&gt;="&amp;$A1850,Data!$E$10:$E$3209,"&lt;"&amp;$A1850+1)/$AE1850)))</f>
        <v/>
      </c>
      <c r="E1850" s="56">
        <f>IF($B1850=0,"",IF(Inputs!$B$8="","",IF($AF1850=0,E1849,SUMIFS(Data!$J$10:$J$3209,Data!$I$10:$I$3209,"&gt;="&amp;$A1850,Data!$I$10:$I$3209,"&lt;"&amp;$A1850+1)/$AF1850)))</f>
        <v/>
      </c>
      <c r="F1850" s="56">
        <f>IF($B1850=0,"",IF(Inputs!$B$9="","",IF($AG1850=0,F1849,SUMIFS(Data!$N$10:$N$3209,Data!$M$10:$M$3209,"&gt;="&amp;$A1850,Data!$M$10:$M$3209,"&lt;"&amp;$A1850+1)/$AG1850)))</f>
        <v/>
      </c>
      <c r="G1850" s="56">
        <f>IF($B1850=0,"",IF(Inputs!$B$10="","",IF($AH1850=0,G1849,SUMIFS(Data!$R$10:$R$3209,Data!$Q$10:$Q$3209,"&gt;="&amp;$A1850,Data!$Q$10:$Q$3209,"&lt;"&amp;$A1850+1)/$AH1850)))</f>
        <v/>
      </c>
      <c r="I1850" s="54">
        <f>IF($B1850=0,NA(),IF($C1850="",NA(),IF(C$8="",NA(),IF(N(C$8)=0,NA(),IF(Inputs!$C$17="Rebased to 100",$C1850/C$8*100,$C1850)))))</f>
        <v/>
      </c>
      <c r="J1850" s="54">
        <f>IF($B1850=0,NA(),IF($D1850="",NA(),IF(D$8="",NA(),IF(N(D$8)=0,NA(),IF(Inputs!$C$17="Rebased to 100",$D1850/D$8*100,$D1850)))))</f>
        <v/>
      </c>
      <c r="K1850" s="54">
        <f>IF($B1850=0,NA(),IF($E1850="",NA(),IF(E$8="",NA(),IF(N(E$8)=0,NA(),IF(Inputs!$C$17="Rebased to 100",$E1850/E$8*100,$E1850)))))</f>
        <v/>
      </c>
      <c r="L1850" s="54">
        <f>IF($B1850=0,NA(),IF($F1850="",NA(),IF(F$8="",NA(),IF(N(F$8)=0,NA(),IF(Inputs!$C$17="Rebased to 100",$F1850/F$8*100,$F1850)))))</f>
        <v/>
      </c>
      <c r="M1850" s="54">
        <f>IF($B1850=0,NA(),IF($G1850="",NA(),IF(G$8="",NA(),IF(N(G$8)=0,NA(),IF(Inputs!$C$17="Rebased to 100",$G1850/G$8*100,$G1850)))))</f>
        <v/>
      </c>
      <c r="N1850" s="54">
        <f>IF($B1850=0,NA(),IF(Inputs!$C$18&lt;&gt;"Yes",NA(),IF(COUNT(I1850,J1850,K1850,L1850,M1850)=0,NA(),MIN(I1850,J1850,K1850,L1850,M1850))))</f>
        <v/>
      </c>
      <c r="O1850" s="54">
        <f>IF($B1850=0,NA(),IF(Inputs!$B$24&lt;&gt;"Yes",NA(),Inputs!$D$24*Inputs!$C$35))</f>
        <v/>
      </c>
      <c r="P1850" s="54">
        <f>IF($B1850=0,NA(),IF(Inputs!$B$25&lt;&gt;"Yes",NA(),Inputs!$D$25*Inputs!$C$35))</f>
        <v/>
      </c>
      <c r="Q1850" s="54">
        <f>IF($B1850=0,NA(),IF(Inputs!$B$26&lt;&gt;"Yes",NA(),Inputs!$D$26*Inputs!$C$35))</f>
        <v/>
      </c>
      <c r="R1850" s="54">
        <f>IF($B1850=0,NA(),IF(Inputs!$B$27&lt;&gt;"Yes",NA(),Inputs!$D$27*Inputs!$C$35))</f>
        <v/>
      </c>
      <c r="S1850" s="54">
        <f>IF($B1850=0,NA(),IF(Inputs!$B$28&lt;&gt;"Yes",NA(),Inputs!$D$28*Inputs!$C$35))</f>
        <v/>
      </c>
      <c r="T1850" s="54">
        <f>IF($B1850=0,NA(),IF(Inputs!$B$29&lt;&gt;"Yes",NA(),Inputs!$D$29*Inputs!$C$35))</f>
        <v/>
      </c>
      <c r="AD1850">
        <f>IF($B1850=0,0,IF(Inputs!$B$6="",0,COUNTIFS(Data!$A$10:$A$3209,"&gt;="&amp;$A1850,Data!$A$10:$A$3209,"&lt;"&amp;$A1850+1)))</f>
        <v/>
      </c>
      <c r="AE1850">
        <f>IF($B1850=0,0,IF(Inputs!$B$7="",0,COUNTIFS(Data!$E$10:$E$3209,"&gt;="&amp;$A1850,Data!$E$10:$E$3209,"&lt;"&amp;$A1850+1)))</f>
        <v/>
      </c>
      <c r="AF1850">
        <f>IF($B1850=0,0,IF(Inputs!$B$8="",0,COUNTIFS(Data!$I$10:$I$3209,"&gt;="&amp;$A1850,Data!$I$10:$I$3209,"&lt;"&amp;$A1850+1)))</f>
        <v/>
      </c>
      <c r="AG1850">
        <f>IF($B1850=0,0,IF(Inputs!$B$9="",0,COUNTIFS(Data!$M$10:$M$3209,"&gt;="&amp;$A1850,Data!$M$10:$M$3209,"&lt;"&amp;$A1850+1)))</f>
        <v/>
      </c>
      <c r="AH1850">
        <f>IF($B1850=0,0,IF(Inputs!$B$10="",0,COUNTIFS(Data!$Q$10:$Q$3209,"&gt;="&amp;$A1850,Data!$Q$10:$Q$3209,"&lt;"&amp;$A1850+1)))</f>
        <v/>
      </c>
    </row>
    <row r="1851">
      <c r="A1851" s="55">
        <f>MIN(Inputs!$C$15,$A1850+IF(WEEKDAY($A1850,2)=5,3,1))</f>
        <v/>
      </c>
      <c r="B1851">
        <f>IF($A1851&gt;$A1850,1,0)</f>
        <v/>
      </c>
      <c r="C1851" s="56">
        <f>IF($B1851=0,"",IF(Inputs!$B$6="","",IF($AD1851=0,C1850,SUMIFS(Data!$B$10:$B$3209,Data!$A$10:$A$3209,"&gt;="&amp;$A1851,Data!$A$10:$A$3209,"&lt;"&amp;$A1851+1)/$AD1851)))</f>
        <v/>
      </c>
      <c r="D1851" s="56">
        <f>IF($B1851=0,"",IF(Inputs!$B$7="","",IF($AE1851=0,D1850,SUMIFS(Data!$F$10:$F$3209,Data!$E$10:$E$3209,"&gt;="&amp;$A1851,Data!$E$10:$E$3209,"&lt;"&amp;$A1851+1)/$AE1851)))</f>
        <v/>
      </c>
      <c r="E1851" s="56">
        <f>IF($B1851=0,"",IF(Inputs!$B$8="","",IF($AF1851=0,E1850,SUMIFS(Data!$J$10:$J$3209,Data!$I$10:$I$3209,"&gt;="&amp;$A1851,Data!$I$10:$I$3209,"&lt;"&amp;$A1851+1)/$AF1851)))</f>
        <v/>
      </c>
      <c r="F1851" s="56">
        <f>IF($B1851=0,"",IF(Inputs!$B$9="","",IF($AG1851=0,F1850,SUMIFS(Data!$N$10:$N$3209,Data!$M$10:$M$3209,"&gt;="&amp;$A1851,Data!$M$10:$M$3209,"&lt;"&amp;$A1851+1)/$AG1851)))</f>
        <v/>
      </c>
      <c r="G1851" s="56">
        <f>IF($B1851=0,"",IF(Inputs!$B$10="","",IF($AH1851=0,G1850,SUMIFS(Data!$R$10:$R$3209,Data!$Q$10:$Q$3209,"&gt;="&amp;$A1851,Data!$Q$10:$Q$3209,"&lt;"&amp;$A1851+1)/$AH1851)))</f>
        <v/>
      </c>
      <c r="I1851" s="54">
        <f>IF($B1851=0,NA(),IF($C1851="",NA(),IF(C$8="",NA(),IF(N(C$8)=0,NA(),IF(Inputs!$C$17="Rebased to 100",$C1851/C$8*100,$C1851)))))</f>
        <v/>
      </c>
      <c r="J1851" s="54">
        <f>IF($B1851=0,NA(),IF($D1851="",NA(),IF(D$8="",NA(),IF(N(D$8)=0,NA(),IF(Inputs!$C$17="Rebased to 100",$D1851/D$8*100,$D1851)))))</f>
        <v/>
      </c>
      <c r="K1851" s="54">
        <f>IF($B1851=0,NA(),IF($E1851="",NA(),IF(E$8="",NA(),IF(N(E$8)=0,NA(),IF(Inputs!$C$17="Rebased to 100",$E1851/E$8*100,$E1851)))))</f>
        <v/>
      </c>
      <c r="L1851" s="54">
        <f>IF($B1851=0,NA(),IF($F1851="",NA(),IF(F$8="",NA(),IF(N(F$8)=0,NA(),IF(Inputs!$C$17="Rebased to 100",$F1851/F$8*100,$F1851)))))</f>
        <v/>
      </c>
      <c r="M1851" s="54">
        <f>IF($B1851=0,NA(),IF($G1851="",NA(),IF(G$8="",NA(),IF(N(G$8)=0,NA(),IF(Inputs!$C$17="Rebased to 100",$G1851/G$8*100,$G1851)))))</f>
        <v/>
      </c>
      <c r="N1851" s="54">
        <f>IF($B1851=0,NA(),IF(Inputs!$C$18&lt;&gt;"Yes",NA(),IF(COUNT(I1851,J1851,K1851,L1851,M1851)=0,NA(),MIN(I1851,J1851,K1851,L1851,M1851))))</f>
        <v/>
      </c>
      <c r="O1851" s="54">
        <f>IF($B1851=0,NA(),IF(Inputs!$B$24&lt;&gt;"Yes",NA(),Inputs!$D$24*Inputs!$C$35))</f>
        <v/>
      </c>
      <c r="P1851" s="54">
        <f>IF($B1851=0,NA(),IF(Inputs!$B$25&lt;&gt;"Yes",NA(),Inputs!$D$25*Inputs!$C$35))</f>
        <v/>
      </c>
      <c r="Q1851" s="54">
        <f>IF($B1851=0,NA(),IF(Inputs!$B$26&lt;&gt;"Yes",NA(),Inputs!$D$26*Inputs!$C$35))</f>
        <v/>
      </c>
      <c r="R1851" s="54">
        <f>IF($B1851=0,NA(),IF(Inputs!$B$27&lt;&gt;"Yes",NA(),Inputs!$D$27*Inputs!$C$35))</f>
        <v/>
      </c>
      <c r="S1851" s="54">
        <f>IF($B1851=0,NA(),IF(Inputs!$B$28&lt;&gt;"Yes",NA(),Inputs!$D$28*Inputs!$C$35))</f>
        <v/>
      </c>
      <c r="T1851" s="54">
        <f>IF($B1851=0,NA(),IF(Inputs!$B$29&lt;&gt;"Yes",NA(),Inputs!$D$29*Inputs!$C$35))</f>
        <v/>
      </c>
      <c r="AD1851">
        <f>IF($B1851=0,0,IF(Inputs!$B$6="",0,COUNTIFS(Data!$A$10:$A$3209,"&gt;="&amp;$A1851,Data!$A$10:$A$3209,"&lt;"&amp;$A1851+1)))</f>
        <v/>
      </c>
      <c r="AE1851">
        <f>IF($B1851=0,0,IF(Inputs!$B$7="",0,COUNTIFS(Data!$E$10:$E$3209,"&gt;="&amp;$A1851,Data!$E$10:$E$3209,"&lt;"&amp;$A1851+1)))</f>
        <v/>
      </c>
      <c r="AF1851">
        <f>IF($B1851=0,0,IF(Inputs!$B$8="",0,COUNTIFS(Data!$I$10:$I$3209,"&gt;="&amp;$A1851,Data!$I$10:$I$3209,"&lt;"&amp;$A1851+1)))</f>
        <v/>
      </c>
      <c r="AG1851">
        <f>IF($B1851=0,0,IF(Inputs!$B$9="",0,COUNTIFS(Data!$M$10:$M$3209,"&gt;="&amp;$A1851,Data!$M$10:$M$3209,"&lt;"&amp;$A1851+1)))</f>
        <v/>
      </c>
      <c r="AH1851">
        <f>IF($B1851=0,0,IF(Inputs!$B$10="",0,COUNTIFS(Data!$Q$10:$Q$3209,"&gt;="&amp;$A1851,Data!$Q$10:$Q$3209,"&lt;"&amp;$A1851+1)))</f>
        <v/>
      </c>
    </row>
    <row r="1852">
      <c r="A1852" s="55">
        <f>MIN(Inputs!$C$15,$A1851+IF(WEEKDAY($A1851,2)=5,3,1))</f>
        <v/>
      </c>
      <c r="B1852">
        <f>IF($A1852&gt;$A1851,1,0)</f>
        <v/>
      </c>
      <c r="C1852" s="56">
        <f>IF($B1852=0,"",IF(Inputs!$B$6="","",IF($AD1852=0,C1851,SUMIFS(Data!$B$10:$B$3209,Data!$A$10:$A$3209,"&gt;="&amp;$A1852,Data!$A$10:$A$3209,"&lt;"&amp;$A1852+1)/$AD1852)))</f>
        <v/>
      </c>
      <c r="D1852" s="56">
        <f>IF($B1852=0,"",IF(Inputs!$B$7="","",IF($AE1852=0,D1851,SUMIFS(Data!$F$10:$F$3209,Data!$E$10:$E$3209,"&gt;="&amp;$A1852,Data!$E$10:$E$3209,"&lt;"&amp;$A1852+1)/$AE1852)))</f>
        <v/>
      </c>
      <c r="E1852" s="56">
        <f>IF($B1852=0,"",IF(Inputs!$B$8="","",IF($AF1852=0,E1851,SUMIFS(Data!$J$10:$J$3209,Data!$I$10:$I$3209,"&gt;="&amp;$A1852,Data!$I$10:$I$3209,"&lt;"&amp;$A1852+1)/$AF1852)))</f>
        <v/>
      </c>
      <c r="F1852" s="56">
        <f>IF($B1852=0,"",IF(Inputs!$B$9="","",IF($AG1852=0,F1851,SUMIFS(Data!$N$10:$N$3209,Data!$M$10:$M$3209,"&gt;="&amp;$A1852,Data!$M$10:$M$3209,"&lt;"&amp;$A1852+1)/$AG1852)))</f>
        <v/>
      </c>
      <c r="G1852" s="56">
        <f>IF($B1852=0,"",IF(Inputs!$B$10="","",IF($AH1852=0,G1851,SUMIFS(Data!$R$10:$R$3209,Data!$Q$10:$Q$3209,"&gt;="&amp;$A1852,Data!$Q$10:$Q$3209,"&lt;"&amp;$A1852+1)/$AH1852)))</f>
        <v/>
      </c>
      <c r="I1852" s="54">
        <f>IF($B1852=0,NA(),IF($C1852="",NA(),IF(C$8="",NA(),IF(N(C$8)=0,NA(),IF(Inputs!$C$17="Rebased to 100",$C1852/C$8*100,$C1852)))))</f>
        <v/>
      </c>
      <c r="J1852" s="54">
        <f>IF($B1852=0,NA(),IF($D1852="",NA(),IF(D$8="",NA(),IF(N(D$8)=0,NA(),IF(Inputs!$C$17="Rebased to 100",$D1852/D$8*100,$D1852)))))</f>
        <v/>
      </c>
      <c r="K1852" s="54">
        <f>IF($B1852=0,NA(),IF($E1852="",NA(),IF(E$8="",NA(),IF(N(E$8)=0,NA(),IF(Inputs!$C$17="Rebased to 100",$E1852/E$8*100,$E1852)))))</f>
        <v/>
      </c>
      <c r="L1852" s="54">
        <f>IF($B1852=0,NA(),IF($F1852="",NA(),IF(F$8="",NA(),IF(N(F$8)=0,NA(),IF(Inputs!$C$17="Rebased to 100",$F1852/F$8*100,$F1852)))))</f>
        <v/>
      </c>
      <c r="M1852" s="54">
        <f>IF($B1852=0,NA(),IF($G1852="",NA(),IF(G$8="",NA(),IF(N(G$8)=0,NA(),IF(Inputs!$C$17="Rebased to 100",$G1852/G$8*100,$G1852)))))</f>
        <v/>
      </c>
      <c r="N1852" s="54">
        <f>IF($B1852=0,NA(),IF(Inputs!$C$18&lt;&gt;"Yes",NA(),IF(COUNT(I1852,J1852,K1852,L1852,M1852)=0,NA(),MIN(I1852,J1852,K1852,L1852,M1852))))</f>
        <v/>
      </c>
      <c r="O1852" s="54">
        <f>IF($B1852=0,NA(),IF(Inputs!$B$24&lt;&gt;"Yes",NA(),Inputs!$D$24*Inputs!$C$35))</f>
        <v/>
      </c>
      <c r="P1852" s="54">
        <f>IF($B1852=0,NA(),IF(Inputs!$B$25&lt;&gt;"Yes",NA(),Inputs!$D$25*Inputs!$C$35))</f>
        <v/>
      </c>
      <c r="Q1852" s="54">
        <f>IF($B1852=0,NA(),IF(Inputs!$B$26&lt;&gt;"Yes",NA(),Inputs!$D$26*Inputs!$C$35))</f>
        <v/>
      </c>
      <c r="R1852" s="54">
        <f>IF($B1852=0,NA(),IF(Inputs!$B$27&lt;&gt;"Yes",NA(),Inputs!$D$27*Inputs!$C$35))</f>
        <v/>
      </c>
      <c r="S1852" s="54">
        <f>IF($B1852=0,NA(),IF(Inputs!$B$28&lt;&gt;"Yes",NA(),Inputs!$D$28*Inputs!$C$35))</f>
        <v/>
      </c>
      <c r="T1852" s="54">
        <f>IF($B1852=0,NA(),IF(Inputs!$B$29&lt;&gt;"Yes",NA(),Inputs!$D$29*Inputs!$C$35))</f>
        <v/>
      </c>
      <c r="AD1852">
        <f>IF($B1852=0,0,IF(Inputs!$B$6="",0,COUNTIFS(Data!$A$10:$A$3209,"&gt;="&amp;$A1852,Data!$A$10:$A$3209,"&lt;"&amp;$A1852+1)))</f>
        <v/>
      </c>
      <c r="AE1852">
        <f>IF($B1852=0,0,IF(Inputs!$B$7="",0,COUNTIFS(Data!$E$10:$E$3209,"&gt;="&amp;$A1852,Data!$E$10:$E$3209,"&lt;"&amp;$A1852+1)))</f>
        <v/>
      </c>
      <c r="AF1852">
        <f>IF($B1852=0,0,IF(Inputs!$B$8="",0,COUNTIFS(Data!$I$10:$I$3209,"&gt;="&amp;$A1852,Data!$I$10:$I$3209,"&lt;"&amp;$A1852+1)))</f>
        <v/>
      </c>
      <c r="AG1852">
        <f>IF($B1852=0,0,IF(Inputs!$B$9="",0,COUNTIFS(Data!$M$10:$M$3209,"&gt;="&amp;$A1852,Data!$M$10:$M$3209,"&lt;"&amp;$A1852+1)))</f>
        <v/>
      </c>
      <c r="AH1852">
        <f>IF($B1852=0,0,IF(Inputs!$B$10="",0,COUNTIFS(Data!$Q$10:$Q$3209,"&gt;="&amp;$A1852,Data!$Q$10:$Q$3209,"&lt;"&amp;$A1852+1)))</f>
        <v/>
      </c>
    </row>
    <row r="1853">
      <c r="A1853" s="55">
        <f>MIN(Inputs!$C$15,$A1852+IF(WEEKDAY($A1852,2)=5,3,1))</f>
        <v/>
      </c>
      <c r="B1853">
        <f>IF($A1853&gt;$A1852,1,0)</f>
        <v/>
      </c>
      <c r="C1853" s="56">
        <f>IF($B1853=0,"",IF(Inputs!$B$6="","",IF($AD1853=0,C1852,SUMIFS(Data!$B$10:$B$3209,Data!$A$10:$A$3209,"&gt;="&amp;$A1853,Data!$A$10:$A$3209,"&lt;"&amp;$A1853+1)/$AD1853)))</f>
        <v/>
      </c>
      <c r="D1853" s="56">
        <f>IF($B1853=0,"",IF(Inputs!$B$7="","",IF($AE1853=0,D1852,SUMIFS(Data!$F$10:$F$3209,Data!$E$10:$E$3209,"&gt;="&amp;$A1853,Data!$E$10:$E$3209,"&lt;"&amp;$A1853+1)/$AE1853)))</f>
        <v/>
      </c>
      <c r="E1853" s="56">
        <f>IF($B1853=0,"",IF(Inputs!$B$8="","",IF($AF1853=0,E1852,SUMIFS(Data!$J$10:$J$3209,Data!$I$10:$I$3209,"&gt;="&amp;$A1853,Data!$I$10:$I$3209,"&lt;"&amp;$A1853+1)/$AF1853)))</f>
        <v/>
      </c>
      <c r="F1853" s="56">
        <f>IF($B1853=0,"",IF(Inputs!$B$9="","",IF($AG1853=0,F1852,SUMIFS(Data!$N$10:$N$3209,Data!$M$10:$M$3209,"&gt;="&amp;$A1853,Data!$M$10:$M$3209,"&lt;"&amp;$A1853+1)/$AG1853)))</f>
        <v/>
      </c>
      <c r="G1853" s="56">
        <f>IF($B1853=0,"",IF(Inputs!$B$10="","",IF($AH1853=0,G1852,SUMIFS(Data!$R$10:$R$3209,Data!$Q$10:$Q$3209,"&gt;="&amp;$A1853,Data!$Q$10:$Q$3209,"&lt;"&amp;$A1853+1)/$AH1853)))</f>
        <v/>
      </c>
      <c r="I1853" s="54">
        <f>IF($B1853=0,NA(),IF($C1853="",NA(),IF(C$8="",NA(),IF(N(C$8)=0,NA(),IF(Inputs!$C$17="Rebased to 100",$C1853/C$8*100,$C1853)))))</f>
        <v/>
      </c>
      <c r="J1853" s="54">
        <f>IF($B1853=0,NA(),IF($D1853="",NA(),IF(D$8="",NA(),IF(N(D$8)=0,NA(),IF(Inputs!$C$17="Rebased to 100",$D1853/D$8*100,$D1853)))))</f>
        <v/>
      </c>
      <c r="K1853" s="54">
        <f>IF($B1853=0,NA(),IF($E1853="",NA(),IF(E$8="",NA(),IF(N(E$8)=0,NA(),IF(Inputs!$C$17="Rebased to 100",$E1853/E$8*100,$E1853)))))</f>
        <v/>
      </c>
      <c r="L1853" s="54">
        <f>IF($B1853=0,NA(),IF($F1853="",NA(),IF(F$8="",NA(),IF(N(F$8)=0,NA(),IF(Inputs!$C$17="Rebased to 100",$F1853/F$8*100,$F1853)))))</f>
        <v/>
      </c>
      <c r="M1853" s="54">
        <f>IF($B1853=0,NA(),IF($G1853="",NA(),IF(G$8="",NA(),IF(N(G$8)=0,NA(),IF(Inputs!$C$17="Rebased to 100",$G1853/G$8*100,$G1853)))))</f>
        <v/>
      </c>
      <c r="N1853" s="54">
        <f>IF($B1853=0,NA(),IF(Inputs!$C$18&lt;&gt;"Yes",NA(),IF(COUNT(I1853,J1853,K1853,L1853,M1853)=0,NA(),MIN(I1853,J1853,K1853,L1853,M1853))))</f>
        <v/>
      </c>
      <c r="O1853" s="54">
        <f>IF($B1853=0,NA(),IF(Inputs!$B$24&lt;&gt;"Yes",NA(),Inputs!$D$24*Inputs!$C$35))</f>
        <v/>
      </c>
      <c r="P1853" s="54">
        <f>IF($B1853=0,NA(),IF(Inputs!$B$25&lt;&gt;"Yes",NA(),Inputs!$D$25*Inputs!$C$35))</f>
        <v/>
      </c>
      <c r="Q1853" s="54">
        <f>IF($B1853=0,NA(),IF(Inputs!$B$26&lt;&gt;"Yes",NA(),Inputs!$D$26*Inputs!$C$35))</f>
        <v/>
      </c>
      <c r="R1853" s="54">
        <f>IF($B1853=0,NA(),IF(Inputs!$B$27&lt;&gt;"Yes",NA(),Inputs!$D$27*Inputs!$C$35))</f>
        <v/>
      </c>
      <c r="S1853" s="54">
        <f>IF($B1853=0,NA(),IF(Inputs!$B$28&lt;&gt;"Yes",NA(),Inputs!$D$28*Inputs!$C$35))</f>
        <v/>
      </c>
      <c r="T1853" s="54">
        <f>IF($B1853=0,NA(),IF(Inputs!$B$29&lt;&gt;"Yes",NA(),Inputs!$D$29*Inputs!$C$35))</f>
        <v/>
      </c>
      <c r="AD1853">
        <f>IF($B1853=0,0,IF(Inputs!$B$6="",0,COUNTIFS(Data!$A$10:$A$3209,"&gt;="&amp;$A1853,Data!$A$10:$A$3209,"&lt;"&amp;$A1853+1)))</f>
        <v/>
      </c>
      <c r="AE1853">
        <f>IF($B1853=0,0,IF(Inputs!$B$7="",0,COUNTIFS(Data!$E$10:$E$3209,"&gt;="&amp;$A1853,Data!$E$10:$E$3209,"&lt;"&amp;$A1853+1)))</f>
        <v/>
      </c>
      <c r="AF1853">
        <f>IF($B1853=0,0,IF(Inputs!$B$8="",0,COUNTIFS(Data!$I$10:$I$3209,"&gt;="&amp;$A1853,Data!$I$10:$I$3209,"&lt;"&amp;$A1853+1)))</f>
        <v/>
      </c>
      <c r="AG1853">
        <f>IF($B1853=0,0,IF(Inputs!$B$9="",0,COUNTIFS(Data!$M$10:$M$3209,"&gt;="&amp;$A1853,Data!$M$10:$M$3209,"&lt;"&amp;$A1853+1)))</f>
        <v/>
      </c>
      <c r="AH1853">
        <f>IF($B1853=0,0,IF(Inputs!$B$10="",0,COUNTIFS(Data!$Q$10:$Q$3209,"&gt;="&amp;$A1853,Data!$Q$10:$Q$3209,"&lt;"&amp;$A1853+1)))</f>
        <v/>
      </c>
    </row>
    <row r="1854">
      <c r="A1854" s="55">
        <f>MIN(Inputs!$C$15,$A1853+IF(WEEKDAY($A1853,2)=5,3,1))</f>
        <v/>
      </c>
      <c r="B1854">
        <f>IF($A1854&gt;$A1853,1,0)</f>
        <v/>
      </c>
      <c r="C1854" s="56">
        <f>IF($B1854=0,"",IF(Inputs!$B$6="","",IF($AD1854=0,C1853,SUMIFS(Data!$B$10:$B$3209,Data!$A$10:$A$3209,"&gt;="&amp;$A1854,Data!$A$10:$A$3209,"&lt;"&amp;$A1854+1)/$AD1854)))</f>
        <v/>
      </c>
      <c r="D1854" s="56">
        <f>IF($B1854=0,"",IF(Inputs!$B$7="","",IF($AE1854=0,D1853,SUMIFS(Data!$F$10:$F$3209,Data!$E$10:$E$3209,"&gt;="&amp;$A1854,Data!$E$10:$E$3209,"&lt;"&amp;$A1854+1)/$AE1854)))</f>
        <v/>
      </c>
      <c r="E1854" s="56">
        <f>IF($B1854=0,"",IF(Inputs!$B$8="","",IF($AF1854=0,E1853,SUMIFS(Data!$J$10:$J$3209,Data!$I$10:$I$3209,"&gt;="&amp;$A1854,Data!$I$10:$I$3209,"&lt;"&amp;$A1854+1)/$AF1854)))</f>
        <v/>
      </c>
      <c r="F1854" s="56">
        <f>IF($B1854=0,"",IF(Inputs!$B$9="","",IF($AG1854=0,F1853,SUMIFS(Data!$N$10:$N$3209,Data!$M$10:$M$3209,"&gt;="&amp;$A1854,Data!$M$10:$M$3209,"&lt;"&amp;$A1854+1)/$AG1854)))</f>
        <v/>
      </c>
      <c r="G1854" s="56">
        <f>IF($B1854=0,"",IF(Inputs!$B$10="","",IF($AH1854=0,G1853,SUMIFS(Data!$R$10:$R$3209,Data!$Q$10:$Q$3209,"&gt;="&amp;$A1854,Data!$Q$10:$Q$3209,"&lt;"&amp;$A1854+1)/$AH1854)))</f>
        <v/>
      </c>
      <c r="I1854" s="54">
        <f>IF($B1854=0,NA(),IF($C1854="",NA(),IF(C$8="",NA(),IF(N(C$8)=0,NA(),IF(Inputs!$C$17="Rebased to 100",$C1854/C$8*100,$C1854)))))</f>
        <v/>
      </c>
      <c r="J1854" s="54">
        <f>IF($B1854=0,NA(),IF($D1854="",NA(),IF(D$8="",NA(),IF(N(D$8)=0,NA(),IF(Inputs!$C$17="Rebased to 100",$D1854/D$8*100,$D1854)))))</f>
        <v/>
      </c>
      <c r="K1854" s="54">
        <f>IF($B1854=0,NA(),IF($E1854="",NA(),IF(E$8="",NA(),IF(N(E$8)=0,NA(),IF(Inputs!$C$17="Rebased to 100",$E1854/E$8*100,$E1854)))))</f>
        <v/>
      </c>
      <c r="L1854" s="54">
        <f>IF($B1854=0,NA(),IF($F1854="",NA(),IF(F$8="",NA(),IF(N(F$8)=0,NA(),IF(Inputs!$C$17="Rebased to 100",$F1854/F$8*100,$F1854)))))</f>
        <v/>
      </c>
      <c r="M1854" s="54">
        <f>IF($B1854=0,NA(),IF($G1854="",NA(),IF(G$8="",NA(),IF(N(G$8)=0,NA(),IF(Inputs!$C$17="Rebased to 100",$G1854/G$8*100,$G1854)))))</f>
        <v/>
      </c>
      <c r="N1854" s="54">
        <f>IF($B1854=0,NA(),IF(Inputs!$C$18&lt;&gt;"Yes",NA(),IF(COUNT(I1854,J1854,K1854,L1854,M1854)=0,NA(),MIN(I1854,J1854,K1854,L1854,M1854))))</f>
        <v/>
      </c>
      <c r="O1854" s="54">
        <f>IF($B1854=0,NA(),IF(Inputs!$B$24&lt;&gt;"Yes",NA(),Inputs!$D$24*Inputs!$C$35))</f>
        <v/>
      </c>
      <c r="P1854" s="54">
        <f>IF($B1854=0,NA(),IF(Inputs!$B$25&lt;&gt;"Yes",NA(),Inputs!$D$25*Inputs!$C$35))</f>
        <v/>
      </c>
      <c r="Q1854" s="54">
        <f>IF($B1854=0,NA(),IF(Inputs!$B$26&lt;&gt;"Yes",NA(),Inputs!$D$26*Inputs!$C$35))</f>
        <v/>
      </c>
      <c r="R1854" s="54">
        <f>IF($B1854=0,NA(),IF(Inputs!$B$27&lt;&gt;"Yes",NA(),Inputs!$D$27*Inputs!$C$35))</f>
        <v/>
      </c>
      <c r="S1854" s="54">
        <f>IF($B1854=0,NA(),IF(Inputs!$B$28&lt;&gt;"Yes",NA(),Inputs!$D$28*Inputs!$C$35))</f>
        <v/>
      </c>
      <c r="T1854" s="54">
        <f>IF($B1854=0,NA(),IF(Inputs!$B$29&lt;&gt;"Yes",NA(),Inputs!$D$29*Inputs!$C$35))</f>
        <v/>
      </c>
      <c r="AD1854">
        <f>IF($B1854=0,0,IF(Inputs!$B$6="",0,COUNTIFS(Data!$A$10:$A$3209,"&gt;="&amp;$A1854,Data!$A$10:$A$3209,"&lt;"&amp;$A1854+1)))</f>
        <v/>
      </c>
      <c r="AE1854">
        <f>IF($B1854=0,0,IF(Inputs!$B$7="",0,COUNTIFS(Data!$E$10:$E$3209,"&gt;="&amp;$A1854,Data!$E$10:$E$3209,"&lt;"&amp;$A1854+1)))</f>
        <v/>
      </c>
      <c r="AF1854">
        <f>IF($B1854=0,0,IF(Inputs!$B$8="",0,COUNTIFS(Data!$I$10:$I$3209,"&gt;="&amp;$A1854,Data!$I$10:$I$3209,"&lt;"&amp;$A1854+1)))</f>
        <v/>
      </c>
      <c r="AG1854">
        <f>IF($B1854=0,0,IF(Inputs!$B$9="",0,COUNTIFS(Data!$M$10:$M$3209,"&gt;="&amp;$A1854,Data!$M$10:$M$3209,"&lt;"&amp;$A1854+1)))</f>
        <v/>
      </c>
      <c r="AH1854">
        <f>IF($B1854=0,0,IF(Inputs!$B$10="",0,COUNTIFS(Data!$Q$10:$Q$3209,"&gt;="&amp;$A1854,Data!$Q$10:$Q$3209,"&lt;"&amp;$A1854+1)))</f>
        <v/>
      </c>
    </row>
    <row r="1855">
      <c r="A1855" s="55">
        <f>MIN(Inputs!$C$15,$A1854+IF(WEEKDAY($A1854,2)=5,3,1))</f>
        <v/>
      </c>
      <c r="B1855">
        <f>IF($A1855&gt;$A1854,1,0)</f>
        <v/>
      </c>
      <c r="C1855" s="56">
        <f>IF($B1855=0,"",IF(Inputs!$B$6="","",IF($AD1855=0,C1854,SUMIFS(Data!$B$10:$B$3209,Data!$A$10:$A$3209,"&gt;="&amp;$A1855,Data!$A$10:$A$3209,"&lt;"&amp;$A1855+1)/$AD1855)))</f>
        <v/>
      </c>
      <c r="D1855" s="56">
        <f>IF($B1855=0,"",IF(Inputs!$B$7="","",IF($AE1855=0,D1854,SUMIFS(Data!$F$10:$F$3209,Data!$E$10:$E$3209,"&gt;="&amp;$A1855,Data!$E$10:$E$3209,"&lt;"&amp;$A1855+1)/$AE1855)))</f>
        <v/>
      </c>
      <c r="E1855" s="56">
        <f>IF($B1855=0,"",IF(Inputs!$B$8="","",IF($AF1855=0,E1854,SUMIFS(Data!$J$10:$J$3209,Data!$I$10:$I$3209,"&gt;="&amp;$A1855,Data!$I$10:$I$3209,"&lt;"&amp;$A1855+1)/$AF1855)))</f>
        <v/>
      </c>
      <c r="F1855" s="56">
        <f>IF($B1855=0,"",IF(Inputs!$B$9="","",IF($AG1855=0,F1854,SUMIFS(Data!$N$10:$N$3209,Data!$M$10:$M$3209,"&gt;="&amp;$A1855,Data!$M$10:$M$3209,"&lt;"&amp;$A1855+1)/$AG1855)))</f>
        <v/>
      </c>
      <c r="G1855" s="56">
        <f>IF($B1855=0,"",IF(Inputs!$B$10="","",IF($AH1855=0,G1854,SUMIFS(Data!$R$10:$R$3209,Data!$Q$10:$Q$3209,"&gt;="&amp;$A1855,Data!$Q$10:$Q$3209,"&lt;"&amp;$A1855+1)/$AH1855)))</f>
        <v/>
      </c>
      <c r="I1855" s="54">
        <f>IF($B1855=0,NA(),IF($C1855="",NA(),IF(C$8="",NA(),IF(N(C$8)=0,NA(),IF(Inputs!$C$17="Rebased to 100",$C1855/C$8*100,$C1855)))))</f>
        <v/>
      </c>
      <c r="J1855" s="54">
        <f>IF($B1855=0,NA(),IF($D1855="",NA(),IF(D$8="",NA(),IF(N(D$8)=0,NA(),IF(Inputs!$C$17="Rebased to 100",$D1855/D$8*100,$D1855)))))</f>
        <v/>
      </c>
      <c r="K1855" s="54">
        <f>IF($B1855=0,NA(),IF($E1855="",NA(),IF(E$8="",NA(),IF(N(E$8)=0,NA(),IF(Inputs!$C$17="Rebased to 100",$E1855/E$8*100,$E1855)))))</f>
        <v/>
      </c>
      <c r="L1855" s="54">
        <f>IF($B1855=0,NA(),IF($F1855="",NA(),IF(F$8="",NA(),IF(N(F$8)=0,NA(),IF(Inputs!$C$17="Rebased to 100",$F1855/F$8*100,$F1855)))))</f>
        <v/>
      </c>
      <c r="M1855" s="54">
        <f>IF($B1855=0,NA(),IF($G1855="",NA(),IF(G$8="",NA(),IF(N(G$8)=0,NA(),IF(Inputs!$C$17="Rebased to 100",$G1855/G$8*100,$G1855)))))</f>
        <v/>
      </c>
      <c r="N1855" s="54">
        <f>IF($B1855=0,NA(),IF(Inputs!$C$18&lt;&gt;"Yes",NA(),IF(COUNT(I1855,J1855,K1855,L1855,M1855)=0,NA(),MIN(I1855,J1855,K1855,L1855,M1855))))</f>
        <v/>
      </c>
      <c r="O1855" s="54">
        <f>IF($B1855=0,NA(),IF(Inputs!$B$24&lt;&gt;"Yes",NA(),Inputs!$D$24*Inputs!$C$35))</f>
        <v/>
      </c>
      <c r="P1855" s="54">
        <f>IF($B1855=0,NA(),IF(Inputs!$B$25&lt;&gt;"Yes",NA(),Inputs!$D$25*Inputs!$C$35))</f>
        <v/>
      </c>
      <c r="Q1855" s="54">
        <f>IF($B1855=0,NA(),IF(Inputs!$B$26&lt;&gt;"Yes",NA(),Inputs!$D$26*Inputs!$C$35))</f>
        <v/>
      </c>
      <c r="R1855" s="54">
        <f>IF($B1855=0,NA(),IF(Inputs!$B$27&lt;&gt;"Yes",NA(),Inputs!$D$27*Inputs!$C$35))</f>
        <v/>
      </c>
      <c r="S1855" s="54">
        <f>IF($B1855=0,NA(),IF(Inputs!$B$28&lt;&gt;"Yes",NA(),Inputs!$D$28*Inputs!$C$35))</f>
        <v/>
      </c>
      <c r="T1855" s="54">
        <f>IF($B1855=0,NA(),IF(Inputs!$B$29&lt;&gt;"Yes",NA(),Inputs!$D$29*Inputs!$C$35))</f>
        <v/>
      </c>
      <c r="AD1855">
        <f>IF($B1855=0,0,IF(Inputs!$B$6="",0,COUNTIFS(Data!$A$10:$A$3209,"&gt;="&amp;$A1855,Data!$A$10:$A$3209,"&lt;"&amp;$A1855+1)))</f>
        <v/>
      </c>
      <c r="AE1855">
        <f>IF($B1855=0,0,IF(Inputs!$B$7="",0,COUNTIFS(Data!$E$10:$E$3209,"&gt;="&amp;$A1855,Data!$E$10:$E$3209,"&lt;"&amp;$A1855+1)))</f>
        <v/>
      </c>
      <c r="AF1855">
        <f>IF($B1855=0,0,IF(Inputs!$B$8="",0,COUNTIFS(Data!$I$10:$I$3209,"&gt;="&amp;$A1855,Data!$I$10:$I$3209,"&lt;"&amp;$A1855+1)))</f>
        <v/>
      </c>
      <c r="AG1855">
        <f>IF($B1855=0,0,IF(Inputs!$B$9="",0,COUNTIFS(Data!$M$10:$M$3209,"&gt;="&amp;$A1855,Data!$M$10:$M$3209,"&lt;"&amp;$A1855+1)))</f>
        <v/>
      </c>
      <c r="AH1855">
        <f>IF($B1855=0,0,IF(Inputs!$B$10="",0,COUNTIFS(Data!$Q$10:$Q$3209,"&gt;="&amp;$A1855,Data!$Q$10:$Q$3209,"&lt;"&amp;$A1855+1)))</f>
        <v/>
      </c>
    </row>
    <row r="1856">
      <c r="A1856" s="55">
        <f>MIN(Inputs!$C$15,$A1855+IF(WEEKDAY($A1855,2)=5,3,1))</f>
        <v/>
      </c>
      <c r="B1856">
        <f>IF($A1856&gt;$A1855,1,0)</f>
        <v/>
      </c>
      <c r="C1856" s="56">
        <f>IF($B1856=0,"",IF(Inputs!$B$6="","",IF($AD1856=0,C1855,SUMIFS(Data!$B$10:$B$3209,Data!$A$10:$A$3209,"&gt;="&amp;$A1856,Data!$A$10:$A$3209,"&lt;"&amp;$A1856+1)/$AD1856)))</f>
        <v/>
      </c>
      <c r="D1856" s="56">
        <f>IF($B1856=0,"",IF(Inputs!$B$7="","",IF($AE1856=0,D1855,SUMIFS(Data!$F$10:$F$3209,Data!$E$10:$E$3209,"&gt;="&amp;$A1856,Data!$E$10:$E$3209,"&lt;"&amp;$A1856+1)/$AE1856)))</f>
        <v/>
      </c>
      <c r="E1856" s="56">
        <f>IF($B1856=0,"",IF(Inputs!$B$8="","",IF($AF1856=0,E1855,SUMIFS(Data!$J$10:$J$3209,Data!$I$10:$I$3209,"&gt;="&amp;$A1856,Data!$I$10:$I$3209,"&lt;"&amp;$A1856+1)/$AF1856)))</f>
        <v/>
      </c>
      <c r="F1856" s="56">
        <f>IF($B1856=0,"",IF(Inputs!$B$9="","",IF($AG1856=0,F1855,SUMIFS(Data!$N$10:$N$3209,Data!$M$10:$M$3209,"&gt;="&amp;$A1856,Data!$M$10:$M$3209,"&lt;"&amp;$A1856+1)/$AG1856)))</f>
        <v/>
      </c>
      <c r="G1856" s="56">
        <f>IF($B1856=0,"",IF(Inputs!$B$10="","",IF($AH1856=0,G1855,SUMIFS(Data!$R$10:$R$3209,Data!$Q$10:$Q$3209,"&gt;="&amp;$A1856,Data!$Q$10:$Q$3209,"&lt;"&amp;$A1856+1)/$AH1856)))</f>
        <v/>
      </c>
      <c r="I1856" s="54">
        <f>IF($B1856=0,NA(),IF($C1856="",NA(),IF(C$8="",NA(),IF(N(C$8)=0,NA(),IF(Inputs!$C$17="Rebased to 100",$C1856/C$8*100,$C1856)))))</f>
        <v/>
      </c>
      <c r="J1856" s="54">
        <f>IF($B1856=0,NA(),IF($D1856="",NA(),IF(D$8="",NA(),IF(N(D$8)=0,NA(),IF(Inputs!$C$17="Rebased to 100",$D1856/D$8*100,$D1856)))))</f>
        <v/>
      </c>
      <c r="K1856" s="54">
        <f>IF($B1856=0,NA(),IF($E1856="",NA(),IF(E$8="",NA(),IF(N(E$8)=0,NA(),IF(Inputs!$C$17="Rebased to 100",$E1856/E$8*100,$E1856)))))</f>
        <v/>
      </c>
      <c r="L1856" s="54">
        <f>IF($B1856=0,NA(),IF($F1856="",NA(),IF(F$8="",NA(),IF(N(F$8)=0,NA(),IF(Inputs!$C$17="Rebased to 100",$F1856/F$8*100,$F1856)))))</f>
        <v/>
      </c>
      <c r="M1856" s="54">
        <f>IF($B1856=0,NA(),IF($G1856="",NA(),IF(G$8="",NA(),IF(N(G$8)=0,NA(),IF(Inputs!$C$17="Rebased to 100",$G1856/G$8*100,$G1856)))))</f>
        <v/>
      </c>
      <c r="N1856" s="54">
        <f>IF($B1856=0,NA(),IF(Inputs!$C$18&lt;&gt;"Yes",NA(),IF(COUNT(I1856,J1856,K1856,L1856,M1856)=0,NA(),MIN(I1856,J1856,K1856,L1856,M1856))))</f>
        <v/>
      </c>
      <c r="O1856" s="54">
        <f>IF($B1856=0,NA(),IF(Inputs!$B$24&lt;&gt;"Yes",NA(),Inputs!$D$24*Inputs!$C$35))</f>
        <v/>
      </c>
      <c r="P1856" s="54">
        <f>IF($B1856=0,NA(),IF(Inputs!$B$25&lt;&gt;"Yes",NA(),Inputs!$D$25*Inputs!$C$35))</f>
        <v/>
      </c>
      <c r="Q1856" s="54">
        <f>IF($B1856=0,NA(),IF(Inputs!$B$26&lt;&gt;"Yes",NA(),Inputs!$D$26*Inputs!$C$35))</f>
        <v/>
      </c>
      <c r="R1856" s="54">
        <f>IF($B1856=0,NA(),IF(Inputs!$B$27&lt;&gt;"Yes",NA(),Inputs!$D$27*Inputs!$C$35))</f>
        <v/>
      </c>
      <c r="S1856" s="54">
        <f>IF($B1856=0,NA(),IF(Inputs!$B$28&lt;&gt;"Yes",NA(),Inputs!$D$28*Inputs!$C$35))</f>
        <v/>
      </c>
      <c r="T1856" s="54">
        <f>IF($B1856=0,NA(),IF(Inputs!$B$29&lt;&gt;"Yes",NA(),Inputs!$D$29*Inputs!$C$35))</f>
        <v/>
      </c>
      <c r="AD1856">
        <f>IF($B1856=0,0,IF(Inputs!$B$6="",0,COUNTIFS(Data!$A$10:$A$3209,"&gt;="&amp;$A1856,Data!$A$10:$A$3209,"&lt;"&amp;$A1856+1)))</f>
        <v/>
      </c>
      <c r="AE1856">
        <f>IF($B1856=0,0,IF(Inputs!$B$7="",0,COUNTIFS(Data!$E$10:$E$3209,"&gt;="&amp;$A1856,Data!$E$10:$E$3209,"&lt;"&amp;$A1856+1)))</f>
        <v/>
      </c>
      <c r="AF1856">
        <f>IF($B1856=0,0,IF(Inputs!$B$8="",0,COUNTIFS(Data!$I$10:$I$3209,"&gt;="&amp;$A1856,Data!$I$10:$I$3209,"&lt;"&amp;$A1856+1)))</f>
        <v/>
      </c>
      <c r="AG1856">
        <f>IF($B1856=0,0,IF(Inputs!$B$9="",0,COUNTIFS(Data!$M$10:$M$3209,"&gt;="&amp;$A1856,Data!$M$10:$M$3209,"&lt;"&amp;$A1856+1)))</f>
        <v/>
      </c>
      <c r="AH1856">
        <f>IF($B1856=0,0,IF(Inputs!$B$10="",0,COUNTIFS(Data!$Q$10:$Q$3209,"&gt;="&amp;$A1856,Data!$Q$10:$Q$3209,"&lt;"&amp;$A1856+1)))</f>
        <v/>
      </c>
    </row>
    <row r="1857">
      <c r="A1857" s="55">
        <f>MIN(Inputs!$C$15,$A1856+IF(WEEKDAY($A1856,2)=5,3,1))</f>
        <v/>
      </c>
      <c r="B1857">
        <f>IF($A1857&gt;$A1856,1,0)</f>
        <v/>
      </c>
      <c r="C1857" s="56">
        <f>IF($B1857=0,"",IF(Inputs!$B$6="","",IF($AD1857=0,C1856,SUMIFS(Data!$B$10:$B$3209,Data!$A$10:$A$3209,"&gt;="&amp;$A1857,Data!$A$10:$A$3209,"&lt;"&amp;$A1857+1)/$AD1857)))</f>
        <v/>
      </c>
      <c r="D1857" s="56">
        <f>IF($B1857=0,"",IF(Inputs!$B$7="","",IF($AE1857=0,D1856,SUMIFS(Data!$F$10:$F$3209,Data!$E$10:$E$3209,"&gt;="&amp;$A1857,Data!$E$10:$E$3209,"&lt;"&amp;$A1857+1)/$AE1857)))</f>
        <v/>
      </c>
      <c r="E1857" s="56">
        <f>IF($B1857=0,"",IF(Inputs!$B$8="","",IF($AF1857=0,E1856,SUMIFS(Data!$J$10:$J$3209,Data!$I$10:$I$3209,"&gt;="&amp;$A1857,Data!$I$10:$I$3209,"&lt;"&amp;$A1857+1)/$AF1857)))</f>
        <v/>
      </c>
      <c r="F1857" s="56">
        <f>IF($B1857=0,"",IF(Inputs!$B$9="","",IF($AG1857=0,F1856,SUMIFS(Data!$N$10:$N$3209,Data!$M$10:$M$3209,"&gt;="&amp;$A1857,Data!$M$10:$M$3209,"&lt;"&amp;$A1857+1)/$AG1857)))</f>
        <v/>
      </c>
      <c r="G1857" s="56">
        <f>IF($B1857=0,"",IF(Inputs!$B$10="","",IF($AH1857=0,G1856,SUMIFS(Data!$R$10:$R$3209,Data!$Q$10:$Q$3209,"&gt;="&amp;$A1857,Data!$Q$10:$Q$3209,"&lt;"&amp;$A1857+1)/$AH1857)))</f>
        <v/>
      </c>
      <c r="I1857" s="54">
        <f>IF($B1857=0,NA(),IF($C1857="",NA(),IF(C$8="",NA(),IF(N(C$8)=0,NA(),IF(Inputs!$C$17="Rebased to 100",$C1857/C$8*100,$C1857)))))</f>
        <v/>
      </c>
      <c r="J1857" s="54">
        <f>IF($B1857=0,NA(),IF($D1857="",NA(),IF(D$8="",NA(),IF(N(D$8)=0,NA(),IF(Inputs!$C$17="Rebased to 100",$D1857/D$8*100,$D1857)))))</f>
        <v/>
      </c>
      <c r="K1857" s="54">
        <f>IF($B1857=0,NA(),IF($E1857="",NA(),IF(E$8="",NA(),IF(N(E$8)=0,NA(),IF(Inputs!$C$17="Rebased to 100",$E1857/E$8*100,$E1857)))))</f>
        <v/>
      </c>
      <c r="L1857" s="54">
        <f>IF($B1857=0,NA(),IF($F1857="",NA(),IF(F$8="",NA(),IF(N(F$8)=0,NA(),IF(Inputs!$C$17="Rebased to 100",$F1857/F$8*100,$F1857)))))</f>
        <v/>
      </c>
      <c r="M1857" s="54">
        <f>IF($B1857=0,NA(),IF($G1857="",NA(),IF(G$8="",NA(),IF(N(G$8)=0,NA(),IF(Inputs!$C$17="Rebased to 100",$G1857/G$8*100,$G1857)))))</f>
        <v/>
      </c>
      <c r="N1857" s="54">
        <f>IF($B1857=0,NA(),IF(Inputs!$C$18&lt;&gt;"Yes",NA(),IF(COUNT(I1857,J1857,K1857,L1857,M1857)=0,NA(),MIN(I1857,J1857,K1857,L1857,M1857))))</f>
        <v/>
      </c>
      <c r="O1857" s="54">
        <f>IF($B1857=0,NA(),IF(Inputs!$B$24&lt;&gt;"Yes",NA(),Inputs!$D$24*Inputs!$C$35))</f>
        <v/>
      </c>
      <c r="P1857" s="54">
        <f>IF($B1857=0,NA(),IF(Inputs!$B$25&lt;&gt;"Yes",NA(),Inputs!$D$25*Inputs!$C$35))</f>
        <v/>
      </c>
      <c r="Q1857" s="54">
        <f>IF($B1857=0,NA(),IF(Inputs!$B$26&lt;&gt;"Yes",NA(),Inputs!$D$26*Inputs!$C$35))</f>
        <v/>
      </c>
      <c r="R1857" s="54">
        <f>IF($B1857=0,NA(),IF(Inputs!$B$27&lt;&gt;"Yes",NA(),Inputs!$D$27*Inputs!$C$35))</f>
        <v/>
      </c>
      <c r="S1857" s="54">
        <f>IF($B1857=0,NA(),IF(Inputs!$B$28&lt;&gt;"Yes",NA(),Inputs!$D$28*Inputs!$C$35))</f>
        <v/>
      </c>
      <c r="T1857" s="54">
        <f>IF($B1857=0,NA(),IF(Inputs!$B$29&lt;&gt;"Yes",NA(),Inputs!$D$29*Inputs!$C$35))</f>
        <v/>
      </c>
      <c r="AD1857">
        <f>IF($B1857=0,0,IF(Inputs!$B$6="",0,COUNTIFS(Data!$A$10:$A$3209,"&gt;="&amp;$A1857,Data!$A$10:$A$3209,"&lt;"&amp;$A1857+1)))</f>
        <v/>
      </c>
      <c r="AE1857">
        <f>IF($B1857=0,0,IF(Inputs!$B$7="",0,COUNTIFS(Data!$E$10:$E$3209,"&gt;="&amp;$A1857,Data!$E$10:$E$3209,"&lt;"&amp;$A1857+1)))</f>
        <v/>
      </c>
      <c r="AF1857">
        <f>IF($B1857=0,0,IF(Inputs!$B$8="",0,COUNTIFS(Data!$I$10:$I$3209,"&gt;="&amp;$A1857,Data!$I$10:$I$3209,"&lt;"&amp;$A1857+1)))</f>
        <v/>
      </c>
      <c r="AG1857">
        <f>IF($B1857=0,0,IF(Inputs!$B$9="",0,COUNTIFS(Data!$M$10:$M$3209,"&gt;="&amp;$A1857,Data!$M$10:$M$3209,"&lt;"&amp;$A1857+1)))</f>
        <v/>
      </c>
      <c r="AH1857">
        <f>IF($B1857=0,0,IF(Inputs!$B$10="",0,COUNTIFS(Data!$Q$10:$Q$3209,"&gt;="&amp;$A1857,Data!$Q$10:$Q$3209,"&lt;"&amp;$A1857+1)))</f>
        <v/>
      </c>
    </row>
    <row r="1858">
      <c r="A1858" s="55">
        <f>MIN(Inputs!$C$15,$A1857+IF(WEEKDAY($A1857,2)=5,3,1))</f>
        <v/>
      </c>
      <c r="B1858">
        <f>IF($A1858&gt;$A1857,1,0)</f>
        <v/>
      </c>
      <c r="C1858" s="56">
        <f>IF($B1858=0,"",IF(Inputs!$B$6="","",IF($AD1858=0,C1857,SUMIFS(Data!$B$10:$B$3209,Data!$A$10:$A$3209,"&gt;="&amp;$A1858,Data!$A$10:$A$3209,"&lt;"&amp;$A1858+1)/$AD1858)))</f>
        <v/>
      </c>
      <c r="D1858" s="56">
        <f>IF($B1858=0,"",IF(Inputs!$B$7="","",IF($AE1858=0,D1857,SUMIFS(Data!$F$10:$F$3209,Data!$E$10:$E$3209,"&gt;="&amp;$A1858,Data!$E$10:$E$3209,"&lt;"&amp;$A1858+1)/$AE1858)))</f>
        <v/>
      </c>
      <c r="E1858" s="56">
        <f>IF($B1858=0,"",IF(Inputs!$B$8="","",IF($AF1858=0,E1857,SUMIFS(Data!$J$10:$J$3209,Data!$I$10:$I$3209,"&gt;="&amp;$A1858,Data!$I$10:$I$3209,"&lt;"&amp;$A1858+1)/$AF1858)))</f>
        <v/>
      </c>
      <c r="F1858" s="56">
        <f>IF($B1858=0,"",IF(Inputs!$B$9="","",IF($AG1858=0,F1857,SUMIFS(Data!$N$10:$N$3209,Data!$M$10:$M$3209,"&gt;="&amp;$A1858,Data!$M$10:$M$3209,"&lt;"&amp;$A1858+1)/$AG1858)))</f>
        <v/>
      </c>
      <c r="G1858" s="56">
        <f>IF($B1858=0,"",IF(Inputs!$B$10="","",IF($AH1858=0,G1857,SUMIFS(Data!$R$10:$R$3209,Data!$Q$10:$Q$3209,"&gt;="&amp;$A1858,Data!$Q$10:$Q$3209,"&lt;"&amp;$A1858+1)/$AH1858)))</f>
        <v/>
      </c>
      <c r="I1858" s="54">
        <f>IF($B1858=0,NA(),IF($C1858="",NA(),IF(C$8="",NA(),IF(N(C$8)=0,NA(),IF(Inputs!$C$17="Rebased to 100",$C1858/C$8*100,$C1858)))))</f>
        <v/>
      </c>
      <c r="J1858" s="54">
        <f>IF($B1858=0,NA(),IF($D1858="",NA(),IF(D$8="",NA(),IF(N(D$8)=0,NA(),IF(Inputs!$C$17="Rebased to 100",$D1858/D$8*100,$D1858)))))</f>
        <v/>
      </c>
      <c r="K1858" s="54">
        <f>IF($B1858=0,NA(),IF($E1858="",NA(),IF(E$8="",NA(),IF(N(E$8)=0,NA(),IF(Inputs!$C$17="Rebased to 100",$E1858/E$8*100,$E1858)))))</f>
        <v/>
      </c>
      <c r="L1858" s="54">
        <f>IF($B1858=0,NA(),IF($F1858="",NA(),IF(F$8="",NA(),IF(N(F$8)=0,NA(),IF(Inputs!$C$17="Rebased to 100",$F1858/F$8*100,$F1858)))))</f>
        <v/>
      </c>
      <c r="M1858" s="54">
        <f>IF($B1858=0,NA(),IF($G1858="",NA(),IF(G$8="",NA(),IF(N(G$8)=0,NA(),IF(Inputs!$C$17="Rebased to 100",$G1858/G$8*100,$G1858)))))</f>
        <v/>
      </c>
      <c r="N1858" s="54">
        <f>IF($B1858=0,NA(),IF(Inputs!$C$18&lt;&gt;"Yes",NA(),IF(COUNT(I1858,J1858,K1858,L1858,M1858)=0,NA(),MIN(I1858,J1858,K1858,L1858,M1858))))</f>
        <v/>
      </c>
      <c r="O1858" s="54">
        <f>IF($B1858=0,NA(),IF(Inputs!$B$24&lt;&gt;"Yes",NA(),Inputs!$D$24*Inputs!$C$35))</f>
        <v/>
      </c>
      <c r="P1858" s="54">
        <f>IF($B1858=0,NA(),IF(Inputs!$B$25&lt;&gt;"Yes",NA(),Inputs!$D$25*Inputs!$C$35))</f>
        <v/>
      </c>
      <c r="Q1858" s="54">
        <f>IF($B1858=0,NA(),IF(Inputs!$B$26&lt;&gt;"Yes",NA(),Inputs!$D$26*Inputs!$C$35))</f>
        <v/>
      </c>
      <c r="R1858" s="54">
        <f>IF($B1858=0,NA(),IF(Inputs!$B$27&lt;&gt;"Yes",NA(),Inputs!$D$27*Inputs!$C$35))</f>
        <v/>
      </c>
      <c r="S1858" s="54">
        <f>IF($B1858=0,NA(),IF(Inputs!$B$28&lt;&gt;"Yes",NA(),Inputs!$D$28*Inputs!$C$35))</f>
        <v/>
      </c>
      <c r="T1858" s="54">
        <f>IF($B1858=0,NA(),IF(Inputs!$B$29&lt;&gt;"Yes",NA(),Inputs!$D$29*Inputs!$C$35))</f>
        <v/>
      </c>
      <c r="AD1858">
        <f>IF($B1858=0,0,IF(Inputs!$B$6="",0,COUNTIFS(Data!$A$10:$A$3209,"&gt;="&amp;$A1858,Data!$A$10:$A$3209,"&lt;"&amp;$A1858+1)))</f>
        <v/>
      </c>
      <c r="AE1858">
        <f>IF($B1858=0,0,IF(Inputs!$B$7="",0,COUNTIFS(Data!$E$10:$E$3209,"&gt;="&amp;$A1858,Data!$E$10:$E$3209,"&lt;"&amp;$A1858+1)))</f>
        <v/>
      </c>
      <c r="AF1858">
        <f>IF($B1858=0,0,IF(Inputs!$B$8="",0,COUNTIFS(Data!$I$10:$I$3209,"&gt;="&amp;$A1858,Data!$I$10:$I$3209,"&lt;"&amp;$A1858+1)))</f>
        <v/>
      </c>
      <c r="AG1858">
        <f>IF($B1858=0,0,IF(Inputs!$B$9="",0,COUNTIFS(Data!$M$10:$M$3209,"&gt;="&amp;$A1858,Data!$M$10:$M$3209,"&lt;"&amp;$A1858+1)))</f>
        <v/>
      </c>
      <c r="AH1858">
        <f>IF($B1858=0,0,IF(Inputs!$B$10="",0,COUNTIFS(Data!$Q$10:$Q$3209,"&gt;="&amp;$A1858,Data!$Q$10:$Q$3209,"&lt;"&amp;$A1858+1)))</f>
        <v/>
      </c>
    </row>
    <row r="1859">
      <c r="A1859" s="55">
        <f>MIN(Inputs!$C$15,$A1858+IF(WEEKDAY($A1858,2)=5,3,1))</f>
        <v/>
      </c>
      <c r="B1859">
        <f>IF($A1859&gt;$A1858,1,0)</f>
        <v/>
      </c>
      <c r="C1859" s="56">
        <f>IF($B1859=0,"",IF(Inputs!$B$6="","",IF($AD1859=0,C1858,SUMIFS(Data!$B$10:$B$3209,Data!$A$10:$A$3209,"&gt;="&amp;$A1859,Data!$A$10:$A$3209,"&lt;"&amp;$A1859+1)/$AD1859)))</f>
        <v/>
      </c>
      <c r="D1859" s="56">
        <f>IF($B1859=0,"",IF(Inputs!$B$7="","",IF($AE1859=0,D1858,SUMIFS(Data!$F$10:$F$3209,Data!$E$10:$E$3209,"&gt;="&amp;$A1859,Data!$E$10:$E$3209,"&lt;"&amp;$A1859+1)/$AE1859)))</f>
        <v/>
      </c>
      <c r="E1859" s="56">
        <f>IF($B1859=0,"",IF(Inputs!$B$8="","",IF($AF1859=0,E1858,SUMIFS(Data!$J$10:$J$3209,Data!$I$10:$I$3209,"&gt;="&amp;$A1859,Data!$I$10:$I$3209,"&lt;"&amp;$A1859+1)/$AF1859)))</f>
        <v/>
      </c>
      <c r="F1859" s="56">
        <f>IF($B1859=0,"",IF(Inputs!$B$9="","",IF($AG1859=0,F1858,SUMIFS(Data!$N$10:$N$3209,Data!$M$10:$M$3209,"&gt;="&amp;$A1859,Data!$M$10:$M$3209,"&lt;"&amp;$A1859+1)/$AG1859)))</f>
        <v/>
      </c>
      <c r="G1859" s="56">
        <f>IF($B1859=0,"",IF(Inputs!$B$10="","",IF($AH1859=0,G1858,SUMIFS(Data!$R$10:$R$3209,Data!$Q$10:$Q$3209,"&gt;="&amp;$A1859,Data!$Q$10:$Q$3209,"&lt;"&amp;$A1859+1)/$AH1859)))</f>
        <v/>
      </c>
      <c r="I1859" s="54">
        <f>IF($B1859=0,NA(),IF($C1859="",NA(),IF(C$8="",NA(),IF(N(C$8)=0,NA(),IF(Inputs!$C$17="Rebased to 100",$C1859/C$8*100,$C1859)))))</f>
        <v/>
      </c>
      <c r="J1859" s="54">
        <f>IF($B1859=0,NA(),IF($D1859="",NA(),IF(D$8="",NA(),IF(N(D$8)=0,NA(),IF(Inputs!$C$17="Rebased to 100",$D1859/D$8*100,$D1859)))))</f>
        <v/>
      </c>
      <c r="K1859" s="54">
        <f>IF($B1859=0,NA(),IF($E1859="",NA(),IF(E$8="",NA(),IF(N(E$8)=0,NA(),IF(Inputs!$C$17="Rebased to 100",$E1859/E$8*100,$E1859)))))</f>
        <v/>
      </c>
      <c r="L1859" s="54">
        <f>IF($B1859=0,NA(),IF($F1859="",NA(),IF(F$8="",NA(),IF(N(F$8)=0,NA(),IF(Inputs!$C$17="Rebased to 100",$F1859/F$8*100,$F1859)))))</f>
        <v/>
      </c>
      <c r="M1859" s="54">
        <f>IF($B1859=0,NA(),IF($G1859="",NA(),IF(G$8="",NA(),IF(N(G$8)=0,NA(),IF(Inputs!$C$17="Rebased to 100",$G1859/G$8*100,$G1859)))))</f>
        <v/>
      </c>
      <c r="N1859" s="54">
        <f>IF($B1859=0,NA(),IF(Inputs!$C$18&lt;&gt;"Yes",NA(),IF(COUNT(I1859,J1859,K1859,L1859,M1859)=0,NA(),MIN(I1859,J1859,K1859,L1859,M1859))))</f>
        <v/>
      </c>
      <c r="O1859" s="54">
        <f>IF($B1859=0,NA(),IF(Inputs!$B$24&lt;&gt;"Yes",NA(),Inputs!$D$24*Inputs!$C$35))</f>
        <v/>
      </c>
      <c r="P1859" s="54">
        <f>IF($B1859=0,NA(),IF(Inputs!$B$25&lt;&gt;"Yes",NA(),Inputs!$D$25*Inputs!$C$35))</f>
        <v/>
      </c>
      <c r="Q1859" s="54">
        <f>IF($B1859=0,NA(),IF(Inputs!$B$26&lt;&gt;"Yes",NA(),Inputs!$D$26*Inputs!$C$35))</f>
        <v/>
      </c>
      <c r="R1859" s="54">
        <f>IF($B1859=0,NA(),IF(Inputs!$B$27&lt;&gt;"Yes",NA(),Inputs!$D$27*Inputs!$C$35))</f>
        <v/>
      </c>
      <c r="S1859" s="54">
        <f>IF($B1859=0,NA(),IF(Inputs!$B$28&lt;&gt;"Yes",NA(),Inputs!$D$28*Inputs!$C$35))</f>
        <v/>
      </c>
      <c r="T1859" s="54">
        <f>IF($B1859=0,NA(),IF(Inputs!$B$29&lt;&gt;"Yes",NA(),Inputs!$D$29*Inputs!$C$35))</f>
        <v/>
      </c>
      <c r="AD1859">
        <f>IF($B1859=0,0,IF(Inputs!$B$6="",0,COUNTIFS(Data!$A$10:$A$3209,"&gt;="&amp;$A1859,Data!$A$10:$A$3209,"&lt;"&amp;$A1859+1)))</f>
        <v/>
      </c>
      <c r="AE1859">
        <f>IF($B1859=0,0,IF(Inputs!$B$7="",0,COUNTIFS(Data!$E$10:$E$3209,"&gt;="&amp;$A1859,Data!$E$10:$E$3209,"&lt;"&amp;$A1859+1)))</f>
        <v/>
      </c>
      <c r="AF1859">
        <f>IF($B1859=0,0,IF(Inputs!$B$8="",0,COUNTIFS(Data!$I$10:$I$3209,"&gt;="&amp;$A1859,Data!$I$10:$I$3209,"&lt;"&amp;$A1859+1)))</f>
        <v/>
      </c>
      <c r="AG1859">
        <f>IF($B1859=0,0,IF(Inputs!$B$9="",0,COUNTIFS(Data!$M$10:$M$3209,"&gt;="&amp;$A1859,Data!$M$10:$M$3209,"&lt;"&amp;$A1859+1)))</f>
        <v/>
      </c>
      <c r="AH1859">
        <f>IF($B1859=0,0,IF(Inputs!$B$10="",0,COUNTIFS(Data!$Q$10:$Q$3209,"&gt;="&amp;$A1859,Data!$Q$10:$Q$3209,"&lt;"&amp;$A1859+1)))</f>
        <v/>
      </c>
    </row>
    <row r="1860">
      <c r="A1860" s="55">
        <f>MIN(Inputs!$C$15,$A1859+IF(WEEKDAY($A1859,2)=5,3,1))</f>
        <v/>
      </c>
      <c r="B1860">
        <f>IF($A1860&gt;$A1859,1,0)</f>
        <v/>
      </c>
      <c r="C1860" s="56">
        <f>IF($B1860=0,"",IF(Inputs!$B$6="","",IF($AD1860=0,C1859,SUMIFS(Data!$B$10:$B$3209,Data!$A$10:$A$3209,"&gt;="&amp;$A1860,Data!$A$10:$A$3209,"&lt;"&amp;$A1860+1)/$AD1860)))</f>
        <v/>
      </c>
      <c r="D1860" s="56">
        <f>IF($B1860=0,"",IF(Inputs!$B$7="","",IF($AE1860=0,D1859,SUMIFS(Data!$F$10:$F$3209,Data!$E$10:$E$3209,"&gt;="&amp;$A1860,Data!$E$10:$E$3209,"&lt;"&amp;$A1860+1)/$AE1860)))</f>
        <v/>
      </c>
      <c r="E1860" s="56">
        <f>IF($B1860=0,"",IF(Inputs!$B$8="","",IF($AF1860=0,E1859,SUMIFS(Data!$J$10:$J$3209,Data!$I$10:$I$3209,"&gt;="&amp;$A1860,Data!$I$10:$I$3209,"&lt;"&amp;$A1860+1)/$AF1860)))</f>
        <v/>
      </c>
      <c r="F1860" s="56">
        <f>IF($B1860=0,"",IF(Inputs!$B$9="","",IF($AG1860=0,F1859,SUMIFS(Data!$N$10:$N$3209,Data!$M$10:$M$3209,"&gt;="&amp;$A1860,Data!$M$10:$M$3209,"&lt;"&amp;$A1860+1)/$AG1860)))</f>
        <v/>
      </c>
      <c r="G1860" s="56">
        <f>IF($B1860=0,"",IF(Inputs!$B$10="","",IF($AH1860=0,G1859,SUMIFS(Data!$R$10:$R$3209,Data!$Q$10:$Q$3209,"&gt;="&amp;$A1860,Data!$Q$10:$Q$3209,"&lt;"&amp;$A1860+1)/$AH1860)))</f>
        <v/>
      </c>
      <c r="I1860" s="54">
        <f>IF($B1860=0,NA(),IF($C1860="",NA(),IF(C$8="",NA(),IF(N(C$8)=0,NA(),IF(Inputs!$C$17="Rebased to 100",$C1860/C$8*100,$C1860)))))</f>
        <v/>
      </c>
      <c r="J1860" s="54">
        <f>IF($B1860=0,NA(),IF($D1860="",NA(),IF(D$8="",NA(),IF(N(D$8)=0,NA(),IF(Inputs!$C$17="Rebased to 100",$D1860/D$8*100,$D1860)))))</f>
        <v/>
      </c>
      <c r="K1860" s="54">
        <f>IF($B1860=0,NA(),IF($E1860="",NA(),IF(E$8="",NA(),IF(N(E$8)=0,NA(),IF(Inputs!$C$17="Rebased to 100",$E1860/E$8*100,$E1860)))))</f>
        <v/>
      </c>
      <c r="L1860" s="54">
        <f>IF($B1860=0,NA(),IF($F1860="",NA(),IF(F$8="",NA(),IF(N(F$8)=0,NA(),IF(Inputs!$C$17="Rebased to 100",$F1860/F$8*100,$F1860)))))</f>
        <v/>
      </c>
      <c r="M1860" s="54">
        <f>IF($B1860=0,NA(),IF($G1860="",NA(),IF(G$8="",NA(),IF(N(G$8)=0,NA(),IF(Inputs!$C$17="Rebased to 100",$G1860/G$8*100,$G1860)))))</f>
        <v/>
      </c>
      <c r="N1860" s="54">
        <f>IF($B1860=0,NA(),IF(Inputs!$C$18&lt;&gt;"Yes",NA(),IF(COUNT(I1860,J1860,K1860,L1860,M1860)=0,NA(),MIN(I1860,J1860,K1860,L1860,M1860))))</f>
        <v/>
      </c>
      <c r="O1860" s="54">
        <f>IF($B1860=0,NA(),IF(Inputs!$B$24&lt;&gt;"Yes",NA(),Inputs!$D$24*Inputs!$C$35))</f>
        <v/>
      </c>
      <c r="P1860" s="54">
        <f>IF($B1860=0,NA(),IF(Inputs!$B$25&lt;&gt;"Yes",NA(),Inputs!$D$25*Inputs!$C$35))</f>
        <v/>
      </c>
      <c r="Q1860" s="54">
        <f>IF($B1860=0,NA(),IF(Inputs!$B$26&lt;&gt;"Yes",NA(),Inputs!$D$26*Inputs!$C$35))</f>
        <v/>
      </c>
      <c r="R1860" s="54">
        <f>IF($B1860=0,NA(),IF(Inputs!$B$27&lt;&gt;"Yes",NA(),Inputs!$D$27*Inputs!$C$35))</f>
        <v/>
      </c>
      <c r="S1860" s="54">
        <f>IF($B1860=0,NA(),IF(Inputs!$B$28&lt;&gt;"Yes",NA(),Inputs!$D$28*Inputs!$C$35))</f>
        <v/>
      </c>
      <c r="T1860" s="54">
        <f>IF($B1860=0,NA(),IF(Inputs!$B$29&lt;&gt;"Yes",NA(),Inputs!$D$29*Inputs!$C$35))</f>
        <v/>
      </c>
      <c r="AD1860">
        <f>IF($B1860=0,0,IF(Inputs!$B$6="",0,COUNTIFS(Data!$A$10:$A$3209,"&gt;="&amp;$A1860,Data!$A$10:$A$3209,"&lt;"&amp;$A1860+1)))</f>
        <v/>
      </c>
      <c r="AE1860">
        <f>IF($B1860=0,0,IF(Inputs!$B$7="",0,COUNTIFS(Data!$E$10:$E$3209,"&gt;="&amp;$A1860,Data!$E$10:$E$3209,"&lt;"&amp;$A1860+1)))</f>
        <v/>
      </c>
      <c r="AF1860">
        <f>IF($B1860=0,0,IF(Inputs!$B$8="",0,COUNTIFS(Data!$I$10:$I$3209,"&gt;="&amp;$A1860,Data!$I$10:$I$3209,"&lt;"&amp;$A1860+1)))</f>
        <v/>
      </c>
      <c r="AG1860">
        <f>IF($B1860=0,0,IF(Inputs!$B$9="",0,COUNTIFS(Data!$M$10:$M$3209,"&gt;="&amp;$A1860,Data!$M$10:$M$3209,"&lt;"&amp;$A1860+1)))</f>
        <v/>
      </c>
      <c r="AH1860">
        <f>IF($B1860=0,0,IF(Inputs!$B$10="",0,COUNTIFS(Data!$Q$10:$Q$3209,"&gt;="&amp;$A1860,Data!$Q$10:$Q$3209,"&lt;"&amp;$A1860+1)))</f>
        <v/>
      </c>
    </row>
    <row r="1861">
      <c r="A1861" s="55">
        <f>MIN(Inputs!$C$15,$A1860+IF(WEEKDAY($A1860,2)=5,3,1))</f>
        <v/>
      </c>
      <c r="B1861">
        <f>IF($A1861&gt;$A1860,1,0)</f>
        <v/>
      </c>
      <c r="C1861" s="56">
        <f>IF($B1861=0,"",IF(Inputs!$B$6="","",IF($AD1861=0,C1860,SUMIFS(Data!$B$10:$B$3209,Data!$A$10:$A$3209,"&gt;="&amp;$A1861,Data!$A$10:$A$3209,"&lt;"&amp;$A1861+1)/$AD1861)))</f>
        <v/>
      </c>
      <c r="D1861" s="56">
        <f>IF($B1861=0,"",IF(Inputs!$B$7="","",IF($AE1861=0,D1860,SUMIFS(Data!$F$10:$F$3209,Data!$E$10:$E$3209,"&gt;="&amp;$A1861,Data!$E$10:$E$3209,"&lt;"&amp;$A1861+1)/$AE1861)))</f>
        <v/>
      </c>
      <c r="E1861" s="56">
        <f>IF($B1861=0,"",IF(Inputs!$B$8="","",IF($AF1861=0,E1860,SUMIFS(Data!$J$10:$J$3209,Data!$I$10:$I$3209,"&gt;="&amp;$A1861,Data!$I$10:$I$3209,"&lt;"&amp;$A1861+1)/$AF1861)))</f>
        <v/>
      </c>
      <c r="F1861" s="56">
        <f>IF($B1861=0,"",IF(Inputs!$B$9="","",IF($AG1861=0,F1860,SUMIFS(Data!$N$10:$N$3209,Data!$M$10:$M$3209,"&gt;="&amp;$A1861,Data!$M$10:$M$3209,"&lt;"&amp;$A1861+1)/$AG1861)))</f>
        <v/>
      </c>
      <c r="G1861" s="56">
        <f>IF($B1861=0,"",IF(Inputs!$B$10="","",IF($AH1861=0,G1860,SUMIFS(Data!$R$10:$R$3209,Data!$Q$10:$Q$3209,"&gt;="&amp;$A1861,Data!$Q$10:$Q$3209,"&lt;"&amp;$A1861+1)/$AH1861)))</f>
        <v/>
      </c>
      <c r="I1861" s="54">
        <f>IF($B1861=0,NA(),IF($C1861="",NA(),IF(C$8="",NA(),IF(N(C$8)=0,NA(),IF(Inputs!$C$17="Rebased to 100",$C1861/C$8*100,$C1861)))))</f>
        <v/>
      </c>
      <c r="J1861" s="54">
        <f>IF($B1861=0,NA(),IF($D1861="",NA(),IF(D$8="",NA(),IF(N(D$8)=0,NA(),IF(Inputs!$C$17="Rebased to 100",$D1861/D$8*100,$D1861)))))</f>
        <v/>
      </c>
      <c r="K1861" s="54">
        <f>IF($B1861=0,NA(),IF($E1861="",NA(),IF(E$8="",NA(),IF(N(E$8)=0,NA(),IF(Inputs!$C$17="Rebased to 100",$E1861/E$8*100,$E1861)))))</f>
        <v/>
      </c>
      <c r="L1861" s="54">
        <f>IF($B1861=0,NA(),IF($F1861="",NA(),IF(F$8="",NA(),IF(N(F$8)=0,NA(),IF(Inputs!$C$17="Rebased to 100",$F1861/F$8*100,$F1861)))))</f>
        <v/>
      </c>
      <c r="M1861" s="54">
        <f>IF($B1861=0,NA(),IF($G1861="",NA(),IF(G$8="",NA(),IF(N(G$8)=0,NA(),IF(Inputs!$C$17="Rebased to 100",$G1861/G$8*100,$G1861)))))</f>
        <v/>
      </c>
      <c r="N1861" s="54">
        <f>IF($B1861=0,NA(),IF(Inputs!$C$18&lt;&gt;"Yes",NA(),IF(COUNT(I1861,J1861,K1861,L1861,M1861)=0,NA(),MIN(I1861,J1861,K1861,L1861,M1861))))</f>
        <v/>
      </c>
      <c r="O1861" s="54">
        <f>IF($B1861=0,NA(),IF(Inputs!$B$24&lt;&gt;"Yes",NA(),Inputs!$D$24*Inputs!$C$35))</f>
        <v/>
      </c>
      <c r="P1861" s="54">
        <f>IF($B1861=0,NA(),IF(Inputs!$B$25&lt;&gt;"Yes",NA(),Inputs!$D$25*Inputs!$C$35))</f>
        <v/>
      </c>
      <c r="Q1861" s="54">
        <f>IF($B1861=0,NA(),IF(Inputs!$B$26&lt;&gt;"Yes",NA(),Inputs!$D$26*Inputs!$C$35))</f>
        <v/>
      </c>
      <c r="R1861" s="54">
        <f>IF($B1861=0,NA(),IF(Inputs!$B$27&lt;&gt;"Yes",NA(),Inputs!$D$27*Inputs!$C$35))</f>
        <v/>
      </c>
      <c r="S1861" s="54">
        <f>IF($B1861=0,NA(),IF(Inputs!$B$28&lt;&gt;"Yes",NA(),Inputs!$D$28*Inputs!$C$35))</f>
        <v/>
      </c>
      <c r="T1861" s="54">
        <f>IF($B1861=0,NA(),IF(Inputs!$B$29&lt;&gt;"Yes",NA(),Inputs!$D$29*Inputs!$C$35))</f>
        <v/>
      </c>
      <c r="AD1861">
        <f>IF($B1861=0,0,IF(Inputs!$B$6="",0,COUNTIFS(Data!$A$10:$A$3209,"&gt;="&amp;$A1861,Data!$A$10:$A$3209,"&lt;"&amp;$A1861+1)))</f>
        <v/>
      </c>
      <c r="AE1861">
        <f>IF($B1861=0,0,IF(Inputs!$B$7="",0,COUNTIFS(Data!$E$10:$E$3209,"&gt;="&amp;$A1861,Data!$E$10:$E$3209,"&lt;"&amp;$A1861+1)))</f>
        <v/>
      </c>
      <c r="AF1861">
        <f>IF($B1861=0,0,IF(Inputs!$B$8="",0,COUNTIFS(Data!$I$10:$I$3209,"&gt;="&amp;$A1861,Data!$I$10:$I$3209,"&lt;"&amp;$A1861+1)))</f>
        <v/>
      </c>
      <c r="AG1861">
        <f>IF($B1861=0,0,IF(Inputs!$B$9="",0,COUNTIFS(Data!$M$10:$M$3209,"&gt;="&amp;$A1861,Data!$M$10:$M$3209,"&lt;"&amp;$A1861+1)))</f>
        <v/>
      </c>
      <c r="AH1861">
        <f>IF($B1861=0,0,IF(Inputs!$B$10="",0,COUNTIFS(Data!$Q$10:$Q$3209,"&gt;="&amp;$A1861,Data!$Q$10:$Q$3209,"&lt;"&amp;$A1861+1)))</f>
        <v/>
      </c>
    </row>
    <row r="1862">
      <c r="A1862" s="55">
        <f>MIN(Inputs!$C$15,$A1861+IF(WEEKDAY($A1861,2)=5,3,1))</f>
        <v/>
      </c>
      <c r="B1862">
        <f>IF($A1862&gt;$A1861,1,0)</f>
        <v/>
      </c>
      <c r="C1862" s="56">
        <f>IF($B1862=0,"",IF(Inputs!$B$6="","",IF($AD1862=0,C1861,SUMIFS(Data!$B$10:$B$3209,Data!$A$10:$A$3209,"&gt;="&amp;$A1862,Data!$A$10:$A$3209,"&lt;"&amp;$A1862+1)/$AD1862)))</f>
        <v/>
      </c>
      <c r="D1862" s="56">
        <f>IF($B1862=0,"",IF(Inputs!$B$7="","",IF($AE1862=0,D1861,SUMIFS(Data!$F$10:$F$3209,Data!$E$10:$E$3209,"&gt;="&amp;$A1862,Data!$E$10:$E$3209,"&lt;"&amp;$A1862+1)/$AE1862)))</f>
        <v/>
      </c>
      <c r="E1862" s="56">
        <f>IF($B1862=0,"",IF(Inputs!$B$8="","",IF($AF1862=0,E1861,SUMIFS(Data!$J$10:$J$3209,Data!$I$10:$I$3209,"&gt;="&amp;$A1862,Data!$I$10:$I$3209,"&lt;"&amp;$A1862+1)/$AF1862)))</f>
        <v/>
      </c>
      <c r="F1862" s="56">
        <f>IF($B1862=0,"",IF(Inputs!$B$9="","",IF($AG1862=0,F1861,SUMIFS(Data!$N$10:$N$3209,Data!$M$10:$M$3209,"&gt;="&amp;$A1862,Data!$M$10:$M$3209,"&lt;"&amp;$A1862+1)/$AG1862)))</f>
        <v/>
      </c>
      <c r="G1862" s="56">
        <f>IF($B1862=0,"",IF(Inputs!$B$10="","",IF($AH1862=0,G1861,SUMIFS(Data!$R$10:$R$3209,Data!$Q$10:$Q$3209,"&gt;="&amp;$A1862,Data!$Q$10:$Q$3209,"&lt;"&amp;$A1862+1)/$AH1862)))</f>
        <v/>
      </c>
      <c r="I1862" s="54">
        <f>IF($B1862=0,NA(),IF($C1862="",NA(),IF(C$8="",NA(),IF(N(C$8)=0,NA(),IF(Inputs!$C$17="Rebased to 100",$C1862/C$8*100,$C1862)))))</f>
        <v/>
      </c>
      <c r="J1862" s="54">
        <f>IF($B1862=0,NA(),IF($D1862="",NA(),IF(D$8="",NA(),IF(N(D$8)=0,NA(),IF(Inputs!$C$17="Rebased to 100",$D1862/D$8*100,$D1862)))))</f>
        <v/>
      </c>
      <c r="K1862" s="54">
        <f>IF($B1862=0,NA(),IF($E1862="",NA(),IF(E$8="",NA(),IF(N(E$8)=0,NA(),IF(Inputs!$C$17="Rebased to 100",$E1862/E$8*100,$E1862)))))</f>
        <v/>
      </c>
      <c r="L1862" s="54">
        <f>IF($B1862=0,NA(),IF($F1862="",NA(),IF(F$8="",NA(),IF(N(F$8)=0,NA(),IF(Inputs!$C$17="Rebased to 100",$F1862/F$8*100,$F1862)))))</f>
        <v/>
      </c>
      <c r="M1862" s="54">
        <f>IF($B1862=0,NA(),IF($G1862="",NA(),IF(G$8="",NA(),IF(N(G$8)=0,NA(),IF(Inputs!$C$17="Rebased to 100",$G1862/G$8*100,$G1862)))))</f>
        <v/>
      </c>
      <c r="N1862" s="54">
        <f>IF($B1862=0,NA(),IF(Inputs!$C$18&lt;&gt;"Yes",NA(),IF(COUNT(I1862,J1862,K1862,L1862,M1862)=0,NA(),MIN(I1862,J1862,K1862,L1862,M1862))))</f>
        <v/>
      </c>
      <c r="O1862" s="54">
        <f>IF($B1862=0,NA(),IF(Inputs!$B$24&lt;&gt;"Yes",NA(),Inputs!$D$24*Inputs!$C$35))</f>
        <v/>
      </c>
      <c r="P1862" s="54">
        <f>IF($B1862=0,NA(),IF(Inputs!$B$25&lt;&gt;"Yes",NA(),Inputs!$D$25*Inputs!$C$35))</f>
        <v/>
      </c>
      <c r="Q1862" s="54">
        <f>IF($B1862=0,NA(),IF(Inputs!$B$26&lt;&gt;"Yes",NA(),Inputs!$D$26*Inputs!$C$35))</f>
        <v/>
      </c>
      <c r="R1862" s="54">
        <f>IF($B1862=0,NA(),IF(Inputs!$B$27&lt;&gt;"Yes",NA(),Inputs!$D$27*Inputs!$C$35))</f>
        <v/>
      </c>
      <c r="S1862" s="54">
        <f>IF($B1862=0,NA(),IF(Inputs!$B$28&lt;&gt;"Yes",NA(),Inputs!$D$28*Inputs!$C$35))</f>
        <v/>
      </c>
      <c r="T1862" s="54">
        <f>IF($B1862=0,NA(),IF(Inputs!$B$29&lt;&gt;"Yes",NA(),Inputs!$D$29*Inputs!$C$35))</f>
        <v/>
      </c>
      <c r="AD1862">
        <f>IF($B1862=0,0,IF(Inputs!$B$6="",0,COUNTIFS(Data!$A$10:$A$3209,"&gt;="&amp;$A1862,Data!$A$10:$A$3209,"&lt;"&amp;$A1862+1)))</f>
        <v/>
      </c>
      <c r="AE1862">
        <f>IF($B1862=0,0,IF(Inputs!$B$7="",0,COUNTIFS(Data!$E$10:$E$3209,"&gt;="&amp;$A1862,Data!$E$10:$E$3209,"&lt;"&amp;$A1862+1)))</f>
        <v/>
      </c>
      <c r="AF1862">
        <f>IF($B1862=0,0,IF(Inputs!$B$8="",0,COUNTIFS(Data!$I$10:$I$3209,"&gt;="&amp;$A1862,Data!$I$10:$I$3209,"&lt;"&amp;$A1862+1)))</f>
        <v/>
      </c>
      <c r="AG1862">
        <f>IF($B1862=0,0,IF(Inputs!$B$9="",0,COUNTIFS(Data!$M$10:$M$3209,"&gt;="&amp;$A1862,Data!$M$10:$M$3209,"&lt;"&amp;$A1862+1)))</f>
        <v/>
      </c>
      <c r="AH1862">
        <f>IF($B1862=0,0,IF(Inputs!$B$10="",0,COUNTIFS(Data!$Q$10:$Q$3209,"&gt;="&amp;$A1862,Data!$Q$10:$Q$3209,"&lt;"&amp;$A1862+1)))</f>
        <v/>
      </c>
    </row>
    <row r="1863">
      <c r="A1863" s="55">
        <f>MIN(Inputs!$C$15,$A1862+IF(WEEKDAY($A1862,2)=5,3,1))</f>
        <v/>
      </c>
      <c r="B1863">
        <f>IF($A1863&gt;$A1862,1,0)</f>
        <v/>
      </c>
      <c r="C1863" s="56">
        <f>IF($B1863=0,"",IF(Inputs!$B$6="","",IF($AD1863=0,C1862,SUMIFS(Data!$B$10:$B$3209,Data!$A$10:$A$3209,"&gt;="&amp;$A1863,Data!$A$10:$A$3209,"&lt;"&amp;$A1863+1)/$AD1863)))</f>
        <v/>
      </c>
      <c r="D1863" s="56">
        <f>IF($B1863=0,"",IF(Inputs!$B$7="","",IF($AE1863=0,D1862,SUMIFS(Data!$F$10:$F$3209,Data!$E$10:$E$3209,"&gt;="&amp;$A1863,Data!$E$10:$E$3209,"&lt;"&amp;$A1863+1)/$AE1863)))</f>
        <v/>
      </c>
      <c r="E1863" s="56">
        <f>IF($B1863=0,"",IF(Inputs!$B$8="","",IF($AF1863=0,E1862,SUMIFS(Data!$J$10:$J$3209,Data!$I$10:$I$3209,"&gt;="&amp;$A1863,Data!$I$10:$I$3209,"&lt;"&amp;$A1863+1)/$AF1863)))</f>
        <v/>
      </c>
      <c r="F1863" s="56">
        <f>IF($B1863=0,"",IF(Inputs!$B$9="","",IF($AG1863=0,F1862,SUMIFS(Data!$N$10:$N$3209,Data!$M$10:$M$3209,"&gt;="&amp;$A1863,Data!$M$10:$M$3209,"&lt;"&amp;$A1863+1)/$AG1863)))</f>
        <v/>
      </c>
      <c r="G1863" s="56">
        <f>IF($B1863=0,"",IF(Inputs!$B$10="","",IF($AH1863=0,G1862,SUMIFS(Data!$R$10:$R$3209,Data!$Q$10:$Q$3209,"&gt;="&amp;$A1863,Data!$Q$10:$Q$3209,"&lt;"&amp;$A1863+1)/$AH1863)))</f>
        <v/>
      </c>
      <c r="I1863" s="54">
        <f>IF($B1863=0,NA(),IF($C1863="",NA(),IF(C$8="",NA(),IF(N(C$8)=0,NA(),IF(Inputs!$C$17="Rebased to 100",$C1863/C$8*100,$C1863)))))</f>
        <v/>
      </c>
      <c r="J1863" s="54">
        <f>IF($B1863=0,NA(),IF($D1863="",NA(),IF(D$8="",NA(),IF(N(D$8)=0,NA(),IF(Inputs!$C$17="Rebased to 100",$D1863/D$8*100,$D1863)))))</f>
        <v/>
      </c>
      <c r="K1863" s="54">
        <f>IF($B1863=0,NA(),IF($E1863="",NA(),IF(E$8="",NA(),IF(N(E$8)=0,NA(),IF(Inputs!$C$17="Rebased to 100",$E1863/E$8*100,$E1863)))))</f>
        <v/>
      </c>
      <c r="L1863" s="54">
        <f>IF($B1863=0,NA(),IF($F1863="",NA(),IF(F$8="",NA(),IF(N(F$8)=0,NA(),IF(Inputs!$C$17="Rebased to 100",$F1863/F$8*100,$F1863)))))</f>
        <v/>
      </c>
      <c r="M1863" s="54">
        <f>IF($B1863=0,NA(),IF($G1863="",NA(),IF(G$8="",NA(),IF(N(G$8)=0,NA(),IF(Inputs!$C$17="Rebased to 100",$G1863/G$8*100,$G1863)))))</f>
        <v/>
      </c>
      <c r="N1863" s="54">
        <f>IF($B1863=0,NA(),IF(Inputs!$C$18&lt;&gt;"Yes",NA(),IF(COUNT(I1863,J1863,K1863,L1863,M1863)=0,NA(),MIN(I1863,J1863,K1863,L1863,M1863))))</f>
        <v/>
      </c>
      <c r="O1863" s="54">
        <f>IF($B1863=0,NA(),IF(Inputs!$B$24&lt;&gt;"Yes",NA(),Inputs!$D$24*Inputs!$C$35))</f>
        <v/>
      </c>
      <c r="P1863" s="54">
        <f>IF($B1863=0,NA(),IF(Inputs!$B$25&lt;&gt;"Yes",NA(),Inputs!$D$25*Inputs!$C$35))</f>
        <v/>
      </c>
      <c r="Q1863" s="54">
        <f>IF($B1863=0,NA(),IF(Inputs!$B$26&lt;&gt;"Yes",NA(),Inputs!$D$26*Inputs!$C$35))</f>
        <v/>
      </c>
      <c r="R1863" s="54">
        <f>IF($B1863=0,NA(),IF(Inputs!$B$27&lt;&gt;"Yes",NA(),Inputs!$D$27*Inputs!$C$35))</f>
        <v/>
      </c>
      <c r="S1863" s="54">
        <f>IF($B1863=0,NA(),IF(Inputs!$B$28&lt;&gt;"Yes",NA(),Inputs!$D$28*Inputs!$C$35))</f>
        <v/>
      </c>
      <c r="T1863" s="54">
        <f>IF($B1863=0,NA(),IF(Inputs!$B$29&lt;&gt;"Yes",NA(),Inputs!$D$29*Inputs!$C$35))</f>
        <v/>
      </c>
      <c r="AD1863">
        <f>IF($B1863=0,0,IF(Inputs!$B$6="",0,COUNTIFS(Data!$A$10:$A$3209,"&gt;="&amp;$A1863,Data!$A$10:$A$3209,"&lt;"&amp;$A1863+1)))</f>
        <v/>
      </c>
      <c r="AE1863">
        <f>IF($B1863=0,0,IF(Inputs!$B$7="",0,COUNTIFS(Data!$E$10:$E$3209,"&gt;="&amp;$A1863,Data!$E$10:$E$3209,"&lt;"&amp;$A1863+1)))</f>
        <v/>
      </c>
      <c r="AF1863">
        <f>IF($B1863=0,0,IF(Inputs!$B$8="",0,COUNTIFS(Data!$I$10:$I$3209,"&gt;="&amp;$A1863,Data!$I$10:$I$3209,"&lt;"&amp;$A1863+1)))</f>
        <v/>
      </c>
      <c r="AG1863">
        <f>IF($B1863=0,0,IF(Inputs!$B$9="",0,COUNTIFS(Data!$M$10:$M$3209,"&gt;="&amp;$A1863,Data!$M$10:$M$3209,"&lt;"&amp;$A1863+1)))</f>
        <v/>
      </c>
      <c r="AH1863">
        <f>IF($B1863=0,0,IF(Inputs!$B$10="",0,COUNTIFS(Data!$Q$10:$Q$3209,"&gt;="&amp;$A1863,Data!$Q$10:$Q$3209,"&lt;"&amp;$A1863+1)))</f>
        <v/>
      </c>
    </row>
    <row r="1864">
      <c r="A1864" s="55">
        <f>MIN(Inputs!$C$15,$A1863+IF(WEEKDAY($A1863,2)=5,3,1))</f>
        <v/>
      </c>
      <c r="B1864">
        <f>IF($A1864&gt;$A1863,1,0)</f>
        <v/>
      </c>
      <c r="C1864" s="56">
        <f>IF($B1864=0,"",IF(Inputs!$B$6="","",IF($AD1864=0,C1863,SUMIFS(Data!$B$10:$B$3209,Data!$A$10:$A$3209,"&gt;="&amp;$A1864,Data!$A$10:$A$3209,"&lt;"&amp;$A1864+1)/$AD1864)))</f>
        <v/>
      </c>
      <c r="D1864" s="56">
        <f>IF($B1864=0,"",IF(Inputs!$B$7="","",IF($AE1864=0,D1863,SUMIFS(Data!$F$10:$F$3209,Data!$E$10:$E$3209,"&gt;="&amp;$A1864,Data!$E$10:$E$3209,"&lt;"&amp;$A1864+1)/$AE1864)))</f>
        <v/>
      </c>
      <c r="E1864" s="56">
        <f>IF($B1864=0,"",IF(Inputs!$B$8="","",IF($AF1864=0,E1863,SUMIFS(Data!$J$10:$J$3209,Data!$I$10:$I$3209,"&gt;="&amp;$A1864,Data!$I$10:$I$3209,"&lt;"&amp;$A1864+1)/$AF1864)))</f>
        <v/>
      </c>
      <c r="F1864" s="56">
        <f>IF($B1864=0,"",IF(Inputs!$B$9="","",IF($AG1864=0,F1863,SUMIFS(Data!$N$10:$N$3209,Data!$M$10:$M$3209,"&gt;="&amp;$A1864,Data!$M$10:$M$3209,"&lt;"&amp;$A1864+1)/$AG1864)))</f>
        <v/>
      </c>
      <c r="G1864" s="56">
        <f>IF($B1864=0,"",IF(Inputs!$B$10="","",IF($AH1864=0,G1863,SUMIFS(Data!$R$10:$R$3209,Data!$Q$10:$Q$3209,"&gt;="&amp;$A1864,Data!$Q$10:$Q$3209,"&lt;"&amp;$A1864+1)/$AH1864)))</f>
        <v/>
      </c>
      <c r="I1864" s="54">
        <f>IF($B1864=0,NA(),IF($C1864="",NA(),IF(C$8="",NA(),IF(N(C$8)=0,NA(),IF(Inputs!$C$17="Rebased to 100",$C1864/C$8*100,$C1864)))))</f>
        <v/>
      </c>
      <c r="J1864" s="54">
        <f>IF($B1864=0,NA(),IF($D1864="",NA(),IF(D$8="",NA(),IF(N(D$8)=0,NA(),IF(Inputs!$C$17="Rebased to 100",$D1864/D$8*100,$D1864)))))</f>
        <v/>
      </c>
      <c r="K1864" s="54">
        <f>IF($B1864=0,NA(),IF($E1864="",NA(),IF(E$8="",NA(),IF(N(E$8)=0,NA(),IF(Inputs!$C$17="Rebased to 100",$E1864/E$8*100,$E1864)))))</f>
        <v/>
      </c>
      <c r="L1864" s="54">
        <f>IF($B1864=0,NA(),IF($F1864="",NA(),IF(F$8="",NA(),IF(N(F$8)=0,NA(),IF(Inputs!$C$17="Rebased to 100",$F1864/F$8*100,$F1864)))))</f>
        <v/>
      </c>
      <c r="M1864" s="54">
        <f>IF($B1864=0,NA(),IF($G1864="",NA(),IF(G$8="",NA(),IF(N(G$8)=0,NA(),IF(Inputs!$C$17="Rebased to 100",$G1864/G$8*100,$G1864)))))</f>
        <v/>
      </c>
      <c r="N1864" s="54">
        <f>IF($B1864=0,NA(),IF(Inputs!$C$18&lt;&gt;"Yes",NA(),IF(COUNT(I1864,J1864,K1864,L1864,M1864)=0,NA(),MIN(I1864,J1864,K1864,L1864,M1864))))</f>
        <v/>
      </c>
      <c r="O1864" s="54">
        <f>IF($B1864=0,NA(),IF(Inputs!$B$24&lt;&gt;"Yes",NA(),Inputs!$D$24*Inputs!$C$35))</f>
        <v/>
      </c>
      <c r="P1864" s="54">
        <f>IF($B1864=0,NA(),IF(Inputs!$B$25&lt;&gt;"Yes",NA(),Inputs!$D$25*Inputs!$C$35))</f>
        <v/>
      </c>
      <c r="Q1864" s="54">
        <f>IF($B1864=0,NA(),IF(Inputs!$B$26&lt;&gt;"Yes",NA(),Inputs!$D$26*Inputs!$C$35))</f>
        <v/>
      </c>
      <c r="R1864" s="54">
        <f>IF($B1864=0,NA(),IF(Inputs!$B$27&lt;&gt;"Yes",NA(),Inputs!$D$27*Inputs!$C$35))</f>
        <v/>
      </c>
      <c r="S1864" s="54">
        <f>IF($B1864=0,NA(),IF(Inputs!$B$28&lt;&gt;"Yes",NA(),Inputs!$D$28*Inputs!$C$35))</f>
        <v/>
      </c>
      <c r="T1864" s="54">
        <f>IF($B1864=0,NA(),IF(Inputs!$B$29&lt;&gt;"Yes",NA(),Inputs!$D$29*Inputs!$C$35))</f>
        <v/>
      </c>
      <c r="AD1864">
        <f>IF($B1864=0,0,IF(Inputs!$B$6="",0,COUNTIFS(Data!$A$10:$A$3209,"&gt;="&amp;$A1864,Data!$A$10:$A$3209,"&lt;"&amp;$A1864+1)))</f>
        <v/>
      </c>
      <c r="AE1864">
        <f>IF($B1864=0,0,IF(Inputs!$B$7="",0,COUNTIFS(Data!$E$10:$E$3209,"&gt;="&amp;$A1864,Data!$E$10:$E$3209,"&lt;"&amp;$A1864+1)))</f>
        <v/>
      </c>
      <c r="AF1864">
        <f>IF($B1864=0,0,IF(Inputs!$B$8="",0,COUNTIFS(Data!$I$10:$I$3209,"&gt;="&amp;$A1864,Data!$I$10:$I$3209,"&lt;"&amp;$A1864+1)))</f>
        <v/>
      </c>
      <c r="AG1864">
        <f>IF($B1864=0,0,IF(Inputs!$B$9="",0,COUNTIFS(Data!$M$10:$M$3209,"&gt;="&amp;$A1864,Data!$M$10:$M$3209,"&lt;"&amp;$A1864+1)))</f>
        <v/>
      </c>
      <c r="AH1864">
        <f>IF($B1864=0,0,IF(Inputs!$B$10="",0,COUNTIFS(Data!$Q$10:$Q$3209,"&gt;="&amp;$A1864,Data!$Q$10:$Q$3209,"&lt;"&amp;$A1864+1)))</f>
        <v/>
      </c>
    </row>
    <row r="1865">
      <c r="A1865" s="55">
        <f>MIN(Inputs!$C$15,$A1864+IF(WEEKDAY($A1864,2)=5,3,1))</f>
        <v/>
      </c>
      <c r="B1865">
        <f>IF($A1865&gt;$A1864,1,0)</f>
        <v/>
      </c>
      <c r="C1865" s="56">
        <f>IF($B1865=0,"",IF(Inputs!$B$6="","",IF($AD1865=0,C1864,SUMIFS(Data!$B$10:$B$3209,Data!$A$10:$A$3209,"&gt;="&amp;$A1865,Data!$A$10:$A$3209,"&lt;"&amp;$A1865+1)/$AD1865)))</f>
        <v/>
      </c>
      <c r="D1865" s="56">
        <f>IF($B1865=0,"",IF(Inputs!$B$7="","",IF($AE1865=0,D1864,SUMIFS(Data!$F$10:$F$3209,Data!$E$10:$E$3209,"&gt;="&amp;$A1865,Data!$E$10:$E$3209,"&lt;"&amp;$A1865+1)/$AE1865)))</f>
        <v/>
      </c>
      <c r="E1865" s="56">
        <f>IF($B1865=0,"",IF(Inputs!$B$8="","",IF($AF1865=0,E1864,SUMIFS(Data!$J$10:$J$3209,Data!$I$10:$I$3209,"&gt;="&amp;$A1865,Data!$I$10:$I$3209,"&lt;"&amp;$A1865+1)/$AF1865)))</f>
        <v/>
      </c>
      <c r="F1865" s="56">
        <f>IF($B1865=0,"",IF(Inputs!$B$9="","",IF($AG1865=0,F1864,SUMIFS(Data!$N$10:$N$3209,Data!$M$10:$M$3209,"&gt;="&amp;$A1865,Data!$M$10:$M$3209,"&lt;"&amp;$A1865+1)/$AG1865)))</f>
        <v/>
      </c>
      <c r="G1865" s="56">
        <f>IF($B1865=0,"",IF(Inputs!$B$10="","",IF($AH1865=0,G1864,SUMIFS(Data!$R$10:$R$3209,Data!$Q$10:$Q$3209,"&gt;="&amp;$A1865,Data!$Q$10:$Q$3209,"&lt;"&amp;$A1865+1)/$AH1865)))</f>
        <v/>
      </c>
      <c r="I1865" s="54">
        <f>IF($B1865=0,NA(),IF($C1865="",NA(),IF(C$8="",NA(),IF(N(C$8)=0,NA(),IF(Inputs!$C$17="Rebased to 100",$C1865/C$8*100,$C1865)))))</f>
        <v/>
      </c>
      <c r="J1865" s="54">
        <f>IF($B1865=0,NA(),IF($D1865="",NA(),IF(D$8="",NA(),IF(N(D$8)=0,NA(),IF(Inputs!$C$17="Rebased to 100",$D1865/D$8*100,$D1865)))))</f>
        <v/>
      </c>
      <c r="K1865" s="54">
        <f>IF($B1865=0,NA(),IF($E1865="",NA(),IF(E$8="",NA(),IF(N(E$8)=0,NA(),IF(Inputs!$C$17="Rebased to 100",$E1865/E$8*100,$E1865)))))</f>
        <v/>
      </c>
      <c r="L1865" s="54">
        <f>IF($B1865=0,NA(),IF($F1865="",NA(),IF(F$8="",NA(),IF(N(F$8)=0,NA(),IF(Inputs!$C$17="Rebased to 100",$F1865/F$8*100,$F1865)))))</f>
        <v/>
      </c>
      <c r="M1865" s="54">
        <f>IF($B1865=0,NA(),IF($G1865="",NA(),IF(G$8="",NA(),IF(N(G$8)=0,NA(),IF(Inputs!$C$17="Rebased to 100",$G1865/G$8*100,$G1865)))))</f>
        <v/>
      </c>
      <c r="N1865" s="54">
        <f>IF($B1865=0,NA(),IF(Inputs!$C$18&lt;&gt;"Yes",NA(),IF(COUNT(I1865,J1865,K1865,L1865,M1865)=0,NA(),MIN(I1865,J1865,K1865,L1865,M1865))))</f>
        <v/>
      </c>
      <c r="O1865" s="54">
        <f>IF($B1865=0,NA(),IF(Inputs!$B$24&lt;&gt;"Yes",NA(),Inputs!$D$24*Inputs!$C$35))</f>
        <v/>
      </c>
      <c r="P1865" s="54">
        <f>IF($B1865=0,NA(),IF(Inputs!$B$25&lt;&gt;"Yes",NA(),Inputs!$D$25*Inputs!$C$35))</f>
        <v/>
      </c>
      <c r="Q1865" s="54">
        <f>IF($B1865=0,NA(),IF(Inputs!$B$26&lt;&gt;"Yes",NA(),Inputs!$D$26*Inputs!$C$35))</f>
        <v/>
      </c>
      <c r="R1865" s="54">
        <f>IF($B1865=0,NA(),IF(Inputs!$B$27&lt;&gt;"Yes",NA(),Inputs!$D$27*Inputs!$C$35))</f>
        <v/>
      </c>
      <c r="S1865" s="54">
        <f>IF($B1865=0,NA(),IF(Inputs!$B$28&lt;&gt;"Yes",NA(),Inputs!$D$28*Inputs!$C$35))</f>
        <v/>
      </c>
      <c r="T1865" s="54">
        <f>IF($B1865=0,NA(),IF(Inputs!$B$29&lt;&gt;"Yes",NA(),Inputs!$D$29*Inputs!$C$35))</f>
        <v/>
      </c>
      <c r="AD1865">
        <f>IF($B1865=0,0,IF(Inputs!$B$6="",0,COUNTIFS(Data!$A$10:$A$3209,"&gt;="&amp;$A1865,Data!$A$10:$A$3209,"&lt;"&amp;$A1865+1)))</f>
        <v/>
      </c>
      <c r="AE1865">
        <f>IF($B1865=0,0,IF(Inputs!$B$7="",0,COUNTIFS(Data!$E$10:$E$3209,"&gt;="&amp;$A1865,Data!$E$10:$E$3209,"&lt;"&amp;$A1865+1)))</f>
        <v/>
      </c>
      <c r="AF1865">
        <f>IF($B1865=0,0,IF(Inputs!$B$8="",0,COUNTIFS(Data!$I$10:$I$3209,"&gt;="&amp;$A1865,Data!$I$10:$I$3209,"&lt;"&amp;$A1865+1)))</f>
        <v/>
      </c>
      <c r="AG1865">
        <f>IF($B1865=0,0,IF(Inputs!$B$9="",0,COUNTIFS(Data!$M$10:$M$3209,"&gt;="&amp;$A1865,Data!$M$10:$M$3209,"&lt;"&amp;$A1865+1)))</f>
        <v/>
      </c>
      <c r="AH1865">
        <f>IF($B1865=0,0,IF(Inputs!$B$10="",0,COUNTIFS(Data!$Q$10:$Q$3209,"&gt;="&amp;$A1865,Data!$Q$10:$Q$3209,"&lt;"&amp;$A1865+1)))</f>
        <v/>
      </c>
    </row>
    <row r="1866">
      <c r="A1866" s="55">
        <f>MIN(Inputs!$C$15,$A1865+IF(WEEKDAY($A1865,2)=5,3,1))</f>
        <v/>
      </c>
      <c r="B1866">
        <f>IF($A1866&gt;$A1865,1,0)</f>
        <v/>
      </c>
      <c r="C1866" s="56">
        <f>IF($B1866=0,"",IF(Inputs!$B$6="","",IF($AD1866=0,C1865,SUMIFS(Data!$B$10:$B$3209,Data!$A$10:$A$3209,"&gt;="&amp;$A1866,Data!$A$10:$A$3209,"&lt;"&amp;$A1866+1)/$AD1866)))</f>
        <v/>
      </c>
      <c r="D1866" s="56">
        <f>IF($B1866=0,"",IF(Inputs!$B$7="","",IF($AE1866=0,D1865,SUMIFS(Data!$F$10:$F$3209,Data!$E$10:$E$3209,"&gt;="&amp;$A1866,Data!$E$10:$E$3209,"&lt;"&amp;$A1866+1)/$AE1866)))</f>
        <v/>
      </c>
      <c r="E1866" s="56">
        <f>IF($B1866=0,"",IF(Inputs!$B$8="","",IF($AF1866=0,E1865,SUMIFS(Data!$J$10:$J$3209,Data!$I$10:$I$3209,"&gt;="&amp;$A1866,Data!$I$10:$I$3209,"&lt;"&amp;$A1866+1)/$AF1866)))</f>
        <v/>
      </c>
      <c r="F1866" s="56">
        <f>IF($B1866=0,"",IF(Inputs!$B$9="","",IF($AG1866=0,F1865,SUMIFS(Data!$N$10:$N$3209,Data!$M$10:$M$3209,"&gt;="&amp;$A1866,Data!$M$10:$M$3209,"&lt;"&amp;$A1866+1)/$AG1866)))</f>
        <v/>
      </c>
      <c r="G1866" s="56">
        <f>IF($B1866=0,"",IF(Inputs!$B$10="","",IF($AH1866=0,G1865,SUMIFS(Data!$R$10:$R$3209,Data!$Q$10:$Q$3209,"&gt;="&amp;$A1866,Data!$Q$10:$Q$3209,"&lt;"&amp;$A1866+1)/$AH1866)))</f>
        <v/>
      </c>
      <c r="I1866" s="54">
        <f>IF($B1866=0,NA(),IF($C1866="",NA(),IF(C$8="",NA(),IF(N(C$8)=0,NA(),IF(Inputs!$C$17="Rebased to 100",$C1866/C$8*100,$C1866)))))</f>
        <v/>
      </c>
      <c r="J1866" s="54">
        <f>IF($B1866=0,NA(),IF($D1866="",NA(),IF(D$8="",NA(),IF(N(D$8)=0,NA(),IF(Inputs!$C$17="Rebased to 100",$D1866/D$8*100,$D1866)))))</f>
        <v/>
      </c>
      <c r="K1866" s="54">
        <f>IF($B1866=0,NA(),IF($E1866="",NA(),IF(E$8="",NA(),IF(N(E$8)=0,NA(),IF(Inputs!$C$17="Rebased to 100",$E1866/E$8*100,$E1866)))))</f>
        <v/>
      </c>
      <c r="L1866" s="54">
        <f>IF($B1866=0,NA(),IF($F1866="",NA(),IF(F$8="",NA(),IF(N(F$8)=0,NA(),IF(Inputs!$C$17="Rebased to 100",$F1866/F$8*100,$F1866)))))</f>
        <v/>
      </c>
      <c r="M1866" s="54">
        <f>IF($B1866=0,NA(),IF($G1866="",NA(),IF(G$8="",NA(),IF(N(G$8)=0,NA(),IF(Inputs!$C$17="Rebased to 100",$G1866/G$8*100,$G1866)))))</f>
        <v/>
      </c>
      <c r="N1866" s="54">
        <f>IF($B1866=0,NA(),IF(Inputs!$C$18&lt;&gt;"Yes",NA(),IF(COUNT(I1866,J1866,K1866,L1866,M1866)=0,NA(),MIN(I1866,J1866,K1866,L1866,M1866))))</f>
        <v/>
      </c>
      <c r="O1866" s="54">
        <f>IF($B1866=0,NA(),IF(Inputs!$B$24&lt;&gt;"Yes",NA(),Inputs!$D$24*Inputs!$C$35))</f>
        <v/>
      </c>
      <c r="P1866" s="54">
        <f>IF($B1866=0,NA(),IF(Inputs!$B$25&lt;&gt;"Yes",NA(),Inputs!$D$25*Inputs!$C$35))</f>
        <v/>
      </c>
      <c r="Q1866" s="54">
        <f>IF($B1866=0,NA(),IF(Inputs!$B$26&lt;&gt;"Yes",NA(),Inputs!$D$26*Inputs!$C$35))</f>
        <v/>
      </c>
      <c r="R1866" s="54">
        <f>IF($B1866=0,NA(),IF(Inputs!$B$27&lt;&gt;"Yes",NA(),Inputs!$D$27*Inputs!$C$35))</f>
        <v/>
      </c>
      <c r="S1866" s="54">
        <f>IF($B1866=0,NA(),IF(Inputs!$B$28&lt;&gt;"Yes",NA(),Inputs!$D$28*Inputs!$C$35))</f>
        <v/>
      </c>
      <c r="T1866" s="54">
        <f>IF($B1866=0,NA(),IF(Inputs!$B$29&lt;&gt;"Yes",NA(),Inputs!$D$29*Inputs!$C$35))</f>
        <v/>
      </c>
      <c r="AD1866">
        <f>IF($B1866=0,0,IF(Inputs!$B$6="",0,COUNTIFS(Data!$A$10:$A$3209,"&gt;="&amp;$A1866,Data!$A$10:$A$3209,"&lt;"&amp;$A1866+1)))</f>
        <v/>
      </c>
      <c r="AE1866">
        <f>IF($B1866=0,0,IF(Inputs!$B$7="",0,COUNTIFS(Data!$E$10:$E$3209,"&gt;="&amp;$A1866,Data!$E$10:$E$3209,"&lt;"&amp;$A1866+1)))</f>
        <v/>
      </c>
      <c r="AF1866">
        <f>IF($B1866=0,0,IF(Inputs!$B$8="",0,COUNTIFS(Data!$I$10:$I$3209,"&gt;="&amp;$A1866,Data!$I$10:$I$3209,"&lt;"&amp;$A1866+1)))</f>
        <v/>
      </c>
      <c r="AG1866">
        <f>IF($B1866=0,0,IF(Inputs!$B$9="",0,COUNTIFS(Data!$M$10:$M$3209,"&gt;="&amp;$A1866,Data!$M$10:$M$3209,"&lt;"&amp;$A1866+1)))</f>
        <v/>
      </c>
      <c r="AH1866">
        <f>IF($B1866=0,0,IF(Inputs!$B$10="",0,COUNTIFS(Data!$Q$10:$Q$3209,"&gt;="&amp;$A1866,Data!$Q$10:$Q$3209,"&lt;"&amp;$A1866+1)))</f>
        <v/>
      </c>
    </row>
    <row r="1867">
      <c r="A1867" s="55">
        <f>MIN(Inputs!$C$15,$A1866+IF(WEEKDAY($A1866,2)=5,3,1))</f>
        <v/>
      </c>
      <c r="B1867">
        <f>IF($A1867&gt;$A1866,1,0)</f>
        <v/>
      </c>
      <c r="C1867" s="56">
        <f>IF($B1867=0,"",IF(Inputs!$B$6="","",IF($AD1867=0,C1866,SUMIFS(Data!$B$10:$B$3209,Data!$A$10:$A$3209,"&gt;="&amp;$A1867,Data!$A$10:$A$3209,"&lt;"&amp;$A1867+1)/$AD1867)))</f>
        <v/>
      </c>
      <c r="D1867" s="56">
        <f>IF($B1867=0,"",IF(Inputs!$B$7="","",IF($AE1867=0,D1866,SUMIFS(Data!$F$10:$F$3209,Data!$E$10:$E$3209,"&gt;="&amp;$A1867,Data!$E$10:$E$3209,"&lt;"&amp;$A1867+1)/$AE1867)))</f>
        <v/>
      </c>
      <c r="E1867" s="56">
        <f>IF($B1867=0,"",IF(Inputs!$B$8="","",IF($AF1867=0,E1866,SUMIFS(Data!$J$10:$J$3209,Data!$I$10:$I$3209,"&gt;="&amp;$A1867,Data!$I$10:$I$3209,"&lt;"&amp;$A1867+1)/$AF1867)))</f>
        <v/>
      </c>
      <c r="F1867" s="56">
        <f>IF($B1867=0,"",IF(Inputs!$B$9="","",IF($AG1867=0,F1866,SUMIFS(Data!$N$10:$N$3209,Data!$M$10:$M$3209,"&gt;="&amp;$A1867,Data!$M$10:$M$3209,"&lt;"&amp;$A1867+1)/$AG1867)))</f>
        <v/>
      </c>
      <c r="G1867" s="56">
        <f>IF($B1867=0,"",IF(Inputs!$B$10="","",IF($AH1867=0,G1866,SUMIFS(Data!$R$10:$R$3209,Data!$Q$10:$Q$3209,"&gt;="&amp;$A1867,Data!$Q$10:$Q$3209,"&lt;"&amp;$A1867+1)/$AH1867)))</f>
        <v/>
      </c>
      <c r="I1867" s="54">
        <f>IF($B1867=0,NA(),IF($C1867="",NA(),IF(C$8="",NA(),IF(N(C$8)=0,NA(),IF(Inputs!$C$17="Rebased to 100",$C1867/C$8*100,$C1867)))))</f>
        <v/>
      </c>
      <c r="J1867" s="54">
        <f>IF($B1867=0,NA(),IF($D1867="",NA(),IF(D$8="",NA(),IF(N(D$8)=0,NA(),IF(Inputs!$C$17="Rebased to 100",$D1867/D$8*100,$D1867)))))</f>
        <v/>
      </c>
      <c r="K1867" s="54">
        <f>IF($B1867=0,NA(),IF($E1867="",NA(),IF(E$8="",NA(),IF(N(E$8)=0,NA(),IF(Inputs!$C$17="Rebased to 100",$E1867/E$8*100,$E1867)))))</f>
        <v/>
      </c>
      <c r="L1867" s="54">
        <f>IF($B1867=0,NA(),IF($F1867="",NA(),IF(F$8="",NA(),IF(N(F$8)=0,NA(),IF(Inputs!$C$17="Rebased to 100",$F1867/F$8*100,$F1867)))))</f>
        <v/>
      </c>
      <c r="M1867" s="54">
        <f>IF($B1867=0,NA(),IF($G1867="",NA(),IF(G$8="",NA(),IF(N(G$8)=0,NA(),IF(Inputs!$C$17="Rebased to 100",$G1867/G$8*100,$G1867)))))</f>
        <v/>
      </c>
      <c r="N1867" s="54">
        <f>IF($B1867=0,NA(),IF(Inputs!$C$18&lt;&gt;"Yes",NA(),IF(COUNT(I1867,J1867,K1867,L1867,M1867)=0,NA(),MIN(I1867,J1867,K1867,L1867,M1867))))</f>
        <v/>
      </c>
      <c r="O1867" s="54">
        <f>IF($B1867=0,NA(),IF(Inputs!$B$24&lt;&gt;"Yes",NA(),Inputs!$D$24*Inputs!$C$35))</f>
        <v/>
      </c>
      <c r="P1867" s="54">
        <f>IF($B1867=0,NA(),IF(Inputs!$B$25&lt;&gt;"Yes",NA(),Inputs!$D$25*Inputs!$C$35))</f>
        <v/>
      </c>
      <c r="Q1867" s="54">
        <f>IF($B1867=0,NA(),IF(Inputs!$B$26&lt;&gt;"Yes",NA(),Inputs!$D$26*Inputs!$C$35))</f>
        <v/>
      </c>
      <c r="R1867" s="54">
        <f>IF($B1867=0,NA(),IF(Inputs!$B$27&lt;&gt;"Yes",NA(),Inputs!$D$27*Inputs!$C$35))</f>
        <v/>
      </c>
      <c r="S1867" s="54">
        <f>IF($B1867=0,NA(),IF(Inputs!$B$28&lt;&gt;"Yes",NA(),Inputs!$D$28*Inputs!$C$35))</f>
        <v/>
      </c>
      <c r="T1867" s="54">
        <f>IF($B1867=0,NA(),IF(Inputs!$B$29&lt;&gt;"Yes",NA(),Inputs!$D$29*Inputs!$C$35))</f>
        <v/>
      </c>
      <c r="AD1867">
        <f>IF($B1867=0,0,IF(Inputs!$B$6="",0,COUNTIFS(Data!$A$10:$A$3209,"&gt;="&amp;$A1867,Data!$A$10:$A$3209,"&lt;"&amp;$A1867+1)))</f>
        <v/>
      </c>
      <c r="AE1867">
        <f>IF($B1867=0,0,IF(Inputs!$B$7="",0,COUNTIFS(Data!$E$10:$E$3209,"&gt;="&amp;$A1867,Data!$E$10:$E$3209,"&lt;"&amp;$A1867+1)))</f>
        <v/>
      </c>
      <c r="AF1867">
        <f>IF($B1867=0,0,IF(Inputs!$B$8="",0,COUNTIFS(Data!$I$10:$I$3209,"&gt;="&amp;$A1867,Data!$I$10:$I$3209,"&lt;"&amp;$A1867+1)))</f>
        <v/>
      </c>
      <c r="AG1867">
        <f>IF($B1867=0,0,IF(Inputs!$B$9="",0,COUNTIFS(Data!$M$10:$M$3209,"&gt;="&amp;$A1867,Data!$M$10:$M$3209,"&lt;"&amp;$A1867+1)))</f>
        <v/>
      </c>
      <c r="AH1867">
        <f>IF($B1867=0,0,IF(Inputs!$B$10="",0,COUNTIFS(Data!$Q$10:$Q$3209,"&gt;="&amp;$A1867,Data!$Q$10:$Q$3209,"&lt;"&amp;$A1867+1)))</f>
        <v/>
      </c>
    </row>
    <row r="1868">
      <c r="A1868" s="55">
        <f>MIN(Inputs!$C$15,$A1867+IF(WEEKDAY($A1867,2)=5,3,1))</f>
        <v/>
      </c>
      <c r="B1868">
        <f>IF($A1868&gt;$A1867,1,0)</f>
        <v/>
      </c>
      <c r="C1868" s="56">
        <f>IF($B1868=0,"",IF(Inputs!$B$6="","",IF($AD1868=0,C1867,SUMIFS(Data!$B$10:$B$3209,Data!$A$10:$A$3209,"&gt;="&amp;$A1868,Data!$A$10:$A$3209,"&lt;"&amp;$A1868+1)/$AD1868)))</f>
        <v/>
      </c>
      <c r="D1868" s="56">
        <f>IF($B1868=0,"",IF(Inputs!$B$7="","",IF($AE1868=0,D1867,SUMIFS(Data!$F$10:$F$3209,Data!$E$10:$E$3209,"&gt;="&amp;$A1868,Data!$E$10:$E$3209,"&lt;"&amp;$A1868+1)/$AE1868)))</f>
        <v/>
      </c>
      <c r="E1868" s="56">
        <f>IF($B1868=0,"",IF(Inputs!$B$8="","",IF($AF1868=0,E1867,SUMIFS(Data!$J$10:$J$3209,Data!$I$10:$I$3209,"&gt;="&amp;$A1868,Data!$I$10:$I$3209,"&lt;"&amp;$A1868+1)/$AF1868)))</f>
        <v/>
      </c>
      <c r="F1868" s="56">
        <f>IF($B1868=0,"",IF(Inputs!$B$9="","",IF($AG1868=0,F1867,SUMIFS(Data!$N$10:$N$3209,Data!$M$10:$M$3209,"&gt;="&amp;$A1868,Data!$M$10:$M$3209,"&lt;"&amp;$A1868+1)/$AG1868)))</f>
        <v/>
      </c>
      <c r="G1868" s="56">
        <f>IF($B1868=0,"",IF(Inputs!$B$10="","",IF($AH1868=0,G1867,SUMIFS(Data!$R$10:$R$3209,Data!$Q$10:$Q$3209,"&gt;="&amp;$A1868,Data!$Q$10:$Q$3209,"&lt;"&amp;$A1868+1)/$AH1868)))</f>
        <v/>
      </c>
      <c r="I1868" s="54">
        <f>IF($B1868=0,NA(),IF($C1868="",NA(),IF(C$8="",NA(),IF(N(C$8)=0,NA(),IF(Inputs!$C$17="Rebased to 100",$C1868/C$8*100,$C1868)))))</f>
        <v/>
      </c>
      <c r="J1868" s="54">
        <f>IF($B1868=0,NA(),IF($D1868="",NA(),IF(D$8="",NA(),IF(N(D$8)=0,NA(),IF(Inputs!$C$17="Rebased to 100",$D1868/D$8*100,$D1868)))))</f>
        <v/>
      </c>
      <c r="K1868" s="54">
        <f>IF($B1868=0,NA(),IF($E1868="",NA(),IF(E$8="",NA(),IF(N(E$8)=0,NA(),IF(Inputs!$C$17="Rebased to 100",$E1868/E$8*100,$E1868)))))</f>
        <v/>
      </c>
      <c r="L1868" s="54">
        <f>IF($B1868=0,NA(),IF($F1868="",NA(),IF(F$8="",NA(),IF(N(F$8)=0,NA(),IF(Inputs!$C$17="Rebased to 100",$F1868/F$8*100,$F1868)))))</f>
        <v/>
      </c>
      <c r="M1868" s="54">
        <f>IF($B1868=0,NA(),IF($G1868="",NA(),IF(G$8="",NA(),IF(N(G$8)=0,NA(),IF(Inputs!$C$17="Rebased to 100",$G1868/G$8*100,$G1868)))))</f>
        <v/>
      </c>
      <c r="N1868" s="54">
        <f>IF($B1868=0,NA(),IF(Inputs!$C$18&lt;&gt;"Yes",NA(),IF(COUNT(I1868,J1868,K1868,L1868,M1868)=0,NA(),MIN(I1868,J1868,K1868,L1868,M1868))))</f>
        <v/>
      </c>
      <c r="O1868" s="54">
        <f>IF($B1868=0,NA(),IF(Inputs!$B$24&lt;&gt;"Yes",NA(),Inputs!$D$24*Inputs!$C$35))</f>
        <v/>
      </c>
      <c r="P1868" s="54">
        <f>IF($B1868=0,NA(),IF(Inputs!$B$25&lt;&gt;"Yes",NA(),Inputs!$D$25*Inputs!$C$35))</f>
        <v/>
      </c>
      <c r="Q1868" s="54">
        <f>IF($B1868=0,NA(),IF(Inputs!$B$26&lt;&gt;"Yes",NA(),Inputs!$D$26*Inputs!$C$35))</f>
        <v/>
      </c>
      <c r="R1868" s="54">
        <f>IF($B1868=0,NA(),IF(Inputs!$B$27&lt;&gt;"Yes",NA(),Inputs!$D$27*Inputs!$C$35))</f>
        <v/>
      </c>
      <c r="S1868" s="54">
        <f>IF($B1868=0,NA(),IF(Inputs!$B$28&lt;&gt;"Yes",NA(),Inputs!$D$28*Inputs!$C$35))</f>
        <v/>
      </c>
      <c r="T1868" s="54">
        <f>IF($B1868=0,NA(),IF(Inputs!$B$29&lt;&gt;"Yes",NA(),Inputs!$D$29*Inputs!$C$35))</f>
        <v/>
      </c>
      <c r="AD1868">
        <f>IF($B1868=0,0,IF(Inputs!$B$6="",0,COUNTIFS(Data!$A$10:$A$3209,"&gt;="&amp;$A1868,Data!$A$10:$A$3209,"&lt;"&amp;$A1868+1)))</f>
        <v/>
      </c>
      <c r="AE1868">
        <f>IF($B1868=0,0,IF(Inputs!$B$7="",0,COUNTIFS(Data!$E$10:$E$3209,"&gt;="&amp;$A1868,Data!$E$10:$E$3209,"&lt;"&amp;$A1868+1)))</f>
        <v/>
      </c>
      <c r="AF1868">
        <f>IF($B1868=0,0,IF(Inputs!$B$8="",0,COUNTIFS(Data!$I$10:$I$3209,"&gt;="&amp;$A1868,Data!$I$10:$I$3209,"&lt;"&amp;$A1868+1)))</f>
        <v/>
      </c>
      <c r="AG1868">
        <f>IF($B1868=0,0,IF(Inputs!$B$9="",0,COUNTIFS(Data!$M$10:$M$3209,"&gt;="&amp;$A1868,Data!$M$10:$M$3209,"&lt;"&amp;$A1868+1)))</f>
        <v/>
      </c>
      <c r="AH1868">
        <f>IF($B1868=0,0,IF(Inputs!$B$10="",0,COUNTIFS(Data!$Q$10:$Q$3209,"&gt;="&amp;$A1868,Data!$Q$10:$Q$3209,"&lt;"&amp;$A1868+1)))</f>
        <v/>
      </c>
    </row>
    <row r="1869">
      <c r="A1869" s="55">
        <f>MIN(Inputs!$C$15,$A1868+IF(WEEKDAY($A1868,2)=5,3,1))</f>
        <v/>
      </c>
      <c r="B1869">
        <f>IF($A1869&gt;$A1868,1,0)</f>
        <v/>
      </c>
      <c r="C1869" s="56">
        <f>IF($B1869=0,"",IF(Inputs!$B$6="","",IF($AD1869=0,C1868,SUMIFS(Data!$B$10:$B$3209,Data!$A$10:$A$3209,"&gt;="&amp;$A1869,Data!$A$10:$A$3209,"&lt;"&amp;$A1869+1)/$AD1869)))</f>
        <v/>
      </c>
      <c r="D1869" s="56">
        <f>IF($B1869=0,"",IF(Inputs!$B$7="","",IF($AE1869=0,D1868,SUMIFS(Data!$F$10:$F$3209,Data!$E$10:$E$3209,"&gt;="&amp;$A1869,Data!$E$10:$E$3209,"&lt;"&amp;$A1869+1)/$AE1869)))</f>
        <v/>
      </c>
      <c r="E1869" s="56">
        <f>IF($B1869=0,"",IF(Inputs!$B$8="","",IF($AF1869=0,E1868,SUMIFS(Data!$J$10:$J$3209,Data!$I$10:$I$3209,"&gt;="&amp;$A1869,Data!$I$10:$I$3209,"&lt;"&amp;$A1869+1)/$AF1869)))</f>
        <v/>
      </c>
      <c r="F1869" s="56">
        <f>IF($B1869=0,"",IF(Inputs!$B$9="","",IF($AG1869=0,F1868,SUMIFS(Data!$N$10:$N$3209,Data!$M$10:$M$3209,"&gt;="&amp;$A1869,Data!$M$10:$M$3209,"&lt;"&amp;$A1869+1)/$AG1869)))</f>
        <v/>
      </c>
      <c r="G1869" s="56">
        <f>IF($B1869=0,"",IF(Inputs!$B$10="","",IF($AH1869=0,G1868,SUMIFS(Data!$R$10:$R$3209,Data!$Q$10:$Q$3209,"&gt;="&amp;$A1869,Data!$Q$10:$Q$3209,"&lt;"&amp;$A1869+1)/$AH1869)))</f>
        <v/>
      </c>
      <c r="I1869" s="54">
        <f>IF($B1869=0,NA(),IF($C1869="",NA(),IF(C$8="",NA(),IF(N(C$8)=0,NA(),IF(Inputs!$C$17="Rebased to 100",$C1869/C$8*100,$C1869)))))</f>
        <v/>
      </c>
      <c r="J1869" s="54">
        <f>IF($B1869=0,NA(),IF($D1869="",NA(),IF(D$8="",NA(),IF(N(D$8)=0,NA(),IF(Inputs!$C$17="Rebased to 100",$D1869/D$8*100,$D1869)))))</f>
        <v/>
      </c>
      <c r="K1869" s="54">
        <f>IF($B1869=0,NA(),IF($E1869="",NA(),IF(E$8="",NA(),IF(N(E$8)=0,NA(),IF(Inputs!$C$17="Rebased to 100",$E1869/E$8*100,$E1869)))))</f>
        <v/>
      </c>
      <c r="L1869" s="54">
        <f>IF($B1869=0,NA(),IF($F1869="",NA(),IF(F$8="",NA(),IF(N(F$8)=0,NA(),IF(Inputs!$C$17="Rebased to 100",$F1869/F$8*100,$F1869)))))</f>
        <v/>
      </c>
      <c r="M1869" s="54">
        <f>IF($B1869=0,NA(),IF($G1869="",NA(),IF(G$8="",NA(),IF(N(G$8)=0,NA(),IF(Inputs!$C$17="Rebased to 100",$G1869/G$8*100,$G1869)))))</f>
        <v/>
      </c>
      <c r="N1869" s="54">
        <f>IF($B1869=0,NA(),IF(Inputs!$C$18&lt;&gt;"Yes",NA(),IF(COUNT(I1869,J1869,K1869,L1869,M1869)=0,NA(),MIN(I1869,J1869,K1869,L1869,M1869))))</f>
        <v/>
      </c>
      <c r="O1869" s="54">
        <f>IF($B1869=0,NA(),IF(Inputs!$B$24&lt;&gt;"Yes",NA(),Inputs!$D$24*Inputs!$C$35))</f>
        <v/>
      </c>
      <c r="P1869" s="54">
        <f>IF($B1869=0,NA(),IF(Inputs!$B$25&lt;&gt;"Yes",NA(),Inputs!$D$25*Inputs!$C$35))</f>
        <v/>
      </c>
      <c r="Q1869" s="54">
        <f>IF($B1869=0,NA(),IF(Inputs!$B$26&lt;&gt;"Yes",NA(),Inputs!$D$26*Inputs!$C$35))</f>
        <v/>
      </c>
      <c r="R1869" s="54">
        <f>IF($B1869=0,NA(),IF(Inputs!$B$27&lt;&gt;"Yes",NA(),Inputs!$D$27*Inputs!$C$35))</f>
        <v/>
      </c>
      <c r="S1869" s="54">
        <f>IF($B1869=0,NA(),IF(Inputs!$B$28&lt;&gt;"Yes",NA(),Inputs!$D$28*Inputs!$C$35))</f>
        <v/>
      </c>
      <c r="T1869" s="54">
        <f>IF($B1869=0,NA(),IF(Inputs!$B$29&lt;&gt;"Yes",NA(),Inputs!$D$29*Inputs!$C$35))</f>
        <v/>
      </c>
      <c r="AD1869">
        <f>IF($B1869=0,0,IF(Inputs!$B$6="",0,COUNTIFS(Data!$A$10:$A$3209,"&gt;="&amp;$A1869,Data!$A$10:$A$3209,"&lt;"&amp;$A1869+1)))</f>
        <v/>
      </c>
      <c r="AE1869">
        <f>IF($B1869=0,0,IF(Inputs!$B$7="",0,COUNTIFS(Data!$E$10:$E$3209,"&gt;="&amp;$A1869,Data!$E$10:$E$3209,"&lt;"&amp;$A1869+1)))</f>
        <v/>
      </c>
      <c r="AF1869">
        <f>IF($B1869=0,0,IF(Inputs!$B$8="",0,COUNTIFS(Data!$I$10:$I$3209,"&gt;="&amp;$A1869,Data!$I$10:$I$3209,"&lt;"&amp;$A1869+1)))</f>
        <v/>
      </c>
      <c r="AG1869">
        <f>IF($B1869=0,0,IF(Inputs!$B$9="",0,COUNTIFS(Data!$M$10:$M$3209,"&gt;="&amp;$A1869,Data!$M$10:$M$3209,"&lt;"&amp;$A1869+1)))</f>
        <v/>
      </c>
      <c r="AH1869">
        <f>IF($B1869=0,0,IF(Inputs!$B$10="",0,COUNTIFS(Data!$Q$10:$Q$3209,"&gt;="&amp;$A1869,Data!$Q$10:$Q$3209,"&lt;"&amp;$A1869+1)))</f>
        <v/>
      </c>
    </row>
    <row r="1870">
      <c r="A1870" s="55">
        <f>MIN(Inputs!$C$15,$A1869+IF(WEEKDAY($A1869,2)=5,3,1))</f>
        <v/>
      </c>
      <c r="B1870">
        <f>IF($A1870&gt;$A1869,1,0)</f>
        <v/>
      </c>
      <c r="C1870" s="56">
        <f>IF($B1870=0,"",IF(Inputs!$B$6="","",IF($AD1870=0,C1869,SUMIFS(Data!$B$10:$B$3209,Data!$A$10:$A$3209,"&gt;="&amp;$A1870,Data!$A$10:$A$3209,"&lt;"&amp;$A1870+1)/$AD1870)))</f>
        <v/>
      </c>
      <c r="D1870" s="56">
        <f>IF($B1870=0,"",IF(Inputs!$B$7="","",IF($AE1870=0,D1869,SUMIFS(Data!$F$10:$F$3209,Data!$E$10:$E$3209,"&gt;="&amp;$A1870,Data!$E$10:$E$3209,"&lt;"&amp;$A1870+1)/$AE1870)))</f>
        <v/>
      </c>
      <c r="E1870" s="56">
        <f>IF($B1870=0,"",IF(Inputs!$B$8="","",IF($AF1870=0,E1869,SUMIFS(Data!$J$10:$J$3209,Data!$I$10:$I$3209,"&gt;="&amp;$A1870,Data!$I$10:$I$3209,"&lt;"&amp;$A1870+1)/$AF1870)))</f>
        <v/>
      </c>
      <c r="F1870" s="56">
        <f>IF($B1870=0,"",IF(Inputs!$B$9="","",IF($AG1870=0,F1869,SUMIFS(Data!$N$10:$N$3209,Data!$M$10:$M$3209,"&gt;="&amp;$A1870,Data!$M$10:$M$3209,"&lt;"&amp;$A1870+1)/$AG1870)))</f>
        <v/>
      </c>
      <c r="G1870" s="56">
        <f>IF($B1870=0,"",IF(Inputs!$B$10="","",IF($AH1870=0,G1869,SUMIFS(Data!$R$10:$R$3209,Data!$Q$10:$Q$3209,"&gt;="&amp;$A1870,Data!$Q$10:$Q$3209,"&lt;"&amp;$A1870+1)/$AH1870)))</f>
        <v/>
      </c>
      <c r="I1870" s="54">
        <f>IF($B1870=0,NA(),IF($C1870="",NA(),IF(C$8="",NA(),IF(N(C$8)=0,NA(),IF(Inputs!$C$17="Rebased to 100",$C1870/C$8*100,$C1870)))))</f>
        <v/>
      </c>
      <c r="J1870" s="54">
        <f>IF($B1870=0,NA(),IF($D1870="",NA(),IF(D$8="",NA(),IF(N(D$8)=0,NA(),IF(Inputs!$C$17="Rebased to 100",$D1870/D$8*100,$D1870)))))</f>
        <v/>
      </c>
      <c r="K1870" s="54">
        <f>IF($B1870=0,NA(),IF($E1870="",NA(),IF(E$8="",NA(),IF(N(E$8)=0,NA(),IF(Inputs!$C$17="Rebased to 100",$E1870/E$8*100,$E1870)))))</f>
        <v/>
      </c>
      <c r="L1870" s="54">
        <f>IF($B1870=0,NA(),IF($F1870="",NA(),IF(F$8="",NA(),IF(N(F$8)=0,NA(),IF(Inputs!$C$17="Rebased to 100",$F1870/F$8*100,$F1870)))))</f>
        <v/>
      </c>
      <c r="M1870" s="54">
        <f>IF($B1870=0,NA(),IF($G1870="",NA(),IF(G$8="",NA(),IF(N(G$8)=0,NA(),IF(Inputs!$C$17="Rebased to 100",$G1870/G$8*100,$G1870)))))</f>
        <v/>
      </c>
      <c r="N1870" s="54">
        <f>IF($B1870=0,NA(),IF(Inputs!$C$18&lt;&gt;"Yes",NA(),IF(COUNT(I1870,J1870,K1870,L1870,M1870)=0,NA(),MIN(I1870,J1870,K1870,L1870,M1870))))</f>
        <v/>
      </c>
      <c r="O1870" s="54">
        <f>IF($B1870=0,NA(),IF(Inputs!$B$24&lt;&gt;"Yes",NA(),Inputs!$D$24*Inputs!$C$35))</f>
        <v/>
      </c>
      <c r="P1870" s="54">
        <f>IF($B1870=0,NA(),IF(Inputs!$B$25&lt;&gt;"Yes",NA(),Inputs!$D$25*Inputs!$C$35))</f>
        <v/>
      </c>
      <c r="Q1870" s="54">
        <f>IF($B1870=0,NA(),IF(Inputs!$B$26&lt;&gt;"Yes",NA(),Inputs!$D$26*Inputs!$C$35))</f>
        <v/>
      </c>
      <c r="R1870" s="54">
        <f>IF($B1870=0,NA(),IF(Inputs!$B$27&lt;&gt;"Yes",NA(),Inputs!$D$27*Inputs!$C$35))</f>
        <v/>
      </c>
      <c r="S1870" s="54">
        <f>IF($B1870=0,NA(),IF(Inputs!$B$28&lt;&gt;"Yes",NA(),Inputs!$D$28*Inputs!$C$35))</f>
        <v/>
      </c>
      <c r="T1870" s="54">
        <f>IF($B1870=0,NA(),IF(Inputs!$B$29&lt;&gt;"Yes",NA(),Inputs!$D$29*Inputs!$C$35))</f>
        <v/>
      </c>
      <c r="AD1870">
        <f>IF($B1870=0,0,IF(Inputs!$B$6="",0,COUNTIFS(Data!$A$10:$A$3209,"&gt;="&amp;$A1870,Data!$A$10:$A$3209,"&lt;"&amp;$A1870+1)))</f>
        <v/>
      </c>
      <c r="AE1870">
        <f>IF($B1870=0,0,IF(Inputs!$B$7="",0,COUNTIFS(Data!$E$10:$E$3209,"&gt;="&amp;$A1870,Data!$E$10:$E$3209,"&lt;"&amp;$A1870+1)))</f>
        <v/>
      </c>
      <c r="AF1870">
        <f>IF($B1870=0,0,IF(Inputs!$B$8="",0,COUNTIFS(Data!$I$10:$I$3209,"&gt;="&amp;$A1870,Data!$I$10:$I$3209,"&lt;"&amp;$A1870+1)))</f>
        <v/>
      </c>
      <c r="AG1870">
        <f>IF($B1870=0,0,IF(Inputs!$B$9="",0,COUNTIFS(Data!$M$10:$M$3209,"&gt;="&amp;$A1870,Data!$M$10:$M$3209,"&lt;"&amp;$A1870+1)))</f>
        <v/>
      </c>
      <c r="AH1870">
        <f>IF($B1870=0,0,IF(Inputs!$B$10="",0,COUNTIFS(Data!$Q$10:$Q$3209,"&gt;="&amp;$A1870,Data!$Q$10:$Q$3209,"&lt;"&amp;$A1870+1)))</f>
        <v/>
      </c>
    </row>
    <row r="1871">
      <c r="A1871" s="55">
        <f>MIN(Inputs!$C$15,$A1870+IF(WEEKDAY($A1870,2)=5,3,1))</f>
        <v/>
      </c>
      <c r="B1871">
        <f>IF($A1871&gt;$A1870,1,0)</f>
        <v/>
      </c>
      <c r="C1871" s="56">
        <f>IF($B1871=0,"",IF(Inputs!$B$6="","",IF($AD1871=0,C1870,SUMIFS(Data!$B$10:$B$3209,Data!$A$10:$A$3209,"&gt;="&amp;$A1871,Data!$A$10:$A$3209,"&lt;"&amp;$A1871+1)/$AD1871)))</f>
        <v/>
      </c>
      <c r="D1871" s="56">
        <f>IF($B1871=0,"",IF(Inputs!$B$7="","",IF($AE1871=0,D1870,SUMIFS(Data!$F$10:$F$3209,Data!$E$10:$E$3209,"&gt;="&amp;$A1871,Data!$E$10:$E$3209,"&lt;"&amp;$A1871+1)/$AE1871)))</f>
        <v/>
      </c>
      <c r="E1871" s="56">
        <f>IF($B1871=0,"",IF(Inputs!$B$8="","",IF($AF1871=0,E1870,SUMIFS(Data!$J$10:$J$3209,Data!$I$10:$I$3209,"&gt;="&amp;$A1871,Data!$I$10:$I$3209,"&lt;"&amp;$A1871+1)/$AF1871)))</f>
        <v/>
      </c>
      <c r="F1871" s="56">
        <f>IF($B1871=0,"",IF(Inputs!$B$9="","",IF($AG1871=0,F1870,SUMIFS(Data!$N$10:$N$3209,Data!$M$10:$M$3209,"&gt;="&amp;$A1871,Data!$M$10:$M$3209,"&lt;"&amp;$A1871+1)/$AG1871)))</f>
        <v/>
      </c>
      <c r="G1871" s="56">
        <f>IF($B1871=0,"",IF(Inputs!$B$10="","",IF($AH1871=0,G1870,SUMIFS(Data!$R$10:$R$3209,Data!$Q$10:$Q$3209,"&gt;="&amp;$A1871,Data!$Q$10:$Q$3209,"&lt;"&amp;$A1871+1)/$AH1871)))</f>
        <v/>
      </c>
      <c r="I1871" s="54">
        <f>IF($B1871=0,NA(),IF($C1871="",NA(),IF(C$8="",NA(),IF(N(C$8)=0,NA(),IF(Inputs!$C$17="Rebased to 100",$C1871/C$8*100,$C1871)))))</f>
        <v/>
      </c>
      <c r="J1871" s="54">
        <f>IF($B1871=0,NA(),IF($D1871="",NA(),IF(D$8="",NA(),IF(N(D$8)=0,NA(),IF(Inputs!$C$17="Rebased to 100",$D1871/D$8*100,$D1871)))))</f>
        <v/>
      </c>
      <c r="K1871" s="54">
        <f>IF($B1871=0,NA(),IF($E1871="",NA(),IF(E$8="",NA(),IF(N(E$8)=0,NA(),IF(Inputs!$C$17="Rebased to 100",$E1871/E$8*100,$E1871)))))</f>
        <v/>
      </c>
      <c r="L1871" s="54">
        <f>IF($B1871=0,NA(),IF($F1871="",NA(),IF(F$8="",NA(),IF(N(F$8)=0,NA(),IF(Inputs!$C$17="Rebased to 100",$F1871/F$8*100,$F1871)))))</f>
        <v/>
      </c>
      <c r="M1871" s="54">
        <f>IF($B1871=0,NA(),IF($G1871="",NA(),IF(G$8="",NA(),IF(N(G$8)=0,NA(),IF(Inputs!$C$17="Rebased to 100",$G1871/G$8*100,$G1871)))))</f>
        <v/>
      </c>
      <c r="N1871" s="54">
        <f>IF($B1871=0,NA(),IF(Inputs!$C$18&lt;&gt;"Yes",NA(),IF(COUNT(I1871,J1871,K1871,L1871,M1871)=0,NA(),MIN(I1871,J1871,K1871,L1871,M1871))))</f>
        <v/>
      </c>
      <c r="O1871" s="54">
        <f>IF($B1871=0,NA(),IF(Inputs!$B$24&lt;&gt;"Yes",NA(),Inputs!$D$24*Inputs!$C$35))</f>
        <v/>
      </c>
      <c r="P1871" s="54">
        <f>IF($B1871=0,NA(),IF(Inputs!$B$25&lt;&gt;"Yes",NA(),Inputs!$D$25*Inputs!$C$35))</f>
        <v/>
      </c>
      <c r="Q1871" s="54">
        <f>IF($B1871=0,NA(),IF(Inputs!$B$26&lt;&gt;"Yes",NA(),Inputs!$D$26*Inputs!$C$35))</f>
        <v/>
      </c>
      <c r="R1871" s="54">
        <f>IF($B1871=0,NA(),IF(Inputs!$B$27&lt;&gt;"Yes",NA(),Inputs!$D$27*Inputs!$C$35))</f>
        <v/>
      </c>
      <c r="S1871" s="54">
        <f>IF($B1871=0,NA(),IF(Inputs!$B$28&lt;&gt;"Yes",NA(),Inputs!$D$28*Inputs!$C$35))</f>
        <v/>
      </c>
      <c r="T1871" s="54">
        <f>IF($B1871=0,NA(),IF(Inputs!$B$29&lt;&gt;"Yes",NA(),Inputs!$D$29*Inputs!$C$35))</f>
        <v/>
      </c>
      <c r="AD1871">
        <f>IF($B1871=0,0,IF(Inputs!$B$6="",0,COUNTIFS(Data!$A$10:$A$3209,"&gt;="&amp;$A1871,Data!$A$10:$A$3209,"&lt;"&amp;$A1871+1)))</f>
        <v/>
      </c>
      <c r="AE1871">
        <f>IF($B1871=0,0,IF(Inputs!$B$7="",0,COUNTIFS(Data!$E$10:$E$3209,"&gt;="&amp;$A1871,Data!$E$10:$E$3209,"&lt;"&amp;$A1871+1)))</f>
        <v/>
      </c>
      <c r="AF1871">
        <f>IF($B1871=0,0,IF(Inputs!$B$8="",0,COUNTIFS(Data!$I$10:$I$3209,"&gt;="&amp;$A1871,Data!$I$10:$I$3209,"&lt;"&amp;$A1871+1)))</f>
        <v/>
      </c>
      <c r="AG1871">
        <f>IF($B1871=0,0,IF(Inputs!$B$9="",0,COUNTIFS(Data!$M$10:$M$3209,"&gt;="&amp;$A1871,Data!$M$10:$M$3209,"&lt;"&amp;$A1871+1)))</f>
        <v/>
      </c>
      <c r="AH1871">
        <f>IF($B1871=0,0,IF(Inputs!$B$10="",0,COUNTIFS(Data!$Q$10:$Q$3209,"&gt;="&amp;$A1871,Data!$Q$10:$Q$3209,"&lt;"&amp;$A1871+1)))</f>
        <v/>
      </c>
    </row>
    <row r="1872">
      <c r="A1872" s="55">
        <f>MIN(Inputs!$C$15,$A1871+IF(WEEKDAY($A1871,2)=5,3,1))</f>
        <v/>
      </c>
      <c r="B1872">
        <f>IF($A1872&gt;$A1871,1,0)</f>
        <v/>
      </c>
      <c r="C1872" s="56">
        <f>IF($B1872=0,"",IF(Inputs!$B$6="","",IF($AD1872=0,C1871,SUMIFS(Data!$B$10:$B$3209,Data!$A$10:$A$3209,"&gt;="&amp;$A1872,Data!$A$10:$A$3209,"&lt;"&amp;$A1872+1)/$AD1872)))</f>
        <v/>
      </c>
      <c r="D1872" s="56">
        <f>IF($B1872=0,"",IF(Inputs!$B$7="","",IF($AE1872=0,D1871,SUMIFS(Data!$F$10:$F$3209,Data!$E$10:$E$3209,"&gt;="&amp;$A1872,Data!$E$10:$E$3209,"&lt;"&amp;$A1872+1)/$AE1872)))</f>
        <v/>
      </c>
      <c r="E1872" s="56">
        <f>IF($B1872=0,"",IF(Inputs!$B$8="","",IF($AF1872=0,E1871,SUMIFS(Data!$J$10:$J$3209,Data!$I$10:$I$3209,"&gt;="&amp;$A1872,Data!$I$10:$I$3209,"&lt;"&amp;$A1872+1)/$AF1872)))</f>
        <v/>
      </c>
      <c r="F1872" s="56">
        <f>IF($B1872=0,"",IF(Inputs!$B$9="","",IF($AG1872=0,F1871,SUMIFS(Data!$N$10:$N$3209,Data!$M$10:$M$3209,"&gt;="&amp;$A1872,Data!$M$10:$M$3209,"&lt;"&amp;$A1872+1)/$AG1872)))</f>
        <v/>
      </c>
      <c r="G1872" s="56">
        <f>IF($B1872=0,"",IF(Inputs!$B$10="","",IF($AH1872=0,G1871,SUMIFS(Data!$R$10:$R$3209,Data!$Q$10:$Q$3209,"&gt;="&amp;$A1872,Data!$Q$10:$Q$3209,"&lt;"&amp;$A1872+1)/$AH1872)))</f>
        <v/>
      </c>
      <c r="I1872" s="54">
        <f>IF($B1872=0,NA(),IF($C1872="",NA(),IF(C$8="",NA(),IF(N(C$8)=0,NA(),IF(Inputs!$C$17="Rebased to 100",$C1872/C$8*100,$C1872)))))</f>
        <v/>
      </c>
      <c r="J1872" s="54">
        <f>IF($B1872=0,NA(),IF($D1872="",NA(),IF(D$8="",NA(),IF(N(D$8)=0,NA(),IF(Inputs!$C$17="Rebased to 100",$D1872/D$8*100,$D1872)))))</f>
        <v/>
      </c>
      <c r="K1872" s="54">
        <f>IF($B1872=0,NA(),IF($E1872="",NA(),IF(E$8="",NA(),IF(N(E$8)=0,NA(),IF(Inputs!$C$17="Rebased to 100",$E1872/E$8*100,$E1872)))))</f>
        <v/>
      </c>
      <c r="L1872" s="54">
        <f>IF($B1872=0,NA(),IF($F1872="",NA(),IF(F$8="",NA(),IF(N(F$8)=0,NA(),IF(Inputs!$C$17="Rebased to 100",$F1872/F$8*100,$F1872)))))</f>
        <v/>
      </c>
      <c r="M1872" s="54">
        <f>IF($B1872=0,NA(),IF($G1872="",NA(),IF(G$8="",NA(),IF(N(G$8)=0,NA(),IF(Inputs!$C$17="Rebased to 100",$G1872/G$8*100,$G1872)))))</f>
        <v/>
      </c>
      <c r="N1872" s="54">
        <f>IF($B1872=0,NA(),IF(Inputs!$C$18&lt;&gt;"Yes",NA(),IF(COUNT(I1872,J1872,K1872,L1872,M1872)=0,NA(),MIN(I1872,J1872,K1872,L1872,M1872))))</f>
        <v/>
      </c>
      <c r="O1872" s="54">
        <f>IF($B1872=0,NA(),IF(Inputs!$B$24&lt;&gt;"Yes",NA(),Inputs!$D$24*Inputs!$C$35))</f>
        <v/>
      </c>
      <c r="P1872" s="54">
        <f>IF($B1872=0,NA(),IF(Inputs!$B$25&lt;&gt;"Yes",NA(),Inputs!$D$25*Inputs!$C$35))</f>
        <v/>
      </c>
      <c r="Q1872" s="54">
        <f>IF($B1872=0,NA(),IF(Inputs!$B$26&lt;&gt;"Yes",NA(),Inputs!$D$26*Inputs!$C$35))</f>
        <v/>
      </c>
      <c r="R1872" s="54">
        <f>IF($B1872=0,NA(),IF(Inputs!$B$27&lt;&gt;"Yes",NA(),Inputs!$D$27*Inputs!$C$35))</f>
        <v/>
      </c>
      <c r="S1872" s="54">
        <f>IF($B1872=0,NA(),IF(Inputs!$B$28&lt;&gt;"Yes",NA(),Inputs!$D$28*Inputs!$C$35))</f>
        <v/>
      </c>
      <c r="T1872" s="54">
        <f>IF($B1872=0,NA(),IF(Inputs!$B$29&lt;&gt;"Yes",NA(),Inputs!$D$29*Inputs!$C$35))</f>
        <v/>
      </c>
      <c r="AD1872">
        <f>IF($B1872=0,0,IF(Inputs!$B$6="",0,COUNTIFS(Data!$A$10:$A$3209,"&gt;="&amp;$A1872,Data!$A$10:$A$3209,"&lt;"&amp;$A1872+1)))</f>
        <v/>
      </c>
      <c r="AE1872">
        <f>IF($B1872=0,0,IF(Inputs!$B$7="",0,COUNTIFS(Data!$E$10:$E$3209,"&gt;="&amp;$A1872,Data!$E$10:$E$3209,"&lt;"&amp;$A1872+1)))</f>
        <v/>
      </c>
      <c r="AF1872">
        <f>IF($B1872=0,0,IF(Inputs!$B$8="",0,COUNTIFS(Data!$I$10:$I$3209,"&gt;="&amp;$A1872,Data!$I$10:$I$3209,"&lt;"&amp;$A1872+1)))</f>
        <v/>
      </c>
      <c r="AG1872">
        <f>IF($B1872=0,0,IF(Inputs!$B$9="",0,COUNTIFS(Data!$M$10:$M$3209,"&gt;="&amp;$A1872,Data!$M$10:$M$3209,"&lt;"&amp;$A1872+1)))</f>
        <v/>
      </c>
      <c r="AH1872">
        <f>IF($B1872=0,0,IF(Inputs!$B$10="",0,COUNTIFS(Data!$Q$10:$Q$3209,"&gt;="&amp;$A1872,Data!$Q$10:$Q$3209,"&lt;"&amp;$A1872+1)))</f>
        <v/>
      </c>
    </row>
    <row r="1873">
      <c r="A1873" s="55">
        <f>MIN(Inputs!$C$15,$A1872+IF(WEEKDAY($A1872,2)=5,3,1))</f>
        <v/>
      </c>
      <c r="B1873">
        <f>IF($A1873&gt;$A1872,1,0)</f>
        <v/>
      </c>
      <c r="C1873" s="56">
        <f>IF($B1873=0,"",IF(Inputs!$B$6="","",IF($AD1873=0,C1872,SUMIFS(Data!$B$10:$B$3209,Data!$A$10:$A$3209,"&gt;="&amp;$A1873,Data!$A$10:$A$3209,"&lt;"&amp;$A1873+1)/$AD1873)))</f>
        <v/>
      </c>
      <c r="D1873" s="56">
        <f>IF($B1873=0,"",IF(Inputs!$B$7="","",IF($AE1873=0,D1872,SUMIFS(Data!$F$10:$F$3209,Data!$E$10:$E$3209,"&gt;="&amp;$A1873,Data!$E$10:$E$3209,"&lt;"&amp;$A1873+1)/$AE1873)))</f>
        <v/>
      </c>
      <c r="E1873" s="56">
        <f>IF($B1873=0,"",IF(Inputs!$B$8="","",IF($AF1873=0,E1872,SUMIFS(Data!$J$10:$J$3209,Data!$I$10:$I$3209,"&gt;="&amp;$A1873,Data!$I$10:$I$3209,"&lt;"&amp;$A1873+1)/$AF1873)))</f>
        <v/>
      </c>
      <c r="F1873" s="56">
        <f>IF($B1873=0,"",IF(Inputs!$B$9="","",IF($AG1873=0,F1872,SUMIFS(Data!$N$10:$N$3209,Data!$M$10:$M$3209,"&gt;="&amp;$A1873,Data!$M$10:$M$3209,"&lt;"&amp;$A1873+1)/$AG1873)))</f>
        <v/>
      </c>
      <c r="G1873" s="56">
        <f>IF($B1873=0,"",IF(Inputs!$B$10="","",IF($AH1873=0,G1872,SUMIFS(Data!$R$10:$R$3209,Data!$Q$10:$Q$3209,"&gt;="&amp;$A1873,Data!$Q$10:$Q$3209,"&lt;"&amp;$A1873+1)/$AH1873)))</f>
        <v/>
      </c>
      <c r="I1873" s="54">
        <f>IF($B1873=0,NA(),IF($C1873="",NA(),IF(C$8="",NA(),IF(N(C$8)=0,NA(),IF(Inputs!$C$17="Rebased to 100",$C1873/C$8*100,$C1873)))))</f>
        <v/>
      </c>
      <c r="J1873" s="54">
        <f>IF($B1873=0,NA(),IF($D1873="",NA(),IF(D$8="",NA(),IF(N(D$8)=0,NA(),IF(Inputs!$C$17="Rebased to 100",$D1873/D$8*100,$D1873)))))</f>
        <v/>
      </c>
      <c r="K1873" s="54">
        <f>IF($B1873=0,NA(),IF($E1873="",NA(),IF(E$8="",NA(),IF(N(E$8)=0,NA(),IF(Inputs!$C$17="Rebased to 100",$E1873/E$8*100,$E1873)))))</f>
        <v/>
      </c>
      <c r="L1873" s="54">
        <f>IF($B1873=0,NA(),IF($F1873="",NA(),IF(F$8="",NA(),IF(N(F$8)=0,NA(),IF(Inputs!$C$17="Rebased to 100",$F1873/F$8*100,$F1873)))))</f>
        <v/>
      </c>
      <c r="M1873" s="54">
        <f>IF($B1873=0,NA(),IF($G1873="",NA(),IF(G$8="",NA(),IF(N(G$8)=0,NA(),IF(Inputs!$C$17="Rebased to 100",$G1873/G$8*100,$G1873)))))</f>
        <v/>
      </c>
      <c r="N1873" s="54">
        <f>IF($B1873=0,NA(),IF(Inputs!$C$18&lt;&gt;"Yes",NA(),IF(COUNT(I1873,J1873,K1873,L1873,M1873)=0,NA(),MIN(I1873,J1873,K1873,L1873,M1873))))</f>
        <v/>
      </c>
      <c r="O1873" s="54">
        <f>IF($B1873=0,NA(),IF(Inputs!$B$24&lt;&gt;"Yes",NA(),Inputs!$D$24*Inputs!$C$35))</f>
        <v/>
      </c>
      <c r="P1873" s="54">
        <f>IF($B1873=0,NA(),IF(Inputs!$B$25&lt;&gt;"Yes",NA(),Inputs!$D$25*Inputs!$C$35))</f>
        <v/>
      </c>
      <c r="Q1873" s="54">
        <f>IF($B1873=0,NA(),IF(Inputs!$B$26&lt;&gt;"Yes",NA(),Inputs!$D$26*Inputs!$C$35))</f>
        <v/>
      </c>
      <c r="R1873" s="54">
        <f>IF($B1873=0,NA(),IF(Inputs!$B$27&lt;&gt;"Yes",NA(),Inputs!$D$27*Inputs!$C$35))</f>
        <v/>
      </c>
      <c r="S1873" s="54">
        <f>IF($B1873=0,NA(),IF(Inputs!$B$28&lt;&gt;"Yes",NA(),Inputs!$D$28*Inputs!$C$35))</f>
        <v/>
      </c>
      <c r="T1873" s="54">
        <f>IF($B1873=0,NA(),IF(Inputs!$B$29&lt;&gt;"Yes",NA(),Inputs!$D$29*Inputs!$C$35))</f>
        <v/>
      </c>
      <c r="AD1873">
        <f>IF($B1873=0,0,IF(Inputs!$B$6="",0,COUNTIFS(Data!$A$10:$A$3209,"&gt;="&amp;$A1873,Data!$A$10:$A$3209,"&lt;"&amp;$A1873+1)))</f>
        <v/>
      </c>
      <c r="AE1873">
        <f>IF($B1873=0,0,IF(Inputs!$B$7="",0,COUNTIFS(Data!$E$10:$E$3209,"&gt;="&amp;$A1873,Data!$E$10:$E$3209,"&lt;"&amp;$A1873+1)))</f>
        <v/>
      </c>
      <c r="AF1873">
        <f>IF($B1873=0,0,IF(Inputs!$B$8="",0,COUNTIFS(Data!$I$10:$I$3209,"&gt;="&amp;$A1873,Data!$I$10:$I$3209,"&lt;"&amp;$A1873+1)))</f>
        <v/>
      </c>
      <c r="AG1873">
        <f>IF($B1873=0,0,IF(Inputs!$B$9="",0,COUNTIFS(Data!$M$10:$M$3209,"&gt;="&amp;$A1873,Data!$M$10:$M$3209,"&lt;"&amp;$A1873+1)))</f>
        <v/>
      </c>
      <c r="AH1873">
        <f>IF($B1873=0,0,IF(Inputs!$B$10="",0,COUNTIFS(Data!$Q$10:$Q$3209,"&gt;="&amp;$A1873,Data!$Q$10:$Q$3209,"&lt;"&amp;$A1873+1)))</f>
        <v/>
      </c>
    </row>
    <row r="1874">
      <c r="A1874" s="55">
        <f>MIN(Inputs!$C$15,$A1873+IF(WEEKDAY($A1873,2)=5,3,1))</f>
        <v/>
      </c>
      <c r="B1874">
        <f>IF($A1874&gt;$A1873,1,0)</f>
        <v/>
      </c>
      <c r="C1874" s="56">
        <f>IF($B1874=0,"",IF(Inputs!$B$6="","",IF($AD1874=0,C1873,SUMIFS(Data!$B$10:$B$3209,Data!$A$10:$A$3209,"&gt;="&amp;$A1874,Data!$A$10:$A$3209,"&lt;"&amp;$A1874+1)/$AD1874)))</f>
        <v/>
      </c>
      <c r="D1874" s="56">
        <f>IF($B1874=0,"",IF(Inputs!$B$7="","",IF($AE1874=0,D1873,SUMIFS(Data!$F$10:$F$3209,Data!$E$10:$E$3209,"&gt;="&amp;$A1874,Data!$E$10:$E$3209,"&lt;"&amp;$A1874+1)/$AE1874)))</f>
        <v/>
      </c>
      <c r="E1874" s="56">
        <f>IF($B1874=0,"",IF(Inputs!$B$8="","",IF($AF1874=0,E1873,SUMIFS(Data!$J$10:$J$3209,Data!$I$10:$I$3209,"&gt;="&amp;$A1874,Data!$I$10:$I$3209,"&lt;"&amp;$A1874+1)/$AF1874)))</f>
        <v/>
      </c>
      <c r="F1874" s="56">
        <f>IF($B1874=0,"",IF(Inputs!$B$9="","",IF($AG1874=0,F1873,SUMIFS(Data!$N$10:$N$3209,Data!$M$10:$M$3209,"&gt;="&amp;$A1874,Data!$M$10:$M$3209,"&lt;"&amp;$A1874+1)/$AG1874)))</f>
        <v/>
      </c>
      <c r="G1874" s="56">
        <f>IF($B1874=0,"",IF(Inputs!$B$10="","",IF($AH1874=0,G1873,SUMIFS(Data!$R$10:$R$3209,Data!$Q$10:$Q$3209,"&gt;="&amp;$A1874,Data!$Q$10:$Q$3209,"&lt;"&amp;$A1874+1)/$AH1874)))</f>
        <v/>
      </c>
      <c r="I1874" s="54">
        <f>IF($B1874=0,NA(),IF($C1874="",NA(),IF(C$8="",NA(),IF(N(C$8)=0,NA(),IF(Inputs!$C$17="Rebased to 100",$C1874/C$8*100,$C1874)))))</f>
        <v/>
      </c>
      <c r="J1874" s="54">
        <f>IF($B1874=0,NA(),IF($D1874="",NA(),IF(D$8="",NA(),IF(N(D$8)=0,NA(),IF(Inputs!$C$17="Rebased to 100",$D1874/D$8*100,$D1874)))))</f>
        <v/>
      </c>
      <c r="K1874" s="54">
        <f>IF($B1874=0,NA(),IF($E1874="",NA(),IF(E$8="",NA(),IF(N(E$8)=0,NA(),IF(Inputs!$C$17="Rebased to 100",$E1874/E$8*100,$E1874)))))</f>
        <v/>
      </c>
      <c r="L1874" s="54">
        <f>IF($B1874=0,NA(),IF($F1874="",NA(),IF(F$8="",NA(),IF(N(F$8)=0,NA(),IF(Inputs!$C$17="Rebased to 100",$F1874/F$8*100,$F1874)))))</f>
        <v/>
      </c>
      <c r="M1874" s="54">
        <f>IF($B1874=0,NA(),IF($G1874="",NA(),IF(G$8="",NA(),IF(N(G$8)=0,NA(),IF(Inputs!$C$17="Rebased to 100",$G1874/G$8*100,$G1874)))))</f>
        <v/>
      </c>
      <c r="N1874" s="54">
        <f>IF($B1874=0,NA(),IF(Inputs!$C$18&lt;&gt;"Yes",NA(),IF(COUNT(I1874,J1874,K1874,L1874,M1874)=0,NA(),MIN(I1874,J1874,K1874,L1874,M1874))))</f>
        <v/>
      </c>
      <c r="O1874" s="54">
        <f>IF($B1874=0,NA(),IF(Inputs!$B$24&lt;&gt;"Yes",NA(),Inputs!$D$24*Inputs!$C$35))</f>
        <v/>
      </c>
      <c r="P1874" s="54">
        <f>IF($B1874=0,NA(),IF(Inputs!$B$25&lt;&gt;"Yes",NA(),Inputs!$D$25*Inputs!$C$35))</f>
        <v/>
      </c>
      <c r="Q1874" s="54">
        <f>IF($B1874=0,NA(),IF(Inputs!$B$26&lt;&gt;"Yes",NA(),Inputs!$D$26*Inputs!$C$35))</f>
        <v/>
      </c>
      <c r="R1874" s="54">
        <f>IF($B1874=0,NA(),IF(Inputs!$B$27&lt;&gt;"Yes",NA(),Inputs!$D$27*Inputs!$C$35))</f>
        <v/>
      </c>
      <c r="S1874" s="54">
        <f>IF($B1874=0,NA(),IF(Inputs!$B$28&lt;&gt;"Yes",NA(),Inputs!$D$28*Inputs!$C$35))</f>
        <v/>
      </c>
      <c r="T1874" s="54">
        <f>IF($B1874=0,NA(),IF(Inputs!$B$29&lt;&gt;"Yes",NA(),Inputs!$D$29*Inputs!$C$35))</f>
        <v/>
      </c>
      <c r="AD1874">
        <f>IF($B1874=0,0,IF(Inputs!$B$6="",0,COUNTIFS(Data!$A$10:$A$3209,"&gt;="&amp;$A1874,Data!$A$10:$A$3209,"&lt;"&amp;$A1874+1)))</f>
        <v/>
      </c>
      <c r="AE1874">
        <f>IF($B1874=0,0,IF(Inputs!$B$7="",0,COUNTIFS(Data!$E$10:$E$3209,"&gt;="&amp;$A1874,Data!$E$10:$E$3209,"&lt;"&amp;$A1874+1)))</f>
        <v/>
      </c>
      <c r="AF1874">
        <f>IF($B1874=0,0,IF(Inputs!$B$8="",0,COUNTIFS(Data!$I$10:$I$3209,"&gt;="&amp;$A1874,Data!$I$10:$I$3209,"&lt;"&amp;$A1874+1)))</f>
        <v/>
      </c>
      <c r="AG1874">
        <f>IF($B1874=0,0,IF(Inputs!$B$9="",0,COUNTIFS(Data!$M$10:$M$3209,"&gt;="&amp;$A1874,Data!$M$10:$M$3209,"&lt;"&amp;$A1874+1)))</f>
        <v/>
      </c>
      <c r="AH1874">
        <f>IF($B1874=0,0,IF(Inputs!$B$10="",0,COUNTIFS(Data!$Q$10:$Q$3209,"&gt;="&amp;$A1874,Data!$Q$10:$Q$3209,"&lt;"&amp;$A1874+1)))</f>
        <v/>
      </c>
    </row>
    <row r="1875">
      <c r="A1875" s="55">
        <f>MIN(Inputs!$C$15,$A1874+IF(WEEKDAY($A1874,2)=5,3,1))</f>
        <v/>
      </c>
      <c r="B1875">
        <f>IF($A1875&gt;$A1874,1,0)</f>
        <v/>
      </c>
      <c r="C1875" s="56">
        <f>IF($B1875=0,"",IF(Inputs!$B$6="","",IF($AD1875=0,C1874,SUMIFS(Data!$B$10:$B$3209,Data!$A$10:$A$3209,"&gt;="&amp;$A1875,Data!$A$10:$A$3209,"&lt;"&amp;$A1875+1)/$AD1875)))</f>
        <v/>
      </c>
      <c r="D1875" s="56">
        <f>IF($B1875=0,"",IF(Inputs!$B$7="","",IF($AE1875=0,D1874,SUMIFS(Data!$F$10:$F$3209,Data!$E$10:$E$3209,"&gt;="&amp;$A1875,Data!$E$10:$E$3209,"&lt;"&amp;$A1875+1)/$AE1875)))</f>
        <v/>
      </c>
      <c r="E1875" s="56">
        <f>IF($B1875=0,"",IF(Inputs!$B$8="","",IF($AF1875=0,E1874,SUMIFS(Data!$J$10:$J$3209,Data!$I$10:$I$3209,"&gt;="&amp;$A1875,Data!$I$10:$I$3209,"&lt;"&amp;$A1875+1)/$AF1875)))</f>
        <v/>
      </c>
      <c r="F1875" s="56">
        <f>IF($B1875=0,"",IF(Inputs!$B$9="","",IF($AG1875=0,F1874,SUMIFS(Data!$N$10:$N$3209,Data!$M$10:$M$3209,"&gt;="&amp;$A1875,Data!$M$10:$M$3209,"&lt;"&amp;$A1875+1)/$AG1875)))</f>
        <v/>
      </c>
      <c r="G1875" s="56">
        <f>IF($B1875=0,"",IF(Inputs!$B$10="","",IF($AH1875=0,G1874,SUMIFS(Data!$R$10:$R$3209,Data!$Q$10:$Q$3209,"&gt;="&amp;$A1875,Data!$Q$10:$Q$3209,"&lt;"&amp;$A1875+1)/$AH1875)))</f>
        <v/>
      </c>
      <c r="I1875" s="54">
        <f>IF($B1875=0,NA(),IF($C1875="",NA(),IF(C$8="",NA(),IF(N(C$8)=0,NA(),IF(Inputs!$C$17="Rebased to 100",$C1875/C$8*100,$C1875)))))</f>
        <v/>
      </c>
      <c r="J1875" s="54">
        <f>IF($B1875=0,NA(),IF($D1875="",NA(),IF(D$8="",NA(),IF(N(D$8)=0,NA(),IF(Inputs!$C$17="Rebased to 100",$D1875/D$8*100,$D1875)))))</f>
        <v/>
      </c>
      <c r="K1875" s="54">
        <f>IF($B1875=0,NA(),IF($E1875="",NA(),IF(E$8="",NA(),IF(N(E$8)=0,NA(),IF(Inputs!$C$17="Rebased to 100",$E1875/E$8*100,$E1875)))))</f>
        <v/>
      </c>
      <c r="L1875" s="54">
        <f>IF($B1875=0,NA(),IF($F1875="",NA(),IF(F$8="",NA(),IF(N(F$8)=0,NA(),IF(Inputs!$C$17="Rebased to 100",$F1875/F$8*100,$F1875)))))</f>
        <v/>
      </c>
      <c r="M1875" s="54">
        <f>IF($B1875=0,NA(),IF($G1875="",NA(),IF(G$8="",NA(),IF(N(G$8)=0,NA(),IF(Inputs!$C$17="Rebased to 100",$G1875/G$8*100,$G1875)))))</f>
        <v/>
      </c>
      <c r="N1875" s="54">
        <f>IF($B1875=0,NA(),IF(Inputs!$C$18&lt;&gt;"Yes",NA(),IF(COUNT(I1875,J1875,K1875,L1875,M1875)=0,NA(),MIN(I1875,J1875,K1875,L1875,M1875))))</f>
        <v/>
      </c>
      <c r="O1875" s="54">
        <f>IF($B1875=0,NA(),IF(Inputs!$B$24&lt;&gt;"Yes",NA(),Inputs!$D$24*Inputs!$C$35))</f>
        <v/>
      </c>
      <c r="P1875" s="54">
        <f>IF($B1875=0,NA(),IF(Inputs!$B$25&lt;&gt;"Yes",NA(),Inputs!$D$25*Inputs!$C$35))</f>
        <v/>
      </c>
      <c r="Q1875" s="54">
        <f>IF($B1875=0,NA(),IF(Inputs!$B$26&lt;&gt;"Yes",NA(),Inputs!$D$26*Inputs!$C$35))</f>
        <v/>
      </c>
      <c r="R1875" s="54">
        <f>IF($B1875=0,NA(),IF(Inputs!$B$27&lt;&gt;"Yes",NA(),Inputs!$D$27*Inputs!$C$35))</f>
        <v/>
      </c>
      <c r="S1875" s="54">
        <f>IF($B1875=0,NA(),IF(Inputs!$B$28&lt;&gt;"Yes",NA(),Inputs!$D$28*Inputs!$C$35))</f>
        <v/>
      </c>
      <c r="T1875" s="54">
        <f>IF($B1875=0,NA(),IF(Inputs!$B$29&lt;&gt;"Yes",NA(),Inputs!$D$29*Inputs!$C$35))</f>
        <v/>
      </c>
      <c r="AD1875">
        <f>IF($B1875=0,0,IF(Inputs!$B$6="",0,COUNTIFS(Data!$A$10:$A$3209,"&gt;="&amp;$A1875,Data!$A$10:$A$3209,"&lt;"&amp;$A1875+1)))</f>
        <v/>
      </c>
      <c r="AE1875">
        <f>IF($B1875=0,0,IF(Inputs!$B$7="",0,COUNTIFS(Data!$E$10:$E$3209,"&gt;="&amp;$A1875,Data!$E$10:$E$3209,"&lt;"&amp;$A1875+1)))</f>
        <v/>
      </c>
      <c r="AF1875">
        <f>IF($B1875=0,0,IF(Inputs!$B$8="",0,COUNTIFS(Data!$I$10:$I$3209,"&gt;="&amp;$A1875,Data!$I$10:$I$3209,"&lt;"&amp;$A1875+1)))</f>
        <v/>
      </c>
      <c r="AG1875">
        <f>IF($B1875=0,0,IF(Inputs!$B$9="",0,COUNTIFS(Data!$M$10:$M$3209,"&gt;="&amp;$A1875,Data!$M$10:$M$3209,"&lt;"&amp;$A1875+1)))</f>
        <v/>
      </c>
      <c r="AH1875">
        <f>IF($B1875=0,0,IF(Inputs!$B$10="",0,COUNTIFS(Data!$Q$10:$Q$3209,"&gt;="&amp;$A1875,Data!$Q$10:$Q$3209,"&lt;"&amp;$A1875+1)))</f>
        <v/>
      </c>
    </row>
    <row r="1876">
      <c r="A1876" s="55">
        <f>MIN(Inputs!$C$15,$A1875+IF(WEEKDAY($A1875,2)=5,3,1))</f>
        <v/>
      </c>
      <c r="B1876">
        <f>IF($A1876&gt;$A1875,1,0)</f>
        <v/>
      </c>
      <c r="C1876" s="56">
        <f>IF($B1876=0,"",IF(Inputs!$B$6="","",IF($AD1876=0,C1875,SUMIFS(Data!$B$10:$B$3209,Data!$A$10:$A$3209,"&gt;="&amp;$A1876,Data!$A$10:$A$3209,"&lt;"&amp;$A1876+1)/$AD1876)))</f>
        <v/>
      </c>
      <c r="D1876" s="56">
        <f>IF($B1876=0,"",IF(Inputs!$B$7="","",IF($AE1876=0,D1875,SUMIFS(Data!$F$10:$F$3209,Data!$E$10:$E$3209,"&gt;="&amp;$A1876,Data!$E$10:$E$3209,"&lt;"&amp;$A1876+1)/$AE1876)))</f>
        <v/>
      </c>
      <c r="E1876" s="56">
        <f>IF($B1876=0,"",IF(Inputs!$B$8="","",IF($AF1876=0,E1875,SUMIFS(Data!$J$10:$J$3209,Data!$I$10:$I$3209,"&gt;="&amp;$A1876,Data!$I$10:$I$3209,"&lt;"&amp;$A1876+1)/$AF1876)))</f>
        <v/>
      </c>
      <c r="F1876" s="56">
        <f>IF($B1876=0,"",IF(Inputs!$B$9="","",IF($AG1876=0,F1875,SUMIFS(Data!$N$10:$N$3209,Data!$M$10:$M$3209,"&gt;="&amp;$A1876,Data!$M$10:$M$3209,"&lt;"&amp;$A1876+1)/$AG1876)))</f>
        <v/>
      </c>
      <c r="G1876" s="56">
        <f>IF($B1876=0,"",IF(Inputs!$B$10="","",IF($AH1876=0,G1875,SUMIFS(Data!$R$10:$R$3209,Data!$Q$10:$Q$3209,"&gt;="&amp;$A1876,Data!$Q$10:$Q$3209,"&lt;"&amp;$A1876+1)/$AH1876)))</f>
        <v/>
      </c>
      <c r="I1876" s="54">
        <f>IF($B1876=0,NA(),IF($C1876="",NA(),IF(C$8="",NA(),IF(N(C$8)=0,NA(),IF(Inputs!$C$17="Rebased to 100",$C1876/C$8*100,$C1876)))))</f>
        <v/>
      </c>
      <c r="J1876" s="54">
        <f>IF($B1876=0,NA(),IF($D1876="",NA(),IF(D$8="",NA(),IF(N(D$8)=0,NA(),IF(Inputs!$C$17="Rebased to 100",$D1876/D$8*100,$D1876)))))</f>
        <v/>
      </c>
      <c r="K1876" s="54">
        <f>IF($B1876=0,NA(),IF($E1876="",NA(),IF(E$8="",NA(),IF(N(E$8)=0,NA(),IF(Inputs!$C$17="Rebased to 100",$E1876/E$8*100,$E1876)))))</f>
        <v/>
      </c>
      <c r="L1876" s="54">
        <f>IF($B1876=0,NA(),IF($F1876="",NA(),IF(F$8="",NA(),IF(N(F$8)=0,NA(),IF(Inputs!$C$17="Rebased to 100",$F1876/F$8*100,$F1876)))))</f>
        <v/>
      </c>
      <c r="M1876" s="54">
        <f>IF($B1876=0,NA(),IF($G1876="",NA(),IF(G$8="",NA(),IF(N(G$8)=0,NA(),IF(Inputs!$C$17="Rebased to 100",$G1876/G$8*100,$G1876)))))</f>
        <v/>
      </c>
      <c r="N1876" s="54">
        <f>IF($B1876=0,NA(),IF(Inputs!$C$18&lt;&gt;"Yes",NA(),IF(COUNT(I1876,J1876,K1876,L1876,M1876)=0,NA(),MIN(I1876,J1876,K1876,L1876,M1876))))</f>
        <v/>
      </c>
      <c r="O1876" s="54">
        <f>IF($B1876=0,NA(),IF(Inputs!$B$24&lt;&gt;"Yes",NA(),Inputs!$D$24*Inputs!$C$35))</f>
        <v/>
      </c>
      <c r="P1876" s="54">
        <f>IF($B1876=0,NA(),IF(Inputs!$B$25&lt;&gt;"Yes",NA(),Inputs!$D$25*Inputs!$C$35))</f>
        <v/>
      </c>
      <c r="Q1876" s="54">
        <f>IF($B1876=0,NA(),IF(Inputs!$B$26&lt;&gt;"Yes",NA(),Inputs!$D$26*Inputs!$C$35))</f>
        <v/>
      </c>
      <c r="R1876" s="54">
        <f>IF($B1876=0,NA(),IF(Inputs!$B$27&lt;&gt;"Yes",NA(),Inputs!$D$27*Inputs!$C$35))</f>
        <v/>
      </c>
      <c r="S1876" s="54">
        <f>IF($B1876=0,NA(),IF(Inputs!$B$28&lt;&gt;"Yes",NA(),Inputs!$D$28*Inputs!$C$35))</f>
        <v/>
      </c>
      <c r="T1876" s="54">
        <f>IF($B1876=0,NA(),IF(Inputs!$B$29&lt;&gt;"Yes",NA(),Inputs!$D$29*Inputs!$C$35))</f>
        <v/>
      </c>
      <c r="AD1876">
        <f>IF($B1876=0,0,IF(Inputs!$B$6="",0,COUNTIFS(Data!$A$10:$A$3209,"&gt;="&amp;$A1876,Data!$A$10:$A$3209,"&lt;"&amp;$A1876+1)))</f>
        <v/>
      </c>
      <c r="AE1876">
        <f>IF($B1876=0,0,IF(Inputs!$B$7="",0,COUNTIFS(Data!$E$10:$E$3209,"&gt;="&amp;$A1876,Data!$E$10:$E$3209,"&lt;"&amp;$A1876+1)))</f>
        <v/>
      </c>
      <c r="AF1876">
        <f>IF($B1876=0,0,IF(Inputs!$B$8="",0,COUNTIFS(Data!$I$10:$I$3209,"&gt;="&amp;$A1876,Data!$I$10:$I$3209,"&lt;"&amp;$A1876+1)))</f>
        <v/>
      </c>
      <c r="AG1876">
        <f>IF($B1876=0,0,IF(Inputs!$B$9="",0,COUNTIFS(Data!$M$10:$M$3209,"&gt;="&amp;$A1876,Data!$M$10:$M$3209,"&lt;"&amp;$A1876+1)))</f>
        <v/>
      </c>
      <c r="AH1876">
        <f>IF($B1876=0,0,IF(Inputs!$B$10="",0,COUNTIFS(Data!$Q$10:$Q$3209,"&gt;="&amp;$A1876,Data!$Q$10:$Q$3209,"&lt;"&amp;$A1876+1)))</f>
        <v/>
      </c>
    </row>
    <row r="1877">
      <c r="A1877" s="55">
        <f>MIN(Inputs!$C$15,$A1876+IF(WEEKDAY($A1876,2)=5,3,1))</f>
        <v/>
      </c>
      <c r="B1877">
        <f>IF($A1877&gt;$A1876,1,0)</f>
        <v/>
      </c>
      <c r="C1877" s="56">
        <f>IF($B1877=0,"",IF(Inputs!$B$6="","",IF($AD1877=0,C1876,SUMIFS(Data!$B$10:$B$3209,Data!$A$10:$A$3209,"&gt;="&amp;$A1877,Data!$A$10:$A$3209,"&lt;"&amp;$A1877+1)/$AD1877)))</f>
        <v/>
      </c>
      <c r="D1877" s="56">
        <f>IF($B1877=0,"",IF(Inputs!$B$7="","",IF($AE1877=0,D1876,SUMIFS(Data!$F$10:$F$3209,Data!$E$10:$E$3209,"&gt;="&amp;$A1877,Data!$E$10:$E$3209,"&lt;"&amp;$A1877+1)/$AE1877)))</f>
        <v/>
      </c>
      <c r="E1877" s="56">
        <f>IF($B1877=0,"",IF(Inputs!$B$8="","",IF($AF1877=0,E1876,SUMIFS(Data!$J$10:$J$3209,Data!$I$10:$I$3209,"&gt;="&amp;$A1877,Data!$I$10:$I$3209,"&lt;"&amp;$A1877+1)/$AF1877)))</f>
        <v/>
      </c>
      <c r="F1877" s="56">
        <f>IF($B1877=0,"",IF(Inputs!$B$9="","",IF($AG1877=0,F1876,SUMIFS(Data!$N$10:$N$3209,Data!$M$10:$M$3209,"&gt;="&amp;$A1877,Data!$M$10:$M$3209,"&lt;"&amp;$A1877+1)/$AG1877)))</f>
        <v/>
      </c>
      <c r="G1877" s="56">
        <f>IF($B1877=0,"",IF(Inputs!$B$10="","",IF($AH1877=0,G1876,SUMIFS(Data!$R$10:$R$3209,Data!$Q$10:$Q$3209,"&gt;="&amp;$A1877,Data!$Q$10:$Q$3209,"&lt;"&amp;$A1877+1)/$AH1877)))</f>
        <v/>
      </c>
      <c r="I1877" s="54">
        <f>IF($B1877=0,NA(),IF($C1877="",NA(),IF(C$8="",NA(),IF(N(C$8)=0,NA(),IF(Inputs!$C$17="Rebased to 100",$C1877/C$8*100,$C1877)))))</f>
        <v/>
      </c>
      <c r="J1877" s="54">
        <f>IF($B1877=0,NA(),IF($D1877="",NA(),IF(D$8="",NA(),IF(N(D$8)=0,NA(),IF(Inputs!$C$17="Rebased to 100",$D1877/D$8*100,$D1877)))))</f>
        <v/>
      </c>
      <c r="K1877" s="54">
        <f>IF($B1877=0,NA(),IF($E1877="",NA(),IF(E$8="",NA(),IF(N(E$8)=0,NA(),IF(Inputs!$C$17="Rebased to 100",$E1877/E$8*100,$E1877)))))</f>
        <v/>
      </c>
      <c r="L1877" s="54">
        <f>IF($B1877=0,NA(),IF($F1877="",NA(),IF(F$8="",NA(),IF(N(F$8)=0,NA(),IF(Inputs!$C$17="Rebased to 100",$F1877/F$8*100,$F1877)))))</f>
        <v/>
      </c>
      <c r="M1877" s="54">
        <f>IF($B1877=0,NA(),IF($G1877="",NA(),IF(G$8="",NA(),IF(N(G$8)=0,NA(),IF(Inputs!$C$17="Rebased to 100",$G1877/G$8*100,$G1877)))))</f>
        <v/>
      </c>
      <c r="N1877" s="54">
        <f>IF($B1877=0,NA(),IF(Inputs!$C$18&lt;&gt;"Yes",NA(),IF(COUNT(I1877,J1877,K1877,L1877,M1877)=0,NA(),MIN(I1877,J1877,K1877,L1877,M1877))))</f>
        <v/>
      </c>
      <c r="O1877" s="54">
        <f>IF($B1877=0,NA(),IF(Inputs!$B$24&lt;&gt;"Yes",NA(),Inputs!$D$24*Inputs!$C$35))</f>
        <v/>
      </c>
      <c r="P1877" s="54">
        <f>IF($B1877=0,NA(),IF(Inputs!$B$25&lt;&gt;"Yes",NA(),Inputs!$D$25*Inputs!$C$35))</f>
        <v/>
      </c>
      <c r="Q1877" s="54">
        <f>IF($B1877=0,NA(),IF(Inputs!$B$26&lt;&gt;"Yes",NA(),Inputs!$D$26*Inputs!$C$35))</f>
        <v/>
      </c>
      <c r="R1877" s="54">
        <f>IF($B1877=0,NA(),IF(Inputs!$B$27&lt;&gt;"Yes",NA(),Inputs!$D$27*Inputs!$C$35))</f>
        <v/>
      </c>
      <c r="S1877" s="54">
        <f>IF($B1877=0,NA(),IF(Inputs!$B$28&lt;&gt;"Yes",NA(),Inputs!$D$28*Inputs!$C$35))</f>
        <v/>
      </c>
      <c r="T1877" s="54">
        <f>IF($B1877=0,NA(),IF(Inputs!$B$29&lt;&gt;"Yes",NA(),Inputs!$D$29*Inputs!$C$35))</f>
        <v/>
      </c>
      <c r="AD1877">
        <f>IF($B1877=0,0,IF(Inputs!$B$6="",0,COUNTIFS(Data!$A$10:$A$3209,"&gt;="&amp;$A1877,Data!$A$10:$A$3209,"&lt;"&amp;$A1877+1)))</f>
        <v/>
      </c>
      <c r="AE1877">
        <f>IF($B1877=0,0,IF(Inputs!$B$7="",0,COUNTIFS(Data!$E$10:$E$3209,"&gt;="&amp;$A1877,Data!$E$10:$E$3209,"&lt;"&amp;$A1877+1)))</f>
        <v/>
      </c>
      <c r="AF1877">
        <f>IF($B1877=0,0,IF(Inputs!$B$8="",0,COUNTIFS(Data!$I$10:$I$3209,"&gt;="&amp;$A1877,Data!$I$10:$I$3209,"&lt;"&amp;$A1877+1)))</f>
        <v/>
      </c>
      <c r="AG1877">
        <f>IF($B1877=0,0,IF(Inputs!$B$9="",0,COUNTIFS(Data!$M$10:$M$3209,"&gt;="&amp;$A1877,Data!$M$10:$M$3209,"&lt;"&amp;$A1877+1)))</f>
        <v/>
      </c>
      <c r="AH1877">
        <f>IF($B1877=0,0,IF(Inputs!$B$10="",0,COUNTIFS(Data!$Q$10:$Q$3209,"&gt;="&amp;$A1877,Data!$Q$10:$Q$3209,"&lt;"&amp;$A1877+1)))</f>
        <v/>
      </c>
    </row>
    <row r="1878">
      <c r="A1878" s="55">
        <f>MIN(Inputs!$C$15,$A1877+IF(WEEKDAY($A1877,2)=5,3,1))</f>
        <v/>
      </c>
      <c r="B1878">
        <f>IF($A1878&gt;$A1877,1,0)</f>
        <v/>
      </c>
      <c r="C1878" s="56">
        <f>IF($B1878=0,"",IF(Inputs!$B$6="","",IF($AD1878=0,C1877,SUMIFS(Data!$B$10:$B$3209,Data!$A$10:$A$3209,"&gt;="&amp;$A1878,Data!$A$10:$A$3209,"&lt;"&amp;$A1878+1)/$AD1878)))</f>
        <v/>
      </c>
      <c r="D1878" s="56">
        <f>IF($B1878=0,"",IF(Inputs!$B$7="","",IF($AE1878=0,D1877,SUMIFS(Data!$F$10:$F$3209,Data!$E$10:$E$3209,"&gt;="&amp;$A1878,Data!$E$10:$E$3209,"&lt;"&amp;$A1878+1)/$AE1878)))</f>
        <v/>
      </c>
      <c r="E1878" s="56">
        <f>IF($B1878=0,"",IF(Inputs!$B$8="","",IF($AF1878=0,E1877,SUMIFS(Data!$J$10:$J$3209,Data!$I$10:$I$3209,"&gt;="&amp;$A1878,Data!$I$10:$I$3209,"&lt;"&amp;$A1878+1)/$AF1878)))</f>
        <v/>
      </c>
      <c r="F1878" s="56">
        <f>IF($B1878=0,"",IF(Inputs!$B$9="","",IF($AG1878=0,F1877,SUMIFS(Data!$N$10:$N$3209,Data!$M$10:$M$3209,"&gt;="&amp;$A1878,Data!$M$10:$M$3209,"&lt;"&amp;$A1878+1)/$AG1878)))</f>
        <v/>
      </c>
      <c r="G1878" s="56">
        <f>IF($B1878=0,"",IF(Inputs!$B$10="","",IF($AH1878=0,G1877,SUMIFS(Data!$R$10:$R$3209,Data!$Q$10:$Q$3209,"&gt;="&amp;$A1878,Data!$Q$10:$Q$3209,"&lt;"&amp;$A1878+1)/$AH1878)))</f>
        <v/>
      </c>
      <c r="I1878" s="54">
        <f>IF($B1878=0,NA(),IF($C1878="",NA(),IF(C$8="",NA(),IF(N(C$8)=0,NA(),IF(Inputs!$C$17="Rebased to 100",$C1878/C$8*100,$C1878)))))</f>
        <v/>
      </c>
      <c r="J1878" s="54">
        <f>IF($B1878=0,NA(),IF($D1878="",NA(),IF(D$8="",NA(),IF(N(D$8)=0,NA(),IF(Inputs!$C$17="Rebased to 100",$D1878/D$8*100,$D1878)))))</f>
        <v/>
      </c>
      <c r="K1878" s="54">
        <f>IF($B1878=0,NA(),IF($E1878="",NA(),IF(E$8="",NA(),IF(N(E$8)=0,NA(),IF(Inputs!$C$17="Rebased to 100",$E1878/E$8*100,$E1878)))))</f>
        <v/>
      </c>
      <c r="L1878" s="54">
        <f>IF($B1878=0,NA(),IF($F1878="",NA(),IF(F$8="",NA(),IF(N(F$8)=0,NA(),IF(Inputs!$C$17="Rebased to 100",$F1878/F$8*100,$F1878)))))</f>
        <v/>
      </c>
      <c r="M1878" s="54">
        <f>IF($B1878=0,NA(),IF($G1878="",NA(),IF(G$8="",NA(),IF(N(G$8)=0,NA(),IF(Inputs!$C$17="Rebased to 100",$G1878/G$8*100,$G1878)))))</f>
        <v/>
      </c>
      <c r="N1878" s="54">
        <f>IF($B1878=0,NA(),IF(Inputs!$C$18&lt;&gt;"Yes",NA(),IF(COUNT(I1878,J1878,K1878,L1878,M1878)=0,NA(),MIN(I1878,J1878,K1878,L1878,M1878))))</f>
        <v/>
      </c>
      <c r="O1878" s="54">
        <f>IF($B1878=0,NA(),IF(Inputs!$B$24&lt;&gt;"Yes",NA(),Inputs!$D$24*Inputs!$C$35))</f>
        <v/>
      </c>
      <c r="P1878" s="54">
        <f>IF($B1878=0,NA(),IF(Inputs!$B$25&lt;&gt;"Yes",NA(),Inputs!$D$25*Inputs!$C$35))</f>
        <v/>
      </c>
      <c r="Q1878" s="54">
        <f>IF($B1878=0,NA(),IF(Inputs!$B$26&lt;&gt;"Yes",NA(),Inputs!$D$26*Inputs!$C$35))</f>
        <v/>
      </c>
      <c r="R1878" s="54">
        <f>IF($B1878=0,NA(),IF(Inputs!$B$27&lt;&gt;"Yes",NA(),Inputs!$D$27*Inputs!$C$35))</f>
        <v/>
      </c>
      <c r="S1878" s="54">
        <f>IF($B1878=0,NA(),IF(Inputs!$B$28&lt;&gt;"Yes",NA(),Inputs!$D$28*Inputs!$C$35))</f>
        <v/>
      </c>
      <c r="T1878" s="54">
        <f>IF($B1878=0,NA(),IF(Inputs!$B$29&lt;&gt;"Yes",NA(),Inputs!$D$29*Inputs!$C$35))</f>
        <v/>
      </c>
      <c r="AD1878">
        <f>IF($B1878=0,0,IF(Inputs!$B$6="",0,COUNTIFS(Data!$A$10:$A$3209,"&gt;="&amp;$A1878,Data!$A$10:$A$3209,"&lt;"&amp;$A1878+1)))</f>
        <v/>
      </c>
      <c r="AE1878">
        <f>IF($B1878=0,0,IF(Inputs!$B$7="",0,COUNTIFS(Data!$E$10:$E$3209,"&gt;="&amp;$A1878,Data!$E$10:$E$3209,"&lt;"&amp;$A1878+1)))</f>
        <v/>
      </c>
      <c r="AF1878">
        <f>IF($B1878=0,0,IF(Inputs!$B$8="",0,COUNTIFS(Data!$I$10:$I$3209,"&gt;="&amp;$A1878,Data!$I$10:$I$3209,"&lt;"&amp;$A1878+1)))</f>
        <v/>
      </c>
      <c r="AG1878">
        <f>IF($B1878=0,0,IF(Inputs!$B$9="",0,COUNTIFS(Data!$M$10:$M$3209,"&gt;="&amp;$A1878,Data!$M$10:$M$3209,"&lt;"&amp;$A1878+1)))</f>
        <v/>
      </c>
      <c r="AH1878">
        <f>IF($B1878=0,0,IF(Inputs!$B$10="",0,COUNTIFS(Data!$Q$10:$Q$3209,"&gt;="&amp;$A1878,Data!$Q$10:$Q$3209,"&lt;"&amp;$A1878+1)))</f>
        <v/>
      </c>
    </row>
    <row r="1879">
      <c r="A1879" s="55">
        <f>MIN(Inputs!$C$15,$A1878+IF(WEEKDAY($A1878,2)=5,3,1))</f>
        <v/>
      </c>
      <c r="B1879">
        <f>IF($A1879&gt;$A1878,1,0)</f>
        <v/>
      </c>
      <c r="C1879" s="56">
        <f>IF($B1879=0,"",IF(Inputs!$B$6="","",IF($AD1879=0,C1878,SUMIFS(Data!$B$10:$B$3209,Data!$A$10:$A$3209,"&gt;="&amp;$A1879,Data!$A$10:$A$3209,"&lt;"&amp;$A1879+1)/$AD1879)))</f>
        <v/>
      </c>
      <c r="D1879" s="56">
        <f>IF($B1879=0,"",IF(Inputs!$B$7="","",IF($AE1879=0,D1878,SUMIFS(Data!$F$10:$F$3209,Data!$E$10:$E$3209,"&gt;="&amp;$A1879,Data!$E$10:$E$3209,"&lt;"&amp;$A1879+1)/$AE1879)))</f>
        <v/>
      </c>
      <c r="E1879" s="56">
        <f>IF($B1879=0,"",IF(Inputs!$B$8="","",IF($AF1879=0,E1878,SUMIFS(Data!$J$10:$J$3209,Data!$I$10:$I$3209,"&gt;="&amp;$A1879,Data!$I$10:$I$3209,"&lt;"&amp;$A1879+1)/$AF1879)))</f>
        <v/>
      </c>
      <c r="F1879" s="56">
        <f>IF($B1879=0,"",IF(Inputs!$B$9="","",IF($AG1879=0,F1878,SUMIFS(Data!$N$10:$N$3209,Data!$M$10:$M$3209,"&gt;="&amp;$A1879,Data!$M$10:$M$3209,"&lt;"&amp;$A1879+1)/$AG1879)))</f>
        <v/>
      </c>
      <c r="G1879" s="56">
        <f>IF($B1879=0,"",IF(Inputs!$B$10="","",IF($AH1879=0,G1878,SUMIFS(Data!$R$10:$R$3209,Data!$Q$10:$Q$3209,"&gt;="&amp;$A1879,Data!$Q$10:$Q$3209,"&lt;"&amp;$A1879+1)/$AH1879)))</f>
        <v/>
      </c>
      <c r="I1879" s="54">
        <f>IF($B1879=0,NA(),IF($C1879="",NA(),IF(C$8="",NA(),IF(N(C$8)=0,NA(),IF(Inputs!$C$17="Rebased to 100",$C1879/C$8*100,$C1879)))))</f>
        <v/>
      </c>
      <c r="J1879" s="54">
        <f>IF($B1879=0,NA(),IF($D1879="",NA(),IF(D$8="",NA(),IF(N(D$8)=0,NA(),IF(Inputs!$C$17="Rebased to 100",$D1879/D$8*100,$D1879)))))</f>
        <v/>
      </c>
      <c r="K1879" s="54">
        <f>IF($B1879=0,NA(),IF($E1879="",NA(),IF(E$8="",NA(),IF(N(E$8)=0,NA(),IF(Inputs!$C$17="Rebased to 100",$E1879/E$8*100,$E1879)))))</f>
        <v/>
      </c>
      <c r="L1879" s="54">
        <f>IF($B1879=0,NA(),IF($F1879="",NA(),IF(F$8="",NA(),IF(N(F$8)=0,NA(),IF(Inputs!$C$17="Rebased to 100",$F1879/F$8*100,$F1879)))))</f>
        <v/>
      </c>
      <c r="M1879" s="54">
        <f>IF($B1879=0,NA(),IF($G1879="",NA(),IF(G$8="",NA(),IF(N(G$8)=0,NA(),IF(Inputs!$C$17="Rebased to 100",$G1879/G$8*100,$G1879)))))</f>
        <v/>
      </c>
      <c r="N1879" s="54">
        <f>IF($B1879=0,NA(),IF(Inputs!$C$18&lt;&gt;"Yes",NA(),IF(COUNT(I1879,J1879,K1879,L1879,M1879)=0,NA(),MIN(I1879,J1879,K1879,L1879,M1879))))</f>
        <v/>
      </c>
      <c r="O1879" s="54">
        <f>IF($B1879=0,NA(),IF(Inputs!$B$24&lt;&gt;"Yes",NA(),Inputs!$D$24*Inputs!$C$35))</f>
        <v/>
      </c>
      <c r="P1879" s="54">
        <f>IF($B1879=0,NA(),IF(Inputs!$B$25&lt;&gt;"Yes",NA(),Inputs!$D$25*Inputs!$C$35))</f>
        <v/>
      </c>
      <c r="Q1879" s="54">
        <f>IF($B1879=0,NA(),IF(Inputs!$B$26&lt;&gt;"Yes",NA(),Inputs!$D$26*Inputs!$C$35))</f>
        <v/>
      </c>
      <c r="R1879" s="54">
        <f>IF($B1879=0,NA(),IF(Inputs!$B$27&lt;&gt;"Yes",NA(),Inputs!$D$27*Inputs!$C$35))</f>
        <v/>
      </c>
      <c r="S1879" s="54">
        <f>IF($B1879=0,NA(),IF(Inputs!$B$28&lt;&gt;"Yes",NA(),Inputs!$D$28*Inputs!$C$35))</f>
        <v/>
      </c>
      <c r="T1879" s="54">
        <f>IF($B1879=0,NA(),IF(Inputs!$B$29&lt;&gt;"Yes",NA(),Inputs!$D$29*Inputs!$C$35))</f>
        <v/>
      </c>
      <c r="AD1879">
        <f>IF($B1879=0,0,IF(Inputs!$B$6="",0,COUNTIFS(Data!$A$10:$A$3209,"&gt;="&amp;$A1879,Data!$A$10:$A$3209,"&lt;"&amp;$A1879+1)))</f>
        <v/>
      </c>
      <c r="AE1879">
        <f>IF($B1879=0,0,IF(Inputs!$B$7="",0,COUNTIFS(Data!$E$10:$E$3209,"&gt;="&amp;$A1879,Data!$E$10:$E$3209,"&lt;"&amp;$A1879+1)))</f>
        <v/>
      </c>
      <c r="AF1879">
        <f>IF($B1879=0,0,IF(Inputs!$B$8="",0,COUNTIFS(Data!$I$10:$I$3209,"&gt;="&amp;$A1879,Data!$I$10:$I$3209,"&lt;"&amp;$A1879+1)))</f>
        <v/>
      </c>
      <c r="AG1879">
        <f>IF($B1879=0,0,IF(Inputs!$B$9="",0,COUNTIFS(Data!$M$10:$M$3209,"&gt;="&amp;$A1879,Data!$M$10:$M$3209,"&lt;"&amp;$A1879+1)))</f>
        <v/>
      </c>
      <c r="AH1879">
        <f>IF($B1879=0,0,IF(Inputs!$B$10="",0,COUNTIFS(Data!$Q$10:$Q$3209,"&gt;="&amp;$A1879,Data!$Q$10:$Q$3209,"&lt;"&amp;$A1879+1)))</f>
        <v/>
      </c>
    </row>
    <row r="1880">
      <c r="A1880" s="55">
        <f>MIN(Inputs!$C$15,$A1879+IF(WEEKDAY($A1879,2)=5,3,1))</f>
        <v/>
      </c>
      <c r="B1880">
        <f>IF($A1880&gt;$A1879,1,0)</f>
        <v/>
      </c>
      <c r="C1880" s="56">
        <f>IF($B1880=0,"",IF(Inputs!$B$6="","",IF($AD1880=0,C1879,SUMIFS(Data!$B$10:$B$3209,Data!$A$10:$A$3209,"&gt;="&amp;$A1880,Data!$A$10:$A$3209,"&lt;"&amp;$A1880+1)/$AD1880)))</f>
        <v/>
      </c>
      <c r="D1880" s="56">
        <f>IF($B1880=0,"",IF(Inputs!$B$7="","",IF($AE1880=0,D1879,SUMIFS(Data!$F$10:$F$3209,Data!$E$10:$E$3209,"&gt;="&amp;$A1880,Data!$E$10:$E$3209,"&lt;"&amp;$A1880+1)/$AE1880)))</f>
        <v/>
      </c>
      <c r="E1880" s="56">
        <f>IF($B1880=0,"",IF(Inputs!$B$8="","",IF($AF1880=0,E1879,SUMIFS(Data!$J$10:$J$3209,Data!$I$10:$I$3209,"&gt;="&amp;$A1880,Data!$I$10:$I$3209,"&lt;"&amp;$A1880+1)/$AF1880)))</f>
        <v/>
      </c>
      <c r="F1880" s="56">
        <f>IF($B1880=0,"",IF(Inputs!$B$9="","",IF($AG1880=0,F1879,SUMIFS(Data!$N$10:$N$3209,Data!$M$10:$M$3209,"&gt;="&amp;$A1880,Data!$M$10:$M$3209,"&lt;"&amp;$A1880+1)/$AG1880)))</f>
        <v/>
      </c>
      <c r="G1880" s="56">
        <f>IF($B1880=0,"",IF(Inputs!$B$10="","",IF($AH1880=0,G1879,SUMIFS(Data!$R$10:$R$3209,Data!$Q$10:$Q$3209,"&gt;="&amp;$A1880,Data!$Q$10:$Q$3209,"&lt;"&amp;$A1880+1)/$AH1880)))</f>
        <v/>
      </c>
      <c r="I1880" s="54">
        <f>IF($B1880=0,NA(),IF($C1880="",NA(),IF(C$8="",NA(),IF(N(C$8)=0,NA(),IF(Inputs!$C$17="Rebased to 100",$C1880/C$8*100,$C1880)))))</f>
        <v/>
      </c>
      <c r="J1880" s="54">
        <f>IF($B1880=0,NA(),IF($D1880="",NA(),IF(D$8="",NA(),IF(N(D$8)=0,NA(),IF(Inputs!$C$17="Rebased to 100",$D1880/D$8*100,$D1880)))))</f>
        <v/>
      </c>
      <c r="K1880" s="54">
        <f>IF($B1880=0,NA(),IF($E1880="",NA(),IF(E$8="",NA(),IF(N(E$8)=0,NA(),IF(Inputs!$C$17="Rebased to 100",$E1880/E$8*100,$E1880)))))</f>
        <v/>
      </c>
      <c r="L1880" s="54">
        <f>IF($B1880=0,NA(),IF($F1880="",NA(),IF(F$8="",NA(),IF(N(F$8)=0,NA(),IF(Inputs!$C$17="Rebased to 100",$F1880/F$8*100,$F1880)))))</f>
        <v/>
      </c>
      <c r="M1880" s="54">
        <f>IF($B1880=0,NA(),IF($G1880="",NA(),IF(G$8="",NA(),IF(N(G$8)=0,NA(),IF(Inputs!$C$17="Rebased to 100",$G1880/G$8*100,$G1880)))))</f>
        <v/>
      </c>
      <c r="N1880" s="54">
        <f>IF($B1880=0,NA(),IF(Inputs!$C$18&lt;&gt;"Yes",NA(),IF(COUNT(I1880,J1880,K1880,L1880,M1880)=0,NA(),MIN(I1880,J1880,K1880,L1880,M1880))))</f>
        <v/>
      </c>
      <c r="O1880" s="54">
        <f>IF($B1880=0,NA(),IF(Inputs!$B$24&lt;&gt;"Yes",NA(),Inputs!$D$24*Inputs!$C$35))</f>
        <v/>
      </c>
      <c r="P1880" s="54">
        <f>IF($B1880=0,NA(),IF(Inputs!$B$25&lt;&gt;"Yes",NA(),Inputs!$D$25*Inputs!$C$35))</f>
        <v/>
      </c>
      <c r="Q1880" s="54">
        <f>IF($B1880=0,NA(),IF(Inputs!$B$26&lt;&gt;"Yes",NA(),Inputs!$D$26*Inputs!$C$35))</f>
        <v/>
      </c>
      <c r="R1880" s="54">
        <f>IF($B1880=0,NA(),IF(Inputs!$B$27&lt;&gt;"Yes",NA(),Inputs!$D$27*Inputs!$C$35))</f>
        <v/>
      </c>
      <c r="S1880" s="54">
        <f>IF($B1880=0,NA(),IF(Inputs!$B$28&lt;&gt;"Yes",NA(),Inputs!$D$28*Inputs!$C$35))</f>
        <v/>
      </c>
      <c r="T1880" s="54">
        <f>IF($B1880=0,NA(),IF(Inputs!$B$29&lt;&gt;"Yes",NA(),Inputs!$D$29*Inputs!$C$35))</f>
        <v/>
      </c>
      <c r="AD1880">
        <f>IF($B1880=0,0,IF(Inputs!$B$6="",0,COUNTIFS(Data!$A$10:$A$3209,"&gt;="&amp;$A1880,Data!$A$10:$A$3209,"&lt;"&amp;$A1880+1)))</f>
        <v/>
      </c>
      <c r="AE1880">
        <f>IF($B1880=0,0,IF(Inputs!$B$7="",0,COUNTIFS(Data!$E$10:$E$3209,"&gt;="&amp;$A1880,Data!$E$10:$E$3209,"&lt;"&amp;$A1880+1)))</f>
        <v/>
      </c>
      <c r="AF1880">
        <f>IF($B1880=0,0,IF(Inputs!$B$8="",0,COUNTIFS(Data!$I$10:$I$3209,"&gt;="&amp;$A1880,Data!$I$10:$I$3209,"&lt;"&amp;$A1880+1)))</f>
        <v/>
      </c>
      <c r="AG1880">
        <f>IF($B1880=0,0,IF(Inputs!$B$9="",0,COUNTIFS(Data!$M$10:$M$3209,"&gt;="&amp;$A1880,Data!$M$10:$M$3209,"&lt;"&amp;$A1880+1)))</f>
        <v/>
      </c>
      <c r="AH1880">
        <f>IF($B1880=0,0,IF(Inputs!$B$10="",0,COUNTIFS(Data!$Q$10:$Q$3209,"&gt;="&amp;$A1880,Data!$Q$10:$Q$3209,"&lt;"&amp;$A1880+1)))</f>
        <v/>
      </c>
    </row>
    <row r="1881">
      <c r="A1881" s="55">
        <f>MIN(Inputs!$C$15,$A1880+IF(WEEKDAY($A1880,2)=5,3,1))</f>
        <v/>
      </c>
      <c r="B1881">
        <f>IF($A1881&gt;$A1880,1,0)</f>
        <v/>
      </c>
      <c r="C1881" s="56">
        <f>IF($B1881=0,"",IF(Inputs!$B$6="","",IF($AD1881=0,C1880,SUMIFS(Data!$B$10:$B$3209,Data!$A$10:$A$3209,"&gt;="&amp;$A1881,Data!$A$10:$A$3209,"&lt;"&amp;$A1881+1)/$AD1881)))</f>
        <v/>
      </c>
      <c r="D1881" s="56">
        <f>IF($B1881=0,"",IF(Inputs!$B$7="","",IF($AE1881=0,D1880,SUMIFS(Data!$F$10:$F$3209,Data!$E$10:$E$3209,"&gt;="&amp;$A1881,Data!$E$10:$E$3209,"&lt;"&amp;$A1881+1)/$AE1881)))</f>
        <v/>
      </c>
      <c r="E1881" s="56">
        <f>IF($B1881=0,"",IF(Inputs!$B$8="","",IF($AF1881=0,E1880,SUMIFS(Data!$J$10:$J$3209,Data!$I$10:$I$3209,"&gt;="&amp;$A1881,Data!$I$10:$I$3209,"&lt;"&amp;$A1881+1)/$AF1881)))</f>
        <v/>
      </c>
      <c r="F1881" s="56">
        <f>IF($B1881=0,"",IF(Inputs!$B$9="","",IF($AG1881=0,F1880,SUMIFS(Data!$N$10:$N$3209,Data!$M$10:$M$3209,"&gt;="&amp;$A1881,Data!$M$10:$M$3209,"&lt;"&amp;$A1881+1)/$AG1881)))</f>
        <v/>
      </c>
      <c r="G1881" s="56">
        <f>IF($B1881=0,"",IF(Inputs!$B$10="","",IF($AH1881=0,G1880,SUMIFS(Data!$R$10:$R$3209,Data!$Q$10:$Q$3209,"&gt;="&amp;$A1881,Data!$Q$10:$Q$3209,"&lt;"&amp;$A1881+1)/$AH1881)))</f>
        <v/>
      </c>
      <c r="I1881" s="54">
        <f>IF($B1881=0,NA(),IF($C1881="",NA(),IF(C$8="",NA(),IF(N(C$8)=0,NA(),IF(Inputs!$C$17="Rebased to 100",$C1881/C$8*100,$C1881)))))</f>
        <v/>
      </c>
      <c r="J1881" s="54">
        <f>IF($B1881=0,NA(),IF($D1881="",NA(),IF(D$8="",NA(),IF(N(D$8)=0,NA(),IF(Inputs!$C$17="Rebased to 100",$D1881/D$8*100,$D1881)))))</f>
        <v/>
      </c>
      <c r="K1881" s="54">
        <f>IF($B1881=0,NA(),IF($E1881="",NA(),IF(E$8="",NA(),IF(N(E$8)=0,NA(),IF(Inputs!$C$17="Rebased to 100",$E1881/E$8*100,$E1881)))))</f>
        <v/>
      </c>
      <c r="L1881" s="54">
        <f>IF($B1881=0,NA(),IF($F1881="",NA(),IF(F$8="",NA(),IF(N(F$8)=0,NA(),IF(Inputs!$C$17="Rebased to 100",$F1881/F$8*100,$F1881)))))</f>
        <v/>
      </c>
      <c r="M1881" s="54">
        <f>IF($B1881=0,NA(),IF($G1881="",NA(),IF(G$8="",NA(),IF(N(G$8)=0,NA(),IF(Inputs!$C$17="Rebased to 100",$G1881/G$8*100,$G1881)))))</f>
        <v/>
      </c>
      <c r="N1881" s="54">
        <f>IF($B1881=0,NA(),IF(Inputs!$C$18&lt;&gt;"Yes",NA(),IF(COUNT(I1881,J1881,K1881,L1881,M1881)=0,NA(),MIN(I1881,J1881,K1881,L1881,M1881))))</f>
        <v/>
      </c>
      <c r="O1881" s="54">
        <f>IF($B1881=0,NA(),IF(Inputs!$B$24&lt;&gt;"Yes",NA(),Inputs!$D$24*Inputs!$C$35))</f>
        <v/>
      </c>
      <c r="P1881" s="54">
        <f>IF($B1881=0,NA(),IF(Inputs!$B$25&lt;&gt;"Yes",NA(),Inputs!$D$25*Inputs!$C$35))</f>
        <v/>
      </c>
      <c r="Q1881" s="54">
        <f>IF($B1881=0,NA(),IF(Inputs!$B$26&lt;&gt;"Yes",NA(),Inputs!$D$26*Inputs!$C$35))</f>
        <v/>
      </c>
      <c r="R1881" s="54">
        <f>IF($B1881=0,NA(),IF(Inputs!$B$27&lt;&gt;"Yes",NA(),Inputs!$D$27*Inputs!$C$35))</f>
        <v/>
      </c>
      <c r="S1881" s="54">
        <f>IF($B1881=0,NA(),IF(Inputs!$B$28&lt;&gt;"Yes",NA(),Inputs!$D$28*Inputs!$C$35))</f>
        <v/>
      </c>
      <c r="T1881" s="54">
        <f>IF($B1881=0,NA(),IF(Inputs!$B$29&lt;&gt;"Yes",NA(),Inputs!$D$29*Inputs!$C$35))</f>
        <v/>
      </c>
      <c r="AD1881">
        <f>IF($B1881=0,0,IF(Inputs!$B$6="",0,COUNTIFS(Data!$A$10:$A$3209,"&gt;="&amp;$A1881,Data!$A$10:$A$3209,"&lt;"&amp;$A1881+1)))</f>
        <v/>
      </c>
      <c r="AE1881">
        <f>IF($B1881=0,0,IF(Inputs!$B$7="",0,COUNTIFS(Data!$E$10:$E$3209,"&gt;="&amp;$A1881,Data!$E$10:$E$3209,"&lt;"&amp;$A1881+1)))</f>
        <v/>
      </c>
      <c r="AF1881">
        <f>IF($B1881=0,0,IF(Inputs!$B$8="",0,COUNTIFS(Data!$I$10:$I$3209,"&gt;="&amp;$A1881,Data!$I$10:$I$3209,"&lt;"&amp;$A1881+1)))</f>
        <v/>
      </c>
      <c r="AG1881">
        <f>IF($B1881=0,0,IF(Inputs!$B$9="",0,COUNTIFS(Data!$M$10:$M$3209,"&gt;="&amp;$A1881,Data!$M$10:$M$3209,"&lt;"&amp;$A1881+1)))</f>
        <v/>
      </c>
      <c r="AH1881">
        <f>IF($B1881=0,0,IF(Inputs!$B$10="",0,COUNTIFS(Data!$Q$10:$Q$3209,"&gt;="&amp;$A1881,Data!$Q$10:$Q$3209,"&lt;"&amp;$A1881+1)))</f>
        <v/>
      </c>
    </row>
    <row r="1882">
      <c r="A1882" s="55">
        <f>MIN(Inputs!$C$15,$A1881+IF(WEEKDAY($A1881,2)=5,3,1))</f>
        <v/>
      </c>
      <c r="B1882">
        <f>IF($A1882&gt;$A1881,1,0)</f>
        <v/>
      </c>
      <c r="C1882" s="56">
        <f>IF($B1882=0,"",IF(Inputs!$B$6="","",IF($AD1882=0,C1881,SUMIFS(Data!$B$10:$B$3209,Data!$A$10:$A$3209,"&gt;="&amp;$A1882,Data!$A$10:$A$3209,"&lt;"&amp;$A1882+1)/$AD1882)))</f>
        <v/>
      </c>
      <c r="D1882" s="56">
        <f>IF($B1882=0,"",IF(Inputs!$B$7="","",IF($AE1882=0,D1881,SUMIFS(Data!$F$10:$F$3209,Data!$E$10:$E$3209,"&gt;="&amp;$A1882,Data!$E$10:$E$3209,"&lt;"&amp;$A1882+1)/$AE1882)))</f>
        <v/>
      </c>
      <c r="E1882" s="56">
        <f>IF($B1882=0,"",IF(Inputs!$B$8="","",IF($AF1882=0,E1881,SUMIFS(Data!$J$10:$J$3209,Data!$I$10:$I$3209,"&gt;="&amp;$A1882,Data!$I$10:$I$3209,"&lt;"&amp;$A1882+1)/$AF1882)))</f>
        <v/>
      </c>
      <c r="F1882" s="56">
        <f>IF($B1882=0,"",IF(Inputs!$B$9="","",IF($AG1882=0,F1881,SUMIFS(Data!$N$10:$N$3209,Data!$M$10:$M$3209,"&gt;="&amp;$A1882,Data!$M$10:$M$3209,"&lt;"&amp;$A1882+1)/$AG1882)))</f>
        <v/>
      </c>
      <c r="G1882" s="56">
        <f>IF($B1882=0,"",IF(Inputs!$B$10="","",IF($AH1882=0,G1881,SUMIFS(Data!$R$10:$R$3209,Data!$Q$10:$Q$3209,"&gt;="&amp;$A1882,Data!$Q$10:$Q$3209,"&lt;"&amp;$A1882+1)/$AH1882)))</f>
        <v/>
      </c>
      <c r="I1882" s="54">
        <f>IF($B1882=0,NA(),IF($C1882="",NA(),IF(C$8="",NA(),IF(N(C$8)=0,NA(),IF(Inputs!$C$17="Rebased to 100",$C1882/C$8*100,$C1882)))))</f>
        <v/>
      </c>
      <c r="J1882" s="54">
        <f>IF($B1882=0,NA(),IF($D1882="",NA(),IF(D$8="",NA(),IF(N(D$8)=0,NA(),IF(Inputs!$C$17="Rebased to 100",$D1882/D$8*100,$D1882)))))</f>
        <v/>
      </c>
      <c r="K1882" s="54">
        <f>IF($B1882=0,NA(),IF($E1882="",NA(),IF(E$8="",NA(),IF(N(E$8)=0,NA(),IF(Inputs!$C$17="Rebased to 100",$E1882/E$8*100,$E1882)))))</f>
        <v/>
      </c>
      <c r="L1882" s="54">
        <f>IF($B1882=0,NA(),IF($F1882="",NA(),IF(F$8="",NA(),IF(N(F$8)=0,NA(),IF(Inputs!$C$17="Rebased to 100",$F1882/F$8*100,$F1882)))))</f>
        <v/>
      </c>
      <c r="M1882" s="54">
        <f>IF($B1882=0,NA(),IF($G1882="",NA(),IF(G$8="",NA(),IF(N(G$8)=0,NA(),IF(Inputs!$C$17="Rebased to 100",$G1882/G$8*100,$G1882)))))</f>
        <v/>
      </c>
      <c r="N1882" s="54">
        <f>IF($B1882=0,NA(),IF(Inputs!$C$18&lt;&gt;"Yes",NA(),IF(COUNT(I1882,J1882,K1882,L1882,M1882)=0,NA(),MIN(I1882,J1882,K1882,L1882,M1882))))</f>
        <v/>
      </c>
      <c r="O1882" s="54">
        <f>IF($B1882=0,NA(),IF(Inputs!$B$24&lt;&gt;"Yes",NA(),Inputs!$D$24*Inputs!$C$35))</f>
        <v/>
      </c>
      <c r="P1882" s="54">
        <f>IF($B1882=0,NA(),IF(Inputs!$B$25&lt;&gt;"Yes",NA(),Inputs!$D$25*Inputs!$C$35))</f>
        <v/>
      </c>
      <c r="Q1882" s="54">
        <f>IF($B1882=0,NA(),IF(Inputs!$B$26&lt;&gt;"Yes",NA(),Inputs!$D$26*Inputs!$C$35))</f>
        <v/>
      </c>
      <c r="R1882" s="54">
        <f>IF($B1882=0,NA(),IF(Inputs!$B$27&lt;&gt;"Yes",NA(),Inputs!$D$27*Inputs!$C$35))</f>
        <v/>
      </c>
      <c r="S1882" s="54">
        <f>IF($B1882=0,NA(),IF(Inputs!$B$28&lt;&gt;"Yes",NA(),Inputs!$D$28*Inputs!$C$35))</f>
        <v/>
      </c>
      <c r="T1882" s="54">
        <f>IF($B1882=0,NA(),IF(Inputs!$B$29&lt;&gt;"Yes",NA(),Inputs!$D$29*Inputs!$C$35))</f>
        <v/>
      </c>
      <c r="AD1882">
        <f>IF($B1882=0,0,IF(Inputs!$B$6="",0,COUNTIFS(Data!$A$10:$A$3209,"&gt;="&amp;$A1882,Data!$A$10:$A$3209,"&lt;"&amp;$A1882+1)))</f>
        <v/>
      </c>
      <c r="AE1882">
        <f>IF($B1882=0,0,IF(Inputs!$B$7="",0,COUNTIFS(Data!$E$10:$E$3209,"&gt;="&amp;$A1882,Data!$E$10:$E$3209,"&lt;"&amp;$A1882+1)))</f>
        <v/>
      </c>
      <c r="AF1882">
        <f>IF($B1882=0,0,IF(Inputs!$B$8="",0,COUNTIFS(Data!$I$10:$I$3209,"&gt;="&amp;$A1882,Data!$I$10:$I$3209,"&lt;"&amp;$A1882+1)))</f>
        <v/>
      </c>
      <c r="AG1882">
        <f>IF($B1882=0,0,IF(Inputs!$B$9="",0,COUNTIFS(Data!$M$10:$M$3209,"&gt;="&amp;$A1882,Data!$M$10:$M$3209,"&lt;"&amp;$A1882+1)))</f>
        <v/>
      </c>
      <c r="AH1882">
        <f>IF($B1882=0,0,IF(Inputs!$B$10="",0,COUNTIFS(Data!$Q$10:$Q$3209,"&gt;="&amp;$A1882,Data!$Q$10:$Q$3209,"&lt;"&amp;$A1882+1)))</f>
        <v/>
      </c>
    </row>
    <row r="1883">
      <c r="A1883" s="55">
        <f>MIN(Inputs!$C$15,$A1882+IF(WEEKDAY($A1882,2)=5,3,1))</f>
        <v/>
      </c>
      <c r="B1883">
        <f>IF($A1883&gt;$A1882,1,0)</f>
        <v/>
      </c>
      <c r="C1883" s="56">
        <f>IF($B1883=0,"",IF(Inputs!$B$6="","",IF($AD1883=0,C1882,SUMIFS(Data!$B$10:$B$3209,Data!$A$10:$A$3209,"&gt;="&amp;$A1883,Data!$A$10:$A$3209,"&lt;"&amp;$A1883+1)/$AD1883)))</f>
        <v/>
      </c>
      <c r="D1883" s="56">
        <f>IF($B1883=0,"",IF(Inputs!$B$7="","",IF($AE1883=0,D1882,SUMIFS(Data!$F$10:$F$3209,Data!$E$10:$E$3209,"&gt;="&amp;$A1883,Data!$E$10:$E$3209,"&lt;"&amp;$A1883+1)/$AE1883)))</f>
        <v/>
      </c>
      <c r="E1883" s="56">
        <f>IF($B1883=0,"",IF(Inputs!$B$8="","",IF($AF1883=0,E1882,SUMIFS(Data!$J$10:$J$3209,Data!$I$10:$I$3209,"&gt;="&amp;$A1883,Data!$I$10:$I$3209,"&lt;"&amp;$A1883+1)/$AF1883)))</f>
        <v/>
      </c>
      <c r="F1883" s="56">
        <f>IF($B1883=0,"",IF(Inputs!$B$9="","",IF($AG1883=0,F1882,SUMIFS(Data!$N$10:$N$3209,Data!$M$10:$M$3209,"&gt;="&amp;$A1883,Data!$M$10:$M$3209,"&lt;"&amp;$A1883+1)/$AG1883)))</f>
        <v/>
      </c>
      <c r="G1883" s="56">
        <f>IF($B1883=0,"",IF(Inputs!$B$10="","",IF($AH1883=0,G1882,SUMIFS(Data!$R$10:$R$3209,Data!$Q$10:$Q$3209,"&gt;="&amp;$A1883,Data!$Q$10:$Q$3209,"&lt;"&amp;$A1883+1)/$AH1883)))</f>
        <v/>
      </c>
      <c r="I1883" s="54">
        <f>IF($B1883=0,NA(),IF($C1883="",NA(),IF(C$8="",NA(),IF(N(C$8)=0,NA(),IF(Inputs!$C$17="Rebased to 100",$C1883/C$8*100,$C1883)))))</f>
        <v/>
      </c>
      <c r="J1883" s="54">
        <f>IF($B1883=0,NA(),IF($D1883="",NA(),IF(D$8="",NA(),IF(N(D$8)=0,NA(),IF(Inputs!$C$17="Rebased to 100",$D1883/D$8*100,$D1883)))))</f>
        <v/>
      </c>
      <c r="K1883" s="54">
        <f>IF($B1883=0,NA(),IF($E1883="",NA(),IF(E$8="",NA(),IF(N(E$8)=0,NA(),IF(Inputs!$C$17="Rebased to 100",$E1883/E$8*100,$E1883)))))</f>
        <v/>
      </c>
      <c r="L1883" s="54">
        <f>IF($B1883=0,NA(),IF($F1883="",NA(),IF(F$8="",NA(),IF(N(F$8)=0,NA(),IF(Inputs!$C$17="Rebased to 100",$F1883/F$8*100,$F1883)))))</f>
        <v/>
      </c>
      <c r="M1883" s="54">
        <f>IF($B1883=0,NA(),IF($G1883="",NA(),IF(G$8="",NA(),IF(N(G$8)=0,NA(),IF(Inputs!$C$17="Rebased to 100",$G1883/G$8*100,$G1883)))))</f>
        <v/>
      </c>
      <c r="N1883" s="54">
        <f>IF($B1883=0,NA(),IF(Inputs!$C$18&lt;&gt;"Yes",NA(),IF(COUNT(I1883,J1883,K1883,L1883,M1883)=0,NA(),MIN(I1883,J1883,K1883,L1883,M1883))))</f>
        <v/>
      </c>
      <c r="O1883" s="54">
        <f>IF($B1883=0,NA(),IF(Inputs!$B$24&lt;&gt;"Yes",NA(),Inputs!$D$24*Inputs!$C$35))</f>
        <v/>
      </c>
      <c r="P1883" s="54">
        <f>IF($B1883=0,NA(),IF(Inputs!$B$25&lt;&gt;"Yes",NA(),Inputs!$D$25*Inputs!$C$35))</f>
        <v/>
      </c>
      <c r="Q1883" s="54">
        <f>IF($B1883=0,NA(),IF(Inputs!$B$26&lt;&gt;"Yes",NA(),Inputs!$D$26*Inputs!$C$35))</f>
        <v/>
      </c>
      <c r="R1883" s="54">
        <f>IF($B1883=0,NA(),IF(Inputs!$B$27&lt;&gt;"Yes",NA(),Inputs!$D$27*Inputs!$C$35))</f>
        <v/>
      </c>
      <c r="S1883" s="54">
        <f>IF($B1883=0,NA(),IF(Inputs!$B$28&lt;&gt;"Yes",NA(),Inputs!$D$28*Inputs!$C$35))</f>
        <v/>
      </c>
      <c r="T1883" s="54">
        <f>IF($B1883=0,NA(),IF(Inputs!$B$29&lt;&gt;"Yes",NA(),Inputs!$D$29*Inputs!$C$35))</f>
        <v/>
      </c>
      <c r="AD1883">
        <f>IF($B1883=0,0,IF(Inputs!$B$6="",0,COUNTIFS(Data!$A$10:$A$3209,"&gt;="&amp;$A1883,Data!$A$10:$A$3209,"&lt;"&amp;$A1883+1)))</f>
        <v/>
      </c>
      <c r="AE1883">
        <f>IF($B1883=0,0,IF(Inputs!$B$7="",0,COUNTIFS(Data!$E$10:$E$3209,"&gt;="&amp;$A1883,Data!$E$10:$E$3209,"&lt;"&amp;$A1883+1)))</f>
        <v/>
      </c>
      <c r="AF1883">
        <f>IF($B1883=0,0,IF(Inputs!$B$8="",0,COUNTIFS(Data!$I$10:$I$3209,"&gt;="&amp;$A1883,Data!$I$10:$I$3209,"&lt;"&amp;$A1883+1)))</f>
        <v/>
      </c>
      <c r="AG1883">
        <f>IF($B1883=0,0,IF(Inputs!$B$9="",0,COUNTIFS(Data!$M$10:$M$3209,"&gt;="&amp;$A1883,Data!$M$10:$M$3209,"&lt;"&amp;$A1883+1)))</f>
        <v/>
      </c>
      <c r="AH1883">
        <f>IF($B1883=0,0,IF(Inputs!$B$10="",0,COUNTIFS(Data!$Q$10:$Q$3209,"&gt;="&amp;$A1883,Data!$Q$10:$Q$3209,"&lt;"&amp;$A1883+1)))</f>
        <v/>
      </c>
    </row>
    <row r="1884">
      <c r="A1884" s="55">
        <f>MIN(Inputs!$C$15,$A1883+IF(WEEKDAY($A1883,2)=5,3,1))</f>
        <v/>
      </c>
      <c r="B1884">
        <f>IF($A1884&gt;$A1883,1,0)</f>
        <v/>
      </c>
      <c r="C1884" s="56">
        <f>IF($B1884=0,"",IF(Inputs!$B$6="","",IF($AD1884=0,C1883,SUMIFS(Data!$B$10:$B$3209,Data!$A$10:$A$3209,"&gt;="&amp;$A1884,Data!$A$10:$A$3209,"&lt;"&amp;$A1884+1)/$AD1884)))</f>
        <v/>
      </c>
      <c r="D1884" s="56">
        <f>IF($B1884=0,"",IF(Inputs!$B$7="","",IF($AE1884=0,D1883,SUMIFS(Data!$F$10:$F$3209,Data!$E$10:$E$3209,"&gt;="&amp;$A1884,Data!$E$10:$E$3209,"&lt;"&amp;$A1884+1)/$AE1884)))</f>
        <v/>
      </c>
      <c r="E1884" s="56">
        <f>IF($B1884=0,"",IF(Inputs!$B$8="","",IF($AF1884=0,E1883,SUMIFS(Data!$J$10:$J$3209,Data!$I$10:$I$3209,"&gt;="&amp;$A1884,Data!$I$10:$I$3209,"&lt;"&amp;$A1884+1)/$AF1884)))</f>
        <v/>
      </c>
      <c r="F1884" s="56">
        <f>IF($B1884=0,"",IF(Inputs!$B$9="","",IF($AG1884=0,F1883,SUMIFS(Data!$N$10:$N$3209,Data!$M$10:$M$3209,"&gt;="&amp;$A1884,Data!$M$10:$M$3209,"&lt;"&amp;$A1884+1)/$AG1884)))</f>
        <v/>
      </c>
      <c r="G1884" s="56">
        <f>IF($B1884=0,"",IF(Inputs!$B$10="","",IF($AH1884=0,G1883,SUMIFS(Data!$R$10:$R$3209,Data!$Q$10:$Q$3209,"&gt;="&amp;$A1884,Data!$Q$10:$Q$3209,"&lt;"&amp;$A1884+1)/$AH1884)))</f>
        <v/>
      </c>
      <c r="I1884" s="54">
        <f>IF($B1884=0,NA(),IF($C1884="",NA(),IF(C$8="",NA(),IF(N(C$8)=0,NA(),IF(Inputs!$C$17="Rebased to 100",$C1884/C$8*100,$C1884)))))</f>
        <v/>
      </c>
      <c r="J1884" s="54">
        <f>IF($B1884=0,NA(),IF($D1884="",NA(),IF(D$8="",NA(),IF(N(D$8)=0,NA(),IF(Inputs!$C$17="Rebased to 100",$D1884/D$8*100,$D1884)))))</f>
        <v/>
      </c>
      <c r="K1884" s="54">
        <f>IF($B1884=0,NA(),IF($E1884="",NA(),IF(E$8="",NA(),IF(N(E$8)=0,NA(),IF(Inputs!$C$17="Rebased to 100",$E1884/E$8*100,$E1884)))))</f>
        <v/>
      </c>
      <c r="L1884" s="54">
        <f>IF($B1884=0,NA(),IF($F1884="",NA(),IF(F$8="",NA(),IF(N(F$8)=0,NA(),IF(Inputs!$C$17="Rebased to 100",$F1884/F$8*100,$F1884)))))</f>
        <v/>
      </c>
      <c r="M1884" s="54">
        <f>IF($B1884=0,NA(),IF($G1884="",NA(),IF(G$8="",NA(),IF(N(G$8)=0,NA(),IF(Inputs!$C$17="Rebased to 100",$G1884/G$8*100,$G1884)))))</f>
        <v/>
      </c>
      <c r="N1884" s="54">
        <f>IF($B1884=0,NA(),IF(Inputs!$C$18&lt;&gt;"Yes",NA(),IF(COUNT(I1884,J1884,K1884,L1884,M1884)=0,NA(),MIN(I1884,J1884,K1884,L1884,M1884))))</f>
        <v/>
      </c>
      <c r="O1884" s="54">
        <f>IF($B1884=0,NA(),IF(Inputs!$B$24&lt;&gt;"Yes",NA(),Inputs!$D$24*Inputs!$C$35))</f>
        <v/>
      </c>
      <c r="P1884" s="54">
        <f>IF($B1884=0,NA(),IF(Inputs!$B$25&lt;&gt;"Yes",NA(),Inputs!$D$25*Inputs!$C$35))</f>
        <v/>
      </c>
      <c r="Q1884" s="54">
        <f>IF($B1884=0,NA(),IF(Inputs!$B$26&lt;&gt;"Yes",NA(),Inputs!$D$26*Inputs!$C$35))</f>
        <v/>
      </c>
      <c r="R1884" s="54">
        <f>IF($B1884=0,NA(),IF(Inputs!$B$27&lt;&gt;"Yes",NA(),Inputs!$D$27*Inputs!$C$35))</f>
        <v/>
      </c>
      <c r="S1884" s="54">
        <f>IF($B1884=0,NA(),IF(Inputs!$B$28&lt;&gt;"Yes",NA(),Inputs!$D$28*Inputs!$C$35))</f>
        <v/>
      </c>
      <c r="T1884" s="54">
        <f>IF($B1884=0,NA(),IF(Inputs!$B$29&lt;&gt;"Yes",NA(),Inputs!$D$29*Inputs!$C$35))</f>
        <v/>
      </c>
      <c r="AD1884">
        <f>IF($B1884=0,0,IF(Inputs!$B$6="",0,COUNTIFS(Data!$A$10:$A$3209,"&gt;="&amp;$A1884,Data!$A$10:$A$3209,"&lt;"&amp;$A1884+1)))</f>
        <v/>
      </c>
      <c r="AE1884">
        <f>IF($B1884=0,0,IF(Inputs!$B$7="",0,COUNTIFS(Data!$E$10:$E$3209,"&gt;="&amp;$A1884,Data!$E$10:$E$3209,"&lt;"&amp;$A1884+1)))</f>
        <v/>
      </c>
      <c r="AF1884">
        <f>IF($B1884=0,0,IF(Inputs!$B$8="",0,COUNTIFS(Data!$I$10:$I$3209,"&gt;="&amp;$A1884,Data!$I$10:$I$3209,"&lt;"&amp;$A1884+1)))</f>
        <v/>
      </c>
      <c r="AG1884">
        <f>IF($B1884=0,0,IF(Inputs!$B$9="",0,COUNTIFS(Data!$M$10:$M$3209,"&gt;="&amp;$A1884,Data!$M$10:$M$3209,"&lt;"&amp;$A1884+1)))</f>
        <v/>
      </c>
      <c r="AH1884">
        <f>IF($B1884=0,0,IF(Inputs!$B$10="",0,COUNTIFS(Data!$Q$10:$Q$3209,"&gt;="&amp;$A1884,Data!$Q$10:$Q$3209,"&lt;"&amp;$A1884+1)))</f>
        <v/>
      </c>
    </row>
    <row r="1885">
      <c r="A1885" s="55">
        <f>MIN(Inputs!$C$15,$A1884+IF(WEEKDAY($A1884,2)=5,3,1))</f>
        <v/>
      </c>
      <c r="B1885">
        <f>IF($A1885&gt;$A1884,1,0)</f>
        <v/>
      </c>
      <c r="C1885" s="56">
        <f>IF($B1885=0,"",IF(Inputs!$B$6="","",IF($AD1885=0,C1884,SUMIFS(Data!$B$10:$B$3209,Data!$A$10:$A$3209,"&gt;="&amp;$A1885,Data!$A$10:$A$3209,"&lt;"&amp;$A1885+1)/$AD1885)))</f>
        <v/>
      </c>
      <c r="D1885" s="56">
        <f>IF($B1885=0,"",IF(Inputs!$B$7="","",IF($AE1885=0,D1884,SUMIFS(Data!$F$10:$F$3209,Data!$E$10:$E$3209,"&gt;="&amp;$A1885,Data!$E$10:$E$3209,"&lt;"&amp;$A1885+1)/$AE1885)))</f>
        <v/>
      </c>
      <c r="E1885" s="56">
        <f>IF($B1885=0,"",IF(Inputs!$B$8="","",IF($AF1885=0,E1884,SUMIFS(Data!$J$10:$J$3209,Data!$I$10:$I$3209,"&gt;="&amp;$A1885,Data!$I$10:$I$3209,"&lt;"&amp;$A1885+1)/$AF1885)))</f>
        <v/>
      </c>
      <c r="F1885" s="56">
        <f>IF($B1885=0,"",IF(Inputs!$B$9="","",IF($AG1885=0,F1884,SUMIFS(Data!$N$10:$N$3209,Data!$M$10:$M$3209,"&gt;="&amp;$A1885,Data!$M$10:$M$3209,"&lt;"&amp;$A1885+1)/$AG1885)))</f>
        <v/>
      </c>
      <c r="G1885" s="56">
        <f>IF($B1885=0,"",IF(Inputs!$B$10="","",IF($AH1885=0,G1884,SUMIFS(Data!$R$10:$R$3209,Data!$Q$10:$Q$3209,"&gt;="&amp;$A1885,Data!$Q$10:$Q$3209,"&lt;"&amp;$A1885+1)/$AH1885)))</f>
        <v/>
      </c>
      <c r="I1885" s="54">
        <f>IF($B1885=0,NA(),IF($C1885="",NA(),IF(C$8="",NA(),IF(N(C$8)=0,NA(),IF(Inputs!$C$17="Rebased to 100",$C1885/C$8*100,$C1885)))))</f>
        <v/>
      </c>
      <c r="J1885" s="54">
        <f>IF($B1885=0,NA(),IF($D1885="",NA(),IF(D$8="",NA(),IF(N(D$8)=0,NA(),IF(Inputs!$C$17="Rebased to 100",$D1885/D$8*100,$D1885)))))</f>
        <v/>
      </c>
      <c r="K1885" s="54">
        <f>IF($B1885=0,NA(),IF($E1885="",NA(),IF(E$8="",NA(),IF(N(E$8)=0,NA(),IF(Inputs!$C$17="Rebased to 100",$E1885/E$8*100,$E1885)))))</f>
        <v/>
      </c>
      <c r="L1885" s="54">
        <f>IF($B1885=0,NA(),IF($F1885="",NA(),IF(F$8="",NA(),IF(N(F$8)=0,NA(),IF(Inputs!$C$17="Rebased to 100",$F1885/F$8*100,$F1885)))))</f>
        <v/>
      </c>
      <c r="M1885" s="54">
        <f>IF($B1885=0,NA(),IF($G1885="",NA(),IF(G$8="",NA(),IF(N(G$8)=0,NA(),IF(Inputs!$C$17="Rebased to 100",$G1885/G$8*100,$G1885)))))</f>
        <v/>
      </c>
      <c r="N1885" s="54">
        <f>IF($B1885=0,NA(),IF(Inputs!$C$18&lt;&gt;"Yes",NA(),IF(COUNT(I1885,J1885,K1885,L1885,M1885)=0,NA(),MIN(I1885,J1885,K1885,L1885,M1885))))</f>
        <v/>
      </c>
      <c r="O1885" s="54">
        <f>IF($B1885=0,NA(),IF(Inputs!$B$24&lt;&gt;"Yes",NA(),Inputs!$D$24*Inputs!$C$35))</f>
        <v/>
      </c>
      <c r="P1885" s="54">
        <f>IF($B1885=0,NA(),IF(Inputs!$B$25&lt;&gt;"Yes",NA(),Inputs!$D$25*Inputs!$C$35))</f>
        <v/>
      </c>
      <c r="Q1885" s="54">
        <f>IF($B1885=0,NA(),IF(Inputs!$B$26&lt;&gt;"Yes",NA(),Inputs!$D$26*Inputs!$C$35))</f>
        <v/>
      </c>
      <c r="R1885" s="54">
        <f>IF($B1885=0,NA(),IF(Inputs!$B$27&lt;&gt;"Yes",NA(),Inputs!$D$27*Inputs!$C$35))</f>
        <v/>
      </c>
      <c r="S1885" s="54">
        <f>IF($B1885=0,NA(),IF(Inputs!$B$28&lt;&gt;"Yes",NA(),Inputs!$D$28*Inputs!$C$35))</f>
        <v/>
      </c>
      <c r="T1885" s="54">
        <f>IF($B1885=0,NA(),IF(Inputs!$B$29&lt;&gt;"Yes",NA(),Inputs!$D$29*Inputs!$C$35))</f>
        <v/>
      </c>
      <c r="AD1885">
        <f>IF($B1885=0,0,IF(Inputs!$B$6="",0,COUNTIFS(Data!$A$10:$A$3209,"&gt;="&amp;$A1885,Data!$A$10:$A$3209,"&lt;"&amp;$A1885+1)))</f>
        <v/>
      </c>
      <c r="AE1885">
        <f>IF($B1885=0,0,IF(Inputs!$B$7="",0,COUNTIFS(Data!$E$10:$E$3209,"&gt;="&amp;$A1885,Data!$E$10:$E$3209,"&lt;"&amp;$A1885+1)))</f>
        <v/>
      </c>
      <c r="AF1885">
        <f>IF($B1885=0,0,IF(Inputs!$B$8="",0,COUNTIFS(Data!$I$10:$I$3209,"&gt;="&amp;$A1885,Data!$I$10:$I$3209,"&lt;"&amp;$A1885+1)))</f>
        <v/>
      </c>
      <c r="AG1885">
        <f>IF($B1885=0,0,IF(Inputs!$B$9="",0,COUNTIFS(Data!$M$10:$M$3209,"&gt;="&amp;$A1885,Data!$M$10:$M$3209,"&lt;"&amp;$A1885+1)))</f>
        <v/>
      </c>
      <c r="AH1885">
        <f>IF($B1885=0,0,IF(Inputs!$B$10="",0,COUNTIFS(Data!$Q$10:$Q$3209,"&gt;="&amp;$A1885,Data!$Q$10:$Q$3209,"&lt;"&amp;$A1885+1)))</f>
        <v/>
      </c>
    </row>
    <row r="1886">
      <c r="A1886" s="55">
        <f>MIN(Inputs!$C$15,$A1885+IF(WEEKDAY($A1885,2)=5,3,1))</f>
        <v/>
      </c>
      <c r="B1886">
        <f>IF($A1886&gt;$A1885,1,0)</f>
        <v/>
      </c>
      <c r="C1886" s="56">
        <f>IF($B1886=0,"",IF(Inputs!$B$6="","",IF($AD1886=0,C1885,SUMIFS(Data!$B$10:$B$3209,Data!$A$10:$A$3209,"&gt;="&amp;$A1886,Data!$A$10:$A$3209,"&lt;"&amp;$A1886+1)/$AD1886)))</f>
        <v/>
      </c>
      <c r="D1886" s="56">
        <f>IF($B1886=0,"",IF(Inputs!$B$7="","",IF($AE1886=0,D1885,SUMIFS(Data!$F$10:$F$3209,Data!$E$10:$E$3209,"&gt;="&amp;$A1886,Data!$E$10:$E$3209,"&lt;"&amp;$A1886+1)/$AE1886)))</f>
        <v/>
      </c>
      <c r="E1886" s="56">
        <f>IF($B1886=0,"",IF(Inputs!$B$8="","",IF($AF1886=0,E1885,SUMIFS(Data!$J$10:$J$3209,Data!$I$10:$I$3209,"&gt;="&amp;$A1886,Data!$I$10:$I$3209,"&lt;"&amp;$A1886+1)/$AF1886)))</f>
        <v/>
      </c>
      <c r="F1886" s="56">
        <f>IF($B1886=0,"",IF(Inputs!$B$9="","",IF($AG1886=0,F1885,SUMIFS(Data!$N$10:$N$3209,Data!$M$10:$M$3209,"&gt;="&amp;$A1886,Data!$M$10:$M$3209,"&lt;"&amp;$A1886+1)/$AG1886)))</f>
        <v/>
      </c>
      <c r="G1886" s="56">
        <f>IF($B1886=0,"",IF(Inputs!$B$10="","",IF($AH1886=0,G1885,SUMIFS(Data!$R$10:$R$3209,Data!$Q$10:$Q$3209,"&gt;="&amp;$A1886,Data!$Q$10:$Q$3209,"&lt;"&amp;$A1886+1)/$AH1886)))</f>
        <v/>
      </c>
      <c r="I1886" s="54">
        <f>IF($B1886=0,NA(),IF($C1886="",NA(),IF(C$8="",NA(),IF(N(C$8)=0,NA(),IF(Inputs!$C$17="Rebased to 100",$C1886/C$8*100,$C1886)))))</f>
        <v/>
      </c>
      <c r="J1886" s="54">
        <f>IF($B1886=0,NA(),IF($D1886="",NA(),IF(D$8="",NA(),IF(N(D$8)=0,NA(),IF(Inputs!$C$17="Rebased to 100",$D1886/D$8*100,$D1886)))))</f>
        <v/>
      </c>
      <c r="K1886" s="54">
        <f>IF($B1886=0,NA(),IF($E1886="",NA(),IF(E$8="",NA(),IF(N(E$8)=0,NA(),IF(Inputs!$C$17="Rebased to 100",$E1886/E$8*100,$E1886)))))</f>
        <v/>
      </c>
      <c r="L1886" s="54">
        <f>IF($B1886=0,NA(),IF($F1886="",NA(),IF(F$8="",NA(),IF(N(F$8)=0,NA(),IF(Inputs!$C$17="Rebased to 100",$F1886/F$8*100,$F1886)))))</f>
        <v/>
      </c>
      <c r="M1886" s="54">
        <f>IF($B1886=0,NA(),IF($G1886="",NA(),IF(G$8="",NA(),IF(N(G$8)=0,NA(),IF(Inputs!$C$17="Rebased to 100",$G1886/G$8*100,$G1886)))))</f>
        <v/>
      </c>
      <c r="N1886" s="54">
        <f>IF($B1886=0,NA(),IF(Inputs!$C$18&lt;&gt;"Yes",NA(),IF(COUNT(I1886,J1886,K1886,L1886,M1886)=0,NA(),MIN(I1886,J1886,K1886,L1886,M1886))))</f>
        <v/>
      </c>
      <c r="O1886" s="54">
        <f>IF($B1886=0,NA(),IF(Inputs!$B$24&lt;&gt;"Yes",NA(),Inputs!$D$24*Inputs!$C$35))</f>
        <v/>
      </c>
      <c r="P1886" s="54">
        <f>IF($B1886=0,NA(),IF(Inputs!$B$25&lt;&gt;"Yes",NA(),Inputs!$D$25*Inputs!$C$35))</f>
        <v/>
      </c>
      <c r="Q1886" s="54">
        <f>IF($B1886=0,NA(),IF(Inputs!$B$26&lt;&gt;"Yes",NA(),Inputs!$D$26*Inputs!$C$35))</f>
        <v/>
      </c>
      <c r="R1886" s="54">
        <f>IF($B1886=0,NA(),IF(Inputs!$B$27&lt;&gt;"Yes",NA(),Inputs!$D$27*Inputs!$C$35))</f>
        <v/>
      </c>
      <c r="S1886" s="54">
        <f>IF($B1886=0,NA(),IF(Inputs!$B$28&lt;&gt;"Yes",NA(),Inputs!$D$28*Inputs!$C$35))</f>
        <v/>
      </c>
      <c r="T1886" s="54">
        <f>IF($B1886=0,NA(),IF(Inputs!$B$29&lt;&gt;"Yes",NA(),Inputs!$D$29*Inputs!$C$35))</f>
        <v/>
      </c>
      <c r="AD1886">
        <f>IF($B1886=0,0,IF(Inputs!$B$6="",0,COUNTIFS(Data!$A$10:$A$3209,"&gt;="&amp;$A1886,Data!$A$10:$A$3209,"&lt;"&amp;$A1886+1)))</f>
        <v/>
      </c>
      <c r="AE1886">
        <f>IF($B1886=0,0,IF(Inputs!$B$7="",0,COUNTIFS(Data!$E$10:$E$3209,"&gt;="&amp;$A1886,Data!$E$10:$E$3209,"&lt;"&amp;$A1886+1)))</f>
        <v/>
      </c>
      <c r="AF1886">
        <f>IF($B1886=0,0,IF(Inputs!$B$8="",0,COUNTIFS(Data!$I$10:$I$3209,"&gt;="&amp;$A1886,Data!$I$10:$I$3209,"&lt;"&amp;$A1886+1)))</f>
        <v/>
      </c>
      <c r="AG1886">
        <f>IF($B1886=0,0,IF(Inputs!$B$9="",0,COUNTIFS(Data!$M$10:$M$3209,"&gt;="&amp;$A1886,Data!$M$10:$M$3209,"&lt;"&amp;$A1886+1)))</f>
        <v/>
      </c>
      <c r="AH1886">
        <f>IF($B1886=0,0,IF(Inputs!$B$10="",0,COUNTIFS(Data!$Q$10:$Q$3209,"&gt;="&amp;$A1886,Data!$Q$10:$Q$3209,"&lt;"&amp;$A1886+1)))</f>
        <v/>
      </c>
    </row>
    <row r="1887">
      <c r="A1887" s="55">
        <f>MIN(Inputs!$C$15,$A1886+IF(WEEKDAY($A1886,2)=5,3,1))</f>
        <v/>
      </c>
      <c r="B1887">
        <f>IF($A1887&gt;$A1886,1,0)</f>
        <v/>
      </c>
      <c r="C1887" s="56">
        <f>IF($B1887=0,"",IF(Inputs!$B$6="","",IF($AD1887=0,C1886,SUMIFS(Data!$B$10:$B$3209,Data!$A$10:$A$3209,"&gt;="&amp;$A1887,Data!$A$10:$A$3209,"&lt;"&amp;$A1887+1)/$AD1887)))</f>
        <v/>
      </c>
      <c r="D1887" s="56">
        <f>IF($B1887=0,"",IF(Inputs!$B$7="","",IF($AE1887=0,D1886,SUMIFS(Data!$F$10:$F$3209,Data!$E$10:$E$3209,"&gt;="&amp;$A1887,Data!$E$10:$E$3209,"&lt;"&amp;$A1887+1)/$AE1887)))</f>
        <v/>
      </c>
      <c r="E1887" s="56">
        <f>IF($B1887=0,"",IF(Inputs!$B$8="","",IF($AF1887=0,E1886,SUMIFS(Data!$J$10:$J$3209,Data!$I$10:$I$3209,"&gt;="&amp;$A1887,Data!$I$10:$I$3209,"&lt;"&amp;$A1887+1)/$AF1887)))</f>
        <v/>
      </c>
      <c r="F1887" s="56">
        <f>IF($B1887=0,"",IF(Inputs!$B$9="","",IF($AG1887=0,F1886,SUMIFS(Data!$N$10:$N$3209,Data!$M$10:$M$3209,"&gt;="&amp;$A1887,Data!$M$10:$M$3209,"&lt;"&amp;$A1887+1)/$AG1887)))</f>
        <v/>
      </c>
      <c r="G1887" s="56">
        <f>IF($B1887=0,"",IF(Inputs!$B$10="","",IF($AH1887=0,G1886,SUMIFS(Data!$R$10:$R$3209,Data!$Q$10:$Q$3209,"&gt;="&amp;$A1887,Data!$Q$10:$Q$3209,"&lt;"&amp;$A1887+1)/$AH1887)))</f>
        <v/>
      </c>
      <c r="I1887" s="54">
        <f>IF($B1887=0,NA(),IF($C1887="",NA(),IF(C$8="",NA(),IF(N(C$8)=0,NA(),IF(Inputs!$C$17="Rebased to 100",$C1887/C$8*100,$C1887)))))</f>
        <v/>
      </c>
      <c r="J1887" s="54">
        <f>IF($B1887=0,NA(),IF($D1887="",NA(),IF(D$8="",NA(),IF(N(D$8)=0,NA(),IF(Inputs!$C$17="Rebased to 100",$D1887/D$8*100,$D1887)))))</f>
        <v/>
      </c>
      <c r="K1887" s="54">
        <f>IF($B1887=0,NA(),IF($E1887="",NA(),IF(E$8="",NA(),IF(N(E$8)=0,NA(),IF(Inputs!$C$17="Rebased to 100",$E1887/E$8*100,$E1887)))))</f>
        <v/>
      </c>
      <c r="L1887" s="54">
        <f>IF($B1887=0,NA(),IF($F1887="",NA(),IF(F$8="",NA(),IF(N(F$8)=0,NA(),IF(Inputs!$C$17="Rebased to 100",$F1887/F$8*100,$F1887)))))</f>
        <v/>
      </c>
      <c r="M1887" s="54">
        <f>IF($B1887=0,NA(),IF($G1887="",NA(),IF(G$8="",NA(),IF(N(G$8)=0,NA(),IF(Inputs!$C$17="Rebased to 100",$G1887/G$8*100,$G1887)))))</f>
        <v/>
      </c>
      <c r="N1887" s="54">
        <f>IF($B1887=0,NA(),IF(Inputs!$C$18&lt;&gt;"Yes",NA(),IF(COUNT(I1887,J1887,K1887,L1887,M1887)=0,NA(),MIN(I1887,J1887,K1887,L1887,M1887))))</f>
        <v/>
      </c>
      <c r="O1887" s="54">
        <f>IF($B1887=0,NA(),IF(Inputs!$B$24&lt;&gt;"Yes",NA(),Inputs!$D$24*Inputs!$C$35))</f>
        <v/>
      </c>
      <c r="P1887" s="54">
        <f>IF($B1887=0,NA(),IF(Inputs!$B$25&lt;&gt;"Yes",NA(),Inputs!$D$25*Inputs!$C$35))</f>
        <v/>
      </c>
      <c r="Q1887" s="54">
        <f>IF($B1887=0,NA(),IF(Inputs!$B$26&lt;&gt;"Yes",NA(),Inputs!$D$26*Inputs!$C$35))</f>
        <v/>
      </c>
      <c r="R1887" s="54">
        <f>IF($B1887=0,NA(),IF(Inputs!$B$27&lt;&gt;"Yes",NA(),Inputs!$D$27*Inputs!$C$35))</f>
        <v/>
      </c>
      <c r="S1887" s="54">
        <f>IF($B1887=0,NA(),IF(Inputs!$B$28&lt;&gt;"Yes",NA(),Inputs!$D$28*Inputs!$C$35))</f>
        <v/>
      </c>
      <c r="T1887" s="54">
        <f>IF($B1887=0,NA(),IF(Inputs!$B$29&lt;&gt;"Yes",NA(),Inputs!$D$29*Inputs!$C$35))</f>
        <v/>
      </c>
      <c r="AD1887">
        <f>IF($B1887=0,0,IF(Inputs!$B$6="",0,COUNTIFS(Data!$A$10:$A$3209,"&gt;="&amp;$A1887,Data!$A$10:$A$3209,"&lt;"&amp;$A1887+1)))</f>
        <v/>
      </c>
      <c r="AE1887">
        <f>IF($B1887=0,0,IF(Inputs!$B$7="",0,COUNTIFS(Data!$E$10:$E$3209,"&gt;="&amp;$A1887,Data!$E$10:$E$3209,"&lt;"&amp;$A1887+1)))</f>
        <v/>
      </c>
      <c r="AF1887">
        <f>IF($B1887=0,0,IF(Inputs!$B$8="",0,COUNTIFS(Data!$I$10:$I$3209,"&gt;="&amp;$A1887,Data!$I$10:$I$3209,"&lt;"&amp;$A1887+1)))</f>
        <v/>
      </c>
      <c r="AG1887">
        <f>IF($B1887=0,0,IF(Inputs!$B$9="",0,COUNTIFS(Data!$M$10:$M$3209,"&gt;="&amp;$A1887,Data!$M$10:$M$3209,"&lt;"&amp;$A1887+1)))</f>
        <v/>
      </c>
      <c r="AH1887">
        <f>IF($B1887=0,0,IF(Inputs!$B$10="",0,COUNTIFS(Data!$Q$10:$Q$3209,"&gt;="&amp;$A1887,Data!$Q$10:$Q$3209,"&lt;"&amp;$A1887+1)))</f>
        <v/>
      </c>
    </row>
    <row r="1888">
      <c r="A1888" s="55">
        <f>MIN(Inputs!$C$15,$A1887+IF(WEEKDAY($A1887,2)=5,3,1))</f>
        <v/>
      </c>
      <c r="B1888">
        <f>IF($A1888&gt;$A1887,1,0)</f>
        <v/>
      </c>
      <c r="C1888" s="56">
        <f>IF($B1888=0,"",IF(Inputs!$B$6="","",IF($AD1888=0,C1887,SUMIFS(Data!$B$10:$B$3209,Data!$A$10:$A$3209,"&gt;="&amp;$A1888,Data!$A$10:$A$3209,"&lt;"&amp;$A1888+1)/$AD1888)))</f>
        <v/>
      </c>
      <c r="D1888" s="56">
        <f>IF($B1888=0,"",IF(Inputs!$B$7="","",IF($AE1888=0,D1887,SUMIFS(Data!$F$10:$F$3209,Data!$E$10:$E$3209,"&gt;="&amp;$A1888,Data!$E$10:$E$3209,"&lt;"&amp;$A1888+1)/$AE1888)))</f>
        <v/>
      </c>
      <c r="E1888" s="56">
        <f>IF($B1888=0,"",IF(Inputs!$B$8="","",IF($AF1888=0,E1887,SUMIFS(Data!$J$10:$J$3209,Data!$I$10:$I$3209,"&gt;="&amp;$A1888,Data!$I$10:$I$3209,"&lt;"&amp;$A1888+1)/$AF1888)))</f>
        <v/>
      </c>
      <c r="F1888" s="56">
        <f>IF($B1888=0,"",IF(Inputs!$B$9="","",IF($AG1888=0,F1887,SUMIFS(Data!$N$10:$N$3209,Data!$M$10:$M$3209,"&gt;="&amp;$A1888,Data!$M$10:$M$3209,"&lt;"&amp;$A1888+1)/$AG1888)))</f>
        <v/>
      </c>
      <c r="G1888" s="56">
        <f>IF($B1888=0,"",IF(Inputs!$B$10="","",IF($AH1888=0,G1887,SUMIFS(Data!$R$10:$R$3209,Data!$Q$10:$Q$3209,"&gt;="&amp;$A1888,Data!$Q$10:$Q$3209,"&lt;"&amp;$A1888+1)/$AH1888)))</f>
        <v/>
      </c>
      <c r="I1888" s="54">
        <f>IF($B1888=0,NA(),IF($C1888="",NA(),IF(C$8="",NA(),IF(N(C$8)=0,NA(),IF(Inputs!$C$17="Rebased to 100",$C1888/C$8*100,$C1888)))))</f>
        <v/>
      </c>
      <c r="J1888" s="54">
        <f>IF($B1888=0,NA(),IF($D1888="",NA(),IF(D$8="",NA(),IF(N(D$8)=0,NA(),IF(Inputs!$C$17="Rebased to 100",$D1888/D$8*100,$D1888)))))</f>
        <v/>
      </c>
      <c r="K1888" s="54">
        <f>IF($B1888=0,NA(),IF($E1888="",NA(),IF(E$8="",NA(),IF(N(E$8)=0,NA(),IF(Inputs!$C$17="Rebased to 100",$E1888/E$8*100,$E1888)))))</f>
        <v/>
      </c>
      <c r="L1888" s="54">
        <f>IF($B1888=0,NA(),IF($F1888="",NA(),IF(F$8="",NA(),IF(N(F$8)=0,NA(),IF(Inputs!$C$17="Rebased to 100",$F1888/F$8*100,$F1888)))))</f>
        <v/>
      </c>
      <c r="M1888" s="54">
        <f>IF($B1888=0,NA(),IF($G1888="",NA(),IF(G$8="",NA(),IF(N(G$8)=0,NA(),IF(Inputs!$C$17="Rebased to 100",$G1888/G$8*100,$G1888)))))</f>
        <v/>
      </c>
      <c r="N1888" s="54">
        <f>IF($B1888=0,NA(),IF(Inputs!$C$18&lt;&gt;"Yes",NA(),IF(COUNT(I1888,J1888,K1888,L1888,M1888)=0,NA(),MIN(I1888,J1888,K1888,L1888,M1888))))</f>
        <v/>
      </c>
      <c r="O1888" s="54">
        <f>IF($B1888=0,NA(),IF(Inputs!$B$24&lt;&gt;"Yes",NA(),Inputs!$D$24*Inputs!$C$35))</f>
        <v/>
      </c>
      <c r="P1888" s="54">
        <f>IF($B1888=0,NA(),IF(Inputs!$B$25&lt;&gt;"Yes",NA(),Inputs!$D$25*Inputs!$C$35))</f>
        <v/>
      </c>
      <c r="Q1888" s="54">
        <f>IF($B1888=0,NA(),IF(Inputs!$B$26&lt;&gt;"Yes",NA(),Inputs!$D$26*Inputs!$C$35))</f>
        <v/>
      </c>
      <c r="R1888" s="54">
        <f>IF($B1888=0,NA(),IF(Inputs!$B$27&lt;&gt;"Yes",NA(),Inputs!$D$27*Inputs!$C$35))</f>
        <v/>
      </c>
      <c r="S1888" s="54">
        <f>IF($B1888=0,NA(),IF(Inputs!$B$28&lt;&gt;"Yes",NA(),Inputs!$D$28*Inputs!$C$35))</f>
        <v/>
      </c>
      <c r="T1888" s="54">
        <f>IF($B1888=0,NA(),IF(Inputs!$B$29&lt;&gt;"Yes",NA(),Inputs!$D$29*Inputs!$C$35))</f>
        <v/>
      </c>
      <c r="AD1888">
        <f>IF($B1888=0,0,IF(Inputs!$B$6="",0,COUNTIFS(Data!$A$10:$A$3209,"&gt;="&amp;$A1888,Data!$A$10:$A$3209,"&lt;"&amp;$A1888+1)))</f>
        <v/>
      </c>
      <c r="AE1888">
        <f>IF($B1888=0,0,IF(Inputs!$B$7="",0,COUNTIFS(Data!$E$10:$E$3209,"&gt;="&amp;$A1888,Data!$E$10:$E$3209,"&lt;"&amp;$A1888+1)))</f>
        <v/>
      </c>
      <c r="AF1888">
        <f>IF($B1888=0,0,IF(Inputs!$B$8="",0,COUNTIFS(Data!$I$10:$I$3209,"&gt;="&amp;$A1888,Data!$I$10:$I$3209,"&lt;"&amp;$A1888+1)))</f>
        <v/>
      </c>
      <c r="AG1888">
        <f>IF($B1888=0,0,IF(Inputs!$B$9="",0,COUNTIFS(Data!$M$10:$M$3209,"&gt;="&amp;$A1888,Data!$M$10:$M$3209,"&lt;"&amp;$A1888+1)))</f>
        <v/>
      </c>
      <c r="AH1888">
        <f>IF($B1888=0,0,IF(Inputs!$B$10="",0,COUNTIFS(Data!$Q$10:$Q$3209,"&gt;="&amp;$A1888,Data!$Q$10:$Q$3209,"&lt;"&amp;$A1888+1)))</f>
        <v/>
      </c>
    </row>
    <row r="1889">
      <c r="A1889" s="55">
        <f>MIN(Inputs!$C$15,$A1888+IF(WEEKDAY($A1888,2)=5,3,1))</f>
        <v/>
      </c>
      <c r="B1889">
        <f>IF($A1889&gt;$A1888,1,0)</f>
        <v/>
      </c>
      <c r="C1889" s="56">
        <f>IF($B1889=0,"",IF(Inputs!$B$6="","",IF($AD1889=0,C1888,SUMIFS(Data!$B$10:$B$3209,Data!$A$10:$A$3209,"&gt;="&amp;$A1889,Data!$A$10:$A$3209,"&lt;"&amp;$A1889+1)/$AD1889)))</f>
        <v/>
      </c>
      <c r="D1889" s="56">
        <f>IF($B1889=0,"",IF(Inputs!$B$7="","",IF($AE1889=0,D1888,SUMIFS(Data!$F$10:$F$3209,Data!$E$10:$E$3209,"&gt;="&amp;$A1889,Data!$E$10:$E$3209,"&lt;"&amp;$A1889+1)/$AE1889)))</f>
        <v/>
      </c>
      <c r="E1889" s="56">
        <f>IF($B1889=0,"",IF(Inputs!$B$8="","",IF($AF1889=0,E1888,SUMIFS(Data!$J$10:$J$3209,Data!$I$10:$I$3209,"&gt;="&amp;$A1889,Data!$I$10:$I$3209,"&lt;"&amp;$A1889+1)/$AF1889)))</f>
        <v/>
      </c>
      <c r="F1889" s="56">
        <f>IF($B1889=0,"",IF(Inputs!$B$9="","",IF($AG1889=0,F1888,SUMIFS(Data!$N$10:$N$3209,Data!$M$10:$M$3209,"&gt;="&amp;$A1889,Data!$M$10:$M$3209,"&lt;"&amp;$A1889+1)/$AG1889)))</f>
        <v/>
      </c>
      <c r="G1889" s="56">
        <f>IF($B1889=0,"",IF(Inputs!$B$10="","",IF($AH1889=0,G1888,SUMIFS(Data!$R$10:$R$3209,Data!$Q$10:$Q$3209,"&gt;="&amp;$A1889,Data!$Q$10:$Q$3209,"&lt;"&amp;$A1889+1)/$AH1889)))</f>
        <v/>
      </c>
      <c r="I1889" s="54">
        <f>IF($B1889=0,NA(),IF($C1889="",NA(),IF(C$8="",NA(),IF(N(C$8)=0,NA(),IF(Inputs!$C$17="Rebased to 100",$C1889/C$8*100,$C1889)))))</f>
        <v/>
      </c>
      <c r="J1889" s="54">
        <f>IF($B1889=0,NA(),IF($D1889="",NA(),IF(D$8="",NA(),IF(N(D$8)=0,NA(),IF(Inputs!$C$17="Rebased to 100",$D1889/D$8*100,$D1889)))))</f>
        <v/>
      </c>
      <c r="K1889" s="54">
        <f>IF($B1889=0,NA(),IF($E1889="",NA(),IF(E$8="",NA(),IF(N(E$8)=0,NA(),IF(Inputs!$C$17="Rebased to 100",$E1889/E$8*100,$E1889)))))</f>
        <v/>
      </c>
      <c r="L1889" s="54">
        <f>IF($B1889=0,NA(),IF($F1889="",NA(),IF(F$8="",NA(),IF(N(F$8)=0,NA(),IF(Inputs!$C$17="Rebased to 100",$F1889/F$8*100,$F1889)))))</f>
        <v/>
      </c>
      <c r="M1889" s="54">
        <f>IF($B1889=0,NA(),IF($G1889="",NA(),IF(G$8="",NA(),IF(N(G$8)=0,NA(),IF(Inputs!$C$17="Rebased to 100",$G1889/G$8*100,$G1889)))))</f>
        <v/>
      </c>
      <c r="N1889" s="54">
        <f>IF($B1889=0,NA(),IF(Inputs!$C$18&lt;&gt;"Yes",NA(),IF(COUNT(I1889,J1889,K1889,L1889,M1889)=0,NA(),MIN(I1889,J1889,K1889,L1889,M1889))))</f>
        <v/>
      </c>
      <c r="O1889" s="54">
        <f>IF($B1889=0,NA(),IF(Inputs!$B$24&lt;&gt;"Yes",NA(),Inputs!$D$24*Inputs!$C$35))</f>
        <v/>
      </c>
      <c r="P1889" s="54">
        <f>IF($B1889=0,NA(),IF(Inputs!$B$25&lt;&gt;"Yes",NA(),Inputs!$D$25*Inputs!$C$35))</f>
        <v/>
      </c>
      <c r="Q1889" s="54">
        <f>IF($B1889=0,NA(),IF(Inputs!$B$26&lt;&gt;"Yes",NA(),Inputs!$D$26*Inputs!$C$35))</f>
        <v/>
      </c>
      <c r="R1889" s="54">
        <f>IF($B1889=0,NA(),IF(Inputs!$B$27&lt;&gt;"Yes",NA(),Inputs!$D$27*Inputs!$C$35))</f>
        <v/>
      </c>
      <c r="S1889" s="54">
        <f>IF($B1889=0,NA(),IF(Inputs!$B$28&lt;&gt;"Yes",NA(),Inputs!$D$28*Inputs!$C$35))</f>
        <v/>
      </c>
      <c r="T1889" s="54">
        <f>IF($B1889=0,NA(),IF(Inputs!$B$29&lt;&gt;"Yes",NA(),Inputs!$D$29*Inputs!$C$35))</f>
        <v/>
      </c>
      <c r="AD1889">
        <f>IF($B1889=0,0,IF(Inputs!$B$6="",0,COUNTIFS(Data!$A$10:$A$3209,"&gt;="&amp;$A1889,Data!$A$10:$A$3209,"&lt;"&amp;$A1889+1)))</f>
        <v/>
      </c>
      <c r="AE1889">
        <f>IF($B1889=0,0,IF(Inputs!$B$7="",0,COUNTIFS(Data!$E$10:$E$3209,"&gt;="&amp;$A1889,Data!$E$10:$E$3209,"&lt;"&amp;$A1889+1)))</f>
        <v/>
      </c>
      <c r="AF1889">
        <f>IF($B1889=0,0,IF(Inputs!$B$8="",0,COUNTIFS(Data!$I$10:$I$3209,"&gt;="&amp;$A1889,Data!$I$10:$I$3209,"&lt;"&amp;$A1889+1)))</f>
        <v/>
      </c>
      <c r="AG1889">
        <f>IF($B1889=0,0,IF(Inputs!$B$9="",0,COUNTIFS(Data!$M$10:$M$3209,"&gt;="&amp;$A1889,Data!$M$10:$M$3209,"&lt;"&amp;$A1889+1)))</f>
        <v/>
      </c>
      <c r="AH1889">
        <f>IF($B1889=0,0,IF(Inputs!$B$10="",0,COUNTIFS(Data!$Q$10:$Q$3209,"&gt;="&amp;$A1889,Data!$Q$10:$Q$3209,"&lt;"&amp;$A1889+1)))</f>
        <v/>
      </c>
    </row>
    <row r="1890">
      <c r="A1890" s="55">
        <f>MIN(Inputs!$C$15,$A1889+IF(WEEKDAY($A1889,2)=5,3,1))</f>
        <v/>
      </c>
      <c r="B1890">
        <f>IF($A1890&gt;$A1889,1,0)</f>
        <v/>
      </c>
      <c r="C1890" s="56">
        <f>IF($B1890=0,"",IF(Inputs!$B$6="","",IF($AD1890=0,C1889,SUMIFS(Data!$B$10:$B$3209,Data!$A$10:$A$3209,"&gt;="&amp;$A1890,Data!$A$10:$A$3209,"&lt;"&amp;$A1890+1)/$AD1890)))</f>
        <v/>
      </c>
      <c r="D1890" s="56">
        <f>IF($B1890=0,"",IF(Inputs!$B$7="","",IF($AE1890=0,D1889,SUMIFS(Data!$F$10:$F$3209,Data!$E$10:$E$3209,"&gt;="&amp;$A1890,Data!$E$10:$E$3209,"&lt;"&amp;$A1890+1)/$AE1890)))</f>
        <v/>
      </c>
      <c r="E1890" s="56">
        <f>IF($B1890=0,"",IF(Inputs!$B$8="","",IF($AF1890=0,E1889,SUMIFS(Data!$J$10:$J$3209,Data!$I$10:$I$3209,"&gt;="&amp;$A1890,Data!$I$10:$I$3209,"&lt;"&amp;$A1890+1)/$AF1890)))</f>
        <v/>
      </c>
      <c r="F1890" s="56">
        <f>IF($B1890=0,"",IF(Inputs!$B$9="","",IF($AG1890=0,F1889,SUMIFS(Data!$N$10:$N$3209,Data!$M$10:$M$3209,"&gt;="&amp;$A1890,Data!$M$10:$M$3209,"&lt;"&amp;$A1890+1)/$AG1890)))</f>
        <v/>
      </c>
      <c r="G1890" s="56">
        <f>IF($B1890=0,"",IF(Inputs!$B$10="","",IF($AH1890=0,G1889,SUMIFS(Data!$R$10:$R$3209,Data!$Q$10:$Q$3209,"&gt;="&amp;$A1890,Data!$Q$10:$Q$3209,"&lt;"&amp;$A1890+1)/$AH1890)))</f>
        <v/>
      </c>
      <c r="I1890" s="54">
        <f>IF($B1890=0,NA(),IF($C1890="",NA(),IF(C$8="",NA(),IF(N(C$8)=0,NA(),IF(Inputs!$C$17="Rebased to 100",$C1890/C$8*100,$C1890)))))</f>
        <v/>
      </c>
      <c r="J1890" s="54">
        <f>IF($B1890=0,NA(),IF($D1890="",NA(),IF(D$8="",NA(),IF(N(D$8)=0,NA(),IF(Inputs!$C$17="Rebased to 100",$D1890/D$8*100,$D1890)))))</f>
        <v/>
      </c>
      <c r="K1890" s="54">
        <f>IF($B1890=0,NA(),IF($E1890="",NA(),IF(E$8="",NA(),IF(N(E$8)=0,NA(),IF(Inputs!$C$17="Rebased to 100",$E1890/E$8*100,$E1890)))))</f>
        <v/>
      </c>
      <c r="L1890" s="54">
        <f>IF($B1890=0,NA(),IF($F1890="",NA(),IF(F$8="",NA(),IF(N(F$8)=0,NA(),IF(Inputs!$C$17="Rebased to 100",$F1890/F$8*100,$F1890)))))</f>
        <v/>
      </c>
      <c r="M1890" s="54">
        <f>IF($B1890=0,NA(),IF($G1890="",NA(),IF(G$8="",NA(),IF(N(G$8)=0,NA(),IF(Inputs!$C$17="Rebased to 100",$G1890/G$8*100,$G1890)))))</f>
        <v/>
      </c>
      <c r="N1890" s="54">
        <f>IF($B1890=0,NA(),IF(Inputs!$C$18&lt;&gt;"Yes",NA(),IF(COUNT(I1890,J1890,K1890,L1890,M1890)=0,NA(),MIN(I1890,J1890,K1890,L1890,M1890))))</f>
        <v/>
      </c>
      <c r="O1890" s="54">
        <f>IF($B1890=0,NA(),IF(Inputs!$B$24&lt;&gt;"Yes",NA(),Inputs!$D$24*Inputs!$C$35))</f>
        <v/>
      </c>
      <c r="P1890" s="54">
        <f>IF($B1890=0,NA(),IF(Inputs!$B$25&lt;&gt;"Yes",NA(),Inputs!$D$25*Inputs!$C$35))</f>
        <v/>
      </c>
      <c r="Q1890" s="54">
        <f>IF($B1890=0,NA(),IF(Inputs!$B$26&lt;&gt;"Yes",NA(),Inputs!$D$26*Inputs!$C$35))</f>
        <v/>
      </c>
      <c r="R1890" s="54">
        <f>IF($B1890=0,NA(),IF(Inputs!$B$27&lt;&gt;"Yes",NA(),Inputs!$D$27*Inputs!$C$35))</f>
        <v/>
      </c>
      <c r="S1890" s="54">
        <f>IF($B1890=0,NA(),IF(Inputs!$B$28&lt;&gt;"Yes",NA(),Inputs!$D$28*Inputs!$C$35))</f>
        <v/>
      </c>
      <c r="T1890" s="54">
        <f>IF($B1890=0,NA(),IF(Inputs!$B$29&lt;&gt;"Yes",NA(),Inputs!$D$29*Inputs!$C$35))</f>
        <v/>
      </c>
      <c r="AD1890">
        <f>IF($B1890=0,0,IF(Inputs!$B$6="",0,COUNTIFS(Data!$A$10:$A$3209,"&gt;="&amp;$A1890,Data!$A$10:$A$3209,"&lt;"&amp;$A1890+1)))</f>
        <v/>
      </c>
      <c r="AE1890">
        <f>IF($B1890=0,0,IF(Inputs!$B$7="",0,COUNTIFS(Data!$E$10:$E$3209,"&gt;="&amp;$A1890,Data!$E$10:$E$3209,"&lt;"&amp;$A1890+1)))</f>
        <v/>
      </c>
      <c r="AF1890">
        <f>IF($B1890=0,0,IF(Inputs!$B$8="",0,COUNTIFS(Data!$I$10:$I$3209,"&gt;="&amp;$A1890,Data!$I$10:$I$3209,"&lt;"&amp;$A1890+1)))</f>
        <v/>
      </c>
      <c r="AG1890">
        <f>IF($B1890=0,0,IF(Inputs!$B$9="",0,COUNTIFS(Data!$M$10:$M$3209,"&gt;="&amp;$A1890,Data!$M$10:$M$3209,"&lt;"&amp;$A1890+1)))</f>
        <v/>
      </c>
      <c r="AH1890">
        <f>IF($B1890=0,0,IF(Inputs!$B$10="",0,COUNTIFS(Data!$Q$10:$Q$3209,"&gt;="&amp;$A1890,Data!$Q$10:$Q$3209,"&lt;"&amp;$A1890+1)))</f>
        <v/>
      </c>
    </row>
    <row r="1891">
      <c r="A1891" s="55">
        <f>MIN(Inputs!$C$15,$A1890+IF(WEEKDAY($A1890,2)=5,3,1))</f>
        <v/>
      </c>
      <c r="B1891">
        <f>IF($A1891&gt;$A1890,1,0)</f>
        <v/>
      </c>
      <c r="C1891" s="56">
        <f>IF($B1891=0,"",IF(Inputs!$B$6="","",IF($AD1891=0,C1890,SUMIFS(Data!$B$10:$B$3209,Data!$A$10:$A$3209,"&gt;="&amp;$A1891,Data!$A$10:$A$3209,"&lt;"&amp;$A1891+1)/$AD1891)))</f>
        <v/>
      </c>
      <c r="D1891" s="56">
        <f>IF($B1891=0,"",IF(Inputs!$B$7="","",IF($AE1891=0,D1890,SUMIFS(Data!$F$10:$F$3209,Data!$E$10:$E$3209,"&gt;="&amp;$A1891,Data!$E$10:$E$3209,"&lt;"&amp;$A1891+1)/$AE1891)))</f>
        <v/>
      </c>
      <c r="E1891" s="56">
        <f>IF($B1891=0,"",IF(Inputs!$B$8="","",IF($AF1891=0,E1890,SUMIFS(Data!$J$10:$J$3209,Data!$I$10:$I$3209,"&gt;="&amp;$A1891,Data!$I$10:$I$3209,"&lt;"&amp;$A1891+1)/$AF1891)))</f>
        <v/>
      </c>
      <c r="F1891" s="56">
        <f>IF($B1891=0,"",IF(Inputs!$B$9="","",IF($AG1891=0,F1890,SUMIFS(Data!$N$10:$N$3209,Data!$M$10:$M$3209,"&gt;="&amp;$A1891,Data!$M$10:$M$3209,"&lt;"&amp;$A1891+1)/$AG1891)))</f>
        <v/>
      </c>
      <c r="G1891" s="56">
        <f>IF($B1891=0,"",IF(Inputs!$B$10="","",IF($AH1891=0,G1890,SUMIFS(Data!$R$10:$R$3209,Data!$Q$10:$Q$3209,"&gt;="&amp;$A1891,Data!$Q$10:$Q$3209,"&lt;"&amp;$A1891+1)/$AH1891)))</f>
        <v/>
      </c>
      <c r="I1891" s="54">
        <f>IF($B1891=0,NA(),IF($C1891="",NA(),IF(C$8="",NA(),IF(N(C$8)=0,NA(),IF(Inputs!$C$17="Rebased to 100",$C1891/C$8*100,$C1891)))))</f>
        <v/>
      </c>
      <c r="J1891" s="54">
        <f>IF($B1891=0,NA(),IF($D1891="",NA(),IF(D$8="",NA(),IF(N(D$8)=0,NA(),IF(Inputs!$C$17="Rebased to 100",$D1891/D$8*100,$D1891)))))</f>
        <v/>
      </c>
      <c r="K1891" s="54">
        <f>IF($B1891=0,NA(),IF($E1891="",NA(),IF(E$8="",NA(),IF(N(E$8)=0,NA(),IF(Inputs!$C$17="Rebased to 100",$E1891/E$8*100,$E1891)))))</f>
        <v/>
      </c>
      <c r="L1891" s="54">
        <f>IF($B1891=0,NA(),IF($F1891="",NA(),IF(F$8="",NA(),IF(N(F$8)=0,NA(),IF(Inputs!$C$17="Rebased to 100",$F1891/F$8*100,$F1891)))))</f>
        <v/>
      </c>
      <c r="M1891" s="54">
        <f>IF($B1891=0,NA(),IF($G1891="",NA(),IF(G$8="",NA(),IF(N(G$8)=0,NA(),IF(Inputs!$C$17="Rebased to 100",$G1891/G$8*100,$G1891)))))</f>
        <v/>
      </c>
      <c r="N1891" s="54">
        <f>IF($B1891=0,NA(),IF(Inputs!$C$18&lt;&gt;"Yes",NA(),IF(COUNT(I1891,J1891,K1891,L1891,M1891)=0,NA(),MIN(I1891,J1891,K1891,L1891,M1891))))</f>
        <v/>
      </c>
      <c r="O1891" s="54">
        <f>IF($B1891=0,NA(),IF(Inputs!$B$24&lt;&gt;"Yes",NA(),Inputs!$D$24*Inputs!$C$35))</f>
        <v/>
      </c>
      <c r="P1891" s="54">
        <f>IF($B1891=0,NA(),IF(Inputs!$B$25&lt;&gt;"Yes",NA(),Inputs!$D$25*Inputs!$C$35))</f>
        <v/>
      </c>
      <c r="Q1891" s="54">
        <f>IF($B1891=0,NA(),IF(Inputs!$B$26&lt;&gt;"Yes",NA(),Inputs!$D$26*Inputs!$C$35))</f>
        <v/>
      </c>
      <c r="R1891" s="54">
        <f>IF($B1891=0,NA(),IF(Inputs!$B$27&lt;&gt;"Yes",NA(),Inputs!$D$27*Inputs!$C$35))</f>
        <v/>
      </c>
      <c r="S1891" s="54">
        <f>IF($B1891=0,NA(),IF(Inputs!$B$28&lt;&gt;"Yes",NA(),Inputs!$D$28*Inputs!$C$35))</f>
        <v/>
      </c>
      <c r="T1891" s="54">
        <f>IF($B1891=0,NA(),IF(Inputs!$B$29&lt;&gt;"Yes",NA(),Inputs!$D$29*Inputs!$C$35))</f>
        <v/>
      </c>
      <c r="AD1891">
        <f>IF($B1891=0,0,IF(Inputs!$B$6="",0,COUNTIFS(Data!$A$10:$A$3209,"&gt;="&amp;$A1891,Data!$A$10:$A$3209,"&lt;"&amp;$A1891+1)))</f>
        <v/>
      </c>
      <c r="AE1891">
        <f>IF($B1891=0,0,IF(Inputs!$B$7="",0,COUNTIFS(Data!$E$10:$E$3209,"&gt;="&amp;$A1891,Data!$E$10:$E$3209,"&lt;"&amp;$A1891+1)))</f>
        <v/>
      </c>
      <c r="AF1891">
        <f>IF($B1891=0,0,IF(Inputs!$B$8="",0,COUNTIFS(Data!$I$10:$I$3209,"&gt;="&amp;$A1891,Data!$I$10:$I$3209,"&lt;"&amp;$A1891+1)))</f>
        <v/>
      </c>
      <c r="AG1891">
        <f>IF($B1891=0,0,IF(Inputs!$B$9="",0,COUNTIFS(Data!$M$10:$M$3209,"&gt;="&amp;$A1891,Data!$M$10:$M$3209,"&lt;"&amp;$A1891+1)))</f>
        <v/>
      </c>
      <c r="AH1891">
        <f>IF($B1891=0,0,IF(Inputs!$B$10="",0,COUNTIFS(Data!$Q$10:$Q$3209,"&gt;="&amp;$A1891,Data!$Q$10:$Q$3209,"&lt;"&amp;$A1891+1)))</f>
        <v/>
      </c>
    </row>
    <row r="1892">
      <c r="A1892" s="55">
        <f>MIN(Inputs!$C$15,$A1891+IF(WEEKDAY($A1891,2)=5,3,1))</f>
        <v/>
      </c>
      <c r="B1892">
        <f>IF($A1892&gt;$A1891,1,0)</f>
        <v/>
      </c>
      <c r="C1892" s="56">
        <f>IF($B1892=0,"",IF(Inputs!$B$6="","",IF($AD1892=0,C1891,SUMIFS(Data!$B$10:$B$3209,Data!$A$10:$A$3209,"&gt;="&amp;$A1892,Data!$A$10:$A$3209,"&lt;"&amp;$A1892+1)/$AD1892)))</f>
        <v/>
      </c>
      <c r="D1892" s="56">
        <f>IF($B1892=0,"",IF(Inputs!$B$7="","",IF($AE1892=0,D1891,SUMIFS(Data!$F$10:$F$3209,Data!$E$10:$E$3209,"&gt;="&amp;$A1892,Data!$E$10:$E$3209,"&lt;"&amp;$A1892+1)/$AE1892)))</f>
        <v/>
      </c>
      <c r="E1892" s="56">
        <f>IF($B1892=0,"",IF(Inputs!$B$8="","",IF($AF1892=0,E1891,SUMIFS(Data!$J$10:$J$3209,Data!$I$10:$I$3209,"&gt;="&amp;$A1892,Data!$I$10:$I$3209,"&lt;"&amp;$A1892+1)/$AF1892)))</f>
        <v/>
      </c>
      <c r="F1892" s="56">
        <f>IF($B1892=0,"",IF(Inputs!$B$9="","",IF($AG1892=0,F1891,SUMIFS(Data!$N$10:$N$3209,Data!$M$10:$M$3209,"&gt;="&amp;$A1892,Data!$M$10:$M$3209,"&lt;"&amp;$A1892+1)/$AG1892)))</f>
        <v/>
      </c>
      <c r="G1892" s="56">
        <f>IF($B1892=0,"",IF(Inputs!$B$10="","",IF($AH1892=0,G1891,SUMIFS(Data!$R$10:$R$3209,Data!$Q$10:$Q$3209,"&gt;="&amp;$A1892,Data!$Q$10:$Q$3209,"&lt;"&amp;$A1892+1)/$AH1892)))</f>
        <v/>
      </c>
      <c r="I1892" s="54">
        <f>IF($B1892=0,NA(),IF($C1892="",NA(),IF(C$8="",NA(),IF(N(C$8)=0,NA(),IF(Inputs!$C$17="Rebased to 100",$C1892/C$8*100,$C1892)))))</f>
        <v/>
      </c>
      <c r="J1892" s="54">
        <f>IF($B1892=0,NA(),IF($D1892="",NA(),IF(D$8="",NA(),IF(N(D$8)=0,NA(),IF(Inputs!$C$17="Rebased to 100",$D1892/D$8*100,$D1892)))))</f>
        <v/>
      </c>
      <c r="K1892" s="54">
        <f>IF($B1892=0,NA(),IF($E1892="",NA(),IF(E$8="",NA(),IF(N(E$8)=0,NA(),IF(Inputs!$C$17="Rebased to 100",$E1892/E$8*100,$E1892)))))</f>
        <v/>
      </c>
      <c r="L1892" s="54">
        <f>IF($B1892=0,NA(),IF($F1892="",NA(),IF(F$8="",NA(),IF(N(F$8)=0,NA(),IF(Inputs!$C$17="Rebased to 100",$F1892/F$8*100,$F1892)))))</f>
        <v/>
      </c>
      <c r="M1892" s="54">
        <f>IF($B1892=0,NA(),IF($G1892="",NA(),IF(G$8="",NA(),IF(N(G$8)=0,NA(),IF(Inputs!$C$17="Rebased to 100",$G1892/G$8*100,$G1892)))))</f>
        <v/>
      </c>
      <c r="N1892" s="54">
        <f>IF($B1892=0,NA(),IF(Inputs!$C$18&lt;&gt;"Yes",NA(),IF(COUNT(I1892,J1892,K1892,L1892,M1892)=0,NA(),MIN(I1892,J1892,K1892,L1892,M1892))))</f>
        <v/>
      </c>
      <c r="O1892" s="54">
        <f>IF($B1892=0,NA(),IF(Inputs!$B$24&lt;&gt;"Yes",NA(),Inputs!$D$24*Inputs!$C$35))</f>
        <v/>
      </c>
      <c r="P1892" s="54">
        <f>IF($B1892=0,NA(),IF(Inputs!$B$25&lt;&gt;"Yes",NA(),Inputs!$D$25*Inputs!$C$35))</f>
        <v/>
      </c>
      <c r="Q1892" s="54">
        <f>IF($B1892=0,NA(),IF(Inputs!$B$26&lt;&gt;"Yes",NA(),Inputs!$D$26*Inputs!$C$35))</f>
        <v/>
      </c>
      <c r="R1892" s="54">
        <f>IF($B1892=0,NA(),IF(Inputs!$B$27&lt;&gt;"Yes",NA(),Inputs!$D$27*Inputs!$C$35))</f>
        <v/>
      </c>
      <c r="S1892" s="54">
        <f>IF($B1892=0,NA(),IF(Inputs!$B$28&lt;&gt;"Yes",NA(),Inputs!$D$28*Inputs!$C$35))</f>
        <v/>
      </c>
      <c r="T1892" s="54">
        <f>IF($B1892=0,NA(),IF(Inputs!$B$29&lt;&gt;"Yes",NA(),Inputs!$D$29*Inputs!$C$35))</f>
        <v/>
      </c>
      <c r="AD1892">
        <f>IF($B1892=0,0,IF(Inputs!$B$6="",0,COUNTIFS(Data!$A$10:$A$3209,"&gt;="&amp;$A1892,Data!$A$10:$A$3209,"&lt;"&amp;$A1892+1)))</f>
        <v/>
      </c>
      <c r="AE1892">
        <f>IF($B1892=0,0,IF(Inputs!$B$7="",0,COUNTIFS(Data!$E$10:$E$3209,"&gt;="&amp;$A1892,Data!$E$10:$E$3209,"&lt;"&amp;$A1892+1)))</f>
        <v/>
      </c>
      <c r="AF1892">
        <f>IF($B1892=0,0,IF(Inputs!$B$8="",0,COUNTIFS(Data!$I$10:$I$3209,"&gt;="&amp;$A1892,Data!$I$10:$I$3209,"&lt;"&amp;$A1892+1)))</f>
        <v/>
      </c>
      <c r="AG1892">
        <f>IF($B1892=0,0,IF(Inputs!$B$9="",0,COUNTIFS(Data!$M$10:$M$3209,"&gt;="&amp;$A1892,Data!$M$10:$M$3209,"&lt;"&amp;$A1892+1)))</f>
        <v/>
      </c>
      <c r="AH1892">
        <f>IF($B1892=0,0,IF(Inputs!$B$10="",0,COUNTIFS(Data!$Q$10:$Q$3209,"&gt;="&amp;$A1892,Data!$Q$10:$Q$3209,"&lt;"&amp;$A1892+1)))</f>
        <v/>
      </c>
    </row>
    <row r="1893">
      <c r="A1893" s="55">
        <f>MIN(Inputs!$C$15,$A1892+IF(WEEKDAY($A1892,2)=5,3,1))</f>
        <v/>
      </c>
      <c r="B1893">
        <f>IF($A1893&gt;$A1892,1,0)</f>
        <v/>
      </c>
      <c r="C1893" s="56">
        <f>IF($B1893=0,"",IF(Inputs!$B$6="","",IF($AD1893=0,C1892,SUMIFS(Data!$B$10:$B$3209,Data!$A$10:$A$3209,"&gt;="&amp;$A1893,Data!$A$10:$A$3209,"&lt;"&amp;$A1893+1)/$AD1893)))</f>
        <v/>
      </c>
      <c r="D1893" s="56">
        <f>IF($B1893=0,"",IF(Inputs!$B$7="","",IF($AE1893=0,D1892,SUMIFS(Data!$F$10:$F$3209,Data!$E$10:$E$3209,"&gt;="&amp;$A1893,Data!$E$10:$E$3209,"&lt;"&amp;$A1893+1)/$AE1893)))</f>
        <v/>
      </c>
      <c r="E1893" s="56">
        <f>IF($B1893=0,"",IF(Inputs!$B$8="","",IF($AF1893=0,E1892,SUMIFS(Data!$J$10:$J$3209,Data!$I$10:$I$3209,"&gt;="&amp;$A1893,Data!$I$10:$I$3209,"&lt;"&amp;$A1893+1)/$AF1893)))</f>
        <v/>
      </c>
      <c r="F1893" s="56">
        <f>IF($B1893=0,"",IF(Inputs!$B$9="","",IF($AG1893=0,F1892,SUMIFS(Data!$N$10:$N$3209,Data!$M$10:$M$3209,"&gt;="&amp;$A1893,Data!$M$10:$M$3209,"&lt;"&amp;$A1893+1)/$AG1893)))</f>
        <v/>
      </c>
      <c r="G1893" s="56">
        <f>IF($B1893=0,"",IF(Inputs!$B$10="","",IF($AH1893=0,G1892,SUMIFS(Data!$R$10:$R$3209,Data!$Q$10:$Q$3209,"&gt;="&amp;$A1893,Data!$Q$10:$Q$3209,"&lt;"&amp;$A1893+1)/$AH1893)))</f>
        <v/>
      </c>
      <c r="I1893" s="54">
        <f>IF($B1893=0,NA(),IF($C1893="",NA(),IF(C$8="",NA(),IF(N(C$8)=0,NA(),IF(Inputs!$C$17="Rebased to 100",$C1893/C$8*100,$C1893)))))</f>
        <v/>
      </c>
      <c r="J1893" s="54">
        <f>IF($B1893=0,NA(),IF($D1893="",NA(),IF(D$8="",NA(),IF(N(D$8)=0,NA(),IF(Inputs!$C$17="Rebased to 100",$D1893/D$8*100,$D1893)))))</f>
        <v/>
      </c>
      <c r="K1893" s="54">
        <f>IF($B1893=0,NA(),IF($E1893="",NA(),IF(E$8="",NA(),IF(N(E$8)=0,NA(),IF(Inputs!$C$17="Rebased to 100",$E1893/E$8*100,$E1893)))))</f>
        <v/>
      </c>
      <c r="L1893" s="54">
        <f>IF($B1893=0,NA(),IF($F1893="",NA(),IF(F$8="",NA(),IF(N(F$8)=0,NA(),IF(Inputs!$C$17="Rebased to 100",$F1893/F$8*100,$F1893)))))</f>
        <v/>
      </c>
      <c r="M1893" s="54">
        <f>IF($B1893=0,NA(),IF($G1893="",NA(),IF(G$8="",NA(),IF(N(G$8)=0,NA(),IF(Inputs!$C$17="Rebased to 100",$G1893/G$8*100,$G1893)))))</f>
        <v/>
      </c>
      <c r="N1893" s="54">
        <f>IF($B1893=0,NA(),IF(Inputs!$C$18&lt;&gt;"Yes",NA(),IF(COUNT(I1893,J1893,K1893,L1893,M1893)=0,NA(),MIN(I1893,J1893,K1893,L1893,M1893))))</f>
        <v/>
      </c>
      <c r="O1893" s="54">
        <f>IF($B1893=0,NA(),IF(Inputs!$B$24&lt;&gt;"Yes",NA(),Inputs!$D$24*Inputs!$C$35))</f>
        <v/>
      </c>
      <c r="P1893" s="54">
        <f>IF($B1893=0,NA(),IF(Inputs!$B$25&lt;&gt;"Yes",NA(),Inputs!$D$25*Inputs!$C$35))</f>
        <v/>
      </c>
      <c r="Q1893" s="54">
        <f>IF($B1893=0,NA(),IF(Inputs!$B$26&lt;&gt;"Yes",NA(),Inputs!$D$26*Inputs!$C$35))</f>
        <v/>
      </c>
      <c r="R1893" s="54">
        <f>IF($B1893=0,NA(),IF(Inputs!$B$27&lt;&gt;"Yes",NA(),Inputs!$D$27*Inputs!$C$35))</f>
        <v/>
      </c>
      <c r="S1893" s="54">
        <f>IF($B1893=0,NA(),IF(Inputs!$B$28&lt;&gt;"Yes",NA(),Inputs!$D$28*Inputs!$C$35))</f>
        <v/>
      </c>
      <c r="T1893" s="54">
        <f>IF($B1893=0,NA(),IF(Inputs!$B$29&lt;&gt;"Yes",NA(),Inputs!$D$29*Inputs!$C$35))</f>
        <v/>
      </c>
      <c r="AD1893">
        <f>IF($B1893=0,0,IF(Inputs!$B$6="",0,COUNTIFS(Data!$A$10:$A$3209,"&gt;="&amp;$A1893,Data!$A$10:$A$3209,"&lt;"&amp;$A1893+1)))</f>
        <v/>
      </c>
      <c r="AE1893">
        <f>IF($B1893=0,0,IF(Inputs!$B$7="",0,COUNTIFS(Data!$E$10:$E$3209,"&gt;="&amp;$A1893,Data!$E$10:$E$3209,"&lt;"&amp;$A1893+1)))</f>
        <v/>
      </c>
      <c r="AF1893">
        <f>IF($B1893=0,0,IF(Inputs!$B$8="",0,COUNTIFS(Data!$I$10:$I$3209,"&gt;="&amp;$A1893,Data!$I$10:$I$3209,"&lt;"&amp;$A1893+1)))</f>
        <v/>
      </c>
      <c r="AG1893">
        <f>IF($B1893=0,0,IF(Inputs!$B$9="",0,COUNTIFS(Data!$M$10:$M$3209,"&gt;="&amp;$A1893,Data!$M$10:$M$3209,"&lt;"&amp;$A1893+1)))</f>
        <v/>
      </c>
      <c r="AH1893">
        <f>IF($B1893=0,0,IF(Inputs!$B$10="",0,COUNTIFS(Data!$Q$10:$Q$3209,"&gt;="&amp;$A1893,Data!$Q$10:$Q$3209,"&lt;"&amp;$A1893+1)))</f>
        <v/>
      </c>
    </row>
    <row r="1894">
      <c r="A1894" s="55">
        <f>MIN(Inputs!$C$15,$A1893+IF(WEEKDAY($A1893,2)=5,3,1))</f>
        <v/>
      </c>
      <c r="B1894">
        <f>IF($A1894&gt;$A1893,1,0)</f>
        <v/>
      </c>
      <c r="C1894" s="56">
        <f>IF($B1894=0,"",IF(Inputs!$B$6="","",IF($AD1894=0,C1893,SUMIFS(Data!$B$10:$B$3209,Data!$A$10:$A$3209,"&gt;="&amp;$A1894,Data!$A$10:$A$3209,"&lt;"&amp;$A1894+1)/$AD1894)))</f>
        <v/>
      </c>
      <c r="D1894" s="56">
        <f>IF($B1894=0,"",IF(Inputs!$B$7="","",IF($AE1894=0,D1893,SUMIFS(Data!$F$10:$F$3209,Data!$E$10:$E$3209,"&gt;="&amp;$A1894,Data!$E$10:$E$3209,"&lt;"&amp;$A1894+1)/$AE1894)))</f>
        <v/>
      </c>
      <c r="E1894" s="56">
        <f>IF($B1894=0,"",IF(Inputs!$B$8="","",IF($AF1894=0,E1893,SUMIFS(Data!$J$10:$J$3209,Data!$I$10:$I$3209,"&gt;="&amp;$A1894,Data!$I$10:$I$3209,"&lt;"&amp;$A1894+1)/$AF1894)))</f>
        <v/>
      </c>
      <c r="F1894" s="56">
        <f>IF($B1894=0,"",IF(Inputs!$B$9="","",IF($AG1894=0,F1893,SUMIFS(Data!$N$10:$N$3209,Data!$M$10:$M$3209,"&gt;="&amp;$A1894,Data!$M$10:$M$3209,"&lt;"&amp;$A1894+1)/$AG1894)))</f>
        <v/>
      </c>
      <c r="G1894" s="56">
        <f>IF($B1894=0,"",IF(Inputs!$B$10="","",IF($AH1894=0,G1893,SUMIFS(Data!$R$10:$R$3209,Data!$Q$10:$Q$3209,"&gt;="&amp;$A1894,Data!$Q$10:$Q$3209,"&lt;"&amp;$A1894+1)/$AH1894)))</f>
        <v/>
      </c>
      <c r="I1894" s="54">
        <f>IF($B1894=0,NA(),IF($C1894="",NA(),IF(C$8="",NA(),IF(N(C$8)=0,NA(),IF(Inputs!$C$17="Rebased to 100",$C1894/C$8*100,$C1894)))))</f>
        <v/>
      </c>
      <c r="J1894" s="54">
        <f>IF($B1894=0,NA(),IF($D1894="",NA(),IF(D$8="",NA(),IF(N(D$8)=0,NA(),IF(Inputs!$C$17="Rebased to 100",$D1894/D$8*100,$D1894)))))</f>
        <v/>
      </c>
      <c r="K1894" s="54">
        <f>IF($B1894=0,NA(),IF($E1894="",NA(),IF(E$8="",NA(),IF(N(E$8)=0,NA(),IF(Inputs!$C$17="Rebased to 100",$E1894/E$8*100,$E1894)))))</f>
        <v/>
      </c>
      <c r="L1894" s="54">
        <f>IF($B1894=0,NA(),IF($F1894="",NA(),IF(F$8="",NA(),IF(N(F$8)=0,NA(),IF(Inputs!$C$17="Rebased to 100",$F1894/F$8*100,$F1894)))))</f>
        <v/>
      </c>
      <c r="M1894" s="54">
        <f>IF($B1894=0,NA(),IF($G1894="",NA(),IF(G$8="",NA(),IF(N(G$8)=0,NA(),IF(Inputs!$C$17="Rebased to 100",$G1894/G$8*100,$G1894)))))</f>
        <v/>
      </c>
      <c r="N1894" s="54">
        <f>IF($B1894=0,NA(),IF(Inputs!$C$18&lt;&gt;"Yes",NA(),IF(COUNT(I1894,J1894,K1894,L1894,M1894)=0,NA(),MIN(I1894,J1894,K1894,L1894,M1894))))</f>
        <v/>
      </c>
      <c r="O1894" s="54">
        <f>IF($B1894=0,NA(),IF(Inputs!$B$24&lt;&gt;"Yes",NA(),Inputs!$D$24*Inputs!$C$35))</f>
        <v/>
      </c>
      <c r="P1894" s="54">
        <f>IF($B1894=0,NA(),IF(Inputs!$B$25&lt;&gt;"Yes",NA(),Inputs!$D$25*Inputs!$C$35))</f>
        <v/>
      </c>
      <c r="Q1894" s="54">
        <f>IF($B1894=0,NA(),IF(Inputs!$B$26&lt;&gt;"Yes",NA(),Inputs!$D$26*Inputs!$C$35))</f>
        <v/>
      </c>
      <c r="R1894" s="54">
        <f>IF($B1894=0,NA(),IF(Inputs!$B$27&lt;&gt;"Yes",NA(),Inputs!$D$27*Inputs!$C$35))</f>
        <v/>
      </c>
      <c r="S1894" s="54">
        <f>IF($B1894=0,NA(),IF(Inputs!$B$28&lt;&gt;"Yes",NA(),Inputs!$D$28*Inputs!$C$35))</f>
        <v/>
      </c>
      <c r="T1894" s="54">
        <f>IF($B1894=0,NA(),IF(Inputs!$B$29&lt;&gt;"Yes",NA(),Inputs!$D$29*Inputs!$C$35))</f>
        <v/>
      </c>
      <c r="AD1894">
        <f>IF($B1894=0,0,IF(Inputs!$B$6="",0,COUNTIFS(Data!$A$10:$A$3209,"&gt;="&amp;$A1894,Data!$A$10:$A$3209,"&lt;"&amp;$A1894+1)))</f>
        <v/>
      </c>
      <c r="AE1894">
        <f>IF($B1894=0,0,IF(Inputs!$B$7="",0,COUNTIFS(Data!$E$10:$E$3209,"&gt;="&amp;$A1894,Data!$E$10:$E$3209,"&lt;"&amp;$A1894+1)))</f>
        <v/>
      </c>
      <c r="AF1894">
        <f>IF($B1894=0,0,IF(Inputs!$B$8="",0,COUNTIFS(Data!$I$10:$I$3209,"&gt;="&amp;$A1894,Data!$I$10:$I$3209,"&lt;"&amp;$A1894+1)))</f>
        <v/>
      </c>
      <c r="AG1894">
        <f>IF($B1894=0,0,IF(Inputs!$B$9="",0,COUNTIFS(Data!$M$10:$M$3209,"&gt;="&amp;$A1894,Data!$M$10:$M$3209,"&lt;"&amp;$A1894+1)))</f>
        <v/>
      </c>
      <c r="AH1894">
        <f>IF($B1894=0,0,IF(Inputs!$B$10="",0,COUNTIFS(Data!$Q$10:$Q$3209,"&gt;="&amp;$A1894,Data!$Q$10:$Q$3209,"&lt;"&amp;$A1894+1)))</f>
        <v/>
      </c>
    </row>
    <row r="1895">
      <c r="A1895" s="55">
        <f>MIN(Inputs!$C$15,$A1894+IF(WEEKDAY($A1894,2)=5,3,1))</f>
        <v/>
      </c>
      <c r="B1895">
        <f>IF($A1895&gt;$A1894,1,0)</f>
        <v/>
      </c>
      <c r="C1895" s="56">
        <f>IF($B1895=0,"",IF(Inputs!$B$6="","",IF($AD1895=0,C1894,SUMIFS(Data!$B$10:$B$3209,Data!$A$10:$A$3209,"&gt;="&amp;$A1895,Data!$A$10:$A$3209,"&lt;"&amp;$A1895+1)/$AD1895)))</f>
        <v/>
      </c>
      <c r="D1895" s="56">
        <f>IF($B1895=0,"",IF(Inputs!$B$7="","",IF($AE1895=0,D1894,SUMIFS(Data!$F$10:$F$3209,Data!$E$10:$E$3209,"&gt;="&amp;$A1895,Data!$E$10:$E$3209,"&lt;"&amp;$A1895+1)/$AE1895)))</f>
        <v/>
      </c>
      <c r="E1895" s="56">
        <f>IF($B1895=0,"",IF(Inputs!$B$8="","",IF($AF1895=0,E1894,SUMIFS(Data!$J$10:$J$3209,Data!$I$10:$I$3209,"&gt;="&amp;$A1895,Data!$I$10:$I$3209,"&lt;"&amp;$A1895+1)/$AF1895)))</f>
        <v/>
      </c>
      <c r="F1895" s="56">
        <f>IF($B1895=0,"",IF(Inputs!$B$9="","",IF($AG1895=0,F1894,SUMIFS(Data!$N$10:$N$3209,Data!$M$10:$M$3209,"&gt;="&amp;$A1895,Data!$M$10:$M$3209,"&lt;"&amp;$A1895+1)/$AG1895)))</f>
        <v/>
      </c>
      <c r="G1895" s="56">
        <f>IF($B1895=0,"",IF(Inputs!$B$10="","",IF($AH1895=0,G1894,SUMIFS(Data!$R$10:$R$3209,Data!$Q$10:$Q$3209,"&gt;="&amp;$A1895,Data!$Q$10:$Q$3209,"&lt;"&amp;$A1895+1)/$AH1895)))</f>
        <v/>
      </c>
      <c r="I1895" s="54">
        <f>IF($B1895=0,NA(),IF($C1895="",NA(),IF(C$8="",NA(),IF(N(C$8)=0,NA(),IF(Inputs!$C$17="Rebased to 100",$C1895/C$8*100,$C1895)))))</f>
        <v/>
      </c>
      <c r="J1895" s="54">
        <f>IF($B1895=0,NA(),IF($D1895="",NA(),IF(D$8="",NA(),IF(N(D$8)=0,NA(),IF(Inputs!$C$17="Rebased to 100",$D1895/D$8*100,$D1895)))))</f>
        <v/>
      </c>
      <c r="K1895" s="54">
        <f>IF($B1895=0,NA(),IF($E1895="",NA(),IF(E$8="",NA(),IF(N(E$8)=0,NA(),IF(Inputs!$C$17="Rebased to 100",$E1895/E$8*100,$E1895)))))</f>
        <v/>
      </c>
      <c r="L1895" s="54">
        <f>IF($B1895=0,NA(),IF($F1895="",NA(),IF(F$8="",NA(),IF(N(F$8)=0,NA(),IF(Inputs!$C$17="Rebased to 100",$F1895/F$8*100,$F1895)))))</f>
        <v/>
      </c>
      <c r="M1895" s="54">
        <f>IF($B1895=0,NA(),IF($G1895="",NA(),IF(G$8="",NA(),IF(N(G$8)=0,NA(),IF(Inputs!$C$17="Rebased to 100",$G1895/G$8*100,$G1895)))))</f>
        <v/>
      </c>
      <c r="N1895" s="54">
        <f>IF($B1895=0,NA(),IF(Inputs!$C$18&lt;&gt;"Yes",NA(),IF(COUNT(I1895,J1895,K1895,L1895,M1895)=0,NA(),MIN(I1895,J1895,K1895,L1895,M1895))))</f>
        <v/>
      </c>
      <c r="O1895" s="54">
        <f>IF($B1895=0,NA(),IF(Inputs!$B$24&lt;&gt;"Yes",NA(),Inputs!$D$24*Inputs!$C$35))</f>
        <v/>
      </c>
      <c r="P1895" s="54">
        <f>IF($B1895=0,NA(),IF(Inputs!$B$25&lt;&gt;"Yes",NA(),Inputs!$D$25*Inputs!$C$35))</f>
        <v/>
      </c>
      <c r="Q1895" s="54">
        <f>IF($B1895=0,NA(),IF(Inputs!$B$26&lt;&gt;"Yes",NA(),Inputs!$D$26*Inputs!$C$35))</f>
        <v/>
      </c>
      <c r="R1895" s="54">
        <f>IF($B1895=0,NA(),IF(Inputs!$B$27&lt;&gt;"Yes",NA(),Inputs!$D$27*Inputs!$C$35))</f>
        <v/>
      </c>
      <c r="S1895" s="54">
        <f>IF($B1895=0,NA(),IF(Inputs!$B$28&lt;&gt;"Yes",NA(),Inputs!$D$28*Inputs!$C$35))</f>
        <v/>
      </c>
      <c r="T1895" s="54">
        <f>IF($B1895=0,NA(),IF(Inputs!$B$29&lt;&gt;"Yes",NA(),Inputs!$D$29*Inputs!$C$35))</f>
        <v/>
      </c>
      <c r="AD1895">
        <f>IF($B1895=0,0,IF(Inputs!$B$6="",0,COUNTIFS(Data!$A$10:$A$3209,"&gt;="&amp;$A1895,Data!$A$10:$A$3209,"&lt;"&amp;$A1895+1)))</f>
        <v/>
      </c>
      <c r="AE1895">
        <f>IF($B1895=0,0,IF(Inputs!$B$7="",0,COUNTIFS(Data!$E$10:$E$3209,"&gt;="&amp;$A1895,Data!$E$10:$E$3209,"&lt;"&amp;$A1895+1)))</f>
        <v/>
      </c>
      <c r="AF1895">
        <f>IF($B1895=0,0,IF(Inputs!$B$8="",0,COUNTIFS(Data!$I$10:$I$3209,"&gt;="&amp;$A1895,Data!$I$10:$I$3209,"&lt;"&amp;$A1895+1)))</f>
        <v/>
      </c>
      <c r="AG1895">
        <f>IF($B1895=0,0,IF(Inputs!$B$9="",0,COUNTIFS(Data!$M$10:$M$3209,"&gt;="&amp;$A1895,Data!$M$10:$M$3209,"&lt;"&amp;$A1895+1)))</f>
        <v/>
      </c>
      <c r="AH1895">
        <f>IF($B1895=0,0,IF(Inputs!$B$10="",0,COUNTIFS(Data!$Q$10:$Q$3209,"&gt;="&amp;$A1895,Data!$Q$10:$Q$3209,"&lt;"&amp;$A1895+1)))</f>
        <v/>
      </c>
    </row>
    <row r="1896">
      <c r="A1896" s="55">
        <f>MIN(Inputs!$C$15,$A1895+IF(WEEKDAY($A1895,2)=5,3,1))</f>
        <v/>
      </c>
      <c r="B1896">
        <f>IF($A1896&gt;$A1895,1,0)</f>
        <v/>
      </c>
      <c r="C1896" s="56">
        <f>IF($B1896=0,"",IF(Inputs!$B$6="","",IF($AD1896=0,C1895,SUMIFS(Data!$B$10:$B$3209,Data!$A$10:$A$3209,"&gt;="&amp;$A1896,Data!$A$10:$A$3209,"&lt;"&amp;$A1896+1)/$AD1896)))</f>
        <v/>
      </c>
      <c r="D1896" s="56">
        <f>IF($B1896=0,"",IF(Inputs!$B$7="","",IF($AE1896=0,D1895,SUMIFS(Data!$F$10:$F$3209,Data!$E$10:$E$3209,"&gt;="&amp;$A1896,Data!$E$10:$E$3209,"&lt;"&amp;$A1896+1)/$AE1896)))</f>
        <v/>
      </c>
      <c r="E1896" s="56">
        <f>IF($B1896=0,"",IF(Inputs!$B$8="","",IF($AF1896=0,E1895,SUMIFS(Data!$J$10:$J$3209,Data!$I$10:$I$3209,"&gt;="&amp;$A1896,Data!$I$10:$I$3209,"&lt;"&amp;$A1896+1)/$AF1896)))</f>
        <v/>
      </c>
      <c r="F1896" s="56">
        <f>IF($B1896=0,"",IF(Inputs!$B$9="","",IF($AG1896=0,F1895,SUMIFS(Data!$N$10:$N$3209,Data!$M$10:$M$3209,"&gt;="&amp;$A1896,Data!$M$10:$M$3209,"&lt;"&amp;$A1896+1)/$AG1896)))</f>
        <v/>
      </c>
      <c r="G1896" s="56">
        <f>IF($B1896=0,"",IF(Inputs!$B$10="","",IF($AH1896=0,G1895,SUMIFS(Data!$R$10:$R$3209,Data!$Q$10:$Q$3209,"&gt;="&amp;$A1896,Data!$Q$10:$Q$3209,"&lt;"&amp;$A1896+1)/$AH1896)))</f>
        <v/>
      </c>
      <c r="I1896" s="54">
        <f>IF($B1896=0,NA(),IF($C1896="",NA(),IF(C$8="",NA(),IF(N(C$8)=0,NA(),IF(Inputs!$C$17="Rebased to 100",$C1896/C$8*100,$C1896)))))</f>
        <v/>
      </c>
      <c r="J1896" s="54">
        <f>IF($B1896=0,NA(),IF($D1896="",NA(),IF(D$8="",NA(),IF(N(D$8)=0,NA(),IF(Inputs!$C$17="Rebased to 100",$D1896/D$8*100,$D1896)))))</f>
        <v/>
      </c>
      <c r="K1896" s="54">
        <f>IF($B1896=0,NA(),IF($E1896="",NA(),IF(E$8="",NA(),IF(N(E$8)=0,NA(),IF(Inputs!$C$17="Rebased to 100",$E1896/E$8*100,$E1896)))))</f>
        <v/>
      </c>
      <c r="L1896" s="54">
        <f>IF($B1896=0,NA(),IF($F1896="",NA(),IF(F$8="",NA(),IF(N(F$8)=0,NA(),IF(Inputs!$C$17="Rebased to 100",$F1896/F$8*100,$F1896)))))</f>
        <v/>
      </c>
      <c r="M1896" s="54">
        <f>IF($B1896=0,NA(),IF($G1896="",NA(),IF(G$8="",NA(),IF(N(G$8)=0,NA(),IF(Inputs!$C$17="Rebased to 100",$G1896/G$8*100,$G1896)))))</f>
        <v/>
      </c>
      <c r="N1896" s="54">
        <f>IF($B1896=0,NA(),IF(Inputs!$C$18&lt;&gt;"Yes",NA(),IF(COUNT(I1896,J1896,K1896,L1896,M1896)=0,NA(),MIN(I1896,J1896,K1896,L1896,M1896))))</f>
        <v/>
      </c>
      <c r="O1896" s="54">
        <f>IF($B1896=0,NA(),IF(Inputs!$B$24&lt;&gt;"Yes",NA(),Inputs!$D$24*Inputs!$C$35))</f>
        <v/>
      </c>
      <c r="P1896" s="54">
        <f>IF($B1896=0,NA(),IF(Inputs!$B$25&lt;&gt;"Yes",NA(),Inputs!$D$25*Inputs!$C$35))</f>
        <v/>
      </c>
      <c r="Q1896" s="54">
        <f>IF($B1896=0,NA(),IF(Inputs!$B$26&lt;&gt;"Yes",NA(),Inputs!$D$26*Inputs!$C$35))</f>
        <v/>
      </c>
      <c r="R1896" s="54">
        <f>IF($B1896=0,NA(),IF(Inputs!$B$27&lt;&gt;"Yes",NA(),Inputs!$D$27*Inputs!$C$35))</f>
        <v/>
      </c>
      <c r="S1896" s="54">
        <f>IF($B1896=0,NA(),IF(Inputs!$B$28&lt;&gt;"Yes",NA(),Inputs!$D$28*Inputs!$C$35))</f>
        <v/>
      </c>
      <c r="T1896" s="54">
        <f>IF($B1896=0,NA(),IF(Inputs!$B$29&lt;&gt;"Yes",NA(),Inputs!$D$29*Inputs!$C$35))</f>
        <v/>
      </c>
      <c r="AD1896">
        <f>IF($B1896=0,0,IF(Inputs!$B$6="",0,COUNTIFS(Data!$A$10:$A$3209,"&gt;="&amp;$A1896,Data!$A$10:$A$3209,"&lt;"&amp;$A1896+1)))</f>
        <v/>
      </c>
      <c r="AE1896">
        <f>IF($B1896=0,0,IF(Inputs!$B$7="",0,COUNTIFS(Data!$E$10:$E$3209,"&gt;="&amp;$A1896,Data!$E$10:$E$3209,"&lt;"&amp;$A1896+1)))</f>
        <v/>
      </c>
      <c r="AF1896">
        <f>IF($B1896=0,0,IF(Inputs!$B$8="",0,COUNTIFS(Data!$I$10:$I$3209,"&gt;="&amp;$A1896,Data!$I$10:$I$3209,"&lt;"&amp;$A1896+1)))</f>
        <v/>
      </c>
      <c r="AG1896">
        <f>IF($B1896=0,0,IF(Inputs!$B$9="",0,COUNTIFS(Data!$M$10:$M$3209,"&gt;="&amp;$A1896,Data!$M$10:$M$3209,"&lt;"&amp;$A1896+1)))</f>
        <v/>
      </c>
      <c r="AH1896">
        <f>IF($B1896=0,0,IF(Inputs!$B$10="",0,COUNTIFS(Data!$Q$10:$Q$3209,"&gt;="&amp;$A1896,Data!$Q$10:$Q$3209,"&lt;"&amp;$A1896+1)))</f>
        <v/>
      </c>
    </row>
    <row r="1897">
      <c r="A1897" s="55">
        <f>MIN(Inputs!$C$15,$A1896+IF(WEEKDAY($A1896,2)=5,3,1))</f>
        <v/>
      </c>
      <c r="B1897">
        <f>IF($A1897&gt;$A1896,1,0)</f>
        <v/>
      </c>
      <c r="C1897" s="56">
        <f>IF($B1897=0,"",IF(Inputs!$B$6="","",IF($AD1897=0,C1896,SUMIFS(Data!$B$10:$B$3209,Data!$A$10:$A$3209,"&gt;="&amp;$A1897,Data!$A$10:$A$3209,"&lt;"&amp;$A1897+1)/$AD1897)))</f>
        <v/>
      </c>
      <c r="D1897" s="56">
        <f>IF($B1897=0,"",IF(Inputs!$B$7="","",IF($AE1897=0,D1896,SUMIFS(Data!$F$10:$F$3209,Data!$E$10:$E$3209,"&gt;="&amp;$A1897,Data!$E$10:$E$3209,"&lt;"&amp;$A1897+1)/$AE1897)))</f>
        <v/>
      </c>
      <c r="E1897" s="56">
        <f>IF($B1897=0,"",IF(Inputs!$B$8="","",IF($AF1897=0,E1896,SUMIFS(Data!$J$10:$J$3209,Data!$I$10:$I$3209,"&gt;="&amp;$A1897,Data!$I$10:$I$3209,"&lt;"&amp;$A1897+1)/$AF1897)))</f>
        <v/>
      </c>
      <c r="F1897" s="56">
        <f>IF($B1897=0,"",IF(Inputs!$B$9="","",IF($AG1897=0,F1896,SUMIFS(Data!$N$10:$N$3209,Data!$M$10:$M$3209,"&gt;="&amp;$A1897,Data!$M$10:$M$3209,"&lt;"&amp;$A1897+1)/$AG1897)))</f>
        <v/>
      </c>
      <c r="G1897" s="56">
        <f>IF($B1897=0,"",IF(Inputs!$B$10="","",IF($AH1897=0,G1896,SUMIFS(Data!$R$10:$R$3209,Data!$Q$10:$Q$3209,"&gt;="&amp;$A1897,Data!$Q$10:$Q$3209,"&lt;"&amp;$A1897+1)/$AH1897)))</f>
        <v/>
      </c>
      <c r="I1897" s="54">
        <f>IF($B1897=0,NA(),IF($C1897="",NA(),IF(C$8="",NA(),IF(N(C$8)=0,NA(),IF(Inputs!$C$17="Rebased to 100",$C1897/C$8*100,$C1897)))))</f>
        <v/>
      </c>
      <c r="J1897" s="54">
        <f>IF($B1897=0,NA(),IF($D1897="",NA(),IF(D$8="",NA(),IF(N(D$8)=0,NA(),IF(Inputs!$C$17="Rebased to 100",$D1897/D$8*100,$D1897)))))</f>
        <v/>
      </c>
      <c r="K1897" s="54">
        <f>IF($B1897=0,NA(),IF($E1897="",NA(),IF(E$8="",NA(),IF(N(E$8)=0,NA(),IF(Inputs!$C$17="Rebased to 100",$E1897/E$8*100,$E1897)))))</f>
        <v/>
      </c>
      <c r="L1897" s="54">
        <f>IF($B1897=0,NA(),IF($F1897="",NA(),IF(F$8="",NA(),IF(N(F$8)=0,NA(),IF(Inputs!$C$17="Rebased to 100",$F1897/F$8*100,$F1897)))))</f>
        <v/>
      </c>
      <c r="M1897" s="54">
        <f>IF($B1897=0,NA(),IF($G1897="",NA(),IF(G$8="",NA(),IF(N(G$8)=0,NA(),IF(Inputs!$C$17="Rebased to 100",$G1897/G$8*100,$G1897)))))</f>
        <v/>
      </c>
      <c r="N1897" s="54">
        <f>IF($B1897=0,NA(),IF(Inputs!$C$18&lt;&gt;"Yes",NA(),IF(COUNT(I1897,J1897,K1897,L1897,M1897)=0,NA(),MIN(I1897,J1897,K1897,L1897,M1897))))</f>
        <v/>
      </c>
      <c r="O1897" s="54">
        <f>IF($B1897=0,NA(),IF(Inputs!$B$24&lt;&gt;"Yes",NA(),Inputs!$D$24*Inputs!$C$35))</f>
        <v/>
      </c>
      <c r="P1897" s="54">
        <f>IF($B1897=0,NA(),IF(Inputs!$B$25&lt;&gt;"Yes",NA(),Inputs!$D$25*Inputs!$C$35))</f>
        <v/>
      </c>
      <c r="Q1897" s="54">
        <f>IF($B1897=0,NA(),IF(Inputs!$B$26&lt;&gt;"Yes",NA(),Inputs!$D$26*Inputs!$C$35))</f>
        <v/>
      </c>
      <c r="R1897" s="54">
        <f>IF($B1897=0,NA(),IF(Inputs!$B$27&lt;&gt;"Yes",NA(),Inputs!$D$27*Inputs!$C$35))</f>
        <v/>
      </c>
      <c r="S1897" s="54">
        <f>IF($B1897=0,NA(),IF(Inputs!$B$28&lt;&gt;"Yes",NA(),Inputs!$D$28*Inputs!$C$35))</f>
        <v/>
      </c>
      <c r="T1897" s="54">
        <f>IF($B1897=0,NA(),IF(Inputs!$B$29&lt;&gt;"Yes",NA(),Inputs!$D$29*Inputs!$C$35))</f>
        <v/>
      </c>
      <c r="AD1897">
        <f>IF($B1897=0,0,IF(Inputs!$B$6="",0,COUNTIFS(Data!$A$10:$A$3209,"&gt;="&amp;$A1897,Data!$A$10:$A$3209,"&lt;"&amp;$A1897+1)))</f>
        <v/>
      </c>
      <c r="AE1897">
        <f>IF($B1897=0,0,IF(Inputs!$B$7="",0,COUNTIFS(Data!$E$10:$E$3209,"&gt;="&amp;$A1897,Data!$E$10:$E$3209,"&lt;"&amp;$A1897+1)))</f>
        <v/>
      </c>
      <c r="AF1897">
        <f>IF($B1897=0,0,IF(Inputs!$B$8="",0,COUNTIFS(Data!$I$10:$I$3209,"&gt;="&amp;$A1897,Data!$I$10:$I$3209,"&lt;"&amp;$A1897+1)))</f>
        <v/>
      </c>
      <c r="AG1897">
        <f>IF($B1897=0,0,IF(Inputs!$B$9="",0,COUNTIFS(Data!$M$10:$M$3209,"&gt;="&amp;$A1897,Data!$M$10:$M$3209,"&lt;"&amp;$A1897+1)))</f>
        <v/>
      </c>
      <c r="AH1897">
        <f>IF($B1897=0,0,IF(Inputs!$B$10="",0,COUNTIFS(Data!$Q$10:$Q$3209,"&gt;="&amp;$A1897,Data!$Q$10:$Q$3209,"&lt;"&amp;$A1897+1)))</f>
        <v/>
      </c>
    </row>
    <row r="1898">
      <c r="A1898" s="55">
        <f>MIN(Inputs!$C$15,$A1897+IF(WEEKDAY($A1897,2)=5,3,1))</f>
        <v/>
      </c>
      <c r="B1898">
        <f>IF($A1898&gt;$A1897,1,0)</f>
        <v/>
      </c>
      <c r="C1898" s="56">
        <f>IF($B1898=0,"",IF(Inputs!$B$6="","",IF($AD1898=0,C1897,SUMIFS(Data!$B$10:$B$3209,Data!$A$10:$A$3209,"&gt;="&amp;$A1898,Data!$A$10:$A$3209,"&lt;"&amp;$A1898+1)/$AD1898)))</f>
        <v/>
      </c>
      <c r="D1898" s="56">
        <f>IF($B1898=0,"",IF(Inputs!$B$7="","",IF($AE1898=0,D1897,SUMIFS(Data!$F$10:$F$3209,Data!$E$10:$E$3209,"&gt;="&amp;$A1898,Data!$E$10:$E$3209,"&lt;"&amp;$A1898+1)/$AE1898)))</f>
        <v/>
      </c>
      <c r="E1898" s="56">
        <f>IF($B1898=0,"",IF(Inputs!$B$8="","",IF($AF1898=0,E1897,SUMIFS(Data!$J$10:$J$3209,Data!$I$10:$I$3209,"&gt;="&amp;$A1898,Data!$I$10:$I$3209,"&lt;"&amp;$A1898+1)/$AF1898)))</f>
        <v/>
      </c>
      <c r="F1898" s="56">
        <f>IF($B1898=0,"",IF(Inputs!$B$9="","",IF($AG1898=0,F1897,SUMIFS(Data!$N$10:$N$3209,Data!$M$10:$M$3209,"&gt;="&amp;$A1898,Data!$M$10:$M$3209,"&lt;"&amp;$A1898+1)/$AG1898)))</f>
        <v/>
      </c>
      <c r="G1898" s="56">
        <f>IF($B1898=0,"",IF(Inputs!$B$10="","",IF($AH1898=0,G1897,SUMIFS(Data!$R$10:$R$3209,Data!$Q$10:$Q$3209,"&gt;="&amp;$A1898,Data!$Q$10:$Q$3209,"&lt;"&amp;$A1898+1)/$AH1898)))</f>
        <v/>
      </c>
      <c r="I1898" s="54">
        <f>IF($B1898=0,NA(),IF($C1898="",NA(),IF(C$8="",NA(),IF(N(C$8)=0,NA(),IF(Inputs!$C$17="Rebased to 100",$C1898/C$8*100,$C1898)))))</f>
        <v/>
      </c>
      <c r="J1898" s="54">
        <f>IF($B1898=0,NA(),IF($D1898="",NA(),IF(D$8="",NA(),IF(N(D$8)=0,NA(),IF(Inputs!$C$17="Rebased to 100",$D1898/D$8*100,$D1898)))))</f>
        <v/>
      </c>
      <c r="K1898" s="54">
        <f>IF($B1898=0,NA(),IF($E1898="",NA(),IF(E$8="",NA(),IF(N(E$8)=0,NA(),IF(Inputs!$C$17="Rebased to 100",$E1898/E$8*100,$E1898)))))</f>
        <v/>
      </c>
      <c r="L1898" s="54">
        <f>IF($B1898=0,NA(),IF($F1898="",NA(),IF(F$8="",NA(),IF(N(F$8)=0,NA(),IF(Inputs!$C$17="Rebased to 100",$F1898/F$8*100,$F1898)))))</f>
        <v/>
      </c>
      <c r="M1898" s="54">
        <f>IF($B1898=0,NA(),IF($G1898="",NA(),IF(G$8="",NA(),IF(N(G$8)=0,NA(),IF(Inputs!$C$17="Rebased to 100",$G1898/G$8*100,$G1898)))))</f>
        <v/>
      </c>
      <c r="N1898" s="54">
        <f>IF($B1898=0,NA(),IF(Inputs!$C$18&lt;&gt;"Yes",NA(),IF(COUNT(I1898,J1898,K1898,L1898,M1898)=0,NA(),MIN(I1898,J1898,K1898,L1898,M1898))))</f>
        <v/>
      </c>
      <c r="O1898" s="54">
        <f>IF($B1898=0,NA(),IF(Inputs!$B$24&lt;&gt;"Yes",NA(),Inputs!$D$24*Inputs!$C$35))</f>
        <v/>
      </c>
      <c r="P1898" s="54">
        <f>IF($B1898=0,NA(),IF(Inputs!$B$25&lt;&gt;"Yes",NA(),Inputs!$D$25*Inputs!$C$35))</f>
        <v/>
      </c>
      <c r="Q1898" s="54">
        <f>IF($B1898=0,NA(),IF(Inputs!$B$26&lt;&gt;"Yes",NA(),Inputs!$D$26*Inputs!$C$35))</f>
        <v/>
      </c>
      <c r="R1898" s="54">
        <f>IF($B1898=0,NA(),IF(Inputs!$B$27&lt;&gt;"Yes",NA(),Inputs!$D$27*Inputs!$C$35))</f>
        <v/>
      </c>
      <c r="S1898" s="54">
        <f>IF($B1898=0,NA(),IF(Inputs!$B$28&lt;&gt;"Yes",NA(),Inputs!$D$28*Inputs!$C$35))</f>
        <v/>
      </c>
      <c r="T1898" s="54">
        <f>IF($B1898=0,NA(),IF(Inputs!$B$29&lt;&gt;"Yes",NA(),Inputs!$D$29*Inputs!$C$35))</f>
        <v/>
      </c>
      <c r="AD1898">
        <f>IF($B1898=0,0,IF(Inputs!$B$6="",0,COUNTIFS(Data!$A$10:$A$3209,"&gt;="&amp;$A1898,Data!$A$10:$A$3209,"&lt;"&amp;$A1898+1)))</f>
        <v/>
      </c>
      <c r="AE1898">
        <f>IF($B1898=0,0,IF(Inputs!$B$7="",0,COUNTIFS(Data!$E$10:$E$3209,"&gt;="&amp;$A1898,Data!$E$10:$E$3209,"&lt;"&amp;$A1898+1)))</f>
        <v/>
      </c>
      <c r="AF1898">
        <f>IF($B1898=0,0,IF(Inputs!$B$8="",0,COUNTIFS(Data!$I$10:$I$3209,"&gt;="&amp;$A1898,Data!$I$10:$I$3209,"&lt;"&amp;$A1898+1)))</f>
        <v/>
      </c>
      <c r="AG1898">
        <f>IF($B1898=0,0,IF(Inputs!$B$9="",0,COUNTIFS(Data!$M$10:$M$3209,"&gt;="&amp;$A1898,Data!$M$10:$M$3209,"&lt;"&amp;$A1898+1)))</f>
        <v/>
      </c>
      <c r="AH1898">
        <f>IF($B1898=0,0,IF(Inputs!$B$10="",0,COUNTIFS(Data!$Q$10:$Q$3209,"&gt;="&amp;$A1898,Data!$Q$10:$Q$3209,"&lt;"&amp;$A1898+1)))</f>
        <v/>
      </c>
    </row>
    <row r="1899">
      <c r="A1899" s="55">
        <f>MIN(Inputs!$C$15,$A1898+IF(WEEKDAY($A1898,2)=5,3,1))</f>
        <v/>
      </c>
      <c r="B1899">
        <f>IF($A1899&gt;$A1898,1,0)</f>
        <v/>
      </c>
      <c r="C1899" s="56">
        <f>IF($B1899=0,"",IF(Inputs!$B$6="","",IF($AD1899=0,C1898,SUMIFS(Data!$B$10:$B$3209,Data!$A$10:$A$3209,"&gt;="&amp;$A1899,Data!$A$10:$A$3209,"&lt;"&amp;$A1899+1)/$AD1899)))</f>
        <v/>
      </c>
      <c r="D1899" s="56">
        <f>IF($B1899=0,"",IF(Inputs!$B$7="","",IF($AE1899=0,D1898,SUMIFS(Data!$F$10:$F$3209,Data!$E$10:$E$3209,"&gt;="&amp;$A1899,Data!$E$10:$E$3209,"&lt;"&amp;$A1899+1)/$AE1899)))</f>
        <v/>
      </c>
      <c r="E1899" s="56">
        <f>IF($B1899=0,"",IF(Inputs!$B$8="","",IF($AF1899=0,E1898,SUMIFS(Data!$J$10:$J$3209,Data!$I$10:$I$3209,"&gt;="&amp;$A1899,Data!$I$10:$I$3209,"&lt;"&amp;$A1899+1)/$AF1899)))</f>
        <v/>
      </c>
      <c r="F1899" s="56">
        <f>IF($B1899=0,"",IF(Inputs!$B$9="","",IF($AG1899=0,F1898,SUMIFS(Data!$N$10:$N$3209,Data!$M$10:$M$3209,"&gt;="&amp;$A1899,Data!$M$10:$M$3209,"&lt;"&amp;$A1899+1)/$AG1899)))</f>
        <v/>
      </c>
      <c r="G1899" s="56">
        <f>IF($B1899=0,"",IF(Inputs!$B$10="","",IF($AH1899=0,G1898,SUMIFS(Data!$R$10:$R$3209,Data!$Q$10:$Q$3209,"&gt;="&amp;$A1899,Data!$Q$10:$Q$3209,"&lt;"&amp;$A1899+1)/$AH1899)))</f>
        <v/>
      </c>
      <c r="I1899" s="54">
        <f>IF($B1899=0,NA(),IF($C1899="",NA(),IF(C$8="",NA(),IF(N(C$8)=0,NA(),IF(Inputs!$C$17="Rebased to 100",$C1899/C$8*100,$C1899)))))</f>
        <v/>
      </c>
      <c r="J1899" s="54">
        <f>IF($B1899=0,NA(),IF($D1899="",NA(),IF(D$8="",NA(),IF(N(D$8)=0,NA(),IF(Inputs!$C$17="Rebased to 100",$D1899/D$8*100,$D1899)))))</f>
        <v/>
      </c>
      <c r="K1899" s="54">
        <f>IF($B1899=0,NA(),IF($E1899="",NA(),IF(E$8="",NA(),IF(N(E$8)=0,NA(),IF(Inputs!$C$17="Rebased to 100",$E1899/E$8*100,$E1899)))))</f>
        <v/>
      </c>
      <c r="L1899" s="54">
        <f>IF($B1899=0,NA(),IF($F1899="",NA(),IF(F$8="",NA(),IF(N(F$8)=0,NA(),IF(Inputs!$C$17="Rebased to 100",$F1899/F$8*100,$F1899)))))</f>
        <v/>
      </c>
      <c r="M1899" s="54">
        <f>IF($B1899=0,NA(),IF($G1899="",NA(),IF(G$8="",NA(),IF(N(G$8)=0,NA(),IF(Inputs!$C$17="Rebased to 100",$G1899/G$8*100,$G1899)))))</f>
        <v/>
      </c>
      <c r="N1899" s="54">
        <f>IF($B1899=0,NA(),IF(Inputs!$C$18&lt;&gt;"Yes",NA(),IF(COUNT(I1899,J1899,K1899,L1899,M1899)=0,NA(),MIN(I1899,J1899,K1899,L1899,M1899))))</f>
        <v/>
      </c>
      <c r="O1899" s="54">
        <f>IF($B1899=0,NA(),IF(Inputs!$B$24&lt;&gt;"Yes",NA(),Inputs!$D$24*Inputs!$C$35))</f>
        <v/>
      </c>
      <c r="P1899" s="54">
        <f>IF($B1899=0,NA(),IF(Inputs!$B$25&lt;&gt;"Yes",NA(),Inputs!$D$25*Inputs!$C$35))</f>
        <v/>
      </c>
      <c r="Q1899" s="54">
        <f>IF($B1899=0,NA(),IF(Inputs!$B$26&lt;&gt;"Yes",NA(),Inputs!$D$26*Inputs!$C$35))</f>
        <v/>
      </c>
      <c r="R1899" s="54">
        <f>IF($B1899=0,NA(),IF(Inputs!$B$27&lt;&gt;"Yes",NA(),Inputs!$D$27*Inputs!$C$35))</f>
        <v/>
      </c>
      <c r="S1899" s="54">
        <f>IF($B1899=0,NA(),IF(Inputs!$B$28&lt;&gt;"Yes",NA(),Inputs!$D$28*Inputs!$C$35))</f>
        <v/>
      </c>
      <c r="T1899" s="54">
        <f>IF($B1899=0,NA(),IF(Inputs!$B$29&lt;&gt;"Yes",NA(),Inputs!$D$29*Inputs!$C$35))</f>
        <v/>
      </c>
      <c r="AD1899">
        <f>IF($B1899=0,0,IF(Inputs!$B$6="",0,COUNTIFS(Data!$A$10:$A$3209,"&gt;="&amp;$A1899,Data!$A$10:$A$3209,"&lt;"&amp;$A1899+1)))</f>
        <v/>
      </c>
      <c r="AE1899">
        <f>IF($B1899=0,0,IF(Inputs!$B$7="",0,COUNTIFS(Data!$E$10:$E$3209,"&gt;="&amp;$A1899,Data!$E$10:$E$3209,"&lt;"&amp;$A1899+1)))</f>
        <v/>
      </c>
      <c r="AF1899">
        <f>IF($B1899=0,0,IF(Inputs!$B$8="",0,COUNTIFS(Data!$I$10:$I$3209,"&gt;="&amp;$A1899,Data!$I$10:$I$3209,"&lt;"&amp;$A1899+1)))</f>
        <v/>
      </c>
      <c r="AG1899">
        <f>IF($B1899=0,0,IF(Inputs!$B$9="",0,COUNTIFS(Data!$M$10:$M$3209,"&gt;="&amp;$A1899,Data!$M$10:$M$3209,"&lt;"&amp;$A1899+1)))</f>
        <v/>
      </c>
      <c r="AH1899">
        <f>IF($B1899=0,0,IF(Inputs!$B$10="",0,COUNTIFS(Data!$Q$10:$Q$3209,"&gt;="&amp;$A1899,Data!$Q$10:$Q$3209,"&lt;"&amp;$A1899+1)))</f>
        <v/>
      </c>
    </row>
    <row r="1900">
      <c r="A1900" s="55">
        <f>MIN(Inputs!$C$15,$A1899+IF(WEEKDAY($A1899,2)=5,3,1))</f>
        <v/>
      </c>
      <c r="B1900">
        <f>IF($A1900&gt;$A1899,1,0)</f>
        <v/>
      </c>
      <c r="C1900" s="56">
        <f>IF($B1900=0,"",IF(Inputs!$B$6="","",IF($AD1900=0,C1899,SUMIFS(Data!$B$10:$B$3209,Data!$A$10:$A$3209,"&gt;="&amp;$A1900,Data!$A$10:$A$3209,"&lt;"&amp;$A1900+1)/$AD1900)))</f>
        <v/>
      </c>
      <c r="D1900" s="56">
        <f>IF($B1900=0,"",IF(Inputs!$B$7="","",IF($AE1900=0,D1899,SUMIFS(Data!$F$10:$F$3209,Data!$E$10:$E$3209,"&gt;="&amp;$A1900,Data!$E$10:$E$3209,"&lt;"&amp;$A1900+1)/$AE1900)))</f>
        <v/>
      </c>
      <c r="E1900" s="56">
        <f>IF($B1900=0,"",IF(Inputs!$B$8="","",IF($AF1900=0,E1899,SUMIFS(Data!$J$10:$J$3209,Data!$I$10:$I$3209,"&gt;="&amp;$A1900,Data!$I$10:$I$3209,"&lt;"&amp;$A1900+1)/$AF1900)))</f>
        <v/>
      </c>
      <c r="F1900" s="56">
        <f>IF($B1900=0,"",IF(Inputs!$B$9="","",IF($AG1900=0,F1899,SUMIFS(Data!$N$10:$N$3209,Data!$M$10:$M$3209,"&gt;="&amp;$A1900,Data!$M$10:$M$3209,"&lt;"&amp;$A1900+1)/$AG1900)))</f>
        <v/>
      </c>
      <c r="G1900" s="56">
        <f>IF($B1900=0,"",IF(Inputs!$B$10="","",IF($AH1900=0,G1899,SUMIFS(Data!$R$10:$R$3209,Data!$Q$10:$Q$3209,"&gt;="&amp;$A1900,Data!$Q$10:$Q$3209,"&lt;"&amp;$A1900+1)/$AH1900)))</f>
        <v/>
      </c>
      <c r="I1900" s="54">
        <f>IF($B1900=0,NA(),IF($C1900="",NA(),IF(C$8="",NA(),IF(N(C$8)=0,NA(),IF(Inputs!$C$17="Rebased to 100",$C1900/C$8*100,$C1900)))))</f>
        <v/>
      </c>
      <c r="J1900" s="54">
        <f>IF($B1900=0,NA(),IF($D1900="",NA(),IF(D$8="",NA(),IF(N(D$8)=0,NA(),IF(Inputs!$C$17="Rebased to 100",$D1900/D$8*100,$D1900)))))</f>
        <v/>
      </c>
      <c r="K1900" s="54">
        <f>IF($B1900=0,NA(),IF($E1900="",NA(),IF(E$8="",NA(),IF(N(E$8)=0,NA(),IF(Inputs!$C$17="Rebased to 100",$E1900/E$8*100,$E1900)))))</f>
        <v/>
      </c>
      <c r="L1900" s="54">
        <f>IF($B1900=0,NA(),IF($F1900="",NA(),IF(F$8="",NA(),IF(N(F$8)=0,NA(),IF(Inputs!$C$17="Rebased to 100",$F1900/F$8*100,$F1900)))))</f>
        <v/>
      </c>
      <c r="M1900" s="54">
        <f>IF($B1900=0,NA(),IF($G1900="",NA(),IF(G$8="",NA(),IF(N(G$8)=0,NA(),IF(Inputs!$C$17="Rebased to 100",$G1900/G$8*100,$G1900)))))</f>
        <v/>
      </c>
      <c r="N1900" s="54">
        <f>IF($B1900=0,NA(),IF(Inputs!$C$18&lt;&gt;"Yes",NA(),IF(COUNT(I1900,J1900,K1900,L1900,M1900)=0,NA(),MIN(I1900,J1900,K1900,L1900,M1900))))</f>
        <v/>
      </c>
      <c r="O1900" s="54">
        <f>IF($B1900=0,NA(),IF(Inputs!$B$24&lt;&gt;"Yes",NA(),Inputs!$D$24*Inputs!$C$35))</f>
        <v/>
      </c>
      <c r="P1900" s="54">
        <f>IF($B1900=0,NA(),IF(Inputs!$B$25&lt;&gt;"Yes",NA(),Inputs!$D$25*Inputs!$C$35))</f>
        <v/>
      </c>
      <c r="Q1900" s="54">
        <f>IF($B1900=0,NA(),IF(Inputs!$B$26&lt;&gt;"Yes",NA(),Inputs!$D$26*Inputs!$C$35))</f>
        <v/>
      </c>
      <c r="R1900" s="54">
        <f>IF($B1900=0,NA(),IF(Inputs!$B$27&lt;&gt;"Yes",NA(),Inputs!$D$27*Inputs!$C$35))</f>
        <v/>
      </c>
      <c r="S1900" s="54">
        <f>IF($B1900=0,NA(),IF(Inputs!$B$28&lt;&gt;"Yes",NA(),Inputs!$D$28*Inputs!$C$35))</f>
        <v/>
      </c>
      <c r="T1900" s="54">
        <f>IF($B1900=0,NA(),IF(Inputs!$B$29&lt;&gt;"Yes",NA(),Inputs!$D$29*Inputs!$C$35))</f>
        <v/>
      </c>
      <c r="AD1900">
        <f>IF($B1900=0,0,IF(Inputs!$B$6="",0,COUNTIFS(Data!$A$10:$A$3209,"&gt;="&amp;$A1900,Data!$A$10:$A$3209,"&lt;"&amp;$A1900+1)))</f>
        <v/>
      </c>
      <c r="AE1900">
        <f>IF($B1900=0,0,IF(Inputs!$B$7="",0,COUNTIFS(Data!$E$10:$E$3209,"&gt;="&amp;$A1900,Data!$E$10:$E$3209,"&lt;"&amp;$A1900+1)))</f>
        <v/>
      </c>
      <c r="AF1900">
        <f>IF($B1900=0,0,IF(Inputs!$B$8="",0,COUNTIFS(Data!$I$10:$I$3209,"&gt;="&amp;$A1900,Data!$I$10:$I$3209,"&lt;"&amp;$A1900+1)))</f>
        <v/>
      </c>
      <c r="AG1900">
        <f>IF($B1900=0,0,IF(Inputs!$B$9="",0,COUNTIFS(Data!$M$10:$M$3209,"&gt;="&amp;$A1900,Data!$M$10:$M$3209,"&lt;"&amp;$A1900+1)))</f>
        <v/>
      </c>
      <c r="AH1900">
        <f>IF($B1900=0,0,IF(Inputs!$B$10="",0,COUNTIFS(Data!$Q$10:$Q$3209,"&gt;="&amp;$A1900,Data!$Q$10:$Q$3209,"&lt;"&amp;$A1900+1)))</f>
        <v/>
      </c>
    </row>
    <row r="1901">
      <c r="A1901" s="55">
        <f>MIN(Inputs!$C$15,$A1900+IF(WEEKDAY($A1900,2)=5,3,1))</f>
        <v/>
      </c>
      <c r="B1901">
        <f>IF($A1901&gt;$A1900,1,0)</f>
        <v/>
      </c>
      <c r="C1901" s="56">
        <f>IF($B1901=0,"",IF(Inputs!$B$6="","",IF($AD1901=0,C1900,SUMIFS(Data!$B$10:$B$3209,Data!$A$10:$A$3209,"&gt;="&amp;$A1901,Data!$A$10:$A$3209,"&lt;"&amp;$A1901+1)/$AD1901)))</f>
        <v/>
      </c>
      <c r="D1901" s="56">
        <f>IF($B1901=0,"",IF(Inputs!$B$7="","",IF($AE1901=0,D1900,SUMIFS(Data!$F$10:$F$3209,Data!$E$10:$E$3209,"&gt;="&amp;$A1901,Data!$E$10:$E$3209,"&lt;"&amp;$A1901+1)/$AE1901)))</f>
        <v/>
      </c>
      <c r="E1901" s="56">
        <f>IF($B1901=0,"",IF(Inputs!$B$8="","",IF($AF1901=0,E1900,SUMIFS(Data!$J$10:$J$3209,Data!$I$10:$I$3209,"&gt;="&amp;$A1901,Data!$I$10:$I$3209,"&lt;"&amp;$A1901+1)/$AF1901)))</f>
        <v/>
      </c>
      <c r="F1901" s="56">
        <f>IF($B1901=0,"",IF(Inputs!$B$9="","",IF($AG1901=0,F1900,SUMIFS(Data!$N$10:$N$3209,Data!$M$10:$M$3209,"&gt;="&amp;$A1901,Data!$M$10:$M$3209,"&lt;"&amp;$A1901+1)/$AG1901)))</f>
        <v/>
      </c>
      <c r="G1901" s="56">
        <f>IF($B1901=0,"",IF(Inputs!$B$10="","",IF($AH1901=0,G1900,SUMIFS(Data!$R$10:$R$3209,Data!$Q$10:$Q$3209,"&gt;="&amp;$A1901,Data!$Q$10:$Q$3209,"&lt;"&amp;$A1901+1)/$AH1901)))</f>
        <v/>
      </c>
      <c r="I1901" s="54">
        <f>IF($B1901=0,NA(),IF($C1901="",NA(),IF(C$8="",NA(),IF(N(C$8)=0,NA(),IF(Inputs!$C$17="Rebased to 100",$C1901/C$8*100,$C1901)))))</f>
        <v/>
      </c>
      <c r="J1901" s="54">
        <f>IF($B1901=0,NA(),IF($D1901="",NA(),IF(D$8="",NA(),IF(N(D$8)=0,NA(),IF(Inputs!$C$17="Rebased to 100",$D1901/D$8*100,$D1901)))))</f>
        <v/>
      </c>
      <c r="K1901" s="54">
        <f>IF($B1901=0,NA(),IF($E1901="",NA(),IF(E$8="",NA(),IF(N(E$8)=0,NA(),IF(Inputs!$C$17="Rebased to 100",$E1901/E$8*100,$E1901)))))</f>
        <v/>
      </c>
      <c r="L1901" s="54">
        <f>IF($B1901=0,NA(),IF($F1901="",NA(),IF(F$8="",NA(),IF(N(F$8)=0,NA(),IF(Inputs!$C$17="Rebased to 100",$F1901/F$8*100,$F1901)))))</f>
        <v/>
      </c>
      <c r="M1901" s="54">
        <f>IF($B1901=0,NA(),IF($G1901="",NA(),IF(G$8="",NA(),IF(N(G$8)=0,NA(),IF(Inputs!$C$17="Rebased to 100",$G1901/G$8*100,$G1901)))))</f>
        <v/>
      </c>
      <c r="N1901" s="54">
        <f>IF($B1901=0,NA(),IF(Inputs!$C$18&lt;&gt;"Yes",NA(),IF(COUNT(I1901,J1901,K1901,L1901,M1901)=0,NA(),MIN(I1901,J1901,K1901,L1901,M1901))))</f>
        <v/>
      </c>
      <c r="O1901" s="54">
        <f>IF($B1901=0,NA(),IF(Inputs!$B$24&lt;&gt;"Yes",NA(),Inputs!$D$24*Inputs!$C$35))</f>
        <v/>
      </c>
      <c r="P1901" s="54">
        <f>IF($B1901=0,NA(),IF(Inputs!$B$25&lt;&gt;"Yes",NA(),Inputs!$D$25*Inputs!$C$35))</f>
        <v/>
      </c>
      <c r="Q1901" s="54">
        <f>IF($B1901=0,NA(),IF(Inputs!$B$26&lt;&gt;"Yes",NA(),Inputs!$D$26*Inputs!$C$35))</f>
        <v/>
      </c>
      <c r="R1901" s="54">
        <f>IF($B1901=0,NA(),IF(Inputs!$B$27&lt;&gt;"Yes",NA(),Inputs!$D$27*Inputs!$C$35))</f>
        <v/>
      </c>
      <c r="S1901" s="54">
        <f>IF($B1901=0,NA(),IF(Inputs!$B$28&lt;&gt;"Yes",NA(),Inputs!$D$28*Inputs!$C$35))</f>
        <v/>
      </c>
      <c r="T1901" s="54">
        <f>IF($B1901=0,NA(),IF(Inputs!$B$29&lt;&gt;"Yes",NA(),Inputs!$D$29*Inputs!$C$35))</f>
        <v/>
      </c>
      <c r="AD1901">
        <f>IF($B1901=0,0,IF(Inputs!$B$6="",0,COUNTIFS(Data!$A$10:$A$3209,"&gt;="&amp;$A1901,Data!$A$10:$A$3209,"&lt;"&amp;$A1901+1)))</f>
        <v/>
      </c>
      <c r="AE1901">
        <f>IF($B1901=0,0,IF(Inputs!$B$7="",0,COUNTIFS(Data!$E$10:$E$3209,"&gt;="&amp;$A1901,Data!$E$10:$E$3209,"&lt;"&amp;$A1901+1)))</f>
        <v/>
      </c>
      <c r="AF1901">
        <f>IF($B1901=0,0,IF(Inputs!$B$8="",0,COUNTIFS(Data!$I$10:$I$3209,"&gt;="&amp;$A1901,Data!$I$10:$I$3209,"&lt;"&amp;$A1901+1)))</f>
        <v/>
      </c>
      <c r="AG1901">
        <f>IF($B1901=0,0,IF(Inputs!$B$9="",0,COUNTIFS(Data!$M$10:$M$3209,"&gt;="&amp;$A1901,Data!$M$10:$M$3209,"&lt;"&amp;$A1901+1)))</f>
        <v/>
      </c>
      <c r="AH1901">
        <f>IF($B1901=0,0,IF(Inputs!$B$10="",0,COUNTIFS(Data!$Q$10:$Q$3209,"&gt;="&amp;$A1901,Data!$Q$10:$Q$3209,"&lt;"&amp;$A1901+1)))</f>
        <v/>
      </c>
    </row>
    <row r="1902">
      <c r="A1902" s="55">
        <f>MIN(Inputs!$C$15,$A1901+IF(WEEKDAY($A1901,2)=5,3,1))</f>
        <v/>
      </c>
      <c r="B1902">
        <f>IF($A1902&gt;$A1901,1,0)</f>
        <v/>
      </c>
      <c r="C1902" s="56">
        <f>IF($B1902=0,"",IF(Inputs!$B$6="","",IF($AD1902=0,C1901,SUMIFS(Data!$B$10:$B$3209,Data!$A$10:$A$3209,"&gt;="&amp;$A1902,Data!$A$10:$A$3209,"&lt;"&amp;$A1902+1)/$AD1902)))</f>
        <v/>
      </c>
      <c r="D1902" s="56">
        <f>IF($B1902=0,"",IF(Inputs!$B$7="","",IF($AE1902=0,D1901,SUMIFS(Data!$F$10:$F$3209,Data!$E$10:$E$3209,"&gt;="&amp;$A1902,Data!$E$10:$E$3209,"&lt;"&amp;$A1902+1)/$AE1902)))</f>
        <v/>
      </c>
      <c r="E1902" s="56">
        <f>IF($B1902=0,"",IF(Inputs!$B$8="","",IF($AF1902=0,E1901,SUMIFS(Data!$J$10:$J$3209,Data!$I$10:$I$3209,"&gt;="&amp;$A1902,Data!$I$10:$I$3209,"&lt;"&amp;$A1902+1)/$AF1902)))</f>
        <v/>
      </c>
      <c r="F1902" s="56">
        <f>IF($B1902=0,"",IF(Inputs!$B$9="","",IF($AG1902=0,F1901,SUMIFS(Data!$N$10:$N$3209,Data!$M$10:$M$3209,"&gt;="&amp;$A1902,Data!$M$10:$M$3209,"&lt;"&amp;$A1902+1)/$AG1902)))</f>
        <v/>
      </c>
      <c r="G1902" s="56">
        <f>IF($B1902=0,"",IF(Inputs!$B$10="","",IF($AH1902=0,G1901,SUMIFS(Data!$R$10:$R$3209,Data!$Q$10:$Q$3209,"&gt;="&amp;$A1902,Data!$Q$10:$Q$3209,"&lt;"&amp;$A1902+1)/$AH1902)))</f>
        <v/>
      </c>
      <c r="I1902" s="54">
        <f>IF($B1902=0,NA(),IF($C1902="",NA(),IF(C$8="",NA(),IF(N(C$8)=0,NA(),IF(Inputs!$C$17="Rebased to 100",$C1902/C$8*100,$C1902)))))</f>
        <v/>
      </c>
      <c r="J1902" s="54">
        <f>IF($B1902=0,NA(),IF($D1902="",NA(),IF(D$8="",NA(),IF(N(D$8)=0,NA(),IF(Inputs!$C$17="Rebased to 100",$D1902/D$8*100,$D1902)))))</f>
        <v/>
      </c>
      <c r="K1902" s="54">
        <f>IF($B1902=0,NA(),IF($E1902="",NA(),IF(E$8="",NA(),IF(N(E$8)=0,NA(),IF(Inputs!$C$17="Rebased to 100",$E1902/E$8*100,$E1902)))))</f>
        <v/>
      </c>
      <c r="L1902" s="54">
        <f>IF($B1902=0,NA(),IF($F1902="",NA(),IF(F$8="",NA(),IF(N(F$8)=0,NA(),IF(Inputs!$C$17="Rebased to 100",$F1902/F$8*100,$F1902)))))</f>
        <v/>
      </c>
      <c r="M1902" s="54">
        <f>IF($B1902=0,NA(),IF($G1902="",NA(),IF(G$8="",NA(),IF(N(G$8)=0,NA(),IF(Inputs!$C$17="Rebased to 100",$G1902/G$8*100,$G1902)))))</f>
        <v/>
      </c>
      <c r="N1902" s="54">
        <f>IF($B1902=0,NA(),IF(Inputs!$C$18&lt;&gt;"Yes",NA(),IF(COUNT(I1902,J1902,K1902,L1902,M1902)=0,NA(),MIN(I1902,J1902,K1902,L1902,M1902))))</f>
        <v/>
      </c>
      <c r="O1902" s="54">
        <f>IF($B1902=0,NA(),IF(Inputs!$B$24&lt;&gt;"Yes",NA(),Inputs!$D$24*Inputs!$C$35))</f>
        <v/>
      </c>
      <c r="P1902" s="54">
        <f>IF($B1902=0,NA(),IF(Inputs!$B$25&lt;&gt;"Yes",NA(),Inputs!$D$25*Inputs!$C$35))</f>
        <v/>
      </c>
      <c r="Q1902" s="54">
        <f>IF($B1902=0,NA(),IF(Inputs!$B$26&lt;&gt;"Yes",NA(),Inputs!$D$26*Inputs!$C$35))</f>
        <v/>
      </c>
      <c r="R1902" s="54">
        <f>IF($B1902=0,NA(),IF(Inputs!$B$27&lt;&gt;"Yes",NA(),Inputs!$D$27*Inputs!$C$35))</f>
        <v/>
      </c>
      <c r="S1902" s="54">
        <f>IF($B1902=0,NA(),IF(Inputs!$B$28&lt;&gt;"Yes",NA(),Inputs!$D$28*Inputs!$C$35))</f>
        <v/>
      </c>
      <c r="T1902" s="54">
        <f>IF($B1902=0,NA(),IF(Inputs!$B$29&lt;&gt;"Yes",NA(),Inputs!$D$29*Inputs!$C$35))</f>
        <v/>
      </c>
      <c r="AD1902">
        <f>IF($B1902=0,0,IF(Inputs!$B$6="",0,COUNTIFS(Data!$A$10:$A$3209,"&gt;="&amp;$A1902,Data!$A$10:$A$3209,"&lt;"&amp;$A1902+1)))</f>
        <v/>
      </c>
      <c r="AE1902">
        <f>IF($B1902=0,0,IF(Inputs!$B$7="",0,COUNTIFS(Data!$E$10:$E$3209,"&gt;="&amp;$A1902,Data!$E$10:$E$3209,"&lt;"&amp;$A1902+1)))</f>
        <v/>
      </c>
      <c r="AF1902">
        <f>IF($B1902=0,0,IF(Inputs!$B$8="",0,COUNTIFS(Data!$I$10:$I$3209,"&gt;="&amp;$A1902,Data!$I$10:$I$3209,"&lt;"&amp;$A1902+1)))</f>
        <v/>
      </c>
      <c r="AG1902">
        <f>IF($B1902=0,0,IF(Inputs!$B$9="",0,COUNTIFS(Data!$M$10:$M$3209,"&gt;="&amp;$A1902,Data!$M$10:$M$3209,"&lt;"&amp;$A1902+1)))</f>
        <v/>
      </c>
      <c r="AH1902">
        <f>IF($B1902=0,0,IF(Inputs!$B$10="",0,COUNTIFS(Data!$Q$10:$Q$3209,"&gt;="&amp;$A1902,Data!$Q$10:$Q$3209,"&lt;"&amp;$A1902+1)))</f>
        <v/>
      </c>
    </row>
    <row r="1903">
      <c r="A1903" s="55">
        <f>MIN(Inputs!$C$15,$A1902+IF(WEEKDAY($A1902,2)=5,3,1))</f>
        <v/>
      </c>
      <c r="B1903">
        <f>IF($A1903&gt;$A1902,1,0)</f>
        <v/>
      </c>
      <c r="C1903" s="56">
        <f>IF($B1903=0,"",IF(Inputs!$B$6="","",IF($AD1903=0,C1902,SUMIFS(Data!$B$10:$B$3209,Data!$A$10:$A$3209,"&gt;="&amp;$A1903,Data!$A$10:$A$3209,"&lt;"&amp;$A1903+1)/$AD1903)))</f>
        <v/>
      </c>
      <c r="D1903" s="56">
        <f>IF($B1903=0,"",IF(Inputs!$B$7="","",IF($AE1903=0,D1902,SUMIFS(Data!$F$10:$F$3209,Data!$E$10:$E$3209,"&gt;="&amp;$A1903,Data!$E$10:$E$3209,"&lt;"&amp;$A1903+1)/$AE1903)))</f>
        <v/>
      </c>
      <c r="E1903" s="56">
        <f>IF($B1903=0,"",IF(Inputs!$B$8="","",IF($AF1903=0,E1902,SUMIFS(Data!$J$10:$J$3209,Data!$I$10:$I$3209,"&gt;="&amp;$A1903,Data!$I$10:$I$3209,"&lt;"&amp;$A1903+1)/$AF1903)))</f>
        <v/>
      </c>
      <c r="F1903" s="56">
        <f>IF($B1903=0,"",IF(Inputs!$B$9="","",IF($AG1903=0,F1902,SUMIFS(Data!$N$10:$N$3209,Data!$M$10:$M$3209,"&gt;="&amp;$A1903,Data!$M$10:$M$3209,"&lt;"&amp;$A1903+1)/$AG1903)))</f>
        <v/>
      </c>
      <c r="G1903" s="56">
        <f>IF($B1903=0,"",IF(Inputs!$B$10="","",IF($AH1903=0,G1902,SUMIFS(Data!$R$10:$R$3209,Data!$Q$10:$Q$3209,"&gt;="&amp;$A1903,Data!$Q$10:$Q$3209,"&lt;"&amp;$A1903+1)/$AH1903)))</f>
        <v/>
      </c>
      <c r="I1903" s="54">
        <f>IF($B1903=0,NA(),IF($C1903="",NA(),IF(C$8="",NA(),IF(N(C$8)=0,NA(),IF(Inputs!$C$17="Rebased to 100",$C1903/C$8*100,$C1903)))))</f>
        <v/>
      </c>
      <c r="J1903" s="54">
        <f>IF($B1903=0,NA(),IF($D1903="",NA(),IF(D$8="",NA(),IF(N(D$8)=0,NA(),IF(Inputs!$C$17="Rebased to 100",$D1903/D$8*100,$D1903)))))</f>
        <v/>
      </c>
      <c r="K1903" s="54">
        <f>IF($B1903=0,NA(),IF($E1903="",NA(),IF(E$8="",NA(),IF(N(E$8)=0,NA(),IF(Inputs!$C$17="Rebased to 100",$E1903/E$8*100,$E1903)))))</f>
        <v/>
      </c>
      <c r="L1903" s="54">
        <f>IF($B1903=0,NA(),IF($F1903="",NA(),IF(F$8="",NA(),IF(N(F$8)=0,NA(),IF(Inputs!$C$17="Rebased to 100",$F1903/F$8*100,$F1903)))))</f>
        <v/>
      </c>
      <c r="M1903" s="54">
        <f>IF($B1903=0,NA(),IF($G1903="",NA(),IF(G$8="",NA(),IF(N(G$8)=0,NA(),IF(Inputs!$C$17="Rebased to 100",$G1903/G$8*100,$G1903)))))</f>
        <v/>
      </c>
      <c r="N1903" s="54">
        <f>IF($B1903=0,NA(),IF(Inputs!$C$18&lt;&gt;"Yes",NA(),IF(COUNT(I1903,J1903,K1903,L1903,M1903)=0,NA(),MIN(I1903,J1903,K1903,L1903,M1903))))</f>
        <v/>
      </c>
      <c r="O1903" s="54">
        <f>IF($B1903=0,NA(),IF(Inputs!$B$24&lt;&gt;"Yes",NA(),Inputs!$D$24*Inputs!$C$35))</f>
        <v/>
      </c>
      <c r="P1903" s="54">
        <f>IF($B1903=0,NA(),IF(Inputs!$B$25&lt;&gt;"Yes",NA(),Inputs!$D$25*Inputs!$C$35))</f>
        <v/>
      </c>
      <c r="Q1903" s="54">
        <f>IF($B1903=0,NA(),IF(Inputs!$B$26&lt;&gt;"Yes",NA(),Inputs!$D$26*Inputs!$C$35))</f>
        <v/>
      </c>
      <c r="R1903" s="54">
        <f>IF($B1903=0,NA(),IF(Inputs!$B$27&lt;&gt;"Yes",NA(),Inputs!$D$27*Inputs!$C$35))</f>
        <v/>
      </c>
      <c r="S1903" s="54">
        <f>IF($B1903=0,NA(),IF(Inputs!$B$28&lt;&gt;"Yes",NA(),Inputs!$D$28*Inputs!$C$35))</f>
        <v/>
      </c>
      <c r="T1903" s="54">
        <f>IF($B1903=0,NA(),IF(Inputs!$B$29&lt;&gt;"Yes",NA(),Inputs!$D$29*Inputs!$C$35))</f>
        <v/>
      </c>
      <c r="AD1903">
        <f>IF($B1903=0,0,IF(Inputs!$B$6="",0,COUNTIFS(Data!$A$10:$A$3209,"&gt;="&amp;$A1903,Data!$A$10:$A$3209,"&lt;"&amp;$A1903+1)))</f>
        <v/>
      </c>
      <c r="AE1903">
        <f>IF($B1903=0,0,IF(Inputs!$B$7="",0,COUNTIFS(Data!$E$10:$E$3209,"&gt;="&amp;$A1903,Data!$E$10:$E$3209,"&lt;"&amp;$A1903+1)))</f>
        <v/>
      </c>
      <c r="AF1903">
        <f>IF($B1903=0,0,IF(Inputs!$B$8="",0,COUNTIFS(Data!$I$10:$I$3209,"&gt;="&amp;$A1903,Data!$I$10:$I$3209,"&lt;"&amp;$A1903+1)))</f>
        <v/>
      </c>
      <c r="AG1903">
        <f>IF($B1903=0,0,IF(Inputs!$B$9="",0,COUNTIFS(Data!$M$10:$M$3209,"&gt;="&amp;$A1903,Data!$M$10:$M$3209,"&lt;"&amp;$A1903+1)))</f>
        <v/>
      </c>
      <c r="AH1903">
        <f>IF($B1903=0,0,IF(Inputs!$B$10="",0,COUNTIFS(Data!$Q$10:$Q$3209,"&gt;="&amp;$A1903,Data!$Q$10:$Q$3209,"&lt;"&amp;$A1903+1)))</f>
        <v/>
      </c>
    </row>
    <row r="1904">
      <c r="A1904" s="55">
        <f>MIN(Inputs!$C$15,$A1903+IF(WEEKDAY($A1903,2)=5,3,1))</f>
        <v/>
      </c>
      <c r="B1904">
        <f>IF($A1904&gt;$A1903,1,0)</f>
        <v/>
      </c>
      <c r="C1904" s="56">
        <f>IF($B1904=0,"",IF(Inputs!$B$6="","",IF($AD1904=0,C1903,SUMIFS(Data!$B$10:$B$3209,Data!$A$10:$A$3209,"&gt;="&amp;$A1904,Data!$A$10:$A$3209,"&lt;"&amp;$A1904+1)/$AD1904)))</f>
        <v/>
      </c>
      <c r="D1904" s="56">
        <f>IF($B1904=0,"",IF(Inputs!$B$7="","",IF($AE1904=0,D1903,SUMIFS(Data!$F$10:$F$3209,Data!$E$10:$E$3209,"&gt;="&amp;$A1904,Data!$E$10:$E$3209,"&lt;"&amp;$A1904+1)/$AE1904)))</f>
        <v/>
      </c>
      <c r="E1904" s="56">
        <f>IF($B1904=0,"",IF(Inputs!$B$8="","",IF($AF1904=0,E1903,SUMIFS(Data!$J$10:$J$3209,Data!$I$10:$I$3209,"&gt;="&amp;$A1904,Data!$I$10:$I$3209,"&lt;"&amp;$A1904+1)/$AF1904)))</f>
        <v/>
      </c>
      <c r="F1904" s="56">
        <f>IF($B1904=0,"",IF(Inputs!$B$9="","",IF($AG1904=0,F1903,SUMIFS(Data!$N$10:$N$3209,Data!$M$10:$M$3209,"&gt;="&amp;$A1904,Data!$M$10:$M$3209,"&lt;"&amp;$A1904+1)/$AG1904)))</f>
        <v/>
      </c>
      <c r="G1904" s="56">
        <f>IF($B1904=0,"",IF(Inputs!$B$10="","",IF($AH1904=0,G1903,SUMIFS(Data!$R$10:$R$3209,Data!$Q$10:$Q$3209,"&gt;="&amp;$A1904,Data!$Q$10:$Q$3209,"&lt;"&amp;$A1904+1)/$AH1904)))</f>
        <v/>
      </c>
      <c r="I1904" s="54">
        <f>IF($B1904=0,NA(),IF($C1904="",NA(),IF(C$8="",NA(),IF(N(C$8)=0,NA(),IF(Inputs!$C$17="Rebased to 100",$C1904/C$8*100,$C1904)))))</f>
        <v/>
      </c>
      <c r="J1904" s="54">
        <f>IF($B1904=0,NA(),IF($D1904="",NA(),IF(D$8="",NA(),IF(N(D$8)=0,NA(),IF(Inputs!$C$17="Rebased to 100",$D1904/D$8*100,$D1904)))))</f>
        <v/>
      </c>
      <c r="K1904" s="54">
        <f>IF($B1904=0,NA(),IF($E1904="",NA(),IF(E$8="",NA(),IF(N(E$8)=0,NA(),IF(Inputs!$C$17="Rebased to 100",$E1904/E$8*100,$E1904)))))</f>
        <v/>
      </c>
      <c r="L1904" s="54">
        <f>IF($B1904=0,NA(),IF($F1904="",NA(),IF(F$8="",NA(),IF(N(F$8)=0,NA(),IF(Inputs!$C$17="Rebased to 100",$F1904/F$8*100,$F1904)))))</f>
        <v/>
      </c>
      <c r="M1904" s="54">
        <f>IF($B1904=0,NA(),IF($G1904="",NA(),IF(G$8="",NA(),IF(N(G$8)=0,NA(),IF(Inputs!$C$17="Rebased to 100",$G1904/G$8*100,$G1904)))))</f>
        <v/>
      </c>
      <c r="N1904" s="54">
        <f>IF($B1904=0,NA(),IF(Inputs!$C$18&lt;&gt;"Yes",NA(),IF(COUNT(I1904,J1904,K1904,L1904,M1904)=0,NA(),MIN(I1904,J1904,K1904,L1904,M1904))))</f>
        <v/>
      </c>
      <c r="O1904" s="54">
        <f>IF($B1904=0,NA(),IF(Inputs!$B$24&lt;&gt;"Yes",NA(),Inputs!$D$24*Inputs!$C$35))</f>
        <v/>
      </c>
      <c r="P1904" s="54">
        <f>IF($B1904=0,NA(),IF(Inputs!$B$25&lt;&gt;"Yes",NA(),Inputs!$D$25*Inputs!$C$35))</f>
        <v/>
      </c>
      <c r="Q1904" s="54">
        <f>IF($B1904=0,NA(),IF(Inputs!$B$26&lt;&gt;"Yes",NA(),Inputs!$D$26*Inputs!$C$35))</f>
        <v/>
      </c>
      <c r="R1904" s="54">
        <f>IF($B1904=0,NA(),IF(Inputs!$B$27&lt;&gt;"Yes",NA(),Inputs!$D$27*Inputs!$C$35))</f>
        <v/>
      </c>
      <c r="S1904" s="54">
        <f>IF($B1904=0,NA(),IF(Inputs!$B$28&lt;&gt;"Yes",NA(),Inputs!$D$28*Inputs!$C$35))</f>
        <v/>
      </c>
      <c r="T1904" s="54">
        <f>IF($B1904=0,NA(),IF(Inputs!$B$29&lt;&gt;"Yes",NA(),Inputs!$D$29*Inputs!$C$35))</f>
        <v/>
      </c>
      <c r="AD1904">
        <f>IF($B1904=0,0,IF(Inputs!$B$6="",0,COUNTIFS(Data!$A$10:$A$3209,"&gt;="&amp;$A1904,Data!$A$10:$A$3209,"&lt;"&amp;$A1904+1)))</f>
        <v/>
      </c>
      <c r="AE1904">
        <f>IF($B1904=0,0,IF(Inputs!$B$7="",0,COUNTIFS(Data!$E$10:$E$3209,"&gt;="&amp;$A1904,Data!$E$10:$E$3209,"&lt;"&amp;$A1904+1)))</f>
        <v/>
      </c>
      <c r="AF1904">
        <f>IF($B1904=0,0,IF(Inputs!$B$8="",0,COUNTIFS(Data!$I$10:$I$3209,"&gt;="&amp;$A1904,Data!$I$10:$I$3209,"&lt;"&amp;$A1904+1)))</f>
        <v/>
      </c>
      <c r="AG1904">
        <f>IF($B1904=0,0,IF(Inputs!$B$9="",0,COUNTIFS(Data!$M$10:$M$3209,"&gt;="&amp;$A1904,Data!$M$10:$M$3209,"&lt;"&amp;$A1904+1)))</f>
        <v/>
      </c>
      <c r="AH1904">
        <f>IF($B1904=0,0,IF(Inputs!$B$10="",0,COUNTIFS(Data!$Q$10:$Q$3209,"&gt;="&amp;$A1904,Data!$Q$10:$Q$3209,"&lt;"&amp;$A1904+1)))</f>
        <v/>
      </c>
    </row>
    <row r="1905">
      <c r="A1905" s="55">
        <f>MIN(Inputs!$C$15,$A1904+IF(WEEKDAY($A1904,2)=5,3,1))</f>
        <v/>
      </c>
      <c r="B1905">
        <f>IF($A1905&gt;$A1904,1,0)</f>
        <v/>
      </c>
      <c r="C1905" s="56">
        <f>IF($B1905=0,"",IF(Inputs!$B$6="","",IF($AD1905=0,C1904,SUMIFS(Data!$B$10:$B$3209,Data!$A$10:$A$3209,"&gt;="&amp;$A1905,Data!$A$10:$A$3209,"&lt;"&amp;$A1905+1)/$AD1905)))</f>
        <v/>
      </c>
      <c r="D1905" s="56">
        <f>IF($B1905=0,"",IF(Inputs!$B$7="","",IF($AE1905=0,D1904,SUMIFS(Data!$F$10:$F$3209,Data!$E$10:$E$3209,"&gt;="&amp;$A1905,Data!$E$10:$E$3209,"&lt;"&amp;$A1905+1)/$AE1905)))</f>
        <v/>
      </c>
      <c r="E1905" s="56">
        <f>IF($B1905=0,"",IF(Inputs!$B$8="","",IF($AF1905=0,E1904,SUMIFS(Data!$J$10:$J$3209,Data!$I$10:$I$3209,"&gt;="&amp;$A1905,Data!$I$10:$I$3209,"&lt;"&amp;$A1905+1)/$AF1905)))</f>
        <v/>
      </c>
      <c r="F1905" s="56">
        <f>IF($B1905=0,"",IF(Inputs!$B$9="","",IF($AG1905=0,F1904,SUMIFS(Data!$N$10:$N$3209,Data!$M$10:$M$3209,"&gt;="&amp;$A1905,Data!$M$10:$M$3209,"&lt;"&amp;$A1905+1)/$AG1905)))</f>
        <v/>
      </c>
      <c r="G1905" s="56">
        <f>IF($B1905=0,"",IF(Inputs!$B$10="","",IF($AH1905=0,G1904,SUMIFS(Data!$R$10:$R$3209,Data!$Q$10:$Q$3209,"&gt;="&amp;$A1905,Data!$Q$10:$Q$3209,"&lt;"&amp;$A1905+1)/$AH1905)))</f>
        <v/>
      </c>
      <c r="I1905" s="54">
        <f>IF($B1905=0,NA(),IF($C1905="",NA(),IF(C$8="",NA(),IF(N(C$8)=0,NA(),IF(Inputs!$C$17="Rebased to 100",$C1905/C$8*100,$C1905)))))</f>
        <v/>
      </c>
      <c r="J1905" s="54">
        <f>IF($B1905=0,NA(),IF($D1905="",NA(),IF(D$8="",NA(),IF(N(D$8)=0,NA(),IF(Inputs!$C$17="Rebased to 100",$D1905/D$8*100,$D1905)))))</f>
        <v/>
      </c>
      <c r="K1905" s="54">
        <f>IF($B1905=0,NA(),IF($E1905="",NA(),IF(E$8="",NA(),IF(N(E$8)=0,NA(),IF(Inputs!$C$17="Rebased to 100",$E1905/E$8*100,$E1905)))))</f>
        <v/>
      </c>
      <c r="L1905" s="54">
        <f>IF($B1905=0,NA(),IF($F1905="",NA(),IF(F$8="",NA(),IF(N(F$8)=0,NA(),IF(Inputs!$C$17="Rebased to 100",$F1905/F$8*100,$F1905)))))</f>
        <v/>
      </c>
      <c r="M1905" s="54">
        <f>IF($B1905=0,NA(),IF($G1905="",NA(),IF(G$8="",NA(),IF(N(G$8)=0,NA(),IF(Inputs!$C$17="Rebased to 100",$G1905/G$8*100,$G1905)))))</f>
        <v/>
      </c>
      <c r="N1905" s="54">
        <f>IF($B1905=0,NA(),IF(Inputs!$C$18&lt;&gt;"Yes",NA(),IF(COUNT(I1905,J1905,K1905,L1905,M1905)=0,NA(),MIN(I1905,J1905,K1905,L1905,M1905))))</f>
        <v/>
      </c>
      <c r="O1905" s="54">
        <f>IF($B1905=0,NA(),IF(Inputs!$B$24&lt;&gt;"Yes",NA(),Inputs!$D$24*Inputs!$C$35))</f>
        <v/>
      </c>
      <c r="P1905" s="54">
        <f>IF($B1905=0,NA(),IF(Inputs!$B$25&lt;&gt;"Yes",NA(),Inputs!$D$25*Inputs!$C$35))</f>
        <v/>
      </c>
      <c r="Q1905" s="54">
        <f>IF($B1905=0,NA(),IF(Inputs!$B$26&lt;&gt;"Yes",NA(),Inputs!$D$26*Inputs!$C$35))</f>
        <v/>
      </c>
      <c r="R1905" s="54">
        <f>IF($B1905=0,NA(),IF(Inputs!$B$27&lt;&gt;"Yes",NA(),Inputs!$D$27*Inputs!$C$35))</f>
        <v/>
      </c>
      <c r="S1905" s="54">
        <f>IF($B1905=0,NA(),IF(Inputs!$B$28&lt;&gt;"Yes",NA(),Inputs!$D$28*Inputs!$C$35))</f>
        <v/>
      </c>
      <c r="T1905" s="54">
        <f>IF($B1905=0,NA(),IF(Inputs!$B$29&lt;&gt;"Yes",NA(),Inputs!$D$29*Inputs!$C$35))</f>
        <v/>
      </c>
      <c r="AD1905">
        <f>IF($B1905=0,0,IF(Inputs!$B$6="",0,COUNTIFS(Data!$A$10:$A$3209,"&gt;="&amp;$A1905,Data!$A$10:$A$3209,"&lt;"&amp;$A1905+1)))</f>
        <v/>
      </c>
      <c r="AE1905">
        <f>IF($B1905=0,0,IF(Inputs!$B$7="",0,COUNTIFS(Data!$E$10:$E$3209,"&gt;="&amp;$A1905,Data!$E$10:$E$3209,"&lt;"&amp;$A1905+1)))</f>
        <v/>
      </c>
      <c r="AF1905">
        <f>IF($B1905=0,0,IF(Inputs!$B$8="",0,COUNTIFS(Data!$I$10:$I$3209,"&gt;="&amp;$A1905,Data!$I$10:$I$3209,"&lt;"&amp;$A1905+1)))</f>
        <v/>
      </c>
      <c r="AG1905">
        <f>IF($B1905=0,0,IF(Inputs!$B$9="",0,COUNTIFS(Data!$M$10:$M$3209,"&gt;="&amp;$A1905,Data!$M$10:$M$3209,"&lt;"&amp;$A1905+1)))</f>
        <v/>
      </c>
      <c r="AH1905">
        <f>IF($B1905=0,0,IF(Inputs!$B$10="",0,COUNTIFS(Data!$Q$10:$Q$3209,"&gt;="&amp;$A1905,Data!$Q$10:$Q$3209,"&lt;"&amp;$A1905+1)))</f>
        <v/>
      </c>
    </row>
    <row r="1906">
      <c r="A1906" s="55">
        <f>MIN(Inputs!$C$15,$A1905+IF(WEEKDAY($A1905,2)=5,3,1))</f>
        <v/>
      </c>
      <c r="B1906">
        <f>IF($A1906&gt;$A1905,1,0)</f>
        <v/>
      </c>
      <c r="C1906" s="56">
        <f>IF($B1906=0,"",IF(Inputs!$B$6="","",IF($AD1906=0,C1905,SUMIFS(Data!$B$10:$B$3209,Data!$A$10:$A$3209,"&gt;="&amp;$A1906,Data!$A$10:$A$3209,"&lt;"&amp;$A1906+1)/$AD1906)))</f>
        <v/>
      </c>
      <c r="D1906" s="56">
        <f>IF($B1906=0,"",IF(Inputs!$B$7="","",IF($AE1906=0,D1905,SUMIFS(Data!$F$10:$F$3209,Data!$E$10:$E$3209,"&gt;="&amp;$A1906,Data!$E$10:$E$3209,"&lt;"&amp;$A1906+1)/$AE1906)))</f>
        <v/>
      </c>
      <c r="E1906" s="56">
        <f>IF($B1906=0,"",IF(Inputs!$B$8="","",IF($AF1906=0,E1905,SUMIFS(Data!$J$10:$J$3209,Data!$I$10:$I$3209,"&gt;="&amp;$A1906,Data!$I$10:$I$3209,"&lt;"&amp;$A1906+1)/$AF1906)))</f>
        <v/>
      </c>
      <c r="F1906" s="56">
        <f>IF($B1906=0,"",IF(Inputs!$B$9="","",IF($AG1906=0,F1905,SUMIFS(Data!$N$10:$N$3209,Data!$M$10:$M$3209,"&gt;="&amp;$A1906,Data!$M$10:$M$3209,"&lt;"&amp;$A1906+1)/$AG1906)))</f>
        <v/>
      </c>
      <c r="G1906" s="56">
        <f>IF($B1906=0,"",IF(Inputs!$B$10="","",IF($AH1906=0,G1905,SUMIFS(Data!$R$10:$R$3209,Data!$Q$10:$Q$3209,"&gt;="&amp;$A1906,Data!$Q$10:$Q$3209,"&lt;"&amp;$A1906+1)/$AH1906)))</f>
        <v/>
      </c>
      <c r="I1906" s="54">
        <f>IF($B1906=0,NA(),IF($C1906="",NA(),IF(C$8="",NA(),IF(N(C$8)=0,NA(),IF(Inputs!$C$17="Rebased to 100",$C1906/C$8*100,$C1906)))))</f>
        <v/>
      </c>
      <c r="J1906" s="54">
        <f>IF($B1906=0,NA(),IF($D1906="",NA(),IF(D$8="",NA(),IF(N(D$8)=0,NA(),IF(Inputs!$C$17="Rebased to 100",$D1906/D$8*100,$D1906)))))</f>
        <v/>
      </c>
      <c r="K1906" s="54">
        <f>IF($B1906=0,NA(),IF($E1906="",NA(),IF(E$8="",NA(),IF(N(E$8)=0,NA(),IF(Inputs!$C$17="Rebased to 100",$E1906/E$8*100,$E1906)))))</f>
        <v/>
      </c>
      <c r="L1906" s="54">
        <f>IF($B1906=0,NA(),IF($F1906="",NA(),IF(F$8="",NA(),IF(N(F$8)=0,NA(),IF(Inputs!$C$17="Rebased to 100",$F1906/F$8*100,$F1906)))))</f>
        <v/>
      </c>
      <c r="M1906" s="54">
        <f>IF($B1906=0,NA(),IF($G1906="",NA(),IF(G$8="",NA(),IF(N(G$8)=0,NA(),IF(Inputs!$C$17="Rebased to 100",$G1906/G$8*100,$G1906)))))</f>
        <v/>
      </c>
      <c r="N1906" s="54">
        <f>IF($B1906=0,NA(),IF(Inputs!$C$18&lt;&gt;"Yes",NA(),IF(COUNT(I1906,J1906,K1906,L1906,M1906)=0,NA(),MIN(I1906,J1906,K1906,L1906,M1906))))</f>
        <v/>
      </c>
      <c r="O1906" s="54">
        <f>IF($B1906=0,NA(),IF(Inputs!$B$24&lt;&gt;"Yes",NA(),Inputs!$D$24*Inputs!$C$35))</f>
        <v/>
      </c>
      <c r="P1906" s="54">
        <f>IF($B1906=0,NA(),IF(Inputs!$B$25&lt;&gt;"Yes",NA(),Inputs!$D$25*Inputs!$C$35))</f>
        <v/>
      </c>
      <c r="Q1906" s="54">
        <f>IF($B1906=0,NA(),IF(Inputs!$B$26&lt;&gt;"Yes",NA(),Inputs!$D$26*Inputs!$C$35))</f>
        <v/>
      </c>
      <c r="R1906" s="54">
        <f>IF($B1906=0,NA(),IF(Inputs!$B$27&lt;&gt;"Yes",NA(),Inputs!$D$27*Inputs!$C$35))</f>
        <v/>
      </c>
      <c r="S1906" s="54">
        <f>IF($B1906=0,NA(),IF(Inputs!$B$28&lt;&gt;"Yes",NA(),Inputs!$D$28*Inputs!$C$35))</f>
        <v/>
      </c>
      <c r="T1906" s="54">
        <f>IF($B1906=0,NA(),IF(Inputs!$B$29&lt;&gt;"Yes",NA(),Inputs!$D$29*Inputs!$C$35))</f>
        <v/>
      </c>
      <c r="AD1906">
        <f>IF($B1906=0,0,IF(Inputs!$B$6="",0,COUNTIFS(Data!$A$10:$A$3209,"&gt;="&amp;$A1906,Data!$A$10:$A$3209,"&lt;"&amp;$A1906+1)))</f>
        <v/>
      </c>
      <c r="AE1906">
        <f>IF($B1906=0,0,IF(Inputs!$B$7="",0,COUNTIFS(Data!$E$10:$E$3209,"&gt;="&amp;$A1906,Data!$E$10:$E$3209,"&lt;"&amp;$A1906+1)))</f>
        <v/>
      </c>
      <c r="AF1906">
        <f>IF($B1906=0,0,IF(Inputs!$B$8="",0,COUNTIFS(Data!$I$10:$I$3209,"&gt;="&amp;$A1906,Data!$I$10:$I$3209,"&lt;"&amp;$A1906+1)))</f>
        <v/>
      </c>
      <c r="AG1906">
        <f>IF($B1906=0,0,IF(Inputs!$B$9="",0,COUNTIFS(Data!$M$10:$M$3209,"&gt;="&amp;$A1906,Data!$M$10:$M$3209,"&lt;"&amp;$A1906+1)))</f>
        <v/>
      </c>
      <c r="AH1906">
        <f>IF($B1906=0,0,IF(Inputs!$B$10="",0,COUNTIFS(Data!$Q$10:$Q$3209,"&gt;="&amp;$A1906,Data!$Q$10:$Q$3209,"&lt;"&amp;$A1906+1)))</f>
        <v/>
      </c>
    </row>
    <row r="1907">
      <c r="A1907" s="55">
        <f>MIN(Inputs!$C$15,$A1906+IF(WEEKDAY($A1906,2)=5,3,1))</f>
        <v/>
      </c>
      <c r="B1907">
        <f>IF($A1907&gt;$A1906,1,0)</f>
        <v/>
      </c>
      <c r="C1907" s="56">
        <f>IF($B1907=0,"",IF(Inputs!$B$6="","",IF($AD1907=0,C1906,SUMIFS(Data!$B$10:$B$3209,Data!$A$10:$A$3209,"&gt;="&amp;$A1907,Data!$A$10:$A$3209,"&lt;"&amp;$A1907+1)/$AD1907)))</f>
        <v/>
      </c>
      <c r="D1907" s="56">
        <f>IF($B1907=0,"",IF(Inputs!$B$7="","",IF($AE1907=0,D1906,SUMIFS(Data!$F$10:$F$3209,Data!$E$10:$E$3209,"&gt;="&amp;$A1907,Data!$E$10:$E$3209,"&lt;"&amp;$A1907+1)/$AE1907)))</f>
        <v/>
      </c>
      <c r="E1907" s="56">
        <f>IF($B1907=0,"",IF(Inputs!$B$8="","",IF($AF1907=0,E1906,SUMIFS(Data!$J$10:$J$3209,Data!$I$10:$I$3209,"&gt;="&amp;$A1907,Data!$I$10:$I$3209,"&lt;"&amp;$A1907+1)/$AF1907)))</f>
        <v/>
      </c>
      <c r="F1907" s="56">
        <f>IF($B1907=0,"",IF(Inputs!$B$9="","",IF($AG1907=0,F1906,SUMIFS(Data!$N$10:$N$3209,Data!$M$10:$M$3209,"&gt;="&amp;$A1907,Data!$M$10:$M$3209,"&lt;"&amp;$A1907+1)/$AG1907)))</f>
        <v/>
      </c>
      <c r="G1907" s="56">
        <f>IF($B1907=0,"",IF(Inputs!$B$10="","",IF($AH1907=0,G1906,SUMIFS(Data!$R$10:$R$3209,Data!$Q$10:$Q$3209,"&gt;="&amp;$A1907,Data!$Q$10:$Q$3209,"&lt;"&amp;$A1907+1)/$AH1907)))</f>
        <v/>
      </c>
      <c r="I1907" s="54">
        <f>IF($B1907=0,NA(),IF($C1907="",NA(),IF(C$8="",NA(),IF(N(C$8)=0,NA(),IF(Inputs!$C$17="Rebased to 100",$C1907/C$8*100,$C1907)))))</f>
        <v/>
      </c>
      <c r="J1907" s="54">
        <f>IF($B1907=0,NA(),IF($D1907="",NA(),IF(D$8="",NA(),IF(N(D$8)=0,NA(),IF(Inputs!$C$17="Rebased to 100",$D1907/D$8*100,$D1907)))))</f>
        <v/>
      </c>
      <c r="K1907" s="54">
        <f>IF($B1907=0,NA(),IF($E1907="",NA(),IF(E$8="",NA(),IF(N(E$8)=0,NA(),IF(Inputs!$C$17="Rebased to 100",$E1907/E$8*100,$E1907)))))</f>
        <v/>
      </c>
      <c r="L1907" s="54">
        <f>IF($B1907=0,NA(),IF($F1907="",NA(),IF(F$8="",NA(),IF(N(F$8)=0,NA(),IF(Inputs!$C$17="Rebased to 100",$F1907/F$8*100,$F1907)))))</f>
        <v/>
      </c>
      <c r="M1907" s="54">
        <f>IF($B1907=0,NA(),IF($G1907="",NA(),IF(G$8="",NA(),IF(N(G$8)=0,NA(),IF(Inputs!$C$17="Rebased to 100",$G1907/G$8*100,$G1907)))))</f>
        <v/>
      </c>
      <c r="N1907" s="54">
        <f>IF($B1907=0,NA(),IF(Inputs!$C$18&lt;&gt;"Yes",NA(),IF(COUNT(I1907,J1907,K1907,L1907,M1907)=0,NA(),MIN(I1907,J1907,K1907,L1907,M1907))))</f>
        <v/>
      </c>
      <c r="O1907" s="54">
        <f>IF($B1907=0,NA(),IF(Inputs!$B$24&lt;&gt;"Yes",NA(),Inputs!$D$24*Inputs!$C$35))</f>
        <v/>
      </c>
      <c r="P1907" s="54">
        <f>IF($B1907=0,NA(),IF(Inputs!$B$25&lt;&gt;"Yes",NA(),Inputs!$D$25*Inputs!$C$35))</f>
        <v/>
      </c>
      <c r="Q1907" s="54">
        <f>IF($B1907=0,NA(),IF(Inputs!$B$26&lt;&gt;"Yes",NA(),Inputs!$D$26*Inputs!$C$35))</f>
        <v/>
      </c>
      <c r="R1907" s="54">
        <f>IF($B1907=0,NA(),IF(Inputs!$B$27&lt;&gt;"Yes",NA(),Inputs!$D$27*Inputs!$C$35))</f>
        <v/>
      </c>
      <c r="S1907" s="54">
        <f>IF($B1907=0,NA(),IF(Inputs!$B$28&lt;&gt;"Yes",NA(),Inputs!$D$28*Inputs!$C$35))</f>
        <v/>
      </c>
      <c r="T1907" s="54">
        <f>IF($B1907=0,NA(),IF(Inputs!$B$29&lt;&gt;"Yes",NA(),Inputs!$D$29*Inputs!$C$35))</f>
        <v/>
      </c>
      <c r="AD1907">
        <f>IF($B1907=0,0,IF(Inputs!$B$6="",0,COUNTIFS(Data!$A$10:$A$3209,"&gt;="&amp;$A1907,Data!$A$10:$A$3209,"&lt;"&amp;$A1907+1)))</f>
        <v/>
      </c>
      <c r="AE1907">
        <f>IF($B1907=0,0,IF(Inputs!$B$7="",0,COUNTIFS(Data!$E$10:$E$3209,"&gt;="&amp;$A1907,Data!$E$10:$E$3209,"&lt;"&amp;$A1907+1)))</f>
        <v/>
      </c>
      <c r="AF1907">
        <f>IF($B1907=0,0,IF(Inputs!$B$8="",0,COUNTIFS(Data!$I$10:$I$3209,"&gt;="&amp;$A1907,Data!$I$10:$I$3209,"&lt;"&amp;$A1907+1)))</f>
        <v/>
      </c>
      <c r="AG1907">
        <f>IF($B1907=0,0,IF(Inputs!$B$9="",0,COUNTIFS(Data!$M$10:$M$3209,"&gt;="&amp;$A1907,Data!$M$10:$M$3209,"&lt;"&amp;$A1907+1)))</f>
        <v/>
      </c>
      <c r="AH1907">
        <f>IF($B1907=0,0,IF(Inputs!$B$10="",0,COUNTIFS(Data!$Q$10:$Q$3209,"&gt;="&amp;$A1907,Data!$Q$10:$Q$3209,"&lt;"&amp;$A1907+1)))</f>
        <v/>
      </c>
    </row>
    <row r="1908">
      <c r="A1908" s="55">
        <f>MIN(Inputs!$C$15,$A1907+IF(WEEKDAY($A1907,2)=5,3,1))</f>
        <v/>
      </c>
      <c r="B1908">
        <f>IF($A1908&gt;$A1907,1,0)</f>
        <v/>
      </c>
      <c r="C1908" s="56">
        <f>IF($B1908=0,"",IF(Inputs!$B$6="","",IF($AD1908=0,C1907,SUMIFS(Data!$B$10:$B$3209,Data!$A$10:$A$3209,"&gt;="&amp;$A1908,Data!$A$10:$A$3209,"&lt;"&amp;$A1908+1)/$AD1908)))</f>
        <v/>
      </c>
      <c r="D1908" s="56">
        <f>IF($B1908=0,"",IF(Inputs!$B$7="","",IF($AE1908=0,D1907,SUMIFS(Data!$F$10:$F$3209,Data!$E$10:$E$3209,"&gt;="&amp;$A1908,Data!$E$10:$E$3209,"&lt;"&amp;$A1908+1)/$AE1908)))</f>
        <v/>
      </c>
      <c r="E1908" s="56">
        <f>IF($B1908=0,"",IF(Inputs!$B$8="","",IF($AF1908=0,E1907,SUMIFS(Data!$J$10:$J$3209,Data!$I$10:$I$3209,"&gt;="&amp;$A1908,Data!$I$10:$I$3209,"&lt;"&amp;$A1908+1)/$AF1908)))</f>
        <v/>
      </c>
      <c r="F1908" s="56">
        <f>IF($B1908=0,"",IF(Inputs!$B$9="","",IF($AG1908=0,F1907,SUMIFS(Data!$N$10:$N$3209,Data!$M$10:$M$3209,"&gt;="&amp;$A1908,Data!$M$10:$M$3209,"&lt;"&amp;$A1908+1)/$AG1908)))</f>
        <v/>
      </c>
      <c r="G1908" s="56">
        <f>IF($B1908=0,"",IF(Inputs!$B$10="","",IF($AH1908=0,G1907,SUMIFS(Data!$R$10:$R$3209,Data!$Q$10:$Q$3209,"&gt;="&amp;$A1908,Data!$Q$10:$Q$3209,"&lt;"&amp;$A1908+1)/$AH1908)))</f>
        <v/>
      </c>
      <c r="I1908" s="54">
        <f>IF($B1908=0,NA(),IF($C1908="",NA(),IF(C$8="",NA(),IF(N(C$8)=0,NA(),IF(Inputs!$C$17="Rebased to 100",$C1908/C$8*100,$C1908)))))</f>
        <v/>
      </c>
      <c r="J1908" s="54">
        <f>IF($B1908=0,NA(),IF($D1908="",NA(),IF(D$8="",NA(),IF(N(D$8)=0,NA(),IF(Inputs!$C$17="Rebased to 100",$D1908/D$8*100,$D1908)))))</f>
        <v/>
      </c>
      <c r="K1908" s="54">
        <f>IF($B1908=0,NA(),IF($E1908="",NA(),IF(E$8="",NA(),IF(N(E$8)=0,NA(),IF(Inputs!$C$17="Rebased to 100",$E1908/E$8*100,$E1908)))))</f>
        <v/>
      </c>
      <c r="L1908" s="54">
        <f>IF($B1908=0,NA(),IF($F1908="",NA(),IF(F$8="",NA(),IF(N(F$8)=0,NA(),IF(Inputs!$C$17="Rebased to 100",$F1908/F$8*100,$F1908)))))</f>
        <v/>
      </c>
      <c r="M1908" s="54">
        <f>IF($B1908=0,NA(),IF($G1908="",NA(),IF(G$8="",NA(),IF(N(G$8)=0,NA(),IF(Inputs!$C$17="Rebased to 100",$G1908/G$8*100,$G1908)))))</f>
        <v/>
      </c>
      <c r="N1908" s="54">
        <f>IF($B1908=0,NA(),IF(Inputs!$C$18&lt;&gt;"Yes",NA(),IF(COUNT(I1908,J1908,K1908,L1908,M1908)=0,NA(),MIN(I1908,J1908,K1908,L1908,M1908))))</f>
        <v/>
      </c>
      <c r="O1908" s="54">
        <f>IF($B1908=0,NA(),IF(Inputs!$B$24&lt;&gt;"Yes",NA(),Inputs!$D$24*Inputs!$C$35))</f>
        <v/>
      </c>
      <c r="P1908" s="54">
        <f>IF($B1908=0,NA(),IF(Inputs!$B$25&lt;&gt;"Yes",NA(),Inputs!$D$25*Inputs!$C$35))</f>
        <v/>
      </c>
      <c r="Q1908" s="54">
        <f>IF($B1908=0,NA(),IF(Inputs!$B$26&lt;&gt;"Yes",NA(),Inputs!$D$26*Inputs!$C$35))</f>
        <v/>
      </c>
      <c r="R1908" s="54">
        <f>IF($B1908=0,NA(),IF(Inputs!$B$27&lt;&gt;"Yes",NA(),Inputs!$D$27*Inputs!$C$35))</f>
        <v/>
      </c>
      <c r="S1908" s="54">
        <f>IF($B1908=0,NA(),IF(Inputs!$B$28&lt;&gt;"Yes",NA(),Inputs!$D$28*Inputs!$C$35))</f>
        <v/>
      </c>
      <c r="T1908" s="54">
        <f>IF($B1908=0,NA(),IF(Inputs!$B$29&lt;&gt;"Yes",NA(),Inputs!$D$29*Inputs!$C$35))</f>
        <v/>
      </c>
      <c r="AD1908">
        <f>IF($B1908=0,0,IF(Inputs!$B$6="",0,COUNTIFS(Data!$A$10:$A$3209,"&gt;="&amp;$A1908,Data!$A$10:$A$3209,"&lt;"&amp;$A1908+1)))</f>
        <v/>
      </c>
      <c r="AE1908">
        <f>IF($B1908=0,0,IF(Inputs!$B$7="",0,COUNTIFS(Data!$E$10:$E$3209,"&gt;="&amp;$A1908,Data!$E$10:$E$3209,"&lt;"&amp;$A1908+1)))</f>
        <v/>
      </c>
      <c r="AF1908">
        <f>IF($B1908=0,0,IF(Inputs!$B$8="",0,COUNTIFS(Data!$I$10:$I$3209,"&gt;="&amp;$A1908,Data!$I$10:$I$3209,"&lt;"&amp;$A1908+1)))</f>
        <v/>
      </c>
      <c r="AG1908">
        <f>IF($B1908=0,0,IF(Inputs!$B$9="",0,COUNTIFS(Data!$M$10:$M$3209,"&gt;="&amp;$A1908,Data!$M$10:$M$3209,"&lt;"&amp;$A1908+1)))</f>
        <v/>
      </c>
      <c r="AH1908">
        <f>IF($B1908=0,0,IF(Inputs!$B$10="",0,COUNTIFS(Data!$Q$10:$Q$3209,"&gt;="&amp;$A1908,Data!$Q$10:$Q$3209,"&lt;"&amp;$A1908+1)))</f>
        <v/>
      </c>
    </row>
    <row r="1909">
      <c r="A1909" s="55">
        <f>MIN(Inputs!$C$15,$A1908+IF(WEEKDAY($A1908,2)=5,3,1))</f>
        <v/>
      </c>
      <c r="B1909">
        <f>IF($A1909&gt;$A1908,1,0)</f>
        <v/>
      </c>
      <c r="C1909" s="56">
        <f>IF($B1909=0,"",IF(Inputs!$B$6="","",IF($AD1909=0,C1908,SUMIFS(Data!$B$10:$B$3209,Data!$A$10:$A$3209,"&gt;="&amp;$A1909,Data!$A$10:$A$3209,"&lt;"&amp;$A1909+1)/$AD1909)))</f>
        <v/>
      </c>
      <c r="D1909" s="56">
        <f>IF($B1909=0,"",IF(Inputs!$B$7="","",IF($AE1909=0,D1908,SUMIFS(Data!$F$10:$F$3209,Data!$E$10:$E$3209,"&gt;="&amp;$A1909,Data!$E$10:$E$3209,"&lt;"&amp;$A1909+1)/$AE1909)))</f>
        <v/>
      </c>
      <c r="E1909" s="56">
        <f>IF($B1909=0,"",IF(Inputs!$B$8="","",IF($AF1909=0,E1908,SUMIFS(Data!$J$10:$J$3209,Data!$I$10:$I$3209,"&gt;="&amp;$A1909,Data!$I$10:$I$3209,"&lt;"&amp;$A1909+1)/$AF1909)))</f>
        <v/>
      </c>
      <c r="F1909" s="56">
        <f>IF($B1909=0,"",IF(Inputs!$B$9="","",IF($AG1909=0,F1908,SUMIFS(Data!$N$10:$N$3209,Data!$M$10:$M$3209,"&gt;="&amp;$A1909,Data!$M$10:$M$3209,"&lt;"&amp;$A1909+1)/$AG1909)))</f>
        <v/>
      </c>
      <c r="G1909" s="56">
        <f>IF($B1909=0,"",IF(Inputs!$B$10="","",IF($AH1909=0,G1908,SUMIFS(Data!$R$10:$R$3209,Data!$Q$10:$Q$3209,"&gt;="&amp;$A1909,Data!$Q$10:$Q$3209,"&lt;"&amp;$A1909+1)/$AH1909)))</f>
        <v/>
      </c>
      <c r="I1909" s="54">
        <f>IF($B1909=0,NA(),IF($C1909="",NA(),IF(C$8="",NA(),IF(N(C$8)=0,NA(),IF(Inputs!$C$17="Rebased to 100",$C1909/C$8*100,$C1909)))))</f>
        <v/>
      </c>
      <c r="J1909" s="54">
        <f>IF($B1909=0,NA(),IF($D1909="",NA(),IF(D$8="",NA(),IF(N(D$8)=0,NA(),IF(Inputs!$C$17="Rebased to 100",$D1909/D$8*100,$D1909)))))</f>
        <v/>
      </c>
      <c r="K1909" s="54">
        <f>IF($B1909=0,NA(),IF($E1909="",NA(),IF(E$8="",NA(),IF(N(E$8)=0,NA(),IF(Inputs!$C$17="Rebased to 100",$E1909/E$8*100,$E1909)))))</f>
        <v/>
      </c>
      <c r="L1909" s="54">
        <f>IF($B1909=0,NA(),IF($F1909="",NA(),IF(F$8="",NA(),IF(N(F$8)=0,NA(),IF(Inputs!$C$17="Rebased to 100",$F1909/F$8*100,$F1909)))))</f>
        <v/>
      </c>
      <c r="M1909" s="54">
        <f>IF($B1909=0,NA(),IF($G1909="",NA(),IF(G$8="",NA(),IF(N(G$8)=0,NA(),IF(Inputs!$C$17="Rebased to 100",$G1909/G$8*100,$G1909)))))</f>
        <v/>
      </c>
      <c r="N1909" s="54">
        <f>IF($B1909=0,NA(),IF(Inputs!$C$18&lt;&gt;"Yes",NA(),IF(COUNT(I1909,J1909,K1909,L1909,M1909)=0,NA(),MIN(I1909,J1909,K1909,L1909,M1909))))</f>
        <v/>
      </c>
      <c r="O1909" s="54">
        <f>IF($B1909=0,NA(),IF(Inputs!$B$24&lt;&gt;"Yes",NA(),Inputs!$D$24*Inputs!$C$35))</f>
        <v/>
      </c>
      <c r="P1909" s="54">
        <f>IF($B1909=0,NA(),IF(Inputs!$B$25&lt;&gt;"Yes",NA(),Inputs!$D$25*Inputs!$C$35))</f>
        <v/>
      </c>
      <c r="Q1909" s="54">
        <f>IF($B1909=0,NA(),IF(Inputs!$B$26&lt;&gt;"Yes",NA(),Inputs!$D$26*Inputs!$C$35))</f>
        <v/>
      </c>
      <c r="R1909" s="54">
        <f>IF($B1909=0,NA(),IF(Inputs!$B$27&lt;&gt;"Yes",NA(),Inputs!$D$27*Inputs!$C$35))</f>
        <v/>
      </c>
      <c r="S1909" s="54">
        <f>IF($B1909=0,NA(),IF(Inputs!$B$28&lt;&gt;"Yes",NA(),Inputs!$D$28*Inputs!$C$35))</f>
        <v/>
      </c>
      <c r="T1909" s="54">
        <f>IF($B1909=0,NA(),IF(Inputs!$B$29&lt;&gt;"Yes",NA(),Inputs!$D$29*Inputs!$C$35))</f>
        <v/>
      </c>
      <c r="AD1909">
        <f>IF($B1909=0,0,IF(Inputs!$B$6="",0,COUNTIFS(Data!$A$10:$A$3209,"&gt;="&amp;$A1909,Data!$A$10:$A$3209,"&lt;"&amp;$A1909+1)))</f>
        <v/>
      </c>
      <c r="AE1909">
        <f>IF($B1909=0,0,IF(Inputs!$B$7="",0,COUNTIFS(Data!$E$10:$E$3209,"&gt;="&amp;$A1909,Data!$E$10:$E$3209,"&lt;"&amp;$A1909+1)))</f>
        <v/>
      </c>
      <c r="AF1909">
        <f>IF($B1909=0,0,IF(Inputs!$B$8="",0,COUNTIFS(Data!$I$10:$I$3209,"&gt;="&amp;$A1909,Data!$I$10:$I$3209,"&lt;"&amp;$A1909+1)))</f>
        <v/>
      </c>
      <c r="AG1909">
        <f>IF($B1909=0,0,IF(Inputs!$B$9="",0,COUNTIFS(Data!$M$10:$M$3209,"&gt;="&amp;$A1909,Data!$M$10:$M$3209,"&lt;"&amp;$A1909+1)))</f>
        <v/>
      </c>
      <c r="AH1909">
        <f>IF($B1909=0,0,IF(Inputs!$B$10="",0,COUNTIFS(Data!$Q$10:$Q$3209,"&gt;="&amp;$A1909,Data!$Q$10:$Q$3209,"&lt;"&amp;$A1909+1)))</f>
        <v/>
      </c>
    </row>
    <row r="1910">
      <c r="A1910" s="55">
        <f>MIN(Inputs!$C$15,$A1909+IF(WEEKDAY($A1909,2)=5,3,1))</f>
        <v/>
      </c>
      <c r="B1910">
        <f>IF($A1910&gt;$A1909,1,0)</f>
        <v/>
      </c>
      <c r="C1910" s="56">
        <f>IF($B1910=0,"",IF(Inputs!$B$6="","",IF($AD1910=0,C1909,SUMIFS(Data!$B$10:$B$3209,Data!$A$10:$A$3209,"&gt;="&amp;$A1910,Data!$A$10:$A$3209,"&lt;"&amp;$A1910+1)/$AD1910)))</f>
        <v/>
      </c>
      <c r="D1910" s="56">
        <f>IF($B1910=0,"",IF(Inputs!$B$7="","",IF($AE1910=0,D1909,SUMIFS(Data!$F$10:$F$3209,Data!$E$10:$E$3209,"&gt;="&amp;$A1910,Data!$E$10:$E$3209,"&lt;"&amp;$A1910+1)/$AE1910)))</f>
        <v/>
      </c>
      <c r="E1910" s="56">
        <f>IF($B1910=0,"",IF(Inputs!$B$8="","",IF($AF1910=0,E1909,SUMIFS(Data!$J$10:$J$3209,Data!$I$10:$I$3209,"&gt;="&amp;$A1910,Data!$I$10:$I$3209,"&lt;"&amp;$A1910+1)/$AF1910)))</f>
        <v/>
      </c>
      <c r="F1910" s="56">
        <f>IF($B1910=0,"",IF(Inputs!$B$9="","",IF($AG1910=0,F1909,SUMIFS(Data!$N$10:$N$3209,Data!$M$10:$M$3209,"&gt;="&amp;$A1910,Data!$M$10:$M$3209,"&lt;"&amp;$A1910+1)/$AG1910)))</f>
        <v/>
      </c>
      <c r="G1910" s="56">
        <f>IF($B1910=0,"",IF(Inputs!$B$10="","",IF($AH1910=0,G1909,SUMIFS(Data!$R$10:$R$3209,Data!$Q$10:$Q$3209,"&gt;="&amp;$A1910,Data!$Q$10:$Q$3209,"&lt;"&amp;$A1910+1)/$AH1910)))</f>
        <v/>
      </c>
      <c r="I1910" s="54">
        <f>IF($B1910=0,NA(),IF($C1910="",NA(),IF(C$8="",NA(),IF(N(C$8)=0,NA(),IF(Inputs!$C$17="Rebased to 100",$C1910/C$8*100,$C1910)))))</f>
        <v/>
      </c>
      <c r="J1910" s="54">
        <f>IF($B1910=0,NA(),IF($D1910="",NA(),IF(D$8="",NA(),IF(N(D$8)=0,NA(),IF(Inputs!$C$17="Rebased to 100",$D1910/D$8*100,$D1910)))))</f>
        <v/>
      </c>
      <c r="K1910" s="54">
        <f>IF($B1910=0,NA(),IF($E1910="",NA(),IF(E$8="",NA(),IF(N(E$8)=0,NA(),IF(Inputs!$C$17="Rebased to 100",$E1910/E$8*100,$E1910)))))</f>
        <v/>
      </c>
      <c r="L1910" s="54">
        <f>IF($B1910=0,NA(),IF($F1910="",NA(),IF(F$8="",NA(),IF(N(F$8)=0,NA(),IF(Inputs!$C$17="Rebased to 100",$F1910/F$8*100,$F1910)))))</f>
        <v/>
      </c>
      <c r="M1910" s="54">
        <f>IF($B1910=0,NA(),IF($G1910="",NA(),IF(G$8="",NA(),IF(N(G$8)=0,NA(),IF(Inputs!$C$17="Rebased to 100",$G1910/G$8*100,$G1910)))))</f>
        <v/>
      </c>
      <c r="N1910" s="54">
        <f>IF($B1910=0,NA(),IF(Inputs!$C$18&lt;&gt;"Yes",NA(),IF(COUNT(I1910,J1910,K1910,L1910,M1910)=0,NA(),MIN(I1910,J1910,K1910,L1910,M1910))))</f>
        <v/>
      </c>
      <c r="O1910" s="54">
        <f>IF($B1910=0,NA(),IF(Inputs!$B$24&lt;&gt;"Yes",NA(),Inputs!$D$24*Inputs!$C$35))</f>
        <v/>
      </c>
      <c r="P1910" s="54">
        <f>IF($B1910=0,NA(),IF(Inputs!$B$25&lt;&gt;"Yes",NA(),Inputs!$D$25*Inputs!$C$35))</f>
        <v/>
      </c>
      <c r="Q1910" s="54">
        <f>IF($B1910=0,NA(),IF(Inputs!$B$26&lt;&gt;"Yes",NA(),Inputs!$D$26*Inputs!$C$35))</f>
        <v/>
      </c>
      <c r="R1910" s="54">
        <f>IF($B1910=0,NA(),IF(Inputs!$B$27&lt;&gt;"Yes",NA(),Inputs!$D$27*Inputs!$C$35))</f>
        <v/>
      </c>
      <c r="S1910" s="54">
        <f>IF($B1910=0,NA(),IF(Inputs!$B$28&lt;&gt;"Yes",NA(),Inputs!$D$28*Inputs!$C$35))</f>
        <v/>
      </c>
      <c r="T1910" s="54">
        <f>IF($B1910=0,NA(),IF(Inputs!$B$29&lt;&gt;"Yes",NA(),Inputs!$D$29*Inputs!$C$35))</f>
        <v/>
      </c>
      <c r="AD1910">
        <f>IF($B1910=0,0,IF(Inputs!$B$6="",0,COUNTIFS(Data!$A$10:$A$3209,"&gt;="&amp;$A1910,Data!$A$10:$A$3209,"&lt;"&amp;$A1910+1)))</f>
        <v/>
      </c>
      <c r="AE1910">
        <f>IF($B1910=0,0,IF(Inputs!$B$7="",0,COUNTIFS(Data!$E$10:$E$3209,"&gt;="&amp;$A1910,Data!$E$10:$E$3209,"&lt;"&amp;$A1910+1)))</f>
        <v/>
      </c>
      <c r="AF1910">
        <f>IF($B1910=0,0,IF(Inputs!$B$8="",0,COUNTIFS(Data!$I$10:$I$3209,"&gt;="&amp;$A1910,Data!$I$10:$I$3209,"&lt;"&amp;$A1910+1)))</f>
        <v/>
      </c>
      <c r="AG1910">
        <f>IF($B1910=0,0,IF(Inputs!$B$9="",0,COUNTIFS(Data!$M$10:$M$3209,"&gt;="&amp;$A1910,Data!$M$10:$M$3209,"&lt;"&amp;$A1910+1)))</f>
        <v/>
      </c>
      <c r="AH1910">
        <f>IF($B1910=0,0,IF(Inputs!$B$10="",0,COUNTIFS(Data!$Q$10:$Q$3209,"&gt;="&amp;$A1910,Data!$Q$10:$Q$3209,"&lt;"&amp;$A1910+1)))</f>
        <v/>
      </c>
    </row>
    <row r="1911">
      <c r="A1911" s="55">
        <f>MIN(Inputs!$C$15,$A1910+IF(WEEKDAY($A1910,2)=5,3,1))</f>
        <v/>
      </c>
      <c r="B1911">
        <f>IF($A1911&gt;$A1910,1,0)</f>
        <v/>
      </c>
      <c r="C1911" s="56">
        <f>IF($B1911=0,"",IF(Inputs!$B$6="","",IF($AD1911=0,C1910,SUMIFS(Data!$B$10:$B$3209,Data!$A$10:$A$3209,"&gt;="&amp;$A1911,Data!$A$10:$A$3209,"&lt;"&amp;$A1911+1)/$AD1911)))</f>
        <v/>
      </c>
      <c r="D1911" s="56">
        <f>IF($B1911=0,"",IF(Inputs!$B$7="","",IF($AE1911=0,D1910,SUMIFS(Data!$F$10:$F$3209,Data!$E$10:$E$3209,"&gt;="&amp;$A1911,Data!$E$10:$E$3209,"&lt;"&amp;$A1911+1)/$AE1911)))</f>
        <v/>
      </c>
      <c r="E1911" s="56">
        <f>IF($B1911=0,"",IF(Inputs!$B$8="","",IF($AF1911=0,E1910,SUMIFS(Data!$J$10:$J$3209,Data!$I$10:$I$3209,"&gt;="&amp;$A1911,Data!$I$10:$I$3209,"&lt;"&amp;$A1911+1)/$AF1911)))</f>
        <v/>
      </c>
      <c r="F1911" s="56">
        <f>IF($B1911=0,"",IF(Inputs!$B$9="","",IF($AG1911=0,F1910,SUMIFS(Data!$N$10:$N$3209,Data!$M$10:$M$3209,"&gt;="&amp;$A1911,Data!$M$10:$M$3209,"&lt;"&amp;$A1911+1)/$AG1911)))</f>
        <v/>
      </c>
      <c r="G1911" s="56">
        <f>IF($B1911=0,"",IF(Inputs!$B$10="","",IF($AH1911=0,G1910,SUMIFS(Data!$R$10:$R$3209,Data!$Q$10:$Q$3209,"&gt;="&amp;$A1911,Data!$Q$10:$Q$3209,"&lt;"&amp;$A1911+1)/$AH1911)))</f>
        <v/>
      </c>
      <c r="I1911" s="54">
        <f>IF($B1911=0,NA(),IF($C1911="",NA(),IF(C$8="",NA(),IF(N(C$8)=0,NA(),IF(Inputs!$C$17="Rebased to 100",$C1911/C$8*100,$C1911)))))</f>
        <v/>
      </c>
      <c r="J1911" s="54">
        <f>IF($B1911=0,NA(),IF($D1911="",NA(),IF(D$8="",NA(),IF(N(D$8)=0,NA(),IF(Inputs!$C$17="Rebased to 100",$D1911/D$8*100,$D1911)))))</f>
        <v/>
      </c>
      <c r="K1911" s="54">
        <f>IF($B1911=0,NA(),IF($E1911="",NA(),IF(E$8="",NA(),IF(N(E$8)=0,NA(),IF(Inputs!$C$17="Rebased to 100",$E1911/E$8*100,$E1911)))))</f>
        <v/>
      </c>
      <c r="L1911" s="54">
        <f>IF($B1911=0,NA(),IF($F1911="",NA(),IF(F$8="",NA(),IF(N(F$8)=0,NA(),IF(Inputs!$C$17="Rebased to 100",$F1911/F$8*100,$F1911)))))</f>
        <v/>
      </c>
      <c r="M1911" s="54">
        <f>IF($B1911=0,NA(),IF($G1911="",NA(),IF(G$8="",NA(),IF(N(G$8)=0,NA(),IF(Inputs!$C$17="Rebased to 100",$G1911/G$8*100,$G1911)))))</f>
        <v/>
      </c>
      <c r="N1911" s="54">
        <f>IF($B1911=0,NA(),IF(Inputs!$C$18&lt;&gt;"Yes",NA(),IF(COUNT(I1911,J1911,K1911,L1911,M1911)=0,NA(),MIN(I1911,J1911,K1911,L1911,M1911))))</f>
        <v/>
      </c>
      <c r="O1911" s="54">
        <f>IF($B1911=0,NA(),IF(Inputs!$B$24&lt;&gt;"Yes",NA(),Inputs!$D$24*Inputs!$C$35))</f>
        <v/>
      </c>
      <c r="P1911" s="54">
        <f>IF($B1911=0,NA(),IF(Inputs!$B$25&lt;&gt;"Yes",NA(),Inputs!$D$25*Inputs!$C$35))</f>
        <v/>
      </c>
      <c r="Q1911" s="54">
        <f>IF($B1911=0,NA(),IF(Inputs!$B$26&lt;&gt;"Yes",NA(),Inputs!$D$26*Inputs!$C$35))</f>
        <v/>
      </c>
      <c r="R1911" s="54">
        <f>IF($B1911=0,NA(),IF(Inputs!$B$27&lt;&gt;"Yes",NA(),Inputs!$D$27*Inputs!$C$35))</f>
        <v/>
      </c>
      <c r="S1911" s="54">
        <f>IF($B1911=0,NA(),IF(Inputs!$B$28&lt;&gt;"Yes",NA(),Inputs!$D$28*Inputs!$C$35))</f>
        <v/>
      </c>
      <c r="T1911" s="54">
        <f>IF($B1911=0,NA(),IF(Inputs!$B$29&lt;&gt;"Yes",NA(),Inputs!$D$29*Inputs!$C$35))</f>
        <v/>
      </c>
      <c r="AD1911">
        <f>IF($B1911=0,0,IF(Inputs!$B$6="",0,COUNTIFS(Data!$A$10:$A$3209,"&gt;="&amp;$A1911,Data!$A$10:$A$3209,"&lt;"&amp;$A1911+1)))</f>
        <v/>
      </c>
      <c r="AE1911">
        <f>IF($B1911=0,0,IF(Inputs!$B$7="",0,COUNTIFS(Data!$E$10:$E$3209,"&gt;="&amp;$A1911,Data!$E$10:$E$3209,"&lt;"&amp;$A1911+1)))</f>
        <v/>
      </c>
      <c r="AF1911">
        <f>IF($B1911=0,0,IF(Inputs!$B$8="",0,COUNTIFS(Data!$I$10:$I$3209,"&gt;="&amp;$A1911,Data!$I$10:$I$3209,"&lt;"&amp;$A1911+1)))</f>
        <v/>
      </c>
      <c r="AG1911">
        <f>IF($B1911=0,0,IF(Inputs!$B$9="",0,COUNTIFS(Data!$M$10:$M$3209,"&gt;="&amp;$A1911,Data!$M$10:$M$3209,"&lt;"&amp;$A1911+1)))</f>
        <v/>
      </c>
      <c r="AH1911">
        <f>IF($B1911=0,0,IF(Inputs!$B$10="",0,COUNTIFS(Data!$Q$10:$Q$3209,"&gt;="&amp;$A1911,Data!$Q$10:$Q$3209,"&lt;"&amp;$A1911+1)))</f>
        <v/>
      </c>
    </row>
    <row r="1912">
      <c r="A1912" s="55">
        <f>MIN(Inputs!$C$15,$A1911+IF(WEEKDAY($A1911,2)=5,3,1))</f>
        <v/>
      </c>
      <c r="B1912">
        <f>IF($A1912&gt;$A1911,1,0)</f>
        <v/>
      </c>
      <c r="C1912" s="56">
        <f>IF($B1912=0,"",IF(Inputs!$B$6="","",IF($AD1912=0,C1911,SUMIFS(Data!$B$10:$B$3209,Data!$A$10:$A$3209,"&gt;="&amp;$A1912,Data!$A$10:$A$3209,"&lt;"&amp;$A1912+1)/$AD1912)))</f>
        <v/>
      </c>
      <c r="D1912" s="56">
        <f>IF($B1912=0,"",IF(Inputs!$B$7="","",IF($AE1912=0,D1911,SUMIFS(Data!$F$10:$F$3209,Data!$E$10:$E$3209,"&gt;="&amp;$A1912,Data!$E$10:$E$3209,"&lt;"&amp;$A1912+1)/$AE1912)))</f>
        <v/>
      </c>
      <c r="E1912" s="56">
        <f>IF($B1912=0,"",IF(Inputs!$B$8="","",IF($AF1912=0,E1911,SUMIFS(Data!$J$10:$J$3209,Data!$I$10:$I$3209,"&gt;="&amp;$A1912,Data!$I$10:$I$3209,"&lt;"&amp;$A1912+1)/$AF1912)))</f>
        <v/>
      </c>
      <c r="F1912" s="56">
        <f>IF($B1912=0,"",IF(Inputs!$B$9="","",IF($AG1912=0,F1911,SUMIFS(Data!$N$10:$N$3209,Data!$M$10:$M$3209,"&gt;="&amp;$A1912,Data!$M$10:$M$3209,"&lt;"&amp;$A1912+1)/$AG1912)))</f>
        <v/>
      </c>
      <c r="G1912" s="56">
        <f>IF($B1912=0,"",IF(Inputs!$B$10="","",IF($AH1912=0,G1911,SUMIFS(Data!$R$10:$R$3209,Data!$Q$10:$Q$3209,"&gt;="&amp;$A1912,Data!$Q$10:$Q$3209,"&lt;"&amp;$A1912+1)/$AH1912)))</f>
        <v/>
      </c>
      <c r="I1912" s="54">
        <f>IF($B1912=0,NA(),IF($C1912="",NA(),IF(C$8="",NA(),IF(N(C$8)=0,NA(),IF(Inputs!$C$17="Rebased to 100",$C1912/C$8*100,$C1912)))))</f>
        <v/>
      </c>
      <c r="J1912" s="54">
        <f>IF($B1912=0,NA(),IF($D1912="",NA(),IF(D$8="",NA(),IF(N(D$8)=0,NA(),IF(Inputs!$C$17="Rebased to 100",$D1912/D$8*100,$D1912)))))</f>
        <v/>
      </c>
      <c r="K1912" s="54">
        <f>IF($B1912=0,NA(),IF($E1912="",NA(),IF(E$8="",NA(),IF(N(E$8)=0,NA(),IF(Inputs!$C$17="Rebased to 100",$E1912/E$8*100,$E1912)))))</f>
        <v/>
      </c>
      <c r="L1912" s="54">
        <f>IF($B1912=0,NA(),IF($F1912="",NA(),IF(F$8="",NA(),IF(N(F$8)=0,NA(),IF(Inputs!$C$17="Rebased to 100",$F1912/F$8*100,$F1912)))))</f>
        <v/>
      </c>
      <c r="M1912" s="54">
        <f>IF($B1912=0,NA(),IF($G1912="",NA(),IF(G$8="",NA(),IF(N(G$8)=0,NA(),IF(Inputs!$C$17="Rebased to 100",$G1912/G$8*100,$G1912)))))</f>
        <v/>
      </c>
      <c r="N1912" s="54">
        <f>IF($B1912=0,NA(),IF(Inputs!$C$18&lt;&gt;"Yes",NA(),IF(COUNT(I1912,J1912,K1912,L1912,M1912)=0,NA(),MIN(I1912,J1912,K1912,L1912,M1912))))</f>
        <v/>
      </c>
      <c r="O1912" s="54">
        <f>IF($B1912=0,NA(),IF(Inputs!$B$24&lt;&gt;"Yes",NA(),Inputs!$D$24*Inputs!$C$35))</f>
        <v/>
      </c>
      <c r="P1912" s="54">
        <f>IF($B1912=0,NA(),IF(Inputs!$B$25&lt;&gt;"Yes",NA(),Inputs!$D$25*Inputs!$C$35))</f>
        <v/>
      </c>
      <c r="Q1912" s="54">
        <f>IF($B1912=0,NA(),IF(Inputs!$B$26&lt;&gt;"Yes",NA(),Inputs!$D$26*Inputs!$C$35))</f>
        <v/>
      </c>
      <c r="R1912" s="54">
        <f>IF($B1912=0,NA(),IF(Inputs!$B$27&lt;&gt;"Yes",NA(),Inputs!$D$27*Inputs!$C$35))</f>
        <v/>
      </c>
      <c r="S1912" s="54">
        <f>IF($B1912=0,NA(),IF(Inputs!$B$28&lt;&gt;"Yes",NA(),Inputs!$D$28*Inputs!$C$35))</f>
        <v/>
      </c>
      <c r="T1912" s="54">
        <f>IF($B1912=0,NA(),IF(Inputs!$B$29&lt;&gt;"Yes",NA(),Inputs!$D$29*Inputs!$C$35))</f>
        <v/>
      </c>
      <c r="AD1912">
        <f>IF($B1912=0,0,IF(Inputs!$B$6="",0,COUNTIFS(Data!$A$10:$A$3209,"&gt;="&amp;$A1912,Data!$A$10:$A$3209,"&lt;"&amp;$A1912+1)))</f>
        <v/>
      </c>
      <c r="AE1912">
        <f>IF($B1912=0,0,IF(Inputs!$B$7="",0,COUNTIFS(Data!$E$10:$E$3209,"&gt;="&amp;$A1912,Data!$E$10:$E$3209,"&lt;"&amp;$A1912+1)))</f>
        <v/>
      </c>
      <c r="AF1912">
        <f>IF($B1912=0,0,IF(Inputs!$B$8="",0,COUNTIFS(Data!$I$10:$I$3209,"&gt;="&amp;$A1912,Data!$I$10:$I$3209,"&lt;"&amp;$A1912+1)))</f>
        <v/>
      </c>
      <c r="AG1912">
        <f>IF($B1912=0,0,IF(Inputs!$B$9="",0,COUNTIFS(Data!$M$10:$M$3209,"&gt;="&amp;$A1912,Data!$M$10:$M$3209,"&lt;"&amp;$A1912+1)))</f>
        <v/>
      </c>
      <c r="AH1912">
        <f>IF($B1912=0,0,IF(Inputs!$B$10="",0,COUNTIFS(Data!$Q$10:$Q$3209,"&gt;="&amp;$A1912,Data!$Q$10:$Q$3209,"&lt;"&amp;$A1912+1)))</f>
        <v/>
      </c>
    </row>
    <row r="1913">
      <c r="A1913" s="55">
        <f>MIN(Inputs!$C$15,$A1912+IF(WEEKDAY($A1912,2)=5,3,1))</f>
        <v/>
      </c>
      <c r="B1913">
        <f>IF($A1913&gt;$A1912,1,0)</f>
        <v/>
      </c>
      <c r="C1913" s="56">
        <f>IF($B1913=0,"",IF(Inputs!$B$6="","",IF($AD1913=0,C1912,SUMIFS(Data!$B$10:$B$3209,Data!$A$10:$A$3209,"&gt;="&amp;$A1913,Data!$A$10:$A$3209,"&lt;"&amp;$A1913+1)/$AD1913)))</f>
        <v/>
      </c>
      <c r="D1913" s="56">
        <f>IF($B1913=0,"",IF(Inputs!$B$7="","",IF($AE1913=0,D1912,SUMIFS(Data!$F$10:$F$3209,Data!$E$10:$E$3209,"&gt;="&amp;$A1913,Data!$E$10:$E$3209,"&lt;"&amp;$A1913+1)/$AE1913)))</f>
        <v/>
      </c>
      <c r="E1913" s="56">
        <f>IF($B1913=0,"",IF(Inputs!$B$8="","",IF($AF1913=0,E1912,SUMIFS(Data!$J$10:$J$3209,Data!$I$10:$I$3209,"&gt;="&amp;$A1913,Data!$I$10:$I$3209,"&lt;"&amp;$A1913+1)/$AF1913)))</f>
        <v/>
      </c>
      <c r="F1913" s="56">
        <f>IF($B1913=0,"",IF(Inputs!$B$9="","",IF($AG1913=0,F1912,SUMIFS(Data!$N$10:$N$3209,Data!$M$10:$M$3209,"&gt;="&amp;$A1913,Data!$M$10:$M$3209,"&lt;"&amp;$A1913+1)/$AG1913)))</f>
        <v/>
      </c>
      <c r="G1913" s="56">
        <f>IF($B1913=0,"",IF(Inputs!$B$10="","",IF($AH1913=0,G1912,SUMIFS(Data!$R$10:$R$3209,Data!$Q$10:$Q$3209,"&gt;="&amp;$A1913,Data!$Q$10:$Q$3209,"&lt;"&amp;$A1913+1)/$AH1913)))</f>
        <v/>
      </c>
      <c r="I1913" s="54">
        <f>IF($B1913=0,NA(),IF($C1913="",NA(),IF(C$8="",NA(),IF(N(C$8)=0,NA(),IF(Inputs!$C$17="Rebased to 100",$C1913/C$8*100,$C1913)))))</f>
        <v/>
      </c>
      <c r="J1913" s="54">
        <f>IF($B1913=0,NA(),IF($D1913="",NA(),IF(D$8="",NA(),IF(N(D$8)=0,NA(),IF(Inputs!$C$17="Rebased to 100",$D1913/D$8*100,$D1913)))))</f>
        <v/>
      </c>
      <c r="K1913" s="54">
        <f>IF($B1913=0,NA(),IF($E1913="",NA(),IF(E$8="",NA(),IF(N(E$8)=0,NA(),IF(Inputs!$C$17="Rebased to 100",$E1913/E$8*100,$E1913)))))</f>
        <v/>
      </c>
      <c r="L1913" s="54">
        <f>IF($B1913=0,NA(),IF($F1913="",NA(),IF(F$8="",NA(),IF(N(F$8)=0,NA(),IF(Inputs!$C$17="Rebased to 100",$F1913/F$8*100,$F1913)))))</f>
        <v/>
      </c>
      <c r="M1913" s="54">
        <f>IF($B1913=0,NA(),IF($G1913="",NA(),IF(G$8="",NA(),IF(N(G$8)=0,NA(),IF(Inputs!$C$17="Rebased to 100",$G1913/G$8*100,$G1913)))))</f>
        <v/>
      </c>
      <c r="N1913" s="54">
        <f>IF($B1913=0,NA(),IF(Inputs!$C$18&lt;&gt;"Yes",NA(),IF(COUNT(I1913,J1913,K1913,L1913,M1913)=0,NA(),MIN(I1913,J1913,K1913,L1913,M1913))))</f>
        <v/>
      </c>
      <c r="O1913" s="54">
        <f>IF($B1913=0,NA(),IF(Inputs!$B$24&lt;&gt;"Yes",NA(),Inputs!$D$24*Inputs!$C$35))</f>
        <v/>
      </c>
      <c r="P1913" s="54">
        <f>IF($B1913=0,NA(),IF(Inputs!$B$25&lt;&gt;"Yes",NA(),Inputs!$D$25*Inputs!$C$35))</f>
        <v/>
      </c>
      <c r="Q1913" s="54">
        <f>IF($B1913=0,NA(),IF(Inputs!$B$26&lt;&gt;"Yes",NA(),Inputs!$D$26*Inputs!$C$35))</f>
        <v/>
      </c>
      <c r="R1913" s="54">
        <f>IF($B1913=0,NA(),IF(Inputs!$B$27&lt;&gt;"Yes",NA(),Inputs!$D$27*Inputs!$C$35))</f>
        <v/>
      </c>
      <c r="S1913" s="54">
        <f>IF($B1913=0,NA(),IF(Inputs!$B$28&lt;&gt;"Yes",NA(),Inputs!$D$28*Inputs!$C$35))</f>
        <v/>
      </c>
      <c r="T1913" s="54">
        <f>IF($B1913=0,NA(),IF(Inputs!$B$29&lt;&gt;"Yes",NA(),Inputs!$D$29*Inputs!$C$35))</f>
        <v/>
      </c>
      <c r="AD1913">
        <f>IF($B1913=0,0,IF(Inputs!$B$6="",0,COUNTIFS(Data!$A$10:$A$3209,"&gt;="&amp;$A1913,Data!$A$10:$A$3209,"&lt;"&amp;$A1913+1)))</f>
        <v/>
      </c>
      <c r="AE1913">
        <f>IF($B1913=0,0,IF(Inputs!$B$7="",0,COUNTIFS(Data!$E$10:$E$3209,"&gt;="&amp;$A1913,Data!$E$10:$E$3209,"&lt;"&amp;$A1913+1)))</f>
        <v/>
      </c>
      <c r="AF1913">
        <f>IF($B1913=0,0,IF(Inputs!$B$8="",0,COUNTIFS(Data!$I$10:$I$3209,"&gt;="&amp;$A1913,Data!$I$10:$I$3209,"&lt;"&amp;$A1913+1)))</f>
        <v/>
      </c>
      <c r="AG1913">
        <f>IF($B1913=0,0,IF(Inputs!$B$9="",0,COUNTIFS(Data!$M$10:$M$3209,"&gt;="&amp;$A1913,Data!$M$10:$M$3209,"&lt;"&amp;$A1913+1)))</f>
        <v/>
      </c>
      <c r="AH1913">
        <f>IF($B1913=0,0,IF(Inputs!$B$10="",0,COUNTIFS(Data!$Q$10:$Q$3209,"&gt;="&amp;$A1913,Data!$Q$10:$Q$3209,"&lt;"&amp;$A1913+1)))</f>
        <v/>
      </c>
    </row>
    <row r="1914">
      <c r="A1914" s="55">
        <f>MIN(Inputs!$C$15,$A1913+IF(WEEKDAY($A1913,2)=5,3,1))</f>
        <v/>
      </c>
      <c r="B1914">
        <f>IF($A1914&gt;$A1913,1,0)</f>
        <v/>
      </c>
      <c r="C1914" s="56">
        <f>IF($B1914=0,"",IF(Inputs!$B$6="","",IF($AD1914=0,C1913,SUMIFS(Data!$B$10:$B$3209,Data!$A$10:$A$3209,"&gt;="&amp;$A1914,Data!$A$10:$A$3209,"&lt;"&amp;$A1914+1)/$AD1914)))</f>
        <v/>
      </c>
      <c r="D1914" s="56">
        <f>IF($B1914=0,"",IF(Inputs!$B$7="","",IF($AE1914=0,D1913,SUMIFS(Data!$F$10:$F$3209,Data!$E$10:$E$3209,"&gt;="&amp;$A1914,Data!$E$10:$E$3209,"&lt;"&amp;$A1914+1)/$AE1914)))</f>
        <v/>
      </c>
      <c r="E1914" s="56">
        <f>IF($B1914=0,"",IF(Inputs!$B$8="","",IF($AF1914=0,E1913,SUMIFS(Data!$J$10:$J$3209,Data!$I$10:$I$3209,"&gt;="&amp;$A1914,Data!$I$10:$I$3209,"&lt;"&amp;$A1914+1)/$AF1914)))</f>
        <v/>
      </c>
      <c r="F1914" s="56">
        <f>IF($B1914=0,"",IF(Inputs!$B$9="","",IF($AG1914=0,F1913,SUMIFS(Data!$N$10:$N$3209,Data!$M$10:$M$3209,"&gt;="&amp;$A1914,Data!$M$10:$M$3209,"&lt;"&amp;$A1914+1)/$AG1914)))</f>
        <v/>
      </c>
      <c r="G1914" s="56">
        <f>IF($B1914=0,"",IF(Inputs!$B$10="","",IF($AH1914=0,G1913,SUMIFS(Data!$R$10:$R$3209,Data!$Q$10:$Q$3209,"&gt;="&amp;$A1914,Data!$Q$10:$Q$3209,"&lt;"&amp;$A1914+1)/$AH1914)))</f>
        <v/>
      </c>
      <c r="I1914" s="54">
        <f>IF($B1914=0,NA(),IF($C1914="",NA(),IF(C$8="",NA(),IF(N(C$8)=0,NA(),IF(Inputs!$C$17="Rebased to 100",$C1914/C$8*100,$C1914)))))</f>
        <v/>
      </c>
      <c r="J1914" s="54">
        <f>IF($B1914=0,NA(),IF($D1914="",NA(),IF(D$8="",NA(),IF(N(D$8)=0,NA(),IF(Inputs!$C$17="Rebased to 100",$D1914/D$8*100,$D1914)))))</f>
        <v/>
      </c>
      <c r="K1914" s="54">
        <f>IF($B1914=0,NA(),IF($E1914="",NA(),IF(E$8="",NA(),IF(N(E$8)=0,NA(),IF(Inputs!$C$17="Rebased to 100",$E1914/E$8*100,$E1914)))))</f>
        <v/>
      </c>
      <c r="L1914" s="54">
        <f>IF($B1914=0,NA(),IF($F1914="",NA(),IF(F$8="",NA(),IF(N(F$8)=0,NA(),IF(Inputs!$C$17="Rebased to 100",$F1914/F$8*100,$F1914)))))</f>
        <v/>
      </c>
      <c r="M1914" s="54">
        <f>IF($B1914=0,NA(),IF($G1914="",NA(),IF(G$8="",NA(),IF(N(G$8)=0,NA(),IF(Inputs!$C$17="Rebased to 100",$G1914/G$8*100,$G1914)))))</f>
        <v/>
      </c>
      <c r="N1914" s="54">
        <f>IF($B1914=0,NA(),IF(Inputs!$C$18&lt;&gt;"Yes",NA(),IF(COUNT(I1914,J1914,K1914,L1914,M1914)=0,NA(),MIN(I1914,J1914,K1914,L1914,M1914))))</f>
        <v/>
      </c>
      <c r="O1914" s="54">
        <f>IF($B1914=0,NA(),IF(Inputs!$B$24&lt;&gt;"Yes",NA(),Inputs!$D$24*Inputs!$C$35))</f>
        <v/>
      </c>
      <c r="P1914" s="54">
        <f>IF($B1914=0,NA(),IF(Inputs!$B$25&lt;&gt;"Yes",NA(),Inputs!$D$25*Inputs!$C$35))</f>
        <v/>
      </c>
      <c r="Q1914" s="54">
        <f>IF($B1914=0,NA(),IF(Inputs!$B$26&lt;&gt;"Yes",NA(),Inputs!$D$26*Inputs!$C$35))</f>
        <v/>
      </c>
      <c r="R1914" s="54">
        <f>IF($B1914=0,NA(),IF(Inputs!$B$27&lt;&gt;"Yes",NA(),Inputs!$D$27*Inputs!$C$35))</f>
        <v/>
      </c>
      <c r="S1914" s="54">
        <f>IF($B1914=0,NA(),IF(Inputs!$B$28&lt;&gt;"Yes",NA(),Inputs!$D$28*Inputs!$C$35))</f>
        <v/>
      </c>
      <c r="T1914" s="54">
        <f>IF($B1914=0,NA(),IF(Inputs!$B$29&lt;&gt;"Yes",NA(),Inputs!$D$29*Inputs!$C$35))</f>
        <v/>
      </c>
      <c r="AD1914">
        <f>IF($B1914=0,0,IF(Inputs!$B$6="",0,COUNTIFS(Data!$A$10:$A$3209,"&gt;="&amp;$A1914,Data!$A$10:$A$3209,"&lt;"&amp;$A1914+1)))</f>
        <v/>
      </c>
      <c r="AE1914">
        <f>IF($B1914=0,0,IF(Inputs!$B$7="",0,COUNTIFS(Data!$E$10:$E$3209,"&gt;="&amp;$A1914,Data!$E$10:$E$3209,"&lt;"&amp;$A1914+1)))</f>
        <v/>
      </c>
      <c r="AF1914">
        <f>IF($B1914=0,0,IF(Inputs!$B$8="",0,COUNTIFS(Data!$I$10:$I$3209,"&gt;="&amp;$A1914,Data!$I$10:$I$3209,"&lt;"&amp;$A1914+1)))</f>
        <v/>
      </c>
      <c r="AG1914">
        <f>IF($B1914=0,0,IF(Inputs!$B$9="",0,COUNTIFS(Data!$M$10:$M$3209,"&gt;="&amp;$A1914,Data!$M$10:$M$3209,"&lt;"&amp;$A1914+1)))</f>
        <v/>
      </c>
      <c r="AH1914">
        <f>IF($B1914=0,0,IF(Inputs!$B$10="",0,COUNTIFS(Data!$Q$10:$Q$3209,"&gt;="&amp;$A1914,Data!$Q$10:$Q$3209,"&lt;"&amp;$A1914+1)))</f>
        <v/>
      </c>
    </row>
    <row r="1915">
      <c r="A1915" s="55">
        <f>MIN(Inputs!$C$15,$A1914+IF(WEEKDAY($A1914,2)=5,3,1))</f>
        <v/>
      </c>
      <c r="B1915">
        <f>IF($A1915&gt;$A1914,1,0)</f>
        <v/>
      </c>
      <c r="C1915" s="56">
        <f>IF($B1915=0,"",IF(Inputs!$B$6="","",IF($AD1915=0,C1914,SUMIFS(Data!$B$10:$B$3209,Data!$A$10:$A$3209,"&gt;="&amp;$A1915,Data!$A$10:$A$3209,"&lt;"&amp;$A1915+1)/$AD1915)))</f>
        <v/>
      </c>
      <c r="D1915" s="56">
        <f>IF($B1915=0,"",IF(Inputs!$B$7="","",IF($AE1915=0,D1914,SUMIFS(Data!$F$10:$F$3209,Data!$E$10:$E$3209,"&gt;="&amp;$A1915,Data!$E$10:$E$3209,"&lt;"&amp;$A1915+1)/$AE1915)))</f>
        <v/>
      </c>
      <c r="E1915" s="56">
        <f>IF($B1915=0,"",IF(Inputs!$B$8="","",IF($AF1915=0,E1914,SUMIFS(Data!$J$10:$J$3209,Data!$I$10:$I$3209,"&gt;="&amp;$A1915,Data!$I$10:$I$3209,"&lt;"&amp;$A1915+1)/$AF1915)))</f>
        <v/>
      </c>
      <c r="F1915" s="56">
        <f>IF($B1915=0,"",IF(Inputs!$B$9="","",IF($AG1915=0,F1914,SUMIFS(Data!$N$10:$N$3209,Data!$M$10:$M$3209,"&gt;="&amp;$A1915,Data!$M$10:$M$3209,"&lt;"&amp;$A1915+1)/$AG1915)))</f>
        <v/>
      </c>
      <c r="G1915" s="56">
        <f>IF($B1915=0,"",IF(Inputs!$B$10="","",IF($AH1915=0,G1914,SUMIFS(Data!$R$10:$R$3209,Data!$Q$10:$Q$3209,"&gt;="&amp;$A1915,Data!$Q$10:$Q$3209,"&lt;"&amp;$A1915+1)/$AH1915)))</f>
        <v/>
      </c>
      <c r="I1915" s="54">
        <f>IF($B1915=0,NA(),IF($C1915="",NA(),IF(C$8="",NA(),IF(N(C$8)=0,NA(),IF(Inputs!$C$17="Rebased to 100",$C1915/C$8*100,$C1915)))))</f>
        <v/>
      </c>
      <c r="J1915" s="54">
        <f>IF($B1915=0,NA(),IF($D1915="",NA(),IF(D$8="",NA(),IF(N(D$8)=0,NA(),IF(Inputs!$C$17="Rebased to 100",$D1915/D$8*100,$D1915)))))</f>
        <v/>
      </c>
      <c r="K1915" s="54">
        <f>IF($B1915=0,NA(),IF($E1915="",NA(),IF(E$8="",NA(),IF(N(E$8)=0,NA(),IF(Inputs!$C$17="Rebased to 100",$E1915/E$8*100,$E1915)))))</f>
        <v/>
      </c>
      <c r="L1915" s="54">
        <f>IF($B1915=0,NA(),IF($F1915="",NA(),IF(F$8="",NA(),IF(N(F$8)=0,NA(),IF(Inputs!$C$17="Rebased to 100",$F1915/F$8*100,$F1915)))))</f>
        <v/>
      </c>
      <c r="M1915" s="54">
        <f>IF($B1915=0,NA(),IF($G1915="",NA(),IF(G$8="",NA(),IF(N(G$8)=0,NA(),IF(Inputs!$C$17="Rebased to 100",$G1915/G$8*100,$G1915)))))</f>
        <v/>
      </c>
      <c r="N1915" s="54">
        <f>IF($B1915=0,NA(),IF(Inputs!$C$18&lt;&gt;"Yes",NA(),IF(COUNT(I1915,J1915,K1915,L1915,M1915)=0,NA(),MIN(I1915,J1915,K1915,L1915,M1915))))</f>
        <v/>
      </c>
      <c r="O1915" s="54">
        <f>IF($B1915=0,NA(),IF(Inputs!$B$24&lt;&gt;"Yes",NA(),Inputs!$D$24*Inputs!$C$35))</f>
        <v/>
      </c>
      <c r="P1915" s="54">
        <f>IF($B1915=0,NA(),IF(Inputs!$B$25&lt;&gt;"Yes",NA(),Inputs!$D$25*Inputs!$C$35))</f>
        <v/>
      </c>
      <c r="Q1915" s="54">
        <f>IF($B1915=0,NA(),IF(Inputs!$B$26&lt;&gt;"Yes",NA(),Inputs!$D$26*Inputs!$C$35))</f>
        <v/>
      </c>
      <c r="R1915" s="54">
        <f>IF($B1915=0,NA(),IF(Inputs!$B$27&lt;&gt;"Yes",NA(),Inputs!$D$27*Inputs!$C$35))</f>
        <v/>
      </c>
      <c r="S1915" s="54">
        <f>IF($B1915=0,NA(),IF(Inputs!$B$28&lt;&gt;"Yes",NA(),Inputs!$D$28*Inputs!$C$35))</f>
        <v/>
      </c>
      <c r="T1915" s="54">
        <f>IF($B1915=0,NA(),IF(Inputs!$B$29&lt;&gt;"Yes",NA(),Inputs!$D$29*Inputs!$C$35))</f>
        <v/>
      </c>
      <c r="AD1915">
        <f>IF($B1915=0,0,IF(Inputs!$B$6="",0,COUNTIFS(Data!$A$10:$A$3209,"&gt;="&amp;$A1915,Data!$A$10:$A$3209,"&lt;"&amp;$A1915+1)))</f>
        <v/>
      </c>
      <c r="AE1915">
        <f>IF($B1915=0,0,IF(Inputs!$B$7="",0,COUNTIFS(Data!$E$10:$E$3209,"&gt;="&amp;$A1915,Data!$E$10:$E$3209,"&lt;"&amp;$A1915+1)))</f>
        <v/>
      </c>
      <c r="AF1915">
        <f>IF($B1915=0,0,IF(Inputs!$B$8="",0,COUNTIFS(Data!$I$10:$I$3209,"&gt;="&amp;$A1915,Data!$I$10:$I$3209,"&lt;"&amp;$A1915+1)))</f>
        <v/>
      </c>
      <c r="AG1915">
        <f>IF($B1915=0,0,IF(Inputs!$B$9="",0,COUNTIFS(Data!$M$10:$M$3209,"&gt;="&amp;$A1915,Data!$M$10:$M$3209,"&lt;"&amp;$A1915+1)))</f>
        <v/>
      </c>
      <c r="AH1915">
        <f>IF($B1915=0,0,IF(Inputs!$B$10="",0,COUNTIFS(Data!$Q$10:$Q$3209,"&gt;="&amp;$A1915,Data!$Q$10:$Q$3209,"&lt;"&amp;$A1915+1)))</f>
        <v/>
      </c>
    </row>
    <row r="1916">
      <c r="A1916" s="55">
        <f>MIN(Inputs!$C$15,$A1915+IF(WEEKDAY($A1915,2)=5,3,1))</f>
        <v/>
      </c>
      <c r="B1916">
        <f>IF($A1916&gt;$A1915,1,0)</f>
        <v/>
      </c>
      <c r="C1916" s="56">
        <f>IF($B1916=0,"",IF(Inputs!$B$6="","",IF($AD1916=0,C1915,SUMIFS(Data!$B$10:$B$3209,Data!$A$10:$A$3209,"&gt;="&amp;$A1916,Data!$A$10:$A$3209,"&lt;"&amp;$A1916+1)/$AD1916)))</f>
        <v/>
      </c>
      <c r="D1916" s="56">
        <f>IF($B1916=0,"",IF(Inputs!$B$7="","",IF($AE1916=0,D1915,SUMIFS(Data!$F$10:$F$3209,Data!$E$10:$E$3209,"&gt;="&amp;$A1916,Data!$E$10:$E$3209,"&lt;"&amp;$A1916+1)/$AE1916)))</f>
        <v/>
      </c>
      <c r="E1916" s="56">
        <f>IF($B1916=0,"",IF(Inputs!$B$8="","",IF($AF1916=0,E1915,SUMIFS(Data!$J$10:$J$3209,Data!$I$10:$I$3209,"&gt;="&amp;$A1916,Data!$I$10:$I$3209,"&lt;"&amp;$A1916+1)/$AF1916)))</f>
        <v/>
      </c>
      <c r="F1916" s="56">
        <f>IF($B1916=0,"",IF(Inputs!$B$9="","",IF($AG1916=0,F1915,SUMIFS(Data!$N$10:$N$3209,Data!$M$10:$M$3209,"&gt;="&amp;$A1916,Data!$M$10:$M$3209,"&lt;"&amp;$A1916+1)/$AG1916)))</f>
        <v/>
      </c>
      <c r="G1916" s="56">
        <f>IF($B1916=0,"",IF(Inputs!$B$10="","",IF($AH1916=0,G1915,SUMIFS(Data!$R$10:$R$3209,Data!$Q$10:$Q$3209,"&gt;="&amp;$A1916,Data!$Q$10:$Q$3209,"&lt;"&amp;$A1916+1)/$AH1916)))</f>
        <v/>
      </c>
      <c r="I1916" s="54">
        <f>IF($B1916=0,NA(),IF($C1916="",NA(),IF(C$8="",NA(),IF(N(C$8)=0,NA(),IF(Inputs!$C$17="Rebased to 100",$C1916/C$8*100,$C1916)))))</f>
        <v/>
      </c>
      <c r="J1916" s="54">
        <f>IF($B1916=0,NA(),IF($D1916="",NA(),IF(D$8="",NA(),IF(N(D$8)=0,NA(),IF(Inputs!$C$17="Rebased to 100",$D1916/D$8*100,$D1916)))))</f>
        <v/>
      </c>
      <c r="K1916" s="54">
        <f>IF($B1916=0,NA(),IF($E1916="",NA(),IF(E$8="",NA(),IF(N(E$8)=0,NA(),IF(Inputs!$C$17="Rebased to 100",$E1916/E$8*100,$E1916)))))</f>
        <v/>
      </c>
      <c r="L1916" s="54">
        <f>IF($B1916=0,NA(),IF($F1916="",NA(),IF(F$8="",NA(),IF(N(F$8)=0,NA(),IF(Inputs!$C$17="Rebased to 100",$F1916/F$8*100,$F1916)))))</f>
        <v/>
      </c>
      <c r="M1916" s="54">
        <f>IF($B1916=0,NA(),IF($G1916="",NA(),IF(G$8="",NA(),IF(N(G$8)=0,NA(),IF(Inputs!$C$17="Rebased to 100",$G1916/G$8*100,$G1916)))))</f>
        <v/>
      </c>
      <c r="N1916" s="54">
        <f>IF($B1916=0,NA(),IF(Inputs!$C$18&lt;&gt;"Yes",NA(),IF(COUNT(I1916,J1916,K1916,L1916,M1916)=0,NA(),MIN(I1916,J1916,K1916,L1916,M1916))))</f>
        <v/>
      </c>
      <c r="O1916" s="54">
        <f>IF($B1916=0,NA(),IF(Inputs!$B$24&lt;&gt;"Yes",NA(),Inputs!$D$24*Inputs!$C$35))</f>
        <v/>
      </c>
      <c r="P1916" s="54">
        <f>IF($B1916=0,NA(),IF(Inputs!$B$25&lt;&gt;"Yes",NA(),Inputs!$D$25*Inputs!$C$35))</f>
        <v/>
      </c>
      <c r="Q1916" s="54">
        <f>IF($B1916=0,NA(),IF(Inputs!$B$26&lt;&gt;"Yes",NA(),Inputs!$D$26*Inputs!$C$35))</f>
        <v/>
      </c>
      <c r="R1916" s="54">
        <f>IF($B1916=0,NA(),IF(Inputs!$B$27&lt;&gt;"Yes",NA(),Inputs!$D$27*Inputs!$C$35))</f>
        <v/>
      </c>
      <c r="S1916" s="54">
        <f>IF($B1916=0,NA(),IF(Inputs!$B$28&lt;&gt;"Yes",NA(),Inputs!$D$28*Inputs!$C$35))</f>
        <v/>
      </c>
      <c r="T1916" s="54">
        <f>IF($B1916=0,NA(),IF(Inputs!$B$29&lt;&gt;"Yes",NA(),Inputs!$D$29*Inputs!$C$35))</f>
        <v/>
      </c>
      <c r="AD1916">
        <f>IF($B1916=0,0,IF(Inputs!$B$6="",0,COUNTIFS(Data!$A$10:$A$3209,"&gt;="&amp;$A1916,Data!$A$10:$A$3209,"&lt;"&amp;$A1916+1)))</f>
        <v/>
      </c>
      <c r="AE1916">
        <f>IF($B1916=0,0,IF(Inputs!$B$7="",0,COUNTIFS(Data!$E$10:$E$3209,"&gt;="&amp;$A1916,Data!$E$10:$E$3209,"&lt;"&amp;$A1916+1)))</f>
        <v/>
      </c>
      <c r="AF1916">
        <f>IF($B1916=0,0,IF(Inputs!$B$8="",0,COUNTIFS(Data!$I$10:$I$3209,"&gt;="&amp;$A1916,Data!$I$10:$I$3209,"&lt;"&amp;$A1916+1)))</f>
        <v/>
      </c>
      <c r="AG1916">
        <f>IF($B1916=0,0,IF(Inputs!$B$9="",0,COUNTIFS(Data!$M$10:$M$3209,"&gt;="&amp;$A1916,Data!$M$10:$M$3209,"&lt;"&amp;$A1916+1)))</f>
        <v/>
      </c>
      <c r="AH1916">
        <f>IF($B1916=0,0,IF(Inputs!$B$10="",0,COUNTIFS(Data!$Q$10:$Q$3209,"&gt;="&amp;$A1916,Data!$Q$10:$Q$3209,"&lt;"&amp;$A1916+1)))</f>
        <v/>
      </c>
    </row>
    <row r="1917">
      <c r="A1917" s="55">
        <f>MIN(Inputs!$C$15,$A1916+IF(WEEKDAY($A1916,2)=5,3,1))</f>
        <v/>
      </c>
      <c r="B1917">
        <f>IF($A1917&gt;$A1916,1,0)</f>
        <v/>
      </c>
      <c r="C1917" s="56">
        <f>IF($B1917=0,"",IF(Inputs!$B$6="","",IF($AD1917=0,C1916,SUMIFS(Data!$B$10:$B$3209,Data!$A$10:$A$3209,"&gt;="&amp;$A1917,Data!$A$10:$A$3209,"&lt;"&amp;$A1917+1)/$AD1917)))</f>
        <v/>
      </c>
      <c r="D1917" s="56">
        <f>IF($B1917=0,"",IF(Inputs!$B$7="","",IF($AE1917=0,D1916,SUMIFS(Data!$F$10:$F$3209,Data!$E$10:$E$3209,"&gt;="&amp;$A1917,Data!$E$10:$E$3209,"&lt;"&amp;$A1917+1)/$AE1917)))</f>
        <v/>
      </c>
      <c r="E1917" s="56">
        <f>IF($B1917=0,"",IF(Inputs!$B$8="","",IF($AF1917=0,E1916,SUMIFS(Data!$J$10:$J$3209,Data!$I$10:$I$3209,"&gt;="&amp;$A1917,Data!$I$10:$I$3209,"&lt;"&amp;$A1917+1)/$AF1917)))</f>
        <v/>
      </c>
      <c r="F1917" s="56">
        <f>IF($B1917=0,"",IF(Inputs!$B$9="","",IF($AG1917=0,F1916,SUMIFS(Data!$N$10:$N$3209,Data!$M$10:$M$3209,"&gt;="&amp;$A1917,Data!$M$10:$M$3209,"&lt;"&amp;$A1917+1)/$AG1917)))</f>
        <v/>
      </c>
      <c r="G1917" s="56">
        <f>IF($B1917=0,"",IF(Inputs!$B$10="","",IF($AH1917=0,G1916,SUMIFS(Data!$R$10:$R$3209,Data!$Q$10:$Q$3209,"&gt;="&amp;$A1917,Data!$Q$10:$Q$3209,"&lt;"&amp;$A1917+1)/$AH1917)))</f>
        <v/>
      </c>
      <c r="I1917" s="54">
        <f>IF($B1917=0,NA(),IF($C1917="",NA(),IF(C$8="",NA(),IF(N(C$8)=0,NA(),IF(Inputs!$C$17="Rebased to 100",$C1917/C$8*100,$C1917)))))</f>
        <v/>
      </c>
      <c r="J1917" s="54">
        <f>IF($B1917=0,NA(),IF($D1917="",NA(),IF(D$8="",NA(),IF(N(D$8)=0,NA(),IF(Inputs!$C$17="Rebased to 100",$D1917/D$8*100,$D1917)))))</f>
        <v/>
      </c>
      <c r="K1917" s="54">
        <f>IF($B1917=0,NA(),IF($E1917="",NA(),IF(E$8="",NA(),IF(N(E$8)=0,NA(),IF(Inputs!$C$17="Rebased to 100",$E1917/E$8*100,$E1917)))))</f>
        <v/>
      </c>
      <c r="L1917" s="54">
        <f>IF($B1917=0,NA(),IF($F1917="",NA(),IF(F$8="",NA(),IF(N(F$8)=0,NA(),IF(Inputs!$C$17="Rebased to 100",$F1917/F$8*100,$F1917)))))</f>
        <v/>
      </c>
      <c r="M1917" s="54">
        <f>IF($B1917=0,NA(),IF($G1917="",NA(),IF(G$8="",NA(),IF(N(G$8)=0,NA(),IF(Inputs!$C$17="Rebased to 100",$G1917/G$8*100,$G1917)))))</f>
        <v/>
      </c>
      <c r="N1917" s="54">
        <f>IF($B1917=0,NA(),IF(Inputs!$C$18&lt;&gt;"Yes",NA(),IF(COUNT(I1917,J1917,K1917,L1917,M1917)=0,NA(),MIN(I1917,J1917,K1917,L1917,M1917))))</f>
        <v/>
      </c>
      <c r="O1917" s="54">
        <f>IF($B1917=0,NA(),IF(Inputs!$B$24&lt;&gt;"Yes",NA(),Inputs!$D$24*Inputs!$C$35))</f>
        <v/>
      </c>
      <c r="P1917" s="54">
        <f>IF($B1917=0,NA(),IF(Inputs!$B$25&lt;&gt;"Yes",NA(),Inputs!$D$25*Inputs!$C$35))</f>
        <v/>
      </c>
      <c r="Q1917" s="54">
        <f>IF($B1917=0,NA(),IF(Inputs!$B$26&lt;&gt;"Yes",NA(),Inputs!$D$26*Inputs!$C$35))</f>
        <v/>
      </c>
      <c r="R1917" s="54">
        <f>IF($B1917=0,NA(),IF(Inputs!$B$27&lt;&gt;"Yes",NA(),Inputs!$D$27*Inputs!$C$35))</f>
        <v/>
      </c>
      <c r="S1917" s="54">
        <f>IF($B1917=0,NA(),IF(Inputs!$B$28&lt;&gt;"Yes",NA(),Inputs!$D$28*Inputs!$C$35))</f>
        <v/>
      </c>
      <c r="T1917" s="54">
        <f>IF($B1917=0,NA(),IF(Inputs!$B$29&lt;&gt;"Yes",NA(),Inputs!$D$29*Inputs!$C$35))</f>
        <v/>
      </c>
      <c r="AD1917">
        <f>IF($B1917=0,0,IF(Inputs!$B$6="",0,COUNTIFS(Data!$A$10:$A$3209,"&gt;="&amp;$A1917,Data!$A$10:$A$3209,"&lt;"&amp;$A1917+1)))</f>
        <v/>
      </c>
      <c r="AE1917">
        <f>IF($B1917=0,0,IF(Inputs!$B$7="",0,COUNTIFS(Data!$E$10:$E$3209,"&gt;="&amp;$A1917,Data!$E$10:$E$3209,"&lt;"&amp;$A1917+1)))</f>
        <v/>
      </c>
      <c r="AF1917">
        <f>IF($B1917=0,0,IF(Inputs!$B$8="",0,COUNTIFS(Data!$I$10:$I$3209,"&gt;="&amp;$A1917,Data!$I$10:$I$3209,"&lt;"&amp;$A1917+1)))</f>
        <v/>
      </c>
      <c r="AG1917">
        <f>IF($B1917=0,0,IF(Inputs!$B$9="",0,COUNTIFS(Data!$M$10:$M$3209,"&gt;="&amp;$A1917,Data!$M$10:$M$3209,"&lt;"&amp;$A1917+1)))</f>
        <v/>
      </c>
      <c r="AH1917">
        <f>IF($B1917=0,0,IF(Inputs!$B$10="",0,COUNTIFS(Data!$Q$10:$Q$3209,"&gt;="&amp;$A1917,Data!$Q$10:$Q$3209,"&lt;"&amp;$A1917+1)))</f>
        <v/>
      </c>
    </row>
    <row r="1918">
      <c r="A1918" s="55">
        <f>MIN(Inputs!$C$15,$A1917+IF(WEEKDAY($A1917,2)=5,3,1))</f>
        <v/>
      </c>
      <c r="B1918">
        <f>IF($A1918&gt;$A1917,1,0)</f>
        <v/>
      </c>
      <c r="C1918" s="56">
        <f>IF($B1918=0,"",IF(Inputs!$B$6="","",IF($AD1918=0,C1917,SUMIFS(Data!$B$10:$B$3209,Data!$A$10:$A$3209,"&gt;="&amp;$A1918,Data!$A$10:$A$3209,"&lt;"&amp;$A1918+1)/$AD1918)))</f>
        <v/>
      </c>
      <c r="D1918" s="56">
        <f>IF($B1918=0,"",IF(Inputs!$B$7="","",IF($AE1918=0,D1917,SUMIFS(Data!$F$10:$F$3209,Data!$E$10:$E$3209,"&gt;="&amp;$A1918,Data!$E$10:$E$3209,"&lt;"&amp;$A1918+1)/$AE1918)))</f>
        <v/>
      </c>
      <c r="E1918" s="56">
        <f>IF($B1918=0,"",IF(Inputs!$B$8="","",IF($AF1918=0,E1917,SUMIFS(Data!$J$10:$J$3209,Data!$I$10:$I$3209,"&gt;="&amp;$A1918,Data!$I$10:$I$3209,"&lt;"&amp;$A1918+1)/$AF1918)))</f>
        <v/>
      </c>
      <c r="F1918" s="56">
        <f>IF($B1918=0,"",IF(Inputs!$B$9="","",IF($AG1918=0,F1917,SUMIFS(Data!$N$10:$N$3209,Data!$M$10:$M$3209,"&gt;="&amp;$A1918,Data!$M$10:$M$3209,"&lt;"&amp;$A1918+1)/$AG1918)))</f>
        <v/>
      </c>
      <c r="G1918" s="56">
        <f>IF($B1918=0,"",IF(Inputs!$B$10="","",IF($AH1918=0,G1917,SUMIFS(Data!$R$10:$R$3209,Data!$Q$10:$Q$3209,"&gt;="&amp;$A1918,Data!$Q$10:$Q$3209,"&lt;"&amp;$A1918+1)/$AH1918)))</f>
        <v/>
      </c>
      <c r="I1918" s="54">
        <f>IF($B1918=0,NA(),IF($C1918="",NA(),IF(C$8="",NA(),IF(N(C$8)=0,NA(),IF(Inputs!$C$17="Rebased to 100",$C1918/C$8*100,$C1918)))))</f>
        <v/>
      </c>
      <c r="J1918" s="54">
        <f>IF($B1918=0,NA(),IF($D1918="",NA(),IF(D$8="",NA(),IF(N(D$8)=0,NA(),IF(Inputs!$C$17="Rebased to 100",$D1918/D$8*100,$D1918)))))</f>
        <v/>
      </c>
      <c r="K1918" s="54">
        <f>IF($B1918=0,NA(),IF($E1918="",NA(),IF(E$8="",NA(),IF(N(E$8)=0,NA(),IF(Inputs!$C$17="Rebased to 100",$E1918/E$8*100,$E1918)))))</f>
        <v/>
      </c>
      <c r="L1918" s="54">
        <f>IF($B1918=0,NA(),IF($F1918="",NA(),IF(F$8="",NA(),IF(N(F$8)=0,NA(),IF(Inputs!$C$17="Rebased to 100",$F1918/F$8*100,$F1918)))))</f>
        <v/>
      </c>
      <c r="M1918" s="54">
        <f>IF($B1918=0,NA(),IF($G1918="",NA(),IF(G$8="",NA(),IF(N(G$8)=0,NA(),IF(Inputs!$C$17="Rebased to 100",$G1918/G$8*100,$G1918)))))</f>
        <v/>
      </c>
      <c r="N1918" s="54">
        <f>IF($B1918=0,NA(),IF(Inputs!$C$18&lt;&gt;"Yes",NA(),IF(COUNT(I1918,J1918,K1918,L1918,M1918)=0,NA(),MIN(I1918,J1918,K1918,L1918,M1918))))</f>
        <v/>
      </c>
      <c r="O1918" s="54">
        <f>IF($B1918=0,NA(),IF(Inputs!$B$24&lt;&gt;"Yes",NA(),Inputs!$D$24*Inputs!$C$35))</f>
        <v/>
      </c>
      <c r="P1918" s="54">
        <f>IF($B1918=0,NA(),IF(Inputs!$B$25&lt;&gt;"Yes",NA(),Inputs!$D$25*Inputs!$C$35))</f>
        <v/>
      </c>
      <c r="Q1918" s="54">
        <f>IF($B1918=0,NA(),IF(Inputs!$B$26&lt;&gt;"Yes",NA(),Inputs!$D$26*Inputs!$C$35))</f>
        <v/>
      </c>
      <c r="R1918" s="54">
        <f>IF($B1918=0,NA(),IF(Inputs!$B$27&lt;&gt;"Yes",NA(),Inputs!$D$27*Inputs!$C$35))</f>
        <v/>
      </c>
      <c r="S1918" s="54">
        <f>IF($B1918=0,NA(),IF(Inputs!$B$28&lt;&gt;"Yes",NA(),Inputs!$D$28*Inputs!$C$35))</f>
        <v/>
      </c>
      <c r="T1918" s="54">
        <f>IF($B1918=0,NA(),IF(Inputs!$B$29&lt;&gt;"Yes",NA(),Inputs!$D$29*Inputs!$C$35))</f>
        <v/>
      </c>
      <c r="AD1918">
        <f>IF($B1918=0,0,IF(Inputs!$B$6="",0,COUNTIFS(Data!$A$10:$A$3209,"&gt;="&amp;$A1918,Data!$A$10:$A$3209,"&lt;"&amp;$A1918+1)))</f>
        <v/>
      </c>
      <c r="AE1918">
        <f>IF($B1918=0,0,IF(Inputs!$B$7="",0,COUNTIFS(Data!$E$10:$E$3209,"&gt;="&amp;$A1918,Data!$E$10:$E$3209,"&lt;"&amp;$A1918+1)))</f>
        <v/>
      </c>
      <c r="AF1918">
        <f>IF($B1918=0,0,IF(Inputs!$B$8="",0,COUNTIFS(Data!$I$10:$I$3209,"&gt;="&amp;$A1918,Data!$I$10:$I$3209,"&lt;"&amp;$A1918+1)))</f>
        <v/>
      </c>
      <c r="AG1918">
        <f>IF($B1918=0,0,IF(Inputs!$B$9="",0,COUNTIFS(Data!$M$10:$M$3209,"&gt;="&amp;$A1918,Data!$M$10:$M$3209,"&lt;"&amp;$A1918+1)))</f>
        <v/>
      </c>
      <c r="AH1918">
        <f>IF($B1918=0,0,IF(Inputs!$B$10="",0,COUNTIFS(Data!$Q$10:$Q$3209,"&gt;="&amp;$A1918,Data!$Q$10:$Q$3209,"&lt;"&amp;$A1918+1)))</f>
        <v/>
      </c>
    </row>
    <row r="1919">
      <c r="A1919" s="55">
        <f>MIN(Inputs!$C$15,$A1918+IF(WEEKDAY($A1918,2)=5,3,1))</f>
        <v/>
      </c>
      <c r="B1919">
        <f>IF($A1919&gt;$A1918,1,0)</f>
        <v/>
      </c>
      <c r="C1919" s="56">
        <f>IF($B1919=0,"",IF(Inputs!$B$6="","",IF($AD1919=0,C1918,SUMIFS(Data!$B$10:$B$3209,Data!$A$10:$A$3209,"&gt;="&amp;$A1919,Data!$A$10:$A$3209,"&lt;"&amp;$A1919+1)/$AD1919)))</f>
        <v/>
      </c>
      <c r="D1919" s="56">
        <f>IF($B1919=0,"",IF(Inputs!$B$7="","",IF($AE1919=0,D1918,SUMIFS(Data!$F$10:$F$3209,Data!$E$10:$E$3209,"&gt;="&amp;$A1919,Data!$E$10:$E$3209,"&lt;"&amp;$A1919+1)/$AE1919)))</f>
        <v/>
      </c>
      <c r="E1919" s="56">
        <f>IF($B1919=0,"",IF(Inputs!$B$8="","",IF($AF1919=0,E1918,SUMIFS(Data!$J$10:$J$3209,Data!$I$10:$I$3209,"&gt;="&amp;$A1919,Data!$I$10:$I$3209,"&lt;"&amp;$A1919+1)/$AF1919)))</f>
        <v/>
      </c>
      <c r="F1919" s="56">
        <f>IF($B1919=0,"",IF(Inputs!$B$9="","",IF($AG1919=0,F1918,SUMIFS(Data!$N$10:$N$3209,Data!$M$10:$M$3209,"&gt;="&amp;$A1919,Data!$M$10:$M$3209,"&lt;"&amp;$A1919+1)/$AG1919)))</f>
        <v/>
      </c>
      <c r="G1919" s="56">
        <f>IF($B1919=0,"",IF(Inputs!$B$10="","",IF($AH1919=0,G1918,SUMIFS(Data!$R$10:$R$3209,Data!$Q$10:$Q$3209,"&gt;="&amp;$A1919,Data!$Q$10:$Q$3209,"&lt;"&amp;$A1919+1)/$AH1919)))</f>
        <v/>
      </c>
      <c r="I1919" s="54">
        <f>IF($B1919=0,NA(),IF($C1919="",NA(),IF(C$8="",NA(),IF(N(C$8)=0,NA(),IF(Inputs!$C$17="Rebased to 100",$C1919/C$8*100,$C1919)))))</f>
        <v/>
      </c>
      <c r="J1919" s="54">
        <f>IF($B1919=0,NA(),IF($D1919="",NA(),IF(D$8="",NA(),IF(N(D$8)=0,NA(),IF(Inputs!$C$17="Rebased to 100",$D1919/D$8*100,$D1919)))))</f>
        <v/>
      </c>
      <c r="K1919" s="54">
        <f>IF($B1919=0,NA(),IF($E1919="",NA(),IF(E$8="",NA(),IF(N(E$8)=0,NA(),IF(Inputs!$C$17="Rebased to 100",$E1919/E$8*100,$E1919)))))</f>
        <v/>
      </c>
      <c r="L1919" s="54">
        <f>IF($B1919=0,NA(),IF($F1919="",NA(),IF(F$8="",NA(),IF(N(F$8)=0,NA(),IF(Inputs!$C$17="Rebased to 100",$F1919/F$8*100,$F1919)))))</f>
        <v/>
      </c>
      <c r="M1919" s="54">
        <f>IF($B1919=0,NA(),IF($G1919="",NA(),IF(G$8="",NA(),IF(N(G$8)=0,NA(),IF(Inputs!$C$17="Rebased to 100",$G1919/G$8*100,$G1919)))))</f>
        <v/>
      </c>
      <c r="N1919" s="54">
        <f>IF($B1919=0,NA(),IF(Inputs!$C$18&lt;&gt;"Yes",NA(),IF(COUNT(I1919,J1919,K1919,L1919,M1919)=0,NA(),MIN(I1919,J1919,K1919,L1919,M1919))))</f>
        <v/>
      </c>
      <c r="O1919" s="54">
        <f>IF($B1919=0,NA(),IF(Inputs!$B$24&lt;&gt;"Yes",NA(),Inputs!$D$24*Inputs!$C$35))</f>
        <v/>
      </c>
      <c r="P1919" s="54">
        <f>IF($B1919=0,NA(),IF(Inputs!$B$25&lt;&gt;"Yes",NA(),Inputs!$D$25*Inputs!$C$35))</f>
        <v/>
      </c>
      <c r="Q1919" s="54">
        <f>IF($B1919=0,NA(),IF(Inputs!$B$26&lt;&gt;"Yes",NA(),Inputs!$D$26*Inputs!$C$35))</f>
        <v/>
      </c>
      <c r="R1919" s="54">
        <f>IF($B1919=0,NA(),IF(Inputs!$B$27&lt;&gt;"Yes",NA(),Inputs!$D$27*Inputs!$C$35))</f>
        <v/>
      </c>
      <c r="S1919" s="54">
        <f>IF($B1919=0,NA(),IF(Inputs!$B$28&lt;&gt;"Yes",NA(),Inputs!$D$28*Inputs!$C$35))</f>
        <v/>
      </c>
      <c r="T1919" s="54">
        <f>IF($B1919=0,NA(),IF(Inputs!$B$29&lt;&gt;"Yes",NA(),Inputs!$D$29*Inputs!$C$35))</f>
        <v/>
      </c>
      <c r="AD1919">
        <f>IF($B1919=0,0,IF(Inputs!$B$6="",0,COUNTIFS(Data!$A$10:$A$3209,"&gt;="&amp;$A1919,Data!$A$10:$A$3209,"&lt;"&amp;$A1919+1)))</f>
        <v/>
      </c>
      <c r="AE1919">
        <f>IF($B1919=0,0,IF(Inputs!$B$7="",0,COUNTIFS(Data!$E$10:$E$3209,"&gt;="&amp;$A1919,Data!$E$10:$E$3209,"&lt;"&amp;$A1919+1)))</f>
        <v/>
      </c>
      <c r="AF1919">
        <f>IF($B1919=0,0,IF(Inputs!$B$8="",0,COUNTIFS(Data!$I$10:$I$3209,"&gt;="&amp;$A1919,Data!$I$10:$I$3209,"&lt;"&amp;$A1919+1)))</f>
        <v/>
      </c>
      <c r="AG1919">
        <f>IF($B1919=0,0,IF(Inputs!$B$9="",0,COUNTIFS(Data!$M$10:$M$3209,"&gt;="&amp;$A1919,Data!$M$10:$M$3209,"&lt;"&amp;$A1919+1)))</f>
        <v/>
      </c>
      <c r="AH1919">
        <f>IF($B1919=0,0,IF(Inputs!$B$10="",0,COUNTIFS(Data!$Q$10:$Q$3209,"&gt;="&amp;$A1919,Data!$Q$10:$Q$3209,"&lt;"&amp;$A1919+1)))</f>
        <v/>
      </c>
    </row>
    <row r="1920">
      <c r="A1920" s="55">
        <f>MIN(Inputs!$C$15,$A1919+IF(WEEKDAY($A1919,2)=5,3,1))</f>
        <v/>
      </c>
      <c r="B1920">
        <f>IF($A1920&gt;$A1919,1,0)</f>
        <v/>
      </c>
      <c r="C1920" s="56">
        <f>IF($B1920=0,"",IF(Inputs!$B$6="","",IF($AD1920=0,C1919,SUMIFS(Data!$B$10:$B$3209,Data!$A$10:$A$3209,"&gt;="&amp;$A1920,Data!$A$10:$A$3209,"&lt;"&amp;$A1920+1)/$AD1920)))</f>
        <v/>
      </c>
      <c r="D1920" s="56">
        <f>IF($B1920=0,"",IF(Inputs!$B$7="","",IF($AE1920=0,D1919,SUMIFS(Data!$F$10:$F$3209,Data!$E$10:$E$3209,"&gt;="&amp;$A1920,Data!$E$10:$E$3209,"&lt;"&amp;$A1920+1)/$AE1920)))</f>
        <v/>
      </c>
      <c r="E1920" s="56">
        <f>IF($B1920=0,"",IF(Inputs!$B$8="","",IF($AF1920=0,E1919,SUMIFS(Data!$J$10:$J$3209,Data!$I$10:$I$3209,"&gt;="&amp;$A1920,Data!$I$10:$I$3209,"&lt;"&amp;$A1920+1)/$AF1920)))</f>
        <v/>
      </c>
      <c r="F1920" s="56">
        <f>IF($B1920=0,"",IF(Inputs!$B$9="","",IF($AG1920=0,F1919,SUMIFS(Data!$N$10:$N$3209,Data!$M$10:$M$3209,"&gt;="&amp;$A1920,Data!$M$10:$M$3209,"&lt;"&amp;$A1920+1)/$AG1920)))</f>
        <v/>
      </c>
      <c r="G1920" s="56">
        <f>IF($B1920=0,"",IF(Inputs!$B$10="","",IF($AH1920=0,G1919,SUMIFS(Data!$R$10:$R$3209,Data!$Q$10:$Q$3209,"&gt;="&amp;$A1920,Data!$Q$10:$Q$3209,"&lt;"&amp;$A1920+1)/$AH1920)))</f>
        <v/>
      </c>
      <c r="I1920" s="54">
        <f>IF($B1920=0,NA(),IF($C1920="",NA(),IF(C$8="",NA(),IF(N(C$8)=0,NA(),IF(Inputs!$C$17="Rebased to 100",$C1920/C$8*100,$C1920)))))</f>
        <v/>
      </c>
      <c r="J1920" s="54">
        <f>IF($B1920=0,NA(),IF($D1920="",NA(),IF(D$8="",NA(),IF(N(D$8)=0,NA(),IF(Inputs!$C$17="Rebased to 100",$D1920/D$8*100,$D1920)))))</f>
        <v/>
      </c>
      <c r="K1920" s="54">
        <f>IF($B1920=0,NA(),IF($E1920="",NA(),IF(E$8="",NA(),IF(N(E$8)=0,NA(),IF(Inputs!$C$17="Rebased to 100",$E1920/E$8*100,$E1920)))))</f>
        <v/>
      </c>
      <c r="L1920" s="54">
        <f>IF($B1920=0,NA(),IF($F1920="",NA(),IF(F$8="",NA(),IF(N(F$8)=0,NA(),IF(Inputs!$C$17="Rebased to 100",$F1920/F$8*100,$F1920)))))</f>
        <v/>
      </c>
      <c r="M1920" s="54">
        <f>IF($B1920=0,NA(),IF($G1920="",NA(),IF(G$8="",NA(),IF(N(G$8)=0,NA(),IF(Inputs!$C$17="Rebased to 100",$G1920/G$8*100,$G1920)))))</f>
        <v/>
      </c>
      <c r="N1920" s="54">
        <f>IF($B1920=0,NA(),IF(Inputs!$C$18&lt;&gt;"Yes",NA(),IF(COUNT(I1920,J1920,K1920,L1920,M1920)=0,NA(),MIN(I1920,J1920,K1920,L1920,M1920))))</f>
        <v/>
      </c>
      <c r="O1920" s="54">
        <f>IF($B1920=0,NA(),IF(Inputs!$B$24&lt;&gt;"Yes",NA(),Inputs!$D$24*Inputs!$C$35))</f>
        <v/>
      </c>
      <c r="P1920" s="54">
        <f>IF($B1920=0,NA(),IF(Inputs!$B$25&lt;&gt;"Yes",NA(),Inputs!$D$25*Inputs!$C$35))</f>
        <v/>
      </c>
      <c r="Q1920" s="54">
        <f>IF($B1920=0,NA(),IF(Inputs!$B$26&lt;&gt;"Yes",NA(),Inputs!$D$26*Inputs!$C$35))</f>
        <v/>
      </c>
      <c r="R1920" s="54">
        <f>IF($B1920=0,NA(),IF(Inputs!$B$27&lt;&gt;"Yes",NA(),Inputs!$D$27*Inputs!$C$35))</f>
        <v/>
      </c>
      <c r="S1920" s="54">
        <f>IF($B1920=0,NA(),IF(Inputs!$B$28&lt;&gt;"Yes",NA(),Inputs!$D$28*Inputs!$C$35))</f>
        <v/>
      </c>
      <c r="T1920" s="54">
        <f>IF($B1920=0,NA(),IF(Inputs!$B$29&lt;&gt;"Yes",NA(),Inputs!$D$29*Inputs!$C$35))</f>
        <v/>
      </c>
      <c r="AD1920">
        <f>IF($B1920=0,0,IF(Inputs!$B$6="",0,COUNTIFS(Data!$A$10:$A$3209,"&gt;="&amp;$A1920,Data!$A$10:$A$3209,"&lt;"&amp;$A1920+1)))</f>
        <v/>
      </c>
      <c r="AE1920">
        <f>IF($B1920=0,0,IF(Inputs!$B$7="",0,COUNTIFS(Data!$E$10:$E$3209,"&gt;="&amp;$A1920,Data!$E$10:$E$3209,"&lt;"&amp;$A1920+1)))</f>
        <v/>
      </c>
      <c r="AF1920">
        <f>IF($B1920=0,0,IF(Inputs!$B$8="",0,COUNTIFS(Data!$I$10:$I$3209,"&gt;="&amp;$A1920,Data!$I$10:$I$3209,"&lt;"&amp;$A1920+1)))</f>
        <v/>
      </c>
      <c r="AG1920">
        <f>IF($B1920=0,0,IF(Inputs!$B$9="",0,COUNTIFS(Data!$M$10:$M$3209,"&gt;="&amp;$A1920,Data!$M$10:$M$3209,"&lt;"&amp;$A1920+1)))</f>
        <v/>
      </c>
      <c r="AH1920">
        <f>IF($B1920=0,0,IF(Inputs!$B$10="",0,COUNTIFS(Data!$Q$10:$Q$3209,"&gt;="&amp;$A1920,Data!$Q$10:$Q$3209,"&lt;"&amp;$A1920+1)))</f>
        <v/>
      </c>
    </row>
    <row r="1921">
      <c r="A1921" s="55">
        <f>MIN(Inputs!$C$15,$A1920+IF(WEEKDAY($A1920,2)=5,3,1))</f>
        <v/>
      </c>
      <c r="B1921">
        <f>IF($A1921&gt;$A1920,1,0)</f>
        <v/>
      </c>
      <c r="C1921" s="56">
        <f>IF($B1921=0,"",IF(Inputs!$B$6="","",IF($AD1921=0,C1920,SUMIFS(Data!$B$10:$B$3209,Data!$A$10:$A$3209,"&gt;="&amp;$A1921,Data!$A$10:$A$3209,"&lt;"&amp;$A1921+1)/$AD1921)))</f>
        <v/>
      </c>
      <c r="D1921" s="56">
        <f>IF($B1921=0,"",IF(Inputs!$B$7="","",IF($AE1921=0,D1920,SUMIFS(Data!$F$10:$F$3209,Data!$E$10:$E$3209,"&gt;="&amp;$A1921,Data!$E$10:$E$3209,"&lt;"&amp;$A1921+1)/$AE1921)))</f>
        <v/>
      </c>
      <c r="E1921" s="56">
        <f>IF($B1921=0,"",IF(Inputs!$B$8="","",IF($AF1921=0,E1920,SUMIFS(Data!$J$10:$J$3209,Data!$I$10:$I$3209,"&gt;="&amp;$A1921,Data!$I$10:$I$3209,"&lt;"&amp;$A1921+1)/$AF1921)))</f>
        <v/>
      </c>
      <c r="F1921" s="56">
        <f>IF($B1921=0,"",IF(Inputs!$B$9="","",IF($AG1921=0,F1920,SUMIFS(Data!$N$10:$N$3209,Data!$M$10:$M$3209,"&gt;="&amp;$A1921,Data!$M$10:$M$3209,"&lt;"&amp;$A1921+1)/$AG1921)))</f>
        <v/>
      </c>
      <c r="G1921" s="56">
        <f>IF($B1921=0,"",IF(Inputs!$B$10="","",IF($AH1921=0,G1920,SUMIFS(Data!$R$10:$R$3209,Data!$Q$10:$Q$3209,"&gt;="&amp;$A1921,Data!$Q$10:$Q$3209,"&lt;"&amp;$A1921+1)/$AH1921)))</f>
        <v/>
      </c>
      <c r="I1921" s="54">
        <f>IF($B1921=0,NA(),IF($C1921="",NA(),IF(C$8="",NA(),IF(N(C$8)=0,NA(),IF(Inputs!$C$17="Rebased to 100",$C1921/C$8*100,$C1921)))))</f>
        <v/>
      </c>
      <c r="J1921" s="54">
        <f>IF($B1921=0,NA(),IF($D1921="",NA(),IF(D$8="",NA(),IF(N(D$8)=0,NA(),IF(Inputs!$C$17="Rebased to 100",$D1921/D$8*100,$D1921)))))</f>
        <v/>
      </c>
      <c r="K1921" s="54">
        <f>IF($B1921=0,NA(),IF($E1921="",NA(),IF(E$8="",NA(),IF(N(E$8)=0,NA(),IF(Inputs!$C$17="Rebased to 100",$E1921/E$8*100,$E1921)))))</f>
        <v/>
      </c>
      <c r="L1921" s="54">
        <f>IF($B1921=0,NA(),IF($F1921="",NA(),IF(F$8="",NA(),IF(N(F$8)=0,NA(),IF(Inputs!$C$17="Rebased to 100",$F1921/F$8*100,$F1921)))))</f>
        <v/>
      </c>
      <c r="M1921" s="54">
        <f>IF($B1921=0,NA(),IF($G1921="",NA(),IF(G$8="",NA(),IF(N(G$8)=0,NA(),IF(Inputs!$C$17="Rebased to 100",$G1921/G$8*100,$G1921)))))</f>
        <v/>
      </c>
      <c r="N1921" s="54">
        <f>IF($B1921=0,NA(),IF(Inputs!$C$18&lt;&gt;"Yes",NA(),IF(COUNT(I1921,J1921,K1921,L1921,M1921)=0,NA(),MIN(I1921,J1921,K1921,L1921,M1921))))</f>
        <v/>
      </c>
      <c r="O1921" s="54">
        <f>IF($B1921=0,NA(),IF(Inputs!$B$24&lt;&gt;"Yes",NA(),Inputs!$D$24*Inputs!$C$35))</f>
        <v/>
      </c>
      <c r="P1921" s="54">
        <f>IF($B1921=0,NA(),IF(Inputs!$B$25&lt;&gt;"Yes",NA(),Inputs!$D$25*Inputs!$C$35))</f>
        <v/>
      </c>
      <c r="Q1921" s="54">
        <f>IF($B1921=0,NA(),IF(Inputs!$B$26&lt;&gt;"Yes",NA(),Inputs!$D$26*Inputs!$C$35))</f>
        <v/>
      </c>
      <c r="R1921" s="54">
        <f>IF($B1921=0,NA(),IF(Inputs!$B$27&lt;&gt;"Yes",NA(),Inputs!$D$27*Inputs!$C$35))</f>
        <v/>
      </c>
      <c r="S1921" s="54">
        <f>IF($B1921=0,NA(),IF(Inputs!$B$28&lt;&gt;"Yes",NA(),Inputs!$D$28*Inputs!$C$35))</f>
        <v/>
      </c>
      <c r="T1921" s="54">
        <f>IF($B1921=0,NA(),IF(Inputs!$B$29&lt;&gt;"Yes",NA(),Inputs!$D$29*Inputs!$C$35))</f>
        <v/>
      </c>
      <c r="AD1921">
        <f>IF($B1921=0,0,IF(Inputs!$B$6="",0,COUNTIFS(Data!$A$10:$A$3209,"&gt;="&amp;$A1921,Data!$A$10:$A$3209,"&lt;"&amp;$A1921+1)))</f>
        <v/>
      </c>
      <c r="AE1921">
        <f>IF($B1921=0,0,IF(Inputs!$B$7="",0,COUNTIFS(Data!$E$10:$E$3209,"&gt;="&amp;$A1921,Data!$E$10:$E$3209,"&lt;"&amp;$A1921+1)))</f>
        <v/>
      </c>
      <c r="AF1921">
        <f>IF($B1921=0,0,IF(Inputs!$B$8="",0,COUNTIFS(Data!$I$10:$I$3209,"&gt;="&amp;$A1921,Data!$I$10:$I$3209,"&lt;"&amp;$A1921+1)))</f>
        <v/>
      </c>
      <c r="AG1921">
        <f>IF($B1921=0,0,IF(Inputs!$B$9="",0,COUNTIFS(Data!$M$10:$M$3209,"&gt;="&amp;$A1921,Data!$M$10:$M$3209,"&lt;"&amp;$A1921+1)))</f>
        <v/>
      </c>
      <c r="AH1921">
        <f>IF($B1921=0,0,IF(Inputs!$B$10="",0,COUNTIFS(Data!$Q$10:$Q$3209,"&gt;="&amp;$A1921,Data!$Q$10:$Q$3209,"&lt;"&amp;$A1921+1)))</f>
        <v/>
      </c>
    </row>
    <row r="1922">
      <c r="A1922" s="55">
        <f>MIN(Inputs!$C$15,$A1921+IF(WEEKDAY($A1921,2)=5,3,1))</f>
        <v/>
      </c>
      <c r="B1922">
        <f>IF($A1922&gt;$A1921,1,0)</f>
        <v/>
      </c>
      <c r="C1922" s="56">
        <f>IF($B1922=0,"",IF(Inputs!$B$6="","",IF($AD1922=0,C1921,SUMIFS(Data!$B$10:$B$3209,Data!$A$10:$A$3209,"&gt;="&amp;$A1922,Data!$A$10:$A$3209,"&lt;"&amp;$A1922+1)/$AD1922)))</f>
        <v/>
      </c>
      <c r="D1922" s="56">
        <f>IF($B1922=0,"",IF(Inputs!$B$7="","",IF($AE1922=0,D1921,SUMIFS(Data!$F$10:$F$3209,Data!$E$10:$E$3209,"&gt;="&amp;$A1922,Data!$E$10:$E$3209,"&lt;"&amp;$A1922+1)/$AE1922)))</f>
        <v/>
      </c>
      <c r="E1922" s="56">
        <f>IF($B1922=0,"",IF(Inputs!$B$8="","",IF($AF1922=0,E1921,SUMIFS(Data!$J$10:$J$3209,Data!$I$10:$I$3209,"&gt;="&amp;$A1922,Data!$I$10:$I$3209,"&lt;"&amp;$A1922+1)/$AF1922)))</f>
        <v/>
      </c>
      <c r="F1922" s="56">
        <f>IF($B1922=0,"",IF(Inputs!$B$9="","",IF($AG1922=0,F1921,SUMIFS(Data!$N$10:$N$3209,Data!$M$10:$M$3209,"&gt;="&amp;$A1922,Data!$M$10:$M$3209,"&lt;"&amp;$A1922+1)/$AG1922)))</f>
        <v/>
      </c>
      <c r="G1922" s="56">
        <f>IF($B1922=0,"",IF(Inputs!$B$10="","",IF($AH1922=0,G1921,SUMIFS(Data!$R$10:$R$3209,Data!$Q$10:$Q$3209,"&gt;="&amp;$A1922,Data!$Q$10:$Q$3209,"&lt;"&amp;$A1922+1)/$AH1922)))</f>
        <v/>
      </c>
      <c r="I1922" s="54">
        <f>IF($B1922=0,NA(),IF($C1922="",NA(),IF(C$8="",NA(),IF(N(C$8)=0,NA(),IF(Inputs!$C$17="Rebased to 100",$C1922/C$8*100,$C1922)))))</f>
        <v/>
      </c>
      <c r="J1922" s="54">
        <f>IF($B1922=0,NA(),IF($D1922="",NA(),IF(D$8="",NA(),IF(N(D$8)=0,NA(),IF(Inputs!$C$17="Rebased to 100",$D1922/D$8*100,$D1922)))))</f>
        <v/>
      </c>
      <c r="K1922" s="54">
        <f>IF($B1922=0,NA(),IF($E1922="",NA(),IF(E$8="",NA(),IF(N(E$8)=0,NA(),IF(Inputs!$C$17="Rebased to 100",$E1922/E$8*100,$E1922)))))</f>
        <v/>
      </c>
      <c r="L1922" s="54">
        <f>IF($B1922=0,NA(),IF($F1922="",NA(),IF(F$8="",NA(),IF(N(F$8)=0,NA(),IF(Inputs!$C$17="Rebased to 100",$F1922/F$8*100,$F1922)))))</f>
        <v/>
      </c>
      <c r="M1922" s="54">
        <f>IF($B1922=0,NA(),IF($G1922="",NA(),IF(G$8="",NA(),IF(N(G$8)=0,NA(),IF(Inputs!$C$17="Rebased to 100",$G1922/G$8*100,$G1922)))))</f>
        <v/>
      </c>
      <c r="N1922" s="54">
        <f>IF($B1922=0,NA(),IF(Inputs!$C$18&lt;&gt;"Yes",NA(),IF(COUNT(I1922,J1922,K1922,L1922,M1922)=0,NA(),MIN(I1922,J1922,K1922,L1922,M1922))))</f>
        <v/>
      </c>
      <c r="O1922" s="54">
        <f>IF($B1922=0,NA(),IF(Inputs!$B$24&lt;&gt;"Yes",NA(),Inputs!$D$24*Inputs!$C$35))</f>
        <v/>
      </c>
      <c r="P1922" s="54">
        <f>IF($B1922=0,NA(),IF(Inputs!$B$25&lt;&gt;"Yes",NA(),Inputs!$D$25*Inputs!$C$35))</f>
        <v/>
      </c>
      <c r="Q1922" s="54">
        <f>IF($B1922=0,NA(),IF(Inputs!$B$26&lt;&gt;"Yes",NA(),Inputs!$D$26*Inputs!$C$35))</f>
        <v/>
      </c>
      <c r="R1922" s="54">
        <f>IF($B1922=0,NA(),IF(Inputs!$B$27&lt;&gt;"Yes",NA(),Inputs!$D$27*Inputs!$C$35))</f>
        <v/>
      </c>
      <c r="S1922" s="54">
        <f>IF($B1922=0,NA(),IF(Inputs!$B$28&lt;&gt;"Yes",NA(),Inputs!$D$28*Inputs!$C$35))</f>
        <v/>
      </c>
      <c r="T1922" s="54">
        <f>IF($B1922=0,NA(),IF(Inputs!$B$29&lt;&gt;"Yes",NA(),Inputs!$D$29*Inputs!$C$35))</f>
        <v/>
      </c>
      <c r="AD1922">
        <f>IF($B1922=0,0,IF(Inputs!$B$6="",0,COUNTIFS(Data!$A$10:$A$3209,"&gt;="&amp;$A1922,Data!$A$10:$A$3209,"&lt;"&amp;$A1922+1)))</f>
        <v/>
      </c>
      <c r="AE1922">
        <f>IF($B1922=0,0,IF(Inputs!$B$7="",0,COUNTIFS(Data!$E$10:$E$3209,"&gt;="&amp;$A1922,Data!$E$10:$E$3209,"&lt;"&amp;$A1922+1)))</f>
        <v/>
      </c>
      <c r="AF1922">
        <f>IF($B1922=0,0,IF(Inputs!$B$8="",0,COUNTIFS(Data!$I$10:$I$3209,"&gt;="&amp;$A1922,Data!$I$10:$I$3209,"&lt;"&amp;$A1922+1)))</f>
        <v/>
      </c>
      <c r="AG1922">
        <f>IF($B1922=0,0,IF(Inputs!$B$9="",0,COUNTIFS(Data!$M$10:$M$3209,"&gt;="&amp;$A1922,Data!$M$10:$M$3209,"&lt;"&amp;$A1922+1)))</f>
        <v/>
      </c>
      <c r="AH1922">
        <f>IF($B1922=0,0,IF(Inputs!$B$10="",0,COUNTIFS(Data!$Q$10:$Q$3209,"&gt;="&amp;$A1922,Data!$Q$10:$Q$3209,"&lt;"&amp;$A1922+1)))</f>
        <v/>
      </c>
    </row>
    <row r="1923">
      <c r="A1923" s="55">
        <f>MIN(Inputs!$C$15,$A1922+IF(WEEKDAY($A1922,2)=5,3,1))</f>
        <v/>
      </c>
      <c r="B1923">
        <f>IF($A1923&gt;$A1922,1,0)</f>
        <v/>
      </c>
      <c r="C1923" s="56">
        <f>IF($B1923=0,"",IF(Inputs!$B$6="","",IF($AD1923=0,C1922,SUMIFS(Data!$B$10:$B$3209,Data!$A$10:$A$3209,"&gt;="&amp;$A1923,Data!$A$10:$A$3209,"&lt;"&amp;$A1923+1)/$AD1923)))</f>
        <v/>
      </c>
      <c r="D1923" s="56">
        <f>IF($B1923=0,"",IF(Inputs!$B$7="","",IF($AE1923=0,D1922,SUMIFS(Data!$F$10:$F$3209,Data!$E$10:$E$3209,"&gt;="&amp;$A1923,Data!$E$10:$E$3209,"&lt;"&amp;$A1923+1)/$AE1923)))</f>
        <v/>
      </c>
      <c r="E1923" s="56">
        <f>IF($B1923=0,"",IF(Inputs!$B$8="","",IF($AF1923=0,E1922,SUMIFS(Data!$J$10:$J$3209,Data!$I$10:$I$3209,"&gt;="&amp;$A1923,Data!$I$10:$I$3209,"&lt;"&amp;$A1923+1)/$AF1923)))</f>
        <v/>
      </c>
      <c r="F1923" s="56">
        <f>IF($B1923=0,"",IF(Inputs!$B$9="","",IF($AG1923=0,F1922,SUMIFS(Data!$N$10:$N$3209,Data!$M$10:$M$3209,"&gt;="&amp;$A1923,Data!$M$10:$M$3209,"&lt;"&amp;$A1923+1)/$AG1923)))</f>
        <v/>
      </c>
      <c r="G1923" s="56">
        <f>IF($B1923=0,"",IF(Inputs!$B$10="","",IF($AH1923=0,G1922,SUMIFS(Data!$R$10:$R$3209,Data!$Q$10:$Q$3209,"&gt;="&amp;$A1923,Data!$Q$10:$Q$3209,"&lt;"&amp;$A1923+1)/$AH1923)))</f>
        <v/>
      </c>
      <c r="I1923" s="54">
        <f>IF($B1923=0,NA(),IF($C1923="",NA(),IF(C$8="",NA(),IF(N(C$8)=0,NA(),IF(Inputs!$C$17="Rebased to 100",$C1923/C$8*100,$C1923)))))</f>
        <v/>
      </c>
      <c r="J1923" s="54">
        <f>IF($B1923=0,NA(),IF($D1923="",NA(),IF(D$8="",NA(),IF(N(D$8)=0,NA(),IF(Inputs!$C$17="Rebased to 100",$D1923/D$8*100,$D1923)))))</f>
        <v/>
      </c>
      <c r="K1923" s="54">
        <f>IF($B1923=0,NA(),IF($E1923="",NA(),IF(E$8="",NA(),IF(N(E$8)=0,NA(),IF(Inputs!$C$17="Rebased to 100",$E1923/E$8*100,$E1923)))))</f>
        <v/>
      </c>
      <c r="L1923" s="54">
        <f>IF($B1923=0,NA(),IF($F1923="",NA(),IF(F$8="",NA(),IF(N(F$8)=0,NA(),IF(Inputs!$C$17="Rebased to 100",$F1923/F$8*100,$F1923)))))</f>
        <v/>
      </c>
      <c r="M1923" s="54">
        <f>IF($B1923=0,NA(),IF($G1923="",NA(),IF(G$8="",NA(),IF(N(G$8)=0,NA(),IF(Inputs!$C$17="Rebased to 100",$G1923/G$8*100,$G1923)))))</f>
        <v/>
      </c>
      <c r="N1923" s="54">
        <f>IF($B1923=0,NA(),IF(Inputs!$C$18&lt;&gt;"Yes",NA(),IF(COUNT(I1923,J1923,K1923,L1923,M1923)=0,NA(),MIN(I1923,J1923,K1923,L1923,M1923))))</f>
        <v/>
      </c>
      <c r="O1923" s="54">
        <f>IF($B1923=0,NA(),IF(Inputs!$B$24&lt;&gt;"Yes",NA(),Inputs!$D$24*Inputs!$C$35))</f>
        <v/>
      </c>
      <c r="P1923" s="54">
        <f>IF($B1923=0,NA(),IF(Inputs!$B$25&lt;&gt;"Yes",NA(),Inputs!$D$25*Inputs!$C$35))</f>
        <v/>
      </c>
      <c r="Q1923" s="54">
        <f>IF($B1923=0,NA(),IF(Inputs!$B$26&lt;&gt;"Yes",NA(),Inputs!$D$26*Inputs!$C$35))</f>
        <v/>
      </c>
      <c r="R1923" s="54">
        <f>IF($B1923=0,NA(),IF(Inputs!$B$27&lt;&gt;"Yes",NA(),Inputs!$D$27*Inputs!$C$35))</f>
        <v/>
      </c>
      <c r="S1923" s="54">
        <f>IF($B1923=0,NA(),IF(Inputs!$B$28&lt;&gt;"Yes",NA(),Inputs!$D$28*Inputs!$C$35))</f>
        <v/>
      </c>
      <c r="T1923" s="54">
        <f>IF($B1923=0,NA(),IF(Inputs!$B$29&lt;&gt;"Yes",NA(),Inputs!$D$29*Inputs!$C$35))</f>
        <v/>
      </c>
      <c r="AD1923">
        <f>IF($B1923=0,0,IF(Inputs!$B$6="",0,COUNTIFS(Data!$A$10:$A$3209,"&gt;="&amp;$A1923,Data!$A$10:$A$3209,"&lt;"&amp;$A1923+1)))</f>
        <v/>
      </c>
      <c r="AE1923">
        <f>IF($B1923=0,0,IF(Inputs!$B$7="",0,COUNTIFS(Data!$E$10:$E$3209,"&gt;="&amp;$A1923,Data!$E$10:$E$3209,"&lt;"&amp;$A1923+1)))</f>
        <v/>
      </c>
      <c r="AF1923">
        <f>IF($B1923=0,0,IF(Inputs!$B$8="",0,COUNTIFS(Data!$I$10:$I$3209,"&gt;="&amp;$A1923,Data!$I$10:$I$3209,"&lt;"&amp;$A1923+1)))</f>
        <v/>
      </c>
      <c r="AG1923">
        <f>IF($B1923=0,0,IF(Inputs!$B$9="",0,COUNTIFS(Data!$M$10:$M$3209,"&gt;="&amp;$A1923,Data!$M$10:$M$3209,"&lt;"&amp;$A1923+1)))</f>
        <v/>
      </c>
      <c r="AH1923">
        <f>IF($B1923=0,0,IF(Inputs!$B$10="",0,COUNTIFS(Data!$Q$10:$Q$3209,"&gt;="&amp;$A1923,Data!$Q$10:$Q$3209,"&lt;"&amp;$A1923+1)))</f>
        <v/>
      </c>
    </row>
    <row r="1924">
      <c r="A1924" s="55">
        <f>MIN(Inputs!$C$15,$A1923+IF(WEEKDAY($A1923,2)=5,3,1))</f>
        <v/>
      </c>
      <c r="B1924">
        <f>IF($A1924&gt;$A1923,1,0)</f>
        <v/>
      </c>
      <c r="C1924" s="56">
        <f>IF($B1924=0,"",IF(Inputs!$B$6="","",IF($AD1924=0,C1923,SUMIFS(Data!$B$10:$B$3209,Data!$A$10:$A$3209,"&gt;="&amp;$A1924,Data!$A$10:$A$3209,"&lt;"&amp;$A1924+1)/$AD1924)))</f>
        <v/>
      </c>
      <c r="D1924" s="56">
        <f>IF($B1924=0,"",IF(Inputs!$B$7="","",IF($AE1924=0,D1923,SUMIFS(Data!$F$10:$F$3209,Data!$E$10:$E$3209,"&gt;="&amp;$A1924,Data!$E$10:$E$3209,"&lt;"&amp;$A1924+1)/$AE1924)))</f>
        <v/>
      </c>
      <c r="E1924" s="56">
        <f>IF($B1924=0,"",IF(Inputs!$B$8="","",IF($AF1924=0,E1923,SUMIFS(Data!$J$10:$J$3209,Data!$I$10:$I$3209,"&gt;="&amp;$A1924,Data!$I$10:$I$3209,"&lt;"&amp;$A1924+1)/$AF1924)))</f>
        <v/>
      </c>
      <c r="F1924" s="56">
        <f>IF($B1924=0,"",IF(Inputs!$B$9="","",IF($AG1924=0,F1923,SUMIFS(Data!$N$10:$N$3209,Data!$M$10:$M$3209,"&gt;="&amp;$A1924,Data!$M$10:$M$3209,"&lt;"&amp;$A1924+1)/$AG1924)))</f>
        <v/>
      </c>
      <c r="G1924" s="56">
        <f>IF($B1924=0,"",IF(Inputs!$B$10="","",IF($AH1924=0,G1923,SUMIFS(Data!$R$10:$R$3209,Data!$Q$10:$Q$3209,"&gt;="&amp;$A1924,Data!$Q$10:$Q$3209,"&lt;"&amp;$A1924+1)/$AH1924)))</f>
        <v/>
      </c>
      <c r="I1924" s="54">
        <f>IF($B1924=0,NA(),IF($C1924="",NA(),IF(C$8="",NA(),IF(N(C$8)=0,NA(),IF(Inputs!$C$17="Rebased to 100",$C1924/C$8*100,$C1924)))))</f>
        <v/>
      </c>
      <c r="J1924" s="54">
        <f>IF($B1924=0,NA(),IF($D1924="",NA(),IF(D$8="",NA(),IF(N(D$8)=0,NA(),IF(Inputs!$C$17="Rebased to 100",$D1924/D$8*100,$D1924)))))</f>
        <v/>
      </c>
      <c r="K1924" s="54">
        <f>IF($B1924=0,NA(),IF($E1924="",NA(),IF(E$8="",NA(),IF(N(E$8)=0,NA(),IF(Inputs!$C$17="Rebased to 100",$E1924/E$8*100,$E1924)))))</f>
        <v/>
      </c>
      <c r="L1924" s="54">
        <f>IF($B1924=0,NA(),IF($F1924="",NA(),IF(F$8="",NA(),IF(N(F$8)=0,NA(),IF(Inputs!$C$17="Rebased to 100",$F1924/F$8*100,$F1924)))))</f>
        <v/>
      </c>
      <c r="M1924" s="54">
        <f>IF($B1924=0,NA(),IF($G1924="",NA(),IF(G$8="",NA(),IF(N(G$8)=0,NA(),IF(Inputs!$C$17="Rebased to 100",$G1924/G$8*100,$G1924)))))</f>
        <v/>
      </c>
      <c r="N1924" s="54">
        <f>IF($B1924=0,NA(),IF(Inputs!$C$18&lt;&gt;"Yes",NA(),IF(COUNT(I1924,J1924,K1924,L1924,M1924)=0,NA(),MIN(I1924,J1924,K1924,L1924,M1924))))</f>
        <v/>
      </c>
      <c r="O1924" s="54">
        <f>IF($B1924=0,NA(),IF(Inputs!$B$24&lt;&gt;"Yes",NA(),Inputs!$D$24*Inputs!$C$35))</f>
        <v/>
      </c>
      <c r="P1924" s="54">
        <f>IF($B1924=0,NA(),IF(Inputs!$B$25&lt;&gt;"Yes",NA(),Inputs!$D$25*Inputs!$C$35))</f>
        <v/>
      </c>
      <c r="Q1924" s="54">
        <f>IF($B1924=0,NA(),IF(Inputs!$B$26&lt;&gt;"Yes",NA(),Inputs!$D$26*Inputs!$C$35))</f>
        <v/>
      </c>
      <c r="R1924" s="54">
        <f>IF($B1924=0,NA(),IF(Inputs!$B$27&lt;&gt;"Yes",NA(),Inputs!$D$27*Inputs!$C$35))</f>
        <v/>
      </c>
      <c r="S1924" s="54">
        <f>IF($B1924=0,NA(),IF(Inputs!$B$28&lt;&gt;"Yes",NA(),Inputs!$D$28*Inputs!$C$35))</f>
        <v/>
      </c>
      <c r="T1924" s="54">
        <f>IF($B1924=0,NA(),IF(Inputs!$B$29&lt;&gt;"Yes",NA(),Inputs!$D$29*Inputs!$C$35))</f>
        <v/>
      </c>
      <c r="AD1924">
        <f>IF($B1924=0,0,IF(Inputs!$B$6="",0,COUNTIFS(Data!$A$10:$A$3209,"&gt;="&amp;$A1924,Data!$A$10:$A$3209,"&lt;"&amp;$A1924+1)))</f>
        <v/>
      </c>
      <c r="AE1924">
        <f>IF($B1924=0,0,IF(Inputs!$B$7="",0,COUNTIFS(Data!$E$10:$E$3209,"&gt;="&amp;$A1924,Data!$E$10:$E$3209,"&lt;"&amp;$A1924+1)))</f>
        <v/>
      </c>
      <c r="AF1924">
        <f>IF($B1924=0,0,IF(Inputs!$B$8="",0,COUNTIFS(Data!$I$10:$I$3209,"&gt;="&amp;$A1924,Data!$I$10:$I$3209,"&lt;"&amp;$A1924+1)))</f>
        <v/>
      </c>
      <c r="AG1924">
        <f>IF($B1924=0,0,IF(Inputs!$B$9="",0,COUNTIFS(Data!$M$10:$M$3209,"&gt;="&amp;$A1924,Data!$M$10:$M$3209,"&lt;"&amp;$A1924+1)))</f>
        <v/>
      </c>
      <c r="AH1924">
        <f>IF($B1924=0,0,IF(Inputs!$B$10="",0,COUNTIFS(Data!$Q$10:$Q$3209,"&gt;="&amp;$A1924,Data!$Q$10:$Q$3209,"&lt;"&amp;$A1924+1)))</f>
        <v/>
      </c>
    </row>
    <row r="1925">
      <c r="A1925" s="55">
        <f>MIN(Inputs!$C$15,$A1924+IF(WEEKDAY($A1924,2)=5,3,1))</f>
        <v/>
      </c>
      <c r="B1925">
        <f>IF($A1925&gt;$A1924,1,0)</f>
        <v/>
      </c>
      <c r="C1925" s="56">
        <f>IF($B1925=0,"",IF(Inputs!$B$6="","",IF($AD1925=0,C1924,SUMIFS(Data!$B$10:$B$3209,Data!$A$10:$A$3209,"&gt;="&amp;$A1925,Data!$A$10:$A$3209,"&lt;"&amp;$A1925+1)/$AD1925)))</f>
        <v/>
      </c>
      <c r="D1925" s="56">
        <f>IF($B1925=0,"",IF(Inputs!$B$7="","",IF($AE1925=0,D1924,SUMIFS(Data!$F$10:$F$3209,Data!$E$10:$E$3209,"&gt;="&amp;$A1925,Data!$E$10:$E$3209,"&lt;"&amp;$A1925+1)/$AE1925)))</f>
        <v/>
      </c>
      <c r="E1925" s="56">
        <f>IF($B1925=0,"",IF(Inputs!$B$8="","",IF($AF1925=0,E1924,SUMIFS(Data!$J$10:$J$3209,Data!$I$10:$I$3209,"&gt;="&amp;$A1925,Data!$I$10:$I$3209,"&lt;"&amp;$A1925+1)/$AF1925)))</f>
        <v/>
      </c>
      <c r="F1925" s="56">
        <f>IF($B1925=0,"",IF(Inputs!$B$9="","",IF($AG1925=0,F1924,SUMIFS(Data!$N$10:$N$3209,Data!$M$10:$M$3209,"&gt;="&amp;$A1925,Data!$M$10:$M$3209,"&lt;"&amp;$A1925+1)/$AG1925)))</f>
        <v/>
      </c>
      <c r="G1925" s="56">
        <f>IF($B1925=0,"",IF(Inputs!$B$10="","",IF($AH1925=0,G1924,SUMIFS(Data!$R$10:$R$3209,Data!$Q$10:$Q$3209,"&gt;="&amp;$A1925,Data!$Q$10:$Q$3209,"&lt;"&amp;$A1925+1)/$AH1925)))</f>
        <v/>
      </c>
      <c r="I1925" s="54">
        <f>IF($B1925=0,NA(),IF($C1925="",NA(),IF(C$8="",NA(),IF(N(C$8)=0,NA(),IF(Inputs!$C$17="Rebased to 100",$C1925/C$8*100,$C1925)))))</f>
        <v/>
      </c>
      <c r="J1925" s="54">
        <f>IF($B1925=0,NA(),IF($D1925="",NA(),IF(D$8="",NA(),IF(N(D$8)=0,NA(),IF(Inputs!$C$17="Rebased to 100",$D1925/D$8*100,$D1925)))))</f>
        <v/>
      </c>
      <c r="K1925" s="54">
        <f>IF($B1925=0,NA(),IF($E1925="",NA(),IF(E$8="",NA(),IF(N(E$8)=0,NA(),IF(Inputs!$C$17="Rebased to 100",$E1925/E$8*100,$E1925)))))</f>
        <v/>
      </c>
      <c r="L1925" s="54">
        <f>IF($B1925=0,NA(),IF($F1925="",NA(),IF(F$8="",NA(),IF(N(F$8)=0,NA(),IF(Inputs!$C$17="Rebased to 100",$F1925/F$8*100,$F1925)))))</f>
        <v/>
      </c>
      <c r="M1925" s="54">
        <f>IF($B1925=0,NA(),IF($G1925="",NA(),IF(G$8="",NA(),IF(N(G$8)=0,NA(),IF(Inputs!$C$17="Rebased to 100",$G1925/G$8*100,$G1925)))))</f>
        <v/>
      </c>
      <c r="N1925" s="54">
        <f>IF($B1925=0,NA(),IF(Inputs!$C$18&lt;&gt;"Yes",NA(),IF(COUNT(I1925,J1925,K1925,L1925,M1925)=0,NA(),MIN(I1925,J1925,K1925,L1925,M1925))))</f>
        <v/>
      </c>
      <c r="O1925" s="54">
        <f>IF($B1925=0,NA(),IF(Inputs!$B$24&lt;&gt;"Yes",NA(),Inputs!$D$24*Inputs!$C$35))</f>
        <v/>
      </c>
      <c r="P1925" s="54">
        <f>IF($B1925=0,NA(),IF(Inputs!$B$25&lt;&gt;"Yes",NA(),Inputs!$D$25*Inputs!$C$35))</f>
        <v/>
      </c>
      <c r="Q1925" s="54">
        <f>IF($B1925=0,NA(),IF(Inputs!$B$26&lt;&gt;"Yes",NA(),Inputs!$D$26*Inputs!$C$35))</f>
        <v/>
      </c>
      <c r="R1925" s="54">
        <f>IF($B1925=0,NA(),IF(Inputs!$B$27&lt;&gt;"Yes",NA(),Inputs!$D$27*Inputs!$C$35))</f>
        <v/>
      </c>
      <c r="S1925" s="54">
        <f>IF($B1925=0,NA(),IF(Inputs!$B$28&lt;&gt;"Yes",NA(),Inputs!$D$28*Inputs!$C$35))</f>
        <v/>
      </c>
      <c r="T1925" s="54">
        <f>IF($B1925=0,NA(),IF(Inputs!$B$29&lt;&gt;"Yes",NA(),Inputs!$D$29*Inputs!$C$35))</f>
        <v/>
      </c>
      <c r="AD1925">
        <f>IF($B1925=0,0,IF(Inputs!$B$6="",0,COUNTIFS(Data!$A$10:$A$3209,"&gt;="&amp;$A1925,Data!$A$10:$A$3209,"&lt;"&amp;$A1925+1)))</f>
        <v/>
      </c>
      <c r="AE1925">
        <f>IF($B1925=0,0,IF(Inputs!$B$7="",0,COUNTIFS(Data!$E$10:$E$3209,"&gt;="&amp;$A1925,Data!$E$10:$E$3209,"&lt;"&amp;$A1925+1)))</f>
        <v/>
      </c>
      <c r="AF1925">
        <f>IF($B1925=0,0,IF(Inputs!$B$8="",0,COUNTIFS(Data!$I$10:$I$3209,"&gt;="&amp;$A1925,Data!$I$10:$I$3209,"&lt;"&amp;$A1925+1)))</f>
        <v/>
      </c>
      <c r="AG1925">
        <f>IF($B1925=0,0,IF(Inputs!$B$9="",0,COUNTIFS(Data!$M$10:$M$3209,"&gt;="&amp;$A1925,Data!$M$10:$M$3209,"&lt;"&amp;$A1925+1)))</f>
        <v/>
      </c>
      <c r="AH1925">
        <f>IF($B1925=0,0,IF(Inputs!$B$10="",0,COUNTIFS(Data!$Q$10:$Q$3209,"&gt;="&amp;$A1925,Data!$Q$10:$Q$3209,"&lt;"&amp;$A1925+1)))</f>
        <v/>
      </c>
    </row>
    <row r="1926">
      <c r="A1926" s="55">
        <f>MIN(Inputs!$C$15,$A1925+IF(WEEKDAY($A1925,2)=5,3,1))</f>
        <v/>
      </c>
      <c r="B1926">
        <f>IF($A1926&gt;$A1925,1,0)</f>
        <v/>
      </c>
      <c r="C1926" s="56">
        <f>IF($B1926=0,"",IF(Inputs!$B$6="","",IF($AD1926=0,C1925,SUMIFS(Data!$B$10:$B$3209,Data!$A$10:$A$3209,"&gt;="&amp;$A1926,Data!$A$10:$A$3209,"&lt;"&amp;$A1926+1)/$AD1926)))</f>
        <v/>
      </c>
      <c r="D1926" s="56">
        <f>IF($B1926=0,"",IF(Inputs!$B$7="","",IF($AE1926=0,D1925,SUMIFS(Data!$F$10:$F$3209,Data!$E$10:$E$3209,"&gt;="&amp;$A1926,Data!$E$10:$E$3209,"&lt;"&amp;$A1926+1)/$AE1926)))</f>
        <v/>
      </c>
      <c r="E1926" s="56">
        <f>IF($B1926=0,"",IF(Inputs!$B$8="","",IF($AF1926=0,E1925,SUMIFS(Data!$J$10:$J$3209,Data!$I$10:$I$3209,"&gt;="&amp;$A1926,Data!$I$10:$I$3209,"&lt;"&amp;$A1926+1)/$AF1926)))</f>
        <v/>
      </c>
      <c r="F1926" s="56">
        <f>IF($B1926=0,"",IF(Inputs!$B$9="","",IF($AG1926=0,F1925,SUMIFS(Data!$N$10:$N$3209,Data!$M$10:$M$3209,"&gt;="&amp;$A1926,Data!$M$10:$M$3209,"&lt;"&amp;$A1926+1)/$AG1926)))</f>
        <v/>
      </c>
      <c r="G1926" s="56">
        <f>IF($B1926=0,"",IF(Inputs!$B$10="","",IF($AH1926=0,G1925,SUMIFS(Data!$R$10:$R$3209,Data!$Q$10:$Q$3209,"&gt;="&amp;$A1926,Data!$Q$10:$Q$3209,"&lt;"&amp;$A1926+1)/$AH1926)))</f>
        <v/>
      </c>
      <c r="I1926" s="54">
        <f>IF($B1926=0,NA(),IF($C1926="",NA(),IF(C$8="",NA(),IF(N(C$8)=0,NA(),IF(Inputs!$C$17="Rebased to 100",$C1926/C$8*100,$C1926)))))</f>
        <v/>
      </c>
      <c r="J1926" s="54">
        <f>IF($B1926=0,NA(),IF($D1926="",NA(),IF(D$8="",NA(),IF(N(D$8)=0,NA(),IF(Inputs!$C$17="Rebased to 100",$D1926/D$8*100,$D1926)))))</f>
        <v/>
      </c>
      <c r="K1926" s="54">
        <f>IF($B1926=0,NA(),IF($E1926="",NA(),IF(E$8="",NA(),IF(N(E$8)=0,NA(),IF(Inputs!$C$17="Rebased to 100",$E1926/E$8*100,$E1926)))))</f>
        <v/>
      </c>
      <c r="L1926" s="54">
        <f>IF($B1926=0,NA(),IF($F1926="",NA(),IF(F$8="",NA(),IF(N(F$8)=0,NA(),IF(Inputs!$C$17="Rebased to 100",$F1926/F$8*100,$F1926)))))</f>
        <v/>
      </c>
      <c r="M1926" s="54">
        <f>IF($B1926=0,NA(),IF($G1926="",NA(),IF(G$8="",NA(),IF(N(G$8)=0,NA(),IF(Inputs!$C$17="Rebased to 100",$G1926/G$8*100,$G1926)))))</f>
        <v/>
      </c>
      <c r="N1926" s="54">
        <f>IF($B1926=0,NA(),IF(Inputs!$C$18&lt;&gt;"Yes",NA(),IF(COUNT(I1926,J1926,K1926,L1926,M1926)=0,NA(),MIN(I1926,J1926,K1926,L1926,M1926))))</f>
        <v/>
      </c>
      <c r="O1926" s="54">
        <f>IF($B1926=0,NA(),IF(Inputs!$B$24&lt;&gt;"Yes",NA(),Inputs!$D$24*Inputs!$C$35))</f>
        <v/>
      </c>
      <c r="P1926" s="54">
        <f>IF($B1926=0,NA(),IF(Inputs!$B$25&lt;&gt;"Yes",NA(),Inputs!$D$25*Inputs!$C$35))</f>
        <v/>
      </c>
      <c r="Q1926" s="54">
        <f>IF($B1926=0,NA(),IF(Inputs!$B$26&lt;&gt;"Yes",NA(),Inputs!$D$26*Inputs!$C$35))</f>
        <v/>
      </c>
      <c r="R1926" s="54">
        <f>IF($B1926=0,NA(),IF(Inputs!$B$27&lt;&gt;"Yes",NA(),Inputs!$D$27*Inputs!$C$35))</f>
        <v/>
      </c>
      <c r="S1926" s="54">
        <f>IF($B1926=0,NA(),IF(Inputs!$B$28&lt;&gt;"Yes",NA(),Inputs!$D$28*Inputs!$C$35))</f>
        <v/>
      </c>
      <c r="T1926" s="54">
        <f>IF($B1926=0,NA(),IF(Inputs!$B$29&lt;&gt;"Yes",NA(),Inputs!$D$29*Inputs!$C$35))</f>
        <v/>
      </c>
      <c r="AD1926">
        <f>IF($B1926=0,0,IF(Inputs!$B$6="",0,COUNTIFS(Data!$A$10:$A$3209,"&gt;="&amp;$A1926,Data!$A$10:$A$3209,"&lt;"&amp;$A1926+1)))</f>
        <v/>
      </c>
      <c r="AE1926">
        <f>IF($B1926=0,0,IF(Inputs!$B$7="",0,COUNTIFS(Data!$E$10:$E$3209,"&gt;="&amp;$A1926,Data!$E$10:$E$3209,"&lt;"&amp;$A1926+1)))</f>
        <v/>
      </c>
      <c r="AF1926">
        <f>IF($B1926=0,0,IF(Inputs!$B$8="",0,COUNTIFS(Data!$I$10:$I$3209,"&gt;="&amp;$A1926,Data!$I$10:$I$3209,"&lt;"&amp;$A1926+1)))</f>
        <v/>
      </c>
      <c r="AG1926">
        <f>IF($B1926=0,0,IF(Inputs!$B$9="",0,COUNTIFS(Data!$M$10:$M$3209,"&gt;="&amp;$A1926,Data!$M$10:$M$3209,"&lt;"&amp;$A1926+1)))</f>
        <v/>
      </c>
      <c r="AH1926">
        <f>IF($B1926=0,0,IF(Inputs!$B$10="",0,COUNTIFS(Data!$Q$10:$Q$3209,"&gt;="&amp;$A1926,Data!$Q$10:$Q$3209,"&lt;"&amp;$A1926+1)))</f>
        <v/>
      </c>
    </row>
    <row r="1927">
      <c r="A1927" s="55">
        <f>MIN(Inputs!$C$15,$A1926+IF(WEEKDAY($A1926,2)=5,3,1))</f>
        <v/>
      </c>
      <c r="B1927">
        <f>IF($A1927&gt;$A1926,1,0)</f>
        <v/>
      </c>
      <c r="C1927" s="56">
        <f>IF($B1927=0,"",IF(Inputs!$B$6="","",IF($AD1927=0,C1926,SUMIFS(Data!$B$10:$B$3209,Data!$A$10:$A$3209,"&gt;="&amp;$A1927,Data!$A$10:$A$3209,"&lt;"&amp;$A1927+1)/$AD1927)))</f>
        <v/>
      </c>
      <c r="D1927" s="56">
        <f>IF($B1927=0,"",IF(Inputs!$B$7="","",IF($AE1927=0,D1926,SUMIFS(Data!$F$10:$F$3209,Data!$E$10:$E$3209,"&gt;="&amp;$A1927,Data!$E$10:$E$3209,"&lt;"&amp;$A1927+1)/$AE1927)))</f>
        <v/>
      </c>
      <c r="E1927" s="56">
        <f>IF($B1927=0,"",IF(Inputs!$B$8="","",IF($AF1927=0,E1926,SUMIFS(Data!$J$10:$J$3209,Data!$I$10:$I$3209,"&gt;="&amp;$A1927,Data!$I$10:$I$3209,"&lt;"&amp;$A1927+1)/$AF1927)))</f>
        <v/>
      </c>
      <c r="F1927" s="56">
        <f>IF($B1927=0,"",IF(Inputs!$B$9="","",IF($AG1927=0,F1926,SUMIFS(Data!$N$10:$N$3209,Data!$M$10:$M$3209,"&gt;="&amp;$A1927,Data!$M$10:$M$3209,"&lt;"&amp;$A1927+1)/$AG1927)))</f>
        <v/>
      </c>
      <c r="G1927" s="56">
        <f>IF($B1927=0,"",IF(Inputs!$B$10="","",IF($AH1927=0,G1926,SUMIFS(Data!$R$10:$R$3209,Data!$Q$10:$Q$3209,"&gt;="&amp;$A1927,Data!$Q$10:$Q$3209,"&lt;"&amp;$A1927+1)/$AH1927)))</f>
        <v/>
      </c>
      <c r="I1927" s="54">
        <f>IF($B1927=0,NA(),IF($C1927="",NA(),IF(C$8="",NA(),IF(N(C$8)=0,NA(),IF(Inputs!$C$17="Rebased to 100",$C1927/C$8*100,$C1927)))))</f>
        <v/>
      </c>
      <c r="J1927" s="54">
        <f>IF($B1927=0,NA(),IF($D1927="",NA(),IF(D$8="",NA(),IF(N(D$8)=0,NA(),IF(Inputs!$C$17="Rebased to 100",$D1927/D$8*100,$D1927)))))</f>
        <v/>
      </c>
      <c r="K1927" s="54">
        <f>IF($B1927=0,NA(),IF($E1927="",NA(),IF(E$8="",NA(),IF(N(E$8)=0,NA(),IF(Inputs!$C$17="Rebased to 100",$E1927/E$8*100,$E1927)))))</f>
        <v/>
      </c>
      <c r="L1927" s="54">
        <f>IF($B1927=0,NA(),IF($F1927="",NA(),IF(F$8="",NA(),IF(N(F$8)=0,NA(),IF(Inputs!$C$17="Rebased to 100",$F1927/F$8*100,$F1927)))))</f>
        <v/>
      </c>
      <c r="M1927" s="54">
        <f>IF($B1927=0,NA(),IF($G1927="",NA(),IF(G$8="",NA(),IF(N(G$8)=0,NA(),IF(Inputs!$C$17="Rebased to 100",$G1927/G$8*100,$G1927)))))</f>
        <v/>
      </c>
      <c r="N1927" s="54">
        <f>IF($B1927=0,NA(),IF(Inputs!$C$18&lt;&gt;"Yes",NA(),IF(COUNT(I1927,J1927,K1927,L1927,M1927)=0,NA(),MIN(I1927,J1927,K1927,L1927,M1927))))</f>
        <v/>
      </c>
      <c r="O1927" s="54">
        <f>IF($B1927=0,NA(),IF(Inputs!$B$24&lt;&gt;"Yes",NA(),Inputs!$D$24*Inputs!$C$35))</f>
        <v/>
      </c>
      <c r="P1927" s="54">
        <f>IF($B1927=0,NA(),IF(Inputs!$B$25&lt;&gt;"Yes",NA(),Inputs!$D$25*Inputs!$C$35))</f>
        <v/>
      </c>
      <c r="Q1927" s="54">
        <f>IF($B1927=0,NA(),IF(Inputs!$B$26&lt;&gt;"Yes",NA(),Inputs!$D$26*Inputs!$C$35))</f>
        <v/>
      </c>
      <c r="R1927" s="54">
        <f>IF($B1927=0,NA(),IF(Inputs!$B$27&lt;&gt;"Yes",NA(),Inputs!$D$27*Inputs!$C$35))</f>
        <v/>
      </c>
      <c r="S1927" s="54">
        <f>IF($B1927=0,NA(),IF(Inputs!$B$28&lt;&gt;"Yes",NA(),Inputs!$D$28*Inputs!$C$35))</f>
        <v/>
      </c>
      <c r="T1927" s="54">
        <f>IF($B1927=0,NA(),IF(Inputs!$B$29&lt;&gt;"Yes",NA(),Inputs!$D$29*Inputs!$C$35))</f>
        <v/>
      </c>
      <c r="AD1927">
        <f>IF($B1927=0,0,IF(Inputs!$B$6="",0,COUNTIFS(Data!$A$10:$A$3209,"&gt;="&amp;$A1927,Data!$A$10:$A$3209,"&lt;"&amp;$A1927+1)))</f>
        <v/>
      </c>
      <c r="AE1927">
        <f>IF($B1927=0,0,IF(Inputs!$B$7="",0,COUNTIFS(Data!$E$10:$E$3209,"&gt;="&amp;$A1927,Data!$E$10:$E$3209,"&lt;"&amp;$A1927+1)))</f>
        <v/>
      </c>
      <c r="AF1927">
        <f>IF($B1927=0,0,IF(Inputs!$B$8="",0,COUNTIFS(Data!$I$10:$I$3209,"&gt;="&amp;$A1927,Data!$I$10:$I$3209,"&lt;"&amp;$A1927+1)))</f>
        <v/>
      </c>
      <c r="AG1927">
        <f>IF($B1927=0,0,IF(Inputs!$B$9="",0,COUNTIFS(Data!$M$10:$M$3209,"&gt;="&amp;$A1927,Data!$M$10:$M$3209,"&lt;"&amp;$A1927+1)))</f>
        <v/>
      </c>
      <c r="AH1927">
        <f>IF($B1927=0,0,IF(Inputs!$B$10="",0,COUNTIFS(Data!$Q$10:$Q$3209,"&gt;="&amp;$A1927,Data!$Q$10:$Q$3209,"&lt;"&amp;$A1927+1)))</f>
        <v/>
      </c>
    </row>
    <row r="1928">
      <c r="A1928" s="55">
        <f>MIN(Inputs!$C$15,$A1927+IF(WEEKDAY($A1927,2)=5,3,1))</f>
        <v/>
      </c>
      <c r="B1928">
        <f>IF($A1928&gt;$A1927,1,0)</f>
        <v/>
      </c>
      <c r="C1928" s="56">
        <f>IF($B1928=0,"",IF(Inputs!$B$6="","",IF($AD1928=0,C1927,SUMIFS(Data!$B$10:$B$3209,Data!$A$10:$A$3209,"&gt;="&amp;$A1928,Data!$A$10:$A$3209,"&lt;"&amp;$A1928+1)/$AD1928)))</f>
        <v/>
      </c>
      <c r="D1928" s="56">
        <f>IF($B1928=0,"",IF(Inputs!$B$7="","",IF($AE1928=0,D1927,SUMIFS(Data!$F$10:$F$3209,Data!$E$10:$E$3209,"&gt;="&amp;$A1928,Data!$E$10:$E$3209,"&lt;"&amp;$A1928+1)/$AE1928)))</f>
        <v/>
      </c>
      <c r="E1928" s="56">
        <f>IF($B1928=0,"",IF(Inputs!$B$8="","",IF($AF1928=0,E1927,SUMIFS(Data!$J$10:$J$3209,Data!$I$10:$I$3209,"&gt;="&amp;$A1928,Data!$I$10:$I$3209,"&lt;"&amp;$A1928+1)/$AF1928)))</f>
        <v/>
      </c>
      <c r="F1928" s="56">
        <f>IF($B1928=0,"",IF(Inputs!$B$9="","",IF($AG1928=0,F1927,SUMIFS(Data!$N$10:$N$3209,Data!$M$10:$M$3209,"&gt;="&amp;$A1928,Data!$M$10:$M$3209,"&lt;"&amp;$A1928+1)/$AG1928)))</f>
        <v/>
      </c>
      <c r="G1928" s="56">
        <f>IF($B1928=0,"",IF(Inputs!$B$10="","",IF($AH1928=0,G1927,SUMIFS(Data!$R$10:$R$3209,Data!$Q$10:$Q$3209,"&gt;="&amp;$A1928,Data!$Q$10:$Q$3209,"&lt;"&amp;$A1928+1)/$AH1928)))</f>
        <v/>
      </c>
      <c r="I1928" s="54">
        <f>IF($B1928=0,NA(),IF($C1928="",NA(),IF(C$8="",NA(),IF(N(C$8)=0,NA(),IF(Inputs!$C$17="Rebased to 100",$C1928/C$8*100,$C1928)))))</f>
        <v/>
      </c>
      <c r="J1928" s="54">
        <f>IF($B1928=0,NA(),IF($D1928="",NA(),IF(D$8="",NA(),IF(N(D$8)=0,NA(),IF(Inputs!$C$17="Rebased to 100",$D1928/D$8*100,$D1928)))))</f>
        <v/>
      </c>
      <c r="K1928" s="54">
        <f>IF($B1928=0,NA(),IF($E1928="",NA(),IF(E$8="",NA(),IF(N(E$8)=0,NA(),IF(Inputs!$C$17="Rebased to 100",$E1928/E$8*100,$E1928)))))</f>
        <v/>
      </c>
      <c r="L1928" s="54">
        <f>IF($B1928=0,NA(),IF($F1928="",NA(),IF(F$8="",NA(),IF(N(F$8)=0,NA(),IF(Inputs!$C$17="Rebased to 100",$F1928/F$8*100,$F1928)))))</f>
        <v/>
      </c>
      <c r="M1928" s="54">
        <f>IF($B1928=0,NA(),IF($G1928="",NA(),IF(G$8="",NA(),IF(N(G$8)=0,NA(),IF(Inputs!$C$17="Rebased to 100",$G1928/G$8*100,$G1928)))))</f>
        <v/>
      </c>
      <c r="N1928" s="54">
        <f>IF($B1928=0,NA(),IF(Inputs!$C$18&lt;&gt;"Yes",NA(),IF(COUNT(I1928,J1928,K1928,L1928,M1928)=0,NA(),MIN(I1928,J1928,K1928,L1928,M1928))))</f>
        <v/>
      </c>
      <c r="O1928" s="54">
        <f>IF($B1928=0,NA(),IF(Inputs!$B$24&lt;&gt;"Yes",NA(),Inputs!$D$24*Inputs!$C$35))</f>
        <v/>
      </c>
      <c r="P1928" s="54">
        <f>IF($B1928=0,NA(),IF(Inputs!$B$25&lt;&gt;"Yes",NA(),Inputs!$D$25*Inputs!$C$35))</f>
        <v/>
      </c>
      <c r="Q1928" s="54">
        <f>IF($B1928=0,NA(),IF(Inputs!$B$26&lt;&gt;"Yes",NA(),Inputs!$D$26*Inputs!$C$35))</f>
        <v/>
      </c>
      <c r="R1928" s="54">
        <f>IF($B1928=0,NA(),IF(Inputs!$B$27&lt;&gt;"Yes",NA(),Inputs!$D$27*Inputs!$C$35))</f>
        <v/>
      </c>
      <c r="S1928" s="54">
        <f>IF($B1928=0,NA(),IF(Inputs!$B$28&lt;&gt;"Yes",NA(),Inputs!$D$28*Inputs!$C$35))</f>
        <v/>
      </c>
      <c r="T1928" s="54">
        <f>IF($B1928=0,NA(),IF(Inputs!$B$29&lt;&gt;"Yes",NA(),Inputs!$D$29*Inputs!$C$35))</f>
        <v/>
      </c>
      <c r="AD1928">
        <f>IF($B1928=0,0,IF(Inputs!$B$6="",0,COUNTIFS(Data!$A$10:$A$3209,"&gt;="&amp;$A1928,Data!$A$10:$A$3209,"&lt;"&amp;$A1928+1)))</f>
        <v/>
      </c>
      <c r="AE1928">
        <f>IF($B1928=0,0,IF(Inputs!$B$7="",0,COUNTIFS(Data!$E$10:$E$3209,"&gt;="&amp;$A1928,Data!$E$10:$E$3209,"&lt;"&amp;$A1928+1)))</f>
        <v/>
      </c>
      <c r="AF1928">
        <f>IF($B1928=0,0,IF(Inputs!$B$8="",0,COUNTIFS(Data!$I$10:$I$3209,"&gt;="&amp;$A1928,Data!$I$10:$I$3209,"&lt;"&amp;$A1928+1)))</f>
        <v/>
      </c>
      <c r="AG1928">
        <f>IF($B1928=0,0,IF(Inputs!$B$9="",0,COUNTIFS(Data!$M$10:$M$3209,"&gt;="&amp;$A1928,Data!$M$10:$M$3209,"&lt;"&amp;$A1928+1)))</f>
        <v/>
      </c>
      <c r="AH1928">
        <f>IF($B1928=0,0,IF(Inputs!$B$10="",0,COUNTIFS(Data!$Q$10:$Q$3209,"&gt;="&amp;$A1928,Data!$Q$10:$Q$3209,"&lt;"&amp;$A1928+1)))</f>
        <v/>
      </c>
    </row>
    <row r="1929">
      <c r="A1929" s="55">
        <f>MIN(Inputs!$C$15,$A1928+IF(WEEKDAY($A1928,2)=5,3,1))</f>
        <v/>
      </c>
      <c r="B1929">
        <f>IF($A1929&gt;$A1928,1,0)</f>
        <v/>
      </c>
      <c r="C1929" s="56">
        <f>IF($B1929=0,"",IF(Inputs!$B$6="","",IF($AD1929=0,C1928,SUMIFS(Data!$B$10:$B$3209,Data!$A$10:$A$3209,"&gt;="&amp;$A1929,Data!$A$10:$A$3209,"&lt;"&amp;$A1929+1)/$AD1929)))</f>
        <v/>
      </c>
      <c r="D1929" s="56">
        <f>IF($B1929=0,"",IF(Inputs!$B$7="","",IF($AE1929=0,D1928,SUMIFS(Data!$F$10:$F$3209,Data!$E$10:$E$3209,"&gt;="&amp;$A1929,Data!$E$10:$E$3209,"&lt;"&amp;$A1929+1)/$AE1929)))</f>
        <v/>
      </c>
      <c r="E1929" s="56">
        <f>IF($B1929=0,"",IF(Inputs!$B$8="","",IF($AF1929=0,E1928,SUMIFS(Data!$J$10:$J$3209,Data!$I$10:$I$3209,"&gt;="&amp;$A1929,Data!$I$10:$I$3209,"&lt;"&amp;$A1929+1)/$AF1929)))</f>
        <v/>
      </c>
      <c r="F1929" s="56">
        <f>IF($B1929=0,"",IF(Inputs!$B$9="","",IF($AG1929=0,F1928,SUMIFS(Data!$N$10:$N$3209,Data!$M$10:$M$3209,"&gt;="&amp;$A1929,Data!$M$10:$M$3209,"&lt;"&amp;$A1929+1)/$AG1929)))</f>
        <v/>
      </c>
      <c r="G1929" s="56">
        <f>IF($B1929=0,"",IF(Inputs!$B$10="","",IF($AH1929=0,G1928,SUMIFS(Data!$R$10:$R$3209,Data!$Q$10:$Q$3209,"&gt;="&amp;$A1929,Data!$Q$10:$Q$3209,"&lt;"&amp;$A1929+1)/$AH1929)))</f>
        <v/>
      </c>
      <c r="I1929" s="54">
        <f>IF($B1929=0,NA(),IF($C1929="",NA(),IF(C$8="",NA(),IF(N(C$8)=0,NA(),IF(Inputs!$C$17="Rebased to 100",$C1929/C$8*100,$C1929)))))</f>
        <v/>
      </c>
      <c r="J1929" s="54">
        <f>IF($B1929=0,NA(),IF($D1929="",NA(),IF(D$8="",NA(),IF(N(D$8)=0,NA(),IF(Inputs!$C$17="Rebased to 100",$D1929/D$8*100,$D1929)))))</f>
        <v/>
      </c>
      <c r="K1929" s="54">
        <f>IF($B1929=0,NA(),IF($E1929="",NA(),IF(E$8="",NA(),IF(N(E$8)=0,NA(),IF(Inputs!$C$17="Rebased to 100",$E1929/E$8*100,$E1929)))))</f>
        <v/>
      </c>
      <c r="L1929" s="54">
        <f>IF($B1929=0,NA(),IF($F1929="",NA(),IF(F$8="",NA(),IF(N(F$8)=0,NA(),IF(Inputs!$C$17="Rebased to 100",$F1929/F$8*100,$F1929)))))</f>
        <v/>
      </c>
      <c r="M1929" s="54">
        <f>IF($B1929=0,NA(),IF($G1929="",NA(),IF(G$8="",NA(),IF(N(G$8)=0,NA(),IF(Inputs!$C$17="Rebased to 100",$G1929/G$8*100,$G1929)))))</f>
        <v/>
      </c>
      <c r="N1929" s="54">
        <f>IF($B1929=0,NA(),IF(Inputs!$C$18&lt;&gt;"Yes",NA(),IF(COUNT(I1929,J1929,K1929,L1929,M1929)=0,NA(),MIN(I1929,J1929,K1929,L1929,M1929))))</f>
        <v/>
      </c>
      <c r="O1929" s="54">
        <f>IF($B1929=0,NA(),IF(Inputs!$B$24&lt;&gt;"Yes",NA(),Inputs!$D$24*Inputs!$C$35))</f>
        <v/>
      </c>
      <c r="P1929" s="54">
        <f>IF($B1929=0,NA(),IF(Inputs!$B$25&lt;&gt;"Yes",NA(),Inputs!$D$25*Inputs!$C$35))</f>
        <v/>
      </c>
      <c r="Q1929" s="54">
        <f>IF($B1929=0,NA(),IF(Inputs!$B$26&lt;&gt;"Yes",NA(),Inputs!$D$26*Inputs!$C$35))</f>
        <v/>
      </c>
      <c r="R1929" s="54">
        <f>IF($B1929=0,NA(),IF(Inputs!$B$27&lt;&gt;"Yes",NA(),Inputs!$D$27*Inputs!$C$35))</f>
        <v/>
      </c>
      <c r="S1929" s="54">
        <f>IF($B1929=0,NA(),IF(Inputs!$B$28&lt;&gt;"Yes",NA(),Inputs!$D$28*Inputs!$C$35))</f>
        <v/>
      </c>
      <c r="T1929" s="54">
        <f>IF($B1929=0,NA(),IF(Inputs!$B$29&lt;&gt;"Yes",NA(),Inputs!$D$29*Inputs!$C$35))</f>
        <v/>
      </c>
      <c r="AD1929">
        <f>IF($B1929=0,0,IF(Inputs!$B$6="",0,COUNTIFS(Data!$A$10:$A$3209,"&gt;="&amp;$A1929,Data!$A$10:$A$3209,"&lt;"&amp;$A1929+1)))</f>
        <v/>
      </c>
      <c r="AE1929">
        <f>IF($B1929=0,0,IF(Inputs!$B$7="",0,COUNTIFS(Data!$E$10:$E$3209,"&gt;="&amp;$A1929,Data!$E$10:$E$3209,"&lt;"&amp;$A1929+1)))</f>
        <v/>
      </c>
      <c r="AF1929">
        <f>IF($B1929=0,0,IF(Inputs!$B$8="",0,COUNTIFS(Data!$I$10:$I$3209,"&gt;="&amp;$A1929,Data!$I$10:$I$3209,"&lt;"&amp;$A1929+1)))</f>
        <v/>
      </c>
      <c r="AG1929">
        <f>IF($B1929=0,0,IF(Inputs!$B$9="",0,COUNTIFS(Data!$M$10:$M$3209,"&gt;="&amp;$A1929,Data!$M$10:$M$3209,"&lt;"&amp;$A1929+1)))</f>
        <v/>
      </c>
      <c r="AH1929">
        <f>IF($B1929=0,0,IF(Inputs!$B$10="",0,COUNTIFS(Data!$Q$10:$Q$3209,"&gt;="&amp;$A1929,Data!$Q$10:$Q$3209,"&lt;"&amp;$A1929+1)))</f>
        <v/>
      </c>
    </row>
    <row r="1930">
      <c r="A1930" s="55">
        <f>MIN(Inputs!$C$15,$A1929+IF(WEEKDAY($A1929,2)=5,3,1))</f>
        <v/>
      </c>
      <c r="B1930">
        <f>IF($A1930&gt;$A1929,1,0)</f>
        <v/>
      </c>
      <c r="C1930" s="56">
        <f>IF($B1930=0,"",IF(Inputs!$B$6="","",IF($AD1930=0,C1929,SUMIFS(Data!$B$10:$B$3209,Data!$A$10:$A$3209,"&gt;="&amp;$A1930,Data!$A$10:$A$3209,"&lt;"&amp;$A1930+1)/$AD1930)))</f>
        <v/>
      </c>
      <c r="D1930" s="56">
        <f>IF($B1930=0,"",IF(Inputs!$B$7="","",IF($AE1930=0,D1929,SUMIFS(Data!$F$10:$F$3209,Data!$E$10:$E$3209,"&gt;="&amp;$A1930,Data!$E$10:$E$3209,"&lt;"&amp;$A1930+1)/$AE1930)))</f>
        <v/>
      </c>
      <c r="E1930" s="56">
        <f>IF($B1930=0,"",IF(Inputs!$B$8="","",IF($AF1930=0,E1929,SUMIFS(Data!$J$10:$J$3209,Data!$I$10:$I$3209,"&gt;="&amp;$A1930,Data!$I$10:$I$3209,"&lt;"&amp;$A1930+1)/$AF1930)))</f>
        <v/>
      </c>
      <c r="F1930" s="56">
        <f>IF($B1930=0,"",IF(Inputs!$B$9="","",IF($AG1930=0,F1929,SUMIFS(Data!$N$10:$N$3209,Data!$M$10:$M$3209,"&gt;="&amp;$A1930,Data!$M$10:$M$3209,"&lt;"&amp;$A1930+1)/$AG1930)))</f>
        <v/>
      </c>
      <c r="G1930" s="56">
        <f>IF($B1930=0,"",IF(Inputs!$B$10="","",IF($AH1930=0,G1929,SUMIFS(Data!$R$10:$R$3209,Data!$Q$10:$Q$3209,"&gt;="&amp;$A1930,Data!$Q$10:$Q$3209,"&lt;"&amp;$A1930+1)/$AH1930)))</f>
        <v/>
      </c>
      <c r="I1930" s="54">
        <f>IF($B1930=0,NA(),IF($C1930="",NA(),IF(C$8="",NA(),IF(N(C$8)=0,NA(),IF(Inputs!$C$17="Rebased to 100",$C1930/C$8*100,$C1930)))))</f>
        <v/>
      </c>
      <c r="J1930" s="54">
        <f>IF($B1930=0,NA(),IF($D1930="",NA(),IF(D$8="",NA(),IF(N(D$8)=0,NA(),IF(Inputs!$C$17="Rebased to 100",$D1930/D$8*100,$D1930)))))</f>
        <v/>
      </c>
      <c r="K1930" s="54">
        <f>IF($B1930=0,NA(),IF($E1930="",NA(),IF(E$8="",NA(),IF(N(E$8)=0,NA(),IF(Inputs!$C$17="Rebased to 100",$E1930/E$8*100,$E1930)))))</f>
        <v/>
      </c>
      <c r="L1930" s="54">
        <f>IF($B1930=0,NA(),IF($F1930="",NA(),IF(F$8="",NA(),IF(N(F$8)=0,NA(),IF(Inputs!$C$17="Rebased to 100",$F1930/F$8*100,$F1930)))))</f>
        <v/>
      </c>
      <c r="M1930" s="54">
        <f>IF($B1930=0,NA(),IF($G1930="",NA(),IF(G$8="",NA(),IF(N(G$8)=0,NA(),IF(Inputs!$C$17="Rebased to 100",$G1930/G$8*100,$G1930)))))</f>
        <v/>
      </c>
      <c r="N1930" s="54">
        <f>IF($B1930=0,NA(),IF(Inputs!$C$18&lt;&gt;"Yes",NA(),IF(COUNT(I1930,J1930,K1930,L1930,M1930)=0,NA(),MIN(I1930,J1930,K1930,L1930,M1930))))</f>
        <v/>
      </c>
      <c r="O1930" s="54">
        <f>IF($B1930=0,NA(),IF(Inputs!$B$24&lt;&gt;"Yes",NA(),Inputs!$D$24*Inputs!$C$35))</f>
        <v/>
      </c>
      <c r="P1930" s="54">
        <f>IF($B1930=0,NA(),IF(Inputs!$B$25&lt;&gt;"Yes",NA(),Inputs!$D$25*Inputs!$C$35))</f>
        <v/>
      </c>
      <c r="Q1930" s="54">
        <f>IF($B1930=0,NA(),IF(Inputs!$B$26&lt;&gt;"Yes",NA(),Inputs!$D$26*Inputs!$C$35))</f>
        <v/>
      </c>
      <c r="R1930" s="54">
        <f>IF($B1930=0,NA(),IF(Inputs!$B$27&lt;&gt;"Yes",NA(),Inputs!$D$27*Inputs!$C$35))</f>
        <v/>
      </c>
      <c r="S1930" s="54">
        <f>IF($B1930=0,NA(),IF(Inputs!$B$28&lt;&gt;"Yes",NA(),Inputs!$D$28*Inputs!$C$35))</f>
        <v/>
      </c>
      <c r="T1930" s="54">
        <f>IF($B1930=0,NA(),IF(Inputs!$B$29&lt;&gt;"Yes",NA(),Inputs!$D$29*Inputs!$C$35))</f>
        <v/>
      </c>
      <c r="AD1930">
        <f>IF($B1930=0,0,IF(Inputs!$B$6="",0,COUNTIFS(Data!$A$10:$A$3209,"&gt;="&amp;$A1930,Data!$A$10:$A$3209,"&lt;"&amp;$A1930+1)))</f>
        <v/>
      </c>
      <c r="AE1930">
        <f>IF($B1930=0,0,IF(Inputs!$B$7="",0,COUNTIFS(Data!$E$10:$E$3209,"&gt;="&amp;$A1930,Data!$E$10:$E$3209,"&lt;"&amp;$A1930+1)))</f>
        <v/>
      </c>
      <c r="AF1930">
        <f>IF($B1930=0,0,IF(Inputs!$B$8="",0,COUNTIFS(Data!$I$10:$I$3209,"&gt;="&amp;$A1930,Data!$I$10:$I$3209,"&lt;"&amp;$A1930+1)))</f>
        <v/>
      </c>
      <c r="AG1930">
        <f>IF($B1930=0,0,IF(Inputs!$B$9="",0,COUNTIFS(Data!$M$10:$M$3209,"&gt;="&amp;$A1930,Data!$M$10:$M$3209,"&lt;"&amp;$A1930+1)))</f>
        <v/>
      </c>
      <c r="AH1930">
        <f>IF($B1930=0,0,IF(Inputs!$B$10="",0,COUNTIFS(Data!$Q$10:$Q$3209,"&gt;="&amp;$A1930,Data!$Q$10:$Q$3209,"&lt;"&amp;$A1930+1)))</f>
        <v/>
      </c>
    </row>
    <row r="1931">
      <c r="A1931" s="55">
        <f>MIN(Inputs!$C$15,$A1930+IF(WEEKDAY($A1930,2)=5,3,1))</f>
        <v/>
      </c>
      <c r="B1931">
        <f>IF($A1931&gt;$A1930,1,0)</f>
        <v/>
      </c>
      <c r="C1931" s="56">
        <f>IF($B1931=0,"",IF(Inputs!$B$6="","",IF($AD1931=0,C1930,SUMIFS(Data!$B$10:$B$3209,Data!$A$10:$A$3209,"&gt;="&amp;$A1931,Data!$A$10:$A$3209,"&lt;"&amp;$A1931+1)/$AD1931)))</f>
        <v/>
      </c>
      <c r="D1931" s="56">
        <f>IF($B1931=0,"",IF(Inputs!$B$7="","",IF($AE1931=0,D1930,SUMIFS(Data!$F$10:$F$3209,Data!$E$10:$E$3209,"&gt;="&amp;$A1931,Data!$E$10:$E$3209,"&lt;"&amp;$A1931+1)/$AE1931)))</f>
        <v/>
      </c>
      <c r="E1931" s="56">
        <f>IF($B1931=0,"",IF(Inputs!$B$8="","",IF($AF1931=0,E1930,SUMIFS(Data!$J$10:$J$3209,Data!$I$10:$I$3209,"&gt;="&amp;$A1931,Data!$I$10:$I$3209,"&lt;"&amp;$A1931+1)/$AF1931)))</f>
        <v/>
      </c>
      <c r="F1931" s="56">
        <f>IF($B1931=0,"",IF(Inputs!$B$9="","",IF($AG1931=0,F1930,SUMIFS(Data!$N$10:$N$3209,Data!$M$10:$M$3209,"&gt;="&amp;$A1931,Data!$M$10:$M$3209,"&lt;"&amp;$A1931+1)/$AG1931)))</f>
        <v/>
      </c>
      <c r="G1931" s="56">
        <f>IF($B1931=0,"",IF(Inputs!$B$10="","",IF($AH1931=0,G1930,SUMIFS(Data!$R$10:$R$3209,Data!$Q$10:$Q$3209,"&gt;="&amp;$A1931,Data!$Q$10:$Q$3209,"&lt;"&amp;$A1931+1)/$AH1931)))</f>
        <v/>
      </c>
      <c r="I1931" s="54">
        <f>IF($B1931=0,NA(),IF($C1931="",NA(),IF(C$8="",NA(),IF(N(C$8)=0,NA(),IF(Inputs!$C$17="Rebased to 100",$C1931/C$8*100,$C1931)))))</f>
        <v/>
      </c>
      <c r="J1931" s="54">
        <f>IF($B1931=0,NA(),IF($D1931="",NA(),IF(D$8="",NA(),IF(N(D$8)=0,NA(),IF(Inputs!$C$17="Rebased to 100",$D1931/D$8*100,$D1931)))))</f>
        <v/>
      </c>
      <c r="K1931" s="54">
        <f>IF($B1931=0,NA(),IF($E1931="",NA(),IF(E$8="",NA(),IF(N(E$8)=0,NA(),IF(Inputs!$C$17="Rebased to 100",$E1931/E$8*100,$E1931)))))</f>
        <v/>
      </c>
      <c r="L1931" s="54">
        <f>IF($B1931=0,NA(),IF($F1931="",NA(),IF(F$8="",NA(),IF(N(F$8)=0,NA(),IF(Inputs!$C$17="Rebased to 100",$F1931/F$8*100,$F1931)))))</f>
        <v/>
      </c>
      <c r="M1931" s="54">
        <f>IF($B1931=0,NA(),IF($G1931="",NA(),IF(G$8="",NA(),IF(N(G$8)=0,NA(),IF(Inputs!$C$17="Rebased to 100",$G1931/G$8*100,$G1931)))))</f>
        <v/>
      </c>
      <c r="N1931" s="54">
        <f>IF($B1931=0,NA(),IF(Inputs!$C$18&lt;&gt;"Yes",NA(),IF(COUNT(I1931,J1931,K1931,L1931,M1931)=0,NA(),MIN(I1931,J1931,K1931,L1931,M1931))))</f>
        <v/>
      </c>
      <c r="O1931" s="54">
        <f>IF($B1931=0,NA(),IF(Inputs!$B$24&lt;&gt;"Yes",NA(),Inputs!$D$24*Inputs!$C$35))</f>
        <v/>
      </c>
      <c r="P1931" s="54">
        <f>IF($B1931=0,NA(),IF(Inputs!$B$25&lt;&gt;"Yes",NA(),Inputs!$D$25*Inputs!$C$35))</f>
        <v/>
      </c>
      <c r="Q1931" s="54">
        <f>IF($B1931=0,NA(),IF(Inputs!$B$26&lt;&gt;"Yes",NA(),Inputs!$D$26*Inputs!$C$35))</f>
        <v/>
      </c>
      <c r="R1931" s="54">
        <f>IF($B1931=0,NA(),IF(Inputs!$B$27&lt;&gt;"Yes",NA(),Inputs!$D$27*Inputs!$C$35))</f>
        <v/>
      </c>
      <c r="S1931" s="54">
        <f>IF($B1931=0,NA(),IF(Inputs!$B$28&lt;&gt;"Yes",NA(),Inputs!$D$28*Inputs!$C$35))</f>
        <v/>
      </c>
      <c r="T1931" s="54">
        <f>IF($B1931=0,NA(),IF(Inputs!$B$29&lt;&gt;"Yes",NA(),Inputs!$D$29*Inputs!$C$35))</f>
        <v/>
      </c>
      <c r="AD1931">
        <f>IF($B1931=0,0,IF(Inputs!$B$6="",0,COUNTIFS(Data!$A$10:$A$3209,"&gt;="&amp;$A1931,Data!$A$10:$A$3209,"&lt;"&amp;$A1931+1)))</f>
        <v/>
      </c>
      <c r="AE1931">
        <f>IF($B1931=0,0,IF(Inputs!$B$7="",0,COUNTIFS(Data!$E$10:$E$3209,"&gt;="&amp;$A1931,Data!$E$10:$E$3209,"&lt;"&amp;$A1931+1)))</f>
        <v/>
      </c>
      <c r="AF1931">
        <f>IF($B1931=0,0,IF(Inputs!$B$8="",0,COUNTIFS(Data!$I$10:$I$3209,"&gt;="&amp;$A1931,Data!$I$10:$I$3209,"&lt;"&amp;$A1931+1)))</f>
        <v/>
      </c>
      <c r="AG1931">
        <f>IF($B1931=0,0,IF(Inputs!$B$9="",0,COUNTIFS(Data!$M$10:$M$3209,"&gt;="&amp;$A1931,Data!$M$10:$M$3209,"&lt;"&amp;$A1931+1)))</f>
        <v/>
      </c>
      <c r="AH1931">
        <f>IF($B1931=0,0,IF(Inputs!$B$10="",0,COUNTIFS(Data!$Q$10:$Q$3209,"&gt;="&amp;$A1931,Data!$Q$10:$Q$3209,"&lt;"&amp;$A1931+1)))</f>
        <v/>
      </c>
    </row>
    <row r="1932">
      <c r="A1932" s="55">
        <f>MIN(Inputs!$C$15,$A1931+IF(WEEKDAY($A1931,2)=5,3,1))</f>
        <v/>
      </c>
      <c r="B1932">
        <f>IF($A1932&gt;$A1931,1,0)</f>
        <v/>
      </c>
      <c r="C1932" s="56">
        <f>IF($B1932=0,"",IF(Inputs!$B$6="","",IF($AD1932=0,C1931,SUMIFS(Data!$B$10:$B$3209,Data!$A$10:$A$3209,"&gt;="&amp;$A1932,Data!$A$10:$A$3209,"&lt;"&amp;$A1932+1)/$AD1932)))</f>
        <v/>
      </c>
      <c r="D1932" s="56">
        <f>IF($B1932=0,"",IF(Inputs!$B$7="","",IF($AE1932=0,D1931,SUMIFS(Data!$F$10:$F$3209,Data!$E$10:$E$3209,"&gt;="&amp;$A1932,Data!$E$10:$E$3209,"&lt;"&amp;$A1932+1)/$AE1932)))</f>
        <v/>
      </c>
      <c r="E1932" s="56">
        <f>IF($B1932=0,"",IF(Inputs!$B$8="","",IF($AF1932=0,E1931,SUMIFS(Data!$J$10:$J$3209,Data!$I$10:$I$3209,"&gt;="&amp;$A1932,Data!$I$10:$I$3209,"&lt;"&amp;$A1932+1)/$AF1932)))</f>
        <v/>
      </c>
      <c r="F1932" s="56">
        <f>IF($B1932=0,"",IF(Inputs!$B$9="","",IF($AG1932=0,F1931,SUMIFS(Data!$N$10:$N$3209,Data!$M$10:$M$3209,"&gt;="&amp;$A1932,Data!$M$10:$M$3209,"&lt;"&amp;$A1932+1)/$AG1932)))</f>
        <v/>
      </c>
      <c r="G1932" s="56">
        <f>IF($B1932=0,"",IF(Inputs!$B$10="","",IF($AH1932=0,G1931,SUMIFS(Data!$R$10:$R$3209,Data!$Q$10:$Q$3209,"&gt;="&amp;$A1932,Data!$Q$10:$Q$3209,"&lt;"&amp;$A1932+1)/$AH1932)))</f>
        <v/>
      </c>
      <c r="I1932" s="54">
        <f>IF($B1932=0,NA(),IF($C1932="",NA(),IF(C$8="",NA(),IF(N(C$8)=0,NA(),IF(Inputs!$C$17="Rebased to 100",$C1932/C$8*100,$C1932)))))</f>
        <v/>
      </c>
      <c r="J1932" s="54">
        <f>IF($B1932=0,NA(),IF($D1932="",NA(),IF(D$8="",NA(),IF(N(D$8)=0,NA(),IF(Inputs!$C$17="Rebased to 100",$D1932/D$8*100,$D1932)))))</f>
        <v/>
      </c>
      <c r="K1932" s="54">
        <f>IF($B1932=0,NA(),IF($E1932="",NA(),IF(E$8="",NA(),IF(N(E$8)=0,NA(),IF(Inputs!$C$17="Rebased to 100",$E1932/E$8*100,$E1932)))))</f>
        <v/>
      </c>
      <c r="L1932" s="54">
        <f>IF($B1932=0,NA(),IF($F1932="",NA(),IF(F$8="",NA(),IF(N(F$8)=0,NA(),IF(Inputs!$C$17="Rebased to 100",$F1932/F$8*100,$F1932)))))</f>
        <v/>
      </c>
      <c r="M1932" s="54">
        <f>IF($B1932=0,NA(),IF($G1932="",NA(),IF(G$8="",NA(),IF(N(G$8)=0,NA(),IF(Inputs!$C$17="Rebased to 100",$G1932/G$8*100,$G1932)))))</f>
        <v/>
      </c>
      <c r="N1932" s="54">
        <f>IF($B1932=0,NA(),IF(Inputs!$C$18&lt;&gt;"Yes",NA(),IF(COUNT(I1932,J1932,K1932,L1932,M1932)=0,NA(),MIN(I1932,J1932,K1932,L1932,M1932))))</f>
        <v/>
      </c>
      <c r="O1932" s="54">
        <f>IF($B1932=0,NA(),IF(Inputs!$B$24&lt;&gt;"Yes",NA(),Inputs!$D$24*Inputs!$C$35))</f>
        <v/>
      </c>
      <c r="P1932" s="54">
        <f>IF($B1932=0,NA(),IF(Inputs!$B$25&lt;&gt;"Yes",NA(),Inputs!$D$25*Inputs!$C$35))</f>
        <v/>
      </c>
      <c r="Q1932" s="54">
        <f>IF($B1932=0,NA(),IF(Inputs!$B$26&lt;&gt;"Yes",NA(),Inputs!$D$26*Inputs!$C$35))</f>
        <v/>
      </c>
      <c r="R1932" s="54">
        <f>IF($B1932=0,NA(),IF(Inputs!$B$27&lt;&gt;"Yes",NA(),Inputs!$D$27*Inputs!$C$35))</f>
        <v/>
      </c>
      <c r="S1932" s="54">
        <f>IF($B1932=0,NA(),IF(Inputs!$B$28&lt;&gt;"Yes",NA(),Inputs!$D$28*Inputs!$C$35))</f>
        <v/>
      </c>
      <c r="T1932" s="54">
        <f>IF($B1932=0,NA(),IF(Inputs!$B$29&lt;&gt;"Yes",NA(),Inputs!$D$29*Inputs!$C$35))</f>
        <v/>
      </c>
      <c r="AD1932">
        <f>IF($B1932=0,0,IF(Inputs!$B$6="",0,COUNTIFS(Data!$A$10:$A$3209,"&gt;="&amp;$A1932,Data!$A$10:$A$3209,"&lt;"&amp;$A1932+1)))</f>
        <v/>
      </c>
      <c r="AE1932">
        <f>IF($B1932=0,0,IF(Inputs!$B$7="",0,COUNTIFS(Data!$E$10:$E$3209,"&gt;="&amp;$A1932,Data!$E$10:$E$3209,"&lt;"&amp;$A1932+1)))</f>
        <v/>
      </c>
      <c r="AF1932">
        <f>IF($B1932=0,0,IF(Inputs!$B$8="",0,COUNTIFS(Data!$I$10:$I$3209,"&gt;="&amp;$A1932,Data!$I$10:$I$3209,"&lt;"&amp;$A1932+1)))</f>
        <v/>
      </c>
      <c r="AG1932">
        <f>IF($B1932=0,0,IF(Inputs!$B$9="",0,COUNTIFS(Data!$M$10:$M$3209,"&gt;="&amp;$A1932,Data!$M$10:$M$3209,"&lt;"&amp;$A1932+1)))</f>
        <v/>
      </c>
      <c r="AH1932">
        <f>IF($B1932=0,0,IF(Inputs!$B$10="",0,COUNTIFS(Data!$Q$10:$Q$3209,"&gt;="&amp;$A1932,Data!$Q$10:$Q$3209,"&lt;"&amp;$A1932+1)))</f>
        <v/>
      </c>
    </row>
    <row r="1933">
      <c r="A1933" s="55">
        <f>MIN(Inputs!$C$15,$A1932+IF(WEEKDAY($A1932,2)=5,3,1))</f>
        <v/>
      </c>
      <c r="B1933">
        <f>IF($A1933&gt;$A1932,1,0)</f>
        <v/>
      </c>
      <c r="C1933" s="56">
        <f>IF($B1933=0,"",IF(Inputs!$B$6="","",IF($AD1933=0,C1932,SUMIFS(Data!$B$10:$B$3209,Data!$A$10:$A$3209,"&gt;="&amp;$A1933,Data!$A$10:$A$3209,"&lt;"&amp;$A1933+1)/$AD1933)))</f>
        <v/>
      </c>
      <c r="D1933" s="56">
        <f>IF($B1933=0,"",IF(Inputs!$B$7="","",IF($AE1933=0,D1932,SUMIFS(Data!$F$10:$F$3209,Data!$E$10:$E$3209,"&gt;="&amp;$A1933,Data!$E$10:$E$3209,"&lt;"&amp;$A1933+1)/$AE1933)))</f>
        <v/>
      </c>
      <c r="E1933" s="56">
        <f>IF($B1933=0,"",IF(Inputs!$B$8="","",IF($AF1933=0,E1932,SUMIFS(Data!$J$10:$J$3209,Data!$I$10:$I$3209,"&gt;="&amp;$A1933,Data!$I$10:$I$3209,"&lt;"&amp;$A1933+1)/$AF1933)))</f>
        <v/>
      </c>
      <c r="F1933" s="56">
        <f>IF($B1933=0,"",IF(Inputs!$B$9="","",IF($AG1933=0,F1932,SUMIFS(Data!$N$10:$N$3209,Data!$M$10:$M$3209,"&gt;="&amp;$A1933,Data!$M$10:$M$3209,"&lt;"&amp;$A1933+1)/$AG1933)))</f>
        <v/>
      </c>
      <c r="G1933" s="56">
        <f>IF($B1933=0,"",IF(Inputs!$B$10="","",IF($AH1933=0,G1932,SUMIFS(Data!$R$10:$R$3209,Data!$Q$10:$Q$3209,"&gt;="&amp;$A1933,Data!$Q$10:$Q$3209,"&lt;"&amp;$A1933+1)/$AH1933)))</f>
        <v/>
      </c>
      <c r="I1933" s="54">
        <f>IF($B1933=0,NA(),IF($C1933="",NA(),IF(C$8="",NA(),IF(N(C$8)=0,NA(),IF(Inputs!$C$17="Rebased to 100",$C1933/C$8*100,$C1933)))))</f>
        <v/>
      </c>
      <c r="J1933" s="54">
        <f>IF($B1933=0,NA(),IF($D1933="",NA(),IF(D$8="",NA(),IF(N(D$8)=0,NA(),IF(Inputs!$C$17="Rebased to 100",$D1933/D$8*100,$D1933)))))</f>
        <v/>
      </c>
      <c r="K1933" s="54">
        <f>IF($B1933=0,NA(),IF($E1933="",NA(),IF(E$8="",NA(),IF(N(E$8)=0,NA(),IF(Inputs!$C$17="Rebased to 100",$E1933/E$8*100,$E1933)))))</f>
        <v/>
      </c>
      <c r="L1933" s="54">
        <f>IF($B1933=0,NA(),IF($F1933="",NA(),IF(F$8="",NA(),IF(N(F$8)=0,NA(),IF(Inputs!$C$17="Rebased to 100",$F1933/F$8*100,$F1933)))))</f>
        <v/>
      </c>
      <c r="M1933" s="54">
        <f>IF($B1933=0,NA(),IF($G1933="",NA(),IF(G$8="",NA(),IF(N(G$8)=0,NA(),IF(Inputs!$C$17="Rebased to 100",$G1933/G$8*100,$G1933)))))</f>
        <v/>
      </c>
      <c r="N1933" s="54">
        <f>IF($B1933=0,NA(),IF(Inputs!$C$18&lt;&gt;"Yes",NA(),IF(COUNT(I1933,J1933,K1933,L1933,M1933)=0,NA(),MIN(I1933,J1933,K1933,L1933,M1933))))</f>
        <v/>
      </c>
      <c r="O1933" s="54">
        <f>IF($B1933=0,NA(),IF(Inputs!$B$24&lt;&gt;"Yes",NA(),Inputs!$D$24*Inputs!$C$35))</f>
        <v/>
      </c>
      <c r="P1933" s="54">
        <f>IF($B1933=0,NA(),IF(Inputs!$B$25&lt;&gt;"Yes",NA(),Inputs!$D$25*Inputs!$C$35))</f>
        <v/>
      </c>
      <c r="Q1933" s="54">
        <f>IF($B1933=0,NA(),IF(Inputs!$B$26&lt;&gt;"Yes",NA(),Inputs!$D$26*Inputs!$C$35))</f>
        <v/>
      </c>
      <c r="R1933" s="54">
        <f>IF($B1933=0,NA(),IF(Inputs!$B$27&lt;&gt;"Yes",NA(),Inputs!$D$27*Inputs!$C$35))</f>
        <v/>
      </c>
      <c r="S1933" s="54">
        <f>IF($B1933=0,NA(),IF(Inputs!$B$28&lt;&gt;"Yes",NA(),Inputs!$D$28*Inputs!$C$35))</f>
        <v/>
      </c>
      <c r="T1933" s="54">
        <f>IF($B1933=0,NA(),IF(Inputs!$B$29&lt;&gt;"Yes",NA(),Inputs!$D$29*Inputs!$C$35))</f>
        <v/>
      </c>
      <c r="AD1933">
        <f>IF($B1933=0,0,IF(Inputs!$B$6="",0,COUNTIFS(Data!$A$10:$A$3209,"&gt;="&amp;$A1933,Data!$A$10:$A$3209,"&lt;"&amp;$A1933+1)))</f>
        <v/>
      </c>
      <c r="AE1933">
        <f>IF($B1933=0,0,IF(Inputs!$B$7="",0,COUNTIFS(Data!$E$10:$E$3209,"&gt;="&amp;$A1933,Data!$E$10:$E$3209,"&lt;"&amp;$A1933+1)))</f>
        <v/>
      </c>
      <c r="AF1933">
        <f>IF($B1933=0,0,IF(Inputs!$B$8="",0,COUNTIFS(Data!$I$10:$I$3209,"&gt;="&amp;$A1933,Data!$I$10:$I$3209,"&lt;"&amp;$A1933+1)))</f>
        <v/>
      </c>
      <c r="AG1933">
        <f>IF($B1933=0,0,IF(Inputs!$B$9="",0,COUNTIFS(Data!$M$10:$M$3209,"&gt;="&amp;$A1933,Data!$M$10:$M$3209,"&lt;"&amp;$A1933+1)))</f>
        <v/>
      </c>
      <c r="AH1933">
        <f>IF($B1933=0,0,IF(Inputs!$B$10="",0,COUNTIFS(Data!$Q$10:$Q$3209,"&gt;="&amp;$A1933,Data!$Q$10:$Q$3209,"&lt;"&amp;$A1933+1)))</f>
        <v/>
      </c>
    </row>
    <row r="1934">
      <c r="A1934" s="55">
        <f>MIN(Inputs!$C$15,$A1933+IF(WEEKDAY($A1933,2)=5,3,1))</f>
        <v/>
      </c>
      <c r="B1934">
        <f>IF($A1934&gt;$A1933,1,0)</f>
        <v/>
      </c>
      <c r="C1934" s="56">
        <f>IF($B1934=0,"",IF(Inputs!$B$6="","",IF($AD1934=0,C1933,SUMIFS(Data!$B$10:$B$3209,Data!$A$10:$A$3209,"&gt;="&amp;$A1934,Data!$A$10:$A$3209,"&lt;"&amp;$A1934+1)/$AD1934)))</f>
        <v/>
      </c>
      <c r="D1934" s="56">
        <f>IF($B1934=0,"",IF(Inputs!$B$7="","",IF($AE1934=0,D1933,SUMIFS(Data!$F$10:$F$3209,Data!$E$10:$E$3209,"&gt;="&amp;$A1934,Data!$E$10:$E$3209,"&lt;"&amp;$A1934+1)/$AE1934)))</f>
        <v/>
      </c>
      <c r="E1934" s="56">
        <f>IF($B1934=0,"",IF(Inputs!$B$8="","",IF($AF1934=0,E1933,SUMIFS(Data!$J$10:$J$3209,Data!$I$10:$I$3209,"&gt;="&amp;$A1934,Data!$I$10:$I$3209,"&lt;"&amp;$A1934+1)/$AF1934)))</f>
        <v/>
      </c>
      <c r="F1934" s="56">
        <f>IF($B1934=0,"",IF(Inputs!$B$9="","",IF($AG1934=0,F1933,SUMIFS(Data!$N$10:$N$3209,Data!$M$10:$M$3209,"&gt;="&amp;$A1934,Data!$M$10:$M$3209,"&lt;"&amp;$A1934+1)/$AG1934)))</f>
        <v/>
      </c>
      <c r="G1934" s="56">
        <f>IF($B1934=0,"",IF(Inputs!$B$10="","",IF($AH1934=0,G1933,SUMIFS(Data!$R$10:$R$3209,Data!$Q$10:$Q$3209,"&gt;="&amp;$A1934,Data!$Q$10:$Q$3209,"&lt;"&amp;$A1934+1)/$AH1934)))</f>
        <v/>
      </c>
      <c r="I1934" s="54">
        <f>IF($B1934=0,NA(),IF($C1934="",NA(),IF(C$8="",NA(),IF(N(C$8)=0,NA(),IF(Inputs!$C$17="Rebased to 100",$C1934/C$8*100,$C1934)))))</f>
        <v/>
      </c>
      <c r="J1934" s="54">
        <f>IF($B1934=0,NA(),IF($D1934="",NA(),IF(D$8="",NA(),IF(N(D$8)=0,NA(),IF(Inputs!$C$17="Rebased to 100",$D1934/D$8*100,$D1934)))))</f>
        <v/>
      </c>
      <c r="K1934" s="54">
        <f>IF($B1934=0,NA(),IF($E1934="",NA(),IF(E$8="",NA(),IF(N(E$8)=0,NA(),IF(Inputs!$C$17="Rebased to 100",$E1934/E$8*100,$E1934)))))</f>
        <v/>
      </c>
      <c r="L1934" s="54">
        <f>IF($B1934=0,NA(),IF($F1934="",NA(),IF(F$8="",NA(),IF(N(F$8)=0,NA(),IF(Inputs!$C$17="Rebased to 100",$F1934/F$8*100,$F1934)))))</f>
        <v/>
      </c>
      <c r="M1934" s="54">
        <f>IF($B1934=0,NA(),IF($G1934="",NA(),IF(G$8="",NA(),IF(N(G$8)=0,NA(),IF(Inputs!$C$17="Rebased to 100",$G1934/G$8*100,$G1934)))))</f>
        <v/>
      </c>
      <c r="N1934" s="54">
        <f>IF($B1934=0,NA(),IF(Inputs!$C$18&lt;&gt;"Yes",NA(),IF(COUNT(I1934,J1934,K1934,L1934,M1934)=0,NA(),MIN(I1934,J1934,K1934,L1934,M1934))))</f>
        <v/>
      </c>
      <c r="O1934" s="54">
        <f>IF($B1934=0,NA(),IF(Inputs!$B$24&lt;&gt;"Yes",NA(),Inputs!$D$24*Inputs!$C$35))</f>
        <v/>
      </c>
      <c r="P1934" s="54">
        <f>IF($B1934=0,NA(),IF(Inputs!$B$25&lt;&gt;"Yes",NA(),Inputs!$D$25*Inputs!$C$35))</f>
        <v/>
      </c>
      <c r="Q1934" s="54">
        <f>IF($B1934=0,NA(),IF(Inputs!$B$26&lt;&gt;"Yes",NA(),Inputs!$D$26*Inputs!$C$35))</f>
        <v/>
      </c>
      <c r="R1934" s="54">
        <f>IF($B1934=0,NA(),IF(Inputs!$B$27&lt;&gt;"Yes",NA(),Inputs!$D$27*Inputs!$C$35))</f>
        <v/>
      </c>
      <c r="S1934" s="54">
        <f>IF($B1934=0,NA(),IF(Inputs!$B$28&lt;&gt;"Yes",NA(),Inputs!$D$28*Inputs!$C$35))</f>
        <v/>
      </c>
      <c r="T1934" s="54">
        <f>IF($B1934=0,NA(),IF(Inputs!$B$29&lt;&gt;"Yes",NA(),Inputs!$D$29*Inputs!$C$35))</f>
        <v/>
      </c>
      <c r="AD1934">
        <f>IF($B1934=0,0,IF(Inputs!$B$6="",0,COUNTIFS(Data!$A$10:$A$3209,"&gt;="&amp;$A1934,Data!$A$10:$A$3209,"&lt;"&amp;$A1934+1)))</f>
        <v/>
      </c>
      <c r="AE1934">
        <f>IF($B1934=0,0,IF(Inputs!$B$7="",0,COUNTIFS(Data!$E$10:$E$3209,"&gt;="&amp;$A1934,Data!$E$10:$E$3209,"&lt;"&amp;$A1934+1)))</f>
        <v/>
      </c>
      <c r="AF1934">
        <f>IF($B1934=0,0,IF(Inputs!$B$8="",0,COUNTIFS(Data!$I$10:$I$3209,"&gt;="&amp;$A1934,Data!$I$10:$I$3209,"&lt;"&amp;$A1934+1)))</f>
        <v/>
      </c>
      <c r="AG1934">
        <f>IF($B1934=0,0,IF(Inputs!$B$9="",0,COUNTIFS(Data!$M$10:$M$3209,"&gt;="&amp;$A1934,Data!$M$10:$M$3209,"&lt;"&amp;$A1934+1)))</f>
        <v/>
      </c>
      <c r="AH1934">
        <f>IF($B1934=0,0,IF(Inputs!$B$10="",0,COUNTIFS(Data!$Q$10:$Q$3209,"&gt;="&amp;$A1934,Data!$Q$10:$Q$3209,"&lt;"&amp;$A1934+1)))</f>
        <v/>
      </c>
    </row>
    <row r="1935">
      <c r="A1935" s="55">
        <f>MIN(Inputs!$C$15,$A1934+IF(WEEKDAY($A1934,2)=5,3,1))</f>
        <v/>
      </c>
      <c r="B1935">
        <f>IF($A1935&gt;$A1934,1,0)</f>
        <v/>
      </c>
      <c r="C1935" s="56">
        <f>IF($B1935=0,"",IF(Inputs!$B$6="","",IF($AD1935=0,C1934,SUMIFS(Data!$B$10:$B$3209,Data!$A$10:$A$3209,"&gt;="&amp;$A1935,Data!$A$10:$A$3209,"&lt;"&amp;$A1935+1)/$AD1935)))</f>
        <v/>
      </c>
      <c r="D1935" s="56">
        <f>IF($B1935=0,"",IF(Inputs!$B$7="","",IF($AE1935=0,D1934,SUMIFS(Data!$F$10:$F$3209,Data!$E$10:$E$3209,"&gt;="&amp;$A1935,Data!$E$10:$E$3209,"&lt;"&amp;$A1935+1)/$AE1935)))</f>
        <v/>
      </c>
      <c r="E1935" s="56">
        <f>IF($B1935=0,"",IF(Inputs!$B$8="","",IF($AF1935=0,E1934,SUMIFS(Data!$J$10:$J$3209,Data!$I$10:$I$3209,"&gt;="&amp;$A1935,Data!$I$10:$I$3209,"&lt;"&amp;$A1935+1)/$AF1935)))</f>
        <v/>
      </c>
      <c r="F1935" s="56">
        <f>IF($B1935=0,"",IF(Inputs!$B$9="","",IF($AG1935=0,F1934,SUMIFS(Data!$N$10:$N$3209,Data!$M$10:$M$3209,"&gt;="&amp;$A1935,Data!$M$10:$M$3209,"&lt;"&amp;$A1935+1)/$AG1935)))</f>
        <v/>
      </c>
      <c r="G1935" s="56">
        <f>IF($B1935=0,"",IF(Inputs!$B$10="","",IF($AH1935=0,G1934,SUMIFS(Data!$R$10:$R$3209,Data!$Q$10:$Q$3209,"&gt;="&amp;$A1935,Data!$Q$10:$Q$3209,"&lt;"&amp;$A1935+1)/$AH1935)))</f>
        <v/>
      </c>
      <c r="I1935" s="54">
        <f>IF($B1935=0,NA(),IF($C1935="",NA(),IF(C$8="",NA(),IF(N(C$8)=0,NA(),IF(Inputs!$C$17="Rebased to 100",$C1935/C$8*100,$C1935)))))</f>
        <v/>
      </c>
      <c r="J1935" s="54">
        <f>IF($B1935=0,NA(),IF($D1935="",NA(),IF(D$8="",NA(),IF(N(D$8)=0,NA(),IF(Inputs!$C$17="Rebased to 100",$D1935/D$8*100,$D1935)))))</f>
        <v/>
      </c>
      <c r="K1935" s="54">
        <f>IF($B1935=0,NA(),IF($E1935="",NA(),IF(E$8="",NA(),IF(N(E$8)=0,NA(),IF(Inputs!$C$17="Rebased to 100",$E1935/E$8*100,$E1935)))))</f>
        <v/>
      </c>
      <c r="L1935" s="54">
        <f>IF($B1935=0,NA(),IF($F1935="",NA(),IF(F$8="",NA(),IF(N(F$8)=0,NA(),IF(Inputs!$C$17="Rebased to 100",$F1935/F$8*100,$F1935)))))</f>
        <v/>
      </c>
      <c r="M1935" s="54">
        <f>IF($B1935=0,NA(),IF($G1935="",NA(),IF(G$8="",NA(),IF(N(G$8)=0,NA(),IF(Inputs!$C$17="Rebased to 100",$G1935/G$8*100,$G1935)))))</f>
        <v/>
      </c>
      <c r="N1935" s="54">
        <f>IF($B1935=0,NA(),IF(Inputs!$C$18&lt;&gt;"Yes",NA(),IF(COUNT(I1935,J1935,K1935,L1935,M1935)=0,NA(),MIN(I1935,J1935,K1935,L1935,M1935))))</f>
        <v/>
      </c>
      <c r="O1935" s="54">
        <f>IF($B1935=0,NA(),IF(Inputs!$B$24&lt;&gt;"Yes",NA(),Inputs!$D$24*Inputs!$C$35))</f>
        <v/>
      </c>
      <c r="P1935" s="54">
        <f>IF($B1935=0,NA(),IF(Inputs!$B$25&lt;&gt;"Yes",NA(),Inputs!$D$25*Inputs!$C$35))</f>
        <v/>
      </c>
      <c r="Q1935" s="54">
        <f>IF($B1935=0,NA(),IF(Inputs!$B$26&lt;&gt;"Yes",NA(),Inputs!$D$26*Inputs!$C$35))</f>
        <v/>
      </c>
      <c r="R1935" s="54">
        <f>IF($B1935=0,NA(),IF(Inputs!$B$27&lt;&gt;"Yes",NA(),Inputs!$D$27*Inputs!$C$35))</f>
        <v/>
      </c>
      <c r="S1935" s="54">
        <f>IF($B1935=0,NA(),IF(Inputs!$B$28&lt;&gt;"Yes",NA(),Inputs!$D$28*Inputs!$C$35))</f>
        <v/>
      </c>
      <c r="T1935" s="54">
        <f>IF($B1935=0,NA(),IF(Inputs!$B$29&lt;&gt;"Yes",NA(),Inputs!$D$29*Inputs!$C$35))</f>
        <v/>
      </c>
      <c r="AD1935">
        <f>IF($B1935=0,0,IF(Inputs!$B$6="",0,COUNTIFS(Data!$A$10:$A$3209,"&gt;="&amp;$A1935,Data!$A$10:$A$3209,"&lt;"&amp;$A1935+1)))</f>
        <v/>
      </c>
      <c r="AE1935">
        <f>IF($B1935=0,0,IF(Inputs!$B$7="",0,COUNTIFS(Data!$E$10:$E$3209,"&gt;="&amp;$A1935,Data!$E$10:$E$3209,"&lt;"&amp;$A1935+1)))</f>
        <v/>
      </c>
      <c r="AF1935">
        <f>IF($B1935=0,0,IF(Inputs!$B$8="",0,COUNTIFS(Data!$I$10:$I$3209,"&gt;="&amp;$A1935,Data!$I$10:$I$3209,"&lt;"&amp;$A1935+1)))</f>
        <v/>
      </c>
      <c r="AG1935">
        <f>IF($B1935=0,0,IF(Inputs!$B$9="",0,COUNTIFS(Data!$M$10:$M$3209,"&gt;="&amp;$A1935,Data!$M$10:$M$3209,"&lt;"&amp;$A1935+1)))</f>
        <v/>
      </c>
      <c r="AH1935">
        <f>IF($B1935=0,0,IF(Inputs!$B$10="",0,COUNTIFS(Data!$Q$10:$Q$3209,"&gt;="&amp;$A1935,Data!$Q$10:$Q$3209,"&lt;"&amp;$A1935+1)))</f>
        <v/>
      </c>
    </row>
    <row r="1936">
      <c r="A1936" s="55">
        <f>MIN(Inputs!$C$15,$A1935+IF(WEEKDAY($A1935,2)=5,3,1))</f>
        <v/>
      </c>
      <c r="B1936">
        <f>IF($A1936&gt;$A1935,1,0)</f>
        <v/>
      </c>
      <c r="C1936" s="56">
        <f>IF($B1936=0,"",IF(Inputs!$B$6="","",IF($AD1936=0,C1935,SUMIFS(Data!$B$10:$B$3209,Data!$A$10:$A$3209,"&gt;="&amp;$A1936,Data!$A$10:$A$3209,"&lt;"&amp;$A1936+1)/$AD1936)))</f>
        <v/>
      </c>
      <c r="D1936" s="56">
        <f>IF($B1936=0,"",IF(Inputs!$B$7="","",IF($AE1936=0,D1935,SUMIFS(Data!$F$10:$F$3209,Data!$E$10:$E$3209,"&gt;="&amp;$A1936,Data!$E$10:$E$3209,"&lt;"&amp;$A1936+1)/$AE1936)))</f>
        <v/>
      </c>
      <c r="E1936" s="56">
        <f>IF($B1936=0,"",IF(Inputs!$B$8="","",IF($AF1936=0,E1935,SUMIFS(Data!$J$10:$J$3209,Data!$I$10:$I$3209,"&gt;="&amp;$A1936,Data!$I$10:$I$3209,"&lt;"&amp;$A1936+1)/$AF1936)))</f>
        <v/>
      </c>
      <c r="F1936" s="56">
        <f>IF($B1936=0,"",IF(Inputs!$B$9="","",IF($AG1936=0,F1935,SUMIFS(Data!$N$10:$N$3209,Data!$M$10:$M$3209,"&gt;="&amp;$A1936,Data!$M$10:$M$3209,"&lt;"&amp;$A1936+1)/$AG1936)))</f>
        <v/>
      </c>
      <c r="G1936" s="56">
        <f>IF($B1936=0,"",IF(Inputs!$B$10="","",IF($AH1936=0,G1935,SUMIFS(Data!$R$10:$R$3209,Data!$Q$10:$Q$3209,"&gt;="&amp;$A1936,Data!$Q$10:$Q$3209,"&lt;"&amp;$A1936+1)/$AH1936)))</f>
        <v/>
      </c>
      <c r="I1936" s="54">
        <f>IF($B1936=0,NA(),IF($C1936="",NA(),IF(C$8="",NA(),IF(N(C$8)=0,NA(),IF(Inputs!$C$17="Rebased to 100",$C1936/C$8*100,$C1936)))))</f>
        <v/>
      </c>
      <c r="J1936" s="54">
        <f>IF($B1936=0,NA(),IF($D1936="",NA(),IF(D$8="",NA(),IF(N(D$8)=0,NA(),IF(Inputs!$C$17="Rebased to 100",$D1936/D$8*100,$D1936)))))</f>
        <v/>
      </c>
      <c r="K1936" s="54">
        <f>IF($B1936=0,NA(),IF($E1936="",NA(),IF(E$8="",NA(),IF(N(E$8)=0,NA(),IF(Inputs!$C$17="Rebased to 100",$E1936/E$8*100,$E1936)))))</f>
        <v/>
      </c>
      <c r="L1936" s="54">
        <f>IF($B1936=0,NA(),IF($F1936="",NA(),IF(F$8="",NA(),IF(N(F$8)=0,NA(),IF(Inputs!$C$17="Rebased to 100",$F1936/F$8*100,$F1936)))))</f>
        <v/>
      </c>
      <c r="M1936" s="54">
        <f>IF($B1936=0,NA(),IF($G1936="",NA(),IF(G$8="",NA(),IF(N(G$8)=0,NA(),IF(Inputs!$C$17="Rebased to 100",$G1936/G$8*100,$G1936)))))</f>
        <v/>
      </c>
      <c r="N1936" s="54">
        <f>IF($B1936=0,NA(),IF(Inputs!$C$18&lt;&gt;"Yes",NA(),IF(COUNT(I1936,J1936,K1936,L1936,M1936)=0,NA(),MIN(I1936,J1936,K1936,L1936,M1936))))</f>
        <v/>
      </c>
      <c r="O1936" s="54">
        <f>IF($B1936=0,NA(),IF(Inputs!$B$24&lt;&gt;"Yes",NA(),Inputs!$D$24*Inputs!$C$35))</f>
        <v/>
      </c>
      <c r="P1936" s="54">
        <f>IF($B1936=0,NA(),IF(Inputs!$B$25&lt;&gt;"Yes",NA(),Inputs!$D$25*Inputs!$C$35))</f>
        <v/>
      </c>
      <c r="Q1936" s="54">
        <f>IF($B1936=0,NA(),IF(Inputs!$B$26&lt;&gt;"Yes",NA(),Inputs!$D$26*Inputs!$C$35))</f>
        <v/>
      </c>
      <c r="R1936" s="54">
        <f>IF($B1936=0,NA(),IF(Inputs!$B$27&lt;&gt;"Yes",NA(),Inputs!$D$27*Inputs!$C$35))</f>
        <v/>
      </c>
      <c r="S1936" s="54">
        <f>IF($B1936=0,NA(),IF(Inputs!$B$28&lt;&gt;"Yes",NA(),Inputs!$D$28*Inputs!$C$35))</f>
        <v/>
      </c>
      <c r="T1936" s="54">
        <f>IF($B1936=0,NA(),IF(Inputs!$B$29&lt;&gt;"Yes",NA(),Inputs!$D$29*Inputs!$C$35))</f>
        <v/>
      </c>
      <c r="AD1936">
        <f>IF($B1936=0,0,IF(Inputs!$B$6="",0,COUNTIFS(Data!$A$10:$A$3209,"&gt;="&amp;$A1936,Data!$A$10:$A$3209,"&lt;"&amp;$A1936+1)))</f>
        <v/>
      </c>
      <c r="AE1936">
        <f>IF($B1936=0,0,IF(Inputs!$B$7="",0,COUNTIFS(Data!$E$10:$E$3209,"&gt;="&amp;$A1936,Data!$E$10:$E$3209,"&lt;"&amp;$A1936+1)))</f>
        <v/>
      </c>
      <c r="AF1936">
        <f>IF($B1936=0,0,IF(Inputs!$B$8="",0,COUNTIFS(Data!$I$10:$I$3209,"&gt;="&amp;$A1936,Data!$I$10:$I$3209,"&lt;"&amp;$A1936+1)))</f>
        <v/>
      </c>
      <c r="AG1936">
        <f>IF($B1936=0,0,IF(Inputs!$B$9="",0,COUNTIFS(Data!$M$10:$M$3209,"&gt;="&amp;$A1936,Data!$M$10:$M$3209,"&lt;"&amp;$A1936+1)))</f>
        <v/>
      </c>
      <c r="AH1936">
        <f>IF($B1936=0,0,IF(Inputs!$B$10="",0,COUNTIFS(Data!$Q$10:$Q$3209,"&gt;="&amp;$A1936,Data!$Q$10:$Q$3209,"&lt;"&amp;$A1936+1)))</f>
        <v/>
      </c>
    </row>
    <row r="1937">
      <c r="A1937" s="55">
        <f>MIN(Inputs!$C$15,$A1936+IF(WEEKDAY($A1936,2)=5,3,1))</f>
        <v/>
      </c>
      <c r="B1937">
        <f>IF($A1937&gt;$A1936,1,0)</f>
        <v/>
      </c>
      <c r="C1937" s="56">
        <f>IF($B1937=0,"",IF(Inputs!$B$6="","",IF($AD1937=0,C1936,SUMIFS(Data!$B$10:$B$3209,Data!$A$10:$A$3209,"&gt;="&amp;$A1937,Data!$A$10:$A$3209,"&lt;"&amp;$A1937+1)/$AD1937)))</f>
        <v/>
      </c>
      <c r="D1937" s="56">
        <f>IF($B1937=0,"",IF(Inputs!$B$7="","",IF($AE1937=0,D1936,SUMIFS(Data!$F$10:$F$3209,Data!$E$10:$E$3209,"&gt;="&amp;$A1937,Data!$E$10:$E$3209,"&lt;"&amp;$A1937+1)/$AE1937)))</f>
        <v/>
      </c>
      <c r="E1937" s="56">
        <f>IF($B1937=0,"",IF(Inputs!$B$8="","",IF($AF1937=0,E1936,SUMIFS(Data!$J$10:$J$3209,Data!$I$10:$I$3209,"&gt;="&amp;$A1937,Data!$I$10:$I$3209,"&lt;"&amp;$A1937+1)/$AF1937)))</f>
        <v/>
      </c>
      <c r="F1937" s="56">
        <f>IF($B1937=0,"",IF(Inputs!$B$9="","",IF($AG1937=0,F1936,SUMIFS(Data!$N$10:$N$3209,Data!$M$10:$M$3209,"&gt;="&amp;$A1937,Data!$M$10:$M$3209,"&lt;"&amp;$A1937+1)/$AG1937)))</f>
        <v/>
      </c>
      <c r="G1937" s="56">
        <f>IF($B1937=0,"",IF(Inputs!$B$10="","",IF($AH1937=0,G1936,SUMIFS(Data!$R$10:$R$3209,Data!$Q$10:$Q$3209,"&gt;="&amp;$A1937,Data!$Q$10:$Q$3209,"&lt;"&amp;$A1937+1)/$AH1937)))</f>
        <v/>
      </c>
      <c r="I1937" s="54">
        <f>IF($B1937=0,NA(),IF($C1937="",NA(),IF(C$8="",NA(),IF(N(C$8)=0,NA(),IF(Inputs!$C$17="Rebased to 100",$C1937/C$8*100,$C1937)))))</f>
        <v/>
      </c>
      <c r="J1937" s="54">
        <f>IF($B1937=0,NA(),IF($D1937="",NA(),IF(D$8="",NA(),IF(N(D$8)=0,NA(),IF(Inputs!$C$17="Rebased to 100",$D1937/D$8*100,$D1937)))))</f>
        <v/>
      </c>
      <c r="K1937" s="54">
        <f>IF($B1937=0,NA(),IF($E1937="",NA(),IF(E$8="",NA(),IF(N(E$8)=0,NA(),IF(Inputs!$C$17="Rebased to 100",$E1937/E$8*100,$E1937)))))</f>
        <v/>
      </c>
      <c r="L1937" s="54">
        <f>IF($B1937=0,NA(),IF($F1937="",NA(),IF(F$8="",NA(),IF(N(F$8)=0,NA(),IF(Inputs!$C$17="Rebased to 100",$F1937/F$8*100,$F1937)))))</f>
        <v/>
      </c>
      <c r="M1937" s="54">
        <f>IF($B1937=0,NA(),IF($G1937="",NA(),IF(G$8="",NA(),IF(N(G$8)=0,NA(),IF(Inputs!$C$17="Rebased to 100",$G1937/G$8*100,$G1937)))))</f>
        <v/>
      </c>
      <c r="N1937" s="54">
        <f>IF($B1937=0,NA(),IF(Inputs!$C$18&lt;&gt;"Yes",NA(),IF(COUNT(I1937,J1937,K1937,L1937,M1937)=0,NA(),MIN(I1937,J1937,K1937,L1937,M1937))))</f>
        <v/>
      </c>
      <c r="O1937" s="54">
        <f>IF($B1937=0,NA(),IF(Inputs!$B$24&lt;&gt;"Yes",NA(),Inputs!$D$24*Inputs!$C$35))</f>
        <v/>
      </c>
      <c r="P1937" s="54">
        <f>IF($B1937=0,NA(),IF(Inputs!$B$25&lt;&gt;"Yes",NA(),Inputs!$D$25*Inputs!$C$35))</f>
        <v/>
      </c>
      <c r="Q1937" s="54">
        <f>IF($B1937=0,NA(),IF(Inputs!$B$26&lt;&gt;"Yes",NA(),Inputs!$D$26*Inputs!$C$35))</f>
        <v/>
      </c>
      <c r="R1937" s="54">
        <f>IF($B1937=0,NA(),IF(Inputs!$B$27&lt;&gt;"Yes",NA(),Inputs!$D$27*Inputs!$C$35))</f>
        <v/>
      </c>
      <c r="S1937" s="54">
        <f>IF($B1937=0,NA(),IF(Inputs!$B$28&lt;&gt;"Yes",NA(),Inputs!$D$28*Inputs!$C$35))</f>
        <v/>
      </c>
      <c r="T1937" s="54">
        <f>IF($B1937=0,NA(),IF(Inputs!$B$29&lt;&gt;"Yes",NA(),Inputs!$D$29*Inputs!$C$35))</f>
        <v/>
      </c>
      <c r="AD1937">
        <f>IF($B1937=0,0,IF(Inputs!$B$6="",0,COUNTIFS(Data!$A$10:$A$3209,"&gt;="&amp;$A1937,Data!$A$10:$A$3209,"&lt;"&amp;$A1937+1)))</f>
        <v/>
      </c>
      <c r="AE1937">
        <f>IF($B1937=0,0,IF(Inputs!$B$7="",0,COUNTIFS(Data!$E$10:$E$3209,"&gt;="&amp;$A1937,Data!$E$10:$E$3209,"&lt;"&amp;$A1937+1)))</f>
        <v/>
      </c>
      <c r="AF1937">
        <f>IF($B1937=0,0,IF(Inputs!$B$8="",0,COUNTIFS(Data!$I$10:$I$3209,"&gt;="&amp;$A1937,Data!$I$10:$I$3209,"&lt;"&amp;$A1937+1)))</f>
        <v/>
      </c>
      <c r="AG1937">
        <f>IF($B1937=0,0,IF(Inputs!$B$9="",0,COUNTIFS(Data!$M$10:$M$3209,"&gt;="&amp;$A1937,Data!$M$10:$M$3209,"&lt;"&amp;$A1937+1)))</f>
        <v/>
      </c>
      <c r="AH1937">
        <f>IF($B1937=0,0,IF(Inputs!$B$10="",0,COUNTIFS(Data!$Q$10:$Q$3209,"&gt;="&amp;$A1937,Data!$Q$10:$Q$3209,"&lt;"&amp;$A1937+1)))</f>
        <v/>
      </c>
    </row>
    <row r="1938">
      <c r="A1938" s="55">
        <f>MIN(Inputs!$C$15,$A1937+IF(WEEKDAY($A1937,2)=5,3,1))</f>
        <v/>
      </c>
      <c r="B1938">
        <f>IF($A1938&gt;$A1937,1,0)</f>
        <v/>
      </c>
      <c r="C1938" s="56">
        <f>IF($B1938=0,"",IF(Inputs!$B$6="","",IF($AD1938=0,C1937,SUMIFS(Data!$B$10:$B$3209,Data!$A$10:$A$3209,"&gt;="&amp;$A1938,Data!$A$10:$A$3209,"&lt;"&amp;$A1938+1)/$AD1938)))</f>
        <v/>
      </c>
      <c r="D1938" s="56">
        <f>IF($B1938=0,"",IF(Inputs!$B$7="","",IF($AE1938=0,D1937,SUMIFS(Data!$F$10:$F$3209,Data!$E$10:$E$3209,"&gt;="&amp;$A1938,Data!$E$10:$E$3209,"&lt;"&amp;$A1938+1)/$AE1938)))</f>
        <v/>
      </c>
      <c r="E1938" s="56">
        <f>IF($B1938=0,"",IF(Inputs!$B$8="","",IF($AF1938=0,E1937,SUMIFS(Data!$J$10:$J$3209,Data!$I$10:$I$3209,"&gt;="&amp;$A1938,Data!$I$10:$I$3209,"&lt;"&amp;$A1938+1)/$AF1938)))</f>
        <v/>
      </c>
      <c r="F1938" s="56">
        <f>IF($B1938=0,"",IF(Inputs!$B$9="","",IF($AG1938=0,F1937,SUMIFS(Data!$N$10:$N$3209,Data!$M$10:$M$3209,"&gt;="&amp;$A1938,Data!$M$10:$M$3209,"&lt;"&amp;$A1938+1)/$AG1938)))</f>
        <v/>
      </c>
      <c r="G1938" s="56">
        <f>IF($B1938=0,"",IF(Inputs!$B$10="","",IF($AH1938=0,G1937,SUMIFS(Data!$R$10:$R$3209,Data!$Q$10:$Q$3209,"&gt;="&amp;$A1938,Data!$Q$10:$Q$3209,"&lt;"&amp;$A1938+1)/$AH1938)))</f>
        <v/>
      </c>
      <c r="I1938" s="54">
        <f>IF($B1938=0,NA(),IF($C1938="",NA(),IF(C$8="",NA(),IF(N(C$8)=0,NA(),IF(Inputs!$C$17="Rebased to 100",$C1938/C$8*100,$C1938)))))</f>
        <v/>
      </c>
      <c r="J1938" s="54">
        <f>IF($B1938=0,NA(),IF($D1938="",NA(),IF(D$8="",NA(),IF(N(D$8)=0,NA(),IF(Inputs!$C$17="Rebased to 100",$D1938/D$8*100,$D1938)))))</f>
        <v/>
      </c>
      <c r="K1938" s="54">
        <f>IF($B1938=0,NA(),IF($E1938="",NA(),IF(E$8="",NA(),IF(N(E$8)=0,NA(),IF(Inputs!$C$17="Rebased to 100",$E1938/E$8*100,$E1938)))))</f>
        <v/>
      </c>
      <c r="L1938" s="54">
        <f>IF($B1938=0,NA(),IF($F1938="",NA(),IF(F$8="",NA(),IF(N(F$8)=0,NA(),IF(Inputs!$C$17="Rebased to 100",$F1938/F$8*100,$F1938)))))</f>
        <v/>
      </c>
      <c r="M1938" s="54">
        <f>IF($B1938=0,NA(),IF($G1938="",NA(),IF(G$8="",NA(),IF(N(G$8)=0,NA(),IF(Inputs!$C$17="Rebased to 100",$G1938/G$8*100,$G1938)))))</f>
        <v/>
      </c>
      <c r="N1938" s="54">
        <f>IF($B1938=0,NA(),IF(Inputs!$C$18&lt;&gt;"Yes",NA(),IF(COUNT(I1938,J1938,K1938,L1938,M1938)=0,NA(),MIN(I1938,J1938,K1938,L1938,M1938))))</f>
        <v/>
      </c>
      <c r="O1938" s="54">
        <f>IF($B1938=0,NA(),IF(Inputs!$B$24&lt;&gt;"Yes",NA(),Inputs!$D$24*Inputs!$C$35))</f>
        <v/>
      </c>
      <c r="P1938" s="54">
        <f>IF($B1938=0,NA(),IF(Inputs!$B$25&lt;&gt;"Yes",NA(),Inputs!$D$25*Inputs!$C$35))</f>
        <v/>
      </c>
      <c r="Q1938" s="54">
        <f>IF($B1938=0,NA(),IF(Inputs!$B$26&lt;&gt;"Yes",NA(),Inputs!$D$26*Inputs!$C$35))</f>
        <v/>
      </c>
      <c r="R1938" s="54">
        <f>IF($B1938=0,NA(),IF(Inputs!$B$27&lt;&gt;"Yes",NA(),Inputs!$D$27*Inputs!$C$35))</f>
        <v/>
      </c>
      <c r="S1938" s="54">
        <f>IF($B1938=0,NA(),IF(Inputs!$B$28&lt;&gt;"Yes",NA(),Inputs!$D$28*Inputs!$C$35))</f>
        <v/>
      </c>
      <c r="T1938" s="54">
        <f>IF($B1938=0,NA(),IF(Inputs!$B$29&lt;&gt;"Yes",NA(),Inputs!$D$29*Inputs!$C$35))</f>
        <v/>
      </c>
      <c r="AD1938">
        <f>IF($B1938=0,0,IF(Inputs!$B$6="",0,COUNTIFS(Data!$A$10:$A$3209,"&gt;="&amp;$A1938,Data!$A$10:$A$3209,"&lt;"&amp;$A1938+1)))</f>
        <v/>
      </c>
      <c r="AE1938">
        <f>IF($B1938=0,0,IF(Inputs!$B$7="",0,COUNTIFS(Data!$E$10:$E$3209,"&gt;="&amp;$A1938,Data!$E$10:$E$3209,"&lt;"&amp;$A1938+1)))</f>
        <v/>
      </c>
      <c r="AF1938">
        <f>IF($B1938=0,0,IF(Inputs!$B$8="",0,COUNTIFS(Data!$I$10:$I$3209,"&gt;="&amp;$A1938,Data!$I$10:$I$3209,"&lt;"&amp;$A1938+1)))</f>
        <v/>
      </c>
      <c r="AG1938">
        <f>IF($B1938=0,0,IF(Inputs!$B$9="",0,COUNTIFS(Data!$M$10:$M$3209,"&gt;="&amp;$A1938,Data!$M$10:$M$3209,"&lt;"&amp;$A1938+1)))</f>
        <v/>
      </c>
      <c r="AH1938">
        <f>IF($B1938=0,0,IF(Inputs!$B$10="",0,COUNTIFS(Data!$Q$10:$Q$3209,"&gt;="&amp;$A1938,Data!$Q$10:$Q$3209,"&lt;"&amp;$A1938+1)))</f>
        <v/>
      </c>
    </row>
    <row r="1939">
      <c r="A1939" s="55">
        <f>MIN(Inputs!$C$15,$A1938+IF(WEEKDAY($A1938,2)=5,3,1))</f>
        <v/>
      </c>
      <c r="B1939">
        <f>IF($A1939&gt;$A1938,1,0)</f>
        <v/>
      </c>
      <c r="C1939" s="56">
        <f>IF($B1939=0,"",IF(Inputs!$B$6="","",IF($AD1939=0,C1938,SUMIFS(Data!$B$10:$B$3209,Data!$A$10:$A$3209,"&gt;="&amp;$A1939,Data!$A$10:$A$3209,"&lt;"&amp;$A1939+1)/$AD1939)))</f>
        <v/>
      </c>
      <c r="D1939" s="56">
        <f>IF($B1939=0,"",IF(Inputs!$B$7="","",IF($AE1939=0,D1938,SUMIFS(Data!$F$10:$F$3209,Data!$E$10:$E$3209,"&gt;="&amp;$A1939,Data!$E$10:$E$3209,"&lt;"&amp;$A1939+1)/$AE1939)))</f>
        <v/>
      </c>
      <c r="E1939" s="56">
        <f>IF($B1939=0,"",IF(Inputs!$B$8="","",IF($AF1939=0,E1938,SUMIFS(Data!$J$10:$J$3209,Data!$I$10:$I$3209,"&gt;="&amp;$A1939,Data!$I$10:$I$3209,"&lt;"&amp;$A1939+1)/$AF1939)))</f>
        <v/>
      </c>
      <c r="F1939" s="56">
        <f>IF($B1939=0,"",IF(Inputs!$B$9="","",IF($AG1939=0,F1938,SUMIFS(Data!$N$10:$N$3209,Data!$M$10:$M$3209,"&gt;="&amp;$A1939,Data!$M$10:$M$3209,"&lt;"&amp;$A1939+1)/$AG1939)))</f>
        <v/>
      </c>
      <c r="G1939" s="56">
        <f>IF($B1939=0,"",IF(Inputs!$B$10="","",IF($AH1939=0,G1938,SUMIFS(Data!$R$10:$R$3209,Data!$Q$10:$Q$3209,"&gt;="&amp;$A1939,Data!$Q$10:$Q$3209,"&lt;"&amp;$A1939+1)/$AH1939)))</f>
        <v/>
      </c>
      <c r="I1939" s="54">
        <f>IF($B1939=0,NA(),IF($C1939="",NA(),IF(C$8="",NA(),IF(N(C$8)=0,NA(),IF(Inputs!$C$17="Rebased to 100",$C1939/C$8*100,$C1939)))))</f>
        <v/>
      </c>
      <c r="J1939" s="54">
        <f>IF($B1939=0,NA(),IF($D1939="",NA(),IF(D$8="",NA(),IF(N(D$8)=0,NA(),IF(Inputs!$C$17="Rebased to 100",$D1939/D$8*100,$D1939)))))</f>
        <v/>
      </c>
      <c r="K1939" s="54">
        <f>IF($B1939=0,NA(),IF($E1939="",NA(),IF(E$8="",NA(),IF(N(E$8)=0,NA(),IF(Inputs!$C$17="Rebased to 100",$E1939/E$8*100,$E1939)))))</f>
        <v/>
      </c>
      <c r="L1939" s="54">
        <f>IF($B1939=0,NA(),IF($F1939="",NA(),IF(F$8="",NA(),IF(N(F$8)=0,NA(),IF(Inputs!$C$17="Rebased to 100",$F1939/F$8*100,$F1939)))))</f>
        <v/>
      </c>
      <c r="M1939" s="54">
        <f>IF($B1939=0,NA(),IF($G1939="",NA(),IF(G$8="",NA(),IF(N(G$8)=0,NA(),IF(Inputs!$C$17="Rebased to 100",$G1939/G$8*100,$G1939)))))</f>
        <v/>
      </c>
      <c r="N1939" s="54">
        <f>IF($B1939=0,NA(),IF(Inputs!$C$18&lt;&gt;"Yes",NA(),IF(COUNT(I1939,J1939,K1939,L1939,M1939)=0,NA(),MIN(I1939,J1939,K1939,L1939,M1939))))</f>
        <v/>
      </c>
      <c r="O1939" s="54">
        <f>IF($B1939=0,NA(),IF(Inputs!$B$24&lt;&gt;"Yes",NA(),Inputs!$D$24*Inputs!$C$35))</f>
        <v/>
      </c>
      <c r="P1939" s="54">
        <f>IF($B1939=0,NA(),IF(Inputs!$B$25&lt;&gt;"Yes",NA(),Inputs!$D$25*Inputs!$C$35))</f>
        <v/>
      </c>
      <c r="Q1939" s="54">
        <f>IF($B1939=0,NA(),IF(Inputs!$B$26&lt;&gt;"Yes",NA(),Inputs!$D$26*Inputs!$C$35))</f>
        <v/>
      </c>
      <c r="R1939" s="54">
        <f>IF($B1939=0,NA(),IF(Inputs!$B$27&lt;&gt;"Yes",NA(),Inputs!$D$27*Inputs!$C$35))</f>
        <v/>
      </c>
      <c r="S1939" s="54">
        <f>IF($B1939=0,NA(),IF(Inputs!$B$28&lt;&gt;"Yes",NA(),Inputs!$D$28*Inputs!$C$35))</f>
        <v/>
      </c>
      <c r="T1939" s="54">
        <f>IF($B1939=0,NA(),IF(Inputs!$B$29&lt;&gt;"Yes",NA(),Inputs!$D$29*Inputs!$C$35))</f>
        <v/>
      </c>
      <c r="AD1939">
        <f>IF($B1939=0,0,IF(Inputs!$B$6="",0,COUNTIFS(Data!$A$10:$A$3209,"&gt;="&amp;$A1939,Data!$A$10:$A$3209,"&lt;"&amp;$A1939+1)))</f>
        <v/>
      </c>
      <c r="AE1939">
        <f>IF($B1939=0,0,IF(Inputs!$B$7="",0,COUNTIFS(Data!$E$10:$E$3209,"&gt;="&amp;$A1939,Data!$E$10:$E$3209,"&lt;"&amp;$A1939+1)))</f>
        <v/>
      </c>
      <c r="AF1939">
        <f>IF($B1939=0,0,IF(Inputs!$B$8="",0,COUNTIFS(Data!$I$10:$I$3209,"&gt;="&amp;$A1939,Data!$I$10:$I$3209,"&lt;"&amp;$A1939+1)))</f>
        <v/>
      </c>
      <c r="AG1939">
        <f>IF($B1939=0,0,IF(Inputs!$B$9="",0,COUNTIFS(Data!$M$10:$M$3209,"&gt;="&amp;$A1939,Data!$M$10:$M$3209,"&lt;"&amp;$A1939+1)))</f>
        <v/>
      </c>
      <c r="AH1939">
        <f>IF($B1939=0,0,IF(Inputs!$B$10="",0,COUNTIFS(Data!$Q$10:$Q$3209,"&gt;="&amp;$A1939,Data!$Q$10:$Q$3209,"&lt;"&amp;$A1939+1)))</f>
        <v/>
      </c>
    </row>
    <row r="1940">
      <c r="A1940" s="55">
        <f>MIN(Inputs!$C$15,$A1939+IF(WEEKDAY($A1939,2)=5,3,1))</f>
        <v/>
      </c>
      <c r="B1940">
        <f>IF($A1940&gt;$A1939,1,0)</f>
        <v/>
      </c>
      <c r="C1940" s="56">
        <f>IF($B1940=0,"",IF(Inputs!$B$6="","",IF($AD1940=0,C1939,SUMIFS(Data!$B$10:$B$3209,Data!$A$10:$A$3209,"&gt;="&amp;$A1940,Data!$A$10:$A$3209,"&lt;"&amp;$A1940+1)/$AD1940)))</f>
        <v/>
      </c>
      <c r="D1940" s="56">
        <f>IF($B1940=0,"",IF(Inputs!$B$7="","",IF($AE1940=0,D1939,SUMIFS(Data!$F$10:$F$3209,Data!$E$10:$E$3209,"&gt;="&amp;$A1940,Data!$E$10:$E$3209,"&lt;"&amp;$A1940+1)/$AE1940)))</f>
        <v/>
      </c>
      <c r="E1940" s="56">
        <f>IF($B1940=0,"",IF(Inputs!$B$8="","",IF($AF1940=0,E1939,SUMIFS(Data!$J$10:$J$3209,Data!$I$10:$I$3209,"&gt;="&amp;$A1940,Data!$I$10:$I$3209,"&lt;"&amp;$A1940+1)/$AF1940)))</f>
        <v/>
      </c>
      <c r="F1940" s="56">
        <f>IF($B1940=0,"",IF(Inputs!$B$9="","",IF($AG1940=0,F1939,SUMIFS(Data!$N$10:$N$3209,Data!$M$10:$M$3209,"&gt;="&amp;$A1940,Data!$M$10:$M$3209,"&lt;"&amp;$A1940+1)/$AG1940)))</f>
        <v/>
      </c>
      <c r="G1940" s="56">
        <f>IF($B1940=0,"",IF(Inputs!$B$10="","",IF($AH1940=0,G1939,SUMIFS(Data!$R$10:$R$3209,Data!$Q$10:$Q$3209,"&gt;="&amp;$A1940,Data!$Q$10:$Q$3209,"&lt;"&amp;$A1940+1)/$AH1940)))</f>
        <v/>
      </c>
      <c r="I1940" s="54">
        <f>IF($B1940=0,NA(),IF($C1940="",NA(),IF(C$8="",NA(),IF(N(C$8)=0,NA(),IF(Inputs!$C$17="Rebased to 100",$C1940/C$8*100,$C1940)))))</f>
        <v/>
      </c>
      <c r="J1940" s="54">
        <f>IF($B1940=0,NA(),IF($D1940="",NA(),IF(D$8="",NA(),IF(N(D$8)=0,NA(),IF(Inputs!$C$17="Rebased to 100",$D1940/D$8*100,$D1940)))))</f>
        <v/>
      </c>
      <c r="K1940" s="54">
        <f>IF($B1940=0,NA(),IF($E1940="",NA(),IF(E$8="",NA(),IF(N(E$8)=0,NA(),IF(Inputs!$C$17="Rebased to 100",$E1940/E$8*100,$E1940)))))</f>
        <v/>
      </c>
      <c r="L1940" s="54">
        <f>IF($B1940=0,NA(),IF($F1940="",NA(),IF(F$8="",NA(),IF(N(F$8)=0,NA(),IF(Inputs!$C$17="Rebased to 100",$F1940/F$8*100,$F1940)))))</f>
        <v/>
      </c>
      <c r="M1940" s="54">
        <f>IF($B1940=0,NA(),IF($G1940="",NA(),IF(G$8="",NA(),IF(N(G$8)=0,NA(),IF(Inputs!$C$17="Rebased to 100",$G1940/G$8*100,$G1940)))))</f>
        <v/>
      </c>
      <c r="N1940" s="54">
        <f>IF($B1940=0,NA(),IF(Inputs!$C$18&lt;&gt;"Yes",NA(),IF(COUNT(I1940,J1940,K1940,L1940,M1940)=0,NA(),MIN(I1940,J1940,K1940,L1940,M1940))))</f>
        <v/>
      </c>
      <c r="O1940" s="54">
        <f>IF($B1940=0,NA(),IF(Inputs!$B$24&lt;&gt;"Yes",NA(),Inputs!$D$24*Inputs!$C$35))</f>
        <v/>
      </c>
      <c r="P1940" s="54">
        <f>IF($B1940=0,NA(),IF(Inputs!$B$25&lt;&gt;"Yes",NA(),Inputs!$D$25*Inputs!$C$35))</f>
        <v/>
      </c>
      <c r="Q1940" s="54">
        <f>IF($B1940=0,NA(),IF(Inputs!$B$26&lt;&gt;"Yes",NA(),Inputs!$D$26*Inputs!$C$35))</f>
        <v/>
      </c>
      <c r="R1940" s="54">
        <f>IF($B1940=0,NA(),IF(Inputs!$B$27&lt;&gt;"Yes",NA(),Inputs!$D$27*Inputs!$C$35))</f>
        <v/>
      </c>
      <c r="S1940" s="54">
        <f>IF($B1940=0,NA(),IF(Inputs!$B$28&lt;&gt;"Yes",NA(),Inputs!$D$28*Inputs!$C$35))</f>
        <v/>
      </c>
      <c r="T1940" s="54">
        <f>IF($B1940=0,NA(),IF(Inputs!$B$29&lt;&gt;"Yes",NA(),Inputs!$D$29*Inputs!$C$35))</f>
        <v/>
      </c>
      <c r="AD1940">
        <f>IF($B1940=0,0,IF(Inputs!$B$6="",0,COUNTIFS(Data!$A$10:$A$3209,"&gt;="&amp;$A1940,Data!$A$10:$A$3209,"&lt;"&amp;$A1940+1)))</f>
        <v/>
      </c>
      <c r="AE1940">
        <f>IF($B1940=0,0,IF(Inputs!$B$7="",0,COUNTIFS(Data!$E$10:$E$3209,"&gt;="&amp;$A1940,Data!$E$10:$E$3209,"&lt;"&amp;$A1940+1)))</f>
        <v/>
      </c>
      <c r="AF1940">
        <f>IF($B1940=0,0,IF(Inputs!$B$8="",0,COUNTIFS(Data!$I$10:$I$3209,"&gt;="&amp;$A1940,Data!$I$10:$I$3209,"&lt;"&amp;$A1940+1)))</f>
        <v/>
      </c>
      <c r="AG1940">
        <f>IF($B1940=0,0,IF(Inputs!$B$9="",0,COUNTIFS(Data!$M$10:$M$3209,"&gt;="&amp;$A1940,Data!$M$10:$M$3209,"&lt;"&amp;$A1940+1)))</f>
        <v/>
      </c>
      <c r="AH1940">
        <f>IF($B1940=0,0,IF(Inputs!$B$10="",0,COUNTIFS(Data!$Q$10:$Q$3209,"&gt;="&amp;$A1940,Data!$Q$10:$Q$3209,"&lt;"&amp;$A1940+1)))</f>
        <v/>
      </c>
    </row>
    <row r="1941">
      <c r="A1941" s="55">
        <f>MIN(Inputs!$C$15,$A1940+IF(WEEKDAY($A1940,2)=5,3,1))</f>
        <v/>
      </c>
      <c r="B1941">
        <f>IF($A1941&gt;$A1940,1,0)</f>
        <v/>
      </c>
      <c r="C1941" s="56">
        <f>IF($B1941=0,"",IF(Inputs!$B$6="","",IF($AD1941=0,C1940,SUMIFS(Data!$B$10:$B$3209,Data!$A$10:$A$3209,"&gt;="&amp;$A1941,Data!$A$10:$A$3209,"&lt;"&amp;$A1941+1)/$AD1941)))</f>
        <v/>
      </c>
      <c r="D1941" s="56">
        <f>IF($B1941=0,"",IF(Inputs!$B$7="","",IF($AE1941=0,D1940,SUMIFS(Data!$F$10:$F$3209,Data!$E$10:$E$3209,"&gt;="&amp;$A1941,Data!$E$10:$E$3209,"&lt;"&amp;$A1941+1)/$AE1941)))</f>
        <v/>
      </c>
      <c r="E1941" s="56">
        <f>IF($B1941=0,"",IF(Inputs!$B$8="","",IF($AF1941=0,E1940,SUMIFS(Data!$J$10:$J$3209,Data!$I$10:$I$3209,"&gt;="&amp;$A1941,Data!$I$10:$I$3209,"&lt;"&amp;$A1941+1)/$AF1941)))</f>
        <v/>
      </c>
      <c r="F1941" s="56">
        <f>IF($B1941=0,"",IF(Inputs!$B$9="","",IF($AG1941=0,F1940,SUMIFS(Data!$N$10:$N$3209,Data!$M$10:$M$3209,"&gt;="&amp;$A1941,Data!$M$10:$M$3209,"&lt;"&amp;$A1941+1)/$AG1941)))</f>
        <v/>
      </c>
      <c r="G1941" s="56">
        <f>IF($B1941=0,"",IF(Inputs!$B$10="","",IF($AH1941=0,G1940,SUMIFS(Data!$R$10:$R$3209,Data!$Q$10:$Q$3209,"&gt;="&amp;$A1941,Data!$Q$10:$Q$3209,"&lt;"&amp;$A1941+1)/$AH1941)))</f>
        <v/>
      </c>
      <c r="I1941" s="54">
        <f>IF($B1941=0,NA(),IF($C1941="",NA(),IF(C$8="",NA(),IF(N(C$8)=0,NA(),IF(Inputs!$C$17="Rebased to 100",$C1941/C$8*100,$C1941)))))</f>
        <v/>
      </c>
      <c r="J1941" s="54">
        <f>IF($B1941=0,NA(),IF($D1941="",NA(),IF(D$8="",NA(),IF(N(D$8)=0,NA(),IF(Inputs!$C$17="Rebased to 100",$D1941/D$8*100,$D1941)))))</f>
        <v/>
      </c>
      <c r="K1941" s="54">
        <f>IF($B1941=0,NA(),IF($E1941="",NA(),IF(E$8="",NA(),IF(N(E$8)=0,NA(),IF(Inputs!$C$17="Rebased to 100",$E1941/E$8*100,$E1941)))))</f>
        <v/>
      </c>
      <c r="L1941" s="54">
        <f>IF($B1941=0,NA(),IF($F1941="",NA(),IF(F$8="",NA(),IF(N(F$8)=0,NA(),IF(Inputs!$C$17="Rebased to 100",$F1941/F$8*100,$F1941)))))</f>
        <v/>
      </c>
      <c r="M1941" s="54">
        <f>IF($B1941=0,NA(),IF($G1941="",NA(),IF(G$8="",NA(),IF(N(G$8)=0,NA(),IF(Inputs!$C$17="Rebased to 100",$G1941/G$8*100,$G1941)))))</f>
        <v/>
      </c>
      <c r="N1941" s="54">
        <f>IF($B1941=0,NA(),IF(Inputs!$C$18&lt;&gt;"Yes",NA(),IF(COUNT(I1941,J1941,K1941,L1941,M1941)=0,NA(),MIN(I1941,J1941,K1941,L1941,M1941))))</f>
        <v/>
      </c>
      <c r="O1941" s="54">
        <f>IF($B1941=0,NA(),IF(Inputs!$B$24&lt;&gt;"Yes",NA(),Inputs!$D$24*Inputs!$C$35))</f>
        <v/>
      </c>
      <c r="P1941" s="54">
        <f>IF($B1941=0,NA(),IF(Inputs!$B$25&lt;&gt;"Yes",NA(),Inputs!$D$25*Inputs!$C$35))</f>
        <v/>
      </c>
      <c r="Q1941" s="54">
        <f>IF($B1941=0,NA(),IF(Inputs!$B$26&lt;&gt;"Yes",NA(),Inputs!$D$26*Inputs!$C$35))</f>
        <v/>
      </c>
      <c r="R1941" s="54">
        <f>IF($B1941=0,NA(),IF(Inputs!$B$27&lt;&gt;"Yes",NA(),Inputs!$D$27*Inputs!$C$35))</f>
        <v/>
      </c>
      <c r="S1941" s="54">
        <f>IF($B1941=0,NA(),IF(Inputs!$B$28&lt;&gt;"Yes",NA(),Inputs!$D$28*Inputs!$C$35))</f>
        <v/>
      </c>
      <c r="T1941" s="54">
        <f>IF($B1941=0,NA(),IF(Inputs!$B$29&lt;&gt;"Yes",NA(),Inputs!$D$29*Inputs!$C$35))</f>
        <v/>
      </c>
      <c r="AD1941">
        <f>IF($B1941=0,0,IF(Inputs!$B$6="",0,COUNTIFS(Data!$A$10:$A$3209,"&gt;="&amp;$A1941,Data!$A$10:$A$3209,"&lt;"&amp;$A1941+1)))</f>
        <v/>
      </c>
      <c r="AE1941">
        <f>IF($B1941=0,0,IF(Inputs!$B$7="",0,COUNTIFS(Data!$E$10:$E$3209,"&gt;="&amp;$A1941,Data!$E$10:$E$3209,"&lt;"&amp;$A1941+1)))</f>
        <v/>
      </c>
      <c r="AF1941">
        <f>IF($B1941=0,0,IF(Inputs!$B$8="",0,COUNTIFS(Data!$I$10:$I$3209,"&gt;="&amp;$A1941,Data!$I$10:$I$3209,"&lt;"&amp;$A1941+1)))</f>
        <v/>
      </c>
      <c r="AG1941">
        <f>IF($B1941=0,0,IF(Inputs!$B$9="",0,COUNTIFS(Data!$M$10:$M$3209,"&gt;="&amp;$A1941,Data!$M$10:$M$3209,"&lt;"&amp;$A1941+1)))</f>
        <v/>
      </c>
      <c r="AH1941">
        <f>IF($B1941=0,0,IF(Inputs!$B$10="",0,COUNTIFS(Data!$Q$10:$Q$3209,"&gt;="&amp;$A1941,Data!$Q$10:$Q$3209,"&lt;"&amp;$A1941+1)))</f>
        <v/>
      </c>
    </row>
    <row r="1942">
      <c r="A1942" s="55">
        <f>MIN(Inputs!$C$15,$A1941+IF(WEEKDAY($A1941,2)=5,3,1))</f>
        <v/>
      </c>
      <c r="B1942">
        <f>IF($A1942&gt;$A1941,1,0)</f>
        <v/>
      </c>
      <c r="C1942" s="56">
        <f>IF($B1942=0,"",IF(Inputs!$B$6="","",IF($AD1942=0,C1941,SUMIFS(Data!$B$10:$B$3209,Data!$A$10:$A$3209,"&gt;="&amp;$A1942,Data!$A$10:$A$3209,"&lt;"&amp;$A1942+1)/$AD1942)))</f>
        <v/>
      </c>
      <c r="D1942" s="56">
        <f>IF($B1942=0,"",IF(Inputs!$B$7="","",IF($AE1942=0,D1941,SUMIFS(Data!$F$10:$F$3209,Data!$E$10:$E$3209,"&gt;="&amp;$A1942,Data!$E$10:$E$3209,"&lt;"&amp;$A1942+1)/$AE1942)))</f>
        <v/>
      </c>
      <c r="E1942" s="56">
        <f>IF($B1942=0,"",IF(Inputs!$B$8="","",IF($AF1942=0,E1941,SUMIFS(Data!$J$10:$J$3209,Data!$I$10:$I$3209,"&gt;="&amp;$A1942,Data!$I$10:$I$3209,"&lt;"&amp;$A1942+1)/$AF1942)))</f>
        <v/>
      </c>
      <c r="F1942" s="56">
        <f>IF($B1942=0,"",IF(Inputs!$B$9="","",IF($AG1942=0,F1941,SUMIFS(Data!$N$10:$N$3209,Data!$M$10:$M$3209,"&gt;="&amp;$A1942,Data!$M$10:$M$3209,"&lt;"&amp;$A1942+1)/$AG1942)))</f>
        <v/>
      </c>
      <c r="G1942" s="56">
        <f>IF($B1942=0,"",IF(Inputs!$B$10="","",IF($AH1942=0,G1941,SUMIFS(Data!$R$10:$R$3209,Data!$Q$10:$Q$3209,"&gt;="&amp;$A1942,Data!$Q$10:$Q$3209,"&lt;"&amp;$A1942+1)/$AH1942)))</f>
        <v/>
      </c>
      <c r="I1942" s="54">
        <f>IF($B1942=0,NA(),IF($C1942="",NA(),IF(C$8="",NA(),IF(N(C$8)=0,NA(),IF(Inputs!$C$17="Rebased to 100",$C1942/C$8*100,$C1942)))))</f>
        <v/>
      </c>
      <c r="J1942" s="54">
        <f>IF($B1942=0,NA(),IF($D1942="",NA(),IF(D$8="",NA(),IF(N(D$8)=0,NA(),IF(Inputs!$C$17="Rebased to 100",$D1942/D$8*100,$D1942)))))</f>
        <v/>
      </c>
      <c r="K1942" s="54">
        <f>IF($B1942=0,NA(),IF($E1942="",NA(),IF(E$8="",NA(),IF(N(E$8)=0,NA(),IF(Inputs!$C$17="Rebased to 100",$E1942/E$8*100,$E1942)))))</f>
        <v/>
      </c>
      <c r="L1942" s="54">
        <f>IF($B1942=0,NA(),IF($F1942="",NA(),IF(F$8="",NA(),IF(N(F$8)=0,NA(),IF(Inputs!$C$17="Rebased to 100",$F1942/F$8*100,$F1942)))))</f>
        <v/>
      </c>
      <c r="M1942" s="54">
        <f>IF($B1942=0,NA(),IF($G1942="",NA(),IF(G$8="",NA(),IF(N(G$8)=0,NA(),IF(Inputs!$C$17="Rebased to 100",$G1942/G$8*100,$G1942)))))</f>
        <v/>
      </c>
      <c r="N1942" s="54">
        <f>IF($B1942=0,NA(),IF(Inputs!$C$18&lt;&gt;"Yes",NA(),IF(COUNT(I1942,J1942,K1942,L1942,M1942)=0,NA(),MIN(I1942,J1942,K1942,L1942,M1942))))</f>
        <v/>
      </c>
      <c r="O1942" s="54">
        <f>IF($B1942=0,NA(),IF(Inputs!$B$24&lt;&gt;"Yes",NA(),Inputs!$D$24*Inputs!$C$35))</f>
        <v/>
      </c>
      <c r="P1942" s="54">
        <f>IF($B1942=0,NA(),IF(Inputs!$B$25&lt;&gt;"Yes",NA(),Inputs!$D$25*Inputs!$C$35))</f>
        <v/>
      </c>
      <c r="Q1942" s="54">
        <f>IF($B1942=0,NA(),IF(Inputs!$B$26&lt;&gt;"Yes",NA(),Inputs!$D$26*Inputs!$C$35))</f>
        <v/>
      </c>
      <c r="R1942" s="54">
        <f>IF($B1942=0,NA(),IF(Inputs!$B$27&lt;&gt;"Yes",NA(),Inputs!$D$27*Inputs!$C$35))</f>
        <v/>
      </c>
      <c r="S1942" s="54">
        <f>IF($B1942=0,NA(),IF(Inputs!$B$28&lt;&gt;"Yes",NA(),Inputs!$D$28*Inputs!$C$35))</f>
        <v/>
      </c>
      <c r="T1942" s="54">
        <f>IF($B1942=0,NA(),IF(Inputs!$B$29&lt;&gt;"Yes",NA(),Inputs!$D$29*Inputs!$C$35))</f>
        <v/>
      </c>
      <c r="AD1942">
        <f>IF($B1942=0,0,IF(Inputs!$B$6="",0,COUNTIFS(Data!$A$10:$A$3209,"&gt;="&amp;$A1942,Data!$A$10:$A$3209,"&lt;"&amp;$A1942+1)))</f>
        <v/>
      </c>
      <c r="AE1942">
        <f>IF($B1942=0,0,IF(Inputs!$B$7="",0,COUNTIFS(Data!$E$10:$E$3209,"&gt;="&amp;$A1942,Data!$E$10:$E$3209,"&lt;"&amp;$A1942+1)))</f>
        <v/>
      </c>
      <c r="AF1942">
        <f>IF($B1942=0,0,IF(Inputs!$B$8="",0,COUNTIFS(Data!$I$10:$I$3209,"&gt;="&amp;$A1942,Data!$I$10:$I$3209,"&lt;"&amp;$A1942+1)))</f>
        <v/>
      </c>
      <c r="AG1942">
        <f>IF($B1942=0,0,IF(Inputs!$B$9="",0,COUNTIFS(Data!$M$10:$M$3209,"&gt;="&amp;$A1942,Data!$M$10:$M$3209,"&lt;"&amp;$A1942+1)))</f>
        <v/>
      </c>
      <c r="AH1942">
        <f>IF($B1942=0,0,IF(Inputs!$B$10="",0,COUNTIFS(Data!$Q$10:$Q$3209,"&gt;="&amp;$A1942,Data!$Q$10:$Q$3209,"&lt;"&amp;$A1942+1)))</f>
        <v/>
      </c>
    </row>
    <row r="1943">
      <c r="A1943" s="55">
        <f>MIN(Inputs!$C$15,$A1942+IF(WEEKDAY($A1942,2)=5,3,1))</f>
        <v/>
      </c>
      <c r="B1943">
        <f>IF($A1943&gt;$A1942,1,0)</f>
        <v/>
      </c>
      <c r="C1943" s="56">
        <f>IF($B1943=0,"",IF(Inputs!$B$6="","",IF($AD1943=0,C1942,SUMIFS(Data!$B$10:$B$3209,Data!$A$10:$A$3209,"&gt;="&amp;$A1943,Data!$A$10:$A$3209,"&lt;"&amp;$A1943+1)/$AD1943)))</f>
        <v/>
      </c>
      <c r="D1943" s="56">
        <f>IF($B1943=0,"",IF(Inputs!$B$7="","",IF($AE1943=0,D1942,SUMIFS(Data!$F$10:$F$3209,Data!$E$10:$E$3209,"&gt;="&amp;$A1943,Data!$E$10:$E$3209,"&lt;"&amp;$A1943+1)/$AE1943)))</f>
        <v/>
      </c>
      <c r="E1943" s="56">
        <f>IF($B1943=0,"",IF(Inputs!$B$8="","",IF($AF1943=0,E1942,SUMIFS(Data!$J$10:$J$3209,Data!$I$10:$I$3209,"&gt;="&amp;$A1943,Data!$I$10:$I$3209,"&lt;"&amp;$A1943+1)/$AF1943)))</f>
        <v/>
      </c>
      <c r="F1943" s="56">
        <f>IF($B1943=0,"",IF(Inputs!$B$9="","",IF($AG1943=0,F1942,SUMIFS(Data!$N$10:$N$3209,Data!$M$10:$M$3209,"&gt;="&amp;$A1943,Data!$M$10:$M$3209,"&lt;"&amp;$A1943+1)/$AG1943)))</f>
        <v/>
      </c>
      <c r="G1943" s="56">
        <f>IF($B1943=0,"",IF(Inputs!$B$10="","",IF($AH1943=0,G1942,SUMIFS(Data!$R$10:$R$3209,Data!$Q$10:$Q$3209,"&gt;="&amp;$A1943,Data!$Q$10:$Q$3209,"&lt;"&amp;$A1943+1)/$AH1943)))</f>
        <v/>
      </c>
      <c r="I1943" s="54">
        <f>IF($B1943=0,NA(),IF($C1943="",NA(),IF(C$8="",NA(),IF(N(C$8)=0,NA(),IF(Inputs!$C$17="Rebased to 100",$C1943/C$8*100,$C1943)))))</f>
        <v/>
      </c>
      <c r="J1943" s="54">
        <f>IF($B1943=0,NA(),IF($D1943="",NA(),IF(D$8="",NA(),IF(N(D$8)=0,NA(),IF(Inputs!$C$17="Rebased to 100",$D1943/D$8*100,$D1943)))))</f>
        <v/>
      </c>
      <c r="K1943" s="54">
        <f>IF($B1943=0,NA(),IF($E1943="",NA(),IF(E$8="",NA(),IF(N(E$8)=0,NA(),IF(Inputs!$C$17="Rebased to 100",$E1943/E$8*100,$E1943)))))</f>
        <v/>
      </c>
      <c r="L1943" s="54">
        <f>IF($B1943=0,NA(),IF($F1943="",NA(),IF(F$8="",NA(),IF(N(F$8)=0,NA(),IF(Inputs!$C$17="Rebased to 100",$F1943/F$8*100,$F1943)))))</f>
        <v/>
      </c>
      <c r="M1943" s="54">
        <f>IF($B1943=0,NA(),IF($G1943="",NA(),IF(G$8="",NA(),IF(N(G$8)=0,NA(),IF(Inputs!$C$17="Rebased to 100",$G1943/G$8*100,$G1943)))))</f>
        <v/>
      </c>
      <c r="N1943" s="54">
        <f>IF($B1943=0,NA(),IF(Inputs!$C$18&lt;&gt;"Yes",NA(),IF(COUNT(I1943,J1943,K1943,L1943,M1943)=0,NA(),MIN(I1943,J1943,K1943,L1943,M1943))))</f>
        <v/>
      </c>
      <c r="O1943" s="54">
        <f>IF($B1943=0,NA(),IF(Inputs!$B$24&lt;&gt;"Yes",NA(),Inputs!$D$24*Inputs!$C$35))</f>
        <v/>
      </c>
      <c r="P1943" s="54">
        <f>IF($B1943=0,NA(),IF(Inputs!$B$25&lt;&gt;"Yes",NA(),Inputs!$D$25*Inputs!$C$35))</f>
        <v/>
      </c>
      <c r="Q1943" s="54">
        <f>IF($B1943=0,NA(),IF(Inputs!$B$26&lt;&gt;"Yes",NA(),Inputs!$D$26*Inputs!$C$35))</f>
        <v/>
      </c>
      <c r="R1943" s="54">
        <f>IF($B1943=0,NA(),IF(Inputs!$B$27&lt;&gt;"Yes",NA(),Inputs!$D$27*Inputs!$C$35))</f>
        <v/>
      </c>
      <c r="S1943" s="54">
        <f>IF($B1943=0,NA(),IF(Inputs!$B$28&lt;&gt;"Yes",NA(),Inputs!$D$28*Inputs!$C$35))</f>
        <v/>
      </c>
      <c r="T1943" s="54">
        <f>IF($B1943=0,NA(),IF(Inputs!$B$29&lt;&gt;"Yes",NA(),Inputs!$D$29*Inputs!$C$35))</f>
        <v/>
      </c>
      <c r="AD1943">
        <f>IF($B1943=0,0,IF(Inputs!$B$6="",0,COUNTIFS(Data!$A$10:$A$3209,"&gt;="&amp;$A1943,Data!$A$10:$A$3209,"&lt;"&amp;$A1943+1)))</f>
        <v/>
      </c>
      <c r="AE1943">
        <f>IF($B1943=0,0,IF(Inputs!$B$7="",0,COUNTIFS(Data!$E$10:$E$3209,"&gt;="&amp;$A1943,Data!$E$10:$E$3209,"&lt;"&amp;$A1943+1)))</f>
        <v/>
      </c>
      <c r="AF1943">
        <f>IF($B1943=0,0,IF(Inputs!$B$8="",0,COUNTIFS(Data!$I$10:$I$3209,"&gt;="&amp;$A1943,Data!$I$10:$I$3209,"&lt;"&amp;$A1943+1)))</f>
        <v/>
      </c>
      <c r="AG1943">
        <f>IF($B1943=0,0,IF(Inputs!$B$9="",0,COUNTIFS(Data!$M$10:$M$3209,"&gt;="&amp;$A1943,Data!$M$10:$M$3209,"&lt;"&amp;$A1943+1)))</f>
        <v/>
      </c>
      <c r="AH1943">
        <f>IF($B1943=0,0,IF(Inputs!$B$10="",0,COUNTIFS(Data!$Q$10:$Q$3209,"&gt;="&amp;$A1943,Data!$Q$10:$Q$3209,"&lt;"&amp;$A1943+1)))</f>
        <v/>
      </c>
    </row>
    <row r="1944">
      <c r="A1944" s="55">
        <f>MIN(Inputs!$C$15,$A1943+IF(WEEKDAY($A1943,2)=5,3,1))</f>
        <v/>
      </c>
      <c r="B1944">
        <f>IF($A1944&gt;$A1943,1,0)</f>
        <v/>
      </c>
      <c r="C1944" s="56">
        <f>IF($B1944=0,"",IF(Inputs!$B$6="","",IF($AD1944=0,C1943,SUMIFS(Data!$B$10:$B$3209,Data!$A$10:$A$3209,"&gt;="&amp;$A1944,Data!$A$10:$A$3209,"&lt;"&amp;$A1944+1)/$AD1944)))</f>
        <v/>
      </c>
      <c r="D1944" s="56">
        <f>IF($B1944=0,"",IF(Inputs!$B$7="","",IF($AE1944=0,D1943,SUMIFS(Data!$F$10:$F$3209,Data!$E$10:$E$3209,"&gt;="&amp;$A1944,Data!$E$10:$E$3209,"&lt;"&amp;$A1944+1)/$AE1944)))</f>
        <v/>
      </c>
      <c r="E1944" s="56">
        <f>IF($B1944=0,"",IF(Inputs!$B$8="","",IF($AF1944=0,E1943,SUMIFS(Data!$J$10:$J$3209,Data!$I$10:$I$3209,"&gt;="&amp;$A1944,Data!$I$10:$I$3209,"&lt;"&amp;$A1944+1)/$AF1944)))</f>
        <v/>
      </c>
      <c r="F1944" s="56">
        <f>IF($B1944=0,"",IF(Inputs!$B$9="","",IF($AG1944=0,F1943,SUMIFS(Data!$N$10:$N$3209,Data!$M$10:$M$3209,"&gt;="&amp;$A1944,Data!$M$10:$M$3209,"&lt;"&amp;$A1944+1)/$AG1944)))</f>
        <v/>
      </c>
      <c r="G1944" s="56">
        <f>IF($B1944=0,"",IF(Inputs!$B$10="","",IF($AH1944=0,G1943,SUMIFS(Data!$R$10:$R$3209,Data!$Q$10:$Q$3209,"&gt;="&amp;$A1944,Data!$Q$10:$Q$3209,"&lt;"&amp;$A1944+1)/$AH1944)))</f>
        <v/>
      </c>
      <c r="I1944" s="54">
        <f>IF($B1944=0,NA(),IF($C1944="",NA(),IF(C$8="",NA(),IF(N(C$8)=0,NA(),IF(Inputs!$C$17="Rebased to 100",$C1944/C$8*100,$C1944)))))</f>
        <v/>
      </c>
      <c r="J1944" s="54">
        <f>IF($B1944=0,NA(),IF($D1944="",NA(),IF(D$8="",NA(),IF(N(D$8)=0,NA(),IF(Inputs!$C$17="Rebased to 100",$D1944/D$8*100,$D1944)))))</f>
        <v/>
      </c>
      <c r="K1944" s="54">
        <f>IF($B1944=0,NA(),IF($E1944="",NA(),IF(E$8="",NA(),IF(N(E$8)=0,NA(),IF(Inputs!$C$17="Rebased to 100",$E1944/E$8*100,$E1944)))))</f>
        <v/>
      </c>
      <c r="L1944" s="54">
        <f>IF($B1944=0,NA(),IF($F1944="",NA(),IF(F$8="",NA(),IF(N(F$8)=0,NA(),IF(Inputs!$C$17="Rebased to 100",$F1944/F$8*100,$F1944)))))</f>
        <v/>
      </c>
      <c r="M1944" s="54">
        <f>IF($B1944=0,NA(),IF($G1944="",NA(),IF(G$8="",NA(),IF(N(G$8)=0,NA(),IF(Inputs!$C$17="Rebased to 100",$G1944/G$8*100,$G1944)))))</f>
        <v/>
      </c>
      <c r="N1944" s="54">
        <f>IF($B1944=0,NA(),IF(Inputs!$C$18&lt;&gt;"Yes",NA(),IF(COUNT(I1944,J1944,K1944,L1944,M1944)=0,NA(),MIN(I1944,J1944,K1944,L1944,M1944))))</f>
        <v/>
      </c>
      <c r="O1944" s="54">
        <f>IF($B1944=0,NA(),IF(Inputs!$B$24&lt;&gt;"Yes",NA(),Inputs!$D$24*Inputs!$C$35))</f>
        <v/>
      </c>
      <c r="P1944" s="54">
        <f>IF($B1944=0,NA(),IF(Inputs!$B$25&lt;&gt;"Yes",NA(),Inputs!$D$25*Inputs!$C$35))</f>
        <v/>
      </c>
      <c r="Q1944" s="54">
        <f>IF($B1944=0,NA(),IF(Inputs!$B$26&lt;&gt;"Yes",NA(),Inputs!$D$26*Inputs!$C$35))</f>
        <v/>
      </c>
      <c r="R1944" s="54">
        <f>IF($B1944=0,NA(),IF(Inputs!$B$27&lt;&gt;"Yes",NA(),Inputs!$D$27*Inputs!$C$35))</f>
        <v/>
      </c>
      <c r="S1944" s="54">
        <f>IF($B1944=0,NA(),IF(Inputs!$B$28&lt;&gt;"Yes",NA(),Inputs!$D$28*Inputs!$C$35))</f>
        <v/>
      </c>
      <c r="T1944" s="54">
        <f>IF($B1944=0,NA(),IF(Inputs!$B$29&lt;&gt;"Yes",NA(),Inputs!$D$29*Inputs!$C$35))</f>
        <v/>
      </c>
      <c r="AD1944">
        <f>IF($B1944=0,0,IF(Inputs!$B$6="",0,COUNTIFS(Data!$A$10:$A$3209,"&gt;="&amp;$A1944,Data!$A$10:$A$3209,"&lt;"&amp;$A1944+1)))</f>
        <v/>
      </c>
      <c r="AE1944">
        <f>IF($B1944=0,0,IF(Inputs!$B$7="",0,COUNTIFS(Data!$E$10:$E$3209,"&gt;="&amp;$A1944,Data!$E$10:$E$3209,"&lt;"&amp;$A1944+1)))</f>
        <v/>
      </c>
      <c r="AF1944">
        <f>IF($B1944=0,0,IF(Inputs!$B$8="",0,COUNTIFS(Data!$I$10:$I$3209,"&gt;="&amp;$A1944,Data!$I$10:$I$3209,"&lt;"&amp;$A1944+1)))</f>
        <v/>
      </c>
      <c r="AG1944">
        <f>IF($B1944=0,0,IF(Inputs!$B$9="",0,COUNTIFS(Data!$M$10:$M$3209,"&gt;="&amp;$A1944,Data!$M$10:$M$3209,"&lt;"&amp;$A1944+1)))</f>
        <v/>
      </c>
      <c r="AH1944">
        <f>IF($B1944=0,0,IF(Inputs!$B$10="",0,COUNTIFS(Data!$Q$10:$Q$3209,"&gt;="&amp;$A1944,Data!$Q$10:$Q$3209,"&lt;"&amp;$A1944+1)))</f>
        <v/>
      </c>
    </row>
    <row r="1945">
      <c r="A1945" s="55">
        <f>MIN(Inputs!$C$15,$A1944+IF(WEEKDAY($A1944,2)=5,3,1))</f>
        <v/>
      </c>
      <c r="B1945">
        <f>IF($A1945&gt;$A1944,1,0)</f>
        <v/>
      </c>
      <c r="C1945" s="56">
        <f>IF($B1945=0,"",IF(Inputs!$B$6="","",IF($AD1945=0,C1944,SUMIFS(Data!$B$10:$B$3209,Data!$A$10:$A$3209,"&gt;="&amp;$A1945,Data!$A$10:$A$3209,"&lt;"&amp;$A1945+1)/$AD1945)))</f>
        <v/>
      </c>
      <c r="D1945" s="56">
        <f>IF($B1945=0,"",IF(Inputs!$B$7="","",IF($AE1945=0,D1944,SUMIFS(Data!$F$10:$F$3209,Data!$E$10:$E$3209,"&gt;="&amp;$A1945,Data!$E$10:$E$3209,"&lt;"&amp;$A1945+1)/$AE1945)))</f>
        <v/>
      </c>
      <c r="E1945" s="56">
        <f>IF($B1945=0,"",IF(Inputs!$B$8="","",IF($AF1945=0,E1944,SUMIFS(Data!$J$10:$J$3209,Data!$I$10:$I$3209,"&gt;="&amp;$A1945,Data!$I$10:$I$3209,"&lt;"&amp;$A1945+1)/$AF1945)))</f>
        <v/>
      </c>
      <c r="F1945" s="56">
        <f>IF($B1945=0,"",IF(Inputs!$B$9="","",IF($AG1945=0,F1944,SUMIFS(Data!$N$10:$N$3209,Data!$M$10:$M$3209,"&gt;="&amp;$A1945,Data!$M$10:$M$3209,"&lt;"&amp;$A1945+1)/$AG1945)))</f>
        <v/>
      </c>
      <c r="G1945" s="56">
        <f>IF($B1945=0,"",IF(Inputs!$B$10="","",IF($AH1945=0,G1944,SUMIFS(Data!$R$10:$R$3209,Data!$Q$10:$Q$3209,"&gt;="&amp;$A1945,Data!$Q$10:$Q$3209,"&lt;"&amp;$A1945+1)/$AH1945)))</f>
        <v/>
      </c>
      <c r="I1945" s="54">
        <f>IF($B1945=0,NA(),IF($C1945="",NA(),IF(C$8="",NA(),IF(N(C$8)=0,NA(),IF(Inputs!$C$17="Rebased to 100",$C1945/C$8*100,$C1945)))))</f>
        <v/>
      </c>
      <c r="J1945" s="54">
        <f>IF($B1945=0,NA(),IF($D1945="",NA(),IF(D$8="",NA(),IF(N(D$8)=0,NA(),IF(Inputs!$C$17="Rebased to 100",$D1945/D$8*100,$D1945)))))</f>
        <v/>
      </c>
      <c r="K1945" s="54">
        <f>IF($B1945=0,NA(),IF($E1945="",NA(),IF(E$8="",NA(),IF(N(E$8)=0,NA(),IF(Inputs!$C$17="Rebased to 100",$E1945/E$8*100,$E1945)))))</f>
        <v/>
      </c>
      <c r="L1945" s="54">
        <f>IF($B1945=0,NA(),IF($F1945="",NA(),IF(F$8="",NA(),IF(N(F$8)=0,NA(),IF(Inputs!$C$17="Rebased to 100",$F1945/F$8*100,$F1945)))))</f>
        <v/>
      </c>
      <c r="M1945" s="54">
        <f>IF($B1945=0,NA(),IF($G1945="",NA(),IF(G$8="",NA(),IF(N(G$8)=0,NA(),IF(Inputs!$C$17="Rebased to 100",$G1945/G$8*100,$G1945)))))</f>
        <v/>
      </c>
      <c r="N1945" s="54">
        <f>IF($B1945=0,NA(),IF(Inputs!$C$18&lt;&gt;"Yes",NA(),IF(COUNT(I1945,J1945,K1945,L1945,M1945)=0,NA(),MIN(I1945,J1945,K1945,L1945,M1945))))</f>
        <v/>
      </c>
      <c r="O1945" s="54">
        <f>IF($B1945=0,NA(),IF(Inputs!$B$24&lt;&gt;"Yes",NA(),Inputs!$D$24*Inputs!$C$35))</f>
        <v/>
      </c>
      <c r="P1945" s="54">
        <f>IF($B1945=0,NA(),IF(Inputs!$B$25&lt;&gt;"Yes",NA(),Inputs!$D$25*Inputs!$C$35))</f>
        <v/>
      </c>
      <c r="Q1945" s="54">
        <f>IF($B1945=0,NA(),IF(Inputs!$B$26&lt;&gt;"Yes",NA(),Inputs!$D$26*Inputs!$C$35))</f>
        <v/>
      </c>
      <c r="R1945" s="54">
        <f>IF($B1945=0,NA(),IF(Inputs!$B$27&lt;&gt;"Yes",NA(),Inputs!$D$27*Inputs!$C$35))</f>
        <v/>
      </c>
      <c r="S1945" s="54">
        <f>IF($B1945=0,NA(),IF(Inputs!$B$28&lt;&gt;"Yes",NA(),Inputs!$D$28*Inputs!$C$35))</f>
        <v/>
      </c>
      <c r="T1945" s="54">
        <f>IF($B1945=0,NA(),IF(Inputs!$B$29&lt;&gt;"Yes",NA(),Inputs!$D$29*Inputs!$C$35))</f>
        <v/>
      </c>
      <c r="AD1945">
        <f>IF($B1945=0,0,IF(Inputs!$B$6="",0,COUNTIFS(Data!$A$10:$A$3209,"&gt;="&amp;$A1945,Data!$A$10:$A$3209,"&lt;"&amp;$A1945+1)))</f>
        <v/>
      </c>
      <c r="AE1945">
        <f>IF($B1945=0,0,IF(Inputs!$B$7="",0,COUNTIFS(Data!$E$10:$E$3209,"&gt;="&amp;$A1945,Data!$E$10:$E$3209,"&lt;"&amp;$A1945+1)))</f>
        <v/>
      </c>
      <c r="AF1945">
        <f>IF($B1945=0,0,IF(Inputs!$B$8="",0,COUNTIFS(Data!$I$10:$I$3209,"&gt;="&amp;$A1945,Data!$I$10:$I$3209,"&lt;"&amp;$A1945+1)))</f>
        <v/>
      </c>
      <c r="AG1945">
        <f>IF($B1945=0,0,IF(Inputs!$B$9="",0,COUNTIFS(Data!$M$10:$M$3209,"&gt;="&amp;$A1945,Data!$M$10:$M$3209,"&lt;"&amp;$A1945+1)))</f>
        <v/>
      </c>
      <c r="AH1945">
        <f>IF($B1945=0,0,IF(Inputs!$B$10="",0,COUNTIFS(Data!$Q$10:$Q$3209,"&gt;="&amp;$A1945,Data!$Q$10:$Q$3209,"&lt;"&amp;$A1945+1)))</f>
        <v/>
      </c>
    </row>
    <row r="1946">
      <c r="A1946" s="55">
        <f>MIN(Inputs!$C$15,$A1945+IF(WEEKDAY($A1945,2)=5,3,1))</f>
        <v/>
      </c>
      <c r="B1946">
        <f>IF($A1946&gt;$A1945,1,0)</f>
        <v/>
      </c>
      <c r="C1946" s="56">
        <f>IF($B1946=0,"",IF(Inputs!$B$6="","",IF($AD1946=0,C1945,SUMIFS(Data!$B$10:$B$3209,Data!$A$10:$A$3209,"&gt;="&amp;$A1946,Data!$A$10:$A$3209,"&lt;"&amp;$A1946+1)/$AD1946)))</f>
        <v/>
      </c>
      <c r="D1946" s="56">
        <f>IF($B1946=0,"",IF(Inputs!$B$7="","",IF($AE1946=0,D1945,SUMIFS(Data!$F$10:$F$3209,Data!$E$10:$E$3209,"&gt;="&amp;$A1946,Data!$E$10:$E$3209,"&lt;"&amp;$A1946+1)/$AE1946)))</f>
        <v/>
      </c>
      <c r="E1946" s="56">
        <f>IF($B1946=0,"",IF(Inputs!$B$8="","",IF($AF1946=0,E1945,SUMIFS(Data!$J$10:$J$3209,Data!$I$10:$I$3209,"&gt;="&amp;$A1946,Data!$I$10:$I$3209,"&lt;"&amp;$A1946+1)/$AF1946)))</f>
        <v/>
      </c>
      <c r="F1946" s="56">
        <f>IF($B1946=0,"",IF(Inputs!$B$9="","",IF($AG1946=0,F1945,SUMIFS(Data!$N$10:$N$3209,Data!$M$10:$M$3209,"&gt;="&amp;$A1946,Data!$M$10:$M$3209,"&lt;"&amp;$A1946+1)/$AG1946)))</f>
        <v/>
      </c>
      <c r="G1946" s="56">
        <f>IF($B1946=0,"",IF(Inputs!$B$10="","",IF($AH1946=0,G1945,SUMIFS(Data!$R$10:$R$3209,Data!$Q$10:$Q$3209,"&gt;="&amp;$A1946,Data!$Q$10:$Q$3209,"&lt;"&amp;$A1946+1)/$AH1946)))</f>
        <v/>
      </c>
      <c r="I1946" s="54">
        <f>IF($B1946=0,NA(),IF($C1946="",NA(),IF(C$8="",NA(),IF(N(C$8)=0,NA(),IF(Inputs!$C$17="Rebased to 100",$C1946/C$8*100,$C1946)))))</f>
        <v/>
      </c>
      <c r="J1946" s="54">
        <f>IF($B1946=0,NA(),IF($D1946="",NA(),IF(D$8="",NA(),IF(N(D$8)=0,NA(),IF(Inputs!$C$17="Rebased to 100",$D1946/D$8*100,$D1946)))))</f>
        <v/>
      </c>
      <c r="K1946" s="54">
        <f>IF($B1946=0,NA(),IF($E1946="",NA(),IF(E$8="",NA(),IF(N(E$8)=0,NA(),IF(Inputs!$C$17="Rebased to 100",$E1946/E$8*100,$E1946)))))</f>
        <v/>
      </c>
      <c r="L1946" s="54">
        <f>IF($B1946=0,NA(),IF($F1946="",NA(),IF(F$8="",NA(),IF(N(F$8)=0,NA(),IF(Inputs!$C$17="Rebased to 100",$F1946/F$8*100,$F1946)))))</f>
        <v/>
      </c>
      <c r="M1946" s="54">
        <f>IF($B1946=0,NA(),IF($G1946="",NA(),IF(G$8="",NA(),IF(N(G$8)=0,NA(),IF(Inputs!$C$17="Rebased to 100",$G1946/G$8*100,$G1946)))))</f>
        <v/>
      </c>
      <c r="N1946" s="54">
        <f>IF($B1946=0,NA(),IF(Inputs!$C$18&lt;&gt;"Yes",NA(),IF(COUNT(I1946,J1946,K1946,L1946,M1946)=0,NA(),MIN(I1946,J1946,K1946,L1946,M1946))))</f>
        <v/>
      </c>
      <c r="O1946" s="54">
        <f>IF($B1946=0,NA(),IF(Inputs!$B$24&lt;&gt;"Yes",NA(),Inputs!$D$24*Inputs!$C$35))</f>
        <v/>
      </c>
      <c r="P1946" s="54">
        <f>IF($B1946=0,NA(),IF(Inputs!$B$25&lt;&gt;"Yes",NA(),Inputs!$D$25*Inputs!$C$35))</f>
        <v/>
      </c>
      <c r="Q1946" s="54">
        <f>IF($B1946=0,NA(),IF(Inputs!$B$26&lt;&gt;"Yes",NA(),Inputs!$D$26*Inputs!$C$35))</f>
        <v/>
      </c>
      <c r="R1946" s="54">
        <f>IF($B1946=0,NA(),IF(Inputs!$B$27&lt;&gt;"Yes",NA(),Inputs!$D$27*Inputs!$C$35))</f>
        <v/>
      </c>
      <c r="S1946" s="54">
        <f>IF($B1946=0,NA(),IF(Inputs!$B$28&lt;&gt;"Yes",NA(),Inputs!$D$28*Inputs!$C$35))</f>
        <v/>
      </c>
      <c r="T1946" s="54">
        <f>IF($B1946=0,NA(),IF(Inputs!$B$29&lt;&gt;"Yes",NA(),Inputs!$D$29*Inputs!$C$35))</f>
        <v/>
      </c>
      <c r="AD1946">
        <f>IF($B1946=0,0,IF(Inputs!$B$6="",0,COUNTIFS(Data!$A$10:$A$3209,"&gt;="&amp;$A1946,Data!$A$10:$A$3209,"&lt;"&amp;$A1946+1)))</f>
        <v/>
      </c>
      <c r="AE1946">
        <f>IF($B1946=0,0,IF(Inputs!$B$7="",0,COUNTIFS(Data!$E$10:$E$3209,"&gt;="&amp;$A1946,Data!$E$10:$E$3209,"&lt;"&amp;$A1946+1)))</f>
        <v/>
      </c>
      <c r="AF1946">
        <f>IF($B1946=0,0,IF(Inputs!$B$8="",0,COUNTIFS(Data!$I$10:$I$3209,"&gt;="&amp;$A1946,Data!$I$10:$I$3209,"&lt;"&amp;$A1946+1)))</f>
        <v/>
      </c>
      <c r="AG1946">
        <f>IF($B1946=0,0,IF(Inputs!$B$9="",0,COUNTIFS(Data!$M$10:$M$3209,"&gt;="&amp;$A1946,Data!$M$10:$M$3209,"&lt;"&amp;$A1946+1)))</f>
        <v/>
      </c>
      <c r="AH1946">
        <f>IF($B1946=0,0,IF(Inputs!$B$10="",0,COUNTIFS(Data!$Q$10:$Q$3209,"&gt;="&amp;$A1946,Data!$Q$10:$Q$3209,"&lt;"&amp;$A1946+1)))</f>
        <v/>
      </c>
    </row>
    <row r="1947">
      <c r="A1947" s="55">
        <f>MIN(Inputs!$C$15,$A1946+IF(WEEKDAY($A1946,2)=5,3,1))</f>
        <v/>
      </c>
      <c r="B1947">
        <f>IF($A1947&gt;$A1946,1,0)</f>
        <v/>
      </c>
      <c r="C1947" s="56">
        <f>IF($B1947=0,"",IF(Inputs!$B$6="","",IF($AD1947=0,C1946,SUMIFS(Data!$B$10:$B$3209,Data!$A$10:$A$3209,"&gt;="&amp;$A1947,Data!$A$10:$A$3209,"&lt;"&amp;$A1947+1)/$AD1947)))</f>
        <v/>
      </c>
      <c r="D1947" s="56">
        <f>IF($B1947=0,"",IF(Inputs!$B$7="","",IF($AE1947=0,D1946,SUMIFS(Data!$F$10:$F$3209,Data!$E$10:$E$3209,"&gt;="&amp;$A1947,Data!$E$10:$E$3209,"&lt;"&amp;$A1947+1)/$AE1947)))</f>
        <v/>
      </c>
      <c r="E1947" s="56">
        <f>IF($B1947=0,"",IF(Inputs!$B$8="","",IF($AF1947=0,E1946,SUMIFS(Data!$J$10:$J$3209,Data!$I$10:$I$3209,"&gt;="&amp;$A1947,Data!$I$10:$I$3209,"&lt;"&amp;$A1947+1)/$AF1947)))</f>
        <v/>
      </c>
      <c r="F1947" s="56">
        <f>IF($B1947=0,"",IF(Inputs!$B$9="","",IF($AG1947=0,F1946,SUMIFS(Data!$N$10:$N$3209,Data!$M$10:$M$3209,"&gt;="&amp;$A1947,Data!$M$10:$M$3209,"&lt;"&amp;$A1947+1)/$AG1947)))</f>
        <v/>
      </c>
      <c r="G1947" s="56">
        <f>IF($B1947=0,"",IF(Inputs!$B$10="","",IF($AH1947=0,G1946,SUMIFS(Data!$R$10:$R$3209,Data!$Q$10:$Q$3209,"&gt;="&amp;$A1947,Data!$Q$10:$Q$3209,"&lt;"&amp;$A1947+1)/$AH1947)))</f>
        <v/>
      </c>
      <c r="I1947" s="54">
        <f>IF($B1947=0,NA(),IF($C1947="",NA(),IF(C$8="",NA(),IF(N(C$8)=0,NA(),IF(Inputs!$C$17="Rebased to 100",$C1947/C$8*100,$C1947)))))</f>
        <v/>
      </c>
      <c r="J1947" s="54">
        <f>IF($B1947=0,NA(),IF($D1947="",NA(),IF(D$8="",NA(),IF(N(D$8)=0,NA(),IF(Inputs!$C$17="Rebased to 100",$D1947/D$8*100,$D1947)))))</f>
        <v/>
      </c>
      <c r="K1947" s="54">
        <f>IF($B1947=0,NA(),IF($E1947="",NA(),IF(E$8="",NA(),IF(N(E$8)=0,NA(),IF(Inputs!$C$17="Rebased to 100",$E1947/E$8*100,$E1947)))))</f>
        <v/>
      </c>
      <c r="L1947" s="54">
        <f>IF($B1947=0,NA(),IF($F1947="",NA(),IF(F$8="",NA(),IF(N(F$8)=0,NA(),IF(Inputs!$C$17="Rebased to 100",$F1947/F$8*100,$F1947)))))</f>
        <v/>
      </c>
      <c r="M1947" s="54">
        <f>IF($B1947=0,NA(),IF($G1947="",NA(),IF(G$8="",NA(),IF(N(G$8)=0,NA(),IF(Inputs!$C$17="Rebased to 100",$G1947/G$8*100,$G1947)))))</f>
        <v/>
      </c>
      <c r="N1947" s="54">
        <f>IF($B1947=0,NA(),IF(Inputs!$C$18&lt;&gt;"Yes",NA(),IF(COUNT(I1947,J1947,K1947,L1947,M1947)=0,NA(),MIN(I1947,J1947,K1947,L1947,M1947))))</f>
        <v/>
      </c>
      <c r="O1947" s="54">
        <f>IF($B1947=0,NA(),IF(Inputs!$B$24&lt;&gt;"Yes",NA(),Inputs!$D$24*Inputs!$C$35))</f>
        <v/>
      </c>
      <c r="P1947" s="54">
        <f>IF($B1947=0,NA(),IF(Inputs!$B$25&lt;&gt;"Yes",NA(),Inputs!$D$25*Inputs!$C$35))</f>
        <v/>
      </c>
      <c r="Q1947" s="54">
        <f>IF($B1947=0,NA(),IF(Inputs!$B$26&lt;&gt;"Yes",NA(),Inputs!$D$26*Inputs!$C$35))</f>
        <v/>
      </c>
      <c r="R1947" s="54">
        <f>IF($B1947=0,NA(),IF(Inputs!$B$27&lt;&gt;"Yes",NA(),Inputs!$D$27*Inputs!$C$35))</f>
        <v/>
      </c>
      <c r="S1947" s="54">
        <f>IF($B1947=0,NA(),IF(Inputs!$B$28&lt;&gt;"Yes",NA(),Inputs!$D$28*Inputs!$C$35))</f>
        <v/>
      </c>
      <c r="T1947" s="54">
        <f>IF($B1947=0,NA(),IF(Inputs!$B$29&lt;&gt;"Yes",NA(),Inputs!$D$29*Inputs!$C$35))</f>
        <v/>
      </c>
      <c r="AD1947">
        <f>IF($B1947=0,0,IF(Inputs!$B$6="",0,COUNTIFS(Data!$A$10:$A$3209,"&gt;="&amp;$A1947,Data!$A$10:$A$3209,"&lt;"&amp;$A1947+1)))</f>
        <v/>
      </c>
      <c r="AE1947">
        <f>IF($B1947=0,0,IF(Inputs!$B$7="",0,COUNTIFS(Data!$E$10:$E$3209,"&gt;="&amp;$A1947,Data!$E$10:$E$3209,"&lt;"&amp;$A1947+1)))</f>
        <v/>
      </c>
      <c r="AF1947">
        <f>IF($B1947=0,0,IF(Inputs!$B$8="",0,COUNTIFS(Data!$I$10:$I$3209,"&gt;="&amp;$A1947,Data!$I$10:$I$3209,"&lt;"&amp;$A1947+1)))</f>
        <v/>
      </c>
      <c r="AG1947">
        <f>IF($B1947=0,0,IF(Inputs!$B$9="",0,COUNTIFS(Data!$M$10:$M$3209,"&gt;="&amp;$A1947,Data!$M$10:$M$3209,"&lt;"&amp;$A1947+1)))</f>
        <v/>
      </c>
      <c r="AH1947">
        <f>IF($B1947=0,0,IF(Inputs!$B$10="",0,COUNTIFS(Data!$Q$10:$Q$3209,"&gt;="&amp;$A1947,Data!$Q$10:$Q$3209,"&lt;"&amp;$A1947+1)))</f>
        <v/>
      </c>
    </row>
    <row r="1948">
      <c r="A1948" s="55">
        <f>MIN(Inputs!$C$15,$A1947+IF(WEEKDAY($A1947,2)=5,3,1))</f>
        <v/>
      </c>
      <c r="B1948">
        <f>IF($A1948&gt;$A1947,1,0)</f>
        <v/>
      </c>
      <c r="C1948" s="56">
        <f>IF($B1948=0,"",IF(Inputs!$B$6="","",IF($AD1948=0,C1947,SUMIFS(Data!$B$10:$B$3209,Data!$A$10:$A$3209,"&gt;="&amp;$A1948,Data!$A$10:$A$3209,"&lt;"&amp;$A1948+1)/$AD1948)))</f>
        <v/>
      </c>
      <c r="D1948" s="56">
        <f>IF($B1948=0,"",IF(Inputs!$B$7="","",IF($AE1948=0,D1947,SUMIFS(Data!$F$10:$F$3209,Data!$E$10:$E$3209,"&gt;="&amp;$A1948,Data!$E$10:$E$3209,"&lt;"&amp;$A1948+1)/$AE1948)))</f>
        <v/>
      </c>
      <c r="E1948" s="56">
        <f>IF($B1948=0,"",IF(Inputs!$B$8="","",IF($AF1948=0,E1947,SUMIFS(Data!$J$10:$J$3209,Data!$I$10:$I$3209,"&gt;="&amp;$A1948,Data!$I$10:$I$3209,"&lt;"&amp;$A1948+1)/$AF1948)))</f>
        <v/>
      </c>
      <c r="F1948" s="56">
        <f>IF($B1948=0,"",IF(Inputs!$B$9="","",IF($AG1948=0,F1947,SUMIFS(Data!$N$10:$N$3209,Data!$M$10:$M$3209,"&gt;="&amp;$A1948,Data!$M$10:$M$3209,"&lt;"&amp;$A1948+1)/$AG1948)))</f>
        <v/>
      </c>
      <c r="G1948" s="56">
        <f>IF($B1948=0,"",IF(Inputs!$B$10="","",IF($AH1948=0,G1947,SUMIFS(Data!$R$10:$R$3209,Data!$Q$10:$Q$3209,"&gt;="&amp;$A1948,Data!$Q$10:$Q$3209,"&lt;"&amp;$A1948+1)/$AH1948)))</f>
        <v/>
      </c>
      <c r="I1948" s="54">
        <f>IF($B1948=0,NA(),IF($C1948="",NA(),IF(C$8="",NA(),IF(N(C$8)=0,NA(),IF(Inputs!$C$17="Rebased to 100",$C1948/C$8*100,$C1948)))))</f>
        <v/>
      </c>
      <c r="J1948" s="54">
        <f>IF($B1948=0,NA(),IF($D1948="",NA(),IF(D$8="",NA(),IF(N(D$8)=0,NA(),IF(Inputs!$C$17="Rebased to 100",$D1948/D$8*100,$D1948)))))</f>
        <v/>
      </c>
      <c r="K1948" s="54">
        <f>IF($B1948=0,NA(),IF($E1948="",NA(),IF(E$8="",NA(),IF(N(E$8)=0,NA(),IF(Inputs!$C$17="Rebased to 100",$E1948/E$8*100,$E1948)))))</f>
        <v/>
      </c>
      <c r="L1948" s="54">
        <f>IF($B1948=0,NA(),IF($F1948="",NA(),IF(F$8="",NA(),IF(N(F$8)=0,NA(),IF(Inputs!$C$17="Rebased to 100",$F1948/F$8*100,$F1948)))))</f>
        <v/>
      </c>
      <c r="M1948" s="54">
        <f>IF($B1948=0,NA(),IF($G1948="",NA(),IF(G$8="",NA(),IF(N(G$8)=0,NA(),IF(Inputs!$C$17="Rebased to 100",$G1948/G$8*100,$G1948)))))</f>
        <v/>
      </c>
      <c r="N1948" s="54">
        <f>IF($B1948=0,NA(),IF(Inputs!$C$18&lt;&gt;"Yes",NA(),IF(COUNT(I1948,J1948,K1948,L1948,M1948)=0,NA(),MIN(I1948,J1948,K1948,L1948,M1948))))</f>
        <v/>
      </c>
      <c r="O1948" s="54">
        <f>IF($B1948=0,NA(),IF(Inputs!$B$24&lt;&gt;"Yes",NA(),Inputs!$D$24*Inputs!$C$35))</f>
        <v/>
      </c>
      <c r="P1948" s="54">
        <f>IF($B1948=0,NA(),IF(Inputs!$B$25&lt;&gt;"Yes",NA(),Inputs!$D$25*Inputs!$C$35))</f>
        <v/>
      </c>
      <c r="Q1948" s="54">
        <f>IF($B1948=0,NA(),IF(Inputs!$B$26&lt;&gt;"Yes",NA(),Inputs!$D$26*Inputs!$C$35))</f>
        <v/>
      </c>
      <c r="R1948" s="54">
        <f>IF($B1948=0,NA(),IF(Inputs!$B$27&lt;&gt;"Yes",NA(),Inputs!$D$27*Inputs!$C$35))</f>
        <v/>
      </c>
      <c r="S1948" s="54">
        <f>IF($B1948=0,NA(),IF(Inputs!$B$28&lt;&gt;"Yes",NA(),Inputs!$D$28*Inputs!$C$35))</f>
        <v/>
      </c>
      <c r="T1948" s="54">
        <f>IF($B1948=0,NA(),IF(Inputs!$B$29&lt;&gt;"Yes",NA(),Inputs!$D$29*Inputs!$C$35))</f>
        <v/>
      </c>
      <c r="AD1948">
        <f>IF($B1948=0,0,IF(Inputs!$B$6="",0,COUNTIFS(Data!$A$10:$A$3209,"&gt;="&amp;$A1948,Data!$A$10:$A$3209,"&lt;"&amp;$A1948+1)))</f>
        <v/>
      </c>
      <c r="AE1948">
        <f>IF($B1948=0,0,IF(Inputs!$B$7="",0,COUNTIFS(Data!$E$10:$E$3209,"&gt;="&amp;$A1948,Data!$E$10:$E$3209,"&lt;"&amp;$A1948+1)))</f>
        <v/>
      </c>
      <c r="AF1948">
        <f>IF($B1948=0,0,IF(Inputs!$B$8="",0,COUNTIFS(Data!$I$10:$I$3209,"&gt;="&amp;$A1948,Data!$I$10:$I$3209,"&lt;"&amp;$A1948+1)))</f>
        <v/>
      </c>
      <c r="AG1948">
        <f>IF($B1948=0,0,IF(Inputs!$B$9="",0,COUNTIFS(Data!$M$10:$M$3209,"&gt;="&amp;$A1948,Data!$M$10:$M$3209,"&lt;"&amp;$A1948+1)))</f>
        <v/>
      </c>
      <c r="AH1948">
        <f>IF($B1948=0,0,IF(Inputs!$B$10="",0,COUNTIFS(Data!$Q$10:$Q$3209,"&gt;="&amp;$A1948,Data!$Q$10:$Q$3209,"&lt;"&amp;$A1948+1)))</f>
        <v/>
      </c>
    </row>
    <row r="1949">
      <c r="A1949" s="55">
        <f>MIN(Inputs!$C$15,$A1948+IF(WEEKDAY($A1948,2)=5,3,1))</f>
        <v/>
      </c>
      <c r="B1949">
        <f>IF($A1949&gt;$A1948,1,0)</f>
        <v/>
      </c>
      <c r="C1949" s="56">
        <f>IF($B1949=0,"",IF(Inputs!$B$6="","",IF($AD1949=0,C1948,SUMIFS(Data!$B$10:$B$3209,Data!$A$10:$A$3209,"&gt;="&amp;$A1949,Data!$A$10:$A$3209,"&lt;"&amp;$A1949+1)/$AD1949)))</f>
        <v/>
      </c>
      <c r="D1949" s="56">
        <f>IF($B1949=0,"",IF(Inputs!$B$7="","",IF($AE1949=0,D1948,SUMIFS(Data!$F$10:$F$3209,Data!$E$10:$E$3209,"&gt;="&amp;$A1949,Data!$E$10:$E$3209,"&lt;"&amp;$A1949+1)/$AE1949)))</f>
        <v/>
      </c>
      <c r="E1949" s="56">
        <f>IF($B1949=0,"",IF(Inputs!$B$8="","",IF($AF1949=0,E1948,SUMIFS(Data!$J$10:$J$3209,Data!$I$10:$I$3209,"&gt;="&amp;$A1949,Data!$I$10:$I$3209,"&lt;"&amp;$A1949+1)/$AF1949)))</f>
        <v/>
      </c>
      <c r="F1949" s="56">
        <f>IF($B1949=0,"",IF(Inputs!$B$9="","",IF($AG1949=0,F1948,SUMIFS(Data!$N$10:$N$3209,Data!$M$10:$M$3209,"&gt;="&amp;$A1949,Data!$M$10:$M$3209,"&lt;"&amp;$A1949+1)/$AG1949)))</f>
        <v/>
      </c>
      <c r="G1949" s="56">
        <f>IF($B1949=0,"",IF(Inputs!$B$10="","",IF($AH1949=0,G1948,SUMIFS(Data!$R$10:$R$3209,Data!$Q$10:$Q$3209,"&gt;="&amp;$A1949,Data!$Q$10:$Q$3209,"&lt;"&amp;$A1949+1)/$AH1949)))</f>
        <v/>
      </c>
      <c r="I1949" s="54">
        <f>IF($B1949=0,NA(),IF($C1949="",NA(),IF(C$8="",NA(),IF(N(C$8)=0,NA(),IF(Inputs!$C$17="Rebased to 100",$C1949/C$8*100,$C1949)))))</f>
        <v/>
      </c>
      <c r="J1949" s="54">
        <f>IF($B1949=0,NA(),IF($D1949="",NA(),IF(D$8="",NA(),IF(N(D$8)=0,NA(),IF(Inputs!$C$17="Rebased to 100",$D1949/D$8*100,$D1949)))))</f>
        <v/>
      </c>
      <c r="K1949" s="54">
        <f>IF($B1949=0,NA(),IF($E1949="",NA(),IF(E$8="",NA(),IF(N(E$8)=0,NA(),IF(Inputs!$C$17="Rebased to 100",$E1949/E$8*100,$E1949)))))</f>
        <v/>
      </c>
      <c r="L1949" s="54">
        <f>IF($B1949=0,NA(),IF($F1949="",NA(),IF(F$8="",NA(),IF(N(F$8)=0,NA(),IF(Inputs!$C$17="Rebased to 100",$F1949/F$8*100,$F1949)))))</f>
        <v/>
      </c>
      <c r="M1949" s="54">
        <f>IF($B1949=0,NA(),IF($G1949="",NA(),IF(G$8="",NA(),IF(N(G$8)=0,NA(),IF(Inputs!$C$17="Rebased to 100",$G1949/G$8*100,$G1949)))))</f>
        <v/>
      </c>
      <c r="N1949" s="54">
        <f>IF($B1949=0,NA(),IF(Inputs!$C$18&lt;&gt;"Yes",NA(),IF(COUNT(I1949,J1949,K1949,L1949,M1949)=0,NA(),MIN(I1949,J1949,K1949,L1949,M1949))))</f>
        <v/>
      </c>
      <c r="O1949" s="54">
        <f>IF($B1949=0,NA(),IF(Inputs!$B$24&lt;&gt;"Yes",NA(),Inputs!$D$24*Inputs!$C$35))</f>
        <v/>
      </c>
      <c r="P1949" s="54">
        <f>IF($B1949=0,NA(),IF(Inputs!$B$25&lt;&gt;"Yes",NA(),Inputs!$D$25*Inputs!$C$35))</f>
        <v/>
      </c>
      <c r="Q1949" s="54">
        <f>IF($B1949=0,NA(),IF(Inputs!$B$26&lt;&gt;"Yes",NA(),Inputs!$D$26*Inputs!$C$35))</f>
        <v/>
      </c>
      <c r="R1949" s="54">
        <f>IF($B1949=0,NA(),IF(Inputs!$B$27&lt;&gt;"Yes",NA(),Inputs!$D$27*Inputs!$C$35))</f>
        <v/>
      </c>
      <c r="S1949" s="54">
        <f>IF($B1949=0,NA(),IF(Inputs!$B$28&lt;&gt;"Yes",NA(),Inputs!$D$28*Inputs!$C$35))</f>
        <v/>
      </c>
      <c r="T1949" s="54">
        <f>IF($B1949=0,NA(),IF(Inputs!$B$29&lt;&gt;"Yes",NA(),Inputs!$D$29*Inputs!$C$35))</f>
        <v/>
      </c>
      <c r="AD1949">
        <f>IF($B1949=0,0,IF(Inputs!$B$6="",0,COUNTIFS(Data!$A$10:$A$3209,"&gt;="&amp;$A1949,Data!$A$10:$A$3209,"&lt;"&amp;$A1949+1)))</f>
        <v/>
      </c>
      <c r="AE1949">
        <f>IF($B1949=0,0,IF(Inputs!$B$7="",0,COUNTIFS(Data!$E$10:$E$3209,"&gt;="&amp;$A1949,Data!$E$10:$E$3209,"&lt;"&amp;$A1949+1)))</f>
        <v/>
      </c>
      <c r="AF1949">
        <f>IF($B1949=0,0,IF(Inputs!$B$8="",0,COUNTIFS(Data!$I$10:$I$3209,"&gt;="&amp;$A1949,Data!$I$10:$I$3209,"&lt;"&amp;$A1949+1)))</f>
        <v/>
      </c>
      <c r="AG1949">
        <f>IF($B1949=0,0,IF(Inputs!$B$9="",0,COUNTIFS(Data!$M$10:$M$3209,"&gt;="&amp;$A1949,Data!$M$10:$M$3209,"&lt;"&amp;$A1949+1)))</f>
        <v/>
      </c>
      <c r="AH1949">
        <f>IF($B1949=0,0,IF(Inputs!$B$10="",0,COUNTIFS(Data!$Q$10:$Q$3209,"&gt;="&amp;$A1949,Data!$Q$10:$Q$3209,"&lt;"&amp;$A1949+1)))</f>
        <v/>
      </c>
    </row>
    <row r="1950">
      <c r="A1950" s="55">
        <f>MIN(Inputs!$C$15,$A1949+IF(WEEKDAY($A1949,2)=5,3,1))</f>
        <v/>
      </c>
      <c r="B1950">
        <f>IF($A1950&gt;$A1949,1,0)</f>
        <v/>
      </c>
      <c r="C1950" s="56">
        <f>IF($B1950=0,"",IF(Inputs!$B$6="","",IF($AD1950=0,C1949,SUMIFS(Data!$B$10:$B$3209,Data!$A$10:$A$3209,"&gt;="&amp;$A1950,Data!$A$10:$A$3209,"&lt;"&amp;$A1950+1)/$AD1950)))</f>
        <v/>
      </c>
      <c r="D1950" s="56">
        <f>IF($B1950=0,"",IF(Inputs!$B$7="","",IF($AE1950=0,D1949,SUMIFS(Data!$F$10:$F$3209,Data!$E$10:$E$3209,"&gt;="&amp;$A1950,Data!$E$10:$E$3209,"&lt;"&amp;$A1950+1)/$AE1950)))</f>
        <v/>
      </c>
      <c r="E1950" s="56">
        <f>IF($B1950=0,"",IF(Inputs!$B$8="","",IF($AF1950=0,E1949,SUMIFS(Data!$J$10:$J$3209,Data!$I$10:$I$3209,"&gt;="&amp;$A1950,Data!$I$10:$I$3209,"&lt;"&amp;$A1950+1)/$AF1950)))</f>
        <v/>
      </c>
      <c r="F1950" s="56">
        <f>IF($B1950=0,"",IF(Inputs!$B$9="","",IF($AG1950=0,F1949,SUMIFS(Data!$N$10:$N$3209,Data!$M$10:$M$3209,"&gt;="&amp;$A1950,Data!$M$10:$M$3209,"&lt;"&amp;$A1950+1)/$AG1950)))</f>
        <v/>
      </c>
      <c r="G1950" s="56">
        <f>IF($B1950=0,"",IF(Inputs!$B$10="","",IF($AH1950=0,G1949,SUMIFS(Data!$R$10:$R$3209,Data!$Q$10:$Q$3209,"&gt;="&amp;$A1950,Data!$Q$10:$Q$3209,"&lt;"&amp;$A1950+1)/$AH1950)))</f>
        <v/>
      </c>
      <c r="I1950" s="54">
        <f>IF($B1950=0,NA(),IF($C1950="",NA(),IF(C$8="",NA(),IF(N(C$8)=0,NA(),IF(Inputs!$C$17="Rebased to 100",$C1950/C$8*100,$C1950)))))</f>
        <v/>
      </c>
      <c r="J1950" s="54">
        <f>IF($B1950=0,NA(),IF($D1950="",NA(),IF(D$8="",NA(),IF(N(D$8)=0,NA(),IF(Inputs!$C$17="Rebased to 100",$D1950/D$8*100,$D1950)))))</f>
        <v/>
      </c>
      <c r="K1950" s="54">
        <f>IF($B1950=0,NA(),IF($E1950="",NA(),IF(E$8="",NA(),IF(N(E$8)=0,NA(),IF(Inputs!$C$17="Rebased to 100",$E1950/E$8*100,$E1950)))))</f>
        <v/>
      </c>
      <c r="L1950" s="54">
        <f>IF($B1950=0,NA(),IF($F1950="",NA(),IF(F$8="",NA(),IF(N(F$8)=0,NA(),IF(Inputs!$C$17="Rebased to 100",$F1950/F$8*100,$F1950)))))</f>
        <v/>
      </c>
      <c r="M1950" s="54">
        <f>IF($B1950=0,NA(),IF($G1950="",NA(),IF(G$8="",NA(),IF(N(G$8)=0,NA(),IF(Inputs!$C$17="Rebased to 100",$G1950/G$8*100,$G1950)))))</f>
        <v/>
      </c>
      <c r="N1950" s="54">
        <f>IF($B1950=0,NA(),IF(Inputs!$C$18&lt;&gt;"Yes",NA(),IF(COUNT(I1950,J1950,K1950,L1950,M1950)=0,NA(),MIN(I1950,J1950,K1950,L1950,M1950))))</f>
        <v/>
      </c>
      <c r="O1950" s="54">
        <f>IF($B1950=0,NA(),IF(Inputs!$B$24&lt;&gt;"Yes",NA(),Inputs!$D$24*Inputs!$C$35))</f>
        <v/>
      </c>
      <c r="P1950" s="54">
        <f>IF($B1950=0,NA(),IF(Inputs!$B$25&lt;&gt;"Yes",NA(),Inputs!$D$25*Inputs!$C$35))</f>
        <v/>
      </c>
      <c r="Q1950" s="54">
        <f>IF($B1950=0,NA(),IF(Inputs!$B$26&lt;&gt;"Yes",NA(),Inputs!$D$26*Inputs!$C$35))</f>
        <v/>
      </c>
      <c r="R1950" s="54">
        <f>IF($B1950=0,NA(),IF(Inputs!$B$27&lt;&gt;"Yes",NA(),Inputs!$D$27*Inputs!$C$35))</f>
        <v/>
      </c>
      <c r="S1950" s="54">
        <f>IF($B1950=0,NA(),IF(Inputs!$B$28&lt;&gt;"Yes",NA(),Inputs!$D$28*Inputs!$C$35))</f>
        <v/>
      </c>
      <c r="T1950" s="54">
        <f>IF($B1950=0,NA(),IF(Inputs!$B$29&lt;&gt;"Yes",NA(),Inputs!$D$29*Inputs!$C$35))</f>
        <v/>
      </c>
      <c r="AD1950">
        <f>IF($B1950=0,0,IF(Inputs!$B$6="",0,COUNTIFS(Data!$A$10:$A$3209,"&gt;="&amp;$A1950,Data!$A$10:$A$3209,"&lt;"&amp;$A1950+1)))</f>
        <v/>
      </c>
      <c r="AE1950">
        <f>IF($B1950=0,0,IF(Inputs!$B$7="",0,COUNTIFS(Data!$E$10:$E$3209,"&gt;="&amp;$A1950,Data!$E$10:$E$3209,"&lt;"&amp;$A1950+1)))</f>
        <v/>
      </c>
      <c r="AF1950">
        <f>IF($B1950=0,0,IF(Inputs!$B$8="",0,COUNTIFS(Data!$I$10:$I$3209,"&gt;="&amp;$A1950,Data!$I$10:$I$3209,"&lt;"&amp;$A1950+1)))</f>
        <v/>
      </c>
      <c r="AG1950">
        <f>IF($B1950=0,0,IF(Inputs!$B$9="",0,COUNTIFS(Data!$M$10:$M$3209,"&gt;="&amp;$A1950,Data!$M$10:$M$3209,"&lt;"&amp;$A1950+1)))</f>
        <v/>
      </c>
      <c r="AH1950">
        <f>IF($B1950=0,0,IF(Inputs!$B$10="",0,COUNTIFS(Data!$Q$10:$Q$3209,"&gt;="&amp;$A1950,Data!$Q$10:$Q$3209,"&lt;"&amp;$A1950+1)))</f>
        <v/>
      </c>
    </row>
    <row r="1951">
      <c r="A1951" s="55">
        <f>MIN(Inputs!$C$15,$A1950+IF(WEEKDAY($A1950,2)=5,3,1))</f>
        <v/>
      </c>
      <c r="B1951">
        <f>IF($A1951&gt;$A1950,1,0)</f>
        <v/>
      </c>
      <c r="C1951" s="56">
        <f>IF($B1951=0,"",IF(Inputs!$B$6="","",IF($AD1951=0,C1950,SUMIFS(Data!$B$10:$B$3209,Data!$A$10:$A$3209,"&gt;="&amp;$A1951,Data!$A$10:$A$3209,"&lt;"&amp;$A1951+1)/$AD1951)))</f>
        <v/>
      </c>
      <c r="D1951" s="56">
        <f>IF($B1951=0,"",IF(Inputs!$B$7="","",IF($AE1951=0,D1950,SUMIFS(Data!$F$10:$F$3209,Data!$E$10:$E$3209,"&gt;="&amp;$A1951,Data!$E$10:$E$3209,"&lt;"&amp;$A1951+1)/$AE1951)))</f>
        <v/>
      </c>
      <c r="E1951" s="56">
        <f>IF($B1951=0,"",IF(Inputs!$B$8="","",IF($AF1951=0,E1950,SUMIFS(Data!$J$10:$J$3209,Data!$I$10:$I$3209,"&gt;="&amp;$A1951,Data!$I$10:$I$3209,"&lt;"&amp;$A1951+1)/$AF1951)))</f>
        <v/>
      </c>
      <c r="F1951" s="56">
        <f>IF($B1951=0,"",IF(Inputs!$B$9="","",IF($AG1951=0,F1950,SUMIFS(Data!$N$10:$N$3209,Data!$M$10:$M$3209,"&gt;="&amp;$A1951,Data!$M$10:$M$3209,"&lt;"&amp;$A1951+1)/$AG1951)))</f>
        <v/>
      </c>
      <c r="G1951" s="56">
        <f>IF($B1951=0,"",IF(Inputs!$B$10="","",IF($AH1951=0,G1950,SUMIFS(Data!$R$10:$R$3209,Data!$Q$10:$Q$3209,"&gt;="&amp;$A1951,Data!$Q$10:$Q$3209,"&lt;"&amp;$A1951+1)/$AH1951)))</f>
        <v/>
      </c>
      <c r="I1951" s="54">
        <f>IF($B1951=0,NA(),IF($C1951="",NA(),IF(C$8="",NA(),IF(N(C$8)=0,NA(),IF(Inputs!$C$17="Rebased to 100",$C1951/C$8*100,$C1951)))))</f>
        <v/>
      </c>
      <c r="J1951" s="54">
        <f>IF($B1951=0,NA(),IF($D1951="",NA(),IF(D$8="",NA(),IF(N(D$8)=0,NA(),IF(Inputs!$C$17="Rebased to 100",$D1951/D$8*100,$D1951)))))</f>
        <v/>
      </c>
      <c r="K1951" s="54">
        <f>IF($B1951=0,NA(),IF($E1951="",NA(),IF(E$8="",NA(),IF(N(E$8)=0,NA(),IF(Inputs!$C$17="Rebased to 100",$E1951/E$8*100,$E1951)))))</f>
        <v/>
      </c>
      <c r="L1951" s="54">
        <f>IF($B1951=0,NA(),IF($F1951="",NA(),IF(F$8="",NA(),IF(N(F$8)=0,NA(),IF(Inputs!$C$17="Rebased to 100",$F1951/F$8*100,$F1951)))))</f>
        <v/>
      </c>
      <c r="M1951" s="54">
        <f>IF($B1951=0,NA(),IF($G1951="",NA(),IF(G$8="",NA(),IF(N(G$8)=0,NA(),IF(Inputs!$C$17="Rebased to 100",$G1951/G$8*100,$G1951)))))</f>
        <v/>
      </c>
      <c r="N1951" s="54">
        <f>IF($B1951=0,NA(),IF(Inputs!$C$18&lt;&gt;"Yes",NA(),IF(COUNT(I1951,J1951,K1951,L1951,M1951)=0,NA(),MIN(I1951,J1951,K1951,L1951,M1951))))</f>
        <v/>
      </c>
      <c r="O1951" s="54">
        <f>IF($B1951=0,NA(),IF(Inputs!$B$24&lt;&gt;"Yes",NA(),Inputs!$D$24*Inputs!$C$35))</f>
        <v/>
      </c>
      <c r="P1951" s="54">
        <f>IF($B1951=0,NA(),IF(Inputs!$B$25&lt;&gt;"Yes",NA(),Inputs!$D$25*Inputs!$C$35))</f>
        <v/>
      </c>
      <c r="Q1951" s="54">
        <f>IF($B1951=0,NA(),IF(Inputs!$B$26&lt;&gt;"Yes",NA(),Inputs!$D$26*Inputs!$C$35))</f>
        <v/>
      </c>
      <c r="R1951" s="54">
        <f>IF($B1951=0,NA(),IF(Inputs!$B$27&lt;&gt;"Yes",NA(),Inputs!$D$27*Inputs!$C$35))</f>
        <v/>
      </c>
      <c r="S1951" s="54">
        <f>IF($B1951=0,NA(),IF(Inputs!$B$28&lt;&gt;"Yes",NA(),Inputs!$D$28*Inputs!$C$35))</f>
        <v/>
      </c>
      <c r="T1951" s="54">
        <f>IF($B1951=0,NA(),IF(Inputs!$B$29&lt;&gt;"Yes",NA(),Inputs!$D$29*Inputs!$C$35))</f>
        <v/>
      </c>
      <c r="AD1951">
        <f>IF($B1951=0,0,IF(Inputs!$B$6="",0,COUNTIFS(Data!$A$10:$A$3209,"&gt;="&amp;$A1951,Data!$A$10:$A$3209,"&lt;"&amp;$A1951+1)))</f>
        <v/>
      </c>
      <c r="AE1951">
        <f>IF($B1951=0,0,IF(Inputs!$B$7="",0,COUNTIFS(Data!$E$10:$E$3209,"&gt;="&amp;$A1951,Data!$E$10:$E$3209,"&lt;"&amp;$A1951+1)))</f>
        <v/>
      </c>
      <c r="AF1951">
        <f>IF($B1951=0,0,IF(Inputs!$B$8="",0,COUNTIFS(Data!$I$10:$I$3209,"&gt;="&amp;$A1951,Data!$I$10:$I$3209,"&lt;"&amp;$A1951+1)))</f>
        <v/>
      </c>
      <c r="AG1951">
        <f>IF($B1951=0,0,IF(Inputs!$B$9="",0,COUNTIFS(Data!$M$10:$M$3209,"&gt;="&amp;$A1951,Data!$M$10:$M$3209,"&lt;"&amp;$A1951+1)))</f>
        <v/>
      </c>
      <c r="AH1951">
        <f>IF($B1951=0,0,IF(Inputs!$B$10="",0,COUNTIFS(Data!$Q$10:$Q$3209,"&gt;="&amp;$A1951,Data!$Q$10:$Q$3209,"&lt;"&amp;$A1951+1)))</f>
        <v/>
      </c>
    </row>
    <row r="1952">
      <c r="A1952" s="55">
        <f>MIN(Inputs!$C$15,$A1951+IF(WEEKDAY($A1951,2)=5,3,1))</f>
        <v/>
      </c>
      <c r="B1952">
        <f>IF($A1952&gt;$A1951,1,0)</f>
        <v/>
      </c>
      <c r="C1952" s="56">
        <f>IF($B1952=0,"",IF(Inputs!$B$6="","",IF($AD1952=0,C1951,SUMIFS(Data!$B$10:$B$3209,Data!$A$10:$A$3209,"&gt;="&amp;$A1952,Data!$A$10:$A$3209,"&lt;"&amp;$A1952+1)/$AD1952)))</f>
        <v/>
      </c>
      <c r="D1952" s="56">
        <f>IF($B1952=0,"",IF(Inputs!$B$7="","",IF($AE1952=0,D1951,SUMIFS(Data!$F$10:$F$3209,Data!$E$10:$E$3209,"&gt;="&amp;$A1952,Data!$E$10:$E$3209,"&lt;"&amp;$A1952+1)/$AE1952)))</f>
        <v/>
      </c>
      <c r="E1952" s="56">
        <f>IF($B1952=0,"",IF(Inputs!$B$8="","",IF($AF1952=0,E1951,SUMIFS(Data!$J$10:$J$3209,Data!$I$10:$I$3209,"&gt;="&amp;$A1952,Data!$I$10:$I$3209,"&lt;"&amp;$A1952+1)/$AF1952)))</f>
        <v/>
      </c>
      <c r="F1952" s="56">
        <f>IF($B1952=0,"",IF(Inputs!$B$9="","",IF($AG1952=0,F1951,SUMIFS(Data!$N$10:$N$3209,Data!$M$10:$M$3209,"&gt;="&amp;$A1952,Data!$M$10:$M$3209,"&lt;"&amp;$A1952+1)/$AG1952)))</f>
        <v/>
      </c>
      <c r="G1952" s="56">
        <f>IF($B1952=0,"",IF(Inputs!$B$10="","",IF($AH1952=0,G1951,SUMIFS(Data!$R$10:$R$3209,Data!$Q$10:$Q$3209,"&gt;="&amp;$A1952,Data!$Q$10:$Q$3209,"&lt;"&amp;$A1952+1)/$AH1952)))</f>
        <v/>
      </c>
      <c r="I1952" s="54">
        <f>IF($B1952=0,NA(),IF($C1952="",NA(),IF(C$8="",NA(),IF(N(C$8)=0,NA(),IF(Inputs!$C$17="Rebased to 100",$C1952/C$8*100,$C1952)))))</f>
        <v/>
      </c>
      <c r="J1952" s="54">
        <f>IF($B1952=0,NA(),IF($D1952="",NA(),IF(D$8="",NA(),IF(N(D$8)=0,NA(),IF(Inputs!$C$17="Rebased to 100",$D1952/D$8*100,$D1952)))))</f>
        <v/>
      </c>
      <c r="K1952" s="54">
        <f>IF($B1952=0,NA(),IF($E1952="",NA(),IF(E$8="",NA(),IF(N(E$8)=0,NA(),IF(Inputs!$C$17="Rebased to 100",$E1952/E$8*100,$E1952)))))</f>
        <v/>
      </c>
      <c r="L1952" s="54">
        <f>IF($B1952=0,NA(),IF($F1952="",NA(),IF(F$8="",NA(),IF(N(F$8)=0,NA(),IF(Inputs!$C$17="Rebased to 100",$F1952/F$8*100,$F1952)))))</f>
        <v/>
      </c>
      <c r="M1952" s="54">
        <f>IF($B1952=0,NA(),IF($G1952="",NA(),IF(G$8="",NA(),IF(N(G$8)=0,NA(),IF(Inputs!$C$17="Rebased to 100",$G1952/G$8*100,$G1952)))))</f>
        <v/>
      </c>
      <c r="N1952" s="54">
        <f>IF($B1952=0,NA(),IF(Inputs!$C$18&lt;&gt;"Yes",NA(),IF(COUNT(I1952,J1952,K1952,L1952,M1952)=0,NA(),MIN(I1952,J1952,K1952,L1952,M1952))))</f>
        <v/>
      </c>
      <c r="O1952" s="54">
        <f>IF($B1952=0,NA(),IF(Inputs!$B$24&lt;&gt;"Yes",NA(),Inputs!$D$24*Inputs!$C$35))</f>
        <v/>
      </c>
      <c r="P1952" s="54">
        <f>IF($B1952=0,NA(),IF(Inputs!$B$25&lt;&gt;"Yes",NA(),Inputs!$D$25*Inputs!$C$35))</f>
        <v/>
      </c>
      <c r="Q1952" s="54">
        <f>IF($B1952=0,NA(),IF(Inputs!$B$26&lt;&gt;"Yes",NA(),Inputs!$D$26*Inputs!$C$35))</f>
        <v/>
      </c>
      <c r="R1952" s="54">
        <f>IF($B1952=0,NA(),IF(Inputs!$B$27&lt;&gt;"Yes",NA(),Inputs!$D$27*Inputs!$C$35))</f>
        <v/>
      </c>
      <c r="S1952" s="54">
        <f>IF($B1952=0,NA(),IF(Inputs!$B$28&lt;&gt;"Yes",NA(),Inputs!$D$28*Inputs!$C$35))</f>
        <v/>
      </c>
      <c r="T1952" s="54">
        <f>IF($B1952=0,NA(),IF(Inputs!$B$29&lt;&gt;"Yes",NA(),Inputs!$D$29*Inputs!$C$35))</f>
        <v/>
      </c>
      <c r="AD1952">
        <f>IF($B1952=0,0,IF(Inputs!$B$6="",0,COUNTIFS(Data!$A$10:$A$3209,"&gt;="&amp;$A1952,Data!$A$10:$A$3209,"&lt;"&amp;$A1952+1)))</f>
        <v/>
      </c>
      <c r="AE1952">
        <f>IF($B1952=0,0,IF(Inputs!$B$7="",0,COUNTIFS(Data!$E$10:$E$3209,"&gt;="&amp;$A1952,Data!$E$10:$E$3209,"&lt;"&amp;$A1952+1)))</f>
        <v/>
      </c>
      <c r="AF1952">
        <f>IF($B1952=0,0,IF(Inputs!$B$8="",0,COUNTIFS(Data!$I$10:$I$3209,"&gt;="&amp;$A1952,Data!$I$10:$I$3209,"&lt;"&amp;$A1952+1)))</f>
        <v/>
      </c>
      <c r="AG1952">
        <f>IF($B1952=0,0,IF(Inputs!$B$9="",0,COUNTIFS(Data!$M$10:$M$3209,"&gt;="&amp;$A1952,Data!$M$10:$M$3209,"&lt;"&amp;$A1952+1)))</f>
        <v/>
      </c>
      <c r="AH1952">
        <f>IF($B1952=0,0,IF(Inputs!$B$10="",0,COUNTIFS(Data!$Q$10:$Q$3209,"&gt;="&amp;$A1952,Data!$Q$10:$Q$3209,"&lt;"&amp;$A1952+1)))</f>
        <v/>
      </c>
    </row>
    <row r="1953">
      <c r="A1953" s="55">
        <f>MIN(Inputs!$C$15,$A1952+IF(WEEKDAY($A1952,2)=5,3,1))</f>
        <v/>
      </c>
      <c r="B1953">
        <f>IF($A1953&gt;$A1952,1,0)</f>
        <v/>
      </c>
      <c r="C1953" s="56">
        <f>IF($B1953=0,"",IF(Inputs!$B$6="","",IF($AD1953=0,C1952,SUMIFS(Data!$B$10:$B$3209,Data!$A$10:$A$3209,"&gt;="&amp;$A1953,Data!$A$10:$A$3209,"&lt;"&amp;$A1953+1)/$AD1953)))</f>
        <v/>
      </c>
      <c r="D1953" s="56">
        <f>IF($B1953=0,"",IF(Inputs!$B$7="","",IF($AE1953=0,D1952,SUMIFS(Data!$F$10:$F$3209,Data!$E$10:$E$3209,"&gt;="&amp;$A1953,Data!$E$10:$E$3209,"&lt;"&amp;$A1953+1)/$AE1953)))</f>
        <v/>
      </c>
      <c r="E1953" s="56">
        <f>IF($B1953=0,"",IF(Inputs!$B$8="","",IF($AF1953=0,E1952,SUMIFS(Data!$J$10:$J$3209,Data!$I$10:$I$3209,"&gt;="&amp;$A1953,Data!$I$10:$I$3209,"&lt;"&amp;$A1953+1)/$AF1953)))</f>
        <v/>
      </c>
      <c r="F1953" s="56">
        <f>IF($B1953=0,"",IF(Inputs!$B$9="","",IF($AG1953=0,F1952,SUMIFS(Data!$N$10:$N$3209,Data!$M$10:$M$3209,"&gt;="&amp;$A1953,Data!$M$10:$M$3209,"&lt;"&amp;$A1953+1)/$AG1953)))</f>
        <v/>
      </c>
      <c r="G1953" s="56">
        <f>IF($B1953=0,"",IF(Inputs!$B$10="","",IF($AH1953=0,G1952,SUMIFS(Data!$R$10:$R$3209,Data!$Q$10:$Q$3209,"&gt;="&amp;$A1953,Data!$Q$10:$Q$3209,"&lt;"&amp;$A1953+1)/$AH1953)))</f>
        <v/>
      </c>
      <c r="I1953" s="54">
        <f>IF($B1953=0,NA(),IF($C1953="",NA(),IF(C$8="",NA(),IF(N(C$8)=0,NA(),IF(Inputs!$C$17="Rebased to 100",$C1953/C$8*100,$C1953)))))</f>
        <v/>
      </c>
      <c r="J1953" s="54">
        <f>IF($B1953=0,NA(),IF($D1953="",NA(),IF(D$8="",NA(),IF(N(D$8)=0,NA(),IF(Inputs!$C$17="Rebased to 100",$D1953/D$8*100,$D1953)))))</f>
        <v/>
      </c>
      <c r="K1953" s="54">
        <f>IF($B1953=0,NA(),IF($E1953="",NA(),IF(E$8="",NA(),IF(N(E$8)=0,NA(),IF(Inputs!$C$17="Rebased to 100",$E1953/E$8*100,$E1953)))))</f>
        <v/>
      </c>
      <c r="L1953" s="54">
        <f>IF($B1953=0,NA(),IF($F1953="",NA(),IF(F$8="",NA(),IF(N(F$8)=0,NA(),IF(Inputs!$C$17="Rebased to 100",$F1953/F$8*100,$F1953)))))</f>
        <v/>
      </c>
      <c r="M1953" s="54">
        <f>IF($B1953=0,NA(),IF($G1953="",NA(),IF(G$8="",NA(),IF(N(G$8)=0,NA(),IF(Inputs!$C$17="Rebased to 100",$G1953/G$8*100,$G1953)))))</f>
        <v/>
      </c>
      <c r="N1953" s="54">
        <f>IF($B1953=0,NA(),IF(Inputs!$C$18&lt;&gt;"Yes",NA(),IF(COUNT(I1953,J1953,K1953,L1953,M1953)=0,NA(),MIN(I1953,J1953,K1953,L1953,M1953))))</f>
        <v/>
      </c>
      <c r="O1953" s="54">
        <f>IF($B1953=0,NA(),IF(Inputs!$B$24&lt;&gt;"Yes",NA(),Inputs!$D$24*Inputs!$C$35))</f>
        <v/>
      </c>
      <c r="P1953" s="54">
        <f>IF($B1953=0,NA(),IF(Inputs!$B$25&lt;&gt;"Yes",NA(),Inputs!$D$25*Inputs!$C$35))</f>
        <v/>
      </c>
      <c r="Q1953" s="54">
        <f>IF($B1953=0,NA(),IF(Inputs!$B$26&lt;&gt;"Yes",NA(),Inputs!$D$26*Inputs!$C$35))</f>
        <v/>
      </c>
      <c r="R1953" s="54">
        <f>IF($B1953=0,NA(),IF(Inputs!$B$27&lt;&gt;"Yes",NA(),Inputs!$D$27*Inputs!$C$35))</f>
        <v/>
      </c>
      <c r="S1953" s="54">
        <f>IF($B1953=0,NA(),IF(Inputs!$B$28&lt;&gt;"Yes",NA(),Inputs!$D$28*Inputs!$C$35))</f>
        <v/>
      </c>
      <c r="T1953" s="54">
        <f>IF($B1953=0,NA(),IF(Inputs!$B$29&lt;&gt;"Yes",NA(),Inputs!$D$29*Inputs!$C$35))</f>
        <v/>
      </c>
      <c r="AD1953">
        <f>IF($B1953=0,0,IF(Inputs!$B$6="",0,COUNTIFS(Data!$A$10:$A$3209,"&gt;="&amp;$A1953,Data!$A$10:$A$3209,"&lt;"&amp;$A1953+1)))</f>
        <v/>
      </c>
      <c r="AE1953">
        <f>IF($B1953=0,0,IF(Inputs!$B$7="",0,COUNTIFS(Data!$E$10:$E$3209,"&gt;="&amp;$A1953,Data!$E$10:$E$3209,"&lt;"&amp;$A1953+1)))</f>
        <v/>
      </c>
      <c r="AF1953">
        <f>IF($B1953=0,0,IF(Inputs!$B$8="",0,COUNTIFS(Data!$I$10:$I$3209,"&gt;="&amp;$A1953,Data!$I$10:$I$3209,"&lt;"&amp;$A1953+1)))</f>
        <v/>
      </c>
      <c r="AG1953">
        <f>IF($B1953=0,0,IF(Inputs!$B$9="",0,COUNTIFS(Data!$M$10:$M$3209,"&gt;="&amp;$A1953,Data!$M$10:$M$3209,"&lt;"&amp;$A1953+1)))</f>
        <v/>
      </c>
      <c r="AH1953">
        <f>IF($B1953=0,0,IF(Inputs!$B$10="",0,COUNTIFS(Data!$Q$10:$Q$3209,"&gt;="&amp;$A1953,Data!$Q$10:$Q$3209,"&lt;"&amp;$A1953+1)))</f>
        <v/>
      </c>
    </row>
    <row r="1954">
      <c r="A1954" s="55">
        <f>MIN(Inputs!$C$15,$A1953+IF(WEEKDAY($A1953,2)=5,3,1))</f>
        <v/>
      </c>
      <c r="B1954">
        <f>IF($A1954&gt;$A1953,1,0)</f>
        <v/>
      </c>
      <c r="C1954" s="56">
        <f>IF($B1954=0,"",IF(Inputs!$B$6="","",IF($AD1954=0,C1953,SUMIFS(Data!$B$10:$B$3209,Data!$A$10:$A$3209,"&gt;="&amp;$A1954,Data!$A$10:$A$3209,"&lt;"&amp;$A1954+1)/$AD1954)))</f>
        <v/>
      </c>
      <c r="D1954" s="56">
        <f>IF($B1954=0,"",IF(Inputs!$B$7="","",IF($AE1954=0,D1953,SUMIFS(Data!$F$10:$F$3209,Data!$E$10:$E$3209,"&gt;="&amp;$A1954,Data!$E$10:$E$3209,"&lt;"&amp;$A1954+1)/$AE1954)))</f>
        <v/>
      </c>
      <c r="E1954" s="56">
        <f>IF($B1954=0,"",IF(Inputs!$B$8="","",IF($AF1954=0,E1953,SUMIFS(Data!$J$10:$J$3209,Data!$I$10:$I$3209,"&gt;="&amp;$A1954,Data!$I$10:$I$3209,"&lt;"&amp;$A1954+1)/$AF1954)))</f>
        <v/>
      </c>
      <c r="F1954" s="56">
        <f>IF($B1954=0,"",IF(Inputs!$B$9="","",IF($AG1954=0,F1953,SUMIFS(Data!$N$10:$N$3209,Data!$M$10:$M$3209,"&gt;="&amp;$A1954,Data!$M$10:$M$3209,"&lt;"&amp;$A1954+1)/$AG1954)))</f>
        <v/>
      </c>
      <c r="G1954" s="56">
        <f>IF($B1954=0,"",IF(Inputs!$B$10="","",IF($AH1954=0,G1953,SUMIFS(Data!$R$10:$R$3209,Data!$Q$10:$Q$3209,"&gt;="&amp;$A1954,Data!$Q$10:$Q$3209,"&lt;"&amp;$A1954+1)/$AH1954)))</f>
        <v/>
      </c>
      <c r="I1954" s="54">
        <f>IF($B1954=0,NA(),IF($C1954="",NA(),IF(C$8="",NA(),IF(N(C$8)=0,NA(),IF(Inputs!$C$17="Rebased to 100",$C1954/C$8*100,$C1954)))))</f>
        <v/>
      </c>
      <c r="J1954" s="54">
        <f>IF($B1954=0,NA(),IF($D1954="",NA(),IF(D$8="",NA(),IF(N(D$8)=0,NA(),IF(Inputs!$C$17="Rebased to 100",$D1954/D$8*100,$D1954)))))</f>
        <v/>
      </c>
      <c r="K1954" s="54">
        <f>IF($B1954=0,NA(),IF($E1954="",NA(),IF(E$8="",NA(),IF(N(E$8)=0,NA(),IF(Inputs!$C$17="Rebased to 100",$E1954/E$8*100,$E1954)))))</f>
        <v/>
      </c>
      <c r="L1954" s="54">
        <f>IF($B1954=0,NA(),IF($F1954="",NA(),IF(F$8="",NA(),IF(N(F$8)=0,NA(),IF(Inputs!$C$17="Rebased to 100",$F1954/F$8*100,$F1954)))))</f>
        <v/>
      </c>
      <c r="M1954" s="54">
        <f>IF($B1954=0,NA(),IF($G1954="",NA(),IF(G$8="",NA(),IF(N(G$8)=0,NA(),IF(Inputs!$C$17="Rebased to 100",$G1954/G$8*100,$G1954)))))</f>
        <v/>
      </c>
      <c r="N1954" s="54">
        <f>IF($B1954=0,NA(),IF(Inputs!$C$18&lt;&gt;"Yes",NA(),IF(COUNT(I1954,J1954,K1954,L1954,M1954)=0,NA(),MIN(I1954,J1954,K1954,L1954,M1954))))</f>
        <v/>
      </c>
      <c r="O1954" s="54">
        <f>IF($B1954=0,NA(),IF(Inputs!$B$24&lt;&gt;"Yes",NA(),Inputs!$D$24*Inputs!$C$35))</f>
        <v/>
      </c>
      <c r="P1954" s="54">
        <f>IF($B1954=0,NA(),IF(Inputs!$B$25&lt;&gt;"Yes",NA(),Inputs!$D$25*Inputs!$C$35))</f>
        <v/>
      </c>
      <c r="Q1954" s="54">
        <f>IF($B1954=0,NA(),IF(Inputs!$B$26&lt;&gt;"Yes",NA(),Inputs!$D$26*Inputs!$C$35))</f>
        <v/>
      </c>
      <c r="R1954" s="54">
        <f>IF($B1954=0,NA(),IF(Inputs!$B$27&lt;&gt;"Yes",NA(),Inputs!$D$27*Inputs!$C$35))</f>
        <v/>
      </c>
      <c r="S1954" s="54">
        <f>IF($B1954=0,NA(),IF(Inputs!$B$28&lt;&gt;"Yes",NA(),Inputs!$D$28*Inputs!$C$35))</f>
        <v/>
      </c>
      <c r="T1954" s="54">
        <f>IF($B1954=0,NA(),IF(Inputs!$B$29&lt;&gt;"Yes",NA(),Inputs!$D$29*Inputs!$C$35))</f>
        <v/>
      </c>
      <c r="AD1954">
        <f>IF($B1954=0,0,IF(Inputs!$B$6="",0,COUNTIFS(Data!$A$10:$A$3209,"&gt;="&amp;$A1954,Data!$A$10:$A$3209,"&lt;"&amp;$A1954+1)))</f>
        <v/>
      </c>
      <c r="AE1954">
        <f>IF($B1954=0,0,IF(Inputs!$B$7="",0,COUNTIFS(Data!$E$10:$E$3209,"&gt;="&amp;$A1954,Data!$E$10:$E$3209,"&lt;"&amp;$A1954+1)))</f>
        <v/>
      </c>
      <c r="AF1954">
        <f>IF($B1954=0,0,IF(Inputs!$B$8="",0,COUNTIFS(Data!$I$10:$I$3209,"&gt;="&amp;$A1954,Data!$I$10:$I$3209,"&lt;"&amp;$A1954+1)))</f>
        <v/>
      </c>
      <c r="AG1954">
        <f>IF($B1954=0,0,IF(Inputs!$B$9="",0,COUNTIFS(Data!$M$10:$M$3209,"&gt;="&amp;$A1954,Data!$M$10:$M$3209,"&lt;"&amp;$A1954+1)))</f>
        <v/>
      </c>
      <c r="AH1954">
        <f>IF($B1954=0,0,IF(Inputs!$B$10="",0,COUNTIFS(Data!$Q$10:$Q$3209,"&gt;="&amp;$A1954,Data!$Q$10:$Q$3209,"&lt;"&amp;$A1954+1)))</f>
        <v/>
      </c>
    </row>
    <row r="1955">
      <c r="A1955" s="55">
        <f>MIN(Inputs!$C$15,$A1954+IF(WEEKDAY($A1954,2)=5,3,1))</f>
        <v/>
      </c>
      <c r="B1955">
        <f>IF($A1955&gt;$A1954,1,0)</f>
        <v/>
      </c>
      <c r="C1955" s="56">
        <f>IF($B1955=0,"",IF(Inputs!$B$6="","",IF($AD1955=0,C1954,SUMIFS(Data!$B$10:$B$3209,Data!$A$10:$A$3209,"&gt;="&amp;$A1955,Data!$A$10:$A$3209,"&lt;"&amp;$A1955+1)/$AD1955)))</f>
        <v/>
      </c>
      <c r="D1955" s="56">
        <f>IF($B1955=0,"",IF(Inputs!$B$7="","",IF($AE1955=0,D1954,SUMIFS(Data!$F$10:$F$3209,Data!$E$10:$E$3209,"&gt;="&amp;$A1955,Data!$E$10:$E$3209,"&lt;"&amp;$A1955+1)/$AE1955)))</f>
        <v/>
      </c>
      <c r="E1955" s="56">
        <f>IF($B1955=0,"",IF(Inputs!$B$8="","",IF($AF1955=0,E1954,SUMIFS(Data!$J$10:$J$3209,Data!$I$10:$I$3209,"&gt;="&amp;$A1955,Data!$I$10:$I$3209,"&lt;"&amp;$A1955+1)/$AF1955)))</f>
        <v/>
      </c>
      <c r="F1955" s="56">
        <f>IF($B1955=0,"",IF(Inputs!$B$9="","",IF($AG1955=0,F1954,SUMIFS(Data!$N$10:$N$3209,Data!$M$10:$M$3209,"&gt;="&amp;$A1955,Data!$M$10:$M$3209,"&lt;"&amp;$A1955+1)/$AG1955)))</f>
        <v/>
      </c>
      <c r="G1955" s="56">
        <f>IF($B1955=0,"",IF(Inputs!$B$10="","",IF($AH1955=0,G1954,SUMIFS(Data!$R$10:$R$3209,Data!$Q$10:$Q$3209,"&gt;="&amp;$A1955,Data!$Q$10:$Q$3209,"&lt;"&amp;$A1955+1)/$AH1955)))</f>
        <v/>
      </c>
      <c r="I1955" s="54">
        <f>IF($B1955=0,NA(),IF($C1955="",NA(),IF(C$8="",NA(),IF(N(C$8)=0,NA(),IF(Inputs!$C$17="Rebased to 100",$C1955/C$8*100,$C1955)))))</f>
        <v/>
      </c>
      <c r="J1955" s="54">
        <f>IF($B1955=0,NA(),IF($D1955="",NA(),IF(D$8="",NA(),IF(N(D$8)=0,NA(),IF(Inputs!$C$17="Rebased to 100",$D1955/D$8*100,$D1955)))))</f>
        <v/>
      </c>
      <c r="K1955" s="54">
        <f>IF($B1955=0,NA(),IF($E1955="",NA(),IF(E$8="",NA(),IF(N(E$8)=0,NA(),IF(Inputs!$C$17="Rebased to 100",$E1955/E$8*100,$E1955)))))</f>
        <v/>
      </c>
      <c r="L1955" s="54">
        <f>IF($B1955=0,NA(),IF($F1955="",NA(),IF(F$8="",NA(),IF(N(F$8)=0,NA(),IF(Inputs!$C$17="Rebased to 100",$F1955/F$8*100,$F1955)))))</f>
        <v/>
      </c>
      <c r="M1955" s="54">
        <f>IF($B1955=0,NA(),IF($G1955="",NA(),IF(G$8="",NA(),IF(N(G$8)=0,NA(),IF(Inputs!$C$17="Rebased to 100",$G1955/G$8*100,$G1955)))))</f>
        <v/>
      </c>
      <c r="N1955" s="54">
        <f>IF($B1955=0,NA(),IF(Inputs!$C$18&lt;&gt;"Yes",NA(),IF(COUNT(I1955,J1955,K1955,L1955,M1955)=0,NA(),MIN(I1955,J1955,K1955,L1955,M1955))))</f>
        <v/>
      </c>
      <c r="O1955" s="54">
        <f>IF($B1955=0,NA(),IF(Inputs!$B$24&lt;&gt;"Yes",NA(),Inputs!$D$24*Inputs!$C$35))</f>
        <v/>
      </c>
      <c r="P1955" s="54">
        <f>IF($B1955=0,NA(),IF(Inputs!$B$25&lt;&gt;"Yes",NA(),Inputs!$D$25*Inputs!$C$35))</f>
        <v/>
      </c>
      <c r="Q1955" s="54">
        <f>IF($B1955=0,NA(),IF(Inputs!$B$26&lt;&gt;"Yes",NA(),Inputs!$D$26*Inputs!$C$35))</f>
        <v/>
      </c>
      <c r="R1955" s="54">
        <f>IF($B1955=0,NA(),IF(Inputs!$B$27&lt;&gt;"Yes",NA(),Inputs!$D$27*Inputs!$C$35))</f>
        <v/>
      </c>
      <c r="S1955" s="54">
        <f>IF($B1955=0,NA(),IF(Inputs!$B$28&lt;&gt;"Yes",NA(),Inputs!$D$28*Inputs!$C$35))</f>
        <v/>
      </c>
      <c r="T1955" s="54">
        <f>IF($B1955=0,NA(),IF(Inputs!$B$29&lt;&gt;"Yes",NA(),Inputs!$D$29*Inputs!$C$35))</f>
        <v/>
      </c>
      <c r="AD1955">
        <f>IF($B1955=0,0,IF(Inputs!$B$6="",0,COUNTIFS(Data!$A$10:$A$3209,"&gt;="&amp;$A1955,Data!$A$10:$A$3209,"&lt;"&amp;$A1955+1)))</f>
        <v/>
      </c>
      <c r="AE1955">
        <f>IF($B1955=0,0,IF(Inputs!$B$7="",0,COUNTIFS(Data!$E$10:$E$3209,"&gt;="&amp;$A1955,Data!$E$10:$E$3209,"&lt;"&amp;$A1955+1)))</f>
        <v/>
      </c>
      <c r="AF1955">
        <f>IF($B1955=0,0,IF(Inputs!$B$8="",0,COUNTIFS(Data!$I$10:$I$3209,"&gt;="&amp;$A1955,Data!$I$10:$I$3209,"&lt;"&amp;$A1955+1)))</f>
        <v/>
      </c>
      <c r="AG1955">
        <f>IF($B1955=0,0,IF(Inputs!$B$9="",0,COUNTIFS(Data!$M$10:$M$3209,"&gt;="&amp;$A1955,Data!$M$10:$M$3209,"&lt;"&amp;$A1955+1)))</f>
        <v/>
      </c>
      <c r="AH1955">
        <f>IF($B1955=0,0,IF(Inputs!$B$10="",0,COUNTIFS(Data!$Q$10:$Q$3209,"&gt;="&amp;$A1955,Data!$Q$10:$Q$3209,"&lt;"&amp;$A1955+1)))</f>
        <v/>
      </c>
    </row>
    <row r="1956">
      <c r="A1956" s="55">
        <f>MIN(Inputs!$C$15,$A1955+IF(WEEKDAY($A1955,2)=5,3,1))</f>
        <v/>
      </c>
      <c r="B1956">
        <f>IF($A1956&gt;$A1955,1,0)</f>
        <v/>
      </c>
      <c r="C1956" s="56">
        <f>IF($B1956=0,"",IF(Inputs!$B$6="","",IF($AD1956=0,C1955,SUMIFS(Data!$B$10:$B$3209,Data!$A$10:$A$3209,"&gt;="&amp;$A1956,Data!$A$10:$A$3209,"&lt;"&amp;$A1956+1)/$AD1956)))</f>
        <v/>
      </c>
      <c r="D1956" s="56">
        <f>IF($B1956=0,"",IF(Inputs!$B$7="","",IF($AE1956=0,D1955,SUMIFS(Data!$F$10:$F$3209,Data!$E$10:$E$3209,"&gt;="&amp;$A1956,Data!$E$10:$E$3209,"&lt;"&amp;$A1956+1)/$AE1956)))</f>
        <v/>
      </c>
      <c r="E1956" s="56">
        <f>IF($B1956=0,"",IF(Inputs!$B$8="","",IF($AF1956=0,E1955,SUMIFS(Data!$J$10:$J$3209,Data!$I$10:$I$3209,"&gt;="&amp;$A1956,Data!$I$10:$I$3209,"&lt;"&amp;$A1956+1)/$AF1956)))</f>
        <v/>
      </c>
      <c r="F1956" s="56">
        <f>IF($B1956=0,"",IF(Inputs!$B$9="","",IF($AG1956=0,F1955,SUMIFS(Data!$N$10:$N$3209,Data!$M$10:$M$3209,"&gt;="&amp;$A1956,Data!$M$10:$M$3209,"&lt;"&amp;$A1956+1)/$AG1956)))</f>
        <v/>
      </c>
      <c r="G1956" s="56">
        <f>IF($B1956=0,"",IF(Inputs!$B$10="","",IF($AH1956=0,G1955,SUMIFS(Data!$R$10:$R$3209,Data!$Q$10:$Q$3209,"&gt;="&amp;$A1956,Data!$Q$10:$Q$3209,"&lt;"&amp;$A1956+1)/$AH1956)))</f>
        <v/>
      </c>
      <c r="I1956" s="54">
        <f>IF($B1956=0,NA(),IF($C1956="",NA(),IF(C$8="",NA(),IF(N(C$8)=0,NA(),IF(Inputs!$C$17="Rebased to 100",$C1956/C$8*100,$C1956)))))</f>
        <v/>
      </c>
      <c r="J1956" s="54">
        <f>IF($B1956=0,NA(),IF($D1956="",NA(),IF(D$8="",NA(),IF(N(D$8)=0,NA(),IF(Inputs!$C$17="Rebased to 100",$D1956/D$8*100,$D1956)))))</f>
        <v/>
      </c>
      <c r="K1956" s="54">
        <f>IF($B1956=0,NA(),IF($E1956="",NA(),IF(E$8="",NA(),IF(N(E$8)=0,NA(),IF(Inputs!$C$17="Rebased to 100",$E1956/E$8*100,$E1956)))))</f>
        <v/>
      </c>
      <c r="L1956" s="54">
        <f>IF($B1956=0,NA(),IF($F1956="",NA(),IF(F$8="",NA(),IF(N(F$8)=0,NA(),IF(Inputs!$C$17="Rebased to 100",$F1956/F$8*100,$F1956)))))</f>
        <v/>
      </c>
      <c r="M1956" s="54">
        <f>IF($B1956=0,NA(),IF($G1956="",NA(),IF(G$8="",NA(),IF(N(G$8)=0,NA(),IF(Inputs!$C$17="Rebased to 100",$G1956/G$8*100,$G1956)))))</f>
        <v/>
      </c>
      <c r="N1956" s="54">
        <f>IF($B1956=0,NA(),IF(Inputs!$C$18&lt;&gt;"Yes",NA(),IF(COUNT(I1956,J1956,K1956,L1956,M1956)=0,NA(),MIN(I1956,J1956,K1956,L1956,M1956))))</f>
        <v/>
      </c>
      <c r="O1956" s="54">
        <f>IF($B1956=0,NA(),IF(Inputs!$B$24&lt;&gt;"Yes",NA(),Inputs!$D$24*Inputs!$C$35))</f>
        <v/>
      </c>
      <c r="P1956" s="54">
        <f>IF($B1956=0,NA(),IF(Inputs!$B$25&lt;&gt;"Yes",NA(),Inputs!$D$25*Inputs!$C$35))</f>
        <v/>
      </c>
      <c r="Q1956" s="54">
        <f>IF($B1956=0,NA(),IF(Inputs!$B$26&lt;&gt;"Yes",NA(),Inputs!$D$26*Inputs!$C$35))</f>
        <v/>
      </c>
      <c r="R1956" s="54">
        <f>IF($B1956=0,NA(),IF(Inputs!$B$27&lt;&gt;"Yes",NA(),Inputs!$D$27*Inputs!$C$35))</f>
        <v/>
      </c>
      <c r="S1956" s="54">
        <f>IF($B1956=0,NA(),IF(Inputs!$B$28&lt;&gt;"Yes",NA(),Inputs!$D$28*Inputs!$C$35))</f>
        <v/>
      </c>
      <c r="T1956" s="54">
        <f>IF($B1956=0,NA(),IF(Inputs!$B$29&lt;&gt;"Yes",NA(),Inputs!$D$29*Inputs!$C$35))</f>
        <v/>
      </c>
      <c r="AD1956">
        <f>IF($B1956=0,0,IF(Inputs!$B$6="",0,COUNTIFS(Data!$A$10:$A$3209,"&gt;="&amp;$A1956,Data!$A$10:$A$3209,"&lt;"&amp;$A1956+1)))</f>
        <v/>
      </c>
      <c r="AE1956">
        <f>IF($B1956=0,0,IF(Inputs!$B$7="",0,COUNTIFS(Data!$E$10:$E$3209,"&gt;="&amp;$A1956,Data!$E$10:$E$3209,"&lt;"&amp;$A1956+1)))</f>
        <v/>
      </c>
      <c r="AF1956">
        <f>IF($B1956=0,0,IF(Inputs!$B$8="",0,COUNTIFS(Data!$I$10:$I$3209,"&gt;="&amp;$A1956,Data!$I$10:$I$3209,"&lt;"&amp;$A1956+1)))</f>
        <v/>
      </c>
      <c r="AG1956">
        <f>IF($B1956=0,0,IF(Inputs!$B$9="",0,COUNTIFS(Data!$M$10:$M$3209,"&gt;="&amp;$A1956,Data!$M$10:$M$3209,"&lt;"&amp;$A1956+1)))</f>
        <v/>
      </c>
      <c r="AH1956">
        <f>IF($B1956=0,0,IF(Inputs!$B$10="",0,COUNTIFS(Data!$Q$10:$Q$3209,"&gt;="&amp;$A1956,Data!$Q$10:$Q$3209,"&lt;"&amp;$A1956+1)))</f>
        <v/>
      </c>
    </row>
    <row r="1957">
      <c r="A1957" s="55">
        <f>MIN(Inputs!$C$15,$A1956+IF(WEEKDAY($A1956,2)=5,3,1))</f>
        <v/>
      </c>
      <c r="B1957">
        <f>IF($A1957&gt;$A1956,1,0)</f>
        <v/>
      </c>
      <c r="C1957" s="56">
        <f>IF($B1957=0,"",IF(Inputs!$B$6="","",IF($AD1957=0,C1956,SUMIFS(Data!$B$10:$B$3209,Data!$A$10:$A$3209,"&gt;="&amp;$A1957,Data!$A$10:$A$3209,"&lt;"&amp;$A1957+1)/$AD1957)))</f>
        <v/>
      </c>
      <c r="D1957" s="56">
        <f>IF($B1957=0,"",IF(Inputs!$B$7="","",IF($AE1957=0,D1956,SUMIFS(Data!$F$10:$F$3209,Data!$E$10:$E$3209,"&gt;="&amp;$A1957,Data!$E$10:$E$3209,"&lt;"&amp;$A1957+1)/$AE1957)))</f>
        <v/>
      </c>
      <c r="E1957" s="56">
        <f>IF($B1957=0,"",IF(Inputs!$B$8="","",IF($AF1957=0,E1956,SUMIFS(Data!$J$10:$J$3209,Data!$I$10:$I$3209,"&gt;="&amp;$A1957,Data!$I$10:$I$3209,"&lt;"&amp;$A1957+1)/$AF1957)))</f>
        <v/>
      </c>
      <c r="F1957" s="56">
        <f>IF($B1957=0,"",IF(Inputs!$B$9="","",IF($AG1957=0,F1956,SUMIFS(Data!$N$10:$N$3209,Data!$M$10:$M$3209,"&gt;="&amp;$A1957,Data!$M$10:$M$3209,"&lt;"&amp;$A1957+1)/$AG1957)))</f>
        <v/>
      </c>
      <c r="G1957" s="56">
        <f>IF($B1957=0,"",IF(Inputs!$B$10="","",IF($AH1957=0,G1956,SUMIFS(Data!$R$10:$R$3209,Data!$Q$10:$Q$3209,"&gt;="&amp;$A1957,Data!$Q$10:$Q$3209,"&lt;"&amp;$A1957+1)/$AH1957)))</f>
        <v/>
      </c>
      <c r="I1957" s="54">
        <f>IF($B1957=0,NA(),IF($C1957="",NA(),IF(C$8="",NA(),IF(N(C$8)=0,NA(),IF(Inputs!$C$17="Rebased to 100",$C1957/C$8*100,$C1957)))))</f>
        <v/>
      </c>
      <c r="J1957" s="54">
        <f>IF($B1957=0,NA(),IF($D1957="",NA(),IF(D$8="",NA(),IF(N(D$8)=0,NA(),IF(Inputs!$C$17="Rebased to 100",$D1957/D$8*100,$D1957)))))</f>
        <v/>
      </c>
      <c r="K1957" s="54">
        <f>IF($B1957=0,NA(),IF($E1957="",NA(),IF(E$8="",NA(),IF(N(E$8)=0,NA(),IF(Inputs!$C$17="Rebased to 100",$E1957/E$8*100,$E1957)))))</f>
        <v/>
      </c>
      <c r="L1957" s="54">
        <f>IF($B1957=0,NA(),IF($F1957="",NA(),IF(F$8="",NA(),IF(N(F$8)=0,NA(),IF(Inputs!$C$17="Rebased to 100",$F1957/F$8*100,$F1957)))))</f>
        <v/>
      </c>
      <c r="M1957" s="54">
        <f>IF($B1957=0,NA(),IF($G1957="",NA(),IF(G$8="",NA(),IF(N(G$8)=0,NA(),IF(Inputs!$C$17="Rebased to 100",$G1957/G$8*100,$G1957)))))</f>
        <v/>
      </c>
      <c r="N1957" s="54">
        <f>IF($B1957=0,NA(),IF(Inputs!$C$18&lt;&gt;"Yes",NA(),IF(COUNT(I1957,J1957,K1957,L1957,M1957)=0,NA(),MIN(I1957,J1957,K1957,L1957,M1957))))</f>
        <v/>
      </c>
      <c r="O1957" s="54">
        <f>IF($B1957=0,NA(),IF(Inputs!$B$24&lt;&gt;"Yes",NA(),Inputs!$D$24*Inputs!$C$35))</f>
        <v/>
      </c>
      <c r="P1957" s="54">
        <f>IF($B1957=0,NA(),IF(Inputs!$B$25&lt;&gt;"Yes",NA(),Inputs!$D$25*Inputs!$C$35))</f>
        <v/>
      </c>
      <c r="Q1957" s="54">
        <f>IF($B1957=0,NA(),IF(Inputs!$B$26&lt;&gt;"Yes",NA(),Inputs!$D$26*Inputs!$C$35))</f>
        <v/>
      </c>
      <c r="R1957" s="54">
        <f>IF($B1957=0,NA(),IF(Inputs!$B$27&lt;&gt;"Yes",NA(),Inputs!$D$27*Inputs!$C$35))</f>
        <v/>
      </c>
      <c r="S1957" s="54">
        <f>IF($B1957=0,NA(),IF(Inputs!$B$28&lt;&gt;"Yes",NA(),Inputs!$D$28*Inputs!$C$35))</f>
        <v/>
      </c>
      <c r="T1957" s="54">
        <f>IF($B1957=0,NA(),IF(Inputs!$B$29&lt;&gt;"Yes",NA(),Inputs!$D$29*Inputs!$C$35))</f>
        <v/>
      </c>
      <c r="AD1957">
        <f>IF($B1957=0,0,IF(Inputs!$B$6="",0,COUNTIFS(Data!$A$10:$A$3209,"&gt;="&amp;$A1957,Data!$A$10:$A$3209,"&lt;"&amp;$A1957+1)))</f>
        <v/>
      </c>
      <c r="AE1957">
        <f>IF($B1957=0,0,IF(Inputs!$B$7="",0,COUNTIFS(Data!$E$10:$E$3209,"&gt;="&amp;$A1957,Data!$E$10:$E$3209,"&lt;"&amp;$A1957+1)))</f>
        <v/>
      </c>
      <c r="AF1957">
        <f>IF($B1957=0,0,IF(Inputs!$B$8="",0,COUNTIFS(Data!$I$10:$I$3209,"&gt;="&amp;$A1957,Data!$I$10:$I$3209,"&lt;"&amp;$A1957+1)))</f>
        <v/>
      </c>
      <c r="AG1957">
        <f>IF($B1957=0,0,IF(Inputs!$B$9="",0,COUNTIFS(Data!$M$10:$M$3209,"&gt;="&amp;$A1957,Data!$M$10:$M$3209,"&lt;"&amp;$A1957+1)))</f>
        <v/>
      </c>
      <c r="AH1957">
        <f>IF($B1957=0,0,IF(Inputs!$B$10="",0,COUNTIFS(Data!$Q$10:$Q$3209,"&gt;="&amp;$A1957,Data!$Q$10:$Q$3209,"&lt;"&amp;$A1957+1)))</f>
        <v/>
      </c>
    </row>
    <row r="1958">
      <c r="A1958" s="55">
        <f>MIN(Inputs!$C$15,$A1957+IF(WEEKDAY($A1957,2)=5,3,1))</f>
        <v/>
      </c>
      <c r="B1958">
        <f>IF($A1958&gt;$A1957,1,0)</f>
        <v/>
      </c>
      <c r="C1958" s="56">
        <f>IF($B1958=0,"",IF(Inputs!$B$6="","",IF($AD1958=0,C1957,SUMIFS(Data!$B$10:$B$3209,Data!$A$10:$A$3209,"&gt;="&amp;$A1958,Data!$A$10:$A$3209,"&lt;"&amp;$A1958+1)/$AD1958)))</f>
        <v/>
      </c>
      <c r="D1958" s="56">
        <f>IF($B1958=0,"",IF(Inputs!$B$7="","",IF($AE1958=0,D1957,SUMIFS(Data!$F$10:$F$3209,Data!$E$10:$E$3209,"&gt;="&amp;$A1958,Data!$E$10:$E$3209,"&lt;"&amp;$A1958+1)/$AE1958)))</f>
        <v/>
      </c>
      <c r="E1958" s="56">
        <f>IF($B1958=0,"",IF(Inputs!$B$8="","",IF($AF1958=0,E1957,SUMIFS(Data!$J$10:$J$3209,Data!$I$10:$I$3209,"&gt;="&amp;$A1958,Data!$I$10:$I$3209,"&lt;"&amp;$A1958+1)/$AF1958)))</f>
        <v/>
      </c>
      <c r="F1958" s="56">
        <f>IF($B1958=0,"",IF(Inputs!$B$9="","",IF($AG1958=0,F1957,SUMIFS(Data!$N$10:$N$3209,Data!$M$10:$M$3209,"&gt;="&amp;$A1958,Data!$M$10:$M$3209,"&lt;"&amp;$A1958+1)/$AG1958)))</f>
        <v/>
      </c>
      <c r="G1958" s="56">
        <f>IF($B1958=0,"",IF(Inputs!$B$10="","",IF($AH1958=0,G1957,SUMIFS(Data!$R$10:$R$3209,Data!$Q$10:$Q$3209,"&gt;="&amp;$A1958,Data!$Q$10:$Q$3209,"&lt;"&amp;$A1958+1)/$AH1958)))</f>
        <v/>
      </c>
      <c r="I1958" s="54">
        <f>IF($B1958=0,NA(),IF($C1958="",NA(),IF(C$8="",NA(),IF(N(C$8)=0,NA(),IF(Inputs!$C$17="Rebased to 100",$C1958/C$8*100,$C1958)))))</f>
        <v/>
      </c>
      <c r="J1958" s="54">
        <f>IF($B1958=0,NA(),IF($D1958="",NA(),IF(D$8="",NA(),IF(N(D$8)=0,NA(),IF(Inputs!$C$17="Rebased to 100",$D1958/D$8*100,$D1958)))))</f>
        <v/>
      </c>
      <c r="K1958" s="54">
        <f>IF($B1958=0,NA(),IF($E1958="",NA(),IF(E$8="",NA(),IF(N(E$8)=0,NA(),IF(Inputs!$C$17="Rebased to 100",$E1958/E$8*100,$E1958)))))</f>
        <v/>
      </c>
      <c r="L1958" s="54">
        <f>IF($B1958=0,NA(),IF($F1958="",NA(),IF(F$8="",NA(),IF(N(F$8)=0,NA(),IF(Inputs!$C$17="Rebased to 100",$F1958/F$8*100,$F1958)))))</f>
        <v/>
      </c>
      <c r="M1958" s="54">
        <f>IF($B1958=0,NA(),IF($G1958="",NA(),IF(G$8="",NA(),IF(N(G$8)=0,NA(),IF(Inputs!$C$17="Rebased to 100",$G1958/G$8*100,$G1958)))))</f>
        <v/>
      </c>
      <c r="N1958" s="54">
        <f>IF($B1958=0,NA(),IF(Inputs!$C$18&lt;&gt;"Yes",NA(),IF(COUNT(I1958,J1958,K1958,L1958,M1958)=0,NA(),MIN(I1958,J1958,K1958,L1958,M1958))))</f>
        <v/>
      </c>
      <c r="O1958" s="54">
        <f>IF($B1958=0,NA(),IF(Inputs!$B$24&lt;&gt;"Yes",NA(),Inputs!$D$24*Inputs!$C$35))</f>
        <v/>
      </c>
      <c r="P1958" s="54">
        <f>IF($B1958=0,NA(),IF(Inputs!$B$25&lt;&gt;"Yes",NA(),Inputs!$D$25*Inputs!$C$35))</f>
        <v/>
      </c>
      <c r="Q1958" s="54">
        <f>IF($B1958=0,NA(),IF(Inputs!$B$26&lt;&gt;"Yes",NA(),Inputs!$D$26*Inputs!$C$35))</f>
        <v/>
      </c>
      <c r="R1958" s="54">
        <f>IF($B1958=0,NA(),IF(Inputs!$B$27&lt;&gt;"Yes",NA(),Inputs!$D$27*Inputs!$C$35))</f>
        <v/>
      </c>
      <c r="S1958" s="54">
        <f>IF($B1958=0,NA(),IF(Inputs!$B$28&lt;&gt;"Yes",NA(),Inputs!$D$28*Inputs!$C$35))</f>
        <v/>
      </c>
      <c r="T1958" s="54">
        <f>IF($B1958=0,NA(),IF(Inputs!$B$29&lt;&gt;"Yes",NA(),Inputs!$D$29*Inputs!$C$35))</f>
        <v/>
      </c>
      <c r="AD1958">
        <f>IF($B1958=0,0,IF(Inputs!$B$6="",0,COUNTIFS(Data!$A$10:$A$3209,"&gt;="&amp;$A1958,Data!$A$10:$A$3209,"&lt;"&amp;$A1958+1)))</f>
        <v/>
      </c>
      <c r="AE1958">
        <f>IF($B1958=0,0,IF(Inputs!$B$7="",0,COUNTIFS(Data!$E$10:$E$3209,"&gt;="&amp;$A1958,Data!$E$10:$E$3209,"&lt;"&amp;$A1958+1)))</f>
        <v/>
      </c>
      <c r="AF1958">
        <f>IF($B1958=0,0,IF(Inputs!$B$8="",0,COUNTIFS(Data!$I$10:$I$3209,"&gt;="&amp;$A1958,Data!$I$10:$I$3209,"&lt;"&amp;$A1958+1)))</f>
        <v/>
      </c>
      <c r="AG1958">
        <f>IF($B1958=0,0,IF(Inputs!$B$9="",0,COUNTIFS(Data!$M$10:$M$3209,"&gt;="&amp;$A1958,Data!$M$10:$M$3209,"&lt;"&amp;$A1958+1)))</f>
        <v/>
      </c>
      <c r="AH1958">
        <f>IF($B1958=0,0,IF(Inputs!$B$10="",0,COUNTIFS(Data!$Q$10:$Q$3209,"&gt;="&amp;$A1958,Data!$Q$10:$Q$3209,"&lt;"&amp;$A1958+1)))</f>
        <v/>
      </c>
    </row>
    <row r="1959">
      <c r="A1959" s="55">
        <f>MIN(Inputs!$C$15,$A1958+IF(WEEKDAY($A1958,2)=5,3,1))</f>
        <v/>
      </c>
      <c r="B1959">
        <f>IF($A1959&gt;$A1958,1,0)</f>
        <v/>
      </c>
      <c r="C1959" s="56">
        <f>IF($B1959=0,"",IF(Inputs!$B$6="","",IF($AD1959=0,C1958,SUMIFS(Data!$B$10:$B$3209,Data!$A$10:$A$3209,"&gt;="&amp;$A1959,Data!$A$10:$A$3209,"&lt;"&amp;$A1959+1)/$AD1959)))</f>
        <v/>
      </c>
      <c r="D1959" s="56">
        <f>IF($B1959=0,"",IF(Inputs!$B$7="","",IF($AE1959=0,D1958,SUMIFS(Data!$F$10:$F$3209,Data!$E$10:$E$3209,"&gt;="&amp;$A1959,Data!$E$10:$E$3209,"&lt;"&amp;$A1959+1)/$AE1959)))</f>
        <v/>
      </c>
      <c r="E1959" s="56">
        <f>IF($B1959=0,"",IF(Inputs!$B$8="","",IF($AF1959=0,E1958,SUMIFS(Data!$J$10:$J$3209,Data!$I$10:$I$3209,"&gt;="&amp;$A1959,Data!$I$10:$I$3209,"&lt;"&amp;$A1959+1)/$AF1959)))</f>
        <v/>
      </c>
      <c r="F1959" s="56">
        <f>IF($B1959=0,"",IF(Inputs!$B$9="","",IF($AG1959=0,F1958,SUMIFS(Data!$N$10:$N$3209,Data!$M$10:$M$3209,"&gt;="&amp;$A1959,Data!$M$10:$M$3209,"&lt;"&amp;$A1959+1)/$AG1959)))</f>
        <v/>
      </c>
      <c r="G1959" s="56">
        <f>IF($B1959=0,"",IF(Inputs!$B$10="","",IF($AH1959=0,G1958,SUMIFS(Data!$R$10:$R$3209,Data!$Q$10:$Q$3209,"&gt;="&amp;$A1959,Data!$Q$10:$Q$3209,"&lt;"&amp;$A1959+1)/$AH1959)))</f>
        <v/>
      </c>
      <c r="I1959" s="54">
        <f>IF($B1959=0,NA(),IF($C1959="",NA(),IF(C$8="",NA(),IF(N(C$8)=0,NA(),IF(Inputs!$C$17="Rebased to 100",$C1959/C$8*100,$C1959)))))</f>
        <v/>
      </c>
      <c r="J1959" s="54">
        <f>IF($B1959=0,NA(),IF($D1959="",NA(),IF(D$8="",NA(),IF(N(D$8)=0,NA(),IF(Inputs!$C$17="Rebased to 100",$D1959/D$8*100,$D1959)))))</f>
        <v/>
      </c>
      <c r="K1959" s="54">
        <f>IF($B1959=0,NA(),IF($E1959="",NA(),IF(E$8="",NA(),IF(N(E$8)=0,NA(),IF(Inputs!$C$17="Rebased to 100",$E1959/E$8*100,$E1959)))))</f>
        <v/>
      </c>
      <c r="L1959" s="54">
        <f>IF($B1959=0,NA(),IF($F1959="",NA(),IF(F$8="",NA(),IF(N(F$8)=0,NA(),IF(Inputs!$C$17="Rebased to 100",$F1959/F$8*100,$F1959)))))</f>
        <v/>
      </c>
      <c r="M1959" s="54">
        <f>IF($B1959=0,NA(),IF($G1959="",NA(),IF(G$8="",NA(),IF(N(G$8)=0,NA(),IF(Inputs!$C$17="Rebased to 100",$G1959/G$8*100,$G1959)))))</f>
        <v/>
      </c>
      <c r="N1959" s="54">
        <f>IF($B1959=0,NA(),IF(Inputs!$C$18&lt;&gt;"Yes",NA(),IF(COUNT(I1959,J1959,K1959,L1959,M1959)=0,NA(),MIN(I1959,J1959,K1959,L1959,M1959))))</f>
        <v/>
      </c>
      <c r="O1959" s="54">
        <f>IF($B1959=0,NA(),IF(Inputs!$B$24&lt;&gt;"Yes",NA(),Inputs!$D$24*Inputs!$C$35))</f>
        <v/>
      </c>
      <c r="P1959" s="54">
        <f>IF($B1959=0,NA(),IF(Inputs!$B$25&lt;&gt;"Yes",NA(),Inputs!$D$25*Inputs!$C$35))</f>
        <v/>
      </c>
      <c r="Q1959" s="54">
        <f>IF($B1959=0,NA(),IF(Inputs!$B$26&lt;&gt;"Yes",NA(),Inputs!$D$26*Inputs!$C$35))</f>
        <v/>
      </c>
      <c r="R1959" s="54">
        <f>IF($B1959=0,NA(),IF(Inputs!$B$27&lt;&gt;"Yes",NA(),Inputs!$D$27*Inputs!$C$35))</f>
        <v/>
      </c>
      <c r="S1959" s="54">
        <f>IF($B1959=0,NA(),IF(Inputs!$B$28&lt;&gt;"Yes",NA(),Inputs!$D$28*Inputs!$C$35))</f>
        <v/>
      </c>
      <c r="T1959" s="54">
        <f>IF($B1959=0,NA(),IF(Inputs!$B$29&lt;&gt;"Yes",NA(),Inputs!$D$29*Inputs!$C$35))</f>
        <v/>
      </c>
      <c r="AD1959">
        <f>IF($B1959=0,0,IF(Inputs!$B$6="",0,COUNTIFS(Data!$A$10:$A$3209,"&gt;="&amp;$A1959,Data!$A$10:$A$3209,"&lt;"&amp;$A1959+1)))</f>
        <v/>
      </c>
      <c r="AE1959">
        <f>IF($B1959=0,0,IF(Inputs!$B$7="",0,COUNTIFS(Data!$E$10:$E$3209,"&gt;="&amp;$A1959,Data!$E$10:$E$3209,"&lt;"&amp;$A1959+1)))</f>
        <v/>
      </c>
      <c r="AF1959">
        <f>IF($B1959=0,0,IF(Inputs!$B$8="",0,COUNTIFS(Data!$I$10:$I$3209,"&gt;="&amp;$A1959,Data!$I$10:$I$3209,"&lt;"&amp;$A1959+1)))</f>
        <v/>
      </c>
      <c r="AG1959">
        <f>IF($B1959=0,0,IF(Inputs!$B$9="",0,COUNTIFS(Data!$M$10:$M$3209,"&gt;="&amp;$A1959,Data!$M$10:$M$3209,"&lt;"&amp;$A1959+1)))</f>
        <v/>
      </c>
      <c r="AH1959">
        <f>IF($B1959=0,0,IF(Inputs!$B$10="",0,COUNTIFS(Data!$Q$10:$Q$3209,"&gt;="&amp;$A1959,Data!$Q$10:$Q$3209,"&lt;"&amp;$A1959+1)))</f>
        <v/>
      </c>
    </row>
    <row r="1960">
      <c r="A1960" s="55">
        <f>MIN(Inputs!$C$15,$A1959+IF(WEEKDAY($A1959,2)=5,3,1))</f>
        <v/>
      </c>
      <c r="B1960">
        <f>IF($A1960&gt;$A1959,1,0)</f>
        <v/>
      </c>
      <c r="C1960" s="56">
        <f>IF($B1960=0,"",IF(Inputs!$B$6="","",IF($AD1960=0,C1959,SUMIFS(Data!$B$10:$B$3209,Data!$A$10:$A$3209,"&gt;="&amp;$A1960,Data!$A$10:$A$3209,"&lt;"&amp;$A1960+1)/$AD1960)))</f>
        <v/>
      </c>
      <c r="D1960" s="56">
        <f>IF($B1960=0,"",IF(Inputs!$B$7="","",IF($AE1960=0,D1959,SUMIFS(Data!$F$10:$F$3209,Data!$E$10:$E$3209,"&gt;="&amp;$A1960,Data!$E$10:$E$3209,"&lt;"&amp;$A1960+1)/$AE1960)))</f>
        <v/>
      </c>
      <c r="E1960" s="56">
        <f>IF($B1960=0,"",IF(Inputs!$B$8="","",IF($AF1960=0,E1959,SUMIFS(Data!$J$10:$J$3209,Data!$I$10:$I$3209,"&gt;="&amp;$A1960,Data!$I$10:$I$3209,"&lt;"&amp;$A1960+1)/$AF1960)))</f>
        <v/>
      </c>
      <c r="F1960" s="56">
        <f>IF($B1960=0,"",IF(Inputs!$B$9="","",IF($AG1960=0,F1959,SUMIFS(Data!$N$10:$N$3209,Data!$M$10:$M$3209,"&gt;="&amp;$A1960,Data!$M$10:$M$3209,"&lt;"&amp;$A1960+1)/$AG1960)))</f>
        <v/>
      </c>
      <c r="G1960" s="56">
        <f>IF($B1960=0,"",IF(Inputs!$B$10="","",IF($AH1960=0,G1959,SUMIFS(Data!$R$10:$R$3209,Data!$Q$10:$Q$3209,"&gt;="&amp;$A1960,Data!$Q$10:$Q$3209,"&lt;"&amp;$A1960+1)/$AH1960)))</f>
        <v/>
      </c>
      <c r="I1960" s="54">
        <f>IF($B1960=0,NA(),IF($C1960="",NA(),IF(C$8="",NA(),IF(N(C$8)=0,NA(),IF(Inputs!$C$17="Rebased to 100",$C1960/C$8*100,$C1960)))))</f>
        <v/>
      </c>
      <c r="J1960" s="54">
        <f>IF($B1960=0,NA(),IF($D1960="",NA(),IF(D$8="",NA(),IF(N(D$8)=0,NA(),IF(Inputs!$C$17="Rebased to 100",$D1960/D$8*100,$D1960)))))</f>
        <v/>
      </c>
      <c r="K1960" s="54">
        <f>IF($B1960=0,NA(),IF($E1960="",NA(),IF(E$8="",NA(),IF(N(E$8)=0,NA(),IF(Inputs!$C$17="Rebased to 100",$E1960/E$8*100,$E1960)))))</f>
        <v/>
      </c>
      <c r="L1960" s="54">
        <f>IF($B1960=0,NA(),IF($F1960="",NA(),IF(F$8="",NA(),IF(N(F$8)=0,NA(),IF(Inputs!$C$17="Rebased to 100",$F1960/F$8*100,$F1960)))))</f>
        <v/>
      </c>
      <c r="M1960" s="54">
        <f>IF($B1960=0,NA(),IF($G1960="",NA(),IF(G$8="",NA(),IF(N(G$8)=0,NA(),IF(Inputs!$C$17="Rebased to 100",$G1960/G$8*100,$G1960)))))</f>
        <v/>
      </c>
      <c r="N1960" s="54">
        <f>IF($B1960=0,NA(),IF(Inputs!$C$18&lt;&gt;"Yes",NA(),IF(COUNT(I1960,J1960,K1960,L1960,M1960)=0,NA(),MIN(I1960,J1960,K1960,L1960,M1960))))</f>
        <v/>
      </c>
      <c r="O1960" s="54">
        <f>IF($B1960=0,NA(),IF(Inputs!$B$24&lt;&gt;"Yes",NA(),Inputs!$D$24*Inputs!$C$35))</f>
        <v/>
      </c>
      <c r="P1960" s="54">
        <f>IF($B1960=0,NA(),IF(Inputs!$B$25&lt;&gt;"Yes",NA(),Inputs!$D$25*Inputs!$C$35))</f>
        <v/>
      </c>
      <c r="Q1960" s="54">
        <f>IF($B1960=0,NA(),IF(Inputs!$B$26&lt;&gt;"Yes",NA(),Inputs!$D$26*Inputs!$C$35))</f>
        <v/>
      </c>
      <c r="R1960" s="54">
        <f>IF($B1960=0,NA(),IF(Inputs!$B$27&lt;&gt;"Yes",NA(),Inputs!$D$27*Inputs!$C$35))</f>
        <v/>
      </c>
      <c r="S1960" s="54">
        <f>IF($B1960=0,NA(),IF(Inputs!$B$28&lt;&gt;"Yes",NA(),Inputs!$D$28*Inputs!$C$35))</f>
        <v/>
      </c>
      <c r="T1960" s="54">
        <f>IF($B1960=0,NA(),IF(Inputs!$B$29&lt;&gt;"Yes",NA(),Inputs!$D$29*Inputs!$C$35))</f>
        <v/>
      </c>
      <c r="AD1960">
        <f>IF($B1960=0,0,IF(Inputs!$B$6="",0,COUNTIFS(Data!$A$10:$A$3209,"&gt;="&amp;$A1960,Data!$A$10:$A$3209,"&lt;"&amp;$A1960+1)))</f>
        <v/>
      </c>
      <c r="AE1960">
        <f>IF($B1960=0,0,IF(Inputs!$B$7="",0,COUNTIFS(Data!$E$10:$E$3209,"&gt;="&amp;$A1960,Data!$E$10:$E$3209,"&lt;"&amp;$A1960+1)))</f>
        <v/>
      </c>
      <c r="AF1960">
        <f>IF($B1960=0,0,IF(Inputs!$B$8="",0,COUNTIFS(Data!$I$10:$I$3209,"&gt;="&amp;$A1960,Data!$I$10:$I$3209,"&lt;"&amp;$A1960+1)))</f>
        <v/>
      </c>
      <c r="AG1960">
        <f>IF($B1960=0,0,IF(Inputs!$B$9="",0,COUNTIFS(Data!$M$10:$M$3209,"&gt;="&amp;$A1960,Data!$M$10:$M$3209,"&lt;"&amp;$A1960+1)))</f>
        <v/>
      </c>
      <c r="AH1960">
        <f>IF($B1960=0,0,IF(Inputs!$B$10="",0,COUNTIFS(Data!$Q$10:$Q$3209,"&gt;="&amp;$A1960,Data!$Q$10:$Q$3209,"&lt;"&amp;$A1960+1)))</f>
        <v/>
      </c>
    </row>
    <row r="1961">
      <c r="A1961" s="55">
        <f>MIN(Inputs!$C$15,$A1960+IF(WEEKDAY($A1960,2)=5,3,1))</f>
        <v/>
      </c>
      <c r="B1961">
        <f>IF($A1961&gt;$A1960,1,0)</f>
        <v/>
      </c>
      <c r="C1961" s="56">
        <f>IF($B1961=0,"",IF(Inputs!$B$6="","",IF($AD1961=0,C1960,SUMIFS(Data!$B$10:$B$3209,Data!$A$10:$A$3209,"&gt;="&amp;$A1961,Data!$A$10:$A$3209,"&lt;"&amp;$A1961+1)/$AD1961)))</f>
        <v/>
      </c>
      <c r="D1961" s="56">
        <f>IF($B1961=0,"",IF(Inputs!$B$7="","",IF($AE1961=0,D1960,SUMIFS(Data!$F$10:$F$3209,Data!$E$10:$E$3209,"&gt;="&amp;$A1961,Data!$E$10:$E$3209,"&lt;"&amp;$A1961+1)/$AE1961)))</f>
        <v/>
      </c>
      <c r="E1961" s="56">
        <f>IF($B1961=0,"",IF(Inputs!$B$8="","",IF($AF1961=0,E1960,SUMIFS(Data!$J$10:$J$3209,Data!$I$10:$I$3209,"&gt;="&amp;$A1961,Data!$I$10:$I$3209,"&lt;"&amp;$A1961+1)/$AF1961)))</f>
        <v/>
      </c>
      <c r="F1961" s="56">
        <f>IF($B1961=0,"",IF(Inputs!$B$9="","",IF($AG1961=0,F1960,SUMIFS(Data!$N$10:$N$3209,Data!$M$10:$M$3209,"&gt;="&amp;$A1961,Data!$M$10:$M$3209,"&lt;"&amp;$A1961+1)/$AG1961)))</f>
        <v/>
      </c>
      <c r="G1961" s="56">
        <f>IF($B1961=0,"",IF(Inputs!$B$10="","",IF($AH1961=0,G1960,SUMIFS(Data!$R$10:$R$3209,Data!$Q$10:$Q$3209,"&gt;="&amp;$A1961,Data!$Q$10:$Q$3209,"&lt;"&amp;$A1961+1)/$AH1961)))</f>
        <v/>
      </c>
      <c r="I1961" s="54">
        <f>IF($B1961=0,NA(),IF($C1961="",NA(),IF(C$8="",NA(),IF(N(C$8)=0,NA(),IF(Inputs!$C$17="Rebased to 100",$C1961/C$8*100,$C1961)))))</f>
        <v/>
      </c>
      <c r="J1961" s="54">
        <f>IF($B1961=0,NA(),IF($D1961="",NA(),IF(D$8="",NA(),IF(N(D$8)=0,NA(),IF(Inputs!$C$17="Rebased to 100",$D1961/D$8*100,$D1961)))))</f>
        <v/>
      </c>
      <c r="K1961" s="54">
        <f>IF($B1961=0,NA(),IF($E1961="",NA(),IF(E$8="",NA(),IF(N(E$8)=0,NA(),IF(Inputs!$C$17="Rebased to 100",$E1961/E$8*100,$E1961)))))</f>
        <v/>
      </c>
      <c r="L1961" s="54">
        <f>IF($B1961=0,NA(),IF($F1961="",NA(),IF(F$8="",NA(),IF(N(F$8)=0,NA(),IF(Inputs!$C$17="Rebased to 100",$F1961/F$8*100,$F1961)))))</f>
        <v/>
      </c>
      <c r="M1961" s="54">
        <f>IF($B1961=0,NA(),IF($G1961="",NA(),IF(G$8="",NA(),IF(N(G$8)=0,NA(),IF(Inputs!$C$17="Rebased to 100",$G1961/G$8*100,$G1961)))))</f>
        <v/>
      </c>
      <c r="N1961" s="54">
        <f>IF($B1961=0,NA(),IF(Inputs!$C$18&lt;&gt;"Yes",NA(),IF(COUNT(I1961,J1961,K1961,L1961,M1961)=0,NA(),MIN(I1961,J1961,K1961,L1961,M1961))))</f>
        <v/>
      </c>
      <c r="O1961" s="54">
        <f>IF($B1961=0,NA(),IF(Inputs!$B$24&lt;&gt;"Yes",NA(),Inputs!$D$24*Inputs!$C$35))</f>
        <v/>
      </c>
      <c r="P1961" s="54">
        <f>IF($B1961=0,NA(),IF(Inputs!$B$25&lt;&gt;"Yes",NA(),Inputs!$D$25*Inputs!$C$35))</f>
        <v/>
      </c>
      <c r="Q1961" s="54">
        <f>IF($B1961=0,NA(),IF(Inputs!$B$26&lt;&gt;"Yes",NA(),Inputs!$D$26*Inputs!$C$35))</f>
        <v/>
      </c>
      <c r="R1961" s="54">
        <f>IF($B1961=0,NA(),IF(Inputs!$B$27&lt;&gt;"Yes",NA(),Inputs!$D$27*Inputs!$C$35))</f>
        <v/>
      </c>
      <c r="S1961" s="54">
        <f>IF($B1961=0,NA(),IF(Inputs!$B$28&lt;&gt;"Yes",NA(),Inputs!$D$28*Inputs!$C$35))</f>
        <v/>
      </c>
      <c r="T1961" s="54">
        <f>IF($B1961=0,NA(),IF(Inputs!$B$29&lt;&gt;"Yes",NA(),Inputs!$D$29*Inputs!$C$35))</f>
        <v/>
      </c>
      <c r="AD1961">
        <f>IF($B1961=0,0,IF(Inputs!$B$6="",0,COUNTIFS(Data!$A$10:$A$3209,"&gt;="&amp;$A1961,Data!$A$10:$A$3209,"&lt;"&amp;$A1961+1)))</f>
        <v/>
      </c>
      <c r="AE1961">
        <f>IF($B1961=0,0,IF(Inputs!$B$7="",0,COUNTIFS(Data!$E$10:$E$3209,"&gt;="&amp;$A1961,Data!$E$10:$E$3209,"&lt;"&amp;$A1961+1)))</f>
        <v/>
      </c>
      <c r="AF1961">
        <f>IF($B1961=0,0,IF(Inputs!$B$8="",0,COUNTIFS(Data!$I$10:$I$3209,"&gt;="&amp;$A1961,Data!$I$10:$I$3209,"&lt;"&amp;$A1961+1)))</f>
        <v/>
      </c>
      <c r="AG1961">
        <f>IF($B1961=0,0,IF(Inputs!$B$9="",0,COUNTIFS(Data!$M$10:$M$3209,"&gt;="&amp;$A1961,Data!$M$10:$M$3209,"&lt;"&amp;$A1961+1)))</f>
        <v/>
      </c>
      <c r="AH1961">
        <f>IF($B1961=0,0,IF(Inputs!$B$10="",0,COUNTIFS(Data!$Q$10:$Q$3209,"&gt;="&amp;$A1961,Data!$Q$10:$Q$3209,"&lt;"&amp;$A1961+1)))</f>
        <v/>
      </c>
    </row>
    <row r="1962">
      <c r="A1962" s="55">
        <f>MIN(Inputs!$C$15,$A1961+IF(WEEKDAY($A1961,2)=5,3,1))</f>
        <v/>
      </c>
      <c r="B1962">
        <f>IF($A1962&gt;$A1961,1,0)</f>
        <v/>
      </c>
      <c r="C1962" s="56">
        <f>IF($B1962=0,"",IF(Inputs!$B$6="","",IF($AD1962=0,C1961,SUMIFS(Data!$B$10:$B$3209,Data!$A$10:$A$3209,"&gt;="&amp;$A1962,Data!$A$10:$A$3209,"&lt;"&amp;$A1962+1)/$AD1962)))</f>
        <v/>
      </c>
      <c r="D1962" s="56">
        <f>IF($B1962=0,"",IF(Inputs!$B$7="","",IF($AE1962=0,D1961,SUMIFS(Data!$F$10:$F$3209,Data!$E$10:$E$3209,"&gt;="&amp;$A1962,Data!$E$10:$E$3209,"&lt;"&amp;$A1962+1)/$AE1962)))</f>
        <v/>
      </c>
      <c r="E1962" s="56">
        <f>IF($B1962=0,"",IF(Inputs!$B$8="","",IF($AF1962=0,E1961,SUMIFS(Data!$J$10:$J$3209,Data!$I$10:$I$3209,"&gt;="&amp;$A1962,Data!$I$10:$I$3209,"&lt;"&amp;$A1962+1)/$AF1962)))</f>
        <v/>
      </c>
      <c r="F1962" s="56">
        <f>IF($B1962=0,"",IF(Inputs!$B$9="","",IF($AG1962=0,F1961,SUMIFS(Data!$N$10:$N$3209,Data!$M$10:$M$3209,"&gt;="&amp;$A1962,Data!$M$10:$M$3209,"&lt;"&amp;$A1962+1)/$AG1962)))</f>
        <v/>
      </c>
      <c r="G1962" s="56">
        <f>IF($B1962=0,"",IF(Inputs!$B$10="","",IF($AH1962=0,G1961,SUMIFS(Data!$R$10:$R$3209,Data!$Q$10:$Q$3209,"&gt;="&amp;$A1962,Data!$Q$10:$Q$3209,"&lt;"&amp;$A1962+1)/$AH1962)))</f>
        <v/>
      </c>
      <c r="I1962" s="54">
        <f>IF($B1962=0,NA(),IF($C1962="",NA(),IF(C$8="",NA(),IF(N(C$8)=0,NA(),IF(Inputs!$C$17="Rebased to 100",$C1962/C$8*100,$C1962)))))</f>
        <v/>
      </c>
      <c r="J1962" s="54">
        <f>IF($B1962=0,NA(),IF($D1962="",NA(),IF(D$8="",NA(),IF(N(D$8)=0,NA(),IF(Inputs!$C$17="Rebased to 100",$D1962/D$8*100,$D1962)))))</f>
        <v/>
      </c>
      <c r="K1962" s="54">
        <f>IF($B1962=0,NA(),IF($E1962="",NA(),IF(E$8="",NA(),IF(N(E$8)=0,NA(),IF(Inputs!$C$17="Rebased to 100",$E1962/E$8*100,$E1962)))))</f>
        <v/>
      </c>
      <c r="L1962" s="54">
        <f>IF($B1962=0,NA(),IF($F1962="",NA(),IF(F$8="",NA(),IF(N(F$8)=0,NA(),IF(Inputs!$C$17="Rebased to 100",$F1962/F$8*100,$F1962)))))</f>
        <v/>
      </c>
      <c r="M1962" s="54">
        <f>IF($B1962=0,NA(),IF($G1962="",NA(),IF(G$8="",NA(),IF(N(G$8)=0,NA(),IF(Inputs!$C$17="Rebased to 100",$G1962/G$8*100,$G1962)))))</f>
        <v/>
      </c>
      <c r="N1962" s="54">
        <f>IF($B1962=0,NA(),IF(Inputs!$C$18&lt;&gt;"Yes",NA(),IF(COUNT(I1962,J1962,K1962,L1962,M1962)=0,NA(),MIN(I1962,J1962,K1962,L1962,M1962))))</f>
        <v/>
      </c>
      <c r="O1962" s="54">
        <f>IF($B1962=0,NA(),IF(Inputs!$B$24&lt;&gt;"Yes",NA(),Inputs!$D$24*Inputs!$C$35))</f>
        <v/>
      </c>
      <c r="P1962" s="54">
        <f>IF($B1962=0,NA(),IF(Inputs!$B$25&lt;&gt;"Yes",NA(),Inputs!$D$25*Inputs!$C$35))</f>
        <v/>
      </c>
      <c r="Q1962" s="54">
        <f>IF($B1962=0,NA(),IF(Inputs!$B$26&lt;&gt;"Yes",NA(),Inputs!$D$26*Inputs!$C$35))</f>
        <v/>
      </c>
      <c r="R1962" s="54">
        <f>IF($B1962=0,NA(),IF(Inputs!$B$27&lt;&gt;"Yes",NA(),Inputs!$D$27*Inputs!$C$35))</f>
        <v/>
      </c>
      <c r="S1962" s="54">
        <f>IF($B1962=0,NA(),IF(Inputs!$B$28&lt;&gt;"Yes",NA(),Inputs!$D$28*Inputs!$C$35))</f>
        <v/>
      </c>
      <c r="T1962" s="54">
        <f>IF($B1962=0,NA(),IF(Inputs!$B$29&lt;&gt;"Yes",NA(),Inputs!$D$29*Inputs!$C$35))</f>
        <v/>
      </c>
      <c r="AD1962">
        <f>IF($B1962=0,0,IF(Inputs!$B$6="",0,COUNTIFS(Data!$A$10:$A$3209,"&gt;="&amp;$A1962,Data!$A$10:$A$3209,"&lt;"&amp;$A1962+1)))</f>
        <v/>
      </c>
      <c r="AE1962">
        <f>IF($B1962=0,0,IF(Inputs!$B$7="",0,COUNTIFS(Data!$E$10:$E$3209,"&gt;="&amp;$A1962,Data!$E$10:$E$3209,"&lt;"&amp;$A1962+1)))</f>
        <v/>
      </c>
      <c r="AF1962">
        <f>IF($B1962=0,0,IF(Inputs!$B$8="",0,COUNTIFS(Data!$I$10:$I$3209,"&gt;="&amp;$A1962,Data!$I$10:$I$3209,"&lt;"&amp;$A1962+1)))</f>
        <v/>
      </c>
      <c r="AG1962">
        <f>IF($B1962=0,0,IF(Inputs!$B$9="",0,COUNTIFS(Data!$M$10:$M$3209,"&gt;="&amp;$A1962,Data!$M$10:$M$3209,"&lt;"&amp;$A1962+1)))</f>
        <v/>
      </c>
      <c r="AH1962">
        <f>IF($B1962=0,0,IF(Inputs!$B$10="",0,COUNTIFS(Data!$Q$10:$Q$3209,"&gt;="&amp;$A1962,Data!$Q$10:$Q$3209,"&lt;"&amp;$A1962+1)))</f>
        <v/>
      </c>
    </row>
    <row r="1963">
      <c r="A1963" s="55">
        <f>MIN(Inputs!$C$15,$A1962+IF(WEEKDAY($A1962,2)=5,3,1))</f>
        <v/>
      </c>
      <c r="B1963">
        <f>IF($A1963&gt;$A1962,1,0)</f>
        <v/>
      </c>
      <c r="C1963" s="56">
        <f>IF($B1963=0,"",IF(Inputs!$B$6="","",IF($AD1963=0,C1962,SUMIFS(Data!$B$10:$B$3209,Data!$A$10:$A$3209,"&gt;="&amp;$A1963,Data!$A$10:$A$3209,"&lt;"&amp;$A1963+1)/$AD1963)))</f>
        <v/>
      </c>
      <c r="D1963" s="56">
        <f>IF($B1963=0,"",IF(Inputs!$B$7="","",IF($AE1963=0,D1962,SUMIFS(Data!$F$10:$F$3209,Data!$E$10:$E$3209,"&gt;="&amp;$A1963,Data!$E$10:$E$3209,"&lt;"&amp;$A1963+1)/$AE1963)))</f>
        <v/>
      </c>
      <c r="E1963" s="56">
        <f>IF($B1963=0,"",IF(Inputs!$B$8="","",IF($AF1963=0,E1962,SUMIFS(Data!$J$10:$J$3209,Data!$I$10:$I$3209,"&gt;="&amp;$A1963,Data!$I$10:$I$3209,"&lt;"&amp;$A1963+1)/$AF1963)))</f>
        <v/>
      </c>
      <c r="F1963" s="56">
        <f>IF($B1963=0,"",IF(Inputs!$B$9="","",IF($AG1963=0,F1962,SUMIFS(Data!$N$10:$N$3209,Data!$M$10:$M$3209,"&gt;="&amp;$A1963,Data!$M$10:$M$3209,"&lt;"&amp;$A1963+1)/$AG1963)))</f>
        <v/>
      </c>
      <c r="G1963" s="56">
        <f>IF($B1963=0,"",IF(Inputs!$B$10="","",IF($AH1963=0,G1962,SUMIFS(Data!$R$10:$R$3209,Data!$Q$10:$Q$3209,"&gt;="&amp;$A1963,Data!$Q$10:$Q$3209,"&lt;"&amp;$A1963+1)/$AH1963)))</f>
        <v/>
      </c>
      <c r="I1963" s="54">
        <f>IF($B1963=0,NA(),IF($C1963="",NA(),IF(C$8="",NA(),IF(N(C$8)=0,NA(),IF(Inputs!$C$17="Rebased to 100",$C1963/C$8*100,$C1963)))))</f>
        <v/>
      </c>
      <c r="J1963" s="54">
        <f>IF($B1963=0,NA(),IF($D1963="",NA(),IF(D$8="",NA(),IF(N(D$8)=0,NA(),IF(Inputs!$C$17="Rebased to 100",$D1963/D$8*100,$D1963)))))</f>
        <v/>
      </c>
      <c r="K1963" s="54">
        <f>IF($B1963=0,NA(),IF($E1963="",NA(),IF(E$8="",NA(),IF(N(E$8)=0,NA(),IF(Inputs!$C$17="Rebased to 100",$E1963/E$8*100,$E1963)))))</f>
        <v/>
      </c>
      <c r="L1963" s="54">
        <f>IF($B1963=0,NA(),IF($F1963="",NA(),IF(F$8="",NA(),IF(N(F$8)=0,NA(),IF(Inputs!$C$17="Rebased to 100",$F1963/F$8*100,$F1963)))))</f>
        <v/>
      </c>
      <c r="M1963" s="54">
        <f>IF($B1963=0,NA(),IF($G1963="",NA(),IF(G$8="",NA(),IF(N(G$8)=0,NA(),IF(Inputs!$C$17="Rebased to 100",$G1963/G$8*100,$G1963)))))</f>
        <v/>
      </c>
      <c r="N1963" s="54">
        <f>IF($B1963=0,NA(),IF(Inputs!$C$18&lt;&gt;"Yes",NA(),IF(COUNT(I1963,J1963,K1963,L1963,M1963)=0,NA(),MIN(I1963,J1963,K1963,L1963,M1963))))</f>
        <v/>
      </c>
      <c r="O1963" s="54">
        <f>IF($B1963=0,NA(),IF(Inputs!$B$24&lt;&gt;"Yes",NA(),Inputs!$D$24*Inputs!$C$35))</f>
        <v/>
      </c>
      <c r="P1963" s="54">
        <f>IF($B1963=0,NA(),IF(Inputs!$B$25&lt;&gt;"Yes",NA(),Inputs!$D$25*Inputs!$C$35))</f>
        <v/>
      </c>
      <c r="Q1963" s="54">
        <f>IF($B1963=0,NA(),IF(Inputs!$B$26&lt;&gt;"Yes",NA(),Inputs!$D$26*Inputs!$C$35))</f>
        <v/>
      </c>
      <c r="R1963" s="54">
        <f>IF($B1963=0,NA(),IF(Inputs!$B$27&lt;&gt;"Yes",NA(),Inputs!$D$27*Inputs!$C$35))</f>
        <v/>
      </c>
      <c r="S1963" s="54">
        <f>IF($B1963=0,NA(),IF(Inputs!$B$28&lt;&gt;"Yes",NA(),Inputs!$D$28*Inputs!$C$35))</f>
        <v/>
      </c>
      <c r="T1963" s="54">
        <f>IF($B1963=0,NA(),IF(Inputs!$B$29&lt;&gt;"Yes",NA(),Inputs!$D$29*Inputs!$C$35))</f>
        <v/>
      </c>
      <c r="AD1963">
        <f>IF($B1963=0,0,IF(Inputs!$B$6="",0,COUNTIFS(Data!$A$10:$A$3209,"&gt;="&amp;$A1963,Data!$A$10:$A$3209,"&lt;"&amp;$A1963+1)))</f>
        <v/>
      </c>
      <c r="AE1963">
        <f>IF($B1963=0,0,IF(Inputs!$B$7="",0,COUNTIFS(Data!$E$10:$E$3209,"&gt;="&amp;$A1963,Data!$E$10:$E$3209,"&lt;"&amp;$A1963+1)))</f>
        <v/>
      </c>
      <c r="AF1963">
        <f>IF($B1963=0,0,IF(Inputs!$B$8="",0,COUNTIFS(Data!$I$10:$I$3209,"&gt;="&amp;$A1963,Data!$I$10:$I$3209,"&lt;"&amp;$A1963+1)))</f>
        <v/>
      </c>
      <c r="AG1963">
        <f>IF($B1963=0,0,IF(Inputs!$B$9="",0,COUNTIFS(Data!$M$10:$M$3209,"&gt;="&amp;$A1963,Data!$M$10:$M$3209,"&lt;"&amp;$A1963+1)))</f>
        <v/>
      </c>
      <c r="AH1963">
        <f>IF($B1963=0,0,IF(Inputs!$B$10="",0,COUNTIFS(Data!$Q$10:$Q$3209,"&gt;="&amp;$A1963,Data!$Q$10:$Q$3209,"&lt;"&amp;$A1963+1)))</f>
        <v/>
      </c>
    </row>
    <row r="1964">
      <c r="A1964" s="55">
        <f>MIN(Inputs!$C$15,$A1963+IF(WEEKDAY($A1963,2)=5,3,1))</f>
        <v/>
      </c>
      <c r="B1964">
        <f>IF($A1964&gt;$A1963,1,0)</f>
        <v/>
      </c>
      <c r="C1964" s="56">
        <f>IF($B1964=0,"",IF(Inputs!$B$6="","",IF($AD1964=0,C1963,SUMIFS(Data!$B$10:$B$3209,Data!$A$10:$A$3209,"&gt;="&amp;$A1964,Data!$A$10:$A$3209,"&lt;"&amp;$A1964+1)/$AD1964)))</f>
        <v/>
      </c>
      <c r="D1964" s="56">
        <f>IF($B1964=0,"",IF(Inputs!$B$7="","",IF($AE1964=0,D1963,SUMIFS(Data!$F$10:$F$3209,Data!$E$10:$E$3209,"&gt;="&amp;$A1964,Data!$E$10:$E$3209,"&lt;"&amp;$A1964+1)/$AE1964)))</f>
        <v/>
      </c>
      <c r="E1964" s="56">
        <f>IF($B1964=0,"",IF(Inputs!$B$8="","",IF($AF1964=0,E1963,SUMIFS(Data!$J$10:$J$3209,Data!$I$10:$I$3209,"&gt;="&amp;$A1964,Data!$I$10:$I$3209,"&lt;"&amp;$A1964+1)/$AF1964)))</f>
        <v/>
      </c>
      <c r="F1964" s="56">
        <f>IF($B1964=0,"",IF(Inputs!$B$9="","",IF($AG1964=0,F1963,SUMIFS(Data!$N$10:$N$3209,Data!$M$10:$M$3209,"&gt;="&amp;$A1964,Data!$M$10:$M$3209,"&lt;"&amp;$A1964+1)/$AG1964)))</f>
        <v/>
      </c>
      <c r="G1964" s="56">
        <f>IF($B1964=0,"",IF(Inputs!$B$10="","",IF($AH1964=0,G1963,SUMIFS(Data!$R$10:$R$3209,Data!$Q$10:$Q$3209,"&gt;="&amp;$A1964,Data!$Q$10:$Q$3209,"&lt;"&amp;$A1964+1)/$AH1964)))</f>
        <v/>
      </c>
      <c r="I1964" s="54">
        <f>IF($B1964=0,NA(),IF($C1964="",NA(),IF(C$8="",NA(),IF(N(C$8)=0,NA(),IF(Inputs!$C$17="Rebased to 100",$C1964/C$8*100,$C1964)))))</f>
        <v/>
      </c>
      <c r="J1964" s="54">
        <f>IF($B1964=0,NA(),IF($D1964="",NA(),IF(D$8="",NA(),IF(N(D$8)=0,NA(),IF(Inputs!$C$17="Rebased to 100",$D1964/D$8*100,$D1964)))))</f>
        <v/>
      </c>
      <c r="K1964" s="54">
        <f>IF($B1964=0,NA(),IF($E1964="",NA(),IF(E$8="",NA(),IF(N(E$8)=0,NA(),IF(Inputs!$C$17="Rebased to 100",$E1964/E$8*100,$E1964)))))</f>
        <v/>
      </c>
      <c r="L1964" s="54">
        <f>IF($B1964=0,NA(),IF($F1964="",NA(),IF(F$8="",NA(),IF(N(F$8)=0,NA(),IF(Inputs!$C$17="Rebased to 100",$F1964/F$8*100,$F1964)))))</f>
        <v/>
      </c>
      <c r="M1964" s="54">
        <f>IF($B1964=0,NA(),IF($G1964="",NA(),IF(G$8="",NA(),IF(N(G$8)=0,NA(),IF(Inputs!$C$17="Rebased to 100",$G1964/G$8*100,$G1964)))))</f>
        <v/>
      </c>
      <c r="N1964" s="54">
        <f>IF($B1964=0,NA(),IF(Inputs!$C$18&lt;&gt;"Yes",NA(),IF(COUNT(I1964,J1964,K1964,L1964,M1964)=0,NA(),MIN(I1964,J1964,K1964,L1964,M1964))))</f>
        <v/>
      </c>
      <c r="O1964" s="54">
        <f>IF($B1964=0,NA(),IF(Inputs!$B$24&lt;&gt;"Yes",NA(),Inputs!$D$24*Inputs!$C$35))</f>
        <v/>
      </c>
      <c r="P1964" s="54">
        <f>IF($B1964=0,NA(),IF(Inputs!$B$25&lt;&gt;"Yes",NA(),Inputs!$D$25*Inputs!$C$35))</f>
        <v/>
      </c>
      <c r="Q1964" s="54">
        <f>IF($B1964=0,NA(),IF(Inputs!$B$26&lt;&gt;"Yes",NA(),Inputs!$D$26*Inputs!$C$35))</f>
        <v/>
      </c>
      <c r="R1964" s="54">
        <f>IF($B1964=0,NA(),IF(Inputs!$B$27&lt;&gt;"Yes",NA(),Inputs!$D$27*Inputs!$C$35))</f>
        <v/>
      </c>
      <c r="S1964" s="54">
        <f>IF($B1964=0,NA(),IF(Inputs!$B$28&lt;&gt;"Yes",NA(),Inputs!$D$28*Inputs!$C$35))</f>
        <v/>
      </c>
      <c r="T1964" s="54">
        <f>IF($B1964=0,NA(),IF(Inputs!$B$29&lt;&gt;"Yes",NA(),Inputs!$D$29*Inputs!$C$35))</f>
        <v/>
      </c>
      <c r="AD1964">
        <f>IF($B1964=0,0,IF(Inputs!$B$6="",0,COUNTIFS(Data!$A$10:$A$3209,"&gt;="&amp;$A1964,Data!$A$10:$A$3209,"&lt;"&amp;$A1964+1)))</f>
        <v/>
      </c>
      <c r="AE1964">
        <f>IF($B1964=0,0,IF(Inputs!$B$7="",0,COUNTIFS(Data!$E$10:$E$3209,"&gt;="&amp;$A1964,Data!$E$10:$E$3209,"&lt;"&amp;$A1964+1)))</f>
        <v/>
      </c>
      <c r="AF1964">
        <f>IF($B1964=0,0,IF(Inputs!$B$8="",0,COUNTIFS(Data!$I$10:$I$3209,"&gt;="&amp;$A1964,Data!$I$10:$I$3209,"&lt;"&amp;$A1964+1)))</f>
        <v/>
      </c>
      <c r="AG1964">
        <f>IF($B1964=0,0,IF(Inputs!$B$9="",0,COUNTIFS(Data!$M$10:$M$3209,"&gt;="&amp;$A1964,Data!$M$10:$M$3209,"&lt;"&amp;$A1964+1)))</f>
        <v/>
      </c>
      <c r="AH1964">
        <f>IF($B1964=0,0,IF(Inputs!$B$10="",0,COUNTIFS(Data!$Q$10:$Q$3209,"&gt;="&amp;$A1964,Data!$Q$10:$Q$3209,"&lt;"&amp;$A1964+1)))</f>
        <v/>
      </c>
    </row>
    <row r="1965">
      <c r="A1965" s="55">
        <f>MIN(Inputs!$C$15,$A1964+IF(WEEKDAY($A1964,2)=5,3,1))</f>
        <v/>
      </c>
      <c r="B1965">
        <f>IF($A1965&gt;$A1964,1,0)</f>
        <v/>
      </c>
      <c r="C1965" s="56">
        <f>IF($B1965=0,"",IF(Inputs!$B$6="","",IF($AD1965=0,C1964,SUMIFS(Data!$B$10:$B$3209,Data!$A$10:$A$3209,"&gt;="&amp;$A1965,Data!$A$10:$A$3209,"&lt;"&amp;$A1965+1)/$AD1965)))</f>
        <v/>
      </c>
      <c r="D1965" s="56">
        <f>IF($B1965=0,"",IF(Inputs!$B$7="","",IF($AE1965=0,D1964,SUMIFS(Data!$F$10:$F$3209,Data!$E$10:$E$3209,"&gt;="&amp;$A1965,Data!$E$10:$E$3209,"&lt;"&amp;$A1965+1)/$AE1965)))</f>
        <v/>
      </c>
      <c r="E1965" s="56">
        <f>IF($B1965=0,"",IF(Inputs!$B$8="","",IF($AF1965=0,E1964,SUMIFS(Data!$J$10:$J$3209,Data!$I$10:$I$3209,"&gt;="&amp;$A1965,Data!$I$10:$I$3209,"&lt;"&amp;$A1965+1)/$AF1965)))</f>
        <v/>
      </c>
      <c r="F1965" s="56">
        <f>IF($B1965=0,"",IF(Inputs!$B$9="","",IF($AG1965=0,F1964,SUMIFS(Data!$N$10:$N$3209,Data!$M$10:$M$3209,"&gt;="&amp;$A1965,Data!$M$10:$M$3209,"&lt;"&amp;$A1965+1)/$AG1965)))</f>
        <v/>
      </c>
      <c r="G1965" s="56">
        <f>IF($B1965=0,"",IF(Inputs!$B$10="","",IF($AH1965=0,G1964,SUMIFS(Data!$R$10:$R$3209,Data!$Q$10:$Q$3209,"&gt;="&amp;$A1965,Data!$Q$10:$Q$3209,"&lt;"&amp;$A1965+1)/$AH1965)))</f>
        <v/>
      </c>
      <c r="I1965" s="54">
        <f>IF($B1965=0,NA(),IF($C1965="",NA(),IF(C$8="",NA(),IF(N(C$8)=0,NA(),IF(Inputs!$C$17="Rebased to 100",$C1965/C$8*100,$C1965)))))</f>
        <v/>
      </c>
      <c r="J1965" s="54">
        <f>IF($B1965=0,NA(),IF($D1965="",NA(),IF(D$8="",NA(),IF(N(D$8)=0,NA(),IF(Inputs!$C$17="Rebased to 100",$D1965/D$8*100,$D1965)))))</f>
        <v/>
      </c>
      <c r="K1965" s="54">
        <f>IF($B1965=0,NA(),IF($E1965="",NA(),IF(E$8="",NA(),IF(N(E$8)=0,NA(),IF(Inputs!$C$17="Rebased to 100",$E1965/E$8*100,$E1965)))))</f>
        <v/>
      </c>
      <c r="L1965" s="54">
        <f>IF($B1965=0,NA(),IF($F1965="",NA(),IF(F$8="",NA(),IF(N(F$8)=0,NA(),IF(Inputs!$C$17="Rebased to 100",$F1965/F$8*100,$F1965)))))</f>
        <v/>
      </c>
      <c r="M1965" s="54">
        <f>IF($B1965=0,NA(),IF($G1965="",NA(),IF(G$8="",NA(),IF(N(G$8)=0,NA(),IF(Inputs!$C$17="Rebased to 100",$G1965/G$8*100,$G1965)))))</f>
        <v/>
      </c>
      <c r="N1965" s="54">
        <f>IF($B1965=0,NA(),IF(Inputs!$C$18&lt;&gt;"Yes",NA(),IF(COUNT(I1965,J1965,K1965,L1965,M1965)=0,NA(),MIN(I1965,J1965,K1965,L1965,M1965))))</f>
        <v/>
      </c>
      <c r="O1965" s="54">
        <f>IF($B1965=0,NA(),IF(Inputs!$B$24&lt;&gt;"Yes",NA(),Inputs!$D$24*Inputs!$C$35))</f>
        <v/>
      </c>
      <c r="P1965" s="54">
        <f>IF($B1965=0,NA(),IF(Inputs!$B$25&lt;&gt;"Yes",NA(),Inputs!$D$25*Inputs!$C$35))</f>
        <v/>
      </c>
      <c r="Q1965" s="54">
        <f>IF($B1965=0,NA(),IF(Inputs!$B$26&lt;&gt;"Yes",NA(),Inputs!$D$26*Inputs!$C$35))</f>
        <v/>
      </c>
      <c r="R1965" s="54">
        <f>IF($B1965=0,NA(),IF(Inputs!$B$27&lt;&gt;"Yes",NA(),Inputs!$D$27*Inputs!$C$35))</f>
        <v/>
      </c>
      <c r="S1965" s="54">
        <f>IF($B1965=0,NA(),IF(Inputs!$B$28&lt;&gt;"Yes",NA(),Inputs!$D$28*Inputs!$C$35))</f>
        <v/>
      </c>
      <c r="T1965" s="54">
        <f>IF($B1965=0,NA(),IF(Inputs!$B$29&lt;&gt;"Yes",NA(),Inputs!$D$29*Inputs!$C$35))</f>
        <v/>
      </c>
      <c r="AD1965">
        <f>IF($B1965=0,0,IF(Inputs!$B$6="",0,COUNTIFS(Data!$A$10:$A$3209,"&gt;="&amp;$A1965,Data!$A$10:$A$3209,"&lt;"&amp;$A1965+1)))</f>
        <v/>
      </c>
      <c r="AE1965">
        <f>IF($B1965=0,0,IF(Inputs!$B$7="",0,COUNTIFS(Data!$E$10:$E$3209,"&gt;="&amp;$A1965,Data!$E$10:$E$3209,"&lt;"&amp;$A1965+1)))</f>
        <v/>
      </c>
      <c r="AF1965">
        <f>IF($B1965=0,0,IF(Inputs!$B$8="",0,COUNTIFS(Data!$I$10:$I$3209,"&gt;="&amp;$A1965,Data!$I$10:$I$3209,"&lt;"&amp;$A1965+1)))</f>
        <v/>
      </c>
      <c r="AG1965">
        <f>IF($B1965=0,0,IF(Inputs!$B$9="",0,COUNTIFS(Data!$M$10:$M$3209,"&gt;="&amp;$A1965,Data!$M$10:$M$3209,"&lt;"&amp;$A1965+1)))</f>
        <v/>
      </c>
      <c r="AH1965">
        <f>IF($B1965=0,0,IF(Inputs!$B$10="",0,COUNTIFS(Data!$Q$10:$Q$3209,"&gt;="&amp;$A1965,Data!$Q$10:$Q$3209,"&lt;"&amp;$A1965+1)))</f>
        <v/>
      </c>
    </row>
    <row r="1966">
      <c r="A1966" s="55">
        <f>MIN(Inputs!$C$15,$A1965+IF(WEEKDAY($A1965,2)=5,3,1))</f>
        <v/>
      </c>
      <c r="B1966">
        <f>IF($A1966&gt;$A1965,1,0)</f>
        <v/>
      </c>
      <c r="C1966" s="56">
        <f>IF($B1966=0,"",IF(Inputs!$B$6="","",IF($AD1966=0,C1965,SUMIFS(Data!$B$10:$B$3209,Data!$A$10:$A$3209,"&gt;="&amp;$A1966,Data!$A$10:$A$3209,"&lt;"&amp;$A1966+1)/$AD1966)))</f>
        <v/>
      </c>
      <c r="D1966" s="56">
        <f>IF($B1966=0,"",IF(Inputs!$B$7="","",IF($AE1966=0,D1965,SUMIFS(Data!$F$10:$F$3209,Data!$E$10:$E$3209,"&gt;="&amp;$A1966,Data!$E$10:$E$3209,"&lt;"&amp;$A1966+1)/$AE1966)))</f>
        <v/>
      </c>
      <c r="E1966" s="56">
        <f>IF($B1966=0,"",IF(Inputs!$B$8="","",IF($AF1966=0,E1965,SUMIFS(Data!$J$10:$J$3209,Data!$I$10:$I$3209,"&gt;="&amp;$A1966,Data!$I$10:$I$3209,"&lt;"&amp;$A1966+1)/$AF1966)))</f>
        <v/>
      </c>
      <c r="F1966" s="56">
        <f>IF($B1966=0,"",IF(Inputs!$B$9="","",IF($AG1966=0,F1965,SUMIFS(Data!$N$10:$N$3209,Data!$M$10:$M$3209,"&gt;="&amp;$A1966,Data!$M$10:$M$3209,"&lt;"&amp;$A1966+1)/$AG1966)))</f>
        <v/>
      </c>
      <c r="G1966" s="56">
        <f>IF($B1966=0,"",IF(Inputs!$B$10="","",IF($AH1966=0,G1965,SUMIFS(Data!$R$10:$R$3209,Data!$Q$10:$Q$3209,"&gt;="&amp;$A1966,Data!$Q$10:$Q$3209,"&lt;"&amp;$A1966+1)/$AH1966)))</f>
        <v/>
      </c>
      <c r="I1966" s="54">
        <f>IF($B1966=0,NA(),IF($C1966="",NA(),IF(C$8="",NA(),IF(N(C$8)=0,NA(),IF(Inputs!$C$17="Rebased to 100",$C1966/C$8*100,$C1966)))))</f>
        <v/>
      </c>
      <c r="J1966" s="54">
        <f>IF($B1966=0,NA(),IF($D1966="",NA(),IF(D$8="",NA(),IF(N(D$8)=0,NA(),IF(Inputs!$C$17="Rebased to 100",$D1966/D$8*100,$D1966)))))</f>
        <v/>
      </c>
      <c r="K1966" s="54">
        <f>IF($B1966=0,NA(),IF($E1966="",NA(),IF(E$8="",NA(),IF(N(E$8)=0,NA(),IF(Inputs!$C$17="Rebased to 100",$E1966/E$8*100,$E1966)))))</f>
        <v/>
      </c>
      <c r="L1966" s="54">
        <f>IF($B1966=0,NA(),IF($F1966="",NA(),IF(F$8="",NA(),IF(N(F$8)=0,NA(),IF(Inputs!$C$17="Rebased to 100",$F1966/F$8*100,$F1966)))))</f>
        <v/>
      </c>
      <c r="M1966" s="54">
        <f>IF($B1966=0,NA(),IF($G1966="",NA(),IF(G$8="",NA(),IF(N(G$8)=0,NA(),IF(Inputs!$C$17="Rebased to 100",$G1966/G$8*100,$G1966)))))</f>
        <v/>
      </c>
      <c r="N1966" s="54">
        <f>IF($B1966=0,NA(),IF(Inputs!$C$18&lt;&gt;"Yes",NA(),IF(COUNT(I1966,J1966,K1966,L1966,M1966)=0,NA(),MIN(I1966,J1966,K1966,L1966,M1966))))</f>
        <v/>
      </c>
      <c r="O1966" s="54">
        <f>IF($B1966=0,NA(),IF(Inputs!$B$24&lt;&gt;"Yes",NA(),Inputs!$D$24*Inputs!$C$35))</f>
        <v/>
      </c>
      <c r="P1966" s="54">
        <f>IF($B1966=0,NA(),IF(Inputs!$B$25&lt;&gt;"Yes",NA(),Inputs!$D$25*Inputs!$C$35))</f>
        <v/>
      </c>
      <c r="Q1966" s="54">
        <f>IF($B1966=0,NA(),IF(Inputs!$B$26&lt;&gt;"Yes",NA(),Inputs!$D$26*Inputs!$C$35))</f>
        <v/>
      </c>
      <c r="R1966" s="54">
        <f>IF($B1966=0,NA(),IF(Inputs!$B$27&lt;&gt;"Yes",NA(),Inputs!$D$27*Inputs!$C$35))</f>
        <v/>
      </c>
      <c r="S1966" s="54">
        <f>IF($B1966=0,NA(),IF(Inputs!$B$28&lt;&gt;"Yes",NA(),Inputs!$D$28*Inputs!$C$35))</f>
        <v/>
      </c>
      <c r="T1966" s="54">
        <f>IF($B1966=0,NA(),IF(Inputs!$B$29&lt;&gt;"Yes",NA(),Inputs!$D$29*Inputs!$C$35))</f>
        <v/>
      </c>
      <c r="AD1966">
        <f>IF($B1966=0,0,IF(Inputs!$B$6="",0,COUNTIFS(Data!$A$10:$A$3209,"&gt;="&amp;$A1966,Data!$A$10:$A$3209,"&lt;"&amp;$A1966+1)))</f>
        <v/>
      </c>
      <c r="AE1966">
        <f>IF($B1966=0,0,IF(Inputs!$B$7="",0,COUNTIFS(Data!$E$10:$E$3209,"&gt;="&amp;$A1966,Data!$E$10:$E$3209,"&lt;"&amp;$A1966+1)))</f>
        <v/>
      </c>
      <c r="AF1966">
        <f>IF($B1966=0,0,IF(Inputs!$B$8="",0,COUNTIFS(Data!$I$10:$I$3209,"&gt;="&amp;$A1966,Data!$I$10:$I$3209,"&lt;"&amp;$A1966+1)))</f>
        <v/>
      </c>
      <c r="AG1966">
        <f>IF($B1966=0,0,IF(Inputs!$B$9="",0,COUNTIFS(Data!$M$10:$M$3209,"&gt;="&amp;$A1966,Data!$M$10:$M$3209,"&lt;"&amp;$A1966+1)))</f>
        <v/>
      </c>
      <c r="AH1966">
        <f>IF($B1966=0,0,IF(Inputs!$B$10="",0,COUNTIFS(Data!$Q$10:$Q$3209,"&gt;="&amp;$A1966,Data!$Q$10:$Q$3209,"&lt;"&amp;$A1966+1)))</f>
        <v/>
      </c>
    </row>
    <row r="1967">
      <c r="A1967" s="55">
        <f>MIN(Inputs!$C$15,$A1966+IF(WEEKDAY($A1966,2)=5,3,1))</f>
        <v/>
      </c>
      <c r="B1967">
        <f>IF($A1967&gt;$A1966,1,0)</f>
        <v/>
      </c>
      <c r="C1967" s="56">
        <f>IF($B1967=0,"",IF(Inputs!$B$6="","",IF($AD1967=0,C1966,SUMIFS(Data!$B$10:$B$3209,Data!$A$10:$A$3209,"&gt;="&amp;$A1967,Data!$A$10:$A$3209,"&lt;"&amp;$A1967+1)/$AD1967)))</f>
        <v/>
      </c>
      <c r="D1967" s="56">
        <f>IF($B1967=0,"",IF(Inputs!$B$7="","",IF($AE1967=0,D1966,SUMIFS(Data!$F$10:$F$3209,Data!$E$10:$E$3209,"&gt;="&amp;$A1967,Data!$E$10:$E$3209,"&lt;"&amp;$A1967+1)/$AE1967)))</f>
        <v/>
      </c>
      <c r="E1967" s="56">
        <f>IF($B1967=0,"",IF(Inputs!$B$8="","",IF($AF1967=0,E1966,SUMIFS(Data!$J$10:$J$3209,Data!$I$10:$I$3209,"&gt;="&amp;$A1967,Data!$I$10:$I$3209,"&lt;"&amp;$A1967+1)/$AF1967)))</f>
        <v/>
      </c>
      <c r="F1967" s="56">
        <f>IF($B1967=0,"",IF(Inputs!$B$9="","",IF($AG1967=0,F1966,SUMIFS(Data!$N$10:$N$3209,Data!$M$10:$M$3209,"&gt;="&amp;$A1967,Data!$M$10:$M$3209,"&lt;"&amp;$A1967+1)/$AG1967)))</f>
        <v/>
      </c>
      <c r="G1967" s="56">
        <f>IF($B1967=0,"",IF(Inputs!$B$10="","",IF($AH1967=0,G1966,SUMIFS(Data!$R$10:$R$3209,Data!$Q$10:$Q$3209,"&gt;="&amp;$A1967,Data!$Q$10:$Q$3209,"&lt;"&amp;$A1967+1)/$AH1967)))</f>
        <v/>
      </c>
      <c r="I1967" s="54">
        <f>IF($B1967=0,NA(),IF($C1967="",NA(),IF(C$8="",NA(),IF(N(C$8)=0,NA(),IF(Inputs!$C$17="Rebased to 100",$C1967/C$8*100,$C1967)))))</f>
        <v/>
      </c>
      <c r="J1967" s="54">
        <f>IF($B1967=0,NA(),IF($D1967="",NA(),IF(D$8="",NA(),IF(N(D$8)=0,NA(),IF(Inputs!$C$17="Rebased to 100",$D1967/D$8*100,$D1967)))))</f>
        <v/>
      </c>
      <c r="K1967" s="54">
        <f>IF($B1967=0,NA(),IF($E1967="",NA(),IF(E$8="",NA(),IF(N(E$8)=0,NA(),IF(Inputs!$C$17="Rebased to 100",$E1967/E$8*100,$E1967)))))</f>
        <v/>
      </c>
      <c r="L1967" s="54">
        <f>IF($B1967=0,NA(),IF($F1967="",NA(),IF(F$8="",NA(),IF(N(F$8)=0,NA(),IF(Inputs!$C$17="Rebased to 100",$F1967/F$8*100,$F1967)))))</f>
        <v/>
      </c>
      <c r="M1967" s="54">
        <f>IF($B1967=0,NA(),IF($G1967="",NA(),IF(G$8="",NA(),IF(N(G$8)=0,NA(),IF(Inputs!$C$17="Rebased to 100",$G1967/G$8*100,$G1967)))))</f>
        <v/>
      </c>
      <c r="N1967" s="54">
        <f>IF($B1967=0,NA(),IF(Inputs!$C$18&lt;&gt;"Yes",NA(),IF(COUNT(I1967,J1967,K1967,L1967,M1967)=0,NA(),MIN(I1967,J1967,K1967,L1967,M1967))))</f>
        <v/>
      </c>
      <c r="O1967" s="54">
        <f>IF($B1967=0,NA(),IF(Inputs!$B$24&lt;&gt;"Yes",NA(),Inputs!$D$24*Inputs!$C$35))</f>
        <v/>
      </c>
      <c r="P1967" s="54">
        <f>IF($B1967=0,NA(),IF(Inputs!$B$25&lt;&gt;"Yes",NA(),Inputs!$D$25*Inputs!$C$35))</f>
        <v/>
      </c>
      <c r="Q1967" s="54">
        <f>IF($B1967=0,NA(),IF(Inputs!$B$26&lt;&gt;"Yes",NA(),Inputs!$D$26*Inputs!$C$35))</f>
        <v/>
      </c>
      <c r="R1967" s="54">
        <f>IF($B1967=0,NA(),IF(Inputs!$B$27&lt;&gt;"Yes",NA(),Inputs!$D$27*Inputs!$C$35))</f>
        <v/>
      </c>
      <c r="S1967" s="54">
        <f>IF($B1967=0,NA(),IF(Inputs!$B$28&lt;&gt;"Yes",NA(),Inputs!$D$28*Inputs!$C$35))</f>
        <v/>
      </c>
      <c r="T1967" s="54">
        <f>IF($B1967=0,NA(),IF(Inputs!$B$29&lt;&gt;"Yes",NA(),Inputs!$D$29*Inputs!$C$35))</f>
        <v/>
      </c>
      <c r="AD1967">
        <f>IF($B1967=0,0,IF(Inputs!$B$6="",0,COUNTIFS(Data!$A$10:$A$3209,"&gt;="&amp;$A1967,Data!$A$10:$A$3209,"&lt;"&amp;$A1967+1)))</f>
        <v/>
      </c>
      <c r="AE1967">
        <f>IF($B1967=0,0,IF(Inputs!$B$7="",0,COUNTIFS(Data!$E$10:$E$3209,"&gt;="&amp;$A1967,Data!$E$10:$E$3209,"&lt;"&amp;$A1967+1)))</f>
        <v/>
      </c>
      <c r="AF1967">
        <f>IF($B1967=0,0,IF(Inputs!$B$8="",0,COUNTIFS(Data!$I$10:$I$3209,"&gt;="&amp;$A1967,Data!$I$10:$I$3209,"&lt;"&amp;$A1967+1)))</f>
        <v/>
      </c>
      <c r="AG1967">
        <f>IF($B1967=0,0,IF(Inputs!$B$9="",0,COUNTIFS(Data!$M$10:$M$3209,"&gt;="&amp;$A1967,Data!$M$10:$M$3209,"&lt;"&amp;$A1967+1)))</f>
        <v/>
      </c>
      <c r="AH1967">
        <f>IF($B1967=0,0,IF(Inputs!$B$10="",0,COUNTIFS(Data!$Q$10:$Q$3209,"&gt;="&amp;$A1967,Data!$Q$10:$Q$3209,"&lt;"&amp;$A1967+1)))</f>
        <v/>
      </c>
    </row>
    <row r="1968">
      <c r="A1968" s="55">
        <f>MIN(Inputs!$C$15,$A1967+IF(WEEKDAY($A1967,2)=5,3,1))</f>
        <v/>
      </c>
      <c r="B1968">
        <f>IF($A1968&gt;$A1967,1,0)</f>
        <v/>
      </c>
      <c r="C1968" s="56">
        <f>IF($B1968=0,"",IF(Inputs!$B$6="","",IF($AD1968=0,C1967,SUMIFS(Data!$B$10:$B$3209,Data!$A$10:$A$3209,"&gt;="&amp;$A1968,Data!$A$10:$A$3209,"&lt;"&amp;$A1968+1)/$AD1968)))</f>
        <v/>
      </c>
      <c r="D1968" s="56">
        <f>IF($B1968=0,"",IF(Inputs!$B$7="","",IF($AE1968=0,D1967,SUMIFS(Data!$F$10:$F$3209,Data!$E$10:$E$3209,"&gt;="&amp;$A1968,Data!$E$10:$E$3209,"&lt;"&amp;$A1968+1)/$AE1968)))</f>
        <v/>
      </c>
      <c r="E1968" s="56">
        <f>IF($B1968=0,"",IF(Inputs!$B$8="","",IF($AF1968=0,E1967,SUMIFS(Data!$J$10:$J$3209,Data!$I$10:$I$3209,"&gt;="&amp;$A1968,Data!$I$10:$I$3209,"&lt;"&amp;$A1968+1)/$AF1968)))</f>
        <v/>
      </c>
      <c r="F1968" s="56">
        <f>IF($B1968=0,"",IF(Inputs!$B$9="","",IF($AG1968=0,F1967,SUMIFS(Data!$N$10:$N$3209,Data!$M$10:$M$3209,"&gt;="&amp;$A1968,Data!$M$10:$M$3209,"&lt;"&amp;$A1968+1)/$AG1968)))</f>
        <v/>
      </c>
      <c r="G1968" s="56">
        <f>IF($B1968=0,"",IF(Inputs!$B$10="","",IF($AH1968=0,G1967,SUMIFS(Data!$R$10:$R$3209,Data!$Q$10:$Q$3209,"&gt;="&amp;$A1968,Data!$Q$10:$Q$3209,"&lt;"&amp;$A1968+1)/$AH1968)))</f>
        <v/>
      </c>
      <c r="I1968" s="54">
        <f>IF($B1968=0,NA(),IF($C1968="",NA(),IF(C$8="",NA(),IF(N(C$8)=0,NA(),IF(Inputs!$C$17="Rebased to 100",$C1968/C$8*100,$C1968)))))</f>
        <v/>
      </c>
      <c r="J1968" s="54">
        <f>IF($B1968=0,NA(),IF($D1968="",NA(),IF(D$8="",NA(),IF(N(D$8)=0,NA(),IF(Inputs!$C$17="Rebased to 100",$D1968/D$8*100,$D1968)))))</f>
        <v/>
      </c>
      <c r="K1968" s="54">
        <f>IF($B1968=0,NA(),IF($E1968="",NA(),IF(E$8="",NA(),IF(N(E$8)=0,NA(),IF(Inputs!$C$17="Rebased to 100",$E1968/E$8*100,$E1968)))))</f>
        <v/>
      </c>
      <c r="L1968" s="54">
        <f>IF($B1968=0,NA(),IF($F1968="",NA(),IF(F$8="",NA(),IF(N(F$8)=0,NA(),IF(Inputs!$C$17="Rebased to 100",$F1968/F$8*100,$F1968)))))</f>
        <v/>
      </c>
      <c r="M1968" s="54">
        <f>IF($B1968=0,NA(),IF($G1968="",NA(),IF(G$8="",NA(),IF(N(G$8)=0,NA(),IF(Inputs!$C$17="Rebased to 100",$G1968/G$8*100,$G1968)))))</f>
        <v/>
      </c>
      <c r="N1968" s="54">
        <f>IF($B1968=0,NA(),IF(Inputs!$C$18&lt;&gt;"Yes",NA(),IF(COUNT(I1968,J1968,K1968,L1968,M1968)=0,NA(),MIN(I1968,J1968,K1968,L1968,M1968))))</f>
        <v/>
      </c>
      <c r="O1968" s="54">
        <f>IF($B1968=0,NA(),IF(Inputs!$B$24&lt;&gt;"Yes",NA(),Inputs!$D$24*Inputs!$C$35))</f>
        <v/>
      </c>
      <c r="P1968" s="54">
        <f>IF($B1968=0,NA(),IF(Inputs!$B$25&lt;&gt;"Yes",NA(),Inputs!$D$25*Inputs!$C$35))</f>
        <v/>
      </c>
      <c r="Q1968" s="54">
        <f>IF($B1968=0,NA(),IF(Inputs!$B$26&lt;&gt;"Yes",NA(),Inputs!$D$26*Inputs!$C$35))</f>
        <v/>
      </c>
      <c r="R1968" s="54">
        <f>IF($B1968=0,NA(),IF(Inputs!$B$27&lt;&gt;"Yes",NA(),Inputs!$D$27*Inputs!$C$35))</f>
        <v/>
      </c>
      <c r="S1968" s="54">
        <f>IF($B1968=0,NA(),IF(Inputs!$B$28&lt;&gt;"Yes",NA(),Inputs!$D$28*Inputs!$C$35))</f>
        <v/>
      </c>
      <c r="T1968" s="54">
        <f>IF($B1968=0,NA(),IF(Inputs!$B$29&lt;&gt;"Yes",NA(),Inputs!$D$29*Inputs!$C$35))</f>
        <v/>
      </c>
      <c r="AD1968">
        <f>IF($B1968=0,0,IF(Inputs!$B$6="",0,COUNTIFS(Data!$A$10:$A$3209,"&gt;="&amp;$A1968,Data!$A$10:$A$3209,"&lt;"&amp;$A1968+1)))</f>
        <v/>
      </c>
      <c r="AE1968">
        <f>IF($B1968=0,0,IF(Inputs!$B$7="",0,COUNTIFS(Data!$E$10:$E$3209,"&gt;="&amp;$A1968,Data!$E$10:$E$3209,"&lt;"&amp;$A1968+1)))</f>
        <v/>
      </c>
      <c r="AF1968">
        <f>IF($B1968=0,0,IF(Inputs!$B$8="",0,COUNTIFS(Data!$I$10:$I$3209,"&gt;="&amp;$A1968,Data!$I$10:$I$3209,"&lt;"&amp;$A1968+1)))</f>
        <v/>
      </c>
      <c r="AG1968">
        <f>IF($B1968=0,0,IF(Inputs!$B$9="",0,COUNTIFS(Data!$M$10:$M$3209,"&gt;="&amp;$A1968,Data!$M$10:$M$3209,"&lt;"&amp;$A1968+1)))</f>
        <v/>
      </c>
      <c r="AH1968">
        <f>IF($B1968=0,0,IF(Inputs!$B$10="",0,COUNTIFS(Data!$Q$10:$Q$3209,"&gt;="&amp;$A1968,Data!$Q$10:$Q$3209,"&lt;"&amp;$A1968+1)))</f>
        <v/>
      </c>
    </row>
    <row r="1969">
      <c r="A1969" s="55">
        <f>MIN(Inputs!$C$15,$A1968+IF(WEEKDAY($A1968,2)=5,3,1))</f>
        <v/>
      </c>
      <c r="B1969">
        <f>IF($A1969&gt;$A1968,1,0)</f>
        <v/>
      </c>
      <c r="C1969" s="56">
        <f>IF($B1969=0,"",IF(Inputs!$B$6="","",IF($AD1969=0,C1968,SUMIFS(Data!$B$10:$B$3209,Data!$A$10:$A$3209,"&gt;="&amp;$A1969,Data!$A$10:$A$3209,"&lt;"&amp;$A1969+1)/$AD1969)))</f>
        <v/>
      </c>
      <c r="D1969" s="56">
        <f>IF($B1969=0,"",IF(Inputs!$B$7="","",IF($AE1969=0,D1968,SUMIFS(Data!$F$10:$F$3209,Data!$E$10:$E$3209,"&gt;="&amp;$A1969,Data!$E$10:$E$3209,"&lt;"&amp;$A1969+1)/$AE1969)))</f>
        <v/>
      </c>
      <c r="E1969" s="56">
        <f>IF($B1969=0,"",IF(Inputs!$B$8="","",IF($AF1969=0,E1968,SUMIFS(Data!$J$10:$J$3209,Data!$I$10:$I$3209,"&gt;="&amp;$A1969,Data!$I$10:$I$3209,"&lt;"&amp;$A1969+1)/$AF1969)))</f>
        <v/>
      </c>
      <c r="F1969" s="56">
        <f>IF($B1969=0,"",IF(Inputs!$B$9="","",IF($AG1969=0,F1968,SUMIFS(Data!$N$10:$N$3209,Data!$M$10:$M$3209,"&gt;="&amp;$A1969,Data!$M$10:$M$3209,"&lt;"&amp;$A1969+1)/$AG1969)))</f>
        <v/>
      </c>
      <c r="G1969" s="56">
        <f>IF($B1969=0,"",IF(Inputs!$B$10="","",IF($AH1969=0,G1968,SUMIFS(Data!$R$10:$R$3209,Data!$Q$10:$Q$3209,"&gt;="&amp;$A1969,Data!$Q$10:$Q$3209,"&lt;"&amp;$A1969+1)/$AH1969)))</f>
        <v/>
      </c>
      <c r="I1969" s="54">
        <f>IF($B1969=0,NA(),IF($C1969="",NA(),IF(C$8="",NA(),IF(N(C$8)=0,NA(),IF(Inputs!$C$17="Rebased to 100",$C1969/C$8*100,$C1969)))))</f>
        <v/>
      </c>
      <c r="J1969" s="54">
        <f>IF($B1969=0,NA(),IF($D1969="",NA(),IF(D$8="",NA(),IF(N(D$8)=0,NA(),IF(Inputs!$C$17="Rebased to 100",$D1969/D$8*100,$D1969)))))</f>
        <v/>
      </c>
      <c r="K1969" s="54">
        <f>IF($B1969=0,NA(),IF($E1969="",NA(),IF(E$8="",NA(),IF(N(E$8)=0,NA(),IF(Inputs!$C$17="Rebased to 100",$E1969/E$8*100,$E1969)))))</f>
        <v/>
      </c>
      <c r="L1969" s="54">
        <f>IF($B1969=0,NA(),IF($F1969="",NA(),IF(F$8="",NA(),IF(N(F$8)=0,NA(),IF(Inputs!$C$17="Rebased to 100",$F1969/F$8*100,$F1969)))))</f>
        <v/>
      </c>
      <c r="M1969" s="54">
        <f>IF($B1969=0,NA(),IF($G1969="",NA(),IF(G$8="",NA(),IF(N(G$8)=0,NA(),IF(Inputs!$C$17="Rebased to 100",$G1969/G$8*100,$G1969)))))</f>
        <v/>
      </c>
      <c r="N1969" s="54">
        <f>IF($B1969=0,NA(),IF(Inputs!$C$18&lt;&gt;"Yes",NA(),IF(COUNT(I1969,J1969,K1969,L1969,M1969)=0,NA(),MIN(I1969,J1969,K1969,L1969,M1969))))</f>
        <v/>
      </c>
      <c r="O1969" s="54">
        <f>IF($B1969=0,NA(),IF(Inputs!$B$24&lt;&gt;"Yes",NA(),Inputs!$D$24*Inputs!$C$35))</f>
        <v/>
      </c>
      <c r="P1969" s="54">
        <f>IF($B1969=0,NA(),IF(Inputs!$B$25&lt;&gt;"Yes",NA(),Inputs!$D$25*Inputs!$C$35))</f>
        <v/>
      </c>
      <c r="Q1969" s="54">
        <f>IF($B1969=0,NA(),IF(Inputs!$B$26&lt;&gt;"Yes",NA(),Inputs!$D$26*Inputs!$C$35))</f>
        <v/>
      </c>
      <c r="R1969" s="54">
        <f>IF($B1969=0,NA(),IF(Inputs!$B$27&lt;&gt;"Yes",NA(),Inputs!$D$27*Inputs!$C$35))</f>
        <v/>
      </c>
      <c r="S1969" s="54">
        <f>IF($B1969=0,NA(),IF(Inputs!$B$28&lt;&gt;"Yes",NA(),Inputs!$D$28*Inputs!$C$35))</f>
        <v/>
      </c>
      <c r="T1969" s="54">
        <f>IF($B1969=0,NA(),IF(Inputs!$B$29&lt;&gt;"Yes",NA(),Inputs!$D$29*Inputs!$C$35))</f>
        <v/>
      </c>
      <c r="AD1969">
        <f>IF($B1969=0,0,IF(Inputs!$B$6="",0,COUNTIFS(Data!$A$10:$A$3209,"&gt;="&amp;$A1969,Data!$A$10:$A$3209,"&lt;"&amp;$A1969+1)))</f>
        <v/>
      </c>
      <c r="AE1969">
        <f>IF($B1969=0,0,IF(Inputs!$B$7="",0,COUNTIFS(Data!$E$10:$E$3209,"&gt;="&amp;$A1969,Data!$E$10:$E$3209,"&lt;"&amp;$A1969+1)))</f>
        <v/>
      </c>
      <c r="AF1969">
        <f>IF($B1969=0,0,IF(Inputs!$B$8="",0,COUNTIFS(Data!$I$10:$I$3209,"&gt;="&amp;$A1969,Data!$I$10:$I$3209,"&lt;"&amp;$A1969+1)))</f>
        <v/>
      </c>
      <c r="AG1969">
        <f>IF($B1969=0,0,IF(Inputs!$B$9="",0,COUNTIFS(Data!$M$10:$M$3209,"&gt;="&amp;$A1969,Data!$M$10:$M$3209,"&lt;"&amp;$A1969+1)))</f>
        <v/>
      </c>
      <c r="AH1969">
        <f>IF($B1969=0,0,IF(Inputs!$B$10="",0,COUNTIFS(Data!$Q$10:$Q$3209,"&gt;="&amp;$A1969,Data!$Q$10:$Q$3209,"&lt;"&amp;$A1969+1)))</f>
        <v/>
      </c>
    </row>
    <row r="1970">
      <c r="A1970" s="55">
        <f>MIN(Inputs!$C$15,$A1969+IF(WEEKDAY($A1969,2)=5,3,1))</f>
        <v/>
      </c>
      <c r="B1970">
        <f>IF($A1970&gt;$A1969,1,0)</f>
        <v/>
      </c>
      <c r="C1970" s="56">
        <f>IF($B1970=0,"",IF(Inputs!$B$6="","",IF($AD1970=0,C1969,SUMIFS(Data!$B$10:$B$3209,Data!$A$10:$A$3209,"&gt;="&amp;$A1970,Data!$A$10:$A$3209,"&lt;"&amp;$A1970+1)/$AD1970)))</f>
        <v/>
      </c>
      <c r="D1970" s="56">
        <f>IF($B1970=0,"",IF(Inputs!$B$7="","",IF($AE1970=0,D1969,SUMIFS(Data!$F$10:$F$3209,Data!$E$10:$E$3209,"&gt;="&amp;$A1970,Data!$E$10:$E$3209,"&lt;"&amp;$A1970+1)/$AE1970)))</f>
        <v/>
      </c>
      <c r="E1970" s="56">
        <f>IF($B1970=0,"",IF(Inputs!$B$8="","",IF($AF1970=0,E1969,SUMIFS(Data!$J$10:$J$3209,Data!$I$10:$I$3209,"&gt;="&amp;$A1970,Data!$I$10:$I$3209,"&lt;"&amp;$A1970+1)/$AF1970)))</f>
        <v/>
      </c>
      <c r="F1970" s="56">
        <f>IF($B1970=0,"",IF(Inputs!$B$9="","",IF($AG1970=0,F1969,SUMIFS(Data!$N$10:$N$3209,Data!$M$10:$M$3209,"&gt;="&amp;$A1970,Data!$M$10:$M$3209,"&lt;"&amp;$A1970+1)/$AG1970)))</f>
        <v/>
      </c>
      <c r="G1970" s="56">
        <f>IF($B1970=0,"",IF(Inputs!$B$10="","",IF($AH1970=0,G1969,SUMIFS(Data!$R$10:$R$3209,Data!$Q$10:$Q$3209,"&gt;="&amp;$A1970,Data!$Q$10:$Q$3209,"&lt;"&amp;$A1970+1)/$AH1970)))</f>
        <v/>
      </c>
      <c r="I1970" s="54">
        <f>IF($B1970=0,NA(),IF($C1970="",NA(),IF(C$8="",NA(),IF(N(C$8)=0,NA(),IF(Inputs!$C$17="Rebased to 100",$C1970/C$8*100,$C1970)))))</f>
        <v/>
      </c>
      <c r="J1970" s="54">
        <f>IF($B1970=0,NA(),IF($D1970="",NA(),IF(D$8="",NA(),IF(N(D$8)=0,NA(),IF(Inputs!$C$17="Rebased to 100",$D1970/D$8*100,$D1970)))))</f>
        <v/>
      </c>
      <c r="K1970" s="54">
        <f>IF($B1970=0,NA(),IF($E1970="",NA(),IF(E$8="",NA(),IF(N(E$8)=0,NA(),IF(Inputs!$C$17="Rebased to 100",$E1970/E$8*100,$E1970)))))</f>
        <v/>
      </c>
      <c r="L1970" s="54">
        <f>IF($B1970=0,NA(),IF($F1970="",NA(),IF(F$8="",NA(),IF(N(F$8)=0,NA(),IF(Inputs!$C$17="Rebased to 100",$F1970/F$8*100,$F1970)))))</f>
        <v/>
      </c>
      <c r="M1970" s="54">
        <f>IF($B1970=0,NA(),IF($G1970="",NA(),IF(G$8="",NA(),IF(N(G$8)=0,NA(),IF(Inputs!$C$17="Rebased to 100",$G1970/G$8*100,$G1970)))))</f>
        <v/>
      </c>
      <c r="N1970" s="54">
        <f>IF($B1970=0,NA(),IF(Inputs!$C$18&lt;&gt;"Yes",NA(),IF(COUNT(I1970,J1970,K1970,L1970,M1970)=0,NA(),MIN(I1970,J1970,K1970,L1970,M1970))))</f>
        <v/>
      </c>
      <c r="O1970" s="54">
        <f>IF($B1970=0,NA(),IF(Inputs!$B$24&lt;&gt;"Yes",NA(),Inputs!$D$24*Inputs!$C$35))</f>
        <v/>
      </c>
      <c r="P1970" s="54">
        <f>IF($B1970=0,NA(),IF(Inputs!$B$25&lt;&gt;"Yes",NA(),Inputs!$D$25*Inputs!$C$35))</f>
        <v/>
      </c>
      <c r="Q1970" s="54">
        <f>IF($B1970=0,NA(),IF(Inputs!$B$26&lt;&gt;"Yes",NA(),Inputs!$D$26*Inputs!$C$35))</f>
        <v/>
      </c>
      <c r="R1970" s="54">
        <f>IF($B1970=0,NA(),IF(Inputs!$B$27&lt;&gt;"Yes",NA(),Inputs!$D$27*Inputs!$C$35))</f>
        <v/>
      </c>
      <c r="S1970" s="54">
        <f>IF($B1970=0,NA(),IF(Inputs!$B$28&lt;&gt;"Yes",NA(),Inputs!$D$28*Inputs!$C$35))</f>
        <v/>
      </c>
      <c r="T1970" s="54">
        <f>IF($B1970=0,NA(),IF(Inputs!$B$29&lt;&gt;"Yes",NA(),Inputs!$D$29*Inputs!$C$35))</f>
        <v/>
      </c>
      <c r="AD1970">
        <f>IF($B1970=0,0,IF(Inputs!$B$6="",0,COUNTIFS(Data!$A$10:$A$3209,"&gt;="&amp;$A1970,Data!$A$10:$A$3209,"&lt;"&amp;$A1970+1)))</f>
        <v/>
      </c>
      <c r="AE1970">
        <f>IF($B1970=0,0,IF(Inputs!$B$7="",0,COUNTIFS(Data!$E$10:$E$3209,"&gt;="&amp;$A1970,Data!$E$10:$E$3209,"&lt;"&amp;$A1970+1)))</f>
        <v/>
      </c>
      <c r="AF1970">
        <f>IF($B1970=0,0,IF(Inputs!$B$8="",0,COUNTIFS(Data!$I$10:$I$3209,"&gt;="&amp;$A1970,Data!$I$10:$I$3209,"&lt;"&amp;$A1970+1)))</f>
        <v/>
      </c>
      <c r="AG1970">
        <f>IF($B1970=0,0,IF(Inputs!$B$9="",0,COUNTIFS(Data!$M$10:$M$3209,"&gt;="&amp;$A1970,Data!$M$10:$M$3209,"&lt;"&amp;$A1970+1)))</f>
        <v/>
      </c>
      <c r="AH1970">
        <f>IF($B1970=0,0,IF(Inputs!$B$10="",0,COUNTIFS(Data!$Q$10:$Q$3209,"&gt;="&amp;$A1970,Data!$Q$10:$Q$3209,"&lt;"&amp;$A1970+1)))</f>
        <v/>
      </c>
    </row>
    <row r="1971">
      <c r="A1971" s="55">
        <f>MIN(Inputs!$C$15,$A1970+IF(WEEKDAY($A1970,2)=5,3,1))</f>
        <v/>
      </c>
      <c r="B1971">
        <f>IF($A1971&gt;$A1970,1,0)</f>
        <v/>
      </c>
      <c r="C1971" s="56">
        <f>IF($B1971=0,"",IF(Inputs!$B$6="","",IF($AD1971=0,C1970,SUMIFS(Data!$B$10:$B$3209,Data!$A$10:$A$3209,"&gt;="&amp;$A1971,Data!$A$10:$A$3209,"&lt;"&amp;$A1971+1)/$AD1971)))</f>
        <v/>
      </c>
      <c r="D1971" s="56">
        <f>IF($B1971=0,"",IF(Inputs!$B$7="","",IF($AE1971=0,D1970,SUMIFS(Data!$F$10:$F$3209,Data!$E$10:$E$3209,"&gt;="&amp;$A1971,Data!$E$10:$E$3209,"&lt;"&amp;$A1971+1)/$AE1971)))</f>
        <v/>
      </c>
      <c r="E1971" s="56">
        <f>IF($B1971=0,"",IF(Inputs!$B$8="","",IF($AF1971=0,E1970,SUMIFS(Data!$J$10:$J$3209,Data!$I$10:$I$3209,"&gt;="&amp;$A1971,Data!$I$10:$I$3209,"&lt;"&amp;$A1971+1)/$AF1971)))</f>
        <v/>
      </c>
      <c r="F1971" s="56">
        <f>IF($B1971=0,"",IF(Inputs!$B$9="","",IF($AG1971=0,F1970,SUMIFS(Data!$N$10:$N$3209,Data!$M$10:$M$3209,"&gt;="&amp;$A1971,Data!$M$10:$M$3209,"&lt;"&amp;$A1971+1)/$AG1971)))</f>
        <v/>
      </c>
      <c r="G1971" s="56">
        <f>IF($B1971=0,"",IF(Inputs!$B$10="","",IF($AH1971=0,G1970,SUMIFS(Data!$R$10:$R$3209,Data!$Q$10:$Q$3209,"&gt;="&amp;$A1971,Data!$Q$10:$Q$3209,"&lt;"&amp;$A1971+1)/$AH1971)))</f>
        <v/>
      </c>
      <c r="I1971" s="54">
        <f>IF($B1971=0,NA(),IF($C1971="",NA(),IF(C$8="",NA(),IF(N(C$8)=0,NA(),IF(Inputs!$C$17="Rebased to 100",$C1971/C$8*100,$C1971)))))</f>
        <v/>
      </c>
      <c r="J1971" s="54">
        <f>IF($B1971=0,NA(),IF($D1971="",NA(),IF(D$8="",NA(),IF(N(D$8)=0,NA(),IF(Inputs!$C$17="Rebased to 100",$D1971/D$8*100,$D1971)))))</f>
        <v/>
      </c>
      <c r="K1971" s="54">
        <f>IF($B1971=0,NA(),IF($E1971="",NA(),IF(E$8="",NA(),IF(N(E$8)=0,NA(),IF(Inputs!$C$17="Rebased to 100",$E1971/E$8*100,$E1971)))))</f>
        <v/>
      </c>
      <c r="L1971" s="54">
        <f>IF($B1971=0,NA(),IF($F1971="",NA(),IF(F$8="",NA(),IF(N(F$8)=0,NA(),IF(Inputs!$C$17="Rebased to 100",$F1971/F$8*100,$F1971)))))</f>
        <v/>
      </c>
      <c r="M1971" s="54">
        <f>IF($B1971=0,NA(),IF($G1971="",NA(),IF(G$8="",NA(),IF(N(G$8)=0,NA(),IF(Inputs!$C$17="Rebased to 100",$G1971/G$8*100,$G1971)))))</f>
        <v/>
      </c>
      <c r="N1971" s="54">
        <f>IF($B1971=0,NA(),IF(Inputs!$C$18&lt;&gt;"Yes",NA(),IF(COUNT(I1971,J1971,K1971,L1971,M1971)=0,NA(),MIN(I1971,J1971,K1971,L1971,M1971))))</f>
        <v/>
      </c>
      <c r="O1971" s="54">
        <f>IF($B1971=0,NA(),IF(Inputs!$B$24&lt;&gt;"Yes",NA(),Inputs!$D$24*Inputs!$C$35))</f>
        <v/>
      </c>
      <c r="P1971" s="54">
        <f>IF($B1971=0,NA(),IF(Inputs!$B$25&lt;&gt;"Yes",NA(),Inputs!$D$25*Inputs!$C$35))</f>
        <v/>
      </c>
      <c r="Q1971" s="54">
        <f>IF($B1971=0,NA(),IF(Inputs!$B$26&lt;&gt;"Yes",NA(),Inputs!$D$26*Inputs!$C$35))</f>
        <v/>
      </c>
      <c r="R1971" s="54">
        <f>IF($B1971=0,NA(),IF(Inputs!$B$27&lt;&gt;"Yes",NA(),Inputs!$D$27*Inputs!$C$35))</f>
        <v/>
      </c>
      <c r="S1971" s="54">
        <f>IF($B1971=0,NA(),IF(Inputs!$B$28&lt;&gt;"Yes",NA(),Inputs!$D$28*Inputs!$C$35))</f>
        <v/>
      </c>
      <c r="T1971" s="54">
        <f>IF($B1971=0,NA(),IF(Inputs!$B$29&lt;&gt;"Yes",NA(),Inputs!$D$29*Inputs!$C$35))</f>
        <v/>
      </c>
      <c r="AD1971">
        <f>IF($B1971=0,0,IF(Inputs!$B$6="",0,COUNTIFS(Data!$A$10:$A$3209,"&gt;="&amp;$A1971,Data!$A$10:$A$3209,"&lt;"&amp;$A1971+1)))</f>
        <v/>
      </c>
      <c r="AE1971">
        <f>IF($B1971=0,0,IF(Inputs!$B$7="",0,COUNTIFS(Data!$E$10:$E$3209,"&gt;="&amp;$A1971,Data!$E$10:$E$3209,"&lt;"&amp;$A1971+1)))</f>
        <v/>
      </c>
      <c r="AF1971">
        <f>IF($B1971=0,0,IF(Inputs!$B$8="",0,COUNTIFS(Data!$I$10:$I$3209,"&gt;="&amp;$A1971,Data!$I$10:$I$3209,"&lt;"&amp;$A1971+1)))</f>
        <v/>
      </c>
      <c r="AG1971">
        <f>IF($B1971=0,0,IF(Inputs!$B$9="",0,COUNTIFS(Data!$M$10:$M$3209,"&gt;="&amp;$A1971,Data!$M$10:$M$3209,"&lt;"&amp;$A1971+1)))</f>
        <v/>
      </c>
      <c r="AH1971">
        <f>IF($B1971=0,0,IF(Inputs!$B$10="",0,COUNTIFS(Data!$Q$10:$Q$3209,"&gt;="&amp;$A1971,Data!$Q$10:$Q$3209,"&lt;"&amp;$A1971+1)))</f>
        <v/>
      </c>
    </row>
    <row r="1972">
      <c r="A1972" s="55">
        <f>MIN(Inputs!$C$15,$A1971+IF(WEEKDAY($A1971,2)=5,3,1))</f>
        <v/>
      </c>
      <c r="B1972">
        <f>IF($A1972&gt;$A1971,1,0)</f>
        <v/>
      </c>
      <c r="C1972" s="56">
        <f>IF($B1972=0,"",IF(Inputs!$B$6="","",IF($AD1972=0,C1971,SUMIFS(Data!$B$10:$B$3209,Data!$A$10:$A$3209,"&gt;="&amp;$A1972,Data!$A$10:$A$3209,"&lt;"&amp;$A1972+1)/$AD1972)))</f>
        <v/>
      </c>
      <c r="D1972" s="56">
        <f>IF($B1972=0,"",IF(Inputs!$B$7="","",IF($AE1972=0,D1971,SUMIFS(Data!$F$10:$F$3209,Data!$E$10:$E$3209,"&gt;="&amp;$A1972,Data!$E$10:$E$3209,"&lt;"&amp;$A1972+1)/$AE1972)))</f>
        <v/>
      </c>
      <c r="E1972" s="56">
        <f>IF($B1972=0,"",IF(Inputs!$B$8="","",IF($AF1972=0,E1971,SUMIFS(Data!$J$10:$J$3209,Data!$I$10:$I$3209,"&gt;="&amp;$A1972,Data!$I$10:$I$3209,"&lt;"&amp;$A1972+1)/$AF1972)))</f>
        <v/>
      </c>
      <c r="F1972" s="56">
        <f>IF($B1972=0,"",IF(Inputs!$B$9="","",IF($AG1972=0,F1971,SUMIFS(Data!$N$10:$N$3209,Data!$M$10:$M$3209,"&gt;="&amp;$A1972,Data!$M$10:$M$3209,"&lt;"&amp;$A1972+1)/$AG1972)))</f>
        <v/>
      </c>
      <c r="G1972" s="56">
        <f>IF($B1972=0,"",IF(Inputs!$B$10="","",IF($AH1972=0,G1971,SUMIFS(Data!$R$10:$R$3209,Data!$Q$10:$Q$3209,"&gt;="&amp;$A1972,Data!$Q$10:$Q$3209,"&lt;"&amp;$A1972+1)/$AH1972)))</f>
        <v/>
      </c>
      <c r="I1972" s="54">
        <f>IF($B1972=0,NA(),IF($C1972="",NA(),IF(C$8="",NA(),IF(N(C$8)=0,NA(),IF(Inputs!$C$17="Rebased to 100",$C1972/C$8*100,$C1972)))))</f>
        <v/>
      </c>
      <c r="J1972" s="54">
        <f>IF($B1972=0,NA(),IF($D1972="",NA(),IF(D$8="",NA(),IF(N(D$8)=0,NA(),IF(Inputs!$C$17="Rebased to 100",$D1972/D$8*100,$D1972)))))</f>
        <v/>
      </c>
      <c r="K1972" s="54">
        <f>IF($B1972=0,NA(),IF($E1972="",NA(),IF(E$8="",NA(),IF(N(E$8)=0,NA(),IF(Inputs!$C$17="Rebased to 100",$E1972/E$8*100,$E1972)))))</f>
        <v/>
      </c>
      <c r="L1972" s="54">
        <f>IF($B1972=0,NA(),IF($F1972="",NA(),IF(F$8="",NA(),IF(N(F$8)=0,NA(),IF(Inputs!$C$17="Rebased to 100",$F1972/F$8*100,$F1972)))))</f>
        <v/>
      </c>
      <c r="M1972" s="54">
        <f>IF($B1972=0,NA(),IF($G1972="",NA(),IF(G$8="",NA(),IF(N(G$8)=0,NA(),IF(Inputs!$C$17="Rebased to 100",$G1972/G$8*100,$G1972)))))</f>
        <v/>
      </c>
      <c r="N1972" s="54">
        <f>IF($B1972=0,NA(),IF(Inputs!$C$18&lt;&gt;"Yes",NA(),IF(COUNT(I1972,J1972,K1972,L1972,M1972)=0,NA(),MIN(I1972,J1972,K1972,L1972,M1972))))</f>
        <v/>
      </c>
      <c r="O1972" s="54">
        <f>IF($B1972=0,NA(),IF(Inputs!$B$24&lt;&gt;"Yes",NA(),Inputs!$D$24*Inputs!$C$35))</f>
        <v/>
      </c>
      <c r="P1972" s="54">
        <f>IF($B1972=0,NA(),IF(Inputs!$B$25&lt;&gt;"Yes",NA(),Inputs!$D$25*Inputs!$C$35))</f>
        <v/>
      </c>
      <c r="Q1972" s="54">
        <f>IF($B1972=0,NA(),IF(Inputs!$B$26&lt;&gt;"Yes",NA(),Inputs!$D$26*Inputs!$C$35))</f>
        <v/>
      </c>
      <c r="R1972" s="54">
        <f>IF($B1972=0,NA(),IF(Inputs!$B$27&lt;&gt;"Yes",NA(),Inputs!$D$27*Inputs!$C$35))</f>
        <v/>
      </c>
      <c r="S1972" s="54">
        <f>IF($B1972=0,NA(),IF(Inputs!$B$28&lt;&gt;"Yes",NA(),Inputs!$D$28*Inputs!$C$35))</f>
        <v/>
      </c>
      <c r="T1972" s="54">
        <f>IF($B1972=0,NA(),IF(Inputs!$B$29&lt;&gt;"Yes",NA(),Inputs!$D$29*Inputs!$C$35))</f>
        <v/>
      </c>
      <c r="AD1972">
        <f>IF($B1972=0,0,IF(Inputs!$B$6="",0,COUNTIFS(Data!$A$10:$A$3209,"&gt;="&amp;$A1972,Data!$A$10:$A$3209,"&lt;"&amp;$A1972+1)))</f>
        <v/>
      </c>
      <c r="AE1972">
        <f>IF($B1972=0,0,IF(Inputs!$B$7="",0,COUNTIFS(Data!$E$10:$E$3209,"&gt;="&amp;$A1972,Data!$E$10:$E$3209,"&lt;"&amp;$A1972+1)))</f>
        <v/>
      </c>
      <c r="AF1972">
        <f>IF($B1972=0,0,IF(Inputs!$B$8="",0,COUNTIFS(Data!$I$10:$I$3209,"&gt;="&amp;$A1972,Data!$I$10:$I$3209,"&lt;"&amp;$A1972+1)))</f>
        <v/>
      </c>
      <c r="AG1972">
        <f>IF($B1972=0,0,IF(Inputs!$B$9="",0,COUNTIFS(Data!$M$10:$M$3209,"&gt;="&amp;$A1972,Data!$M$10:$M$3209,"&lt;"&amp;$A1972+1)))</f>
        <v/>
      </c>
      <c r="AH1972">
        <f>IF($B1972=0,0,IF(Inputs!$B$10="",0,COUNTIFS(Data!$Q$10:$Q$3209,"&gt;="&amp;$A1972,Data!$Q$10:$Q$3209,"&lt;"&amp;$A1972+1)))</f>
        <v/>
      </c>
    </row>
    <row r="1973">
      <c r="A1973" s="55">
        <f>MIN(Inputs!$C$15,$A1972+IF(WEEKDAY($A1972,2)=5,3,1))</f>
        <v/>
      </c>
      <c r="B1973">
        <f>IF($A1973&gt;$A1972,1,0)</f>
        <v/>
      </c>
      <c r="C1973" s="56">
        <f>IF($B1973=0,"",IF(Inputs!$B$6="","",IF($AD1973=0,C1972,SUMIFS(Data!$B$10:$B$3209,Data!$A$10:$A$3209,"&gt;="&amp;$A1973,Data!$A$10:$A$3209,"&lt;"&amp;$A1973+1)/$AD1973)))</f>
        <v/>
      </c>
      <c r="D1973" s="56">
        <f>IF($B1973=0,"",IF(Inputs!$B$7="","",IF($AE1973=0,D1972,SUMIFS(Data!$F$10:$F$3209,Data!$E$10:$E$3209,"&gt;="&amp;$A1973,Data!$E$10:$E$3209,"&lt;"&amp;$A1973+1)/$AE1973)))</f>
        <v/>
      </c>
      <c r="E1973" s="56">
        <f>IF($B1973=0,"",IF(Inputs!$B$8="","",IF($AF1973=0,E1972,SUMIFS(Data!$J$10:$J$3209,Data!$I$10:$I$3209,"&gt;="&amp;$A1973,Data!$I$10:$I$3209,"&lt;"&amp;$A1973+1)/$AF1973)))</f>
        <v/>
      </c>
      <c r="F1973" s="56">
        <f>IF($B1973=0,"",IF(Inputs!$B$9="","",IF($AG1973=0,F1972,SUMIFS(Data!$N$10:$N$3209,Data!$M$10:$M$3209,"&gt;="&amp;$A1973,Data!$M$10:$M$3209,"&lt;"&amp;$A1973+1)/$AG1973)))</f>
        <v/>
      </c>
      <c r="G1973" s="56">
        <f>IF($B1973=0,"",IF(Inputs!$B$10="","",IF($AH1973=0,G1972,SUMIFS(Data!$R$10:$R$3209,Data!$Q$10:$Q$3209,"&gt;="&amp;$A1973,Data!$Q$10:$Q$3209,"&lt;"&amp;$A1973+1)/$AH1973)))</f>
        <v/>
      </c>
      <c r="I1973" s="54">
        <f>IF($B1973=0,NA(),IF($C1973="",NA(),IF(C$8="",NA(),IF(N(C$8)=0,NA(),IF(Inputs!$C$17="Rebased to 100",$C1973/C$8*100,$C1973)))))</f>
        <v/>
      </c>
      <c r="J1973" s="54">
        <f>IF($B1973=0,NA(),IF($D1973="",NA(),IF(D$8="",NA(),IF(N(D$8)=0,NA(),IF(Inputs!$C$17="Rebased to 100",$D1973/D$8*100,$D1973)))))</f>
        <v/>
      </c>
      <c r="K1973" s="54">
        <f>IF($B1973=0,NA(),IF($E1973="",NA(),IF(E$8="",NA(),IF(N(E$8)=0,NA(),IF(Inputs!$C$17="Rebased to 100",$E1973/E$8*100,$E1973)))))</f>
        <v/>
      </c>
      <c r="L1973" s="54">
        <f>IF($B1973=0,NA(),IF($F1973="",NA(),IF(F$8="",NA(),IF(N(F$8)=0,NA(),IF(Inputs!$C$17="Rebased to 100",$F1973/F$8*100,$F1973)))))</f>
        <v/>
      </c>
      <c r="M1973" s="54">
        <f>IF($B1973=0,NA(),IF($G1973="",NA(),IF(G$8="",NA(),IF(N(G$8)=0,NA(),IF(Inputs!$C$17="Rebased to 100",$G1973/G$8*100,$G1973)))))</f>
        <v/>
      </c>
      <c r="N1973" s="54">
        <f>IF($B1973=0,NA(),IF(Inputs!$C$18&lt;&gt;"Yes",NA(),IF(COUNT(I1973,J1973,K1973,L1973,M1973)=0,NA(),MIN(I1973,J1973,K1973,L1973,M1973))))</f>
        <v/>
      </c>
      <c r="O1973" s="54">
        <f>IF($B1973=0,NA(),IF(Inputs!$B$24&lt;&gt;"Yes",NA(),Inputs!$D$24*Inputs!$C$35))</f>
        <v/>
      </c>
      <c r="P1973" s="54">
        <f>IF($B1973=0,NA(),IF(Inputs!$B$25&lt;&gt;"Yes",NA(),Inputs!$D$25*Inputs!$C$35))</f>
        <v/>
      </c>
      <c r="Q1973" s="54">
        <f>IF($B1973=0,NA(),IF(Inputs!$B$26&lt;&gt;"Yes",NA(),Inputs!$D$26*Inputs!$C$35))</f>
        <v/>
      </c>
      <c r="R1973" s="54">
        <f>IF($B1973=0,NA(),IF(Inputs!$B$27&lt;&gt;"Yes",NA(),Inputs!$D$27*Inputs!$C$35))</f>
        <v/>
      </c>
      <c r="S1973" s="54">
        <f>IF($B1973=0,NA(),IF(Inputs!$B$28&lt;&gt;"Yes",NA(),Inputs!$D$28*Inputs!$C$35))</f>
        <v/>
      </c>
      <c r="T1973" s="54">
        <f>IF($B1973=0,NA(),IF(Inputs!$B$29&lt;&gt;"Yes",NA(),Inputs!$D$29*Inputs!$C$35))</f>
        <v/>
      </c>
      <c r="AD1973">
        <f>IF($B1973=0,0,IF(Inputs!$B$6="",0,COUNTIFS(Data!$A$10:$A$3209,"&gt;="&amp;$A1973,Data!$A$10:$A$3209,"&lt;"&amp;$A1973+1)))</f>
        <v/>
      </c>
      <c r="AE1973">
        <f>IF($B1973=0,0,IF(Inputs!$B$7="",0,COUNTIFS(Data!$E$10:$E$3209,"&gt;="&amp;$A1973,Data!$E$10:$E$3209,"&lt;"&amp;$A1973+1)))</f>
        <v/>
      </c>
      <c r="AF1973">
        <f>IF($B1973=0,0,IF(Inputs!$B$8="",0,COUNTIFS(Data!$I$10:$I$3209,"&gt;="&amp;$A1973,Data!$I$10:$I$3209,"&lt;"&amp;$A1973+1)))</f>
        <v/>
      </c>
      <c r="AG1973">
        <f>IF($B1973=0,0,IF(Inputs!$B$9="",0,COUNTIFS(Data!$M$10:$M$3209,"&gt;="&amp;$A1973,Data!$M$10:$M$3209,"&lt;"&amp;$A1973+1)))</f>
        <v/>
      </c>
      <c r="AH1973">
        <f>IF($B1973=0,0,IF(Inputs!$B$10="",0,COUNTIFS(Data!$Q$10:$Q$3209,"&gt;="&amp;$A1973,Data!$Q$10:$Q$3209,"&lt;"&amp;$A1973+1)))</f>
        <v/>
      </c>
    </row>
    <row r="1974">
      <c r="A1974" s="55">
        <f>MIN(Inputs!$C$15,$A1973+IF(WEEKDAY($A1973,2)=5,3,1))</f>
        <v/>
      </c>
      <c r="B1974">
        <f>IF($A1974&gt;$A1973,1,0)</f>
        <v/>
      </c>
      <c r="C1974" s="56">
        <f>IF($B1974=0,"",IF(Inputs!$B$6="","",IF($AD1974=0,C1973,SUMIFS(Data!$B$10:$B$3209,Data!$A$10:$A$3209,"&gt;="&amp;$A1974,Data!$A$10:$A$3209,"&lt;"&amp;$A1974+1)/$AD1974)))</f>
        <v/>
      </c>
      <c r="D1974" s="56">
        <f>IF($B1974=0,"",IF(Inputs!$B$7="","",IF($AE1974=0,D1973,SUMIFS(Data!$F$10:$F$3209,Data!$E$10:$E$3209,"&gt;="&amp;$A1974,Data!$E$10:$E$3209,"&lt;"&amp;$A1974+1)/$AE1974)))</f>
        <v/>
      </c>
      <c r="E1974" s="56">
        <f>IF($B1974=0,"",IF(Inputs!$B$8="","",IF($AF1974=0,E1973,SUMIFS(Data!$J$10:$J$3209,Data!$I$10:$I$3209,"&gt;="&amp;$A1974,Data!$I$10:$I$3209,"&lt;"&amp;$A1974+1)/$AF1974)))</f>
        <v/>
      </c>
      <c r="F1974" s="56">
        <f>IF($B1974=0,"",IF(Inputs!$B$9="","",IF($AG1974=0,F1973,SUMIFS(Data!$N$10:$N$3209,Data!$M$10:$M$3209,"&gt;="&amp;$A1974,Data!$M$10:$M$3209,"&lt;"&amp;$A1974+1)/$AG1974)))</f>
        <v/>
      </c>
      <c r="G1974" s="56">
        <f>IF($B1974=0,"",IF(Inputs!$B$10="","",IF($AH1974=0,G1973,SUMIFS(Data!$R$10:$R$3209,Data!$Q$10:$Q$3209,"&gt;="&amp;$A1974,Data!$Q$10:$Q$3209,"&lt;"&amp;$A1974+1)/$AH1974)))</f>
        <v/>
      </c>
      <c r="I1974" s="54">
        <f>IF($B1974=0,NA(),IF($C1974="",NA(),IF(C$8="",NA(),IF(N(C$8)=0,NA(),IF(Inputs!$C$17="Rebased to 100",$C1974/C$8*100,$C1974)))))</f>
        <v/>
      </c>
      <c r="J1974" s="54">
        <f>IF($B1974=0,NA(),IF($D1974="",NA(),IF(D$8="",NA(),IF(N(D$8)=0,NA(),IF(Inputs!$C$17="Rebased to 100",$D1974/D$8*100,$D1974)))))</f>
        <v/>
      </c>
      <c r="K1974" s="54">
        <f>IF($B1974=0,NA(),IF($E1974="",NA(),IF(E$8="",NA(),IF(N(E$8)=0,NA(),IF(Inputs!$C$17="Rebased to 100",$E1974/E$8*100,$E1974)))))</f>
        <v/>
      </c>
      <c r="L1974" s="54">
        <f>IF($B1974=0,NA(),IF($F1974="",NA(),IF(F$8="",NA(),IF(N(F$8)=0,NA(),IF(Inputs!$C$17="Rebased to 100",$F1974/F$8*100,$F1974)))))</f>
        <v/>
      </c>
      <c r="M1974" s="54">
        <f>IF($B1974=0,NA(),IF($G1974="",NA(),IF(G$8="",NA(),IF(N(G$8)=0,NA(),IF(Inputs!$C$17="Rebased to 100",$G1974/G$8*100,$G1974)))))</f>
        <v/>
      </c>
      <c r="N1974" s="54">
        <f>IF($B1974=0,NA(),IF(Inputs!$C$18&lt;&gt;"Yes",NA(),IF(COUNT(I1974,J1974,K1974,L1974,M1974)=0,NA(),MIN(I1974,J1974,K1974,L1974,M1974))))</f>
        <v/>
      </c>
      <c r="O1974" s="54">
        <f>IF($B1974=0,NA(),IF(Inputs!$B$24&lt;&gt;"Yes",NA(),Inputs!$D$24*Inputs!$C$35))</f>
        <v/>
      </c>
      <c r="P1974" s="54">
        <f>IF($B1974=0,NA(),IF(Inputs!$B$25&lt;&gt;"Yes",NA(),Inputs!$D$25*Inputs!$C$35))</f>
        <v/>
      </c>
      <c r="Q1974" s="54">
        <f>IF($B1974=0,NA(),IF(Inputs!$B$26&lt;&gt;"Yes",NA(),Inputs!$D$26*Inputs!$C$35))</f>
        <v/>
      </c>
      <c r="R1974" s="54">
        <f>IF($B1974=0,NA(),IF(Inputs!$B$27&lt;&gt;"Yes",NA(),Inputs!$D$27*Inputs!$C$35))</f>
        <v/>
      </c>
      <c r="S1974" s="54">
        <f>IF($B1974=0,NA(),IF(Inputs!$B$28&lt;&gt;"Yes",NA(),Inputs!$D$28*Inputs!$C$35))</f>
        <v/>
      </c>
      <c r="T1974" s="54">
        <f>IF($B1974=0,NA(),IF(Inputs!$B$29&lt;&gt;"Yes",NA(),Inputs!$D$29*Inputs!$C$35))</f>
        <v/>
      </c>
      <c r="AD1974">
        <f>IF($B1974=0,0,IF(Inputs!$B$6="",0,COUNTIFS(Data!$A$10:$A$3209,"&gt;="&amp;$A1974,Data!$A$10:$A$3209,"&lt;"&amp;$A1974+1)))</f>
        <v/>
      </c>
      <c r="AE1974">
        <f>IF($B1974=0,0,IF(Inputs!$B$7="",0,COUNTIFS(Data!$E$10:$E$3209,"&gt;="&amp;$A1974,Data!$E$10:$E$3209,"&lt;"&amp;$A1974+1)))</f>
        <v/>
      </c>
      <c r="AF1974">
        <f>IF($B1974=0,0,IF(Inputs!$B$8="",0,COUNTIFS(Data!$I$10:$I$3209,"&gt;="&amp;$A1974,Data!$I$10:$I$3209,"&lt;"&amp;$A1974+1)))</f>
        <v/>
      </c>
      <c r="AG1974">
        <f>IF($B1974=0,0,IF(Inputs!$B$9="",0,COUNTIFS(Data!$M$10:$M$3209,"&gt;="&amp;$A1974,Data!$M$10:$M$3209,"&lt;"&amp;$A1974+1)))</f>
        <v/>
      </c>
      <c r="AH1974">
        <f>IF($B1974=0,0,IF(Inputs!$B$10="",0,COUNTIFS(Data!$Q$10:$Q$3209,"&gt;="&amp;$A1974,Data!$Q$10:$Q$3209,"&lt;"&amp;$A1974+1)))</f>
        <v/>
      </c>
    </row>
    <row r="1975">
      <c r="A1975" s="55">
        <f>MIN(Inputs!$C$15,$A1974+IF(WEEKDAY($A1974,2)=5,3,1))</f>
        <v/>
      </c>
      <c r="B1975">
        <f>IF($A1975&gt;$A1974,1,0)</f>
        <v/>
      </c>
      <c r="C1975" s="56">
        <f>IF($B1975=0,"",IF(Inputs!$B$6="","",IF($AD1975=0,C1974,SUMIFS(Data!$B$10:$B$3209,Data!$A$10:$A$3209,"&gt;="&amp;$A1975,Data!$A$10:$A$3209,"&lt;"&amp;$A1975+1)/$AD1975)))</f>
        <v/>
      </c>
      <c r="D1975" s="56">
        <f>IF($B1975=0,"",IF(Inputs!$B$7="","",IF($AE1975=0,D1974,SUMIFS(Data!$F$10:$F$3209,Data!$E$10:$E$3209,"&gt;="&amp;$A1975,Data!$E$10:$E$3209,"&lt;"&amp;$A1975+1)/$AE1975)))</f>
        <v/>
      </c>
      <c r="E1975" s="56">
        <f>IF($B1975=0,"",IF(Inputs!$B$8="","",IF($AF1975=0,E1974,SUMIFS(Data!$J$10:$J$3209,Data!$I$10:$I$3209,"&gt;="&amp;$A1975,Data!$I$10:$I$3209,"&lt;"&amp;$A1975+1)/$AF1975)))</f>
        <v/>
      </c>
      <c r="F1975" s="56">
        <f>IF($B1975=0,"",IF(Inputs!$B$9="","",IF($AG1975=0,F1974,SUMIFS(Data!$N$10:$N$3209,Data!$M$10:$M$3209,"&gt;="&amp;$A1975,Data!$M$10:$M$3209,"&lt;"&amp;$A1975+1)/$AG1975)))</f>
        <v/>
      </c>
      <c r="G1975" s="56">
        <f>IF($B1975=0,"",IF(Inputs!$B$10="","",IF($AH1975=0,G1974,SUMIFS(Data!$R$10:$R$3209,Data!$Q$10:$Q$3209,"&gt;="&amp;$A1975,Data!$Q$10:$Q$3209,"&lt;"&amp;$A1975+1)/$AH1975)))</f>
        <v/>
      </c>
      <c r="I1975" s="54">
        <f>IF($B1975=0,NA(),IF($C1975="",NA(),IF(C$8="",NA(),IF(N(C$8)=0,NA(),IF(Inputs!$C$17="Rebased to 100",$C1975/C$8*100,$C1975)))))</f>
        <v/>
      </c>
      <c r="J1975" s="54">
        <f>IF($B1975=0,NA(),IF($D1975="",NA(),IF(D$8="",NA(),IF(N(D$8)=0,NA(),IF(Inputs!$C$17="Rebased to 100",$D1975/D$8*100,$D1975)))))</f>
        <v/>
      </c>
      <c r="K1975" s="54">
        <f>IF($B1975=0,NA(),IF($E1975="",NA(),IF(E$8="",NA(),IF(N(E$8)=0,NA(),IF(Inputs!$C$17="Rebased to 100",$E1975/E$8*100,$E1975)))))</f>
        <v/>
      </c>
      <c r="L1975" s="54">
        <f>IF($B1975=0,NA(),IF($F1975="",NA(),IF(F$8="",NA(),IF(N(F$8)=0,NA(),IF(Inputs!$C$17="Rebased to 100",$F1975/F$8*100,$F1975)))))</f>
        <v/>
      </c>
      <c r="M1975" s="54">
        <f>IF($B1975=0,NA(),IF($G1975="",NA(),IF(G$8="",NA(),IF(N(G$8)=0,NA(),IF(Inputs!$C$17="Rebased to 100",$G1975/G$8*100,$G1975)))))</f>
        <v/>
      </c>
      <c r="N1975" s="54">
        <f>IF($B1975=0,NA(),IF(Inputs!$C$18&lt;&gt;"Yes",NA(),IF(COUNT(I1975,J1975,K1975,L1975,M1975)=0,NA(),MIN(I1975,J1975,K1975,L1975,M1975))))</f>
        <v/>
      </c>
      <c r="O1975" s="54">
        <f>IF($B1975=0,NA(),IF(Inputs!$B$24&lt;&gt;"Yes",NA(),Inputs!$D$24*Inputs!$C$35))</f>
        <v/>
      </c>
      <c r="P1975" s="54">
        <f>IF($B1975=0,NA(),IF(Inputs!$B$25&lt;&gt;"Yes",NA(),Inputs!$D$25*Inputs!$C$35))</f>
        <v/>
      </c>
      <c r="Q1975" s="54">
        <f>IF($B1975=0,NA(),IF(Inputs!$B$26&lt;&gt;"Yes",NA(),Inputs!$D$26*Inputs!$C$35))</f>
        <v/>
      </c>
      <c r="R1975" s="54">
        <f>IF($B1975=0,NA(),IF(Inputs!$B$27&lt;&gt;"Yes",NA(),Inputs!$D$27*Inputs!$C$35))</f>
        <v/>
      </c>
      <c r="S1975" s="54">
        <f>IF($B1975=0,NA(),IF(Inputs!$B$28&lt;&gt;"Yes",NA(),Inputs!$D$28*Inputs!$C$35))</f>
        <v/>
      </c>
      <c r="T1975" s="54">
        <f>IF($B1975=0,NA(),IF(Inputs!$B$29&lt;&gt;"Yes",NA(),Inputs!$D$29*Inputs!$C$35))</f>
        <v/>
      </c>
      <c r="AD1975">
        <f>IF($B1975=0,0,IF(Inputs!$B$6="",0,COUNTIFS(Data!$A$10:$A$3209,"&gt;="&amp;$A1975,Data!$A$10:$A$3209,"&lt;"&amp;$A1975+1)))</f>
        <v/>
      </c>
      <c r="AE1975">
        <f>IF($B1975=0,0,IF(Inputs!$B$7="",0,COUNTIFS(Data!$E$10:$E$3209,"&gt;="&amp;$A1975,Data!$E$10:$E$3209,"&lt;"&amp;$A1975+1)))</f>
        <v/>
      </c>
      <c r="AF1975">
        <f>IF($B1975=0,0,IF(Inputs!$B$8="",0,COUNTIFS(Data!$I$10:$I$3209,"&gt;="&amp;$A1975,Data!$I$10:$I$3209,"&lt;"&amp;$A1975+1)))</f>
        <v/>
      </c>
      <c r="AG1975">
        <f>IF($B1975=0,0,IF(Inputs!$B$9="",0,COUNTIFS(Data!$M$10:$M$3209,"&gt;="&amp;$A1975,Data!$M$10:$M$3209,"&lt;"&amp;$A1975+1)))</f>
        <v/>
      </c>
      <c r="AH1975">
        <f>IF($B1975=0,0,IF(Inputs!$B$10="",0,COUNTIFS(Data!$Q$10:$Q$3209,"&gt;="&amp;$A1975,Data!$Q$10:$Q$3209,"&lt;"&amp;$A1975+1)))</f>
        <v/>
      </c>
    </row>
    <row r="1976">
      <c r="A1976" s="55">
        <f>MIN(Inputs!$C$15,$A1975+IF(WEEKDAY($A1975,2)=5,3,1))</f>
        <v/>
      </c>
      <c r="B1976">
        <f>IF($A1976&gt;$A1975,1,0)</f>
        <v/>
      </c>
      <c r="C1976" s="56">
        <f>IF($B1976=0,"",IF(Inputs!$B$6="","",IF($AD1976=0,C1975,SUMIFS(Data!$B$10:$B$3209,Data!$A$10:$A$3209,"&gt;="&amp;$A1976,Data!$A$10:$A$3209,"&lt;"&amp;$A1976+1)/$AD1976)))</f>
        <v/>
      </c>
      <c r="D1976" s="56">
        <f>IF($B1976=0,"",IF(Inputs!$B$7="","",IF($AE1976=0,D1975,SUMIFS(Data!$F$10:$F$3209,Data!$E$10:$E$3209,"&gt;="&amp;$A1976,Data!$E$10:$E$3209,"&lt;"&amp;$A1976+1)/$AE1976)))</f>
        <v/>
      </c>
      <c r="E1976" s="56">
        <f>IF($B1976=0,"",IF(Inputs!$B$8="","",IF($AF1976=0,E1975,SUMIFS(Data!$J$10:$J$3209,Data!$I$10:$I$3209,"&gt;="&amp;$A1976,Data!$I$10:$I$3209,"&lt;"&amp;$A1976+1)/$AF1976)))</f>
        <v/>
      </c>
      <c r="F1976" s="56">
        <f>IF($B1976=0,"",IF(Inputs!$B$9="","",IF($AG1976=0,F1975,SUMIFS(Data!$N$10:$N$3209,Data!$M$10:$M$3209,"&gt;="&amp;$A1976,Data!$M$10:$M$3209,"&lt;"&amp;$A1976+1)/$AG1976)))</f>
        <v/>
      </c>
      <c r="G1976" s="56">
        <f>IF($B1976=0,"",IF(Inputs!$B$10="","",IF($AH1976=0,G1975,SUMIFS(Data!$R$10:$R$3209,Data!$Q$10:$Q$3209,"&gt;="&amp;$A1976,Data!$Q$10:$Q$3209,"&lt;"&amp;$A1976+1)/$AH1976)))</f>
        <v/>
      </c>
      <c r="I1976" s="54">
        <f>IF($B1976=0,NA(),IF($C1976="",NA(),IF(C$8="",NA(),IF(N(C$8)=0,NA(),IF(Inputs!$C$17="Rebased to 100",$C1976/C$8*100,$C1976)))))</f>
        <v/>
      </c>
      <c r="J1976" s="54">
        <f>IF($B1976=0,NA(),IF($D1976="",NA(),IF(D$8="",NA(),IF(N(D$8)=0,NA(),IF(Inputs!$C$17="Rebased to 100",$D1976/D$8*100,$D1976)))))</f>
        <v/>
      </c>
      <c r="K1976" s="54">
        <f>IF($B1976=0,NA(),IF($E1976="",NA(),IF(E$8="",NA(),IF(N(E$8)=0,NA(),IF(Inputs!$C$17="Rebased to 100",$E1976/E$8*100,$E1976)))))</f>
        <v/>
      </c>
      <c r="L1976" s="54">
        <f>IF($B1976=0,NA(),IF($F1976="",NA(),IF(F$8="",NA(),IF(N(F$8)=0,NA(),IF(Inputs!$C$17="Rebased to 100",$F1976/F$8*100,$F1976)))))</f>
        <v/>
      </c>
      <c r="M1976" s="54">
        <f>IF($B1976=0,NA(),IF($G1976="",NA(),IF(G$8="",NA(),IF(N(G$8)=0,NA(),IF(Inputs!$C$17="Rebased to 100",$G1976/G$8*100,$G1976)))))</f>
        <v/>
      </c>
      <c r="N1976" s="54">
        <f>IF($B1976=0,NA(),IF(Inputs!$C$18&lt;&gt;"Yes",NA(),IF(COUNT(I1976,J1976,K1976,L1976,M1976)=0,NA(),MIN(I1976,J1976,K1976,L1976,M1976))))</f>
        <v/>
      </c>
      <c r="O1976" s="54">
        <f>IF($B1976=0,NA(),IF(Inputs!$B$24&lt;&gt;"Yes",NA(),Inputs!$D$24*Inputs!$C$35))</f>
        <v/>
      </c>
      <c r="P1976" s="54">
        <f>IF($B1976=0,NA(),IF(Inputs!$B$25&lt;&gt;"Yes",NA(),Inputs!$D$25*Inputs!$C$35))</f>
        <v/>
      </c>
      <c r="Q1976" s="54">
        <f>IF($B1976=0,NA(),IF(Inputs!$B$26&lt;&gt;"Yes",NA(),Inputs!$D$26*Inputs!$C$35))</f>
        <v/>
      </c>
      <c r="R1976" s="54">
        <f>IF($B1976=0,NA(),IF(Inputs!$B$27&lt;&gt;"Yes",NA(),Inputs!$D$27*Inputs!$C$35))</f>
        <v/>
      </c>
      <c r="S1976" s="54">
        <f>IF($B1976=0,NA(),IF(Inputs!$B$28&lt;&gt;"Yes",NA(),Inputs!$D$28*Inputs!$C$35))</f>
        <v/>
      </c>
      <c r="T1976" s="54">
        <f>IF($B1976=0,NA(),IF(Inputs!$B$29&lt;&gt;"Yes",NA(),Inputs!$D$29*Inputs!$C$35))</f>
        <v/>
      </c>
      <c r="AD1976">
        <f>IF($B1976=0,0,IF(Inputs!$B$6="",0,COUNTIFS(Data!$A$10:$A$3209,"&gt;="&amp;$A1976,Data!$A$10:$A$3209,"&lt;"&amp;$A1976+1)))</f>
        <v/>
      </c>
      <c r="AE1976">
        <f>IF($B1976=0,0,IF(Inputs!$B$7="",0,COUNTIFS(Data!$E$10:$E$3209,"&gt;="&amp;$A1976,Data!$E$10:$E$3209,"&lt;"&amp;$A1976+1)))</f>
        <v/>
      </c>
      <c r="AF1976">
        <f>IF($B1976=0,0,IF(Inputs!$B$8="",0,COUNTIFS(Data!$I$10:$I$3209,"&gt;="&amp;$A1976,Data!$I$10:$I$3209,"&lt;"&amp;$A1976+1)))</f>
        <v/>
      </c>
      <c r="AG1976">
        <f>IF($B1976=0,0,IF(Inputs!$B$9="",0,COUNTIFS(Data!$M$10:$M$3209,"&gt;="&amp;$A1976,Data!$M$10:$M$3209,"&lt;"&amp;$A1976+1)))</f>
        <v/>
      </c>
      <c r="AH1976">
        <f>IF($B1976=0,0,IF(Inputs!$B$10="",0,COUNTIFS(Data!$Q$10:$Q$3209,"&gt;="&amp;$A1976,Data!$Q$10:$Q$3209,"&lt;"&amp;$A1976+1)))</f>
        <v/>
      </c>
    </row>
    <row r="1977">
      <c r="A1977" s="55">
        <f>MIN(Inputs!$C$15,$A1976+IF(WEEKDAY($A1976,2)=5,3,1))</f>
        <v/>
      </c>
      <c r="B1977">
        <f>IF($A1977&gt;$A1976,1,0)</f>
        <v/>
      </c>
      <c r="C1977" s="56">
        <f>IF($B1977=0,"",IF(Inputs!$B$6="","",IF($AD1977=0,C1976,SUMIFS(Data!$B$10:$B$3209,Data!$A$10:$A$3209,"&gt;="&amp;$A1977,Data!$A$10:$A$3209,"&lt;"&amp;$A1977+1)/$AD1977)))</f>
        <v/>
      </c>
      <c r="D1977" s="56">
        <f>IF($B1977=0,"",IF(Inputs!$B$7="","",IF($AE1977=0,D1976,SUMIFS(Data!$F$10:$F$3209,Data!$E$10:$E$3209,"&gt;="&amp;$A1977,Data!$E$10:$E$3209,"&lt;"&amp;$A1977+1)/$AE1977)))</f>
        <v/>
      </c>
      <c r="E1977" s="56">
        <f>IF($B1977=0,"",IF(Inputs!$B$8="","",IF($AF1977=0,E1976,SUMIFS(Data!$J$10:$J$3209,Data!$I$10:$I$3209,"&gt;="&amp;$A1977,Data!$I$10:$I$3209,"&lt;"&amp;$A1977+1)/$AF1977)))</f>
        <v/>
      </c>
      <c r="F1977" s="56">
        <f>IF($B1977=0,"",IF(Inputs!$B$9="","",IF($AG1977=0,F1976,SUMIFS(Data!$N$10:$N$3209,Data!$M$10:$M$3209,"&gt;="&amp;$A1977,Data!$M$10:$M$3209,"&lt;"&amp;$A1977+1)/$AG1977)))</f>
        <v/>
      </c>
      <c r="G1977" s="56">
        <f>IF($B1977=0,"",IF(Inputs!$B$10="","",IF($AH1977=0,G1976,SUMIFS(Data!$R$10:$R$3209,Data!$Q$10:$Q$3209,"&gt;="&amp;$A1977,Data!$Q$10:$Q$3209,"&lt;"&amp;$A1977+1)/$AH1977)))</f>
        <v/>
      </c>
      <c r="I1977" s="54">
        <f>IF($B1977=0,NA(),IF($C1977="",NA(),IF(C$8="",NA(),IF(N(C$8)=0,NA(),IF(Inputs!$C$17="Rebased to 100",$C1977/C$8*100,$C1977)))))</f>
        <v/>
      </c>
      <c r="J1977" s="54">
        <f>IF($B1977=0,NA(),IF($D1977="",NA(),IF(D$8="",NA(),IF(N(D$8)=0,NA(),IF(Inputs!$C$17="Rebased to 100",$D1977/D$8*100,$D1977)))))</f>
        <v/>
      </c>
      <c r="K1977" s="54">
        <f>IF($B1977=0,NA(),IF($E1977="",NA(),IF(E$8="",NA(),IF(N(E$8)=0,NA(),IF(Inputs!$C$17="Rebased to 100",$E1977/E$8*100,$E1977)))))</f>
        <v/>
      </c>
      <c r="L1977" s="54">
        <f>IF($B1977=0,NA(),IF($F1977="",NA(),IF(F$8="",NA(),IF(N(F$8)=0,NA(),IF(Inputs!$C$17="Rebased to 100",$F1977/F$8*100,$F1977)))))</f>
        <v/>
      </c>
      <c r="M1977" s="54">
        <f>IF($B1977=0,NA(),IF($G1977="",NA(),IF(G$8="",NA(),IF(N(G$8)=0,NA(),IF(Inputs!$C$17="Rebased to 100",$G1977/G$8*100,$G1977)))))</f>
        <v/>
      </c>
      <c r="N1977" s="54">
        <f>IF($B1977=0,NA(),IF(Inputs!$C$18&lt;&gt;"Yes",NA(),IF(COUNT(I1977,J1977,K1977,L1977,M1977)=0,NA(),MIN(I1977,J1977,K1977,L1977,M1977))))</f>
        <v/>
      </c>
      <c r="O1977" s="54">
        <f>IF($B1977=0,NA(),IF(Inputs!$B$24&lt;&gt;"Yes",NA(),Inputs!$D$24*Inputs!$C$35))</f>
        <v/>
      </c>
      <c r="P1977" s="54">
        <f>IF($B1977=0,NA(),IF(Inputs!$B$25&lt;&gt;"Yes",NA(),Inputs!$D$25*Inputs!$C$35))</f>
        <v/>
      </c>
      <c r="Q1977" s="54">
        <f>IF($B1977=0,NA(),IF(Inputs!$B$26&lt;&gt;"Yes",NA(),Inputs!$D$26*Inputs!$C$35))</f>
        <v/>
      </c>
      <c r="R1977" s="54">
        <f>IF($B1977=0,NA(),IF(Inputs!$B$27&lt;&gt;"Yes",NA(),Inputs!$D$27*Inputs!$C$35))</f>
        <v/>
      </c>
      <c r="S1977" s="54">
        <f>IF($B1977=0,NA(),IF(Inputs!$B$28&lt;&gt;"Yes",NA(),Inputs!$D$28*Inputs!$C$35))</f>
        <v/>
      </c>
      <c r="T1977" s="54">
        <f>IF($B1977=0,NA(),IF(Inputs!$B$29&lt;&gt;"Yes",NA(),Inputs!$D$29*Inputs!$C$35))</f>
        <v/>
      </c>
      <c r="AD1977">
        <f>IF($B1977=0,0,IF(Inputs!$B$6="",0,COUNTIFS(Data!$A$10:$A$3209,"&gt;="&amp;$A1977,Data!$A$10:$A$3209,"&lt;"&amp;$A1977+1)))</f>
        <v/>
      </c>
      <c r="AE1977">
        <f>IF($B1977=0,0,IF(Inputs!$B$7="",0,COUNTIFS(Data!$E$10:$E$3209,"&gt;="&amp;$A1977,Data!$E$10:$E$3209,"&lt;"&amp;$A1977+1)))</f>
        <v/>
      </c>
      <c r="AF1977">
        <f>IF($B1977=0,0,IF(Inputs!$B$8="",0,COUNTIFS(Data!$I$10:$I$3209,"&gt;="&amp;$A1977,Data!$I$10:$I$3209,"&lt;"&amp;$A1977+1)))</f>
        <v/>
      </c>
      <c r="AG1977">
        <f>IF($B1977=0,0,IF(Inputs!$B$9="",0,COUNTIFS(Data!$M$10:$M$3209,"&gt;="&amp;$A1977,Data!$M$10:$M$3209,"&lt;"&amp;$A1977+1)))</f>
        <v/>
      </c>
      <c r="AH1977">
        <f>IF($B1977=0,0,IF(Inputs!$B$10="",0,COUNTIFS(Data!$Q$10:$Q$3209,"&gt;="&amp;$A1977,Data!$Q$10:$Q$3209,"&lt;"&amp;$A1977+1)))</f>
        <v/>
      </c>
    </row>
    <row r="1978">
      <c r="A1978" s="55">
        <f>MIN(Inputs!$C$15,$A1977+IF(WEEKDAY($A1977,2)=5,3,1))</f>
        <v/>
      </c>
      <c r="B1978">
        <f>IF($A1978&gt;$A1977,1,0)</f>
        <v/>
      </c>
      <c r="C1978" s="56">
        <f>IF($B1978=0,"",IF(Inputs!$B$6="","",IF($AD1978=0,C1977,SUMIFS(Data!$B$10:$B$3209,Data!$A$10:$A$3209,"&gt;="&amp;$A1978,Data!$A$10:$A$3209,"&lt;"&amp;$A1978+1)/$AD1978)))</f>
        <v/>
      </c>
      <c r="D1978" s="56">
        <f>IF($B1978=0,"",IF(Inputs!$B$7="","",IF($AE1978=0,D1977,SUMIFS(Data!$F$10:$F$3209,Data!$E$10:$E$3209,"&gt;="&amp;$A1978,Data!$E$10:$E$3209,"&lt;"&amp;$A1978+1)/$AE1978)))</f>
        <v/>
      </c>
      <c r="E1978" s="56">
        <f>IF($B1978=0,"",IF(Inputs!$B$8="","",IF($AF1978=0,E1977,SUMIFS(Data!$J$10:$J$3209,Data!$I$10:$I$3209,"&gt;="&amp;$A1978,Data!$I$10:$I$3209,"&lt;"&amp;$A1978+1)/$AF1978)))</f>
        <v/>
      </c>
      <c r="F1978" s="56">
        <f>IF($B1978=0,"",IF(Inputs!$B$9="","",IF($AG1978=0,F1977,SUMIFS(Data!$N$10:$N$3209,Data!$M$10:$M$3209,"&gt;="&amp;$A1978,Data!$M$10:$M$3209,"&lt;"&amp;$A1978+1)/$AG1978)))</f>
        <v/>
      </c>
      <c r="G1978" s="56">
        <f>IF($B1978=0,"",IF(Inputs!$B$10="","",IF($AH1978=0,G1977,SUMIFS(Data!$R$10:$R$3209,Data!$Q$10:$Q$3209,"&gt;="&amp;$A1978,Data!$Q$10:$Q$3209,"&lt;"&amp;$A1978+1)/$AH1978)))</f>
        <v/>
      </c>
      <c r="I1978" s="54">
        <f>IF($B1978=0,NA(),IF($C1978="",NA(),IF(C$8="",NA(),IF(N(C$8)=0,NA(),IF(Inputs!$C$17="Rebased to 100",$C1978/C$8*100,$C1978)))))</f>
        <v/>
      </c>
      <c r="J1978" s="54">
        <f>IF($B1978=0,NA(),IF($D1978="",NA(),IF(D$8="",NA(),IF(N(D$8)=0,NA(),IF(Inputs!$C$17="Rebased to 100",$D1978/D$8*100,$D1978)))))</f>
        <v/>
      </c>
      <c r="K1978" s="54">
        <f>IF($B1978=0,NA(),IF($E1978="",NA(),IF(E$8="",NA(),IF(N(E$8)=0,NA(),IF(Inputs!$C$17="Rebased to 100",$E1978/E$8*100,$E1978)))))</f>
        <v/>
      </c>
      <c r="L1978" s="54">
        <f>IF($B1978=0,NA(),IF($F1978="",NA(),IF(F$8="",NA(),IF(N(F$8)=0,NA(),IF(Inputs!$C$17="Rebased to 100",$F1978/F$8*100,$F1978)))))</f>
        <v/>
      </c>
      <c r="M1978" s="54">
        <f>IF($B1978=0,NA(),IF($G1978="",NA(),IF(G$8="",NA(),IF(N(G$8)=0,NA(),IF(Inputs!$C$17="Rebased to 100",$G1978/G$8*100,$G1978)))))</f>
        <v/>
      </c>
      <c r="N1978" s="54">
        <f>IF($B1978=0,NA(),IF(Inputs!$C$18&lt;&gt;"Yes",NA(),IF(COUNT(I1978,J1978,K1978,L1978,M1978)=0,NA(),MIN(I1978,J1978,K1978,L1978,M1978))))</f>
        <v/>
      </c>
      <c r="O1978" s="54">
        <f>IF($B1978=0,NA(),IF(Inputs!$B$24&lt;&gt;"Yes",NA(),Inputs!$D$24*Inputs!$C$35))</f>
        <v/>
      </c>
      <c r="P1978" s="54">
        <f>IF($B1978=0,NA(),IF(Inputs!$B$25&lt;&gt;"Yes",NA(),Inputs!$D$25*Inputs!$C$35))</f>
        <v/>
      </c>
      <c r="Q1978" s="54">
        <f>IF($B1978=0,NA(),IF(Inputs!$B$26&lt;&gt;"Yes",NA(),Inputs!$D$26*Inputs!$C$35))</f>
        <v/>
      </c>
      <c r="R1978" s="54">
        <f>IF($B1978=0,NA(),IF(Inputs!$B$27&lt;&gt;"Yes",NA(),Inputs!$D$27*Inputs!$C$35))</f>
        <v/>
      </c>
      <c r="S1978" s="54">
        <f>IF($B1978=0,NA(),IF(Inputs!$B$28&lt;&gt;"Yes",NA(),Inputs!$D$28*Inputs!$C$35))</f>
        <v/>
      </c>
      <c r="T1978" s="54">
        <f>IF($B1978=0,NA(),IF(Inputs!$B$29&lt;&gt;"Yes",NA(),Inputs!$D$29*Inputs!$C$35))</f>
        <v/>
      </c>
      <c r="AD1978">
        <f>IF($B1978=0,0,IF(Inputs!$B$6="",0,COUNTIFS(Data!$A$10:$A$3209,"&gt;="&amp;$A1978,Data!$A$10:$A$3209,"&lt;"&amp;$A1978+1)))</f>
        <v/>
      </c>
      <c r="AE1978">
        <f>IF($B1978=0,0,IF(Inputs!$B$7="",0,COUNTIFS(Data!$E$10:$E$3209,"&gt;="&amp;$A1978,Data!$E$10:$E$3209,"&lt;"&amp;$A1978+1)))</f>
        <v/>
      </c>
      <c r="AF1978">
        <f>IF($B1978=0,0,IF(Inputs!$B$8="",0,COUNTIFS(Data!$I$10:$I$3209,"&gt;="&amp;$A1978,Data!$I$10:$I$3209,"&lt;"&amp;$A1978+1)))</f>
        <v/>
      </c>
      <c r="AG1978">
        <f>IF($B1978=0,0,IF(Inputs!$B$9="",0,COUNTIFS(Data!$M$10:$M$3209,"&gt;="&amp;$A1978,Data!$M$10:$M$3209,"&lt;"&amp;$A1978+1)))</f>
        <v/>
      </c>
      <c r="AH1978">
        <f>IF($B1978=0,0,IF(Inputs!$B$10="",0,COUNTIFS(Data!$Q$10:$Q$3209,"&gt;="&amp;$A1978,Data!$Q$10:$Q$3209,"&lt;"&amp;$A1978+1)))</f>
        <v/>
      </c>
    </row>
    <row r="1979">
      <c r="A1979" s="55">
        <f>MIN(Inputs!$C$15,$A1978+IF(WEEKDAY($A1978,2)=5,3,1))</f>
        <v/>
      </c>
      <c r="B1979">
        <f>IF($A1979&gt;$A1978,1,0)</f>
        <v/>
      </c>
      <c r="C1979" s="56">
        <f>IF($B1979=0,"",IF(Inputs!$B$6="","",IF($AD1979=0,C1978,SUMIFS(Data!$B$10:$B$3209,Data!$A$10:$A$3209,"&gt;="&amp;$A1979,Data!$A$10:$A$3209,"&lt;"&amp;$A1979+1)/$AD1979)))</f>
        <v/>
      </c>
      <c r="D1979" s="56">
        <f>IF($B1979=0,"",IF(Inputs!$B$7="","",IF($AE1979=0,D1978,SUMIFS(Data!$F$10:$F$3209,Data!$E$10:$E$3209,"&gt;="&amp;$A1979,Data!$E$10:$E$3209,"&lt;"&amp;$A1979+1)/$AE1979)))</f>
        <v/>
      </c>
      <c r="E1979" s="56">
        <f>IF($B1979=0,"",IF(Inputs!$B$8="","",IF($AF1979=0,E1978,SUMIFS(Data!$J$10:$J$3209,Data!$I$10:$I$3209,"&gt;="&amp;$A1979,Data!$I$10:$I$3209,"&lt;"&amp;$A1979+1)/$AF1979)))</f>
        <v/>
      </c>
      <c r="F1979" s="56">
        <f>IF($B1979=0,"",IF(Inputs!$B$9="","",IF($AG1979=0,F1978,SUMIFS(Data!$N$10:$N$3209,Data!$M$10:$M$3209,"&gt;="&amp;$A1979,Data!$M$10:$M$3209,"&lt;"&amp;$A1979+1)/$AG1979)))</f>
        <v/>
      </c>
      <c r="G1979" s="56">
        <f>IF($B1979=0,"",IF(Inputs!$B$10="","",IF($AH1979=0,G1978,SUMIFS(Data!$R$10:$R$3209,Data!$Q$10:$Q$3209,"&gt;="&amp;$A1979,Data!$Q$10:$Q$3209,"&lt;"&amp;$A1979+1)/$AH1979)))</f>
        <v/>
      </c>
      <c r="I1979" s="54">
        <f>IF($B1979=0,NA(),IF($C1979="",NA(),IF(C$8="",NA(),IF(N(C$8)=0,NA(),IF(Inputs!$C$17="Rebased to 100",$C1979/C$8*100,$C1979)))))</f>
        <v/>
      </c>
      <c r="J1979" s="54">
        <f>IF($B1979=0,NA(),IF($D1979="",NA(),IF(D$8="",NA(),IF(N(D$8)=0,NA(),IF(Inputs!$C$17="Rebased to 100",$D1979/D$8*100,$D1979)))))</f>
        <v/>
      </c>
      <c r="K1979" s="54">
        <f>IF($B1979=0,NA(),IF($E1979="",NA(),IF(E$8="",NA(),IF(N(E$8)=0,NA(),IF(Inputs!$C$17="Rebased to 100",$E1979/E$8*100,$E1979)))))</f>
        <v/>
      </c>
      <c r="L1979" s="54">
        <f>IF($B1979=0,NA(),IF($F1979="",NA(),IF(F$8="",NA(),IF(N(F$8)=0,NA(),IF(Inputs!$C$17="Rebased to 100",$F1979/F$8*100,$F1979)))))</f>
        <v/>
      </c>
      <c r="M1979" s="54">
        <f>IF($B1979=0,NA(),IF($G1979="",NA(),IF(G$8="",NA(),IF(N(G$8)=0,NA(),IF(Inputs!$C$17="Rebased to 100",$G1979/G$8*100,$G1979)))))</f>
        <v/>
      </c>
      <c r="N1979" s="54">
        <f>IF($B1979=0,NA(),IF(Inputs!$C$18&lt;&gt;"Yes",NA(),IF(COUNT(I1979,J1979,K1979,L1979,M1979)=0,NA(),MIN(I1979,J1979,K1979,L1979,M1979))))</f>
        <v/>
      </c>
      <c r="O1979" s="54">
        <f>IF($B1979=0,NA(),IF(Inputs!$B$24&lt;&gt;"Yes",NA(),Inputs!$D$24*Inputs!$C$35))</f>
        <v/>
      </c>
      <c r="P1979" s="54">
        <f>IF($B1979=0,NA(),IF(Inputs!$B$25&lt;&gt;"Yes",NA(),Inputs!$D$25*Inputs!$C$35))</f>
        <v/>
      </c>
      <c r="Q1979" s="54">
        <f>IF($B1979=0,NA(),IF(Inputs!$B$26&lt;&gt;"Yes",NA(),Inputs!$D$26*Inputs!$C$35))</f>
        <v/>
      </c>
      <c r="R1979" s="54">
        <f>IF($B1979=0,NA(),IF(Inputs!$B$27&lt;&gt;"Yes",NA(),Inputs!$D$27*Inputs!$C$35))</f>
        <v/>
      </c>
      <c r="S1979" s="54">
        <f>IF($B1979=0,NA(),IF(Inputs!$B$28&lt;&gt;"Yes",NA(),Inputs!$D$28*Inputs!$C$35))</f>
        <v/>
      </c>
      <c r="T1979" s="54">
        <f>IF($B1979=0,NA(),IF(Inputs!$B$29&lt;&gt;"Yes",NA(),Inputs!$D$29*Inputs!$C$35))</f>
        <v/>
      </c>
      <c r="AD1979">
        <f>IF($B1979=0,0,IF(Inputs!$B$6="",0,COUNTIFS(Data!$A$10:$A$3209,"&gt;="&amp;$A1979,Data!$A$10:$A$3209,"&lt;"&amp;$A1979+1)))</f>
        <v/>
      </c>
      <c r="AE1979">
        <f>IF($B1979=0,0,IF(Inputs!$B$7="",0,COUNTIFS(Data!$E$10:$E$3209,"&gt;="&amp;$A1979,Data!$E$10:$E$3209,"&lt;"&amp;$A1979+1)))</f>
        <v/>
      </c>
      <c r="AF1979">
        <f>IF($B1979=0,0,IF(Inputs!$B$8="",0,COUNTIFS(Data!$I$10:$I$3209,"&gt;="&amp;$A1979,Data!$I$10:$I$3209,"&lt;"&amp;$A1979+1)))</f>
        <v/>
      </c>
      <c r="AG1979">
        <f>IF($B1979=0,0,IF(Inputs!$B$9="",0,COUNTIFS(Data!$M$10:$M$3209,"&gt;="&amp;$A1979,Data!$M$10:$M$3209,"&lt;"&amp;$A1979+1)))</f>
        <v/>
      </c>
      <c r="AH1979">
        <f>IF($B1979=0,0,IF(Inputs!$B$10="",0,COUNTIFS(Data!$Q$10:$Q$3209,"&gt;="&amp;$A1979,Data!$Q$10:$Q$3209,"&lt;"&amp;$A1979+1)))</f>
        <v/>
      </c>
    </row>
    <row r="1980">
      <c r="A1980" s="55">
        <f>MIN(Inputs!$C$15,$A1979+IF(WEEKDAY($A1979,2)=5,3,1))</f>
        <v/>
      </c>
      <c r="B1980">
        <f>IF($A1980&gt;$A1979,1,0)</f>
        <v/>
      </c>
      <c r="C1980" s="56">
        <f>IF($B1980=0,"",IF(Inputs!$B$6="","",IF($AD1980=0,C1979,SUMIFS(Data!$B$10:$B$3209,Data!$A$10:$A$3209,"&gt;="&amp;$A1980,Data!$A$10:$A$3209,"&lt;"&amp;$A1980+1)/$AD1980)))</f>
        <v/>
      </c>
      <c r="D1980" s="56">
        <f>IF($B1980=0,"",IF(Inputs!$B$7="","",IF($AE1980=0,D1979,SUMIFS(Data!$F$10:$F$3209,Data!$E$10:$E$3209,"&gt;="&amp;$A1980,Data!$E$10:$E$3209,"&lt;"&amp;$A1980+1)/$AE1980)))</f>
        <v/>
      </c>
      <c r="E1980" s="56">
        <f>IF($B1980=0,"",IF(Inputs!$B$8="","",IF($AF1980=0,E1979,SUMIFS(Data!$J$10:$J$3209,Data!$I$10:$I$3209,"&gt;="&amp;$A1980,Data!$I$10:$I$3209,"&lt;"&amp;$A1980+1)/$AF1980)))</f>
        <v/>
      </c>
      <c r="F1980" s="56">
        <f>IF($B1980=0,"",IF(Inputs!$B$9="","",IF($AG1980=0,F1979,SUMIFS(Data!$N$10:$N$3209,Data!$M$10:$M$3209,"&gt;="&amp;$A1980,Data!$M$10:$M$3209,"&lt;"&amp;$A1980+1)/$AG1980)))</f>
        <v/>
      </c>
      <c r="G1980" s="56">
        <f>IF($B1980=0,"",IF(Inputs!$B$10="","",IF($AH1980=0,G1979,SUMIFS(Data!$R$10:$R$3209,Data!$Q$10:$Q$3209,"&gt;="&amp;$A1980,Data!$Q$10:$Q$3209,"&lt;"&amp;$A1980+1)/$AH1980)))</f>
        <v/>
      </c>
      <c r="I1980" s="54">
        <f>IF($B1980=0,NA(),IF($C1980="",NA(),IF(C$8="",NA(),IF(N(C$8)=0,NA(),IF(Inputs!$C$17="Rebased to 100",$C1980/C$8*100,$C1980)))))</f>
        <v/>
      </c>
      <c r="J1980" s="54">
        <f>IF($B1980=0,NA(),IF($D1980="",NA(),IF(D$8="",NA(),IF(N(D$8)=0,NA(),IF(Inputs!$C$17="Rebased to 100",$D1980/D$8*100,$D1980)))))</f>
        <v/>
      </c>
      <c r="K1980" s="54">
        <f>IF($B1980=0,NA(),IF($E1980="",NA(),IF(E$8="",NA(),IF(N(E$8)=0,NA(),IF(Inputs!$C$17="Rebased to 100",$E1980/E$8*100,$E1980)))))</f>
        <v/>
      </c>
      <c r="L1980" s="54">
        <f>IF($B1980=0,NA(),IF($F1980="",NA(),IF(F$8="",NA(),IF(N(F$8)=0,NA(),IF(Inputs!$C$17="Rebased to 100",$F1980/F$8*100,$F1980)))))</f>
        <v/>
      </c>
      <c r="M1980" s="54">
        <f>IF($B1980=0,NA(),IF($G1980="",NA(),IF(G$8="",NA(),IF(N(G$8)=0,NA(),IF(Inputs!$C$17="Rebased to 100",$G1980/G$8*100,$G1980)))))</f>
        <v/>
      </c>
      <c r="N1980" s="54">
        <f>IF($B1980=0,NA(),IF(Inputs!$C$18&lt;&gt;"Yes",NA(),IF(COUNT(I1980,J1980,K1980,L1980,M1980)=0,NA(),MIN(I1980,J1980,K1980,L1980,M1980))))</f>
        <v/>
      </c>
      <c r="O1980" s="54">
        <f>IF($B1980=0,NA(),IF(Inputs!$B$24&lt;&gt;"Yes",NA(),Inputs!$D$24*Inputs!$C$35))</f>
        <v/>
      </c>
      <c r="P1980" s="54">
        <f>IF($B1980=0,NA(),IF(Inputs!$B$25&lt;&gt;"Yes",NA(),Inputs!$D$25*Inputs!$C$35))</f>
        <v/>
      </c>
      <c r="Q1980" s="54">
        <f>IF($B1980=0,NA(),IF(Inputs!$B$26&lt;&gt;"Yes",NA(),Inputs!$D$26*Inputs!$C$35))</f>
        <v/>
      </c>
      <c r="R1980" s="54">
        <f>IF($B1980=0,NA(),IF(Inputs!$B$27&lt;&gt;"Yes",NA(),Inputs!$D$27*Inputs!$C$35))</f>
        <v/>
      </c>
      <c r="S1980" s="54">
        <f>IF($B1980=0,NA(),IF(Inputs!$B$28&lt;&gt;"Yes",NA(),Inputs!$D$28*Inputs!$C$35))</f>
        <v/>
      </c>
      <c r="T1980" s="54">
        <f>IF($B1980=0,NA(),IF(Inputs!$B$29&lt;&gt;"Yes",NA(),Inputs!$D$29*Inputs!$C$35))</f>
        <v/>
      </c>
      <c r="AD1980">
        <f>IF($B1980=0,0,IF(Inputs!$B$6="",0,COUNTIFS(Data!$A$10:$A$3209,"&gt;="&amp;$A1980,Data!$A$10:$A$3209,"&lt;"&amp;$A1980+1)))</f>
        <v/>
      </c>
      <c r="AE1980">
        <f>IF($B1980=0,0,IF(Inputs!$B$7="",0,COUNTIFS(Data!$E$10:$E$3209,"&gt;="&amp;$A1980,Data!$E$10:$E$3209,"&lt;"&amp;$A1980+1)))</f>
        <v/>
      </c>
      <c r="AF1980">
        <f>IF($B1980=0,0,IF(Inputs!$B$8="",0,COUNTIFS(Data!$I$10:$I$3209,"&gt;="&amp;$A1980,Data!$I$10:$I$3209,"&lt;"&amp;$A1980+1)))</f>
        <v/>
      </c>
      <c r="AG1980">
        <f>IF($B1980=0,0,IF(Inputs!$B$9="",0,COUNTIFS(Data!$M$10:$M$3209,"&gt;="&amp;$A1980,Data!$M$10:$M$3209,"&lt;"&amp;$A1980+1)))</f>
        <v/>
      </c>
      <c r="AH1980">
        <f>IF($B1980=0,0,IF(Inputs!$B$10="",0,COUNTIFS(Data!$Q$10:$Q$3209,"&gt;="&amp;$A1980,Data!$Q$10:$Q$3209,"&lt;"&amp;$A1980+1)))</f>
        <v/>
      </c>
    </row>
    <row r="1981">
      <c r="A1981" s="55">
        <f>MIN(Inputs!$C$15,$A1980+IF(WEEKDAY($A1980,2)=5,3,1))</f>
        <v/>
      </c>
      <c r="B1981">
        <f>IF($A1981&gt;$A1980,1,0)</f>
        <v/>
      </c>
      <c r="C1981" s="56">
        <f>IF($B1981=0,"",IF(Inputs!$B$6="","",IF($AD1981=0,C1980,SUMIFS(Data!$B$10:$B$3209,Data!$A$10:$A$3209,"&gt;="&amp;$A1981,Data!$A$10:$A$3209,"&lt;"&amp;$A1981+1)/$AD1981)))</f>
        <v/>
      </c>
      <c r="D1981" s="56">
        <f>IF($B1981=0,"",IF(Inputs!$B$7="","",IF($AE1981=0,D1980,SUMIFS(Data!$F$10:$F$3209,Data!$E$10:$E$3209,"&gt;="&amp;$A1981,Data!$E$10:$E$3209,"&lt;"&amp;$A1981+1)/$AE1981)))</f>
        <v/>
      </c>
      <c r="E1981" s="56">
        <f>IF($B1981=0,"",IF(Inputs!$B$8="","",IF($AF1981=0,E1980,SUMIFS(Data!$J$10:$J$3209,Data!$I$10:$I$3209,"&gt;="&amp;$A1981,Data!$I$10:$I$3209,"&lt;"&amp;$A1981+1)/$AF1981)))</f>
        <v/>
      </c>
      <c r="F1981" s="56">
        <f>IF($B1981=0,"",IF(Inputs!$B$9="","",IF($AG1981=0,F1980,SUMIFS(Data!$N$10:$N$3209,Data!$M$10:$M$3209,"&gt;="&amp;$A1981,Data!$M$10:$M$3209,"&lt;"&amp;$A1981+1)/$AG1981)))</f>
        <v/>
      </c>
      <c r="G1981" s="56">
        <f>IF($B1981=0,"",IF(Inputs!$B$10="","",IF($AH1981=0,G1980,SUMIFS(Data!$R$10:$R$3209,Data!$Q$10:$Q$3209,"&gt;="&amp;$A1981,Data!$Q$10:$Q$3209,"&lt;"&amp;$A1981+1)/$AH1981)))</f>
        <v/>
      </c>
      <c r="I1981" s="54">
        <f>IF($B1981=0,NA(),IF($C1981="",NA(),IF(C$8="",NA(),IF(N(C$8)=0,NA(),IF(Inputs!$C$17="Rebased to 100",$C1981/C$8*100,$C1981)))))</f>
        <v/>
      </c>
      <c r="J1981" s="54">
        <f>IF($B1981=0,NA(),IF($D1981="",NA(),IF(D$8="",NA(),IF(N(D$8)=0,NA(),IF(Inputs!$C$17="Rebased to 100",$D1981/D$8*100,$D1981)))))</f>
        <v/>
      </c>
      <c r="K1981" s="54">
        <f>IF($B1981=0,NA(),IF($E1981="",NA(),IF(E$8="",NA(),IF(N(E$8)=0,NA(),IF(Inputs!$C$17="Rebased to 100",$E1981/E$8*100,$E1981)))))</f>
        <v/>
      </c>
      <c r="L1981" s="54">
        <f>IF($B1981=0,NA(),IF($F1981="",NA(),IF(F$8="",NA(),IF(N(F$8)=0,NA(),IF(Inputs!$C$17="Rebased to 100",$F1981/F$8*100,$F1981)))))</f>
        <v/>
      </c>
      <c r="M1981" s="54">
        <f>IF($B1981=0,NA(),IF($G1981="",NA(),IF(G$8="",NA(),IF(N(G$8)=0,NA(),IF(Inputs!$C$17="Rebased to 100",$G1981/G$8*100,$G1981)))))</f>
        <v/>
      </c>
      <c r="N1981" s="54">
        <f>IF($B1981=0,NA(),IF(Inputs!$C$18&lt;&gt;"Yes",NA(),IF(COUNT(I1981,J1981,K1981,L1981,M1981)=0,NA(),MIN(I1981,J1981,K1981,L1981,M1981))))</f>
        <v/>
      </c>
      <c r="O1981" s="54">
        <f>IF($B1981=0,NA(),IF(Inputs!$B$24&lt;&gt;"Yes",NA(),Inputs!$D$24*Inputs!$C$35))</f>
        <v/>
      </c>
      <c r="P1981" s="54">
        <f>IF($B1981=0,NA(),IF(Inputs!$B$25&lt;&gt;"Yes",NA(),Inputs!$D$25*Inputs!$C$35))</f>
        <v/>
      </c>
      <c r="Q1981" s="54">
        <f>IF($B1981=0,NA(),IF(Inputs!$B$26&lt;&gt;"Yes",NA(),Inputs!$D$26*Inputs!$C$35))</f>
        <v/>
      </c>
      <c r="R1981" s="54">
        <f>IF($B1981=0,NA(),IF(Inputs!$B$27&lt;&gt;"Yes",NA(),Inputs!$D$27*Inputs!$C$35))</f>
        <v/>
      </c>
      <c r="S1981" s="54">
        <f>IF($B1981=0,NA(),IF(Inputs!$B$28&lt;&gt;"Yes",NA(),Inputs!$D$28*Inputs!$C$35))</f>
        <v/>
      </c>
      <c r="T1981" s="54">
        <f>IF($B1981=0,NA(),IF(Inputs!$B$29&lt;&gt;"Yes",NA(),Inputs!$D$29*Inputs!$C$35))</f>
        <v/>
      </c>
      <c r="AD1981">
        <f>IF($B1981=0,0,IF(Inputs!$B$6="",0,COUNTIFS(Data!$A$10:$A$3209,"&gt;="&amp;$A1981,Data!$A$10:$A$3209,"&lt;"&amp;$A1981+1)))</f>
        <v/>
      </c>
      <c r="AE1981">
        <f>IF($B1981=0,0,IF(Inputs!$B$7="",0,COUNTIFS(Data!$E$10:$E$3209,"&gt;="&amp;$A1981,Data!$E$10:$E$3209,"&lt;"&amp;$A1981+1)))</f>
        <v/>
      </c>
      <c r="AF1981">
        <f>IF($B1981=0,0,IF(Inputs!$B$8="",0,COUNTIFS(Data!$I$10:$I$3209,"&gt;="&amp;$A1981,Data!$I$10:$I$3209,"&lt;"&amp;$A1981+1)))</f>
        <v/>
      </c>
      <c r="AG1981">
        <f>IF($B1981=0,0,IF(Inputs!$B$9="",0,COUNTIFS(Data!$M$10:$M$3209,"&gt;="&amp;$A1981,Data!$M$10:$M$3209,"&lt;"&amp;$A1981+1)))</f>
        <v/>
      </c>
      <c r="AH1981">
        <f>IF($B1981=0,0,IF(Inputs!$B$10="",0,COUNTIFS(Data!$Q$10:$Q$3209,"&gt;="&amp;$A1981,Data!$Q$10:$Q$3209,"&lt;"&amp;$A1981+1)))</f>
        <v/>
      </c>
    </row>
    <row r="1982">
      <c r="A1982" s="55">
        <f>MIN(Inputs!$C$15,$A1981+IF(WEEKDAY($A1981,2)=5,3,1))</f>
        <v/>
      </c>
      <c r="B1982">
        <f>IF($A1982&gt;$A1981,1,0)</f>
        <v/>
      </c>
      <c r="C1982" s="56">
        <f>IF($B1982=0,"",IF(Inputs!$B$6="","",IF($AD1982=0,C1981,SUMIFS(Data!$B$10:$B$3209,Data!$A$10:$A$3209,"&gt;="&amp;$A1982,Data!$A$10:$A$3209,"&lt;"&amp;$A1982+1)/$AD1982)))</f>
        <v/>
      </c>
      <c r="D1982" s="56">
        <f>IF($B1982=0,"",IF(Inputs!$B$7="","",IF($AE1982=0,D1981,SUMIFS(Data!$F$10:$F$3209,Data!$E$10:$E$3209,"&gt;="&amp;$A1982,Data!$E$10:$E$3209,"&lt;"&amp;$A1982+1)/$AE1982)))</f>
        <v/>
      </c>
      <c r="E1982" s="56">
        <f>IF($B1982=0,"",IF(Inputs!$B$8="","",IF($AF1982=0,E1981,SUMIFS(Data!$J$10:$J$3209,Data!$I$10:$I$3209,"&gt;="&amp;$A1982,Data!$I$10:$I$3209,"&lt;"&amp;$A1982+1)/$AF1982)))</f>
        <v/>
      </c>
      <c r="F1982" s="56">
        <f>IF($B1982=0,"",IF(Inputs!$B$9="","",IF($AG1982=0,F1981,SUMIFS(Data!$N$10:$N$3209,Data!$M$10:$M$3209,"&gt;="&amp;$A1982,Data!$M$10:$M$3209,"&lt;"&amp;$A1982+1)/$AG1982)))</f>
        <v/>
      </c>
      <c r="G1982" s="56">
        <f>IF($B1982=0,"",IF(Inputs!$B$10="","",IF($AH1982=0,G1981,SUMIFS(Data!$R$10:$R$3209,Data!$Q$10:$Q$3209,"&gt;="&amp;$A1982,Data!$Q$10:$Q$3209,"&lt;"&amp;$A1982+1)/$AH1982)))</f>
        <v/>
      </c>
      <c r="I1982" s="54">
        <f>IF($B1982=0,NA(),IF($C1982="",NA(),IF(C$8="",NA(),IF(N(C$8)=0,NA(),IF(Inputs!$C$17="Rebased to 100",$C1982/C$8*100,$C1982)))))</f>
        <v/>
      </c>
      <c r="J1982" s="54">
        <f>IF($B1982=0,NA(),IF($D1982="",NA(),IF(D$8="",NA(),IF(N(D$8)=0,NA(),IF(Inputs!$C$17="Rebased to 100",$D1982/D$8*100,$D1982)))))</f>
        <v/>
      </c>
      <c r="K1982" s="54">
        <f>IF($B1982=0,NA(),IF($E1982="",NA(),IF(E$8="",NA(),IF(N(E$8)=0,NA(),IF(Inputs!$C$17="Rebased to 100",$E1982/E$8*100,$E1982)))))</f>
        <v/>
      </c>
      <c r="L1982" s="54">
        <f>IF($B1982=0,NA(),IF($F1982="",NA(),IF(F$8="",NA(),IF(N(F$8)=0,NA(),IF(Inputs!$C$17="Rebased to 100",$F1982/F$8*100,$F1982)))))</f>
        <v/>
      </c>
      <c r="M1982" s="54">
        <f>IF($B1982=0,NA(),IF($G1982="",NA(),IF(G$8="",NA(),IF(N(G$8)=0,NA(),IF(Inputs!$C$17="Rebased to 100",$G1982/G$8*100,$G1982)))))</f>
        <v/>
      </c>
      <c r="N1982" s="54">
        <f>IF($B1982=0,NA(),IF(Inputs!$C$18&lt;&gt;"Yes",NA(),IF(COUNT(I1982,J1982,K1982,L1982,M1982)=0,NA(),MIN(I1982,J1982,K1982,L1982,M1982))))</f>
        <v/>
      </c>
      <c r="O1982" s="54">
        <f>IF($B1982=0,NA(),IF(Inputs!$B$24&lt;&gt;"Yes",NA(),Inputs!$D$24*Inputs!$C$35))</f>
        <v/>
      </c>
      <c r="P1982" s="54">
        <f>IF($B1982=0,NA(),IF(Inputs!$B$25&lt;&gt;"Yes",NA(),Inputs!$D$25*Inputs!$C$35))</f>
        <v/>
      </c>
      <c r="Q1982" s="54">
        <f>IF($B1982=0,NA(),IF(Inputs!$B$26&lt;&gt;"Yes",NA(),Inputs!$D$26*Inputs!$C$35))</f>
        <v/>
      </c>
      <c r="R1982" s="54">
        <f>IF($B1982=0,NA(),IF(Inputs!$B$27&lt;&gt;"Yes",NA(),Inputs!$D$27*Inputs!$C$35))</f>
        <v/>
      </c>
      <c r="S1982" s="54">
        <f>IF($B1982=0,NA(),IF(Inputs!$B$28&lt;&gt;"Yes",NA(),Inputs!$D$28*Inputs!$C$35))</f>
        <v/>
      </c>
      <c r="T1982" s="54">
        <f>IF($B1982=0,NA(),IF(Inputs!$B$29&lt;&gt;"Yes",NA(),Inputs!$D$29*Inputs!$C$35))</f>
        <v/>
      </c>
      <c r="AD1982">
        <f>IF($B1982=0,0,IF(Inputs!$B$6="",0,COUNTIFS(Data!$A$10:$A$3209,"&gt;="&amp;$A1982,Data!$A$10:$A$3209,"&lt;"&amp;$A1982+1)))</f>
        <v/>
      </c>
      <c r="AE1982">
        <f>IF($B1982=0,0,IF(Inputs!$B$7="",0,COUNTIFS(Data!$E$10:$E$3209,"&gt;="&amp;$A1982,Data!$E$10:$E$3209,"&lt;"&amp;$A1982+1)))</f>
        <v/>
      </c>
      <c r="AF1982">
        <f>IF($B1982=0,0,IF(Inputs!$B$8="",0,COUNTIFS(Data!$I$10:$I$3209,"&gt;="&amp;$A1982,Data!$I$10:$I$3209,"&lt;"&amp;$A1982+1)))</f>
        <v/>
      </c>
      <c r="AG1982">
        <f>IF($B1982=0,0,IF(Inputs!$B$9="",0,COUNTIFS(Data!$M$10:$M$3209,"&gt;="&amp;$A1982,Data!$M$10:$M$3209,"&lt;"&amp;$A1982+1)))</f>
        <v/>
      </c>
      <c r="AH1982">
        <f>IF($B1982=0,0,IF(Inputs!$B$10="",0,COUNTIFS(Data!$Q$10:$Q$3209,"&gt;="&amp;$A1982,Data!$Q$10:$Q$3209,"&lt;"&amp;$A1982+1)))</f>
        <v/>
      </c>
    </row>
    <row r="1983">
      <c r="A1983" s="55">
        <f>MIN(Inputs!$C$15,$A1982+IF(WEEKDAY($A1982,2)=5,3,1))</f>
        <v/>
      </c>
      <c r="B1983">
        <f>IF($A1983&gt;$A1982,1,0)</f>
        <v/>
      </c>
      <c r="C1983" s="56">
        <f>IF($B1983=0,"",IF(Inputs!$B$6="","",IF($AD1983=0,C1982,SUMIFS(Data!$B$10:$B$3209,Data!$A$10:$A$3209,"&gt;="&amp;$A1983,Data!$A$10:$A$3209,"&lt;"&amp;$A1983+1)/$AD1983)))</f>
        <v/>
      </c>
      <c r="D1983" s="56">
        <f>IF($B1983=0,"",IF(Inputs!$B$7="","",IF($AE1983=0,D1982,SUMIFS(Data!$F$10:$F$3209,Data!$E$10:$E$3209,"&gt;="&amp;$A1983,Data!$E$10:$E$3209,"&lt;"&amp;$A1983+1)/$AE1983)))</f>
        <v/>
      </c>
      <c r="E1983" s="56">
        <f>IF($B1983=0,"",IF(Inputs!$B$8="","",IF($AF1983=0,E1982,SUMIFS(Data!$J$10:$J$3209,Data!$I$10:$I$3209,"&gt;="&amp;$A1983,Data!$I$10:$I$3209,"&lt;"&amp;$A1983+1)/$AF1983)))</f>
        <v/>
      </c>
      <c r="F1983" s="56">
        <f>IF($B1983=0,"",IF(Inputs!$B$9="","",IF($AG1983=0,F1982,SUMIFS(Data!$N$10:$N$3209,Data!$M$10:$M$3209,"&gt;="&amp;$A1983,Data!$M$10:$M$3209,"&lt;"&amp;$A1983+1)/$AG1983)))</f>
        <v/>
      </c>
      <c r="G1983" s="56">
        <f>IF($B1983=0,"",IF(Inputs!$B$10="","",IF($AH1983=0,G1982,SUMIFS(Data!$R$10:$R$3209,Data!$Q$10:$Q$3209,"&gt;="&amp;$A1983,Data!$Q$10:$Q$3209,"&lt;"&amp;$A1983+1)/$AH1983)))</f>
        <v/>
      </c>
      <c r="I1983" s="54">
        <f>IF($B1983=0,NA(),IF($C1983="",NA(),IF(C$8="",NA(),IF(N(C$8)=0,NA(),IF(Inputs!$C$17="Rebased to 100",$C1983/C$8*100,$C1983)))))</f>
        <v/>
      </c>
      <c r="J1983" s="54">
        <f>IF($B1983=0,NA(),IF($D1983="",NA(),IF(D$8="",NA(),IF(N(D$8)=0,NA(),IF(Inputs!$C$17="Rebased to 100",$D1983/D$8*100,$D1983)))))</f>
        <v/>
      </c>
      <c r="K1983" s="54">
        <f>IF($B1983=0,NA(),IF($E1983="",NA(),IF(E$8="",NA(),IF(N(E$8)=0,NA(),IF(Inputs!$C$17="Rebased to 100",$E1983/E$8*100,$E1983)))))</f>
        <v/>
      </c>
      <c r="L1983" s="54">
        <f>IF($B1983=0,NA(),IF($F1983="",NA(),IF(F$8="",NA(),IF(N(F$8)=0,NA(),IF(Inputs!$C$17="Rebased to 100",$F1983/F$8*100,$F1983)))))</f>
        <v/>
      </c>
      <c r="M1983" s="54">
        <f>IF($B1983=0,NA(),IF($G1983="",NA(),IF(G$8="",NA(),IF(N(G$8)=0,NA(),IF(Inputs!$C$17="Rebased to 100",$G1983/G$8*100,$G1983)))))</f>
        <v/>
      </c>
      <c r="N1983" s="54">
        <f>IF($B1983=0,NA(),IF(Inputs!$C$18&lt;&gt;"Yes",NA(),IF(COUNT(I1983,J1983,K1983,L1983,M1983)=0,NA(),MIN(I1983,J1983,K1983,L1983,M1983))))</f>
        <v/>
      </c>
      <c r="O1983" s="54">
        <f>IF($B1983=0,NA(),IF(Inputs!$B$24&lt;&gt;"Yes",NA(),Inputs!$D$24*Inputs!$C$35))</f>
        <v/>
      </c>
      <c r="P1983" s="54">
        <f>IF($B1983=0,NA(),IF(Inputs!$B$25&lt;&gt;"Yes",NA(),Inputs!$D$25*Inputs!$C$35))</f>
        <v/>
      </c>
      <c r="Q1983" s="54">
        <f>IF($B1983=0,NA(),IF(Inputs!$B$26&lt;&gt;"Yes",NA(),Inputs!$D$26*Inputs!$C$35))</f>
        <v/>
      </c>
      <c r="R1983" s="54">
        <f>IF($B1983=0,NA(),IF(Inputs!$B$27&lt;&gt;"Yes",NA(),Inputs!$D$27*Inputs!$C$35))</f>
        <v/>
      </c>
      <c r="S1983" s="54">
        <f>IF($B1983=0,NA(),IF(Inputs!$B$28&lt;&gt;"Yes",NA(),Inputs!$D$28*Inputs!$C$35))</f>
        <v/>
      </c>
      <c r="T1983" s="54">
        <f>IF($B1983=0,NA(),IF(Inputs!$B$29&lt;&gt;"Yes",NA(),Inputs!$D$29*Inputs!$C$35))</f>
        <v/>
      </c>
      <c r="AD1983">
        <f>IF($B1983=0,0,IF(Inputs!$B$6="",0,COUNTIFS(Data!$A$10:$A$3209,"&gt;="&amp;$A1983,Data!$A$10:$A$3209,"&lt;"&amp;$A1983+1)))</f>
        <v/>
      </c>
      <c r="AE1983">
        <f>IF($B1983=0,0,IF(Inputs!$B$7="",0,COUNTIFS(Data!$E$10:$E$3209,"&gt;="&amp;$A1983,Data!$E$10:$E$3209,"&lt;"&amp;$A1983+1)))</f>
        <v/>
      </c>
      <c r="AF1983">
        <f>IF($B1983=0,0,IF(Inputs!$B$8="",0,COUNTIFS(Data!$I$10:$I$3209,"&gt;="&amp;$A1983,Data!$I$10:$I$3209,"&lt;"&amp;$A1983+1)))</f>
        <v/>
      </c>
      <c r="AG1983">
        <f>IF($B1983=0,0,IF(Inputs!$B$9="",0,COUNTIFS(Data!$M$10:$M$3209,"&gt;="&amp;$A1983,Data!$M$10:$M$3209,"&lt;"&amp;$A1983+1)))</f>
        <v/>
      </c>
      <c r="AH1983">
        <f>IF($B1983=0,0,IF(Inputs!$B$10="",0,COUNTIFS(Data!$Q$10:$Q$3209,"&gt;="&amp;$A1983,Data!$Q$10:$Q$3209,"&lt;"&amp;$A1983+1)))</f>
        <v/>
      </c>
    </row>
    <row r="1984">
      <c r="A1984" s="55">
        <f>MIN(Inputs!$C$15,$A1983+IF(WEEKDAY($A1983,2)=5,3,1))</f>
        <v/>
      </c>
      <c r="B1984">
        <f>IF($A1984&gt;$A1983,1,0)</f>
        <v/>
      </c>
      <c r="C1984" s="56">
        <f>IF($B1984=0,"",IF(Inputs!$B$6="","",IF($AD1984=0,C1983,SUMIFS(Data!$B$10:$B$3209,Data!$A$10:$A$3209,"&gt;="&amp;$A1984,Data!$A$10:$A$3209,"&lt;"&amp;$A1984+1)/$AD1984)))</f>
        <v/>
      </c>
      <c r="D1984" s="56">
        <f>IF($B1984=0,"",IF(Inputs!$B$7="","",IF($AE1984=0,D1983,SUMIFS(Data!$F$10:$F$3209,Data!$E$10:$E$3209,"&gt;="&amp;$A1984,Data!$E$10:$E$3209,"&lt;"&amp;$A1984+1)/$AE1984)))</f>
        <v/>
      </c>
      <c r="E1984" s="56">
        <f>IF($B1984=0,"",IF(Inputs!$B$8="","",IF($AF1984=0,E1983,SUMIFS(Data!$J$10:$J$3209,Data!$I$10:$I$3209,"&gt;="&amp;$A1984,Data!$I$10:$I$3209,"&lt;"&amp;$A1984+1)/$AF1984)))</f>
        <v/>
      </c>
      <c r="F1984" s="56">
        <f>IF($B1984=0,"",IF(Inputs!$B$9="","",IF($AG1984=0,F1983,SUMIFS(Data!$N$10:$N$3209,Data!$M$10:$M$3209,"&gt;="&amp;$A1984,Data!$M$10:$M$3209,"&lt;"&amp;$A1984+1)/$AG1984)))</f>
        <v/>
      </c>
      <c r="G1984" s="56">
        <f>IF($B1984=0,"",IF(Inputs!$B$10="","",IF($AH1984=0,G1983,SUMIFS(Data!$R$10:$R$3209,Data!$Q$10:$Q$3209,"&gt;="&amp;$A1984,Data!$Q$10:$Q$3209,"&lt;"&amp;$A1984+1)/$AH1984)))</f>
        <v/>
      </c>
      <c r="I1984" s="54">
        <f>IF($B1984=0,NA(),IF($C1984="",NA(),IF(C$8="",NA(),IF(N(C$8)=0,NA(),IF(Inputs!$C$17="Rebased to 100",$C1984/C$8*100,$C1984)))))</f>
        <v/>
      </c>
      <c r="J1984" s="54">
        <f>IF($B1984=0,NA(),IF($D1984="",NA(),IF(D$8="",NA(),IF(N(D$8)=0,NA(),IF(Inputs!$C$17="Rebased to 100",$D1984/D$8*100,$D1984)))))</f>
        <v/>
      </c>
      <c r="K1984" s="54">
        <f>IF($B1984=0,NA(),IF($E1984="",NA(),IF(E$8="",NA(),IF(N(E$8)=0,NA(),IF(Inputs!$C$17="Rebased to 100",$E1984/E$8*100,$E1984)))))</f>
        <v/>
      </c>
      <c r="L1984" s="54">
        <f>IF($B1984=0,NA(),IF($F1984="",NA(),IF(F$8="",NA(),IF(N(F$8)=0,NA(),IF(Inputs!$C$17="Rebased to 100",$F1984/F$8*100,$F1984)))))</f>
        <v/>
      </c>
      <c r="M1984" s="54">
        <f>IF($B1984=0,NA(),IF($G1984="",NA(),IF(G$8="",NA(),IF(N(G$8)=0,NA(),IF(Inputs!$C$17="Rebased to 100",$G1984/G$8*100,$G1984)))))</f>
        <v/>
      </c>
      <c r="N1984" s="54">
        <f>IF($B1984=0,NA(),IF(Inputs!$C$18&lt;&gt;"Yes",NA(),IF(COUNT(I1984,J1984,K1984,L1984,M1984)=0,NA(),MIN(I1984,J1984,K1984,L1984,M1984))))</f>
        <v/>
      </c>
      <c r="O1984" s="54">
        <f>IF($B1984=0,NA(),IF(Inputs!$B$24&lt;&gt;"Yes",NA(),Inputs!$D$24*Inputs!$C$35))</f>
        <v/>
      </c>
      <c r="P1984" s="54">
        <f>IF($B1984=0,NA(),IF(Inputs!$B$25&lt;&gt;"Yes",NA(),Inputs!$D$25*Inputs!$C$35))</f>
        <v/>
      </c>
      <c r="Q1984" s="54">
        <f>IF($B1984=0,NA(),IF(Inputs!$B$26&lt;&gt;"Yes",NA(),Inputs!$D$26*Inputs!$C$35))</f>
        <v/>
      </c>
      <c r="R1984" s="54">
        <f>IF($B1984=0,NA(),IF(Inputs!$B$27&lt;&gt;"Yes",NA(),Inputs!$D$27*Inputs!$C$35))</f>
        <v/>
      </c>
      <c r="S1984" s="54">
        <f>IF($B1984=0,NA(),IF(Inputs!$B$28&lt;&gt;"Yes",NA(),Inputs!$D$28*Inputs!$C$35))</f>
        <v/>
      </c>
      <c r="T1984" s="54">
        <f>IF($B1984=0,NA(),IF(Inputs!$B$29&lt;&gt;"Yes",NA(),Inputs!$D$29*Inputs!$C$35))</f>
        <v/>
      </c>
      <c r="AD1984">
        <f>IF($B1984=0,0,IF(Inputs!$B$6="",0,COUNTIFS(Data!$A$10:$A$3209,"&gt;="&amp;$A1984,Data!$A$10:$A$3209,"&lt;"&amp;$A1984+1)))</f>
        <v/>
      </c>
      <c r="AE1984">
        <f>IF($B1984=0,0,IF(Inputs!$B$7="",0,COUNTIFS(Data!$E$10:$E$3209,"&gt;="&amp;$A1984,Data!$E$10:$E$3209,"&lt;"&amp;$A1984+1)))</f>
        <v/>
      </c>
      <c r="AF1984">
        <f>IF($B1984=0,0,IF(Inputs!$B$8="",0,COUNTIFS(Data!$I$10:$I$3209,"&gt;="&amp;$A1984,Data!$I$10:$I$3209,"&lt;"&amp;$A1984+1)))</f>
        <v/>
      </c>
      <c r="AG1984">
        <f>IF($B1984=0,0,IF(Inputs!$B$9="",0,COUNTIFS(Data!$M$10:$M$3209,"&gt;="&amp;$A1984,Data!$M$10:$M$3209,"&lt;"&amp;$A1984+1)))</f>
        <v/>
      </c>
      <c r="AH1984">
        <f>IF($B1984=0,0,IF(Inputs!$B$10="",0,COUNTIFS(Data!$Q$10:$Q$3209,"&gt;="&amp;$A1984,Data!$Q$10:$Q$3209,"&lt;"&amp;$A1984+1)))</f>
        <v/>
      </c>
    </row>
    <row r="1985">
      <c r="A1985" s="55">
        <f>MIN(Inputs!$C$15,$A1984+IF(WEEKDAY($A1984,2)=5,3,1))</f>
        <v/>
      </c>
      <c r="B1985">
        <f>IF($A1985&gt;$A1984,1,0)</f>
        <v/>
      </c>
      <c r="C1985" s="56">
        <f>IF($B1985=0,"",IF(Inputs!$B$6="","",IF($AD1985=0,C1984,SUMIFS(Data!$B$10:$B$3209,Data!$A$10:$A$3209,"&gt;="&amp;$A1985,Data!$A$10:$A$3209,"&lt;"&amp;$A1985+1)/$AD1985)))</f>
        <v/>
      </c>
      <c r="D1985" s="56">
        <f>IF($B1985=0,"",IF(Inputs!$B$7="","",IF($AE1985=0,D1984,SUMIFS(Data!$F$10:$F$3209,Data!$E$10:$E$3209,"&gt;="&amp;$A1985,Data!$E$10:$E$3209,"&lt;"&amp;$A1985+1)/$AE1985)))</f>
        <v/>
      </c>
      <c r="E1985" s="56">
        <f>IF($B1985=0,"",IF(Inputs!$B$8="","",IF($AF1985=0,E1984,SUMIFS(Data!$J$10:$J$3209,Data!$I$10:$I$3209,"&gt;="&amp;$A1985,Data!$I$10:$I$3209,"&lt;"&amp;$A1985+1)/$AF1985)))</f>
        <v/>
      </c>
      <c r="F1985" s="56">
        <f>IF($B1985=0,"",IF(Inputs!$B$9="","",IF($AG1985=0,F1984,SUMIFS(Data!$N$10:$N$3209,Data!$M$10:$M$3209,"&gt;="&amp;$A1985,Data!$M$10:$M$3209,"&lt;"&amp;$A1985+1)/$AG1985)))</f>
        <v/>
      </c>
      <c r="G1985" s="56">
        <f>IF($B1985=0,"",IF(Inputs!$B$10="","",IF($AH1985=0,G1984,SUMIFS(Data!$R$10:$R$3209,Data!$Q$10:$Q$3209,"&gt;="&amp;$A1985,Data!$Q$10:$Q$3209,"&lt;"&amp;$A1985+1)/$AH1985)))</f>
        <v/>
      </c>
      <c r="I1985" s="54">
        <f>IF($B1985=0,NA(),IF($C1985="",NA(),IF(C$8="",NA(),IF(N(C$8)=0,NA(),IF(Inputs!$C$17="Rebased to 100",$C1985/C$8*100,$C1985)))))</f>
        <v/>
      </c>
      <c r="J1985" s="54">
        <f>IF($B1985=0,NA(),IF($D1985="",NA(),IF(D$8="",NA(),IF(N(D$8)=0,NA(),IF(Inputs!$C$17="Rebased to 100",$D1985/D$8*100,$D1985)))))</f>
        <v/>
      </c>
      <c r="K1985" s="54">
        <f>IF($B1985=0,NA(),IF($E1985="",NA(),IF(E$8="",NA(),IF(N(E$8)=0,NA(),IF(Inputs!$C$17="Rebased to 100",$E1985/E$8*100,$E1985)))))</f>
        <v/>
      </c>
      <c r="L1985" s="54">
        <f>IF($B1985=0,NA(),IF($F1985="",NA(),IF(F$8="",NA(),IF(N(F$8)=0,NA(),IF(Inputs!$C$17="Rebased to 100",$F1985/F$8*100,$F1985)))))</f>
        <v/>
      </c>
      <c r="M1985" s="54">
        <f>IF($B1985=0,NA(),IF($G1985="",NA(),IF(G$8="",NA(),IF(N(G$8)=0,NA(),IF(Inputs!$C$17="Rebased to 100",$G1985/G$8*100,$G1985)))))</f>
        <v/>
      </c>
      <c r="N1985" s="54">
        <f>IF($B1985=0,NA(),IF(Inputs!$C$18&lt;&gt;"Yes",NA(),IF(COUNT(I1985,J1985,K1985,L1985,M1985)=0,NA(),MIN(I1985,J1985,K1985,L1985,M1985))))</f>
        <v/>
      </c>
      <c r="O1985" s="54">
        <f>IF($B1985=0,NA(),IF(Inputs!$B$24&lt;&gt;"Yes",NA(),Inputs!$D$24*Inputs!$C$35))</f>
        <v/>
      </c>
      <c r="P1985" s="54">
        <f>IF($B1985=0,NA(),IF(Inputs!$B$25&lt;&gt;"Yes",NA(),Inputs!$D$25*Inputs!$C$35))</f>
        <v/>
      </c>
      <c r="Q1985" s="54">
        <f>IF($B1985=0,NA(),IF(Inputs!$B$26&lt;&gt;"Yes",NA(),Inputs!$D$26*Inputs!$C$35))</f>
        <v/>
      </c>
      <c r="R1985" s="54">
        <f>IF($B1985=0,NA(),IF(Inputs!$B$27&lt;&gt;"Yes",NA(),Inputs!$D$27*Inputs!$C$35))</f>
        <v/>
      </c>
      <c r="S1985" s="54">
        <f>IF($B1985=0,NA(),IF(Inputs!$B$28&lt;&gt;"Yes",NA(),Inputs!$D$28*Inputs!$C$35))</f>
        <v/>
      </c>
      <c r="T1985" s="54">
        <f>IF($B1985=0,NA(),IF(Inputs!$B$29&lt;&gt;"Yes",NA(),Inputs!$D$29*Inputs!$C$35))</f>
        <v/>
      </c>
      <c r="AD1985">
        <f>IF($B1985=0,0,IF(Inputs!$B$6="",0,COUNTIFS(Data!$A$10:$A$3209,"&gt;="&amp;$A1985,Data!$A$10:$A$3209,"&lt;"&amp;$A1985+1)))</f>
        <v/>
      </c>
      <c r="AE1985">
        <f>IF($B1985=0,0,IF(Inputs!$B$7="",0,COUNTIFS(Data!$E$10:$E$3209,"&gt;="&amp;$A1985,Data!$E$10:$E$3209,"&lt;"&amp;$A1985+1)))</f>
        <v/>
      </c>
      <c r="AF1985">
        <f>IF($B1985=0,0,IF(Inputs!$B$8="",0,COUNTIFS(Data!$I$10:$I$3209,"&gt;="&amp;$A1985,Data!$I$10:$I$3209,"&lt;"&amp;$A1985+1)))</f>
        <v/>
      </c>
      <c r="AG1985">
        <f>IF($B1985=0,0,IF(Inputs!$B$9="",0,COUNTIFS(Data!$M$10:$M$3209,"&gt;="&amp;$A1985,Data!$M$10:$M$3209,"&lt;"&amp;$A1985+1)))</f>
        <v/>
      </c>
      <c r="AH1985">
        <f>IF($B1985=0,0,IF(Inputs!$B$10="",0,COUNTIFS(Data!$Q$10:$Q$3209,"&gt;="&amp;$A1985,Data!$Q$10:$Q$3209,"&lt;"&amp;$A1985+1)))</f>
        <v/>
      </c>
    </row>
    <row r="1986">
      <c r="A1986" s="55">
        <f>MIN(Inputs!$C$15,$A1985+IF(WEEKDAY($A1985,2)=5,3,1))</f>
        <v/>
      </c>
      <c r="B1986">
        <f>IF($A1986&gt;$A1985,1,0)</f>
        <v/>
      </c>
      <c r="C1986" s="56">
        <f>IF($B1986=0,"",IF(Inputs!$B$6="","",IF($AD1986=0,C1985,SUMIFS(Data!$B$10:$B$3209,Data!$A$10:$A$3209,"&gt;="&amp;$A1986,Data!$A$10:$A$3209,"&lt;"&amp;$A1986+1)/$AD1986)))</f>
        <v/>
      </c>
      <c r="D1986" s="56">
        <f>IF($B1986=0,"",IF(Inputs!$B$7="","",IF($AE1986=0,D1985,SUMIFS(Data!$F$10:$F$3209,Data!$E$10:$E$3209,"&gt;="&amp;$A1986,Data!$E$10:$E$3209,"&lt;"&amp;$A1986+1)/$AE1986)))</f>
        <v/>
      </c>
      <c r="E1986" s="56">
        <f>IF($B1986=0,"",IF(Inputs!$B$8="","",IF($AF1986=0,E1985,SUMIFS(Data!$J$10:$J$3209,Data!$I$10:$I$3209,"&gt;="&amp;$A1986,Data!$I$10:$I$3209,"&lt;"&amp;$A1986+1)/$AF1986)))</f>
        <v/>
      </c>
      <c r="F1986" s="56">
        <f>IF($B1986=0,"",IF(Inputs!$B$9="","",IF($AG1986=0,F1985,SUMIFS(Data!$N$10:$N$3209,Data!$M$10:$M$3209,"&gt;="&amp;$A1986,Data!$M$10:$M$3209,"&lt;"&amp;$A1986+1)/$AG1986)))</f>
        <v/>
      </c>
      <c r="G1986" s="56">
        <f>IF($B1986=0,"",IF(Inputs!$B$10="","",IF($AH1986=0,G1985,SUMIFS(Data!$R$10:$R$3209,Data!$Q$10:$Q$3209,"&gt;="&amp;$A1986,Data!$Q$10:$Q$3209,"&lt;"&amp;$A1986+1)/$AH1986)))</f>
        <v/>
      </c>
      <c r="I1986" s="54">
        <f>IF($B1986=0,NA(),IF($C1986="",NA(),IF(C$8="",NA(),IF(N(C$8)=0,NA(),IF(Inputs!$C$17="Rebased to 100",$C1986/C$8*100,$C1986)))))</f>
        <v/>
      </c>
      <c r="J1986" s="54">
        <f>IF($B1986=0,NA(),IF($D1986="",NA(),IF(D$8="",NA(),IF(N(D$8)=0,NA(),IF(Inputs!$C$17="Rebased to 100",$D1986/D$8*100,$D1986)))))</f>
        <v/>
      </c>
      <c r="K1986" s="54">
        <f>IF($B1986=0,NA(),IF($E1986="",NA(),IF(E$8="",NA(),IF(N(E$8)=0,NA(),IF(Inputs!$C$17="Rebased to 100",$E1986/E$8*100,$E1986)))))</f>
        <v/>
      </c>
      <c r="L1986" s="54">
        <f>IF($B1986=0,NA(),IF($F1986="",NA(),IF(F$8="",NA(),IF(N(F$8)=0,NA(),IF(Inputs!$C$17="Rebased to 100",$F1986/F$8*100,$F1986)))))</f>
        <v/>
      </c>
      <c r="M1986" s="54">
        <f>IF($B1986=0,NA(),IF($G1986="",NA(),IF(G$8="",NA(),IF(N(G$8)=0,NA(),IF(Inputs!$C$17="Rebased to 100",$G1986/G$8*100,$G1986)))))</f>
        <v/>
      </c>
      <c r="N1986" s="54">
        <f>IF($B1986=0,NA(),IF(Inputs!$C$18&lt;&gt;"Yes",NA(),IF(COUNT(I1986,J1986,K1986,L1986,M1986)=0,NA(),MIN(I1986,J1986,K1986,L1986,M1986))))</f>
        <v/>
      </c>
      <c r="O1986" s="54">
        <f>IF($B1986=0,NA(),IF(Inputs!$B$24&lt;&gt;"Yes",NA(),Inputs!$D$24*Inputs!$C$35))</f>
        <v/>
      </c>
      <c r="P1986" s="54">
        <f>IF($B1986=0,NA(),IF(Inputs!$B$25&lt;&gt;"Yes",NA(),Inputs!$D$25*Inputs!$C$35))</f>
        <v/>
      </c>
      <c r="Q1986" s="54">
        <f>IF($B1986=0,NA(),IF(Inputs!$B$26&lt;&gt;"Yes",NA(),Inputs!$D$26*Inputs!$C$35))</f>
        <v/>
      </c>
      <c r="R1986" s="54">
        <f>IF($B1986=0,NA(),IF(Inputs!$B$27&lt;&gt;"Yes",NA(),Inputs!$D$27*Inputs!$C$35))</f>
        <v/>
      </c>
      <c r="S1986" s="54">
        <f>IF($B1986=0,NA(),IF(Inputs!$B$28&lt;&gt;"Yes",NA(),Inputs!$D$28*Inputs!$C$35))</f>
        <v/>
      </c>
      <c r="T1986" s="54">
        <f>IF($B1986=0,NA(),IF(Inputs!$B$29&lt;&gt;"Yes",NA(),Inputs!$D$29*Inputs!$C$35))</f>
        <v/>
      </c>
      <c r="AD1986">
        <f>IF($B1986=0,0,IF(Inputs!$B$6="",0,COUNTIFS(Data!$A$10:$A$3209,"&gt;="&amp;$A1986,Data!$A$10:$A$3209,"&lt;"&amp;$A1986+1)))</f>
        <v/>
      </c>
      <c r="AE1986">
        <f>IF($B1986=0,0,IF(Inputs!$B$7="",0,COUNTIFS(Data!$E$10:$E$3209,"&gt;="&amp;$A1986,Data!$E$10:$E$3209,"&lt;"&amp;$A1986+1)))</f>
        <v/>
      </c>
      <c r="AF1986">
        <f>IF($B1986=0,0,IF(Inputs!$B$8="",0,COUNTIFS(Data!$I$10:$I$3209,"&gt;="&amp;$A1986,Data!$I$10:$I$3209,"&lt;"&amp;$A1986+1)))</f>
        <v/>
      </c>
      <c r="AG1986">
        <f>IF($B1986=0,0,IF(Inputs!$B$9="",0,COUNTIFS(Data!$M$10:$M$3209,"&gt;="&amp;$A1986,Data!$M$10:$M$3209,"&lt;"&amp;$A1986+1)))</f>
        <v/>
      </c>
      <c r="AH1986">
        <f>IF($B1986=0,0,IF(Inputs!$B$10="",0,COUNTIFS(Data!$Q$10:$Q$3209,"&gt;="&amp;$A1986,Data!$Q$10:$Q$3209,"&lt;"&amp;$A1986+1)))</f>
        <v/>
      </c>
    </row>
    <row r="1987">
      <c r="A1987" s="55">
        <f>MIN(Inputs!$C$15,$A1986+IF(WEEKDAY($A1986,2)=5,3,1))</f>
        <v/>
      </c>
      <c r="B1987">
        <f>IF($A1987&gt;$A1986,1,0)</f>
        <v/>
      </c>
      <c r="C1987" s="56">
        <f>IF($B1987=0,"",IF(Inputs!$B$6="","",IF($AD1987=0,C1986,SUMIFS(Data!$B$10:$B$3209,Data!$A$10:$A$3209,"&gt;="&amp;$A1987,Data!$A$10:$A$3209,"&lt;"&amp;$A1987+1)/$AD1987)))</f>
        <v/>
      </c>
      <c r="D1987" s="56">
        <f>IF($B1987=0,"",IF(Inputs!$B$7="","",IF($AE1987=0,D1986,SUMIFS(Data!$F$10:$F$3209,Data!$E$10:$E$3209,"&gt;="&amp;$A1987,Data!$E$10:$E$3209,"&lt;"&amp;$A1987+1)/$AE1987)))</f>
        <v/>
      </c>
      <c r="E1987" s="56">
        <f>IF($B1987=0,"",IF(Inputs!$B$8="","",IF($AF1987=0,E1986,SUMIFS(Data!$J$10:$J$3209,Data!$I$10:$I$3209,"&gt;="&amp;$A1987,Data!$I$10:$I$3209,"&lt;"&amp;$A1987+1)/$AF1987)))</f>
        <v/>
      </c>
      <c r="F1987" s="56">
        <f>IF($B1987=0,"",IF(Inputs!$B$9="","",IF($AG1987=0,F1986,SUMIFS(Data!$N$10:$N$3209,Data!$M$10:$M$3209,"&gt;="&amp;$A1987,Data!$M$10:$M$3209,"&lt;"&amp;$A1987+1)/$AG1987)))</f>
        <v/>
      </c>
      <c r="G1987" s="56">
        <f>IF($B1987=0,"",IF(Inputs!$B$10="","",IF($AH1987=0,G1986,SUMIFS(Data!$R$10:$R$3209,Data!$Q$10:$Q$3209,"&gt;="&amp;$A1987,Data!$Q$10:$Q$3209,"&lt;"&amp;$A1987+1)/$AH1987)))</f>
        <v/>
      </c>
      <c r="I1987" s="54">
        <f>IF($B1987=0,NA(),IF($C1987="",NA(),IF(C$8="",NA(),IF(N(C$8)=0,NA(),IF(Inputs!$C$17="Rebased to 100",$C1987/C$8*100,$C1987)))))</f>
        <v/>
      </c>
      <c r="J1987" s="54">
        <f>IF($B1987=0,NA(),IF($D1987="",NA(),IF(D$8="",NA(),IF(N(D$8)=0,NA(),IF(Inputs!$C$17="Rebased to 100",$D1987/D$8*100,$D1987)))))</f>
        <v/>
      </c>
      <c r="K1987" s="54">
        <f>IF($B1987=0,NA(),IF($E1987="",NA(),IF(E$8="",NA(),IF(N(E$8)=0,NA(),IF(Inputs!$C$17="Rebased to 100",$E1987/E$8*100,$E1987)))))</f>
        <v/>
      </c>
      <c r="L1987" s="54">
        <f>IF($B1987=0,NA(),IF($F1987="",NA(),IF(F$8="",NA(),IF(N(F$8)=0,NA(),IF(Inputs!$C$17="Rebased to 100",$F1987/F$8*100,$F1987)))))</f>
        <v/>
      </c>
      <c r="M1987" s="54">
        <f>IF($B1987=0,NA(),IF($G1987="",NA(),IF(G$8="",NA(),IF(N(G$8)=0,NA(),IF(Inputs!$C$17="Rebased to 100",$G1987/G$8*100,$G1987)))))</f>
        <v/>
      </c>
      <c r="N1987" s="54">
        <f>IF($B1987=0,NA(),IF(Inputs!$C$18&lt;&gt;"Yes",NA(),IF(COUNT(I1987,J1987,K1987,L1987,M1987)=0,NA(),MIN(I1987,J1987,K1987,L1987,M1987))))</f>
        <v/>
      </c>
      <c r="O1987" s="54">
        <f>IF($B1987=0,NA(),IF(Inputs!$B$24&lt;&gt;"Yes",NA(),Inputs!$D$24*Inputs!$C$35))</f>
        <v/>
      </c>
      <c r="P1987" s="54">
        <f>IF($B1987=0,NA(),IF(Inputs!$B$25&lt;&gt;"Yes",NA(),Inputs!$D$25*Inputs!$C$35))</f>
        <v/>
      </c>
      <c r="Q1987" s="54">
        <f>IF($B1987=0,NA(),IF(Inputs!$B$26&lt;&gt;"Yes",NA(),Inputs!$D$26*Inputs!$C$35))</f>
        <v/>
      </c>
      <c r="R1987" s="54">
        <f>IF($B1987=0,NA(),IF(Inputs!$B$27&lt;&gt;"Yes",NA(),Inputs!$D$27*Inputs!$C$35))</f>
        <v/>
      </c>
      <c r="S1987" s="54">
        <f>IF($B1987=0,NA(),IF(Inputs!$B$28&lt;&gt;"Yes",NA(),Inputs!$D$28*Inputs!$C$35))</f>
        <v/>
      </c>
      <c r="T1987" s="54">
        <f>IF($B1987=0,NA(),IF(Inputs!$B$29&lt;&gt;"Yes",NA(),Inputs!$D$29*Inputs!$C$35))</f>
        <v/>
      </c>
      <c r="AD1987">
        <f>IF($B1987=0,0,IF(Inputs!$B$6="",0,COUNTIFS(Data!$A$10:$A$3209,"&gt;="&amp;$A1987,Data!$A$10:$A$3209,"&lt;"&amp;$A1987+1)))</f>
        <v/>
      </c>
      <c r="AE1987">
        <f>IF($B1987=0,0,IF(Inputs!$B$7="",0,COUNTIFS(Data!$E$10:$E$3209,"&gt;="&amp;$A1987,Data!$E$10:$E$3209,"&lt;"&amp;$A1987+1)))</f>
        <v/>
      </c>
      <c r="AF1987">
        <f>IF($B1987=0,0,IF(Inputs!$B$8="",0,COUNTIFS(Data!$I$10:$I$3209,"&gt;="&amp;$A1987,Data!$I$10:$I$3209,"&lt;"&amp;$A1987+1)))</f>
        <v/>
      </c>
      <c r="AG1987">
        <f>IF($B1987=0,0,IF(Inputs!$B$9="",0,COUNTIFS(Data!$M$10:$M$3209,"&gt;="&amp;$A1987,Data!$M$10:$M$3209,"&lt;"&amp;$A1987+1)))</f>
        <v/>
      </c>
      <c r="AH1987">
        <f>IF($B1987=0,0,IF(Inputs!$B$10="",0,COUNTIFS(Data!$Q$10:$Q$3209,"&gt;="&amp;$A1987,Data!$Q$10:$Q$3209,"&lt;"&amp;$A1987+1)))</f>
        <v/>
      </c>
    </row>
    <row r="1988">
      <c r="A1988" s="55">
        <f>MIN(Inputs!$C$15,$A1987+IF(WEEKDAY($A1987,2)=5,3,1))</f>
        <v/>
      </c>
      <c r="B1988">
        <f>IF($A1988&gt;$A1987,1,0)</f>
        <v/>
      </c>
      <c r="C1988" s="56">
        <f>IF($B1988=0,"",IF(Inputs!$B$6="","",IF($AD1988=0,C1987,SUMIFS(Data!$B$10:$B$3209,Data!$A$10:$A$3209,"&gt;="&amp;$A1988,Data!$A$10:$A$3209,"&lt;"&amp;$A1988+1)/$AD1988)))</f>
        <v/>
      </c>
      <c r="D1988" s="56">
        <f>IF($B1988=0,"",IF(Inputs!$B$7="","",IF($AE1988=0,D1987,SUMIFS(Data!$F$10:$F$3209,Data!$E$10:$E$3209,"&gt;="&amp;$A1988,Data!$E$10:$E$3209,"&lt;"&amp;$A1988+1)/$AE1988)))</f>
        <v/>
      </c>
      <c r="E1988" s="56">
        <f>IF($B1988=0,"",IF(Inputs!$B$8="","",IF($AF1988=0,E1987,SUMIFS(Data!$J$10:$J$3209,Data!$I$10:$I$3209,"&gt;="&amp;$A1988,Data!$I$10:$I$3209,"&lt;"&amp;$A1988+1)/$AF1988)))</f>
        <v/>
      </c>
      <c r="F1988" s="56">
        <f>IF($B1988=0,"",IF(Inputs!$B$9="","",IF($AG1988=0,F1987,SUMIFS(Data!$N$10:$N$3209,Data!$M$10:$M$3209,"&gt;="&amp;$A1988,Data!$M$10:$M$3209,"&lt;"&amp;$A1988+1)/$AG1988)))</f>
        <v/>
      </c>
      <c r="G1988" s="56">
        <f>IF($B1988=0,"",IF(Inputs!$B$10="","",IF($AH1988=0,G1987,SUMIFS(Data!$R$10:$R$3209,Data!$Q$10:$Q$3209,"&gt;="&amp;$A1988,Data!$Q$10:$Q$3209,"&lt;"&amp;$A1988+1)/$AH1988)))</f>
        <v/>
      </c>
      <c r="I1988" s="54">
        <f>IF($B1988=0,NA(),IF($C1988="",NA(),IF(C$8="",NA(),IF(N(C$8)=0,NA(),IF(Inputs!$C$17="Rebased to 100",$C1988/C$8*100,$C1988)))))</f>
        <v/>
      </c>
      <c r="J1988" s="54">
        <f>IF($B1988=0,NA(),IF($D1988="",NA(),IF(D$8="",NA(),IF(N(D$8)=0,NA(),IF(Inputs!$C$17="Rebased to 100",$D1988/D$8*100,$D1988)))))</f>
        <v/>
      </c>
      <c r="K1988" s="54">
        <f>IF($B1988=0,NA(),IF($E1988="",NA(),IF(E$8="",NA(),IF(N(E$8)=0,NA(),IF(Inputs!$C$17="Rebased to 100",$E1988/E$8*100,$E1988)))))</f>
        <v/>
      </c>
      <c r="L1988" s="54">
        <f>IF($B1988=0,NA(),IF($F1988="",NA(),IF(F$8="",NA(),IF(N(F$8)=0,NA(),IF(Inputs!$C$17="Rebased to 100",$F1988/F$8*100,$F1988)))))</f>
        <v/>
      </c>
      <c r="M1988" s="54">
        <f>IF($B1988=0,NA(),IF($G1988="",NA(),IF(G$8="",NA(),IF(N(G$8)=0,NA(),IF(Inputs!$C$17="Rebased to 100",$G1988/G$8*100,$G1988)))))</f>
        <v/>
      </c>
      <c r="N1988" s="54">
        <f>IF($B1988=0,NA(),IF(Inputs!$C$18&lt;&gt;"Yes",NA(),IF(COUNT(I1988,J1988,K1988,L1988,M1988)=0,NA(),MIN(I1988,J1988,K1988,L1988,M1988))))</f>
        <v/>
      </c>
      <c r="O1988" s="54">
        <f>IF($B1988=0,NA(),IF(Inputs!$B$24&lt;&gt;"Yes",NA(),Inputs!$D$24*Inputs!$C$35))</f>
        <v/>
      </c>
      <c r="P1988" s="54">
        <f>IF($B1988=0,NA(),IF(Inputs!$B$25&lt;&gt;"Yes",NA(),Inputs!$D$25*Inputs!$C$35))</f>
        <v/>
      </c>
      <c r="Q1988" s="54">
        <f>IF($B1988=0,NA(),IF(Inputs!$B$26&lt;&gt;"Yes",NA(),Inputs!$D$26*Inputs!$C$35))</f>
        <v/>
      </c>
      <c r="R1988" s="54">
        <f>IF($B1988=0,NA(),IF(Inputs!$B$27&lt;&gt;"Yes",NA(),Inputs!$D$27*Inputs!$C$35))</f>
        <v/>
      </c>
      <c r="S1988" s="54">
        <f>IF($B1988=0,NA(),IF(Inputs!$B$28&lt;&gt;"Yes",NA(),Inputs!$D$28*Inputs!$C$35))</f>
        <v/>
      </c>
      <c r="T1988" s="54">
        <f>IF($B1988=0,NA(),IF(Inputs!$B$29&lt;&gt;"Yes",NA(),Inputs!$D$29*Inputs!$C$35))</f>
        <v/>
      </c>
      <c r="AD1988">
        <f>IF($B1988=0,0,IF(Inputs!$B$6="",0,COUNTIFS(Data!$A$10:$A$3209,"&gt;="&amp;$A1988,Data!$A$10:$A$3209,"&lt;"&amp;$A1988+1)))</f>
        <v/>
      </c>
      <c r="AE1988">
        <f>IF($B1988=0,0,IF(Inputs!$B$7="",0,COUNTIFS(Data!$E$10:$E$3209,"&gt;="&amp;$A1988,Data!$E$10:$E$3209,"&lt;"&amp;$A1988+1)))</f>
        <v/>
      </c>
      <c r="AF1988">
        <f>IF($B1988=0,0,IF(Inputs!$B$8="",0,COUNTIFS(Data!$I$10:$I$3209,"&gt;="&amp;$A1988,Data!$I$10:$I$3209,"&lt;"&amp;$A1988+1)))</f>
        <v/>
      </c>
      <c r="AG1988">
        <f>IF($B1988=0,0,IF(Inputs!$B$9="",0,COUNTIFS(Data!$M$10:$M$3209,"&gt;="&amp;$A1988,Data!$M$10:$M$3209,"&lt;"&amp;$A1988+1)))</f>
        <v/>
      </c>
      <c r="AH1988">
        <f>IF($B1988=0,0,IF(Inputs!$B$10="",0,COUNTIFS(Data!$Q$10:$Q$3209,"&gt;="&amp;$A1988,Data!$Q$10:$Q$3209,"&lt;"&amp;$A1988+1)))</f>
        <v/>
      </c>
    </row>
    <row r="1989">
      <c r="A1989" s="55">
        <f>MIN(Inputs!$C$15,$A1988+IF(WEEKDAY($A1988,2)=5,3,1))</f>
        <v/>
      </c>
      <c r="B1989">
        <f>IF($A1989&gt;$A1988,1,0)</f>
        <v/>
      </c>
      <c r="C1989" s="56">
        <f>IF($B1989=0,"",IF(Inputs!$B$6="","",IF($AD1989=0,C1988,SUMIFS(Data!$B$10:$B$3209,Data!$A$10:$A$3209,"&gt;="&amp;$A1989,Data!$A$10:$A$3209,"&lt;"&amp;$A1989+1)/$AD1989)))</f>
        <v/>
      </c>
      <c r="D1989" s="56">
        <f>IF($B1989=0,"",IF(Inputs!$B$7="","",IF($AE1989=0,D1988,SUMIFS(Data!$F$10:$F$3209,Data!$E$10:$E$3209,"&gt;="&amp;$A1989,Data!$E$10:$E$3209,"&lt;"&amp;$A1989+1)/$AE1989)))</f>
        <v/>
      </c>
      <c r="E1989" s="56">
        <f>IF($B1989=0,"",IF(Inputs!$B$8="","",IF($AF1989=0,E1988,SUMIFS(Data!$J$10:$J$3209,Data!$I$10:$I$3209,"&gt;="&amp;$A1989,Data!$I$10:$I$3209,"&lt;"&amp;$A1989+1)/$AF1989)))</f>
        <v/>
      </c>
      <c r="F1989" s="56">
        <f>IF($B1989=0,"",IF(Inputs!$B$9="","",IF($AG1989=0,F1988,SUMIFS(Data!$N$10:$N$3209,Data!$M$10:$M$3209,"&gt;="&amp;$A1989,Data!$M$10:$M$3209,"&lt;"&amp;$A1989+1)/$AG1989)))</f>
        <v/>
      </c>
      <c r="G1989" s="56">
        <f>IF($B1989=0,"",IF(Inputs!$B$10="","",IF($AH1989=0,G1988,SUMIFS(Data!$R$10:$R$3209,Data!$Q$10:$Q$3209,"&gt;="&amp;$A1989,Data!$Q$10:$Q$3209,"&lt;"&amp;$A1989+1)/$AH1989)))</f>
        <v/>
      </c>
      <c r="I1989" s="54">
        <f>IF($B1989=0,NA(),IF($C1989="",NA(),IF(C$8="",NA(),IF(N(C$8)=0,NA(),IF(Inputs!$C$17="Rebased to 100",$C1989/C$8*100,$C1989)))))</f>
        <v/>
      </c>
      <c r="J1989" s="54">
        <f>IF($B1989=0,NA(),IF($D1989="",NA(),IF(D$8="",NA(),IF(N(D$8)=0,NA(),IF(Inputs!$C$17="Rebased to 100",$D1989/D$8*100,$D1989)))))</f>
        <v/>
      </c>
      <c r="K1989" s="54">
        <f>IF($B1989=0,NA(),IF($E1989="",NA(),IF(E$8="",NA(),IF(N(E$8)=0,NA(),IF(Inputs!$C$17="Rebased to 100",$E1989/E$8*100,$E1989)))))</f>
        <v/>
      </c>
      <c r="L1989" s="54">
        <f>IF($B1989=0,NA(),IF($F1989="",NA(),IF(F$8="",NA(),IF(N(F$8)=0,NA(),IF(Inputs!$C$17="Rebased to 100",$F1989/F$8*100,$F1989)))))</f>
        <v/>
      </c>
      <c r="M1989" s="54">
        <f>IF($B1989=0,NA(),IF($G1989="",NA(),IF(G$8="",NA(),IF(N(G$8)=0,NA(),IF(Inputs!$C$17="Rebased to 100",$G1989/G$8*100,$G1989)))))</f>
        <v/>
      </c>
      <c r="N1989" s="54">
        <f>IF($B1989=0,NA(),IF(Inputs!$C$18&lt;&gt;"Yes",NA(),IF(COUNT(I1989,J1989,K1989,L1989,M1989)=0,NA(),MIN(I1989,J1989,K1989,L1989,M1989))))</f>
        <v/>
      </c>
      <c r="O1989" s="54">
        <f>IF($B1989=0,NA(),IF(Inputs!$B$24&lt;&gt;"Yes",NA(),Inputs!$D$24*Inputs!$C$35))</f>
        <v/>
      </c>
      <c r="P1989" s="54">
        <f>IF($B1989=0,NA(),IF(Inputs!$B$25&lt;&gt;"Yes",NA(),Inputs!$D$25*Inputs!$C$35))</f>
        <v/>
      </c>
      <c r="Q1989" s="54">
        <f>IF($B1989=0,NA(),IF(Inputs!$B$26&lt;&gt;"Yes",NA(),Inputs!$D$26*Inputs!$C$35))</f>
        <v/>
      </c>
      <c r="R1989" s="54">
        <f>IF($B1989=0,NA(),IF(Inputs!$B$27&lt;&gt;"Yes",NA(),Inputs!$D$27*Inputs!$C$35))</f>
        <v/>
      </c>
      <c r="S1989" s="54">
        <f>IF($B1989=0,NA(),IF(Inputs!$B$28&lt;&gt;"Yes",NA(),Inputs!$D$28*Inputs!$C$35))</f>
        <v/>
      </c>
      <c r="T1989" s="54">
        <f>IF($B1989=0,NA(),IF(Inputs!$B$29&lt;&gt;"Yes",NA(),Inputs!$D$29*Inputs!$C$35))</f>
        <v/>
      </c>
      <c r="AD1989">
        <f>IF($B1989=0,0,IF(Inputs!$B$6="",0,COUNTIFS(Data!$A$10:$A$3209,"&gt;="&amp;$A1989,Data!$A$10:$A$3209,"&lt;"&amp;$A1989+1)))</f>
        <v/>
      </c>
      <c r="AE1989">
        <f>IF($B1989=0,0,IF(Inputs!$B$7="",0,COUNTIFS(Data!$E$10:$E$3209,"&gt;="&amp;$A1989,Data!$E$10:$E$3209,"&lt;"&amp;$A1989+1)))</f>
        <v/>
      </c>
      <c r="AF1989">
        <f>IF($B1989=0,0,IF(Inputs!$B$8="",0,COUNTIFS(Data!$I$10:$I$3209,"&gt;="&amp;$A1989,Data!$I$10:$I$3209,"&lt;"&amp;$A1989+1)))</f>
        <v/>
      </c>
      <c r="AG1989">
        <f>IF($B1989=0,0,IF(Inputs!$B$9="",0,COUNTIFS(Data!$M$10:$M$3209,"&gt;="&amp;$A1989,Data!$M$10:$M$3209,"&lt;"&amp;$A1989+1)))</f>
        <v/>
      </c>
      <c r="AH1989">
        <f>IF($B1989=0,0,IF(Inputs!$B$10="",0,COUNTIFS(Data!$Q$10:$Q$3209,"&gt;="&amp;$A1989,Data!$Q$10:$Q$3209,"&lt;"&amp;$A1989+1)))</f>
        <v/>
      </c>
    </row>
    <row r="1990">
      <c r="A1990" s="55">
        <f>MIN(Inputs!$C$15,$A1989+IF(WEEKDAY($A1989,2)=5,3,1))</f>
        <v/>
      </c>
      <c r="B1990">
        <f>IF($A1990&gt;$A1989,1,0)</f>
        <v/>
      </c>
      <c r="C1990" s="56">
        <f>IF($B1990=0,"",IF(Inputs!$B$6="","",IF($AD1990=0,C1989,SUMIFS(Data!$B$10:$B$3209,Data!$A$10:$A$3209,"&gt;="&amp;$A1990,Data!$A$10:$A$3209,"&lt;"&amp;$A1990+1)/$AD1990)))</f>
        <v/>
      </c>
      <c r="D1990" s="56">
        <f>IF($B1990=0,"",IF(Inputs!$B$7="","",IF($AE1990=0,D1989,SUMIFS(Data!$F$10:$F$3209,Data!$E$10:$E$3209,"&gt;="&amp;$A1990,Data!$E$10:$E$3209,"&lt;"&amp;$A1990+1)/$AE1990)))</f>
        <v/>
      </c>
      <c r="E1990" s="56">
        <f>IF($B1990=0,"",IF(Inputs!$B$8="","",IF($AF1990=0,E1989,SUMIFS(Data!$J$10:$J$3209,Data!$I$10:$I$3209,"&gt;="&amp;$A1990,Data!$I$10:$I$3209,"&lt;"&amp;$A1990+1)/$AF1990)))</f>
        <v/>
      </c>
      <c r="F1990" s="56">
        <f>IF($B1990=0,"",IF(Inputs!$B$9="","",IF($AG1990=0,F1989,SUMIFS(Data!$N$10:$N$3209,Data!$M$10:$M$3209,"&gt;="&amp;$A1990,Data!$M$10:$M$3209,"&lt;"&amp;$A1990+1)/$AG1990)))</f>
        <v/>
      </c>
      <c r="G1990" s="56">
        <f>IF($B1990=0,"",IF(Inputs!$B$10="","",IF($AH1990=0,G1989,SUMIFS(Data!$R$10:$R$3209,Data!$Q$10:$Q$3209,"&gt;="&amp;$A1990,Data!$Q$10:$Q$3209,"&lt;"&amp;$A1990+1)/$AH1990)))</f>
        <v/>
      </c>
      <c r="I1990" s="54">
        <f>IF($B1990=0,NA(),IF($C1990="",NA(),IF(C$8="",NA(),IF(N(C$8)=0,NA(),IF(Inputs!$C$17="Rebased to 100",$C1990/C$8*100,$C1990)))))</f>
        <v/>
      </c>
      <c r="J1990" s="54">
        <f>IF($B1990=0,NA(),IF($D1990="",NA(),IF(D$8="",NA(),IF(N(D$8)=0,NA(),IF(Inputs!$C$17="Rebased to 100",$D1990/D$8*100,$D1990)))))</f>
        <v/>
      </c>
      <c r="K1990" s="54">
        <f>IF($B1990=0,NA(),IF($E1990="",NA(),IF(E$8="",NA(),IF(N(E$8)=0,NA(),IF(Inputs!$C$17="Rebased to 100",$E1990/E$8*100,$E1990)))))</f>
        <v/>
      </c>
      <c r="L1990" s="54">
        <f>IF($B1990=0,NA(),IF($F1990="",NA(),IF(F$8="",NA(),IF(N(F$8)=0,NA(),IF(Inputs!$C$17="Rebased to 100",$F1990/F$8*100,$F1990)))))</f>
        <v/>
      </c>
      <c r="M1990" s="54">
        <f>IF($B1990=0,NA(),IF($G1990="",NA(),IF(G$8="",NA(),IF(N(G$8)=0,NA(),IF(Inputs!$C$17="Rebased to 100",$G1990/G$8*100,$G1990)))))</f>
        <v/>
      </c>
      <c r="N1990" s="54">
        <f>IF($B1990=0,NA(),IF(Inputs!$C$18&lt;&gt;"Yes",NA(),IF(COUNT(I1990,J1990,K1990,L1990,M1990)=0,NA(),MIN(I1990,J1990,K1990,L1990,M1990))))</f>
        <v/>
      </c>
      <c r="O1990" s="54">
        <f>IF($B1990=0,NA(),IF(Inputs!$B$24&lt;&gt;"Yes",NA(),Inputs!$D$24*Inputs!$C$35))</f>
        <v/>
      </c>
      <c r="P1990" s="54">
        <f>IF($B1990=0,NA(),IF(Inputs!$B$25&lt;&gt;"Yes",NA(),Inputs!$D$25*Inputs!$C$35))</f>
        <v/>
      </c>
      <c r="Q1990" s="54">
        <f>IF($B1990=0,NA(),IF(Inputs!$B$26&lt;&gt;"Yes",NA(),Inputs!$D$26*Inputs!$C$35))</f>
        <v/>
      </c>
      <c r="R1990" s="54">
        <f>IF($B1990=0,NA(),IF(Inputs!$B$27&lt;&gt;"Yes",NA(),Inputs!$D$27*Inputs!$C$35))</f>
        <v/>
      </c>
      <c r="S1990" s="54">
        <f>IF($B1990=0,NA(),IF(Inputs!$B$28&lt;&gt;"Yes",NA(),Inputs!$D$28*Inputs!$C$35))</f>
        <v/>
      </c>
      <c r="T1990" s="54">
        <f>IF($B1990=0,NA(),IF(Inputs!$B$29&lt;&gt;"Yes",NA(),Inputs!$D$29*Inputs!$C$35))</f>
        <v/>
      </c>
      <c r="AD1990">
        <f>IF($B1990=0,0,IF(Inputs!$B$6="",0,COUNTIFS(Data!$A$10:$A$3209,"&gt;="&amp;$A1990,Data!$A$10:$A$3209,"&lt;"&amp;$A1990+1)))</f>
        <v/>
      </c>
      <c r="AE1990">
        <f>IF($B1990=0,0,IF(Inputs!$B$7="",0,COUNTIFS(Data!$E$10:$E$3209,"&gt;="&amp;$A1990,Data!$E$10:$E$3209,"&lt;"&amp;$A1990+1)))</f>
        <v/>
      </c>
      <c r="AF1990">
        <f>IF($B1990=0,0,IF(Inputs!$B$8="",0,COUNTIFS(Data!$I$10:$I$3209,"&gt;="&amp;$A1990,Data!$I$10:$I$3209,"&lt;"&amp;$A1990+1)))</f>
        <v/>
      </c>
      <c r="AG1990">
        <f>IF($B1990=0,0,IF(Inputs!$B$9="",0,COUNTIFS(Data!$M$10:$M$3209,"&gt;="&amp;$A1990,Data!$M$10:$M$3209,"&lt;"&amp;$A1990+1)))</f>
        <v/>
      </c>
      <c r="AH1990">
        <f>IF($B1990=0,0,IF(Inputs!$B$10="",0,COUNTIFS(Data!$Q$10:$Q$3209,"&gt;="&amp;$A1990,Data!$Q$10:$Q$3209,"&lt;"&amp;$A1990+1)))</f>
        <v/>
      </c>
    </row>
    <row r="1991">
      <c r="A1991" s="55">
        <f>MIN(Inputs!$C$15,$A1990+IF(WEEKDAY($A1990,2)=5,3,1))</f>
        <v/>
      </c>
      <c r="B1991">
        <f>IF($A1991&gt;$A1990,1,0)</f>
        <v/>
      </c>
      <c r="C1991" s="56">
        <f>IF($B1991=0,"",IF(Inputs!$B$6="","",IF($AD1991=0,C1990,SUMIFS(Data!$B$10:$B$3209,Data!$A$10:$A$3209,"&gt;="&amp;$A1991,Data!$A$10:$A$3209,"&lt;"&amp;$A1991+1)/$AD1991)))</f>
        <v/>
      </c>
      <c r="D1991" s="56">
        <f>IF($B1991=0,"",IF(Inputs!$B$7="","",IF($AE1991=0,D1990,SUMIFS(Data!$F$10:$F$3209,Data!$E$10:$E$3209,"&gt;="&amp;$A1991,Data!$E$10:$E$3209,"&lt;"&amp;$A1991+1)/$AE1991)))</f>
        <v/>
      </c>
      <c r="E1991" s="56">
        <f>IF($B1991=0,"",IF(Inputs!$B$8="","",IF($AF1991=0,E1990,SUMIFS(Data!$J$10:$J$3209,Data!$I$10:$I$3209,"&gt;="&amp;$A1991,Data!$I$10:$I$3209,"&lt;"&amp;$A1991+1)/$AF1991)))</f>
        <v/>
      </c>
      <c r="F1991" s="56">
        <f>IF($B1991=0,"",IF(Inputs!$B$9="","",IF($AG1991=0,F1990,SUMIFS(Data!$N$10:$N$3209,Data!$M$10:$M$3209,"&gt;="&amp;$A1991,Data!$M$10:$M$3209,"&lt;"&amp;$A1991+1)/$AG1991)))</f>
        <v/>
      </c>
      <c r="G1991" s="56">
        <f>IF($B1991=0,"",IF(Inputs!$B$10="","",IF($AH1991=0,G1990,SUMIFS(Data!$R$10:$R$3209,Data!$Q$10:$Q$3209,"&gt;="&amp;$A1991,Data!$Q$10:$Q$3209,"&lt;"&amp;$A1991+1)/$AH1991)))</f>
        <v/>
      </c>
      <c r="I1991" s="54">
        <f>IF($B1991=0,NA(),IF($C1991="",NA(),IF(C$8="",NA(),IF(N(C$8)=0,NA(),IF(Inputs!$C$17="Rebased to 100",$C1991/C$8*100,$C1991)))))</f>
        <v/>
      </c>
      <c r="J1991" s="54">
        <f>IF($B1991=0,NA(),IF($D1991="",NA(),IF(D$8="",NA(),IF(N(D$8)=0,NA(),IF(Inputs!$C$17="Rebased to 100",$D1991/D$8*100,$D1991)))))</f>
        <v/>
      </c>
      <c r="K1991" s="54">
        <f>IF($B1991=0,NA(),IF($E1991="",NA(),IF(E$8="",NA(),IF(N(E$8)=0,NA(),IF(Inputs!$C$17="Rebased to 100",$E1991/E$8*100,$E1991)))))</f>
        <v/>
      </c>
      <c r="L1991" s="54">
        <f>IF($B1991=0,NA(),IF($F1991="",NA(),IF(F$8="",NA(),IF(N(F$8)=0,NA(),IF(Inputs!$C$17="Rebased to 100",$F1991/F$8*100,$F1991)))))</f>
        <v/>
      </c>
      <c r="M1991" s="54">
        <f>IF($B1991=0,NA(),IF($G1991="",NA(),IF(G$8="",NA(),IF(N(G$8)=0,NA(),IF(Inputs!$C$17="Rebased to 100",$G1991/G$8*100,$G1991)))))</f>
        <v/>
      </c>
      <c r="N1991" s="54">
        <f>IF($B1991=0,NA(),IF(Inputs!$C$18&lt;&gt;"Yes",NA(),IF(COUNT(I1991,J1991,K1991,L1991,M1991)=0,NA(),MIN(I1991,J1991,K1991,L1991,M1991))))</f>
        <v/>
      </c>
      <c r="O1991" s="54">
        <f>IF($B1991=0,NA(),IF(Inputs!$B$24&lt;&gt;"Yes",NA(),Inputs!$D$24*Inputs!$C$35))</f>
        <v/>
      </c>
      <c r="P1991" s="54">
        <f>IF($B1991=0,NA(),IF(Inputs!$B$25&lt;&gt;"Yes",NA(),Inputs!$D$25*Inputs!$C$35))</f>
        <v/>
      </c>
      <c r="Q1991" s="54">
        <f>IF($B1991=0,NA(),IF(Inputs!$B$26&lt;&gt;"Yes",NA(),Inputs!$D$26*Inputs!$C$35))</f>
        <v/>
      </c>
      <c r="R1991" s="54">
        <f>IF($B1991=0,NA(),IF(Inputs!$B$27&lt;&gt;"Yes",NA(),Inputs!$D$27*Inputs!$C$35))</f>
        <v/>
      </c>
      <c r="S1991" s="54">
        <f>IF($B1991=0,NA(),IF(Inputs!$B$28&lt;&gt;"Yes",NA(),Inputs!$D$28*Inputs!$C$35))</f>
        <v/>
      </c>
      <c r="T1991" s="54">
        <f>IF($B1991=0,NA(),IF(Inputs!$B$29&lt;&gt;"Yes",NA(),Inputs!$D$29*Inputs!$C$35))</f>
        <v/>
      </c>
      <c r="AD1991">
        <f>IF($B1991=0,0,IF(Inputs!$B$6="",0,COUNTIFS(Data!$A$10:$A$3209,"&gt;="&amp;$A1991,Data!$A$10:$A$3209,"&lt;"&amp;$A1991+1)))</f>
        <v/>
      </c>
      <c r="AE1991">
        <f>IF($B1991=0,0,IF(Inputs!$B$7="",0,COUNTIFS(Data!$E$10:$E$3209,"&gt;="&amp;$A1991,Data!$E$10:$E$3209,"&lt;"&amp;$A1991+1)))</f>
        <v/>
      </c>
      <c r="AF1991">
        <f>IF($B1991=0,0,IF(Inputs!$B$8="",0,COUNTIFS(Data!$I$10:$I$3209,"&gt;="&amp;$A1991,Data!$I$10:$I$3209,"&lt;"&amp;$A1991+1)))</f>
        <v/>
      </c>
      <c r="AG1991">
        <f>IF($B1991=0,0,IF(Inputs!$B$9="",0,COUNTIFS(Data!$M$10:$M$3209,"&gt;="&amp;$A1991,Data!$M$10:$M$3209,"&lt;"&amp;$A1991+1)))</f>
        <v/>
      </c>
      <c r="AH1991">
        <f>IF($B1991=0,0,IF(Inputs!$B$10="",0,COUNTIFS(Data!$Q$10:$Q$3209,"&gt;="&amp;$A1991,Data!$Q$10:$Q$3209,"&lt;"&amp;$A1991+1)))</f>
        <v/>
      </c>
    </row>
    <row r="1992">
      <c r="A1992" s="55">
        <f>MIN(Inputs!$C$15,$A1991+IF(WEEKDAY($A1991,2)=5,3,1))</f>
        <v/>
      </c>
      <c r="B1992">
        <f>IF($A1992&gt;$A1991,1,0)</f>
        <v/>
      </c>
      <c r="C1992" s="56">
        <f>IF($B1992=0,"",IF(Inputs!$B$6="","",IF($AD1992=0,C1991,SUMIFS(Data!$B$10:$B$3209,Data!$A$10:$A$3209,"&gt;="&amp;$A1992,Data!$A$10:$A$3209,"&lt;"&amp;$A1992+1)/$AD1992)))</f>
        <v/>
      </c>
      <c r="D1992" s="56">
        <f>IF($B1992=0,"",IF(Inputs!$B$7="","",IF($AE1992=0,D1991,SUMIFS(Data!$F$10:$F$3209,Data!$E$10:$E$3209,"&gt;="&amp;$A1992,Data!$E$10:$E$3209,"&lt;"&amp;$A1992+1)/$AE1992)))</f>
        <v/>
      </c>
      <c r="E1992" s="56">
        <f>IF($B1992=0,"",IF(Inputs!$B$8="","",IF($AF1992=0,E1991,SUMIFS(Data!$J$10:$J$3209,Data!$I$10:$I$3209,"&gt;="&amp;$A1992,Data!$I$10:$I$3209,"&lt;"&amp;$A1992+1)/$AF1992)))</f>
        <v/>
      </c>
      <c r="F1992" s="56">
        <f>IF($B1992=0,"",IF(Inputs!$B$9="","",IF($AG1992=0,F1991,SUMIFS(Data!$N$10:$N$3209,Data!$M$10:$M$3209,"&gt;="&amp;$A1992,Data!$M$10:$M$3209,"&lt;"&amp;$A1992+1)/$AG1992)))</f>
        <v/>
      </c>
      <c r="G1992" s="56">
        <f>IF($B1992=0,"",IF(Inputs!$B$10="","",IF($AH1992=0,G1991,SUMIFS(Data!$R$10:$R$3209,Data!$Q$10:$Q$3209,"&gt;="&amp;$A1992,Data!$Q$10:$Q$3209,"&lt;"&amp;$A1992+1)/$AH1992)))</f>
        <v/>
      </c>
      <c r="I1992" s="54">
        <f>IF($B1992=0,NA(),IF($C1992="",NA(),IF(C$8="",NA(),IF(N(C$8)=0,NA(),IF(Inputs!$C$17="Rebased to 100",$C1992/C$8*100,$C1992)))))</f>
        <v/>
      </c>
      <c r="J1992" s="54">
        <f>IF($B1992=0,NA(),IF($D1992="",NA(),IF(D$8="",NA(),IF(N(D$8)=0,NA(),IF(Inputs!$C$17="Rebased to 100",$D1992/D$8*100,$D1992)))))</f>
        <v/>
      </c>
      <c r="K1992" s="54">
        <f>IF($B1992=0,NA(),IF($E1992="",NA(),IF(E$8="",NA(),IF(N(E$8)=0,NA(),IF(Inputs!$C$17="Rebased to 100",$E1992/E$8*100,$E1992)))))</f>
        <v/>
      </c>
      <c r="L1992" s="54">
        <f>IF($B1992=0,NA(),IF($F1992="",NA(),IF(F$8="",NA(),IF(N(F$8)=0,NA(),IF(Inputs!$C$17="Rebased to 100",$F1992/F$8*100,$F1992)))))</f>
        <v/>
      </c>
      <c r="M1992" s="54">
        <f>IF($B1992=0,NA(),IF($G1992="",NA(),IF(G$8="",NA(),IF(N(G$8)=0,NA(),IF(Inputs!$C$17="Rebased to 100",$G1992/G$8*100,$G1992)))))</f>
        <v/>
      </c>
      <c r="N1992" s="54">
        <f>IF($B1992=0,NA(),IF(Inputs!$C$18&lt;&gt;"Yes",NA(),IF(COUNT(I1992,J1992,K1992,L1992,M1992)=0,NA(),MIN(I1992,J1992,K1992,L1992,M1992))))</f>
        <v/>
      </c>
      <c r="O1992" s="54">
        <f>IF($B1992=0,NA(),IF(Inputs!$B$24&lt;&gt;"Yes",NA(),Inputs!$D$24*Inputs!$C$35))</f>
        <v/>
      </c>
      <c r="P1992" s="54">
        <f>IF($B1992=0,NA(),IF(Inputs!$B$25&lt;&gt;"Yes",NA(),Inputs!$D$25*Inputs!$C$35))</f>
        <v/>
      </c>
      <c r="Q1992" s="54">
        <f>IF($B1992=0,NA(),IF(Inputs!$B$26&lt;&gt;"Yes",NA(),Inputs!$D$26*Inputs!$C$35))</f>
        <v/>
      </c>
      <c r="R1992" s="54">
        <f>IF($B1992=0,NA(),IF(Inputs!$B$27&lt;&gt;"Yes",NA(),Inputs!$D$27*Inputs!$C$35))</f>
        <v/>
      </c>
      <c r="S1992" s="54">
        <f>IF($B1992=0,NA(),IF(Inputs!$B$28&lt;&gt;"Yes",NA(),Inputs!$D$28*Inputs!$C$35))</f>
        <v/>
      </c>
      <c r="T1992" s="54">
        <f>IF($B1992=0,NA(),IF(Inputs!$B$29&lt;&gt;"Yes",NA(),Inputs!$D$29*Inputs!$C$35))</f>
        <v/>
      </c>
      <c r="AD1992">
        <f>IF($B1992=0,0,IF(Inputs!$B$6="",0,COUNTIFS(Data!$A$10:$A$3209,"&gt;="&amp;$A1992,Data!$A$10:$A$3209,"&lt;"&amp;$A1992+1)))</f>
        <v/>
      </c>
      <c r="AE1992">
        <f>IF($B1992=0,0,IF(Inputs!$B$7="",0,COUNTIFS(Data!$E$10:$E$3209,"&gt;="&amp;$A1992,Data!$E$10:$E$3209,"&lt;"&amp;$A1992+1)))</f>
        <v/>
      </c>
      <c r="AF1992">
        <f>IF($B1992=0,0,IF(Inputs!$B$8="",0,COUNTIFS(Data!$I$10:$I$3209,"&gt;="&amp;$A1992,Data!$I$10:$I$3209,"&lt;"&amp;$A1992+1)))</f>
        <v/>
      </c>
      <c r="AG1992">
        <f>IF($B1992=0,0,IF(Inputs!$B$9="",0,COUNTIFS(Data!$M$10:$M$3209,"&gt;="&amp;$A1992,Data!$M$10:$M$3209,"&lt;"&amp;$A1992+1)))</f>
        <v/>
      </c>
      <c r="AH1992">
        <f>IF($B1992=0,0,IF(Inputs!$B$10="",0,COUNTIFS(Data!$Q$10:$Q$3209,"&gt;="&amp;$A1992,Data!$Q$10:$Q$3209,"&lt;"&amp;$A1992+1)))</f>
        <v/>
      </c>
    </row>
    <row r="1993">
      <c r="A1993" s="55">
        <f>MIN(Inputs!$C$15,$A1992+IF(WEEKDAY($A1992,2)=5,3,1))</f>
        <v/>
      </c>
      <c r="B1993">
        <f>IF($A1993&gt;$A1992,1,0)</f>
        <v/>
      </c>
      <c r="C1993" s="56">
        <f>IF($B1993=0,"",IF(Inputs!$B$6="","",IF($AD1993=0,C1992,SUMIFS(Data!$B$10:$B$3209,Data!$A$10:$A$3209,"&gt;="&amp;$A1993,Data!$A$10:$A$3209,"&lt;"&amp;$A1993+1)/$AD1993)))</f>
        <v/>
      </c>
      <c r="D1993" s="56">
        <f>IF($B1993=0,"",IF(Inputs!$B$7="","",IF($AE1993=0,D1992,SUMIFS(Data!$F$10:$F$3209,Data!$E$10:$E$3209,"&gt;="&amp;$A1993,Data!$E$10:$E$3209,"&lt;"&amp;$A1993+1)/$AE1993)))</f>
        <v/>
      </c>
      <c r="E1993" s="56">
        <f>IF($B1993=0,"",IF(Inputs!$B$8="","",IF($AF1993=0,E1992,SUMIFS(Data!$J$10:$J$3209,Data!$I$10:$I$3209,"&gt;="&amp;$A1993,Data!$I$10:$I$3209,"&lt;"&amp;$A1993+1)/$AF1993)))</f>
        <v/>
      </c>
      <c r="F1993" s="56">
        <f>IF($B1993=0,"",IF(Inputs!$B$9="","",IF($AG1993=0,F1992,SUMIFS(Data!$N$10:$N$3209,Data!$M$10:$M$3209,"&gt;="&amp;$A1993,Data!$M$10:$M$3209,"&lt;"&amp;$A1993+1)/$AG1993)))</f>
        <v/>
      </c>
      <c r="G1993" s="56">
        <f>IF($B1993=0,"",IF(Inputs!$B$10="","",IF($AH1993=0,G1992,SUMIFS(Data!$R$10:$R$3209,Data!$Q$10:$Q$3209,"&gt;="&amp;$A1993,Data!$Q$10:$Q$3209,"&lt;"&amp;$A1993+1)/$AH1993)))</f>
        <v/>
      </c>
      <c r="I1993" s="54">
        <f>IF($B1993=0,NA(),IF($C1993="",NA(),IF(C$8="",NA(),IF(N(C$8)=0,NA(),IF(Inputs!$C$17="Rebased to 100",$C1993/C$8*100,$C1993)))))</f>
        <v/>
      </c>
      <c r="J1993" s="54">
        <f>IF($B1993=0,NA(),IF($D1993="",NA(),IF(D$8="",NA(),IF(N(D$8)=0,NA(),IF(Inputs!$C$17="Rebased to 100",$D1993/D$8*100,$D1993)))))</f>
        <v/>
      </c>
      <c r="K1993" s="54">
        <f>IF($B1993=0,NA(),IF($E1993="",NA(),IF(E$8="",NA(),IF(N(E$8)=0,NA(),IF(Inputs!$C$17="Rebased to 100",$E1993/E$8*100,$E1993)))))</f>
        <v/>
      </c>
      <c r="L1993" s="54">
        <f>IF($B1993=0,NA(),IF($F1993="",NA(),IF(F$8="",NA(),IF(N(F$8)=0,NA(),IF(Inputs!$C$17="Rebased to 100",$F1993/F$8*100,$F1993)))))</f>
        <v/>
      </c>
      <c r="M1993" s="54">
        <f>IF($B1993=0,NA(),IF($G1993="",NA(),IF(G$8="",NA(),IF(N(G$8)=0,NA(),IF(Inputs!$C$17="Rebased to 100",$G1993/G$8*100,$G1993)))))</f>
        <v/>
      </c>
      <c r="N1993" s="54">
        <f>IF($B1993=0,NA(),IF(Inputs!$C$18&lt;&gt;"Yes",NA(),IF(COUNT(I1993,J1993,K1993,L1993,M1993)=0,NA(),MIN(I1993,J1993,K1993,L1993,M1993))))</f>
        <v/>
      </c>
      <c r="O1993" s="54">
        <f>IF($B1993=0,NA(),IF(Inputs!$B$24&lt;&gt;"Yes",NA(),Inputs!$D$24*Inputs!$C$35))</f>
        <v/>
      </c>
      <c r="P1993" s="54">
        <f>IF($B1993=0,NA(),IF(Inputs!$B$25&lt;&gt;"Yes",NA(),Inputs!$D$25*Inputs!$C$35))</f>
        <v/>
      </c>
      <c r="Q1993" s="54">
        <f>IF($B1993=0,NA(),IF(Inputs!$B$26&lt;&gt;"Yes",NA(),Inputs!$D$26*Inputs!$C$35))</f>
        <v/>
      </c>
      <c r="R1993" s="54">
        <f>IF($B1993=0,NA(),IF(Inputs!$B$27&lt;&gt;"Yes",NA(),Inputs!$D$27*Inputs!$C$35))</f>
        <v/>
      </c>
      <c r="S1993" s="54">
        <f>IF($B1993=0,NA(),IF(Inputs!$B$28&lt;&gt;"Yes",NA(),Inputs!$D$28*Inputs!$C$35))</f>
        <v/>
      </c>
      <c r="T1993" s="54">
        <f>IF($B1993=0,NA(),IF(Inputs!$B$29&lt;&gt;"Yes",NA(),Inputs!$D$29*Inputs!$C$35))</f>
        <v/>
      </c>
      <c r="AD1993">
        <f>IF($B1993=0,0,IF(Inputs!$B$6="",0,COUNTIFS(Data!$A$10:$A$3209,"&gt;="&amp;$A1993,Data!$A$10:$A$3209,"&lt;"&amp;$A1993+1)))</f>
        <v/>
      </c>
      <c r="AE1993">
        <f>IF($B1993=0,0,IF(Inputs!$B$7="",0,COUNTIFS(Data!$E$10:$E$3209,"&gt;="&amp;$A1993,Data!$E$10:$E$3209,"&lt;"&amp;$A1993+1)))</f>
        <v/>
      </c>
      <c r="AF1993">
        <f>IF($B1993=0,0,IF(Inputs!$B$8="",0,COUNTIFS(Data!$I$10:$I$3209,"&gt;="&amp;$A1993,Data!$I$10:$I$3209,"&lt;"&amp;$A1993+1)))</f>
        <v/>
      </c>
      <c r="AG1993">
        <f>IF($B1993=0,0,IF(Inputs!$B$9="",0,COUNTIFS(Data!$M$10:$M$3209,"&gt;="&amp;$A1993,Data!$M$10:$M$3209,"&lt;"&amp;$A1993+1)))</f>
        <v/>
      </c>
      <c r="AH1993">
        <f>IF($B1993=0,0,IF(Inputs!$B$10="",0,COUNTIFS(Data!$Q$10:$Q$3209,"&gt;="&amp;$A1993,Data!$Q$10:$Q$3209,"&lt;"&amp;$A1993+1)))</f>
        <v/>
      </c>
    </row>
    <row r="1994">
      <c r="A1994" s="55">
        <f>MIN(Inputs!$C$15,$A1993+IF(WEEKDAY($A1993,2)=5,3,1))</f>
        <v/>
      </c>
      <c r="B1994">
        <f>IF($A1994&gt;$A1993,1,0)</f>
        <v/>
      </c>
      <c r="C1994" s="56">
        <f>IF($B1994=0,"",IF(Inputs!$B$6="","",IF($AD1994=0,C1993,SUMIFS(Data!$B$10:$B$3209,Data!$A$10:$A$3209,"&gt;="&amp;$A1994,Data!$A$10:$A$3209,"&lt;"&amp;$A1994+1)/$AD1994)))</f>
        <v/>
      </c>
      <c r="D1994" s="56">
        <f>IF($B1994=0,"",IF(Inputs!$B$7="","",IF($AE1994=0,D1993,SUMIFS(Data!$F$10:$F$3209,Data!$E$10:$E$3209,"&gt;="&amp;$A1994,Data!$E$10:$E$3209,"&lt;"&amp;$A1994+1)/$AE1994)))</f>
        <v/>
      </c>
      <c r="E1994" s="56">
        <f>IF($B1994=0,"",IF(Inputs!$B$8="","",IF($AF1994=0,E1993,SUMIFS(Data!$J$10:$J$3209,Data!$I$10:$I$3209,"&gt;="&amp;$A1994,Data!$I$10:$I$3209,"&lt;"&amp;$A1994+1)/$AF1994)))</f>
        <v/>
      </c>
      <c r="F1994" s="56">
        <f>IF($B1994=0,"",IF(Inputs!$B$9="","",IF($AG1994=0,F1993,SUMIFS(Data!$N$10:$N$3209,Data!$M$10:$M$3209,"&gt;="&amp;$A1994,Data!$M$10:$M$3209,"&lt;"&amp;$A1994+1)/$AG1994)))</f>
        <v/>
      </c>
      <c r="G1994" s="56">
        <f>IF($B1994=0,"",IF(Inputs!$B$10="","",IF($AH1994=0,G1993,SUMIFS(Data!$R$10:$R$3209,Data!$Q$10:$Q$3209,"&gt;="&amp;$A1994,Data!$Q$10:$Q$3209,"&lt;"&amp;$A1994+1)/$AH1994)))</f>
        <v/>
      </c>
      <c r="I1994" s="54">
        <f>IF($B1994=0,NA(),IF($C1994="",NA(),IF(C$8="",NA(),IF(N(C$8)=0,NA(),IF(Inputs!$C$17="Rebased to 100",$C1994/C$8*100,$C1994)))))</f>
        <v/>
      </c>
      <c r="J1994" s="54">
        <f>IF($B1994=0,NA(),IF($D1994="",NA(),IF(D$8="",NA(),IF(N(D$8)=0,NA(),IF(Inputs!$C$17="Rebased to 100",$D1994/D$8*100,$D1994)))))</f>
        <v/>
      </c>
      <c r="K1994" s="54">
        <f>IF($B1994=0,NA(),IF($E1994="",NA(),IF(E$8="",NA(),IF(N(E$8)=0,NA(),IF(Inputs!$C$17="Rebased to 100",$E1994/E$8*100,$E1994)))))</f>
        <v/>
      </c>
      <c r="L1994" s="54">
        <f>IF($B1994=0,NA(),IF($F1994="",NA(),IF(F$8="",NA(),IF(N(F$8)=0,NA(),IF(Inputs!$C$17="Rebased to 100",$F1994/F$8*100,$F1994)))))</f>
        <v/>
      </c>
      <c r="M1994" s="54">
        <f>IF($B1994=0,NA(),IF($G1994="",NA(),IF(G$8="",NA(),IF(N(G$8)=0,NA(),IF(Inputs!$C$17="Rebased to 100",$G1994/G$8*100,$G1994)))))</f>
        <v/>
      </c>
      <c r="N1994" s="54">
        <f>IF($B1994=0,NA(),IF(Inputs!$C$18&lt;&gt;"Yes",NA(),IF(COUNT(I1994,J1994,K1994,L1994,M1994)=0,NA(),MIN(I1994,J1994,K1994,L1994,M1994))))</f>
        <v/>
      </c>
      <c r="O1994" s="54">
        <f>IF($B1994=0,NA(),IF(Inputs!$B$24&lt;&gt;"Yes",NA(),Inputs!$D$24*Inputs!$C$35))</f>
        <v/>
      </c>
      <c r="P1994" s="54">
        <f>IF($B1994=0,NA(),IF(Inputs!$B$25&lt;&gt;"Yes",NA(),Inputs!$D$25*Inputs!$C$35))</f>
        <v/>
      </c>
      <c r="Q1994" s="54">
        <f>IF($B1994=0,NA(),IF(Inputs!$B$26&lt;&gt;"Yes",NA(),Inputs!$D$26*Inputs!$C$35))</f>
        <v/>
      </c>
      <c r="R1994" s="54">
        <f>IF($B1994=0,NA(),IF(Inputs!$B$27&lt;&gt;"Yes",NA(),Inputs!$D$27*Inputs!$C$35))</f>
        <v/>
      </c>
      <c r="S1994" s="54">
        <f>IF($B1994=0,NA(),IF(Inputs!$B$28&lt;&gt;"Yes",NA(),Inputs!$D$28*Inputs!$C$35))</f>
        <v/>
      </c>
      <c r="T1994" s="54">
        <f>IF($B1994=0,NA(),IF(Inputs!$B$29&lt;&gt;"Yes",NA(),Inputs!$D$29*Inputs!$C$35))</f>
        <v/>
      </c>
      <c r="AD1994">
        <f>IF($B1994=0,0,IF(Inputs!$B$6="",0,COUNTIFS(Data!$A$10:$A$3209,"&gt;="&amp;$A1994,Data!$A$10:$A$3209,"&lt;"&amp;$A1994+1)))</f>
        <v/>
      </c>
      <c r="AE1994">
        <f>IF($B1994=0,0,IF(Inputs!$B$7="",0,COUNTIFS(Data!$E$10:$E$3209,"&gt;="&amp;$A1994,Data!$E$10:$E$3209,"&lt;"&amp;$A1994+1)))</f>
        <v/>
      </c>
      <c r="AF1994">
        <f>IF($B1994=0,0,IF(Inputs!$B$8="",0,COUNTIFS(Data!$I$10:$I$3209,"&gt;="&amp;$A1994,Data!$I$10:$I$3209,"&lt;"&amp;$A1994+1)))</f>
        <v/>
      </c>
      <c r="AG1994">
        <f>IF($B1994=0,0,IF(Inputs!$B$9="",0,COUNTIFS(Data!$M$10:$M$3209,"&gt;="&amp;$A1994,Data!$M$10:$M$3209,"&lt;"&amp;$A1994+1)))</f>
        <v/>
      </c>
      <c r="AH1994">
        <f>IF($B1994=0,0,IF(Inputs!$B$10="",0,COUNTIFS(Data!$Q$10:$Q$3209,"&gt;="&amp;$A1994,Data!$Q$10:$Q$3209,"&lt;"&amp;$A1994+1)))</f>
        <v/>
      </c>
    </row>
    <row r="1995">
      <c r="A1995" s="55">
        <f>MIN(Inputs!$C$15,$A1994+IF(WEEKDAY($A1994,2)=5,3,1))</f>
        <v/>
      </c>
      <c r="B1995">
        <f>IF($A1995&gt;$A1994,1,0)</f>
        <v/>
      </c>
      <c r="C1995" s="56">
        <f>IF($B1995=0,"",IF(Inputs!$B$6="","",IF($AD1995=0,C1994,SUMIFS(Data!$B$10:$B$3209,Data!$A$10:$A$3209,"&gt;="&amp;$A1995,Data!$A$10:$A$3209,"&lt;"&amp;$A1995+1)/$AD1995)))</f>
        <v/>
      </c>
      <c r="D1995" s="56">
        <f>IF($B1995=0,"",IF(Inputs!$B$7="","",IF($AE1995=0,D1994,SUMIFS(Data!$F$10:$F$3209,Data!$E$10:$E$3209,"&gt;="&amp;$A1995,Data!$E$10:$E$3209,"&lt;"&amp;$A1995+1)/$AE1995)))</f>
        <v/>
      </c>
      <c r="E1995" s="56">
        <f>IF($B1995=0,"",IF(Inputs!$B$8="","",IF($AF1995=0,E1994,SUMIFS(Data!$J$10:$J$3209,Data!$I$10:$I$3209,"&gt;="&amp;$A1995,Data!$I$10:$I$3209,"&lt;"&amp;$A1995+1)/$AF1995)))</f>
        <v/>
      </c>
      <c r="F1995" s="56">
        <f>IF($B1995=0,"",IF(Inputs!$B$9="","",IF($AG1995=0,F1994,SUMIFS(Data!$N$10:$N$3209,Data!$M$10:$M$3209,"&gt;="&amp;$A1995,Data!$M$10:$M$3209,"&lt;"&amp;$A1995+1)/$AG1995)))</f>
        <v/>
      </c>
      <c r="G1995" s="56">
        <f>IF($B1995=0,"",IF(Inputs!$B$10="","",IF($AH1995=0,G1994,SUMIFS(Data!$R$10:$R$3209,Data!$Q$10:$Q$3209,"&gt;="&amp;$A1995,Data!$Q$10:$Q$3209,"&lt;"&amp;$A1995+1)/$AH1995)))</f>
        <v/>
      </c>
      <c r="I1995" s="54">
        <f>IF($B1995=0,NA(),IF($C1995="",NA(),IF(C$8="",NA(),IF(N(C$8)=0,NA(),IF(Inputs!$C$17="Rebased to 100",$C1995/C$8*100,$C1995)))))</f>
        <v/>
      </c>
      <c r="J1995" s="54">
        <f>IF($B1995=0,NA(),IF($D1995="",NA(),IF(D$8="",NA(),IF(N(D$8)=0,NA(),IF(Inputs!$C$17="Rebased to 100",$D1995/D$8*100,$D1995)))))</f>
        <v/>
      </c>
      <c r="K1995" s="54">
        <f>IF($B1995=0,NA(),IF($E1995="",NA(),IF(E$8="",NA(),IF(N(E$8)=0,NA(),IF(Inputs!$C$17="Rebased to 100",$E1995/E$8*100,$E1995)))))</f>
        <v/>
      </c>
      <c r="L1995" s="54">
        <f>IF($B1995=0,NA(),IF($F1995="",NA(),IF(F$8="",NA(),IF(N(F$8)=0,NA(),IF(Inputs!$C$17="Rebased to 100",$F1995/F$8*100,$F1995)))))</f>
        <v/>
      </c>
      <c r="M1995" s="54">
        <f>IF($B1995=0,NA(),IF($G1995="",NA(),IF(G$8="",NA(),IF(N(G$8)=0,NA(),IF(Inputs!$C$17="Rebased to 100",$G1995/G$8*100,$G1995)))))</f>
        <v/>
      </c>
      <c r="N1995" s="54">
        <f>IF($B1995=0,NA(),IF(Inputs!$C$18&lt;&gt;"Yes",NA(),IF(COUNT(I1995,J1995,K1995,L1995,M1995)=0,NA(),MIN(I1995,J1995,K1995,L1995,M1995))))</f>
        <v/>
      </c>
      <c r="O1995" s="54">
        <f>IF($B1995=0,NA(),IF(Inputs!$B$24&lt;&gt;"Yes",NA(),Inputs!$D$24*Inputs!$C$35))</f>
        <v/>
      </c>
      <c r="P1995" s="54">
        <f>IF($B1995=0,NA(),IF(Inputs!$B$25&lt;&gt;"Yes",NA(),Inputs!$D$25*Inputs!$C$35))</f>
        <v/>
      </c>
      <c r="Q1995" s="54">
        <f>IF($B1995=0,NA(),IF(Inputs!$B$26&lt;&gt;"Yes",NA(),Inputs!$D$26*Inputs!$C$35))</f>
        <v/>
      </c>
      <c r="R1995" s="54">
        <f>IF($B1995=0,NA(),IF(Inputs!$B$27&lt;&gt;"Yes",NA(),Inputs!$D$27*Inputs!$C$35))</f>
        <v/>
      </c>
      <c r="S1995" s="54">
        <f>IF($B1995=0,NA(),IF(Inputs!$B$28&lt;&gt;"Yes",NA(),Inputs!$D$28*Inputs!$C$35))</f>
        <v/>
      </c>
      <c r="T1995" s="54">
        <f>IF($B1995=0,NA(),IF(Inputs!$B$29&lt;&gt;"Yes",NA(),Inputs!$D$29*Inputs!$C$35))</f>
        <v/>
      </c>
      <c r="AD1995">
        <f>IF($B1995=0,0,IF(Inputs!$B$6="",0,COUNTIFS(Data!$A$10:$A$3209,"&gt;="&amp;$A1995,Data!$A$10:$A$3209,"&lt;"&amp;$A1995+1)))</f>
        <v/>
      </c>
      <c r="AE1995">
        <f>IF($B1995=0,0,IF(Inputs!$B$7="",0,COUNTIFS(Data!$E$10:$E$3209,"&gt;="&amp;$A1995,Data!$E$10:$E$3209,"&lt;"&amp;$A1995+1)))</f>
        <v/>
      </c>
      <c r="AF1995">
        <f>IF($B1995=0,0,IF(Inputs!$B$8="",0,COUNTIFS(Data!$I$10:$I$3209,"&gt;="&amp;$A1995,Data!$I$10:$I$3209,"&lt;"&amp;$A1995+1)))</f>
        <v/>
      </c>
      <c r="AG1995">
        <f>IF($B1995=0,0,IF(Inputs!$B$9="",0,COUNTIFS(Data!$M$10:$M$3209,"&gt;="&amp;$A1995,Data!$M$10:$M$3209,"&lt;"&amp;$A1995+1)))</f>
        <v/>
      </c>
      <c r="AH1995">
        <f>IF($B1995=0,0,IF(Inputs!$B$10="",0,COUNTIFS(Data!$Q$10:$Q$3209,"&gt;="&amp;$A1995,Data!$Q$10:$Q$3209,"&lt;"&amp;$A1995+1)))</f>
        <v/>
      </c>
    </row>
    <row r="1996">
      <c r="A1996" s="55">
        <f>MIN(Inputs!$C$15,$A1995+IF(WEEKDAY($A1995,2)=5,3,1))</f>
        <v/>
      </c>
      <c r="B1996">
        <f>IF($A1996&gt;$A1995,1,0)</f>
        <v/>
      </c>
      <c r="C1996" s="56">
        <f>IF($B1996=0,"",IF(Inputs!$B$6="","",IF($AD1996=0,C1995,SUMIFS(Data!$B$10:$B$3209,Data!$A$10:$A$3209,"&gt;="&amp;$A1996,Data!$A$10:$A$3209,"&lt;"&amp;$A1996+1)/$AD1996)))</f>
        <v/>
      </c>
      <c r="D1996" s="56">
        <f>IF($B1996=0,"",IF(Inputs!$B$7="","",IF($AE1996=0,D1995,SUMIFS(Data!$F$10:$F$3209,Data!$E$10:$E$3209,"&gt;="&amp;$A1996,Data!$E$10:$E$3209,"&lt;"&amp;$A1996+1)/$AE1996)))</f>
        <v/>
      </c>
      <c r="E1996" s="56">
        <f>IF($B1996=0,"",IF(Inputs!$B$8="","",IF($AF1996=0,E1995,SUMIFS(Data!$J$10:$J$3209,Data!$I$10:$I$3209,"&gt;="&amp;$A1996,Data!$I$10:$I$3209,"&lt;"&amp;$A1996+1)/$AF1996)))</f>
        <v/>
      </c>
      <c r="F1996" s="56">
        <f>IF($B1996=0,"",IF(Inputs!$B$9="","",IF($AG1996=0,F1995,SUMIFS(Data!$N$10:$N$3209,Data!$M$10:$M$3209,"&gt;="&amp;$A1996,Data!$M$10:$M$3209,"&lt;"&amp;$A1996+1)/$AG1996)))</f>
        <v/>
      </c>
      <c r="G1996" s="56">
        <f>IF($B1996=0,"",IF(Inputs!$B$10="","",IF($AH1996=0,G1995,SUMIFS(Data!$R$10:$R$3209,Data!$Q$10:$Q$3209,"&gt;="&amp;$A1996,Data!$Q$10:$Q$3209,"&lt;"&amp;$A1996+1)/$AH1996)))</f>
        <v/>
      </c>
      <c r="I1996" s="54">
        <f>IF($B1996=0,NA(),IF($C1996="",NA(),IF(C$8="",NA(),IF(N(C$8)=0,NA(),IF(Inputs!$C$17="Rebased to 100",$C1996/C$8*100,$C1996)))))</f>
        <v/>
      </c>
      <c r="J1996" s="54">
        <f>IF($B1996=0,NA(),IF($D1996="",NA(),IF(D$8="",NA(),IF(N(D$8)=0,NA(),IF(Inputs!$C$17="Rebased to 100",$D1996/D$8*100,$D1996)))))</f>
        <v/>
      </c>
      <c r="K1996" s="54">
        <f>IF($B1996=0,NA(),IF($E1996="",NA(),IF(E$8="",NA(),IF(N(E$8)=0,NA(),IF(Inputs!$C$17="Rebased to 100",$E1996/E$8*100,$E1996)))))</f>
        <v/>
      </c>
      <c r="L1996" s="54">
        <f>IF($B1996=0,NA(),IF($F1996="",NA(),IF(F$8="",NA(),IF(N(F$8)=0,NA(),IF(Inputs!$C$17="Rebased to 100",$F1996/F$8*100,$F1996)))))</f>
        <v/>
      </c>
      <c r="M1996" s="54">
        <f>IF($B1996=0,NA(),IF($G1996="",NA(),IF(G$8="",NA(),IF(N(G$8)=0,NA(),IF(Inputs!$C$17="Rebased to 100",$G1996/G$8*100,$G1996)))))</f>
        <v/>
      </c>
      <c r="N1996" s="54">
        <f>IF($B1996=0,NA(),IF(Inputs!$C$18&lt;&gt;"Yes",NA(),IF(COUNT(I1996,J1996,K1996,L1996,M1996)=0,NA(),MIN(I1996,J1996,K1996,L1996,M1996))))</f>
        <v/>
      </c>
      <c r="O1996" s="54">
        <f>IF($B1996=0,NA(),IF(Inputs!$B$24&lt;&gt;"Yes",NA(),Inputs!$D$24*Inputs!$C$35))</f>
        <v/>
      </c>
      <c r="P1996" s="54">
        <f>IF($B1996=0,NA(),IF(Inputs!$B$25&lt;&gt;"Yes",NA(),Inputs!$D$25*Inputs!$C$35))</f>
        <v/>
      </c>
      <c r="Q1996" s="54">
        <f>IF($B1996=0,NA(),IF(Inputs!$B$26&lt;&gt;"Yes",NA(),Inputs!$D$26*Inputs!$C$35))</f>
        <v/>
      </c>
      <c r="R1996" s="54">
        <f>IF($B1996=0,NA(),IF(Inputs!$B$27&lt;&gt;"Yes",NA(),Inputs!$D$27*Inputs!$C$35))</f>
        <v/>
      </c>
      <c r="S1996" s="54">
        <f>IF($B1996=0,NA(),IF(Inputs!$B$28&lt;&gt;"Yes",NA(),Inputs!$D$28*Inputs!$C$35))</f>
        <v/>
      </c>
      <c r="T1996" s="54">
        <f>IF($B1996=0,NA(),IF(Inputs!$B$29&lt;&gt;"Yes",NA(),Inputs!$D$29*Inputs!$C$35))</f>
        <v/>
      </c>
      <c r="AD1996">
        <f>IF($B1996=0,0,IF(Inputs!$B$6="",0,COUNTIFS(Data!$A$10:$A$3209,"&gt;="&amp;$A1996,Data!$A$10:$A$3209,"&lt;"&amp;$A1996+1)))</f>
        <v/>
      </c>
      <c r="AE1996">
        <f>IF($B1996=0,0,IF(Inputs!$B$7="",0,COUNTIFS(Data!$E$10:$E$3209,"&gt;="&amp;$A1996,Data!$E$10:$E$3209,"&lt;"&amp;$A1996+1)))</f>
        <v/>
      </c>
      <c r="AF1996">
        <f>IF($B1996=0,0,IF(Inputs!$B$8="",0,COUNTIFS(Data!$I$10:$I$3209,"&gt;="&amp;$A1996,Data!$I$10:$I$3209,"&lt;"&amp;$A1996+1)))</f>
        <v/>
      </c>
      <c r="AG1996">
        <f>IF($B1996=0,0,IF(Inputs!$B$9="",0,COUNTIFS(Data!$M$10:$M$3209,"&gt;="&amp;$A1996,Data!$M$10:$M$3209,"&lt;"&amp;$A1996+1)))</f>
        <v/>
      </c>
      <c r="AH1996">
        <f>IF($B1996=0,0,IF(Inputs!$B$10="",0,COUNTIFS(Data!$Q$10:$Q$3209,"&gt;="&amp;$A1996,Data!$Q$10:$Q$3209,"&lt;"&amp;$A1996+1)))</f>
        <v/>
      </c>
    </row>
    <row r="1997">
      <c r="A1997" s="55">
        <f>MIN(Inputs!$C$15,$A1996+IF(WEEKDAY($A1996,2)=5,3,1))</f>
        <v/>
      </c>
      <c r="B1997">
        <f>IF($A1997&gt;$A1996,1,0)</f>
        <v/>
      </c>
      <c r="C1997" s="56">
        <f>IF($B1997=0,"",IF(Inputs!$B$6="","",IF($AD1997=0,C1996,SUMIFS(Data!$B$10:$B$3209,Data!$A$10:$A$3209,"&gt;="&amp;$A1997,Data!$A$10:$A$3209,"&lt;"&amp;$A1997+1)/$AD1997)))</f>
        <v/>
      </c>
      <c r="D1997" s="56">
        <f>IF($B1997=0,"",IF(Inputs!$B$7="","",IF($AE1997=0,D1996,SUMIFS(Data!$F$10:$F$3209,Data!$E$10:$E$3209,"&gt;="&amp;$A1997,Data!$E$10:$E$3209,"&lt;"&amp;$A1997+1)/$AE1997)))</f>
        <v/>
      </c>
      <c r="E1997" s="56">
        <f>IF($B1997=0,"",IF(Inputs!$B$8="","",IF($AF1997=0,E1996,SUMIFS(Data!$J$10:$J$3209,Data!$I$10:$I$3209,"&gt;="&amp;$A1997,Data!$I$10:$I$3209,"&lt;"&amp;$A1997+1)/$AF1997)))</f>
        <v/>
      </c>
      <c r="F1997" s="56">
        <f>IF($B1997=0,"",IF(Inputs!$B$9="","",IF($AG1997=0,F1996,SUMIFS(Data!$N$10:$N$3209,Data!$M$10:$M$3209,"&gt;="&amp;$A1997,Data!$M$10:$M$3209,"&lt;"&amp;$A1997+1)/$AG1997)))</f>
        <v/>
      </c>
      <c r="G1997" s="56">
        <f>IF($B1997=0,"",IF(Inputs!$B$10="","",IF($AH1997=0,G1996,SUMIFS(Data!$R$10:$R$3209,Data!$Q$10:$Q$3209,"&gt;="&amp;$A1997,Data!$Q$10:$Q$3209,"&lt;"&amp;$A1997+1)/$AH1997)))</f>
        <v/>
      </c>
      <c r="I1997" s="54">
        <f>IF($B1997=0,NA(),IF($C1997="",NA(),IF(C$8="",NA(),IF(N(C$8)=0,NA(),IF(Inputs!$C$17="Rebased to 100",$C1997/C$8*100,$C1997)))))</f>
        <v/>
      </c>
      <c r="J1997" s="54">
        <f>IF($B1997=0,NA(),IF($D1997="",NA(),IF(D$8="",NA(),IF(N(D$8)=0,NA(),IF(Inputs!$C$17="Rebased to 100",$D1997/D$8*100,$D1997)))))</f>
        <v/>
      </c>
      <c r="K1997" s="54">
        <f>IF($B1997=0,NA(),IF($E1997="",NA(),IF(E$8="",NA(),IF(N(E$8)=0,NA(),IF(Inputs!$C$17="Rebased to 100",$E1997/E$8*100,$E1997)))))</f>
        <v/>
      </c>
      <c r="L1997" s="54">
        <f>IF($B1997=0,NA(),IF($F1997="",NA(),IF(F$8="",NA(),IF(N(F$8)=0,NA(),IF(Inputs!$C$17="Rebased to 100",$F1997/F$8*100,$F1997)))))</f>
        <v/>
      </c>
      <c r="M1997" s="54">
        <f>IF($B1997=0,NA(),IF($G1997="",NA(),IF(G$8="",NA(),IF(N(G$8)=0,NA(),IF(Inputs!$C$17="Rebased to 100",$G1997/G$8*100,$G1997)))))</f>
        <v/>
      </c>
      <c r="N1997" s="54">
        <f>IF($B1997=0,NA(),IF(Inputs!$C$18&lt;&gt;"Yes",NA(),IF(COUNT(I1997,J1997,K1997,L1997,M1997)=0,NA(),MIN(I1997,J1997,K1997,L1997,M1997))))</f>
        <v/>
      </c>
      <c r="O1997" s="54">
        <f>IF($B1997=0,NA(),IF(Inputs!$B$24&lt;&gt;"Yes",NA(),Inputs!$D$24*Inputs!$C$35))</f>
        <v/>
      </c>
      <c r="P1997" s="54">
        <f>IF($B1997=0,NA(),IF(Inputs!$B$25&lt;&gt;"Yes",NA(),Inputs!$D$25*Inputs!$C$35))</f>
        <v/>
      </c>
      <c r="Q1997" s="54">
        <f>IF($B1997=0,NA(),IF(Inputs!$B$26&lt;&gt;"Yes",NA(),Inputs!$D$26*Inputs!$C$35))</f>
        <v/>
      </c>
      <c r="R1997" s="54">
        <f>IF($B1997=0,NA(),IF(Inputs!$B$27&lt;&gt;"Yes",NA(),Inputs!$D$27*Inputs!$C$35))</f>
        <v/>
      </c>
      <c r="S1997" s="54">
        <f>IF($B1997=0,NA(),IF(Inputs!$B$28&lt;&gt;"Yes",NA(),Inputs!$D$28*Inputs!$C$35))</f>
        <v/>
      </c>
      <c r="T1997" s="54">
        <f>IF($B1997=0,NA(),IF(Inputs!$B$29&lt;&gt;"Yes",NA(),Inputs!$D$29*Inputs!$C$35))</f>
        <v/>
      </c>
      <c r="AD1997">
        <f>IF($B1997=0,0,IF(Inputs!$B$6="",0,COUNTIFS(Data!$A$10:$A$3209,"&gt;="&amp;$A1997,Data!$A$10:$A$3209,"&lt;"&amp;$A1997+1)))</f>
        <v/>
      </c>
      <c r="AE1997">
        <f>IF($B1997=0,0,IF(Inputs!$B$7="",0,COUNTIFS(Data!$E$10:$E$3209,"&gt;="&amp;$A1997,Data!$E$10:$E$3209,"&lt;"&amp;$A1997+1)))</f>
        <v/>
      </c>
      <c r="AF1997">
        <f>IF($B1997=0,0,IF(Inputs!$B$8="",0,COUNTIFS(Data!$I$10:$I$3209,"&gt;="&amp;$A1997,Data!$I$10:$I$3209,"&lt;"&amp;$A1997+1)))</f>
        <v/>
      </c>
      <c r="AG1997">
        <f>IF($B1997=0,0,IF(Inputs!$B$9="",0,COUNTIFS(Data!$M$10:$M$3209,"&gt;="&amp;$A1997,Data!$M$10:$M$3209,"&lt;"&amp;$A1997+1)))</f>
        <v/>
      </c>
      <c r="AH1997">
        <f>IF($B1997=0,0,IF(Inputs!$B$10="",0,COUNTIFS(Data!$Q$10:$Q$3209,"&gt;="&amp;$A1997,Data!$Q$10:$Q$3209,"&lt;"&amp;$A1997+1)))</f>
        <v/>
      </c>
    </row>
    <row r="1998">
      <c r="A1998" s="55">
        <f>MIN(Inputs!$C$15,$A1997+IF(WEEKDAY($A1997,2)=5,3,1))</f>
        <v/>
      </c>
      <c r="B1998">
        <f>IF($A1998&gt;$A1997,1,0)</f>
        <v/>
      </c>
      <c r="C1998" s="56">
        <f>IF($B1998=0,"",IF(Inputs!$B$6="","",IF($AD1998=0,C1997,SUMIFS(Data!$B$10:$B$3209,Data!$A$10:$A$3209,"&gt;="&amp;$A1998,Data!$A$10:$A$3209,"&lt;"&amp;$A1998+1)/$AD1998)))</f>
        <v/>
      </c>
      <c r="D1998" s="56">
        <f>IF($B1998=0,"",IF(Inputs!$B$7="","",IF($AE1998=0,D1997,SUMIFS(Data!$F$10:$F$3209,Data!$E$10:$E$3209,"&gt;="&amp;$A1998,Data!$E$10:$E$3209,"&lt;"&amp;$A1998+1)/$AE1998)))</f>
        <v/>
      </c>
      <c r="E1998" s="56">
        <f>IF($B1998=0,"",IF(Inputs!$B$8="","",IF($AF1998=0,E1997,SUMIFS(Data!$J$10:$J$3209,Data!$I$10:$I$3209,"&gt;="&amp;$A1998,Data!$I$10:$I$3209,"&lt;"&amp;$A1998+1)/$AF1998)))</f>
        <v/>
      </c>
      <c r="F1998" s="56">
        <f>IF($B1998=0,"",IF(Inputs!$B$9="","",IF($AG1998=0,F1997,SUMIFS(Data!$N$10:$N$3209,Data!$M$10:$M$3209,"&gt;="&amp;$A1998,Data!$M$10:$M$3209,"&lt;"&amp;$A1998+1)/$AG1998)))</f>
        <v/>
      </c>
      <c r="G1998" s="56">
        <f>IF($B1998=0,"",IF(Inputs!$B$10="","",IF($AH1998=0,G1997,SUMIFS(Data!$R$10:$R$3209,Data!$Q$10:$Q$3209,"&gt;="&amp;$A1998,Data!$Q$10:$Q$3209,"&lt;"&amp;$A1998+1)/$AH1998)))</f>
        <v/>
      </c>
      <c r="I1998" s="54">
        <f>IF($B1998=0,NA(),IF($C1998="",NA(),IF(C$8="",NA(),IF(N(C$8)=0,NA(),IF(Inputs!$C$17="Rebased to 100",$C1998/C$8*100,$C1998)))))</f>
        <v/>
      </c>
      <c r="J1998" s="54">
        <f>IF($B1998=0,NA(),IF($D1998="",NA(),IF(D$8="",NA(),IF(N(D$8)=0,NA(),IF(Inputs!$C$17="Rebased to 100",$D1998/D$8*100,$D1998)))))</f>
        <v/>
      </c>
      <c r="K1998" s="54">
        <f>IF($B1998=0,NA(),IF($E1998="",NA(),IF(E$8="",NA(),IF(N(E$8)=0,NA(),IF(Inputs!$C$17="Rebased to 100",$E1998/E$8*100,$E1998)))))</f>
        <v/>
      </c>
      <c r="L1998" s="54">
        <f>IF($B1998=0,NA(),IF($F1998="",NA(),IF(F$8="",NA(),IF(N(F$8)=0,NA(),IF(Inputs!$C$17="Rebased to 100",$F1998/F$8*100,$F1998)))))</f>
        <v/>
      </c>
      <c r="M1998" s="54">
        <f>IF($B1998=0,NA(),IF($G1998="",NA(),IF(G$8="",NA(),IF(N(G$8)=0,NA(),IF(Inputs!$C$17="Rebased to 100",$G1998/G$8*100,$G1998)))))</f>
        <v/>
      </c>
      <c r="N1998" s="54">
        <f>IF($B1998=0,NA(),IF(Inputs!$C$18&lt;&gt;"Yes",NA(),IF(COUNT(I1998,J1998,K1998,L1998,M1998)=0,NA(),MIN(I1998,J1998,K1998,L1998,M1998))))</f>
        <v/>
      </c>
      <c r="O1998" s="54">
        <f>IF($B1998=0,NA(),IF(Inputs!$B$24&lt;&gt;"Yes",NA(),Inputs!$D$24*Inputs!$C$35))</f>
        <v/>
      </c>
      <c r="P1998" s="54">
        <f>IF($B1998=0,NA(),IF(Inputs!$B$25&lt;&gt;"Yes",NA(),Inputs!$D$25*Inputs!$C$35))</f>
        <v/>
      </c>
      <c r="Q1998" s="54">
        <f>IF($B1998=0,NA(),IF(Inputs!$B$26&lt;&gt;"Yes",NA(),Inputs!$D$26*Inputs!$C$35))</f>
        <v/>
      </c>
      <c r="R1998" s="54">
        <f>IF($B1998=0,NA(),IF(Inputs!$B$27&lt;&gt;"Yes",NA(),Inputs!$D$27*Inputs!$C$35))</f>
        <v/>
      </c>
      <c r="S1998" s="54">
        <f>IF($B1998=0,NA(),IF(Inputs!$B$28&lt;&gt;"Yes",NA(),Inputs!$D$28*Inputs!$C$35))</f>
        <v/>
      </c>
      <c r="T1998" s="54">
        <f>IF($B1998=0,NA(),IF(Inputs!$B$29&lt;&gt;"Yes",NA(),Inputs!$D$29*Inputs!$C$35))</f>
        <v/>
      </c>
      <c r="AD1998">
        <f>IF($B1998=0,0,IF(Inputs!$B$6="",0,COUNTIFS(Data!$A$10:$A$3209,"&gt;="&amp;$A1998,Data!$A$10:$A$3209,"&lt;"&amp;$A1998+1)))</f>
        <v/>
      </c>
      <c r="AE1998">
        <f>IF($B1998=0,0,IF(Inputs!$B$7="",0,COUNTIFS(Data!$E$10:$E$3209,"&gt;="&amp;$A1998,Data!$E$10:$E$3209,"&lt;"&amp;$A1998+1)))</f>
        <v/>
      </c>
      <c r="AF1998">
        <f>IF($B1998=0,0,IF(Inputs!$B$8="",0,COUNTIFS(Data!$I$10:$I$3209,"&gt;="&amp;$A1998,Data!$I$10:$I$3209,"&lt;"&amp;$A1998+1)))</f>
        <v/>
      </c>
      <c r="AG1998">
        <f>IF($B1998=0,0,IF(Inputs!$B$9="",0,COUNTIFS(Data!$M$10:$M$3209,"&gt;="&amp;$A1998,Data!$M$10:$M$3209,"&lt;"&amp;$A1998+1)))</f>
        <v/>
      </c>
      <c r="AH1998">
        <f>IF($B1998=0,0,IF(Inputs!$B$10="",0,COUNTIFS(Data!$Q$10:$Q$3209,"&gt;="&amp;$A1998,Data!$Q$10:$Q$3209,"&lt;"&amp;$A1998+1)))</f>
        <v/>
      </c>
    </row>
    <row r="1999">
      <c r="A1999" s="55">
        <f>MIN(Inputs!$C$15,$A1998+IF(WEEKDAY($A1998,2)=5,3,1))</f>
        <v/>
      </c>
      <c r="B1999">
        <f>IF($A1999&gt;$A1998,1,0)</f>
        <v/>
      </c>
      <c r="C1999" s="56">
        <f>IF($B1999=0,"",IF(Inputs!$B$6="","",IF($AD1999=0,C1998,SUMIFS(Data!$B$10:$B$3209,Data!$A$10:$A$3209,"&gt;="&amp;$A1999,Data!$A$10:$A$3209,"&lt;"&amp;$A1999+1)/$AD1999)))</f>
        <v/>
      </c>
      <c r="D1999" s="56">
        <f>IF($B1999=0,"",IF(Inputs!$B$7="","",IF($AE1999=0,D1998,SUMIFS(Data!$F$10:$F$3209,Data!$E$10:$E$3209,"&gt;="&amp;$A1999,Data!$E$10:$E$3209,"&lt;"&amp;$A1999+1)/$AE1999)))</f>
        <v/>
      </c>
      <c r="E1999" s="56">
        <f>IF($B1999=0,"",IF(Inputs!$B$8="","",IF($AF1999=0,E1998,SUMIFS(Data!$J$10:$J$3209,Data!$I$10:$I$3209,"&gt;="&amp;$A1999,Data!$I$10:$I$3209,"&lt;"&amp;$A1999+1)/$AF1999)))</f>
        <v/>
      </c>
      <c r="F1999" s="56">
        <f>IF($B1999=0,"",IF(Inputs!$B$9="","",IF($AG1999=0,F1998,SUMIFS(Data!$N$10:$N$3209,Data!$M$10:$M$3209,"&gt;="&amp;$A1999,Data!$M$10:$M$3209,"&lt;"&amp;$A1999+1)/$AG1999)))</f>
        <v/>
      </c>
      <c r="G1999" s="56">
        <f>IF($B1999=0,"",IF(Inputs!$B$10="","",IF($AH1999=0,G1998,SUMIFS(Data!$R$10:$R$3209,Data!$Q$10:$Q$3209,"&gt;="&amp;$A1999,Data!$Q$10:$Q$3209,"&lt;"&amp;$A1999+1)/$AH1999)))</f>
        <v/>
      </c>
      <c r="I1999" s="54">
        <f>IF($B1999=0,NA(),IF($C1999="",NA(),IF(C$8="",NA(),IF(N(C$8)=0,NA(),IF(Inputs!$C$17="Rebased to 100",$C1999/C$8*100,$C1999)))))</f>
        <v/>
      </c>
      <c r="J1999" s="54">
        <f>IF($B1999=0,NA(),IF($D1999="",NA(),IF(D$8="",NA(),IF(N(D$8)=0,NA(),IF(Inputs!$C$17="Rebased to 100",$D1999/D$8*100,$D1999)))))</f>
        <v/>
      </c>
      <c r="K1999" s="54">
        <f>IF($B1999=0,NA(),IF($E1999="",NA(),IF(E$8="",NA(),IF(N(E$8)=0,NA(),IF(Inputs!$C$17="Rebased to 100",$E1999/E$8*100,$E1999)))))</f>
        <v/>
      </c>
      <c r="L1999" s="54">
        <f>IF($B1999=0,NA(),IF($F1999="",NA(),IF(F$8="",NA(),IF(N(F$8)=0,NA(),IF(Inputs!$C$17="Rebased to 100",$F1999/F$8*100,$F1999)))))</f>
        <v/>
      </c>
      <c r="M1999" s="54">
        <f>IF($B1999=0,NA(),IF($G1999="",NA(),IF(G$8="",NA(),IF(N(G$8)=0,NA(),IF(Inputs!$C$17="Rebased to 100",$G1999/G$8*100,$G1999)))))</f>
        <v/>
      </c>
      <c r="N1999" s="54">
        <f>IF($B1999=0,NA(),IF(Inputs!$C$18&lt;&gt;"Yes",NA(),IF(COUNT(I1999,J1999,K1999,L1999,M1999)=0,NA(),MIN(I1999,J1999,K1999,L1999,M1999))))</f>
        <v/>
      </c>
      <c r="O1999" s="54">
        <f>IF($B1999=0,NA(),IF(Inputs!$B$24&lt;&gt;"Yes",NA(),Inputs!$D$24*Inputs!$C$35))</f>
        <v/>
      </c>
      <c r="P1999" s="54">
        <f>IF($B1999=0,NA(),IF(Inputs!$B$25&lt;&gt;"Yes",NA(),Inputs!$D$25*Inputs!$C$35))</f>
        <v/>
      </c>
      <c r="Q1999" s="54">
        <f>IF($B1999=0,NA(),IF(Inputs!$B$26&lt;&gt;"Yes",NA(),Inputs!$D$26*Inputs!$C$35))</f>
        <v/>
      </c>
      <c r="R1999" s="54">
        <f>IF($B1999=0,NA(),IF(Inputs!$B$27&lt;&gt;"Yes",NA(),Inputs!$D$27*Inputs!$C$35))</f>
        <v/>
      </c>
      <c r="S1999" s="54">
        <f>IF($B1999=0,NA(),IF(Inputs!$B$28&lt;&gt;"Yes",NA(),Inputs!$D$28*Inputs!$C$35))</f>
        <v/>
      </c>
      <c r="T1999" s="54">
        <f>IF($B1999=0,NA(),IF(Inputs!$B$29&lt;&gt;"Yes",NA(),Inputs!$D$29*Inputs!$C$35))</f>
        <v/>
      </c>
      <c r="AD1999">
        <f>IF($B1999=0,0,IF(Inputs!$B$6="",0,COUNTIFS(Data!$A$10:$A$3209,"&gt;="&amp;$A1999,Data!$A$10:$A$3209,"&lt;"&amp;$A1999+1)))</f>
        <v/>
      </c>
      <c r="AE1999">
        <f>IF($B1999=0,0,IF(Inputs!$B$7="",0,COUNTIFS(Data!$E$10:$E$3209,"&gt;="&amp;$A1999,Data!$E$10:$E$3209,"&lt;"&amp;$A1999+1)))</f>
        <v/>
      </c>
      <c r="AF1999">
        <f>IF($B1999=0,0,IF(Inputs!$B$8="",0,COUNTIFS(Data!$I$10:$I$3209,"&gt;="&amp;$A1999,Data!$I$10:$I$3209,"&lt;"&amp;$A1999+1)))</f>
        <v/>
      </c>
      <c r="AG1999">
        <f>IF($B1999=0,0,IF(Inputs!$B$9="",0,COUNTIFS(Data!$M$10:$M$3209,"&gt;="&amp;$A1999,Data!$M$10:$M$3209,"&lt;"&amp;$A1999+1)))</f>
        <v/>
      </c>
      <c r="AH1999">
        <f>IF($B1999=0,0,IF(Inputs!$B$10="",0,COUNTIFS(Data!$Q$10:$Q$3209,"&gt;="&amp;$A1999,Data!$Q$10:$Q$3209,"&lt;"&amp;$A1999+1)))</f>
        <v/>
      </c>
    </row>
    <row r="2000">
      <c r="A2000" s="55">
        <f>MIN(Inputs!$C$15,$A1999+IF(WEEKDAY($A1999,2)=5,3,1))</f>
        <v/>
      </c>
      <c r="B2000">
        <f>IF($A2000&gt;$A1999,1,0)</f>
        <v/>
      </c>
      <c r="C2000" s="56">
        <f>IF($B2000=0,"",IF(Inputs!$B$6="","",IF($AD2000=0,C1999,SUMIFS(Data!$B$10:$B$3209,Data!$A$10:$A$3209,"&gt;="&amp;$A2000,Data!$A$10:$A$3209,"&lt;"&amp;$A2000+1)/$AD2000)))</f>
        <v/>
      </c>
      <c r="D2000" s="56">
        <f>IF($B2000=0,"",IF(Inputs!$B$7="","",IF($AE2000=0,D1999,SUMIFS(Data!$F$10:$F$3209,Data!$E$10:$E$3209,"&gt;="&amp;$A2000,Data!$E$10:$E$3209,"&lt;"&amp;$A2000+1)/$AE2000)))</f>
        <v/>
      </c>
      <c r="E2000" s="56">
        <f>IF($B2000=0,"",IF(Inputs!$B$8="","",IF($AF2000=0,E1999,SUMIFS(Data!$J$10:$J$3209,Data!$I$10:$I$3209,"&gt;="&amp;$A2000,Data!$I$10:$I$3209,"&lt;"&amp;$A2000+1)/$AF2000)))</f>
        <v/>
      </c>
      <c r="F2000" s="56">
        <f>IF($B2000=0,"",IF(Inputs!$B$9="","",IF($AG2000=0,F1999,SUMIFS(Data!$N$10:$N$3209,Data!$M$10:$M$3209,"&gt;="&amp;$A2000,Data!$M$10:$M$3209,"&lt;"&amp;$A2000+1)/$AG2000)))</f>
        <v/>
      </c>
      <c r="G2000" s="56">
        <f>IF($B2000=0,"",IF(Inputs!$B$10="","",IF($AH2000=0,G1999,SUMIFS(Data!$R$10:$R$3209,Data!$Q$10:$Q$3209,"&gt;="&amp;$A2000,Data!$Q$10:$Q$3209,"&lt;"&amp;$A2000+1)/$AH2000)))</f>
        <v/>
      </c>
      <c r="I2000" s="54">
        <f>IF($B2000=0,NA(),IF($C2000="",NA(),IF(C$8="",NA(),IF(N(C$8)=0,NA(),IF(Inputs!$C$17="Rebased to 100",$C2000/C$8*100,$C2000)))))</f>
        <v/>
      </c>
      <c r="J2000" s="54">
        <f>IF($B2000=0,NA(),IF($D2000="",NA(),IF(D$8="",NA(),IF(N(D$8)=0,NA(),IF(Inputs!$C$17="Rebased to 100",$D2000/D$8*100,$D2000)))))</f>
        <v/>
      </c>
      <c r="K2000" s="54">
        <f>IF($B2000=0,NA(),IF($E2000="",NA(),IF(E$8="",NA(),IF(N(E$8)=0,NA(),IF(Inputs!$C$17="Rebased to 100",$E2000/E$8*100,$E2000)))))</f>
        <v/>
      </c>
      <c r="L2000" s="54">
        <f>IF($B2000=0,NA(),IF($F2000="",NA(),IF(F$8="",NA(),IF(N(F$8)=0,NA(),IF(Inputs!$C$17="Rebased to 100",$F2000/F$8*100,$F2000)))))</f>
        <v/>
      </c>
      <c r="M2000" s="54">
        <f>IF($B2000=0,NA(),IF($G2000="",NA(),IF(G$8="",NA(),IF(N(G$8)=0,NA(),IF(Inputs!$C$17="Rebased to 100",$G2000/G$8*100,$G2000)))))</f>
        <v/>
      </c>
      <c r="N2000" s="54">
        <f>IF($B2000=0,NA(),IF(Inputs!$C$18&lt;&gt;"Yes",NA(),IF(COUNT(I2000,J2000,K2000,L2000,M2000)=0,NA(),MIN(I2000,J2000,K2000,L2000,M2000))))</f>
        <v/>
      </c>
      <c r="O2000" s="54">
        <f>IF($B2000=0,NA(),IF(Inputs!$B$24&lt;&gt;"Yes",NA(),Inputs!$D$24*Inputs!$C$35))</f>
        <v/>
      </c>
      <c r="P2000" s="54">
        <f>IF($B2000=0,NA(),IF(Inputs!$B$25&lt;&gt;"Yes",NA(),Inputs!$D$25*Inputs!$C$35))</f>
        <v/>
      </c>
      <c r="Q2000" s="54">
        <f>IF($B2000=0,NA(),IF(Inputs!$B$26&lt;&gt;"Yes",NA(),Inputs!$D$26*Inputs!$C$35))</f>
        <v/>
      </c>
      <c r="R2000" s="54">
        <f>IF($B2000=0,NA(),IF(Inputs!$B$27&lt;&gt;"Yes",NA(),Inputs!$D$27*Inputs!$C$35))</f>
        <v/>
      </c>
      <c r="S2000" s="54">
        <f>IF($B2000=0,NA(),IF(Inputs!$B$28&lt;&gt;"Yes",NA(),Inputs!$D$28*Inputs!$C$35))</f>
        <v/>
      </c>
      <c r="T2000" s="54">
        <f>IF($B2000=0,NA(),IF(Inputs!$B$29&lt;&gt;"Yes",NA(),Inputs!$D$29*Inputs!$C$35))</f>
        <v/>
      </c>
      <c r="AD2000">
        <f>IF($B2000=0,0,IF(Inputs!$B$6="",0,COUNTIFS(Data!$A$10:$A$3209,"&gt;="&amp;$A2000,Data!$A$10:$A$3209,"&lt;"&amp;$A2000+1)))</f>
        <v/>
      </c>
      <c r="AE2000">
        <f>IF($B2000=0,0,IF(Inputs!$B$7="",0,COUNTIFS(Data!$E$10:$E$3209,"&gt;="&amp;$A2000,Data!$E$10:$E$3209,"&lt;"&amp;$A2000+1)))</f>
        <v/>
      </c>
      <c r="AF2000">
        <f>IF($B2000=0,0,IF(Inputs!$B$8="",0,COUNTIFS(Data!$I$10:$I$3209,"&gt;="&amp;$A2000,Data!$I$10:$I$3209,"&lt;"&amp;$A2000+1)))</f>
        <v/>
      </c>
      <c r="AG2000">
        <f>IF($B2000=0,0,IF(Inputs!$B$9="",0,COUNTIFS(Data!$M$10:$M$3209,"&gt;="&amp;$A2000,Data!$M$10:$M$3209,"&lt;"&amp;$A2000+1)))</f>
        <v/>
      </c>
      <c r="AH2000">
        <f>IF($B2000=0,0,IF(Inputs!$B$10="",0,COUNTIFS(Data!$Q$10:$Q$3209,"&gt;="&amp;$A2000,Data!$Q$10:$Q$3209,"&lt;"&amp;$A2000+1)))</f>
        <v/>
      </c>
    </row>
    <row r="2001">
      <c r="A2001" s="55">
        <f>MIN(Inputs!$C$15,$A2000+IF(WEEKDAY($A2000,2)=5,3,1))</f>
        <v/>
      </c>
      <c r="B2001">
        <f>IF($A2001&gt;$A2000,1,0)</f>
        <v/>
      </c>
      <c r="C2001" s="56">
        <f>IF($B2001=0,"",IF(Inputs!$B$6="","",IF($AD2001=0,C2000,SUMIFS(Data!$B$10:$B$3209,Data!$A$10:$A$3209,"&gt;="&amp;$A2001,Data!$A$10:$A$3209,"&lt;"&amp;$A2001+1)/$AD2001)))</f>
        <v/>
      </c>
      <c r="D2001" s="56">
        <f>IF($B2001=0,"",IF(Inputs!$B$7="","",IF($AE2001=0,D2000,SUMIFS(Data!$F$10:$F$3209,Data!$E$10:$E$3209,"&gt;="&amp;$A2001,Data!$E$10:$E$3209,"&lt;"&amp;$A2001+1)/$AE2001)))</f>
        <v/>
      </c>
      <c r="E2001" s="56">
        <f>IF($B2001=0,"",IF(Inputs!$B$8="","",IF($AF2001=0,E2000,SUMIFS(Data!$J$10:$J$3209,Data!$I$10:$I$3209,"&gt;="&amp;$A2001,Data!$I$10:$I$3209,"&lt;"&amp;$A2001+1)/$AF2001)))</f>
        <v/>
      </c>
      <c r="F2001" s="56">
        <f>IF($B2001=0,"",IF(Inputs!$B$9="","",IF($AG2001=0,F2000,SUMIFS(Data!$N$10:$N$3209,Data!$M$10:$M$3209,"&gt;="&amp;$A2001,Data!$M$10:$M$3209,"&lt;"&amp;$A2001+1)/$AG2001)))</f>
        <v/>
      </c>
      <c r="G2001" s="56">
        <f>IF($B2001=0,"",IF(Inputs!$B$10="","",IF($AH2001=0,G2000,SUMIFS(Data!$R$10:$R$3209,Data!$Q$10:$Q$3209,"&gt;="&amp;$A2001,Data!$Q$10:$Q$3209,"&lt;"&amp;$A2001+1)/$AH2001)))</f>
        <v/>
      </c>
      <c r="I2001" s="54">
        <f>IF($B2001=0,NA(),IF($C2001="",NA(),IF(C$8="",NA(),IF(N(C$8)=0,NA(),IF(Inputs!$C$17="Rebased to 100",$C2001/C$8*100,$C2001)))))</f>
        <v/>
      </c>
      <c r="J2001" s="54">
        <f>IF($B2001=0,NA(),IF($D2001="",NA(),IF(D$8="",NA(),IF(N(D$8)=0,NA(),IF(Inputs!$C$17="Rebased to 100",$D2001/D$8*100,$D2001)))))</f>
        <v/>
      </c>
      <c r="K2001" s="54">
        <f>IF($B2001=0,NA(),IF($E2001="",NA(),IF(E$8="",NA(),IF(N(E$8)=0,NA(),IF(Inputs!$C$17="Rebased to 100",$E2001/E$8*100,$E2001)))))</f>
        <v/>
      </c>
      <c r="L2001" s="54">
        <f>IF($B2001=0,NA(),IF($F2001="",NA(),IF(F$8="",NA(),IF(N(F$8)=0,NA(),IF(Inputs!$C$17="Rebased to 100",$F2001/F$8*100,$F2001)))))</f>
        <v/>
      </c>
      <c r="M2001" s="54">
        <f>IF($B2001=0,NA(),IF($G2001="",NA(),IF(G$8="",NA(),IF(N(G$8)=0,NA(),IF(Inputs!$C$17="Rebased to 100",$G2001/G$8*100,$G2001)))))</f>
        <v/>
      </c>
      <c r="N2001" s="54">
        <f>IF($B2001=0,NA(),IF(Inputs!$C$18&lt;&gt;"Yes",NA(),IF(COUNT(I2001,J2001,K2001,L2001,M2001)=0,NA(),MIN(I2001,J2001,K2001,L2001,M2001))))</f>
        <v/>
      </c>
      <c r="O2001" s="54">
        <f>IF($B2001=0,NA(),IF(Inputs!$B$24&lt;&gt;"Yes",NA(),Inputs!$D$24*Inputs!$C$35))</f>
        <v/>
      </c>
      <c r="P2001" s="54">
        <f>IF($B2001=0,NA(),IF(Inputs!$B$25&lt;&gt;"Yes",NA(),Inputs!$D$25*Inputs!$C$35))</f>
        <v/>
      </c>
      <c r="Q2001" s="54">
        <f>IF($B2001=0,NA(),IF(Inputs!$B$26&lt;&gt;"Yes",NA(),Inputs!$D$26*Inputs!$C$35))</f>
        <v/>
      </c>
      <c r="R2001" s="54">
        <f>IF($B2001=0,NA(),IF(Inputs!$B$27&lt;&gt;"Yes",NA(),Inputs!$D$27*Inputs!$C$35))</f>
        <v/>
      </c>
      <c r="S2001" s="54">
        <f>IF($B2001=0,NA(),IF(Inputs!$B$28&lt;&gt;"Yes",NA(),Inputs!$D$28*Inputs!$C$35))</f>
        <v/>
      </c>
      <c r="T2001" s="54">
        <f>IF($B2001=0,NA(),IF(Inputs!$B$29&lt;&gt;"Yes",NA(),Inputs!$D$29*Inputs!$C$35))</f>
        <v/>
      </c>
      <c r="AD2001">
        <f>IF($B2001=0,0,IF(Inputs!$B$6="",0,COUNTIFS(Data!$A$10:$A$3209,"&gt;="&amp;$A2001,Data!$A$10:$A$3209,"&lt;"&amp;$A2001+1)))</f>
        <v/>
      </c>
      <c r="AE2001">
        <f>IF($B2001=0,0,IF(Inputs!$B$7="",0,COUNTIFS(Data!$E$10:$E$3209,"&gt;="&amp;$A2001,Data!$E$10:$E$3209,"&lt;"&amp;$A2001+1)))</f>
        <v/>
      </c>
      <c r="AF2001">
        <f>IF($B2001=0,0,IF(Inputs!$B$8="",0,COUNTIFS(Data!$I$10:$I$3209,"&gt;="&amp;$A2001,Data!$I$10:$I$3209,"&lt;"&amp;$A2001+1)))</f>
        <v/>
      </c>
      <c r="AG2001">
        <f>IF($B2001=0,0,IF(Inputs!$B$9="",0,COUNTIFS(Data!$M$10:$M$3209,"&gt;="&amp;$A2001,Data!$M$10:$M$3209,"&lt;"&amp;$A2001+1)))</f>
        <v/>
      </c>
      <c r="AH2001">
        <f>IF($B2001=0,0,IF(Inputs!$B$10="",0,COUNTIFS(Data!$Q$10:$Q$3209,"&gt;="&amp;$A2001,Data!$Q$10:$Q$3209,"&lt;"&amp;$A2001+1)))</f>
        <v/>
      </c>
    </row>
    <row r="2002">
      <c r="A2002" s="55">
        <f>MIN(Inputs!$C$15,$A2001+IF(WEEKDAY($A2001,2)=5,3,1))</f>
        <v/>
      </c>
      <c r="B2002">
        <f>IF($A2002&gt;$A2001,1,0)</f>
        <v/>
      </c>
      <c r="C2002" s="56">
        <f>IF($B2002=0,"",IF(Inputs!$B$6="","",IF($AD2002=0,C2001,SUMIFS(Data!$B$10:$B$3209,Data!$A$10:$A$3209,"&gt;="&amp;$A2002,Data!$A$10:$A$3209,"&lt;"&amp;$A2002+1)/$AD2002)))</f>
        <v/>
      </c>
      <c r="D2002" s="56">
        <f>IF($B2002=0,"",IF(Inputs!$B$7="","",IF($AE2002=0,D2001,SUMIFS(Data!$F$10:$F$3209,Data!$E$10:$E$3209,"&gt;="&amp;$A2002,Data!$E$10:$E$3209,"&lt;"&amp;$A2002+1)/$AE2002)))</f>
        <v/>
      </c>
      <c r="E2002" s="56">
        <f>IF($B2002=0,"",IF(Inputs!$B$8="","",IF($AF2002=0,E2001,SUMIFS(Data!$J$10:$J$3209,Data!$I$10:$I$3209,"&gt;="&amp;$A2002,Data!$I$10:$I$3209,"&lt;"&amp;$A2002+1)/$AF2002)))</f>
        <v/>
      </c>
      <c r="F2002" s="56">
        <f>IF($B2002=0,"",IF(Inputs!$B$9="","",IF($AG2002=0,F2001,SUMIFS(Data!$N$10:$N$3209,Data!$M$10:$M$3209,"&gt;="&amp;$A2002,Data!$M$10:$M$3209,"&lt;"&amp;$A2002+1)/$AG2002)))</f>
        <v/>
      </c>
      <c r="G2002" s="56">
        <f>IF($B2002=0,"",IF(Inputs!$B$10="","",IF($AH2002=0,G2001,SUMIFS(Data!$R$10:$R$3209,Data!$Q$10:$Q$3209,"&gt;="&amp;$A2002,Data!$Q$10:$Q$3209,"&lt;"&amp;$A2002+1)/$AH2002)))</f>
        <v/>
      </c>
      <c r="I2002" s="54">
        <f>IF($B2002=0,NA(),IF($C2002="",NA(),IF(C$8="",NA(),IF(N(C$8)=0,NA(),IF(Inputs!$C$17="Rebased to 100",$C2002/C$8*100,$C2002)))))</f>
        <v/>
      </c>
      <c r="J2002" s="54">
        <f>IF($B2002=0,NA(),IF($D2002="",NA(),IF(D$8="",NA(),IF(N(D$8)=0,NA(),IF(Inputs!$C$17="Rebased to 100",$D2002/D$8*100,$D2002)))))</f>
        <v/>
      </c>
      <c r="K2002" s="54">
        <f>IF($B2002=0,NA(),IF($E2002="",NA(),IF(E$8="",NA(),IF(N(E$8)=0,NA(),IF(Inputs!$C$17="Rebased to 100",$E2002/E$8*100,$E2002)))))</f>
        <v/>
      </c>
      <c r="L2002" s="54">
        <f>IF($B2002=0,NA(),IF($F2002="",NA(),IF(F$8="",NA(),IF(N(F$8)=0,NA(),IF(Inputs!$C$17="Rebased to 100",$F2002/F$8*100,$F2002)))))</f>
        <v/>
      </c>
      <c r="M2002" s="54">
        <f>IF($B2002=0,NA(),IF($G2002="",NA(),IF(G$8="",NA(),IF(N(G$8)=0,NA(),IF(Inputs!$C$17="Rebased to 100",$G2002/G$8*100,$G2002)))))</f>
        <v/>
      </c>
      <c r="N2002" s="54">
        <f>IF($B2002=0,NA(),IF(Inputs!$C$18&lt;&gt;"Yes",NA(),IF(COUNT(I2002,J2002,K2002,L2002,M2002)=0,NA(),MIN(I2002,J2002,K2002,L2002,M2002))))</f>
        <v/>
      </c>
      <c r="O2002" s="54">
        <f>IF($B2002=0,NA(),IF(Inputs!$B$24&lt;&gt;"Yes",NA(),Inputs!$D$24*Inputs!$C$35))</f>
        <v/>
      </c>
      <c r="P2002" s="54">
        <f>IF($B2002=0,NA(),IF(Inputs!$B$25&lt;&gt;"Yes",NA(),Inputs!$D$25*Inputs!$C$35))</f>
        <v/>
      </c>
      <c r="Q2002" s="54">
        <f>IF($B2002=0,NA(),IF(Inputs!$B$26&lt;&gt;"Yes",NA(),Inputs!$D$26*Inputs!$C$35))</f>
        <v/>
      </c>
      <c r="R2002" s="54">
        <f>IF($B2002=0,NA(),IF(Inputs!$B$27&lt;&gt;"Yes",NA(),Inputs!$D$27*Inputs!$C$35))</f>
        <v/>
      </c>
      <c r="S2002" s="54">
        <f>IF($B2002=0,NA(),IF(Inputs!$B$28&lt;&gt;"Yes",NA(),Inputs!$D$28*Inputs!$C$35))</f>
        <v/>
      </c>
      <c r="T2002" s="54">
        <f>IF($B2002=0,NA(),IF(Inputs!$B$29&lt;&gt;"Yes",NA(),Inputs!$D$29*Inputs!$C$35))</f>
        <v/>
      </c>
      <c r="AD2002">
        <f>IF($B2002=0,0,IF(Inputs!$B$6="",0,COUNTIFS(Data!$A$10:$A$3209,"&gt;="&amp;$A2002,Data!$A$10:$A$3209,"&lt;"&amp;$A2002+1)))</f>
        <v/>
      </c>
      <c r="AE2002">
        <f>IF($B2002=0,0,IF(Inputs!$B$7="",0,COUNTIFS(Data!$E$10:$E$3209,"&gt;="&amp;$A2002,Data!$E$10:$E$3209,"&lt;"&amp;$A2002+1)))</f>
        <v/>
      </c>
      <c r="AF2002">
        <f>IF($B2002=0,0,IF(Inputs!$B$8="",0,COUNTIFS(Data!$I$10:$I$3209,"&gt;="&amp;$A2002,Data!$I$10:$I$3209,"&lt;"&amp;$A2002+1)))</f>
        <v/>
      </c>
      <c r="AG2002">
        <f>IF($B2002=0,0,IF(Inputs!$B$9="",0,COUNTIFS(Data!$M$10:$M$3209,"&gt;="&amp;$A2002,Data!$M$10:$M$3209,"&lt;"&amp;$A2002+1)))</f>
        <v/>
      </c>
      <c r="AH2002">
        <f>IF($B2002=0,0,IF(Inputs!$B$10="",0,COUNTIFS(Data!$Q$10:$Q$3209,"&gt;="&amp;$A2002,Data!$Q$10:$Q$3209,"&lt;"&amp;$A2002+1)))</f>
        <v/>
      </c>
    </row>
    <row r="2003">
      <c r="A2003" s="55">
        <f>MIN(Inputs!$C$15,$A2002+IF(WEEKDAY($A2002,2)=5,3,1))</f>
        <v/>
      </c>
      <c r="B2003">
        <f>IF($A2003&gt;$A2002,1,0)</f>
        <v/>
      </c>
      <c r="C2003" s="56">
        <f>IF($B2003=0,"",IF(Inputs!$B$6="","",IF($AD2003=0,C2002,SUMIFS(Data!$B$10:$B$3209,Data!$A$10:$A$3209,"&gt;="&amp;$A2003,Data!$A$10:$A$3209,"&lt;"&amp;$A2003+1)/$AD2003)))</f>
        <v/>
      </c>
      <c r="D2003" s="56">
        <f>IF($B2003=0,"",IF(Inputs!$B$7="","",IF($AE2003=0,D2002,SUMIFS(Data!$F$10:$F$3209,Data!$E$10:$E$3209,"&gt;="&amp;$A2003,Data!$E$10:$E$3209,"&lt;"&amp;$A2003+1)/$AE2003)))</f>
        <v/>
      </c>
      <c r="E2003" s="56">
        <f>IF($B2003=0,"",IF(Inputs!$B$8="","",IF($AF2003=0,E2002,SUMIFS(Data!$J$10:$J$3209,Data!$I$10:$I$3209,"&gt;="&amp;$A2003,Data!$I$10:$I$3209,"&lt;"&amp;$A2003+1)/$AF2003)))</f>
        <v/>
      </c>
      <c r="F2003" s="56">
        <f>IF($B2003=0,"",IF(Inputs!$B$9="","",IF($AG2003=0,F2002,SUMIFS(Data!$N$10:$N$3209,Data!$M$10:$M$3209,"&gt;="&amp;$A2003,Data!$M$10:$M$3209,"&lt;"&amp;$A2003+1)/$AG2003)))</f>
        <v/>
      </c>
      <c r="G2003" s="56">
        <f>IF($B2003=0,"",IF(Inputs!$B$10="","",IF($AH2003=0,G2002,SUMIFS(Data!$R$10:$R$3209,Data!$Q$10:$Q$3209,"&gt;="&amp;$A2003,Data!$Q$10:$Q$3209,"&lt;"&amp;$A2003+1)/$AH2003)))</f>
        <v/>
      </c>
      <c r="I2003" s="54">
        <f>IF($B2003=0,NA(),IF($C2003="",NA(),IF(C$8="",NA(),IF(N(C$8)=0,NA(),IF(Inputs!$C$17="Rebased to 100",$C2003/C$8*100,$C2003)))))</f>
        <v/>
      </c>
      <c r="J2003" s="54">
        <f>IF($B2003=0,NA(),IF($D2003="",NA(),IF(D$8="",NA(),IF(N(D$8)=0,NA(),IF(Inputs!$C$17="Rebased to 100",$D2003/D$8*100,$D2003)))))</f>
        <v/>
      </c>
      <c r="K2003" s="54">
        <f>IF($B2003=0,NA(),IF($E2003="",NA(),IF(E$8="",NA(),IF(N(E$8)=0,NA(),IF(Inputs!$C$17="Rebased to 100",$E2003/E$8*100,$E2003)))))</f>
        <v/>
      </c>
      <c r="L2003" s="54">
        <f>IF($B2003=0,NA(),IF($F2003="",NA(),IF(F$8="",NA(),IF(N(F$8)=0,NA(),IF(Inputs!$C$17="Rebased to 100",$F2003/F$8*100,$F2003)))))</f>
        <v/>
      </c>
      <c r="M2003" s="54">
        <f>IF($B2003=0,NA(),IF($G2003="",NA(),IF(G$8="",NA(),IF(N(G$8)=0,NA(),IF(Inputs!$C$17="Rebased to 100",$G2003/G$8*100,$G2003)))))</f>
        <v/>
      </c>
      <c r="N2003" s="54">
        <f>IF($B2003=0,NA(),IF(Inputs!$C$18&lt;&gt;"Yes",NA(),IF(COUNT(I2003,J2003,K2003,L2003,M2003)=0,NA(),MIN(I2003,J2003,K2003,L2003,M2003))))</f>
        <v/>
      </c>
      <c r="O2003" s="54">
        <f>IF($B2003=0,NA(),IF(Inputs!$B$24&lt;&gt;"Yes",NA(),Inputs!$D$24*Inputs!$C$35))</f>
        <v/>
      </c>
      <c r="P2003" s="54">
        <f>IF($B2003=0,NA(),IF(Inputs!$B$25&lt;&gt;"Yes",NA(),Inputs!$D$25*Inputs!$C$35))</f>
        <v/>
      </c>
      <c r="Q2003" s="54">
        <f>IF($B2003=0,NA(),IF(Inputs!$B$26&lt;&gt;"Yes",NA(),Inputs!$D$26*Inputs!$C$35))</f>
        <v/>
      </c>
      <c r="R2003" s="54">
        <f>IF($B2003=0,NA(),IF(Inputs!$B$27&lt;&gt;"Yes",NA(),Inputs!$D$27*Inputs!$C$35))</f>
        <v/>
      </c>
      <c r="S2003" s="54">
        <f>IF($B2003=0,NA(),IF(Inputs!$B$28&lt;&gt;"Yes",NA(),Inputs!$D$28*Inputs!$C$35))</f>
        <v/>
      </c>
      <c r="T2003" s="54">
        <f>IF($B2003=0,NA(),IF(Inputs!$B$29&lt;&gt;"Yes",NA(),Inputs!$D$29*Inputs!$C$35))</f>
        <v/>
      </c>
      <c r="AD2003">
        <f>IF($B2003=0,0,IF(Inputs!$B$6="",0,COUNTIFS(Data!$A$10:$A$3209,"&gt;="&amp;$A2003,Data!$A$10:$A$3209,"&lt;"&amp;$A2003+1)))</f>
        <v/>
      </c>
      <c r="AE2003">
        <f>IF($B2003=0,0,IF(Inputs!$B$7="",0,COUNTIFS(Data!$E$10:$E$3209,"&gt;="&amp;$A2003,Data!$E$10:$E$3209,"&lt;"&amp;$A2003+1)))</f>
        <v/>
      </c>
      <c r="AF2003">
        <f>IF($B2003=0,0,IF(Inputs!$B$8="",0,COUNTIFS(Data!$I$10:$I$3209,"&gt;="&amp;$A2003,Data!$I$10:$I$3209,"&lt;"&amp;$A2003+1)))</f>
        <v/>
      </c>
      <c r="AG2003">
        <f>IF($B2003=0,0,IF(Inputs!$B$9="",0,COUNTIFS(Data!$M$10:$M$3209,"&gt;="&amp;$A2003,Data!$M$10:$M$3209,"&lt;"&amp;$A2003+1)))</f>
        <v/>
      </c>
      <c r="AH2003">
        <f>IF($B2003=0,0,IF(Inputs!$B$10="",0,COUNTIFS(Data!$Q$10:$Q$3209,"&gt;="&amp;$A2003,Data!$Q$10:$Q$3209,"&lt;"&amp;$A2003+1)))</f>
        <v/>
      </c>
    </row>
    <row r="2004">
      <c r="A2004" s="55">
        <f>MIN(Inputs!$C$15,$A2003+IF(WEEKDAY($A2003,2)=5,3,1))</f>
        <v/>
      </c>
      <c r="B2004">
        <f>IF($A2004&gt;$A2003,1,0)</f>
        <v/>
      </c>
      <c r="C2004" s="56">
        <f>IF($B2004=0,"",IF(Inputs!$B$6="","",IF($AD2004=0,C2003,SUMIFS(Data!$B$10:$B$3209,Data!$A$10:$A$3209,"&gt;="&amp;$A2004,Data!$A$10:$A$3209,"&lt;"&amp;$A2004+1)/$AD2004)))</f>
        <v/>
      </c>
      <c r="D2004" s="56">
        <f>IF($B2004=0,"",IF(Inputs!$B$7="","",IF($AE2004=0,D2003,SUMIFS(Data!$F$10:$F$3209,Data!$E$10:$E$3209,"&gt;="&amp;$A2004,Data!$E$10:$E$3209,"&lt;"&amp;$A2004+1)/$AE2004)))</f>
        <v/>
      </c>
      <c r="E2004" s="56">
        <f>IF($B2004=0,"",IF(Inputs!$B$8="","",IF($AF2004=0,E2003,SUMIFS(Data!$J$10:$J$3209,Data!$I$10:$I$3209,"&gt;="&amp;$A2004,Data!$I$10:$I$3209,"&lt;"&amp;$A2004+1)/$AF2004)))</f>
        <v/>
      </c>
      <c r="F2004" s="56">
        <f>IF($B2004=0,"",IF(Inputs!$B$9="","",IF($AG2004=0,F2003,SUMIFS(Data!$N$10:$N$3209,Data!$M$10:$M$3209,"&gt;="&amp;$A2004,Data!$M$10:$M$3209,"&lt;"&amp;$A2004+1)/$AG2004)))</f>
        <v/>
      </c>
      <c r="G2004" s="56">
        <f>IF($B2004=0,"",IF(Inputs!$B$10="","",IF($AH2004=0,G2003,SUMIFS(Data!$R$10:$R$3209,Data!$Q$10:$Q$3209,"&gt;="&amp;$A2004,Data!$Q$10:$Q$3209,"&lt;"&amp;$A2004+1)/$AH2004)))</f>
        <v/>
      </c>
      <c r="I2004" s="54">
        <f>IF($B2004=0,NA(),IF($C2004="",NA(),IF(C$8="",NA(),IF(N(C$8)=0,NA(),IF(Inputs!$C$17="Rebased to 100",$C2004/C$8*100,$C2004)))))</f>
        <v/>
      </c>
      <c r="J2004" s="54">
        <f>IF($B2004=0,NA(),IF($D2004="",NA(),IF(D$8="",NA(),IF(N(D$8)=0,NA(),IF(Inputs!$C$17="Rebased to 100",$D2004/D$8*100,$D2004)))))</f>
        <v/>
      </c>
      <c r="K2004" s="54">
        <f>IF($B2004=0,NA(),IF($E2004="",NA(),IF(E$8="",NA(),IF(N(E$8)=0,NA(),IF(Inputs!$C$17="Rebased to 100",$E2004/E$8*100,$E2004)))))</f>
        <v/>
      </c>
      <c r="L2004" s="54">
        <f>IF($B2004=0,NA(),IF($F2004="",NA(),IF(F$8="",NA(),IF(N(F$8)=0,NA(),IF(Inputs!$C$17="Rebased to 100",$F2004/F$8*100,$F2004)))))</f>
        <v/>
      </c>
      <c r="M2004" s="54">
        <f>IF($B2004=0,NA(),IF($G2004="",NA(),IF(G$8="",NA(),IF(N(G$8)=0,NA(),IF(Inputs!$C$17="Rebased to 100",$G2004/G$8*100,$G2004)))))</f>
        <v/>
      </c>
      <c r="N2004" s="54">
        <f>IF($B2004=0,NA(),IF(Inputs!$C$18&lt;&gt;"Yes",NA(),IF(COUNT(I2004,J2004,K2004,L2004,M2004)=0,NA(),MIN(I2004,J2004,K2004,L2004,M2004))))</f>
        <v/>
      </c>
      <c r="O2004" s="54">
        <f>IF($B2004=0,NA(),IF(Inputs!$B$24&lt;&gt;"Yes",NA(),Inputs!$D$24*Inputs!$C$35))</f>
        <v/>
      </c>
      <c r="P2004" s="54">
        <f>IF($B2004=0,NA(),IF(Inputs!$B$25&lt;&gt;"Yes",NA(),Inputs!$D$25*Inputs!$C$35))</f>
        <v/>
      </c>
      <c r="Q2004" s="54">
        <f>IF($B2004=0,NA(),IF(Inputs!$B$26&lt;&gt;"Yes",NA(),Inputs!$D$26*Inputs!$C$35))</f>
        <v/>
      </c>
      <c r="R2004" s="54">
        <f>IF($B2004=0,NA(),IF(Inputs!$B$27&lt;&gt;"Yes",NA(),Inputs!$D$27*Inputs!$C$35))</f>
        <v/>
      </c>
      <c r="S2004" s="54">
        <f>IF($B2004=0,NA(),IF(Inputs!$B$28&lt;&gt;"Yes",NA(),Inputs!$D$28*Inputs!$C$35))</f>
        <v/>
      </c>
      <c r="T2004" s="54">
        <f>IF($B2004=0,NA(),IF(Inputs!$B$29&lt;&gt;"Yes",NA(),Inputs!$D$29*Inputs!$C$35))</f>
        <v/>
      </c>
      <c r="AD2004">
        <f>IF($B2004=0,0,IF(Inputs!$B$6="",0,COUNTIFS(Data!$A$10:$A$3209,"&gt;="&amp;$A2004,Data!$A$10:$A$3209,"&lt;"&amp;$A2004+1)))</f>
        <v/>
      </c>
      <c r="AE2004">
        <f>IF($B2004=0,0,IF(Inputs!$B$7="",0,COUNTIFS(Data!$E$10:$E$3209,"&gt;="&amp;$A2004,Data!$E$10:$E$3209,"&lt;"&amp;$A2004+1)))</f>
        <v/>
      </c>
      <c r="AF2004">
        <f>IF($B2004=0,0,IF(Inputs!$B$8="",0,COUNTIFS(Data!$I$10:$I$3209,"&gt;="&amp;$A2004,Data!$I$10:$I$3209,"&lt;"&amp;$A2004+1)))</f>
        <v/>
      </c>
      <c r="AG2004">
        <f>IF($B2004=0,0,IF(Inputs!$B$9="",0,COUNTIFS(Data!$M$10:$M$3209,"&gt;="&amp;$A2004,Data!$M$10:$M$3209,"&lt;"&amp;$A2004+1)))</f>
        <v/>
      </c>
      <c r="AH2004">
        <f>IF($B2004=0,0,IF(Inputs!$B$10="",0,COUNTIFS(Data!$Q$10:$Q$3209,"&gt;="&amp;$A2004,Data!$Q$10:$Q$3209,"&lt;"&amp;$A2004+1)))</f>
        <v/>
      </c>
    </row>
    <row r="2005">
      <c r="A2005" s="55">
        <f>MIN(Inputs!$C$15,$A2004+IF(WEEKDAY($A2004,2)=5,3,1))</f>
        <v/>
      </c>
      <c r="B2005">
        <f>IF($A2005&gt;$A2004,1,0)</f>
        <v/>
      </c>
      <c r="C2005" s="56">
        <f>IF($B2005=0,"",IF(Inputs!$B$6="","",IF($AD2005=0,C2004,SUMIFS(Data!$B$10:$B$3209,Data!$A$10:$A$3209,"&gt;="&amp;$A2005,Data!$A$10:$A$3209,"&lt;"&amp;$A2005+1)/$AD2005)))</f>
        <v/>
      </c>
      <c r="D2005" s="56">
        <f>IF($B2005=0,"",IF(Inputs!$B$7="","",IF($AE2005=0,D2004,SUMIFS(Data!$F$10:$F$3209,Data!$E$10:$E$3209,"&gt;="&amp;$A2005,Data!$E$10:$E$3209,"&lt;"&amp;$A2005+1)/$AE2005)))</f>
        <v/>
      </c>
      <c r="E2005" s="56">
        <f>IF($B2005=0,"",IF(Inputs!$B$8="","",IF($AF2005=0,E2004,SUMIFS(Data!$J$10:$J$3209,Data!$I$10:$I$3209,"&gt;="&amp;$A2005,Data!$I$10:$I$3209,"&lt;"&amp;$A2005+1)/$AF2005)))</f>
        <v/>
      </c>
      <c r="F2005" s="56">
        <f>IF($B2005=0,"",IF(Inputs!$B$9="","",IF($AG2005=0,F2004,SUMIFS(Data!$N$10:$N$3209,Data!$M$10:$M$3209,"&gt;="&amp;$A2005,Data!$M$10:$M$3209,"&lt;"&amp;$A2005+1)/$AG2005)))</f>
        <v/>
      </c>
      <c r="G2005" s="56">
        <f>IF($B2005=0,"",IF(Inputs!$B$10="","",IF($AH2005=0,G2004,SUMIFS(Data!$R$10:$R$3209,Data!$Q$10:$Q$3209,"&gt;="&amp;$A2005,Data!$Q$10:$Q$3209,"&lt;"&amp;$A2005+1)/$AH2005)))</f>
        <v/>
      </c>
      <c r="I2005" s="54">
        <f>IF($B2005=0,NA(),IF($C2005="",NA(),IF(C$8="",NA(),IF(N(C$8)=0,NA(),IF(Inputs!$C$17="Rebased to 100",$C2005/C$8*100,$C2005)))))</f>
        <v/>
      </c>
      <c r="J2005" s="54">
        <f>IF($B2005=0,NA(),IF($D2005="",NA(),IF(D$8="",NA(),IF(N(D$8)=0,NA(),IF(Inputs!$C$17="Rebased to 100",$D2005/D$8*100,$D2005)))))</f>
        <v/>
      </c>
      <c r="K2005" s="54">
        <f>IF($B2005=0,NA(),IF($E2005="",NA(),IF(E$8="",NA(),IF(N(E$8)=0,NA(),IF(Inputs!$C$17="Rebased to 100",$E2005/E$8*100,$E2005)))))</f>
        <v/>
      </c>
      <c r="L2005" s="54">
        <f>IF($B2005=0,NA(),IF($F2005="",NA(),IF(F$8="",NA(),IF(N(F$8)=0,NA(),IF(Inputs!$C$17="Rebased to 100",$F2005/F$8*100,$F2005)))))</f>
        <v/>
      </c>
      <c r="M2005" s="54">
        <f>IF($B2005=0,NA(),IF($G2005="",NA(),IF(G$8="",NA(),IF(N(G$8)=0,NA(),IF(Inputs!$C$17="Rebased to 100",$G2005/G$8*100,$G2005)))))</f>
        <v/>
      </c>
      <c r="N2005" s="54">
        <f>IF($B2005=0,NA(),IF(Inputs!$C$18&lt;&gt;"Yes",NA(),IF(COUNT(I2005,J2005,K2005,L2005,M2005)=0,NA(),MIN(I2005,J2005,K2005,L2005,M2005))))</f>
        <v/>
      </c>
      <c r="O2005" s="54">
        <f>IF($B2005=0,NA(),IF(Inputs!$B$24&lt;&gt;"Yes",NA(),Inputs!$D$24*Inputs!$C$35))</f>
        <v/>
      </c>
      <c r="P2005" s="54">
        <f>IF($B2005=0,NA(),IF(Inputs!$B$25&lt;&gt;"Yes",NA(),Inputs!$D$25*Inputs!$C$35))</f>
        <v/>
      </c>
      <c r="Q2005" s="54">
        <f>IF($B2005=0,NA(),IF(Inputs!$B$26&lt;&gt;"Yes",NA(),Inputs!$D$26*Inputs!$C$35))</f>
        <v/>
      </c>
      <c r="R2005" s="54">
        <f>IF($B2005=0,NA(),IF(Inputs!$B$27&lt;&gt;"Yes",NA(),Inputs!$D$27*Inputs!$C$35))</f>
        <v/>
      </c>
      <c r="S2005" s="54">
        <f>IF($B2005=0,NA(),IF(Inputs!$B$28&lt;&gt;"Yes",NA(),Inputs!$D$28*Inputs!$C$35))</f>
        <v/>
      </c>
      <c r="T2005" s="54">
        <f>IF($B2005=0,NA(),IF(Inputs!$B$29&lt;&gt;"Yes",NA(),Inputs!$D$29*Inputs!$C$35))</f>
        <v/>
      </c>
      <c r="AD2005">
        <f>IF($B2005=0,0,IF(Inputs!$B$6="",0,COUNTIFS(Data!$A$10:$A$3209,"&gt;="&amp;$A2005,Data!$A$10:$A$3209,"&lt;"&amp;$A2005+1)))</f>
        <v/>
      </c>
      <c r="AE2005">
        <f>IF($B2005=0,0,IF(Inputs!$B$7="",0,COUNTIFS(Data!$E$10:$E$3209,"&gt;="&amp;$A2005,Data!$E$10:$E$3209,"&lt;"&amp;$A2005+1)))</f>
        <v/>
      </c>
      <c r="AF2005">
        <f>IF($B2005=0,0,IF(Inputs!$B$8="",0,COUNTIFS(Data!$I$10:$I$3209,"&gt;="&amp;$A2005,Data!$I$10:$I$3209,"&lt;"&amp;$A2005+1)))</f>
        <v/>
      </c>
      <c r="AG2005">
        <f>IF($B2005=0,0,IF(Inputs!$B$9="",0,COUNTIFS(Data!$M$10:$M$3209,"&gt;="&amp;$A2005,Data!$M$10:$M$3209,"&lt;"&amp;$A2005+1)))</f>
        <v/>
      </c>
      <c r="AH2005">
        <f>IF($B2005=0,0,IF(Inputs!$B$10="",0,COUNTIFS(Data!$Q$10:$Q$3209,"&gt;="&amp;$A2005,Data!$Q$10:$Q$3209,"&lt;"&amp;$A2005+1)))</f>
        <v/>
      </c>
    </row>
    <row r="2006">
      <c r="A2006" s="55">
        <f>MIN(Inputs!$C$15,$A2005+IF(WEEKDAY($A2005,2)=5,3,1))</f>
        <v/>
      </c>
      <c r="B2006">
        <f>IF($A2006&gt;$A2005,1,0)</f>
        <v/>
      </c>
      <c r="C2006" s="56">
        <f>IF($B2006=0,"",IF(Inputs!$B$6="","",IF($AD2006=0,C2005,SUMIFS(Data!$B$10:$B$3209,Data!$A$10:$A$3209,"&gt;="&amp;$A2006,Data!$A$10:$A$3209,"&lt;"&amp;$A2006+1)/$AD2006)))</f>
        <v/>
      </c>
      <c r="D2006" s="56">
        <f>IF($B2006=0,"",IF(Inputs!$B$7="","",IF($AE2006=0,D2005,SUMIFS(Data!$F$10:$F$3209,Data!$E$10:$E$3209,"&gt;="&amp;$A2006,Data!$E$10:$E$3209,"&lt;"&amp;$A2006+1)/$AE2006)))</f>
        <v/>
      </c>
      <c r="E2006" s="56">
        <f>IF($B2006=0,"",IF(Inputs!$B$8="","",IF($AF2006=0,E2005,SUMIFS(Data!$J$10:$J$3209,Data!$I$10:$I$3209,"&gt;="&amp;$A2006,Data!$I$10:$I$3209,"&lt;"&amp;$A2006+1)/$AF2006)))</f>
        <v/>
      </c>
      <c r="F2006" s="56">
        <f>IF($B2006=0,"",IF(Inputs!$B$9="","",IF($AG2006=0,F2005,SUMIFS(Data!$N$10:$N$3209,Data!$M$10:$M$3209,"&gt;="&amp;$A2006,Data!$M$10:$M$3209,"&lt;"&amp;$A2006+1)/$AG2006)))</f>
        <v/>
      </c>
      <c r="G2006" s="56">
        <f>IF($B2006=0,"",IF(Inputs!$B$10="","",IF($AH2006=0,G2005,SUMIFS(Data!$R$10:$R$3209,Data!$Q$10:$Q$3209,"&gt;="&amp;$A2006,Data!$Q$10:$Q$3209,"&lt;"&amp;$A2006+1)/$AH2006)))</f>
        <v/>
      </c>
      <c r="I2006" s="54">
        <f>IF($B2006=0,NA(),IF($C2006="",NA(),IF(C$8="",NA(),IF(N(C$8)=0,NA(),IF(Inputs!$C$17="Rebased to 100",$C2006/C$8*100,$C2006)))))</f>
        <v/>
      </c>
      <c r="J2006" s="54">
        <f>IF($B2006=0,NA(),IF($D2006="",NA(),IF(D$8="",NA(),IF(N(D$8)=0,NA(),IF(Inputs!$C$17="Rebased to 100",$D2006/D$8*100,$D2006)))))</f>
        <v/>
      </c>
      <c r="K2006" s="54">
        <f>IF($B2006=0,NA(),IF($E2006="",NA(),IF(E$8="",NA(),IF(N(E$8)=0,NA(),IF(Inputs!$C$17="Rebased to 100",$E2006/E$8*100,$E2006)))))</f>
        <v/>
      </c>
      <c r="L2006" s="54">
        <f>IF($B2006=0,NA(),IF($F2006="",NA(),IF(F$8="",NA(),IF(N(F$8)=0,NA(),IF(Inputs!$C$17="Rebased to 100",$F2006/F$8*100,$F2006)))))</f>
        <v/>
      </c>
      <c r="M2006" s="54">
        <f>IF($B2006=0,NA(),IF($G2006="",NA(),IF(G$8="",NA(),IF(N(G$8)=0,NA(),IF(Inputs!$C$17="Rebased to 100",$G2006/G$8*100,$G2006)))))</f>
        <v/>
      </c>
      <c r="N2006" s="54">
        <f>IF($B2006=0,NA(),IF(Inputs!$C$18&lt;&gt;"Yes",NA(),IF(COUNT(I2006,J2006,K2006,L2006,M2006)=0,NA(),MIN(I2006,J2006,K2006,L2006,M2006))))</f>
        <v/>
      </c>
      <c r="O2006" s="54">
        <f>IF($B2006=0,NA(),IF(Inputs!$B$24&lt;&gt;"Yes",NA(),Inputs!$D$24*Inputs!$C$35))</f>
        <v/>
      </c>
      <c r="P2006" s="54">
        <f>IF($B2006=0,NA(),IF(Inputs!$B$25&lt;&gt;"Yes",NA(),Inputs!$D$25*Inputs!$C$35))</f>
        <v/>
      </c>
      <c r="Q2006" s="54">
        <f>IF($B2006=0,NA(),IF(Inputs!$B$26&lt;&gt;"Yes",NA(),Inputs!$D$26*Inputs!$C$35))</f>
        <v/>
      </c>
      <c r="R2006" s="54">
        <f>IF($B2006=0,NA(),IF(Inputs!$B$27&lt;&gt;"Yes",NA(),Inputs!$D$27*Inputs!$C$35))</f>
        <v/>
      </c>
      <c r="S2006" s="54">
        <f>IF($B2006=0,NA(),IF(Inputs!$B$28&lt;&gt;"Yes",NA(),Inputs!$D$28*Inputs!$C$35))</f>
        <v/>
      </c>
      <c r="T2006" s="54">
        <f>IF($B2006=0,NA(),IF(Inputs!$B$29&lt;&gt;"Yes",NA(),Inputs!$D$29*Inputs!$C$35))</f>
        <v/>
      </c>
      <c r="AD2006">
        <f>IF($B2006=0,0,IF(Inputs!$B$6="",0,COUNTIFS(Data!$A$10:$A$3209,"&gt;="&amp;$A2006,Data!$A$10:$A$3209,"&lt;"&amp;$A2006+1)))</f>
        <v/>
      </c>
      <c r="AE2006">
        <f>IF($B2006=0,0,IF(Inputs!$B$7="",0,COUNTIFS(Data!$E$10:$E$3209,"&gt;="&amp;$A2006,Data!$E$10:$E$3209,"&lt;"&amp;$A2006+1)))</f>
        <v/>
      </c>
      <c r="AF2006">
        <f>IF($B2006=0,0,IF(Inputs!$B$8="",0,COUNTIFS(Data!$I$10:$I$3209,"&gt;="&amp;$A2006,Data!$I$10:$I$3209,"&lt;"&amp;$A2006+1)))</f>
        <v/>
      </c>
      <c r="AG2006">
        <f>IF($B2006=0,0,IF(Inputs!$B$9="",0,COUNTIFS(Data!$M$10:$M$3209,"&gt;="&amp;$A2006,Data!$M$10:$M$3209,"&lt;"&amp;$A2006+1)))</f>
        <v/>
      </c>
      <c r="AH2006">
        <f>IF($B2006=0,0,IF(Inputs!$B$10="",0,COUNTIFS(Data!$Q$10:$Q$3209,"&gt;="&amp;$A2006,Data!$Q$10:$Q$3209,"&lt;"&amp;$A2006+1)))</f>
        <v/>
      </c>
    </row>
    <row r="2007">
      <c r="A2007" s="55">
        <f>MIN(Inputs!$C$15,$A2006+IF(WEEKDAY($A2006,2)=5,3,1))</f>
        <v/>
      </c>
      <c r="B2007">
        <f>IF($A2007&gt;$A2006,1,0)</f>
        <v/>
      </c>
      <c r="C2007" s="56">
        <f>IF($B2007=0,"",IF(Inputs!$B$6="","",IF($AD2007=0,C2006,SUMIFS(Data!$B$10:$B$3209,Data!$A$10:$A$3209,"&gt;="&amp;$A2007,Data!$A$10:$A$3209,"&lt;"&amp;$A2007+1)/$AD2007)))</f>
        <v/>
      </c>
      <c r="D2007" s="56">
        <f>IF($B2007=0,"",IF(Inputs!$B$7="","",IF($AE2007=0,D2006,SUMIFS(Data!$F$10:$F$3209,Data!$E$10:$E$3209,"&gt;="&amp;$A2007,Data!$E$10:$E$3209,"&lt;"&amp;$A2007+1)/$AE2007)))</f>
        <v/>
      </c>
      <c r="E2007" s="56">
        <f>IF($B2007=0,"",IF(Inputs!$B$8="","",IF($AF2007=0,E2006,SUMIFS(Data!$J$10:$J$3209,Data!$I$10:$I$3209,"&gt;="&amp;$A2007,Data!$I$10:$I$3209,"&lt;"&amp;$A2007+1)/$AF2007)))</f>
        <v/>
      </c>
      <c r="F2007" s="56">
        <f>IF($B2007=0,"",IF(Inputs!$B$9="","",IF($AG2007=0,F2006,SUMIFS(Data!$N$10:$N$3209,Data!$M$10:$M$3209,"&gt;="&amp;$A2007,Data!$M$10:$M$3209,"&lt;"&amp;$A2007+1)/$AG2007)))</f>
        <v/>
      </c>
      <c r="G2007" s="56">
        <f>IF($B2007=0,"",IF(Inputs!$B$10="","",IF($AH2007=0,G2006,SUMIFS(Data!$R$10:$R$3209,Data!$Q$10:$Q$3209,"&gt;="&amp;$A2007,Data!$Q$10:$Q$3209,"&lt;"&amp;$A2007+1)/$AH2007)))</f>
        <v/>
      </c>
      <c r="I2007" s="54">
        <f>IF($B2007=0,NA(),IF($C2007="",NA(),IF(C$8="",NA(),IF(N(C$8)=0,NA(),IF(Inputs!$C$17="Rebased to 100",$C2007/C$8*100,$C2007)))))</f>
        <v/>
      </c>
      <c r="J2007" s="54">
        <f>IF($B2007=0,NA(),IF($D2007="",NA(),IF(D$8="",NA(),IF(N(D$8)=0,NA(),IF(Inputs!$C$17="Rebased to 100",$D2007/D$8*100,$D2007)))))</f>
        <v/>
      </c>
      <c r="K2007" s="54">
        <f>IF($B2007=0,NA(),IF($E2007="",NA(),IF(E$8="",NA(),IF(N(E$8)=0,NA(),IF(Inputs!$C$17="Rebased to 100",$E2007/E$8*100,$E2007)))))</f>
        <v/>
      </c>
      <c r="L2007" s="54">
        <f>IF($B2007=0,NA(),IF($F2007="",NA(),IF(F$8="",NA(),IF(N(F$8)=0,NA(),IF(Inputs!$C$17="Rebased to 100",$F2007/F$8*100,$F2007)))))</f>
        <v/>
      </c>
      <c r="M2007" s="54">
        <f>IF($B2007=0,NA(),IF($G2007="",NA(),IF(G$8="",NA(),IF(N(G$8)=0,NA(),IF(Inputs!$C$17="Rebased to 100",$G2007/G$8*100,$G2007)))))</f>
        <v/>
      </c>
      <c r="N2007" s="54">
        <f>IF($B2007=0,NA(),IF(Inputs!$C$18&lt;&gt;"Yes",NA(),IF(COUNT(I2007,J2007,K2007,L2007,M2007)=0,NA(),MIN(I2007,J2007,K2007,L2007,M2007))))</f>
        <v/>
      </c>
      <c r="O2007" s="54">
        <f>IF($B2007=0,NA(),IF(Inputs!$B$24&lt;&gt;"Yes",NA(),Inputs!$D$24*Inputs!$C$35))</f>
        <v/>
      </c>
      <c r="P2007" s="54">
        <f>IF($B2007=0,NA(),IF(Inputs!$B$25&lt;&gt;"Yes",NA(),Inputs!$D$25*Inputs!$C$35))</f>
        <v/>
      </c>
      <c r="Q2007" s="54">
        <f>IF($B2007=0,NA(),IF(Inputs!$B$26&lt;&gt;"Yes",NA(),Inputs!$D$26*Inputs!$C$35))</f>
        <v/>
      </c>
      <c r="R2007" s="54">
        <f>IF($B2007=0,NA(),IF(Inputs!$B$27&lt;&gt;"Yes",NA(),Inputs!$D$27*Inputs!$C$35))</f>
        <v/>
      </c>
      <c r="S2007" s="54">
        <f>IF($B2007=0,NA(),IF(Inputs!$B$28&lt;&gt;"Yes",NA(),Inputs!$D$28*Inputs!$C$35))</f>
        <v/>
      </c>
      <c r="T2007" s="54">
        <f>IF($B2007=0,NA(),IF(Inputs!$B$29&lt;&gt;"Yes",NA(),Inputs!$D$29*Inputs!$C$35))</f>
        <v/>
      </c>
      <c r="AD2007">
        <f>IF($B2007=0,0,IF(Inputs!$B$6="",0,COUNTIFS(Data!$A$10:$A$3209,"&gt;="&amp;$A2007,Data!$A$10:$A$3209,"&lt;"&amp;$A2007+1)))</f>
        <v/>
      </c>
      <c r="AE2007">
        <f>IF($B2007=0,0,IF(Inputs!$B$7="",0,COUNTIFS(Data!$E$10:$E$3209,"&gt;="&amp;$A2007,Data!$E$10:$E$3209,"&lt;"&amp;$A2007+1)))</f>
        <v/>
      </c>
      <c r="AF2007">
        <f>IF($B2007=0,0,IF(Inputs!$B$8="",0,COUNTIFS(Data!$I$10:$I$3209,"&gt;="&amp;$A2007,Data!$I$10:$I$3209,"&lt;"&amp;$A2007+1)))</f>
        <v/>
      </c>
      <c r="AG2007">
        <f>IF($B2007=0,0,IF(Inputs!$B$9="",0,COUNTIFS(Data!$M$10:$M$3209,"&gt;="&amp;$A2007,Data!$M$10:$M$3209,"&lt;"&amp;$A2007+1)))</f>
        <v/>
      </c>
      <c r="AH2007">
        <f>IF($B2007=0,0,IF(Inputs!$B$10="",0,COUNTIFS(Data!$Q$10:$Q$3209,"&gt;="&amp;$A2007,Data!$Q$10:$Q$3209,"&lt;"&amp;$A2007+1)))</f>
        <v/>
      </c>
    </row>
    <row r="2008">
      <c r="A2008" s="55">
        <f>MIN(Inputs!$C$15,$A2007+IF(WEEKDAY($A2007,2)=5,3,1))</f>
        <v/>
      </c>
      <c r="B2008">
        <f>IF($A2008&gt;$A2007,1,0)</f>
        <v/>
      </c>
      <c r="C2008" s="56">
        <f>IF($B2008=0,"",IF(Inputs!$B$6="","",IF($AD2008=0,C2007,SUMIFS(Data!$B$10:$B$3209,Data!$A$10:$A$3209,"&gt;="&amp;$A2008,Data!$A$10:$A$3209,"&lt;"&amp;$A2008+1)/$AD2008)))</f>
        <v/>
      </c>
      <c r="D2008" s="56">
        <f>IF($B2008=0,"",IF(Inputs!$B$7="","",IF($AE2008=0,D2007,SUMIFS(Data!$F$10:$F$3209,Data!$E$10:$E$3209,"&gt;="&amp;$A2008,Data!$E$10:$E$3209,"&lt;"&amp;$A2008+1)/$AE2008)))</f>
        <v/>
      </c>
      <c r="E2008" s="56">
        <f>IF($B2008=0,"",IF(Inputs!$B$8="","",IF($AF2008=0,E2007,SUMIFS(Data!$J$10:$J$3209,Data!$I$10:$I$3209,"&gt;="&amp;$A2008,Data!$I$10:$I$3209,"&lt;"&amp;$A2008+1)/$AF2008)))</f>
        <v/>
      </c>
      <c r="F2008" s="56">
        <f>IF($B2008=0,"",IF(Inputs!$B$9="","",IF($AG2008=0,F2007,SUMIFS(Data!$N$10:$N$3209,Data!$M$10:$M$3209,"&gt;="&amp;$A2008,Data!$M$10:$M$3209,"&lt;"&amp;$A2008+1)/$AG2008)))</f>
        <v/>
      </c>
      <c r="G2008" s="56">
        <f>IF($B2008=0,"",IF(Inputs!$B$10="","",IF($AH2008=0,G2007,SUMIFS(Data!$R$10:$R$3209,Data!$Q$10:$Q$3209,"&gt;="&amp;$A2008,Data!$Q$10:$Q$3209,"&lt;"&amp;$A2008+1)/$AH2008)))</f>
        <v/>
      </c>
      <c r="I2008" s="54">
        <f>IF($B2008=0,NA(),IF($C2008="",NA(),IF(C$8="",NA(),IF(N(C$8)=0,NA(),IF(Inputs!$C$17="Rebased to 100",$C2008/C$8*100,$C2008)))))</f>
        <v/>
      </c>
      <c r="J2008" s="54">
        <f>IF($B2008=0,NA(),IF($D2008="",NA(),IF(D$8="",NA(),IF(N(D$8)=0,NA(),IF(Inputs!$C$17="Rebased to 100",$D2008/D$8*100,$D2008)))))</f>
        <v/>
      </c>
      <c r="K2008" s="54">
        <f>IF($B2008=0,NA(),IF($E2008="",NA(),IF(E$8="",NA(),IF(N(E$8)=0,NA(),IF(Inputs!$C$17="Rebased to 100",$E2008/E$8*100,$E2008)))))</f>
        <v/>
      </c>
      <c r="L2008" s="54">
        <f>IF($B2008=0,NA(),IF($F2008="",NA(),IF(F$8="",NA(),IF(N(F$8)=0,NA(),IF(Inputs!$C$17="Rebased to 100",$F2008/F$8*100,$F2008)))))</f>
        <v/>
      </c>
      <c r="M2008" s="54">
        <f>IF($B2008=0,NA(),IF($G2008="",NA(),IF(G$8="",NA(),IF(N(G$8)=0,NA(),IF(Inputs!$C$17="Rebased to 100",$G2008/G$8*100,$G2008)))))</f>
        <v/>
      </c>
      <c r="N2008" s="54">
        <f>IF($B2008=0,NA(),IF(Inputs!$C$18&lt;&gt;"Yes",NA(),IF(COUNT(I2008,J2008,K2008,L2008,M2008)=0,NA(),MIN(I2008,J2008,K2008,L2008,M2008))))</f>
        <v/>
      </c>
      <c r="O2008" s="54">
        <f>IF($B2008=0,NA(),IF(Inputs!$B$24&lt;&gt;"Yes",NA(),Inputs!$D$24*Inputs!$C$35))</f>
        <v/>
      </c>
      <c r="P2008" s="54">
        <f>IF($B2008=0,NA(),IF(Inputs!$B$25&lt;&gt;"Yes",NA(),Inputs!$D$25*Inputs!$C$35))</f>
        <v/>
      </c>
      <c r="Q2008" s="54">
        <f>IF($B2008=0,NA(),IF(Inputs!$B$26&lt;&gt;"Yes",NA(),Inputs!$D$26*Inputs!$C$35))</f>
        <v/>
      </c>
      <c r="R2008" s="54">
        <f>IF($B2008=0,NA(),IF(Inputs!$B$27&lt;&gt;"Yes",NA(),Inputs!$D$27*Inputs!$C$35))</f>
        <v/>
      </c>
      <c r="S2008" s="54">
        <f>IF($B2008=0,NA(),IF(Inputs!$B$28&lt;&gt;"Yes",NA(),Inputs!$D$28*Inputs!$C$35))</f>
        <v/>
      </c>
      <c r="T2008" s="54">
        <f>IF($B2008=0,NA(),IF(Inputs!$B$29&lt;&gt;"Yes",NA(),Inputs!$D$29*Inputs!$C$35))</f>
        <v/>
      </c>
      <c r="AD2008">
        <f>IF($B2008=0,0,IF(Inputs!$B$6="",0,COUNTIFS(Data!$A$10:$A$3209,"&gt;="&amp;$A2008,Data!$A$10:$A$3209,"&lt;"&amp;$A2008+1)))</f>
        <v/>
      </c>
      <c r="AE2008">
        <f>IF($B2008=0,0,IF(Inputs!$B$7="",0,COUNTIFS(Data!$E$10:$E$3209,"&gt;="&amp;$A2008,Data!$E$10:$E$3209,"&lt;"&amp;$A2008+1)))</f>
        <v/>
      </c>
      <c r="AF2008">
        <f>IF($B2008=0,0,IF(Inputs!$B$8="",0,COUNTIFS(Data!$I$10:$I$3209,"&gt;="&amp;$A2008,Data!$I$10:$I$3209,"&lt;"&amp;$A2008+1)))</f>
        <v/>
      </c>
      <c r="AG2008">
        <f>IF($B2008=0,0,IF(Inputs!$B$9="",0,COUNTIFS(Data!$M$10:$M$3209,"&gt;="&amp;$A2008,Data!$M$10:$M$3209,"&lt;"&amp;$A2008+1)))</f>
        <v/>
      </c>
      <c r="AH2008">
        <f>IF($B2008=0,0,IF(Inputs!$B$10="",0,COUNTIFS(Data!$Q$10:$Q$3209,"&gt;="&amp;$A2008,Data!$Q$10:$Q$3209,"&lt;"&amp;$A2008+1)))</f>
        <v/>
      </c>
    </row>
    <row r="2009">
      <c r="A2009" s="55">
        <f>MIN(Inputs!$C$15,$A2008+IF(WEEKDAY($A2008,2)=5,3,1))</f>
        <v/>
      </c>
      <c r="B2009">
        <f>IF($A2009&gt;$A2008,1,0)</f>
        <v/>
      </c>
      <c r="C2009" s="56">
        <f>IF($B2009=0,"",IF(Inputs!$B$6="","",IF($AD2009=0,C2008,SUMIFS(Data!$B$10:$B$3209,Data!$A$10:$A$3209,"&gt;="&amp;$A2009,Data!$A$10:$A$3209,"&lt;"&amp;$A2009+1)/$AD2009)))</f>
        <v/>
      </c>
      <c r="D2009" s="56">
        <f>IF($B2009=0,"",IF(Inputs!$B$7="","",IF($AE2009=0,D2008,SUMIFS(Data!$F$10:$F$3209,Data!$E$10:$E$3209,"&gt;="&amp;$A2009,Data!$E$10:$E$3209,"&lt;"&amp;$A2009+1)/$AE2009)))</f>
        <v/>
      </c>
      <c r="E2009" s="56">
        <f>IF($B2009=0,"",IF(Inputs!$B$8="","",IF($AF2009=0,E2008,SUMIFS(Data!$J$10:$J$3209,Data!$I$10:$I$3209,"&gt;="&amp;$A2009,Data!$I$10:$I$3209,"&lt;"&amp;$A2009+1)/$AF2009)))</f>
        <v/>
      </c>
      <c r="F2009" s="56">
        <f>IF($B2009=0,"",IF(Inputs!$B$9="","",IF($AG2009=0,F2008,SUMIFS(Data!$N$10:$N$3209,Data!$M$10:$M$3209,"&gt;="&amp;$A2009,Data!$M$10:$M$3209,"&lt;"&amp;$A2009+1)/$AG2009)))</f>
        <v/>
      </c>
      <c r="G2009" s="56">
        <f>IF($B2009=0,"",IF(Inputs!$B$10="","",IF($AH2009=0,G2008,SUMIFS(Data!$R$10:$R$3209,Data!$Q$10:$Q$3209,"&gt;="&amp;$A2009,Data!$Q$10:$Q$3209,"&lt;"&amp;$A2009+1)/$AH2009)))</f>
        <v/>
      </c>
      <c r="I2009" s="54">
        <f>IF($B2009=0,NA(),IF($C2009="",NA(),IF(C$8="",NA(),IF(N(C$8)=0,NA(),IF(Inputs!$C$17="Rebased to 100",$C2009/C$8*100,$C2009)))))</f>
        <v/>
      </c>
      <c r="J2009" s="54">
        <f>IF($B2009=0,NA(),IF($D2009="",NA(),IF(D$8="",NA(),IF(N(D$8)=0,NA(),IF(Inputs!$C$17="Rebased to 100",$D2009/D$8*100,$D2009)))))</f>
        <v/>
      </c>
      <c r="K2009" s="54">
        <f>IF($B2009=0,NA(),IF($E2009="",NA(),IF(E$8="",NA(),IF(N(E$8)=0,NA(),IF(Inputs!$C$17="Rebased to 100",$E2009/E$8*100,$E2009)))))</f>
        <v/>
      </c>
      <c r="L2009" s="54">
        <f>IF($B2009=0,NA(),IF($F2009="",NA(),IF(F$8="",NA(),IF(N(F$8)=0,NA(),IF(Inputs!$C$17="Rebased to 100",$F2009/F$8*100,$F2009)))))</f>
        <v/>
      </c>
      <c r="M2009" s="54">
        <f>IF($B2009=0,NA(),IF($G2009="",NA(),IF(G$8="",NA(),IF(N(G$8)=0,NA(),IF(Inputs!$C$17="Rebased to 100",$G2009/G$8*100,$G2009)))))</f>
        <v/>
      </c>
      <c r="N2009" s="54">
        <f>IF($B2009=0,NA(),IF(Inputs!$C$18&lt;&gt;"Yes",NA(),IF(COUNT(I2009,J2009,K2009,L2009,M2009)=0,NA(),MIN(I2009,J2009,K2009,L2009,M2009))))</f>
        <v/>
      </c>
      <c r="O2009" s="54">
        <f>IF($B2009=0,NA(),IF(Inputs!$B$24&lt;&gt;"Yes",NA(),Inputs!$D$24*Inputs!$C$35))</f>
        <v/>
      </c>
      <c r="P2009" s="54">
        <f>IF($B2009=0,NA(),IF(Inputs!$B$25&lt;&gt;"Yes",NA(),Inputs!$D$25*Inputs!$C$35))</f>
        <v/>
      </c>
      <c r="Q2009" s="54">
        <f>IF($B2009=0,NA(),IF(Inputs!$B$26&lt;&gt;"Yes",NA(),Inputs!$D$26*Inputs!$C$35))</f>
        <v/>
      </c>
      <c r="R2009" s="54">
        <f>IF($B2009=0,NA(),IF(Inputs!$B$27&lt;&gt;"Yes",NA(),Inputs!$D$27*Inputs!$C$35))</f>
        <v/>
      </c>
      <c r="S2009" s="54">
        <f>IF($B2009=0,NA(),IF(Inputs!$B$28&lt;&gt;"Yes",NA(),Inputs!$D$28*Inputs!$C$35))</f>
        <v/>
      </c>
      <c r="T2009" s="54">
        <f>IF($B2009=0,NA(),IF(Inputs!$B$29&lt;&gt;"Yes",NA(),Inputs!$D$29*Inputs!$C$35))</f>
        <v/>
      </c>
      <c r="AD2009">
        <f>IF($B2009=0,0,IF(Inputs!$B$6="",0,COUNTIFS(Data!$A$10:$A$3209,"&gt;="&amp;$A2009,Data!$A$10:$A$3209,"&lt;"&amp;$A2009+1)))</f>
        <v/>
      </c>
      <c r="AE2009">
        <f>IF($B2009=0,0,IF(Inputs!$B$7="",0,COUNTIFS(Data!$E$10:$E$3209,"&gt;="&amp;$A2009,Data!$E$10:$E$3209,"&lt;"&amp;$A2009+1)))</f>
        <v/>
      </c>
      <c r="AF2009">
        <f>IF($B2009=0,0,IF(Inputs!$B$8="",0,COUNTIFS(Data!$I$10:$I$3209,"&gt;="&amp;$A2009,Data!$I$10:$I$3209,"&lt;"&amp;$A2009+1)))</f>
        <v/>
      </c>
      <c r="AG2009">
        <f>IF($B2009=0,0,IF(Inputs!$B$9="",0,COUNTIFS(Data!$M$10:$M$3209,"&gt;="&amp;$A2009,Data!$M$10:$M$3209,"&lt;"&amp;$A2009+1)))</f>
        <v/>
      </c>
      <c r="AH2009">
        <f>IF($B2009=0,0,IF(Inputs!$B$10="",0,COUNTIFS(Data!$Q$10:$Q$3209,"&gt;="&amp;$A2009,Data!$Q$10:$Q$3209,"&lt;"&amp;$A2009+1)))</f>
        <v/>
      </c>
    </row>
    <row r="2010">
      <c r="A2010" s="55">
        <f>MIN(Inputs!$C$15,$A2009+IF(WEEKDAY($A2009,2)=5,3,1))</f>
        <v/>
      </c>
      <c r="B2010">
        <f>IF($A2010&gt;$A2009,1,0)</f>
        <v/>
      </c>
      <c r="C2010" s="56">
        <f>IF($B2010=0,"",IF(Inputs!$B$6="","",IF($AD2010=0,C2009,SUMIFS(Data!$B$10:$B$3209,Data!$A$10:$A$3209,"&gt;="&amp;$A2010,Data!$A$10:$A$3209,"&lt;"&amp;$A2010+1)/$AD2010)))</f>
        <v/>
      </c>
      <c r="D2010" s="56">
        <f>IF($B2010=0,"",IF(Inputs!$B$7="","",IF($AE2010=0,D2009,SUMIFS(Data!$F$10:$F$3209,Data!$E$10:$E$3209,"&gt;="&amp;$A2010,Data!$E$10:$E$3209,"&lt;"&amp;$A2010+1)/$AE2010)))</f>
        <v/>
      </c>
      <c r="E2010" s="56">
        <f>IF($B2010=0,"",IF(Inputs!$B$8="","",IF($AF2010=0,E2009,SUMIFS(Data!$J$10:$J$3209,Data!$I$10:$I$3209,"&gt;="&amp;$A2010,Data!$I$10:$I$3209,"&lt;"&amp;$A2010+1)/$AF2010)))</f>
        <v/>
      </c>
      <c r="F2010" s="56">
        <f>IF($B2010=0,"",IF(Inputs!$B$9="","",IF($AG2010=0,F2009,SUMIFS(Data!$N$10:$N$3209,Data!$M$10:$M$3209,"&gt;="&amp;$A2010,Data!$M$10:$M$3209,"&lt;"&amp;$A2010+1)/$AG2010)))</f>
        <v/>
      </c>
      <c r="G2010" s="56">
        <f>IF($B2010=0,"",IF(Inputs!$B$10="","",IF($AH2010=0,G2009,SUMIFS(Data!$R$10:$R$3209,Data!$Q$10:$Q$3209,"&gt;="&amp;$A2010,Data!$Q$10:$Q$3209,"&lt;"&amp;$A2010+1)/$AH2010)))</f>
        <v/>
      </c>
      <c r="I2010" s="54">
        <f>IF($B2010=0,NA(),IF($C2010="",NA(),IF(C$8="",NA(),IF(N(C$8)=0,NA(),IF(Inputs!$C$17="Rebased to 100",$C2010/C$8*100,$C2010)))))</f>
        <v/>
      </c>
      <c r="J2010" s="54">
        <f>IF($B2010=0,NA(),IF($D2010="",NA(),IF(D$8="",NA(),IF(N(D$8)=0,NA(),IF(Inputs!$C$17="Rebased to 100",$D2010/D$8*100,$D2010)))))</f>
        <v/>
      </c>
      <c r="K2010" s="54">
        <f>IF($B2010=0,NA(),IF($E2010="",NA(),IF(E$8="",NA(),IF(N(E$8)=0,NA(),IF(Inputs!$C$17="Rebased to 100",$E2010/E$8*100,$E2010)))))</f>
        <v/>
      </c>
      <c r="L2010" s="54">
        <f>IF($B2010=0,NA(),IF($F2010="",NA(),IF(F$8="",NA(),IF(N(F$8)=0,NA(),IF(Inputs!$C$17="Rebased to 100",$F2010/F$8*100,$F2010)))))</f>
        <v/>
      </c>
      <c r="M2010" s="54">
        <f>IF($B2010=0,NA(),IF($G2010="",NA(),IF(G$8="",NA(),IF(N(G$8)=0,NA(),IF(Inputs!$C$17="Rebased to 100",$G2010/G$8*100,$G2010)))))</f>
        <v/>
      </c>
      <c r="N2010" s="54">
        <f>IF($B2010=0,NA(),IF(Inputs!$C$18&lt;&gt;"Yes",NA(),IF(COUNT(I2010,J2010,K2010,L2010,M2010)=0,NA(),MIN(I2010,J2010,K2010,L2010,M2010))))</f>
        <v/>
      </c>
      <c r="O2010" s="54">
        <f>IF($B2010=0,NA(),IF(Inputs!$B$24&lt;&gt;"Yes",NA(),Inputs!$D$24*Inputs!$C$35))</f>
        <v/>
      </c>
      <c r="P2010" s="54">
        <f>IF($B2010=0,NA(),IF(Inputs!$B$25&lt;&gt;"Yes",NA(),Inputs!$D$25*Inputs!$C$35))</f>
        <v/>
      </c>
      <c r="Q2010" s="54">
        <f>IF($B2010=0,NA(),IF(Inputs!$B$26&lt;&gt;"Yes",NA(),Inputs!$D$26*Inputs!$C$35))</f>
        <v/>
      </c>
      <c r="R2010" s="54">
        <f>IF($B2010=0,NA(),IF(Inputs!$B$27&lt;&gt;"Yes",NA(),Inputs!$D$27*Inputs!$C$35))</f>
        <v/>
      </c>
      <c r="S2010" s="54">
        <f>IF($B2010=0,NA(),IF(Inputs!$B$28&lt;&gt;"Yes",NA(),Inputs!$D$28*Inputs!$C$35))</f>
        <v/>
      </c>
      <c r="T2010" s="54">
        <f>IF($B2010=0,NA(),IF(Inputs!$B$29&lt;&gt;"Yes",NA(),Inputs!$D$29*Inputs!$C$35))</f>
        <v/>
      </c>
      <c r="AD2010">
        <f>IF($B2010=0,0,IF(Inputs!$B$6="",0,COUNTIFS(Data!$A$10:$A$3209,"&gt;="&amp;$A2010,Data!$A$10:$A$3209,"&lt;"&amp;$A2010+1)))</f>
        <v/>
      </c>
      <c r="AE2010">
        <f>IF($B2010=0,0,IF(Inputs!$B$7="",0,COUNTIFS(Data!$E$10:$E$3209,"&gt;="&amp;$A2010,Data!$E$10:$E$3209,"&lt;"&amp;$A2010+1)))</f>
        <v/>
      </c>
      <c r="AF2010">
        <f>IF($B2010=0,0,IF(Inputs!$B$8="",0,COUNTIFS(Data!$I$10:$I$3209,"&gt;="&amp;$A2010,Data!$I$10:$I$3209,"&lt;"&amp;$A2010+1)))</f>
        <v/>
      </c>
      <c r="AG2010">
        <f>IF($B2010=0,0,IF(Inputs!$B$9="",0,COUNTIFS(Data!$M$10:$M$3209,"&gt;="&amp;$A2010,Data!$M$10:$M$3209,"&lt;"&amp;$A2010+1)))</f>
        <v/>
      </c>
      <c r="AH2010">
        <f>IF($B2010=0,0,IF(Inputs!$B$10="",0,COUNTIFS(Data!$Q$10:$Q$3209,"&gt;="&amp;$A2010,Data!$Q$10:$Q$3209,"&lt;"&amp;$A2010+1)))</f>
        <v/>
      </c>
    </row>
    <row r="2011">
      <c r="A2011" s="55">
        <f>MIN(Inputs!$C$15,$A2010+IF(WEEKDAY($A2010,2)=5,3,1))</f>
        <v/>
      </c>
      <c r="B2011">
        <f>IF($A2011&gt;$A2010,1,0)</f>
        <v/>
      </c>
      <c r="C2011" s="56">
        <f>IF($B2011=0,"",IF(Inputs!$B$6="","",IF($AD2011=0,C2010,SUMIFS(Data!$B$10:$B$3209,Data!$A$10:$A$3209,"&gt;="&amp;$A2011,Data!$A$10:$A$3209,"&lt;"&amp;$A2011+1)/$AD2011)))</f>
        <v/>
      </c>
      <c r="D2011" s="56">
        <f>IF($B2011=0,"",IF(Inputs!$B$7="","",IF($AE2011=0,D2010,SUMIFS(Data!$F$10:$F$3209,Data!$E$10:$E$3209,"&gt;="&amp;$A2011,Data!$E$10:$E$3209,"&lt;"&amp;$A2011+1)/$AE2011)))</f>
        <v/>
      </c>
      <c r="E2011" s="56">
        <f>IF($B2011=0,"",IF(Inputs!$B$8="","",IF($AF2011=0,E2010,SUMIFS(Data!$J$10:$J$3209,Data!$I$10:$I$3209,"&gt;="&amp;$A2011,Data!$I$10:$I$3209,"&lt;"&amp;$A2011+1)/$AF2011)))</f>
        <v/>
      </c>
      <c r="F2011" s="56">
        <f>IF($B2011=0,"",IF(Inputs!$B$9="","",IF($AG2011=0,F2010,SUMIFS(Data!$N$10:$N$3209,Data!$M$10:$M$3209,"&gt;="&amp;$A2011,Data!$M$10:$M$3209,"&lt;"&amp;$A2011+1)/$AG2011)))</f>
        <v/>
      </c>
      <c r="G2011" s="56">
        <f>IF($B2011=0,"",IF(Inputs!$B$10="","",IF($AH2011=0,G2010,SUMIFS(Data!$R$10:$R$3209,Data!$Q$10:$Q$3209,"&gt;="&amp;$A2011,Data!$Q$10:$Q$3209,"&lt;"&amp;$A2011+1)/$AH2011)))</f>
        <v/>
      </c>
      <c r="I2011" s="54">
        <f>IF($B2011=0,NA(),IF($C2011="",NA(),IF(C$8="",NA(),IF(N(C$8)=0,NA(),IF(Inputs!$C$17="Rebased to 100",$C2011/C$8*100,$C2011)))))</f>
        <v/>
      </c>
      <c r="J2011" s="54">
        <f>IF($B2011=0,NA(),IF($D2011="",NA(),IF(D$8="",NA(),IF(N(D$8)=0,NA(),IF(Inputs!$C$17="Rebased to 100",$D2011/D$8*100,$D2011)))))</f>
        <v/>
      </c>
      <c r="K2011" s="54">
        <f>IF($B2011=0,NA(),IF($E2011="",NA(),IF(E$8="",NA(),IF(N(E$8)=0,NA(),IF(Inputs!$C$17="Rebased to 100",$E2011/E$8*100,$E2011)))))</f>
        <v/>
      </c>
      <c r="L2011" s="54">
        <f>IF($B2011=0,NA(),IF($F2011="",NA(),IF(F$8="",NA(),IF(N(F$8)=0,NA(),IF(Inputs!$C$17="Rebased to 100",$F2011/F$8*100,$F2011)))))</f>
        <v/>
      </c>
      <c r="M2011" s="54">
        <f>IF($B2011=0,NA(),IF($G2011="",NA(),IF(G$8="",NA(),IF(N(G$8)=0,NA(),IF(Inputs!$C$17="Rebased to 100",$G2011/G$8*100,$G2011)))))</f>
        <v/>
      </c>
      <c r="N2011" s="54">
        <f>IF($B2011=0,NA(),IF(Inputs!$C$18&lt;&gt;"Yes",NA(),IF(COUNT(I2011,J2011,K2011,L2011,M2011)=0,NA(),MIN(I2011,J2011,K2011,L2011,M2011))))</f>
        <v/>
      </c>
      <c r="O2011" s="54">
        <f>IF($B2011=0,NA(),IF(Inputs!$B$24&lt;&gt;"Yes",NA(),Inputs!$D$24*Inputs!$C$35))</f>
        <v/>
      </c>
      <c r="P2011" s="54">
        <f>IF($B2011=0,NA(),IF(Inputs!$B$25&lt;&gt;"Yes",NA(),Inputs!$D$25*Inputs!$C$35))</f>
        <v/>
      </c>
      <c r="Q2011" s="54">
        <f>IF($B2011=0,NA(),IF(Inputs!$B$26&lt;&gt;"Yes",NA(),Inputs!$D$26*Inputs!$C$35))</f>
        <v/>
      </c>
      <c r="R2011" s="54">
        <f>IF($B2011=0,NA(),IF(Inputs!$B$27&lt;&gt;"Yes",NA(),Inputs!$D$27*Inputs!$C$35))</f>
        <v/>
      </c>
      <c r="S2011" s="54">
        <f>IF($B2011=0,NA(),IF(Inputs!$B$28&lt;&gt;"Yes",NA(),Inputs!$D$28*Inputs!$C$35))</f>
        <v/>
      </c>
      <c r="T2011" s="54">
        <f>IF($B2011=0,NA(),IF(Inputs!$B$29&lt;&gt;"Yes",NA(),Inputs!$D$29*Inputs!$C$35))</f>
        <v/>
      </c>
      <c r="AD2011">
        <f>IF($B2011=0,0,IF(Inputs!$B$6="",0,COUNTIFS(Data!$A$10:$A$3209,"&gt;="&amp;$A2011,Data!$A$10:$A$3209,"&lt;"&amp;$A2011+1)))</f>
        <v/>
      </c>
      <c r="AE2011">
        <f>IF($B2011=0,0,IF(Inputs!$B$7="",0,COUNTIFS(Data!$E$10:$E$3209,"&gt;="&amp;$A2011,Data!$E$10:$E$3209,"&lt;"&amp;$A2011+1)))</f>
        <v/>
      </c>
      <c r="AF2011">
        <f>IF($B2011=0,0,IF(Inputs!$B$8="",0,COUNTIFS(Data!$I$10:$I$3209,"&gt;="&amp;$A2011,Data!$I$10:$I$3209,"&lt;"&amp;$A2011+1)))</f>
        <v/>
      </c>
      <c r="AG2011">
        <f>IF($B2011=0,0,IF(Inputs!$B$9="",0,COUNTIFS(Data!$M$10:$M$3209,"&gt;="&amp;$A2011,Data!$M$10:$M$3209,"&lt;"&amp;$A2011+1)))</f>
        <v/>
      </c>
      <c r="AH2011">
        <f>IF($B2011=0,0,IF(Inputs!$B$10="",0,COUNTIFS(Data!$Q$10:$Q$3209,"&gt;="&amp;$A2011,Data!$Q$10:$Q$3209,"&lt;"&amp;$A2011+1)))</f>
        <v/>
      </c>
    </row>
    <row r="2012">
      <c r="A2012" s="55">
        <f>MIN(Inputs!$C$15,$A2011+IF(WEEKDAY($A2011,2)=5,3,1))</f>
        <v/>
      </c>
      <c r="B2012">
        <f>IF($A2012&gt;$A2011,1,0)</f>
        <v/>
      </c>
      <c r="C2012" s="56">
        <f>IF($B2012=0,"",IF(Inputs!$B$6="","",IF($AD2012=0,C2011,SUMIFS(Data!$B$10:$B$3209,Data!$A$10:$A$3209,"&gt;="&amp;$A2012,Data!$A$10:$A$3209,"&lt;"&amp;$A2012+1)/$AD2012)))</f>
        <v/>
      </c>
      <c r="D2012" s="56">
        <f>IF($B2012=0,"",IF(Inputs!$B$7="","",IF($AE2012=0,D2011,SUMIFS(Data!$F$10:$F$3209,Data!$E$10:$E$3209,"&gt;="&amp;$A2012,Data!$E$10:$E$3209,"&lt;"&amp;$A2012+1)/$AE2012)))</f>
        <v/>
      </c>
      <c r="E2012" s="56">
        <f>IF($B2012=0,"",IF(Inputs!$B$8="","",IF($AF2012=0,E2011,SUMIFS(Data!$J$10:$J$3209,Data!$I$10:$I$3209,"&gt;="&amp;$A2012,Data!$I$10:$I$3209,"&lt;"&amp;$A2012+1)/$AF2012)))</f>
        <v/>
      </c>
      <c r="F2012" s="56">
        <f>IF($B2012=0,"",IF(Inputs!$B$9="","",IF($AG2012=0,F2011,SUMIFS(Data!$N$10:$N$3209,Data!$M$10:$M$3209,"&gt;="&amp;$A2012,Data!$M$10:$M$3209,"&lt;"&amp;$A2012+1)/$AG2012)))</f>
        <v/>
      </c>
      <c r="G2012" s="56">
        <f>IF($B2012=0,"",IF(Inputs!$B$10="","",IF($AH2012=0,G2011,SUMIFS(Data!$R$10:$R$3209,Data!$Q$10:$Q$3209,"&gt;="&amp;$A2012,Data!$Q$10:$Q$3209,"&lt;"&amp;$A2012+1)/$AH2012)))</f>
        <v/>
      </c>
      <c r="I2012" s="54">
        <f>IF($B2012=0,NA(),IF($C2012="",NA(),IF(C$8="",NA(),IF(N(C$8)=0,NA(),IF(Inputs!$C$17="Rebased to 100",$C2012/C$8*100,$C2012)))))</f>
        <v/>
      </c>
      <c r="J2012" s="54">
        <f>IF($B2012=0,NA(),IF($D2012="",NA(),IF(D$8="",NA(),IF(N(D$8)=0,NA(),IF(Inputs!$C$17="Rebased to 100",$D2012/D$8*100,$D2012)))))</f>
        <v/>
      </c>
      <c r="K2012" s="54">
        <f>IF($B2012=0,NA(),IF($E2012="",NA(),IF(E$8="",NA(),IF(N(E$8)=0,NA(),IF(Inputs!$C$17="Rebased to 100",$E2012/E$8*100,$E2012)))))</f>
        <v/>
      </c>
      <c r="L2012" s="54">
        <f>IF($B2012=0,NA(),IF($F2012="",NA(),IF(F$8="",NA(),IF(N(F$8)=0,NA(),IF(Inputs!$C$17="Rebased to 100",$F2012/F$8*100,$F2012)))))</f>
        <v/>
      </c>
      <c r="M2012" s="54">
        <f>IF($B2012=0,NA(),IF($G2012="",NA(),IF(G$8="",NA(),IF(N(G$8)=0,NA(),IF(Inputs!$C$17="Rebased to 100",$G2012/G$8*100,$G2012)))))</f>
        <v/>
      </c>
      <c r="N2012" s="54">
        <f>IF($B2012=0,NA(),IF(Inputs!$C$18&lt;&gt;"Yes",NA(),IF(COUNT(I2012,J2012,K2012,L2012,M2012)=0,NA(),MIN(I2012,J2012,K2012,L2012,M2012))))</f>
        <v/>
      </c>
      <c r="O2012" s="54">
        <f>IF($B2012=0,NA(),IF(Inputs!$B$24&lt;&gt;"Yes",NA(),Inputs!$D$24*Inputs!$C$35))</f>
        <v/>
      </c>
      <c r="P2012" s="54">
        <f>IF($B2012=0,NA(),IF(Inputs!$B$25&lt;&gt;"Yes",NA(),Inputs!$D$25*Inputs!$C$35))</f>
        <v/>
      </c>
      <c r="Q2012" s="54">
        <f>IF($B2012=0,NA(),IF(Inputs!$B$26&lt;&gt;"Yes",NA(),Inputs!$D$26*Inputs!$C$35))</f>
        <v/>
      </c>
      <c r="R2012" s="54">
        <f>IF($B2012=0,NA(),IF(Inputs!$B$27&lt;&gt;"Yes",NA(),Inputs!$D$27*Inputs!$C$35))</f>
        <v/>
      </c>
      <c r="S2012" s="54">
        <f>IF($B2012=0,NA(),IF(Inputs!$B$28&lt;&gt;"Yes",NA(),Inputs!$D$28*Inputs!$C$35))</f>
        <v/>
      </c>
      <c r="T2012" s="54">
        <f>IF($B2012=0,NA(),IF(Inputs!$B$29&lt;&gt;"Yes",NA(),Inputs!$D$29*Inputs!$C$35))</f>
        <v/>
      </c>
      <c r="AD2012">
        <f>IF($B2012=0,0,IF(Inputs!$B$6="",0,COUNTIFS(Data!$A$10:$A$3209,"&gt;="&amp;$A2012,Data!$A$10:$A$3209,"&lt;"&amp;$A2012+1)))</f>
        <v/>
      </c>
      <c r="AE2012">
        <f>IF($B2012=0,0,IF(Inputs!$B$7="",0,COUNTIFS(Data!$E$10:$E$3209,"&gt;="&amp;$A2012,Data!$E$10:$E$3209,"&lt;"&amp;$A2012+1)))</f>
        <v/>
      </c>
      <c r="AF2012">
        <f>IF($B2012=0,0,IF(Inputs!$B$8="",0,COUNTIFS(Data!$I$10:$I$3209,"&gt;="&amp;$A2012,Data!$I$10:$I$3209,"&lt;"&amp;$A2012+1)))</f>
        <v/>
      </c>
      <c r="AG2012">
        <f>IF($B2012=0,0,IF(Inputs!$B$9="",0,COUNTIFS(Data!$M$10:$M$3209,"&gt;="&amp;$A2012,Data!$M$10:$M$3209,"&lt;"&amp;$A2012+1)))</f>
        <v/>
      </c>
      <c r="AH2012">
        <f>IF($B2012=0,0,IF(Inputs!$B$10="",0,COUNTIFS(Data!$Q$10:$Q$3209,"&gt;="&amp;$A2012,Data!$Q$10:$Q$3209,"&lt;"&amp;$A2012+1)))</f>
        <v/>
      </c>
    </row>
    <row r="2013">
      <c r="A2013" s="55">
        <f>MIN(Inputs!$C$15,$A2012+IF(WEEKDAY($A2012,2)=5,3,1))</f>
        <v/>
      </c>
      <c r="B2013">
        <f>IF($A2013&gt;$A2012,1,0)</f>
        <v/>
      </c>
      <c r="C2013" s="56">
        <f>IF($B2013=0,"",IF(Inputs!$B$6="","",IF($AD2013=0,C2012,SUMIFS(Data!$B$10:$B$3209,Data!$A$10:$A$3209,"&gt;="&amp;$A2013,Data!$A$10:$A$3209,"&lt;"&amp;$A2013+1)/$AD2013)))</f>
        <v/>
      </c>
      <c r="D2013" s="56">
        <f>IF($B2013=0,"",IF(Inputs!$B$7="","",IF($AE2013=0,D2012,SUMIFS(Data!$F$10:$F$3209,Data!$E$10:$E$3209,"&gt;="&amp;$A2013,Data!$E$10:$E$3209,"&lt;"&amp;$A2013+1)/$AE2013)))</f>
        <v/>
      </c>
      <c r="E2013" s="56">
        <f>IF($B2013=0,"",IF(Inputs!$B$8="","",IF($AF2013=0,E2012,SUMIFS(Data!$J$10:$J$3209,Data!$I$10:$I$3209,"&gt;="&amp;$A2013,Data!$I$10:$I$3209,"&lt;"&amp;$A2013+1)/$AF2013)))</f>
        <v/>
      </c>
      <c r="F2013" s="56">
        <f>IF($B2013=0,"",IF(Inputs!$B$9="","",IF($AG2013=0,F2012,SUMIFS(Data!$N$10:$N$3209,Data!$M$10:$M$3209,"&gt;="&amp;$A2013,Data!$M$10:$M$3209,"&lt;"&amp;$A2013+1)/$AG2013)))</f>
        <v/>
      </c>
      <c r="G2013" s="56">
        <f>IF($B2013=0,"",IF(Inputs!$B$10="","",IF($AH2013=0,G2012,SUMIFS(Data!$R$10:$R$3209,Data!$Q$10:$Q$3209,"&gt;="&amp;$A2013,Data!$Q$10:$Q$3209,"&lt;"&amp;$A2013+1)/$AH2013)))</f>
        <v/>
      </c>
      <c r="I2013" s="54">
        <f>IF($B2013=0,NA(),IF($C2013="",NA(),IF(C$8="",NA(),IF(N(C$8)=0,NA(),IF(Inputs!$C$17="Rebased to 100",$C2013/C$8*100,$C2013)))))</f>
        <v/>
      </c>
      <c r="J2013" s="54">
        <f>IF($B2013=0,NA(),IF($D2013="",NA(),IF(D$8="",NA(),IF(N(D$8)=0,NA(),IF(Inputs!$C$17="Rebased to 100",$D2013/D$8*100,$D2013)))))</f>
        <v/>
      </c>
      <c r="K2013" s="54">
        <f>IF($B2013=0,NA(),IF($E2013="",NA(),IF(E$8="",NA(),IF(N(E$8)=0,NA(),IF(Inputs!$C$17="Rebased to 100",$E2013/E$8*100,$E2013)))))</f>
        <v/>
      </c>
      <c r="L2013" s="54">
        <f>IF($B2013=0,NA(),IF($F2013="",NA(),IF(F$8="",NA(),IF(N(F$8)=0,NA(),IF(Inputs!$C$17="Rebased to 100",$F2013/F$8*100,$F2013)))))</f>
        <v/>
      </c>
      <c r="M2013" s="54">
        <f>IF($B2013=0,NA(),IF($G2013="",NA(),IF(G$8="",NA(),IF(N(G$8)=0,NA(),IF(Inputs!$C$17="Rebased to 100",$G2013/G$8*100,$G2013)))))</f>
        <v/>
      </c>
      <c r="N2013" s="54">
        <f>IF($B2013=0,NA(),IF(Inputs!$C$18&lt;&gt;"Yes",NA(),IF(COUNT(I2013,J2013,K2013,L2013,M2013)=0,NA(),MIN(I2013,J2013,K2013,L2013,M2013))))</f>
        <v/>
      </c>
      <c r="O2013" s="54">
        <f>IF($B2013=0,NA(),IF(Inputs!$B$24&lt;&gt;"Yes",NA(),Inputs!$D$24*Inputs!$C$35))</f>
        <v/>
      </c>
      <c r="P2013" s="54">
        <f>IF($B2013=0,NA(),IF(Inputs!$B$25&lt;&gt;"Yes",NA(),Inputs!$D$25*Inputs!$C$35))</f>
        <v/>
      </c>
      <c r="Q2013" s="54">
        <f>IF($B2013=0,NA(),IF(Inputs!$B$26&lt;&gt;"Yes",NA(),Inputs!$D$26*Inputs!$C$35))</f>
        <v/>
      </c>
      <c r="R2013" s="54">
        <f>IF($B2013=0,NA(),IF(Inputs!$B$27&lt;&gt;"Yes",NA(),Inputs!$D$27*Inputs!$C$35))</f>
        <v/>
      </c>
      <c r="S2013" s="54">
        <f>IF($B2013=0,NA(),IF(Inputs!$B$28&lt;&gt;"Yes",NA(),Inputs!$D$28*Inputs!$C$35))</f>
        <v/>
      </c>
      <c r="T2013" s="54">
        <f>IF($B2013=0,NA(),IF(Inputs!$B$29&lt;&gt;"Yes",NA(),Inputs!$D$29*Inputs!$C$35))</f>
        <v/>
      </c>
      <c r="AD2013">
        <f>IF($B2013=0,0,IF(Inputs!$B$6="",0,COUNTIFS(Data!$A$10:$A$3209,"&gt;="&amp;$A2013,Data!$A$10:$A$3209,"&lt;"&amp;$A2013+1)))</f>
        <v/>
      </c>
      <c r="AE2013">
        <f>IF($B2013=0,0,IF(Inputs!$B$7="",0,COUNTIFS(Data!$E$10:$E$3209,"&gt;="&amp;$A2013,Data!$E$10:$E$3209,"&lt;"&amp;$A2013+1)))</f>
        <v/>
      </c>
      <c r="AF2013">
        <f>IF($B2013=0,0,IF(Inputs!$B$8="",0,COUNTIFS(Data!$I$10:$I$3209,"&gt;="&amp;$A2013,Data!$I$10:$I$3209,"&lt;"&amp;$A2013+1)))</f>
        <v/>
      </c>
      <c r="AG2013">
        <f>IF($B2013=0,0,IF(Inputs!$B$9="",0,COUNTIFS(Data!$M$10:$M$3209,"&gt;="&amp;$A2013,Data!$M$10:$M$3209,"&lt;"&amp;$A2013+1)))</f>
        <v/>
      </c>
      <c r="AH2013">
        <f>IF($B2013=0,0,IF(Inputs!$B$10="",0,COUNTIFS(Data!$Q$10:$Q$3209,"&gt;="&amp;$A2013,Data!$Q$10:$Q$3209,"&lt;"&amp;$A2013+1)))</f>
        <v/>
      </c>
    </row>
    <row r="2014">
      <c r="A2014" s="55">
        <f>MIN(Inputs!$C$15,$A2013+IF(WEEKDAY($A2013,2)=5,3,1))</f>
        <v/>
      </c>
      <c r="B2014">
        <f>IF($A2014&gt;$A2013,1,0)</f>
        <v/>
      </c>
      <c r="C2014" s="56">
        <f>IF($B2014=0,"",IF(Inputs!$B$6="","",IF($AD2014=0,C2013,SUMIFS(Data!$B$10:$B$3209,Data!$A$10:$A$3209,"&gt;="&amp;$A2014,Data!$A$10:$A$3209,"&lt;"&amp;$A2014+1)/$AD2014)))</f>
        <v/>
      </c>
      <c r="D2014" s="56">
        <f>IF($B2014=0,"",IF(Inputs!$B$7="","",IF($AE2014=0,D2013,SUMIFS(Data!$F$10:$F$3209,Data!$E$10:$E$3209,"&gt;="&amp;$A2014,Data!$E$10:$E$3209,"&lt;"&amp;$A2014+1)/$AE2014)))</f>
        <v/>
      </c>
      <c r="E2014" s="56">
        <f>IF($B2014=0,"",IF(Inputs!$B$8="","",IF($AF2014=0,E2013,SUMIFS(Data!$J$10:$J$3209,Data!$I$10:$I$3209,"&gt;="&amp;$A2014,Data!$I$10:$I$3209,"&lt;"&amp;$A2014+1)/$AF2014)))</f>
        <v/>
      </c>
      <c r="F2014" s="56">
        <f>IF($B2014=0,"",IF(Inputs!$B$9="","",IF($AG2014=0,F2013,SUMIFS(Data!$N$10:$N$3209,Data!$M$10:$M$3209,"&gt;="&amp;$A2014,Data!$M$10:$M$3209,"&lt;"&amp;$A2014+1)/$AG2014)))</f>
        <v/>
      </c>
      <c r="G2014" s="56">
        <f>IF($B2014=0,"",IF(Inputs!$B$10="","",IF($AH2014=0,G2013,SUMIFS(Data!$R$10:$R$3209,Data!$Q$10:$Q$3209,"&gt;="&amp;$A2014,Data!$Q$10:$Q$3209,"&lt;"&amp;$A2014+1)/$AH2014)))</f>
        <v/>
      </c>
      <c r="I2014" s="54">
        <f>IF($B2014=0,NA(),IF($C2014="",NA(),IF(C$8="",NA(),IF(N(C$8)=0,NA(),IF(Inputs!$C$17="Rebased to 100",$C2014/C$8*100,$C2014)))))</f>
        <v/>
      </c>
      <c r="J2014" s="54">
        <f>IF($B2014=0,NA(),IF($D2014="",NA(),IF(D$8="",NA(),IF(N(D$8)=0,NA(),IF(Inputs!$C$17="Rebased to 100",$D2014/D$8*100,$D2014)))))</f>
        <v/>
      </c>
      <c r="K2014" s="54">
        <f>IF($B2014=0,NA(),IF($E2014="",NA(),IF(E$8="",NA(),IF(N(E$8)=0,NA(),IF(Inputs!$C$17="Rebased to 100",$E2014/E$8*100,$E2014)))))</f>
        <v/>
      </c>
      <c r="L2014" s="54">
        <f>IF($B2014=0,NA(),IF($F2014="",NA(),IF(F$8="",NA(),IF(N(F$8)=0,NA(),IF(Inputs!$C$17="Rebased to 100",$F2014/F$8*100,$F2014)))))</f>
        <v/>
      </c>
      <c r="M2014" s="54">
        <f>IF($B2014=0,NA(),IF($G2014="",NA(),IF(G$8="",NA(),IF(N(G$8)=0,NA(),IF(Inputs!$C$17="Rebased to 100",$G2014/G$8*100,$G2014)))))</f>
        <v/>
      </c>
      <c r="N2014" s="54">
        <f>IF($B2014=0,NA(),IF(Inputs!$C$18&lt;&gt;"Yes",NA(),IF(COUNT(I2014,J2014,K2014,L2014,M2014)=0,NA(),MIN(I2014,J2014,K2014,L2014,M2014))))</f>
        <v/>
      </c>
      <c r="O2014" s="54">
        <f>IF($B2014=0,NA(),IF(Inputs!$B$24&lt;&gt;"Yes",NA(),Inputs!$D$24*Inputs!$C$35))</f>
        <v/>
      </c>
      <c r="P2014" s="54">
        <f>IF($B2014=0,NA(),IF(Inputs!$B$25&lt;&gt;"Yes",NA(),Inputs!$D$25*Inputs!$C$35))</f>
        <v/>
      </c>
      <c r="Q2014" s="54">
        <f>IF($B2014=0,NA(),IF(Inputs!$B$26&lt;&gt;"Yes",NA(),Inputs!$D$26*Inputs!$C$35))</f>
        <v/>
      </c>
      <c r="R2014" s="54">
        <f>IF($B2014=0,NA(),IF(Inputs!$B$27&lt;&gt;"Yes",NA(),Inputs!$D$27*Inputs!$C$35))</f>
        <v/>
      </c>
      <c r="S2014" s="54">
        <f>IF($B2014=0,NA(),IF(Inputs!$B$28&lt;&gt;"Yes",NA(),Inputs!$D$28*Inputs!$C$35))</f>
        <v/>
      </c>
      <c r="T2014" s="54">
        <f>IF($B2014=0,NA(),IF(Inputs!$B$29&lt;&gt;"Yes",NA(),Inputs!$D$29*Inputs!$C$35))</f>
        <v/>
      </c>
      <c r="AD2014">
        <f>IF($B2014=0,0,IF(Inputs!$B$6="",0,COUNTIFS(Data!$A$10:$A$3209,"&gt;="&amp;$A2014,Data!$A$10:$A$3209,"&lt;"&amp;$A2014+1)))</f>
        <v/>
      </c>
      <c r="AE2014">
        <f>IF($B2014=0,0,IF(Inputs!$B$7="",0,COUNTIFS(Data!$E$10:$E$3209,"&gt;="&amp;$A2014,Data!$E$10:$E$3209,"&lt;"&amp;$A2014+1)))</f>
        <v/>
      </c>
      <c r="AF2014">
        <f>IF($B2014=0,0,IF(Inputs!$B$8="",0,COUNTIFS(Data!$I$10:$I$3209,"&gt;="&amp;$A2014,Data!$I$10:$I$3209,"&lt;"&amp;$A2014+1)))</f>
        <v/>
      </c>
      <c r="AG2014">
        <f>IF($B2014=0,0,IF(Inputs!$B$9="",0,COUNTIFS(Data!$M$10:$M$3209,"&gt;="&amp;$A2014,Data!$M$10:$M$3209,"&lt;"&amp;$A2014+1)))</f>
        <v/>
      </c>
      <c r="AH2014">
        <f>IF($B2014=0,0,IF(Inputs!$B$10="",0,COUNTIFS(Data!$Q$10:$Q$3209,"&gt;="&amp;$A2014,Data!$Q$10:$Q$3209,"&lt;"&amp;$A2014+1)))</f>
        <v/>
      </c>
    </row>
    <row r="2015">
      <c r="A2015" s="55">
        <f>MIN(Inputs!$C$15,$A2014+IF(WEEKDAY($A2014,2)=5,3,1))</f>
        <v/>
      </c>
      <c r="B2015">
        <f>IF($A2015&gt;$A2014,1,0)</f>
        <v/>
      </c>
      <c r="C2015" s="56">
        <f>IF($B2015=0,"",IF(Inputs!$B$6="","",IF($AD2015=0,C2014,SUMIFS(Data!$B$10:$B$3209,Data!$A$10:$A$3209,"&gt;="&amp;$A2015,Data!$A$10:$A$3209,"&lt;"&amp;$A2015+1)/$AD2015)))</f>
        <v/>
      </c>
      <c r="D2015" s="56">
        <f>IF($B2015=0,"",IF(Inputs!$B$7="","",IF($AE2015=0,D2014,SUMIFS(Data!$F$10:$F$3209,Data!$E$10:$E$3209,"&gt;="&amp;$A2015,Data!$E$10:$E$3209,"&lt;"&amp;$A2015+1)/$AE2015)))</f>
        <v/>
      </c>
      <c r="E2015" s="56">
        <f>IF($B2015=0,"",IF(Inputs!$B$8="","",IF($AF2015=0,E2014,SUMIFS(Data!$J$10:$J$3209,Data!$I$10:$I$3209,"&gt;="&amp;$A2015,Data!$I$10:$I$3209,"&lt;"&amp;$A2015+1)/$AF2015)))</f>
        <v/>
      </c>
      <c r="F2015" s="56">
        <f>IF($B2015=0,"",IF(Inputs!$B$9="","",IF($AG2015=0,F2014,SUMIFS(Data!$N$10:$N$3209,Data!$M$10:$M$3209,"&gt;="&amp;$A2015,Data!$M$10:$M$3209,"&lt;"&amp;$A2015+1)/$AG2015)))</f>
        <v/>
      </c>
      <c r="G2015" s="56">
        <f>IF($B2015=0,"",IF(Inputs!$B$10="","",IF($AH2015=0,G2014,SUMIFS(Data!$R$10:$R$3209,Data!$Q$10:$Q$3209,"&gt;="&amp;$A2015,Data!$Q$10:$Q$3209,"&lt;"&amp;$A2015+1)/$AH2015)))</f>
        <v/>
      </c>
      <c r="I2015" s="54">
        <f>IF($B2015=0,NA(),IF($C2015="",NA(),IF(C$8="",NA(),IF(N(C$8)=0,NA(),IF(Inputs!$C$17="Rebased to 100",$C2015/C$8*100,$C2015)))))</f>
        <v/>
      </c>
      <c r="J2015" s="54">
        <f>IF($B2015=0,NA(),IF($D2015="",NA(),IF(D$8="",NA(),IF(N(D$8)=0,NA(),IF(Inputs!$C$17="Rebased to 100",$D2015/D$8*100,$D2015)))))</f>
        <v/>
      </c>
      <c r="K2015" s="54">
        <f>IF($B2015=0,NA(),IF($E2015="",NA(),IF(E$8="",NA(),IF(N(E$8)=0,NA(),IF(Inputs!$C$17="Rebased to 100",$E2015/E$8*100,$E2015)))))</f>
        <v/>
      </c>
      <c r="L2015" s="54">
        <f>IF($B2015=0,NA(),IF($F2015="",NA(),IF(F$8="",NA(),IF(N(F$8)=0,NA(),IF(Inputs!$C$17="Rebased to 100",$F2015/F$8*100,$F2015)))))</f>
        <v/>
      </c>
      <c r="M2015" s="54">
        <f>IF($B2015=0,NA(),IF($G2015="",NA(),IF(G$8="",NA(),IF(N(G$8)=0,NA(),IF(Inputs!$C$17="Rebased to 100",$G2015/G$8*100,$G2015)))))</f>
        <v/>
      </c>
      <c r="N2015" s="54">
        <f>IF($B2015=0,NA(),IF(Inputs!$C$18&lt;&gt;"Yes",NA(),IF(COUNT(I2015,J2015,K2015,L2015,M2015)=0,NA(),MIN(I2015,J2015,K2015,L2015,M2015))))</f>
        <v/>
      </c>
      <c r="O2015" s="54">
        <f>IF($B2015=0,NA(),IF(Inputs!$B$24&lt;&gt;"Yes",NA(),Inputs!$D$24*Inputs!$C$35))</f>
        <v/>
      </c>
      <c r="P2015" s="54">
        <f>IF($B2015=0,NA(),IF(Inputs!$B$25&lt;&gt;"Yes",NA(),Inputs!$D$25*Inputs!$C$35))</f>
        <v/>
      </c>
      <c r="Q2015" s="54">
        <f>IF($B2015=0,NA(),IF(Inputs!$B$26&lt;&gt;"Yes",NA(),Inputs!$D$26*Inputs!$C$35))</f>
        <v/>
      </c>
      <c r="R2015" s="54">
        <f>IF($B2015=0,NA(),IF(Inputs!$B$27&lt;&gt;"Yes",NA(),Inputs!$D$27*Inputs!$C$35))</f>
        <v/>
      </c>
      <c r="S2015" s="54">
        <f>IF($B2015=0,NA(),IF(Inputs!$B$28&lt;&gt;"Yes",NA(),Inputs!$D$28*Inputs!$C$35))</f>
        <v/>
      </c>
      <c r="T2015" s="54">
        <f>IF($B2015=0,NA(),IF(Inputs!$B$29&lt;&gt;"Yes",NA(),Inputs!$D$29*Inputs!$C$35))</f>
        <v/>
      </c>
      <c r="AD2015">
        <f>IF($B2015=0,0,IF(Inputs!$B$6="",0,COUNTIFS(Data!$A$10:$A$3209,"&gt;="&amp;$A2015,Data!$A$10:$A$3209,"&lt;"&amp;$A2015+1)))</f>
        <v/>
      </c>
      <c r="AE2015">
        <f>IF($B2015=0,0,IF(Inputs!$B$7="",0,COUNTIFS(Data!$E$10:$E$3209,"&gt;="&amp;$A2015,Data!$E$10:$E$3209,"&lt;"&amp;$A2015+1)))</f>
        <v/>
      </c>
      <c r="AF2015">
        <f>IF($B2015=0,0,IF(Inputs!$B$8="",0,COUNTIFS(Data!$I$10:$I$3209,"&gt;="&amp;$A2015,Data!$I$10:$I$3209,"&lt;"&amp;$A2015+1)))</f>
        <v/>
      </c>
      <c r="AG2015">
        <f>IF($B2015=0,0,IF(Inputs!$B$9="",0,COUNTIFS(Data!$M$10:$M$3209,"&gt;="&amp;$A2015,Data!$M$10:$M$3209,"&lt;"&amp;$A2015+1)))</f>
        <v/>
      </c>
      <c r="AH2015">
        <f>IF($B2015=0,0,IF(Inputs!$B$10="",0,COUNTIFS(Data!$Q$10:$Q$3209,"&gt;="&amp;$A2015,Data!$Q$10:$Q$3209,"&lt;"&amp;$A2015+1)))</f>
        <v/>
      </c>
    </row>
    <row r="2016">
      <c r="A2016" s="55">
        <f>MIN(Inputs!$C$15,$A2015+IF(WEEKDAY($A2015,2)=5,3,1))</f>
        <v/>
      </c>
      <c r="B2016">
        <f>IF($A2016&gt;$A2015,1,0)</f>
        <v/>
      </c>
      <c r="C2016" s="56">
        <f>IF($B2016=0,"",IF(Inputs!$B$6="","",IF($AD2016=0,C2015,SUMIFS(Data!$B$10:$B$3209,Data!$A$10:$A$3209,"&gt;="&amp;$A2016,Data!$A$10:$A$3209,"&lt;"&amp;$A2016+1)/$AD2016)))</f>
        <v/>
      </c>
      <c r="D2016" s="56">
        <f>IF($B2016=0,"",IF(Inputs!$B$7="","",IF($AE2016=0,D2015,SUMIFS(Data!$F$10:$F$3209,Data!$E$10:$E$3209,"&gt;="&amp;$A2016,Data!$E$10:$E$3209,"&lt;"&amp;$A2016+1)/$AE2016)))</f>
        <v/>
      </c>
      <c r="E2016" s="56">
        <f>IF($B2016=0,"",IF(Inputs!$B$8="","",IF($AF2016=0,E2015,SUMIFS(Data!$J$10:$J$3209,Data!$I$10:$I$3209,"&gt;="&amp;$A2016,Data!$I$10:$I$3209,"&lt;"&amp;$A2016+1)/$AF2016)))</f>
        <v/>
      </c>
      <c r="F2016" s="56">
        <f>IF($B2016=0,"",IF(Inputs!$B$9="","",IF($AG2016=0,F2015,SUMIFS(Data!$N$10:$N$3209,Data!$M$10:$M$3209,"&gt;="&amp;$A2016,Data!$M$10:$M$3209,"&lt;"&amp;$A2016+1)/$AG2016)))</f>
        <v/>
      </c>
      <c r="G2016" s="56">
        <f>IF($B2016=0,"",IF(Inputs!$B$10="","",IF($AH2016=0,G2015,SUMIFS(Data!$R$10:$R$3209,Data!$Q$10:$Q$3209,"&gt;="&amp;$A2016,Data!$Q$10:$Q$3209,"&lt;"&amp;$A2016+1)/$AH2016)))</f>
        <v/>
      </c>
      <c r="I2016" s="54">
        <f>IF($B2016=0,NA(),IF($C2016="",NA(),IF(C$8="",NA(),IF(N(C$8)=0,NA(),IF(Inputs!$C$17="Rebased to 100",$C2016/C$8*100,$C2016)))))</f>
        <v/>
      </c>
      <c r="J2016" s="54">
        <f>IF($B2016=0,NA(),IF($D2016="",NA(),IF(D$8="",NA(),IF(N(D$8)=0,NA(),IF(Inputs!$C$17="Rebased to 100",$D2016/D$8*100,$D2016)))))</f>
        <v/>
      </c>
      <c r="K2016" s="54">
        <f>IF($B2016=0,NA(),IF($E2016="",NA(),IF(E$8="",NA(),IF(N(E$8)=0,NA(),IF(Inputs!$C$17="Rebased to 100",$E2016/E$8*100,$E2016)))))</f>
        <v/>
      </c>
      <c r="L2016" s="54">
        <f>IF($B2016=0,NA(),IF($F2016="",NA(),IF(F$8="",NA(),IF(N(F$8)=0,NA(),IF(Inputs!$C$17="Rebased to 100",$F2016/F$8*100,$F2016)))))</f>
        <v/>
      </c>
      <c r="M2016" s="54">
        <f>IF($B2016=0,NA(),IF($G2016="",NA(),IF(G$8="",NA(),IF(N(G$8)=0,NA(),IF(Inputs!$C$17="Rebased to 100",$G2016/G$8*100,$G2016)))))</f>
        <v/>
      </c>
      <c r="N2016" s="54">
        <f>IF($B2016=0,NA(),IF(Inputs!$C$18&lt;&gt;"Yes",NA(),IF(COUNT(I2016,J2016,K2016,L2016,M2016)=0,NA(),MIN(I2016,J2016,K2016,L2016,M2016))))</f>
        <v/>
      </c>
      <c r="O2016" s="54">
        <f>IF($B2016=0,NA(),IF(Inputs!$B$24&lt;&gt;"Yes",NA(),Inputs!$D$24*Inputs!$C$35))</f>
        <v/>
      </c>
      <c r="P2016" s="54">
        <f>IF($B2016=0,NA(),IF(Inputs!$B$25&lt;&gt;"Yes",NA(),Inputs!$D$25*Inputs!$C$35))</f>
        <v/>
      </c>
      <c r="Q2016" s="54">
        <f>IF($B2016=0,NA(),IF(Inputs!$B$26&lt;&gt;"Yes",NA(),Inputs!$D$26*Inputs!$C$35))</f>
        <v/>
      </c>
      <c r="R2016" s="54">
        <f>IF($B2016=0,NA(),IF(Inputs!$B$27&lt;&gt;"Yes",NA(),Inputs!$D$27*Inputs!$C$35))</f>
        <v/>
      </c>
      <c r="S2016" s="54">
        <f>IF($B2016=0,NA(),IF(Inputs!$B$28&lt;&gt;"Yes",NA(),Inputs!$D$28*Inputs!$C$35))</f>
        <v/>
      </c>
      <c r="T2016" s="54">
        <f>IF($B2016=0,NA(),IF(Inputs!$B$29&lt;&gt;"Yes",NA(),Inputs!$D$29*Inputs!$C$35))</f>
        <v/>
      </c>
      <c r="AD2016">
        <f>IF($B2016=0,0,IF(Inputs!$B$6="",0,COUNTIFS(Data!$A$10:$A$3209,"&gt;="&amp;$A2016,Data!$A$10:$A$3209,"&lt;"&amp;$A2016+1)))</f>
        <v/>
      </c>
      <c r="AE2016">
        <f>IF($B2016=0,0,IF(Inputs!$B$7="",0,COUNTIFS(Data!$E$10:$E$3209,"&gt;="&amp;$A2016,Data!$E$10:$E$3209,"&lt;"&amp;$A2016+1)))</f>
        <v/>
      </c>
      <c r="AF2016">
        <f>IF($B2016=0,0,IF(Inputs!$B$8="",0,COUNTIFS(Data!$I$10:$I$3209,"&gt;="&amp;$A2016,Data!$I$10:$I$3209,"&lt;"&amp;$A2016+1)))</f>
        <v/>
      </c>
      <c r="AG2016">
        <f>IF($B2016=0,0,IF(Inputs!$B$9="",0,COUNTIFS(Data!$M$10:$M$3209,"&gt;="&amp;$A2016,Data!$M$10:$M$3209,"&lt;"&amp;$A2016+1)))</f>
        <v/>
      </c>
      <c r="AH2016">
        <f>IF($B2016=0,0,IF(Inputs!$B$10="",0,COUNTIFS(Data!$Q$10:$Q$3209,"&gt;="&amp;$A2016,Data!$Q$10:$Q$3209,"&lt;"&amp;$A2016+1)))</f>
        <v/>
      </c>
    </row>
    <row r="2017">
      <c r="A2017" s="55">
        <f>MIN(Inputs!$C$15,$A2016+IF(WEEKDAY($A2016,2)=5,3,1))</f>
        <v/>
      </c>
      <c r="B2017">
        <f>IF($A2017&gt;$A2016,1,0)</f>
        <v/>
      </c>
      <c r="C2017" s="56">
        <f>IF($B2017=0,"",IF(Inputs!$B$6="","",IF($AD2017=0,C2016,SUMIFS(Data!$B$10:$B$3209,Data!$A$10:$A$3209,"&gt;="&amp;$A2017,Data!$A$10:$A$3209,"&lt;"&amp;$A2017+1)/$AD2017)))</f>
        <v/>
      </c>
      <c r="D2017" s="56">
        <f>IF($B2017=0,"",IF(Inputs!$B$7="","",IF($AE2017=0,D2016,SUMIFS(Data!$F$10:$F$3209,Data!$E$10:$E$3209,"&gt;="&amp;$A2017,Data!$E$10:$E$3209,"&lt;"&amp;$A2017+1)/$AE2017)))</f>
        <v/>
      </c>
      <c r="E2017" s="56">
        <f>IF($B2017=0,"",IF(Inputs!$B$8="","",IF($AF2017=0,E2016,SUMIFS(Data!$J$10:$J$3209,Data!$I$10:$I$3209,"&gt;="&amp;$A2017,Data!$I$10:$I$3209,"&lt;"&amp;$A2017+1)/$AF2017)))</f>
        <v/>
      </c>
      <c r="F2017" s="56">
        <f>IF($B2017=0,"",IF(Inputs!$B$9="","",IF($AG2017=0,F2016,SUMIFS(Data!$N$10:$N$3209,Data!$M$10:$M$3209,"&gt;="&amp;$A2017,Data!$M$10:$M$3209,"&lt;"&amp;$A2017+1)/$AG2017)))</f>
        <v/>
      </c>
      <c r="G2017" s="56">
        <f>IF($B2017=0,"",IF(Inputs!$B$10="","",IF($AH2017=0,G2016,SUMIFS(Data!$R$10:$R$3209,Data!$Q$10:$Q$3209,"&gt;="&amp;$A2017,Data!$Q$10:$Q$3209,"&lt;"&amp;$A2017+1)/$AH2017)))</f>
        <v/>
      </c>
      <c r="I2017" s="54">
        <f>IF($B2017=0,NA(),IF($C2017="",NA(),IF(C$8="",NA(),IF(N(C$8)=0,NA(),IF(Inputs!$C$17="Rebased to 100",$C2017/C$8*100,$C2017)))))</f>
        <v/>
      </c>
      <c r="J2017" s="54">
        <f>IF($B2017=0,NA(),IF($D2017="",NA(),IF(D$8="",NA(),IF(N(D$8)=0,NA(),IF(Inputs!$C$17="Rebased to 100",$D2017/D$8*100,$D2017)))))</f>
        <v/>
      </c>
      <c r="K2017" s="54">
        <f>IF($B2017=0,NA(),IF($E2017="",NA(),IF(E$8="",NA(),IF(N(E$8)=0,NA(),IF(Inputs!$C$17="Rebased to 100",$E2017/E$8*100,$E2017)))))</f>
        <v/>
      </c>
      <c r="L2017" s="54">
        <f>IF($B2017=0,NA(),IF($F2017="",NA(),IF(F$8="",NA(),IF(N(F$8)=0,NA(),IF(Inputs!$C$17="Rebased to 100",$F2017/F$8*100,$F2017)))))</f>
        <v/>
      </c>
      <c r="M2017" s="54">
        <f>IF($B2017=0,NA(),IF($G2017="",NA(),IF(G$8="",NA(),IF(N(G$8)=0,NA(),IF(Inputs!$C$17="Rebased to 100",$G2017/G$8*100,$G2017)))))</f>
        <v/>
      </c>
      <c r="N2017" s="54">
        <f>IF($B2017=0,NA(),IF(Inputs!$C$18&lt;&gt;"Yes",NA(),IF(COUNT(I2017,J2017,K2017,L2017,M2017)=0,NA(),MIN(I2017,J2017,K2017,L2017,M2017))))</f>
        <v/>
      </c>
      <c r="O2017" s="54">
        <f>IF($B2017=0,NA(),IF(Inputs!$B$24&lt;&gt;"Yes",NA(),Inputs!$D$24*Inputs!$C$35))</f>
        <v/>
      </c>
      <c r="P2017" s="54">
        <f>IF($B2017=0,NA(),IF(Inputs!$B$25&lt;&gt;"Yes",NA(),Inputs!$D$25*Inputs!$C$35))</f>
        <v/>
      </c>
      <c r="Q2017" s="54">
        <f>IF($B2017=0,NA(),IF(Inputs!$B$26&lt;&gt;"Yes",NA(),Inputs!$D$26*Inputs!$C$35))</f>
        <v/>
      </c>
      <c r="R2017" s="54">
        <f>IF($B2017=0,NA(),IF(Inputs!$B$27&lt;&gt;"Yes",NA(),Inputs!$D$27*Inputs!$C$35))</f>
        <v/>
      </c>
      <c r="S2017" s="54">
        <f>IF($B2017=0,NA(),IF(Inputs!$B$28&lt;&gt;"Yes",NA(),Inputs!$D$28*Inputs!$C$35))</f>
        <v/>
      </c>
      <c r="T2017" s="54">
        <f>IF($B2017=0,NA(),IF(Inputs!$B$29&lt;&gt;"Yes",NA(),Inputs!$D$29*Inputs!$C$35))</f>
        <v/>
      </c>
      <c r="AD2017">
        <f>IF($B2017=0,0,IF(Inputs!$B$6="",0,COUNTIFS(Data!$A$10:$A$3209,"&gt;="&amp;$A2017,Data!$A$10:$A$3209,"&lt;"&amp;$A2017+1)))</f>
        <v/>
      </c>
      <c r="AE2017">
        <f>IF($B2017=0,0,IF(Inputs!$B$7="",0,COUNTIFS(Data!$E$10:$E$3209,"&gt;="&amp;$A2017,Data!$E$10:$E$3209,"&lt;"&amp;$A2017+1)))</f>
        <v/>
      </c>
      <c r="AF2017">
        <f>IF($B2017=0,0,IF(Inputs!$B$8="",0,COUNTIFS(Data!$I$10:$I$3209,"&gt;="&amp;$A2017,Data!$I$10:$I$3209,"&lt;"&amp;$A2017+1)))</f>
        <v/>
      </c>
      <c r="AG2017">
        <f>IF($B2017=0,0,IF(Inputs!$B$9="",0,COUNTIFS(Data!$M$10:$M$3209,"&gt;="&amp;$A2017,Data!$M$10:$M$3209,"&lt;"&amp;$A2017+1)))</f>
        <v/>
      </c>
      <c r="AH2017">
        <f>IF($B2017=0,0,IF(Inputs!$B$10="",0,COUNTIFS(Data!$Q$10:$Q$3209,"&gt;="&amp;$A2017,Data!$Q$10:$Q$3209,"&lt;"&amp;$A2017+1)))</f>
        <v/>
      </c>
    </row>
    <row r="2018">
      <c r="A2018" s="55">
        <f>MIN(Inputs!$C$15,$A2017+IF(WEEKDAY($A2017,2)=5,3,1))</f>
        <v/>
      </c>
      <c r="B2018">
        <f>IF($A2018&gt;$A2017,1,0)</f>
        <v/>
      </c>
      <c r="C2018" s="56">
        <f>IF($B2018=0,"",IF(Inputs!$B$6="","",IF($AD2018=0,C2017,SUMIFS(Data!$B$10:$B$3209,Data!$A$10:$A$3209,"&gt;="&amp;$A2018,Data!$A$10:$A$3209,"&lt;"&amp;$A2018+1)/$AD2018)))</f>
        <v/>
      </c>
      <c r="D2018" s="56">
        <f>IF($B2018=0,"",IF(Inputs!$B$7="","",IF($AE2018=0,D2017,SUMIFS(Data!$F$10:$F$3209,Data!$E$10:$E$3209,"&gt;="&amp;$A2018,Data!$E$10:$E$3209,"&lt;"&amp;$A2018+1)/$AE2018)))</f>
        <v/>
      </c>
      <c r="E2018" s="56">
        <f>IF($B2018=0,"",IF(Inputs!$B$8="","",IF($AF2018=0,E2017,SUMIFS(Data!$J$10:$J$3209,Data!$I$10:$I$3209,"&gt;="&amp;$A2018,Data!$I$10:$I$3209,"&lt;"&amp;$A2018+1)/$AF2018)))</f>
        <v/>
      </c>
      <c r="F2018" s="56">
        <f>IF($B2018=0,"",IF(Inputs!$B$9="","",IF($AG2018=0,F2017,SUMIFS(Data!$N$10:$N$3209,Data!$M$10:$M$3209,"&gt;="&amp;$A2018,Data!$M$10:$M$3209,"&lt;"&amp;$A2018+1)/$AG2018)))</f>
        <v/>
      </c>
      <c r="G2018" s="56">
        <f>IF($B2018=0,"",IF(Inputs!$B$10="","",IF($AH2018=0,G2017,SUMIFS(Data!$R$10:$R$3209,Data!$Q$10:$Q$3209,"&gt;="&amp;$A2018,Data!$Q$10:$Q$3209,"&lt;"&amp;$A2018+1)/$AH2018)))</f>
        <v/>
      </c>
      <c r="I2018" s="54">
        <f>IF($B2018=0,NA(),IF($C2018="",NA(),IF(C$8="",NA(),IF(N(C$8)=0,NA(),IF(Inputs!$C$17="Rebased to 100",$C2018/C$8*100,$C2018)))))</f>
        <v/>
      </c>
      <c r="J2018" s="54">
        <f>IF($B2018=0,NA(),IF($D2018="",NA(),IF(D$8="",NA(),IF(N(D$8)=0,NA(),IF(Inputs!$C$17="Rebased to 100",$D2018/D$8*100,$D2018)))))</f>
        <v/>
      </c>
      <c r="K2018" s="54">
        <f>IF($B2018=0,NA(),IF($E2018="",NA(),IF(E$8="",NA(),IF(N(E$8)=0,NA(),IF(Inputs!$C$17="Rebased to 100",$E2018/E$8*100,$E2018)))))</f>
        <v/>
      </c>
      <c r="L2018" s="54">
        <f>IF($B2018=0,NA(),IF($F2018="",NA(),IF(F$8="",NA(),IF(N(F$8)=0,NA(),IF(Inputs!$C$17="Rebased to 100",$F2018/F$8*100,$F2018)))))</f>
        <v/>
      </c>
      <c r="M2018" s="54">
        <f>IF($B2018=0,NA(),IF($G2018="",NA(),IF(G$8="",NA(),IF(N(G$8)=0,NA(),IF(Inputs!$C$17="Rebased to 100",$G2018/G$8*100,$G2018)))))</f>
        <v/>
      </c>
      <c r="N2018" s="54">
        <f>IF($B2018=0,NA(),IF(Inputs!$C$18&lt;&gt;"Yes",NA(),IF(COUNT(I2018,J2018,K2018,L2018,M2018)=0,NA(),MIN(I2018,J2018,K2018,L2018,M2018))))</f>
        <v/>
      </c>
      <c r="O2018" s="54">
        <f>IF($B2018=0,NA(),IF(Inputs!$B$24&lt;&gt;"Yes",NA(),Inputs!$D$24*Inputs!$C$35))</f>
        <v/>
      </c>
      <c r="P2018" s="54">
        <f>IF($B2018=0,NA(),IF(Inputs!$B$25&lt;&gt;"Yes",NA(),Inputs!$D$25*Inputs!$C$35))</f>
        <v/>
      </c>
      <c r="Q2018" s="54">
        <f>IF($B2018=0,NA(),IF(Inputs!$B$26&lt;&gt;"Yes",NA(),Inputs!$D$26*Inputs!$C$35))</f>
        <v/>
      </c>
      <c r="R2018" s="54">
        <f>IF($B2018=0,NA(),IF(Inputs!$B$27&lt;&gt;"Yes",NA(),Inputs!$D$27*Inputs!$C$35))</f>
        <v/>
      </c>
      <c r="S2018" s="54">
        <f>IF($B2018=0,NA(),IF(Inputs!$B$28&lt;&gt;"Yes",NA(),Inputs!$D$28*Inputs!$C$35))</f>
        <v/>
      </c>
      <c r="T2018" s="54">
        <f>IF($B2018=0,NA(),IF(Inputs!$B$29&lt;&gt;"Yes",NA(),Inputs!$D$29*Inputs!$C$35))</f>
        <v/>
      </c>
      <c r="AD2018">
        <f>IF($B2018=0,0,IF(Inputs!$B$6="",0,COUNTIFS(Data!$A$10:$A$3209,"&gt;="&amp;$A2018,Data!$A$10:$A$3209,"&lt;"&amp;$A2018+1)))</f>
        <v/>
      </c>
      <c r="AE2018">
        <f>IF($B2018=0,0,IF(Inputs!$B$7="",0,COUNTIFS(Data!$E$10:$E$3209,"&gt;="&amp;$A2018,Data!$E$10:$E$3209,"&lt;"&amp;$A2018+1)))</f>
        <v/>
      </c>
      <c r="AF2018">
        <f>IF($B2018=0,0,IF(Inputs!$B$8="",0,COUNTIFS(Data!$I$10:$I$3209,"&gt;="&amp;$A2018,Data!$I$10:$I$3209,"&lt;"&amp;$A2018+1)))</f>
        <v/>
      </c>
      <c r="AG2018">
        <f>IF($B2018=0,0,IF(Inputs!$B$9="",0,COUNTIFS(Data!$M$10:$M$3209,"&gt;="&amp;$A2018,Data!$M$10:$M$3209,"&lt;"&amp;$A2018+1)))</f>
        <v/>
      </c>
      <c r="AH2018">
        <f>IF($B2018=0,0,IF(Inputs!$B$10="",0,COUNTIFS(Data!$Q$10:$Q$3209,"&gt;="&amp;$A2018,Data!$Q$10:$Q$3209,"&lt;"&amp;$A2018+1)))</f>
        <v/>
      </c>
    </row>
    <row r="2019">
      <c r="A2019" s="55">
        <f>MIN(Inputs!$C$15,$A2018+IF(WEEKDAY($A2018,2)=5,3,1))</f>
        <v/>
      </c>
      <c r="B2019">
        <f>IF($A2019&gt;$A2018,1,0)</f>
        <v/>
      </c>
      <c r="C2019" s="56">
        <f>IF($B2019=0,"",IF(Inputs!$B$6="","",IF($AD2019=0,C2018,SUMIFS(Data!$B$10:$B$3209,Data!$A$10:$A$3209,"&gt;="&amp;$A2019,Data!$A$10:$A$3209,"&lt;"&amp;$A2019+1)/$AD2019)))</f>
        <v/>
      </c>
      <c r="D2019" s="56">
        <f>IF($B2019=0,"",IF(Inputs!$B$7="","",IF($AE2019=0,D2018,SUMIFS(Data!$F$10:$F$3209,Data!$E$10:$E$3209,"&gt;="&amp;$A2019,Data!$E$10:$E$3209,"&lt;"&amp;$A2019+1)/$AE2019)))</f>
        <v/>
      </c>
      <c r="E2019" s="56">
        <f>IF($B2019=0,"",IF(Inputs!$B$8="","",IF($AF2019=0,E2018,SUMIFS(Data!$J$10:$J$3209,Data!$I$10:$I$3209,"&gt;="&amp;$A2019,Data!$I$10:$I$3209,"&lt;"&amp;$A2019+1)/$AF2019)))</f>
        <v/>
      </c>
      <c r="F2019" s="56">
        <f>IF($B2019=0,"",IF(Inputs!$B$9="","",IF($AG2019=0,F2018,SUMIFS(Data!$N$10:$N$3209,Data!$M$10:$M$3209,"&gt;="&amp;$A2019,Data!$M$10:$M$3209,"&lt;"&amp;$A2019+1)/$AG2019)))</f>
        <v/>
      </c>
      <c r="G2019" s="56">
        <f>IF($B2019=0,"",IF(Inputs!$B$10="","",IF($AH2019=0,G2018,SUMIFS(Data!$R$10:$R$3209,Data!$Q$10:$Q$3209,"&gt;="&amp;$A2019,Data!$Q$10:$Q$3209,"&lt;"&amp;$A2019+1)/$AH2019)))</f>
        <v/>
      </c>
      <c r="I2019" s="54">
        <f>IF($B2019=0,NA(),IF($C2019="",NA(),IF(C$8="",NA(),IF(N(C$8)=0,NA(),IF(Inputs!$C$17="Rebased to 100",$C2019/C$8*100,$C2019)))))</f>
        <v/>
      </c>
      <c r="J2019" s="54">
        <f>IF($B2019=0,NA(),IF($D2019="",NA(),IF(D$8="",NA(),IF(N(D$8)=0,NA(),IF(Inputs!$C$17="Rebased to 100",$D2019/D$8*100,$D2019)))))</f>
        <v/>
      </c>
      <c r="K2019" s="54">
        <f>IF($B2019=0,NA(),IF($E2019="",NA(),IF(E$8="",NA(),IF(N(E$8)=0,NA(),IF(Inputs!$C$17="Rebased to 100",$E2019/E$8*100,$E2019)))))</f>
        <v/>
      </c>
      <c r="L2019" s="54">
        <f>IF($B2019=0,NA(),IF($F2019="",NA(),IF(F$8="",NA(),IF(N(F$8)=0,NA(),IF(Inputs!$C$17="Rebased to 100",$F2019/F$8*100,$F2019)))))</f>
        <v/>
      </c>
      <c r="M2019" s="54">
        <f>IF($B2019=0,NA(),IF($G2019="",NA(),IF(G$8="",NA(),IF(N(G$8)=0,NA(),IF(Inputs!$C$17="Rebased to 100",$G2019/G$8*100,$G2019)))))</f>
        <v/>
      </c>
      <c r="N2019" s="54">
        <f>IF($B2019=0,NA(),IF(Inputs!$C$18&lt;&gt;"Yes",NA(),IF(COUNT(I2019,J2019,K2019,L2019,M2019)=0,NA(),MIN(I2019,J2019,K2019,L2019,M2019))))</f>
        <v/>
      </c>
      <c r="O2019" s="54">
        <f>IF($B2019=0,NA(),IF(Inputs!$B$24&lt;&gt;"Yes",NA(),Inputs!$D$24*Inputs!$C$35))</f>
        <v/>
      </c>
      <c r="P2019" s="54">
        <f>IF($B2019=0,NA(),IF(Inputs!$B$25&lt;&gt;"Yes",NA(),Inputs!$D$25*Inputs!$C$35))</f>
        <v/>
      </c>
      <c r="Q2019" s="54">
        <f>IF($B2019=0,NA(),IF(Inputs!$B$26&lt;&gt;"Yes",NA(),Inputs!$D$26*Inputs!$C$35))</f>
        <v/>
      </c>
      <c r="R2019" s="54">
        <f>IF($B2019=0,NA(),IF(Inputs!$B$27&lt;&gt;"Yes",NA(),Inputs!$D$27*Inputs!$C$35))</f>
        <v/>
      </c>
      <c r="S2019" s="54">
        <f>IF($B2019=0,NA(),IF(Inputs!$B$28&lt;&gt;"Yes",NA(),Inputs!$D$28*Inputs!$C$35))</f>
        <v/>
      </c>
      <c r="T2019" s="54">
        <f>IF($B2019=0,NA(),IF(Inputs!$B$29&lt;&gt;"Yes",NA(),Inputs!$D$29*Inputs!$C$35))</f>
        <v/>
      </c>
      <c r="AD2019">
        <f>IF($B2019=0,0,IF(Inputs!$B$6="",0,COUNTIFS(Data!$A$10:$A$3209,"&gt;="&amp;$A2019,Data!$A$10:$A$3209,"&lt;"&amp;$A2019+1)))</f>
        <v/>
      </c>
      <c r="AE2019">
        <f>IF($B2019=0,0,IF(Inputs!$B$7="",0,COUNTIFS(Data!$E$10:$E$3209,"&gt;="&amp;$A2019,Data!$E$10:$E$3209,"&lt;"&amp;$A2019+1)))</f>
        <v/>
      </c>
      <c r="AF2019">
        <f>IF($B2019=0,0,IF(Inputs!$B$8="",0,COUNTIFS(Data!$I$10:$I$3209,"&gt;="&amp;$A2019,Data!$I$10:$I$3209,"&lt;"&amp;$A2019+1)))</f>
        <v/>
      </c>
      <c r="AG2019">
        <f>IF($B2019=0,0,IF(Inputs!$B$9="",0,COUNTIFS(Data!$M$10:$M$3209,"&gt;="&amp;$A2019,Data!$M$10:$M$3209,"&lt;"&amp;$A2019+1)))</f>
        <v/>
      </c>
      <c r="AH2019">
        <f>IF($B2019=0,0,IF(Inputs!$B$10="",0,COUNTIFS(Data!$Q$10:$Q$3209,"&gt;="&amp;$A2019,Data!$Q$10:$Q$3209,"&lt;"&amp;$A2019+1)))</f>
        <v/>
      </c>
    </row>
    <row r="2020">
      <c r="A2020" s="55">
        <f>MIN(Inputs!$C$15,$A2019+IF(WEEKDAY($A2019,2)=5,3,1))</f>
        <v/>
      </c>
      <c r="B2020">
        <f>IF($A2020&gt;$A2019,1,0)</f>
        <v/>
      </c>
      <c r="C2020" s="56">
        <f>IF($B2020=0,"",IF(Inputs!$B$6="","",IF($AD2020=0,C2019,SUMIFS(Data!$B$10:$B$3209,Data!$A$10:$A$3209,"&gt;="&amp;$A2020,Data!$A$10:$A$3209,"&lt;"&amp;$A2020+1)/$AD2020)))</f>
        <v/>
      </c>
      <c r="D2020" s="56">
        <f>IF($B2020=0,"",IF(Inputs!$B$7="","",IF($AE2020=0,D2019,SUMIFS(Data!$F$10:$F$3209,Data!$E$10:$E$3209,"&gt;="&amp;$A2020,Data!$E$10:$E$3209,"&lt;"&amp;$A2020+1)/$AE2020)))</f>
        <v/>
      </c>
      <c r="E2020" s="56">
        <f>IF($B2020=0,"",IF(Inputs!$B$8="","",IF($AF2020=0,E2019,SUMIFS(Data!$J$10:$J$3209,Data!$I$10:$I$3209,"&gt;="&amp;$A2020,Data!$I$10:$I$3209,"&lt;"&amp;$A2020+1)/$AF2020)))</f>
        <v/>
      </c>
      <c r="F2020" s="56">
        <f>IF($B2020=0,"",IF(Inputs!$B$9="","",IF($AG2020=0,F2019,SUMIFS(Data!$N$10:$N$3209,Data!$M$10:$M$3209,"&gt;="&amp;$A2020,Data!$M$10:$M$3209,"&lt;"&amp;$A2020+1)/$AG2020)))</f>
        <v/>
      </c>
      <c r="G2020" s="56">
        <f>IF($B2020=0,"",IF(Inputs!$B$10="","",IF($AH2020=0,G2019,SUMIFS(Data!$R$10:$R$3209,Data!$Q$10:$Q$3209,"&gt;="&amp;$A2020,Data!$Q$10:$Q$3209,"&lt;"&amp;$A2020+1)/$AH2020)))</f>
        <v/>
      </c>
      <c r="I2020" s="54">
        <f>IF($B2020=0,NA(),IF($C2020="",NA(),IF(C$8="",NA(),IF(N(C$8)=0,NA(),IF(Inputs!$C$17="Rebased to 100",$C2020/C$8*100,$C2020)))))</f>
        <v/>
      </c>
      <c r="J2020" s="54">
        <f>IF($B2020=0,NA(),IF($D2020="",NA(),IF(D$8="",NA(),IF(N(D$8)=0,NA(),IF(Inputs!$C$17="Rebased to 100",$D2020/D$8*100,$D2020)))))</f>
        <v/>
      </c>
      <c r="K2020" s="54">
        <f>IF($B2020=0,NA(),IF($E2020="",NA(),IF(E$8="",NA(),IF(N(E$8)=0,NA(),IF(Inputs!$C$17="Rebased to 100",$E2020/E$8*100,$E2020)))))</f>
        <v/>
      </c>
      <c r="L2020" s="54">
        <f>IF($B2020=0,NA(),IF($F2020="",NA(),IF(F$8="",NA(),IF(N(F$8)=0,NA(),IF(Inputs!$C$17="Rebased to 100",$F2020/F$8*100,$F2020)))))</f>
        <v/>
      </c>
      <c r="M2020" s="54">
        <f>IF($B2020=0,NA(),IF($G2020="",NA(),IF(G$8="",NA(),IF(N(G$8)=0,NA(),IF(Inputs!$C$17="Rebased to 100",$G2020/G$8*100,$G2020)))))</f>
        <v/>
      </c>
      <c r="N2020" s="54">
        <f>IF($B2020=0,NA(),IF(Inputs!$C$18&lt;&gt;"Yes",NA(),IF(COUNT(I2020,J2020,K2020,L2020,M2020)=0,NA(),MIN(I2020,J2020,K2020,L2020,M2020))))</f>
        <v/>
      </c>
      <c r="O2020" s="54">
        <f>IF($B2020=0,NA(),IF(Inputs!$B$24&lt;&gt;"Yes",NA(),Inputs!$D$24*Inputs!$C$35))</f>
        <v/>
      </c>
      <c r="P2020" s="54">
        <f>IF($B2020=0,NA(),IF(Inputs!$B$25&lt;&gt;"Yes",NA(),Inputs!$D$25*Inputs!$C$35))</f>
        <v/>
      </c>
      <c r="Q2020" s="54">
        <f>IF($B2020=0,NA(),IF(Inputs!$B$26&lt;&gt;"Yes",NA(),Inputs!$D$26*Inputs!$C$35))</f>
        <v/>
      </c>
      <c r="R2020" s="54">
        <f>IF($B2020=0,NA(),IF(Inputs!$B$27&lt;&gt;"Yes",NA(),Inputs!$D$27*Inputs!$C$35))</f>
        <v/>
      </c>
      <c r="S2020" s="54">
        <f>IF($B2020=0,NA(),IF(Inputs!$B$28&lt;&gt;"Yes",NA(),Inputs!$D$28*Inputs!$C$35))</f>
        <v/>
      </c>
      <c r="T2020" s="54">
        <f>IF($B2020=0,NA(),IF(Inputs!$B$29&lt;&gt;"Yes",NA(),Inputs!$D$29*Inputs!$C$35))</f>
        <v/>
      </c>
      <c r="AD2020">
        <f>IF($B2020=0,0,IF(Inputs!$B$6="",0,COUNTIFS(Data!$A$10:$A$3209,"&gt;="&amp;$A2020,Data!$A$10:$A$3209,"&lt;"&amp;$A2020+1)))</f>
        <v/>
      </c>
      <c r="AE2020">
        <f>IF($B2020=0,0,IF(Inputs!$B$7="",0,COUNTIFS(Data!$E$10:$E$3209,"&gt;="&amp;$A2020,Data!$E$10:$E$3209,"&lt;"&amp;$A2020+1)))</f>
        <v/>
      </c>
      <c r="AF2020">
        <f>IF($B2020=0,0,IF(Inputs!$B$8="",0,COUNTIFS(Data!$I$10:$I$3209,"&gt;="&amp;$A2020,Data!$I$10:$I$3209,"&lt;"&amp;$A2020+1)))</f>
        <v/>
      </c>
      <c r="AG2020">
        <f>IF($B2020=0,0,IF(Inputs!$B$9="",0,COUNTIFS(Data!$M$10:$M$3209,"&gt;="&amp;$A2020,Data!$M$10:$M$3209,"&lt;"&amp;$A2020+1)))</f>
        <v/>
      </c>
      <c r="AH2020">
        <f>IF($B2020=0,0,IF(Inputs!$B$10="",0,COUNTIFS(Data!$Q$10:$Q$3209,"&gt;="&amp;$A2020,Data!$Q$10:$Q$3209,"&lt;"&amp;$A2020+1)))</f>
        <v/>
      </c>
    </row>
    <row r="2021">
      <c r="A2021" s="55">
        <f>MIN(Inputs!$C$15,$A2020+IF(WEEKDAY($A2020,2)=5,3,1))</f>
        <v/>
      </c>
      <c r="B2021">
        <f>IF($A2021&gt;$A2020,1,0)</f>
        <v/>
      </c>
      <c r="C2021" s="56">
        <f>IF($B2021=0,"",IF(Inputs!$B$6="","",IF($AD2021=0,C2020,SUMIFS(Data!$B$10:$B$3209,Data!$A$10:$A$3209,"&gt;="&amp;$A2021,Data!$A$10:$A$3209,"&lt;"&amp;$A2021+1)/$AD2021)))</f>
        <v/>
      </c>
      <c r="D2021" s="56">
        <f>IF($B2021=0,"",IF(Inputs!$B$7="","",IF($AE2021=0,D2020,SUMIFS(Data!$F$10:$F$3209,Data!$E$10:$E$3209,"&gt;="&amp;$A2021,Data!$E$10:$E$3209,"&lt;"&amp;$A2021+1)/$AE2021)))</f>
        <v/>
      </c>
      <c r="E2021" s="56">
        <f>IF($B2021=0,"",IF(Inputs!$B$8="","",IF($AF2021=0,E2020,SUMIFS(Data!$J$10:$J$3209,Data!$I$10:$I$3209,"&gt;="&amp;$A2021,Data!$I$10:$I$3209,"&lt;"&amp;$A2021+1)/$AF2021)))</f>
        <v/>
      </c>
      <c r="F2021" s="56">
        <f>IF($B2021=0,"",IF(Inputs!$B$9="","",IF($AG2021=0,F2020,SUMIFS(Data!$N$10:$N$3209,Data!$M$10:$M$3209,"&gt;="&amp;$A2021,Data!$M$10:$M$3209,"&lt;"&amp;$A2021+1)/$AG2021)))</f>
        <v/>
      </c>
      <c r="G2021" s="56">
        <f>IF($B2021=0,"",IF(Inputs!$B$10="","",IF($AH2021=0,G2020,SUMIFS(Data!$R$10:$R$3209,Data!$Q$10:$Q$3209,"&gt;="&amp;$A2021,Data!$Q$10:$Q$3209,"&lt;"&amp;$A2021+1)/$AH2021)))</f>
        <v/>
      </c>
      <c r="I2021" s="54">
        <f>IF($B2021=0,NA(),IF($C2021="",NA(),IF(C$8="",NA(),IF(N(C$8)=0,NA(),IF(Inputs!$C$17="Rebased to 100",$C2021/C$8*100,$C2021)))))</f>
        <v/>
      </c>
      <c r="J2021" s="54">
        <f>IF($B2021=0,NA(),IF($D2021="",NA(),IF(D$8="",NA(),IF(N(D$8)=0,NA(),IF(Inputs!$C$17="Rebased to 100",$D2021/D$8*100,$D2021)))))</f>
        <v/>
      </c>
      <c r="K2021" s="54">
        <f>IF($B2021=0,NA(),IF($E2021="",NA(),IF(E$8="",NA(),IF(N(E$8)=0,NA(),IF(Inputs!$C$17="Rebased to 100",$E2021/E$8*100,$E2021)))))</f>
        <v/>
      </c>
      <c r="L2021" s="54">
        <f>IF($B2021=0,NA(),IF($F2021="",NA(),IF(F$8="",NA(),IF(N(F$8)=0,NA(),IF(Inputs!$C$17="Rebased to 100",$F2021/F$8*100,$F2021)))))</f>
        <v/>
      </c>
      <c r="M2021" s="54">
        <f>IF($B2021=0,NA(),IF($G2021="",NA(),IF(G$8="",NA(),IF(N(G$8)=0,NA(),IF(Inputs!$C$17="Rebased to 100",$G2021/G$8*100,$G2021)))))</f>
        <v/>
      </c>
      <c r="N2021" s="54">
        <f>IF($B2021=0,NA(),IF(Inputs!$C$18&lt;&gt;"Yes",NA(),IF(COUNT(I2021,J2021,K2021,L2021,M2021)=0,NA(),MIN(I2021,J2021,K2021,L2021,M2021))))</f>
        <v/>
      </c>
      <c r="O2021" s="54">
        <f>IF($B2021=0,NA(),IF(Inputs!$B$24&lt;&gt;"Yes",NA(),Inputs!$D$24*Inputs!$C$35))</f>
        <v/>
      </c>
      <c r="P2021" s="54">
        <f>IF($B2021=0,NA(),IF(Inputs!$B$25&lt;&gt;"Yes",NA(),Inputs!$D$25*Inputs!$C$35))</f>
        <v/>
      </c>
      <c r="Q2021" s="54">
        <f>IF($B2021=0,NA(),IF(Inputs!$B$26&lt;&gt;"Yes",NA(),Inputs!$D$26*Inputs!$C$35))</f>
        <v/>
      </c>
      <c r="R2021" s="54">
        <f>IF($B2021=0,NA(),IF(Inputs!$B$27&lt;&gt;"Yes",NA(),Inputs!$D$27*Inputs!$C$35))</f>
        <v/>
      </c>
      <c r="S2021" s="54">
        <f>IF($B2021=0,NA(),IF(Inputs!$B$28&lt;&gt;"Yes",NA(),Inputs!$D$28*Inputs!$C$35))</f>
        <v/>
      </c>
      <c r="T2021" s="54">
        <f>IF($B2021=0,NA(),IF(Inputs!$B$29&lt;&gt;"Yes",NA(),Inputs!$D$29*Inputs!$C$35))</f>
        <v/>
      </c>
      <c r="AD2021">
        <f>IF($B2021=0,0,IF(Inputs!$B$6="",0,COUNTIFS(Data!$A$10:$A$3209,"&gt;="&amp;$A2021,Data!$A$10:$A$3209,"&lt;"&amp;$A2021+1)))</f>
        <v/>
      </c>
      <c r="AE2021">
        <f>IF($B2021=0,0,IF(Inputs!$B$7="",0,COUNTIFS(Data!$E$10:$E$3209,"&gt;="&amp;$A2021,Data!$E$10:$E$3209,"&lt;"&amp;$A2021+1)))</f>
        <v/>
      </c>
      <c r="AF2021">
        <f>IF($B2021=0,0,IF(Inputs!$B$8="",0,COUNTIFS(Data!$I$10:$I$3209,"&gt;="&amp;$A2021,Data!$I$10:$I$3209,"&lt;"&amp;$A2021+1)))</f>
        <v/>
      </c>
      <c r="AG2021">
        <f>IF($B2021=0,0,IF(Inputs!$B$9="",0,COUNTIFS(Data!$M$10:$M$3209,"&gt;="&amp;$A2021,Data!$M$10:$M$3209,"&lt;"&amp;$A2021+1)))</f>
        <v/>
      </c>
      <c r="AH2021">
        <f>IF($B2021=0,0,IF(Inputs!$B$10="",0,COUNTIFS(Data!$Q$10:$Q$3209,"&gt;="&amp;$A2021,Data!$Q$10:$Q$3209,"&lt;"&amp;$A2021+1)))</f>
        <v/>
      </c>
    </row>
    <row r="2022">
      <c r="A2022" s="55">
        <f>MIN(Inputs!$C$15,$A2021+IF(WEEKDAY($A2021,2)=5,3,1))</f>
        <v/>
      </c>
      <c r="B2022">
        <f>IF($A2022&gt;$A2021,1,0)</f>
        <v/>
      </c>
      <c r="C2022" s="56">
        <f>IF($B2022=0,"",IF(Inputs!$B$6="","",IF($AD2022=0,C2021,SUMIFS(Data!$B$10:$B$3209,Data!$A$10:$A$3209,"&gt;="&amp;$A2022,Data!$A$10:$A$3209,"&lt;"&amp;$A2022+1)/$AD2022)))</f>
        <v/>
      </c>
      <c r="D2022" s="56">
        <f>IF($B2022=0,"",IF(Inputs!$B$7="","",IF($AE2022=0,D2021,SUMIFS(Data!$F$10:$F$3209,Data!$E$10:$E$3209,"&gt;="&amp;$A2022,Data!$E$10:$E$3209,"&lt;"&amp;$A2022+1)/$AE2022)))</f>
        <v/>
      </c>
      <c r="E2022" s="56">
        <f>IF($B2022=0,"",IF(Inputs!$B$8="","",IF($AF2022=0,E2021,SUMIFS(Data!$J$10:$J$3209,Data!$I$10:$I$3209,"&gt;="&amp;$A2022,Data!$I$10:$I$3209,"&lt;"&amp;$A2022+1)/$AF2022)))</f>
        <v/>
      </c>
      <c r="F2022" s="56">
        <f>IF($B2022=0,"",IF(Inputs!$B$9="","",IF($AG2022=0,F2021,SUMIFS(Data!$N$10:$N$3209,Data!$M$10:$M$3209,"&gt;="&amp;$A2022,Data!$M$10:$M$3209,"&lt;"&amp;$A2022+1)/$AG2022)))</f>
        <v/>
      </c>
      <c r="G2022" s="56">
        <f>IF($B2022=0,"",IF(Inputs!$B$10="","",IF($AH2022=0,G2021,SUMIFS(Data!$R$10:$R$3209,Data!$Q$10:$Q$3209,"&gt;="&amp;$A2022,Data!$Q$10:$Q$3209,"&lt;"&amp;$A2022+1)/$AH2022)))</f>
        <v/>
      </c>
      <c r="I2022" s="54">
        <f>IF($B2022=0,NA(),IF($C2022="",NA(),IF(C$8="",NA(),IF(N(C$8)=0,NA(),IF(Inputs!$C$17="Rebased to 100",$C2022/C$8*100,$C2022)))))</f>
        <v/>
      </c>
      <c r="J2022" s="54">
        <f>IF($B2022=0,NA(),IF($D2022="",NA(),IF(D$8="",NA(),IF(N(D$8)=0,NA(),IF(Inputs!$C$17="Rebased to 100",$D2022/D$8*100,$D2022)))))</f>
        <v/>
      </c>
      <c r="K2022" s="54">
        <f>IF($B2022=0,NA(),IF($E2022="",NA(),IF(E$8="",NA(),IF(N(E$8)=0,NA(),IF(Inputs!$C$17="Rebased to 100",$E2022/E$8*100,$E2022)))))</f>
        <v/>
      </c>
      <c r="L2022" s="54">
        <f>IF($B2022=0,NA(),IF($F2022="",NA(),IF(F$8="",NA(),IF(N(F$8)=0,NA(),IF(Inputs!$C$17="Rebased to 100",$F2022/F$8*100,$F2022)))))</f>
        <v/>
      </c>
      <c r="M2022" s="54">
        <f>IF($B2022=0,NA(),IF($G2022="",NA(),IF(G$8="",NA(),IF(N(G$8)=0,NA(),IF(Inputs!$C$17="Rebased to 100",$G2022/G$8*100,$G2022)))))</f>
        <v/>
      </c>
      <c r="N2022" s="54">
        <f>IF($B2022=0,NA(),IF(Inputs!$C$18&lt;&gt;"Yes",NA(),IF(COUNT(I2022,J2022,K2022,L2022,M2022)=0,NA(),MIN(I2022,J2022,K2022,L2022,M2022))))</f>
        <v/>
      </c>
      <c r="O2022" s="54">
        <f>IF($B2022=0,NA(),IF(Inputs!$B$24&lt;&gt;"Yes",NA(),Inputs!$D$24*Inputs!$C$35))</f>
        <v/>
      </c>
      <c r="P2022" s="54">
        <f>IF($B2022=0,NA(),IF(Inputs!$B$25&lt;&gt;"Yes",NA(),Inputs!$D$25*Inputs!$C$35))</f>
        <v/>
      </c>
      <c r="Q2022" s="54">
        <f>IF($B2022=0,NA(),IF(Inputs!$B$26&lt;&gt;"Yes",NA(),Inputs!$D$26*Inputs!$C$35))</f>
        <v/>
      </c>
      <c r="R2022" s="54">
        <f>IF($B2022=0,NA(),IF(Inputs!$B$27&lt;&gt;"Yes",NA(),Inputs!$D$27*Inputs!$C$35))</f>
        <v/>
      </c>
      <c r="S2022" s="54">
        <f>IF($B2022=0,NA(),IF(Inputs!$B$28&lt;&gt;"Yes",NA(),Inputs!$D$28*Inputs!$C$35))</f>
        <v/>
      </c>
      <c r="T2022" s="54">
        <f>IF($B2022=0,NA(),IF(Inputs!$B$29&lt;&gt;"Yes",NA(),Inputs!$D$29*Inputs!$C$35))</f>
        <v/>
      </c>
      <c r="AD2022">
        <f>IF($B2022=0,0,IF(Inputs!$B$6="",0,COUNTIFS(Data!$A$10:$A$3209,"&gt;="&amp;$A2022,Data!$A$10:$A$3209,"&lt;"&amp;$A2022+1)))</f>
        <v/>
      </c>
      <c r="AE2022">
        <f>IF($B2022=0,0,IF(Inputs!$B$7="",0,COUNTIFS(Data!$E$10:$E$3209,"&gt;="&amp;$A2022,Data!$E$10:$E$3209,"&lt;"&amp;$A2022+1)))</f>
        <v/>
      </c>
      <c r="AF2022">
        <f>IF($B2022=0,0,IF(Inputs!$B$8="",0,COUNTIFS(Data!$I$10:$I$3209,"&gt;="&amp;$A2022,Data!$I$10:$I$3209,"&lt;"&amp;$A2022+1)))</f>
        <v/>
      </c>
      <c r="AG2022">
        <f>IF($B2022=0,0,IF(Inputs!$B$9="",0,COUNTIFS(Data!$M$10:$M$3209,"&gt;="&amp;$A2022,Data!$M$10:$M$3209,"&lt;"&amp;$A2022+1)))</f>
        <v/>
      </c>
      <c r="AH2022">
        <f>IF($B2022=0,0,IF(Inputs!$B$10="",0,COUNTIFS(Data!$Q$10:$Q$3209,"&gt;="&amp;$A2022,Data!$Q$10:$Q$3209,"&lt;"&amp;$A2022+1)))</f>
        <v/>
      </c>
    </row>
    <row r="2023">
      <c r="A2023" s="55">
        <f>MIN(Inputs!$C$15,$A2022+IF(WEEKDAY($A2022,2)=5,3,1))</f>
        <v/>
      </c>
      <c r="B2023">
        <f>IF($A2023&gt;$A2022,1,0)</f>
        <v/>
      </c>
      <c r="C2023" s="56">
        <f>IF($B2023=0,"",IF(Inputs!$B$6="","",IF($AD2023=0,C2022,SUMIFS(Data!$B$10:$B$3209,Data!$A$10:$A$3209,"&gt;="&amp;$A2023,Data!$A$10:$A$3209,"&lt;"&amp;$A2023+1)/$AD2023)))</f>
        <v/>
      </c>
      <c r="D2023" s="56">
        <f>IF($B2023=0,"",IF(Inputs!$B$7="","",IF($AE2023=0,D2022,SUMIFS(Data!$F$10:$F$3209,Data!$E$10:$E$3209,"&gt;="&amp;$A2023,Data!$E$10:$E$3209,"&lt;"&amp;$A2023+1)/$AE2023)))</f>
        <v/>
      </c>
      <c r="E2023" s="56">
        <f>IF($B2023=0,"",IF(Inputs!$B$8="","",IF($AF2023=0,E2022,SUMIFS(Data!$J$10:$J$3209,Data!$I$10:$I$3209,"&gt;="&amp;$A2023,Data!$I$10:$I$3209,"&lt;"&amp;$A2023+1)/$AF2023)))</f>
        <v/>
      </c>
      <c r="F2023" s="56">
        <f>IF($B2023=0,"",IF(Inputs!$B$9="","",IF($AG2023=0,F2022,SUMIFS(Data!$N$10:$N$3209,Data!$M$10:$M$3209,"&gt;="&amp;$A2023,Data!$M$10:$M$3209,"&lt;"&amp;$A2023+1)/$AG2023)))</f>
        <v/>
      </c>
      <c r="G2023" s="56">
        <f>IF($B2023=0,"",IF(Inputs!$B$10="","",IF($AH2023=0,G2022,SUMIFS(Data!$R$10:$R$3209,Data!$Q$10:$Q$3209,"&gt;="&amp;$A2023,Data!$Q$10:$Q$3209,"&lt;"&amp;$A2023+1)/$AH2023)))</f>
        <v/>
      </c>
      <c r="I2023" s="54">
        <f>IF($B2023=0,NA(),IF($C2023="",NA(),IF(C$8="",NA(),IF(N(C$8)=0,NA(),IF(Inputs!$C$17="Rebased to 100",$C2023/C$8*100,$C2023)))))</f>
        <v/>
      </c>
      <c r="J2023" s="54">
        <f>IF($B2023=0,NA(),IF($D2023="",NA(),IF(D$8="",NA(),IF(N(D$8)=0,NA(),IF(Inputs!$C$17="Rebased to 100",$D2023/D$8*100,$D2023)))))</f>
        <v/>
      </c>
      <c r="K2023" s="54">
        <f>IF($B2023=0,NA(),IF($E2023="",NA(),IF(E$8="",NA(),IF(N(E$8)=0,NA(),IF(Inputs!$C$17="Rebased to 100",$E2023/E$8*100,$E2023)))))</f>
        <v/>
      </c>
      <c r="L2023" s="54">
        <f>IF($B2023=0,NA(),IF($F2023="",NA(),IF(F$8="",NA(),IF(N(F$8)=0,NA(),IF(Inputs!$C$17="Rebased to 100",$F2023/F$8*100,$F2023)))))</f>
        <v/>
      </c>
      <c r="M2023" s="54">
        <f>IF($B2023=0,NA(),IF($G2023="",NA(),IF(G$8="",NA(),IF(N(G$8)=0,NA(),IF(Inputs!$C$17="Rebased to 100",$G2023/G$8*100,$G2023)))))</f>
        <v/>
      </c>
      <c r="N2023" s="54">
        <f>IF($B2023=0,NA(),IF(Inputs!$C$18&lt;&gt;"Yes",NA(),IF(COUNT(I2023,J2023,K2023,L2023,M2023)=0,NA(),MIN(I2023,J2023,K2023,L2023,M2023))))</f>
        <v/>
      </c>
      <c r="O2023" s="54">
        <f>IF($B2023=0,NA(),IF(Inputs!$B$24&lt;&gt;"Yes",NA(),Inputs!$D$24*Inputs!$C$35))</f>
        <v/>
      </c>
      <c r="P2023" s="54">
        <f>IF($B2023=0,NA(),IF(Inputs!$B$25&lt;&gt;"Yes",NA(),Inputs!$D$25*Inputs!$C$35))</f>
        <v/>
      </c>
      <c r="Q2023" s="54">
        <f>IF($B2023=0,NA(),IF(Inputs!$B$26&lt;&gt;"Yes",NA(),Inputs!$D$26*Inputs!$C$35))</f>
        <v/>
      </c>
      <c r="R2023" s="54">
        <f>IF($B2023=0,NA(),IF(Inputs!$B$27&lt;&gt;"Yes",NA(),Inputs!$D$27*Inputs!$C$35))</f>
        <v/>
      </c>
      <c r="S2023" s="54">
        <f>IF($B2023=0,NA(),IF(Inputs!$B$28&lt;&gt;"Yes",NA(),Inputs!$D$28*Inputs!$C$35))</f>
        <v/>
      </c>
      <c r="T2023" s="54">
        <f>IF($B2023=0,NA(),IF(Inputs!$B$29&lt;&gt;"Yes",NA(),Inputs!$D$29*Inputs!$C$35))</f>
        <v/>
      </c>
      <c r="AD2023">
        <f>IF($B2023=0,0,IF(Inputs!$B$6="",0,COUNTIFS(Data!$A$10:$A$3209,"&gt;="&amp;$A2023,Data!$A$10:$A$3209,"&lt;"&amp;$A2023+1)))</f>
        <v/>
      </c>
      <c r="AE2023">
        <f>IF($B2023=0,0,IF(Inputs!$B$7="",0,COUNTIFS(Data!$E$10:$E$3209,"&gt;="&amp;$A2023,Data!$E$10:$E$3209,"&lt;"&amp;$A2023+1)))</f>
        <v/>
      </c>
      <c r="AF2023">
        <f>IF($B2023=0,0,IF(Inputs!$B$8="",0,COUNTIFS(Data!$I$10:$I$3209,"&gt;="&amp;$A2023,Data!$I$10:$I$3209,"&lt;"&amp;$A2023+1)))</f>
        <v/>
      </c>
      <c r="AG2023">
        <f>IF($B2023=0,0,IF(Inputs!$B$9="",0,COUNTIFS(Data!$M$10:$M$3209,"&gt;="&amp;$A2023,Data!$M$10:$M$3209,"&lt;"&amp;$A2023+1)))</f>
        <v/>
      </c>
      <c r="AH2023">
        <f>IF($B2023=0,0,IF(Inputs!$B$10="",0,COUNTIFS(Data!$Q$10:$Q$3209,"&gt;="&amp;$A2023,Data!$Q$10:$Q$3209,"&lt;"&amp;$A2023+1)))</f>
        <v/>
      </c>
    </row>
    <row r="2024">
      <c r="A2024" s="55">
        <f>MIN(Inputs!$C$15,$A2023+IF(WEEKDAY($A2023,2)=5,3,1))</f>
        <v/>
      </c>
      <c r="B2024">
        <f>IF($A2024&gt;$A2023,1,0)</f>
        <v/>
      </c>
      <c r="C2024" s="56">
        <f>IF($B2024=0,"",IF(Inputs!$B$6="","",IF($AD2024=0,C2023,SUMIFS(Data!$B$10:$B$3209,Data!$A$10:$A$3209,"&gt;="&amp;$A2024,Data!$A$10:$A$3209,"&lt;"&amp;$A2024+1)/$AD2024)))</f>
        <v/>
      </c>
      <c r="D2024" s="56">
        <f>IF($B2024=0,"",IF(Inputs!$B$7="","",IF($AE2024=0,D2023,SUMIFS(Data!$F$10:$F$3209,Data!$E$10:$E$3209,"&gt;="&amp;$A2024,Data!$E$10:$E$3209,"&lt;"&amp;$A2024+1)/$AE2024)))</f>
        <v/>
      </c>
      <c r="E2024" s="56">
        <f>IF($B2024=0,"",IF(Inputs!$B$8="","",IF($AF2024=0,E2023,SUMIFS(Data!$J$10:$J$3209,Data!$I$10:$I$3209,"&gt;="&amp;$A2024,Data!$I$10:$I$3209,"&lt;"&amp;$A2024+1)/$AF2024)))</f>
        <v/>
      </c>
      <c r="F2024" s="56">
        <f>IF($B2024=0,"",IF(Inputs!$B$9="","",IF($AG2024=0,F2023,SUMIFS(Data!$N$10:$N$3209,Data!$M$10:$M$3209,"&gt;="&amp;$A2024,Data!$M$10:$M$3209,"&lt;"&amp;$A2024+1)/$AG2024)))</f>
        <v/>
      </c>
      <c r="G2024" s="56">
        <f>IF($B2024=0,"",IF(Inputs!$B$10="","",IF($AH2024=0,G2023,SUMIFS(Data!$R$10:$R$3209,Data!$Q$10:$Q$3209,"&gt;="&amp;$A2024,Data!$Q$10:$Q$3209,"&lt;"&amp;$A2024+1)/$AH2024)))</f>
        <v/>
      </c>
      <c r="I2024" s="54">
        <f>IF($B2024=0,NA(),IF($C2024="",NA(),IF(C$8="",NA(),IF(N(C$8)=0,NA(),IF(Inputs!$C$17="Rebased to 100",$C2024/C$8*100,$C2024)))))</f>
        <v/>
      </c>
      <c r="J2024" s="54">
        <f>IF($B2024=0,NA(),IF($D2024="",NA(),IF(D$8="",NA(),IF(N(D$8)=0,NA(),IF(Inputs!$C$17="Rebased to 100",$D2024/D$8*100,$D2024)))))</f>
        <v/>
      </c>
      <c r="K2024" s="54">
        <f>IF($B2024=0,NA(),IF($E2024="",NA(),IF(E$8="",NA(),IF(N(E$8)=0,NA(),IF(Inputs!$C$17="Rebased to 100",$E2024/E$8*100,$E2024)))))</f>
        <v/>
      </c>
      <c r="L2024" s="54">
        <f>IF($B2024=0,NA(),IF($F2024="",NA(),IF(F$8="",NA(),IF(N(F$8)=0,NA(),IF(Inputs!$C$17="Rebased to 100",$F2024/F$8*100,$F2024)))))</f>
        <v/>
      </c>
      <c r="M2024" s="54">
        <f>IF($B2024=0,NA(),IF($G2024="",NA(),IF(G$8="",NA(),IF(N(G$8)=0,NA(),IF(Inputs!$C$17="Rebased to 100",$G2024/G$8*100,$G2024)))))</f>
        <v/>
      </c>
      <c r="N2024" s="54">
        <f>IF($B2024=0,NA(),IF(Inputs!$C$18&lt;&gt;"Yes",NA(),IF(COUNT(I2024,J2024,K2024,L2024,M2024)=0,NA(),MIN(I2024,J2024,K2024,L2024,M2024))))</f>
        <v/>
      </c>
      <c r="O2024" s="54">
        <f>IF($B2024=0,NA(),IF(Inputs!$B$24&lt;&gt;"Yes",NA(),Inputs!$D$24*Inputs!$C$35))</f>
        <v/>
      </c>
      <c r="P2024" s="54">
        <f>IF($B2024=0,NA(),IF(Inputs!$B$25&lt;&gt;"Yes",NA(),Inputs!$D$25*Inputs!$C$35))</f>
        <v/>
      </c>
      <c r="Q2024" s="54">
        <f>IF($B2024=0,NA(),IF(Inputs!$B$26&lt;&gt;"Yes",NA(),Inputs!$D$26*Inputs!$C$35))</f>
        <v/>
      </c>
      <c r="R2024" s="54">
        <f>IF($B2024=0,NA(),IF(Inputs!$B$27&lt;&gt;"Yes",NA(),Inputs!$D$27*Inputs!$C$35))</f>
        <v/>
      </c>
      <c r="S2024" s="54">
        <f>IF($B2024=0,NA(),IF(Inputs!$B$28&lt;&gt;"Yes",NA(),Inputs!$D$28*Inputs!$C$35))</f>
        <v/>
      </c>
      <c r="T2024" s="54">
        <f>IF($B2024=0,NA(),IF(Inputs!$B$29&lt;&gt;"Yes",NA(),Inputs!$D$29*Inputs!$C$35))</f>
        <v/>
      </c>
      <c r="AD2024">
        <f>IF($B2024=0,0,IF(Inputs!$B$6="",0,COUNTIFS(Data!$A$10:$A$3209,"&gt;="&amp;$A2024,Data!$A$10:$A$3209,"&lt;"&amp;$A2024+1)))</f>
        <v/>
      </c>
      <c r="AE2024">
        <f>IF($B2024=0,0,IF(Inputs!$B$7="",0,COUNTIFS(Data!$E$10:$E$3209,"&gt;="&amp;$A2024,Data!$E$10:$E$3209,"&lt;"&amp;$A2024+1)))</f>
        <v/>
      </c>
      <c r="AF2024">
        <f>IF($B2024=0,0,IF(Inputs!$B$8="",0,COUNTIFS(Data!$I$10:$I$3209,"&gt;="&amp;$A2024,Data!$I$10:$I$3209,"&lt;"&amp;$A2024+1)))</f>
        <v/>
      </c>
      <c r="AG2024">
        <f>IF($B2024=0,0,IF(Inputs!$B$9="",0,COUNTIFS(Data!$M$10:$M$3209,"&gt;="&amp;$A2024,Data!$M$10:$M$3209,"&lt;"&amp;$A2024+1)))</f>
        <v/>
      </c>
      <c r="AH2024">
        <f>IF($B2024=0,0,IF(Inputs!$B$10="",0,COUNTIFS(Data!$Q$10:$Q$3209,"&gt;="&amp;$A2024,Data!$Q$10:$Q$3209,"&lt;"&amp;$A2024+1)))</f>
        <v/>
      </c>
    </row>
    <row r="2025">
      <c r="A2025" s="55">
        <f>MIN(Inputs!$C$15,$A2024+IF(WEEKDAY($A2024,2)=5,3,1))</f>
        <v/>
      </c>
      <c r="B2025">
        <f>IF($A2025&gt;$A2024,1,0)</f>
        <v/>
      </c>
      <c r="C2025" s="56">
        <f>IF($B2025=0,"",IF(Inputs!$B$6="","",IF($AD2025=0,C2024,SUMIFS(Data!$B$10:$B$3209,Data!$A$10:$A$3209,"&gt;="&amp;$A2025,Data!$A$10:$A$3209,"&lt;"&amp;$A2025+1)/$AD2025)))</f>
        <v/>
      </c>
      <c r="D2025" s="56">
        <f>IF($B2025=0,"",IF(Inputs!$B$7="","",IF($AE2025=0,D2024,SUMIFS(Data!$F$10:$F$3209,Data!$E$10:$E$3209,"&gt;="&amp;$A2025,Data!$E$10:$E$3209,"&lt;"&amp;$A2025+1)/$AE2025)))</f>
        <v/>
      </c>
      <c r="E2025" s="56">
        <f>IF($B2025=0,"",IF(Inputs!$B$8="","",IF($AF2025=0,E2024,SUMIFS(Data!$J$10:$J$3209,Data!$I$10:$I$3209,"&gt;="&amp;$A2025,Data!$I$10:$I$3209,"&lt;"&amp;$A2025+1)/$AF2025)))</f>
        <v/>
      </c>
      <c r="F2025" s="56">
        <f>IF($B2025=0,"",IF(Inputs!$B$9="","",IF($AG2025=0,F2024,SUMIFS(Data!$N$10:$N$3209,Data!$M$10:$M$3209,"&gt;="&amp;$A2025,Data!$M$10:$M$3209,"&lt;"&amp;$A2025+1)/$AG2025)))</f>
        <v/>
      </c>
      <c r="G2025" s="56">
        <f>IF($B2025=0,"",IF(Inputs!$B$10="","",IF($AH2025=0,G2024,SUMIFS(Data!$R$10:$R$3209,Data!$Q$10:$Q$3209,"&gt;="&amp;$A2025,Data!$Q$10:$Q$3209,"&lt;"&amp;$A2025+1)/$AH2025)))</f>
        <v/>
      </c>
      <c r="I2025" s="54">
        <f>IF($B2025=0,NA(),IF($C2025="",NA(),IF(C$8="",NA(),IF(N(C$8)=0,NA(),IF(Inputs!$C$17="Rebased to 100",$C2025/C$8*100,$C2025)))))</f>
        <v/>
      </c>
      <c r="J2025" s="54">
        <f>IF($B2025=0,NA(),IF($D2025="",NA(),IF(D$8="",NA(),IF(N(D$8)=0,NA(),IF(Inputs!$C$17="Rebased to 100",$D2025/D$8*100,$D2025)))))</f>
        <v/>
      </c>
      <c r="K2025" s="54">
        <f>IF($B2025=0,NA(),IF($E2025="",NA(),IF(E$8="",NA(),IF(N(E$8)=0,NA(),IF(Inputs!$C$17="Rebased to 100",$E2025/E$8*100,$E2025)))))</f>
        <v/>
      </c>
      <c r="L2025" s="54">
        <f>IF($B2025=0,NA(),IF($F2025="",NA(),IF(F$8="",NA(),IF(N(F$8)=0,NA(),IF(Inputs!$C$17="Rebased to 100",$F2025/F$8*100,$F2025)))))</f>
        <v/>
      </c>
      <c r="M2025" s="54">
        <f>IF($B2025=0,NA(),IF($G2025="",NA(),IF(G$8="",NA(),IF(N(G$8)=0,NA(),IF(Inputs!$C$17="Rebased to 100",$G2025/G$8*100,$G2025)))))</f>
        <v/>
      </c>
      <c r="N2025" s="54">
        <f>IF($B2025=0,NA(),IF(Inputs!$C$18&lt;&gt;"Yes",NA(),IF(COUNT(I2025,J2025,K2025,L2025,M2025)=0,NA(),MIN(I2025,J2025,K2025,L2025,M2025))))</f>
        <v/>
      </c>
      <c r="O2025" s="54">
        <f>IF($B2025=0,NA(),IF(Inputs!$B$24&lt;&gt;"Yes",NA(),Inputs!$D$24*Inputs!$C$35))</f>
        <v/>
      </c>
      <c r="P2025" s="54">
        <f>IF($B2025=0,NA(),IF(Inputs!$B$25&lt;&gt;"Yes",NA(),Inputs!$D$25*Inputs!$C$35))</f>
        <v/>
      </c>
      <c r="Q2025" s="54">
        <f>IF($B2025=0,NA(),IF(Inputs!$B$26&lt;&gt;"Yes",NA(),Inputs!$D$26*Inputs!$C$35))</f>
        <v/>
      </c>
      <c r="R2025" s="54">
        <f>IF($B2025=0,NA(),IF(Inputs!$B$27&lt;&gt;"Yes",NA(),Inputs!$D$27*Inputs!$C$35))</f>
        <v/>
      </c>
      <c r="S2025" s="54">
        <f>IF($B2025=0,NA(),IF(Inputs!$B$28&lt;&gt;"Yes",NA(),Inputs!$D$28*Inputs!$C$35))</f>
        <v/>
      </c>
      <c r="T2025" s="54">
        <f>IF($B2025=0,NA(),IF(Inputs!$B$29&lt;&gt;"Yes",NA(),Inputs!$D$29*Inputs!$C$35))</f>
        <v/>
      </c>
      <c r="AD2025">
        <f>IF($B2025=0,0,IF(Inputs!$B$6="",0,COUNTIFS(Data!$A$10:$A$3209,"&gt;="&amp;$A2025,Data!$A$10:$A$3209,"&lt;"&amp;$A2025+1)))</f>
        <v/>
      </c>
      <c r="AE2025">
        <f>IF($B2025=0,0,IF(Inputs!$B$7="",0,COUNTIFS(Data!$E$10:$E$3209,"&gt;="&amp;$A2025,Data!$E$10:$E$3209,"&lt;"&amp;$A2025+1)))</f>
        <v/>
      </c>
      <c r="AF2025">
        <f>IF($B2025=0,0,IF(Inputs!$B$8="",0,COUNTIFS(Data!$I$10:$I$3209,"&gt;="&amp;$A2025,Data!$I$10:$I$3209,"&lt;"&amp;$A2025+1)))</f>
        <v/>
      </c>
      <c r="AG2025">
        <f>IF($B2025=0,0,IF(Inputs!$B$9="",0,COUNTIFS(Data!$M$10:$M$3209,"&gt;="&amp;$A2025,Data!$M$10:$M$3209,"&lt;"&amp;$A2025+1)))</f>
        <v/>
      </c>
      <c r="AH2025">
        <f>IF($B2025=0,0,IF(Inputs!$B$10="",0,COUNTIFS(Data!$Q$10:$Q$3209,"&gt;="&amp;$A2025,Data!$Q$10:$Q$3209,"&lt;"&amp;$A2025+1)))</f>
        <v/>
      </c>
    </row>
    <row r="2026">
      <c r="A2026" s="55">
        <f>MIN(Inputs!$C$15,$A2025+IF(WEEKDAY($A2025,2)=5,3,1))</f>
        <v/>
      </c>
      <c r="B2026">
        <f>IF($A2026&gt;$A2025,1,0)</f>
        <v/>
      </c>
      <c r="C2026" s="56">
        <f>IF($B2026=0,"",IF(Inputs!$B$6="","",IF($AD2026=0,C2025,SUMIFS(Data!$B$10:$B$3209,Data!$A$10:$A$3209,"&gt;="&amp;$A2026,Data!$A$10:$A$3209,"&lt;"&amp;$A2026+1)/$AD2026)))</f>
        <v/>
      </c>
      <c r="D2026" s="56">
        <f>IF($B2026=0,"",IF(Inputs!$B$7="","",IF($AE2026=0,D2025,SUMIFS(Data!$F$10:$F$3209,Data!$E$10:$E$3209,"&gt;="&amp;$A2026,Data!$E$10:$E$3209,"&lt;"&amp;$A2026+1)/$AE2026)))</f>
        <v/>
      </c>
      <c r="E2026" s="56">
        <f>IF($B2026=0,"",IF(Inputs!$B$8="","",IF($AF2026=0,E2025,SUMIFS(Data!$J$10:$J$3209,Data!$I$10:$I$3209,"&gt;="&amp;$A2026,Data!$I$10:$I$3209,"&lt;"&amp;$A2026+1)/$AF2026)))</f>
        <v/>
      </c>
      <c r="F2026" s="56">
        <f>IF($B2026=0,"",IF(Inputs!$B$9="","",IF($AG2026=0,F2025,SUMIFS(Data!$N$10:$N$3209,Data!$M$10:$M$3209,"&gt;="&amp;$A2026,Data!$M$10:$M$3209,"&lt;"&amp;$A2026+1)/$AG2026)))</f>
        <v/>
      </c>
      <c r="G2026" s="56">
        <f>IF($B2026=0,"",IF(Inputs!$B$10="","",IF($AH2026=0,G2025,SUMIFS(Data!$R$10:$R$3209,Data!$Q$10:$Q$3209,"&gt;="&amp;$A2026,Data!$Q$10:$Q$3209,"&lt;"&amp;$A2026+1)/$AH2026)))</f>
        <v/>
      </c>
      <c r="I2026" s="54">
        <f>IF($B2026=0,NA(),IF($C2026="",NA(),IF(C$8="",NA(),IF(N(C$8)=0,NA(),IF(Inputs!$C$17="Rebased to 100",$C2026/C$8*100,$C2026)))))</f>
        <v/>
      </c>
      <c r="J2026" s="54">
        <f>IF($B2026=0,NA(),IF($D2026="",NA(),IF(D$8="",NA(),IF(N(D$8)=0,NA(),IF(Inputs!$C$17="Rebased to 100",$D2026/D$8*100,$D2026)))))</f>
        <v/>
      </c>
      <c r="K2026" s="54">
        <f>IF($B2026=0,NA(),IF($E2026="",NA(),IF(E$8="",NA(),IF(N(E$8)=0,NA(),IF(Inputs!$C$17="Rebased to 100",$E2026/E$8*100,$E2026)))))</f>
        <v/>
      </c>
      <c r="L2026" s="54">
        <f>IF($B2026=0,NA(),IF($F2026="",NA(),IF(F$8="",NA(),IF(N(F$8)=0,NA(),IF(Inputs!$C$17="Rebased to 100",$F2026/F$8*100,$F2026)))))</f>
        <v/>
      </c>
      <c r="M2026" s="54">
        <f>IF($B2026=0,NA(),IF($G2026="",NA(),IF(G$8="",NA(),IF(N(G$8)=0,NA(),IF(Inputs!$C$17="Rebased to 100",$G2026/G$8*100,$G2026)))))</f>
        <v/>
      </c>
      <c r="N2026" s="54">
        <f>IF($B2026=0,NA(),IF(Inputs!$C$18&lt;&gt;"Yes",NA(),IF(COUNT(I2026,J2026,K2026,L2026,M2026)=0,NA(),MIN(I2026,J2026,K2026,L2026,M2026))))</f>
        <v/>
      </c>
      <c r="O2026" s="54">
        <f>IF($B2026=0,NA(),IF(Inputs!$B$24&lt;&gt;"Yes",NA(),Inputs!$D$24*Inputs!$C$35))</f>
        <v/>
      </c>
      <c r="P2026" s="54">
        <f>IF($B2026=0,NA(),IF(Inputs!$B$25&lt;&gt;"Yes",NA(),Inputs!$D$25*Inputs!$C$35))</f>
        <v/>
      </c>
      <c r="Q2026" s="54">
        <f>IF($B2026=0,NA(),IF(Inputs!$B$26&lt;&gt;"Yes",NA(),Inputs!$D$26*Inputs!$C$35))</f>
        <v/>
      </c>
      <c r="R2026" s="54">
        <f>IF($B2026=0,NA(),IF(Inputs!$B$27&lt;&gt;"Yes",NA(),Inputs!$D$27*Inputs!$C$35))</f>
        <v/>
      </c>
      <c r="S2026" s="54">
        <f>IF($B2026=0,NA(),IF(Inputs!$B$28&lt;&gt;"Yes",NA(),Inputs!$D$28*Inputs!$C$35))</f>
        <v/>
      </c>
      <c r="T2026" s="54">
        <f>IF($B2026=0,NA(),IF(Inputs!$B$29&lt;&gt;"Yes",NA(),Inputs!$D$29*Inputs!$C$35))</f>
        <v/>
      </c>
      <c r="AD2026">
        <f>IF($B2026=0,0,IF(Inputs!$B$6="",0,COUNTIFS(Data!$A$10:$A$3209,"&gt;="&amp;$A2026,Data!$A$10:$A$3209,"&lt;"&amp;$A2026+1)))</f>
        <v/>
      </c>
      <c r="AE2026">
        <f>IF($B2026=0,0,IF(Inputs!$B$7="",0,COUNTIFS(Data!$E$10:$E$3209,"&gt;="&amp;$A2026,Data!$E$10:$E$3209,"&lt;"&amp;$A2026+1)))</f>
        <v/>
      </c>
      <c r="AF2026">
        <f>IF($B2026=0,0,IF(Inputs!$B$8="",0,COUNTIFS(Data!$I$10:$I$3209,"&gt;="&amp;$A2026,Data!$I$10:$I$3209,"&lt;"&amp;$A2026+1)))</f>
        <v/>
      </c>
      <c r="AG2026">
        <f>IF($B2026=0,0,IF(Inputs!$B$9="",0,COUNTIFS(Data!$M$10:$M$3209,"&gt;="&amp;$A2026,Data!$M$10:$M$3209,"&lt;"&amp;$A2026+1)))</f>
        <v/>
      </c>
      <c r="AH2026">
        <f>IF($B2026=0,0,IF(Inputs!$B$10="",0,COUNTIFS(Data!$Q$10:$Q$3209,"&gt;="&amp;$A2026,Data!$Q$10:$Q$3209,"&lt;"&amp;$A2026+1)))</f>
        <v/>
      </c>
    </row>
    <row r="2027">
      <c r="A2027" s="55">
        <f>MIN(Inputs!$C$15,$A2026+IF(WEEKDAY($A2026,2)=5,3,1))</f>
        <v/>
      </c>
      <c r="B2027">
        <f>IF($A2027&gt;$A2026,1,0)</f>
        <v/>
      </c>
      <c r="C2027" s="56">
        <f>IF($B2027=0,"",IF(Inputs!$B$6="","",IF($AD2027=0,C2026,SUMIFS(Data!$B$10:$B$3209,Data!$A$10:$A$3209,"&gt;="&amp;$A2027,Data!$A$10:$A$3209,"&lt;"&amp;$A2027+1)/$AD2027)))</f>
        <v/>
      </c>
      <c r="D2027" s="56">
        <f>IF($B2027=0,"",IF(Inputs!$B$7="","",IF($AE2027=0,D2026,SUMIFS(Data!$F$10:$F$3209,Data!$E$10:$E$3209,"&gt;="&amp;$A2027,Data!$E$10:$E$3209,"&lt;"&amp;$A2027+1)/$AE2027)))</f>
        <v/>
      </c>
      <c r="E2027" s="56">
        <f>IF($B2027=0,"",IF(Inputs!$B$8="","",IF($AF2027=0,E2026,SUMIFS(Data!$J$10:$J$3209,Data!$I$10:$I$3209,"&gt;="&amp;$A2027,Data!$I$10:$I$3209,"&lt;"&amp;$A2027+1)/$AF2027)))</f>
        <v/>
      </c>
      <c r="F2027" s="56">
        <f>IF($B2027=0,"",IF(Inputs!$B$9="","",IF($AG2027=0,F2026,SUMIFS(Data!$N$10:$N$3209,Data!$M$10:$M$3209,"&gt;="&amp;$A2027,Data!$M$10:$M$3209,"&lt;"&amp;$A2027+1)/$AG2027)))</f>
        <v/>
      </c>
      <c r="G2027" s="56">
        <f>IF($B2027=0,"",IF(Inputs!$B$10="","",IF($AH2027=0,G2026,SUMIFS(Data!$R$10:$R$3209,Data!$Q$10:$Q$3209,"&gt;="&amp;$A2027,Data!$Q$10:$Q$3209,"&lt;"&amp;$A2027+1)/$AH2027)))</f>
        <v/>
      </c>
      <c r="I2027" s="54">
        <f>IF($B2027=0,NA(),IF($C2027="",NA(),IF(C$8="",NA(),IF(N(C$8)=0,NA(),IF(Inputs!$C$17="Rebased to 100",$C2027/C$8*100,$C2027)))))</f>
        <v/>
      </c>
      <c r="J2027" s="54">
        <f>IF($B2027=0,NA(),IF($D2027="",NA(),IF(D$8="",NA(),IF(N(D$8)=0,NA(),IF(Inputs!$C$17="Rebased to 100",$D2027/D$8*100,$D2027)))))</f>
        <v/>
      </c>
      <c r="K2027" s="54">
        <f>IF($B2027=0,NA(),IF($E2027="",NA(),IF(E$8="",NA(),IF(N(E$8)=0,NA(),IF(Inputs!$C$17="Rebased to 100",$E2027/E$8*100,$E2027)))))</f>
        <v/>
      </c>
      <c r="L2027" s="54">
        <f>IF($B2027=0,NA(),IF($F2027="",NA(),IF(F$8="",NA(),IF(N(F$8)=0,NA(),IF(Inputs!$C$17="Rebased to 100",$F2027/F$8*100,$F2027)))))</f>
        <v/>
      </c>
      <c r="M2027" s="54">
        <f>IF($B2027=0,NA(),IF($G2027="",NA(),IF(G$8="",NA(),IF(N(G$8)=0,NA(),IF(Inputs!$C$17="Rebased to 100",$G2027/G$8*100,$G2027)))))</f>
        <v/>
      </c>
      <c r="N2027" s="54">
        <f>IF($B2027=0,NA(),IF(Inputs!$C$18&lt;&gt;"Yes",NA(),IF(COUNT(I2027,J2027,K2027,L2027,M2027)=0,NA(),MIN(I2027,J2027,K2027,L2027,M2027))))</f>
        <v/>
      </c>
      <c r="O2027" s="54">
        <f>IF($B2027=0,NA(),IF(Inputs!$B$24&lt;&gt;"Yes",NA(),Inputs!$D$24*Inputs!$C$35))</f>
        <v/>
      </c>
      <c r="P2027" s="54">
        <f>IF($B2027=0,NA(),IF(Inputs!$B$25&lt;&gt;"Yes",NA(),Inputs!$D$25*Inputs!$C$35))</f>
        <v/>
      </c>
      <c r="Q2027" s="54">
        <f>IF($B2027=0,NA(),IF(Inputs!$B$26&lt;&gt;"Yes",NA(),Inputs!$D$26*Inputs!$C$35))</f>
        <v/>
      </c>
      <c r="R2027" s="54">
        <f>IF($B2027=0,NA(),IF(Inputs!$B$27&lt;&gt;"Yes",NA(),Inputs!$D$27*Inputs!$C$35))</f>
        <v/>
      </c>
      <c r="S2027" s="54">
        <f>IF($B2027=0,NA(),IF(Inputs!$B$28&lt;&gt;"Yes",NA(),Inputs!$D$28*Inputs!$C$35))</f>
        <v/>
      </c>
      <c r="T2027" s="54">
        <f>IF($B2027=0,NA(),IF(Inputs!$B$29&lt;&gt;"Yes",NA(),Inputs!$D$29*Inputs!$C$35))</f>
        <v/>
      </c>
      <c r="AD2027">
        <f>IF($B2027=0,0,IF(Inputs!$B$6="",0,COUNTIFS(Data!$A$10:$A$3209,"&gt;="&amp;$A2027,Data!$A$10:$A$3209,"&lt;"&amp;$A2027+1)))</f>
        <v/>
      </c>
      <c r="AE2027">
        <f>IF($B2027=0,0,IF(Inputs!$B$7="",0,COUNTIFS(Data!$E$10:$E$3209,"&gt;="&amp;$A2027,Data!$E$10:$E$3209,"&lt;"&amp;$A2027+1)))</f>
        <v/>
      </c>
      <c r="AF2027">
        <f>IF($B2027=0,0,IF(Inputs!$B$8="",0,COUNTIFS(Data!$I$10:$I$3209,"&gt;="&amp;$A2027,Data!$I$10:$I$3209,"&lt;"&amp;$A2027+1)))</f>
        <v/>
      </c>
      <c r="AG2027">
        <f>IF($B2027=0,0,IF(Inputs!$B$9="",0,COUNTIFS(Data!$M$10:$M$3209,"&gt;="&amp;$A2027,Data!$M$10:$M$3209,"&lt;"&amp;$A2027+1)))</f>
        <v/>
      </c>
      <c r="AH2027">
        <f>IF($B2027=0,0,IF(Inputs!$B$10="",0,COUNTIFS(Data!$Q$10:$Q$3209,"&gt;="&amp;$A2027,Data!$Q$10:$Q$3209,"&lt;"&amp;$A2027+1)))</f>
        <v/>
      </c>
    </row>
    <row r="2028">
      <c r="A2028" s="55">
        <f>MIN(Inputs!$C$15,$A2027+IF(WEEKDAY($A2027,2)=5,3,1))</f>
        <v/>
      </c>
      <c r="B2028">
        <f>IF($A2028&gt;$A2027,1,0)</f>
        <v/>
      </c>
      <c r="C2028" s="56">
        <f>IF($B2028=0,"",IF(Inputs!$B$6="","",IF($AD2028=0,C2027,SUMIFS(Data!$B$10:$B$3209,Data!$A$10:$A$3209,"&gt;="&amp;$A2028,Data!$A$10:$A$3209,"&lt;"&amp;$A2028+1)/$AD2028)))</f>
        <v/>
      </c>
      <c r="D2028" s="56">
        <f>IF($B2028=0,"",IF(Inputs!$B$7="","",IF($AE2028=0,D2027,SUMIFS(Data!$F$10:$F$3209,Data!$E$10:$E$3209,"&gt;="&amp;$A2028,Data!$E$10:$E$3209,"&lt;"&amp;$A2028+1)/$AE2028)))</f>
        <v/>
      </c>
      <c r="E2028" s="56">
        <f>IF($B2028=0,"",IF(Inputs!$B$8="","",IF($AF2028=0,E2027,SUMIFS(Data!$J$10:$J$3209,Data!$I$10:$I$3209,"&gt;="&amp;$A2028,Data!$I$10:$I$3209,"&lt;"&amp;$A2028+1)/$AF2028)))</f>
        <v/>
      </c>
      <c r="F2028" s="56">
        <f>IF($B2028=0,"",IF(Inputs!$B$9="","",IF($AG2028=0,F2027,SUMIFS(Data!$N$10:$N$3209,Data!$M$10:$M$3209,"&gt;="&amp;$A2028,Data!$M$10:$M$3209,"&lt;"&amp;$A2028+1)/$AG2028)))</f>
        <v/>
      </c>
      <c r="G2028" s="56">
        <f>IF($B2028=0,"",IF(Inputs!$B$10="","",IF($AH2028=0,G2027,SUMIFS(Data!$R$10:$R$3209,Data!$Q$10:$Q$3209,"&gt;="&amp;$A2028,Data!$Q$10:$Q$3209,"&lt;"&amp;$A2028+1)/$AH2028)))</f>
        <v/>
      </c>
      <c r="I2028" s="54">
        <f>IF($B2028=0,NA(),IF($C2028="",NA(),IF(C$8="",NA(),IF(N(C$8)=0,NA(),IF(Inputs!$C$17="Rebased to 100",$C2028/C$8*100,$C2028)))))</f>
        <v/>
      </c>
      <c r="J2028" s="54">
        <f>IF($B2028=0,NA(),IF($D2028="",NA(),IF(D$8="",NA(),IF(N(D$8)=0,NA(),IF(Inputs!$C$17="Rebased to 100",$D2028/D$8*100,$D2028)))))</f>
        <v/>
      </c>
      <c r="K2028" s="54">
        <f>IF($B2028=0,NA(),IF($E2028="",NA(),IF(E$8="",NA(),IF(N(E$8)=0,NA(),IF(Inputs!$C$17="Rebased to 100",$E2028/E$8*100,$E2028)))))</f>
        <v/>
      </c>
      <c r="L2028" s="54">
        <f>IF($B2028=0,NA(),IF($F2028="",NA(),IF(F$8="",NA(),IF(N(F$8)=0,NA(),IF(Inputs!$C$17="Rebased to 100",$F2028/F$8*100,$F2028)))))</f>
        <v/>
      </c>
      <c r="M2028" s="54">
        <f>IF($B2028=0,NA(),IF($G2028="",NA(),IF(G$8="",NA(),IF(N(G$8)=0,NA(),IF(Inputs!$C$17="Rebased to 100",$G2028/G$8*100,$G2028)))))</f>
        <v/>
      </c>
      <c r="N2028" s="54">
        <f>IF($B2028=0,NA(),IF(Inputs!$C$18&lt;&gt;"Yes",NA(),IF(COUNT(I2028,J2028,K2028,L2028,M2028)=0,NA(),MIN(I2028,J2028,K2028,L2028,M2028))))</f>
        <v/>
      </c>
      <c r="O2028" s="54">
        <f>IF($B2028=0,NA(),IF(Inputs!$B$24&lt;&gt;"Yes",NA(),Inputs!$D$24*Inputs!$C$35))</f>
        <v/>
      </c>
      <c r="P2028" s="54">
        <f>IF($B2028=0,NA(),IF(Inputs!$B$25&lt;&gt;"Yes",NA(),Inputs!$D$25*Inputs!$C$35))</f>
        <v/>
      </c>
      <c r="Q2028" s="54">
        <f>IF($B2028=0,NA(),IF(Inputs!$B$26&lt;&gt;"Yes",NA(),Inputs!$D$26*Inputs!$C$35))</f>
        <v/>
      </c>
      <c r="R2028" s="54">
        <f>IF($B2028=0,NA(),IF(Inputs!$B$27&lt;&gt;"Yes",NA(),Inputs!$D$27*Inputs!$C$35))</f>
        <v/>
      </c>
      <c r="S2028" s="54">
        <f>IF($B2028=0,NA(),IF(Inputs!$B$28&lt;&gt;"Yes",NA(),Inputs!$D$28*Inputs!$C$35))</f>
        <v/>
      </c>
      <c r="T2028" s="54">
        <f>IF($B2028=0,NA(),IF(Inputs!$B$29&lt;&gt;"Yes",NA(),Inputs!$D$29*Inputs!$C$35))</f>
        <v/>
      </c>
      <c r="AD2028">
        <f>IF($B2028=0,0,IF(Inputs!$B$6="",0,COUNTIFS(Data!$A$10:$A$3209,"&gt;="&amp;$A2028,Data!$A$10:$A$3209,"&lt;"&amp;$A2028+1)))</f>
        <v/>
      </c>
      <c r="AE2028">
        <f>IF($B2028=0,0,IF(Inputs!$B$7="",0,COUNTIFS(Data!$E$10:$E$3209,"&gt;="&amp;$A2028,Data!$E$10:$E$3209,"&lt;"&amp;$A2028+1)))</f>
        <v/>
      </c>
      <c r="AF2028">
        <f>IF($B2028=0,0,IF(Inputs!$B$8="",0,COUNTIFS(Data!$I$10:$I$3209,"&gt;="&amp;$A2028,Data!$I$10:$I$3209,"&lt;"&amp;$A2028+1)))</f>
        <v/>
      </c>
      <c r="AG2028">
        <f>IF($B2028=0,0,IF(Inputs!$B$9="",0,COUNTIFS(Data!$M$10:$M$3209,"&gt;="&amp;$A2028,Data!$M$10:$M$3209,"&lt;"&amp;$A2028+1)))</f>
        <v/>
      </c>
      <c r="AH2028">
        <f>IF($B2028=0,0,IF(Inputs!$B$10="",0,COUNTIFS(Data!$Q$10:$Q$3209,"&gt;="&amp;$A2028,Data!$Q$10:$Q$3209,"&lt;"&amp;$A2028+1)))</f>
        <v/>
      </c>
    </row>
    <row r="2029">
      <c r="A2029" s="55">
        <f>MIN(Inputs!$C$15,$A2028+IF(WEEKDAY($A2028,2)=5,3,1))</f>
        <v/>
      </c>
      <c r="B2029">
        <f>IF($A2029&gt;$A2028,1,0)</f>
        <v/>
      </c>
      <c r="C2029" s="56">
        <f>IF($B2029=0,"",IF(Inputs!$B$6="","",IF($AD2029=0,C2028,SUMIFS(Data!$B$10:$B$3209,Data!$A$10:$A$3209,"&gt;="&amp;$A2029,Data!$A$10:$A$3209,"&lt;"&amp;$A2029+1)/$AD2029)))</f>
        <v/>
      </c>
      <c r="D2029" s="56">
        <f>IF($B2029=0,"",IF(Inputs!$B$7="","",IF($AE2029=0,D2028,SUMIFS(Data!$F$10:$F$3209,Data!$E$10:$E$3209,"&gt;="&amp;$A2029,Data!$E$10:$E$3209,"&lt;"&amp;$A2029+1)/$AE2029)))</f>
        <v/>
      </c>
      <c r="E2029" s="56">
        <f>IF($B2029=0,"",IF(Inputs!$B$8="","",IF($AF2029=0,E2028,SUMIFS(Data!$J$10:$J$3209,Data!$I$10:$I$3209,"&gt;="&amp;$A2029,Data!$I$10:$I$3209,"&lt;"&amp;$A2029+1)/$AF2029)))</f>
        <v/>
      </c>
      <c r="F2029" s="56">
        <f>IF($B2029=0,"",IF(Inputs!$B$9="","",IF($AG2029=0,F2028,SUMIFS(Data!$N$10:$N$3209,Data!$M$10:$M$3209,"&gt;="&amp;$A2029,Data!$M$10:$M$3209,"&lt;"&amp;$A2029+1)/$AG2029)))</f>
        <v/>
      </c>
      <c r="G2029" s="56">
        <f>IF($B2029=0,"",IF(Inputs!$B$10="","",IF($AH2029=0,G2028,SUMIFS(Data!$R$10:$R$3209,Data!$Q$10:$Q$3209,"&gt;="&amp;$A2029,Data!$Q$10:$Q$3209,"&lt;"&amp;$A2029+1)/$AH2029)))</f>
        <v/>
      </c>
      <c r="I2029" s="54">
        <f>IF($B2029=0,NA(),IF($C2029="",NA(),IF(C$8="",NA(),IF(N(C$8)=0,NA(),IF(Inputs!$C$17="Rebased to 100",$C2029/C$8*100,$C2029)))))</f>
        <v/>
      </c>
      <c r="J2029" s="54">
        <f>IF($B2029=0,NA(),IF($D2029="",NA(),IF(D$8="",NA(),IF(N(D$8)=0,NA(),IF(Inputs!$C$17="Rebased to 100",$D2029/D$8*100,$D2029)))))</f>
        <v/>
      </c>
      <c r="K2029" s="54">
        <f>IF($B2029=0,NA(),IF($E2029="",NA(),IF(E$8="",NA(),IF(N(E$8)=0,NA(),IF(Inputs!$C$17="Rebased to 100",$E2029/E$8*100,$E2029)))))</f>
        <v/>
      </c>
      <c r="L2029" s="54">
        <f>IF($B2029=0,NA(),IF($F2029="",NA(),IF(F$8="",NA(),IF(N(F$8)=0,NA(),IF(Inputs!$C$17="Rebased to 100",$F2029/F$8*100,$F2029)))))</f>
        <v/>
      </c>
      <c r="M2029" s="54">
        <f>IF($B2029=0,NA(),IF($G2029="",NA(),IF(G$8="",NA(),IF(N(G$8)=0,NA(),IF(Inputs!$C$17="Rebased to 100",$G2029/G$8*100,$G2029)))))</f>
        <v/>
      </c>
      <c r="N2029" s="54">
        <f>IF($B2029=0,NA(),IF(Inputs!$C$18&lt;&gt;"Yes",NA(),IF(COUNT(I2029,J2029,K2029,L2029,M2029)=0,NA(),MIN(I2029,J2029,K2029,L2029,M2029))))</f>
        <v/>
      </c>
      <c r="O2029" s="54">
        <f>IF($B2029=0,NA(),IF(Inputs!$B$24&lt;&gt;"Yes",NA(),Inputs!$D$24*Inputs!$C$35))</f>
        <v/>
      </c>
      <c r="P2029" s="54">
        <f>IF($B2029=0,NA(),IF(Inputs!$B$25&lt;&gt;"Yes",NA(),Inputs!$D$25*Inputs!$C$35))</f>
        <v/>
      </c>
      <c r="Q2029" s="54">
        <f>IF($B2029=0,NA(),IF(Inputs!$B$26&lt;&gt;"Yes",NA(),Inputs!$D$26*Inputs!$C$35))</f>
        <v/>
      </c>
      <c r="R2029" s="54">
        <f>IF($B2029=0,NA(),IF(Inputs!$B$27&lt;&gt;"Yes",NA(),Inputs!$D$27*Inputs!$C$35))</f>
        <v/>
      </c>
      <c r="S2029" s="54">
        <f>IF($B2029=0,NA(),IF(Inputs!$B$28&lt;&gt;"Yes",NA(),Inputs!$D$28*Inputs!$C$35))</f>
        <v/>
      </c>
      <c r="T2029" s="54">
        <f>IF($B2029=0,NA(),IF(Inputs!$B$29&lt;&gt;"Yes",NA(),Inputs!$D$29*Inputs!$C$35))</f>
        <v/>
      </c>
      <c r="AD2029">
        <f>IF($B2029=0,0,IF(Inputs!$B$6="",0,COUNTIFS(Data!$A$10:$A$3209,"&gt;="&amp;$A2029,Data!$A$10:$A$3209,"&lt;"&amp;$A2029+1)))</f>
        <v/>
      </c>
      <c r="AE2029">
        <f>IF($B2029=0,0,IF(Inputs!$B$7="",0,COUNTIFS(Data!$E$10:$E$3209,"&gt;="&amp;$A2029,Data!$E$10:$E$3209,"&lt;"&amp;$A2029+1)))</f>
        <v/>
      </c>
      <c r="AF2029">
        <f>IF($B2029=0,0,IF(Inputs!$B$8="",0,COUNTIFS(Data!$I$10:$I$3209,"&gt;="&amp;$A2029,Data!$I$10:$I$3209,"&lt;"&amp;$A2029+1)))</f>
        <v/>
      </c>
      <c r="AG2029">
        <f>IF($B2029=0,0,IF(Inputs!$B$9="",0,COUNTIFS(Data!$M$10:$M$3209,"&gt;="&amp;$A2029,Data!$M$10:$M$3209,"&lt;"&amp;$A2029+1)))</f>
        <v/>
      </c>
      <c r="AH2029">
        <f>IF($B2029=0,0,IF(Inputs!$B$10="",0,COUNTIFS(Data!$Q$10:$Q$3209,"&gt;="&amp;$A2029,Data!$Q$10:$Q$3209,"&lt;"&amp;$A2029+1)))</f>
        <v/>
      </c>
    </row>
    <row r="2030">
      <c r="A2030" s="55">
        <f>MIN(Inputs!$C$15,$A2029+IF(WEEKDAY($A2029,2)=5,3,1))</f>
        <v/>
      </c>
      <c r="B2030">
        <f>IF($A2030&gt;$A2029,1,0)</f>
        <v/>
      </c>
      <c r="C2030" s="56">
        <f>IF($B2030=0,"",IF(Inputs!$B$6="","",IF($AD2030=0,C2029,SUMIFS(Data!$B$10:$B$3209,Data!$A$10:$A$3209,"&gt;="&amp;$A2030,Data!$A$10:$A$3209,"&lt;"&amp;$A2030+1)/$AD2030)))</f>
        <v/>
      </c>
      <c r="D2030" s="56">
        <f>IF($B2030=0,"",IF(Inputs!$B$7="","",IF($AE2030=0,D2029,SUMIFS(Data!$F$10:$F$3209,Data!$E$10:$E$3209,"&gt;="&amp;$A2030,Data!$E$10:$E$3209,"&lt;"&amp;$A2030+1)/$AE2030)))</f>
        <v/>
      </c>
      <c r="E2030" s="56">
        <f>IF($B2030=0,"",IF(Inputs!$B$8="","",IF($AF2030=0,E2029,SUMIFS(Data!$J$10:$J$3209,Data!$I$10:$I$3209,"&gt;="&amp;$A2030,Data!$I$10:$I$3209,"&lt;"&amp;$A2030+1)/$AF2030)))</f>
        <v/>
      </c>
      <c r="F2030" s="56">
        <f>IF($B2030=0,"",IF(Inputs!$B$9="","",IF($AG2030=0,F2029,SUMIFS(Data!$N$10:$N$3209,Data!$M$10:$M$3209,"&gt;="&amp;$A2030,Data!$M$10:$M$3209,"&lt;"&amp;$A2030+1)/$AG2030)))</f>
        <v/>
      </c>
      <c r="G2030" s="56">
        <f>IF($B2030=0,"",IF(Inputs!$B$10="","",IF($AH2030=0,G2029,SUMIFS(Data!$R$10:$R$3209,Data!$Q$10:$Q$3209,"&gt;="&amp;$A2030,Data!$Q$10:$Q$3209,"&lt;"&amp;$A2030+1)/$AH2030)))</f>
        <v/>
      </c>
      <c r="I2030" s="54">
        <f>IF($B2030=0,NA(),IF($C2030="",NA(),IF(C$8="",NA(),IF(N(C$8)=0,NA(),IF(Inputs!$C$17="Rebased to 100",$C2030/C$8*100,$C2030)))))</f>
        <v/>
      </c>
      <c r="J2030" s="54">
        <f>IF($B2030=0,NA(),IF($D2030="",NA(),IF(D$8="",NA(),IF(N(D$8)=0,NA(),IF(Inputs!$C$17="Rebased to 100",$D2030/D$8*100,$D2030)))))</f>
        <v/>
      </c>
      <c r="K2030" s="54">
        <f>IF($B2030=0,NA(),IF($E2030="",NA(),IF(E$8="",NA(),IF(N(E$8)=0,NA(),IF(Inputs!$C$17="Rebased to 100",$E2030/E$8*100,$E2030)))))</f>
        <v/>
      </c>
      <c r="L2030" s="54">
        <f>IF($B2030=0,NA(),IF($F2030="",NA(),IF(F$8="",NA(),IF(N(F$8)=0,NA(),IF(Inputs!$C$17="Rebased to 100",$F2030/F$8*100,$F2030)))))</f>
        <v/>
      </c>
      <c r="M2030" s="54">
        <f>IF($B2030=0,NA(),IF($G2030="",NA(),IF(G$8="",NA(),IF(N(G$8)=0,NA(),IF(Inputs!$C$17="Rebased to 100",$G2030/G$8*100,$G2030)))))</f>
        <v/>
      </c>
      <c r="N2030" s="54">
        <f>IF($B2030=0,NA(),IF(Inputs!$C$18&lt;&gt;"Yes",NA(),IF(COUNT(I2030,J2030,K2030,L2030,M2030)=0,NA(),MIN(I2030,J2030,K2030,L2030,M2030))))</f>
        <v/>
      </c>
      <c r="O2030" s="54">
        <f>IF($B2030=0,NA(),IF(Inputs!$B$24&lt;&gt;"Yes",NA(),Inputs!$D$24*Inputs!$C$35))</f>
        <v/>
      </c>
      <c r="P2030" s="54">
        <f>IF($B2030=0,NA(),IF(Inputs!$B$25&lt;&gt;"Yes",NA(),Inputs!$D$25*Inputs!$C$35))</f>
        <v/>
      </c>
      <c r="Q2030" s="54">
        <f>IF($B2030=0,NA(),IF(Inputs!$B$26&lt;&gt;"Yes",NA(),Inputs!$D$26*Inputs!$C$35))</f>
        <v/>
      </c>
      <c r="R2030" s="54">
        <f>IF($B2030=0,NA(),IF(Inputs!$B$27&lt;&gt;"Yes",NA(),Inputs!$D$27*Inputs!$C$35))</f>
        <v/>
      </c>
      <c r="S2030" s="54">
        <f>IF($B2030=0,NA(),IF(Inputs!$B$28&lt;&gt;"Yes",NA(),Inputs!$D$28*Inputs!$C$35))</f>
        <v/>
      </c>
      <c r="T2030" s="54">
        <f>IF($B2030=0,NA(),IF(Inputs!$B$29&lt;&gt;"Yes",NA(),Inputs!$D$29*Inputs!$C$35))</f>
        <v/>
      </c>
      <c r="AD2030">
        <f>IF($B2030=0,0,IF(Inputs!$B$6="",0,COUNTIFS(Data!$A$10:$A$3209,"&gt;="&amp;$A2030,Data!$A$10:$A$3209,"&lt;"&amp;$A2030+1)))</f>
        <v/>
      </c>
      <c r="AE2030">
        <f>IF($B2030=0,0,IF(Inputs!$B$7="",0,COUNTIFS(Data!$E$10:$E$3209,"&gt;="&amp;$A2030,Data!$E$10:$E$3209,"&lt;"&amp;$A2030+1)))</f>
        <v/>
      </c>
      <c r="AF2030">
        <f>IF($B2030=0,0,IF(Inputs!$B$8="",0,COUNTIFS(Data!$I$10:$I$3209,"&gt;="&amp;$A2030,Data!$I$10:$I$3209,"&lt;"&amp;$A2030+1)))</f>
        <v/>
      </c>
      <c r="AG2030">
        <f>IF($B2030=0,0,IF(Inputs!$B$9="",0,COUNTIFS(Data!$M$10:$M$3209,"&gt;="&amp;$A2030,Data!$M$10:$M$3209,"&lt;"&amp;$A2030+1)))</f>
        <v/>
      </c>
      <c r="AH2030">
        <f>IF($B2030=0,0,IF(Inputs!$B$10="",0,COUNTIFS(Data!$Q$10:$Q$3209,"&gt;="&amp;$A2030,Data!$Q$10:$Q$3209,"&lt;"&amp;$A2030+1)))</f>
        <v/>
      </c>
    </row>
    <row r="2031">
      <c r="A2031" s="55">
        <f>MIN(Inputs!$C$15,$A2030+IF(WEEKDAY($A2030,2)=5,3,1))</f>
        <v/>
      </c>
      <c r="B2031">
        <f>IF($A2031&gt;$A2030,1,0)</f>
        <v/>
      </c>
      <c r="C2031" s="56">
        <f>IF($B2031=0,"",IF(Inputs!$B$6="","",IF($AD2031=0,C2030,SUMIFS(Data!$B$10:$B$3209,Data!$A$10:$A$3209,"&gt;="&amp;$A2031,Data!$A$10:$A$3209,"&lt;"&amp;$A2031+1)/$AD2031)))</f>
        <v/>
      </c>
      <c r="D2031" s="56">
        <f>IF($B2031=0,"",IF(Inputs!$B$7="","",IF($AE2031=0,D2030,SUMIFS(Data!$F$10:$F$3209,Data!$E$10:$E$3209,"&gt;="&amp;$A2031,Data!$E$10:$E$3209,"&lt;"&amp;$A2031+1)/$AE2031)))</f>
        <v/>
      </c>
      <c r="E2031" s="56">
        <f>IF($B2031=0,"",IF(Inputs!$B$8="","",IF($AF2031=0,E2030,SUMIFS(Data!$J$10:$J$3209,Data!$I$10:$I$3209,"&gt;="&amp;$A2031,Data!$I$10:$I$3209,"&lt;"&amp;$A2031+1)/$AF2031)))</f>
        <v/>
      </c>
      <c r="F2031" s="56">
        <f>IF($B2031=0,"",IF(Inputs!$B$9="","",IF($AG2031=0,F2030,SUMIFS(Data!$N$10:$N$3209,Data!$M$10:$M$3209,"&gt;="&amp;$A2031,Data!$M$10:$M$3209,"&lt;"&amp;$A2031+1)/$AG2031)))</f>
        <v/>
      </c>
      <c r="G2031" s="56">
        <f>IF($B2031=0,"",IF(Inputs!$B$10="","",IF($AH2031=0,G2030,SUMIFS(Data!$R$10:$R$3209,Data!$Q$10:$Q$3209,"&gt;="&amp;$A2031,Data!$Q$10:$Q$3209,"&lt;"&amp;$A2031+1)/$AH2031)))</f>
        <v/>
      </c>
      <c r="I2031" s="54">
        <f>IF($B2031=0,NA(),IF($C2031="",NA(),IF(C$8="",NA(),IF(N(C$8)=0,NA(),IF(Inputs!$C$17="Rebased to 100",$C2031/C$8*100,$C2031)))))</f>
        <v/>
      </c>
      <c r="J2031" s="54">
        <f>IF($B2031=0,NA(),IF($D2031="",NA(),IF(D$8="",NA(),IF(N(D$8)=0,NA(),IF(Inputs!$C$17="Rebased to 100",$D2031/D$8*100,$D2031)))))</f>
        <v/>
      </c>
      <c r="K2031" s="54">
        <f>IF($B2031=0,NA(),IF($E2031="",NA(),IF(E$8="",NA(),IF(N(E$8)=0,NA(),IF(Inputs!$C$17="Rebased to 100",$E2031/E$8*100,$E2031)))))</f>
        <v/>
      </c>
      <c r="L2031" s="54">
        <f>IF($B2031=0,NA(),IF($F2031="",NA(),IF(F$8="",NA(),IF(N(F$8)=0,NA(),IF(Inputs!$C$17="Rebased to 100",$F2031/F$8*100,$F2031)))))</f>
        <v/>
      </c>
      <c r="M2031" s="54">
        <f>IF($B2031=0,NA(),IF($G2031="",NA(),IF(G$8="",NA(),IF(N(G$8)=0,NA(),IF(Inputs!$C$17="Rebased to 100",$G2031/G$8*100,$G2031)))))</f>
        <v/>
      </c>
      <c r="N2031" s="54">
        <f>IF($B2031=0,NA(),IF(Inputs!$C$18&lt;&gt;"Yes",NA(),IF(COUNT(I2031,J2031,K2031,L2031,M2031)=0,NA(),MIN(I2031,J2031,K2031,L2031,M2031))))</f>
        <v/>
      </c>
      <c r="O2031" s="54">
        <f>IF($B2031=0,NA(),IF(Inputs!$B$24&lt;&gt;"Yes",NA(),Inputs!$D$24*Inputs!$C$35))</f>
        <v/>
      </c>
      <c r="P2031" s="54">
        <f>IF($B2031=0,NA(),IF(Inputs!$B$25&lt;&gt;"Yes",NA(),Inputs!$D$25*Inputs!$C$35))</f>
        <v/>
      </c>
      <c r="Q2031" s="54">
        <f>IF($B2031=0,NA(),IF(Inputs!$B$26&lt;&gt;"Yes",NA(),Inputs!$D$26*Inputs!$C$35))</f>
        <v/>
      </c>
      <c r="R2031" s="54">
        <f>IF($B2031=0,NA(),IF(Inputs!$B$27&lt;&gt;"Yes",NA(),Inputs!$D$27*Inputs!$C$35))</f>
        <v/>
      </c>
      <c r="S2031" s="54">
        <f>IF($B2031=0,NA(),IF(Inputs!$B$28&lt;&gt;"Yes",NA(),Inputs!$D$28*Inputs!$C$35))</f>
        <v/>
      </c>
      <c r="T2031" s="54">
        <f>IF($B2031=0,NA(),IF(Inputs!$B$29&lt;&gt;"Yes",NA(),Inputs!$D$29*Inputs!$C$35))</f>
        <v/>
      </c>
      <c r="AD2031">
        <f>IF($B2031=0,0,IF(Inputs!$B$6="",0,COUNTIFS(Data!$A$10:$A$3209,"&gt;="&amp;$A2031,Data!$A$10:$A$3209,"&lt;"&amp;$A2031+1)))</f>
        <v/>
      </c>
      <c r="AE2031">
        <f>IF($B2031=0,0,IF(Inputs!$B$7="",0,COUNTIFS(Data!$E$10:$E$3209,"&gt;="&amp;$A2031,Data!$E$10:$E$3209,"&lt;"&amp;$A2031+1)))</f>
        <v/>
      </c>
      <c r="AF2031">
        <f>IF($B2031=0,0,IF(Inputs!$B$8="",0,COUNTIFS(Data!$I$10:$I$3209,"&gt;="&amp;$A2031,Data!$I$10:$I$3209,"&lt;"&amp;$A2031+1)))</f>
        <v/>
      </c>
      <c r="AG2031">
        <f>IF($B2031=0,0,IF(Inputs!$B$9="",0,COUNTIFS(Data!$M$10:$M$3209,"&gt;="&amp;$A2031,Data!$M$10:$M$3209,"&lt;"&amp;$A2031+1)))</f>
        <v/>
      </c>
      <c r="AH2031">
        <f>IF($B2031=0,0,IF(Inputs!$B$10="",0,COUNTIFS(Data!$Q$10:$Q$3209,"&gt;="&amp;$A2031,Data!$Q$10:$Q$3209,"&lt;"&amp;$A2031+1)))</f>
        <v/>
      </c>
    </row>
    <row r="2032">
      <c r="A2032" s="55">
        <f>MIN(Inputs!$C$15,$A2031+IF(WEEKDAY($A2031,2)=5,3,1))</f>
        <v/>
      </c>
      <c r="B2032">
        <f>IF($A2032&gt;$A2031,1,0)</f>
        <v/>
      </c>
      <c r="C2032" s="56">
        <f>IF($B2032=0,"",IF(Inputs!$B$6="","",IF($AD2032=0,C2031,SUMIFS(Data!$B$10:$B$3209,Data!$A$10:$A$3209,"&gt;="&amp;$A2032,Data!$A$10:$A$3209,"&lt;"&amp;$A2032+1)/$AD2032)))</f>
        <v/>
      </c>
      <c r="D2032" s="56">
        <f>IF($B2032=0,"",IF(Inputs!$B$7="","",IF($AE2032=0,D2031,SUMIFS(Data!$F$10:$F$3209,Data!$E$10:$E$3209,"&gt;="&amp;$A2032,Data!$E$10:$E$3209,"&lt;"&amp;$A2032+1)/$AE2032)))</f>
        <v/>
      </c>
      <c r="E2032" s="56">
        <f>IF($B2032=0,"",IF(Inputs!$B$8="","",IF($AF2032=0,E2031,SUMIFS(Data!$J$10:$J$3209,Data!$I$10:$I$3209,"&gt;="&amp;$A2032,Data!$I$10:$I$3209,"&lt;"&amp;$A2032+1)/$AF2032)))</f>
        <v/>
      </c>
      <c r="F2032" s="56">
        <f>IF($B2032=0,"",IF(Inputs!$B$9="","",IF($AG2032=0,F2031,SUMIFS(Data!$N$10:$N$3209,Data!$M$10:$M$3209,"&gt;="&amp;$A2032,Data!$M$10:$M$3209,"&lt;"&amp;$A2032+1)/$AG2032)))</f>
        <v/>
      </c>
      <c r="G2032" s="56">
        <f>IF($B2032=0,"",IF(Inputs!$B$10="","",IF($AH2032=0,G2031,SUMIFS(Data!$R$10:$R$3209,Data!$Q$10:$Q$3209,"&gt;="&amp;$A2032,Data!$Q$10:$Q$3209,"&lt;"&amp;$A2032+1)/$AH2032)))</f>
        <v/>
      </c>
      <c r="I2032" s="54">
        <f>IF($B2032=0,NA(),IF($C2032="",NA(),IF(C$8="",NA(),IF(N(C$8)=0,NA(),IF(Inputs!$C$17="Rebased to 100",$C2032/C$8*100,$C2032)))))</f>
        <v/>
      </c>
      <c r="J2032" s="54">
        <f>IF($B2032=0,NA(),IF($D2032="",NA(),IF(D$8="",NA(),IF(N(D$8)=0,NA(),IF(Inputs!$C$17="Rebased to 100",$D2032/D$8*100,$D2032)))))</f>
        <v/>
      </c>
      <c r="K2032" s="54">
        <f>IF($B2032=0,NA(),IF($E2032="",NA(),IF(E$8="",NA(),IF(N(E$8)=0,NA(),IF(Inputs!$C$17="Rebased to 100",$E2032/E$8*100,$E2032)))))</f>
        <v/>
      </c>
      <c r="L2032" s="54">
        <f>IF($B2032=0,NA(),IF($F2032="",NA(),IF(F$8="",NA(),IF(N(F$8)=0,NA(),IF(Inputs!$C$17="Rebased to 100",$F2032/F$8*100,$F2032)))))</f>
        <v/>
      </c>
      <c r="M2032" s="54">
        <f>IF($B2032=0,NA(),IF($G2032="",NA(),IF(G$8="",NA(),IF(N(G$8)=0,NA(),IF(Inputs!$C$17="Rebased to 100",$G2032/G$8*100,$G2032)))))</f>
        <v/>
      </c>
      <c r="N2032" s="54">
        <f>IF($B2032=0,NA(),IF(Inputs!$C$18&lt;&gt;"Yes",NA(),IF(COUNT(I2032,J2032,K2032,L2032,M2032)=0,NA(),MIN(I2032,J2032,K2032,L2032,M2032))))</f>
        <v/>
      </c>
      <c r="O2032" s="54">
        <f>IF($B2032=0,NA(),IF(Inputs!$B$24&lt;&gt;"Yes",NA(),Inputs!$D$24*Inputs!$C$35))</f>
        <v/>
      </c>
      <c r="P2032" s="54">
        <f>IF($B2032=0,NA(),IF(Inputs!$B$25&lt;&gt;"Yes",NA(),Inputs!$D$25*Inputs!$C$35))</f>
        <v/>
      </c>
      <c r="Q2032" s="54">
        <f>IF($B2032=0,NA(),IF(Inputs!$B$26&lt;&gt;"Yes",NA(),Inputs!$D$26*Inputs!$C$35))</f>
        <v/>
      </c>
      <c r="R2032" s="54">
        <f>IF($B2032=0,NA(),IF(Inputs!$B$27&lt;&gt;"Yes",NA(),Inputs!$D$27*Inputs!$C$35))</f>
        <v/>
      </c>
      <c r="S2032" s="54">
        <f>IF($B2032=0,NA(),IF(Inputs!$B$28&lt;&gt;"Yes",NA(),Inputs!$D$28*Inputs!$C$35))</f>
        <v/>
      </c>
      <c r="T2032" s="54">
        <f>IF($B2032=0,NA(),IF(Inputs!$B$29&lt;&gt;"Yes",NA(),Inputs!$D$29*Inputs!$C$35))</f>
        <v/>
      </c>
      <c r="AD2032">
        <f>IF($B2032=0,0,IF(Inputs!$B$6="",0,COUNTIFS(Data!$A$10:$A$3209,"&gt;="&amp;$A2032,Data!$A$10:$A$3209,"&lt;"&amp;$A2032+1)))</f>
        <v/>
      </c>
      <c r="AE2032">
        <f>IF($B2032=0,0,IF(Inputs!$B$7="",0,COUNTIFS(Data!$E$10:$E$3209,"&gt;="&amp;$A2032,Data!$E$10:$E$3209,"&lt;"&amp;$A2032+1)))</f>
        <v/>
      </c>
      <c r="AF2032">
        <f>IF($B2032=0,0,IF(Inputs!$B$8="",0,COUNTIFS(Data!$I$10:$I$3209,"&gt;="&amp;$A2032,Data!$I$10:$I$3209,"&lt;"&amp;$A2032+1)))</f>
        <v/>
      </c>
      <c r="AG2032">
        <f>IF($B2032=0,0,IF(Inputs!$B$9="",0,COUNTIFS(Data!$M$10:$M$3209,"&gt;="&amp;$A2032,Data!$M$10:$M$3209,"&lt;"&amp;$A2032+1)))</f>
        <v/>
      </c>
      <c r="AH2032">
        <f>IF($B2032=0,0,IF(Inputs!$B$10="",0,COUNTIFS(Data!$Q$10:$Q$3209,"&gt;="&amp;$A2032,Data!$Q$10:$Q$3209,"&lt;"&amp;$A2032+1)))</f>
        <v/>
      </c>
    </row>
    <row r="2033">
      <c r="A2033" s="55">
        <f>MIN(Inputs!$C$15,$A2032+IF(WEEKDAY($A2032,2)=5,3,1))</f>
        <v/>
      </c>
      <c r="B2033">
        <f>IF($A2033&gt;$A2032,1,0)</f>
        <v/>
      </c>
      <c r="C2033" s="56">
        <f>IF($B2033=0,"",IF(Inputs!$B$6="","",IF($AD2033=0,C2032,SUMIFS(Data!$B$10:$B$3209,Data!$A$10:$A$3209,"&gt;="&amp;$A2033,Data!$A$10:$A$3209,"&lt;"&amp;$A2033+1)/$AD2033)))</f>
        <v/>
      </c>
      <c r="D2033" s="56">
        <f>IF($B2033=0,"",IF(Inputs!$B$7="","",IF($AE2033=0,D2032,SUMIFS(Data!$F$10:$F$3209,Data!$E$10:$E$3209,"&gt;="&amp;$A2033,Data!$E$10:$E$3209,"&lt;"&amp;$A2033+1)/$AE2033)))</f>
        <v/>
      </c>
      <c r="E2033" s="56">
        <f>IF($B2033=0,"",IF(Inputs!$B$8="","",IF($AF2033=0,E2032,SUMIFS(Data!$J$10:$J$3209,Data!$I$10:$I$3209,"&gt;="&amp;$A2033,Data!$I$10:$I$3209,"&lt;"&amp;$A2033+1)/$AF2033)))</f>
        <v/>
      </c>
      <c r="F2033" s="56">
        <f>IF($B2033=0,"",IF(Inputs!$B$9="","",IF($AG2033=0,F2032,SUMIFS(Data!$N$10:$N$3209,Data!$M$10:$M$3209,"&gt;="&amp;$A2033,Data!$M$10:$M$3209,"&lt;"&amp;$A2033+1)/$AG2033)))</f>
        <v/>
      </c>
      <c r="G2033" s="56">
        <f>IF($B2033=0,"",IF(Inputs!$B$10="","",IF($AH2033=0,G2032,SUMIFS(Data!$R$10:$R$3209,Data!$Q$10:$Q$3209,"&gt;="&amp;$A2033,Data!$Q$10:$Q$3209,"&lt;"&amp;$A2033+1)/$AH2033)))</f>
        <v/>
      </c>
      <c r="I2033" s="54">
        <f>IF($B2033=0,NA(),IF($C2033="",NA(),IF(C$8="",NA(),IF(N(C$8)=0,NA(),IF(Inputs!$C$17="Rebased to 100",$C2033/C$8*100,$C2033)))))</f>
        <v/>
      </c>
      <c r="J2033" s="54">
        <f>IF($B2033=0,NA(),IF($D2033="",NA(),IF(D$8="",NA(),IF(N(D$8)=0,NA(),IF(Inputs!$C$17="Rebased to 100",$D2033/D$8*100,$D2033)))))</f>
        <v/>
      </c>
      <c r="K2033" s="54">
        <f>IF($B2033=0,NA(),IF($E2033="",NA(),IF(E$8="",NA(),IF(N(E$8)=0,NA(),IF(Inputs!$C$17="Rebased to 100",$E2033/E$8*100,$E2033)))))</f>
        <v/>
      </c>
      <c r="L2033" s="54">
        <f>IF($B2033=0,NA(),IF($F2033="",NA(),IF(F$8="",NA(),IF(N(F$8)=0,NA(),IF(Inputs!$C$17="Rebased to 100",$F2033/F$8*100,$F2033)))))</f>
        <v/>
      </c>
      <c r="M2033" s="54">
        <f>IF($B2033=0,NA(),IF($G2033="",NA(),IF(G$8="",NA(),IF(N(G$8)=0,NA(),IF(Inputs!$C$17="Rebased to 100",$G2033/G$8*100,$G2033)))))</f>
        <v/>
      </c>
      <c r="N2033" s="54">
        <f>IF($B2033=0,NA(),IF(Inputs!$C$18&lt;&gt;"Yes",NA(),IF(COUNT(I2033,J2033,K2033,L2033,M2033)=0,NA(),MIN(I2033,J2033,K2033,L2033,M2033))))</f>
        <v/>
      </c>
      <c r="O2033" s="54">
        <f>IF($B2033=0,NA(),IF(Inputs!$B$24&lt;&gt;"Yes",NA(),Inputs!$D$24*Inputs!$C$35))</f>
        <v/>
      </c>
      <c r="P2033" s="54">
        <f>IF($B2033=0,NA(),IF(Inputs!$B$25&lt;&gt;"Yes",NA(),Inputs!$D$25*Inputs!$C$35))</f>
        <v/>
      </c>
      <c r="Q2033" s="54">
        <f>IF($B2033=0,NA(),IF(Inputs!$B$26&lt;&gt;"Yes",NA(),Inputs!$D$26*Inputs!$C$35))</f>
        <v/>
      </c>
      <c r="R2033" s="54">
        <f>IF($B2033=0,NA(),IF(Inputs!$B$27&lt;&gt;"Yes",NA(),Inputs!$D$27*Inputs!$C$35))</f>
        <v/>
      </c>
      <c r="S2033" s="54">
        <f>IF($B2033=0,NA(),IF(Inputs!$B$28&lt;&gt;"Yes",NA(),Inputs!$D$28*Inputs!$C$35))</f>
        <v/>
      </c>
      <c r="T2033" s="54">
        <f>IF($B2033=0,NA(),IF(Inputs!$B$29&lt;&gt;"Yes",NA(),Inputs!$D$29*Inputs!$C$35))</f>
        <v/>
      </c>
      <c r="AD2033">
        <f>IF($B2033=0,0,IF(Inputs!$B$6="",0,COUNTIFS(Data!$A$10:$A$3209,"&gt;="&amp;$A2033,Data!$A$10:$A$3209,"&lt;"&amp;$A2033+1)))</f>
        <v/>
      </c>
      <c r="AE2033">
        <f>IF($B2033=0,0,IF(Inputs!$B$7="",0,COUNTIFS(Data!$E$10:$E$3209,"&gt;="&amp;$A2033,Data!$E$10:$E$3209,"&lt;"&amp;$A2033+1)))</f>
        <v/>
      </c>
      <c r="AF2033">
        <f>IF($B2033=0,0,IF(Inputs!$B$8="",0,COUNTIFS(Data!$I$10:$I$3209,"&gt;="&amp;$A2033,Data!$I$10:$I$3209,"&lt;"&amp;$A2033+1)))</f>
        <v/>
      </c>
      <c r="AG2033">
        <f>IF($B2033=0,0,IF(Inputs!$B$9="",0,COUNTIFS(Data!$M$10:$M$3209,"&gt;="&amp;$A2033,Data!$M$10:$M$3209,"&lt;"&amp;$A2033+1)))</f>
        <v/>
      </c>
      <c r="AH2033">
        <f>IF($B2033=0,0,IF(Inputs!$B$10="",0,COUNTIFS(Data!$Q$10:$Q$3209,"&gt;="&amp;$A2033,Data!$Q$10:$Q$3209,"&lt;"&amp;$A2033+1)))</f>
        <v/>
      </c>
    </row>
    <row r="2034">
      <c r="A2034" s="55">
        <f>MIN(Inputs!$C$15,$A2033+IF(WEEKDAY($A2033,2)=5,3,1))</f>
        <v/>
      </c>
      <c r="B2034">
        <f>IF($A2034&gt;$A2033,1,0)</f>
        <v/>
      </c>
      <c r="C2034" s="56">
        <f>IF($B2034=0,"",IF(Inputs!$B$6="","",IF($AD2034=0,C2033,SUMIFS(Data!$B$10:$B$3209,Data!$A$10:$A$3209,"&gt;="&amp;$A2034,Data!$A$10:$A$3209,"&lt;"&amp;$A2034+1)/$AD2034)))</f>
        <v/>
      </c>
      <c r="D2034" s="56">
        <f>IF($B2034=0,"",IF(Inputs!$B$7="","",IF($AE2034=0,D2033,SUMIFS(Data!$F$10:$F$3209,Data!$E$10:$E$3209,"&gt;="&amp;$A2034,Data!$E$10:$E$3209,"&lt;"&amp;$A2034+1)/$AE2034)))</f>
        <v/>
      </c>
      <c r="E2034" s="56">
        <f>IF($B2034=0,"",IF(Inputs!$B$8="","",IF($AF2034=0,E2033,SUMIFS(Data!$J$10:$J$3209,Data!$I$10:$I$3209,"&gt;="&amp;$A2034,Data!$I$10:$I$3209,"&lt;"&amp;$A2034+1)/$AF2034)))</f>
        <v/>
      </c>
      <c r="F2034" s="56">
        <f>IF($B2034=0,"",IF(Inputs!$B$9="","",IF($AG2034=0,F2033,SUMIFS(Data!$N$10:$N$3209,Data!$M$10:$M$3209,"&gt;="&amp;$A2034,Data!$M$10:$M$3209,"&lt;"&amp;$A2034+1)/$AG2034)))</f>
        <v/>
      </c>
      <c r="G2034" s="56">
        <f>IF($B2034=0,"",IF(Inputs!$B$10="","",IF($AH2034=0,G2033,SUMIFS(Data!$R$10:$R$3209,Data!$Q$10:$Q$3209,"&gt;="&amp;$A2034,Data!$Q$10:$Q$3209,"&lt;"&amp;$A2034+1)/$AH2034)))</f>
        <v/>
      </c>
      <c r="I2034" s="54">
        <f>IF($B2034=0,NA(),IF($C2034="",NA(),IF(C$8="",NA(),IF(N(C$8)=0,NA(),IF(Inputs!$C$17="Rebased to 100",$C2034/C$8*100,$C2034)))))</f>
        <v/>
      </c>
      <c r="J2034" s="54">
        <f>IF($B2034=0,NA(),IF($D2034="",NA(),IF(D$8="",NA(),IF(N(D$8)=0,NA(),IF(Inputs!$C$17="Rebased to 100",$D2034/D$8*100,$D2034)))))</f>
        <v/>
      </c>
      <c r="K2034" s="54">
        <f>IF($B2034=0,NA(),IF($E2034="",NA(),IF(E$8="",NA(),IF(N(E$8)=0,NA(),IF(Inputs!$C$17="Rebased to 100",$E2034/E$8*100,$E2034)))))</f>
        <v/>
      </c>
      <c r="L2034" s="54">
        <f>IF($B2034=0,NA(),IF($F2034="",NA(),IF(F$8="",NA(),IF(N(F$8)=0,NA(),IF(Inputs!$C$17="Rebased to 100",$F2034/F$8*100,$F2034)))))</f>
        <v/>
      </c>
      <c r="M2034" s="54">
        <f>IF($B2034=0,NA(),IF($G2034="",NA(),IF(G$8="",NA(),IF(N(G$8)=0,NA(),IF(Inputs!$C$17="Rebased to 100",$G2034/G$8*100,$G2034)))))</f>
        <v/>
      </c>
      <c r="N2034" s="54">
        <f>IF($B2034=0,NA(),IF(Inputs!$C$18&lt;&gt;"Yes",NA(),IF(COUNT(I2034,J2034,K2034,L2034,M2034)=0,NA(),MIN(I2034,J2034,K2034,L2034,M2034))))</f>
        <v/>
      </c>
      <c r="O2034" s="54">
        <f>IF($B2034=0,NA(),IF(Inputs!$B$24&lt;&gt;"Yes",NA(),Inputs!$D$24*Inputs!$C$35))</f>
        <v/>
      </c>
      <c r="P2034" s="54">
        <f>IF($B2034=0,NA(),IF(Inputs!$B$25&lt;&gt;"Yes",NA(),Inputs!$D$25*Inputs!$C$35))</f>
        <v/>
      </c>
      <c r="Q2034" s="54">
        <f>IF($B2034=0,NA(),IF(Inputs!$B$26&lt;&gt;"Yes",NA(),Inputs!$D$26*Inputs!$C$35))</f>
        <v/>
      </c>
      <c r="R2034" s="54">
        <f>IF($B2034=0,NA(),IF(Inputs!$B$27&lt;&gt;"Yes",NA(),Inputs!$D$27*Inputs!$C$35))</f>
        <v/>
      </c>
      <c r="S2034" s="54">
        <f>IF($B2034=0,NA(),IF(Inputs!$B$28&lt;&gt;"Yes",NA(),Inputs!$D$28*Inputs!$C$35))</f>
        <v/>
      </c>
      <c r="T2034" s="54">
        <f>IF($B2034=0,NA(),IF(Inputs!$B$29&lt;&gt;"Yes",NA(),Inputs!$D$29*Inputs!$C$35))</f>
        <v/>
      </c>
      <c r="AD2034">
        <f>IF($B2034=0,0,IF(Inputs!$B$6="",0,COUNTIFS(Data!$A$10:$A$3209,"&gt;="&amp;$A2034,Data!$A$10:$A$3209,"&lt;"&amp;$A2034+1)))</f>
        <v/>
      </c>
      <c r="AE2034">
        <f>IF($B2034=0,0,IF(Inputs!$B$7="",0,COUNTIFS(Data!$E$10:$E$3209,"&gt;="&amp;$A2034,Data!$E$10:$E$3209,"&lt;"&amp;$A2034+1)))</f>
        <v/>
      </c>
      <c r="AF2034">
        <f>IF($B2034=0,0,IF(Inputs!$B$8="",0,COUNTIFS(Data!$I$10:$I$3209,"&gt;="&amp;$A2034,Data!$I$10:$I$3209,"&lt;"&amp;$A2034+1)))</f>
        <v/>
      </c>
      <c r="AG2034">
        <f>IF($B2034=0,0,IF(Inputs!$B$9="",0,COUNTIFS(Data!$M$10:$M$3209,"&gt;="&amp;$A2034,Data!$M$10:$M$3209,"&lt;"&amp;$A2034+1)))</f>
        <v/>
      </c>
      <c r="AH2034">
        <f>IF($B2034=0,0,IF(Inputs!$B$10="",0,COUNTIFS(Data!$Q$10:$Q$3209,"&gt;="&amp;$A2034,Data!$Q$10:$Q$3209,"&lt;"&amp;$A2034+1)))</f>
        <v/>
      </c>
    </row>
    <row r="2035">
      <c r="A2035" s="55">
        <f>MIN(Inputs!$C$15,$A2034+IF(WEEKDAY($A2034,2)=5,3,1))</f>
        <v/>
      </c>
      <c r="B2035">
        <f>IF($A2035&gt;$A2034,1,0)</f>
        <v/>
      </c>
      <c r="C2035" s="56">
        <f>IF($B2035=0,"",IF(Inputs!$B$6="","",IF($AD2035=0,C2034,SUMIFS(Data!$B$10:$B$3209,Data!$A$10:$A$3209,"&gt;="&amp;$A2035,Data!$A$10:$A$3209,"&lt;"&amp;$A2035+1)/$AD2035)))</f>
        <v/>
      </c>
      <c r="D2035" s="56">
        <f>IF($B2035=0,"",IF(Inputs!$B$7="","",IF($AE2035=0,D2034,SUMIFS(Data!$F$10:$F$3209,Data!$E$10:$E$3209,"&gt;="&amp;$A2035,Data!$E$10:$E$3209,"&lt;"&amp;$A2035+1)/$AE2035)))</f>
        <v/>
      </c>
      <c r="E2035" s="56">
        <f>IF($B2035=0,"",IF(Inputs!$B$8="","",IF($AF2035=0,E2034,SUMIFS(Data!$J$10:$J$3209,Data!$I$10:$I$3209,"&gt;="&amp;$A2035,Data!$I$10:$I$3209,"&lt;"&amp;$A2035+1)/$AF2035)))</f>
        <v/>
      </c>
      <c r="F2035" s="56">
        <f>IF($B2035=0,"",IF(Inputs!$B$9="","",IF($AG2035=0,F2034,SUMIFS(Data!$N$10:$N$3209,Data!$M$10:$M$3209,"&gt;="&amp;$A2035,Data!$M$10:$M$3209,"&lt;"&amp;$A2035+1)/$AG2035)))</f>
        <v/>
      </c>
      <c r="G2035" s="56">
        <f>IF($B2035=0,"",IF(Inputs!$B$10="","",IF($AH2035=0,G2034,SUMIFS(Data!$R$10:$R$3209,Data!$Q$10:$Q$3209,"&gt;="&amp;$A2035,Data!$Q$10:$Q$3209,"&lt;"&amp;$A2035+1)/$AH2035)))</f>
        <v/>
      </c>
      <c r="I2035" s="54">
        <f>IF($B2035=0,NA(),IF($C2035="",NA(),IF(C$8="",NA(),IF(N(C$8)=0,NA(),IF(Inputs!$C$17="Rebased to 100",$C2035/C$8*100,$C2035)))))</f>
        <v/>
      </c>
      <c r="J2035" s="54">
        <f>IF($B2035=0,NA(),IF($D2035="",NA(),IF(D$8="",NA(),IF(N(D$8)=0,NA(),IF(Inputs!$C$17="Rebased to 100",$D2035/D$8*100,$D2035)))))</f>
        <v/>
      </c>
      <c r="K2035" s="54">
        <f>IF($B2035=0,NA(),IF($E2035="",NA(),IF(E$8="",NA(),IF(N(E$8)=0,NA(),IF(Inputs!$C$17="Rebased to 100",$E2035/E$8*100,$E2035)))))</f>
        <v/>
      </c>
      <c r="L2035" s="54">
        <f>IF($B2035=0,NA(),IF($F2035="",NA(),IF(F$8="",NA(),IF(N(F$8)=0,NA(),IF(Inputs!$C$17="Rebased to 100",$F2035/F$8*100,$F2035)))))</f>
        <v/>
      </c>
      <c r="M2035" s="54">
        <f>IF($B2035=0,NA(),IF($G2035="",NA(),IF(G$8="",NA(),IF(N(G$8)=0,NA(),IF(Inputs!$C$17="Rebased to 100",$G2035/G$8*100,$G2035)))))</f>
        <v/>
      </c>
      <c r="N2035" s="54">
        <f>IF($B2035=0,NA(),IF(Inputs!$C$18&lt;&gt;"Yes",NA(),IF(COUNT(I2035,J2035,K2035,L2035,M2035)=0,NA(),MIN(I2035,J2035,K2035,L2035,M2035))))</f>
        <v/>
      </c>
      <c r="O2035" s="54">
        <f>IF($B2035=0,NA(),IF(Inputs!$B$24&lt;&gt;"Yes",NA(),Inputs!$D$24*Inputs!$C$35))</f>
        <v/>
      </c>
      <c r="P2035" s="54">
        <f>IF($B2035=0,NA(),IF(Inputs!$B$25&lt;&gt;"Yes",NA(),Inputs!$D$25*Inputs!$C$35))</f>
        <v/>
      </c>
      <c r="Q2035" s="54">
        <f>IF($B2035=0,NA(),IF(Inputs!$B$26&lt;&gt;"Yes",NA(),Inputs!$D$26*Inputs!$C$35))</f>
        <v/>
      </c>
      <c r="R2035" s="54">
        <f>IF($B2035=0,NA(),IF(Inputs!$B$27&lt;&gt;"Yes",NA(),Inputs!$D$27*Inputs!$C$35))</f>
        <v/>
      </c>
      <c r="S2035" s="54">
        <f>IF($B2035=0,NA(),IF(Inputs!$B$28&lt;&gt;"Yes",NA(),Inputs!$D$28*Inputs!$C$35))</f>
        <v/>
      </c>
      <c r="T2035" s="54">
        <f>IF($B2035=0,NA(),IF(Inputs!$B$29&lt;&gt;"Yes",NA(),Inputs!$D$29*Inputs!$C$35))</f>
        <v/>
      </c>
      <c r="AD2035">
        <f>IF($B2035=0,0,IF(Inputs!$B$6="",0,COUNTIFS(Data!$A$10:$A$3209,"&gt;="&amp;$A2035,Data!$A$10:$A$3209,"&lt;"&amp;$A2035+1)))</f>
        <v/>
      </c>
      <c r="AE2035">
        <f>IF($B2035=0,0,IF(Inputs!$B$7="",0,COUNTIFS(Data!$E$10:$E$3209,"&gt;="&amp;$A2035,Data!$E$10:$E$3209,"&lt;"&amp;$A2035+1)))</f>
        <v/>
      </c>
      <c r="AF2035">
        <f>IF($B2035=0,0,IF(Inputs!$B$8="",0,COUNTIFS(Data!$I$10:$I$3209,"&gt;="&amp;$A2035,Data!$I$10:$I$3209,"&lt;"&amp;$A2035+1)))</f>
        <v/>
      </c>
      <c r="AG2035">
        <f>IF($B2035=0,0,IF(Inputs!$B$9="",0,COUNTIFS(Data!$M$10:$M$3209,"&gt;="&amp;$A2035,Data!$M$10:$M$3209,"&lt;"&amp;$A2035+1)))</f>
        <v/>
      </c>
      <c r="AH2035">
        <f>IF($B2035=0,0,IF(Inputs!$B$10="",0,COUNTIFS(Data!$Q$10:$Q$3209,"&gt;="&amp;$A2035,Data!$Q$10:$Q$3209,"&lt;"&amp;$A2035+1)))</f>
        <v/>
      </c>
    </row>
    <row r="2036">
      <c r="A2036" s="55">
        <f>MIN(Inputs!$C$15,$A2035+IF(WEEKDAY($A2035,2)=5,3,1))</f>
        <v/>
      </c>
      <c r="B2036">
        <f>IF($A2036&gt;$A2035,1,0)</f>
        <v/>
      </c>
      <c r="C2036" s="56">
        <f>IF($B2036=0,"",IF(Inputs!$B$6="","",IF($AD2036=0,C2035,SUMIFS(Data!$B$10:$B$3209,Data!$A$10:$A$3209,"&gt;="&amp;$A2036,Data!$A$10:$A$3209,"&lt;"&amp;$A2036+1)/$AD2036)))</f>
        <v/>
      </c>
      <c r="D2036" s="56">
        <f>IF($B2036=0,"",IF(Inputs!$B$7="","",IF($AE2036=0,D2035,SUMIFS(Data!$F$10:$F$3209,Data!$E$10:$E$3209,"&gt;="&amp;$A2036,Data!$E$10:$E$3209,"&lt;"&amp;$A2036+1)/$AE2036)))</f>
        <v/>
      </c>
      <c r="E2036" s="56">
        <f>IF($B2036=0,"",IF(Inputs!$B$8="","",IF($AF2036=0,E2035,SUMIFS(Data!$J$10:$J$3209,Data!$I$10:$I$3209,"&gt;="&amp;$A2036,Data!$I$10:$I$3209,"&lt;"&amp;$A2036+1)/$AF2036)))</f>
        <v/>
      </c>
      <c r="F2036" s="56">
        <f>IF($B2036=0,"",IF(Inputs!$B$9="","",IF($AG2036=0,F2035,SUMIFS(Data!$N$10:$N$3209,Data!$M$10:$M$3209,"&gt;="&amp;$A2036,Data!$M$10:$M$3209,"&lt;"&amp;$A2036+1)/$AG2036)))</f>
        <v/>
      </c>
      <c r="G2036" s="56">
        <f>IF($B2036=0,"",IF(Inputs!$B$10="","",IF($AH2036=0,G2035,SUMIFS(Data!$R$10:$R$3209,Data!$Q$10:$Q$3209,"&gt;="&amp;$A2036,Data!$Q$10:$Q$3209,"&lt;"&amp;$A2036+1)/$AH2036)))</f>
        <v/>
      </c>
      <c r="I2036" s="54">
        <f>IF($B2036=0,NA(),IF($C2036="",NA(),IF(C$8="",NA(),IF(N(C$8)=0,NA(),IF(Inputs!$C$17="Rebased to 100",$C2036/C$8*100,$C2036)))))</f>
        <v/>
      </c>
      <c r="J2036" s="54">
        <f>IF($B2036=0,NA(),IF($D2036="",NA(),IF(D$8="",NA(),IF(N(D$8)=0,NA(),IF(Inputs!$C$17="Rebased to 100",$D2036/D$8*100,$D2036)))))</f>
        <v/>
      </c>
      <c r="K2036" s="54">
        <f>IF($B2036=0,NA(),IF($E2036="",NA(),IF(E$8="",NA(),IF(N(E$8)=0,NA(),IF(Inputs!$C$17="Rebased to 100",$E2036/E$8*100,$E2036)))))</f>
        <v/>
      </c>
      <c r="L2036" s="54">
        <f>IF($B2036=0,NA(),IF($F2036="",NA(),IF(F$8="",NA(),IF(N(F$8)=0,NA(),IF(Inputs!$C$17="Rebased to 100",$F2036/F$8*100,$F2036)))))</f>
        <v/>
      </c>
      <c r="M2036" s="54">
        <f>IF($B2036=0,NA(),IF($G2036="",NA(),IF(G$8="",NA(),IF(N(G$8)=0,NA(),IF(Inputs!$C$17="Rebased to 100",$G2036/G$8*100,$G2036)))))</f>
        <v/>
      </c>
      <c r="N2036" s="54">
        <f>IF($B2036=0,NA(),IF(Inputs!$C$18&lt;&gt;"Yes",NA(),IF(COUNT(I2036,J2036,K2036,L2036,M2036)=0,NA(),MIN(I2036,J2036,K2036,L2036,M2036))))</f>
        <v/>
      </c>
      <c r="O2036" s="54">
        <f>IF($B2036=0,NA(),IF(Inputs!$B$24&lt;&gt;"Yes",NA(),Inputs!$D$24*Inputs!$C$35))</f>
        <v/>
      </c>
      <c r="P2036" s="54">
        <f>IF($B2036=0,NA(),IF(Inputs!$B$25&lt;&gt;"Yes",NA(),Inputs!$D$25*Inputs!$C$35))</f>
        <v/>
      </c>
      <c r="Q2036" s="54">
        <f>IF($B2036=0,NA(),IF(Inputs!$B$26&lt;&gt;"Yes",NA(),Inputs!$D$26*Inputs!$C$35))</f>
        <v/>
      </c>
      <c r="R2036" s="54">
        <f>IF($B2036=0,NA(),IF(Inputs!$B$27&lt;&gt;"Yes",NA(),Inputs!$D$27*Inputs!$C$35))</f>
        <v/>
      </c>
      <c r="S2036" s="54">
        <f>IF($B2036=0,NA(),IF(Inputs!$B$28&lt;&gt;"Yes",NA(),Inputs!$D$28*Inputs!$C$35))</f>
        <v/>
      </c>
      <c r="T2036" s="54">
        <f>IF($B2036=0,NA(),IF(Inputs!$B$29&lt;&gt;"Yes",NA(),Inputs!$D$29*Inputs!$C$35))</f>
        <v/>
      </c>
      <c r="AD2036">
        <f>IF($B2036=0,0,IF(Inputs!$B$6="",0,COUNTIFS(Data!$A$10:$A$3209,"&gt;="&amp;$A2036,Data!$A$10:$A$3209,"&lt;"&amp;$A2036+1)))</f>
        <v/>
      </c>
      <c r="AE2036">
        <f>IF($B2036=0,0,IF(Inputs!$B$7="",0,COUNTIFS(Data!$E$10:$E$3209,"&gt;="&amp;$A2036,Data!$E$10:$E$3209,"&lt;"&amp;$A2036+1)))</f>
        <v/>
      </c>
      <c r="AF2036">
        <f>IF($B2036=0,0,IF(Inputs!$B$8="",0,COUNTIFS(Data!$I$10:$I$3209,"&gt;="&amp;$A2036,Data!$I$10:$I$3209,"&lt;"&amp;$A2036+1)))</f>
        <v/>
      </c>
      <c r="AG2036">
        <f>IF($B2036=0,0,IF(Inputs!$B$9="",0,COUNTIFS(Data!$M$10:$M$3209,"&gt;="&amp;$A2036,Data!$M$10:$M$3209,"&lt;"&amp;$A2036+1)))</f>
        <v/>
      </c>
      <c r="AH2036">
        <f>IF($B2036=0,0,IF(Inputs!$B$10="",0,COUNTIFS(Data!$Q$10:$Q$3209,"&gt;="&amp;$A2036,Data!$Q$10:$Q$3209,"&lt;"&amp;$A2036+1)))</f>
        <v/>
      </c>
    </row>
    <row r="2037">
      <c r="A2037" s="55">
        <f>MIN(Inputs!$C$15,$A2036+IF(WEEKDAY($A2036,2)=5,3,1))</f>
        <v/>
      </c>
      <c r="B2037">
        <f>IF($A2037&gt;$A2036,1,0)</f>
        <v/>
      </c>
      <c r="C2037" s="56">
        <f>IF($B2037=0,"",IF(Inputs!$B$6="","",IF($AD2037=0,C2036,SUMIFS(Data!$B$10:$B$3209,Data!$A$10:$A$3209,"&gt;="&amp;$A2037,Data!$A$10:$A$3209,"&lt;"&amp;$A2037+1)/$AD2037)))</f>
        <v/>
      </c>
      <c r="D2037" s="56">
        <f>IF($B2037=0,"",IF(Inputs!$B$7="","",IF($AE2037=0,D2036,SUMIFS(Data!$F$10:$F$3209,Data!$E$10:$E$3209,"&gt;="&amp;$A2037,Data!$E$10:$E$3209,"&lt;"&amp;$A2037+1)/$AE2037)))</f>
        <v/>
      </c>
      <c r="E2037" s="56">
        <f>IF($B2037=0,"",IF(Inputs!$B$8="","",IF($AF2037=0,E2036,SUMIFS(Data!$J$10:$J$3209,Data!$I$10:$I$3209,"&gt;="&amp;$A2037,Data!$I$10:$I$3209,"&lt;"&amp;$A2037+1)/$AF2037)))</f>
        <v/>
      </c>
      <c r="F2037" s="56">
        <f>IF($B2037=0,"",IF(Inputs!$B$9="","",IF($AG2037=0,F2036,SUMIFS(Data!$N$10:$N$3209,Data!$M$10:$M$3209,"&gt;="&amp;$A2037,Data!$M$10:$M$3209,"&lt;"&amp;$A2037+1)/$AG2037)))</f>
        <v/>
      </c>
      <c r="G2037" s="56">
        <f>IF($B2037=0,"",IF(Inputs!$B$10="","",IF($AH2037=0,G2036,SUMIFS(Data!$R$10:$R$3209,Data!$Q$10:$Q$3209,"&gt;="&amp;$A2037,Data!$Q$10:$Q$3209,"&lt;"&amp;$A2037+1)/$AH2037)))</f>
        <v/>
      </c>
      <c r="I2037" s="54">
        <f>IF($B2037=0,NA(),IF($C2037="",NA(),IF(C$8="",NA(),IF(N(C$8)=0,NA(),IF(Inputs!$C$17="Rebased to 100",$C2037/C$8*100,$C2037)))))</f>
        <v/>
      </c>
      <c r="J2037" s="54">
        <f>IF($B2037=0,NA(),IF($D2037="",NA(),IF(D$8="",NA(),IF(N(D$8)=0,NA(),IF(Inputs!$C$17="Rebased to 100",$D2037/D$8*100,$D2037)))))</f>
        <v/>
      </c>
      <c r="K2037" s="54">
        <f>IF($B2037=0,NA(),IF($E2037="",NA(),IF(E$8="",NA(),IF(N(E$8)=0,NA(),IF(Inputs!$C$17="Rebased to 100",$E2037/E$8*100,$E2037)))))</f>
        <v/>
      </c>
      <c r="L2037" s="54">
        <f>IF($B2037=0,NA(),IF($F2037="",NA(),IF(F$8="",NA(),IF(N(F$8)=0,NA(),IF(Inputs!$C$17="Rebased to 100",$F2037/F$8*100,$F2037)))))</f>
        <v/>
      </c>
      <c r="M2037" s="54">
        <f>IF($B2037=0,NA(),IF($G2037="",NA(),IF(G$8="",NA(),IF(N(G$8)=0,NA(),IF(Inputs!$C$17="Rebased to 100",$G2037/G$8*100,$G2037)))))</f>
        <v/>
      </c>
      <c r="N2037" s="54">
        <f>IF($B2037=0,NA(),IF(Inputs!$C$18&lt;&gt;"Yes",NA(),IF(COUNT(I2037,J2037,K2037,L2037,M2037)=0,NA(),MIN(I2037,J2037,K2037,L2037,M2037))))</f>
        <v/>
      </c>
      <c r="O2037" s="54">
        <f>IF($B2037=0,NA(),IF(Inputs!$B$24&lt;&gt;"Yes",NA(),Inputs!$D$24*Inputs!$C$35))</f>
        <v/>
      </c>
      <c r="P2037" s="54">
        <f>IF($B2037=0,NA(),IF(Inputs!$B$25&lt;&gt;"Yes",NA(),Inputs!$D$25*Inputs!$C$35))</f>
        <v/>
      </c>
      <c r="Q2037" s="54">
        <f>IF($B2037=0,NA(),IF(Inputs!$B$26&lt;&gt;"Yes",NA(),Inputs!$D$26*Inputs!$C$35))</f>
        <v/>
      </c>
      <c r="R2037" s="54">
        <f>IF($B2037=0,NA(),IF(Inputs!$B$27&lt;&gt;"Yes",NA(),Inputs!$D$27*Inputs!$C$35))</f>
        <v/>
      </c>
      <c r="S2037" s="54">
        <f>IF($B2037=0,NA(),IF(Inputs!$B$28&lt;&gt;"Yes",NA(),Inputs!$D$28*Inputs!$C$35))</f>
        <v/>
      </c>
      <c r="T2037" s="54">
        <f>IF($B2037=0,NA(),IF(Inputs!$B$29&lt;&gt;"Yes",NA(),Inputs!$D$29*Inputs!$C$35))</f>
        <v/>
      </c>
      <c r="AD2037">
        <f>IF($B2037=0,0,IF(Inputs!$B$6="",0,COUNTIFS(Data!$A$10:$A$3209,"&gt;="&amp;$A2037,Data!$A$10:$A$3209,"&lt;"&amp;$A2037+1)))</f>
        <v/>
      </c>
      <c r="AE2037">
        <f>IF($B2037=0,0,IF(Inputs!$B$7="",0,COUNTIFS(Data!$E$10:$E$3209,"&gt;="&amp;$A2037,Data!$E$10:$E$3209,"&lt;"&amp;$A2037+1)))</f>
        <v/>
      </c>
      <c r="AF2037">
        <f>IF($B2037=0,0,IF(Inputs!$B$8="",0,COUNTIFS(Data!$I$10:$I$3209,"&gt;="&amp;$A2037,Data!$I$10:$I$3209,"&lt;"&amp;$A2037+1)))</f>
        <v/>
      </c>
      <c r="AG2037">
        <f>IF($B2037=0,0,IF(Inputs!$B$9="",0,COUNTIFS(Data!$M$10:$M$3209,"&gt;="&amp;$A2037,Data!$M$10:$M$3209,"&lt;"&amp;$A2037+1)))</f>
        <v/>
      </c>
      <c r="AH2037">
        <f>IF($B2037=0,0,IF(Inputs!$B$10="",0,COUNTIFS(Data!$Q$10:$Q$3209,"&gt;="&amp;$A2037,Data!$Q$10:$Q$3209,"&lt;"&amp;$A2037+1)))</f>
        <v/>
      </c>
    </row>
    <row r="2038">
      <c r="A2038" s="55">
        <f>MIN(Inputs!$C$15,$A2037+IF(WEEKDAY($A2037,2)=5,3,1))</f>
        <v/>
      </c>
      <c r="B2038">
        <f>IF($A2038&gt;$A2037,1,0)</f>
        <v/>
      </c>
      <c r="C2038" s="56">
        <f>IF($B2038=0,"",IF(Inputs!$B$6="","",IF($AD2038=0,C2037,SUMIFS(Data!$B$10:$B$3209,Data!$A$10:$A$3209,"&gt;="&amp;$A2038,Data!$A$10:$A$3209,"&lt;"&amp;$A2038+1)/$AD2038)))</f>
        <v/>
      </c>
      <c r="D2038" s="56">
        <f>IF($B2038=0,"",IF(Inputs!$B$7="","",IF($AE2038=0,D2037,SUMIFS(Data!$F$10:$F$3209,Data!$E$10:$E$3209,"&gt;="&amp;$A2038,Data!$E$10:$E$3209,"&lt;"&amp;$A2038+1)/$AE2038)))</f>
        <v/>
      </c>
      <c r="E2038" s="56">
        <f>IF($B2038=0,"",IF(Inputs!$B$8="","",IF($AF2038=0,E2037,SUMIFS(Data!$J$10:$J$3209,Data!$I$10:$I$3209,"&gt;="&amp;$A2038,Data!$I$10:$I$3209,"&lt;"&amp;$A2038+1)/$AF2038)))</f>
        <v/>
      </c>
      <c r="F2038" s="56">
        <f>IF($B2038=0,"",IF(Inputs!$B$9="","",IF($AG2038=0,F2037,SUMIFS(Data!$N$10:$N$3209,Data!$M$10:$M$3209,"&gt;="&amp;$A2038,Data!$M$10:$M$3209,"&lt;"&amp;$A2038+1)/$AG2038)))</f>
        <v/>
      </c>
      <c r="G2038" s="56">
        <f>IF($B2038=0,"",IF(Inputs!$B$10="","",IF($AH2038=0,G2037,SUMIFS(Data!$R$10:$R$3209,Data!$Q$10:$Q$3209,"&gt;="&amp;$A2038,Data!$Q$10:$Q$3209,"&lt;"&amp;$A2038+1)/$AH2038)))</f>
        <v/>
      </c>
      <c r="I2038" s="54">
        <f>IF($B2038=0,NA(),IF($C2038="",NA(),IF(C$8="",NA(),IF(N(C$8)=0,NA(),IF(Inputs!$C$17="Rebased to 100",$C2038/C$8*100,$C2038)))))</f>
        <v/>
      </c>
      <c r="J2038" s="54">
        <f>IF($B2038=0,NA(),IF($D2038="",NA(),IF(D$8="",NA(),IF(N(D$8)=0,NA(),IF(Inputs!$C$17="Rebased to 100",$D2038/D$8*100,$D2038)))))</f>
        <v/>
      </c>
      <c r="K2038" s="54">
        <f>IF($B2038=0,NA(),IF($E2038="",NA(),IF(E$8="",NA(),IF(N(E$8)=0,NA(),IF(Inputs!$C$17="Rebased to 100",$E2038/E$8*100,$E2038)))))</f>
        <v/>
      </c>
      <c r="L2038" s="54">
        <f>IF($B2038=0,NA(),IF($F2038="",NA(),IF(F$8="",NA(),IF(N(F$8)=0,NA(),IF(Inputs!$C$17="Rebased to 100",$F2038/F$8*100,$F2038)))))</f>
        <v/>
      </c>
      <c r="M2038" s="54">
        <f>IF($B2038=0,NA(),IF($G2038="",NA(),IF(G$8="",NA(),IF(N(G$8)=0,NA(),IF(Inputs!$C$17="Rebased to 100",$G2038/G$8*100,$G2038)))))</f>
        <v/>
      </c>
      <c r="N2038" s="54">
        <f>IF($B2038=0,NA(),IF(Inputs!$C$18&lt;&gt;"Yes",NA(),IF(COUNT(I2038,J2038,K2038,L2038,M2038)=0,NA(),MIN(I2038,J2038,K2038,L2038,M2038))))</f>
        <v/>
      </c>
      <c r="O2038" s="54">
        <f>IF($B2038=0,NA(),IF(Inputs!$B$24&lt;&gt;"Yes",NA(),Inputs!$D$24*Inputs!$C$35))</f>
        <v/>
      </c>
      <c r="P2038" s="54">
        <f>IF($B2038=0,NA(),IF(Inputs!$B$25&lt;&gt;"Yes",NA(),Inputs!$D$25*Inputs!$C$35))</f>
        <v/>
      </c>
      <c r="Q2038" s="54">
        <f>IF($B2038=0,NA(),IF(Inputs!$B$26&lt;&gt;"Yes",NA(),Inputs!$D$26*Inputs!$C$35))</f>
        <v/>
      </c>
      <c r="R2038" s="54">
        <f>IF($B2038=0,NA(),IF(Inputs!$B$27&lt;&gt;"Yes",NA(),Inputs!$D$27*Inputs!$C$35))</f>
        <v/>
      </c>
      <c r="S2038" s="54">
        <f>IF($B2038=0,NA(),IF(Inputs!$B$28&lt;&gt;"Yes",NA(),Inputs!$D$28*Inputs!$C$35))</f>
        <v/>
      </c>
      <c r="T2038" s="54">
        <f>IF($B2038=0,NA(),IF(Inputs!$B$29&lt;&gt;"Yes",NA(),Inputs!$D$29*Inputs!$C$35))</f>
        <v/>
      </c>
      <c r="AD2038">
        <f>IF($B2038=0,0,IF(Inputs!$B$6="",0,COUNTIFS(Data!$A$10:$A$3209,"&gt;="&amp;$A2038,Data!$A$10:$A$3209,"&lt;"&amp;$A2038+1)))</f>
        <v/>
      </c>
      <c r="AE2038">
        <f>IF($B2038=0,0,IF(Inputs!$B$7="",0,COUNTIFS(Data!$E$10:$E$3209,"&gt;="&amp;$A2038,Data!$E$10:$E$3209,"&lt;"&amp;$A2038+1)))</f>
        <v/>
      </c>
      <c r="AF2038">
        <f>IF($B2038=0,0,IF(Inputs!$B$8="",0,COUNTIFS(Data!$I$10:$I$3209,"&gt;="&amp;$A2038,Data!$I$10:$I$3209,"&lt;"&amp;$A2038+1)))</f>
        <v/>
      </c>
      <c r="AG2038">
        <f>IF($B2038=0,0,IF(Inputs!$B$9="",0,COUNTIFS(Data!$M$10:$M$3209,"&gt;="&amp;$A2038,Data!$M$10:$M$3209,"&lt;"&amp;$A2038+1)))</f>
        <v/>
      </c>
      <c r="AH2038">
        <f>IF($B2038=0,0,IF(Inputs!$B$10="",0,COUNTIFS(Data!$Q$10:$Q$3209,"&gt;="&amp;$A2038,Data!$Q$10:$Q$3209,"&lt;"&amp;$A2038+1)))</f>
        <v/>
      </c>
    </row>
    <row r="2039">
      <c r="A2039" s="55">
        <f>MIN(Inputs!$C$15,$A2038+IF(WEEKDAY($A2038,2)=5,3,1))</f>
        <v/>
      </c>
      <c r="B2039">
        <f>IF($A2039&gt;$A2038,1,0)</f>
        <v/>
      </c>
      <c r="C2039" s="56">
        <f>IF($B2039=0,"",IF(Inputs!$B$6="","",IF($AD2039=0,C2038,SUMIFS(Data!$B$10:$B$3209,Data!$A$10:$A$3209,"&gt;="&amp;$A2039,Data!$A$10:$A$3209,"&lt;"&amp;$A2039+1)/$AD2039)))</f>
        <v/>
      </c>
      <c r="D2039" s="56">
        <f>IF($B2039=0,"",IF(Inputs!$B$7="","",IF($AE2039=0,D2038,SUMIFS(Data!$F$10:$F$3209,Data!$E$10:$E$3209,"&gt;="&amp;$A2039,Data!$E$10:$E$3209,"&lt;"&amp;$A2039+1)/$AE2039)))</f>
        <v/>
      </c>
      <c r="E2039" s="56">
        <f>IF($B2039=0,"",IF(Inputs!$B$8="","",IF($AF2039=0,E2038,SUMIFS(Data!$J$10:$J$3209,Data!$I$10:$I$3209,"&gt;="&amp;$A2039,Data!$I$10:$I$3209,"&lt;"&amp;$A2039+1)/$AF2039)))</f>
        <v/>
      </c>
      <c r="F2039" s="56">
        <f>IF($B2039=0,"",IF(Inputs!$B$9="","",IF($AG2039=0,F2038,SUMIFS(Data!$N$10:$N$3209,Data!$M$10:$M$3209,"&gt;="&amp;$A2039,Data!$M$10:$M$3209,"&lt;"&amp;$A2039+1)/$AG2039)))</f>
        <v/>
      </c>
      <c r="G2039" s="56">
        <f>IF($B2039=0,"",IF(Inputs!$B$10="","",IF($AH2039=0,G2038,SUMIFS(Data!$R$10:$R$3209,Data!$Q$10:$Q$3209,"&gt;="&amp;$A2039,Data!$Q$10:$Q$3209,"&lt;"&amp;$A2039+1)/$AH2039)))</f>
        <v/>
      </c>
      <c r="I2039" s="54">
        <f>IF($B2039=0,NA(),IF($C2039="",NA(),IF(C$8="",NA(),IF(N(C$8)=0,NA(),IF(Inputs!$C$17="Rebased to 100",$C2039/C$8*100,$C2039)))))</f>
        <v/>
      </c>
      <c r="J2039" s="54">
        <f>IF($B2039=0,NA(),IF($D2039="",NA(),IF(D$8="",NA(),IF(N(D$8)=0,NA(),IF(Inputs!$C$17="Rebased to 100",$D2039/D$8*100,$D2039)))))</f>
        <v/>
      </c>
      <c r="K2039" s="54">
        <f>IF($B2039=0,NA(),IF($E2039="",NA(),IF(E$8="",NA(),IF(N(E$8)=0,NA(),IF(Inputs!$C$17="Rebased to 100",$E2039/E$8*100,$E2039)))))</f>
        <v/>
      </c>
      <c r="L2039" s="54">
        <f>IF($B2039=0,NA(),IF($F2039="",NA(),IF(F$8="",NA(),IF(N(F$8)=0,NA(),IF(Inputs!$C$17="Rebased to 100",$F2039/F$8*100,$F2039)))))</f>
        <v/>
      </c>
      <c r="M2039" s="54">
        <f>IF($B2039=0,NA(),IF($G2039="",NA(),IF(G$8="",NA(),IF(N(G$8)=0,NA(),IF(Inputs!$C$17="Rebased to 100",$G2039/G$8*100,$G2039)))))</f>
        <v/>
      </c>
      <c r="N2039" s="54">
        <f>IF($B2039=0,NA(),IF(Inputs!$C$18&lt;&gt;"Yes",NA(),IF(COUNT(I2039,J2039,K2039,L2039,M2039)=0,NA(),MIN(I2039,J2039,K2039,L2039,M2039))))</f>
        <v/>
      </c>
      <c r="O2039" s="54">
        <f>IF($B2039=0,NA(),IF(Inputs!$B$24&lt;&gt;"Yes",NA(),Inputs!$D$24*Inputs!$C$35))</f>
        <v/>
      </c>
      <c r="P2039" s="54">
        <f>IF($B2039=0,NA(),IF(Inputs!$B$25&lt;&gt;"Yes",NA(),Inputs!$D$25*Inputs!$C$35))</f>
        <v/>
      </c>
      <c r="Q2039" s="54">
        <f>IF($B2039=0,NA(),IF(Inputs!$B$26&lt;&gt;"Yes",NA(),Inputs!$D$26*Inputs!$C$35))</f>
        <v/>
      </c>
      <c r="R2039" s="54">
        <f>IF($B2039=0,NA(),IF(Inputs!$B$27&lt;&gt;"Yes",NA(),Inputs!$D$27*Inputs!$C$35))</f>
        <v/>
      </c>
      <c r="S2039" s="54">
        <f>IF($B2039=0,NA(),IF(Inputs!$B$28&lt;&gt;"Yes",NA(),Inputs!$D$28*Inputs!$C$35))</f>
        <v/>
      </c>
      <c r="T2039" s="54">
        <f>IF($B2039=0,NA(),IF(Inputs!$B$29&lt;&gt;"Yes",NA(),Inputs!$D$29*Inputs!$C$35))</f>
        <v/>
      </c>
      <c r="AD2039">
        <f>IF($B2039=0,0,IF(Inputs!$B$6="",0,COUNTIFS(Data!$A$10:$A$3209,"&gt;="&amp;$A2039,Data!$A$10:$A$3209,"&lt;"&amp;$A2039+1)))</f>
        <v/>
      </c>
      <c r="AE2039">
        <f>IF($B2039=0,0,IF(Inputs!$B$7="",0,COUNTIFS(Data!$E$10:$E$3209,"&gt;="&amp;$A2039,Data!$E$10:$E$3209,"&lt;"&amp;$A2039+1)))</f>
        <v/>
      </c>
      <c r="AF2039">
        <f>IF($B2039=0,0,IF(Inputs!$B$8="",0,COUNTIFS(Data!$I$10:$I$3209,"&gt;="&amp;$A2039,Data!$I$10:$I$3209,"&lt;"&amp;$A2039+1)))</f>
        <v/>
      </c>
      <c r="AG2039">
        <f>IF($B2039=0,0,IF(Inputs!$B$9="",0,COUNTIFS(Data!$M$10:$M$3209,"&gt;="&amp;$A2039,Data!$M$10:$M$3209,"&lt;"&amp;$A2039+1)))</f>
        <v/>
      </c>
      <c r="AH2039">
        <f>IF($B2039=0,0,IF(Inputs!$B$10="",0,COUNTIFS(Data!$Q$10:$Q$3209,"&gt;="&amp;$A2039,Data!$Q$10:$Q$3209,"&lt;"&amp;$A2039+1)))</f>
        <v/>
      </c>
    </row>
    <row r="2040">
      <c r="A2040" s="55">
        <f>MIN(Inputs!$C$15,$A2039+IF(WEEKDAY($A2039,2)=5,3,1))</f>
        <v/>
      </c>
      <c r="B2040">
        <f>IF($A2040&gt;$A2039,1,0)</f>
        <v/>
      </c>
      <c r="C2040" s="56">
        <f>IF($B2040=0,"",IF(Inputs!$B$6="","",IF($AD2040=0,C2039,SUMIFS(Data!$B$10:$B$3209,Data!$A$10:$A$3209,"&gt;="&amp;$A2040,Data!$A$10:$A$3209,"&lt;"&amp;$A2040+1)/$AD2040)))</f>
        <v/>
      </c>
      <c r="D2040" s="56">
        <f>IF($B2040=0,"",IF(Inputs!$B$7="","",IF($AE2040=0,D2039,SUMIFS(Data!$F$10:$F$3209,Data!$E$10:$E$3209,"&gt;="&amp;$A2040,Data!$E$10:$E$3209,"&lt;"&amp;$A2040+1)/$AE2040)))</f>
        <v/>
      </c>
      <c r="E2040" s="56">
        <f>IF($B2040=0,"",IF(Inputs!$B$8="","",IF($AF2040=0,E2039,SUMIFS(Data!$J$10:$J$3209,Data!$I$10:$I$3209,"&gt;="&amp;$A2040,Data!$I$10:$I$3209,"&lt;"&amp;$A2040+1)/$AF2040)))</f>
        <v/>
      </c>
      <c r="F2040" s="56">
        <f>IF($B2040=0,"",IF(Inputs!$B$9="","",IF($AG2040=0,F2039,SUMIFS(Data!$N$10:$N$3209,Data!$M$10:$M$3209,"&gt;="&amp;$A2040,Data!$M$10:$M$3209,"&lt;"&amp;$A2040+1)/$AG2040)))</f>
        <v/>
      </c>
      <c r="G2040" s="56">
        <f>IF($B2040=0,"",IF(Inputs!$B$10="","",IF($AH2040=0,G2039,SUMIFS(Data!$R$10:$R$3209,Data!$Q$10:$Q$3209,"&gt;="&amp;$A2040,Data!$Q$10:$Q$3209,"&lt;"&amp;$A2040+1)/$AH2040)))</f>
        <v/>
      </c>
      <c r="I2040" s="54">
        <f>IF($B2040=0,NA(),IF($C2040="",NA(),IF(C$8="",NA(),IF(N(C$8)=0,NA(),IF(Inputs!$C$17="Rebased to 100",$C2040/C$8*100,$C2040)))))</f>
        <v/>
      </c>
      <c r="J2040" s="54">
        <f>IF($B2040=0,NA(),IF($D2040="",NA(),IF(D$8="",NA(),IF(N(D$8)=0,NA(),IF(Inputs!$C$17="Rebased to 100",$D2040/D$8*100,$D2040)))))</f>
        <v/>
      </c>
      <c r="K2040" s="54">
        <f>IF($B2040=0,NA(),IF($E2040="",NA(),IF(E$8="",NA(),IF(N(E$8)=0,NA(),IF(Inputs!$C$17="Rebased to 100",$E2040/E$8*100,$E2040)))))</f>
        <v/>
      </c>
      <c r="L2040" s="54">
        <f>IF($B2040=0,NA(),IF($F2040="",NA(),IF(F$8="",NA(),IF(N(F$8)=0,NA(),IF(Inputs!$C$17="Rebased to 100",$F2040/F$8*100,$F2040)))))</f>
        <v/>
      </c>
      <c r="M2040" s="54">
        <f>IF($B2040=0,NA(),IF($G2040="",NA(),IF(G$8="",NA(),IF(N(G$8)=0,NA(),IF(Inputs!$C$17="Rebased to 100",$G2040/G$8*100,$G2040)))))</f>
        <v/>
      </c>
      <c r="N2040" s="54">
        <f>IF($B2040=0,NA(),IF(Inputs!$C$18&lt;&gt;"Yes",NA(),IF(COUNT(I2040,J2040,K2040,L2040,M2040)=0,NA(),MIN(I2040,J2040,K2040,L2040,M2040))))</f>
        <v/>
      </c>
      <c r="O2040" s="54">
        <f>IF($B2040=0,NA(),IF(Inputs!$B$24&lt;&gt;"Yes",NA(),Inputs!$D$24*Inputs!$C$35))</f>
        <v/>
      </c>
      <c r="P2040" s="54">
        <f>IF($B2040=0,NA(),IF(Inputs!$B$25&lt;&gt;"Yes",NA(),Inputs!$D$25*Inputs!$C$35))</f>
        <v/>
      </c>
      <c r="Q2040" s="54">
        <f>IF($B2040=0,NA(),IF(Inputs!$B$26&lt;&gt;"Yes",NA(),Inputs!$D$26*Inputs!$C$35))</f>
        <v/>
      </c>
      <c r="R2040" s="54">
        <f>IF($B2040=0,NA(),IF(Inputs!$B$27&lt;&gt;"Yes",NA(),Inputs!$D$27*Inputs!$C$35))</f>
        <v/>
      </c>
      <c r="S2040" s="54">
        <f>IF($B2040=0,NA(),IF(Inputs!$B$28&lt;&gt;"Yes",NA(),Inputs!$D$28*Inputs!$C$35))</f>
        <v/>
      </c>
      <c r="T2040" s="54">
        <f>IF($B2040=0,NA(),IF(Inputs!$B$29&lt;&gt;"Yes",NA(),Inputs!$D$29*Inputs!$C$35))</f>
        <v/>
      </c>
      <c r="AD2040">
        <f>IF($B2040=0,0,IF(Inputs!$B$6="",0,COUNTIFS(Data!$A$10:$A$3209,"&gt;="&amp;$A2040,Data!$A$10:$A$3209,"&lt;"&amp;$A2040+1)))</f>
        <v/>
      </c>
      <c r="AE2040">
        <f>IF($B2040=0,0,IF(Inputs!$B$7="",0,COUNTIFS(Data!$E$10:$E$3209,"&gt;="&amp;$A2040,Data!$E$10:$E$3209,"&lt;"&amp;$A2040+1)))</f>
        <v/>
      </c>
      <c r="AF2040">
        <f>IF($B2040=0,0,IF(Inputs!$B$8="",0,COUNTIFS(Data!$I$10:$I$3209,"&gt;="&amp;$A2040,Data!$I$10:$I$3209,"&lt;"&amp;$A2040+1)))</f>
        <v/>
      </c>
      <c r="AG2040">
        <f>IF($B2040=0,0,IF(Inputs!$B$9="",0,COUNTIFS(Data!$M$10:$M$3209,"&gt;="&amp;$A2040,Data!$M$10:$M$3209,"&lt;"&amp;$A2040+1)))</f>
        <v/>
      </c>
      <c r="AH2040">
        <f>IF($B2040=0,0,IF(Inputs!$B$10="",0,COUNTIFS(Data!$Q$10:$Q$3209,"&gt;="&amp;$A2040,Data!$Q$10:$Q$3209,"&lt;"&amp;$A2040+1)))</f>
        <v/>
      </c>
    </row>
    <row r="2041">
      <c r="A2041" s="55">
        <f>MIN(Inputs!$C$15,$A2040+IF(WEEKDAY($A2040,2)=5,3,1))</f>
        <v/>
      </c>
      <c r="B2041">
        <f>IF($A2041&gt;$A2040,1,0)</f>
        <v/>
      </c>
      <c r="C2041" s="56">
        <f>IF($B2041=0,"",IF(Inputs!$B$6="","",IF($AD2041=0,C2040,SUMIFS(Data!$B$10:$B$3209,Data!$A$10:$A$3209,"&gt;="&amp;$A2041,Data!$A$10:$A$3209,"&lt;"&amp;$A2041+1)/$AD2041)))</f>
        <v/>
      </c>
      <c r="D2041" s="56">
        <f>IF($B2041=0,"",IF(Inputs!$B$7="","",IF($AE2041=0,D2040,SUMIFS(Data!$F$10:$F$3209,Data!$E$10:$E$3209,"&gt;="&amp;$A2041,Data!$E$10:$E$3209,"&lt;"&amp;$A2041+1)/$AE2041)))</f>
        <v/>
      </c>
      <c r="E2041" s="56">
        <f>IF($B2041=0,"",IF(Inputs!$B$8="","",IF($AF2041=0,E2040,SUMIFS(Data!$J$10:$J$3209,Data!$I$10:$I$3209,"&gt;="&amp;$A2041,Data!$I$10:$I$3209,"&lt;"&amp;$A2041+1)/$AF2041)))</f>
        <v/>
      </c>
      <c r="F2041" s="56">
        <f>IF($B2041=0,"",IF(Inputs!$B$9="","",IF($AG2041=0,F2040,SUMIFS(Data!$N$10:$N$3209,Data!$M$10:$M$3209,"&gt;="&amp;$A2041,Data!$M$10:$M$3209,"&lt;"&amp;$A2041+1)/$AG2041)))</f>
        <v/>
      </c>
      <c r="G2041" s="56">
        <f>IF($B2041=0,"",IF(Inputs!$B$10="","",IF($AH2041=0,G2040,SUMIFS(Data!$R$10:$R$3209,Data!$Q$10:$Q$3209,"&gt;="&amp;$A2041,Data!$Q$10:$Q$3209,"&lt;"&amp;$A2041+1)/$AH2041)))</f>
        <v/>
      </c>
      <c r="I2041" s="54">
        <f>IF($B2041=0,NA(),IF($C2041="",NA(),IF(C$8="",NA(),IF(N(C$8)=0,NA(),IF(Inputs!$C$17="Rebased to 100",$C2041/C$8*100,$C2041)))))</f>
        <v/>
      </c>
      <c r="J2041" s="54">
        <f>IF($B2041=0,NA(),IF($D2041="",NA(),IF(D$8="",NA(),IF(N(D$8)=0,NA(),IF(Inputs!$C$17="Rebased to 100",$D2041/D$8*100,$D2041)))))</f>
        <v/>
      </c>
      <c r="K2041" s="54">
        <f>IF($B2041=0,NA(),IF($E2041="",NA(),IF(E$8="",NA(),IF(N(E$8)=0,NA(),IF(Inputs!$C$17="Rebased to 100",$E2041/E$8*100,$E2041)))))</f>
        <v/>
      </c>
      <c r="L2041" s="54">
        <f>IF($B2041=0,NA(),IF($F2041="",NA(),IF(F$8="",NA(),IF(N(F$8)=0,NA(),IF(Inputs!$C$17="Rebased to 100",$F2041/F$8*100,$F2041)))))</f>
        <v/>
      </c>
      <c r="M2041" s="54">
        <f>IF($B2041=0,NA(),IF($G2041="",NA(),IF(G$8="",NA(),IF(N(G$8)=0,NA(),IF(Inputs!$C$17="Rebased to 100",$G2041/G$8*100,$G2041)))))</f>
        <v/>
      </c>
      <c r="N2041" s="54">
        <f>IF($B2041=0,NA(),IF(Inputs!$C$18&lt;&gt;"Yes",NA(),IF(COUNT(I2041,J2041,K2041,L2041,M2041)=0,NA(),MIN(I2041,J2041,K2041,L2041,M2041))))</f>
        <v/>
      </c>
      <c r="O2041" s="54">
        <f>IF($B2041=0,NA(),IF(Inputs!$B$24&lt;&gt;"Yes",NA(),Inputs!$D$24*Inputs!$C$35))</f>
        <v/>
      </c>
      <c r="P2041" s="54">
        <f>IF($B2041=0,NA(),IF(Inputs!$B$25&lt;&gt;"Yes",NA(),Inputs!$D$25*Inputs!$C$35))</f>
        <v/>
      </c>
      <c r="Q2041" s="54">
        <f>IF($B2041=0,NA(),IF(Inputs!$B$26&lt;&gt;"Yes",NA(),Inputs!$D$26*Inputs!$C$35))</f>
        <v/>
      </c>
      <c r="R2041" s="54">
        <f>IF($B2041=0,NA(),IF(Inputs!$B$27&lt;&gt;"Yes",NA(),Inputs!$D$27*Inputs!$C$35))</f>
        <v/>
      </c>
      <c r="S2041" s="54">
        <f>IF($B2041=0,NA(),IF(Inputs!$B$28&lt;&gt;"Yes",NA(),Inputs!$D$28*Inputs!$C$35))</f>
        <v/>
      </c>
      <c r="T2041" s="54">
        <f>IF($B2041=0,NA(),IF(Inputs!$B$29&lt;&gt;"Yes",NA(),Inputs!$D$29*Inputs!$C$35))</f>
        <v/>
      </c>
      <c r="AD2041">
        <f>IF($B2041=0,0,IF(Inputs!$B$6="",0,COUNTIFS(Data!$A$10:$A$3209,"&gt;="&amp;$A2041,Data!$A$10:$A$3209,"&lt;"&amp;$A2041+1)))</f>
        <v/>
      </c>
      <c r="AE2041">
        <f>IF($B2041=0,0,IF(Inputs!$B$7="",0,COUNTIFS(Data!$E$10:$E$3209,"&gt;="&amp;$A2041,Data!$E$10:$E$3209,"&lt;"&amp;$A2041+1)))</f>
        <v/>
      </c>
      <c r="AF2041">
        <f>IF($B2041=0,0,IF(Inputs!$B$8="",0,COUNTIFS(Data!$I$10:$I$3209,"&gt;="&amp;$A2041,Data!$I$10:$I$3209,"&lt;"&amp;$A2041+1)))</f>
        <v/>
      </c>
      <c r="AG2041">
        <f>IF($B2041=0,0,IF(Inputs!$B$9="",0,COUNTIFS(Data!$M$10:$M$3209,"&gt;="&amp;$A2041,Data!$M$10:$M$3209,"&lt;"&amp;$A2041+1)))</f>
        <v/>
      </c>
      <c r="AH2041">
        <f>IF($B2041=0,0,IF(Inputs!$B$10="",0,COUNTIFS(Data!$Q$10:$Q$3209,"&gt;="&amp;$A2041,Data!$Q$10:$Q$3209,"&lt;"&amp;$A2041+1)))</f>
        <v/>
      </c>
    </row>
    <row r="2042">
      <c r="A2042" s="55">
        <f>MIN(Inputs!$C$15,$A2041+IF(WEEKDAY($A2041,2)=5,3,1))</f>
        <v/>
      </c>
      <c r="B2042">
        <f>IF($A2042&gt;$A2041,1,0)</f>
        <v/>
      </c>
      <c r="C2042" s="56">
        <f>IF($B2042=0,"",IF(Inputs!$B$6="","",IF($AD2042=0,C2041,SUMIFS(Data!$B$10:$B$3209,Data!$A$10:$A$3209,"&gt;="&amp;$A2042,Data!$A$10:$A$3209,"&lt;"&amp;$A2042+1)/$AD2042)))</f>
        <v/>
      </c>
      <c r="D2042" s="56">
        <f>IF($B2042=0,"",IF(Inputs!$B$7="","",IF($AE2042=0,D2041,SUMIFS(Data!$F$10:$F$3209,Data!$E$10:$E$3209,"&gt;="&amp;$A2042,Data!$E$10:$E$3209,"&lt;"&amp;$A2042+1)/$AE2042)))</f>
        <v/>
      </c>
      <c r="E2042" s="56">
        <f>IF($B2042=0,"",IF(Inputs!$B$8="","",IF($AF2042=0,E2041,SUMIFS(Data!$J$10:$J$3209,Data!$I$10:$I$3209,"&gt;="&amp;$A2042,Data!$I$10:$I$3209,"&lt;"&amp;$A2042+1)/$AF2042)))</f>
        <v/>
      </c>
      <c r="F2042" s="56">
        <f>IF($B2042=0,"",IF(Inputs!$B$9="","",IF($AG2042=0,F2041,SUMIFS(Data!$N$10:$N$3209,Data!$M$10:$M$3209,"&gt;="&amp;$A2042,Data!$M$10:$M$3209,"&lt;"&amp;$A2042+1)/$AG2042)))</f>
        <v/>
      </c>
      <c r="G2042" s="56">
        <f>IF($B2042=0,"",IF(Inputs!$B$10="","",IF($AH2042=0,G2041,SUMIFS(Data!$R$10:$R$3209,Data!$Q$10:$Q$3209,"&gt;="&amp;$A2042,Data!$Q$10:$Q$3209,"&lt;"&amp;$A2042+1)/$AH2042)))</f>
        <v/>
      </c>
      <c r="I2042" s="54">
        <f>IF($B2042=0,NA(),IF($C2042="",NA(),IF(C$8="",NA(),IF(N(C$8)=0,NA(),IF(Inputs!$C$17="Rebased to 100",$C2042/C$8*100,$C2042)))))</f>
        <v/>
      </c>
      <c r="J2042" s="54">
        <f>IF($B2042=0,NA(),IF($D2042="",NA(),IF(D$8="",NA(),IF(N(D$8)=0,NA(),IF(Inputs!$C$17="Rebased to 100",$D2042/D$8*100,$D2042)))))</f>
        <v/>
      </c>
      <c r="K2042" s="54">
        <f>IF($B2042=0,NA(),IF($E2042="",NA(),IF(E$8="",NA(),IF(N(E$8)=0,NA(),IF(Inputs!$C$17="Rebased to 100",$E2042/E$8*100,$E2042)))))</f>
        <v/>
      </c>
      <c r="L2042" s="54">
        <f>IF($B2042=0,NA(),IF($F2042="",NA(),IF(F$8="",NA(),IF(N(F$8)=0,NA(),IF(Inputs!$C$17="Rebased to 100",$F2042/F$8*100,$F2042)))))</f>
        <v/>
      </c>
      <c r="M2042" s="54">
        <f>IF($B2042=0,NA(),IF($G2042="",NA(),IF(G$8="",NA(),IF(N(G$8)=0,NA(),IF(Inputs!$C$17="Rebased to 100",$G2042/G$8*100,$G2042)))))</f>
        <v/>
      </c>
      <c r="N2042" s="54">
        <f>IF($B2042=0,NA(),IF(Inputs!$C$18&lt;&gt;"Yes",NA(),IF(COUNT(I2042,J2042,K2042,L2042,M2042)=0,NA(),MIN(I2042,J2042,K2042,L2042,M2042))))</f>
        <v/>
      </c>
      <c r="O2042" s="54">
        <f>IF($B2042=0,NA(),IF(Inputs!$B$24&lt;&gt;"Yes",NA(),Inputs!$D$24*Inputs!$C$35))</f>
        <v/>
      </c>
      <c r="P2042" s="54">
        <f>IF($B2042=0,NA(),IF(Inputs!$B$25&lt;&gt;"Yes",NA(),Inputs!$D$25*Inputs!$C$35))</f>
        <v/>
      </c>
      <c r="Q2042" s="54">
        <f>IF($B2042=0,NA(),IF(Inputs!$B$26&lt;&gt;"Yes",NA(),Inputs!$D$26*Inputs!$C$35))</f>
        <v/>
      </c>
      <c r="R2042" s="54">
        <f>IF($B2042=0,NA(),IF(Inputs!$B$27&lt;&gt;"Yes",NA(),Inputs!$D$27*Inputs!$C$35))</f>
        <v/>
      </c>
      <c r="S2042" s="54">
        <f>IF($B2042=0,NA(),IF(Inputs!$B$28&lt;&gt;"Yes",NA(),Inputs!$D$28*Inputs!$C$35))</f>
        <v/>
      </c>
      <c r="T2042" s="54">
        <f>IF($B2042=0,NA(),IF(Inputs!$B$29&lt;&gt;"Yes",NA(),Inputs!$D$29*Inputs!$C$35))</f>
        <v/>
      </c>
      <c r="AD2042">
        <f>IF($B2042=0,0,IF(Inputs!$B$6="",0,COUNTIFS(Data!$A$10:$A$3209,"&gt;="&amp;$A2042,Data!$A$10:$A$3209,"&lt;"&amp;$A2042+1)))</f>
        <v/>
      </c>
      <c r="AE2042">
        <f>IF($B2042=0,0,IF(Inputs!$B$7="",0,COUNTIFS(Data!$E$10:$E$3209,"&gt;="&amp;$A2042,Data!$E$10:$E$3209,"&lt;"&amp;$A2042+1)))</f>
        <v/>
      </c>
      <c r="AF2042">
        <f>IF($B2042=0,0,IF(Inputs!$B$8="",0,COUNTIFS(Data!$I$10:$I$3209,"&gt;="&amp;$A2042,Data!$I$10:$I$3209,"&lt;"&amp;$A2042+1)))</f>
        <v/>
      </c>
      <c r="AG2042">
        <f>IF($B2042=0,0,IF(Inputs!$B$9="",0,COUNTIFS(Data!$M$10:$M$3209,"&gt;="&amp;$A2042,Data!$M$10:$M$3209,"&lt;"&amp;$A2042+1)))</f>
        <v/>
      </c>
      <c r="AH2042">
        <f>IF($B2042=0,0,IF(Inputs!$B$10="",0,COUNTIFS(Data!$Q$10:$Q$3209,"&gt;="&amp;$A2042,Data!$Q$10:$Q$3209,"&lt;"&amp;$A2042+1)))</f>
        <v/>
      </c>
    </row>
    <row r="2043">
      <c r="A2043" s="55">
        <f>MIN(Inputs!$C$15,$A2042+IF(WEEKDAY($A2042,2)=5,3,1))</f>
        <v/>
      </c>
      <c r="B2043">
        <f>IF($A2043&gt;$A2042,1,0)</f>
        <v/>
      </c>
      <c r="C2043" s="56">
        <f>IF($B2043=0,"",IF(Inputs!$B$6="","",IF($AD2043=0,C2042,SUMIFS(Data!$B$10:$B$3209,Data!$A$10:$A$3209,"&gt;="&amp;$A2043,Data!$A$10:$A$3209,"&lt;"&amp;$A2043+1)/$AD2043)))</f>
        <v/>
      </c>
      <c r="D2043" s="56">
        <f>IF($B2043=0,"",IF(Inputs!$B$7="","",IF($AE2043=0,D2042,SUMIFS(Data!$F$10:$F$3209,Data!$E$10:$E$3209,"&gt;="&amp;$A2043,Data!$E$10:$E$3209,"&lt;"&amp;$A2043+1)/$AE2043)))</f>
        <v/>
      </c>
      <c r="E2043" s="56">
        <f>IF($B2043=0,"",IF(Inputs!$B$8="","",IF($AF2043=0,E2042,SUMIFS(Data!$J$10:$J$3209,Data!$I$10:$I$3209,"&gt;="&amp;$A2043,Data!$I$10:$I$3209,"&lt;"&amp;$A2043+1)/$AF2043)))</f>
        <v/>
      </c>
      <c r="F2043" s="56">
        <f>IF($B2043=0,"",IF(Inputs!$B$9="","",IF($AG2043=0,F2042,SUMIFS(Data!$N$10:$N$3209,Data!$M$10:$M$3209,"&gt;="&amp;$A2043,Data!$M$10:$M$3209,"&lt;"&amp;$A2043+1)/$AG2043)))</f>
        <v/>
      </c>
      <c r="G2043" s="56">
        <f>IF($B2043=0,"",IF(Inputs!$B$10="","",IF($AH2043=0,G2042,SUMIFS(Data!$R$10:$R$3209,Data!$Q$10:$Q$3209,"&gt;="&amp;$A2043,Data!$Q$10:$Q$3209,"&lt;"&amp;$A2043+1)/$AH2043)))</f>
        <v/>
      </c>
      <c r="I2043" s="54">
        <f>IF($B2043=0,NA(),IF($C2043="",NA(),IF(C$8="",NA(),IF(N(C$8)=0,NA(),IF(Inputs!$C$17="Rebased to 100",$C2043/C$8*100,$C2043)))))</f>
        <v/>
      </c>
      <c r="J2043" s="54">
        <f>IF($B2043=0,NA(),IF($D2043="",NA(),IF(D$8="",NA(),IF(N(D$8)=0,NA(),IF(Inputs!$C$17="Rebased to 100",$D2043/D$8*100,$D2043)))))</f>
        <v/>
      </c>
      <c r="K2043" s="54">
        <f>IF($B2043=0,NA(),IF($E2043="",NA(),IF(E$8="",NA(),IF(N(E$8)=0,NA(),IF(Inputs!$C$17="Rebased to 100",$E2043/E$8*100,$E2043)))))</f>
        <v/>
      </c>
      <c r="L2043" s="54">
        <f>IF($B2043=0,NA(),IF($F2043="",NA(),IF(F$8="",NA(),IF(N(F$8)=0,NA(),IF(Inputs!$C$17="Rebased to 100",$F2043/F$8*100,$F2043)))))</f>
        <v/>
      </c>
      <c r="M2043" s="54">
        <f>IF($B2043=0,NA(),IF($G2043="",NA(),IF(G$8="",NA(),IF(N(G$8)=0,NA(),IF(Inputs!$C$17="Rebased to 100",$G2043/G$8*100,$G2043)))))</f>
        <v/>
      </c>
      <c r="N2043" s="54">
        <f>IF($B2043=0,NA(),IF(Inputs!$C$18&lt;&gt;"Yes",NA(),IF(COUNT(I2043,J2043,K2043,L2043,M2043)=0,NA(),MIN(I2043,J2043,K2043,L2043,M2043))))</f>
        <v/>
      </c>
      <c r="O2043" s="54">
        <f>IF($B2043=0,NA(),IF(Inputs!$B$24&lt;&gt;"Yes",NA(),Inputs!$D$24*Inputs!$C$35))</f>
        <v/>
      </c>
      <c r="P2043" s="54">
        <f>IF($B2043=0,NA(),IF(Inputs!$B$25&lt;&gt;"Yes",NA(),Inputs!$D$25*Inputs!$C$35))</f>
        <v/>
      </c>
      <c r="Q2043" s="54">
        <f>IF($B2043=0,NA(),IF(Inputs!$B$26&lt;&gt;"Yes",NA(),Inputs!$D$26*Inputs!$C$35))</f>
        <v/>
      </c>
      <c r="R2043" s="54">
        <f>IF($B2043=0,NA(),IF(Inputs!$B$27&lt;&gt;"Yes",NA(),Inputs!$D$27*Inputs!$C$35))</f>
        <v/>
      </c>
      <c r="S2043" s="54">
        <f>IF($B2043=0,NA(),IF(Inputs!$B$28&lt;&gt;"Yes",NA(),Inputs!$D$28*Inputs!$C$35))</f>
        <v/>
      </c>
      <c r="T2043" s="54">
        <f>IF($B2043=0,NA(),IF(Inputs!$B$29&lt;&gt;"Yes",NA(),Inputs!$D$29*Inputs!$C$35))</f>
        <v/>
      </c>
      <c r="AD2043">
        <f>IF($B2043=0,0,IF(Inputs!$B$6="",0,COUNTIFS(Data!$A$10:$A$3209,"&gt;="&amp;$A2043,Data!$A$10:$A$3209,"&lt;"&amp;$A2043+1)))</f>
        <v/>
      </c>
      <c r="AE2043">
        <f>IF($B2043=0,0,IF(Inputs!$B$7="",0,COUNTIFS(Data!$E$10:$E$3209,"&gt;="&amp;$A2043,Data!$E$10:$E$3209,"&lt;"&amp;$A2043+1)))</f>
        <v/>
      </c>
      <c r="AF2043">
        <f>IF($B2043=0,0,IF(Inputs!$B$8="",0,COUNTIFS(Data!$I$10:$I$3209,"&gt;="&amp;$A2043,Data!$I$10:$I$3209,"&lt;"&amp;$A2043+1)))</f>
        <v/>
      </c>
      <c r="AG2043">
        <f>IF($B2043=0,0,IF(Inputs!$B$9="",0,COUNTIFS(Data!$M$10:$M$3209,"&gt;="&amp;$A2043,Data!$M$10:$M$3209,"&lt;"&amp;$A2043+1)))</f>
        <v/>
      </c>
      <c r="AH2043">
        <f>IF($B2043=0,0,IF(Inputs!$B$10="",0,COUNTIFS(Data!$Q$10:$Q$3209,"&gt;="&amp;$A2043,Data!$Q$10:$Q$3209,"&lt;"&amp;$A2043+1)))</f>
        <v/>
      </c>
    </row>
    <row r="2044">
      <c r="A2044" s="55">
        <f>MIN(Inputs!$C$15,$A2043+IF(WEEKDAY($A2043,2)=5,3,1))</f>
        <v/>
      </c>
      <c r="B2044">
        <f>IF($A2044&gt;$A2043,1,0)</f>
        <v/>
      </c>
      <c r="C2044" s="56">
        <f>IF($B2044=0,"",IF(Inputs!$B$6="","",IF($AD2044=0,C2043,SUMIFS(Data!$B$10:$B$3209,Data!$A$10:$A$3209,"&gt;="&amp;$A2044,Data!$A$10:$A$3209,"&lt;"&amp;$A2044+1)/$AD2044)))</f>
        <v/>
      </c>
      <c r="D2044" s="56">
        <f>IF($B2044=0,"",IF(Inputs!$B$7="","",IF($AE2044=0,D2043,SUMIFS(Data!$F$10:$F$3209,Data!$E$10:$E$3209,"&gt;="&amp;$A2044,Data!$E$10:$E$3209,"&lt;"&amp;$A2044+1)/$AE2044)))</f>
        <v/>
      </c>
      <c r="E2044" s="56">
        <f>IF($B2044=0,"",IF(Inputs!$B$8="","",IF($AF2044=0,E2043,SUMIFS(Data!$J$10:$J$3209,Data!$I$10:$I$3209,"&gt;="&amp;$A2044,Data!$I$10:$I$3209,"&lt;"&amp;$A2044+1)/$AF2044)))</f>
        <v/>
      </c>
      <c r="F2044" s="56">
        <f>IF($B2044=0,"",IF(Inputs!$B$9="","",IF($AG2044=0,F2043,SUMIFS(Data!$N$10:$N$3209,Data!$M$10:$M$3209,"&gt;="&amp;$A2044,Data!$M$10:$M$3209,"&lt;"&amp;$A2044+1)/$AG2044)))</f>
        <v/>
      </c>
      <c r="G2044" s="56">
        <f>IF($B2044=0,"",IF(Inputs!$B$10="","",IF($AH2044=0,G2043,SUMIFS(Data!$R$10:$R$3209,Data!$Q$10:$Q$3209,"&gt;="&amp;$A2044,Data!$Q$10:$Q$3209,"&lt;"&amp;$A2044+1)/$AH2044)))</f>
        <v/>
      </c>
      <c r="I2044" s="54">
        <f>IF($B2044=0,NA(),IF($C2044="",NA(),IF(C$8="",NA(),IF(N(C$8)=0,NA(),IF(Inputs!$C$17="Rebased to 100",$C2044/C$8*100,$C2044)))))</f>
        <v/>
      </c>
      <c r="J2044" s="54">
        <f>IF($B2044=0,NA(),IF($D2044="",NA(),IF(D$8="",NA(),IF(N(D$8)=0,NA(),IF(Inputs!$C$17="Rebased to 100",$D2044/D$8*100,$D2044)))))</f>
        <v/>
      </c>
      <c r="K2044" s="54">
        <f>IF($B2044=0,NA(),IF($E2044="",NA(),IF(E$8="",NA(),IF(N(E$8)=0,NA(),IF(Inputs!$C$17="Rebased to 100",$E2044/E$8*100,$E2044)))))</f>
        <v/>
      </c>
      <c r="L2044" s="54">
        <f>IF($B2044=0,NA(),IF($F2044="",NA(),IF(F$8="",NA(),IF(N(F$8)=0,NA(),IF(Inputs!$C$17="Rebased to 100",$F2044/F$8*100,$F2044)))))</f>
        <v/>
      </c>
      <c r="M2044" s="54">
        <f>IF($B2044=0,NA(),IF($G2044="",NA(),IF(G$8="",NA(),IF(N(G$8)=0,NA(),IF(Inputs!$C$17="Rebased to 100",$G2044/G$8*100,$G2044)))))</f>
        <v/>
      </c>
      <c r="N2044" s="54">
        <f>IF($B2044=0,NA(),IF(Inputs!$C$18&lt;&gt;"Yes",NA(),IF(COUNT(I2044,J2044,K2044,L2044,M2044)=0,NA(),MIN(I2044,J2044,K2044,L2044,M2044))))</f>
        <v/>
      </c>
      <c r="O2044" s="54">
        <f>IF($B2044=0,NA(),IF(Inputs!$B$24&lt;&gt;"Yes",NA(),Inputs!$D$24*Inputs!$C$35))</f>
        <v/>
      </c>
      <c r="P2044" s="54">
        <f>IF($B2044=0,NA(),IF(Inputs!$B$25&lt;&gt;"Yes",NA(),Inputs!$D$25*Inputs!$C$35))</f>
        <v/>
      </c>
      <c r="Q2044" s="54">
        <f>IF($B2044=0,NA(),IF(Inputs!$B$26&lt;&gt;"Yes",NA(),Inputs!$D$26*Inputs!$C$35))</f>
        <v/>
      </c>
      <c r="R2044" s="54">
        <f>IF($B2044=0,NA(),IF(Inputs!$B$27&lt;&gt;"Yes",NA(),Inputs!$D$27*Inputs!$C$35))</f>
        <v/>
      </c>
      <c r="S2044" s="54">
        <f>IF($B2044=0,NA(),IF(Inputs!$B$28&lt;&gt;"Yes",NA(),Inputs!$D$28*Inputs!$C$35))</f>
        <v/>
      </c>
      <c r="T2044" s="54">
        <f>IF($B2044=0,NA(),IF(Inputs!$B$29&lt;&gt;"Yes",NA(),Inputs!$D$29*Inputs!$C$35))</f>
        <v/>
      </c>
      <c r="AD2044">
        <f>IF($B2044=0,0,IF(Inputs!$B$6="",0,COUNTIFS(Data!$A$10:$A$3209,"&gt;="&amp;$A2044,Data!$A$10:$A$3209,"&lt;"&amp;$A2044+1)))</f>
        <v/>
      </c>
      <c r="AE2044">
        <f>IF($B2044=0,0,IF(Inputs!$B$7="",0,COUNTIFS(Data!$E$10:$E$3209,"&gt;="&amp;$A2044,Data!$E$10:$E$3209,"&lt;"&amp;$A2044+1)))</f>
        <v/>
      </c>
      <c r="AF2044">
        <f>IF($B2044=0,0,IF(Inputs!$B$8="",0,COUNTIFS(Data!$I$10:$I$3209,"&gt;="&amp;$A2044,Data!$I$10:$I$3209,"&lt;"&amp;$A2044+1)))</f>
        <v/>
      </c>
      <c r="AG2044">
        <f>IF($B2044=0,0,IF(Inputs!$B$9="",0,COUNTIFS(Data!$M$10:$M$3209,"&gt;="&amp;$A2044,Data!$M$10:$M$3209,"&lt;"&amp;$A2044+1)))</f>
        <v/>
      </c>
      <c r="AH2044">
        <f>IF($B2044=0,0,IF(Inputs!$B$10="",0,COUNTIFS(Data!$Q$10:$Q$3209,"&gt;="&amp;$A2044,Data!$Q$10:$Q$3209,"&lt;"&amp;$A2044+1)))</f>
        <v/>
      </c>
    </row>
    <row r="2045">
      <c r="A2045" s="55">
        <f>MIN(Inputs!$C$15,$A2044+IF(WEEKDAY($A2044,2)=5,3,1))</f>
        <v/>
      </c>
      <c r="B2045">
        <f>IF($A2045&gt;$A2044,1,0)</f>
        <v/>
      </c>
      <c r="C2045" s="56">
        <f>IF($B2045=0,"",IF(Inputs!$B$6="","",IF($AD2045=0,C2044,SUMIFS(Data!$B$10:$B$3209,Data!$A$10:$A$3209,"&gt;="&amp;$A2045,Data!$A$10:$A$3209,"&lt;"&amp;$A2045+1)/$AD2045)))</f>
        <v/>
      </c>
      <c r="D2045" s="56">
        <f>IF($B2045=0,"",IF(Inputs!$B$7="","",IF($AE2045=0,D2044,SUMIFS(Data!$F$10:$F$3209,Data!$E$10:$E$3209,"&gt;="&amp;$A2045,Data!$E$10:$E$3209,"&lt;"&amp;$A2045+1)/$AE2045)))</f>
        <v/>
      </c>
      <c r="E2045" s="56">
        <f>IF($B2045=0,"",IF(Inputs!$B$8="","",IF($AF2045=0,E2044,SUMIFS(Data!$J$10:$J$3209,Data!$I$10:$I$3209,"&gt;="&amp;$A2045,Data!$I$10:$I$3209,"&lt;"&amp;$A2045+1)/$AF2045)))</f>
        <v/>
      </c>
      <c r="F2045" s="56">
        <f>IF($B2045=0,"",IF(Inputs!$B$9="","",IF($AG2045=0,F2044,SUMIFS(Data!$N$10:$N$3209,Data!$M$10:$M$3209,"&gt;="&amp;$A2045,Data!$M$10:$M$3209,"&lt;"&amp;$A2045+1)/$AG2045)))</f>
        <v/>
      </c>
      <c r="G2045" s="56">
        <f>IF($B2045=0,"",IF(Inputs!$B$10="","",IF($AH2045=0,G2044,SUMIFS(Data!$R$10:$R$3209,Data!$Q$10:$Q$3209,"&gt;="&amp;$A2045,Data!$Q$10:$Q$3209,"&lt;"&amp;$A2045+1)/$AH2045)))</f>
        <v/>
      </c>
      <c r="I2045" s="54">
        <f>IF($B2045=0,NA(),IF($C2045="",NA(),IF(C$8="",NA(),IF(N(C$8)=0,NA(),IF(Inputs!$C$17="Rebased to 100",$C2045/C$8*100,$C2045)))))</f>
        <v/>
      </c>
      <c r="J2045" s="54">
        <f>IF($B2045=0,NA(),IF($D2045="",NA(),IF(D$8="",NA(),IF(N(D$8)=0,NA(),IF(Inputs!$C$17="Rebased to 100",$D2045/D$8*100,$D2045)))))</f>
        <v/>
      </c>
      <c r="K2045" s="54">
        <f>IF($B2045=0,NA(),IF($E2045="",NA(),IF(E$8="",NA(),IF(N(E$8)=0,NA(),IF(Inputs!$C$17="Rebased to 100",$E2045/E$8*100,$E2045)))))</f>
        <v/>
      </c>
      <c r="L2045" s="54">
        <f>IF($B2045=0,NA(),IF($F2045="",NA(),IF(F$8="",NA(),IF(N(F$8)=0,NA(),IF(Inputs!$C$17="Rebased to 100",$F2045/F$8*100,$F2045)))))</f>
        <v/>
      </c>
      <c r="M2045" s="54">
        <f>IF($B2045=0,NA(),IF($G2045="",NA(),IF(G$8="",NA(),IF(N(G$8)=0,NA(),IF(Inputs!$C$17="Rebased to 100",$G2045/G$8*100,$G2045)))))</f>
        <v/>
      </c>
      <c r="N2045" s="54">
        <f>IF($B2045=0,NA(),IF(Inputs!$C$18&lt;&gt;"Yes",NA(),IF(COUNT(I2045,J2045,K2045,L2045,M2045)=0,NA(),MIN(I2045,J2045,K2045,L2045,M2045))))</f>
        <v/>
      </c>
      <c r="O2045" s="54">
        <f>IF($B2045=0,NA(),IF(Inputs!$B$24&lt;&gt;"Yes",NA(),Inputs!$D$24*Inputs!$C$35))</f>
        <v/>
      </c>
      <c r="P2045" s="54">
        <f>IF($B2045=0,NA(),IF(Inputs!$B$25&lt;&gt;"Yes",NA(),Inputs!$D$25*Inputs!$C$35))</f>
        <v/>
      </c>
      <c r="Q2045" s="54">
        <f>IF($B2045=0,NA(),IF(Inputs!$B$26&lt;&gt;"Yes",NA(),Inputs!$D$26*Inputs!$C$35))</f>
        <v/>
      </c>
      <c r="R2045" s="54">
        <f>IF($B2045=0,NA(),IF(Inputs!$B$27&lt;&gt;"Yes",NA(),Inputs!$D$27*Inputs!$C$35))</f>
        <v/>
      </c>
      <c r="S2045" s="54">
        <f>IF($B2045=0,NA(),IF(Inputs!$B$28&lt;&gt;"Yes",NA(),Inputs!$D$28*Inputs!$C$35))</f>
        <v/>
      </c>
      <c r="T2045" s="54">
        <f>IF($B2045=0,NA(),IF(Inputs!$B$29&lt;&gt;"Yes",NA(),Inputs!$D$29*Inputs!$C$35))</f>
        <v/>
      </c>
      <c r="AD2045">
        <f>IF($B2045=0,0,IF(Inputs!$B$6="",0,COUNTIFS(Data!$A$10:$A$3209,"&gt;="&amp;$A2045,Data!$A$10:$A$3209,"&lt;"&amp;$A2045+1)))</f>
        <v/>
      </c>
      <c r="AE2045">
        <f>IF($B2045=0,0,IF(Inputs!$B$7="",0,COUNTIFS(Data!$E$10:$E$3209,"&gt;="&amp;$A2045,Data!$E$10:$E$3209,"&lt;"&amp;$A2045+1)))</f>
        <v/>
      </c>
      <c r="AF2045">
        <f>IF($B2045=0,0,IF(Inputs!$B$8="",0,COUNTIFS(Data!$I$10:$I$3209,"&gt;="&amp;$A2045,Data!$I$10:$I$3209,"&lt;"&amp;$A2045+1)))</f>
        <v/>
      </c>
      <c r="AG2045">
        <f>IF($B2045=0,0,IF(Inputs!$B$9="",0,COUNTIFS(Data!$M$10:$M$3209,"&gt;="&amp;$A2045,Data!$M$10:$M$3209,"&lt;"&amp;$A2045+1)))</f>
        <v/>
      </c>
      <c r="AH2045">
        <f>IF($B2045=0,0,IF(Inputs!$B$10="",0,COUNTIFS(Data!$Q$10:$Q$3209,"&gt;="&amp;$A2045,Data!$Q$10:$Q$3209,"&lt;"&amp;$A2045+1)))</f>
        <v/>
      </c>
    </row>
    <row r="2046">
      <c r="A2046" s="55">
        <f>MIN(Inputs!$C$15,$A2045+IF(WEEKDAY($A2045,2)=5,3,1))</f>
        <v/>
      </c>
      <c r="B2046">
        <f>IF($A2046&gt;$A2045,1,0)</f>
        <v/>
      </c>
      <c r="C2046" s="56">
        <f>IF($B2046=0,"",IF(Inputs!$B$6="","",IF($AD2046=0,C2045,SUMIFS(Data!$B$10:$B$3209,Data!$A$10:$A$3209,"&gt;="&amp;$A2046,Data!$A$10:$A$3209,"&lt;"&amp;$A2046+1)/$AD2046)))</f>
        <v/>
      </c>
      <c r="D2046" s="56">
        <f>IF($B2046=0,"",IF(Inputs!$B$7="","",IF($AE2046=0,D2045,SUMIFS(Data!$F$10:$F$3209,Data!$E$10:$E$3209,"&gt;="&amp;$A2046,Data!$E$10:$E$3209,"&lt;"&amp;$A2046+1)/$AE2046)))</f>
        <v/>
      </c>
      <c r="E2046" s="56">
        <f>IF($B2046=0,"",IF(Inputs!$B$8="","",IF($AF2046=0,E2045,SUMIFS(Data!$J$10:$J$3209,Data!$I$10:$I$3209,"&gt;="&amp;$A2046,Data!$I$10:$I$3209,"&lt;"&amp;$A2046+1)/$AF2046)))</f>
        <v/>
      </c>
      <c r="F2046" s="56">
        <f>IF($B2046=0,"",IF(Inputs!$B$9="","",IF($AG2046=0,F2045,SUMIFS(Data!$N$10:$N$3209,Data!$M$10:$M$3209,"&gt;="&amp;$A2046,Data!$M$10:$M$3209,"&lt;"&amp;$A2046+1)/$AG2046)))</f>
        <v/>
      </c>
      <c r="G2046" s="56">
        <f>IF($B2046=0,"",IF(Inputs!$B$10="","",IF($AH2046=0,G2045,SUMIFS(Data!$R$10:$R$3209,Data!$Q$10:$Q$3209,"&gt;="&amp;$A2046,Data!$Q$10:$Q$3209,"&lt;"&amp;$A2046+1)/$AH2046)))</f>
        <v/>
      </c>
      <c r="I2046" s="54">
        <f>IF($B2046=0,NA(),IF($C2046="",NA(),IF(C$8="",NA(),IF(N(C$8)=0,NA(),IF(Inputs!$C$17="Rebased to 100",$C2046/C$8*100,$C2046)))))</f>
        <v/>
      </c>
      <c r="J2046" s="54">
        <f>IF($B2046=0,NA(),IF($D2046="",NA(),IF(D$8="",NA(),IF(N(D$8)=0,NA(),IF(Inputs!$C$17="Rebased to 100",$D2046/D$8*100,$D2046)))))</f>
        <v/>
      </c>
      <c r="K2046" s="54">
        <f>IF($B2046=0,NA(),IF($E2046="",NA(),IF(E$8="",NA(),IF(N(E$8)=0,NA(),IF(Inputs!$C$17="Rebased to 100",$E2046/E$8*100,$E2046)))))</f>
        <v/>
      </c>
      <c r="L2046" s="54">
        <f>IF($B2046=0,NA(),IF($F2046="",NA(),IF(F$8="",NA(),IF(N(F$8)=0,NA(),IF(Inputs!$C$17="Rebased to 100",$F2046/F$8*100,$F2046)))))</f>
        <v/>
      </c>
      <c r="M2046" s="54">
        <f>IF($B2046=0,NA(),IF($G2046="",NA(),IF(G$8="",NA(),IF(N(G$8)=0,NA(),IF(Inputs!$C$17="Rebased to 100",$G2046/G$8*100,$G2046)))))</f>
        <v/>
      </c>
      <c r="N2046" s="54">
        <f>IF($B2046=0,NA(),IF(Inputs!$C$18&lt;&gt;"Yes",NA(),IF(COUNT(I2046,J2046,K2046,L2046,M2046)=0,NA(),MIN(I2046,J2046,K2046,L2046,M2046))))</f>
        <v/>
      </c>
      <c r="O2046" s="54">
        <f>IF($B2046=0,NA(),IF(Inputs!$B$24&lt;&gt;"Yes",NA(),Inputs!$D$24*Inputs!$C$35))</f>
        <v/>
      </c>
      <c r="P2046" s="54">
        <f>IF($B2046=0,NA(),IF(Inputs!$B$25&lt;&gt;"Yes",NA(),Inputs!$D$25*Inputs!$C$35))</f>
        <v/>
      </c>
      <c r="Q2046" s="54">
        <f>IF($B2046=0,NA(),IF(Inputs!$B$26&lt;&gt;"Yes",NA(),Inputs!$D$26*Inputs!$C$35))</f>
        <v/>
      </c>
      <c r="R2046" s="54">
        <f>IF($B2046=0,NA(),IF(Inputs!$B$27&lt;&gt;"Yes",NA(),Inputs!$D$27*Inputs!$C$35))</f>
        <v/>
      </c>
      <c r="S2046" s="54">
        <f>IF($B2046=0,NA(),IF(Inputs!$B$28&lt;&gt;"Yes",NA(),Inputs!$D$28*Inputs!$C$35))</f>
        <v/>
      </c>
      <c r="T2046" s="54">
        <f>IF($B2046=0,NA(),IF(Inputs!$B$29&lt;&gt;"Yes",NA(),Inputs!$D$29*Inputs!$C$35))</f>
        <v/>
      </c>
      <c r="AD2046">
        <f>IF($B2046=0,0,IF(Inputs!$B$6="",0,COUNTIFS(Data!$A$10:$A$3209,"&gt;="&amp;$A2046,Data!$A$10:$A$3209,"&lt;"&amp;$A2046+1)))</f>
        <v/>
      </c>
      <c r="AE2046">
        <f>IF($B2046=0,0,IF(Inputs!$B$7="",0,COUNTIFS(Data!$E$10:$E$3209,"&gt;="&amp;$A2046,Data!$E$10:$E$3209,"&lt;"&amp;$A2046+1)))</f>
        <v/>
      </c>
      <c r="AF2046">
        <f>IF($B2046=0,0,IF(Inputs!$B$8="",0,COUNTIFS(Data!$I$10:$I$3209,"&gt;="&amp;$A2046,Data!$I$10:$I$3209,"&lt;"&amp;$A2046+1)))</f>
        <v/>
      </c>
      <c r="AG2046">
        <f>IF($B2046=0,0,IF(Inputs!$B$9="",0,COUNTIFS(Data!$M$10:$M$3209,"&gt;="&amp;$A2046,Data!$M$10:$M$3209,"&lt;"&amp;$A2046+1)))</f>
        <v/>
      </c>
      <c r="AH2046">
        <f>IF($B2046=0,0,IF(Inputs!$B$10="",0,COUNTIFS(Data!$Q$10:$Q$3209,"&gt;="&amp;$A2046,Data!$Q$10:$Q$3209,"&lt;"&amp;$A2046+1)))</f>
        <v/>
      </c>
    </row>
    <row r="2047">
      <c r="A2047" s="55">
        <f>MIN(Inputs!$C$15,$A2046+IF(WEEKDAY($A2046,2)=5,3,1))</f>
        <v/>
      </c>
      <c r="B2047">
        <f>IF($A2047&gt;$A2046,1,0)</f>
        <v/>
      </c>
      <c r="C2047" s="56">
        <f>IF($B2047=0,"",IF(Inputs!$B$6="","",IF($AD2047=0,C2046,SUMIFS(Data!$B$10:$B$3209,Data!$A$10:$A$3209,"&gt;="&amp;$A2047,Data!$A$10:$A$3209,"&lt;"&amp;$A2047+1)/$AD2047)))</f>
        <v/>
      </c>
      <c r="D2047" s="56">
        <f>IF($B2047=0,"",IF(Inputs!$B$7="","",IF($AE2047=0,D2046,SUMIFS(Data!$F$10:$F$3209,Data!$E$10:$E$3209,"&gt;="&amp;$A2047,Data!$E$10:$E$3209,"&lt;"&amp;$A2047+1)/$AE2047)))</f>
        <v/>
      </c>
      <c r="E2047" s="56">
        <f>IF($B2047=0,"",IF(Inputs!$B$8="","",IF($AF2047=0,E2046,SUMIFS(Data!$J$10:$J$3209,Data!$I$10:$I$3209,"&gt;="&amp;$A2047,Data!$I$10:$I$3209,"&lt;"&amp;$A2047+1)/$AF2047)))</f>
        <v/>
      </c>
      <c r="F2047" s="56">
        <f>IF($B2047=0,"",IF(Inputs!$B$9="","",IF($AG2047=0,F2046,SUMIFS(Data!$N$10:$N$3209,Data!$M$10:$M$3209,"&gt;="&amp;$A2047,Data!$M$10:$M$3209,"&lt;"&amp;$A2047+1)/$AG2047)))</f>
        <v/>
      </c>
      <c r="G2047" s="56">
        <f>IF($B2047=0,"",IF(Inputs!$B$10="","",IF($AH2047=0,G2046,SUMIFS(Data!$R$10:$R$3209,Data!$Q$10:$Q$3209,"&gt;="&amp;$A2047,Data!$Q$10:$Q$3209,"&lt;"&amp;$A2047+1)/$AH2047)))</f>
        <v/>
      </c>
      <c r="I2047" s="54">
        <f>IF($B2047=0,NA(),IF($C2047="",NA(),IF(C$8="",NA(),IF(N(C$8)=0,NA(),IF(Inputs!$C$17="Rebased to 100",$C2047/C$8*100,$C2047)))))</f>
        <v/>
      </c>
      <c r="J2047" s="54">
        <f>IF($B2047=0,NA(),IF($D2047="",NA(),IF(D$8="",NA(),IF(N(D$8)=0,NA(),IF(Inputs!$C$17="Rebased to 100",$D2047/D$8*100,$D2047)))))</f>
        <v/>
      </c>
      <c r="K2047" s="54">
        <f>IF($B2047=0,NA(),IF($E2047="",NA(),IF(E$8="",NA(),IF(N(E$8)=0,NA(),IF(Inputs!$C$17="Rebased to 100",$E2047/E$8*100,$E2047)))))</f>
        <v/>
      </c>
      <c r="L2047" s="54">
        <f>IF($B2047=0,NA(),IF($F2047="",NA(),IF(F$8="",NA(),IF(N(F$8)=0,NA(),IF(Inputs!$C$17="Rebased to 100",$F2047/F$8*100,$F2047)))))</f>
        <v/>
      </c>
      <c r="M2047" s="54">
        <f>IF($B2047=0,NA(),IF($G2047="",NA(),IF(G$8="",NA(),IF(N(G$8)=0,NA(),IF(Inputs!$C$17="Rebased to 100",$G2047/G$8*100,$G2047)))))</f>
        <v/>
      </c>
      <c r="N2047" s="54">
        <f>IF($B2047=0,NA(),IF(Inputs!$C$18&lt;&gt;"Yes",NA(),IF(COUNT(I2047,J2047,K2047,L2047,M2047)=0,NA(),MIN(I2047,J2047,K2047,L2047,M2047))))</f>
        <v/>
      </c>
      <c r="O2047" s="54">
        <f>IF($B2047=0,NA(),IF(Inputs!$B$24&lt;&gt;"Yes",NA(),Inputs!$D$24*Inputs!$C$35))</f>
        <v/>
      </c>
      <c r="P2047" s="54">
        <f>IF($B2047=0,NA(),IF(Inputs!$B$25&lt;&gt;"Yes",NA(),Inputs!$D$25*Inputs!$C$35))</f>
        <v/>
      </c>
      <c r="Q2047" s="54">
        <f>IF($B2047=0,NA(),IF(Inputs!$B$26&lt;&gt;"Yes",NA(),Inputs!$D$26*Inputs!$C$35))</f>
        <v/>
      </c>
      <c r="R2047" s="54">
        <f>IF($B2047=0,NA(),IF(Inputs!$B$27&lt;&gt;"Yes",NA(),Inputs!$D$27*Inputs!$C$35))</f>
        <v/>
      </c>
      <c r="S2047" s="54">
        <f>IF($B2047=0,NA(),IF(Inputs!$B$28&lt;&gt;"Yes",NA(),Inputs!$D$28*Inputs!$C$35))</f>
        <v/>
      </c>
      <c r="T2047" s="54">
        <f>IF($B2047=0,NA(),IF(Inputs!$B$29&lt;&gt;"Yes",NA(),Inputs!$D$29*Inputs!$C$35))</f>
        <v/>
      </c>
      <c r="AD2047">
        <f>IF($B2047=0,0,IF(Inputs!$B$6="",0,COUNTIFS(Data!$A$10:$A$3209,"&gt;="&amp;$A2047,Data!$A$10:$A$3209,"&lt;"&amp;$A2047+1)))</f>
        <v/>
      </c>
      <c r="AE2047">
        <f>IF($B2047=0,0,IF(Inputs!$B$7="",0,COUNTIFS(Data!$E$10:$E$3209,"&gt;="&amp;$A2047,Data!$E$10:$E$3209,"&lt;"&amp;$A2047+1)))</f>
        <v/>
      </c>
      <c r="AF2047">
        <f>IF($B2047=0,0,IF(Inputs!$B$8="",0,COUNTIFS(Data!$I$10:$I$3209,"&gt;="&amp;$A2047,Data!$I$10:$I$3209,"&lt;"&amp;$A2047+1)))</f>
        <v/>
      </c>
      <c r="AG2047">
        <f>IF($B2047=0,0,IF(Inputs!$B$9="",0,COUNTIFS(Data!$M$10:$M$3209,"&gt;="&amp;$A2047,Data!$M$10:$M$3209,"&lt;"&amp;$A2047+1)))</f>
        <v/>
      </c>
      <c r="AH2047">
        <f>IF($B2047=0,0,IF(Inputs!$B$10="",0,COUNTIFS(Data!$Q$10:$Q$3209,"&gt;="&amp;$A2047,Data!$Q$10:$Q$3209,"&lt;"&amp;$A2047+1)))</f>
        <v/>
      </c>
    </row>
    <row r="2048">
      <c r="A2048" s="55">
        <f>MIN(Inputs!$C$15,$A2047+IF(WEEKDAY($A2047,2)=5,3,1))</f>
        <v/>
      </c>
      <c r="B2048">
        <f>IF($A2048&gt;$A2047,1,0)</f>
        <v/>
      </c>
      <c r="C2048" s="56">
        <f>IF($B2048=0,"",IF(Inputs!$B$6="","",IF($AD2048=0,C2047,SUMIFS(Data!$B$10:$B$3209,Data!$A$10:$A$3209,"&gt;="&amp;$A2048,Data!$A$10:$A$3209,"&lt;"&amp;$A2048+1)/$AD2048)))</f>
        <v/>
      </c>
      <c r="D2048" s="56">
        <f>IF($B2048=0,"",IF(Inputs!$B$7="","",IF($AE2048=0,D2047,SUMIFS(Data!$F$10:$F$3209,Data!$E$10:$E$3209,"&gt;="&amp;$A2048,Data!$E$10:$E$3209,"&lt;"&amp;$A2048+1)/$AE2048)))</f>
        <v/>
      </c>
      <c r="E2048" s="56">
        <f>IF($B2048=0,"",IF(Inputs!$B$8="","",IF($AF2048=0,E2047,SUMIFS(Data!$J$10:$J$3209,Data!$I$10:$I$3209,"&gt;="&amp;$A2048,Data!$I$10:$I$3209,"&lt;"&amp;$A2048+1)/$AF2048)))</f>
        <v/>
      </c>
      <c r="F2048" s="56">
        <f>IF($B2048=0,"",IF(Inputs!$B$9="","",IF($AG2048=0,F2047,SUMIFS(Data!$N$10:$N$3209,Data!$M$10:$M$3209,"&gt;="&amp;$A2048,Data!$M$10:$M$3209,"&lt;"&amp;$A2048+1)/$AG2048)))</f>
        <v/>
      </c>
      <c r="G2048" s="56">
        <f>IF($B2048=0,"",IF(Inputs!$B$10="","",IF($AH2048=0,G2047,SUMIFS(Data!$R$10:$R$3209,Data!$Q$10:$Q$3209,"&gt;="&amp;$A2048,Data!$Q$10:$Q$3209,"&lt;"&amp;$A2048+1)/$AH2048)))</f>
        <v/>
      </c>
      <c r="I2048" s="54">
        <f>IF($B2048=0,NA(),IF($C2048="",NA(),IF(C$8="",NA(),IF(N(C$8)=0,NA(),IF(Inputs!$C$17="Rebased to 100",$C2048/C$8*100,$C2048)))))</f>
        <v/>
      </c>
      <c r="J2048" s="54">
        <f>IF($B2048=0,NA(),IF($D2048="",NA(),IF(D$8="",NA(),IF(N(D$8)=0,NA(),IF(Inputs!$C$17="Rebased to 100",$D2048/D$8*100,$D2048)))))</f>
        <v/>
      </c>
      <c r="K2048" s="54">
        <f>IF($B2048=0,NA(),IF($E2048="",NA(),IF(E$8="",NA(),IF(N(E$8)=0,NA(),IF(Inputs!$C$17="Rebased to 100",$E2048/E$8*100,$E2048)))))</f>
        <v/>
      </c>
      <c r="L2048" s="54">
        <f>IF($B2048=0,NA(),IF($F2048="",NA(),IF(F$8="",NA(),IF(N(F$8)=0,NA(),IF(Inputs!$C$17="Rebased to 100",$F2048/F$8*100,$F2048)))))</f>
        <v/>
      </c>
      <c r="M2048" s="54">
        <f>IF($B2048=0,NA(),IF($G2048="",NA(),IF(G$8="",NA(),IF(N(G$8)=0,NA(),IF(Inputs!$C$17="Rebased to 100",$G2048/G$8*100,$G2048)))))</f>
        <v/>
      </c>
      <c r="N2048" s="54">
        <f>IF($B2048=0,NA(),IF(Inputs!$C$18&lt;&gt;"Yes",NA(),IF(COUNT(I2048,J2048,K2048,L2048,M2048)=0,NA(),MIN(I2048,J2048,K2048,L2048,M2048))))</f>
        <v/>
      </c>
      <c r="O2048" s="54">
        <f>IF($B2048=0,NA(),IF(Inputs!$B$24&lt;&gt;"Yes",NA(),Inputs!$D$24*Inputs!$C$35))</f>
        <v/>
      </c>
      <c r="P2048" s="54">
        <f>IF($B2048=0,NA(),IF(Inputs!$B$25&lt;&gt;"Yes",NA(),Inputs!$D$25*Inputs!$C$35))</f>
        <v/>
      </c>
      <c r="Q2048" s="54">
        <f>IF($B2048=0,NA(),IF(Inputs!$B$26&lt;&gt;"Yes",NA(),Inputs!$D$26*Inputs!$C$35))</f>
        <v/>
      </c>
      <c r="R2048" s="54">
        <f>IF($B2048=0,NA(),IF(Inputs!$B$27&lt;&gt;"Yes",NA(),Inputs!$D$27*Inputs!$C$35))</f>
        <v/>
      </c>
      <c r="S2048" s="54">
        <f>IF($B2048=0,NA(),IF(Inputs!$B$28&lt;&gt;"Yes",NA(),Inputs!$D$28*Inputs!$C$35))</f>
        <v/>
      </c>
      <c r="T2048" s="54">
        <f>IF($B2048=0,NA(),IF(Inputs!$B$29&lt;&gt;"Yes",NA(),Inputs!$D$29*Inputs!$C$35))</f>
        <v/>
      </c>
      <c r="AD2048">
        <f>IF($B2048=0,0,IF(Inputs!$B$6="",0,COUNTIFS(Data!$A$10:$A$3209,"&gt;="&amp;$A2048,Data!$A$10:$A$3209,"&lt;"&amp;$A2048+1)))</f>
        <v/>
      </c>
      <c r="AE2048">
        <f>IF($B2048=0,0,IF(Inputs!$B$7="",0,COUNTIFS(Data!$E$10:$E$3209,"&gt;="&amp;$A2048,Data!$E$10:$E$3209,"&lt;"&amp;$A2048+1)))</f>
        <v/>
      </c>
      <c r="AF2048">
        <f>IF($B2048=0,0,IF(Inputs!$B$8="",0,COUNTIFS(Data!$I$10:$I$3209,"&gt;="&amp;$A2048,Data!$I$10:$I$3209,"&lt;"&amp;$A2048+1)))</f>
        <v/>
      </c>
      <c r="AG2048">
        <f>IF($B2048=0,0,IF(Inputs!$B$9="",0,COUNTIFS(Data!$M$10:$M$3209,"&gt;="&amp;$A2048,Data!$M$10:$M$3209,"&lt;"&amp;$A2048+1)))</f>
        <v/>
      </c>
      <c r="AH2048">
        <f>IF($B2048=0,0,IF(Inputs!$B$10="",0,COUNTIFS(Data!$Q$10:$Q$3209,"&gt;="&amp;$A2048,Data!$Q$10:$Q$3209,"&lt;"&amp;$A2048+1)))</f>
        <v/>
      </c>
    </row>
    <row r="2049">
      <c r="A2049" s="55">
        <f>MIN(Inputs!$C$15,$A2048+IF(WEEKDAY($A2048,2)=5,3,1))</f>
        <v/>
      </c>
      <c r="B2049">
        <f>IF($A2049&gt;$A2048,1,0)</f>
        <v/>
      </c>
      <c r="C2049" s="56">
        <f>IF($B2049=0,"",IF(Inputs!$B$6="","",IF($AD2049=0,C2048,SUMIFS(Data!$B$10:$B$3209,Data!$A$10:$A$3209,"&gt;="&amp;$A2049,Data!$A$10:$A$3209,"&lt;"&amp;$A2049+1)/$AD2049)))</f>
        <v/>
      </c>
      <c r="D2049" s="56">
        <f>IF($B2049=0,"",IF(Inputs!$B$7="","",IF($AE2049=0,D2048,SUMIFS(Data!$F$10:$F$3209,Data!$E$10:$E$3209,"&gt;="&amp;$A2049,Data!$E$10:$E$3209,"&lt;"&amp;$A2049+1)/$AE2049)))</f>
        <v/>
      </c>
      <c r="E2049" s="56">
        <f>IF($B2049=0,"",IF(Inputs!$B$8="","",IF($AF2049=0,E2048,SUMIFS(Data!$J$10:$J$3209,Data!$I$10:$I$3209,"&gt;="&amp;$A2049,Data!$I$10:$I$3209,"&lt;"&amp;$A2049+1)/$AF2049)))</f>
        <v/>
      </c>
      <c r="F2049" s="56">
        <f>IF($B2049=0,"",IF(Inputs!$B$9="","",IF($AG2049=0,F2048,SUMIFS(Data!$N$10:$N$3209,Data!$M$10:$M$3209,"&gt;="&amp;$A2049,Data!$M$10:$M$3209,"&lt;"&amp;$A2049+1)/$AG2049)))</f>
        <v/>
      </c>
      <c r="G2049" s="56">
        <f>IF($B2049=0,"",IF(Inputs!$B$10="","",IF($AH2049=0,G2048,SUMIFS(Data!$R$10:$R$3209,Data!$Q$10:$Q$3209,"&gt;="&amp;$A2049,Data!$Q$10:$Q$3209,"&lt;"&amp;$A2049+1)/$AH2049)))</f>
        <v/>
      </c>
      <c r="I2049" s="54">
        <f>IF($B2049=0,NA(),IF($C2049="",NA(),IF(C$8="",NA(),IF(N(C$8)=0,NA(),IF(Inputs!$C$17="Rebased to 100",$C2049/C$8*100,$C2049)))))</f>
        <v/>
      </c>
      <c r="J2049" s="54">
        <f>IF($B2049=0,NA(),IF($D2049="",NA(),IF(D$8="",NA(),IF(N(D$8)=0,NA(),IF(Inputs!$C$17="Rebased to 100",$D2049/D$8*100,$D2049)))))</f>
        <v/>
      </c>
      <c r="K2049" s="54">
        <f>IF($B2049=0,NA(),IF($E2049="",NA(),IF(E$8="",NA(),IF(N(E$8)=0,NA(),IF(Inputs!$C$17="Rebased to 100",$E2049/E$8*100,$E2049)))))</f>
        <v/>
      </c>
      <c r="L2049" s="54">
        <f>IF($B2049=0,NA(),IF($F2049="",NA(),IF(F$8="",NA(),IF(N(F$8)=0,NA(),IF(Inputs!$C$17="Rebased to 100",$F2049/F$8*100,$F2049)))))</f>
        <v/>
      </c>
      <c r="M2049" s="54">
        <f>IF($B2049=0,NA(),IF($G2049="",NA(),IF(G$8="",NA(),IF(N(G$8)=0,NA(),IF(Inputs!$C$17="Rebased to 100",$G2049/G$8*100,$G2049)))))</f>
        <v/>
      </c>
      <c r="N2049" s="54">
        <f>IF($B2049=0,NA(),IF(Inputs!$C$18&lt;&gt;"Yes",NA(),IF(COUNT(I2049,J2049,K2049,L2049,M2049)=0,NA(),MIN(I2049,J2049,K2049,L2049,M2049))))</f>
        <v/>
      </c>
      <c r="O2049" s="54">
        <f>IF($B2049=0,NA(),IF(Inputs!$B$24&lt;&gt;"Yes",NA(),Inputs!$D$24*Inputs!$C$35))</f>
        <v/>
      </c>
      <c r="P2049" s="54">
        <f>IF($B2049=0,NA(),IF(Inputs!$B$25&lt;&gt;"Yes",NA(),Inputs!$D$25*Inputs!$C$35))</f>
        <v/>
      </c>
      <c r="Q2049" s="54">
        <f>IF($B2049=0,NA(),IF(Inputs!$B$26&lt;&gt;"Yes",NA(),Inputs!$D$26*Inputs!$C$35))</f>
        <v/>
      </c>
      <c r="R2049" s="54">
        <f>IF($B2049=0,NA(),IF(Inputs!$B$27&lt;&gt;"Yes",NA(),Inputs!$D$27*Inputs!$C$35))</f>
        <v/>
      </c>
      <c r="S2049" s="54">
        <f>IF($B2049=0,NA(),IF(Inputs!$B$28&lt;&gt;"Yes",NA(),Inputs!$D$28*Inputs!$C$35))</f>
        <v/>
      </c>
      <c r="T2049" s="54">
        <f>IF($B2049=0,NA(),IF(Inputs!$B$29&lt;&gt;"Yes",NA(),Inputs!$D$29*Inputs!$C$35))</f>
        <v/>
      </c>
      <c r="AD2049">
        <f>IF($B2049=0,0,IF(Inputs!$B$6="",0,COUNTIFS(Data!$A$10:$A$3209,"&gt;="&amp;$A2049,Data!$A$10:$A$3209,"&lt;"&amp;$A2049+1)))</f>
        <v/>
      </c>
      <c r="AE2049">
        <f>IF($B2049=0,0,IF(Inputs!$B$7="",0,COUNTIFS(Data!$E$10:$E$3209,"&gt;="&amp;$A2049,Data!$E$10:$E$3209,"&lt;"&amp;$A2049+1)))</f>
        <v/>
      </c>
      <c r="AF2049">
        <f>IF($B2049=0,0,IF(Inputs!$B$8="",0,COUNTIFS(Data!$I$10:$I$3209,"&gt;="&amp;$A2049,Data!$I$10:$I$3209,"&lt;"&amp;$A2049+1)))</f>
        <v/>
      </c>
      <c r="AG2049">
        <f>IF($B2049=0,0,IF(Inputs!$B$9="",0,COUNTIFS(Data!$M$10:$M$3209,"&gt;="&amp;$A2049,Data!$M$10:$M$3209,"&lt;"&amp;$A2049+1)))</f>
        <v/>
      </c>
      <c r="AH2049">
        <f>IF($B2049=0,0,IF(Inputs!$B$10="",0,COUNTIFS(Data!$Q$10:$Q$3209,"&gt;="&amp;$A2049,Data!$Q$10:$Q$3209,"&lt;"&amp;$A2049+1)))</f>
        <v/>
      </c>
    </row>
    <row r="2050">
      <c r="A2050" s="55">
        <f>MIN(Inputs!$C$15,$A2049+IF(WEEKDAY($A2049,2)=5,3,1))</f>
        <v/>
      </c>
      <c r="B2050">
        <f>IF($A2050&gt;$A2049,1,0)</f>
        <v/>
      </c>
      <c r="C2050" s="56">
        <f>IF($B2050=0,"",IF(Inputs!$B$6="","",IF($AD2050=0,C2049,SUMIFS(Data!$B$10:$B$3209,Data!$A$10:$A$3209,"&gt;="&amp;$A2050,Data!$A$10:$A$3209,"&lt;"&amp;$A2050+1)/$AD2050)))</f>
        <v/>
      </c>
      <c r="D2050" s="56">
        <f>IF($B2050=0,"",IF(Inputs!$B$7="","",IF($AE2050=0,D2049,SUMIFS(Data!$F$10:$F$3209,Data!$E$10:$E$3209,"&gt;="&amp;$A2050,Data!$E$10:$E$3209,"&lt;"&amp;$A2050+1)/$AE2050)))</f>
        <v/>
      </c>
      <c r="E2050" s="56">
        <f>IF($B2050=0,"",IF(Inputs!$B$8="","",IF($AF2050=0,E2049,SUMIFS(Data!$J$10:$J$3209,Data!$I$10:$I$3209,"&gt;="&amp;$A2050,Data!$I$10:$I$3209,"&lt;"&amp;$A2050+1)/$AF2050)))</f>
        <v/>
      </c>
      <c r="F2050" s="56">
        <f>IF($B2050=0,"",IF(Inputs!$B$9="","",IF($AG2050=0,F2049,SUMIFS(Data!$N$10:$N$3209,Data!$M$10:$M$3209,"&gt;="&amp;$A2050,Data!$M$10:$M$3209,"&lt;"&amp;$A2050+1)/$AG2050)))</f>
        <v/>
      </c>
      <c r="G2050" s="56">
        <f>IF($B2050=0,"",IF(Inputs!$B$10="","",IF($AH2050=0,G2049,SUMIFS(Data!$R$10:$R$3209,Data!$Q$10:$Q$3209,"&gt;="&amp;$A2050,Data!$Q$10:$Q$3209,"&lt;"&amp;$A2050+1)/$AH2050)))</f>
        <v/>
      </c>
      <c r="I2050" s="54">
        <f>IF($B2050=0,NA(),IF($C2050="",NA(),IF(C$8="",NA(),IF(N(C$8)=0,NA(),IF(Inputs!$C$17="Rebased to 100",$C2050/C$8*100,$C2050)))))</f>
        <v/>
      </c>
      <c r="J2050" s="54">
        <f>IF($B2050=0,NA(),IF($D2050="",NA(),IF(D$8="",NA(),IF(N(D$8)=0,NA(),IF(Inputs!$C$17="Rebased to 100",$D2050/D$8*100,$D2050)))))</f>
        <v/>
      </c>
      <c r="K2050" s="54">
        <f>IF($B2050=0,NA(),IF($E2050="",NA(),IF(E$8="",NA(),IF(N(E$8)=0,NA(),IF(Inputs!$C$17="Rebased to 100",$E2050/E$8*100,$E2050)))))</f>
        <v/>
      </c>
      <c r="L2050" s="54">
        <f>IF($B2050=0,NA(),IF($F2050="",NA(),IF(F$8="",NA(),IF(N(F$8)=0,NA(),IF(Inputs!$C$17="Rebased to 100",$F2050/F$8*100,$F2050)))))</f>
        <v/>
      </c>
      <c r="M2050" s="54">
        <f>IF($B2050=0,NA(),IF($G2050="",NA(),IF(G$8="",NA(),IF(N(G$8)=0,NA(),IF(Inputs!$C$17="Rebased to 100",$G2050/G$8*100,$G2050)))))</f>
        <v/>
      </c>
      <c r="N2050" s="54">
        <f>IF($B2050=0,NA(),IF(Inputs!$C$18&lt;&gt;"Yes",NA(),IF(COUNT(I2050,J2050,K2050,L2050,M2050)=0,NA(),MIN(I2050,J2050,K2050,L2050,M2050))))</f>
        <v/>
      </c>
      <c r="O2050" s="54">
        <f>IF($B2050=0,NA(),IF(Inputs!$B$24&lt;&gt;"Yes",NA(),Inputs!$D$24*Inputs!$C$35))</f>
        <v/>
      </c>
      <c r="P2050" s="54">
        <f>IF($B2050=0,NA(),IF(Inputs!$B$25&lt;&gt;"Yes",NA(),Inputs!$D$25*Inputs!$C$35))</f>
        <v/>
      </c>
      <c r="Q2050" s="54">
        <f>IF($B2050=0,NA(),IF(Inputs!$B$26&lt;&gt;"Yes",NA(),Inputs!$D$26*Inputs!$C$35))</f>
        <v/>
      </c>
      <c r="R2050" s="54">
        <f>IF($B2050=0,NA(),IF(Inputs!$B$27&lt;&gt;"Yes",NA(),Inputs!$D$27*Inputs!$C$35))</f>
        <v/>
      </c>
      <c r="S2050" s="54">
        <f>IF($B2050=0,NA(),IF(Inputs!$B$28&lt;&gt;"Yes",NA(),Inputs!$D$28*Inputs!$C$35))</f>
        <v/>
      </c>
      <c r="T2050" s="54">
        <f>IF($B2050=0,NA(),IF(Inputs!$B$29&lt;&gt;"Yes",NA(),Inputs!$D$29*Inputs!$C$35))</f>
        <v/>
      </c>
      <c r="AD2050">
        <f>IF($B2050=0,0,IF(Inputs!$B$6="",0,COUNTIFS(Data!$A$10:$A$3209,"&gt;="&amp;$A2050,Data!$A$10:$A$3209,"&lt;"&amp;$A2050+1)))</f>
        <v/>
      </c>
      <c r="AE2050">
        <f>IF($B2050=0,0,IF(Inputs!$B$7="",0,COUNTIFS(Data!$E$10:$E$3209,"&gt;="&amp;$A2050,Data!$E$10:$E$3209,"&lt;"&amp;$A2050+1)))</f>
        <v/>
      </c>
      <c r="AF2050">
        <f>IF($B2050=0,0,IF(Inputs!$B$8="",0,COUNTIFS(Data!$I$10:$I$3209,"&gt;="&amp;$A2050,Data!$I$10:$I$3209,"&lt;"&amp;$A2050+1)))</f>
        <v/>
      </c>
      <c r="AG2050">
        <f>IF($B2050=0,0,IF(Inputs!$B$9="",0,COUNTIFS(Data!$M$10:$M$3209,"&gt;="&amp;$A2050,Data!$M$10:$M$3209,"&lt;"&amp;$A2050+1)))</f>
        <v/>
      </c>
      <c r="AH2050">
        <f>IF($B2050=0,0,IF(Inputs!$B$10="",0,COUNTIFS(Data!$Q$10:$Q$3209,"&gt;="&amp;$A2050,Data!$Q$10:$Q$3209,"&lt;"&amp;$A2050+1)))</f>
        <v/>
      </c>
    </row>
    <row r="2051">
      <c r="A2051" s="55">
        <f>MIN(Inputs!$C$15,$A2050+IF(WEEKDAY($A2050,2)=5,3,1))</f>
        <v/>
      </c>
      <c r="B2051">
        <f>IF($A2051&gt;$A2050,1,0)</f>
        <v/>
      </c>
      <c r="C2051" s="56">
        <f>IF($B2051=0,"",IF(Inputs!$B$6="","",IF($AD2051=0,C2050,SUMIFS(Data!$B$10:$B$3209,Data!$A$10:$A$3209,"&gt;="&amp;$A2051,Data!$A$10:$A$3209,"&lt;"&amp;$A2051+1)/$AD2051)))</f>
        <v/>
      </c>
      <c r="D2051" s="56">
        <f>IF($B2051=0,"",IF(Inputs!$B$7="","",IF($AE2051=0,D2050,SUMIFS(Data!$F$10:$F$3209,Data!$E$10:$E$3209,"&gt;="&amp;$A2051,Data!$E$10:$E$3209,"&lt;"&amp;$A2051+1)/$AE2051)))</f>
        <v/>
      </c>
      <c r="E2051" s="56">
        <f>IF($B2051=0,"",IF(Inputs!$B$8="","",IF($AF2051=0,E2050,SUMIFS(Data!$J$10:$J$3209,Data!$I$10:$I$3209,"&gt;="&amp;$A2051,Data!$I$10:$I$3209,"&lt;"&amp;$A2051+1)/$AF2051)))</f>
        <v/>
      </c>
      <c r="F2051" s="56">
        <f>IF($B2051=0,"",IF(Inputs!$B$9="","",IF($AG2051=0,F2050,SUMIFS(Data!$N$10:$N$3209,Data!$M$10:$M$3209,"&gt;="&amp;$A2051,Data!$M$10:$M$3209,"&lt;"&amp;$A2051+1)/$AG2051)))</f>
        <v/>
      </c>
      <c r="G2051" s="56">
        <f>IF($B2051=0,"",IF(Inputs!$B$10="","",IF($AH2051=0,G2050,SUMIFS(Data!$R$10:$R$3209,Data!$Q$10:$Q$3209,"&gt;="&amp;$A2051,Data!$Q$10:$Q$3209,"&lt;"&amp;$A2051+1)/$AH2051)))</f>
        <v/>
      </c>
      <c r="I2051" s="54">
        <f>IF($B2051=0,NA(),IF($C2051="",NA(),IF(C$8="",NA(),IF(N(C$8)=0,NA(),IF(Inputs!$C$17="Rebased to 100",$C2051/C$8*100,$C2051)))))</f>
        <v/>
      </c>
      <c r="J2051" s="54">
        <f>IF($B2051=0,NA(),IF($D2051="",NA(),IF(D$8="",NA(),IF(N(D$8)=0,NA(),IF(Inputs!$C$17="Rebased to 100",$D2051/D$8*100,$D2051)))))</f>
        <v/>
      </c>
      <c r="K2051" s="54">
        <f>IF($B2051=0,NA(),IF($E2051="",NA(),IF(E$8="",NA(),IF(N(E$8)=0,NA(),IF(Inputs!$C$17="Rebased to 100",$E2051/E$8*100,$E2051)))))</f>
        <v/>
      </c>
      <c r="L2051" s="54">
        <f>IF($B2051=0,NA(),IF($F2051="",NA(),IF(F$8="",NA(),IF(N(F$8)=0,NA(),IF(Inputs!$C$17="Rebased to 100",$F2051/F$8*100,$F2051)))))</f>
        <v/>
      </c>
      <c r="M2051" s="54">
        <f>IF($B2051=0,NA(),IF($G2051="",NA(),IF(G$8="",NA(),IF(N(G$8)=0,NA(),IF(Inputs!$C$17="Rebased to 100",$G2051/G$8*100,$G2051)))))</f>
        <v/>
      </c>
      <c r="N2051" s="54">
        <f>IF($B2051=0,NA(),IF(Inputs!$C$18&lt;&gt;"Yes",NA(),IF(COUNT(I2051,J2051,K2051,L2051,M2051)=0,NA(),MIN(I2051,J2051,K2051,L2051,M2051))))</f>
        <v/>
      </c>
      <c r="O2051" s="54">
        <f>IF($B2051=0,NA(),IF(Inputs!$B$24&lt;&gt;"Yes",NA(),Inputs!$D$24*Inputs!$C$35))</f>
        <v/>
      </c>
      <c r="P2051" s="54">
        <f>IF($B2051=0,NA(),IF(Inputs!$B$25&lt;&gt;"Yes",NA(),Inputs!$D$25*Inputs!$C$35))</f>
        <v/>
      </c>
      <c r="Q2051" s="54">
        <f>IF($B2051=0,NA(),IF(Inputs!$B$26&lt;&gt;"Yes",NA(),Inputs!$D$26*Inputs!$C$35))</f>
        <v/>
      </c>
      <c r="R2051" s="54">
        <f>IF($B2051=0,NA(),IF(Inputs!$B$27&lt;&gt;"Yes",NA(),Inputs!$D$27*Inputs!$C$35))</f>
        <v/>
      </c>
      <c r="S2051" s="54">
        <f>IF($B2051=0,NA(),IF(Inputs!$B$28&lt;&gt;"Yes",NA(),Inputs!$D$28*Inputs!$C$35))</f>
        <v/>
      </c>
      <c r="T2051" s="54">
        <f>IF($B2051=0,NA(),IF(Inputs!$B$29&lt;&gt;"Yes",NA(),Inputs!$D$29*Inputs!$C$35))</f>
        <v/>
      </c>
      <c r="AD2051">
        <f>IF($B2051=0,0,IF(Inputs!$B$6="",0,COUNTIFS(Data!$A$10:$A$3209,"&gt;="&amp;$A2051,Data!$A$10:$A$3209,"&lt;"&amp;$A2051+1)))</f>
        <v/>
      </c>
      <c r="AE2051">
        <f>IF($B2051=0,0,IF(Inputs!$B$7="",0,COUNTIFS(Data!$E$10:$E$3209,"&gt;="&amp;$A2051,Data!$E$10:$E$3209,"&lt;"&amp;$A2051+1)))</f>
        <v/>
      </c>
      <c r="AF2051">
        <f>IF($B2051=0,0,IF(Inputs!$B$8="",0,COUNTIFS(Data!$I$10:$I$3209,"&gt;="&amp;$A2051,Data!$I$10:$I$3209,"&lt;"&amp;$A2051+1)))</f>
        <v/>
      </c>
      <c r="AG2051">
        <f>IF($B2051=0,0,IF(Inputs!$B$9="",0,COUNTIFS(Data!$M$10:$M$3209,"&gt;="&amp;$A2051,Data!$M$10:$M$3209,"&lt;"&amp;$A2051+1)))</f>
        <v/>
      </c>
      <c r="AH2051">
        <f>IF($B2051=0,0,IF(Inputs!$B$10="",0,COUNTIFS(Data!$Q$10:$Q$3209,"&gt;="&amp;$A2051,Data!$Q$10:$Q$3209,"&lt;"&amp;$A2051+1)))</f>
        <v/>
      </c>
    </row>
    <row r="2052">
      <c r="A2052" s="55">
        <f>MIN(Inputs!$C$15,$A2051+IF(WEEKDAY($A2051,2)=5,3,1))</f>
        <v/>
      </c>
      <c r="B2052">
        <f>IF($A2052&gt;$A2051,1,0)</f>
        <v/>
      </c>
      <c r="C2052" s="56">
        <f>IF($B2052=0,"",IF(Inputs!$B$6="","",IF($AD2052=0,C2051,SUMIFS(Data!$B$10:$B$3209,Data!$A$10:$A$3209,"&gt;="&amp;$A2052,Data!$A$10:$A$3209,"&lt;"&amp;$A2052+1)/$AD2052)))</f>
        <v/>
      </c>
      <c r="D2052" s="56">
        <f>IF($B2052=0,"",IF(Inputs!$B$7="","",IF($AE2052=0,D2051,SUMIFS(Data!$F$10:$F$3209,Data!$E$10:$E$3209,"&gt;="&amp;$A2052,Data!$E$10:$E$3209,"&lt;"&amp;$A2052+1)/$AE2052)))</f>
        <v/>
      </c>
      <c r="E2052" s="56">
        <f>IF($B2052=0,"",IF(Inputs!$B$8="","",IF($AF2052=0,E2051,SUMIFS(Data!$J$10:$J$3209,Data!$I$10:$I$3209,"&gt;="&amp;$A2052,Data!$I$10:$I$3209,"&lt;"&amp;$A2052+1)/$AF2052)))</f>
        <v/>
      </c>
      <c r="F2052" s="56">
        <f>IF($B2052=0,"",IF(Inputs!$B$9="","",IF($AG2052=0,F2051,SUMIFS(Data!$N$10:$N$3209,Data!$M$10:$M$3209,"&gt;="&amp;$A2052,Data!$M$10:$M$3209,"&lt;"&amp;$A2052+1)/$AG2052)))</f>
        <v/>
      </c>
      <c r="G2052" s="56">
        <f>IF($B2052=0,"",IF(Inputs!$B$10="","",IF($AH2052=0,G2051,SUMIFS(Data!$R$10:$R$3209,Data!$Q$10:$Q$3209,"&gt;="&amp;$A2052,Data!$Q$10:$Q$3209,"&lt;"&amp;$A2052+1)/$AH2052)))</f>
        <v/>
      </c>
      <c r="I2052" s="54">
        <f>IF($B2052=0,NA(),IF($C2052="",NA(),IF(C$8="",NA(),IF(N(C$8)=0,NA(),IF(Inputs!$C$17="Rebased to 100",$C2052/C$8*100,$C2052)))))</f>
        <v/>
      </c>
      <c r="J2052" s="54">
        <f>IF($B2052=0,NA(),IF($D2052="",NA(),IF(D$8="",NA(),IF(N(D$8)=0,NA(),IF(Inputs!$C$17="Rebased to 100",$D2052/D$8*100,$D2052)))))</f>
        <v/>
      </c>
      <c r="K2052" s="54">
        <f>IF($B2052=0,NA(),IF($E2052="",NA(),IF(E$8="",NA(),IF(N(E$8)=0,NA(),IF(Inputs!$C$17="Rebased to 100",$E2052/E$8*100,$E2052)))))</f>
        <v/>
      </c>
      <c r="L2052" s="54">
        <f>IF($B2052=0,NA(),IF($F2052="",NA(),IF(F$8="",NA(),IF(N(F$8)=0,NA(),IF(Inputs!$C$17="Rebased to 100",$F2052/F$8*100,$F2052)))))</f>
        <v/>
      </c>
      <c r="M2052" s="54">
        <f>IF($B2052=0,NA(),IF($G2052="",NA(),IF(G$8="",NA(),IF(N(G$8)=0,NA(),IF(Inputs!$C$17="Rebased to 100",$G2052/G$8*100,$G2052)))))</f>
        <v/>
      </c>
      <c r="N2052" s="54">
        <f>IF($B2052=0,NA(),IF(Inputs!$C$18&lt;&gt;"Yes",NA(),IF(COUNT(I2052,J2052,K2052,L2052,M2052)=0,NA(),MIN(I2052,J2052,K2052,L2052,M2052))))</f>
        <v/>
      </c>
      <c r="O2052" s="54">
        <f>IF($B2052=0,NA(),IF(Inputs!$B$24&lt;&gt;"Yes",NA(),Inputs!$D$24*Inputs!$C$35))</f>
        <v/>
      </c>
      <c r="P2052" s="54">
        <f>IF($B2052=0,NA(),IF(Inputs!$B$25&lt;&gt;"Yes",NA(),Inputs!$D$25*Inputs!$C$35))</f>
        <v/>
      </c>
      <c r="Q2052" s="54">
        <f>IF($B2052=0,NA(),IF(Inputs!$B$26&lt;&gt;"Yes",NA(),Inputs!$D$26*Inputs!$C$35))</f>
        <v/>
      </c>
      <c r="R2052" s="54">
        <f>IF($B2052=0,NA(),IF(Inputs!$B$27&lt;&gt;"Yes",NA(),Inputs!$D$27*Inputs!$C$35))</f>
        <v/>
      </c>
      <c r="S2052" s="54">
        <f>IF($B2052=0,NA(),IF(Inputs!$B$28&lt;&gt;"Yes",NA(),Inputs!$D$28*Inputs!$C$35))</f>
        <v/>
      </c>
      <c r="T2052" s="54">
        <f>IF($B2052=0,NA(),IF(Inputs!$B$29&lt;&gt;"Yes",NA(),Inputs!$D$29*Inputs!$C$35))</f>
        <v/>
      </c>
      <c r="AD2052">
        <f>IF($B2052=0,0,IF(Inputs!$B$6="",0,COUNTIFS(Data!$A$10:$A$3209,"&gt;="&amp;$A2052,Data!$A$10:$A$3209,"&lt;"&amp;$A2052+1)))</f>
        <v/>
      </c>
      <c r="AE2052">
        <f>IF($B2052=0,0,IF(Inputs!$B$7="",0,COUNTIFS(Data!$E$10:$E$3209,"&gt;="&amp;$A2052,Data!$E$10:$E$3209,"&lt;"&amp;$A2052+1)))</f>
        <v/>
      </c>
      <c r="AF2052">
        <f>IF($B2052=0,0,IF(Inputs!$B$8="",0,COUNTIFS(Data!$I$10:$I$3209,"&gt;="&amp;$A2052,Data!$I$10:$I$3209,"&lt;"&amp;$A2052+1)))</f>
        <v/>
      </c>
      <c r="AG2052">
        <f>IF($B2052=0,0,IF(Inputs!$B$9="",0,COUNTIFS(Data!$M$10:$M$3209,"&gt;="&amp;$A2052,Data!$M$10:$M$3209,"&lt;"&amp;$A2052+1)))</f>
        <v/>
      </c>
      <c r="AH2052">
        <f>IF($B2052=0,0,IF(Inputs!$B$10="",0,COUNTIFS(Data!$Q$10:$Q$3209,"&gt;="&amp;$A2052,Data!$Q$10:$Q$3209,"&lt;"&amp;$A2052+1)))</f>
        <v/>
      </c>
    </row>
    <row r="2053">
      <c r="A2053" s="55">
        <f>MIN(Inputs!$C$15,$A2052+IF(WEEKDAY($A2052,2)=5,3,1))</f>
        <v/>
      </c>
      <c r="B2053">
        <f>IF($A2053&gt;$A2052,1,0)</f>
        <v/>
      </c>
      <c r="C2053" s="56">
        <f>IF($B2053=0,"",IF(Inputs!$B$6="","",IF($AD2053=0,C2052,SUMIFS(Data!$B$10:$B$3209,Data!$A$10:$A$3209,"&gt;="&amp;$A2053,Data!$A$10:$A$3209,"&lt;"&amp;$A2053+1)/$AD2053)))</f>
        <v/>
      </c>
      <c r="D2053" s="56">
        <f>IF($B2053=0,"",IF(Inputs!$B$7="","",IF($AE2053=0,D2052,SUMIFS(Data!$F$10:$F$3209,Data!$E$10:$E$3209,"&gt;="&amp;$A2053,Data!$E$10:$E$3209,"&lt;"&amp;$A2053+1)/$AE2053)))</f>
        <v/>
      </c>
      <c r="E2053" s="56">
        <f>IF($B2053=0,"",IF(Inputs!$B$8="","",IF($AF2053=0,E2052,SUMIFS(Data!$J$10:$J$3209,Data!$I$10:$I$3209,"&gt;="&amp;$A2053,Data!$I$10:$I$3209,"&lt;"&amp;$A2053+1)/$AF2053)))</f>
        <v/>
      </c>
      <c r="F2053" s="56">
        <f>IF($B2053=0,"",IF(Inputs!$B$9="","",IF($AG2053=0,F2052,SUMIFS(Data!$N$10:$N$3209,Data!$M$10:$M$3209,"&gt;="&amp;$A2053,Data!$M$10:$M$3209,"&lt;"&amp;$A2053+1)/$AG2053)))</f>
        <v/>
      </c>
      <c r="G2053" s="56">
        <f>IF($B2053=0,"",IF(Inputs!$B$10="","",IF($AH2053=0,G2052,SUMIFS(Data!$R$10:$R$3209,Data!$Q$10:$Q$3209,"&gt;="&amp;$A2053,Data!$Q$10:$Q$3209,"&lt;"&amp;$A2053+1)/$AH2053)))</f>
        <v/>
      </c>
      <c r="I2053" s="54">
        <f>IF($B2053=0,NA(),IF($C2053="",NA(),IF(C$8="",NA(),IF(N(C$8)=0,NA(),IF(Inputs!$C$17="Rebased to 100",$C2053/C$8*100,$C2053)))))</f>
        <v/>
      </c>
      <c r="J2053" s="54">
        <f>IF($B2053=0,NA(),IF($D2053="",NA(),IF(D$8="",NA(),IF(N(D$8)=0,NA(),IF(Inputs!$C$17="Rebased to 100",$D2053/D$8*100,$D2053)))))</f>
        <v/>
      </c>
      <c r="K2053" s="54">
        <f>IF($B2053=0,NA(),IF($E2053="",NA(),IF(E$8="",NA(),IF(N(E$8)=0,NA(),IF(Inputs!$C$17="Rebased to 100",$E2053/E$8*100,$E2053)))))</f>
        <v/>
      </c>
      <c r="L2053" s="54">
        <f>IF($B2053=0,NA(),IF($F2053="",NA(),IF(F$8="",NA(),IF(N(F$8)=0,NA(),IF(Inputs!$C$17="Rebased to 100",$F2053/F$8*100,$F2053)))))</f>
        <v/>
      </c>
      <c r="M2053" s="54">
        <f>IF($B2053=0,NA(),IF($G2053="",NA(),IF(G$8="",NA(),IF(N(G$8)=0,NA(),IF(Inputs!$C$17="Rebased to 100",$G2053/G$8*100,$G2053)))))</f>
        <v/>
      </c>
      <c r="N2053" s="54">
        <f>IF($B2053=0,NA(),IF(Inputs!$C$18&lt;&gt;"Yes",NA(),IF(COUNT(I2053,J2053,K2053,L2053,M2053)=0,NA(),MIN(I2053,J2053,K2053,L2053,M2053))))</f>
        <v/>
      </c>
      <c r="O2053" s="54">
        <f>IF($B2053=0,NA(),IF(Inputs!$B$24&lt;&gt;"Yes",NA(),Inputs!$D$24*Inputs!$C$35))</f>
        <v/>
      </c>
      <c r="P2053" s="54">
        <f>IF($B2053=0,NA(),IF(Inputs!$B$25&lt;&gt;"Yes",NA(),Inputs!$D$25*Inputs!$C$35))</f>
        <v/>
      </c>
      <c r="Q2053" s="54">
        <f>IF($B2053=0,NA(),IF(Inputs!$B$26&lt;&gt;"Yes",NA(),Inputs!$D$26*Inputs!$C$35))</f>
        <v/>
      </c>
      <c r="R2053" s="54">
        <f>IF($B2053=0,NA(),IF(Inputs!$B$27&lt;&gt;"Yes",NA(),Inputs!$D$27*Inputs!$C$35))</f>
        <v/>
      </c>
      <c r="S2053" s="54">
        <f>IF($B2053=0,NA(),IF(Inputs!$B$28&lt;&gt;"Yes",NA(),Inputs!$D$28*Inputs!$C$35))</f>
        <v/>
      </c>
      <c r="T2053" s="54">
        <f>IF($B2053=0,NA(),IF(Inputs!$B$29&lt;&gt;"Yes",NA(),Inputs!$D$29*Inputs!$C$35))</f>
        <v/>
      </c>
      <c r="AD2053">
        <f>IF($B2053=0,0,IF(Inputs!$B$6="",0,COUNTIFS(Data!$A$10:$A$3209,"&gt;="&amp;$A2053,Data!$A$10:$A$3209,"&lt;"&amp;$A2053+1)))</f>
        <v/>
      </c>
      <c r="AE2053">
        <f>IF($B2053=0,0,IF(Inputs!$B$7="",0,COUNTIFS(Data!$E$10:$E$3209,"&gt;="&amp;$A2053,Data!$E$10:$E$3209,"&lt;"&amp;$A2053+1)))</f>
        <v/>
      </c>
      <c r="AF2053">
        <f>IF($B2053=0,0,IF(Inputs!$B$8="",0,COUNTIFS(Data!$I$10:$I$3209,"&gt;="&amp;$A2053,Data!$I$10:$I$3209,"&lt;"&amp;$A2053+1)))</f>
        <v/>
      </c>
      <c r="AG2053">
        <f>IF($B2053=0,0,IF(Inputs!$B$9="",0,COUNTIFS(Data!$M$10:$M$3209,"&gt;="&amp;$A2053,Data!$M$10:$M$3209,"&lt;"&amp;$A2053+1)))</f>
        <v/>
      </c>
      <c r="AH2053">
        <f>IF($B2053=0,0,IF(Inputs!$B$10="",0,COUNTIFS(Data!$Q$10:$Q$3209,"&gt;="&amp;$A2053,Data!$Q$10:$Q$3209,"&lt;"&amp;$A2053+1)))</f>
        <v/>
      </c>
    </row>
    <row r="2054">
      <c r="A2054" s="55">
        <f>MIN(Inputs!$C$15,$A2053+IF(WEEKDAY($A2053,2)=5,3,1))</f>
        <v/>
      </c>
      <c r="B2054">
        <f>IF($A2054&gt;$A2053,1,0)</f>
        <v/>
      </c>
      <c r="C2054" s="56">
        <f>IF($B2054=0,"",IF(Inputs!$B$6="","",IF($AD2054=0,C2053,SUMIFS(Data!$B$10:$B$3209,Data!$A$10:$A$3209,"&gt;="&amp;$A2054,Data!$A$10:$A$3209,"&lt;"&amp;$A2054+1)/$AD2054)))</f>
        <v/>
      </c>
      <c r="D2054" s="56">
        <f>IF($B2054=0,"",IF(Inputs!$B$7="","",IF($AE2054=0,D2053,SUMIFS(Data!$F$10:$F$3209,Data!$E$10:$E$3209,"&gt;="&amp;$A2054,Data!$E$10:$E$3209,"&lt;"&amp;$A2054+1)/$AE2054)))</f>
        <v/>
      </c>
      <c r="E2054" s="56">
        <f>IF($B2054=0,"",IF(Inputs!$B$8="","",IF($AF2054=0,E2053,SUMIFS(Data!$J$10:$J$3209,Data!$I$10:$I$3209,"&gt;="&amp;$A2054,Data!$I$10:$I$3209,"&lt;"&amp;$A2054+1)/$AF2054)))</f>
        <v/>
      </c>
      <c r="F2054" s="56">
        <f>IF($B2054=0,"",IF(Inputs!$B$9="","",IF($AG2054=0,F2053,SUMIFS(Data!$N$10:$N$3209,Data!$M$10:$M$3209,"&gt;="&amp;$A2054,Data!$M$10:$M$3209,"&lt;"&amp;$A2054+1)/$AG2054)))</f>
        <v/>
      </c>
      <c r="G2054" s="56">
        <f>IF($B2054=0,"",IF(Inputs!$B$10="","",IF($AH2054=0,G2053,SUMIFS(Data!$R$10:$R$3209,Data!$Q$10:$Q$3209,"&gt;="&amp;$A2054,Data!$Q$10:$Q$3209,"&lt;"&amp;$A2054+1)/$AH2054)))</f>
        <v/>
      </c>
      <c r="I2054" s="54">
        <f>IF($B2054=0,NA(),IF($C2054="",NA(),IF(C$8="",NA(),IF(N(C$8)=0,NA(),IF(Inputs!$C$17="Rebased to 100",$C2054/C$8*100,$C2054)))))</f>
        <v/>
      </c>
      <c r="J2054" s="54">
        <f>IF($B2054=0,NA(),IF($D2054="",NA(),IF(D$8="",NA(),IF(N(D$8)=0,NA(),IF(Inputs!$C$17="Rebased to 100",$D2054/D$8*100,$D2054)))))</f>
        <v/>
      </c>
      <c r="K2054" s="54">
        <f>IF($B2054=0,NA(),IF($E2054="",NA(),IF(E$8="",NA(),IF(N(E$8)=0,NA(),IF(Inputs!$C$17="Rebased to 100",$E2054/E$8*100,$E2054)))))</f>
        <v/>
      </c>
      <c r="L2054" s="54">
        <f>IF($B2054=0,NA(),IF($F2054="",NA(),IF(F$8="",NA(),IF(N(F$8)=0,NA(),IF(Inputs!$C$17="Rebased to 100",$F2054/F$8*100,$F2054)))))</f>
        <v/>
      </c>
      <c r="M2054" s="54">
        <f>IF($B2054=0,NA(),IF($G2054="",NA(),IF(G$8="",NA(),IF(N(G$8)=0,NA(),IF(Inputs!$C$17="Rebased to 100",$G2054/G$8*100,$G2054)))))</f>
        <v/>
      </c>
      <c r="N2054" s="54">
        <f>IF($B2054=0,NA(),IF(Inputs!$C$18&lt;&gt;"Yes",NA(),IF(COUNT(I2054,J2054,K2054,L2054,M2054)=0,NA(),MIN(I2054,J2054,K2054,L2054,M2054))))</f>
        <v/>
      </c>
      <c r="O2054" s="54">
        <f>IF($B2054=0,NA(),IF(Inputs!$B$24&lt;&gt;"Yes",NA(),Inputs!$D$24*Inputs!$C$35))</f>
        <v/>
      </c>
      <c r="P2054" s="54">
        <f>IF($B2054=0,NA(),IF(Inputs!$B$25&lt;&gt;"Yes",NA(),Inputs!$D$25*Inputs!$C$35))</f>
        <v/>
      </c>
      <c r="Q2054" s="54">
        <f>IF($B2054=0,NA(),IF(Inputs!$B$26&lt;&gt;"Yes",NA(),Inputs!$D$26*Inputs!$C$35))</f>
        <v/>
      </c>
      <c r="R2054" s="54">
        <f>IF($B2054=0,NA(),IF(Inputs!$B$27&lt;&gt;"Yes",NA(),Inputs!$D$27*Inputs!$C$35))</f>
        <v/>
      </c>
      <c r="S2054" s="54">
        <f>IF($B2054=0,NA(),IF(Inputs!$B$28&lt;&gt;"Yes",NA(),Inputs!$D$28*Inputs!$C$35))</f>
        <v/>
      </c>
      <c r="T2054" s="54">
        <f>IF($B2054=0,NA(),IF(Inputs!$B$29&lt;&gt;"Yes",NA(),Inputs!$D$29*Inputs!$C$35))</f>
        <v/>
      </c>
      <c r="AD2054">
        <f>IF($B2054=0,0,IF(Inputs!$B$6="",0,COUNTIFS(Data!$A$10:$A$3209,"&gt;="&amp;$A2054,Data!$A$10:$A$3209,"&lt;"&amp;$A2054+1)))</f>
        <v/>
      </c>
      <c r="AE2054">
        <f>IF($B2054=0,0,IF(Inputs!$B$7="",0,COUNTIFS(Data!$E$10:$E$3209,"&gt;="&amp;$A2054,Data!$E$10:$E$3209,"&lt;"&amp;$A2054+1)))</f>
        <v/>
      </c>
      <c r="AF2054">
        <f>IF($B2054=0,0,IF(Inputs!$B$8="",0,COUNTIFS(Data!$I$10:$I$3209,"&gt;="&amp;$A2054,Data!$I$10:$I$3209,"&lt;"&amp;$A2054+1)))</f>
        <v/>
      </c>
      <c r="AG2054">
        <f>IF($B2054=0,0,IF(Inputs!$B$9="",0,COUNTIFS(Data!$M$10:$M$3209,"&gt;="&amp;$A2054,Data!$M$10:$M$3209,"&lt;"&amp;$A2054+1)))</f>
        <v/>
      </c>
      <c r="AH2054">
        <f>IF($B2054=0,0,IF(Inputs!$B$10="",0,COUNTIFS(Data!$Q$10:$Q$3209,"&gt;="&amp;$A2054,Data!$Q$10:$Q$3209,"&lt;"&amp;$A2054+1)))</f>
        <v/>
      </c>
    </row>
    <row r="2055">
      <c r="A2055" s="55">
        <f>MIN(Inputs!$C$15,$A2054+IF(WEEKDAY($A2054,2)=5,3,1))</f>
        <v/>
      </c>
      <c r="B2055">
        <f>IF($A2055&gt;$A2054,1,0)</f>
        <v/>
      </c>
      <c r="C2055" s="56">
        <f>IF($B2055=0,"",IF(Inputs!$B$6="","",IF($AD2055=0,C2054,SUMIFS(Data!$B$10:$B$3209,Data!$A$10:$A$3209,"&gt;="&amp;$A2055,Data!$A$10:$A$3209,"&lt;"&amp;$A2055+1)/$AD2055)))</f>
        <v/>
      </c>
      <c r="D2055" s="56">
        <f>IF($B2055=0,"",IF(Inputs!$B$7="","",IF($AE2055=0,D2054,SUMIFS(Data!$F$10:$F$3209,Data!$E$10:$E$3209,"&gt;="&amp;$A2055,Data!$E$10:$E$3209,"&lt;"&amp;$A2055+1)/$AE2055)))</f>
        <v/>
      </c>
      <c r="E2055" s="56">
        <f>IF($B2055=0,"",IF(Inputs!$B$8="","",IF($AF2055=0,E2054,SUMIFS(Data!$J$10:$J$3209,Data!$I$10:$I$3209,"&gt;="&amp;$A2055,Data!$I$10:$I$3209,"&lt;"&amp;$A2055+1)/$AF2055)))</f>
        <v/>
      </c>
      <c r="F2055" s="56">
        <f>IF($B2055=0,"",IF(Inputs!$B$9="","",IF($AG2055=0,F2054,SUMIFS(Data!$N$10:$N$3209,Data!$M$10:$M$3209,"&gt;="&amp;$A2055,Data!$M$10:$M$3209,"&lt;"&amp;$A2055+1)/$AG2055)))</f>
        <v/>
      </c>
      <c r="G2055" s="56">
        <f>IF($B2055=0,"",IF(Inputs!$B$10="","",IF($AH2055=0,G2054,SUMIFS(Data!$R$10:$R$3209,Data!$Q$10:$Q$3209,"&gt;="&amp;$A2055,Data!$Q$10:$Q$3209,"&lt;"&amp;$A2055+1)/$AH2055)))</f>
        <v/>
      </c>
      <c r="I2055" s="54">
        <f>IF($B2055=0,NA(),IF($C2055="",NA(),IF(C$8="",NA(),IF(N(C$8)=0,NA(),IF(Inputs!$C$17="Rebased to 100",$C2055/C$8*100,$C2055)))))</f>
        <v/>
      </c>
      <c r="J2055" s="54">
        <f>IF($B2055=0,NA(),IF($D2055="",NA(),IF(D$8="",NA(),IF(N(D$8)=0,NA(),IF(Inputs!$C$17="Rebased to 100",$D2055/D$8*100,$D2055)))))</f>
        <v/>
      </c>
      <c r="K2055" s="54">
        <f>IF($B2055=0,NA(),IF($E2055="",NA(),IF(E$8="",NA(),IF(N(E$8)=0,NA(),IF(Inputs!$C$17="Rebased to 100",$E2055/E$8*100,$E2055)))))</f>
        <v/>
      </c>
      <c r="L2055" s="54">
        <f>IF($B2055=0,NA(),IF($F2055="",NA(),IF(F$8="",NA(),IF(N(F$8)=0,NA(),IF(Inputs!$C$17="Rebased to 100",$F2055/F$8*100,$F2055)))))</f>
        <v/>
      </c>
      <c r="M2055" s="54">
        <f>IF($B2055=0,NA(),IF($G2055="",NA(),IF(G$8="",NA(),IF(N(G$8)=0,NA(),IF(Inputs!$C$17="Rebased to 100",$G2055/G$8*100,$G2055)))))</f>
        <v/>
      </c>
      <c r="N2055" s="54">
        <f>IF($B2055=0,NA(),IF(Inputs!$C$18&lt;&gt;"Yes",NA(),IF(COUNT(I2055,J2055,K2055,L2055,M2055)=0,NA(),MIN(I2055,J2055,K2055,L2055,M2055))))</f>
        <v/>
      </c>
      <c r="O2055" s="54">
        <f>IF($B2055=0,NA(),IF(Inputs!$B$24&lt;&gt;"Yes",NA(),Inputs!$D$24*Inputs!$C$35))</f>
        <v/>
      </c>
      <c r="P2055" s="54">
        <f>IF($B2055=0,NA(),IF(Inputs!$B$25&lt;&gt;"Yes",NA(),Inputs!$D$25*Inputs!$C$35))</f>
        <v/>
      </c>
      <c r="Q2055" s="54">
        <f>IF($B2055=0,NA(),IF(Inputs!$B$26&lt;&gt;"Yes",NA(),Inputs!$D$26*Inputs!$C$35))</f>
        <v/>
      </c>
      <c r="R2055" s="54">
        <f>IF($B2055=0,NA(),IF(Inputs!$B$27&lt;&gt;"Yes",NA(),Inputs!$D$27*Inputs!$C$35))</f>
        <v/>
      </c>
      <c r="S2055" s="54">
        <f>IF($B2055=0,NA(),IF(Inputs!$B$28&lt;&gt;"Yes",NA(),Inputs!$D$28*Inputs!$C$35))</f>
        <v/>
      </c>
      <c r="T2055" s="54">
        <f>IF($B2055=0,NA(),IF(Inputs!$B$29&lt;&gt;"Yes",NA(),Inputs!$D$29*Inputs!$C$35))</f>
        <v/>
      </c>
      <c r="AD2055">
        <f>IF($B2055=0,0,IF(Inputs!$B$6="",0,COUNTIFS(Data!$A$10:$A$3209,"&gt;="&amp;$A2055,Data!$A$10:$A$3209,"&lt;"&amp;$A2055+1)))</f>
        <v/>
      </c>
      <c r="AE2055">
        <f>IF($B2055=0,0,IF(Inputs!$B$7="",0,COUNTIFS(Data!$E$10:$E$3209,"&gt;="&amp;$A2055,Data!$E$10:$E$3209,"&lt;"&amp;$A2055+1)))</f>
        <v/>
      </c>
      <c r="AF2055">
        <f>IF($B2055=0,0,IF(Inputs!$B$8="",0,COUNTIFS(Data!$I$10:$I$3209,"&gt;="&amp;$A2055,Data!$I$10:$I$3209,"&lt;"&amp;$A2055+1)))</f>
        <v/>
      </c>
      <c r="AG2055">
        <f>IF($B2055=0,0,IF(Inputs!$B$9="",0,COUNTIFS(Data!$M$10:$M$3209,"&gt;="&amp;$A2055,Data!$M$10:$M$3209,"&lt;"&amp;$A2055+1)))</f>
        <v/>
      </c>
      <c r="AH2055">
        <f>IF($B2055=0,0,IF(Inputs!$B$10="",0,COUNTIFS(Data!$Q$10:$Q$3209,"&gt;="&amp;$A2055,Data!$Q$10:$Q$3209,"&lt;"&amp;$A2055+1)))</f>
        <v/>
      </c>
    </row>
    <row r="2056">
      <c r="A2056" s="55">
        <f>MIN(Inputs!$C$15,$A2055+IF(WEEKDAY($A2055,2)=5,3,1))</f>
        <v/>
      </c>
      <c r="B2056">
        <f>IF($A2056&gt;$A2055,1,0)</f>
        <v/>
      </c>
      <c r="C2056" s="56">
        <f>IF($B2056=0,"",IF(Inputs!$B$6="","",IF($AD2056=0,C2055,SUMIFS(Data!$B$10:$B$3209,Data!$A$10:$A$3209,"&gt;="&amp;$A2056,Data!$A$10:$A$3209,"&lt;"&amp;$A2056+1)/$AD2056)))</f>
        <v/>
      </c>
      <c r="D2056" s="56">
        <f>IF($B2056=0,"",IF(Inputs!$B$7="","",IF($AE2056=0,D2055,SUMIFS(Data!$F$10:$F$3209,Data!$E$10:$E$3209,"&gt;="&amp;$A2056,Data!$E$10:$E$3209,"&lt;"&amp;$A2056+1)/$AE2056)))</f>
        <v/>
      </c>
      <c r="E2056" s="56">
        <f>IF($B2056=0,"",IF(Inputs!$B$8="","",IF($AF2056=0,E2055,SUMIFS(Data!$J$10:$J$3209,Data!$I$10:$I$3209,"&gt;="&amp;$A2056,Data!$I$10:$I$3209,"&lt;"&amp;$A2056+1)/$AF2056)))</f>
        <v/>
      </c>
      <c r="F2056" s="56">
        <f>IF($B2056=0,"",IF(Inputs!$B$9="","",IF($AG2056=0,F2055,SUMIFS(Data!$N$10:$N$3209,Data!$M$10:$M$3209,"&gt;="&amp;$A2056,Data!$M$10:$M$3209,"&lt;"&amp;$A2056+1)/$AG2056)))</f>
        <v/>
      </c>
      <c r="G2056" s="56">
        <f>IF($B2056=0,"",IF(Inputs!$B$10="","",IF($AH2056=0,G2055,SUMIFS(Data!$R$10:$R$3209,Data!$Q$10:$Q$3209,"&gt;="&amp;$A2056,Data!$Q$10:$Q$3209,"&lt;"&amp;$A2056+1)/$AH2056)))</f>
        <v/>
      </c>
      <c r="I2056" s="54">
        <f>IF($B2056=0,NA(),IF($C2056="",NA(),IF(C$8="",NA(),IF(N(C$8)=0,NA(),IF(Inputs!$C$17="Rebased to 100",$C2056/C$8*100,$C2056)))))</f>
        <v/>
      </c>
      <c r="J2056" s="54">
        <f>IF($B2056=0,NA(),IF($D2056="",NA(),IF(D$8="",NA(),IF(N(D$8)=0,NA(),IF(Inputs!$C$17="Rebased to 100",$D2056/D$8*100,$D2056)))))</f>
        <v/>
      </c>
      <c r="K2056" s="54">
        <f>IF($B2056=0,NA(),IF($E2056="",NA(),IF(E$8="",NA(),IF(N(E$8)=0,NA(),IF(Inputs!$C$17="Rebased to 100",$E2056/E$8*100,$E2056)))))</f>
        <v/>
      </c>
      <c r="L2056" s="54">
        <f>IF($B2056=0,NA(),IF($F2056="",NA(),IF(F$8="",NA(),IF(N(F$8)=0,NA(),IF(Inputs!$C$17="Rebased to 100",$F2056/F$8*100,$F2056)))))</f>
        <v/>
      </c>
      <c r="M2056" s="54">
        <f>IF($B2056=0,NA(),IF($G2056="",NA(),IF(G$8="",NA(),IF(N(G$8)=0,NA(),IF(Inputs!$C$17="Rebased to 100",$G2056/G$8*100,$G2056)))))</f>
        <v/>
      </c>
      <c r="N2056" s="54">
        <f>IF($B2056=0,NA(),IF(Inputs!$C$18&lt;&gt;"Yes",NA(),IF(COUNT(I2056,J2056,K2056,L2056,M2056)=0,NA(),MIN(I2056,J2056,K2056,L2056,M2056))))</f>
        <v/>
      </c>
      <c r="O2056" s="54">
        <f>IF($B2056=0,NA(),IF(Inputs!$B$24&lt;&gt;"Yes",NA(),Inputs!$D$24*Inputs!$C$35))</f>
        <v/>
      </c>
      <c r="P2056" s="54">
        <f>IF($B2056=0,NA(),IF(Inputs!$B$25&lt;&gt;"Yes",NA(),Inputs!$D$25*Inputs!$C$35))</f>
        <v/>
      </c>
      <c r="Q2056" s="54">
        <f>IF($B2056=0,NA(),IF(Inputs!$B$26&lt;&gt;"Yes",NA(),Inputs!$D$26*Inputs!$C$35))</f>
        <v/>
      </c>
      <c r="R2056" s="54">
        <f>IF($B2056=0,NA(),IF(Inputs!$B$27&lt;&gt;"Yes",NA(),Inputs!$D$27*Inputs!$C$35))</f>
        <v/>
      </c>
      <c r="S2056" s="54">
        <f>IF($B2056=0,NA(),IF(Inputs!$B$28&lt;&gt;"Yes",NA(),Inputs!$D$28*Inputs!$C$35))</f>
        <v/>
      </c>
      <c r="T2056" s="54">
        <f>IF($B2056=0,NA(),IF(Inputs!$B$29&lt;&gt;"Yes",NA(),Inputs!$D$29*Inputs!$C$35))</f>
        <v/>
      </c>
      <c r="AD2056">
        <f>IF($B2056=0,0,IF(Inputs!$B$6="",0,COUNTIFS(Data!$A$10:$A$3209,"&gt;="&amp;$A2056,Data!$A$10:$A$3209,"&lt;"&amp;$A2056+1)))</f>
        <v/>
      </c>
      <c r="AE2056">
        <f>IF($B2056=0,0,IF(Inputs!$B$7="",0,COUNTIFS(Data!$E$10:$E$3209,"&gt;="&amp;$A2056,Data!$E$10:$E$3209,"&lt;"&amp;$A2056+1)))</f>
        <v/>
      </c>
      <c r="AF2056">
        <f>IF($B2056=0,0,IF(Inputs!$B$8="",0,COUNTIFS(Data!$I$10:$I$3209,"&gt;="&amp;$A2056,Data!$I$10:$I$3209,"&lt;"&amp;$A2056+1)))</f>
        <v/>
      </c>
      <c r="AG2056">
        <f>IF($B2056=0,0,IF(Inputs!$B$9="",0,COUNTIFS(Data!$M$10:$M$3209,"&gt;="&amp;$A2056,Data!$M$10:$M$3209,"&lt;"&amp;$A2056+1)))</f>
        <v/>
      </c>
      <c r="AH2056">
        <f>IF($B2056=0,0,IF(Inputs!$B$10="",0,COUNTIFS(Data!$Q$10:$Q$3209,"&gt;="&amp;$A2056,Data!$Q$10:$Q$3209,"&lt;"&amp;$A2056+1)))</f>
        <v/>
      </c>
    </row>
    <row r="2057">
      <c r="A2057" s="55">
        <f>MIN(Inputs!$C$15,$A2056+IF(WEEKDAY($A2056,2)=5,3,1))</f>
        <v/>
      </c>
      <c r="B2057">
        <f>IF($A2057&gt;$A2056,1,0)</f>
        <v/>
      </c>
      <c r="C2057" s="56">
        <f>IF($B2057=0,"",IF(Inputs!$B$6="","",IF($AD2057=0,C2056,SUMIFS(Data!$B$10:$B$3209,Data!$A$10:$A$3209,"&gt;="&amp;$A2057,Data!$A$10:$A$3209,"&lt;"&amp;$A2057+1)/$AD2057)))</f>
        <v/>
      </c>
      <c r="D2057" s="56">
        <f>IF($B2057=0,"",IF(Inputs!$B$7="","",IF($AE2057=0,D2056,SUMIFS(Data!$F$10:$F$3209,Data!$E$10:$E$3209,"&gt;="&amp;$A2057,Data!$E$10:$E$3209,"&lt;"&amp;$A2057+1)/$AE2057)))</f>
        <v/>
      </c>
      <c r="E2057" s="56">
        <f>IF($B2057=0,"",IF(Inputs!$B$8="","",IF($AF2057=0,E2056,SUMIFS(Data!$J$10:$J$3209,Data!$I$10:$I$3209,"&gt;="&amp;$A2057,Data!$I$10:$I$3209,"&lt;"&amp;$A2057+1)/$AF2057)))</f>
        <v/>
      </c>
      <c r="F2057" s="56">
        <f>IF($B2057=0,"",IF(Inputs!$B$9="","",IF($AG2057=0,F2056,SUMIFS(Data!$N$10:$N$3209,Data!$M$10:$M$3209,"&gt;="&amp;$A2057,Data!$M$10:$M$3209,"&lt;"&amp;$A2057+1)/$AG2057)))</f>
        <v/>
      </c>
      <c r="G2057" s="56">
        <f>IF($B2057=0,"",IF(Inputs!$B$10="","",IF($AH2057=0,G2056,SUMIFS(Data!$R$10:$R$3209,Data!$Q$10:$Q$3209,"&gt;="&amp;$A2057,Data!$Q$10:$Q$3209,"&lt;"&amp;$A2057+1)/$AH2057)))</f>
        <v/>
      </c>
      <c r="I2057" s="54">
        <f>IF($B2057=0,NA(),IF($C2057="",NA(),IF(C$8="",NA(),IF(N(C$8)=0,NA(),IF(Inputs!$C$17="Rebased to 100",$C2057/C$8*100,$C2057)))))</f>
        <v/>
      </c>
      <c r="J2057" s="54">
        <f>IF($B2057=0,NA(),IF($D2057="",NA(),IF(D$8="",NA(),IF(N(D$8)=0,NA(),IF(Inputs!$C$17="Rebased to 100",$D2057/D$8*100,$D2057)))))</f>
        <v/>
      </c>
      <c r="K2057" s="54">
        <f>IF($B2057=0,NA(),IF($E2057="",NA(),IF(E$8="",NA(),IF(N(E$8)=0,NA(),IF(Inputs!$C$17="Rebased to 100",$E2057/E$8*100,$E2057)))))</f>
        <v/>
      </c>
      <c r="L2057" s="54">
        <f>IF($B2057=0,NA(),IF($F2057="",NA(),IF(F$8="",NA(),IF(N(F$8)=0,NA(),IF(Inputs!$C$17="Rebased to 100",$F2057/F$8*100,$F2057)))))</f>
        <v/>
      </c>
      <c r="M2057" s="54">
        <f>IF($B2057=0,NA(),IF($G2057="",NA(),IF(G$8="",NA(),IF(N(G$8)=0,NA(),IF(Inputs!$C$17="Rebased to 100",$G2057/G$8*100,$G2057)))))</f>
        <v/>
      </c>
      <c r="N2057" s="54">
        <f>IF($B2057=0,NA(),IF(Inputs!$C$18&lt;&gt;"Yes",NA(),IF(COUNT(I2057,J2057,K2057,L2057,M2057)=0,NA(),MIN(I2057,J2057,K2057,L2057,M2057))))</f>
        <v/>
      </c>
      <c r="O2057" s="54">
        <f>IF($B2057=0,NA(),IF(Inputs!$B$24&lt;&gt;"Yes",NA(),Inputs!$D$24*Inputs!$C$35))</f>
        <v/>
      </c>
      <c r="P2057" s="54">
        <f>IF($B2057=0,NA(),IF(Inputs!$B$25&lt;&gt;"Yes",NA(),Inputs!$D$25*Inputs!$C$35))</f>
        <v/>
      </c>
      <c r="Q2057" s="54">
        <f>IF($B2057=0,NA(),IF(Inputs!$B$26&lt;&gt;"Yes",NA(),Inputs!$D$26*Inputs!$C$35))</f>
        <v/>
      </c>
      <c r="R2057" s="54">
        <f>IF($B2057=0,NA(),IF(Inputs!$B$27&lt;&gt;"Yes",NA(),Inputs!$D$27*Inputs!$C$35))</f>
        <v/>
      </c>
      <c r="S2057" s="54">
        <f>IF($B2057=0,NA(),IF(Inputs!$B$28&lt;&gt;"Yes",NA(),Inputs!$D$28*Inputs!$C$35))</f>
        <v/>
      </c>
      <c r="T2057" s="54">
        <f>IF($B2057=0,NA(),IF(Inputs!$B$29&lt;&gt;"Yes",NA(),Inputs!$D$29*Inputs!$C$35))</f>
        <v/>
      </c>
      <c r="AD2057">
        <f>IF($B2057=0,0,IF(Inputs!$B$6="",0,COUNTIFS(Data!$A$10:$A$3209,"&gt;="&amp;$A2057,Data!$A$10:$A$3209,"&lt;"&amp;$A2057+1)))</f>
        <v/>
      </c>
      <c r="AE2057">
        <f>IF($B2057=0,0,IF(Inputs!$B$7="",0,COUNTIFS(Data!$E$10:$E$3209,"&gt;="&amp;$A2057,Data!$E$10:$E$3209,"&lt;"&amp;$A2057+1)))</f>
        <v/>
      </c>
      <c r="AF2057">
        <f>IF($B2057=0,0,IF(Inputs!$B$8="",0,COUNTIFS(Data!$I$10:$I$3209,"&gt;="&amp;$A2057,Data!$I$10:$I$3209,"&lt;"&amp;$A2057+1)))</f>
        <v/>
      </c>
      <c r="AG2057">
        <f>IF($B2057=0,0,IF(Inputs!$B$9="",0,COUNTIFS(Data!$M$10:$M$3209,"&gt;="&amp;$A2057,Data!$M$10:$M$3209,"&lt;"&amp;$A2057+1)))</f>
        <v/>
      </c>
      <c r="AH2057">
        <f>IF($B2057=0,0,IF(Inputs!$B$10="",0,COUNTIFS(Data!$Q$10:$Q$3209,"&gt;="&amp;$A2057,Data!$Q$10:$Q$3209,"&lt;"&amp;$A2057+1)))</f>
        <v/>
      </c>
    </row>
    <row r="2058">
      <c r="A2058" s="55">
        <f>MIN(Inputs!$C$15,$A2057+IF(WEEKDAY($A2057,2)=5,3,1))</f>
        <v/>
      </c>
      <c r="B2058">
        <f>IF($A2058&gt;$A2057,1,0)</f>
        <v/>
      </c>
      <c r="C2058" s="56">
        <f>IF($B2058=0,"",IF(Inputs!$B$6="","",IF($AD2058=0,C2057,SUMIFS(Data!$B$10:$B$3209,Data!$A$10:$A$3209,"&gt;="&amp;$A2058,Data!$A$10:$A$3209,"&lt;"&amp;$A2058+1)/$AD2058)))</f>
        <v/>
      </c>
      <c r="D2058" s="56">
        <f>IF($B2058=0,"",IF(Inputs!$B$7="","",IF($AE2058=0,D2057,SUMIFS(Data!$F$10:$F$3209,Data!$E$10:$E$3209,"&gt;="&amp;$A2058,Data!$E$10:$E$3209,"&lt;"&amp;$A2058+1)/$AE2058)))</f>
        <v/>
      </c>
      <c r="E2058" s="56">
        <f>IF($B2058=0,"",IF(Inputs!$B$8="","",IF($AF2058=0,E2057,SUMIFS(Data!$J$10:$J$3209,Data!$I$10:$I$3209,"&gt;="&amp;$A2058,Data!$I$10:$I$3209,"&lt;"&amp;$A2058+1)/$AF2058)))</f>
        <v/>
      </c>
      <c r="F2058" s="56">
        <f>IF($B2058=0,"",IF(Inputs!$B$9="","",IF($AG2058=0,F2057,SUMIFS(Data!$N$10:$N$3209,Data!$M$10:$M$3209,"&gt;="&amp;$A2058,Data!$M$10:$M$3209,"&lt;"&amp;$A2058+1)/$AG2058)))</f>
        <v/>
      </c>
      <c r="G2058" s="56">
        <f>IF($B2058=0,"",IF(Inputs!$B$10="","",IF($AH2058=0,G2057,SUMIFS(Data!$R$10:$R$3209,Data!$Q$10:$Q$3209,"&gt;="&amp;$A2058,Data!$Q$10:$Q$3209,"&lt;"&amp;$A2058+1)/$AH2058)))</f>
        <v/>
      </c>
      <c r="I2058" s="54">
        <f>IF($B2058=0,NA(),IF($C2058="",NA(),IF(C$8="",NA(),IF(N(C$8)=0,NA(),IF(Inputs!$C$17="Rebased to 100",$C2058/C$8*100,$C2058)))))</f>
        <v/>
      </c>
      <c r="J2058" s="54">
        <f>IF($B2058=0,NA(),IF($D2058="",NA(),IF(D$8="",NA(),IF(N(D$8)=0,NA(),IF(Inputs!$C$17="Rebased to 100",$D2058/D$8*100,$D2058)))))</f>
        <v/>
      </c>
      <c r="K2058" s="54">
        <f>IF($B2058=0,NA(),IF($E2058="",NA(),IF(E$8="",NA(),IF(N(E$8)=0,NA(),IF(Inputs!$C$17="Rebased to 100",$E2058/E$8*100,$E2058)))))</f>
        <v/>
      </c>
      <c r="L2058" s="54">
        <f>IF($B2058=0,NA(),IF($F2058="",NA(),IF(F$8="",NA(),IF(N(F$8)=0,NA(),IF(Inputs!$C$17="Rebased to 100",$F2058/F$8*100,$F2058)))))</f>
        <v/>
      </c>
      <c r="M2058" s="54">
        <f>IF($B2058=0,NA(),IF($G2058="",NA(),IF(G$8="",NA(),IF(N(G$8)=0,NA(),IF(Inputs!$C$17="Rebased to 100",$G2058/G$8*100,$G2058)))))</f>
        <v/>
      </c>
      <c r="N2058" s="54">
        <f>IF($B2058=0,NA(),IF(Inputs!$C$18&lt;&gt;"Yes",NA(),IF(COUNT(I2058,J2058,K2058,L2058,M2058)=0,NA(),MIN(I2058,J2058,K2058,L2058,M2058))))</f>
        <v/>
      </c>
      <c r="O2058" s="54">
        <f>IF($B2058=0,NA(),IF(Inputs!$B$24&lt;&gt;"Yes",NA(),Inputs!$D$24*Inputs!$C$35))</f>
        <v/>
      </c>
      <c r="P2058" s="54">
        <f>IF($B2058=0,NA(),IF(Inputs!$B$25&lt;&gt;"Yes",NA(),Inputs!$D$25*Inputs!$C$35))</f>
        <v/>
      </c>
      <c r="Q2058" s="54">
        <f>IF($B2058=0,NA(),IF(Inputs!$B$26&lt;&gt;"Yes",NA(),Inputs!$D$26*Inputs!$C$35))</f>
        <v/>
      </c>
      <c r="R2058" s="54">
        <f>IF($B2058=0,NA(),IF(Inputs!$B$27&lt;&gt;"Yes",NA(),Inputs!$D$27*Inputs!$C$35))</f>
        <v/>
      </c>
      <c r="S2058" s="54">
        <f>IF($B2058=0,NA(),IF(Inputs!$B$28&lt;&gt;"Yes",NA(),Inputs!$D$28*Inputs!$C$35))</f>
        <v/>
      </c>
      <c r="T2058" s="54">
        <f>IF($B2058=0,NA(),IF(Inputs!$B$29&lt;&gt;"Yes",NA(),Inputs!$D$29*Inputs!$C$35))</f>
        <v/>
      </c>
      <c r="AD2058">
        <f>IF($B2058=0,0,IF(Inputs!$B$6="",0,COUNTIFS(Data!$A$10:$A$3209,"&gt;="&amp;$A2058,Data!$A$10:$A$3209,"&lt;"&amp;$A2058+1)))</f>
        <v/>
      </c>
      <c r="AE2058">
        <f>IF($B2058=0,0,IF(Inputs!$B$7="",0,COUNTIFS(Data!$E$10:$E$3209,"&gt;="&amp;$A2058,Data!$E$10:$E$3209,"&lt;"&amp;$A2058+1)))</f>
        <v/>
      </c>
      <c r="AF2058">
        <f>IF($B2058=0,0,IF(Inputs!$B$8="",0,COUNTIFS(Data!$I$10:$I$3209,"&gt;="&amp;$A2058,Data!$I$10:$I$3209,"&lt;"&amp;$A2058+1)))</f>
        <v/>
      </c>
      <c r="AG2058">
        <f>IF($B2058=0,0,IF(Inputs!$B$9="",0,COUNTIFS(Data!$M$10:$M$3209,"&gt;="&amp;$A2058,Data!$M$10:$M$3209,"&lt;"&amp;$A2058+1)))</f>
        <v/>
      </c>
      <c r="AH2058">
        <f>IF($B2058=0,0,IF(Inputs!$B$10="",0,COUNTIFS(Data!$Q$10:$Q$3209,"&gt;="&amp;$A2058,Data!$Q$10:$Q$3209,"&lt;"&amp;$A2058+1)))</f>
        <v/>
      </c>
    </row>
    <row r="2059">
      <c r="A2059" s="55">
        <f>MIN(Inputs!$C$15,$A2058+IF(WEEKDAY($A2058,2)=5,3,1))</f>
        <v/>
      </c>
      <c r="B2059">
        <f>IF($A2059&gt;$A2058,1,0)</f>
        <v/>
      </c>
      <c r="C2059" s="56">
        <f>IF($B2059=0,"",IF(Inputs!$B$6="","",IF($AD2059=0,C2058,SUMIFS(Data!$B$10:$B$3209,Data!$A$10:$A$3209,"&gt;="&amp;$A2059,Data!$A$10:$A$3209,"&lt;"&amp;$A2059+1)/$AD2059)))</f>
        <v/>
      </c>
      <c r="D2059" s="56">
        <f>IF($B2059=0,"",IF(Inputs!$B$7="","",IF($AE2059=0,D2058,SUMIFS(Data!$F$10:$F$3209,Data!$E$10:$E$3209,"&gt;="&amp;$A2059,Data!$E$10:$E$3209,"&lt;"&amp;$A2059+1)/$AE2059)))</f>
        <v/>
      </c>
      <c r="E2059" s="56">
        <f>IF($B2059=0,"",IF(Inputs!$B$8="","",IF($AF2059=0,E2058,SUMIFS(Data!$J$10:$J$3209,Data!$I$10:$I$3209,"&gt;="&amp;$A2059,Data!$I$10:$I$3209,"&lt;"&amp;$A2059+1)/$AF2059)))</f>
        <v/>
      </c>
      <c r="F2059" s="56">
        <f>IF($B2059=0,"",IF(Inputs!$B$9="","",IF($AG2059=0,F2058,SUMIFS(Data!$N$10:$N$3209,Data!$M$10:$M$3209,"&gt;="&amp;$A2059,Data!$M$10:$M$3209,"&lt;"&amp;$A2059+1)/$AG2059)))</f>
        <v/>
      </c>
      <c r="G2059" s="56">
        <f>IF($B2059=0,"",IF(Inputs!$B$10="","",IF($AH2059=0,G2058,SUMIFS(Data!$R$10:$R$3209,Data!$Q$10:$Q$3209,"&gt;="&amp;$A2059,Data!$Q$10:$Q$3209,"&lt;"&amp;$A2059+1)/$AH2059)))</f>
        <v/>
      </c>
      <c r="I2059" s="54">
        <f>IF($B2059=0,NA(),IF($C2059="",NA(),IF(C$8="",NA(),IF(N(C$8)=0,NA(),IF(Inputs!$C$17="Rebased to 100",$C2059/C$8*100,$C2059)))))</f>
        <v/>
      </c>
      <c r="J2059" s="54">
        <f>IF($B2059=0,NA(),IF($D2059="",NA(),IF(D$8="",NA(),IF(N(D$8)=0,NA(),IF(Inputs!$C$17="Rebased to 100",$D2059/D$8*100,$D2059)))))</f>
        <v/>
      </c>
      <c r="K2059" s="54">
        <f>IF($B2059=0,NA(),IF($E2059="",NA(),IF(E$8="",NA(),IF(N(E$8)=0,NA(),IF(Inputs!$C$17="Rebased to 100",$E2059/E$8*100,$E2059)))))</f>
        <v/>
      </c>
      <c r="L2059" s="54">
        <f>IF($B2059=0,NA(),IF($F2059="",NA(),IF(F$8="",NA(),IF(N(F$8)=0,NA(),IF(Inputs!$C$17="Rebased to 100",$F2059/F$8*100,$F2059)))))</f>
        <v/>
      </c>
      <c r="M2059" s="54">
        <f>IF($B2059=0,NA(),IF($G2059="",NA(),IF(G$8="",NA(),IF(N(G$8)=0,NA(),IF(Inputs!$C$17="Rebased to 100",$G2059/G$8*100,$G2059)))))</f>
        <v/>
      </c>
      <c r="N2059" s="54">
        <f>IF($B2059=0,NA(),IF(Inputs!$C$18&lt;&gt;"Yes",NA(),IF(COUNT(I2059,J2059,K2059,L2059,M2059)=0,NA(),MIN(I2059,J2059,K2059,L2059,M2059))))</f>
        <v/>
      </c>
      <c r="O2059" s="54">
        <f>IF($B2059=0,NA(),IF(Inputs!$B$24&lt;&gt;"Yes",NA(),Inputs!$D$24*Inputs!$C$35))</f>
        <v/>
      </c>
      <c r="P2059" s="54">
        <f>IF($B2059=0,NA(),IF(Inputs!$B$25&lt;&gt;"Yes",NA(),Inputs!$D$25*Inputs!$C$35))</f>
        <v/>
      </c>
      <c r="Q2059" s="54">
        <f>IF($B2059=0,NA(),IF(Inputs!$B$26&lt;&gt;"Yes",NA(),Inputs!$D$26*Inputs!$C$35))</f>
        <v/>
      </c>
      <c r="R2059" s="54">
        <f>IF($B2059=0,NA(),IF(Inputs!$B$27&lt;&gt;"Yes",NA(),Inputs!$D$27*Inputs!$C$35))</f>
        <v/>
      </c>
      <c r="S2059" s="54">
        <f>IF($B2059=0,NA(),IF(Inputs!$B$28&lt;&gt;"Yes",NA(),Inputs!$D$28*Inputs!$C$35))</f>
        <v/>
      </c>
      <c r="T2059" s="54">
        <f>IF($B2059=0,NA(),IF(Inputs!$B$29&lt;&gt;"Yes",NA(),Inputs!$D$29*Inputs!$C$35))</f>
        <v/>
      </c>
      <c r="AD2059">
        <f>IF($B2059=0,0,IF(Inputs!$B$6="",0,COUNTIFS(Data!$A$10:$A$3209,"&gt;="&amp;$A2059,Data!$A$10:$A$3209,"&lt;"&amp;$A2059+1)))</f>
        <v/>
      </c>
      <c r="AE2059">
        <f>IF($B2059=0,0,IF(Inputs!$B$7="",0,COUNTIFS(Data!$E$10:$E$3209,"&gt;="&amp;$A2059,Data!$E$10:$E$3209,"&lt;"&amp;$A2059+1)))</f>
        <v/>
      </c>
      <c r="AF2059">
        <f>IF($B2059=0,0,IF(Inputs!$B$8="",0,COUNTIFS(Data!$I$10:$I$3209,"&gt;="&amp;$A2059,Data!$I$10:$I$3209,"&lt;"&amp;$A2059+1)))</f>
        <v/>
      </c>
      <c r="AG2059">
        <f>IF($B2059=0,0,IF(Inputs!$B$9="",0,COUNTIFS(Data!$M$10:$M$3209,"&gt;="&amp;$A2059,Data!$M$10:$M$3209,"&lt;"&amp;$A2059+1)))</f>
        <v/>
      </c>
      <c r="AH2059">
        <f>IF($B2059=0,0,IF(Inputs!$B$10="",0,COUNTIFS(Data!$Q$10:$Q$3209,"&gt;="&amp;$A2059,Data!$Q$10:$Q$3209,"&lt;"&amp;$A2059+1)))</f>
        <v/>
      </c>
    </row>
    <row r="2060">
      <c r="A2060" s="55">
        <f>MIN(Inputs!$C$15,$A2059+IF(WEEKDAY($A2059,2)=5,3,1))</f>
        <v/>
      </c>
      <c r="B2060">
        <f>IF($A2060&gt;$A2059,1,0)</f>
        <v/>
      </c>
      <c r="C2060" s="56">
        <f>IF($B2060=0,"",IF(Inputs!$B$6="","",IF($AD2060=0,C2059,SUMIFS(Data!$B$10:$B$3209,Data!$A$10:$A$3209,"&gt;="&amp;$A2060,Data!$A$10:$A$3209,"&lt;"&amp;$A2060+1)/$AD2060)))</f>
        <v/>
      </c>
      <c r="D2060" s="56">
        <f>IF($B2060=0,"",IF(Inputs!$B$7="","",IF($AE2060=0,D2059,SUMIFS(Data!$F$10:$F$3209,Data!$E$10:$E$3209,"&gt;="&amp;$A2060,Data!$E$10:$E$3209,"&lt;"&amp;$A2060+1)/$AE2060)))</f>
        <v/>
      </c>
      <c r="E2060" s="56">
        <f>IF($B2060=0,"",IF(Inputs!$B$8="","",IF($AF2060=0,E2059,SUMIFS(Data!$J$10:$J$3209,Data!$I$10:$I$3209,"&gt;="&amp;$A2060,Data!$I$10:$I$3209,"&lt;"&amp;$A2060+1)/$AF2060)))</f>
        <v/>
      </c>
      <c r="F2060" s="56">
        <f>IF($B2060=0,"",IF(Inputs!$B$9="","",IF($AG2060=0,F2059,SUMIFS(Data!$N$10:$N$3209,Data!$M$10:$M$3209,"&gt;="&amp;$A2060,Data!$M$10:$M$3209,"&lt;"&amp;$A2060+1)/$AG2060)))</f>
        <v/>
      </c>
      <c r="G2060" s="56">
        <f>IF($B2060=0,"",IF(Inputs!$B$10="","",IF($AH2060=0,G2059,SUMIFS(Data!$R$10:$R$3209,Data!$Q$10:$Q$3209,"&gt;="&amp;$A2060,Data!$Q$10:$Q$3209,"&lt;"&amp;$A2060+1)/$AH2060)))</f>
        <v/>
      </c>
      <c r="I2060" s="54">
        <f>IF($B2060=0,NA(),IF($C2060="",NA(),IF(C$8="",NA(),IF(N(C$8)=0,NA(),IF(Inputs!$C$17="Rebased to 100",$C2060/C$8*100,$C2060)))))</f>
        <v/>
      </c>
      <c r="J2060" s="54">
        <f>IF($B2060=0,NA(),IF($D2060="",NA(),IF(D$8="",NA(),IF(N(D$8)=0,NA(),IF(Inputs!$C$17="Rebased to 100",$D2060/D$8*100,$D2060)))))</f>
        <v/>
      </c>
      <c r="K2060" s="54">
        <f>IF($B2060=0,NA(),IF($E2060="",NA(),IF(E$8="",NA(),IF(N(E$8)=0,NA(),IF(Inputs!$C$17="Rebased to 100",$E2060/E$8*100,$E2060)))))</f>
        <v/>
      </c>
      <c r="L2060" s="54">
        <f>IF($B2060=0,NA(),IF($F2060="",NA(),IF(F$8="",NA(),IF(N(F$8)=0,NA(),IF(Inputs!$C$17="Rebased to 100",$F2060/F$8*100,$F2060)))))</f>
        <v/>
      </c>
      <c r="M2060" s="54">
        <f>IF($B2060=0,NA(),IF($G2060="",NA(),IF(G$8="",NA(),IF(N(G$8)=0,NA(),IF(Inputs!$C$17="Rebased to 100",$G2060/G$8*100,$G2060)))))</f>
        <v/>
      </c>
      <c r="N2060" s="54">
        <f>IF($B2060=0,NA(),IF(Inputs!$C$18&lt;&gt;"Yes",NA(),IF(COUNT(I2060,J2060,K2060,L2060,M2060)=0,NA(),MIN(I2060,J2060,K2060,L2060,M2060))))</f>
        <v/>
      </c>
      <c r="O2060" s="54">
        <f>IF($B2060=0,NA(),IF(Inputs!$B$24&lt;&gt;"Yes",NA(),Inputs!$D$24*Inputs!$C$35))</f>
        <v/>
      </c>
      <c r="P2060" s="54">
        <f>IF($B2060=0,NA(),IF(Inputs!$B$25&lt;&gt;"Yes",NA(),Inputs!$D$25*Inputs!$C$35))</f>
        <v/>
      </c>
      <c r="Q2060" s="54">
        <f>IF($B2060=0,NA(),IF(Inputs!$B$26&lt;&gt;"Yes",NA(),Inputs!$D$26*Inputs!$C$35))</f>
        <v/>
      </c>
      <c r="R2060" s="54">
        <f>IF($B2060=0,NA(),IF(Inputs!$B$27&lt;&gt;"Yes",NA(),Inputs!$D$27*Inputs!$C$35))</f>
        <v/>
      </c>
      <c r="S2060" s="54">
        <f>IF($B2060=0,NA(),IF(Inputs!$B$28&lt;&gt;"Yes",NA(),Inputs!$D$28*Inputs!$C$35))</f>
        <v/>
      </c>
      <c r="T2060" s="54">
        <f>IF($B2060=0,NA(),IF(Inputs!$B$29&lt;&gt;"Yes",NA(),Inputs!$D$29*Inputs!$C$35))</f>
        <v/>
      </c>
      <c r="AD2060">
        <f>IF($B2060=0,0,IF(Inputs!$B$6="",0,COUNTIFS(Data!$A$10:$A$3209,"&gt;="&amp;$A2060,Data!$A$10:$A$3209,"&lt;"&amp;$A2060+1)))</f>
        <v/>
      </c>
      <c r="AE2060">
        <f>IF($B2060=0,0,IF(Inputs!$B$7="",0,COUNTIFS(Data!$E$10:$E$3209,"&gt;="&amp;$A2060,Data!$E$10:$E$3209,"&lt;"&amp;$A2060+1)))</f>
        <v/>
      </c>
      <c r="AF2060">
        <f>IF($B2060=0,0,IF(Inputs!$B$8="",0,COUNTIFS(Data!$I$10:$I$3209,"&gt;="&amp;$A2060,Data!$I$10:$I$3209,"&lt;"&amp;$A2060+1)))</f>
        <v/>
      </c>
      <c r="AG2060">
        <f>IF($B2060=0,0,IF(Inputs!$B$9="",0,COUNTIFS(Data!$M$10:$M$3209,"&gt;="&amp;$A2060,Data!$M$10:$M$3209,"&lt;"&amp;$A2060+1)))</f>
        <v/>
      </c>
      <c r="AH2060">
        <f>IF($B2060=0,0,IF(Inputs!$B$10="",0,COUNTIFS(Data!$Q$10:$Q$3209,"&gt;="&amp;$A2060,Data!$Q$10:$Q$3209,"&lt;"&amp;$A2060+1)))</f>
        <v/>
      </c>
    </row>
    <row r="2061">
      <c r="A2061" s="55">
        <f>MIN(Inputs!$C$15,$A2060+IF(WEEKDAY($A2060,2)=5,3,1))</f>
        <v/>
      </c>
      <c r="B2061">
        <f>IF($A2061&gt;$A2060,1,0)</f>
        <v/>
      </c>
      <c r="C2061" s="56">
        <f>IF($B2061=0,"",IF(Inputs!$B$6="","",IF($AD2061=0,C2060,SUMIFS(Data!$B$10:$B$3209,Data!$A$10:$A$3209,"&gt;="&amp;$A2061,Data!$A$10:$A$3209,"&lt;"&amp;$A2061+1)/$AD2061)))</f>
        <v/>
      </c>
      <c r="D2061" s="56">
        <f>IF($B2061=0,"",IF(Inputs!$B$7="","",IF($AE2061=0,D2060,SUMIFS(Data!$F$10:$F$3209,Data!$E$10:$E$3209,"&gt;="&amp;$A2061,Data!$E$10:$E$3209,"&lt;"&amp;$A2061+1)/$AE2061)))</f>
        <v/>
      </c>
      <c r="E2061" s="56">
        <f>IF($B2061=0,"",IF(Inputs!$B$8="","",IF($AF2061=0,E2060,SUMIFS(Data!$J$10:$J$3209,Data!$I$10:$I$3209,"&gt;="&amp;$A2061,Data!$I$10:$I$3209,"&lt;"&amp;$A2061+1)/$AF2061)))</f>
        <v/>
      </c>
      <c r="F2061" s="56">
        <f>IF($B2061=0,"",IF(Inputs!$B$9="","",IF($AG2061=0,F2060,SUMIFS(Data!$N$10:$N$3209,Data!$M$10:$M$3209,"&gt;="&amp;$A2061,Data!$M$10:$M$3209,"&lt;"&amp;$A2061+1)/$AG2061)))</f>
        <v/>
      </c>
      <c r="G2061" s="56">
        <f>IF($B2061=0,"",IF(Inputs!$B$10="","",IF($AH2061=0,G2060,SUMIFS(Data!$R$10:$R$3209,Data!$Q$10:$Q$3209,"&gt;="&amp;$A2061,Data!$Q$10:$Q$3209,"&lt;"&amp;$A2061+1)/$AH2061)))</f>
        <v/>
      </c>
      <c r="I2061" s="54">
        <f>IF($B2061=0,NA(),IF($C2061="",NA(),IF(C$8="",NA(),IF(N(C$8)=0,NA(),IF(Inputs!$C$17="Rebased to 100",$C2061/C$8*100,$C2061)))))</f>
        <v/>
      </c>
      <c r="J2061" s="54">
        <f>IF($B2061=0,NA(),IF($D2061="",NA(),IF(D$8="",NA(),IF(N(D$8)=0,NA(),IF(Inputs!$C$17="Rebased to 100",$D2061/D$8*100,$D2061)))))</f>
        <v/>
      </c>
      <c r="K2061" s="54">
        <f>IF($B2061=0,NA(),IF($E2061="",NA(),IF(E$8="",NA(),IF(N(E$8)=0,NA(),IF(Inputs!$C$17="Rebased to 100",$E2061/E$8*100,$E2061)))))</f>
        <v/>
      </c>
      <c r="L2061" s="54">
        <f>IF($B2061=0,NA(),IF($F2061="",NA(),IF(F$8="",NA(),IF(N(F$8)=0,NA(),IF(Inputs!$C$17="Rebased to 100",$F2061/F$8*100,$F2061)))))</f>
        <v/>
      </c>
      <c r="M2061" s="54">
        <f>IF($B2061=0,NA(),IF($G2061="",NA(),IF(G$8="",NA(),IF(N(G$8)=0,NA(),IF(Inputs!$C$17="Rebased to 100",$G2061/G$8*100,$G2061)))))</f>
        <v/>
      </c>
      <c r="N2061" s="54">
        <f>IF($B2061=0,NA(),IF(Inputs!$C$18&lt;&gt;"Yes",NA(),IF(COUNT(I2061,J2061,K2061,L2061,M2061)=0,NA(),MIN(I2061,J2061,K2061,L2061,M2061))))</f>
        <v/>
      </c>
      <c r="O2061" s="54">
        <f>IF($B2061=0,NA(),IF(Inputs!$B$24&lt;&gt;"Yes",NA(),Inputs!$D$24*Inputs!$C$35))</f>
        <v/>
      </c>
      <c r="P2061" s="54">
        <f>IF($B2061=0,NA(),IF(Inputs!$B$25&lt;&gt;"Yes",NA(),Inputs!$D$25*Inputs!$C$35))</f>
        <v/>
      </c>
      <c r="Q2061" s="54">
        <f>IF($B2061=0,NA(),IF(Inputs!$B$26&lt;&gt;"Yes",NA(),Inputs!$D$26*Inputs!$C$35))</f>
        <v/>
      </c>
      <c r="R2061" s="54">
        <f>IF($B2061=0,NA(),IF(Inputs!$B$27&lt;&gt;"Yes",NA(),Inputs!$D$27*Inputs!$C$35))</f>
        <v/>
      </c>
      <c r="S2061" s="54">
        <f>IF($B2061=0,NA(),IF(Inputs!$B$28&lt;&gt;"Yes",NA(),Inputs!$D$28*Inputs!$C$35))</f>
        <v/>
      </c>
      <c r="T2061" s="54">
        <f>IF($B2061=0,NA(),IF(Inputs!$B$29&lt;&gt;"Yes",NA(),Inputs!$D$29*Inputs!$C$35))</f>
        <v/>
      </c>
      <c r="AD2061">
        <f>IF($B2061=0,0,IF(Inputs!$B$6="",0,COUNTIFS(Data!$A$10:$A$3209,"&gt;="&amp;$A2061,Data!$A$10:$A$3209,"&lt;"&amp;$A2061+1)))</f>
        <v/>
      </c>
      <c r="AE2061">
        <f>IF($B2061=0,0,IF(Inputs!$B$7="",0,COUNTIFS(Data!$E$10:$E$3209,"&gt;="&amp;$A2061,Data!$E$10:$E$3209,"&lt;"&amp;$A2061+1)))</f>
        <v/>
      </c>
      <c r="AF2061">
        <f>IF($B2061=0,0,IF(Inputs!$B$8="",0,COUNTIFS(Data!$I$10:$I$3209,"&gt;="&amp;$A2061,Data!$I$10:$I$3209,"&lt;"&amp;$A2061+1)))</f>
        <v/>
      </c>
      <c r="AG2061">
        <f>IF($B2061=0,0,IF(Inputs!$B$9="",0,COUNTIFS(Data!$M$10:$M$3209,"&gt;="&amp;$A2061,Data!$M$10:$M$3209,"&lt;"&amp;$A2061+1)))</f>
        <v/>
      </c>
      <c r="AH2061">
        <f>IF($B2061=0,0,IF(Inputs!$B$10="",0,COUNTIFS(Data!$Q$10:$Q$3209,"&gt;="&amp;$A2061,Data!$Q$10:$Q$3209,"&lt;"&amp;$A2061+1)))</f>
        <v/>
      </c>
    </row>
    <row r="2062">
      <c r="A2062" s="55">
        <f>MIN(Inputs!$C$15,$A2061+IF(WEEKDAY($A2061,2)=5,3,1))</f>
        <v/>
      </c>
      <c r="B2062">
        <f>IF($A2062&gt;$A2061,1,0)</f>
        <v/>
      </c>
      <c r="C2062" s="56">
        <f>IF($B2062=0,"",IF(Inputs!$B$6="","",IF($AD2062=0,C2061,SUMIFS(Data!$B$10:$B$3209,Data!$A$10:$A$3209,"&gt;="&amp;$A2062,Data!$A$10:$A$3209,"&lt;"&amp;$A2062+1)/$AD2062)))</f>
        <v/>
      </c>
      <c r="D2062" s="56">
        <f>IF($B2062=0,"",IF(Inputs!$B$7="","",IF($AE2062=0,D2061,SUMIFS(Data!$F$10:$F$3209,Data!$E$10:$E$3209,"&gt;="&amp;$A2062,Data!$E$10:$E$3209,"&lt;"&amp;$A2062+1)/$AE2062)))</f>
        <v/>
      </c>
      <c r="E2062" s="56">
        <f>IF($B2062=0,"",IF(Inputs!$B$8="","",IF($AF2062=0,E2061,SUMIFS(Data!$J$10:$J$3209,Data!$I$10:$I$3209,"&gt;="&amp;$A2062,Data!$I$10:$I$3209,"&lt;"&amp;$A2062+1)/$AF2062)))</f>
        <v/>
      </c>
      <c r="F2062" s="56">
        <f>IF($B2062=0,"",IF(Inputs!$B$9="","",IF($AG2062=0,F2061,SUMIFS(Data!$N$10:$N$3209,Data!$M$10:$M$3209,"&gt;="&amp;$A2062,Data!$M$10:$M$3209,"&lt;"&amp;$A2062+1)/$AG2062)))</f>
        <v/>
      </c>
      <c r="G2062" s="56">
        <f>IF($B2062=0,"",IF(Inputs!$B$10="","",IF($AH2062=0,G2061,SUMIFS(Data!$R$10:$R$3209,Data!$Q$10:$Q$3209,"&gt;="&amp;$A2062,Data!$Q$10:$Q$3209,"&lt;"&amp;$A2062+1)/$AH2062)))</f>
        <v/>
      </c>
      <c r="I2062" s="54">
        <f>IF($B2062=0,NA(),IF($C2062="",NA(),IF(C$8="",NA(),IF(N(C$8)=0,NA(),IF(Inputs!$C$17="Rebased to 100",$C2062/C$8*100,$C2062)))))</f>
        <v/>
      </c>
      <c r="J2062" s="54">
        <f>IF($B2062=0,NA(),IF($D2062="",NA(),IF(D$8="",NA(),IF(N(D$8)=0,NA(),IF(Inputs!$C$17="Rebased to 100",$D2062/D$8*100,$D2062)))))</f>
        <v/>
      </c>
      <c r="K2062" s="54">
        <f>IF($B2062=0,NA(),IF($E2062="",NA(),IF(E$8="",NA(),IF(N(E$8)=0,NA(),IF(Inputs!$C$17="Rebased to 100",$E2062/E$8*100,$E2062)))))</f>
        <v/>
      </c>
      <c r="L2062" s="54">
        <f>IF($B2062=0,NA(),IF($F2062="",NA(),IF(F$8="",NA(),IF(N(F$8)=0,NA(),IF(Inputs!$C$17="Rebased to 100",$F2062/F$8*100,$F2062)))))</f>
        <v/>
      </c>
      <c r="M2062" s="54">
        <f>IF($B2062=0,NA(),IF($G2062="",NA(),IF(G$8="",NA(),IF(N(G$8)=0,NA(),IF(Inputs!$C$17="Rebased to 100",$G2062/G$8*100,$G2062)))))</f>
        <v/>
      </c>
      <c r="N2062" s="54">
        <f>IF($B2062=0,NA(),IF(Inputs!$C$18&lt;&gt;"Yes",NA(),IF(COUNT(I2062,J2062,K2062,L2062,M2062)=0,NA(),MIN(I2062,J2062,K2062,L2062,M2062))))</f>
        <v/>
      </c>
      <c r="O2062" s="54">
        <f>IF($B2062=0,NA(),IF(Inputs!$B$24&lt;&gt;"Yes",NA(),Inputs!$D$24*Inputs!$C$35))</f>
        <v/>
      </c>
      <c r="P2062" s="54">
        <f>IF($B2062=0,NA(),IF(Inputs!$B$25&lt;&gt;"Yes",NA(),Inputs!$D$25*Inputs!$C$35))</f>
        <v/>
      </c>
      <c r="Q2062" s="54">
        <f>IF($B2062=0,NA(),IF(Inputs!$B$26&lt;&gt;"Yes",NA(),Inputs!$D$26*Inputs!$C$35))</f>
        <v/>
      </c>
      <c r="R2062" s="54">
        <f>IF($B2062=0,NA(),IF(Inputs!$B$27&lt;&gt;"Yes",NA(),Inputs!$D$27*Inputs!$C$35))</f>
        <v/>
      </c>
      <c r="S2062" s="54">
        <f>IF($B2062=0,NA(),IF(Inputs!$B$28&lt;&gt;"Yes",NA(),Inputs!$D$28*Inputs!$C$35))</f>
        <v/>
      </c>
      <c r="T2062" s="54">
        <f>IF($B2062=0,NA(),IF(Inputs!$B$29&lt;&gt;"Yes",NA(),Inputs!$D$29*Inputs!$C$35))</f>
        <v/>
      </c>
      <c r="AD2062">
        <f>IF($B2062=0,0,IF(Inputs!$B$6="",0,COUNTIFS(Data!$A$10:$A$3209,"&gt;="&amp;$A2062,Data!$A$10:$A$3209,"&lt;"&amp;$A2062+1)))</f>
        <v/>
      </c>
      <c r="AE2062">
        <f>IF($B2062=0,0,IF(Inputs!$B$7="",0,COUNTIFS(Data!$E$10:$E$3209,"&gt;="&amp;$A2062,Data!$E$10:$E$3209,"&lt;"&amp;$A2062+1)))</f>
        <v/>
      </c>
      <c r="AF2062">
        <f>IF($B2062=0,0,IF(Inputs!$B$8="",0,COUNTIFS(Data!$I$10:$I$3209,"&gt;="&amp;$A2062,Data!$I$10:$I$3209,"&lt;"&amp;$A2062+1)))</f>
        <v/>
      </c>
      <c r="AG2062">
        <f>IF($B2062=0,0,IF(Inputs!$B$9="",0,COUNTIFS(Data!$M$10:$M$3209,"&gt;="&amp;$A2062,Data!$M$10:$M$3209,"&lt;"&amp;$A2062+1)))</f>
        <v/>
      </c>
      <c r="AH2062">
        <f>IF($B2062=0,0,IF(Inputs!$B$10="",0,COUNTIFS(Data!$Q$10:$Q$3209,"&gt;="&amp;$A2062,Data!$Q$10:$Q$3209,"&lt;"&amp;$A2062+1)))</f>
        <v/>
      </c>
    </row>
    <row r="2063">
      <c r="A2063" s="55">
        <f>MIN(Inputs!$C$15,$A2062+IF(WEEKDAY($A2062,2)=5,3,1))</f>
        <v/>
      </c>
      <c r="B2063">
        <f>IF($A2063&gt;$A2062,1,0)</f>
        <v/>
      </c>
      <c r="C2063" s="56">
        <f>IF($B2063=0,"",IF(Inputs!$B$6="","",IF($AD2063=0,C2062,SUMIFS(Data!$B$10:$B$3209,Data!$A$10:$A$3209,"&gt;="&amp;$A2063,Data!$A$10:$A$3209,"&lt;"&amp;$A2063+1)/$AD2063)))</f>
        <v/>
      </c>
      <c r="D2063" s="56">
        <f>IF($B2063=0,"",IF(Inputs!$B$7="","",IF($AE2063=0,D2062,SUMIFS(Data!$F$10:$F$3209,Data!$E$10:$E$3209,"&gt;="&amp;$A2063,Data!$E$10:$E$3209,"&lt;"&amp;$A2063+1)/$AE2063)))</f>
        <v/>
      </c>
      <c r="E2063" s="56">
        <f>IF($B2063=0,"",IF(Inputs!$B$8="","",IF($AF2063=0,E2062,SUMIFS(Data!$J$10:$J$3209,Data!$I$10:$I$3209,"&gt;="&amp;$A2063,Data!$I$10:$I$3209,"&lt;"&amp;$A2063+1)/$AF2063)))</f>
        <v/>
      </c>
      <c r="F2063" s="56">
        <f>IF($B2063=0,"",IF(Inputs!$B$9="","",IF($AG2063=0,F2062,SUMIFS(Data!$N$10:$N$3209,Data!$M$10:$M$3209,"&gt;="&amp;$A2063,Data!$M$10:$M$3209,"&lt;"&amp;$A2063+1)/$AG2063)))</f>
        <v/>
      </c>
      <c r="G2063" s="56">
        <f>IF($B2063=0,"",IF(Inputs!$B$10="","",IF($AH2063=0,G2062,SUMIFS(Data!$R$10:$R$3209,Data!$Q$10:$Q$3209,"&gt;="&amp;$A2063,Data!$Q$10:$Q$3209,"&lt;"&amp;$A2063+1)/$AH2063)))</f>
        <v/>
      </c>
      <c r="I2063" s="54">
        <f>IF($B2063=0,NA(),IF($C2063="",NA(),IF(C$8="",NA(),IF(N(C$8)=0,NA(),IF(Inputs!$C$17="Rebased to 100",$C2063/C$8*100,$C2063)))))</f>
        <v/>
      </c>
      <c r="J2063" s="54">
        <f>IF($B2063=0,NA(),IF($D2063="",NA(),IF(D$8="",NA(),IF(N(D$8)=0,NA(),IF(Inputs!$C$17="Rebased to 100",$D2063/D$8*100,$D2063)))))</f>
        <v/>
      </c>
      <c r="K2063" s="54">
        <f>IF($B2063=0,NA(),IF($E2063="",NA(),IF(E$8="",NA(),IF(N(E$8)=0,NA(),IF(Inputs!$C$17="Rebased to 100",$E2063/E$8*100,$E2063)))))</f>
        <v/>
      </c>
      <c r="L2063" s="54">
        <f>IF($B2063=0,NA(),IF($F2063="",NA(),IF(F$8="",NA(),IF(N(F$8)=0,NA(),IF(Inputs!$C$17="Rebased to 100",$F2063/F$8*100,$F2063)))))</f>
        <v/>
      </c>
      <c r="M2063" s="54">
        <f>IF($B2063=0,NA(),IF($G2063="",NA(),IF(G$8="",NA(),IF(N(G$8)=0,NA(),IF(Inputs!$C$17="Rebased to 100",$G2063/G$8*100,$G2063)))))</f>
        <v/>
      </c>
      <c r="N2063" s="54">
        <f>IF($B2063=0,NA(),IF(Inputs!$C$18&lt;&gt;"Yes",NA(),IF(COUNT(I2063,J2063,K2063,L2063,M2063)=0,NA(),MIN(I2063,J2063,K2063,L2063,M2063))))</f>
        <v/>
      </c>
      <c r="O2063" s="54">
        <f>IF($B2063=0,NA(),IF(Inputs!$B$24&lt;&gt;"Yes",NA(),Inputs!$D$24*Inputs!$C$35))</f>
        <v/>
      </c>
      <c r="P2063" s="54">
        <f>IF($B2063=0,NA(),IF(Inputs!$B$25&lt;&gt;"Yes",NA(),Inputs!$D$25*Inputs!$C$35))</f>
        <v/>
      </c>
      <c r="Q2063" s="54">
        <f>IF($B2063=0,NA(),IF(Inputs!$B$26&lt;&gt;"Yes",NA(),Inputs!$D$26*Inputs!$C$35))</f>
        <v/>
      </c>
      <c r="R2063" s="54">
        <f>IF($B2063=0,NA(),IF(Inputs!$B$27&lt;&gt;"Yes",NA(),Inputs!$D$27*Inputs!$C$35))</f>
        <v/>
      </c>
      <c r="S2063" s="54">
        <f>IF($B2063=0,NA(),IF(Inputs!$B$28&lt;&gt;"Yes",NA(),Inputs!$D$28*Inputs!$C$35))</f>
        <v/>
      </c>
      <c r="T2063" s="54">
        <f>IF($B2063=0,NA(),IF(Inputs!$B$29&lt;&gt;"Yes",NA(),Inputs!$D$29*Inputs!$C$35))</f>
        <v/>
      </c>
      <c r="AD2063">
        <f>IF($B2063=0,0,IF(Inputs!$B$6="",0,COUNTIFS(Data!$A$10:$A$3209,"&gt;="&amp;$A2063,Data!$A$10:$A$3209,"&lt;"&amp;$A2063+1)))</f>
        <v/>
      </c>
      <c r="AE2063">
        <f>IF($B2063=0,0,IF(Inputs!$B$7="",0,COUNTIFS(Data!$E$10:$E$3209,"&gt;="&amp;$A2063,Data!$E$10:$E$3209,"&lt;"&amp;$A2063+1)))</f>
        <v/>
      </c>
      <c r="AF2063">
        <f>IF($B2063=0,0,IF(Inputs!$B$8="",0,COUNTIFS(Data!$I$10:$I$3209,"&gt;="&amp;$A2063,Data!$I$10:$I$3209,"&lt;"&amp;$A2063+1)))</f>
        <v/>
      </c>
      <c r="AG2063">
        <f>IF($B2063=0,0,IF(Inputs!$B$9="",0,COUNTIFS(Data!$M$10:$M$3209,"&gt;="&amp;$A2063,Data!$M$10:$M$3209,"&lt;"&amp;$A2063+1)))</f>
        <v/>
      </c>
      <c r="AH2063">
        <f>IF($B2063=0,0,IF(Inputs!$B$10="",0,COUNTIFS(Data!$Q$10:$Q$3209,"&gt;="&amp;$A2063,Data!$Q$10:$Q$3209,"&lt;"&amp;$A2063+1)))</f>
        <v/>
      </c>
    </row>
    <row r="2064">
      <c r="A2064" s="55">
        <f>MIN(Inputs!$C$15,$A2063+IF(WEEKDAY($A2063,2)=5,3,1))</f>
        <v/>
      </c>
      <c r="B2064">
        <f>IF($A2064&gt;$A2063,1,0)</f>
        <v/>
      </c>
      <c r="C2064" s="56">
        <f>IF($B2064=0,"",IF(Inputs!$B$6="","",IF($AD2064=0,C2063,SUMIFS(Data!$B$10:$B$3209,Data!$A$10:$A$3209,"&gt;="&amp;$A2064,Data!$A$10:$A$3209,"&lt;"&amp;$A2064+1)/$AD2064)))</f>
        <v/>
      </c>
      <c r="D2064" s="56">
        <f>IF($B2064=0,"",IF(Inputs!$B$7="","",IF($AE2064=0,D2063,SUMIFS(Data!$F$10:$F$3209,Data!$E$10:$E$3209,"&gt;="&amp;$A2064,Data!$E$10:$E$3209,"&lt;"&amp;$A2064+1)/$AE2064)))</f>
        <v/>
      </c>
      <c r="E2064" s="56">
        <f>IF($B2064=0,"",IF(Inputs!$B$8="","",IF($AF2064=0,E2063,SUMIFS(Data!$J$10:$J$3209,Data!$I$10:$I$3209,"&gt;="&amp;$A2064,Data!$I$10:$I$3209,"&lt;"&amp;$A2064+1)/$AF2064)))</f>
        <v/>
      </c>
      <c r="F2064" s="56">
        <f>IF($B2064=0,"",IF(Inputs!$B$9="","",IF($AG2064=0,F2063,SUMIFS(Data!$N$10:$N$3209,Data!$M$10:$M$3209,"&gt;="&amp;$A2064,Data!$M$10:$M$3209,"&lt;"&amp;$A2064+1)/$AG2064)))</f>
        <v/>
      </c>
      <c r="G2064" s="56">
        <f>IF($B2064=0,"",IF(Inputs!$B$10="","",IF($AH2064=0,G2063,SUMIFS(Data!$R$10:$R$3209,Data!$Q$10:$Q$3209,"&gt;="&amp;$A2064,Data!$Q$10:$Q$3209,"&lt;"&amp;$A2064+1)/$AH2064)))</f>
        <v/>
      </c>
      <c r="I2064" s="54">
        <f>IF($B2064=0,NA(),IF($C2064="",NA(),IF(C$8="",NA(),IF(N(C$8)=0,NA(),IF(Inputs!$C$17="Rebased to 100",$C2064/C$8*100,$C2064)))))</f>
        <v/>
      </c>
      <c r="J2064" s="54">
        <f>IF($B2064=0,NA(),IF($D2064="",NA(),IF(D$8="",NA(),IF(N(D$8)=0,NA(),IF(Inputs!$C$17="Rebased to 100",$D2064/D$8*100,$D2064)))))</f>
        <v/>
      </c>
      <c r="K2064" s="54">
        <f>IF($B2064=0,NA(),IF($E2064="",NA(),IF(E$8="",NA(),IF(N(E$8)=0,NA(),IF(Inputs!$C$17="Rebased to 100",$E2064/E$8*100,$E2064)))))</f>
        <v/>
      </c>
      <c r="L2064" s="54">
        <f>IF($B2064=0,NA(),IF($F2064="",NA(),IF(F$8="",NA(),IF(N(F$8)=0,NA(),IF(Inputs!$C$17="Rebased to 100",$F2064/F$8*100,$F2064)))))</f>
        <v/>
      </c>
      <c r="M2064" s="54">
        <f>IF($B2064=0,NA(),IF($G2064="",NA(),IF(G$8="",NA(),IF(N(G$8)=0,NA(),IF(Inputs!$C$17="Rebased to 100",$G2064/G$8*100,$G2064)))))</f>
        <v/>
      </c>
      <c r="N2064" s="54">
        <f>IF($B2064=0,NA(),IF(Inputs!$C$18&lt;&gt;"Yes",NA(),IF(COUNT(I2064,J2064,K2064,L2064,M2064)=0,NA(),MIN(I2064,J2064,K2064,L2064,M2064))))</f>
        <v/>
      </c>
      <c r="O2064" s="54">
        <f>IF($B2064=0,NA(),IF(Inputs!$B$24&lt;&gt;"Yes",NA(),Inputs!$D$24*Inputs!$C$35))</f>
        <v/>
      </c>
      <c r="P2064" s="54">
        <f>IF($B2064=0,NA(),IF(Inputs!$B$25&lt;&gt;"Yes",NA(),Inputs!$D$25*Inputs!$C$35))</f>
        <v/>
      </c>
      <c r="Q2064" s="54">
        <f>IF($B2064=0,NA(),IF(Inputs!$B$26&lt;&gt;"Yes",NA(),Inputs!$D$26*Inputs!$C$35))</f>
        <v/>
      </c>
      <c r="R2064" s="54">
        <f>IF($B2064=0,NA(),IF(Inputs!$B$27&lt;&gt;"Yes",NA(),Inputs!$D$27*Inputs!$C$35))</f>
        <v/>
      </c>
      <c r="S2064" s="54">
        <f>IF($B2064=0,NA(),IF(Inputs!$B$28&lt;&gt;"Yes",NA(),Inputs!$D$28*Inputs!$C$35))</f>
        <v/>
      </c>
      <c r="T2064" s="54">
        <f>IF($B2064=0,NA(),IF(Inputs!$B$29&lt;&gt;"Yes",NA(),Inputs!$D$29*Inputs!$C$35))</f>
        <v/>
      </c>
      <c r="AD2064">
        <f>IF($B2064=0,0,IF(Inputs!$B$6="",0,COUNTIFS(Data!$A$10:$A$3209,"&gt;="&amp;$A2064,Data!$A$10:$A$3209,"&lt;"&amp;$A2064+1)))</f>
        <v/>
      </c>
      <c r="AE2064">
        <f>IF($B2064=0,0,IF(Inputs!$B$7="",0,COUNTIFS(Data!$E$10:$E$3209,"&gt;="&amp;$A2064,Data!$E$10:$E$3209,"&lt;"&amp;$A2064+1)))</f>
        <v/>
      </c>
      <c r="AF2064">
        <f>IF($B2064=0,0,IF(Inputs!$B$8="",0,COUNTIFS(Data!$I$10:$I$3209,"&gt;="&amp;$A2064,Data!$I$10:$I$3209,"&lt;"&amp;$A2064+1)))</f>
        <v/>
      </c>
      <c r="AG2064">
        <f>IF($B2064=0,0,IF(Inputs!$B$9="",0,COUNTIFS(Data!$M$10:$M$3209,"&gt;="&amp;$A2064,Data!$M$10:$M$3209,"&lt;"&amp;$A2064+1)))</f>
        <v/>
      </c>
      <c r="AH2064">
        <f>IF($B2064=0,0,IF(Inputs!$B$10="",0,COUNTIFS(Data!$Q$10:$Q$3209,"&gt;="&amp;$A2064,Data!$Q$10:$Q$3209,"&lt;"&amp;$A2064+1)))</f>
        <v/>
      </c>
    </row>
    <row r="2065">
      <c r="A2065" s="55">
        <f>MIN(Inputs!$C$15,$A2064+IF(WEEKDAY($A2064,2)=5,3,1))</f>
        <v/>
      </c>
      <c r="B2065">
        <f>IF($A2065&gt;$A2064,1,0)</f>
        <v/>
      </c>
      <c r="C2065" s="56">
        <f>IF($B2065=0,"",IF(Inputs!$B$6="","",IF($AD2065=0,C2064,SUMIFS(Data!$B$10:$B$3209,Data!$A$10:$A$3209,"&gt;="&amp;$A2065,Data!$A$10:$A$3209,"&lt;"&amp;$A2065+1)/$AD2065)))</f>
        <v/>
      </c>
      <c r="D2065" s="56">
        <f>IF($B2065=0,"",IF(Inputs!$B$7="","",IF($AE2065=0,D2064,SUMIFS(Data!$F$10:$F$3209,Data!$E$10:$E$3209,"&gt;="&amp;$A2065,Data!$E$10:$E$3209,"&lt;"&amp;$A2065+1)/$AE2065)))</f>
        <v/>
      </c>
      <c r="E2065" s="56">
        <f>IF($B2065=0,"",IF(Inputs!$B$8="","",IF($AF2065=0,E2064,SUMIFS(Data!$J$10:$J$3209,Data!$I$10:$I$3209,"&gt;="&amp;$A2065,Data!$I$10:$I$3209,"&lt;"&amp;$A2065+1)/$AF2065)))</f>
        <v/>
      </c>
      <c r="F2065" s="56">
        <f>IF($B2065=0,"",IF(Inputs!$B$9="","",IF($AG2065=0,F2064,SUMIFS(Data!$N$10:$N$3209,Data!$M$10:$M$3209,"&gt;="&amp;$A2065,Data!$M$10:$M$3209,"&lt;"&amp;$A2065+1)/$AG2065)))</f>
        <v/>
      </c>
      <c r="G2065" s="56">
        <f>IF($B2065=0,"",IF(Inputs!$B$10="","",IF($AH2065=0,G2064,SUMIFS(Data!$R$10:$R$3209,Data!$Q$10:$Q$3209,"&gt;="&amp;$A2065,Data!$Q$10:$Q$3209,"&lt;"&amp;$A2065+1)/$AH2065)))</f>
        <v/>
      </c>
      <c r="I2065" s="54">
        <f>IF($B2065=0,NA(),IF($C2065="",NA(),IF(C$8="",NA(),IF(N(C$8)=0,NA(),IF(Inputs!$C$17="Rebased to 100",$C2065/C$8*100,$C2065)))))</f>
        <v/>
      </c>
      <c r="J2065" s="54">
        <f>IF($B2065=0,NA(),IF($D2065="",NA(),IF(D$8="",NA(),IF(N(D$8)=0,NA(),IF(Inputs!$C$17="Rebased to 100",$D2065/D$8*100,$D2065)))))</f>
        <v/>
      </c>
      <c r="K2065" s="54">
        <f>IF($B2065=0,NA(),IF($E2065="",NA(),IF(E$8="",NA(),IF(N(E$8)=0,NA(),IF(Inputs!$C$17="Rebased to 100",$E2065/E$8*100,$E2065)))))</f>
        <v/>
      </c>
      <c r="L2065" s="54">
        <f>IF($B2065=0,NA(),IF($F2065="",NA(),IF(F$8="",NA(),IF(N(F$8)=0,NA(),IF(Inputs!$C$17="Rebased to 100",$F2065/F$8*100,$F2065)))))</f>
        <v/>
      </c>
      <c r="M2065" s="54">
        <f>IF($B2065=0,NA(),IF($G2065="",NA(),IF(G$8="",NA(),IF(N(G$8)=0,NA(),IF(Inputs!$C$17="Rebased to 100",$G2065/G$8*100,$G2065)))))</f>
        <v/>
      </c>
      <c r="N2065" s="54">
        <f>IF($B2065=0,NA(),IF(Inputs!$C$18&lt;&gt;"Yes",NA(),IF(COUNT(I2065,J2065,K2065,L2065,M2065)=0,NA(),MIN(I2065,J2065,K2065,L2065,M2065))))</f>
        <v/>
      </c>
      <c r="O2065" s="54">
        <f>IF($B2065=0,NA(),IF(Inputs!$B$24&lt;&gt;"Yes",NA(),Inputs!$D$24*Inputs!$C$35))</f>
        <v/>
      </c>
      <c r="P2065" s="54">
        <f>IF($B2065=0,NA(),IF(Inputs!$B$25&lt;&gt;"Yes",NA(),Inputs!$D$25*Inputs!$C$35))</f>
        <v/>
      </c>
      <c r="Q2065" s="54">
        <f>IF($B2065=0,NA(),IF(Inputs!$B$26&lt;&gt;"Yes",NA(),Inputs!$D$26*Inputs!$C$35))</f>
        <v/>
      </c>
      <c r="R2065" s="54">
        <f>IF($B2065=0,NA(),IF(Inputs!$B$27&lt;&gt;"Yes",NA(),Inputs!$D$27*Inputs!$C$35))</f>
        <v/>
      </c>
      <c r="S2065" s="54">
        <f>IF($B2065=0,NA(),IF(Inputs!$B$28&lt;&gt;"Yes",NA(),Inputs!$D$28*Inputs!$C$35))</f>
        <v/>
      </c>
      <c r="T2065" s="54">
        <f>IF($B2065=0,NA(),IF(Inputs!$B$29&lt;&gt;"Yes",NA(),Inputs!$D$29*Inputs!$C$35))</f>
        <v/>
      </c>
      <c r="AD2065">
        <f>IF($B2065=0,0,IF(Inputs!$B$6="",0,COUNTIFS(Data!$A$10:$A$3209,"&gt;="&amp;$A2065,Data!$A$10:$A$3209,"&lt;"&amp;$A2065+1)))</f>
        <v/>
      </c>
      <c r="AE2065">
        <f>IF($B2065=0,0,IF(Inputs!$B$7="",0,COUNTIFS(Data!$E$10:$E$3209,"&gt;="&amp;$A2065,Data!$E$10:$E$3209,"&lt;"&amp;$A2065+1)))</f>
        <v/>
      </c>
      <c r="AF2065">
        <f>IF($B2065=0,0,IF(Inputs!$B$8="",0,COUNTIFS(Data!$I$10:$I$3209,"&gt;="&amp;$A2065,Data!$I$10:$I$3209,"&lt;"&amp;$A2065+1)))</f>
        <v/>
      </c>
      <c r="AG2065">
        <f>IF($B2065=0,0,IF(Inputs!$B$9="",0,COUNTIFS(Data!$M$10:$M$3209,"&gt;="&amp;$A2065,Data!$M$10:$M$3209,"&lt;"&amp;$A2065+1)))</f>
        <v/>
      </c>
      <c r="AH2065">
        <f>IF($B2065=0,0,IF(Inputs!$B$10="",0,COUNTIFS(Data!$Q$10:$Q$3209,"&gt;="&amp;$A2065,Data!$Q$10:$Q$3209,"&lt;"&amp;$A2065+1)))</f>
        <v/>
      </c>
    </row>
    <row r="2066">
      <c r="A2066" s="55">
        <f>MIN(Inputs!$C$15,$A2065+IF(WEEKDAY($A2065,2)=5,3,1))</f>
        <v/>
      </c>
      <c r="B2066">
        <f>IF($A2066&gt;$A2065,1,0)</f>
        <v/>
      </c>
      <c r="C2066" s="56">
        <f>IF($B2066=0,"",IF(Inputs!$B$6="","",IF($AD2066=0,C2065,SUMIFS(Data!$B$10:$B$3209,Data!$A$10:$A$3209,"&gt;="&amp;$A2066,Data!$A$10:$A$3209,"&lt;"&amp;$A2066+1)/$AD2066)))</f>
        <v/>
      </c>
      <c r="D2066" s="56">
        <f>IF($B2066=0,"",IF(Inputs!$B$7="","",IF($AE2066=0,D2065,SUMIFS(Data!$F$10:$F$3209,Data!$E$10:$E$3209,"&gt;="&amp;$A2066,Data!$E$10:$E$3209,"&lt;"&amp;$A2066+1)/$AE2066)))</f>
        <v/>
      </c>
      <c r="E2066" s="56">
        <f>IF($B2066=0,"",IF(Inputs!$B$8="","",IF($AF2066=0,E2065,SUMIFS(Data!$J$10:$J$3209,Data!$I$10:$I$3209,"&gt;="&amp;$A2066,Data!$I$10:$I$3209,"&lt;"&amp;$A2066+1)/$AF2066)))</f>
        <v/>
      </c>
      <c r="F2066" s="56">
        <f>IF($B2066=0,"",IF(Inputs!$B$9="","",IF($AG2066=0,F2065,SUMIFS(Data!$N$10:$N$3209,Data!$M$10:$M$3209,"&gt;="&amp;$A2066,Data!$M$10:$M$3209,"&lt;"&amp;$A2066+1)/$AG2066)))</f>
        <v/>
      </c>
      <c r="G2066" s="56">
        <f>IF($B2066=0,"",IF(Inputs!$B$10="","",IF($AH2066=0,G2065,SUMIFS(Data!$R$10:$R$3209,Data!$Q$10:$Q$3209,"&gt;="&amp;$A2066,Data!$Q$10:$Q$3209,"&lt;"&amp;$A2066+1)/$AH2066)))</f>
        <v/>
      </c>
      <c r="I2066" s="54">
        <f>IF($B2066=0,NA(),IF($C2066="",NA(),IF(C$8="",NA(),IF(N(C$8)=0,NA(),IF(Inputs!$C$17="Rebased to 100",$C2066/C$8*100,$C2066)))))</f>
        <v/>
      </c>
      <c r="J2066" s="54">
        <f>IF($B2066=0,NA(),IF($D2066="",NA(),IF(D$8="",NA(),IF(N(D$8)=0,NA(),IF(Inputs!$C$17="Rebased to 100",$D2066/D$8*100,$D2066)))))</f>
        <v/>
      </c>
      <c r="K2066" s="54">
        <f>IF($B2066=0,NA(),IF($E2066="",NA(),IF(E$8="",NA(),IF(N(E$8)=0,NA(),IF(Inputs!$C$17="Rebased to 100",$E2066/E$8*100,$E2066)))))</f>
        <v/>
      </c>
      <c r="L2066" s="54">
        <f>IF($B2066=0,NA(),IF($F2066="",NA(),IF(F$8="",NA(),IF(N(F$8)=0,NA(),IF(Inputs!$C$17="Rebased to 100",$F2066/F$8*100,$F2066)))))</f>
        <v/>
      </c>
      <c r="M2066" s="54">
        <f>IF($B2066=0,NA(),IF($G2066="",NA(),IF(G$8="",NA(),IF(N(G$8)=0,NA(),IF(Inputs!$C$17="Rebased to 100",$G2066/G$8*100,$G2066)))))</f>
        <v/>
      </c>
      <c r="N2066" s="54">
        <f>IF($B2066=0,NA(),IF(Inputs!$C$18&lt;&gt;"Yes",NA(),IF(COUNT(I2066,J2066,K2066,L2066,M2066)=0,NA(),MIN(I2066,J2066,K2066,L2066,M2066))))</f>
        <v/>
      </c>
      <c r="O2066" s="54">
        <f>IF($B2066=0,NA(),IF(Inputs!$B$24&lt;&gt;"Yes",NA(),Inputs!$D$24*Inputs!$C$35))</f>
        <v/>
      </c>
      <c r="P2066" s="54">
        <f>IF($B2066=0,NA(),IF(Inputs!$B$25&lt;&gt;"Yes",NA(),Inputs!$D$25*Inputs!$C$35))</f>
        <v/>
      </c>
      <c r="Q2066" s="54">
        <f>IF($B2066=0,NA(),IF(Inputs!$B$26&lt;&gt;"Yes",NA(),Inputs!$D$26*Inputs!$C$35))</f>
        <v/>
      </c>
      <c r="R2066" s="54">
        <f>IF($B2066=0,NA(),IF(Inputs!$B$27&lt;&gt;"Yes",NA(),Inputs!$D$27*Inputs!$C$35))</f>
        <v/>
      </c>
      <c r="S2066" s="54">
        <f>IF($B2066=0,NA(),IF(Inputs!$B$28&lt;&gt;"Yes",NA(),Inputs!$D$28*Inputs!$C$35))</f>
        <v/>
      </c>
      <c r="T2066" s="54">
        <f>IF($B2066=0,NA(),IF(Inputs!$B$29&lt;&gt;"Yes",NA(),Inputs!$D$29*Inputs!$C$35))</f>
        <v/>
      </c>
      <c r="AD2066">
        <f>IF($B2066=0,0,IF(Inputs!$B$6="",0,COUNTIFS(Data!$A$10:$A$3209,"&gt;="&amp;$A2066,Data!$A$10:$A$3209,"&lt;"&amp;$A2066+1)))</f>
        <v/>
      </c>
      <c r="AE2066">
        <f>IF($B2066=0,0,IF(Inputs!$B$7="",0,COUNTIFS(Data!$E$10:$E$3209,"&gt;="&amp;$A2066,Data!$E$10:$E$3209,"&lt;"&amp;$A2066+1)))</f>
        <v/>
      </c>
      <c r="AF2066">
        <f>IF($B2066=0,0,IF(Inputs!$B$8="",0,COUNTIFS(Data!$I$10:$I$3209,"&gt;="&amp;$A2066,Data!$I$10:$I$3209,"&lt;"&amp;$A2066+1)))</f>
        <v/>
      </c>
      <c r="AG2066">
        <f>IF($B2066=0,0,IF(Inputs!$B$9="",0,COUNTIFS(Data!$M$10:$M$3209,"&gt;="&amp;$A2066,Data!$M$10:$M$3209,"&lt;"&amp;$A2066+1)))</f>
        <v/>
      </c>
      <c r="AH2066">
        <f>IF($B2066=0,0,IF(Inputs!$B$10="",0,COUNTIFS(Data!$Q$10:$Q$3209,"&gt;="&amp;$A2066,Data!$Q$10:$Q$3209,"&lt;"&amp;$A2066+1)))</f>
        <v/>
      </c>
    </row>
    <row r="2067">
      <c r="A2067" s="55">
        <f>MIN(Inputs!$C$15,$A2066+IF(WEEKDAY($A2066,2)=5,3,1))</f>
        <v/>
      </c>
      <c r="B2067">
        <f>IF($A2067&gt;$A2066,1,0)</f>
        <v/>
      </c>
      <c r="C2067" s="56">
        <f>IF($B2067=0,"",IF(Inputs!$B$6="","",IF($AD2067=0,C2066,SUMIFS(Data!$B$10:$B$3209,Data!$A$10:$A$3209,"&gt;="&amp;$A2067,Data!$A$10:$A$3209,"&lt;"&amp;$A2067+1)/$AD2067)))</f>
        <v/>
      </c>
      <c r="D2067" s="56">
        <f>IF($B2067=0,"",IF(Inputs!$B$7="","",IF($AE2067=0,D2066,SUMIFS(Data!$F$10:$F$3209,Data!$E$10:$E$3209,"&gt;="&amp;$A2067,Data!$E$10:$E$3209,"&lt;"&amp;$A2067+1)/$AE2067)))</f>
        <v/>
      </c>
      <c r="E2067" s="56">
        <f>IF($B2067=0,"",IF(Inputs!$B$8="","",IF($AF2067=0,E2066,SUMIFS(Data!$J$10:$J$3209,Data!$I$10:$I$3209,"&gt;="&amp;$A2067,Data!$I$10:$I$3209,"&lt;"&amp;$A2067+1)/$AF2067)))</f>
        <v/>
      </c>
      <c r="F2067" s="56">
        <f>IF($B2067=0,"",IF(Inputs!$B$9="","",IF($AG2067=0,F2066,SUMIFS(Data!$N$10:$N$3209,Data!$M$10:$M$3209,"&gt;="&amp;$A2067,Data!$M$10:$M$3209,"&lt;"&amp;$A2067+1)/$AG2067)))</f>
        <v/>
      </c>
      <c r="G2067" s="56">
        <f>IF($B2067=0,"",IF(Inputs!$B$10="","",IF($AH2067=0,G2066,SUMIFS(Data!$R$10:$R$3209,Data!$Q$10:$Q$3209,"&gt;="&amp;$A2067,Data!$Q$10:$Q$3209,"&lt;"&amp;$A2067+1)/$AH2067)))</f>
        <v/>
      </c>
      <c r="I2067" s="54">
        <f>IF($B2067=0,NA(),IF($C2067="",NA(),IF(C$8="",NA(),IF(N(C$8)=0,NA(),IF(Inputs!$C$17="Rebased to 100",$C2067/C$8*100,$C2067)))))</f>
        <v/>
      </c>
      <c r="J2067" s="54">
        <f>IF($B2067=0,NA(),IF($D2067="",NA(),IF(D$8="",NA(),IF(N(D$8)=0,NA(),IF(Inputs!$C$17="Rebased to 100",$D2067/D$8*100,$D2067)))))</f>
        <v/>
      </c>
      <c r="K2067" s="54">
        <f>IF($B2067=0,NA(),IF($E2067="",NA(),IF(E$8="",NA(),IF(N(E$8)=0,NA(),IF(Inputs!$C$17="Rebased to 100",$E2067/E$8*100,$E2067)))))</f>
        <v/>
      </c>
      <c r="L2067" s="54">
        <f>IF($B2067=0,NA(),IF($F2067="",NA(),IF(F$8="",NA(),IF(N(F$8)=0,NA(),IF(Inputs!$C$17="Rebased to 100",$F2067/F$8*100,$F2067)))))</f>
        <v/>
      </c>
      <c r="M2067" s="54">
        <f>IF($B2067=0,NA(),IF($G2067="",NA(),IF(G$8="",NA(),IF(N(G$8)=0,NA(),IF(Inputs!$C$17="Rebased to 100",$G2067/G$8*100,$G2067)))))</f>
        <v/>
      </c>
      <c r="N2067" s="54">
        <f>IF($B2067=0,NA(),IF(Inputs!$C$18&lt;&gt;"Yes",NA(),IF(COUNT(I2067,J2067,K2067,L2067,M2067)=0,NA(),MIN(I2067,J2067,K2067,L2067,M2067))))</f>
        <v/>
      </c>
      <c r="O2067" s="54">
        <f>IF($B2067=0,NA(),IF(Inputs!$B$24&lt;&gt;"Yes",NA(),Inputs!$D$24*Inputs!$C$35))</f>
        <v/>
      </c>
      <c r="P2067" s="54">
        <f>IF($B2067=0,NA(),IF(Inputs!$B$25&lt;&gt;"Yes",NA(),Inputs!$D$25*Inputs!$C$35))</f>
        <v/>
      </c>
      <c r="Q2067" s="54">
        <f>IF($B2067=0,NA(),IF(Inputs!$B$26&lt;&gt;"Yes",NA(),Inputs!$D$26*Inputs!$C$35))</f>
        <v/>
      </c>
      <c r="R2067" s="54">
        <f>IF($B2067=0,NA(),IF(Inputs!$B$27&lt;&gt;"Yes",NA(),Inputs!$D$27*Inputs!$C$35))</f>
        <v/>
      </c>
      <c r="S2067" s="54">
        <f>IF($B2067=0,NA(),IF(Inputs!$B$28&lt;&gt;"Yes",NA(),Inputs!$D$28*Inputs!$C$35))</f>
        <v/>
      </c>
      <c r="T2067" s="54">
        <f>IF($B2067=0,NA(),IF(Inputs!$B$29&lt;&gt;"Yes",NA(),Inputs!$D$29*Inputs!$C$35))</f>
        <v/>
      </c>
      <c r="AD2067">
        <f>IF($B2067=0,0,IF(Inputs!$B$6="",0,COUNTIFS(Data!$A$10:$A$3209,"&gt;="&amp;$A2067,Data!$A$10:$A$3209,"&lt;"&amp;$A2067+1)))</f>
        <v/>
      </c>
      <c r="AE2067">
        <f>IF($B2067=0,0,IF(Inputs!$B$7="",0,COUNTIFS(Data!$E$10:$E$3209,"&gt;="&amp;$A2067,Data!$E$10:$E$3209,"&lt;"&amp;$A2067+1)))</f>
        <v/>
      </c>
      <c r="AF2067">
        <f>IF($B2067=0,0,IF(Inputs!$B$8="",0,COUNTIFS(Data!$I$10:$I$3209,"&gt;="&amp;$A2067,Data!$I$10:$I$3209,"&lt;"&amp;$A2067+1)))</f>
        <v/>
      </c>
      <c r="AG2067">
        <f>IF($B2067=0,0,IF(Inputs!$B$9="",0,COUNTIFS(Data!$M$10:$M$3209,"&gt;="&amp;$A2067,Data!$M$10:$M$3209,"&lt;"&amp;$A2067+1)))</f>
        <v/>
      </c>
      <c r="AH2067">
        <f>IF($B2067=0,0,IF(Inputs!$B$10="",0,COUNTIFS(Data!$Q$10:$Q$3209,"&gt;="&amp;$A2067,Data!$Q$10:$Q$3209,"&lt;"&amp;$A2067+1)))</f>
        <v/>
      </c>
    </row>
    <row r="2068">
      <c r="A2068" s="55">
        <f>MIN(Inputs!$C$15,$A2067+IF(WEEKDAY($A2067,2)=5,3,1))</f>
        <v/>
      </c>
      <c r="B2068">
        <f>IF($A2068&gt;$A2067,1,0)</f>
        <v/>
      </c>
      <c r="C2068" s="56">
        <f>IF($B2068=0,"",IF(Inputs!$B$6="","",IF($AD2068=0,C2067,SUMIFS(Data!$B$10:$B$3209,Data!$A$10:$A$3209,"&gt;="&amp;$A2068,Data!$A$10:$A$3209,"&lt;"&amp;$A2068+1)/$AD2068)))</f>
        <v/>
      </c>
      <c r="D2068" s="56">
        <f>IF($B2068=0,"",IF(Inputs!$B$7="","",IF($AE2068=0,D2067,SUMIFS(Data!$F$10:$F$3209,Data!$E$10:$E$3209,"&gt;="&amp;$A2068,Data!$E$10:$E$3209,"&lt;"&amp;$A2068+1)/$AE2068)))</f>
        <v/>
      </c>
      <c r="E2068" s="56">
        <f>IF($B2068=0,"",IF(Inputs!$B$8="","",IF($AF2068=0,E2067,SUMIFS(Data!$J$10:$J$3209,Data!$I$10:$I$3209,"&gt;="&amp;$A2068,Data!$I$10:$I$3209,"&lt;"&amp;$A2068+1)/$AF2068)))</f>
        <v/>
      </c>
      <c r="F2068" s="56">
        <f>IF($B2068=0,"",IF(Inputs!$B$9="","",IF($AG2068=0,F2067,SUMIFS(Data!$N$10:$N$3209,Data!$M$10:$M$3209,"&gt;="&amp;$A2068,Data!$M$10:$M$3209,"&lt;"&amp;$A2068+1)/$AG2068)))</f>
        <v/>
      </c>
      <c r="G2068" s="56">
        <f>IF($B2068=0,"",IF(Inputs!$B$10="","",IF($AH2068=0,G2067,SUMIFS(Data!$R$10:$R$3209,Data!$Q$10:$Q$3209,"&gt;="&amp;$A2068,Data!$Q$10:$Q$3209,"&lt;"&amp;$A2068+1)/$AH2068)))</f>
        <v/>
      </c>
      <c r="I2068" s="54">
        <f>IF($B2068=0,NA(),IF($C2068="",NA(),IF(C$8="",NA(),IF(N(C$8)=0,NA(),IF(Inputs!$C$17="Rebased to 100",$C2068/C$8*100,$C2068)))))</f>
        <v/>
      </c>
      <c r="J2068" s="54">
        <f>IF($B2068=0,NA(),IF($D2068="",NA(),IF(D$8="",NA(),IF(N(D$8)=0,NA(),IF(Inputs!$C$17="Rebased to 100",$D2068/D$8*100,$D2068)))))</f>
        <v/>
      </c>
      <c r="K2068" s="54">
        <f>IF($B2068=0,NA(),IF($E2068="",NA(),IF(E$8="",NA(),IF(N(E$8)=0,NA(),IF(Inputs!$C$17="Rebased to 100",$E2068/E$8*100,$E2068)))))</f>
        <v/>
      </c>
      <c r="L2068" s="54">
        <f>IF($B2068=0,NA(),IF($F2068="",NA(),IF(F$8="",NA(),IF(N(F$8)=0,NA(),IF(Inputs!$C$17="Rebased to 100",$F2068/F$8*100,$F2068)))))</f>
        <v/>
      </c>
      <c r="M2068" s="54">
        <f>IF($B2068=0,NA(),IF($G2068="",NA(),IF(G$8="",NA(),IF(N(G$8)=0,NA(),IF(Inputs!$C$17="Rebased to 100",$G2068/G$8*100,$G2068)))))</f>
        <v/>
      </c>
      <c r="N2068" s="54">
        <f>IF($B2068=0,NA(),IF(Inputs!$C$18&lt;&gt;"Yes",NA(),IF(COUNT(I2068,J2068,K2068,L2068,M2068)=0,NA(),MIN(I2068,J2068,K2068,L2068,M2068))))</f>
        <v/>
      </c>
      <c r="O2068" s="54">
        <f>IF($B2068=0,NA(),IF(Inputs!$B$24&lt;&gt;"Yes",NA(),Inputs!$D$24*Inputs!$C$35))</f>
        <v/>
      </c>
      <c r="P2068" s="54">
        <f>IF($B2068=0,NA(),IF(Inputs!$B$25&lt;&gt;"Yes",NA(),Inputs!$D$25*Inputs!$C$35))</f>
        <v/>
      </c>
      <c r="Q2068" s="54">
        <f>IF($B2068=0,NA(),IF(Inputs!$B$26&lt;&gt;"Yes",NA(),Inputs!$D$26*Inputs!$C$35))</f>
        <v/>
      </c>
      <c r="R2068" s="54">
        <f>IF($B2068=0,NA(),IF(Inputs!$B$27&lt;&gt;"Yes",NA(),Inputs!$D$27*Inputs!$C$35))</f>
        <v/>
      </c>
      <c r="S2068" s="54">
        <f>IF($B2068=0,NA(),IF(Inputs!$B$28&lt;&gt;"Yes",NA(),Inputs!$D$28*Inputs!$C$35))</f>
        <v/>
      </c>
      <c r="T2068" s="54">
        <f>IF($B2068=0,NA(),IF(Inputs!$B$29&lt;&gt;"Yes",NA(),Inputs!$D$29*Inputs!$C$35))</f>
        <v/>
      </c>
      <c r="AD2068">
        <f>IF($B2068=0,0,IF(Inputs!$B$6="",0,COUNTIFS(Data!$A$10:$A$3209,"&gt;="&amp;$A2068,Data!$A$10:$A$3209,"&lt;"&amp;$A2068+1)))</f>
        <v/>
      </c>
      <c r="AE2068">
        <f>IF($B2068=0,0,IF(Inputs!$B$7="",0,COUNTIFS(Data!$E$10:$E$3209,"&gt;="&amp;$A2068,Data!$E$10:$E$3209,"&lt;"&amp;$A2068+1)))</f>
        <v/>
      </c>
      <c r="AF2068">
        <f>IF($B2068=0,0,IF(Inputs!$B$8="",0,COUNTIFS(Data!$I$10:$I$3209,"&gt;="&amp;$A2068,Data!$I$10:$I$3209,"&lt;"&amp;$A2068+1)))</f>
        <v/>
      </c>
      <c r="AG2068">
        <f>IF($B2068=0,0,IF(Inputs!$B$9="",0,COUNTIFS(Data!$M$10:$M$3209,"&gt;="&amp;$A2068,Data!$M$10:$M$3209,"&lt;"&amp;$A2068+1)))</f>
        <v/>
      </c>
      <c r="AH2068">
        <f>IF($B2068=0,0,IF(Inputs!$B$10="",0,COUNTIFS(Data!$Q$10:$Q$3209,"&gt;="&amp;$A2068,Data!$Q$10:$Q$3209,"&lt;"&amp;$A2068+1)))</f>
        <v/>
      </c>
    </row>
    <row r="2069">
      <c r="A2069" s="55">
        <f>MIN(Inputs!$C$15,$A2068+IF(WEEKDAY($A2068,2)=5,3,1))</f>
        <v/>
      </c>
      <c r="B2069">
        <f>IF($A2069&gt;$A2068,1,0)</f>
        <v/>
      </c>
      <c r="C2069" s="56">
        <f>IF($B2069=0,"",IF(Inputs!$B$6="","",IF($AD2069=0,C2068,SUMIFS(Data!$B$10:$B$3209,Data!$A$10:$A$3209,"&gt;="&amp;$A2069,Data!$A$10:$A$3209,"&lt;"&amp;$A2069+1)/$AD2069)))</f>
        <v/>
      </c>
      <c r="D2069" s="56">
        <f>IF($B2069=0,"",IF(Inputs!$B$7="","",IF($AE2069=0,D2068,SUMIFS(Data!$F$10:$F$3209,Data!$E$10:$E$3209,"&gt;="&amp;$A2069,Data!$E$10:$E$3209,"&lt;"&amp;$A2069+1)/$AE2069)))</f>
        <v/>
      </c>
      <c r="E2069" s="56">
        <f>IF($B2069=0,"",IF(Inputs!$B$8="","",IF($AF2069=0,E2068,SUMIFS(Data!$J$10:$J$3209,Data!$I$10:$I$3209,"&gt;="&amp;$A2069,Data!$I$10:$I$3209,"&lt;"&amp;$A2069+1)/$AF2069)))</f>
        <v/>
      </c>
      <c r="F2069" s="56">
        <f>IF($B2069=0,"",IF(Inputs!$B$9="","",IF($AG2069=0,F2068,SUMIFS(Data!$N$10:$N$3209,Data!$M$10:$M$3209,"&gt;="&amp;$A2069,Data!$M$10:$M$3209,"&lt;"&amp;$A2069+1)/$AG2069)))</f>
        <v/>
      </c>
      <c r="G2069" s="56">
        <f>IF($B2069=0,"",IF(Inputs!$B$10="","",IF($AH2069=0,G2068,SUMIFS(Data!$R$10:$R$3209,Data!$Q$10:$Q$3209,"&gt;="&amp;$A2069,Data!$Q$10:$Q$3209,"&lt;"&amp;$A2069+1)/$AH2069)))</f>
        <v/>
      </c>
      <c r="I2069" s="54">
        <f>IF($B2069=0,NA(),IF($C2069="",NA(),IF(C$8="",NA(),IF(N(C$8)=0,NA(),IF(Inputs!$C$17="Rebased to 100",$C2069/C$8*100,$C2069)))))</f>
        <v/>
      </c>
      <c r="J2069" s="54">
        <f>IF($B2069=0,NA(),IF($D2069="",NA(),IF(D$8="",NA(),IF(N(D$8)=0,NA(),IF(Inputs!$C$17="Rebased to 100",$D2069/D$8*100,$D2069)))))</f>
        <v/>
      </c>
      <c r="K2069" s="54">
        <f>IF($B2069=0,NA(),IF($E2069="",NA(),IF(E$8="",NA(),IF(N(E$8)=0,NA(),IF(Inputs!$C$17="Rebased to 100",$E2069/E$8*100,$E2069)))))</f>
        <v/>
      </c>
      <c r="L2069" s="54">
        <f>IF($B2069=0,NA(),IF($F2069="",NA(),IF(F$8="",NA(),IF(N(F$8)=0,NA(),IF(Inputs!$C$17="Rebased to 100",$F2069/F$8*100,$F2069)))))</f>
        <v/>
      </c>
      <c r="M2069" s="54">
        <f>IF($B2069=0,NA(),IF($G2069="",NA(),IF(G$8="",NA(),IF(N(G$8)=0,NA(),IF(Inputs!$C$17="Rebased to 100",$G2069/G$8*100,$G2069)))))</f>
        <v/>
      </c>
      <c r="N2069" s="54">
        <f>IF($B2069=0,NA(),IF(Inputs!$C$18&lt;&gt;"Yes",NA(),IF(COUNT(I2069,J2069,K2069,L2069,M2069)=0,NA(),MIN(I2069,J2069,K2069,L2069,M2069))))</f>
        <v/>
      </c>
      <c r="O2069" s="54">
        <f>IF($B2069=0,NA(),IF(Inputs!$B$24&lt;&gt;"Yes",NA(),Inputs!$D$24*Inputs!$C$35))</f>
        <v/>
      </c>
      <c r="P2069" s="54">
        <f>IF($B2069=0,NA(),IF(Inputs!$B$25&lt;&gt;"Yes",NA(),Inputs!$D$25*Inputs!$C$35))</f>
        <v/>
      </c>
      <c r="Q2069" s="54">
        <f>IF($B2069=0,NA(),IF(Inputs!$B$26&lt;&gt;"Yes",NA(),Inputs!$D$26*Inputs!$C$35))</f>
        <v/>
      </c>
      <c r="R2069" s="54">
        <f>IF($B2069=0,NA(),IF(Inputs!$B$27&lt;&gt;"Yes",NA(),Inputs!$D$27*Inputs!$C$35))</f>
        <v/>
      </c>
      <c r="S2069" s="54">
        <f>IF($B2069=0,NA(),IF(Inputs!$B$28&lt;&gt;"Yes",NA(),Inputs!$D$28*Inputs!$C$35))</f>
        <v/>
      </c>
      <c r="T2069" s="54">
        <f>IF($B2069=0,NA(),IF(Inputs!$B$29&lt;&gt;"Yes",NA(),Inputs!$D$29*Inputs!$C$35))</f>
        <v/>
      </c>
      <c r="AD2069">
        <f>IF($B2069=0,0,IF(Inputs!$B$6="",0,COUNTIFS(Data!$A$10:$A$3209,"&gt;="&amp;$A2069,Data!$A$10:$A$3209,"&lt;"&amp;$A2069+1)))</f>
        <v/>
      </c>
      <c r="AE2069">
        <f>IF($B2069=0,0,IF(Inputs!$B$7="",0,COUNTIFS(Data!$E$10:$E$3209,"&gt;="&amp;$A2069,Data!$E$10:$E$3209,"&lt;"&amp;$A2069+1)))</f>
        <v/>
      </c>
      <c r="AF2069">
        <f>IF($B2069=0,0,IF(Inputs!$B$8="",0,COUNTIFS(Data!$I$10:$I$3209,"&gt;="&amp;$A2069,Data!$I$10:$I$3209,"&lt;"&amp;$A2069+1)))</f>
        <v/>
      </c>
      <c r="AG2069">
        <f>IF($B2069=0,0,IF(Inputs!$B$9="",0,COUNTIFS(Data!$M$10:$M$3209,"&gt;="&amp;$A2069,Data!$M$10:$M$3209,"&lt;"&amp;$A2069+1)))</f>
        <v/>
      </c>
      <c r="AH2069">
        <f>IF($B2069=0,0,IF(Inputs!$B$10="",0,COUNTIFS(Data!$Q$10:$Q$3209,"&gt;="&amp;$A2069,Data!$Q$10:$Q$3209,"&lt;"&amp;$A2069+1)))</f>
        <v/>
      </c>
    </row>
    <row r="2070">
      <c r="A2070" s="55">
        <f>MIN(Inputs!$C$15,$A2069+IF(WEEKDAY($A2069,2)=5,3,1))</f>
        <v/>
      </c>
      <c r="B2070">
        <f>IF($A2070&gt;$A2069,1,0)</f>
        <v/>
      </c>
      <c r="C2070" s="56">
        <f>IF($B2070=0,"",IF(Inputs!$B$6="","",IF($AD2070=0,C2069,SUMIFS(Data!$B$10:$B$3209,Data!$A$10:$A$3209,"&gt;="&amp;$A2070,Data!$A$10:$A$3209,"&lt;"&amp;$A2070+1)/$AD2070)))</f>
        <v/>
      </c>
      <c r="D2070" s="56">
        <f>IF($B2070=0,"",IF(Inputs!$B$7="","",IF($AE2070=0,D2069,SUMIFS(Data!$F$10:$F$3209,Data!$E$10:$E$3209,"&gt;="&amp;$A2070,Data!$E$10:$E$3209,"&lt;"&amp;$A2070+1)/$AE2070)))</f>
        <v/>
      </c>
      <c r="E2070" s="56">
        <f>IF($B2070=0,"",IF(Inputs!$B$8="","",IF($AF2070=0,E2069,SUMIFS(Data!$J$10:$J$3209,Data!$I$10:$I$3209,"&gt;="&amp;$A2070,Data!$I$10:$I$3209,"&lt;"&amp;$A2070+1)/$AF2070)))</f>
        <v/>
      </c>
      <c r="F2070" s="56">
        <f>IF($B2070=0,"",IF(Inputs!$B$9="","",IF($AG2070=0,F2069,SUMIFS(Data!$N$10:$N$3209,Data!$M$10:$M$3209,"&gt;="&amp;$A2070,Data!$M$10:$M$3209,"&lt;"&amp;$A2070+1)/$AG2070)))</f>
        <v/>
      </c>
      <c r="G2070" s="56">
        <f>IF($B2070=0,"",IF(Inputs!$B$10="","",IF($AH2070=0,G2069,SUMIFS(Data!$R$10:$R$3209,Data!$Q$10:$Q$3209,"&gt;="&amp;$A2070,Data!$Q$10:$Q$3209,"&lt;"&amp;$A2070+1)/$AH2070)))</f>
        <v/>
      </c>
      <c r="I2070" s="54">
        <f>IF($B2070=0,NA(),IF($C2070="",NA(),IF(C$8="",NA(),IF(N(C$8)=0,NA(),IF(Inputs!$C$17="Rebased to 100",$C2070/C$8*100,$C2070)))))</f>
        <v/>
      </c>
      <c r="J2070" s="54">
        <f>IF($B2070=0,NA(),IF($D2070="",NA(),IF(D$8="",NA(),IF(N(D$8)=0,NA(),IF(Inputs!$C$17="Rebased to 100",$D2070/D$8*100,$D2070)))))</f>
        <v/>
      </c>
      <c r="K2070" s="54">
        <f>IF($B2070=0,NA(),IF($E2070="",NA(),IF(E$8="",NA(),IF(N(E$8)=0,NA(),IF(Inputs!$C$17="Rebased to 100",$E2070/E$8*100,$E2070)))))</f>
        <v/>
      </c>
      <c r="L2070" s="54">
        <f>IF($B2070=0,NA(),IF($F2070="",NA(),IF(F$8="",NA(),IF(N(F$8)=0,NA(),IF(Inputs!$C$17="Rebased to 100",$F2070/F$8*100,$F2070)))))</f>
        <v/>
      </c>
      <c r="M2070" s="54">
        <f>IF($B2070=0,NA(),IF($G2070="",NA(),IF(G$8="",NA(),IF(N(G$8)=0,NA(),IF(Inputs!$C$17="Rebased to 100",$G2070/G$8*100,$G2070)))))</f>
        <v/>
      </c>
      <c r="N2070" s="54">
        <f>IF($B2070=0,NA(),IF(Inputs!$C$18&lt;&gt;"Yes",NA(),IF(COUNT(I2070,J2070,K2070,L2070,M2070)=0,NA(),MIN(I2070,J2070,K2070,L2070,M2070))))</f>
        <v/>
      </c>
      <c r="O2070" s="54">
        <f>IF($B2070=0,NA(),IF(Inputs!$B$24&lt;&gt;"Yes",NA(),Inputs!$D$24*Inputs!$C$35))</f>
        <v/>
      </c>
      <c r="P2070" s="54">
        <f>IF($B2070=0,NA(),IF(Inputs!$B$25&lt;&gt;"Yes",NA(),Inputs!$D$25*Inputs!$C$35))</f>
        <v/>
      </c>
      <c r="Q2070" s="54">
        <f>IF($B2070=0,NA(),IF(Inputs!$B$26&lt;&gt;"Yes",NA(),Inputs!$D$26*Inputs!$C$35))</f>
        <v/>
      </c>
      <c r="R2070" s="54">
        <f>IF($B2070=0,NA(),IF(Inputs!$B$27&lt;&gt;"Yes",NA(),Inputs!$D$27*Inputs!$C$35))</f>
        <v/>
      </c>
      <c r="S2070" s="54">
        <f>IF($B2070=0,NA(),IF(Inputs!$B$28&lt;&gt;"Yes",NA(),Inputs!$D$28*Inputs!$C$35))</f>
        <v/>
      </c>
      <c r="T2070" s="54">
        <f>IF($B2070=0,NA(),IF(Inputs!$B$29&lt;&gt;"Yes",NA(),Inputs!$D$29*Inputs!$C$35))</f>
        <v/>
      </c>
      <c r="AD2070">
        <f>IF($B2070=0,0,IF(Inputs!$B$6="",0,COUNTIFS(Data!$A$10:$A$3209,"&gt;="&amp;$A2070,Data!$A$10:$A$3209,"&lt;"&amp;$A2070+1)))</f>
        <v/>
      </c>
      <c r="AE2070">
        <f>IF($B2070=0,0,IF(Inputs!$B$7="",0,COUNTIFS(Data!$E$10:$E$3209,"&gt;="&amp;$A2070,Data!$E$10:$E$3209,"&lt;"&amp;$A2070+1)))</f>
        <v/>
      </c>
      <c r="AF2070">
        <f>IF($B2070=0,0,IF(Inputs!$B$8="",0,COUNTIFS(Data!$I$10:$I$3209,"&gt;="&amp;$A2070,Data!$I$10:$I$3209,"&lt;"&amp;$A2070+1)))</f>
        <v/>
      </c>
      <c r="AG2070">
        <f>IF($B2070=0,0,IF(Inputs!$B$9="",0,COUNTIFS(Data!$M$10:$M$3209,"&gt;="&amp;$A2070,Data!$M$10:$M$3209,"&lt;"&amp;$A2070+1)))</f>
        <v/>
      </c>
      <c r="AH2070">
        <f>IF($B2070=0,0,IF(Inputs!$B$10="",0,COUNTIFS(Data!$Q$10:$Q$3209,"&gt;="&amp;$A2070,Data!$Q$10:$Q$3209,"&lt;"&amp;$A2070+1)))</f>
        <v/>
      </c>
    </row>
    <row r="2071">
      <c r="A2071" s="55">
        <f>MIN(Inputs!$C$15,$A2070+IF(WEEKDAY($A2070,2)=5,3,1))</f>
        <v/>
      </c>
      <c r="B2071">
        <f>IF($A2071&gt;$A2070,1,0)</f>
        <v/>
      </c>
      <c r="C2071" s="56">
        <f>IF($B2071=0,"",IF(Inputs!$B$6="","",IF($AD2071=0,C2070,SUMIFS(Data!$B$10:$B$3209,Data!$A$10:$A$3209,"&gt;="&amp;$A2071,Data!$A$10:$A$3209,"&lt;"&amp;$A2071+1)/$AD2071)))</f>
        <v/>
      </c>
      <c r="D2071" s="56">
        <f>IF($B2071=0,"",IF(Inputs!$B$7="","",IF($AE2071=0,D2070,SUMIFS(Data!$F$10:$F$3209,Data!$E$10:$E$3209,"&gt;="&amp;$A2071,Data!$E$10:$E$3209,"&lt;"&amp;$A2071+1)/$AE2071)))</f>
        <v/>
      </c>
      <c r="E2071" s="56">
        <f>IF($B2071=0,"",IF(Inputs!$B$8="","",IF($AF2071=0,E2070,SUMIFS(Data!$J$10:$J$3209,Data!$I$10:$I$3209,"&gt;="&amp;$A2071,Data!$I$10:$I$3209,"&lt;"&amp;$A2071+1)/$AF2071)))</f>
        <v/>
      </c>
      <c r="F2071" s="56">
        <f>IF($B2071=0,"",IF(Inputs!$B$9="","",IF($AG2071=0,F2070,SUMIFS(Data!$N$10:$N$3209,Data!$M$10:$M$3209,"&gt;="&amp;$A2071,Data!$M$10:$M$3209,"&lt;"&amp;$A2071+1)/$AG2071)))</f>
        <v/>
      </c>
      <c r="G2071" s="56">
        <f>IF($B2071=0,"",IF(Inputs!$B$10="","",IF($AH2071=0,G2070,SUMIFS(Data!$R$10:$R$3209,Data!$Q$10:$Q$3209,"&gt;="&amp;$A2071,Data!$Q$10:$Q$3209,"&lt;"&amp;$A2071+1)/$AH2071)))</f>
        <v/>
      </c>
      <c r="I2071" s="54">
        <f>IF($B2071=0,NA(),IF($C2071="",NA(),IF(C$8="",NA(),IF(N(C$8)=0,NA(),IF(Inputs!$C$17="Rebased to 100",$C2071/C$8*100,$C2071)))))</f>
        <v/>
      </c>
      <c r="J2071" s="54">
        <f>IF($B2071=0,NA(),IF($D2071="",NA(),IF(D$8="",NA(),IF(N(D$8)=0,NA(),IF(Inputs!$C$17="Rebased to 100",$D2071/D$8*100,$D2071)))))</f>
        <v/>
      </c>
      <c r="K2071" s="54">
        <f>IF($B2071=0,NA(),IF($E2071="",NA(),IF(E$8="",NA(),IF(N(E$8)=0,NA(),IF(Inputs!$C$17="Rebased to 100",$E2071/E$8*100,$E2071)))))</f>
        <v/>
      </c>
      <c r="L2071" s="54">
        <f>IF($B2071=0,NA(),IF($F2071="",NA(),IF(F$8="",NA(),IF(N(F$8)=0,NA(),IF(Inputs!$C$17="Rebased to 100",$F2071/F$8*100,$F2071)))))</f>
        <v/>
      </c>
      <c r="M2071" s="54">
        <f>IF($B2071=0,NA(),IF($G2071="",NA(),IF(G$8="",NA(),IF(N(G$8)=0,NA(),IF(Inputs!$C$17="Rebased to 100",$G2071/G$8*100,$G2071)))))</f>
        <v/>
      </c>
      <c r="N2071" s="54">
        <f>IF($B2071=0,NA(),IF(Inputs!$C$18&lt;&gt;"Yes",NA(),IF(COUNT(I2071,J2071,K2071,L2071,M2071)=0,NA(),MIN(I2071,J2071,K2071,L2071,M2071))))</f>
        <v/>
      </c>
      <c r="O2071" s="54">
        <f>IF($B2071=0,NA(),IF(Inputs!$B$24&lt;&gt;"Yes",NA(),Inputs!$D$24*Inputs!$C$35))</f>
        <v/>
      </c>
      <c r="P2071" s="54">
        <f>IF($B2071=0,NA(),IF(Inputs!$B$25&lt;&gt;"Yes",NA(),Inputs!$D$25*Inputs!$C$35))</f>
        <v/>
      </c>
      <c r="Q2071" s="54">
        <f>IF($B2071=0,NA(),IF(Inputs!$B$26&lt;&gt;"Yes",NA(),Inputs!$D$26*Inputs!$C$35))</f>
        <v/>
      </c>
      <c r="R2071" s="54">
        <f>IF($B2071=0,NA(),IF(Inputs!$B$27&lt;&gt;"Yes",NA(),Inputs!$D$27*Inputs!$C$35))</f>
        <v/>
      </c>
      <c r="S2071" s="54">
        <f>IF($B2071=0,NA(),IF(Inputs!$B$28&lt;&gt;"Yes",NA(),Inputs!$D$28*Inputs!$C$35))</f>
        <v/>
      </c>
      <c r="T2071" s="54">
        <f>IF($B2071=0,NA(),IF(Inputs!$B$29&lt;&gt;"Yes",NA(),Inputs!$D$29*Inputs!$C$35))</f>
        <v/>
      </c>
      <c r="AD2071">
        <f>IF($B2071=0,0,IF(Inputs!$B$6="",0,COUNTIFS(Data!$A$10:$A$3209,"&gt;="&amp;$A2071,Data!$A$10:$A$3209,"&lt;"&amp;$A2071+1)))</f>
        <v/>
      </c>
      <c r="AE2071">
        <f>IF($B2071=0,0,IF(Inputs!$B$7="",0,COUNTIFS(Data!$E$10:$E$3209,"&gt;="&amp;$A2071,Data!$E$10:$E$3209,"&lt;"&amp;$A2071+1)))</f>
        <v/>
      </c>
      <c r="AF2071">
        <f>IF($B2071=0,0,IF(Inputs!$B$8="",0,COUNTIFS(Data!$I$10:$I$3209,"&gt;="&amp;$A2071,Data!$I$10:$I$3209,"&lt;"&amp;$A2071+1)))</f>
        <v/>
      </c>
      <c r="AG2071">
        <f>IF($B2071=0,0,IF(Inputs!$B$9="",0,COUNTIFS(Data!$M$10:$M$3209,"&gt;="&amp;$A2071,Data!$M$10:$M$3209,"&lt;"&amp;$A2071+1)))</f>
        <v/>
      </c>
      <c r="AH2071">
        <f>IF($B2071=0,0,IF(Inputs!$B$10="",0,COUNTIFS(Data!$Q$10:$Q$3209,"&gt;="&amp;$A2071,Data!$Q$10:$Q$3209,"&lt;"&amp;$A2071+1)))</f>
        <v/>
      </c>
    </row>
    <row r="2072">
      <c r="A2072" s="55">
        <f>MIN(Inputs!$C$15,$A2071+IF(WEEKDAY($A2071,2)=5,3,1))</f>
        <v/>
      </c>
      <c r="B2072">
        <f>IF($A2072&gt;$A2071,1,0)</f>
        <v/>
      </c>
      <c r="C2072" s="56">
        <f>IF($B2072=0,"",IF(Inputs!$B$6="","",IF($AD2072=0,C2071,SUMIFS(Data!$B$10:$B$3209,Data!$A$10:$A$3209,"&gt;="&amp;$A2072,Data!$A$10:$A$3209,"&lt;"&amp;$A2072+1)/$AD2072)))</f>
        <v/>
      </c>
      <c r="D2072" s="56">
        <f>IF($B2072=0,"",IF(Inputs!$B$7="","",IF($AE2072=0,D2071,SUMIFS(Data!$F$10:$F$3209,Data!$E$10:$E$3209,"&gt;="&amp;$A2072,Data!$E$10:$E$3209,"&lt;"&amp;$A2072+1)/$AE2072)))</f>
        <v/>
      </c>
      <c r="E2072" s="56">
        <f>IF($B2072=0,"",IF(Inputs!$B$8="","",IF($AF2072=0,E2071,SUMIFS(Data!$J$10:$J$3209,Data!$I$10:$I$3209,"&gt;="&amp;$A2072,Data!$I$10:$I$3209,"&lt;"&amp;$A2072+1)/$AF2072)))</f>
        <v/>
      </c>
      <c r="F2072" s="56">
        <f>IF($B2072=0,"",IF(Inputs!$B$9="","",IF($AG2072=0,F2071,SUMIFS(Data!$N$10:$N$3209,Data!$M$10:$M$3209,"&gt;="&amp;$A2072,Data!$M$10:$M$3209,"&lt;"&amp;$A2072+1)/$AG2072)))</f>
        <v/>
      </c>
      <c r="G2072" s="56">
        <f>IF($B2072=0,"",IF(Inputs!$B$10="","",IF($AH2072=0,G2071,SUMIFS(Data!$R$10:$R$3209,Data!$Q$10:$Q$3209,"&gt;="&amp;$A2072,Data!$Q$10:$Q$3209,"&lt;"&amp;$A2072+1)/$AH2072)))</f>
        <v/>
      </c>
      <c r="I2072" s="54">
        <f>IF($B2072=0,NA(),IF($C2072="",NA(),IF(C$8="",NA(),IF(N(C$8)=0,NA(),IF(Inputs!$C$17="Rebased to 100",$C2072/C$8*100,$C2072)))))</f>
        <v/>
      </c>
      <c r="J2072" s="54">
        <f>IF($B2072=0,NA(),IF($D2072="",NA(),IF(D$8="",NA(),IF(N(D$8)=0,NA(),IF(Inputs!$C$17="Rebased to 100",$D2072/D$8*100,$D2072)))))</f>
        <v/>
      </c>
      <c r="K2072" s="54">
        <f>IF($B2072=0,NA(),IF($E2072="",NA(),IF(E$8="",NA(),IF(N(E$8)=0,NA(),IF(Inputs!$C$17="Rebased to 100",$E2072/E$8*100,$E2072)))))</f>
        <v/>
      </c>
      <c r="L2072" s="54">
        <f>IF($B2072=0,NA(),IF($F2072="",NA(),IF(F$8="",NA(),IF(N(F$8)=0,NA(),IF(Inputs!$C$17="Rebased to 100",$F2072/F$8*100,$F2072)))))</f>
        <v/>
      </c>
      <c r="M2072" s="54">
        <f>IF($B2072=0,NA(),IF($G2072="",NA(),IF(G$8="",NA(),IF(N(G$8)=0,NA(),IF(Inputs!$C$17="Rebased to 100",$G2072/G$8*100,$G2072)))))</f>
        <v/>
      </c>
      <c r="N2072" s="54">
        <f>IF($B2072=0,NA(),IF(Inputs!$C$18&lt;&gt;"Yes",NA(),IF(COUNT(I2072,J2072,K2072,L2072,M2072)=0,NA(),MIN(I2072,J2072,K2072,L2072,M2072))))</f>
        <v/>
      </c>
      <c r="O2072" s="54">
        <f>IF($B2072=0,NA(),IF(Inputs!$B$24&lt;&gt;"Yes",NA(),Inputs!$D$24*Inputs!$C$35))</f>
        <v/>
      </c>
      <c r="P2072" s="54">
        <f>IF($B2072=0,NA(),IF(Inputs!$B$25&lt;&gt;"Yes",NA(),Inputs!$D$25*Inputs!$C$35))</f>
        <v/>
      </c>
      <c r="Q2072" s="54">
        <f>IF($B2072=0,NA(),IF(Inputs!$B$26&lt;&gt;"Yes",NA(),Inputs!$D$26*Inputs!$C$35))</f>
        <v/>
      </c>
      <c r="R2072" s="54">
        <f>IF($B2072=0,NA(),IF(Inputs!$B$27&lt;&gt;"Yes",NA(),Inputs!$D$27*Inputs!$C$35))</f>
        <v/>
      </c>
      <c r="S2072" s="54">
        <f>IF($B2072=0,NA(),IF(Inputs!$B$28&lt;&gt;"Yes",NA(),Inputs!$D$28*Inputs!$C$35))</f>
        <v/>
      </c>
      <c r="T2072" s="54">
        <f>IF($B2072=0,NA(),IF(Inputs!$B$29&lt;&gt;"Yes",NA(),Inputs!$D$29*Inputs!$C$35))</f>
        <v/>
      </c>
      <c r="AD2072">
        <f>IF($B2072=0,0,IF(Inputs!$B$6="",0,COUNTIFS(Data!$A$10:$A$3209,"&gt;="&amp;$A2072,Data!$A$10:$A$3209,"&lt;"&amp;$A2072+1)))</f>
        <v/>
      </c>
      <c r="AE2072">
        <f>IF($B2072=0,0,IF(Inputs!$B$7="",0,COUNTIFS(Data!$E$10:$E$3209,"&gt;="&amp;$A2072,Data!$E$10:$E$3209,"&lt;"&amp;$A2072+1)))</f>
        <v/>
      </c>
      <c r="AF2072">
        <f>IF($B2072=0,0,IF(Inputs!$B$8="",0,COUNTIFS(Data!$I$10:$I$3209,"&gt;="&amp;$A2072,Data!$I$10:$I$3209,"&lt;"&amp;$A2072+1)))</f>
        <v/>
      </c>
      <c r="AG2072">
        <f>IF($B2072=0,0,IF(Inputs!$B$9="",0,COUNTIFS(Data!$M$10:$M$3209,"&gt;="&amp;$A2072,Data!$M$10:$M$3209,"&lt;"&amp;$A2072+1)))</f>
        <v/>
      </c>
      <c r="AH2072">
        <f>IF($B2072=0,0,IF(Inputs!$B$10="",0,COUNTIFS(Data!$Q$10:$Q$3209,"&gt;="&amp;$A2072,Data!$Q$10:$Q$3209,"&lt;"&amp;$A2072+1)))</f>
        <v/>
      </c>
    </row>
    <row r="2073">
      <c r="A2073" s="55">
        <f>MIN(Inputs!$C$15,$A2072+IF(WEEKDAY($A2072,2)=5,3,1))</f>
        <v/>
      </c>
      <c r="B2073">
        <f>IF($A2073&gt;$A2072,1,0)</f>
        <v/>
      </c>
      <c r="C2073" s="56">
        <f>IF($B2073=0,"",IF(Inputs!$B$6="","",IF($AD2073=0,C2072,SUMIFS(Data!$B$10:$B$3209,Data!$A$10:$A$3209,"&gt;="&amp;$A2073,Data!$A$10:$A$3209,"&lt;"&amp;$A2073+1)/$AD2073)))</f>
        <v/>
      </c>
      <c r="D2073" s="56">
        <f>IF($B2073=0,"",IF(Inputs!$B$7="","",IF($AE2073=0,D2072,SUMIFS(Data!$F$10:$F$3209,Data!$E$10:$E$3209,"&gt;="&amp;$A2073,Data!$E$10:$E$3209,"&lt;"&amp;$A2073+1)/$AE2073)))</f>
        <v/>
      </c>
      <c r="E2073" s="56">
        <f>IF($B2073=0,"",IF(Inputs!$B$8="","",IF($AF2073=0,E2072,SUMIFS(Data!$J$10:$J$3209,Data!$I$10:$I$3209,"&gt;="&amp;$A2073,Data!$I$10:$I$3209,"&lt;"&amp;$A2073+1)/$AF2073)))</f>
        <v/>
      </c>
      <c r="F2073" s="56">
        <f>IF($B2073=0,"",IF(Inputs!$B$9="","",IF($AG2073=0,F2072,SUMIFS(Data!$N$10:$N$3209,Data!$M$10:$M$3209,"&gt;="&amp;$A2073,Data!$M$10:$M$3209,"&lt;"&amp;$A2073+1)/$AG2073)))</f>
        <v/>
      </c>
      <c r="G2073" s="56">
        <f>IF($B2073=0,"",IF(Inputs!$B$10="","",IF($AH2073=0,G2072,SUMIFS(Data!$R$10:$R$3209,Data!$Q$10:$Q$3209,"&gt;="&amp;$A2073,Data!$Q$10:$Q$3209,"&lt;"&amp;$A2073+1)/$AH2073)))</f>
        <v/>
      </c>
      <c r="I2073" s="54">
        <f>IF($B2073=0,NA(),IF($C2073="",NA(),IF(C$8="",NA(),IF(N(C$8)=0,NA(),IF(Inputs!$C$17="Rebased to 100",$C2073/C$8*100,$C2073)))))</f>
        <v/>
      </c>
      <c r="J2073" s="54">
        <f>IF($B2073=0,NA(),IF($D2073="",NA(),IF(D$8="",NA(),IF(N(D$8)=0,NA(),IF(Inputs!$C$17="Rebased to 100",$D2073/D$8*100,$D2073)))))</f>
        <v/>
      </c>
      <c r="K2073" s="54">
        <f>IF($B2073=0,NA(),IF($E2073="",NA(),IF(E$8="",NA(),IF(N(E$8)=0,NA(),IF(Inputs!$C$17="Rebased to 100",$E2073/E$8*100,$E2073)))))</f>
        <v/>
      </c>
      <c r="L2073" s="54">
        <f>IF($B2073=0,NA(),IF($F2073="",NA(),IF(F$8="",NA(),IF(N(F$8)=0,NA(),IF(Inputs!$C$17="Rebased to 100",$F2073/F$8*100,$F2073)))))</f>
        <v/>
      </c>
      <c r="M2073" s="54">
        <f>IF($B2073=0,NA(),IF($G2073="",NA(),IF(G$8="",NA(),IF(N(G$8)=0,NA(),IF(Inputs!$C$17="Rebased to 100",$G2073/G$8*100,$G2073)))))</f>
        <v/>
      </c>
      <c r="N2073" s="54">
        <f>IF($B2073=0,NA(),IF(Inputs!$C$18&lt;&gt;"Yes",NA(),IF(COUNT(I2073,J2073,K2073,L2073,M2073)=0,NA(),MIN(I2073,J2073,K2073,L2073,M2073))))</f>
        <v/>
      </c>
      <c r="O2073" s="54">
        <f>IF($B2073=0,NA(),IF(Inputs!$B$24&lt;&gt;"Yes",NA(),Inputs!$D$24*Inputs!$C$35))</f>
        <v/>
      </c>
      <c r="P2073" s="54">
        <f>IF($B2073=0,NA(),IF(Inputs!$B$25&lt;&gt;"Yes",NA(),Inputs!$D$25*Inputs!$C$35))</f>
        <v/>
      </c>
      <c r="Q2073" s="54">
        <f>IF($B2073=0,NA(),IF(Inputs!$B$26&lt;&gt;"Yes",NA(),Inputs!$D$26*Inputs!$C$35))</f>
        <v/>
      </c>
      <c r="R2073" s="54">
        <f>IF($B2073=0,NA(),IF(Inputs!$B$27&lt;&gt;"Yes",NA(),Inputs!$D$27*Inputs!$C$35))</f>
        <v/>
      </c>
      <c r="S2073" s="54">
        <f>IF($B2073=0,NA(),IF(Inputs!$B$28&lt;&gt;"Yes",NA(),Inputs!$D$28*Inputs!$C$35))</f>
        <v/>
      </c>
      <c r="T2073" s="54">
        <f>IF($B2073=0,NA(),IF(Inputs!$B$29&lt;&gt;"Yes",NA(),Inputs!$D$29*Inputs!$C$35))</f>
        <v/>
      </c>
      <c r="AD2073">
        <f>IF($B2073=0,0,IF(Inputs!$B$6="",0,COUNTIFS(Data!$A$10:$A$3209,"&gt;="&amp;$A2073,Data!$A$10:$A$3209,"&lt;"&amp;$A2073+1)))</f>
        <v/>
      </c>
      <c r="AE2073">
        <f>IF($B2073=0,0,IF(Inputs!$B$7="",0,COUNTIFS(Data!$E$10:$E$3209,"&gt;="&amp;$A2073,Data!$E$10:$E$3209,"&lt;"&amp;$A2073+1)))</f>
        <v/>
      </c>
      <c r="AF2073">
        <f>IF($B2073=0,0,IF(Inputs!$B$8="",0,COUNTIFS(Data!$I$10:$I$3209,"&gt;="&amp;$A2073,Data!$I$10:$I$3209,"&lt;"&amp;$A2073+1)))</f>
        <v/>
      </c>
      <c r="AG2073">
        <f>IF($B2073=0,0,IF(Inputs!$B$9="",0,COUNTIFS(Data!$M$10:$M$3209,"&gt;="&amp;$A2073,Data!$M$10:$M$3209,"&lt;"&amp;$A2073+1)))</f>
        <v/>
      </c>
      <c r="AH2073">
        <f>IF($B2073=0,0,IF(Inputs!$B$10="",0,COUNTIFS(Data!$Q$10:$Q$3209,"&gt;="&amp;$A2073,Data!$Q$10:$Q$3209,"&lt;"&amp;$A2073+1)))</f>
        <v/>
      </c>
    </row>
    <row r="2074">
      <c r="A2074" s="55">
        <f>MIN(Inputs!$C$15,$A2073+IF(WEEKDAY($A2073,2)=5,3,1))</f>
        <v/>
      </c>
      <c r="B2074">
        <f>IF($A2074&gt;$A2073,1,0)</f>
        <v/>
      </c>
      <c r="C2074" s="56">
        <f>IF($B2074=0,"",IF(Inputs!$B$6="","",IF($AD2074=0,C2073,SUMIFS(Data!$B$10:$B$3209,Data!$A$10:$A$3209,"&gt;="&amp;$A2074,Data!$A$10:$A$3209,"&lt;"&amp;$A2074+1)/$AD2074)))</f>
        <v/>
      </c>
      <c r="D2074" s="56">
        <f>IF($B2074=0,"",IF(Inputs!$B$7="","",IF($AE2074=0,D2073,SUMIFS(Data!$F$10:$F$3209,Data!$E$10:$E$3209,"&gt;="&amp;$A2074,Data!$E$10:$E$3209,"&lt;"&amp;$A2074+1)/$AE2074)))</f>
        <v/>
      </c>
      <c r="E2074" s="56">
        <f>IF($B2074=0,"",IF(Inputs!$B$8="","",IF($AF2074=0,E2073,SUMIFS(Data!$J$10:$J$3209,Data!$I$10:$I$3209,"&gt;="&amp;$A2074,Data!$I$10:$I$3209,"&lt;"&amp;$A2074+1)/$AF2074)))</f>
        <v/>
      </c>
      <c r="F2074" s="56">
        <f>IF($B2074=0,"",IF(Inputs!$B$9="","",IF($AG2074=0,F2073,SUMIFS(Data!$N$10:$N$3209,Data!$M$10:$M$3209,"&gt;="&amp;$A2074,Data!$M$10:$M$3209,"&lt;"&amp;$A2074+1)/$AG2074)))</f>
        <v/>
      </c>
      <c r="G2074" s="56">
        <f>IF($B2074=0,"",IF(Inputs!$B$10="","",IF($AH2074=0,G2073,SUMIFS(Data!$R$10:$R$3209,Data!$Q$10:$Q$3209,"&gt;="&amp;$A2074,Data!$Q$10:$Q$3209,"&lt;"&amp;$A2074+1)/$AH2074)))</f>
        <v/>
      </c>
      <c r="I2074" s="54">
        <f>IF($B2074=0,NA(),IF($C2074="",NA(),IF(C$8="",NA(),IF(N(C$8)=0,NA(),IF(Inputs!$C$17="Rebased to 100",$C2074/C$8*100,$C2074)))))</f>
        <v/>
      </c>
      <c r="J2074" s="54">
        <f>IF($B2074=0,NA(),IF($D2074="",NA(),IF(D$8="",NA(),IF(N(D$8)=0,NA(),IF(Inputs!$C$17="Rebased to 100",$D2074/D$8*100,$D2074)))))</f>
        <v/>
      </c>
      <c r="K2074" s="54">
        <f>IF($B2074=0,NA(),IF($E2074="",NA(),IF(E$8="",NA(),IF(N(E$8)=0,NA(),IF(Inputs!$C$17="Rebased to 100",$E2074/E$8*100,$E2074)))))</f>
        <v/>
      </c>
      <c r="L2074" s="54">
        <f>IF($B2074=0,NA(),IF($F2074="",NA(),IF(F$8="",NA(),IF(N(F$8)=0,NA(),IF(Inputs!$C$17="Rebased to 100",$F2074/F$8*100,$F2074)))))</f>
        <v/>
      </c>
      <c r="M2074" s="54">
        <f>IF($B2074=0,NA(),IF($G2074="",NA(),IF(G$8="",NA(),IF(N(G$8)=0,NA(),IF(Inputs!$C$17="Rebased to 100",$G2074/G$8*100,$G2074)))))</f>
        <v/>
      </c>
      <c r="N2074" s="54">
        <f>IF($B2074=0,NA(),IF(Inputs!$C$18&lt;&gt;"Yes",NA(),IF(COUNT(I2074,J2074,K2074,L2074,M2074)=0,NA(),MIN(I2074,J2074,K2074,L2074,M2074))))</f>
        <v/>
      </c>
      <c r="O2074" s="54">
        <f>IF($B2074=0,NA(),IF(Inputs!$B$24&lt;&gt;"Yes",NA(),Inputs!$D$24*Inputs!$C$35))</f>
        <v/>
      </c>
      <c r="P2074" s="54">
        <f>IF($B2074=0,NA(),IF(Inputs!$B$25&lt;&gt;"Yes",NA(),Inputs!$D$25*Inputs!$C$35))</f>
        <v/>
      </c>
      <c r="Q2074" s="54">
        <f>IF($B2074=0,NA(),IF(Inputs!$B$26&lt;&gt;"Yes",NA(),Inputs!$D$26*Inputs!$C$35))</f>
        <v/>
      </c>
      <c r="R2074" s="54">
        <f>IF($B2074=0,NA(),IF(Inputs!$B$27&lt;&gt;"Yes",NA(),Inputs!$D$27*Inputs!$C$35))</f>
        <v/>
      </c>
      <c r="S2074" s="54">
        <f>IF($B2074=0,NA(),IF(Inputs!$B$28&lt;&gt;"Yes",NA(),Inputs!$D$28*Inputs!$C$35))</f>
        <v/>
      </c>
      <c r="T2074" s="54">
        <f>IF($B2074=0,NA(),IF(Inputs!$B$29&lt;&gt;"Yes",NA(),Inputs!$D$29*Inputs!$C$35))</f>
        <v/>
      </c>
      <c r="AD2074">
        <f>IF($B2074=0,0,IF(Inputs!$B$6="",0,COUNTIFS(Data!$A$10:$A$3209,"&gt;="&amp;$A2074,Data!$A$10:$A$3209,"&lt;"&amp;$A2074+1)))</f>
        <v/>
      </c>
      <c r="AE2074">
        <f>IF($B2074=0,0,IF(Inputs!$B$7="",0,COUNTIFS(Data!$E$10:$E$3209,"&gt;="&amp;$A2074,Data!$E$10:$E$3209,"&lt;"&amp;$A2074+1)))</f>
        <v/>
      </c>
      <c r="AF2074">
        <f>IF($B2074=0,0,IF(Inputs!$B$8="",0,COUNTIFS(Data!$I$10:$I$3209,"&gt;="&amp;$A2074,Data!$I$10:$I$3209,"&lt;"&amp;$A2074+1)))</f>
        <v/>
      </c>
      <c r="AG2074">
        <f>IF($B2074=0,0,IF(Inputs!$B$9="",0,COUNTIFS(Data!$M$10:$M$3209,"&gt;="&amp;$A2074,Data!$M$10:$M$3209,"&lt;"&amp;$A2074+1)))</f>
        <v/>
      </c>
      <c r="AH2074">
        <f>IF($B2074=0,0,IF(Inputs!$B$10="",0,COUNTIFS(Data!$Q$10:$Q$3209,"&gt;="&amp;$A2074,Data!$Q$10:$Q$3209,"&lt;"&amp;$A2074+1)))</f>
        <v/>
      </c>
    </row>
    <row r="2075">
      <c r="A2075" s="55">
        <f>MIN(Inputs!$C$15,$A2074+IF(WEEKDAY($A2074,2)=5,3,1))</f>
        <v/>
      </c>
      <c r="B2075">
        <f>IF($A2075&gt;$A2074,1,0)</f>
        <v/>
      </c>
      <c r="C2075" s="56">
        <f>IF($B2075=0,"",IF(Inputs!$B$6="","",IF($AD2075=0,C2074,SUMIFS(Data!$B$10:$B$3209,Data!$A$10:$A$3209,"&gt;="&amp;$A2075,Data!$A$10:$A$3209,"&lt;"&amp;$A2075+1)/$AD2075)))</f>
        <v/>
      </c>
      <c r="D2075" s="56">
        <f>IF($B2075=0,"",IF(Inputs!$B$7="","",IF($AE2075=0,D2074,SUMIFS(Data!$F$10:$F$3209,Data!$E$10:$E$3209,"&gt;="&amp;$A2075,Data!$E$10:$E$3209,"&lt;"&amp;$A2075+1)/$AE2075)))</f>
        <v/>
      </c>
      <c r="E2075" s="56">
        <f>IF($B2075=0,"",IF(Inputs!$B$8="","",IF($AF2075=0,E2074,SUMIFS(Data!$J$10:$J$3209,Data!$I$10:$I$3209,"&gt;="&amp;$A2075,Data!$I$10:$I$3209,"&lt;"&amp;$A2075+1)/$AF2075)))</f>
        <v/>
      </c>
      <c r="F2075" s="56">
        <f>IF($B2075=0,"",IF(Inputs!$B$9="","",IF($AG2075=0,F2074,SUMIFS(Data!$N$10:$N$3209,Data!$M$10:$M$3209,"&gt;="&amp;$A2075,Data!$M$10:$M$3209,"&lt;"&amp;$A2075+1)/$AG2075)))</f>
        <v/>
      </c>
      <c r="G2075" s="56">
        <f>IF($B2075=0,"",IF(Inputs!$B$10="","",IF($AH2075=0,G2074,SUMIFS(Data!$R$10:$R$3209,Data!$Q$10:$Q$3209,"&gt;="&amp;$A2075,Data!$Q$10:$Q$3209,"&lt;"&amp;$A2075+1)/$AH2075)))</f>
        <v/>
      </c>
      <c r="I2075" s="54">
        <f>IF($B2075=0,NA(),IF($C2075="",NA(),IF(C$8="",NA(),IF(N(C$8)=0,NA(),IF(Inputs!$C$17="Rebased to 100",$C2075/C$8*100,$C2075)))))</f>
        <v/>
      </c>
      <c r="J2075" s="54">
        <f>IF($B2075=0,NA(),IF($D2075="",NA(),IF(D$8="",NA(),IF(N(D$8)=0,NA(),IF(Inputs!$C$17="Rebased to 100",$D2075/D$8*100,$D2075)))))</f>
        <v/>
      </c>
      <c r="K2075" s="54">
        <f>IF($B2075=0,NA(),IF($E2075="",NA(),IF(E$8="",NA(),IF(N(E$8)=0,NA(),IF(Inputs!$C$17="Rebased to 100",$E2075/E$8*100,$E2075)))))</f>
        <v/>
      </c>
      <c r="L2075" s="54">
        <f>IF($B2075=0,NA(),IF($F2075="",NA(),IF(F$8="",NA(),IF(N(F$8)=0,NA(),IF(Inputs!$C$17="Rebased to 100",$F2075/F$8*100,$F2075)))))</f>
        <v/>
      </c>
      <c r="M2075" s="54">
        <f>IF($B2075=0,NA(),IF($G2075="",NA(),IF(G$8="",NA(),IF(N(G$8)=0,NA(),IF(Inputs!$C$17="Rebased to 100",$G2075/G$8*100,$G2075)))))</f>
        <v/>
      </c>
      <c r="N2075" s="54">
        <f>IF($B2075=0,NA(),IF(Inputs!$C$18&lt;&gt;"Yes",NA(),IF(COUNT(I2075,J2075,K2075,L2075,M2075)=0,NA(),MIN(I2075,J2075,K2075,L2075,M2075))))</f>
        <v/>
      </c>
      <c r="O2075" s="54">
        <f>IF($B2075=0,NA(),IF(Inputs!$B$24&lt;&gt;"Yes",NA(),Inputs!$D$24*Inputs!$C$35))</f>
        <v/>
      </c>
      <c r="P2075" s="54">
        <f>IF($B2075=0,NA(),IF(Inputs!$B$25&lt;&gt;"Yes",NA(),Inputs!$D$25*Inputs!$C$35))</f>
        <v/>
      </c>
      <c r="Q2075" s="54">
        <f>IF($B2075=0,NA(),IF(Inputs!$B$26&lt;&gt;"Yes",NA(),Inputs!$D$26*Inputs!$C$35))</f>
        <v/>
      </c>
      <c r="R2075" s="54">
        <f>IF($B2075=0,NA(),IF(Inputs!$B$27&lt;&gt;"Yes",NA(),Inputs!$D$27*Inputs!$C$35))</f>
        <v/>
      </c>
      <c r="S2075" s="54">
        <f>IF($B2075=0,NA(),IF(Inputs!$B$28&lt;&gt;"Yes",NA(),Inputs!$D$28*Inputs!$C$35))</f>
        <v/>
      </c>
      <c r="T2075" s="54">
        <f>IF($B2075=0,NA(),IF(Inputs!$B$29&lt;&gt;"Yes",NA(),Inputs!$D$29*Inputs!$C$35))</f>
        <v/>
      </c>
      <c r="AD2075">
        <f>IF($B2075=0,0,IF(Inputs!$B$6="",0,COUNTIFS(Data!$A$10:$A$3209,"&gt;="&amp;$A2075,Data!$A$10:$A$3209,"&lt;"&amp;$A2075+1)))</f>
        <v/>
      </c>
      <c r="AE2075">
        <f>IF($B2075=0,0,IF(Inputs!$B$7="",0,COUNTIFS(Data!$E$10:$E$3209,"&gt;="&amp;$A2075,Data!$E$10:$E$3209,"&lt;"&amp;$A2075+1)))</f>
        <v/>
      </c>
      <c r="AF2075">
        <f>IF($B2075=0,0,IF(Inputs!$B$8="",0,COUNTIFS(Data!$I$10:$I$3209,"&gt;="&amp;$A2075,Data!$I$10:$I$3209,"&lt;"&amp;$A2075+1)))</f>
        <v/>
      </c>
      <c r="AG2075">
        <f>IF($B2075=0,0,IF(Inputs!$B$9="",0,COUNTIFS(Data!$M$10:$M$3209,"&gt;="&amp;$A2075,Data!$M$10:$M$3209,"&lt;"&amp;$A2075+1)))</f>
        <v/>
      </c>
      <c r="AH2075">
        <f>IF($B2075=0,0,IF(Inputs!$B$10="",0,COUNTIFS(Data!$Q$10:$Q$3209,"&gt;="&amp;$A2075,Data!$Q$10:$Q$3209,"&lt;"&amp;$A2075+1)))</f>
        <v/>
      </c>
    </row>
    <row r="2076">
      <c r="A2076" s="55">
        <f>MIN(Inputs!$C$15,$A2075+IF(WEEKDAY($A2075,2)=5,3,1))</f>
        <v/>
      </c>
      <c r="B2076">
        <f>IF($A2076&gt;$A2075,1,0)</f>
        <v/>
      </c>
      <c r="C2076" s="56">
        <f>IF($B2076=0,"",IF(Inputs!$B$6="","",IF($AD2076=0,C2075,SUMIFS(Data!$B$10:$B$3209,Data!$A$10:$A$3209,"&gt;="&amp;$A2076,Data!$A$10:$A$3209,"&lt;"&amp;$A2076+1)/$AD2076)))</f>
        <v/>
      </c>
      <c r="D2076" s="56">
        <f>IF($B2076=0,"",IF(Inputs!$B$7="","",IF($AE2076=0,D2075,SUMIFS(Data!$F$10:$F$3209,Data!$E$10:$E$3209,"&gt;="&amp;$A2076,Data!$E$10:$E$3209,"&lt;"&amp;$A2076+1)/$AE2076)))</f>
        <v/>
      </c>
      <c r="E2076" s="56">
        <f>IF($B2076=0,"",IF(Inputs!$B$8="","",IF($AF2076=0,E2075,SUMIFS(Data!$J$10:$J$3209,Data!$I$10:$I$3209,"&gt;="&amp;$A2076,Data!$I$10:$I$3209,"&lt;"&amp;$A2076+1)/$AF2076)))</f>
        <v/>
      </c>
      <c r="F2076" s="56">
        <f>IF($B2076=0,"",IF(Inputs!$B$9="","",IF($AG2076=0,F2075,SUMIFS(Data!$N$10:$N$3209,Data!$M$10:$M$3209,"&gt;="&amp;$A2076,Data!$M$10:$M$3209,"&lt;"&amp;$A2076+1)/$AG2076)))</f>
        <v/>
      </c>
      <c r="G2076" s="56">
        <f>IF($B2076=0,"",IF(Inputs!$B$10="","",IF($AH2076=0,G2075,SUMIFS(Data!$R$10:$R$3209,Data!$Q$10:$Q$3209,"&gt;="&amp;$A2076,Data!$Q$10:$Q$3209,"&lt;"&amp;$A2076+1)/$AH2076)))</f>
        <v/>
      </c>
      <c r="I2076" s="54">
        <f>IF($B2076=0,NA(),IF($C2076="",NA(),IF(C$8="",NA(),IF(N(C$8)=0,NA(),IF(Inputs!$C$17="Rebased to 100",$C2076/C$8*100,$C2076)))))</f>
        <v/>
      </c>
      <c r="J2076" s="54">
        <f>IF($B2076=0,NA(),IF($D2076="",NA(),IF(D$8="",NA(),IF(N(D$8)=0,NA(),IF(Inputs!$C$17="Rebased to 100",$D2076/D$8*100,$D2076)))))</f>
        <v/>
      </c>
      <c r="K2076" s="54">
        <f>IF($B2076=0,NA(),IF($E2076="",NA(),IF(E$8="",NA(),IF(N(E$8)=0,NA(),IF(Inputs!$C$17="Rebased to 100",$E2076/E$8*100,$E2076)))))</f>
        <v/>
      </c>
      <c r="L2076" s="54">
        <f>IF($B2076=0,NA(),IF($F2076="",NA(),IF(F$8="",NA(),IF(N(F$8)=0,NA(),IF(Inputs!$C$17="Rebased to 100",$F2076/F$8*100,$F2076)))))</f>
        <v/>
      </c>
      <c r="M2076" s="54">
        <f>IF($B2076=0,NA(),IF($G2076="",NA(),IF(G$8="",NA(),IF(N(G$8)=0,NA(),IF(Inputs!$C$17="Rebased to 100",$G2076/G$8*100,$G2076)))))</f>
        <v/>
      </c>
      <c r="N2076" s="54">
        <f>IF($B2076=0,NA(),IF(Inputs!$C$18&lt;&gt;"Yes",NA(),IF(COUNT(I2076,J2076,K2076,L2076,M2076)=0,NA(),MIN(I2076,J2076,K2076,L2076,M2076))))</f>
        <v/>
      </c>
      <c r="O2076" s="54">
        <f>IF($B2076=0,NA(),IF(Inputs!$B$24&lt;&gt;"Yes",NA(),Inputs!$D$24*Inputs!$C$35))</f>
        <v/>
      </c>
      <c r="P2076" s="54">
        <f>IF($B2076=0,NA(),IF(Inputs!$B$25&lt;&gt;"Yes",NA(),Inputs!$D$25*Inputs!$C$35))</f>
        <v/>
      </c>
      <c r="Q2076" s="54">
        <f>IF($B2076=0,NA(),IF(Inputs!$B$26&lt;&gt;"Yes",NA(),Inputs!$D$26*Inputs!$C$35))</f>
        <v/>
      </c>
      <c r="R2076" s="54">
        <f>IF($B2076=0,NA(),IF(Inputs!$B$27&lt;&gt;"Yes",NA(),Inputs!$D$27*Inputs!$C$35))</f>
        <v/>
      </c>
      <c r="S2076" s="54">
        <f>IF($B2076=0,NA(),IF(Inputs!$B$28&lt;&gt;"Yes",NA(),Inputs!$D$28*Inputs!$C$35))</f>
        <v/>
      </c>
      <c r="T2076" s="54">
        <f>IF($B2076=0,NA(),IF(Inputs!$B$29&lt;&gt;"Yes",NA(),Inputs!$D$29*Inputs!$C$35))</f>
        <v/>
      </c>
      <c r="AD2076">
        <f>IF($B2076=0,0,IF(Inputs!$B$6="",0,COUNTIFS(Data!$A$10:$A$3209,"&gt;="&amp;$A2076,Data!$A$10:$A$3209,"&lt;"&amp;$A2076+1)))</f>
        <v/>
      </c>
      <c r="AE2076">
        <f>IF($B2076=0,0,IF(Inputs!$B$7="",0,COUNTIFS(Data!$E$10:$E$3209,"&gt;="&amp;$A2076,Data!$E$10:$E$3209,"&lt;"&amp;$A2076+1)))</f>
        <v/>
      </c>
      <c r="AF2076">
        <f>IF($B2076=0,0,IF(Inputs!$B$8="",0,COUNTIFS(Data!$I$10:$I$3209,"&gt;="&amp;$A2076,Data!$I$10:$I$3209,"&lt;"&amp;$A2076+1)))</f>
        <v/>
      </c>
      <c r="AG2076">
        <f>IF($B2076=0,0,IF(Inputs!$B$9="",0,COUNTIFS(Data!$M$10:$M$3209,"&gt;="&amp;$A2076,Data!$M$10:$M$3209,"&lt;"&amp;$A2076+1)))</f>
        <v/>
      </c>
      <c r="AH2076">
        <f>IF($B2076=0,0,IF(Inputs!$B$10="",0,COUNTIFS(Data!$Q$10:$Q$3209,"&gt;="&amp;$A2076,Data!$Q$10:$Q$3209,"&lt;"&amp;$A2076+1)))</f>
        <v/>
      </c>
    </row>
    <row r="2077">
      <c r="A2077" s="55">
        <f>MIN(Inputs!$C$15,$A2076+IF(WEEKDAY($A2076,2)=5,3,1))</f>
        <v/>
      </c>
      <c r="B2077">
        <f>IF($A2077&gt;$A2076,1,0)</f>
        <v/>
      </c>
      <c r="C2077" s="56">
        <f>IF($B2077=0,"",IF(Inputs!$B$6="","",IF($AD2077=0,C2076,SUMIFS(Data!$B$10:$B$3209,Data!$A$10:$A$3209,"&gt;="&amp;$A2077,Data!$A$10:$A$3209,"&lt;"&amp;$A2077+1)/$AD2077)))</f>
        <v/>
      </c>
      <c r="D2077" s="56">
        <f>IF($B2077=0,"",IF(Inputs!$B$7="","",IF($AE2077=0,D2076,SUMIFS(Data!$F$10:$F$3209,Data!$E$10:$E$3209,"&gt;="&amp;$A2077,Data!$E$10:$E$3209,"&lt;"&amp;$A2077+1)/$AE2077)))</f>
        <v/>
      </c>
      <c r="E2077" s="56">
        <f>IF($B2077=0,"",IF(Inputs!$B$8="","",IF($AF2077=0,E2076,SUMIFS(Data!$J$10:$J$3209,Data!$I$10:$I$3209,"&gt;="&amp;$A2077,Data!$I$10:$I$3209,"&lt;"&amp;$A2077+1)/$AF2077)))</f>
        <v/>
      </c>
      <c r="F2077" s="56">
        <f>IF($B2077=0,"",IF(Inputs!$B$9="","",IF($AG2077=0,F2076,SUMIFS(Data!$N$10:$N$3209,Data!$M$10:$M$3209,"&gt;="&amp;$A2077,Data!$M$10:$M$3209,"&lt;"&amp;$A2077+1)/$AG2077)))</f>
        <v/>
      </c>
      <c r="G2077" s="56">
        <f>IF($B2077=0,"",IF(Inputs!$B$10="","",IF($AH2077=0,G2076,SUMIFS(Data!$R$10:$R$3209,Data!$Q$10:$Q$3209,"&gt;="&amp;$A2077,Data!$Q$10:$Q$3209,"&lt;"&amp;$A2077+1)/$AH2077)))</f>
        <v/>
      </c>
      <c r="I2077" s="54">
        <f>IF($B2077=0,NA(),IF($C2077="",NA(),IF(C$8="",NA(),IF(N(C$8)=0,NA(),IF(Inputs!$C$17="Rebased to 100",$C2077/C$8*100,$C2077)))))</f>
        <v/>
      </c>
      <c r="J2077" s="54">
        <f>IF($B2077=0,NA(),IF($D2077="",NA(),IF(D$8="",NA(),IF(N(D$8)=0,NA(),IF(Inputs!$C$17="Rebased to 100",$D2077/D$8*100,$D2077)))))</f>
        <v/>
      </c>
      <c r="K2077" s="54">
        <f>IF($B2077=0,NA(),IF($E2077="",NA(),IF(E$8="",NA(),IF(N(E$8)=0,NA(),IF(Inputs!$C$17="Rebased to 100",$E2077/E$8*100,$E2077)))))</f>
        <v/>
      </c>
      <c r="L2077" s="54">
        <f>IF($B2077=0,NA(),IF($F2077="",NA(),IF(F$8="",NA(),IF(N(F$8)=0,NA(),IF(Inputs!$C$17="Rebased to 100",$F2077/F$8*100,$F2077)))))</f>
        <v/>
      </c>
      <c r="M2077" s="54">
        <f>IF($B2077=0,NA(),IF($G2077="",NA(),IF(G$8="",NA(),IF(N(G$8)=0,NA(),IF(Inputs!$C$17="Rebased to 100",$G2077/G$8*100,$G2077)))))</f>
        <v/>
      </c>
      <c r="N2077" s="54">
        <f>IF($B2077=0,NA(),IF(Inputs!$C$18&lt;&gt;"Yes",NA(),IF(COUNT(I2077,J2077,K2077,L2077,M2077)=0,NA(),MIN(I2077,J2077,K2077,L2077,M2077))))</f>
        <v/>
      </c>
      <c r="O2077" s="54">
        <f>IF($B2077=0,NA(),IF(Inputs!$B$24&lt;&gt;"Yes",NA(),Inputs!$D$24*Inputs!$C$35))</f>
        <v/>
      </c>
      <c r="P2077" s="54">
        <f>IF($B2077=0,NA(),IF(Inputs!$B$25&lt;&gt;"Yes",NA(),Inputs!$D$25*Inputs!$C$35))</f>
        <v/>
      </c>
      <c r="Q2077" s="54">
        <f>IF($B2077=0,NA(),IF(Inputs!$B$26&lt;&gt;"Yes",NA(),Inputs!$D$26*Inputs!$C$35))</f>
        <v/>
      </c>
      <c r="R2077" s="54">
        <f>IF($B2077=0,NA(),IF(Inputs!$B$27&lt;&gt;"Yes",NA(),Inputs!$D$27*Inputs!$C$35))</f>
        <v/>
      </c>
      <c r="S2077" s="54">
        <f>IF($B2077=0,NA(),IF(Inputs!$B$28&lt;&gt;"Yes",NA(),Inputs!$D$28*Inputs!$C$35))</f>
        <v/>
      </c>
      <c r="T2077" s="54">
        <f>IF($B2077=0,NA(),IF(Inputs!$B$29&lt;&gt;"Yes",NA(),Inputs!$D$29*Inputs!$C$35))</f>
        <v/>
      </c>
      <c r="AD2077">
        <f>IF($B2077=0,0,IF(Inputs!$B$6="",0,COUNTIFS(Data!$A$10:$A$3209,"&gt;="&amp;$A2077,Data!$A$10:$A$3209,"&lt;"&amp;$A2077+1)))</f>
        <v/>
      </c>
      <c r="AE2077">
        <f>IF($B2077=0,0,IF(Inputs!$B$7="",0,COUNTIFS(Data!$E$10:$E$3209,"&gt;="&amp;$A2077,Data!$E$10:$E$3209,"&lt;"&amp;$A2077+1)))</f>
        <v/>
      </c>
      <c r="AF2077">
        <f>IF($B2077=0,0,IF(Inputs!$B$8="",0,COUNTIFS(Data!$I$10:$I$3209,"&gt;="&amp;$A2077,Data!$I$10:$I$3209,"&lt;"&amp;$A2077+1)))</f>
        <v/>
      </c>
      <c r="AG2077">
        <f>IF($B2077=0,0,IF(Inputs!$B$9="",0,COUNTIFS(Data!$M$10:$M$3209,"&gt;="&amp;$A2077,Data!$M$10:$M$3209,"&lt;"&amp;$A2077+1)))</f>
        <v/>
      </c>
      <c r="AH2077">
        <f>IF($B2077=0,0,IF(Inputs!$B$10="",0,COUNTIFS(Data!$Q$10:$Q$3209,"&gt;="&amp;$A2077,Data!$Q$10:$Q$3209,"&lt;"&amp;$A2077+1)))</f>
        <v/>
      </c>
    </row>
    <row r="2078">
      <c r="A2078" s="55">
        <f>MIN(Inputs!$C$15,$A2077+IF(WEEKDAY($A2077,2)=5,3,1))</f>
        <v/>
      </c>
      <c r="B2078">
        <f>IF($A2078&gt;$A2077,1,0)</f>
        <v/>
      </c>
      <c r="C2078" s="56">
        <f>IF($B2078=0,"",IF(Inputs!$B$6="","",IF($AD2078=0,C2077,SUMIFS(Data!$B$10:$B$3209,Data!$A$10:$A$3209,"&gt;="&amp;$A2078,Data!$A$10:$A$3209,"&lt;"&amp;$A2078+1)/$AD2078)))</f>
        <v/>
      </c>
      <c r="D2078" s="56">
        <f>IF($B2078=0,"",IF(Inputs!$B$7="","",IF($AE2078=0,D2077,SUMIFS(Data!$F$10:$F$3209,Data!$E$10:$E$3209,"&gt;="&amp;$A2078,Data!$E$10:$E$3209,"&lt;"&amp;$A2078+1)/$AE2078)))</f>
        <v/>
      </c>
      <c r="E2078" s="56">
        <f>IF($B2078=0,"",IF(Inputs!$B$8="","",IF($AF2078=0,E2077,SUMIFS(Data!$J$10:$J$3209,Data!$I$10:$I$3209,"&gt;="&amp;$A2078,Data!$I$10:$I$3209,"&lt;"&amp;$A2078+1)/$AF2078)))</f>
        <v/>
      </c>
      <c r="F2078" s="56">
        <f>IF($B2078=0,"",IF(Inputs!$B$9="","",IF($AG2078=0,F2077,SUMIFS(Data!$N$10:$N$3209,Data!$M$10:$M$3209,"&gt;="&amp;$A2078,Data!$M$10:$M$3209,"&lt;"&amp;$A2078+1)/$AG2078)))</f>
        <v/>
      </c>
      <c r="G2078" s="56">
        <f>IF($B2078=0,"",IF(Inputs!$B$10="","",IF($AH2078=0,G2077,SUMIFS(Data!$R$10:$R$3209,Data!$Q$10:$Q$3209,"&gt;="&amp;$A2078,Data!$Q$10:$Q$3209,"&lt;"&amp;$A2078+1)/$AH2078)))</f>
        <v/>
      </c>
      <c r="I2078" s="54">
        <f>IF($B2078=0,NA(),IF($C2078="",NA(),IF(C$8="",NA(),IF(N(C$8)=0,NA(),IF(Inputs!$C$17="Rebased to 100",$C2078/C$8*100,$C2078)))))</f>
        <v/>
      </c>
      <c r="J2078" s="54">
        <f>IF($B2078=0,NA(),IF($D2078="",NA(),IF(D$8="",NA(),IF(N(D$8)=0,NA(),IF(Inputs!$C$17="Rebased to 100",$D2078/D$8*100,$D2078)))))</f>
        <v/>
      </c>
      <c r="K2078" s="54">
        <f>IF($B2078=0,NA(),IF($E2078="",NA(),IF(E$8="",NA(),IF(N(E$8)=0,NA(),IF(Inputs!$C$17="Rebased to 100",$E2078/E$8*100,$E2078)))))</f>
        <v/>
      </c>
      <c r="L2078" s="54">
        <f>IF($B2078=0,NA(),IF($F2078="",NA(),IF(F$8="",NA(),IF(N(F$8)=0,NA(),IF(Inputs!$C$17="Rebased to 100",$F2078/F$8*100,$F2078)))))</f>
        <v/>
      </c>
      <c r="M2078" s="54">
        <f>IF($B2078=0,NA(),IF($G2078="",NA(),IF(G$8="",NA(),IF(N(G$8)=0,NA(),IF(Inputs!$C$17="Rebased to 100",$G2078/G$8*100,$G2078)))))</f>
        <v/>
      </c>
      <c r="N2078" s="54">
        <f>IF($B2078=0,NA(),IF(Inputs!$C$18&lt;&gt;"Yes",NA(),IF(COUNT(I2078,J2078,K2078,L2078,M2078)=0,NA(),MIN(I2078,J2078,K2078,L2078,M2078))))</f>
        <v/>
      </c>
      <c r="O2078" s="54">
        <f>IF($B2078=0,NA(),IF(Inputs!$B$24&lt;&gt;"Yes",NA(),Inputs!$D$24*Inputs!$C$35))</f>
        <v/>
      </c>
      <c r="P2078" s="54">
        <f>IF($B2078=0,NA(),IF(Inputs!$B$25&lt;&gt;"Yes",NA(),Inputs!$D$25*Inputs!$C$35))</f>
        <v/>
      </c>
      <c r="Q2078" s="54">
        <f>IF($B2078=0,NA(),IF(Inputs!$B$26&lt;&gt;"Yes",NA(),Inputs!$D$26*Inputs!$C$35))</f>
        <v/>
      </c>
      <c r="R2078" s="54">
        <f>IF($B2078=0,NA(),IF(Inputs!$B$27&lt;&gt;"Yes",NA(),Inputs!$D$27*Inputs!$C$35))</f>
        <v/>
      </c>
      <c r="S2078" s="54">
        <f>IF($B2078=0,NA(),IF(Inputs!$B$28&lt;&gt;"Yes",NA(),Inputs!$D$28*Inputs!$C$35))</f>
        <v/>
      </c>
      <c r="T2078" s="54">
        <f>IF($B2078=0,NA(),IF(Inputs!$B$29&lt;&gt;"Yes",NA(),Inputs!$D$29*Inputs!$C$35))</f>
        <v/>
      </c>
      <c r="AD2078">
        <f>IF($B2078=0,0,IF(Inputs!$B$6="",0,COUNTIFS(Data!$A$10:$A$3209,"&gt;="&amp;$A2078,Data!$A$10:$A$3209,"&lt;"&amp;$A2078+1)))</f>
        <v/>
      </c>
      <c r="AE2078">
        <f>IF($B2078=0,0,IF(Inputs!$B$7="",0,COUNTIFS(Data!$E$10:$E$3209,"&gt;="&amp;$A2078,Data!$E$10:$E$3209,"&lt;"&amp;$A2078+1)))</f>
        <v/>
      </c>
      <c r="AF2078">
        <f>IF($B2078=0,0,IF(Inputs!$B$8="",0,COUNTIFS(Data!$I$10:$I$3209,"&gt;="&amp;$A2078,Data!$I$10:$I$3209,"&lt;"&amp;$A2078+1)))</f>
        <v/>
      </c>
      <c r="AG2078">
        <f>IF($B2078=0,0,IF(Inputs!$B$9="",0,COUNTIFS(Data!$M$10:$M$3209,"&gt;="&amp;$A2078,Data!$M$10:$M$3209,"&lt;"&amp;$A2078+1)))</f>
        <v/>
      </c>
      <c r="AH2078">
        <f>IF($B2078=0,0,IF(Inputs!$B$10="",0,COUNTIFS(Data!$Q$10:$Q$3209,"&gt;="&amp;$A2078,Data!$Q$10:$Q$3209,"&lt;"&amp;$A2078+1)))</f>
        <v/>
      </c>
    </row>
    <row r="2079">
      <c r="A2079" s="55">
        <f>MIN(Inputs!$C$15,$A2078+IF(WEEKDAY($A2078,2)=5,3,1))</f>
        <v/>
      </c>
      <c r="B2079">
        <f>IF($A2079&gt;$A2078,1,0)</f>
        <v/>
      </c>
      <c r="C2079" s="56">
        <f>IF($B2079=0,"",IF(Inputs!$B$6="","",IF($AD2079=0,C2078,SUMIFS(Data!$B$10:$B$3209,Data!$A$10:$A$3209,"&gt;="&amp;$A2079,Data!$A$10:$A$3209,"&lt;"&amp;$A2079+1)/$AD2079)))</f>
        <v/>
      </c>
      <c r="D2079" s="56">
        <f>IF($B2079=0,"",IF(Inputs!$B$7="","",IF($AE2079=0,D2078,SUMIFS(Data!$F$10:$F$3209,Data!$E$10:$E$3209,"&gt;="&amp;$A2079,Data!$E$10:$E$3209,"&lt;"&amp;$A2079+1)/$AE2079)))</f>
        <v/>
      </c>
      <c r="E2079" s="56">
        <f>IF($B2079=0,"",IF(Inputs!$B$8="","",IF($AF2079=0,E2078,SUMIFS(Data!$J$10:$J$3209,Data!$I$10:$I$3209,"&gt;="&amp;$A2079,Data!$I$10:$I$3209,"&lt;"&amp;$A2079+1)/$AF2079)))</f>
        <v/>
      </c>
      <c r="F2079" s="56">
        <f>IF($B2079=0,"",IF(Inputs!$B$9="","",IF($AG2079=0,F2078,SUMIFS(Data!$N$10:$N$3209,Data!$M$10:$M$3209,"&gt;="&amp;$A2079,Data!$M$10:$M$3209,"&lt;"&amp;$A2079+1)/$AG2079)))</f>
        <v/>
      </c>
      <c r="G2079" s="56">
        <f>IF($B2079=0,"",IF(Inputs!$B$10="","",IF($AH2079=0,G2078,SUMIFS(Data!$R$10:$R$3209,Data!$Q$10:$Q$3209,"&gt;="&amp;$A2079,Data!$Q$10:$Q$3209,"&lt;"&amp;$A2079+1)/$AH2079)))</f>
        <v/>
      </c>
      <c r="I2079" s="54">
        <f>IF($B2079=0,NA(),IF($C2079="",NA(),IF(C$8="",NA(),IF(N(C$8)=0,NA(),IF(Inputs!$C$17="Rebased to 100",$C2079/C$8*100,$C2079)))))</f>
        <v/>
      </c>
      <c r="J2079" s="54">
        <f>IF($B2079=0,NA(),IF($D2079="",NA(),IF(D$8="",NA(),IF(N(D$8)=0,NA(),IF(Inputs!$C$17="Rebased to 100",$D2079/D$8*100,$D2079)))))</f>
        <v/>
      </c>
      <c r="K2079" s="54">
        <f>IF($B2079=0,NA(),IF($E2079="",NA(),IF(E$8="",NA(),IF(N(E$8)=0,NA(),IF(Inputs!$C$17="Rebased to 100",$E2079/E$8*100,$E2079)))))</f>
        <v/>
      </c>
      <c r="L2079" s="54">
        <f>IF($B2079=0,NA(),IF($F2079="",NA(),IF(F$8="",NA(),IF(N(F$8)=0,NA(),IF(Inputs!$C$17="Rebased to 100",$F2079/F$8*100,$F2079)))))</f>
        <v/>
      </c>
      <c r="M2079" s="54">
        <f>IF($B2079=0,NA(),IF($G2079="",NA(),IF(G$8="",NA(),IF(N(G$8)=0,NA(),IF(Inputs!$C$17="Rebased to 100",$G2079/G$8*100,$G2079)))))</f>
        <v/>
      </c>
      <c r="N2079" s="54">
        <f>IF($B2079=0,NA(),IF(Inputs!$C$18&lt;&gt;"Yes",NA(),IF(COUNT(I2079,J2079,K2079,L2079,M2079)=0,NA(),MIN(I2079,J2079,K2079,L2079,M2079))))</f>
        <v/>
      </c>
      <c r="O2079" s="54">
        <f>IF($B2079=0,NA(),IF(Inputs!$B$24&lt;&gt;"Yes",NA(),Inputs!$D$24*Inputs!$C$35))</f>
        <v/>
      </c>
      <c r="P2079" s="54">
        <f>IF($B2079=0,NA(),IF(Inputs!$B$25&lt;&gt;"Yes",NA(),Inputs!$D$25*Inputs!$C$35))</f>
        <v/>
      </c>
      <c r="Q2079" s="54">
        <f>IF($B2079=0,NA(),IF(Inputs!$B$26&lt;&gt;"Yes",NA(),Inputs!$D$26*Inputs!$C$35))</f>
        <v/>
      </c>
      <c r="R2079" s="54">
        <f>IF($B2079=0,NA(),IF(Inputs!$B$27&lt;&gt;"Yes",NA(),Inputs!$D$27*Inputs!$C$35))</f>
        <v/>
      </c>
      <c r="S2079" s="54">
        <f>IF($B2079=0,NA(),IF(Inputs!$B$28&lt;&gt;"Yes",NA(),Inputs!$D$28*Inputs!$C$35))</f>
        <v/>
      </c>
      <c r="T2079" s="54">
        <f>IF($B2079=0,NA(),IF(Inputs!$B$29&lt;&gt;"Yes",NA(),Inputs!$D$29*Inputs!$C$35))</f>
        <v/>
      </c>
      <c r="AD2079">
        <f>IF($B2079=0,0,IF(Inputs!$B$6="",0,COUNTIFS(Data!$A$10:$A$3209,"&gt;="&amp;$A2079,Data!$A$10:$A$3209,"&lt;"&amp;$A2079+1)))</f>
        <v/>
      </c>
      <c r="AE2079">
        <f>IF($B2079=0,0,IF(Inputs!$B$7="",0,COUNTIFS(Data!$E$10:$E$3209,"&gt;="&amp;$A2079,Data!$E$10:$E$3209,"&lt;"&amp;$A2079+1)))</f>
        <v/>
      </c>
      <c r="AF2079">
        <f>IF($B2079=0,0,IF(Inputs!$B$8="",0,COUNTIFS(Data!$I$10:$I$3209,"&gt;="&amp;$A2079,Data!$I$10:$I$3209,"&lt;"&amp;$A2079+1)))</f>
        <v/>
      </c>
      <c r="AG2079">
        <f>IF($B2079=0,0,IF(Inputs!$B$9="",0,COUNTIFS(Data!$M$10:$M$3209,"&gt;="&amp;$A2079,Data!$M$10:$M$3209,"&lt;"&amp;$A2079+1)))</f>
        <v/>
      </c>
      <c r="AH2079">
        <f>IF($B2079=0,0,IF(Inputs!$B$10="",0,COUNTIFS(Data!$Q$10:$Q$3209,"&gt;="&amp;$A2079,Data!$Q$10:$Q$3209,"&lt;"&amp;$A2079+1)))</f>
        <v/>
      </c>
    </row>
    <row r="2080">
      <c r="A2080" s="55">
        <f>MIN(Inputs!$C$15,$A2079+IF(WEEKDAY($A2079,2)=5,3,1))</f>
        <v/>
      </c>
      <c r="B2080">
        <f>IF($A2080&gt;$A2079,1,0)</f>
        <v/>
      </c>
      <c r="C2080" s="56">
        <f>IF($B2080=0,"",IF(Inputs!$B$6="","",IF($AD2080=0,C2079,SUMIFS(Data!$B$10:$B$3209,Data!$A$10:$A$3209,"&gt;="&amp;$A2080,Data!$A$10:$A$3209,"&lt;"&amp;$A2080+1)/$AD2080)))</f>
        <v/>
      </c>
      <c r="D2080" s="56">
        <f>IF($B2080=0,"",IF(Inputs!$B$7="","",IF($AE2080=0,D2079,SUMIFS(Data!$F$10:$F$3209,Data!$E$10:$E$3209,"&gt;="&amp;$A2080,Data!$E$10:$E$3209,"&lt;"&amp;$A2080+1)/$AE2080)))</f>
        <v/>
      </c>
      <c r="E2080" s="56">
        <f>IF($B2080=0,"",IF(Inputs!$B$8="","",IF($AF2080=0,E2079,SUMIFS(Data!$J$10:$J$3209,Data!$I$10:$I$3209,"&gt;="&amp;$A2080,Data!$I$10:$I$3209,"&lt;"&amp;$A2080+1)/$AF2080)))</f>
        <v/>
      </c>
      <c r="F2080" s="56">
        <f>IF($B2080=0,"",IF(Inputs!$B$9="","",IF($AG2080=0,F2079,SUMIFS(Data!$N$10:$N$3209,Data!$M$10:$M$3209,"&gt;="&amp;$A2080,Data!$M$10:$M$3209,"&lt;"&amp;$A2080+1)/$AG2080)))</f>
        <v/>
      </c>
      <c r="G2080" s="56">
        <f>IF($B2080=0,"",IF(Inputs!$B$10="","",IF($AH2080=0,G2079,SUMIFS(Data!$R$10:$R$3209,Data!$Q$10:$Q$3209,"&gt;="&amp;$A2080,Data!$Q$10:$Q$3209,"&lt;"&amp;$A2080+1)/$AH2080)))</f>
        <v/>
      </c>
      <c r="I2080" s="54">
        <f>IF($B2080=0,NA(),IF($C2080="",NA(),IF(C$8="",NA(),IF(N(C$8)=0,NA(),IF(Inputs!$C$17="Rebased to 100",$C2080/C$8*100,$C2080)))))</f>
        <v/>
      </c>
      <c r="J2080" s="54">
        <f>IF($B2080=0,NA(),IF($D2080="",NA(),IF(D$8="",NA(),IF(N(D$8)=0,NA(),IF(Inputs!$C$17="Rebased to 100",$D2080/D$8*100,$D2080)))))</f>
        <v/>
      </c>
      <c r="K2080" s="54">
        <f>IF($B2080=0,NA(),IF($E2080="",NA(),IF(E$8="",NA(),IF(N(E$8)=0,NA(),IF(Inputs!$C$17="Rebased to 100",$E2080/E$8*100,$E2080)))))</f>
        <v/>
      </c>
      <c r="L2080" s="54">
        <f>IF($B2080=0,NA(),IF($F2080="",NA(),IF(F$8="",NA(),IF(N(F$8)=0,NA(),IF(Inputs!$C$17="Rebased to 100",$F2080/F$8*100,$F2080)))))</f>
        <v/>
      </c>
      <c r="M2080" s="54">
        <f>IF($B2080=0,NA(),IF($G2080="",NA(),IF(G$8="",NA(),IF(N(G$8)=0,NA(),IF(Inputs!$C$17="Rebased to 100",$G2080/G$8*100,$G2080)))))</f>
        <v/>
      </c>
      <c r="N2080" s="54">
        <f>IF($B2080=0,NA(),IF(Inputs!$C$18&lt;&gt;"Yes",NA(),IF(COUNT(I2080,J2080,K2080,L2080,M2080)=0,NA(),MIN(I2080,J2080,K2080,L2080,M2080))))</f>
        <v/>
      </c>
      <c r="O2080" s="54">
        <f>IF($B2080=0,NA(),IF(Inputs!$B$24&lt;&gt;"Yes",NA(),Inputs!$D$24*Inputs!$C$35))</f>
        <v/>
      </c>
      <c r="P2080" s="54">
        <f>IF($B2080=0,NA(),IF(Inputs!$B$25&lt;&gt;"Yes",NA(),Inputs!$D$25*Inputs!$C$35))</f>
        <v/>
      </c>
      <c r="Q2080" s="54">
        <f>IF($B2080=0,NA(),IF(Inputs!$B$26&lt;&gt;"Yes",NA(),Inputs!$D$26*Inputs!$C$35))</f>
        <v/>
      </c>
      <c r="R2080" s="54">
        <f>IF($B2080=0,NA(),IF(Inputs!$B$27&lt;&gt;"Yes",NA(),Inputs!$D$27*Inputs!$C$35))</f>
        <v/>
      </c>
      <c r="S2080" s="54">
        <f>IF($B2080=0,NA(),IF(Inputs!$B$28&lt;&gt;"Yes",NA(),Inputs!$D$28*Inputs!$C$35))</f>
        <v/>
      </c>
      <c r="T2080" s="54">
        <f>IF($B2080=0,NA(),IF(Inputs!$B$29&lt;&gt;"Yes",NA(),Inputs!$D$29*Inputs!$C$35))</f>
        <v/>
      </c>
      <c r="AD2080">
        <f>IF($B2080=0,0,IF(Inputs!$B$6="",0,COUNTIFS(Data!$A$10:$A$3209,"&gt;="&amp;$A2080,Data!$A$10:$A$3209,"&lt;"&amp;$A2080+1)))</f>
        <v/>
      </c>
      <c r="AE2080">
        <f>IF($B2080=0,0,IF(Inputs!$B$7="",0,COUNTIFS(Data!$E$10:$E$3209,"&gt;="&amp;$A2080,Data!$E$10:$E$3209,"&lt;"&amp;$A2080+1)))</f>
        <v/>
      </c>
      <c r="AF2080">
        <f>IF($B2080=0,0,IF(Inputs!$B$8="",0,COUNTIFS(Data!$I$10:$I$3209,"&gt;="&amp;$A2080,Data!$I$10:$I$3209,"&lt;"&amp;$A2080+1)))</f>
        <v/>
      </c>
      <c r="AG2080">
        <f>IF($B2080=0,0,IF(Inputs!$B$9="",0,COUNTIFS(Data!$M$10:$M$3209,"&gt;="&amp;$A2080,Data!$M$10:$M$3209,"&lt;"&amp;$A2080+1)))</f>
        <v/>
      </c>
      <c r="AH2080">
        <f>IF($B2080=0,0,IF(Inputs!$B$10="",0,COUNTIFS(Data!$Q$10:$Q$3209,"&gt;="&amp;$A2080,Data!$Q$10:$Q$3209,"&lt;"&amp;$A2080+1)))</f>
        <v/>
      </c>
    </row>
    <row r="2081">
      <c r="A2081" s="55">
        <f>MIN(Inputs!$C$15,$A2080+IF(WEEKDAY($A2080,2)=5,3,1))</f>
        <v/>
      </c>
      <c r="B2081">
        <f>IF($A2081&gt;$A2080,1,0)</f>
        <v/>
      </c>
      <c r="C2081" s="56">
        <f>IF($B2081=0,"",IF(Inputs!$B$6="","",IF($AD2081=0,C2080,SUMIFS(Data!$B$10:$B$3209,Data!$A$10:$A$3209,"&gt;="&amp;$A2081,Data!$A$10:$A$3209,"&lt;"&amp;$A2081+1)/$AD2081)))</f>
        <v/>
      </c>
      <c r="D2081" s="56">
        <f>IF($B2081=0,"",IF(Inputs!$B$7="","",IF($AE2081=0,D2080,SUMIFS(Data!$F$10:$F$3209,Data!$E$10:$E$3209,"&gt;="&amp;$A2081,Data!$E$10:$E$3209,"&lt;"&amp;$A2081+1)/$AE2081)))</f>
        <v/>
      </c>
      <c r="E2081" s="56">
        <f>IF($B2081=0,"",IF(Inputs!$B$8="","",IF($AF2081=0,E2080,SUMIFS(Data!$J$10:$J$3209,Data!$I$10:$I$3209,"&gt;="&amp;$A2081,Data!$I$10:$I$3209,"&lt;"&amp;$A2081+1)/$AF2081)))</f>
        <v/>
      </c>
      <c r="F2081" s="56">
        <f>IF($B2081=0,"",IF(Inputs!$B$9="","",IF($AG2081=0,F2080,SUMIFS(Data!$N$10:$N$3209,Data!$M$10:$M$3209,"&gt;="&amp;$A2081,Data!$M$10:$M$3209,"&lt;"&amp;$A2081+1)/$AG2081)))</f>
        <v/>
      </c>
      <c r="G2081" s="56">
        <f>IF($B2081=0,"",IF(Inputs!$B$10="","",IF($AH2081=0,G2080,SUMIFS(Data!$R$10:$R$3209,Data!$Q$10:$Q$3209,"&gt;="&amp;$A2081,Data!$Q$10:$Q$3209,"&lt;"&amp;$A2081+1)/$AH2081)))</f>
        <v/>
      </c>
      <c r="I2081" s="54">
        <f>IF($B2081=0,NA(),IF($C2081="",NA(),IF(C$8="",NA(),IF(N(C$8)=0,NA(),IF(Inputs!$C$17="Rebased to 100",$C2081/C$8*100,$C2081)))))</f>
        <v/>
      </c>
      <c r="J2081" s="54">
        <f>IF($B2081=0,NA(),IF($D2081="",NA(),IF(D$8="",NA(),IF(N(D$8)=0,NA(),IF(Inputs!$C$17="Rebased to 100",$D2081/D$8*100,$D2081)))))</f>
        <v/>
      </c>
      <c r="K2081" s="54">
        <f>IF($B2081=0,NA(),IF($E2081="",NA(),IF(E$8="",NA(),IF(N(E$8)=0,NA(),IF(Inputs!$C$17="Rebased to 100",$E2081/E$8*100,$E2081)))))</f>
        <v/>
      </c>
      <c r="L2081" s="54">
        <f>IF($B2081=0,NA(),IF($F2081="",NA(),IF(F$8="",NA(),IF(N(F$8)=0,NA(),IF(Inputs!$C$17="Rebased to 100",$F2081/F$8*100,$F2081)))))</f>
        <v/>
      </c>
      <c r="M2081" s="54">
        <f>IF($B2081=0,NA(),IF($G2081="",NA(),IF(G$8="",NA(),IF(N(G$8)=0,NA(),IF(Inputs!$C$17="Rebased to 100",$G2081/G$8*100,$G2081)))))</f>
        <v/>
      </c>
      <c r="N2081" s="54">
        <f>IF($B2081=0,NA(),IF(Inputs!$C$18&lt;&gt;"Yes",NA(),IF(COUNT(I2081,J2081,K2081,L2081,M2081)=0,NA(),MIN(I2081,J2081,K2081,L2081,M2081))))</f>
        <v/>
      </c>
      <c r="O2081" s="54">
        <f>IF($B2081=0,NA(),IF(Inputs!$B$24&lt;&gt;"Yes",NA(),Inputs!$D$24*Inputs!$C$35))</f>
        <v/>
      </c>
      <c r="P2081" s="54">
        <f>IF($B2081=0,NA(),IF(Inputs!$B$25&lt;&gt;"Yes",NA(),Inputs!$D$25*Inputs!$C$35))</f>
        <v/>
      </c>
      <c r="Q2081" s="54">
        <f>IF($B2081=0,NA(),IF(Inputs!$B$26&lt;&gt;"Yes",NA(),Inputs!$D$26*Inputs!$C$35))</f>
        <v/>
      </c>
      <c r="R2081" s="54">
        <f>IF($B2081=0,NA(),IF(Inputs!$B$27&lt;&gt;"Yes",NA(),Inputs!$D$27*Inputs!$C$35))</f>
        <v/>
      </c>
      <c r="S2081" s="54">
        <f>IF($B2081=0,NA(),IF(Inputs!$B$28&lt;&gt;"Yes",NA(),Inputs!$D$28*Inputs!$C$35))</f>
        <v/>
      </c>
      <c r="T2081" s="54">
        <f>IF($B2081=0,NA(),IF(Inputs!$B$29&lt;&gt;"Yes",NA(),Inputs!$D$29*Inputs!$C$35))</f>
        <v/>
      </c>
      <c r="AD2081">
        <f>IF($B2081=0,0,IF(Inputs!$B$6="",0,COUNTIFS(Data!$A$10:$A$3209,"&gt;="&amp;$A2081,Data!$A$10:$A$3209,"&lt;"&amp;$A2081+1)))</f>
        <v/>
      </c>
      <c r="AE2081">
        <f>IF($B2081=0,0,IF(Inputs!$B$7="",0,COUNTIFS(Data!$E$10:$E$3209,"&gt;="&amp;$A2081,Data!$E$10:$E$3209,"&lt;"&amp;$A2081+1)))</f>
        <v/>
      </c>
      <c r="AF2081">
        <f>IF($B2081=0,0,IF(Inputs!$B$8="",0,COUNTIFS(Data!$I$10:$I$3209,"&gt;="&amp;$A2081,Data!$I$10:$I$3209,"&lt;"&amp;$A2081+1)))</f>
        <v/>
      </c>
      <c r="AG2081">
        <f>IF($B2081=0,0,IF(Inputs!$B$9="",0,COUNTIFS(Data!$M$10:$M$3209,"&gt;="&amp;$A2081,Data!$M$10:$M$3209,"&lt;"&amp;$A2081+1)))</f>
        <v/>
      </c>
      <c r="AH2081">
        <f>IF($B2081=0,0,IF(Inputs!$B$10="",0,COUNTIFS(Data!$Q$10:$Q$3209,"&gt;="&amp;$A2081,Data!$Q$10:$Q$3209,"&lt;"&amp;$A2081+1)))</f>
        <v/>
      </c>
    </row>
    <row r="2082">
      <c r="A2082" s="55">
        <f>MIN(Inputs!$C$15,$A2081+IF(WEEKDAY($A2081,2)=5,3,1))</f>
        <v/>
      </c>
      <c r="B2082">
        <f>IF($A2082&gt;$A2081,1,0)</f>
        <v/>
      </c>
      <c r="C2082" s="56">
        <f>IF($B2082=0,"",IF(Inputs!$B$6="","",IF($AD2082=0,C2081,SUMIFS(Data!$B$10:$B$3209,Data!$A$10:$A$3209,"&gt;="&amp;$A2082,Data!$A$10:$A$3209,"&lt;"&amp;$A2082+1)/$AD2082)))</f>
        <v/>
      </c>
      <c r="D2082" s="56">
        <f>IF($B2082=0,"",IF(Inputs!$B$7="","",IF($AE2082=0,D2081,SUMIFS(Data!$F$10:$F$3209,Data!$E$10:$E$3209,"&gt;="&amp;$A2082,Data!$E$10:$E$3209,"&lt;"&amp;$A2082+1)/$AE2082)))</f>
        <v/>
      </c>
      <c r="E2082" s="56">
        <f>IF($B2082=0,"",IF(Inputs!$B$8="","",IF($AF2082=0,E2081,SUMIFS(Data!$J$10:$J$3209,Data!$I$10:$I$3209,"&gt;="&amp;$A2082,Data!$I$10:$I$3209,"&lt;"&amp;$A2082+1)/$AF2082)))</f>
        <v/>
      </c>
      <c r="F2082" s="56">
        <f>IF($B2082=0,"",IF(Inputs!$B$9="","",IF($AG2082=0,F2081,SUMIFS(Data!$N$10:$N$3209,Data!$M$10:$M$3209,"&gt;="&amp;$A2082,Data!$M$10:$M$3209,"&lt;"&amp;$A2082+1)/$AG2082)))</f>
        <v/>
      </c>
      <c r="G2082" s="56">
        <f>IF($B2082=0,"",IF(Inputs!$B$10="","",IF($AH2082=0,G2081,SUMIFS(Data!$R$10:$R$3209,Data!$Q$10:$Q$3209,"&gt;="&amp;$A2082,Data!$Q$10:$Q$3209,"&lt;"&amp;$A2082+1)/$AH2082)))</f>
        <v/>
      </c>
      <c r="I2082" s="54">
        <f>IF($B2082=0,NA(),IF($C2082="",NA(),IF(C$8="",NA(),IF(N(C$8)=0,NA(),IF(Inputs!$C$17="Rebased to 100",$C2082/C$8*100,$C2082)))))</f>
        <v/>
      </c>
      <c r="J2082" s="54">
        <f>IF($B2082=0,NA(),IF($D2082="",NA(),IF(D$8="",NA(),IF(N(D$8)=0,NA(),IF(Inputs!$C$17="Rebased to 100",$D2082/D$8*100,$D2082)))))</f>
        <v/>
      </c>
      <c r="K2082" s="54">
        <f>IF($B2082=0,NA(),IF($E2082="",NA(),IF(E$8="",NA(),IF(N(E$8)=0,NA(),IF(Inputs!$C$17="Rebased to 100",$E2082/E$8*100,$E2082)))))</f>
        <v/>
      </c>
      <c r="L2082" s="54">
        <f>IF($B2082=0,NA(),IF($F2082="",NA(),IF(F$8="",NA(),IF(N(F$8)=0,NA(),IF(Inputs!$C$17="Rebased to 100",$F2082/F$8*100,$F2082)))))</f>
        <v/>
      </c>
      <c r="M2082" s="54">
        <f>IF($B2082=0,NA(),IF($G2082="",NA(),IF(G$8="",NA(),IF(N(G$8)=0,NA(),IF(Inputs!$C$17="Rebased to 100",$G2082/G$8*100,$G2082)))))</f>
        <v/>
      </c>
      <c r="N2082" s="54">
        <f>IF($B2082=0,NA(),IF(Inputs!$C$18&lt;&gt;"Yes",NA(),IF(COUNT(I2082,J2082,K2082,L2082,M2082)=0,NA(),MIN(I2082,J2082,K2082,L2082,M2082))))</f>
        <v/>
      </c>
      <c r="O2082" s="54">
        <f>IF($B2082=0,NA(),IF(Inputs!$B$24&lt;&gt;"Yes",NA(),Inputs!$D$24*Inputs!$C$35))</f>
        <v/>
      </c>
      <c r="P2082" s="54">
        <f>IF($B2082=0,NA(),IF(Inputs!$B$25&lt;&gt;"Yes",NA(),Inputs!$D$25*Inputs!$C$35))</f>
        <v/>
      </c>
      <c r="Q2082" s="54">
        <f>IF($B2082=0,NA(),IF(Inputs!$B$26&lt;&gt;"Yes",NA(),Inputs!$D$26*Inputs!$C$35))</f>
        <v/>
      </c>
      <c r="R2082" s="54">
        <f>IF($B2082=0,NA(),IF(Inputs!$B$27&lt;&gt;"Yes",NA(),Inputs!$D$27*Inputs!$C$35))</f>
        <v/>
      </c>
      <c r="S2082" s="54">
        <f>IF($B2082=0,NA(),IF(Inputs!$B$28&lt;&gt;"Yes",NA(),Inputs!$D$28*Inputs!$C$35))</f>
        <v/>
      </c>
      <c r="T2082" s="54">
        <f>IF($B2082=0,NA(),IF(Inputs!$B$29&lt;&gt;"Yes",NA(),Inputs!$D$29*Inputs!$C$35))</f>
        <v/>
      </c>
      <c r="AD2082">
        <f>IF($B2082=0,0,IF(Inputs!$B$6="",0,COUNTIFS(Data!$A$10:$A$3209,"&gt;="&amp;$A2082,Data!$A$10:$A$3209,"&lt;"&amp;$A2082+1)))</f>
        <v/>
      </c>
      <c r="AE2082">
        <f>IF($B2082=0,0,IF(Inputs!$B$7="",0,COUNTIFS(Data!$E$10:$E$3209,"&gt;="&amp;$A2082,Data!$E$10:$E$3209,"&lt;"&amp;$A2082+1)))</f>
        <v/>
      </c>
      <c r="AF2082">
        <f>IF($B2082=0,0,IF(Inputs!$B$8="",0,COUNTIFS(Data!$I$10:$I$3209,"&gt;="&amp;$A2082,Data!$I$10:$I$3209,"&lt;"&amp;$A2082+1)))</f>
        <v/>
      </c>
      <c r="AG2082">
        <f>IF($B2082=0,0,IF(Inputs!$B$9="",0,COUNTIFS(Data!$M$10:$M$3209,"&gt;="&amp;$A2082,Data!$M$10:$M$3209,"&lt;"&amp;$A2082+1)))</f>
        <v/>
      </c>
      <c r="AH2082">
        <f>IF($B2082=0,0,IF(Inputs!$B$10="",0,COUNTIFS(Data!$Q$10:$Q$3209,"&gt;="&amp;$A2082,Data!$Q$10:$Q$3209,"&lt;"&amp;$A2082+1)))</f>
        <v/>
      </c>
    </row>
    <row r="2083">
      <c r="A2083" s="55">
        <f>MIN(Inputs!$C$15,$A2082+IF(WEEKDAY($A2082,2)=5,3,1))</f>
        <v/>
      </c>
      <c r="B2083">
        <f>IF($A2083&gt;$A2082,1,0)</f>
        <v/>
      </c>
      <c r="C2083" s="56">
        <f>IF($B2083=0,"",IF(Inputs!$B$6="","",IF($AD2083=0,C2082,SUMIFS(Data!$B$10:$B$3209,Data!$A$10:$A$3209,"&gt;="&amp;$A2083,Data!$A$10:$A$3209,"&lt;"&amp;$A2083+1)/$AD2083)))</f>
        <v/>
      </c>
      <c r="D2083" s="56">
        <f>IF($B2083=0,"",IF(Inputs!$B$7="","",IF($AE2083=0,D2082,SUMIFS(Data!$F$10:$F$3209,Data!$E$10:$E$3209,"&gt;="&amp;$A2083,Data!$E$10:$E$3209,"&lt;"&amp;$A2083+1)/$AE2083)))</f>
        <v/>
      </c>
      <c r="E2083" s="56">
        <f>IF($B2083=0,"",IF(Inputs!$B$8="","",IF($AF2083=0,E2082,SUMIFS(Data!$J$10:$J$3209,Data!$I$10:$I$3209,"&gt;="&amp;$A2083,Data!$I$10:$I$3209,"&lt;"&amp;$A2083+1)/$AF2083)))</f>
        <v/>
      </c>
      <c r="F2083" s="56">
        <f>IF($B2083=0,"",IF(Inputs!$B$9="","",IF($AG2083=0,F2082,SUMIFS(Data!$N$10:$N$3209,Data!$M$10:$M$3209,"&gt;="&amp;$A2083,Data!$M$10:$M$3209,"&lt;"&amp;$A2083+1)/$AG2083)))</f>
        <v/>
      </c>
      <c r="G2083" s="56">
        <f>IF($B2083=0,"",IF(Inputs!$B$10="","",IF($AH2083=0,G2082,SUMIFS(Data!$R$10:$R$3209,Data!$Q$10:$Q$3209,"&gt;="&amp;$A2083,Data!$Q$10:$Q$3209,"&lt;"&amp;$A2083+1)/$AH2083)))</f>
        <v/>
      </c>
      <c r="I2083" s="54">
        <f>IF($B2083=0,NA(),IF($C2083="",NA(),IF(C$8="",NA(),IF(N(C$8)=0,NA(),IF(Inputs!$C$17="Rebased to 100",$C2083/C$8*100,$C2083)))))</f>
        <v/>
      </c>
      <c r="J2083" s="54">
        <f>IF($B2083=0,NA(),IF($D2083="",NA(),IF(D$8="",NA(),IF(N(D$8)=0,NA(),IF(Inputs!$C$17="Rebased to 100",$D2083/D$8*100,$D2083)))))</f>
        <v/>
      </c>
      <c r="K2083" s="54">
        <f>IF($B2083=0,NA(),IF($E2083="",NA(),IF(E$8="",NA(),IF(N(E$8)=0,NA(),IF(Inputs!$C$17="Rebased to 100",$E2083/E$8*100,$E2083)))))</f>
        <v/>
      </c>
      <c r="L2083" s="54">
        <f>IF($B2083=0,NA(),IF($F2083="",NA(),IF(F$8="",NA(),IF(N(F$8)=0,NA(),IF(Inputs!$C$17="Rebased to 100",$F2083/F$8*100,$F2083)))))</f>
        <v/>
      </c>
      <c r="M2083" s="54">
        <f>IF($B2083=0,NA(),IF($G2083="",NA(),IF(G$8="",NA(),IF(N(G$8)=0,NA(),IF(Inputs!$C$17="Rebased to 100",$G2083/G$8*100,$G2083)))))</f>
        <v/>
      </c>
      <c r="N2083" s="54">
        <f>IF($B2083=0,NA(),IF(Inputs!$C$18&lt;&gt;"Yes",NA(),IF(COUNT(I2083,J2083,K2083,L2083,M2083)=0,NA(),MIN(I2083,J2083,K2083,L2083,M2083))))</f>
        <v/>
      </c>
      <c r="O2083" s="54">
        <f>IF($B2083=0,NA(),IF(Inputs!$B$24&lt;&gt;"Yes",NA(),Inputs!$D$24*Inputs!$C$35))</f>
        <v/>
      </c>
      <c r="P2083" s="54">
        <f>IF($B2083=0,NA(),IF(Inputs!$B$25&lt;&gt;"Yes",NA(),Inputs!$D$25*Inputs!$C$35))</f>
        <v/>
      </c>
      <c r="Q2083" s="54">
        <f>IF($B2083=0,NA(),IF(Inputs!$B$26&lt;&gt;"Yes",NA(),Inputs!$D$26*Inputs!$C$35))</f>
        <v/>
      </c>
      <c r="R2083" s="54">
        <f>IF($B2083=0,NA(),IF(Inputs!$B$27&lt;&gt;"Yes",NA(),Inputs!$D$27*Inputs!$C$35))</f>
        <v/>
      </c>
      <c r="S2083" s="54">
        <f>IF($B2083=0,NA(),IF(Inputs!$B$28&lt;&gt;"Yes",NA(),Inputs!$D$28*Inputs!$C$35))</f>
        <v/>
      </c>
      <c r="T2083" s="54">
        <f>IF($B2083=0,NA(),IF(Inputs!$B$29&lt;&gt;"Yes",NA(),Inputs!$D$29*Inputs!$C$35))</f>
        <v/>
      </c>
      <c r="AD2083">
        <f>IF($B2083=0,0,IF(Inputs!$B$6="",0,COUNTIFS(Data!$A$10:$A$3209,"&gt;="&amp;$A2083,Data!$A$10:$A$3209,"&lt;"&amp;$A2083+1)))</f>
        <v/>
      </c>
      <c r="AE2083">
        <f>IF($B2083=0,0,IF(Inputs!$B$7="",0,COUNTIFS(Data!$E$10:$E$3209,"&gt;="&amp;$A2083,Data!$E$10:$E$3209,"&lt;"&amp;$A2083+1)))</f>
        <v/>
      </c>
      <c r="AF2083">
        <f>IF($B2083=0,0,IF(Inputs!$B$8="",0,COUNTIFS(Data!$I$10:$I$3209,"&gt;="&amp;$A2083,Data!$I$10:$I$3209,"&lt;"&amp;$A2083+1)))</f>
        <v/>
      </c>
      <c r="AG2083">
        <f>IF($B2083=0,0,IF(Inputs!$B$9="",0,COUNTIFS(Data!$M$10:$M$3209,"&gt;="&amp;$A2083,Data!$M$10:$M$3209,"&lt;"&amp;$A2083+1)))</f>
        <v/>
      </c>
      <c r="AH2083">
        <f>IF($B2083=0,0,IF(Inputs!$B$10="",0,COUNTIFS(Data!$Q$10:$Q$3209,"&gt;="&amp;$A2083,Data!$Q$10:$Q$3209,"&lt;"&amp;$A2083+1)))</f>
        <v/>
      </c>
    </row>
    <row r="2084">
      <c r="A2084" s="55">
        <f>MIN(Inputs!$C$15,$A2083+IF(WEEKDAY($A2083,2)=5,3,1))</f>
        <v/>
      </c>
      <c r="B2084">
        <f>IF($A2084&gt;$A2083,1,0)</f>
        <v/>
      </c>
      <c r="C2084" s="56">
        <f>IF($B2084=0,"",IF(Inputs!$B$6="","",IF($AD2084=0,C2083,SUMIFS(Data!$B$10:$B$3209,Data!$A$10:$A$3209,"&gt;="&amp;$A2084,Data!$A$10:$A$3209,"&lt;"&amp;$A2084+1)/$AD2084)))</f>
        <v/>
      </c>
      <c r="D2084" s="56">
        <f>IF($B2084=0,"",IF(Inputs!$B$7="","",IF($AE2084=0,D2083,SUMIFS(Data!$F$10:$F$3209,Data!$E$10:$E$3209,"&gt;="&amp;$A2084,Data!$E$10:$E$3209,"&lt;"&amp;$A2084+1)/$AE2084)))</f>
        <v/>
      </c>
      <c r="E2084" s="56">
        <f>IF($B2084=0,"",IF(Inputs!$B$8="","",IF($AF2084=0,E2083,SUMIFS(Data!$J$10:$J$3209,Data!$I$10:$I$3209,"&gt;="&amp;$A2084,Data!$I$10:$I$3209,"&lt;"&amp;$A2084+1)/$AF2084)))</f>
        <v/>
      </c>
      <c r="F2084" s="56">
        <f>IF($B2084=0,"",IF(Inputs!$B$9="","",IF($AG2084=0,F2083,SUMIFS(Data!$N$10:$N$3209,Data!$M$10:$M$3209,"&gt;="&amp;$A2084,Data!$M$10:$M$3209,"&lt;"&amp;$A2084+1)/$AG2084)))</f>
        <v/>
      </c>
      <c r="G2084" s="56">
        <f>IF($B2084=0,"",IF(Inputs!$B$10="","",IF($AH2084=0,G2083,SUMIFS(Data!$R$10:$R$3209,Data!$Q$10:$Q$3209,"&gt;="&amp;$A2084,Data!$Q$10:$Q$3209,"&lt;"&amp;$A2084+1)/$AH2084)))</f>
        <v/>
      </c>
      <c r="I2084" s="54">
        <f>IF($B2084=0,NA(),IF($C2084="",NA(),IF(C$8="",NA(),IF(N(C$8)=0,NA(),IF(Inputs!$C$17="Rebased to 100",$C2084/C$8*100,$C2084)))))</f>
        <v/>
      </c>
      <c r="J2084" s="54">
        <f>IF($B2084=0,NA(),IF($D2084="",NA(),IF(D$8="",NA(),IF(N(D$8)=0,NA(),IF(Inputs!$C$17="Rebased to 100",$D2084/D$8*100,$D2084)))))</f>
        <v/>
      </c>
      <c r="K2084" s="54">
        <f>IF($B2084=0,NA(),IF($E2084="",NA(),IF(E$8="",NA(),IF(N(E$8)=0,NA(),IF(Inputs!$C$17="Rebased to 100",$E2084/E$8*100,$E2084)))))</f>
        <v/>
      </c>
      <c r="L2084" s="54">
        <f>IF($B2084=0,NA(),IF($F2084="",NA(),IF(F$8="",NA(),IF(N(F$8)=0,NA(),IF(Inputs!$C$17="Rebased to 100",$F2084/F$8*100,$F2084)))))</f>
        <v/>
      </c>
      <c r="M2084" s="54">
        <f>IF($B2084=0,NA(),IF($G2084="",NA(),IF(G$8="",NA(),IF(N(G$8)=0,NA(),IF(Inputs!$C$17="Rebased to 100",$G2084/G$8*100,$G2084)))))</f>
        <v/>
      </c>
      <c r="N2084" s="54">
        <f>IF($B2084=0,NA(),IF(Inputs!$C$18&lt;&gt;"Yes",NA(),IF(COUNT(I2084,J2084,K2084,L2084,M2084)=0,NA(),MIN(I2084,J2084,K2084,L2084,M2084))))</f>
        <v/>
      </c>
      <c r="O2084" s="54">
        <f>IF($B2084=0,NA(),IF(Inputs!$B$24&lt;&gt;"Yes",NA(),Inputs!$D$24*Inputs!$C$35))</f>
        <v/>
      </c>
      <c r="P2084" s="54">
        <f>IF($B2084=0,NA(),IF(Inputs!$B$25&lt;&gt;"Yes",NA(),Inputs!$D$25*Inputs!$C$35))</f>
        <v/>
      </c>
      <c r="Q2084" s="54">
        <f>IF($B2084=0,NA(),IF(Inputs!$B$26&lt;&gt;"Yes",NA(),Inputs!$D$26*Inputs!$C$35))</f>
        <v/>
      </c>
      <c r="R2084" s="54">
        <f>IF($B2084=0,NA(),IF(Inputs!$B$27&lt;&gt;"Yes",NA(),Inputs!$D$27*Inputs!$C$35))</f>
        <v/>
      </c>
      <c r="S2084" s="54">
        <f>IF($B2084=0,NA(),IF(Inputs!$B$28&lt;&gt;"Yes",NA(),Inputs!$D$28*Inputs!$C$35))</f>
        <v/>
      </c>
      <c r="T2084" s="54">
        <f>IF($B2084=0,NA(),IF(Inputs!$B$29&lt;&gt;"Yes",NA(),Inputs!$D$29*Inputs!$C$35))</f>
        <v/>
      </c>
      <c r="AD2084">
        <f>IF($B2084=0,0,IF(Inputs!$B$6="",0,COUNTIFS(Data!$A$10:$A$3209,"&gt;="&amp;$A2084,Data!$A$10:$A$3209,"&lt;"&amp;$A2084+1)))</f>
        <v/>
      </c>
      <c r="AE2084">
        <f>IF($B2084=0,0,IF(Inputs!$B$7="",0,COUNTIFS(Data!$E$10:$E$3209,"&gt;="&amp;$A2084,Data!$E$10:$E$3209,"&lt;"&amp;$A2084+1)))</f>
        <v/>
      </c>
      <c r="AF2084">
        <f>IF($B2084=0,0,IF(Inputs!$B$8="",0,COUNTIFS(Data!$I$10:$I$3209,"&gt;="&amp;$A2084,Data!$I$10:$I$3209,"&lt;"&amp;$A2084+1)))</f>
        <v/>
      </c>
      <c r="AG2084">
        <f>IF($B2084=0,0,IF(Inputs!$B$9="",0,COUNTIFS(Data!$M$10:$M$3209,"&gt;="&amp;$A2084,Data!$M$10:$M$3209,"&lt;"&amp;$A2084+1)))</f>
        <v/>
      </c>
      <c r="AH2084">
        <f>IF($B2084=0,0,IF(Inputs!$B$10="",0,COUNTIFS(Data!$Q$10:$Q$3209,"&gt;="&amp;$A2084,Data!$Q$10:$Q$3209,"&lt;"&amp;$A2084+1)))</f>
        <v/>
      </c>
    </row>
    <row r="2085">
      <c r="A2085" s="55">
        <f>MIN(Inputs!$C$15,$A2084+IF(WEEKDAY($A2084,2)=5,3,1))</f>
        <v/>
      </c>
      <c r="B2085">
        <f>IF($A2085&gt;$A2084,1,0)</f>
        <v/>
      </c>
      <c r="C2085" s="56">
        <f>IF($B2085=0,"",IF(Inputs!$B$6="","",IF($AD2085=0,C2084,SUMIFS(Data!$B$10:$B$3209,Data!$A$10:$A$3209,"&gt;="&amp;$A2085,Data!$A$10:$A$3209,"&lt;"&amp;$A2085+1)/$AD2085)))</f>
        <v/>
      </c>
      <c r="D2085" s="56">
        <f>IF($B2085=0,"",IF(Inputs!$B$7="","",IF($AE2085=0,D2084,SUMIFS(Data!$F$10:$F$3209,Data!$E$10:$E$3209,"&gt;="&amp;$A2085,Data!$E$10:$E$3209,"&lt;"&amp;$A2085+1)/$AE2085)))</f>
        <v/>
      </c>
      <c r="E2085" s="56">
        <f>IF($B2085=0,"",IF(Inputs!$B$8="","",IF($AF2085=0,E2084,SUMIFS(Data!$J$10:$J$3209,Data!$I$10:$I$3209,"&gt;="&amp;$A2085,Data!$I$10:$I$3209,"&lt;"&amp;$A2085+1)/$AF2085)))</f>
        <v/>
      </c>
      <c r="F2085" s="56">
        <f>IF($B2085=0,"",IF(Inputs!$B$9="","",IF($AG2085=0,F2084,SUMIFS(Data!$N$10:$N$3209,Data!$M$10:$M$3209,"&gt;="&amp;$A2085,Data!$M$10:$M$3209,"&lt;"&amp;$A2085+1)/$AG2085)))</f>
        <v/>
      </c>
      <c r="G2085" s="56">
        <f>IF($B2085=0,"",IF(Inputs!$B$10="","",IF($AH2085=0,G2084,SUMIFS(Data!$R$10:$R$3209,Data!$Q$10:$Q$3209,"&gt;="&amp;$A2085,Data!$Q$10:$Q$3209,"&lt;"&amp;$A2085+1)/$AH2085)))</f>
        <v/>
      </c>
      <c r="I2085" s="54">
        <f>IF($B2085=0,NA(),IF($C2085="",NA(),IF(C$8="",NA(),IF(N(C$8)=0,NA(),IF(Inputs!$C$17="Rebased to 100",$C2085/C$8*100,$C2085)))))</f>
        <v/>
      </c>
      <c r="J2085" s="54">
        <f>IF($B2085=0,NA(),IF($D2085="",NA(),IF(D$8="",NA(),IF(N(D$8)=0,NA(),IF(Inputs!$C$17="Rebased to 100",$D2085/D$8*100,$D2085)))))</f>
        <v/>
      </c>
      <c r="K2085" s="54">
        <f>IF($B2085=0,NA(),IF($E2085="",NA(),IF(E$8="",NA(),IF(N(E$8)=0,NA(),IF(Inputs!$C$17="Rebased to 100",$E2085/E$8*100,$E2085)))))</f>
        <v/>
      </c>
      <c r="L2085" s="54">
        <f>IF($B2085=0,NA(),IF($F2085="",NA(),IF(F$8="",NA(),IF(N(F$8)=0,NA(),IF(Inputs!$C$17="Rebased to 100",$F2085/F$8*100,$F2085)))))</f>
        <v/>
      </c>
      <c r="M2085" s="54">
        <f>IF($B2085=0,NA(),IF($G2085="",NA(),IF(G$8="",NA(),IF(N(G$8)=0,NA(),IF(Inputs!$C$17="Rebased to 100",$G2085/G$8*100,$G2085)))))</f>
        <v/>
      </c>
      <c r="N2085" s="54">
        <f>IF($B2085=0,NA(),IF(Inputs!$C$18&lt;&gt;"Yes",NA(),IF(COUNT(I2085,J2085,K2085,L2085,M2085)=0,NA(),MIN(I2085,J2085,K2085,L2085,M2085))))</f>
        <v/>
      </c>
      <c r="O2085" s="54">
        <f>IF($B2085=0,NA(),IF(Inputs!$B$24&lt;&gt;"Yes",NA(),Inputs!$D$24*Inputs!$C$35))</f>
        <v/>
      </c>
      <c r="P2085" s="54">
        <f>IF($B2085=0,NA(),IF(Inputs!$B$25&lt;&gt;"Yes",NA(),Inputs!$D$25*Inputs!$C$35))</f>
        <v/>
      </c>
      <c r="Q2085" s="54">
        <f>IF($B2085=0,NA(),IF(Inputs!$B$26&lt;&gt;"Yes",NA(),Inputs!$D$26*Inputs!$C$35))</f>
        <v/>
      </c>
      <c r="R2085" s="54">
        <f>IF($B2085=0,NA(),IF(Inputs!$B$27&lt;&gt;"Yes",NA(),Inputs!$D$27*Inputs!$C$35))</f>
        <v/>
      </c>
      <c r="S2085" s="54">
        <f>IF($B2085=0,NA(),IF(Inputs!$B$28&lt;&gt;"Yes",NA(),Inputs!$D$28*Inputs!$C$35))</f>
        <v/>
      </c>
      <c r="T2085" s="54">
        <f>IF($B2085=0,NA(),IF(Inputs!$B$29&lt;&gt;"Yes",NA(),Inputs!$D$29*Inputs!$C$35))</f>
        <v/>
      </c>
      <c r="AD2085">
        <f>IF($B2085=0,0,IF(Inputs!$B$6="",0,COUNTIFS(Data!$A$10:$A$3209,"&gt;="&amp;$A2085,Data!$A$10:$A$3209,"&lt;"&amp;$A2085+1)))</f>
        <v/>
      </c>
      <c r="AE2085">
        <f>IF($B2085=0,0,IF(Inputs!$B$7="",0,COUNTIFS(Data!$E$10:$E$3209,"&gt;="&amp;$A2085,Data!$E$10:$E$3209,"&lt;"&amp;$A2085+1)))</f>
        <v/>
      </c>
      <c r="AF2085">
        <f>IF($B2085=0,0,IF(Inputs!$B$8="",0,COUNTIFS(Data!$I$10:$I$3209,"&gt;="&amp;$A2085,Data!$I$10:$I$3209,"&lt;"&amp;$A2085+1)))</f>
        <v/>
      </c>
      <c r="AG2085">
        <f>IF($B2085=0,0,IF(Inputs!$B$9="",0,COUNTIFS(Data!$M$10:$M$3209,"&gt;="&amp;$A2085,Data!$M$10:$M$3209,"&lt;"&amp;$A2085+1)))</f>
        <v/>
      </c>
      <c r="AH2085">
        <f>IF($B2085=0,0,IF(Inputs!$B$10="",0,COUNTIFS(Data!$Q$10:$Q$3209,"&gt;="&amp;$A2085,Data!$Q$10:$Q$3209,"&lt;"&amp;$A2085+1)))</f>
        <v/>
      </c>
    </row>
    <row r="2086">
      <c r="A2086" s="55">
        <f>MIN(Inputs!$C$15,$A2085+IF(WEEKDAY($A2085,2)=5,3,1))</f>
        <v/>
      </c>
      <c r="B2086">
        <f>IF($A2086&gt;$A2085,1,0)</f>
        <v/>
      </c>
      <c r="C2086" s="56">
        <f>IF($B2086=0,"",IF(Inputs!$B$6="","",IF($AD2086=0,C2085,SUMIFS(Data!$B$10:$B$3209,Data!$A$10:$A$3209,"&gt;="&amp;$A2086,Data!$A$10:$A$3209,"&lt;"&amp;$A2086+1)/$AD2086)))</f>
        <v/>
      </c>
      <c r="D2086" s="56">
        <f>IF($B2086=0,"",IF(Inputs!$B$7="","",IF($AE2086=0,D2085,SUMIFS(Data!$F$10:$F$3209,Data!$E$10:$E$3209,"&gt;="&amp;$A2086,Data!$E$10:$E$3209,"&lt;"&amp;$A2086+1)/$AE2086)))</f>
        <v/>
      </c>
      <c r="E2086" s="56">
        <f>IF($B2086=0,"",IF(Inputs!$B$8="","",IF($AF2086=0,E2085,SUMIFS(Data!$J$10:$J$3209,Data!$I$10:$I$3209,"&gt;="&amp;$A2086,Data!$I$10:$I$3209,"&lt;"&amp;$A2086+1)/$AF2086)))</f>
        <v/>
      </c>
      <c r="F2086" s="56">
        <f>IF($B2086=0,"",IF(Inputs!$B$9="","",IF($AG2086=0,F2085,SUMIFS(Data!$N$10:$N$3209,Data!$M$10:$M$3209,"&gt;="&amp;$A2086,Data!$M$10:$M$3209,"&lt;"&amp;$A2086+1)/$AG2086)))</f>
        <v/>
      </c>
      <c r="G2086" s="56">
        <f>IF($B2086=0,"",IF(Inputs!$B$10="","",IF($AH2086=0,G2085,SUMIFS(Data!$R$10:$R$3209,Data!$Q$10:$Q$3209,"&gt;="&amp;$A2086,Data!$Q$10:$Q$3209,"&lt;"&amp;$A2086+1)/$AH2086)))</f>
        <v/>
      </c>
      <c r="I2086" s="54">
        <f>IF($B2086=0,NA(),IF($C2086="",NA(),IF(C$8="",NA(),IF(N(C$8)=0,NA(),IF(Inputs!$C$17="Rebased to 100",$C2086/C$8*100,$C2086)))))</f>
        <v/>
      </c>
      <c r="J2086" s="54">
        <f>IF($B2086=0,NA(),IF($D2086="",NA(),IF(D$8="",NA(),IF(N(D$8)=0,NA(),IF(Inputs!$C$17="Rebased to 100",$D2086/D$8*100,$D2086)))))</f>
        <v/>
      </c>
      <c r="K2086" s="54">
        <f>IF($B2086=0,NA(),IF($E2086="",NA(),IF(E$8="",NA(),IF(N(E$8)=0,NA(),IF(Inputs!$C$17="Rebased to 100",$E2086/E$8*100,$E2086)))))</f>
        <v/>
      </c>
      <c r="L2086" s="54">
        <f>IF($B2086=0,NA(),IF($F2086="",NA(),IF(F$8="",NA(),IF(N(F$8)=0,NA(),IF(Inputs!$C$17="Rebased to 100",$F2086/F$8*100,$F2086)))))</f>
        <v/>
      </c>
      <c r="M2086" s="54">
        <f>IF($B2086=0,NA(),IF($G2086="",NA(),IF(G$8="",NA(),IF(N(G$8)=0,NA(),IF(Inputs!$C$17="Rebased to 100",$G2086/G$8*100,$G2086)))))</f>
        <v/>
      </c>
      <c r="N2086" s="54">
        <f>IF($B2086=0,NA(),IF(Inputs!$C$18&lt;&gt;"Yes",NA(),IF(COUNT(I2086,J2086,K2086,L2086,M2086)=0,NA(),MIN(I2086,J2086,K2086,L2086,M2086))))</f>
        <v/>
      </c>
      <c r="O2086" s="54">
        <f>IF($B2086=0,NA(),IF(Inputs!$B$24&lt;&gt;"Yes",NA(),Inputs!$D$24*Inputs!$C$35))</f>
        <v/>
      </c>
      <c r="P2086" s="54">
        <f>IF($B2086=0,NA(),IF(Inputs!$B$25&lt;&gt;"Yes",NA(),Inputs!$D$25*Inputs!$C$35))</f>
        <v/>
      </c>
      <c r="Q2086" s="54">
        <f>IF($B2086=0,NA(),IF(Inputs!$B$26&lt;&gt;"Yes",NA(),Inputs!$D$26*Inputs!$C$35))</f>
        <v/>
      </c>
      <c r="R2086" s="54">
        <f>IF($B2086=0,NA(),IF(Inputs!$B$27&lt;&gt;"Yes",NA(),Inputs!$D$27*Inputs!$C$35))</f>
        <v/>
      </c>
      <c r="S2086" s="54">
        <f>IF($B2086=0,NA(),IF(Inputs!$B$28&lt;&gt;"Yes",NA(),Inputs!$D$28*Inputs!$C$35))</f>
        <v/>
      </c>
      <c r="T2086" s="54">
        <f>IF($B2086=0,NA(),IF(Inputs!$B$29&lt;&gt;"Yes",NA(),Inputs!$D$29*Inputs!$C$35))</f>
        <v/>
      </c>
      <c r="AD2086">
        <f>IF($B2086=0,0,IF(Inputs!$B$6="",0,COUNTIFS(Data!$A$10:$A$3209,"&gt;="&amp;$A2086,Data!$A$10:$A$3209,"&lt;"&amp;$A2086+1)))</f>
        <v/>
      </c>
      <c r="AE2086">
        <f>IF($B2086=0,0,IF(Inputs!$B$7="",0,COUNTIFS(Data!$E$10:$E$3209,"&gt;="&amp;$A2086,Data!$E$10:$E$3209,"&lt;"&amp;$A2086+1)))</f>
        <v/>
      </c>
      <c r="AF2086">
        <f>IF($B2086=0,0,IF(Inputs!$B$8="",0,COUNTIFS(Data!$I$10:$I$3209,"&gt;="&amp;$A2086,Data!$I$10:$I$3209,"&lt;"&amp;$A2086+1)))</f>
        <v/>
      </c>
      <c r="AG2086">
        <f>IF($B2086=0,0,IF(Inputs!$B$9="",0,COUNTIFS(Data!$M$10:$M$3209,"&gt;="&amp;$A2086,Data!$M$10:$M$3209,"&lt;"&amp;$A2086+1)))</f>
        <v/>
      </c>
      <c r="AH2086">
        <f>IF($B2086=0,0,IF(Inputs!$B$10="",0,COUNTIFS(Data!$Q$10:$Q$3209,"&gt;="&amp;$A2086,Data!$Q$10:$Q$3209,"&lt;"&amp;$A2086+1)))</f>
        <v/>
      </c>
    </row>
    <row r="2087">
      <c r="A2087" s="55">
        <f>MIN(Inputs!$C$15,$A2086+IF(WEEKDAY($A2086,2)=5,3,1))</f>
        <v/>
      </c>
      <c r="B2087">
        <f>IF($A2087&gt;$A2086,1,0)</f>
        <v/>
      </c>
      <c r="C2087" s="56">
        <f>IF($B2087=0,"",IF(Inputs!$B$6="","",IF($AD2087=0,C2086,SUMIFS(Data!$B$10:$B$3209,Data!$A$10:$A$3209,"&gt;="&amp;$A2087,Data!$A$10:$A$3209,"&lt;"&amp;$A2087+1)/$AD2087)))</f>
        <v/>
      </c>
      <c r="D2087" s="56">
        <f>IF($B2087=0,"",IF(Inputs!$B$7="","",IF($AE2087=0,D2086,SUMIFS(Data!$F$10:$F$3209,Data!$E$10:$E$3209,"&gt;="&amp;$A2087,Data!$E$10:$E$3209,"&lt;"&amp;$A2087+1)/$AE2087)))</f>
        <v/>
      </c>
      <c r="E2087" s="56">
        <f>IF($B2087=0,"",IF(Inputs!$B$8="","",IF($AF2087=0,E2086,SUMIFS(Data!$J$10:$J$3209,Data!$I$10:$I$3209,"&gt;="&amp;$A2087,Data!$I$10:$I$3209,"&lt;"&amp;$A2087+1)/$AF2087)))</f>
        <v/>
      </c>
      <c r="F2087" s="56">
        <f>IF($B2087=0,"",IF(Inputs!$B$9="","",IF($AG2087=0,F2086,SUMIFS(Data!$N$10:$N$3209,Data!$M$10:$M$3209,"&gt;="&amp;$A2087,Data!$M$10:$M$3209,"&lt;"&amp;$A2087+1)/$AG2087)))</f>
        <v/>
      </c>
      <c r="G2087" s="56">
        <f>IF($B2087=0,"",IF(Inputs!$B$10="","",IF($AH2087=0,G2086,SUMIFS(Data!$R$10:$R$3209,Data!$Q$10:$Q$3209,"&gt;="&amp;$A2087,Data!$Q$10:$Q$3209,"&lt;"&amp;$A2087+1)/$AH2087)))</f>
        <v/>
      </c>
      <c r="I2087" s="54">
        <f>IF($B2087=0,NA(),IF($C2087="",NA(),IF(C$8="",NA(),IF(N(C$8)=0,NA(),IF(Inputs!$C$17="Rebased to 100",$C2087/C$8*100,$C2087)))))</f>
        <v/>
      </c>
      <c r="J2087" s="54">
        <f>IF($B2087=0,NA(),IF($D2087="",NA(),IF(D$8="",NA(),IF(N(D$8)=0,NA(),IF(Inputs!$C$17="Rebased to 100",$D2087/D$8*100,$D2087)))))</f>
        <v/>
      </c>
      <c r="K2087" s="54">
        <f>IF($B2087=0,NA(),IF($E2087="",NA(),IF(E$8="",NA(),IF(N(E$8)=0,NA(),IF(Inputs!$C$17="Rebased to 100",$E2087/E$8*100,$E2087)))))</f>
        <v/>
      </c>
      <c r="L2087" s="54">
        <f>IF($B2087=0,NA(),IF($F2087="",NA(),IF(F$8="",NA(),IF(N(F$8)=0,NA(),IF(Inputs!$C$17="Rebased to 100",$F2087/F$8*100,$F2087)))))</f>
        <v/>
      </c>
      <c r="M2087" s="54">
        <f>IF($B2087=0,NA(),IF($G2087="",NA(),IF(G$8="",NA(),IF(N(G$8)=0,NA(),IF(Inputs!$C$17="Rebased to 100",$G2087/G$8*100,$G2087)))))</f>
        <v/>
      </c>
      <c r="N2087" s="54">
        <f>IF($B2087=0,NA(),IF(Inputs!$C$18&lt;&gt;"Yes",NA(),IF(COUNT(I2087,J2087,K2087,L2087,M2087)=0,NA(),MIN(I2087,J2087,K2087,L2087,M2087))))</f>
        <v/>
      </c>
      <c r="O2087" s="54">
        <f>IF($B2087=0,NA(),IF(Inputs!$B$24&lt;&gt;"Yes",NA(),Inputs!$D$24*Inputs!$C$35))</f>
        <v/>
      </c>
      <c r="P2087" s="54">
        <f>IF($B2087=0,NA(),IF(Inputs!$B$25&lt;&gt;"Yes",NA(),Inputs!$D$25*Inputs!$C$35))</f>
        <v/>
      </c>
      <c r="Q2087" s="54">
        <f>IF($B2087=0,NA(),IF(Inputs!$B$26&lt;&gt;"Yes",NA(),Inputs!$D$26*Inputs!$C$35))</f>
        <v/>
      </c>
      <c r="R2087" s="54">
        <f>IF($B2087=0,NA(),IF(Inputs!$B$27&lt;&gt;"Yes",NA(),Inputs!$D$27*Inputs!$C$35))</f>
        <v/>
      </c>
      <c r="S2087" s="54">
        <f>IF($B2087=0,NA(),IF(Inputs!$B$28&lt;&gt;"Yes",NA(),Inputs!$D$28*Inputs!$C$35))</f>
        <v/>
      </c>
      <c r="T2087" s="54">
        <f>IF($B2087=0,NA(),IF(Inputs!$B$29&lt;&gt;"Yes",NA(),Inputs!$D$29*Inputs!$C$35))</f>
        <v/>
      </c>
      <c r="AD2087">
        <f>IF($B2087=0,0,IF(Inputs!$B$6="",0,COUNTIFS(Data!$A$10:$A$3209,"&gt;="&amp;$A2087,Data!$A$10:$A$3209,"&lt;"&amp;$A2087+1)))</f>
        <v/>
      </c>
      <c r="AE2087">
        <f>IF($B2087=0,0,IF(Inputs!$B$7="",0,COUNTIFS(Data!$E$10:$E$3209,"&gt;="&amp;$A2087,Data!$E$10:$E$3209,"&lt;"&amp;$A2087+1)))</f>
        <v/>
      </c>
      <c r="AF2087">
        <f>IF($B2087=0,0,IF(Inputs!$B$8="",0,COUNTIFS(Data!$I$10:$I$3209,"&gt;="&amp;$A2087,Data!$I$10:$I$3209,"&lt;"&amp;$A2087+1)))</f>
        <v/>
      </c>
      <c r="AG2087">
        <f>IF($B2087=0,0,IF(Inputs!$B$9="",0,COUNTIFS(Data!$M$10:$M$3209,"&gt;="&amp;$A2087,Data!$M$10:$M$3209,"&lt;"&amp;$A2087+1)))</f>
        <v/>
      </c>
      <c r="AH2087">
        <f>IF($B2087=0,0,IF(Inputs!$B$10="",0,COUNTIFS(Data!$Q$10:$Q$3209,"&gt;="&amp;$A2087,Data!$Q$10:$Q$3209,"&lt;"&amp;$A2087+1)))</f>
        <v/>
      </c>
    </row>
    <row r="2088">
      <c r="A2088" s="55">
        <f>MIN(Inputs!$C$15,$A2087+IF(WEEKDAY($A2087,2)=5,3,1))</f>
        <v/>
      </c>
      <c r="B2088">
        <f>IF($A2088&gt;$A2087,1,0)</f>
        <v/>
      </c>
      <c r="C2088" s="56">
        <f>IF($B2088=0,"",IF(Inputs!$B$6="","",IF($AD2088=0,C2087,SUMIFS(Data!$B$10:$B$3209,Data!$A$10:$A$3209,"&gt;="&amp;$A2088,Data!$A$10:$A$3209,"&lt;"&amp;$A2088+1)/$AD2088)))</f>
        <v/>
      </c>
      <c r="D2088" s="56">
        <f>IF($B2088=0,"",IF(Inputs!$B$7="","",IF($AE2088=0,D2087,SUMIFS(Data!$F$10:$F$3209,Data!$E$10:$E$3209,"&gt;="&amp;$A2088,Data!$E$10:$E$3209,"&lt;"&amp;$A2088+1)/$AE2088)))</f>
        <v/>
      </c>
      <c r="E2088" s="56">
        <f>IF($B2088=0,"",IF(Inputs!$B$8="","",IF($AF2088=0,E2087,SUMIFS(Data!$J$10:$J$3209,Data!$I$10:$I$3209,"&gt;="&amp;$A2088,Data!$I$10:$I$3209,"&lt;"&amp;$A2088+1)/$AF2088)))</f>
        <v/>
      </c>
      <c r="F2088" s="56">
        <f>IF($B2088=0,"",IF(Inputs!$B$9="","",IF($AG2088=0,F2087,SUMIFS(Data!$N$10:$N$3209,Data!$M$10:$M$3209,"&gt;="&amp;$A2088,Data!$M$10:$M$3209,"&lt;"&amp;$A2088+1)/$AG2088)))</f>
        <v/>
      </c>
      <c r="G2088" s="56">
        <f>IF($B2088=0,"",IF(Inputs!$B$10="","",IF($AH2088=0,G2087,SUMIFS(Data!$R$10:$R$3209,Data!$Q$10:$Q$3209,"&gt;="&amp;$A2088,Data!$Q$10:$Q$3209,"&lt;"&amp;$A2088+1)/$AH2088)))</f>
        <v/>
      </c>
      <c r="I2088" s="54">
        <f>IF($B2088=0,NA(),IF($C2088="",NA(),IF(C$8="",NA(),IF(N(C$8)=0,NA(),IF(Inputs!$C$17="Rebased to 100",$C2088/C$8*100,$C2088)))))</f>
        <v/>
      </c>
      <c r="J2088" s="54">
        <f>IF($B2088=0,NA(),IF($D2088="",NA(),IF(D$8="",NA(),IF(N(D$8)=0,NA(),IF(Inputs!$C$17="Rebased to 100",$D2088/D$8*100,$D2088)))))</f>
        <v/>
      </c>
      <c r="K2088" s="54">
        <f>IF($B2088=0,NA(),IF($E2088="",NA(),IF(E$8="",NA(),IF(N(E$8)=0,NA(),IF(Inputs!$C$17="Rebased to 100",$E2088/E$8*100,$E2088)))))</f>
        <v/>
      </c>
      <c r="L2088" s="54">
        <f>IF($B2088=0,NA(),IF($F2088="",NA(),IF(F$8="",NA(),IF(N(F$8)=0,NA(),IF(Inputs!$C$17="Rebased to 100",$F2088/F$8*100,$F2088)))))</f>
        <v/>
      </c>
      <c r="M2088" s="54">
        <f>IF($B2088=0,NA(),IF($G2088="",NA(),IF(G$8="",NA(),IF(N(G$8)=0,NA(),IF(Inputs!$C$17="Rebased to 100",$G2088/G$8*100,$G2088)))))</f>
        <v/>
      </c>
      <c r="N2088" s="54">
        <f>IF($B2088=0,NA(),IF(Inputs!$C$18&lt;&gt;"Yes",NA(),IF(COUNT(I2088,J2088,K2088,L2088,M2088)=0,NA(),MIN(I2088,J2088,K2088,L2088,M2088))))</f>
        <v/>
      </c>
      <c r="O2088" s="54">
        <f>IF($B2088=0,NA(),IF(Inputs!$B$24&lt;&gt;"Yes",NA(),Inputs!$D$24*Inputs!$C$35))</f>
        <v/>
      </c>
      <c r="P2088" s="54">
        <f>IF($B2088=0,NA(),IF(Inputs!$B$25&lt;&gt;"Yes",NA(),Inputs!$D$25*Inputs!$C$35))</f>
        <v/>
      </c>
      <c r="Q2088" s="54">
        <f>IF($B2088=0,NA(),IF(Inputs!$B$26&lt;&gt;"Yes",NA(),Inputs!$D$26*Inputs!$C$35))</f>
        <v/>
      </c>
      <c r="R2088" s="54">
        <f>IF($B2088=0,NA(),IF(Inputs!$B$27&lt;&gt;"Yes",NA(),Inputs!$D$27*Inputs!$C$35))</f>
        <v/>
      </c>
      <c r="S2088" s="54">
        <f>IF($B2088=0,NA(),IF(Inputs!$B$28&lt;&gt;"Yes",NA(),Inputs!$D$28*Inputs!$C$35))</f>
        <v/>
      </c>
      <c r="T2088" s="54">
        <f>IF($B2088=0,NA(),IF(Inputs!$B$29&lt;&gt;"Yes",NA(),Inputs!$D$29*Inputs!$C$35))</f>
        <v/>
      </c>
      <c r="AD2088">
        <f>IF($B2088=0,0,IF(Inputs!$B$6="",0,COUNTIFS(Data!$A$10:$A$3209,"&gt;="&amp;$A2088,Data!$A$10:$A$3209,"&lt;"&amp;$A2088+1)))</f>
        <v/>
      </c>
      <c r="AE2088">
        <f>IF($B2088=0,0,IF(Inputs!$B$7="",0,COUNTIFS(Data!$E$10:$E$3209,"&gt;="&amp;$A2088,Data!$E$10:$E$3209,"&lt;"&amp;$A2088+1)))</f>
        <v/>
      </c>
      <c r="AF2088">
        <f>IF($B2088=0,0,IF(Inputs!$B$8="",0,COUNTIFS(Data!$I$10:$I$3209,"&gt;="&amp;$A2088,Data!$I$10:$I$3209,"&lt;"&amp;$A2088+1)))</f>
        <v/>
      </c>
      <c r="AG2088">
        <f>IF($B2088=0,0,IF(Inputs!$B$9="",0,COUNTIFS(Data!$M$10:$M$3209,"&gt;="&amp;$A2088,Data!$M$10:$M$3209,"&lt;"&amp;$A2088+1)))</f>
        <v/>
      </c>
      <c r="AH2088">
        <f>IF($B2088=0,0,IF(Inputs!$B$10="",0,COUNTIFS(Data!$Q$10:$Q$3209,"&gt;="&amp;$A2088,Data!$Q$10:$Q$3209,"&lt;"&amp;$A2088+1)))</f>
        <v/>
      </c>
    </row>
    <row r="2089">
      <c r="A2089" s="55">
        <f>MIN(Inputs!$C$15,$A2088+IF(WEEKDAY($A2088,2)=5,3,1))</f>
        <v/>
      </c>
      <c r="B2089">
        <f>IF($A2089&gt;$A2088,1,0)</f>
        <v/>
      </c>
      <c r="C2089" s="56">
        <f>IF($B2089=0,"",IF(Inputs!$B$6="","",IF($AD2089=0,C2088,SUMIFS(Data!$B$10:$B$3209,Data!$A$10:$A$3209,"&gt;="&amp;$A2089,Data!$A$10:$A$3209,"&lt;"&amp;$A2089+1)/$AD2089)))</f>
        <v/>
      </c>
      <c r="D2089" s="56">
        <f>IF($B2089=0,"",IF(Inputs!$B$7="","",IF($AE2089=0,D2088,SUMIFS(Data!$F$10:$F$3209,Data!$E$10:$E$3209,"&gt;="&amp;$A2089,Data!$E$10:$E$3209,"&lt;"&amp;$A2089+1)/$AE2089)))</f>
        <v/>
      </c>
      <c r="E2089" s="56">
        <f>IF($B2089=0,"",IF(Inputs!$B$8="","",IF($AF2089=0,E2088,SUMIFS(Data!$J$10:$J$3209,Data!$I$10:$I$3209,"&gt;="&amp;$A2089,Data!$I$10:$I$3209,"&lt;"&amp;$A2089+1)/$AF2089)))</f>
        <v/>
      </c>
      <c r="F2089" s="56">
        <f>IF($B2089=0,"",IF(Inputs!$B$9="","",IF($AG2089=0,F2088,SUMIFS(Data!$N$10:$N$3209,Data!$M$10:$M$3209,"&gt;="&amp;$A2089,Data!$M$10:$M$3209,"&lt;"&amp;$A2089+1)/$AG2089)))</f>
        <v/>
      </c>
      <c r="G2089" s="56">
        <f>IF($B2089=0,"",IF(Inputs!$B$10="","",IF($AH2089=0,G2088,SUMIFS(Data!$R$10:$R$3209,Data!$Q$10:$Q$3209,"&gt;="&amp;$A2089,Data!$Q$10:$Q$3209,"&lt;"&amp;$A2089+1)/$AH2089)))</f>
        <v/>
      </c>
      <c r="I2089" s="54">
        <f>IF($B2089=0,NA(),IF($C2089="",NA(),IF(C$8="",NA(),IF(N(C$8)=0,NA(),IF(Inputs!$C$17="Rebased to 100",$C2089/C$8*100,$C2089)))))</f>
        <v/>
      </c>
      <c r="J2089" s="54">
        <f>IF($B2089=0,NA(),IF($D2089="",NA(),IF(D$8="",NA(),IF(N(D$8)=0,NA(),IF(Inputs!$C$17="Rebased to 100",$D2089/D$8*100,$D2089)))))</f>
        <v/>
      </c>
      <c r="K2089" s="54">
        <f>IF($B2089=0,NA(),IF($E2089="",NA(),IF(E$8="",NA(),IF(N(E$8)=0,NA(),IF(Inputs!$C$17="Rebased to 100",$E2089/E$8*100,$E2089)))))</f>
        <v/>
      </c>
      <c r="L2089" s="54">
        <f>IF($B2089=0,NA(),IF($F2089="",NA(),IF(F$8="",NA(),IF(N(F$8)=0,NA(),IF(Inputs!$C$17="Rebased to 100",$F2089/F$8*100,$F2089)))))</f>
        <v/>
      </c>
      <c r="M2089" s="54">
        <f>IF($B2089=0,NA(),IF($G2089="",NA(),IF(G$8="",NA(),IF(N(G$8)=0,NA(),IF(Inputs!$C$17="Rebased to 100",$G2089/G$8*100,$G2089)))))</f>
        <v/>
      </c>
      <c r="N2089" s="54">
        <f>IF($B2089=0,NA(),IF(Inputs!$C$18&lt;&gt;"Yes",NA(),IF(COUNT(I2089,J2089,K2089,L2089,M2089)=0,NA(),MIN(I2089,J2089,K2089,L2089,M2089))))</f>
        <v/>
      </c>
      <c r="O2089" s="54">
        <f>IF($B2089=0,NA(),IF(Inputs!$B$24&lt;&gt;"Yes",NA(),Inputs!$D$24*Inputs!$C$35))</f>
        <v/>
      </c>
      <c r="P2089" s="54">
        <f>IF($B2089=0,NA(),IF(Inputs!$B$25&lt;&gt;"Yes",NA(),Inputs!$D$25*Inputs!$C$35))</f>
        <v/>
      </c>
      <c r="Q2089" s="54">
        <f>IF($B2089=0,NA(),IF(Inputs!$B$26&lt;&gt;"Yes",NA(),Inputs!$D$26*Inputs!$C$35))</f>
        <v/>
      </c>
      <c r="R2089" s="54">
        <f>IF($B2089=0,NA(),IF(Inputs!$B$27&lt;&gt;"Yes",NA(),Inputs!$D$27*Inputs!$C$35))</f>
        <v/>
      </c>
      <c r="S2089" s="54">
        <f>IF($B2089=0,NA(),IF(Inputs!$B$28&lt;&gt;"Yes",NA(),Inputs!$D$28*Inputs!$C$35))</f>
        <v/>
      </c>
      <c r="T2089" s="54">
        <f>IF($B2089=0,NA(),IF(Inputs!$B$29&lt;&gt;"Yes",NA(),Inputs!$D$29*Inputs!$C$35))</f>
        <v/>
      </c>
      <c r="AD2089">
        <f>IF($B2089=0,0,IF(Inputs!$B$6="",0,COUNTIFS(Data!$A$10:$A$3209,"&gt;="&amp;$A2089,Data!$A$10:$A$3209,"&lt;"&amp;$A2089+1)))</f>
        <v/>
      </c>
      <c r="AE2089">
        <f>IF($B2089=0,0,IF(Inputs!$B$7="",0,COUNTIFS(Data!$E$10:$E$3209,"&gt;="&amp;$A2089,Data!$E$10:$E$3209,"&lt;"&amp;$A2089+1)))</f>
        <v/>
      </c>
      <c r="AF2089">
        <f>IF($B2089=0,0,IF(Inputs!$B$8="",0,COUNTIFS(Data!$I$10:$I$3209,"&gt;="&amp;$A2089,Data!$I$10:$I$3209,"&lt;"&amp;$A2089+1)))</f>
        <v/>
      </c>
      <c r="AG2089">
        <f>IF($B2089=0,0,IF(Inputs!$B$9="",0,COUNTIFS(Data!$M$10:$M$3209,"&gt;="&amp;$A2089,Data!$M$10:$M$3209,"&lt;"&amp;$A2089+1)))</f>
        <v/>
      </c>
      <c r="AH2089">
        <f>IF($B2089=0,0,IF(Inputs!$B$10="",0,COUNTIFS(Data!$Q$10:$Q$3209,"&gt;="&amp;$A2089,Data!$Q$10:$Q$3209,"&lt;"&amp;$A2089+1)))</f>
        <v/>
      </c>
    </row>
    <row r="2090">
      <c r="A2090" s="55">
        <f>MIN(Inputs!$C$15,$A2089+IF(WEEKDAY($A2089,2)=5,3,1))</f>
        <v/>
      </c>
      <c r="B2090">
        <f>IF($A2090&gt;$A2089,1,0)</f>
        <v/>
      </c>
      <c r="C2090" s="56">
        <f>IF($B2090=0,"",IF(Inputs!$B$6="","",IF($AD2090=0,C2089,SUMIFS(Data!$B$10:$B$3209,Data!$A$10:$A$3209,"&gt;="&amp;$A2090,Data!$A$10:$A$3209,"&lt;"&amp;$A2090+1)/$AD2090)))</f>
        <v/>
      </c>
      <c r="D2090" s="56">
        <f>IF($B2090=0,"",IF(Inputs!$B$7="","",IF($AE2090=0,D2089,SUMIFS(Data!$F$10:$F$3209,Data!$E$10:$E$3209,"&gt;="&amp;$A2090,Data!$E$10:$E$3209,"&lt;"&amp;$A2090+1)/$AE2090)))</f>
        <v/>
      </c>
      <c r="E2090" s="56">
        <f>IF($B2090=0,"",IF(Inputs!$B$8="","",IF($AF2090=0,E2089,SUMIFS(Data!$J$10:$J$3209,Data!$I$10:$I$3209,"&gt;="&amp;$A2090,Data!$I$10:$I$3209,"&lt;"&amp;$A2090+1)/$AF2090)))</f>
        <v/>
      </c>
      <c r="F2090" s="56">
        <f>IF($B2090=0,"",IF(Inputs!$B$9="","",IF($AG2090=0,F2089,SUMIFS(Data!$N$10:$N$3209,Data!$M$10:$M$3209,"&gt;="&amp;$A2090,Data!$M$10:$M$3209,"&lt;"&amp;$A2090+1)/$AG2090)))</f>
        <v/>
      </c>
      <c r="G2090" s="56">
        <f>IF($B2090=0,"",IF(Inputs!$B$10="","",IF($AH2090=0,G2089,SUMIFS(Data!$R$10:$R$3209,Data!$Q$10:$Q$3209,"&gt;="&amp;$A2090,Data!$Q$10:$Q$3209,"&lt;"&amp;$A2090+1)/$AH2090)))</f>
        <v/>
      </c>
      <c r="I2090" s="54">
        <f>IF($B2090=0,NA(),IF($C2090="",NA(),IF(C$8="",NA(),IF(N(C$8)=0,NA(),IF(Inputs!$C$17="Rebased to 100",$C2090/C$8*100,$C2090)))))</f>
        <v/>
      </c>
      <c r="J2090" s="54">
        <f>IF($B2090=0,NA(),IF($D2090="",NA(),IF(D$8="",NA(),IF(N(D$8)=0,NA(),IF(Inputs!$C$17="Rebased to 100",$D2090/D$8*100,$D2090)))))</f>
        <v/>
      </c>
      <c r="K2090" s="54">
        <f>IF($B2090=0,NA(),IF($E2090="",NA(),IF(E$8="",NA(),IF(N(E$8)=0,NA(),IF(Inputs!$C$17="Rebased to 100",$E2090/E$8*100,$E2090)))))</f>
        <v/>
      </c>
      <c r="L2090" s="54">
        <f>IF($B2090=0,NA(),IF($F2090="",NA(),IF(F$8="",NA(),IF(N(F$8)=0,NA(),IF(Inputs!$C$17="Rebased to 100",$F2090/F$8*100,$F2090)))))</f>
        <v/>
      </c>
      <c r="M2090" s="54">
        <f>IF($B2090=0,NA(),IF($G2090="",NA(),IF(G$8="",NA(),IF(N(G$8)=0,NA(),IF(Inputs!$C$17="Rebased to 100",$G2090/G$8*100,$G2090)))))</f>
        <v/>
      </c>
      <c r="N2090" s="54">
        <f>IF($B2090=0,NA(),IF(Inputs!$C$18&lt;&gt;"Yes",NA(),IF(COUNT(I2090,J2090,K2090,L2090,M2090)=0,NA(),MIN(I2090,J2090,K2090,L2090,M2090))))</f>
        <v/>
      </c>
      <c r="O2090" s="54">
        <f>IF($B2090=0,NA(),IF(Inputs!$B$24&lt;&gt;"Yes",NA(),Inputs!$D$24*Inputs!$C$35))</f>
        <v/>
      </c>
      <c r="P2090" s="54">
        <f>IF($B2090=0,NA(),IF(Inputs!$B$25&lt;&gt;"Yes",NA(),Inputs!$D$25*Inputs!$C$35))</f>
        <v/>
      </c>
      <c r="Q2090" s="54">
        <f>IF($B2090=0,NA(),IF(Inputs!$B$26&lt;&gt;"Yes",NA(),Inputs!$D$26*Inputs!$C$35))</f>
        <v/>
      </c>
      <c r="R2090" s="54">
        <f>IF($B2090=0,NA(),IF(Inputs!$B$27&lt;&gt;"Yes",NA(),Inputs!$D$27*Inputs!$C$35))</f>
        <v/>
      </c>
      <c r="S2090" s="54">
        <f>IF($B2090=0,NA(),IF(Inputs!$B$28&lt;&gt;"Yes",NA(),Inputs!$D$28*Inputs!$C$35))</f>
        <v/>
      </c>
      <c r="T2090" s="54">
        <f>IF($B2090=0,NA(),IF(Inputs!$B$29&lt;&gt;"Yes",NA(),Inputs!$D$29*Inputs!$C$35))</f>
        <v/>
      </c>
      <c r="AD2090">
        <f>IF($B2090=0,0,IF(Inputs!$B$6="",0,COUNTIFS(Data!$A$10:$A$3209,"&gt;="&amp;$A2090,Data!$A$10:$A$3209,"&lt;"&amp;$A2090+1)))</f>
        <v/>
      </c>
      <c r="AE2090">
        <f>IF($B2090=0,0,IF(Inputs!$B$7="",0,COUNTIFS(Data!$E$10:$E$3209,"&gt;="&amp;$A2090,Data!$E$10:$E$3209,"&lt;"&amp;$A2090+1)))</f>
        <v/>
      </c>
      <c r="AF2090">
        <f>IF($B2090=0,0,IF(Inputs!$B$8="",0,COUNTIFS(Data!$I$10:$I$3209,"&gt;="&amp;$A2090,Data!$I$10:$I$3209,"&lt;"&amp;$A2090+1)))</f>
        <v/>
      </c>
      <c r="AG2090">
        <f>IF($B2090=0,0,IF(Inputs!$B$9="",0,COUNTIFS(Data!$M$10:$M$3209,"&gt;="&amp;$A2090,Data!$M$10:$M$3209,"&lt;"&amp;$A2090+1)))</f>
        <v/>
      </c>
      <c r="AH2090">
        <f>IF($B2090=0,0,IF(Inputs!$B$10="",0,COUNTIFS(Data!$Q$10:$Q$3209,"&gt;="&amp;$A2090,Data!$Q$10:$Q$3209,"&lt;"&amp;$A2090+1)))</f>
        <v/>
      </c>
    </row>
    <row r="2091">
      <c r="A2091" s="55">
        <f>MIN(Inputs!$C$15,$A2090+IF(WEEKDAY($A2090,2)=5,3,1))</f>
        <v/>
      </c>
      <c r="B2091">
        <f>IF($A2091&gt;$A2090,1,0)</f>
        <v/>
      </c>
      <c r="C2091" s="56">
        <f>IF($B2091=0,"",IF(Inputs!$B$6="","",IF($AD2091=0,C2090,SUMIFS(Data!$B$10:$B$3209,Data!$A$10:$A$3209,"&gt;="&amp;$A2091,Data!$A$10:$A$3209,"&lt;"&amp;$A2091+1)/$AD2091)))</f>
        <v/>
      </c>
      <c r="D2091" s="56">
        <f>IF($B2091=0,"",IF(Inputs!$B$7="","",IF($AE2091=0,D2090,SUMIFS(Data!$F$10:$F$3209,Data!$E$10:$E$3209,"&gt;="&amp;$A2091,Data!$E$10:$E$3209,"&lt;"&amp;$A2091+1)/$AE2091)))</f>
        <v/>
      </c>
      <c r="E2091" s="56">
        <f>IF($B2091=0,"",IF(Inputs!$B$8="","",IF($AF2091=0,E2090,SUMIFS(Data!$J$10:$J$3209,Data!$I$10:$I$3209,"&gt;="&amp;$A2091,Data!$I$10:$I$3209,"&lt;"&amp;$A2091+1)/$AF2091)))</f>
        <v/>
      </c>
      <c r="F2091" s="56">
        <f>IF($B2091=0,"",IF(Inputs!$B$9="","",IF($AG2091=0,F2090,SUMIFS(Data!$N$10:$N$3209,Data!$M$10:$M$3209,"&gt;="&amp;$A2091,Data!$M$10:$M$3209,"&lt;"&amp;$A2091+1)/$AG2091)))</f>
        <v/>
      </c>
      <c r="G2091" s="56">
        <f>IF($B2091=0,"",IF(Inputs!$B$10="","",IF($AH2091=0,G2090,SUMIFS(Data!$R$10:$R$3209,Data!$Q$10:$Q$3209,"&gt;="&amp;$A2091,Data!$Q$10:$Q$3209,"&lt;"&amp;$A2091+1)/$AH2091)))</f>
        <v/>
      </c>
      <c r="I2091" s="54">
        <f>IF($B2091=0,NA(),IF($C2091="",NA(),IF(C$8="",NA(),IF(N(C$8)=0,NA(),IF(Inputs!$C$17="Rebased to 100",$C2091/C$8*100,$C2091)))))</f>
        <v/>
      </c>
      <c r="J2091" s="54">
        <f>IF($B2091=0,NA(),IF($D2091="",NA(),IF(D$8="",NA(),IF(N(D$8)=0,NA(),IF(Inputs!$C$17="Rebased to 100",$D2091/D$8*100,$D2091)))))</f>
        <v/>
      </c>
      <c r="K2091" s="54">
        <f>IF($B2091=0,NA(),IF($E2091="",NA(),IF(E$8="",NA(),IF(N(E$8)=0,NA(),IF(Inputs!$C$17="Rebased to 100",$E2091/E$8*100,$E2091)))))</f>
        <v/>
      </c>
      <c r="L2091" s="54">
        <f>IF($B2091=0,NA(),IF($F2091="",NA(),IF(F$8="",NA(),IF(N(F$8)=0,NA(),IF(Inputs!$C$17="Rebased to 100",$F2091/F$8*100,$F2091)))))</f>
        <v/>
      </c>
      <c r="M2091" s="54">
        <f>IF($B2091=0,NA(),IF($G2091="",NA(),IF(G$8="",NA(),IF(N(G$8)=0,NA(),IF(Inputs!$C$17="Rebased to 100",$G2091/G$8*100,$G2091)))))</f>
        <v/>
      </c>
      <c r="N2091" s="54">
        <f>IF($B2091=0,NA(),IF(Inputs!$C$18&lt;&gt;"Yes",NA(),IF(COUNT(I2091,J2091,K2091,L2091,M2091)=0,NA(),MIN(I2091,J2091,K2091,L2091,M2091))))</f>
        <v/>
      </c>
      <c r="O2091" s="54">
        <f>IF($B2091=0,NA(),IF(Inputs!$B$24&lt;&gt;"Yes",NA(),Inputs!$D$24*Inputs!$C$35))</f>
        <v/>
      </c>
      <c r="P2091" s="54">
        <f>IF($B2091=0,NA(),IF(Inputs!$B$25&lt;&gt;"Yes",NA(),Inputs!$D$25*Inputs!$C$35))</f>
        <v/>
      </c>
      <c r="Q2091" s="54">
        <f>IF($B2091=0,NA(),IF(Inputs!$B$26&lt;&gt;"Yes",NA(),Inputs!$D$26*Inputs!$C$35))</f>
        <v/>
      </c>
      <c r="R2091" s="54">
        <f>IF($B2091=0,NA(),IF(Inputs!$B$27&lt;&gt;"Yes",NA(),Inputs!$D$27*Inputs!$C$35))</f>
        <v/>
      </c>
      <c r="S2091" s="54">
        <f>IF($B2091=0,NA(),IF(Inputs!$B$28&lt;&gt;"Yes",NA(),Inputs!$D$28*Inputs!$C$35))</f>
        <v/>
      </c>
      <c r="T2091" s="54">
        <f>IF($B2091=0,NA(),IF(Inputs!$B$29&lt;&gt;"Yes",NA(),Inputs!$D$29*Inputs!$C$35))</f>
        <v/>
      </c>
      <c r="AD2091">
        <f>IF($B2091=0,0,IF(Inputs!$B$6="",0,COUNTIFS(Data!$A$10:$A$3209,"&gt;="&amp;$A2091,Data!$A$10:$A$3209,"&lt;"&amp;$A2091+1)))</f>
        <v/>
      </c>
      <c r="AE2091">
        <f>IF($B2091=0,0,IF(Inputs!$B$7="",0,COUNTIFS(Data!$E$10:$E$3209,"&gt;="&amp;$A2091,Data!$E$10:$E$3209,"&lt;"&amp;$A2091+1)))</f>
        <v/>
      </c>
      <c r="AF2091">
        <f>IF($B2091=0,0,IF(Inputs!$B$8="",0,COUNTIFS(Data!$I$10:$I$3209,"&gt;="&amp;$A2091,Data!$I$10:$I$3209,"&lt;"&amp;$A2091+1)))</f>
        <v/>
      </c>
      <c r="AG2091">
        <f>IF($B2091=0,0,IF(Inputs!$B$9="",0,COUNTIFS(Data!$M$10:$M$3209,"&gt;="&amp;$A2091,Data!$M$10:$M$3209,"&lt;"&amp;$A2091+1)))</f>
        <v/>
      </c>
      <c r="AH2091">
        <f>IF($B2091=0,0,IF(Inputs!$B$10="",0,COUNTIFS(Data!$Q$10:$Q$3209,"&gt;="&amp;$A2091,Data!$Q$10:$Q$3209,"&lt;"&amp;$A2091+1)))</f>
        <v/>
      </c>
    </row>
    <row r="2092">
      <c r="A2092" s="55">
        <f>MIN(Inputs!$C$15,$A2091+IF(WEEKDAY($A2091,2)=5,3,1))</f>
        <v/>
      </c>
      <c r="B2092">
        <f>IF($A2092&gt;$A2091,1,0)</f>
        <v/>
      </c>
      <c r="C2092" s="56">
        <f>IF($B2092=0,"",IF(Inputs!$B$6="","",IF($AD2092=0,C2091,SUMIFS(Data!$B$10:$B$3209,Data!$A$10:$A$3209,"&gt;="&amp;$A2092,Data!$A$10:$A$3209,"&lt;"&amp;$A2092+1)/$AD2092)))</f>
        <v/>
      </c>
      <c r="D2092" s="56">
        <f>IF($B2092=0,"",IF(Inputs!$B$7="","",IF($AE2092=0,D2091,SUMIFS(Data!$F$10:$F$3209,Data!$E$10:$E$3209,"&gt;="&amp;$A2092,Data!$E$10:$E$3209,"&lt;"&amp;$A2092+1)/$AE2092)))</f>
        <v/>
      </c>
      <c r="E2092" s="56">
        <f>IF($B2092=0,"",IF(Inputs!$B$8="","",IF($AF2092=0,E2091,SUMIFS(Data!$J$10:$J$3209,Data!$I$10:$I$3209,"&gt;="&amp;$A2092,Data!$I$10:$I$3209,"&lt;"&amp;$A2092+1)/$AF2092)))</f>
        <v/>
      </c>
      <c r="F2092" s="56">
        <f>IF($B2092=0,"",IF(Inputs!$B$9="","",IF($AG2092=0,F2091,SUMIFS(Data!$N$10:$N$3209,Data!$M$10:$M$3209,"&gt;="&amp;$A2092,Data!$M$10:$M$3209,"&lt;"&amp;$A2092+1)/$AG2092)))</f>
        <v/>
      </c>
      <c r="G2092" s="56">
        <f>IF($B2092=0,"",IF(Inputs!$B$10="","",IF($AH2092=0,G2091,SUMIFS(Data!$R$10:$R$3209,Data!$Q$10:$Q$3209,"&gt;="&amp;$A2092,Data!$Q$10:$Q$3209,"&lt;"&amp;$A2092+1)/$AH2092)))</f>
        <v/>
      </c>
      <c r="I2092" s="54">
        <f>IF($B2092=0,NA(),IF($C2092="",NA(),IF(C$8="",NA(),IF(N(C$8)=0,NA(),IF(Inputs!$C$17="Rebased to 100",$C2092/C$8*100,$C2092)))))</f>
        <v/>
      </c>
      <c r="J2092" s="54">
        <f>IF($B2092=0,NA(),IF($D2092="",NA(),IF(D$8="",NA(),IF(N(D$8)=0,NA(),IF(Inputs!$C$17="Rebased to 100",$D2092/D$8*100,$D2092)))))</f>
        <v/>
      </c>
      <c r="K2092" s="54">
        <f>IF($B2092=0,NA(),IF($E2092="",NA(),IF(E$8="",NA(),IF(N(E$8)=0,NA(),IF(Inputs!$C$17="Rebased to 100",$E2092/E$8*100,$E2092)))))</f>
        <v/>
      </c>
      <c r="L2092" s="54">
        <f>IF($B2092=0,NA(),IF($F2092="",NA(),IF(F$8="",NA(),IF(N(F$8)=0,NA(),IF(Inputs!$C$17="Rebased to 100",$F2092/F$8*100,$F2092)))))</f>
        <v/>
      </c>
      <c r="M2092" s="54">
        <f>IF($B2092=0,NA(),IF($G2092="",NA(),IF(G$8="",NA(),IF(N(G$8)=0,NA(),IF(Inputs!$C$17="Rebased to 100",$G2092/G$8*100,$G2092)))))</f>
        <v/>
      </c>
      <c r="N2092" s="54">
        <f>IF($B2092=0,NA(),IF(Inputs!$C$18&lt;&gt;"Yes",NA(),IF(COUNT(I2092,J2092,K2092,L2092,M2092)=0,NA(),MIN(I2092,J2092,K2092,L2092,M2092))))</f>
        <v/>
      </c>
      <c r="O2092" s="54">
        <f>IF($B2092=0,NA(),IF(Inputs!$B$24&lt;&gt;"Yes",NA(),Inputs!$D$24*Inputs!$C$35))</f>
        <v/>
      </c>
      <c r="P2092" s="54">
        <f>IF($B2092=0,NA(),IF(Inputs!$B$25&lt;&gt;"Yes",NA(),Inputs!$D$25*Inputs!$C$35))</f>
        <v/>
      </c>
      <c r="Q2092" s="54">
        <f>IF($B2092=0,NA(),IF(Inputs!$B$26&lt;&gt;"Yes",NA(),Inputs!$D$26*Inputs!$C$35))</f>
        <v/>
      </c>
      <c r="R2092" s="54">
        <f>IF($B2092=0,NA(),IF(Inputs!$B$27&lt;&gt;"Yes",NA(),Inputs!$D$27*Inputs!$C$35))</f>
        <v/>
      </c>
      <c r="S2092" s="54">
        <f>IF($B2092=0,NA(),IF(Inputs!$B$28&lt;&gt;"Yes",NA(),Inputs!$D$28*Inputs!$C$35))</f>
        <v/>
      </c>
      <c r="T2092" s="54">
        <f>IF($B2092=0,NA(),IF(Inputs!$B$29&lt;&gt;"Yes",NA(),Inputs!$D$29*Inputs!$C$35))</f>
        <v/>
      </c>
      <c r="AD2092">
        <f>IF($B2092=0,0,IF(Inputs!$B$6="",0,COUNTIFS(Data!$A$10:$A$3209,"&gt;="&amp;$A2092,Data!$A$10:$A$3209,"&lt;"&amp;$A2092+1)))</f>
        <v/>
      </c>
      <c r="AE2092">
        <f>IF($B2092=0,0,IF(Inputs!$B$7="",0,COUNTIFS(Data!$E$10:$E$3209,"&gt;="&amp;$A2092,Data!$E$10:$E$3209,"&lt;"&amp;$A2092+1)))</f>
        <v/>
      </c>
      <c r="AF2092">
        <f>IF($B2092=0,0,IF(Inputs!$B$8="",0,COUNTIFS(Data!$I$10:$I$3209,"&gt;="&amp;$A2092,Data!$I$10:$I$3209,"&lt;"&amp;$A2092+1)))</f>
        <v/>
      </c>
      <c r="AG2092">
        <f>IF($B2092=0,0,IF(Inputs!$B$9="",0,COUNTIFS(Data!$M$10:$M$3209,"&gt;="&amp;$A2092,Data!$M$10:$M$3209,"&lt;"&amp;$A2092+1)))</f>
        <v/>
      </c>
      <c r="AH2092">
        <f>IF($B2092=0,0,IF(Inputs!$B$10="",0,COUNTIFS(Data!$Q$10:$Q$3209,"&gt;="&amp;$A2092,Data!$Q$10:$Q$3209,"&lt;"&amp;$A2092+1)))</f>
        <v/>
      </c>
    </row>
    <row r="2093">
      <c r="A2093" s="55">
        <f>MIN(Inputs!$C$15,$A2092+IF(WEEKDAY($A2092,2)=5,3,1))</f>
        <v/>
      </c>
      <c r="B2093">
        <f>IF($A2093&gt;$A2092,1,0)</f>
        <v/>
      </c>
      <c r="C2093" s="56">
        <f>IF($B2093=0,"",IF(Inputs!$B$6="","",IF($AD2093=0,C2092,SUMIFS(Data!$B$10:$B$3209,Data!$A$10:$A$3209,"&gt;="&amp;$A2093,Data!$A$10:$A$3209,"&lt;"&amp;$A2093+1)/$AD2093)))</f>
        <v/>
      </c>
      <c r="D2093" s="56">
        <f>IF($B2093=0,"",IF(Inputs!$B$7="","",IF($AE2093=0,D2092,SUMIFS(Data!$F$10:$F$3209,Data!$E$10:$E$3209,"&gt;="&amp;$A2093,Data!$E$10:$E$3209,"&lt;"&amp;$A2093+1)/$AE2093)))</f>
        <v/>
      </c>
      <c r="E2093" s="56">
        <f>IF($B2093=0,"",IF(Inputs!$B$8="","",IF($AF2093=0,E2092,SUMIFS(Data!$J$10:$J$3209,Data!$I$10:$I$3209,"&gt;="&amp;$A2093,Data!$I$10:$I$3209,"&lt;"&amp;$A2093+1)/$AF2093)))</f>
        <v/>
      </c>
      <c r="F2093" s="56">
        <f>IF($B2093=0,"",IF(Inputs!$B$9="","",IF($AG2093=0,F2092,SUMIFS(Data!$N$10:$N$3209,Data!$M$10:$M$3209,"&gt;="&amp;$A2093,Data!$M$10:$M$3209,"&lt;"&amp;$A2093+1)/$AG2093)))</f>
        <v/>
      </c>
      <c r="G2093" s="56">
        <f>IF($B2093=0,"",IF(Inputs!$B$10="","",IF($AH2093=0,G2092,SUMIFS(Data!$R$10:$R$3209,Data!$Q$10:$Q$3209,"&gt;="&amp;$A2093,Data!$Q$10:$Q$3209,"&lt;"&amp;$A2093+1)/$AH2093)))</f>
        <v/>
      </c>
      <c r="I2093" s="54">
        <f>IF($B2093=0,NA(),IF($C2093="",NA(),IF(C$8="",NA(),IF(N(C$8)=0,NA(),IF(Inputs!$C$17="Rebased to 100",$C2093/C$8*100,$C2093)))))</f>
        <v/>
      </c>
      <c r="J2093" s="54">
        <f>IF($B2093=0,NA(),IF($D2093="",NA(),IF(D$8="",NA(),IF(N(D$8)=0,NA(),IF(Inputs!$C$17="Rebased to 100",$D2093/D$8*100,$D2093)))))</f>
        <v/>
      </c>
      <c r="K2093" s="54">
        <f>IF($B2093=0,NA(),IF($E2093="",NA(),IF(E$8="",NA(),IF(N(E$8)=0,NA(),IF(Inputs!$C$17="Rebased to 100",$E2093/E$8*100,$E2093)))))</f>
        <v/>
      </c>
      <c r="L2093" s="54">
        <f>IF($B2093=0,NA(),IF($F2093="",NA(),IF(F$8="",NA(),IF(N(F$8)=0,NA(),IF(Inputs!$C$17="Rebased to 100",$F2093/F$8*100,$F2093)))))</f>
        <v/>
      </c>
      <c r="M2093" s="54">
        <f>IF($B2093=0,NA(),IF($G2093="",NA(),IF(G$8="",NA(),IF(N(G$8)=0,NA(),IF(Inputs!$C$17="Rebased to 100",$G2093/G$8*100,$G2093)))))</f>
        <v/>
      </c>
      <c r="N2093" s="54">
        <f>IF($B2093=0,NA(),IF(Inputs!$C$18&lt;&gt;"Yes",NA(),IF(COUNT(I2093,J2093,K2093,L2093,M2093)=0,NA(),MIN(I2093,J2093,K2093,L2093,M2093))))</f>
        <v/>
      </c>
      <c r="O2093" s="54">
        <f>IF($B2093=0,NA(),IF(Inputs!$B$24&lt;&gt;"Yes",NA(),Inputs!$D$24*Inputs!$C$35))</f>
        <v/>
      </c>
      <c r="P2093" s="54">
        <f>IF($B2093=0,NA(),IF(Inputs!$B$25&lt;&gt;"Yes",NA(),Inputs!$D$25*Inputs!$C$35))</f>
        <v/>
      </c>
      <c r="Q2093" s="54">
        <f>IF($B2093=0,NA(),IF(Inputs!$B$26&lt;&gt;"Yes",NA(),Inputs!$D$26*Inputs!$C$35))</f>
        <v/>
      </c>
      <c r="R2093" s="54">
        <f>IF($B2093=0,NA(),IF(Inputs!$B$27&lt;&gt;"Yes",NA(),Inputs!$D$27*Inputs!$C$35))</f>
        <v/>
      </c>
      <c r="S2093" s="54">
        <f>IF($B2093=0,NA(),IF(Inputs!$B$28&lt;&gt;"Yes",NA(),Inputs!$D$28*Inputs!$C$35))</f>
        <v/>
      </c>
      <c r="T2093" s="54">
        <f>IF($B2093=0,NA(),IF(Inputs!$B$29&lt;&gt;"Yes",NA(),Inputs!$D$29*Inputs!$C$35))</f>
        <v/>
      </c>
      <c r="AD2093">
        <f>IF($B2093=0,0,IF(Inputs!$B$6="",0,COUNTIFS(Data!$A$10:$A$3209,"&gt;="&amp;$A2093,Data!$A$10:$A$3209,"&lt;"&amp;$A2093+1)))</f>
        <v/>
      </c>
      <c r="AE2093">
        <f>IF($B2093=0,0,IF(Inputs!$B$7="",0,COUNTIFS(Data!$E$10:$E$3209,"&gt;="&amp;$A2093,Data!$E$10:$E$3209,"&lt;"&amp;$A2093+1)))</f>
        <v/>
      </c>
      <c r="AF2093">
        <f>IF($B2093=0,0,IF(Inputs!$B$8="",0,COUNTIFS(Data!$I$10:$I$3209,"&gt;="&amp;$A2093,Data!$I$10:$I$3209,"&lt;"&amp;$A2093+1)))</f>
        <v/>
      </c>
      <c r="AG2093">
        <f>IF($B2093=0,0,IF(Inputs!$B$9="",0,COUNTIFS(Data!$M$10:$M$3209,"&gt;="&amp;$A2093,Data!$M$10:$M$3209,"&lt;"&amp;$A2093+1)))</f>
        <v/>
      </c>
      <c r="AH2093">
        <f>IF($B2093=0,0,IF(Inputs!$B$10="",0,COUNTIFS(Data!$Q$10:$Q$3209,"&gt;="&amp;$A2093,Data!$Q$10:$Q$3209,"&lt;"&amp;$A2093+1)))</f>
        <v/>
      </c>
    </row>
    <row r="2094">
      <c r="A2094" s="55">
        <f>MIN(Inputs!$C$15,$A2093+IF(WEEKDAY($A2093,2)=5,3,1))</f>
        <v/>
      </c>
      <c r="B2094">
        <f>IF($A2094&gt;$A2093,1,0)</f>
        <v/>
      </c>
      <c r="C2094" s="56">
        <f>IF($B2094=0,"",IF(Inputs!$B$6="","",IF($AD2094=0,C2093,SUMIFS(Data!$B$10:$B$3209,Data!$A$10:$A$3209,"&gt;="&amp;$A2094,Data!$A$10:$A$3209,"&lt;"&amp;$A2094+1)/$AD2094)))</f>
        <v/>
      </c>
      <c r="D2094" s="56">
        <f>IF($B2094=0,"",IF(Inputs!$B$7="","",IF($AE2094=0,D2093,SUMIFS(Data!$F$10:$F$3209,Data!$E$10:$E$3209,"&gt;="&amp;$A2094,Data!$E$10:$E$3209,"&lt;"&amp;$A2094+1)/$AE2094)))</f>
        <v/>
      </c>
      <c r="E2094" s="56">
        <f>IF($B2094=0,"",IF(Inputs!$B$8="","",IF($AF2094=0,E2093,SUMIFS(Data!$J$10:$J$3209,Data!$I$10:$I$3209,"&gt;="&amp;$A2094,Data!$I$10:$I$3209,"&lt;"&amp;$A2094+1)/$AF2094)))</f>
        <v/>
      </c>
      <c r="F2094" s="56">
        <f>IF($B2094=0,"",IF(Inputs!$B$9="","",IF($AG2094=0,F2093,SUMIFS(Data!$N$10:$N$3209,Data!$M$10:$M$3209,"&gt;="&amp;$A2094,Data!$M$10:$M$3209,"&lt;"&amp;$A2094+1)/$AG2094)))</f>
        <v/>
      </c>
      <c r="G2094" s="56">
        <f>IF($B2094=0,"",IF(Inputs!$B$10="","",IF($AH2094=0,G2093,SUMIFS(Data!$R$10:$R$3209,Data!$Q$10:$Q$3209,"&gt;="&amp;$A2094,Data!$Q$10:$Q$3209,"&lt;"&amp;$A2094+1)/$AH2094)))</f>
        <v/>
      </c>
      <c r="I2094" s="54">
        <f>IF($B2094=0,NA(),IF($C2094="",NA(),IF(C$8="",NA(),IF(N(C$8)=0,NA(),IF(Inputs!$C$17="Rebased to 100",$C2094/C$8*100,$C2094)))))</f>
        <v/>
      </c>
      <c r="J2094" s="54">
        <f>IF($B2094=0,NA(),IF($D2094="",NA(),IF(D$8="",NA(),IF(N(D$8)=0,NA(),IF(Inputs!$C$17="Rebased to 100",$D2094/D$8*100,$D2094)))))</f>
        <v/>
      </c>
      <c r="K2094" s="54">
        <f>IF($B2094=0,NA(),IF($E2094="",NA(),IF(E$8="",NA(),IF(N(E$8)=0,NA(),IF(Inputs!$C$17="Rebased to 100",$E2094/E$8*100,$E2094)))))</f>
        <v/>
      </c>
      <c r="L2094" s="54">
        <f>IF($B2094=0,NA(),IF($F2094="",NA(),IF(F$8="",NA(),IF(N(F$8)=0,NA(),IF(Inputs!$C$17="Rebased to 100",$F2094/F$8*100,$F2094)))))</f>
        <v/>
      </c>
      <c r="M2094" s="54">
        <f>IF($B2094=0,NA(),IF($G2094="",NA(),IF(G$8="",NA(),IF(N(G$8)=0,NA(),IF(Inputs!$C$17="Rebased to 100",$G2094/G$8*100,$G2094)))))</f>
        <v/>
      </c>
      <c r="N2094" s="54">
        <f>IF($B2094=0,NA(),IF(Inputs!$C$18&lt;&gt;"Yes",NA(),IF(COUNT(I2094,J2094,K2094,L2094,M2094)=0,NA(),MIN(I2094,J2094,K2094,L2094,M2094))))</f>
        <v/>
      </c>
      <c r="O2094" s="54">
        <f>IF($B2094=0,NA(),IF(Inputs!$B$24&lt;&gt;"Yes",NA(),Inputs!$D$24*Inputs!$C$35))</f>
        <v/>
      </c>
      <c r="P2094" s="54">
        <f>IF($B2094=0,NA(),IF(Inputs!$B$25&lt;&gt;"Yes",NA(),Inputs!$D$25*Inputs!$C$35))</f>
        <v/>
      </c>
      <c r="Q2094" s="54">
        <f>IF($B2094=0,NA(),IF(Inputs!$B$26&lt;&gt;"Yes",NA(),Inputs!$D$26*Inputs!$C$35))</f>
        <v/>
      </c>
      <c r="R2094" s="54">
        <f>IF($B2094=0,NA(),IF(Inputs!$B$27&lt;&gt;"Yes",NA(),Inputs!$D$27*Inputs!$C$35))</f>
        <v/>
      </c>
      <c r="S2094" s="54">
        <f>IF($B2094=0,NA(),IF(Inputs!$B$28&lt;&gt;"Yes",NA(),Inputs!$D$28*Inputs!$C$35))</f>
        <v/>
      </c>
      <c r="T2094" s="54">
        <f>IF($B2094=0,NA(),IF(Inputs!$B$29&lt;&gt;"Yes",NA(),Inputs!$D$29*Inputs!$C$35))</f>
        <v/>
      </c>
      <c r="AD2094">
        <f>IF($B2094=0,0,IF(Inputs!$B$6="",0,COUNTIFS(Data!$A$10:$A$3209,"&gt;="&amp;$A2094,Data!$A$10:$A$3209,"&lt;"&amp;$A2094+1)))</f>
        <v/>
      </c>
      <c r="AE2094">
        <f>IF($B2094=0,0,IF(Inputs!$B$7="",0,COUNTIFS(Data!$E$10:$E$3209,"&gt;="&amp;$A2094,Data!$E$10:$E$3209,"&lt;"&amp;$A2094+1)))</f>
        <v/>
      </c>
      <c r="AF2094">
        <f>IF($B2094=0,0,IF(Inputs!$B$8="",0,COUNTIFS(Data!$I$10:$I$3209,"&gt;="&amp;$A2094,Data!$I$10:$I$3209,"&lt;"&amp;$A2094+1)))</f>
        <v/>
      </c>
      <c r="AG2094">
        <f>IF($B2094=0,0,IF(Inputs!$B$9="",0,COUNTIFS(Data!$M$10:$M$3209,"&gt;="&amp;$A2094,Data!$M$10:$M$3209,"&lt;"&amp;$A2094+1)))</f>
        <v/>
      </c>
      <c r="AH2094">
        <f>IF($B2094=0,0,IF(Inputs!$B$10="",0,COUNTIFS(Data!$Q$10:$Q$3209,"&gt;="&amp;$A2094,Data!$Q$10:$Q$3209,"&lt;"&amp;$A2094+1)))</f>
        <v/>
      </c>
    </row>
    <row r="2095">
      <c r="A2095" s="55">
        <f>MIN(Inputs!$C$15,$A2094+IF(WEEKDAY($A2094,2)=5,3,1))</f>
        <v/>
      </c>
      <c r="B2095">
        <f>IF($A2095&gt;$A2094,1,0)</f>
        <v/>
      </c>
      <c r="C2095" s="56">
        <f>IF($B2095=0,"",IF(Inputs!$B$6="","",IF($AD2095=0,C2094,SUMIFS(Data!$B$10:$B$3209,Data!$A$10:$A$3209,"&gt;="&amp;$A2095,Data!$A$10:$A$3209,"&lt;"&amp;$A2095+1)/$AD2095)))</f>
        <v/>
      </c>
      <c r="D2095" s="56">
        <f>IF($B2095=0,"",IF(Inputs!$B$7="","",IF($AE2095=0,D2094,SUMIFS(Data!$F$10:$F$3209,Data!$E$10:$E$3209,"&gt;="&amp;$A2095,Data!$E$10:$E$3209,"&lt;"&amp;$A2095+1)/$AE2095)))</f>
        <v/>
      </c>
      <c r="E2095" s="56">
        <f>IF($B2095=0,"",IF(Inputs!$B$8="","",IF($AF2095=0,E2094,SUMIFS(Data!$J$10:$J$3209,Data!$I$10:$I$3209,"&gt;="&amp;$A2095,Data!$I$10:$I$3209,"&lt;"&amp;$A2095+1)/$AF2095)))</f>
        <v/>
      </c>
      <c r="F2095" s="56">
        <f>IF($B2095=0,"",IF(Inputs!$B$9="","",IF($AG2095=0,F2094,SUMIFS(Data!$N$10:$N$3209,Data!$M$10:$M$3209,"&gt;="&amp;$A2095,Data!$M$10:$M$3209,"&lt;"&amp;$A2095+1)/$AG2095)))</f>
        <v/>
      </c>
      <c r="G2095" s="56">
        <f>IF($B2095=0,"",IF(Inputs!$B$10="","",IF($AH2095=0,G2094,SUMIFS(Data!$R$10:$R$3209,Data!$Q$10:$Q$3209,"&gt;="&amp;$A2095,Data!$Q$10:$Q$3209,"&lt;"&amp;$A2095+1)/$AH2095)))</f>
        <v/>
      </c>
      <c r="I2095" s="54">
        <f>IF($B2095=0,NA(),IF($C2095="",NA(),IF(C$8="",NA(),IF(N(C$8)=0,NA(),IF(Inputs!$C$17="Rebased to 100",$C2095/C$8*100,$C2095)))))</f>
        <v/>
      </c>
      <c r="J2095" s="54">
        <f>IF($B2095=0,NA(),IF($D2095="",NA(),IF(D$8="",NA(),IF(N(D$8)=0,NA(),IF(Inputs!$C$17="Rebased to 100",$D2095/D$8*100,$D2095)))))</f>
        <v/>
      </c>
      <c r="K2095" s="54">
        <f>IF($B2095=0,NA(),IF($E2095="",NA(),IF(E$8="",NA(),IF(N(E$8)=0,NA(),IF(Inputs!$C$17="Rebased to 100",$E2095/E$8*100,$E2095)))))</f>
        <v/>
      </c>
      <c r="L2095" s="54">
        <f>IF($B2095=0,NA(),IF($F2095="",NA(),IF(F$8="",NA(),IF(N(F$8)=0,NA(),IF(Inputs!$C$17="Rebased to 100",$F2095/F$8*100,$F2095)))))</f>
        <v/>
      </c>
      <c r="M2095" s="54">
        <f>IF($B2095=0,NA(),IF($G2095="",NA(),IF(G$8="",NA(),IF(N(G$8)=0,NA(),IF(Inputs!$C$17="Rebased to 100",$G2095/G$8*100,$G2095)))))</f>
        <v/>
      </c>
      <c r="N2095" s="54">
        <f>IF($B2095=0,NA(),IF(Inputs!$C$18&lt;&gt;"Yes",NA(),IF(COUNT(I2095,J2095,K2095,L2095,M2095)=0,NA(),MIN(I2095,J2095,K2095,L2095,M2095))))</f>
        <v/>
      </c>
      <c r="O2095" s="54">
        <f>IF($B2095=0,NA(),IF(Inputs!$B$24&lt;&gt;"Yes",NA(),Inputs!$D$24*Inputs!$C$35))</f>
        <v/>
      </c>
      <c r="P2095" s="54">
        <f>IF($B2095=0,NA(),IF(Inputs!$B$25&lt;&gt;"Yes",NA(),Inputs!$D$25*Inputs!$C$35))</f>
        <v/>
      </c>
      <c r="Q2095" s="54">
        <f>IF($B2095=0,NA(),IF(Inputs!$B$26&lt;&gt;"Yes",NA(),Inputs!$D$26*Inputs!$C$35))</f>
        <v/>
      </c>
      <c r="R2095" s="54">
        <f>IF($B2095=0,NA(),IF(Inputs!$B$27&lt;&gt;"Yes",NA(),Inputs!$D$27*Inputs!$C$35))</f>
        <v/>
      </c>
      <c r="S2095" s="54">
        <f>IF($B2095=0,NA(),IF(Inputs!$B$28&lt;&gt;"Yes",NA(),Inputs!$D$28*Inputs!$C$35))</f>
        <v/>
      </c>
      <c r="T2095" s="54">
        <f>IF($B2095=0,NA(),IF(Inputs!$B$29&lt;&gt;"Yes",NA(),Inputs!$D$29*Inputs!$C$35))</f>
        <v/>
      </c>
      <c r="AD2095">
        <f>IF($B2095=0,0,IF(Inputs!$B$6="",0,COUNTIFS(Data!$A$10:$A$3209,"&gt;="&amp;$A2095,Data!$A$10:$A$3209,"&lt;"&amp;$A2095+1)))</f>
        <v/>
      </c>
      <c r="AE2095">
        <f>IF($B2095=0,0,IF(Inputs!$B$7="",0,COUNTIFS(Data!$E$10:$E$3209,"&gt;="&amp;$A2095,Data!$E$10:$E$3209,"&lt;"&amp;$A2095+1)))</f>
        <v/>
      </c>
      <c r="AF2095">
        <f>IF($B2095=0,0,IF(Inputs!$B$8="",0,COUNTIFS(Data!$I$10:$I$3209,"&gt;="&amp;$A2095,Data!$I$10:$I$3209,"&lt;"&amp;$A2095+1)))</f>
        <v/>
      </c>
      <c r="AG2095">
        <f>IF($B2095=0,0,IF(Inputs!$B$9="",0,COUNTIFS(Data!$M$10:$M$3209,"&gt;="&amp;$A2095,Data!$M$10:$M$3209,"&lt;"&amp;$A2095+1)))</f>
        <v/>
      </c>
      <c r="AH2095">
        <f>IF($B2095=0,0,IF(Inputs!$B$10="",0,COUNTIFS(Data!$Q$10:$Q$3209,"&gt;="&amp;$A2095,Data!$Q$10:$Q$3209,"&lt;"&amp;$A2095+1)))</f>
        <v/>
      </c>
    </row>
    <row r="2096">
      <c r="A2096" s="55">
        <f>MIN(Inputs!$C$15,$A2095+IF(WEEKDAY($A2095,2)=5,3,1))</f>
        <v/>
      </c>
      <c r="B2096">
        <f>IF($A2096&gt;$A2095,1,0)</f>
        <v/>
      </c>
      <c r="C2096" s="56">
        <f>IF($B2096=0,"",IF(Inputs!$B$6="","",IF($AD2096=0,C2095,SUMIFS(Data!$B$10:$B$3209,Data!$A$10:$A$3209,"&gt;="&amp;$A2096,Data!$A$10:$A$3209,"&lt;"&amp;$A2096+1)/$AD2096)))</f>
        <v/>
      </c>
      <c r="D2096" s="56">
        <f>IF($B2096=0,"",IF(Inputs!$B$7="","",IF($AE2096=0,D2095,SUMIFS(Data!$F$10:$F$3209,Data!$E$10:$E$3209,"&gt;="&amp;$A2096,Data!$E$10:$E$3209,"&lt;"&amp;$A2096+1)/$AE2096)))</f>
        <v/>
      </c>
      <c r="E2096" s="56">
        <f>IF($B2096=0,"",IF(Inputs!$B$8="","",IF($AF2096=0,E2095,SUMIFS(Data!$J$10:$J$3209,Data!$I$10:$I$3209,"&gt;="&amp;$A2096,Data!$I$10:$I$3209,"&lt;"&amp;$A2096+1)/$AF2096)))</f>
        <v/>
      </c>
      <c r="F2096" s="56">
        <f>IF($B2096=0,"",IF(Inputs!$B$9="","",IF($AG2096=0,F2095,SUMIFS(Data!$N$10:$N$3209,Data!$M$10:$M$3209,"&gt;="&amp;$A2096,Data!$M$10:$M$3209,"&lt;"&amp;$A2096+1)/$AG2096)))</f>
        <v/>
      </c>
      <c r="G2096" s="56">
        <f>IF($B2096=0,"",IF(Inputs!$B$10="","",IF($AH2096=0,G2095,SUMIFS(Data!$R$10:$R$3209,Data!$Q$10:$Q$3209,"&gt;="&amp;$A2096,Data!$Q$10:$Q$3209,"&lt;"&amp;$A2096+1)/$AH2096)))</f>
        <v/>
      </c>
      <c r="I2096" s="54">
        <f>IF($B2096=0,NA(),IF($C2096="",NA(),IF(C$8="",NA(),IF(N(C$8)=0,NA(),IF(Inputs!$C$17="Rebased to 100",$C2096/C$8*100,$C2096)))))</f>
        <v/>
      </c>
      <c r="J2096" s="54">
        <f>IF($B2096=0,NA(),IF($D2096="",NA(),IF(D$8="",NA(),IF(N(D$8)=0,NA(),IF(Inputs!$C$17="Rebased to 100",$D2096/D$8*100,$D2096)))))</f>
        <v/>
      </c>
      <c r="K2096" s="54">
        <f>IF($B2096=0,NA(),IF($E2096="",NA(),IF(E$8="",NA(),IF(N(E$8)=0,NA(),IF(Inputs!$C$17="Rebased to 100",$E2096/E$8*100,$E2096)))))</f>
        <v/>
      </c>
      <c r="L2096" s="54">
        <f>IF($B2096=0,NA(),IF($F2096="",NA(),IF(F$8="",NA(),IF(N(F$8)=0,NA(),IF(Inputs!$C$17="Rebased to 100",$F2096/F$8*100,$F2096)))))</f>
        <v/>
      </c>
      <c r="M2096" s="54">
        <f>IF($B2096=0,NA(),IF($G2096="",NA(),IF(G$8="",NA(),IF(N(G$8)=0,NA(),IF(Inputs!$C$17="Rebased to 100",$G2096/G$8*100,$G2096)))))</f>
        <v/>
      </c>
      <c r="N2096" s="54">
        <f>IF($B2096=0,NA(),IF(Inputs!$C$18&lt;&gt;"Yes",NA(),IF(COUNT(I2096,J2096,K2096,L2096,M2096)=0,NA(),MIN(I2096,J2096,K2096,L2096,M2096))))</f>
        <v/>
      </c>
      <c r="O2096" s="54">
        <f>IF($B2096=0,NA(),IF(Inputs!$B$24&lt;&gt;"Yes",NA(),Inputs!$D$24*Inputs!$C$35))</f>
        <v/>
      </c>
      <c r="P2096" s="54">
        <f>IF($B2096=0,NA(),IF(Inputs!$B$25&lt;&gt;"Yes",NA(),Inputs!$D$25*Inputs!$C$35))</f>
        <v/>
      </c>
      <c r="Q2096" s="54">
        <f>IF($B2096=0,NA(),IF(Inputs!$B$26&lt;&gt;"Yes",NA(),Inputs!$D$26*Inputs!$C$35))</f>
        <v/>
      </c>
      <c r="R2096" s="54">
        <f>IF($B2096=0,NA(),IF(Inputs!$B$27&lt;&gt;"Yes",NA(),Inputs!$D$27*Inputs!$C$35))</f>
        <v/>
      </c>
      <c r="S2096" s="54">
        <f>IF($B2096=0,NA(),IF(Inputs!$B$28&lt;&gt;"Yes",NA(),Inputs!$D$28*Inputs!$C$35))</f>
        <v/>
      </c>
      <c r="T2096" s="54">
        <f>IF($B2096=0,NA(),IF(Inputs!$B$29&lt;&gt;"Yes",NA(),Inputs!$D$29*Inputs!$C$35))</f>
        <v/>
      </c>
      <c r="AD2096">
        <f>IF($B2096=0,0,IF(Inputs!$B$6="",0,COUNTIFS(Data!$A$10:$A$3209,"&gt;="&amp;$A2096,Data!$A$10:$A$3209,"&lt;"&amp;$A2096+1)))</f>
        <v/>
      </c>
      <c r="AE2096">
        <f>IF($B2096=0,0,IF(Inputs!$B$7="",0,COUNTIFS(Data!$E$10:$E$3209,"&gt;="&amp;$A2096,Data!$E$10:$E$3209,"&lt;"&amp;$A2096+1)))</f>
        <v/>
      </c>
      <c r="AF2096">
        <f>IF($B2096=0,0,IF(Inputs!$B$8="",0,COUNTIFS(Data!$I$10:$I$3209,"&gt;="&amp;$A2096,Data!$I$10:$I$3209,"&lt;"&amp;$A2096+1)))</f>
        <v/>
      </c>
      <c r="AG2096">
        <f>IF($B2096=0,0,IF(Inputs!$B$9="",0,COUNTIFS(Data!$M$10:$M$3209,"&gt;="&amp;$A2096,Data!$M$10:$M$3209,"&lt;"&amp;$A2096+1)))</f>
        <v/>
      </c>
      <c r="AH2096">
        <f>IF($B2096=0,0,IF(Inputs!$B$10="",0,COUNTIFS(Data!$Q$10:$Q$3209,"&gt;="&amp;$A2096,Data!$Q$10:$Q$3209,"&lt;"&amp;$A2096+1)))</f>
        <v/>
      </c>
    </row>
    <row r="2097">
      <c r="A2097" s="55">
        <f>MIN(Inputs!$C$15,$A2096+IF(WEEKDAY($A2096,2)=5,3,1))</f>
        <v/>
      </c>
      <c r="B2097">
        <f>IF($A2097&gt;$A2096,1,0)</f>
        <v/>
      </c>
      <c r="C2097" s="56">
        <f>IF($B2097=0,"",IF(Inputs!$B$6="","",IF($AD2097=0,C2096,SUMIFS(Data!$B$10:$B$3209,Data!$A$10:$A$3209,"&gt;="&amp;$A2097,Data!$A$10:$A$3209,"&lt;"&amp;$A2097+1)/$AD2097)))</f>
        <v/>
      </c>
      <c r="D2097" s="56">
        <f>IF($B2097=0,"",IF(Inputs!$B$7="","",IF($AE2097=0,D2096,SUMIFS(Data!$F$10:$F$3209,Data!$E$10:$E$3209,"&gt;="&amp;$A2097,Data!$E$10:$E$3209,"&lt;"&amp;$A2097+1)/$AE2097)))</f>
        <v/>
      </c>
      <c r="E2097" s="56">
        <f>IF($B2097=0,"",IF(Inputs!$B$8="","",IF($AF2097=0,E2096,SUMIFS(Data!$J$10:$J$3209,Data!$I$10:$I$3209,"&gt;="&amp;$A2097,Data!$I$10:$I$3209,"&lt;"&amp;$A2097+1)/$AF2097)))</f>
        <v/>
      </c>
      <c r="F2097" s="56">
        <f>IF($B2097=0,"",IF(Inputs!$B$9="","",IF($AG2097=0,F2096,SUMIFS(Data!$N$10:$N$3209,Data!$M$10:$M$3209,"&gt;="&amp;$A2097,Data!$M$10:$M$3209,"&lt;"&amp;$A2097+1)/$AG2097)))</f>
        <v/>
      </c>
      <c r="G2097" s="56">
        <f>IF($B2097=0,"",IF(Inputs!$B$10="","",IF($AH2097=0,G2096,SUMIFS(Data!$R$10:$R$3209,Data!$Q$10:$Q$3209,"&gt;="&amp;$A2097,Data!$Q$10:$Q$3209,"&lt;"&amp;$A2097+1)/$AH2097)))</f>
        <v/>
      </c>
      <c r="I2097" s="54">
        <f>IF($B2097=0,NA(),IF($C2097="",NA(),IF(C$8="",NA(),IF(N(C$8)=0,NA(),IF(Inputs!$C$17="Rebased to 100",$C2097/C$8*100,$C2097)))))</f>
        <v/>
      </c>
      <c r="J2097" s="54">
        <f>IF($B2097=0,NA(),IF($D2097="",NA(),IF(D$8="",NA(),IF(N(D$8)=0,NA(),IF(Inputs!$C$17="Rebased to 100",$D2097/D$8*100,$D2097)))))</f>
        <v/>
      </c>
      <c r="K2097" s="54">
        <f>IF($B2097=0,NA(),IF($E2097="",NA(),IF(E$8="",NA(),IF(N(E$8)=0,NA(),IF(Inputs!$C$17="Rebased to 100",$E2097/E$8*100,$E2097)))))</f>
        <v/>
      </c>
      <c r="L2097" s="54">
        <f>IF($B2097=0,NA(),IF($F2097="",NA(),IF(F$8="",NA(),IF(N(F$8)=0,NA(),IF(Inputs!$C$17="Rebased to 100",$F2097/F$8*100,$F2097)))))</f>
        <v/>
      </c>
      <c r="M2097" s="54">
        <f>IF($B2097=0,NA(),IF($G2097="",NA(),IF(G$8="",NA(),IF(N(G$8)=0,NA(),IF(Inputs!$C$17="Rebased to 100",$G2097/G$8*100,$G2097)))))</f>
        <v/>
      </c>
      <c r="N2097" s="54">
        <f>IF($B2097=0,NA(),IF(Inputs!$C$18&lt;&gt;"Yes",NA(),IF(COUNT(I2097,J2097,K2097,L2097,M2097)=0,NA(),MIN(I2097,J2097,K2097,L2097,M2097))))</f>
        <v/>
      </c>
      <c r="O2097" s="54">
        <f>IF($B2097=0,NA(),IF(Inputs!$B$24&lt;&gt;"Yes",NA(),Inputs!$D$24*Inputs!$C$35))</f>
        <v/>
      </c>
      <c r="P2097" s="54">
        <f>IF($B2097=0,NA(),IF(Inputs!$B$25&lt;&gt;"Yes",NA(),Inputs!$D$25*Inputs!$C$35))</f>
        <v/>
      </c>
      <c r="Q2097" s="54">
        <f>IF($B2097=0,NA(),IF(Inputs!$B$26&lt;&gt;"Yes",NA(),Inputs!$D$26*Inputs!$C$35))</f>
        <v/>
      </c>
      <c r="R2097" s="54">
        <f>IF($B2097=0,NA(),IF(Inputs!$B$27&lt;&gt;"Yes",NA(),Inputs!$D$27*Inputs!$C$35))</f>
        <v/>
      </c>
      <c r="S2097" s="54">
        <f>IF($B2097=0,NA(),IF(Inputs!$B$28&lt;&gt;"Yes",NA(),Inputs!$D$28*Inputs!$C$35))</f>
        <v/>
      </c>
      <c r="T2097" s="54">
        <f>IF($B2097=0,NA(),IF(Inputs!$B$29&lt;&gt;"Yes",NA(),Inputs!$D$29*Inputs!$C$35))</f>
        <v/>
      </c>
      <c r="AD2097">
        <f>IF($B2097=0,0,IF(Inputs!$B$6="",0,COUNTIFS(Data!$A$10:$A$3209,"&gt;="&amp;$A2097,Data!$A$10:$A$3209,"&lt;"&amp;$A2097+1)))</f>
        <v/>
      </c>
      <c r="AE2097">
        <f>IF($B2097=0,0,IF(Inputs!$B$7="",0,COUNTIFS(Data!$E$10:$E$3209,"&gt;="&amp;$A2097,Data!$E$10:$E$3209,"&lt;"&amp;$A2097+1)))</f>
        <v/>
      </c>
      <c r="AF2097">
        <f>IF($B2097=0,0,IF(Inputs!$B$8="",0,COUNTIFS(Data!$I$10:$I$3209,"&gt;="&amp;$A2097,Data!$I$10:$I$3209,"&lt;"&amp;$A2097+1)))</f>
        <v/>
      </c>
      <c r="AG2097">
        <f>IF($B2097=0,0,IF(Inputs!$B$9="",0,COUNTIFS(Data!$M$10:$M$3209,"&gt;="&amp;$A2097,Data!$M$10:$M$3209,"&lt;"&amp;$A2097+1)))</f>
        <v/>
      </c>
      <c r="AH2097">
        <f>IF($B2097=0,0,IF(Inputs!$B$10="",0,COUNTIFS(Data!$Q$10:$Q$3209,"&gt;="&amp;$A2097,Data!$Q$10:$Q$3209,"&lt;"&amp;$A2097+1)))</f>
        <v/>
      </c>
    </row>
    <row r="2098">
      <c r="A2098" s="55">
        <f>MIN(Inputs!$C$15,$A2097+IF(WEEKDAY($A2097,2)=5,3,1))</f>
        <v/>
      </c>
      <c r="B2098">
        <f>IF($A2098&gt;$A2097,1,0)</f>
        <v/>
      </c>
      <c r="C2098" s="56">
        <f>IF($B2098=0,"",IF(Inputs!$B$6="","",IF($AD2098=0,C2097,SUMIFS(Data!$B$10:$B$3209,Data!$A$10:$A$3209,"&gt;="&amp;$A2098,Data!$A$10:$A$3209,"&lt;"&amp;$A2098+1)/$AD2098)))</f>
        <v/>
      </c>
      <c r="D2098" s="56">
        <f>IF($B2098=0,"",IF(Inputs!$B$7="","",IF($AE2098=0,D2097,SUMIFS(Data!$F$10:$F$3209,Data!$E$10:$E$3209,"&gt;="&amp;$A2098,Data!$E$10:$E$3209,"&lt;"&amp;$A2098+1)/$AE2098)))</f>
        <v/>
      </c>
      <c r="E2098" s="56">
        <f>IF($B2098=0,"",IF(Inputs!$B$8="","",IF($AF2098=0,E2097,SUMIFS(Data!$J$10:$J$3209,Data!$I$10:$I$3209,"&gt;="&amp;$A2098,Data!$I$10:$I$3209,"&lt;"&amp;$A2098+1)/$AF2098)))</f>
        <v/>
      </c>
      <c r="F2098" s="56">
        <f>IF($B2098=0,"",IF(Inputs!$B$9="","",IF($AG2098=0,F2097,SUMIFS(Data!$N$10:$N$3209,Data!$M$10:$M$3209,"&gt;="&amp;$A2098,Data!$M$10:$M$3209,"&lt;"&amp;$A2098+1)/$AG2098)))</f>
        <v/>
      </c>
      <c r="G2098" s="56">
        <f>IF($B2098=0,"",IF(Inputs!$B$10="","",IF($AH2098=0,G2097,SUMIFS(Data!$R$10:$R$3209,Data!$Q$10:$Q$3209,"&gt;="&amp;$A2098,Data!$Q$10:$Q$3209,"&lt;"&amp;$A2098+1)/$AH2098)))</f>
        <v/>
      </c>
      <c r="I2098" s="54">
        <f>IF($B2098=0,NA(),IF($C2098="",NA(),IF(C$8="",NA(),IF(N(C$8)=0,NA(),IF(Inputs!$C$17="Rebased to 100",$C2098/C$8*100,$C2098)))))</f>
        <v/>
      </c>
      <c r="J2098" s="54">
        <f>IF($B2098=0,NA(),IF($D2098="",NA(),IF(D$8="",NA(),IF(N(D$8)=0,NA(),IF(Inputs!$C$17="Rebased to 100",$D2098/D$8*100,$D2098)))))</f>
        <v/>
      </c>
      <c r="K2098" s="54">
        <f>IF($B2098=0,NA(),IF($E2098="",NA(),IF(E$8="",NA(),IF(N(E$8)=0,NA(),IF(Inputs!$C$17="Rebased to 100",$E2098/E$8*100,$E2098)))))</f>
        <v/>
      </c>
      <c r="L2098" s="54">
        <f>IF($B2098=0,NA(),IF($F2098="",NA(),IF(F$8="",NA(),IF(N(F$8)=0,NA(),IF(Inputs!$C$17="Rebased to 100",$F2098/F$8*100,$F2098)))))</f>
        <v/>
      </c>
      <c r="M2098" s="54">
        <f>IF($B2098=0,NA(),IF($G2098="",NA(),IF(G$8="",NA(),IF(N(G$8)=0,NA(),IF(Inputs!$C$17="Rebased to 100",$G2098/G$8*100,$G2098)))))</f>
        <v/>
      </c>
      <c r="N2098" s="54">
        <f>IF($B2098=0,NA(),IF(Inputs!$C$18&lt;&gt;"Yes",NA(),IF(COUNT(I2098,J2098,K2098,L2098,M2098)=0,NA(),MIN(I2098,J2098,K2098,L2098,M2098))))</f>
        <v/>
      </c>
      <c r="O2098" s="54">
        <f>IF($B2098=0,NA(),IF(Inputs!$B$24&lt;&gt;"Yes",NA(),Inputs!$D$24*Inputs!$C$35))</f>
        <v/>
      </c>
      <c r="P2098" s="54">
        <f>IF($B2098=0,NA(),IF(Inputs!$B$25&lt;&gt;"Yes",NA(),Inputs!$D$25*Inputs!$C$35))</f>
        <v/>
      </c>
      <c r="Q2098" s="54">
        <f>IF($B2098=0,NA(),IF(Inputs!$B$26&lt;&gt;"Yes",NA(),Inputs!$D$26*Inputs!$C$35))</f>
        <v/>
      </c>
      <c r="R2098" s="54">
        <f>IF($B2098=0,NA(),IF(Inputs!$B$27&lt;&gt;"Yes",NA(),Inputs!$D$27*Inputs!$C$35))</f>
        <v/>
      </c>
      <c r="S2098" s="54">
        <f>IF($B2098=0,NA(),IF(Inputs!$B$28&lt;&gt;"Yes",NA(),Inputs!$D$28*Inputs!$C$35))</f>
        <v/>
      </c>
      <c r="T2098" s="54">
        <f>IF($B2098=0,NA(),IF(Inputs!$B$29&lt;&gt;"Yes",NA(),Inputs!$D$29*Inputs!$C$35))</f>
        <v/>
      </c>
      <c r="AD2098">
        <f>IF($B2098=0,0,IF(Inputs!$B$6="",0,COUNTIFS(Data!$A$10:$A$3209,"&gt;="&amp;$A2098,Data!$A$10:$A$3209,"&lt;"&amp;$A2098+1)))</f>
        <v/>
      </c>
      <c r="AE2098">
        <f>IF($B2098=0,0,IF(Inputs!$B$7="",0,COUNTIFS(Data!$E$10:$E$3209,"&gt;="&amp;$A2098,Data!$E$10:$E$3209,"&lt;"&amp;$A2098+1)))</f>
        <v/>
      </c>
      <c r="AF2098">
        <f>IF($B2098=0,0,IF(Inputs!$B$8="",0,COUNTIFS(Data!$I$10:$I$3209,"&gt;="&amp;$A2098,Data!$I$10:$I$3209,"&lt;"&amp;$A2098+1)))</f>
        <v/>
      </c>
      <c r="AG2098">
        <f>IF($B2098=0,0,IF(Inputs!$B$9="",0,COUNTIFS(Data!$M$10:$M$3209,"&gt;="&amp;$A2098,Data!$M$10:$M$3209,"&lt;"&amp;$A2098+1)))</f>
        <v/>
      </c>
      <c r="AH2098">
        <f>IF($B2098=0,0,IF(Inputs!$B$10="",0,COUNTIFS(Data!$Q$10:$Q$3209,"&gt;="&amp;$A2098,Data!$Q$10:$Q$3209,"&lt;"&amp;$A2098+1)))</f>
        <v/>
      </c>
    </row>
    <row r="2099">
      <c r="A2099" s="55">
        <f>MIN(Inputs!$C$15,$A2098+IF(WEEKDAY($A2098,2)=5,3,1))</f>
        <v/>
      </c>
      <c r="B2099">
        <f>IF($A2099&gt;$A2098,1,0)</f>
        <v/>
      </c>
      <c r="C2099" s="56">
        <f>IF($B2099=0,"",IF(Inputs!$B$6="","",IF($AD2099=0,C2098,SUMIFS(Data!$B$10:$B$3209,Data!$A$10:$A$3209,"&gt;="&amp;$A2099,Data!$A$10:$A$3209,"&lt;"&amp;$A2099+1)/$AD2099)))</f>
        <v/>
      </c>
      <c r="D2099" s="56">
        <f>IF($B2099=0,"",IF(Inputs!$B$7="","",IF($AE2099=0,D2098,SUMIFS(Data!$F$10:$F$3209,Data!$E$10:$E$3209,"&gt;="&amp;$A2099,Data!$E$10:$E$3209,"&lt;"&amp;$A2099+1)/$AE2099)))</f>
        <v/>
      </c>
      <c r="E2099" s="56">
        <f>IF($B2099=0,"",IF(Inputs!$B$8="","",IF($AF2099=0,E2098,SUMIFS(Data!$J$10:$J$3209,Data!$I$10:$I$3209,"&gt;="&amp;$A2099,Data!$I$10:$I$3209,"&lt;"&amp;$A2099+1)/$AF2099)))</f>
        <v/>
      </c>
      <c r="F2099" s="56">
        <f>IF($B2099=0,"",IF(Inputs!$B$9="","",IF($AG2099=0,F2098,SUMIFS(Data!$N$10:$N$3209,Data!$M$10:$M$3209,"&gt;="&amp;$A2099,Data!$M$10:$M$3209,"&lt;"&amp;$A2099+1)/$AG2099)))</f>
        <v/>
      </c>
      <c r="G2099" s="56">
        <f>IF($B2099=0,"",IF(Inputs!$B$10="","",IF($AH2099=0,G2098,SUMIFS(Data!$R$10:$R$3209,Data!$Q$10:$Q$3209,"&gt;="&amp;$A2099,Data!$Q$10:$Q$3209,"&lt;"&amp;$A2099+1)/$AH2099)))</f>
        <v/>
      </c>
      <c r="I2099" s="54">
        <f>IF($B2099=0,NA(),IF($C2099="",NA(),IF(C$8="",NA(),IF(N(C$8)=0,NA(),IF(Inputs!$C$17="Rebased to 100",$C2099/C$8*100,$C2099)))))</f>
        <v/>
      </c>
      <c r="J2099" s="54">
        <f>IF($B2099=0,NA(),IF($D2099="",NA(),IF(D$8="",NA(),IF(N(D$8)=0,NA(),IF(Inputs!$C$17="Rebased to 100",$D2099/D$8*100,$D2099)))))</f>
        <v/>
      </c>
      <c r="K2099" s="54">
        <f>IF($B2099=0,NA(),IF($E2099="",NA(),IF(E$8="",NA(),IF(N(E$8)=0,NA(),IF(Inputs!$C$17="Rebased to 100",$E2099/E$8*100,$E2099)))))</f>
        <v/>
      </c>
      <c r="L2099" s="54">
        <f>IF($B2099=0,NA(),IF($F2099="",NA(),IF(F$8="",NA(),IF(N(F$8)=0,NA(),IF(Inputs!$C$17="Rebased to 100",$F2099/F$8*100,$F2099)))))</f>
        <v/>
      </c>
      <c r="M2099" s="54">
        <f>IF($B2099=0,NA(),IF($G2099="",NA(),IF(G$8="",NA(),IF(N(G$8)=0,NA(),IF(Inputs!$C$17="Rebased to 100",$G2099/G$8*100,$G2099)))))</f>
        <v/>
      </c>
      <c r="N2099" s="54">
        <f>IF($B2099=0,NA(),IF(Inputs!$C$18&lt;&gt;"Yes",NA(),IF(COUNT(I2099,J2099,K2099,L2099,M2099)=0,NA(),MIN(I2099,J2099,K2099,L2099,M2099))))</f>
        <v/>
      </c>
      <c r="O2099" s="54">
        <f>IF($B2099=0,NA(),IF(Inputs!$B$24&lt;&gt;"Yes",NA(),Inputs!$D$24*Inputs!$C$35))</f>
        <v/>
      </c>
      <c r="P2099" s="54">
        <f>IF($B2099=0,NA(),IF(Inputs!$B$25&lt;&gt;"Yes",NA(),Inputs!$D$25*Inputs!$C$35))</f>
        <v/>
      </c>
      <c r="Q2099" s="54">
        <f>IF($B2099=0,NA(),IF(Inputs!$B$26&lt;&gt;"Yes",NA(),Inputs!$D$26*Inputs!$C$35))</f>
        <v/>
      </c>
      <c r="R2099" s="54">
        <f>IF($B2099=0,NA(),IF(Inputs!$B$27&lt;&gt;"Yes",NA(),Inputs!$D$27*Inputs!$C$35))</f>
        <v/>
      </c>
      <c r="S2099" s="54">
        <f>IF($B2099=0,NA(),IF(Inputs!$B$28&lt;&gt;"Yes",NA(),Inputs!$D$28*Inputs!$C$35))</f>
        <v/>
      </c>
      <c r="T2099" s="54">
        <f>IF($B2099=0,NA(),IF(Inputs!$B$29&lt;&gt;"Yes",NA(),Inputs!$D$29*Inputs!$C$35))</f>
        <v/>
      </c>
      <c r="AD2099">
        <f>IF($B2099=0,0,IF(Inputs!$B$6="",0,COUNTIFS(Data!$A$10:$A$3209,"&gt;="&amp;$A2099,Data!$A$10:$A$3209,"&lt;"&amp;$A2099+1)))</f>
        <v/>
      </c>
      <c r="AE2099">
        <f>IF($B2099=0,0,IF(Inputs!$B$7="",0,COUNTIFS(Data!$E$10:$E$3209,"&gt;="&amp;$A2099,Data!$E$10:$E$3209,"&lt;"&amp;$A2099+1)))</f>
        <v/>
      </c>
      <c r="AF2099">
        <f>IF($B2099=0,0,IF(Inputs!$B$8="",0,COUNTIFS(Data!$I$10:$I$3209,"&gt;="&amp;$A2099,Data!$I$10:$I$3209,"&lt;"&amp;$A2099+1)))</f>
        <v/>
      </c>
      <c r="AG2099">
        <f>IF($B2099=0,0,IF(Inputs!$B$9="",0,COUNTIFS(Data!$M$10:$M$3209,"&gt;="&amp;$A2099,Data!$M$10:$M$3209,"&lt;"&amp;$A2099+1)))</f>
        <v/>
      </c>
      <c r="AH2099">
        <f>IF($B2099=0,0,IF(Inputs!$B$10="",0,COUNTIFS(Data!$Q$10:$Q$3209,"&gt;="&amp;$A2099,Data!$Q$10:$Q$3209,"&lt;"&amp;$A2099+1)))</f>
        <v/>
      </c>
    </row>
    <row r="2100">
      <c r="A2100" s="55">
        <f>MIN(Inputs!$C$15,$A2099+IF(WEEKDAY($A2099,2)=5,3,1))</f>
        <v/>
      </c>
      <c r="B2100">
        <f>IF($A2100&gt;$A2099,1,0)</f>
        <v/>
      </c>
      <c r="C2100" s="56">
        <f>IF($B2100=0,"",IF(Inputs!$B$6="","",IF($AD2100=0,C2099,SUMIFS(Data!$B$10:$B$3209,Data!$A$10:$A$3209,"&gt;="&amp;$A2100,Data!$A$10:$A$3209,"&lt;"&amp;$A2100+1)/$AD2100)))</f>
        <v/>
      </c>
      <c r="D2100" s="56">
        <f>IF($B2100=0,"",IF(Inputs!$B$7="","",IF($AE2100=0,D2099,SUMIFS(Data!$F$10:$F$3209,Data!$E$10:$E$3209,"&gt;="&amp;$A2100,Data!$E$10:$E$3209,"&lt;"&amp;$A2100+1)/$AE2100)))</f>
        <v/>
      </c>
      <c r="E2100" s="56">
        <f>IF($B2100=0,"",IF(Inputs!$B$8="","",IF($AF2100=0,E2099,SUMIFS(Data!$J$10:$J$3209,Data!$I$10:$I$3209,"&gt;="&amp;$A2100,Data!$I$10:$I$3209,"&lt;"&amp;$A2100+1)/$AF2100)))</f>
        <v/>
      </c>
      <c r="F2100" s="56">
        <f>IF($B2100=0,"",IF(Inputs!$B$9="","",IF($AG2100=0,F2099,SUMIFS(Data!$N$10:$N$3209,Data!$M$10:$M$3209,"&gt;="&amp;$A2100,Data!$M$10:$M$3209,"&lt;"&amp;$A2100+1)/$AG2100)))</f>
        <v/>
      </c>
      <c r="G2100" s="56">
        <f>IF($B2100=0,"",IF(Inputs!$B$10="","",IF($AH2100=0,G2099,SUMIFS(Data!$R$10:$R$3209,Data!$Q$10:$Q$3209,"&gt;="&amp;$A2100,Data!$Q$10:$Q$3209,"&lt;"&amp;$A2100+1)/$AH2100)))</f>
        <v/>
      </c>
      <c r="I2100" s="54">
        <f>IF($B2100=0,NA(),IF($C2100="",NA(),IF(C$8="",NA(),IF(N(C$8)=0,NA(),IF(Inputs!$C$17="Rebased to 100",$C2100/C$8*100,$C2100)))))</f>
        <v/>
      </c>
      <c r="J2100" s="54">
        <f>IF($B2100=0,NA(),IF($D2100="",NA(),IF(D$8="",NA(),IF(N(D$8)=0,NA(),IF(Inputs!$C$17="Rebased to 100",$D2100/D$8*100,$D2100)))))</f>
        <v/>
      </c>
      <c r="K2100" s="54">
        <f>IF($B2100=0,NA(),IF($E2100="",NA(),IF(E$8="",NA(),IF(N(E$8)=0,NA(),IF(Inputs!$C$17="Rebased to 100",$E2100/E$8*100,$E2100)))))</f>
        <v/>
      </c>
      <c r="L2100" s="54">
        <f>IF($B2100=0,NA(),IF($F2100="",NA(),IF(F$8="",NA(),IF(N(F$8)=0,NA(),IF(Inputs!$C$17="Rebased to 100",$F2100/F$8*100,$F2100)))))</f>
        <v/>
      </c>
      <c r="M2100" s="54">
        <f>IF($B2100=0,NA(),IF($G2100="",NA(),IF(G$8="",NA(),IF(N(G$8)=0,NA(),IF(Inputs!$C$17="Rebased to 100",$G2100/G$8*100,$G2100)))))</f>
        <v/>
      </c>
      <c r="N2100" s="54">
        <f>IF($B2100=0,NA(),IF(Inputs!$C$18&lt;&gt;"Yes",NA(),IF(COUNT(I2100,J2100,K2100,L2100,M2100)=0,NA(),MIN(I2100,J2100,K2100,L2100,M2100))))</f>
        <v/>
      </c>
      <c r="O2100" s="54">
        <f>IF($B2100=0,NA(),IF(Inputs!$B$24&lt;&gt;"Yes",NA(),Inputs!$D$24*Inputs!$C$35))</f>
        <v/>
      </c>
      <c r="P2100" s="54">
        <f>IF($B2100=0,NA(),IF(Inputs!$B$25&lt;&gt;"Yes",NA(),Inputs!$D$25*Inputs!$C$35))</f>
        <v/>
      </c>
      <c r="Q2100" s="54">
        <f>IF($B2100=0,NA(),IF(Inputs!$B$26&lt;&gt;"Yes",NA(),Inputs!$D$26*Inputs!$C$35))</f>
        <v/>
      </c>
      <c r="R2100" s="54">
        <f>IF($B2100=0,NA(),IF(Inputs!$B$27&lt;&gt;"Yes",NA(),Inputs!$D$27*Inputs!$C$35))</f>
        <v/>
      </c>
      <c r="S2100" s="54">
        <f>IF($B2100=0,NA(),IF(Inputs!$B$28&lt;&gt;"Yes",NA(),Inputs!$D$28*Inputs!$C$35))</f>
        <v/>
      </c>
      <c r="T2100" s="54">
        <f>IF($B2100=0,NA(),IF(Inputs!$B$29&lt;&gt;"Yes",NA(),Inputs!$D$29*Inputs!$C$35))</f>
        <v/>
      </c>
      <c r="AD2100">
        <f>IF($B2100=0,0,IF(Inputs!$B$6="",0,COUNTIFS(Data!$A$10:$A$3209,"&gt;="&amp;$A2100,Data!$A$10:$A$3209,"&lt;"&amp;$A2100+1)))</f>
        <v/>
      </c>
      <c r="AE2100">
        <f>IF($B2100=0,0,IF(Inputs!$B$7="",0,COUNTIFS(Data!$E$10:$E$3209,"&gt;="&amp;$A2100,Data!$E$10:$E$3209,"&lt;"&amp;$A2100+1)))</f>
        <v/>
      </c>
      <c r="AF2100">
        <f>IF($B2100=0,0,IF(Inputs!$B$8="",0,COUNTIFS(Data!$I$10:$I$3209,"&gt;="&amp;$A2100,Data!$I$10:$I$3209,"&lt;"&amp;$A2100+1)))</f>
        <v/>
      </c>
      <c r="AG2100">
        <f>IF($B2100=0,0,IF(Inputs!$B$9="",0,COUNTIFS(Data!$M$10:$M$3209,"&gt;="&amp;$A2100,Data!$M$10:$M$3209,"&lt;"&amp;$A2100+1)))</f>
        <v/>
      </c>
      <c r="AH2100">
        <f>IF($B2100=0,0,IF(Inputs!$B$10="",0,COUNTIFS(Data!$Q$10:$Q$3209,"&gt;="&amp;$A2100,Data!$Q$10:$Q$3209,"&lt;"&amp;$A2100+1)))</f>
        <v/>
      </c>
    </row>
    <row r="2101">
      <c r="A2101" s="55">
        <f>MIN(Inputs!$C$15,$A2100+IF(WEEKDAY($A2100,2)=5,3,1))</f>
        <v/>
      </c>
      <c r="B2101">
        <f>IF($A2101&gt;$A2100,1,0)</f>
        <v/>
      </c>
      <c r="C2101" s="56">
        <f>IF($B2101=0,"",IF(Inputs!$B$6="","",IF($AD2101=0,C2100,SUMIFS(Data!$B$10:$B$3209,Data!$A$10:$A$3209,"&gt;="&amp;$A2101,Data!$A$10:$A$3209,"&lt;"&amp;$A2101+1)/$AD2101)))</f>
        <v/>
      </c>
      <c r="D2101" s="56">
        <f>IF($B2101=0,"",IF(Inputs!$B$7="","",IF($AE2101=0,D2100,SUMIFS(Data!$F$10:$F$3209,Data!$E$10:$E$3209,"&gt;="&amp;$A2101,Data!$E$10:$E$3209,"&lt;"&amp;$A2101+1)/$AE2101)))</f>
        <v/>
      </c>
      <c r="E2101" s="56">
        <f>IF($B2101=0,"",IF(Inputs!$B$8="","",IF($AF2101=0,E2100,SUMIFS(Data!$J$10:$J$3209,Data!$I$10:$I$3209,"&gt;="&amp;$A2101,Data!$I$10:$I$3209,"&lt;"&amp;$A2101+1)/$AF2101)))</f>
        <v/>
      </c>
      <c r="F2101" s="56">
        <f>IF($B2101=0,"",IF(Inputs!$B$9="","",IF($AG2101=0,F2100,SUMIFS(Data!$N$10:$N$3209,Data!$M$10:$M$3209,"&gt;="&amp;$A2101,Data!$M$10:$M$3209,"&lt;"&amp;$A2101+1)/$AG2101)))</f>
        <v/>
      </c>
      <c r="G2101" s="56">
        <f>IF($B2101=0,"",IF(Inputs!$B$10="","",IF($AH2101=0,G2100,SUMIFS(Data!$R$10:$R$3209,Data!$Q$10:$Q$3209,"&gt;="&amp;$A2101,Data!$Q$10:$Q$3209,"&lt;"&amp;$A2101+1)/$AH2101)))</f>
        <v/>
      </c>
      <c r="I2101" s="54">
        <f>IF($B2101=0,NA(),IF($C2101="",NA(),IF(C$8="",NA(),IF(N(C$8)=0,NA(),IF(Inputs!$C$17="Rebased to 100",$C2101/C$8*100,$C2101)))))</f>
        <v/>
      </c>
      <c r="J2101" s="54">
        <f>IF($B2101=0,NA(),IF($D2101="",NA(),IF(D$8="",NA(),IF(N(D$8)=0,NA(),IF(Inputs!$C$17="Rebased to 100",$D2101/D$8*100,$D2101)))))</f>
        <v/>
      </c>
      <c r="K2101" s="54">
        <f>IF($B2101=0,NA(),IF($E2101="",NA(),IF(E$8="",NA(),IF(N(E$8)=0,NA(),IF(Inputs!$C$17="Rebased to 100",$E2101/E$8*100,$E2101)))))</f>
        <v/>
      </c>
      <c r="L2101" s="54">
        <f>IF($B2101=0,NA(),IF($F2101="",NA(),IF(F$8="",NA(),IF(N(F$8)=0,NA(),IF(Inputs!$C$17="Rebased to 100",$F2101/F$8*100,$F2101)))))</f>
        <v/>
      </c>
      <c r="M2101" s="54">
        <f>IF($B2101=0,NA(),IF($G2101="",NA(),IF(G$8="",NA(),IF(N(G$8)=0,NA(),IF(Inputs!$C$17="Rebased to 100",$G2101/G$8*100,$G2101)))))</f>
        <v/>
      </c>
      <c r="N2101" s="54">
        <f>IF($B2101=0,NA(),IF(Inputs!$C$18&lt;&gt;"Yes",NA(),IF(COUNT(I2101,J2101,K2101,L2101,M2101)=0,NA(),MIN(I2101,J2101,K2101,L2101,M2101))))</f>
        <v/>
      </c>
      <c r="O2101" s="54">
        <f>IF($B2101=0,NA(),IF(Inputs!$B$24&lt;&gt;"Yes",NA(),Inputs!$D$24*Inputs!$C$35))</f>
        <v/>
      </c>
      <c r="P2101" s="54">
        <f>IF($B2101=0,NA(),IF(Inputs!$B$25&lt;&gt;"Yes",NA(),Inputs!$D$25*Inputs!$C$35))</f>
        <v/>
      </c>
      <c r="Q2101" s="54">
        <f>IF($B2101=0,NA(),IF(Inputs!$B$26&lt;&gt;"Yes",NA(),Inputs!$D$26*Inputs!$C$35))</f>
        <v/>
      </c>
      <c r="R2101" s="54">
        <f>IF($B2101=0,NA(),IF(Inputs!$B$27&lt;&gt;"Yes",NA(),Inputs!$D$27*Inputs!$C$35))</f>
        <v/>
      </c>
      <c r="S2101" s="54">
        <f>IF($B2101=0,NA(),IF(Inputs!$B$28&lt;&gt;"Yes",NA(),Inputs!$D$28*Inputs!$C$35))</f>
        <v/>
      </c>
      <c r="T2101" s="54">
        <f>IF($B2101=0,NA(),IF(Inputs!$B$29&lt;&gt;"Yes",NA(),Inputs!$D$29*Inputs!$C$35))</f>
        <v/>
      </c>
      <c r="AD2101">
        <f>IF($B2101=0,0,IF(Inputs!$B$6="",0,COUNTIFS(Data!$A$10:$A$3209,"&gt;="&amp;$A2101,Data!$A$10:$A$3209,"&lt;"&amp;$A2101+1)))</f>
        <v/>
      </c>
      <c r="AE2101">
        <f>IF($B2101=0,0,IF(Inputs!$B$7="",0,COUNTIFS(Data!$E$10:$E$3209,"&gt;="&amp;$A2101,Data!$E$10:$E$3209,"&lt;"&amp;$A2101+1)))</f>
        <v/>
      </c>
      <c r="AF2101">
        <f>IF($B2101=0,0,IF(Inputs!$B$8="",0,COUNTIFS(Data!$I$10:$I$3209,"&gt;="&amp;$A2101,Data!$I$10:$I$3209,"&lt;"&amp;$A2101+1)))</f>
        <v/>
      </c>
      <c r="AG2101">
        <f>IF($B2101=0,0,IF(Inputs!$B$9="",0,COUNTIFS(Data!$M$10:$M$3209,"&gt;="&amp;$A2101,Data!$M$10:$M$3209,"&lt;"&amp;$A2101+1)))</f>
        <v/>
      </c>
      <c r="AH2101">
        <f>IF($B2101=0,0,IF(Inputs!$B$10="",0,COUNTIFS(Data!$Q$10:$Q$3209,"&gt;="&amp;$A2101,Data!$Q$10:$Q$3209,"&lt;"&amp;$A2101+1)))</f>
        <v/>
      </c>
    </row>
    <row r="2102">
      <c r="A2102" s="55">
        <f>MIN(Inputs!$C$15,$A2101+IF(WEEKDAY($A2101,2)=5,3,1))</f>
        <v/>
      </c>
      <c r="B2102">
        <f>IF($A2102&gt;$A2101,1,0)</f>
        <v/>
      </c>
      <c r="C2102" s="56">
        <f>IF($B2102=0,"",IF(Inputs!$B$6="","",IF($AD2102=0,C2101,SUMIFS(Data!$B$10:$B$3209,Data!$A$10:$A$3209,"&gt;="&amp;$A2102,Data!$A$10:$A$3209,"&lt;"&amp;$A2102+1)/$AD2102)))</f>
        <v/>
      </c>
      <c r="D2102" s="56">
        <f>IF($B2102=0,"",IF(Inputs!$B$7="","",IF($AE2102=0,D2101,SUMIFS(Data!$F$10:$F$3209,Data!$E$10:$E$3209,"&gt;="&amp;$A2102,Data!$E$10:$E$3209,"&lt;"&amp;$A2102+1)/$AE2102)))</f>
        <v/>
      </c>
      <c r="E2102" s="56">
        <f>IF($B2102=0,"",IF(Inputs!$B$8="","",IF($AF2102=0,E2101,SUMIFS(Data!$J$10:$J$3209,Data!$I$10:$I$3209,"&gt;="&amp;$A2102,Data!$I$10:$I$3209,"&lt;"&amp;$A2102+1)/$AF2102)))</f>
        <v/>
      </c>
      <c r="F2102" s="56">
        <f>IF($B2102=0,"",IF(Inputs!$B$9="","",IF($AG2102=0,F2101,SUMIFS(Data!$N$10:$N$3209,Data!$M$10:$M$3209,"&gt;="&amp;$A2102,Data!$M$10:$M$3209,"&lt;"&amp;$A2102+1)/$AG2102)))</f>
        <v/>
      </c>
      <c r="G2102" s="56">
        <f>IF($B2102=0,"",IF(Inputs!$B$10="","",IF($AH2102=0,G2101,SUMIFS(Data!$R$10:$R$3209,Data!$Q$10:$Q$3209,"&gt;="&amp;$A2102,Data!$Q$10:$Q$3209,"&lt;"&amp;$A2102+1)/$AH2102)))</f>
        <v/>
      </c>
      <c r="I2102" s="54">
        <f>IF($B2102=0,NA(),IF($C2102="",NA(),IF(C$8="",NA(),IF(N(C$8)=0,NA(),IF(Inputs!$C$17="Rebased to 100",$C2102/C$8*100,$C2102)))))</f>
        <v/>
      </c>
      <c r="J2102" s="54">
        <f>IF($B2102=0,NA(),IF($D2102="",NA(),IF(D$8="",NA(),IF(N(D$8)=0,NA(),IF(Inputs!$C$17="Rebased to 100",$D2102/D$8*100,$D2102)))))</f>
        <v/>
      </c>
      <c r="K2102" s="54">
        <f>IF($B2102=0,NA(),IF($E2102="",NA(),IF(E$8="",NA(),IF(N(E$8)=0,NA(),IF(Inputs!$C$17="Rebased to 100",$E2102/E$8*100,$E2102)))))</f>
        <v/>
      </c>
      <c r="L2102" s="54">
        <f>IF($B2102=0,NA(),IF($F2102="",NA(),IF(F$8="",NA(),IF(N(F$8)=0,NA(),IF(Inputs!$C$17="Rebased to 100",$F2102/F$8*100,$F2102)))))</f>
        <v/>
      </c>
      <c r="M2102" s="54">
        <f>IF($B2102=0,NA(),IF($G2102="",NA(),IF(G$8="",NA(),IF(N(G$8)=0,NA(),IF(Inputs!$C$17="Rebased to 100",$G2102/G$8*100,$G2102)))))</f>
        <v/>
      </c>
      <c r="N2102" s="54">
        <f>IF($B2102=0,NA(),IF(Inputs!$C$18&lt;&gt;"Yes",NA(),IF(COUNT(I2102,J2102,K2102,L2102,M2102)=0,NA(),MIN(I2102,J2102,K2102,L2102,M2102))))</f>
        <v/>
      </c>
      <c r="O2102" s="54">
        <f>IF($B2102=0,NA(),IF(Inputs!$B$24&lt;&gt;"Yes",NA(),Inputs!$D$24*Inputs!$C$35))</f>
        <v/>
      </c>
      <c r="P2102" s="54">
        <f>IF($B2102=0,NA(),IF(Inputs!$B$25&lt;&gt;"Yes",NA(),Inputs!$D$25*Inputs!$C$35))</f>
        <v/>
      </c>
      <c r="Q2102" s="54">
        <f>IF($B2102=0,NA(),IF(Inputs!$B$26&lt;&gt;"Yes",NA(),Inputs!$D$26*Inputs!$C$35))</f>
        <v/>
      </c>
      <c r="R2102" s="54">
        <f>IF($B2102=0,NA(),IF(Inputs!$B$27&lt;&gt;"Yes",NA(),Inputs!$D$27*Inputs!$C$35))</f>
        <v/>
      </c>
      <c r="S2102" s="54">
        <f>IF($B2102=0,NA(),IF(Inputs!$B$28&lt;&gt;"Yes",NA(),Inputs!$D$28*Inputs!$C$35))</f>
        <v/>
      </c>
      <c r="T2102" s="54">
        <f>IF($B2102=0,NA(),IF(Inputs!$B$29&lt;&gt;"Yes",NA(),Inputs!$D$29*Inputs!$C$35))</f>
        <v/>
      </c>
      <c r="AD2102">
        <f>IF($B2102=0,0,IF(Inputs!$B$6="",0,COUNTIFS(Data!$A$10:$A$3209,"&gt;="&amp;$A2102,Data!$A$10:$A$3209,"&lt;"&amp;$A2102+1)))</f>
        <v/>
      </c>
      <c r="AE2102">
        <f>IF($B2102=0,0,IF(Inputs!$B$7="",0,COUNTIFS(Data!$E$10:$E$3209,"&gt;="&amp;$A2102,Data!$E$10:$E$3209,"&lt;"&amp;$A2102+1)))</f>
        <v/>
      </c>
      <c r="AF2102">
        <f>IF($B2102=0,0,IF(Inputs!$B$8="",0,COUNTIFS(Data!$I$10:$I$3209,"&gt;="&amp;$A2102,Data!$I$10:$I$3209,"&lt;"&amp;$A2102+1)))</f>
        <v/>
      </c>
      <c r="AG2102">
        <f>IF($B2102=0,0,IF(Inputs!$B$9="",0,COUNTIFS(Data!$M$10:$M$3209,"&gt;="&amp;$A2102,Data!$M$10:$M$3209,"&lt;"&amp;$A2102+1)))</f>
        <v/>
      </c>
      <c r="AH2102">
        <f>IF($B2102=0,0,IF(Inputs!$B$10="",0,COUNTIFS(Data!$Q$10:$Q$3209,"&gt;="&amp;$A2102,Data!$Q$10:$Q$3209,"&lt;"&amp;$A2102+1)))</f>
        <v/>
      </c>
    </row>
    <row r="2103">
      <c r="A2103" s="55">
        <f>MIN(Inputs!$C$15,$A2102+IF(WEEKDAY($A2102,2)=5,3,1))</f>
        <v/>
      </c>
      <c r="B2103">
        <f>IF($A2103&gt;$A2102,1,0)</f>
        <v/>
      </c>
      <c r="C2103" s="56">
        <f>IF($B2103=0,"",IF(Inputs!$B$6="","",IF($AD2103=0,C2102,SUMIFS(Data!$B$10:$B$3209,Data!$A$10:$A$3209,"&gt;="&amp;$A2103,Data!$A$10:$A$3209,"&lt;"&amp;$A2103+1)/$AD2103)))</f>
        <v/>
      </c>
      <c r="D2103" s="56">
        <f>IF($B2103=0,"",IF(Inputs!$B$7="","",IF($AE2103=0,D2102,SUMIFS(Data!$F$10:$F$3209,Data!$E$10:$E$3209,"&gt;="&amp;$A2103,Data!$E$10:$E$3209,"&lt;"&amp;$A2103+1)/$AE2103)))</f>
        <v/>
      </c>
      <c r="E2103" s="56">
        <f>IF($B2103=0,"",IF(Inputs!$B$8="","",IF($AF2103=0,E2102,SUMIFS(Data!$J$10:$J$3209,Data!$I$10:$I$3209,"&gt;="&amp;$A2103,Data!$I$10:$I$3209,"&lt;"&amp;$A2103+1)/$AF2103)))</f>
        <v/>
      </c>
      <c r="F2103" s="56">
        <f>IF($B2103=0,"",IF(Inputs!$B$9="","",IF($AG2103=0,F2102,SUMIFS(Data!$N$10:$N$3209,Data!$M$10:$M$3209,"&gt;="&amp;$A2103,Data!$M$10:$M$3209,"&lt;"&amp;$A2103+1)/$AG2103)))</f>
        <v/>
      </c>
      <c r="G2103" s="56">
        <f>IF($B2103=0,"",IF(Inputs!$B$10="","",IF($AH2103=0,G2102,SUMIFS(Data!$R$10:$R$3209,Data!$Q$10:$Q$3209,"&gt;="&amp;$A2103,Data!$Q$10:$Q$3209,"&lt;"&amp;$A2103+1)/$AH2103)))</f>
        <v/>
      </c>
      <c r="I2103" s="54">
        <f>IF($B2103=0,NA(),IF($C2103="",NA(),IF(C$8="",NA(),IF(N(C$8)=0,NA(),IF(Inputs!$C$17="Rebased to 100",$C2103/C$8*100,$C2103)))))</f>
        <v/>
      </c>
      <c r="J2103" s="54">
        <f>IF($B2103=0,NA(),IF($D2103="",NA(),IF(D$8="",NA(),IF(N(D$8)=0,NA(),IF(Inputs!$C$17="Rebased to 100",$D2103/D$8*100,$D2103)))))</f>
        <v/>
      </c>
      <c r="K2103" s="54">
        <f>IF($B2103=0,NA(),IF($E2103="",NA(),IF(E$8="",NA(),IF(N(E$8)=0,NA(),IF(Inputs!$C$17="Rebased to 100",$E2103/E$8*100,$E2103)))))</f>
        <v/>
      </c>
      <c r="L2103" s="54">
        <f>IF($B2103=0,NA(),IF($F2103="",NA(),IF(F$8="",NA(),IF(N(F$8)=0,NA(),IF(Inputs!$C$17="Rebased to 100",$F2103/F$8*100,$F2103)))))</f>
        <v/>
      </c>
      <c r="M2103" s="54">
        <f>IF($B2103=0,NA(),IF($G2103="",NA(),IF(G$8="",NA(),IF(N(G$8)=0,NA(),IF(Inputs!$C$17="Rebased to 100",$G2103/G$8*100,$G2103)))))</f>
        <v/>
      </c>
      <c r="N2103" s="54">
        <f>IF($B2103=0,NA(),IF(Inputs!$C$18&lt;&gt;"Yes",NA(),IF(COUNT(I2103,J2103,K2103,L2103,M2103)=0,NA(),MIN(I2103,J2103,K2103,L2103,M2103))))</f>
        <v/>
      </c>
      <c r="O2103" s="54">
        <f>IF($B2103=0,NA(),IF(Inputs!$B$24&lt;&gt;"Yes",NA(),Inputs!$D$24*Inputs!$C$35))</f>
        <v/>
      </c>
      <c r="P2103" s="54">
        <f>IF($B2103=0,NA(),IF(Inputs!$B$25&lt;&gt;"Yes",NA(),Inputs!$D$25*Inputs!$C$35))</f>
        <v/>
      </c>
      <c r="Q2103" s="54">
        <f>IF($B2103=0,NA(),IF(Inputs!$B$26&lt;&gt;"Yes",NA(),Inputs!$D$26*Inputs!$C$35))</f>
        <v/>
      </c>
      <c r="R2103" s="54">
        <f>IF($B2103=0,NA(),IF(Inputs!$B$27&lt;&gt;"Yes",NA(),Inputs!$D$27*Inputs!$C$35))</f>
        <v/>
      </c>
      <c r="S2103" s="54">
        <f>IF($B2103=0,NA(),IF(Inputs!$B$28&lt;&gt;"Yes",NA(),Inputs!$D$28*Inputs!$C$35))</f>
        <v/>
      </c>
      <c r="T2103" s="54">
        <f>IF($B2103=0,NA(),IF(Inputs!$B$29&lt;&gt;"Yes",NA(),Inputs!$D$29*Inputs!$C$35))</f>
        <v/>
      </c>
      <c r="AD2103">
        <f>IF($B2103=0,0,IF(Inputs!$B$6="",0,COUNTIFS(Data!$A$10:$A$3209,"&gt;="&amp;$A2103,Data!$A$10:$A$3209,"&lt;"&amp;$A2103+1)))</f>
        <v/>
      </c>
      <c r="AE2103">
        <f>IF($B2103=0,0,IF(Inputs!$B$7="",0,COUNTIFS(Data!$E$10:$E$3209,"&gt;="&amp;$A2103,Data!$E$10:$E$3209,"&lt;"&amp;$A2103+1)))</f>
        <v/>
      </c>
      <c r="AF2103">
        <f>IF($B2103=0,0,IF(Inputs!$B$8="",0,COUNTIFS(Data!$I$10:$I$3209,"&gt;="&amp;$A2103,Data!$I$10:$I$3209,"&lt;"&amp;$A2103+1)))</f>
        <v/>
      </c>
      <c r="AG2103">
        <f>IF($B2103=0,0,IF(Inputs!$B$9="",0,COUNTIFS(Data!$M$10:$M$3209,"&gt;="&amp;$A2103,Data!$M$10:$M$3209,"&lt;"&amp;$A2103+1)))</f>
        <v/>
      </c>
      <c r="AH2103">
        <f>IF($B2103=0,0,IF(Inputs!$B$10="",0,COUNTIFS(Data!$Q$10:$Q$3209,"&gt;="&amp;$A2103,Data!$Q$10:$Q$3209,"&lt;"&amp;$A2103+1)))</f>
        <v/>
      </c>
    </row>
    <row r="2104">
      <c r="A2104" s="55">
        <f>MIN(Inputs!$C$15,$A2103+IF(WEEKDAY($A2103,2)=5,3,1))</f>
        <v/>
      </c>
      <c r="B2104">
        <f>IF($A2104&gt;$A2103,1,0)</f>
        <v/>
      </c>
      <c r="C2104" s="56">
        <f>IF($B2104=0,"",IF(Inputs!$B$6="","",IF($AD2104=0,C2103,SUMIFS(Data!$B$10:$B$3209,Data!$A$10:$A$3209,"&gt;="&amp;$A2104,Data!$A$10:$A$3209,"&lt;"&amp;$A2104+1)/$AD2104)))</f>
        <v/>
      </c>
      <c r="D2104" s="56">
        <f>IF($B2104=0,"",IF(Inputs!$B$7="","",IF($AE2104=0,D2103,SUMIFS(Data!$F$10:$F$3209,Data!$E$10:$E$3209,"&gt;="&amp;$A2104,Data!$E$10:$E$3209,"&lt;"&amp;$A2104+1)/$AE2104)))</f>
        <v/>
      </c>
      <c r="E2104" s="56">
        <f>IF($B2104=0,"",IF(Inputs!$B$8="","",IF($AF2104=0,E2103,SUMIFS(Data!$J$10:$J$3209,Data!$I$10:$I$3209,"&gt;="&amp;$A2104,Data!$I$10:$I$3209,"&lt;"&amp;$A2104+1)/$AF2104)))</f>
        <v/>
      </c>
      <c r="F2104" s="56">
        <f>IF($B2104=0,"",IF(Inputs!$B$9="","",IF($AG2104=0,F2103,SUMIFS(Data!$N$10:$N$3209,Data!$M$10:$M$3209,"&gt;="&amp;$A2104,Data!$M$10:$M$3209,"&lt;"&amp;$A2104+1)/$AG2104)))</f>
        <v/>
      </c>
      <c r="G2104" s="56">
        <f>IF($B2104=0,"",IF(Inputs!$B$10="","",IF($AH2104=0,G2103,SUMIFS(Data!$R$10:$R$3209,Data!$Q$10:$Q$3209,"&gt;="&amp;$A2104,Data!$Q$10:$Q$3209,"&lt;"&amp;$A2104+1)/$AH2104)))</f>
        <v/>
      </c>
      <c r="I2104" s="54">
        <f>IF($B2104=0,NA(),IF($C2104="",NA(),IF(C$8="",NA(),IF(N(C$8)=0,NA(),IF(Inputs!$C$17="Rebased to 100",$C2104/C$8*100,$C2104)))))</f>
        <v/>
      </c>
      <c r="J2104" s="54">
        <f>IF($B2104=0,NA(),IF($D2104="",NA(),IF(D$8="",NA(),IF(N(D$8)=0,NA(),IF(Inputs!$C$17="Rebased to 100",$D2104/D$8*100,$D2104)))))</f>
        <v/>
      </c>
      <c r="K2104" s="54">
        <f>IF($B2104=0,NA(),IF($E2104="",NA(),IF(E$8="",NA(),IF(N(E$8)=0,NA(),IF(Inputs!$C$17="Rebased to 100",$E2104/E$8*100,$E2104)))))</f>
        <v/>
      </c>
      <c r="L2104" s="54">
        <f>IF($B2104=0,NA(),IF($F2104="",NA(),IF(F$8="",NA(),IF(N(F$8)=0,NA(),IF(Inputs!$C$17="Rebased to 100",$F2104/F$8*100,$F2104)))))</f>
        <v/>
      </c>
      <c r="M2104" s="54">
        <f>IF($B2104=0,NA(),IF($G2104="",NA(),IF(G$8="",NA(),IF(N(G$8)=0,NA(),IF(Inputs!$C$17="Rebased to 100",$G2104/G$8*100,$G2104)))))</f>
        <v/>
      </c>
      <c r="N2104" s="54">
        <f>IF($B2104=0,NA(),IF(Inputs!$C$18&lt;&gt;"Yes",NA(),IF(COUNT(I2104,J2104,K2104,L2104,M2104)=0,NA(),MIN(I2104,J2104,K2104,L2104,M2104))))</f>
        <v/>
      </c>
      <c r="O2104" s="54">
        <f>IF($B2104=0,NA(),IF(Inputs!$B$24&lt;&gt;"Yes",NA(),Inputs!$D$24*Inputs!$C$35))</f>
        <v/>
      </c>
      <c r="P2104" s="54">
        <f>IF($B2104=0,NA(),IF(Inputs!$B$25&lt;&gt;"Yes",NA(),Inputs!$D$25*Inputs!$C$35))</f>
        <v/>
      </c>
      <c r="Q2104" s="54">
        <f>IF($B2104=0,NA(),IF(Inputs!$B$26&lt;&gt;"Yes",NA(),Inputs!$D$26*Inputs!$C$35))</f>
        <v/>
      </c>
      <c r="R2104" s="54">
        <f>IF($B2104=0,NA(),IF(Inputs!$B$27&lt;&gt;"Yes",NA(),Inputs!$D$27*Inputs!$C$35))</f>
        <v/>
      </c>
      <c r="S2104" s="54">
        <f>IF($B2104=0,NA(),IF(Inputs!$B$28&lt;&gt;"Yes",NA(),Inputs!$D$28*Inputs!$C$35))</f>
        <v/>
      </c>
      <c r="T2104" s="54">
        <f>IF($B2104=0,NA(),IF(Inputs!$B$29&lt;&gt;"Yes",NA(),Inputs!$D$29*Inputs!$C$35))</f>
        <v/>
      </c>
      <c r="AD2104">
        <f>IF($B2104=0,0,IF(Inputs!$B$6="",0,COUNTIFS(Data!$A$10:$A$3209,"&gt;="&amp;$A2104,Data!$A$10:$A$3209,"&lt;"&amp;$A2104+1)))</f>
        <v/>
      </c>
      <c r="AE2104">
        <f>IF($B2104=0,0,IF(Inputs!$B$7="",0,COUNTIFS(Data!$E$10:$E$3209,"&gt;="&amp;$A2104,Data!$E$10:$E$3209,"&lt;"&amp;$A2104+1)))</f>
        <v/>
      </c>
      <c r="AF2104">
        <f>IF($B2104=0,0,IF(Inputs!$B$8="",0,COUNTIFS(Data!$I$10:$I$3209,"&gt;="&amp;$A2104,Data!$I$10:$I$3209,"&lt;"&amp;$A2104+1)))</f>
        <v/>
      </c>
      <c r="AG2104">
        <f>IF($B2104=0,0,IF(Inputs!$B$9="",0,COUNTIFS(Data!$M$10:$M$3209,"&gt;="&amp;$A2104,Data!$M$10:$M$3209,"&lt;"&amp;$A2104+1)))</f>
        <v/>
      </c>
      <c r="AH2104">
        <f>IF($B2104=0,0,IF(Inputs!$B$10="",0,COUNTIFS(Data!$Q$10:$Q$3209,"&gt;="&amp;$A2104,Data!$Q$10:$Q$3209,"&lt;"&amp;$A2104+1)))</f>
        <v/>
      </c>
    </row>
    <row r="2105">
      <c r="A2105" s="55">
        <f>MIN(Inputs!$C$15,$A2104+IF(WEEKDAY($A2104,2)=5,3,1))</f>
        <v/>
      </c>
      <c r="B2105">
        <f>IF($A2105&gt;$A2104,1,0)</f>
        <v/>
      </c>
      <c r="C2105" s="56">
        <f>IF($B2105=0,"",IF(Inputs!$B$6="","",IF($AD2105=0,C2104,SUMIFS(Data!$B$10:$B$3209,Data!$A$10:$A$3209,"&gt;="&amp;$A2105,Data!$A$10:$A$3209,"&lt;"&amp;$A2105+1)/$AD2105)))</f>
        <v/>
      </c>
      <c r="D2105" s="56">
        <f>IF($B2105=0,"",IF(Inputs!$B$7="","",IF($AE2105=0,D2104,SUMIFS(Data!$F$10:$F$3209,Data!$E$10:$E$3209,"&gt;="&amp;$A2105,Data!$E$10:$E$3209,"&lt;"&amp;$A2105+1)/$AE2105)))</f>
        <v/>
      </c>
      <c r="E2105" s="56">
        <f>IF($B2105=0,"",IF(Inputs!$B$8="","",IF($AF2105=0,E2104,SUMIFS(Data!$J$10:$J$3209,Data!$I$10:$I$3209,"&gt;="&amp;$A2105,Data!$I$10:$I$3209,"&lt;"&amp;$A2105+1)/$AF2105)))</f>
        <v/>
      </c>
      <c r="F2105" s="56">
        <f>IF($B2105=0,"",IF(Inputs!$B$9="","",IF($AG2105=0,F2104,SUMIFS(Data!$N$10:$N$3209,Data!$M$10:$M$3209,"&gt;="&amp;$A2105,Data!$M$10:$M$3209,"&lt;"&amp;$A2105+1)/$AG2105)))</f>
        <v/>
      </c>
      <c r="G2105" s="56">
        <f>IF($B2105=0,"",IF(Inputs!$B$10="","",IF($AH2105=0,G2104,SUMIFS(Data!$R$10:$R$3209,Data!$Q$10:$Q$3209,"&gt;="&amp;$A2105,Data!$Q$10:$Q$3209,"&lt;"&amp;$A2105+1)/$AH2105)))</f>
        <v/>
      </c>
      <c r="I2105" s="54">
        <f>IF($B2105=0,NA(),IF($C2105="",NA(),IF(C$8="",NA(),IF(N(C$8)=0,NA(),IF(Inputs!$C$17="Rebased to 100",$C2105/C$8*100,$C2105)))))</f>
        <v/>
      </c>
      <c r="J2105" s="54">
        <f>IF($B2105=0,NA(),IF($D2105="",NA(),IF(D$8="",NA(),IF(N(D$8)=0,NA(),IF(Inputs!$C$17="Rebased to 100",$D2105/D$8*100,$D2105)))))</f>
        <v/>
      </c>
      <c r="K2105" s="54">
        <f>IF($B2105=0,NA(),IF($E2105="",NA(),IF(E$8="",NA(),IF(N(E$8)=0,NA(),IF(Inputs!$C$17="Rebased to 100",$E2105/E$8*100,$E2105)))))</f>
        <v/>
      </c>
      <c r="L2105" s="54">
        <f>IF($B2105=0,NA(),IF($F2105="",NA(),IF(F$8="",NA(),IF(N(F$8)=0,NA(),IF(Inputs!$C$17="Rebased to 100",$F2105/F$8*100,$F2105)))))</f>
        <v/>
      </c>
      <c r="M2105" s="54">
        <f>IF($B2105=0,NA(),IF($G2105="",NA(),IF(G$8="",NA(),IF(N(G$8)=0,NA(),IF(Inputs!$C$17="Rebased to 100",$G2105/G$8*100,$G2105)))))</f>
        <v/>
      </c>
      <c r="N2105" s="54">
        <f>IF($B2105=0,NA(),IF(Inputs!$C$18&lt;&gt;"Yes",NA(),IF(COUNT(I2105,J2105,K2105,L2105,M2105)=0,NA(),MIN(I2105,J2105,K2105,L2105,M2105))))</f>
        <v/>
      </c>
      <c r="O2105" s="54">
        <f>IF($B2105=0,NA(),IF(Inputs!$B$24&lt;&gt;"Yes",NA(),Inputs!$D$24*Inputs!$C$35))</f>
        <v/>
      </c>
      <c r="P2105" s="54">
        <f>IF($B2105=0,NA(),IF(Inputs!$B$25&lt;&gt;"Yes",NA(),Inputs!$D$25*Inputs!$C$35))</f>
        <v/>
      </c>
      <c r="Q2105" s="54">
        <f>IF($B2105=0,NA(),IF(Inputs!$B$26&lt;&gt;"Yes",NA(),Inputs!$D$26*Inputs!$C$35))</f>
        <v/>
      </c>
      <c r="R2105" s="54">
        <f>IF($B2105=0,NA(),IF(Inputs!$B$27&lt;&gt;"Yes",NA(),Inputs!$D$27*Inputs!$C$35))</f>
        <v/>
      </c>
      <c r="S2105" s="54">
        <f>IF($B2105=0,NA(),IF(Inputs!$B$28&lt;&gt;"Yes",NA(),Inputs!$D$28*Inputs!$C$35))</f>
        <v/>
      </c>
      <c r="T2105" s="54">
        <f>IF($B2105=0,NA(),IF(Inputs!$B$29&lt;&gt;"Yes",NA(),Inputs!$D$29*Inputs!$C$35))</f>
        <v/>
      </c>
      <c r="AD2105">
        <f>IF($B2105=0,0,IF(Inputs!$B$6="",0,COUNTIFS(Data!$A$10:$A$3209,"&gt;="&amp;$A2105,Data!$A$10:$A$3209,"&lt;"&amp;$A2105+1)))</f>
        <v/>
      </c>
      <c r="AE2105">
        <f>IF($B2105=0,0,IF(Inputs!$B$7="",0,COUNTIFS(Data!$E$10:$E$3209,"&gt;="&amp;$A2105,Data!$E$10:$E$3209,"&lt;"&amp;$A2105+1)))</f>
        <v/>
      </c>
      <c r="AF2105">
        <f>IF($B2105=0,0,IF(Inputs!$B$8="",0,COUNTIFS(Data!$I$10:$I$3209,"&gt;="&amp;$A2105,Data!$I$10:$I$3209,"&lt;"&amp;$A2105+1)))</f>
        <v/>
      </c>
      <c r="AG2105">
        <f>IF($B2105=0,0,IF(Inputs!$B$9="",0,COUNTIFS(Data!$M$10:$M$3209,"&gt;="&amp;$A2105,Data!$M$10:$M$3209,"&lt;"&amp;$A2105+1)))</f>
        <v/>
      </c>
      <c r="AH2105">
        <f>IF($B2105=0,0,IF(Inputs!$B$10="",0,COUNTIFS(Data!$Q$10:$Q$3209,"&gt;="&amp;$A2105,Data!$Q$10:$Q$3209,"&lt;"&amp;$A2105+1)))</f>
        <v/>
      </c>
    </row>
    <row r="2106">
      <c r="A2106" s="55">
        <f>MIN(Inputs!$C$15,$A2105+IF(WEEKDAY($A2105,2)=5,3,1))</f>
        <v/>
      </c>
      <c r="B2106">
        <f>IF($A2106&gt;$A2105,1,0)</f>
        <v/>
      </c>
      <c r="C2106" s="56">
        <f>IF($B2106=0,"",IF(Inputs!$B$6="","",IF($AD2106=0,C2105,SUMIFS(Data!$B$10:$B$3209,Data!$A$10:$A$3209,"&gt;="&amp;$A2106,Data!$A$10:$A$3209,"&lt;"&amp;$A2106+1)/$AD2106)))</f>
        <v/>
      </c>
      <c r="D2106" s="56">
        <f>IF($B2106=0,"",IF(Inputs!$B$7="","",IF($AE2106=0,D2105,SUMIFS(Data!$F$10:$F$3209,Data!$E$10:$E$3209,"&gt;="&amp;$A2106,Data!$E$10:$E$3209,"&lt;"&amp;$A2106+1)/$AE2106)))</f>
        <v/>
      </c>
      <c r="E2106" s="56">
        <f>IF($B2106=0,"",IF(Inputs!$B$8="","",IF($AF2106=0,E2105,SUMIFS(Data!$J$10:$J$3209,Data!$I$10:$I$3209,"&gt;="&amp;$A2106,Data!$I$10:$I$3209,"&lt;"&amp;$A2106+1)/$AF2106)))</f>
        <v/>
      </c>
      <c r="F2106" s="56">
        <f>IF($B2106=0,"",IF(Inputs!$B$9="","",IF($AG2106=0,F2105,SUMIFS(Data!$N$10:$N$3209,Data!$M$10:$M$3209,"&gt;="&amp;$A2106,Data!$M$10:$M$3209,"&lt;"&amp;$A2106+1)/$AG2106)))</f>
        <v/>
      </c>
      <c r="G2106" s="56">
        <f>IF($B2106=0,"",IF(Inputs!$B$10="","",IF($AH2106=0,G2105,SUMIFS(Data!$R$10:$R$3209,Data!$Q$10:$Q$3209,"&gt;="&amp;$A2106,Data!$Q$10:$Q$3209,"&lt;"&amp;$A2106+1)/$AH2106)))</f>
        <v/>
      </c>
      <c r="I2106" s="54">
        <f>IF($B2106=0,NA(),IF($C2106="",NA(),IF(C$8="",NA(),IF(N(C$8)=0,NA(),IF(Inputs!$C$17="Rebased to 100",$C2106/C$8*100,$C2106)))))</f>
        <v/>
      </c>
      <c r="J2106" s="54">
        <f>IF($B2106=0,NA(),IF($D2106="",NA(),IF(D$8="",NA(),IF(N(D$8)=0,NA(),IF(Inputs!$C$17="Rebased to 100",$D2106/D$8*100,$D2106)))))</f>
        <v/>
      </c>
      <c r="K2106" s="54">
        <f>IF($B2106=0,NA(),IF($E2106="",NA(),IF(E$8="",NA(),IF(N(E$8)=0,NA(),IF(Inputs!$C$17="Rebased to 100",$E2106/E$8*100,$E2106)))))</f>
        <v/>
      </c>
      <c r="L2106" s="54">
        <f>IF($B2106=0,NA(),IF($F2106="",NA(),IF(F$8="",NA(),IF(N(F$8)=0,NA(),IF(Inputs!$C$17="Rebased to 100",$F2106/F$8*100,$F2106)))))</f>
        <v/>
      </c>
      <c r="M2106" s="54">
        <f>IF($B2106=0,NA(),IF($G2106="",NA(),IF(G$8="",NA(),IF(N(G$8)=0,NA(),IF(Inputs!$C$17="Rebased to 100",$G2106/G$8*100,$G2106)))))</f>
        <v/>
      </c>
      <c r="N2106" s="54">
        <f>IF($B2106=0,NA(),IF(Inputs!$C$18&lt;&gt;"Yes",NA(),IF(COUNT(I2106,J2106,K2106,L2106,M2106)=0,NA(),MIN(I2106,J2106,K2106,L2106,M2106))))</f>
        <v/>
      </c>
      <c r="O2106" s="54">
        <f>IF($B2106=0,NA(),IF(Inputs!$B$24&lt;&gt;"Yes",NA(),Inputs!$D$24*Inputs!$C$35))</f>
        <v/>
      </c>
      <c r="P2106" s="54">
        <f>IF($B2106=0,NA(),IF(Inputs!$B$25&lt;&gt;"Yes",NA(),Inputs!$D$25*Inputs!$C$35))</f>
        <v/>
      </c>
      <c r="Q2106" s="54">
        <f>IF($B2106=0,NA(),IF(Inputs!$B$26&lt;&gt;"Yes",NA(),Inputs!$D$26*Inputs!$C$35))</f>
        <v/>
      </c>
      <c r="R2106" s="54">
        <f>IF($B2106=0,NA(),IF(Inputs!$B$27&lt;&gt;"Yes",NA(),Inputs!$D$27*Inputs!$C$35))</f>
        <v/>
      </c>
      <c r="S2106" s="54">
        <f>IF($B2106=0,NA(),IF(Inputs!$B$28&lt;&gt;"Yes",NA(),Inputs!$D$28*Inputs!$C$35))</f>
        <v/>
      </c>
      <c r="T2106" s="54">
        <f>IF($B2106=0,NA(),IF(Inputs!$B$29&lt;&gt;"Yes",NA(),Inputs!$D$29*Inputs!$C$35))</f>
        <v/>
      </c>
      <c r="AD2106">
        <f>IF($B2106=0,0,IF(Inputs!$B$6="",0,COUNTIFS(Data!$A$10:$A$3209,"&gt;="&amp;$A2106,Data!$A$10:$A$3209,"&lt;"&amp;$A2106+1)))</f>
        <v/>
      </c>
      <c r="AE2106">
        <f>IF($B2106=0,0,IF(Inputs!$B$7="",0,COUNTIFS(Data!$E$10:$E$3209,"&gt;="&amp;$A2106,Data!$E$10:$E$3209,"&lt;"&amp;$A2106+1)))</f>
        <v/>
      </c>
      <c r="AF2106">
        <f>IF($B2106=0,0,IF(Inputs!$B$8="",0,COUNTIFS(Data!$I$10:$I$3209,"&gt;="&amp;$A2106,Data!$I$10:$I$3209,"&lt;"&amp;$A2106+1)))</f>
        <v/>
      </c>
      <c r="AG2106">
        <f>IF($B2106=0,0,IF(Inputs!$B$9="",0,COUNTIFS(Data!$M$10:$M$3209,"&gt;="&amp;$A2106,Data!$M$10:$M$3209,"&lt;"&amp;$A2106+1)))</f>
        <v/>
      </c>
      <c r="AH2106">
        <f>IF($B2106=0,0,IF(Inputs!$B$10="",0,COUNTIFS(Data!$Q$10:$Q$3209,"&gt;="&amp;$A2106,Data!$Q$10:$Q$3209,"&lt;"&amp;$A2106+1)))</f>
        <v/>
      </c>
    </row>
    <row r="2107">
      <c r="A2107" s="55">
        <f>MIN(Inputs!$C$15,$A2106+IF(WEEKDAY($A2106,2)=5,3,1))</f>
        <v/>
      </c>
      <c r="B2107">
        <f>IF($A2107&gt;$A2106,1,0)</f>
        <v/>
      </c>
      <c r="C2107" s="56">
        <f>IF($B2107=0,"",IF(Inputs!$B$6="","",IF($AD2107=0,C2106,SUMIFS(Data!$B$10:$B$3209,Data!$A$10:$A$3209,"&gt;="&amp;$A2107,Data!$A$10:$A$3209,"&lt;"&amp;$A2107+1)/$AD2107)))</f>
        <v/>
      </c>
      <c r="D2107" s="56">
        <f>IF($B2107=0,"",IF(Inputs!$B$7="","",IF($AE2107=0,D2106,SUMIFS(Data!$F$10:$F$3209,Data!$E$10:$E$3209,"&gt;="&amp;$A2107,Data!$E$10:$E$3209,"&lt;"&amp;$A2107+1)/$AE2107)))</f>
        <v/>
      </c>
      <c r="E2107" s="56">
        <f>IF($B2107=0,"",IF(Inputs!$B$8="","",IF($AF2107=0,E2106,SUMIFS(Data!$J$10:$J$3209,Data!$I$10:$I$3209,"&gt;="&amp;$A2107,Data!$I$10:$I$3209,"&lt;"&amp;$A2107+1)/$AF2107)))</f>
        <v/>
      </c>
      <c r="F2107" s="56">
        <f>IF($B2107=0,"",IF(Inputs!$B$9="","",IF($AG2107=0,F2106,SUMIFS(Data!$N$10:$N$3209,Data!$M$10:$M$3209,"&gt;="&amp;$A2107,Data!$M$10:$M$3209,"&lt;"&amp;$A2107+1)/$AG2107)))</f>
        <v/>
      </c>
      <c r="G2107" s="56">
        <f>IF($B2107=0,"",IF(Inputs!$B$10="","",IF($AH2107=0,G2106,SUMIFS(Data!$R$10:$R$3209,Data!$Q$10:$Q$3209,"&gt;="&amp;$A2107,Data!$Q$10:$Q$3209,"&lt;"&amp;$A2107+1)/$AH2107)))</f>
        <v/>
      </c>
      <c r="I2107" s="54">
        <f>IF($B2107=0,NA(),IF($C2107="",NA(),IF(C$8="",NA(),IF(N(C$8)=0,NA(),IF(Inputs!$C$17="Rebased to 100",$C2107/C$8*100,$C2107)))))</f>
        <v/>
      </c>
      <c r="J2107" s="54">
        <f>IF($B2107=0,NA(),IF($D2107="",NA(),IF(D$8="",NA(),IF(N(D$8)=0,NA(),IF(Inputs!$C$17="Rebased to 100",$D2107/D$8*100,$D2107)))))</f>
        <v/>
      </c>
      <c r="K2107" s="54">
        <f>IF($B2107=0,NA(),IF($E2107="",NA(),IF(E$8="",NA(),IF(N(E$8)=0,NA(),IF(Inputs!$C$17="Rebased to 100",$E2107/E$8*100,$E2107)))))</f>
        <v/>
      </c>
      <c r="L2107" s="54">
        <f>IF($B2107=0,NA(),IF($F2107="",NA(),IF(F$8="",NA(),IF(N(F$8)=0,NA(),IF(Inputs!$C$17="Rebased to 100",$F2107/F$8*100,$F2107)))))</f>
        <v/>
      </c>
      <c r="M2107" s="54">
        <f>IF($B2107=0,NA(),IF($G2107="",NA(),IF(G$8="",NA(),IF(N(G$8)=0,NA(),IF(Inputs!$C$17="Rebased to 100",$G2107/G$8*100,$G2107)))))</f>
        <v/>
      </c>
      <c r="N2107" s="54">
        <f>IF($B2107=0,NA(),IF(Inputs!$C$18&lt;&gt;"Yes",NA(),IF(COUNT(I2107,J2107,K2107,L2107,M2107)=0,NA(),MIN(I2107,J2107,K2107,L2107,M2107))))</f>
        <v/>
      </c>
      <c r="O2107" s="54">
        <f>IF($B2107=0,NA(),IF(Inputs!$B$24&lt;&gt;"Yes",NA(),Inputs!$D$24*Inputs!$C$35))</f>
        <v/>
      </c>
      <c r="P2107" s="54">
        <f>IF($B2107=0,NA(),IF(Inputs!$B$25&lt;&gt;"Yes",NA(),Inputs!$D$25*Inputs!$C$35))</f>
        <v/>
      </c>
      <c r="Q2107" s="54">
        <f>IF($B2107=0,NA(),IF(Inputs!$B$26&lt;&gt;"Yes",NA(),Inputs!$D$26*Inputs!$C$35))</f>
        <v/>
      </c>
      <c r="R2107" s="54">
        <f>IF($B2107=0,NA(),IF(Inputs!$B$27&lt;&gt;"Yes",NA(),Inputs!$D$27*Inputs!$C$35))</f>
        <v/>
      </c>
      <c r="S2107" s="54">
        <f>IF($B2107=0,NA(),IF(Inputs!$B$28&lt;&gt;"Yes",NA(),Inputs!$D$28*Inputs!$C$35))</f>
        <v/>
      </c>
      <c r="T2107" s="54">
        <f>IF($B2107=0,NA(),IF(Inputs!$B$29&lt;&gt;"Yes",NA(),Inputs!$D$29*Inputs!$C$35))</f>
        <v/>
      </c>
      <c r="AD2107">
        <f>IF($B2107=0,0,IF(Inputs!$B$6="",0,COUNTIFS(Data!$A$10:$A$3209,"&gt;="&amp;$A2107,Data!$A$10:$A$3209,"&lt;"&amp;$A2107+1)))</f>
        <v/>
      </c>
      <c r="AE2107">
        <f>IF($B2107=0,0,IF(Inputs!$B$7="",0,COUNTIFS(Data!$E$10:$E$3209,"&gt;="&amp;$A2107,Data!$E$10:$E$3209,"&lt;"&amp;$A2107+1)))</f>
        <v/>
      </c>
      <c r="AF2107">
        <f>IF($B2107=0,0,IF(Inputs!$B$8="",0,COUNTIFS(Data!$I$10:$I$3209,"&gt;="&amp;$A2107,Data!$I$10:$I$3209,"&lt;"&amp;$A2107+1)))</f>
        <v/>
      </c>
      <c r="AG2107">
        <f>IF($B2107=0,0,IF(Inputs!$B$9="",0,COUNTIFS(Data!$M$10:$M$3209,"&gt;="&amp;$A2107,Data!$M$10:$M$3209,"&lt;"&amp;$A2107+1)))</f>
        <v/>
      </c>
      <c r="AH2107">
        <f>IF($B2107=0,0,IF(Inputs!$B$10="",0,COUNTIFS(Data!$Q$10:$Q$3209,"&gt;="&amp;$A2107,Data!$Q$10:$Q$3209,"&lt;"&amp;$A2107+1)))</f>
        <v/>
      </c>
    </row>
    <row r="2108">
      <c r="A2108" s="55">
        <f>MIN(Inputs!$C$15,$A2107+IF(WEEKDAY($A2107,2)=5,3,1))</f>
        <v/>
      </c>
      <c r="B2108">
        <f>IF($A2108&gt;$A2107,1,0)</f>
        <v/>
      </c>
      <c r="C2108" s="56">
        <f>IF($B2108=0,"",IF(Inputs!$B$6="","",IF($AD2108=0,C2107,SUMIFS(Data!$B$10:$B$3209,Data!$A$10:$A$3209,"&gt;="&amp;$A2108,Data!$A$10:$A$3209,"&lt;"&amp;$A2108+1)/$AD2108)))</f>
        <v/>
      </c>
      <c r="D2108" s="56">
        <f>IF($B2108=0,"",IF(Inputs!$B$7="","",IF($AE2108=0,D2107,SUMIFS(Data!$F$10:$F$3209,Data!$E$10:$E$3209,"&gt;="&amp;$A2108,Data!$E$10:$E$3209,"&lt;"&amp;$A2108+1)/$AE2108)))</f>
        <v/>
      </c>
      <c r="E2108" s="56">
        <f>IF($B2108=0,"",IF(Inputs!$B$8="","",IF($AF2108=0,E2107,SUMIFS(Data!$J$10:$J$3209,Data!$I$10:$I$3209,"&gt;="&amp;$A2108,Data!$I$10:$I$3209,"&lt;"&amp;$A2108+1)/$AF2108)))</f>
        <v/>
      </c>
      <c r="F2108" s="56">
        <f>IF($B2108=0,"",IF(Inputs!$B$9="","",IF($AG2108=0,F2107,SUMIFS(Data!$N$10:$N$3209,Data!$M$10:$M$3209,"&gt;="&amp;$A2108,Data!$M$10:$M$3209,"&lt;"&amp;$A2108+1)/$AG2108)))</f>
        <v/>
      </c>
      <c r="G2108" s="56">
        <f>IF($B2108=0,"",IF(Inputs!$B$10="","",IF($AH2108=0,G2107,SUMIFS(Data!$R$10:$R$3209,Data!$Q$10:$Q$3209,"&gt;="&amp;$A2108,Data!$Q$10:$Q$3209,"&lt;"&amp;$A2108+1)/$AH2108)))</f>
        <v/>
      </c>
      <c r="I2108" s="54">
        <f>IF($B2108=0,NA(),IF($C2108="",NA(),IF(C$8="",NA(),IF(N(C$8)=0,NA(),IF(Inputs!$C$17="Rebased to 100",$C2108/C$8*100,$C2108)))))</f>
        <v/>
      </c>
      <c r="J2108" s="54">
        <f>IF($B2108=0,NA(),IF($D2108="",NA(),IF(D$8="",NA(),IF(N(D$8)=0,NA(),IF(Inputs!$C$17="Rebased to 100",$D2108/D$8*100,$D2108)))))</f>
        <v/>
      </c>
      <c r="K2108" s="54">
        <f>IF($B2108=0,NA(),IF($E2108="",NA(),IF(E$8="",NA(),IF(N(E$8)=0,NA(),IF(Inputs!$C$17="Rebased to 100",$E2108/E$8*100,$E2108)))))</f>
        <v/>
      </c>
      <c r="L2108" s="54">
        <f>IF($B2108=0,NA(),IF($F2108="",NA(),IF(F$8="",NA(),IF(N(F$8)=0,NA(),IF(Inputs!$C$17="Rebased to 100",$F2108/F$8*100,$F2108)))))</f>
        <v/>
      </c>
      <c r="M2108" s="54">
        <f>IF($B2108=0,NA(),IF($G2108="",NA(),IF(G$8="",NA(),IF(N(G$8)=0,NA(),IF(Inputs!$C$17="Rebased to 100",$G2108/G$8*100,$G2108)))))</f>
        <v/>
      </c>
      <c r="N2108" s="54">
        <f>IF($B2108=0,NA(),IF(Inputs!$C$18&lt;&gt;"Yes",NA(),IF(COUNT(I2108,J2108,K2108,L2108,M2108)=0,NA(),MIN(I2108,J2108,K2108,L2108,M2108))))</f>
        <v/>
      </c>
      <c r="O2108" s="54">
        <f>IF($B2108=0,NA(),IF(Inputs!$B$24&lt;&gt;"Yes",NA(),Inputs!$D$24*Inputs!$C$35))</f>
        <v/>
      </c>
      <c r="P2108" s="54">
        <f>IF($B2108=0,NA(),IF(Inputs!$B$25&lt;&gt;"Yes",NA(),Inputs!$D$25*Inputs!$C$35))</f>
        <v/>
      </c>
      <c r="Q2108" s="54">
        <f>IF($B2108=0,NA(),IF(Inputs!$B$26&lt;&gt;"Yes",NA(),Inputs!$D$26*Inputs!$C$35))</f>
        <v/>
      </c>
      <c r="R2108" s="54">
        <f>IF($B2108=0,NA(),IF(Inputs!$B$27&lt;&gt;"Yes",NA(),Inputs!$D$27*Inputs!$C$35))</f>
        <v/>
      </c>
      <c r="S2108" s="54">
        <f>IF($B2108=0,NA(),IF(Inputs!$B$28&lt;&gt;"Yes",NA(),Inputs!$D$28*Inputs!$C$35))</f>
        <v/>
      </c>
      <c r="T2108" s="54">
        <f>IF($B2108=0,NA(),IF(Inputs!$B$29&lt;&gt;"Yes",NA(),Inputs!$D$29*Inputs!$C$35))</f>
        <v/>
      </c>
      <c r="AD2108">
        <f>IF($B2108=0,0,IF(Inputs!$B$6="",0,COUNTIFS(Data!$A$10:$A$3209,"&gt;="&amp;$A2108,Data!$A$10:$A$3209,"&lt;"&amp;$A2108+1)))</f>
        <v/>
      </c>
      <c r="AE2108">
        <f>IF($B2108=0,0,IF(Inputs!$B$7="",0,COUNTIFS(Data!$E$10:$E$3209,"&gt;="&amp;$A2108,Data!$E$10:$E$3209,"&lt;"&amp;$A2108+1)))</f>
        <v/>
      </c>
      <c r="AF2108">
        <f>IF($B2108=0,0,IF(Inputs!$B$8="",0,COUNTIFS(Data!$I$10:$I$3209,"&gt;="&amp;$A2108,Data!$I$10:$I$3209,"&lt;"&amp;$A2108+1)))</f>
        <v/>
      </c>
      <c r="AG2108">
        <f>IF($B2108=0,0,IF(Inputs!$B$9="",0,COUNTIFS(Data!$M$10:$M$3209,"&gt;="&amp;$A2108,Data!$M$10:$M$3209,"&lt;"&amp;$A2108+1)))</f>
        <v/>
      </c>
      <c r="AH2108">
        <f>IF($B2108=0,0,IF(Inputs!$B$10="",0,COUNTIFS(Data!$Q$10:$Q$3209,"&gt;="&amp;$A2108,Data!$Q$10:$Q$3209,"&lt;"&amp;$A2108+1)))</f>
        <v/>
      </c>
    </row>
    <row r="2109">
      <c r="A2109" s="55">
        <f>MIN(Inputs!$C$15,$A2108+IF(WEEKDAY($A2108,2)=5,3,1))</f>
        <v/>
      </c>
      <c r="B2109">
        <f>IF($A2109&gt;$A2108,1,0)</f>
        <v/>
      </c>
      <c r="C2109" s="56">
        <f>IF($B2109=0,"",IF(Inputs!$B$6="","",IF($AD2109=0,C2108,SUMIFS(Data!$B$10:$B$3209,Data!$A$10:$A$3209,"&gt;="&amp;$A2109,Data!$A$10:$A$3209,"&lt;"&amp;$A2109+1)/$AD2109)))</f>
        <v/>
      </c>
      <c r="D2109" s="56">
        <f>IF($B2109=0,"",IF(Inputs!$B$7="","",IF($AE2109=0,D2108,SUMIFS(Data!$F$10:$F$3209,Data!$E$10:$E$3209,"&gt;="&amp;$A2109,Data!$E$10:$E$3209,"&lt;"&amp;$A2109+1)/$AE2109)))</f>
        <v/>
      </c>
      <c r="E2109" s="56">
        <f>IF($B2109=0,"",IF(Inputs!$B$8="","",IF($AF2109=0,E2108,SUMIFS(Data!$J$10:$J$3209,Data!$I$10:$I$3209,"&gt;="&amp;$A2109,Data!$I$10:$I$3209,"&lt;"&amp;$A2109+1)/$AF2109)))</f>
        <v/>
      </c>
      <c r="F2109" s="56">
        <f>IF($B2109=0,"",IF(Inputs!$B$9="","",IF($AG2109=0,F2108,SUMIFS(Data!$N$10:$N$3209,Data!$M$10:$M$3209,"&gt;="&amp;$A2109,Data!$M$10:$M$3209,"&lt;"&amp;$A2109+1)/$AG2109)))</f>
        <v/>
      </c>
      <c r="G2109" s="56">
        <f>IF($B2109=0,"",IF(Inputs!$B$10="","",IF($AH2109=0,G2108,SUMIFS(Data!$R$10:$R$3209,Data!$Q$10:$Q$3209,"&gt;="&amp;$A2109,Data!$Q$10:$Q$3209,"&lt;"&amp;$A2109+1)/$AH2109)))</f>
        <v/>
      </c>
      <c r="I2109" s="54">
        <f>IF($B2109=0,NA(),IF($C2109="",NA(),IF(C$8="",NA(),IF(N(C$8)=0,NA(),IF(Inputs!$C$17="Rebased to 100",$C2109/C$8*100,$C2109)))))</f>
        <v/>
      </c>
      <c r="J2109" s="54">
        <f>IF($B2109=0,NA(),IF($D2109="",NA(),IF(D$8="",NA(),IF(N(D$8)=0,NA(),IF(Inputs!$C$17="Rebased to 100",$D2109/D$8*100,$D2109)))))</f>
        <v/>
      </c>
      <c r="K2109" s="54">
        <f>IF($B2109=0,NA(),IF($E2109="",NA(),IF(E$8="",NA(),IF(N(E$8)=0,NA(),IF(Inputs!$C$17="Rebased to 100",$E2109/E$8*100,$E2109)))))</f>
        <v/>
      </c>
      <c r="L2109" s="54">
        <f>IF($B2109=0,NA(),IF($F2109="",NA(),IF(F$8="",NA(),IF(N(F$8)=0,NA(),IF(Inputs!$C$17="Rebased to 100",$F2109/F$8*100,$F2109)))))</f>
        <v/>
      </c>
      <c r="M2109" s="54">
        <f>IF($B2109=0,NA(),IF($G2109="",NA(),IF(G$8="",NA(),IF(N(G$8)=0,NA(),IF(Inputs!$C$17="Rebased to 100",$G2109/G$8*100,$G2109)))))</f>
        <v/>
      </c>
      <c r="N2109" s="54">
        <f>IF($B2109=0,NA(),IF(Inputs!$C$18&lt;&gt;"Yes",NA(),IF(COUNT(I2109,J2109,K2109,L2109,M2109)=0,NA(),MIN(I2109,J2109,K2109,L2109,M2109))))</f>
        <v/>
      </c>
      <c r="O2109" s="54">
        <f>IF($B2109=0,NA(),IF(Inputs!$B$24&lt;&gt;"Yes",NA(),Inputs!$D$24*Inputs!$C$35))</f>
        <v/>
      </c>
      <c r="P2109" s="54">
        <f>IF($B2109=0,NA(),IF(Inputs!$B$25&lt;&gt;"Yes",NA(),Inputs!$D$25*Inputs!$C$35))</f>
        <v/>
      </c>
      <c r="Q2109" s="54">
        <f>IF($B2109=0,NA(),IF(Inputs!$B$26&lt;&gt;"Yes",NA(),Inputs!$D$26*Inputs!$C$35))</f>
        <v/>
      </c>
      <c r="R2109" s="54">
        <f>IF($B2109=0,NA(),IF(Inputs!$B$27&lt;&gt;"Yes",NA(),Inputs!$D$27*Inputs!$C$35))</f>
        <v/>
      </c>
      <c r="S2109" s="54">
        <f>IF($B2109=0,NA(),IF(Inputs!$B$28&lt;&gt;"Yes",NA(),Inputs!$D$28*Inputs!$C$35))</f>
        <v/>
      </c>
      <c r="T2109" s="54">
        <f>IF($B2109=0,NA(),IF(Inputs!$B$29&lt;&gt;"Yes",NA(),Inputs!$D$29*Inputs!$C$35))</f>
        <v/>
      </c>
      <c r="AD2109">
        <f>IF($B2109=0,0,IF(Inputs!$B$6="",0,COUNTIFS(Data!$A$10:$A$3209,"&gt;="&amp;$A2109,Data!$A$10:$A$3209,"&lt;"&amp;$A2109+1)))</f>
        <v/>
      </c>
      <c r="AE2109">
        <f>IF($B2109=0,0,IF(Inputs!$B$7="",0,COUNTIFS(Data!$E$10:$E$3209,"&gt;="&amp;$A2109,Data!$E$10:$E$3209,"&lt;"&amp;$A2109+1)))</f>
        <v/>
      </c>
      <c r="AF2109">
        <f>IF($B2109=0,0,IF(Inputs!$B$8="",0,COUNTIFS(Data!$I$10:$I$3209,"&gt;="&amp;$A2109,Data!$I$10:$I$3209,"&lt;"&amp;$A2109+1)))</f>
        <v/>
      </c>
      <c r="AG2109">
        <f>IF($B2109=0,0,IF(Inputs!$B$9="",0,COUNTIFS(Data!$M$10:$M$3209,"&gt;="&amp;$A2109,Data!$M$10:$M$3209,"&lt;"&amp;$A2109+1)))</f>
        <v/>
      </c>
      <c r="AH2109">
        <f>IF($B2109=0,0,IF(Inputs!$B$10="",0,COUNTIFS(Data!$Q$10:$Q$3209,"&gt;="&amp;$A2109,Data!$Q$10:$Q$3209,"&lt;"&amp;$A2109+1)))</f>
        <v/>
      </c>
    </row>
    <row r="2110">
      <c r="A2110" s="55">
        <f>MIN(Inputs!$C$15,$A2109+IF(WEEKDAY($A2109,2)=5,3,1))</f>
        <v/>
      </c>
      <c r="B2110">
        <f>IF($A2110&gt;$A2109,1,0)</f>
        <v/>
      </c>
      <c r="C2110" s="56">
        <f>IF($B2110=0,"",IF(Inputs!$B$6="","",IF($AD2110=0,C2109,SUMIFS(Data!$B$10:$B$3209,Data!$A$10:$A$3209,"&gt;="&amp;$A2110,Data!$A$10:$A$3209,"&lt;"&amp;$A2110+1)/$AD2110)))</f>
        <v/>
      </c>
      <c r="D2110" s="56">
        <f>IF($B2110=0,"",IF(Inputs!$B$7="","",IF($AE2110=0,D2109,SUMIFS(Data!$F$10:$F$3209,Data!$E$10:$E$3209,"&gt;="&amp;$A2110,Data!$E$10:$E$3209,"&lt;"&amp;$A2110+1)/$AE2110)))</f>
        <v/>
      </c>
      <c r="E2110" s="56">
        <f>IF($B2110=0,"",IF(Inputs!$B$8="","",IF($AF2110=0,E2109,SUMIFS(Data!$J$10:$J$3209,Data!$I$10:$I$3209,"&gt;="&amp;$A2110,Data!$I$10:$I$3209,"&lt;"&amp;$A2110+1)/$AF2110)))</f>
        <v/>
      </c>
      <c r="F2110" s="56">
        <f>IF($B2110=0,"",IF(Inputs!$B$9="","",IF($AG2110=0,F2109,SUMIFS(Data!$N$10:$N$3209,Data!$M$10:$M$3209,"&gt;="&amp;$A2110,Data!$M$10:$M$3209,"&lt;"&amp;$A2110+1)/$AG2110)))</f>
        <v/>
      </c>
      <c r="G2110" s="56">
        <f>IF($B2110=0,"",IF(Inputs!$B$10="","",IF($AH2110=0,G2109,SUMIFS(Data!$R$10:$R$3209,Data!$Q$10:$Q$3209,"&gt;="&amp;$A2110,Data!$Q$10:$Q$3209,"&lt;"&amp;$A2110+1)/$AH2110)))</f>
        <v/>
      </c>
      <c r="I2110" s="54">
        <f>IF($B2110=0,NA(),IF($C2110="",NA(),IF(C$8="",NA(),IF(N(C$8)=0,NA(),IF(Inputs!$C$17="Rebased to 100",$C2110/C$8*100,$C2110)))))</f>
        <v/>
      </c>
      <c r="J2110" s="54">
        <f>IF($B2110=0,NA(),IF($D2110="",NA(),IF(D$8="",NA(),IF(N(D$8)=0,NA(),IF(Inputs!$C$17="Rebased to 100",$D2110/D$8*100,$D2110)))))</f>
        <v/>
      </c>
      <c r="K2110" s="54">
        <f>IF($B2110=0,NA(),IF($E2110="",NA(),IF(E$8="",NA(),IF(N(E$8)=0,NA(),IF(Inputs!$C$17="Rebased to 100",$E2110/E$8*100,$E2110)))))</f>
        <v/>
      </c>
      <c r="L2110" s="54">
        <f>IF($B2110=0,NA(),IF($F2110="",NA(),IF(F$8="",NA(),IF(N(F$8)=0,NA(),IF(Inputs!$C$17="Rebased to 100",$F2110/F$8*100,$F2110)))))</f>
        <v/>
      </c>
      <c r="M2110" s="54">
        <f>IF($B2110=0,NA(),IF($G2110="",NA(),IF(G$8="",NA(),IF(N(G$8)=0,NA(),IF(Inputs!$C$17="Rebased to 100",$G2110/G$8*100,$G2110)))))</f>
        <v/>
      </c>
      <c r="N2110" s="54">
        <f>IF($B2110=0,NA(),IF(Inputs!$C$18&lt;&gt;"Yes",NA(),IF(COUNT(I2110,J2110,K2110,L2110,M2110)=0,NA(),MIN(I2110,J2110,K2110,L2110,M2110))))</f>
        <v/>
      </c>
      <c r="O2110" s="54">
        <f>IF($B2110=0,NA(),IF(Inputs!$B$24&lt;&gt;"Yes",NA(),Inputs!$D$24*Inputs!$C$35))</f>
        <v/>
      </c>
      <c r="P2110" s="54">
        <f>IF($B2110=0,NA(),IF(Inputs!$B$25&lt;&gt;"Yes",NA(),Inputs!$D$25*Inputs!$C$35))</f>
        <v/>
      </c>
      <c r="Q2110" s="54">
        <f>IF($B2110=0,NA(),IF(Inputs!$B$26&lt;&gt;"Yes",NA(),Inputs!$D$26*Inputs!$C$35))</f>
        <v/>
      </c>
      <c r="R2110" s="54">
        <f>IF($B2110=0,NA(),IF(Inputs!$B$27&lt;&gt;"Yes",NA(),Inputs!$D$27*Inputs!$C$35))</f>
        <v/>
      </c>
      <c r="S2110" s="54">
        <f>IF($B2110=0,NA(),IF(Inputs!$B$28&lt;&gt;"Yes",NA(),Inputs!$D$28*Inputs!$C$35))</f>
        <v/>
      </c>
      <c r="T2110" s="54">
        <f>IF($B2110=0,NA(),IF(Inputs!$B$29&lt;&gt;"Yes",NA(),Inputs!$D$29*Inputs!$C$35))</f>
        <v/>
      </c>
      <c r="AD2110">
        <f>IF($B2110=0,0,IF(Inputs!$B$6="",0,COUNTIFS(Data!$A$10:$A$3209,"&gt;="&amp;$A2110,Data!$A$10:$A$3209,"&lt;"&amp;$A2110+1)))</f>
        <v/>
      </c>
      <c r="AE2110">
        <f>IF($B2110=0,0,IF(Inputs!$B$7="",0,COUNTIFS(Data!$E$10:$E$3209,"&gt;="&amp;$A2110,Data!$E$10:$E$3209,"&lt;"&amp;$A2110+1)))</f>
        <v/>
      </c>
      <c r="AF2110">
        <f>IF($B2110=0,0,IF(Inputs!$B$8="",0,COUNTIFS(Data!$I$10:$I$3209,"&gt;="&amp;$A2110,Data!$I$10:$I$3209,"&lt;"&amp;$A2110+1)))</f>
        <v/>
      </c>
      <c r="AG2110">
        <f>IF($B2110=0,0,IF(Inputs!$B$9="",0,COUNTIFS(Data!$M$10:$M$3209,"&gt;="&amp;$A2110,Data!$M$10:$M$3209,"&lt;"&amp;$A2110+1)))</f>
        <v/>
      </c>
      <c r="AH2110">
        <f>IF($B2110=0,0,IF(Inputs!$B$10="",0,COUNTIFS(Data!$Q$10:$Q$3209,"&gt;="&amp;$A2110,Data!$Q$10:$Q$3209,"&lt;"&amp;$A2110+1)))</f>
        <v/>
      </c>
    </row>
    <row r="2111">
      <c r="A2111" s="55">
        <f>MIN(Inputs!$C$15,$A2110+IF(WEEKDAY($A2110,2)=5,3,1))</f>
        <v/>
      </c>
      <c r="B2111">
        <f>IF($A2111&gt;$A2110,1,0)</f>
        <v/>
      </c>
      <c r="C2111" s="56">
        <f>IF($B2111=0,"",IF(Inputs!$B$6="","",IF($AD2111=0,C2110,SUMIFS(Data!$B$10:$B$3209,Data!$A$10:$A$3209,"&gt;="&amp;$A2111,Data!$A$10:$A$3209,"&lt;"&amp;$A2111+1)/$AD2111)))</f>
        <v/>
      </c>
      <c r="D2111" s="56">
        <f>IF($B2111=0,"",IF(Inputs!$B$7="","",IF($AE2111=0,D2110,SUMIFS(Data!$F$10:$F$3209,Data!$E$10:$E$3209,"&gt;="&amp;$A2111,Data!$E$10:$E$3209,"&lt;"&amp;$A2111+1)/$AE2111)))</f>
        <v/>
      </c>
      <c r="E2111" s="56">
        <f>IF($B2111=0,"",IF(Inputs!$B$8="","",IF($AF2111=0,E2110,SUMIFS(Data!$J$10:$J$3209,Data!$I$10:$I$3209,"&gt;="&amp;$A2111,Data!$I$10:$I$3209,"&lt;"&amp;$A2111+1)/$AF2111)))</f>
        <v/>
      </c>
      <c r="F2111" s="56">
        <f>IF($B2111=0,"",IF(Inputs!$B$9="","",IF($AG2111=0,F2110,SUMIFS(Data!$N$10:$N$3209,Data!$M$10:$M$3209,"&gt;="&amp;$A2111,Data!$M$10:$M$3209,"&lt;"&amp;$A2111+1)/$AG2111)))</f>
        <v/>
      </c>
      <c r="G2111" s="56">
        <f>IF($B2111=0,"",IF(Inputs!$B$10="","",IF($AH2111=0,G2110,SUMIFS(Data!$R$10:$R$3209,Data!$Q$10:$Q$3209,"&gt;="&amp;$A2111,Data!$Q$10:$Q$3209,"&lt;"&amp;$A2111+1)/$AH2111)))</f>
        <v/>
      </c>
      <c r="I2111" s="54">
        <f>IF($B2111=0,NA(),IF($C2111="",NA(),IF(C$8="",NA(),IF(N(C$8)=0,NA(),IF(Inputs!$C$17="Rebased to 100",$C2111/C$8*100,$C2111)))))</f>
        <v/>
      </c>
      <c r="J2111" s="54">
        <f>IF($B2111=0,NA(),IF($D2111="",NA(),IF(D$8="",NA(),IF(N(D$8)=0,NA(),IF(Inputs!$C$17="Rebased to 100",$D2111/D$8*100,$D2111)))))</f>
        <v/>
      </c>
      <c r="K2111" s="54">
        <f>IF($B2111=0,NA(),IF($E2111="",NA(),IF(E$8="",NA(),IF(N(E$8)=0,NA(),IF(Inputs!$C$17="Rebased to 100",$E2111/E$8*100,$E2111)))))</f>
        <v/>
      </c>
      <c r="L2111" s="54">
        <f>IF($B2111=0,NA(),IF($F2111="",NA(),IF(F$8="",NA(),IF(N(F$8)=0,NA(),IF(Inputs!$C$17="Rebased to 100",$F2111/F$8*100,$F2111)))))</f>
        <v/>
      </c>
      <c r="M2111" s="54">
        <f>IF($B2111=0,NA(),IF($G2111="",NA(),IF(G$8="",NA(),IF(N(G$8)=0,NA(),IF(Inputs!$C$17="Rebased to 100",$G2111/G$8*100,$G2111)))))</f>
        <v/>
      </c>
      <c r="N2111" s="54">
        <f>IF($B2111=0,NA(),IF(Inputs!$C$18&lt;&gt;"Yes",NA(),IF(COUNT(I2111,J2111,K2111,L2111,M2111)=0,NA(),MIN(I2111,J2111,K2111,L2111,M2111))))</f>
        <v/>
      </c>
      <c r="O2111" s="54">
        <f>IF($B2111=0,NA(),IF(Inputs!$B$24&lt;&gt;"Yes",NA(),Inputs!$D$24*Inputs!$C$35))</f>
        <v/>
      </c>
      <c r="P2111" s="54">
        <f>IF($B2111=0,NA(),IF(Inputs!$B$25&lt;&gt;"Yes",NA(),Inputs!$D$25*Inputs!$C$35))</f>
        <v/>
      </c>
      <c r="Q2111" s="54">
        <f>IF($B2111=0,NA(),IF(Inputs!$B$26&lt;&gt;"Yes",NA(),Inputs!$D$26*Inputs!$C$35))</f>
        <v/>
      </c>
      <c r="R2111" s="54">
        <f>IF($B2111=0,NA(),IF(Inputs!$B$27&lt;&gt;"Yes",NA(),Inputs!$D$27*Inputs!$C$35))</f>
        <v/>
      </c>
      <c r="S2111" s="54">
        <f>IF($B2111=0,NA(),IF(Inputs!$B$28&lt;&gt;"Yes",NA(),Inputs!$D$28*Inputs!$C$35))</f>
        <v/>
      </c>
      <c r="T2111" s="54">
        <f>IF($B2111=0,NA(),IF(Inputs!$B$29&lt;&gt;"Yes",NA(),Inputs!$D$29*Inputs!$C$35))</f>
        <v/>
      </c>
      <c r="AD2111">
        <f>IF($B2111=0,0,IF(Inputs!$B$6="",0,COUNTIFS(Data!$A$10:$A$3209,"&gt;="&amp;$A2111,Data!$A$10:$A$3209,"&lt;"&amp;$A2111+1)))</f>
        <v/>
      </c>
      <c r="AE2111">
        <f>IF($B2111=0,0,IF(Inputs!$B$7="",0,COUNTIFS(Data!$E$10:$E$3209,"&gt;="&amp;$A2111,Data!$E$10:$E$3209,"&lt;"&amp;$A2111+1)))</f>
        <v/>
      </c>
      <c r="AF2111">
        <f>IF($B2111=0,0,IF(Inputs!$B$8="",0,COUNTIFS(Data!$I$10:$I$3209,"&gt;="&amp;$A2111,Data!$I$10:$I$3209,"&lt;"&amp;$A2111+1)))</f>
        <v/>
      </c>
      <c r="AG2111">
        <f>IF($B2111=0,0,IF(Inputs!$B$9="",0,COUNTIFS(Data!$M$10:$M$3209,"&gt;="&amp;$A2111,Data!$M$10:$M$3209,"&lt;"&amp;$A2111+1)))</f>
        <v/>
      </c>
      <c r="AH2111">
        <f>IF($B2111=0,0,IF(Inputs!$B$10="",0,COUNTIFS(Data!$Q$10:$Q$3209,"&gt;="&amp;$A2111,Data!$Q$10:$Q$3209,"&lt;"&amp;$A2111+1)))</f>
        <v/>
      </c>
    </row>
    <row r="2112">
      <c r="A2112" s="55">
        <f>MIN(Inputs!$C$15,$A2111+IF(WEEKDAY($A2111,2)=5,3,1))</f>
        <v/>
      </c>
      <c r="B2112">
        <f>IF($A2112&gt;$A2111,1,0)</f>
        <v/>
      </c>
      <c r="C2112" s="56">
        <f>IF($B2112=0,"",IF(Inputs!$B$6="","",IF($AD2112=0,C2111,SUMIFS(Data!$B$10:$B$3209,Data!$A$10:$A$3209,"&gt;="&amp;$A2112,Data!$A$10:$A$3209,"&lt;"&amp;$A2112+1)/$AD2112)))</f>
        <v/>
      </c>
      <c r="D2112" s="56">
        <f>IF($B2112=0,"",IF(Inputs!$B$7="","",IF($AE2112=0,D2111,SUMIFS(Data!$F$10:$F$3209,Data!$E$10:$E$3209,"&gt;="&amp;$A2112,Data!$E$10:$E$3209,"&lt;"&amp;$A2112+1)/$AE2112)))</f>
        <v/>
      </c>
      <c r="E2112" s="56">
        <f>IF($B2112=0,"",IF(Inputs!$B$8="","",IF($AF2112=0,E2111,SUMIFS(Data!$J$10:$J$3209,Data!$I$10:$I$3209,"&gt;="&amp;$A2112,Data!$I$10:$I$3209,"&lt;"&amp;$A2112+1)/$AF2112)))</f>
        <v/>
      </c>
      <c r="F2112" s="56">
        <f>IF($B2112=0,"",IF(Inputs!$B$9="","",IF($AG2112=0,F2111,SUMIFS(Data!$N$10:$N$3209,Data!$M$10:$M$3209,"&gt;="&amp;$A2112,Data!$M$10:$M$3209,"&lt;"&amp;$A2112+1)/$AG2112)))</f>
        <v/>
      </c>
      <c r="G2112" s="56">
        <f>IF($B2112=0,"",IF(Inputs!$B$10="","",IF($AH2112=0,G2111,SUMIFS(Data!$R$10:$R$3209,Data!$Q$10:$Q$3209,"&gt;="&amp;$A2112,Data!$Q$10:$Q$3209,"&lt;"&amp;$A2112+1)/$AH2112)))</f>
        <v/>
      </c>
      <c r="I2112" s="54">
        <f>IF($B2112=0,NA(),IF($C2112="",NA(),IF(C$8="",NA(),IF(N(C$8)=0,NA(),IF(Inputs!$C$17="Rebased to 100",$C2112/C$8*100,$C2112)))))</f>
        <v/>
      </c>
      <c r="J2112" s="54">
        <f>IF($B2112=0,NA(),IF($D2112="",NA(),IF(D$8="",NA(),IF(N(D$8)=0,NA(),IF(Inputs!$C$17="Rebased to 100",$D2112/D$8*100,$D2112)))))</f>
        <v/>
      </c>
      <c r="K2112" s="54">
        <f>IF($B2112=0,NA(),IF($E2112="",NA(),IF(E$8="",NA(),IF(N(E$8)=0,NA(),IF(Inputs!$C$17="Rebased to 100",$E2112/E$8*100,$E2112)))))</f>
        <v/>
      </c>
      <c r="L2112" s="54">
        <f>IF($B2112=0,NA(),IF($F2112="",NA(),IF(F$8="",NA(),IF(N(F$8)=0,NA(),IF(Inputs!$C$17="Rebased to 100",$F2112/F$8*100,$F2112)))))</f>
        <v/>
      </c>
      <c r="M2112" s="54">
        <f>IF($B2112=0,NA(),IF($G2112="",NA(),IF(G$8="",NA(),IF(N(G$8)=0,NA(),IF(Inputs!$C$17="Rebased to 100",$G2112/G$8*100,$G2112)))))</f>
        <v/>
      </c>
      <c r="N2112" s="54">
        <f>IF($B2112=0,NA(),IF(Inputs!$C$18&lt;&gt;"Yes",NA(),IF(COUNT(I2112,J2112,K2112,L2112,M2112)=0,NA(),MIN(I2112,J2112,K2112,L2112,M2112))))</f>
        <v/>
      </c>
      <c r="O2112" s="54">
        <f>IF($B2112=0,NA(),IF(Inputs!$B$24&lt;&gt;"Yes",NA(),Inputs!$D$24*Inputs!$C$35))</f>
        <v/>
      </c>
      <c r="P2112" s="54">
        <f>IF($B2112=0,NA(),IF(Inputs!$B$25&lt;&gt;"Yes",NA(),Inputs!$D$25*Inputs!$C$35))</f>
        <v/>
      </c>
      <c r="Q2112" s="54">
        <f>IF($B2112=0,NA(),IF(Inputs!$B$26&lt;&gt;"Yes",NA(),Inputs!$D$26*Inputs!$C$35))</f>
        <v/>
      </c>
      <c r="R2112" s="54">
        <f>IF($B2112=0,NA(),IF(Inputs!$B$27&lt;&gt;"Yes",NA(),Inputs!$D$27*Inputs!$C$35))</f>
        <v/>
      </c>
      <c r="S2112" s="54">
        <f>IF($B2112=0,NA(),IF(Inputs!$B$28&lt;&gt;"Yes",NA(),Inputs!$D$28*Inputs!$C$35))</f>
        <v/>
      </c>
      <c r="T2112" s="54">
        <f>IF($B2112=0,NA(),IF(Inputs!$B$29&lt;&gt;"Yes",NA(),Inputs!$D$29*Inputs!$C$35))</f>
        <v/>
      </c>
      <c r="AD2112">
        <f>IF($B2112=0,0,IF(Inputs!$B$6="",0,COUNTIFS(Data!$A$10:$A$3209,"&gt;="&amp;$A2112,Data!$A$10:$A$3209,"&lt;"&amp;$A2112+1)))</f>
        <v/>
      </c>
      <c r="AE2112">
        <f>IF($B2112=0,0,IF(Inputs!$B$7="",0,COUNTIFS(Data!$E$10:$E$3209,"&gt;="&amp;$A2112,Data!$E$10:$E$3209,"&lt;"&amp;$A2112+1)))</f>
        <v/>
      </c>
      <c r="AF2112">
        <f>IF($B2112=0,0,IF(Inputs!$B$8="",0,COUNTIFS(Data!$I$10:$I$3209,"&gt;="&amp;$A2112,Data!$I$10:$I$3209,"&lt;"&amp;$A2112+1)))</f>
        <v/>
      </c>
      <c r="AG2112">
        <f>IF($B2112=0,0,IF(Inputs!$B$9="",0,COUNTIFS(Data!$M$10:$M$3209,"&gt;="&amp;$A2112,Data!$M$10:$M$3209,"&lt;"&amp;$A2112+1)))</f>
        <v/>
      </c>
      <c r="AH2112">
        <f>IF($B2112=0,0,IF(Inputs!$B$10="",0,COUNTIFS(Data!$Q$10:$Q$3209,"&gt;="&amp;$A2112,Data!$Q$10:$Q$3209,"&lt;"&amp;$A2112+1)))</f>
        <v/>
      </c>
    </row>
    <row r="2113">
      <c r="A2113" s="55">
        <f>MIN(Inputs!$C$15,$A2112+IF(WEEKDAY($A2112,2)=5,3,1))</f>
        <v/>
      </c>
      <c r="B2113">
        <f>IF($A2113&gt;$A2112,1,0)</f>
        <v/>
      </c>
      <c r="C2113" s="56">
        <f>IF($B2113=0,"",IF(Inputs!$B$6="","",IF($AD2113=0,C2112,SUMIFS(Data!$B$10:$B$3209,Data!$A$10:$A$3209,"&gt;="&amp;$A2113,Data!$A$10:$A$3209,"&lt;"&amp;$A2113+1)/$AD2113)))</f>
        <v/>
      </c>
      <c r="D2113" s="56">
        <f>IF($B2113=0,"",IF(Inputs!$B$7="","",IF($AE2113=0,D2112,SUMIFS(Data!$F$10:$F$3209,Data!$E$10:$E$3209,"&gt;="&amp;$A2113,Data!$E$10:$E$3209,"&lt;"&amp;$A2113+1)/$AE2113)))</f>
        <v/>
      </c>
      <c r="E2113" s="56">
        <f>IF($B2113=0,"",IF(Inputs!$B$8="","",IF($AF2113=0,E2112,SUMIFS(Data!$J$10:$J$3209,Data!$I$10:$I$3209,"&gt;="&amp;$A2113,Data!$I$10:$I$3209,"&lt;"&amp;$A2113+1)/$AF2113)))</f>
        <v/>
      </c>
      <c r="F2113" s="56">
        <f>IF($B2113=0,"",IF(Inputs!$B$9="","",IF($AG2113=0,F2112,SUMIFS(Data!$N$10:$N$3209,Data!$M$10:$M$3209,"&gt;="&amp;$A2113,Data!$M$10:$M$3209,"&lt;"&amp;$A2113+1)/$AG2113)))</f>
        <v/>
      </c>
      <c r="G2113" s="56">
        <f>IF($B2113=0,"",IF(Inputs!$B$10="","",IF($AH2113=0,G2112,SUMIFS(Data!$R$10:$R$3209,Data!$Q$10:$Q$3209,"&gt;="&amp;$A2113,Data!$Q$10:$Q$3209,"&lt;"&amp;$A2113+1)/$AH2113)))</f>
        <v/>
      </c>
      <c r="I2113" s="54">
        <f>IF($B2113=0,NA(),IF($C2113="",NA(),IF(C$8="",NA(),IF(N(C$8)=0,NA(),IF(Inputs!$C$17="Rebased to 100",$C2113/C$8*100,$C2113)))))</f>
        <v/>
      </c>
      <c r="J2113" s="54">
        <f>IF($B2113=0,NA(),IF($D2113="",NA(),IF(D$8="",NA(),IF(N(D$8)=0,NA(),IF(Inputs!$C$17="Rebased to 100",$D2113/D$8*100,$D2113)))))</f>
        <v/>
      </c>
      <c r="K2113" s="54">
        <f>IF($B2113=0,NA(),IF($E2113="",NA(),IF(E$8="",NA(),IF(N(E$8)=0,NA(),IF(Inputs!$C$17="Rebased to 100",$E2113/E$8*100,$E2113)))))</f>
        <v/>
      </c>
      <c r="L2113" s="54">
        <f>IF($B2113=0,NA(),IF($F2113="",NA(),IF(F$8="",NA(),IF(N(F$8)=0,NA(),IF(Inputs!$C$17="Rebased to 100",$F2113/F$8*100,$F2113)))))</f>
        <v/>
      </c>
      <c r="M2113" s="54">
        <f>IF($B2113=0,NA(),IF($G2113="",NA(),IF(G$8="",NA(),IF(N(G$8)=0,NA(),IF(Inputs!$C$17="Rebased to 100",$G2113/G$8*100,$G2113)))))</f>
        <v/>
      </c>
      <c r="N2113" s="54">
        <f>IF($B2113=0,NA(),IF(Inputs!$C$18&lt;&gt;"Yes",NA(),IF(COUNT(I2113,J2113,K2113,L2113,M2113)=0,NA(),MIN(I2113,J2113,K2113,L2113,M2113))))</f>
        <v/>
      </c>
      <c r="O2113" s="54">
        <f>IF($B2113=0,NA(),IF(Inputs!$B$24&lt;&gt;"Yes",NA(),Inputs!$D$24*Inputs!$C$35))</f>
        <v/>
      </c>
      <c r="P2113" s="54">
        <f>IF($B2113=0,NA(),IF(Inputs!$B$25&lt;&gt;"Yes",NA(),Inputs!$D$25*Inputs!$C$35))</f>
        <v/>
      </c>
      <c r="Q2113" s="54">
        <f>IF($B2113=0,NA(),IF(Inputs!$B$26&lt;&gt;"Yes",NA(),Inputs!$D$26*Inputs!$C$35))</f>
        <v/>
      </c>
      <c r="R2113" s="54">
        <f>IF($B2113=0,NA(),IF(Inputs!$B$27&lt;&gt;"Yes",NA(),Inputs!$D$27*Inputs!$C$35))</f>
        <v/>
      </c>
      <c r="S2113" s="54">
        <f>IF($B2113=0,NA(),IF(Inputs!$B$28&lt;&gt;"Yes",NA(),Inputs!$D$28*Inputs!$C$35))</f>
        <v/>
      </c>
      <c r="T2113" s="54">
        <f>IF($B2113=0,NA(),IF(Inputs!$B$29&lt;&gt;"Yes",NA(),Inputs!$D$29*Inputs!$C$35))</f>
        <v/>
      </c>
      <c r="AD2113">
        <f>IF($B2113=0,0,IF(Inputs!$B$6="",0,COUNTIFS(Data!$A$10:$A$3209,"&gt;="&amp;$A2113,Data!$A$10:$A$3209,"&lt;"&amp;$A2113+1)))</f>
        <v/>
      </c>
      <c r="AE2113">
        <f>IF($B2113=0,0,IF(Inputs!$B$7="",0,COUNTIFS(Data!$E$10:$E$3209,"&gt;="&amp;$A2113,Data!$E$10:$E$3209,"&lt;"&amp;$A2113+1)))</f>
        <v/>
      </c>
      <c r="AF2113">
        <f>IF($B2113=0,0,IF(Inputs!$B$8="",0,COUNTIFS(Data!$I$10:$I$3209,"&gt;="&amp;$A2113,Data!$I$10:$I$3209,"&lt;"&amp;$A2113+1)))</f>
        <v/>
      </c>
      <c r="AG2113">
        <f>IF($B2113=0,0,IF(Inputs!$B$9="",0,COUNTIFS(Data!$M$10:$M$3209,"&gt;="&amp;$A2113,Data!$M$10:$M$3209,"&lt;"&amp;$A2113+1)))</f>
        <v/>
      </c>
      <c r="AH2113">
        <f>IF($B2113=0,0,IF(Inputs!$B$10="",0,COUNTIFS(Data!$Q$10:$Q$3209,"&gt;="&amp;$A2113,Data!$Q$10:$Q$3209,"&lt;"&amp;$A2113+1)))</f>
        <v/>
      </c>
    </row>
    <row r="2114">
      <c r="A2114" s="55">
        <f>MIN(Inputs!$C$15,$A2113+IF(WEEKDAY($A2113,2)=5,3,1))</f>
        <v/>
      </c>
      <c r="B2114">
        <f>IF($A2114&gt;$A2113,1,0)</f>
        <v/>
      </c>
      <c r="C2114" s="56">
        <f>IF($B2114=0,"",IF(Inputs!$B$6="","",IF($AD2114=0,C2113,SUMIFS(Data!$B$10:$B$3209,Data!$A$10:$A$3209,"&gt;="&amp;$A2114,Data!$A$10:$A$3209,"&lt;"&amp;$A2114+1)/$AD2114)))</f>
        <v/>
      </c>
      <c r="D2114" s="56">
        <f>IF($B2114=0,"",IF(Inputs!$B$7="","",IF($AE2114=0,D2113,SUMIFS(Data!$F$10:$F$3209,Data!$E$10:$E$3209,"&gt;="&amp;$A2114,Data!$E$10:$E$3209,"&lt;"&amp;$A2114+1)/$AE2114)))</f>
        <v/>
      </c>
      <c r="E2114" s="56">
        <f>IF($B2114=0,"",IF(Inputs!$B$8="","",IF($AF2114=0,E2113,SUMIFS(Data!$J$10:$J$3209,Data!$I$10:$I$3209,"&gt;="&amp;$A2114,Data!$I$10:$I$3209,"&lt;"&amp;$A2114+1)/$AF2114)))</f>
        <v/>
      </c>
      <c r="F2114" s="56">
        <f>IF($B2114=0,"",IF(Inputs!$B$9="","",IF($AG2114=0,F2113,SUMIFS(Data!$N$10:$N$3209,Data!$M$10:$M$3209,"&gt;="&amp;$A2114,Data!$M$10:$M$3209,"&lt;"&amp;$A2114+1)/$AG2114)))</f>
        <v/>
      </c>
      <c r="G2114" s="56">
        <f>IF($B2114=0,"",IF(Inputs!$B$10="","",IF($AH2114=0,G2113,SUMIFS(Data!$R$10:$R$3209,Data!$Q$10:$Q$3209,"&gt;="&amp;$A2114,Data!$Q$10:$Q$3209,"&lt;"&amp;$A2114+1)/$AH2114)))</f>
        <v/>
      </c>
      <c r="I2114" s="54">
        <f>IF($B2114=0,NA(),IF($C2114="",NA(),IF(C$8="",NA(),IF(N(C$8)=0,NA(),IF(Inputs!$C$17="Rebased to 100",$C2114/C$8*100,$C2114)))))</f>
        <v/>
      </c>
      <c r="J2114" s="54">
        <f>IF($B2114=0,NA(),IF($D2114="",NA(),IF(D$8="",NA(),IF(N(D$8)=0,NA(),IF(Inputs!$C$17="Rebased to 100",$D2114/D$8*100,$D2114)))))</f>
        <v/>
      </c>
      <c r="K2114" s="54">
        <f>IF($B2114=0,NA(),IF($E2114="",NA(),IF(E$8="",NA(),IF(N(E$8)=0,NA(),IF(Inputs!$C$17="Rebased to 100",$E2114/E$8*100,$E2114)))))</f>
        <v/>
      </c>
      <c r="L2114" s="54">
        <f>IF($B2114=0,NA(),IF($F2114="",NA(),IF(F$8="",NA(),IF(N(F$8)=0,NA(),IF(Inputs!$C$17="Rebased to 100",$F2114/F$8*100,$F2114)))))</f>
        <v/>
      </c>
      <c r="M2114" s="54">
        <f>IF($B2114=0,NA(),IF($G2114="",NA(),IF(G$8="",NA(),IF(N(G$8)=0,NA(),IF(Inputs!$C$17="Rebased to 100",$G2114/G$8*100,$G2114)))))</f>
        <v/>
      </c>
      <c r="N2114" s="54">
        <f>IF($B2114=0,NA(),IF(Inputs!$C$18&lt;&gt;"Yes",NA(),IF(COUNT(I2114,J2114,K2114,L2114,M2114)=0,NA(),MIN(I2114,J2114,K2114,L2114,M2114))))</f>
        <v/>
      </c>
      <c r="O2114" s="54">
        <f>IF($B2114=0,NA(),IF(Inputs!$B$24&lt;&gt;"Yes",NA(),Inputs!$D$24*Inputs!$C$35))</f>
        <v/>
      </c>
      <c r="P2114" s="54">
        <f>IF($B2114=0,NA(),IF(Inputs!$B$25&lt;&gt;"Yes",NA(),Inputs!$D$25*Inputs!$C$35))</f>
        <v/>
      </c>
      <c r="Q2114" s="54">
        <f>IF($B2114=0,NA(),IF(Inputs!$B$26&lt;&gt;"Yes",NA(),Inputs!$D$26*Inputs!$C$35))</f>
        <v/>
      </c>
      <c r="R2114" s="54">
        <f>IF($B2114=0,NA(),IF(Inputs!$B$27&lt;&gt;"Yes",NA(),Inputs!$D$27*Inputs!$C$35))</f>
        <v/>
      </c>
      <c r="S2114" s="54">
        <f>IF($B2114=0,NA(),IF(Inputs!$B$28&lt;&gt;"Yes",NA(),Inputs!$D$28*Inputs!$C$35))</f>
        <v/>
      </c>
      <c r="T2114" s="54">
        <f>IF($B2114=0,NA(),IF(Inputs!$B$29&lt;&gt;"Yes",NA(),Inputs!$D$29*Inputs!$C$35))</f>
        <v/>
      </c>
      <c r="AD2114">
        <f>IF($B2114=0,0,IF(Inputs!$B$6="",0,COUNTIFS(Data!$A$10:$A$3209,"&gt;="&amp;$A2114,Data!$A$10:$A$3209,"&lt;"&amp;$A2114+1)))</f>
        <v/>
      </c>
      <c r="AE2114">
        <f>IF($B2114=0,0,IF(Inputs!$B$7="",0,COUNTIFS(Data!$E$10:$E$3209,"&gt;="&amp;$A2114,Data!$E$10:$E$3209,"&lt;"&amp;$A2114+1)))</f>
        <v/>
      </c>
      <c r="AF2114">
        <f>IF($B2114=0,0,IF(Inputs!$B$8="",0,COUNTIFS(Data!$I$10:$I$3209,"&gt;="&amp;$A2114,Data!$I$10:$I$3209,"&lt;"&amp;$A2114+1)))</f>
        <v/>
      </c>
      <c r="AG2114">
        <f>IF($B2114=0,0,IF(Inputs!$B$9="",0,COUNTIFS(Data!$M$10:$M$3209,"&gt;="&amp;$A2114,Data!$M$10:$M$3209,"&lt;"&amp;$A2114+1)))</f>
        <v/>
      </c>
      <c r="AH2114">
        <f>IF($B2114=0,0,IF(Inputs!$B$10="",0,COUNTIFS(Data!$Q$10:$Q$3209,"&gt;="&amp;$A2114,Data!$Q$10:$Q$3209,"&lt;"&amp;$A2114+1)))</f>
        <v/>
      </c>
    </row>
    <row r="2115">
      <c r="A2115" s="55">
        <f>MIN(Inputs!$C$15,$A2114+IF(WEEKDAY($A2114,2)=5,3,1))</f>
        <v/>
      </c>
      <c r="B2115">
        <f>IF($A2115&gt;$A2114,1,0)</f>
        <v/>
      </c>
      <c r="C2115" s="56">
        <f>IF($B2115=0,"",IF(Inputs!$B$6="","",IF($AD2115=0,C2114,SUMIFS(Data!$B$10:$B$3209,Data!$A$10:$A$3209,"&gt;="&amp;$A2115,Data!$A$10:$A$3209,"&lt;"&amp;$A2115+1)/$AD2115)))</f>
        <v/>
      </c>
      <c r="D2115" s="56">
        <f>IF($B2115=0,"",IF(Inputs!$B$7="","",IF($AE2115=0,D2114,SUMIFS(Data!$F$10:$F$3209,Data!$E$10:$E$3209,"&gt;="&amp;$A2115,Data!$E$10:$E$3209,"&lt;"&amp;$A2115+1)/$AE2115)))</f>
        <v/>
      </c>
      <c r="E2115" s="56">
        <f>IF($B2115=0,"",IF(Inputs!$B$8="","",IF($AF2115=0,E2114,SUMIFS(Data!$J$10:$J$3209,Data!$I$10:$I$3209,"&gt;="&amp;$A2115,Data!$I$10:$I$3209,"&lt;"&amp;$A2115+1)/$AF2115)))</f>
        <v/>
      </c>
      <c r="F2115" s="56">
        <f>IF($B2115=0,"",IF(Inputs!$B$9="","",IF($AG2115=0,F2114,SUMIFS(Data!$N$10:$N$3209,Data!$M$10:$M$3209,"&gt;="&amp;$A2115,Data!$M$10:$M$3209,"&lt;"&amp;$A2115+1)/$AG2115)))</f>
        <v/>
      </c>
      <c r="G2115" s="56">
        <f>IF($B2115=0,"",IF(Inputs!$B$10="","",IF($AH2115=0,G2114,SUMIFS(Data!$R$10:$R$3209,Data!$Q$10:$Q$3209,"&gt;="&amp;$A2115,Data!$Q$10:$Q$3209,"&lt;"&amp;$A2115+1)/$AH2115)))</f>
        <v/>
      </c>
      <c r="I2115" s="54">
        <f>IF($B2115=0,NA(),IF($C2115="",NA(),IF(C$8="",NA(),IF(N(C$8)=0,NA(),IF(Inputs!$C$17="Rebased to 100",$C2115/C$8*100,$C2115)))))</f>
        <v/>
      </c>
      <c r="J2115" s="54">
        <f>IF($B2115=0,NA(),IF($D2115="",NA(),IF(D$8="",NA(),IF(N(D$8)=0,NA(),IF(Inputs!$C$17="Rebased to 100",$D2115/D$8*100,$D2115)))))</f>
        <v/>
      </c>
      <c r="K2115" s="54">
        <f>IF($B2115=0,NA(),IF($E2115="",NA(),IF(E$8="",NA(),IF(N(E$8)=0,NA(),IF(Inputs!$C$17="Rebased to 100",$E2115/E$8*100,$E2115)))))</f>
        <v/>
      </c>
      <c r="L2115" s="54">
        <f>IF($B2115=0,NA(),IF($F2115="",NA(),IF(F$8="",NA(),IF(N(F$8)=0,NA(),IF(Inputs!$C$17="Rebased to 100",$F2115/F$8*100,$F2115)))))</f>
        <v/>
      </c>
      <c r="M2115" s="54">
        <f>IF($B2115=0,NA(),IF($G2115="",NA(),IF(G$8="",NA(),IF(N(G$8)=0,NA(),IF(Inputs!$C$17="Rebased to 100",$G2115/G$8*100,$G2115)))))</f>
        <v/>
      </c>
      <c r="N2115" s="54">
        <f>IF($B2115=0,NA(),IF(Inputs!$C$18&lt;&gt;"Yes",NA(),IF(COUNT(I2115,J2115,K2115,L2115,M2115)=0,NA(),MIN(I2115,J2115,K2115,L2115,M2115))))</f>
        <v/>
      </c>
      <c r="O2115" s="54">
        <f>IF($B2115=0,NA(),IF(Inputs!$B$24&lt;&gt;"Yes",NA(),Inputs!$D$24*Inputs!$C$35))</f>
        <v/>
      </c>
      <c r="P2115" s="54">
        <f>IF($B2115=0,NA(),IF(Inputs!$B$25&lt;&gt;"Yes",NA(),Inputs!$D$25*Inputs!$C$35))</f>
        <v/>
      </c>
      <c r="Q2115" s="54">
        <f>IF($B2115=0,NA(),IF(Inputs!$B$26&lt;&gt;"Yes",NA(),Inputs!$D$26*Inputs!$C$35))</f>
        <v/>
      </c>
      <c r="R2115" s="54">
        <f>IF($B2115=0,NA(),IF(Inputs!$B$27&lt;&gt;"Yes",NA(),Inputs!$D$27*Inputs!$C$35))</f>
        <v/>
      </c>
      <c r="S2115" s="54">
        <f>IF($B2115=0,NA(),IF(Inputs!$B$28&lt;&gt;"Yes",NA(),Inputs!$D$28*Inputs!$C$35))</f>
        <v/>
      </c>
      <c r="T2115" s="54">
        <f>IF($B2115=0,NA(),IF(Inputs!$B$29&lt;&gt;"Yes",NA(),Inputs!$D$29*Inputs!$C$35))</f>
        <v/>
      </c>
      <c r="AD2115">
        <f>IF($B2115=0,0,IF(Inputs!$B$6="",0,COUNTIFS(Data!$A$10:$A$3209,"&gt;="&amp;$A2115,Data!$A$10:$A$3209,"&lt;"&amp;$A2115+1)))</f>
        <v/>
      </c>
      <c r="AE2115">
        <f>IF($B2115=0,0,IF(Inputs!$B$7="",0,COUNTIFS(Data!$E$10:$E$3209,"&gt;="&amp;$A2115,Data!$E$10:$E$3209,"&lt;"&amp;$A2115+1)))</f>
        <v/>
      </c>
      <c r="AF2115">
        <f>IF($B2115=0,0,IF(Inputs!$B$8="",0,COUNTIFS(Data!$I$10:$I$3209,"&gt;="&amp;$A2115,Data!$I$10:$I$3209,"&lt;"&amp;$A2115+1)))</f>
        <v/>
      </c>
      <c r="AG2115">
        <f>IF($B2115=0,0,IF(Inputs!$B$9="",0,COUNTIFS(Data!$M$10:$M$3209,"&gt;="&amp;$A2115,Data!$M$10:$M$3209,"&lt;"&amp;$A2115+1)))</f>
        <v/>
      </c>
      <c r="AH2115">
        <f>IF($B2115=0,0,IF(Inputs!$B$10="",0,COUNTIFS(Data!$Q$10:$Q$3209,"&gt;="&amp;$A2115,Data!$Q$10:$Q$3209,"&lt;"&amp;$A2115+1)))</f>
        <v/>
      </c>
    </row>
    <row r="2116">
      <c r="A2116" s="55">
        <f>MIN(Inputs!$C$15,$A2115+IF(WEEKDAY($A2115,2)=5,3,1))</f>
        <v/>
      </c>
      <c r="B2116">
        <f>IF($A2116&gt;$A2115,1,0)</f>
        <v/>
      </c>
      <c r="C2116" s="56">
        <f>IF($B2116=0,"",IF(Inputs!$B$6="","",IF($AD2116=0,C2115,SUMIFS(Data!$B$10:$B$3209,Data!$A$10:$A$3209,"&gt;="&amp;$A2116,Data!$A$10:$A$3209,"&lt;"&amp;$A2116+1)/$AD2116)))</f>
        <v/>
      </c>
      <c r="D2116" s="56">
        <f>IF($B2116=0,"",IF(Inputs!$B$7="","",IF($AE2116=0,D2115,SUMIFS(Data!$F$10:$F$3209,Data!$E$10:$E$3209,"&gt;="&amp;$A2116,Data!$E$10:$E$3209,"&lt;"&amp;$A2116+1)/$AE2116)))</f>
        <v/>
      </c>
      <c r="E2116" s="56">
        <f>IF($B2116=0,"",IF(Inputs!$B$8="","",IF($AF2116=0,E2115,SUMIFS(Data!$J$10:$J$3209,Data!$I$10:$I$3209,"&gt;="&amp;$A2116,Data!$I$10:$I$3209,"&lt;"&amp;$A2116+1)/$AF2116)))</f>
        <v/>
      </c>
      <c r="F2116" s="56">
        <f>IF($B2116=0,"",IF(Inputs!$B$9="","",IF($AG2116=0,F2115,SUMIFS(Data!$N$10:$N$3209,Data!$M$10:$M$3209,"&gt;="&amp;$A2116,Data!$M$10:$M$3209,"&lt;"&amp;$A2116+1)/$AG2116)))</f>
        <v/>
      </c>
      <c r="G2116" s="56">
        <f>IF($B2116=0,"",IF(Inputs!$B$10="","",IF($AH2116=0,G2115,SUMIFS(Data!$R$10:$R$3209,Data!$Q$10:$Q$3209,"&gt;="&amp;$A2116,Data!$Q$10:$Q$3209,"&lt;"&amp;$A2116+1)/$AH2116)))</f>
        <v/>
      </c>
      <c r="I2116" s="54">
        <f>IF($B2116=0,NA(),IF($C2116="",NA(),IF(C$8="",NA(),IF(N(C$8)=0,NA(),IF(Inputs!$C$17="Rebased to 100",$C2116/C$8*100,$C2116)))))</f>
        <v/>
      </c>
      <c r="J2116" s="54">
        <f>IF($B2116=0,NA(),IF($D2116="",NA(),IF(D$8="",NA(),IF(N(D$8)=0,NA(),IF(Inputs!$C$17="Rebased to 100",$D2116/D$8*100,$D2116)))))</f>
        <v/>
      </c>
      <c r="K2116" s="54">
        <f>IF($B2116=0,NA(),IF($E2116="",NA(),IF(E$8="",NA(),IF(N(E$8)=0,NA(),IF(Inputs!$C$17="Rebased to 100",$E2116/E$8*100,$E2116)))))</f>
        <v/>
      </c>
      <c r="L2116" s="54">
        <f>IF($B2116=0,NA(),IF($F2116="",NA(),IF(F$8="",NA(),IF(N(F$8)=0,NA(),IF(Inputs!$C$17="Rebased to 100",$F2116/F$8*100,$F2116)))))</f>
        <v/>
      </c>
      <c r="M2116" s="54">
        <f>IF($B2116=0,NA(),IF($G2116="",NA(),IF(G$8="",NA(),IF(N(G$8)=0,NA(),IF(Inputs!$C$17="Rebased to 100",$G2116/G$8*100,$G2116)))))</f>
        <v/>
      </c>
      <c r="N2116" s="54">
        <f>IF($B2116=0,NA(),IF(Inputs!$C$18&lt;&gt;"Yes",NA(),IF(COUNT(I2116,J2116,K2116,L2116,M2116)=0,NA(),MIN(I2116,J2116,K2116,L2116,M2116))))</f>
        <v/>
      </c>
      <c r="O2116" s="54">
        <f>IF($B2116=0,NA(),IF(Inputs!$B$24&lt;&gt;"Yes",NA(),Inputs!$D$24*Inputs!$C$35))</f>
        <v/>
      </c>
      <c r="P2116" s="54">
        <f>IF($B2116=0,NA(),IF(Inputs!$B$25&lt;&gt;"Yes",NA(),Inputs!$D$25*Inputs!$C$35))</f>
        <v/>
      </c>
      <c r="Q2116" s="54">
        <f>IF($B2116=0,NA(),IF(Inputs!$B$26&lt;&gt;"Yes",NA(),Inputs!$D$26*Inputs!$C$35))</f>
        <v/>
      </c>
      <c r="R2116" s="54">
        <f>IF($B2116=0,NA(),IF(Inputs!$B$27&lt;&gt;"Yes",NA(),Inputs!$D$27*Inputs!$C$35))</f>
        <v/>
      </c>
      <c r="S2116" s="54">
        <f>IF($B2116=0,NA(),IF(Inputs!$B$28&lt;&gt;"Yes",NA(),Inputs!$D$28*Inputs!$C$35))</f>
        <v/>
      </c>
      <c r="T2116" s="54">
        <f>IF($B2116=0,NA(),IF(Inputs!$B$29&lt;&gt;"Yes",NA(),Inputs!$D$29*Inputs!$C$35))</f>
        <v/>
      </c>
      <c r="AD2116">
        <f>IF($B2116=0,0,IF(Inputs!$B$6="",0,COUNTIFS(Data!$A$10:$A$3209,"&gt;="&amp;$A2116,Data!$A$10:$A$3209,"&lt;"&amp;$A2116+1)))</f>
        <v/>
      </c>
      <c r="AE2116">
        <f>IF($B2116=0,0,IF(Inputs!$B$7="",0,COUNTIFS(Data!$E$10:$E$3209,"&gt;="&amp;$A2116,Data!$E$10:$E$3209,"&lt;"&amp;$A2116+1)))</f>
        <v/>
      </c>
      <c r="AF2116">
        <f>IF($B2116=0,0,IF(Inputs!$B$8="",0,COUNTIFS(Data!$I$10:$I$3209,"&gt;="&amp;$A2116,Data!$I$10:$I$3209,"&lt;"&amp;$A2116+1)))</f>
        <v/>
      </c>
      <c r="AG2116">
        <f>IF($B2116=0,0,IF(Inputs!$B$9="",0,COUNTIFS(Data!$M$10:$M$3209,"&gt;="&amp;$A2116,Data!$M$10:$M$3209,"&lt;"&amp;$A2116+1)))</f>
        <v/>
      </c>
      <c r="AH2116">
        <f>IF($B2116=0,0,IF(Inputs!$B$10="",0,COUNTIFS(Data!$Q$10:$Q$3209,"&gt;="&amp;$A2116,Data!$Q$10:$Q$3209,"&lt;"&amp;$A2116+1)))</f>
        <v/>
      </c>
    </row>
    <row r="2117">
      <c r="A2117" s="55">
        <f>MIN(Inputs!$C$15,$A2116+IF(WEEKDAY($A2116,2)=5,3,1))</f>
        <v/>
      </c>
      <c r="B2117">
        <f>IF($A2117&gt;$A2116,1,0)</f>
        <v/>
      </c>
      <c r="C2117" s="56">
        <f>IF($B2117=0,"",IF(Inputs!$B$6="","",IF($AD2117=0,C2116,SUMIFS(Data!$B$10:$B$3209,Data!$A$10:$A$3209,"&gt;="&amp;$A2117,Data!$A$10:$A$3209,"&lt;"&amp;$A2117+1)/$AD2117)))</f>
        <v/>
      </c>
      <c r="D2117" s="56">
        <f>IF($B2117=0,"",IF(Inputs!$B$7="","",IF($AE2117=0,D2116,SUMIFS(Data!$F$10:$F$3209,Data!$E$10:$E$3209,"&gt;="&amp;$A2117,Data!$E$10:$E$3209,"&lt;"&amp;$A2117+1)/$AE2117)))</f>
        <v/>
      </c>
      <c r="E2117" s="56">
        <f>IF($B2117=0,"",IF(Inputs!$B$8="","",IF($AF2117=0,E2116,SUMIFS(Data!$J$10:$J$3209,Data!$I$10:$I$3209,"&gt;="&amp;$A2117,Data!$I$10:$I$3209,"&lt;"&amp;$A2117+1)/$AF2117)))</f>
        <v/>
      </c>
      <c r="F2117" s="56">
        <f>IF($B2117=0,"",IF(Inputs!$B$9="","",IF($AG2117=0,F2116,SUMIFS(Data!$N$10:$N$3209,Data!$M$10:$M$3209,"&gt;="&amp;$A2117,Data!$M$10:$M$3209,"&lt;"&amp;$A2117+1)/$AG2117)))</f>
        <v/>
      </c>
      <c r="G2117" s="56">
        <f>IF($B2117=0,"",IF(Inputs!$B$10="","",IF($AH2117=0,G2116,SUMIFS(Data!$R$10:$R$3209,Data!$Q$10:$Q$3209,"&gt;="&amp;$A2117,Data!$Q$10:$Q$3209,"&lt;"&amp;$A2117+1)/$AH2117)))</f>
        <v/>
      </c>
      <c r="I2117" s="54">
        <f>IF($B2117=0,NA(),IF($C2117="",NA(),IF(C$8="",NA(),IF(N(C$8)=0,NA(),IF(Inputs!$C$17="Rebased to 100",$C2117/C$8*100,$C2117)))))</f>
        <v/>
      </c>
      <c r="J2117" s="54">
        <f>IF($B2117=0,NA(),IF($D2117="",NA(),IF(D$8="",NA(),IF(N(D$8)=0,NA(),IF(Inputs!$C$17="Rebased to 100",$D2117/D$8*100,$D2117)))))</f>
        <v/>
      </c>
      <c r="K2117" s="54">
        <f>IF($B2117=0,NA(),IF($E2117="",NA(),IF(E$8="",NA(),IF(N(E$8)=0,NA(),IF(Inputs!$C$17="Rebased to 100",$E2117/E$8*100,$E2117)))))</f>
        <v/>
      </c>
      <c r="L2117" s="54">
        <f>IF($B2117=0,NA(),IF($F2117="",NA(),IF(F$8="",NA(),IF(N(F$8)=0,NA(),IF(Inputs!$C$17="Rebased to 100",$F2117/F$8*100,$F2117)))))</f>
        <v/>
      </c>
      <c r="M2117" s="54">
        <f>IF($B2117=0,NA(),IF($G2117="",NA(),IF(G$8="",NA(),IF(N(G$8)=0,NA(),IF(Inputs!$C$17="Rebased to 100",$G2117/G$8*100,$G2117)))))</f>
        <v/>
      </c>
      <c r="N2117" s="54">
        <f>IF($B2117=0,NA(),IF(Inputs!$C$18&lt;&gt;"Yes",NA(),IF(COUNT(I2117,J2117,K2117,L2117,M2117)=0,NA(),MIN(I2117,J2117,K2117,L2117,M2117))))</f>
        <v/>
      </c>
      <c r="O2117" s="54">
        <f>IF($B2117=0,NA(),IF(Inputs!$B$24&lt;&gt;"Yes",NA(),Inputs!$D$24*Inputs!$C$35))</f>
        <v/>
      </c>
      <c r="P2117" s="54">
        <f>IF($B2117=0,NA(),IF(Inputs!$B$25&lt;&gt;"Yes",NA(),Inputs!$D$25*Inputs!$C$35))</f>
        <v/>
      </c>
      <c r="Q2117" s="54">
        <f>IF($B2117=0,NA(),IF(Inputs!$B$26&lt;&gt;"Yes",NA(),Inputs!$D$26*Inputs!$C$35))</f>
        <v/>
      </c>
      <c r="R2117" s="54">
        <f>IF($B2117=0,NA(),IF(Inputs!$B$27&lt;&gt;"Yes",NA(),Inputs!$D$27*Inputs!$C$35))</f>
        <v/>
      </c>
      <c r="S2117" s="54">
        <f>IF($B2117=0,NA(),IF(Inputs!$B$28&lt;&gt;"Yes",NA(),Inputs!$D$28*Inputs!$C$35))</f>
        <v/>
      </c>
      <c r="T2117" s="54">
        <f>IF($B2117=0,NA(),IF(Inputs!$B$29&lt;&gt;"Yes",NA(),Inputs!$D$29*Inputs!$C$35))</f>
        <v/>
      </c>
      <c r="AD2117">
        <f>IF($B2117=0,0,IF(Inputs!$B$6="",0,COUNTIFS(Data!$A$10:$A$3209,"&gt;="&amp;$A2117,Data!$A$10:$A$3209,"&lt;"&amp;$A2117+1)))</f>
        <v/>
      </c>
      <c r="AE2117">
        <f>IF($B2117=0,0,IF(Inputs!$B$7="",0,COUNTIFS(Data!$E$10:$E$3209,"&gt;="&amp;$A2117,Data!$E$10:$E$3209,"&lt;"&amp;$A2117+1)))</f>
        <v/>
      </c>
      <c r="AF2117">
        <f>IF($B2117=0,0,IF(Inputs!$B$8="",0,COUNTIFS(Data!$I$10:$I$3209,"&gt;="&amp;$A2117,Data!$I$10:$I$3209,"&lt;"&amp;$A2117+1)))</f>
        <v/>
      </c>
      <c r="AG2117">
        <f>IF($B2117=0,0,IF(Inputs!$B$9="",0,COUNTIFS(Data!$M$10:$M$3209,"&gt;="&amp;$A2117,Data!$M$10:$M$3209,"&lt;"&amp;$A2117+1)))</f>
        <v/>
      </c>
      <c r="AH2117">
        <f>IF($B2117=0,0,IF(Inputs!$B$10="",0,COUNTIFS(Data!$Q$10:$Q$3209,"&gt;="&amp;$A2117,Data!$Q$10:$Q$3209,"&lt;"&amp;$A2117+1)))</f>
        <v/>
      </c>
    </row>
    <row r="2118">
      <c r="A2118" s="55">
        <f>MIN(Inputs!$C$15,$A2117+IF(WEEKDAY($A2117,2)=5,3,1))</f>
        <v/>
      </c>
      <c r="B2118">
        <f>IF($A2118&gt;$A2117,1,0)</f>
        <v/>
      </c>
      <c r="C2118" s="56">
        <f>IF($B2118=0,"",IF(Inputs!$B$6="","",IF($AD2118=0,C2117,SUMIFS(Data!$B$10:$B$3209,Data!$A$10:$A$3209,"&gt;="&amp;$A2118,Data!$A$10:$A$3209,"&lt;"&amp;$A2118+1)/$AD2118)))</f>
        <v/>
      </c>
      <c r="D2118" s="56">
        <f>IF($B2118=0,"",IF(Inputs!$B$7="","",IF($AE2118=0,D2117,SUMIFS(Data!$F$10:$F$3209,Data!$E$10:$E$3209,"&gt;="&amp;$A2118,Data!$E$10:$E$3209,"&lt;"&amp;$A2118+1)/$AE2118)))</f>
        <v/>
      </c>
      <c r="E2118" s="56">
        <f>IF($B2118=0,"",IF(Inputs!$B$8="","",IF($AF2118=0,E2117,SUMIFS(Data!$J$10:$J$3209,Data!$I$10:$I$3209,"&gt;="&amp;$A2118,Data!$I$10:$I$3209,"&lt;"&amp;$A2118+1)/$AF2118)))</f>
        <v/>
      </c>
      <c r="F2118" s="56">
        <f>IF($B2118=0,"",IF(Inputs!$B$9="","",IF($AG2118=0,F2117,SUMIFS(Data!$N$10:$N$3209,Data!$M$10:$M$3209,"&gt;="&amp;$A2118,Data!$M$10:$M$3209,"&lt;"&amp;$A2118+1)/$AG2118)))</f>
        <v/>
      </c>
      <c r="G2118" s="56">
        <f>IF($B2118=0,"",IF(Inputs!$B$10="","",IF($AH2118=0,G2117,SUMIFS(Data!$R$10:$R$3209,Data!$Q$10:$Q$3209,"&gt;="&amp;$A2118,Data!$Q$10:$Q$3209,"&lt;"&amp;$A2118+1)/$AH2118)))</f>
        <v/>
      </c>
      <c r="I2118" s="54">
        <f>IF($B2118=0,NA(),IF($C2118="",NA(),IF(C$8="",NA(),IF(N(C$8)=0,NA(),IF(Inputs!$C$17="Rebased to 100",$C2118/C$8*100,$C2118)))))</f>
        <v/>
      </c>
      <c r="J2118" s="54">
        <f>IF($B2118=0,NA(),IF($D2118="",NA(),IF(D$8="",NA(),IF(N(D$8)=0,NA(),IF(Inputs!$C$17="Rebased to 100",$D2118/D$8*100,$D2118)))))</f>
        <v/>
      </c>
      <c r="K2118" s="54">
        <f>IF($B2118=0,NA(),IF($E2118="",NA(),IF(E$8="",NA(),IF(N(E$8)=0,NA(),IF(Inputs!$C$17="Rebased to 100",$E2118/E$8*100,$E2118)))))</f>
        <v/>
      </c>
      <c r="L2118" s="54">
        <f>IF($B2118=0,NA(),IF($F2118="",NA(),IF(F$8="",NA(),IF(N(F$8)=0,NA(),IF(Inputs!$C$17="Rebased to 100",$F2118/F$8*100,$F2118)))))</f>
        <v/>
      </c>
      <c r="M2118" s="54">
        <f>IF($B2118=0,NA(),IF($G2118="",NA(),IF(G$8="",NA(),IF(N(G$8)=0,NA(),IF(Inputs!$C$17="Rebased to 100",$G2118/G$8*100,$G2118)))))</f>
        <v/>
      </c>
      <c r="N2118" s="54">
        <f>IF($B2118=0,NA(),IF(Inputs!$C$18&lt;&gt;"Yes",NA(),IF(COUNT(I2118,J2118,K2118,L2118,M2118)=0,NA(),MIN(I2118,J2118,K2118,L2118,M2118))))</f>
        <v/>
      </c>
      <c r="O2118" s="54">
        <f>IF($B2118=0,NA(),IF(Inputs!$B$24&lt;&gt;"Yes",NA(),Inputs!$D$24*Inputs!$C$35))</f>
        <v/>
      </c>
      <c r="P2118" s="54">
        <f>IF($B2118=0,NA(),IF(Inputs!$B$25&lt;&gt;"Yes",NA(),Inputs!$D$25*Inputs!$C$35))</f>
        <v/>
      </c>
      <c r="Q2118" s="54">
        <f>IF($B2118=0,NA(),IF(Inputs!$B$26&lt;&gt;"Yes",NA(),Inputs!$D$26*Inputs!$C$35))</f>
        <v/>
      </c>
      <c r="R2118" s="54">
        <f>IF($B2118=0,NA(),IF(Inputs!$B$27&lt;&gt;"Yes",NA(),Inputs!$D$27*Inputs!$C$35))</f>
        <v/>
      </c>
      <c r="S2118" s="54">
        <f>IF($B2118=0,NA(),IF(Inputs!$B$28&lt;&gt;"Yes",NA(),Inputs!$D$28*Inputs!$C$35))</f>
        <v/>
      </c>
      <c r="T2118" s="54">
        <f>IF($B2118=0,NA(),IF(Inputs!$B$29&lt;&gt;"Yes",NA(),Inputs!$D$29*Inputs!$C$35))</f>
        <v/>
      </c>
      <c r="AD2118">
        <f>IF($B2118=0,0,IF(Inputs!$B$6="",0,COUNTIFS(Data!$A$10:$A$3209,"&gt;="&amp;$A2118,Data!$A$10:$A$3209,"&lt;"&amp;$A2118+1)))</f>
        <v/>
      </c>
      <c r="AE2118">
        <f>IF($B2118=0,0,IF(Inputs!$B$7="",0,COUNTIFS(Data!$E$10:$E$3209,"&gt;="&amp;$A2118,Data!$E$10:$E$3209,"&lt;"&amp;$A2118+1)))</f>
        <v/>
      </c>
      <c r="AF2118">
        <f>IF($B2118=0,0,IF(Inputs!$B$8="",0,COUNTIFS(Data!$I$10:$I$3209,"&gt;="&amp;$A2118,Data!$I$10:$I$3209,"&lt;"&amp;$A2118+1)))</f>
        <v/>
      </c>
      <c r="AG2118">
        <f>IF($B2118=0,0,IF(Inputs!$B$9="",0,COUNTIFS(Data!$M$10:$M$3209,"&gt;="&amp;$A2118,Data!$M$10:$M$3209,"&lt;"&amp;$A2118+1)))</f>
        <v/>
      </c>
      <c r="AH2118">
        <f>IF($B2118=0,0,IF(Inputs!$B$10="",0,COUNTIFS(Data!$Q$10:$Q$3209,"&gt;="&amp;$A2118,Data!$Q$10:$Q$3209,"&lt;"&amp;$A2118+1)))</f>
        <v/>
      </c>
    </row>
    <row r="2119">
      <c r="A2119" s="55">
        <f>MIN(Inputs!$C$15,$A2118+IF(WEEKDAY($A2118,2)=5,3,1))</f>
        <v/>
      </c>
      <c r="B2119">
        <f>IF($A2119&gt;$A2118,1,0)</f>
        <v/>
      </c>
      <c r="C2119" s="56">
        <f>IF($B2119=0,"",IF(Inputs!$B$6="","",IF($AD2119=0,C2118,SUMIFS(Data!$B$10:$B$3209,Data!$A$10:$A$3209,"&gt;="&amp;$A2119,Data!$A$10:$A$3209,"&lt;"&amp;$A2119+1)/$AD2119)))</f>
        <v/>
      </c>
      <c r="D2119" s="56">
        <f>IF($B2119=0,"",IF(Inputs!$B$7="","",IF($AE2119=0,D2118,SUMIFS(Data!$F$10:$F$3209,Data!$E$10:$E$3209,"&gt;="&amp;$A2119,Data!$E$10:$E$3209,"&lt;"&amp;$A2119+1)/$AE2119)))</f>
        <v/>
      </c>
      <c r="E2119" s="56">
        <f>IF($B2119=0,"",IF(Inputs!$B$8="","",IF($AF2119=0,E2118,SUMIFS(Data!$J$10:$J$3209,Data!$I$10:$I$3209,"&gt;="&amp;$A2119,Data!$I$10:$I$3209,"&lt;"&amp;$A2119+1)/$AF2119)))</f>
        <v/>
      </c>
      <c r="F2119" s="56">
        <f>IF($B2119=0,"",IF(Inputs!$B$9="","",IF($AG2119=0,F2118,SUMIFS(Data!$N$10:$N$3209,Data!$M$10:$M$3209,"&gt;="&amp;$A2119,Data!$M$10:$M$3209,"&lt;"&amp;$A2119+1)/$AG2119)))</f>
        <v/>
      </c>
      <c r="G2119" s="56">
        <f>IF($B2119=0,"",IF(Inputs!$B$10="","",IF($AH2119=0,G2118,SUMIFS(Data!$R$10:$R$3209,Data!$Q$10:$Q$3209,"&gt;="&amp;$A2119,Data!$Q$10:$Q$3209,"&lt;"&amp;$A2119+1)/$AH2119)))</f>
        <v/>
      </c>
      <c r="I2119" s="54">
        <f>IF($B2119=0,NA(),IF($C2119="",NA(),IF(C$8="",NA(),IF(N(C$8)=0,NA(),IF(Inputs!$C$17="Rebased to 100",$C2119/C$8*100,$C2119)))))</f>
        <v/>
      </c>
      <c r="J2119" s="54">
        <f>IF($B2119=0,NA(),IF($D2119="",NA(),IF(D$8="",NA(),IF(N(D$8)=0,NA(),IF(Inputs!$C$17="Rebased to 100",$D2119/D$8*100,$D2119)))))</f>
        <v/>
      </c>
      <c r="K2119" s="54">
        <f>IF($B2119=0,NA(),IF($E2119="",NA(),IF(E$8="",NA(),IF(N(E$8)=0,NA(),IF(Inputs!$C$17="Rebased to 100",$E2119/E$8*100,$E2119)))))</f>
        <v/>
      </c>
      <c r="L2119" s="54">
        <f>IF($B2119=0,NA(),IF($F2119="",NA(),IF(F$8="",NA(),IF(N(F$8)=0,NA(),IF(Inputs!$C$17="Rebased to 100",$F2119/F$8*100,$F2119)))))</f>
        <v/>
      </c>
      <c r="M2119" s="54">
        <f>IF($B2119=0,NA(),IF($G2119="",NA(),IF(G$8="",NA(),IF(N(G$8)=0,NA(),IF(Inputs!$C$17="Rebased to 100",$G2119/G$8*100,$G2119)))))</f>
        <v/>
      </c>
      <c r="N2119" s="54">
        <f>IF($B2119=0,NA(),IF(Inputs!$C$18&lt;&gt;"Yes",NA(),IF(COUNT(I2119,J2119,K2119,L2119,M2119)=0,NA(),MIN(I2119,J2119,K2119,L2119,M2119))))</f>
        <v/>
      </c>
      <c r="O2119" s="54">
        <f>IF($B2119=0,NA(),IF(Inputs!$B$24&lt;&gt;"Yes",NA(),Inputs!$D$24*Inputs!$C$35))</f>
        <v/>
      </c>
      <c r="P2119" s="54">
        <f>IF($B2119=0,NA(),IF(Inputs!$B$25&lt;&gt;"Yes",NA(),Inputs!$D$25*Inputs!$C$35))</f>
        <v/>
      </c>
      <c r="Q2119" s="54">
        <f>IF($B2119=0,NA(),IF(Inputs!$B$26&lt;&gt;"Yes",NA(),Inputs!$D$26*Inputs!$C$35))</f>
        <v/>
      </c>
      <c r="R2119" s="54">
        <f>IF($B2119=0,NA(),IF(Inputs!$B$27&lt;&gt;"Yes",NA(),Inputs!$D$27*Inputs!$C$35))</f>
        <v/>
      </c>
      <c r="S2119" s="54">
        <f>IF($B2119=0,NA(),IF(Inputs!$B$28&lt;&gt;"Yes",NA(),Inputs!$D$28*Inputs!$C$35))</f>
        <v/>
      </c>
      <c r="T2119" s="54">
        <f>IF($B2119=0,NA(),IF(Inputs!$B$29&lt;&gt;"Yes",NA(),Inputs!$D$29*Inputs!$C$35))</f>
        <v/>
      </c>
      <c r="AD2119">
        <f>IF($B2119=0,0,IF(Inputs!$B$6="",0,COUNTIFS(Data!$A$10:$A$3209,"&gt;="&amp;$A2119,Data!$A$10:$A$3209,"&lt;"&amp;$A2119+1)))</f>
        <v/>
      </c>
      <c r="AE2119">
        <f>IF($B2119=0,0,IF(Inputs!$B$7="",0,COUNTIFS(Data!$E$10:$E$3209,"&gt;="&amp;$A2119,Data!$E$10:$E$3209,"&lt;"&amp;$A2119+1)))</f>
        <v/>
      </c>
      <c r="AF2119">
        <f>IF($B2119=0,0,IF(Inputs!$B$8="",0,COUNTIFS(Data!$I$10:$I$3209,"&gt;="&amp;$A2119,Data!$I$10:$I$3209,"&lt;"&amp;$A2119+1)))</f>
        <v/>
      </c>
      <c r="AG2119">
        <f>IF($B2119=0,0,IF(Inputs!$B$9="",0,COUNTIFS(Data!$M$10:$M$3209,"&gt;="&amp;$A2119,Data!$M$10:$M$3209,"&lt;"&amp;$A2119+1)))</f>
        <v/>
      </c>
      <c r="AH2119">
        <f>IF($B2119=0,0,IF(Inputs!$B$10="",0,COUNTIFS(Data!$Q$10:$Q$3209,"&gt;="&amp;$A2119,Data!$Q$10:$Q$3209,"&lt;"&amp;$A2119+1)))</f>
        <v/>
      </c>
    </row>
    <row r="2120">
      <c r="A2120" s="55">
        <f>MIN(Inputs!$C$15,$A2119+IF(WEEKDAY($A2119,2)=5,3,1))</f>
        <v/>
      </c>
      <c r="B2120">
        <f>IF($A2120&gt;$A2119,1,0)</f>
        <v/>
      </c>
      <c r="C2120" s="56">
        <f>IF($B2120=0,"",IF(Inputs!$B$6="","",IF($AD2120=0,C2119,SUMIFS(Data!$B$10:$B$3209,Data!$A$10:$A$3209,"&gt;="&amp;$A2120,Data!$A$10:$A$3209,"&lt;"&amp;$A2120+1)/$AD2120)))</f>
        <v/>
      </c>
      <c r="D2120" s="56">
        <f>IF($B2120=0,"",IF(Inputs!$B$7="","",IF($AE2120=0,D2119,SUMIFS(Data!$F$10:$F$3209,Data!$E$10:$E$3209,"&gt;="&amp;$A2120,Data!$E$10:$E$3209,"&lt;"&amp;$A2120+1)/$AE2120)))</f>
        <v/>
      </c>
      <c r="E2120" s="56">
        <f>IF($B2120=0,"",IF(Inputs!$B$8="","",IF($AF2120=0,E2119,SUMIFS(Data!$J$10:$J$3209,Data!$I$10:$I$3209,"&gt;="&amp;$A2120,Data!$I$10:$I$3209,"&lt;"&amp;$A2120+1)/$AF2120)))</f>
        <v/>
      </c>
      <c r="F2120" s="56">
        <f>IF($B2120=0,"",IF(Inputs!$B$9="","",IF($AG2120=0,F2119,SUMIFS(Data!$N$10:$N$3209,Data!$M$10:$M$3209,"&gt;="&amp;$A2120,Data!$M$10:$M$3209,"&lt;"&amp;$A2120+1)/$AG2120)))</f>
        <v/>
      </c>
      <c r="G2120" s="56">
        <f>IF($B2120=0,"",IF(Inputs!$B$10="","",IF($AH2120=0,G2119,SUMIFS(Data!$R$10:$R$3209,Data!$Q$10:$Q$3209,"&gt;="&amp;$A2120,Data!$Q$10:$Q$3209,"&lt;"&amp;$A2120+1)/$AH2120)))</f>
        <v/>
      </c>
      <c r="I2120" s="54">
        <f>IF($B2120=0,NA(),IF($C2120="",NA(),IF(C$8="",NA(),IF(N(C$8)=0,NA(),IF(Inputs!$C$17="Rebased to 100",$C2120/C$8*100,$C2120)))))</f>
        <v/>
      </c>
      <c r="J2120" s="54">
        <f>IF($B2120=0,NA(),IF($D2120="",NA(),IF(D$8="",NA(),IF(N(D$8)=0,NA(),IF(Inputs!$C$17="Rebased to 100",$D2120/D$8*100,$D2120)))))</f>
        <v/>
      </c>
      <c r="K2120" s="54">
        <f>IF($B2120=0,NA(),IF($E2120="",NA(),IF(E$8="",NA(),IF(N(E$8)=0,NA(),IF(Inputs!$C$17="Rebased to 100",$E2120/E$8*100,$E2120)))))</f>
        <v/>
      </c>
      <c r="L2120" s="54">
        <f>IF($B2120=0,NA(),IF($F2120="",NA(),IF(F$8="",NA(),IF(N(F$8)=0,NA(),IF(Inputs!$C$17="Rebased to 100",$F2120/F$8*100,$F2120)))))</f>
        <v/>
      </c>
      <c r="M2120" s="54">
        <f>IF($B2120=0,NA(),IF($G2120="",NA(),IF(G$8="",NA(),IF(N(G$8)=0,NA(),IF(Inputs!$C$17="Rebased to 100",$G2120/G$8*100,$G2120)))))</f>
        <v/>
      </c>
      <c r="N2120" s="54">
        <f>IF($B2120=0,NA(),IF(Inputs!$C$18&lt;&gt;"Yes",NA(),IF(COUNT(I2120,J2120,K2120,L2120,M2120)=0,NA(),MIN(I2120,J2120,K2120,L2120,M2120))))</f>
        <v/>
      </c>
      <c r="O2120" s="54">
        <f>IF($B2120=0,NA(),IF(Inputs!$B$24&lt;&gt;"Yes",NA(),Inputs!$D$24*Inputs!$C$35))</f>
        <v/>
      </c>
      <c r="P2120" s="54">
        <f>IF($B2120=0,NA(),IF(Inputs!$B$25&lt;&gt;"Yes",NA(),Inputs!$D$25*Inputs!$C$35))</f>
        <v/>
      </c>
      <c r="Q2120" s="54">
        <f>IF($B2120=0,NA(),IF(Inputs!$B$26&lt;&gt;"Yes",NA(),Inputs!$D$26*Inputs!$C$35))</f>
        <v/>
      </c>
      <c r="R2120" s="54">
        <f>IF($B2120=0,NA(),IF(Inputs!$B$27&lt;&gt;"Yes",NA(),Inputs!$D$27*Inputs!$C$35))</f>
        <v/>
      </c>
      <c r="S2120" s="54">
        <f>IF($B2120=0,NA(),IF(Inputs!$B$28&lt;&gt;"Yes",NA(),Inputs!$D$28*Inputs!$C$35))</f>
        <v/>
      </c>
      <c r="T2120" s="54">
        <f>IF($B2120=0,NA(),IF(Inputs!$B$29&lt;&gt;"Yes",NA(),Inputs!$D$29*Inputs!$C$35))</f>
        <v/>
      </c>
      <c r="AD2120">
        <f>IF($B2120=0,0,IF(Inputs!$B$6="",0,COUNTIFS(Data!$A$10:$A$3209,"&gt;="&amp;$A2120,Data!$A$10:$A$3209,"&lt;"&amp;$A2120+1)))</f>
        <v/>
      </c>
      <c r="AE2120">
        <f>IF($B2120=0,0,IF(Inputs!$B$7="",0,COUNTIFS(Data!$E$10:$E$3209,"&gt;="&amp;$A2120,Data!$E$10:$E$3209,"&lt;"&amp;$A2120+1)))</f>
        <v/>
      </c>
      <c r="AF2120">
        <f>IF($B2120=0,0,IF(Inputs!$B$8="",0,COUNTIFS(Data!$I$10:$I$3209,"&gt;="&amp;$A2120,Data!$I$10:$I$3209,"&lt;"&amp;$A2120+1)))</f>
        <v/>
      </c>
      <c r="AG2120">
        <f>IF($B2120=0,0,IF(Inputs!$B$9="",0,COUNTIFS(Data!$M$10:$M$3209,"&gt;="&amp;$A2120,Data!$M$10:$M$3209,"&lt;"&amp;$A2120+1)))</f>
        <v/>
      </c>
      <c r="AH2120">
        <f>IF($B2120=0,0,IF(Inputs!$B$10="",0,COUNTIFS(Data!$Q$10:$Q$3209,"&gt;="&amp;$A2120,Data!$Q$10:$Q$3209,"&lt;"&amp;$A2120+1)))</f>
        <v/>
      </c>
    </row>
    <row r="2121">
      <c r="A2121" s="55">
        <f>MIN(Inputs!$C$15,$A2120+IF(WEEKDAY($A2120,2)=5,3,1))</f>
        <v/>
      </c>
      <c r="B2121">
        <f>IF($A2121&gt;$A2120,1,0)</f>
        <v/>
      </c>
      <c r="C2121" s="56">
        <f>IF($B2121=0,"",IF(Inputs!$B$6="","",IF($AD2121=0,C2120,SUMIFS(Data!$B$10:$B$3209,Data!$A$10:$A$3209,"&gt;="&amp;$A2121,Data!$A$10:$A$3209,"&lt;"&amp;$A2121+1)/$AD2121)))</f>
        <v/>
      </c>
      <c r="D2121" s="56">
        <f>IF($B2121=0,"",IF(Inputs!$B$7="","",IF($AE2121=0,D2120,SUMIFS(Data!$F$10:$F$3209,Data!$E$10:$E$3209,"&gt;="&amp;$A2121,Data!$E$10:$E$3209,"&lt;"&amp;$A2121+1)/$AE2121)))</f>
        <v/>
      </c>
      <c r="E2121" s="56">
        <f>IF($B2121=0,"",IF(Inputs!$B$8="","",IF($AF2121=0,E2120,SUMIFS(Data!$J$10:$J$3209,Data!$I$10:$I$3209,"&gt;="&amp;$A2121,Data!$I$10:$I$3209,"&lt;"&amp;$A2121+1)/$AF2121)))</f>
        <v/>
      </c>
      <c r="F2121" s="56">
        <f>IF($B2121=0,"",IF(Inputs!$B$9="","",IF($AG2121=0,F2120,SUMIFS(Data!$N$10:$N$3209,Data!$M$10:$M$3209,"&gt;="&amp;$A2121,Data!$M$10:$M$3209,"&lt;"&amp;$A2121+1)/$AG2121)))</f>
        <v/>
      </c>
      <c r="G2121" s="56">
        <f>IF($B2121=0,"",IF(Inputs!$B$10="","",IF($AH2121=0,G2120,SUMIFS(Data!$R$10:$R$3209,Data!$Q$10:$Q$3209,"&gt;="&amp;$A2121,Data!$Q$10:$Q$3209,"&lt;"&amp;$A2121+1)/$AH2121)))</f>
        <v/>
      </c>
      <c r="I2121" s="54">
        <f>IF($B2121=0,NA(),IF($C2121="",NA(),IF(C$8="",NA(),IF(N(C$8)=0,NA(),IF(Inputs!$C$17="Rebased to 100",$C2121/C$8*100,$C2121)))))</f>
        <v/>
      </c>
      <c r="J2121" s="54">
        <f>IF($B2121=0,NA(),IF($D2121="",NA(),IF(D$8="",NA(),IF(N(D$8)=0,NA(),IF(Inputs!$C$17="Rebased to 100",$D2121/D$8*100,$D2121)))))</f>
        <v/>
      </c>
      <c r="K2121" s="54">
        <f>IF($B2121=0,NA(),IF($E2121="",NA(),IF(E$8="",NA(),IF(N(E$8)=0,NA(),IF(Inputs!$C$17="Rebased to 100",$E2121/E$8*100,$E2121)))))</f>
        <v/>
      </c>
      <c r="L2121" s="54">
        <f>IF($B2121=0,NA(),IF($F2121="",NA(),IF(F$8="",NA(),IF(N(F$8)=0,NA(),IF(Inputs!$C$17="Rebased to 100",$F2121/F$8*100,$F2121)))))</f>
        <v/>
      </c>
      <c r="M2121" s="54">
        <f>IF($B2121=0,NA(),IF($G2121="",NA(),IF(G$8="",NA(),IF(N(G$8)=0,NA(),IF(Inputs!$C$17="Rebased to 100",$G2121/G$8*100,$G2121)))))</f>
        <v/>
      </c>
      <c r="N2121" s="54">
        <f>IF($B2121=0,NA(),IF(Inputs!$C$18&lt;&gt;"Yes",NA(),IF(COUNT(I2121,J2121,K2121,L2121,M2121)=0,NA(),MIN(I2121,J2121,K2121,L2121,M2121))))</f>
        <v/>
      </c>
      <c r="O2121" s="54">
        <f>IF($B2121=0,NA(),IF(Inputs!$B$24&lt;&gt;"Yes",NA(),Inputs!$D$24*Inputs!$C$35))</f>
        <v/>
      </c>
      <c r="P2121" s="54">
        <f>IF($B2121=0,NA(),IF(Inputs!$B$25&lt;&gt;"Yes",NA(),Inputs!$D$25*Inputs!$C$35))</f>
        <v/>
      </c>
      <c r="Q2121" s="54">
        <f>IF($B2121=0,NA(),IF(Inputs!$B$26&lt;&gt;"Yes",NA(),Inputs!$D$26*Inputs!$C$35))</f>
        <v/>
      </c>
      <c r="R2121" s="54">
        <f>IF($B2121=0,NA(),IF(Inputs!$B$27&lt;&gt;"Yes",NA(),Inputs!$D$27*Inputs!$C$35))</f>
        <v/>
      </c>
      <c r="S2121" s="54">
        <f>IF($B2121=0,NA(),IF(Inputs!$B$28&lt;&gt;"Yes",NA(),Inputs!$D$28*Inputs!$C$35))</f>
        <v/>
      </c>
      <c r="T2121" s="54">
        <f>IF($B2121=0,NA(),IF(Inputs!$B$29&lt;&gt;"Yes",NA(),Inputs!$D$29*Inputs!$C$35))</f>
        <v/>
      </c>
      <c r="AD2121">
        <f>IF($B2121=0,0,IF(Inputs!$B$6="",0,COUNTIFS(Data!$A$10:$A$3209,"&gt;="&amp;$A2121,Data!$A$10:$A$3209,"&lt;"&amp;$A2121+1)))</f>
        <v/>
      </c>
      <c r="AE2121">
        <f>IF($B2121=0,0,IF(Inputs!$B$7="",0,COUNTIFS(Data!$E$10:$E$3209,"&gt;="&amp;$A2121,Data!$E$10:$E$3209,"&lt;"&amp;$A2121+1)))</f>
        <v/>
      </c>
      <c r="AF2121">
        <f>IF($B2121=0,0,IF(Inputs!$B$8="",0,COUNTIFS(Data!$I$10:$I$3209,"&gt;="&amp;$A2121,Data!$I$10:$I$3209,"&lt;"&amp;$A2121+1)))</f>
        <v/>
      </c>
      <c r="AG2121">
        <f>IF($B2121=0,0,IF(Inputs!$B$9="",0,COUNTIFS(Data!$M$10:$M$3209,"&gt;="&amp;$A2121,Data!$M$10:$M$3209,"&lt;"&amp;$A2121+1)))</f>
        <v/>
      </c>
      <c r="AH2121">
        <f>IF($B2121=0,0,IF(Inputs!$B$10="",0,COUNTIFS(Data!$Q$10:$Q$3209,"&gt;="&amp;$A2121,Data!$Q$10:$Q$3209,"&lt;"&amp;$A2121+1)))</f>
        <v/>
      </c>
    </row>
    <row r="2122">
      <c r="A2122" s="55">
        <f>MIN(Inputs!$C$15,$A2121+IF(WEEKDAY($A2121,2)=5,3,1))</f>
        <v/>
      </c>
      <c r="B2122">
        <f>IF($A2122&gt;$A2121,1,0)</f>
        <v/>
      </c>
      <c r="C2122" s="56">
        <f>IF($B2122=0,"",IF(Inputs!$B$6="","",IF($AD2122=0,C2121,SUMIFS(Data!$B$10:$B$3209,Data!$A$10:$A$3209,"&gt;="&amp;$A2122,Data!$A$10:$A$3209,"&lt;"&amp;$A2122+1)/$AD2122)))</f>
        <v/>
      </c>
      <c r="D2122" s="56">
        <f>IF($B2122=0,"",IF(Inputs!$B$7="","",IF($AE2122=0,D2121,SUMIFS(Data!$F$10:$F$3209,Data!$E$10:$E$3209,"&gt;="&amp;$A2122,Data!$E$10:$E$3209,"&lt;"&amp;$A2122+1)/$AE2122)))</f>
        <v/>
      </c>
      <c r="E2122" s="56">
        <f>IF($B2122=0,"",IF(Inputs!$B$8="","",IF($AF2122=0,E2121,SUMIFS(Data!$J$10:$J$3209,Data!$I$10:$I$3209,"&gt;="&amp;$A2122,Data!$I$10:$I$3209,"&lt;"&amp;$A2122+1)/$AF2122)))</f>
        <v/>
      </c>
      <c r="F2122" s="56">
        <f>IF($B2122=0,"",IF(Inputs!$B$9="","",IF($AG2122=0,F2121,SUMIFS(Data!$N$10:$N$3209,Data!$M$10:$M$3209,"&gt;="&amp;$A2122,Data!$M$10:$M$3209,"&lt;"&amp;$A2122+1)/$AG2122)))</f>
        <v/>
      </c>
      <c r="G2122" s="56">
        <f>IF($B2122=0,"",IF(Inputs!$B$10="","",IF($AH2122=0,G2121,SUMIFS(Data!$R$10:$R$3209,Data!$Q$10:$Q$3209,"&gt;="&amp;$A2122,Data!$Q$10:$Q$3209,"&lt;"&amp;$A2122+1)/$AH2122)))</f>
        <v/>
      </c>
      <c r="I2122" s="54">
        <f>IF($B2122=0,NA(),IF($C2122="",NA(),IF(C$8="",NA(),IF(N(C$8)=0,NA(),IF(Inputs!$C$17="Rebased to 100",$C2122/C$8*100,$C2122)))))</f>
        <v/>
      </c>
      <c r="J2122" s="54">
        <f>IF($B2122=0,NA(),IF($D2122="",NA(),IF(D$8="",NA(),IF(N(D$8)=0,NA(),IF(Inputs!$C$17="Rebased to 100",$D2122/D$8*100,$D2122)))))</f>
        <v/>
      </c>
      <c r="K2122" s="54">
        <f>IF($B2122=0,NA(),IF($E2122="",NA(),IF(E$8="",NA(),IF(N(E$8)=0,NA(),IF(Inputs!$C$17="Rebased to 100",$E2122/E$8*100,$E2122)))))</f>
        <v/>
      </c>
      <c r="L2122" s="54">
        <f>IF($B2122=0,NA(),IF($F2122="",NA(),IF(F$8="",NA(),IF(N(F$8)=0,NA(),IF(Inputs!$C$17="Rebased to 100",$F2122/F$8*100,$F2122)))))</f>
        <v/>
      </c>
      <c r="M2122" s="54">
        <f>IF($B2122=0,NA(),IF($G2122="",NA(),IF(G$8="",NA(),IF(N(G$8)=0,NA(),IF(Inputs!$C$17="Rebased to 100",$G2122/G$8*100,$G2122)))))</f>
        <v/>
      </c>
      <c r="N2122" s="54">
        <f>IF($B2122=0,NA(),IF(Inputs!$C$18&lt;&gt;"Yes",NA(),IF(COUNT(I2122,J2122,K2122,L2122,M2122)=0,NA(),MIN(I2122,J2122,K2122,L2122,M2122))))</f>
        <v/>
      </c>
      <c r="O2122" s="54">
        <f>IF($B2122=0,NA(),IF(Inputs!$B$24&lt;&gt;"Yes",NA(),Inputs!$D$24*Inputs!$C$35))</f>
        <v/>
      </c>
      <c r="P2122" s="54">
        <f>IF($B2122=0,NA(),IF(Inputs!$B$25&lt;&gt;"Yes",NA(),Inputs!$D$25*Inputs!$C$35))</f>
        <v/>
      </c>
      <c r="Q2122" s="54">
        <f>IF($B2122=0,NA(),IF(Inputs!$B$26&lt;&gt;"Yes",NA(),Inputs!$D$26*Inputs!$C$35))</f>
        <v/>
      </c>
      <c r="R2122" s="54">
        <f>IF($B2122=0,NA(),IF(Inputs!$B$27&lt;&gt;"Yes",NA(),Inputs!$D$27*Inputs!$C$35))</f>
        <v/>
      </c>
      <c r="S2122" s="54">
        <f>IF($B2122=0,NA(),IF(Inputs!$B$28&lt;&gt;"Yes",NA(),Inputs!$D$28*Inputs!$C$35))</f>
        <v/>
      </c>
      <c r="T2122" s="54">
        <f>IF($B2122=0,NA(),IF(Inputs!$B$29&lt;&gt;"Yes",NA(),Inputs!$D$29*Inputs!$C$35))</f>
        <v/>
      </c>
      <c r="AD2122">
        <f>IF($B2122=0,0,IF(Inputs!$B$6="",0,COUNTIFS(Data!$A$10:$A$3209,"&gt;="&amp;$A2122,Data!$A$10:$A$3209,"&lt;"&amp;$A2122+1)))</f>
        <v/>
      </c>
      <c r="AE2122">
        <f>IF($B2122=0,0,IF(Inputs!$B$7="",0,COUNTIFS(Data!$E$10:$E$3209,"&gt;="&amp;$A2122,Data!$E$10:$E$3209,"&lt;"&amp;$A2122+1)))</f>
        <v/>
      </c>
      <c r="AF2122">
        <f>IF($B2122=0,0,IF(Inputs!$B$8="",0,COUNTIFS(Data!$I$10:$I$3209,"&gt;="&amp;$A2122,Data!$I$10:$I$3209,"&lt;"&amp;$A2122+1)))</f>
        <v/>
      </c>
      <c r="AG2122">
        <f>IF($B2122=0,0,IF(Inputs!$B$9="",0,COUNTIFS(Data!$M$10:$M$3209,"&gt;="&amp;$A2122,Data!$M$10:$M$3209,"&lt;"&amp;$A2122+1)))</f>
        <v/>
      </c>
      <c r="AH2122">
        <f>IF($B2122=0,0,IF(Inputs!$B$10="",0,COUNTIFS(Data!$Q$10:$Q$3209,"&gt;="&amp;$A2122,Data!$Q$10:$Q$3209,"&lt;"&amp;$A2122+1)))</f>
        <v/>
      </c>
    </row>
    <row r="2123">
      <c r="A2123" s="55">
        <f>MIN(Inputs!$C$15,$A2122+IF(WEEKDAY($A2122,2)=5,3,1))</f>
        <v/>
      </c>
      <c r="B2123">
        <f>IF($A2123&gt;$A2122,1,0)</f>
        <v/>
      </c>
      <c r="C2123" s="56">
        <f>IF($B2123=0,"",IF(Inputs!$B$6="","",IF($AD2123=0,C2122,SUMIFS(Data!$B$10:$B$3209,Data!$A$10:$A$3209,"&gt;="&amp;$A2123,Data!$A$10:$A$3209,"&lt;"&amp;$A2123+1)/$AD2123)))</f>
        <v/>
      </c>
      <c r="D2123" s="56">
        <f>IF($B2123=0,"",IF(Inputs!$B$7="","",IF($AE2123=0,D2122,SUMIFS(Data!$F$10:$F$3209,Data!$E$10:$E$3209,"&gt;="&amp;$A2123,Data!$E$10:$E$3209,"&lt;"&amp;$A2123+1)/$AE2123)))</f>
        <v/>
      </c>
      <c r="E2123" s="56">
        <f>IF($B2123=0,"",IF(Inputs!$B$8="","",IF($AF2123=0,E2122,SUMIFS(Data!$J$10:$J$3209,Data!$I$10:$I$3209,"&gt;="&amp;$A2123,Data!$I$10:$I$3209,"&lt;"&amp;$A2123+1)/$AF2123)))</f>
        <v/>
      </c>
      <c r="F2123" s="56">
        <f>IF($B2123=0,"",IF(Inputs!$B$9="","",IF($AG2123=0,F2122,SUMIFS(Data!$N$10:$N$3209,Data!$M$10:$M$3209,"&gt;="&amp;$A2123,Data!$M$10:$M$3209,"&lt;"&amp;$A2123+1)/$AG2123)))</f>
        <v/>
      </c>
      <c r="G2123" s="56">
        <f>IF($B2123=0,"",IF(Inputs!$B$10="","",IF($AH2123=0,G2122,SUMIFS(Data!$R$10:$R$3209,Data!$Q$10:$Q$3209,"&gt;="&amp;$A2123,Data!$Q$10:$Q$3209,"&lt;"&amp;$A2123+1)/$AH2123)))</f>
        <v/>
      </c>
      <c r="I2123" s="54">
        <f>IF($B2123=0,NA(),IF($C2123="",NA(),IF(C$8="",NA(),IF(N(C$8)=0,NA(),IF(Inputs!$C$17="Rebased to 100",$C2123/C$8*100,$C2123)))))</f>
        <v/>
      </c>
      <c r="J2123" s="54">
        <f>IF($B2123=0,NA(),IF($D2123="",NA(),IF(D$8="",NA(),IF(N(D$8)=0,NA(),IF(Inputs!$C$17="Rebased to 100",$D2123/D$8*100,$D2123)))))</f>
        <v/>
      </c>
      <c r="K2123" s="54">
        <f>IF($B2123=0,NA(),IF($E2123="",NA(),IF(E$8="",NA(),IF(N(E$8)=0,NA(),IF(Inputs!$C$17="Rebased to 100",$E2123/E$8*100,$E2123)))))</f>
        <v/>
      </c>
      <c r="L2123" s="54">
        <f>IF($B2123=0,NA(),IF($F2123="",NA(),IF(F$8="",NA(),IF(N(F$8)=0,NA(),IF(Inputs!$C$17="Rebased to 100",$F2123/F$8*100,$F2123)))))</f>
        <v/>
      </c>
      <c r="M2123" s="54">
        <f>IF($B2123=0,NA(),IF($G2123="",NA(),IF(G$8="",NA(),IF(N(G$8)=0,NA(),IF(Inputs!$C$17="Rebased to 100",$G2123/G$8*100,$G2123)))))</f>
        <v/>
      </c>
      <c r="N2123" s="54">
        <f>IF($B2123=0,NA(),IF(Inputs!$C$18&lt;&gt;"Yes",NA(),IF(COUNT(I2123,J2123,K2123,L2123,M2123)=0,NA(),MIN(I2123,J2123,K2123,L2123,M2123))))</f>
        <v/>
      </c>
      <c r="O2123" s="54">
        <f>IF($B2123=0,NA(),IF(Inputs!$B$24&lt;&gt;"Yes",NA(),Inputs!$D$24*Inputs!$C$35))</f>
        <v/>
      </c>
      <c r="P2123" s="54">
        <f>IF($B2123=0,NA(),IF(Inputs!$B$25&lt;&gt;"Yes",NA(),Inputs!$D$25*Inputs!$C$35))</f>
        <v/>
      </c>
      <c r="Q2123" s="54">
        <f>IF($B2123=0,NA(),IF(Inputs!$B$26&lt;&gt;"Yes",NA(),Inputs!$D$26*Inputs!$C$35))</f>
        <v/>
      </c>
      <c r="R2123" s="54">
        <f>IF($B2123=0,NA(),IF(Inputs!$B$27&lt;&gt;"Yes",NA(),Inputs!$D$27*Inputs!$C$35))</f>
        <v/>
      </c>
      <c r="S2123" s="54">
        <f>IF($B2123=0,NA(),IF(Inputs!$B$28&lt;&gt;"Yes",NA(),Inputs!$D$28*Inputs!$C$35))</f>
        <v/>
      </c>
      <c r="T2123" s="54">
        <f>IF($B2123=0,NA(),IF(Inputs!$B$29&lt;&gt;"Yes",NA(),Inputs!$D$29*Inputs!$C$35))</f>
        <v/>
      </c>
      <c r="AD2123">
        <f>IF($B2123=0,0,IF(Inputs!$B$6="",0,COUNTIFS(Data!$A$10:$A$3209,"&gt;="&amp;$A2123,Data!$A$10:$A$3209,"&lt;"&amp;$A2123+1)))</f>
        <v/>
      </c>
      <c r="AE2123">
        <f>IF($B2123=0,0,IF(Inputs!$B$7="",0,COUNTIFS(Data!$E$10:$E$3209,"&gt;="&amp;$A2123,Data!$E$10:$E$3209,"&lt;"&amp;$A2123+1)))</f>
        <v/>
      </c>
      <c r="AF2123">
        <f>IF($B2123=0,0,IF(Inputs!$B$8="",0,COUNTIFS(Data!$I$10:$I$3209,"&gt;="&amp;$A2123,Data!$I$10:$I$3209,"&lt;"&amp;$A2123+1)))</f>
        <v/>
      </c>
      <c r="AG2123">
        <f>IF($B2123=0,0,IF(Inputs!$B$9="",0,COUNTIFS(Data!$M$10:$M$3209,"&gt;="&amp;$A2123,Data!$M$10:$M$3209,"&lt;"&amp;$A2123+1)))</f>
        <v/>
      </c>
      <c r="AH2123">
        <f>IF($B2123=0,0,IF(Inputs!$B$10="",0,COUNTIFS(Data!$Q$10:$Q$3209,"&gt;="&amp;$A2123,Data!$Q$10:$Q$3209,"&lt;"&amp;$A2123+1)))</f>
        <v/>
      </c>
    </row>
    <row r="2124">
      <c r="A2124" s="55">
        <f>MIN(Inputs!$C$15,$A2123+IF(WEEKDAY($A2123,2)=5,3,1))</f>
        <v/>
      </c>
      <c r="B2124">
        <f>IF($A2124&gt;$A2123,1,0)</f>
        <v/>
      </c>
      <c r="C2124" s="56">
        <f>IF($B2124=0,"",IF(Inputs!$B$6="","",IF($AD2124=0,C2123,SUMIFS(Data!$B$10:$B$3209,Data!$A$10:$A$3209,"&gt;="&amp;$A2124,Data!$A$10:$A$3209,"&lt;"&amp;$A2124+1)/$AD2124)))</f>
        <v/>
      </c>
      <c r="D2124" s="56">
        <f>IF($B2124=0,"",IF(Inputs!$B$7="","",IF($AE2124=0,D2123,SUMIFS(Data!$F$10:$F$3209,Data!$E$10:$E$3209,"&gt;="&amp;$A2124,Data!$E$10:$E$3209,"&lt;"&amp;$A2124+1)/$AE2124)))</f>
        <v/>
      </c>
      <c r="E2124" s="56">
        <f>IF($B2124=0,"",IF(Inputs!$B$8="","",IF($AF2124=0,E2123,SUMIFS(Data!$J$10:$J$3209,Data!$I$10:$I$3209,"&gt;="&amp;$A2124,Data!$I$10:$I$3209,"&lt;"&amp;$A2124+1)/$AF2124)))</f>
        <v/>
      </c>
      <c r="F2124" s="56">
        <f>IF($B2124=0,"",IF(Inputs!$B$9="","",IF($AG2124=0,F2123,SUMIFS(Data!$N$10:$N$3209,Data!$M$10:$M$3209,"&gt;="&amp;$A2124,Data!$M$10:$M$3209,"&lt;"&amp;$A2124+1)/$AG2124)))</f>
        <v/>
      </c>
      <c r="G2124" s="56">
        <f>IF($B2124=0,"",IF(Inputs!$B$10="","",IF($AH2124=0,G2123,SUMIFS(Data!$R$10:$R$3209,Data!$Q$10:$Q$3209,"&gt;="&amp;$A2124,Data!$Q$10:$Q$3209,"&lt;"&amp;$A2124+1)/$AH2124)))</f>
        <v/>
      </c>
      <c r="I2124" s="54">
        <f>IF($B2124=0,NA(),IF($C2124="",NA(),IF(C$8="",NA(),IF(N(C$8)=0,NA(),IF(Inputs!$C$17="Rebased to 100",$C2124/C$8*100,$C2124)))))</f>
        <v/>
      </c>
      <c r="J2124" s="54">
        <f>IF($B2124=0,NA(),IF($D2124="",NA(),IF(D$8="",NA(),IF(N(D$8)=0,NA(),IF(Inputs!$C$17="Rebased to 100",$D2124/D$8*100,$D2124)))))</f>
        <v/>
      </c>
      <c r="K2124" s="54">
        <f>IF($B2124=0,NA(),IF($E2124="",NA(),IF(E$8="",NA(),IF(N(E$8)=0,NA(),IF(Inputs!$C$17="Rebased to 100",$E2124/E$8*100,$E2124)))))</f>
        <v/>
      </c>
      <c r="L2124" s="54">
        <f>IF($B2124=0,NA(),IF($F2124="",NA(),IF(F$8="",NA(),IF(N(F$8)=0,NA(),IF(Inputs!$C$17="Rebased to 100",$F2124/F$8*100,$F2124)))))</f>
        <v/>
      </c>
      <c r="M2124" s="54">
        <f>IF($B2124=0,NA(),IF($G2124="",NA(),IF(G$8="",NA(),IF(N(G$8)=0,NA(),IF(Inputs!$C$17="Rebased to 100",$G2124/G$8*100,$G2124)))))</f>
        <v/>
      </c>
      <c r="N2124" s="54">
        <f>IF($B2124=0,NA(),IF(Inputs!$C$18&lt;&gt;"Yes",NA(),IF(COUNT(I2124,J2124,K2124,L2124,M2124)=0,NA(),MIN(I2124,J2124,K2124,L2124,M2124))))</f>
        <v/>
      </c>
      <c r="O2124" s="54">
        <f>IF($B2124=0,NA(),IF(Inputs!$B$24&lt;&gt;"Yes",NA(),Inputs!$D$24*Inputs!$C$35))</f>
        <v/>
      </c>
      <c r="P2124" s="54">
        <f>IF($B2124=0,NA(),IF(Inputs!$B$25&lt;&gt;"Yes",NA(),Inputs!$D$25*Inputs!$C$35))</f>
        <v/>
      </c>
      <c r="Q2124" s="54">
        <f>IF($B2124=0,NA(),IF(Inputs!$B$26&lt;&gt;"Yes",NA(),Inputs!$D$26*Inputs!$C$35))</f>
        <v/>
      </c>
      <c r="R2124" s="54">
        <f>IF($B2124=0,NA(),IF(Inputs!$B$27&lt;&gt;"Yes",NA(),Inputs!$D$27*Inputs!$C$35))</f>
        <v/>
      </c>
      <c r="S2124" s="54">
        <f>IF($B2124=0,NA(),IF(Inputs!$B$28&lt;&gt;"Yes",NA(),Inputs!$D$28*Inputs!$C$35))</f>
        <v/>
      </c>
      <c r="T2124" s="54">
        <f>IF($B2124=0,NA(),IF(Inputs!$B$29&lt;&gt;"Yes",NA(),Inputs!$D$29*Inputs!$C$35))</f>
        <v/>
      </c>
      <c r="AD2124">
        <f>IF($B2124=0,0,IF(Inputs!$B$6="",0,COUNTIFS(Data!$A$10:$A$3209,"&gt;="&amp;$A2124,Data!$A$10:$A$3209,"&lt;"&amp;$A2124+1)))</f>
        <v/>
      </c>
      <c r="AE2124">
        <f>IF($B2124=0,0,IF(Inputs!$B$7="",0,COUNTIFS(Data!$E$10:$E$3209,"&gt;="&amp;$A2124,Data!$E$10:$E$3209,"&lt;"&amp;$A2124+1)))</f>
        <v/>
      </c>
      <c r="AF2124">
        <f>IF($B2124=0,0,IF(Inputs!$B$8="",0,COUNTIFS(Data!$I$10:$I$3209,"&gt;="&amp;$A2124,Data!$I$10:$I$3209,"&lt;"&amp;$A2124+1)))</f>
        <v/>
      </c>
      <c r="AG2124">
        <f>IF($B2124=0,0,IF(Inputs!$B$9="",0,COUNTIFS(Data!$M$10:$M$3209,"&gt;="&amp;$A2124,Data!$M$10:$M$3209,"&lt;"&amp;$A2124+1)))</f>
        <v/>
      </c>
      <c r="AH2124">
        <f>IF($B2124=0,0,IF(Inputs!$B$10="",0,COUNTIFS(Data!$Q$10:$Q$3209,"&gt;="&amp;$A2124,Data!$Q$10:$Q$3209,"&lt;"&amp;$A2124+1)))</f>
        <v/>
      </c>
    </row>
    <row r="2125">
      <c r="A2125" s="55">
        <f>MIN(Inputs!$C$15,$A2124+IF(WEEKDAY($A2124,2)=5,3,1))</f>
        <v/>
      </c>
      <c r="B2125">
        <f>IF($A2125&gt;$A2124,1,0)</f>
        <v/>
      </c>
      <c r="C2125" s="56">
        <f>IF($B2125=0,"",IF(Inputs!$B$6="","",IF($AD2125=0,C2124,SUMIFS(Data!$B$10:$B$3209,Data!$A$10:$A$3209,"&gt;="&amp;$A2125,Data!$A$10:$A$3209,"&lt;"&amp;$A2125+1)/$AD2125)))</f>
        <v/>
      </c>
      <c r="D2125" s="56">
        <f>IF($B2125=0,"",IF(Inputs!$B$7="","",IF($AE2125=0,D2124,SUMIFS(Data!$F$10:$F$3209,Data!$E$10:$E$3209,"&gt;="&amp;$A2125,Data!$E$10:$E$3209,"&lt;"&amp;$A2125+1)/$AE2125)))</f>
        <v/>
      </c>
      <c r="E2125" s="56">
        <f>IF($B2125=0,"",IF(Inputs!$B$8="","",IF($AF2125=0,E2124,SUMIFS(Data!$J$10:$J$3209,Data!$I$10:$I$3209,"&gt;="&amp;$A2125,Data!$I$10:$I$3209,"&lt;"&amp;$A2125+1)/$AF2125)))</f>
        <v/>
      </c>
      <c r="F2125" s="56">
        <f>IF($B2125=0,"",IF(Inputs!$B$9="","",IF($AG2125=0,F2124,SUMIFS(Data!$N$10:$N$3209,Data!$M$10:$M$3209,"&gt;="&amp;$A2125,Data!$M$10:$M$3209,"&lt;"&amp;$A2125+1)/$AG2125)))</f>
        <v/>
      </c>
      <c r="G2125" s="56">
        <f>IF($B2125=0,"",IF(Inputs!$B$10="","",IF($AH2125=0,G2124,SUMIFS(Data!$R$10:$R$3209,Data!$Q$10:$Q$3209,"&gt;="&amp;$A2125,Data!$Q$10:$Q$3209,"&lt;"&amp;$A2125+1)/$AH2125)))</f>
        <v/>
      </c>
      <c r="I2125" s="54">
        <f>IF($B2125=0,NA(),IF($C2125="",NA(),IF(C$8="",NA(),IF(N(C$8)=0,NA(),IF(Inputs!$C$17="Rebased to 100",$C2125/C$8*100,$C2125)))))</f>
        <v/>
      </c>
      <c r="J2125" s="54">
        <f>IF($B2125=0,NA(),IF($D2125="",NA(),IF(D$8="",NA(),IF(N(D$8)=0,NA(),IF(Inputs!$C$17="Rebased to 100",$D2125/D$8*100,$D2125)))))</f>
        <v/>
      </c>
      <c r="K2125" s="54">
        <f>IF($B2125=0,NA(),IF($E2125="",NA(),IF(E$8="",NA(),IF(N(E$8)=0,NA(),IF(Inputs!$C$17="Rebased to 100",$E2125/E$8*100,$E2125)))))</f>
        <v/>
      </c>
      <c r="L2125" s="54">
        <f>IF($B2125=0,NA(),IF($F2125="",NA(),IF(F$8="",NA(),IF(N(F$8)=0,NA(),IF(Inputs!$C$17="Rebased to 100",$F2125/F$8*100,$F2125)))))</f>
        <v/>
      </c>
      <c r="M2125" s="54">
        <f>IF($B2125=0,NA(),IF($G2125="",NA(),IF(G$8="",NA(),IF(N(G$8)=0,NA(),IF(Inputs!$C$17="Rebased to 100",$G2125/G$8*100,$G2125)))))</f>
        <v/>
      </c>
      <c r="N2125" s="54">
        <f>IF($B2125=0,NA(),IF(Inputs!$C$18&lt;&gt;"Yes",NA(),IF(COUNT(I2125,J2125,K2125,L2125,M2125)=0,NA(),MIN(I2125,J2125,K2125,L2125,M2125))))</f>
        <v/>
      </c>
      <c r="O2125" s="54">
        <f>IF($B2125=0,NA(),IF(Inputs!$B$24&lt;&gt;"Yes",NA(),Inputs!$D$24*Inputs!$C$35))</f>
        <v/>
      </c>
      <c r="P2125" s="54">
        <f>IF($B2125=0,NA(),IF(Inputs!$B$25&lt;&gt;"Yes",NA(),Inputs!$D$25*Inputs!$C$35))</f>
        <v/>
      </c>
      <c r="Q2125" s="54">
        <f>IF($B2125=0,NA(),IF(Inputs!$B$26&lt;&gt;"Yes",NA(),Inputs!$D$26*Inputs!$C$35))</f>
        <v/>
      </c>
      <c r="R2125" s="54">
        <f>IF($B2125=0,NA(),IF(Inputs!$B$27&lt;&gt;"Yes",NA(),Inputs!$D$27*Inputs!$C$35))</f>
        <v/>
      </c>
      <c r="S2125" s="54">
        <f>IF($B2125=0,NA(),IF(Inputs!$B$28&lt;&gt;"Yes",NA(),Inputs!$D$28*Inputs!$C$35))</f>
        <v/>
      </c>
      <c r="T2125" s="54">
        <f>IF($B2125=0,NA(),IF(Inputs!$B$29&lt;&gt;"Yes",NA(),Inputs!$D$29*Inputs!$C$35))</f>
        <v/>
      </c>
      <c r="AD2125">
        <f>IF($B2125=0,0,IF(Inputs!$B$6="",0,COUNTIFS(Data!$A$10:$A$3209,"&gt;="&amp;$A2125,Data!$A$10:$A$3209,"&lt;"&amp;$A2125+1)))</f>
        <v/>
      </c>
      <c r="AE2125">
        <f>IF($B2125=0,0,IF(Inputs!$B$7="",0,COUNTIFS(Data!$E$10:$E$3209,"&gt;="&amp;$A2125,Data!$E$10:$E$3209,"&lt;"&amp;$A2125+1)))</f>
        <v/>
      </c>
      <c r="AF2125">
        <f>IF($B2125=0,0,IF(Inputs!$B$8="",0,COUNTIFS(Data!$I$10:$I$3209,"&gt;="&amp;$A2125,Data!$I$10:$I$3209,"&lt;"&amp;$A2125+1)))</f>
        <v/>
      </c>
      <c r="AG2125">
        <f>IF($B2125=0,0,IF(Inputs!$B$9="",0,COUNTIFS(Data!$M$10:$M$3209,"&gt;="&amp;$A2125,Data!$M$10:$M$3209,"&lt;"&amp;$A2125+1)))</f>
        <v/>
      </c>
      <c r="AH2125">
        <f>IF($B2125=0,0,IF(Inputs!$B$10="",0,COUNTIFS(Data!$Q$10:$Q$3209,"&gt;="&amp;$A2125,Data!$Q$10:$Q$3209,"&lt;"&amp;$A2125+1)))</f>
        <v/>
      </c>
    </row>
    <row r="2126">
      <c r="A2126" s="55">
        <f>MIN(Inputs!$C$15,$A2125+IF(WEEKDAY($A2125,2)=5,3,1))</f>
        <v/>
      </c>
      <c r="B2126">
        <f>IF($A2126&gt;$A2125,1,0)</f>
        <v/>
      </c>
      <c r="C2126" s="56">
        <f>IF($B2126=0,"",IF(Inputs!$B$6="","",IF($AD2126=0,C2125,SUMIFS(Data!$B$10:$B$3209,Data!$A$10:$A$3209,"&gt;="&amp;$A2126,Data!$A$10:$A$3209,"&lt;"&amp;$A2126+1)/$AD2126)))</f>
        <v/>
      </c>
      <c r="D2126" s="56">
        <f>IF($B2126=0,"",IF(Inputs!$B$7="","",IF($AE2126=0,D2125,SUMIFS(Data!$F$10:$F$3209,Data!$E$10:$E$3209,"&gt;="&amp;$A2126,Data!$E$10:$E$3209,"&lt;"&amp;$A2126+1)/$AE2126)))</f>
        <v/>
      </c>
      <c r="E2126" s="56">
        <f>IF($B2126=0,"",IF(Inputs!$B$8="","",IF($AF2126=0,E2125,SUMIFS(Data!$J$10:$J$3209,Data!$I$10:$I$3209,"&gt;="&amp;$A2126,Data!$I$10:$I$3209,"&lt;"&amp;$A2126+1)/$AF2126)))</f>
        <v/>
      </c>
      <c r="F2126" s="56">
        <f>IF($B2126=0,"",IF(Inputs!$B$9="","",IF($AG2126=0,F2125,SUMIFS(Data!$N$10:$N$3209,Data!$M$10:$M$3209,"&gt;="&amp;$A2126,Data!$M$10:$M$3209,"&lt;"&amp;$A2126+1)/$AG2126)))</f>
        <v/>
      </c>
      <c r="G2126" s="56">
        <f>IF($B2126=0,"",IF(Inputs!$B$10="","",IF($AH2126=0,G2125,SUMIFS(Data!$R$10:$R$3209,Data!$Q$10:$Q$3209,"&gt;="&amp;$A2126,Data!$Q$10:$Q$3209,"&lt;"&amp;$A2126+1)/$AH2126)))</f>
        <v/>
      </c>
      <c r="I2126" s="54">
        <f>IF($B2126=0,NA(),IF($C2126="",NA(),IF(C$8="",NA(),IF(N(C$8)=0,NA(),IF(Inputs!$C$17="Rebased to 100",$C2126/C$8*100,$C2126)))))</f>
        <v/>
      </c>
      <c r="J2126" s="54">
        <f>IF($B2126=0,NA(),IF($D2126="",NA(),IF(D$8="",NA(),IF(N(D$8)=0,NA(),IF(Inputs!$C$17="Rebased to 100",$D2126/D$8*100,$D2126)))))</f>
        <v/>
      </c>
      <c r="K2126" s="54">
        <f>IF($B2126=0,NA(),IF($E2126="",NA(),IF(E$8="",NA(),IF(N(E$8)=0,NA(),IF(Inputs!$C$17="Rebased to 100",$E2126/E$8*100,$E2126)))))</f>
        <v/>
      </c>
      <c r="L2126" s="54">
        <f>IF($B2126=0,NA(),IF($F2126="",NA(),IF(F$8="",NA(),IF(N(F$8)=0,NA(),IF(Inputs!$C$17="Rebased to 100",$F2126/F$8*100,$F2126)))))</f>
        <v/>
      </c>
      <c r="M2126" s="54">
        <f>IF($B2126=0,NA(),IF($G2126="",NA(),IF(G$8="",NA(),IF(N(G$8)=0,NA(),IF(Inputs!$C$17="Rebased to 100",$G2126/G$8*100,$G2126)))))</f>
        <v/>
      </c>
      <c r="N2126" s="54">
        <f>IF($B2126=0,NA(),IF(Inputs!$C$18&lt;&gt;"Yes",NA(),IF(COUNT(I2126,J2126,K2126,L2126,M2126)=0,NA(),MIN(I2126,J2126,K2126,L2126,M2126))))</f>
        <v/>
      </c>
      <c r="O2126" s="54">
        <f>IF($B2126=0,NA(),IF(Inputs!$B$24&lt;&gt;"Yes",NA(),Inputs!$D$24*Inputs!$C$35))</f>
        <v/>
      </c>
      <c r="P2126" s="54">
        <f>IF($B2126=0,NA(),IF(Inputs!$B$25&lt;&gt;"Yes",NA(),Inputs!$D$25*Inputs!$C$35))</f>
        <v/>
      </c>
      <c r="Q2126" s="54">
        <f>IF($B2126=0,NA(),IF(Inputs!$B$26&lt;&gt;"Yes",NA(),Inputs!$D$26*Inputs!$C$35))</f>
        <v/>
      </c>
      <c r="R2126" s="54">
        <f>IF($B2126=0,NA(),IF(Inputs!$B$27&lt;&gt;"Yes",NA(),Inputs!$D$27*Inputs!$C$35))</f>
        <v/>
      </c>
      <c r="S2126" s="54">
        <f>IF($B2126=0,NA(),IF(Inputs!$B$28&lt;&gt;"Yes",NA(),Inputs!$D$28*Inputs!$C$35))</f>
        <v/>
      </c>
      <c r="T2126" s="54">
        <f>IF($B2126=0,NA(),IF(Inputs!$B$29&lt;&gt;"Yes",NA(),Inputs!$D$29*Inputs!$C$35))</f>
        <v/>
      </c>
      <c r="AD2126">
        <f>IF($B2126=0,0,IF(Inputs!$B$6="",0,COUNTIFS(Data!$A$10:$A$3209,"&gt;="&amp;$A2126,Data!$A$10:$A$3209,"&lt;"&amp;$A2126+1)))</f>
        <v/>
      </c>
      <c r="AE2126">
        <f>IF($B2126=0,0,IF(Inputs!$B$7="",0,COUNTIFS(Data!$E$10:$E$3209,"&gt;="&amp;$A2126,Data!$E$10:$E$3209,"&lt;"&amp;$A2126+1)))</f>
        <v/>
      </c>
      <c r="AF2126">
        <f>IF($B2126=0,0,IF(Inputs!$B$8="",0,COUNTIFS(Data!$I$10:$I$3209,"&gt;="&amp;$A2126,Data!$I$10:$I$3209,"&lt;"&amp;$A2126+1)))</f>
        <v/>
      </c>
      <c r="AG2126">
        <f>IF($B2126=0,0,IF(Inputs!$B$9="",0,COUNTIFS(Data!$M$10:$M$3209,"&gt;="&amp;$A2126,Data!$M$10:$M$3209,"&lt;"&amp;$A2126+1)))</f>
        <v/>
      </c>
      <c r="AH2126">
        <f>IF($B2126=0,0,IF(Inputs!$B$10="",0,COUNTIFS(Data!$Q$10:$Q$3209,"&gt;="&amp;$A2126,Data!$Q$10:$Q$3209,"&lt;"&amp;$A2126+1)))</f>
        <v/>
      </c>
    </row>
    <row r="2127">
      <c r="A2127" s="55">
        <f>MIN(Inputs!$C$15,$A2126+IF(WEEKDAY($A2126,2)=5,3,1))</f>
        <v/>
      </c>
      <c r="B2127">
        <f>IF($A2127&gt;$A2126,1,0)</f>
        <v/>
      </c>
      <c r="C2127" s="56">
        <f>IF($B2127=0,"",IF(Inputs!$B$6="","",IF($AD2127=0,C2126,SUMIFS(Data!$B$10:$B$3209,Data!$A$10:$A$3209,"&gt;="&amp;$A2127,Data!$A$10:$A$3209,"&lt;"&amp;$A2127+1)/$AD2127)))</f>
        <v/>
      </c>
      <c r="D2127" s="56">
        <f>IF($B2127=0,"",IF(Inputs!$B$7="","",IF($AE2127=0,D2126,SUMIFS(Data!$F$10:$F$3209,Data!$E$10:$E$3209,"&gt;="&amp;$A2127,Data!$E$10:$E$3209,"&lt;"&amp;$A2127+1)/$AE2127)))</f>
        <v/>
      </c>
      <c r="E2127" s="56">
        <f>IF($B2127=0,"",IF(Inputs!$B$8="","",IF($AF2127=0,E2126,SUMIFS(Data!$J$10:$J$3209,Data!$I$10:$I$3209,"&gt;="&amp;$A2127,Data!$I$10:$I$3209,"&lt;"&amp;$A2127+1)/$AF2127)))</f>
        <v/>
      </c>
      <c r="F2127" s="56">
        <f>IF($B2127=0,"",IF(Inputs!$B$9="","",IF($AG2127=0,F2126,SUMIFS(Data!$N$10:$N$3209,Data!$M$10:$M$3209,"&gt;="&amp;$A2127,Data!$M$10:$M$3209,"&lt;"&amp;$A2127+1)/$AG2127)))</f>
        <v/>
      </c>
      <c r="G2127" s="56">
        <f>IF($B2127=0,"",IF(Inputs!$B$10="","",IF($AH2127=0,G2126,SUMIFS(Data!$R$10:$R$3209,Data!$Q$10:$Q$3209,"&gt;="&amp;$A2127,Data!$Q$10:$Q$3209,"&lt;"&amp;$A2127+1)/$AH2127)))</f>
        <v/>
      </c>
      <c r="I2127" s="54">
        <f>IF($B2127=0,NA(),IF($C2127="",NA(),IF(C$8="",NA(),IF(N(C$8)=0,NA(),IF(Inputs!$C$17="Rebased to 100",$C2127/C$8*100,$C2127)))))</f>
        <v/>
      </c>
      <c r="J2127" s="54">
        <f>IF($B2127=0,NA(),IF($D2127="",NA(),IF(D$8="",NA(),IF(N(D$8)=0,NA(),IF(Inputs!$C$17="Rebased to 100",$D2127/D$8*100,$D2127)))))</f>
        <v/>
      </c>
      <c r="K2127" s="54">
        <f>IF($B2127=0,NA(),IF($E2127="",NA(),IF(E$8="",NA(),IF(N(E$8)=0,NA(),IF(Inputs!$C$17="Rebased to 100",$E2127/E$8*100,$E2127)))))</f>
        <v/>
      </c>
      <c r="L2127" s="54">
        <f>IF($B2127=0,NA(),IF($F2127="",NA(),IF(F$8="",NA(),IF(N(F$8)=0,NA(),IF(Inputs!$C$17="Rebased to 100",$F2127/F$8*100,$F2127)))))</f>
        <v/>
      </c>
      <c r="M2127" s="54">
        <f>IF($B2127=0,NA(),IF($G2127="",NA(),IF(G$8="",NA(),IF(N(G$8)=0,NA(),IF(Inputs!$C$17="Rebased to 100",$G2127/G$8*100,$G2127)))))</f>
        <v/>
      </c>
      <c r="N2127" s="54">
        <f>IF($B2127=0,NA(),IF(Inputs!$C$18&lt;&gt;"Yes",NA(),IF(COUNT(I2127,J2127,K2127,L2127,M2127)=0,NA(),MIN(I2127,J2127,K2127,L2127,M2127))))</f>
        <v/>
      </c>
      <c r="O2127" s="54">
        <f>IF($B2127=0,NA(),IF(Inputs!$B$24&lt;&gt;"Yes",NA(),Inputs!$D$24*Inputs!$C$35))</f>
        <v/>
      </c>
      <c r="P2127" s="54">
        <f>IF($B2127=0,NA(),IF(Inputs!$B$25&lt;&gt;"Yes",NA(),Inputs!$D$25*Inputs!$C$35))</f>
        <v/>
      </c>
      <c r="Q2127" s="54">
        <f>IF($B2127=0,NA(),IF(Inputs!$B$26&lt;&gt;"Yes",NA(),Inputs!$D$26*Inputs!$C$35))</f>
        <v/>
      </c>
      <c r="R2127" s="54">
        <f>IF($B2127=0,NA(),IF(Inputs!$B$27&lt;&gt;"Yes",NA(),Inputs!$D$27*Inputs!$C$35))</f>
        <v/>
      </c>
      <c r="S2127" s="54">
        <f>IF($B2127=0,NA(),IF(Inputs!$B$28&lt;&gt;"Yes",NA(),Inputs!$D$28*Inputs!$C$35))</f>
        <v/>
      </c>
      <c r="T2127" s="54">
        <f>IF($B2127=0,NA(),IF(Inputs!$B$29&lt;&gt;"Yes",NA(),Inputs!$D$29*Inputs!$C$35))</f>
        <v/>
      </c>
      <c r="AD2127">
        <f>IF($B2127=0,0,IF(Inputs!$B$6="",0,COUNTIFS(Data!$A$10:$A$3209,"&gt;="&amp;$A2127,Data!$A$10:$A$3209,"&lt;"&amp;$A2127+1)))</f>
        <v/>
      </c>
      <c r="AE2127">
        <f>IF($B2127=0,0,IF(Inputs!$B$7="",0,COUNTIFS(Data!$E$10:$E$3209,"&gt;="&amp;$A2127,Data!$E$10:$E$3209,"&lt;"&amp;$A2127+1)))</f>
        <v/>
      </c>
      <c r="AF2127">
        <f>IF($B2127=0,0,IF(Inputs!$B$8="",0,COUNTIFS(Data!$I$10:$I$3209,"&gt;="&amp;$A2127,Data!$I$10:$I$3209,"&lt;"&amp;$A2127+1)))</f>
        <v/>
      </c>
      <c r="AG2127">
        <f>IF($B2127=0,0,IF(Inputs!$B$9="",0,COUNTIFS(Data!$M$10:$M$3209,"&gt;="&amp;$A2127,Data!$M$10:$M$3209,"&lt;"&amp;$A2127+1)))</f>
        <v/>
      </c>
      <c r="AH2127">
        <f>IF($B2127=0,0,IF(Inputs!$B$10="",0,COUNTIFS(Data!$Q$10:$Q$3209,"&gt;="&amp;$A2127,Data!$Q$10:$Q$3209,"&lt;"&amp;$A2127+1)))</f>
        <v/>
      </c>
    </row>
    <row r="2128">
      <c r="A2128" s="55">
        <f>MIN(Inputs!$C$15,$A2127+IF(WEEKDAY($A2127,2)=5,3,1))</f>
        <v/>
      </c>
      <c r="B2128">
        <f>IF($A2128&gt;$A2127,1,0)</f>
        <v/>
      </c>
      <c r="C2128" s="56">
        <f>IF($B2128=0,"",IF(Inputs!$B$6="","",IF($AD2128=0,C2127,SUMIFS(Data!$B$10:$B$3209,Data!$A$10:$A$3209,"&gt;="&amp;$A2128,Data!$A$10:$A$3209,"&lt;"&amp;$A2128+1)/$AD2128)))</f>
        <v/>
      </c>
      <c r="D2128" s="56">
        <f>IF($B2128=0,"",IF(Inputs!$B$7="","",IF($AE2128=0,D2127,SUMIFS(Data!$F$10:$F$3209,Data!$E$10:$E$3209,"&gt;="&amp;$A2128,Data!$E$10:$E$3209,"&lt;"&amp;$A2128+1)/$AE2128)))</f>
        <v/>
      </c>
      <c r="E2128" s="56">
        <f>IF($B2128=0,"",IF(Inputs!$B$8="","",IF($AF2128=0,E2127,SUMIFS(Data!$J$10:$J$3209,Data!$I$10:$I$3209,"&gt;="&amp;$A2128,Data!$I$10:$I$3209,"&lt;"&amp;$A2128+1)/$AF2128)))</f>
        <v/>
      </c>
      <c r="F2128" s="56">
        <f>IF($B2128=0,"",IF(Inputs!$B$9="","",IF($AG2128=0,F2127,SUMIFS(Data!$N$10:$N$3209,Data!$M$10:$M$3209,"&gt;="&amp;$A2128,Data!$M$10:$M$3209,"&lt;"&amp;$A2128+1)/$AG2128)))</f>
        <v/>
      </c>
      <c r="G2128" s="56">
        <f>IF($B2128=0,"",IF(Inputs!$B$10="","",IF($AH2128=0,G2127,SUMIFS(Data!$R$10:$R$3209,Data!$Q$10:$Q$3209,"&gt;="&amp;$A2128,Data!$Q$10:$Q$3209,"&lt;"&amp;$A2128+1)/$AH2128)))</f>
        <v/>
      </c>
      <c r="I2128" s="54">
        <f>IF($B2128=0,NA(),IF($C2128="",NA(),IF(C$8="",NA(),IF(N(C$8)=0,NA(),IF(Inputs!$C$17="Rebased to 100",$C2128/C$8*100,$C2128)))))</f>
        <v/>
      </c>
      <c r="J2128" s="54">
        <f>IF($B2128=0,NA(),IF($D2128="",NA(),IF(D$8="",NA(),IF(N(D$8)=0,NA(),IF(Inputs!$C$17="Rebased to 100",$D2128/D$8*100,$D2128)))))</f>
        <v/>
      </c>
      <c r="K2128" s="54">
        <f>IF($B2128=0,NA(),IF($E2128="",NA(),IF(E$8="",NA(),IF(N(E$8)=0,NA(),IF(Inputs!$C$17="Rebased to 100",$E2128/E$8*100,$E2128)))))</f>
        <v/>
      </c>
      <c r="L2128" s="54">
        <f>IF($B2128=0,NA(),IF($F2128="",NA(),IF(F$8="",NA(),IF(N(F$8)=0,NA(),IF(Inputs!$C$17="Rebased to 100",$F2128/F$8*100,$F2128)))))</f>
        <v/>
      </c>
      <c r="M2128" s="54">
        <f>IF($B2128=0,NA(),IF($G2128="",NA(),IF(G$8="",NA(),IF(N(G$8)=0,NA(),IF(Inputs!$C$17="Rebased to 100",$G2128/G$8*100,$G2128)))))</f>
        <v/>
      </c>
      <c r="N2128" s="54">
        <f>IF($B2128=0,NA(),IF(Inputs!$C$18&lt;&gt;"Yes",NA(),IF(COUNT(I2128,J2128,K2128,L2128,M2128)=0,NA(),MIN(I2128,J2128,K2128,L2128,M2128))))</f>
        <v/>
      </c>
      <c r="O2128" s="54">
        <f>IF($B2128=0,NA(),IF(Inputs!$B$24&lt;&gt;"Yes",NA(),Inputs!$D$24*Inputs!$C$35))</f>
        <v/>
      </c>
      <c r="P2128" s="54">
        <f>IF($B2128=0,NA(),IF(Inputs!$B$25&lt;&gt;"Yes",NA(),Inputs!$D$25*Inputs!$C$35))</f>
        <v/>
      </c>
      <c r="Q2128" s="54">
        <f>IF($B2128=0,NA(),IF(Inputs!$B$26&lt;&gt;"Yes",NA(),Inputs!$D$26*Inputs!$C$35))</f>
        <v/>
      </c>
      <c r="R2128" s="54">
        <f>IF($B2128=0,NA(),IF(Inputs!$B$27&lt;&gt;"Yes",NA(),Inputs!$D$27*Inputs!$C$35))</f>
        <v/>
      </c>
      <c r="S2128" s="54">
        <f>IF($B2128=0,NA(),IF(Inputs!$B$28&lt;&gt;"Yes",NA(),Inputs!$D$28*Inputs!$C$35))</f>
        <v/>
      </c>
      <c r="T2128" s="54">
        <f>IF($B2128=0,NA(),IF(Inputs!$B$29&lt;&gt;"Yes",NA(),Inputs!$D$29*Inputs!$C$35))</f>
        <v/>
      </c>
      <c r="AD2128">
        <f>IF($B2128=0,0,IF(Inputs!$B$6="",0,COUNTIFS(Data!$A$10:$A$3209,"&gt;="&amp;$A2128,Data!$A$10:$A$3209,"&lt;"&amp;$A2128+1)))</f>
        <v/>
      </c>
      <c r="AE2128">
        <f>IF($B2128=0,0,IF(Inputs!$B$7="",0,COUNTIFS(Data!$E$10:$E$3209,"&gt;="&amp;$A2128,Data!$E$10:$E$3209,"&lt;"&amp;$A2128+1)))</f>
        <v/>
      </c>
      <c r="AF2128">
        <f>IF($B2128=0,0,IF(Inputs!$B$8="",0,COUNTIFS(Data!$I$10:$I$3209,"&gt;="&amp;$A2128,Data!$I$10:$I$3209,"&lt;"&amp;$A2128+1)))</f>
        <v/>
      </c>
      <c r="AG2128">
        <f>IF($B2128=0,0,IF(Inputs!$B$9="",0,COUNTIFS(Data!$M$10:$M$3209,"&gt;="&amp;$A2128,Data!$M$10:$M$3209,"&lt;"&amp;$A2128+1)))</f>
        <v/>
      </c>
      <c r="AH2128">
        <f>IF($B2128=0,0,IF(Inputs!$B$10="",0,COUNTIFS(Data!$Q$10:$Q$3209,"&gt;="&amp;$A2128,Data!$Q$10:$Q$3209,"&lt;"&amp;$A2128+1)))</f>
        <v/>
      </c>
    </row>
    <row r="2129">
      <c r="A2129" s="55">
        <f>MIN(Inputs!$C$15,$A2128+IF(WEEKDAY($A2128,2)=5,3,1))</f>
        <v/>
      </c>
      <c r="B2129">
        <f>IF($A2129&gt;$A2128,1,0)</f>
        <v/>
      </c>
      <c r="C2129" s="56">
        <f>IF($B2129=0,"",IF(Inputs!$B$6="","",IF($AD2129=0,C2128,SUMIFS(Data!$B$10:$B$3209,Data!$A$10:$A$3209,"&gt;="&amp;$A2129,Data!$A$10:$A$3209,"&lt;"&amp;$A2129+1)/$AD2129)))</f>
        <v/>
      </c>
      <c r="D2129" s="56">
        <f>IF($B2129=0,"",IF(Inputs!$B$7="","",IF($AE2129=0,D2128,SUMIFS(Data!$F$10:$F$3209,Data!$E$10:$E$3209,"&gt;="&amp;$A2129,Data!$E$10:$E$3209,"&lt;"&amp;$A2129+1)/$AE2129)))</f>
        <v/>
      </c>
      <c r="E2129" s="56">
        <f>IF($B2129=0,"",IF(Inputs!$B$8="","",IF($AF2129=0,E2128,SUMIFS(Data!$J$10:$J$3209,Data!$I$10:$I$3209,"&gt;="&amp;$A2129,Data!$I$10:$I$3209,"&lt;"&amp;$A2129+1)/$AF2129)))</f>
        <v/>
      </c>
      <c r="F2129" s="56">
        <f>IF($B2129=0,"",IF(Inputs!$B$9="","",IF($AG2129=0,F2128,SUMIFS(Data!$N$10:$N$3209,Data!$M$10:$M$3209,"&gt;="&amp;$A2129,Data!$M$10:$M$3209,"&lt;"&amp;$A2129+1)/$AG2129)))</f>
        <v/>
      </c>
      <c r="G2129" s="56">
        <f>IF($B2129=0,"",IF(Inputs!$B$10="","",IF($AH2129=0,G2128,SUMIFS(Data!$R$10:$R$3209,Data!$Q$10:$Q$3209,"&gt;="&amp;$A2129,Data!$Q$10:$Q$3209,"&lt;"&amp;$A2129+1)/$AH2129)))</f>
        <v/>
      </c>
      <c r="I2129" s="54">
        <f>IF($B2129=0,NA(),IF($C2129="",NA(),IF(C$8="",NA(),IF(N(C$8)=0,NA(),IF(Inputs!$C$17="Rebased to 100",$C2129/C$8*100,$C2129)))))</f>
        <v/>
      </c>
      <c r="J2129" s="54">
        <f>IF($B2129=0,NA(),IF($D2129="",NA(),IF(D$8="",NA(),IF(N(D$8)=0,NA(),IF(Inputs!$C$17="Rebased to 100",$D2129/D$8*100,$D2129)))))</f>
        <v/>
      </c>
      <c r="K2129" s="54">
        <f>IF($B2129=0,NA(),IF($E2129="",NA(),IF(E$8="",NA(),IF(N(E$8)=0,NA(),IF(Inputs!$C$17="Rebased to 100",$E2129/E$8*100,$E2129)))))</f>
        <v/>
      </c>
      <c r="L2129" s="54">
        <f>IF($B2129=0,NA(),IF($F2129="",NA(),IF(F$8="",NA(),IF(N(F$8)=0,NA(),IF(Inputs!$C$17="Rebased to 100",$F2129/F$8*100,$F2129)))))</f>
        <v/>
      </c>
      <c r="M2129" s="54">
        <f>IF($B2129=0,NA(),IF($G2129="",NA(),IF(G$8="",NA(),IF(N(G$8)=0,NA(),IF(Inputs!$C$17="Rebased to 100",$G2129/G$8*100,$G2129)))))</f>
        <v/>
      </c>
      <c r="N2129" s="54">
        <f>IF($B2129=0,NA(),IF(Inputs!$C$18&lt;&gt;"Yes",NA(),IF(COUNT(I2129,J2129,K2129,L2129,M2129)=0,NA(),MIN(I2129,J2129,K2129,L2129,M2129))))</f>
        <v/>
      </c>
      <c r="O2129" s="54">
        <f>IF($B2129=0,NA(),IF(Inputs!$B$24&lt;&gt;"Yes",NA(),Inputs!$D$24*Inputs!$C$35))</f>
        <v/>
      </c>
      <c r="P2129" s="54">
        <f>IF($B2129=0,NA(),IF(Inputs!$B$25&lt;&gt;"Yes",NA(),Inputs!$D$25*Inputs!$C$35))</f>
        <v/>
      </c>
      <c r="Q2129" s="54">
        <f>IF($B2129=0,NA(),IF(Inputs!$B$26&lt;&gt;"Yes",NA(),Inputs!$D$26*Inputs!$C$35))</f>
        <v/>
      </c>
      <c r="R2129" s="54">
        <f>IF($B2129=0,NA(),IF(Inputs!$B$27&lt;&gt;"Yes",NA(),Inputs!$D$27*Inputs!$C$35))</f>
        <v/>
      </c>
      <c r="S2129" s="54">
        <f>IF($B2129=0,NA(),IF(Inputs!$B$28&lt;&gt;"Yes",NA(),Inputs!$D$28*Inputs!$C$35))</f>
        <v/>
      </c>
      <c r="T2129" s="54">
        <f>IF($B2129=0,NA(),IF(Inputs!$B$29&lt;&gt;"Yes",NA(),Inputs!$D$29*Inputs!$C$35))</f>
        <v/>
      </c>
      <c r="AD2129">
        <f>IF($B2129=0,0,IF(Inputs!$B$6="",0,COUNTIFS(Data!$A$10:$A$3209,"&gt;="&amp;$A2129,Data!$A$10:$A$3209,"&lt;"&amp;$A2129+1)))</f>
        <v/>
      </c>
      <c r="AE2129">
        <f>IF($B2129=0,0,IF(Inputs!$B$7="",0,COUNTIFS(Data!$E$10:$E$3209,"&gt;="&amp;$A2129,Data!$E$10:$E$3209,"&lt;"&amp;$A2129+1)))</f>
        <v/>
      </c>
      <c r="AF2129">
        <f>IF($B2129=0,0,IF(Inputs!$B$8="",0,COUNTIFS(Data!$I$10:$I$3209,"&gt;="&amp;$A2129,Data!$I$10:$I$3209,"&lt;"&amp;$A2129+1)))</f>
        <v/>
      </c>
      <c r="AG2129">
        <f>IF($B2129=0,0,IF(Inputs!$B$9="",0,COUNTIFS(Data!$M$10:$M$3209,"&gt;="&amp;$A2129,Data!$M$10:$M$3209,"&lt;"&amp;$A2129+1)))</f>
        <v/>
      </c>
      <c r="AH2129">
        <f>IF($B2129=0,0,IF(Inputs!$B$10="",0,COUNTIFS(Data!$Q$10:$Q$3209,"&gt;="&amp;$A2129,Data!$Q$10:$Q$3209,"&lt;"&amp;$A2129+1)))</f>
        <v/>
      </c>
    </row>
    <row r="2130">
      <c r="A2130" s="55">
        <f>MIN(Inputs!$C$15,$A2129+IF(WEEKDAY($A2129,2)=5,3,1))</f>
        <v/>
      </c>
      <c r="B2130">
        <f>IF($A2130&gt;$A2129,1,0)</f>
        <v/>
      </c>
      <c r="C2130" s="56">
        <f>IF($B2130=0,"",IF(Inputs!$B$6="","",IF($AD2130=0,C2129,SUMIFS(Data!$B$10:$B$3209,Data!$A$10:$A$3209,"&gt;="&amp;$A2130,Data!$A$10:$A$3209,"&lt;"&amp;$A2130+1)/$AD2130)))</f>
        <v/>
      </c>
      <c r="D2130" s="56">
        <f>IF($B2130=0,"",IF(Inputs!$B$7="","",IF($AE2130=0,D2129,SUMIFS(Data!$F$10:$F$3209,Data!$E$10:$E$3209,"&gt;="&amp;$A2130,Data!$E$10:$E$3209,"&lt;"&amp;$A2130+1)/$AE2130)))</f>
        <v/>
      </c>
      <c r="E2130" s="56">
        <f>IF($B2130=0,"",IF(Inputs!$B$8="","",IF($AF2130=0,E2129,SUMIFS(Data!$J$10:$J$3209,Data!$I$10:$I$3209,"&gt;="&amp;$A2130,Data!$I$10:$I$3209,"&lt;"&amp;$A2130+1)/$AF2130)))</f>
        <v/>
      </c>
      <c r="F2130" s="56">
        <f>IF($B2130=0,"",IF(Inputs!$B$9="","",IF($AG2130=0,F2129,SUMIFS(Data!$N$10:$N$3209,Data!$M$10:$M$3209,"&gt;="&amp;$A2130,Data!$M$10:$M$3209,"&lt;"&amp;$A2130+1)/$AG2130)))</f>
        <v/>
      </c>
      <c r="G2130" s="56">
        <f>IF($B2130=0,"",IF(Inputs!$B$10="","",IF($AH2130=0,G2129,SUMIFS(Data!$R$10:$R$3209,Data!$Q$10:$Q$3209,"&gt;="&amp;$A2130,Data!$Q$10:$Q$3209,"&lt;"&amp;$A2130+1)/$AH2130)))</f>
        <v/>
      </c>
      <c r="I2130" s="54">
        <f>IF($B2130=0,NA(),IF($C2130="",NA(),IF(C$8="",NA(),IF(N(C$8)=0,NA(),IF(Inputs!$C$17="Rebased to 100",$C2130/C$8*100,$C2130)))))</f>
        <v/>
      </c>
      <c r="J2130" s="54">
        <f>IF($B2130=0,NA(),IF($D2130="",NA(),IF(D$8="",NA(),IF(N(D$8)=0,NA(),IF(Inputs!$C$17="Rebased to 100",$D2130/D$8*100,$D2130)))))</f>
        <v/>
      </c>
      <c r="K2130" s="54">
        <f>IF($B2130=0,NA(),IF($E2130="",NA(),IF(E$8="",NA(),IF(N(E$8)=0,NA(),IF(Inputs!$C$17="Rebased to 100",$E2130/E$8*100,$E2130)))))</f>
        <v/>
      </c>
      <c r="L2130" s="54">
        <f>IF($B2130=0,NA(),IF($F2130="",NA(),IF(F$8="",NA(),IF(N(F$8)=0,NA(),IF(Inputs!$C$17="Rebased to 100",$F2130/F$8*100,$F2130)))))</f>
        <v/>
      </c>
      <c r="M2130" s="54">
        <f>IF($B2130=0,NA(),IF($G2130="",NA(),IF(G$8="",NA(),IF(N(G$8)=0,NA(),IF(Inputs!$C$17="Rebased to 100",$G2130/G$8*100,$G2130)))))</f>
        <v/>
      </c>
      <c r="N2130" s="54">
        <f>IF($B2130=0,NA(),IF(Inputs!$C$18&lt;&gt;"Yes",NA(),IF(COUNT(I2130,J2130,K2130,L2130,M2130)=0,NA(),MIN(I2130,J2130,K2130,L2130,M2130))))</f>
        <v/>
      </c>
      <c r="O2130" s="54">
        <f>IF($B2130=0,NA(),IF(Inputs!$B$24&lt;&gt;"Yes",NA(),Inputs!$D$24*Inputs!$C$35))</f>
        <v/>
      </c>
      <c r="P2130" s="54">
        <f>IF($B2130=0,NA(),IF(Inputs!$B$25&lt;&gt;"Yes",NA(),Inputs!$D$25*Inputs!$C$35))</f>
        <v/>
      </c>
      <c r="Q2130" s="54">
        <f>IF($B2130=0,NA(),IF(Inputs!$B$26&lt;&gt;"Yes",NA(),Inputs!$D$26*Inputs!$C$35))</f>
        <v/>
      </c>
      <c r="R2130" s="54">
        <f>IF($B2130=0,NA(),IF(Inputs!$B$27&lt;&gt;"Yes",NA(),Inputs!$D$27*Inputs!$C$35))</f>
        <v/>
      </c>
      <c r="S2130" s="54">
        <f>IF($B2130=0,NA(),IF(Inputs!$B$28&lt;&gt;"Yes",NA(),Inputs!$D$28*Inputs!$C$35))</f>
        <v/>
      </c>
      <c r="T2130" s="54">
        <f>IF($B2130=0,NA(),IF(Inputs!$B$29&lt;&gt;"Yes",NA(),Inputs!$D$29*Inputs!$C$35))</f>
        <v/>
      </c>
      <c r="AD2130">
        <f>IF($B2130=0,0,IF(Inputs!$B$6="",0,COUNTIFS(Data!$A$10:$A$3209,"&gt;="&amp;$A2130,Data!$A$10:$A$3209,"&lt;"&amp;$A2130+1)))</f>
        <v/>
      </c>
      <c r="AE2130">
        <f>IF($B2130=0,0,IF(Inputs!$B$7="",0,COUNTIFS(Data!$E$10:$E$3209,"&gt;="&amp;$A2130,Data!$E$10:$E$3209,"&lt;"&amp;$A2130+1)))</f>
        <v/>
      </c>
      <c r="AF2130">
        <f>IF($B2130=0,0,IF(Inputs!$B$8="",0,COUNTIFS(Data!$I$10:$I$3209,"&gt;="&amp;$A2130,Data!$I$10:$I$3209,"&lt;"&amp;$A2130+1)))</f>
        <v/>
      </c>
      <c r="AG2130">
        <f>IF($B2130=0,0,IF(Inputs!$B$9="",0,COUNTIFS(Data!$M$10:$M$3209,"&gt;="&amp;$A2130,Data!$M$10:$M$3209,"&lt;"&amp;$A2130+1)))</f>
        <v/>
      </c>
      <c r="AH2130">
        <f>IF($B2130=0,0,IF(Inputs!$B$10="",0,COUNTIFS(Data!$Q$10:$Q$3209,"&gt;="&amp;$A2130,Data!$Q$10:$Q$3209,"&lt;"&amp;$A2130+1)))</f>
        <v/>
      </c>
    </row>
    <row r="2131">
      <c r="A2131" s="55">
        <f>MIN(Inputs!$C$15,$A2130+IF(WEEKDAY($A2130,2)=5,3,1))</f>
        <v/>
      </c>
      <c r="B2131">
        <f>IF($A2131&gt;$A2130,1,0)</f>
        <v/>
      </c>
      <c r="C2131" s="56">
        <f>IF($B2131=0,"",IF(Inputs!$B$6="","",IF($AD2131=0,C2130,SUMIFS(Data!$B$10:$B$3209,Data!$A$10:$A$3209,"&gt;="&amp;$A2131,Data!$A$10:$A$3209,"&lt;"&amp;$A2131+1)/$AD2131)))</f>
        <v/>
      </c>
      <c r="D2131" s="56">
        <f>IF($B2131=0,"",IF(Inputs!$B$7="","",IF($AE2131=0,D2130,SUMIFS(Data!$F$10:$F$3209,Data!$E$10:$E$3209,"&gt;="&amp;$A2131,Data!$E$10:$E$3209,"&lt;"&amp;$A2131+1)/$AE2131)))</f>
        <v/>
      </c>
      <c r="E2131" s="56">
        <f>IF($B2131=0,"",IF(Inputs!$B$8="","",IF($AF2131=0,E2130,SUMIFS(Data!$J$10:$J$3209,Data!$I$10:$I$3209,"&gt;="&amp;$A2131,Data!$I$10:$I$3209,"&lt;"&amp;$A2131+1)/$AF2131)))</f>
        <v/>
      </c>
      <c r="F2131" s="56">
        <f>IF($B2131=0,"",IF(Inputs!$B$9="","",IF($AG2131=0,F2130,SUMIFS(Data!$N$10:$N$3209,Data!$M$10:$M$3209,"&gt;="&amp;$A2131,Data!$M$10:$M$3209,"&lt;"&amp;$A2131+1)/$AG2131)))</f>
        <v/>
      </c>
      <c r="G2131" s="56">
        <f>IF($B2131=0,"",IF(Inputs!$B$10="","",IF($AH2131=0,G2130,SUMIFS(Data!$R$10:$R$3209,Data!$Q$10:$Q$3209,"&gt;="&amp;$A2131,Data!$Q$10:$Q$3209,"&lt;"&amp;$A2131+1)/$AH2131)))</f>
        <v/>
      </c>
      <c r="I2131" s="54">
        <f>IF($B2131=0,NA(),IF($C2131="",NA(),IF(C$8="",NA(),IF(N(C$8)=0,NA(),IF(Inputs!$C$17="Rebased to 100",$C2131/C$8*100,$C2131)))))</f>
        <v/>
      </c>
      <c r="J2131" s="54">
        <f>IF($B2131=0,NA(),IF($D2131="",NA(),IF(D$8="",NA(),IF(N(D$8)=0,NA(),IF(Inputs!$C$17="Rebased to 100",$D2131/D$8*100,$D2131)))))</f>
        <v/>
      </c>
      <c r="K2131" s="54">
        <f>IF($B2131=0,NA(),IF($E2131="",NA(),IF(E$8="",NA(),IF(N(E$8)=0,NA(),IF(Inputs!$C$17="Rebased to 100",$E2131/E$8*100,$E2131)))))</f>
        <v/>
      </c>
      <c r="L2131" s="54">
        <f>IF($B2131=0,NA(),IF($F2131="",NA(),IF(F$8="",NA(),IF(N(F$8)=0,NA(),IF(Inputs!$C$17="Rebased to 100",$F2131/F$8*100,$F2131)))))</f>
        <v/>
      </c>
      <c r="M2131" s="54">
        <f>IF($B2131=0,NA(),IF($G2131="",NA(),IF(G$8="",NA(),IF(N(G$8)=0,NA(),IF(Inputs!$C$17="Rebased to 100",$G2131/G$8*100,$G2131)))))</f>
        <v/>
      </c>
      <c r="N2131" s="54">
        <f>IF($B2131=0,NA(),IF(Inputs!$C$18&lt;&gt;"Yes",NA(),IF(COUNT(I2131,J2131,K2131,L2131,M2131)=0,NA(),MIN(I2131,J2131,K2131,L2131,M2131))))</f>
        <v/>
      </c>
      <c r="O2131" s="54">
        <f>IF($B2131=0,NA(),IF(Inputs!$B$24&lt;&gt;"Yes",NA(),Inputs!$D$24*Inputs!$C$35))</f>
        <v/>
      </c>
      <c r="P2131" s="54">
        <f>IF($B2131=0,NA(),IF(Inputs!$B$25&lt;&gt;"Yes",NA(),Inputs!$D$25*Inputs!$C$35))</f>
        <v/>
      </c>
      <c r="Q2131" s="54">
        <f>IF($B2131=0,NA(),IF(Inputs!$B$26&lt;&gt;"Yes",NA(),Inputs!$D$26*Inputs!$C$35))</f>
        <v/>
      </c>
      <c r="R2131" s="54">
        <f>IF($B2131=0,NA(),IF(Inputs!$B$27&lt;&gt;"Yes",NA(),Inputs!$D$27*Inputs!$C$35))</f>
        <v/>
      </c>
      <c r="S2131" s="54">
        <f>IF($B2131=0,NA(),IF(Inputs!$B$28&lt;&gt;"Yes",NA(),Inputs!$D$28*Inputs!$C$35))</f>
        <v/>
      </c>
      <c r="T2131" s="54">
        <f>IF($B2131=0,NA(),IF(Inputs!$B$29&lt;&gt;"Yes",NA(),Inputs!$D$29*Inputs!$C$35))</f>
        <v/>
      </c>
      <c r="AD2131">
        <f>IF($B2131=0,0,IF(Inputs!$B$6="",0,COUNTIFS(Data!$A$10:$A$3209,"&gt;="&amp;$A2131,Data!$A$10:$A$3209,"&lt;"&amp;$A2131+1)))</f>
        <v/>
      </c>
      <c r="AE2131">
        <f>IF($B2131=0,0,IF(Inputs!$B$7="",0,COUNTIFS(Data!$E$10:$E$3209,"&gt;="&amp;$A2131,Data!$E$10:$E$3209,"&lt;"&amp;$A2131+1)))</f>
        <v/>
      </c>
      <c r="AF2131">
        <f>IF($B2131=0,0,IF(Inputs!$B$8="",0,COUNTIFS(Data!$I$10:$I$3209,"&gt;="&amp;$A2131,Data!$I$10:$I$3209,"&lt;"&amp;$A2131+1)))</f>
        <v/>
      </c>
      <c r="AG2131">
        <f>IF($B2131=0,0,IF(Inputs!$B$9="",0,COUNTIFS(Data!$M$10:$M$3209,"&gt;="&amp;$A2131,Data!$M$10:$M$3209,"&lt;"&amp;$A2131+1)))</f>
        <v/>
      </c>
      <c r="AH2131">
        <f>IF($B2131=0,0,IF(Inputs!$B$10="",0,COUNTIFS(Data!$Q$10:$Q$3209,"&gt;="&amp;$A2131,Data!$Q$10:$Q$3209,"&lt;"&amp;$A2131+1)))</f>
        <v/>
      </c>
    </row>
    <row r="2132">
      <c r="A2132" s="55">
        <f>MIN(Inputs!$C$15,$A2131+IF(WEEKDAY($A2131,2)=5,3,1))</f>
        <v/>
      </c>
      <c r="B2132">
        <f>IF($A2132&gt;$A2131,1,0)</f>
        <v/>
      </c>
      <c r="C2132" s="56">
        <f>IF($B2132=0,"",IF(Inputs!$B$6="","",IF($AD2132=0,C2131,SUMIFS(Data!$B$10:$B$3209,Data!$A$10:$A$3209,"&gt;="&amp;$A2132,Data!$A$10:$A$3209,"&lt;"&amp;$A2132+1)/$AD2132)))</f>
        <v/>
      </c>
      <c r="D2132" s="56">
        <f>IF($B2132=0,"",IF(Inputs!$B$7="","",IF($AE2132=0,D2131,SUMIFS(Data!$F$10:$F$3209,Data!$E$10:$E$3209,"&gt;="&amp;$A2132,Data!$E$10:$E$3209,"&lt;"&amp;$A2132+1)/$AE2132)))</f>
        <v/>
      </c>
      <c r="E2132" s="56">
        <f>IF($B2132=0,"",IF(Inputs!$B$8="","",IF($AF2132=0,E2131,SUMIFS(Data!$J$10:$J$3209,Data!$I$10:$I$3209,"&gt;="&amp;$A2132,Data!$I$10:$I$3209,"&lt;"&amp;$A2132+1)/$AF2132)))</f>
        <v/>
      </c>
      <c r="F2132" s="56">
        <f>IF($B2132=0,"",IF(Inputs!$B$9="","",IF($AG2132=0,F2131,SUMIFS(Data!$N$10:$N$3209,Data!$M$10:$M$3209,"&gt;="&amp;$A2132,Data!$M$10:$M$3209,"&lt;"&amp;$A2132+1)/$AG2132)))</f>
        <v/>
      </c>
      <c r="G2132" s="56">
        <f>IF($B2132=0,"",IF(Inputs!$B$10="","",IF($AH2132=0,G2131,SUMIFS(Data!$R$10:$R$3209,Data!$Q$10:$Q$3209,"&gt;="&amp;$A2132,Data!$Q$10:$Q$3209,"&lt;"&amp;$A2132+1)/$AH2132)))</f>
        <v/>
      </c>
      <c r="I2132" s="54">
        <f>IF($B2132=0,NA(),IF($C2132="",NA(),IF(C$8="",NA(),IF(N(C$8)=0,NA(),IF(Inputs!$C$17="Rebased to 100",$C2132/C$8*100,$C2132)))))</f>
        <v/>
      </c>
      <c r="J2132" s="54">
        <f>IF($B2132=0,NA(),IF($D2132="",NA(),IF(D$8="",NA(),IF(N(D$8)=0,NA(),IF(Inputs!$C$17="Rebased to 100",$D2132/D$8*100,$D2132)))))</f>
        <v/>
      </c>
      <c r="K2132" s="54">
        <f>IF($B2132=0,NA(),IF($E2132="",NA(),IF(E$8="",NA(),IF(N(E$8)=0,NA(),IF(Inputs!$C$17="Rebased to 100",$E2132/E$8*100,$E2132)))))</f>
        <v/>
      </c>
      <c r="L2132" s="54">
        <f>IF($B2132=0,NA(),IF($F2132="",NA(),IF(F$8="",NA(),IF(N(F$8)=0,NA(),IF(Inputs!$C$17="Rebased to 100",$F2132/F$8*100,$F2132)))))</f>
        <v/>
      </c>
      <c r="M2132" s="54">
        <f>IF($B2132=0,NA(),IF($G2132="",NA(),IF(G$8="",NA(),IF(N(G$8)=0,NA(),IF(Inputs!$C$17="Rebased to 100",$G2132/G$8*100,$G2132)))))</f>
        <v/>
      </c>
      <c r="N2132" s="54">
        <f>IF($B2132=0,NA(),IF(Inputs!$C$18&lt;&gt;"Yes",NA(),IF(COUNT(I2132,J2132,K2132,L2132,M2132)=0,NA(),MIN(I2132,J2132,K2132,L2132,M2132))))</f>
        <v/>
      </c>
      <c r="O2132" s="54">
        <f>IF($B2132=0,NA(),IF(Inputs!$B$24&lt;&gt;"Yes",NA(),Inputs!$D$24*Inputs!$C$35))</f>
        <v/>
      </c>
      <c r="P2132" s="54">
        <f>IF($B2132=0,NA(),IF(Inputs!$B$25&lt;&gt;"Yes",NA(),Inputs!$D$25*Inputs!$C$35))</f>
        <v/>
      </c>
      <c r="Q2132" s="54">
        <f>IF($B2132=0,NA(),IF(Inputs!$B$26&lt;&gt;"Yes",NA(),Inputs!$D$26*Inputs!$C$35))</f>
        <v/>
      </c>
      <c r="R2132" s="54">
        <f>IF($B2132=0,NA(),IF(Inputs!$B$27&lt;&gt;"Yes",NA(),Inputs!$D$27*Inputs!$C$35))</f>
        <v/>
      </c>
      <c r="S2132" s="54">
        <f>IF($B2132=0,NA(),IF(Inputs!$B$28&lt;&gt;"Yes",NA(),Inputs!$D$28*Inputs!$C$35))</f>
        <v/>
      </c>
      <c r="T2132" s="54">
        <f>IF($B2132=0,NA(),IF(Inputs!$B$29&lt;&gt;"Yes",NA(),Inputs!$D$29*Inputs!$C$35))</f>
        <v/>
      </c>
      <c r="AD2132">
        <f>IF($B2132=0,0,IF(Inputs!$B$6="",0,COUNTIFS(Data!$A$10:$A$3209,"&gt;="&amp;$A2132,Data!$A$10:$A$3209,"&lt;"&amp;$A2132+1)))</f>
        <v/>
      </c>
      <c r="AE2132">
        <f>IF($B2132=0,0,IF(Inputs!$B$7="",0,COUNTIFS(Data!$E$10:$E$3209,"&gt;="&amp;$A2132,Data!$E$10:$E$3209,"&lt;"&amp;$A2132+1)))</f>
        <v/>
      </c>
      <c r="AF2132">
        <f>IF($B2132=0,0,IF(Inputs!$B$8="",0,COUNTIFS(Data!$I$10:$I$3209,"&gt;="&amp;$A2132,Data!$I$10:$I$3209,"&lt;"&amp;$A2132+1)))</f>
        <v/>
      </c>
      <c r="AG2132">
        <f>IF($B2132=0,0,IF(Inputs!$B$9="",0,COUNTIFS(Data!$M$10:$M$3209,"&gt;="&amp;$A2132,Data!$M$10:$M$3209,"&lt;"&amp;$A2132+1)))</f>
        <v/>
      </c>
      <c r="AH2132">
        <f>IF($B2132=0,0,IF(Inputs!$B$10="",0,COUNTIFS(Data!$Q$10:$Q$3209,"&gt;="&amp;$A2132,Data!$Q$10:$Q$3209,"&lt;"&amp;$A2132+1)))</f>
        <v/>
      </c>
    </row>
    <row r="2133">
      <c r="A2133" s="55">
        <f>MIN(Inputs!$C$15,$A2132+IF(WEEKDAY($A2132,2)=5,3,1))</f>
        <v/>
      </c>
      <c r="B2133">
        <f>IF($A2133&gt;$A2132,1,0)</f>
        <v/>
      </c>
      <c r="C2133" s="56">
        <f>IF($B2133=0,"",IF(Inputs!$B$6="","",IF($AD2133=0,C2132,SUMIFS(Data!$B$10:$B$3209,Data!$A$10:$A$3209,"&gt;="&amp;$A2133,Data!$A$10:$A$3209,"&lt;"&amp;$A2133+1)/$AD2133)))</f>
        <v/>
      </c>
      <c r="D2133" s="56">
        <f>IF($B2133=0,"",IF(Inputs!$B$7="","",IF($AE2133=0,D2132,SUMIFS(Data!$F$10:$F$3209,Data!$E$10:$E$3209,"&gt;="&amp;$A2133,Data!$E$10:$E$3209,"&lt;"&amp;$A2133+1)/$AE2133)))</f>
        <v/>
      </c>
      <c r="E2133" s="56">
        <f>IF($B2133=0,"",IF(Inputs!$B$8="","",IF($AF2133=0,E2132,SUMIFS(Data!$J$10:$J$3209,Data!$I$10:$I$3209,"&gt;="&amp;$A2133,Data!$I$10:$I$3209,"&lt;"&amp;$A2133+1)/$AF2133)))</f>
        <v/>
      </c>
      <c r="F2133" s="56">
        <f>IF($B2133=0,"",IF(Inputs!$B$9="","",IF($AG2133=0,F2132,SUMIFS(Data!$N$10:$N$3209,Data!$M$10:$M$3209,"&gt;="&amp;$A2133,Data!$M$10:$M$3209,"&lt;"&amp;$A2133+1)/$AG2133)))</f>
        <v/>
      </c>
      <c r="G2133" s="56">
        <f>IF($B2133=0,"",IF(Inputs!$B$10="","",IF($AH2133=0,G2132,SUMIFS(Data!$R$10:$R$3209,Data!$Q$10:$Q$3209,"&gt;="&amp;$A2133,Data!$Q$10:$Q$3209,"&lt;"&amp;$A2133+1)/$AH2133)))</f>
        <v/>
      </c>
      <c r="I2133" s="54">
        <f>IF($B2133=0,NA(),IF($C2133="",NA(),IF(C$8="",NA(),IF(N(C$8)=0,NA(),IF(Inputs!$C$17="Rebased to 100",$C2133/C$8*100,$C2133)))))</f>
        <v/>
      </c>
      <c r="J2133" s="54">
        <f>IF($B2133=0,NA(),IF($D2133="",NA(),IF(D$8="",NA(),IF(N(D$8)=0,NA(),IF(Inputs!$C$17="Rebased to 100",$D2133/D$8*100,$D2133)))))</f>
        <v/>
      </c>
      <c r="K2133" s="54">
        <f>IF($B2133=0,NA(),IF($E2133="",NA(),IF(E$8="",NA(),IF(N(E$8)=0,NA(),IF(Inputs!$C$17="Rebased to 100",$E2133/E$8*100,$E2133)))))</f>
        <v/>
      </c>
      <c r="L2133" s="54">
        <f>IF($B2133=0,NA(),IF($F2133="",NA(),IF(F$8="",NA(),IF(N(F$8)=0,NA(),IF(Inputs!$C$17="Rebased to 100",$F2133/F$8*100,$F2133)))))</f>
        <v/>
      </c>
      <c r="M2133" s="54">
        <f>IF($B2133=0,NA(),IF($G2133="",NA(),IF(G$8="",NA(),IF(N(G$8)=0,NA(),IF(Inputs!$C$17="Rebased to 100",$G2133/G$8*100,$G2133)))))</f>
        <v/>
      </c>
      <c r="N2133" s="54">
        <f>IF($B2133=0,NA(),IF(Inputs!$C$18&lt;&gt;"Yes",NA(),IF(COUNT(I2133,J2133,K2133,L2133,M2133)=0,NA(),MIN(I2133,J2133,K2133,L2133,M2133))))</f>
        <v/>
      </c>
      <c r="O2133" s="54">
        <f>IF($B2133=0,NA(),IF(Inputs!$B$24&lt;&gt;"Yes",NA(),Inputs!$D$24*Inputs!$C$35))</f>
        <v/>
      </c>
      <c r="P2133" s="54">
        <f>IF($B2133=0,NA(),IF(Inputs!$B$25&lt;&gt;"Yes",NA(),Inputs!$D$25*Inputs!$C$35))</f>
        <v/>
      </c>
      <c r="Q2133" s="54">
        <f>IF($B2133=0,NA(),IF(Inputs!$B$26&lt;&gt;"Yes",NA(),Inputs!$D$26*Inputs!$C$35))</f>
        <v/>
      </c>
      <c r="R2133" s="54">
        <f>IF($B2133=0,NA(),IF(Inputs!$B$27&lt;&gt;"Yes",NA(),Inputs!$D$27*Inputs!$C$35))</f>
        <v/>
      </c>
      <c r="S2133" s="54">
        <f>IF($B2133=0,NA(),IF(Inputs!$B$28&lt;&gt;"Yes",NA(),Inputs!$D$28*Inputs!$C$35))</f>
        <v/>
      </c>
      <c r="T2133" s="54">
        <f>IF($B2133=0,NA(),IF(Inputs!$B$29&lt;&gt;"Yes",NA(),Inputs!$D$29*Inputs!$C$35))</f>
        <v/>
      </c>
      <c r="AD2133">
        <f>IF($B2133=0,0,IF(Inputs!$B$6="",0,COUNTIFS(Data!$A$10:$A$3209,"&gt;="&amp;$A2133,Data!$A$10:$A$3209,"&lt;"&amp;$A2133+1)))</f>
        <v/>
      </c>
      <c r="AE2133">
        <f>IF($B2133=0,0,IF(Inputs!$B$7="",0,COUNTIFS(Data!$E$10:$E$3209,"&gt;="&amp;$A2133,Data!$E$10:$E$3209,"&lt;"&amp;$A2133+1)))</f>
        <v/>
      </c>
      <c r="AF2133">
        <f>IF($B2133=0,0,IF(Inputs!$B$8="",0,COUNTIFS(Data!$I$10:$I$3209,"&gt;="&amp;$A2133,Data!$I$10:$I$3209,"&lt;"&amp;$A2133+1)))</f>
        <v/>
      </c>
      <c r="AG2133">
        <f>IF($B2133=0,0,IF(Inputs!$B$9="",0,COUNTIFS(Data!$M$10:$M$3209,"&gt;="&amp;$A2133,Data!$M$10:$M$3209,"&lt;"&amp;$A2133+1)))</f>
        <v/>
      </c>
      <c r="AH2133">
        <f>IF($B2133=0,0,IF(Inputs!$B$10="",0,COUNTIFS(Data!$Q$10:$Q$3209,"&gt;="&amp;$A2133,Data!$Q$10:$Q$3209,"&lt;"&amp;$A2133+1)))</f>
        <v/>
      </c>
    </row>
    <row r="2134">
      <c r="A2134" s="55">
        <f>MIN(Inputs!$C$15,$A2133+IF(WEEKDAY($A2133,2)=5,3,1))</f>
        <v/>
      </c>
      <c r="B2134">
        <f>IF($A2134&gt;$A2133,1,0)</f>
        <v/>
      </c>
      <c r="C2134" s="56">
        <f>IF($B2134=0,"",IF(Inputs!$B$6="","",IF($AD2134=0,C2133,SUMIFS(Data!$B$10:$B$3209,Data!$A$10:$A$3209,"&gt;="&amp;$A2134,Data!$A$10:$A$3209,"&lt;"&amp;$A2134+1)/$AD2134)))</f>
        <v/>
      </c>
      <c r="D2134" s="56">
        <f>IF($B2134=0,"",IF(Inputs!$B$7="","",IF($AE2134=0,D2133,SUMIFS(Data!$F$10:$F$3209,Data!$E$10:$E$3209,"&gt;="&amp;$A2134,Data!$E$10:$E$3209,"&lt;"&amp;$A2134+1)/$AE2134)))</f>
        <v/>
      </c>
      <c r="E2134" s="56">
        <f>IF($B2134=0,"",IF(Inputs!$B$8="","",IF($AF2134=0,E2133,SUMIFS(Data!$J$10:$J$3209,Data!$I$10:$I$3209,"&gt;="&amp;$A2134,Data!$I$10:$I$3209,"&lt;"&amp;$A2134+1)/$AF2134)))</f>
        <v/>
      </c>
      <c r="F2134" s="56">
        <f>IF($B2134=0,"",IF(Inputs!$B$9="","",IF($AG2134=0,F2133,SUMIFS(Data!$N$10:$N$3209,Data!$M$10:$M$3209,"&gt;="&amp;$A2134,Data!$M$10:$M$3209,"&lt;"&amp;$A2134+1)/$AG2134)))</f>
        <v/>
      </c>
      <c r="G2134" s="56">
        <f>IF($B2134=0,"",IF(Inputs!$B$10="","",IF($AH2134=0,G2133,SUMIFS(Data!$R$10:$R$3209,Data!$Q$10:$Q$3209,"&gt;="&amp;$A2134,Data!$Q$10:$Q$3209,"&lt;"&amp;$A2134+1)/$AH2134)))</f>
        <v/>
      </c>
      <c r="I2134" s="54">
        <f>IF($B2134=0,NA(),IF($C2134="",NA(),IF(C$8="",NA(),IF(N(C$8)=0,NA(),IF(Inputs!$C$17="Rebased to 100",$C2134/C$8*100,$C2134)))))</f>
        <v/>
      </c>
      <c r="J2134" s="54">
        <f>IF($B2134=0,NA(),IF($D2134="",NA(),IF(D$8="",NA(),IF(N(D$8)=0,NA(),IF(Inputs!$C$17="Rebased to 100",$D2134/D$8*100,$D2134)))))</f>
        <v/>
      </c>
      <c r="K2134" s="54">
        <f>IF($B2134=0,NA(),IF($E2134="",NA(),IF(E$8="",NA(),IF(N(E$8)=0,NA(),IF(Inputs!$C$17="Rebased to 100",$E2134/E$8*100,$E2134)))))</f>
        <v/>
      </c>
      <c r="L2134" s="54">
        <f>IF($B2134=0,NA(),IF($F2134="",NA(),IF(F$8="",NA(),IF(N(F$8)=0,NA(),IF(Inputs!$C$17="Rebased to 100",$F2134/F$8*100,$F2134)))))</f>
        <v/>
      </c>
      <c r="M2134" s="54">
        <f>IF($B2134=0,NA(),IF($G2134="",NA(),IF(G$8="",NA(),IF(N(G$8)=0,NA(),IF(Inputs!$C$17="Rebased to 100",$G2134/G$8*100,$G2134)))))</f>
        <v/>
      </c>
      <c r="N2134" s="54">
        <f>IF($B2134=0,NA(),IF(Inputs!$C$18&lt;&gt;"Yes",NA(),IF(COUNT(I2134,J2134,K2134,L2134,M2134)=0,NA(),MIN(I2134,J2134,K2134,L2134,M2134))))</f>
        <v/>
      </c>
      <c r="O2134" s="54">
        <f>IF($B2134=0,NA(),IF(Inputs!$B$24&lt;&gt;"Yes",NA(),Inputs!$D$24*Inputs!$C$35))</f>
        <v/>
      </c>
      <c r="P2134" s="54">
        <f>IF($B2134=0,NA(),IF(Inputs!$B$25&lt;&gt;"Yes",NA(),Inputs!$D$25*Inputs!$C$35))</f>
        <v/>
      </c>
      <c r="Q2134" s="54">
        <f>IF($B2134=0,NA(),IF(Inputs!$B$26&lt;&gt;"Yes",NA(),Inputs!$D$26*Inputs!$C$35))</f>
        <v/>
      </c>
      <c r="R2134" s="54">
        <f>IF($B2134=0,NA(),IF(Inputs!$B$27&lt;&gt;"Yes",NA(),Inputs!$D$27*Inputs!$C$35))</f>
        <v/>
      </c>
      <c r="S2134" s="54">
        <f>IF($B2134=0,NA(),IF(Inputs!$B$28&lt;&gt;"Yes",NA(),Inputs!$D$28*Inputs!$C$35))</f>
        <v/>
      </c>
      <c r="T2134" s="54">
        <f>IF($B2134=0,NA(),IF(Inputs!$B$29&lt;&gt;"Yes",NA(),Inputs!$D$29*Inputs!$C$35))</f>
        <v/>
      </c>
      <c r="AD2134">
        <f>IF($B2134=0,0,IF(Inputs!$B$6="",0,COUNTIFS(Data!$A$10:$A$3209,"&gt;="&amp;$A2134,Data!$A$10:$A$3209,"&lt;"&amp;$A2134+1)))</f>
        <v/>
      </c>
      <c r="AE2134">
        <f>IF($B2134=0,0,IF(Inputs!$B$7="",0,COUNTIFS(Data!$E$10:$E$3209,"&gt;="&amp;$A2134,Data!$E$10:$E$3209,"&lt;"&amp;$A2134+1)))</f>
        <v/>
      </c>
      <c r="AF2134">
        <f>IF($B2134=0,0,IF(Inputs!$B$8="",0,COUNTIFS(Data!$I$10:$I$3209,"&gt;="&amp;$A2134,Data!$I$10:$I$3209,"&lt;"&amp;$A2134+1)))</f>
        <v/>
      </c>
      <c r="AG2134">
        <f>IF($B2134=0,0,IF(Inputs!$B$9="",0,COUNTIFS(Data!$M$10:$M$3209,"&gt;="&amp;$A2134,Data!$M$10:$M$3209,"&lt;"&amp;$A2134+1)))</f>
        <v/>
      </c>
      <c r="AH2134">
        <f>IF($B2134=0,0,IF(Inputs!$B$10="",0,COUNTIFS(Data!$Q$10:$Q$3209,"&gt;="&amp;$A2134,Data!$Q$10:$Q$3209,"&lt;"&amp;$A2134+1)))</f>
        <v/>
      </c>
    </row>
    <row r="2135">
      <c r="A2135" s="55">
        <f>MIN(Inputs!$C$15,$A2134+IF(WEEKDAY($A2134,2)=5,3,1))</f>
        <v/>
      </c>
      <c r="B2135">
        <f>IF($A2135&gt;$A2134,1,0)</f>
        <v/>
      </c>
      <c r="C2135" s="56">
        <f>IF($B2135=0,"",IF(Inputs!$B$6="","",IF($AD2135=0,C2134,SUMIFS(Data!$B$10:$B$3209,Data!$A$10:$A$3209,"&gt;="&amp;$A2135,Data!$A$10:$A$3209,"&lt;"&amp;$A2135+1)/$AD2135)))</f>
        <v/>
      </c>
      <c r="D2135" s="56">
        <f>IF($B2135=0,"",IF(Inputs!$B$7="","",IF($AE2135=0,D2134,SUMIFS(Data!$F$10:$F$3209,Data!$E$10:$E$3209,"&gt;="&amp;$A2135,Data!$E$10:$E$3209,"&lt;"&amp;$A2135+1)/$AE2135)))</f>
        <v/>
      </c>
      <c r="E2135" s="56">
        <f>IF($B2135=0,"",IF(Inputs!$B$8="","",IF($AF2135=0,E2134,SUMIFS(Data!$J$10:$J$3209,Data!$I$10:$I$3209,"&gt;="&amp;$A2135,Data!$I$10:$I$3209,"&lt;"&amp;$A2135+1)/$AF2135)))</f>
        <v/>
      </c>
      <c r="F2135" s="56">
        <f>IF($B2135=0,"",IF(Inputs!$B$9="","",IF($AG2135=0,F2134,SUMIFS(Data!$N$10:$N$3209,Data!$M$10:$M$3209,"&gt;="&amp;$A2135,Data!$M$10:$M$3209,"&lt;"&amp;$A2135+1)/$AG2135)))</f>
        <v/>
      </c>
      <c r="G2135" s="56">
        <f>IF($B2135=0,"",IF(Inputs!$B$10="","",IF($AH2135=0,G2134,SUMIFS(Data!$R$10:$R$3209,Data!$Q$10:$Q$3209,"&gt;="&amp;$A2135,Data!$Q$10:$Q$3209,"&lt;"&amp;$A2135+1)/$AH2135)))</f>
        <v/>
      </c>
      <c r="I2135" s="54">
        <f>IF($B2135=0,NA(),IF($C2135="",NA(),IF(C$8="",NA(),IF(N(C$8)=0,NA(),IF(Inputs!$C$17="Rebased to 100",$C2135/C$8*100,$C2135)))))</f>
        <v/>
      </c>
      <c r="J2135" s="54">
        <f>IF($B2135=0,NA(),IF($D2135="",NA(),IF(D$8="",NA(),IF(N(D$8)=0,NA(),IF(Inputs!$C$17="Rebased to 100",$D2135/D$8*100,$D2135)))))</f>
        <v/>
      </c>
      <c r="K2135" s="54">
        <f>IF($B2135=0,NA(),IF($E2135="",NA(),IF(E$8="",NA(),IF(N(E$8)=0,NA(),IF(Inputs!$C$17="Rebased to 100",$E2135/E$8*100,$E2135)))))</f>
        <v/>
      </c>
      <c r="L2135" s="54">
        <f>IF($B2135=0,NA(),IF($F2135="",NA(),IF(F$8="",NA(),IF(N(F$8)=0,NA(),IF(Inputs!$C$17="Rebased to 100",$F2135/F$8*100,$F2135)))))</f>
        <v/>
      </c>
      <c r="M2135" s="54">
        <f>IF($B2135=0,NA(),IF($G2135="",NA(),IF(G$8="",NA(),IF(N(G$8)=0,NA(),IF(Inputs!$C$17="Rebased to 100",$G2135/G$8*100,$G2135)))))</f>
        <v/>
      </c>
      <c r="N2135" s="54">
        <f>IF($B2135=0,NA(),IF(Inputs!$C$18&lt;&gt;"Yes",NA(),IF(COUNT(I2135,J2135,K2135,L2135,M2135)=0,NA(),MIN(I2135,J2135,K2135,L2135,M2135))))</f>
        <v/>
      </c>
      <c r="O2135" s="54">
        <f>IF($B2135=0,NA(),IF(Inputs!$B$24&lt;&gt;"Yes",NA(),Inputs!$D$24*Inputs!$C$35))</f>
        <v/>
      </c>
      <c r="P2135" s="54">
        <f>IF($B2135=0,NA(),IF(Inputs!$B$25&lt;&gt;"Yes",NA(),Inputs!$D$25*Inputs!$C$35))</f>
        <v/>
      </c>
      <c r="Q2135" s="54">
        <f>IF($B2135=0,NA(),IF(Inputs!$B$26&lt;&gt;"Yes",NA(),Inputs!$D$26*Inputs!$C$35))</f>
        <v/>
      </c>
      <c r="R2135" s="54">
        <f>IF($B2135=0,NA(),IF(Inputs!$B$27&lt;&gt;"Yes",NA(),Inputs!$D$27*Inputs!$C$35))</f>
        <v/>
      </c>
      <c r="S2135" s="54">
        <f>IF($B2135=0,NA(),IF(Inputs!$B$28&lt;&gt;"Yes",NA(),Inputs!$D$28*Inputs!$C$35))</f>
        <v/>
      </c>
      <c r="T2135" s="54">
        <f>IF($B2135=0,NA(),IF(Inputs!$B$29&lt;&gt;"Yes",NA(),Inputs!$D$29*Inputs!$C$35))</f>
        <v/>
      </c>
      <c r="AD2135">
        <f>IF($B2135=0,0,IF(Inputs!$B$6="",0,COUNTIFS(Data!$A$10:$A$3209,"&gt;="&amp;$A2135,Data!$A$10:$A$3209,"&lt;"&amp;$A2135+1)))</f>
        <v/>
      </c>
      <c r="AE2135">
        <f>IF($B2135=0,0,IF(Inputs!$B$7="",0,COUNTIFS(Data!$E$10:$E$3209,"&gt;="&amp;$A2135,Data!$E$10:$E$3209,"&lt;"&amp;$A2135+1)))</f>
        <v/>
      </c>
      <c r="AF2135">
        <f>IF($B2135=0,0,IF(Inputs!$B$8="",0,COUNTIFS(Data!$I$10:$I$3209,"&gt;="&amp;$A2135,Data!$I$10:$I$3209,"&lt;"&amp;$A2135+1)))</f>
        <v/>
      </c>
      <c r="AG2135">
        <f>IF($B2135=0,0,IF(Inputs!$B$9="",0,COUNTIFS(Data!$M$10:$M$3209,"&gt;="&amp;$A2135,Data!$M$10:$M$3209,"&lt;"&amp;$A2135+1)))</f>
        <v/>
      </c>
      <c r="AH2135">
        <f>IF($B2135=0,0,IF(Inputs!$B$10="",0,COUNTIFS(Data!$Q$10:$Q$3209,"&gt;="&amp;$A2135,Data!$Q$10:$Q$3209,"&lt;"&amp;$A2135+1)))</f>
        <v/>
      </c>
    </row>
    <row r="2136">
      <c r="A2136" s="55">
        <f>MIN(Inputs!$C$15,$A2135+IF(WEEKDAY($A2135,2)=5,3,1))</f>
        <v/>
      </c>
      <c r="B2136">
        <f>IF($A2136&gt;$A2135,1,0)</f>
        <v/>
      </c>
      <c r="C2136" s="56">
        <f>IF($B2136=0,"",IF(Inputs!$B$6="","",IF($AD2136=0,C2135,SUMIFS(Data!$B$10:$B$3209,Data!$A$10:$A$3209,"&gt;="&amp;$A2136,Data!$A$10:$A$3209,"&lt;"&amp;$A2136+1)/$AD2136)))</f>
        <v/>
      </c>
      <c r="D2136" s="56">
        <f>IF($B2136=0,"",IF(Inputs!$B$7="","",IF($AE2136=0,D2135,SUMIFS(Data!$F$10:$F$3209,Data!$E$10:$E$3209,"&gt;="&amp;$A2136,Data!$E$10:$E$3209,"&lt;"&amp;$A2136+1)/$AE2136)))</f>
        <v/>
      </c>
      <c r="E2136" s="56">
        <f>IF($B2136=0,"",IF(Inputs!$B$8="","",IF($AF2136=0,E2135,SUMIFS(Data!$J$10:$J$3209,Data!$I$10:$I$3209,"&gt;="&amp;$A2136,Data!$I$10:$I$3209,"&lt;"&amp;$A2136+1)/$AF2136)))</f>
        <v/>
      </c>
      <c r="F2136" s="56">
        <f>IF($B2136=0,"",IF(Inputs!$B$9="","",IF($AG2136=0,F2135,SUMIFS(Data!$N$10:$N$3209,Data!$M$10:$M$3209,"&gt;="&amp;$A2136,Data!$M$10:$M$3209,"&lt;"&amp;$A2136+1)/$AG2136)))</f>
        <v/>
      </c>
      <c r="G2136" s="56">
        <f>IF($B2136=0,"",IF(Inputs!$B$10="","",IF($AH2136=0,G2135,SUMIFS(Data!$R$10:$R$3209,Data!$Q$10:$Q$3209,"&gt;="&amp;$A2136,Data!$Q$10:$Q$3209,"&lt;"&amp;$A2136+1)/$AH2136)))</f>
        <v/>
      </c>
      <c r="I2136" s="54">
        <f>IF($B2136=0,NA(),IF($C2136="",NA(),IF(C$8="",NA(),IF(N(C$8)=0,NA(),IF(Inputs!$C$17="Rebased to 100",$C2136/C$8*100,$C2136)))))</f>
        <v/>
      </c>
      <c r="J2136" s="54">
        <f>IF($B2136=0,NA(),IF($D2136="",NA(),IF(D$8="",NA(),IF(N(D$8)=0,NA(),IF(Inputs!$C$17="Rebased to 100",$D2136/D$8*100,$D2136)))))</f>
        <v/>
      </c>
      <c r="K2136" s="54">
        <f>IF($B2136=0,NA(),IF($E2136="",NA(),IF(E$8="",NA(),IF(N(E$8)=0,NA(),IF(Inputs!$C$17="Rebased to 100",$E2136/E$8*100,$E2136)))))</f>
        <v/>
      </c>
      <c r="L2136" s="54">
        <f>IF($B2136=0,NA(),IF($F2136="",NA(),IF(F$8="",NA(),IF(N(F$8)=0,NA(),IF(Inputs!$C$17="Rebased to 100",$F2136/F$8*100,$F2136)))))</f>
        <v/>
      </c>
      <c r="M2136" s="54">
        <f>IF($B2136=0,NA(),IF($G2136="",NA(),IF(G$8="",NA(),IF(N(G$8)=0,NA(),IF(Inputs!$C$17="Rebased to 100",$G2136/G$8*100,$G2136)))))</f>
        <v/>
      </c>
      <c r="N2136" s="54">
        <f>IF($B2136=0,NA(),IF(Inputs!$C$18&lt;&gt;"Yes",NA(),IF(COUNT(I2136,J2136,K2136,L2136,M2136)=0,NA(),MIN(I2136,J2136,K2136,L2136,M2136))))</f>
        <v/>
      </c>
      <c r="O2136" s="54">
        <f>IF($B2136=0,NA(),IF(Inputs!$B$24&lt;&gt;"Yes",NA(),Inputs!$D$24*Inputs!$C$35))</f>
        <v/>
      </c>
      <c r="P2136" s="54">
        <f>IF($B2136=0,NA(),IF(Inputs!$B$25&lt;&gt;"Yes",NA(),Inputs!$D$25*Inputs!$C$35))</f>
        <v/>
      </c>
      <c r="Q2136" s="54">
        <f>IF($B2136=0,NA(),IF(Inputs!$B$26&lt;&gt;"Yes",NA(),Inputs!$D$26*Inputs!$C$35))</f>
        <v/>
      </c>
      <c r="R2136" s="54">
        <f>IF($B2136=0,NA(),IF(Inputs!$B$27&lt;&gt;"Yes",NA(),Inputs!$D$27*Inputs!$C$35))</f>
        <v/>
      </c>
      <c r="S2136" s="54">
        <f>IF($B2136=0,NA(),IF(Inputs!$B$28&lt;&gt;"Yes",NA(),Inputs!$D$28*Inputs!$C$35))</f>
        <v/>
      </c>
      <c r="T2136" s="54">
        <f>IF($B2136=0,NA(),IF(Inputs!$B$29&lt;&gt;"Yes",NA(),Inputs!$D$29*Inputs!$C$35))</f>
        <v/>
      </c>
      <c r="AD2136">
        <f>IF($B2136=0,0,IF(Inputs!$B$6="",0,COUNTIFS(Data!$A$10:$A$3209,"&gt;="&amp;$A2136,Data!$A$10:$A$3209,"&lt;"&amp;$A2136+1)))</f>
        <v/>
      </c>
      <c r="AE2136">
        <f>IF($B2136=0,0,IF(Inputs!$B$7="",0,COUNTIFS(Data!$E$10:$E$3209,"&gt;="&amp;$A2136,Data!$E$10:$E$3209,"&lt;"&amp;$A2136+1)))</f>
        <v/>
      </c>
      <c r="AF2136">
        <f>IF($B2136=0,0,IF(Inputs!$B$8="",0,COUNTIFS(Data!$I$10:$I$3209,"&gt;="&amp;$A2136,Data!$I$10:$I$3209,"&lt;"&amp;$A2136+1)))</f>
        <v/>
      </c>
      <c r="AG2136">
        <f>IF($B2136=0,0,IF(Inputs!$B$9="",0,COUNTIFS(Data!$M$10:$M$3209,"&gt;="&amp;$A2136,Data!$M$10:$M$3209,"&lt;"&amp;$A2136+1)))</f>
        <v/>
      </c>
      <c r="AH2136">
        <f>IF($B2136=0,0,IF(Inputs!$B$10="",0,COUNTIFS(Data!$Q$10:$Q$3209,"&gt;="&amp;$A2136,Data!$Q$10:$Q$3209,"&lt;"&amp;$A2136+1)))</f>
        <v/>
      </c>
    </row>
    <row r="2137">
      <c r="A2137" s="55">
        <f>MIN(Inputs!$C$15,$A2136+IF(WEEKDAY($A2136,2)=5,3,1))</f>
        <v/>
      </c>
      <c r="B2137">
        <f>IF($A2137&gt;$A2136,1,0)</f>
        <v/>
      </c>
      <c r="C2137" s="56">
        <f>IF($B2137=0,"",IF(Inputs!$B$6="","",IF($AD2137=0,C2136,SUMIFS(Data!$B$10:$B$3209,Data!$A$10:$A$3209,"&gt;="&amp;$A2137,Data!$A$10:$A$3209,"&lt;"&amp;$A2137+1)/$AD2137)))</f>
        <v/>
      </c>
      <c r="D2137" s="56">
        <f>IF($B2137=0,"",IF(Inputs!$B$7="","",IF($AE2137=0,D2136,SUMIFS(Data!$F$10:$F$3209,Data!$E$10:$E$3209,"&gt;="&amp;$A2137,Data!$E$10:$E$3209,"&lt;"&amp;$A2137+1)/$AE2137)))</f>
        <v/>
      </c>
      <c r="E2137" s="56">
        <f>IF($B2137=0,"",IF(Inputs!$B$8="","",IF($AF2137=0,E2136,SUMIFS(Data!$J$10:$J$3209,Data!$I$10:$I$3209,"&gt;="&amp;$A2137,Data!$I$10:$I$3209,"&lt;"&amp;$A2137+1)/$AF2137)))</f>
        <v/>
      </c>
      <c r="F2137" s="56">
        <f>IF($B2137=0,"",IF(Inputs!$B$9="","",IF($AG2137=0,F2136,SUMIFS(Data!$N$10:$N$3209,Data!$M$10:$M$3209,"&gt;="&amp;$A2137,Data!$M$10:$M$3209,"&lt;"&amp;$A2137+1)/$AG2137)))</f>
        <v/>
      </c>
      <c r="G2137" s="56">
        <f>IF($B2137=0,"",IF(Inputs!$B$10="","",IF($AH2137=0,G2136,SUMIFS(Data!$R$10:$R$3209,Data!$Q$10:$Q$3209,"&gt;="&amp;$A2137,Data!$Q$10:$Q$3209,"&lt;"&amp;$A2137+1)/$AH2137)))</f>
        <v/>
      </c>
      <c r="I2137" s="54">
        <f>IF($B2137=0,NA(),IF($C2137="",NA(),IF(C$8="",NA(),IF(N(C$8)=0,NA(),IF(Inputs!$C$17="Rebased to 100",$C2137/C$8*100,$C2137)))))</f>
        <v/>
      </c>
      <c r="J2137" s="54">
        <f>IF($B2137=0,NA(),IF($D2137="",NA(),IF(D$8="",NA(),IF(N(D$8)=0,NA(),IF(Inputs!$C$17="Rebased to 100",$D2137/D$8*100,$D2137)))))</f>
        <v/>
      </c>
      <c r="K2137" s="54">
        <f>IF($B2137=0,NA(),IF($E2137="",NA(),IF(E$8="",NA(),IF(N(E$8)=0,NA(),IF(Inputs!$C$17="Rebased to 100",$E2137/E$8*100,$E2137)))))</f>
        <v/>
      </c>
      <c r="L2137" s="54">
        <f>IF($B2137=0,NA(),IF($F2137="",NA(),IF(F$8="",NA(),IF(N(F$8)=0,NA(),IF(Inputs!$C$17="Rebased to 100",$F2137/F$8*100,$F2137)))))</f>
        <v/>
      </c>
      <c r="M2137" s="54">
        <f>IF($B2137=0,NA(),IF($G2137="",NA(),IF(G$8="",NA(),IF(N(G$8)=0,NA(),IF(Inputs!$C$17="Rebased to 100",$G2137/G$8*100,$G2137)))))</f>
        <v/>
      </c>
      <c r="N2137" s="54">
        <f>IF($B2137=0,NA(),IF(Inputs!$C$18&lt;&gt;"Yes",NA(),IF(COUNT(I2137,J2137,K2137,L2137,M2137)=0,NA(),MIN(I2137,J2137,K2137,L2137,M2137))))</f>
        <v/>
      </c>
      <c r="O2137" s="54">
        <f>IF($B2137=0,NA(),IF(Inputs!$B$24&lt;&gt;"Yes",NA(),Inputs!$D$24*Inputs!$C$35))</f>
        <v/>
      </c>
      <c r="P2137" s="54">
        <f>IF($B2137=0,NA(),IF(Inputs!$B$25&lt;&gt;"Yes",NA(),Inputs!$D$25*Inputs!$C$35))</f>
        <v/>
      </c>
      <c r="Q2137" s="54">
        <f>IF($B2137=0,NA(),IF(Inputs!$B$26&lt;&gt;"Yes",NA(),Inputs!$D$26*Inputs!$C$35))</f>
        <v/>
      </c>
      <c r="R2137" s="54">
        <f>IF($B2137=0,NA(),IF(Inputs!$B$27&lt;&gt;"Yes",NA(),Inputs!$D$27*Inputs!$C$35))</f>
        <v/>
      </c>
      <c r="S2137" s="54">
        <f>IF($B2137=0,NA(),IF(Inputs!$B$28&lt;&gt;"Yes",NA(),Inputs!$D$28*Inputs!$C$35))</f>
        <v/>
      </c>
      <c r="T2137" s="54">
        <f>IF($B2137=0,NA(),IF(Inputs!$B$29&lt;&gt;"Yes",NA(),Inputs!$D$29*Inputs!$C$35))</f>
        <v/>
      </c>
      <c r="AD2137">
        <f>IF($B2137=0,0,IF(Inputs!$B$6="",0,COUNTIFS(Data!$A$10:$A$3209,"&gt;="&amp;$A2137,Data!$A$10:$A$3209,"&lt;"&amp;$A2137+1)))</f>
        <v/>
      </c>
      <c r="AE2137">
        <f>IF($B2137=0,0,IF(Inputs!$B$7="",0,COUNTIFS(Data!$E$10:$E$3209,"&gt;="&amp;$A2137,Data!$E$10:$E$3209,"&lt;"&amp;$A2137+1)))</f>
        <v/>
      </c>
      <c r="AF2137">
        <f>IF($B2137=0,0,IF(Inputs!$B$8="",0,COUNTIFS(Data!$I$10:$I$3209,"&gt;="&amp;$A2137,Data!$I$10:$I$3209,"&lt;"&amp;$A2137+1)))</f>
        <v/>
      </c>
      <c r="AG2137">
        <f>IF($B2137=0,0,IF(Inputs!$B$9="",0,COUNTIFS(Data!$M$10:$M$3209,"&gt;="&amp;$A2137,Data!$M$10:$M$3209,"&lt;"&amp;$A2137+1)))</f>
        <v/>
      </c>
      <c r="AH2137">
        <f>IF($B2137=0,0,IF(Inputs!$B$10="",0,COUNTIFS(Data!$Q$10:$Q$3209,"&gt;="&amp;$A2137,Data!$Q$10:$Q$3209,"&lt;"&amp;$A2137+1)))</f>
        <v/>
      </c>
    </row>
    <row r="2138">
      <c r="A2138" s="55">
        <f>MIN(Inputs!$C$15,$A2137+IF(WEEKDAY($A2137,2)=5,3,1))</f>
        <v/>
      </c>
      <c r="B2138">
        <f>IF($A2138&gt;$A2137,1,0)</f>
        <v/>
      </c>
      <c r="C2138" s="56">
        <f>IF($B2138=0,"",IF(Inputs!$B$6="","",IF($AD2138=0,C2137,SUMIFS(Data!$B$10:$B$3209,Data!$A$10:$A$3209,"&gt;="&amp;$A2138,Data!$A$10:$A$3209,"&lt;"&amp;$A2138+1)/$AD2138)))</f>
        <v/>
      </c>
      <c r="D2138" s="56">
        <f>IF($B2138=0,"",IF(Inputs!$B$7="","",IF($AE2138=0,D2137,SUMIFS(Data!$F$10:$F$3209,Data!$E$10:$E$3209,"&gt;="&amp;$A2138,Data!$E$10:$E$3209,"&lt;"&amp;$A2138+1)/$AE2138)))</f>
        <v/>
      </c>
      <c r="E2138" s="56">
        <f>IF($B2138=0,"",IF(Inputs!$B$8="","",IF($AF2138=0,E2137,SUMIFS(Data!$J$10:$J$3209,Data!$I$10:$I$3209,"&gt;="&amp;$A2138,Data!$I$10:$I$3209,"&lt;"&amp;$A2138+1)/$AF2138)))</f>
        <v/>
      </c>
      <c r="F2138" s="56">
        <f>IF($B2138=0,"",IF(Inputs!$B$9="","",IF($AG2138=0,F2137,SUMIFS(Data!$N$10:$N$3209,Data!$M$10:$M$3209,"&gt;="&amp;$A2138,Data!$M$10:$M$3209,"&lt;"&amp;$A2138+1)/$AG2138)))</f>
        <v/>
      </c>
      <c r="G2138" s="56">
        <f>IF($B2138=0,"",IF(Inputs!$B$10="","",IF($AH2138=0,G2137,SUMIFS(Data!$R$10:$R$3209,Data!$Q$10:$Q$3209,"&gt;="&amp;$A2138,Data!$Q$10:$Q$3209,"&lt;"&amp;$A2138+1)/$AH2138)))</f>
        <v/>
      </c>
      <c r="I2138" s="54">
        <f>IF($B2138=0,NA(),IF($C2138="",NA(),IF(C$8="",NA(),IF(N(C$8)=0,NA(),IF(Inputs!$C$17="Rebased to 100",$C2138/C$8*100,$C2138)))))</f>
        <v/>
      </c>
      <c r="J2138" s="54">
        <f>IF($B2138=0,NA(),IF($D2138="",NA(),IF(D$8="",NA(),IF(N(D$8)=0,NA(),IF(Inputs!$C$17="Rebased to 100",$D2138/D$8*100,$D2138)))))</f>
        <v/>
      </c>
      <c r="K2138" s="54">
        <f>IF($B2138=0,NA(),IF($E2138="",NA(),IF(E$8="",NA(),IF(N(E$8)=0,NA(),IF(Inputs!$C$17="Rebased to 100",$E2138/E$8*100,$E2138)))))</f>
        <v/>
      </c>
      <c r="L2138" s="54">
        <f>IF($B2138=0,NA(),IF($F2138="",NA(),IF(F$8="",NA(),IF(N(F$8)=0,NA(),IF(Inputs!$C$17="Rebased to 100",$F2138/F$8*100,$F2138)))))</f>
        <v/>
      </c>
      <c r="M2138" s="54">
        <f>IF($B2138=0,NA(),IF($G2138="",NA(),IF(G$8="",NA(),IF(N(G$8)=0,NA(),IF(Inputs!$C$17="Rebased to 100",$G2138/G$8*100,$G2138)))))</f>
        <v/>
      </c>
      <c r="N2138" s="54">
        <f>IF($B2138=0,NA(),IF(Inputs!$C$18&lt;&gt;"Yes",NA(),IF(COUNT(I2138,J2138,K2138,L2138,M2138)=0,NA(),MIN(I2138,J2138,K2138,L2138,M2138))))</f>
        <v/>
      </c>
      <c r="O2138" s="54">
        <f>IF($B2138=0,NA(),IF(Inputs!$B$24&lt;&gt;"Yes",NA(),Inputs!$D$24*Inputs!$C$35))</f>
        <v/>
      </c>
      <c r="P2138" s="54">
        <f>IF($B2138=0,NA(),IF(Inputs!$B$25&lt;&gt;"Yes",NA(),Inputs!$D$25*Inputs!$C$35))</f>
        <v/>
      </c>
      <c r="Q2138" s="54">
        <f>IF($B2138=0,NA(),IF(Inputs!$B$26&lt;&gt;"Yes",NA(),Inputs!$D$26*Inputs!$C$35))</f>
        <v/>
      </c>
      <c r="R2138" s="54">
        <f>IF($B2138=0,NA(),IF(Inputs!$B$27&lt;&gt;"Yes",NA(),Inputs!$D$27*Inputs!$C$35))</f>
        <v/>
      </c>
      <c r="S2138" s="54">
        <f>IF($B2138=0,NA(),IF(Inputs!$B$28&lt;&gt;"Yes",NA(),Inputs!$D$28*Inputs!$C$35))</f>
        <v/>
      </c>
      <c r="T2138" s="54">
        <f>IF($B2138=0,NA(),IF(Inputs!$B$29&lt;&gt;"Yes",NA(),Inputs!$D$29*Inputs!$C$35))</f>
        <v/>
      </c>
      <c r="AD2138">
        <f>IF($B2138=0,0,IF(Inputs!$B$6="",0,COUNTIFS(Data!$A$10:$A$3209,"&gt;="&amp;$A2138,Data!$A$10:$A$3209,"&lt;"&amp;$A2138+1)))</f>
        <v/>
      </c>
      <c r="AE2138">
        <f>IF($B2138=0,0,IF(Inputs!$B$7="",0,COUNTIFS(Data!$E$10:$E$3209,"&gt;="&amp;$A2138,Data!$E$10:$E$3209,"&lt;"&amp;$A2138+1)))</f>
        <v/>
      </c>
      <c r="AF2138">
        <f>IF($B2138=0,0,IF(Inputs!$B$8="",0,COUNTIFS(Data!$I$10:$I$3209,"&gt;="&amp;$A2138,Data!$I$10:$I$3209,"&lt;"&amp;$A2138+1)))</f>
        <v/>
      </c>
      <c r="AG2138">
        <f>IF($B2138=0,0,IF(Inputs!$B$9="",0,COUNTIFS(Data!$M$10:$M$3209,"&gt;="&amp;$A2138,Data!$M$10:$M$3209,"&lt;"&amp;$A2138+1)))</f>
        <v/>
      </c>
      <c r="AH2138">
        <f>IF($B2138=0,0,IF(Inputs!$B$10="",0,COUNTIFS(Data!$Q$10:$Q$3209,"&gt;="&amp;$A2138,Data!$Q$10:$Q$3209,"&lt;"&amp;$A2138+1)))</f>
        <v/>
      </c>
    </row>
    <row r="2139">
      <c r="A2139" s="55">
        <f>MIN(Inputs!$C$15,$A2138+IF(WEEKDAY($A2138,2)=5,3,1))</f>
        <v/>
      </c>
      <c r="B2139">
        <f>IF($A2139&gt;$A2138,1,0)</f>
        <v/>
      </c>
      <c r="C2139" s="56">
        <f>IF($B2139=0,"",IF(Inputs!$B$6="","",IF($AD2139=0,C2138,SUMIFS(Data!$B$10:$B$3209,Data!$A$10:$A$3209,"&gt;="&amp;$A2139,Data!$A$10:$A$3209,"&lt;"&amp;$A2139+1)/$AD2139)))</f>
        <v/>
      </c>
      <c r="D2139" s="56">
        <f>IF($B2139=0,"",IF(Inputs!$B$7="","",IF($AE2139=0,D2138,SUMIFS(Data!$F$10:$F$3209,Data!$E$10:$E$3209,"&gt;="&amp;$A2139,Data!$E$10:$E$3209,"&lt;"&amp;$A2139+1)/$AE2139)))</f>
        <v/>
      </c>
      <c r="E2139" s="56">
        <f>IF($B2139=0,"",IF(Inputs!$B$8="","",IF($AF2139=0,E2138,SUMIFS(Data!$J$10:$J$3209,Data!$I$10:$I$3209,"&gt;="&amp;$A2139,Data!$I$10:$I$3209,"&lt;"&amp;$A2139+1)/$AF2139)))</f>
        <v/>
      </c>
      <c r="F2139" s="56">
        <f>IF($B2139=0,"",IF(Inputs!$B$9="","",IF($AG2139=0,F2138,SUMIFS(Data!$N$10:$N$3209,Data!$M$10:$M$3209,"&gt;="&amp;$A2139,Data!$M$10:$M$3209,"&lt;"&amp;$A2139+1)/$AG2139)))</f>
        <v/>
      </c>
      <c r="G2139" s="56">
        <f>IF($B2139=0,"",IF(Inputs!$B$10="","",IF($AH2139=0,G2138,SUMIFS(Data!$R$10:$R$3209,Data!$Q$10:$Q$3209,"&gt;="&amp;$A2139,Data!$Q$10:$Q$3209,"&lt;"&amp;$A2139+1)/$AH2139)))</f>
        <v/>
      </c>
      <c r="I2139" s="54">
        <f>IF($B2139=0,NA(),IF($C2139="",NA(),IF(C$8="",NA(),IF(N(C$8)=0,NA(),IF(Inputs!$C$17="Rebased to 100",$C2139/C$8*100,$C2139)))))</f>
        <v/>
      </c>
      <c r="J2139" s="54">
        <f>IF($B2139=0,NA(),IF($D2139="",NA(),IF(D$8="",NA(),IF(N(D$8)=0,NA(),IF(Inputs!$C$17="Rebased to 100",$D2139/D$8*100,$D2139)))))</f>
        <v/>
      </c>
      <c r="K2139" s="54">
        <f>IF($B2139=0,NA(),IF($E2139="",NA(),IF(E$8="",NA(),IF(N(E$8)=0,NA(),IF(Inputs!$C$17="Rebased to 100",$E2139/E$8*100,$E2139)))))</f>
        <v/>
      </c>
      <c r="L2139" s="54">
        <f>IF($B2139=0,NA(),IF($F2139="",NA(),IF(F$8="",NA(),IF(N(F$8)=0,NA(),IF(Inputs!$C$17="Rebased to 100",$F2139/F$8*100,$F2139)))))</f>
        <v/>
      </c>
      <c r="M2139" s="54">
        <f>IF($B2139=0,NA(),IF($G2139="",NA(),IF(G$8="",NA(),IF(N(G$8)=0,NA(),IF(Inputs!$C$17="Rebased to 100",$G2139/G$8*100,$G2139)))))</f>
        <v/>
      </c>
      <c r="N2139" s="54">
        <f>IF($B2139=0,NA(),IF(Inputs!$C$18&lt;&gt;"Yes",NA(),IF(COUNT(I2139,J2139,K2139,L2139,M2139)=0,NA(),MIN(I2139,J2139,K2139,L2139,M2139))))</f>
        <v/>
      </c>
      <c r="O2139" s="54">
        <f>IF($B2139=0,NA(),IF(Inputs!$B$24&lt;&gt;"Yes",NA(),Inputs!$D$24*Inputs!$C$35))</f>
        <v/>
      </c>
      <c r="P2139" s="54">
        <f>IF($B2139=0,NA(),IF(Inputs!$B$25&lt;&gt;"Yes",NA(),Inputs!$D$25*Inputs!$C$35))</f>
        <v/>
      </c>
      <c r="Q2139" s="54">
        <f>IF($B2139=0,NA(),IF(Inputs!$B$26&lt;&gt;"Yes",NA(),Inputs!$D$26*Inputs!$C$35))</f>
        <v/>
      </c>
      <c r="R2139" s="54">
        <f>IF($B2139=0,NA(),IF(Inputs!$B$27&lt;&gt;"Yes",NA(),Inputs!$D$27*Inputs!$C$35))</f>
        <v/>
      </c>
      <c r="S2139" s="54">
        <f>IF($B2139=0,NA(),IF(Inputs!$B$28&lt;&gt;"Yes",NA(),Inputs!$D$28*Inputs!$C$35))</f>
        <v/>
      </c>
      <c r="T2139" s="54">
        <f>IF($B2139=0,NA(),IF(Inputs!$B$29&lt;&gt;"Yes",NA(),Inputs!$D$29*Inputs!$C$35))</f>
        <v/>
      </c>
      <c r="AD2139">
        <f>IF($B2139=0,0,IF(Inputs!$B$6="",0,COUNTIFS(Data!$A$10:$A$3209,"&gt;="&amp;$A2139,Data!$A$10:$A$3209,"&lt;"&amp;$A2139+1)))</f>
        <v/>
      </c>
      <c r="AE2139">
        <f>IF($B2139=0,0,IF(Inputs!$B$7="",0,COUNTIFS(Data!$E$10:$E$3209,"&gt;="&amp;$A2139,Data!$E$10:$E$3209,"&lt;"&amp;$A2139+1)))</f>
        <v/>
      </c>
      <c r="AF2139">
        <f>IF($B2139=0,0,IF(Inputs!$B$8="",0,COUNTIFS(Data!$I$10:$I$3209,"&gt;="&amp;$A2139,Data!$I$10:$I$3209,"&lt;"&amp;$A2139+1)))</f>
        <v/>
      </c>
      <c r="AG2139">
        <f>IF($B2139=0,0,IF(Inputs!$B$9="",0,COUNTIFS(Data!$M$10:$M$3209,"&gt;="&amp;$A2139,Data!$M$10:$M$3209,"&lt;"&amp;$A2139+1)))</f>
        <v/>
      </c>
      <c r="AH2139">
        <f>IF($B2139=0,0,IF(Inputs!$B$10="",0,COUNTIFS(Data!$Q$10:$Q$3209,"&gt;="&amp;$A2139,Data!$Q$10:$Q$3209,"&lt;"&amp;$A2139+1)))</f>
        <v/>
      </c>
    </row>
    <row r="2140">
      <c r="A2140" s="55">
        <f>MIN(Inputs!$C$15,$A2139+IF(WEEKDAY($A2139,2)=5,3,1))</f>
        <v/>
      </c>
      <c r="B2140">
        <f>IF($A2140&gt;$A2139,1,0)</f>
        <v/>
      </c>
      <c r="C2140" s="56">
        <f>IF($B2140=0,"",IF(Inputs!$B$6="","",IF($AD2140=0,C2139,SUMIFS(Data!$B$10:$B$3209,Data!$A$10:$A$3209,"&gt;="&amp;$A2140,Data!$A$10:$A$3209,"&lt;"&amp;$A2140+1)/$AD2140)))</f>
        <v/>
      </c>
      <c r="D2140" s="56">
        <f>IF($B2140=0,"",IF(Inputs!$B$7="","",IF($AE2140=0,D2139,SUMIFS(Data!$F$10:$F$3209,Data!$E$10:$E$3209,"&gt;="&amp;$A2140,Data!$E$10:$E$3209,"&lt;"&amp;$A2140+1)/$AE2140)))</f>
        <v/>
      </c>
      <c r="E2140" s="56">
        <f>IF($B2140=0,"",IF(Inputs!$B$8="","",IF($AF2140=0,E2139,SUMIFS(Data!$J$10:$J$3209,Data!$I$10:$I$3209,"&gt;="&amp;$A2140,Data!$I$10:$I$3209,"&lt;"&amp;$A2140+1)/$AF2140)))</f>
        <v/>
      </c>
      <c r="F2140" s="56">
        <f>IF($B2140=0,"",IF(Inputs!$B$9="","",IF($AG2140=0,F2139,SUMIFS(Data!$N$10:$N$3209,Data!$M$10:$M$3209,"&gt;="&amp;$A2140,Data!$M$10:$M$3209,"&lt;"&amp;$A2140+1)/$AG2140)))</f>
        <v/>
      </c>
      <c r="G2140" s="56">
        <f>IF($B2140=0,"",IF(Inputs!$B$10="","",IF($AH2140=0,G2139,SUMIFS(Data!$R$10:$R$3209,Data!$Q$10:$Q$3209,"&gt;="&amp;$A2140,Data!$Q$10:$Q$3209,"&lt;"&amp;$A2140+1)/$AH2140)))</f>
        <v/>
      </c>
      <c r="I2140" s="54">
        <f>IF($B2140=0,NA(),IF($C2140="",NA(),IF(C$8="",NA(),IF(N(C$8)=0,NA(),IF(Inputs!$C$17="Rebased to 100",$C2140/C$8*100,$C2140)))))</f>
        <v/>
      </c>
      <c r="J2140" s="54">
        <f>IF($B2140=0,NA(),IF($D2140="",NA(),IF(D$8="",NA(),IF(N(D$8)=0,NA(),IF(Inputs!$C$17="Rebased to 100",$D2140/D$8*100,$D2140)))))</f>
        <v/>
      </c>
      <c r="K2140" s="54">
        <f>IF($B2140=0,NA(),IF($E2140="",NA(),IF(E$8="",NA(),IF(N(E$8)=0,NA(),IF(Inputs!$C$17="Rebased to 100",$E2140/E$8*100,$E2140)))))</f>
        <v/>
      </c>
      <c r="L2140" s="54">
        <f>IF($B2140=0,NA(),IF($F2140="",NA(),IF(F$8="",NA(),IF(N(F$8)=0,NA(),IF(Inputs!$C$17="Rebased to 100",$F2140/F$8*100,$F2140)))))</f>
        <v/>
      </c>
      <c r="M2140" s="54">
        <f>IF($B2140=0,NA(),IF($G2140="",NA(),IF(G$8="",NA(),IF(N(G$8)=0,NA(),IF(Inputs!$C$17="Rebased to 100",$G2140/G$8*100,$G2140)))))</f>
        <v/>
      </c>
      <c r="N2140" s="54">
        <f>IF($B2140=0,NA(),IF(Inputs!$C$18&lt;&gt;"Yes",NA(),IF(COUNT(I2140,J2140,K2140,L2140,M2140)=0,NA(),MIN(I2140,J2140,K2140,L2140,M2140))))</f>
        <v/>
      </c>
      <c r="O2140" s="54">
        <f>IF($B2140=0,NA(),IF(Inputs!$B$24&lt;&gt;"Yes",NA(),Inputs!$D$24*Inputs!$C$35))</f>
        <v/>
      </c>
      <c r="P2140" s="54">
        <f>IF($B2140=0,NA(),IF(Inputs!$B$25&lt;&gt;"Yes",NA(),Inputs!$D$25*Inputs!$C$35))</f>
        <v/>
      </c>
      <c r="Q2140" s="54">
        <f>IF($B2140=0,NA(),IF(Inputs!$B$26&lt;&gt;"Yes",NA(),Inputs!$D$26*Inputs!$C$35))</f>
        <v/>
      </c>
      <c r="R2140" s="54">
        <f>IF($B2140=0,NA(),IF(Inputs!$B$27&lt;&gt;"Yes",NA(),Inputs!$D$27*Inputs!$C$35))</f>
        <v/>
      </c>
      <c r="S2140" s="54">
        <f>IF($B2140=0,NA(),IF(Inputs!$B$28&lt;&gt;"Yes",NA(),Inputs!$D$28*Inputs!$C$35))</f>
        <v/>
      </c>
      <c r="T2140" s="54">
        <f>IF($B2140=0,NA(),IF(Inputs!$B$29&lt;&gt;"Yes",NA(),Inputs!$D$29*Inputs!$C$35))</f>
        <v/>
      </c>
      <c r="AD2140">
        <f>IF($B2140=0,0,IF(Inputs!$B$6="",0,COUNTIFS(Data!$A$10:$A$3209,"&gt;="&amp;$A2140,Data!$A$10:$A$3209,"&lt;"&amp;$A2140+1)))</f>
        <v/>
      </c>
      <c r="AE2140">
        <f>IF($B2140=0,0,IF(Inputs!$B$7="",0,COUNTIFS(Data!$E$10:$E$3209,"&gt;="&amp;$A2140,Data!$E$10:$E$3209,"&lt;"&amp;$A2140+1)))</f>
        <v/>
      </c>
      <c r="AF2140">
        <f>IF($B2140=0,0,IF(Inputs!$B$8="",0,COUNTIFS(Data!$I$10:$I$3209,"&gt;="&amp;$A2140,Data!$I$10:$I$3209,"&lt;"&amp;$A2140+1)))</f>
        <v/>
      </c>
      <c r="AG2140">
        <f>IF($B2140=0,0,IF(Inputs!$B$9="",0,COUNTIFS(Data!$M$10:$M$3209,"&gt;="&amp;$A2140,Data!$M$10:$M$3209,"&lt;"&amp;$A2140+1)))</f>
        <v/>
      </c>
      <c r="AH2140">
        <f>IF($B2140=0,0,IF(Inputs!$B$10="",0,COUNTIFS(Data!$Q$10:$Q$3209,"&gt;="&amp;$A2140,Data!$Q$10:$Q$3209,"&lt;"&amp;$A2140+1)))</f>
        <v/>
      </c>
    </row>
    <row r="2141">
      <c r="A2141" s="55">
        <f>MIN(Inputs!$C$15,$A2140+IF(WEEKDAY($A2140,2)=5,3,1))</f>
        <v/>
      </c>
      <c r="B2141">
        <f>IF($A2141&gt;$A2140,1,0)</f>
        <v/>
      </c>
      <c r="C2141" s="56">
        <f>IF($B2141=0,"",IF(Inputs!$B$6="","",IF($AD2141=0,C2140,SUMIFS(Data!$B$10:$B$3209,Data!$A$10:$A$3209,"&gt;="&amp;$A2141,Data!$A$10:$A$3209,"&lt;"&amp;$A2141+1)/$AD2141)))</f>
        <v/>
      </c>
      <c r="D2141" s="56">
        <f>IF($B2141=0,"",IF(Inputs!$B$7="","",IF($AE2141=0,D2140,SUMIFS(Data!$F$10:$F$3209,Data!$E$10:$E$3209,"&gt;="&amp;$A2141,Data!$E$10:$E$3209,"&lt;"&amp;$A2141+1)/$AE2141)))</f>
        <v/>
      </c>
      <c r="E2141" s="56">
        <f>IF($B2141=0,"",IF(Inputs!$B$8="","",IF($AF2141=0,E2140,SUMIFS(Data!$J$10:$J$3209,Data!$I$10:$I$3209,"&gt;="&amp;$A2141,Data!$I$10:$I$3209,"&lt;"&amp;$A2141+1)/$AF2141)))</f>
        <v/>
      </c>
      <c r="F2141" s="56">
        <f>IF($B2141=0,"",IF(Inputs!$B$9="","",IF($AG2141=0,F2140,SUMIFS(Data!$N$10:$N$3209,Data!$M$10:$M$3209,"&gt;="&amp;$A2141,Data!$M$10:$M$3209,"&lt;"&amp;$A2141+1)/$AG2141)))</f>
        <v/>
      </c>
      <c r="G2141" s="56">
        <f>IF($B2141=0,"",IF(Inputs!$B$10="","",IF($AH2141=0,G2140,SUMIFS(Data!$R$10:$R$3209,Data!$Q$10:$Q$3209,"&gt;="&amp;$A2141,Data!$Q$10:$Q$3209,"&lt;"&amp;$A2141+1)/$AH2141)))</f>
        <v/>
      </c>
      <c r="I2141" s="54">
        <f>IF($B2141=0,NA(),IF($C2141="",NA(),IF(C$8="",NA(),IF(N(C$8)=0,NA(),IF(Inputs!$C$17="Rebased to 100",$C2141/C$8*100,$C2141)))))</f>
        <v/>
      </c>
      <c r="J2141" s="54">
        <f>IF($B2141=0,NA(),IF($D2141="",NA(),IF(D$8="",NA(),IF(N(D$8)=0,NA(),IF(Inputs!$C$17="Rebased to 100",$D2141/D$8*100,$D2141)))))</f>
        <v/>
      </c>
      <c r="K2141" s="54">
        <f>IF($B2141=0,NA(),IF($E2141="",NA(),IF(E$8="",NA(),IF(N(E$8)=0,NA(),IF(Inputs!$C$17="Rebased to 100",$E2141/E$8*100,$E2141)))))</f>
        <v/>
      </c>
      <c r="L2141" s="54">
        <f>IF($B2141=0,NA(),IF($F2141="",NA(),IF(F$8="",NA(),IF(N(F$8)=0,NA(),IF(Inputs!$C$17="Rebased to 100",$F2141/F$8*100,$F2141)))))</f>
        <v/>
      </c>
      <c r="M2141" s="54">
        <f>IF($B2141=0,NA(),IF($G2141="",NA(),IF(G$8="",NA(),IF(N(G$8)=0,NA(),IF(Inputs!$C$17="Rebased to 100",$G2141/G$8*100,$G2141)))))</f>
        <v/>
      </c>
      <c r="N2141" s="54">
        <f>IF($B2141=0,NA(),IF(Inputs!$C$18&lt;&gt;"Yes",NA(),IF(COUNT(I2141,J2141,K2141,L2141,M2141)=0,NA(),MIN(I2141,J2141,K2141,L2141,M2141))))</f>
        <v/>
      </c>
      <c r="O2141" s="54">
        <f>IF($B2141=0,NA(),IF(Inputs!$B$24&lt;&gt;"Yes",NA(),Inputs!$D$24*Inputs!$C$35))</f>
        <v/>
      </c>
      <c r="P2141" s="54">
        <f>IF($B2141=0,NA(),IF(Inputs!$B$25&lt;&gt;"Yes",NA(),Inputs!$D$25*Inputs!$C$35))</f>
        <v/>
      </c>
      <c r="Q2141" s="54">
        <f>IF($B2141=0,NA(),IF(Inputs!$B$26&lt;&gt;"Yes",NA(),Inputs!$D$26*Inputs!$C$35))</f>
        <v/>
      </c>
      <c r="R2141" s="54">
        <f>IF($B2141=0,NA(),IF(Inputs!$B$27&lt;&gt;"Yes",NA(),Inputs!$D$27*Inputs!$C$35))</f>
        <v/>
      </c>
      <c r="S2141" s="54">
        <f>IF($B2141=0,NA(),IF(Inputs!$B$28&lt;&gt;"Yes",NA(),Inputs!$D$28*Inputs!$C$35))</f>
        <v/>
      </c>
      <c r="T2141" s="54">
        <f>IF($B2141=0,NA(),IF(Inputs!$B$29&lt;&gt;"Yes",NA(),Inputs!$D$29*Inputs!$C$35))</f>
        <v/>
      </c>
      <c r="AD2141">
        <f>IF($B2141=0,0,IF(Inputs!$B$6="",0,COUNTIFS(Data!$A$10:$A$3209,"&gt;="&amp;$A2141,Data!$A$10:$A$3209,"&lt;"&amp;$A2141+1)))</f>
        <v/>
      </c>
      <c r="AE2141">
        <f>IF($B2141=0,0,IF(Inputs!$B$7="",0,COUNTIFS(Data!$E$10:$E$3209,"&gt;="&amp;$A2141,Data!$E$10:$E$3209,"&lt;"&amp;$A2141+1)))</f>
        <v/>
      </c>
      <c r="AF2141">
        <f>IF($B2141=0,0,IF(Inputs!$B$8="",0,COUNTIFS(Data!$I$10:$I$3209,"&gt;="&amp;$A2141,Data!$I$10:$I$3209,"&lt;"&amp;$A2141+1)))</f>
        <v/>
      </c>
      <c r="AG2141">
        <f>IF($B2141=0,0,IF(Inputs!$B$9="",0,COUNTIFS(Data!$M$10:$M$3209,"&gt;="&amp;$A2141,Data!$M$10:$M$3209,"&lt;"&amp;$A2141+1)))</f>
        <v/>
      </c>
      <c r="AH2141">
        <f>IF($B2141=0,0,IF(Inputs!$B$10="",0,COUNTIFS(Data!$Q$10:$Q$3209,"&gt;="&amp;$A2141,Data!$Q$10:$Q$3209,"&lt;"&amp;$A2141+1)))</f>
        <v/>
      </c>
    </row>
    <row r="2142">
      <c r="A2142" s="55">
        <f>MIN(Inputs!$C$15,$A2141+IF(WEEKDAY($A2141,2)=5,3,1))</f>
        <v/>
      </c>
      <c r="B2142">
        <f>IF($A2142&gt;$A2141,1,0)</f>
        <v/>
      </c>
      <c r="C2142" s="56">
        <f>IF($B2142=0,"",IF(Inputs!$B$6="","",IF($AD2142=0,C2141,SUMIFS(Data!$B$10:$B$3209,Data!$A$10:$A$3209,"&gt;="&amp;$A2142,Data!$A$10:$A$3209,"&lt;"&amp;$A2142+1)/$AD2142)))</f>
        <v/>
      </c>
      <c r="D2142" s="56">
        <f>IF($B2142=0,"",IF(Inputs!$B$7="","",IF($AE2142=0,D2141,SUMIFS(Data!$F$10:$F$3209,Data!$E$10:$E$3209,"&gt;="&amp;$A2142,Data!$E$10:$E$3209,"&lt;"&amp;$A2142+1)/$AE2142)))</f>
        <v/>
      </c>
      <c r="E2142" s="56">
        <f>IF($B2142=0,"",IF(Inputs!$B$8="","",IF($AF2142=0,E2141,SUMIFS(Data!$J$10:$J$3209,Data!$I$10:$I$3209,"&gt;="&amp;$A2142,Data!$I$10:$I$3209,"&lt;"&amp;$A2142+1)/$AF2142)))</f>
        <v/>
      </c>
      <c r="F2142" s="56">
        <f>IF($B2142=0,"",IF(Inputs!$B$9="","",IF($AG2142=0,F2141,SUMIFS(Data!$N$10:$N$3209,Data!$M$10:$M$3209,"&gt;="&amp;$A2142,Data!$M$10:$M$3209,"&lt;"&amp;$A2142+1)/$AG2142)))</f>
        <v/>
      </c>
      <c r="G2142" s="56">
        <f>IF($B2142=0,"",IF(Inputs!$B$10="","",IF($AH2142=0,G2141,SUMIFS(Data!$R$10:$R$3209,Data!$Q$10:$Q$3209,"&gt;="&amp;$A2142,Data!$Q$10:$Q$3209,"&lt;"&amp;$A2142+1)/$AH2142)))</f>
        <v/>
      </c>
      <c r="I2142" s="54">
        <f>IF($B2142=0,NA(),IF($C2142="",NA(),IF(C$8="",NA(),IF(N(C$8)=0,NA(),IF(Inputs!$C$17="Rebased to 100",$C2142/C$8*100,$C2142)))))</f>
        <v/>
      </c>
      <c r="J2142" s="54">
        <f>IF($B2142=0,NA(),IF($D2142="",NA(),IF(D$8="",NA(),IF(N(D$8)=0,NA(),IF(Inputs!$C$17="Rebased to 100",$D2142/D$8*100,$D2142)))))</f>
        <v/>
      </c>
      <c r="K2142" s="54">
        <f>IF($B2142=0,NA(),IF($E2142="",NA(),IF(E$8="",NA(),IF(N(E$8)=0,NA(),IF(Inputs!$C$17="Rebased to 100",$E2142/E$8*100,$E2142)))))</f>
        <v/>
      </c>
      <c r="L2142" s="54">
        <f>IF($B2142=0,NA(),IF($F2142="",NA(),IF(F$8="",NA(),IF(N(F$8)=0,NA(),IF(Inputs!$C$17="Rebased to 100",$F2142/F$8*100,$F2142)))))</f>
        <v/>
      </c>
      <c r="M2142" s="54">
        <f>IF($B2142=0,NA(),IF($G2142="",NA(),IF(G$8="",NA(),IF(N(G$8)=0,NA(),IF(Inputs!$C$17="Rebased to 100",$G2142/G$8*100,$G2142)))))</f>
        <v/>
      </c>
      <c r="N2142" s="54">
        <f>IF($B2142=0,NA(),IF(Inputs!$C$18&lt;&gt;"Yes",NA(),IF(COUNT(I2142,J2142,K2142,L2142,M2142)=0,NA(),MIN(I2142,J2142,K2142,L2142,M2142))))</f>
        <v/>
      </c>
      <c r="O2142" s="54">
        <f>IF($B2142=0,NA(),IF(Inputs!$B$24&lt;&gt;"Yes",NA(),Inputs!$D$24*Inputs!$C$35))</f>
        <v/>
      </c>
      <c r="P2142" s="54">
        <f>IF($B2142=0,NA(),IF(Inputs!$B$25&lt;&gt;"Yes",NA(),Inputs!$D$25*Inputs!$C$35))</f>
        <v/>
      </c>
      <c r="Q2142" s="54">
        <f>IF($B2142=0,NA(),IF(Inputs!$B$26&lt;&gt;"Yes",NA(),Inputs!$D$26*Inputs!$C$35))</f>
        <v/>
      </c>
      <c r="R2142" s="54">
        <f>IF($B2142=0,NA(),IF(Inputs!$B$27&lt;&gt;"Yes",NA(),Inputs!$D$27*Inputs!$C$35))</f>
        <v/>
      </c>
      <c r="S2142" s="54">
        <f>IF($B2142=0,NA(),IF(Inputs!$B$28&lt;&gt;"Yes",NA(),Inputs!$D$28*Inputs!$C$35))</f>
        <v/>
      </c>
      <c r="T2142" s="54">
        <f>IF($B2142=0,NA(),IF(Inputs!$B$29&lt;&gt;"Yes",NA(),Inputs!$D$29*Inputs!$C$35))</f>
        <v/>
      </c>
      <c r="AD2142">
        <f>IF($B2142=0,0,IF(Inputs!$B$6="",0,COUNTIFS(Data!$A$10:$A$3209,"&gt;="&amp;$A2142,Data!$A$10:$A$3209,"&lt;"&amp;$A2142+1)))</f>
        <v/>
      </c>
      <c r="AE2142">
        <f>IF($B2142=0,0,IF(Inputs!$B$7="",0,COUNTIFS(Data!$E$10:$E$3209,"&gt;="&amp;$A2142,Data!$E$10:$E$3209,"&lt;"&amp;$A2142+1)))</f>
        <v/>
      </c>
      <c r="AF2142">
        <f>IF($B2142=0,0,IF(Inputs!$B$8="",0,COUNTIFS(Data!$I$10:$I$3209,"&gt;="&amp;$A2142,Data!$I$10:$I$3209,"&lt;"&amp;$A2142+1)))</f>
        <v/>
      </c>
      <c r="AG2142">
        <f>IF($B2142=0,0,IF(Inputs!$B$9="",0,COUNTIFS(Data!$M$10:$M$3209,"&gt;="&amp;$A2142,Data!$M$10:$M$3209,"&lt;"&amp;$A2142+1)))</f>
        <v/>
      </c>
      <c r="AH2142">
        <f>IF($B2142=0,0,IF(Inputs!$B$10="",0,COUNTIFS(Data!$Q$10:$Q$3209,"&gt;="&amp;$A2142,Data!$Q$10:$Q$3209,"&lt;"&amp;$A2142+1)))</f>
        <v/>
      </c>
    </row>
    <row r="2143">
      <c r="A2143" s="55">
        <f>MIN(Inputs!$C$15,$A2142+IF(WEEKDAY($A2142,2)=5,3,1))</f>
        <v/>
      </c>
      <c r="B2143">
        <f>IF($A2143&gt;$A2142,1,0)</f>
        <v/>
      </c>
      <c r="C2143" s="56">
        <f>IF($B2143=0,"",IF(Inputs!$B$6="","",IF($AD2143=0,C2142,SUMIFS(Data!$B$10:$B$3209,Data!$A$10:$A$3209,"&gt;="&amp;$A2143,Data!$A$10:$A$3209,"&lt;"&amp;$A2143+1)/$AD2143)))</f>
        <v/>
      </c>
      <c r="D2143" s="56">
        <f>IF($B2143=0,"",IF(Inputs!$B$7="","",IF($AE2143=0,D2142,SUMIFS(Data!$F$10:$F$3209,Data!$E$10:$E$3209,"&gt;="&amp;$A2143,Data!$E$10:$E$3209,"&lt;"&amp;$A2143+1)/$AE2143)))</f>
        <v/>
      </c>
      <c r="E2143" s="56">
        <f>IF($B2143=0,"",IF(Inputs!$B$8="","",IF($AF2143=0,E2142,SUMIFS(Data!$J$10:$J$3209,Data!$I$10:$I$3209,"&gt;="&amp;$A2143,Data!$I$10:$I$3209,"&lt;"&amp;$A2143+1)/$AF2143)))</f>
        <v/>
      </c>
      <c r="F2143" s="56">
        <f>IF($B2143=0,"",IF(Inputs!$B$9="","",IF($AG2143=0,F2142,SUMIFS(Data!$N$10:$N$3209,Data!$M$10:$M$3209,"&gt;="&amp;$A2143,Data!$M$10:$M$3209,"&lt;"&amp;$A2143+1)/$AG2143)))</f>
        <v/>
      </c>
      <c r="G2143" s="56">
        <f>IF($B2143=0,"",IF(Inputs!$B$10="","",IF($AH2143=0,G2142,SUMIFS(Data!$R$10:$R$3209,Data!$Q$10:$Q$3209,"&gt;="&amp;$A2143,Data!$Q$10:$Q$3209,"&lt;"&amp;$A2143+1)/$AH2143)))</f>
        <v/>
      </c>
      <c r="I2143" s="54">
        <f>IF($B2143=0,NA(),IF($C2143="",NA(),IF(C$8="",NA(),IF(N(C$8)=0,NA(),IF(Inputs!$C$17="Rebased to 100",$C2143/C$8*100,$C2143)))))</f>
        <v/>
      </c>
      <c r="J2143" s="54">
        <f>IF($B2143=0,NA(),IF($D2143="",NA(),IF(D$8="",NA(),IF(N(D$8)=0,NA(),IF(Inputs!$C$17="Rebased to 100",$D2143/D$8*100,$D2143)))))</f>
        <v/>
      </c>
      <c r="K2143" s="54">
        <f>IF($B2143=0,NA(),IF($E2143="",NA(),IF(E$8="",NA(),IF(N(E$8)=0,NA(),IF(Inputs!$C$17="Rebased to 100",$E2143/E$8*100,$E2143)))))</f>
        <v/>
      </c>
      <c r="L2143" s="54">
        <f>IF($B2143=0,NA(),IF($F2143="",NA(),IF(F$8="",NA(),IF(N(F$8)=0,NA(),IF(Inputs!$C$17="Rebased to 100",$F2143/F$8*100,$F2143)))))</f>
        <v/>
      </c>
      <c r="M2143" s="54">
        <f>IF($B2143=0,NA(),IF($G2143="",NA(),IF(G$8="",NA(),IF(N(G$8)=0,NA(),IF(Inputs!$C$17="Rebased to 100",$G2143/G$8*100,$G2143)))))</f>
        <v/>
      </c>
      <c r="N2143" s="54">
        <f>IF($B2143=0,NA(),IF(Inputs!$C$18&lt;&gt;"Yes",NA(),IF(COUNT(I2143,J2143,K2143,L2143,M2143)=0,NA(),MIN(I2143,J2143,K2143,L2143,M2143))))</f>
        <v/>
      </c>
      <c r="O2143" s="54">
        <f>IF($B2143=0,NA(),IF(Inputs!$B$24&lt;&gt;"Yes",NA(),Inputs!$D$24*Inputs!$C$35))</f>
        <v/>
      </c>
      <c r="P2143" s="54">
        <f>IF($B2143=0,NA(),IF(Inputs!$B$25&lt;&gt;"Yes",NA(),Inputs!$D$25*Inputs!$C$35))</f>
        <v/>
      </c>
      <c r="Q2143" s="54">
        <f>IF($B2143=0,NA(),IF(Inputs!$B$26&lt;&gt;"Yes",NA(),Inputs!$D$26*Inputs!$C$35))</f>
        <v/>
      </c>
      <c r="R2143" s="54">
        <f>IF($B2143=0,NA(),IF(Inputs!$B$27&lt;&gt;"Yes",NA(),Inputs!$D$27*Inputs!$C$35))</f>
        <v/>
      </c>
      <c r="S2143" s="54">
        <f>IF($B2143=0,NA(),IF(Inputs!$B$28&lt;&gt;"Yes",NA(),Inputs!$D$28*Inputs!$C$35))</f>
        <v/>
      </c>
      <c r="T2143" s="54">
        <f>IF($B2143=0,NA(),IF(Inputs!$B$29&lt;&gt;"Yes",NA(),Inputs!$D$29*Inputs!$C$35))</f>
        <v/>
      </c>
      <c r="AD2143">
        <f>IF($B2143=0,0,IF(Inputs!$B$6="",0,COUNTIFS(Data!$A$10:$A$3209,"&gt;="&amp;$A2143,Data!$A$10:$A$3209,"&lt;"&amp;$A2143+1)))</f>
        <v/>
      </c>
      <c r="AE2143">
        <f>IF($B2143=0,0,IF(Inputs!$B$7="",0,COUNTIFS(Data!$E$10:$E$3209,"&gt;="&amp;$A2143,Data!$E$10:$E$3209,"&lt;"&amp;$A2143+1)))</f>
        <v/>
      </c>
      <c r="AF2143">
        <f>IF($B2143=0,0,IF(Inputs!$B$8="",0,COUNTIFS(Data!$I$10:$I$3209,"&gt;="&amp;$A2143,Data!$I$10:$I$3209,"&lt;"&amp;$A2143+1)))</f>
        <v/>
      </c>
      <c r="AG2143">
        <f>IF($B2143=0,0,IF(Inputs!$B$9="",0,COUNTIFS(Data!$M$10:$M$3209,"&gt;="&amp;$A2143,Data!$M$10:$M$3209,"&lt;"&amp;$A2143+1)))</f>
        <v/>
      </c>
      <c r="AH2143">
        <f>IF($B2143=0,0,IF(Inputs!$B$10="",0,COUNTIFS(Data!$Q$10:$Q$3209,"&gt;="&amp;$A2143,Data!$Q$10:$Q$3209,"&lt;"&amp;$A2143+1)))</f>
        <v/>
      </c>
    </row>
    <row r="2144">
      <c r="A2144" s="55">
        <f>MIN(Inputs!$C$15,$A2143+IF(WEEKDAY($A2143,2)=5,3,1))</f>
        <v/>
      </c>
      <c r="B2144">
        <f>IF($A2144&gt;$A2143,1,0)</f>
        <v/>
      </c>
      <c r="C2144" s="56">
        <f>IF($B2144=0,"",IF(Inputs!$B$6="","",IF($AD2144=0,C2143,SUMIFS(Data!$B$10:$B$3209,Data!$A$10:$A$3209,"&gt;="&amp;$A2144,Data!$A$10:$A$3209,"&lt;"&amp;$A2144+1)/$AD2144)))</f>
        <v/>
      </c>
      <c r="D2144" s="56">
        <f>IF($B2144=0,"",IF(Inputs!$B$7="","",IF($AE2144=0,D2143,SUMIFS(Data!$F$10:$F$3209,Data!$E$10:$E$3209,"&gt;="&amp;$A2144,Data!$E$10:$E$3209,"&lt;"&amp;$A2144+1)/$AE2144)))</f>
        <v/>
      </c>
      <c r="E2144" s="56">
        <f>IF($B2144=0,"",IF(Inputs!$B$8="","",IF($AF2144=0,E2143,SUMIFS(Data!$J$10:$J$3209,Data!$I$10:$I$3209,"&gt;="&amp;$A2144,Data!$I$10:$I$3209,"&lt;"&amp;$A2144+1)/$AF2144)))</f>
        <v/>
      </c>
      <c r="F2144" s="56">
        <f>IF($B2144=0,"",IF(Inputs!$B$9="","",IF($AG2144=0,F2143,SUMIFS(Data!$N$10:$N$3209,Data!$M$10:$M$3209,"&gt;="&amp;$A2144,Data!$M$10:$M$3209,"&lt;"&amp;$A2144+1)/$AG2144)))</f>
        <v/>
      </c>
      <c r="G2144" s="56">
        <f>IF($B2144=0,"",IF(Inputs!$B$10="","",IF($AH2144=0,G2143,SUMIFS(Data!$R$10:$R$3209,Data!$Q$10:$Q$3209,"&gt;="&amp;$A2144,Data!$Q$10:$Q$3209,"&lt;"&amp;$A2144+1)/$AH2144)))</f>
        <v/>
      </c>
      <c r="I2144" s="54">
        <f>IF($B2144=0,NA(),IF($C2144="",NA(),IF(C$8="",NA(),IF(N(C$8)=0,NA(),IF(Inputs!$C$17="Rebased to 100",$C2144/C$8*100,$C2144)))))</f>
        <v/>
      </c>
      <c r="J2144" s="54">
        <f>IF($B2144=0,NA(),IF($D2144="",NA(),IF(D$8="",NA(),IF(N(D$8)=0,NA(),IF(Inputs!$C$17="Rebased to 100",$D2144/D$8*100,$D2144)))))</f>
        <v/>
      </c>
      <c r="K2144" s="54">
        <f>IF($B2144=0,NA(),IF($E2144="",NA(),IF(E$8="",NA(),IF(N(E$8)=0,NA(),IF(Inputs!$C$17="Rebased to 100",$E2144/E$8*100,$E2144)))))</f>
        <v/>
      </c>
      <c r="L2144" s="54">
        <f>IF($B2144=0,NA(),IF($F2144="",NA(),IF(F$8="",NA(),IF(N(F$8)=0,NA(),IF(Inputs!$C$17="Rebased to 100",$F2144/F$8*100,$F2144)))))</f>
        <v/>
      </c>
      <c r="M2144" s="54">
        <f>IF($B2144=0,NA(),IF($G2144="",NA(),IF(G$8="",NA(),IF(N(G$8)=0,NA(),IF(Inputs!$C$17="Rebased to 100",$G2144/G$8*100,$G2144)))))</f>
        <v/>
      </c>
      <c r="N2144" s="54">
        <f>IF($B2144=0,NA(),IF(Inputs!$C$18&lt;&gt;"Yes",NA(),IF(COUNT(I2144,J2144,K2144,L2144,M2144)=0,NA(),MIN(I2144,J2144,K2144,L2144,M2144))))</f>
        <v/>
      </c>
      <c r="O2144" s="54">
        <f>IF($B2144=0,NA(),IF(Inputs!$B$24&lt;&gt;"Yes",NA(),Inputs!$D$24*Inputs!$C$35))</f>
        <v/>
      </c>
      <c r="P2144" s="54">
        <f>IF($B2144=0,NA(),IF(Inputs!$B$25&lt;&gt;"Yes",NA(),Inputs!$D$25*Inputs!$C$35))</f>
        <v/>
      </c>
      <c r="Q2144" s="54">
        <f>IF($B2144=0,NA(),IF(Inputs!$B$26&lt;&gt;"Yes",NA(),Inputs!$D$26*Inputs!$C$35))</f>
        <v/>
      </c>
      <c r="R2144" s="54">
        <f>IF($B2144=0,NA(),IF(Inputs!$B$27&lt;&gt;"Yes",NA(),Inputs!$D$27*Inputs!$C$35))</f>
        <v/>
      </c>
      <c r="S2144" s="54">
        <f>IF($B2144=0,NA(),IF(Inputs!$B$28&lt;&gt;"Yes",NA(),Inputs!$D$28*Inputs!$C$35))</f>
        <v/>
      </c>
      <c r="T2144" s="54">
        <f>IF($B2144=0,NA(),IF(Inputs!$B$29&lt;&gt;"Yes",NA(),Inputs!$D$29*Inputs!$C$35))</f>
        <v/>
      </c>
      <c r="AD2144">
        <f>IF($B2144=0,0,IF(Inputs!$B$6="",0,COUNTIFS(Data!$A$10:$A$3209,"&gt;="&amp;$A2144,Data!$A$10:$A$3209,"&lt;"&amp;$A2144+1)))</f>
        <v/>
      </c>
      <c r="AE2144">
        <f>IF($B2144=0,0,IF(Inputs!$B$7="",0,COUNTIFS(Data!$E$10:$E$3209,"&gt;="&amp;$A2144,Data!$E$10:$E$3209,"&lt;"&amp;$A2144+1)))</f>
        <v/>
      </c>
      <c r="AF2144">
        <f>IF($B2144=0,0,IF(Inputs!$B$8="",0,COUNTIFS(Data!$I$10:$I$3209,"&gt;="&amp;$A2144,Data!$I$10:$I$3209,"&lt;"&amp;$A2144+1)))</f>
        <v/>
      </c>
      <c r="AG2144">
        <f>IF($B2144=0,0,IF(Inputs!$B$9="",0,COUNTIFS(Data!$M$10:$M$3209,"&gt;="&amp;$A2144,Data!$M$10:$M$3209,"&lt;"&amp;$A2144+1)))</f>
        <v/>
      </c>
      <c r="AH2144">
        <f>IF($B2144=0,0,IF(Inputs!$B$10="",0,COUNTIFS(Data!$Q$10:$Q$3209,"&gt;="&amp;$A2144,Data!$Q$10:$Q$3209,"&lt;"&amp;$A2144+1)))</f>
        <v/>
      </c>
    </row>
    <row r="2145">
      <c r="A2145" s="55">
        <f>MIN(Inputs!$C$15,$A2144+IF(WEEKDAY($A2144,2)=5,3,1))</f>
        <v/>
      </c>
      <c r="B2145">
        <f>IF($A2145&gt;$A2144,1,0)</f>
        <v/>
      </c>
      <c r="C2145" s="56">
        <f>IF($B2145=0,"",IF(Inputs!$B$6="","",IF($AD2145=0,C2144,SUMIFS(Data!$B$10:$B$3209,Data!$A$10:$A$3209,"&gt;="&amp;$A2145,Data!$A$10:$A$3209,"&lt;"&amp;$A2145+1)/$AD2145)))</f>
        <v/>
      </c>
      <c r="D2145" s="56">
        <f>IF($B2145=0,"",IF(Inputs!$B$7="","",IF($AE2145=0,D2144,SUMIFS(Data!$F$10:$F$3209,Data!$E$10:$E$3209,"&gt;="&amp;$A2145,Data!$E$10:$E$3209,"&lt;"&amp;$A2145+1)/$AE2145)))</f>
        <v/>
      </c>
      <c r="E2145" s="56">
        <f>IF($B2145=0,"",IF(Inputs!$B$8="","",IF($AF2145=0,E2144,SUMIFS(Data!$J$10:$J$3209,Data!$I$10:$I$3209,"&gt;="&amp;$A2145,Data!$I$10:$I$3209,"&lt;"&amp;$A2145+1)/$AF2145)))</f>
        <v/>
      </c>
      <c r="F2145" s="56">
        <f>IF($B2145=0,"",IF(Inputs!$B$9="","",IF($AG2145=0,F2144,SUMIFS(Data!$N$10:$N$3209,Data!$M$10:$M$3209,"&gt;="&amp;$A2145,Data!$M$10:$M$3209,"&lt;"&amp;$A2145+1)/$AG2145)))</f>
        <v/>
      </c>
      <c r="G2145" s="56">
        <f>IF($B2145=0,"",IF(Inputs!$B$10="","",IF($AH2145=0,G2144,SUMIFS(Data!$R$10:$R$3209,Data!$Q$10:$Q$3209,"&gt;="&amp;$A2145,Data!$Q$10:$Q$3209,"&lt;"&amp;$A2145+1)/$AH2145)))</f>
        <v/>
      </c>
      <c r="I2145" s="54">
        <f>IF($B2145=0,NA(),IF($C2145="",NA(),IF(C$8="",NA(),IF(N(C$8)=0,NA(),IF(Inputs!$C$17="Rebased to 100",$C2145/C$8*100,$C2145)))))</f>
        <v/>
      </c>
      <c r="J2145" s="54">
        <f>IF($B2145=0,NA(),IF($D2145="",NA(),IF(D$8="",NA(),IF(N(D$8)=0,NA(),IF(Inputs!$C$17="Rebased to 100",$D2145/D$8*100,$D2145)))))</f>
        <v/>
      </c>
      <c r="K2145" s="54">
        <f>IF($B2145=0,NA(),IF($E2145="",NA(),IF(E$8="",NA(),IF(N(E$8)=0,NA(),IF(Inputs!$C$17="Rebased to 100",$E2145/E$8*100,$E2145)))))</f>
        <v/>
      </c>
      <c r="L2145" s="54">
        <f>IF($B2145=0,NA(),IF($F2145="",NA(),IF(F$8="",NA(),IF(N(F$8)=0,NA(),IF(Inputs!$C$17="Rebased to 100",$F2145/F$8*100,$F2145)))))</f>
        <v/>
      </c>
      <c r="M2145" s="54">
        <f>IF($B2145=0,NA(),IF($G2145="",NA(),IF(G$8="",NA(),IF(N(G$8)=0,NA(),IF(Inputs!$C$17="Rebased to 100",$G2145/G$8*100,$G2145)))))</f>
        <v/>
      </c>
      <c r="N2145" s="54">
        <f>IF($B2145=0,NA(),IF(Inputs!$C$18&lt;&gt;"Yes",NA(),IF(COUNT(I2145,J2145,K2145,L2145,M2145)=0,NA(),MIN(I2145,J2145,K2145,L2145,M2145))))</f>
        <v/>
      </c>
      <c r="O2145" s="54">
        <f>IF($B2145=0,NA(),IF(Inputs!$B$24&lt;&gt;"Yes",NA(),Inputs!$D$24*Inputs!$C$35))</f>
        <v/>
      </c>
      <c r="P2145" s="54">
        <f>IF($B2145=0,NA(),IF(Inputs!$B$25&lt;&gt;"Yes",NA(),Inputs!$D$25*Inputs!$C$35))</f>
        <v/>
      </c>
      <c r="Q2145" s="54">
        <f>IF($B2145=0,NA(),IF(Inputs!$B$26&lt;&gt;"Yes",NA(),Inputs!$D$26*Inputs!$C$35))</f>
        <v/>
      </c>
      <c r="R2145" s="54">
        <f>IF($B2145=0,NA(),IF(Inputs!$B$27&lt;&gt;"Yes",NA(),Inputs!$D$27*Inputs!$C$35))</f>
        <v/>
      </c>
      <c r="S2145" s="54">
        <f>IF($B2145=0,NA(),IF(Inputs!$B$28&lt;&gt;"Yes",NA(),Inputs!$D$28*Inputs!$C$35))</f>
        <v/>
      </c>
      <c r="T2145" s="54">
        <f>IF($B2145=0,NA(),IF(Inputs!$B$29&lt;&gt;"Yes",NA(),Inputs!$D$29*Inputs!$C$35))</f>
        <v/>
      </c>
      <c r="AD2145">
        <f>IF($B2145=0,0,IF(Inputs!$B$6="",0,COUNTIFS(Data!$A$10:$A$3209,"&gt;="&amp;$A2145,Data!$A$10:$A$3209,"&lt;"&amp;$A2145+1)))</f>
        <v/>
      </c>
      <c r="AE2145">
        <f>IF($B2145=0,0,IF(Inputs!$B$7="",0,COUNTIFS(Data!$E$10:$E$3209,"&gt;="&amp;$A2145,Data!$E$10:$E$3209,"&lt;"&amp;$A2145+1)))</f>
        <v/>
      </c>
      <c r="AF2145">
        <f>IF($B2145=0,0,IF(Inputs!$B$8="",0,COUNTIFS(Data!$I$10:$I$3209,"&gt;="&amp;$A2145,Data!$I$10:$I$3209,"&lt;"&amp;$A2145+1)))</f>
        <v/>
      </c>
      <c r="AG2145">
        <f>IF($B2145=0,0,IF(Inputs!$B$9="",0,COUNTIFS(Data!$M$10:$M$3209,"&gt;="&amp;$A2145,Data!$M$10:$M$3209,"&lt;"&amp;$A2145+1)))</f>
        <v/>
      </c>
      <c r="AH2145">
        <f>IF($B2145=0,0,IF(Inputs!$B$10="",0,COUNTIFS(Data!$Q$10:$Q$3209,"&gt;="&amp;$A2145,Data!$Q$10:$Q$3209,"&lt;"&amp;$A2145+1)))</f>
        <v/>
      </c>
    </row>
    <row r="2146">
      <c r="A2146" s="55">
        <f>MIN(Inputs!$C$15,$A2145+IF(WEEKDAY($A2145,2)=5,3,1))</f>
        <v/>
      </c>
      <c r="B2146">
        <f>IF($A2146&gt;$A2145,1,0)</f>
        <v/>
      </c>
      <c r="C2146" s="56">
        <f>IF($B2146=0,"",IF(Inputs!$B$6="","",IF($AD2146=0,C2145,SUMIFS(Data!$B$10:$B$3209,Data!$A$10:$A$3209,"&gt;="&amp;$A2146,Data!$A$10:$A$3209,"&lt;"&amp;$A2146+1)/$AD2146)))</f>
        <v/>
      </c>
      <c r="D2146" s="56">
        <f>IF($B2146=0,"",IF(Inputs!$B$7="","",IF($AE2146=0,D2145,SUMIFS(Data!$F$10:$F$3209,Data!$E$10:$E$3209,"&gt;="&amp;$A2146,Data!$E$10:$E$3209,"&lt;"&amp;$A2146+1)/$AE2146)))</f>
        <v/>
      </c>
      <c r="E2146" s="56">
        <f>IF($B2146=0,"",IF(Inputs!$B$8="","",IF($AF2146=0,E2145,SUMIFS(Data!$J$10:$J$3209,Data!$I$10:$I$3209,"&gt;="&amp;$A2146,Data!$I$10:$I$3209,"&lt;"&amp;$A2146+1)/$AF2146)))</f>
        <v/>
      </c>
      <c r="F2146" s="56">
        <f>IF($B2146=0,"",IF(Inputs!$B$9="","",IF($AG2146=0,F2145,SUMIFS(Data!$N$10:$N$3209,Data!$M$10:$M$3209,"&gt;="&amp;$A2146,Data!$M$10:$M$3209,"&lt;"&amp;$A2146+1)/$AG2146)))</f>
        <v/>
      </c>
      <c r="G2146" s="56">
        <f>IF($B2146=0,"",IF(Inputs!$B$10="","",IF($AH2146=0,G2145,SUMIFS(Data!$R$10:$R$3209,Data!$Q$10:$Q$3209,"&gt;="&amp;$A2146,Data!$Q$10:$Q$3209,"&lt;"&amp;$A2146+1)/$AH2146)))</f>
        <v/>
      </c>
      <c r="I2146" s="54">
        <f>IF($B2146=0,NA(),IF($C2146="",NA(),IF(C$8="",NA(),IF(N(C$8)=0,NA(),IF(Inputs!$C$17="Rebased to 100",$C2146/C$8*100,$C2146)))))</f>
        <v/>
      </c>
      <c r="J2146" s="54">
        <f>IF($B2146=0,NA(),IF($D2146="",NA(),IF(D$8="",NA(),IF(N(D$8)=0,NA(),IF(Inputs!$C$17="Rebased to 100",$D2146/D$8*100,$D2146)))))</f>
        <v/>
      </c>
      <c r="K2146" s="54">
        <f>IF($B2146=0,NA(),IF($E2146="",NA(),IF(E$8="",NA(),IF(N(E$8)=0,NA(),IF(Inputs!$C$17="Rebased to 100",$E2146/E$8*100,$E2146)))))</f>
        <v/>
      </c>
      <c r="L2146" s="54">
        <f>IF($B2146=0,NA(),IF($F2146="",NA(),IF(F$8="",NA(),IF(N(F$8)=0,NA(),IF(Inputs!$C$17="Rebased to 100",$F2146/F$8*100,$F2146)))))</f>
        <v/>
      </c>
      <c r="M2146" s="54">
        <f>IF($B2146=0,NA(),IF($G2146="",NA(),IF(G$8="",NA(),IF(N(G$8)=0,NA(),IF(Inputs!$C$17="Rebased to 100",$G2146/G$8*100,$G2146)))))</f>
        <v/>
      </c>
      <c r="N2146" s="54">
        <f>IF($B2146=0,NA(),IF(Inputs!$C$18&lt;&gt;"Yes",NA(),IF(COUNT(I2146,J2146,K2146,L2146,M2146)=0,NA(),MIN(I2146,J2146,K2146,L2146,M2146))))</f>
        <v/>
      </c>
      <c r="O2146" s="54">
        <f>IF($B2146=0,NA(),IF(Inputs!$B$24&lt;&gt;"Yes",NA(),Inputs!$D$24*Inputs!$C$35))</f>
        <v/>
      </c>
      <c r="P2146" s="54">
        <f>IF($B2146=0,NA(),IF(Inputs!$B$25&lt;&gt;"Yes",NA(),Inputs!$D$25*Inputs!$C$35))</f>
        <v/>
      </c>
      <c r="Q2146" s="54">
        <f>IF($B2146=0,NA(),IF(Inputs!$B$26&lt;&gt;"Yes",NA(),Inputs!$D$26*Inputs!$C$35))</f>
        <v/>
      </c>
      <c r="R2146" s="54">
        <f>IF($B2146=0,NA(),IF(Inputs!$B$27&lt;&gt;"Yes",NA(),Inputs!$D$27*Inputs!$C$35))</f>
        <v/>
      </c>
      <c r="S2146" s="54">
        <f>IF($B2146=0,NA(),IF(Inputs!$B$28&lt;&gt;"Yes",NA(),Inputs!$D$28*Inputs!$C$35))</f>
        <v/>
      </c>
      <c r="T2146" s="54">
        <f>IF($B2146=0,NA(),IF(Inputs!$B$29&lt;&gt;"Yes",NA(),Inputs!$D$29*Inputs!$C$35))</f>
        <v/>
      </c>
      <c r="AD2146">
        <f>IF($B2146=0,0,IF(Inputs!$B$6="",0,COUNTIFS(Data!$A$10:$A$3209,"&gt;="&amp;$A2146,Data!$A$10:$A$3209,"&lt;"&amp;$A2146+1)))</f>
        <v/>
      </c>
      <c r="AE2146">
        <f>IF($B2146=0,0,IF(Inputs!$B$7="",0,COUNTIFS(Data!$E$10:$E$3209,"&gt;="&amp;$A2146,Data!$E$10:$E$3209,"&lt;"&amp;$A2146+1)))</f>
        <v/>
      </c>
      <c r="AF2146">
        <f>IF($B2146=0,0,IF(Inputs!$B$8="",0,COUNTIFS(Data!$I$10:$I$3209,"&gt;="&amp;$A2146,Data!$I$10:$I$3209,"&lt;"&amp;$A2146+1)))</f>
        <v/>
      </c>
      <c r="AG2146">
        <f>IF($B2146=0,0,IF(Inputs!$B$9="",0,COUNTIFS(Data!$M$10:$M$3209,"&gt;="&amp;$A2146,Data!$M$10:$M$3209,"&lt;"&amp;$A2146+1)))</f>
        <v/>
      </c>
      <c r="AH2146">
        <f>IF($B2146=0,0,IF(Inputs!$B$10="",0,COUNTIFS(Data!$Q$10:$Q$3209,"&gt;="&amp;$A2146,Data!$Q$10:$Q$3209,"&lt;"&amp;$A2146+1)))</f>
        <v/>
      </c>
    </row>
    <row r="2147">
      <c r="A2147" s="55">
        <f>MIN(Inputs!$C$15,$A2146+IF(WEEKDAY($A2146,2)=5,3,1))</f>
        <v/>
      </c>
      <c r="B2147">
        <f>IF($A2147&gt;$A2146,1,0)</f>
        <v/>
      </c>
      <c r="C2147" s="56">
        <f>IF($B2147=0,"",IF(Inputs!$B$6="","",IF($AD2147=0,C2146,SUMIFS(Data!$B$10:$B$3209,Data!$A$10:$A$3209,"&gt;="&amp;$A2147,Data!$A$10:$A$3209,"&lt;"&amp;$A2147+1)/$AD2147)))</f>
        <v/>
      </c>
      <c r="D2147" s="56">
        <f>IF($B2147=0,"",IF(Inputs!$B$7="","",IF($AE2147=0,D2146,SUMIFS(Data!$F$10:$F$3209,Data!$E$10:$E$3209,"&gt;="&amp;$A2147,Data!$E$10:$E$3209,"&lt;"&amp;$A2147+1)/$AE2147)))</f>
        <v/>
      </c>
      <c r="E2147" s="56">
        <f>IF($B2147=0,"",IF(Inputs!$B$8="","",IF($AF2147=0,E2146,SUMIFS(Data!$J$10:$J$3209,Data!$I$10:$I$3209,"&gt;="&amp;$A2147,Data!$I$10:$I$3209,"&lt;"&amp;$A2147+1)/$AF2147)))</f>
        <v/>
      </c>
      <c r="F2147" s="56">
        <f>IF($B2147=0,"",IF(Inputs!$B$9="","",IF($AG2147=0,F2146,SUMIFS(Data!$N$10:$N$3209,Data!$M$10:$M$3209,"&gt;="&amp;$A2147,Data!$M$10:$M$3209,"&lt;"&amp;$A2147+1)/$AG2147)))</f>
        <v/>
      </c>
      <c r="G2147" s="56">
        <f>IF($B2147=0,"",IF(Inputs!$B$10="","",IF($AH2147=0,G2146,SUMIFS(Data!$R$10:$R$3209,Data!$Q$10:$Q$3209,"&gt;="&amp;$A2147,Data!$Q$10:$Q$3209,"&lt;"&amp;$A2147+1)/$AH2147)))</f>
        <v/>
      </c>
      <c r="I2147" s="54">
        <f>IF($B2147=0,NA(),IF($C2147="",NA(),IF(C$8="",NA(),IF(N(C$8)=0,NA(),IF(Inputs!$C$17="Rebased to 100",$C2147/C$8*100,$C2147)))))</f>
        <v/>
      </c>
      <c r="J2147" s="54">
        <f>IF($B2147=0,NA(),IF($D2147="",NA(),IF(D$8="",NA(),IF(N(D$8)=0,NA(),IF(Inputs!$C$17="Rebased to 100",$D2147/D$8*100,$D2147)))))</f>
        <v/>
      </c>
      <c r="K2147" s="54">
        <f>IF($B2147=0,NA(),IF($E2147="",NA(),IF(E$8="",NA(),IF(N(E$8)=0,NA(),IF(Inputs!$C$17="Rebased to 100",$E2147/E$8*100,$E2147)))))</f>
        <v/>
      </c>
      <c r="L2147" s="54">
        <f>IF($B2147=0,NA(),IF($F2147="",NA(),IF(F$8="",NA(),IF(N(F$8)=0,NA(),IF(Inputs!$C$17="Rebased to 100",$F2147/F$8*100,$F2147)))))</f>
        <v/>
      </c>
      <c r="M2147" s="54">
        <f>IF($B2147=0,NA(),IF($G2147="",NA(),IF(G$8="",NA(),IF(N(G$8)=0,NA(),IF(Inputs!$C$17="Rebased to 100",$G2147/G$8*100,$G2147)))))</f>
        <v/>
      </c>
      <c r="N2147" s="54">
        <f>IF($B2147=0,NA(),IF(Inputs!$C$18&lt;&gt;"Yes",NA(),IF(COUNT(I2147,J2147,K2147,L2147,M2147)=0,NA(),MIN(I2147,J2147,K2147,L2147,M2147))))</f>
        <v/>
      </c>
      <c r="O2147" s="54">
        <f>IF($B2147=0,NA(),IF(Inputs!$B$24&lt;&gt;"Yes",NA(),Inputs!$D$24*Inputs!$C$35))</f>
        <v/>
      </c>
      <c r="P2147" s="54">
        <f>IF($B2147=0,NA(),IF(Inputs!$B$25&lt;&gt;"Yes",NA(),Inputs!$D$25*Inputs!$C$35))</f>
        <v/>
      </c>
      <c r="Q2147" s="54">
        <f>IF($B2147=0,NA(),IF(Inputs!$B$26&lt;&gt;"Yes",NA(),Inputs!$D$26*Inputs!$C$35))</f>
        <v/>
      </c>
      <c r="R2147" s="54">
        <f>IF($B2147=0,NA(),IF(Inputs!$B$27&lt;&gt;"Yes",NA(),Inputs!$D$27*Inputs!$C$35))</f>
        <v/>
      </c>
      <c r="S2147" s="54">
        <f>IF($B2147=0,NA(),IF(Inputs!$B$28&lt;&gt;"Yes",NA(),Inputs!$D$28*Inputs!$C$35))</f>
        <v/>
      </c>
      <c r="T2147" s="54">
        <f>IF($B2147=0,NA(),IF(Inputs!$B$29&lt;&gt;"Yes",NA(),Inputs!$D$29*Inputs!$C$35))</f>
        <v/>
      </c>
      <c r="AD2147">
        <f>IF($B2147=0,0,IF(Inputs!$B$6="",0,COUNTIFS(Data!$A$10:$A$3209,"&gt;="&amp;$A2147,Data!$A$10:$A$3209,"&lt;"&amp;$A2147+1)))</f>
        <v/>
      </c>
      <c r="AE2147">
        <f>IF($B2147=0,0,IF(Inputs!$B$7="",0,COUNTIFS(Data!$E$10:$E$3209,"&gt;="&amp;$A2147,Data!$E$10:$E$3209,"&lt;"&amp;$A2147+1)))</f>
        <v/>
      </c>
      <c r="AF2147">
        <f>IF($B2147=0,0,IF(Inputs!$B$8="",0,COUNTIFS(Data!$I$10:$I$3209,"&gt;="&amp;$A2147,Data!$I$10:$I$3209,"&lt;"&amp;$A2147+1)))</f>
        <v/>
      </c>
      <c r="AG2147">
        <f>IF($B2147=0,0,IF(Inputs!$B$9="",0,COUNTIFS(Data!$M$10:$M$3209,"&gt;="&amp;$A2147,Data!$M$10:$M$3209,"&lt;"&amp;$A2147+1)))</f>
        <v/>
      </c>
      <c r="AH2147">
        <f>IF($B2147=0,0,IF(Inputs!$B$10="",0,COUNTIFS(Data!$Q$10:$Q$3209,"&gt;="&amp;$A2147,Data!$Q$10:$Q$3209,"&lt;"&amp;$A2147+1)))</f>
        <v/>
      </c>
    </row>
    <row r="2148">
      <c r="A2148" s="55">
        <f>MIN(Inputs!$C$15,$A2147+IF(WEEKDAY($A2147,2)=5,3,1))</f>
        <v/>
      </c>
      <c r="B2148">
        <f>IF($A2148&gt;$A2147,1,0)</f>
        <v/>
      </c>
      <c r="C2148" s="56">
        <f>IF($B2148=0,"",IF(Inputs!$B$6="","",IF($AD2148=0,C2147,SUMIFS(Data!$B$10:$B$3209,Data!$A$10:$A$3209,"&gt;="&amp;$A2148,Data!$A$10:$A$3209,"&lt;"&amp;$A2148+1)/$AD2148)))</f>
        <v/>
      </c>
      <c r="D2148" s="56">
        <f>IF($B2148=0,"",IF(Inputs!$B$7="","",IF($AE2148=0,D2147,SUMIFS(Data!$F$10:$F$3209,Data!$E$10:$E$3209,"&gt;="&amp;$A2148,Data!$E$10:$E$3209,"&lt;"&amp;$A2148+1)/$AE2148)))</f>
        <v/>
      </c>
      <c r="E2148" s="56">
        <f>IF($B2148=0,"",IF(Inputs!$B$8="","",IF($AF2148=0,E2147,SUMIFS(Data!$J$10:$J$3209,Data!$I$10:$I$3209,"&gt;="&amp;$A2148,Data!$I$10:$I$3209,"&lt;"&amp;$A2148+1)/$AF2148)))</f>
        <v/>
      </c>
      <c r="F2148" s="56">
        <f>IF($B2148=0,"",IF(Inputs!$B$9="","",IF($AG2148=0,F2147,SUMIFS(Data!$N$10:$N$3209,Data!$M$10:$M$3209,"&gt;="&amp;$A2148,Data!$M$10:$M$3209,"&lt;"&amp;$A2148+1)/$AG2148)))</f>
        <v/>
      </c>
      <c r="G2148" s="56">
        <f>IF($B2148=0,"",IF(Inputs!$B$10="","",IF($AH2148=0,G2147,SUMIFS(Data!$R$10:$R$3209,Data!$Q$10:$Q$3209,"&gt;="&amp;$A2148,Data!$Q$10:$Q$3209,"&lt;"&amp;$A2148+1)/$AH2148)))</f>
        <v/>
      </c>
      <c r="I2148" s="54">
        <f>IF($B2148=0,NA(),IF($C2148="",NA(),IF(C$8="",NA(),IF(N(C$8)=0,NA(),IF(Inputs!$C$17="Rebased to 100",$C2148/C$8*100,$C2148)))))</f>
        <v/>
      </c>
      <c r="J2148" s="54">
        <f>IF($B2148=0,NA(),IF($D2148="",NA(),IF(D$8="",NA(),IF(N(D$8)=0,NA(),IF(Inputs!$C$17="Rebased to 100",$D2148/D$8*100,$D2148)))))</f>
        <v/>
      </c>
      <c r="K2148" s="54">
        <f>IF($B2148=0,NA(),IF($E2148="",NA(),IF(E$8="",NA(),IF(N(E$8)=0,NA(),IF(Inputs!$C$17="Rebased to 100",$E2148/E$8*100,$E2148)))))</f>
        <v/>
      </c>
      <c r="L2148" s="54">
        <f>IF($B2148=0,NA(),IF($F2148="",NA(),IF(F$8="",NA(),IF(N(F$8)=0,NA(),IF(Inputs!$C$17="Rebased to 100",$F2148/F$8*100,$F2148)))))</f>
        <v/>
      </c>
      <c r="M2148" s="54">
        <f>IF($B2148=0,NA(),IF($G2148="",NA(),IF(G$8="",NA(),IF(N(G$8)=0,NA(),IF(Inputs!$C$17="Rebased to 100",$G2148/G$8*100,$G2148)))))</f>
        <v/>
      </c>
      <c r="N2148" s="54">
        <f>IF($B2148=0,NA(),IF(Inputs!$C$18&lt;&gt;"Yes",NA(),IF(COUNT(I2148,J2148,K2148,L2148,M2148)=0,NA(),MIN(I2148,J2148,K2148,L2148,M2148))))</f>
        <v/>
      </c>
      <c r="O2148" s="54">
        <f>IF($B2148=0,NA(),IF(Inputs!$B$24&lt;&gt;"Yes",NA(),Inputs!$D$24*Inputs!$C$35))</f>
        <v/>
      </c>
      <c r="P2148" s="54">
        <f>IF($B2148=0,NA(),IF(Inputs!$B$25&lt;&gt;"Yes",NA(),Inputs!$D$25*Inputs!$C$35))</f>
        <v/>
      </c>
      <c r="Q2148" s="54">
        <f>IF($B2148=0,NA(),IF(Inputs!$B$26&lt;&gt;"Yes",NA(),Inputs!$D$26*Inputs!$C$35))</f>
        <v/>
      </c>
      <c r="R2148" s="54">
        <f>IF($B2148=0,NA(),IF(Inputs!$B$27&lt;&gt;"Yes",NA(),Inputs!$D$27*Inputs!$C$35))</f>
        <v/>
      </c>
      <c r="S2148" s="54">
        <f>IF($B2148=0,NA(),IF(Inputs!$B$28&lt;&gt;"Yes",NA(),Inputs!$D$28*Inputs!$C$35))</f>
        <v/>
      </c>
      <c r="T2148" s="54">
        <f>IF($B2148=0,NA(),IF(Inputs!$B$29&lt;&gt;"Yes",NA(),Inputs!$D$29*Inputs!$C$35))</f>
        <v/>
      </c>
      <c r="AD2148">
        <f>IF($B2148=0,0,IF(Inputs!$B$6="",0,COUNTIFS(Data!$A$10:$A$3209,"&gt;="&amp;$A2148,Data!$A$10:$A$3209,"&lt;"&amp;$A2148+1)))</f>
        <v/>
      </c>
      <c r="AE2148">
        <f>IF($B2148=0,0,IF(Inputs!$B$7="",0,COUNTIFS(Data!$E$10:$E$3209,"&gt;="&amp;$A2148,Data!$E$10:$E$3209,"&lt;"&amp;$A2148+1)))</f>
        <v/>
      </c>
      <c r="AF2148">
        <f>IF($B2148=0,0,IF(Inputs!$B$8="",0,COUNTIFS(Data!$I$10:$I$3209,"&gt;="&amp;$A2148,Data!$I$10:$I$3209,"&lt;"&amp;$A2148+1)))</f>
        <v/>
      </c>
      <c r="AG2148">
        <f>IF($B2148=0,0,IF(Inputs!$B$9="",0,COUNTIFS(Data!$M$10:$M$3209,"&gt;="&amp;$A2148,Data!$M$10:$M$3209,"&lt;"&amp;$A2148+1)))</f>
        <v/>
      </c>
      <c r="AH2148">
        <f>IF($B2148=0,0,IF(Inputs!$B$10="",0,COUNTIFS(Data!$Q$10:$Q$3209,"&gt;="&amp;$A2148,Data!$Q$10:$Q$3209,"&lt;"&amp;$A2148+1)))</f>
        <v/>
      </c>
    </row>
    <row r="2149">
      <c r="A2149" s="55">
        <f>MIN(Inputs!$C$15,$A2148+IF(WEEKDAY($A2148,2)=5,3,1))</f>
        <v/>
      </c>
      <c r="B2149">
        <f>IF($A2149&gt;$A2148,1,0)</f>
        <v/>
      </c>
      <c r="C2149" s="56">
        <f>IF($B2149=0,"",IF(Inputs!$B$6="","",IF($AD2149=0,C2148,SUMIFS(Data!$B$10:$B$3209,Data!$A$10:$A$3209,"&gt;="&amp;$A2149,Data!$A$10:$A$3209,"&lt;"&amp;$A2149+1)/$AD2149)))</f>
        <v/>
      </c>
      <c r="D2149" s="56">
        <f>IF($B2149=0,"",IF(Inputs!$B$7="","",IF($AE2149=0,D2148,SUMIFS(Data!$F$10:$F$3209,Data!$E$10:$E$3209,"&gt;="&amp;$A2149,Data!$E$10:$E$3209,"&lt;"&amp;$A2149+1)/$AE2149)))</f>
        <v/>
      </c>
      <c r="E2149" s="56">
        <f>IF($B2149=0,"",IF(Inputs!$B$8="","",IF($AF2149=0,E2148,SUMIFS(Data!$J$10:$J$3209,Data!$I$10:$I$3209,"&gt;="&amp;$A2149,Data!$I$10:$I$3209,"&lt;"&amp;$A2149+1)/$AF2149)))</f>
        <v/>
      </c>
      <c r="F2149" s="56">
        <f>IF($B2149=0,"",IF(Inputs!$B$9="","",IF($AG2149=0,F2148,SUMIFS(Data!$N$10:$N$3209,Data!$M$10:$M$3209,"&gt;="&amp;$A2149,Data!$M$10:$M$3209,"&lt;"&amp;$A2149+1)/$AG2149)))</f>
        <v/>
      </c>
      <c r="G2149" s="56">
        <f>IF($B2149=0,"",IF(Inputs!$B$10="","",IF($AH2149=0,G2148,SUMIFS(Data!$R$10:$R$3209,Data!$Q$10:$Q$3209,"&gt;="&amp;$A2149,Data!$Q$10:$Q$3209,"&lt;"&amp;$A2149+1)/$AH2149)))</f>
        <v/>
      </c>
      <c r="I2149" s="54">
        <f>IF($B2149=0,NA(),IF($C2149="",NA(),IF(C$8="",NA(),IF(N(C$8)=0,NA(),IF(Inputs!$C$17="Rebased to 100",$C2149/C$8*100,$C2149)))))</f>
        <v/>
      </c>
      <c r="J2149" s="54">
        <f>IF($B2149=0,NA(),IF($D2149="",NA(),IF(D$8="",NA(),IF(N(D$8)=0,NA(),IF(Inputs!$C$17="Rebased to 100",$D2149/D$8*100,$D2149)))))</f>
        <v/>
      </c>
      <c r="K2149" s="54">
        <f>IF($B2149=0,NA(),IF($E2149="",NA(),IF(E$8="",NA(),IF(N(E$8)=0,NA(),IF(Inputs!$C$17="Rebased to 100",$E2149/E$8*100,$E2149)))))</f>
        <v/>
      </c>
      <c r="L2149" s="54">
        <f>IF($B2149=0,NA(),IF($F2149="",NA(),IF(F$8="",NA(),IF(N(F$8)=0,NA(),IF(Inputs!$C$17="Rebased to 100",$F2149/F$8*100,$F2149)))))</f>
        <v/>
      </c>
      <c r="M2149" s="54">
        <f>IF($B2149=0,NA(),IF($G2149="",NA(),IF(G$8="",NA(),IF(N(G$8)=0,NA(),IF(Inputs!$C$17="Rebased to 100",$G2149/G$8*100,$G2149)))))</f>
        <v/>
      </c>
      <c r="N2149" s="54">
        <f>IF($B2149=0,NA(),IF(Inputs!$C$18&lt;&gt;"Yes",NA(),IF(COUNT(I2149,J2149,K2149,L2149,M2149)=0,NA(),MIN(I2149,J2149,K2149,L2149,M2149))))</f>
        <v/>
      </c>
      <c r="O2149" s="54">
        <f>IF($B2149=0,NA(),IF(Inputs!$B$24&lt;&gt;"Yes",NA(),Inputs!$D$24*Inputs!$C$35))</f>
        <v/>
      </c>
      <c r="P2149" s="54">
        <f>IF($B2149=0,NA(),IF(Inputs!$B$25&lt;&gt;"Yes",NA(),Inputs!$D$25*Inputs!$C$35))</f>
        <v/>
      </c>
      <c r="Q2149" s="54">
        <f>IF($B2149=0,NA(),IF(Inputs!$B$26&lt;&gt;"Yes",NA(),Inputs!$D$26*Inputs!$C$35))</f>
        <v/>
      </c>
      <c r="R2149" s="54">
        <f>IF($B2149=0,NA(),IF(Inputs!$B$27&lt;&gt;"Yes",NA(),Inputs!$D$27*Inputs!$C$35))</f>
        <v/>
      </c>
      <c r="S2149" s="54">
        <f>IF($B2149=0,NA(),IF(Inputs!$B$28&lt;&gt;"Yes",NA(),Inputs!$D$28*Inputs!$C$35))</f>
        <v/>
      </c>
      <c r="T2149" s="54">
        <f>IF($B2149=0,NA(),IF(Inputs!$B$29&lt;&gt;"Yes",NA(),Inputs!$D$29*Inputs!$C$35))</f>
        <v/>
      </c>
      <c r="AD2149">
        <f>IF($B2149=0,0,IF(Inputs!$B$6="",0,COUNTIFS(Data!$A$10:$A$3209,"&gt;="&amp;$A2149,Data!$A$10:$A$3209,"&lt;"&amp;$A2149+1)))</f>
        <v/>
      </c>
      <c r="AE2149">
        <f>IF($B2149=0,0,IF(Inputs!$B$7="",0,COUNTIFS(Data!$E$10:$E$3209,"&gt;="&amp;$A2149,Data!$E$10:$E$3209,"&lt;"&amp;$A2149+1)))</f>
        <v/>
      </c>
      <c r="AF2149">
        <f>IF($B2149=0,0,IF(Inputs!$B$8="",0,COUNTIFS(Data!$I$10:$I$3209,"&gt;="&amp;$A2149,Data!$I$10:$I$3209,"&lt;"&amp;$A2149+1)))</f>
        <v/>
      </c>
      <c r="AG2149">
        <f>IF($B2149=0,0,IF(Inputs!$B$9="",0,COUNTIFS(Data!$M$10:$M$3209,"&gt;="&amp;$A2149,Data!$M$10:$M$3209,"&lt;"&amp;$A2149+1)))</f>
        <v/>
      </c>
      <c r="AH2149">
        <f>IF($B2149=0,0,IF(Inputs!$B$10="",0,COUNTIFS(Data!$Q$10:$Q$3209,"&gt;="&amp;$A2149,Data!$Q$10:$Q$3209,"&lt;"&amp;$A2149+1)))</f>
        <v/>
      </c>
    </row>
    <row r="2150">
      <c r="A2150" s="55">
        <f>MIN(Inputs!$C$15,$A2149+IF(WEEKDAY($A2149,2)=5,3,1))</f>
        <v/>
      </c>
      <c r="B2150">
        <f>IF($A2150&gt;$A2149,1,0)</f>
        <v/>
      </c>
      <c r="C2150" s="56">
        <f>IF($B2150=0,"",IF(Inputs!$B$6="","",IF($AD2150=0,C2149,SUMIFS(Data!$B$10:$B$3209,Data!$A$10:$A$3209,"&gt;="&amp;$A2150,Data!$A$10:$A$3209,"&lt;"&amp;$A2150+1)/$AD2150)))</f>
        <v/>
      </c>
      <c r="D2150" s="56">
        <f>IF($B2150=0,"",IF(Inputs!$B$7="","",IF($AE2150=0,D2149,SUMIFS(Data!$F$10:$F$3209,Data!$E$10:$E$3209,"&gt;="&amp;$A2150,Data!$E$10:$E$3209,"&lt;"&amp;$A2150+1)/$AE2150)))</f>
        <v/>
      </c>
      <c r="E2150" s="56">
        <f>IF($B2150=0,"",IF(Inputs!$B$8="","",IF($AF2150=0,E2149,SUMIFS(Data!$J$10:$J$3209,Data!$I$10:$I$3209,"&gt;="&amp;$A2150,Data!$I$10:$I$3209,"&lt;"&amp;$A2150+1)/$AF2150)))</f>
        <v/>
      </c>
      <c r="F2150" s="56">
        <f>IF($B2150=0,"",IF(Inputs!$B$9="","",IF($AG2150=0,F2149,SUMIFS(Data!$N$10:$N$3209,Data!$M$10:$M$3209,"&gt;="&amp;$A2150,Data!$M$10:$M$3209,"&lt;"&amp;$A2150+1)/$AG2150)))</f>
        <v/>
      </c>
      <c r="G2150" s="56">
        <f>IF($B2150=0,"",IF(Inputs!$B$10="","",IF($AH2150=0,G2149,SUMIFS(Data!$R$10:$R$3209,Data!$Q$10:$Q$3209,"&gt;="&amp;$A2150,Data!$Q$10:$Q$3209,"&lt;"&amp;$A2150+1)/$AH2150)))</f>
        <v/>
      </c>
      <c r="I2150" s="54">
        <f>IF($B2150=0,NA(),IF($C2150="",NA(),IF(C$8="",NA(),IF(N(C$8)=0,NA(),IF(Inputs!$C$17="Rebased to 100",$C2150/C$8*100,$C2150)))))</f>
        <v/>
      </c>
      <c r="J2150" s="54">
        <f>IF($B2150=0,NA(),IF($D2150="",NA(),IF(D$8="",NA(),IF(N(D$8)=0,NA(),IF(Inputs!$C$17="Rebased to 100",$D2150/D$8*100,$D2150)))))</f>
        <v/>
      </c>
      <c r="K2150" s="54">
        <f>IF($B2150=0,NA(),IF($E2150="",NA(),IF(E$8="",NA(),IF(N(E$8)=0,NA(),IF(Inputs!$C$17="Rebased to 100",$E2150/E$8*100,$E2150)))))</f>
        <v/>
      </c>
      <c r="L2150" s="54">
        <f>IF($B2150=0,NA(),IF($F2150="",NA(),IF(F$8="",NA(),IF(N(F$8)=0,NA(),IF(Inputs!$C$17="Rebased to 100",$F2150/F$8*100,$F2150)))))</f>
        <v/>
      </c>
      <c r="M2150" s="54">
        <f>IF($B2150=0,NA(),IF($G2150="",NA(),IF(G$8="",NA(),IF(N(G$8)=0,NA(),IF(Inputs!$C$17="Rebased to 100",$G2150/G$8*100,$G2150)))))</f>
        <v/>
      </c>
      <c r="N2150" s="54">
        <f>IF($B2150=0,NA(),IF(Inputs!$C$18&lt;&gt;"Yes",NA(),IF(COUNT(I2150,J2150,K2150,L2150,M2150)=0,NA(),MIN(I2150,J2150,K2150,L2150,M2150))))</f>
        <v/>
      </c>
      <c r="O2150" s="54">
        <f>IF($B2150=0,NA(),IF(Inputs!$B$24&lt;&gt;"Yes",NA(),Inputs!$D$24*Inputs!$C$35))</f>
        <v/>
      </c>
      <c r="P2150" s="54">
        <f>IF($B2150=0,NA(),IF(Inputs!$B$25&lt;&gt;"Yes",NA(),Inputs!$D$25*Inputs!$C$35))</f>
        <v/>
      </c>
      <c r="Q2150" s="54">
        <f>IF($B2150=0,NA(),IF(Inputs!$B$26&lt;&gt;"Yes",NA(),Inputs!$D$26*Inputs!$C$35))</f>
        <v/>
      </c>
      <c r="R2150" s="54">
        <f>IF($B2150=0,NA(),IF(Inputs!$B$27&lt;&gt;"Yes",NA(),Inputs!$D$27*Inputs!$C$35))</f>
        <v/>
      </c>
      <c r="S2150" s="54">
        <f>IF($B2150=0,NA(),IF(Inputs!$B$28&lt;&gt;"Yes",NA(),Inputs!$D$28*Inputs!$C$35))</f>
        <v/>
      </c>
      <c r="T2150" s="54">
        <f>IF($B2150=0,NA(),IF(Inputs!$B$29&lt;&gt;"Yes",NA(),Inputs!$D$29*Inputs!$C$35))</f>
        <v/>
      </c>
      <c r="AD2150">
        <f>IF($B2150=0,0,IF(Inputs!$B$6="",0,COUNTIFS(Data!$A$10:$A$3209,"&gt;="&amp;$A2150,Data!$A$10:$A$3209,"&lt;"&amp;$A2150+1)))</f>
        <v/>
      </c>
      <c r="AE2150">
        <f>IF($B2150=0,0,IF(Inputs!$B$7="",0,COUNTIFS(Data!$E$10:$E$3209,"&gt;="&amp;$A2150,Data!$E$10:$E$3209,"&lt;"&amp;$A2150+1)))</f>
        <v/>
      </c>
      <c r="AF2150">
        <f>IF($B2150=0,0,IF(Inputs!$B$8="",0,COUNTIFS(Data!$I$10:$I$3209,"&gt;="&amp;$A2150,Data!$I$10:$I$3209,"&lt;"&amp;$A2150+1)))</f>
        <v/>
      </c>
      <c r="AG2150">
        <f>IF($B2150=0,0,IF(Inputs!$B$9="",0,COUNTIFS(Data!$M$10:$M$3209,"&gt;="&amp;$A2150,Data!$M$10:$M$3209,"&lt;"&amp;$A2150+1)))</f>
        <v/>
      </c>
      <c r="AH2150">
        <f>IF($B2150=0,0,IF(Inputs!$B$10="",0,COUNTIFS(Data!$Q$10:$Q$3209,"&gt;="&amp;$A2150,Data!$Q$10:$Q$3209,"&lt;"&amp;$A2150+1)))</f>
        <v/>
      </c>
    </row>
    <row r="2151">
      <c r="A2151" s="55">
        <f>MIN(Inputs!$C$15,$A2150+IF(WEEKDAY($A2150,2)=5,3,1))</f>
        <v/>
      </c>
      <c r="B2151">
        <f>IF($A2151&gt;$A2150,1,0)</f>
        <v/>
      </c>
      <c r="C2151" s="56">
        <f>IF($B2151=0,"",IF(Inputs!$B$6="","",IF($AD2151=0,C2150,SUMIFS(Data!$B$10:$B$3209,Data!$A$10:$A$3209,"&gt;="&amp;$A2151,Data!$A$10:$A$3209,"&lt;"&amp;$A2151+1)/$AD2151)))</f>
        <v/>
      </c>
      <c r="D2151" s="56">
        <f>IF($B2151=0,"",IF(Inputs!$B$7="","",IF($AE2151=0,D2150,SUMIFS(Data!$F$10:$F$3209,Data!$E$10:$E$3209,"&gt;="&amp;$A2151,Data!$E$10:$E$3209,"&lt;"&amp;$A2151+1)/$AE2151)))</f>
        <v/>
      </c>
      <c r="E2151" s="56">
        <f>IF($B2151=0,"",IF(Inputs!$B$8="","",IF($AF2151=0,E2150,SUMIFS(Data!$J$10:$J$3209,Data!$I$10:$I$3209,"&gt;="&amp;$A2151,Data!$I$10:$I$3209,"&lt;"&amp;$A2151+1)/$AF2151)))</f>
        <v/>
      </c>
      <c r="F2151" s="56">
        <f>IF($B2151=0,"",IF(Inputs!$B$9="","",IF($AG2151=0,F2150,SUMIFS(Data!$N$10:$N$3209,Data!$M$10:$M$3209,"&gt;="&amp;$A2151,Data!$M$10:$M$3209,"&lt;"&amp;$A2151+1)/$AG2151)))</f>
        <v/>
      </c>
      <c r="G2151" s="56">
        <f>IF($B2151=0,"",IF(Inputs!$B$10="","",IF($AH2151=0,G2150,SUMIFS(Data!$R$10:$R$3209,Data!$Q$10:$Q$3209,"&gt;="&amp;$A2151,Data!$Q$10:$Q$3209,"&lt;"&amp;$A2151+1)/$AH2151)))</f>
        <v/>
      </c>
      <c r="I2151" s="54">
        <f>IF($B2151=0,NA(),IF($C2151="",NA(),IF(C$8="",NA(),IF(N(C$8)=0,NA(),IF(Inputs!$C$17="Rebased to 100",$C2151/C$8*100,$C2151)))))</f>
        <v/>
      </c>
      <c r="J2151" s="54">
        <f>IF($B2151=0,NA(),IF($D2151="",NA(),IF(D$8="",NA(),IF(N(D$8)=0,NA(),IF(Inputs!$C$17="Rebased to 100",$D2151/D$8*100,$D2151)))))</f>
        <v/>
      </c>
      <c r="K2151" s="54">
        <f>IF($B2151=0,NA(),IF($E2151="",NA(),IF(E$8="",NA(),IF(N(E$8)=0,NA(),IF(Inputs!$C$17="Rebased to 100",$E2151/E$8*100,$E2151)))))</f>
        <v/>
      </c>
      <c r="L2151" s="54">
        <f>IF($B2151=0,NA(),IF($F2151="",NA(),IF(F$8="",NA(),IF(N(F$8)=0,NA(),IF(Inputs!$C$17="Rebased to 100",$F2151/F$8*100,$F2151)))))</f>
        <v/>
      </c>
      <c r="M2151" s="54">
        <f>IF($B2151=0,NA(),IF($G2151="",NA(),IF(G$8="",NA(),IF(N(G$8)=0,NA(),IF(Inputs!$C$17="Rebased to 100",$G2151/G$8*100,$G2151)))))</f>
        <v/>
      </c>
      <c r="N2151" s="54">
        <f>IF($B2151=0,NA(),IF(Inputs!$C$18&lt;&gt;"Yes",NA(),IF(COUNT(I2151,J2151,K2151,L2151,M2151)=0,NA(),MIN(I2151,J2151,K2151,L2151,M2151))))</f>
        <v/>
      </c>
      <c r="O2151" s="54">
        <f>IF($B2151=0,NA(),IF(Inputs!$B$24&lt;&gt;"Yes",NA(),Inputs!$D$24*Inputs!$C$35))</f>
        <v/>
      </c>
      <c r="P2151" s="54">
        <f>IF($B2151=0,NA(),IF(Inputs!$B$25&lt;&gt;"Yes",NA(),Inputs!$D$25*Inputs!$C$35))</f>
        <v/>
      </c>
      <c r="Q2151" s="54">
        <f>IF($B2151=0,NA(),IF(Inputs!$B$26&lt;&gt;"Yes",NA(),Inputs!$D$26*Inputs!$C$35))</f>
        <v/>
      </c>
      <c r="R2151" s="54">
        <f>IF($B2151=0,NA(),IF(Inputs!$B$27&lt;&gt;"Yes",NA(),Inputs!$D$27*Inputs!$C$35))</f>
        <v/>
      </c>
      <c r="S2151" s="54">
        <f>IF($B2151=0,NA(),IF(Inputs!$B$28&lt;&gt;"Yes",NA(),Inputs!$D$28*Inputs!$C$35))</f>
        <v/>
      </c>
      <c r="T2151" s="54">
        <f>IF($B2151=0,NA(),IF(Inputs!$B$29&lt;&gt;"Yes",NA(),Inputs!$D$29*Inputs!$C$35))</f>
        <v/>
      </c>
      <c r="AD2151">
        <f>IF($B2151=0,0,IF(Inputs!$B$6="",0,COUNTIFS(Data!$A$10:$A$3209,"&gt;="&amp;$A2151,Data!$A$10:$A$3209,"&lt;"&amp;$A2151+1)))</f>
        <v/>
      </c>
      <c r="AE2151">
        <f>IF($B2151=0,0,IF(Inputs!$B$7="",0,COUNTIFS(Data!$E$10:$E$3209,"&gt;="&amp;$A2151,Data!$E$10:$E$3209,"&lt;"&amp;$A2151+1)))</f>
        <v/>
      </c>
      <c r="AF2151">
        <f>IF($B2151=0,0,IF(Inputs!$B$8="",0,COUNTIFS(Data!$I$10:$I$3209,"&gt;="&amp;$A2151,Data!$I$10:$I$3209,"&lt;"&amp;$A2151+1)))</f>
        <v/>
      </c>
      <c r="AG2151">
        <f>IF($B2151=0,0,IF(Inputs!$B$9="",0,COUNTIFS(Data!$M$10:$M$3209,"&gt;="&amp;$A2151,Data!$M$10:$M$3209,"&lt;"&amp;$A2151+1)))</f>
        <v/>
      </c>
      <c r="AH2151">
        <f>IF($B2151=0,0,IF(Inputs!$B$10="",0,COUNTIFS(Data!$Q$10:$Q$3209,"&gt;="&amp;$A2151,Data!$Q$10:$Q$3209,"&lt;"&amp;$A2151+1)))</f>
        <v/>
      </c>
    </row>
    <row r="2152">
      <c r="A2152" s="55">
        <f>MIN(Inputs!$C$15,$A2151+IF(WEEKDAY($A2151,2)=5,3,1))</f>
        <v/>
      </c>
      <c r="B2152">
        <f>IF($A2152&gt;$A2151,1,0)</f>
        <v/>
      </c>
      <c r="C2152" s="56">
        <f>IF($B2152=0,"",IF(Inputs!$B$6="","",IF($AD2152=0,C2151,SUMIFS(Data!$B$10:$B$3209,Data!$A$10:$A$3209,"&gt;="&amp;$A2152,Data!$A$10:$A$3209,"&lt;"&amp;$A2152+1)/$AD2152)))</f>
        <v/>
      </c>
      <c r="D2152" s="56">
        <f>IF($B2152=0,"",IF(Inputs!$B$7="","",IF($AE2152=0,D2151,SUMIFS(Data!$F$10:$F$3209,Data!$E$10:$E$3209,"&gt;="&amp;$A2152,Data!$E$10:$E$3209,"&lt;"&amp;$A2152+1)/$AE2152)))</f>
        <v/>
      </c>
      <c r="E2152" s="56">
        <f>IF($B2152=0,"",IF(Inputs!$B$8="","",IF($AF2152=0,E2151,SUMIFS(Data!$J$10:$J$3209,Data!$I$10:$I$3209,"&gt;="&amp;$A2152,Data!$I$10:$I$3209,"&lt;"&amp;$A2152+1)/$AF2152)))</f>
        <v/>
      </c>
      <c r="F2152" s="56">
        <f>IF($B2152=0,"",IF(Inputs!$B$9="","",IF($AG2152=0,F2151,SUMIFS(Data!$N$10:$N$3209,Data!$M$10:$M$3209,"&gt;="&amp;$A2152,Data!$M$10:$M$3209,"&lt;"&amp;$A2152+1)/$AG2152)))</f>
        <v/>
      </c>
      <c r="G2152" s="56">
        <f>IF($B2152=0,"",IF(Inputs!$B$10="","",IF($AH2152=0,G2151,SUMIFS(Data!$R$10:$R$3209,Data!$Q$10:$Q$3209,"&gt;="&amp;$A2152,Data!$Q$10:$Q$3209,"&lt;"&amp;$A2152+1)/$AH2152)))</f>
        <v/>
      </c>
      <c r="I2152" s="54">
        <f>IF($B2152=0,NA(),IF($C2152="",NA(),IF(C$8="",NA(),IF(N(C$8)=0,NA(),IF(Inputs!$C$17="Rebased to 100",$C2152/C$8*100,$C2152)))))</f>
        <v/>
      </c>
      <c r="J2152" s="54">
        <f>IF($B2152=0,NA(),IF($D2152="",NA(),IF(D$8="",NA(),IF(N(D$8)=0,NA(),IF(Inputs!$C$17="Rebased to 100",$D2152/D$8*100,$D2152)))))</f>
        <v/>
      </c>
      <c r="K2152" s="54">
        <f>IF($B2152=0,NA(),IF($E2152="",NA(),IF(E$8="",NA(),IF(N(E$8)=0,NA(),IF(Inputs!$C$17="Rebased to 100",$E2152/E$8*100,$E2152)))))</f>
        <v/>
      </c>
      <c r="L2152" s="54">
        <f>IF($B2152=0,NA(),IF($F2152="",NA(),IF(F$8="",NA(),IF(N(F$8)=0,NA(),IF(Inputs!$C$17="Rebased to 100",$F2152/F$8*100,$F2152)))))</f>
        <v/>
      </c>
      <c r="M2152" s="54">
        <f>IF($B2152=0,NA(),IF($G2152="",NA(),IF(G$8="",NA(),IF(N(G$8)=0,NA(),IF(Inputs!$C$17="Rebased to 100",$G2152/G$8*100,$G2152)))))</f>
        <v/>
      </c>
      <c r="N2152" s="54">
        <f>IF($B2152=0,NA(),IF(Inputs!$C$18&lt;&gt;"Yes",NA(),IF(COUNT(I2152,J2152,K2152,L2152,M2152)=0,NA(),MIN(I2152,J2152,K2152,L2152,M2152))))</f>
        <v/>
      </c>
      <c r="O2152" s="54">
        <f>IF($B2152=0,NA(),IF(Inputs!$B$24&lt;&gt;"Yes",NA(),Inputs!$D$24*Inputs!$C$35))</f>
        <v/>
      </c>
      <c r="P2152" s="54">
        <f>IF($B2152=0,NA(),IF(Inputs!$B$25&lt;&gt;"Yes",NA(),Inputs!$D$25*Inputs!$C$35))</f>
        <v/>
      </c>
      <c r="Q2152" s="54">
        <f>IF($B2152=0,NA(),IF(Inputs!$B$26&lt;&gt;"Yes",NA(),Inputs!$D$26*Inputs!$C$35))</f>
        <v/>
      </c>
      <c r="R2152" s="54">
        <f>IF($B2152=0,NA(),IF(Inputs!$B$27&lt;&gt;"Yes",NA(),Inputs!$D$27*Inputs!$C$35))</f>
        <v/>
      </c>
      <c r="S2152" s="54">
        <f>IF($B2152=0,NA(),IF(Inputs!$B$28&lt;&gt;"Yes",NA(),Inputs!$D$28*Inputs!$C$35))</f>
        <v/>
      </c>
      <c r="T2152" s="54">
        <f>IF($B2152=0,NA(),IF(Inputs!$B$29&lt;&gt;"Yes",NA(),Inputs!$D$29*Inputs!$C$35))</f>
        <v/>
      </c>
      <c r="AD2152">
        <f>IF($B2152=0,0,IF(Inputs!$B$6="",0,COUNTIFS(Data!$A$10:$A$3209,"&gt;="&amp;$A2152,Data!$A$10:$A$3209,"&lt;"&amp;$A2152+1)))</f>
        <v/>
      </c>
      <c r="AE2152">
        <f>IF($B2152=0,0,IF(Inputs!$B$7="",0,COUNTIFS(Data!$E$10:$E$3209,"&gt;="&amp;$A2152,Data!$E$10:$E$3209,"&lt;"&amp;$A2152+1)))</f>
        <v/>
      </c>
      <c r="AF2152">
        <f>IF($B2152=0,0,IF(Inputs!$B$8="",0,COUNTIFS(Data!$I$10:$I$3209,"&gt;="&amp;$A2152,Data!$I$10:$I$3209,"&lt;"&amp;$A2152+1)))</f>
        <v/>
      </c>
      <c r="AG2152">
        <f>IF($B2152=0,0,IF(Inputs!$B$9="",0,COUNTIFS(Data!$M$10:$M$3209,"&gt;="&amp;$A2152,Data!$M$10:$M$3209,"&lt;"&amp;$A2152+1)))</f>
        <v/>
      </c>
      <c r="AH2152">
        <f>IF($B2152=0,0,IF(Inputs!$B$10="",0,COUNTIFS(Data!$Q$10:$Q$3209,"&gt;="&amp;$A2152,Data!$Q$10:$Q$3209,"&lt;"&amp;$A2152+1)))</f>
        <v/>
      </c>
    </row>
    <row r="2153">
      <c r="A2153" s="55">
        <f>MIN(Inputs!$C$15,$A2152+IF(WEEKDAY($A2152,2)=5,3,1))</f>
        <v/>
      </c>
      <c r="B2153">
        <f>IF($A2153&gt;$A2152,1,0)</f>
        <v/>
      </c>
      <c r="C2153" s="56">
        <f>IF($B2153=0,"",IF(Inputs!$B$6="","",IF($AD2153=0,C2152,SUMIFS(Data!$B$10:$B$3209,Data!$A$10:$A$3209,"&gt;="&amp;$A2153,Data!$A$10:$A$3209,"&lt;"&amp;$A2153+1)/$AD2153)))</f>
        <v/>
      </c>
      <c r="D2153" s="56">
        <f>IF($B2153=0,"",IF(Inputs!$B$7="","",IF($AE2153=0,D2152,SUMIFS(Data!$F$10:$F$3209,Data!$E$10:$E$3209,"&gt;="&amp;$A2153,Data!$E$10:$E$3209,"&lt;"&amp;$A2153+1)/$AE2153)))</f>
        <v/>
      </c>
      <c r="E2153" s="56">
        <f>IF($B2153=0,"",IF(Inputs!$B$8="","",IF($AF2153=0,E2152,SUMIFS(Data!$J$10:$J$3209,Data!$I$10:$I$3209,"&gt;="&amp;$A2153,Data!$I$10:$I$3209,"&lt;"&amp;$A2153+1)/$AF2153)))</f>
        <v/>
      </c>
      <c r="F2153" s="56">
        <f>IF($B2153=0,"",IF(Inputs!$B$9="","",IF($AG2153=0,F2152,SUMIFS(Data!$N$10:$N$3209,Data!$M$10:$M$3209,"&gt;="&amp;$A2153,Data!$M$10:$M$3209,"&lt;"&amp;$A2153+1)/$AG2153)))</f>
        <v/>
      </c>
      <c r="G2153" s="56">
        <f>IF($B2153=0,"",IF(Inputs!$B$10="","",IF($AH2153=0,G2152,SUMIFS(Data!$R$10:$R$3209,Data!$Q$10:$Q$3209,"&gt;="&amp;$A2153,Data!$Q$10:$Q$3209,"&lt;"&amp;$A2153+1)/$AH2153)))</f>
        <v/>
      </c>
      <c r="I2153" s="54">
        <f>IF($B2153=0,NA(),IF($C2153="",NA(),IF(C$8="",NA(),IF(N(C$8)=0,NA(),IF(Inputs!$C$17="Rebased to 100",$C2153/C$8*100,$C2153)))))</f>
        <v/>
      </c>
      <c r="J2153" s="54">
        <f>IF($B2153=0,NA(),IF($D2153="",NA(),IF(D$8="",NA(),IF(N(D$8)=0,NA(),IF(Inputs!$C$17="Rebased to 100",$D2153/D$8*100,$D2153)))))</f>
        <v/>
      </c>
      <c r="K2153" s="54">
        <f>IF($B2153=0,NA(),IF($E2153="",NA(),IF(E$8="",NA(),IF(N(E$8)=0,NA(),IF(Inputs!$C$17="Rebased to 100",$E2153/E$8*100,$E2153)))))</f>
        <v/>
      </c>
      <c r="L2153" s="54">
        <f>IF($B2153=0,NA(),IF($F2153="",NA(),IF(F$8="",NA(),IF(N(F$8)=0,NA(),IF(Inputs!$C$17="Rebased to 100",$F2153/F$8*100,$F2153)))))</f>
        <v/>
      </c>
      <c r="M2153" s="54">
        <f>IF($B2153=0,NA(),IF($G2153="",NA(),IF(G$8="",NA(),IF(N(G$8)=0,NA(),IF(Inputs!$C$17="Rebased to 100",$G2153/G$8*100,$G2153)))))</f>
        <v/>
      </c>
      <c r="N2153" s="54">
        <f>IF($B2153=0,NA(),IF(Inputs!$C$18&lt;&gt;"Yes",NA(),IF(COUNT(I2153,J2153,K2153,L2153,M2153)=0,NA(),MIN(I2153,J2153,K2153,L2153,M2153))))</f>
        <v/>
      </c>
      <c r="O2153" s="54">
        <f>IF($B2153=0,NA(),IF(Inputs!$B$24&lt;&gt;"Yes",NA(),Inputs!$D$24*Inputs!$C$35))</f>
        <v/>
      </c>
      <c r="P2153" s="54">
        <f>IF($B2153=0,NA(),IF(Inputs!$B$25&lt;&gt;"Yes",NA(),Inputs!$D$25*Inputs!$C$35))</f>
        <v/>
      </c>
      <c r="Q2153" s="54">
        <f>IF($B2153=0,NA(),IF(Inputs!$B$26&lt;&gt;"Yes",NA(),Inputs!$D$26*Inputs!$C$35))</f>
        <v/>
      </c>
      <c r="R2153" s="54">
        <f>IF($B2153=0,NA(),IF(Inputs!$B$27&lt;&gt;"Yes",NA(),Inputs!$D$27*Inputs!$C$35))</f>
        <v/>
      </c>
      <c r="S2153" s="54">
        <f>IF($B2153=0,NA(),IF(Inputs!$B$28&lt;&gt;"Yes",NA(),Inputs!$D$28*Inputs!$C$35))</f>
        <v/>
      </c>
      <c r="T2153" s="54">
        <f>IF($B2153=0,NA(),IF(Inputs!$B$29&lt;&gt;"Yes",NA(),Inputs!$D$29*Inputs!$C$35))</f>
        <v/>
      </c>
      <c r="AD2153">
        <f>IF($B2153=0,0,IF(Inputs!$B$6="",0,COUNTIFS(Data!$A$10:$A$3209,"&gt;="&amp;$A2153,Data!$A$10:$A$3209,"&lt;"&amp;$A2153+1)))</f>
        <v/>
      </c>
      <c r="AE2153">
        <f>IF($B2153=0,0,IF(Inputs!$B$7="",0,COUNTIFS(Data!$E$10:$E$3209,"&gt;="&amp;$A2153,Data!$E$10:$E$3209,"&lt;"&amp;$A2153+1)))</f>
        <v/>
      </c>
      <c r="AF2153">
        <f>IF($B2153=0,0,IF(Inputs!$B$8="",0,COUNTIFS(Data!$I$10:$I$3209,"&gt;="&amp;$A2153,Data!$I$10:$I$3209,"&lt;"&amp;$A2153+1)))</f>
        <v/>
      </c>
      <c r="AG2153">
        <f>IF($B2153=0,0,IF(Inputs!$B$9="",0,COUNTIFS(Data!$M$10:$M$3209,"&gt;="&amp;$A2153,Data!$M$10:$M$3209,"&lt;"&amp;$A2153+1)))</f>
        <v/>
      </c>
      <c r="AH2153">
        <f>IF($B2153=0,0,IF(Inputs!$B$10="",0,COUNTIFS(Data!$Q$10:$Q$3209,"&gt;="&amp;$A2153,Data!$Q$10:$Q$3209,"&lt;"&amp;$A2153+1)))</f>
        <v/>
      </c>
    </row>
    <row r="2154">
      <c r="A2154" s="55">
        <f>MIN(Inputs!$C$15,$A2153+IF(WEEKDAY($A2153,2)=5,3,1))</f>
        <v/>
      </c>
      <c r="B2154">
        <f>IF($A2154&gt;$A2153,1,0)</f>
        <v/>
      </c>
      <c r="C2154" s="56">
        <f>IF($B2154=0,"",IF(Inputs!$B$6="","",IF($AD2154=0,C2153,SUMIFS(Data!$B$10:$B$3209,Data!$A$10:$A$3209,"&gt;="&amp;$A2154,Data!$A$10:$A$3209,"&lt;"&amp;$A2154+1)/$AD2154)))</f>
        <v/>
      </c>
      <c r="D2154" s="56">
        <f>IF($B2154=0,"",IF(Inputs!$B$7="","",IF($AE2154=0,D2153,SUMIFS(Data!$F$10:$F$3209,Data!$E$10:$E$3209,"&gt;="&amp;$A2154,Data!$E$10:$E$3209,"&lt;"&amp;$A2154+1)/$AE2154)))</f>
        <v/>
      </c>
      <c r="E2154" s="56">
        <f>IF($B2154=0,"",IF(Inputs!$B$8="","",IF($AF2154=0,E2153,SUMIFS(Data!$J$10:$J$3209,Data!$I$10:$I$3209,"&gt;="&amp;$A2154,Data!$I$10:$I$3209,"&lt;"&amp;$A2154+1)/$AF2154)))</f>
        <v/>
      </c>
      <c r="F2154" s="56">
        <f>IF($B2154=0,"",IF(Inputs!$B$9="","",IF($AG2154=0,F2153,SUMIFS(Data!$N$10:$N$3209,Data!$M$10:$M$3209,"&gt;="&amp;$A2154,Data!$M$10:$M$3209,"&lt;"&amp;$A2154+1)/$AG2154)))</f>
        <v/>
      </c>
      <c r="G2154" s="56">
        <f>IF($B2154=0,"",IF(Inputs!$B$10="","",IF($AH2154=0,G2153,SUMIFS(Data!$R$10:$R$3209,Data!$Q$10:$Q$3209,"&gt;="&amp;$A2154,Data!$Q$10:$Q$3209,"&lt;"&amp;$A2154+1)/$AH2154)))</f>
        <v/>
      </c>
      <c r="I2154" s="54">
        <f>IF($B2154=0,NA(),IF($C2154="",NA(),IF(C$8="",NA(),IF(N(C$8)=0,NA(),IF(Inputs!$C$17="Rebased to 100",$C2154/C$8*100,$C2154)))))</f>
        <v/>
      </c>
      <c r="J2154" s="54">
        <f>IF($B2154=0,NA(),IF($D2154="",NA(),IF(D$8="",NA(),IF(N(D$8)=0,NA(),IF(Inputs!$C$17="Rebased to 100",$D2154/D$8*100,$D2154)))))</f>
        <v/>
      </c>
      <c r="K2154" s="54">
        <f>IF($B2154=0,NA(),IF($E2154="",NA(),IF(E$8="",NA(),IF(N(E$8)=0,NA(),IF(Inputs!$C$17="Rebased to 100",$E2154/E$8*100,$E2154)))))</f>
        <v/>
      </c>
      <c r="L2154" s="54">
        <f>IF($B2154=0,NA(),IF($F2154="",NA(),IF(F$8="",NA(),IF(N(F$8)=0,NA(),IF(Inputs!$C$17="Rebased to 100",$F2154/F$8*100,$F2154)))))</f>
        <v/>
      </c>
      <c r="M2154" s="54">
        <f>IF($B2154=0,NA(),IF($G2154="",NA(),IF(G$8="",NA(),IF(N(G$8)=0,NA(),IF(Inputs!$C$17="Rebased to 100",$G2154/G$8*100,$G2154)))))</f>
        <v/>
      </c>
      <c r="N2154" s="54">
        <f>IF($B2154=0,NA(),IF(Inputs!$C$18&lt;&gt;"Yes",NA(),IF(COUNT(I2154,J2154,K2154,L2154,M2154)=0,NA(),MIN(I2154,J2154,K2154,L2154,M2154))))</f>
        <v/>
      </c>
      <c r="O2154" s="54">
        <f>IF($B2154=0,NA(),IF(Inputs!$B$24&lt;&gt;"Yes",NA(),Inputs!$D$24*Inputs!$C$35))</f>
        <v/>
      </c>
      <c r="P2154" s="54">
        <f>IF($B2154=0,NA(),IF(Inputs!$B$25&lt;&gt;"Yes",NA(),Inputs!$D$25*Inputs!$C$35))</f>
        <v/>
      </c>
      <c r="Q2154" s="54">
        <f>IF($B2154=0,NA(),IF(Inputs!$B$26&lt;&gt;"Yes",NA(),Inputs!$D$26*Inputs!$C$35))</f>
        <v/>
      </c>
      <c r="R2154" s="54">
        <f>IF($B2154=0,NA(),IF(Inputs!$B$27&lt;&gt;"Yes",NA(),Inputs!$D$27*Inputs!$C$35))</f>
        <v/>
      </c>
      <c r="S2154" s="54">
        <f>IF($B2154=0,NA(),IF(Inputs!$B$28&lt;&gt;"Yes",NA(),Inputs!$D$28*Inputs!$C$35))</f>
        <v/>
      </c>
      <c r="T2154" s="54">
        <f>IF($B2154=0,NA(),IF(Inputs!$B$29&lt;&gt;"Yes",NA(),Inputs!$D$29*Inputs!$C$35))</f>
        <v/>
      </c>
      <c r="AD2154">
        <f>IF($B2154=0,0,IF(Inputs!$B$6="",0,COUNTIFS(Data!$A$10:$A$3209,"&gt;="&amp;$A2154,Data!$A$10:$A$3209,"&lt;"&amp;$A2154+1)))</f>
        <v/>
      </c>
      <c r="AE2154">
        <f>IF($B2154=0,0,IF(Inputs!$B$7="",0,COUNTIFS(Data!$E$10:$E$3209,"&gt;="&amp;$A2154,Data!$E$10:$E$3209,"&lt;"&amp;$A2154+1)))</f>
        <v/>
      </c>
      <c r="AF2154">
        <f>IF($B2154=0,0,IF(Inputs!$B$8="",0,COUNTIFS(Data!$I$10:$I$3209,"&gt;="&amp;$A2154,Data!$I$10:$I$3209,"&lt;"&amp;$A2154+1)))</f>
        <v/>
      </c>
      <c r="AG2154">
        <f>IF($B2154=0,0,IF(Inputs!$B$9="",0,COUNTIFS(Data!$M$10:$M$3209,"&gt;="&amp;$A2154,Data!$M$10:$M$3209,"&lt;"&amp;$A2154+1)))</f>
        <v/>
      </c>
      <c r="AH2154">
        <f>IF($B2154=0,0,IF(Inputs!$B$10="",0,COUNTIFS(Data!$Q$10:$Q$3209,"&gt;="&amp;$A2154,Data!$Q$10:$Q$3209,"&lt;"&amp;$A2154+1)))</f>
        <v/>
      </c>
    </row>
    <row r="2155">
      <c r="A2155" s="55">
        <f>MIN(Inputs!$C$15,$A2154+IF(WEEKDAY($A2154,2)=5,3,1))</f>
        <v/>
      </c>
      <c r="B2155">
        <f>IF($A2155&gt;$A2154,1,0)</f>
        <v/>
      </c>
      <c r="C2155" s="56">
        <f>IF($B2155=0,"",IF(Inputs!$B$6="","",IF($AD2155=0,C2154,SUMIFS(Data!$B$10:$B$3209,Data!$A$10:$A$3209,"&gt;="&amp;$A2155,Data!$A$10:$A$3209,"&lt;"&amp;$A2155+1)/$AD2155)))</f>
        <v/>
      </c>
      <c r="D2155" s="56">
        <f>IF($B2155=0,"",IF(Inputs!$B$7="","",IF($AE2155=0,D2154,SUMIFS(Data!$F$10:$F$3209,Data!$E$10:$E$3209,"&gt;="&amp;$A2155,Data!$E$10:$E$3209,"&lt;"&amp;$A2155+1)/$AE2155)))</f>
        <v/>
      </c>
      <c r="E2155" s="56">
        <f>IF($B2155=0,"",IF(Inputs!$B$8="","",IF($AF2155=0,E2154,SUMIFS(Data!$J$10:$J$3209,Data!$I$10:$I$3209,"&gt;="&amp;$A2155,Data!$I$10:$I$3209,"&lt;"&amp;$A2155+1)/$AF2155)))</f>
        <v/>
      </c>
      <c r="F2155" s="56">
        <f>IF($B2155=0,"",IF(Inputs!$B$9="","",IF($AG2155=0,F2154,SUMIFS(Data!$N$10:$N$3209,Data!$M$10:$M$3209,"&gt;="&amp;$A2155,Data!$M$10:$M$3209,"&lt;"&amp;$A2155+1)/$AG2155)))</f>
        <v/>
      </c>
      <c r="G2155" s="56">
        <f>IF($B2155=0,"",IF(Inputs!$B$10="","",IF($AH2155=0,G2154,SUMIFS(Data!$R$10:$R$3209,Data!$Q$10:$Q$3209,"&gt;="&amp;$A2155,Data!$Q$10:$Q$3209,"&lt;"&amp;$A2155+1)/$AH2155)))</f>
        <v/>
      </c>
      <c r="I2155" s="54">
        <f>IF($B2155=0,NA(),IF($C2155="",NA(),IF(C$8="",NA(),IF(N(C$8)=0,NA(),IF(Inputs!$C$17="Rebased to 100",$C2155/C$8*100,$C2155)))))</f>
        <v/>
      </c>
      <c r="J2155" s="54">
        <f>IF($B2155=0,NA(),IF($D2155="",NA(),IF(D$8="",NA(),IF(N(D$8)=0,NA(),IF(Inputs!$C$17="Rebased to 100",$D2155/D$8*100,$D2155)))))</f>
        <v/>
      </c>
      <c r="K2155" s="54">
        <f>IF($B2155=0,NA(),IF($E2155="",NA(),IF(E$8="",NA(),IF(N(E$8)=0,NA(),IF(Inputs!$C$17="Rebased to 100",$E2155/E$8*100,$E2155)))))</f>
        <v/>
      </c>
      <c r="L2155" s="54">
        <f>IF($B2155=0,NA(),IF($F2155="",NA(),IF(F$8="",NA(),IF(N(F$8)=0,NA(),IF(Inputs!$C$17="Rebased to 100",$F2155/F$8*100,$F2155)))))</f>
        <v/>
      </c>
      <c r="M2155" s="54">
        <f>IF($B2155=0,NA(),IF($G2155="",NA(),IF(G$8="",NA(),IF(N(G$8)=0,NA(),IF(Inputs!$C$17="Rebased to 100",$G2155/G$8*100,$G2155)))))</f>
        <v/>
      </c>
      <c r="N2155" s="54">
        <f>IF($B2155=0,NA(),IF(Inputs!$C$18&lt;&gt;"Yes",NA(),IF(COUNT(I2155,J2155,K2155,L2155,M2155)=0,NA(),MIN(I2155,J2155,K2155,L2155,M2155))))</f>
        <v/>
      </c>
      <c r="O2155" s="54">
        <f>IF($B2155=0,NA(),IF(Inputs!$B$24&lt;&gt;"Yes",NA(),Inputs!$D$24*Inputs!$C$35))</f>
        <v/>
      </c>
      <c r="P2155" s="54">
        <f>IF($B2155=0,NA(),IF(Inputs!$B$25&lt;&gt;"Yes",NA(),Inputs!$D$25*Inputs!$C$35))</f>
        <v/>
      </c>
      <c r="Q2155" s="54">
        <f>IF($B2155=0,NA(),IF(Inputs!$B$26&lt;&gt;"Yes",NA(),Inputs!$D$26*Inputs!$C$35))</f>
        <v/>
      </c>
      <c r="R2155" s="54">
        <f>IF($B2155=0,NA(),IF(Inputs!$B$27&lt;&gt;"Yes",NA(),Inputs!$D$27*Inputs!$C$35))</f>
        <v/>
      </c>
      <c r="S2155" s="54">
        <f>IF($B2155=0,NA(),IF(Inputs!$B$28&lt;&gt;"Yes",NA(),Inputs!$D$28*Inputs!$C$35))</f>
        <v/>
      </c>
      <c r="T2155" s="54">
        <f>IF($B2155=0,NA(),IF(Inputs!$B$29&lt;&gt;"Yes",NA(),Inputs!$D$29*Inputs!$C$35))</f>
        <v/>
      </c>
      <c r="AD2155">
        <f>IF($B2155=0,0,IF(Inputs!$B$6="",0,COUNTIFS(Data!$A$10:$A$3209,"&gt;="&amp;$A2155,Data!$A$10:$A$3209,"&lt;"&amp;$A2155+1)))</f>
        <v/>
      </c>
      <c r="AE2155">
        <f>IF($B2155=0,0,IF(Inputs!$B$7="",0,COUNTIFS(Data!$E$10:$E$3209,"&gt;="&amp;$A2155,Data!$E$10:$E$3209,"&lt;"&amp;$A2155+1)))</f>
        <v/>
      </c>
      <c r="AF2155">
        <f>IF($B2155=0,0,IF(Inputs!$B$8="",0,COUNTIFS(Data!$I$10:$I$3209,"&gt;="&amp;$A2155,Data!$I$10:$I$3209,"&lt;"&amp;$A2155+1)))</f>
        <v/>
      </c>
      <c r="AG2155">
        <f>IF($B2155=0,0,IF(Inputs!$B$9="",0,COUNTIFS(Data!$M$10:$M$3209,"&gt;="&amp;$A2155,Data!$M$10:$M$3209,"&lt;"&amp;$A2155+1)))</f>
        <v/>
      </c>
      <c r="AH2155">
        <f>IF($B2155=0,0,IF(Inputs!$B$10="",0,COUNTIFS(Data!$Q$10:$Q$3209,"&gt;="&amp;$A2155,Data!$Q$10:$Q$3209,"&lt;"&amp;$A2155+1)))</f>
        <v/>
      </c>
    </row>
    <row r="2156">
      <c r="A2156" s="55">
        <f>MIN(Inputs!$C$15,$A2155+IF(WEEKDAY($A2155,2)=5,3,1))</f>
        <v/>
      </c>
      <c r="B2156">
        <f>IF($A2156&gt;$A2155,1,0)</f>
        <v/>
      </c>
      <c r="C2156" s="56">
        <f>IF($B2156=0,"",IF(Inputs!$B$6="","",IF($AD2156=0,C2155,SUMIFS(Data!$B$10:$B$3209,Data!$A$10:$A$3209,"&gt;="&amp;$A2156,Data!$A$10:$A$3209,"&lt;"&amp;$A2156+1)/$AD2156)))</f>
        <v/>
      </c>
      <c r="D2156" s="56">
        <f>IF($B2156=0,"",IF(Inputs!$B$7="","",IF($AE2156=0,D2155,SUMIFS(Data!$F$10:$F$3209,Data!$E$10:$E$3209,"&gt;="&amp;$A2156,Data!$E$10:$E$3209,"&lt;"&amp;$A2156+1)/$AE2156)))</f>
        <v/>
      </c>
      <c r="E2156" s="56">
        <f>IF($B2156=0,"",IF(Inputs!$B$8="","",IF($AF2156=0,E2155,SUMIFS(Data!$J$10:$J$3209,Data!$I$10:$I$3209,"&gt;="&amp;$A2156,Data!$I$10:$I$3209,"&lt;"&amp;$A2156+1)/$AF2156)))</f>
        <v/>
      </c>
      <c r="F2156" s="56">
        <f>IF($B2156=0,"",IF(Inputs!$B$9="","",IF($AG2156=0,F2155,SUMIFS(Data!$N$10:$N$3209,Data!$M$10:$M$3209,"&gt;="&amp;$A2156,Data!$M$10:$M$3209,"&lt;"&amp;$A2156+1)/$AG2156)))</f>
        <v/>
      </c>
      <c r="G2156" s="56">
        <f>IF($B2156=0,"",IF(Inputs!$B$10="","",IF($AH2156=0,G2155,SUMIFS(Data!$R$10:$R$3209,Data!$Q$10:$Q$3209,"&gt;="&amp;$A2156,Data!$Q$10:$Q$3209,"&lt;"&amp;$A2156+1)/$AH2156)))</f>
        <v/>
      </c>
      <c r="I2156" s="54">
        <f>IF($B2156=0,NA(),IF($C2156="",NA(),IF(C$8="",NA(),IF(N(C$8)=0,NA(),IF(Inputs!$C$17="Rebased to 100",$C2156/C$8*100,$C2156)))))</f>
        <v/>
      </c>
      <c r="J2156" s="54">
        <f>IF($B2156=0,NA(),IF($D2156="",NA(),IF(D$8="",NA(),IF(N(D$8)=0,NA(),IF(Inputs!$C$17="Rebased to 100",$D2156/D$8*100,$D2156)))))</f>
        <v/>
      </c>
      <c r="K2156" s="54">
        <f>IF($B2156=0,NA(),IF($E2156="",NA(),IF(E$8="",NA(),IF(N(E$8)=0,NA(),IF(Inputs!$C$17="Rebased to 100",$E2156/E$8*100,$E2156)))))</f>
        <v/>
      </c>
      <c r="L2156" s="54">
        <f>IF($B2156=0,NA(),IF($F2156="",NA(),IF(F$8="",NA(),IF(N(F$8)=0,NA(),IF(Inputs!$C$17="Rebased to 100",$F2156/F$8*100,$F2156)))))</f>
        <v/>
      </c>
      <c r="M2156" s="54">
        <f>IF($B2156=0,NA(),IF($G2156="",NA(),IF(G$8="",NA(),IF(N(G$8)=0,NA(),IF(Inputs!$C$17="Rebased to 100",$G2156/G$8*100,$G2156)))))</f>
        <v/>
      </c>
      <c r="N2156" s="54">
        <f>IF($B2156=0,NA(),IF(Inputs!$C$18&lt;&gt;"Yes",NA(),IF(COUNT(I2156,J2156,K2156,L2156,M2156)=0,NA(),MIN(I2156,J2156,K2156,L2156,M2156))))</f>
        <v/>
      </c>
      <c r="O2156" s="54">
        <f>IF($B2156=0,NA(),IF(Inputs!$B$24&lt;&gt;"Yes",NA(),Inputs!$D$24*Inputs!$C$35))</f>
        <v/>
      </c>
      <c r="P2156" s="54">
        <f>IF($B2156=0,NA(),IF(Inputs!$B$25&lt;&gt;"Yes",NA(),Inputs!$D$25*Inputs!$C$35))</f>
        <v/>
      </c>
      <c r="Q2156" s="54">
        <f>IF($B2156=0,NA(),IF(Inputs!$B$26&lt;&gt;"Yes",NA(),Inputs!$D$26*Inputs!$C$35))</f>
        <v/>
      </c>
      <c r="R2156" s="54">
        <f>IF($B2156=0,NA(),IF(Inputs!$B$27&lt;&gt;"Yes",NA(),Inputs!$D$27*Inputs!$C$35))</f>
        <v/>
      </c>
      <c r="S2156" s="54">
        <f>IF($B2156=0,NA(),IF(Inputs!$B$28&lt;&gt;"Yes",NA(),Inputs!$D$28*Inputs!$C$35))</f>
        <v/>
      </c>
      <c r="T2156" s="54">
        <f>IF($B2156=0,NA(),IF(Inputs!$B$29&lt;&gt;"Yes",NA(),Inputs!$D$29*Inputs!$C$35))</f>
        <v/>
      </c>
      <c r="AD2156">
        <f>IF($B2156=0,0,IF(Inputs!$B$6="",0,COUNTIFS(Data!$A$10:$A$3209,"&gt;="&amp;$A2156,Data!$A$10:$A$3209,"&lt;"&amp;$A2156+1)))</f>
        <v/>
      </c>
      <c r="AE2156">
        <f>IF($B2156=0,0,IF(Inputs!$B$7="",0,COUNTIFS(Data!$E$10:$E$3209,"&gt;="&amp;$A2156,Data!$E$10:$E$3209,"&lt;"&amp;$A2156+1)))</f>
        <v/>
      </c>
      <c r="AF2156">
        <f>IF($B2156=0,0,IF(Inputs!$B$8="",0,COUNTIFS(Data!$I$10:$I$3209,"&gt;="&amp;$A2156,Data!$I$10:$I$3209,"&lt;"&amp;$A2156+1)))</f>
        <v/>
      </c>
      <c r="AG2156">
        <f>IF($B2156=0,0,IF(Inputs!$B$9="",0,COUNTIFS(Data!$M$10:$M$3209,"&gt;="&amp;$A2156,Data!$M$10:$M$3209,"&lt;"&amp;$A2156+1)))</f>
        <v/>
      </c>
      <c r="AH2156">
        <f>IF($B2156=0,0,IF(Inputs!$B$10="",0,COUNTIFS(Data!$Q$10:$Q$3209,"&gt;="&amp;$A2156,Data!$Q$10:$Q$3209,"&lt;"&amp;$A2156+1)))</f>
        <v/>
      </c>
    </row>
    <row r="2157">
      <c r="A2157" s="55">
        <f>MIN(Inputs!$C$15,$A2156+IF(WEEKDAY($A2156,2)=5,3,1))</f>
        <v/>
      </c>
      <c r="B2157">
        <f>IF($A2157&gt;$A2156,1,0)</f>
        <v/>
      </c>
      <c r="C2157" s="56">
        <f>IF($B2157=0,"",IF(Inputs!$B$6="","",IF($AD2157=0,C2156,SUMIFS(Data!$B$10:$B$3209,Data!$A$10:$A$3209,"&gt;="&amp;$A2157,Data!$A$10:$A$3209,"&lt;"&amp;$A2157+1)/$AD2157)))</f>
        <v/>
      </c>
      <c r="D2157" s="56">
        <f>IF($B2157=0,"",IF(Inputs!$B$7="","",IF($AE2157=0,D2156,SUMIFS(Data!$F$10:$F$3209,Data!$E$10:$E$3209,"&gt;="&amp;$A2157,Data!$E$10:$E$3209,"&lt;"&amp;$A2157+1)/$AE2157)))</f>
        <v/>
      </c>
      <c r="E2157" s="56">
        <f>IF($B2157=0,"",IF(Inputs!$B$8="","",IF($AF2157=0,E2156,SUMIFS(Data!$J$10:$J$3209,Data!$I$10:$I$3209,"&gt;="&amp;$A2157,Data!$I$10:$I$3209,"&lt;"&amp;$A2157+1)/$AF2157)))</f>
        <v/>
      </c>
      <c r="F2157" s="56">
        <f>IF($B2157=0,"",IF(Inputs!$B$9="","",IF($AG2157=0,F2156,SUMIFS(Data!$N$10:$N$3209,Data!$M$10:$M$3209,"&gt;="&amp;$A2157,Data!$M$10:$M$3209,"&lt;"&amp;$A2157+1)/$AG2157)))</f>
        <v/>
      </c>
      <c r="G2157" s="56">
        <f>IF($B2157=0,"",IF(Inputs!$B$10="","",IF($AH2157=0,G2156,SUMIFS(Data!$R$10:$R$3209,Data!$Q$10:$Q$3209,"&gt;="&amp;$A2157,Data!$Q$10:$Q$3209,"&lt;"&amp;$A2157+1)/$AH2157)))</f>
        <v/>
      </c>
      <c r="I2157" s="54">
        <f>IF($B2157=0,NA(),IF($C2157="",NA(),IF(C$8="",NA(),IF(N(C$8)=0,NA(),IF(Inputs!$C$17="Rebased to 100",$C2157/C$8*100,$C2157)))))</f>
        <v/>
      </c>
      <c r="J2157" s="54">
        <f>IF($B2157=0,NA(),IF($D2157="",NA(),IF(D$8="",NA(),IF(N(D$8)=0,NA(),IF(Inputs!$C$17="Rebased to 100",$D2157/D$8*100,$D2157)))))</f>
        <v/>
      </c>
      <c r="K2157" s="54">
        <f>IF($B2157=0,NA(),IF($E2157="",NA(),IF(E$8="",NA(),IF(N(E$8)=0,NA(),IF(Inputs!$C$17="Rebased to 100",$E2157/E$8*100,$E2157)))))</f>
        <v/>
      </c>
      <c r="L2157" s="54">
        <f>IF($B2157=0,NA(),IF($F2157="",NA(),IF(F$8="",NA(),IF(N(F$8)=0,NA(),IF(Inputs!$C$17="Rebased to 100",$F2157/F$8*100,$F2157)))))</f>
        <v/>
      </c>
      <c r="M2157" s="54">
        <f>IF($B2157=0,NA(),IF($G2157="",NA(),IF(G$8="",NA(),IF(N(G$8)=0,NA(),IF(Inputs!$C$17="Rebased to 100",$G2157/G$8*100,$G2157)))))</f>
        <v/>
      </c>
      <c r="N2157" s="54">
        <f>IF($B2157=0,NA(),IF(Inputs!$C$18&lt;&gt;"Yes",NA(),IF(COUNT(I2157,J2157,K2157,L2157,M2157)=0,NA(),MIN(I2157,J2157,K2157,L2157,M2157))))</f>
        <v/>
      </c>
      <c r="O2157" s="54">
        <f>IF($B2157=0,NA(),IF(Inputs!$B$24&lt;&gt;"Yes",NA(),Inputs!$D$24*Inputs!$C$35))</f>
        <v/>
      </c>
      <c r="P2157" s="54">
        <f>IF($B2157=0,NA(),IF(Inputs!$B$25&lt;&gt;"Yes",NA(),Inputs!$D$25*Inputs!$C$35))</f>
        <v/>
      </c>
      <c r="Q2157" s="54">
        <f>IF($B2157=0,NA(),IF(Inputs!$B$26&lt;&gt;"Yes",NA(),Inputs!$D$26*Inputs!$C$35))</f>
        <v/>
      </c>
      <c r="R2157" s="54">
        <f>IF($B2157=0,NA(),IF(Inputs!$B$27&lt;&gt;"Yes",NA(),Inputs!$D$27*Inputs!$C$35))</f>
        <v/>
      </c>
      <c r="S2157" s="54">
        <f>IF($B2157=0,NA(),IF(Inputs!$B$28&lt;&gt;"Yes",NA(),Inputs!$D$28*Inputs!$C$35))</f>
        <v/>
      </c>
      <c r="T2157" s="54">
        <f>IF($B2157=0,NA(),IF(Inputs!$B$29&lt;&gt;"Yes",NA(),Inputs!$D$29*Inputs!$C$35))</f>
        <v/>
      </c>
      <c r="AD2157">
        <f>IF($B2157=0,0,IF(Inputs!$B$6="",0,COUNTIFS(Data!$A$10:$A$3209,"&gt;="&amp;$A2157,Data!$A$10:$A$3209,"&lt;"&amp;$A2157+1)))</f>
        <v/>
      </c>
      <c r="AE2157">
        <f>IF($B2157=0,0,IF(Inputs!$B$7="",0,COUNTIFS(Data!$E$10:$E$3209,"&gt;="&amp;$A2157,Data!$E$10:$E$3209,"&lt;"&amp;$A2157+1)))</f>
        <v/>
      </c>
      <c r="AF2157">
        <f>IF($B2157=0,0,IF(Inputs!$B$8="",0,COUNTIFS(Data!$I$10:$I$3209,"&gt;="&amp;$A2157,Data!$I$10:$I$3209,"&lt;"&amp;$A2157+1)))</f>
        <v/>
      </c>
      <c r="AG2157">
        <f>IF($B2157=0,0,IF(Inputs!$B$9="",0,COUNTIFS(Data!$M$10:$M$3209,"&gt;="&amp;$A2157,Data!$M$10:$M$3209,"&lt;"&amp;$A2157+1)))</f>
        <v/>
      </c>
      <c r="AH2157">
        <f>IF($B2157=0,0,IF(Inputs!$B$10="",0,COUNTIFS(Data!$Q$10:$Q$3209,"&gt;="&amp;$A2157,Data!$Q$10:$Q$3209,"&lt;"&amp;$A2157+1)))</f>
        <v/>
      </c>
    </row>
    <row r="2158">
      <c r="A2158" s="55">
        <f>MIN(Inputs!$C$15,$A2157+IF(WEEKDAY($A2157,2)=5,3,1))</f>
        <v/>
      </c>
      <c r="B2158">
        <f>IF($A2158&gt;$A2157,1,0)</f>
        <v/>
      </c>
      <c r="C2158" s="56">
        <f>IF($B2158=0,"",IF(Inputs!$B$6="","",IF($AD2158=0,C2157,SUMIFS(Data!$B$10:$B$3209,Data!$A$10:$A$3209,"&gt;="&amp;$A2158,Data!$A$10:$A$3209,"&lt;"&amp;$A2158+1)/$AD2158)))</f>
        <v/>
      </c>
      <c r="D2158" s="56">
        <f>IF($B2158=0,"",IF(Inputs!$B$7="","",IF($AE2158=0,D2157,SUMIFS(Data!$F$10:$F$3209,Data!$E$10:$E$3209,"&gt;="&amp;$A2158,Data!$E$10:$E$3209,"&lt;"&amp;$A2158+1)/$AE2158)))</f>
        <v/>
      </c>
      <c r="E2158" s="56">
        <f>IF($B2158=0,"",IF(Inputs!$B$8="","",IF($AF2158=0,E2157,SUMIFS(Data!$J$10:$J$3209,Data!$I$10:$I$3209,"&gt;="&amp;$A2158,Data!$I$10:$I$3209,"&lt;"&amp;$A2158+1)/$AF2158)))</f>
        <v/>
      </c>
      <c r="F2158" s="56">
        <f>IF($B2158=0,"",IF(Inputs!$B$9="","",IF($AG2158=0,F2157,SUMIFS(Data!$N$10:$N$3209,Data!$M$10:$M$3209,"&gt;="&amp;$A2158,Data!$M$10:$M$3209,"&lt;"&amp;$A2158+1)/$AG2158)))</f>
        <v/>
      </c>
      <c r="G2158" s="56">
        <f>IF($B2158=0,"",IF(Inputs!$B$10="","",IF($AH2158=0,G2157,SUMIFS(Data!$R$10:$R$3209,Data!$Q$10:$Q$3209,"&gt;="&amp;$A2158,Data!$Q$10:$Q$3209,"&lt;"&amp;$A2158+1)/$AH2158)))</f>
        <v/>
      </c>
      <c r="I2158" s="54">
        <f>IF($B2158=0,NA(),IF($C2158="",NA(),IF(C$8="",NA(),IF(N(C$8)=0,NA(),IF(Inputs!$C$17="Rebased to 100",$C2158/C$8*100,$C2158)))))</f>
        <v/>
      </c>
      <c r="J2158" s="54">
        <f>IF($B2158=0,NA(),IF($D2158="",NA(),IF(D$8="",NA(),IF(N(D$8)=0,NA(),IF(Inputs!$C$17="Rebased to 100",$D2158/D$8*100,$D2158)))))</f>
        <v/>
      </c>
      <c r="K2158" s="54">
        <f>IF($B2158=0,NA(),IF($E2158="",NA(),IF(E$8="",NA(),IF(N(E$8)=0,NA(),IF(Inputs!$C$17="Rebased to 100",$E2158/E$8*100,$E2158)))))</f>
        <v/>
      </c>
      <c r="L2158" s="54">
        <f>IF($B2158=0,NA(),IF($F2158="",NA(),IF(F$8="",NA(),IF(N(F$8)=0,NA(),IF(Inputs!$C$17="Rebased to 100",$F2158/F$8*100,$F2158)))))</f>
        <v/>
      </c>
      <c r="M2158" s="54">
        <f>IF($B2158=0,NA(),IF($G2158="",NA(),IF(G$8="",NA(),IF(N(G$8)=0,NA(),IF(Inputs!$C$17="Rebased to 100",$G2158/G$8*100,$G2158)))))</f>
        <v/>
      </c>
      <c r="N2158" s="54">
        <f>IF($B2158=0,NA(),IF(Inputs!$C$18&lt;&gt;"Yes",NA(),IF(COUNT(I2158,J2158,K2158,L2158,M2158)=0,NA(),MIN(I2158,J2158,K2158,L2158,M2158))))</f>
        <v/>
      </c>
      <c r="O2158" s="54">
        <f>IF($B2158=0,NA(),IF(Inputs!$B$24&lt;&gt;"Yes",NA(),Inputs!$D$24*Inputs!$C$35))</f>
        <v/>
      </c>
      <c r="P2158" s="54">
        <f>IF($B2158=0,NA(),IF(Inputs!$B$25&lt;&gt;"Yes",NA(),Inputs!$D$25*Inputs!$C$35))</f>
        <v/>
      </c>
      <c r="Q2158" s="54">
        <f>IF($B2158=0,NA(),IF(Inputs!$B$26&lt;&gt;"Yes",NA(),Inputs!$D$26*Inputs!$C$35))</f>
        <v/>
      </c>
      <c r="R2158" s="54">
        <f>IF($B2158=0,NA(),IF(Inputs!$B$27&lt;&gt;"Yes",NA(),Inputs!$D$27*Inputs!$C$35))</f>
        <v/>
      </c>
      <c r="S2158" s="54">
        <f>IF($B2158=0,NA(),IF(Inputs!$B$28&lt;&gt;"Yes",NA(),Inputs!$D$28*Inputs!$C$35))</f>
        <v/>
      </c>
      <c r="T2158" s="54">
        <f>IF($B2158=0,NA(),IF(Inputs!$B$29&lt;&gt;"Yes",NA(),Inputs!$D$29*Inputs!$C$35))</f>
        <v/>
      </c>
      <c r="AD2158">
        <f>IF($B2158=0,0,IF(Inputs!$B$6="",0,COUNTIFS(Data!$A$10:$A$3209,"&gt;="&amp;$A2158,Data!$A$10:$A$3209,"&lt;"&amp;$A2158+1)))</f>
        <v/>
      </c>
      <c r="AE2158">
        <f>IF($B2158=0,0,IF(Inputs!$B$7="",0,COUNTIFS(Data!$E$10:$E$3209,"&gt;="&amp;$A2158,Data!$E$10:$E$3209,"&lt;"&amp;$A2158+1)))</f>
        <v/>
      </c>
      <c r="AF2158">
        <f>IF($B2158=0,0,IF(Inputs!$B$8="",0,COUNTIFS(Data!$I$10:$I$3209,"&gt;="&amp;$A2158,Data!$I$10:$I$3209,"&lt;"&amp;$A2158+1)))</f>
        <v/>
      </c>
      <c r="AG2158">
        <f>IF($B2158=0,0,IF(Inputs!$B$9="",0,COUNTIFS(Data!$M$10:$M$3209,"&gt;="&amp;$A2158,Data!$M$10:$M$3209,"&lt;"&amp;$A2158+1)))</f>
        <v/>
      </c>
      <c r="AH2158">
        <f>IF($B2158=0,0,IF(Inputs!$B$10="",0,COUNTIFS(Data!$Q$10:$Q$3209,"&gt;="&amp;$A2158,Data!$Q$10:$Q$3209,"&lt;"&amp;$A2158+1)))</f>
        <v/>
      </c>
    </row>
    <row r="2159">
      <c r="A2159" s="55">
        <f>MIN(Inputs!$C$15,$A2158+IF(WEEKDAY($A2158,2)=5,3,1))</f>
        <v/>
      </c>
      <c r="B2159">
        <f>IF($A2159&gt;$A2158,1,0)</f>
        <v/>
      </c>
      <c r="C2159" s="56">
        <f>IF($B2159=0,"",IF(Inputs!$B$6="","",IF($AD2159=0,C2158,SUMIFS(Data!$B$10:$B$3209,Data!$A$10:$A$3209,"&gt;="&amp;$A2159,Data!$A$10:$A$3209,"&lt;"&amp;$A2159+1)/$AD2159)))</f>
        <v/>
      </c>
      <c r="D2159" s="56">
        <f>IF($B2159=0,"",IF(Inputs!$B$7="","",IF($AE2159=0,D2158,SUMIFS(Data!$F$10:$F$3209,Data!$E$10:$E$3209,"&gt;="&amp;$A2159,Data!$E$10:$E$3209,"&lt;"&amp;$A2159+1)/$AE2159)))</f>
        <v/>
      </c>
      <c r="E2159" s="56">
        <f>IF($B2159=0,"",IF(Inputs!$B$8="","",IF($AF2159=0,E2158,SUMIFS(Data!$J$10:$J$3209,Data!$I$10:$I$3209,"&gt;="&amp;$A2159,Data!$I$10:$I$3209,"&lt;"&amp;$A2159+1)/$AF2159)))</f>
        <v/>
      </c>
      <c r="F2159" s="56">
        <f>IF($B2159=0,"",IF(Inputs!$B$9="","",IF($AG2159=0,F2158,SUMIFS(Data!$N$10:$N$3209,Data!$M$10:$M$3209,"&gt;="&amp;$A2159,Data!$M$10:$M$3209,"&lt;"&amp;$A2159+1)/$AG2159)))</f>
        <v/>
      </c>
      <c r="G2159" s="56">
        <f>IF($B2159=0,"",IF(Inputs!$B$10="","",IF($AH2159=0,G2158,SUMIFS(Data!$R$10:$R$3209,Data!$Q$10:$Q$3209,"&gt;="&amp;$A2159,Data!$Q$10:$Q$3209,"&lt;"&amp;$A2159+1)/$AH2159)))</f>
        <v/>
      </c>
      <c r="I2159" s="54">
        <f>IF($B2159=0,NA(),IF($C2159="",NA(),IF(C$8="",NA(),IF(N(C$8)=0,NA(),IF(Inputs!$C$17="Rebased to 100",$C2159/C$8*100,$C2159)))))</f>
        <v/>
      </c>
      <c r="J2159" s="54">
        <f>IF($B2159=0,NA(),IF($D2159="",NA(),IF(D$8="",NA(),IF(N(D$8)=0,NA(),IF(Inputs!$C$17="Rebased to 100",$D2159/D$8*100,$D2159)))))</f>
        <v/>
      </c>
      <c r="K2159" s="54">
        <f>IF($B2159=0,NA(),IF($E2159="",NA(),IF(E$8="",NA(),IF(N(E$8)=0,NA(),IF(Inputs!$C$17="Rebased to 100",$E2159/E$8*100,$E2159)))))</f>
        <v/>
      </c>
      <c r="L2159" s="54">
        <f>IF($B2159=0,NA(),IF($F2159="",NA(),IF(F$8="",NA(),IF(N(F$8)=0,NA(),IF(Inputs!$C$17="Rebased to 100",$F2159/F$8*100,$F2159)))))</f>
        <v/>
      </c>
      <c r="M2159" s="54">
        <f>IF($B2159=0,NA(),IF($G2159="",NA(),IF(G$8="",NA(),IF(N(G$8)=0,NA(),IF(Inputs!$C$17="Rebased to 100",$G2159/G$8*100,$G2159)))))</f>
        <v/>
      </c>
      <c r="N2159" s="54">
        <f>IF($B2159=0,NA(),IF(Inputs!$C$18&lt;&gt;"Yes",NA(),IF(COUNT(I2159,J2159,K2159,L2159,M2159)=0,NA(),MIN(I2159,J2159,K2159,L2159,M2159))))</f>
        <v/>
      </c>
      <c r="O2159" s="54">
        <f>IF($B2159=0,NA(),IF(Inputs!$B$24&lt;&gt;"Yes",NA(),Inputs!$D$24*Inputs!$C$35))</f>
        <v/>
      </c>
      <c r="P2159" s="54">
        <f>IF($B2159=0,NA(),IF(Inputs!$B$25&lt;&gt;"Yes",NA(),Inputs!$D$25*Inputs!$C$35))</f>
        <v/>
      </c>
      <c r="Q2159" s="54">
        <f>IF($B2159=0,NA(),IF(Inputs!$B$26&lt;&gt;"Yes",NA(),Inputs!$D$26*Inputs!$C$35))</f>
        <v/>
      </c>
      <c r="R2159" s="54">
        <f>IF($B2159=0,NA(),IF(Inputs!$B$27&lt;&gt;"Yes",NA(),Inputs!$D$27*Inputs!$C$35))</f>
        <v/>
      </c>
      <c r="S2159" s="54">
        <f>IF($B2159=0,NA(),IF(Inputs!$B$28&lt;&gt;"Yes",NA(),Inputs!$D$28*Inputs!$C$35))</f>
        <v/>
      </c>
      <c r="T2159" s="54">
        <f>IF($B2159=0,NA(),IF(Inputs!$B$29&lt;&gt;"Yes",NA(),Inputs!$D$29*Inputs!$C$35))</f>
        <v/>
      </c>
      <c r="AD2159">
        <f>IF($B2159=0,0,IF(Inputs!$B$6="",0,COUNTIFS(Data!$A$10:$A$3209,"&gt;="&amp;$A2159,Data!$A$10:$A$3209,"&lt;"&amp;$A2159+1)))</f>
        <v/>
      </c>
      <c r="AE2159">
        <f>IF($B2159=0,0,IF(Inputs!$B$7="",0,COUNTIFS(Data!$E$10:$E$3209,"&gt;="&amp;$A2159,Data!$E$10:$E$3209,"&lt;"&amp;$A2159+1)))</f>
        <v/>
      </c>
      <c r="AF2159">
        <f>IF($B2159=0,0,IF(Inputs!$B$8="",0,COUNTIFS(Data!$I$10:$I$3209,"&gt;="&amp;$A2159,Data!$I$10:$I$3209,"&lt;"&amp;$A2159+1)))</f>
        <v/>
      </c>
      <c r="AG2159">
        <f>IF($B2159=0,0,IF(Inputs!$B$9="",0,COUNTIFS(Data!$M$10:$M$3209,"&gt;="&amp;$A2159,Data!$M$10:$M$3209,"&lt;"&amp;$A2159+1)))</f>
        <v/>
      </c>
      <c r="AH2159">
        <f>IF($B2159=0,0,IF(Inputs!$B$10="",0,COUNTIFS(Data!$Q$10:$Q$3209,"&gt;="&amp;$A2159,Data!$Q$10:$Q$3209,"&lt;"&amp;$A2159+1)))</f>
        <v/>
      </c>
    </row>
    <row r="2160">
      <c r="A2160" s="55">
        <f>MIN(Inputs!$C$15,$A2159+IF(WEEKDAY($A2159,2)=5,3,1))</f>
        <v/>
      </c>
      <c r="B2160">
        <f>IF($A2160&gt;$A2159,1,0)</f>
        <v/>
      </c>
      <c r="C2160" s="56">
        <f>IF($B2160=0,"",IF(Inputs!$B$6="","",IF($AD2160=0,C2159,SUMIFS(Data!$B$10:$B$3209,Data!$A$10:$A$3209,"&gt;="&amp;$A2160,Data!$A$10:$A$3209,"&lt;"&amp;$A2160+1)/$AD2160)))</f>
        <v/>
      </c>
      <c r="D2160" s="56">
        <f>IF($B2160=0,"",IF(Inputs!$B$7="","",IF($AE2160=0,D2159,SUMIFS(Data!$F$10:$F$3209,Data!$E$10:$E$3209,"&gt;="&amp;$A2160,Data!$E$10:$E$3209,"&lt;"&amp;$A2160+1)/$AE2160)))</f>
        <v/>
      </c>
      <c r="E2160" s="56">
        <f>IF($B2160=0,"",IF(Inputs!$B$8="","",IF($AF2160=0,E2159,SUMIFS(Data!$J$10:$J$3209,Data!$I$10:$I$3209,"&gt;="&amp;$A2160,Data!$I$10:$I$3209,"&lt;"&amp;$A2160+1)/$AF2160)))</f>
        <v/>
      </c>
      <c r="F2160" s="56">
        <f>IF($B2160=0,"",IF(Inputs!$B$9="","",IF($AG2160=0,F2159,SUMIFS(Data!$N$10:$N$3209,Data!$M$10:$M$3209,"&gt;="&amp;$A2160,Data!$M$10:$M$3209,"&lt;"&amp;$A2160+1)/$AG2160)))</f>
        <v/>
      </c>
      <c r="G2160" s="56">
        <f>IF($B2160=0,"",IF(Inputs!$B$10="","",IF($AH2160=0,G2159,SUMIFS(Data!$R$10:$R$3209,Data!$Q$10:$Q$3209,"&gt;="&amp;$A2160,Data!$Q$10:$Q$3209,"&lt;"&amp;$A2160+1)/$AH2160)))</f>
        <v/>
      </c>
      <c r="I2160" s="54">
        <f>IF($B2160=0,NA(),IF($C2160="",NA(),IF(C$8="",NA(),IF(N(C$8)=0,NA(),IF(Inputs!$C$17="Rebased to 100",$C2160/C$8*100,$C2160)))))</f>
        <v/>
      </c>
      <c r="J2160" s="54">
        <f>IF($B2160=0,NA(),IF($D2160="",NA(),IF(D$8="",NA(),IF(N(D$8)=0,NA(),IF(Inputs!$C$17="Rebased to 100",$D2160/D$8*100,$D2160)))))</f>
        <v/>
      </c>
      <c r="K2160" s="54">
        <f>IF($B2160=0,NA(),IF($E2160="",NA(),IF(E$8="",NA(),IF(N(E$8)=0,NA(),IF(Inputs!$C$17="Rebased to 100",$E2160/E$8*100,$E2160)))))</f>
        <v/>
      </c>
      <c r="L2160" s="54">
        <f>IF($B2160=0,NA(),IF($F2160="",NA(),IF(F$8="",NA(),IF(N(F$8)=0,NA(),IF(Inputs!$C$17="Rebased to 100",$F2160/F$8*100,$F2160)))))</f>
        <v/>
      </c>
      <c r="M2160" s="54">
        <f>IF($B2160=0,NA(),IF($G2160="",NA(),IF(G$8="",NA(),IF(N(G$8)=0,NA(),IF(Inputs!$C$17="Rebased to 100",$G2160/G$8*100,$G2160)))))</f>
        <v/>
      </c>
      <c r="N2160" s="54">
        <f>IF($B2160=0,NA(),IF(Inputs!$C$18&lt;&gt;"Yes",NA(),IF(COUNT(I2160,J2160,K2160,L2160,M2160)=0,NA(),MIN(I2160,J2160,K2160,L2160,M2160))))</f>
        <v/>
      </c>
      <c r="O2160" s="54">
        <f>IF($B2160=0,NA(),IF(Inputs!$B$24&lt;&gt;"Yes",NA(),Inputs!$D$24*Inputs!$C$35))</f>
        <v/>
      </c>
      <c r="P2160" s="54">
        <f>IF($B2160=0,NA(),IF(Inputs!$B$25&lt;&gt;"Yes",NA(),Inputs!$D$25*Inputs!$C$35))</f>
        <v/>
      </c>
      <c r="Q2160" s="54">
        <f>IF($B2160=0,NA(),IF(Inputs!$B$26&lt;&gt;"Yes",NA(),Inputs!$D$26*Inputs!$C$35))</f>
        <v/>
      </c>
      <c r="R2160" s="54">
        <f>IF($B2160=0,NA(),IF(Inputs!$B$27&lt;&gt;"Yes",NA(),Inputs!$D$27*Inputs!$C$35))</f>
        <v/>
      </c>
      <c r="S2160" s="54">
        <f>IF($B2160=0,NA(),IF(Inputs!$B$28&lt;&gt;"Yes",NA(),Inputs!$D$28*Inputs!$C$35))</f>
        <v/>
      </c>
      <c r="T2160" s="54">
        <f>IF($B2160=0,NA(),IF(Inputs!$B$29&lt;&gt;"Yes",NA(),Inputs!$D$29*Inputs!$C$35))</f>
        <v/>
      </c>
      <c r="AD2160">
        <f>IF($B2160=0,0,IF(Inputs!$B$6="",0,COUNTIFS(Data!$A$10:$A$3209,"&gt;="&amp;$A2160,Data!$A$10:$A$3209,"&lt;"&amp;$A2160+1)))</f>
        <v/>
      </c>
      <c r="AE2160">
        <f>IF($B2160=0,0,IF(Inputs!$B$7="",0,COUNTIFS(Data!$E$10:$E$3209,"&gt;="&amp;$A2160,Data!$E$10:$E$3209,"&lt;"&amp;$A2160+1)))</f>
        <v/>
      </c>
      <c r="AF2160">
        <f>IF($B2160=0,0,IF(Inputs!$B$8="",0,COUNTIFS(Data!$I$10:$I$3209,"&gt;="&amp;$A2160,Data!$I$10:$I$3209,"&lt;"&amp;$A2160+1)))</f>
        <v/>
      </c>
      <c r="AG2160">
        <f>IF($B2160=0,0,IF(Inputs!$B$9="",0,COUNTIFS(Data!$M$10:$M$3209,"&gt;="&amp;$A2160,Data!$M$10:$M$3209,"&lt;"&amp;$A2160+1)))</f>
        <v/>
      </c>
      <c r="AH2160">
        <f>IF($B2160=0,0,IF(Inputs!$B$10="",0,COUNTIFS(Data!$Q$10:$Q$3209,"&gt;="&amp;$A2160,Data!$Q$10:$Q$3209,"&lt;"&amp;$A2160+1)))</f>
        <v/>
      </c>
    </row>
    <row r="2161">
      <c r="A2161" s="55">
        <f>MIN(Inputs!$C$15,$A2160+IF(WEEKDAY($A2160,2)=5,3,1))</f>
        <v/>
      </c>
      <c r="B2161">
        <f>IF($A2161&gt;$A2160,1,0)</f>
        <v/>
      </c>
      <c r="C2161" s="56">
        <f>IF($B2161=0,"",IF(Inputs!$B$6="","",IF($AD2161=0,C2160,SUMIFS(Data!$B$10:$B$3209,Data!$A$10:$A$3209,"&gt;="&amp;$A2161,Data!$A$10:$A$3209,"&lt;"&amp;$A2161+1)/$AD2161)))</f>
        <v/>
      </c>
      <c r="D2161" s="56">
        <f>IF($B2161=0,"",IF(Inputs!$B$7="","",IF($AE2161=0,D2160,SUMIFS(Data!$F$10:$F$3209,Data!$E$10:$E$3209,"&gt;="&amp;$A2161,Data!$E$10:$E$3209,"&lt;"&amp;$A2161+1)/$AE2161)))</f>
        <v/>
      </c>
      <c r="E2161" s="56">
        <f>IF($B2161=0,"",IF(Inputs!$B$8="","",IF($AF2161=0,E2160,SUMIFS(Data!$J$10:$J$3209,Data!$I$10:$I$3209,"&gt;="&amp;$A2161,Data!$I$10:$I$3209,"&lt;"&amp;$A2161+1)/$AF2161)))</f>
        <v/>
      </c>
      <c r="F2161" s="56">
        <f>IF($B2161=0,"",IF(Inputs!$B$9="","",IF($AG2161=0,F2160,SUMIFS(Data!$N$10:$N$3209,Data!$M$10:$M$3209,"&gt;="&amp;$A2161,Data!$M$10:$M$3209,"&lt;"&amp;$A2161+1)/$AG2161)))</f>
        <v/>
      </c>
      <c r="G2161" s="56">
        <f>IF($B2161=0,"",IF(Inputs!$B$10="","",IF($AH2161=0,G2160,SUMIFS(Data!$R$10:$R$3209,Data!$Q$10:$Q$3209,"&gt;="&amp;$A2161,Data!$Q$10:$Q$3209,"&lt;"&amp;$A2161+1)/$AH2161)))</f>
        <v/>
      </c>
      <c r="I2161" s="54">
        <f>IF($B2161=0,NA(),IF($C2161="",NA(),IF(C$8="",NA(),IF(N(C$8)=0,NA(),IF(Inputs!$C$17="Rebased to 100",$C2161/C$8*100,$C2161)))))</f>
        <v/>
      </c>
      <c r="J2161" s="54">
        <f>IF($B2161=0,NA(),IF($D2161="",NA(),IF(D$8="",NA(),IF(N(D$8)=0,NA(),IF(Inputs!$C$17="Rebased to 100",$D2161/D$8*100,$D2161)))))</f>
        <v/>
      </c>
      <c r="K2161" s="54">
        <f>IF($B2161=0,NA(),IF($E2161="",NA(),IF(E$8="",NA(),IF(N(E$8)=0,NA(),IF(Inputs!$C$17="Rebased to 100",$E2161/E$8*100,$E2161)))))</f>
        <v/>
      </c>
      <c r="L2161" s="54">
        <f>IF($B2161=0,NA(),IF($F2161="",NA(),IF(F$8="",NA(),IF(N(F$8)=0,NA(),IF(Inputs!$C$17="Rebased to 100",$F2161/F$8*100,$F2161)))))</f>
        <v/>
      </c>
      <c r="M2161" s="54">
        <f>IF($B2161=0,NA(),IF($G2161="",NA(),IF(G$8="",NA(),IF(N(G$8)=0,NA(),IF(Inputs!$C$17="Rebased to 100",$G2161/G$8*100,$G2161)))))</f>
        <v/>
      </c>
      <c r="N2161" s="54">
        <f>IF($B2161=0,NA(),IF(Inputs!$C$18&lt;&gt;"Yes",NA(),IF(COUNT(I2161,J2161,K2161,L2161,M2161)=0,NA(),MIN(I2161,J2161,K2161,L2161,M2161))))</f>
        <v/>
      </c>
      <c r="O2161" s="54">
        <f>IF($B2161=0,NA(),IF(Inputs!$B$24&lt;&gt;"Yes",NA(),Inputs!$D$24*Inputs!$C$35))</f>
        <v/>
      </c>
      <c r="P2161" s="54">
        <f>IF($B2161=0,NA(),IF(Inputs!$B$25&lt;&gt;"Yes",NA(),Inputs!$D$25*Inputs!$C$35))</f>
        <v/>
      </c>
      <c r="Q2161" s="54">
        <f>IF($B2161=0,NA(),IF(Inputs!$B$26&lt;&gt;"Yes",NA(),Inputs!$D$26*Inputs!$C$35))</f>
        <v/>
      </c>
      <c r="R2161" s="54">
        <f>IF($B2161=0,NA(),IF(Inputs!$B$27&lt;&gt;"Yes",NA(),Inputs!$D$27*Inputs!$C$35))</f>
        <v/>
      </c>
      <c r="S2161" s="54">
        <f>IF($B2161=0,NA(),IF(Inputs!$B$28&lt;&gt;"Yes",NA(),Inputs!$D$28*Inputs!$C$35))</f>
        <v/>
      </c>
      <c r="T2161" s="54">
        <f>IF($B2161=0,NA(),IF(Inputs!$B$29&lt;&gt;"Yes",NA(),Inputs!$D$29*Inputs!$C$35))</f>
        <v/>
      </c>
      <c r="AD2161">
        <f>IF($B2161=0,0,IF(Inputs!$B$6="",0,COUNTIFS(Data!$A$10:$A$3209,"&gt;="&amp;$A2161,Data!$A$10:$A$3209,"&lt;"&amp;$A2161+1)))</f>
        <v/>
      </c>
      <c r="AE2161">
        <f>IF($B2161=0,0,IF(Inputs!$B$7="",0,COUNTIFS(Data!$E$10:$E$3209,"&gt;="&amp;$A2161,Data!$E$10:$E$3209,"&lt;"&amp;$A2161+1)))</f>
        <v/>
      </c>
      <c r="AF2161">
        <f>IF($B2161=0,0,IF(Inputs!$B$8="",0,COUNTIFS(Data!$I$10:$I$3209,"&gt;="&amp;$A2161,Data!$I$10:$I$3209,"&lt;"&amp;$A2161+1)))</f>
        <v/>
      </c>
      <c r="AG2161">
        <f>IF($B2161=0,0,IF(Inputs!$B$9="",0,COUNTIFS(Data!$M$10:$M$3209,"&gt;="&amp;$A2161,Data!$M$10:$M$3209,"&lt;"&amp;$A2161+1)))</f>
        <v/>
      </c>
      <c r="AH2161">
        <f>IF($B2161=0,0,IF(Inputs!$B$10="",0,COUNTIFS(Data!$Q$10:$Q$3209,"&gt;="&amp;$A2161,Data!$Q$10:$Q$3209,"&lt;"&amp;$A2161+1)))</f>
        <v/>
      </c>
    </row>
    <row r="2162">
      <c r="A2162" s="55">
        <f>MIN(Inputs!$C$15,$A2161+IF(WEEKDAY($A2161,2)=5,3,1))</f>
        <v/>
      </c>
      <c r="B2162">
        <f>IF($A2162&gt;$A2161,1,0)</f>
        <v/>
      </c>
      <c r="C2162" s="56">
        <f>IF($B2162=0,"",IF(Inputs!$B$6="","",IF($AD2162=0,C2161,SUMIFS(Data!$B$10:$B$3209,Data!$A$10:$A$3209,"&gt;="&amp;$A2162,Data!$A$10:$A$3209,"&lt;"&amp;$A2162+1)/$AD2162)))</f>
        <v/>
      </c>
      <c r="D2162" s="56">
        <f>IF($B2162=0,"",IF(Inputs!$B$7="","",IF($AE2162=0,D2161,SUMIFS(Data!$F$10:$F$3209,Data!$E$10:$E$3209,"&gt;="&amp;$A2162,Data!$E$10:$E$3209,"&lt;"&amp;$A2162+1)/$AE2162)))</f>
        <v/>
      </c>
      <c r="E2162" s="56">
        <f>IF($B2162=0,"",IF(Inputs!$B$8="","",IF($AF2162=0,E2161,SUMIFS(Data!$J$10:$J$3209,Data!$I$10:$I$3209,"&gt;="&amp;$A2162,Data!$I$10:$I$3209,"&lt;"&amp;$A2162+1)/$AF2162)))</f>
        <v/>
      </c>
      <c r="F2162" s="56">
        <f>IF($B2162=0,"",IF(Inputs!$B$9="","",IF($AG2162=0,F2161,SUMIFS(Data!$N$10:$N$3209,Data!$M$10:$M$3209,"&gt;="&amp;$A2162,Data!$M$10:$M$3209,"&lt;"&amp;$A2162+1)/$AG2162)))</f>
        <v/>
      </c>
      <c r="G2162" s="56">
        <f>IF($B2162=0,"",IF(Inputs!$B$10="","",IF($AH2162=0,G2161,SUMIFS(Data!$R$10:$R$3209,Data!$Q$10:$Q$3209,"&gt;="&amp;$A2162,Data!$Q$10:$Q$3209,"&lt;"&amp;$A2162+1)/$AH2162)))</f>
        <v/>
      </c>
      <c r="I2162" s="54">
        <f>IF($B2162=0,NA(),IF($C2162="",NA(),IF(C$8="",NA(),IF(N(C$8)=0,NA(),IF(Inputs!$C$17="Rebased to 100",$C2162/C$8*100,$C2162)))))</f>
        <v/>
      </c>
      <c r="J2162" s="54">
        <f>IF($B2162=0,NA(),IF($D2162="",NA(),IF(D$8="",NA(),IF(N(D$8)=0,NA(),IF(Inputs!$C$17="Rebased to 100",$D2162/D$8*100,$D2162)))))</f>
        <v/>
      </c>
      <c r="K2162" s="54">
        <f>IF($B2162=0,NA(),IF($E2162="",NA(),IF(E$8="",NA(),IF(N(E$8)=0,NA(),IF(Inputs!$C$17="Rebased to 100",$E2162/E$8*100,$E2162)))))</f>
        <v/>
      </c>
      <c r="L2162" s="54">
        <f>IF($B2162=0,NA(),IF($F2162="",NA(),IF(F$8="",NA(),IF(N(F$8)=0,NA(),IF(Inputs!$C$17="Rebased to 100",$F2162/F$8*100,$F2162)))))</f>
        <v/>
      </c>
      <c r="M2162" s="54">
        <f>IF($B2162=0,NA(),IF($G2162="",NA(),IF(G$8="",NA(),IF(N(G$8)=0,NA(),IF(Inputs!$C$17="Rebased to 100",$G2162/G$8*100,$G2162)))))</f>
        <v/>
      </c>
      <c r="N2162" s="54">
        <f>IF($B2162=0,NA(),IF(Inputs!$C$18&lt;&gt;"Yes",NA(),IF(COUNT(I2162,J2162,K2162,L2162,M2162)=0,NA(),MIN(I2162,J2162,K2162,L2162,M2162))))</f>
        <v/>
      </c>
      <c r="O2162" s="54">
        <f>IF($B2162=0,NA(),IF(Inputs!$B$24&lt;&gt;"Yes",NA(),Inputs!$D$24*Inputs!$C$35))</f>
        <v/>
      </c>
      <c r="P2162" s="54">
        <f>IF($B2162=0,NA(),IF(Inputs!$B$25&lt;&gt;"Yes",NA(),Inputs!$D$25*Inputs!$C$35))</f>
        <v/>
      </c>
      <c r="Q2162" s="54">
        <f>IF($B2162=0,NA(),IF(Inputs!$B$26&lt;&gt;"Yes",NA(),Inputs!$D$26*Inputs!$C$35))</f>
        <v/>
      </c>
      <c r="R2162" s="54">
        <f>IF($B2162=0,NA(),IF(Inputs!$B$27&lt;&gt;"Yes",NA(),Inputs!$D$27*Inputs!$C$35))</f>
        <v/>
      </c>
      <c r="S2162" s="54">
        <f>IF($B2162=0,NA(),IF(Inputs!$B$28&lt;&gt;"Yes",NA(),Inputs!$D$28*Inputs!$C$35))</f>
        <v/>
      </c>
      <c r="T2162" s="54">
        <f>IF($B2162=0,NA(),IF(Inputs!$B$29&lt;&gt;"Yes",NA(),Inputs!$D$29*Inputs!$C$35))</f>
        <v/>
      </c>
      <c r="AD2162">
        <f>IF($B2162=0,0,IF(Inputs!$B$6="",0,COUNTIFS(Data!$A$10:$A$3209,"&gt;="&amp;$A2162,Data!$A$10:$A$3209,"&lt;"&amp;$A2162+1)))</f>
        <v/>
      </c>
      <c r="AE2162">
        <f>IF($B2162=0,0,IF(Inputs!$B$7="",0,COUNTIFS(Data!$E$10:$E$3209,"&gt;="&amp;$A2162,Data!$E$10:$E$3209,"&lt;"&amp;$A2162+1)))</f>
        <v/>
      </c>
      <c r="AF2162">
        <f>IF($B2162=0,0,IF(Inputs!$B$8="",0,COUNTIFS(Data!$I$10:$I$3209,"&gt;="&amp;$A2162,Data!$I$10:$I$3209,"&lt;"&amp;$A2162+1)))</f>
        <v/>
      </c>
      <c r="AG2162">
        <f>IF($B2162=0,0,IF(Inputs!$B$9="",0,COUNTIFS(Data!$M$10:$M$3209,"&gt;="&amp;$A2162,Data!$M$10:$M$3209,"&lt;"&amp;$A2162+1)))</f>
        <v/>
      </c>
      <c r="AH2162">
        <f>IF($B2162=0,0,IF(Inputs!$B$10="",0,COUNTIFS(Data!$Q$10:$Q$3209,"&gt;="&amp;$A2162,Data!$Q$10:$Q$3209,"&lt;"&amp;$A2162+1)))</f>
        <v/>
      </c>
    </row>
    <row r="2163">
      <c r="A2163" s="55">
        <f>MIN(Inputs!$C$15,$A2162+IF(WEEKDAY($A2162,2)=5,3,1))</f>
        <v/>
      </c>
      <c r="B2163">
        <f>IF($A2163&gt;$A2162,1,0)</f>
        <v/>
      </c>
      <c r="C2163" s="56">
        <f>IF($B2163=0,"",IF(Inputs!$B$6="","",IF($AD2163=0,C2162,SUMIFS(Data!$B$10:$B$3209,Data!$A$10:$A$3209,"&gt;="&amp;$A2163,Data!$A$10:$A$3209,"&lt;"&amp;$A2163+1)/$AD2163)))</f>
        <v/>
      </c>
      <c r="D2163" s="56">
        <f>IF($B2163=0,"",IF(Inputs!$B$7="","",IF($AE2163=0,D2162,SUMIFS(Data!$F$10:$F$3209,Data!$E$10:$E$3209,"&gt;="&amp;$A2163,Data!$E$10:$E$3209,"&lt;"&amp;$A2163+1)/$AE2163)))</f>
        <v/>
      </c>
      <c r="E2163" s="56">
        <f>IF($B2163=0,"",IF(Inputs!$B$8="","",IF($AF2163=0,E2162,SUMIFS(Data!$J$10:$J$3209,Data!$I$10:$I$3209,"&gt;="&amp;$A2163,Data!$I$10:$I$3209,"&lt;"&amp;$A2163+1)/$AF2163)))</f>
        <v/>
      </c>
      <c r="F2163" s="56">
        <f>IF($B2163=0,"",IF(Inputs!$B$9="","",IF($AG2163=0,F2162,SUMIFS(Data!$N$10:$N$3209,Data!$M$10:$M$3209,"&gt;="&amp;$A2163,Data!$M$10:$M$3209,"&lt;"&amp;$A2163+1)/$AG2163)))</f>
        <v/>
      </c>
      <c r="G2163" s="56">
        <f>IF($B2163=0,"",IF(Inputs!$B$10="","",IF($AH2163=0,G2162,SUMIFS(Data!$R$10:$R$3209,Data!$Q$10:$Q$3209,"&gt;="&amp;$A2163,Data!$Q$10:$Q$3209,"&lt;"&amp;$A2163+1)/$AH2163)))</f>
        <v/>
      </c>
      <c r="I2163" s="54">
        <f>IF($B2163=0,NA(),IF($C2163="",NA(),IF(C$8="",NA(),IF(N(C$8)=0,NA(),IF(Inputs!$C$17="Rebased to 100",$C2163/C$8*100,$C2163)))))</f>
        <v/>
      </c>
      <c r="J2163" s="54">
        <f>IF($B2163=0,NA(),IF($D2163="",NA(),IF(D$8="",NA(),IF(N(D$8)=0,NA(),IF(Inputs!$C$17="Rebased to 100",$D2163/D$8*100,$D2163)))))</f>
        <v/>
      </c>
      <c r="K2163" s="54">
        <f>IF($B2163=0,NA(),IF($E2163="",NA(),IF(E$8="",NA(),IF(N(E$8)=0,NA(),IF(Inputs!$C$17="Rebased to 100",$E2163/E$8*100,$E2163)))))</f>
        <v/>
      </c>
      <c r="L2163" s="54">
        <f>IF($B2163=0,NA(),IF($F2163="",NA(),IF(F$8="",NA(),IF(N(F$8)=0,NA(),IF(Inputs!$C$17="Rebased to 100",$F2163/F$8*100,$F2163)))))</f>
        <v/>
      </c>
      <c r="M2163" s="54">
        <f>IF($B2163=0,NA(),IF($G2163="",NA(),IF(G$8="",NA(),IF(N(G$8)=0,NA(),IF(Inputs!$C$17="Rebased to 100",$G2163/G$8*100,$G2163)))))</f>
        <v/>
      </c>
      <c r="N2163" s="54">
        <f>IF($B2163=0,NA(),IF(Inputs!$C$18&lt;&gt;"Yes",NA(),IF(COUNT(I2163,J2163,K2163,L2163,M2163)=0,NA(),MIN(I2163,J2163,K2163,L2163,M2163))))</f>
        <v/>
      </c>
      <c r="O2163" s="54">
        <f>IF($B2163=0,NA(),IF(Inputs!$B$24&lt;&gt;"Yes",NA(),Inputs!$D$24*Inputs!$C$35))</f>
        <v/>
      </c>
      <c r="P2163" s="54">
        <f>IF($B2163=0,NA(),IF(Inputs!$B$25&lt;&gt;"Yes",NA(),Inputs!$D$25*Inputs!$C$35))</f>
        <v/>
      </c>
      <c r="Q2163" s="54">
        <f>IF($B2163=0,NA(),IF(Inputs!$B$26&lt;&gt;"Yes",NA(),Inputs!$D$26*Inputs!$C$35))</f>
        <v/>
      </c>
      <c r="R2163" s="54">
        <f>IF($B2163=0,NA(),IF(Inputs!$B$27&lt;&gt;"Yes",NA(),Inputs!$D$27*Inputs!$C$35))</f>
        <v/>
      </c>
      <c r="S2163" s="54">
        <f>IF($B2163=0,NA(),IF(Inputs!$B$28&lt;&gt;"Yes",NA(),Inputs!$D$28*Inputs!$C$35))</f>
        <v/>
      </c>
      <c r="T2163" s="54">
        <f>IF($B2163=0,NA(),IF(Inputs!$B$29&lt;&gt;"Yes",NA(),Inputs!$D$29*Inputs!$C$35))</f>
        <v/>
      </c>
      <c r="AD2163">
        <f>IF($B2163=0,0,IF(Inputs!$B$6="",0,COUNTIFS(Data!$A$10:$A$3209,"&gt;="&amp;$A2163,Data!$A$10:$A$3209,"&lt;"&amp;$A2163+1)))</f>
        <v/>
      </c>
      <c r="AE2163">
        <f>IF($B2163=0,0,IF(Inputs!$B$7="",0,COUNTIFS(Data!$E$10:$E$3209,"&gt;="&amp;$A2163,Data!$E$10:$E$3209,"&lt;"&amp;$A2163+1)))</f>
        <v/>
      </c>
      <c r="AF2163">
        <f>IF($B2163=0,0,IF(Inputs!$B$8="",0,COUNTIFS(Data!$I$10:$I$3209,"&gt;="&amp;$A2163,Data!$I$10:$I$3209,"&lt;"&amp;$A2163+1)))</f>
        <v/>
      </c>
      <c r="AG2163">
        <f>IF($B2163=0,0,IF(Inputs!$B$9="",0,COUNTIFS(Data!$M$10:$M$3209,"&gt;="&amp;$A2163,Data!$M$10:$M$3209,"&lt;"&amp;$A2163+1)))</f>
        <v/>
      </c>
      <c r="AH2163">
        <f>IF($B2163=0,0,IF(Inputs!$B$10="",0,COUNTIFS(Data!$Q$10:$Q$3209,"&gt;="&amp;$A2163,Data!$Q$10:$Q$3209,"&lt;"&amp;$A2163+1)))</f>
        <v/>
      </c>
    </row>
    <row r="2164">
      <c r="A2164" s="55">
        <f>MIN(Inputs!$C$15,$A2163+IF(WEEKDAY($A2163,2)=5,3,1))</f>
        <v/>
      </c>
      <c r="B2164">
        <f>IF($A2164&gt;$A2163,1,0)</f>
        <v/>
      </c>
      <c r="C2164" s="56">
        <f>IF($B2164=0,"",IF(Inputs!$B$6="","",IF($AD2164=0,C2163,SUMIFS(Data!$B$10:$B$3209,Data!$A$10:$A$3209,"&gt;="&amp;$A2164,Data!$A$10:$A$3209,"&lt;"&amp;$A2164+1)/$AD2164)))</f>
        <v/>
      </c>
      <c r="D2164" s="56">
        <f>IF($B2164=0,"",IF(Inputs!$B$7="","",IF($AE2164=0,D2163,SUMIFS(Data!$F$10:$F$3209,Data!$E$10:$E$3209,"&gt;="&amp;$A2164,Data!$E$10:$E$3209,"&lt;"&amp;$A2164+1)/$AE2164)))</f>
        <v/>
      </c>
      <c r="E2164" s="56">
        <f>IF($B2164=0,"",IF(Inputs!$B$8="","",IF($AF2164=0,E2163,SUMIFS(Data!$J$10:$J$3209,Data!$I$10:$I$3209,"&gt;="&amp;$A2164,Data!$I$10:$I$3209,"&lt;"&amp;$A2164+1)/$AF2164)))</f>
        <v/>
      </c>
      <c r="F2164" s="56">
        <f>IF($B2164=0,"",IF(Inputs!$B$9="","",IF($AG2164=0,F2163,SUMIFS(Data!$N$10:$N$3209,Data!$M$10:$M$3209,"&gt;="&amp;$A2164,Data!$M$10:$M$3209,"&lt;"&amp;$A2164+1)/$AG2164)))</f>
        <v/>
      </c>
      <c r="G2164" s="56">
        <f>IF($B2164=0,"",IF(Inputs!$B$10="","",IF($AH2164=0,G2163,SUMIFS(Data!$R$10:$R$3209,Data!$Q$10:$Q$3209,"&gt;="&amp;$A2164,Data!$Q$10:$Q$3209,"&lt;"&amp;$A2164+1)/$AH2164)))</f>
        <v/>
      </c>
      <c r="I2164" s="54">
        <f>IF($B2164=0,NA(),IF($C2164="",NA(),IF(C$8="",NA(),IF(N(C$8)=0,NA(),IF(Inputs!$C$17="Rebased to 100",$C2164/C$8*100,$C2164)))))</f>
        <v/>
      </c>
      <c r="J2164" s="54">
        <f>IF($B2164=0,NA(),IF($D2164="",NA(),IF(D$8="",NA(),IF(N(D$8)=0,NA(),IF(Inputs!$C$17="Rebased to 100",$D2164/D$8*100,$D2164)))))</f>
        <v/>
      </c>
      <c r="K2164" s="54">
        <f>IF($B2164=0,NA(),IF($E2164="",NA(),IF(E$8="",NA(),IF(N(E$8)=0,NA(),IF(Inputs!$C$17="Rebased to 100",$E2164/E$8*100,$E2164)))))</f>
        <v/>
      </c>
      <c r="L2164" s="54">
        <f>IF($B2164=0,NA(),IF($F2164="",NA(),IF(F$8="",NA(),IF(N(F$8)=0,NA(),IF(Inputs!$C$17="Rebased to 100",$F2164/F$8*100,$F2164)))))</f>
        <v/>
      </c>
      <c r="M2164" s="54">
        <f>IF($B2164=0,NA(),IF($G2164="",NA(),IF(G$8="",NA(),IF(N(G$8)=0,NA(),IF(Inputs!$C$17="Rebased to 100",$G2164/G$8*100,$G2164)))))</f>
        <v/>
      </c>
      <c r="N2164" s="54">
        <f>IF($B2164=0,NA(),IF(Inputs!$C$18&lt;&gt;"Yes",NA(),IF(COUNT(I2164,J2164,K2164,L2164,M2164)=0,NA(),MIN(I2164,J2164,K2164,L2164,M2164))))</f>
        <v/>
      </c>
      <c r="O2164" s="54">
        <f>IF($B2164=0,NA(),IF(Inputs!$B$24&lt;&gt;"Yes",NA(),Inputs!$D$24*Inputs!$C$35))</f>
        <v/>
      </c>
      <c r="P2164" s="54">
        <f>IF($B2164=0,NA(),IF(Inputs!$B$25&lt;&gt;"Yes",NA(),Inputs!$D$25*Inputs!$C$35))</f>
        <v/>
      </c>
      <c r="Q2164" s="54">
        <f>IF($B2164=0,NA(),IF(Inputs!$B$26&lt;&gt;"Yes",NA(),Inputs!$D$26*Inputs!$C$35))</f>
        <v/>
      </c>
      <c r="R2164" s="54">
        <f>IF($B2164=0,NA(),IF(Inputs!$B$27&lt;&gt;"Yes",NA(),Inputs!$D$27*Inputs!$C$35))</f>
        <v/>
      </c>
      <c r="S2164" s="54">
        <f>IF($B2164=0,NA(),IF(Inputs!$B$28&lt;&gt;"Yes",NA(),Inputs!$D$28*Inputs!$C$35))</f>
        <v/>
      </c>
      <c r="T2164" s="54">
        <f>IF($B2164=0,NA(),IF(Inputs!$B$29&lt;&gt;"Yes",NA(),Inputs!$D$29*Inputs!$C$35))</f>
        <v/>
      </c>
      <c r="AD2164">
        <f>IF($B2164=0,0,IF(Inputs!$B$6="",0,COUNTIFS(Data!$A$10:$A$3209,"&gt;="&amp;$A2164,Data!$A$10:$A$3209,"&lt;"&amp;$A2164+1)))</f>
        <v/>
      </c>
      <c r="AE2164">
        <f>IF($B2164=0,0,IF(Inputs!$B$7="",0,COUNTIFS(Data!$E$10:$E$3209,"&gt;="&amp;$A2164,Data!$E$10:$E$3209,"&lt;"&amp;$A2164+1)))</f>
        <v/>
      </c>
      <c r="AF2164">
        <f>IF($B2164=0,0,IF(Inputs!$B$8="",0,COUNTIFS(Data!$I$10:$I$3209,"&gt;="&amp;$A2164,Data!$I$10:$I$3209,"&lt;"&amp;$A2164+1)))</f>
        <v/>
      </c>
      <c r="AG2164">
        <f>IF($B2164=0,0,IF(Inputs!$B$9="",0,COUNTIFS(Data!$M$10:$M$3209,"&gt;="&amp;$A2164,Data!$M$10:$M$3209,"&lt;"&amp;$A2164+1)))</f>
        <v/>
      </c>
      <c r="AH2164">
        <f>IF($B2164=0,0,IF(Inputs!$B$10="",0,COUNTIFS(Data!$Q$10:$Q$3209,"&gt;="&amp;$A2164,Data!$Q$10:$Q$3209,"&lt;"&amp;$A2164+1)))</f>
        <v/>
      </c>
    </row>
    <row r="2165">
      <c r="A2165" s="55">
        <f>MIN(Inputs!$C$15,$A2164+IF(WEEKDAY($A2164,2)=5,3,1))</f>
        <v/>
      </c>
      <c r="B2165">
        <f>IF($A2165&gt;$A2164,1,0)</f>
        <v/>
      </c>
      <c r="C2165" s="56">
        <f>IF($B2165=0,"",IF(Inputs!$B$6="","",IF($AD2165=0,C2164,SUMIFS(Data!$B$10:$B$3209,Data!$A$10:$A$3209,"&gt;="&amp;$A2165,Data!$A$10:$A$3209,"&lt;"&amp;$A2165+1)/$AD2165)))</f>
        <v/>
      </c>
      <c r="D2165" s="56">
        <f>IF($B2165=0,"",IF(Inputs!$B$7="","",IF($AE2165=0,D2164,SUMIFS(Data!$F$10:$F$3209,Data!$E$10:$E$3209,"&gt;="&amp;$A2165,Data!$E$10:$E$3209,"&lt;"&amp;$A2165+1)/$AE2165)))</f>
        <v/>
      </c>
      <c r="E2165" s="56">
        <f>IF($B2165=0,"",IF(Inputs!$B$8="","",IF($AF2165=0,E2164,SUMIFS(Data!$J$10:$J$3209,Data!$I$10:$I$3209,"&gt;="&amp;$A2165,Data!$I$10:$I$3209,"&lt;"&amp;$A2165+1)/$AF2165)))</f>
        <v/>
      </c>
      <c r="F2165" s="56">
        <f>IF($B2165=0,"",IF(Inputs!$B$9="","",IF($AG2165=0,F2164,SUMIFS(Data!$N$10:$N$3209,Data!$M$10:$M$3209,"&gt;="&amp;$A2165,Data!$M$10:$M$3209,"&lt;"&amp;$A2165+1)/$AG2165)))</f>
        <v/>
      </c>
      <c r="G2165" s="56">
        <f>IF($B2165=0,"",IF(Inputs!$B$10="","",IF($AH2165=0,G2164,SUMIFS(Data!$R$10:$R$3209,Data!$Q$10:$Q$3209,"&gt;="&amp;$A2165,Data!$Q$10:$Q$3209,"&lt;"&amp;$A2165+1)/$AH2165)))</f>
        <v/>
      </c>
      <c r="I2165" s="54">
        <f>IF($B2165=0,NA(),IF($C2165="",NA(),IF(C$8="",NA(),IF(N(C$8)=0,NA(),IF(Inputs!$C$17="Rebased to 100",$C2165/C$8*100,$C2165)))))</f>
        <v/>
      </c>
      <c r="J2165" s="54">
        <f>IF($B2165=0,NA(),IF($D2165="",NA(),IF(D$8="",NA(),IF(N(D$8)=0,NA(),IF(Inputs!$C$17="Rebased to 100",$D2165/D$8*100,$D2165)))))</f>
        <v/>
      </c>
      <c r="K2165" s="54">
        <f>IF($B2165=0,NA(),IF($E2165="",NA(),IF(E$8="",NA(),IF(N(E$8)=0,NA(),IF(Inputs!$C$17="Rebased to 100",$E2165/E$8*100,$E2165)))))</f>
        <v/>
      </c>
      <c r="L2165" s="54">
        <f>IF($B2165=0,NA(),IF($F2165="",NA(),IF(F$8="",NA(),IF(N(F$8)=0,NA(),IF(Inputs!$C$17="Rebased to 100",$F2165/F$8*100,$F2165)))))</f>
        <v/>
      </c>
      <c r="M2165" s="54">
        <f>IF($B2165=0,NA(),IF($G2165="",NA(),IF(G$8="",NA(),IF(N(G$8)=0,NA(),IF(Inputs!$C$17="Rebased to 100",$G2165/G$8*100,$G2165)))))</f>
        <v/>
      </c>
      <c r="N2165" s="54">
        <f>IF($B2165=0,NA(),IF(Inputs!$C$18&lt;&gt;"Yes",NA(),IF(COUNT(I2165,J2165,K2165,L2165,M2165)=0,NA(),MIN(I2165,J2165,K2165,L2165,M2165))))</f>
        <v/>
      </c>
      <c r="O2165" s="54">
        <f>IF($B2165=0,NA(),IF(Inputs!$B$24&lt;&gt;"Yes",NA(),Inputs!$D$24*Inputs!$C$35))</f>
        <v/>
      </c>
      <c r="P2165" s="54">
        <f>IF($B2165=0,NA(),IF(Inputs!$B$25&lt;&gt;"Yes",NA(),Inputs!$D$25*Inputs!$C$35))</f>
        <v/>
      </c>
      <c r="Q2165" s="54">
        <f>IF($B2165=0,NA(),IF(Inputs!$B$26&lt;&gt;"Yes",NA(),Inputs!$D$26*Inputs!$C$35))</f>
        <v/>
      </c>
      <c r="R2165" s="54">
        <f>IF($B2165=0,NA(),IF(Inputs!$B$27&lt;&gt;"Yes",NA(),Inputs!$D$27*Inputs!$C$35))</f>
        <v/>
      </c>
      <c r="S2165" s="54">
        <f>IF($B2165=0,NA(),IF(Inputs!$B$28&lt;&gt;"Yes",NA(),Inputs!$D$28*Inputs!$C$35))</f>
        <v/>
      </c>
      <c r="T2165" s="54">
        <f>IF($B2165=0,NA(),IF(Inputs!$B$29&lt;&gt;"Yes",NA(),Inputs!$D$29*Inputs!$C$35))</f>
        <v/>
      </c>
      <c r="AD2165">
        <f>IF($B2165=0,0,IF(Inputs!$B$6="",0,COUNTIFS(Data!$A$10:$A$3209,"&gt;="&amp;$A2165,Data!$A$10:$A$3209,"&lt;"&amp;$A2165+1)))</f>
        <v/>
      </c>
      <c r="AE2165">
        <f>IF($B2165=0,0,IF(Inputs!$B$7="",0,COUNTIFS(Data!$E$10:$E$3209,"&gt;="&amp;$A2165,Data!$E$10:$E$3209,"&lt;"&amp;$A2165+1)))</f>
        <v/>
      </c>
      <c r="AF2165">
        <f>IF($B2165=0,0,IF(Inputs!$B$8="",0,COUNTIFS(Data!$I$10:$I$3209,"&gt;="&amp;$A2165,Data!$I$10:$I$3209,"&lt;"&amp;$A2165+1)))</f>
        <v/>
      </c>
      <c r="AG2165">
        <f>IF($B2165=0,0,IF(Inputs!$B$9="",0,COUNTIFS(Data!$M$10:$M$3209,"&gt;="&amp;$A2165,Data!$M$10:$M$3209,"&lt;"&amp;$A2165+1)))</f>
        <v/>
      </c>
      <c r="AH2165">
        <f>IF($B2165=0,0,IF(Inputs!$B$10="",0,COUNTIFS(Data!$Q$10:$Q$3209,"&gt;="&amp;$A2165,Data!$Q$10:$Q$3209,"&lt;"&amp;$A2165+1)))</f>
        <v/>
      </c>
    </row>
    <row r="2166">
      <c r="A2166" s="55">
        <f>MIN(Inputs!$C$15,$A2165+IF(WEEKDAY($A2165,2)=5,3,1))</f>
        <v/>
      </c>
      <c r="B2166">
        <f>IF($A2166&gt;$A2165,1,0)</f>
        <v/>
      </c>
      <c r="C2166" s="56">
        <f>IF($B2166=0,"",IF(Inputs!$B$6="","",IF($AD2166=0,C2165,SUMIFS(Data!$B$10:$B$3209,Data!$A$10:$A$3209,"&gt;="&amp;$A2166,Data!$A$10:$A$3209,"&lt;"&amp;$A2166+1)/$AD2166)))</f>
        <v/>
      </c>
      <c r="D2166" s="56">
        <f>IF($B2166=0,"",IF(Inputs!$B$7="","",IF($AE2166=0,D2165,SUMIFS(Data!$F$10:$F$3209,Data!$E$10:$E$3209,"&gt;="&amp;$A2166,Data!$E$10:$E$3209,"&lt;"&amp;$A2166+1)/$AE2166)))</f>
        <v/>
      </c>
      <c r="E2166" s="56">
        <f>IF($B2166=0,"",IF(Inputs!$B$8="","",IF($AF2166=0,E2165,SUMIFS(Data!$J$10:$J$3209,Data!$I$10:$I$3209,"&gt;="&amp;$A2166,Data!$I$10:$I$3209,"&lt;"&amp;$A2166+1)/$AF2166)))</f>
        <v/>
      </c>
      <c r="F2166" s="56">
        <f>IF($B2166=0,"",IF(Inputs!$B$9="","",IF($AG2166=0,F2165,SUMIFS(Data!$N$10:$N$3209,Data!$M$10:$M$3209,"&gt;="&amp;$A2166,Data!$M$10:$M$3209,"&lt;"&amp;$A2166+1)/$AG2166)))</f>
        <v/>
      </c>
      <c r="G2166" s="56">
        <f>IF($B2166=0,"",IF(Inputs!$B$10="","",IF($AH2166=0,G2165,SUMIFS(Data!$R$10:$R$3209,Data!$Q$10:$Q$3209,"&gt;="&amp;$A2166,Data!$Q$10:$Q$3209,"&lt;"&amp;$A2166+1)/$AH2166)))</f>
        <v/>
      </c>
      <c r="I2166" s="54">
        <f>IF($B2166=0,NA(),IF($C2166="",NA(),IF(C$8="",NA(),IF(N(C$8)=0,NA(),IF(Inputs!$C$17="Rebased to 100",$C2166/C$8*100,$C2166)))))</f>
        <v/>
      </c>
      <c r="J2166" s="54">
        <f>IF($B2166=0,NA(),IF($D2166="",NA(),IF(D$8="",NA(),IF(N(D$8)=0,NA(),IF(Inputs!$C$17="Rebased to 100",$D2166/D$8*100,$D2166)))))</f>
        <v/>
      </c>
      <c r="K2166" s="54">
        <f>IF($B2166=0,NA(),IF($E2166="",NA(),IF(E$8="",NA(),IF(N(E$8)=0,NA(),IF(Inputs!$C$17="Rebased to 100",$E2166/E$8*100,$E2166)))))</f>
        <v/>
      </c>
      <c r="L2166" s="54">
        <f>IF($B2166=0,NA(),IF($F2166="",NA(),IF(F$8="",NA(),IF(N(F$8)=0,NA(),IF(Inputs!$C$17="Rebased to 100",$F2166/F$8*100,$F2166)))))</f>
        <v/>
      </c>
      <c r="M2166" s="54">
        <f>IF($B2166=0,NA(),IF($G2166="",NA(),IF(G$8="",NA(),IF(N(G$8)=0,NA(),IF(Inputs!$C$17="Rebased to 100",$G2166/G$8*100,$G2166)))))</f>
        <v/>
      </c>
      <c r="N2166" s="54">
        <f>IF($B2166=0,NA(),IF(Inputs!$C$18&lt;&gt;"Yes",NA(),IF(COUNT(I2166,J2166,K2166,L2166,M2166)=0,NA(),MIN(I2166,J2166,K2166,L2166,M2166))))</f>
        <v/>
      </c>
      <c r="O2166" s="54">
        <f>IF($B2166=0,NA(),IF(Inputs!$B$24&lt;&gt;"Yes",NA(),Inputs!$D$24*Inputs!$C$35))</f>
        <v/>
      </c>
      <c r="P2166" s="54">
        <f>IF($B2166=0,NA(),IF(Inputs!$B$25&lt;&gt;"Yes",NA(),Inputs!$D$25*Inputs!$C$35))</f>
        <v/>
      </c>
      <c r="Q2166" s="54">
        <f>IF($B2166=0,NA(),IF(Inputs!$B$26&lt;&gt;"Yes",NA(),Inputs!$D$26*Inputs!$C$35))</f>
        <v/>
      </c>
      <c r="R2166" s="54">
        <f>IF($B2166=0,NA(),IF(Inputs!$B$27&lt;&gt;"Yes",NA(),Inputs!$D$27*Inputs!$C$35))</f>
        <v/>
      </c>
      <c r="S2166" s="54">
        <f>IF($B2166=0,NA(),IF(Inputs!$B$28&lt;&gt;"Yes",NA(),Inputs!$D$28*Inputs!$C$35))</f>
        <v/>
      </c>
      <c r="T2166" s="54">
        <f>IF($B2166=0,NA(),IF(Inputs!$B$29&lt;&gt;"Yes",NA(),Inputs!$D$29*Inputs!$C$35))</f>
        <v/>
      </c>
      <c r="AD2166">
        <f>IF($B2166=0,0,IF(Inputs!$B$6="",0,COUNTIFS(Data!$A$10:$A$3209,"&gt;="&amp;$A2166,Data!$A$10:$A$3209,"&lt;"&amp;$A2166+1)))</f>
        <v/>
      </c>
      <c r="AE2166">
        <f>IF($B2166=0,0,IF(Inputs!$B$7="",0,COUNTIFS(Data!$E$10:$E$3209,"&gt;="&amp;$A2166,Data!$E$10:$E$3209,"&lt;"&amp;$A2166+1)))</f>
        <v/>
      </c>
      <c r="AF2166">
        <f>IF($B2166=0,0,IF(Inputs!$B$8="",0,COUNTIFS(Data!$I$10:$I$3209,"&gt;="&amp;$A2166,Data!$I$10:$I$3209,"&lt;"&amp;$A2166+1)))</f>
        <v/>
      </c>
      <c r="AG2166">
        <f>IF($B2166=0,0,IF(Inputs!$B$9="",0,COUNTIFS(Data!$M$10:$M$3209,"&gt;="&amp;$A2166,Data!$M$10:$M$3209,"&lt;"&amp;$A2166+1)))</f>
        <v/>
      </c>
      <c r="AH2166">
        <f>IF($B2166=0,0,IF(Inputs!$B$10="",0,COUNTIFS(Data!$Q$10:$Q$3209,"&gt;="&amp;$A2166,Data!$Q$10:$Q$3209,"&lt;"&amp;$A2166+1)))</f>
        <v/>
      </c>
    </row>
    <row r="2167">
      <c r="A2167" s="55">
        <f>MIN(Inputs!$C$15,$A2166+IF(WEEKDAY($A2166,2)=5,3,1))</f>
        <v/>
      </c>
      <c r="B2167">
        <f>IF($A2167&gt;$A2166,1,0)</f>
        <v/>
      </c>
      <c r="C2167" s="56">
        <f>IF($B2167=0,"",IF(Inputs!$B$6="","",IF($AD2167=0,C2166,SUMIFS(Data!$B$10:$B$3209,Data!$A$10:$A$3209,"&gt;="&amp;$A2167,Data!$A$10:$A$3209,"&lt;"&amp;$A2167+1)/$AD2167)))</f>
        <v/>
      </c>
      <c r="D2167" s="56">
        <f>IF($B2167=0,"",IF(Inputs!$B$7="","",IF($AE2167=0,D2166,SUMIFS(Data!$F$10:$F$3209,Data!$E$10:$E$3209,"&gt;="&amp;$A2167,Data!$E$10:$E$3209,"&lt;"&amp;$A2167+1)/$AE2167)))</f>
        <v/>
      </c>
      <c r="E2167" s="56">
        <f>IF($B2167=0,"",IF(Inputs!$B$8="","",IF($AF2167=0,E2166,SUMIFS(Data!$J$10:$J$3209,Data!$I$10:$I$3209,"&gt;="&amp;$A2167,Data!$I$10:$I$3209,"&lt;"&amp;$A2167+1)/$AF2167)))</f>
        <v/>
      </c>
      <c r="F2167" s="56">
        <f>IF($B2167=0,"",IF(Inputs!$B$9="","",IF($AG2167=0,F2166,SUMIFS(Data!$N$10:$N$3209,Data!$M$10:$M$3209,"&gt;="&amp;$A2167,Data!$M$10:$M$3209,"&lt;"&amp;$A2167+1)/$AG2167)))</f>
        <v/>
      </c>
      <c r="G2167" s="56">
        <f>IF($B2167=0,"",IF(Inputs!$B$10="","",IF($AH2167=0,G2166,SUMIFS(Data!$R$10:$R$3209,Data!$Q$10:$Q$3209,"&gt;="&amp;$A2167,Data!$Q$10:$Q$3209,"&lt;"&amp;$A2167+1)/$AH2167)))</f>
        <v/>
      </c>
      <c r="I2167" s="54">
        <f>IF($B2167=0,NA(),IF($C2167="",NA(),IF(C$8="",NA(),IF(N(C$8)=0,NA(),IF(Inputs!$C$17="Rebased to 100",$C2167/C$8*100,$C2167)))))</f>
        <v/>
      </c>
      <c r="J2167" s="54">
        <f>IF($B2167=0,NA(),IF($D2167="",NA(),IF(D$8="",NA(),IF(N(D$8)=0,NA(),IF(Inputs!$C$17="Rebased to 100",$D2167/D$8*100,$D2167)))))</f>
        <v/>
      </c>
      <c r="K2167" s="54">
        <f>IF($B2167=0,NA(),IF($E2167="",NA(),IF(E$8="",NA(),IF(N(E$8)=0,NA(),IF(Inputs!$C$17="Rebased to 100",$E2167/E$8*100,$E2167)))))</f>
        <v/>
      </c>
      <c r="L2167" s="54">
        <f>IF($B2167=0,NA(),IF($F2167="",NA(),IF(F$8="",NA(),IF(N(F$8)=0,NA(),IF(Inputs!$C$17="Rebased to 100",$F2167/F$8*100,$F2167)))))</f>
        <v/>
      </c>
      <c r="M2167" s="54">
        <f>IF($B2167=0,NA(),IF($G2167="",NA(),IF(G$8="",NA(),IF(N(G$8)=0,NA(),IF(Inputs!$C$17="Rebased to 100",$G2167/G$8*100,$G2167)))))</f>
        <v/>
      </c>
      <c r="N2167" s="54">
        <f>IF($B2167=0,NA(),IF(Inputs!$C$18&lt;&gt;"Yes",NA(),IF(COUNT(I2167,J2167,K2167,L2167,M2167)=0,NA(),MIN(I2167,J2167,K2167,L2167,M2167))))</f>
        <v/>
      </c>
      <c r="O2167" s="54">
        <f>IF($B2167=0,NA(),IF(Inputs!$B$24&lt;&gt;"Yes",NA(),Inputs!$D$24*Inputs!$C$35))</f>
        <v/>
      </c>
      <c r="P2167" s="54">
        <f>IF($B2167=0,NA(),IF(Inputs!$B$25&lt;&gt;"Yes",NA(),Inputs!$D$25*Inputs!$C$35))</f>
        <v/>
      </c>
      <c r="Q2167" s="54">
        <f>IF($B2167=0,NA(),IF(Inputs!$B$26&lt;&gt;"Yes",NA(),Inputs!$D$26*Inputs!$C$35))</f>
        <v/>
      </c>
      <c r="R2167" s="54">
        <f>IF($B2167=0,NA(),IF(Inputs!$B$27&lt;&gt;"Yes",NA(),Inputs!$D$27*Inputs!$C$35))</f>
        <v/>
      </c>
      <c r="S2167" s="54">
        <f>IF($B2167=0,NA(),IF(Inputs!$B$28&lt;&gt;"Yes",NA(),Inputs!$D$28*Inputs!$C$35))</f>
        <v/>
      </c>
      <c r="T2167" s="54">
        <f>IF($B2167=0,NA(),IF(Inputs!$B$29&lt;&gt;"Yes",NA(),Inputs!$D$29*Inputs!$C$35))</f>
        <v/>
      </c>
      <c r="AD2167">
        <f>IF($B2167=0,0,IF(Inputs!$B$6="",0,COUNTIFS(Data!$A$10:$A$3209,"&gt;="&amp;$A2167,Data!$A$10:$A$3209,"&lt;"&amp;$A2167+1)))</f>
        <v/>
      </c>
      <c r="AE2167">
        <f>IF($B2167=0,0,IF(Inputs!$B$7="",0,COUNTIFS(Data!$E$10:$E$3209,"&gt;="&amp;$A2167,Data!$E$10:$E$3209,"&lt;"&amp;$A2167+1)))</f>
        <v/>
      </c>
      <c r="AF2167">
        <f>IF($B2167=0,0,IF(Inputs!$B$8="",0,COUNTIFS(Data!$I$10:$I$3209,"&gt;="&amp;$A2167,Data!$I$10:$I$3209,"&lt;"&amp;$A2167+1)))</f>
        <v/>
      </c>
      <c r="AG2167">
        <f>IF($B2167=0,0,IF(Inputs!$B$9="",0,COUNTIFS(Data!$M$10:$M$3209,"&gt;="&amp;$A2167,Data!$M$10:$M$3209,"&lt;"&amp;$A2167+1)))</f>
        <v/>
      </c>
      <c r="AH2167">
        <f>IF($B2167=0,0,IF(Inputs!$B$10="",0,COUNTIFS(Data!$Q$10:$Q$3209,"&gt;="&amp;$A2167,Data!$Q$10:$Q$3209,"&lt;"&amp;$A2167+1)))</f>
        <v/>
      </c>
    </row>
    <row r="2168">
      <c r="A2168" s="55">
        <f>MIN(Inputs!$C$15,$A2167+IF(WEEKDAY($A2167,2)=5,3,1))</f>
        <v/>
      </c>
      <c r="B2168">
        <f>IF($A2168&gt;$A2167,1,0)</f>
        <v/>
      </c>
      <c r="C2168" s="56">
        <f>IF($B2168=0,"",IF(Inputs!$B$6="","",IF($AD2168=0,C2167,SUMIFS(Data!$B$10:$B$3209,Data!$A$10:$A$3209,"&gt;="&amp;$A2168,Data!$A$10:$A$3209,"&lt;"&amp;$A2168+1)/$AD2168)))</f>
        <v/>
      </c>
      <c r="D2168" s="56">
        <f>IF($B2168=0,"",IF(Inputs!$B$7="","",IF($AE2168=0,D2167,SUMIFS(Data!$F$10:$F$3209,Data!$E$10:$E$3209,"&gt;="&amp;$A2168,Data!$E$10:$E$3209,"&lt;"&amp;$A2168+1)/$AE2168)))</f>
        <v/>
      </c>
      <c r="E2168" s="56">
        <f>IF($B2168=0,"",IF(Inputs!$B$8="","",IF($AF2168=0,E2167,SUMIFS(Data!$J$10:$J$3209,Data!$I$10:$I$3209,"&gt;="&amp;$A2168,Data!$I$10:$I$3209,"&lt;"&amp;$A2168+1)/$AF2168)))</f>
        <v/>
      </c>
      <c r="F2168" s="56">
        <f>IF($B2168=0,"",IF(Inputs!$B$9="","",IF($AG2168=0,F2167,SUMIFS(Data!$N$10:$N$3209,Data!$M$10:$M$3209,"&gt;="&amp;$A2168,Data!$M$10:$M$3209,"&lt;"&amp;$A2168+1)/$AG2168)))</f>
        <v/>
      </c>
      <c r="G2168" s="56">
        <f>IF($B2168=0,"",IF(Inputs!$B$10="","",IF($AH2168=0,G2167,SUMIFS(Data!$R$10:$R$3209,Data!$Q$10:$Q$3209,"&gt;="&amp;$A2168,Data!$Q$10:$Q$3209,"&lt;"&amp;$A2168+1)/$AH2168)))</f>
        <v/>
      </c>
      <c r="I2168" s="54">
        <f>IF($B2168=0,NA(),IF($C2168="",NA(),IF(C$8="",NA(),IF(N(C$8)=0,NA(),IF(Inputs!$C$17="Rebased to 100",$C2168/C$8*100,$C2168)))))</f>
        <v/>
      </c>
      <c r="J2168" s="54">
        <f>IF($B2168=0,NA(),IF($D2168="",NA(),IF(D$8="",NA(),IF(N(D$8)=0,NA(),IF(Inputs!$C$17="Rebased to 100",$D2168/D$8*100,$D2168)))))</f>
        <v/>
      </c>
      <c r="K2168" s="54">
        <f>IF($B2168=0,NA(),IF($E2168="",NA(),IF(E$8="",NA(),IF(N(E$8)=0,NA(),IF(Inputs!$C$17="Rebased to 100",$E2168/E$8*100,$E2168)))))</f>
        <v/>
      </c>
      <c r="L2168" s="54">
        <f>IF($B2168=0,NA(),IF($F2168="",NA(),IF(F$8="",NA(),IF(N(F$8)=0,NA(),IF(Inputs!$C$17="Rebased to 100",$F2168/F$8*100,$F2168)))))</f>
        <v/>
      </c>
      <c r="M2168" s="54">
        <f>IF($B2168=0,NA(),IF($G2168="",NA(),IF(G$8="",NA(),IF(N(G$8)=0,NA(),IF(Inputs!$C$17="Rebased to 100",$G2168/G$8*100,$G2168)))))</f>
        <v/>
      </c>
      <c r="N2168" s="54">
        <f>IF($B2168=0,NA(),IF(Inputs!$C$18&lt;&gt;"Yes",NA(),IF(COUNT(I2168,J2168,K2168,L2168,M2168)=0,NA(),MIN(I2168,J2168,K2168,L2168,M2168))))</f>
        <v/>
      </c>
      <c r="O2168" s="54">
        <f>IF($B2168=0,NA(),IF(Inputs!$B$24&lt;&gt;"Yes",NA(),Inputs!$D$24*Inputs!$C$35))</f>
        <v/>
      </c>
      <c r="P2168" s="54">
        <f>IF($B2168=0,NA(),IF(Inputs!$B$25&lt;&gt;"Yes",NA(),Inputs!$D$25*Inputs!$C$35))</f>
        <v/>
      </c>
      <c r="Q2168" s="54">
        <f>IF($B2168=0,NA(),IF(Inputs!$B$26&lt;&gt;"Yes",NA(),Inputs!$D$26*Inputs!$C$35))</f>
        <v/>
      </c>
      <c r="R2168" s="54">
        <f>IF($B2168=0,NA(),IF(Inputs!$B$27&lt;&gt;"Yes",NA(),Inputs!$D$27*Inputs!$C$35))</f>
        <v/>
      </c>
      <c r="S2168" s="54">
        <f>IF($B2168=0,NA(),IF(Inputs!$B$28&lt;&gt;"Yes",NA(),Inputs!$D$28*Inputs!$C$35))</f>
        <v/>
      </c>
      <c r="T2168" s="54">
        <f>IF($B2168=0,NA(),IF(Inputs!$B$29&lt;&gt;"Yes",NA(),Inputs!$D$29*Inputs!$C$35))</f>
        <v/>
      </c>
      <c r="AD2168">
        <f>IF($B2168=0,0,IF(Inputs!$B$6="",0,COUNTIFS(Data!$A$10:$A$3209,"&gt;="&amp;$A2168,Data!$A$10:$A$3209,"&lt;"&amp;$A2168+1)))</f>
        <v/>
      </c>
      <c r="AE2168">
        <f>IF($B2168=0,0,IF(Inputs!$B$7="",0,COUNTIFS(Data!$E$10:$E$3209,"&gt;="&amp;$A2168,Data!$E$10:$E$3209,"&lt;"&amp;$A2168+1)))</f>
        <v/>
      </c>
      <c r="AF2168">
        <f>IF($B2168=0,0,IF(Inputs!$B$8="",0,COUNTIFS(Data!$I$10:$I$3209,"&gt;="&amp;$A2168,Data!$I$10:$I$3209,"&lt;"&amp;$A2168+1)))</f>
        <v/>
      </c>
      <c r="AG2168">
        <f>IF($B2168=0,0,IF(Inputs!$B$9="",0,COUNTIFS(Data!$M$10:$M$3209,"&gt;="&amp;$A2168,Data!$M$10:$M$3209,"&lt;"&amp;$A2168+1)))</f>
        <v/>
      </c>
      <c r="AH2168">
        <f>IF($B2168=0,0,IF(Inputs!$B$10="",0,COUNTIFS(Data!$Q$10:$Q$3209,"&gt;="&amp;$A2168,Data!$Q$10:$Q$3209,"&lt;"&amp;$A2168+1)))</f>
        <v/>
      </c>
    </row>
    <row r="2169">
      <c r="A2169" s="55">
        <f>MIN(Inputs!$C$15,$A2168+IF(WEEKDAY($A2168,2)=5,3,1))</f>
        <v/>
      </c>
      <c r="B2169">
        <f>IF($A2169&gt;$A2168,1,0)</f>
        <v/>
      </c>
      <c r="C2169" s="56">
        <f>IF($B2169=0,"",IF(Inputs!$B$6="","",IF($AD2169=0,C2168,SUMIFS(Data!$B$10:$B$3209,Data!$A$10:$A$3209,"&gt;="&amp;$A2169,Data!$A$10:$A$3209,"&lt;"&amp;$A2169+1)/$AD2169)))</f>
        <v/>
      </c>
      <c r="D2169" s="56">
        <f>IF($B2169=0,"",IF(Inputs!$B$7="","",IF($AE2169=0,D2168,SUMIFS(Data!$F$10:$F$3209,Data!$E$10:$E$3209,"&gt;="&amp;$A2169,Data!$E$10:$E$3209,"&lt;"&amp;$A2169+1)/$AE2169)))</f>
        <v/>
      </c>
      <c r="E2169" s="56">
        <f>IF($B2169=0,"",IF(Inputs!$B$8="","",IF($AF2169=0,E2168,SUMIFS(Data!$J$10:$J$3209,Data!$I$10:$I$3209,"&gt;="&amp;$A2169,Data!$I$10:$I$3209,"&lt;"&amp;$A2169+1)/$AF2169)))</f>
        <v/>
      </c>
      <c r="F2169" s="56">
        <f>IF($B2169=0,"",IF(Inputs!$B$9="","",IF($AG2169=0,F2168,SUMIFS(Data!$N$10:$N$3209,Data!$M$10:$M$3209,"&gt;="&amp;$A2169,Data!$M$10:$M$3209,"&lt;"&amp;$A2169+1)/$AG2169)))</f>
        <v/>
      </c>
      <c r="G2169" s="56">
        <f>IF($B2169=0,"",IF(Inputs!$B$10="","",IF($AH2169=0,G2168,SUMIFS(Data!$R$10:$R$3209,Data!$Q$10:$Q$3209,"&gt;="&amp;$A2169,Data!$Q$10:$Q$3209,"&lt;"&amp;$A2169+1)/$AH2169)))</f>
        <v/>
      </c>
      <c r="I2169" s="54">
        <f>IF($B2169=0,NA(),IF($C2169="",NA(),IF(C$8="",NA(),IF(N(C$8)=0,NA(),IF(Inputs!$C$17="Rebased to 100",$C2169/C$8*100,$C2169)))))</f>
        <v/>
      </c>
      <c r="J2169" s="54">
        <f>IF($B2169=0,NA(),IF($D2169="",NA(),IF(D$8="",NA(),IF(N(D$8)=0,NA(),IF(Inputs!$C$17="Rebased to 100",$D2169/D$8*100,$D2169)))))</f>
        <v/>
      </c>
      <c r="K2169" s="54">
        <f>IF($B2169=0,NA(),IF($E2169="",NA(),IF(E$8="",NA(),IF(N(E$8)=0,NA(),IF(Inputs!$C$17="Rebased to 100",$E2169/E$8*100,$E2169)))))</f>
        <v/>
      </c>
      <c r="L2169" s="54">
        <f>IF($B2169=0,NA(),IF($F2169="",NA(),IF(F$8="",NA(),IF(N(F$8)=0,NA(),IF(Inputs!$C$17="Rebased to 100",$F2169/F$8*100,$F2169)))))</f>
        <v/>
      </c>
      <c r="M2169" s="54">
        <f>IF($B2169=0,NA(),IF($G2169="",NA(),IF(G$8="",NA(),IF(N(G$8)=0,NA(),IF(Inputs!$C$17="Rebased to 100",$G2169/G$8*100,$G2169)))))</f>
        <v/>
      </c>
      <c r="N2169" s="54">
        <f>IF($B2169=0,NA(),IF(Inputs!$C$18&lt;&gt;"Yes",NA(),IF(COUNT(I2169,J2169,K2169,L2169,M2169)=0,NA(),MIN(I2169,J2169,K2169,L2169,M2169))))</f>
        <v/>
      </c>
      <c r="O2169" s="54">
        <f>IF($B2169=0,NA(),IF(Inputs!$B$24&lt;&gt;"Yes",NA(),Inputs!$D$24*Inputs!$C$35))</f>
        <v/>
      </c>
      <c r="P2169" s="54">
        <f>IF($B2169=0,NA(),IF(Inputs!$B$25&lt;&gt;"Yes",NA(),Inputs!$D$25*Inputs!$C$35))</f>
        <v/>
      </c>
      <c r="Q2169" s="54">
        <f>IF($B2169=0,NA(),IF(Inputs!$B$26&lt;&gt;"Yes",NA(),Inputs!$D$26*Inputs!$C$35))</f>
        <v/>
      </c>
      <c r="R2169" s="54">
        <f>IF($B2169=0,NA(),IF(Inputs!$B$27&lt;&gt;"Yes",NA(),Inputs!$D$27*Inputs!$C$35))</f>
        <v/>
      </c>
      <c r="S2169" s="54">
        <f>IF($B2169=0,NA(),IF(Inputs!$B$28&lt;&gt;"Yes",NA(),Inputs!$D$28*Inputs!$C$35))</f>
        <v/>
      </c>
      <c r="T2169" s="54">
        <f>IF($B2169=0,NA(),IF(Inputs!$B$29&lt;&gt;"Yes",NA(),Inputs!$D$29*Inputs!$C$35))</f>
        <v/>
      </c>
      <c r="AD2169">
        <f>IF($B2169=0,0,IF(Inputs!$B$6="",0,COUNTIFS(Data!$A$10:$A$3209,"&gt;="&amp;$A2169,Data!$A$10:$A$3209,"&lt;"&amp;$A2169+1)))</f>
        <v/>
      </c>
      <c r="AE2169">
        <f>IF($B2169=0,0,IF(Inputs!$B$7="",0,COUNTIFS(Data!$E$10:$E$3209,"&gt;="&amp;$A2169,Data!$E$10:$E$3209,"&lt;"&amp;$A2169+1)))</f>
        <v/>
      </c>
      <c r="AF2169">
        <f>IF($B2169=0,0,IF(Inputs!$B$8="",0,COUNTIFS(Data!$I$10:$I$3209,"&gt;="&amp;$A2169,Data!$I$10:$I$3209,"&lt;"&amp;$A2169+1)))</f>
        <v/>
      </c>
      <c r="AG2169">
        <f>IF($B2169=0,0,IF(Inputs!$B$9="",0,COUNTIFS(Data!$M$10:$M$3209,"&gt;="&amp;$A2169,Data!$M$10:$M$3209,"&lt;"&amp;$A2169+1)))</f>
        <v/>
      </c>
      <c r="AH2169">
        <f>IF($B2169=0,0,IF(Inputs!$B$10="",0,COUNTIFS(Data!$Q$10:$Q$3209,"&gt;="&amp;$A2169,Data!$Q$10:$Q$3209,"&lt;"&amp;$A2169+1)))</f>
        <v/>
      </c>
    </row>
    <row r="2170">
      <c r="A2170" s="55">
        <f>MIN(Inputs!$C$15,$A2169+IF(WEEKDAY($A2169,2)=5,3,1))</f>
        <v/>
      </c>
      <c r="B2170">
        <f>IF($A2170&gt;$A2169,1,0)</f>
        <v/>
      </c>
      <c r="C2170" s="56">
        <f>IF($B2170=0,"",IF(Inputs!$B$6="","",IF($AD2170=0,C2169,SUMIFS(Data!$B$10:$B$3209,Data!$A$10:$A$3209,"&gt;="&amp;$A2170,Data!$A$10:$A$3209,"&lt;"&amp;$A2170+1)/$AD2170)))</f>
        <v/>
      </c>
      <c r="D2170" s="56">
        <f>IF($B2170=0,"",IF(Inputs!$B$7="","",IF($AE2170=0,D2169,SUMIFS(Data!$F$10:$F$3209,Data!$E$10:$E$3209,"&gt;="&amp;$A2170,Data!$E$10:$E$3209,"&lt;"&amp;$A2170+1)/$AE2170)))</f>
        <v/>
      </c>
      <c r="E2170" s="56">
        <f>IF($B2170=0,"",IF(Inputs!$B$8="","",IF($AF2170=0,E2169,SUMIFS(Data!$J$10:$J$3209,Data!$I$10:$I$3209,"&gt;="&amp;$A2170,Data!$I$10:$I$3209,"&lt;"&amp;$A2170+1)/$AF2170)))</f>
        <v/>
      </c>
      <c r="F2170" s="56">
        <f>IF($B2170=0,"",IF(Inputs!$B$9="","",IF($AG2170=0,F2169,SUMIFS(Data!$N$10:$N$3209,Data!$M$10:$M$3209,"&gt;="&amp;$A2170,Data!$M$10:$M$3209,"&lt;"&amp;$A2170+1)/$AG2170)))</f>
        <v/>
      </c>
      <c r="G2170" s="56">
        <f>IF($B2170=0,"",IF(Inputs!$B$10="","",IF($AH2170=0,G2169,SUMIFS(Data!$R$10:$R$3209,Data!$Q$10:$Q$3209,"&gt;="&amp;$A2170,Data!$Q$10:$Q$3209,"&lt;"&amp;$A2170+1)/$AH2170)))</f>
        <v/>
      </c>
      <c r="I2170" s="54">
        <f>IF($B2170=0,NA(),IF($C2170="",NA(),IF(C$8="",NA(),IF(N(C$8)=0,NA(),IF(Inputs!$C$17="Rebased to 100",$C2170/C$8*100,$C2170)))))</f>
        <v/>
      </c>
      <c r="J2170" s="54">
        <f>IF($B2170=0,NA(),IF($D2170="",NA(),IF(D$8="",NA(),IF(N(D$8)=0,NA(),IF(Inputs!$C$17="Rebased to 100",$D2170/D$8*100,$D2170)))))</f>
        <v/>
      </c>
      <c r="K2170" s="54">
        <f>IF($B2170=0,NA(),IF($E2170="",NA(),IF(E$8="",NA(),IF(N(E$8)=0,NA(),IF(Inputs!$C$17="Rebased to 100",$E2170/E$8*100,$E2170)))))</f>
        <v/>
      </c>
      <c r="L2170" s="54">
        <f>IF($B2170=0,NA(),IF($F2170="",NA(),IF(F$8="",NA(),IF(N(F$8)=0,NA(),IF(Inputs!$C$17="Rebased to 100",$F2170/F$8*100,$F2170)))))</f>
        <v/>
      </c>
      <c r="M2170" s="54">
        <f>IF($B2170=0,NA(),IF($G2170="",NA(),IF(G$8="",NA(),IF(N(G$8)=0,NA(),IF(Inputs!$C$17="Rebased to 100",$G2170/G$8*100,$G2170)))))</f>
        <v/>
      </c>
      <c r="N2170" s="54">
        <f>IF($B2170=0,NA(),IF(Inputs!$C$18&lt;&gt;"Yes",NA(),IF(COUNT(I2170,J2170,K2170,L2170,M2170)=0,NA(),MIN(I2170,J2170,K2170,L2170,M2170))))</f>
        <v/>
      </c>
      <c r="O2170" s="54">
        <f>IF($B2170=0,NA(),IF(Inputs!$B$24&lt;&gt;"Yes",NA(),Inputs!$D$24*Inputs!$C$35))</f>
        <v/>
      </c>
      <c r="P2170" s="54">
        <f>IF($B2170=0,NA(),IF(Inputs!$B$25&lt;&gt;"Yes",NA(),Inputs!$D$25*Inputs!$C$35))</f>
        <v/>
      </c>
      <c r="Q2170" s="54">
        <f>IF($B2170=0,NA(),IF(Inputs!$B$26&lt;&gt;"Yes",NA(),Inputs!$D$26*Inputs!$C$35))</f>
        <v/>
      </c>
      <c r="R2170" s="54">
        <f>IF($B2170=0,NA(),IF(Inputs!$B$27&lt;&gt;"Yes",NA(),Inputs!$D$27*Inputs!$C$35))</f>
        <v/>
      </c>
      <c r="S2170" s="54">
        <f>IF($B2170=0,NA(),IF(Inputs!$B$28&lt;&gt;"Yes",NA(),Inputs!$D$28*Inputs!$C$35))</f>
        <v/>
      </c>
      <c r="T2170" s="54">
        <f>IF($B2170=0,NA(),IF(Inputs!$B$29&lt;&gt;"Yes",NA(),Inputs!$D$29*Inputs!$C$35))</f>
        <v/>
      </c>
      <c r="AD2170">
        <f>IF($B2170=0,0,IF(Inputs!$B$6="",0,COUNTIFS(Data!$A$10:$A$3209,"&gt;="&amp;$A2170,Data!$A$10:$A$3209,"&lt;"&amp;$A2170+1)))</f>
        <v/>
      </c>
      <c r="AE2170">
        <f>IF($B2170=0,0,IF(Inputs!$B$7="",0,COUNTIFS(Data!$E$10:$E$3209,"&gt;="&amp;$A2170,Data!$E$10:$E$3209,"&lt;"&amp;$A2170+1)))</f>
        <v/>
      </c>
      <c r="AF2170">
        <f>IF($B2170=0,0,IF(Inputs!$B$8="",0,COUNTIFS(Data!$I$10:$I$3209,"&gt;="&amp;$A2170,Data!$I$10:$I$3209,"&lt;"&amp;$A2170+1)))</f>
        <v/>
      </c>
      <c r="AG2170">
        <f>IF($B2170=0,0,IF(Inputs!$B$9="",0,COUNTIFS(Data!$M$10:$M$3209,"&gt;="&amp;$A2170,Data!$M$10:$M$3209,"&lt;"&amp;$A2170+1)))</f>
        <v/>
      </c>
      <c r="AH2170">
        <f>IF($B2170=0,0,IF(Inputs!$B$10="",0,COUNTIFS(Data!$Q$10:$Q$3209,"&gt;="&amp;$A2170,Data!$Q$10:$Q$3209,"&lt;"&amp;$A2170+1)))</f>
        <v/>
      </c>
    </row>
    <row r="2171">
      <c r="A2171" s="55">
        <f>MIN(Inputs!$C$15,$A2170+IF(WEEKDAY($A2170,2)=5,3,1))</f>
        <v/>
      </c>
      <c r="B2171">
        <f>IF($A2171&gt;$A2170,1,0)</f>
        <v/>
      </c>
      <c r="C2171" s="56">
        <f>IF($B2171=0,"",IF(Inputs!$B$6="","",IF($AD2171=0,C2170,SUMIFS(Data!$B$10:$B$3209,Data!$A$10:$A$3209,"&gt;="&amp;$A2171,Data!$A$10:$A$3209,"&lt;"&amp;$A2171+1)/$AD2171)))</f>
        <v/>
      </c>
      <c r="D2171" s="56">
        <f>IF($B2171=0,"",IF(Inputs!$B$7="","",IF($AE2171=0,D2170,SUMIFS(Data!$F$10:$F$3209,Data!$E$10:$E$3209,"&gt;="&amp;$A2171,Data!$E$10:$E$3209,"&lt;"&amp;$A2171+1)/$AE2171)))</f>
        <v/>
      </c>
      <c r="E2171" s="56">
        <f>IF($B2171=0,"",IF(Inputs!$B$8="","",IF($AF2171=0,E2170,SUMIFS(Data!$J$10:$J$3209,Data!$I$10:$I$3209,"&gt;="&amp;$A2171,Data!$I$10:$I$3209,"&lt;"&amp;$A2171+1)/$AF2171)))</f>
        <v/>
      </c>
      <c r="F2171" s="56">
        <f>IF($B2171=0,"",IF(Inputs!$B$9="","",IF($AG2171=0,F2170,SUMIFS(Data!$N$10:$N$3209,Data!$M$10:$M$3209,"&gt;="&amp;$A2171,Data!$M$10:$M$3209,"&lt;"&amp;$A2171+1)/$AG2171)))</f>
        <v/>
      </c>
      <c r="G2171" s="56">
        <f>IF($B2171=0,"",IF(Inputs!$B$10="","",IF($AH2171=0,G2170,SUMIFS(Data!$R$10:$R$3209,Data!$Q$10:$Q$3209,"&gt;="&amp;$A2171,Data!$Q$10:$Q$3209,"&lt;"&amp;$A2171+1)/$AH2171)))</f>
        <v/>
      </c>
      <c r="I2171" s="54">
        <f>IF($B2171=0,NA(),IF($C2171="",NA(),IF(C$8="",NA(),IF(N(C$8)=0,NA(),IF(Inputs!$C$17="Rebased to 100",$C2171/C$8*100,$C2171)))))</f>
        <v/>
      </c>
      <c r="J2171" s="54">
        <f>IF($B2171=0,NA(),IF($D2171="",NA(),IF(D$8="",NA(),IF(N(D$8)=0,NA(),IF(Inputs!$C$17="Rebased to 100",$D2171/D$8*100,$D2171)))))</f>
        <v/>
      </c>
      <c r="K2171" s="54">
        <f>IF($B2171=0,NA(),IF($E2171="",NA(),IF(E$8="",NA(),IF(N(E$8)=0,NA(),IF(Inputs!$C$17="Rebased to 100",$E2171/E$8*100,$E2171)))))</f>
        <v/>
      </c>
      <c r="L2171" s="54">
        <f>IF($B2171=0,NA(),IF($F2171="",NA(),IF(F$8="",NA(),IF(N(F$8)=0,NA(),IF(Inputs!$C$17="Rebased to 100",$F2171/F$8*100,$F2171)))))</f>
        <v/>
      </c>
      <c r="M2171" s="54">
        <f>IF($B2171=0,NA(),IF($G2171="",NA(),IF(G$8="",NA(),IF(N(G$8)=0,NA(),IF(Inputs!$C$17="Rebased to 100",$G2171/G$8*100,$G2171)))))</f>
        <v/>
      </c>
      <c r="N2171" s="54">
        <f>IF($B2171=0,NA(),IF(Inputs!$C$18&lt;&gt;"Yes",NA(),IF(COUNT(I2171,J2171,K2171,L2171,M2171)=0,NA(),MIN(I2171,J2171,K2171,L2171,M2171))))</f>
        <v/>
      </c>
      <c r="O2171" s="54">
        <f>IF($B2171=0,NA(),IF(Inputs!$B$24&lt;&gt;"Yes",NA(),Inputs!$D$24*Inputs!$C$35))</f>
        <v/>
      </c>
      <c r="P2171" s="54">
        <f>IF($B2171=0,NA(),IF(Inputs!$B$25&lt;&gt;"Yes",NA(),Inputs!$D$25*Inputs!$C$35))</f>
        <v/>
      </c>
      <c r="Q2171" s="54">
        <f>IF($B2171=0,NA(),IF(Inputs!$B$26&lt;&gt;"Yes",NA(),Inputs!$D$26*Inputs!$C$35))</f>
        <v/>
      </c>
      <c r="R2171" s="54">
        <f>IF($B2171=0,NA(),IF(Inputs!$B$27&lt;&gt;"Yes",NA(),Inputs!$D$27*Inputs!$C$35))</f>
        <v/>
      </c>
      <c r="S2171" s="54">
        <f>IF($B2171=0,NA(),IF(Inputs!$B$28&lt;&gt;"Yes",NA(),Inputs!$D$28*Inputs!$C$35))</f>
        <v/>
      </c>
      <c r="T2171" s="54">
        <f>IF($B2171=0,NA(),IF(Inputs!$B$29&lt;&gt;"Yes",NA(),Inputs!$D$29*Inputs!$C$35))</f>
        <v/>
      </c>
      <c r="AD2171">
        <f>IF($B2171=0,0,IF(Inputs!$B$6="",0,COUNTIFS(Data!$A$10:$A$3209,"&gt;="&amp;$A2171,Data!$A$10:$A$3209,"&lt;"&amp;$A2171+1)))</f>
        <v/>
      </c>
      <c r="AE2171">
        <f>IF($B2171=0,0,IF(Inputs!$B$7="",0,COUNTIFS(Data!$E$10:$E$3209,"&gt;="&amp;$A2171,Data!$E$10:$E$3209,"&lt;"&amp;$A2171+1)))</f>
        <v/>
      </c>
      <c r="AF2171">
        <f>IF($B2171=0,0,IF(Inputs!$B$8="",0,COUNTIFS(Data!$I$10:$I$3209,"&gt;="&amp;$A2171,Data!$I$10:$I$3209,"&lt;"&amp;$A2171+1)))</f>
        <v/>
      </c>
      <c r="AG2171">
        <f>IF($B2171=0,0,IF(Inputs!$B$9="",0,COUNTIFS(Data!$M$10:$M$3209,"&gt;="&amp;$A2171,Data!$M$10:$M$3209,"&lt;"&amp;$A2171+1)))</f>
        <v/>
      </c>
      <c r="AH2171">
        <f>IF($B2171=0,0,IF(Inputs!$B$10="",0,COUNTIFS(Data!$Q$10:$Q$3209,"&gt;="&amp;$A2171,Data!$Q$10:$Q$3209,"&lt;"&amp;$A2171+1)))</f>
        <v/>
      </c>
    </row>
    <row r="2172">
      <c r="A2172" s="55">
        <f>MIN(Inputs!$C$15,$A2171+IF(WEEKDAY($A2171,2)=5,3,1))</f>
        <v/>
      </c>
      <c r="B2172">
        <f>IF($A2172&gt;$A2171,1,0)</f>
        <v/>
      </c>
      <c r="C2172" s="56">
        <f>IF($B2172=0,"",IF(Inputs!$B$6="","",IF($AD2172=0,C2171,SUMIFS(Data!$B$10:$B$3209,Data!$A$10:$A$3209,"&gt;="&amp;$A2172,Data!$A$10:$A$3209,"&lt;"&amp;$A2172+1)/$AD2172)))</f>
        <v/>
      </c>
      <c r="D2172" s="56">
        <f>IF($B2172=0,"",IF(Inputs!$B$7="","",IF($AE2172=0,D2171,SUMIFS(Data!$F$10:$F$3209,Data!$E$10:$E$3209,"&gt;="&amp;$A2172,Data!$E$10:$E$3209,"&lt;"&amp;$A2172+1)/$AE2172)))</f>
        <v/>
      </c>
      <c r="E2172" s="56">
        <f>IF($B2172=0,"",IF(Inputs!$B$8="","",IF($AF2172=0,E2171,SUMIFS(Data!$J$10:$J$3209,Data!$I$10:$I$3209,"&gt;="&amp;$A2172,Data!$I$10:$I$3209,"&lt;"&amp;$A2172+1)/$AF2172)))</f>
        <v/>
      </c>
      <c r="F2172" s="56">
        <f>IF($B2172=0,"",IF(Inputs!$B$9="","",IF($AG2172=0,F2171,SUMIFS(Data!$N$10:$N$3209,Data!$M$10:$M$3209,"&gt;="&amp;$A2172,Data!$M$10:$M$3209,"&lt;"&amp;$A2172+1)/$AG2172)))</f>
        <v/>
      </c>
      <c r="G2172" s="56">
        <f>IF($B2172=0,"",IF(Inputs!$B$10="","",IF($AH2172=0,G2171,SUMIFS(Data!$R$10:$R$3209,Data!$Q$10:$Q$3209,"&gt;="&amp;$A2172,Data!$Q$10:$Q$3209,"&lt;"&amp;$A2172+1)/$AH2172)))</f>
        <v/>
      </c>
      <c r="I2172" s="54">
        <f>IF($B2172=0,NA(),IF($C2172="",NA(),IF(C$8="",NA(),IF(N(C$8)=0,NA(),IF(Inputs!$C$17="Rebased to 100",$C2172/C$8*100,$C2172)))))</f>
        <v/>
      </c>
      <c r="J2172" s="54">
        <f>IF($B2172=0,NA(),IF($D2172="",NA(),IF(D$8="",NA(),IF(N(D$8)=0,NA(),IF(Inputs!$C$17="Rebased to 100",$D2172/D$8*100,$D2172)))))</f>
        <v/>
      </c>
      <c r="K2172" s="54">
        <f>IF($B2172=0,NA(),IF($E2172="",NA(),IF(E$8="",NA(),IF(N(E$8)=0,NA(),IF(Inputs!$C$17="Rebased to 100",$E2172/E$8*100,$E2172)))))</f>
        <v/>
      </c>
      <c r="L2172" s="54">
        <f>IF($B2172=0,NA(),IF($F2172="",NA(),IF(F$8="",NA(),IF(N(F$8)=0,NA(),IF(Inputs!$C$17="Rebased to 100",$F2172/F$8*100,$F2172)))))</f>
        <v/>
      </c>
      <c r="M2172" s="54">
        <f>IF($B2172=0,NA(),IF($G2172="",NA(),IF(G$8="",NA(),IF(N(G$8)=0,NA(),IF(Inputs!$C$17="Rebased to 100",$G2172/G$8*100,$G2172)))))</f>
        <v/>
      </c>
      <c r="N2172" s="54">
        <f>IF($B2172=0,NA(),IF(Inputs!$C$18&lt;&gt;"Yes",NA(),IF(COUNT(I2172,J2172,K2172,L2172,M2172)=0,NA(),MIN(I2172,J2172,K2172,L2172,M2172))))</f>
        <v/>
      </c>
      <c r="O2172" s="54">
        <f>IF($B2172=0,NA(),IF(Inputs!$B$24&lt;&gt;"Yes",NA(),Inputs!$D$24*Inputs!$C$35))</f>
        <v/>
      </c>
      <c r="P2172" s="54">
        <f>IF($B2172=0,NA(),IF(Inputs!$B$25&lt;&gt;"Yes",NA(),Inputs!$D$25*Inputs!$C$35))</f>
        <v/>
      </c>
      <c r="Q2172" s="54">
        <f>IF($B2172=0,NA(),IF(Inputs!$B$26&lt;&gt;"Yes",NA(),Inputs!$D$26*Inputs!$C$35))</f>
        <v/>
      </c>
      <c r="R2172" s="54">
        <f>IF($B2172=0,NA(),IF(Inputs!$B$27&lt;&gt;"Yes",NA(),Inputs!$D$27*Inputs!$C$35))</f>
        <v/>
      </c>
      <c r="S2172" s="54">
        <f>IF($B2172=0,NA(),IF(Inputs!$B$28&lt;&gt;"Yes",NA(),Inputs!$D$28*Inputs!$C$35))</f>
        <v/>
      </c>
      <c r="T2172" s="54">
        <f>IF($B2172=0,NA(),IF(Inputs!$B$29&lt;&gt;"Yes",NA(),Inputs!$D$29*Inputs!$C$35))</f>
        <v/>
      </c>
      <c r="AD2172">
        <f>IF($B2172=0,0,IF(Inputs!$B$6="",0,COUNTIFS(Data!$A$10:$A$3209,"&gt;="&amp;$A2172,Data!$A$10:$A$3209,"&lt;"&amp;$A2172+1)))</f>
        <v/>
      </c>
      <c r="AE2172">
        <f>IF($B2172=0,0,IF(Inputs!$B$7="",0,COUNTIFS(Data!$E$10:$E$3209,"&gt;="&amp;$A2172,Data!$E$10:$E$3209,"&lt;"&amp;$A2172+1)))</f>
        <v/>
      </c>
      <c r="AF2172">
        <f>IF($B2172=0,0,IF(Inputs!$B$8="",0,COUNTIFS(Data!$I$10:$I$3209,"&gt;="&amp;$A2172,Data!$I$10:$I$3209,"&lt;"&amp;$A2172+1)))</f>
        <v/>
      </c>
      <c r="AG2172">
        <f>IF($B2172=0,0,IF(Inputs!$B$9="",0,COUNTIFS(Data!$M$10:$M$3209,"&gt;="&amp;$A2172,Data!$M$10:$M$3209,"&lt;"&amp;$A2172+1)))</f>
        <v/>
      </c>
      <c r="AH2172">
        <f>IF($B2172=0,0,IF(Inputs!$B$10="",0,COUNTIFS(Data!$Q$10:$Q$3209,"&gt;="&amp;$A2172,Data!$Q$10:$Q$3209,"&lt;"&amp;$A2172+1)))</f>
        <v/>
      </c>
    </row>
    <row r="2173">
      <c r="A2173" s="55">
        <f>MIN(Inputs!$C$15,$A2172+IF(WEEKDAY($A2172,2)=5,3,1))</f>
        <v/>
      </c>
      <c r="B2173">
        <f>IF($A2173&gt;$A2172,1,0)</f>
        <v/>
      </c>
      <c r="C2173" s="56">
        <f>IF($B2173=0,"",IF(Inputs!$B$6="","",IF($AD2173=0,C2172,SUMIFS(Data!$B$10:$B$3209,Data!$A$10:$A$3209,"&gt;="&amp;$A2173,Data!$A$10:$A$3209,"&lt;"&amp;$A2173+1)/$AD2173)))</f>
        <v/>
      </c>
      <c r="D2173" s="56">
        <f>IF($B2173=0,"",IF(Inputs!$B$7="","",IF($AE2173=0,D2172,SUMIFS(Data!$F$10:$F$3209,Data!$E$10:$E$3209,"&gt;="&amp;$A2173,Data!$E$10:$E$3209,"&lt;"&amp;$A2173+1)/$AE2173)))</f>
        <v/>
      </c>
      <c r="E2173" s="56">
        <f>IF($B2173=0,"",IF(Inputs!$B$8="","",IF($AF2173=0,E2172,SUMIFS(Data!$J$10:$J$3209,Data!$I$10:$I$3209,"&gt;="&amp;$A2173,Data!$I$10:$I$3209,"&lt;"&amp;$A2173+1)/$AF2173)))</f>
        <v/>
      </c>
      <c r="F2173" s="56">
        <f>IF($B2173=0,"",IF(Inputs!$B$9="","",IF($AG2173=0,F2172,SUMIFS(Data!$N$10:$N$3209,Data!$M$10:$M$3209,"&gt;="&amp;$A2173,Data!$M$10:$M$3209,"&lt;"&amp;$A2173+1)/$AG2173)))</f>
        <v/>
      </c>
      <c r="G2173" s="56">
        <f>IF($B2173=0,"",IF(Inputs!$B$10="","",IF($AH2173=0,G2172,SUMIFS(Data!$R$10:$R$3209,Data!$Q$10:$Q$3209,"&gt;="&amp;$A2173,Data!$Q$10:$Q$3209,"&lt;"&amp;$A2173+1)/$AH2173)))</f>
        <v/>
      </c>
      <c r="I2173" s="54">
        <f>IF($B2173=0,NA(),IF($C2173="",NA(),IF(C$8="",NA(),IF(N(C$8)=0,NA(),IF(Inputs!$C$17="Rebased to 100",$C2173/C$8*100,$C2173)))))</f>
        <v/>
      </c>
      <c r="J2173" s="54">
        <f>IF($B2173=0,NA(),IF($D2173="",NA(),IF(D$8="",NA(),IF(N(D$8)=0,NA(),IF(Inputs!$C$17="Rebased to 100",$D2173/D$8*100,$D2173)))))</f>
        <v/>
      </c>
      <c r="K2173" s="54">
        <f>IF($B2173=0,NA(),IF($E2173="",NA(),IF(E$8="",NA(),IF(N(E$8)=0,NA(),IF(Inputs!$C$17="Rebased to 100",$E2173/E$8*100,$E2173)))))</f>
        <v/>
      </c>
      <c r="L2173" s="54">
        <f>IF($B2173=0,NA(),IF($F2173="",NA(),IF(F$8="",NA(),IF(N(F$8)=0,NA(),IF(Inputs!$C$17="Rebased to 100",$F2173/F$8*100,$F2173)))))</f>
        <v/>
      </c>
      <c r="M2173" s="54">
        <f>IF($B2173=0,NA(),IF($G2173="",NA(),IF(G$8="",NA(),IF(N(G$8)=0,NA(),IF(Inputs!$C$17="Rebased to 100",$G2173/G$8*100,$G2173)))))</f>
        <v/>
      </c>
      <c r="N2173" s="54">
        <f>IF($B2173=0,NA(),IF(Inputs!$C$18&lt;&gt;"Yes",NA(),IF(COUNT(I2173,J2173,K2173,L2173,M2173)=0,NA(),MIN(I2173,J2173,K2173,L2173,M2173))))</f>
        <v/>
      </c>
      <c r="O2173" s="54">
        <f>IF($B2173=0,NA(),IF(Inputs!$B$24&lt;&gt;"Yes",NA(),Inputs!$D$24*Inputs!$C$35))</f>
        <v/>
      </c>
      <c r="P2173" s="54">
        <f>IF($B2173=0,NA(),IF(Inputs!$B$25&lt;&gt;"Yes",NA(),Inputs!$D$25*Inputs!$C$35))</f>
        <v/>
      </c>
      <c r="Q2173" s="54">
        <f>IF($B2173=0,NA(),IF(Inputs!$B$26&lt;&gt;"Yes",NA(),Inputs!$D$26*Inputs!$C$35))</f>
        <v/>
      </c>
      <c r="R2173" s="54">
        <f>IF($B2173=0,NA(),IF(Inputs!$B$27&lt;&gt;"Yes",NA(),Inputs!$D$27*Inputs!$C$35))</f>
        <v/>
      </c>
      <c r="S2173" s="54">
        <f>IF($B2173=0,NA(),IF(Inputs!$B$28&lt;&gt;"Yes",NA(),Inputs!$D$28*Inputs!$C$35))</f>
        <v/>
      </c>
      <c r="T2173" s="54">
        <f>IF($B2173=0,NA(),IF(Inputs!$B$29&lt;&gt;"Yes",NA(),Inputs!$D$29*Inputs!$C$35))</f>
        <v/>
      </c>
      <c r="AD2173">
        <f>IF($B2173=0,0,IF(Inputs!$B$6="",0,COUNTIFS(Data!$A$10:$A$3209,"&gt;="&amp;$A2173,Data!$A$10:$A$3209,"&lt;"&amp;$A2173+1)))</f>
        <v/>
      </c>
      <c r="AE2173">
        <f>IF($B2173=0,0,IF(Inputs!$B$7="",0,COUNTIFS(Data!$E$10:$E$3209,"&gt;="&amp;$A2173,Data!$E$10:$E$3209,"&lt;"&amp;$A2173+1)))</f>
        <v/>
      </c>
      <c r="AF2173">
        <f>IF($B2173=0,0,IF(Inputs!$B$8="",0,COUNTIFS(Data!$I$10:$I$3209,"&gt;="&amp;$A2173,Data!$I$10:$I$3209,"&lt;"&amp;$A2173+1)))</f>
        <v/>
      </c>
      <c r="AG2173">
        <f>IF($B2173=0,0,IF(Inputs!$B$9="",0,COUNTIFS(Data!$M$10:$M$3209,"&gt;="&amp;$A2173,Data!$M$10:$M$3209,"&lt;"&amp;$A2173+1)))</f>
        <v/>
      </c>
      <c r="AH2173">
        <f>IF($B2173=0,0,IF(Inputs!$B$10="",0,COUNTIFS(Data!$Q$10:$Q$3209,"&gt;="&amp;$A2173,Data!$Q$10:$Q$3209,"&lt;"&amp;$A2173+1)))</f>
        <v/>
      </c>
    </row>
    <row r="2174">
      <c r="A2174" s="55">
        <f>MIN(Inputs!$C$15,$A2173+IF(WEEKDAY($A2173,2)=5,3,1))</f>
        <v/>
      </c>
      <c r="B2174">
        <f>IF($A2174&gt;$A2173,1,0)</f>
        <v/>
      </c>
      <c r="C2174" s="56">
        <f>IF($B2174=0,"",IF(Inputs!$B$6="","",IF($AD2174=0,C2173,SUMIFS(Data!$B$10:$B$3209,Data!$A$10:$A$3209,"&gt;="&amp;$A2174,Data!$A$10:$A$3209,"&lt;"&amp;$A2174+1)/$AD2174)))</f>
        <v/>
      </c>
      <c r="D2174" s="56">
        <f>IF($B2174=0,"",IF(Inputs!$B$7="","",IF($AE2174=0,D2173,SUMIFS(Data!$F$10:$F$3209,Data!$E$10:$E$3209,"&gt;="&amp;$A2174,Data!$E$10:$E$3209,"&lt;"&amp;$A2174+1)/$AE2174)))</f>
        <v/>
      </c>
      <c r="E2174" s="56">
        <f>IF($B2174=0,"",IF(Inputs!$B$8="","",IF($AF2174=0,E2173,SUMIFS(Data!$J$10:$J$3209,Data!$I$10:$I$3209,"&gt;="&amp;$A2174,Data!$I$10:$I$3209,"&lt;"&amp;$A2174+1)/$AF2174)))</f>
        <v/>
      </c>
      <c r="F2174" s="56">
        <f>IF($B2174=0,"",IF(Inputs!$B$9="","",IF($AG2174=0,F2173,SUMIFS(Data!$N$10:$N$3209,Data!$M$10:$M$3209,"&gt;="&amp;$A2174,Data!$M$10:$M$3209,"&lt;"&amp;$A2174+1)/$AG2174)))</f>
        <v/>
      </c>
      <c r="G2174" s="56">
        <f>IF($B2174=0,"",IF(Inputs!$B$10="","",IF($AH2174=0,G2173,SUMIFS(Data!$R$10:$R$3209,Data!$Q$10:$Q$3209,"&gt;="&amp;$A2174,Data!$Q$10:$Q$3209,"&lt;"&amp;$A2174+1)/$AH2174)))</f>
        <v/>
      </c>
      <c r="I2174" s="54">
        <f>IF($B2174=0,NA(),IF($C2174="",NA(),IF(C$8="",NA(),IF(N(C$8)=0,NA(),IF(Inputs!$C$17="Rebased to 100",$C2174/C$8*100,$C2174)))))</f>
        <v/>
      </c>
      <c r="J2174" s="54">
        <f>IF($B2174=0,NA(),IF($D2174="",NA(),IF(D$8="",NA(),IF(N(D$8)=0,NA(),IF(Inputs!$C$17="Rebased to 100",$D2174/D$8*100,$D2174)))))</f>
        <v/>
      </c>
      <c r="K2174" s="54">
        <f>IF($B2174=0,NA(),IF($E2174="",NA(),IF(E$8="",NA(),IF(N(E$8)=0,NA(),IF(Inputs!$C$17="Rebased to 100",$E2174/E$8*100,$E2174)))))</f>
        <v/>
      </c>
      <c r="L2174" s="54">
        <f>IF($B2174=0,NA(),IF($F2174="",NA(),IF(F$8="",NA(),IF(N(F$8)=0,NA(),IF(Inputs!$C$17="Rebased to 100",$F2174/F$8*100,$F2174)))))</f>
        <v/>
      </c>
      <c r="M2174" s="54">
        <f>IF($B2174=0,NA(),IF($G2174="",NA(),IF(G$8="",NA(),IF(N(G$8)=0,NA(),IF(Inputs!$C$17="Rebased to 100",$G2174/G$8*100,$G2174)))))</f>
        <v/>
      </c>
      <c r="N2174" s="54">
        <f>IF($B2174=0,NA(),IF(Inputs!$C$18&lt;&gt;"Yes",NA(),IF(COUNT(I2174,J2174,K2174,L2174,M2174)=0,NA(),MIN(I2174,J2174,K2174,L2174,M2174))))</f>
        <v/>
      </c>
      <c r="O2174" s="54">
        <f>IF($B2174=0,NA(),IF(Inputs!$B$24&lt;&gt;"Yes",NA(),Inputs!$D$24*Inputs!$C$35))</f>
        <v/>
      </c>
      <c r="P2174" s="54">
        <f>IF($B2174=0,NA(),IF(Inputs!$B$25&lt;&gt;"Yes",NA(),Inputs!$D$25*Inputs!$C$35))</f>
        <v/>
      </c>
      <c r="Q2174" s="54">
        <f>IF($B2174=0,NA(),IF(Inputs!$B$26&lt;&gt;"Yes",NA(),Inputs!$D$26*Inputs!$C$35))</f>
        <v/>
      </c>
      <c r="R2174" s="54">
        <f>IF($B2174=0,NA(),IF(Inputs!$B$27&lt;&gt;"Yes",NA(),Inputs!$D$27*Inputs!$C$35))</f>
        <v/>
      </c>
      <c r="S2174" s="54">
        <f>IF($B2174=0,NA(),IF(Inputs!$B$28&lt;&gt;"Yes",NA(),Inputs!$D$28*Inputs!$C$35))</f>
        <v/>
      </c>
      <c r="T2174" s="54">
        <f>IF($B2174=0,NA(),IF(Inputs!$B$29&lt;&gt;"Yes",NA(),Inputs!$D$29*Inputs!$C$35))</f>
        <v/>
      </c>
      <c r="AD2174">
        <f>IF($B2174=0,0,IF(Inputs!$B$6="",0,COUNTIFS(Data!$A$10:$A$3209,"&gt;="&amp;$A2174,Data!$A$10:$A$3209,"&lt;"&amp;$A2174+1)))</f>
        <v/>
      </c>
      <c r="AE2174">
        <f>IF($B2174=0,0,IF(Inputs!$B$7="",0,COUNTIFS(Data!$E$10:$E$3209,"&gt;="&amp;$A2174,Data!$E$10:$E$3209,"&lt;"&amp;$A2174+1)))</f>
        <v/>
      </c>
      <c r="AF2174">
        <f>IF($B2174=0,0,IF(Inputs!$B$8="",0,COUNTIFS(Data!$I$10:$I$3209,"&gt;="&amp;$A2174,Data!$I$10:$I$3209,"&lt;"&amp;$A2174+1)))</f>
        <v/>
      </c>
      <c r="AG2174">
        <f>IF($B2174=0,0,IF(Inputs!$B$9="",0,COUNTIFS(Data!$M$10:$M$3209,"&gt;="&amp;$A2174,Data!$M$10:$M$3209,"&lt;"&amp;$A2174+1)))</f>
        <v/>
      </c>
      <c r="AH2174">
        <f>IF($B2174=0,0,IF(Inputs!$B$10="",0,COUNTIFS(Data!$Q$10:$Q$3209,"&gt;="&amp;$A2174,Data!$Q$10:$Q$3209,"&lt;"&amp;$A2174+1)))</f>
        <v/>
      </c>
    </row>
    <row r="2175">
      <c r="A2175" s="55">
        <f>MIN(Inputs!$C$15,$A2174+IF(WEEKDAY($A2174,2)=5,3,1))</f>
        <v/>
      </c>
      <c r="B2175">
        <f>IF($A2175&gt;$A2174,1,0)</f>
        <v/>
      </c>
      <c r="C2175" s="56">
        <f>IF($B2175=0,"",IF(Inputs!$B$6="","",IF($AD2175=0,C2174,SUMIFS(Data!$B$10:$B$3209,Data!$A$10:$A$3209,"&gt;="&amp;$A2175,Data!$A$10:$A$3209,"&lt;"&amp;$A2175+1)/$AD2175)))</f>
        <v/>
      </c>
      <c r="D2175" s="56">
        <f>IF($B2175=0,"",IF(Inputs!$B$7="","",IF($AE2175=0,D2174,SUMIFS(Data!$F$10:$F$3209,Data!$E$10:$E$3209,"&gt;="&amp;$A2175,Data!$E$10:$E$3209,"&lt;"&amp;$A2175+1)/$AE2175)))</f>
        <v/>
      </c>
      <c r="E2175" s="56">
        <f>IF($B2175=0,"",IF(Inputs!$B$8="","",IF($AF2175=0,E2174,SUMIFS(Data!$J$10:$J$3209,Data!$I$10:$I$3209,"&gt;="&amp;$A2175,Data!$I$10:$I$3209,"&lt;"&amp;$A2175+1)/$AF2175)))</f>
        <v/>
      </c>
      <c r="F2175" s="56">
        <f>IF($B2175=0,"",IF(Inputs!$B$9="","",IF($AG2175=0,F2174,SUMIFS(Data!$N$10:$N$3209,Data!$M$10:$M$3209,"&gt;="&amp;$A2175,Data!$M$10:$M$3209,"&lt;"&amp;$A2175+1)/$AG2175)))</f>
        <v/>
      </c>
      <c r="G2175" s="56">
        <f>IF($B2175=0,"",IF(Inputs!$B$10="","",IF($AH2175=0,G2174,SUMIFS(Data!$R$10:$R$3209,Data!$Q$10:$Q$3209,"&gt;="&amp;$A2175,Data!$Q$10:$Q$3209,"&lt;"&amp;$A2175+1)/$AH2175)))</f>
        <v/>
      </c>
      <c r="I2175" s="54">
        <f>IF($B2175=0,NA(),IF($C2175="",NA(),IF(C$8="",NA(),IF(N(C$8)=0,NA(),IF(Inputs!$C$17="Rebased to 100",$C2175/C$8*100,$C2175)))))</f>
        <v/>
      </c>
      <c r="J2175" s="54">
        <f>IF($B2175=0,NA(),IF($D2175="",NA(),IF(D$8="",NA(),IF(N(D$8)=0,NA(),IF(Inputs!$C$17="Rebased to 100",$D2175/D$8*100,$D2175)))))</f>
        <v/>
      </c>
      <c r="K2175" s="54">
        <f>IF($B2175=0,NA(),IF($E2175="",NA(),IF(E$8="",NA(),IF(N(E$8)=0,NA(),IF(Inputs!$C$17="Rebased to 100",$E2175/E$8*100,$E2175)))))</f>
        <v/>
      </c>
      <c r="L2175" s="54">
        <f>IF($B2175=0,NA(),IF($F2175="",NA(),IF(F$8="",NA(),IF(N(F$8)=0,NA(),IF(Inputs!$C$17="Rebased to 100",$F2175/F$8*100,$F2175)))))</f>
        <v/>
      </c>
      <c r="M2175" s="54">
        <f>IF($B2175=0,NA(),IF($G2175="",NA(),IF(G$8="",NA(),IF(N(G$8)=0,NA(),IF(Inputs!$C$17="Rebased to 100",$G2175/G$8*100,$G2175)))))</f>
        <v/>
      </c>
      <c r="N2175" s="54">
        <f>IF($B2175=0,NA(),IF(Inputs!$C$18&lt;&gt;"Yes",NA(),IF(COUNT(I2175,J2175,K2175,L2175,M2175)=0,NA(),MIN(I2175,J2175,K2175,L2175,M2175))))</f>
        <v/>
      </c>
      <c r="O2175" s="54">
        <f>IF($B2175=0,NA(),IF(Inputs!$B$24&lt;&gt;"Yes",NA(),Inputs!$D$24*Inputs!$C$35))</f>
        <v/>
      </c>
      <c r="P2175" s="54">
        <f>IF($B2175=0,NA(),IF(Inputs!$B$25&lt;&gt;"Yes",NA(),Inputs!$D$25*Inputs!$C$35))</f>
        <v/>
      </c>
      <c r="Q2175" s="54">
        <f>IF($B2175=0,NA(),IF(Inputs!$B$26&lt;&gt;"Yes",NA(),Inputs!$D$26*Inputs!$C$35))</f>
        <v/>
      </c>
      <c r="R2175" s="54">
        <f>IF($B2175=0,NA(),IF(Inputs!$B$27&lt;&gt;"Yes",NA(),Inputs!$D$27*Inputs!$C$35))</f>
        <v/>
      </c>
      <c r="S2175" s="54">
        <f>IF($B2175=0,NA(),IF(Inputs!$B$28&lt;&gt;"Yes",NA(),Inputs!$D$28*Inputs!$C$35))</f>
        <v/>
      </c>
      <c r="T2175" s="54">
        <f>IF($B2175=0,NA(),IF(Inputs!$B$29&lt;&gt;"Yes",NA(),Inputs!$D$29*Inputs!$C$35))</f>
        <v/>
      </c>
      <c r="AD2175">
        <f>IF($B2175=0,0,IF(Inputs!$B$6="",0,COUNTIFS(Data!$A$10:$A$3209,"&gt;="&amp;$A2175,Data!$A$10:$A$3209,"&lt;"&amp;$A2175+1)))</f>
        <v/>
      </c>
      <c r="AE2175">
        <f>IF($B2175=0,0,IF(Inputs!$B$7="",0,COUNTIFS(Data!$E$10:$E$3209,"&gt;="&amp;$A2175,Data!$E$10:$E$3209,"&lt;"&amp;$A2175+1)))</f>
        <v/>
      </c>
      <c r="AF2175">
        <f>IF($B2175=0,0,IF(Inputs!$B$8="",0,COUNTIFS(Data!$I$10:$I$3209,"&gt;="&amp;$A2175,Data!$I$10:$I$3209,"&lt;"&amp;$A2175+1)))</f>
        <v/>
      </c>
      <c r="AG2175">
        <f>IF($B2175=0,0,IF(Inputs!$B$9="",0,COUNTIFS(Data!$M$10:$M$3209,"&gt;="&amp;$A2175,Data!$M$10:$M$3209,"&lt;"&amp;$A2175+1)))</f>
        <v/>
      </c>
      <c r="AH2175">
        <f>IF($B2175=0,0,IF(Inputs!$B$10="",0,COUNTIFS(Data!$Q$10:$Q$3209,"&gt;="&amp;$A2175,Data!$Q$10:$Q$3209,"&lt;"&amp;$A2175+1)))</f>
        <v/>
      </c>
    </row>
    <row r="2176">
      <c r="A2176" s="55">
        <f>MIN(Inputs!$C$15,$A2175+IF(WEEKDAY($A2175,2)=5,3,1))</f>
        <v/>
      </c>
      <c r="B2176">
        <f>IF($A2176&gt;$A2175,1,0)</f>
        <v/>
      </c>
      <c r="C2176" s="56">
        <f>IF($B2176=0,"",IF(Inputs!$B$6="","",IF($AD2176=0,C2175,SUMIFS(Data!$B$10:$B$3209,Data!$A$10:$A$3209,"&gt;="&amp;$A2176,Data!$A$10:$A$3209,"&lt;"&amp;$A2176+1)/$AD2176)))</f>
        <v/>
      </c>
      <c r="D2176" s="56">
        <f>IF($B2176=0,"",IF(Inputs!$B$7="","",IF($AE2176=0,D2175,SUMIFS(Data!$F$10:$F$3209,Data!$E$10:$E$3209,"&gt;="&amp;$A2176,Data!$E$10:$E$3209,"&lt;"&amp;$A2176+1)/$AE2176)))</f>
        <v/>
      </c>
      <c r="E2176" s="56">
        <f>IF($B2176=0,"",IF(Inputs!$B$8="","",IF($AF2176=0,E2175,SUMIFS(Data!$J$10:$J$3209,Data!$I$10:$I$3209,"&gt;="&amp;$A2176,Data!$I$10:$I$3209,"&lt;"&amp;$A2176+1)/$AF2176)))</f>
        <v/>
      </c>
      <c r="F2176" s="56">
        <f>IF($B2176=0,"",IF(Inputs!$B$9="","",IF($AG2176=0,F2175,SUMIFS(Data!$N$10:$N$3209,Data!$M$10:$M$3209,"&gt;="&amp;$A2176,Data!$M$10:$M$3209,"&lt;"&amp;$A2176+1)/$AG2176)))</f>
        <v/>
      </c>
      <c r="G2176" s="56">
        <f>IF($B2176=0,"",IF(Inputs!$B$10="","",IF($AH2176=0,G2175,SUMIFS(Data!$R$10:$R$3209,Data!$Q$10:$Q$3209,"&gt;="&amp;$A2176,Data!$Q$10:$Q$3209,"&lt;"&amp;$A2176+1)/$AH2176)))</f>
        <v/>
      </c>
      <c r="I2176" s="54">
        <f>IF($B2176=0,NA(),IF($C2176="",NA(),IF(C$8="",NA(),IF(N(C$8)=0,NA(),IF(Inputs!$C$17="Rebased to 100",$C2176/C$8*100,$C2176)))))</f>
        <v/>
      </c>
      <c r="J2176" s="54">
        <f>IF($B2176=0,NA(),IF($D2176="",NA(),IF(D$8="",NA(),IF(N(D$8)=0,NA(),IF(Inputs!$C$17="Rebased to 100",$D2176/D$8*100,$D2176)))))</f>
        <v/>
      </c>
      <c r="K2176" s="54">
        <f>IF($B2176=0,NA(),IF($E2176="",NA(),IF(E$8="",NA(),IF(N(E$8)=0,NA(),IF(Inputs!$C$17="Rebased to 100",$E2176/E$8*100,$E2176)))))</f>
        <v/>
      </c>
      <c r="L2176" s="54">
        <f>IF($B2176=0,NA(),IF($F2176="",NA(),IF(F$8="",NA(),IF(N(F$8)=0,NA(),IF(Inputs!$C$17="Rebased to 100",$F2176/F$8*100,$F2176)))))</f>
        <v/>
      </c>
      <c r="M2176" s="54">
        <f>IF($B2176=0,NA(),IF($G2176="",NA(),IF(G$8="",NA(),IF(N(G$8)=0,NA(),IF(Inputs!$C$17="Rebased to 100",$G2176/G$8*100,$G2176)))))</f>
        <v/>
      </c>
      <c r="N2176" s="54">
        <f>IF($B2176=0,NA(),IF(Inputs!$C$18&lt;&gt;"Yes",NA(),IF(COUNT(I2176,J2176,K2176,L2176,M2176)=0,NA(),MIN(I2176,J2176,K2176,L2176,M2176))))</f>
        <v/>
      </c>
      <c r="O2176" s="54">
        <f>IF($B2176=0,NA(),IF(Inputs!$B$24&lt;&gt;"Yes",NA(),Inputs!$D$24*Inputs!$C$35))</f>
        <v/>
      </c>
      <c r="P2176" s="54">
        <f>IF($B2176=0,NA(),IF(Inputs!$B$25&lt;&gt;"Yes",NA(),Inputs!$D$25*Inputs!$C$35))</f>
        <v/>
      </c>
      <c r="Q2176" s="54">
        <f>IF($B2176=0,NA(),IF(Inputs!$B$26&lt;&gt;"Yes",NA(),Inputs!$D$26*Inputs!$C$35))</f>
        <v/>
      </c>
      <c r="R2176" s="54">
        <f>IF($B2176=0,NA(),IF(Inputs!$B$27&lt;&gt;"Yes",NA(),Inputs!$D$27*Inputs!$C$35))</f>
        <v/>
      </c>
      <c r="S2176" s="54">
        <f>IF($B2176=0,NA(),IF(Inputs!$B$28&lt;&gt;"Yes",NA(),Inputs!$D$28*Inputs!$C$35))</f>
        <v/>
      </c>
      <c r="T2176" s="54">
        <f>IF($B2176=0,NA(),IF(Inputs!$B$29&lt;&gt;"Yes",NA(),Inputs!$D$29*Inputs!$C$35))</f>
        <v/>
      </c>
      <c r="AD2176">
        <f>IF($B2176=0,0,IF(Inputs!$B$6="",0,COUNTIFS(Data!$A$10:$A$3209,"&gt;="&amp;$A2176,Data!$A$10:$A$3209,"&lt;"&amp;$A2176+1)))</f>
        <v/>
      </c>
      <c r="AE2176">
        <f>IF($B2176=0,0,IF(Inputs!$B$7="",0,COUNTIFS(Data!$E$10:$E$3209,"&gt;="&amp;$A2176,Data!$E$10:$E$3209,"&lt;"&amp;$A2176+1)))</f>
        <v/>
      </c>
      <c r="AF2176">
        <f>IF($B2176=0,0,IF(Inputs!$B$8="",0,COUNTIFS(Data!$I$10:$I$3209,"&gt;="&amp;$A2176,Data!$I$10:$I$3209,"&lt;"&amp;$A2176+1)))</f>
        <v/>
      </c>
      <c r="AG2176">
        <f>IF($B2176=0,0,IF(Inputs!$B$9="",0,COUNTIFS(Data!$M$10:$M$3209,"&gt;="&amp;$A2176,Data!$M$10:$M$3209,"&lt;"&amp;$A2176+1)))</f>
        <v/>
      </c>
      <c r="AH2176">
        <f>IF($B2176=0,0,IF(Inputs!$B$10="",0,COUNTIFS(Data!$Q$10:$Q$3209,"&gt;="&amp;$A2176,Data!$Q$10:$Q$3209,"&lt;"&amp;$A2176+1)))</f>
        <v/>
      </c>
    </row>
    <row r="2177">
      <c r="A2177" s="55">
        <f>MIN(Inputs!$C$15,$A2176+IF(WEEKDAY($A2176,2)=5,3,1))</f>
        <v/>
      </c>
      <c r="B2177">
        <f>IF($A2177&gt;$A2176,1,0)</f>
        <v/>
      </c>
      <c r="C2177" s="56">
        <f>IF($B2177=0,"",IF(Inputs!$B$6="","",IF($AD2177=0,C2176,SUMIFS(Data!$B$10:$B$3209,Data!$A$10:$A$3209,"&gt;="&amp;$A2177,Data!$A$10:$A$3209,"&lt;"&amp;$A2177+1)/$AD2177)))</f>
        <v/>
      </c>
      <c r="D2177" s="56">
        <f>IF($B2177=0,"",IF(Inputs!$B$7="","",IF($AE2177=0,D2176,SUMIFS(Data!$F$10:$F$3209,Data!$E$10:$E$3209,"&gt;="&amp;$A2177,Data!$E$10:$E$3209,"&lt;"&amp;$A2177+1)/$AE2177)))</f>
        <v/>
      </c>
      <c r="E2177" s="56">
        <f>IF($B2177=0,"",IF(Inputs!$B$8="","",IF($AF2177=0,E2176,SUMIFS(Data!$J$10:$J$3209,Data!$I$10:$I$3209,"&gt;="&amp;$A2177,Data!$I$10:$I$3209,"&lt;"&amp;$A2177+1)/$AF2177)))</f>
        <v/>
      </c>
      <c r="F2177" s="56">
        <f>IF($B2177=0,"",IF(Inputs!$B$9="","",IF($AG2177=0,F2176,SUMIFS(Data!$N$10:$N$3209,Data!$M$10:$M$3209,"&gt;="&amp;$A2177,Data!$M$10:$M$3209,"&lt;"&amp;$A2177+1)/$AG2177)))</f>
        <v/>
      </c>
      <c r="G2177" s="56">
        <f>IF($B2177=0,"",IF(Inputs!$B$10="","",IF($AH2177=0,G2176,SUMIFS(Data!$R$10:$R$3209,Data!$Q$10:$Q$3209,"&gt;="&amp;$A2177,Data!$Q$10:$Q$3209,"&lt;"&amp;$A2177+1)/$AH2177)))</f>
        <v/>
      </c>
      <c r="I2177" s="54">
        <f>IF($B2177=0,NA(),IF($C2177="",NA(),IF(C$8="",NA(),IF(N(C$8)=0,NA(),IF(Inputs!$C$17="Rebased to 100",$C2177/C$8*100,$C2177)))))</f>
        <v/>
      </c>
      <c r="J2177" s="54">
        <f>IF($B2177=0,NA(),IF($D2177="",NA(),IF(D$8="",NA(),IF(N(D$8)=0,NA(),IF(Inputs!$C$17="Rebased to 100",$D2177/D$8*100,$D2177)))))</f>
        <v/>
      </c>
      <c r="K2177" s="54">
        <f>IF($B2177=0,NA(),IF($E2177="",NA(),IF(E$8="",NA(),IF(N(E$8)=0,NA(),IF(Inputs!$C$17="Rebased to 100",$E2177/E$8*100,$E2177)))))</f>
        <v/>
      </c>
      <c r="L2177" s="54">
        <f>IF($B2177=0,NA(),IF($F2177="",NA(),IF(F$8="",NA(),IF(N(F$8)=0,NA(),IF(Inputs!$C$17="Rebased to 100",$F2177/F$8*100,$F2177)))))</f>
        <v/>
      </c>
      <c r="M2177" s="54">
        <f>IF($B2177=0,NA(),IF($G2177="",NA(),IF(G$8="",NA(),IF(N(G$8)=0,NA(),IF(Inputs!$C$17="Rebased to 100",$G2177/G$8*100,$G2177)))))</f>
        <v/>
      </c>
      <c r="N2177" s="54">
        <f>IF($B2177=0,NA(),IF(Inputs!$C$18&lt;&gt;"Yes",NA(),IF(COUNT(I2177,J2177,K2177,L2177,M2177)=0,NA(),MIN(I2177,J2177,K2177,L2177,M2177))))</f>
        <v/>
      </c>
      <c r="O2177" s="54">
        <f>IF($B2177=0,NA(),IF(Inputs!$B$24&lt;&gt;"Yes",NA(),Inputs!$D$24*Inputs!$C$35))</f>
        <v/>
      </c>
      <c r="P2177" s="54">
        <f>IF($B2177=0,NA(),IF(Inputs!$B$25&lt;&gt;"Yes",NA(),Inputs!$D$25*Inputs!$C$35))</f>
        <v/>
      </c>
      <c r="Q2177" s="54">
        <f>IF($B2177=0,NA(),IF(Inputs!$B$26&lt;&gt;"Yes",NA(),Inputs!$D$26*Inputs!$C$35))</f>
        <v/>
      </c>
      <c r="R2177" s="54">
        <f>IF($B2177=0,NA(),IF(Inputs!$B$27&lt;&gt;"Yes",NA(),Inputs!$D$27*Inputs!$C$35))</f>
        <v/>
      </c>
      <c r="S2177" s="54">
        <f>IF($B2177=0,NA(),IF(Inputs!$B$28&lt;&gt;"Yes",NA(),Inputs!$D$28*Inputs!$C$35))</f>
        <v/>
      </c>
      <c r="T2177" s="54">
        <f>IF($B2177=0,NA(),IF(Inputs!$B$29&lt;&gt;"Yes",NA(),Inputs!$D$29*Inputs!$C$35))</f>
        <v/>
      </c>
      <c r="AD2177">
        <f>IF($B2177=0,0,IF(Inputs!$B$6="",0,COUNTIFS(Data!$A$10:$A$3209,"&gt;="&amp;$A2177,Data!$A$10:$A$3209,"&lt;"&amp;$A2177+1)))</f>
        <v/>
      </c>
      <c r="AE2177">
        <f>IF($B2177=0,0,IF(Inputs!$B$7="",0,COUNTIFS(Data!$E$10:$E$3209,"&gt;="&amp;$A2177,Data!$E$10:$E$3209,"&lt;"&amp;$A2177+1)))</f>
        <v/>
      </c>
      <c r="AF2177">
        <f>IF($B2177=0,0,IF(Inputs!$B$8="",0,COUNTIFS(Data!$I$10:$I$3209,"&gt;="&amp;$A2177,Data!$I$10:$I$3209,"&lt;"&amp;$A2177+1)))</f>
        <v/>
      </c>
      <c r="AG2177">
        <f>IF($B2177=0,0,IF(Inputs!$B$9="",0,COUNTIFS(Data!$M$10:$M$3209,"&gt;="&amp;$A2177,Data!$M$10:$M$3209,"&lt;"&amp;$A2177+1)))</f>
        <v/>
      </c>
      <c r="AH2177">
        <f>IF($B2177=0,0,IF(Inputs!$B$10="",0,COUNTIFS(Data!$Q$10:$Q$3209,"&gt;="&amp;$A2177,Data!$Q$10:$Q$3209,"&lt;"&amp;$A2177+1)))</f>
        <v/>
      </c>
    </row>
    <row r="2178">
      <c r="A2178" s="55">
        <f>MIN(Inputs!$C$15,$A2177+IF(WEEKDAY($A2177,2)=5,3,1))</f>
        <v/>
      </c>
      <c r="B2178">
        <f>IF($A2178&gt;$A2177,1,0)</f>
        <v/>
      </c>
      <c r="C2178" s="56">
        <f>IF($B2178=0,"",IF(Inputs!$B$6="","",IF($AD2178=0,C2177,SUMIFS(Data!$B$10:$B$3209,Data!$A$10:$A$3209,"&gt;="&amp;$A2178,Data!$A$10:$A$3209,"&lt;"&amp;$A2178+1)/$AD2178)))</f>
        <v/>
      </c>
      <c r="D2178" s="56">
        <f>IF($B2178=0,"",IF(Inputs!$B$7="","",IF($AE2178=0,D2177,SUMIFS(Data!$F$10:$F$3209,Data!$E$10:$E$3209,"&gt;="&amp;$A2178,Data!$E$10:$E$3209,"&lt;"&amp;$A2178+1)/$AE2178)))</f>
        <v/>
      </c>
      <c r="E2178" s="56">
        <f>IF($B2178=0,"",IF(Inputs!$B$8="","",IF($AF2178=0,E2177,SUMIFS(Data!$J$10:$J$3209,Data!$I$10:$I$3209,"&gt;="&amp;$A2178,Data!$I$10:$I$3209,"&lt;"&amp;$A2178+1)/$AF2178)))</f>
        <v/>
      </c>
      <c r="F2178" s="56">
        <f>IF($B2178=0,"",IF(Inputs!$B$9="","",IF($AG2178=0,F2177,SUMIFS(Data!$N$10:$N$3209,Data!$M$10:$M$3209,"&gt;="&amp;$A2178,Data!$M$10:$M$3209,"&lt;"&amp;$A2178+1)/$AG2178)))</f>
        <v/>
      </c>
      <c r="G2178" s="56">
        <f>IF($B2178=0,"",IF(Inputs!$B$10="","",IF($AH2178=0,G2177,SUMIFS(Data!$R$10:$R$3209,Data!$Q$10:$Q$3209,"&gt;="&amp;$A2178,Data!$Q$10:$Q$3209,"&lt;"&amp;$A2178+1)/$AH2178)))</f>
        <v/>
      </c>
      <c r="I2178" s="54">
        <f>IF($B2178=0,NA(),IF($C2178="",NA(),IF(C$8="",NA(),IF(N(C$8)=0,NA(),IF(Inputs!$C$17="Rebased to 100",$C2178/C$8*100,$C2178)))))</f>
        <v/>
      </c>
      <c r="J2178" s="54">
        <f>IF($B2178=0,NA(),IF($D2178="",NA(),IF(D$8="",NA(),IF(N(D$8)=0,NA(),IF(Inputs!$C$17="Rebased to 100",$D2178/D$8*100,$D2178)))))</f>
        <v/>
      </c>
      <c r="K2178" s="54">
        <f>IF($B2178=0,NA(),IF($E2178="",NA(),IF(E$8="",NA(),IF(N(E$8)=0,NA(),IF(Inputs!$C$17="Rebased to 100",$E2178/E$8*100,$E2178)))))</f>
        <v/>
      </c>
      <c r="L2178" s="54">
        <f>IF($B2178=0,NA(),IF($F2178="",NA(),IF(F$8="",NA(),IF(N(F$8)=0,NA(),IF(Inputs!$C$17="Rebased to 100",$F2178/F$8*100,$F2178)))))</f>
        <v/>
      </c>
      <c r="M2178" s="54">
        <f>IF($B2178=0,NA(),IF($G2178="",NA(),IF(G$8="",NA(),IF(N(G$8)=0,NA(),IF(Inputs!$C$17="Rebased to 100",$G2178/G$8*100,$G2178)))))</f>
        <v/>
      </c>
      <c r="N2178" s="54">
        <f>IF($B2178=0,NA(),IF(Inputs!$C$18&lt;&gt;"Yes",NA(),IF(COUNT(I2178,J2178,K2178,L2178,M2178)=0,NA(),MIN(I2178,J2178,K2178,L2178,M2178))))</f>
        <v/>
      </c>
      <c r="O2178" s="54">
        <f>IF($B2178=0,NA(),IF(Inputs!$B$24&lt;&gt;"Yes",NA(),Inputs!$D$24*Inputs!$C$35))</f>
        <v/>
      </c>
      <c r="P2178" s="54">
        <f>IF($B2178=0,NA(),IF(Inputs!$B$25&lt;&gt;"Yes",NA(),Inputs!$D$25*Inputs!$C$35))</f>
        <v/>
      </c>
      <c r="Q2178" s="54">
        <f>IF($B2178=0,NA(),IF(Inputs!$B$26&lt;&gt;"Yes",NA(),Inputs!$D$26*Inputs!$C$35))</f>
        <v/>
      </c>
      <c r="R2178" s="54">
        <f>IF($B2178=0,NA(),IF(Inputs!$B$27&lt;&gt;"Yes",NA(),Inputs!$D$27*Inputs!$C$35))</f>
        <v/>
      </c>
      <c r="S2178" s="54">
        <f>IF($B2178=0,NA(),IF(Inputs!$B$28&lt;&gt;"Yes",NA(),Inputs!$D$28*Inputs!$C$35))</f>
        <v/>
      </c>
      <c r="T2178" s="54">
        <f>IF($B2178=0,NA(),IF(Inputs!$B$29&lt;&gt;"Yes",NA(),Inputs!$D$29*Inputs!$C$35))</f>
        <v/>
      </c>
      <c r="AD2178">
        <f>IF($B2178=0,0,IF(Inputs!$B$6="",0,COUNTIFS(Data!$A$10:$A$3209,"&gt;="&amp;$A2178,Data!$A$10:$A$3209,"&lt;"&amp;$A2178+1)))</f>
        <v/>
      </c>
      <c r="AE2178">
        <f>IF($B2178=0,0,IF(Inputs!$B$7="",0,COUNTIFS(Data!$E$10:$E$3209,"&gt;="&amp;$A2178,Data!$E$10:$E$3209,"&lt;"&amp;$A2178+1)))</f>
        <v/>
      </c>
      <c r="AF2178">
        <f>IF($B2178=0,0,IF(Inputs!$B$8="",0,COUNTIFS(Data!$I$10:$I$3209,"&gt;="&amp;$A2178,Data!$I$10:$I$3209,"&lt;"&amp;$A2178+1)))</f>
        <v/>
      </c>
      <c r="AG2178">
        <f>IF($B2178=0,0,IF(Inputs!$B$9="",0,COUNTIFS(Data!$M$10:$M$3209,"&gt;="&amp;$A2178,Data!$M$10:$M$3209,"&lt;"&amp;$A2178+1)))</f>
        <v/>
      </c>
      <c r="AH2178">
        <f>IF($B2178=0,0,IF(Inputs!$B$10="",0,COUNTIFS(Data!$Q$10:$Q$3209,"&gt;="&amp;$A2178,Data!$Q$10:$Q$3209,"&lt;"&amp;$A2178+1)))</f>
        <v/>
      </c>
    </row>
    <row r="2179">
      <c r="A2179" s="55">
        <f>MIN(Inputs!$C$15,$A2178+IF(WEEKDAY($A2178,2)=5,3,1))</f>
        <v/>
      </c>
      <c r="B2179">
        <f>IF($A2179&gt;$A2178,1,0)</f>
        <v/>
      </c>
      <c r="C2179" s="56">
        <f>IF($B2179=0,"",IF(Inputs!$B$6="","",IF($AD2179=0,C2178,SUMIFS(Data!$B$10:$B$3209,Data!$A$10:$A$3209,"&gt;="&amp;$A2179,Data!$A$10:$A$3209,"&lt;"&amp;$A2179+1)/$AD2179)))</f>
        <v/>
      </c>
      <c r="D2179" s="56">
        <f>IF($B2179=0,"",IF(Inputs!$B$7="","",IF($AE2179=0,D2178,SUMIFS(Data!$F$10:$F$3209,Data!$E$10:$E$3209,"&gt;="&amp;$A2179,Data!$E$10:$E$3209,"&lt;"&amp;$A2179+1)/$AE2179)))</f>
        <v/>
      </c>
      <c r="E2179" s="56">
        <f>IF($B2179=0,"",IF(Inputs!$B$8="","",IF($AF2179=0,E2178,SUMIFS(Data!$J$10:$J$3209,Data!$I$10:$I$3209,"&gt;="&amp;$A2179,Data!$I$10:$I$3209,"&lt;"&amp;$A2179+1)/$AF2179)))</f>
        <v/>
      </c>
      <c r="F2179" s="56">
        <f>IF($B2179=0,"",IF(Inputs!$B$9="","",IF($AG2179=0,F2178,SUMIFS(Data!$N$10:$N$3209,Data!$M$10:$M$3209,"&gt;="&amp;$A2179,Data!$M$10:$M$3209,"&lt;"&amp;$A2179+1)/$AG2179)))</f>
        <v/>
      </c>
      <c r="G2179" s="56">
        <f>IF($B2179=0,"",IF(Inputs!$B$10="","",IF($AH2179=0,G2178,SUMIFS(Data!$R$10:$R$3209,Data!$Q$10:$Q$3209,"&gt;="&amp;$A2179,Data!$Q$10:$Q$3209,"&lt;"&amp;$A2179+1)/$AH2179)))</f>
        <v/>
      </c>
      <c r="I2179" s="54">
        <f>IF($B2179=0,NA(),IF($C2179="",NA(),IF(C$8="",NA(),IF(N(C$8)=0,NA(),IF(Inputs!$C$17="Rebased to 100",$C2179/C$8*100,$C2179)))))</f>
        <v/>
      </c>
      <c r="J2179" s="54">
        <f>IF($B2179=0,NA(),IF($D2179="",NA(),IF(D$8="",NA(),IF(N(D$8)=0,NA(),IF(Inputs!$C$17="Rebased to 100",$D2179/D$8*100,$D2179)))))</f>
        <v/>
      </c>
      <c r="K2179" s="54">
        <f>IF($B2179=0,NA(),IF($E2179="",NA(),IF(E$8="",NA(),IF(N(E$8)=0,NA(),IF(Inputs!$C$17="Rebased to 100",$E2179/E$8*100,$E2179)))))</f>
        <v/>
      </c>
      <c r="L2179" s="54">
        <f>IF($B2179=0,NA(),IF($F2179="",NA(),IF(F$8="",NA(),IF(N(F$8)=0,NA(),IF(Inputs!$C$17="Rebased to 100",$F2179/F$8*100,$F2179)))))</f>
        <v/>
      </c>
      <c r="M2179" s="54">
        <f>IF($B2179=0,NA(),IF($G2179="",NA(),IF(G$8="",NA(),IF(N(G$8)=0,NA(),IF(Inputs!$C$17="Rebased to 100",$G2179/G$8*100,$G2179)))))</f>
        <v/>
      </c>
      <c r="N2179" s="54">
        <f>IF($B2179=0,NA(),IF(Inputs!$C$18&lt;&gt;"Yes",NA(),IF(COUNT(I2179,J2179,K2179,L2179,M2179)=0,NA(),MIN(I2179,J2179,K2179,L2179,M2179))))</f>
        <v/>
      </c>
      <c r="O2179" s="54">
        <f>IF($B2179=0,NA(),IF(Inputs!$B$24&lt;&gt;"Yes",NA(),Inputs!$D$24*Inputs!$C$35))</f>
        <v/>
      </c>
      <c r="P2179" s="54">
        <f>IF($B2179=0,NA(),IF(Inputs!$B$25&lt;&gt;"Yes",NA(),Inputs!$D$25*Inputs!$C$35))</f>
        <v/>
      </c>
      <c r="Q2179" s="54">
        <f>IF($B2179=0,NA(),IF(Inputs!$B$26&lt;&gt;"Yes",NA(),Inputs!$D$26*Inputs!$C$35))</f>
        <v/>
      </c>
      <c r="R2179" s="54">
        <f>IF($B2179=0,NA(),IF(Inputs!$B$27&lt;&gt;"Yes",NA(),Inputs!$D$27*Inputs!$C$35))</f>
        <v/>
      </c>
      <c r="S2179" s="54">
        <f>IF($B2179=0,NA(),IF(Inputs!$B$28&lt;&gt;"Yes",NA(),Inputs!$D$28*Inputs!$C$35))</f>
        <v/>
      </c>
      <c r="T2179" s="54">
        <f>IF($B2179=0,NA(),IF(Inputs!$B$29&lt;&gt;"Yes",NA(),Inputs!$D$29*Inputs!$C$35))</f>
        <v/>
      </c>
      <c r="AD2179">
        <f>IF($B2179=0,0,IF(Inputs!$B$6="",0,COUNTIFS(Data!$A$10:$A$3209,"&gt;="&amp;$A2179,Data!$A$10:$A$3209,"&lt;"&amp;$A2179+1)))</f>
        <v/>
      </c>
      <c r="AE2179">
        <f>IF($B2179=0,0,IF(Inputs!$B$7="",0,COUNTIFS(Data!$E$10:$E$3209,"&gt;="&amp;$A2179,Data!$E$10:$E$3209,"&lt;"&amp;$A2179+1)))</f>
        <v/>
      </c>
      <c r="AF2179">
        <f>IF($B2179=0,0,IF(Inputs!$B$8="",0,COUNTIFS(Data!$I$10:$I$3209,"&gt;="&amp;$A2179,Data!$I$10:$I$3209,"&lt;"&amp;$A2179+1)))</f>
        <v/>
      </c>
      <c r="AG2179">
        <f>IF($B2179=0,0,IF(Inputs!$B$9="",0,COUNTIFS(Data!$M$10:$M$3209,"&gt;="&amp;$A2179,Data!$M$10:$M$3209,"&lt;"&amp;$A2179+1)))</f>
        <v/>
      </c>
      <c r="AH2179">
        <f>IF($B2179=0,0,IF(Inputs!$B$10="",0,COUNTIFS(Data!$Q$10:$Q$3209,"&gt;="&amp;$A2179,Data!$Q$10:$Q$3209,"&lt;"&amp;$A2179+1)))</f>
        <v/>
      </c>
    </row>
    <row r="2180">
      <c r="A2180" s="55">
        <f>MIN(Inputs!$C$15,$A2179+IF(WEEKDAY($A2179,2)=5,3,1))</f>
        <v/>
      </c>
      <c r="B2180">
        <f>IF($A2180&gt;$A2179,1,0)</f>
        <v/>
      </c>
      <c r="C2180" s="56">
        <f>IF($B2180=0,"",IF(Inputs!$B$6="","",IF($AD2180=0,C2179,SUMIFS(Data!$B$10:$B$3209,Data!$A$10:$A$3209,"&gt;="&amp;$A2180,Data!$A$10:$A$3209,"&lt;"&amp;$A2180+1)/$AD2180)))</f>
        <v/>
      </c>
      <c r="D2180" s="56">
        <f>IF($B2180=0,"",IF(Inputs!$B$7="","",IF($AE2180=0,D2179,SUMIFS(Data!$F$10:$F$3209,Data!$E$10:$E$3209,"&gt;="&amp;$A2180,Data!$E$10:$E$3209,"&lt;"&amp;$A2180+1)/$AE2180)))</f>
        <v/>
      </c>
      <c r="E2180" s="56">
        <f>IF($B2180=0,"",IF(Inputs!$B$8="","",IF($AF2180=0,E2179,SUMIFS(Data!$J$10:$J$3209,Data!$I$10:$I$3209,"&gt;="&amp;$A2180,Data!$I$10:$I$3209,"&lt;"&amp;$A2180+1)/$AF2180)))</f>
        <v/>
      </c>
      <c r="F2180" s="56">
        <f>IF($B2180=0,"",IF(Inputs!$B$9="","",IF($AG2180=0,F2179,SUMIFS(Data!$N$10:$N$3209,Data!$M$10:$M$3209,"&gt;="&amp;$A2180,Data!$M$10:$M$3209,"&lt;"&amp;$A2180+1)/$AG2180)))</f>
        <v/>
      </c>
      <c r="G2180" s="56">
        <f>IF($B2180=0,"",IF(Inputs!$B$10="","",IF($AH2180=0,G2179,SUMIFS(Data!$R$10:$R$3209,Data!$Q$10:$Q$3209,"&gt;="&amp;$A2180,Data!$Q$10:$Q$3209,"&lt;"&amp;$A2180+1)/$AH2180)))</f>
        <v/>
      </c>
      <c r="I2180" s="54">
        <f>IF($B2180=0,NA(),IF($C2180="",NA(),IF(C$8="",NA(),IF(N(C$8)=0,NA(),IF(Inputs!$C$17="Rebased to 100",$C2180/C$8*100,$C2180)))))</f>
        <v/>
      </c>
      <c r="J2180" s="54">
        <f>IF($B2180=0,NA(),IF($D2180="",NA(),IF(D$8="",NA(),IF(N(D$8)=0,NA(),IF(Inputs!$C$17="Rebased to 100",$D2180/D$8*100,$D2180)))))</f>
        <v/>
      </c>
      <c r="K2180" s="54">
        <f>IF($B2180=0,NA(),IF($E2180="",NA(),IF(E$8="",NA(),IF(N(E$8)=0,NA(),IF(Inputs!$C$17="Rebased to 100",$E2180/E$8*100,$E2180)))))</f>
        <v/>
      </c>
      <c r="L2180" s="54">
        <f>IF($B2180=0,NA(),IF($F2180="",NA(),IF(F$8="",NA(),IF(N(F$8)=0,NA(),IF(Inputs!$C$17="Rebased to 100",$F2180/F$8*100,$F2180)))))</f>
        <v/>
      </c>
      <c r="M2180" s="54">
        <f>IF($B2180=0,NA(),IF($G2180="",NA(),IF(G$8="",NA(),IF(N(G$8)=0,NA(),IF(Inputs!$C$17="Rebased to 100",$G2180/G$8*100,$G2180)))))</f>
        <v/>
      </c>
      <c r="N2180" s="54">
        <f>IF($B2180=0,NA(),IF(Inputs!$C$18&lt;&gt;"Yes",NA(),IF(COUNT(I2180,J2180,K2180,L2180,M2180)=0,NA(),MIN(I2180,J2180,K2180,L2180,M2180))))</f>
        <v/>
      </c>
      <c r="O2180" s="54">
        <f>IF($B2180=0,NA(),IF(Inputs!$B$24&lt;&gt;"Yes",NA(),Inputs!$D$24*Inputs!$C$35))</f>
        <v/>
      </c>
      <c r="P2180" s="54">
        <f>IF($B2180=0,NA(),IF(Inputs!$B$25&lt;&gt;"Yes",NA(),Inputs!$D$25*Inputs!$C$35))</f>
        <v/>
      </c>
      <c r="Q2180" s="54">
        <f>IF($B2180=0,NA(),IF(Inputs!$B$26&lt;&gt;"Yes",NA(),Inputs!$D$26*Inputs!$C$35))</f>
        <v/>
      </c>
      <c r="R2180" s="54">
        <f>IF($B2180=0,NA(),IF(Inputs!$B$27&lt;&gt;"Yes",NA(),Inputs!$D$27*Inputs!$C$35))</f>
        <v/>
      </c>
      <c r="S2180" s="54">
        <f>IF($B2180=0,NA(),IF(Inputs!$B$28&lt;&gt;"Yes",NA(),Inputs!$D$28*Inputs!$C$35))</f>
        <v/>
      </c>
      <c r="T2180" s="54">
        <f>IF($B2180=0,NA(),IF(Inputs!$B$29&lt;&gt;"Yes",NA(),Inputs!$D$29*Inputs!$C$35))</f>
        <v/>
      </c>
      <c r="AD2180">
        <f>IF($B2180=0,0,IF(Inputs!$B$6="",0,COUNTIFS(Data!$A$10:$A$3209,"&gt;="&amp;$A2180,Data!$A$10:$A$3209,"&lt;"&amp;$A2180+1)))</f>
        <v/>
      </c>
      <c r="AE2180">
        <f>IF($B2180=0,0,IF(Inputs!$B$7="",0,COUNTIFS(Data!$E$10:$E$3209,"&gt;="&amp;$A2180,Data!$E$10:$E$3209,"&lt;"&amp;$A2180+1)))</f>
        <v/>
      </c>
      <c r="AF2180">
        <f>IF($B2180=0,0,IF(Inputs!$B$8="",0,COUNTIFS(Data!$I$10:$I$3209,"&gt;="&amp;$A2180,Data!$I$10:$I$3209,"&lt;"&amp;$A2180+1)))</f>
        <v/>
      </c>
      <c r="AG2180">
        <f>IF($B2180=0,0,IF(Inputs!$B$9="",0,COUNTIFS(Data!$M$10:$M$3209,"&gt;="&amp;$A2180,Data!$M$10:$M$3209,"&lt;"&amp;$A2180+1)))</f>
        <v/>
      </c>
      <c r="AH2180">
        <f>IF($B2180=0,0,IF(Inputs!$B$10="",0,COUNTIFS(Data!$Q$10:$Q$3209,"&gt;="&amp;$A2180,Data!$Q$10:$Q$3209,"&lt;"&amp;$A2180+1)))</f>
        <v/>
      </c>
    </row>
    <row r="2181">
      <c r="A2181" s="55">
        <f>MIN(Inputs!$C$15,$A2180+IF(WEEKDAY($A2180,2)=5,3,1))</f>
        <v/>
      </c>
      <c r="B2181">
        <f>IF($A2181&gt;$A2180,1,0)</f>
        <v/>
      </c>
      <c r="C2181" s="56">
        <f>IF($B2181=0,"",IF(Inputs!$B$6="","",IF($AD2181=0,C2180,SUMIFS(Data!$B$10:$B$3209,Data!$A$10:$A$3209,"&gt;="&amp;$A2181,Data!$A$10:$A$3209,"&lt;"&amp;$A2181+1)/$AD2181)))</f>
        <v/>
      </c>
      <c r="D2181" s="56">
        <f>IF($B2181=0,"",IF(Inputs!$B$7="","",IF($AE2181=0,D2180,SUMIFS(Data!$F$10:$F$3209,Data!$E$10:$E$3209,"&gt;="&amp;$A2181,Data!$E$10:$E$3209,"&lt;"&amp;$A2181+1)/$AE2181)))</f>
        <v/>
      </c>
      <c r="E2181" s="56">
        <f>IF($B2181=0,"",IF(Inputs!$B$8="","",IF($AF2181=0,E2180,SUMIFS(Data!$J$10:$J$3209,Data!$I$10:$I$3209,"&gt;="&amp;$A2181,Data!$I$10:$I$3209,"&lt;"&amp;$A2181+1)/$AF2181)))</f>
        <v/>
      </c>
      <c r="F2181" s="56">
        <f>IF($B2181=0,"",IF(Inputs!$B$9="","",IF($AG2181=0,F2180,SUMIFS(Data!$N$10:$N$3209,Data!$M$10:$M$3209,"&gt;="&amp;$A2181,Data!$M$10:$M$3209,"&lt;"&amp;$A2181+1)/$AG2181)))</f>
        <v/>
      </c>
      <c r="G2181" s="56">
        <f>IF($B2181=0,"",IF(Inputs!$B$10="","",IF($AH2181=0,G2180,SUMIFS(Data!$R$10:$R$3209,Data!$Q$10:$Q$3209,"&gt;="&amp;$A2181,Data!$Q$10:$Q$3209,"&lt;"&amp;$A2181+1)/$AH2181)))</f>
        <v/>
      </c>
      <c r="I2181" s="54">
        <f>IF($B2181=0,NA(),IF($C2181="",NA(),IF(C$8="",NA(),IF(N(C$8)=0,NA(),IF(Inputs!$C$17="Rebased to 100",$C2181/C$8*100,$C2181)))))</f>
        <v/>
      </c>
      <c r="J2181" s="54">
        <f>IF($B2181=0,NA(),IF($D2181="",NA(),IF(D$8="",NA(),IF(N(D$8)=0,NA(),IF(Inputs!$C$17="Rebased to 100",$D2181/D$8*100,$D2181)))))</f>
        <v/>
      </c>
      <c r="K2181" s="54">
        <f>IF($B2181=0,NA(),IF($E2181="",NA(),IF(E$8="",NA(),IF(N(E$8)=0,NA(),IF(Inputs!$C$17="Rebased to 100",$E2181/E$8*100,$E2181)))))</f>
        <v/>
      </c>
      <c r="L2181" s="54">
        <f>IF($B2181=0,NA(),IF($F2181="",NA(),IF(F$8="",NA(),IF(N(F$8)=0,NA(),IF(Inputs!$C$17="Rebased to 100",$F2181/F$8*100,$F2181)))))</f>
        <v/>
      </c>
      <c r="M2181" s="54">
        <f>IF($B2181=0,NA(),IF($G2181="",NA(),IF(G$8="",NA(),IF(N(G$8)=0,NA(),IF(Inputs!$C$17="Rebased to 100",$G2181/G$8*100,$G2181)))))</f>
        <v/>
      </c>
      <c r="N2181" s="54">
        <f>IF($B2181=0,NA(),IF(Inputs!$C$18&lt;&gt;"Yes",NA(),IF(COUNT(I2181,J2181,K2181,L2181,M2181)=0,NA(),MIN(I2181,J2181,K2181,L2181,M2181))))</f>
        <v/>
      </c>
      <c r="O2181" s="54">
        <f>IF($B2181=0,NA(),IF(Inputs!$B$24&lt;&gt;"Yes",NA(),Inputs!$D$24*Inputs!$C$35))</f>
        <v/>
      </c>
      <c r="P2181" s="54">
        <f>IF($B2181=0,NA(),IF(Inputs!$B$25&lt;&gt;"Yes",NA(),Inputs!$D$25*Inputs!$C$35))</f>
        <v/>
      </c>
      <c r="Q2181" s="54">
        <f>IF($B2181=0,NA(),IF(Inputs!$B$26&lt;&gt;"Yes",NA(),Inputs!$D$26*Inputs!$C$35))</f>
        <v/>
      </c>
      <c r="R2181" s="54">
        <f>IF($B2181=0,NA(),IF(Inputs!$B$27&lt;&gt;"Yes",NA(),Inputs!$D$27*Inputs!$C$35))</f>
        <v/>
      </c>
      <c r="S2181" s="54">
        <f>IF($B2181=0,NA(),IF(Inputs!$B$28&lt;&gt;"Yes",NA(),Inputs!$D$28*Inputs!$C$35))</f>
        <v/>
      </c>
      <c r="T2181" s="54">
        <f>IF($B2181=0,NA(),IF(Inputs!$B$29&lt;&gt;"Yes",NA(),Inputs!$D$29*Inputs!$C$35))</f>
        <v/>
      </c>
      <c r="AD2181">
        <f>IF($B2181=0,0,IF(Inputs!$B$6="",0,COUNTIFS(Data!$A$10:$A$3209,"&gt;="&amp;$A2181,Data!$A$10:$A$3209,"&lt;"&amp;$A2181+1)))</f>
        <v/>
      </c>
      <c r="AE2181">
        <f>IF($B2181=0,0,IF(Inputs!$B$7="",0,COUNTIFS(Data!$E$10:$E$3209,"&gt;="&amp;$A2181,Data!$E$10:$E$3209,"&lt;"&amp;$A2181+1)))</f>
        <v/>
      </c>
      <c r="AF2181">
        <f>IF($B2181=0,0,IF(Inputs!$B$8="",0,COUNTIFS(Data!$I$10:$I$3209,"&gt;="&amp;$A2181,Data!$I$10:$I$3209,"&lt;"&amp;$A2181+1)))</f>
        <v/>
      </c>
      <c r="AG2181">
        <f>IF($B2181=0,0,IF(Inputs!$B$9="",0,COUNTIFS(Data!$M$10:$M$3209,"&gt;="&amp;$A2181,Data!$M$10:$M$3209,"&lt;"&amp;$A2181+1)))</f>
        <v/>
      </c>
      <c r="AH2181">
        <f>IF($B2181=0,0,IF(Inputs!$B$10="",0,COUNTIFS(Data!$Q$10:$Q$3209,"&gt;="&amp;$A2181,Data!$Q$10:$Q$3209,"&lt;"&amp;$A2181+1)))</f>
        <v/>
      </c>
    </row>
    <row r="2182">
      <c r="A2182" s="55">
        <f>MIN(Inputs!$C$15,$A2181+IF(WEEKDAY($A2181,2)=5,3,1))</f>
        <v/>
      </c>
      <c r="B2182">
        <f>IF($A2182&gt;$A2181,1,0)</f>
        <v/>
      </c>
      <c r="C2182" s="56">
        <f>IF($B2182=0,"",IF(Inputs!$B$6="","",IF($AD2182=0,C2181,SUMIFS(Data!$B$10:$B$3209,Data!$A$10:$A$3209,"&gt;="&amp;$A2182,Data!$A$10:$A$3209,"&lt;"&amp;$A2182+1)/$AD2182)))</f>
        <v/>
      </c>
      <c r="D2182" s="56">
        <f>IF($B2182=0,"",IF(Inputs!$B$7="","",IF($AE2182=0,D2181,SUMIFS(Data!$F$10:$F$3209,Data!$E$10:$E$3209,"&gt;="&amp;$A2182,Data!$E$10:$E$3209,"&lt;"&amp;$A2182+1)/$AE2182)))</f>
        <v/>
      </c>
      <c r="E2182" s="56">
        <f>IF($B2182=0,"",IF(Inputs!$B$8="","",IF($AF2182=0,E2181,SUMIFS(Data!$J$10:$J$3209,Data!$I$10:$I$3209,"&gt;="&amp;$A2182,Data!$I$10:$I$3209,"&lt;"&amp;$A2182+1)/$AF2182)))</f>
        <v/>
      </c>
      <c r="F2182" s="56">
        <f>IF($B2182=0,"",IF(Inputs!$B$9="","",IF($AG2182=0,F2181,SUMIFS(Data!$N$10:$N$3209,Data!$M$10:$M$3209,"&gt;="&amp;$A2182,Data!$M$10:$M$3209,"&lt;"&amp;$A2182+1)/$AG2182)))</f>
        <v/>
      </c>
      <c r="G2182" s="56">
        <f>IF($B2182=0,"",IF(Inputs!$B$10="","",IF($AH2182=0,G2181,SUMIFS(Data!$R$10:$R$3209,Data!$Q$10:$Q$3209,"&gt;="&amp;$A2182,Data!$Q$10:$Q$3209,"&lt;"&amp;$A2182+1)/$AH2182)))</f>
        <v/>
      </c>
      <c r="I2182" s="54">
        <f>IF($B2182=0,NA(),IF($C2182="",NA(),IF(C$8="",NA(),IF(N(C$8)=0,NA(),IF(Inputs!$C$17="Rebased to 100",$C2182/C$8*100,$C2182)))))</f>
        <v/>
      </c>
      <c r="J2182" s="54">
        <f>IF($B2182=0,NA(),IF($D2182="",NA(),IF(D$8="",NA(),IF(N(D$8)=0,NA(),IF(Inputs!$C$17="Rebased to 100",$D2182/D$8*100,$D2182)))))</f>
        <v/>
      </c>
      <c r="K2182" s="54">
        <f>IF($B2182=0,NA(),IF($E2182="",NA(),IF(E$8="",NA(),IF(N(E$8)=0,NA(),IF(Inputs!$C$17="Rebased to 100",$E2182/E$8*100,$E2182)))))</f>
        <v/>
      </c>
      <c r="L2182" s="54">
        <f>IF($B2182=0,NA(),IF($F2182="",NA(),IF(F$8="",NA(),IF(N(F$8)=0,NA(),IF(Inputs!$C$17="Rebased to 100",$F2182/F$8*100,$F2182)))))</f>
        <v/>
      </c>
      <c r="M2182" s="54">
        <f>IF($B2182=0,NA(),IF($G2182="",NA(),IF(G$8="",NA(),IF(N(G$8)=0,NA(),IF(Inputs!$C$17="Rebased to 100",$G2182/G$8*100,$G2182)))))</f>
        <v/>
      </c>
      <c r="N2182" s="54">
        <f>IF($B2182=0,NA(),IF(Inputs!$C$18&lt;&gt;"Yes",NA(),IF(COUNT(I2182,J2182,K2182,L2182,M2182)=0,NA(),MIN(I2182,J2182,K2182,L2182,M2182))))</f>
        <v/>
      </c>
      <c r="O2182" s="54">
        <f>IF($B2182=0,NA(),IF(Inputs!$B$24&lt;&gt;"Yes",NA(),Inputs!$D$24*Inputs!$C$35))</f>
        <v/>
      </c>
      <c r="P2182" s="54">
        <f>IF($B2182=0,NA(),IF(Inputs!$B$25&lt;&gt;"Yes",NA(),Inputs!$D$25*Inputs!$C$35))</f>
        <v/>
      </c>
      <c r="Q2182" s="54">
        <f>IF($B2182=0,NA(),IF(Inputs!$B$26&lt;&gt;"Yes",NA(),Inputs!$D$26*Inputs!$C$35))</f>
        <v/>
      </c>
      <c r="R2182" s="54">
        <f>IF($B2182=0,NA(),IF(Inputs!$B$27&lt;&gt;"Yes",NA(),Inputs!$D$27*Inputs!$C$35))</f>
        <v/>
      </c>
      <c r="S2182" s="54">
        <f>IF($B2182=0,NA(),IF(Inputs!$B$28&lt;&gt;"Yes",NA(),Inputs!$D$28*Inputs!$C$35))</f>
        <v/>
      </c>
      <c r="T2182" s="54">
        <f>IF($B2182=0,NA(),IF(Inputs!$B$29&lt;&gt;"Yes",NA(),Inputs!$D$29*Inputs!$C$35))</f>
        <v/>
      </c>
      <c r="AD2182">
        <f>IF($B2182=0,0,IF(Inputs!$B$6="",0,COUNTIFS(Data!$A$10:$A$3209,"&gt;="&amp;$A2182,Data!$A$10:$A$3209,"&lt;"&amp;$A2182+1)))</f>
        <v/>
      </c>
      <c r="AE2182">
        <f>IF($B2182=0,0,IF(Inputs!$B$7="",0,COUNTIFS(Data!$E$10:$E$3209,"&gt;="&amp;$A2182,Data!$E$10:$E$3209,"&lt;"&amp;$A2182+1)))</f>
        <v/>
      </c>
      <c r="AF2182">
        <f>IF($B2182=0,0,IF(Inputs!$B$8="",0,COUNTIFS(Data!$I$10:$I$3209,"&gt;="&amp;$A2182,Data!$I$10:$I$3209,"&lt;"&amp;$A2182+1)))</f>
        <v/>
      </c>
      <c r="AG2182">
        <f>IF($B2182=0,0,IF(Inputs!$B$9="",0,COUNTIFS(Data!$M$10:$M$3209,"&gt;="&amp;$A2182,Data!$M$10:$M$3209,"&lt;"&amp;$A2182+1)))</f>
        <v/>
      </c>
      <c r="AH2182">
        <f>IF($B2182=0,0,IF(Inputs!$B$10="",0,COUNTIFS(Data!$Q$10:$Q$3209,"&gt;="&amp;$A2182,Data!$Q$10:$Q$3209,"&lt;"&amp;$A2182+1)))</f>
        <v/>
      </c>
    </row>
    <row r="2183">
      <c r="A2183" s="55">
        <f>MIN(Inputs!$C$15,$A2182+IF(WEEKDAY($A2182,2)=5,3,1))</f>
        <v/>
      </c>
      <c r="B2183">
        <f>IF($A2183&gt;$A2182,1,0)</f>
        <v/>
      </c>
      <c r="C2183" s="56">
        <f>IF($B2183=0,"",IF(Inputs!$B$6="","",IF($AD2183=0,C2182,SUMIFS(Data!$B$10:$B$3209,Data!$A$10:$A$3209,"&gt;="&amp;$A2183,Data!$A$10:$A$3209,"&lt;"&amp;$A2183+1)/$AD2183)))</f>
        <v/>
      </c>
      <c r="D2183" s="56">
        <f>IF($B2183=0,"",IF(Inputs!$B$7="","",IF($AE2183=0,D2182,SUMIFS(Data!$F$10:$F$3209,Data!$E$10:$E$3209,"&gt;="&amp;$A2183,Data!$E$10:$E$3209,"&lt;"&amp;$A2183+1)/$AE2183)))</f>
        <v/>
      </c>
      <c r="E2183" s="56">
        <f>IF($B2183=0,"",IF(Inputs!$B$8="","",IF($AF2183=0,E2182,SUMIFS(Data!$J$10:$J$3209,Data!$I$10:$I$3209,"&gt;="&amp;$A2183,Data!$I$10:$I$3209,"&lt;"&amp;$A2183+1)/$AF2183)))</f>
        <v/>
      </c>
      <c r="F2183" s="56">
        <f>IF($B2183=0,"",IF(Inputs!$B$9="","",IF($AG2183=0,F2182,SUMIFS(Data!$N$10:$N$3209,Data!$M$10:$M$3209,"&gt;="&amp;$A2183,Data!$M$10:$M$3209,"&lt;"&amp;$A2183+1)/$AG2183)))</f>
        <v/>
      </c>
      <c r="G2183" s="56">
        <f>IF($B2183=0,"",IF(Inputs!$B$10="","",IF($AH2183=0,G2182,SUMIFS(Data!$R$10:$R$3209,Data!$Q$10:$Q$3209,"&gt;="&amp;$A2183,Data!$Q$10:$Q$3209,"&lt;"&amp;$A2183+1)/$AH2183)))</f>
        <v/>
      </c>
      <c r="I2183" s="54">
        <f>IF($B2183=0,NA(),IF($C2183="",NA(),IF(C$8="",NA(),IF(N(C$8)=0,NA(),IF(Inputs!$C$17="Rebased to 100",$C2183/C$8*100,$C2183)))))</f>
        <v/>
      </c>
      <c r="J2183" s="54">
        <f>IF($B2183=0,NA(),IF($D2183="",NA(),IF(D$8="",NA(),IF(N(D$8)=0,NA(),IF(Inputs!$C$17="Rebased to 100",$D2183/D$8*100,$D2183)))))</f>
        <v/>
      </c>
      <c r="K2183" s="54">
        <f>IF($B2183=0,NA(),IF($E2183="",NA(),IF(E$8="",NA(),IF(N(E$8)=0,NA(),IF(Inputs!$C$17="Rebased to 100",$E2183/E$8*100,$E2183)))))</f>
        <v/>
      </c>
      <c r="L2183" s="54">
        <f>IF($B2183=0,NA(),IF($F2183="",NA(),IF(F$8="",NA(),IF(N(F$8)=0,NA(),IF(Inputs!$C$17="Rebased to 100",$F2183/F$8*100,$F2183)))))</f>
        <v/>
      </c>
      <c r="M2183" s="54">
        <f>IF($B2183=0,NA(),IF($G2183="",NA(),IF(G$8="",NA(),IF(N(G$8)=0,NA(),IF(Inputs!$C$17="Rebased to 100",$G2183/G$8*100,$G2183)))))</f>
        <v/>
      </c>
      <c r="N2183" s="54">
        <f>IF($B2183=0,NA(),IF(Inputs!$C$18&lt;&gt;"Yes",NA(),IF(COUNT(I2183,J2183,K2183,L2183,M2183)=0,NA(),MIN(I2183,J2183,K2183,L2183,M2183))))</f>
        <v/>
      </c>
      <c r="O2183" s="54">
        <f>IF($B2183=0,NA(),IF(Inputs!$B$24&lt;&gt;"Yes",NA(),Inputs!$D$24*Inputs!$C$35))</f>
        <v/>
      </c>
      <c r="P2183" s="54">
        <f>IF($B2183=0,NA(),IF(Inputs!$B$25&lt;&gt;"Yes",NA(),Inputs!$D$25*Inputs!$C$35))</f>
        <v/>
      </c>
      <c r="Q2183" s="54">
        <f>IF($B2183=0,NA(),IF(Inputs!$B$26&lt;&gt;"Yes",NA(),Inputs!$D$26*Inputs!$C$35))</f>
        <v/>
      </c>
      <c r="R2183" s="54">
        <f>IF($B2183=0,NA(),IF(Inputs!$B$27&lt;&gt;"Yes",NA(),Inputs!$D$27*Inputs!$C$35))</f>
        <v/>
      </c>
      <c r="S2183" s="54">
        <f>IF($B2183=0,NA(),IF(Inputs!$B$28&lt;&gt;"Yes",NA(),Inputs!$D$28*Inputs!$C$35))</f>
        <v/>
      </c>
      <c r="T2183" s="54">
        <f>IF($B2183=0,NA(),IF(Inputs!$B$29&lt;&gt;"Yes",NA(),Inputs!$D$29*Inputs!$C$35))</f>
        <v/>
      </c>
      <c r="AD2183">
        <f>IF($B2183=0,0,IF(Inputs!$B$6="",0,COUNTIFS(Data!$A$10:$A$3209,"&gt;="&amp;$A2183,Data!$A$10:$A$3209,"&lt;"&amp;$A2183+1)))</f>
        <v/>
      </c>
      <c r="AE2183">
        <f>IF($B2183=0,0,IF(Inputs!$B$7="",0,COUNTIFS(Data!$E$10:$E$3209,"&gt;="&amp;$A2183,Data!$E$10:$E$3209,"&lt;"&amp;$A2183+1)))</f>
        <v/>
      </c>
      <c r="AF2183">
        <f>IF($B2183=0,0,IF(Inputs!$B$8="",0,COUNTIFS(Data!$I$10:$I$3209,"&gt;="&amp;$A2183,Data!$I$10:$I$3209,"&lt;"&amp;$A2183+1)))</f>
        <v/>
      </c>
      <c r="AG2183">
        <f>IF($B2183=0,0,IF(Inputs!$B$9="",0,COUNTIFS(Data!$M$10:$M$3209,"&gt;="&amp;$A2183,Data!$M$10:$M$3209,"&lt;"&amp;$A2183+1)))</f>
        <v/>
      </c>
      <c r="AH2183">
        <f>IF($B2183=0,0,IF(Inputs!$B$10="",0,COUNTIFS(Data!$Q$10:$Q$3209,"&gt;="&amp;$A2183,Data!$Q$10:$Q$3209,"&lt;"&amp;$A2183+1)))</f>
        <v/>
      </c>
    </row>
    <row r="2184">
      <c r="A2184" s="55">
        <f>MIN(Inputs!$C$15,$A2183+IF(WEEKDAY($A2183,2)=5,3,1))</f>
        <v/>
      </c>
      <c r="B2184">
        <f>IF($A2184&gt;$A2183,1,0)</f>
        <v/>
      </c>
      <c r="C2184" s="56">
        <f>IF($B2184=0,"",IF(Inputs!$B$6="","",IF($AD2184=0,C2183,SUMIFS(Data!$B$10:$B$3209,Data!$A$10:$A$3209,"&gt;="&amp;$A2184,Data!$A$10:$A$3209,"&lt;"&amp;$A2184+1)/$AD2184)))</f>
        <v/>
      </c>
      <c r="D2184" s="56">
        <f>IF($B2184=0,"",IF(Inputs!$B$7="","",IF($AE2184=0,D2183,SUMIFS(Data!$F$10:$F$3209,Data!$E$10:$E$3209,"&gt;="&amp;$A2184,Data!$E$10:$E$3209,"&lt;"&amp;$A2184+1)/$AE2184)))</f>
        <v/>
      </c>
      <c r="E2184" s="56">
        <f>IF($B2184=0,"",IF(Inputs!$B$8="","",IF($AF2184=0,E2183,SUMIFS(Data!$J$10:$J$3209,Data!$I$10:$I$3209,"&gt;="&amp;$A2184,Data!$I$10:$I$3209,"&lt;"&amp;$A2184+1)/$AF2184)))</f>
        <v/>
      </c>
      <c r="F2184" s="56">
        <f>IF($B2184=0,"",IF(Inputs!$B$9="","",IF($AG2184=0,F2183,SUMIFS(Data!$N$10:$N$3209,Data!$M$10:$M$3209,"&gt;="&amp;$A2184,Data!$M$10:$M$3209,"&lt;"&amp;$A2184+1)/$AG2184)))</f>
        <v/>
      </c>
      <c r="G2184" s="56">
        <f>IF($B2184=0,"",IF(Inputs!$B$10="","",IF($AH2184=0,G2183,SUMIFS(Data!$R$10:$R$3209,Data!$Q$10:$Q$3209,"&gt;="&amp;$A2184,Data!$Q$10:$Q$3209,"&lt;"&amp;$A2184+1)/$AH2184)))</f>
        <v/>
      </c>
      <c r="I2184" s="54">
        <f>IF($B2184=0,NA(),IF($C2184="",NA(),IF(C$8="",NA(),IF(N(C$8)=0,NA(),IF(Inputs!$C$17="Rebased to 100",$C2184/C$8*100,$C2184)))))</f>
        <v/>
      </c>
      <c r="J2184" s="54">
        <f>IF($B2184=0,NA(),IF($D2184="",NA(),IF(D$8="",NA(),IF(N(D$8)=0,NA(),IF(Inputs!$C$17="Rebased to 100",$D2184/D$8*100,$D2184)))))</f>
        <v/>
      </c>
      <c r="K2184" s="54">
        <f>IF($B2184=0,NA(),IF($E2184="",NA(),IF(E$8="",NA(),IF(N(E$8)=0,NA(),IF(Inputs!$C$17="Rebased to 100",$E2184/E$8*100,$E2184)))))</f>
        <v/>
      </c>
      <c r="L2184" s="54">
        <f>IF($B2184=0,NA(),IF($F2184="",NA(),IF(F$8="",NA(),IF(N(F$8)=0,NA(),IF(Inputs!$C$17="Rebased to 100",$F2184/F$8*100,$F2184)))))</f>
        <v/>
      </c>
      <c r="M2184" s="54">
        <f>IF($B2184=0,NA(),IF($G2184="",NA(),IF(G$8="",NA(),IF(N(G$8)=0,NA(),IF(Inputs!$C$17="Rebased to 100",$G2184/G$8*100,$G2184)))))</f>
        <v/>
      </c>
      <c r="N2184" s="54">
        <f>IF($B2184=0,NA(),IF(Inputs!$C$18&lt;&gt;"Yes",NA(),IF(COUNT(I2184,J2184,K2184,L2184,M2184)=0,NA(),MIN(I2184,J2184,K2184,L2184,M2184))))</f>
        <v/>
      </c>
      <c r="O2184" s="54">
        <f>IF($B2184=0,NA(),IF(Inputs!$B$24&lt;&gt;"Yes",NA(),Inputs!$D$24*Inputs!$C$35))</f>
        <v/>
      </c>
      <c r="P2184" s="54">
        <f>IF($B2184=0,NA(),IF(Inputs!$B$25&lt;&gt;"Yes",NA(),Inputs!$D$25*Inputs!$C$35))</f>
        <v/>
      </c>
      <c r="Q2184" s="54">
        <f>IF($B2184=0,NA(),IF(Inputs!$B$26&lt;&gt;"Yes",NA(),Inputs!$D$26*Inputs!$C$35))</f>
        <v/>
      </c>
      <c r="R2184" s="54">
        <f>IF($B2184=0,NA(),IF(Inputs!$B$27&lt;&gt;"Yes",NA(),Inputs!$D$27*Inputs!$C$35))</f>
        <v/>
      </c>
      <c r="S2184" s="54">
        <f>IF($B2184=0,NA(),IF(Inputs!$B$28&lt;&gt;"Yes",NA(),Inputs!$D$28*Inputs!$C$35))</f>
        <v/>
      </c>
      <c r="T2184" s="54">
        <f>IF($B2184=0,NA(),IF(Inputs!$B$29&lt;&gt;"Yes",NA(),Inputs!$D$29*Inputs!$C$35))</f>
        <v/>
      </c>
      <c r="AD2184">
        <f>IF($B2184=0,0,IF(Inputs!$B$6="",0,COUNTIFS(Data!$A$10:$A$3209,"&gt;="&amp;$A2184,Data!$A$10:$A$3209,"&lt;"&amp;$A2184+1)))</f>
        <v/>
      </c>
      <c r="AE2184">
        <f>IF($B2184=0,0,IF(Inputs!$B$7="",0,COUNTIFS(Data!$E$10:$E$3209,"&gt;="&amp;$A2184,Data!$E$10:$E$3209,"&lt;"&amp;$A2184+1)))</f>
        <v/>
      </c>
      <c r="AF2184">
        <f>IF($B2184=0,0,IF(Inputs!$B$8="",0,COUNTIFS(Data!$I$10:$I$3209,"&gt;="&amp;$A2184,Data!$I$10:$I$3209,"&lt;"&amp;$A2184+1)))</f>
        <v/>
      </c>
      <c r="AG2184">
        <f>IF($B2184=0,0,IF(Inputs!$B$9="",0,COUNTIFS(Data!$M$10:$M$3209,"&gt;="&amp;$A2184,Data!$M$10:$M$3209,"&lt;"&amp;$A2184+1)))</f>
        <v/>
      </c>
      <c r="AH2184">
        <f>IF($B2184=0,0,IF(Inputs!$B$10="",0,COUNTIFS(Data!$Q$10:$Q$3209,"&gt;="&amp;$A2184,Data!$Q$10:$Q$3209,"&lt;"&amp;$A2184+1)))</f>
        <v/>
      </c>
    </row>
    <row r="2185">
      <c r="A2185" s="55">
        <f>MIN(Inputs!$C$15,$A2184+IF(WEEKDAY($A2184,2)=5,3,1))</f>
        <v/>
      </c>
      <c r="B2185">
        <f>IF($A2185&gt;$A2184,1,0)</f>
        <v/>
      </c>
      <c r="C2185" s="56">
        <f>IF($B2185=0,"",IF(Inputs!$B$6="","",IF($AD2185=0,C2184,SUMIFS(Data!$B$10:$B$3209,Data!$A$10:$A$3209,"&gt;="&amp;$A2185,Data!$A$10:$A$3209,"&lt;"&amp;$A2185+1)/$AD2185)))</f>
        <v/>
      </c>
      <c r="D2185" s="56">
        <f>IF($B2185=0,"",IF(Inputs!$B$7="","",IF($AE2185=0,D2184,SUMIFS(Data!$F$10:$F$3209,Data!$E$10:$E$3209,"&gt;="&amp;$A2185,Data!$E$10:$E$3209,"&lt;"&amp;$A2185+1)/$AE2185)))</f>
        <v/>
      </c>
      <c r="E2185" s="56">
        <f>IF($B2185=0,"",IF(Inputs!$B$8="","",IF($AF2185=0,E2184,SUMIFS(Data!$J$10:$J$3209,Data!$I$10:$I$3209,"&gt;="&amp;$A2185,Data!$I$10:$I$3209,"&lt;"&amp;$A2185+1)/$AF2185)))</f>
        <v/>
      </c>
      <c r="F2185" s="56">
        <f>IF($B2185=0,"",IF(Inputs!$B$9="","",IF($AG2185=0,F2184,SUMIFS(Data!$N$10:$N$3209,Data!$M$10:$M$3209,"&gt;="&amp;$A2185,Data!$M$10:$M$3209,"&lt;"&amp;$A2185+1)/$AG2185)))</f>
        <v/>
      </c>
      <c r="G2185" s="56">
        <f>IF($B2185=0,"",IF(Inputs!$B$10="","",IF($AH2185=0,G2184,SUMIFS(Data!$R$10:$R$3209,Data!$Q$10:$Q$3209,"&gt;="&amp;$A2185,Data!$Q$10:$Q$3209,"&lt;"&amp;$A2185+1)/$AH2185)))</f>
        <v/>
      </c>
      <c r="I2185" s="54">
        <f>IF($B2185=0,NA(),IF($C2185="",NA(),IF(C$8="",NA(),IF(N(C$8)=0,NA(),IF(Inputs!$C$17="Rebased to 100",$C2185/C$8*100,$C2185)))))</f>
        <v/>
      </c>
      <c r="J2185" s="54">
        <f>IF($B2185=0,NA(),IF($D2185="",NA(),IF(D$8="",NA(),IF(N(D$8)=0,NA(),IF(Inputs!$C$17="Rebased to 100",$D2185/D$8*100,$D2185)))))</f>
        <v/>
      </c>
      <c r="K2185" s="54">
        <f>IF($B2185=0,NA(),IF($E2185="",NA(),IF(E$8="",NA(),IF(N(E$8)=0,NA(),IF(Inputs!$C$17="Rebased to 100",$E2185/E$8*100,$E2185)))))</f>
        <v/>
      </c>
      <c r="L2185" s="54">
        <f>IF($B2185=0,NA(),IF($F2185="",NA(),IF(F$8="",NA(),IF(N(F$8)=0,NA(),IF(Inputs!$C$17="Rebased to 100",$F2185/F$8*100,$F2185)))))</f>
        <v/>
      </c>
      <c r="M2185" s="54">
        <f>IF($B2185=0,NA(),IF($G2185="",NA(),IF(G$8="",NA(),IF(N(G$8)=0,NA(),IF(Inputs!$C$17="Rebased to 100",$G2185/G$8*100,$G2185)))))</f>
        <v/>
      </c>
      <c r="N2185" s="54">
        <f>IF($B2185=0,NA(),IF(Inputs!$C$18&lt;&gt;"Yes",NA(),IF(COUNT(I2185,J2185,K2185,L2185,M2185)=0,NA(),MIN(I2185,J2185,K2185,L2185,M2185))))</f>
        <v/>
      </c>
      <c r="O2185" s="54">
        <f>IF($B2185=0,NA(),IF(Inputs!$B$24&lt;&gt;"Yes",NA(),Inputs!$D$24*Inputs!$C$35))</f>
        <v/>
      </c>
      <c r="P2185" s="54">
        <f>IF($B2185=0,NA(),IF(Inputs!$B$25&lt;&gt;"Yes",NA(),Inputs!$D$25*Inputs!$C$35))</f>
        <v/>
      </c>
      <c r="Q2185" s="54">
        <f>IF($B2185=0,NA(),IF(Inputs!$B$26&lt;&gt;"Yes",NA(),Inputs!$D$26*Inputs!$C$35))</f>
        <v/>
      </c>
      <c r="R2185" s="54">
        <f>IF($B2185=0,NA(),IF(Inputs!$B$27&lt;&gt;"Yes",NA(),Inputs!$D$27*Inputs!$C$35))</f>
        <v/>
      </c>
      <c r="S2185" s="54">
        <f>IF($B2185=0,NA(),IF(Inputs!$B$28&lt;&gt;"Yes",NA(),Inputs!$D$28*Inputs!$C$35))</f>
        <v/>
      </c>
      <c r="T2185" s="54">
        <f>IF($B2185=0,NA(),IF(Inputs!$B$29&lt;&gt;"Yes",NA(),Inputs!$D$29*Inputs!$C$35))</f>
        <v/>
      </c>
      <c r="AD2185">
        <f>IF($B2185=0,0,IF(Inputs!$B$6="",0,COUNTIFS(Data!$A$10:$A$3209,"&gt;="&amp;$A2185,Data!$A$10:$A$3209,"&lt;"&amp;$A2185+1)))</f>
        <v/>
      </c>
      <c r="AE2185">
        <f>IF($B2185=0,0,IF(Inputs!$B$7="",0,COUNTIFS(Data!$E$10:$E$3209,"&gt;="&amp;$A2185,Data!$E$10:$E$3209,"&lt;"&amp;$A2185+1)))</f>
        <v/>
      </c>
      <c r="AF2185">
        <f>IF($B2185=0,0,IF(Inputs!$B$8="",0,COUNTIFS(Data!$I$10:$I$3209,"&gt;="&amp;$A2185,Data!$I$10:$I$3209,"&lt;"&amp;$A2185+1)))</f>
        <v/>
      </c>
      <c r="AG2185">
        <f>IF($B2185=0,0,IF(Inputs!$B$9="",0,COUNTIFS(Data!$M$10:$M$3209,"&gt;="&amp;$A2185,Data!$M$10:$M$3209,"&lt;"&amp;$A2185+1)))</f>
        <v/>
      </c>
      <c r="AH2185">
        <f>IF($B2185=0,0,IF(Inputs!$B$10="",0,COUNTIFS(Data!$Q$10:$Q$3209,"&gt;="&amp;$A2185,Data!$Q$10:$Q$3209,"&lt;"&amp;$A2185+1)))</f>
        <v/>
      </c>
    </row>
    <row r="2186">
      <c r="A2186" s="55">
        <f>MIN(Inputs!$C$15,$A2185+IF(WEEKDAY($A2185,2)=5,3,1))</f>
        <v/>
      </c>
      <c r="B2186">
        <f>IF($A2186&gt;$A2185,1,0)</f>
        <v/>
      </c>
      <c r="C2186" s="56">
        <f>IF($B2186=0,"",IF(Inputs!$B$6="","",IF($AD2186=0,C2185,SUMIFS(Data!$B$10:$B$3209,Data!$A$10:$A$3209,"&gt;="&amp;$A2186,Data!$A$10:$A$3209,"&lt;"&amp;$A2186+1)/$AD2186)))</f>
        <v/>
      </c>
      <c r="D2186" s="56">
        <f>IF($B2186=0,"",IF(Inputs!$B$7="","",IF($AE2186=0,D2185,SUMIFS(Data!$F$10:$F$3209,Data!$E$10:$E$3209,"&gt;="&amp;$A2186,Data!$E$10:$E$3209,"&lt;"&amp;$A2186+1)/$AE2186)))</f>
        <v/>
      </c>
      <c r="E2186" s="56">
        <f>IF($B2186=0,"",IF(Inputs!$B$8="","",IF($AF2186=0,E2185,SUMIFS(Data!$J$10:$J$3209,Data!$I$10:$I$3209,"&gt;="&amp;$A2186,Data!$I$10:$I$3209,"&lt;"&amp;$A2186+1)/$AF2186)))</f>
        <v/>
      </c>
      <c r="F2186" s="56">
        <f>IF($B2186=0,"",IF(Inputs!$B$9="","",IF($AG2186=0,F2185,SUMIFS(Data!$N$10:$N$3209,Data!$M$10:$M$3209,"&gt;="&amp;$A2186,Data!$M$10:$M$3209,"&lt;"&amp;$A2186+1)/$AG2186)))</f>
        <v/>
      </c>
      <c r="G2186" s="56">
        <f>IF($B2186=0,"",IF(Inputs!$B$10="","",IF($AH2186=0,G2185,SUMIFS(Data!$R$10:$R$3209,Data!$Q$10:$Q$3209,"&gt;="&amp;$A2186,Data!$Q$10:$Q$3209,"&lt;"&amp;$A2186+1)/$AH2186)))</f>
        <v/>
      </c>
      <c r="I2186" s="54">
        <f>IF($B2186=0,NA(),IF($C2186="",NA(),IF(C$8="",NA(),IF(N(C$8)=0,NA(),IF(Inputs!$C$17="Rebased to 100",$C2186/C$8*100,$C2186)))))</f>
        <v/>
      </c>
      <c r="J2186" s="54">
        <f>IF($B2186=0,NA(),IF($D2186="",NA(),IF(D$8="",NA(),IF(N(D$8)=0,NA(),IF(Inputs!$C$17="Rebased to 100",$D2186/D$8*100,$D2186)))))</f>
        <v/>
      </c>
      <c r="K2186" s="54">
        <f>IF($B2186=0,NA(),IF($E2186="",NA(),IF(E$8="",NA(),IF(N(E$8)=0,NA(),IF(Inputs!$C$17="Rebased to 100",$E2186/E$8*100,$E2186)))))</f>
        <v/>
      </c>
      <c r="L2186" s="54">
        <f>IF($B2186=0,NA(),IF($F2186="",NA(),IF(F$8="",NA(),IF(N(F$8)=0,NA(),IF(Inputs!$C$17="Rebased to 100",$F2186/F$8*100,$F2186)))))</f>
        <v/>
      </c>
      <c r="M2186" s="54">
        <f>IF($B2186=0,NA(),IF($G2186="",NA(),IF(G$8="",NA(),IF(N(G$8)=0,NA(),IF(Inputs!$C$17="Rebased to 100",$G2186/G$8*100,$G2186)))))</f>
        <v/>
      </c>
      <c r="N2186" s="54">
        <f>IF($B2186=0,NA(),IF(Inputs!$C$18&lt;&gt;"Yes",NA(),IF(COUNT(I2186,J2186,K2186,L2186,M2186)=0,NA(),MIN(I2186,J2186,K2186,L2186,M2186))))</f>
        <v/>
      </c>
      <c r="O2186" s="54">
        <f>IF($B2186=0,NA(),IF(Inputs!$B$24&lt;&gt;"Yes",NA(),Inputs!$D$24*Inputs!$C$35))</f>
        <v/>
      </c>
      <c r="P2186" s="54">
        <f>IF($B2186=0,NA(),IF(Inputs!$B$25&lt;&gt;"Yes",NA(),Inputs!$D$25*Inputs!$C$35))</f>
        <v/>
      </c>
      <c r="Q2186" s="54">
        <f>IF($B2186=0,NA(),IF(Inputs!$B$26&lt;&gt;"Yes",NA(),Inputs!$D$26*Inputs!$C$35))</f>
        <v/>
      </c>
      <c r="R2186" s="54">
        <f>IF($B2186=0,NA(),IF(Inputs!$B$27&lt;&gt;"Yes",NA(),Inputs!$D$27*Inputs!$C$35))</f>
        <v/>
      </c>
      <c r="S2186" s="54">
        <f>IF($B2186=0,NA(),IF(Inputs!$B$28&lt;&gt;"Yes",NA(),Inputs!$D$28*Inputs!$C$35))</f>
        <v/>
      </c>
      <c r="T2186" s="54">
        <f>IF($B2186=0,NA(),IF(Inputs!$B$29&lt;&gt;"Yes",NA(),Inputs!$D$29*Inputs!$C$35))</f>
        <v/>
      </c>
      <c r="AD2186">
        <f>IF($B2186=0,0,IF(Inputs!$B$6="",0,COUNTIFS(Data!$A$10:$A$3209,"&gt;="&amp;$A2186,Data!$A$10:$A$3209,"&lt;"&amp;$A2186+1)))</f>
        <v/>
      </c>
      <c r="AE2186">
        <f>IF($B2186=0,0,IF(Inputs!$B$7="",0,COUNTIFS(Data!$E$10:$E$3209,"&gt;="&amp;$A2186,Data!$E$10:$E$3209,"&lt;"&amp;$A2186+1)))</f>
        <v/>
      </c>
      <c r="AF2186">
        <f>IF($B2186=0,0,IF(Inputs!$B$8="",0,COUNTIFS(Data!$I$10:$I$3209,"&gt;="&amp;$A2186,Data!$I$10:$I$3209,"&lt;"&amp;$A2186+1)))</f>
        <v/>
      </c>
      <c r="AG2186">
        <f>IF($B2186=0,0,IF(Inputs!$B$9="",0,COUNTIFS(Data!$M$10:$M$3209,"&gt;="&amp;$A2186,Data!$M$10:$M$3209,"&lt;"&amp;$A2186+1)))</f>
        <v/>
      </c>
      <c r="AH2186">
        <f>IF($B2186=0,0,IF(Inputs!$B$10="",0,COUNTIFS(Data!$Q$10:$Q$3209,"&gt;="&amp;$A2186,Data!$Q$10:$Q$3209,"&lt;"&amp;$A2186+1)))</f>
        <v/>
      </c>
    </row>
    <row r="2187">
      <c r="A2187" s="55">
        <f>MIN(Inputs!$C$15,$A2186+IF(WEEKDAY($A2186,2)=5,3,1))</f>
        <v/>
      </c>
      <c r="B2187">
        <f>IF($A2187&gt;$A2186,1,0)</f>
        <v/>
      </c>
      <c r="C2187" s="56">
        <f>IF($B2187=0,"",IF(Inputs!$B$6="","",IF($AD2187=0,C2186,SUMIFS(Data!$B$10:$B$3209,Data!$A$10:$A$3209,"&gt;="&amp;$A2187,Data!$A$10:$A$3209,"&lt;"&amp;$A2187+1)/$AD2187)))</f>
        <v/>
      </c>
      <c r="D2187" s="56">
        <f>IF($B2187=0,"",IF(Inputs!$B$7="","",IF($AE2187=0,D2186,SUMIFS(Data!$F$10:$F$3209,Data!$E$10:$E$3209,"&gt;="&amp;$A2187,Data!$E$10:$E$3209,"&lt;"&amp;$A2187+1)/$AE2187)))</f>
        <v/>
      </c>
      <c r="E2187" s="56">
        <f>IF($B2187=0,"",IF(Inputs!$B$8="","",IF($AF2187=0,E2186,SUMIFS(Data!$J$10:$J$3209,Data!$I$10:$I$3209,"&gt;="&amp;$A2187,Data!$I$10:$I$3209,"&lt;"&amp;$A2187+1)/$AF2187)))</f>
        <v/>
      </c>
      <c r="F2187" s="56">
        <f>IF($B2187=0,"",IF(Inputs!$B$9="","",IF($AG2187=0,F2186,SUMIFS(Data!$N$10:$N$3209,Data!$M$10:$M$3209,"&gt;="&amp;$A2187,Data!$M$10:$M$3209,"&lt;"&amp;$A2187+1)/$AG2187)))</f>
        <v/>
      </c>
      <c r="G2187" s="56">
        <f>IF($B2187=0,"",IF(Inputs!$B$10="","",IF($AH2187=0,G2186,SUMIFS(Data!$R$10:$R$3209,Data!$Q$10:$Q$3209,"&gt;="&amp;$A2187,Data!$Q$10:$Q$3209,"&lt;"&amp;$A2187+1)/$AH2187)))</f>
        <v/>
      </c>
      <c r="I2187" s="54">
        <f>IF($B2187=0,NA(),IF($C2187="",NA(),IF(C$8="",NA(),IF(N(C$8)=0,NA(),IF(Inputs!$C$17="Rebased to 100",$C2187/C$8*100,$C2187)))))</f>
        <v/>
      </c>
      <c r="J2187" s="54">
        <f>IF($B2187=0,NA(),IF($D2187="",NA(),IF(D$8="",NA(),IF(N(D$8)=0,NA(),IF(Inputs!$C$17="Rebased to 100",$D2187/D$8*100,$D2187)))))</f>
        <v/>
      </c>
      <c r="K2187" s="54">
        <f>IF($B2187=0,NA(),IF($E2187="",NA(),IF(E$8="",NA(),IF(N(E$8)=0,NA(),IF(Inputs!$C$17="Rebased to 100",$E2187/E$8*100,$E2187)))))</f>
        <v/>
      </c>
      <c r="L2187" s="54">
        <f>IF($B2187=0,NA(),IF($F2187="",NA(),IF(F$8="",NA(),IF(N(F$8)=0,NA(),IF(Inputs!$C$17="Rebased to 100",$F2187/F$8*100,$F2187)))))</f>
        <v/>
      </c>
      <c r="M2187" s="54">
        <f>IF($B2187=0,NA(),IF($G2187="",NA(),IF(G$8="",NA(),IF(N(G$8)=0,NA(),IF(Inputs!$C$17="Rebased to 100",$G2187/G$8*100,$G2187)))))</f>
        <v/>
      </c>
      <c r="N2187" s="54">
        <f>IF($B2187=0,NA(),IF(Inputs!$C$18&lt;&gt;"Yes",NA(),IF(COUNT(I2187,J2187,K2187,L2187,M2187)=0,NA(),MIN(I2187,J2187,K2187,L2187,M2187))))</f>
        <v/>
      </c>
      <c r="O2187" s="54">
        <f>IF($B2187=0,NA(),IF(Inputs!$B$24&lt;&gt;"Yes",NA(),Inputs!$D$24*Inputs!$C$35))</f>
        <v/>
      </c>
      <c r="P2187" s="54">
        <f>IF($B2187=0,NA(),IF(Inputs!$B$25&lt;&gt;"Yes",NA(),Inputs!$D$25*Inputs!$C$35))</f>
        <v/>
      </c>
      <c r="Q2187" s="54">
        <f>IF($B2187=0,NA(),IF(Inputs!$B$26&lt;&gt;"Yes",NA(),Inputs!$D$26*Inputs!$C$35))</f>
        <v/>
      </c>
      <c r="R2187" s="54">
        <f>IF($B2187=0,NA(),IF(Inputs!$B$27&lt;&gt;"Yes",NA(),Inputs!$D$27*Inputs!$C$35))</f>
        <v/>
      </c>
      <c r="S2187" s="54">
        <f>IF($B2187=0,NA(),IF(Inputs!$B$28&lt;&gt;"Yes",NA(),Inputs!$D$28*Inputs!$C$35))</f>
        <v/>
      </c>
      <c r="T2187" s="54">
        <f>IF($B2187=0,NA(),IF(Inputs!$B$29&lt;&gt;"Yes",NA(),Inputs!$D$29*Inputs!$C$35))</f>
        <v/>
      </c>
      <c r="AD2187">
        <f>IF($B2187=0,0,IF(Inputs!$B$6="",0,COUNTIFS(Data!$A$10:$A$3209,"&gt;="&amp;$A2187,Data!$A$10:$A$3209,"&lt;"&amp;$A2187+1)))</f>
        <v/>
      </c>
      <c r="AE2187">
        <f>IF($B2187=0,0,IF(Inputs!$B$7="",0,COUNTIFS(Data!$E$10:$E$3209,"&gt;="&amp;$A2187,Data!$E$10:$E$3209,"&lt;"&amp;$A2187+1)))</f>
        <v/>
      </c>
      <c r="AF2187">
        <f>IF($B2187=0,0,IF(Inputs!$B$8="",0,COUNTIFS(Data!$I$10:$I$3209,"&gt;="&amp;$A2187,Data!$I$10:$I$3209,"&lt;"&amp;$A2187+1)))</f>
        <v/>
      </c>
      <c r="AG2187">
        <f>IF($B2187=0,0,IF(Inputs!$B$9="",0,COUNTIFS(Data!$M$10:$M$3209,"&gt;="&amp;$A2187,Data!$M$10:$M$3209,"&lt;"&amp;$A2187+1)))</f>
        <v/>
      </c>
      <c r="AH2187">
        <f>IF($B2187=0,0,IF(Inputs!$B$10="",0,COUNTIFS(Data!$Q$10:$Q$3209,"&gt;="&amp;$A2187,Data!$Q$10:$Q$3209,"&lt;"&amp;$A2187+1)))</f>
        <v/>
      </c>
    </row>
    <row r="2188">
      <c r="A2188" s="55">
        <f>MIN(Inputs!$C$15,$A2187+IF(WEEKDAY($A2187,2)=5,3,1))</f>
        <v/>
      </c>
      <c r="B2188">
        <f>IF($A2188&gt;$A2187,1,0)</f>
        <v/>
      </c>
      <c r="C2188" s="56">
        <f>IF($B2188=0,"",IF(Inputs!$B$6="","",IF($AD2188=0,C2187,SUMIFS(Data!$B$10:$B$3209,Data!$A$10:$A$3209,"&gt;="&amp;$A2188,Data!$A$10:$A$3209,"&lt;"&amp;$A2188+1)/$AD2188)))</f>
        <v/>
      </c>
      <c r="D2188" s="56">
        <f>IF($B2188=0,"",IF(Inputs!$B$7="","",IF($AE2188=0,D2187,SUMIFS(Data!$F$10:$F$3209,Data!$E$10:$E$3209,"&gt;="&amp;$A2188,Data!$E$10:$E$3209,"&lt;"&amp;$A2188+1)/$AE2188)))</f>
        <v/>
      </c>
      <c r="E2188" s="56">
        <f>IF($B2188=0,"",IF(Inputs!$B$8="","",IF($AF2188=0,E2187,SUMIFS(Data!$J$10:$J$3209,Data!$I$10:$I$3209,"&gt;="&amp;$A2188,Data!$I$10:$I$3209,"&lt;"&amp;$A2188+1)/$AF2188)))</f>
        <v/>
      </c>
      <c r="F2188" s="56">
        <f>IF($B2188=0,"",IF(Inputs!$B$9="","",IF($AG2188=0,F2187,SUMIFS(Data!$N$10:$N$3209,Data!$M$10:$M$3209,"&gt;="&amp;$A2188,Data!$M$10:$M$3209,"&lt;"&amp;$A2188+1)/$AG2188)))</f>
        <v/>
      </c>
      <c r="G2188" s="56">
        <f>IF($B2188=0,"",IF(Inputs!$B$10="","",IF($AH2188=0,G2187,SUMIFS(Data!$R$10:$R$3209,Data!$Q$10:$Q$3209,"&gt;="&amp;$A2188,Data!$Q$10:$Q$3209,"&lt;"&amp;$A2188+1)/$AH2188)))</f>
        <v/>
      </c>
      <c r="I2188" s="54">
        <f>IF($B2188=0,NA(),IF($C2188="",NA(),IF(C$8="",NA(),IF(N(C$8)=0,NA(),IF(Inputs!$C$17="Rebased to 100",$C2188/C$8*100,$C2188)))))</f>
        <v/>
      </c>
      <c r="J2188" s="54">
        <f>IF($B2188=0,NA(),IF($D2188="",NA(),IF(D$8="",NA(),IF(N(D$8)=0,NA(),IF(Inputs!$C$17="Rebased to 100",$D2188/D$8*100,$D2188)))))</f>
        <v/>
      </c>
      <c r="K2188" s="54">
        <f>IF($B2188=0,NA(),IF($E2188="",NA(),IF(E$8="",NA(),IF(N(E$8)=0,NA(),IF(Inputs!$C$17="Rebased to 100",$E2188/E$8*100,$E2188)))))</f>
        <v/>
      </c>
      <c r="L2188" s="54">
        <f>IF($B2188=0,NA(),IF($F2188="",NA(),IF(F$8="",NA(),IF(N(F$8)=0,NA(),IF(Inputs!$C$17="Rebased to 100",$F2188/F$8*100,$F2188)))))</f>
        <v/>
      </c>
      <c r="M2188" s="54">
        <f>IF($B2188=0,NA(),IF($G2188="",NA(),IF(G$8="",NA(),IF(N(G$8)=0,NA(),IF(Inputs!$C$17="Rebased to 100",$G2188/G$8*100,$G2188)))))</f>
        <v/>
      </c>
      <c r="N2188" s="54">
        <f>IF($B2188=0,NA(),IF(Inputs!$C$18&lt;&gt;"Yes",NA(),IF(COUNT(I2188,J2188,K2188,L2188,M2188)=0,NA(),MIN(I2188,J2188,K2188,L2188,M2188))))</f>
        <v/>
      </c>
      <c r="O2188" s="54">
        <f>IF($B2188=0,NA(),IF(Inputs!$B$24&lt;&gt;"Yes",NA(),Inputs!$D$24*Inputs!$C$35))</f>
        <v/>
      </c>
      <c r="P2188" s="54">
        <f>IF($B2188=0,NA(),IF(Inputs!$B$25&lt;&gt;"Yes",NA(),Inputs!$D$25*Inputs!$C$35))</f>
        <v/>
      </c>
      <c r="Q2188" s="54">
        <f>IF($B2188=0,NA(),IF(Inputs!$B$26&lt;&gt;"Yes",NA(),Inputs!$D$26*Inputs!$C$35))</f>
        <v/>
      </c>
      <c r="R2188" s="54">
        <f>IF($B2188=0,NA(),IF(Inputs!$B$27&lt;&gt;"Yes",NA(),Inputs!$D$27*Inputs!$C$35))</f>
        <v/>
      </c>
      <c r="S2188" s="54">
        <f>IF($B2188=0,NA(),IF(Inputs!$B$28&lt;&gt;"Yes",NA(),Inputs!$D$28*Inputs!$C$35))</f>
        <v/>
      </c>
      <c r="T2188" s="54">
        <f>IF($B2188=0,NA(),IF(Inputs!$B$29&lt;&gt;"Yes",NA(),Inputs!$D$29*Inputs!$C$35))</f>
        <v/>
      </c>
      <c r="AD2188">
        <f>IF($B2188=0,0,IF(Inputs!$B$6="",0,COUNTIFS(Data!$A$10:$A$3209,"&gt;="&amp;$A2188,Data!$A$10:$A$3209,"&lt;"&amp;$A2188+1)))</f>
        <v/>
      </c>
      <c r="AE2188">
        <f>IF($B2188=0,0,IF(Inputs!$B$7="",0,COUNTIFS(Data!$E$10:$E$3209,"&gt;="&amp;$A2188,Data!$E$10:$E$3209,"&lt;"&amp;$A2188+1)))</f>
        <v/>
      </c>
      <c r="AF2188">
        <f>IF($B2188=0,0,IF(Inputs!$B$8="",0,COUNTIFS(Data!$I$10:$I$3209,"&gt;="&amp;$A2188,Data!$I$10:$I$3209,"&lt;"&amp;$A2188+1)))</f>
        <v/>
      </c>
      <c r="AG2188">
        <f>IF($B2188=0,0,IF(Inputs!$B$9="",0,COUNTIFS(Data!$M$10:$M$3209,"&gt;="&amp;$A2188,Data!$M$10:$M$3209,"&lt;"&amp;$A2188+1)))</f>
        <v/>
      </c>
      <c r="AH2188">
        <f>IF($B2188=0,0,IF(Inputs!$B$10="",0,COUNTIFS(Data!$Q$10:$Q$3209,"&gt;="&amp;$A2188,Data!$Q$10:$Q$3209,"&lt;"&amp;$A2188+1)))</f>
        <v/>
      </c>
    </row>
    <row r="2189">
      <c r="A2189" s="55">
        <f>MIN(Inputs!$C$15,$A2188+IF(WEEKDAY($A2188,2)=5,3,1))</f>
        <v/>
      </c>
      <c r="B2189">
        <f>IF($A2189&gt;$A2188,1,0)</f>
        <v/>
      </c>
      <c r="C2189" s="56">
        <f>IF($B2189=0,"",IF(Inputs!$B$6="","",IF($AD2189=0,C2188,SUMIFS(Data!$B$10:$B$3209,Data!$A$10:$A$3209,"&gt;="&amp;$A2189,Data!$A$10:$A$3209,"&lt;"&amp;$A2189+1)/$AD2189)))</f>
        <v/>
      </c>
      <c r="D2189" s="56">
        <f>IF($B2189=0,"",IF(Inputs!$B$7="","",IF($AE2189=0,D2188,SUMIFS(Data!$F$10:$F$3209,Data!$E$10:$E$3209,"&gt;="&amp;$A2189,Data!$E$10:$E$3209,"&lt;"&amp;$A2189+1)/$AE2189)))</f>
        <v/>
      </c>
      <c r="E2189" s="56">
        <f>IF($B2189=0,"",IF(Inputs!$B$8="","",IF($AF2189=0,E2188,SUMIFS(Data!$J$10:$J$3209,Data!$I$10:$I$3209,"&gt;="&amp;$A2189,Data!$I$10:$I$3209,"&lt;"&amp;$A2189+1)/$AF2189)))</f>
        <v/>
      </c>
      <c r="F2189" s="56">
        <f>IF($B2189=0,"",IF(Inputs!$B$9="","",IF($AG2189=0,F2188,SUMIFS(Data!$N$10:$N$3209,Data!$M$10:$M$3209,"&gt;="&amp;$A2189,Data!$M$10:$M$3209,"&lt;"&amp;$A2189+1)/$AG2189)))</f>
        <v/>
      </c>
      <c r="G2189" s="56">
        <f>IF($B2189=0,"",IF(Inputs!$B$10="","",IF($AH2189=0,G2188,SUMIFS(Data!$R$10:$R$3209,Data!$Q$10:$Q$3209,"&gt;="&amp;$A2189,Data!$Q$10:$Q$3209,"&lt;"&amp;$A2189+1)/$AH2189)))</f>
        <v/>
      </c>
      <c r="I2189" s="54">
        <f>IF($B2189=0,NA(),IF($C2189="",NA(),IF(C$8="",NA(),IF(N(C$8)=0,NA(),IF(Inputs!$C$17="Rebased to 100",$C2189/C$8*100,$C2189)))))</f>
        <v/>
      </c>
      <c r="J2189" s="54">
        <f>IF($B2189=0,NA(),IF($D2189="",NA(),IF(D$8="",NA(),IF(N(D$8)=0,NA(),IF(Inputs!$C$17="Rebased to 100",$D2189/D$8*100,$D2189)))))</f>
        <v/>
      </c>
      <c r="K2189" s="54">
        <f>IF($B2189=0,NA(),IF($E2189="",NA(),IF(E$8="",NA(),IF(N(E$8)=0,NA(),IF(Inputs!$C$17="Rebased to 100",$E2189/E$8*100,$E2189)))))</f>
        <v/>
      </c>
      <c r="L2189" s="54">
        <f>IF($B2189=0,NA(),IF($F2189="",NA(),IF(F$8="",NA(),IF(N(F$8)=0,NA(),IF(Inputs!$C$17="Rebased to 100",$F2189/F$8*100,$F2189)))))</f>
        <v/>
      </c>
      <c r="M2189" s="54">
        <f>IF($B2189=0,NA(),IF($G2189="",NA(),IF(G$8="",NA(),IF(N(G$8)=0,NA(),IF(Inputs!$C$17="Rebased to 100",$G2189/G$8*100,$G2189)))))</f>
        <v/>
      </c>
      <c r="N2189" s="54">
        <f>IF($B2189=0,NA(),IF(Inputs!$C$18&lt;&gt;"Yes",NA(),IF(COUNT(I2189,J2189,K2189,L2189,M2189)=0,NA(),MIN(I2189,J2189,K2189,L2189,M2189))))</f>
        <v/>
      </c>
      <c r="O2189" s="54">
        <f>IF($B2189=0,NA(),IF(Inputs!$B$24&lt;&gt;"Yes",NA(),Inputs!$D$24*Inputs!$C$35))</f>
        <v/>
      </c>
      <c r="P2189" s="54">
        <f>IF($B2189=0,NA(),IF(Inputs!$B$25&lt;&gt;"Yes",NA(),Inputs!$D$25*Inputs!$C$35))</f>
        <v/>
      </c>
      <c r="Q2189" s="54">
        <f>IF($B2189=0,NA(),IF(Inputs!$B$26&lt;&gt;"Yes",NA(),Inputs!$D$26*Inputs!$C$35))</f>
        <v/>
      </c>
      <c r="R2189" s="54">
        <f>IF($B2189=0,NA(),IF(Inputs!$B$27&lt;&gt;"Yes",NA(),Inputs!$D$27*Inputs!$C$35))</f>
        <v/>
      </c>
      <c r="S2189" s="54">
        <f>IF($B2189=0,NA(),IF(Inputs!$B$28&lt;&gt;"Yes",NA(),Inputs!$D$28*Inputs!$C$35))</f>
        <v/>
      </c>
      <c r="T2189" s="54">
        <f>IF($B2189=0,NA(),IF(Inputs!$B$29&lt;&gt;"Yes",NA(),Inputs!$D$29*Inputs!$C$35))</f>
        <v/>
      </c>
      <c r="AD2189">
        <f>IF($B2189=0,0,IF(Inputs!$B$6="",0,COUNTIFS(Data!$A$10:$A$3209,"&gt;="&amp;$A2189,Data!$A$10:$A$3209,"&lt;"&amp;$A2189+1)))</f>
        <v/>
      </c>
      <c r="AE2189">
        <f>IF($B2189=0,0,IF(Inputs!$B$7="",0,COUNTIFS(Data!$E$10:$E$3209,"&gt;="&amp;$A2189,Data!$E$10:$E$3209,"&lt;"&amp;$A2189+1)))</f>
        <v/>
      </c>
      <c r="AF2189">
        <f>IF($B2189=0,0,IF(Inputs!$B$8="",0,COUNTIFS(Data!$I$10:$I$3209,"&gt;="&amp;$A2189,Data!$I$10:$I$3209,"&lt;"&amp;$A2189+1)))</f>
        <v/>
      </c>
      <c r="AG2189">
        <f>IF($B2189=0,0,IF(Inputs!$B$9="",0,COUNTIFS(Data!$M$10:$M$3209,"&gt;="&amp;$A2189,Data!$M$10:$M$3209,"&lt;"&amp;$A2189+1)))</f>
        <v/>
      </c>
      <c r="AH2189">
        <f>IF($B2189=0,0,IF(Inputs!$B$10="",0,COUNTIFS(Data!$Q$10:$Q$3209,"&gt;="&amp;$A2189,Data!$Q$10:$Q$3209,"&lt;"&amp;$A2189+1)))</f>
        <v/>
      </c>
    </row>
    <row r="2190">
      <c r="A2190" s="55">
        <f>MIN(Inputs!$C$15,$A2189+IF(WEEKDAY($A2189,2)=5,3,1))</f>
        <v/>
      </c>
      <c r="B2190">
        <f>IF($A2190&gt;$A2189,1,0)</f>
        <v/>
      </c>
      <c r="C2190" s="56">
        <f>IF($B2190=0,"",IF(Inputs!$B$6="","",IF($AD2190=0,C2189,SUMIFS(Data!$B$10:$B$3209,Data!$A$10:$A$3209,"&gt;="&amp;$A2190,Data!$A$10:$A$3209,"&lt;"&amp;$A2190+1)/$AD2190)))</f>
        <v/>
      </c>
      <c r="D2190" s="56">
        <f>IF($B2190=0,"",IF(Inputs!$B$7="","",IF($AE2190=0,D2189,SUMIFS(Data!$F$10:$F$3209,Data!$E$10:$E$3209,"&gt;="&amp;$A2190,Data!$E$10:$E$3209,"&lt;"&amp;$A2190+1)/$AE2190)))</f>
        <v/>
      </c>
      <c r="E2190" s="56">
        <f>IF($B2190=0,"",IF(Inputs!$B$8="","",IF($AF2190=0,E2189,SUMIFS(Data!$J$10:$J$3209,Data!$I$10:$I$3209,"&gt;="&amp;$A2190,Data!$I$10:$I$3209,"&lt;"&amp;$A2190+1)/$AF2190)))</f>
        <v/>
      </c>
      <c r="F2190" s="56">
        <f>IF($B2190=0,"",IF(Inputs!$B$9="","",IF($AG2190=0,F2189,SUMIFS(Data!$N$10:$N$3209,Data!$M$10:$M$3209,"&gt;="&amp;$A2190,Data!$M$10:$M$3209,"&lt;"&amp;$A2190+1)/$AG2190)))</f>
        <v/>
      </c>
      <c r="G2190" s="56">
        <f>IF($B2190=0,"",IF(Inputs!$B$10="","",IF($AH2190=0,G2189,SUMIFS(Data!$R$10:$R$3209,Data!$Q$10:$Q$3209,"&gt;="&amp;$A2190,Data!$Q$10:$Q$3209,"&lt;"&amp;$A2190+1)/$AH2190)))</f>
        <v/>
      </c>
      <c r="I2190" s="54">
        <f>IF($B2190=0,NA(),IF($C2190="",NA(),IF(C$8="",NA(),IF(N(C$8)=0,NA(),IF(Inputs!$C$17="Rebased to 100",$C2190/C$8*100,$C2190)))))</f>
        <v/>
      </c>
      <c r="J2190" s="54">
        <f>IF($B2190=0,NA(),IF($D2190="",NA(),IF(D$8="",NA(),IF(N(D$8)=0,NA(),IF(Inputs!$C$17="Rebased to 100",$D2190/D$8*100,$D2190)))))</f>
        <v/>
      </c>
      <c r="K2190" s="54">
        <f>IF($B2190=0,NA(),IF($E2190="",NA(),IF(E$8="",NA(),IF(N(E$8)=0,NA(),IF(Inputs!$C$17="Rebased to 100",$E2190/E$8*100,$E2190)))))</f>
        <v/>
      </c>
      <c r="L2190" s="54">
        <f>IF($B2190=0,NA(),IF($F2190="",NA(),IF(F$8="",NA(),IF(N(F$8)=0,NA(),IF(Inputs!$C$17="Rebased to 100",$F2190/F$8*100,$F2190)))))</f>
        <v/>
      </c>
      <c r="M2190" s="54">
        <f>IF($B2190=0,NA(),IF($G2190="",NA(),IF(G$8="",NA(),IF(N(G$8)=0,NA(),IF(Inputs!$C$17="Rebased to 100",$G2190/G$8*100,$G2190)))))</f>
        <v/>
      </c>
      <c r="N2190" s="54">
        <f>IF($B2190=0,NA(),IF(Inputs!$C$18&lt;&gt;"Yes",NA(),IF(COUNT(I2190,J2190,K2190,L2190,M2190)=0,NA(),MIN(I2190,J2190,K2190,L2190,M2190))))</f>
        <v/>
      </c>
      <c r="O2190" s="54">
        <f>IF($B2190=0,NA(),IF(Inputs!$B$24&lt;&gt;"Yes",NA(),Inputs!$D$24*Inputs!$C$35))</f>
        <v/>
      </c>
      <c r="P2190" s="54">
        <f>IF($B2190=0,NA(),IF(Inputs!$B$25&lt;&gt;"Yes",NA(),Inputs!$D$25*Inputs!$C$35))</f>
        <v/>
      </c>
      <c r="Q2190" s="54">
        <f>IF($B2190=0,NA(),IF(Inputs!$B$26&lt;&gt;"Yes",NA(),Inputs!$D$26*Inputs!$C$35))</f>
        <v/>
      </c>
      <c r="R2190" s="54">
        <f>IF($B2190=0,NA(),IF(Inputs!$B$27&lt;&gt;"Yes",NA(),Inputs!$D$27*Inputs!$C$35))</f>
        <v/>
      </c>
      <c r="S2190" s="54">
        <f>IF($B2190=0,NA(),IF(Inputs!$B$28&lt;&gt;"Yes",NA(),Inputs!$D$28*Inputs!$C$35))</f>
        <v/>
      </c>
      <c r="T2190" s="54">
        <f>IF($B2190=0,NA(),IF(Inputs!$B$29&lt;&gt;"Yes",NA(),Inputs!$D$29*Inputs!$C$35))</f>
        <v/>
      </c>
      <c r="AD2190">
        <f>IF($B2190=0,0,IF(Inputs!$B$6="",0,COUNTIFS(Data!$A$10:$A$3209,"&gt;="&amp;$A2190,Data!$A$10:$A$3209,"&lt;"&amp;$A2190+1)))</f>
        <v/>
      </c>
      <c r="AE2190">
        <f>IF($B2190=0,0,IF(Inputs!$B$7="",0,COUNTIFS(Data!$E$10:$E$3209,"&gt;="&amp;$A2190,Data!$E$10:$E$3209,"&lt;"&amp;$A2190+1)))</f>
        <v/>
      </c>
      <c r="AF2190">
        <f>IF($B2190=0,0,IF(Inputs!$B$8="",0,COUNTIFS(Data!$I$10:$I$3209,"&gt;="&amp;$A2190,Data!$I$10:$I$3209,"&lt;"&amp;$A2190+1)))</f>
        <v/>
      </c>
      <c r="AG2190">
        <f>IF($B2190=0,0,IF(Inputs!$B$9="",0,COUNTIFS(Data!$M$10:$M$3209,"&gt;="&amp;$A2190,Data!$M$10:$M$3209,"&lt;"&amp;$A2190+1)))</f>
        <v/>
      </c>
      <c r="AH2190">
        <f>IF($B2190=0,0,IF(Inputs!$B$10="",0,COUNTIFS(Data!$Q$10:$Q$3209,"&gt;="&amp;$A2190,Data!$Q$10:$Q$3209,"&lt;"&amp;$A2190+1)))</f>
        <v/>
      </c>
    </row>
    <row r="2191">
      <c r="A2191" s="55">
        <f>MIN(Inputs!$C$15,$A2190+IF(WEEKDAY($A2190,2)=5,3,1))</f>
        <v/>
      </c>
      <c r="B2191">
        <f>IF($A2191&gt;$A2190,1,0)</f>
        <v/>
      </c>
      <c r="C2191" s="56">
        <f>IF($B2191=0,"",IF(Inputs!$B$6="","",IF($AD2191=0,C2190,SUMIFS(Data!$B$10:$B$3209,Data!$A$10:$A$3209,"&gt;="&amp;$A2191,Data!$A$10:$A$3209,"&lt;"&amp;$A2191+1)/$AD2191)))</f>
        <v/>
      </c>
      <c r="D2191" s="56">
        <f>IF($B2191=0,"",IF(Inputs!$B$7="","",IF($AE2191=0,D2190,SUMIFS(Data!$F$10:$F$3209,Data!$E$10:$E$3209,"&gt;="&amp;$A2191,Data!$E$10:$E$3209,"&lt;"&amp;$A2191+1)/$AE2191)))</f>
        <v/>
      </c>
      <c r="E2191" s="56">
        <f>IF($B2191=0,"",IF(Inputs!$B$8="","",IF($AF2191=0,E2190,SUMIFS(Data!$J$10:$J$3209,Data!$I$10:$I$3209,"&gt;="&amp;$A2191,Data!$I$10:$I$3209,"&lt;"&amp;$A2191+1)/$AF2191)))</f>
        <v/>
      </c>
      <c r="F2191" s="56">
        <f>IF($B2191=0,"",IF(Inputs!$B$9="","",IF($AG2191=0,F2190,SUMIFS(Data!$N$10:$N$3209,Data!$M$10:$M$3209,"&gt;="&amp;$A2191,Data!$M$10:$M$3209,"&lt;"&amp;$A2191+1)/$AG2191)))</f>
        <v/>
      </c>
      <c r="G2191" s="56">
        <f>IF($B2191=0,"",IF(Inputs!$B$10="","",IF($AH2191=0,G2190,SUMIFS(Data!$R$10:$R$3209,Data!$Q$10:$Q$3209,"&gt;="&amp;$A2191,Data!$Q$10:$Q$3209,"&lt;"&amp;$A2191+1)/$AH2191)))</f>
        <v/>
      </c>
      <c r="I2191" s="54">
        <f>IF($B2191=0,NA(),IF($C2191="",NA(),IF(C$8="",NA(),IF(N(C$8)=0,NA(),IF(Inputs!$C$17="Rebased to 100",$C2191/C$8*100,$C2191)))))</f>
        <v/>
      </c>
      <c r="J2191" s="54">
        <f>IF($B2191=0,NA(),IF($D2191="",NA(),IF(D$8="",NA(),IF(N(D$8)=0,NA(),IF(Inputs!$C$17="Rebased to 100",$D2191/D$8*100,$D2191)))))</f>
        <v/>
      </c>
      <c r="K2191" s="54">
        <f>IF($B2191=0,NA(),IF($E2191="",NA(),IF(E$8="",NA(),IF(N(E$8)=0,NA(),IF(Inputs!$C$17="Rebased to 100",$E2191/E$8*100,$E2191)))))</f>
        <v/>
      </c>
      <c r="L2191" s="54">
        <f>IF($B2191=0,NA(),IF($F2191="",NA(),IF(F$8="",NA(),IF(N(F$8)=0,NA(),IF(Inputs!$C$17="Rebased to 100",$F2191/F$8*100,$F2191)))))</f>
        <v/>
      </c>
      <c r="M2191" s="54">
        <f>IF($B2191=0,NA(),IF($G2191="",NA(),IF(G$8="",NA(),IF(N(G$8)=0,NA(),IF(Inputs!$C$17="Rebased to 100",$G2191/G$8*100,$G2191)))))</f>
        <v/>
      </c>
      <c r="N2191" s="54">
        <f>IF($B2191=0,NA(),IF(Inputs!$C$18&lt;&gt;"Yes",NA(),IF(COUNT(I2191,J2191,K2191,L2191,M2191)=0,NA(),MIN(I2191,J2191,K2191,L2191,M2191))))</f>
        <v/>
      </c>
      <c r="O2191" s="54">
        <f>IF($B2191=0,NA(),IF(Inputs!$B$24&lt;&gt;"Yes",NA(),Inputs!$D$24*Inputs!$C$35))</f>
        <v/>
      </c>
      <c r="P2191" s="54">
        <f>IF($B2191=0,NA(),IF(Inputs!$B$25&lt;&gt;"Yes",NA(),Inputs!$D$25*Inputs!$C$35))</f>
        <v/>
      </c>
      <c r="Q2191" s="54">
        <f>IF($B2191=0,NA(),IF(Inputs!$B$26&lt;&gt;"Yes",NA(),Inputs!$D$26*Inputs!$C$35))</f>
        <v/>
      </c>
      <c r="R2191" s="54">
        <f>IF($B2191=0,NA(),IF(Inputs!$B$27&lt;&gt;"Yes",NA(),Inputs!$D$27*Inputs!$C$35))</f>
        <v/>
      </c>
      <c r="S2191" s="54">
        <f>IF($B2191=0,NA(),IF(Inputs!$B$28&lt;&gt;"Yes",NA(),Inputs!$D$28*Inputs!$C$35))</f>
        <v/>
      </c>
      <c r="T2191" s="54">
        <f>IF($B2191=0,NA(),IF(Inputs!$B$29&lt;&gt;"Yes",NA(),Inputs!$D$29*Inputs!$C$35))</f>
        <v/>
      </c>
      <c r="AD2191">
        <f>IF($B2191=0,0,IF(Inputs!$B$6="",0,COUNTIFS(Data!$A$10:$A$3209,"&gt;="&amp;$A2191,Data!$A$10:$A$3209,"&lt;"&amp;$A2191+1)))</f>
        <v/>
      </c>
      <c r="AE2191">
        <f>IF($B2191=0,0,IF(Inputs!$B$7="",0,COUNTIFS(Data!$E$10:$E$3209,"&gt;="&amp;$A2191,Data!$E$10:$E$3209,"&lt;"&amp;$A2191+1)))</f>
        <v/>
      </c>
      <c r="AF2191">
        <f>IF($B2191=0,0,IF(Inputs!$B$8="",0,COUNTIFS(Data!$I$10:$I$3209,"&gt;="&amp;$A2191,Data!$I$10:$I$3209,"&lt;"&amp;$A2191+1)))</f>
        <v/>
      </c>
      <c r="AG2191">
        <f>IF($B2191=0,0,IF(Inputs!$B$9="",0,COUNTIFS(Data!$M$10:$M$3209,"&gt;="&amp;$A2191,Data!$M$10:$M$3209,"&lt;"&amp;$A2191+1)))</f>
        <v/>
      </c>
      <c r="AH2191">
        <f>IF($B2191=0,0,IF(Inputs!$B$10="",0,COUNTIFS(Data!$Q$10:$Q$3209,"&gt;="&amp;$A2191,Data!$Q$10:$Q$3209,"&lt;"&amp;$A2191+1)))</f>
        <v/>
      </c>
    </row>
    <row r="2192">
      <c r="A2192" s="55">
        <f>MIN(Inputs!$C$15,$A2191+IF(WEEKDAY($A2191,2)=5,3,1))</f>
        <v/>
      </c>
      <c r="B2192">
        <f>IF($A2192&gt;$A2191,1,0)</f>
        <v/>
      </c>
      <c r="C2192" s="56">
        <f>IF($B2192=0,"",IF(Inputs!$B$6="","",IF($AD2192=0,C2191,SUMIFS(Data!$B$10:$B$3209,Data!$A$10:$A$3209,"&gt;="&amp;$A2192,Data!$A$10:$A$3209,"&lt;"&amp;$A2192+1)/$AD2192)))</f>
        <v/>
      </c>
      <c r="D2192" s="56">
        <f>IF($B2192=0,"",IF(Inputs!$B$7="","",IF($AE2192=0,D2191,SUMIFS(Data!$F$10:$F$3209,Data!$E$10:$E$3209,"&gt;="&amp;$A2192,Data!$E$10:$E$3209,"&lt;"&amp;$A2192+1)/$AE2192)))</f>
        <v/>
      </c>
      <c r="E2192" s="56">
        <f>IF($B2192=0,"",IF(Inputs!$B$8="","",IF($AF2192=0,E2191,SUMIFS(Data!$J$10:$J$3209,Data!$I$10:$I$3209,"&gt;="&amp;$A2192,Data!$I$10:$I$3209,"&lt;"&amp;$A2192+1)/$AF2192)))</f>
        <v/>
      </c>
      <c r="F2192" s="56">
        <f>IF($B2192=0,"",IF(Inputs!$B$9="","",IF($AG2192=0,F2191,SUMIFS(Data!$N$10:$N$3209,Data!$M$10:$M$3209,"&gt;="&amp;$A2192,Data!$M$10:$M$3209,"&lt;"&amp;$A2192+1)/$AG2192)))</f>
        <v/>
      </c>
      <c r="G2192" s="56">
        <f>IF($B2192=0,"",IF(Inputs!$B$10="","",IF($AH2192=0,G2191,SUMIFS(Data!$R$10:$R$3209,Data!$Q$10:$Q$3209,"&gt;="&amp;$A2192,Data!$Q$10:$Q$3209,"&lt;"&amp;$A2192+1)/$AH2192)))</f>
        <v/>
      </c>
      <c r="I2192" s="54">
        <f>IF($B2192=0,NA(),IF($C2192="",NA(),IF(C$8="",NA(),IF(N(C$8)=0,NA(),IF(Inputs!$C$17="Rebased to 100",$C2192/C$8*100,$C2192)))))</f>
        <v/>
      </c>
      <c r="J2192" s="54">
        <f>IF($B2192=0,NA(),IF($D2192="",NA(),IF(D$8="",NA(),IF(N(D$8)=0,NA(),IF(Inputs!$C$17="Rebased to 100",$D2192/D$8*100,$D2192)))))</f>
        <v/>
      </c>
      <c r="K2192" s="54">
        <f>IF($B2192=0,NA(),IF($E2192="",NA(),IF(E$8="",NA(),IF(N(E$8)=0,NA(),IF(Inputs!$C$17="Rebased to 100",$E2192/E$8*100,$E2192)))))</f>
        <v/>
      </c>
      <c r="L2192" s="54">
        <f>IF($B2192=0,NA(),IF($F2192="",NA(),IF(F$8="",NA(),IF(N(F$8)=0,NA(),IF(Inputs!$C$17="Rebased to 100",$F2192/F$8*100,$F2192)))))</f>
        <v/>
      </c>
      <c r="M2192" s="54">
        <f>IF($B2192=0,NA(),IF($G2192="",NA(),IF(G$8="",NA(),IF(N(G$8)=0,NA(),IF(Inputs!$C$17="Rebased to 100",$G2192/G$8*100,$G2192)))))</f>
        <v/>
      </c>
      <c r="N2192" s="54">
        <f>IF($B2192=0,NA(),IF(Inputs!$C$18&lt;&gt;"Yes",NA(),IF(COUNT(I2192,J2192,K2192,L2192,M2192)=0,NA(),MIN(I2192,J2192,K2192,L2192,M2192))))</f>
        <v/>
      </c>
      <c r="O2192" s="54">
        <f>IF($B2192=0,NA(),IF(Inputs!$B$24&lt;&gt;"Yes",NA(),Inputs!$D$24*Inputs!$C$35))</f>
        <v/>
      </c>
      <c r="P2192" s="54">
        <f>IF($B2192=0,NA(),IF(Inputs!$B$25&lt;&gt;"Yes",NA(),Inputs!$D$25*Inputs!$C$35))</f>
        <v/>
      </c>
      <c r="Q2192" s="54">
        <f>IF($B2192=0,NA(),IF(Inputs!$B$26&lt;&gt;"Yes",NA(),Inputs!$D$26*Inputs!$C$35))</f>
        <v/>
      </c>
      <c r="R2192" s="54">
        <f>IF($B2192=0,NA(),IF(Inputs!$B$27&lt;&gt;"Yes",NA(),Inputs!$D$27*Inputs!$C$35))</f>
        <v/>
      </c>
      <c r="S2192" s="54">
        <f>IF($B2192=0,NA(),IF(Inputs!$B$28&lt;&gt;"Yes",NA(),Inputs!$D$28*Inputs!$C$35))</f>
        <v/>
      </c>
      <c r="T2192" s="54">
        <f>IF($B2192=0,NA(),IF(Inputs!$B$29&lt;&gt;"Yes",NA(),Inputs!$D$29*Inputs!$C$35))</f>
        <v/>
      </c>
      <c r="AD2192">
        <f>IF($B2192=0,0,IF(Inputs!$B$6="",0,COUNTIFS(Data!$A$10:$A$3209,"&gt;="&amp;$A2192,Data!$A$10:$A$3209,"&lt;"&amp;$A2192+1)))</f>
        <v/>
      </c>
      <c r="AE2192">
        <f>IF($B2192=0,0,IF(Inputs!$B$7="",0,COUNTIFS(Data!$E$10:$E$3209,"&gt;="&amp;$A2192,Data!$E$10:$E$3209,"&lt;"&amp;$A2192+1)))</f>
        <v/>
      </c>
      <c r="AF2192">
        <f>IF($B2192=0,0,IF(Inputs!$B$8="",0,COUNTIFS(Data!$I$10:$I$3209,"&gt;="&amp;$A2192,Data!$I$10:$I$3209,"&lt;"&amp;$A2192+1)))</f>
        <v/>
      </c>
      <c r="AG2192">
        <f>IF($B2192=0,0,IF(Inputs!$B$9="",0,COUNTIFS(Data!$M$10:$M$3209,"&gt;="&amp;$A2192,Data!$M$10:$M$3209,"&lt;"&amp;$A2192+1)))</f>
        <v/>
      </c>
      <c r="AH2192">
        <f>IF($B2192=0,0,IF(Inputs!$B$10="",0,COUNTIFS(Data!$Q$10:$Q$3209,"&gt;="&amp;$A2192,Data!$Q$10:$Q$3209,"&lt;"&amp;$A2192+1)))</f>
        <v/>
      </c>
    </row>
    <row r="2193">
      <c r="A2193" s="55">
        <f>MIN(Inputs!$C$15,$A2192+IF(WEEKDAY($A2192,2)=5,3,1))</f>
        <v/>
      </c>
      <c r="B2193">
        <f>IF($A2193&gt;$A2192,1,0)</f>
        <v/>
      </c>
      <c r="C2193" s="56">
        <f>IF($B2193=0,"",IF(Inputs!$B$6="","",IF($AD2193=0,C2192,SUMIFS(Data!$B$10:$B$3209,Data!$A$10:$A$3209,"&gt;="&amp;$A2193,Data!$A$10:$A$3209,"&lt;"&amp;$A2193+1)/$AD2193)))</f>
        <v/>
      </c>
      <c r="D2193" s="56">
        <f>IF($B2193=0,"",IF(Inputs!$B$7="","",IF($AE2193=0,D2192,SUMIFS(Data!$F$10:$F$3209,Data!$E$10:$E$3209,"&gt;="&amp;$A2193,Data!$E$10:$E$3209,"&lt;"&amp;$A2193+1)/$AE2193)))</f>
        <v/>
      </c>
      <c r="E2193" s="56">
        <f>IF($B2193=0,"",IF(Inputs!$B$8="","",IF($AF2193=0,E2192,SUMIFS(Data!$J$10:$J$3209,Data!$I$10:$I$3209,"&gt;="&amp;$A2193,Data!$I$10:$I$3209,"&lt;"&amp;$A2193+1)/$AF2193)))</f>
        <v/>
      </c>
      <c r="F2193" s="56">
        <f>IF($B2193=0,"",IF(Inputs!$B$9="","",IF($AG2193=0,F2192,SUMIFS(Data!$N$10:$N$3209,Data!$M$10:$M$3209,"&gt;="&amp;$A2193,Data!$M$10:$M$3209,"&lt;"&amp;$A2193+1)/$AG2193)))</f>
        <v/>
      </c>
      <c r="G2193" s="56">
        <f>IF($B2193=0,"",IF(Inputs!$B$10="","",IF($AH2193=0,G2192,SUMIFS(Data!$R$10:$R$3209,Data!$Q$10:$Q$3209,"&gt;="&amp;$A2193,Data!$Q$10:$Q$3209,"&lt;"&amp;$A2193+1)/$AH2193)))</f>
        <v/>
      </c>
      <c r="I2193" s="54">
        <f>IF($B2193=0,NA(),IF($C2193="",NA(),IF(C$8="",NA(),IF(N(C$8)=0,NA(),IF(Inputs!$C$17="Rebased to 100",$C2193/C$8*100,$C2193)))))</f>
        <v/>
      </c>
      <c r="J2193" s="54">
        <f>IF($B2193=0,NA(),IF($D2193="",NA(),IF(D$8="",NA(),IF(N(D$8)=0,NA(),IF(Inputs!$C$17="Rebased to 100",$D2193/D$8*100,$D2193)))))</f>
        <v/>
      </c>
      <c r="K2193" s="54">
        <f>IF($B2193=0,NA(),IF($E2193="",NA(),IF(E$8="",NA(),IF(N(E$8)=0,NA(),IF(Inputs!$C$17="Rebased to 100",$E2193/E$8*100,$E2193)))))</f>
        <v/>
      </c>
      <c r="L2193" s="54">
        <f>IF($B2193=0,NA(),IF($F2193="",NA(),IF(F$8="",NA(),IF(N(F$8)=0,NA(),IF(Inputs!$C$17="Rebased to 100",$F2193/F$8*100,$F2193)))))</f>
        <v/>
      </c>
      <c r="M2193" s="54">
        <f>IF($B2193=0,NA(),IF($G2193="",NA(),IF(G$8="",NA(),IF(N(G$8)=0,NA(),IF(Inputs!$C$17="Rebased to 100",$G2193/G$8*100,$G2193)))))</f>
        <v/>
      </c>
      <c r="N2193" s="54">
        <f>IF($B2193=0,NA(),IF(Inputs!$C$18&lt;&gt;"Yes",NA(),IF(COUNT(I2193,J2193,K2193,L2193,M2193)=0,NA(),MIN(I2193,J2193,K2193,L2193,M2193))))</f>
        <v/>
      </c>
      <c r="O2193" s="54">
        <f>IF($B2193=0,NA(),IF(Inputs!$B$24&lt;&gt;"Yes",NA(),Inputs!$D$24*Inputs!$C$35))</f>
        <v/>
      </c>
      <c r="P2193" s="54">
        <f>IF($B2193=0,NA(),IF(Inputs!$B$25&lt;&gt;"Yes",NA(),Inputs!$D$25*Inputs!$C$35))</f>
        <v/>
      </c>
      <c r="Q2193" s="54">
        <f>IF($B2193=0,NA(),IF(Inputs!$B$26&lt;&gt;"Yes",NA(),Inputs!$D$26*Inputs!$C$35))</f>
        <v/>
      </c>
      <c r="R2193" s="54">
        <f>IF($B2193=0,NA(),IF(Inputs!$B$27&lt;&gt;"Yes",NA(),Inputs!$D$27*Inputs!$C$35))</f>
        <v/>
      </c>
      <c r="S2193" s="54">
        <f>IF($B2193=0,NA(),IF(Inputs!$B$28&lt;&gt;"Yes",NA(),Inputs!$D$28*Inputs!$C$35))</f>
        <v/>
      </c>
      <c r="T2193" s="54">
        <f>IF($B2193=0,NA(),IF(Inputs!$B$29&lt;&gt;"Yes",NA(),Inputs!$D$29*Inputs!$C$35))</f>
        <v/>
      </c>
      <c r="AD2193">
        <f>IF($B2193=0,0,IF(Inputs!$B$6="",0,COUNTIFS(Data!$A$10:$A$3209,"&gt;="&amp;$A2193,Data!$A$10:$A$3209,"&lt;"&amp;$A2193+1)))</f>
        <v/>
      </c>
      <c r="AE2193">
        <f>IF($B2193=0,0,IF(Inputs!$B$7="",0,COUNTIFS(Data!$E$10:$E$3209,"&gt;="&amp;$A2193,Data!$E$10:$E$3209,"&lt;"&amp;$A2193+1)))</f>
        <v/>
      </c>
      <c r="AF2193">
        <f>IF($B2193=0,0,IF(Inputs!$B$8="",0,COUNTIFS(Data!$I$10:$I$3209,"&gt;="&amp;$A2193,Data!$I$10:$I$3209,"&lt;"&amp;$A2193+1)))</f>
        <v/>
      </c>
      <c r="AG2193">
        <f>IF($B2193=0,0,IF(Inputs!$B$9="",0,COUNTIFS(Data!$M$10:$M$3209,"&gt;="&amp;$A2193,Data!$M$10:$M$3209,"&lt;"&amp;$A2193+1)))</f>
        <v/>
      </c>
      <c r="AH2193">
        <f>IF($B2193=0,0,IF(Inputs!$B$10="",0,COUNTIFS(Data!$Q$10:$Q$3209,"&gt;="&amp;$A2193,Data!$Q$10:$Q$3209,"&lt;"&amp;$A2193+1)))</f>
        <v/>
      </c>
    </row>
    <row r="2194">
      <c r="A2194" s="55">
        <f>MIN(Inputs!$C$15,$A2193+IF(WEEKDAY($A2193,2)=5,3,1))</f>
        <v/>
      </c>
      <c r="B2194">
        <f>IF($A2194&gt;$A2193,1,0)</f>
        <v/>
      </c>
      <c r="C2194" s="56">
        <f>IF($B2194=0,"",IF(Inputs!$B$6="","",IF($AD2194=0,C2193,SUMIFS(Data!$B$10:$B$3209,Data!$A$10:$A$3209,"&gt;="&amp;$A2194,Data!$A$10:$A$3209,"&lt;"&amp;$A2194+1)/$AD2194)))</f>
        <v/>
      </c>
      <c r="D2194" s="56">
        <f>IF($B2194=0,"",IF(Inputs!$B$7="","",IF($AE2194=0,D2193,SUMIFS(Data!$F$10:$F$3209,Data!$E$10:$E$3209,"&gt;="&amp;$A2194,Data!$E$10:$E$3209,"&lt;"&amp;$A2194+1)/$AE2194)))</f>
        <v/>
      </c>
      <c r="E2194" s="56">
        <f>IF($B2194=0,"",IF(Inputs!$B$8="","",IF($AF2194=0,E2193,SUMIFS(Data!$J$10:$J$3209,Data!$I$10:$I$3209,"&gt;="&amp;$A2194,Data!$I$10:$I$3209,"&lt;"&amp;$A2194+1)/$AF2194)))</f>
        <v/>
      </c>
      <c r="F2194" s="56">
        <f>IF($B2194=0,"",IF(Inputs!$B$9="","",IF($AG2194=0,F2193,SUMIFS(Data!$N$10:$N$3209,Data!$M$10:$M$3209,"&gt;="&amp;$A2194,Data!$M$10:$M$3209,"&lt;"&amp;$A2194+1)/$AG2194)))</f>
        <v/>
      </c>
      <c r="G2194" s="56">
        <f>IF($B2194=0,"",IF(Inputs!$B$10="","",IF($AH2194=0,G2193,SUMIFS(Data!$R$10:$R$3209,Data!$Q$10:$Q$3209,"&gt;="&amp;$A2194,Data!$Q$10:$Q$3209,"&lt;"&amp;$A2194+1)/$AH2194)))</f>
        <v/>
      </c>
      <c r="I2194" s="54">
        <f>IF($B2194=0,NA(),IF($C2194="",NA(),IF(C$8="",NA(),IF(N(C$8)=0,NA(),IF(Inputs!$C$17="Rebased to 100",$C2194/C$8*100,$C2194)))))</f>
        <v/>
      </c>
      <c r="J2194" s="54">
        <f>IF($B2194=0,NA(),IF($D2194="",NA(),IF(D$8="",NA(),IF(N(D$8)=0,NA(),IF(Inputs!$C$17="Rebased to 100",$D2194/D$8*100,$D2194)))))</f>
        <v/>
      </c>
      <c r="K2194" s="54">
        <f>IF($B2194=0,NA(),IF($E2194="",NA(),IF(E$8="",NA(),IF(N(E$8)=0,NA(),IF(Inputs!$C$17="Rebased to 100",$E2194/E$8*100,$E2194)))))</f>
        <v/>
      </c>
      <c r="L2194" s="54">
        <f>IF($B2194=0,NA(),IF($F2194="",NA(),IF(F$8="",NA(),IF(N(F$8)=0,NA(),IF(Inputs!$C$17="Rebased to 100",$F2194/F$8*100,$F2194)))))</f>
        <v/>
      </c>
      <c r="M2194" s="54">
        <f>IF($B2194=0,NA(),IF($G2194="",NA(),IF(G$8="",NA(),IF(N(G$8)=0,NA(),IF(Inputs!$C$17="Rebased to 100",$G2194/G$8*100,$G2194)))))</f>
        <v/>
      </c>
      <c r="N2194" s="54">
        <f>IF($B2194=0,NA(),IF(Inputs!$C$18&lt;&gt;"Yes",NA(),IF(COUNT(I2194,J2194,K2194,L2194,M2194)=0,NA(),MIN(I2194,J2194,K2194,L2194,M2194))))</f>
        <v/>
      </c>
      <c r="O2194" s="54">
        <f>IF($B2194=0,NA(),IF(Inputs!$B$24&lt;&gt;"Yes",NA(),Inputs!$D$24*Inputs!$C$35))</f>
        <v/>
      </c>
      <c r="P2194" s="54">
        <f>IF($B2194=0,NA(),IF(Inputs!$B$25&lt;&gt;"Yes",NA(),Inputs!$D$25*Inputs!$C$35))</f>
        <v/>
      </c>
      <c r="Q2194" s="54">
        <f>IF($B2194=0,NA(),IF(Inputs!$B$26&lt;&gt;"Yes",NA(),Inputs!$D$26*Inputs!$C$35))</f>
        <v/>
      </c>
      <c r="R2194" s="54">
        <f>IF($B2194=0,NA(),IF(Inputs!$B$27&lt;&gt;"Yes",NA(),Inputs!$D$27*Inputs!$C$35))</f>
        <v/>
      </c>
      <c r="S2194" s="54">
        <f>IF($B2194=0,NA(),IF(Inputs!$B$28&lt;&gt;"Yes",NA(),Inputs!$D$28*Inputs!$C$35))</f>
        <v/>
      </c>
      <c r="T2194" s="54">
        <f>IF($B2194=0,NA(),IF(Inputs!$B$29&lt;&gt;"Yes",NA(),Inputs!$D$29*Inputs!$C$35))</f>
        <v/>
      </c>
      <c r="AD2194">
        <f>IF($B2194=0,0,IF(Inputs!$B$6="",0,COUNTIFS(Data!$A$10:$A$3209,"&gt;="&amp;$A2194,Data!$A$10:$A$3209,"&lt;"&amp;$A2194+1)))</f>
        <v/>
      </c>
      <c r="AE2194">
        <f>IF($B2194=0,0,IF(Inputs!$B$7="",0,COUNTIFS(Data!$E$10:$E$3209,"&gt;="&amp;$A2194,Data!$E$10:$E$3209,"&lt;"&amp;$A2194+1)))</f>
        <v/>
      </c>
      <c r="AF2194">
        <f>IF($B2194=0,0,IF(Inputs!$B$8="",0,COUNTIFS(Data!$I$10:$I$3209,"&gt;="&amp;$A2194,Data!$I$10:$I$3209,"&lt;"&amp;$A2194+1)))</f>
        <v/>
      </c>
      <c r="AG2194">
        <f>IF($B2194=0,0,IF(Inputs!$B$9="",0,COUNTIFS(Data!$M$10:$M$3209,"&gt;="&amp;$A2194,Data!$M$10:$M$3209,"&lt;"&amp;$A2194+1)))</f>
        <v/>
      </c>
      <c r="AH2194">
        <f>IF($B2194=0,0,IF(Inputs!$B$10="",0,COUNTIFS(Data!$Q$10:$Q$3209,"&gt;="&amp;$A2194,Data!$Q$10:$Q$3209,"&lt;"&amp;$A2194+1)))</f>
        <v/>
      </c>
    </row>
    <row r="2195">
      <c r="A2195" s="55">
        <f>MIN(Inputs!$C$15,$A2194+IF(WEEKDAY($A2194,2)=5,3,1))</f>
        <v/>
      </c>
      <c r="B2195">
        <f>IF($A2195&gt;$A2194,1,0)</f>
        <v/>
      </c>
      <c r="C2195" s="56">
        <f>IF($B2195=0,"",IF(Inputs!$B$6="","",IF($AD2195=0,C2194,SUMIFS(Data!$B$10:$B$3209,Data!$A$10:$A$3209,"&gt;="&amp;$A2195,Data!$A$10:$A$3209,"&lt;"&amp;$A2195+1)/$AD2195)))</f>
        <v/>
      </c>
      <c r="D2195" s="56">
        <f>IF($B2195=0,"",IF(Inputs!$B$7="","",IF($AE2195=0,D2194,SUMIFS(Data!$F$10:$F$3209,Data!$E$10:$E$3209,"&gt;="&amp;$A2195,Data!$E$10:$E$3209,"&lt;"&amp;$A2195+1)/$AE2195)))</f>
        <v/>
      </c>
      <c r="E2195" s="56">
        <f>IF($B2195=0,"",IF(Inputs!$B$8="","",IF($AF2195=0,E2194,SUMIFS(Data!$J$10:$J$3209,Data!$I$10:$I$3209,"&gt;="&amp;$A2195,Data!$I$10:$I$3209,"&lt;"&amp;$A2195+1)/$AF2195)))</f>
        <v/>
      </c>
      <c r="F2195" s="56">
        <f>IF($B2195=0,"",IF(Inputs!$B$9="","",IF($AG2195=0,F2194,SUMIFS(Data!$N$10:$N$3209,Data!$M$10:$M$3209,"&gt;="&amp;$A2195,Data!$M$10:$M$3209,"&lt;"&amp;$A2195+1)/$AG2195)))</f>
        <v/>
      </c>
      <c r="G2195" s="56">
        <f>IF($B2195=0,"",IF(Inputs!$B$10="","",IF($AH2195=0,G2194,SUMIFS(Data!$R$10:$R$3209,Data!$Q$10:$Q$3209,"&gt;="&amp;$A2195,Data!$Q$10:$Q$3209,"&lt;"&amp;$A2195+1)/$AH2195)))</f>
        <v/>
      </c>
      <c r="I2195" s="54">
        <f>IF($B2195=0,NA(),IF($C2195="",NA(),IF(C$8="",NA(),IF(N(C$8)=0,NA(),IF(Inputs!$C$17="Rebased to 100",$C2195/C$8*100,$C2195)))))</f>
        <v/>
      </c>
      <c r="J2195" s="54">
        <f>IF($B2195=0,NA(),IF($D2195="",NA(),IF(D$8="",NA(),IF(N(D$8)=0,NA(),IF(Inputs!$C$17="Rebased to 100",$D2195/D$8*100,$D2195)))))</f>
        <v/>
      </c>
      <c r="K2195" s="54">
        <f>IF($B2195=0,NA(),IF($E2195="",NA(),IF(E$8="",NA(),IF(N(E$8)=0,NA(),IF(Inputs!$C$17="Rebased to 100",$E2195/E$8*100,$E2195)))))</f>
        <v/>
      </c>
      <c r="L2195" s="54">
        <f>IF($B2195=0,NA(),IF($F2195="",NA(),IF(F$8="",NA(),IF(N(F$8)=0,NA(),IF(Inputs!$C$17="Rebased to 100",$F2195/F$8*100,$F2195)))))</f>
        <v/>
      </c>
      <c r="M2195" s="54">
        <f>IF($B2195=0,NA(),IF($G2195="",NA(),IF(G$8="",NA(),IF(N(G$8)=0,NA(),IF(Inputs!$C$17="Rebased to 100",$G2195/G$8*100,$G2195)))))</f>
        <v/>
      </c>
      <c r="N2195" s="54">
        <f>IF($B2195=0,NA(),IF(Inputs!$C$18&lt;&gt;"Yes",NA(),IF(COUNT(I2195,J2195,K2195,L2195,M2195)=0,NA(),MIN(I2195,J2195,K2195,L2195,M2195))))</f>
        <v/>
      </c>
      <c r="O2195" s="54">
        <f>IF($B2195=0,NA(),IF(Inputs!$B$24&lt;&gt;"Yes",NA(),Inputs!$D$24*Inputs!$C$35))</f>
        <v/>
      </c>
      <c r="P2195" s="54">
        <f>IF($B2195=0,NA(),IF(Inputs!$B$25&lt;&gt;"Yes",NA(),Inputs!$D$25*Inputs!$C$35))</f>
        <v/>
      </c>
      <c r="Q2195" s="54">
        <f>IF($B2195=0,NA(),IF(Inputs!$B$26&lt;&gt;"Yes",NA(),Inputs!$D$26*Inputs!$C$35))</f>
        <v/>
      </c>
      <c r="R2195" s="54">
        <f>IF($B2195=0,NA(),IF(Inputs!$B$27&lt;&gt;"Yes",NA(),Inputs!$D$27*Inputs!$C$35))</f>
        <v/>
      </c>
      <c r="S2195" s="54">
        <f>IF($B2195=0,NA(),IF(Inputs!$B$28&lt;&gt;"Yes",NA(),Inputs!$D$28*Inputs!$C$35))</f>
        <v/>
      </c>
      <c r="T2195" s="54">
        <f>IF($B2195=0,NA(),IF(Inputs!$B$29&lt;&gt;"Yes",NA(),Inputs!$D$29*Inputs!$C$35))</f>
        <v/>
      </c>
      <c r="AD2195">
        <f>IF($B2195=0,0,IF(Inputs!$B$6="",0,COUNTIFS(Data!$A$10:$A$3209,"&gt;="&amp;$A2195,Data!$A$10:$A$3209,"&lt;"&amp;$A2195+1)))</f>
        <v/>
      </c>
      <c r="AE2195">
        <f>IF($B2195=0,0,IF(Inputs!$B$7="",0,COUNTIFS(Data!$E$10:$E$3209,"&gt;="&amp;$A2195,Data!$E$10:$E$3209,"&lt;"&amp;$A2195+1)))</f>
        <v/>
      </c>
      <c r="AF2195">
        <f>IF($B2195=0,0,IF(Inputs!$B$8="",0,COUNTIFS(Data!$I$10:$I$3209,"&gt;="&amp;$A2195,Data!$I$10:$I$3209,"&lt;"&amp;$A2195+1)))</f>
        <v/>
      </c>
      <c r="AG2195">
        <f>IF($B2195=0,0,IF(Inputs!$B$9="",0,COUNTIFS(Data!$M$10:$M$3209,"&gt;="&amp;$A2195,Data!$M$10:$M$3209,"&lt;"&amp;$A2195+1)))</f>
        <v/>
      </c>
      <c r="AH2195">
        <f>IF($B2195=0,0,IF(Inputs!$B$10="",0,COUNTIFS(Data!$Q$10:$Q$3209,"&gt;="&amp;$A2195,Data!$Q$10:$Q$3209,"&lt;"&amp;$A2195+1)))</f>
        <v/>
      </c>
    </row>
    <row r="2196">
      <c r="A2196" s="55">
        <f>MIN(Inputs!$C$15,$A2195+IF(WEEKDAY($A2195,2)=5,3,1))</f>
        <v/>
      </c>
      <c r="B2196">
        <f>IF($A2196&gt;$A2195,1,0)</f>
        <v/>
      </c>
      <c r="C2196" s="56">
        <f>IF($B2196=0,"",IF(Inputs!$B$6="","",IF($AD2196=0,C2195,SUMIFS(Data!$B$10:$B$3209,Data!$A$10:$A$3209,"&gt;="&amp;$A2196,Data!$A$10:$A$3209,"&lt;"&amp;$A2196+1)/$AD2196)))</f>
        <v/>
      </c>
      <c r="D2196" s="56">
        <f>IF($B2196=0,"",IF(Inputs!$B$7="","",IF($AE2196=0,D2195,SUMIFS(Data!$F$10:$F$3209,Data!$E$10:$E$3209,"&gt;="&amp;$A2196,Data!$E$10:$E$3209,"&lt;"&amp;$A2196+1)/$AE2196)))</f>
        <v/>
      </c>
      <c r="E2196" s="56">
        <f>IF($B2196=0,"",IF(Inputs!$B$8="","",IF($AF2196=0,E2195,SUMIFS(Data!$J$10:$J$3209,Data!$I$10:$I$3209,"&gt;="&amp;$A2196,Data!$I$10:$I$3209,"&lt;"&amp;$A2196+1)/$AF2196)))</f>
        <v/>
      </c>
      <c r="F2196" s="56">
        <f>IF($B2196=0,"",IF(Inputs!$B$9="","",IF($AG2196=0,F2195,SUMIFS(Data!$N$10:$N$3209,Data!$M$10:$M$3209,"&gt;="&amp;$A2196,Data!$M$10:$M$3209,"&lt;"&amp;$A2196+1)/$AG2196)))</f>
        <v/>
      </c>
      <c r="G2196" s="56">
        <f>IF($B2196=0,"",IF(Inputs!$B$10="","",IF($AH2196=0,G2195,SUMIFS(Data!$R$10:$R$3209,Data!$Q$10:$Q$3209,"&gt;="&amp;$A2196,Data!$Q$10:$Q$3209,"&lt;"&amp;$A2196+1)/$AH2196)))</f>
        <v/>
      </c>
      <c r="I2196" s="54">
        <f>IF($B2196=0,NA(),IF($C2196="",NA(),IF(C$8="",NA(),IF(N(C$8)=0,NA(),IF(Inputs!$C$17="Rebased to 100",$C2196/C$8*100,$C2196)))))</f>
        <v/>
      </c>
      <c r="J2196" s="54">
        <f>IF($B2196=0,NA(),IF($D2196="",NA(),IF(D$8="",NA(),IF(N(D$8)=0,NA(),IF(Inputs!$C$17="Rebased to 100",$D2196/D$8*100,$D2196)))))</f>
        <v/>
      </c>
      <c r="K2196" s="54">
        <f>IF($B2196=0,NA(),IF($E2196="",NA(),IF(E$8="",NA(),IF(N(E$8)=0,NA(),IF(Inputs!$C$17="Rebased to 100",$E2196/E$8*100,$E2196)))))</f>
        <v/>
      </c>
      <c r="L2196" s="54">
        <f>IF($B2196=0,NA(),IF($F2196="",NA(),IF(F$8="",NA(),IF(N(F$8)=0,NA(),IF(Inputs!$C$17="Rebased to 100",$F2196/F$8*100,$F2196)))))</f>
        <v/>
      </c>
      <c r="M2196" s="54">
        <f>IF($B2196=0,NA(),IF($G2196="",NA(),IF(G$8="",NA(),IF(N(G$8)=0,NA(),IF(Inputs!$C$17="Rebased to 100",$G2196/G$8*100,$G2196)))))</f>
        <v/>
      </c>
      <c r="N2196" s="54">
        <f>IF($B2196=0,NA(),IF(Inputs!$C$18&lt;&gt;"Yes",NA(),IF(COUNT(I2196,J2196,K2196,L2196,M2196)=0,NA(),MIN(I2196,J2196,K2196,L2196,M2196))))</f>
        <v/>
      </c>
      <c r="O2196" s="54">
        <f>IF($B2196=0,NA(),IF(Inputs!$B$24&lt;&gt;"Yes",NA(),Inputs!$D$24*Inputs!$C$35))</f>
        <v/>
      </c>
      <c r="P2196" s="54">
        <f>IF($B2196=0,NA(),IF(Inputs!$B$25&lt;&gt;"Yes",NA(),Inputs!$D$25*Inputs!$C$35))</f>
        <v/>
      </c>
      <c r="Q2196" s="54">
        <f>IF($B2196=0,NA(),IF(Inputs!$B$26&lt;&gt;"Yes",NA(),Inputs!$D$26*Inputs!$C$35))</f>
        <v/>
      </c>
      <c r="R2196" s="54">
        <f>IF($B2196=0,NA(),IF(Inputs!$B$27&lt;&gt;"Yes",NA(),Inputs!$D$27*Inputs!$C$35))</f>
        <v/>
      </c>
      <c r="S2196" s="54">
        <f>IF($B2196=0,NA(),IF(Inputs!$B$28&lt;&gt;"Yes",NA(),Inputs!$D$28*Inputs!$C$35))</f>
        <v/>
      </c>
      <c r="T2196" s="54">
        <f>IF($B2196=0,NA(),IF(Inputs!$B$29&lt;&gt;"Yes",NA(),Inputs!$D$29*Inputs!$C$35))</f>
        <v/>
      </c>
      <c r="AD2196">
        <f>IF($B2196=0,0,IF(Inputs!$B$6="",0,COUNTIFS(Data!$A$10:$A$3209,"&gt;="&amp;$A2196,Data!$A$10:$A$3209,"&lt;"&amp;$A2196+1)))</f>
        <v/>
      </c>
      <c r="AE2196">
        <f>IF($B2196=0,0,IF(Inputs!$B$7="",0,COUNTIFS(Data!$E$10:$E$3209,"&gt;="&amp;$A2196,Data!$E$10:$E$3209,"&lt;"&amp;$A2196+1)))</f>
        <v/>
      </c>
      <c r="AF2196">
        <f>IF($B2196=0,0,IF(Inputs!$B$8="",0,COUNTIFS(Data!$I$10:$I$3209,"&gt;="&amp;$A2196,Data!$I$10:$I$3209,"&lt;"&amp;$A2196+1)))</f>
        <v/>
      </c>
      <c r="AG2196">
        <f>IF($B2196=0,0,IF(Inputs!$B$9="",0,COUNTIFS(Data!$M$10:$M$3209,"&gt;="&amp;$A2196,Data!$M$10:$M$3209,"&lt;"&amp;$A2196+1)))</f>
        <v/>
      </c>
      <c r="AH2196">
        <f>IF($B2196=0,0,IF(Inputs!$B$10="",0,COUNTIFS(Data!$Q$10:$Q$3209,"&gt;="&amp;$A2196,Data!$Q$10:$Q$3209,"&lt;"&amp;$A2196+1)))</f>
        <v/>
      </c>
    </row>
    <row r="2197">
      <c r="A2197" s="55">
        <f>MIN(Inputs!$C$15,$A2196+IF(WEEKDAY($A2196,2)=5,3,1))</f>
        <v/>
      </c>
      <c r="B2197">
        <f>IF($A2197&gt;$A2196,1,0)</f>
        <v/>
      </c>
      <c r="C2197" s="56">
        <f>IF($B2197=0,"",IF(Inputs!$B$6="","",IF($AD2197=0,C2196,SUMIFS(Data!$B$10:$B$3209,Data!$A$10:$A$3209,"&gt;="&amp;$A2197,Data!$A$10:$A$3209,"&lt;"&amp;$A2197+1)/$AD2197)))</f>
        <v/>
      </c>
      <c r="D2197" s="56">
        <f>IF($B2197=0,"",IF(Inputs!$B$7="","",IF($AE2197=0,D2196,SUMIFS(Data!$F$10:$F$3209,Data!$E$10:$E$3209,"&gt;="&amp;$A2197,Data!$E$10:$E$3209,"&lt;"&amp;$A2197+1)/$AE2197)))</f>
        <v/>
      </c>
      <c r="E2197" s="56">
        <f>IF($B2197=0,"",IF(Inputs!$B$8="","",IF($AF2197=0,E2196,SUMIFS(Data!$J$10:$J$3209,Data!$I$10:$I$3209,"&gt;="&amp;$A2197,Data!$I$10:$I$3209,"&lt;"&amp;$A2197+1)/$AF2197)))</f>
        <v/>
      </c>
      <c r="F2197" s="56">
        <f>IF($B2197=0,"",IF(Inputs!$B$9="","",IF($AG2197=0,F2196,SUMIFS(Data!$N$10:$N$3209,Data!$M$10:$M$3209,"&gt;="&amp;$A2197,Data!$M$10:$M$3209,"&lt;"&amp;$A2197+1)/$AG2197)))</f>
        <v/>
      </c>
      <c r="G2197" s="56">
        <f>IF($B2197=0,"",IF(Inputs!$B$10="","",IF($AH2197=0,G2196,SUMIFS(Data!$R$10:$R$3209,Data!$Q$10:$Q$3209,"&gt;="&amp;$A2197,Data!$Q$10:$Q$3209,"&lt;"&amp;$A2197+1)/$AH2197)))</f>
        <v/>
      </c>
      <c r="I2197" s="54">
        <f>IF($B2197=0,NA(),IF($C2197="",NA(),IF(C$8="",NA(),IF(N(C$8)=0,NA(),IF(Inputs!$C$17="Rebased to 100",$C2197/C$8*100,$C2197)))))</f>
        <v/>
      </c>
      <c r="J2197" s="54">
        <f>IF($B2197=0,NA(),IF($D2197="",NA(),IF(D$8="",NA(),IF(N(D$8)=0,NA(),IF(Inputs!$C$17="Rebased to 100",$D2197/D$8*100,$D2197)))))</f>
        <v/>
      </c>
      <c r="K2197" s="54">
        <f>IF($B2197=0,NA(),IF($E2197="",NA(),IF(E$8="",NA(),IF(N(E$8)=0,NA(),IF(Inputs!$C$17="Rebased to 100",$E2197/E$8*100,$E2197)))))</f>
        <v/>
      </c>
      <c r="L2197" s="54">
        <f>IF($B2197=0,NA(),IF($F2197="",NA(),IF(F$8="",NA(),IF(N(F$8)=0,NA(),IF(Inputs!$C$17="Rebased to 100",$F2197/F$8*100,$F2197)))))</f>
        <v/>
      </c>
      <c r="M2197" s="54">
        <f>IF($B2197=0,NA(),IF($G2197="",NA(),IF(G$8="",NA(),IF(N(G$8)=0,NA(),IF(Inputs!$C$17="Rebased to 100",$G2197/G$8*100,$G2197)))))</f>
        <v/>
      </c>
      <c r="N2197" s="54">
        <f>IF($B2197=0,NA(),IF(Inputs!$C$18&lt;&gt;"Yes",NA(),IF(COUNT(I2197,J2197,K2197,L2197,M2197)=0,NA(),MIN(I2197,J2197,K2197,L2197,M2197))))</f>
        <v/>
      </c>
      <c r="O2197" s="54">
        <f>IF($B2197=0,NA(),IF(Inputs!$B$24&lt;&gt;"Yes",NA(),Inputs!$D$24*Inputs!$C$35))</f>
        <v/>
      </c>
      <c r="P2197" s="54">
        <f>IF($B2197=0,NA(),IF(Inputs!$B$25&lt;&gt;"Yes",NA(),Inputs!$D$25*Inputs!$C$35))</f>
        <v/>
      </c>
      <c r="Q2197" s="54">
        <f>IF($B2197=0,NA(),IF(Inputs!$B$26&lt;&gt;"Yes",NA(),Inputs!$D$26*Inputs!$C$35))</f>
        <v/>
      </c>
      <c r="R2197" s="54">
        <f>IF($B2197=0,NA(),IF(Inputs!$B$27&lt;&gt;"Yes",NA(),Inputs!$D$27*Inputs!$C$35))</f>
        <v/>
      </c>
      <c r="S2197" s="54">
        <f>IF($B2197=0,NA(),IF(Inputs!$B$28&lt;&gt;"Yes",NA(),Inputs!$D$28*Inputs!$C$35))</f>
        <v/>
      </c>
      <c r="T2197" s="54">
        <f>IF($B2197=0,NA(),IF(Inputs!$B$29&lt;&gt;"Yes",NA(),Inputs!$D$29*Inputs!$C$35))</f>
        <v/>
      </c>
      <c r="AD2197">
        <f>IF($B2197=0,0,IF(Inputs!$B$6="",0,COUNTIFS(Data!$A$10:$A$3209,"&gt;="&amp;$A2197,Data!$A$10:$A$3209,"&lt;"&amp;$A2197+1)))</f>
        <v/>
      </c>
      <c r="AE2197">
        <f>IF($B2197=0,0,IF(Inputs!$B$7="",0,COUNTIFS(Data!$E$10:$E$3209,"&gt;="&amp;$A2197,Data!$E$10:$E$3209,"&lt;"&amp;$A2197+1)))</f>
        <v/>
      </c>
      <c r="AF2197">
        <f>IF($B2197=0,0,IF(Inputs!$B$8="",0,COUNTIFS(Data!$I$10:$I$3209,"&gt;="&amp;$A2197,Data!$I$10:$I$3209,"&lt;"&amp;$A2197+1)))</f>
        <v/>
      </c>
      <c r="AG2197">
        <f>IF($B2197=0,0,IF(Inputs!$B$9="",0,COUNTIFS(Data!$M$10:$M$3209,"&gt;="&amp;$A2197,Data!$M$10:$M$3209,"&lt;"&amp;$A2197+1)))</f>
        <v/>
      </c>
      <c r="AH2197">
        <f>IF($B2197=0,0,IF(Inputs!$B$10="",0,COUNTIFS(Data!$Q$10:$Q$3209,"&gt;="&amp;$A2197,Data!$Q$10:$Q$3209,"&lt;"&amp;$A2197+1)))</f>
        <v/>
      </c>
    </row>
    <row r="2198">
      <c r="A2198" s="55">
        <f>MIN(Inputs!$C$15,$A2197+IF(WEEKDAY($A2197,2)=5,3,1))</f>
        <v/>
      </c>
      <c r="B2198">
        <f>IF($A2198&gt;$A2197,1,0)</f>
        <v/>
      </c>
      <c r="C2198" s="56">
        <f>IF($B2198=0,"",IF(Inputs!$B$6="","",IF($AD2198=0,C2197,SUMIFS(Data!$B$10:$B$3209,Data!$A$10:$A$3209,"&gt;="&amp;$A2198,Data!$A$10:$A$3209,"&lt;"&amp;$A2198+1)/$AD2198)))</f>
        <v/>
      </c>
      <c r="D2198" s="56">
        <f>IF($B2198=0,"",IF(Inputs!$B$7="","",IF($AE2198=0,D2197,SUMIFS(Data!$F$10:$F$3209,Data!$E$10:$E$3209,"&gt;="&amp;$A2198,Data!$E$10:$E$3209,"&lt;"&amp;$A2198+1)/$AE2198)))</f>
        <v/>
      </c>
      <c r="E2198" s="56">
        <f>IF($B2198=0,"",IF(Inputs!$B$8="","",IF($AF2198=0,E2197,SUMIFS(Data!$J$10:$J$3209,Data!$I$10:$I$3209,"&gt;="&amp;$A2198,Data!$I$10:$I$3209,"&lt;"&amp;$A2198+1)/$AF2198)))</f>
        <v/>
      </c>
      <c r="F2198" s="56">
        <f>IF($B2198=0,"",IF(Inputs!$B$9="","",IF($AG2198=0,F2197,SUMIFS(Data!$N$10:$N$3209,Data!$M$10:$M$3209,"&gt;="&amp;$A2198,Data!$M$10:$M$3209,"&lt;"&amp;$A2198+1)/$AG2198)))</f>
        <v/>
      </c>
      <c r="G2198" s="56">
        <f>IF($B2198=0,"",IF(Inputs!$B$10="","",IF($AH2198=0,G2197,SUMIFS(Data!$R$10:$R$3209,Data!$Q$10:$Q$3209,"&gt;="&amp;$A2198,Data!$Q$10:$Q$3209,"&lt;"&amp;$A2198+1)/$AH2198)))</f>
        <v/>
      </c>
      <c r="I2198" s="54">
        <f>IF($B2198=0,NA(),IF($C2198="",NA(),IF(C$8="",NA(),IF(N(C$8)=0,NA(),IF(Inputs!$C$17="Rebased to 100",$C2198/C$8*100,$C2198)))))</f>
        <v/>
      </c>
      <c r="J2198" s="54">
        <f>IF($B2198=0,NA(),IF($D2198="",NA(),IF(D$8="",NA(),IF(N(D$8)=0,NA(),IF(Inputs!$C$17="Rebased to 100",$D2198/D$8*100,$D2198)))))</f>
        <v/>
      </c>
      <c r="K2198" s="54">
        <f>IF($B2198=0,NA(),IF($E2198="",NA(),IF(E$8="",NA(),IF(N(E$8)=0,NA(),IF(Inputs!$C$17="Rebased to 100",$E2198/E$8*100,$E2198)))))</f>
        <v/>
      </c>
      <c r="L2198" s="54">
        <f>IF($B2198=0,NA(),IF($F2198="",NA(),IF(F$8="",NA(),IF(N(F$8)=0,NA(),IF(Inputs!$C$17="Rebased to 100",$F2198/F$8*100,$F2198)))))</f>
        <v/>
      </c>
      <c r="M2198" s="54">
        <f>IF($B2198=0,NA(),IF($G2198="",NA(),IF(G$8="",NA(),IF(N(G$8)=0,NA(),IF(Inputs!$C$17="Rebased to 100",$G2198/G$8*100,$G2198)))))</f>
        <v/>
      </c>
      <c r="N2198" s="54">
        <f>IF($B2198=0,NA(),IF(Inputs!$C$18&lt;&gt;"Yes",NA(),IF(COUNT(I2198,J2198,K2198,L2198,M2198)=0,NA(),MIN(I2198,J2198,K2198,L2198,M2198))))</f>
        <v/>
      </c>
      <c r="O2198" s="54">
        <f>IF($B2198=0,NA(),IF(Inputs!$B$24&lt;&gt;"Yes",NA(),Inputs!$D$24*Inputs!$C$35))</f>
        <v/>
      </c>
      <c r="P2198" s="54">
        <f>IF($B2198=0,NA(),IF(Inputs!$B$25&lt;&gt;"Yes",NA(),Inputs!$D$25*Inputs!$C$35))</f>
        <v/>
      </c>
      <c r="Q2198" s="54">
        <f>IF($B2198=0,NA(),IF(Inputs!$B$26&lt;&gt;"Yes",NA(),Inputs!$D$26*Inputs!$C$35))</f>
        <v/>
      </c>
      <c r="R2198" s="54">
        <f>IF($B2198=0,NA(),IF(Inputs!$B$27&lt;&gt;"Yes",NA(),Inputs!$D$27*Inputs!$C$35))</f>
        <v/>
      </c>
      <c r="S2198" s="54">
        <f>IF($B2198=0,NA(),IF(Inputs!$B$28&lt;&gt;"Yes",NA(),Inputs!$D$28*Inputs!$C$35))</f>
        <v/>
      </c>
      <c r="T2198" s="54">
        <f>IF($B2198=0,NA(),IF(Inputs!$B$29&lt;&gt;"Yes",NA(),Inputs!$D$29*Inputs!$C$35))</f>
        <v/>
      </c>
      <c r="AD2198">
        <f>IF($B2198=0,0,IF(Inputs!$B$6="",0,COUNTIFS(Data!$A$10:$A$3209,"&gt;="&amp;$A2198,Data!$A$10:$A$3209,"&lt;"&amp;$A2198+1)))</f>
        <v/>
      </c>
      <c r="AE2198">
        <f>IF($B2198=0,0,IF(Inputs!$B$7="",0,COUNTIFS(Data!$E$10:$E$3209,"&gt;="&amp;$A2198,Data!$E$10:$E$3209,"&lt;"&amp;$A2198+1)))</f>
        <v/>
      </c>
      <c r="AF2198">
        <f>IF($B2198=0,0,IF(Inputs!$B$8="",0,COUNTIFS(Data!$I$10:$I$3209,"&gt;="&amp;$A2198,Data!$I$10:$I$3209,"&lt;"&amp;$A2198+1)))</f>
        <v/>
      </c>
      <c r="AG2198">
        <f>IF($B2198=0,0,IF(Inputs!$B$9="",0,COUNTIFS(Data!$M$10:$M$3209,"&gt;="&amp;$A2198,Data!$M$10:$M$3209,"&lt;"&amp;$A2198+1)))</f>
        <v/>
      </c>
      <c r="AH2198">
        <f>IF($B2198=0,0,IF(Inputs!$B$10="",0,COUNTIFS(Data!$Q$10:$Q$3209,"&gt;="&amp;$A2198,Data!$Q$10:$Q$3209,"&lt;"&amp;$A2198+1)))</f>
        <v/>
      </c>
    </row>
    <row r="2199">
      <c r="A2199" s="55">
        <f>MIN(Inputs!$C$15,$A2198+IF(WEEKDAY($A2198,2)=5,3,1))</f>
        <v/>
      </c>
      <c r="B2199">
        <f>IF($A2199&gt;$A2198,1,0)</f>
        <v/>
      </c>
      <c r="C2199" s="56">
        <f>IF($B2199=0,"",IF(Inputs!$B$6="","",IF($AD2199=0,C2198,SUMIFS(Data!$B$10:$B$3209,Data!$A$10:$A$3209,"&gt;="&amp;$A2199,Data!$A$10:$A$3209,"&lt;"&amp;$A2199+1)/$AD2199)))</f>
        <v/>
      </c>
      <c r="D2199" s="56">
        <f>IF($B2199=0,"",IF(Inputs!$B$7="","",IF($AE2199=0,D2198,SUMIFS(Data!$F$10:$F$3209,Data!$E$10:$E$3209,"&gt;="&amp;$A2199,Data!$E$10:$E$3209,"&lt;"&amp;$A2199+1)/$AE2199)))</f>
        <v/>
      </c>
      <c r="E2199" s="56">
        <f>IF($B2199=0,"",IF(Inputs!$B$8="","",IF($AF2199=0,E2198,SUMIFS(Data!$J$10:$J$3209,Data!$I$10:$I$3209,"&gt;="&amp;$A2199,Data!$I$10:$I$3209,"&lt;"&amp;$A2199+1)/$AF2199)))</f>
        <v/>
      </c>
      <c r="F2199" s="56">
        <f>IF($B2199=0,"",IF(Inputs!$B$9="","",IF($AG2199=0,F2198,SUMIFS(Data!$N$10:$N$3209,Data!$M$10:$M$3209,"&gt;="&amp;$A2199,Data!$M$10:$M$3209,"&lt;"&amp;$A2199+1)/$AG2199)))</f>
        <v/>
      </c>
      <c r="G2199" s="56">
        <f>IF($B2199=0,"",IF(Inputs!$B$10="","",IF($AH2199=0,G2198,SUMIFS(Data!$R$10:$R$3209,Data!$Q$10:$Q$3209,"&gt;="&amp;$A2199,Data!$Q$10:$Q$3209,"&lt;"&amp;$A2199+1)/$AH2199)))</f>
        <v/>
      </c>
      <c r="I2199" s="54">
        <f>IF($B2199=0,NA(),IF($C2199="",NA(),IF(C$8="",NA(),IF(N(C$8)=0,NA(),IF(Inputs!$C$17="Rebased to 100",$C2199/C$8*100,$C2199)))))</f>
        <v/>
      </c>
      <c r="J2199" s="54">
        <f>IF($B2199=0,NA(),IF($D2199="",NA(),IF(D$8="",NA(),IF(N(D$8)=0,NA(),IF(Inputs!$C$17="Rebased to 100",$D2199/D$8*100,$D2199)))))</f>
        <v/>
      </c>
      <c r="K2199" s="54">
        <f>IF($B2199=0,NA(),IF($E2199="",NA(),IF(E$8="",NA(),IF(N(E$8)=0,NA(),IF(Inputs!$C$17="Rebased to 100",$E2199/E$8*100,$E2199)))))</f>
        <v/>
      </c>
      <c r="L2199" s="54">
        <f>IF($B2199=0,NA(),IF($F2199="",NA(),IF(F$8="",NA(),IF(N(F$8)=0,NA(),IF(Inputs!$C$17="Rebased to 100",$F2199/F$8*100,$F2199)))))</f>
        <v/>
      </c>
      <c r="M2199" s="54">
        <f>IF($B2199=0,NA(),IF($G2199="",NA(),IF(G$8="",NA(),IF(N(G$8)=0,NA(),IF(Inputs!$C$17="Rebased to 100",$G2199/G$8*100,$G2199)))))</f>
        <v/>
      </c>
      <c r="N2199" s="54">
        <f>IF($B2199=0,NA(),IF(Inputs!$C$18&lt;&gt;"Yes",NA(),IF(COUNT(I2199,J2199,K2199,L2199,M2199)=0,NA(),MIN(I2199,J2199,K2199,L2199,M2199))))</f>
        <v/>
      </c>
      <c r="O2199" s="54">
        <f>IF($B2199=0,NA(),IF(Inputs!$B$24&lt;&gt;"Yes",NA(),Inputs!$D$24*Inputs!$C$35))</f>
        <v/>
      </c>
      <c r="P2199" s="54">
        <f>IF($B2199=0,NA(),IF(Inputs!$B$25&lt;&gt;"Yes",NA(),Inputs!$D$25*Inputs!$C$35))</f>
        <v/>
      </c>
      <c r="Q2199" s="54">
        <f>IF($B2199=0,NA(),IF(Inputs!$B$26&lt;&gt;"Yes",NA(),Inputs!$D$26*Inputs!$C$35))</f>
        <v/>
      </c>
      <c r="R2199" s="54">
        <f>IF($B2199=0,NA(),IF(Inputs!$B$27&lt;&gt;"Yes",NA(),Inputs!$D$27*Inputs!$C$35))</f>
        <v/>
      </c>
      <c r="S2199" s="54">
        <f>IF($B2199=0,NA(),IF(Inputs!$B$28&lt;&gt;"Yes",NA(),Inputs!$D$28*Inputs!$C$35))</f>
        <v/>
      </c>
      <c r="T2199" s="54">
        <f>IF($B2199=0,NA(),IF(Inputs!$B$29&lt;&gt;"Yes",NA(),Inputs!$D$29*Inputs!$C$35))</f>
        <v/>
      </c>
      <c r="AD2199">
        <f>IF($B2199=0,0,IF(Inputs!$B$6="",0,COUNTIFS(Data!$A$10:$A$3209,"&gt;="&amp;$A2199,Data!$A$10:$A$3209,"&lt;"&amp;$A2199+1)))</f>
        <v/>
      </c>
      <c r="AE2199">
        <f>IF($B2199=0,0,IF(Inputs!$B$7="",0,COUNTIFS(Data!$E$10:$E$3209,"&gt;="&amp;$A2199,Data!$E$10:$E$3209,"&lt;"&amp;$A2199+1)))</f>
        <v/>
      </c>
      <c r="AF2199">
        <f>IF($B2199=0,0,IF(Inputs!$B$8="",0,COUNTIFS(Data!$I$10:$I$3209,"&gt;="&amp;$A2199,Data!$I$10:$I$3209,"&lt;"&amp;$A2199+1)))</f>
        <v/>
      </c>
      <c r="AG2199">
        <f>IF($B2199=0,0,IF(Inputs!$B$9="",0,COUNTIFS(Data!$M$10:$M$3209,"&gt;="&amp;$A2199,Data!$M$10:$M$3209,"&lt;"&amp;$A2199+1)))</f>
        <v/>
      </c>
      <c r="AH2199">
        <f>IF($B2199=0,0,IF(Inputs!$B$10="",0,COUNTIFS(Data!$Q$10:$Q$3209,"&gt;="&amp;$A2199,Data!$Q$10:$Q$3209,"&lt;"&amp;$A2199+1)))</f>
        <v/>
      </c>
    </row>
    <row r="2200">
      <c r="A2200" s="55">
        <f>MIN(Inputs!$C$15,$A2199+IF(WEEKDAY($A2199,2)=5,3,1))</f>
        <v/>
      </c>
      <c r="B2200">
        <f>IF($A2200&gt;$A2199,1,0)</f>
        <v/>
      </c>
      <c r="C2200" s="56">
        <f>IF($B2200=0,"",IF(Inputs!$B$6="","",IF($AD2200=0,C2199,SUMIFS(Data!$B$10:$B$3209,Data!$A$10:$A$3209,"&gt;="&amp;$A2200,Data!$A$10:$A$3209,"&lt;"&amp;$A2200+1)/$AD2200)))</f>
        <v/>
      </c>
      <c r="D2200" s="56">
        <f>IF($B2200=0,"",IF(Inputs!$B$7="","",IF($AE2200=0,D2199,SUMIFS(Data!$F$10:$F$3209,Data!$E$10:$E$3209,"&gt;="&amp;$A2200,Data!$E$10:$E$3209,"&lt;"&amp;$A2200+1)/$AE2200)))</f>
        <v/>
      </c>
      <c r="E2200" s="56">
        <f>IF($B2200=0,"",IF(Inputs!$B$8="","",IF($AF2200=0,E2199,SUMIFS(Data!$J$10:$J$3209,Data!$I$10:$I$3209,"&gt;="&amp;$A2200,Data!$I$10:$I$3209,"&lt;"&amp;$A2200+1)/$AF2200)))</f>
        <v/>
      </c>
      <c r="F2200" s="56">
        <f>IF($B2200=0,"",IF(Inputs!$B$9="","",IF($AG2200=0,F2199,SUMIFS(Data!$N$10:$N$3209,Data!$M$10:$M$3209,"&gt;="&amp;$A2200,Data!$M$10:$M$3209,"&lt;"&amp;$A2200+1)/$AG2200)))</f>
        <v/>
      </c>
      <c r="G2200" s="56">
        <f>IF($B2200=0,"",IF(Inputs!$B$10="","",IF($AH2200=0,G2199,SUMIFS(Data!$R$10:$R$3209,Data!$Q$10:$Q$3209,"&gt;="&amp;$A2200,Data!$Q$10:$Q$3209,"&lt;"&amp;$A2200+1)/$AH2200)))</f>
        <v/>
      </c>
      <c r="I2200" s="54">
        <f>IF($B2200=0,NA(),IF($C2200="",NA(),IF(C$8="",NA(),IF(N(C$8)=0,NA(),IF(Inputs!$C$17="Rebased to 100",$C2200/C$8*100,$C2200)))))</f>
        <v/>
      </c>
      <c r="J2200" s="54">
        <f>IF($B2200=0,NA(),IF($D2200="",NA(),IF(D$8="",NA(),IF(N(D$8)=0,NA(),IF(Inputs!$C$17="Rebased to 100",$D2200/D$8*100,$D2200)))))</f>
        <v/>
      </c>
      <c r="K2200" s="54">
        <f>IF($B2200=0,NA(),IF($E2200="",NA(),IF(E$8="",NA(),IF(N(E$8)=0,NA(),IF(Inputs!$C$17="Rebased to 100",$E2200/E$8*100,$E2200)))))</f>
        <v/>
      </c>
      <c r="L2200" s="54">
        <f>IF($B2200=0,NA(),IF($F2200="",NA(),IF(F$8="",NA(),IF(N(F$8)=0,NA(),IF(Inputs!$C$17="Rebased to 100",$F2200/F$8*100,$F2200)))))</f>
        <v/>
      </c>
      <c r="M2200" s="54">
        <f>IF($B2200=0,NA(),IF($G2200="",NA(),IF(G$8="",NA(),IF(N(G$8)=0,NA(),IF(Inputs!$C$17="Rebased to 100",$G2200/G$8*100,$G2200)))))</f>
        <v/>
      </c>
      <c r="N2200" s="54">
        <f>IF($B2200=0,NA(),IF(Inputs!$C$18&lt;&gt;"Yes",NA(),IF(COUNT(I2200,J2200,K2200,L2200,M2200)=0,NA(),MIN(I2200,J2200,K2200,L2200,M2200))))</f>
        <v/>
      </c>
      <c r="O2200" s="54">
        <f>IF($B2200=0,NA(),IF(Inputs!$B$24&lt;&gt;"Yes",NA(),Inputs!$D$24*Inputs!$C$35))</f>
        <v/>
      </c>
      <c r="P2200" s="54">
        <f>IF($B2200=0,NA(),IF(Inputs!$B$25&lt;&gt;"Yes",NA(),Inputs!$D$25*Inputs!$C$35))</f>
        <v/>
      </c>
      <c r="Q2200" s="54">
        <f>IF($B2200=0,NA(),IF(Inputs!$B$26&lt;&gt;"Yes",NA(),Inputs!$D$26*Inputs!$C$35))</f>
        <v/>
      </c>
      <c r="R2200" s="54">
        <f>IF($B2200=0,NA(),IF(Inputs!$B$27&lt;&gt;"Yes",NA(),Inputs!$D$27*Inputs!$C$35))</f>
        <v/>
      </c>
      <c r="S2200" s="54">
        <f>IF($B2200=0,NA(),IF(Inputs!$B$28&lt;&gt;"Yes",NA(),Inputs!$D$28*Inputs!$C$35))</f>
        <v/>
      </c>
      <c r="T2200" s="54">
        <f>IF($B2200=0,NA(),IF(Inputs!$B$29&lt;&gt;"Yes",NA(),Inputs!$D$29*Inputs!$C$35))</f>
        <v/>
      </c>
      <c r="AD2200">
        <f>IF($B2200=0,0,IF(Inputs!$B$6="",0,COUNTIFS(Data!$A$10:$A$3209,"&gt;="&amp;$A2200,Data!$A$10:$A$3209,"&lt;"&amp;$A2200+1)))</f>
        <v/>
      </c>
      <c r="AE2200">
        <f>IF($B2200=0,0,IF(Inputs!$B$7="",0,COUNTIFS(Data!$E$10:$E$3209,"&gt;="&amp;$A2200,Data!$E$10:$E$3209,"&lt;"&amp;$A2200+1)))</f>
        <v/>
      </c>
      <c r="AF2200">
        <f>IF($B2200=0,0,IF(Inputs!$B$8="",0,COUNTIFS(Data!$I$10:$I$3209,"&gt;="&amp;$A2200,Data!$I$10:$I$3209,"&lt;"&amp;$A2200+1)))</f>
        <v/>
      </c>
      <c r="AG2200">
        <f>IF($B2200=0,0,IF(Inputs!$B$9="",0,COUNTIFS(Data!$M$10:$M$3209,"&gt;="&amp;$A2200,Data!$M$10:$M$3209,"&lt;"&amp;$A2200+1)))</f>
        <v/>
      </c>
      <c r="AH2200">
        <f>IF($B2200=0,0,IF(Inputs!$B$10="",0,COUNTIFS(Data!$Q$10:$Q$3209,"&gt;="&amp;$A2200,Data!$Q$10:$Q$3209,"&lt;"&amp;$A2200+1)))</f>
        <v/>
      </c>
    </row>
    <row r="2201">
      <c r="A2201" s="55">
        <f>MIN(Inputs!$C$15,$A2200+IF(WEEKDAY($A2200,2)=5,3,1))</f>
        <v/>
      </c>
      <c r="B2201">
        <f>IF($A2201&gt;$A2200,1,0)</f>
        <v/>
      </c>
      <c r="C2201" s="56">
        <f>IF($B2201=0,"",IF(Inputs!$B$6="","",IF($AD2201=0,C2200,SUMIFS(Data!$B$10:$B$3209,Data!$A$10:$A$3209,"&gt;="&amp;$A2201,Data!$A$10:$A$3209,"&lt;"&amp;$A2201+1)/$AD2201)))</f>
        <v/>
      </c>
      <c r="D2201" s="56">
        <f>IF($B2201=0,"",IF(Inputs!$B$7="","",IF($AE2201=0,D2200,SUMIFS(Data!$F$10:$F$3209,Data!$E$10:$E$3209,"&gt;="&amp;$A2201,Data!$E$10:$E$3209,"&lt;"&amp;$A2201+1)/$AE2201)))</f>
        <v/>
      </c>
      <c r="E2201" s="56">
        <f>IF($B2201=0,"",IF(Inputs!$B$8="","",IF($AF2201=0,E2200,SUMIFS(Data!$J$10:$J$3209,Data!$I$10:$I$3209,"&gt;="&amp;$A2201,Data!$I$10:$I$3209,"&lt;"&amp;$A2201+1)/$AF2201)))</f>
        <v/>
      </c>
      <c r="F2201" s="56">
        <f>IF($B2201=0,"",IF(Inputs!$B$9="","",IF($AG2201=0,F2200,SUMIFS(Data!$N$10:$N$3209,Data!$M$10:$M$3209,"&gt;="&amp;$A2201,Data!$M$10:$M$3209,"&lt;"&amp;$A2201+1)/$AG2201)))</f>
        <v/>
      </c>
      <c r="G2201" s="56">
        <f>IF($B2201=0,"",IF(Inputs!$B$10="","",IF($AH2201=0,G2200,SUMIFS(Data!$R$10:$R$3209,Data!$Q$10:$Q$3209,"&gt;="&amp;$A2201,Data!$Q$10:$Q$3209,"&lt;"&amp;$A2201+1)/$AH2201)))</f>
        <v/>
      </c>
      <c r="I2201" s="54">
        <f>IF($B2201=0,NA(),IF($C2201="",NA(),IF(C$8="",NA(),IF(N(C$8)=0,NA(),IF(Inputs!$C$17="Rebased to 100",$C2201/C$8*100,$C2201)))))</f>
        <v/>
      </c>
      <c r="J2201" s="54">
        <f>IF($B2201=0,NA(),IF($D2201="",NA(),IF(D$8="",NA(),IF(N(D$8)=0,NA(),IF(Inputs!$C$17="Rebased to 100",$D2201/D$8*100,$D2201)))))</f>
        <v/>
      </c>
      <c r="K2201" s="54">
        <f>IF($B2201=0,NA(),IF($E2201="",NA(),IF(E$8="",NA(),IF(N(E$8)=0,NA(),IF(Inputs!$C$17="Rebased to 100",$E2201/E$8*100,$E2201)))))</f>
        <v/>
      </c>
      <c r="L2201" s="54">
        <f>IF($B2201=0,NA(),IF($F2201="",NA(),IF(F$8="",NA(),IF(N(F$8)=0,NA(),IF(Inputs!$C$17="Rebased to 100",$F2201/F$8*100,$F2201)))))</f>
        <v/>
      </c>
      <c r="M2201" s="54">
        <f>IF($B2201=0,NA(),IF($G2201="",NA(),IF(G$8="",NA(),IF(N(G$8)=0,NA(),IF(Inputs!$C$17="Rebased to 100",$G2201/G$8*100,$G2201)))))</f>
        <v/>
      </c>
      <c r="N2201" s="54">
        <f>IF($B2201=0,NA(),IF(Inputs!$C$18&lt;&gt;"Yes",NA(),IF(COUNT(I2201,J2201,K2201,L2201,M2201)=0,NA(),MIN(I2201,J2201,K2201,L2201,M2201))))</f>
        <v/>
      </c>
      <c r="O2201" s="54">
        <f>IF($B2201=0,NA(),IF(Inputs!$B$24&lt;&gt;"Yes",NA(),Inputs!$D$24*Inputs!$C$35))</f>
        <v/>
      </c>
      <c r="P2201" s="54">
        <f>IF($B2201=0,NA(),IF(Inputs!$B$25&lt;&gt;"Yes",NA(),Inputs!$D$25*Inputs!$C$35))</f>
        <v/>
      </c>
      <c r="Q2201" s="54">
        <f>IF($B2201=0,NA(),IF(Inputs!$B$26&lt;&gt;"Yes",NA(),Inputs!$D$26*Inputs!$C$35))</f>
        <v/>
      </c>
      <c r="R2201" s="54">
        <f>IF($B2201=0,NA(),IF(Inputs!$B$27&lt;&gt;"Yes",NA(),Inputs!$D$27*Inputs!$C$35))</f>
        <v/>
      </c>
      <c r="S2201" s="54">
        <f>IF($B2201=0,NA(),IF(Inputs!$B$28&lt;&gt;"Yes",NA(),Inputs!$D$28*Inputs!$C$35))</f>
        <v/>
      </c>
      <c r="T2201" s="54">
        <f>IF($B2201=0,NA(),IF(Inputs!$B$29&lt;&gt;"Yes",NA(),Inputs!$D$29*Inputs!$C$35))</f>
        <v/>
      </c>
      <c r="AD2201">
        <f>IF($B2201=0,0,IF(Inputs!$B$6="",0,COUNTIFS(Data!$A$10:$A$3209,"&gt;="&amp;$A2201,Data!$A$10:$A$3209,"&lt;"&amp;$A2201+1)))</f>
        <v/>
      </c>
      <c r="AE2201">
        <f>IF($B2201=0,0,IF(Inputs!$B$7="",0,COUNTIFS(Data!$E$10:$E$3209,"&gt;="&amp;$A2201,Data!$E$10:$E$3209,"&lt;"&amp;$A2201+1)))</f>
        <v/>
      </c>
      <c r="AF2201">
        <f>IF($B2201=0,0,IF(Inputs!$B$8="",0,COUNTIFS(Data!$I$10:$I$3209,"&gt;="&amp;$A2201,Data!$I$10:$I$3209,"&lt;"&amp;$A2201+1)))</f>
        <v/>
      </c>
      <c r="AG2201">
        <f>IF($B2201=0,0,IF(Inputs!$B$9="",0,COUNTIFS(Data!$M$10:$M$3209,"&gt;="&amp;$A2201,Data!$M$10:$M$3209,"&lt;"&amp;$A2201+1)))</f>
        <v/>
      </c>
      <c r="AH2201">
        <f>IF($B2201=0,0,IF(Inputs!$B$10="",0,COUNTIFS(Data!$Q$10:$Q$3209,"&gt;="&amp;$A2201,Data!$Q$10:$Q$3209,"&lt;"&amp;$A2201+1)))</f>
        <v/>
      </c>
    </row>
    <row r="2202">
      <c r="A2202" s="55">
        <f>MIN(Inputs!$C$15,$A2201+IF(WEEKDAY($A2201,2)=5,3,1))</f>
        <v/>
      </c>
      <c r="B2202">
        <f>IF($A2202&gt;$A2201,1,0)</f>
        <v/>
      </c>
      <c r="C2202" s="56">
        <f>IF($B2202=0,"",IF(Inputs!$B$6="","",IF($AD2202=0,C2201,SUMIFS(Data!$B$10:$B$3209,Data!$A$10:$A$3209,"&gt;="&amp;$A2202,Data!$A$10:$A$3209,"&lt;"&amp;$A2202+1)/$AD2202)))</f>
        <v/>
      </c>
      <c r="D2202" s="56">
        <f>IF($B2202=0,"",IF(Inputs!$B$7="","",IF($AE2202=0,D2201,SUMIFS(Data!$F$10:$F$3209,Data!$E$10:$E$3209,"&gt;="&amp;$A2202,Data!$E$10:$E$3209,"&lt;"&amp;$A2202+1)/$AE2202)))</f>
        <v/>
      </c>
      <c r="E2202" s="56">
        <f>IF($B2202=0,"",IF(Inputs!$B$8="","",IF($AF2202=0,E2201,SUMIFS(Data!$J$10:$J$3209,Data!$I$10:$I$3209,"&gt;="&amp;$A2202,Data!$I$10:$I$3209,"&lt;"&amp;$A2202+1)/$AF2202)))</f>
        <v/>
      </c>
      <c r="F2202" s="56">
        <f>IF($B2202=0,"",IF(Inputs!$B$9="","",IF($AG2202=0,F2201,SUMIFS(Data!$N$10:$N$3209,Data!$M$10:$M$3209,"&gt;="&amp;$A2202,Data!$M$10:$M$3209,"&lt;"&amp;$A2202+1)/$AG2202)))</f>
        <v/>
      </c>
      <c r="G2202" s="56">
        <f>IF($B2202=0,"",IF(Inputs!$B$10="","",IF($AH2202=0,G2201,SUMIFS(Data!$R$10:$R$3209,Data!$Q$10:$Q$3209,"&gt;="&amp;$A2202,Data!$Q$10:$Q$3209,"&lt;"&amp;$A2202+1)/$AH2202)))</f>
        <v/>
      </c>
      <c r="I2202" s="54">
        <f>IF($B2202=0,NA(),IF($C2202="",NA(),IF(C$8="",NA(),IF(N(C$8)=0,NA(),IF(Inputs!$C$17="Rebased to 100",$C2202/C$8*100,$C2202)))))</f>
        <v/>
      </c>
      <c r="J2202" s="54">
        <f>IF($B2202=0,NA(),IF($D2202="",NA(),IF(D$8="",NA(),IF(N(D$8)=0,NA(),IF(Inputs!$C$17="Rebased to 100",$D2202/D$8*100,$D2202)))))</f>
        <v/>
      </c>
      <c r="K2202" s="54">
        <f>IF($B2202=0,NA(),IF($E2202="",NA(),IF(E$8="",NA(),IF(N(E$8)=0,NA(),IF(Inputs!$C$17="Rebased to 100",$E2202/E$8*100,$E2202)))))</f>
        <v/>
      </c>
      <c r="L2202" s="54">
        <f>IF($B2202=0,NA(),IF($F2202="",NA(),IF(F$8="",NA(),IF(N(F$8)=0,NA(),IF(Inputs!$C$17="Rebased to 100",$F2202/F$8*100,$F2202)))))</f>
        <v/>
      </c>
      <c r="M2202" s="54">
        <f>IF($B2202=0,NA(),IF($G2202="",NA(),IF(G$8="",NA(),IF(N(G$8)=0,NA(),IF(Inputs!$C$17="Rebased to 100",$G2202/G$8*100,$G2202)))))</f>
        <v/>
      </c>
      <c r="N2202" s="54">
        <f>IF($B2202=0,NA(),IF(Inputs!$C$18&lt;&gt;"Yes",NA(),IF(COUNT(I2202,J2202,K2202,L2202,M2202)=0,NA(),MIN(I2202,J2202,K2202,L2202,M2202))))</f>
        <v/>
      </c>
      <c r="O2202" s="54">
        <f>IF($B2202=0,NA(),IF(Inputs!$B$24&lt;&gt;"Yes",NA(),Inputs!$D$24*Inputs!$C$35))</f>
        <v/>
      </c>
      <c r="P2202" s="54">
        <f>IF($B2202=0,NA(),IF(Inputs!$B$25&lt;&gt;"Yes",NA(),Inputs!$D$25*Inputs!$C$35))</f>
        <v/>
      </c>
      <c r="Q2202" s="54">
        <f>IF($B2202=0,NA(),IF(Inputs!$B$26&lt;&gt;"Yes",NA(),Inputs!$D$26*Inputs!$C$35))</f>
        <v/>
      </c>
      <c r="R2202" s="54">
        <f>IF($B2202=0,NA(),IF(Inputs!$B$27&lt;&gt;"Yes",NA(),Inputs!$D$27*Inputs!$C$35))</f>
        <v/>
      </c>
      <c r="S2202" s="54">
        <f>IF($B2202=0,NA(),IF(Inputs!$B$28&lt;&gt;"Yes",NA(),Inputs!$D$28*Inputs!$C$35))</f>
        <v/>
      </c>
      <c r="T2202" s="54">
        <f>IF($B2202=0,NA(),IF(Inputs!$B$29&lt;&gt;"Yes",NA(),Inputs!$D$29*Inputs!$C$35))</f>
        <v/>
      </c>
      <c r="AD2202">
        <f>IF($B2202=0,0,IF(Inputs!$B$6="",0,COUNTIFS(Data!$A$10:$A$3209,"&gt;="&amp;$A2202,Data!$A$10:$A$3209,"&lt;"&amp;$A2202+1)))</f>
        <v/>
      </c>
      <c r="AE2202">
        <f>IF($B2202=0,0,IF(Inputs!$B$7="",0,COUNTIFS(Data!$E$10:$E$3209,"&gt;="&amp;$A2202,Data!$E$10:$E$3209,"&lt;"&amp;$A2202+1)))</f>
        <v/>
      </c>
      <c r="AF2202">
        <f>IF($B2202=0,0,IF(Inputs!$B$8="",0,COUNTIFS(Data!$I$10:$I$3209,"&gt;="&amp;$A2202,Data!$I$10:$I$3209,"&lt;"&amp;$A2202+1)))</f>
        <v/>
      </c>
      <c r="AG2202">
        <f>IF($B2202=0,0,IF(Inputs!$B$9="",0,COUNTIFS(Data!$M$10:$M$3209,"&gt;="&amp;$A2202,Data!$M$10:$M$3209,"&lt;"&amp;$A2202+1)))</f>
        <v/>
      </c>
      <c r="AH2202">
        <f>IF($B2202=0,0,IF(Inputs!$B$10="",0,COUNTIFS(Data!$Q$10:$Q$3209,"&gt;="&amp;$A2202,Data!$Q$10:$Q$3209,"&lt;"&amp;$A2202+1)))</f>
        <v/>
      </c>
    </row>
    <row r="2203">
      <c r="A2203" s="55">
        <f>MIN(Inputs!$C$15,$A2202+IF(WEEKDAY($A2202,2)=5,3,1))</f>
        <v/>
      </c>
      <c r="B2203">
        <f>IF($A2203&gt;$A2202,1,0)</f>
        <v/>
      </c>
      <c r="C2203" s="56">
        <f>IF($B2203=0,"",IF(Inputs!$B$6="","",IF($AD2203=0,C2202,SUMIFS(Data!$B$10:$B$3209,Data!$A$10:$A$3209,"&gt;="&amp;$A2203,Data!$A$10:$A$3209,"&lt;"&amp;$A2203+1)/$AD2203)))</f>
        <v/>
      </c>
      <c r="D2203" s="56">
        <f>IF($B2203=0,"",IF(Inputs!$B$7="","",IF($AE2203=0,D2202,SUMIFS(Data!$F$10:$F$3209,Data!$E$10:$E$3209,"&gt;="&amp;$A2203,Data!$E$10:$E$3209,"&lt;"&amp;$A2203+1)/$AE2203)))</f>
        <v/>
      </c>
      <c r="E2203" s="56">
        <f>IF($B2203=0,"",IF(Inputs!$B$8="","",IF($AF2203=0,E2202,SUMIFS(Data!$J$10:$J$3209,Data!$I$10:$I$3209,"&gt;="&amp;$A2203,Data!$I$10:$I$3209,"&lt;"&amp;$A2203+1)/$AF2203)))</f>
        <v/>
      </c>
      <c r="F2203" s="56">
        <f>IF($B2203=0,"",IF(Inputs!$B$9="","",IF($AG2203=0,F2202,SUMIFS(Data!$N$10:$N$3209,Data!$M$10:$M$3209,"&gt;="&amp;$A2203,Data!$M$10:$M$3209,"&lt;"&amp;$A2203+1)/$AG2203)))</f>
        <v/>
      </c>
      <c r="G2203" s="56">
        <f>IF($B2203=0,"",IF(Inputs!$B$10="","",IF($AH2203=0,G2202,SUMIFS(Data!$R$10:$R$3209,Data!$Q$10:$Q$3209,"&gt;="&amp;$A2203,Data!$Q$10:$Q$3209,"&lt;"&amp;$A2203+1)/$AH2203)))</f>
        <v/>
      </c>
      <c r="I2203" s="54">
        <f>IF($B2203=0,NA(),IF($C2203="",NA(),IF(C$8="",NA(),IF(N(C$8)=0,NA(),IF(Inputs!$C$17="Rebased to 100",$C2203/C$8*100,$C2203)))))</f>
        <v/>
      </c>
      <c r="J2203" s="54">
        <f>IF($B2203=0,NA(),IF($D2203="",NA(),IF(D$8="",NA(),IF(N(D$8)=0,NA(),IF(Inputs!$C$17="Rebased to 100",$D2203/D$8*100,$D2203)))))</f>
        <v/>
      </c>
      <c r="K2203" s="54">
        <f>IF($B2203=0,NA(),IF($E2203="",NA(),IF(E$8="",NA(),IF(N(E$8)=0,NA(),IF(Inputs!$C$17="Rebased to 100",$E2203/E$8*100,$E2203)))))</f>
        <v/>
      </c>
      <c r="L2203" s="54">
        <f>IF($B2203=0,NA(),IF($F2203="",NA(),IF(F$8="",NA(),IF(N(F$8)=0,NA(),IF(Inputs!$C$17="Rebased to 100",$F2203/F$8*100,$F2203)))))</f>
        <v/>
      </c>
      <c r="M2203" s="54">
        <f>IF($B2203=0,NA(),IF($G2203="",NA(),IF(G$8="",NA(),IF(N(G$8)=0,NA(),IF(Inputs!$C$17="Rebased to 100",$G2203/G$8*100,$G2203)))))</f>
        <v/>
      </c>
      <c r="N2203" s="54">
        <f>IF($B2203=0,NA(),IF(Inputs!$C$18&lt;&gt;"Yes",NA(),IF(COUNT(I2203,J2203,K2203,L2203,M2203)=0,NA(),MIN(I2203,J2203,K2203,L2203,M2203))))</f>
        <v/>
      </c>
      <c r="O2203" s="54">
        <f>IF($B2203=0,NA(),IF(Inputs!$B$24&lt;&gt;"Yes",NA(),Inputs!$D$24*Inputs!$C$35))</f>
        <v/>
      </c>
      <c r="P2203" s="54">
        <f>IF($B2203=0,NA(),IF(Inputs!$B$25&lt;&gt;"Yes",NA(),Inputs!$D$25*Inputs!$C$35))</f>
        <v/>
      </c>
      <c r="Q2203" s="54">
        <f>IF($B2203=0,NA(),IF(Inputs!$B$26&lt;&gt;"Yes",NA(),Inputs!$D$26*Inputs!$C$35))</f>
        <v/>
      </c>
      <c r="R2203" s="54">
        <f>IF($B2203=0,NA(),IF(Inputs!$B$27&lt;&gt;"Yes",NA(),Inputs!$D$27*Inputs!$C$35))</f>
        <v/>
      </c>
      <c r="S2203" s="54">
        <f>IF($B2203=0,NA(),IF(Inputs!$B$28&lt;&gt;"Yes",NA(),Inputs!$D$28*Inputs!$C$35))</f>
        <v/>
      </c>
      <c r="T2203" s="54">
        <f>IF($B2203=0,NA(),IF(Inputs!$B$29&lt;&gt;"Yes",NA(),Inputs!$D$29*Inputs!$C$35))</f>
        <v/>
      </c>
      <c r="AD2203">
        <f>IF($B2203=0,0,IF(Inputs!$B$6="",0,COUNTIFS(Data!$A$10:$A$3209,"&gt;="&amp;$A2203,Data!$A$10:$A$3209,"&lt;"&amp;$A2203+1)))</f>
        <v/>
      </c>
      <c r="AE2203">
        <f>IF($B2203=0,0,IF(Inputs!$B$7="",0,COUNTIFS(Data!$E$10:$E$3209,"&gt;="&amp;$A2203,Data!$E$10:$E$3209,"&lt;"&amp;$A2203+1)))</f>
        <v/>
      </c>
      <c r="AF2203">
        <f>IF($B2203=0,0,IF(Inputs!$B$8="",0,COUNTIFS(Data!$I$10:$I$3209,"&gt;="&amp;$A2203,Data!$I$10:$I$3209,"&lt;"&amp;$A2203+1)))</f>
        <v/>
      </c>
      <c r="AG2203">
        <f>IF($B2203=0,0,IF(Inputs!$B$9="",0,COUNTIFS(Data!$M$10:$M$3209,"&gt;="&amp;$A2203,Data!$M$10:$M$3209,"&lt;"&amp;$A2203+1)))</f>
        <v/>
      </c>
      <c r="AH2203">
        <f>IF($B2203=0,0,IF(Inputs!$B$10="",0,COUNTIFS(Data!$Q$10:$Q$3209,"&gt;="&amp;$A2203,Data!$Q$10:$Q$3209,"&lt;"&amp;$A2203+1)))</f>
        <v/>
      </c>
    </row>
    <row r="2204">
      <c r="A2204" s="55">
        <f>MIN(Inputs!$C$15,$A2203+IF(WEEKDAY($A2203,2)=5,3,1))</f>
        <v/>
      </c>
      <c r="B2204">
        <f>IF($A2204&gt;$A2203,1,0)</f>
        <v/>
      </c>
      <c r="C2204" s="56">
        <f>IF($B2204=0,"",IF(Inputs!$B$6="","",IF($AD2204=0,C2203,SUMIFS(Data!$B$10:$B$3209,Data!$A$10:$A$3209,"&gt;="&amp;$A2204,Data!$A$10:$A$3209,"&lt;"&amp;$A2204+1)/$AD2204)))</f>
        <v/>
      </c>
      <c r="D2204" s="56">
        <f>IF($B2204=0,"",IF(Inputs!$B$7="","",IF($AE2204=0,D2203,SUMIFS(Data!$F$10:$F$3209,Data!$E$10:$E$3209,"&gt;="&amp;$A2204,Data!$E$10:$E$3209,"&lt;"&amp;$A2204+1)/$AE2204)))</f>
        <v/>
      </c>
      <c r="E2204" s="56">
        <f>IF($B2204=0,"",IF(Inputs!$B$8="","",IF($AF2204=0,E2203,SUMIFS(Data!$J$10:$J$3209,Data!$I$10:$I$3209,"&gt;="&amp;$A2204,Data!$I$10:$I$3209,"&lt;"&amp;$A2204+1)/$AF2204)))</f>
        <v/>
      </c>
      <c r="F2204" s="56">
        <f>IF($B2204=0,"",IF(Inputs!$B$9="","",IF($AG2204=0,F2203,SUMIFS(Data!$N$10:$N$3209,Data!$M$10:$M$3209,"&gt;="&amp;$A2204,Data!$M$10:$M$3209,"&lt;"&amp;$A2204+1)/$AG2204)))</f>
        <v/>
      </c>
      <c r="G2204" s="56">
        <f>IF($B2204=0,"",IF(Inputs!$B$10="","",IF($AH2204=0,G2203,SUMIFS(Data!$R$10:$R$3209,Data!$Q$10:$Q$3209,"&gt;="&amp;$A2204,Data!$Q$10:$Q$3209,"&lt;"&amp;$A2204+1)/$AH2204)))</f>
        <v/>
      </c>
      <c r="I2204" s="54">
        <f>IF($B2204=0,NA(),IF($C2204="",NA(),IF(C$8="",NA(),IF(N(C$8)=0,NA(),IF(Inputs!$C$17="Rebased to 100",$C2204/C$8*100,$C2204)))))</f>
        <v/>
      </c>
      <c r="J2204" s="54">
        <f>IF($B2204=0,NA(),IF($D2204="",NA(),IF(D$8="",NA(),IF(N(D$8)=0,NA(),IF(Inputs!$C$17="Rebased to 100",$D2204/D$8*100,$D2204)))))</f>
        <v/>
      </c>
      <c r="K2204" s="54">
        <f>IF($B2204=0,NA(),IF($E2204="",NA(),IF(E$8="",NA(),IF(N(E$8)=0,NA(),IF(Inputs!$C$17="Rebased to 100",$E2204/E$8*100,$E2204)))))</f>
        <v/>
      </c>
      <c r="L2204" s="54">
        <f>IF($B2204=0,NA(),IF($F2204="",NA(),IF(F$8="",NA(),IF(N(F$8)=0,NA(),IF(Inputs!$C$17="Rebased to 100",$F2204/F$8*100,$F2204)))))</f>
        <v/>
      </c>
      <c r="M2204" s="54">
        <f>IF($B2204=0,NA(),IF($G2204="",NA(),IF(G$8="",NA(),IF(N(G$8)=0,NA(),IF(Inputs!$C$17="Rebased to 100",$G2204/G$8*100,$G2204)))))</f>
        <v/>
      </c>
      <c r="N2204" s="54">
        <f>IF($B2204=0,NA(),IF(Inputs!$C$18&lt;&gt;"Yes",NA(),IF(COUNT(I2204,J2204,K2204,L2204,M2204)=0,NA(),MIN(I2204,J2204,K2204,L2204,M2204))))</f>
        <v/>
      </c>
      <c r="O2204" s="54">
        <f>IF($B2204=0,NA(),IF(Inputs!$B$24&lt;&gt;"Yes",NA(),Inputs!$D$24*Inputs!$C$35))</f>
        <v/>
      </c>
      <c r="P2204" s="54">
        <f>IF($B2204=0,NA(),IF(Inputs!$B$25&lt;&gt;"Yes",NA(),Inputs!$D$25*Inputs!$C$35))</f>
        <v/>
      </c>
      <c r="Q2204" s="54">
        <f>IF($B2204=0,NA(),IF(Inputs!$B$26&lt;&gt;"Yes",NA(),Inputs!$D$26*Inputs!$C$35))</f>
        <v/>
      </c>
      <c r="R2204" s="54">
        <f>IF($B2204=0,NA(),IF(Inputs!$B$27&lt;&gt;"Yes",NA(),Inputs!$D$27*Inputs!$C$35))</f>
        <v/>
      </c>
      <c r="S2204" s="54">
        <f>IF($B2204=0,NA(),IF(Inputs!$B$28&lt;&gt;"Yes",NA(),Inputs!$D$28*Inputs!$C$35))</f>
        <v/>
      </c>
      <c r="T2204" s="54">
        <f>IF($B2204=0,NA(),IF(Inputs!$B$29&lt;&gt;"Yes",NA(),Inputs!$D$29*Inputs!$C$35))</f>
        <v/>
      </c>
      <c r="AD2204">
        <f>IF($B2204=0,0,IF(Inputs!$B$6="",0,COUNTIFS(Data!$A$10:$A$3209,"&gt;="&amp;$A2204,Data!$A$10:$A$3209,"&lt;"&amp;$A2204+1)))</f>
        <v/>
      </c>
      <c r="AE2204">
        <f>IF($B2204=0,0,IF(Inputs!$B$7="",0,COUNTIFS(Data!$E$10:$E$3209,"&gt;="&amp;$A2204,Data!$E$10:$E$3209,"&lt;"&amp;$A2204+1)))</f>
        <v/>
      </c>
      <c r="AF2204">
        <f>IF($B2204=0,0,IF(Inputs!$B$8="",0,COUNTIFS(Data!$I$10:$I$3209,"&gt;="&amp;$A2204,Data!$I$10:$I$3209,"&lt;"&amp;$A2204+1)))</f>
        <v/>
      </c>
      <c r="AG2204">
        <f>IF($B2204=0,0,IF(Inputs!$B$9="",0,COUNTIFS(Data!$M$10:$M$3209,"&gt;="&amp;$A2204,Data!$M$10:$M$3209,"&lt;"&amp;$A2204+1)))</f>
        <v/>
      </c>
      <c r="AH2204">
        <f>IF($B2204=0,0,IF(Inputs!$B$10="",0,COUNTIFS(Data!$Q$10:$Q$3209,"&gt;="&amp;$A2204,Data!$Q$10:$Q$3209,"&lt;"&amp;$A2204+1)))</f>
        <v/>
      </c>
    </row>
    <row r="2205">
      <c r="A2205" s="55">
        <f>MIN(Inputs!$C$15,$A2204+IF(WEEKDAY($A2204,2)=5,3,1))</f>
        <v/>
      </c>
      <c r="B2205">
        <f>IF($A2205&gt;$A2204,1,0)</f>
        <v/>
      </c>
      <c r="C2205" s="56">
        <f>IF($B2205=0,"",IF(Inputs!$B$6="","",IF($AD2205=0,C2204,SUMIFS(Data!$B$10:$B$3209,Data!$A$10:$A$3209,"&gt;="&amp;$A2205,Data!$A$10:$A$3209,"&lt;"&amp;$A2205+1)/$AD2205)))</f>
        <v/>
      </c>
      <c r="D2205" s="56">
        <f>IF($B2205=0,"",IF(Inputs!$B$7="","",IF($AE2205=0,D2204,SUMIFS(Data!$F$10:$F$3209,Data!$E$10:$E$3209,"&gt;="&amp;$A2205,Data!$E$10:$E$3209,"&lt;"&amp;$A2205+1)/$AE2205)))</f>
        <v/>
      </c>
      <c r="E2205" s="56">
        <f>IF($B2205=0,"",IF(Inputs!$B$8="","",IF($AF2205=0,E2204,SUMIFS(Data!$J$10:$J$3209,Data!$I$10:$I$3209,"&gt;="&amp;$A2205,Data!$I$10:$I$3209,"&lt;"&amp;$A2205+1)/$AF2205)))</f>
        <v/>
      </c>
      <c r="F2205" s="56">
        <f>IF($B2205=0,"",IF(Inputs!$B$9="","",IF($AG2205=0,F2204,SUMIFS(Data!$N$10:$N$3209,Data!$M$10:$M$3209,"&gt;="&amp;$A2205,Data!$M$10:$M$3209,"&lt;"&amp;$A2205+1)/$AG2205)))</f>
        <v/>
      </c>
      <c r="G2205" s="56">
        <f>IF($B2205=0,"",IF(Inputs!$B$10="","",IF($AH2205=0,G2204,SUMIFS(Data!$R$10:$R$3209,Data!$Q$10:$Q$3209,"&gt;="&amp;$A2205,Data!$Q$10:$Q$3209,"&lt;"&amp;$A2205+1)/$AH2205)))</f>
        <v/>
      </c>
      <c r="I2205" s="54">
        <f>IF($B2205=0,NA(),IF($C2205="",NA(),IF(C$8="",NA(),IF(N(C$8)=0,NA(),IF(Inputs!$C$17="Rebased to 100",$C2205/C$8*100,$C2205)))))</f>
        <v/>
      </c>
      <c r="J2205" s="54">
        <f>IF($B2205=0,NA(),IF($D2205="",NA(),IF(D$8="",NA(),IF(N(D$8)=0,NA(),IF(Inputs!$C$17="Rebased to 100",$D2205/D$8*100,$D2205)))))</f>
        <v/>
      </c>
      <c r="K2205" s="54">
        <f>IF($B2205=0,NA(),IF($E2205="",NA(),IF(E$8="",NA(),IF(N(E$8)=0,NA(),IF(Inputs!$C$17="Rebased to 100",$E2205/E$8*100,$E2205)))))</f>
        <v/>
      </c>
      <c r="L2205" s="54">
        <f>IF($B2205=0,NA(),IF($F2205="",NA(),IF(F$8="",NA(),IF(N(F$8)=0,NA(),IF(Inputs!$C$17="Rebased to 100",$F2205/F$8*100,$F2205)))))</f>
        <v/>
      </c>
      <c r="M2205" s="54">
        <f>IF($B2205=0,NA(),IF($G2205="",NA(),IF(G$8="",NA(),IF(N(G$8)=0,NA(),IF(Inputs!$C$17="Rebased to 100",$G2205/G$8*100,$G2205)))))</f>
        <v/>
      </c>
      <c r="N2205" s="54">
        <f>IF($B2205=0,NA(),IF(Inputs!$C$18&lt;&gt;"Yes",NA(),IF(COUNT(I2205,J2205,K2205,L2205,M2205)=0,NA(),MIN(I2205,J2205,K2205,L2205,M2205))))</f>
        <v/>
      </c>
      <c r="O2205" s="54">
        <f>IF($B2205=0,NA(),IF(Inputs!$B$24&lt;&gt;"Yes",NA(),Inputs!$D$24*Inputs!$C$35))</f>
        <v/>
      </c>
      <c r="P2205" s="54">
        <f>IF($B2205=0,NA(),IF(Inputs!$B$25&lt;&gt;"Yes",NA(),Inputs!$D$25*Inputs!$C$35))</f>
        <v/>
      </c>
      <c r="Q2205" s="54">
        <f>IF($B2205=0,NA(),IF(Inputs!$B$26&lt;&gt;"Yes",NA(),Inputs!$D$26*Inputs!$C$35))</f>
        <v/>
      </c>
      <c r="R2205" s="54">
        <f>IF($B2205=0,NA(),IF(Inputs!$B$27&lt;&gt;"Yes",NA(),Inputs!$D$27*Inputs!$C$35))</f>
        <v/>
      </c>
      <c r="S2205" s="54">
        <f>IF($B2205=0,NA(),IF(Inputs!$B$28&lt;&gt;"Yes",NA(),Inputs!$D$28*Inputs!$C$35))</f>
        <v/>
      </c>
      <c r="T2205" s="54">
        <f>IF($B2205=0,NA(),IF(Inputs!$B$29&lt;&gt;"Yes",NA(),Inputs!$D$29*Inputs!$C$35))</f>
        <v/>
      </c>
      <c r="AD2205">
        <f>IF($B2205=0,0,IF(Inputs!$B$6="",0,COUNTIFS(Data!$A$10:$A$3209,"&gt;="&amp;$A2205,Data!$A$10:$A$3209,"&lt;"&amp;$A2205+1)))</f>
        <v/>
      </c>
      <c r="AE2205">
        <f>IF($B2205=0,0,IF(Inputs!$B$7="",0,COUNTIFS(Data!$E$10:$E$3209,"&gt;="&amp;$A2205,Data!$E$10:$E$3209,"&lt;"&amp;$A2205+1)))</f>
        <v/>
      </c>
      <c r="AF2205">
        <f>IF($B2205=0,0,IF(Inputs!$B$8="",0,COUNTIFS(Data!$I$10:$I$3209,"&gt;="&amp;$A2205,Data!$I$10:$I$3209,"&lt;"&amp;$A2205+1)))</f>
        <v/>
      </c>
      <c r="AG2205">
        <f>IF($B2205=0,0,IF(Inputs!$B$9="",0,COUNTIFS(Data!$M$10:$M$3209,"&gt;="&amp;$A2205,Data!$M$10:$M$3209,"&lt;"&amp;$A2205+1)))</f>
        <v/>
      </c>
      <c r="AH2205">
        <f>IF($B2205=0,0,IF(Inputs!$B$10="",0,COUNTIFS(Data!$Q$10:$Q$3209,"&gt;="&amp;$A2205,Data!$Q$10:$Q$3209,"&lt;"&amp;$A2205+1)))</f>
        <v/>
      </c>
    </row>
    <row r="2206">
      <c r="A2206" s="55">
        <f>MIN(Inputs!$C$15,$A2205+IF(WEEKDAY($A2205,2)=5,3,1))</f>
        <v/>
      </c>
      <c r="B2206">
        <f>IF($A2206&gt;$A2205,1,0)</f>
        <v/>
      </c>
      <c r="C2206" s="56">
        <f>IF($B2206=0,"",IF(Inputs!$B$6="","",IF($AD2206=0,C2205,SUMIFS(Data!$B$10:$B$3209,Data!$A$10:$A$3209,"&gt;="&amp;$A2206,Data!$A$10:$A$3209,"&lt;"&amp;$A2206+1)/$AD2206)))</f>
        <v/>
      </c>
      <c r="D2206" s="56">
        <f>IF($B2206=0,"",IF(Inputs!$B$7="","",IF($AE2206=0,D2205,SUMIFS(Data!$F$10:$F$3209,Data!$E$10:$E$3209,"&gt;="&amp;$A2206,Data!$E$10:$E$3209,"&lt;"&amp;$A2206+1)/$AE2206)))</f>
        <v/>
      </c>
      <c r="E2206" s="56">
        <f>IF($B2206=0,"",IF(Inputs!$B$8="","",IF($AF2206=0,E2205,SUMIFS(Data!$J$10:$J$3209,Data!$I$10:$I$3209,"&gt;="&amp;$A2206,Data!$I$10:$I$3209,"&lt;"&amp;$A2206+1)/$AF2206)))</f>
        <v/>
      </c>
      <c r="F2206" s="56">
        <f>IF($B2206=0,"",IF(Inputs!$B$9="","",IF($AG2206=0,F2205,SUMIFS(Data!$N$10:$N$3209,Data!$M$10:$M$3209,"&gt;="&amp;$A2206,Data!$M$10:$M$3209,"&lt;"&amp;$A2206+1)/$AG2206)))</f>
        <v/>
      </c>
      <c r="G2206" s="56">
        <f>IF($B2206=0,"",IF(Inputs!$B$10="","",IF($AH2206=0,G2205,SUMIFS(Data!$R$10:$R$3209,Data!$Q$10:$Q$3209,"&gt;="&amp;$A2206,Data!$Q$10:$Q$3209,"&lt;"&amp;$A2206+1)/$AH2206)))</f>
        <v/>
      </c>
      <c r="I2206" s="54">
        <f>IF($B2206=0,NA(),IF($C2206="",NA(),IF(C$8="",NA(),IF(N(C$8)=0,NA(),IF(Inputs!$C$17="Rebased to 100",$C2206/C$8*100,$C2206)))))</f>
        <v/>
      </c>
      <c r="J2206" s="54">
        <f>IF($B2206=0,NA(),IF($D2206="",NA(),IF(D$8="",NA(),IF(N(D$8)=0,NA(),IF(Inputs!$C$17="Rebased to 100",$D2206/D$8*100,$D2206)))))</f>
        <v/>
      </c>
      <c r="K2206" s="54">
        <f>IF($B2206=0,NA(),IF($E2206="",NA(),IF(E$8="",NA(),IF(N(E$8)=0,NA(),IF(Inputs!$C$17="Rebased to 100",$E2206/E$8*100,$E2206)))))</f>
        <v/>
      </c>
      <c r="L2206" s="54">
        <f>IF($B2206=0,NA(),IF($F2206="",NA(),IF(F$8="",NA(),IF(N(F$8)=0,NA(),IF(Inputs!$C$17="Rebased to 100",$F2206/F$8*100,$F2206)))))</f>
        <v/>
      </c>
      <c r="M2206" s="54">
        <f>IF($B2206=0,NA(),IF($G2206="",NA(),IF(G$8="",NA(),IF(N(G$8)=0,NA(),IF(Inputs!$C$17="Rebased to 100",$G2206/G$8*100,$G2206)))))</f>
        <v/>
      </c>
      <c r="N2206" s="54">
        <f>IF($B2206=0,NA(),IF(Inputs!$C$18&lt;&gt;"Yes",NA(),IF(COUNT(I2206,J2206,K2206,L2206,M2206)=0,NA(),MIN(I2206,J2206,K2206,L2206,M2206))))</f>
        <v/>
      </c>
      <c r="O2206" s="54">
        <f>IF($B2206=0,NA(),IF(Inputs!$B$24&lt;&gt;"Yes",NA(),Inputs!$D$24*Inputs!$C$35))</f>
        <v/>
      </c>
      <c r="P2206" s="54">
        <f>IF($B2206=0,NA(),IF(Inputs!$B$25&lt;&gt;"Yes",NA(),Inputs!$D$25*Inputs!$C$35))</f>
        <v/>
      </c>
      <c r="Q2206" s="54">
        <f>IF($B2206=0,NA(),IF(Inputs!$B$26&lt;&gt;"Yes",NA(),Inputs!$D$26*Inputs!$C$35))</f>
        <v/>
      </c>
      <c r="R2206" s="54">
        <f>IF($B2206=0,NA(),IF(Inputs!$B$27&lt;&gt;"Yes",NA(),Inputs!$D$27*Inputs!$C$35))</f>
        <v/>
      </c>
      <c r="S2206" s="54">
        <f>IF($B2206=0,NA(),IF(Inputs!$B$28&lt;&gt;"Yes",NA(),Inputs!$D$28*Inputs!$C$35))</f>
        <v/>
      </c>
      <c r="T2206" s="54">
        <f>IF($B2206=0,NA(),IF(Inputs!$B$29&lt;&gt;"Yes",NA(),Inputs!$D$29*Inputs!$C$35))</f>
        <v/>
      </c>
      <c r="AD2206">
        <f>IF($B2206=0,0,IF(Inputs!$B$6="",0,COUNTIFS(Data!$A$10:$A$3209,"&gt;="&amp;$A2206,Data!$A$10:$A$3209,"&lt;"&amp;$A2206+1)))</f>
        <v/>
      </c>
      <c r="AE2206">
        <f>IF($B2206=0,0,IF(Inputs!$B$7="",0,COUNTIFS(Data!$E$10:$E$3209,"&gt;="&amp;$A2206,Data!$E$10:$E$3209,"&lt;"&amp;$A2206+1)))</f>
        <v/>
      </c>
      <c r="AF2206">
        <f>IF($B2206=0,0,IF(Inputs!$B$8="",0,COUNTIFS(Data!$I$10:$I$3209,"&gt;="&amp;$A2206,Data!$I$10:$I$3209,"&lt;"&amp;$A2206+1)))</f>
        <v/>
      </c>
      <c r="AG2206">
        <f>IF($B2206=0,0,IF(Inputs!$B$9="",0,COUNTIFS(Data!$M$10:$M$3209,"&gt;="&amp;$A2206,Data!$M$10:$M$3209,"&lt;"&amp;$A2206+1)))</f>
        <v/>
      </c>
      <c r="AH2206">
        <f>IF($B2206=0,0,IF(Inputs!$B$10="",0,COUNTIFS(Data!$Q$10:$Q$3209,"&gt;="&amp;$A2206,Data!$Q$10:$Q$3209,"&lt;"&amp;$A2206+1)))</f>
        <v/>
      </c>
    </row>
    <row r="2207">
      <c r="A2207" s="55">
        <f>MIN(Inputs!$C$15,$A2206+IF(WEEKDAY($A2206,2)=5,3,1))</f>
        <v/>
      </c>
      <c r="B2207">
        <f>IF($A2207&gt;$A2206,1,0)</f>
        <v/>
      </c>
      <c r="C2207" s="56">
        <f>IF($B2207=0,"",IF(Inputs!$B$6="","",IF($AD2207=0,C2206,SUMIFS(Data!$B$10:$B$3209,Data!$A$10:$A$3209,"&gt;="&amp;$A2207,Data!$A$10:$A$3209,"&lt;"&amp;$A2207+1)/$AD2207)))</f>
        <v/>
      </c>
      <c r="D2207" s="56">
        <f>IF($B2207=0,"",IF(Inputs!$B$7="","",IF($AE2207=0,D2206,SUMIFS(Data!$F$10:$F$3209,Data!$E$10:$E$3209,"&gt;="&amp;$A2207,Data!$E$10:$E$3209,"&lt;"&amp;$A2207+1)/$AE2207)))</f>
        <v/>
      </c>
      <c r="E2207" s="56">
        <f>IF($B2207=0,"",IF(Inputs!$B$8="","",IF($AF2207=0,E2206,SUMIFS(Data!$J$10:$J$3209,Data!$I$10:$I$3209,"&gt;="&amp;$A2207,Data!$I$10:$I$3209,"&lt;"&amp;$A2207+1)/$AF2207)))</f>
        <v/>
      </c>
      <c r="F2207" s="56">
        <f>IF($B2207=0,"",IF(Inputs!$B$9="","",IF($AG2207=0,F2206,SUMIFS(Data!$N$10:$N$3209,Data!$M$10:$M$3209,"&gt;="&amp;$A2207,Data!$M$10:$M$3209,"&lt;"&amp;$A2207+1)/$AG2207)))</f>
        <v/>
      </c>
      <c r="G2207" s="56">
        <f>IF($B2207=0,"",IF(Inputs!$B$10="","",IF($AH2207=0,G2206,SUMIFS(Data!$R$10:$R$3209,Data!$Q$10:$Q$3209,"&gt;="&amp;$A2207,Data!$Q$10:$Q$3209,"&lt;"&amp;$A2207+1)/$AH2207)))</f>
        <v/>
      </c>
      <c r="I2207" s="54">
        <f>IF($B2207=0,NA(),IF($C2207="",NA(),IF(C$8="",NA(),IF(N(C$8)=0,NA(),IF(Inputs!$C$17="Rebased to 100",$C2207/C$8*100,$C2207)))))</f>
        <v/>
      </c>
      <c r="J2207" s="54">
        <f>IF($B2207=0,NA(),IF($D2207="",NA(),IF(D$8="",NA(),IF(N(D$8)=0,NA(),IF(Inputs!$C$17="Rebased to 100",$D2207/D$8*100,$D2207)))))</f>
        <v/>
      </c>
      <c r="K2207" s="54">
        <f>IF($B2207=0,NA(),IF($E2207="",NA(),IF(E$8="",NA(),IF(N(E$8)=0,NA(),IF(Inputs!$C$17="Rebased to 100",$E2207/E$8*100,$E2207)))))</f>
        <v/>
      </c>
      <c r="L2207" s="54">
        <f>IF($B2207=0,NA(),IF($F2207="",NA(),IF(F$8="",NA(),IF(N(F$8)=0,NA(),IF(Inputs!$C$17="Rebased to 100",$F2207/F$8*100,$F2207)))))</f>
        <v/>
      </c>
      <c r="M2207" s="54">
        <f>IF($B2207=0,NA(),IF($G2207="",NA(),IF(G$8="",NA(),IF(N(G$8)=0,NA(),IF(Inputs!$C$17="Rebased to 100",$G2207/G$8*100,$G2207)))))</f>
        <v/>
      </c>
      <c r="N2207" s="54">
        <f>IF($B2207=0,NA(),IF(Inputs!$C$18&lt;&gt;"Yes",NA(),IF(COUNT(I2207,J2207,K2207,L2207,M2207)=0,NA(),MIN(I2207,J2207,K2207,L2207,M2207))))</f>
        <v/>
      </c>
      <c r="O2207" s="54">
        <f>IF($B2207=0,NA(),IF(Inputs!$B$24&lt;&gt;"Yes",NA(),Inputs!$D$24*Inputs!$C$35))</f>
        <v/>
      </c>
      <c r="P2207" s="54">
        <f>IF($B2207=0,NA(),IF(Inputs!$B$25&lt;&gt;"Yes",NA(),Inputs!$D$25*Inputs!$C$35))</f>
        <v/>
      </c>
      <c r="Q2207" s="54">
        <f>IF($B2207=0,NA(),IF(Inputs!$B$26&lt;&gt;"Yes",NA(),Inputs!$D$26*Inputs!$C$35))</f>
        <v/>
      </c>
      <c r="R2207" s="54">
        <f>IF($B2207=0,NA(),IF(Inputs!$B$27&lt;&gt;"Yes",NA(),Inputs!$D$27*Inputs!$C$35))</f>
        <v/>
      </c>
      <c r="S2207" s="54">
        <f>IF($B2207=0,NA(),IF(Inputs!$B$28&lt;&gt;"Yes",NA(),Inputs!$D$28*Inputs!$C$35))</f>
        <v/>
      </c>
      <c r="T2207" s="54">
        <f>IF($B2207=0,NA(),IF(Inputs!$B$29&lt;&gt;"Yes",NA(),Inputs!$D$29*Inputs!$C$35))</f>
        <v/>
      </c>
      <c r="AD2207">
        <f>IF($B2207=0,0,IF(Inputs!$B$6="",0,COUNTIFS(Data!$A$10:$A$3209,"&gt;="&amp;$A2207,Data!$A$10:$A$3209,"&lt;"&amp;$A2207+1)))</f>
        <v/>
      </c>
      <c r="AE2207">
        <f>IF($B2207=0,0,IF(Inputs!$B$7="",0,COUNTIFS(Data!$E$10:$E$3209,"&gt;="&amp;$A2207,Data!$E$10:$E$3209,"&lt;"&amp;$A2207+1)))</f>
        <v/>
      </c>
      <c r="AF2207">
        <f>IF($B2207=0,0,IF(Inputs!$B$8="",0,COUNTIFS(Data!$I$10:$I$3209,"&gt;="&amp;$A2207,Data!$I$10:$I$3209,"&lt;"&amp;$A2207+1)))</f>
        <v/>
      </c>
      <c r="AG2207">
        <f>IF($B2207=0,0,IF(Inputs!$B$9="",0,COUNTIFS(Data!$M$10:$M$3209,"&gt;="&amp;$A2207,Data!$M$10:$M$3209,"&lt;"&amp;$A2207+1)))</f>
        <v/>
      </c>
      <c r="AH2207">
        <f>IF($B2207=0,0,IF(Inputs!$B$10="",0,COUNTIFS(Data!$Q$10:$Q$3209,"&gt;="&amp;$A2207,Data!$Q$10:$Q$3209,"&lt;"&amp;$A2207+1)))</f>
        <v/>
      </c>
    </row>
    <row r="2208">
      <c r="A2208" s="55">
        <f>MIN(Inputs!$C$15,$A2207+IF(WEEKDAY($A2207,2)=5,3,1))</f>
        <v/>
      </c>
      <c r="B2208">
        <f>IF($A2208&gt;$A2207,1,0)</f>
        <v/>
      </c>
      <c r="C2208" s="56">
        <f>IF($B2208=0,"",IF(Inputs!$B$6="","",IF($AD2208=0,C2207,SUMIFS(Data!$B$10:$B$3209,Data!$A$10:$A$3209,"&gt;="&amp;$A2208,Data!$A$10:$A$3209,"&lt;"&amp;$A2208+1)/$AD2208)))</f>
        <v/>
      </c>
      <c r="D2208" s="56">
        <f>IF($B2208=0,"",IF(Inputs!$B$7="","",IF($AE2208=0,D2207,SUMIFS(Data!$F$10:$F$3209,Data!$E$10:$E$3209,"&gt;="&amp;$A2208,Data!$E$10:$E$3209,"&lt;"&amp;$A2208+1)/$AE2208)))</f>
        <v/>
      </c>
      <c r="E2208" s="56">
        <f>IF($B2208=0,"",IF(Inputs!$B$8="","",IF($AF2208=0,E2207,SUMIFS(Data!$J$10:$J$3209,Data!$I$10:$I$3209,"&gt;="&amp;$A2208,Data!$I$10:$I$3209,"&lt;"&amp;$A2208+1)/$AF2208)))</f>
        <v/>
      </c>
      <c r="F2208" s="56">
        <f>IF($B2208=0,"",IF(Inputs!$B$9="","",IF($AG2208=0,F2207,SUMIFS(Data!$N$10:$N$3209,Data!$M$10:$M$3209,"&gt;="&amp;$A2208,Data!$M$10:$M$3209,"&lt;"&amp;$A2208+1)/$AG2208)))</f>
        <v/>
      </c>
      <c r="G2208" s="56">
        <f>IF($B2208=0,"",IF(Inputs!$B$10="","",IF($AH2208=0,G2207,SUMIFS(Data!$R$10:$R$3209,Data!$Q$10:$Q$3209,"&gt;="&amp;$A2208,Data!$Q$10:$Q$3209,"&lt;"&amp;$A2208+1)/$AH2208)))</f>
        <v/>
      </c>
      <c r="I2208" s="54">
        <f>IF($B2208=0,NA(),IF($C2208="",NA(),IF(C$8="",NA(),IF(N(C$8)=0,NA(),IF(Inputs!$C$17="Rebased to 100",$C2208/C$8*100,$C2208)))))</f>
        <v/>
      </c>
      <c r="J2208" s="54">
        <f>IF($B2208=0,NA(),IF($D2208="",NA(),IF(D$8="",NA(),IF(N(D$8)=0,NA(),IF(Inputs!$C$17="Rebased to 100",$D2208/D$8*100,$D2208)))))</f>
        <v/>
      </c>
      <c r="K2208" s="54">
        <f>IF($B2208=0,NA(),IF($E2208="",NA(),IF(E$8="",NA(),IF(N(E$8)=0,NA(),IF(Inputs!$C$17="Rebased to 100",$E2208/E$8*100,$E2208)))))</f>
        <v/>
      </c>
      <c r="L2208" s="54">
        <f>IF($B2208=0,NA(),IF($F2208="",NA(),IF(F$8="",NA(),IF(N(F$8)=0,NA(),IF(Inputs!$C$17="Rebased to 100",$F2208/F$8*100,$F2208)))))</f>
        <v/>
      </c>
      <c r="M2208" s="54">
        <f>IF($B2208=0,NA(),IF($G2208="",NA(),IF(G$8="",NA(),IF(N(G$8)=0,NA(),IF(Inputs!$C$17="Rebased to 100",$G2208/G$8*100,$G2208)))))</f>
        <v/>
      </c>
      <c r="N2208" s="54">
        <f>IF($B2208=0,NA(),IF(Inputs!$C$18&lt;&gt;"Yes",NA(),IF(COUNT(I2208,J2208,K2208,L2208,M2208)=0,NA(),MIN(I2208,J2208,K2208,L2208,M2208))))</f>
        <v/>
      </c>
      <c r="O2208" s="54">
        <f>IF($B2208=0,NA(),IF(Inputs!$B$24&lt;&gt;"Yes",NA(),Inputs!$D$24*Inputs!$C$35))</f>
        <v/>
      </c>
      <c r="P2208" s="54">
        <f>IF($B2208=0,NA(),IF(Inputs!$B$25&lt;&gt;"Yes",NA(),Inputs!$D$25*Inputs!$C$35))</f>
        <v/>
      </c>
      <c r="Q2208" s="54">
        <f>IF($B2208=0,NA(),IF(Inputs!$B$26&lt;&gt;"Yes",NA(),Inputs!$D$26*Inputs!$C$35))</f>
        <v/>
      </c>
      <c r="R2208" s="54">
        <f>IF($B2208=0,NA(),IF(Inputs!$B$27&lt;&gt;"Yes",NA(),Inputs!$D$27*Inputs!$C$35))</f>
        <v/>
      </c>
      <c r="S2208" s="54">
        <f>IF($B2208=0,NA(),IF(Inputs!$B$28&lt;&gt;"Yes",NA(),Inputs!$D$28*Inputs!$C$35))</f>
        <v/>
      </c>
      <c r="T2208" s="54">
        <f>IF($B2208=0,NA(),IF(Inputs!$B$29&lt;&gt;"Yes",NA(),Inputs!$D$29*Inputs!$C$35))</f>
        <v/>
      </c>
      <c r="AD2208">
        <f>IF($B2208=0,0,IF(Inputs!$B$6="",0,COUNTIFS(Data!$A$10:$A$3209,"&gt;="&amp;$A2208,Data!$A$10:$A$3209,"&lt;"&amp;$A2208+1)))</f>
        <v/>
      </c>
      <c r="AE2208">
        <f>IF($B2208=0,0,IF(Inputs!$B$7="",0,COUNTIFS(Data!$E$10:$E$3209,"&gt;="&amp;$A2208,Data!$E$10:$E$3209,"&lt;"&amp;$A2208+1)))</f>
        <v/>
      </c>
      <c r="AF2208">
        <f>IF($B2208=0,0,IF(Inputs!$B$8="",0,COUNTIFS(Data!$I$10:$I$3209,"&gt;="&amp;$A2208,Data!$I$10:$I$3209,"&lt;"&amp;$A2208+1)))</f>
        <v/>
      </c>
      <c r="AG2208">
        <f>IF($B2208=0,0,IF(Inputs!$B$9="",0,COUNTIFS(Data!$M$10:$M$3209,"&gt;="&amp;$A2208,Data!$M$10:$M$3209,"&lt;"&amp;$A2208+1)))</f>
        <v/>
      </c>
      <c r="AH2208">
        <f>IF($B2208=0,0,IF(Inputs!$B$10="",0,COUNTIFS(Data!$Q$10:$Q$3209,"&gt;="&amp;$A2208,Data!$Q$10:$Q$3209,"&lt;"&amp;$A2208+1)))</f>
        <v/>
      </c>
    </row>
    <row r="2209">
      <c r="A2209" s="55">
        <f>MIN(Inputs!$C$15,$A2208+IF(WEEKDAY($A2208,2)=5,3,1))</f>
        <v/>
      </c>
      <c r="B2209">
        <f>IF($A2209&gt;$A2208,1,0)</f>
        <v/>
      </c>
      <c r="C2209" s="56">
        <f>IF($B2209=0,"",IF(Inputs!$B$6="","",IF($AD2209=0,C2208,SUMIFS(Data!$B$10:$B$3209,Data!$A$10:$A$3209,"&gt;="&amp;$A2209,Data!$A$10:$A$3209,"&lt;"&amp;$A2209+1)/$AD2209)))</f>
        <v/>
      </c>
      <c r="D2209" s="56">
        <f>IF($B2209=0,"",IF(Inputs!$B$7="","",IF($AE2209=0,D2208,SUMIFS(Data!$F$10:$F$3209,Data!$E$10:$E$3209,"&gt;="&amp;$A2209,Data!$E$10:$E$3209,"&lt;"&amp;$A2209+1)/$AE2209)))</f>
        <v/>
      </c>
      <c r="E2209" s="56">
        <f>IF($B2209=0,"",IF(Inputs!$B$8="","",IF($AF2209=0,E2208,SUMIFS(Data!$J$10:$J$3209,Data!$I$10:$I$3209,"&gt;="&amp;$A2209,Data!$I$10:$I$3209,"&lt;"&amp;$A2209+1)/$AF2209)))</f>
        <v/>
      </c>
      <c r="F2209" s="56">
        <f>IF($B2209=0,"",IF(Inputs!$B$9="","",IF($AG2209=0,F2208,SUMIFS(Data!$N$10:$N$3209,Data!$M$10:$M$3209,"&gt;="&amp;$A2209,Data!$M$10:$M$3209,"&lt;"&amp;$A2209+1)/$AG2209)))</f>
        <v/>
      </c>
      <c r="G2209" s="56">
        <f>IF($B2209=0,"",IF(Inputs!$B$10="","",IF($AH2209=0,G2208,SUMIFS(Data!$R$10:$R$3209,Data!$Q$10:$Q$3209,"&gt;="&amp;$A2209,Data!$Q$10:$Q$3209,"&lt;"&amp;$A2209+1)/$AH2209)))</f>
        <v/>
      </c>
      <c r="I2209" s="54">
        <f>IF($B2209=0,NA(),IF($C2209="",NA(),IF(C$8="",NA(),IF(N(C$8)=0,NA(),IF(Inputs!$C$17="Rebased to 100",$C2209/C$8*100,$C2209)))))</f>
        <v/>
      </c>
      <c r="J2209" s="54">
        <f>IF($B2209=0,NA(),IF($D2209="",NA(),IF(D$8="",NA(),IF(N(D$8)=0,NA(),IF(Inputs!$C$17="Rebased to 100",$D2209/D$8*100,$D2209)))))</f>
        <v/>
      </c>
      <c r="K2209" s="54">
        <f>IF($B2209=0,NA(),IF($E2209="",NA(),IF(E$8="",NA(),IF(N(E$8)=0,NA(),IF(Inputs!$C$17="Rebased to 100",$E2209/E$8*100,$E2209)))))</f>
        <v/>
      </c>
      <c r="L2209" s="54">
        <f>IF($B2209=0,NA(),IF($F2209="",NA(),IF(F$8="",NA(),IF(N(F$8)=0,NA(),IF(Inputs!$C$17="Rebased to 100",$F2209/F$8*100,$F2209)))))</f>
        <v/>
      </c>
      <c r="M2209" s="54">
        <f>IF($B2209=0,NA(),IF($G2209="",NA(),IF(G$8="",NA(),IF(N(G$8)=0,NA(),IF(Inputs!$C$17="Rebased to 100",$G2209/G$8*100,$G2209)))))</f>
        <v/>
      </c>
      <c r="N2209" s="54">
        <f>IF($B2209=0,NA(),IF(Inputs!$C$18&lt;&gt;"Yes",NA(),IF(COUNT(I2209,J2209,K2209,L2209,M2209)=0,NA(),MIN(I2209,J2209,K2209,L2209,M2209))))</f>
        <v/>
      </c>
      <c r="O2209" s="54">
        <f>IF($B2209=0,NA(),IF(Inputs!$B$24&lt;&gt;"Yes",NA(),Inputs!$D$24*Inputs!$C$35))</f>
        <v/>
      </c>
      <c r="P2209" s="54">
        <f>IF($B2209=0,NA(),IF(Inputs!$B$25&lt;&gt;"Yes",NA(),Inputs!$D$25*Inputs!$C$35))</f>
        <v/>
      </c>
      <c r="Q2209" s="54">
        <f>IF($B2209=0,NA(),IF(Inputs!$B$26&lt;&gt;"Yes",NA(),Inputs!$D$26*Inputs!$C$35))</f>
        <v/>
      </c>
      <c r="R2209" s="54">
        <f>IF($B2209=0,NA(),IF(Inputs!$B$27&lt;&gt;"Yes",NA(),Inputs!$D$27*Inputs!$C$35))</f>
        <v/>
      </c>
      <c r="S2209" s="54">
        <f>IF($B2209=0,NA(),IF(Inputs!$B$28&lt;&gt;"Yes",NA(),Inputs!$D$28*Inputs!$C$35))</f>
        <v/>
      </c>
      <c r="T2209" s="54">
        <f>IF($B2209=0,NA(),IF(Inputs!$B$29&lt;&gt;"Yes",NA(),Inputs!$D$29*Inputs!$C$35))</f>
        <v/>
      </c>
      <c r="AD2209">
        <f>IF($B2209=0,0,IF(Inputs!$B$6="",0,COUNTIFS(Data!$A$10:$A$3209,"&gt;="&amp;$A2209,Data!$A$10:$A$3209,"&lt;"&amp;$A2209+1)))</f>
        <v/>
      </c>
      <c r="AE2209">
        <f>IF($B2209=0,0,IF(Inputs!$B$7="",0,COUNTIFS(Data!$E$10:$E$3209,"&gt;="&amp;$A2209,Data!$E$10:$E$3209,"&lt;"&amp;$A2209+1)))</f>
        <v/>
      </c>
      <c r="AF2209">
        <f>IF($B2209=0,0,IF(Inputs!$B$8="",0,COUNTIFS(Data!$I$10:$I$3209,"&gt;="&amp;$A2209,Data!$I$10:$I$3209,"&lt;"&amp;$A2209+1)))</f>
        <v/>
      </c>
      <c r="AG2209">
        <f>IF($B2209=0,0,IF(Inputs!$B$9="",0,COUNTIFS(Data!$M$10:$M$3209,"&gt;="&amp;$A2209,Data!$M$10:$M$3209,"&lt;"&amp;$A2209+1)))</f>
        <v/>
      </c>
      <c r="AH2209">
        <f>IF($B2209=0,0,IF(Inputs!$B$10="",0,COUNTIFS(Data!$Q$10:$Q$3209,"&gt;="&amp;$A2209,Data!$Q$10:$Q$3209,"&lt;"&amp;$A2209+1)))</f>
        <v/>
      </c>
    </row>
    <row r="2210">
      <c r="A2210" s="55">
        <f>MIN(Inputs!$C$15,$A2209+IF(WEEKDAY($A2209,2)=5,3,1))</f>
        <v/>
      </c>
      <c r="B2210">
        <f>IF($A2210&gt;$A2209,1,0)</f>
        <v/>
      </c>
      <c r="C2210" s="56">
        <f>IF($B2210=0,"",IF(Inputs!$B$6="","",IF($AD2210=0,C2209,SUMIFS(Data!$B$10:$B$3209,Data!$A$10:$A$3209,"&gt;="&amp;$A2210,Data!$A$10:$A$3209,"&lt;"&amp;$A2210+1)/$AD2210)))</f>
        <v/>
      </c>
      <c r="D2210" s="56">
        <f>IF($B2210=0,"",IF(Inputs!$B$7="","",IF($AE2210=0,D2209,SUMIFS(Data!$F$10:$F$3209,Data!$E$10:$E$3209,"&gt;="&amp;$A2210,Data!$E$10:$E$3209,"&lt;"&amp;$A2210+1)/$AE2210)))</f>
        <v/>
      </c>
      <c r="E2210" s="56">
        <f>IF($B2210=0,"",IF(Inputs!$B$8="","",IF($AF2210=0,E2209,SUMIFS(Data!$J$10:$J$3209,Data!$I$10:$I$3209,"&gt;="&amp;$A2210,Data!$I$10:$I$3209,"&lt;"&amp;$A2210+1)/$AF2210)))</f>
        <v/>
      </c>
      <c r="F2210" s="56">
        <f>IF($B2210=0,"",IF(Inputs!$B$9="","",IF($AG2210=0,F2209,SUMIFS(Data!$N$10:$N$3209,Data!$M$10:$M$3209,"&gt;="&amp;$A2210,Data!$M$10:$M$3209,"&lt;"&amp;$A2210+1)/$AG2210)))</f>
        <v/>
      </c>
      <c r="G2210" s="56">
        <f>IF($B2210=0,"",IF(Inputs!$B$10="","",IF($AH2210=0,G2209,SUMIFS(Data!$R$10:$R$3209,Data!$Q$10:$Q$3209,"&gt;="&amp;$A2210,Data!$Q$10:$Q$3209,"&lt;"&amp;$A2210+1)/$AH2210)))</f>
        <v/>
      </c>
      <c r="I2210" s="54">
        <f>IF($B2210=0,NA(),IF($C2210="",NA(),IF(C$8="",NA(),IF(N(C$8)=0,NA(),IF(Inputs!$C$17="Rebased to 100",$C2210/C$8*100,$C2210)))))</f>
        <v/>
      </c>
      <c r="J2210" s="54">
        <f>IF($B2210=0,NA(),IF($D2210="",NA(),IF(D$8="",NA(),IF(N(D$8)=0,NA(),IF(Inputs!$C$17="Rebased to 100",$D2210/D$8*100,$D2210)))))</f>
        <v/>
      </c>
      <c r="K2210" s="54">
        <f>IF($B2210=0,NA(),IF($E2210="",NA(),IF(E$8="",NA(),IF(N(E$8)=0,NA(),IF(Inputs!$C$17="Rebased to 100",$E2210/E$8*100,$E2210)))))</f>
        <v/>
      </c>
      <c r="L2210" s="54">
        <f>IF($B2210=0,NA(),IF($F2210="",NA(),IF(F$8="",NA(),IF(N(F$8)=0,NA(),IF(Inputs!$C$17="Rebased to 100",$F2210/F$8*100,$F2210)))))</f>
        <v/>
      </c>
      <c r="M2210" s="54">
        <f>IF($B2210=0,NA(),IF($G2210="",NA(),IF(G$8="",NA(),IF(N(G$8)=0,NA(),IF(Inputs!$C$17="Rebased to 100",$G2210/G$8*100,$G2210)))))</f>
        <v/>
      </c>
      <c r="N2210" s="54">
        <f>IF($B2210=0,NA(),IF(Inputs!$C$18&lt;&gt;"Yes",NA(),IF(COUNT(I2210,J2210,K2210,L2210,M2210)=0,NA(),MIN(I2210,J2210,K2210,L2210,M2210))))</f>
        <v/>
      </c>
      <c r="O2210" s="54">
        <f>IF($B2210=0,NA(),IF(Inputs!$B$24&lt;&gt;"Yes",NA(),Inputs!$D$24*Inputs!$C$35))</f>
        <v/>
      </c>
      <c r="P2210" s="54">
        <f>IF($B2210=0,NA(),IF(Inputs!$B$25&lt;&gt;"Yes",NA(),Inputs!$D$25*Inputs!$C$35))</f>
        <v/>
      </c>
      <c r="Q2210" s="54">
        <f>IF($B2210=0,NA(),IF(Inputs!$B$26&lt;&gt;"Yes",NA(),Inputs!$D$26*Inputs!$C$35))</f>
        <v/>
      </c>
      <c r="R2210" s="54">
        <f>IF($B2210=0,NA(),IF(Inputs!$B$27&lt;&gt;"Yes",NA(),Inputs!$D$27*Inputs!$C$35))</f>
        <v/>
      </c>
      <c r="S2210" s="54">
        <f>IF($B2210=0,NA(),IF(Inputs!$B$28&lt;&gt;"Yes",NA(),Inputs!$D$28*Inputs!$C$35))</f>
        <v/>
      </c>
      <c r="T2210" s="54">
        <f>IF($B2210=0,NA(),IF(Inputs!$B$29&lt;&gt;"Yes",NA(),Inputs!$D$29*Inputs!$C$35))</f>
        <v/>
      </c>
      <c r="AD2210">
        <f>IF($B2210=0,0,IF(Inputs!$B$6="",0,COUNTIFS(Data!$A$10:$A$3209,"&gt;="&amp;$A2210,Data!$A$10:$A$3209,"&lt;"&amp;$A2210+1)))</f>
        <v/>
      </c>
      <c r="AE2210">
        <f>IF($B2210=0,0,IF(Inputs!$B$7="",0,COUNTIFS(Data!$E$10:$E$3209,"&gt;="&amp;$A2210,Data!$E$10:$E$3209,"&lt;"&amp;$A2210+1)))</f>
        <v/>
      </c>
      <c r="AF2210">
        <f>IF($B2210=0,0,IF(Inputs!$B$8="",0,COUNTIFS(Data!$I$10:$I$3209,"&gt;="&amp;$A2210,Data!$I$10:$I$3209,"&lt;"&amp;$A2210+1)))</f>
        <v/>
      </c>
      <c r="AG2210">
        <f>IF($B2210=0,0,IF(Inputs!$B$9="",0,COUNTIFS(Data!$M$10:$M$3209,"&gt;="&amp;$A2210,Data!$M$10:$M$3209,"&lt;"&amp;$A2210+1)))</f>
        <v/>
      </c>
      <c r="AH2210">
        <f>IF($B2210=0,0,IF(Inputs!$B$10="",0,COUNTIFS(Data!$Q$10:$Q$3209,"&gt;="&amp;$A2210,Data!$Q$10:$Q$3209,"&lt;"&amp;$A2210+1)))</f>
        <v/>
      </c>
    </row>
    <row r="2211">
      <c r="A2211" s="55">
        <f>MIN(Inputs!$C$15,$A2210+IF(WEEKDAY($A2210,2)=5,3,1))</f>
        <v/>
      </c>
      <c r="B2211">
        <f>IF($A2211&gt;$A2210,1,0)</f>
        <v/>
      </c>
      <c r="C2211" s="56">
        <f>IF($B2211=0,"",IF(Inputs!$B$6="","",IF($AD2211=0,C2210,SUMIFS(Data!$B$10:$B$3209,Data!$A$10:$A$3209,"&gt;="&amp;$A2211,Data!$A$10:$A$3209,"&lt;"&amp;$A2211+1)/$AD2211)))</f>
        <v/>
      </c>
      <c r="D2211" s="56">
        <f>IF($B2211=0,"",IF(Inputs!$B$7="","",IF($AE2211=0,D2210,SUMIFS(Data!$F$10:$F$3209,Data!$E$10:$E$3209,"&gt;="&amp;$A2211,Data!$E$10:$E$3209,"&lt;"&amp;$A2211+1)/$AE2211)))</f>
        <v/>
      </c>
      <c r="E2211" s="56">
        <f>IF($B2211=0,"",IF(Inputs!$B$8="","",IF($AF2211=0,E2210,SUMIFS(Data!$J$10:$J$3209,Data!$I$10:$I$3209,"&gt;="&amp;$A2211,Data!$I$10:$I$3209,"&lt;"&amp;$A2211+1)/$AF2211)))</f>
        <v/>
      </c>
      <c r="F2211" s="56">
        <f>IF($B2211=0,"",IF(Inputs!$B$9="","",IF($AG2211=0,F2210,SUMIFS(Data!$N$10:$N$3209,Data!$M$10:$M$3209,"&gt;="&amp;$A2211,Data!$M$10:$M$3209,"&lt;"&amp;$A2211+1)/$AG2211)))</f>
        <v/>
      </c>
      <c r="G2211" s="56">
        <f>IF($B2211=0,"",IF(Inputs!$B$10="","",IF($AH2211=0,G2210,SUMIFS(Data!$R$10:$R$3209,Data!$Q$10:$Q$3209,"&gt;="&amp;$A2211,Data!$Q$10:$Q$3209,"&lt;"&amp;$A2211+1)/$AH2211)))</f>
        <v/>
      </c>
      <c r="I2211" s="54">
        <f>IF($B2211=0,NA(),IF($C2211="",NA(),IF(C$8="",NA(),IF(N(C$8)=0,NA(),IF(Inputs!$C$17="Rebased to 100",$C2211/C$8*100,$C2211)))))</f>
        <v/>
      </c>
      <c r="J2211" s="54">
        <f>IF($B2211=0,NA(),IF($D2211="",NA(),IF(D$8="",NA(),IF(N(D$8)=0,NA(),IF(Inputs!$C$17="Rebased to 100",$D2211/D$8*100,$D2211)))))</f>
        <v/>
      </c>
      <c r="K2211" s="54">
        <f>IF($B2211=0,NA(),IF($E2211="",NA(),IF(E$8="",NA(),IF(N(E$8)=0,NA(),IF(Inputs!$C$17="Rebased to 100",$E2211/E$8*100,$E2211)))))</f>
        <v/>
      </c>
      <c r="L2211" s="54">
        <f>IF($B2211=0,NA(),IF($F2211="",NA(),IF(F$8="",NA(),IF(N(F$8)=0,NA(),IF(Inputs!$C$17="Rebased to 100",$F2211/F$8*100,$F2211)))))</f>
        <v/>
      </c>
      <c r="M2211" s="54">
        <f>IF($B2211=0,NA(),IF($G2211="",NA(),IF(G$8="",NA(),IF(N(G$8)=0,NA(),IF(Inputs!$C$17="Rebased to 100",$G2211/G$8*100,$G2211)))))</f>
        <v/>
      </c>
      <c r="N2211" s="54">
        <f>IF($B2211=0,NA(),IF(Inputs!$C$18&lt;&gt;"Yes",NA(),IF(COUNT(I2211,J2211,K2211,L2211,M2211)=0,NA(),MIN(I2211,J2211,K2211,L2211,M2211))))</f>
        <v/>
      </c>
      <c r="O2211" s="54">
        <f>IF($B2211=0,NA(),IF(Inputs!$B$24&lt;&gt;"Yes",NA(),Inputs!$D$24*Inputs!$C$35))</f>
        <v/>
      </c>
      <c r="P2211" s="54">
        <f>IF($B2211=0,NA(),IF(Inputs!$B$25&lt;&gt;"Yes",NA(),Inputs!$D$25*Inputs!$C$35))</f>
        <v/>
      </c>
      <c r="Q2211" s="54">
        <f>IF($B2211=0,NA(),IF(Inputs!$B$26&lt;&gt;"Yes",NA(),Inputs!$D$26*Inputs!$C$35))</f>
        <v/>
      </c>
      <c r="R2211" s="54">
        <f>IF($B2211=0,NA(),IF(Inputs!$B$27&lt;&gt;"Yes",NA(),Inputs!$D$27*Inputs!$C$35))</f>
        <v/>
      </c>
      <c r="S2211" s="54">
        <f>IF($B2211=0,NA(),IF(Inputs!$B$28&lt;&gt;"Yes",NA(),Inputs!$D$28*Inputs!$C$35))</f>
        <v/>
      </c>
      <c r="T2211" s="54">
        <f>IF($B2211=0,NA(),IF(Inputs!$B$29&lt;&gt;"Yes",NA(),Inputs!$D$29*Inputs!$C$35))</f>
        <v/>
      </c>
      <c r="AD2211">
        <f>IF($B2211=0,0,IF(Inputs!$B$6="",0,COUNTIFS(Data!$A$10:$A$3209,"&gt;="&amp;$A2211,Data!$A$10:$A$3209,"&lt;"&amp;$A2211+1)))</f>
        <v/>
      </c>
      <c r="AE2211">
        <f>IF($B2211=0,0,IF(Inputs!$B$7="",0,COUNTIFS(Data!$E$10:$E$3209,"&gt;="&amp;$A2211,Data!$E$10:$E$3209,"&lt;"&amp;$A2211+1)))</f>
        <v/>
      </c>
      <c r="AF2211">
        <f>IF($B2211=0,0,IF(Inputs!$B$8="",0,COUNTIFS(Data!$I$10:$I$3209,"&gt;="&amp;$A2211,Data!$I$10:$I$3209,"&lt;"&amp;$A2211+1)))</f>
        <v/>
      </c>
      <c r="AG2211">
        <f>IF($B2211=0,0,IF(Inputs!$B$9="",0,COUNTIFS(Data!$M$10:$M$3209,"&gt;="&amp;$A2211,Data!$M$10:$M$3209,"&lt;"&amp;$A2211+1)))</f>
        <v/>
      </c>
      <c r="AH2211">
        <f>IF($B2211=0,0,IF(Inputs!$B$10="",0,COUNTIFS(Data!$Q$10:$Q$3209,"&gt;="&amp;$A2211,Data!$Q$10:$Q$3209,"&lt;"&amp;$A2211+1)))</f>
        <v/>
      </c>
    </row>
    <row r="2212">
      <c r="A2212" s="55">
        <f>MIN(Inputs!$C$15,$A2211+IF(WEEKDAY($A2211,2)=5,3,1))</f>
        <v/>
      </c>
      <c r="B2212">
        <f>IF($A2212&gt;$A2211,1,0)</f>
        <v/>
      </c>
      <c r="C2212" s="56">
        <f>IF($B2212=0,"",IF(Inputs!$B$6="","",IF($AD2212=0,C2211,SUMIFS(Data!$B$10:$B$3209,Data!$A$10:$A$3209,"&gt;="&amp;$A2212,Data!$A$10:$A$3209,"&lt;"&amp;$A2212+1)/$AD2212)))</f>
        <v/>
      </c>
      <c r="D2212" s="56">
        <f>IF($B2212=0,"",IF(Inputs!$B$7="","",IF($AE2212=0,D2211,SUMIFS(Data!$F$10:$F$3209,Data!$E$10:$E$3209,"&gt;="&amp;$A2212,Data!$E$10:$E$3209,"&lt;"&amp;$A2212+1)/$AE2212)))</f>
        <v/>
      </c>
      <c r="E2212" s="56">
        <f>IF($B2212=0,"",IF(Inputs!$B$8="","",IF($AF2212=0,E2211,SUMIFS(Data!$J$10:$J$3209,Data!$I$10:$I$3209,"&gt;="&amp;$A2212,Data!$I$10:$I$3209,"&lt;"&amp;$A2212+1)/$AF2212)))</f>
        <v/>
      </c>
      <c r="F2212" s="56">
        <f>IF($B2212=0,"",IF(Inputs!$B$9="","",IF($AG2212=0,F2211,SUMIFS(Data!$N$10:$N$3209,Data!$M$10:$M$3209,"&gt;="&amp;$A2212,Data!$M$10:$M$3209,"&lt;"&amp;$A2212+1)/$AG2212)))</f>
        <v/>
      </c>
      <c r="G2212" s="56">
        <f>IF($B2212=0,"",IF(Inputs!$B$10="","",IF($AH2212=0,G2211,SUMIFS(Data!$R$10:$R$3209,Data!$Q$10:$Q$3209,"&gt;="&amp;$A2212,Data!$Q$10:$Q$3209,"&lt;"&amp;$A2212+1)/$AH2212)))</f>
        <v/>
      </c>
      <c r="I2212" s="54">
        <f>IF($B2212=0,NA(),IF($C2212="",NA(),IF(C$8="",NA(),IF(N(C$8)=0,NA(),IF(Inputs!$C$17="Rebased to 100",$C2212/C$8*100,$C2212)))))</f>
        <v/>
      </c>
      <c r="J2212" s="54">
        <f>IF($B2212=0,NA(),IF($D2212="",NA(),IF(D$8="",NA(),IF(N(D$8)=0,NA(),IF(Inputs!$C$17="Rebased to 100",$D2212/D$8*100,$D2212)))))</f>
        <v/>
      </c>
      <c r="K2212" s="54">
        <f>IF($B2212=0,NA(),IF($E2212="",NA(),IF(E$8="",NA(),IF(N(E$8)=0,NA(),IF(Inputs!$C$17="Rebased to 100",$E2212/E$8*100,$E2212)))))</f>
        <v/>
      </c>
      <c r="L2212" s="54">
        <f>IF($B2212=0,NA(),IF($F2212="",NA(),IF(F$8="",NA(),IF(N(F$8)=0,NA(),IF(Inputs!$C$17="Rebased to 100",$F2212/F$8*100,$F2212)))))</f>
        <v/>
      </c>
      <c r="M2212" s="54">
        <f>IF($B2212=0,NA(),IF($G2212="",NA(),IF(G$8="",NA(),IF(N(G$8)=0,NA(),IF(Inputs!$C$17="Rebased to 100",$G2212/G$8*100,$G2212)))))</f>
        <v/>
      </c>
      <c r="N2212" s="54">
        <f>IF($B2212=0,NA(),IF(Inputs!$C$18&lt;&gt;"Yes",NA(),IF(COUNT(I2212,J2212,K2212,L2212,M2212)=0,NA(),MIN(I2212,J2212,K2212,L2212,M2212))))</f>
        <v/>
      </c>
      <c r="O2212" s="54">
        <f>IF($B2212=0,NA(),IF(Inputs!$B$24&lt;&gt;"Yes",NA(),Inputs!$D$24*Inputs!$C$35))</f>
        <v/>
      </c>
      <c r="P2212" s="54">
        <f>IF($B2212=0,NA(),IF(Inputs!$B$25&lt;&gt;"Yes",NA(),Inputs!$D$25*Inputs!$C$35))</f>
        <v/>
      </c>
      <c r="Q2212" s="54">
        <f>IF($B2212=0,NA(),IF(Inputs!$B$26&lt;&gt;"Yes",NA(),Inputs!$D$26*Inputs!$C$35))</f>
        <v/>
      </c>
      <c r="R2212" s="54">
        <f>IF($B2212=0,NA(),IF(Inputs!$B$27&lt;&gt;"Yes",NA(),Inputs!$D$27*Inputs!$C$35))</f>
        <v/>
      </c>
      <c r="S2212" s="54">
        <f>IF($B2212=0,NA(),IF(Inputs!$B$28&lt;&gt;"Yes",NA(),Inputs!$D$28*Inputs!$C$35))</f>
        <v/>
      </c>
      <c r="T2212" s="54">
        <f>IF($B2212=0,NA(),IF(Inputs!$B$29&lt;&gt;"Yes",NA(),Inputs!$D$29*Inputs!$C$35))</f>
        <v/>
      </c>
      <c r="AD2212">
        <f>IF($B2212=0,0,IF(Inputs!$B$6="",0,COUNTIFS(Data!$A$10:$A$3209,"&gt;="&amp;$A2212,Data!$A$10:$A$3209,"&lt;"&amp;$A2212+1)))</f>
        <v/>
      </c>
      <c r="AE2212">
        <f>IF($B2212=0,0,IF(Inputs!$B$7="",0,COUNTIFS(Data!$E$10:$E$3209,"&gt;="&amp;$A2212,Data!$E$10:$E$3209,"&lt;"&amp;$A2212+1)))</f>
        <v/>
      </c>
      <c r="AF2212">
        <f>IF($B2212=0,0,IF(Inputs!$B$8="",0,COUNTIFS(Data!$I$10:$I$3209,"&gt;="&amp;$A2212,Data!$I$10:$I$3209,"&lt;"&amp;$A2212+1)))</f>
        <v/>
      </c>
      <c r="AG2212">
        <f>IF($B2212=0,0,IF(Inputs!$B$9="",0,COUNTIFS(Data!$M$10:$M$3209,"&gt;="&amp;$A2212,Data!$M$10:$M$3209,"&lt;"&amp;$A2212+1)))</f>
        <v/>
      </c>
      <c r="AH2212">
        <f>IF($B2212=0,0,IF(Inputs!$B$10="",0,COUNTIFS(Data!$Q$10:$Q$3209,"&gt;="&amp;$A2212,Data!$Q$10:$Q$3209,"&lt;"&amp;$A2212+1)))</f>
        <v/>
      </c>
    </row>
    <row r="2213">
      <c r="A2213" s="55">
        <f>MIN(Inputs!$C$15,$A2212+IF(WEEKDAY($A2212,2)=5,3,1))</f>
        <v/>
      </c>
      <c r="B2213">
        <f>IF($A2213&gt;$A2212,1,0)</f>
        <v/>
      </c>
      <c r="C2213" s="56">
        <f>IF($B2213=0,"",IF(Inputs!$B$6="","",IF($AD2213=0,C2212,SUMIFS(Data!$B$10:$B$3209,Data!$A$10:$A$3209,"&gt;="&amp;$A2213,Data!$A$10:$A$3209,"&lt;"&amp;$A2213+1)/$AD2213)))</f>
        <v/>
      </c>
      <c r="D2213" s="56">
        <f>IF($B2213=0,"",IF(Inputs!$B$7="","",IF($AE2213=0,D2212,SUMIFS(Data!$F$10:$F$3209,Data!$E$10:$E$3209,"&gt;="&amp;$A2213,Data!$E$10:$E$3209,"&lt;"&amp;$A2213+1)/$AE2213)))</f>
        <v/>
      </c>
      <c r="E2213" s="56">
        <f>IF($B2213=0,"",IF(Inputs!$B$8="","",IF($AF2213=0,E2212,SUMIFS(Data!$J$10:$J$3209,Data!$I$10:$I$3209,"&gt;="&amp;$A2213,Data!$I$10:$I$3209,"&lt;"&amp;$A2213+1)/$AF2213)))</f>
        <v/>
      </c>
      <c r="F2213" s="56">
        <f>IF($B2213=0,"",IF(Inputs!$B$9="","",IF($AG2213=0,F2212,SUMIFS(Data!$N$10:$N$3209,Data!$M$10:$M$3209,"&gt;="&amp;$A2213,Data!$M$10:$M$3209,"&lt;"&amp;$A2213+1)/$AG2213)))</f>
        <v/>
      </c>
      <c r="G2213" s="56">
        <f>IF($B2213=0,"",IF(Inputs!$B$10="","",IF($AH2213=0,G2212,SUMIFS(Data!$R$10:$R$3209,Data!$Q$10:$Q$3209,"&gt;="&amp;$A2213,Data!$Q$10:$Q$3209,"&lt;"&amp;$A2213+1)/$AH2213)))</f>
        <v/>
      </c>
      <c r="I2213" s="54">
        <f>IF($B2213=0,NA(),IF($C2213="",NA(),IF(C$8="",NA(),IF(N(C$8)=0,NA(),IF(Inputs!$C$17="Rebased to 100",$C2213/C$8*100,$C2213)))))</f>
        <v/>
      </c>
      <c r="J2213" s="54">
        <f>IF($B2213=0,NA(),IF($D2213="",NA(),IF(D$8="",NA(),IF(N(D$8)=0,NA(),IF(Inputs!$C$17="Rebased to 100",$D2213/D$8*100,$D2213)))))</f>
        <v/>
      </c>
      <c r="K2213" s="54">
        <f>IF($B2213=0,NA(),IF($E2213="",NA(),IF(E$8="",NA(),IF(N(E$8)=0,NA(),IF(Inputs!$C$17="Rebased to 100",$E2213/E$8*100,$E2213)))))</f>
        <v/>
      </c>
      <c r="L2213" s="54">
        <f>IF($B2213=0,NA(),IF($F2213="",NA(),IF(F$8="",NA(),IF(N(F$8)=0,NA(),IF(Inputs!$C$17="Rebased to 100",$F2213/F$8*100,$F2213)))))</f>
        <v/>
      </c>
      <c r="M2213" s="54">
        <f>IF($B2213=0,NA(),IF($G2213="",NA(),IF(G$8="",NA(),IF(N(G$8)=0,NA(),IF(Inputs!$C$17="Rebased to 100",$G2213/G$8*100,$G2213)))))</f>
        <v/>
      </c>
      <c r="N2213" s="54">
        <f>IF($B2213=0,NA(),IF(Inputs!$C$18&lt;&gt;"Yes",NA(),IF(COUNT(I2213,J2213,K2213,L2213,M2213)=0,NA(),MIN(I2213,J2213,K2213,L2213,M2213))))</f>
        <v/>
      </c>
      <c r="O2213" s="54">
        <f>IF($B2213=0,NA(),IF(Inputs!$B$24&lt;&gt;"Yes",NA(),Inputs!$D$24*Inputs!$C$35))</f>
        <v/>
      </c>
      <c r="P2213" s="54">
        <f>IF($B2213=0,NA(),IF(Inputs!$B$25&lt;&gt;"Yes",NA(),Inputs!$D$25*Inputs!$C$35))</f>
        <v/>
      </c>
      <c r="Q2213" s="54">
        <f>IF($B2213=0,NA(),IF(Inputs!$B$26&lt;&gt;"Yes",NA(),Inputs!$D$26*Inputs!$C$35))</f>
        <v/>
      </c>
      <c r="R2213" s="54">
        <f>IF($B2213=0,NA(),IF(Inputs!$B$27&lt;&gt;"Yes",NA(),Inputs!$D$27*Inputs!$C$35))</f>
        <v/>
      </c>
      <c r="S2213" s="54">
        <f>IF($B2213=0,NA(),IF(Inputs!$B$28&lt;&gt;"Yes",NA(),Inputs!$D$28*Inputs!$C$35))</f>
        <v/>
      </c>
      <c r="T2213" s="54">
        <f>IF($B2213=0,NA(),IF(Inputs!$B$29&lt;&gt;"Yes",NA(),Inputs!$D$29*Inputs!$C$35))</f>
        <v/>
      </c>
      <c r="AD2213">
        <f>IF($B2213=0,0,IF(Inputs!$B$6="",0,COUNTIFS(Data!$A$10:$A$3209,"&gt;="&amp;$A2213,Data!$A$10:$A$3209,"&lt;"&amp;$A2213+1)))</f>
        <v/>
      </c>
      <c r="AE2213">
        <f>IF($B2213=0,0,IF(Inputs!$B$7="",0,COUNTIFS(Data!$E$10:$E$3209,"&gt;="&amp;$A2213,Data!$E$10:$E$3209,"&lt;"&amp;$A2213+1)))</f>
        <v/>
      </c>
      <c r="AF2213">
        <f>IF($B2213=0,0,IF(Inputs!$B$8="",0,COUNTIFS(Data!$I$10:$I$3209,"&gt;="&amp;$A2213,Data!$I$10:$I$3209,"&lt;"&amp;$A2213+1)))</f>
        <v/>
      </c>
      <c r="AG2213">
        <f>IF($B2213=0,0,IF(Inputs!$B$9="",0,COUNTIFS(Data!$M$10:$M$3209,"&gt;="&amp;$A2213,Data!$M$10:$M$3209,"&lt;"&amp;$A2213+1)))</f>
        <v/>
      </c>
      <c r="AH2213">
        <f>IF($B2213=0,0,IF(Inputs!$B$10="",0,COUNTIFS(Data!$Q$10:$Q$3209,"&gt;="&amp;$A2213,Data!$Q$10:$Q$3209,"&lt;"&amp;$A2213+1)))</f>
        <v/>
      </c>
    </row>
    <row r="2214">
      <c r="A2214" s="55">
        <f>MIN(Inputs!$C$15,$A2213+IF(WEEKDAY($A2213,2)=5,3,1))</f>
        <v/>
      </c>
      <c r="B2214">
        <f>IF($A2214&gt;$A2213,1,0)</f>
        <v/>
      </c>
      <c r="C2214" s="56">
        <f>IF($B2214=0,"",IF(Inputs!$B$6="","",IF($AD2214=0,C2213,SUMIFS(Data!$B$10:$B$3209,Data!$A$10:$A$3209,"&gt;="&amp;$A2214,Data!$A$10:$A$3209,"&lt;"&amp;$A2214+1)/$AD2214)))</f>
        <v/>
      </c>
      <c r="D2214" s="56">
        <f>IF($B2214=0,"",IF(Inputs!$B$7="","",IF($AE2214=0,D2213,SUMIFS(Data!$F$10:$F$3209,Data!$E$10:$E$3209,"&gt;="&amp;$A2214,Data!$E$10:$E$3209,"&lt;"&amp;$A2214+1)/$AE2214)))</f>
        <v/>
      </c>
      <c r="E2214" s="56">
        <f>IF($B2214=0,"",IF(Inputs!$B$8="","",IF($AF2214=0,E2213,SUMIFS(Data!$J$10:$J$3209,Data!$I$10:$I$3209,"&gt;="&amp;$A2214,Data!$I$10:$I$3209,"&lt;"&amp;$A2214+1)/$AF2214)))</f>
        <v/>
      </c>
      <c r="F2214" s="56">
        <f>IF($B2214=0,"",IF(Inputs!$B$9="","",IF($AG2214=0,F2213,SUMIFS(Data!$N$10:$N$3209,Data!$M$10:$M$3209,"&gt;="&amp;$A2214,Data!$M$10:$M$3209,"&lt;"&amp;$A2214+1)/$AG2214)))</f>
        <v/>
      </c>
      <c r="G2214" s="56">
        <f>IF($B2214=0,"",IF(Inputs!$B$10="","",IF($AH2214=0,G2213,SUMIFS(Data!$R$10:$R$3209,Data!$Q$10:$Q$3209,"&gt;="&amp;$A2214,Data!$Q$10:$Q$3209,"&lt;"&amp;$A2214+1)/$AH2214)))</f>
        <v/>
      </c>
      <c r="I2214" s="54">
        <f>IF($B2214=0,NA(),IF($C2214="",NA(),IF(C$8="",NA(),IF(N(C$8)=0,NA(),IF(Inputs!$C$17="Rebased to 100",$C2214/C$8*100,$C2214)))))</f>
        <v/>
      </c>
      <c r="J2214" s="54">
        <f>IF($B2214=0,NA(),IF($D2214="",NA(),IF(D$8="",NA(),IF(N(D$8)=0,NA(),IF(Inputs!$C$17="Rebased to 100",$D2214/D$8*100,$D2214)))))</f>
        <v/>
      </c>
      <c r="K2214" s="54">
        <f>IF($B2214=0,NA(),IF($E2214="",NA(),IF(E$8="",NA(),IF(N(E$8)=0,NA(),IF(Inputs!$C$17="Rebased to 100",$E2214/E$8*100,$E2214)))))</f>
        <v/>
      </c>
      <c r="L2214" s="54">
        <f>IF($B2214=0,NA(),IF($F2214="",NA(),IF(F$8="",NA(),IF(N(F$8)=0,NA(),IF(Inputs!$C$17="Rebased to 100",$F2214/F$8*100,$F2214)))))</f>
        <v/>
      </c>
      <c r="M2214" s="54">
        <f>IF($B2214=0,NA(),IF($G2214="",NA(),IF(G$8="",NA(),IF(N(G$8)=0,NA(),IF(Inputs!$C$17="Rebased to 100",$G2214/G$8*100,$G2214)))))</f>
        <v/>
      </c>
      <c r="N2214" s="54">
        <f>IF($B2214=0,NA(),IF(Inputs!$C$18&lt;&gt;"Yes",NA(),IF(COUNT(I2214,J2214,K2214,L2214,M2214)=0,NA(),MIN(I2214,J2214,K2214,L2214,M2214))))</f>
        <v/>
      </c>
      <c r="O2214" s="54">
        <f>IF($B2214=0,NA(),IF(Inputs!$B$24&lt;&gt;"Yes",NA(),Inputs!$D$24*Inputs!$C$35))</f>
        <v/>
      </c>
      <c r="P2214" s="54">
        <f>IF($B2214=0,NA(),IF(Inputs!$B$25&lt;&gt;"Yes",NA(),Inputs!$D$25*Inputs!$C$35))</f>
        <v/>
      </c>
      <c r="Q2214" s="54">
        <f>IF($B2214=0,NA(),IF(Inputs!$B$26&lt;&gt;"Yes",NA(),Inputs!$D$26*Inputs!$C$35))</f>
        <v/>
      </c>
      <c r="R2214" s="54">
        <f>IF($B2214=0,NA(),IF(Inputs!$B$27&lt;&gt;"Yes",NA(),Inputs!$D$27*Inputs!$C$35))</f>
        <v/>
      </c>
      <c r="S2214" s="54">
        <f>IF($B2214=0,NA(),IF(Inputs!$B$28&lt;&gt;"Yes",NA(),Inputs!$D$28*Inputs!$C$35))</f>
        <v/>
      </c>
      <c r="T2214" s="54">
        <f>IF($B2214=0,NA(),IF(Inputs!$B$29&lt;&gt;"Yes",NA(),Inputs!$D$29*Inputs!$C$35))</f>
        <v/>
      </c>
      <c r="AD2214">
        <f>IF($B2214=0,0,IF(Inputs!$B$6="",0,COUNTIFS(Data!$A$10:$A$3209,"&gt;="&amp;$A2214,Data!$A$10:$A$3209,"&lt;"&amp;$A2214+1)))</f>
        <v/>
      </c>
      <c r="AE2214">
        <f>IF($B2214=0,0,IF(Inputs!$B$7="",0,COUNTIFS(Data!$E$10:$E$3209,"&gt;="&amp;$A2214,Data!$E$10:$E$3209,"&lt;"&amp;$A2214+1)))</f>
        <v/>
      </c>
      <c r="AF2214">
        <f>IF($B2214=0,0,IF(Inputs!$B$8="",0,COUNTIFS(Data!$I$10:$I$3209,"&gt;="&amp;$A2214,Data!$I$10:$I$3209,"&lt;"&amp;$A2214+1)))</f>
        <v/>
      </c>
      <c r="AG2214">
        <f>IF($B2214=0,0,IF(Inputs!$B$9="",0,COUNTIFS(Data!$M$10:$M$3209,"&gt;="&amp;$A2214,Data!$M$10:$M$3209,"&lt;"&amp;$A2214+1)))</f>
        <v/>
      </c>
      <c r="AH2214">
        <f>IF($B2214=0,0,IF(Inputs!$B$10="",0,COUNTIFS(Data!$Q$10:$Q$3209,"&gt;="&amp;$A2214,Data!$Q$10:$Q$3209,"&lt;"&amp;$A2214+1)))</f>
        <v/>
      </c>
    </row>
    <row r="2215">
      <c r="A2215" s="55">
        <f>MIN(Inputs!$C$15,$A2214+IF(WEEKDAY($A2214,2)=5,3,1))</f>
        <v/>
      </c>
      <c r="B2215">
        <f>IF($A2215&gt;$A2214,1,0)</f>
        <v/>
      </c>
      <c r="C2215" s="56">
        <f>IF($B2215=0,"",IF(Inputs!$B$6="","",IF($AD2215=0,C2214,SUMIFS(Data!$B$10:$B$3209,Data!$A$10:$A$3209,"&gt;="&amp;$A2215,Data!$A$10:$A$3209,"&lt;"&amp;$A2215+1)/$AD2215)))</f>
        <v/>
      </c>
      <c r="D2215" s="56">
        <f>IF($B2215=0,"",IF(Inputs!$B$7="","",IF($AE2215=0,D2214,SUMIFS(Data!$F$10:$F$3209,Data!$E$10:$E$3209,"&gt;="&amp;$A2215,Data!$E$10:$E$3209,"&lt;"&amp;$A2215+1)/$AE2215)))</f>
        <v/>
      </c>
      <c r="E2215" s="56">
        <f>IF($B2215=0,"",IF(Inputs!$B$8="","",IF($AF2215=0,E2214,SUMIFS(Data!$J$10:$J$3209,Data!$I$10:$I$3209,"&gt;="&amp;$A2215,Data!$I$10:$I$3209,"&lt;"&amp;$A2215+1)/$AF2215)))</f>
        <v/>
      </c>
      <c r="F2215" s="56">
        <f>IF($B2215=0,"",IF(Inputs!$B$9="","",IF($AG2215=0,F2214,SUMIFS(Data!$N$10:$N$3209,Data!$M$10:$M$3209,"&gt;="&amp;$A2215,Data!$M$10:$M$3209,"&lt;"&amp;$A2215+1)/$AG2215)))</f>
        <v/>
      </c>
      <c r="G2215" s="56">
        <f>IF($B2215=0,"",IF(Inputs!$B$10="","",IF($AH2215=0,G2214,SUMIFS(Data!$R$10:$R$3209,Data!$Q$10:$Q$3209,"&gt;="&amp;$A2215,Data!$Q$10:$Q$3209,"&lt;"&amp;$A2215+1)/$AH2215)))</f>
        <v/>
      </c>
      <c r="I2215" s="54">
        <f>IF($B2215=0,NA(),IF($C2215="",NA(),IF(C$8="",NA(),IF(N(C$8)=0,NA(),IF(Inputs!$C$17="Rebased to 100",$C2215/C$8*100,$C2215)))))</f>
        <v/>
      </c>
      <c r="J2215" s="54">
        <f>IF($B2215=0,NA(),IF($D2215="",NA(),IF(D$8="",NA(),IF(N(D$8)=0,NA(),IF(Inputs!$C$17="Rebased to 100",$D2215/D$8*100,$D2215)))))</f>
        <v/>
      </c>
      <c r="K2215" s="54">
        <f>IF($B2215=0,NA(),IF($E2215="",NA(),IF(E$8="",NA(),IF(N(E$8)=0,NA(),IF(Inputs!$C$17="Rebased to 100",$E2215/E$8*100,$E2215)))))</f>
        <v/>
      </c>
      <c r="L2215" s="54">
        <f>IF($B2215=0,NA(),IF($F2215="",NA(),IF(F$8="",NA(),IF(N(F$8)=0,NA(),IF(Inputs!$C$17="Rebased to 100",$F2215/F$8*100,$F2215)))))</f>
        <v/>
      </c>
      <c r="M2215" s="54">
        <f>IF($B2215=0,NA(),IF($G2215="",NA(),IF(G$8="",NA(),IF(N(G$8)=0,NA(),IF(Inputs!$C$17="Rebased to 100",$G2215/G$8*100,$G2215)))))</f>
        <v/>
      </c>
      <c r="N2215" s="54">
        <f>IF($B2215=0,NA(),IF(Inputs!$C$18&lt;&gt;"Yes",NA(),IF(COUNT(I2215,J2215,K2215,L2215,M2215)=0,NA(),MIN(I2215,J2215,K2215,L2215,M2215))))</f>
        <v/>
      </c>
      <c r="O2215" s="54">
        <f>IF($B2215=0,NA(),IF(Inputs!$B$24&lt;&gt;"Yes",NA(),Inputs!$D$24*Inputs!$C$35))</f>
        <v/>
      </c>
      <c r="P2215" s="54">
        <f>IF($B2215=0,NA(),IF(Inputs!$B$25&lt;&gt;"Yes",NA(),Inputs!$D$25*Inputs!$C$35))</f>
        <v/>
      </c>
      <c r="Q2215" s="54">
        <f>IF($B2215=0,NA(),IF(Inputs!$B$26&lt;&gt;"Yes",NA(),Inputs!$D$26*Inputs!$C$35))</f>
        <v/>
      </c>
      <c r="R2215" s="54">
        <f>IF($B2215=0,NA(),IF(Inputs!$B$27&lt;&gt;"Yes",NA(),Inputs!$D$27*Inputs!$C$35))</f>
        <v/>
      </c>
      <c r="S2215" s="54">
        <f>IF($B2215=0,NA(),IF(Inputs!$B$28&lt;&gt;"Yes",NA(),Inputs!$D$28*Inputs!$C$35))</f>
        <v/>
      </c>
      <c r="T2215" s="54">
        <f>IF($B2215=0,NA(),IF(Inputs!$B$29&lt;&gt;"Yes",NA(),Inputs!$D$29*Inputs!$C$35))</f>
        <v/>
      </c>
      <c r="AD2215">
        <f>IF($B2215=0,0,IF(Inputs!$B$6="",0,COUNTIFS(Data!$A$10:$A$3209,"&gt;="&amp;$A2215,Data!$A$10:$A$3209,"&lt;"&amp;$A2215+1)))</f>
        <v/>
      </c>
      <c r="AE2215">
        <f>IF($B2215=0,0,IF(Inputs!$B$7="",0,COUNTIFS(Data!$E$10:$E$3209,"&gt;="&amp;$A2215,Data!$E$10:$E$3209,"&lt;"&amp;$A2215+1)))</f>
        <v/>
      </c>
      <c r="AF2215">
        <f>IF($B2215=0,0,IF(Inputs!$B$8="",0,COUNTIFS(Data!$I$10:$I$3209,"&gt;="&amp;$A2215,Data!$I$10:$I$3209,"&lt;"&amp;$A2215+1)))</f>
        <v/>
      </c>
      <c r="AG2215">
        <f>IF($B2215=0,0,IF(Inputs!$B$9="",0,COUNTIFS(Data!$M$10:$M$3209,"&gt;="&amp;$A2215,Data!$M$10:$M$3209,"&lt;"&amp;$A2215+1)))</f>
        <v/>
      </c>
      <c r="AH2215">
        <f>IF($B2215=0,0,IF(Inputs!$B$10="",0,COUNTIFS(Data!$Q$10:$Q$3209,"&gt;="&amp;$A2215,Data!$Q$10:$Q$3209,"&lt;"&amp;$A2215+1)))</f>
        <v/>
      </c>
    </row>
    <row r="2216">
      <c r="A2216" s="55">
        <f>MIN(Inputs!$C$15,$A2215+IF(WEEKDAY($A2215,2)=5,3,1))</f>
        <v/>
      </c>
      <c r="B2216">
        <f>IF($A2216&gt;$A2215,1,0)</f>
        <v/>
      </c>
      <c r="C2216" s="56">
        <f>IF($B2216=0,"",IF(Inputs!$B$6="","",IF($AD2216=0,C2215,SUMIFS(Data!$B$10:$B$3209,Data!$A$10:$A$3209,"&gt;="&amp;$A2216,Data!$A$10:$A$3209,"&lt;"&amp;$A2216+1)/$AD2216)))</f>
        <v/>
      </c>
      <c r="D2216" s="56">
        <f>IF($B2216=0,"",IF(Inputs!$B$7="","",IF($AE2216=0,D2215,SUMIFS(Data!$F$10:$F$3209,Data!$E$10:$E$3209,"&gt;="&amp;$A2216,Data!$E$10:$E$3209,"&lt;"&amp;$A2216+1)/$AE2216)))</f>
        <v/>
      </c>
      <c r="E2216" s="56">
        <f>IF($B2216=0,"",IF(Inputs!$B$8="","",IF($AF2216=0,E2215,SUMIFS(Data!$J$10:$J$3209,Data!$I$10:$I$3209,"&gt;="&amp;$A2216,Data!$I$10:$I$3209,"&lt;"&amp;$A2216+1)/$AF2216)))</f>
        <v/>
      </c>
      <c r="F2216" s="56">
        <f>IF($B2216=0,"",IF(Inputs!$B$9="","",IF($AG2216=0,F2215,SUMIFS(Data!$N$10:$N$3209,Data!$M$10:$M$3209,"&gt;="&amp;$A2216,Data!$M$10:$M$3209,"&lt;"&amp;$A2216+1)/$AG2216)))</f>
        <v/>
      </c>
      <c r="G2216" s="56">
        <f>IF($B2216=0,"",IF(Inputs!$B$10="","",IF($AH2216=0,G2215,SUMIFS(Data!$R$10:$R$3209,Data!$Q$10:$Q$3209,"&gt;="&amp;$A2216,Data!$Q$10:$Q$3209,"&lt;"&amp;$A2216+1)/$AH2216)))</f>
        <v/>
      </c>
      <c r="I2216" s="54">
        <f>IF($B2216=0,NA(),IF($C2216="",NA(),IF(C$8="",NA(),IF(N(C$8)=0,NA(),IF(Inputs!$C$17="Rebased to 100",$C2216/C$8*100,$C2216)))))</f>
        <v/>
      </c>
      <c r="J2216" s="54">
        <f>IF($B2216=0,NA(),IF($D2216="",NA(),IF(D$8="",NA(),IF(N(D$8)=0,NA(),IF(Inputs!$C$17="Rebased to 100",$D2216/D$8*100,$D2216)))))</f>
        <v/>
      </c>
      <c r="K2216" s="54">
        <f>IF($B2216=0,NA(),IF($E2216="",NA(),IF(E$8="",NA(),IF(N(E$8)=0,NA(),IF(Inputs!$C$17="Rebased to 100",$E2216/E$8*100,$E2216)))))</f>
        <v/>
      </c>
      <c r="L2216" s="54">
        <f>IF($B2216=0,NA(),IF($F2216="",NA(),IF(F$8="",NA(),IF(N(F$8)=0,NA(),IF(Inputs!$C$17="Rebased to 100",$F2216/F$8*100,$F2216)))))</f>
        <v/>
      </c>
      <c r="M2216" s="54">
        <f>IF($B2216=0,NA(),IF($G2216="",NA(),IF(G$8="",NA(),IF(N(G$8)=0,NA(),IF(Inputs!$C$17="Rebased to 100",$G2216/G$8*100,$G2216)))))</f>
        <v/>
      </c>
      <c r="N2216" s="54">
        <f>IF($B2216=0,NA(),IF(Inputs!$C$18&lt;&gt;"Yes",NA(),IF(COUNT(I2216,J2216,K2216,L2216,M2216)=0,NA(),MIN(I2216,J2216,K2216,L2216,M2216))))</f>
        <v/>
      </c>
      <c r="O2216" s="54">
        <f>IF($B2216=0,NA(),IF(Inputs!$B$24&lt;&gt;"Yes",NA(),Inputs!$D$24*Inputs!$C$35))</f>
        <v/>
      </c>
      <c r="P2216" s="54">
        <f>IF($B2216=0,NA(),IF(Inputs!$B$25&lt;&gt;"Yes",NA(),Inputs!$D$25*Inputs!$C$35))</f>
        <v/>
      </c>
      <c r="Q2216" s="54">
        <f>IF($B2216=0,NA(),IF(Inputs!$B$26&lt;&gt;"Yes",NA(),Inputs!$D$26*Inputs!$C$35))</f>
        <v/>
      </c>
      <c r="R2216" s="54">
        <f>IF($B2216=0,NA(),IF(Inputs!$B$27&lt;&gt;"Yes",NA(),Inputs!$D$27*Inputs!$C$35))</f>
        <v/>
      </c>
      <c r="S2216" s="54">
        <f>IF($B2216=0,NA(),IF(Inputs!$B$28&lt;&gt;"Yes",NA(),Inputs!$D$28*Inputs!$C$35))</f>
        <v/>
      </c>
      <c r="T2216" s="54">
        <f>IF($B2216=0,NA(),IF(Inputs!$B$29&lt;&gt;"Yes",NA(),Inputs!$D$29*Inputs!$C$35))</f>
        <v/>
      </c>
      <c r="AD2216">
        <f>IF($B2216=0,0,IF(Inputs!$B$6="",0,COUNTIFS(Data!$A$10:$A$3209,"&gt;="&amp;$A2216,Data!$A$10:$A$3209,"&lt;"&amp;$A2216+1)))</f>
        <v/>
      </c>
      <c r="AE2216">
        <f>IF($B2216=0,0,IF(Inputs!$B$7="",0,COUNTIFS(Data!$E$10:$E$3209,"&gt;="&amp;$A2216,Data!$E$10:$E$3209,"&lt;"&amp;$A2216+1)))</f>
        <v/>
      </c>
      <c r="AF2216">
        <f>IF($B2216=0,0,IF(Inputs!$B$8="",0,COUNTIFS(Data!$I$10:$I$3209,"&gt;="&amp;$A2216,Data!$I$10:$I$3209,"&lt;"&amp;$A2216+1)))</f>
        <v/>
      </c>
      <c r="AG2216">
        <f>IF($B2216=0,0,IF(Inputs!$B$9="",0,COUNTIFS(Data!$M$10:$M$3209,"&gt;="&amp;$A2216,Data!$M$10:$M$3209,"&lt;"&amp;$A2216+1)))</f>
        <v/>
      </c>
      <c r="AH2216">
        <f>IF($B2216=0,0,IF(Inputs!$B$10="",0,COUNTIFS(Data!$Q$10:$Q$3209,"&gt;="&amp;$A2216,Data!$Q$10:$Q$3209,"&lt;"&amp;$A2216+1)))</f>
        <v/>
      </c>
    </row>
    <row r="2217">
      <c r="A2217" s="55">
        <f>MIN(Inputs!$C$15,$A2216+IF(WEEKDAY($A2216,2)=5,3,1))</f>
        <v/>
      </c>
      <c r="B2217">
        <f>IF($A2217&gt;$A2216,1,0)</f>
        <v/>
      </c>
      <c r="C2217" s="56">
        <f>IF($B2217=0,"",IF(Inputs!$B$6="","",IF($AD2217=0,C2216,SUMIFS(Data!$B$10:$B$3209,Data!$A$10:$A$3209,"&gt;="&amp;$A2217,Data!$A$10:$A$3209,"&lt;"&amp;$A2217+1)/$AD2217)))</f>
        <v/>
      </c>
      <c r="D2217" s="56">
        <f>IF($B2217=0,"",IF(Inputs!$B$7="","",IF($AE2217=0,D2216,SUMIFS(Data!$F$10:$F$3209,Data!$E$10:$E$3209,"&gt;="&amp;$A2217,Data!$E$10:$E$3209,"&lt;"&amp;$A2217+1)/$AE2217)))</f>
        <v/>
      </c>
      <c r="E2217" s="56">
        <f>IF($B2217=0,"",IF(Inputs!$B$8="","",IF($AF2217=0,E2216,SUMIFS(Data!$J$10:$J$3209,Data!$I$10:$I$3209,"&gt;="&amp;$A2217,Data!$I$10:$I$3209,"&lt;"&amp;$A2217+1)/$AF2217)))</f>
        <v/>
      </c>
      <c r="F2217" s="56">
        <f>IF($B2217=0,"",IF(Inputs!$B$9="","",IF($AG2217=0,F2216,SUMIFS(Data!$N$10:$N$3209,Data!$M$10:$M$3209,"&gt;="&amp;$A2217,Data!$M$10:$M$3209,"&lt;"&amp;$A2217+1)/$AG2217)))</f>
        <v/>
      </c>
      <c r="G2217" s="56">
        <f>IF($B2217=0,"",IF(Inputs!$B$10="","",IF($AH2217=0,G2216,SUMIFS(Data!$R$10:$R$3209,Data!$Q$10:$Q$3209,"&gt;="&amp;$A2217,Data!$Q$10:$Q$3209,"&lt;"&amp;$A2217+1)/$AH2217)))</f>
        <v/>
      </c>
      <c r="I2217" s="54">
        <f>IF($B2217=0,NA(),IF($C2217="",NA(),IF(C$8="",NA(),IF(N(C$8)=0,NA(),IF(Inputs!$C$17="Rebased to 100",$C2217/C$8*100,$C2217)))))</f>
        <v/>
      </c>
      <c r="J2217" s="54">
        <f>IF($B2217=0,NA(),IF($D2217="",NA(),IF(D$8="",NA(),IF(N(D$8)=0,NA(),IF(Inputs!$C$17="Rebased to 100",$D2217/D$8*100,$D2217)))))</f>
        <v/>
      </c>
      <c r="K2217" s="54">
        <f>IF($B2217=0,NA(),IF($E2217="",NA(),IF(E$8="",NA(),IF(N(E$8)=0,NA(),IF(Inputs!$C$17="Rebased to 100",$E2217/E$8*100,$E2217)))))</f>
        <v/>
      </c>
      <c r="L2217" s="54">
        <f>IF($B2217=0,NA(),IF($F2217="",NA(),IF(F$8="",NA(),IF(N(F$8)=0,NA(),IF(Inputs!$C$17="Rebased to 100",$F2217/F$8*100,$F2217)))))</f>
        <v/>
      </c>
      <c r="M2217" s="54">
        <f>IF($B2217=0,NA(),IF($G2217="",NA(),IF(G$8="",NA(),IF(N(G$8)=0,NA(),IF(Inputs!$C$17="Rebased to 100",$G2217/G$8*100,$G2217)))))</f>
        <v/>
      </c>
      <c r="N2217" s="54">
        <f>IF($B2217=0,NA(),IF(Inputs!$C$18&lt;&gt;"Yes",NA(),IF(COUNT(I2217,J2217,K2217,L2217,M2217)=0,NA(),MIN(I2217,J2217,K2217,L2217,M2217))))</f>
        <v/>
      </c>
      <c r="O2217" s="54">
        <f>IF($B2217=0,NA(),IF(Inputs!$B$24&lt;&gt;"Yes",NA(),Inputs!$D$24*Inputs!$C$35))</f>
        <v/>
      </c>
      <c r="P2217" s="54">
        <f>IF($B2217=0,NA(),IF(Inputs!$B$25&lt;&gt;"Yes",NA(),Inputs!$D$25*Inputs!$C$35))</f>
        <v/>
      </c>
      <c r="Q2217" s="54">
        <f>IF($B2217=0,NA(),IF(Inputs!$B$26&lt;&gt;"Yes",NA(),Inputs!$D$26*Inputs!$C$35))</f>
        <v/>
      </c>
      <c r="R2217" s="54">
        <f>IF($B2217=0,NA(),IF(Inputs!$B$27&lt;&gt;"Yes",NA(),Inputs!$D$27*Inputs!$C$35))</f>
        <v/>
      </c>
      <c r="S2217" s="54">
        <f>IF($B2217=0,NA(),IF(Inputs!$B$28&lt;&gt;"Yes",NA(),Inputs!$D$28*Inputs!$C$35))</f>
        <v/>
      </c>
      <c r="T2217" s="54">
        <f>IF($B2217=0,NA(),IF(Inputs!$B$29&lt;&gt;"Yes",NA(),Inputs!$D$29*Inputs!$C$35))</f>
        <v/>
      </c>
      <c r="AD2217">
        <f>IF($B2217=0,0,IF(Inputs!$B$6="",0,COUNTIFS(Data!$A$10:$A$3209,"&gt;="&amp;$A2217,Data!$A$10:$A$3209,"&lt;"&amp;$A2217+1)))</f>
        <v/>
      </c>
      <c r="AE2217">
        <f>IF($B2217=0,0,IF(Inputs!$B$7="",0,COUNTIFS(Data!$E$10:$E$3209,"&gt;="&amp;$A2217,Data!$E$10:$E$3209,"&lt;"&amp;$A2217+1)))</f>
        <v/>
      </c>
      <c r="AF2217">
        <f>IF($B2217=0,0,IF(Inputs!$B$8="",0,COUNTIFS(Data!$I$10:$I$3209,"&gt;="&amp;$A2217,Data!$I$10:$I$3209,"&lt;"&amp;$A2217+1)))</f>
        <v/>
      </c>
      <c r="AG2217">
        <f>IF($B2217=0,0,IF(Inputs!$B$9="",0,COUNTIFS(Data!$M$10:$M$3209,"&gt;="&amp;$A2217,Data!$M$10:$M$3209,"&lt;"&amp;$A2217+1)))</f>
        <v/>
      </c>
      <c r="AH2217">
        <f>IF($B2217=0,0,IF(Inputs!$B$10="",0,COUNTIFS(Data!$Q$10:$Q$3209,"&gt;="&amp;$A2217,Data!$Q$10:$Q$3209,"&lt;"&amp;$A2217+1)))</f>
        <v/>
      </c>
    </row>
    <row r="2218">
      <c r="A2218" s="55">
        <f>MIN(Inputs!$C$15,$A2217+IF(WEEKDAY($A2217,2)=5,3,1))</f>
        <v/>
      </c>
      <c r="B2218">
        <f>IF($A2218&gt;$A2217,1,0)</f>
        <v/>
      </c>
      <c r="C2218" s="56">
        <f>IF($B2218=0,"",IF(Inputs!$B$6="","",IF($AD2218=0,C2217,SUMIFS(Data!$B$10:$B$3209,Data!$A$10:$A$3209,"&gt;="&amp;$A2218,Data!$A$10:$A$3209,"&lt;"&amp;$A2218+1)/$AD2218)))</f>
        <v/>
      </c>
      <c r="D2218" s="56">
        <f>IF($B2218=0,"",IF(Inputs!$B$7="","",IF($AE2218=0,D2217,SUMIFS(Data!$F$10:$F$3209,Data!$E$10:$E$3209,"&gt;="&amp;$A2218,Data!$E$10:$E$3209,"&lt;"&amp;$A2218+1)/$AE2218)))</f>
        <v/>
      </c>
      <c r="E2218" s="56">
        <f>IF($B2218=0,"",IF(Inputs!$B$8="","",IF($AF2218=0,E2217,SUMIFS(Data!$J$10:$J$3209,Data!$I$10:$I$3209,"&gt;="&amp;$A2218,Data!$I$10:$I$3209,"&lt;"&amp;$A2218+1)/$AF2218)))</f>
        <v/>
      </c>
      <c r="F2218" s="56">
        <f>IF($B2218=0,"",IF(Inputs!$B$9="","",IF($AG2218=0,F2217,SUMIFS(Data!$N$10:$N$3209,Data!$M$10:$M$3209,"&gt;="&amp;$A2218,Data!$M$10:$M$3209,"&lt;"&amp;$A2218+1)/$AG2218)))</f>
        <v/>
      </c>
      <c r="G2218" s="56">
        <f>IF($B2218=0,"",IF(Inputs!$B$10="","",IF($AH2218=0,G2217,SUMIFS(Data!$R$10:$R$3209,Data!$Q$10:$Q$3209,"&gt;="&amp;$A2218,Data!$Q$10:$Q$3209,"&lt;"&amp;$A2218+1)/$AH2218)))</f>
        <v/>
      </c>
      <c r="I2218" s="54">
        <f>IF($B2218=0,NA(),IF($C2218="",NA(),IF(C$8="",NA(),IF(N(C$8)=0,NA(),IF(Inputs!$C$17="Rebased to 100",$C2218/C$8*100,$C2218)))))</f>
        <v/>
      </c>
      <c r="J2218" s="54">
        <f>IF($B2218=0,NA(),IF($D2218="",NA(),IF(D$8="",NA(),IF(N(D$8)=0,NA(),IF(Inputs!$C$17="Rebased to 100",$D2218/D$8*100,$D2218)))))</f>
        <v/>
      </c>
      <c r="K2218" s="54">
        <f>IF($B2218=0,NA(),IF($E2218="",NA(),IF(E$8="",NA(),IF(N(E$8)=0,NA(),IF(Inputs!$C$17="Rebased to 100",$E2218/E$8*100,$E2218)))))</f>
        <v/>
      </c>
      <c r="L2218" s="54">
        <f>IF($B2218=0,NA(),IF($F2218="",NA(),IF(F$8="",NA(),IF(N(F$8)=0,NA(),IF(Inputs!$C$17="Rebased to 100",$F2218/F$8*100,$F2218)))))</f>
        <v/>
      </c>
      <c r="M2218" s="54">
        <f>IF($B2218=0,NA(),IF($G2218="",NA(),IF(G$8="",NA(),IF(N(G$8)=0,NA(),IF(Inputs!$C$17="Rebased to 100",$G2218/G$8*100,$G2218)))))</f>
        <v/>
      </c>
      <c r="N2218" s="54">
        <f>IF($B2218=0,NA(),IF(Inputs!$C$18&lt;&gt;"Yes",NA(),IF(COUNT(I2218,J2218,K2218,L2218,M2218)=0,NA(),MIN(I2218,J2218,K2218,L2218,M2218))))</f>
        <v/>
      </c>
      <c r="O2218" s="54">
        <f>IF($B2218=0,NA(),IF(Inputs!$B$24&lt;&gt;"Yes",NA(),Inputs!$D$24*Inputs!$C$35))</f>
        <v/>
      </c>
      <c r="P2218" s="54">
        <f>IF($B2218=0,NA(),IF(Inputs!$B$25&lt;&gt;"Yes",NA(),Inputs!$D$25*Inputs!$C$35))</f>
        <v/>
      </c>
      <c r="Q2218" s="54">
        <f>IF($B2218=0,NA(),IF(Inputs!$B$26&lt;&gt;"Yes",NA(),Inputs!$D$26*Inputs!$C$35))</f>
        <v/>
      </c>
      <c r="R2218" s="54">
        <f>IF($B2218=0,NA(),IF(Inputs!$B$27&lt;&gt;"Yes",NA(),Inputs!$D$27*Inputs!$C$35))</f>
        <v/>
      </c>
      <c r="S2218" s="54">
        <f>IF($B2218=0,NA(),IF(Inputs!$B$28&lt;&gt;"Yes",NA(),Inputs!$D$28*Inputs!$C$35))</f>
        <v/>
      </c>
      <c r="T2218" s="54">
        <f>IF($B2218=0,NA(),IF(Inputs!$B$29&lt;&gt;"Yes",NA(),Inputs!$D$29*Inputs!$C$35))</f>
        <v/>
      </c>
      <c r="AD2218">
        <f>IF($B2218=0,0,IF(Inputs!$B$6="",0,COUNTIFS(Data!$A$10:$A$3209,"&gt;="&amp;$A2218,Data!$A$10:$A$3209,"&lt;"&amp;$A2218+1)))</f>
        <v/>
      </c>
      <c r="AE2218">
        <f>IF($B2218=0,0,IF(Inputs!$B$7="",0,COUNTIFS(Data!$E$10:$E$3209,"&gt;="&amp;$A2218,Data!$E$10:$E$3209,"&lt;"&amp;$A2218+1)))</f>
        <v/>
      </c>
      <c r="AF2218">
        <f>IF($B2218=0,0,IF(Inputs!$B$8="",0,COUNTIFS(Data!$I$10:$I$3209,"&gt;="&amp;$A2218,Data!$I$10:$I$3209,"&lt;"&amp;$A2218+1)))</f>
        <v/>
      </c>
      <c r="AG2218">
        <f>IF($B2218=0,0,IF(Inputs!$B$9="",0,COUNTIFS(Data!$M$10:$M$3209,"&gt;="&amp;$A2218,Data!$M$10:$M$3209,"&lt;"&amp;$A2218+1)))</f>
        <v/>
      </c>
      <c r="AH2218">
        <f>IF($B2218=0,0,IF(Inputs!$B$10="",0,COUNTIFS(Data!$Q$10:$Q$3209,"&gt;="&amp;$A2218,Data!$Q$10:$Q$3209,"&lt;"&amp;$A2218+1)))</f>
        <v/>
      </c>
    </row>
    <row r="2219">
      <c r="A2219" s="55">
        <f>MIN(Inputs!$C$15,$A2218+IF(WEEKDAY($A2218,2)=5,3,1))</f>
        <v/>
      </c>
      <c r="B2219">
        <f>IF($A2219&gt;$A2218,1,0)</f>
        <v/>
      </c>
      <c r="C2219" s="56">
        <f>IF($B2219=0,"",IF(Inputs!$B$6="","",IF($AD2219=0,C2218,SUMIFS(Data!$B$10:$B$3209,Data!$A$10:$A$3209,"&gt;="&amp;$A2219,Data!$A$10:$A$3209,"&lt;"&amp;$A2219+1)/$AD2219)))</f>
        <v/>
      </c>
      <c r="D2219" s="56">
        <f>IF($B2219=0,"",IF(Inputs!$B$7="","",IF($AE2219=0,D2218,SUMIFS(Data!$F$10:$F$3209,Data!$E$10:$E$3209,"&gt;="&amp;$A2219,Data!$E$10:$E$3209,"&lt;"&amp;$A2219+1)/$AE2219)))</f>
        <v/>
      </c>
      <c r="E2219" s="56">
        <f>IF($B2219=0,"",IF(Inputs!$B$8="","",IF($AF2219=0,E2218,SUMIFS(Data!$J$10:$J$3209,Data!$I$10:$I$3209,"&gt;="&amp;$A2219,Data!$I$10:$I$3209,"&lt;"&amp;$A2219+1)/$AF2219)))</f>
        <v/>
      </c>
      <c r="F2219" s="56">
        <f>IF($B2219=0,"",IF(Inputs!$B$9="","",IF($AG2219=0,F2218,SUMIFS(Data!$N$10:$N$3209,Data!$M$10:$M$3209,"&gt;="&amp;$A2219,Data!$M$10:$M$3209,"&lt;"&amp;$A2219+1)/$AG2219)))</f>
        <v/>
      </c>
      <c r="G2219" s="56">
        <f>IF($B2219=0,"",IF(Inputs!$B$10="","",IF($AH2219=0,G2218,SUMIFS(Data!$R$10:$R$3209,Data!$Q$10:$Q$3209,"&gt;="&amp;$A2219,Data!$Q$10:$Q$3209,"&lt;"&amp;$A2219+1)/$AH2219)))</f>
        <v/>
      </c>
      <c r="I2219" s="54">
        <f>IF($B2219=0,NA(),IF($C2219="",NA(),IF(C$8="",NA(),IF(N(C$8)=0,NA(),IF(Inputs!$C$17="Rebased to 100",$C2219/C$8*100,$C2219)))))</f>
        <v/>
      </c>
      <c r="J2219" s="54">
        <f>IF($B2219=0,NA(),IF($D2219="",NA(),IF(D$8="",NA(),IF(N(D$8)=0,NA(),IF(Inputs!$C$17="Rebased to 100",$D2219/D$8*100,$D2219)))))</f>
        <v/>
      </c>
      <c r="K2219" s="54">
        <f>IF($B2219=0,NA(),IF($E2219="",NA(),IF(E$8="",NA(),IF(N(E$8)=0,NA(),IF(Inputs!$C$17="Rebased to 100",$E2219/E$8*100,$E2219)))))</f>
        <v/>
      </c>
      <c r="L2219" s="54">
        <f>IF($B2219=0,NA(),IF($F2219="",NA(),IF(F$8="",NA(),IF(N(F$8)=0,NA(),IF(Inputs!$C$17="Rebased to 100",$F2219/F$8*100,$F2219)))))</f>
        <v/>
      </c>
      <c r="M2219" s="54">
        <f>IF($B2219=0,NA(),IF($G2219="",NA(),IF(G$8="",NA(),IF(N(G$8)=0,NA(),IF(Inputs!$C$17="Rebased to 100",$G2219/G$8*100,$G2219)))))</f>
        <v/>
      </c>
      <c r="N2219" s="54">
        <f>IF($B2219=0,NA(),IF(Inputs!$C$18&lt;&gt;"Yes",NA(),IF(COUNT(I2219,J2219,K2219,L2219,M2219)=0,NA(),MIN(I2219,J2219,K2219,L2219,M2219))))</f>
        <v/>
      </c>
      <c r="O2219" s="54">
        <f>IF($B2219=0,NA(),IF(Inputs!$B$24&lt;&gt;"Yes",NA(),Inputs!$D$24*Inputs!$C$35))</f>
        <v/>
      </c>
      <c r="P2219" s="54">
        <f>IF($B2219=0,NA(),IF(Inputs!$B$25&lt;&gt;"Yes",NA(),Inputs!$D$25*Inputs!$C$35))</f>
        <v/>
      </c>
      <c r="Q2219" s="54">
        <f>IF($B2219=0,NA(),IF(Inputs!$B$26&lt;&gt;"Yes",NA(),Inputs!$D$26*Inputs!$C$35))</f>
        <v/>
      </c>
      <c r="R2219" s="54">
        <f>IF($B2219=0,NA(),IF(Inputs!$B$27&lt;&gt;"Yes",NA(),Inputs!$D$27*Inputs!$C$35))</f>
        <v/>
      </c>
      <c r="S2219" s="54">
        <f>IF($B2219=0,NA(),IF(Inputs!$B$28&lt;&gt;"Yes",NA(),Inputs!$D$28*Inputs!$C$35))</f>
        <v/>
      </c>
      <c r="T2219" s="54">
        <f>IF($B2219=0,NA(),IF(Inputs!$B$29&lt;&gt;"Yes",NA(),Inputs!$D$29*Inputs!$C$35))</f>
        <v/>
      </c>
      <c r="AD2219">
        <f>IF($B2219=0,0,IF(Inputs!$B$6="",0,COUNTIFS(Data!$A$10:$A$3209,"&gt;="&amp;$A2219,Data!$A$10:$A$3209,"&lt;"&amp;$A2219+1)))</f>
        <v/>
      </c>
      <c r="AE2219">
        <f>IF($B2219=0,0,IF(Inputs!$B$7="",0,COUNTIFS(Data!$E$10:$E$3209,"&gt;="&amp;$A2219,Data!$E$10:$E$3209,"&lt;"&amp;$A2219+1)))</f>
        <v/>
      </c>
      <c r="AF2219">
        <f>IF($B2219=0,0,IF(Inputs!$B$8="",0,COUNTIFS(Data!$I$10:$I$3209,"&gt;="&amp;$A2219,Data!$I$10:$I$3209,"&lt;"&amp;$A2219+1)))</f>
        <v/>
      </c>
      <c r="AG2219">
        <f>IF($B2219=0,0,IF(Inputs!$B$9="",0,COUNTIFS(Data!$M$10:$M$3209,"&gt;="&amp;$A2219,Data!$M$10:$M$3209,"&lt;"&amp;$A2219+1)))</f>
        <v/>
      </c>
      <c r="AH2219">
        <f>IF($B2219=0,0,IF(Inputs!$B$10="",0,COUNTIFS(Data!$Q$10:$Q$3209,"&gt;="&amp;$A2219,Data!$Q$10:$Q$3209,"&lt;"&amp;$A2219+1)))</f>
        <v/>
      </c>
    </row>
    <row r="2220">
      <c r="A2220" s="55">
        <f>MIN(Inputs!$C$15,$A2219+IF(WEEKDAY($A2219,2)=5,3,1))</f>
        <v/>
      </c>
      <c r="B2220">
        <f>IF($A2220&gt;$A2219,1,0)</f>
        <v/>
      </c>
      <c r="C2220" s="56">
        <f>IF($B2220=0,"",IF(Inputs!$B$6="","",IF($AD2220=0,C2219,SUMIFS(Data!$B$10:$B$3209,Data!$A$10:$A$3209,"&gt;="&amp;$A2220,Data!$A$10:$A$3209,"&lt;"&amp;$A2220+1)/$AD2220)))</f>
        <v/>
      </c>
      <c r="D2220" s="56">
        <f>IF($B2220=0,"",IF(Inputs!$B$7="","",IF($AE2220=0,D2219,SUMIFS(Data!$F$10:$F$3209,Data!$E$10:$E$3209,"&gt;="&amp;$A2220,Data!$E$10:$E$3209,"&lt;"&amp;$A2220+1)/$AE2220)))</f>
        <v/>
      </c>
      <c r="E2220" s="56">
        <f>IF($B2220=0,"",IF(Inputs!$B$8="","",IF($AF2220=0,E2219,SUMIFS(Data!$J$10:$J$3209,Data!$I$10:$I$3209,"&gt;="&amp;$A2220,Data!$I$10:$I$3209,"&lt;"&amp;$A2220+1)/$AF2220)))</f>
        <v/>
      </c>
      <c r="F2220" s="56">
        <f>IF($B2220=0,"",IF(Inputs!$B$9="","",IF($AG2220=0,F2219,SUMIFS(Data!$N$10:$N$3209,Data!$M$10:$M$3209,"&gt;="&amp;$A2220,Data!$M$10:$M$3209,"&lt;"&amp;$A2220+1)/$AG2220)))</f>
        <v/>
      </c>
      <c r="G2220" s="56">
        <f>IF($B2220=0,"",IF(Inputs!$B$10="","",IF($AH2220=0,G2219,SUMIFS(Data!$R$10:$R$3209,Data!$Q$10:$Q$3209,"&gt;="&amp;$A2220,Data!$Q$10:$Q$3209,"&lt;"&amp;$A2220+1)/$AH2220)))</f>
        <v/>
      </c>
      <c r="I2220" s="54">
        <f>IF($B2220=0,NA(),IF($C2220="",NA(),IF(C$8="",NA(),IF(N(C$8)=0,NA(),IF(Inputs!$C$17="Rebased to 100",$C2220/C$8*100,$C2220)))))</f>
        <v/>
      </c>
      <c r="J2220" s="54">
        <f>IF($B2220=0,NA(),IF($D2220="",NA(),IF(D$8="",NA(),IF(N(D$8)=0,NA(),IF(Inputs!$C$17="Rebased to 100",$D2220/D$8*100,$D2220)))))</f>
        <v/>
      </c>
      <c r="K2220" s="54">
        <f>IF($B2220=0,NA(),IF($E2220="",NA(),IF(E$8="",NA(),IF(N(E$8)=0,NA(),IF(Inputs!$C$17="Rebased to 100",$E2220/E$8*100,$E2220)))))</f>
        <v/>
      </c>
      <c r="L2220" s="54">
        <f>IF($B2220=0,NA(),IF($F2220="",NA(),IF(F$8="",NA(),IF(N(F$8)=0,NA(),IF(Inputs!$C$17="Rebased to 100",$F2220/F$8*100,$F2220)))))</f>
        <v/>
      </c>
      <c r="M2220" s="54">
        <f>IF($B2220=0,NA(),IF($G2220="",NA(),IF(G$8="",NA(),IF(N(G$8)=0,NA(),IF(Inputs!$C$17="Rebased to 100",$G2220/G$8*100,$G2220)))))</f>
        <v/>
      </c>
      <c r="N2220" s="54">
        <f>IF($B2220=0,NA(),IF(Inputs!$C$18&lt;&gt;"Yes",NA(),IF(COUNT(I2220,J2220,K2220,L2220,M2220)=0,NA(),MIN(I2220,J2220,K2220,L2220,M2220))))</f>
        <v/>
      </c>
      <c r="O2220" s="54">
        <f>IF($B2220=0,NA(),IF(Inputs!$B$24&lt;&gt;"Yes",NA(),Inputs!$D$24*Inputs!$C$35))</f>
        <v/>
      </c>
      <c r="P2220" s="54">
        <f>IF($B2220=0,NA(),IF(Inputs!$B$25&lt;&gt;"Yes",NA(),Inputs!$D$25*Inputs!$C$35))</f>
        <v/>
      </c>
      <c r="Q2220" s="54">
        <f>IF($B2220=0,NA(),IF(Inputs!$B$26&lt;&gt;"Yes",NA(),Inputs!$D$26*Inputs!$C$35))</f>
        <v/>
      </c>
      <c r="R2220" s="54">
        <f>IF($B2220=0,NA(),IF(Inputs!$B$27&lt;&gt;"Yes",NA(),Inputs!$D$27*Inputs!$C$35))</f>
        <v/>
      </c>
      <c r="S2220" s="54">
        <f>IF($B2220=0,NA(),IF(Inputs!$B$28&lt;&gt;"Yes",NA(),Inputs!$D$28*Inputs!$C$35))</f>
        <v/>
      </c>
      <c r="T2220" s="54">
        <f>IF($B2220=0,NA(),IF(Inputs!$B$29&lt;&gt;"Yes",NA(),Inputs!$D$29*Inputs!$C$35))</f>
        <v/>
      </c>
      <c r="AD2220">
        <f>IF($B2220=0,0,IF(Inputs!$B$6="",0,COUNTIFS(Data!$A$10:$A$3209,"&gt;="&amp;$A2220,Data!$A$10:$A$3209,"&lt;"&amp;$A2220+1)))</f>
        <v/>
      </c>
      <c r="AE2220">
        <f>IF($B2220=0,0,IF(Inputs!$B$7="",0,COUNTIFS(Data!$E$10:$E$3209,"&gt;="&amp;$A2220,Data!$E$10:$E$3209,"&lt;"&amp;$A2220+1)))</f>
        <v/>
      </c>
      <c r="AF2220">
        <f>IF($B2220=0,0,IF(Inputs!$B$8="",0,COUNTIFS(Data!$I$10:$I$3209,"&gt;="&amp;$A2220,Data!$I$10:$I$3209,"&lt;"&amp;$A2220+1)))</f>
        <v/>
      </c>
      <c r="AG2220">
        <f>IF($B2220=0,0,IF(Inputs!$B$9="",0,COUNTIFS(Data!$M$10:$M$3209,"&gt;="&amp;$A2220,Data!$M$10:$M$3209,"&lt;"&amp;$A2220+1)))</f>
        <v/>
      </c>
      <c r="AH2220">
        <f>IF($B2220=0,0,IF(Inputs!$B$10="",0,COUNTIFS(Data!$Q$10:$Q$3209,"&gt;="&amp;$A2220,Data!$Q$10:$Q$3209,"&lt;"&amp;$A2220+1)))</f>
        <v/>
      </c>
    </row>
    <row r="2221">
      <c r="A2221" s="55">
        <f>MIN(Inputs!$C$15,$A2220+IF(WEEKDAY($A2220,2)=5,3,1))</f>
        <v/>
      </c>
      <c r="B2221">
        <f>IF($A2221&gt;$A2220,1,0)</f>
        <v/>
      </c>
      <c r="C2221" s="56">
        <f>IF($B2221=0,"",IF(Inputs!$B$6="","",IF($AD2221=0,C2220,SUMIFS(Data!$B$10:$B$3209,Data!$A$10:$A$3209,"&gt;="&amp;$A2221,Data!$A$10:$A$3209,"&lt;"&amp;$A2221+1)/$AD2221)))</f>
        <v/>
      </c>
      <c r="D2221" s="56">
        <f>IF($B2221=0,"",IF(Inputs!$B$7="","",IF($AE2221=0,D2220,SUMIFS(Data!$F$10:$F$3209,Data!$E$10:$E$3209,"&gt;="&amp;$A2221,Data!$E$10:$E$3209,"&lt;"&amp;$A2221+1)/$AE2221)))</f>
        <v/>
      </c>
      <c r="E2221" s="56">
        <f>IF($B2221=0,"",IF(Inputs!$B$8="","",IF($AF2221=0,E2220,SUMIFS(Data!$J$10:$J$3209,Data!$I$10:$I$3209,"&gt;="&amp;$A2221,Data!$I$10:$I$3209,"&lt;"&amp;$A2221+1)/$AF2221)))</f>
        <v/>
      </c>
      <c r="F2221" s="56">
        <f>IF($B2221=0,"",IF(Inputs!$B$9="","",IF($AG2221=0,F2220,SUMIFS(Data!$N$10:$N$3209,Data!$M$10:$M$3209,"&gt;="&amp;$A2221,Data!$M$10:$M$3209,"&lt;"&amp;$A2221+1)/$AG2221)))</f>
        <v/>
      </c>
      <c r="G2221" s="56">
        <f>IF($B2221=0,"",IF(Inputs!$B$10="","",IF($AH2221=0,G2220,SUMIFS(Data!$R$10:$R$3209,Data!$Q$10:$Q$3209,"&gt;="&amp;$A2221,Data!$Q$10:$Q$3209,"&lt;"&amp;$A2221+1)/$AH2221)))</f>
        <v/>
      </c>
      <c r="I2221" s="54">
        <f>IF($B2221=0,NA(),IF($C2221="",NA(),IF(C$8="",NA(),IF(N(C$8)=0,NA(),IF(Inputs!$C$17="Rebased to 100",$C2221/C$8*100,$C2221)))))</f>
        <v/>
      </c>
      <c r="J2221" s="54">
        <f>IF($B2221=0,NA(),IF($D2221="",NA(),IF(D$8="",NA(),IF(N(D$8)=0,NA(),IF(Inputs!$C$17="Rebased to 100",$D2221/D$8*100,$D2221)))))</f>
        <v/>
      </c>
      <c r="K2221" s="54">
        <f>IF($B2221=0,NA(),IF($E2221="",NA(),IF(E$8="",NA(),IF(N(E$8)=0,NA(),IF(Inputs!$C$17="Rebased to 100",$E2221/E$8*100,$E2221)))))</f>
        <v/>
      </c>
      <c r="L2221" s="54">
        <f>IF($B2221=0,NA(),IF($F2221="",NA(),IF(F$8="",NA(),IF(N(F$8)=0,NA(),IF(Inputs!$C$17="Rebased to 100",$F2221/F$8*100,$F2221)))))</f>
        <v/>
      </c>
      <c r="M2221" s="54">
        <f>IF($B2221=0,NA(),IF($G2221="",NA(),IF(G$8="",NA(),IF(N(G$8)=0,NA(),IF(Inputs!$C$17="Rebased to 100",$G2221/G$8*100,$G2221)))))</f>
        <v/>
      </c>
      <c r="N2221" s="54">
        <f>IF($B2221=0,NA(),IF(Inputs!$C$18&lt;&gt;"Yes",NA(),IF(COUNT(I2221,J2221,K2221,L2221,M2221)=0,NA(),MIN(I2221,J2221,K2221,L2221,M2221))))</f>
        <v/>
      </c>
      <c r="O2221" s="54">
        <f>IF($B2221=0,NA(),IF(Inputs!$B$24&lt;&gt;"Yes",NA(),Inputs!$D$24*Inputs!$C$35))</f>
        <v/>
      </c>
      <c r="P2221" s="54">
        <f>IF($B2221=0,NA(),IF(Inputs!$B$25&lt;&gt;"Yes",NA(),Inputs!$D$25*Inputs!$C$35))</f>
        <v/>
      </c>
      <c r="Q2221" s="54">
        <f>IF($B2221=0,NA(),IF(Inputs!$B$26&lt;&gt;"Yes",NA(),Inputs!$D$26*Inputs!$C$35))</f>
        <v/>
      </c>
      <c r="R2221" s="54">
        <f>IF($B2221=0,NA(),IF(Inputs!$B$27&lt;&gt;"Yes",NA(),Inputs!$D$27*Inputs!$C$35))</f>
        <v/>
      </c>
      <c r="S2221" s="54">
        <f>IF($B2221=0,NA(),IF(Inputs!$B$28&lt;&gt;"Yes",NA(),Inputs!$D$28*Inputs!$C$35))</f>
        <v/>
      </c>
      <c r="T2221" s="54">
        <f>IF($B2221=0,NA(),IF(Inputs!$B$29&lt;&gt;"Yes",NA(),Inputs!$D$29*Inputs!$C$35))</f>
        <v/>
      </c>
      <c r="AD2221">
        <f>IF($B2221=0,0,IF(Inputs!$B$6="",0,COUNTIFS(Data!$A$10:$A$3209,"&gt;="&amp;$A2221,Data!$A$10:$A$3209,"&lt;"&amp;$A2221+1)))</f>
        <v/>
      </c>
      <c r="AE2221">
        <f>IF($B2221=0,0,IF(Inputs!$B$7="",0,COUNTIFS(Data!$E$10:$E$3209,"&gt;="&amp;$A2221,Data!$E$10:$E$3209,"&lt;"&amp;$A2221+1)))</f>
        <v/>
      </c>
      <c r="AF2221">
        <f>IF($B2221=0,0,IF(Inputs!$B$8="",0,COUNTIFS(Data!$I$10:$I$3209,"&gt;="&amp;$A2221,Data!$I$10:$I$3209,"&lt;"&amp;$A2221+1)))</f>
        <v/>
      </c>
      <c r="AG2221">
        <f>IF($B2221=0,0,IF(Inputs!$B$9="",0,COUNTIFS(Data!$M$10:$M$3209,"&gt;="&amp;$A2221,Data!$M$10:$M$3209,"&lt;"&amp;$A2221+1)))</f>
        <v/>
      </c>
      <c r="AH2221">
        <f>IF($B2221=0,0,IF(Inputs!$B$10="",0,COUNTIFS(Data!$Q$10:$Q$3209,"&gt;="&amp;$A2221,Data!$Q$10:$Q$3209,"&lt;"&amp;$A2221+1)))</f>
        <v/>
      </c>
    </row>
    <row r="2222">
      <c r="A2222" s="55">
        <f>MIN(Inputs!$C$15,$A2221+IF(WEEKDAY($A2221,2)=5,3,1))</f>
        <v/>
      </c>
      <c r="B2222">
        <f>IF($A2222&gt;$A2221,1,0)</f>
        <v/>
      </c>
      <c r="C2222" s="56">
        <f>IF($B2222=0,"",IF(Inputs!$B$6="","",IF($AD2222=0,C2221,SUMIFS(Data!$B$10:$B$3209,Data!$A$10:$A$3209,"&gt;="&amp;$A2222,Data!$A$10:$A$3209,"&lt;"&amp;$A2222+1)/$AD2222)))</f>
        <v/>
      </c>
      <c r="D2222" s="56">
        <f>IF($B2222=0,"",IF(Inputs!$B$7="","",IF($AE2222=0,D2221,SUMIFS(Data!$F$10:$F$3209,Data!$E$10:$E$3209,"&gt;="&amp;$A2222,Data!$E$10:$E$3209,"&lt;"&amp;$A2222+1)/$AE2222)))</f>
        <v/>
      </c>
      <c r="E2222" s="56">
        <f>IF($B2222=0,"",IF(Inputs!$B$8="","",IF($AF2222=0,E2221,SUMIFS(Data!$J$10:$J$3209,Data!$I$10:$I$3209,"&gt;="&amp;$A2222,Data!$I$10:$I$3209,"&lt;"&amp;$A2222+1)/$AF2222)))</f>
        <v/>
      </c>
      <c r="F2222" s="56">
        <f>IF($B2222=0,"",IF(Inputs!$B$9="","",IF($AG2222=0,F2221,SUMIFS(Data!$N$10:$N$3209,Data!$M$10:$M$3209,"&gt;="&amp;$A2222,Data!$M$10:$M$3209,"&lt;"&amp;$A2222+1)/$AG2222)))</f>
        <v/>
      </c>
      <c r="G2222" s="56">
        <f>IF($B2222=0,"",IF(Inputs!$B$10="","",IF($AH2222=0,G2221,SUMIFS(Data!$R$10:$R$3209,Data!$Q$10:$Q$3209,"&gt;="&amp;$A2222,Data!$Q$10:$Q$3209,"&lt;"&amp;$A2222+1)/$AH2222)))</f>
        <v/>
      </c>
      <c r="I2222" s="54">
        <f>IF($B2222=0,NA(),IF($C2222="",NA(),IF(C$8="",NA(),IF(N(C$8)=0,NA(),IF(Inputs!$C$17="Rebased to 100",$C2222/C$8*100,$C2222)))))</f>
        <v/>
      </c>
      <c r="J2222" s="54">
        <f>IF($B2222=0,NA(),IF($D2222="",NA(),IF(D$8="",NA(),IF(N(D$8)=0,NA(),IF(Inputs!$C$17="Rebased to 100",$D2222/D$8*100,$D2222)))))</f>
        <v/>
      </c>
      <c r="K2222" s="54">
        <f>IF($B2222=0,NA(),IF($E2222="",NA(),IF(E$8="",NA(),IF(N(E$8)=0,NA(),IF(Inputs!$C$17="Rebased to 100",$E2222/E$8*100,$E2222)))))</f>
        <v/>
      </c>
      <c r="L2222" s="54">
        <f>IF($B2222=0,NA(),IF($F2222="",NA(),IF(F$8="",NA(),IF(N(F$8)=0,NA(),IF(Inputs!$C$17="Rebased to 100",$F2222/F$8*100,$F2222)))))</f>
        <v/>
      </c>
      <c r="M2222" s="54">
        <f>IF($B2222=0,NA(),IF($G2222="",NA(),IF(G$8="",NA(),IF(N(G$8)=0,NA(),IF(Inputs!$C$17="Rebased to 100",$G2222/G$8*100,$G2222)))))</f>
        <v/>
      </c>
      <c r="N2222" s="54">
        <f>IF($B2222=0,NA(),IF(Inputs!$C$18&lt;&gt;"Yes",NA(),IF(COUNT(I2222,J2222,K2222,L2222,M2222)=0,NA(),MIN(I2222,J2222,K2222,L2222,M2222))))</f>
        <v/>
      </c>
      <c r="O2222" s="54">
        <f>IF($B2222=0,NA(),IF(Inputs!$B$24&lt;&gt;"Yes",NA(),Inputs!$D$24*Inputs!$C$35))</f>
        <v/>
      </c>
      <c r="P2222" s="54">
        <f>IF($B2222=0,NA(),IF(Inputs!$B$25&lt;&gt;"Yes",NA(),Inputs!$D$25*Inputs!$C$35))</f>
        <v/>
      </c>
      <c r="Q2222" s="54">
        <f>IF($B2222=0,NA(),IF(Inputs!$B$26&lt;&gt;"Yes",NA(),Inputs!$D$26*Inputs!$C$35))</f>
        <v/>
      </c>
      <c r="R2222" s="54">
        <f>IF($B2222=0,NA(),IF(Inputs!$B$27&lt;&gt;"Yes",NA(),Inputs!$D$27*Inputs!$C$35))</f>
        <v/>
      </c>
      <c r="S2222" s="54">
        <f>IF($B2222=0,NA(),IF(Inputs!$B$28&lt;&gt;"Yes",NA(),Inputs!$D$28*Inputs!$C$35))</f>
        <v/>
      </c>
      <c r="T2222" s="54">
        <f>IF($B2222=0,NA(),IF(Inputs!$B$29&lt;&gt;"Yes",NA(),Inputs!$D$29*Inputs!$C$35))</f>
        <v/>
      </c>
      <c r="AD2222">
        <f>IF($B2222=0,0,IF(Inputs!$B$6="",0,COUNTIFS(Data!$A$10:$A$3209,"&gt;="&amp;$A2222,Data!$A$10:$A$3209,"&lt;"&amp;$A2222+1)))</f>
        <v/>
      </c>
      <c r="AE2222">
        <f>IF($B2222=0,0,IF(Inputs!$B$7="",0,COUNTIFS(Data!$E$10:$E$3209,"&gt;="&amp;$A2222,Data!$E$10:$E$3209,"&lt;"&amp;$A2222+1)))</f>
        <v/>
      </c>
      <c r="AF2222">
        <f>IF($B2222=0,0,IF(Inputs!$B$8="",0,COUNTIFS(Data!$I$10:$I$3209,"&gt;="&amp;$A2222,Data!$I$10:$I$3209,"&lt;"&amp;$A2222+1)))</f>
        <v/>
      </c>
      <c r="AG2222">
        <f>IF($B2222=0,0,IF(Inputs!$B$9="",0,COUNTIFS(Data!$M$10:$M$3209,"&gt;="&amp;$A2222,Data!$M$10:$M$3209,"&lt;"&amp;$A2222+1)))</f>
        <v/>
      </c>
      <c r="AH2222">
        <f>IF($B2222=0,0,IF(Inputs!$B$10="",0,COUNTIFS(Data!$Q$10:$Q$3209,"&gt;="&amp;$A2222,Data!$Q$10:$Q$3209,"&lt;"&amp;$A2222+1)))</f>
        <v/>
      </c>
    </row>
    <row r="2223">
      <c r="A2223" s="55">
        <f>MIN(Inputs!$C$15,$A2222+IF(WEEKDAY($A2222,2)=5,3,1))</f>
        <v/>
      </c>
      <c r="B2223">
        <f>IF($A2223&gt;$A2222,1,0)</f>
        <v/>
      </c>
      <c r="C2223" s="56">
        <f>IF($B2223=0,"",IF(Inputs!$B$6="","",IF($AD2223=0,C2222,SUMIFS(Data!$B$10:$B$3209,Data!$A$10:$A$3209,"&gt;="&amp;$A2223,Data!$A$10:$A$3209,"&lt;"&amp;$A2223+1)/$AD2223)))</f>
        <v/>
      </c>
      <c r="D2223" s="56">
        <f>IF($B2223=0,"",IF(Inputs!$B$7="","",IF($AE2223=0,D2222,SUMIFS(Data!$F$10:$F$3209,Data!$E$10:$E$3209,"&gt;="&amp;$A2223,Data!$E$10:$E$3209,"&lt;"&amp;$A2223+1)/$AE2223)))</f>
        <v/>
      </c>
      <c r="E2223" s="56">
        <f>IF($B2223=0,"",IF(Inputs!$B$8="","",IF($AF2223=0,E2222,SUMIFS(Data!$J$10:$J$3209,Data!$I$10:$I$3209,"&gt;="&amp;$A2223,Data!$I$10:$I$3209,"&lt;"&amp;$A2223+1)/$AF2223)))</f>
        <v/>
      </c>
      <c r="F2223" s="56">
        <f>IF($B2223=0,"",IF(Inputs!$B$9="","",IF($AG2223=0,F2222,SUMIFS(Data!$N$10:$N$3209,Data!$M$10:$M$3209,"&gt;="&amp;$A2223,Data!$M$10:$M$3209,"&lt;"&amp;$A2223+1)/$AG2223)))</f>
        <v/>
      </c>
      <c r="G2223" s="56">
        <f>IF($B2223=0,"",IF(Inputs!$B$10="","",IF($AH2223=0,G2222,SUMIFS(Data!$R$10:$R$3209,Data!$Q$10:$Q$3209,"&gt;="&amp;$A2223,Data!$Q$10:$Q$3209,"&lt;"&amp;$A2223+1)/$AH2223)))</f>
        <v/>
      </c>
      <c r="I2223" s="54">
        <f>IF($B2223=0,NA(),IF($C2223="",NA(),IF(C$8="",NA(),IF(N(C$8)=0,NA(),IF(Inputs!$C$17="Rebased to 100",$C2223/C$8*100,$C2223)))))</f>
        <v/>
      </c>
      <c r="J2223" s="54">
        <f>IF($B2223=0,NA(),IF($D2223="",NA(),IF(D$8="",NA(),IF(N(D$8)=0,NA(),IF(Inputs!$C$17="Rebased to 100",$D2223/D$8*100,$D2223)))))</f>
        <v/>
      </c>
      <c r="K2223" s="54">
        <f>IF($B2223=0,NA(),IF($E2223="",NA(),IF(E$8="",NA(),IF(N(E$8)=0,NA(),IF(Inputs!$C$17="Rebased to 100",$E2223/E$8*100,$E2223)))))</f>
        <v/>
      </c>
      <c r="L2223" s="54">
        <f>IF($B2223=0,NA(),IF($F2223="",NA(),IF(F$8="",NA(),IF(N(F$8)=0,NA(),IF(Inputs!$C$17="Rebased to 100",$F2223/F$8*100,$F2223)))))</f>
        <v/>
      </c>
      <c r="M2223" s="54">
        <f>IF($B2223=0,NA(),IF($G2223="",NA(),IF(G$8="",NA(),IF(N(G$8)=0,NA(),IF(Inputs!$C$17="Rebased to 100",$G2223/G$8*100,$G2223)))))</f>
        <v/>
      </c>
      <c r="N2223" s="54">
        <f>IF($B2223=0,NA(),IF(Inputs!$C$18&lt;&gt;"Yes",NA(),IF(COUNT(I2223,J2223,K2223,L2223,M2223)=0,NA(),MIN(I2223,J2223,K2223,L2223,M2223))))</f>
        <v/>
      </c>
      <c r="O2223" s="54">
        <f>IF($B2223=0,NA(),IF(Inputs!$B$24&lt;&gt;"Yes",NA(),Inputs!$D$24*Inputs!$C$35))</f>
        <v/>
      </c>
      <c r="P2223" s="54">
        <f>IF($B2223=0,NA(),IF(Inputs!$B$25&lt;&gt;"Yes",NA(),Inputs!$D$25*Inputs!$C$35))</f>
        <v/>
      </c>
      <c r="Q2223" s="54">
        <f>IF($B2223=0,NA(),IF(Inputs!$B$26&lt;&gt;"Yes",NA(),Inputs!$D$26*Inputs!$C$35))</f>
        <v/>
      </c>
      <c r="R2223" s="54">
        <f>IF($B2223=0,NA(),IF(Inputs!$B$27&lt;&gt;"Yes",NA(),Inputs!$D$27*Inputs!$C$35))</f>
        <v/>
      </c>
      <c r="S2223" s="54">
        <f>IF($B2223=0,NA(),IF(Inputs!$B$28&lt;&gt;"Yes",NA(),Inputs!$D$28*Inputs!$C$35))</f>
        <v/>
      </c>
      <c r="T2223" s="54">
        <f>IF($B2223=0,NA(),IF(Inputs!$B$29&lt;&gt;"Yes",NA(),Inputs!$D$29*Inputs!$C$35))</f>
        <v/>
      </c>
      <c r="AD2223">
        <f>IF($B2223=0,0,IF(Inputs!$B$6="",0,COUNTIFS(Data!$A$10:$A$3209,"&gt;="&amp;$A2223,Data!$A$10:$A$3209,"&lt;"&amp;$A2223+1)))</f>
        <v/>
      </c>
      <c r="AE2223">
        <f>IF($B2223=0,0,IF(Inputs!$B$7="",0,COUNTIFS(Data!$E$10:$E$3209,"&gt;="&amp;$A2223,Data!$E$10:$E$3209,"&lt;"&amp;$A2223+1)))</f>
        <v/>
      </c>
      <c r="AF2223">
        <f>IF($B2223=0,0,IF(Inputs!$B$8="",0,COUNTIFS(Data!$I$10:$I$3209,"&gt;="&amp;$A2223,Data!$I$10:$I$3209,"&lt;"&amp;$A2223+1)))</f>
        <v/>
      </c>
      <c r="AG2223">
        <f>IF($B2223=0,0,IF(Inputs!$B$9="",0,COUNTIFS(Data!$M$10:$M$3209,"&gt;="&amp;$A2223,Data!$M$10:$M$3209,"&lt;"&amp;$A2223+1)))</f>
        <v/>
      </c>
      <c r="AH2223">
        <f>IF($B2223=0,0,IF(Inputs!$B$10="",0,COUNTIFS(Data!$Q$10:$Q$3209,"&gt;="&amp;$A2223,Data!$Q$10:$Q$3209,"&lt;"&amp;$A2223+1)))</f>
        <v/>
      </c>
    </row>
    <row r="2224">
      <c r="A2224" s="55">
        <f>MIN(Inputs!$C$15,$A2223+IF(WEEKDAY($A2223,2)=5,3,1))</f>
        <v/>
      </c>
      <c r="B2224">
        <f>IF($A2224&gt;$A2223,1,0)</f>
        <v/>
      </c>
      <c r="C2224" s="56">
        <f>IF($B2224=0,"",IF(Inputs!$B$6="","",IF($AD2224=0,C2223,SUMIFS(Data!$B$10:$B$3209,Data!$A$10:$A$3209,"&gt;="&amp;$A2224,Data!$A$10:$A$3209,"&lt;"&amp;$A2224+1)/$AD2224)))</f>
        <v/>
      </c>
      <c r="D2224" s="56">
        <f>IF($B2224=0,"",IF(Inputs!$B$7="","",IF($AE2224=0,D2223,SUMIFS(Data!$F$10:$F$3209,Data!$E$10:$E$3209,"&gt;="&amp;$A2224,Data!$E$10:$E$3209,"&lt;"&amp;$A2224+1)/$AE2224)))</f>
        <v/>
      </c>
      <c r="E2224" s="56">
        <f>IF($B2224=0,"",IF(Inputs!$B$8="","",IF($AF2224=0,E2223,SUMIFS(Data!$J$10:$J$3209,Data!$I$10:$I$3209,"&gt;="&amp;$A2224,Data!$I$10:$I$3209,"&lt;"&amp;$A2224+1)/$AF2224)))</f>
        <v/>
      </c>
      <c r="F2224" s="56">
        <f>IF($B2224=0,"",IF(Inputs!$B$9="","",IF($AG2224=0,F2223,SUMIFS(Data!$N$10:$N$3209,Data!$M$10:$M$3209,"&gt;="&amp;$A2224,Data!$M$10:$M$3209,"&lt;"&amp;$A2224+1)/$AG2224)))</f>
        <v/>
      </c>
      <c r="G2224" s="56">
        <f>IF($B2224=0,"",IF(Inputs!$B$10="","",IF($AH2224=0,G2223,SUMIFS(Data!$R$10:$R$3209,Data!$Q$10:$Q$3209,"&gt;="&amp;$A2224,Data!$Q$10:$Q$3209,"&lt;"&amp;$A2224+1)/$AH2224)))</f>
        <v/>
      </c>
      <c r="I2224" s="54">
        <f>IF($B2224=0,NA(),IF($C2224="",NA(),IF(C$8="",NA(),IF(N(C$8)=0,NA(),IF(Inputs!$C$17="Rebased to 100",$C2224/C$8*100,$C2224)))))</f>
        <v/>
      </c>
      <c r="J2224" s="54">
        <f>IF($B2224=0,NA(),IF($D2224="",NA(),IF(D$8="",NA(),IF(N(D$8)=0,NA(),IF(Inputs!$C$17="Rebased to 100",$D2224/D$8*100,$D2224)))))</f>
        <v/>
      </c>
      <c r="K2224" s="54">
        <f>IF($B2224=0,NA(),IF($E2224="",NA(),IF(E$8="",NA(),IF(N(E$8)=0,NA(),IF(Inputs!$C$17="Rebased to 100",$E2224/E$8*100,$E2224)))))</f>
        <v/>
      </c>
      <c r="L2224" s="54">
        <f>IF($B2224=0,NA(),IF($F2224="",NA(),IF(F$8="",NA(),IF(N(F$8)=0,NA(),IF(Inputs!$C$17="Rebased to 100",$F2224/F$8*100,$F2224)))))</f>
        <v/>
      </c>
      <c r="M2224" s="54">
        <f>IF($B2224=0,NA(),IF($G2224="",NA(),IF(G$8="",NA(),IF(N(G$8)=0,NA(),IF(Inputs!$C$17="Rebased to 100",$G2224/G$8*100,$G2224)))))</f>
        <v/>
      </c>
      <c r="N2224" s="54">
        <f>IF($B2224=0,NA(),IF(Inputs!$C$18&lt;&gt;"Yes",NA(),IF(COUNT(I2224,J2224,K2224,L2224,M2224)=0,NA(),MIN(I2224,J2224,K2224,L2224,M2224))))</f>
        <v/>
      </c>
      <c r="O2224" s="54">
        <f>IF($B2224=0,NA(),IF(Inputs!$B$24&lt;&gt;"Yes",NA(),Inputs!$D$24*Inputs!$C$35))</f>
        <v/>
      </c>
      <c r="P2224" s="54">
        <f>IF($B2224=0,NA(),IF(Inputs!$B$25&lt;&gt;"Yes",NA(),Inputs!$D$25*Inputs!$C$35))</f>
        <v/>
      </c>
      <c r="Q2224" s="54">
        <f>IF($B2224=0,NA(),IF(Inputs!$B$26&lt;&gt;"Yes",NA(),Inputs!$D$26*Inputs!$C$35))</f>
        <v/>
      </c>
      <c r="R2224" s="54">
        <f>IF($B2224=0,NA(),IF(Inputs!$B$27&lt;&gt;"Yes",NA(),Inputs!$D$27*Inputs!$C$35))</f>
        <v/>
      </c>
      <c r="S2224" s="54">
        <f>IF($B2224=0,NA(),IF(Inputs!$B$28&lt;&gt;"Yes",NA(),Inputs!$D$28*Inputs!$C$35))</f>
        <v/>
      </c>
      <c r="T2224" s="54">
        <f>IF($B2224=0,NA(),IF(Inputs!$B$29&lt;&gt;"Yes",NA(),Inputs!$D$29*Inputs!$C$35))</f>
        <v/>
      </c>
      <c r="AD2224">
        <f>IF($B2224=0,0,IF(Inputs!$B$6="",0,COUNTIFS(Data!$A$10:$A$3209,"&gt;="&amp;$A2224,Data!$A$10:$A$3209,"&lt;"&amp;$A2224+1)))</f>
        <v/>
      </c>
      <c r="AE2224">
        <f>IF($B2224=0,0,IF(Inputs!$B$7="",0,COUNTIFS(Data!$E$10:$E$3209,"&gt;="&amp;$A2224,Data!$E$10:$E$3209,"&lt;"&amp;$A2224+1)))</f>
        <v/>
      </c>
      <c r="AF2224">
        <f>IF($B2224=0,0,IF(Inputs!$B$8="",0,COUNTIFS(Data!$I$10:$I$3209,"&gt;="&amp;$A2224,Data!$I$10:$I$3209,"&lt;"&amp;$A2224+1)))</f>
        <v/>
      </c>
      <c r="AG2224">
        <f>IF($B2224=0,0,IF(Inputs!$B$9="",0,COUNTIFS(Data!$M$10:$M$3209,"&gt;="&amp;$A2224,Data!$M$10:$M$3209,"&lt;"&amp;$A2224+1)))</f>
        <v/>
      </c>
      <c r="AH2224">
        <f>IF($B2224=0,0,IF(Inputs!$B$10="",0,COUNTIFS(Data!$Q$10:$Q$3209,"&gt;="&amp;$A2224,Data!$Q$10:$Q$3209,"&lt;"&amp;$A2224+1)))</f>
        <v/>
      </c>
    </row>
    <row r="2225">
      <c r="A2225" s="55">
        <f>MIN(Inputs!$C$15,$A2224+IF(WEEKDAY($A2224,2)=5,3,1))</f>
        <v/>
      </c>
      <c r="B2225">
        <f>IF($A2225&gt;$A2224,1,0)</f>
        <v/>
      </c>
      <c r="C2225" s="56">
        <f>IF($B2225=0,"",IF(Inputs!$B$6="","",IF($AD2225=0,C2224,SUMIFS(Data!$B$10:$B$3209,Data!$A$10:$A$3209,"&gt;="&amp;$A2225,Data!$A$10:$A$3209,"&lt;"&amp;$A2225+1)/$AD2225)))</f>
        <v/>
      </c>
      <c r="D2225" s="56">
        <f>IF($B2225=0,"",IF(Inputs!$B$7="","",IF($AE2225=0,D2224,SUMIFS(Data!$F$10:$F$3209,Data!$E$10:$E$3209,"&gt;="&amp;$A2225,Data!$E$10:$E$3209,"&lt;"&amp;$A2225+1)/$AE2225)))</f>
        <v/>
      </c>
      <c r="E2225" s="56">
        <f>IF($B2225=0,"",IF(Inputs!$B$8="","",IF($AF2225=0,E2224,SUMIFS(Data!$J$10:$J$3209,Data!$I$10:$I$3209,"&gt;="&amp;$A2225,Data!$I$10:$I$3209,"&lt;"&amp;$A2225+1)/$AF2225)))</f>
        <v/>
      </c>
      <c r="F2225" s="56">
        <f>IF($B2225=0,"",IF(Inputs!$B$9="","",IF($AG2225=0,F2224,SUMIFS(Data!$N$10:$N$3209,Data!$M$10:$M$3209,"&gt;="&amp;$A2225,Data!$M$10:$M$3209,"&lt;"&amp;$A2225+1)/$AG2225)))</f>
        <v/>
      </c>
      <c r="G2225" s="56">
        <f>IF($B2225=0,"",IF(Inputs!$B$10="","",IF($AH2225=0,G2224,SUMIFS(Data!$R$10:$R$3209,Data!$Q$10:$Q$3209,"&gt;="&amp;$A2225,Data!$Q$10:$Q$3209,"&lt;"&amp;$A2225+1)/$AH2225)))</f>
        <v/>
      </c>
      <c r="I2225" s="54">
        <f>IF($B2225=0,NA(),IF($C2225="",NA(),IF(C$8="",NA(),IF(N(C$8)=0,NA(),IF(Inputs!$C$17="Rebased to 100",$C2225/C$8*100,$C2225)))))</f>
        <v/>
      </c>
      <c r="J2225" s="54">
        <f>IF($B2225=0,NA(),IF($D2225="",NA(),IF(D$8="",NA(),IF(N(D$8)=0,NA(),IF(Inputs!$C$17="Rebased to 100",$D2225/D$8*100,$D2225)))))</f>
        <v/>
      </c>
      <c r="K2225" s="54">
        <f>IF($B2225=0,NA(),IF($E2225="",NA(),IF(E$8="",NA(),IF(N(E$8)=0,NA(),IF(Inputs!$C$17="Rebased to 100",$E2225/E$8*100,$E2225)))))</f>
        <v/>
      </c>
      <c r="L2225" s="54">
        <f>IF($B2225=0,NA(),IF($F2225="",NA(),IF(F$8="",NA(),IF(N(F$8)=0,NA(),IF(Inputs!$C$17="Rebased to 100",$F2225/F$8*100,$F2225)))))</f>
        <v/>
      </c>
      <c r="M2225" s="54">
        <f>IF($B2225=0,NA(),IF($G2225="",NA(),IF(G$8="",NA(),IF(N(G$8)=0,NA(),IF(Inputs!$C$17="Rebased to 100",$G2225/G$8*100,$G2225)))))</f>
        <v/>
      </c>
      <c r="N2225" s="54">
        <f>IF($B2225=0,NA(),IF(Inputs!$C$18&lt;&gt;"Yes",NA(),IF(COUNT(I2225,J2225,K2225,L2225,M2225)=0,NA(),MIN(I2225,J2225,K2225,L2225,M2225))))</f>
        <v/>
      </c>
      <c r="O2225" s="54">
        <f>IF($B2225=0,NA(),IF(Inputs!$B$24&lt;&gt;"Yes",NA(),Inputs!$D$24*Inputs!$C$35))</f>
        <v/>
      </c>
      <c r="P2225" s="54">
        <f>IF($B2225=0,NA(),IF(Inputs!$B$25&lt;&gt;"Yes",NA(),Inputs!$D$25*Inputs!$C$35))</f>
        <v/>
      </c>
      <c r="Q2225" s="54">
        <f>IF($B2225=0,NA(),IF(Inputs!$B$26&lt;&gt;"Yes",NA(),Inputs!$D$26*Inputs!$C$35))</f>
        <v/>
      </c>
      <c r="R2225" s="54">
        <f>IF($B2225=0,NA(),IF(Inputs!$B$27&lt;&gt;"Yes",NA(),Inputs!$D$27*Inputs!$C$35))</f>
        <v/>
      </c>
      <c r="S2225" s="54">
        <f>IF($B2225=0,NA(),IF(Inputs!$B$28&lt;&gt;"Yes",NA(),Inputs!$D$28*Inputs!$C$35))</f>
        <v/>
      </c>
      <c r="T2225" s="54">
        <f>IF($B2225=0,NA(),IF(Inputs!$B$29&lt;&gt;"Yes",NA(),Inputs!$D$29*Inputs!$C$35))</f>
        <v/>
      </c>
      <c r="AD2225">
        <f>IF($B2225=0,0,IF(Inputs!$B$6="",0,COUNTIFS(Data!$A$10:$A$3209,"&gt;="&amp;$A2225,Data!$A$10:$A$3209,"&lt;"&amp;$A2225+1)))</f>
        <v/>
      </c>
      <c r="AE2225">
        <f>IF($B2225=0,0,IF(Inputs!$B$7="",0,COUNTIFS(Data!$E$10:$E$3209,"&gt;="&amp;$A2225,Data!$E$10:$E$3209,"&lt;"&amp;$A2225+1)))</f>
        <v/>
      </c>
      <c r="AF2225">
        <f>IF($B2225=0,0,IF(Inputs!$B$8="",0,COUNTIFS(Data!$I$10:$I$3209,"&gt;="&amp;$A2225,Data!$I$10:$I$3209,"&lt;"&amp;$A2225+1)))</f>
        <v/>
      </c>
      <c r="AG2225">
        <f>IF($B2225=0,0,IF(Inputs!$B$9="",0,COUNTIFS(Data!$M$10:$M$3209,"&gt;="&amp;$A2225,Data!$M$10:$M$3209,"&lt;"&amp;$A2225+1)))</f>
        <v/>
      </c>
      <c r="AH2225">
        <f>IF($B2225=0,0,IF(Inputs!$B$10="",0,COUNTIFS(Data!$Q$10:$Q$3209,"&gt;="&amp;$A2225,Data!$Q$10:$Q$3209,"&lt;"&amp;$A2225+1)))</f>
        <v/>
      </c>
    </row>
    <row r="2226">
      <c r="A2226" s="55">
        <f>MIN(Inputs!$C$15,$A2225+IF(WEEKDAY($A2225,2)=5,3,1))</f>
        <v/>
      </c>
      <c r="B2226">
        <f>IF($A2226&gt;$A2225,1,0)</f>
        <v/>
      </c>
      <c r="C2226" s="56">
        <f>IF($B2226=0,"",IF(Inputs!$B$6="","",IF($AD2226=0,C2225,SUMIFS(Data!$B$10:$B$3209,Data!$A$10:$A$3209,"&gt;="&amp;$A2226,Data!$A$10:$A$3209,"&lt;"&amp;$A2226+1)/$AD2226)))</f>
        <v/>
      </c>
      <c r="D2226" s="56">
        <f>IF($B2226=0,"",IF(Inputs!$B$7="","",IF($AE2226=0,D2225,SUMIFS(Data!$F$10:$F$3209,Data!$E$10:$E$3209,"&gt;="&amp;$A2226,Data!$E$10:$E$3209,"&lt;"&amp;$A2226+1)/$AE2226)))</f>
        <v/>
      </c>
      <c r="E2226" s="56">
        <f>IF($B2226=0,"",IF(Inputs!$B$8="","",IF($AF2226=0,E2225,SUMIFS(Data!$J$10:$J$3209,Data!$I$10:$I$3209,"&gt;="&amp;$A2226,Data!$I$10:$I$3209,"&lt;"&amp;$A2226+1)/$AF2226)))</f>
        <v/>
      </c>
      <c r="F2226" s="56">
        <f>IF($B2226=0,"",IF(Inputs!$B$9="","",IF($AG2226=0,F2225,SUMIFS(Data!$N$10:$N$3209,Data!$M$10:$M$3209,"&gt;="&amp;$A2226,Data!$M$10:$M$3209,"&lt;"&amp;$A2226+1)/$AG2226)))</f>
        <v/>
      </c>
      <c r="G2226" s="56">
        <f>IF($B2226=0,"",IF(Inputs!$B$10="","",IF($AH2226=0,G2225,SUMIFS(Data!$R$10:$R$3209,Data!$Q$10:$Q$3209,"&gt;="&amp;$A2226,Data!$Q$10:$Q$3209,"&lt;"&amp;$A2226+1)/$AH2226)))</f>
        <v/>
      </c>
      <c r="I2226" s="54">
        <f>IF($B2226=0,NA(),IF($C2226="",NA(),IF(C$8="",NA(),IF(N(C$8)=0,NA(),IF(Inputs!$C$17="Rebased to 100",$C2226/C$8*100,$C2226)))))</f>
        <v/>
      </c>
      <c r="J2226" s="54">
        <f>IF($B2226=0,NA(),IF($D2226="",NA(),IF(D$8="",NA(),IF(N(D$8)=0,NA(),IF(Inputs!$C$17="Rebased to 100",$D2226/D$8*100,$D2226)))))</f>
        <v/>
      </c>
      <c r="K2226" s="54">
        <f>IF($B2226=0,NA(),IF($E2226="",NA(),IF(E$8="",NA(),IF(N(E$8)=0,NA(),IF(Inputs!$C$17="Rebased to 100",$E2226/E$8*100,$E2226)))))</f>
        <v/>
      </c>
      <c r="L2226" s="54">
        <f>IF($B2226=0,NA(),IF($F2226="",NA(),IF(F$8="",NA(),IF(N(F$8)=0,NA(),IF(Inputs!$C$17="Rebased to 100",$F2226/F$8*100,$F2226)))))</f>
        <v/>
      </c>
      <c r="M2226" s="54">
        <f>IF($B2226=0,NA(),IF($G2226="",NA(),IF(G$8="",NA(),IF(N(G$8)=0,NA(),IF(Inputs!$C$17="Rebased to 100",$G2226/G$8*100,$G2226)))))</f>
        <v/>
      </c>
      <c r="N2226" s="54">
        <f>IF($B2226=0,NA(),IF(Inputs!$C$18&lt;&gt;"Yes",NA(),IF(COUNT(I2226,J2226,K2226,L2226,M2226)=0,NA(),MIN(I2226,J2226,K2226,L2226,M2226))))</f>
        <v/>
      </c>
      <c r="O2226" s="54">
        <f>IF($B2226=0,NA(),IF(Inputs!$B$24&lt;&gt;"Yes",NA(),Inputs!$D$24*Inputs!$C$35))</f>
        <v/>
      </c>
      <c r="P2226" s="54">
        <f>IF($B2226=0,NA(),IF(Inputs!$B$25&lt;&gt;"Yes",NA(),Inputs!$D$25*Inputs!$C$35))</f>
        <v/>
      </c>
      <c r="Q2226" s="54">
        <f>IF($B2226=0,NA(),IF(Inputs!$B$26&lt;&gt;"Yes",NA(),Inputs!$D$26*Inputs!$C$35))</f>
        <v/>
      </c>
      <c r="R2226" s="54">
        <f>IF($B2226=0,NA(),IF(Inputs!$B$27&lt;&gt;"Yes",NA(),Inputs!$D$27*Inputs!$C$35))</f>
        <v/>
      </c>
      <c r="S2226" s="54">
        <f>IF($B2226=0,NA(),IF(Inputs!$B$28&lt;&gt;"Yes",NA(),Inputs!$D$28*Inputs!$C$35))</f>
        <v/>
      </c>
      <c r="T2226" s="54">
        <f>IF($B2226=0,NA(),IF(Inputs!$B$29&lt;&gt;"Yes",NA(),Inputs!$D$29*Inputs!$C$35))</f>
        <v/>
      </c>
      <c r="AD2226">
        <f>IF($B2226=0,0,IF(Inputs!$B$6="",0,COUNTIFS(Data!$A$10:$A$3209,"&gt;="&amp;$A2226,Data!$A$10:$A$3209,"&lt;"&amp;$A2226+1)))</f>
        <v/>
      </c>
      <c r="AE2226">
        <f>IF($B2226=0,0,IF(Inputs!$B$7="",0,COUNTIFS(Data!$E$10:$E$3209,"&gt;="&amp;$A2226,Data!$E$10:$E$3209,"&lt;"&amp;$A2226+1)))</f>
        <v/>
      </c>
      <c r="AF2226">
        <f>IF($B2226=0,0,IF(Inputs!$B$8="",0,COUNTIFS(Data!$I$10:$I$3209,"&gt;="&amp;$A2226,Data!$I$10:$I$3209,"&lt;"&amp;$A2226+1)))</f>
        <v/>
      </c>
      <c r="AG2226">
        <f>IF($B2226=0,0,IF(Inputs!$B$9="",0,COUNTIFS(Data!$M$10:$M$3209,"&gt;="&amp;$A2226,Data!$M$10:$M$3209,"&lt;"&amp;$A2226+1)))</f>
        <v/>
      </c>
      <c r="AH2226">
        <f>IF($B2226=0,0,IF(Inputs!$B$10="",0,COUNTIFS(Data!$Q$10:$Q$3209,"&gt;="&amp;$A2226,Data!$Q$10:$Q$3209,"&lt;"&amp;$A2226+1)))</f>
        <v/>
      </c>
    </row>
    <row r="2227">
      <c r="A2227" s="55">
        <f>MIN(Inputs!$C$15,$A2226+IF(WEEKDAY($A2226,2)=5,3,1))</f>
        <v/>
      </c>
      <c r="B2227">
        <f>IF($A2227&gt;$A2226,1,0)</f>
        <v/>
      </c>
      <c r="C2227" s="56">
        <f>IF($B2227=0,"",IF(Inputs!$B$6="","",IF($AD2227=0,C2226,SUMIFS(Data!$B$10:$B$3209,Data!$A$10:$A$3209,"&gt;="&amp;$A2227,Data!$A$10:$A$3209,"&lt;"&amp;$A2227+1)/$AD2227)))</f>
        <v/>
      </c>
      <c r="D2227" s="56">
        <f>IF($B2227=0,"",IF(Inputs!$B$7="","",IF($AE2227=0,D2226,SUMIFS(Data!$F$10:$F$3209,Data!$E$10:$E$3209,"&gt;="&amp;$A2227,Data!$E$10:$E$3209,"&lt;"&amp;$A2227+1)/$AE2227)))</f>
        <v/>
      </c>
      <c r="E2227" s="56">
        <f>IF($B2227=0,"",IF(Inputs!$B$8="","",IF($AF2227=0,E2226,SUMIFS(Data!$J$10:$J$3209,Data!$I$10:$I$3209,"&gt;="&amp;$A2227,Data!$I$10:$I$3209,"&lt;"&amp;$A2227+1)/$AF2227)))</f>
        <v/>
      </c>
      <c r="F2227" s="56">
        <f>IF($B2227=0,"",IF(Inputs!$B$9="","",IF($AG2227=0,F2226,SUMIFS(Data!$N$10:$N$3209,Data!$M$10:$M$3209,"&gt;="&amp;$A2227,Data!$M$10:$M$3209,"&lt;"&amp;$A2227+1)/$AG2227)))</f>
        <v/>
      </c>
      <c r="G2227" s="56">
        <f>IF($B2227=0,"",IF(Inputs!$B$10="","",IF($AH2227=0,G2226,SUMIFS(Data!$R$10:$R$3209,Data!$Q$10:$Q$3209,"&gt;="&amp;$A2227,Data!$Q$10:$Q$3209,"&lt;"&amp;$A2227+1)/$AH2227)))</f>
        <v/>
      </c>
      <c r="I2227" s="54">
        <f>IF($B2227=0,NA(),IF($C2227="",NA(),IF(C$8="",NA(),IF(N(C$8)=0,NA(),IF(Inputs!$C$17="Rebased to 100",$C2227/C$8*100,$C2227)))))</f>
        <v/>
      </c>
      <c r="J2227" s="54">
        <f>IF($B2227=0,NA(),IF($D2227="",NA(),IF(D$8="",NA(),IF(N(D$8)=0,NA(),IF(Inputs!$C$17="Rebased to 100",$D2227/D$8*100,$D2227)))))</f>
        <v/>
      </c>
      <c r="K2227" s="54">
        <f>IF($B2227=0,NA(),IF($E2227="",NA(),IF(E$8="",NA(),IF(N(E$8)=0,NA(),IF(Inputs!$C$17="Rebased to 100",$E2227/E$8*100,$E2227)))))</f>
        <v/>
      </c>
      <c r="L2227" s="54">
        <f>IF($B2227=0,NA(),IF($F2227="",NA(),IF(F$8="",NA(),IF(N(F$8)=0,NA(),IF(Inputs!$C$17="Rebased to 100",$F2227/F$8*100,$F2227)))))</f>
        <v/>
      </c>
      <c r="M2227" s="54">
        <f>IF($B2227=0,NA(),IF($G2227="",NA(),IF(G$8="",NA(),IF(N(G$8)=0,NA(),IF(Inputs!$C$17="Rebased to 100",$G2227/G$8*100,$G2227)))))</f>
        <v/>
      </c>
      <c r="N2227" s="54">
        <f>IF($B2227=0,NA(),IF(Inputs!$C$18&lt;&gt;"Yes",NA(),IF(COUNT(I2227,J2227,K2227,L2227,M2227)=0,NA(),MIN(I2227,J2227,K2227,L2227,M2227))))</f>
        <v/>
      </c>
      <c r="O2227" s="54">
        <f>IF($B2227=0,NA(),IF(Inputs!$B$24&lt;&gt;"Yes",NA(),Inputs!$D$24*Inputs!$C$35))</f>
        <v/>
      </c>
      <c r="P2227" s="54">
        <f>IF($B2227=0,NA(),IF(Inputs!$B$25&lt;&gt;"Yes",NA(),Inputs!$D$25*Inputs!$C$35))</f>
        <v/>
      </c>
      <c r="Q2227" s="54">
        <f>IF($B2227=0,NA(),IF(Inputs!$B$26&lt;&gt;"Yes",NA(),Inputs!$D$26*Inputs!$C$35))</f>
        <v/>
      </c>
      <c r="R2227" s="54">
        <f>IF($B2227=0,NA(),IF(Inputs!$B$27&lt;&gt;"Yes",NA(),Inputs!$D$27*Inputs!$C$35))</f>
        <v/>
      </c>
      <c r="S2227" s="54">
        <f>IF($B2227=0,NA(),IF(Inputs!$B$28&lt;&gt;"Yes",NA(),Inputs!$D$28*Inputs!$C$35))</f>
        <v/>
      </c>
      <c r="T2227" s="54">
        <f>IF($B2227=0,NA(),IF(Inputs!$B$29&lt;&gt;"Yes",NA(),Inputs!$D$29*Inputs!$C$35))</f>
        <v/>
      </c>
      <c r="AD2227">
        <f>IF($B2227=0,0,IF(Inputs!$B$6="",0,COUNTIFS(Data!$A$10:$A$3209,"&gt;="&amp;$A2227,Data!$A$10:$A$3209,"&lt;"&amp;$A2227+1)))</f>
        <v/>
      </c>
      <c r="AE2227">
        <f>IF($B2227=0,0,IF(Inputs!$B$7="",0,COUNTIFS(Data!$E$10:$E$3209,"&gt;="&amp;$A2227,Data!$E$10:$E$3209,"&lt;"&amp;$A2227+1)))</f>
        <v/>
      </c>
      <c r="AF2227">
        <f>IF($B2227=0,0,IF(Inputs!$B$8="",0,COUNTIFS(Data!$I$10:$I$3209,"&gt;="&amp;$A2227,Data!$I$10:$I$3209,"&lt;"&amp;$A2227+1)))</f>
        <v/>
      </c>
      <c r="AG2227">
        <f>IF($B2227=0,0,IF(Inputs!$B$9="",0,COUNTIFS(Data!$M$10:$M$3209,"&gt;="&amp;$A2227,Data!$M$10:$M$3209,"&lt;"&amp;$A2227+1)))</f>
        <v/>
      </c>
      <c r="AH2227">
        <f>IF($B2227=0,0,IF(Inputs!$B$10="",0,COUNTIFS(Data!$Q$10:$Q$3209,"&gt;="&amp;$A2227,Data!$Q$10:$Q$3209,"&lt;"&amp;$A2227+1)))</f>
        <v/>
      </c>
    </row>
    <row r="2228">
      <c r="A2228" s="55">
        <f>MIN(Inputs!$C$15,$A2227+IF(WEEKDAY($A2227,2)=5,3,1))</f>
        <v/>
      </c>
      <c r="B2228">
        <f>IF($A2228&gt;$A2227,1,0)</f>
        <v/>
      </c>
      <c r="C2228" s="56">
        <f>IF($B2228=0,"",IF(Inputs!$B$6="","",IF($AD2228=0,C2227,SUMIFS(Data!$B$10:$B$3209,Data!$A$10:$A$3209,"&gt;="&amp;$A2228,Data!$A$10:$A$3209,"&lt;"&amp;$A2228+1)/$AD2228)))</f>
        <v/>
      </c>
      <c r="D2228" s="56">
        <f>IF($B2228=0,"",IF(Inputs!$B$7="","",IF($AE2228=0,D2227,SUMIFS(Data!$F$10:$F$3209,Data!$E$10:$E$3209,"&gt;="&amp;$A2228,Data!$E$10:$E$3209,"&lt;"&amp;$A2228+1)/$AE2228)))</f>
        <v/>
      </c>
      <c r="E2228" s="56">
        <f>IF($B2228=0,"",IF(Inputs!$B$8="","",IF($AF2228=0,E2227,SUMIFS(Data!$J$10:$J$3209,Data!$I$10:$I$3209,"&gt;="&amp;$A2228,Data!$I$10:$I$3209,"&lt;"&amp;$A2228+1)/$AF2228)))</f>
        <v/>
      </c>
      <c r="F2228" s="56">
        <f>IF($B2228=0,"",IF(Inputs!$B$9="","",IF($AG2228=0,F2227,SUMIFS(Data!$N$10:$N$3209,Data!$M$10:$M$3209,"&gt;="&amp;$A2228,Data!$M$10:$M$3209,"&lt;"&amp;$A2228+1)/$AG2228)))</f>
        <v/>
      </c>
      <c r="G2228" s="56">
        <f>IF($B2228=0,"",IF(Inputs!$B$10="","",IF($AH2228=0,G2227,SUMIFS(Data!$R$10:$R$3209,Data!$Q$10:$Q$3209,"&gt;="&amp;$A2228,Data!$Q$10:$Q$3209,"&lt;"&amp;$A2228+1)/$AH2228)))</f>
        <v/>
      </c>
      <c r="I2228" s="54">
        <f>IF($B2228=0,NA(),IF($C2228="",NA(),IF(C$8="",NA(),IF(N(C$8)=0,NA(),IF(Inputs!$C$17="Rebased to 100",$C2228/C$8*100,$C2228)))))</f>
        <v/>
      </c>
      <c r="J2228" s="54">
        <f>IF($B2228=0,NA(),IF($D2228="",NA(),IF(D$8="",NA(),IF(N(D$8)=0,NA(),IF(Inputs!$C$17="Rebased to 100",$D2228/D$8*100,$D2228)))))</f>
        <v/>
      </c>
      <c r="K2228" s="54">
        <f>IF($B2228=0,NA(),IF($E2228="",NA(),IF(E$8="",NA(),IF(N(E$8)=0,NA(),IF(Inputs!$C$17="Rebased to 100",$E2228/E$8*100,$E2228)))))</f>
        <v/>
      </c>
      <c r="L2228" s="54">
        <f>IF($B2228=0,NA(),IF($F2228="",NA(),IF(F$8="",NA(),IF(N(F$8)=0,NA(),IF(Inputs!$C$17="Rebased to 100",$F2228/F$8*100,$F2228)))))</f>
        <v/>
      </c>
      <c r="M2228" s="54">
        <f>IF($B2228=0,NA(),IF($G2228="",NA(),IF(G$8="",NA(),IF(N(G$8)=0,NA(),IF(Inputs!$C$17="Rebased to 100",$G2228/G$8*100,$G2228)))))</f>
        <v/>
      </c>
      <c r="N2228" s="54">
        <f>IF($B2228=0,NA(),IF(Inputs!$C$18&lt;&gt;"Yes",NA(),IF(COUNT(I2228,J2228,K2228,L2228,M2228)=0,NA(),MIN(I2228,J2228,K2228,L2228,M2228))))</f>
        <v/>
      </c>
      <c r="O2228" s="54">
        <f>IF($B2228=0,NA(),IF(Inputs!$B$24&lt;&gt;"Yes",NA(),Inputs!$D$24*Inputs!$C$35))</f>
        <v/>
      </c>
      <c r="P2228" s="54">
        <f>IF($B2228=0,NA(),IF(Inputs!$B$25&lt;&gt;"Yes",NA(),Inputs!$D$25*Inputs!$C$35))</f>
        <v/>
      </c>
      <c r="Q2228" s="54">
        <f>IF($B2228=0,NA(),IF(Inputs!$B$26&lt;&gt;"Yes",NA(),Inputs!$D$26*Inputs!$C$35))</f>
        <v/>
      </c>
      <c r="R2228" s="54">
        <f>IF($B2228=0,NA(),IF(Inputs!$B$27&lt;&gt;"Yes",NA(),Inputs!$D$27*Inputs!$C$35))</f>
        <v/>
      </c>
      <c r="S2228" s="54">
        <f>IF($B2228=0,NA(),IF(Inputs!$B$28&lt;&gt;"Yes",NA(),Inputs!$D$28*Inputs!$C$35))</f>
        <v/>
      </c>
      <c r="T2228" s="54">
        <f>IF($B2228=0,NA(),IF(Inputs!$B$29&lt;&gt;"Yes",NA(),Inputs!$D$29*Inputs!$C$35))</f>
        <v/>
      </c>
      <c r="AD2228">
        <f>IF($B2228=0,0,IF(Inputs!$B$6="",0,COUNTIFS(Data!$A$10:$A$3209,"&gt;="&amp;$A2228,Data!$A$10:$A$3209,"&lt;"&amp;$A2228+1)))</f>
        <v/>
      </c>
      <c r="AE2228">
        <f>IF($B2228=0,0,IF(Inputs!$B$7="",0,COUNTIFS(Data!$E$10:$E$3209,"&gt;="&amp;$A2228,Data!$E$10:$E$3209,"&lt;"&amp;$A2228+1)))</f>
        <v/>
      </c>
      <c r="AF2228">
        <f>IF($B2228=0,0,IF(Inputs!$B$8="",0,COUNTIFS(Data!$I$10:$I$3209,"&gt;="&amp;$A2228,Data!$I$10:$I$3209,"&lt;"&amp;$A2228+1)))</f>
        <v/>
      </c>
      <c r="AG2228">
        <f>IF($B2228=0,0,IF(Inputs!$B$9="",0,COUNTIFS(Data!$M$10:$M$3209,"&gt;="&amp;$A2228,Data!$M$10:$M$3209,"&lt;"&amp;$A2228+1)))</f>
        <v/>
      </c>
      <c r="AH2228">
        <f>IF($B2228=0,0,IF(Inputs!$B$10="",0,COUNTIFS(Data!$Q$10:$Q$3209,"&gt;="&amp;$A2228,Data!$Q$10:$Q$3209,"&lt;"&amp;$A2228+1)))</f>
        <v/>
      </c>
    </row>
    <row r="2229">
      <c r="A2229" s="55">
        <f>MIN(Inputs!$C$15,$A2228+IF(WEEKDAY($A2228,2)=5,3,1))</f>
        <v/>
      </c>
      <c r="B2229">
        <f>IF($A2229&gt;$A2228,1,0)</f>
        <v/>
      </c>
      <c r="C2229" s="56">
        <f>IF($B2229=0,"",IF(Inputs!$B$6="","",IF($AD2229=0,C2228,SUMIFS(Data!$B$10:$B$3209,Data!$A$10:$A$3209,"&gt;="&amp;$A2229,Data!$A$10:$A$3209,"&lt;"&amp;$A2229+1)/$AD2229)))</f>
        <v/>
      </c>
      <c r="D2229" s="56">
        <f>IF($B2229=0,"",IF(Inputs!$B$7="","",IF($AE2229=0,D2228,SUMIFS(Data!$F$10:$F$3209,Data!$E$10:$E$3209,"&gt;="&amp;$A2229,Data!$E$10:$E$3209,"&lt;"&amp;$A2229+1)/$AE2229)))</f>
        <v/>
      </c>
      <c r="E2229" s="56">
        <f>IF($B2229=0,"",IF(Inputs!$B$8="","",IF($AF2229=0,E2228,SUMIFS(Data!$J$10:$J$3209,Data!$I$10:$I$3209,"&gt;="&amp;$A2229,Data!$I$10:$I$3209,"&lt;"&amp;$A2229+1)/$AF2229)))</f>
        <v/>
      </c>
      <c r="F2229" s="56">
        <f>IF($B2229=0,"",IF(Inputs!$B$9="","",IF($AG2229=0,F2228,SUMIFS(Data!$N$10:$N$3209,Data!$M$10:$M$3209,"&gt;="&amp;$A2229,Data!$M$10:$M$3209,"&lt;"&amp;$A2229+1)/$AG2229)))</f>
        <v/>
      </c>
      <c r="G2229" s="56">
        <f>IF($B2229=0,"",IF(Inputs!$B$10="","",IF($AH2229=0,G2228,SUMIFS(Data!$R$10:$R$3209,Data!$Q$10:$Q$3209,"&gt;="&amp;$A2229,Data!$Q$10:$Q$3209,"&lt;"&amp;$A2229+1)/$AH2229)))</f>
        <v/>
      </c>
      <c r="I2229" s="54">
        <f>IF($B2229=0,NA(),IF($C2229="",NA(),IF(C$8="",NA(),IF(N(C$8)=0,NA(),IF(Inputs!$C$17="Rebased to 100",$C2229/C$8*100,$C2229)))))</f>
        <v/>
      </c>
      <c r="J2229" s="54">
        <f>IF($B2229=0,NA(),IF($D2229="",NA(),IF(D$8="",NA(),IF(N(D$8)=0,NA(),IF(Inputs!$C$17="Rebased to 100",$D2229/D$8*100,$D2229)))))</f>
        <v/>
      </c>
      <c r="K2229" s="54">
        <f>IF($B2229=0,NA(),IF($E2229="",NA(),IF(E$8="",NA(),IF(N(E$8)=0,NA(),IF(Inputs!$C$17="Rebased to 100",$E2229/E$8*100,$E2229)))))</f>
        <v/>
      </c>
      <c r="L2229" s="54">
        <f>IF($B2229=0,NA(),IF($F2229="",NA(),IF(F$8="",NA(),IF(N(F$8)=0,NA(),IF(Inputs!$C$17="Rebased to 100",$F2229/F$8*100,$F2229)))))</f>
        <v/>
      </c>
      <c r="M2229" s="54">
        <f>IF($B2229=0,NA(),IF($G2229="",NA(),IF(G$8="",NA(),IF(N(G$8)=0,NA(),IF(Inputs!$C$17="Rebased to 100",$G2229/G$8*100,$G2229)))))</f>
        <v/>
      </c>
      <c r="N2229" s="54">
        <f>IF($B2229=0,NA(),IF(Inputs!$C$18&lt;&gt;"Yes",NA(),IF(COUNT(I2229,J2229,K2229,L2229,M2229)=0,NA(),MIN(I2229,J2229,K2229,L2229,M2229))))</f>
        <v/>
      </c>
      <c r="O2229" s="54">
        <f>IF($B2229=0,NA(),IF(Inputs!$B$24&lt;&gt;"Yes",NA(),Inputs!$D$24*Inputs!$C$35))</f>
        <v/>
      </c>
      <c r="P2229" s="54">
        <f>IF($B2229=0,NA(),IF(Inputs!$B$25&lt;&gt;"Yes",NA(),Inputs!$D$25*Inputs!$C$35))</f>
        <v/>
      </c>
      <c r="Q2229" s="54">
        <f>IF($B2229=0,NA(),IF(Inputs!$B$26&lt;&gt;"Yes",NA(),Inputs!$D$26*Inputs!$C$35))</f>
        <v/>
      </c>
      <c r="R2229" s="54">
        <f>IF($B2229=0,NA(),IF(Inputs!$B$27&lt;&gt;"Yes",NA(),Inputs!$D$27*Inputs!$C$35))</f>
        <v/>
      </c>
      <c r="S2229" s="54">
        <f>IF($B2229=0,NA(),IF(Inputs!$B$28&lt;&gt;"Yes",NA(),Inputs!$D$28*Inputs!$C$35))</f>
        <v/>
      </c>
      <c r="T2229" s="54">
        <f>IF($B2229=0,NA(),IF(Inputs!$B$29&lt;&gt;"Yes",NA(),Inputs!$D$29*Inputs!$C$35))</f>
        <v/>
      </c>
      <c r="AD2229">
        <f>IF($B2229=0,0,IF(Inputs!$B$6="",0,COUNTIFS(Data!$A$10:$A$3209,"&gt;="&amp;$A2229,Data!$A$10:$A$3209,"&lt;"&amp;$A2229+1)))</f>
        <v/>
      </c>
      <c r="AE2229">
        <f>IF($B2229=0,0,IF(Inputs!$B$7="",0,COUNTIFS(Data!$E$10:$E$3209,"&gt;="&amp;$A2229,Data!$E$10:$E$3209,"&lt;"&amp;$A2229+1)))</f>
        <v/>
      </c>
      <c r="AF2229">
        <f>IF($B2229=0,0,IF(Inputs!$B$8="",0,COUNTIFS(Data!$I$10:$I$3209,"&gt;="&amp;$A2229,Data!$I$10:$I$3209,"&lt;"&amp;$A2229+1)))</f>
        <v/>
      </c>
      <c r="AG2229">
        <f>IF($B2229=0,0,IF(Inputs!$B$9="",0,COUNTIFS(Data!$M$10:$M$3209,"&gt;="&amp;$A2229,Data!$M$10:$M$3209,"&lt;"&amp;$A2229+1)))</f>
        <v/>
      </c>
      <c r="AH2229">
        <f>IF($B2229=0,0,IF(Inputs!$B$10="",0,COUNTIFS(Data!$Q$10:$Q$3209,"&gt;="&amp;$A2229,Data!$Q$10:$Q$3209,"&lt;"&amp;$A2229+1)))</f>
        <v/>
      </c>
    </row>
    <row r="2230">
      <c r="A2230" s="55">
        <f>MIN(Inputs!$C$15,$A2229+IF(WEEKDAY($A2229,2)=5,3,1))</f>
        <v/>
      </c>
      <c r="B2230">
        <f>IF($A2230&gt;$A2229,1,0)</f>
        <v/>
      </c>
      <c r="C2230" s="56">
        <f>IF($B2230=0,"",IF(Inputs!$B$6="","",IF($AD2230=0,C2229,SUMIFS(Data!$B$10:$B$3209,Data!$A$10:$A$3209,"&gt;="&amp;$A2230,Data!$A$10:$A$3209,"&lt;"&amp;$A2230+1)/$AD2230)))</f>
        <v/>
      </c>
      <c r="D2230" s="56">
        <f>IF($B2230=0,"",IF(Inputs!$B$7="","",IF($AE2230=0,D2229,SUMIFS(Data!$F$10:$F$3209,Data!$E$10:$E$3209,"&gt;="&amp;$A2230,Data!$E$10:$E$3209,"&lt;"&amp;$A2230+1)/$AE2230)))</f>
        <v/>
      </c>
      <c r="E2230" s="56">
        <f>IF($B2230=0,"",IF(Inputs!$B$8="","",IF($AF2230=0,E2229,SUMIFS(Data!$J$10:$J$3209,Data!$I$10:$I$3209,"&gt;="&amp;$A2230,Data!$I$10:$I$3209,"&lt;"&amp;$A2230+1)/$AF2230)))</f>
        <v/>
      </c>
      <c r="F2230" s="56">
        <f>IF($B2230=0,"",IF(Inputs!$B$9="","",IF($AG2230=0,F2229,SUMIFS(Data!$N$10:$N$3209,Data!$M$10:$M$3209,"&gt;="&amp;$A2230,Data!$M$10:$M$3209,"&lt;"&amp;$A2230+1)/$AG2230)))</f>
        <v/>
      </c>
      <c r="G2230" s="56">
        <f>IF($B2230=0,"",IF(Inputs!$B$10="","",IF($AH2230=0,G2229,SUMIFS(Data!$R$10:$R$3209,Data!$Q$10:$Q$3209,"&gt;="&amp;$A2230,Data!$Q$10:$Q$3209,"&lt;"&amp;$A2230+1)/$AH2230)))</f>
        <v/>
      </c>
      <c r="I2230" s="54">
        <f>IF($B2230=0,NA(),IF($C2230="",NA(),IF(C$8="",NA(),IF(N(C$8)=0,NA(),IF(Inputs!$C$17="Rebased to 100",$C2230/C$8*100,$C2230)))))</f>
        <v/>
      </c>
      <c r="J2230" s="54">
        <f>IF($B2230=0,NA(),IF($D2230="",NA(),IF(D$8="",NA(),IF(N(D$8)=0,NA(),IF(Inputs!$C$17="Rebased to 100",$D2230/D$8*100,$D2230)))))</f>
        <v/>
      </c>
      <c r="K2230" s="54">
        <f>IF($B2230=0,NA(),IF($E2230="",NA(),IF(E$8="",NA(),IF(N(E$8)=0,NA(),IF(Inputs!$C$17="Rebased to 100",$E2230/E$8*100,$E2230)))))</f>
        <v/>
      </c>
      <c r="L2230" s="54">
        <f>IF($B2230=0,NA(),IF($F2230="",NA(),IF(F$8="",NA(),IF(N(F$8)=0,NA(),IF(Inputs!$C$17="Rebased to 100",$F2230/F$8*100,$F2230)))))</f>
        <v/>
      </c>
      <c r="M2230" s="54">
        <f>IF($B2230=0,NA(),IF($G2230="",NA(),IF(G$8="",NA(),IF(N(G$8)=0,NA(),IF(Inputs!$C$17="Rebased to 100",$G2230/G$8*100,$G2230)))))</f>
        <v/>
      </c>
      <c r="N2230" s="54">
        <f>IF($B2230=0,NA(),IF(Inputs!$C$18&lt;&gt;"Yes",NA(),IF(COUNT(I2230,J2230,K2230,L2230,M2230)=0,NA(),MIN(I2230,J2230,K2230,L2230,M2230))))</f>
        <v/>
      </c>
      <c r="O2230" s="54">
        <f>IF($B2230=0,NA(),IF(Inputs!$B$24&lt;&gt;"Yes",NA(),Inputs!$D$24*Inputs!$C$35))</f>
        <v/>
      </c>
      <c r="P2230" s="54">
        <f>IF($B2230=0,NA(),IF(Inputs!$B$25&lt;&gt;"Yes",NA(),Inputs!$D$25*Inputs!$C$35))</f>
        <v/>
      </c>
      <c r="Q2230" s="54">
        <f>IF($B2230=0,NA(),IF(Inputs!$B$26&lt;&gt;"Yes",NA(),Inputs!$D$26*Inputs!$C$35))</f>
        <v/>
      </c>
      <c r="R2230" s="54">
        <f>IF($B2230=0,NA(),IF(Inputs!$B$27&lt;&gt;"Yes",NA(),Inputs!$D$27*Inputs!$C$35))</f>
        <v/>
      </c>
      <c r="S2230" s="54">
        <f>IF($B2230=0,NA(),IF(Inputs!$B$28&lt;&gt;"Yes",NA(),Inputs!$D$28*Inputs!$C$35))</f>
        <v/>
      </c>
      <c r="T2230" s="54">
        <f>IF($B2230=0,NA(),IF(Inputs!$B$29&lt;&gt;"Yes",NA(),Inputs!$D$29*Inputs!$C$35))</f>
        <v/>
      </c>
      <c r="AD2230">
        <f>IF($B2230=0,0,IF(Inputs!$B$6="",0,COUNTIFS(Data!$A$10:$A$3209,"&gt;="&amp;$A2230,Data!$A$10:$A$3209,"&lt;"&amp;$A2230+1)))</f>
        <v/>
      </c>
      <c r="AE2230">
        <f>IF($B2230=0,0,IF(Inputs!$B$7="",0,COUNTIFS(Data!$E$10:$E$3209,"&gt;="&amp;$A2230,Data!$E$10:$E$3209,"&lt;"&amp;$A2230+1)))</f>
        <v/>
      </c>
      <c r="AF2230">
        <f>IF($B2230=0,0,IF(Inputs!$B$8="",0,COUNTIFS(Data!$I$10:$I$3209,"&gt;="&amp;$A2230,Data!$I$10:$I$3209,"&lt;"&amp;$A2230+1)))</f>
        <v/>
      </c>
      <c r="AG2230">
        <f>IF($B2230=0,0,IF(Inputs!$B$9="",0,COUNTIFS(Data!$M$10:$M$3209,"&gt;="&amp;$A2230,Data!$M$10:$M$3209,"&lt;"&amp;$A2230+1)))</f>
        <v/>
      </c>
      <c r="AH2230">
        <f>IF($B2230=0,0,IF(Inputs!$B$10="",0,COUNTIFS(Data!$Q$10:$Q$3209,"&gt;="&amp;$A2230,Data!$Q$10:$Q$3209,"&lt;"&amp;$A2230+1)))</f>
        <v/>
      </c>
    </row>
    <row r="2231">
      <c r="A2231" s="55">
        <f>MIN(Inputs!$C$15,$A2230+IF(WEEKDAY($A2230,2)=5,3,1))</f>
        <v/>
      </c>
      <c r="B2231">
        <f>IF($A2231&gt;$A2230,1,0)</f>
        <v/>
      </c>
      <c r="C2231" s="56">
        <f>IF($B2231=0,"",IF(Inputs!$B$6="","",IF($AD2231=0,C2230,SUMIFS(Data!$B$10:$B$3209,Data!$A$10:$A$3209,"&gt;="&amp;$A2231,Data!$A$10:$A$3209,"&lt;"&amp;$A2231+1)/$AD2231)))</f>
        <v/>
      </c>
      <c r="D2231" s="56">
        <f>IF($B2231=0,"",IF(Inputs!$B$7="","",IF($AE2231=0,D2230,SUMIFS(Data!$F$10:$F$3209,Data!$E$10:$E$3209,"&gt;="&amp;$A2231,Data!$E$10:$E$3209,"&lt;"&amp;$A2231+1)/$AE2231)))</f>
        <v/>
      </c>
      <c r="E2231" s="56">
        <f>IF($B2231=0,"",IF(Inputs!$B$8="","",IF($AF2231=0,E2230,SUMIFS(Data!$J$10:$J$3209,Data!$I$10:$I$3209,"&gt;="&amp;$A2231,Data!$I$10:$I$3209,"&lt;"&amp;$A2231+1)/$AF2231)))</f>
        <v/>
      </c>
      <c r="F2231" s="56">
        <f>IF($B2231=0,"",IF(Inputs!$B$9="","",IF($AG2231=0,F2230,SUMIFS(Data!$N$10:$N$3209,Data!$M$10:$M$3209,"&gt;="&amp;$A2231,Data!$M$10:$M$3209,"&lt;"&amp;$A2231+1)/$AG2231)))</f>
        <v/>
      </c>
      <c r="G2231" s="56">
        <f>IF($B2231=0,"",IF(Inputs!$B$10="","",IF($AH2231=0,G2230,SUMIFS(Data!$R$10:$R$3209,Data!$Q$10:$Q$3209,"&gt;="&amp;$A2231,Data!$Q$10:$Q$3209,"&lt;"&amp;$A2231+1)/$AH2231)))</f>
        <v/>
      </c>
      <c r="I2231" s="54">
        <f>IF($B2231=0,NA(),IF($C2231="",NA(),IF(C$8="",NA(),IF(N(C$8)=0,NA(),IF(Inputs!$C$17="Rebased to 100",$C2231/C$8*100,$C2231)))))</f>
        <v/>
      </c>
      <c r="J2231" s="54">
        <f>IF($B2231=0,NA(),IF($D2231="",NA(),IF(D$8="",NA(),IF(N(D$8)=0,NA(),IF(Inputs!$C$17="Rebased to 100",$D2231/D$8*100,$D2231)))))</f>
        <v/>
      </c>
      <c r="K2231" s="54">
        <f>IF($B2231=0,NA(),IF($E2231="",NA(),IF(E$8="",NA(),IF(N(E$8)=0,NA(),IF(Inputs!$C$17="Rebased to 100",$E2231/E$8*100,$E2231)))))</f>
        <v/>
      </c>
      <c r="L2231" s="54">
        <f>IF($B2231=0,NA(),IF($F2231="",NA(),IF(F$8="",NA(),IF(N(F$8)=0,NA(),IF(Inputs!$C$17="Rebased to 100",$F2231/F$8*100,$F2231)))))</f>
        <v/>
      </c>
      <c r="M2231" s="54">
        <f>IF($B2231=0,NA(),IF($G2231="",NA(),IF(G$8="",NA(),IF(N(G$8)=0,NA(),IF(Inputs!$C$17="Rebased to 100",$G2231/G$8*100,$G2231)))))</f>
        <v/>
      </c>
      <c r="N2231" s="54">
        <f>IF($B2231=0,NA(),IF(Inputs!$C$18&lt;&gt;"Yes",NA(),IF(COUNT(I2231,J2231,K2231,L2231,M2231)=0,NA(),MIN(I2231,J2231,K2231,L2231,M2231))))</f>
        <v/>
      </c>
      <c r="O2231" s="54">
        <f>IF($B2231=0,NA(),IF(Inputs!$B$24&lt;&gt;"Yes",NA(),Inputs!$D$24*Inputs!$C$35))</f>
        <v/>
      </c>
      <c r="P2231" s="54">
        <f>IF($B2231=0,NA(),IF(Inputs!$B$25&lt;&gt;"Yes",NA(),Inputs!$D$25*Inputs!$C$35))</f>
        <v/>
      </c>
      <c r="Q2231" s="54">
        <f>IF($B2231=0,NA(),IF(Inputs!$B$26&lt;&gt;"Yes",NA(),Inputs!$D$26*Inputs!$C$35))</f>
        <v/>
      </c>
      <c r="R2231" s="54">
        <f>IF($B2231=0,NA(),IF(Inputs!$B$27&lt;&gt;"Yes",NA(),Inputs!$D$27*Inputs!$C$35))</f>
        <v/>
      </c>
      <c r="S2231" s="54">
        <f>IF($B2231=0,NA(),IF(Inputs!$B$28&lt;&gt;"Yes",NA(),Inputs!$D$28*Inputs!$C$35))</f>
        <v/>
      </c>
      <c r="T2231" s="54">
        <f>IF($B2231=0,NA(),IF(Inputs!$B$29&lt;&gt;"Yes",NA(),Inputs!$D$29*Inputs!$C$35))</f>
        <v/>
      </c>
      <c r="AD2231">
        <f>IF($B2231=0,0,IF(Inputs!$B$6="",0,COUNTIFS(Data!$A$10:$A$3209,"&gt;="&amp;$A2231,Data!$A$10:$A$3209,"&lt;"&amp;$A2231+1)))</f>
        <v/>
      </c>
      <c r="AE2231">
        <f>IF($B2231=0,0,IF(Inputs!$B$7="",0,COUNTIFS(Data!$E$10:$E$3209,"&gt;="&amp;$A2231,Data!$E$10:$E$3209,"&lt;"&amp;$A2231+1)))</f>
        <v/>
      </c>
      <c r="AF2231">
        <f>IF($B2231=0,0,IF(Inputs!$B$8="",0,COUNTIFS(Data!$I$10:$I$3209,"&gt;="&amp;$A2231,Data!$I$10:$I$3209,"&lt;"&amp;$A2231+1)))</f>
        <v/>
      </c>
      <c r="AG2231">
        <f>IF($B2231=0,0,IF(Inputs!$B$9="",0,COUNTIFS(Data!$M$10:$M$3209,"&gt;="&amp;$A2231,Data!$M$10:$M$3209,"&lt;"&amp;$A2231+1)))</f>
        <v/>
      </c>
      <c r="AH2231">
        <f>IF($B2231=0,0,IF(Inputs!$B$10="",0,COUNTIFS(Data!$Q$10:$Q$3209,"&gt;="&amp;$A2231,Data!$Q$10:$Q$3209,"&lt;"&amp;$A2231+1)))</f>
        <v/>
      </c>
    </row>
    <row r="2232">
      <c r="A2232" s="55">
        <f>MIN(Inputs!$C$15,$A2231+IF(WEEKDAY($A2231,2)=5,3,1))</f>
        <v/>
      </c>
      <c r="B2232">
        <f>IF($A2232&gt;$A2231,1,0)</f>
        <v/>
      </c>
      <c r="C2232" s="56">
        <f>IF($B2232=0,"",IF(Inputs!$B$6="","",IF($AD2232=0,C2231,SUMIFS(Data!$B$10:$B$3209,Data!$A$10:$A$3209,"&gt;="&amp;$A2232,Data!$A$10:$A$3209,"&lt;"&amp;$A2232+1)/$AD2232)))</f>
        <v/>
      </c>
      <c r="D2232" s="56">
        <f>IF($B2232=0,"",IF(Inputs!$B$7="","",IF($AE2232=0,D2231,SUMIFS(Data!$F$10:$F$3209,Data!$E$10:$E$3209,"&gt;="&amp;$A2232,Data!$E$10:$E$3209,"&lt;"&amp;$A2232+1)/$AE2232)))</f>
        <v/>
      </c>
      <c r="E2232" s="56">
        <f>IF($B2232=0,"",IF(Inputs!$B$8="","",IF($AF2232=0,E2231,SUMIFS(Data!$J$10:$J$3209,Data!$I$10:$I$3209,"&gt;="&amp;$A2232,Data!$I$10:$I$3209,"&lt;"&amp;$A2232+1)/$AF2232)))</f>
        <v/>
      </c>
      <c r="F2232" s="56">
        <f>IF($B2232=0,"",IF(Inputs!$B$9="","",IF($AG2232=0,F2231,SUMIFS(Data!$N$10:$N$3209,Data!$M$10:$M$3209,"&gt;="&amp;$A2232,Data!$M$10:$M$3209,"&lt;"&amp;$A2232+1)/$AG2232)))</f>
        <v/>
      </c>
      <c r="G2232" s="56">
        <f>IF($B2232=0,"",IF(Inputs!$B$10="","",IF($AH2232=0,G2231,SUMIFS(Data!$R$10:$R$3209,Data!$Q$10:$Q$3209,"&gt;="&amp;$A2232,Data!$Q$10:$Q$3209,"&lt;"&amp;$A2232+1)/$AH2232)))</f>
        <v/>
      </c>
      <c r="I2232" s="54">
        <f>IF($B2232=0,NA(),IF($C2232="",NA(),IF(C$8="",NA(),IF(N(C$8)=0,NA(),IF(Inputs!$C$17="Rebased to 100",$C2232/C$8*100,$C2232)))))</f>
        <v/>
      </c>
      <c r="J2232" s="54">
        <f>IF($B2232=0,NA(),IF($D2232="",NA(),IF(D$8="",NA(),IF(N(D$8)=0,NA(),IF(Inputs!$C$17="Rebased to 100",$D2232/D$8*100,$D2232)))))</f>
        <v/>
      </c>
      <c r="K2232" s="54">
        <f>IF($B2232=0,NA(),IF($E2232="",NA(),IF(E$8="",NA(),IF(N(E$8)=0,NA(),IF(Inputs!$C$17="Rebased to 100",$E2232/E$8*100,$E2232)))))</f>
        <v/>
      </c>
      <c r="L2232" s="54">
        <f>IF($B2232=0,NA(),IF($F2232="",NA(),IF(F$8="",NA(),IF(N(F$8)=0,NA(),IF(Inputs!$C$17="Rebased to 100",$F2232/F$8*100,$F2232)))))</f>
        <v/>
      </c>
      <c r="M2232" s="54">
        <f>IF($B2232=0,NA(),IF($G2232="",NA(),IF(G$8="",NA(),IF(N(G$8)=0,NA(),IF(Inputs!$C$17="Rebased to 100",$G2232/G$8*100,$G2232)))))</f>
        <v/>
      </c>
      <c r="N2232" s="54">
        <f>IF($B2232=0,NA(),IF(Inputs!$C$18&lt;&gt;"Yes",NA(),IF(COUNT(I2232,J2232,K2232,L2232,M2232)=0,NA(),MIN(I2232,J2232,K2232,L2232,M2232))))</f>
        <v/>
      </c>
      <c r="O2232" s="54">
        <f>IF($B2232=0,NA(),IF(Inputs!$B$24&lt;&gt;"Yes",NA(),Inputs!$D$24*Inputs!$C$35))</f>
        <v/>
      </c>
      <c r="P2232" s="54">
        <f>IF($B2232=0,NA(),IF(Inputs!$B$25&lt;&gt;"Yes",NA(),Inputs!$D$25*Inputs!$C$35))</f>
        <v/>
      </c>
      <c r="Q2232" s="54">
        <f>IF($B2232=0,NA(),IF(Inputs!$B$26&lt;&gt;"Yes",NA(),Inputs!$D$26*Inputs!$C$35))</f>
        <v/>
      </c>
      <c r="R2232" s="54">
        <f>IF($B2232=0,NA(),IF(Inputs!$B$27&lt;&gt;"Yes",NA(),Inputs!$D$27*Inputs!$C$35))</f>
        <v/>
      </c>
      <c r="S2232" s="54">
        <f>IF($B2232=0,NA(),IF(Inputs!$B$28&lt;&gt;"Yes",NA(),Inputs!$D$28*Inputs!$C$35))</f>
        <v/>
      </c>
      <c r="T2232" s="54">
        <f>IF($B2232=0,NA(),IF(Inputs!$B$29&lt;&gt;"Yes",NA(),Inputs!$D$29*Inputs!$C$35))</f>
        <v/>
      </c>
      <c r="AD2232">
        <f>IF($B2232=0,0,IF(Inputs!$B$6="",0,COUNTIFS(Data!$A$10:$A$3209,"&gt;="&amp;$A2232,Data!$A$10:$A$3209,"&lt;"&amp;$A2232+1)))</f>
        <v/>
      </c>
      <c r="AE2232">
        <f>IF($B2232=0,0,IF(Inputs!$B$7="",0,COUNTIFS(Data!$E$10:$E$3209,"&gt;="&amp;$A2232,Data!$E$10:$E$3209,"&lt;"&amp;$A2232+1)))</f>
        <v/>
      </c>
      <c r="AF2232">
        <f>IF($B2232=0,0,IF(Inputs!$B$8="",0,COUNTIFS(Data!$I$10:$I$3209,"&gt;="&amp;$A2232,Data!$I$10:$I$3209,"&lt;"&amp;$A2232+1)))</f>
        <v/>
      </c>
      <c r="AG2232">
        <f>IF($B2232=0,0,IF(Inputs!$B$9="",0,COUNTIFS(Data!$M$10:$M$3209,"&gt;="&amp;$A2232,Data!$M$10:$M$3209,"&lt;"&amp;$A2232+1)))</f>
        <v/>
      </c>
      <c r="AH2232">
        <f>IF($B2232=0,0,IF(Inputs!$B$10="",0,COUNTIFS(Data!$Q$10:$Q$3209,"&gt;="&amp;$A2232,Data!$Q$10:$Q$3209,"&lt;"&amp;$A2232+1)))</f>
        <v/>
      </c>
    </row>
    <row r="2233">
      <c r="A2233" s="55">
        <f>MIN(Inputs!$C$15,$A2232+IF(WEEKDAY($A2232,2)=5,3,1))</f>
        <v/>
      </c>
      <c r="B2233">
        <f>IF($A2233&gt;$A2232,1,0)</f>
        <v/>
      </c>
      <c r="C2233" s="56">
        <f>IF($B2233=0,"",IF(Inputs!$B$6="","",IF($AD2233=0,C2232,SUMIFS(Data!$B$10:$B$3209,Data!$A$10:$A$3209,"&gt;="&amp;$A2233,Data!$A$10:$A$3209,"&lt;"&amp;$A2233+1)/$AD2233)))</f>
        <v/>
      </c>
      <c r="D2233" s="56">
        <f>IF($B2233=0,"",IF(Inputs!$B$7="","",IF($AE2233=0,D2232,SUMIFS(Data!$F$10:$F$3209,Data!$E$10:$E$3209,"&gt;="&amp;$A2233,Data!$E$10:$E$3209,"&lt;"&amp;$A2233+1)/$AE2233)))</f>
        <v/>
      </c>
      <c r="E2233" s="56">
        <f>IF($B2233=0,"",IF(Inputs!$B$8="","",IF($AF2233=0,E2232,SUMIFS(Data!$J$10:$J$3209,Data!$I$10:$I$3209,"&gt;="&amp;$A2233,Data!$I$10:$I$3209,"&lt;"&amp;$A2233+1)/$AF2233)))</f>
        <v/>
      </c>
      <c r="F2233" s="56">
        <f>IF($B2233=0,"",IF(Inputs!$B$9="","",IF($AG2233=0,F2232,SUMIFS(Data!$N$10:$N$3209,Data!$M$10:$M$3209,"&gt;="&amp;$A2233,Data!$M$10:$M$3209,"&lt;"&amp;$A2233+1)/$AG2233)))</f>
        <v/>
      </c>
      <c r="G2233" s="56">
        <f>IF($B2233=0,"",IF(Inputs!$B$10="","",IF($AH2233=0,G2232,SUMIFS(Data!$R$10:$R$3209,Data!$Q$10:$Q$3209,"&gt;="&amp;$A2233,Data!$Q$10:$Q$3209,"&lt;"&amp;$A2233+1)/$AH2233)))</f>
        <v/>
      </c>
      <c r="I2233" s="54">
        <f>IF($B2233=0,NA(),IF($C2233="",NA(),IF(C$8="",NA(),IF(N(C$8)=0,NA(),IF(Inputs!$C$17="Rebased to 100",$C2233/C$8*100,$C2233)))))</f>
        <v/>
      </c>
      <c r="J2233" s="54">
        <f>IF($B2233=0,NA(),IF($D2233="",NA(),IF(D$8="",NA(),IF(N(D$8)=0,NA(),IF(Inputs!$C$17="Rebased to 100",$D2233/D$8*100,$D2233)))))</f>
        <v/>
      </c>
      <c r="K2233" s="54">
        <f>IF($B2233=0,NA(),IF($E2233="",NA(),IF(E$8="",NA(),IF(N(E$8)=0,NA(),IF(Inputs!$C$17="Rebased to 100",$E2233/E$8*100,$E2233)))))</f>
        <v/>
      </c>
      <c r="L2233" s="54">
        <f>IF($B2233=0,NA(),IF($F2233="",NA(),IF(F$8="",NA(),IF(N(F$8)=0,NA(),IF(Inputs!$C$17="Rebased to 100",$F2233/F$8*100,$F2233)))))</f>
        <v/>
      </c>
      <c r="M2233" s="54">
        <f>IF($B2233=0,NA(),IF($G2233="",NA(),IF(G$8="",NA(),IF(N(G$8)=0,NA(),IF(Inputs!$C$17="Rebased to 100",$G2233/G$8*100,$G2233)))))</f>
        <v/>
      </c>
      <c r="N2233" s="54">
        <f>IF($B2233=0,NA(),IF(Inputs!$C$18&lt;&gt;"Yes",NA(),IF(COUNT(I2233,J2233,K2233,L2233,M2233)=0,NA(),MIN(I2233,J2233,K2233,L2233,M2233))))</f>
        <v/>
      </c>
      <c r="O2233" s="54">
        <f>IF($B2233=0,NA(),IF(Inputs!$B$24&lt;&gt;"Yes",NA(),Inputs!$D$24*Inputs!$C$35))</f>
        <v/>
      </c>
      <c r="P2233" s="54">
        <f>IF($B2233=0,NA(),IF(Inputs!$B$25&lt;&gt;"Yes",NA(),Inputs!$D$25*Inputs!$C$35))</f>
        <v/>
      </c>
      <c r="Q2233" s="54">
        <f>IF($B2233=0,NA(),IF(Inputs!$B$26&lt;&gt;"Yes",NA(),Inputs!$D$26*Inputs!$C$35))</f>
        <v/>
      </c>
      <c r="R2233" s="54">
        <f>IF($B2233=0,NA(),IF(Inputs!$B$27&lt;&gt;"Yes",NA(),Inputs!$D$27*Inputs!$C$35))</f>
        <v/>
      </c>
      <c r="S2233" s="54">
        <f>IF($B2233=0,NA(),IF(Inputs!$B$28&lt;&gt;"Yes",NA(),Inputs!$D$28*Inputs!$C$35))</f>
        <v/>
      </c>
      <c r="T2233" s="54">
        <f>IF($B2233=0,NA(),IF(Inputs!$B$29&lt;&gt;"Yes",NA(),Inputs!$D$29*Inputs!$C$35))</f>
        <v/>
      </c>
      <c r="AD2233">
        <f>IF($B2233=0,0,IF(Inputs!$B$6="",0,COUNTIFS(Data!$A$10:$A$3209,"&gt;="&amp;$A2233,Data!$A$10:$A$3209,"&lt;"&amp;$A2233+1)))</f>
        <v/>
      </c>
      <c r="AE2233">
        <f>IF($B2233=0,0,IF(Inputs!$B$7="",0,COUNTIFS(Data!$E$10:$E$3209,"&gt;="&amp;$A2233,Data!$E$10:$E$3209,"&lt;"&amp;$A2233+1)))</f>
        <v/>
      </c>
      <c r="AF2233">
        <f>IF($B2233=0,0,IF(Inputs!$B$8="",0,COUNTIFS(Data!$I$10:$I$3209,"&gt;="&amp;$A2233,Data!$I$10:$I$3209,"&lt;"&amp;$A2233+1)))</f>
        <v/>
      </c>
      <c r="AG2233">
        <f>IF($B2233=0,0,IF(Inputs!$B$9="",0,COUNTIFS(Data!$M$10:$M$3209,"&gt;="&amp;$A2233,Data!$M$10:$M$3209,"&lt;"&amp;$A2233+1)))</f>
        <v/>
      </c>
      <c r="AH2233">
        <f>IF($B2233=0,0,IF(Inputs!$B$10="",0,COUNTIFS(Data!$Q$10:$Q$3209,"&gt;="&amp;$A2233,Data!$Q$10:$Q$3209,"&lt;"&amp;$A2233+1)))</f>
        <v/>
      </c>
    </row>
    <row r="2234">
      <c r="A2234" s="55">
        <f>MIN(Inputs!$C$15,$A2233+IF(WEEKDAY($A2233,2)=5,3,1))</f>
        <v/>
      </c>
      <c r="B2234">
        <f>IF($A2234&gt;$A2233,1,0)</f>
        <v/>
      </c>
      <c r="C2234" s="56">
        <f>IF($B2234=0,"",IF(Inputs!$B$6="","",IF($AD2234=0,C2233,SUMIFS(Data!$B$10:$B$3209,Data!$A$10:$A$3209,"&gt;="&amp;$A2234,Data!$A$10:$A$3209,"&lt;"&amp;$A2234+1)/$AD2234)))</f>
        <v/>
      </c>
      <c r="D2234" s="56">
        <f>IF($B2234=0,"",IF(Inputs!$B$7="","",IF($AE2234=0,D2233,SUMIFS(Data!$F$10:$F$3209,Data!$E$10:$E$3209,"&gt;="&amp;$A2234,Data!$E$10:$E$3209,"&lt;"&amp;$A2234+1)/$AE2234)))</f>
        <v/>
      </c>
      <c r="E2234" s="56">
        <f>IF($B2234=0,"",IF(Inputs!$B$8="","",IF($AF2234=0,E2233,SUMIFS(Data!$J$10:$J$3209,Data!$I$10:$I$3209,"&gt;="&amp;$A2234,Data!$I$10:$I$3209,"&lt;"&amp;$A2234+1)/$AF2234)))</f>
        <v/>
      </c>
      <c r="F2234" s="56">
        <f>IF($B2234=0,"",IF(Inputs!$B$9="","",IF($AG2234=0,F2233,SUMIFS(Data!$N$10:$N$3209,Data!$M$10:$M$3209,"&gt;="&amp;$A2234,Data!$M$10:$M$3209,"&lt;"&amp;$A2234+1)/$AG2234)))</f>
        <v/>
      </c>
      <c r="G2234" s="56">
        <f>IF($B2234=0,"",IF(Inputs!$B$10="","",IF($AH2234=0,G2233,SUMIFS(Data!$R$10:$R$3209,Data!$Q$10:$Q$3209,"&gt;="&amp;$A2234,Data!$Q$10:$Q$3209,"&lt;"&amp;$A2234+1)/$AH2234)))</f>
        <v/>
      </c>
      <c r="I2234" s="54">
        <f>IF($B2234=0,NA(),IF($C2234="",NA(),IF(C$8="",NA(),IF(N(C$8)=0,NA(),IF(Inputs!$C$17="Rebased to 100",$C2234/C$8*100,$C2234)))))</f>
        <v/>
      </c>
      <c r="J2234" s="54">
        <f>IF($B2234=0,NA(),IF($D2234="",NA(),IF(D$8="",NA(),IF(N(D$8)=0,NA(),IF(Inputs!$C$17="Rebased to 100",$D2234/D$8*100,$D2234)))))</f>
        <v/>
      </c>
      <c r="K2234" s="54">
        <f>IF($B2234=0,NA(),IF($E2234="",NA(),IF(E$8="",NA(),IF(N(E$8)=0,NA(),IF(Inputs!$C$17="Rebased to 100",$E2234/E$8*100,$E2234)))))</f>
        <v/>
      </c>
      <c r="L2234" s="54">
        <f>IF($B2234=0,NA(),IF($F2234="",NA(),IF(F$8="",NA(),IF(N(F$8)=0,NA(),IF(Inputs!$C$17="Rebased to 100",$F2234/F$8*100,$F2234)))))</f>
        <v/>
      </c>
      <c r="M2234" s="54">
        <f>IF($B2234=0,NA(),IF($G2234="",NA(),IF(G$8="",NA(),IF(N(G$8)=0,NA(),IF(Inputs!$C$17="Rebased to 100",$G2234/G$8*100,$G2234)))))</f>
        <v/>
      </c>
      <c r="N2234" s="54">
        <f>IF($B2234=0,NA(),IF(Inputs!$C$18&lt;&gt;"Yes",NA(),IF(COUNT(I2234,J2234,K2234,L2234,M2234)=0,NA(),MIN(I2234,J2234,K2234,L2234,M2234))))</f>
        <v/>
      </c>
      <c r="O2234" s="54">
        <f>IF($B2234=0,NA(),IF(Inputs!$B$24&lt;&gt;"Yes",NA(),Inputs!$D$24*Inputs!$C$35))</f>
        <v/>
      </c>
      <c r="P2234" s="54">
        <f>IF($B2234=0,NA(),IF(Inputs!$B$25&lt;&gt;"Yes",NA(),Inputs!$D$25*Inputs!$C$35))</f>
        <v/>
      </c>
      <c r="Q2234" s="54">
        <f>IF($B2234=0,NA(),IF(Inputs!$B$26&lt;&gt;"Yes",NA(),Inputs!$D$26*Inputs!$C$35))</f>
        <v/>
      </c>
      <c r="R2234" s="54">
        <f>IF($B2234=0,NA(),IF(Inputs!$B$27&lt;&gt;"Yes",NA(),Inputs!$D$27*Inputs!$C$35))</f>
        <v/>
      </c>
      <c r="S2234" s="54">
        <f>IF($B2234=0,NA(),IF(Inputs!$B$28&lt;&gt;"Yes",NA(),Inputs!$D$28*Inputs!$C$35))</f>
        <v/>
      </c>
      <c r="T2234" s="54">
        <f>IF($B2234=0,NA(),IF(Inputs!$B$29&lt;&gt;"Yes",NA(),Inputs!$D$29*Inputs!$C$35))</f>
        <v/>
      </c>
      <c r="AD2234">
        <f>IF($B2234=0,0,IF(Inputs!$B$6="",0,COUNTIFS(Data!$A$10:$A$3209,"&gt;="&amp;$A2234,Data!$A$10:$A$3209,"&lt;"&amp;$A2234+1)))</f>
        <v/>
      </c>
      <c r="AE2234">
        <f>IF($B2234=0,0,IF(Inputs!$B$7="",0,COUNTIFS(Data!$E$10:$E$3209,"&gt;="&amp;$A2234,Data!$E$10:$E$3209,"&lt;"&amp;$A2234+1)))</f>
        <v/>
      </c>
      <c r="AF2234">
        <f>IF($B2234=0,0,IF(Inputs!$B$8="",0,COUNTIFS(Data!$I$10:$I$3209,"&gt;="&amp;$A2234,Data!$I$10:$I$3209,"&lt;"&amp;$A2234+1)))</f>
        <v/>
      </c>
      <c r="AG2234">
        <f>IF($B2234=0,0,IF(Inputs!$B$9="",0,COUNTIFS(Data!$M$10:$M$3209,"&gt;="&amp;$A2234,Data!$M$10:$M$3209,"&lt;"&amp;$A2234+1)))</f>
        <v/>
      </c>
      <c r="AH2234">
        <f>IF($B2234=0,0,IF(Inputs!$B$10="",0,COUNTIFS(Data!$Q$10:$Q$3209,"&gt;="&amp;$A2234,Data!$Q$10:$Q$3209,"&lt;"&amp;$A2234+1)))</f>
        <v/>
      </c>
    </row>
    <row r="2235">
      <c r="A2235" s="55">
        <f>MIN(Inputs!$C$15,$A2234+IF(WEEKDAY($A2234,2)=5,3,1))</f>
        <v/>
      </c>
      <c r="B2235">
        <f>IF($A2235&gt;$A2234,1,0)</f>
        <v/>
      </c>
      <c r="C2235" s="56">
        <f>IF($B2235=0,"",IF(Inputs!$B$6="","",IF($AD2235=0,C2234,SUMIFS(Data!$B$10:$B$3209,Data!$A$10:$A$3209,"&gt;="&amp;$A2235,Data!$A$10:$A$3209,"&lt;"&amp;$A2235+1)/$AD2235)))</f>
        <v/>
      </c>
      <c r="D2235" s="56">
        <f>IF($B2235=0,"",IF(Inputs!$B$7="","",IF($AE2235=0,D2234,SUMIFS(Data!$F$10:$F$3209,Data!$E$10:$E$3209,"&gt;="&amp;$A2235,Data!$E$10:$E$3209,"&lt;"&amp;$A2235+1)/$AE2235)))</f>
        <v/>
      </c>
      <c r="E2235" s="56">
        <f>IF($B2235=0,"",IF(Inputs!$B$8="","",IF($AF2235=0,E2234,SUMIFS(Data!$J$10:$J$3209,Data!$I$10:$I$3209,"&gt;="&amp;$A2235,Data!$I$10:$I$3209,"&lt;"&amp;$A2235+1)/$AF2235)))</f>
        <v/>
      </c>
      <c r="F2235" s="56">
        <f>IF($B2235=0,"",IF(Inputs!$B$9="","",IF($AG2235=0,F2234,SUMIFS(Data!$N$10:$N$3209,Data!$M$10:$M$3209,"&gt;="&amp;$A2235,Data!$M$10:$M$3209,"&lt;"&amp;$A2235+1)/$AG2235)))</f>
        <v/>
      </c>
      <c r="G2235" s="56">
        <f>IF($B2235=0,"",IF(Inputs!$B$10="","",IF($AH2235=0,G2234,SUMIFS(Data!$R$10:$R$3209,Data!$Q$10:$Q$3209,"&gt;="&amp;$A2235,Data!$Q$10:$Q$3209,"&lt;"&amp;$A2235+1)/$AH2235)))</f>
        <v/>
      </c>
      <c r="I2235" s="54">
        <f>IF($B2235=0,NA(),IF($C2235="",NA(),IF(C$8="",NA(),IF(N(C$8)=0,NA(),IF(Inputs!$C$17="Rebased to 100",$C2235/C$8*100,$C2235)))))</f>
        <v/>
      </c>
      <c r="J2235" s="54">
        <f>IF($B2235=0,NA(),IF($D2235="",NA(),IF(D$8="",NA(),IF(N(D$8)=0,NA(),IF(Inputs!$C$17="Rebased to 100",$D2235/D$8*100,$D2235)))))</f>
        <v/>
      </c>
      <c r="K2235" s="54">
        <f>IF($B2235=0,NA(),IF($E2235="",NA(),IF(E$8="",NA(),IF(N(E$8)=0,NA(),IF(Inputs!$C$17="Rebased to 100",$E2235/E$8*100,$E2235)))))</f>
        <v/>
      </c>
      <c r="L2235" s="54">
        <f>IF($B2235=0,NA(),IF($F2235="",NA(),IF(F$8="",NA(),IF(N(F$8)=0,NA(),IF(Inputs!$C$17="Rebased to 100",$F2235/F$8*100,$F2235)))))</f>
        <v/>
      </c>
      <c r="M2235" s="54">
        <f>IF($B2235=0,NA(),IF($G2235="",NA(),IF(G$8="",NA(),IF(N(G$8)=0,NA(),IF(Inputs!$C$17="Rebased to 100",$G2235/G$8*100,$G2235)))))</f>
        <v/>
      </c>
      <c r="N2235" s="54">
        <f>IF($B2235=0,NA(),IF(Inputs!$C$18&lt;&gt;"Yes",NA(),IF(COUNT(I2235,J2235,K2235,L2235,M2235)=0,NA(),MIN(I2235,J2235,K2235,L2235,M2235))))</f>
        <v/>
      </c>
      <c r="O2235" s="54">
        <f>IF($B2235=0,NA(),IF(Inputs!$B$24&lt;&gt;"Yes",NA(),Inputs!$D$24*Inputs!$C$35))</f>
        <v/>
      </c>
      <c r="P2235" s="54">
        <f>IF($B2235=0,NA(),IF(Inputs!$B$25&lt;&gt;"Yes",NA(),Inputs!$D$25*Inputs!$C$35))</f>
        <v/>
      </c>
      <c r="Q2235" s="54">
        <f>IF($B2235=0,NA(),IF(Inputs!$B$26&lt;&gt;"Yes",NA(),Inputs!$D$26*Inputs!$C$35))</f>
        <v/>
      </c>
      <c r="R2235" s="54">
        <f>IF($B2235=0,NA(),IF(Inputs!$B$27&lt;&gt;"Yes",NA(),Inputs!$D$27*Inputs!$C$35))</f>
        <v/>
      </c>
      <c r="S2235" s="54">
        <f>IF($B2235=0,NA(),IF(Inputs!$B$28&lt;&gt;"Yes",NA(),Inputs!$D$28*Inputs!$C$35))</f>
        <v/>
      </c>
      <c r="T2235" s="54">
        <f>IF($B2235=0,NA(),IF(Inputs!$B$29&lt;&gt;"Yes",NA(),Inputs!$D$29*Inputs!$C$35))</f>
        <v/>
      </c>
      <c r="AD2235">
        <f>IF($B2235=0,0,IF(Inputs!$B$6="",0,COUNTIFS(Data!$A$10:$A$3209,"&gt;="&amp;$A2235,Data!$A$10:$A$3209,"&lt;"&amp;$A2235+1)))</f>
        <v/>
      </c>
      <c r="AE2235">
        <f>IF($B2235=0,0,IF(Inputs!$B$7="",0,COUNTIFS(Data!$E$10:$E$3209,"&gt;="&amp;$A2235,Data!$E$10:$E$3209,"&lt;"&amp;$A2235+1)))</f>
        <v/>
      </c>
      <c r="AF2235">
        <f>IF($B2235=0,0,IF(Inputs!$B$8="",0,COUNTIFS(Data!$I$10:$I$3209,"&gt;="&amp;$A2235,Data!$I$10:$I$3209,"&lt;"&amp;$A2235+1)))</f>
        <v/>
      </c>
      <c r="AG2235">
        <f>IF($B2235=0,0,IF(Inputs!$B$9="",0,COUNTIFS(Data!$M$10:$M$3209,"&gt;="&amp;$A2235,Data!$M$10:$M$3209,"&lt;"&amp;$A2235+1)))</f>
        <v/>
      </c>
      <c r="AH2235">
        <f>IF($B2235=0,0,IF(Inputs!$B$10="",0,COUNTIFS(Data!$Q$10:$Q$3209,"&gt;="&amp;$A2235,Data!$Q$10:$Q$3209,"&lt;"&amp;$A2235+1)))</f>
        <v/>
      </c>
    </row>
    <row r="2236">
      <c r="A2236" s="55">
        <f>MIN(Inputs!$C$15,$A2235+IF(WEEKDAY($A2235,2)=5,3,1))</f>
        <v/>
      </c>
      <c r="B2236">
        <f>IF($A2236&gt;$A2235,1,0)</f>
        <v/>
      </c>
      <c r="C2236" s="56">
        <f>IF($B2236=0,"",IF(Inputs!$B$6="","",IF($AD2236=0,C2235,SUMIFS(Data!$B$10:$B$3209,Data!$A$10:$A$3209,"&gt;="&amp;$A2236,Data!$A$10:$A$3209,"&lt;"&amp;$A2236+1)/$AD2236)))</f>
        <v/>
      </c>
      <c r="D2236" s="56">
        <f>IF($B2236=0,"",IF(Inputs!$B$7="","",IF($AE2236=0,D2235,SUMIFS(Data!$F$10:$F$3209,Data!$E$10:$E$3209,"&gt;="&amp;$A2236,Data!$E$10:$E$3209,"&lt;"&amp;$A2236+1)/$AE2236)))</f>
        <v/>
      </c>
      <c r="E2236" s="56">
        <f>IF($B2236=0,"",IF(Inputs!$B$8="","",IF($AF2236=0,E2235,SUMIFS(Data!$J$10:$J$3209,Data!$I$10:$I$3209,"&gt;="&amp;$A2236,Data!$I$10:$I$3209,"&lt;"&amp;$A2236+1)/$AF2236)))</f>
        <v/>
      </c>
      <c r="F2236" s="56">
        <f>IF($B2236=0,"",IF(Inputs!$B$9="","",IF($AG2236=0,F2235,SUMIFS(Data!$N$10:$N$3209,Data!$M$10:$M$3209,"&gt;="&amp;$A2236,Data!$M$10:$M$3209,"&lt;"&amp;$A2236+1)/$AG2236)))</f>
        <v/>
      </c>
      <c r="G2236" s="56">
        <f>IF($B2236=0,"",IF(Inputs!$B$10="","",IF($AH2236=0,G2235,SUMIFS(Data!$R$10:$R$3209,Data!$Q$10:$Q$3209,"&gt;="&amp;$A2236,Data!$Q$10:$Q$3209,"&lt;"&amp;$A2236+1)/$AH2236)))</f>
        <v/>
      </c>
      <c r="I2236" s="54">
        <f>IF($B2236=0,NA(),IF($C2236="",NA(),IF(C$8="",NA(),IF(N(C$8)=0,NA(),IF(Inputs!$C$17="Rebased to 100",$C2236/C$8*100,$C2236)))))</f>
        <v/>
      </c>
      <c r="J2236" s="54">
        <f>IF($B2236=0,NA(),IF($D2236="",NA(),IF(D$8="",NA(),IF(N(D$8)=0,NA(),IF(Inputs!$C$17="Rebased to 100",$D2236/D$8*100,$D2236)))))</f>
        <v/>
      </c>
      <c r="K2236" s="54">
        <f>IF($B2236=0,NA(),IF($E2236="",NA(),IF(E$8="",NA(),IF(N(E$8)=0,NA(),IF(Inputs!$C$17="Rebased to 100",$E2236/E$8*100,$E2236)))))</f>
        <v/>
      </c>
      <c r="L2236" s="54">
        <f>IF($B2236=0,NA(),IF($F2236="",NA(),IF(F$8="",NA(),IF(N(F$8)=0,NA(),IF(Inputs!$C$17="Rebased to 100",$F2236/F$8*100,$F2236)))))</f>
        <v/>
      </c>
      <c r="M2236" s="54">
        <f>IF($B2236=0,NA(),IF($G2236="",NA(),IF(G$8="",NA(),IF(N(G$8)=0,NA(),IF(Inputs!$C$17="Rebased to 100",$G2236/G$8*100,$G2236)))))</f>
        <v/>
      </c>
      <c r="N2236" s="54">
        <f>IF($B2236=0,NA(),IF(Inputs!$C$18&lt;&gt;"Yes",NA(),IF(COUNT(I2236,J2236,K2236,L2236,M2236)=0,NA(),MIN(I2236,J2236,K2236,L2236,M2236))))</f>
        <v/>
      </c>
      <c r="O2236" s="54">
        <f>IF($B2236=0,NA(),IF(Inputs!$B$24&lt;&gt;"Yes",NA(),Inputs!$D$24*Inputs!$C$35))</f>
        <v/>
      </c>
      <c r="P2236" s="54">
        <f>IF($B2236=0,NA(),IF(Inputs!$B$25&lt;&gt;"Yes",NA(),Inputs!$D$25*Inputs!$C$35))</f>
        <v/>
      </c>
      <c r="Q2236" s="54">
        <f>IF($B2236=0,NA(),IF(Inputs!$B$26&lt;&gt;"Yes",NA(),Inputs!$D$26*Inputs!$C$35))</f>
        <v/>
      </c>
      <c r="R2236" s="54">
        <f>IF($B2236=0,NA(),IF(Inputs!$B$27&lt;&gt;"Yes",NA(),Inputs!$D$27*Inputs!$C$35))</f>
        <v/>
      </c>
      <c r="S2236" s="54">
        <f>IF($B2236=0,NA(),IF(Inputs!$B$28&lt;&gt;"Yes",NA(),Inputs!$D$28*Inputs!$C$35))</f>
        <v/>
      </c>
      <c r="T2236" s="54">
        <f>IF($B2236=0,NA(),IF(Inputs!$B$29&lt;&gt;"Yes",NA(),Inputs!$D$29*Inputs!$C$35))</f>
        <v/>
      </c>
      <c r="AD2236">
        <f>IF($B2236=0,0,IF(Inputs!$B$6="",0,COUNTIFS(Data!$A$10:$A$3209,"&gt;="&amp;$A2236,Data!$A$10:$A$3209,"&lt;"&amp;$A2236+1)))</f>
        <v/>
      </c>
      <c r="AE2236">
        <f>IF($B2236=0,0,IF(Inputs!$B$7="",0,COUNTIFS(Data!$E$10:$E$3209,"&gt;="&amp;$A2236,Data!$E$10:$E$3209,"&lt;"&amp;$A2236+1)))</f>
        <v/>
      </c>
      <c r="AF2236">
        <f>IF($B2236=0,0,IF(Inputs!$B$8="",0,COUNTIFS(Data!$I$10:$I$3209,"&gt;="&amp;$A2236,Data!$I$10:$I$3209,"&lt;"&amp;$A2236+1)))</f>
        <v/>
      </c>
      <c r="AG2236">
        <f>IF($B2236=0,0,IF(Inputs!$B$9="",0,COUNTIFS(Data!$M$10:$M$3209,"&gt;="&amp;$A2236,Data!$M$10:$M$3209,"&lt;"&amp;$A2236+1)))</f>
        <v/>
      </c>
      <c r="AH2236">
        <f>IF($B2236=0,0,IF(Inputs!$B$10="",0,COUNTIFS(Data!$Q$10:$Q$3209,"&gt;="&amp;$A2236,Data!$Q$10:$Q$3209,"&lt;"&amp;$A2236+1)))</f>
        <v/>
      </c>
    </row>
    <row r="2237">
      <c r="A2237" s="55">
        <f>MIN(Inputs!$C$15,$A2236+IF(WEEKDAY($A2236,2)=5,3,1))</f>
        <v/>
      </c>
      <c r="B2237">
        <f>IF($A2237&gt;$A2236,1,0)</f>
        <v/>
      </c>
      <c r="C2237" s="56">
        <f>IF($B2237=0,"",IF(Inputs!$B$6="","",IF($AD2237=0,C2236,SUMIFS(Data!$B$10:$B$3209,Data!$A$10:$A$3209,"&gt;="&amp;$A2237,Data!$A$10:$A$3209,"&lt;"&amp;$A2237+1)/$AD2237)))</f>
        <v/>
      </c>
      <c r="D2237" s="56">
        <f>IF($B2237=0,"",IF(Inputs!$B$7="","",IF($AE2237=0,D2236,SUMIFS(Data!$F$10:$F$3209,Data!$E$10:$E$3209,"&gt;="&amp;$A2237,Data!$E$10:$E$3209,"&lt;"&amp;$A2237+1)/$AE2237)))</f>
        <v/>
      </c>
      <c r="E2237" s="56">
        <f>IF($B2237=0,"",IF(Inputs!$B$8="","",IF($AF2237=0,E2236,SUMIFS(Data!$J$10:$J$3209,Data!$I$10:$I$3209,"&gt;="&amp;$A2237,Data!$I$10:$I$3209,"&lt;"&amp;$A2237+1)/$AF2237)))</f>
        <v/>
      </c>
      <c r="F2237" s="56">
        <f>IF($B2237=0,"",IF(Inputs!$B$9="","",IF($AG2237=0,F2236,SUMIFS(Data!$N$10:$N$3209,Data!$M$10:$M$3209,"&gt;="&amp;$A2237,Data!$M$10:$M$3209,"&lt;"&amp;$A2237+1)/$AG2237)))</f>
        <v/>
      </c>
      <c r="G2237" s="56">
        <f>IF($B2237=0,"",IF(Inputs!$B$10="","",IF($AH2237=0,G2236,SUMIFS(Data!$R$10:$R$3209,Data!$Q$10:$Q$3209,"&gt;="&amp;$A2237,Data!$Q$10:$Q$3209,"&lt;"&amp;$A2237+1)/$AH2237)))</f>
        <v/>
      </c>
      <c r="I2237" s="54">
        <f>IF($B2237=0,NA(),IF($C2237="",NA(),IF(C$8="",NA(),IF(N(C$8)=0,NA(),IF(Inputs!$C$17="Rebased to 100",$C2237/C$8*100,$C2237)))))</f>
        <v/>
      </c>
      <c r="J2237" s="54">
        <f>IF($B2237=0,NA(),IF($D2237="",NA(),IF(D$8="",NA(),IF(N(D$8)=0,NA(),IF(Inputs!$C$17="Rebased to 100",$D2237/D$8*100,$D2237)))))</f>
        <v/>
      </c>
      <c r="K2237" s="54">
        <f>IF($B2237=0,NA(),IF($E2237="",NA(),IF(E$8="",NA(),IF(N(E$8)=0,NA(),IF(Inputs!$C$17="Rebased to 100",$E2237/E$8*100,$E2237)))))</f>
        <v/>
      </c>
      <c r="L2237" s="54">
        <f>IF($B2237=0,NA(),IF($F2237="",NA(),IF(F$8="",NA(),IF(N(F$8)=0,NA(),IF(Inputs!$C$17="Rebased to 100",$F2237/F$8*100,$F2237)))))</f>
        <v/>
      </c>
      <c r="M2237" s="54">
        <f>IF($B2237=0,NA(),IF($G2237="",NA(),IF(G$8="",NA(),IF(N(G$8)=0,NA(),IF(Inputs!$C$17="Rebased to 100",$G2237/G$8*100,$G2237)))))</f>
        <v/>
      </c>
      <c r="N2237" s="54">
        <f>IF($B2237=0,NA(),IF(Inputs!$C$18&lt;&gt;"Yes",NA(),IF(COUNT(I2237,J2237,K2237,L2237,M2237)=0,NA(),MIN(I2237,J2237,K2237,L2237,M2237))))</f>
        <v/>
      </c>
      <c r="O2237" s="54">
        <f>IF($B2237=0,NA(),IF(Inputs!$B$24&lt;&gt;"Yes",NA(),Inputs!$D$24*Inputs!$C$35))</f>
        <v/>
      </c>
      <c r="P2237" s="54">
        <f>IF($B2237=0,NA(),IF(Inputs!$B$25&lt;&gt;"Yes",NA(),Inputs!$D$25*Inputs!$C$35))</f>
        <v/>
      </c>
      <c r="Q2237" s="54">
        <f>IF($B2237=0,NA(),IF(Inputs!$B$26&lt;&gt;"Yes",NA(),Inputs!$D$26*Inputs!$C$35))</f>
        <v/>
      </c>
      <c r="R2237" s="54">
        <f>IF($B2237=0,NA(),IF(Inputs!$B$27&lt;&gt;"Yes",NA(),Inputs!$D$27*Inputs!$C$35))</f>
        <v/>
      </c>
      <c r="S2237" s="54">
        <f>IF($B2237=0,NA(),IF(Inputs!$B$28&lt;&gt;"Yes",NA(),Inputs!$D$28*Inputs!$C$35))</f>
        <v/>
      </c>
      <c r="T2237" s="54">
        <f>IF($B2237=0,NA(),IF(Inputs!$B$29&lt;&gt;"Yes",NA(),Inputs!$D$29*Inputs!$C$35))</f>
        <v/>
      </c>
      <c r="AD2237">
        <f>IF($B2237=0,0,IF(Inputs!$B$6="",0,COUNTIFS(Data!$A$10:$A$3209,"&gt;="&amp;$A2237,Data!$A$10:$A$3209,"&lt;"&amp;$A2237+1)))</f>
        <v/>
      </c>
      <c r="AE2237">
        <f>IF($B2237=0,0,IF(Inputs!$B$7="",0,COUNTIFS(Data!$E$10:$E$3209,"&gt;="&amp;$A2237,Data!$E$10:$E$3209,"&lt;"&amp;$A2237+1)))</f>
        <v/>
      </c>
      <c r="AF2237">
        <f>IF($B2237=0,0,IF(Inputs!$B$8="",0,COUNTIFS(Data!$I$10:$I$3209,"&gt;="&amp;$A2237,Data!$I$10:$I$3209,"&lt;"&amp;$A2237+1)))</f>
        <v/>
      </c>
      <c r="AG2237">
        <f>IF($B2237=0,0,IF(Inputs!$B$9="",0,COUNTIFS(Data!$M$10:$M$3209,"&gt;="&amp;$A2237,Data!$M$10:$M$3209,"&lt;"&amp;$A2237+1)))</f>
        <v/>
      </c>
      <c r="AH2237">
        <f>IF($B2237=0,0,IF(Inputs!$B$10="",0,COUNTIFS(Data!$Q$10:$Q$3209,"&gt;="&amp;$A2237,Data!$Q$10:$Q$3209,"&lt;"&amp;$A2237+1)))</f>
        <v/>
      </c>
    </row>
    <row r="2238">
      <c r="A2238" s="55">
        <f>MIN(Inputs!$C$15,$A2237+IF(WEEKDAY($A2237,2)=5,3,1))</f>
        <v/>
      </c>
      <c r="B2238">
        <f>IF($A2238&gt;$A2237,1,0)</f>
        <v/>
      </c>
      <c r="C2238" s="56">
        <f>IF($B2238=0,"",IF(Inputs!$B$6="","",IF($AD2238=0,C2237,SUMIFS(Data!$B$10:$B$3209,Data!$A$10:$A$3209,"&gt;="&amp;$A2238,Data!$A$10:$A$3209,"&lt;"&amp;$A2238+1)/$AD2238)))</f>
        <v/>
      </c>
      <c r="D2238" s="56">
        <f>IF($B2238=0,"",IF(Inputs!$B$7="","",IF($AE2238=0,D2237,SUMIFS(Data!$F$10:$F$3209,Data!$E$10:$E$3209,"&gt;="&amp;$A2238,Data!$E$10:$E$3209,"&lt;"&amp;$A2238+1)/$AE2238)))</f>
        <v/>
      </c>
      <c r="E2238" s="56">
        <f>IF($B2238=0,"",IF(Inputs!$B$8="","",IF($AF2238=0,E2237,SUMIFS(Data!$J$10:$J$3209,Data!$I$10:$I$3209,"&gt;="&amp;$A2238,Data!$I$10:$I$3209,"&lt;"&amp;$A2238+1)/$AF2238)))</f>
        <v/>
      </c>
      <c r="F2238" s="56">
        <f>IF($B2238=0,"",IF(Inputs!$B$9="","",IF($AG2238=0,F2237,SUMIFS(Data!$N$10:$N$3209,Data!$M$10:$M$3209,"&gt;="&amp;$A2238,Data!$M$10:$M$3209,"&lt;"&amp;$A2238+1)/$AG2238)))</f>
        <v/>
      </c>
      <c r="G2238" s="56">
        <f>IF($B2238=0,"",IF(Inputs!$B$10="","",IF($AH2238=0,G2237,SUMIFS(Data!$R$10:$R$3209,Data!$Q$10:$Q$3209,"&gt;="&amp;$A2238,Data!$Q$10:$Q$3209,"&lt;"&amp;$A2238+1)/$AH2238)))</f>
        <v/>
      </c>
      <c r="I2238" s="54">
        <f>IF($B2238=0,NA(),IF($C2238="",NA(),IF(C$8="",NA(),IF(N(C$8)=0,NA(),IF(Inputs!$C$17="Rebased to 100",$C2238/C$8*100,$C2238)))))</f>
        <v/>
      </c>
      <c r="J2238" s="54">
        <f>IF($B2238=0,NA(),IF($D2238="",NA(),IF(D$8="",NA(),IF(N(D$8)=0,NA(),IF(Inputs!$C$17="Rebased to 100",$D2238/D$8*100,$D2238)))))</f>
        <v/>
      </c>
      <c r="K2238" s="54">
        <f>IF($B2238=0,NA(),IF($E2238="",NA(),IF(E$8="",NA(),IF(N(E$8)=0,NA(),IF(Inputs!$C$17="Rebased to 100",$E2238/E$8*100,$E2238)))))</f>
        <v/>
      </c>
      <c r="L2238" s="54">
        <f>IF($B2238=0,NA(),IF($F2238="",NA(),IF(F$8="",NA(),IF(N(F$8)=0,NA(),IF(Inputs!$C$17="Rebased to 100",$F2238/F$8*100,$F2238)))))</f>
        <v/>
      </c>
      <c r="M2238" s="54">
        <f>IF($B2238=0,NA(),IF($G2238="",NA(),IF(G$8="",NA(),IF(N(G$8)=0,NA(),IF(Inputs!$C$17="Rebased to 100",$G2238/G$8*100,$G2238)))))</f>
        <v/>
      </c>
      <c r="N2238" s="54">
        <f>IF($B2238=0,NA(),IF(Inputs!$C$18&lt;&gt;"Yes",NA(),IF(COUNT(I2238,J2238,K2238,L2238,M2238)=0,NA(),MIN(I2238,J2238,K2238,L2238,M2238))))</f>
        <v/>
      </c>
      <c r="O2238" s="54">
        <f>IF($B2238=0,NA(),IF(Inputs!$B$24&lt;&gt;"Yes",NA(),Inputs!$D$24*Inputs!$C$35))</f>
        <v/>
      </c>
      <c r="P2238" s="54">
        <f>IF($B2238=0,NA(),IF(Inputs!$B$25&lt;&gt;"Yes",NA(),Inputs!$D$25*Inputs!$C$35))</f>
        <v/>
      </c>
      <c r="Q2238" s="54">
        <f>IF($B2238=0,NA(),IF(Inputs!$B$26&lt;&gt;"Yes",NA(),Inputs!$D$26*Inputs!$C$35))</f>
        <v/>
      </c>
      <c r="R2238" s="54">
        <f>IF($B2238=0,NA(),IF(Inputs!$B$27&lt;&gt;"Yes",NA(),Inputs!$D$27*Inputs!$C$35))</f>
        <v/>
      </c>
      <c r="S2238" s="54">
        <f>IF($B2238=0,NA(),IF(Inputs!$B$28&lt;&gt;"Yes",NA(),Inputs!$D$28*Inputs!$C$35))</f>
        <v/>
      </c>
      <c r="T2238" s="54">
        <f>IF($B2238=0,NA(),IF(Inputs!$B$29&lt;&gt;"Yes",NA(),Inputs!$D$29*Inputs!$C$35))</f>
        <v/>
      </c>
      <c r="AD2238">
        <f>IF($B2238=0,0,IF(Inputs!$B$6="",0,COUNTIFS(Data!$A$10:$A$3209,"&gt;="&amp;$A2238,Data!$A$10:$A$3209,"&lt;"&amp;$A2238+1)))</f>
        <v/>
      </c>
      <c r="AE2238">
        <f>IF($B2238=0,0,IF(Inputs!$B$7="",0,COUNTIFS(Data!$E$10:$E$3209,"&gt;="&amp;$A2238,Data!$E$10:$E$3209,"&lt;"&amp;$A2238+1)))</f>
        <v/>
      </c>
      <c r="AF2238">
        <f>IF($B2238=0,0,IF(Inputs!$B$8="",0,COUNTIFS(Data!$I$10:$I$3209,"&gt;="&amp;$A2238,Data!$I$10:$I$3209,"&lt;"&amp;$A2238+1)))</f>
        <v/>
      </c>
      <c r="AG2238">
        <f>IF($B2238=0,0,IF(Inputs!$B$9="",0,COUNTIFS(Data!$M$10:$M$3209,"&gt;="&amp;$A2238,Data!$M$10:$M$3209,"&lt;"&amp;$A2238+1)))</f>
        <v/>
      </c>
      <c r="AH2238">
        <f>IF($B2238=0,0,IF(Inputs!$B$10="",0,COUNTIFS(Data!$Q$10:$Q$3209,"&gt;="&amp;$A2238,Data!$Q$10:$Q$3209,"&lt;"&amp;$A2238+1)))</f>
        <v/>
      </c>
    </row>
    <row r="2239">
      <c r="A2239" s="55">
        <f>MIN(Inputs!$C$15,$A2238+IF(WEEKDAY($A2238,2)=5,3,1))</f>
        <v/>
      </c>
      <c r="B2239">
        <f>IF($A2239&gt;$A2238,1,0)</f>
        <v/>
      </c>
      <c r="C2239" s="56">
        <f>IF($B2239=0,"",IF(Inputs!$B$6="","",IF($AD2239=0,C2238,SUMIFS(Data!$B$10:$B$3209,Data!$A$10:$A$3209,"&gt;="&amp;$A2239,Data!$A$10:$A$3209,"&lt;"&amp;$A2239+1)/$AD2239)))</f>
        <v/>
      </c>
      <c r="D2239" s="56">
        <f>IF($B2239=0,"",IF(Inputs!$B$7="","",IF($AE2239=0,D2238,SUMIFS(Data!$F$10:$F$3209,Data!$E$10:$E$3209,"&gt;="&amp;$A2239,Data!$E$10:$E$3209,"&lt;"&amp;$A2239+1)/$AE2239)))</f>
        <v/>
      </c>
      <c r="E2239" s="56">
        <f>IF($B2239=0,"",IF(Inputs!$B$8="","",IF($AF2239=0,E2238,SUMIFS(Data!$J$10:$J$3209,Data!$I$10:$I$3209,"&gt;="&amp;$A2239,Data!$I$10:$I$3209,"&lt;"&amp;$A2239+1)/$AF2239)))</f>
        <v/>
      </c>
      <c r="F2239" s="56">
        <f>IF($B2239=0,"",IF(Inputs!$B$9="","",IF($AG2239=0,F2238,SUMIFS(Data!$N$10:$N$3209,Data!$M$10:$M$3209,"&gt;="&amp;$A2239,Data!$M$10:$M$3209,"&lt;"&amp;$A2239+1)/$AG2239)))</f>
        <v/>
      </c>
      <c r="G2239" s="56">
        <f>IF($B2239=0,"",IF(Inputs!$B$10="","",IF($AH2239=0,G2238,SUMIFS(Data!$R$10:$R$3209,Data!$Q$10:$Q$3209,"&gt;="&amp;$A2239,Data!$Q$10:$Q$3209,"&lt;"&amp;$A2239+1)/$AH2239)))</f>
        <v/>
      </c>
      <c r="I2239" s="54">
        <f>IF($B2239=0,NA(),IF($C2239="",NA(),IF(C$8="",NA(),IF(N(C$8)=0,NA(),IF(Inputs!$C$17="Rebased to 100",$C2239/C$8*100,$C2239)))))</f>
        <v/>
      </c>
      <c r="J2239" s="54">
        <f>IF($B2239=0,NA(),IF($D2239="",NA(),IF(D$8="",NA(),IF(N(D$8)=0,NA(),IF(Inputs!$C$17="Rebased to 100",$D2239/D$8*100,$D2239)))))</f>
        <v/>
      </c>
      <c r="K2239" s="54">
        <f>IF($B2239=0,NA(),IF($E2239="",NA(),IF(E$8="",NA(),IF(N(E$8)=0,NA(),IF(Inputs!$C$17="Rebased to 100",$E2239/E$8*100,$E2239)))))</f>
        <v/>
      </c>
      <c r="L2239" s="54">
        <f>IF($B2239=0,NA(),IF($F2239="",NA(),IF(F$8="",NA(),IF(N(F$8)=0,NA(),IF(Inputs!$C$17="Rebased to 100",$F2239/F$8*100,$F2239)))))</f>
        <v/>
      </c>
      <c r="M2239" s="54">
        <f>IF($B2239=0,NA(),IF($G2239="",NA(),IF(G$8="",NA(),IF(N(G$8)=0,NA(),IF(Inputs!$C$17="Rebased to 100",$G2239/G$8*100,$G2239)))))</f>
        <v/>
      </c>
      <c r="N2239" s="54">
        <f>IF($B2239=0,NA(),IF(Inputs!$C$18&lt;&gt;"Yes",NA(),IF(COUNT(I2239,J2239,K2239,L2239,M2239)=0,NA(),MIN(I2239,J2239,K2239,L2239,M2239))))</f>
        <v/>
      </c>
      <c r="O2239" s="54">
        <f>IF($B2239=0,NA(),IF(Inputs!$B$24&lt;&gt;"Yes",NA(),Inputs!$D$24*Inputs!$C$35))</f>
        <v/>
      </c>
      <c r="P2239" s="54">
        <f>IF($B2239=0,NA(),IF(Inputs!$B$25&lt;&gt;"Yes",NA(),Inputs!$D$25*Inputs!$C$35))</f>
        <v/>
      </c>
      <c r="Q2239" s="54">
        <f>IF($B2239=0,NA(),IF(Inputs!$B$26&lt;&gt;"Yes",NA(),Inputs!$D$26*Inputs!$C$35))</f>
        <v/>
      </c>
      <c r="R2239" s="54">
        <f>IF($B2239=0,NA(),IF(Inputs!$B$27&lt;&gt;"Yes",NA(),Inputs!$D$27*Inputs!$C$35))</f>
        <v/>
      </c>
      <c r="S2239" s="54">
        <f>IF($B2239=0,NA(),IF(Inputs!$B$28&lt;&gt;"Yes",NA(),Inputs!$D$28*Inputs!$C$35))</f>
        <v/>
      </c>
      <c r="T2239" s="54">
        <f>IF($B2239=0,NA(),IF(Inputs!$B$29&lt;&gt;"Yes",NA(),Inputs!$D$29*Inputs!$C$35))</f>
        <v/>
      </c>
      <c r="AD2239">
        <f>IF($B2239=0,0,IF(Inputs!$B$6="",0,COUNTIFS(Data!$A$10:$A$3209,"&gt;="&amp;$A2239,Data!$A$10:$A$3209,"&lt;"&amp;$A2239+1)))</f>
        <v/>
      </c>
      <c r="AE2239">
        <f>IF($B2239=0,0,IF(Inputs!$B$7="",0,COUNTIFS(Data!$E$10:$E$3209,"&gt;="&amp;$A2239,Data!$E$10:$E$3209,"&lt;"&amp;$A2239+1)))</f>
        <v/>
      </c>
      <c r="AF2239">
        <f>IF($B2239=0,0,IF(Inputs!$B$8="",0,COUNTIFS(Data!$I$10:$I$3209,"&gt;="&amp;$A2239,Data!$I$10:$I$3209,"&lt;"&amp;$A2239+1)))</f>
        <v/>
      </c>
      <c r="AG2239">
        <f>IF($B2239=0,0,IF(Inputs!$B$9="",0,COUNTIFS(Data!$M$10:$M$3209,"&gt;="&amp;$A2239,Data!$M$10:$M$3209,"&lt;"&amp;$A2239+1)))</f>
        <v/>
      </c>
      <c r="AH2239">
        <f>IF($B2239=0,0,IF(Inputs!$B$10="",0,COUNTIFS(Data!$Q$10:$Q$3209,"&gt;="&amp;$A2239,Data!$Q$10:$Q$3209,"&lt;"&amp;$A2239+1)))</f>
        <v/>
      </c>
    </row>
    <row r="2240">
      <c r="A2240" s="55">
        <f>MIN(Inputs!$C$15,$A2239+IF(WEEKDAY($A2239,2)=5,3,1))</f>
        <v/>
      </c>
      <c r="B2240">
        <f>IF($A2240&gt;$A2239,1,0)</f>
        <v/>
      </c>
      <c r="C2240" s="56">
        <f>IF($B2240=0,"",IF(Inputs!$B$6="","",IF($AD2240=0,C2239,SUMIFS(Data!$B$10:$B$3209,Data!$A$10:$A$3209,"&gt;="&amp;$A2240,Data!$A$10:$A$3209,"&lt;"&amp;$A2240+1)/$AD2240)))</f>
        <v/>
      </c>
      <c r="D2240" s="56">
        <f>IF($B2240=0,"",IF(Inputs!$B$7="","",IF($AE2240=0,D2239,SUMIFS(Data!$F$10:$F$3209,Data!$E$10:$E$3209,"&gt;="&amp;$A2240,Data!$E$10:$E$3209,"&lt;"&amp;$A2240+1)/$AE2240)))</f>
        <v/>
      </c>
      <c r="E2240" s="56">
        <f>IF($B2240=0,"",IF(Inputs!$B$8="","",IF($AF2240=0,E2239,SUMIFS(Data!$J$10:$J$3209,Data!$I$10:$I$3209,"&gt;="&amp;$A2240,Data!$I$10:$I$3209,"&lt;"&amp;$A2240+1)/$AF2240)))</f>
        <v/>
      </c>
      <c r="F2240" s="56">
        <f>IF($B2240=0,"",IF(Inputs!$B$9="","",IF($AG2240=0,F2239,SUMIFS(Data!$N$10:$N$3209,Data!$M$10:$M$3209,"&gt;="&amp;$A2240,Data!$M$10:$M$3209,"&lt;"&amp;$A2240+1)/$AG2240)))</f>
        <v/>
      </c>
      <c r="G2240" s="56">
        <f>IF($B2240=0,"",IF(Inputs!$B$10="","",IF($AH2240=0,G2239,SUMIFS(Data!$R$10:$R$3209,Data!$Q$10:$Q$3209,"&gt;="&amp;$A2240,Data!$Q$10:$Q$3209,"&lt;"&amp;$A2240+1)/$AH2240)))</f>
        <v/>
      </c>
      <c r="I2240" s="54">
        <f>IF($B2240=0,NA(),IF($C2240="",NA(),IF(C$8="",NA(),IF(N(C$8)=0,NA(),IF(Inputs!$C$17="Rebased to 100",$C2240/C$8*100,$C2240)))))</f>
        <v/>
      </c>
      <c r="J2240" s="54">
        <f>IF($B2240=0,NA(),IF($D2240="",NA(),IF(D$8="",NA(),IF(N(D$8)=0,NA(),IF(Inputs!$C$17="Rebased to 100",$D2240/D$8*100,$D2240)))))</f>
        <v/>
      </c>
      <c r="K2240" s="54">
        <f>IF($B2240=0,NA(),IF($E2240="",NA(),IF(E$8="",NA(),IF(N(E$8)=0,NA(),IF(Inputs!$C$17="Rebased to 100",$E2240/E$8*100,$E2240)))))</f>
        <v/>
      </c>
      <c r="L2240" s="54">
        <f>IF($B2240=0,NA(),IF($F2240="",NA(),IF(F$8="",NA(),IF(N(F$8)=0,NA(),IF(Inputs!$C$17="Rebased to 100",$F2240/F$8*100,$F2240)))))</f>
        <v/>
      </c>
      <c r="M2240" s="54">
        <f>IF($B2240=0,NA(),IF($G2240="",NA(),IF(G$8="",NA(),IF(N(G$8)=0,NA(),IF(Inputs!$C$17="Rebased to 100",$G2240/G$8*100,$G2240)))))</f>
        <v/>
      </c>
      <c r="N2240" s="54">
        <f>IF($B2240=0,NA(),IF(Inputs!$C$18&lt;&gt;"Yes",NA(),IF(COUNT(I2240,J2240,K2240,L2240,M2240)=0,NA(),MIN(I2240,J2240,K2240,L2240,M2240))))</f>
        <v/>
      </c>
      <c r="O2240" s="54">
        <f>IF($B2240=0,NA(),IF(Inputs!$B$24&lt;&gt;"Yes",NA(),Inputs!$D$24*Inputs!$C$35))</f>
        <v/>
      </c>
      <c r="P2240" s="54">
        <f>IF($B2240=0,NA(),IF(Inputs!$B$25&lt;&gt;"Yes",NA(),Inputs!$D$25*Inputs!$C$35))</f>
        <v/>
      </c>
      <c r="Q2240" s="54">
        <f>IF($B2240=0,NA(),IF(Inputs!$B$26&lt;&gt;"Yes",NA(),Inputs!$D$26*Inputs!$C$35))</f>
        <v/>
      </c>
      <c r="R2240" s="54">
        <f>IF($B2240=0,NA(),IF(Inputs!$B$27&lt;&gt;"Yes",NA(),Inputs!$D$27*Inputs!$C$35))</f>
        <v/>
      </c>
      <c r="S2240" s="54">
        <f>IF($B2240=0,NA(),IF(Inputs!$B$28&lt;&gt;"Yes",NA(),Inputs!$D$28*Inputs!$C$35))</f>
        <v/>
      </c>
      <c r="T2240" s="54">
        <f>IF($B2240=0,NA(),IF(Inputs!$B$29&lt;&gt;"Yes",NA(),Inputs!$D$29*Inputs!$C$35))</f>
        <v/>
      </c>
      <c r="AD2240">
        <f>IF($B2240=0,0,IF(Inputs!$B$6="",0,COUNTIFS(Data!$A$10:$A$3209,"&gt;="&amp;$A2240,Data!$A$10:$A$3209,"&lt;"&amp;$A2240+1)))</f>
        <v/>
      </c>
      <c r="AE2240">
        <f>IF($B2240=0,0,IF(Inputs!$B$7="",0,COUNTIFS(Data!$E$10:$E$3209,"&gt;="&amp;$A2240,Data!$E$10:$E$3209,"&lt;"&amp;$A2240+1)))</f>
        <v/>
      </c>
      <c r="AF2240">
        <f>IF($B2240=0,0,IF(Inputs!$B$8="",0,COUNTIFS(Data!$I$10:$I$3209,"&gt;="&amp;$A2240,Data!$I$10:$I$3209,"&lt;"&amp;$A2240+1)))</f>
        <v/>
      </c>
      <c r="AG2240">
        <f>IF($B2240=0,0,IF(Inputs!$B$9="",0,COUNTIFS(Data!$M$10:$M$3209,"&gt;="&amp;$A2240,Data!$M$10:$M$3209,"&lt;"&amp;$A2240+1)))</f>
        <v/>
      </c>
      <c r="AH2240">
        <f>IF($B2240=0,0,IF(Inputs!$B$10="",0,COUNTIFS(Data!$Q$10:$Q$3209,"&gt;="&amp;$A2240,Data!$Q$10:$Q$3209,"&lt;"&amp;$A2240+1)))</f>
        <v/>
      </c>
    </row>
    <row r="2241">
      <c r="A2241" s="55">
        <f>MIN(Inputs!$C$15,$A2240+IF(WEEKDAY($A2240,2)=5,3,1))</f>
        <v/>
      </c>
      <c r="B2241">
        <f>IF($A2241&gt;$A2240,1,0)</f>
        <v/>
      </c>
      <c r="C2241" s="56">
        <f>IF($B2241=0,"",IF(Inputs!$B$6="","",IF($AD2241=0,C2240,SUMIFS(Data!$B$10:$B$3209,Data!$A$10:$A$3209,"&gt;="&amp;$A2241,Data!$A$10:$A$3209,"&lt;"&amp;$A2241+1)/$AD2241)))</f>
        <v/>
      </c>
      <c r="D2241" s="56">
        <f>IF($B2241=0,"",IF(Inputs!$B$7="","",IF($AE2241=0,D2240,SUMIFS(Data!$F$10:$F$3209,Data!$E$10:$E$3209,"&gt;="&amp;$A2241,Data!$E$10:$E$3209,"&lt;"&amp;$A2241+1)/$AE2241)))</f>
        <v/>
      </c>
      <c r="E2241" s="56">
        <f>IF($B2241=0,"",IF(Inputs!$B$8="","",IF($AF2241=0,E2240,SUMIFS(Data!$J$10:$J$3209,Data!$I$10:$I$3209,"&gt;="&amp;$A2241,Data!$I$10:$I$3209,"&lt;"&amp;$A2241+1)/$AF2241)))</f>
        <v/>
      </c>
      <c r="F2241" s="56">
        <f>IF($B2241=0,"",IF(Inputs!$B$9="","",IF($AG2241=0,F2240,SUMIFS(Data!$N$10:$N$3209,Data!$M$10:$M$3209,"&gt;="&amp;$A2241,Data!$M$10:$M$3209,"&lt;"&amp;$A2241+1)/$AG2241)))</f>
        <v/>
      </c>
      <c r="G2241" s="56">
        <f>IF($B2241=0,"",IF(Inputs!$B$10="","",IF($AH2241=0,G2240,SUMIFS(Data!$R$10:$R$3209,Data!$Q$10:$Q$3209,"&gt;="&amp;$A2241,Data!$Q$10:$Q$3209,"&lt;"&amp;$A2241+1)/$AH2241)))</f>
        <v/>
      </c>
      <c r="I2241" s="54">
        <f>IF($B2241=0,NA(),IF($C2241="",NA(),IF(C$8="",NA(),IF(N(C$8)=0,NA(),IF(Inputs!$C$17="Rebased to 100",$C2241/C$8*100,$C2241)))))</f>
        <v/>
      </c>
      <c r="J2241" s="54">
        <f>IF($B2241=0,NA(),IF($D2241="",NA(),IF(D$8="",NA(),IF(N(D$8)=0,NA(),IF(Inputs!$C$17="Rebased to 100",$D2241/D$8*100,$D2241)))))</f>
        <v/>
      </c>
      <c r="K2241" s="54">
        <f>IF($B2241=0,NA(),IF($E2241="",NA(),IF(E$8="",NA(),IF(N(E$8)=0,NA(),IF(Inputs!$C$17="Rebased to 100",$E2241/E$8*100,$E2241)))))</f>
        <v/>
      </c>
      <c r="L2241" s="54">
        <f>IF($B2241=0,NA(),IF($F2241="",NA(),IF(F$8="",NA(),IF(N(F$8)=0,NA(),IF(Inputs!$C$17="Rebased to 100",$F2241/F$8*100,$F2241)))))</f>
        <v/>
      </c>
      <c r="M2241" s="54">
        <f>IF($B2241=0,NA(),IF($G2241="",NA(),IF(G$8="",NA(),IF(N(G$8)=0,NA(),IF(Inputs!$C$17="Rebased to 100",$G2241/G$8*100,$G2241)))))</f>
        <v/>
      </c>
      <c r="N2241" s="54">
        <f>IF($B2241=0,NA(),IF(Inputs!$C$18&lt;&gt;"Yes",NA(),IF(COUNT(I2241,J2241,K2241,L2241,M2241)=0,NA(),MIN(I2241,J2241,K2241,L2241,M2241))))</f>
        <v/>
      </c>
      <c r="O2241" s="54">
        <f>IF($B2241=0,NA(),IF(Inputs!$B$24&lt;&gt;"Yes",NA(),Inputs!$D$24*Inputs!$C$35))</f>
        <v/>
      </c>
      <c r="P2241" s="54">
        <f>IF($B2241=0,NA(),IF(Inputs!$B$25&lt;&gt;"Yes",NA(),Inputs!$D$25*Inputs!$C$35))</f>
        <v/>
      </c>
      <c r="Q2241" s="54">
        <f>IF($B2241=0,NA(),IF(Inputs!$B$26&lt;&gt;"Yes",NA(),Inputs!$D$26*Inputs!$C$35))</f>
        <v/>
      </c>
      <c r="R2241" s="54">
        <f>IF($B2241=0,NA(),IF(Inputs!$B$27&lt;&gt;"Yes",NA(),Inputs!$D$27*Inputs!$C$35))</f>
        <v/>
      </c>
      <c r="S2241" s="54">
        <f>IF($B2241=0,NA(),IF(Inputs!$B$28&lt;&gt;"Yes",NA(),Inputs!$D$28*Inputs!$C$35))</f>
        <v/>
      </c>
      <c r="T2241" s="54">
        <f>IF($B2241=0,NA(),IF(Inputs!$B$29&lt;&gt;"Yes",NA(),Inputs!$D$29*Inputs!$C$35))</f>
        <v/>
      </c>
      <c r="AD2241">
        <f>IF($B2241=0,0,IF(Inputs!$B$6="",0,COUNTIFS(Data!$A$10:$A$3209,"&gt;="&amp;$A2241,Data!$A$10:$A$3209,"&lt;"&amp;$A2241+1)))</f>
        <v/>
      </c>
      <c r="AE2241">
        <f>IF($B2241=0,0,IF(Inputs!$B$7="",0,COUNTIFS(Data!$E$10:$E$3209,"&gt;="&amp;$A2241,Data!$E$10:$E$3209,"&lt;"&amp;$A2241+1)))</f>
        <v/>
      </c>
      <c r="AF2241">
        <f>IF($B2241=0,0,IF(Inputs!$B$8="",0,COUNTIFS(Data!$I$10:$I$3209,"&gt;="&amp;$A2241,Data!$I$10:$I$3209,"&lt;"&amp;$A2241+1)))</f>
        <v/>
      </c>
      <c r="AG2241">
        <f>IF($B2241=0,0,IF(Inputs!$B$9="",0,COUNTIFS(Data!$M$10:$M$3209,"&gt;="&amp;$A2241,Data!$M$10:$M$3209,"&lt;"&amp;$A2241+1)))</f>
        <v/>
      </c>
      <c r="AH2241">
        <f>IF($B2241=0,0,IF(Inputs!$B$10="",0,COUNTIFS(Data!$Q$10:$Q$3209,"&gt;="&amp;$A2241,Data!$Q$10:$Q$3209,"&lt;"&amp;$A2241+1)))</f>
        <v/>
      </c>
    </row>
    <row r="2242">
      <c r="A2242" s="55">
        <f>MIN(Inputs!$C$15,$A2241+IF(WEEKDAY($A2241,2)=5,3,1))</f>
        <v/>
      </c>
      <c r="B2242">
        <f>IF($A2242&gt;$A2241,1,0)</f>
        <v/>
      </c>
      <c r="C2242" s="56">
        <f>IF($B2242=0,"",IF(Inputs!$B$6="","",IF($AD2242=0,C2241,SUMIFS(Data!$B$10:$B$3209,Data!$A$10:$A$3209,"&gt;="&amp;$A2242,Data!$A$10:$A$3209,"&lt;"&amp;$A2242+1)/$AD2242)))</f>
        <v/>
      </c>
      <c r="D2242" s="56">
        <f>IF($B2242=0,"",IF(Inputs!$B$7="","",IF($AE2242=0,D2241,SUMIFS(Data!$F$10:$F$3209,Data!$E$10:$E$3209,"&gt;="&amp;$A2242,Data!$E$10:$E$3209,"&lt;"&amp;$A2242+1)/$AE2242)))</f>
        <v/>
      </c>
      <c r="E2242" s="56">
        <f>IF($B2242=0,"",IF(Inputs!$B$8="","",IF($AF2242=0,E2241,SUMIFS(Data!$J$10:$J$3209,Data!$I$10:$I$3209,"&gt;="&amp;$A2242,Data!$I$10:$I$3209,"&lt;"&amp;$A2242+1)/$AF2242)))</f>
        <v/>
      </c>
      <c r="F2242" s="56">
        <f>IF($B2242=0,"",IF(Inputs!$B$9="","",IF($AG2242=0,F2241,SUMIFS(Data!$N$10:$N$3209,Data!$M$10:$M$3209,"&gt;="&amp;$A2242,Data!$M$10:$M$3209,"&lt;"&amp;$A2242+1)/$AG2242)))</f>
        <v/>
      </c>
      <c r="G2242" s="56">
        <f>IF($B2242=0,"",IF(Inputs!$B$10="","",IF($AH2242=0,G2241,SUMIFS(Data!$R$10:$R$3209,Data!$Q$10:$Q$3209,"&gt;="&amp;$A2242,Data!$Q$10:$Q$3209,"&lt;"&amp;$A2242+1)/$AH2242)))</f>
        <v/>
      </c>
      <c r="I2242" s="54">
        <f>IF($B2242=0,NA(),IF($C2242="",NA(),IF(C$8="",NA(),IF(N(C$8)=0,NA(),IF(Inputs!$C$17="Rebased to 100",$C2242/C$8*100,$C2242)))))</f>
        <v/>
      </c>
      <c r="J2242" s="54">
        <f>IF($B2242=0,NA(),IF($D2242="",NA(),IF(D$8="",NA(),IF(N(D$8)=0,NA(),IF(Inputs!$C$17="Rebased to 100",$D2242/D$8*100,$D2242)))))</f>
        <v/>
      </c>
      <c r="K2242" s="54">
        <f>IF($B2242=0,NA(),IF($E2242="",NA(),IF(E$8="",NA(),IF(N(E$8)=0,NA(),IF(Inputs!$C$17="Rebased to 100",$E2242/E$8*100,$E2242)))))</f>
        <v/>
      </c>
      <c r="L2242" s="54">
        <f>IF($B2242=0,NA(),IF($F2242="",NA(),IF(F$8="",NA(),IF(N(F$8)=0,NA(),IF(Inputs!$C$17="Rebased to 100",$F2242/F$8*100,$F2242)))))</f>
        <v/>
      </c>
      <c r="M2242" s="54">
        <f>IF($B2242=0,NA(),IF($G2242="",NA(),IF(G$8="",NA(),IF(N(G$8)=0,NA(),IF(Inputs!$C$17="Rebased to 100",$G2242/G$8*100,$G2242)))))</f>
        <v/>
      </c>
      <c r="N2242" s="54">
        <f>IF($B2242=0,NA(),IF(Inputs!$C$18&lt;&gt;"Yes",NA(),IF(COUNT(I2242,J2242,K2242,L2242,M2242)=0,NA(),MIN(I2242,J2242,K2242,L2242,M2242))))</f>
        <v/>
      </c>
      <c r="O2242" s="54">
        <f>IF($B2242=0,NA(),IF(Inputs!$B$24&lt;&gt;"Yes",NA(),Inputs!$D$24*Inputs!$C$35))</f>
        <v/>
      </c>
      <c r="P2242" s="54">
        <f>IF($B2242=0,NA(),IF(Inputs!$B$25&lt;&gt;"Yes",NA(),Inputs!$D$25*Inputs!$C$35))</f>
        <v/>
      </c>
      <c r="Q2242" s="54">
        <f>IF($B2242=0,NA(),IF(Inputs!$B$26&lt;&gt;"Yes",NA(),Inputs!$D$26*Inputs!$C$35))</f>
        <v/>
      </c>
      <c r="R2242" s="54">
        <f>IF($B2242=0,NA(),IF(Inputs!$B$27&lt;&gt;"Yes",NA(),Inputs!$D$27*Inputs!$C$35))</f>
        <v/>
      </c>
      <c r="S2242" s="54">
        <f>IF($B2242=0,NA(),IF(Inputs!$B$28&lt;&gt;"Yes",NA(),Inputs!$D$28*Inputs!$C$35))</f>
        <v/>
      </c>
      <c r="T2242" s="54">
        <f>IF($B2242=0,NA(),IF(Inputs!$B$29&lt;&gt;"Yes",NA(),Inputs!$D$29*Inputs!$C$35))</f>
        <v/>
      </c>
      <c r="AD2242">
        <f>IF($B2242=0,0,IF(Inputs!$B$6="",0,COUNTIFS(Data!$A$10:$A$3209,"&gt;="&amp;$A2242,Data!$A$10:$A$3209,"&lt;"&amp;$A2242+1)))</f>
        <v/>
      </c>
      <c r="AE2242">
        <f>IF($B2242=0,0,IF(Inputs!$B$7="",0,COUNTIFS(Data!$E$10:$E$3209,"&gt;="&amp;$A2242,Data!$E$10:$E$3209,"&lt;"&amp;$A2242+1)))</f>
        <v/>
      </c>
      <c r="AF2242">
        <f>IF($B2242=0,0,IF(Inputs!$B$8="",0,COUNTIFS(Data!$I$10:$I$3209,"&gt;="&amp;$A2242,Data!$I$10:$I$3209,"&lt;"&amp;$A2242+1)))</f>
        <v/>
      </c>
      <c r="AG2242">
        <f>IF($B2242=0,0,IF(Inputs!$B$9="",0,COUNTIFS(Data!$M$10:$M$3209,"&gt;="&amp;$A2242,Data!$M$10:$M$3209,"&lt;"&amp;$A2242+1)))</f>
        <v/>
      </c>
      <c r="AH2242">
        <f>IF($B2242=0,0,IF(Inputs!$B$10="",0,COUNTIFS(Data!$Q$10:$Q$3209,"&gt;="&amp;$A2242,Data!$Q$10:$Q$3209,"&lt;"&amp;$A2242+1)))</f>
        <v/>
      </c>
    </row>
    <row r="2243">
      <c r="A2243" s="55">
        <f>MIN(Inputs!$C$15,$A2242+IF(WEEKDAY($A2242,2)=5,3,1))</f>
        <v/>
      </c>
      <c r="B2243">
        <f>IF($A2243&gt;$A2242,1,0)</f>
        <v/>
      </c>
      <c r="C2243" s="56">
        <f>IF($B2243=0,"",IF(Inputs!$B$6="","",IF($AD2243=0,C2242,SUMIFS(Data!$B$10:$B$3209,Data!$A$10:$A$3209,"&gt;="&amp;$A2243,Data!$A$10:$A$3209,"&lt;"&amp;$A2243+1)/$AD2243)))</f>
        <v/>
      </c>
      <c r="D2243" s="56">
        <f>IF($B2243=0,"",IF(Inputs!$B$7="","",IF($AE2243=0,D2242,SUMIFS(Data!$F$10:$F$3209,Data!$E$10:$E$3209,"&gt;="&amp;$A2243,Data!$E$10:$E$3209,"&lt;"&amp;$A2243+1)/$AE2243)))</f>
        <v/>
      </c>
      <c r="E2243" s="56">
        <f>IF($B2243=0,"",IF(Inputs!$B$8="","",IF($AF2243=0,E2242,SUMIFS(Data!$J$10:$J$3209,Data!$I$10:$I$3209,"&gt;="&amp;$A2243,Data!$I$10:$I$3209,"&lt;"&amp;$A2243+1)/$AF2243)))</f>
        <v/>
      </c>
      <c r="F2243" s="56">
        <f>IF($B2243=0,"",IF(Inputs!$B$9="","",IF($AG2243=0,F2242,SUMIFS(Data!$N$10:$N$3209,Data!$M$10:$M$3209,"&gt;="&amp;$A2243,Data!$M$10:$M$3209,"&lt;"&amp;$A2243+1)/$AG2243)))</f>
        <v/>
      </c>
      <c r="G2243" s="56">
        <f>IF($B2243=0,"",IF(Inputs!$B$10="","",IF($AH2243=0,G2242,SUMIFS(Data!$R$10:$R$3209,Data!$Q$10:$Q$3209,"&gt;="&amp;$A2243,Data!$Q$10:$Q$3209,"&lt;"&amp;$A2243+1)/$AH2243)))</f>
        <v/>
      </c>
      <c r="I2243" s="54">
        <f>IF($B2243=0,NA(),IF($C2243="",NA(),IF(C$8="",NA(),IF(N(C$8)=0,NA(),IF(Inputs!$C$17="Rebased to 100",$C2243/C$8*100,$C2243)))))</f>
        <v/>
      </c>
      <c r="J2243" s="54">
        <f>IF($B2243=0,NA(),IF($D2243="",NA(),IF(D$8="",NA(),IF(N(D$8)=0,NA(),IF(Inputs!$C$17="Rebased to 100",$D2243/D$8*100,$D2243)))))</f>
        <v/>
      </c>
      <c r="K2243" s="54">
        <f>IF($B2243=0,NA(),IF($E2243="",NA(),IF(E$8="",NA(),IF(N(E$8)=0,NA(),IF(Inputs!$C$17="Rebased to 100",$E2243/E$8*100,$E2243)))))</f>
        <v/>
      </c>
      <c r="L2243" s="54">
        <f>IF($B2243=0,NA(),IF($F2243="",NA(),IF(F$8="",NA(),IF(N(F$8)=0,NA(),IF(Inputs!$C$17="Rebased to 100",$F2243/F$8*100,$F2243)))))</f>
        <v/>
      </c>
      <c r="M2243" s="54">
        <f>IF($B2243=0,NA(),IF($G2243="",NA(),IF(G$8="",NA(),IF(N(G$8)=0,NA(),IF(Inputs!$C$17="Rebased to 100",$G2243/G$8*100,$G2243)))))</f>
        <v/>
      </c>
      <c r="N2243" s="54">
        <f>IF($B2243=0,NA(),IF(Inputs!$C$18&lt;&gt;"Yes",NA(),IF(COUNT(I2243,J2243,K2243,L2243,M2243)=0,NA(),MIN(I2243,J2243,K2243,L2243,M2243))))</f>
        <v/>
      </c>
      <c r="O2243" s="54">
        <f>IF($B2243=0,NA(),IF(Inputs!$B$24&lt;&gt;"Yes",NA(),Inputs!$D$24*Inputs!$C$35))</f>
        <v/>
      </c>
      <c r="P2243" s="54">
        <f>IF($B2243=0,NA(),IF(Inputs!$B$25&lt;&gt;"Yes",NA(),Inputs!$D$25*Inputs!$C$35))</f>
        <v/>
      </c>
      <c r="Q2243" s="54">
        <f>IF($B2243=0,NA(),IF(Inputs!$B$26&lt;&gt;"Yes",NA(),Inputs!$D$26*Inputs!$C$35))</f>
        <v/>
      </c>
      <c r="R2243" s="54">
        <f>IF($B2243=0,NA(),IF(Inputs!$B$27&lt;&gt;"Yes",NA(),Inputs!$D$27*Inputs!$C$35))</f>
        <v/>
      </c>
      <c r="S2243" s="54">
        <f>IF($B2243=0,NA(),IF(Inputs!$B$28&lt;&gt;"Yes",NA(),Inputs!$D$28*Inputs!$C$35))</f>
        <v/>
      </c>
      <c r="T2243" s="54">
        <f>IF($B2243=0,NA(),IF(Inputs!$B$29&lt;&gt;"Yes",NA(),Inputs!$D$29*Inputs!$C$35))</f>
        <v/>
      </c>
      <c r="AD2243">
        <f>IF($B2243=0,0,IF(Inputs!$B$6="",0,COUNTIFS(Data!$A$10:$A$3209,"&gt;="&amp;$A2243,Data!$A$10:$A$3209,"&lt;"&amp;$A2243+1)))</f>
        <v/>
      </c>
      <c r="AE2243">
        <f>IF($B2243=0,0,IF(Inputs!$B$7="",0,COUNTIFS(Data!$E$10:$E$3209,"&gt;="&amp;$A2243,Data!$E$10:$E$3209,"&lt;"&amp;$A2243+1)))</f>
        <v/>
      </c>
      <c r="AF2243">
        <f>IF($B2243=0,0,IF(Inputs!$B$8="",0,COUNTIFS(Data!$I$10:$I$3209,"&gt;="&amp;$A2243,Data!$I$10:$I$3209,"&lt;"&amp;$A2243+1)))</f>
        <v/>
      </c>
      <c r="AG2243">
        <f>IF($B2243=0,0,IF(Inputs!$B$9="",0,COUNTIFS(Data!$M$10:$M$3209,"&gt;="&amp;$A2243,Data!$M$10:$M$3209,"&lt;"&amp;$A2243+1)))</f>
        <v/>
      </c>
      <c r="AH2243">
        <f>IF($B2243=0,0,IF(Inputs!$B$10="",0,COUNTIFS(Data!$Q$10:$Q$3209,"&gt;="&amp;$A2243,Data!$Q$10:$Q$3209,"&lt;"&amp;$A2243+1)))</f>
        <v/>
      </c>
    </row>
    <row r="2244">
      <c r="A2244" s="55">
        <f>MIN(Inputs!$C$15,$A2243+IF(WEEKDAY($A2243,2)=5,3,1))</f>
        <v/>
      </c>
      <c r="B2244">
        <f>IF($A2244&gt;$A2243,1,0)</f>
        <v/>
      </c>
      <c r="C2244" s="56">
        <f>IF($B2244=0,"",IF(Inputs!$B$6="","",IF($AD2244=0,C2243,SUMIFS(Data!$B$10:$B$3209,Data!$A$10:$A$3209,"&gt;="&amp;$A2244,Data!$A$10:$A$3209,"&lt;"&amp;$A2244+1)/$AD2244)))</f>
        <v/>
      </c>
      <c r="D2244" s="56">
        <f>IF($B2244=0,"",IF(Inputs!$B$7="","",IF($AE2244=0,D2243,SUMIFS(Data!$F$10:$F$3209,Data!$E$10:$E$3209,"&gt;="&amp;$A2244,Data!$E$10:$E$3209,"&lt;"&amp;$A2244+1)/$AE2244)))</f>
        <v/>
      </c>
      <c r="E2244" s="56">
        <f>IF($B2244=0,"",IF(Inputs!$B$8="","",IF($AF2244=0,E2243,SUMIFS(Data!$J$10:$J$3209,Data!$I$10:$I$3209,"&gt;="&amp;$A2244,Data!$I$10:$I$3209,"&lt;"&amp;$A2244+1)/$AF2244)))</f>
        <v/>
      </c>
      <c r="F2244" s="56">
        <f>IF($B2244=0,"",IF(Inputs!$B$9="","",IF($AG2244=0,F2243,SUMIFS(Data!$N$10:$N$3209,Data!$M$10:$M$3209,"&gt;="&amp;$A2244,Data!$M$10:$M$3209,"&lt;"&amp;$A2244+1)/$AG2244)))</f>
        <v/>
      </c>
      <c r="G2244" s="56">
        <f>IF($B2244=0,"",IF(Inputs!$B$10="","",IF($AH2244=0,G2243,SUMIFS(Data!$R$10:$R$3209,Data!$Q$10:$Q$3209,"&gt;="&amp;$A2244,Data!$Q$10:$Q$3209,"&lt;"&amp;$A2244+1)/$AH2244)))</f>
        <v/>
      </c>
      <c r="I2244" s="54">
        <f>IF($B2244=0,NA(),IF($C2244="",NA(),IF(C$8="",NA(),IF(N(C$8)=0,NA(),IF(Inputs!$C$17="Rebased to 100",$C2244/C$8*100,$C2244)))))</f>
        <v/>
      </c>
      <c r="J2244" s="54">
        <f>IF($B2244=0,NA(),IF($D2244="",NA(),IF(D$8="",NA(),IF(N(D$8)=0,NA(),IF(Inputs!$C$17="Rebased to 100",$D2244/D$8*100,$D2244)))))</f>
        <v/>
      </c>
      <c r="K2244" s="54">
        <f>IF($B2244=0,NA(),IF($E2244="",NA(),IF(E$8="",NA(),IF(N(E$8)=0,NA(),IF(Inputs!$C$17="Rebased to 100",$E2244/E$8*100,$E2244)))))</f>
        <v/>
      </c>
      <c r="L2244" s="54">
        <f>IF($B2244=0,NA(),IF($F2244="",NA(),IF(F$8="",NA(),IF(N(F$8)=0,NA(),IF(Inputs!$C$17="Rebased to 100",$F2244/F$8*100,$F2244)))))</f>
        <v/>
      </c>
      <c r="M2244" s="54">
        <f>IF($B2244=0,NA(),IF($G2244="",NA(),IF(G$8="",NA(),IF(N(G$8)=0,NA(),IF(Inputs!$C$17="Rebased to 100",$G2244/G$8*100,$G2244)))))</f>
        <v/>
      </c>
      <c r="N2244" s="54">
        <f>IF($B2244=0,NA(),IF(Inputs!$C$18&lt;&gt;"Yes",NA(),IF(COUNT(I2244,J2244,K2244,L2244,M2244)=0,NA(),MIN(I2244,J2244,K2244,L2244,M2244))))</f>
        <v/>
      </c>
      <c r="O2244" s="54">
        <f>IF($B2244=0,NA(),IF(Inputs!$B$24&lt;&gt;"Yes",NA(),Inputs!$D$24*Inputs!$C$35))</f>
        <v/>
      </c>
      <c r="P2244" s="54">
        <f>IF($B2244=0,NA(),IF(Inputs!$B$25&lt;&gt;"Yes",NA(),Inputs!$D$25*Inputs!$C$35))</f>
        <v/>
      </c>
      <c r="Q2244" s="54">
        <f>IF($B2244=0,NA(),IF(Inputs!$B$26&lt;&gt;"Yes",NA(),Inputs!$D$26*Inputs!$C$35))</f>
        <v/>
      </c>
      <c r="R2244" s="54">
        <f>IF($B2244=0,NA(),IF(Inputs!$B$27&lt;&gt;"Yes",NA(),Inputs!$D$27*Inputs!$C$35))</f>
        <v/>
      </c>
      <c r="S2244" s="54">
        <f>IF($B2244=0,NA(),IF(Inputs!$B$28&lt;&gt;"Yes",NA(),Inputs!$D$28*Inputs!$C$35))</f>
        <v/>
      </c>
      <c r="T2244" s="54">
        <f>IF($B2244=0,NA(),IF(Inputs!$B$29&lt;&gt;"Yes",NA(),Inputs!$D$29*Inputs!$C$35))</f>
        <v/>
      </c>
      <c r="AD2244">
        <f>IF($B2244=0,0,IF(Inputs!$B$6="",0,COUNTIFS(Data!$A$10:$A$3209,"&gt;="&amp;$A2244,Data!$A$10:$A$3209,"&lt;"&amp;$A2244+1)))</f>
        <v/>
      </c>
      <c r="AE2244">
        <f>IF($B2244=0,0,IF(Inputs!$B$7="",0,COUNTIFS(Data!$E$10:$E$3209,"&gt;="&amp;$A2244,Data!$E$10:$E$3209,"&lt;"&amp;$A2244+1)))</f>
        <v/>
      </c>
      <c r="AF2244">
        <f>IF($B2244=0,0,IF(Inputs!$B$8="",0,COUNTIFS(Data!$I$10:$I$3209,"&gt;="&amp;$A2244,Data!$I$10:$I$3209,"&lt;"&amp;$A2244+1)))</f>
        <v/>
      </c>
      <c r="AG2244">
        <f>IF($B2244=0,0,IF(Inputs!$B$9="",0,COUNTIFS(Data!$M$10:$M$3209,"&gt;="&amp;$A2244,Data!$M$10:$M$3209,"&lt;"&amp;$A2244+1)))</f>
        <v/>
      </c>
      <c r="AH2244">
        <f>IF($B2244=0,0,IF(Inputs!$B$10="",0,COUNTIFS(Data!$Q$10:$Q$3209,"&gt;="&amp;$A2244,Data!$Q$10:$Q$3209,"&lt;"&amp;$A2244+1)))</f>
        <v/>
      </c>
    </row>
    <row r="2245">
      <c r="A2245" s="55">
        <f>MIN(Inputs!$C$15,$A2244+IF(WEEKDAY($A2244,2)=5,3,1))</f>
        <v/>
      </c>
      <c r="B2245">
        <f>IF($A2245&gt;$A2244,1,0)</f>
        <v/>
      </c>
      <c r="C2245" s="56">
        <f>IF($B2245=0,"",IF(Inputs!$B$6="","",IF($AD2245=0,C2244,SUMIFS(Data!$B$10:$B$3209,Data!$A$10:$A$3209,"&gt;="&amp;$A2245,Data!$A$10:$A$3209,"&lt;"&amp;$A2245+1)/$AD2245)))</f>
        <v/>
      </c>
      <c r="D2245" s="56">
        <f>IF($B2245=0,"",IF(Inputs!$B$7="","",IF($AE2245=0,D2244,SUMIFS(Data!$F$10:$F$3209,Data!$E$10:$E$3209,"&gt;="&amp;$A2245,Data!$E$10:$E$3209,"&lt;"&amp;$A2245+1)/$AE2245)))</f>
        <v/>
      </c>
      <c r="E2245" s="56">
        <f>IF($B2245=0,"",IF(Inputs!$B$8="","",IF($AF2245=0,E2244,SUMIFS(Data!$J$10:$J$3209,Data!$I$10:$I$3209,"&gt;="&amp;$A2245,Data!$I$10:$I$3209,"&lt;"&amp;$A2245+1)/$AF2245)))</f>
        <v/>
      </c>
      <c r="F2245" s="56">
        <f>IF($B2245=0,"",IF(Inputs!$B$9="","",IF($AG2245=0,F2244,SUMIFS(Data!$N$10:$N$3209,Data!$M$10:$M$3209,"&gt;="&amp;$A2245,Data!$M$10:$M$3209,"&lt;"&amp;$A2245+1)/$AG2245)))</f>
        <v/>
      </c>
      <c r="G2245" s="56">
        <f>IF($B2245=0,"",IF(Inputs!$B$10="","",IF($AH2245=0,G2244,SUMIFS(Data!$R$10:$R$3209,Data!$Q$10:$Q$3209,"&gt;="&amp;$A2245,Data!$Q$10:$Q$3209,"&lt;"&amp;$A2245+1)/$AH2245)))</f>
        <v/>
      </c>
      <c r="I2245" s="54">
        <f>IF($B2245=0,NA(),IF($C2245="",NA(),IF(C$8="",NA(),IF(N(C$8)=0,NA(),IF(Inputs!$C$17="Rebased to 100",$C2245/C$8*100,$C2245)))))</f>
        <v/>
      </c>
      <c r="J2245" s="54">
        <f>IF($B2245=0,NA(),IF($D2245="",NA(),IF(D$8="",NA(),IF(N(D$8)=0,NA(),IF(Inputs!$C$17="Rebased to 100",$D2245/D$8*100,$D2245)))))</f>
        <v/>
      </c>
      <c r="K2245" s="54">
        <f>IF($B2245=0,NA(),IF($E2245="",NA(),IF(E$8="",NA(),IF(N(E$8)=0,NA(),IF(Inputs!$C$17="Rebased to 100",$E2245/E$8*100,$E2245)))))</f>
        <v/>
      </c>
      <c r="L2245" s="54">
        <f>IF($B2245=0,NA(),IF($F2245="",NA(),IF(F$8="",NA(),IF(N(F$8)=0,NA(),IF(Inputs!$C$17="Rebased to 100",$F2245/F$8*100,$F2245)))))</f>
        <v/>
      </c>
      <c r="M2245" s="54">
        <f>IF($B2245=0,NA(),IF($G2245="",NA(),IF(G$8="",NA(),IF(N(G$8)=0,NA(),IF(Inputs!$C$17="Rebased to 100",$G2245/G$8*100,$G2245)))))</f>
        <v/>
      </c>
      <c r="N2245" s="54">
        <f>IF($B2245=0,NA(),IF(Inputs!$C$18&lt;&gt;"Yes",NA(),IF(COUNT(I2245,J2245,K2245,L2245,M2245)=0,NA(),MIN(I2245,J2245,K2245,L2245,M2245))))</f>
        <v/>
      </c>
      <c r="O2245" s="54">
        <f>IF($B2245=0,NA(),IF(Inputs!$B$24&lt;&gt;"Yes",NA(),Inputs!$D$24*Inputs!$C$35))</f>
        <v/>
      </c>
      <c r="P2245" s="54">
        <f>IF($B2245=0,NA(),IF(Inputs!$B$25&lt;&gt;"Yes",NA(),Inputs!$D$25*Inputs!$C$35))</f>
        <v/>
      </c>
      <c r="Q2245" s="54">
        <f>IF($B2245=0,NA(),IF(Inputs!$B$26&lt;&gt;"Yes",NA(),Inputs!$D$26*Inputs!$C$35))</f>
        <v/>
      </c>
      <c r="R2245" s="54">
        <f>IF($B2245=0,NA(),IF(Inputs!$B$27&lt;&gt;"Yes",NA(),Inputs!$D$27*Inputs!$C$35))</f>
        <v/>
      </c>
      <c r="S2245" s="54">
        <f>IF($B2245=0,NA(),IF(Inputs!$B$28&lt;&gt;"Yes",NA(),Inputs!$D$28*Inputs!$C$35))</f>
        <v/>
      </c>
      <c r="T2245" s="54">
        <f>IF($B2245=0,NA(),IF(Inputs!$B$29&lt;&gt;"Yes",NA(),Inputs!$D$29*Inputs!$C$35))</f>
        <v/>
      </c>
      <c r="AD2245">
        <f>IF($B2245=0,0,IF(Inputs!$B$6="",0,COUNTIFS(Data!$A$10:$A$3209,"&gt;="&amp;$A2245,Data!$A$10:$A$3209,"&lt;"&amp;$A2245+1)))</f>
        <v/>
      </c>
      <c r="AE2245">
        <f>IF($B2245=0,0,IF(Inputs!$B$7="",0,COUNTIFS(Data!$E$10:$E$3209,"&gt;="&amp;$A2245,Data!$E$10:$E$3209,"&lt;"&amp;$A2245+1)))</f>
        <v/>
      </c>
      <c r="AF2245">
        <f>IF($B2245=0,0,IF(Inputs!$B$8="",0,COUNTIFS(Data!$I$10:$I$3209,"&gt;="&amp;$A2245,Data!$I$10:$I$3209,"&lt;"&amp;$A2245+1)))</f>
        <v/>
      </c>
      <c r="AG2245">
        <f>IF($B2245=0,0,IF(Inputs!$B$9="",0,COUNTIFS(Data!$M$10:$M$3209,"&gt;="&amp;$A2245,Data!$M$10:$M$3209,"&lt;"&amp;$A2245+1)))</f>
        <v/>
      </c>
      <c r="AH2245">
        <f>IF($B2245=0,0,IF(Inputs!$B$10="",0,COUNTIFS(Data!$Q$10:$Q$3209,"&gt;="&amp;$A2245,Data!$Q$10:$Q$3209,"&lt;"&amp;$A2245+1)))</f>
        <v/>
      </c>
    </row>
    <row r="2246">
      <c r="A2246" s="55">
        <f>MIN(Inputs!$C$15,$A2245+IF(WEEKDAY($A2245,2)=5,3,1))</f>
        <v/>
      </c>
      <c r="B2246">
        <f>IF($A2246&gt;$A2245,1,0)</f>
        <v/>
      </c>
      <c r="C2246" s="56">
        <f>IF($B2246=0,"",IF(Inputs!$B$6="","",IF($AD2246=0,C2245,SUMIFS(Data!$B$10:$B$3209,Data!$A$10:$A$3209,"&gt;="&amp;$A2246,Data!$A$10:$A$3209,"&lt;"&amp;$A2246+1)/$AD2246)))</f>
        <v/>
      </c>
      <c r="D2246" s="56">
        <f>IF($B2246=0,"",IF(Inputs!$B$7="","",IF($AE2246=0,D2245,SUMIFS(Data!$F$10:$F$3209,Data!$E$10:$E$3209,"&gt;="&amp;$A2246,Data!$E$10:$E$3209,"&lt;"&amp;$A2246+1)/$AE2246)))</f>
        <v/>
      </c>
      <c r="E2246" s="56">
        <f>IF($B2246=0,"",IF(Inputs!$B$8="","",IF($AF2246=0,E2245,SUMIFS(Data!$J$10:$J$3209,Data!$I$10:$I$3209,"&gt;="&amp;$A2246,Data!$I$10:$I$3209,"&lt;"&amp;$A2246+1)/$AF2246)))</f>
        <v/>
      </c>
      <c r="F2246" s="56">
        <f>IF($B2246=0,"",IF(Inputs!$B$9="","",IF($AG2246=0,F2245,SUMIFS(Data!$N$10:$N$3209,Data!$M$10:$M$3209,"&gt;="&amp;$A2246,Data!$M$10:$M$3209,"&lt;"&amp;$A2246+1)/$AG2246)))</f>
        <v/>
      </c>
      <c r="G2246" s="56">
        <f>IF($B2246=0,"",IF(Inputs!$B$10="","",IF($AH2246=0,G2245,SUMIFS(Data!$R$10:$R$3209,Data!$Q$10:$Q$3209,"&gt;="&amp;$A2246,Data!$Q$10:$Q$3209,"&lt;"&amp;$A2246+1)/$AH2246)))</f>
        <v/>
      </c>
      <c r="I2246" s="54">
        <f>IF($B2246=0,NA(),IF($C2246="",NA(),IF(C$8="",NA(),IF(N(C$8)=0,NA(),IF(Inputs!$C$17="Rebased to 100",$C2246/C$8*100,$C2246)))))</f>
        <v/>
      </c>
      <c r="J2246" s="54">
        <f>IF($B2246=0,NA(),IF($D2246="",NA(),IF(D$8="",NA(),IF(N(D$8)=0,NA(),IF(Inputs!$C$17="Rebased to 100",$D2246/D$8*100,$D2246)))))</f>
        <v/>
      </c>
      <c r="K2246" s="54">
        <f>IF($B2246=0,NA(),IF($E2246="",NA(),IF(E$8="",NA(),IF(N(E$8)=0,NA(),IF(Inputs!$C$17="Rebased to 100",$E2246/E$8*100,$E2246)))))</f>
        <v/>
      </c>
      <c r="L2246" s="54">
        <f>IF($B2246=0,NA(),IF($F2246="",NA(),IF(F$8="",NA(),IF(N(F$8)=0,NA(),IF(Inputs!$C$17="Rebased to 100",$F2246/F$8*100,$F2246)))))</f>
        <v/>
      </c>
      <c r="M2246" s="54">
        <f>IF($B2246=0,NA(),IF($G2246="",NA(),IF(G$8="",NA(),IF(N(G$8)=0,NA(),IF(Inputs!$C$17="Rebased to 100",$G2246/G$8*100,$G2246)))))</f>
        <v/>
      </c>
      <c r="N2246" s="54">
        <f>IF($B2246=0,NA(),IF(Inputs!$C$18&lt;&gt;"Yes",NA(),IF(COUNT(I2246,J2246,K2246,L2246,M2246)=0,NA(),MIN(I2246,J2246,K2246,L2246,M2246))))</f>
        <v/>
      </c>
      <c r="O2246" s="54">
        <f>IF($B2246=0,NA(),IF(Inputs!$B$24&lt;&gt;"Yes",NA(),Inputs!$D$24*Inputs!$C$35))</f>
        <v/>
      </c>
      <c r="P2246" s="54">
        <f>IF($B2246=0,NA(),IF(Inputs!$B$25&lt;&gt;"Yes",NA(),Inputs!$D$25*Inputs!$C$35))</f>
        <v/>
      </c>
      <c r="Q2246" s="54">
        <f>IF($B2246=0,NA(),IF(Inputs!$B$26&lt;&gt;"Yes",NA(),Inputs!$D$26*Inputs!$C$35))</f>
        <v/>
      </c>
      <c r="R2246" s="54">
        <f>IF($B2246=0,NA(),IF(Inputs!$B$27&lt;&gt;"Yes",NA(),Inputs!$D$27*Inputs!$C$35))</f>
        <v/>
      </c>
      <c r="S2246" s="54">
        <f>IF($B2246=0,NA(),IF(Inputs!$B$28&lt;&gt;"Yes",NA(),Inputs!$D$28*Inputs!$C$35))</f>
        <v/>
      </c>
      <c r="T2246" s="54">
        <f>IF($B2246=0,NA(),IF(Inputs!$B$29&lt;&gt;"Yes",NA(),Inputs!$D$29*Inputs!$C$35))</f>
        <v/>
      </c>
      <c r="AD2246">
        <f>IF($B2246=0,0,IF(Inputs!$B$6="",0,COUNTIFS(Data!$A$10:$A$3209,"&gt;="&amp;$A2246,Data!$A$10:$A$3209,"&lt;"&amp;$A2246+1)))</f>
        <v/>
      </c>
      <c r="AE2246">
        <f>IF($B2246=0,0,IF(Inputs!$B$7="",0,COUNTIFS(Data!$E$10:$E$3209,"&gt;="&amp;$A2246,Data!$E$10:$E$3209,"&lt;"&amp;$A2246+1)))</f>
        <v/>
      </c>
      <c r="AF2246">
        <f>IF($B2246=0,0,IF(Inputs!$B$8="",0,COUNTIFS(Data!$I$10:$I$3209,"&gt;="&amp;$A2246,Data!$I$10:$I$3209,"&lt;"&amp;$A2246+1)))</f>
        <v/>
      </c>
      <c r="AG2246">
        <f>IF($B2246=0,0,IF(Inputs!$B$9="",0,COUNTIFS(Data!$M$10:$M$3209,"&gt;="&amp;$A2246,Data!$M$10:$M$3209,"&lt;"&amp;$A2246+1)))</f>
        <v/>
      </c>
      <c r="AH2246">
        <f>IF($B2246=0,0,IF(Inputs!$B$10="",0,COUNTIFS(Data!$Q$10:$Q$3209,"&gt;="&amp;$A2246,Data!$Q$10:$Q$3209,"&lt;"&amp;$A2246+1)))</f>
        <v/>
      </c>
    </row>
    <row r="2247">
      <c r="A2247" s="55">
        <f>MIN(Inputs!$C$15,$A2246+IF(WEEKDAY($A2246,2)=5,3,1))</f>
        <v/>
      </c>
      <c r="B2247">
        <f>IF($A2247&gt;$A2246,1,0)</f>
        <v/>
      </c>
      <c r="C2247" s="56">
        <f>IF($B2247=0,"",IF(Inputs!$B$6="","",IF($AD2247=0,C2246,SUMIFS(Data!$B$10:$B$3209,Data!$A$10:$A$3209,"&gt;="&amp;$A2247,Data!$A$10:$A$3209,"&lt;"&amp;$A2247+1)/$AD2247)))</f>
        <v/>
      </c>
      <c r="D2247" s="56">
        <f>IF($B2247=0,"",IF(Inputs!$B$7="","",IF($AE2247=0,D2246,SUMIFS(Data!$F$10:$F$3209,Data!$E$10:$E$3209,"&gt;="&amp;$A2247,Data!$E$10:$E$3209,"&lt;"&amp;$A2247+1)/$AE2247)))</f>
        <v/>
      </c>
      <c r="E2247" s="56">
        <f>IF($B2247=0,"",IF(Inputs!$B$8="","",IF($AF2247=0,E2246,SUMIFS(Data!$J$10:$J$3209,Data!$I$10:$I$3209,"&gt;="&amp;$A2247,Data!$I$10:$I$3209,"&lt;"&amp;$A2247+1)/$AF2247)))</f>
        <v/>
      </c>
      <c r="F2247" s="56">
        <f>IF($B2247=0,"",IF(Inputs!$B$9="","",IF($AG2247=0,F2246,SUMIFS(Data!$N$10:$N$3209,Data!$M$10:$M$3209,"&gt;="&amp;$A2247,Data!$M$10:$M$3209,"&lt;"&amp;$A2247+1)/$AG2247)))</f>
        <v/>
      </c>
      <c r="G2247" s="56">
        <f>IF($B2247=0,"",IF(Inputs!$B$10="","",IF($AH2247=0,G2246,SUMIFS(Data!$R$10:$R$3209,Data!$Q$10:$Q$3209,"&gt;="&amp;$A2247,Data!$Q$10:$Q$3209,"&lt;"&amp;$A2247+1)/$AH2247)))</f>
        <v/>
      </c>
      <c r="I2247" s="54">
        <f>IF($B2247=0,NA(),IF($C2247="",NA(),IF(C$8="",NA(),IF(N(C$8)=0,NA(),IF(Inputs!$C$17="Rebased to 100",$C2247/C$8*100,$C2247)))))</f>
        <v/>
      </c>
      <c r="J2247" s="54">
        <f>IF($B2247=0,NA(),IF($D2247="",NA(),IF(D$8="",NA(),IF(N(D$8)=0,NA(),IF(Inputs!$C$17="Rebased to 100",$D2247/D$8*100,$D2247)))))</f>
        <v/>
      </c>
      <c r="K2247" s="54">
        <f>IF($B2247=0,NA(),IF($E2247="",NA(),IF(E$8="",NA(),IF(N(E$8)=0,NA(),IF(Inputs!$C$17="Rebased to 100",$E2247/E$8*100,$E2247)))))</f>
        <v/>
      </c>
      <c r="L2247" s="54">
        <f>IF($B2247=0,NA(),IF($F2247="",NA(),IF(F$8="",NA(),IF(N(F$8)=0,NA(),IF(Inputs!$C$17="Rebased to 100",$F2247/F$8*100,$F2247)))))</f>
        <v/>
      </c>
      <c r="M2247" s="54">
        <f>IF($B2247=0,NA(),IF($G2247="",NA(),IF(G$8="",NA(),IF(N(G$8)=0,NA(),IF(Inputs!$C$17="Rebased to 100",$G2247/G$8*100,$G2247)))))</f>
        <v/>
      </c>
      <c r="N2247" s="54">
        <f>IF($B2247=0,NA(),IF(Inputs!$C$18&lt;&gt;"Yes",NA(),IF(COUNT(I2247,J2247,K2247,L2247,M2247)=0,NA(),MIN(I2247,J2247,K2247,L2247,M2247))))</f>
        <v/>
      </c>
      <c r="O2247" s="54">
        <f>IF($B2247=0,NA(),IF(Inputs!$B$24&lt;&gt;"Yes",NA(),Inputs!$D$24*Inputs!$C$35))</f>
        <v/>
      </c>
      <c r="P2247" s="54">
        <f>IF($B2247=0,NA(),IF(Inputs!$B$25&lt;&gt;"Yes",NA(),Inputs!$D$25*Inputs!$C$35))</f>
        <v/>
      </c>
      <c r="Q2247" s="54">
        <f>IF($B2247=0,NA(),IF(Inputs!$B$26&lt;&gt;"Yes",NA(),Inputs!$D$26*Inputs!$C$35))</f>
        <v/>
      </c>
      <c r="R2247" s="54">
        <f>IF($B2247=0,NA(),IF(Inputs!$B$27&lt;&gt;"Yes",NA(),Inputs!$D$27*Inputs!$C$35))</f>
        <v/>
      </c>
      <c r="S2247" s="54">
        <f>IF($B2247=0,NA(),IF(Inputs!$B$28&lt;&gt;"Yes",NA(),Inputs!$D$28*Inputs!$C$35))</f>
        <v/>
      </c>
      <c r="T2247" s="54">
        <f>IF($B2247=0,NA(),IF(Inputs!$B$29&lt;&gt;"Yes",NA(),Inputs!$D$29*Inputs!$C$35))</f>
        <v/>
      </c>
      <c r="AD2247">
        <f>IF($B2247=0,0,IF(Inputs!$B$6="",0,COUNTIFS(Data!$A$10:$A$3209,"&gt;="&amp;$A2247,Data!$A$10:$A$3209,"&lt;"&amp;$A2247+1)))</f>
        <v/>
      </c>
      <c r="AE2247">
        <f>IF($B2247=0,0,IF(Inputs!$B$7="",0,COUNTIFS(Data!$E$10:$E$3209,"&gt;="&amp;$A2247,Data!$E$10:$E$3209,"&lt;"&amp;$A2247+1)))</f>
        <v/>
      </c>
      <c r="AF2247">
        <f>IF($B2247=0,0,IF(Inputs!$B$8="",0,COUNTIFS(Data!$I$10:$I$3209,"&gt;="&amp;$A2247,Data!$I$10:$I$3209,"&lt;"&amp;$A2247+1)))</f>
        <v/>
      </c>
      <c r="AG2247">
        <f>IF($B2247=0,0,IF(Inputs!$B$9="",0,COUNTIFS(Data!$M$10:$M$3209,"&gt;="&amp;$A2247,Data!$M$10:$M$3209,"&lt;"&amp;$A2247+1)))</f>
        <v/>
      </c>
      <c r="AH2247">
        <f>IF($B2247=0,0,IF(Inputs!$B$10="",0,COUNTIFS(Data!$Q$10:$Q$3209,"&gt;="&amp;$A2247,Data!$Q$10:$Q$3209,"&lt;"&amp;$A2247+1)))</f>
        <v/>
      </c>
    </row>
    <row r="2248">
      <c r="A2248" s="55">
        <f>MIN(Inputs!$C$15,$A2247+IF(WEEKDAY($A2247,2)=5,3,1))</f>
        <v/>
      </c>
      <c r="B2248">
        <f>IF($A2248&gt;$A2247,1,0)</f>
        <v/>
      </c>
      <c r="C2248" s="56">
        <f>IF($B2248=0,"",IF(Inputs!$B$6="","",IF($AD2248=0,C2247,SUMIFS(Data!$B$10:$B$3209,Data!$A$10:$A$3209,"&gt;="&amp;$A2248,Data!$A$10:$A$3209,"&lt;"&amp;$A2248+1)/$AD2248)))</f>
        <v/>
      </c>
      <c r="D2248" s="56">
        <f>IF($B2248=0,"",IF(Inputs!$B$7="","",IF($AE2248=0,D2247,SUMIFS(Data!$F$10:$F$3209,Data!$E$10:$E$3209,"&gt;="&amp;$A2248,Data!$E$10:$E$3209,"&lt;"&amp;$A2248+1)/$AE2248)))</f>
        <v/>
      </c>
      <c r="E2248" s="56">
        <f>IF($B2248=0,"",IF(Inputs!$B$8="","",IF($AF2248=0,E2247,SUMIFS(Data!$J$10:$J$3209,Data!$I$10:$I$3209,"&gt;="&amp;$A2248,Data!$I$10:$I$3209,"&lt;"&amp;$A2248+1)/$AF2248)))</f>
        <v/>
      </c>
      <c r="F2248" s="56">
        <f>IF($B2248=0,"",IF(Inputs!$B$9="","",IF($AG2248=0,F2247,SUMIFS(Data!$N$10:$N$3209,Data!$M$10:$M$3209,"&gt;="&amp;$A2248,Data!$M$10:$M$3209,"&lt;"&amp;$A2248+1)/$AG2248)))</f>
        <v/>
      </c>
      <c r="G2248" s="56">
        <f>IF($B2248=0,"",IF(Inputs!$B$10="","",IF($AH2248=0,G2247,SUMIFS(Data!$R$10:$R$3209,Data!$Q$10:$Q$3209,"&gt;="&amp;$A2248,Data!$Q$10:$Q$3209,"&lt;"&amp;$A2248+1)/$AH2248)))</f>
        <v/>
      </c>
      <c r="I2248" s="54">
        <f>IF($B2248=0,NA(),IF($C2248="",NA(),IF(C$8="",NA(),IF(N(C$8)=0,NA(),IF(Inputs!$C$17="Rebased to 100",$C2248/C$8*100,$C2248)))))</f>
        <v/>
      </c>
      <c r="J2248" s="54">
        <f>IF($B2248=0,NA(),IF($D2248="",NA(),IF(D$8="",NA(),IF(N(D$8)=0,NA(),IF(Inputs!$C$17="Rebased to 100",$D2248/D$8*100,$D2248)))))</f>
        <v/>
      </c>
      <c r="K2248" s="54">
        <f>IF($B2248=0,NA(),IF($E2248="",NA(),IF(E$8="",NA(),IF(N(E$8)=0,NA(),IF(Inputs!$C$17="Rebased to 100",$E2248/E$8*100,$E2248)))))</f>
        <v/>
      </c>
      <c r="L2248" s="54">
        <f>IF($B2248=0,NA(),IF($F2248="",NA(),IF(F$8="",NA(),IF(N(F$8)=0,NA(),IF(Inputs!$C$17="Rebased to 100",$F2248/F$8*100,$F2248)))))</f>
        <v/>
      </c>
      <c r="M2248" s="54">
        <f>IF($B2248=0,NA(),IF($G2248="",NA(),IF(G$8="",NA(),IF(N(G$8)=0,NA(),IF(Inputs!$C$17="Rebased to 100",$G2248/G$8*100,$G2248)))))</f>
        <v/>
      </c>
      <c r="N2248" s="54">
        <f>IF($B2248=0,NA(),IF(Inputs!$C$18&lt;&gt;"Yes",NA(),IF(COUNT(I2248,J2248,K2248,L2248,M2248)=0,NA(),MIN(I2248,J2248,K2248,L2248,M2248))))</f>
        <v/>
      </c>
      <c r="O2248" s="54">
        <f>IF($B2248=0,NA(),IF(Inputs!$B$24&lt;&gt;"Yes",NA(),Inputs!$D$24*Inputs!$C$35))</f>
        <v/>
      </c>
      <c r="P2248" s="54">
        <f>IF($B2248=0,NA(),IF(Inputs!$B$25&lt;&gt;"Yes",NA(),Inputs!$D$25*Inputs!$C$35))</f>
        <v/>
      </c>
      <c r="Q2248" s="54">
        <f>IF($B2248=0,NA(),IF(Inputs!$B$26&lt;&gt;"Yes",NA(),Inputs!$D$26*Inputs!$C$35))</f>
        <v/>
      </c>
      <c r="R2248" s="54">
        <f>IF($B2248=0,NA(),IF(Inputs!$B$27&lt;&gt;"Yes",NA(),Inputs!$D$27*Inputs!$C$35))</f>
        <v/>
      </c>
      <c r="S2248" s="54">
        <f>IF($B2248=0,NA(),IF(Inputs!$B$28&lt;&gt;"Yes",NA(),Inputs!$D$28*Inputs!$C$35))</f>
        <v/>
      </c>
      <c r="T2248" s="54">
        <f>IF($B2248=0,NA(),IF(Inputs!$B$29&lt;&gt;"Yes",NA(),Inputs!$D$29*Inputs!$C$35))</f>
        <v/>
      </c>
      <c r="AD2248">
        <f>IF($B2248=0,0,IF(Inputs!$B$6="",0,COUNTIFS(Data!$A$10:$A$3209,"&gt;="&amp;$A2248,Data!$A$10:$A$3209,"&lt;"&amp;$A2248+1)))</f>
        <v/>
      </c>
      <c r="AE2248">
        <f>IF($B2248=0,0,IF(Inputs!$B$7="",0,COUNTIFS(Data!$E$10:$E$3209,"&gt;="&amp;$A2248,Data!$E$10:$E$3209,"&lt;"&amp;$A2248+1)))</f>
        <v/>
      </c>
      <c r="AF2248">
        <f>IF($B2248=0,0,IF(Inputs!$B$8="",0,COUNTIFS(Data!$I$10:$I$3209,"&gt;="&amp;$A2248,Data!$I$10:$I$3209,"&lt;"&amp;$A2248+1)))</f>
        <v/>
      </c>
      <c r="AG2248">
        <f>IF($B2248=0,0,IF(Inputs!$B$9="",0,COUNTIFS(Data!$M$10:$M$3209,"&gt;="&amp;$A2248,Data!$M$10:$M$3209,"&lt;"&amp;$A2248+1)))</f>
        <v/>
      </c>
      <c r="AH2248">
        <f>IF($B2248=0,0,IF(Inputs!$B$10="",0,COUNTIFS(Data!$Q$10:$Q$3209,"&gt;="&amp;$A2248,Data!$Q$10:$Q$3209,"&lt;"&amp;$A2248+1)))</f>
        <v/>
      </c>
    </row>
    <row r="2249">
      <c r="A2249" s="55">
        <f>MIN(Inputs!$C$15,$A2248+IF(WEEKDAY($A2248,2)=5,3,1))</f>
        <v/>
      </c>
      <c r="B2249">
        <f>IF($A2249&gt;$A2248,1,0)</f>
        <v/>
      </c>
      <c r="C2249" s="56">
        <f>IF($B2249=0,"",IF(Inputs!$B$6="","",IF($AD2249=0,C2248,SUMIFS(Data!$B$10:$B$3209,Data!$A$10:$A$3209,"&gt;="&amp;$A2249,Data!$A$10:$A$3209,"&lt;"&amp;$A2249+1)/$AD2249)))</f>
        <v/>
      </c>
      <c r="D2249" s="56">
        <f>IF($B2249=0,"",IF(Inputs!$B$7="","",IF($AE2249=0,D2248,SUMIFS(Data!$F$10:$F$3209,Data!$E$10:$E$3209,"&gt;="&amp;$A2249,Data!$E$10:$E$3209,"&lt;"&amp;$A2249+1)/$AE2249)))</f>
        <v/>
      </c>
      <c r="E2249" s="56">
        <f>IF($B2249=0,"",IF(Inputs!$B$8="","",IF($AF2249=0,E2248,SUMIFS(Data!$J$10:$J$3209,Data!$I$10:$I$3209,"&gt;="&amp;$A2249,Data!$I$10:$I$3209,"&lt;"&amp;$A2249+1)/$AF2249)))</f>
        <v/>
      </c>
      <c r="F2249" s="56">
        <f>IF($B2249=0,"",IF(Inputs!$B$9="","",IF($AG2249=0,F2248,SUMIFS(Data!$N$10:$N$3209,Data!$M$10:$M$3209,"&gt;="&amp;$A2249,Data!$M$10:$M$3209,"&lt;"&amp;$A2249+1)/$AG2249)))</f>
        <v/>
      </c>
      <c r="G2249" s="56">
        <f>IF($B2249=0,"",IF(Inputs!$B$10="","",IF($AH2249=0,G2248,SUMIFS(Data!$R$10:$R$3209,Data!$Q$10:$Q$3209,"&gt;="&amp;$A2249,Data!$Q$10:$Q$3209,"&lt;"&amp;$A2249+1)/$AH2249)))</f>
        <v/>
      </c>
      <c r="I2249" s="54">
        <f>IF($B2249=0,NA(),IF($C2249="",NA(),IF(C$8="",NA(),IF(N(C$8)=0,NA(),IF(Inputs!$C$17="Rebased to 100",$C2249/C$8*100,$C2249)))))</f>
        <v/>
      </c>
      <c r="J2249" s="54">
        <f>IF($B2249=0,NA(),IF($D2249="",NA(),IF(D$8="",NA(),IF(N(D$8)=0,NA(),IF(Inputs!$C$17="Rebased to 100",$D2249/D$8*100,$D2249)))))</f>
        <v/>
      </c>
      <c r="K2249" s="54">
        <f>IF($B2249=0,NA(),IF($E2249="",NA(),IF(E$8="",NA(),IF(N(E$8)=0,NA(),IF(Inputs!$C$17="Rebased to 100",$E2249/E$8*100,$E2249)))))</f>
        <v/>
      </c>
      <c r="L2249" s="54">
        <f>IF($B2249=0,NA(),IF($F2249="",NA(),IF(F$8="",NA(),IF(N(F$8)=0,NA(),IF(Inputs!$C$17="Rebased to 100",$F2249/F$8*100,$F2249)))))</f>
        <v/>
      </c>
      <c r="M2249" s="54">
        <f>IF($B2249=0,NA(),IF($G2249="",NA(),IF(G$8="",NA(),IF(N(G$8)=0,NA(),IF(Inputs!$C$17="Rebased to 100",$G2249/G$8*100,$G2249)))))</f>
        <v/>
      </c>
      <c r="N2249" s="54">
        <f>IF($B2249=0,NA(),IF(Inputs!$C$18&lt;&gt;"Yes",NA(),IF(COUNT(I2249,J2249,K2249,L2249,M2249)=0,NA(),MIN(I2249,J2249,K2249,L2249,M2249))))</f>
        <v/>
      </c>
      <c r="O2249" s="54">
        <f>IF($B2249=0,NA(),IF(Inputs!$B$24&lt;&gt;"Yes",NA(),Inputs!$D$24*Inputs!$C$35))</f>
        <v/>
      </c>
      <c r="P2249" s="54">
        <f>IF($B2249=0,NA(),IF(Inputs!$B$25&lt;&gt;"Yes",NA(),Inputs!$D$25*Inputs!$C$35))</f>
        <v/>
      </c>
      <c r="Q2249" s="54">
        <f>IF($B2249=0,NA(),IF(Inputs!$B$26&lt;&gt;"Yes",NA(),Inputs!$D$26*Inputs!$C$35))</f>
        <v/>
      </c>
      <c r="R2249" s="54">
        <f>IF($B2249=0,NA(),IF(Inputs!$B$27&lt;&gt;"Yes",NA(),Inputs!$D$27*Inputs!$C$35))</f>
        <v/>
      </c>
      <c r="S2249" s="54">
        <f>IF($B2249=0,NA(),IF(Inputs!$B$28&lt;&gt;"Yes",NA(),Inputs!$D$28*Inputs!$C$35))</f>
        <v/>
      </c>
      <c r="T2249" s="54">
        <f>IF($B2249=0,NA(),IF(Inputs!$B$29&lt;&gt;"Yes",NA(),Inputs!$D$29*Inputs!$C$35))</f>
        <v/>
      </c>
      <c r="AD2249">
        <f>IF($B2249=0,0,IF(Inputs!$B$6="",0,COUNTIFS(Data!$A$10:$A$3209,"&gt;="&amp;$A2249,Data!$A$10:$A$3209,"&lt;"&amp;$A2249+1)))</f>
        <v/>
      </c>
      <c r="AE2249">
        <f>IF($B2249=0,0,IF(Inputs!$B$7="",0,COUNTIFS(Data!$E$10:$E$3209,"&gt;="&amp;$A2249,Data!$E$10:$E$3209,"&lt;"&amp;$A2249+1)))</f>
        <v/>
      </c>
      <c r="AF2249">
        <f>IF($B2249=0,0,IF(Inputs!$B$8="",0,COUNTIFS(Data!$I$10:$I$3209,"&gt;="&amp;$A2249,Data!$I$10:$I$3209,"&lt;"&amp;$A2249+1)))</f>
        <v/>
      </c>
      <c r="AG2249">
        <f>IF($B2249=0,0,IF(Inputs!$B$9="",0,COUNTIFS(Data!$M$10:$M$3209,"&gt;="&amp;$A2249,Data!$M$10:$M$3209,"&lt;"&amp;$A2249+1)))</f>
        <v/>
      </c>
      <c r="AH2249">
        <f>IF($B2249=0,0,IF(Inputs!$B$10="",0,COUNTIFS(Data!$Q$10:$Q$3209,"&gt;="&amp;$A2249,Data!$Q$10:$Q$3209,"&lt;"&amp;$A2249+1)))</f>
        <v/>
      </c>
    </row>
    <row r="2250">
      <c r="A2250" s="55">
        <f>MIN(Inputs!$C$15,$A2249+IF(WEEKDAY($A2249,2)=5,3,1))</f>
        <v/>
      </c>
      <c r="B2250">
        <f>IF($A2250&gt;$A2249,1,0)</f>
        <v/>
      </c>
      <c r="C2250" s="56">
        <f>IF($B2250=0,"",IF(Inputs!$B$6="","",IF($AD2250=0,C2249,SUMIFS(Data!$B$10:$B$3209,Data!$A$10:$A$3209,"&gt;="&amp;$A2250,Data!$A$10:$A$3209,"&lt;"&amp;$A2250+1)/$AD2250)))</f>
        <v/>
      </c>
      <c r="D2250" s="56">
        <f>IF($B2250=0,"",IF(Inputs!$B$7="","",IF($AE2250=0,D2249,SUMIFS(Data!$F$10:$F$3209,Data!$E$10:$E$3209,"&gt;="&amp;$A2250,Data!$E$10:$E$3209,"&lt;"&amp;$A2250+1)/$AE2250)))</f>
        <v/>
      </c>
      <c r="E2250" s="56">
        <f>IF($B2250=0,"",IF(Inputs!$B$8="","",IF($AF2250=0,E2249,SUMIFS(Data!$J$10:$J$3209,Data!$I$10:$I$3209,"&gt;="&amp;$A2250,Data!$I$10:$I$3209,"&lt;"&amp;$A2250+1)/$AF2250)))</f>
        <v/>
      </c>
      <c r="F2250" s="56">
        <f>IF($B2250=0,"",IF(Inputs!$B$9="","",IF($AG2250=0,F2249,SUMIFS(Data!$N$10:$N$3209,Data!$M$10:$M$3209,"&gt;="&amp;$A2250,Data!$M$10:$M$3209,"&lt;"&amp;$A2250+1)/$AG2250)))</f>
        <v/>
      </c>
      <c r="G2250" s="56">
        <f>IF($B2250=0,"",IF(Inputs!$B$10="","",IF($AH2250=0,G2249,SUMIFS(Data!$R$10:$R$3209,Data!$Q$10:$Q$3209,"&gt;="&amp;$A2250,Data!$Q$10:$Q$3209,"&lt;"&amp;$A2250+1)/$AH2250)))</f>
        <v/>
      </c>
      <c r="I2250" s="54">
        <f>IF($B2250=0,NA(),IF($C2250="",NA(),IF(C$8="",NA(),IF(N(C$8)=0,NA(),IF(Inputs!$C$17="Rebased to 100",$C2250/C$8*100,$C2250)))))</f>
        <v/>
      </c>
      <c r="J2250" s="54">
        <f>IF($B2250=0,NA(),IF($D2250="",NA(),IF(D$8="",NA(),IF(N(D$8)=0,NA(),IF(Inputs!$C$17="Rebased to 100",$D2250/D$8*100,$D2250)))))</f>
        <v/>
      </c>
      <c r="K2250" s="54">
        <f>IF($B2250=0,NA(),IF($E2250="",NA(),IF(E$8="",NA(),IF(N(E$8)=0,NA(),IF(Inputs!$C$17="Rebased to 100",$E2250/E$8*100,$E2250)))))</f>
        <v/>
      </c>
      <c r="L2250" s="54">
        <f>IF($B2250=0,NA(),IF($F2250="",NA(),IF(F$8="",NA(),IF(N(F$8)=0,NA(),IF(Inputs!$C$17="Rebased to 100",$F2250/F$8*100,$F2250)))))</f>
        <v/>
      </c>
      <c r="M2250" s="54">
        <f>IF($B2250=0,NA(),IF($G2250="",NA(),IF(G$8="",NA(),IF(N(G$8)=0,NA(),IF(Inputs!$C$17="Rebased to 100",$G2250/G$8*100,$G2250)))))</f>
        <v/>
      </c>
      <c r="N2250" s="54">
        <f>IF($B2250=0,NA(),IF(Inputs!$C$18&lt;&gt;"Yes",NA(),IF(COUNT(I2250,J2250,K2250,L2250,M2250)=0,NA(),MIN(I2250,J2250,K2250,L2250,M2250))))</f>
        <v/>
      </c>
      <c r="O2250" s="54">
        <f>IF($B2250=0,NA(),IF(Inputs!$B$24&lt;&gt;"Yes",NA(),Inputs!$D$24*Inputs!$C$35))</f>
        <v/>
      </c>
      <c r="P2250" s="54">
        <f>IF($B2250=0,NA(),IF(Inputs!$B$25&lt;&gt;"Yes",NA(),Inputs!$D$25*Inputs!$C$35))</f>
        <v/>
      </c>
      <c r="Q2250" s="54">
        <f>IF($B2250=0,NA(),IF(Inputs!$B$26&lt;&gt;"Yes",NA(),Inputs!$D$26*Inputs!$C$35))</f>
        <v/>
      </c>
      <c r="R2250" s="54">
        <f>IF($B2250=0,NA(),IF(Inputs!$B$27&lt;&gt;"Yes",NA(),Inputs!$D$27*Inputs!$C$35))</f>
        <v/>
      </c>
      <c r="S2250" s="54">
        <f>IF($B2250=0,NA(),IF(Inputs!$B$28&lt;&gt;"Yes",NA(),Inputs!$D$28*Inputs!$C$35))</f>
        <v/>
      </c>
      <c r="T2250" s="54">
        <f>IF($B2250=0,NA(),IF(Inputs!$B$29&lt;&gt;"Yes",NA(),Inputs!$D$29*Inputs!$C$35))</f>
        <v/>
      </c>
      <c r="AD2250">
        <f>IF($B2250=0,0,IF(Inputs!$B$6="",0,COUNTIFS(Data!$A$10:$A$3209,"&gt;="&amp;$A2250,Data!$A$10:$A$3209,"&lt;"&amp;$A2250+1)))</f>
        <v/>
      </c>
      <c r="AE2250">
        <f>IF($B2250=0,0,IF(Inputs!$B$7="",0,COUNTIFS(Data!$E$10:$E$3209,"&gt;="&amp;$A2250,Data!$E$10:$E$3209,"&lt;"&amp;$A2250+1)))</f>
        <v/>
      </c>
      <c r="AF2250">
        <f>IF($B2250=0,0,IF(Inputs!$B$8="",0,COUNTIFS(Data!$I$10:$I$3209,"&gt;="&amp;$A2250,Data!$I$10:$I$3209,"&lt;"&amp;$A2250+1)))</f>
        <v/>
      </c>
      <c r="AG2250">
        <f>IF($B2250=0,0,IF(Inputs!$B$9="",0,COUNTIFS(Data!$M$10:$M$3209,"&gt;="&amp;$A2250,Data!$M$10:$M$3209,"&lt;"&amp;$A2250+1)))</f>
        <v/>
      </c>
      <c r="AH2250">
        <f>IF($B2250=0,0,IF(Inputs!$B$10="",0,COUNTIFS(Data!$Q$10:$Q$3209,"&gt;="&amp;$A2250,Data!$Q$10:$Q$3209,"&lt;"&amp;$A2250+1)))</f>
        <v/>
      </c>
    </row>
    <row r="2251">
      <c r="A2251" s="55">
        <f>MIN(Inputs!$C$15,$A2250+IF(WEEKDAY($A2250,2)=5,3,1))</f>
        <v/>
      </c>
      <c r="B2251">
        <f>IF($A2251&gt;$A2250,1,0)</f>
        <v/>
      </c>
      <c r="C2251" s="56">
        <f>IF($B2251=0,"",IF(Inputs!$B$6="","",IF($AD2251=0,C2250,SUMIFS(Data!$B$10:$B$3209,Data!$A$10:$A$3209,"&gt;="&amp;$A2251,Data!$A$10:$A$3209,"&lt;"&amp;$A2251+1)/$AD2251)))</f>
        <v/>
      </c>
      <c r="D2251" s="56">
        <f>IF($B2251=0,"",IF(Inputs!$B$7="","",IF($AE2251=0,D2250,SUMIFS(Data!$F$10:$F$3209,Data!$E$10:$E$3209,"&gt;="&amp;$A2251,Data!$E$10:$E$3209,"&lt;"&amp;$A2251+1)/$AE2251)))</f>
        <v/>
      </c>
      <c r="E2251" s="56">
        <f>IF($B2251=0,"",IF(Inputs!$B$8="","",IF($AF2251=0,E2250,SUMIFS(Data!$J$10:$J$3209,Data!$I$10:$I$3209,"&gt;="&amp;$A2251,Data!$I$10:$I$3209,"&lt;"&amp;$A2251+1)/$AF2251)))</f>
        <v/>
      </c>
      <c r="F2251" s="56">
        <f>IF($B2251=0,"",IF(Inputs!$B$9="","",IF($AG2251=0,F2250,SUMIFS(Data!$N$10:$N$3209,Data!$M$10:$M$3209,"&gt;="&amp;$A2251,Data!$M$10:$M$3209,"&lt;"&amp;$A2251+1)/$AG2251)))</f>
        <v/>
      </c>
      <c r="G2251" s="56">
        <f>IF($B2251=0,"",IF(Inputs!$B$10="","",IF($AH2251=0,G2250,SUMIFS(Data!$R$10:$R$3209,Data!$Q$10:$Q$3209,"&gt;="&amp;$A2251,Data!$Q$10:$Q$3209,"&lt;"&amp;$A2251+1)/$AH2251)))</f>
        <v/>
      </c>
      <c r="I2251" s="54">
        <f>IF($B2251=0,NA(),IF($C2251="",NA(),IF(C$8="",NA(),IF(N(C$8)=0,NA(),IF(Inputs!$C$17="Rebased to 100",$C2251/C$8*100,$C2251)))))</f>
        <v/>
      </c>
      <c r="J2251" s="54">
        <f>IF($B2251=0,NA(),IF($D2251="",NA(),IF(D$8="",NA(),IF(N(D$8)=0,NA(),IF(Inputs!$C$17="Rebased to 100",$D2251/D$8*100,$D2251)))))</f>
        <v/>
      </c>
      <c r="K2251" s="54">
        <f>IF($B2251=0,NA(),IF($E2251="",NA(),IF(E$8="",NA(),IF(N(E$8)=0,NA(),IF(Inputs!$C$17="Rebased to 100",$E2251/E$8*100,$E2251)))))</f>
        <v/>
      </c>
      <c r="L2251" s="54">
        <f>IF($B2251=0,NA(),IF($F2251="",NA(),IF(F$8="",NA(),IF(N(F$8)=0,NA(),IF(Inputs!$C$17="Rebased to 100",$F2251/F$8*100,$F2251)))))</f>
        <v/>
      </c>
      <c r="M2251" s="54">
        <f>IF($B2251=0,NA(),IF($G2251="",NA(),IF(G$8="",NA(),IF(N(G$8)=0,NA(),IF(Inputs!$C$17="Rebased to 100",$G2251/G$8*100,$G2251)))))</f>
        <v/>
      </c>
      <c r="N2251" s="54">
        <f>IF($B2251=0,NA(),IF(Inputs!$C$18&lt;&gt;"Yes",NA(),IF(COUNT(I2251,J2251,K2251,L2251,M2251)=0,NA(),MIN(I2251,J2251,K2251,L2251,M2251))))</f>
        <v/>
      </c>
      <c r="O2251" s="54">
        <f>IF($B2251=0,NA(),IF(Inputs!$B$24&lt;&gt;"Yes",NA(),Inputs!$D$24*Inputs!$C$35))</f>
        <v/>
      </c>
      <c r="P2251" s="54">
        <f>IF($B2251=0,NA(),IF(Inputs!$B$25&lt;&gt;"Yes",NA(),Inputs!$D$25*Inputs!$C$35))</f>
        <v/>
      </c>
      <c r="Q2251" s="54">
        <f>IF($B2251=0,NA(),IF(Inputs!$B$26&lt;&gt;"Yes",NA(),Inputs!$D$26*Inputs!$C$35))</f>
        <v/>
      </c>
      <c r="R2251" s="54">
        <f>IF($B2251=0,NA(),IF(Inputs!$B$27&lt;&gt;"Yes",NA(),Inputs!$D$27*Inputs!$C$35))</f>
        <v/>
      </c>
      <c r="S2251" s="54">
        <f>IF($B2251=0,NA(),IF(Inputs!$B$28&lt;&gt;"Yes",NA(),Inputs!$D$28*Inputs!$C$35))</f>
        <v/>
      </c>
      <c r="T2251" s="54">
        <f>IF($B2251=0,NA(),IF(Inputs!$B$29&lt;&gt;"Yes",NA(),Inputs!$D$29*Inputs!$C$35))</f>
        <v/>
      </c>
      <c r="AD2251">
        <f>IF($B2251=0,0,IF(Inputs!$B$6="",0,COUNTIFS(Data!$A$10:$A$3209,"&gt;="&amp;$A2251,Data!$A$10:$A$3209,"&lt;"&amp;$A2251+1)))</f>
        <v/>
      </c>
      <c r="AE2251">
        <f>IF($B2251=0,0,IF(Inputs!$B$7="",0,COUNTIFS(Data!$E$10:$E$3209,"&gt;="&amp;$A2251,Data!$E$10:$E$3209,"&lt;"&amp;$A2251+1)))</f>
        <v/>
      </c>
      <c r="AF2251">
        <f>IF($B2251=0,0,IF(Inputs!$B$8="",0,COUNTIFS(Data!$I$10:$I$3209,"&gt;="&amp;$A2251,Data!$I$10:$I$3209,"&lt;"&amp;$A2251+1)))</f>
        <v/>
      </c>
      <c r="AG2251">
        <f>IF($B2251=0,0,IF(Inputs!$B$9="",0,COUNTIFS(Data!$M$10:$M$3209,"&gt;="&amp;$A2251,Data!$M$10:$M$3209,"&lt;"&amp;$A2251+1)))</f>
        <v/>
      </c>
      <c r="AH2251">
        <f>IF($B2251=0,0,IF(Inputs!$B$10="",0,COUNTIFS(Data!$Q$10:$Q$3209,"&gt;="&amp;$A2251,Data!$Q$10:$Q$3209,"&lt;"&amp;$A2251+1)))</f>
        <v/>
      </c>
    </row>
    <row r="2252">
      <c r="A2252" s="55">
        <f>MIN(Inputs!$C$15,$A2251+IF(WEEKDAY($A2251,2)=5,3,1))</f>
        <v/>
      </c>
      <c r="B2252">
        <f>IF($A2252&gt;$A2251,1,0)</f>
        <v/>
      </c>
      <c r="C2252" s="56">
        <f>IF($B2252=0,"",IF(Inputs!$B$6="","",IF($AD2252=0,C2251,SUMIFS(Data!$B$10:$B$3209,Data!$A$10:$A$3209,"&gt;="&amp;$A2252,Data!$A$10:$A$3209,"&lt;"&amp;$A2252+1)/$AD2252)))</f>
        <v/>
      </c>
      <c r="D2252" s="56">
        <f>IF($B2252=0,"",IF(Inputs!$B$7="","",IF($AE2252=0,D2251,SUMIFS(Data!$F$10:$F$3209,Data!$E$10:$E$3209,"&gt;="&amp;$A2252,Data!$E$10:$E$3209,"&lt;"&amp;$A2252+1)/$AE2252)))</f>
        <v/>
      </c>
      <c r="E2252" s="56">
        <f>IF($B2252=0,"",IF(Inputs!$B$8="","",IF($AF2252=0,E2251,SUMIFS(Data!$J$10:$J$3209,Data!$I$10:$I$3209,"&gt;="&amp;$A2252,Data!$I$10:$I$3209,"&lt;"&amp;$A2252+1)/$AF2252)))</f>
        <v/>
      </c>
      <c r="F2252" s="56">
        <f>IF($B2252=0,"",IF(Inputs!$B$9="","",IF($AG2252=0,F2251,SUMIFS(Data!$N$10:$N$3209,Data!$M$10:$M$3209,"&gt;="&amp;$A2252,Data!$M$10:$M$3209,"&lt;"&amp;$A2252+1)/$AG2252)))</f>
        <v/>
      </c>
      <c r="G2252" s="56">
        <f>IF($B2252=0,"",IF(Inputs!$B$10="","",IF($AH2252=0,G2251,SUMIFS(Data!$R$10:$R$3209,Data!$Q$10:$Q$3209,"&gt;="&amp;$A2252,Data!$Q$10:$Q$3209,"&lt;"&amp;$A2252+1)/$AH2252)))</f>
        <v/>
      </c>
      <c r="I2252" s="54">
        <f>IF($B2252=0,NA(),IF($C2252="",NA(),IF(C$8="",NA(),IF(N(C$8)=0,NA(),IF(Inputs!$C$17="Rebased to 100",$C2252/C$8*100,$C2252)))))</f>
        <v/>
      </c>
      <c r="J2252" s="54">
        <f>IF($B2252=0,NA(),IF($D2252="",NA(),IF(D$8="",NA(),IF(N(D$8)=0,NA(),IF(Inputs!$C$17="Rebased to 100",$D2252/D$8*100,$D2252)))))</f>
        <v/>
      </c>
      <c r="K2252" s="54">
        <f>IF($B2252=0,NA(),IF($E2252="",NA(),IF(E$8="",NA(),IF(N(E$8)=0,NA(),IF(Inputs!$C$17="Rebased to 100",$E2252/E$8*100,$E2252)))))</f>
        <v/>
      </c>
      <c r="L2252" s="54">
        <f>IF($B2252=0,NA(),IF($F2252="",NA(),IF(F$8="",NA(),IF(N(F$8)=0,NA(),IF(Inputs!$C$17="Rebased to 100",$F2252/F$8*100,$F2252)))))</f>
        <v/>
      </c>
      <c r="M2252" s="54">
        <f>IF($B2252=0,NA(),IF($G2252="",NA(),IF(G$8="",NA(),IF(N(G$8)=0,NA(),IF(Inputs!$C$17="Rebased to 100",$G2252/G$8*100,$G2252)))))</f>
        <v/>
      </c>
      <c r="N2252" s="54">
        <f>IF($B2252=0,NA(),IF(Inputs!$C$18&lt;&gt;"Yes",NA(),IF(COUNT(I2252,J2252,K2252,L2252,M2252)=0,NA(),MIN(I2252,J2252,K2252,L2252,M2252))))</f>
        <v/>
      </c>
      <c r="O2252" s="54">
        <f>IF($B2252=0,NA(),IF(Inputs!$B$24&lt;&gt;"Yes",NA(),Inputs!$D$24*Inputs!$C$35))</f>
        <v/>
      </c>
      <c r="P2252" s="54">
        <f>IF($B2252=0,NA(),IF(Inputs!$B$25&lt;&gt;"Yes",NA(),Inputs!$D$25*Inputs!$C$35))</f>
        <v/>
      </c>
      <c r="Q2252" s="54">
        <f>IF($B2252=0,NA(),IF(Inputs!$B$26&lt;&gt;"Yes",NA(),Inputs!$D$26*Inputs!$C$35))</f>
        <v/>
      </c>
      <c r="R2252" s="54">
        <f>IF($B2252=0,NA(),IF(Inputs!$B$27&lt;&gt;"Yes",NA(),Inputs!$D$27*Inputs!$C$35))</f>
        <v/>
      </c>
      <c r="S2252" s="54">
        <f>IF($B2252=0,NA(),IF(Inputs!$B$28&lt;&gt;"Yes",NA(),Inputs!$D$28*Inputs!$C$35))</f>
        <v/>
      </c>
      <c r="T2252" s="54">
        <f>IF($B2252=0,NA(),IF(Inputs!$B$29&lt;&gt;"Yes",NA(),Inputs!$D$29*Inputs!$C$35))</f>
        <v/>
      </c>
      <c r="AD2252">
        <f>IF($B2252=0,0,IF(Inputs!$B$6="",0,COUNTIFS(Data!$A$10:$A$3209,"&gt;="&amp;$A2252,Data!$A$10:$A$3209,"&lt;"&amp;$A2252+1)))</f>
        <v/>
      </c>
      <c r="AE2252">
        <f>IF($B2252=0,0,IF(Inputs!$B$7="",0,COUNTIFS(Data!$E$10:$E$3209,"&gt;="&amp;$A2252,Data!$E$10:$E$3209,"&lt;"&amp;$A2252+1)))</f>
        <v/>
      </c>
      <c r="AF2252">
        <f>IF($B2252=0,0,IF(Inputs!$B$8="",0,COUNTIFS(Data!$I$10:$I$3209,"&gt;="&amp;$A2252,Data!$I$10:$I$3209,"&lt;"&amp;$A2252+1)))</f>
        <v/>
      </c>
      <c r="AG2252">
        <f>IF($B2252=0,0,IF(Inputs!$B$9="",0,COUNTIFS(Data!$M$10:$M$3209,"&gt;="&amp;$A2252,Data!$M$10:$M$3209,"&lt;"&amp;$A2252+1)))</f>
        <v/>
      </c>
      <c r="AH2252">
        <f>IF($B2252=0,0,IF(Inputs!$B$10="",0,COUNTIFS(Data!$Q$10:$Q$3209,"&gt;="&amp;$A2252,Data!$Q$10:$Q$3209,"&lt;"&amp;$A2252+1)))</f>
        <v/>
      </c>
    </row>
    <row r="2253">
      <c r="A2253" s="55">
        <f>MIN(Inputs!$C$15,$A2252+IF(WEEKDAY($A2252,2)=5,3,1))</f>
        <v/>
      </c>
      <c r="B2253">
        <f>IF($A2253&gt;$A2252,1,0)</f>
        <v/>
      </c>
      <c r="C2253" s="56">
        <f>IF($B2253=0,"",IF(Inputs!$B$6="","",IF($AD2253=0,C2252,SUMIFS(Data!$B$10:$B$3209,Data!$A$10:$A$3209,"&gt;="&amp;$A2253,Data!$A$10:$A$3209,"&lt;"&amp;$A2253+1)/$AD2253)))</f>
        <v/>
      </c>
      <c r="D2253" s="56">
        <f>IF($B2253=0,"",IF(Inputs!$B$7="","",IF($AE2253=0,D2252,SUMIFS(Data!$F$10:$F$3209,Data!$E$10:$E$3209,"&gt;="&amp;$A2253,Data!$E$10:$E$3209,"&lt;"&amp;$A2253+1)/$AE2253)))</f>
        <v/>
      </c>
      <c r="E2253" s="56">
        <f>IF($B2253=0,"",IF(Inputs!$B$8="","",IF($AF2253=0,E2252,SUMIFS(Data!$J$10:$J$3209,Data!$I$10:$I$3209,"&gt;="&amp;$A2253,Data!$I$10:$I$3209,"&lt;"&amp;$A2253+1)/$AF2253)))</f>
        <v/>
      </c>
      <c r="F2253" s="56">
        <f>IF($B2253=0,"",IF(Inputs!$B$9="","",IF($AG2253=0,F2252,SUMIFS(Data!$N$10:$N$3209,Data!$M$10:$M$3209,"&gt;="&amp;$A2253,Data!$M$10:$M$3209,"&lt;"&amp;$A2253+1)/$AG2253)))</f>
        <v/>
      </c>
      <c r="G2253" s="56">
        <f>IF($B2253=0,"",IF(Inputs!$B$10="","",IF($AH2253=0,G2252,SUMIFS(Data!$R$10:$R$3209,Data!$Q$10:$Q$3209,"&gt;="&amp;$A2253,Data!$Q$10:$Q$3209,"&lt;"&amp;$A2253+1)/$AH2253)))</f>
        <v/>
      </c>
      <c r="I2253" s="54">
        <f>IF($B2253=0,NA(),IF($C2253="",NA(),IF(C$8="",NA(),IF(N(C$8)=0,NA(),IF(Inputs!$C$17="Rebased to 100",$C2253/C$8*100,$C2253)))))</f>
        <v/>
      </c>
      <c r="J2253" s="54">
        <f>IF($B2253=0,NA(),IF($D2253="",NA(),IF(D$8="",NA(),IF(N(D$8)=0,NA(),IF(Inputs!$C$17="Rebased to 100",$D2253/D$8*100,$D2253)))))</f>
        <v/>
      </c>
      <c r="K2253" s="54">
        <f>IF($B2253=0,NA(),IF($E2253="",NA(),IF(E$8="",NA(),IF(N(E$8)=0,NA(),IF(Inputs!$C$17="Rebased to 100",$E2253/E$8*100,$E2253)))))</f>
        <v/>
      </c>
      <c r="L2253" s="54">
        <f>IF($B2253=0,NA(),IF($F2253="",NA(),IF(F$8="",NA(),IF(N(F$8)=0,NA(),IF(Inputs!$C$17="Rebased to 100",$F2253/F$8*100,$F2253)))))</f>
        <v/>
      </c>
      <c r="M2253" s="54">
        <f>IF($B2253=0,NA(),IF($G2253="",NA(),IF(G$8="",NA(),IF(N(G$8)=0,NA(),IF(Inputs!$C$17="Rebased to 100",$G2253/G$8*100,$G2253)))))</f>
        <v/>
      </c>
      <c r="N2253" s="54">
        <f>IF($B2253=0,NA(),IF(Inputs!$C$18&lt;&gt;"Yes",NA(),IF(COUNT(I2253,J2253,K2253,L2253,M2253)=0,NA(),MIN(I2253,J2253,K2253,L2253,M2253))))</f>
        <v/>
      </c>
      <c r="O2253" s="54">
        <f>IF($B2253=0,NA(),IF(Inputs!$B$24&lt;&gt;"Yes",NA(),Inputs!$D$24*Inputs!$C$35))</f>
        <v/>
      </c>
      <c r="P2253" s="54">
        <f>IF($B2253=0,NA(),IF(Inputs!$B$25&lt;&gt;"Yes",NA(),Inputs!$D$25*Inputs!$C$35))</f>
        <v/>
      </c>
      <c r="Q2253" s="54">
        <f>IF($B2253=0,NA(),IF(Inputs!$B$26&lt;&gt;"Yes",NA(),Inputs!$D$26*Inputs!$C$35))</f>
        <v/>
      </c>
      <c r="R2253" s="54">
        <f>IF($B2253=0,NA(),IF(Inputs!$B$27&lt;&gt;"Yes",NA(),Inputs!$D$27*Inputs!$C$35))</f>
        <v/>
      </c>
      <c r="S2253" s="54">
        <f>IF($B2253=0,NA(),IF(Inputs!$B$28&lt;&gt;"Yes",NA(),Inputs!$D$28*Inputs!$C$35))</f>
        <v/>
      </c>
      <c r="T2253" s="54">
        <f>IF($B2253=0,NA(),IF(Inputs!$B$29&lt;&gt;"Yes",NA(),Inputs!$D$29*Inputs!$C$35))</f>
        <v/>
      </c>
      <c r="AD2253">
        <f>IF($B2253=0,0,IF(Inputs!$B$6="",0,COUNTIFS(Data!$A$10:$A$3209,"&gt;="&amp;$A2253,Data!$A$10:$A$3209,"&lt;"&amp;$A2253+1)))</f>
        <v/>
      </c>
      <c r="AE2253">
        <f>IF($B2253=0,0,IF(Inputs!$B$7="",0,COUNTIFS(Data!$E$10:$E$3209,"&gt;="&amp;$A2253,Data!$E$10:$E$3209,"&lt;"&amp;$A2253+1)))</f>
        <v/>
      </c>
      <c r="AF2253">
        <f>IF($B2253=0,0,IF(Inputs!$B$8="",0,COUNTIFS(Data!$I$10:$I$3209,"&gt;="&amp;$A2253,Data!$I$10:$I$3209,"&lt;"&amp;$A2253+1)))</f>
        <v/>
      </c>
      <c r="AG2253">
        <f>IF($B2253=0,0,IF(Inputs!$B$9="",0,COUNTIFS(Data!$M$10:$M$3209,"&gt;="&amp;$A2253,Data!$M$10:$M$3209,"&lt;"&amp;$A2253+1)))</f>
        <v/>
      </c>
      <c r="AH2253">
        <f>IF($B2253=0,0,IF(Inputs!$B$10="",0,COUNTIFS(Data!$Q$10:$Q$3209,"&gt;="&amp;$A2253,Data!$Q$10:$Q$3209,"&lt;"&amp;$A2253+1)))</f>
        <v/>
      </c>
    </row>
    <row r="2254">
      <c r="A2254" s="55">
        <f>MIN(Inputs!$C$15,$A2253+IF(WEEKDAY($A2253,2)=5,3,1))</f>
        <v/>
      </c>
      <c r="B2254">
        <f>IF($A2254&gt;$A2253,1,0)</f>
        <v/>
      </c>
      <c r="C2254" s="56">
        <f>IF($B2254=0,"",IF(Inputs!$B$6="","",IF($AD2254=0,C2253,SUMIFS(Data!$B$10:$B$3209,Data!$A$10:$A$3209,"&gt;="&amp;$A2254,Data!$A$10:$A$3209,"&lt;"&amp;$A2254+1)/$AD2254)))</f>
        <v/>
      </c>
      <c r="D2254" s="56">
        <f>IF($B2254=0,"",IF(Inputs!$B$7="","",IF($AE2254=0,D2253,SUMIFS(Data!$F$10:$F$3209,Data!$E$10:$E$3209,"&gt;="&amp;$A2254,Data!$E$10:$E$3209,"&lt;"&amp;$A2254+1)/$AE2254)))</f>
        <v/>
      </c>
      <c r="E2254" s="56">
        <f>IF($B2254=0,"",IF(Inputs!$B$8="","",IF($AF2254=0,E2253,SUMIFS(Data!$J$10:$J$3209,Data!$I$10:$I$3209,"&gt;="&amp;$A2254,Data!$I$10:$I$3209,"&lt;"&amp;$A2254+1)/$AF2254)))</f>
        <v/>
      </c>
      <c r="F2254" s="56">
        <f>IF($B2254=0,"",IF(Inputs!$B$9="","",IF($AG2254=0,F2253,SUMIFS(Data!$N$10:$N$3209,Data!$M$10:$M$3209,"&gt;="&amp;$A2254,Data!$M$10:$M$3209,"&lt;"&amp;$A2254+1)/$AG2254)))</f>
        <v/>
      </c>
      <c r="G2254" s="56">
        <f>IF($B2254=0,"",IF(Inputs!$B$10="","",IF($AH2254=0,G2253,SUMIFS(Data!$R$10:$R$3209,Data!$Q$10:$Q$3209,"&gt;="&amp;$A2254,Data!$Q$10:$Q$3209,"&lt;"&amp;$A2254+1)/$AH2254)))</f>
        <v/>
      </c>
      <c r="I2254" s="54">
        <f>IF($B2254=0,NA(),IF($C2254="",NA(),IF(C$8="",NA(),IF(N(C$8)=0,NA(),IF(Inputs!$C$17="Rebased to 100",$C2254/C$8*100,$C2254)))))</f>
        <v/>
      </c>
      <c r="J2254" s="54">
        <f>IF($B2254=0,NA(),IF($D2254="",NA(),IF(D$8="",NA(),IF(N(D$8)=0,NA(),IF(Inputs!$C$17="Rebased to 100",$D2254/D$8*100,$D2254)))))</f>
        <v/>
      </c>
      <c r="K2254" s="54">
        <f>IF($B2254=0,NA(),IF($E2254="",NA(),IF(E$8="",NA(),IF(N(E$8)=0,NA(),IF(Inputs!$C$17="Rebased to 100",$E2254/E$8*100,$E2254)))))</f>
        <v/>
      </c>
      <c r="L2254" s="54">
        <f>IF($B2254=0,NA(),IF($F2254="",NA(),IF(F$8="",NA(),IF(N(F$8)=0,NA(),IF(Inputs!$C$17="Rebased to 100",$F2254/F$8*100,$F2254)))))</f>
        <v/>
      </c>
      <c r="M2254" s="54">
        <f>IF($B2254=0,NA(),IF($G2254="",NA(),IF(G$8="",NA(),IF(N(G$8)=0,NA(),IF(Inputs!$C$17="Rebased to 100",$G2254/G$8*100,$G2254)))))</f>
        <v/>
      </c>
      <c r="N2254" s="54">
        <f>IF($B2254=0,NA(),IF(Inputs!$C$18&lt;&gt;"Yes",NA(),IF(COUNT(I2254,J2254,K2254,L2254,M2254)=0,NA(),MIN(I2254,J2254,K2254,L2254,M2254))))</f>
        <v/>
      </c>
      <c r="O2254" s="54">
        <f>IF($B2254=0,NA(),IF(Inputs!$B$24&lt;&gt;"Yes",NA(),Inputs!$D$24*Inputs!$C$35))</f>
        <v/>
      </c>
      <c r="P2254" s="54">
        <f>IF($B2254=0,NA(),IF(Inputs!$B$25&lt;&gt;"Yes",NA(),Inputs!$D$25*Inputs!$C$35))</f>
        <v/>
      </c>
      <c r="Q2254" s="54">
        <f>IF($B2254=0,NA(),IF(Inputs!$B$26&lt;&gt;"Yes",NA(),Inputs!$D$26*Inputs!$C$35))</f>
        <v/>
      </c>
      <c r="R2254" s="54">
        <f>IF($B2254=0,NA(),IF(Inputs!$B$27&lt;&gt;"Yes",NA(),Inputs!$D$27*Inputs!$C$35))</f>
        <v/>
      </c>
      <c r="S2254" s="54">
        <f>IF($B2254=0,NA(),IF(Inputs!$B$28&lt;&gt;"Yes",NA(),Inputs!$D$28*Inputs!$C$35))</f>
        <v/>
      </c>
      <c r="T2254" s="54">
        <f>IF($B2254=0,NA(),IF(Inputs!$B$29&lt;&gt;"Yes",NA(),Inputs!$D$29*Inputs!$C$35))</f>
        <v/>
      </c>
      <c r="AD2254">
        <f>IF($B2254=0,0,IF(Inputs!$B$6="",0,COUNTIFS(Data!$A$10:$A$3209,"&gt;="&amp;$A2254,Data!$A$10:$A$3209,"&lt;"&amp;$A2254+1)))</f>
        <v/>
      </c>
      <c r="AE2254">
        <f>IF($B2254=0,0,IF(Inputs!$B$7="",0,COUNTIFS(Data!$E$10:$E$3209,"&gt;="&amp;$A2254,Data!$E$10:$E$3209,"&lt;"&amp;$A2254+1)))</f>
        <v/>
      </c>
      <c r="AF2254">
        <f>IF($B2254=0,0,IF(Inputs!$B$8="",0,COUNTIFS(Data!$I$10:$I$3209,"&gt;="&amp;$A2254,Data!$I$10:$I$3209,"&lt;"&amp;$A2254+1)))</f>
        <v/>
      </c>
      <c r="AG2254">
        <f>IF($B2254=0,0,IF(Inputs!$B$9="",0,COUNTIFS(Data!$M$10:$M$3209,"&gt;="&amp;$A2254,Data!$M$10:$M$3209,"&lt;"&amp;$A2254+1)))</f>
        <v/>
      </c>
      <c r="AH2254">
        <f>IF($B2254=0,0,IF(Inputs!$B$10="",0,COUNTIFS(Data!$Q$10:$Q$3209,"&gt;="&amp;$A2254,Data!$Q$10:$Q$3209,"&lt;"&amp;$A2254+1)))</f>
        <v/>
      </c>
    </row>
    <row r="2255">
      <c r="A2255" s="55">
        <f>MIN(Inputs!$C$15,$A2254+IF(WEEKDAY($A2254,2)=5,3,1))</f>
        <v/>
      </c>
      <c r="B2255">
        <f>IF($A2255&gt;$A2254,1,0)</f>
        <v/>
      </c>
      <c r="C2255" s="56">
        <f>IF($B2255=0,"",IF(Inputs!$B$6="","",IF($AD2255=0,C2254,SUMIFS(Data!$B$10:$B$3209,Data!$A$10:$A$3209,"&gt;="&amp;$A2255,Data!$A$10:$A$3209,"&lt;"&amp;$A2255+1)/$AD2255)))</f>
        <v/>
      </c>
      <c r="D2255" s="56">
        <f>IF($B2255=0,"",IF(Inputs!$B$7="","",IF($AE2255=0,D2254,SUMIFS(Data!$F$10:$F$3209,Data!$E$10:$E$3209,"&gt;="&amp;$A2255,Data!$E$10:$E$3209,"&lt;"&amp;$A2255+1)/$AE2255)))</f>
        <v/>
      </c>
      <c r="E2255" s="56">
        <f>IF($B2255=0,"",IF(Inputs!$B$8="","",IF($AF2255=0,E2254,SUMIFS(Data!$J$10:$J$3209,Data!$I$10:$I$3209,"&gt;="&amp;$A2255,Data!$I$10:$I$3209,"&lt;"&amp;$A2255+1)/$AF2255)))</f>
        <v/>
      </c>
      <c r="F2255" s="56">
        <f>IF($B2255=0,"",IF(Inputs!$B$9="","",IF($AG2255=0,F2254,SUMIFS(Data!$N$10:$N$3209,Data!$M$10:$M$3209,"&gt;="&amp;$A2255,Data!$M$10:$M$3209,"&lt;"&amp;$A2255+1)/$AG2255)))</f>
        <v/>
      </c>
      <c r="G2255" s="56">
        <f>IF($B2255=0,"",IF(Inputs!$B$10="","",IF($AH2255=0,G2254,SUMIFS(Data!$R$10:$R$3209,Data!$Q$10:$Q$3209,"&gt;="&amp;$A2255,Data!$Q$10:$Q$3209,"&lt;"&amp;$A2255+1)/$AH2255)))</f>
        <v/>
      </c>
      <c r="I2255" s="54">
        <f>IF($B2255=0,NA(),IF($C2255="",NA(),IF(C$8="",NA(),IF(N(C$8)=0,NA(),IF(Inputs!$C$17="Rebased to 100",$C2255/C$8*100,$C2255)))))</f>
        <v/>
      </c>
      <c r="J2255" s="54">
        <f>IF($B2255=0,NA(),IF($D2255="",NA(),IF(D$8="",NA(),IF(N(D$8)=0,NA(),IF(Inputs!$C$17="Rebased to 100",$D2255/D$8*100,$D2255)))))</f>
        <v/>
      </c>
      <c r="K2255" s="54">
        <f>IF($B2255=0,NA(),IF($E2255="",NA(),IF(E$8="",NA(),IF(N(E$8)=0,NA(),IF(Inputs!$C$17="Rebased to 100",$E2255/E$8*100,$E2255)))))</f>
        <v/>
      </c>
      <c r="L2255" s="54">
        <f>IF($B2255=0,NA(),IF($F2255="",NA(),IF(F$8="",NA(),IF(N(F$8)=0,NA(),IF(Inputs!$C$17="Rebased to 100",$F2255/F$8*100,$F2255)))))</f>
        <v/>
      </c>
      <c r="M2255" s="54">
        <f>IF($B2255=0,NA(),IF($G2255="",NA(),IF(G$8="",NA(),IF(N(G$8)=0,NA(),IF(Inputs!$C$17="Rebased to 100",$G2255/G$8*100,$G2255)))))</f>
        <v/>
      </c>
      <c r="N2255" s="54">
        <f>IF($B2255=0,NA(),IF(Inputs!$C$18&lt;&gt;"Yes",NA(),IF(COUNT(I2255,J2255,K2255,L2255,M2255)=0,NA(),MIN(I2255,J2255,K2255,L2255,M2255))))</f>
        <v/>
      </c>
      <c r="O2255" s="54">
        <f>IF($B2255=0,NA(),IF(Inputs!$B$24&lt;&gt;"Yes",NA(),Inputs!$D$24*Inputs!$C$35))</f>
        <v/>
      </c>
      <c r="P2255" s="54">
        <f>IF($B2255=0,NA(),IF(Inputs!$B$25&lt;&gt;"Yes",NA(),Inputs!$D$25*Inputs!$C$35))</f>
        <v/>
      </c>
      <c r="Q2255" s="54">
        <f>IF($B2255=0,NA(),IF(Inputs!$B$26&lt;&gt;"Yes",NA(),Inputs!$D$26*Inputs!$C$35))</f>
        <v/>
      </c>
      <c r="R2255" s="54">
        <f>IF($B2255=0,NA(),IF(Inputs!$B$27&lt;&gt;"Yes",NA(),Inputs!$D$27*Inputs!$C$35))</f>
        <v/>
      </c>
      <c r="S2255" s="54">
        <f>IF($B2255=0,NA(),IF(Inputs!$B$28&lt;&gt;"Yes",NA(),Inputs!$D$28*Inputs!$C$35))</f>
        <v/>
      </c>
      <c r="T2255" s="54">
        <f>IF($B2255=0,NA(),IF(Inputs!$B$29&lt;&gt;"Yes",NA(),Inputs!$D$29*Inputs!$C$35))</f>
        <v/>
      </c>
      <c r="AD2255">
        <f>IF($B2255=0,0,IF(Inputs!$B$6="",0,COUNTIFS(Data!$A$10:$A$3209,"&gt;="&amp;$A2255,Data!$A$10:$A$3209,"&lt;"&amp;$A2255+1)))</f>
        <v/>
      </c>
      <c r="AE2255">
        <f>IF($B2255=0,0,IF(Inputs!$B$7="",0,COUNTIFS(Data!$E$10:$E$3209,"&gt;="&amp;$A2255,Data!$E$10:$E$3209,"&lt;"&amp;$A2255+1)))</f>
        <v/>
      </c>
      <c r="AF2255">
        <f>IF($B2255=0,0,IF(Inputs!$B$8="",0,COUNTIFS(Data!$I$10:$I$3209,"&gt;="&amp;$A2255,Data!$I$10:$I$3209,"&lt;"&amp;$A2255+1)))</f>
        <v/>
      </c>
      <c r="AG2255">
        <f>IF($B2255=0,0,IF(Inputs!$B$9="",0,COUNTIFS(Data!$M$10:$M$3209,"&gt;="&amp;$A2255,Data!$M$10:$M$3209,"&lt;"&amp;$A2255+1)))</f>
        <v/>
      </c>
      <c r="AH2255">
        <f>IF($B2255=0,0,IF(Inputs!$B$10="",0,COUNTIFS(Data!$Q$10:$Q$3209,"&gt;="&amp;$A2255,Data!$Q$10:$Q$3209,"&lt;"&amp;$A2255+1)))</f>
        <v/>
      </c>
    </row>
    <row r="2256">
      <c r="A2256" s="55">
        <f>MIN(Inputs!$C$15,$A2255+IF(WEEKDAY($A2255,2)=5,3,1))</f>
        <v/>
      </c>
      <c r="B2256">
        <f>IF($A2256&gt;$A2255,1,0)</f>
        <v/>
      </c>
      <c r="C2256" s="56">
        <f>IF($B2256=0,"",IF(Inputs!$B$6="","",IF($AD2256=0,C2255,SUMIFS(Data!$B$10:$B$3209,Data!$A$10:$A$3209,"&gt;="&amp;$A2256,Data!$A$10:$A$3209,"&lt;"&amp;$A2256+1)/$AD2256)))</f>
        <v/>
      </c>
      <c r="D2256" s="56">
        <f>IF($B2256=0,"",IF(Inputs!$B$7="","",IF($AE2256=0,D2255,SUMIFS(Data!$F$10:$F$3209,Data!$E$10:$E$3209,"&gt;="&amp;$A2256,Data!$E$10:$E$3209,"&lt;"&amp;$A2256+1)/$AE2256)))</f>
        <v/>
      </c>
      <c r="E2256" s="56">
        <f>IF($B2256=0,"",IF(Inputs!$B$8="","",IF($AF2256=0,E2255,SUMIFS(Data!$J$10:$J$3209,Data!$I$10:$I$3209,"&gt;="&amp;$A2256,Data!$I$10:$I$3209,"&lt;"&amp;$A2256+1)/$AF2256)))</f>
        <v/>
      </c>
      <c r="F2256" s="56">
        <f>IF($B2256=0,"",IF(Inputs!$B$9="","",IF($AG2256=0,F2255,SUMIFS(Data!$N$10:$N$3209,Data!$M$10:$M$3209,"&gt;="&amp;$A2256,Data!$M$10:$M$3209,"&lt;"&amp;$A2256+1)/$AG2256)))</f>
        <v/>
      </c>
      <c r="G2256" s="56">
        <f>IF($B2256=0,"",IF(Inputs!$B$10="","",IF($AH2256=0,G2255,SUMIFS(Data!$R$10:$R$3209,Data!$Q$10:$Q$3209,"&gt;="&amp;$A2256,Data!$Q$10:$Q$3209,"&lt;"&amp;$A2256+1)/$AH2256)))</f>
        <v/>
      </c>
      <c r="I2256" s="54">
        <f>IF($B2256=0,NA(),IF($C2256="",NA(),IF(C$8="",NA(),IF(N(C$8)=0,NA(),IF(Inputs!$C$17="Rebased to 100",$C2256/C$8*100,$C2256)))))</f>
        <v/>
      </c>
      <c r="J2256" s="54">
        <f>IF($B2256=0,NA(),IF($D2256="",NA(),IF(D$8="",NA(),IF(N(D$8)=0,NA(),IF(Inputs!$C$17="Rebased to 100",$D2256/D$8*100,$D2256)))))</f>
        <v/>
      </c>
      <c r="K2256" s="54">
        <f>IF($B2256=0,NA(),IF($E2256="",NA(),IF(E$8="",NA(),IF(N(E$8)=0,NA(),IF(Inputs!$C$17="Rebased to 100",$E2256/E$8*100,$E2256)))))</f>
        <v/>
      </c>
      <c r="L2256" s="54">
        <f>IF($B2256=0,NA(),IF($F2256="",NA(),IF(F$8="",NA(),IF(N(F$8)=0,NA(),IF(Inputs!$C$17="Rebased to 100",$F2256/F$8*100,$F2256)))))</f>
        <v/>
      </c>
      <c r="M2256" s="54">
        <f>IF($B2256=0,NA(),IF($G2256="",NA(),IF(G$8="",NA(),IF(N(G$8)=0,NA(),IF(Inputs!$C$17="Rebased to 100",$G2256/G$8*100,$G2256)))))</f>
        <v/>
      </c>
      <c r="N2256" s="54">
        <f>IF($B2256=0,NA(),IF(Inputs!$C$18&lt;&gt;"Yes",NA(),IF(COUNT(I2256,J2256,K2256,L2256,M2256)=0,NA(),MIN(I2256,J2256,K2256,L2256,M2256))))</f>
        <v/>
      </c>
      <c r="O2256" s="54">
        <f>IF($B2256=0,NA(),IF(Inputs!$B$24&lt;&gt;"Yes",NA(),Inputs!$D$24*Inputs!$C$35))</f>
        <v/>
      </c>
      <c r="P2256" s="54">
        <f>IF($B2256=0,NA(),IF(Inputs!$B$25&lt;&gt;"Yes",NA(),Inputs!$D$25*Inputs!$C$35))</f>
        <v/>
      </c>
      <c r="Q2256" s="54">
        <f>IF($B2256=0,NA(),IF(Inputs!$B$26&lt;&gt;"Yes",NA(),Inputs!$D$26*Inputs!$C$35))</f>
        <v/>
      </c>
      <c r="R2256" s="54">
        <f>IF($B2256=0,NA(),IF(Inputs!$B$27&lt;&gt;"Yes",NA(),Inputs!$D$27*Inputs!$C$35))</f>
        <v/>
      </c>
      <c r="S2256" s="54">
        <f>IF($B2256=0,NA(),IF(Inputs!$B$28&lt;&gt;"Yes",NA(),Inputs!$D$28*Inputs!$C$35))</f>
        <v/>
      </c>
      <c r="T2256" s="54">
        <f>IF($B2256=0,NA(),IF(Inputs!$B$29&lt;&gt;"Yes",NA(),Inputs!$D$29*Inputs!$C$35))</f>
        <v/>
      </c>
      <c r="AD2256">
        <f>IF($B2256=0,0,IF(Inputs!$B$6="",0,COUNTIFS(Data!$A$10:$A$3209,"&gt;="&amp;$A2256,Data!$A$10:$A$3209,"&lt;"&amp;$A2256+1)))</f>
        <v/>
      </c>
      <c r="AE2256">
        <f>IF($B2256=0,0,IF(Inputs!$B$7="",0,COUNTIFS(Data!$E$10:$E$3209,"&gt;="&amp;$A2256,Data!$E$10:$E$3209,"&lt;"&amp;$A2256+1)))</f>
        <v/>
      </c>
      <c r="AF2256">
        <f>IF($B2256=0,0,IF(Inputs!$B$8="",0,COUNTIFS(Data!$I$10:$I$3209,"&gt;="&amp;$A2256,Data!$I$10:$I$3209,"&lt;"&amp;$A2256+1)))</f>
        <v/>
      </c>
      <c r="AG2256">
        <f>IF($B2256=0,0,IF(Inputs!$B$9="",0,COUNTIFS(Data!$M$10:$M$3209,"&gt;="&amp;$A2256,Data!$M$10:$M$3209,"&lt;"&amp;$A2256+1)))</f>
        <v/>
      </c>
      <c r="AH2256">
        <f>IF($B2256=0,0,IF(Inputs!$B$10="",0,COUNTIFS(Data!$Q$10:$Q$3209,"&gt;="&amp;$A2256,Data!$Q$10:$Q$3209,"&lt;"&amp;$A2256+1)))</f>
        <v/>
      </c>
    </row>
    <row r="2257">
      <c r="A2257" s="55">
        <f>MIN(Inputs!$C$15,$A2256+IF(WEEKDAY($A2256,2)=5,3,1))</f>
        <v/>
      </c>
      <c r="B2257">
        <f>IF($A2257&gt;$A2256,1,0)</f>
        <v/>
      </c>
      <c r="C2257" s="56">
        <f>IF($B2257=0,"",IF(Inputs!$B$6="","",IF($AD2257=0,C2256,SUMIFS(Data!$B$10:$B$3209,Data!$A$10:$A$3209,"&gt;="&amp;$A2257,Data!$A$10:$A$3209,"&lt;"&amp;$A2257+1)/$AD2257)))</f>
        <v/>
      </c>
      <c r="D2257" s="56">
        <f>IF($B2257=0,"",IF(Inputs!$B$7="","",IF($AE2257=0,D2256,SUMIFS(Data!$F$10:$F$3209,Data!$E$10:$E$3209,"&gt;="&amp;$A2257,Data!$E$10:$E$3209,"&lt;"&amp;$A2257+1)/$AE2257)))</f>
        <v/>
      </c>
      <c r="E2257" s="56">
        <f>IF($B2257=0,"",IF(Inputs!$B$8="","",IF($AF2257=0,E2256,SUMIFS(Data!$J$10:$J$3209,Data!$I$10:$I$3209,"&gt;="&amp;$A2257,Data!$I$10:$I$3209,"&lt;"&amp;$A2257+1)/$AF2257)))</f>
        <v/>
      </c>
      <c r="F2257" s="56">
        <f>IF($B2257=0,"",IF(Inputs!$B$9="","",IF($AG2257=0,F2256,SUMIFS(Data!$N$10:$N$3209,Data!$M$10:$M$3209,"&gt;="&amp;$A2257,Data!$M$10:$M$3209,"&lt;"&amp;$A2257+1)/$AG2257)))</f>
        <v/>
      </c>
      <c r="G2257" s="56">
        <f>IF($B2257=0,"",IF(Inputs!$B$10="","",IF($AH2257=0,G2256,SUMIFS(Data!$R$10:$R$3209,Data!$Q$10:$Q$3209,"&gt;="&amp;$A2257,Data!$Q$10:$Q$3209,"&lt;"&amp;$A2257+1)/$AH2257)))</f>
        <v/>
      </c>
      <c r="I2257" s="54">
        <f>IF($B2257=0,NA(),IF($C2257="",NA(),IF(C$8="",NA(),IF(N(C$8)=0,NA(),IF(Inputs!$C$17="Rebased to 100",$C2257/C$8*100,$C2257)))))</f>
        <v/>
      </c>
      <c r="J2257" s="54">
        <f>IF($B2257=0,NA(),IF($D2257="",NA(),IF(D$8="",NA(),IF(N(D$8)=0,NA(),IF(Inputs!$C$17="Rebased to 100",$D2257/D$8*100,$D2257)))))</f>
        <v/>
      </c>
      <c r="K2257" s="54">
        <f>IF($B2257=0,NA(),IF($E2257="",NA(),IF(E$8="",NA(),IF(N(E$8)=0,NA(),IF(Inputs!$C$17="Rebased to 100",$E2257/E$8*100,$E2257)))))</f>
        <v/>
      </c>
      <c r="L2257" s="54">
        <f>IF($B2257=0,NA(),IF($F2257="",NA(),IF(F$8="",NA(),IF(N(F$8)=0,NA(),IF(Inputs!$C$17="Rebased to 100",$F2257/F$8*100,$F2257)))))</f>
        <v/>
      </c>
      <c r="M2257" s="54">
        <f>IF($B2257=0,NA(),IF($G2257="",NA(),IF(G$8="",NA(),IF(N(G$8)=0,NA(),IF(Inputs!$C$17="Rebased to 100",$G2257/G$8*100,$G2257)))))</f>
        <v/>
      </c>
      <c r="N2257" s="54">
        <f>IF($B2257=0,NA(),IF(Inputs!$C$18&lt;&gt;"Yes",NA(),IF(COUNT(I2257,J2257,K2257,L2257,M2257)=0,NA(),MIN(I2257,J2257,K2257,L2257,M2257))))</f>
        <v/>
      </c>
      <c r="O2257" s="54">
        <f>IF($B2257=0,NA(),IF(Inputs!$B$24&lt;&gt;"Yes",NA(),Inputs!$D$24*Inputs!$C$35))</f>
        <v/>
      </c>
      <c r="P2257" s="54">
        <f>IF($B2257=0,NA(),IF(Inputs!$B$25&lt;&gt;"Yes",NA(),Inputs!$D$25*Inputs!$C$35))</f>
        <v/>
      </c>
      <c r="Q2257" s="54">
        <f>IF($B2257=0,NA(),IF(Inputs!$B$26&lt;&gt;"Yes",NA(),Inputs!$D$26*Inputs!$C$35))</f>
        <v/>
      </c>
      <c r="R2257" s="54">
        <f>IF($B2257=0,NA(),IF(Inputs!$B$27&lt;&gt;"Yes",NA(),Inputs!$D$27*Inputs!$C$35))</f>
        <v/>
      </c>
      <c r="S2257" s="54">
        <f>IF($B2257=0,NA(),IF(Inputs!$B$28&lt;&gt;"Yes",NA(),Inputs!$D$28*Inputs!$C$35))</f>
        <v/>
      </c>
      <c r="T2257" s="54">
        <f>IF($B2257=0,NA(),IF(Inputs!$B$29&lt;&gt;"Yes",NA(),Inputs!$D$29*Inputs!$C$35))</f>
        <v/>
      </c>
      <c r="AD2257">
        <f>IF($B2257=0,0,IF(Inputs!$B$6="",0,COUNTIFS(Data!$A$10:$A$3209,"&gt;="&amp;$A2257,Data!$A$10:$A$3209,"&lt;"&amp;$A2257+1)))</f>
        <v/>
      </c>
      <c r="AE2257">
        <f>IF($B2257=0,0,IF(Inputs!$B$7="",0,COUNTIFS(Data!$E$10:$E$3209,"&gt;="&amp;$A2257,Data!$E$10:$E$3209,"&lt;"&amp;$A2257+1)))</f>
        <v/>
      </c>
      <c r="AF2257">
        <f>IF($B2257=0,0,IF(Inputs!$B$8="",0,COUNTIFS(Data!$I$10:$I$3209,"&gt;="&amp;$A2257,Data!$I$10:$I$3209,"&lt;"&amp;$A2257+1)))</f>
        <v/>
      </c>
      <c r="AG2257">
        <f>IF($B2257=0,0,IF(Inputs!$B$9="",0,COUNTIFS(Data!$M$10:$M$3209,"&gt;="&amp;$A2257,Data!$M$10:$M$3209,"&lt;"&amp;$A2257+1)))</f>
        <v/>
      </c>
      <c r="AH2257">
        <f>IF($B2257=0,0,IF(Inputs!$B$10="",0,COUNTIFS(Data!$Q$10:$Q$3209,"&gt;="&amp;$A2257,Data!$Q$10:$Q$3209,"&lt;"&amp;$A2257+1)))</f>
        <v/>
      </c>
    </row>
    <row r="2258">
      <c r="A2258" s="55">
        <f>MIN(Inputs!$C$15,$A2257+IF(WEEKDAY($A2257,2)=5,3,1))</f>
        <v/>
      </c>
      <c r="B2258">
        <f>IF($A2258&gt;$A2257,1,0)</f>
        <v/>
      </c>
      <c r="C2258" s="56">
        <f>IF($B2258=0,"",IF(Inputs!$B$6="","",IF($AD2258=0,C2257,SUMIFS(Data!$B$10:$B$3209,Data!$A$10:$A$3209,"&gt;="&amp;$A2258,Data!$A$10:$A$3209,"&lt;"&amp;$A2258+1)/$AD2258)))</f>
        <v/>
      </c>
      <c r="D2258" s="56">
        <f>IF($B2258=0,"",IF(Inputs!$B$7="","",IF($AE2258=0,D2257,SUMIFS(Data!$F$10:$F$3209,Data!$E$10:$E$3209,"&gt;="&amp;$A2258,Data!$E$10:$E$3209,"&lt;"&amp;$A2258+1)/$AE2258)))</f>
        <v/>
      </c>
      <c r="E2258" s="56">
        <f>IF($B2258=0,"",IF(Inputs!$B$8="","",IF($AF2258=0,E2257,SUMIFS(Data!$J$10:$J$3209,Data!$I$10:$I$3209,"&gt;="&amp;$A2258,Data!$I$10:$I$3209,"&lt;"&amp;$A2258+1)/$AF2258)))</f>
        <v/>
      </c>
      <c r="F2258" s="56">
        <f>IF($B2258=0,"",IF(Inputs!$B$9="","",IF($AG2258=0,F2257,SUMIFS(Data!$N$10:$N$3209,Data!$M$10:$M$3209,"&gt;="&amp;$A2258,Data!$M$10:$M$3209,"&lt;"&amp;$A2258+1)/$AG2258)))</f>
        <v/>
      </c>
      <c r="G2258" s="56">
        <f>IF($B2258=0,"",IF(Inputs!$B$10="","",IF($AH2258=0,G2257,SUMIFS(Data!$R$10:$R$3209,Data!$Q$10:$Q$3209,"&gt;="&amp;$A2258,Data!$Q$10:$Q$3209,"&lt;"&amp;$A2258+1)/$AH2258)))</f>
        <v/>
      </c>
      <c r="I2258" s="54">
        <f>IF($B2258=0,NA(),IF($C2258="",NA(),IF(C$8="",NA(),IF(N(C$8)=0,NA(),IF(Inputs!$C$17="Rebased to 100",$C2258/C$8*100,$C2258)))))</f>
        <v/>
      </c>
      <c r="J2258" s="54">
        <f>IF($B2258=0,NA(),IF($D2258="",NA(),IF(D$8="",NA(),IF(N(D$8)=0,NA(),IF(Inputs!$C$17="Rebased to 100",$D2258/D$8*100,$D2258)))))</f>
        <v/>
      </c>
      <c r="K2258" s="54">
        <f>IF($B2258=0,NA(),IF($E2258="",NA(),IF(E$8="",NA(),IF(N(E$8)=0,NA(),IF(Inputs!$C$17="Rebased to 100",$E2258/E$8*100,$E2258)))))</f>
        <v/>
      </c>
      <c r="L2258" s="54">
        <f>IF($B2258=0,NA(),IF($F2258="",NA(),IF(F$8="",NA(),IF(N(F$8)=0,NA(),IF(Inputs!$C$17="Rebased to 100",$F2258/F$8*100,$F2258)))))</f>
        <v/>
      </c>
      <c r="M2258" s="54">
        <f>IF($B2258=0,NA(),IF($G2258="",NA(),IF(G$8="",NA(),IF(N(G$8)=0,NA(),IF(Inputs!$C$17="Rebased to 100",$G2258/G$8*100,$G2258)))))</f>
        <v/>
      </c>
      <c r="N2258" s="54">
        <f>IF($B2258=0,NA(),IF(Inputs!$C$18&lt;&gt;"Yes",NA(),IF(COUNT(I2258,J2258,K2258,L2258,M2258)=0,NA(),MIN(I2258,J2258,K2258,L2258,M2258))))</f>
        <v/>
      </c>
      <c r="O2258" s="54">
        <f>IF($B2258=0,NA(),IF(Inputs!$B$24&lt;&gt;"Yes",NA(),Inputs!$D$24*Inputs!$C$35))</f>
        <v/>
      </c>
      <c r="P2258" s="54">
        <f>IF($B2258=0,NA(),IF(Inputs!$B$25&lt;&gt;"Yes",NA(),Inputs!$D$25*Inputs!$C$35))</f>
        <v/>
      </c>
      <c r="Q2258" s="54">
        <f>IF($B2258=0,NA(),IF(Inputs!$B$26&lt;&gt;"Yes",NA(),Inputs!$D$26*Inputs!$C$35))</f>
        <v/>
      </c>
      <c r="R2258" s="54">
        <f>IF($B2258=0,NA(),IF(Inputs!$B$27&lt;&gt;"Yes",NA(),Inputs!$D$27*Inputs!$C$35))</f>
        <v/>
      </c>
      <c r="S2258" s="54">
        <f>IF($B2258=0,NA(),IF(Inputs!$B$28&lt;&gt;"Yes",NA(),Inputs!$D$28*Inputs!$C$35))</f>
        <v/>
      </c>
      <c r="T2258" s="54">
        <f>IF($B2258=0,NA(),IF(Inputs!$B$29&lt;&gt;"Yes",NA(),Inputs!$D$29*Inputs!$C$35))</f>
        <v/>
      </c>
      <c r="AD2258">
        <f>IF($B2258=0,0,IF(Inputs!$B$6="",0,COUNTIFS(Data!$A$10:$A$3209,"&gt;="&amp;$A2258,Data!$A$10:$A$3209,"&lt;"&amp;$A2258+1)))</f>
        <v/>
      </c>
      <c r="AE2258">
        <f>IF($B2258=0,0,IF(Inputs!$B$7="",0,COUNTIFS(Data!$E$10:$E$3209,"&gt;="&amp;$A2258,Data!$E$10:$E$3209,"&lt;"&amp;$A2258+1)))</f>
        <v/>
      </c>
      <c r="AF2258">
        <f>IF($B2258=0,0,IF(Inputs!$B$8="",0,COUNTIFS(Data!$I$10:$I$3209,"&gt;="&amp;$A2258,Data!$I$10:$I$3209,"&lt;"&amp;$A2258+1)))</f>
        <v/>
      </c>
      <c r="AG2258">
        <f>IF($B2258=0,0,IF(Inputs!$B$9="",0,COUNTIFS(Data!$M$10:$M$3209,"&gt;="&amp;$A2258,Data!$M$10:$M$3209,"&lt;"&amp;$A2258+1)))</f>
        <v/>
      </c>
      <c r="AH2258">
        <f>IF($B2258=0,0,IF(Inputs!$B$10="",0,COUNTIFS(Data!$Q$10:$Q$3209,"&gt;="&amp;$A2258,Data!$Q$10:$Q$3209,"&lt;"&amp;$A2258+1)))</f>
        <v/>
      </c>
    </row>
    <row r="2259">
      <c r="A2259" s="55">
        <f>MIN(Inputs!$C$15,$A2258+IF(WEEKDAY($A2258,2)=5,3,1))</f>
        <v/>
      </c>
      <c r="B2259">
        <f>IF($A2259&gt;$A2258,1,0)</f>
        <v/>
      </c>
      <c r="C2259" s="56">
        <f>IF($B2259=0,"",IF(Inputs!$B$6="","",IF($AD2259=0,C2258,SUMIFS(Data!$B$10:$B$3209,Data!$A$10:$A$3209,"&gt;="&amp;$A2259,Data!$A$10:$A$3209,"&lt;"&amp;$A2259+1)/$AD2259)))</f>
        <v/>
      </c>
      <c r="D2259" s="56">
        <f>IF($B2259=0,"",IF(Inputs!$B$7="","",IF($AE2259=0,D2258,SUMIFS(Data!$F$10:$F$3209,Data!$E$10:$E$3209,"&gt;="&amp;$A2259,Data!$E$10:$E$3209,"&lt;"&amp;$A2259+1)/$AE2259)))</f>
        <v/>
      </c>
      <c r="E2259" s="56">
        <f>IF($B2259=0,"",IF(Inputs!$B$8="","",IF($AF2259=0,E2258,SUMIFS(Data!$J$10:$J$3209,Data!$I$10:$I$3209,"&gt;="&amp;$A2259,Data!$I$10:$I$3209,"&lt;"&amp;$A2259+1)/$AF2259)))</f>
        <v/>
      </c>
      <c r="F2259" s="56">
        <f>IF($B2259=0,"",IF(Inputs!$B$9="","",IF($AG2259=0,F2258,SUMIFS(Data!$N$10:$N$3209,Data!$M$10:$M$3209,"&gt;="&amp;$A2259,Data!$M$10:$M$3209,"&lt;"&amp;$A2259+1)/$AG2259)))</f>
        <v/>
      </c>
      <c r="G2259" s="56">
        <f>IF($B2259=0,"",IF(Inputs!$B$10="","",IF($AH2259=0,G2258,SUMIFS(Data!$R$10:$R$3209,Data!$Q$10:$Q$3209,"&gt;="&amp;$A2259,Data!$Q$10:$Q$3209,"&lt;"&amp;$A2259+1)/$AH2259)))</f>
        <v/>
      </c>
      <c r="I2259" s="54">
        <f>IF($B2259=0,NA(),IF($C2259="",NA(),IF(C$8="",NA(),IF(N(C$8)=0,NA(),IF(Inputs!$C$17="Rebased to 100",$C2259/C$8*100,$C2259)))))</f>
        <v/>
      </c>
      <c r="J2259" s="54">
        <f>IF($B2259=0,NA(),IF($D2259="",NA(),IF(D$8="",NA(),IF(N(D$8)=0,NA(),IF(Inputs!$C$17="Rebased to 100",$D2259/D$8*100,$D2259)))))</f>
        <v/>
      </c>
      <c r="K2259" s="54">
        <f>IF($B2259=0,NA(),IF($E2259="",NA(),IF(E$8="",NA(),IF(N(E$8)=0,NA(),IF(Inputs!$C$17="Rebased to 100",$E2259/E$8*100,$E2259)))))</f>
        <v/>
      </c>
      <c r="L2259" s="54">
        <f>IF($B2259=0,NA(),IF($F2259="",NA(),IF(F$8="",NA(),IF(N(F$8)=0,NA(),IF(Inputs!$C$17="Rebased to 100",$F2259/F$8*100,$F2259)))))</f>
        <v/>
      </c>
      <c r="M2259" s="54">
        <f>IF($B2259=0,NA(),IF($G2259="",NA(),IF(G$8="",NA(),IF(N(G$8)=0,NA(),IF(Inputs!$C$17="Rebased to 100",$G2259/G$8*100,$G2259)))))</f>
        <v/>
      </c>
      <c r="N2259" s="54">
        <f>IF($B2259=0,NA(),IF(Inputs!$C$18&lt;&gt;"Yes",NA(),IF(COUNT(I2259,J2259,K2259,L2259,M2259)=0,NA(),MIN(I2259,J2259,K2259,L2259,M2259))))</f>
        <v/>
      </c>
      <c r="O2259" s="54">
        <f>IF($B2259=0,NA(),IF(Inputs!$B$24&lt;&gt;"Yes",NA(),Inputs!$D$24*Inputs!$C$35))</f>
        <v/>
      </c>
      <c r="P2259" s="54">
        <f>IF($B2259=0,NA(),IF(Inputs!$B$25&lt;&gt;"Yes",NA(),Inputs!$D$25*Inputs!$C$35))</f>
        <v/>
      </c>
      <c r="Q2259" s="54">
        <f>IF($B2259=0,NA(),IF(Inputs!$B$26&lt;&gt;"Yes",NA(),Inputs!$D$26*Inputs!$C$35))</f>
        <v/>
      </c>
      <c r="R2259" s="54">
        <f>IF($B2259=0,NA(),IF(Inputs!$B$27&lt;&gt;"Yes",NA(),Inputs!$D$27*Inputs!$C$35))</f>
        <v/>
      </c>
      <c r="S2259" s="54">
        <f>IF($B2259=0,NA(),IF(Inputs!$B$28&lt;&gt;"Yes",NA(),Inputs!$D$28*Inputs!$C$35))</f>
        <v/>
      </c>
      <c r="T2259" s="54">
        <f>IF($B2259=0,NA(),IF(Inputs!$B$29&lt;&gt;"Yes",NA(),Inputs!$D$29*Inputs!$C$35))</f>
        <v/>
      </c>
      <c r="AD2259">
        <f>IF($B2259=0,0,IF(Inputs!$B$6="",0,COUNTIFS(Data!$A$10:$A$3209,"&gt;="&amp;$A2259,Data!$A$10:$A$3209,"&lt;"&amp;$A2259+1)))</f>
        <v/>
      </c>
      <c r="AE2259">
        <f>IF($B2259=0,0,IF(Inputs!$B$7="",0,COUNTIFS(Data!$E$10:$E$3209,"&gt;="&amp;$A2259,Data!$E$10:$E$3209,"&lt;"&amp;$A2259+1)))</f>
        <v/>
      </c>
      <c r="AF2259">
        <f>IF($B2259=0,0,IF(Inputs!$B$8="",0,COUNTIFS(Data!$I$10:$I$3209,"&gt;="&amp;$A2259,Data!$I$10:$I$3209,"&lt;"&amp;$A2259+1)))</f>
        <v/>
      </c>
      <c r="AG2259">
        <f>IF($B2259=0,0,IF(Inputs!$B$9="",0,COUNTIFS(Data!$M$10:$M$3209,"&gt;="&amp;$A2259,Data!$M$10:$M$3209,"&lt;"&amp;$A2259+1)))</f>
        <v/>
      </c>
      <c r="AH2259">
        <f>IF($B2259=0,0,IF(Inputs!$B$10="",0,COUNTIFS(Data!$Q$10:$Q$3209,"&gt;="&amp;$A2259,Data!$Q$10:$Q$3209,"&lt;"&amp;$A2259+1)))</f>
        <v/>
      </c>
    </row>
    <row r="2260">
      <c r="A2260" s="55">
        <f>MIN(Inputs!$C$15,$A2259+IF(WEEKDAY($A2259,2)=5,3,1))</f>
        <v/>
      </c>
      <c r="B2260">
        <f>IF($A2260&gt;$A2259,1,0)</f>
        <v/>
      </c>
      <c r="C2260" s="56">
        <f>IF($B2260=0,"",IF(Inputs!$B$6="","",IF($AD2260=0,C2259,SUMIFS(Data!$B$10:$B$3209,Data!$A$10:$A$3209,"&gt;="&amp;$A2260,Data!$A$10:$A$3209,"&lt;"&amp;$A2260+1)/$AD2260)))</f>
        <v/>
      </c>
      <c r="D2260" s="56">
        <f>IF($B2260=0,"",IF(Inputs!$B$7="","",IF($AE2260=0,D2259,SUMIFS(Data!$F$10:$F$3209,Data!$E$10:$E$3209,"&gt;="&amp;$A2260,Data!$E$10:$E$3209,"&lt;"&amp;$A2260+1)/$AE2260)))</f>
        <v/>
      </c>
      <c r="E2260" s="56">
        <f>IF($B2260=0,"",IF(Inputs!$B$8="","",IF($AF2260=0,E2259,SUMIFS(Data!$J$10:$J$3209,Data!$I$10:$I$3209,"&gt;="&amp;$A2260,Data!$I$10:$I$3209,"&lt;"&amp;$A2260+1)/$AF2260)))</f>
        <v/>
      </c>
      <c r="F2260" s="56">
        <f>IF($B2260=0,"",IF(Inputs!$B$9="","",IF($AG2260=0,F2259,SUMIFS(Data!$N$10:$N$3209,Data!$M$10:$M$3209,"&gt;="&amp;$A2260,Data!$M$10:$M$3209,"&lt;"&amp;$A2260+1)/$AG2260)))</f>
        <v/>
      </c>
      <c r="G2260" s="56">
        <f>IF($B2260=0,"",IF(Inputs!$B$10="","",IF($AH2260=0,G2259,SUMIFS(Data!$R$10:$R$3209,Data!$Q$10:$Q$3209,"&gt;="&amp;$A2260,Data!$Q$10:$Q$3209,"&lt;"&amp;$A2260+1)/$AH2260)))</f>
        <v/>
      </c>
      <c r="I2260" s="54">
        <f>IF($B2260=0,NA(),IF($C2260="",NA(),IF(C$8="",NA(),IF(N(C$8)=0,NA(),IF(Inputs!$C$17="Rebased to 100",$C2260/C$8*100,$C2260)))))</f>
        <v/>
      </c>
      <c r="J2260" s="54">
        <f>IF($B2260=0,NA(),IF($D2260="",NA(),IF(D$8="",NA(),IF(N(D$8)=0,NA(),IF(Inputs!$C$17="Rebased to 100",$D2260/D$8*100,$D2260)))))</f>
        <v/>
      </c>
      <c r="K2260" s="54">
        <f>IF($B2260=0,NA(),IF($E2260="",NA(),IF(E$8="",NA(),IF(N(E$8)=0,NA(),IF(Inputs!$C$17="Rebased to 100",$E2260/E$8*100,$E2260)))))</f>
        <v/>
      </c>
      <c r="L2260" s="54">
        <f>IF($B2260=0,NA(),IF($F2260="",NA(),IF(F$8="",NA(),IF(N(F$8)=0,NA(),IF(Inputs!$C$17="Rebased to 100",$F2260/F$8*100,$F2260)))))</f>
        <v/>
      </c>
      <c r="M2260" s="54">
        <f>IF($B2260=0,NA(),IF($G2260="",NA(),IF(G$8="",NA(),IF(N(G$8)=0,NA(),IF(Inputs!$C$17="Rebased to 100",$G2260/G$8*100,$G2260)))))</f>
        <v/>
      </c>
      <c r="N2260" s="54">
        <f>IF($B2260=0,NA(),IF(Inputs!$C$18&lt;&gt;"Yes",NA(),IF(COUNT(I2260,J2260,K2260,L2260,M2260)=0,NA(),MIN(I2260,J2260,K2260,L2260,M2260))))</f>
        <v/>
      </c>
      <c r="O2260" s="54">
        <f>IF($B2260=0,NA(),IF(Inputs!$B$24&lt;&gt;"Yes",NA(),Inputs!$D$24*Inputs!$C$35))</f>
        <v/>
      </c>
      <c r="P2260" s="54">
        <f>IF($B2260=0,NA(),IF(Inputs!$B$25&lt;&gt;"Yes",NA(),Inputs!$D$25*Inputs!$C$35))</f>
        <v/>
      </c>
      <c r="Q2260" s="54">
        <f>IF($B2260=0,NA(),IF(Inputs!$B$26&lt;&gt;"Yes",NA(),Inputs!$D$26*Inputs!$C$35))</f>
        <v/>
      </c>
      <c r="R2260" s="54">
        <f>IF($B2260=0,NA(),IF(Inputs!$B$27&lt;&gt;"Yes",NA(),Inputs!$D$27*Inputs!$C$35))</f>
        <v/>
      </c>
      <c r="S2260" s="54">
        <f>IF($B2260=0,NA(),IF(Inputs!$B$28&lt;&gt;"Yes",NA(),Inputs!$D$28*Inputs!$C$35))</f>
        <v/>
      </c>
      <c r="T2260" s="54">
        <f>IF($B2260=0,NA(),IF(Inputs!$B$29&lt;&gt;"Yes",NA(),Inputs!$D$29*Inputs!$C$35))</f>
        <v/>
      </c>
      <c r="AD2260">
        <f>IF($B2260=0,0,IF(Inputs!$B$6="",0,COUNTIFS(Data!$A$10:$A$3209,"&gt;="&amp;$A2260,Data!$A$10:$A$3209,"&lt;"&amp;$A2260+1)))</f>
        <v/>
      </c>
      <c r="AE2260">
        <f>IF($B2260=0,0,IF(Inputs!$B$7="",0,COUNTIFS(Data!$E$10:$E$3209,"&gt;="&amp;$A2260,Data!$E$10:$E$3209,"&lt;"&amp;$A2260+1)))</f>
        <v/>
      </c>
      <c r="AF2260">
        <f>IF($B2260=0,0,IF(Inputs!$B$8="",0,COUNTIFS(Data!$I$10:$I$3209,"&gt;="&amp;$A2260,Data!$I$10:$I$3209,"&lt;"&amp;$A2260+1)))</f>
        <v/>
      </c>
      <c r="AG2260">
        <f>IF($B2260=0,0,IF(Inputs!$B$9="",0,COUNTIFS(Data!$M$10:$M$3209,"&gt;="&amp;$A2260,Data!$M$10:$M$3209,"&lt;"&amp;$A2260+1)))</f>
        <v/>
      </c>
      <c r="AH2260">
        <f>IF($B2260=0,0,IF(Inputs!$B$10="",0,COUNTIFS(Data!$Q$10:$Q$3209,"&gt;="&amp;$A2260,Data!$Q$10:$Q$3209,"&lt;"&amp;$A2260+1)))</f>
        <v/>
      </c>
    </row>
    <row r="2261">
      <c r="A2261" s="55">
        <f>MIN(Inputs!$C$15,$A2260+IF(WEEKDAY($A2260,2)=5,3,1))</f>
        <v/>
      </c>
      <c r="B2261">
        <f>IF($A2261&gt;$A2260,1,0)</f>
        <v/>
      </c>
      <c r="C2261" s="56">
        <f>IF($B2261=0,"",IF(Inputs!$B$6="","",IF($AD2261=0,C2260,SUMIFS(Data!$B$10:$B$3209,Data!$A$10:$A$3209,"&gt;="&amp;$A2261,Data!$A$10:$A$3209,"&lt;"&amp;$A2261+1)/$AD2261)))</f>
        <v/>
      </c>
      <c r="D2261" s="56">
        <f>IF($B2261=0,"",IF(Inputs!$B$7="","",IF($AE2261=0,D2260,SUMIFS(Data!$F$10:$F$3209,Data!$E$10:$E$3209,"&gt;="&amp;$A2261,Data!$E$10:$E$3209,"&lt;"&amp;$A2261+1)/$AE2261)))</f>
        <v/>
      </c>
      <c r="E2261" s="56">
        <f>IF($B2261=0,"",IF(Inputs!$B$8="","",IF($AF2261=0,E2260,SUMIFS(Data!$J$10:$J$3209,Data!$I$10:$I$3209,"&gt;="&amp;$A2261,Data!$I$10:$I$3209,"&lt;"&amp;$A2261+1)/$AF2261)))</f>
        <v/>
      </c>
      <c r="F2261" s="56">
        <f>IF($B2261=0,"",IF(Inputs!$B$9="","",IF($AG2261=0,F2260,SUMIFS(Data!$N$10:$N$3209,Data!$M$10:$M$3209,"&gt;="&amp;$A2261,Data!$M$10:$M$3209,"&lt;"&amp;$A2261+1)/$AG2261)))</f>
        <v/>
      </c>
      <c r="G2261" s="56">
        <f>IF($B2261=0,"",IF(Inputs!$B$10="","",IF($AH2261=0,G2260,SUMIFS(Data!$R$10:$R$3209,Data!$Q$10:$Q$3209,"&gt;="&amp;$A2261,Data!$Q$10:$Q$3209,"&lt;"&amp;$A2261+1)/$AH2261)))</f>
        <v/>
      </c>
      <c r="I2261" s="54">
        <f>IF($B2261=0,NA(),IF($C2261="",NA(),IF(C$8="",NA(),IF(N(C$8)=0,NA(),IF(Inputs!$C$17="Rebased to 100",$C2261/C$8*100,$C2261)))))</f>
        <v/>
      </c>
      <c r="J2261" s="54">
        <f>IF($B2261=0,NA(),IF($D2261="",NA(),IF(D$8="",NA(),IF(N(D$8)=0,NA(),IF(Inputs!$C$17="Rebased to 100",$D2261/D$8*100,$D2261)))))</f>
        <v/>
      </c>
      <c r="K2261" s="54">
        <f>IF($B2261=0,NA(),IF($E2261="",NA(),IF(E$8="",NA(),IF(N(E$8)=0,NA(),IF(Inputs!$C$17="Rebased to 100",$E2261/E$8*100,$E2261)))))</f>
        <v/>
      </c>
      <c r="L2261" s="54">
        <f>IF($B2261=0,NA(),IF($F2261="",NA(),IF(F$8="",NA(),IF(N(F$8)=0,NA(),IF(Inputs!$C$17="Rebased to 100",$F2261/F$8*100,$F2261)))))</f>
        <v/>
      </c>
      <c r="M2261" s="54">
        <f>IF($B2261=0,NA(),IF($G2261="",NA(),IF(G$8="",NA(),IF(N(G$8)=0,NA(),IF(Inputs!$C$17="Rebased to 100",$G2261/G$8*100,$G2261)))))</f>
        <v/>
      </c>
      <c r="N2261" s="54">
        <f>IF($B2261=0,NA(),IF(Inputs!$C$18&lt;&gt;"Yes",NA(),IF(COUNT(I2261,J2261,K2261,L2261,M2261)=0,NA(),MIN(I2261,J2261,K2261,L2261,M2261))))</f>
        <v/>
      </c>
      <c r="O2261" s="54">
        <f>IF($B2261=0,NA(),IF(Inputs!$B$24&lt;&gt;"Yes",NA(),Inputs!$D$24*Inputs!$C$35))</f>
        <v/>
      </c>
      <c r="P2261" s="54">
        <f>IF($B2261=0,NA(),IF(Inputs!$B$25&lt;&gt;"Yes",NA(),Inputs!$D$25*Inputs!$C$35))</f>
        <v/>
      </c>
      <c r="Q2261" s="54">
        <f>IF($B2261=0,NA(),IF(Inputs!$B$26&lt;&gt;"Yes",NA(),Inputs!$D$26*Inputs!$C$35))</f>
        <v/>
      </c>
      <c r="R2261" s="54">
        <f>IF($B2261=0,NA(),IF(Inputs!$B$27&lt;&gt;"Yes",NA(),Inputs!$D$27*Inputs!$C$35))</f>
        <v/>
      </c>
      <c r="S2261" s="54">
        <f>IF($B2261=0,NA(),IF(Inputs!$B$28&lt;&gt;"Yes",NA(),Inputs!$D$28*Inputs!$C$35))</f>
        <v/>
      </c>
      <c r="T2261" s="54">
        <f>IF($B2261=0,NA(),IF(Inputs!$B$29&lt;&gt;"Yes",NA(),Inputs!$D$29*Inputs!$C$35))</f>
        <v/>
      </c>
      <c r="AD2261">
        <f>IF($B2261=0,0,IF(Inputs!$B$6="",0,COUNTIFS(Data!$A$10:$A$3209,"&gt;="&amp;$A2261,Data!$A$10:$A$3209,"&lt;"&amp;$A2261+1)))</f>
        <v/>
      </c>
      <c r="AE2261">
        <f>IF($B2261=0,0,IF(Inputs!$B$7="",0,COUNTIFS(Data!$E$10:$E$3209,"&gt;="&amp;$A2261,Data!$E$10:$E$3209,"&lt;"&amp;$A2261+1)))</f>
        <v/>
      </c>
      <c r="AF2261">
        <f>IF($B2261=0,0,IF(Inputs!$B$8="",0,COUNTIFS(Data!$I$10:$I$3209,"&gt;="&amp;$A2261,Data!$I$10:$I$3209,"&lt;"&amp;$A2261+1)))</f>
        <v/>
      </c>
      <c r="AG2261">
        <f>IF($B2261=0,0,IF(Inputs!$B$9="",0,COUNTIFS(Data!$M$10:$M$3209,"&gt;="&amp;$A2261,Data!$M$10:$M$3209,"&lt;"&amp;$A2261+1)))</f>
        <v/>
      </c>
      <c r="AH2261">
        <f>IF($B2261=0,0,IF(Inputs!$B$10="",0,COUNTIFS(Data!$Q$10:$Q$3209,"&gt;="&amp;$A2261,Data!$Q$10:$Q$3209,"&lt;"&amp;$A2261+1)))</f>
        <v/>
      </c>
    </row>
    <row r="2262">
      <c r="A2262" s="55">
        <f>MIN(Inputs!$C$15,$A2261+IF(WEEKDAY($A2261,2)=5,3,1))</f>
        <v/>
      </c>
      <c r="B2262">
        <f>IF($A2262&gt;$A2261,1,0)</f>
        <v/>
      </c>
      <c r="C2262" s="56">
        <f>IF($B2262=0,"",IF(Inputs!$B$6="","",IF($AD2262=0,C2261,SUMIFS(Data!$B$10:$B$3209,Data!$A$10:$A$3209,"&gt;="&amp;$A2262,Data!$A$10:$A$3209,"&lt;"&amp;$A2262+1)/$AD2262)))</f>
        <v/>
      </c>
      <c r="D2262" s="56">
        <f>IF($B2262=0,"",IF(Inputs!$B$7="","",IF($AE2262=0,D2261,SUMIFS(Data!$F$10:$F$3209,Data!$E$10:$E$3209,"&gt;="&amp;$A2262,Data!$E$10:$E$3209,"&lt;"&amp;$A2262+1)/$AE2262)))</f>
        <v/>
      </c>
      <c r="E2262" s="56">
        <f>IF($B2262=0,"",IF(Inputs!$B$8="","",IF($AF2262=0,E2261,SUMIFS(Data!$J$10:$J$3209,Data!$I$10:$I$3209,"&gt;="&amp;$A2262,Data!$I$10:$I$3209,"&lt;"&amp;$A2262+1)/$AF2262)))</f>
        <v/>
      </c>
      <c r="F2262" s="56">
        <f>IF($B2262=0,"",IF(Inputs!$B$9="","",IF($AG2262=0,F2261,SUMIFS(Data!$N$10:$N$3209,Data!$M$10:$M$3209,"&gt;="&amp;$A2262,Data!$M$10:$M$3209,"&lt;"&amp;$A2262+1)/$AG2262)))</f>
        <v/>
      </c>
      <c r="G2262" s="56">
        <f>IF($B2262=0,"",IF(Inputs!$B$10="","",IF($AH2262=0,G2261,SUMIFS(Data!$R$10:$R$3209,Data!$Q$10:$Q$3209,"&gt;="&amp;$A2262,Data!$Q$10:$Q$3209,"&lt;"&amp;$A2262+1)/$AH2262)))</f>
        <v/>
      </c>
      <c r="I2262" s="54">
        <f>IF($B2262=0,NA(),IF($C2262="",NA(),IF(C$8="",NA(),IF(N(C$8)=0,NA(),IF(Inputs!$C$17="Rebased to 100",$C2262/C$8*100,$C2262)))))</f>
        <v/>
      </c>
      <c r="J2262" s="54">
        <f>IF($B2262=0,NA(),IF($D2262="",NA(),IF(D$8="",NA(),IF(N(D$8)=0,NA(),IF(Inputs!$C$17="Rebased to 100",$D2262/D$8*100,$D2262)))))</f>
        <v/>
      </c>
      <c r="K2262" s="54">
        <f>IF($B2262=0,NA(),IF($E2262="",NA(),IF(E$8="",NA(),IF(N(E$8)=0,NA(),IF(Inputs!$C$17="Rebased to 100",$E2262/E$8*100,$E2262)))))</f>
        <v/>
      </c>
      <c r="L2262" s="54">
        <f>IF($B2262=0,NA(),IF($F2262="",NA(),IF(F$8="",NA(),IF(N(F$8)=0,NA(),IF(Inputs!$C$17="Rebased to 100",$F2262/F$8*100,$F2262)))))</f>
        <v/>
      </c>
      <c r="M2262" s="54">
        <f>IF($B2262=0,NA(),IF($G2262="",NA(),IF(G$8="",NA(),IF(N(G$8)=0,NA(),IF(Inputs!$C$17="Rebased to 100",$G2262/G$8*100,$G2262)))))</f>
        <v/>
      </c>
      <c r="N2262" s="54">
        <f>IF($B2262=0,NA(),IF(Inputs!$C$18&lt;&gt;"Yes",NA(),IF(COUNT(I2262,J2262,K2262,L2262,M2262)=0,NA(),MIN(I2262,J2262,K2262,L2262,M2262))))</f>
        <v/>
      </c>
      <c r="O2262" s="54">
        <f>IF($B2262=0,NA(),IF(Inputs!$B$24&lt;&gt;"Yes",NA(),Inputs!$D$24*Inputs!$C$35))</f>
        <v/>
      </c>
      <c r="P2262" s="54">
        <f>IF($B2262=0,NA(),IF(Inputs!$B$25&lt;&gt;"Yes",NA(),Inputs!$D$25*Inputs!$C$35))</f>
        <v/>
      </c>
      <c r="Q2262" s="54">
        <f>IF($B2262=0,NA(),IF(Inputs!$B$26&lt;&gt;"Yes",NA(),Inputs!$D$26*Inputs!$C$35))</f>
        <v/>
      </c>
      <c r="R2262" s="54">
        <f>IF($B2262=0,NA(),IF(Inputs!$B$27&lt;&gt;"Yes",NA(),Inputs!$D$27*Inputs!$C$35))</f>
        <v/>
      </c>
      <c r="S2262" s="54">
        <f>IF($B2262=0,NA(),IF(Inputs!$B$28&lt;&gt;"Yes",NA(),Inputs!$D$28*Inputs!$C$35))</f>
        <v/>
      </c>
      <c r="T2262" s="54">
        <f>IF($B2262=0,NA(),IF(Inputs!$B$29&lt;&gt;"Yes",NA(),Inputs!$D$29*Inputs!$C$35))</f>
        <v/>
      </c>
      <c r="AD2262">
        <f>IF($B2262=0,0,IF(Inputs!$B$6="",0,COUNTIFS(Data!$A$10:$A$3209,"&gt;="&amp;$A2262,Data!$A$10:$A$3209,"&lt;"&amp;$A2262+1)))</f>
        <v/>
      </c>
      <c r="AE2262">
        <f>IF($B2262=0,0,IF(Inputs!$B$7="",0,COUNTIFS(Data!$E$10:$E$3209,"&gt;="&amp;$A2262,Data!$E$10:$E$3209,"&lt;"&amp;$A2262+1)))</f>
        <v/>
      </c>
      <c r="AF2262">
        <f>IF($B2262=0,0,IF(Inputs!$B$8="",0,COUNTIFS(Data!$I$10:$I$3209,"&gt;="&amp;$A2262,Data!$I$10:$I$3209,"&lt;"&amp;$A2262+1)))</f>
        <v/>
      </c>
      <c r="AG2262">
        <f>IF($B2262=0,0,IF(Inputs!$B$9="",0,COUNTIFS(Data!$M$10:$M$3209,"&gt;="&amp;$A2262,Data!$M$10:$M$3209,"&lt;"&amp;$A2262+1)))</f>
        <v/>
      </c>
      <c r="AH2262">
        <f>IF($B2262=0,0,IF(Inputs!$B$10="",0,COUNTIFS(Data!$Q$10:$Q$3209,"&gt;="&amp;$A2262,Data!$Q$10:$Q$3209,"&lt;"&amp;$A2262+1)))</f>
        <v/>
      </c>
    </row>
    <row r="2263">
      <c r="A2263" s="55">
        <f>MIN(Inputs!$C$15,$A2262+IF(WEEKDAY($A2262,2)=5,3,1))</f>
        <v/>
      </c>
      <c r="B2263">
        <f>IF($A2263&gt;$A2262,1,0)</f>
        <v/>
      </c>
      <c r="C2263" s="56">
        <f>IF($B2263=0,"",IF(Inputs!$B$6="","",IF($AD2263=0,C2262,SUMIFS(Data!$B$10:$B$3209,Data!$A$10:$A$3209,"&gt;="&amp;$A2263,Data!$A$10:$A$3209,"&lt;"&amp;$A2263+1)/$AD2263)))</f>
        <v/>
      </c>
      <c r="D2263" s="56">
        <f>IF($B2263=0,"",IF(Inputs!$B$7="","",IF($AE2263=0,D2262,SUMIFS(Data!$F$10:$F$3209,Data!$E$10:$E$3209,"&gt;="&amp;$A2263,Data!$E$10:$E$3209,"&lt;"&amp;$A2263+1)/$AE2263)))</f>
        <v/>
      </c>
      <c r="E2263" s="56">
        <f>IF($B2263=0,"",IF(Inputs!$B$8="","",IF($AF2263=0,E2262,SUMIFS(Data!$J$10:$J$3209,Data!$I$10:$I$3209,"&gt;="&amp;$A2263,Data!$I$10:$I$3209,"&lt;"&amp;$A2263+1)/$AF2263)))</f>
        <v/>
      </c>
      <c r="F2263" s="56">
        <f>IF($B2263=0,"",IF(Inputs!$B$9="","",IF($AG2263=0,F2262,SUMIFS(Data!$N$10:$N$3209,Data!$M$10:$M$3209,"&gt;="&amp;$A2263,Data!$M$10:$M$3209,"&lt;"&amp;$A2263+1)/$AG2263)))</f>
        <v/>
      </c>
      <c r="G2263" s="56">
        <f>IF($B2263=0,"",IF(Inputs!$B$10="","",IF($AH2263=0,G2262,SUMIFS(Data!$R$10:$R$3209,Data!$Q$10:$Q$3209,"&gt;="&amp;$A2263,Data!$Q$10:$Q$3209,"&lt;"&amp;$A2263+1)/$AH2263)))</f>
        <v/>
      </c>
      <c r="I2263" s="54">
        <f>IF($B2263=0,NA(),IF($C2263="",NA(),IF(C$8="",NA(),IF(N(C$8)=0,NA(),IF(Inputs!$C$17="Rebased to 100",$C2263/C$8*100,$C2263)))))</f>
        <v/>
      </c>
      <c r="J2263" s="54">
        <f>IF($B2263=0,NA(),IF($D2263="",NA(),IF(D$8="",NA(),IF(N(D$8)=0,NA(),IF(Inputs!$C$17="Rebased to 100",$D2263/D$8*100,$D2263)))))</f>
        <v/>
      </c>
      <c r="K2263" s="54">
        <f>IF($B2263=0,NA(),IF($E2263="",NA(),IF(E$8="",NA(),IF(N(E$8)=0,NA(),IF(Inputs!$C$17="Rebased to 100",$E2263/E$8*100,$E2263)))))</f>
        <v/>
      </c>
      <c r="L2263" s="54">
        <f>IF($B2263=0,NA(),IF($F2263="",NA(),IF(F$8="",NA(),IF(N(F$8)=0,NA(),IF(Inputs!$C$17="Rebased to 100",$F2263/F$8*100,$F2263)))))</f>
        <v/>
      </c>
      <c r="M2263" s="54">
        <f>IF($B2263=0,NA(),IF($G2263="",NA(),IF(G$8="",NA(),IF(N(G$8)=0,NA(),IF(Inputs!$C$17="Rebased to 100",$G2263/G$8*100,$G2263)))))</f>
        <v/>
      </c>
      <c r="N2263" s="54">
        <f>IF($B2263=0,NA(),IF(Inputs!$C$18&lt;&gt;"Yes",NA(),IF(COUNT(I2263,J2263,K2263,L2263,M2263)=0,NA(),MIN(I2263,J2263,K2263,L2263,M2263))))</f>
        <v/>
      </c>
      <c r="O2263" s="54">
        <f>IF($B2263=0,NA(),IF(Inputs!$B$24&lt;&gt;"Yes",NA(),Inputs!$D$24*Inputs!$C$35))</f>
        <v/>
      </c>
      <c r="P2263" s="54">
        <f>IF($B2263=0,NA(),IF(Inputs!$B$25&lt;&gt;"Yes",NA(),Inputs!$D$25*Inputs!$C$35))</f>
        <v/>
      </c>
      <c r="Q2263" s="54">
        <f>IF($B2263=0,NA(),IF(Inputs!$B$26&lt;&gt;"Yes",NA(),Inputs!$D$26*Inputs!$C$35))</f>
        <v/>
      </c>
      <c r="R2263" s="54">
        <f>IF($B2263=0,NA(),IF(Inputs!$B$27&lt;&gt;"Yes",NA(),Inputs!$D$27*Inputs!$C$35))</f>
        <v/>
      </c>
      <c r="S2263" s="54">
        <f>IF($B2263=0,NA(),IF(Inputs!$B$28&lt;&gt;"Yes",NA(),Inputs!$D$28*Inputs!$C$35))</f>
        <v/>
      </c>
      <c r="T2263" s="54">
        <f>IF($B2263=0,NA(),IF(Inputs!$B$29&lt;&gt;"Yes",NA(),Inputs!$D$29*Inputs!$C$35))</f>
        <v/>
      </c>
      <c r="AD2263">
        <f>IF($B2263=0,0,IF(Inputs!$B$6="",0,COUNTIFS(Data!$A$10:$A$3209,"&gt;="&amp;$A2263,Data!$A$10:$A$3209,"&lt;"&amp;$A2263+1)))</f>
        <v/>
      </c>
      <c r="AE2263">
        <f>IF($B2263=0,0,IF(Inputs!$B$7="",0,COUNTIFS(Data!$E$10:$E$3209,"&gt;="&amp;$A2263,Data!$E$10:$E$3209,"&lt;"&amp;$A2263+1)))</f>
        <v/>
      </c>
      <c r="AF2263">
        <f>IF($B2263=0,0,IF(Inputs!$B$8="",0,COUNTIFS(Data!$I$10:$I$3209,"&gt;="&amp;$A2263,Data!$I$10:$I$3209,"&lt;"&amp;$A2263+1)))</f>
        <v/>
      </c>
      <c r="AG2263">
        <f>IF($B2263=0,0,IF(Inputs!$B$9="",0,COUNTIFS(Data!$M$10:$M$3209,"&gt;="&amp;$A2263,Data!$M$10:$M$3209,"&lt;"&amp;$A2263+1)))</f>
        <v/>
      </c>
      <c r="AH2263">
        <f>IF($B2263=0,0,IF(Inputs!$B$10="",0,COUNTIFS(Data!$Q$10:$Q$3209,"&gt;="&amp;$A2263,Data!$Q$10:$Q$3209,"&lt;"&amp;$A2263+1)))</f>
        <v/>
      </c>
    </row>
    <row r="2264">
      <c r="A2264" s="55">
        <f>MIN(Inputs!$C$15,$A2263+IF(WEEKDAY($A2263,2)=5,3,1))</f>
        <v/>
      </c>
      <c r="B2264">
        <f>IF($A2264&gt;$A2263,1,0)</f>
        <v/>
      </c>
      <c r="C2264" s="56">
        <f>IF($B2264=0,"",IF(Inputs!$B$6="","",IF($AD2264=0,C2263,SUMIFS(Data!$B$10:$B$3209,Data!$A$10:$A$3209,"&gt;="&amp;$A2264,Data!$A$10:$A$3209,"&lt;"&amp;$A2264+1)/$AD2264)))</f>
        <v/>
      </c>
      <c r="D2264" s="56">
        <f>IF($B2264=0,"",IF(Inputs!$B$7="","",IF($AE2264=0,D2263,SUMIFS(Data!$F$10:$F$3209,Data!$E$10:$E$3209,"&gt;="&amp;$A2264,Data!$E$10:$E$3209,"&lt;"&amp;$A2264+1)/$AE2264)))</f>
        <v/>
      </c>
      <c r="E2264" s="56">
        <f>IF($B2264=0,"",IF(Inputs!$B$8="","",IF($AF2264=0,E2263,SUMIFS(Data!$J$10:$J$3209,Data!$I$10:$I$3209,"&gt;="&amp;$A2264,Data!$I$10:$I$3209,"&lt;"&amp;$A2264+1)/$AF2264)))</f>
        <v/>
      </c>
      <c r="F2264" s="56">
        <f>IF($B2264=0,"",IF(Inputs!$B$9="","",IF($AG2264=0,F2263,SUMIFS(Data!$N$10:$N$3209,Data!$M$10:$M$3209,"&gt;="&amp;$A2264,Data!$M$10:$M$3209,"&lt;"&amp;$A2264+1)/$AG2264)))</f>
        <v/>
      </c>
      <c r="G2264" s="56">
        <f>IF($B2264=0,"",IF(Inputs!$B$10="","",IF($AH2264=0,G2263,SUMIFS(Data!$R$10:$R$3209,Data!$Q$10:$Q$3209,"&gt;="&amp;$A2264,Data!$Q$10:$Q$3209,"&lt;"&amp;$A2264+1)/$AH2264)))</f>
        <v/>
      </c>
      <c r="I2264" s="54">
        <f>IF($B2264=0,NA(),IF($C2264="",NA(),IF(C$8="",NA(),IF(N(C$8)=0,NA(),IF(Inputs!$C$17="Rebased to 100",$C2264/C$8*100,$C2264)))))</f>
        <v/>
      </c>
      <c r="J2264" s="54">
        <f>IF($B2264=0,NA(),IF($D2264="",NA(),IF(D$8="",NA(),IF(N(D$8)=0,NA(),IF(Inputs!$C$17="Rebased to 100",$D2264/D$8*100,$D2264)))))</f>
        <v/>
      </c>
      <c r="K2264" s="54">
        <f>IF($B2264=0,NA(),IF($E2264="",NA(),IF(E$8="",NA(),IF(N(E$8)=0,NA(),IF(Inputs!$C$17="Rebased to 100",$E2264/E$8*100,$E2264)))))</f>
        <v/>
      </c>
      <c r="L2264" s="54">
        <f>IF($B2264=0,NA(),IF($F2264="",NA(),IF(F$8="",NA(),IF(N(F$8)=0,NA(),IF(Inputs!$C$17="Rebased to 100",$F2264/F$8*100,$F2264)))))</f>
        <v/>
      </c>
      <c r="M2264" s="54">
        <f>IF($B2264=0,NA(),IF($G2264="",NA(),IF(G$8="",NA(),IF(N(G$8)=0,NA(),IF(Inputs!$C$17="Rebased to 100",$G2264/G$8*100,$G2264)))))</f>
        <v/>
      </c>
      <c r="N2264" s="54">
        <f>IF($B2264=0,NA(),IF(Inputs!$C$18&lt;&gt;"Yes",NA(),IF(COUNT(I2264,J2264,K2264,L2264,M2264)=0,NA(),MIN(I2264,J2264,K2264,L2264,M2264))))</f>
        <v/>
      </c>
      <c r="O2264" s="54">
        <f>IF($B2264=0,NA(),IF(Inputs!$B$24&lt;&gt;"Yes",NA(),Inputs!$D$24*Inputs!$C$35))</f>
        <v/>
      </c>
      <c r="P2264" s="54">
        <f>IF($B2264=0,NA(),IF(Inputs!$B$25&lt;&gt;"Yes",NA(),Inputs!$D$25*Inputs!$C$35))</f>
        <v/>
      </c>
      <c r="Q2264" s="54">
        <f>IF($B2264=0,NA(),IF(Inputs!$B$26&lt;&gt;"Yes",NA(),Inputs!$D$26*Inputs!$C$35))</f>
        <v/>
      </c>
      <c r="R2264" s="54">
        <f>IF($B2264=0,NA(),IF(Inputs!$B$27&lt;&gt;"Yes",NA(),Inputs!$D$27*Inputs!$C$35))</f>
        <v/>
      </c>
      <c r="S2264" s="54">
        <f>IF($B2264=0,NA(),IF(Inputs!$B$28&lt;&gt;"Yes",NA(),Inputs!$D$28*Inputs!$C$35))</f>
        <v/>
      </c>
      <c r="T2264" s="54">
        <f>IF($B2264=0,NA(),IF(Inputs!$B$29&lt;&gt;"Yes",NA(),Inputs!$D$29*Inputs!$C$35))</f>
        <v/>
      </c>
      <c r="AD2264">
        <f>IF($B2264=0,0,IF(Inputs!$B$6="",0,COUNTIFS(Data!$A$10:$A$3209,"&gt;="&amp;$A2264,Data!$A$10:$A$3209,"&lt;"&amp;$A2264+1)))</f>
        <v/>
      </c>
      <c r="AE2264">
        <f>IF($B2264=0,0,IF(Inputs!$B$7="",0,COUNTIFS(Data!$E$10:$E$3209,"&gt;="&amp;$A2264,Data!$E$10:$E$3209,"&lt;"&amp;$A2264+1)))</f>
        <v/>
      </c>
      <c r="AF2264">
        <f>IF($B2264=0,0,IF(Inputs!$B$8="",0,COUNTIFS(Data!$I$10:$I$3209,"&gt;="&amp;$A2264,Data!$I$10:$I$3209,"&lt;"&amp;$A2264+1)))</f>
        <v/>
      </c>
      <c r="AG2264">
        <f>IF($B2264=0,0,IF(Inputs!$B$9="",0,COUNTIFS(Data!$M$10:$M$3209,"&gt;="&amp;$A2264,Data!$M$10:$M$3209,"&lt;"&amp;$A2264+1)))</f>
        <v/>
      </c>
      <c r="AH2264">
        <f>IF($B2264=0,0,IF(Inputs!$B$10="",0,COUNTIFS(Data!$Q$10:$Q$3209,"&gt;="&amp;$A2264,Data!$Q$10:$Q$3209,"&lt;"&amp;$A2264+1)))</f>
        <v/>
      </c>
    </row>
    <row r="2265">
      <c r="A2265" s="55">
        <f>MIN(Inputs!$C$15,$A2264+IF(WEEKDAY($A2264,2)=5,3,1))</f>
        <v/>
      </c>
      <c r="B2265">
        <f>IF($A2265&gt;$A2264,1,0)</f>
        <v/>
      </c>
      <c r="C2265" s="56">
        <f>IF($B2265=0,"",IF(Inputs!$B$6="","",IF($AD2265=0,C2264,SUMIFS(Data!$B$10:$B$3209,Data!$A$10:$A$3209,"&gt;="&amp;$A2265,Data!$A$10:$A$3209,"&lt;"&amp;$A2265+1)/$AD2265)))</f>
        <v/>
      </c>
      <c r="D2265" s="56">
        <f>IF($B2265=0,"",IF(Inputs!$B$7="","",IF($AE2265=0,D2264,SUMIFS(Data!$F$10:$F$3209,Data!$E$10:$E$3209,"&gt;="&amp;$A2265,Data!$E$10:$E$3209,"&lt;"&amp;$A2265+1)/$AE2265)))</f>
        <v/>
      </c>
      <c r="E2265" s="56">
        <f>IF($B2265=0,"",IF(Inputs!$B$8="","",IF($AF2265=0,E2264,SUMIFS(Data!$J$10:$J$3209,Data!$I$10:$I$3209,"&gt;="&amp;$A2265,Data!$I$10:$I$3209,"&lt;"&amp;$A2265+1)/$AF2265)))</f>
        <v/>
      </c>
      <c r="F2265" s="56">
        <f>IF($B2265=0,"",IF(Inputs!$B$9="","",IF($AG2265=0,F2264,SUMIFS(Data!$N$10:$N$3209,Data!$M$10:$M$3209,"&gt;="&amp;$A2265,Data!$M$10:$M$3209,"&lt;"&amp;$A2265+1)/$AG2265)))</f>
        <v/>
      </c>
      <c r="G2265" s="56">
        <f>IF($B2265=0,"",IF(Inputs!$B$10="","",IF($AH2265=0,G2264,SUMIFS(Data!$R$10:$R$3209,Data!$Q$10:$Q$3209,"&gt;="&amp;$A2265,Data!$Q$10:$Q$3209,"&lt;"&amp;$A2265+1)/$AH2265)))</f>
        <v/>
      </c>
      <c r="I2265" s="54">
        <f>IF($B2265=0,NA(),IF($C2265="",NA(),IF(C$8="",NA(),IF(N(C$8)=0,NA(),IF(Inputs!$C$17="Rebased to 100",$C2265/C$8*100,$C2265)))))</f>
        <v/>
      </c>
      <c r="J2265" s="54">
        <f>IF($B2265=0,NA(),IF($D2265="",NA(),IF(D$8="",NA(),IF(N(D$8)=0,NA(),IF(Inputs!$C$17="Rebased to 100",$D2265/D$8*100,$D2265)))))</f>
        <v/>
      </c>
      <c r="K2265" s="54">
        <f>IF($B2265=0,NA(),IF($E2265="",NA(),IF(E$8="",NA(),IF(N(E$8)=0,NA(),IF(Inputs!$C$17="Rebased to 100",$E2265/E$8*100,$E2265)))))</f>
        <v/>
      </c>
      <c r="L2265" s="54">
        <f>IF($B2265=0,NA(),IF($F2265="",NA(),IF(F$8="",NA(),IF(N(F$8)=0,NA(),IF(Inputs!$C$17="Rebased to 100",$F2265/F$8*100,$F2265)))))</f>
        <v/>
      </c>
      <c r="M2265" s="54">
        <f>IF($B2265=0,NA(),IF($G2265="",NA(),IF(G$8="",NA(),IF(N(G$8)=0,NA(),IF(Inputs!$C$17="Rebased to 100",$G2265/G$8*100,$G2265)))))</f>
        <v/>
      </c>
      <c r="N2265" s="54">
        <f>IF($B2265=0,NA(),IF(Inputs!$C$18&lt;&gt;"Yes",NA(),IF(COUNT(I2265,J2265,K2265,L2265,M2265)=0,NA(),MIN(I2265,J2265,K2265,L2265,M2265))))</f>
        <v/>
      </c>
      <c r="O2265" s="54">
        <f>IF($B2265=0,NA(),IF(Inputs!$B$24&lt;&gt;"Yes",NA(),Inputs!$D$24*Inputs!$C$35))</f>
        <v/>
      </c>
      <c r="P2265" s="54">
        <f>IF($B2265=0,NA(),IF(Inputs!$B$25&lt;&gt;"Yes",NA(),Inputs!$D$25*Inputs!$C$35))</f>
        <v/>
      </c>
      <c r="Q2265" s="54">
        <f>IF($B2265=0,NA(),IF(Inputs!$B$26&lt;&gt;"Yes",NA(),Inputs!$D$26*Inputs!$C$35))</f>
        <v/>
      </c>
      <c r="R2265" s="54">
        <f>IF($B2265=0,NA(),IF(Inputs!$B$27&lt;&gt;"Yes",NA(),Inputs!$D$27*Inputs!$C$35))</f>
        <v/>
      </c>
      <c r="S2265" s="54">
        <f>IF($B2265=0,NA(),IF(Inputs!$B$28&lt;&gt;"Yes",NA(),Inputs!$D$28*Inputs!$C$35))</f>
        <v/>
      </c>
      <c r="T2265" s="54">
        <f>IF($B2265=0,NA(),IF(Inputs!$B$29&lt;&gt;"Yes",NA(),Inputs!$D$29*Inputs!$C$35))</f>
        <v/>
      </c>
      <c r="AD2265">
        <f>IF($B2265=0,0,IF(Inputs!$B$6="",0,COUNTIFS(Data!$A$10:$A$3209,"&gt;="&amp;$A2265,Data!$A$10:$A$3209,"&lt;"&amp;$A2265+1)))</f>
        <v/>
      </c>
      <c r="AE2265">
        <f>IF($B2265=0,0,IF(Inputs!$B$7="",0,COUNTIFS(Data!$E$10:$E$3209,"&gt;="&amp;$A2265,Data!$E$10:$E$3209,"&lt;"&amp;$A2265+1)))</f>
        <v/>
      </c>
      <c r="AF2265">
        <f>IF($B2265=0,0,IF(Inputs!$B$8="",0,COUNTIFS(Data!$I$10:$I$3209,"&gt;="&amp;$A2265,Data!$I$10:$I$3209,"&lt;"&amp;$A2265+1)))</f>
        <v/>
      </c>
      <c r="AG2265">
        <f>IF($B2265=0,0,IF(Inputs!$B$9="",0,COUNTIFS(Data!$M$10:$M$3209,"&gt;="&amp;$A2265,Data!$M$10:$M$3209,"&lt;"&amp;$A2265+1)))</f>
        <v/>
      </c>
      <c r="AH2265">
        <f>IF($B2265=0,0,IF(Inputs!$B$10="",0,COUNTIFS(Data!$Q$10:$Q$3209,"&gt;="&amp;$A2265,Data!$Q$10:$Q$3209,"&lt;"&amp;$A2265+1)))</f>
        <v/>
      </c>
    </row>
    <row r="2266">
      <c r="A2266" s="55">
        <f>MIN(Inputs!$C$15,$A2265+IF(WEEKDAY($A2265,2)=5,3,1))</f>
        <v/>
      </c>
      <c r="B2266">
        <f>IF($A2266&gt;$A2265,1,0)</f>
        <v/>
      </c>
      <c r="C2266" s="56">
        <f>IF($B2266=0,"",IF(Inputs!$B$6="","",IF($AD2266=0,C2265,SUMIFS(Data!$B$10:$B$3209,Data!$A$10:$A$3209,"&gt;="&amp;$A2266,Data!$A$10:$A$3209,"&lt;"&amp;$A2266+1)/$AD2266)))</f>
        <v/>
      </c>
      <c r="D2266" s="56">
        <f>IF($B2266=0,"",IF(Inputs!$B$7="","",IF($AE2266=0,D2265,SUMIFS(Data!$F$10:$F$3209,Data!$E$10:$E$3209,"&gt;="&amp;$A2266,Data!$E$10:$E$3209,"&lt;"&amp;$A2266+1)/$AE2266)))</f>
        <v/>
      </c>
      <c r="E2266" s="56">
        <f>IF($B2266=0,"",IF(Inputs!$B$8="","",IF($AF2266=0,E2265,SUMIFS(Data!$J$10:$J$3209,Data!$I$10:$I$3209,"&gt;="&amp;$A2266,Data!$I$10:$I$3209,"&lt;"&amp;$A2266+1)/$AF2266)))</f>
        <v/>
      </c>
      <c r="F2266" s="56">
        <f>IF($B2266=0,"",IF(Inputs!$B$9="","",IF($AG2266=0,F2265,SUMIFS(Data!$N$10:$N$3209,Data!$M$10:$M$3209,"&gt;="&amp;$A2266,Data!$M$10:$M$3209,"&lt;"&amp;$A2266+1)/$AG2266)))</f>
        <v/>
      </c>
      <c r="G2266" s="56">
        <f>IF($B2266=0,"",IF(Inputs!$B$10="","",IF($AH2266=0,G2265,SUMIFS(Data!$R$10:$R$3209,Data!$Q$10:$Q$3209,"&gt;="&amp;$A2266,Data!$Q$10:$Q$3209,"&lt;"&amp;$A2266+1)/$AH2266)))</f>
        <v/>
      </c>
      <c r="I2266" s="54">
        <f>IF($B2266=0,NA(),IF($C2266="",NA(),IF(C$8="",NA(),IF(N(C$8)=0,NA(),IF(Inputs!$C$17="Rebased to 100",$C2266/C$8*100,$C2266)))))</f>
        <v/>
      </c>
      <c r="J2266" s="54">
        <f>IF($B2266=0,NA(),IF($D2266="",NA(),IF(D$8="",NA(),IF(N(D$8)=0,NA(),IF(Inputs!$C$17="Rebased to 100",$D2266/D$8*100,$D2266)))))</f>
        <v/>
      </c>
      <c r="K2266" s="54">
        <f>IF($B2266=0,NA(),IF($E2266="",NA(),IF(E$8="",NA(),IF(N(E$8)=0,NA(),IF(Inputs!$C$17="Rebased to 100",$E2266/E$8*100,$E2266)))))</f>
        <v/>
      </c>
      <c r="L2266" s="54">
        <f>IF($B2266=0,NA(),IF($F2266="",NA(),IF(F$8="",NA(),IF(N(F$8)=0,NA(),IF(Inputs!$C$17="Rebased to 100",$F2266/F$8*100,$F2266)))))</f>
        <v/>
      </c>
      <c r="M2266" s="54">
        <f>IF($B2266=0,NA(),IF($G2266="",NA(),IF(G$8="",NA(),IF(N(G$8)=0,NA(),IF(Inputs!$C$17="Rebased to 100",$G2266/G$8*100,$G2266)))))</f>
        <v/>
      </c>
      <c r="N2266" s="54">
        <f>IF($B2266=0,NA(),IF(Inputs!$C$18&lt;&gt;"Yes",NA(),IF(COUNT(I2266,J2266,K2266,L2266,M2266)=0,NA(),MIN(I2266,J2266,K2266,L2266,M2266))))</f>
        <v/>
      </c>
      <c r="O2266" s="54">
        <f>IF($B2266=0,NA(),IF(Inputs!$B$24&lt;&gt;"Yes",NA(),Inputs!$D$24*Inputs!$C$35))</f>
        <v/>
      </c>
      <c r="P2266" s="54">
        <f>IF($B2266=0,NA(),IF(Inputs!$B$25&lt;&gt;"Yes",NA(),Inputs!$D$25*Inputs!$C$35))</f>
        <v/>
      </c>
      <c r="Q2266" s="54">
        <f>IF($B2266=0,NA(),IF(Inputs!$B$26&lt;&gt;"Yes",NA(),Inputs!$D$26*Inputs!$C$35))</f>
        <v/>
      </c>
      <c r="R2266" s="54">
        <f>IF($B2266=0,NA(),IF(Inputs!$B$27&lt;&gt;"Yes",NA(),Inputs!$D$27*Inputs!$C$35))</f>
        <v/>
      </c>
      <c r="S2266" s="54">
        <f>IF($B2266=0,NA(),IF(Inputs!$B$28&lt;&gt;"Yes",NA(),Inputs!$D$28*Inputs!$C$35))</f>
        <v/>
      </c>
      <c r="T2266" s="54">
        <f>IF($B2266=0,NA(),IF(Inputs!$B$29&lt;&gt;"Yes",NA(),Inputs!$D$29*Inputs!$C$35))</f>
        <v/>
      </c>
      <c r="AD2266">
        <f>IF($B2266=0,0,IF(Inputs!$B$6="",0,COUNTIFS(Data!$A$10:$A$3209,"&gt;="&amp;$A2266,Data!$A$10:$A$3209,"&lt;"&amp;$A2266+1)))</f>
        <v/>
      </c>
      <c r="AE2266">
        <f>IF($B2266=0,0,IF(Inputs!$B$7="",0,COUNTIFS(Data!$E$10:$E$3209,"&gt;="&amp;$A2266,Data!$E$10:$E$3209,"&lt;"&amp;$A2266+1)))</f>
        <v/>
      </c>
      <c r="AF2266">
        <f>IF($B2266=0,0,IF(Inputs!$B$8="",0,COUNTIFS(Data!$I$10:$I$3209,"&gt;="&amp;$A2266,Data!$I$10:$I$3209,"&lt;"&amp;$A2266+1)))</f>
        <v/>
      </c>
      <c r="AG2266">
        <f>IF($B2266=0,0,IF(Inputs!$B$9="",0,COUNTIFS(Data!$M$10:$M$3209,"&gt;="&amp;$A2266,Data!$M$10:$M$3209,"&lt;"&amp;$A2266+1)))</f>
        <v/>
      </c>
      <c r="AH2266">
        <f>IF($B2266=0,0,IF(Inputs!$B$10="",0,COUNTIFS(Data!$Q$10:$Q$3209,"&gt;="&amp;$A2266,Data!$Q$10:$Q$3209,"&lt;"&amp;$A2266+1)))</f>
        <v/>
      </c>
    </row>
    <row r="2267">
      <c r="A2267" s="55">
        <f>MIN(Inputs!$C$15,$A2266+IF(WEEKDAY($A2266,2)=5,3,1))</f>
        <v/>
      </c>
      <c r="B2267">
        <f>IF($A2267&gt;$A2266,1,0)</f>
        <v/>
      </c>
      <c r="C2267" s="56">
        <f>IF($B2267=0,"",IF(Inputs!$B$6="","",IF($AD2267=0,C2266,SUMIFS(Data!$B$10:$B$3209,Data!$A$10:$A$3209,"&gt;="&amp;$A2267,Data!$A$10:$A$3209,"&lt;"&amp;$A2267+1)/$AD2267)))</f>
        <v/>
      </c>
      <c r="D2267" s="56">
        <f>IF($B2267=0,"",IF(Inputs!$B$7="","",IF($AE2267=0,D2266,SUMIFS(Data!$F$10:$F$3209,Data!$E$10:$E$3209,"&gt;="&amp;$A2267,Data!$E$10:$E$3209,"&lt;"&amp;$A2267+1)/$AE2267)))</f>
        <v/>
      </c>
      <c r="E2267" s="56">
        <f>IF($B2267=0,"",IF(Inputs!$B$8="","",IF($AF2267=0,E2266,SUMIFS(Data!$J$10:$J$3209,Data!$I$10:$I$3209,"&gt;="&amp;$A2267,Data!$I$10:$I$3209,"&lt;"&amp;$A2267+1)/$AF2267)))</f>
        <v/>
      </c>
      <c r="F2267" s="56">
        <f>IF($B2267=0,"",IF(Inputs!$B$9="","",IF($AG2267=0,F2266,SUMIFS(Data!$N$10:$N$3209,Data!$M$10:$M$3209,"&gt;="&amp;$A2267,Data!$M$10:$M$3209,"&lt;"&amp;$A2267+1)/$AG2267)))</f>
        <v/>
      </c>
      <c r="G2267" s="56">
        <f>IF($B2267=0,"",IF(Inputs!$B$10="","",IF($AH2267=0,G2266,SUMIFS(Data!$R$10:$R$3209,Data!$Q$10:$Q$3209,"&gt;="&amp;$A2267,Data!$Q$10:$Q$3209,"&lt;"&amp;$A2267+1)/$AH2267)))</f>
        <v/>
      </c>
      <c r="I2267" s="54">
        <f>IF($B2267=0,NA(),IF($C2267="",NA(),IF(C$8="",NA(),IF(N(C$8)=0,NA(),IF(Inputs!$C$17="Rebased to 100",$C2267/C$8*100,$C2267)))))</f>
        <v/>
      </c>
      <c r="J2267" s="54">
        <f>IF($B2267=0,NA(),IF($D2267="",NA(),IF(D$8="",NA(),IF(N(D$8)=0,NA(),IF(Inputs!$C$17="Rebased to 100",$D2267/D$8*100,$D2267)))))</f>
        <v/>
      </c>
      <c r="K2267" s="54">
        <f>IF($B2267=0,NA(),IF($E2267="",NA(),IF(E$8="",NA(),IF(N(E$8)=0,NA(),IF(Inputs!$C$17="Rebased to 100",$E2267/E$8*100,$E2267)))))</f>
        <v/>
      </c>
      <c r="L2267" s="54">
        <f>IF($B2267=0,NA(),IF($F2267="",NA(),IF(F$8="",NA(),IF(N(F$8)=0,NA(),IF(Inputs!$C$17="Rebased to 100",$F2267/F$8*100,$F2267)))))</f>
        <v/>
      </c>
      <c r="M2267" s="54">
        <f>IF($B2267=0,NA(),IF($G2267="",NA(),IF(G$8="",NA(),IF(N(G$8)=0,NA(),IF(Inputs!$C$17="Rebased to 100",$G2267/G$8*100,$G2267)))))</f>
        <v/>
      </c>
      <c r="N2267" s="54">
        <f>IF($B2267=0,NA(),IF(Inputs!$C$18&lt;&gt;"Yes",NA(),IF(COUNT(I2267,J2267,K2267,L2267,M2267)=0,NA(),MIN(I2267,J2267,K2267,L2267,M2267))))</f>
        <v/>
      </c>
      <c r="O2267" s="54">
        <f>IF($B2267=0,NA(),IF(Inputs!$B$24&lt;&gt;"Yes",NA(),Inputs!$D$24*Inputs!$C$35))</f>
        <v/>
      </c>
      <c r="P2267" s="54">
        <f>IF($B2267=0,NA(),IF(Inputs!$B$25&lt;&gt;"Yes",NA(),Inputs!$D$25*Inputs!$C$35))</f>
        <v/>
      </c>
      <c r="Q2267" s="54">
        <f>IF($B2267=0,NA(),IF(Inputs!$B$26&lt;&gt;"Yes",NA(),Inputs!$D$26*Inputs!$C$35))</f>
        <v/>
      </c>
      <c r="R2267" s="54">
        <f>IF($B2267=0,NA(),IF(Inputs!$B$27&lt;&gt;"Yes",NA(),Inputs!$D$27*Inputs!$C$35))</f>
        <v/>
      </c>
      <c r="S2267" s="54">
        <f>IF($B2267=0,NA(),IF(Inputs!$B$28&lt;&gt;"Yes",NA(),Inputs!$D$28*Inputs!$C$35))</f>
        <v/>
      </c>
      <c r="T2267" s="54">
        <f>IF($B2267=0,NA(),IF(Inputs!$B$29&lt;&gt;"Yes",NA(),Inputs!$D$29*Inputs!$C$35))</f>
        <v/>
      </c>
      <c r="AD2267">
        <f>IF($B2267=0,0,IF(Inputs!$B$6="",0,COUNTIFS(Data!$A$10:$A$3209,"&gt;="&amp;$A2267,Data!$A$10:$A$3209,"&lt;"&amp;$A2267+1)))</f>
        <v/>
      </c>
      <c r="AE2267">
        <f>IF($B2267=0,0,IF(Inputs!$B$7="",0,COUNTIFS(Data!$E$10:$E$3209,"&gt;="&amp;$A2267,Data!$E$10:$E$3209,"&lt;"&amp;$A2267+1)))</f>
        <v/>
      </c>
      <c r="AF2267">
        <f>IF($B2267=0,0,IF(Inputs!$B$8="",0,COUNTIFS(Data!$I$10:$I$3209,"&gt;="&amp;$A2267,Data!$I$10:$I$3209,"&lt;"&amp;$A2267+1)))</f>
        <v/>
      </c>
      <c r="AG2267">
        <f>IF($B2267=0,0,IF(Inputs!$B$9="",0,COUNTIFS(Data!$M$10:$M$3209,"&gt;="&amp;$A2267,Data!$M$10:$M$3209,"&lt;"&amp;$A2267+1)))</f>
        <v/>
      </c>
      <c r="AH2267">
        <f>IF($B2267=0,0,IF(Inputs!$B$10="",0,COUNTIFS(Data!$Q$10:$Q$3209,"&gt;="&amp;$A2267,Data!$Q$10:$Q$3209,"&lt;"&amp;$A2267+1)))</f>
        <v/>
      </c>
    </row>
    <row r="2268">
      <c r="A2268" s="55">
        <f>MIN(Inputs!$C$15,$A2267+IF(WEEKDAY($A2267,2)=5,3,1))</f>
        <v/>
      </c>
      <c r="B2268">
        <f>IF($A2268&gt;$A2267,1,0)</f>
        <v/>
      </c>
      <c r="C2268" s="56">
        <f>IF($B2268=0,"",IF(Inputs!$B$6="","",IF($AD2268=0,C2267,SUMIFS(Data!$B$10:$B$3209,Data!$A$10:$A$3209,"&gt;="&amp;$A2268,Data!$A$10:$A$3209,"&lt;"&amp;$A2268+1)/$AD2268)))</f>
        <v/>
      </c>
      <c r="D2268" s="56">
        <f>IF($B2268=0,"",IF(Inputs!$B$7="","",IF($AE2268=0,D2267,SUMIFS(Data!$F$10:$F$3209,Data!$E$10:$E$3209,"&gt;="&amp;$A2268,Data!$E$10:$E$3209,"&lt;"&amp;$A2268+1)/$AE2268)))</f>
        <v/>
      </c>
      <c r="E2268" s="56">
        <f>IF($B2268=0,"",IF(Inputs!$B$8="","",IF($AF2268=0,E2267,SUMIFS(Data!$J$10:$J$3209,Data!$I$10:$I$3209,"&gt;="&amp;$A2268,Data!$I$10:$I$3209,"&lt;"&amp;$A2268+1)/$AF2268)))</f>
        <v/>
      </c>
      <c r="F2268" s="56">
        <f>IF($B2268=0,"",IF(Inputs!$B$9="","",IF($AG2268=0,F2267,SUMIFS(Data!$N$10:$N$3209,Data!$M$10:$M$3209,"&gt;="&amp;$A2268,Data!$M$10:$M$3209,"&lt;"&amp;$A2268+1)/$AG2268)))</f>
        <v/>
      </c>
      <c r="G2268" s="56">
        <f>IF($B2268=0,"",IF(Inputs!$B$10="","",IF($AH2268=0,G2267,SUMIFS(Data!$R$10:$R$3209,Data!$Q$10:$Q$3209,"&gt;="&amp;$A2268,Data!$Q$10:$Q$3209,"&lt;"&amp;$A2268+1)/$AH2268)))</f>
        <v/>
      </c>
      <c r="I2268" s="54">
        <f>IF($B2268=0,NA(),IF($C2268="",NA(),IF(C$8="",NA(),IF(N(C$8)=0,NA(),IF(Inputs!$C$17="Rebased to 100",$C2268/C$8*100,$C2268)))))</f>
        <v/>
      </c>
      <c r="J2268" s="54">
        <f>IF($B2268=0,NA(),IF($D2268="",NA(),IF(D$8="",NA(),IF(N(D$8)=0,NA(),IF(Inputs!$C$17="Rebased to 100",$D2268/D$8*100,$D2268)))))</f>
        <v/>
      </c>
      <c r="K2268" s="54">
        <f>IF($B2268=0,NA(),IF($E2268="",NA(),IF(E$8="",NA(),IF(N(E$8)=0,NA(),IF(Inputs!$C$17="Rebased to 100",$E2268/E$8*100,$E2268)))))</f>
        <v/>
      </c>
      <c r="L2268" s="54">
        <f>IF($B2268=0,NA(),IF($F2268="",NA(),IF(F$8="",NA(),IF(N(F$8)=0,NA(),IF(Inputs!$C$17="Rebased to 100",$F2268/F$8*100,$F2268)))))</f>
        <v/>
      </c>
      <c r="M2268" s="54">
        <f>IF($B2268=0,NA(),IF($G2268="",NA(),IF(G$8="",NA(),IF(N(G$8)=0,NA(),IF(Inputs!$C$17="Rebased to 100",$G2268/G$8*100,$G2268)))))</f>
        <v/>
      </c>
      <c r="N2268" s="54">
        <f>IF($B2268=0,NA(),IF(Inputs!$C$18&lt;&gt;"Yes",NA(),IF(COUNT(I2268,J2268,K2268,L2268,M2268)=0,NA(),MIN(I2268,J2268,K2268,L2268,M2268))))</f>
        <v/>
      </c>
      <c r="O2268" s="54">
        <f>IF($B2268=0,NA(),IF(Inputs!$B$24&lt;&gt;"Yes",NA(),Inputs!$D$24*Inputs!$C$35))</f>
        <v/>
      </c>
      <c r="P2268" s="54">
        <f>IF($B2268=0,NA(),IF(Inputs!$B$25&lt;&gt;"Yes",NA(),Inputs!$D$25*Inputs!$C$35))</f>
        <v/>
      </c>
      <c r="Q2268" s="54">
        <f>IF($B2268=0,NA(),IF(Inputs!$B$26&lt;&gt;"Yes",NA(),Inputs!$D$26*Inputs!$C$35))</f>
        <v/>
      </c>
      <c r="R2268" s="54">
        <f>IF($B2268=0,NA(),IF(Inputs!$B$27&lt;&gt;"Yes",NA(),Inputs!$D$27*Inputs!$C$35))</f>
        <v/>
      </c>
      <c r="S2268" s="54">
        <f>IF($B2268=0,NA(),IF(Inputs!$B$28&lt;&gt;"Yes",NA(),Inputs!$D$28*Inputs!$C$35))</f>
        <v/>
      </c>
      <c r="T2268" s="54">
        <f>IF($B2268=0,NA(),IF(Inputs!$B$29&lt;&gt;"Yes",NA(),Inputs!$D$29*Inputs!$C$35))</f>
        <v/>
      </c>
      <c r="AD2268">
        <f>IF($B2268=0,0,IF(Inputs!$B$6="",0,COUNTIFS(Data!$A$10:$A$3209,"&gt;="&amp;$A2268,Data!$A$10:$A$3209,"&lt;"&amp;$A2268+1)))</f>
        <v/>
      </c>
      <c r="AE2268">
        <f>IF($B2268=0,0,IF(Inputs!$B$7="",0,COUNTIFS(Data!$E$10:$E$3209,"&gt;="&amp;$A2268,Data!$E$10:$E$3209,"&lt;"&amp;$A2268+1)))</f>
        <v/>
      </c>
      <c r="AF2268">
        <f>IF($B2268=0,0,IF(Inputs!$B$8="",0,COUNTIFS(Data!$I$10:$I$3209,"&gt;="&amp;$A2268,Data!$I$10:$I$3209,"&lt;"&amp;$A2268+1)))</f>
        <v/>
      </c>
      <c r="AG2268">
        <f>IF($B2268=0,0,IF(Inputs!$B$9="",0,COUNTIFS(Data!$M$10:$M$3209,"&gt;="&amp;$A2268,Data!$M$10:$M$3209,"&lt;"&amp;$A2268+1)))</f>
        <v/>
      </c>
      <c r="AH2268">
        <f>IF($B2268=0,0,IF(Inputs!$B$10="",0,COUNTIFS(Data!$Q$10:$Q$3209,"&gt;="&amp;$A2268,Data!$Q$10:$Q$3209,"&lt;"&amp;$A2268+1)))</f>
        <v/>
      </c>
    </row>
    <row r="2269">
      <c r="A2269" s="55">
        <f>MIN(Inputs!$C$15,$A2268+IF(WEEKDAY($A2268,2)=5,3,1))</f>
        <v/>
      </c>
      <c r="B2269">
        <f>IF($A2269&gt;$A2268,1,0)</f>
        <v/>
      </c>
      <c r="C2269" s="56">
        <f>IF($B2269=0,"",IF(Inputs!$B$6="","",IF($AD2269=0,C2268,SUMIFS(Data!$B$10:$B$3209,Data!$A$10:$A$3209,"&gt;="&amp;$A2269,Data!$A$10:$A$3209,"&lt;"&amp;$A2269+1)/$AD2269)))</f>
        <v/>
      </c>
      <c r="D2269" s="56">
        <f>IF($B2269=0,"",IF(Inputs!$B$7="","",IF($AE2269=0,D2268,SUMIFS(Data!$F$10:$F$3209,Data!$E$10:$E$3209,"&gt;="&amp;$A2269,Data!$E$10:$E$3209,"&lt;"&amp;$A2269+1)/$AE2269)))</f>
        <v/>
      </c>
      <c r="E2269" s="56">
        <f>IF($B2269=0,"",IF(Inputs!$B$8="","",IF($AF2269=0,E2268,SUMIFS(Data!$J$10:$J$3209,Data!$I$10:$I$3209,"&gt;="&amp;$A2269,Data!$I$10:$I$3209,"&lt;"&amp;$A2269+1)/$AF2269)))</f>
        <v/>
      </c>
      <c r="F2269" s="56">
        <f>IF($B2269=0,"",IF(Inputs!$B$9="","",IF($AG2269=0,F2268,SUMIFS(Data!$N$10:$N$3209,Data!$M$10:$M$3209,"&gt;="&amp;$A2269,Data!$M$10:$M$3209,"&lt;"&amp;$A2269+1)/$AG2269)))</f>
        <v/>
      </c>
      <c r="G2269" s="56">
        <f>IF($B2269=0,"",IF(Inputs!$B$10="","",IF($AH2269=0,G2268,SUMIFS(Data!$R$10:$R$3209,Data!$Q$10:$Q$3209,"&gt;="&amp;$A2269,Data!$Q$10:$Q$3209,"&lt;"&amp;$A2269+1)/$AH2269)))</f>
        <v/>
      </c>
      <c r="I2269" s="54">
        <f>IF($B2269=0,NA(),IF($C2269="",NA(),IF(C$8="",NA(),IF(N(C$8)=0,NA(),IF(Inputs!$C$17="Rebased to 100",$C2269/C$8*100,$C2269)))))</f>
        <v/>
      </c>
      <c r="J2269" s="54">
        <f>IF($B2269=0,NA(),IF($D2269="",NA(),IF(D$8="",NA(),IF(N(D$8)=0,NA(),IF(Inputs!$C$17="Rebased to 100",$D2269/D$8*100,$D2269)))))</f>
        <v/>
      </c>
      <c r="K2269" s="54">
        <f>IF($B2269=0,NA(),IF($E2269="",NA(),IF(E$8="",NA(),IF(N(E$8)=0,NA(),IF(Inputs!$C$17="Rebased to 100",$E2269/E$8*100,$E2269)))))</f>
        <v/>
      </c>
      <c r="L2269" s="54">
        <f>IF($B2269=0,NA(),IF($F2269="",NA(),IF(F$8="",NA(),IF(N(F$8)=0,NA(),IF(Inputs!$C$17="Rebased to 100",$F2269/F$8*100,$F2269)))))</f>
        <v/>
      </c>
      <c r="M2269" s="54">
        <f>IF($B2269=0,NA(),IF($G2269="",NA(),IF(G$8="",NA(),IF(N(G$8)=0,NA(),IF(Inputs!$C$17="Rebased to 100",$G2269/G$8*100,$G2269)))))</f>
        <v/>
      </c>
      <c r="N2269" s="54">
        <f>IF($B2269=0,NA(),IF(Inputs!$C$18&lt;&gt;"Yes",NA(),IF(COUNT(I2269,J2269,K2269,L2269,M2269)=0,NA(),MIN(I2269,J2269,K2269,L2269,M2269))))</f>
        <v/>
      </c>
      <c r="O2269" s="54">
        <f>IF($B2269=0,NA(),IF(Inputs!$B$24&lt;&gt;"Yes",NA(),Inputs!$D$24*Inputs!$C$35))</f>
        <v/>
      </c>
      <c r="P2269" s="54">
        <f>IF($B2269=0,NA(),IF(Inputs!$B$25&lt;&gt;"Yes",NA(),Inputs!$D$25*Inputs!$C$35))</f>
        <v/>
      </c>
      <c r="Q2269" s="54">
        <f>IF($B2269=0,NA(),IF(Inputs!$B$26&lt;&gt;"Yes",NA(),Inputs!$D$26*Inputs!$C$35))</f>
        <v/>
      </c>
      <c r="R2269" s="54">
        <f>IF($B2269=0,NA(),IF(Inputs!$B$27&lt;&gt;"Yes",NA(),Inputs!$D$27*Inputs!$C$35))</f>
        <v/>
      </c>
      <c r="S2269" s="54">
        <f>IF($B2269=0,NA(),IF(Inputs!$B$28&lt;&gt;"Yes",NA(),Inputs!$D$28*Inputs!$C$35))</f>
        <v/>
      </c>
      <c r="T2269" s="54">
        <f>IF($B2269=0,NA(),IF(Inputs!$B$29&lt;&gt;"Yes",NA(),Inputs!$D$29*Inputs!$C$35))</f>
        <v/>
      </c>
      <c r="AD2269">
        <f>IF($B2269=0,0,IF(Inputs!$B$6="",0,COUNTIFS(Data!$A$10:$A$3209,"&gt;="&amp;$A2269,Data!$A$10:$A$3209,"&lt;"&amp;$A2269+1)))</f>
        <v/>
      </c>
      <c r="AE2269">
        <f>IF($B2269=0,0,IF(Inputs!$B$7="",0,COUNTIFS(Data!$E$10:$E$3209,"&gt;="&amp;$A2269,Data!$E$10:$E$3209,"&lt;"&amp;$A2269+1)))</f>
        <v/>
      </c>
      <c r="AF2269">
        <f>IF($B2269=0,0,IF(Inputs!$B$8="",0,COUNTIFS(Data!$I$10:$I$3209,"&gt;="&amp;$A2269,Data!$I$10:$I$3209,"&lt;"&amp;$A2269+1)))</f>
        <v/>
      </c>
      <c r="AG2269">
        <f>IF($B2269=0,0,IF(Inputs!$B$9="",0,COUNTIFS(Data!$M$10:$M$3209,"&gt;="&amp;$A2269,Data!$M$10:$M$3209,"&lt;"&amp;$A2269+1)))</f>
        <v/>
      </c>
      <c r="AH2269">
        <f>IF($B2269=0,0,IF(Inputs!$B$10="",0,COUNTIFS(Data!$Q$10:$Q$3209,"&gt;="&amp;$A2269,Data!$Q$10:$Q$3209,"&lt;"&amp;$A2269+1)))</f>
        <v/>
      </c>
    </row>
    <row r="2270">
      <c r="A2270" s="55">
        <f>MIN(Inputs!$C$15,$A2269+IF(WEEKDAY($A2269,2)=5,3,1))</f>
        <v/>
      </c>
      <c r="B2270">
        <f>IF($A2270&gt;$A2269,1,0)</f>
        <v/>
      </c>
      <c r="C2270" s="56">
        <f>IF($B2270=0,"",IF(Inputs!$B$6="","",IF($AD2270=0,C2269,SUMIFS(Data!$B$10:$B$3209,Data!$A$10:$A$3209,"&gt;="&amp;$A2270,Data!$A$10:$A$3209,"&lt;"&amp;$A2270+1)/$AD2270)))</f>
        <v/>
      </c>
      <c r="D2270" s="56">
        <f>IF($B2270=0,"",IF(Inputs!$B$7="","",IF($AE2270=0,D2269,SUMIFS(Data!$F$10:$F$3209,Data!$E$10:$E$3209,"&gt;="&amp;$A2270,Data!$E$10:$E$3209,"&lt;"&amp;$A2270+1)/$AE2270)))</f>
        <v/>
      </c>
      <c r="E2270" s="56">
        <f>IF($B2270=0,"",IF(Inputs!$B$8="","",IF($AF2270=0,E2269,SUMIFS(Data!$J$10:$J$3209,Data!$I$10:$I$3209,"&gt;="&amp;$A2270,Data!$I$10:$I$3209,"&lt;"&amp;$A2270+1)/$AF2270)))</f>
        <v/>
      </c>
      <c r="F2270" s="56">
        <f>IF($B2270=0,"",IF(Inputs!$B$9="","",IF($AG2270=0,F2269,SUMIFS(Data!$N$10:$N$3209,Data!$M$10:$M$3209,"&gt;="&amp;$A2270,Data!$M$10:$M$3209,"&lt;"&amp;$A2270+1)/$AG2270)))</f>
        <v/>
      </c>
      <c r="G2270" s="56">
        <f>IF($B2270=0,"",IF(Inputs!$B$10="","",IF($AH2270=0,G2269,SUMIFS(Data!$R$10:$R$3209,Data!$Q$10:$Q$3209,"&gt;="&amp;$A2270,Data!$Q$10:$Q$3209,"&lt;"&amp;$A2270+1)/$AH2270)))</f>
        <v/>
      </c>
      <c r="I2270" s="54">
        <f>IF($B2270=0,NA(),IF($C2270="",NA(),IF(C$8="",NA(),IF(N(C$8)=0,NA(),IF(Inputs!$C$17="Rebased to 100",$C2270/C$8*100,$C2270)))))</f>
        <v/>
      </c>
      <c r="J2270" s="54">
        <f>IF($B2270=0,NA(),IF($D2270="",NA(),IF(D$8="",NA(),IF(N(D$8)=0,NA(),IF(Inputs!$C$17="Rebased to 100",$D2270/D$8*100,$D2270)))))</f>
        <v/>
      </c>
      <c r="K2270" s="54">
        <f>IF($B2270=0,NA(),IF($E2270="",NA(),IF(E$8="",NA(),IF(N(E$8)=0,NA(),IF(Inputs!$C$17="Rebased to 100",$E2270/E$8*100,$E2270)))))</f>
        <v/>
      </c>
      <c r="L2270" s="54">
        <f>IF($B2270=0,NA(),IF($F2270="",NA(),IF(F$8="",NA(),IF(N(F$8)=0,NA(),IF(Inputs!$C$17="Rebased to 100",$F2270/F$8*100,$F2270)))))</f>
        <v/>
      </c>
      <c r="M2270" s="54">
        <f>IF($B2270=0,NA(),IF($G2270="",NA(),IF(G$8="",NA(),IF(N(G$8)=0,NA(),IF(Inputs!$C$17="Rebased to 100",$G2270/G$8*100,$G2270)))))</f>
        <v/>
      </c>
      <c r="N2270" s="54">
        <f>IF($B2270=0,NA(),IF(Inputs!$C$18&lt;&gt;"Yes",NA(),IF(COUNT(I2270,J2270,K2270,L2270,M2270)=0,NA(),MIN(I2270,J2270,K2270,L2270,M2270))))</f>
        <v/>
      </c>
      <c r="O2270" s="54">
        <f>IF($B2270=0,NA(),IF(Inputs!$B$24&lt;&gt;"Yes",NA(),Inputs!$D$24*Inputs!$C$35))</f>
        <v/>
      </c>
      <c r="P2270" s="54">
        <f>IF($B2270=0,NA(),IF(Inputs!$B$25&lt;&gt;"Yes",NA(),Inputs!$D$25*Inputs!$C$35))</f>
        <v/>
      </c>
      <c r="Q2270" s="54">
        <f>IF($B2270=0,NA(),IF(Inputs!$B$26&lt;&gt;"Yes",NA(),Inputs!$D$26*Inputs!$C$35))</f>
        <v/>
      </c>
      <c r="R2270" s="54">
        <f>IF($B2270=0,NA(),IF(Inputs!$B$27&lt;&gt;"Yes",NA(),Inputs!$D$27*Inputs!$C$35))</f>
        <v/>
      </c>
      <c r="S2270" s="54">
        <f>IF($B2270=0,NA(),IF(Inputs!$B$28&lt;&gt;"Yes",NA(),Inputs!$D$28*Inputs!$C$35))</f>
        <v/>
      </c>
      <c r="T2270" s="54">
        <f>IF($B2270=0,NA(),IF(Inputs!$B$29&lt;&gt;"Yes",NA(),Inputs!$D$29*Inputs!$C$35))</f>
        <v/>
      </c>
      <c r="AD2270">
        <f>IF($B2270=0,0,IF(Inputs!$B$6="",0,COUNTIFS(Data!$A$10:$A$3209,"&gt;="&amp;$A2270,Data!$A$10:$A$3209,"&lt;"&amp;$A2270+1)))</f>
        <v/>
      </c>
      <c r="AE2270">
        <f>IF($B2270=0,0,IF(Inputs!$B$7="",0,COUNTIFS(Data!$E$10:$E$3209,"&gt;="&amp;$A2270,Data!$E$10:$E$3209,"&lt;"&amp;$A2270+1)))</f>
        <v/>
      </c>
      <c r="AF2270">
        <f>IF($B2270=0,0,IF(Inputs!$B$8="",0,COUNTIFS(Data!$I$10:$I$3209,"&gt;="&amp;$A2270,Data!$I$10:$I$3209,"&lt;"&amp;$A2270+1)))</f>
        <v/>
      </c>
      <c r="AG2270">
        <f>IF($B2270=0,0,IF(Inputs!$B$9="",0,COUNTIFS(Data!$M$10:$M$3209,"&gt;="&amp;$A2270,Data!$M$10:$M$3209,"&lt;"&amp;$A2270+1)))</f>
        <v/>
      </c>
      <c r="AH2270">
        <f>IF($B2270=0,0,IF(Inputs!$B$10="",0,COUNTIFS(Data!$Q$10:$Q$3209,"&gt;="&amp;$A2270,Data!$Q$10:$Q$3209,"&lt;"&amp;$A2270+1)))</f>
        <v/>
      </c>
    </row>
    <row r="2271">
      <c r="A2271" s="55">
        <f>MIN(Inputs!$C$15,$A2270+IF(WEEKDAY($A2270,2)=5,3,1))</f>
        <v/>
      </c>
      <c r="B2271">
        <f>IF($A2271&gt;$A2270,1,0)</f>
        <v/>
      </c>
      <c r="C2271" s="56">
        <f>IF($B2271=0,"",IF(Inputs!$B$6="","",IF($AD2271=0,C2270,SUMIFS(Data!$B$10:$B$3209,Data!$A$10:$A$3209,"&gt;="&amp;$A2271,Data!$A$10:$A$3209,"&lt;"&amp;$A2271+1)/$AD2271)))</f>
        <v/>
      </c>
      <c r="D2271" s="56">
        <f>IF($B2271=0,"",IF(Inputs!$B$7="","",IF($AE2271=0,D2270,SUMIFS(Data!$F$10:$F$3209,Data!$E$10:$E$3209,"&gt;="&amp;$A2271,Data!$E$10:$E$3209,"&lt;"&amp;$A2271+1)/$AE2271)))</f>
        <v/>
      </c>
      <c r="E2271" s="56">
        <f>IF($B2271=0,"",IF(Inputs!$B$8="","",IF($AF2271=0,E2270,SUMIFS(Data!$J$10:$J$3209,Data!$I$10:$I$3209,"&gt;="&amp;$A2271,Data!$I$10:$I$3209,"&lt;"&amp;$A2271+1)/$AF2271)))</f>
        <v/>
      </c>
      <c r="F2271" s="56">
        <f>IF($B2271=0,"",IF(Inputs!$B$9="","",IF($AG2271=0,F2270,SUMIFS(Data!$N$10:$N$3209,Data!$M$10:$M$3209,"&gt;="&amp;$A2271,Data!$M$10:$M$3209,"&lt;"&amp;$A2271+1)/$AG2271)))</f>
        <v/>
      </c>
      <c r="G2271" s="56">
        <f>IF($B2271=0,"",IF(Inputs!$B$10="","",IF($AH2271=0,G2270,SUMIFS(Data!$R$10:$R$3209,Data!$Q$10:$Q$3209,"&gt;="&amp;$A2271,Data!$Q$10:$Q$3209,"&lt;"&amp;$A2271+1)/$AH2271)))</f>
        <v/>
      </c>
      <c r="I2271" s="54">
        <f>IF($B2271=0,NA(),IF($C2271="",NA(),IF(C$8="",NA(),IF(N(C$8)=0,NA(),IF(Inputs!$C$17="Rebased to 100",$C2271/C$8*100,$C2271)))))</f>
        <v/>
      </c>
      <c r="J2271" s="54">
        <f>IF($B2271=0,NA(),IF($D2271="",NA(),IF(D$8="",NA(),IF(N(D$8)=0,NA(),IF(Inputs!$C$17="Rebased to 100",$D2271/D$8*100,$D2271)))))</f>
        <v/>
      </c>
      <c r="K2271" s="54">
        <f>IF($B2271=0,NA(),IF($E2271="",NA(),IF(E$8="",NA(),IF(N(E$8)=0,NA(),IF(Inputs!$C$17="Rebased to 100",$E2271/E$8*100,$E2271)))))</f>
        <v/>
      </c>
      <c r="L2271" s="54">
        <f>IF($B2271=0,NA(),IF($F2271="",NA(),IF(F$8="",NA(),IF(N(F$8)=0,NA(),IF(Inputs!$C$17="Rebased to 100",$F2271/F$8*100,$F2271)))))</f>
        <v/>
      </c>
      <c r="M2271" s="54">
        <f>IF($B2271=0,NA(),IF($G2271="",NA(),IF(G$8="",NA(),IF(N(G$8)=0,NA(),IF(Inputs!$C$17="Rebased to 100",$G2271/G$8*100,$G2271)))))</f>
        <v/>
      </c>
      <c r="N2271" s="54">
        <f>IF($B2271=0,NA(),IF(Inputs!$C$18&lt;&gt;"Yes",NA(),IF(COUNT(I2271,J2271,K2271,L2271,M2271)=0,NA(),MIN(I2271,J2271,K2271,L2271,M2271))))</f>
        <v/>
      </c>
      <c r="O2271" s="54">
        <f>IF($B2271=0,NA(),IF(Inputs!$B$24&lt;&gt;"Yes",NA(),Inputs!$D$24*Inputs!$C$35))</f>
        <v/>
      </c>
      <c r="P2271" s="54">
        <f>IF($B2271=0,NA(),IF(Inputs!$B$25&lt;&gt;"Yes",NA(),Inputs!$D$25*Inputs!$C$35))</f>
        <v/>
      </c>
      <c r="Q2271" s="54">
        <f>IF($B2271=0,NA(),IF(Inputs!$B$26&lt;&gt;"Yes",NA(),Inputs!$D$26*Inputs!$C$35))</f>
        <v/>
      </c>
      <c r="R2271" s="54">
        <f>IF($B2271=0,NA(),IF(Inputs!$B$27&lt;&gt;"Yes",NA(),Inputs!$D$27*Inputs!$C$35))</f>
        <v/>
      </c>
      <c r="S2271" s="54">
        <f>IF($B2271=0,NA(),IF(Inputs!$B$28&lt;&gt;"Yes",NA(),Inputs!$D$28*Inputs!$C$35))</f>
        <v/>
      </c>
      <c r="T2271" s="54">
        <f>IF($B2271=0,NA(),IF(Inputs!$B$29&lt;&gt;"Yes",NA(),Inputs!$D$29*Inputs!$C$35))</f>
        <v/>
      </c>
      <c r="AD2271">
        <f>IF($B2271=0,0,IF(Inputs!$B$6="",0,COUNTIFS(Data!$A$10:$A$3209,"&gt;="&amp;$A2271,Data!$A$10:$A$3209,"&lt;"&amp;$A2271+1)))</f>
        <v/>
      </c>
      <c r="AE2271">
        <f>IF($B2271=0,0,IF(Inputs!$B$7="",0,COUNTIFS(Data!$E$10:$E$3209,"&gt;="&amp;$A2271,Data!$E$10:$E$3209,"&lt;"&amp;$A2271+1)))</f>
        <v/>
      </c>
      <c r="AF2271">
        <f>IF($B2271=0,0,IF(Inputs!$B$8="",0,COUNTIFS(Data!$I$10:$I$3209,"&gt;="&amp;$A2271,Data!$I$10:$I$3209,"&lt;"&amp;$A2271+1)))</f>
        <v/>
      </c>
      <c r="AG2271">
        <f>IF($B2271=0,0,IF(Inputs!$B$9="",0,COUNTIFS(Data!$M$10:$M$3209,"&gt;="&amp;$A2271,Data!$M$10:$M$3209,"&lt;"&amp;$A2271+1)))</f>
        <v/>
      </c>
      <c r="AH2271">
        <f>IF($B2271=0,0,IF(Inputs!$B$10="",0,COUNTIFS(Data!$Q$10:$Q$3209,"&gt;="&amp;$A2271,Data!$Q$10:$Q$3209,"&lt;"&amp;$A2271+1)))</f>
        <v/>
      </c>
    </row>
    <row r="2272">
      <c r="A2272" s="55">
        <f>MIN(Inputs!$C$15,$A2271+IF(WEEKDAY($A2271,2)=5,3,1))</f>
        <v/>
      </c>
      <c r="B2272">
        <f>IF($A2272&gt;$A2271,1,0)</f>
        <v/>
      </c>
      <c r="C2272" s="56">
        <f>IF($B2272=0,"",IF(Inputs!$B$6="","",IF($AD2272=0,C2271,SUMIFS(Data!$B$10:$B$3209,Data!$A$10:$A$3209,"&gt;="&amp;$A2272,Data!$A$10:$A$3209,"&lt;"&amp;$A2272+1)/$AD2272)))</f>
        <v/>
      </c>
      <c r="D2272" s="56">
        <f>IF($B2272=0,"",IF(Inputs!$B$7="","",IF($AE2272=0,D2271,SUMIFS(Data!$F$10:$F$3209,Data!$E$10:$E$3209,"&gt;="&amp;$A2272,Data!$E$10:$E$3209,"&lt;"&amp;$A2272+1)/$AE2272)))</f>
        <v/>
      </c>
      <c r="E2272" s="56">
        <f>IF($B2272=0,"",IF(Inputs!$B$8="","",IF($AF2272=0,E2271,SUMIFS(Data!$J$10:$J$3209,Data!$I$10:$I$3209,"&gt;="&amp;$A2272,Data!$I$10:$I$3209,"&lt;"&amp;$A2272+1)/$AF2272)))</f>
        <v/>
      </c>
      <c r="F2272" s="56">
        <f>IF($B2272=0,"",IF(Inputs!$B$9="","",IF($AG2272=0,F2271,SUMIFS(Data!$N$10:$N$3209,Data!$M$10:$M$3209,"&gt;="&amp;$A2272,Data!$M$10:$M$3209,"&lt;"&amp;$A2272+1)/$AG2272)))</f>
        <v/>
      </c>
      <c r="G2272" s="56">
        <f>IF($B2272=0,"",IF(Inputs!$B$10="","",IF($AH2272=0,G2271,SUMIFS(Data!$R$10:$R$3209,Data!$Q$10:$Q$3209,"&gt;="&amp;$A2272,Data!$Q$10:$Q$3209,"&lt;"&amp;$A2272+1)/$AH2272)))</f>
        <v/>
      </c>
      <c r="I2272" s="54">
        <f>IF($B2272=0,NA(),IF($C2272="",NA(),IF(C$8="",NA(),IF(N(C$8)=0,NA(),IF(Inputs!$C$17="Rebased to 100",$C2272/C$8*100,$C2272)))))</f>
        <v/>
      </c>
      <c r="J2272" s="54">
        <f>IF($B2272=0,NA(),IF($D2272="",NA(),IF(D$8="",NA(),IF(N(D$8)=0,NA(),IF(Inputs!$C$17="Rebased to 100",$D2272/D$8*100,$D2272)))))</f>
        <v/>
      </c>
      <c r="K2272" s="54">
        <f>IF($B2272=0,NA(),IF($E2272="",NA(),IF(E$8="",NA(),IF(N(E$8)=0,NA(),IF(Inputs!$C$17="Rebased to 100",$E2272/E$8*100,$E2272)))))</f>
        <v/>
      </c>
      <c r="L2272" s="54">
        <f>IF($B2272=0,NA(),IF($F2272="",NA(),IF(F$8="",NA(),IF(N(F$8)=0,NA(),IF(Inputs!$C$17="Rebased to 100",$F2272/F$8*100,$F2272)))))</f>
        <v/>
      </c>
      <c r="M2272" s="54">
        <f>IF($B2272=0,NA(),IF($G2272="",NA(),IF(G$8="",NA(),IF(N(G$8)=0,NA(),IF(Inputs!$C$17="Rebased to 100",$G2272/G$8*100,$G2272)))))</f>
        <v/>
      </c>
      <c r="N2272" s="54">
        <f>IF($B2272=0,NA(),IF(Inputs!$C$18&lt;&gt;"Yes",NA(),IF(COUNT(I2272,J2272,K2272,L2272,M2272)=0,NA(),MIN(I2272,J2272,K2272,L2272,M2272))))</f>
        <v/>
      </c>
      <c r="O2272" s="54">
        <f>IF($B2272=0,NA(),IF(Inputs!$B$24&lt;&gt;"Yes",NA(),Inputs!$D$24*Inputs!$C$35))</f>
        <v/>
      </c>
      <c r="P2272" s="54">
        <f>IF($B2272=0,NA(),IF(Inputs!$B$25&lt;&gt;"Yes",NA(),Inputs!$D$25*Inputs!$C$35))</f>
        <v/>
      </c>
      <c r="Q2272" s="54">
        <f>IF($B2272=0,NA(),IF(Inputs!$B$26&lt;&gt;"Yes",NA(),Inputs!$D$26*Inputs!$C$35))</f>
        <v/>
      </c>
      <c r="R2272" s="54">
        <f>IF($B2272=0,NA(),IF(Inputs!$B$27&lt;&gt;"Yes",NA(),Inputs!$D$27*Inputs!$C$35))</f>
        <v/>
      </c>
      <c r="S2272" s="54">
        <f>IF($B2272=0,NA(),IF(Inputs!$B$28&lt;&gt;"Yes",NA(),Inputs!$D$28*Inputs!$C$35))</f>
        <v/>
      </c>
      <c r="T2272" s="54">
        <f>IF($B2272=0,NA(),IF(Inputs!$B$29&lt;&gt;"Yes",NA(),Inputs!$D$29*Inputs!$C$35))</f>
        <v/>
      </c>
      <c r="AD2272">
        <f>IF($B2272=0,0,IF(Inputs!$B$6="",0,COUNTIFS(Data!$A$10:$A$3209,"&gt;="&amp;$A2272,Data!$A$10:$A$3209,"&lt;"&amp;$A2272+1)))</f>
        <v/>
      </c>
      <c r="AE2272">
        <f>IF($B2272=0,0,IF(Inputs!$B$7="",0,COUNTIFS(Data!$E$10:$E$3209,"&gt;="&amp;$A2272,Data!$E$10:$E$3209,"&lt;"&amp;$A2272+1)))</f>
        <v/>
      </c>
      <c r="AF2272">
        <f>IF($B2272=0,0,IF(Inputs!$B$8="",0,COUNTIFS(Data!$I$10:$I$3209,"&gt;="&amp;$A2272,Data!$I$10:$I$3209,"&lt;"&amp;$A2272+1)))</f>
        <v/>
      </c>
      <c r="AG2272">
        <f>IF($B2272=0,0,IF(Inputs!$B$9="",0,COUNTIFS(Data!$M$10:$M$3209,"&gt;="&amp;$A2272,Data!$M$10:$M$3209,"&lt;"&amp;$A2272+1)))</f>
        <v/>
      </c>
      <c r="AH2272">
        <f>IF($B2272=0,0,IF(Inputs!$B$10="",0,COUNTIFS(Data!$Q$10:$Q$3209,"&gt;="&amp;$A2272,Data!$Q$10:$Q$3209,"&lt;"&amp;$A2272+1)))</f>
        <v/>
      </c>
    </row>
    <row r="2273">
      <c r="A2273" s="55">
        <f>MIN(Inputs!$C$15,$A2272+IF(WEEKDAY($A2272,2)=5,3,1))</f>
        <v/>
      </c>
      <c r="B2273">
        <f>IF($A2273&gt;$A2272,1,0)</f>
        <v/>
      </c>
      <c r="C2273" s="56">
        <f>IF($B2273=0,"",IF(Inputs!$B$6="","",IF($AD2273=0,C2272,SUMIFS(Data!$B$10:$B$3209,Data!$A$10:$A$3209,"&gt;="&amp;$A2273,Data!$A$10:$A$3209,"&lt;"&amp;$A2273+1)/$AD2273)))</f>
        <v/>
      </c>
      <c r="D2273" s="56">
        <f>IF($B2273=0,"",IF(Inputs!$B$7="","",IF($AE2273=0,D2272,SUMIFS(Data!$F$10:$F$3209,Data!$E$10:$E$3209,"&gt;="&amp;$A2273,Data!$E$10:$E$3209,"&lt;"&amp;$A2273+1)/$AE2273)))</f>
        <v/>
      </c>
      <c r="E2273" s="56">
        <f>IF($B2273=0,"",IF(Inputs!$B$8="","",IF($AF2273=0,E2272,SUMIFS(Data!$J$10:$J$3209,Data!$I$10:$I$3209,"&gt;="&amp;$A2273,Data!$I$10:$I$3209,"&lt;"&amp;$A2273+1)/$AF2273)))</f>
        <v/>
      </c>
      <c r="F2273" s="56">
        <f>IF($B2273=0,"",IF(Inputs!$B$9="","",IF($AG2273=0,F2272,SUMIFS(Data!$N$10:$N$3209,Data!$M$10:$M$3209,"&gt;="&amp;$A2273,Data!$M$10:$M$3209,"&lt;"&amp;$A2273+1)/$AG2273)))</f>
        <v/>
      </c>
      <c r="G2273" s="56">
        <f>IF($B2273=0,"",IF(Inputs!$B$10="","",IF($AH2273=0,G2272,SUMIFS(Data!$R$10:$R$3209,Data!$Q$10:$Q$3209,"&gt;="&amp;$A2273,Data!$Q$10:$Q$3209,"&lt;"&amp;$A2273+1)/$AH2273)))</f>
        <v/>
      </c>
      <c r="I2273" s="54">
        <f>IF($B2273=0,NA(),IF($C2273="",NA(),IF(C$8="",NA(),IF(N(C$8)=0,NA(),IF(Inputs!$C$17="Rebased to 100",$C2273/C$8*100,$C2273)))))</f>
        <v/>
      </c>
      <c r="J2273" s="54">
        <f>IF($B2273=0,NA(),IF($D2273="",NA(),IF(D$8="",NA(),IF(N(D$8)=0,NA(),IF(Inputs!$C$17="Rebased to 100",$D2273/D$8*100,$D2273)))))</f>
        <v/>
      </c>
      <c r="K2273" s="54">
        <f>IF($B2273=0,NA(),IF($E2273="",NA(),IF(E$8="",NA(),IF(N(E$8)=0,NA(),IF(Inputs!$C$17="Rebased to 100",$E2273/E$8*100,$E2273)))))</f>
        <v/>
      </c>
      <c r="L2273" s="54">
        <f>IF($B2273=0,NA(),IF($F2273="",NA(),IF(F$8="",NA(),IF(N(F$8)=0,NA(),IF(Inputs!$C$17="Rebased to 100",$F2273/F$8*100,$F2273)))))</f>
        <v/>
      </c>
      <c r="M2273" s="54">
        <f>IF($B2273=0,NA(),IF($G2273="",NA(),IF(G$8="",NA(),IF(N(G$8)=0,NA(),IF(Inputs!$C$17="Rebased to 100",$G2273/G$8*100,$G2273)))))</f>
        <v/>
      </c>
      <c r="N2273" s="54">
        <f>IF($B2273=0,NA(),IF(Inputs!$C$18&lt;&gt;"Yes",NA(),IF(COUNT(I2273,J2273,K2273,L2273,M2273)=0,NA(),MIN(I2273,J2273,K2273,L2273,M2273))))</f>
        <v/>
      </c>
      <c r="O2273" s="54">
        <f>IF($B2273=0,NA(),IF(Inputs!$B$24&lt;&gt;"Yes",NA(),Inputs!$D$24*Inputs!$C$35))</f>
        <v/>
      </c>
      <c r="P2273" s="54">
        <f>IF($B2273=0,NA(),IF(Inputs!$B$25&lt;&gt;"Yes",NA(),Inputs!$D$25*Inputs!$C$35))</f>
        <v/>
      </c>
      <c r="Q2273" s="54">
        <f>IF($B2273=0,NA(),IF(Inputs!$B$26&lt;&gt;"Yes",NA(),Inputs!$D$26*Inputs!$C$35))</f>
        <v/>
      </c>
      <c r="R2273" s="54">
        <f>IF($B2273=0,NA(),IF(Inputs!$B$27&lt;&gt;"Yes",NA(),Inputs!$D$27*Inputs!$C$35))</f>
        <v/>
      </c>
      <c r="S2273" s="54">
        <f>IF($B2273=0,NA(),IF(Inputs!$B$28&lt;&gt;"Yes",NA(),Inputs!$D$28*Inputs!$C$35))</f>
        <v/>
      </c>
      <c r="T2273" s="54">
        <f>IF($B2273=0,NA(),IF(Inputs!$B$29&lt;&gt;"Yes",NA(),Inputs!$D$29*Inputs!$C$35))</f>
        <v/>
      </c>
      <c r="AD2273">
        <f>IF($B2273=0,0,IF(Inputs!$B$6="",0,COUNTIFS(Data!$A$10:$A$3209,"&gt;="&amp;$A2273,Data!$A$10:$A$3209,"&lt;"&amp;$A2273+1)))</f>
        <v/>
      </c>
      <c r="AE2273">
        <f>IF($B2273=0,0,IF(Inputs!$B$7="",0,COUNTIFS(Data!$E$10:$E$3209,"&gt;="&amp;$A2273,Data!$E$10:$E$3209,"&lt;"&amp;$A2273+1)))</f>
        <v/>
      </c>
      <c r="AF2273">
        <f>IF($B2273=0,0,IF(Inputs!$B$8="",0,COUNTIFS(Data!$I$10:$I$3209,"&gt;="&amp;$A2273,Data!$I$10:$I$3209,"&lt;"&amp;$A2273+1)))</f>
        <v/>
      </c>
      <c r="AG2273">
        <f>IF($B2273=0,0,IF(Inputs!$B$9="",0,COUNTIFS(Data!$M$10:$M$3209,"&gt;="&amp;$A2273,Data!$M$10:$M$3209,"&lt;"&amp;$A2273+1)))</f>
        <v/>
      </c>
      <c r="AH2273">
        <f>IF($B2273=0,0,IF(Inputs!$B$10="",0,COUNTIFS(Data!$Q$10:$Q$3209,"&gt;="&amp;$A2273,Data!$Q$10:$Q$3209,"&lt;"&amp;$A2273+1)))</f>
        <v/>
      </c>
    </row>
    <row r="2274">
      <c r="A2274" s="55">
        <f>MIN(Inputs!$C$15,$A2273+IF(WEEKDAY($A2273,2)=5,3,1))</f>
        <v/>
      </c>
      <c r="B2274">
        <f>IF($A2274&gt;$A2273,1,0)</f>
        <v/>
      </c>
      <c r="C2274" s="56">
        <f>IF($B2274=0,"",IF(Inputs!$B$6="","",IF($AD2274=0,C2273,SUMIFS(Data!$B$10:$B$3209,Data!$A$10:$A$3209,"&gt;="&amp;$A2274,Data!$A$10:$A$3209,"&lt;"&amp;$A2274+1)/$AD2274)))</f>
        <v/>
      </c>
      <c r="D2274" s="56">
        <f>IF($B2274=0,"",IF(Inputs!$B$7="","",IF($AE2274=0,D2273,SUMIFS(Data!$F$10:$F$3209,Data!$E$10:$E$3209,"&gt;="&amp;$A2274,Data!$E$10:$E$3209,"&lt;"&amp;$A2274+1)/$AE2274)))</f>
        <v/>
      </c>
      <c r="E2274" s="56">
        <f>IF($B2274=0,"",IF(Inputs!$B$8="","",IF($AF2274=0,E2273,SUMIFS(Data!$J$10:$J$3209,Data!$I$10:$I$3209,"&gt;="&amp;$A2274,Data!$I$10:$I$3209,"&lt;"&amp;$A2274+1)/$AF2274)))</f>
        <v/>
      </c>
      <c r="F2274" s="56">
        <f>IF($B2274=0,"",IF(Inputs!$B$9="","",IF($AG2274=0,F2273,SUMIFS(Data!$N$10:$N$3209,Data!$M$10:$M$3209,"&gt;="&amp;$A2274,Data!$M$10:$M$3209,"&lt;"&amp;$A2274+1)/$AG2274)))</f>
        <v/>
      </c>
      <c r="G2274" s="56">
        <f>IF($B2274=0,"",IF(Inputs!$B$10="","",IF($AH2274=0,G2273,SUMIFS(Data!$R$10:$R$3209,Data!$Q$10:$Q$3209,"&gt;="&amp;$A2274,Data!$Q$10:$Q$3209,"&lt;"&amp;$A2274+1)/$AH2274)))</f>
        <v/>
      </c>
      <c r="I2274" s="54">
        <f>IF($B2274=0,NA(),IF($C2274="",NA(),IF(C$8="",NA(),IF(N(C$8)=0,NA(),IF(Inputs!$C$17="Rebased to 100",$C2274/C$8*100,$C2274)))))</f>
        <v/>
      </c>
      <c r="J2274" s="54">
        <f>IF($B2274=0,NA(),IF($D2274="",NA(),IF(D$8="",NA(),IF(N(D$8)=0,NA(),IF(Inputs!$C$17="Rebased to 100",$D2274/D$8*100,$D2274)))))</f>
        <v/>
      </c>
      <c r="K2274" s="54">
        <f>IF($B2274=0,NA(),IF($E2274="",NA(),IF(E$8="",NA(),IF(N(E$8)=0,NA(),IF(Inputs!$C$17="Rebased to 100",$E2274/E$8*100,$E2274)))))</f>
        <v/>
      </c>
      <c r="L2274" s="54">
        <f>IF($B2274=0,NA(),IF($F2274="",NA(),IF(F$8="",NA(),IF(N(F$8)=0,NA(),IF(Inputs!$C$17="Rebased to 100",$F2274/F$8*100,$F2274)))))</f>
        <v/>
      </c>
      <c r="M2274" s="54">
        <f>IF($B2274=0,NA(),IF($G2274="",NA(),IF(G$8="",NA(),IF(N(G$8)=0,NA(),IF(Inputs!$C$17="Rebased to 100",$G2274/G$8*100,$G2274)))))</f>
        <v/>
      </c>
      <c r="N2274" s="54">
        <f>IF($B2274=0,NA(),IF(Inputs!$C$18&lt;&gt;"Yes",NA(),IF(COUNT(I2274,J2274,K2274,L2274,M2274)=0,NA(),MIN(I2274,J2274,K2274,L2274,M2274))))</f>
        <v/>
      </c>
      <c r="O2274" s="54">
        <f>IF($B2274=0,NA(),IF(Inputs!$B$24&lt;&gt;"Yes",NA(),Inputs!$D$24*Inputs!$C$35))</f>
        <v/>
      </c>
      <c r="P2274" s="54">
        <f>IF($B2274=0,NA(),IF(Inputs!$B$25&lt;&gt;"Yes",NA(),Inputs!$D$25*Inputs!$C$35))</f>
        <v/>
      </c>
      <c r="Q2274" s="54">
        <f>IF($B2274=0,NA(),IF(Inputs!$B$26&lt;&gt;"Yes",NA(),Inputs!$D$26*Inputs!$C$35))</f>
        <v/>
      </c>
      <c r="R2274" s="54">
        <f>IF($B2274=0,NA(),IF(Inputs!$B$27&lt;&gt;"Yes",NA(),Inputs!$D$27*Inputs!$C$35))</f>
        <v/>
      </c>
      <c r="S2274" s="54">
        <f>IF($B2274=0,NA(),IF(Inputs!$B$28&lt;&gt;"Yes",NA(),Inputs!$D$28*Inputs!$C$35))</f>
        <v/>
      </c>
      <c r="T2274" s="54">
        <f>IF($B2274=0,NA(),IF(Inputs!$B$29&lt;&gt;"Yes",NA(),Inputs!$D$29*Inputs!$C$35))</f>
        <v/>
      </c>
      <c r="AD2274">
        <f>IF($B2274=0,0,IF(Inputs!$B$6="",0,COUNTIFS(Data!$A$10:$A$3209,"&gt;="&amp;$A2274,Data!$A$10:$A$3209,"&lt;"&amp;$A2274+1)))</f>
        <v/>
      </c>
      <c r="AE2274">
        <f>IF($B2274=0,0,IF(Inputs!$B$7="",0,COUNTIFS(Data!$E$10:$E$3209,"&gt;="&amp;$A2274,Data!$E$10:$E$3209,"&lt;"&amp;$A2274+1)))</f>
        <v/>
      </c>
      <c r="AF2274">
        <f>IF($B2274=0,0,IF(Inputs!$B$8="",0,COUNTIFS(Data!$I$10:$I$3209,"&gt;="&amp;$A2274,Data!$I$10:$I$3209,"&lt;"&amp;$A2274+1)))</f>
        <v/>
      </c>
      <c r="AG2274">
        <f>IF($B2274=0,0,IF(Inputs!$B$9="",0,COUNTIFS(Data!$M$10:$M$3209,"&gt;="&amp;$A2274,Data!$M$10:$M$3209,"&lt;"&amp;$A2274+1)))</f>
        <v/>
      </c>
      <c r="AH2274">
        <f>IF($B2274=0,0,IF(Inputs!$B$10="",0,COUNTIFS(Data!$Q$10:$Q$3209,"&gt;="&amp;$A2274,Data!$Q$10:$Q$3209,"&lt;"&amp;$A2274+1)))</f>
        <v/>
      </c>
    </row>
    <row r="2275">
      <c r="A2275" s="55">
        <f>MIN(Inputs!$C$15,$A2274+IF(WEEKDAY($A2274,2)=5,3,1))</f>
        <v/>
      </c>
      <c r="B2275">
        <f>IF($A2275&gt;$A2274,1,0)</f>
        <v/>
      </c>
      <c r="C2275" s="56">
        <f>IF($B2275=0,"",IF(Inputs!$B$6="","",IF($AD2275=0,C2274,SUMIFS(Data!$B$10:$B$3209,Data!$A$10:$A$3209,"&gt;="&amp;$A2275,Data!$A$10:$A$3209,"&lt;"&amp;$A2275+1)/$AD2275)))</f>
        <v/>
      </c>
      <c r="D2275" s="56">
        <f>IF($B2275=0,"",IF(Inputs!$B$7="","",IF($AE2275=0,D2274,SUMIFS(Data!$F$10:$F$3209,Data!$E$10:$E$3209,"&gt;="&amp;$A2275,Data!$E$10:$E$3209,"&lt;"&amp;$A2275+1)/$AE2275)))</f>
        <v/>
      </c>
      <c r="E2275" s="56">
        <f>IF($B2275=0,"",IF(Inputs!$B$8="","",IF($AF2275=0,E2274,SUMIFS(Data!$J$10:$J$3209,Data!$I$10:$I$3209,"&gt;="&amp;$A2275,Data!$I$10:$I$3209,"&lt;"&amp;$A2275+1)/$AF2275)))</f>
        <v/>
      </c>
      <c r="F2275" s="56">
        <f>IF($B2275=0,"",IF(Inputs!$B$9="","",IF($AG2275=0,F2274,SUMIFS(Data!$N$10:$N$3209,Data!$M$10:$M$3209,"&gt;="&amp;$A2275,Data!$M$10:$M$3209,"&lt;"&amp;$A2275+1)/$AG2275)))</f>
        <v/>
      </c>
      <c r="G2275" s="56">
        <f>IF($B2275=0,"",IF(Inputs!$B$10="","",IF($AH2275=0,G2274,SUMIFS(Data!$R$10:$R$3209,Data!$Q$10:$Q$3209,"&gt;="&amp;$A2275,Data!$Q$10:$Q$3209,"&lt;"&amp;$A2275+1)/$AH2275)))</f>
        <v/>
      </c>
      <c r="I2275" s="54">
        <f>IF($B2275=0,NA(),IF($C2275="",NA(),IF(C$8="",NA(),IF(N(C$8)=0,NA(),IF(Inputs!$C$17="Rebased to 100",$C2275/C$8*100,$C2275)))))</f>
        <v/>
      </c>
      <c r="J2275" s="54">
        <f>IF($B2275=0,NA(),IF($D2275="",NA(),IF(D$8="",NA(),IF(N(D$8)=0,NA(),IF(Inputs!$C$17="Rebased to 100",$D2275/D$8*100,$D2275)))))</f>
        <v/>
      </c>
      <c r="K2275" s="54">
        <f>IF($B2275=0,NA(),IF($E2275="",NA(),IF(E$8="",NA(),IF(N(E$8)=0,NA(),IF(Inputs!$C$17="Rebased to 100",$E2275/E$8*100,$E2275)))))</f>
        <v/>
      </c>
      <c r="L2275" s="54">
        <f>IF($B2275=0,NA(),IF($F2275="",NA(),IF(F$8="",NA(),IF(N(F$8)=0,NA(),IF(Inputs!$C$17="Rebased to 100",$F2275/F$8*100,$F2275)))))</f>
        <v/>
      </c>
      <c r="M2275" s="54">
        <f>IF($B2275=0,NA(),IF($G2275="",NA(),IF(G$8="",NA(),IF(N(G$8)=0,NA(),IF(Inputs!$C$17="Rebased to 100",$G2275/G$8*100,$G2275)))))</f>
        <v/>
      </c>
      <c r="N2275" s="54">
        <f>IF($B2275=0,NA(),IF(Inputs!$C$18&lt;&gt;"Yes",NA(),IF(COUNT(I2275,J2275,K2275,L2275,M2275)=0,NA(),MIN(I2275,J2275,K2275,L2275,M2275))))</f>
        <v/>
      </c>
      <c r="O2275" s="54">
        <f>IF($B2275=0,NA(),IF(Inputs!$B$24&lt;&gt;"Yes",NA(),Inputs!$D$24*Inputs!$C$35))</f>
        <v/>
      </c>
      <c r="P2275" s="54">
        <f>IF($B2275=0,NA(),IF(Inputs!$B$25&lt;&gt;"Yes",NA(),Inputs!$D$25*Inputs!$C$35))</f>
        <v/>
      </c>
      <c r="Q2275" s="54">
        <f>IF($B2275=0,NA(),IF(Inputs!$B$26&lt;&gt;"Yes",NA(),Inputs!$D$26*Inputs!$C$35))</f>
        <v/>
      </c>
      <c r="R2275" s="54">
        <f>IF($B2275=0,NA(),IF(Inputs!$B$27&lt;&gt;"Yes",NA(),Inputs!$D$27*Inputs!$C$35))</f>
        <v/>
      </c>
      <c r="S2275" s="54">
        <f>IF($B2275=0,NA(),IF(Inputs!$B$28&lt;&gt;"Yes",NA(),Inputs!$D$28*Inputs!$C$35))</f>
        <v/>
      </c>
      <c r="T2275" s="54">
        <f>IF($B2275=0,NA(),IF(Inputs!$B$29&lt;&gt;"Yes",NA(),Inputs!$D$29*Inputs!$C$35))</f>
        <v/>
      </c>
      <c r="AD2275">
        <f>IF($B2275=0,0,IF(Inputs!$B$6="",0,COUNTIFS(Data!$A$10:$A$3209,"&gt;="&amp;$A2275,Data!$A$10:$A$3209,"&lt;"&amp;$A2275+1)))</f>
        <v/>
      </c>
      <c r="AE2275">
        <f>IF($B2275=0,0,IF(Inputs!$B$7="",0,COUNTIFS(Data!$E$10:$E$3209,"&gt;="&amp;$A2275,Data!$E$10:$E$3209,"&lt;"&amp;$A2275+1)))</f>
        <v/>
      </c>
      <c r="AF2275">
        <f>IF($B2275=0,0,IF(Inputs!$B$8="",0,COUNTIFS(Data!$I$10:$I$3209,"&gt;="&amp;$A2275,Data!$I$10:$I$3209,"&lt;"&amp;$A2275+1)))</f>
        <v/>
      </c>
      <c r="AG2275">
        <f>IF($B2275=0,0,IF(Inputs!$B$9="",0,COUNTIFS(Data!$M$10:$M$3209,"&gt;="&amp;$A2275,Data!$M$10:$M$3209,"&lt;"&amp;$A2275+1)))</f>
        <v/>
      </c>
      <c r="AH2275">
        <f>IF($B2275=0,0,IF(Inputs!$B$10="",0,COUNTIFS(Data!$Q$10:$Q$3209,"&gt;="&amp;$A2275,Data!$Q$10:$Q$3209,"&lt;"&amp;$A2275+1)))</f>
        <v/>
      </c>
    </row>
    <row r="2276">
      <c r="A2276" s="55">
        <f>MIN(Inputs!$C$15,$A2275+IF(WEEKDAY($A2275,2)=5,3,1))</f>
        <v/>
      </c>
      <c r="B2276">
        <f>IF($A2276&gt;$A2275,1,0)</f>
        <v/>
      </c>
      <c r="C2276" s="56">
        <f>IF($B2276=0,"",IF(Inputs!$B$6="","",IF($AD2276=0,C2275,SUMIFS(Data!$B$10:$B$3209,Data!$A$10:$A$3209,"&gt;="&amp;$A2276,Data!$A$10:$A$3209,"&lt;"&amp;$A2276+1)/$AD2276)))</f>
        <v/>
      </c>
      <c r="D2276" s="56">
        <f>IF($B2276=0,"",IF(Inputs!$B$7="","",IF($AE2276=0,D2275,SUMIFS(Data!$F$10:$F$3209,Data!$E$10:$E$3209,"&gt;="&amp;$A2276,Data!$E$10:$E$3209,"&lt;"&amp;$A2276+1)/$AE2276)))</f>
        <v/>
      </c>
      <c r="E2276" s="56">
        <f>IF($B2276=0,"",IF(Inputs!$B$8="","",IF($AF2276=0,E2275,SUMIFS(Data!$J$10:$J$3209,Data!$I$10:$I$3209,"&gt;="&amp;$A2276,Data!$I$10:$I$3209,"&lt;"&amp;$A2276+1)/$AF2276)))</f>
        <v/>
      </c>
      <c r="F2276" s="56">
        <f>IF($B2276=0,"",IF(Inputs!$B$9="","",IF($AG2276=0,F2275,SUMIFS(Data!$N$10:$N$3209,Data!$M$10:$M$3209,"&gt;="&amp;$A2276,Data!$M$10:$M$3209,"&lt;"&amp;$A2276+1)/$AG2276)))</f>
        <v/>
      </c>
      <c r="G2276" s="56">
        <f>IF($B2276=0,"",IF(Inputs!$B$10="","",IF($AH2276=0,G2275,SUMIFS(Data!$R$10:$R$3209,Data!$Q$10:$Q$3209,"&gt;="&amp;$A2276,Data!$Q$10:$Q$3209,"&lt;"&amp;$A2276+1)/$AH2276)))</f>
        <v/>
      </c>
      <c r="I2276" s="54">
        <f>IF($B2276=0,NA(),IF($C2276="",NA(),IF(C$8="",NA(),IF(N(C$8)=0,NA(),IF(Inputs!$C$17="Rebased to 100",$C2276/C$8*100,$C2276)))))</f>
        <v/>
      </c>
      <c r="J2276" s="54">
        <f>IF($B2276=0,NA(),IF($D2276="",NA(),IF(D$8="",NA(),IF(N(D$8)=0,NA(),IF(Inputs!$C$17="Rebased to 100",$D2276/D$8*100,$D2276)))))</f>
        <v/>
      </c>
      <c r="K2276" s="54">
        <f>IF($B2276=0,NA(),IF($E2276="",NA(),IF(E$8="",NA(),IF(N(E$8)=0,NA(),IF(Inputs!$C$17="Rebased to 100",$E2276/E$8*100,$E2276)))))</f>
        <v/>
      </c>
      <c r="L2276" s="54">
        <f>IF($B2276=0,NA(),IF($F2276="",NA(),IF(F$8="",NA(),IF(N(F$8)=0,NA(),IF(Inputs!$C$17="Rebased to 100",$F2276/F$8*100,$F2276)))))</f>
        <v/>
      </c>
      <c r="M2276" s="54">
        <f>IF($B2276=0,NA(),IF($G2276="",NA(),IF(G$8="",NA(),IF(N(G$8)=0,NA(),IF(Inputs!$C$17="Rebased to 100",$G2276/G$8*100,$G2276)))))</f>
        <v/>
      </c>
      <c r="N2276" s="54">
        <f>IF($B2276=0,NA(),IF(Inputs!$C$18&lt;&gt;"Yes",NA(),IF(COUNT(I2276,J2276,K2276,L2276,M2276)=0,NA(),MIN(I2276,J2276,K2276,L2276,M2276))))</f>
        <v/>
      </c>
      <c r="O2276" s="54">
        <f>IF($B2276=0,NA(),IF(Inputs!$B$24&lt;&gt;"Yes",NA(),Inputs!$D$24*Inputs!$C$35))</f>
        <v/>
      </c>
      <c r="P2276" s="54">
        <f>IF($B2276=0,NA(),IF(Inputs!$B$25&lt;&gt;"Yes",NA(),Inputs!$D$25*Inputs!$C$35))</f>
        <v/>
      </c>
      <c r="Q2276" s="54">
        <f>IF($B2276=0,NA(),IF(Inputs!$B$26&lt;&gt;"Yes",NA(),Inputs!$D$26*Inputs!$C$35))</f>
        <v/>
      </c>
      <c r="R2276" s="54">
        <f>IF($B2276=0,NA(),IF(Inputs!$B$27&lt;&gt;"Yes",NA(),Inputs!$D$27*Inputs!$C$35))</f>
        <v/>
      </c>
      <c r="S2276" s="54">
        <f>IF($B2276=0,NA(),IF(Inputs!$B$28&lt;&gt;"Yes",NA(),Inputs!$D$28*Inputs!$C$35))</f>
        <v/>
      </c>
      <c r="T2276" s="54">
        <f>IF($B2276=0,NA(),IF(Inputs!$B$29&lt;&gt;"Yes",NA(),Inputs!$D$29*Inputs!$C$35))</f>
        <v/>
      </c>
      <c r="AD2276">
        <f>IF($B2276=0,0,IF(Inputs!$B$6="",0,COUNTIFS(Data!$A$10:$A$3209,"&gt;="&amp;$A2276,Data!$A$10:$A$3209,"&lt;"&amp;$A2276+1)))</f>
        <v/>
      </c>
      <c r="AE2276">
        <f>IF($B2276=0,0,IF(Inputs!$B$7="",0,COUNTIFS(Data!$E$10:$E$3209,"&gt;="&amp;$A2276,Data!$E$10:$E$3209,"&lt;"&amp;$A2276+1)))</f>
        <v/>
      </c>
      <c r="AF2276">
        <f>IF($B2276=0,0,IF(Inputs!$B$8="",0,COUNTIFS(Data!$I$10:$I$3209,"&gt;="&amp;$A2276,Data!$I$10:$I$3209,"&lt;"&amp;$A2276+1)))</f>
        <v/>
      </c>
      <c r="AG2276">
        <f>IF($B2276=0,0,IF(Inputs!$B$9="",0,COUNTIFS(Data!$M$10:$M$3209,"&gt;="&amp;$A2276,Data!$M$10:$M$3209,"&lt;"&amp;$A2276+1)))</f>
        <v/>
      </c>
      <c r="AH2276">
        <f>IF($B2276=0,0,IF(Inputs!$B$10="",0,COUNTIFS(Data!$Q$10:$Q$3209,"&gt;="&amp;$A2276,Data!$Q$10:$Q$3209,"&lt;"&amp;$A2276+1)))</f>
        <v/>
      </c>
    </row>
    <row r="2277">
      <c r="A2277" s="55">
        <f>MIN(Inputs!$C$15,$A2276+IF(WEEKDAY($A2276,2)=5,3,1))</f>
        <v/>
      </c>
      <c r="B2277">
        <f>IF($A2277&gt;$A2276,1,0)</f>
        <v/>
      </c>
      <c r="C2277" s="56">
        <f>IF($B2277=0,"",IF(Inputs!$B$6="","",IF($AD2277=0,C2276,SUMIFS(Data!$B$10:$B$3209,Data!$A$10:$A$3209,"&gt;="&amp;$A2277,Data!$A$10:$A$3209,"&lt;"&amp;$A2277+1)/$AD2277)))</f>
        <v/>
      </c>
      <c r="D2277" s="56">
        <f>IF($B2277=0,"",IF(Inputs!$B$7="","",IF($AE2277=0,D2276,SUMIFS(Data!$F$10:$F$3209,Data!$E$10:$E$3209,"&gt;="&amp;$A2277,Data!$E$10:$E$3209,"&lt;"&amp;$A2277+1)/$AE2277)))</f>
        <v/>
      </c>
      <c r="E2277" s="56">
        <f>IF($B2277=0,"",IF(Inputs!$B$8="","",IF($AF2277=0,E2276,SUMIFS(Data!$J$10:$J$3209,Data!$I$10:$I$3209,"&gt;="&amp;$A2277,Data!$I$10:$I$3209,"&lt;"&amp;$A2277+1)/$AF2277)))</f>
        <v/>
      </c>
      <c r="F2277" s="56">
        <f>IF($B2277=0,"",IF(Inputs!$B$9="","",IF($AG2277=0,F2276,SUMIFS(Data!$N$10:$N$3209,Data!$M$10:$M$3209,"&gt;="&amp;$A2277,Data!$M$10:$M$3209,"&lt;"&amp;$A2277+1)/$AG2277)))</f>
        <v/>
      </c>
      <c r="G2277" s="56">
        <f>IF($B2277=0,"",IF(Inputs!$B$10="","",IF($AH2277=0,G2276,SUMIFS(Data!$R$10:$R$3209,Data!$Q$10:$Q$3209,"&gt;="&amp;$A2277,Data!$Q$10:$Q$3209,"&lt;"&amp;$A2277+1)/$AH2277)))</f>
        <v/>
      </c>
      <c r="I2277" s="54">
        <f>IF($B2277=0,NA(),IF($C2277="",NA(),IF(C$8="",NA(),IF(N(C$8)=0,NA(),IF(Inputs!$C$17="Rebased to 100",$C2277/C$8*100,$C2277)))))</f>
        <v/>
      </c>
      <c r="J2277" s="54">
        <f>IF($B2277=0,NA(),IF($D2277="",NA(),IF(D$8="",NA(),IF(N(D$8)=0,NA(),IF(Inputs!$C$17="Rebased to 100",$D2277/D$8*100,$D2277)))))</f>
        <v/>
      </c>
      <c r="K2277" s="54">
        <f>IF($B2277=0,NA(),IF($E2277="",NA(),IF(E$8="",NA(),IF(N(E$8)=0,NA(),IF(Inputs!$C$17="Rebased to 100",$E2277/E$8*100,$E2277)))))</f>
        <v/>
      </c>
      <c r="L2277" s="54">
        <f>IF($B2277=0,NA(),IF($F2277="",NA(),IF(F$8="",NA(),IF(N(F$8)=0,NA(),IF(Inputs!$C$17="Rebased to 100",$F2277/F$8*100,$F2277)))))</f>
        <v/>
      </c>
      <c r="M2277" s="54">
        <f>IF($B2277=0,NA(),IF($G2277="",NA(),IF(G$8="",NA(),IF(N(G$8)=0,NA(),IF(Inputs!$C$17="Rebased to 100",$G2277/G$8*100,$G2277)))))</f>
        <v/>
      </c>
      <c r="N2277" s="54">
        <f>IF($B2277=0,NA(),IF(Inputs!$C$18&lt;&gt;"Yes",NA(),IF(COUNT(I2277,J2277,K2277,L2277,M2277)=0,NA(),MIN(I2277,J2277,K2277,L2277,M2277))))</f>
        <v/>
      </c>
      <c r="O2277" s="54">
        <f>IF($B2277=0,NA(),IF(Inputs!$B$24&lt;&gt;"Yes",NA(),Inputs!$D$24*Inputs!$C$35))</f>
        <v/>
      </c>
      <c r="P2277" s="54">
        <f>IF($B2277=0,NA(),IF(Inputs!$B$25&lt;&gt;"Yes",NA(),Inputs!$D$25*Inputs!$C$35))</f>
        <v/>
      </c>
      <c r="Q2277" s="54">
        <f>IF($B2277=0,NA(),IF(Inputs!$B$26&lt;&gt;"Yes",NA(),Inputs!$D$26*Inputs!$C$35))</f>
        <v/>
      </c>
      <c r="R2277" s="54">
        <f>IF($B2277=0,NA(),IF(Inputs!$B$27&lt;&gt;"Yes",NA(),Inputs!$D$27*Inputs!$C$35))</f>
        <v/>
      </c>
      <c r="S2277" s="54">
        <f>IF($B2277=0,NA(),IF(Inputs!$B$28&lt;&gt;"Yes",NA(),Inputs!$D$28*Inputs!$C$35))</f>
        <v/>
      </c>
      <c r="T2277" s="54">
        <f>IF($B2277=0,NA(),IF(Inputs!$B$29&lt;&gt;"Yes",NA(),Inputs!$D$29*Inputs!$C$35))</f>
        <v/>
      </c>
      <c r="AD2277">
        <f>IF($B2277=0,0,IF(Inputs!$B$6="",0,COUNTIFS(Data!$A$10:$A$3209,"&gt;="&amp;$A2277,Data!$A$10:$A$3209,"&lt;"&amp;$A2277+1)))</f>
        <v/>
      </c>
      <c r="AE2277">
        <f>IF($B2277=0,0,IF(Inputs!$B$7="",0,COUNTIFS(Data!$E$10:$E$3209,"&gt;="&amp;$A2277,Data!$E$10:$E$3209,"&lt;"&amp;$A2277+1)))</f>
        <v/>
      </c>
      <c r="AF2277">
        <f>IF($B2277=0,0,IF(Inputs!$B$8="",0,COUNTIFS(Data!$I$10:$I$3209,"&gt;="&amp;$A2277,Data!$I$10:$I$3209,"&lt;"&amp;$A2277+1)))</f>
        <v/>
      </c>
      <c r="AG2277">
        <f>IF($B2277=0,0,IF(Inputs!$B$9="",0,COUNTIFS(Data!$M$10:$M$3209,"&gt;="&amp;$A2277,Data!$M$10:$M$3209,"&lt;"&amp;$A2277+1)))</f>
        <v/>
      </c>
      <c r="AH2277">
        <f>IF($B2277=0,0,IF(Inputs!$B$10="",0,COUNTIFS(Data!$Q$10:$Q$3209,"&gt;="&amp;$A2277,Data!$Q$10:$Q$3209,"&lt;"&amp;$A2277+1)))</f>
        <v/>
      </c>
    </row>
    <row r="2278">
      <c r="A2278" s="55">
        <f>MIN(Inputs!$C$15,$A2277+IF(WEEKDAY($A2277,2)=5,3,1))</f>
        <v/>
      </c>
      <c r="B2278">
        <f>IF($A2278&gt;$A2277,1,0)</f>
        <v/>
      </c>
      <c r="C2278" s="56">
        <f>IF($B2278=0,"",IF(Inputs!$B$6="","",IF($AD2278=0,C2277,SUMIFS(Data!$B$10:$B$3209,Data!$A$10:$A$3209,"&gt;="&amp;$A2278,Data!$A$10:$A$3209,"&lt;"&amp;$A2278+1)/$AD2278)))</f>
        <v/>
      </c>
      <c r="D2278" s="56">
        <f>IF($B2278=0,"",IF(Inputs!$B$7="","",IF($AE2278=0,D2277,SUMIFS(Data!$F$10:$F$3209,Data!$E$10:$E$3209,"&gt;="&amp;$A2278,Data!$E$10:$E$3209,"&lt;"&amp;$A2278+1)/$AE2278)))</f>
        <v/>
      </c>
      <c r="E2278" s="56">
        <f>IF($B2278=0,"",IF(Inputs!$B$8="","",IF($AF2278=0,E2277,SUMIFS(Data!$J$10:$J$3209,Data!$I$10:$I$3209,"&gt;="&amp;$A2278,Data!$I$10:$I$3209,"&lt;"&amp;$A2278+1)/$AF2278)))</f>
        <v/>
      </c>
      <c r="F2278" s="56">
        <f>IF($B2278=0,"",IF(Inputs!$B$9="","",IF($AG2278=0,F2277,SUMIFS(Data!$N$10:$N$3209,Data!$M$10:$M$3209,"&gt;="&amp;$A2278,Data!$M$10:$M$3209,"&lt;"&amp;$A2278+1)/$AG2278)))</f>
        <v/>
      </c>
      <c r="G2278" s="56">
        <f>IF($B2278=0,"",IF(Inputs!$B$10="","",IF($AH2278=0,G2277,SUMIFS(Data!$R$10:$R$3209,Data!$Q$10:$Q$3209,"&gt;="&amp;$A2278,Data!$Q$10:$Q$3209,"&lt;"&amp;$A2278+1)/$AH2278)))</f>
        <v/>
      </c>
      <c r="I2278" s="54">
        <f>IF($B2278=0,NA(),IF($C2278="",NA(),IF(C$8="",NA(),IF(N(C$8)=0,NA(),IF(Inputs!$C$17="Rebased to 100",$C2278/C$8*100,$C2278)))))</f>
        <v/>
      </c>
      <c r="J2278" s="54">
        <f>IF($B2278=0,NA(),IF($D2278="",NA(),IF(D$8="",NA(),IF(N(D$8)=0,NA(),IF(Inputs!$C$17="Rebased to 100",$D2278/D$8*100,$D2278)))))</f>
        <v/>
      </c>
      <c r="K2278" s="54">
        <f>IF($B2278=0,NA(),IF($E2278="",NA(),IF(E$8="",NA(),IF(N(E$8)=0,NA(),IF(Inputs!$C$17="Rebased to 100",$E2278/E$8*100,$E2278)))))</f>
        <v/>
      </c>
      <c r="L2278" s="54">
        <f>IF($B2278=0,NA(),IF($F2278="",NA(),IF(F$8="",NA(),IF(N(F$8)=0,NA(),IF(Inputs!$C$17="Rebased to 100",$F2278/F$8*100,$F2278)))))</f>
        <v/>
      </c>
      <c r="M2278" s="54">
        <f>IF($B2278=0,NA(),IF($G2278="",NA(),IF(G$8="",NA(),IF(N(G$8)=0,NA(),IF(Inputs!$C$17="Rebased to 100",$G2278/G$8*100,$G2278)))))</f>
        <v/>
      </c>
      <c r="N2278" s="54">
        <f>IF($B2278=0,NA(),IF(Inputs!$C$18&lt;&gt;"Yes",NA(),IF(COUNT(I2278,J2278,K2278,L2278,M2278)=0,NA(),MIN(I2278,J2278,K2278,L2278,M2278))))</f>
        <v/>
      </c>
      <c r="O2278" s="54">
        <f>IF($B2278=0,NA(),IF(Inputs!$B$24&lt;&gt;"Yes",NA(),Inputs!$D$24*Inputs!$C$35))</f>
        <v/>
      </c>
      <c r="P2278" s="54">
        <f>IF($B2278=0,NA(),IF(Inputs!$B$25&lt;&gt;"Yes",NA(),Inputs!$D$25*Inputs!$C$35))</f>
        <v/>
      </c>
      <c r="Q2278" s="54">
        <f>IF($B2278=0,NA(),IF(Inputs!$B$26&lt;&gt;"Yes",NA(),Inputs!$D$26*Inputs!$C$35))</f>
        <v/>
      </c>
      <c r="R2278" s="54">
        <f>IF($B2278=0,NA(),IF(Inputs!$B$27&lt;&gt;"Yes",NA(),Inputs!$D$27*Inputs!$C$35))</f>
        <v/>
      </c>
      <c r="S2278" s="54">
        <f>IF($B2278=0,NA(),IF(Inputs!$B$28&lt;&gt;"Yes",NA(),Inputs!$D$28*Inputs!$C$35))</f>
        <v/>
      </c>
      <c r="T2278" s="54">
        <f>IF($B2278=0,NA(),IF(Inputs!$B$29&lt;&gt;"Yes",NA(),Inputs!$D$29*Inputs!$C$35))</f>
        <v/>
      </c>
      <c r="AD2278">
        <f>IF($B2278=0,0,IF(Inputs!$B$6="",0,COUNTIFS(Data!$A$10:$A$3209,"&gt;="&amp;$A2278,Data!$A$10:$A$3209,"&lt;"&amp;$A2278+1)))</f>
        <v/>
      </c>
      <c r="AE2278">
        <f>IF($B2278=0,0,IF(Inputs!$B$7="",0,COUNTIFS(Data!$E$10:$E$3209,"&gt;="&amp;$A2278,Data!$E$10:$E$3209,"&lt;"&amp;$A2278+1)))</f>
        <v/>
      </c>
      <c r="AF2278">
        <f>IF($B2278=0,0,IF(Inputs!$B$8="",0,COUNTIFS(Data!$I$10:$I$3209,"&gt;="&amp;$A2278,Data!$I$10:$I$3209,"&lt;"&amp;$A2278+1)))</f>
        <v/>
      </c>
      <c r="AG2278">
        <f>IF($B2278=0,0,IF(Inputs!$B$9="",0,COUNTIFS(Data!$M$10:$M$3209,"&gt;="&amp;$A2278,Data!$M$10:$M$3209,"&lt;"&amp;$A2278+1)))</f>
        <v/>
      </c>
      <c r="AH2278">
        <f>IF($B2278=0,0,IF(Inputs!$B$10="",0,COUNTIFS(Data!$Q$10:$Q$3209,"&gt;="&amp;$A2278,Data!$Q$10:$Q$3209,"&lt;"&amp;$A2278+1)))</f>
        <v/>
      </c>
    </row>
    <row r="2279">
      <c r="A2279" s="55">
        <f>MIN(Inputs!$C$15,$A2278+IF(WEEKDAY($A2278,2)=5,3,1))</f>
        <v/>
      </c>
      <c r="B2279">
        <f>IF($A2279&gt;$A2278,1,0)</f>
        <v/>
      </c>
      <c r="C2279" s="56">
        <f>IF($B2279=0,"",IF(Inputs!$B$6="","",IF($AD2279=0,C2278,SUMIFS(Data!$B$10:$B$3209,Data!$A$10:$A$3209,"&gt;="&amp;$A2279,Data!$A$10:$A$3209,"&lt;"&amp;$A2279+1)/$AD2279)))</f>
        <v/>
      </c>
      <c r="D2279" s="56">
        <f>IF($B2279=0,"",IF(Inputs!$B$7="","",IF($AE2279=0,D2278,SUMIFS(Data!$F$10:$F$3209,Data!$E$10:$E$3209,"&gt;="&amp;$A2279,Data!$E$10:$E$3209,"&lt;"&amp;$A2279+1)/$AE2279)))</f>
        <v/>
      </c>
      <c r="E2279" s="56">
        <f>IF($B2279=0,"",IF(Inputs!$B$8="","",IF($AF2279=0,E2278,SUMIFS(Data!$J$10:$J$3209,Data!$I$10:$I$3209,"&gt;="&amp;$A2279,Data!$I$10:$I$3209,"&lt;"&amp;$A2279+1)/$AF2279)))</f>
        <v/>
      </c>
      <c r="F2279" s="56">
        <f>IF($B2279=0,"",IF(Inputs!$B$9="","",IF($AG2279=0,F2278,SUMIFS(Data!$N$10:$N$3209,Data!$M$10:$M$3209,"&gt;="&amp;$A2279,Data!$M$10:$M$3209,"&lt;"&amp;$A2279+1)/$AG2279)))</f>
        <v/>
      </c>
      <c r="G2279" s="56">
        <f>IF($B2279=0,"",IF(Inputs!$B$10="","",IF($AH2279=0,G2278,SUMIFS(Data!$R$10:$R$3209,Data!$Q$10:$Q$3209,"&gt;="&amp;$A2279,Data!$Q$10:$Q$3209,"&lt;"&amp;$A2279+1)/$AH2279)))</f>
        <v/>
      </c>
      <c r="I2279" s="54">
        <f>IF($B2279=0,NA(),IF($C2279="",NA(),IF(C$8="",NA(),IF(N(C$8)=0,NA(),IF(Inputs!$C$17="Rebased to 100",$C2279/C$8*100,$C2279)))))</f>
        <v/>
      </c>
      <c r="J2279" s="54">
        <f>IF($B2279=0,NA(),IF($D2279="",NA(),IF(D$8="",NA(),IF(N(D$8)=0,NA(),IF(Inputs!$C$17="Rebased to 100",$D2279/D$8*100,$D2279)))))</f>
        <v/>
      </c>
      <c r="K2279" s="54">
        <f>IF($B2279=0,NA(),IF($E2279="",NA(),IF(E$8="",NA(),IF(N(E$8)=0,NA(),IF(Inputs!$C$17="Rebased to 100",$E2279/E$8*100,$E2279)))))</f>
        <v/>
      </c>
      <c r="L2279" s="54">
        <f>IF($B2279=0,NA(),IF($F2279="",NA(),IF(F$8="",NA(),IF(N(F$8)=0,NA(),IF(Inputs!$C$17="Rebased to 100",$F2279/F$8*100,$F2279)))))</f>
        <v/>
      </c>
      <c r="M2279" s="54">
        <f>IF($B2279=0,NA(),IF($G2279="",NA(),IF(G$8="",NA(),IF(N(G$8)=0,NA(),IF(Inputs!$C$17="Rebased to 100",$G2279/G$8*100,$G2279)))))</f>
        <v/>
      </c>
      <c r="N2279" s="54">
        <f>IF($B2279=0,NA(),IF(Inputs!$C$18&lt;&gt;"Yes",NA(),IF(COUNT(I2279,J2279,K2279,L2279,M2279)=0,NA(),MIN(I2279,J2279,K2279,L2279,M2279))))</f>
        <v/>
      </c>
      <c r="O2279" s="54">
        <f>IF($B2279=0,NA(),IF(Inputs!$B$24&lt;&gt;"Yes",NA(),Inputs!$D$24*Inputs!$C$35))</f>
        <v/>
      </c>
      <c r="P2279" s="54">
        <f>IF($B2279=0,NA(),IF(Inputs!$B$25&lt;&gt;"Yes",NA(),Inputs!$D$25*Inputs!$C$35))</f>
        <v/>
      </c>
      <c r="Q2279" s="54">
        <f>IF($B2279=0,NA(),IF(Inputs!$B$26&lt;&gt;"Yes",NA(),Inputs!$D$26*Inputs!$C$35))</f>
        <v/>
      </c>
      <c r="R2279" s="54">
        <f>IF($B2279=0,NA(),IF(Inputs!$B$27&lt;&gt;"Yes",NA(),Inputs!$D$27*Inputs!$C$35))</f>
        <v/>
      </c>
      <c r="S2279" s="54">
        <f>IF($B2279=0,NA(),IF(Inputs!$B$28&lt;&gt;"Yes",NA(),Inputs!$D$28*Inputs!$C$35))</f>
        <v/>
      </c>
      <c r="T2279" s="54">
        <f>IF($B2279=0,NA(),IF(Inputs!$B$29&lt;&gt;"Yes",NA(),Inputs!$D$29*Inputs!$C$35))</f>
        <v/>
      </c>
      <c r="AD2279">
        <f>IF($B2279=0,0,IF(Inputs!$B$6="",0,COUNTIFS(Data!$A$10:$A$3209,"&gt;="&amp;$A2279,Data!$A$10:$A$3209,"&lt;"&amp;$A2279+1)))</f>
        <v/>
      </c>
      <c r="AE2279">
        <f>IF($B2279=0,0,IF(Inputs!$B$7="",0,COUNTIFS(Data!$E$10:$E$3209,"&gt;="&amp;$A2279,Data!$E$10:$E$3209,"&lt;"&amp;$A2279+1)))</f>
        <v/>
      </c>
      <c r="AF2279">
        <f>IF($B2279=0,0,IF(Inputs!$B$8="",0,COUNTIFS(Data!$I$10:$I$3209,"&gt;="&amp;$A2279,Data!$I$10:$I$3209,"&lt;"&amp;$A2279+1)))</f>
        <v/>
      </c>
      <c r="AG2279">
        <f>IF($B2279=0,0,IF(Inputs!$B$9="",0,COUNTIFS(Data!$M$10:$M$3209,"&gt;="&amp;$A2279,Data!$M$10:$M$3209,"&lt;"&amp;$A2279+1)))</f>
        <v/>
      </c>
      <c r="AH2279">
        <f>IF($B2279=0,0,IF(Inputs!$B$10="",0,COUNTIFS(Data!$Q$10:$Q$3209,"&gt;="&amp;$A2279,Data!$Q$10:$Q$3209,"&lt;"&amp;$A2279+1)))</f>
        <v/>
      </c>
    </row>
    <row r="2280">
      <c r="A2280" s="55">
        <f>MIN(Inputs!$C$15,$A2279+IF(WEEKDAY($A2279,2)=5,3,1))</f>
        <v/>
      </c>
      <c r="B2280">
        <f>IF($A2280&gt;$A2279,1,0)</f>
        <v/>
      </c>
      <c r="C2280" s="56">
        <f>IF($B2280=0,"",IF(Inputs!$B$6="","",IF($AD2280=0,C2279,SUMIFS(Data!$B$10:$B$3209,Data!$A$10:$A$3209,"&gt;="&amp;$A2280,Data!$A$10:$A$3209,"&lt;"&amp;$A2280+1)/$AD2280)))</f>
        <v/>
      </c>
      <c r="D2280" s="56">
        <f>IF($B2280=0,"",IF(Inputs!$B$7="","",IF($AE2280=0,D2279,SUMIFS(Data!$F$10:$F$3209,Data!$E$10:$E$3209,"&gt;="&amp;$A2280,Data!$E$10:$E$3209,"&lt;"&amp;$A2280+1)/$AE2280)))</f>
        <v/>
      </c>
      <c r="E2280" s="56">
        <f>IF($B2280=0,"",IF(Inputs!$B$8="","",IF($AF2280=0,E2279,SUMIFS(Data!$J$10:$J$3209,Data!$I$10:$I$3209,"&gt;="&amp;$A2280,Data!$I$10:$I$3209,"&lt;"&amp;$A2280+1)/$AF2280)))</f>
        <v/>
      </c>
      <c r="F2280" s="56">
        <f>IF($B2280=0,"",IF(Inputs!$B$9="","",IF($AG2280=0,F2279,SUMIFS(Data!$N$10:$N$3209,Data!$M$10:$M$3209,"&gt;="&amp;$A2280,Data!$M$10:$M$3209,"&lt;"&amp;$A2280+1)/$AG2280)))</f>
        <v/>
      </c>
      <c r="G2280" s="56">
        <f>IF($B2280=0,"",IF(Inputs!$B$10="","",IF($AH2280=0,G2279,SUMIFS(Data!$R$10:$R$3209,Data!$Q$10:$Q$3209,"&gt;="&amp;$A2280,Data!$Q$10:$Q$3209,"&lt;"&amp;$A2280+1)/$AH2280)))</f>
        <v/>
      </c>
      <c r="I2280" s="54">
        <f>IF($B2280=0,NA(),IF($C2280="",NA(),IF(C$8="",NA(),IF(N(C$8)=0,NA(),IF(Inputs!$C$17="Rebased to 100",$C2280/C$8*100,$C2280)))))</f>
        <v/>
      </c>
      <c r="J2280" s="54">
        <f>IF($B2280=0,NA(),IF($D2280="",NA(),IF(D$8="",NA(),IF(N(D$8)=0,NA(),IF(Inputs!$C$17="Rebased to 100",$D2280/D$8*100,$D2280)))))</f>
        <v/>
      </c>
      <c r="K2280" s="54">
        <f>IF($B2280=0,NA(),IF($E2280="",NA(),IF(E$8="",NA(),IF(N(E$8)=0,NA(),IF(Inputs!$C$17="Rebased to 100",$E2280/E$8*100,$E2280)))))</f>
        <v/>
      </c>
      <c r="L2280" s="54">
        <f>IF($B2280=0,NA(),IF($F2280="",NA(),IF(F$8="",NA(),IF(N(F$8)=0,NA(),IF(Inputs!$C$17="Rebased to 100",$F2280/F$8*100,$F2280)))))</f>
        <v/>
      </c>
      <c r="M2280" s="54">
        <f>IF($B2280=0,NA(),IF($G2280="",NA(),IF(G$8="",NA(),IF(N(G$8)=0,NA(),IF(Inputs!$C$17="Rebased to 100",$G2280/G$8*100,$G2280)))))</f>
        <v/>
      </c>
      <c r="N2280" s="54">
        <f>IF($B2280=0,NA(),IF(Inputs!$C$18&lt;&gt;"Yes",NA(),IF(COUNT(I2280,J2280,K2280,L2280,M2280)=0,NA(),MIN(I2280,J2280,K2280,L2280,M2280))))</f>
        <v/>
      </c>
      <c r="O2280" s="54">
        <f>IF($B2280=0,NA(),IF(Inputs!$B$24&lt;&gt;"Yes",NA(),Inputs!$D$24*Inputs!$C$35))</f>
        <v/>
      </c>
      <c r="P2280" s="54">
        <f>IF($B2280=0,NA(),IF(Inputs!$B$25&lt;&gt;"Yes",NA(),Inputs!$D$25*Inputs!$C$35))</f>
        <v/>
      </c>
      <c r="Q2280" s="54">
        <f>IF($B2280=0,NA(),IF(Inputs!$B$26&lt;&gt;"Yes",NA(),Inputs!$D$26*Inputs!$C$35))</f>
        <v/>
      </c>
      <c r="R2280" s="54">
        <f>IF($B2280=0,NA(),IF(Inputs!$B$27&lt;&gt;"Yes",NA(),Inputs!$D$27*Inputs!$C$35))</f>
        <v/>
      </c>
      <c r="S2280" s="54">
        <f>IF($B2280=0,NA(),IF(Inputs!$B$28&lt;&gt;"Yes",NA(),Inputs!$D$28*Inputs!$C$35))</f>
        <v/>
      </c>
      <c r="T2280" s="54">
        <f>IF($B2280=0,NA(),IF(Inputs!$B$29&lt;&gt;"Yes",NA(),Inputs!$D$29*Inputs!$C$35))</f>
        <v/>
      </c>
      <c r="AD2280">
        <f>IF($B2280=0,0,IF(Inputs!$B$6="",0,COUNTIFS(Data!$A$10:$A$3209,"&gt;="&amp;$A2280,Data!$A$10:$A$3209,"&lt;"&amp;$A2280+1)))</f>
        <v/>
      </c>
      <c r="AE2280">
        <f>IF($B2280=0,0,IF(Inputs!$B$7="",0,COUNTIFS(Data!$E$10:$E$3209,"&gt;="&amp;$A2280,Data!$E$10:$E$3209,"&lt;"&amp;$A2280+1)))</f>
        <v/>
      </c>
      <c r="AF2280">
        <f>IF($B2280=0,0,IF(Inputs!$B$8="",0,COUNTIFS(Data!$I$10:$I$3209,"&gt;="&amp;$A2280,Data!$I$10:$I$3209,"&lt;"&amp;$A2280+1)))</f>
        <v/>
      </c>
      <c r="AG2280">
        <f>IF($B2280=0,0,IF(Inputs!$B$9="",0,COUNTIFS(Data!$M$10:$M$3209,"&gt;="&amp;$A2280,Data!$M$10:$M$3209,"&lt;"&amp;$A2280+1)))</f>
        <v/>
      </c>
      <c r="AH2280">
        <f>IF($B2280=0,0,IF(Inputs!$B$10="",0,COUNTIFS(Data!$Q$10:$Q$3209,"&gt;="&amp;$A2280,Data!$Q$10:$Q$3209,"&lt;"&amp;$A2280+1)))</f>
        <v/>
      </c>
    </row>
    <row r="2281">
      <c r="A2281" s="55">
        <f>MIN(Inputs!$C$15,$A2280+IF(WEEKDAY($A2280,2)=5,3,1))</f>
        <v/>
      </c>
      <c r="B2281">
        <f>IF($A2281&gt;$A2280,1,0)</f>
        <v/>
      </c>
      <c r="C2281" s="56">
        <f>IF($B2281=0,"",IF(Inputs!$B$6="","",IF($AD2281=0,C2280,SUMIFS(Data!$B$10:$B$3209,Data!$A$10:$A$3209,"&gt;="&amp;$A2281,Data!$A$10:$A$3209,"&lt;"&amp;$A2281+1)/$AD2281)))</f>
        <v/>
      </c>
      <c r="D2281" s="56">
        <f>IF($B2281=0,"",IF(Inputs!$B$7="","",IF($AE2281=0,D2280,SUMIFS(Data!$F$10:$F$3209,Data!$E$10:$E$3209,"&gt;="&amp;$A2281,Data!$E$10:$E$3209,"&lt;"&amp;$A2281+1)/$AE2281)))</f>
        <v/>
      </c>
      <c r="E2281" s="56">
        <f>IF($B2281=0,"",IF(Inputs!$B$8="","",IF($AF2281=0,E2280,SUMIFS(Data!$J$10:$J$3209,Data!$I$10:$I$3209,"&gt;="&amp;$A2281,Data!$I$10:$I$3209,"&lt;"&amp;$A2281+1)/$AF2281)))</f>
        <v/>
      </c>
      <c r="F2281" s="56">
        <f>IF($B2281=0,"",IF(Inputs!$B$9="","",IF($AG2281=0,F2280,SUMIFS(Data!$N$10:$N$3209,Data!$M$10:$M$3209,"&gt;="&amp;$A2281,Data!$M$10:$M$3209,"&lt;"&amp;$A2281+1)/$AG2281)))</f>
        <v/>
      </c>
      <c r="G2281" s="56">
        <f>IF($B2281=0,"",IF(Inputs!$B$10="","",IF($AH2281=0,G2280,SUMIFS(Data!$R$10:$R$3209,Data!$Q$10:$Q$3209,"&gt;="&amp;$A2281,Data!$Q$10:$Q$3209,"&lt;"&amp;$A2281+1)/$AH2281)))</f>
        <v/>
      </c>
      <c r="I2281" s="54">
        <f>IF($B2281=0,NA(),IF($C2281="",NA(),IF(C$8="",NA(),IF(N(C$8)=0,NA(),IF(Inputs!$C$17="Rebased to 100",$C2281/C$8*100,$C2281)))))</f>
        <v/>
      </c>
      <c r="J2281" s="54">
        <f>IF($B2281=0,NA(),IF($D2281="",NA(),IF(D$8="",NA(),IF(N(D$8)=0,NA(),IF(Inputs!$C$17="Rebased to 100",$D2281/D$8*100,$D2281)))))</f>
        <v/>
      </c>
      <c r="K2281" s="54">
        <f>IF($B2281=0,NA(),IF($E2281="",NA(),IF(E$8="",NA(),IF(N(E$8)=0,NA(),IF(Inputs!$C$17="Rebased to 100",$E2281/E$8*100,$E2281)))))</f>
        <v/>
      </c>
      <c r="L2281" s="54">
        <f>IF($B2281=0,NA(),IF($F2281="",NA(),IF(F$8="",NA(),IF(N(F$8)=0,NA(),IF(Inputs!$C$17="Rebased to 100",$F2281/F$8*100,$F2281)))))</f>
        <v/>
      </c>
      <c r="M2281" s="54">
        <f>IF($B2281=0,NA(),IF($G2281="",NA(),IF(G$8="",NA(),IF(N(G$8)=0,NA(),IF(Inputs!$C$17="Rebased to 100",$G2281/G$8*100,$G2281)))))</f>
        <v/>
      </c>
      <c r="N2281" s="54">
        <f>IF($B2281=0,NA(),IF(Inputs!$C$18&lt;&gt;"Yes",NA(),IF(COUNT(I2281,J2281,K2281,L2281,M2281)=0,NA(),MIN(I2281,J2281,K2281,L2281,M2281))))</f>
        <v/>
      </c>
      <c r="O2281" s="54">
        <f>IF($B2281=0,NA(),IF(Inputs!$B$24&lt;&gt;"Yes",NA(),Inputs!$D$24*Inputs!$C$35))</f>
        <v/>
      </c>
      <c r="P2281" s="54">
        <f>IF($B2281=0,NA(),IF(Inputs!$B$25&lt;&gt;"Yes",NA(),Inputs!$D$25*Inputs!$C$35))</f>
        <v/>
      </c>
      <c r="Q2281" s="54">
        <f>IF($B2281=0,NA(),IF(Inputs!$B$26&lt;&gt;"Yes",NA(),Inputs!$D$26*Inputs!$C$35))</f>
        <v/>
      </c>
      <c r="R2281" s="54">
        <f>IF($B2281=0,NA(),IF(Inputs!$B$27&lt;&gt;"Yes",NA(),Inputs!$D$27*Inputs!$C$35))</f>
        <v/>
      </c>
      <c r="S2281" s="54">
        <f>IF($B2281=0,NA(),IF(Inputs!$B$28&lt;&gt;"Yes",NA(),Inputs!$D$28*Inputs!$C$35))</f>
        <v/>
      </c>
      <c r="T2281" s="54">
        <f>IF($B2281=0,NA(),IF(Inputs!$B$29&lt;&gt;"Yes",NA(),Inputs!$D$29*Inputs!$C$35))</f>
        <v/>
      </c>
      <c r="AD2281">
        <f>IF($B2281=0,0,IF(Inputs!$B$6="",0,COUNTIFS(Data!$A$10:$A$3209,"&gt;="&amp;$A2281,Data!$A$10:$A$3209,"&lt;"&amp;$A2281+1)))</f>
        <v/>
      </c>
      <c r="AE2281">
        <f>IF($B2281=0,0,IF(Inputs!$B$7="",0,COUNTIFS(Data!$E$10:$E$3209,"&gt;="&amp;$A2281,Data!$E$10:$E$3209,"&lt;"&amp;$A2281+1)))</f>
        <v/>
      </c>
      <c r="AF2281">
        <f>IF($B2281=0,0,IF(Inputs!$B$8="",0,COUNTIFS(Data!$I$10:$I$3209,"&gt;="&amp;$A2281,Data!$I$10:$I$3209,"&lt;"&amp;$A2281+1)))</f>
        <v/>
      </c>
      <c r="AG2281">
        <f>IF($B2281=0,0,IF(Inputs!$B$9="",0,COUNTIFS(Data!$M$10:$M$3209,"&gt;="&amp;$A2281,Data!$M$10:$M$3209,"&lt;"&amp;$A2281+1)))</f>
        <v/>
      </c>
      <c r="AH2281">
        <f>IF($B2281=0,0,IF(Inputs!$B$10="",0,COUNTIFS(Data!$Q$10:$Q$3209,"&gt;="&amp;$A2281,Data!$Q$10:$Q$3209,"&lt;"&amp;$A2281+1)))</f>
        <v/>
      </c>
    </row>
    <row r="2282">
      <c r="A2282" s="55">
        <f>MIN(Inputs!$C$15,$A2281+IF(WEEKDAY($A2281,2)=5,3,1))</f>
        <v/>
      </c>
      <c r="B2282">
        <f>IF($A2282&gt;$A2281,1,0)</f>
        <v/>
      </c>
      <c r="C2282" s="56">
        <f>IF($B2282=0,"",IF(Inputs!$B$6="","",IF($AD2282=0,C2281,SUMIFS(Data!$B$10:$B$3209,Data!$A$10:$A$3209,"&gt;="&amp;$A2282,Data!$A$10:$A$3209,"&lt;"&amp;$A2282+1)/$AD2282)))</f>
        <v/>
      </c>
      <c r="D2282" s="56">
        <f>IF($B2282=0,"",IF(Inputs!$B$7="","",IF($AE2282=0,D2281,SUMIFS(Data!$F$10:$F$3209,Data!$E$10:$E$3209,"&gt;="&amp;$A2282,Data!$E$10:$E$3209,"&lt;"&amp;$A2282+1)/$AE2282)))</f>
        <v/>
      </c>
      <c r="E2282" s="56">
        <f>IF($B2282=0,"",IF(Inputs!$B$8="","",IF($AF2282=0,E2281,SUMIFS(Data!$J$10:$J$3209,Data!$I$10:$I$3209,"&gt;="&amp;$A2282,Data!$I$10:$I$3209,"&lt;"&amp;$A2282+1)/$AF2282)))</f>
        <v/>
      </c>
      <c r="F2282" s="56">
        <f>IF($B2282=0,"",IF(Inputs!$B$9="","",IF($AG2282=0,F2281,SUMIFS(Data!$N$10:$N$3209,Data!$M$10:$M$3209,"&gt;="&amp;$A2282,Data!$M$10:$M$3209,"&lt;"&amp;$A2282+1)/$AG2282)))</f>
        <v/>
      </c>
      <c r="G2282" s="56">
        <f>IF($B2282=0,"",IF(Inputs!$B$10="","",IF($AH2282=0,G2281,SUMIFS(Data!$R$10:$R$3209,Data!$Q$10:$Q$3209,"&gt;="&amp;$A2282,Data!$Q$10:$Q$3209,"&lt;"&amp;$A2282+1)/$AH2282)))</f>
        <v/>
      </c>
      <c r="I2282" s="54">
        <f>IF($B2282=0,NA(),IF($C2282="",NA(),IF(C$8="",NA(),IF(N(C$8)=0,NA(),IF(Inputs!$C$17="Rebased to 100",$C2282/C$8*100,$C2282)))))</f>
        <v/>
      </c>
      <c r="J2282" s="54">
        <f>IF($B2282=0,NA(),IF($D2282="",NA(),IF(D$8="",NA(),IF(N(D$8)=0,NA(),IF(Inputs!$C$17="Rebased to 100",$D2282/D$8*100,$D2282)))))</f>
        <v/>
      </c>
      <c r="K2282" s="54">
        <f>IF($B2282=0,NA(),IF($E2282="",NA(),IF(E$8="",NA(),IF(N(E$8)=0,NA(),IF(Inputs!$C$17="Rebased to 100",$E2282/E$8*100,$E2282)))))</f>
        <v/>
      </c>
      <c r="L2282" s="54">
        <f>IF($B2282=0,NA(),IF($F2282="",NA(),IF(F$8="",NA(),IF(N(F$8)=0,NA(),IF(Inputs!$C$17="Rebased to 100",$F2282/F$8*100,$F2282)))))</f>
        <v/>
      </c>
      <c r="M2282" s="54">
        <f>IF($B2282=0,NA(),IF($G2282="",NA(),IF(G$8="",NA(),IF(N(G$8)=0,NA(),IF(Inputs!$C$17="Rebased to 100",$G2282/G$8*100,$G2282)))))</f>
        <v/>
      </c>
      <c r="N2282" s="54">
        <f>IF($B2282=0,NA(),IF(Inputs!$C$18&lt;&gt;"Yes",NA(),IF(COUNT(I2282,J2282,K2282,L2282,M2282)=0,NA(),MIN(I2282,J2282,K2282,L2282,M2282))))</f>
        <v/>
      </c>
      <c r="O2282" s="54">
        <f>IF($B2282=0,NA(),IF(Inputs!$B$24&lt;&gt;"Yes",NA(),Inputs!$D$24*Inputs!$C$35))</f>
        <v/>
      </c>
      <c r="P2282" s="54">
        <f>IF($B2282=0,NA(),IF(Inputs!$B$25&lt;&gt;"Yes",NA(),Inputs!$D$25*Inputs!$C$35))</f>
        <v/>
      </c>
      <c r="Q2282" s="54">
        <f>IF($B2282=0,NA(),IF(Inputs!$B$26&lt;&gt;"Yes",NA(),Inputs!$D$26*Inputs!$C$35))</f>
        <v/>
      </c>
      <c r="R2282" s="54">
        <f>IF($B2282=0,NA(),IF(Inputs!$B$27&lt;&gt;"Yes",NA(),Inputs!$D$27*Inputs!$C$35))</f>
        <v/>
      </c>
      <c r="S2282" s="54">
        <f>IF($B2282=0,NA(),IF(Inputs!$B$28&lt;&gt;"Yes",NA(),Inputs!$D$28*Inputs!$C$35))</f>
        <v/>
      </c>
      <c r="T2282" s="54">
        <f>IF($B2282=0,NA(),IF(Inputs!$B$29&lt;&gt;"Yes",NA(),Inputs!$D$29*Inputs!$C$35))</f>
        <v/>
      </c>
      <c r="AD2282">
        <f>IF($B2282=0,0,IF(Inputs!$B$6="",0,COUNTIFS(Data!$A$10:$A$3209,"&gt;="&amp;$A2282,Data!$A$10:$A$3209,"&lt;"&amp;$A2282+1)))</f>
        <v/>
      </c>
      <c r="AE2282">
        <f>IF($B2282=0,0,IF(Inputs!$B$7="",0,COUNTIFS(Data!$E$10:$E$3209,"&gt;="&amp;$A2282,Data!$E$10:$E$3209,"&lt;"&amp;$A2282+1)))</f>
        <v/>
      </c>
      <c r="AF2282">
        <f>IF($B2282=0,0,IF(Inputs!$B$8="",0,COUNTIFS(Data!$I$10:$I$3209,"&gt;="&amp;$A2282,Data!$I$10:$I$3209,"&lt;"&amp;$A2282+1)))</f>
        <v/>
      </c>
      <c r="AG2282">
        <f>IF($B2282=0,0,IF(Inputs!$B$9="",0,COUNTIFS(Data!$M$10:$M$3209,"&gt;="&amp;$A2282,Data!$M$10:$M$3209,"&lt;"&amp;$A2282+1)))</f>
        <v/>
      </c>
      <c r="AH2282">
        <f>IF($B2282=0,0,IF(Inputs!$B$10="",0,COUNTIFS(Data!$Q$10:$Q$3209,"&gt;="&amp;$A2282,Data!$Q$10:$Q$3209,"&lt;"&amp;$A2282+1)))</f>
        <v/>
      </c>
    </row>
    <row r="2283">
      <c r="A2283" s="55">
        <f>MIN(Inputs!$C$15,$A2282+IF(WEEKDAY($A2282,2)=5,3,1))</f>
        <v/>
      </c>
      <c r="B2283">
        <f>IF($A2283&gt;$A2282,1,0)</f>
        <v/>
      </c>
      <c r="C2283" s="56">
        <f>IF($B2283=0,"",IF(Inputs!$B$6="","",IF($AD2283=0,C2282,SUMIFS(Data!$B$10:$B$3209,Data!$A$10:$A$3209,"&gt;="&amp;$A2283,Data!$A$10:$A$3209,"&lt;"&amp;$A2283+1)/$AD2283)))</f>
        <v/>
      </c>
      <c r="D2283" s="56">
        <f>IF($B2283=0,"",IF(Inputs!$B$7="","",IF($AE2283=0,D2282,SUMIFS(Data!$F$10:$F$3209,Data!$E$10:$E$3209,"&gt;="&amp;$A2283,Data!$E$10:$E$3209,"&lt;"&amp;$A2283+1)/$AE2283)))</f>
        <v/>
      </c>
      <c r="E2283" s="56">
        <f>IF($B2283=0,"",IF(Inputs!$B$8="","",IF($AF2283=0,E2282,SUMIFS(Data!$J$10:$J$3209,Data!$I$10:$I$3209,"&gt;="&amp;$A2283,Data!$I$10:$I$3209,"&lt;"&amp;$A2283+1)/$AF2283)))</f>
        <v/>
      </c>
      <c r="F2283" s="56">
        <f>IF($B2283=0,"",IF(Inputs!$B$9="","",IF($AG2283=0,F2282,SUMIFS(Data!$N$10:$N$3209,Data!$M$10:$M$3209,"&gt;="&amp;$A2283,Data!$M$10:$M$3209,"&lt;"&amp;$A2283+1)/$AG2283)))</f>
        <v/>
      </c>
      <c r="G2283" s="56">
        <f>IF($B2283=0,"",IF(Inputs!$B$10="","",IF($AH2283=0,G2282,SUMIFS(Data!$R$10:$R$3209,Data!$Q$10:$Q$3209,"&gt;="&amp;$A2283,Data!$Q$10:$Q$3209,"&lt;"&amp;$A2283+1)/$AH2283)))</f>
        <v/>
      </c>
      <c r="I2283" s="54">
        <f>IF($B2283=0,NA(),IF($C2283="",NA(),IF(C$8="",NA(),IF(N(C$8)=0,NA(),IF(Inputs!$C$17="Rebased to 100",$C2283/C$8*100,$C2283)))))</f>
        <v/>
      </c>
      <c r="J2283" s="54">
        <f>IF($B2283=0,NA(),IF($D2283="",NA(),IF(D$8="",NA(),IF(N(D$8)=0,NA(),IF(Inputs!$C$17="Rebased to 100",$D2283/D$8*100,$D2283)))))</f>
        <v/>
      </c>
      <c r="K2283" s="54">
        <f>IF($B2283=0,NA(),IF($E2283="",NA(),IF(E$8="",NA(),IF(N(E$8)=0,NA(),IF(Inputs!$C$17="Rebased to 100",$E2283/E$8*100,$E2283)))))</f>
        <v/>
      </c>
      <c r="L2283" s="54">
        <f>IF($B2283=0,NA(),IF($F2283="",NA(),IF(F$8="",NA(),IF(N(F$8)=0,NA(),IF(Inputs!$C$17="Rebased to 100",$F2283/F$8*100,$F2283)))))</f>
        <v/>
      </c>
      <c r="M2283" s="54">
        <f>IF($B2283=0,NA(),IF($G2283="",NA(),IF(G$8="",NA(),IF(N(G$8)=0,NA(),IF(Inputs!$C$17="Rebased to 100",$G2283/G$8*100,$G2283)))))</f>
        <v/>
      </c>
      <c r="N2283" s="54">
        <f>IF($B2283=0,NA(),IF(Inputs!$C$18&lt;&gt;"Yes",NA(),IF(COUNT(I2283,J2283,K2283,L2283,M2283)=0,NA(),MIN(I2283,J2283,K2283,L2283,M2283))))</f>
        <v/>
      </c>
      <c r="O2283" s="54">
        <f>IF($B2283=0,NA(),IF(Inputs!$B$24&lt;&gt;"Yes",NA(),Inputs!$D$24*Inputs!$C$35))</f>
        <v/>
      </c>
      <c r="P2283" s="54">
        <f>IF($B2283=0,NA(),IF(Inputs!$B$25&lt;&gt;"Yes",NA(),Inputs!$D$25*Inputs!$C$35))</f>
        <v/>
      </c>
      <c r="Q2283" s="54">
        <f>IF($B2283=0,NA(),IF(Inputs!$B$26&lt;&gt;"Yes",NA(),Inputs!$D$26*Inputs!$C$35))</f>
        <v/>
      </c>
      <c r="R2283" s="54">
        <f>IF($B2283=0,NA(),IF(Inputs!$B$27&lt;&gt;"Yes",NA(),Inputs!$D$27*Inputs!$C$35))</f>
        <v/>
      </c>
      <c r="S2283" s="54">
        <f>IF($B2283=0,NA(),IF(Inputs!$B$28&lt;&gt;"Yes",NA(),Inputs!$D$28*Inputs!$C$35))</f>
        <v/>
      </c>
      <c r="T2283" s="54">
        <f>IF($B2283=0,NA(),IF(Inputs!$B$29&lt;&gt;"Yes",NA(),Inputs!$D$29*Inputs!$C$35))</f>
        <v/>
      </c>
      <c r="AD2283">
        <f>IF($B2283=0,0,IF(Inputs!$B$6="",0,COUNTIFS(Data!$A$10:$A$3209,"&gt;="&amp;$A2283,Data!$A$10:$A$3209,"&lt;"&amp;$A2283+1)))</f>
        <v/>
      </c>
      <c r="AE2283">
        <f>IF($B2283=0,0,IF(Inputs!$B$7="",0,COUNTIFS(Data!$E$10:$E$3209,"&gt;="&amp;$A2283,Data!$E$10:$E$3209,"&lt;"&amp;$A2283+1)))</f>
        <v/>
      </c>
      <c r="AF2283">
        <f>IF($B2283=0,0,IF(Inputs!$B$8="",0,COUNTIFS(Data!$I$10:$I$3209,"&gt;="&amp;$A2283,Data!$I$10:$I$3209,"&lt;"&amp;$A2283+1)))</f>
        <v/>
      </c>
      <c r="AG2283">
        <f>IF($B2283=0,0,IF(Inputs!$B$9="",0,COUNTIFS(Data!$M$10:$M$3209,"&gt;="&amp;$A2283,Data!$M$10:$M$3209,"&lt;"&amp;$A2283+1)))</f>
        <v/>
      </c>
      <c r="AH2283">
        <f>IF($B2283=0,0,IF(Inputs!$B$10="",0,COUNTIFS(Data!$Q$10:$Q$3209,"&gt;="&amp;$A2283,Data!$Q$10:$Q$3209,"&lt;"&amp;$A2283+1)))</f>
        <v/>
      </c>
    </row>
    <row r="2284">
      <c r="A2284" s="55">
        <f>MIN(Inputs!$C$15,$A2283+IF(WEEKDAY($A2283,2)=5,3,1))</f>
        <v/>
      </c>
      <c r="B2284">
        <f>IF($A2284&gt;$A2283,1,0)</f>
        <v/>
      </c>
      <c r="C2284" s="56">
        <f>IF($B2284=0,"",IF(Inputs!$B$6="","",IF($AD2284=0,C2283,SUMIFS(Data!$B$10:$B$3209,Data!$A$10:$A$3209,"&gt;="&amp;$A2284,Data!$A$10:$A$3209,"&lt;"&amp;$A2284+1)/$AD2284)))</f>
        <v/>
      </c>
      <c r="D2284" s="56">
        <f>IF($B2284=0,"",IF(Inputs!$B$7="","",IF($AE2284=0,D2283,SUMIFS(Data!$F$10:$F$3209,Data!$E$10:$E$3209,"&gt;="&amp;$A2284,Data!$E$10:$E$3209,"&lt;"&amp;$A2284+1)/$AE2284)))</f>
        <v/>
      </c>
      <c r="E2284" s="56">
        <f>IF($B2284=0,"",IF(Inputs!$B$8="","",IF($AF2284=0,E2283,SUMIFS(Data!$J$10:$J$3209,Data!$I$10:$I$3209,"&gt;="&amp;$A2284,Data!$I$10:$I$3209,"&lt;"&amp;$A2284+1)/$AF2284)))</f>
        <v/>
      </c>
      <c r="F2284" s="56">
        <f>IF($B2284=0,"",IF(Inputs!$B$9="","",IF($AG2284=0,F2283,SUMIFS(Data!$N$10:$N$3209,Data!$M$10:$M$3209,"&gt;="&amp;$A2284,Data!$M$10:$M$3209,"&lt;"&amp;$A2284+1)/$AG2284)))</f>
        <v/>
      </c>
      <c r="G2284" s="56">
        <f>IF($B2284=0,"",IF(Inputs!$B$10="","",IF($AH2284=0,G2283,SUMIFS(Data!$R$10:$R$3209,Data!$Q$10:$Q$3209,"&gt;="&amp;$A2284,Data!$Q$10:$Q$3209,"&lt;"&amp;$A2284+1)/$AH2284)))</f>
        <v/>
      </c>
      <c r="I2284" s="54">
        <f>IF($B2284=0,NA(),IF($C2284="",NA(),IF(C$8="",NA(),IF(N(C$8)=0,NA(),IF(Inputs!$C$17="Rebased to 100",$C2284/C$8*100,$C2284)))))</f>
        <v/>
      </c>
      <c r="J2284" s="54">
        <f>IF($B2284=0,NA(),IF($D2284="",NA(),IF(D$8="",NA(),IF(N(D$8)=0,NA(),IF(Inputs!$C$17="Rebased to 100",$D2284/D$8*100,$D2284)))))</f>
        <v/>
      </c>
      <c r="K2284" s="54">
        <f>IF($B2284=0,NA(),IF($E2284="",NA(),IF(E$8="",NA(),IF(N(E$8)=0,NA(),IF(Inputs!$C$17="Rebased to 100",$E2284/E$8*100,$E2284)))))</f>
        <v/>
      </c>
      <c r="L2284" s="54">
        <f>IF($B2284=0,NA(),IF($F2284="",NA(),IF(F$8="",NA(),IF(N(F$8)=0,NA(),IF(Inputs!$C$17="Rebased to 100",$F2284/F$8*100,$F2284)))))</f>
        <v/>
      </c>
      <c r="M2284" s="54">
        <f>IF($B2284=0,NA(),IF($G2284="",NA(),IF(G$8="",NA(),IF(N(G$8)=0,NA(),IF(Inputs!$C$17="Rebased to 100",$G2284/G$8*100,$G2284)))))</f>
        <v/>
      </c>
      <c r="N2284" s="54">
        <f>IF($B2284=0,NA(),IF(Inputs!$C$18&lt;&gt;"Yes",NA(),IF(COUNT(I2284,J2284,K2284,L2284,M2284)=0,NA(),MIN(I2284,J2284,K2284,L2284,M2284))))</f>
        <v/>
      </c>
      <c r="O2284" s="54">
        <f>IF($B2284=0,NA(),IF(Inputs!$B$24&lt;&gt;"Yes",NA(),Inputs!$D$24*Inputs!$C$35))</f>
        <v/>
      </c>
      <c r="P2284" s="54">
        <f>IF($B2284=0,NA(),IF(Inputs!$B$25&lt;&gt;"Yes",NA(),Inputs!$D$25*Inputs!$C$35))</f>
        <v/>
      </c>
      <c r="Q2284" s="54">
        <f>IF($B2284=0,NA(),IF(Inputs!$B$26&lt;&gt;"Yes",NA(),Inputs!$D$26*Inputs!$C$35))</f>
        <v/>
      </c>
      <c r="R2284" s="54">
        <f>IF($B2284=0,NA(),IF(Inputs!$B$27&lt;&gt;"Yes",NA(),Inputs!$D$27*Inputs!$C$35))</f>
        <v/>
      </c>
      <c r="S2284" s="54">
        <f>IF($B2284=0,NA(),IF(Inputs!$B$28&lt;&gt;"Yes",NA(),Inputs!$D$28*Inputs!$C$35))</f>
        <v/>
      </c>
      <c r="T2284" s="54">
        <f>IF($B2284=0,NA(),IF(Inputs!$B$29&lt;&gt;"Yes",NA(),Inputs!$D$29*Inputs!$C$35))</f>
        <v/>
      </c>
      <c r="AD2284">
        <f>IF($B2284=0,0,IF(Inputs!$B$6="",0,COUNTIFS(Data!$A$10:$A$3209,"&gt;="&amp;$A2284,Data!$A$10:$A$3209,"&lt;"&amp;$A2284+1)))</f>
        <v/>
      </c>
      <c r="AE2284">
        <f>IF($B2284=0,0,IF(Inputs!$B$7="",0,COUNTIFS(Data!$E$10:$E$3209,"&gt;="&amp;$A2284,Data!$E$10:$E$3209,"&lt;"&amp;$A2284+1)))</f>
        <v/>
      </c>
      <c r="AF2284">
        <f>IF($B2284=0,0,IF(Inputs!$B$8="",0,COUNTIFS(Data!$I$10:$I$3209,"&gt;="&amp;$A2284,Data!$I$10:$I$3209,"&lt;"&amp;$A2284+1)))</f>
        <v/>
      </c>
      <c r="AG2284">
        <f>IF($B2284=0,0,IF(Inputs!$B$9="",0,COUNTIFS(Data!$M$10:$M$3209,"&gt;="&amp;$A2284,Data!$M$10:$M$3209,"&lt;"&amp;$A2284+1)))</f>
        <v/>
      </c>
      <c r="AH2284">
        <f>IF($B2284=0,0,IF(Inputs!$B$10="",0,COUNTIFS(Data!$Q$10:$Q$3209,"&gt;="&amp;$A2284,Data!$Q$10:$Q$3209,"&lt;"&amp;$A2284+1)))</f>
        <v/>
      </c>
    </row>
    <row r="2285">
      <c r="A2285" s="55">
        <f>MIN(Inputs!$C$15,$A2284+IF(WEEKDAY($A2284,2)=5,3,1))</f>
        <v/>
      </c>
      <c r="B2285">
        <f>IF($A2285&gt;$A2284,1,0)</f>
        <v/>
      </c>
      <c r="C2285" s="56">
        <f>IF($B2285=0,"",IF(Inputs!$B$6="","",IF($AD2285=0,C2284,SUMIFS(Data!$B$10:$B$3209,Data!$A$10:$A$3209,"&gt;="&amp;$A2285,Data!$A$10:$A$3209,"&lt;"&amp;$A2285+1)/$AD2285)))</f>
        <v/>
      </c>
      <c r="D2285" s="56">
        <f>IF($B2285=0,"",IF(Inputs!$B$7="","",IF($AE2285=0,D2284,SUMIFS(Data!$F$10:$F$3209,Data!$E$10:$E$3209,"&gt;="&amp;$A2285,Data!$E$10:$E$3209,"&lt;"&amp;$A2285+1)/$AE2285)))</f>
        <v/>
      </c>
      <c r="E2285" s="56">
        <f>IF($B2285=0,"",IF(Inputs!$B$8="","",IF($AF2285=0,E2284,SUMIFS(Data!$J$10:$J$3209,Data!$I$10:$I$3209,"&gt;="&amp;$A2285,Data!$I$10:$I$3209,"&lt;"&amp;$A2285+1)/$AF2285)))</f>
        <v/>
      </c>
      <c r="F2285" s="56">
        <f>IF($B2285=0,"",IF(Inputs!$B$9="","",IF($AG2285=0,F2284,SUMIFS(Data!$N$10:$N$3209,Data!$M$10:$M$3209,"&gt;="&amp;$A2285,Data!$M$10:$M$3209,"&lt;"&amp;$A2285+1)/$AG2285)))</f>
        <v/>
      </c>
      <c r="G2285" s="56">
        <f>IF($B2285=0,"",IF(Inputs!$B$10="","",IF($AH2285=0,G2284,SUMIFS(Data!$R$10:$R$3209,Data!$Q$10:$Q$3209,"&gt;="&amp;$A2285,Data!$Q$10:$Q$3209,"&lt;"&amp;$A2285+1)/$AH2285)))</f>
        <v/>
      </c>
      <c r="I2285" s="54">
        <f>IF($B2285=0,NA(),IF($C2285="",NA(),IF(C$8="",NA(),IF(N(C$8)=0,NA(),IF(Inputs!$C$17="Rebased to 100",$C2285/C$8*100,$C2285)))))</f>
        <v/>
      </c>
      <c r="J2285" s="54">
        <f>IF($B2285=0,NA(),IF($D2285="",NA(),IF(D$8="",NA(),IF(N(D$8)=0,NA(),IF(Inputs!$C$17="Rebased to 100",$D2285/D$8*100,$D2285)))))</f>
        <v/>
      </c>
      <c r="K2285" s="54">
        <f>IF($B2285=0,NA(),IF($E2285="",NA(),IF(E$8="",NA(),IF(N(E$8)=0,NA(),IF(Inputs!$C$17="Rebased to 100",$E2285/E$8*100,$E2285)))))</f>
        <v/>
      </c>
      <c r="L2285" s="54">
        <f>IF($B2285=0,NA(),IF($F2285="",NA(),IF(F$8="",NA(),IF(N(F$8)=0,NA(),IF(Inputs!$C$17="Rebased to 100",$F2285/F$8*100,$F2285)))))</f>
        <v/>
      </c>
      <c r="M2285" s="54">
        <f>IF($B2285=0,NA(),IF($G2285="",NA(),IF(G$8="",NA(),IF(N(G$8)=0,NA(),IF(Inputs!$C$17="Rebased to 100",$G2285/G$8*100,$G2285)))))</f>
        <v/>
      </c>
      <c r="N2285" s="54">
        <f>IF($B2285=0,NA(),IF(Inputs!$C$18&lt;&gt;"Yes",NA(),IF(COUNT(I2285,J2285,K2285,L2285,M2285)=0,NA(),MIN(I2285,J2285,K2285,L2285,M2285))))</f>
        <v/>
      </c>
      <c r="O2285" s="54">
        <f>IF($B2285=0,NA(),IF(Inputs!$B$24&lt;&gt;"Yes",NA(),Inputs!$D$24*Inputs!$C$35))</f>
        <v/>
      </c>
      <c r="P2285" s="54">
        <f>IF($B2285=0,NA(),IF(Inputs!$B$25&lt;&gt;"Yes",NA(),Inputs!$D$25*Inputs!$C$35))</f>
        <v/>
      </c>
      <c r="Q2285" s="54">
        <f>IF($B2285=0,NA(),IF(Inputs!$B$26&lt;&gt;"Yes",NA(),Inputs!$D$26*Inputs!$C$35))</f>
        <v/>
      </c>
      <c r="R2285" s="54">
        <f>IF($B2285=0,NA(),IF(Inputs!$B$27&lt;&gt;"Yes",NA(),Inputs!$D$27*Inputs!$C$35))</f>
        <v/>
      </c>
      <c r="S2285" s="54">
        <f>IF($B2285=0,NA(),IF(Inputs!$B$28&lt;&gt;"Yes",NA(),Inputs!$D$28*Inputs!$C$35))</f>
        <v/>
      </c>
      <c r="T2285" s="54">
        <f>IF($B2285=0,NA(),IF(Inputs!$B$29&lt;&gt;"Yes",NA(),Inputs!$D$29*Inputs!$C$35))</f>
        <v/>
      </c>
      <c r="AD2285">
        <f>IF($B2285=0,0,IF(Inputs!$B$6="",0,COUNTIFS(Data!$A$10:$A$3209,"&gt;="&amp;$A2285,Data!$A$10:$A$3209,"&lt;"&amp;$A2285+1)))</f>
        <v/>
      </c>
      <c r="AE2285">
        <f>IF($B2285=0,0,IF(Inputs!$B$7="",0,COUNTIFS(Data!$E$10:$E$3209,"&gt;="&amp;$A2285,Data!$E$10:$E$3209,"&lt;"&amp;$A2285+1)))</f>
        <v/>
      </c>
      <c r="AF2285">
        <f>IF($B2285=0,0,IF(Inputs!$B$8="",0,COUNTIFS(Data!$I$10:$I$3209,"&gt;="&amp;$A2285,Data!$I$10:$I$3209,"&lt;"&amp;$A2285+1)))</f>
        <v/>
      </c>
      <c r="AG2285">
        <f>IF($B2285=0,0,IF(Inputs!$B$9="",0,COUNTIFS(Data!$M$10:$M$3209,"&gt;="&amp;$A2285,Data!$M$10:$M$3209,"&lt;"&amp;$A2285+1)))</f>
        <v/>
      </c>
      <c r="AH2285">
        <f>IF($B2285=0,0,IF(Inputs!$B$10="",0,COUNTIFS(Data!$Q$10:$Q$3209,"&gt;="&amp;$A2285,Data!$Q$10:$Q$3209,"&lt;"&amp;$A2285+1)))</f>
        <v/>
      </c>
    </row>
    <row r="2286">
      <c r="A2286" s="55">
        <f>MIN(Inputs!$C$15,$A2285+IF(WEEKDAY($A2285,2)=5,3,1))</f>
        <v/>
      </c>
      <c r="B2286">
        <f>IF($A2286&gt;$A2285,1,0)</f>
        <v/>
      </c>
      <c r="C2286" s="56">
        <f>IF($B2286=0,"",IF(Inputs!$B$6="","",IF($AD2286=0,C2285,SUMIFS(Data!$B$10:$B$3209,Data!$A$10:$A$3209,"&gt;="&amp;$A2286,Data!$A$10:$A$3209,"&lt;"&amp;$A2286+1)/$AD2286)))</f>
        <v/>
      </c>
      <c r="D2286" s="56">
        <f>IF($B2286=0,"",IF(Inputs!$B$7="","",IF($AE2286=0,D2285,SUMIFS(Data!$F$10:$F$3209,Data!$E$10:$E$3209,"&gt;="&amp;$A2286,Data!$E$10:$E$3209,"&lt;"&amp;$A2286+1)/$AE2286)))</f>
        <v/>
      </c>
      <c r="E2286" s="56">
        <f>IF($B2286=0,"",IF(Inputs!$B$8="","",IF($AF2286=0,E2285,SUMIFS(Data!$J$10:$J$3209,Data!$I$10:$I$3209,"&gt;="&amp;$A2286,Data!$I$10:$I$3209,"&lt;"&amp;$A2286+1)/$AF2286)))</f>
        <v/>
      </c>
      <c r="F2286" s="56">
        <f>IF($B2286=0,"",IF(Inputs!$B$9="","",IF($AG2286=0,F2285,SUMIFS(Data!$N$10:$N$3209,Data!$M$10:$M$3209,"&gt;="&amp;$A2286,Data!$M$10:$M$3209,"&lt;"&amp;$A2286+1)/$AG2286)))</f>
        <v/>
      </c>
      <c r="G2286" s="56">
        <f>IF($B2286=0,"",IF(Inputs!$B$10="","",IF($AH2286=0,G2285,SUMIFS(Data!$R$10:$R$3209,Data!$Q$10:$Q$3209,"&gt;="&amp;$A2286,Data!$Q$10:$Q$3209,"&lt;"&amp;$A2286+1)/$AH2286)))</f>
        <v/>
      </c>
      <c r="I2286" s="54">
        <f>IF($B2286=0,NA(),IF($C2286="",NA(),IF(C$8="",NA(),IF(N(C$8)=0,NA(),IF(Inputs!$C$17="Rebased to 100",$C2286/C$8*100,$C2286)))))</f>
        <v/>
      </c>
      <c r="J2286" s="54">
        <f>IF($B2286=0,NA(),IF($D2286="",NA(),IF(D$8="",NA(),IF(N(D$8)=0,NA(),IF(Inputs!$C$17="Rebased to 100",$D2286/D$8*100,$D2286)))))</f>
        <v/>
      </c>
      <c r="K2286" s="54">
        <f>IF($B2286=0,NA(),IF($E2286="",NA(),IF(E$8="",NA(),IF(N(E$8)=0,NA(),IF(Inputs!$C$17="Rebased to 100",$E2286/E$8*100,$E2286)))))</f>
        <v/>
      </c>
      <c r="L2286" s="54">
        <f>IF($B2286=0,NA(),IF($F2286="",NA(),IF(F$8="",NA(),IF(N(F$8)=0,NA(),IF(Inputs!$C$17="Rebased to 100",$F2286/F$8*100,$F2286)))))</f>
        <v/>
      </c>
      <c r="M2286" s="54">
        <f>IF($B2286=0,NA(),IF($G2286="",NA(),IF(G$8="",NA(),IF(N(G$8)=0,NA(),IF(Inputs!$C$17="Rebased to 100",$G2286/G$8*100,$G2286)))))</f>
        <v/>
      </c>
      <c r="N2286" s="54">
        <f>IF($B2286=0,NA(),IF(Inputs!$C$18&lt;&gt;"Yes",NA(),IF(COUNT(I2286,J2286,K2286,L2286,M2286)=0,NA(),MIN(I2286,J2286,K2286,L2286,M2286))))</f>
        <v/>
      </c>
      <c r="O2286" s="54">
        <f>IF($B2286=0,NA(),IF(Inputs!$B$24&lt;&gt;"Yes",NA(),Inputs!$D$24*Inputs!$C$35))</f>
        <v/>
      </c>
      <c r="P2286" s="54">
        <f>IF($B2286=0,NA(),IF(Inputs!$B$25&lt;&gt;"Yes",NA(),Inputs!$D$25*Inputs!$C$35))</f>
        <v/>
      </c>
      <c r="Q2286" s="54">
        <f>IF($B2286=0,NA(),IF(Inputs!$B$26&lt;&gt;"Yes",NA(),Inputs!$D$26*Inputs!$C$35))</f>
        <v/>
      </c>
      <c r="R2286" s="54">
        <f>IF($B2286=0,NA(),IF(Inputs!$B$27&lt;&gt;"Yes",NA(),Inputs!$D$27*Inputs!$C$35))</f>
        <v/>
      </c>
      <c r="S2286" s="54">
        <f>IF($B2286=0,NA(),IF(Inputs!$B$28&lt;&gt;"Yes",NA(),Inputs!$D$28*Inputs!$C$35))</f>
        <v/>
      </c>
      <c r="T2286" s="54">
        <f>IF($B2286=0,NA(),IF(Inputs!$B$29&lt;&gt;"Yes",NA(),Inputs!$D$29*Inputs!$C$35))</f>
        <v/>
      </c>
      <c r="AD2286">
        <f>IF($B2286=0,0,IF(Inputs!$B$6="",0,COUNTIFS(Data!$A$10:$A$3209,"&gt;="&amp;$A2286,Data!$A$10:$A$3209,"&lt;"&amp;$A2286+1)))</f>
        <v/>
      </c>
      <c r="AE2286">
        <f>IF($B2286=0,0,IF(Inputs!$B$7="",0,COUNTIFS(Data!$E$10:$E$3209,"&gt;="&amp;$A2286,Data!$E$10:$E$3209,"&lt;"&amp;$A2286+1)))</f>
        <v/>
      </c>
      <c r="AF2286">
        <f>IF($B2286=0,0,IF(Inputs!$B$8="",0,COUNTIFS(Data!$I$10:$I$3209,"&gt;="&amp;$A2286,Data!$I$10:$I$3209,"&lt;"&amp;$A2286+1)))</f>
        <v/>
      </c>
      <c r="AG2286">
        <f>IF($B2286=0,0,IF(Inputs!$B$9="",0,COUNTIFS(Data!$M$10:$M$3209,"&gt;="&amp;$A2286,Data!$M$10:$M$3209,"&lt;"&amp;$A2286+1)))</f>
        <v/>
      </c>
      <c r="AH2286">
        <f>IF($B2286=0,0,IF(Inputs!$B$10="",0,COUNTIFS(Data!$Q$10:$Q$3209,"&gt;="&amp;$A2286,Data!$Q$10:$Q$3209,"&lt;"&amp;$A2286+1)))</f>
        <v/>
      </c>
    </row>
    <row r="2287">
      <c r="A2287" s="55">
        <f>MIN(Inputs!$C$15,$A2286+IF(WEEKDAY($A2286,2)=5,3,1))</f>
        <v/>
      </c>
      <c r="B2287">
        <f>IF($A2287&gt;$A2286,1,0)</f>
        <v/>
      </c>
      <c r="C2287" s="56">
        <f>IF($B2287=0,"",IF(Inputs!$B$6="","",IF($AD2287=0,C2286,SUMIFS(Data!$B$10:$B$3209,Data!$A$10:$A$3209,"&gt;="&amp;$A2287,Data!$A$10:$A$3209,"&lt;"&amp;$A2287+1)/$AD2287)))</f>
        <v/>
      </c>
      <c r="D2287" s="56">
        <f>IF($B2287=0,"",IF(Inputs!$B$7="","",IF($AE2287=0,D2286,SUMIFS(Data!$F$10:$F$3209,Data!$E$10:$E$3209,"&gt;="&amp;$A2287,Data!$E$10:$E$3209,"&lt;"&amp;$A2287+1)/$AE2287)))</f>
        <v/>
      </c>
      <c r="E2287" s="56">
        <f>IF($B2287=0,"",IF(Inputs!$B$8="","",IF($AF2287=0,E2286,SUMIFS(Data!$J$10:$J$3209,Data!$I$10:$I$3209,"&gt;="&amp;$A2287,Data!$I$10:$I$3209,"&lt;"&amp;$A2287+1)/$AF2287)))</f>
        <v/>
      </c>
      <c r="F2287" s="56">
        <f>IF($B2287=0,"",IF(Inputs!$B$9="","",IF($AG2287=0,F2286,SUMIFS(Data!$N$10:$N$3209,Data!$M$10:$M$3209,"&gt;="&amp;$A2287,Data!$M$10:$M$3209,"&lt;"&amp;$A2287+1)/$AG2287)))</f>
        <v/>
      </c>
      <c r="G2287" s="56">
        <f>IF($B2287=0,"",IF(Inputs!$B$10="","",IF($AH2287=0,G2286,SUMIFS(Data!$R$10:$R$3209,Data!$Q$10:$Q$3209,"&gt;="&amp;$A2287,Data!$Q$10:$Q$3209,"&lt;"&amp;$A2287+1)/$AH2287)))</f>
        <v/>
      </c>
      <c r="I2287" s="54">
        <f>IF($B2287=0,NA(),IF($C2287="",NA(),IF(C$8="",NA(),IF(N(C$8)=0,NA(),IF(Inputs!$C$17="Rebased to 100",$C2287/C$8*100,$C2287)))))</f>
        <v/>
      </c>
      <c r="J2287" s="54">
        <f>IF($B2287=0,NA(),IF($D2287="",NA(),IF(D$8="",NA(),IF(N(D$8)=0,NA(),IF(Inputs!$C$17="Rebased to 100",$D2287/D$8*100,$D2287)))))</f>
        <v/>
      </c>
      <c r="K2287" s="54">
        <f>IF($B2287=0,NA(),IF($E2287="",NA(),IF(E$8="",NA(),IF(N(E$8)=0,NA(),IF(Inputs!$C$17="Rebased to 100",$E2287/E$8*100,$E2287)))))</f>
        <v/>
      </c>
      <c r="L2287" s="54">
        <f>IF($B2287=0,NA(),IF($F2287="",NA(),IF(F$8="",NA(),IF(N(F$8)=0,NA(),IF(Inputs!$C$17="Rebased to 100",$F2287/F$8*100,$F2287)))))</f>
        <v/>
      </c>
      <c r="M2287" s="54">
        <f>IF($B2287=0,NA(),IF($G2287="",NA(),IF(G$8="",NA(),IF(N(G$8)=0,NA(),IF(Inputs!$C$17="Rebased to 100",$G2287/G$8*100,$G2287)))))</f>
        <v/>
      </c>
      <c r="N2287" s="54">
        <f>IF($B2287=0,NA(),IF(Inputs!$C$18&lt;&gt;"Yes",NA(),IF(COUNT(I2287,J2287,K2287,L2287,M2287)=0,NA(),MIN(I2287,J2287,K2287,L2287,M2287))))</f>
        <v/>
      </c>
      <c r="O2287" s="54">
        <f>IF($B2287=0,NA(),IF(Inputs!$B$24&lt;&gt;"Yes",NA(),Inputs!$D$24*Inputs!$C$35))</f>
        <v/>
      </c>
      <c r="P2287" s="54">
        <f>IF($B2287=0,NA(),IF(Inputs!$B$25&lt;&gt;"Yes",NA(),Inputs!$D$25*Inputs!$C$35))</f>
        <v/>
      </c>
      <c r="Q2287" s="54">
        <f>IF($B2287=0,NA(),IF(Inputs!$B$26&lt;&gt;"Yes",NA(),Inputs!$D$26*Inputs!$C$35))</f>
        <v/>
      </c>
      <c r="R2287" s="54">
        <f>IF($B2287=0,NA(),IF(Inputs!$B$27&lt;&gt;"Yes",NA(),Inputs!$D$27*Inputs!$C$35))</f>
        <v/>
      </c>
      <c r="S2287" s="54">
        <f>IF($B2287=0,NA(),IF(Inputs!$B$28&lt;&gt;"Yes",NA(),Inputs!$D$28*Inputs!$C$35))</f>
        <v/>
      </c>
      <c r="T2287" s="54">
        <f>IF($B2287=0,NA(),IF(Inputs!$B$29&lt;&gt;"Yes",NA(),Inputs!$D$29*Inputs!$C$35))</f>
        <v/>
      </c>
      <c r="AD2287">
        <f>IF($B2287=0,0,IF(Inputs!$B$6="",0,COUNTIFS(Data!$A$10:$A$3209,"&gt;="&amp;$A2287,Data!$A$10:$A$3209,"&lt;"&amp;$A2287+1)))</f>
        <v/>
      </c>
      <c r="AE2287">
        <f>IF($B2287=0,0,IF(Inputs!$B$7="",0,COUNTIFS(Data!$E$10:$E$3209,"&gt;="&amp;$A2287,Data!$E$10:$E$3209,"&lt;"&amp;$A2287+1)))</f>
        <v/>
      </c>
      <c r="AF2287">
        <f>IF($B2287=0,0,IF(Inputs!$B$8="",0,COUNTIFS(Data!$I$10:$I$3209,"&gt;="&amp;$A2287,Data!$I$10:$I$3209,"&lt;"&amp;$A2287+1)))</f>
        <v/>
      </c>
      <c r="AG2287">
        <f>IF($B2287=0,0,IF(Inputs!$B$9="",0,COUNTIFS(Data!$M$10:$M$3209,"&gt;="&amp;$A2287,Data!$M$10:$M$3209,"&lt;"&amp;$A2287+1)))</f>
        <v/>
      </c>
      <c r="AH2287">
        <f>IF($B2287=0,0,IF(Inputs!$B$10="",0,COUNTIFS(Data!$Q$10:$Q$3209,"&gt;="&amp;$A2287,Data!$Q$10:$Q$3209,"&lt;"&amp;$A2287+1)))</f>
        <v/>
      </c>
    </row>
    <row r="2288">
      <c r="A2288" s="55">
        <f>MIN(Inputs!$C$15,$A2287+IF(WEEKDAY($A2287,2)=5,3,1))</f>
        <v/>
      </c>
      <c r="B2288">
        <f>IF($A2288&gt;$A2287,1,0)</f>
        <v/>
      </c>
      <c r="C2288" s="56">
        <f>IF($B2288=0,"",IF(Inputs!$B$6="","",IF($AD2288=0,C2287,SUMIFS(Data!$B$10:$B$3209,Data!$A$10:$A$3209,"&gt;="&amp;$A2288,Data!$A$10:$A$3209,"&lt;"&amp;$A2288+1)/$AD2288)))</f>
        <v/>
      </c>
      <c r="D2288" s="56">
        <f>IF($B2288=0,"",IF(Inputs!$B$7="","",IF($AE2288=0,D2287,SUMIFS(Data!$F$10:$F$3209,Data!$E$10:$E$3209,"&gt;="&amp;$A2288,Data!$E$10:$E$3209,"&lt;"&amp;$A2288+1)/$AE2288)))</f>
        <v/>
      </c>
      <c r="E2288" s="56">
        <f>IF($B2288=0,"",IF(Inputs!$B$8="","",IF($AF2288=0,E2287,SUMIFS(Data!$J$10:$J$3209,Data!$I$10:$I$3209,"&gt;="&amp;$A2288,Data!$I$10:$I$3209,"&lt;"&amp;$A2288+1)/$AF2288)))</f>
        <v/>
      </c>
      <c r="F2288" s="56">
        <f>IF($B2288=0,"",IF(Inputs!$B$9="","",IF($AG2288=0,F2287,SUMIFS(Data!$N$10:$N$3209,Data!$M$10:$M$3209,"&gt;="&amp;$A2288,Data!$M$10:$M$3209,"&lt;"&amp;$A2288+1)/$AG2288)))</f>
        <v/>
      </c>
      <c r="G2288" s="56">
        <f>IF($B2288=0,"",IF(Inputs!$B$10="","",IF($AH2288=0,G2287,SUMIFS(Data!$R$10:$R$3209,Data!$Q$10:$Q$3209,"&gt;="&amp;$A2288,Data!$Q$10:$Q$3209,"&lt;"&amp;$A2288+1)/$AH2288)))</f>
        <v/>
      </c>
      <c r="I2288" s="54">
        <f>IF($B2288=0,NA(),IF($C2288="",NA(),IF(C$8="",NA(),IF(N(C$8)=0,NA(),IF(Inputs!$C$17="Rebased to 100",$C2288/C$8*100,$C2288)))))</f>
        <v/>
      </c>
      <c r="J2288" s="54">
        <f>IF($B2288=0,NA(),IF($D2288="",NA(),IF(D$8="",NA(),IF(N(D$8)=0,NA(),IF(Inputs!$C$17="Rebased to 100",$D2288/D$8*100,$D2288)))))</f>
        <v/>
      </c>
      <c r="K2288" s="54">
        <f>IF($B2288=0,NA(),IF($E2288="",NA(),IF(E$8="",NA(),IF(N(E$8)=0,NA(),IF(Inputs!$C$17="Rebased to 100",$E2288/E$8*100,$E2288)))))</f>
        <v/>
      </c>
      <c r="L2288" s="54">
        <f>IF($B2288=0,NA(),IF($F2288="",NA(),IF(F$8="",NA(),IF(N(F$8)=0,NA(),IF(Inputs!$C$17="Rebased to 100",$F2288/F$8*100,$F2288)))))</f>
        <v/>
      </c>
      <c r="M2288" s="54">
        <f>IF($B2288=0,NA(),IF($G2288="",NA(),IF(G$8="",NA(),IF(N(G$8)=0,NA(),IF(Inputs!$C$17="Rebased to 100",$G2288/G$8*100,$G2288)))))</f>
        <v/>
      </c>
      <c r="N2288" s="54">
        <f>IF($B2288=0,NA(),IF(Inputs!$C$18&lt;&gt;"Yes",NA(),IF(COUNT(I2288,J2288,K2288,L2288,M2288)=0,NA(),MIN(I2288,J2288,K2288,L2288,M2288))))</f>
        <v/>
      </c>
      <c r="O2288" s="54">
        <f>IF($B2288=0,NA(),IF(Inputs!$B$24&lt;&gt;"Yes",NA(),Inputs!$D$24*Inputs!$C$35))</f>
        <v/>
      </c>
      <c r="P2288" s="54">
        <f>IF($B2288=0,NA(),IF(Inputs!$B$25&lt;&gt;"Yes",NA(),Inputs!$D$25*Inputs!$C$35))</f>
        <v/>
      </c>
      <c r="Q2288" s="54">
        <f>IF($B2288=0,NA(),IF(Inputs!$B$26&lt;&gt;"Yes",NA(),Inputs!$D$26*Inputs!$C$35))</f>
        <v/>
      </c>
      <c r="R2288" s="54">
        <f>IF($B2288=0,NA(),IF(Inputs!$B$27&lt;&gt;"Yes",NA(),Inputs!$D$27*Inputs!$C$35))</f>
        <v/>
      </c>
      <c r="S2288" s="54">
        <f>IF($B2288=0,NA(),IF(Inputs!$B$28&lt;&gt;"Yes",NA(),Inputs!$D$28*Inputs!$C$35))</f>
        <v/>
      </c>
      <c r="T2288" s="54">
        <f>IF($B2288=0,NA(),IF(Inputs!$B$29&lt;&gt;"Yes",NA(),Inputs!$D$29*Inputs!$C$35))</f>
        <v/>
      </c>
      <c r="AD2288">
        <f>IF($B2288=0,0,IF(Inputs!$B$6="",0,COUNTIFS(Data!$A$10:$A$3209,"&gt;="&amp;$A2288,Data!$A$10:$A$3209,"&lt;"&amp;$A2288+1)))</f>
        <v/>
      </c>
      <c r="AE2288">
        <f>IF($B2288=0,0,IF(Inputs!$B$7="",0,COUNTIFS(Data!$E$10:$E$3209,"&gt;="&amp;$A2288,Data!$E$10:$E$3209,"&lt;"&amp;$A2288+1)))</f>
        <v/>
      </c>
      <c r="AF2288">
        <f>IF($B2288=0,0,IF(Inputs!$B$8="",0,COUNTIFS(Data!$I$10:$I$3209,"&gt;="&amp;$A2288,Data!$I$10:$I$3209,"&lt;"&amp;$A2288+1)))</f>
        <v/>
      </c>
      <c r="AG2288">
        <f>IF($B2288=0,0,IF(Inputs!$B$9="",0,COUNTIFS(Data!$M$10:$M$3209,"&gt;="&amp;$A2288,Data!$M$10:$M$3209,"&lt;"&amp;$A2288+1)))</f>
        <v/>
      </c>
      <c r="AH2288">
        <f>IF($B2288=0,0,IF(Inputs!$B$10="",0,COUNTIFS(Data!$Q$10:$Q$3209,"&gt;="&amp;$A2288,Data!$Q$10:$Q$3209,"&lt;"&amp;$A2288+1)))</f>
        <v/>
      </c>
    </row>
    <row r="2289">
      <c r="A2289" s="55">
        <f>MIN(Inputs!$C$15,$A2288+IF(WEEKDAY($A2288,2)=5,3,1))</f>
        <v/>
      </c>
      <c r="B2289">
        <f>IF($A2289&gt;$A2288,1,0)</f>
        <v/>
      </c>
      <c r="C2289" s="56">
        <f>IF($B2289=0,"",IF(Inputs!$B$6="","",IF($AD2289=0,C2288,SUMIFS(Data!$B$10:$B$3209,Data!$A$10:$A$3209,"&gt;="&amp;$A2289,Data!$A$10:$A$3209,"&lt;"&amp;$A2289+1)/$AD2289)))</f>
        <v/>
      </c>
      <c r="D2289" s="56">
        <f>IF($B2289=0,"",IF(Inputs!$B$7="","",IF($AE2289=0,D2288,SUMIFS(Data!$F$10:$F$3209,Data!$E$10:$E$3209,"&gt;="&amp;$A2289,Data!$E$10:$E$3209,"&lt;"&amp;$A2289+1)/$AE2289)))</f>
        <v/>
      </c>
      <c r="E2289" s="56">
        <f>IF($B2289=0,"",IF(Inputs!$B$8="","",IF($AF2289=0,E2288,SUMIFS(Data!$J$10:$J$3209,Data!$I$10:$I$3209,"&gt;="&amp;$A2289,Data!$I$10:$I$3209,"&lt;"&amp;$A2289+1)/$AF2289)))</f>
        <v/>
      </c>
      <c r="F2289" s="56">
        <f>IF($B2289=0,"",IF(Inputs!$B$9="","",IF($AG2289=0,F2288,SUMIFS(Data!$N$10:$N$3209,Data!$M$10:$M$3209,"&gt;="&amp;$A2289,Data!$M$10:$M$3209,"&lt;"&amp;$A2289+1)/$AG2289)))</f>
        <v/>
      </c>
      <c r="G2289" s="56">
        <f>IF($B2289=0,"",IF(Inputs!$B$10="","",IF($AH2289=0,G2288,SUMIFS(Data!$R$10:$R$3209,Data!$Q$10:$Q$3209,"&gt;="&amp;$A2289,Data!$Q$10:$Q$3209,"&lt;"&amp;$A2289+1)/$AH2289)))</f>
        <v/>
      </c>
      <c r="I2289" s="54">
        <f>IF($B2289=0,NA(),IF($C2289="",NA(),IF(C$8="",NA(),IF(N(C$8)=0,NA(),IF(Inputs!$C$17="Rebased to 100",$C2289/C$8*100,$C2289)))))</f>
        <v/>
      </c>
      <c r="J2289" s="54">
        <f>IF($B2289=0,NA(),IF($D2289="",NA(),IF(D$8="",NA(),IF(N(D$8)=0,NA(),IF(Inputs!$C$17="Rebased to 100",$D2289/D$8*100,$D2289)))))</f>
        <v/>
      </c>
      <c r="K2289" s="54">
        <f>IF($B2289=0,NA(),IF($E2289="",NA(),IF(E$8="",NA(),IF(N(E$8)=0,NA(),IF(Inputs!$C$17="Rebased to 100",$E2289/E$8*100,$E2289)))))</f>
        <v/>
      </c>
      <c r="L2289" s="54">
        <f>IF($B2289=0,NA(),IF($F2289="",NA(),IF(F$8="",NA(),IF(N(F$8)=0,NA(),IF(Inputs!$C$17="Rebased to 100",$F2289/F$8*100,$F2289)))))</f>
        <v/>
      </c>
      <c r="M2289" s="54">
        <f>IF($B2289=0,NA(),IF($G2289="",NA(),IF(G$8="",NA(),IF(N(G$8)=0,NA(),IF(Inputs!$C$17="Rebased to 100",$G2289/G$8*100,$G2289)))))</f>
        <v/>
      </c>
      <c r="N2289" s="54">
        <f>IF($B2289=0,NA(),IF(Inputs!$C$18&lt;&gt;"Yes",NA(),IF(COUNT(I2289,J2289,K2289,L2289,M2289)=0,NA(),MIN(I2289,J2289,K2289,L2289,M2289))))</f>
        <v/>
      </c>
      <c r="O2289" s="54">
        <f>IF($B2289=0,NA(),IF(Inputs!$B$24&lt;&gt;"Yes",NA(),Inputs!$D$24*Inputs!$C$35))</f>
        <v/>
      </c>
      <c r="P2289" s="54">
        <f>IF($B2289=0,NA(),IF(Inputs!$B$25&lt;&gt;"Yes",NA(),Inputs!$D$25*Inputs!$C$35))</f>
        <v/>
      </c>
      <c r="Q2289" s="54">
        <f>IF($B2289=0,NA(),IF(Inputs!$B$26&lt;&gt;"Yes",NA(),Inputs!$D$26*Inputs!$C$35))</f>
        <v/>
      </c>
      <c r="R2289" s="54">
        <f>IF($B2289=0,NA(),IF(Inputs!$B$27&lt;&gt;"Yes",NA(),Inputs!$D$27*Inputs!$C$35))</f>
        <v/>
      </c>
      <c r="S2289" s="54">
        <f>IF($B2289=0,NA(),IF(Inputs!$B$28&lt;&gt;"Yes",NA(),Inputs!$D$28*Inputs!$C$35))</f>
        <v/>
      </c>
      <c r="T2289" s="54">
        <f>IF($B2289=0,NA(),IF(Inputs!$B$29&lt;&gt;"Yes",NA(),Inputs!$D$29*Inputs!$C$35))</f>
        <v/>
      </c>
      <c r="AD2289">
        <f>IF($B2289=0,0,IF(Inputs!$B$6="",0,COUNTIFS(Data!$A$10:$A$3209,"&gt;="&amp;$A2289,Data!$A$10:$A$3209,"&lt;"&amp;$A2289+1)))</f>
        <v/>
      </c>
      <c r="AE2289">
        <f>IF($B2289=0,0,IF(Inputs!$B$7="",0,COUNTIFS(Data!$E$10:$E$3209,"&gt;="&amp;$A2289,Data!$E$10:$E$3209,"&lt;"&amp;$A2289+1)))</f>
        <v/>
      </c>
      <c r="AF2289">
        <f>IF($B2289=0,0,IF(Inputs!$B$8="",0,COUNTIFS(Data!$I$10:$I$3209,"&gt;="&amp;$A2289,Data!$I$10:$I$3209,"&lt;"&amp;$A2289+1)))</f>
        <v/>
      </c>
      <c r="AG2289">
        <f>IF($B2289=0,0,IF(Inputs!$B$9="",0,COUNTIFS(Data!$M$10:$M$3209,"&gt;="&amp;$A2289,Data!$M$10:$M$3209,"&lt;"&amp;$A2289+1)))</f>
        <v/>
      </c>
      <c r="AH2289">
        <f>IF($B2289=0,0,IF(Inputs!$B$10="",0,COUNTIFS(Data!$Q$10:$Q$3209,"&gt;="&amp;$A2289,Data!$Q$10:$Q$3209,"&lt;"&amp;$A2289+1)))</f>
        <v/>
      </c>
    </row>
    <row r="2290">
      <c r="A2290" s="55">
        <f>MIN(Inputs!$C$15,$A2289+IF(WEEKDAY($A2289,2)=5,3,1))</f>
        <v/>
      </c>
      <c r="B2290">
        <f>IF($A2290&gt;$A2289,1,0)</f>
        <v/>
      </c>
      <c r="C2290" s="56">
        <f>IF($B2290=0,"",IF(Inputs!$B$6="","",IF($AD2290=0,C2289,SUMIFS(Data!$B$10:$B$3209,Data!$A$10:$A$3209,"&gt;="&amp;$A2290,Data!$A$10:$A$3209,"&lt;"&amp;$A2290+1)/$AD2290)))</f>
        <v/>
      </c>
      <c r="D2290" s="56">
        <f>IF($B2290=0,"",IF(Inputs!$B$7="","",IF($AE2290=0,D2289,SUMIFS(Data!$F$10:$F$3209,Data!$E$10:$E$3209,"&gt;="&amp;$A2290,Data!$E$10:$E$3209,"&lt;"&amp;$A2290+1)/$AE2290)))</f>
        <v/>
      </c>
      <c r="E2290" s="56">
        <f>IF($B2290=0,"",IF(Inputs!$B$8="","",IF($AF2290=0,E2289,SUMIFS(Data!$J$10:$J$3209,Data!$I$10:$I$3209,"&gt;="&amp;$A2290,Data!$I$10:$I$3209,"&lt;"&amp;$A2290+1)/$AF2290)))</f>
        <v/>
      </c>
      <c r="F2290" s="56">
        <f>IF($B2290=0,"",IF(Inputs!$B$9="","",IF($AG2290=0,F2289,SUMIFS(Data!$N$10:$N$3209,Data!$M$10:$M$3209,"&gt;="&amp;$A2290,Data!$M$10:$M$3209,"&lt;"&amp;$A2290+1)/$AG2290)))</f>
        <v/>
      </c>
      <c r="G2290" s="56">
        <f>IF($B2290=0,"",IF(Inputs!$B$10="","",IF($AH2290=0,G2289,SUMIFS(Data!$R$10:$R$3209,Data!$Q$10:$Q$3209,"&gt;="&amp;$A2290,Data!$Q$10:$Q$3209,"&lt;"&amp;$A2290+1)/$AH2290)))</f>
        <v/>
      </c>
      <c r="I2290" s="54">
        <f>IF($B2290=0,NA(),IF($C2290="",NA(),IF(C$8="",NA(),IF(N(C$8)=0,NA(),IF(Inputs!$C$17="Rebased to 100",$C2290/C$8*100,$C2290)))))</f>
        <v/>
      </c>
      <c r="J2290" s="54">
        <f>IF($B2290=0,NA(),IF($D2290="",NA(),IF(D$8="",NA(),IF(N(D$8)=0,NA(),IF(Inputs!$C$17="Rebased to 100",$D2290/D$8*100,$D2290)))))</f>
        <v/>
      </c>
      <c r="K2290" s="54">
        <f>IF($B2290=0,NA(),IF($E2290="",NA(),IF(E$8="",NA(),IF(N(E$8)=0,NA(),IF(Inputs!$C$17="Rebased to 100",$E2290/E$8*100,$E2290)))))</f>
        <v/>
      </c>
      <c r="L2290" s="54">
        <f>IF($B2290=0,NA(),IF($F2290="",NA(),IF(F$8="",NA(),IF(N(F$8)=0,NA(),IF(Inputs!$C$17="Rebased to 100",$F2290/F$8*100,$F2290)))))</f>
        <v/>
      </c>
      <c r="M2290" s="54">
        <f>IF($B2290=0,NA(),IF($G2290="",NA(),IF(G$8="",NA(),IF(N(G$8)=0,NA(),IF(Inputs!$C$17="Rebased to 100",$G2290/G$8*100,$G2290)))))</f>
        <v/>
      </c>
      <c r="N2290" s="54">
        <f>IF($B2290=0,NA(),IF(Inputs!$C$18&lt;&gt;"Yes",NA(),IF(COUNT(I2290,J2290,K2290,L2290,M2290)=0,NA(),MIN(I2290,J2290,K2290,L2290,M2290))))</f>
        <v/>
      </c>
      <c r="O2290" s="54">
        <f>IF($B2290=0,NA(),IF(Inputs!$B$24&lt;&gt;"Yes",NA(),Inputs!$D$24*Inputs!$C$35))</f>
        <v/>
      </c>
      <c r="P2290" s="54">
        <f>IF($B2290=0,NA(),IF(Inputs!$B$25&lt;&gt;"Yes",NA(),Inputs!$D$25*Inputs!$C$35))</f>
        <v/>
      </c>
      <c r="Q2290" s="54">
        <f>IF($B2290=0,NA(),IF(Inputs!$B$26&lt;&gt;"Yes",NA(),Inputs!$D$26*Inputs!$C$35))</f>
        <v/>
      </c>
      <c r="R2290" s="54">
        <f>IF($B2290=0,NA(),IF(Inputs!$B$27&lt;&gt;"Yes",NA(),Inputs!$D$27*Inputs!$C$35))</f>
        <v/>
      </c>
      <c r="S2290" s="54">
        <f>IF($B2290=0,NA(),IF(Inputs!$B$28&lt;&gt;"Yes",NA(),Inputs!$D$28*Inputs!$C$35))</f>
        <v/>
      </c>
      <c r="T2290" s="54">
        <f>IF($B2290=0,NA(),IF(Inputs!$B$29&lt;&gt;"Yes",NA(),Inputs!$D$29*Inputs!$C$35))</f>
        <v/>
      </c>
      <c r="AD2290">
        <f>IF($B2290=0,0,IF(Inputs!$B$6="",0,COUNTIFS(Data!$A$10:$A$3209,"&gt;="&amp;$A2290,Data!$A$10:$A$3209,"&lt;"&amp;$A2290+1)))</f>
        <v/>
      </c>
      <c r="AE2290">
        <f>IF($B2290=0,0,IF(Inputs!$B$7="",0,COUNTIFS(Data!$E$10:$E$3209,"&gt;="&amp;$A2290,Data!$E$10:$E$3209,"&lt;"&amp;$A2290+1)))</f>
        <v/>
      </c>
      <c r="AF2290">
        <f>IF($B2290=0,0,IF(Inputs!$B$8="",0,COUNTIFS(Data!$I$10:$I$3209,"&gt;="&amp;$A2290,Data!$I$10:$I$3209,"&lt;"&amp;$A2290+1)))</f>
        <v/>
      </c>
      <c r="AG2290">
        <f>IF($B2290=0,0,IF(Inputs!$B$9="",0,COUNTIFS(Data!$M$10:$M$3209,"&gt;="&amp;$A2290,Data!$M$10:$M$3209,"&lt;"&amp;$A2290+1)))</f>
        <v/>
      </c>
      <c r="AH2290">
        <f>IF($B2290=0,0,IF(Inputs!$B$10="",0,COUNTIFS(Data!$Q$10:$Q$3209,"&gt;="&amp;$A2290,Data!$Q$10:$Q$3209,"&lt;"&amp;$A2290+1)))</f>
        <v/>
      </c>
    </row>
    <row r="2291">
      <c r="A2291" s="55">
        <f>MIN(Inputs!$C$15,$A2290+IF(WEEKDAY($A2290,2)=5,3,1))</f>
        <v/>
      </c>
      <c r="B2291">
        <f>IF($A2291&gt;$A2290,1,0)</f>
        <v/>
      </c>
      <c r="C2291" s="56">
        <f>IF($B2291=0,"",IF(Inputs!$B$6="","",IF($AD2291=0,C2290,SUMIFS(Data!$B$10:$B$3209,Data!$A$10:$A$3209,"&gt;="&amp;$A2291,Data!$A$10:$A$3209,"&lt;"&amp;$A2291+1)/$AD2291)))</f>
        <v/>
      </c>
      <c r="D2291" s="56">
        <f>IF($B2291=0,"",IF(Inputs!$B$7="","",IF($AE2291=0,D2290,SUMIFS(Data!$F$10:$F$3209,Data!$E$10:$E$3209,"&gt;="&amp;$A2291,Data!$E$10:$E$3209,"&lt;"&amp;$A2291+1)/$AE2291)))</f>
        <v/>
      </c>
      <c r="E2291" s="56">
        <f>IF($B2291=0,"",IF(Inputs!$B$8="","",IF($AF2291=0,E2290,SUMIFS(Data!$J$10:$J$3209,Data!$I$10:$I$3209,"&gt;="&amp;$A2291,Data!$I$10:$I$3209,"&lt;"&amp;$A2291+1)/$AF2291)))</f>
        <v/>
      </c>
      <c r="F2291" s="56">
        <f>IF($B2291=0,"",IF(Inputs!$B$9="","",IF($AG2291=0,F2290,SUMIFS(Data!$N$10:$N$3209,Data!$M$10:$M$3209,"&gt;="&amp;$A2291,Data!$M$10:$M$3209,"&lt;"&amp;$A2291+1)/$AG2291)))</f>
        <v/>
      </c>
      <c r="G2291" s="56">
        <f>IF($B2291=0,"",IF(Inputs!$B$10="","",IF($AH2291=0,G2290,SUMIFS(Data!$R$10:$R$3209,Data!$Q$10:$Q$3209,"&gt;="&amp;$A2291,Data!$Q$10:$Q$3209,"&lt;"&amp;$A2291+1)/$AH2291)))</f>
        <v/>
      </c>
      <c r="I2291" s="54">
        <f>IF($B2291=0,NA(),IF($C2291="",NA(),IF(C$8="",NA(),IF(N(C$8)=0,NA(),IF(Inputs!$C$17="Rebased to 100",$C2291/C$8*100,$C2291)))))</f>
        <v/>
      </c>
      <c r="J2291" s="54">
        <f>IF($B2291=0,NA(),IF($D2291="",NA(),IF(D$8="",NA(),IF(N(D$8)=0,NA(),IF(Inputs!$C$17="Rebased to 100",$D2291/D$8*100,$D2291)))))</f>
        <v/>
      </c>
      <c r="K2291" s="54">
        <f>IF($B2291=0,NA(),IF($E2291="",NA(),IF(E$8="",NA(),IF(N(E$8)=0,NA(),IF(Inputs!$C$17="Rebased to 100",$E2291/E$8*100,$E2291)))))</f>
        <v/>
      </c>
      <c r="L2291" s="54">
        <f>IF($B2291=0,NA(),IF($F2291="",NA(),IF(F$8="",NA(),IF(N(F$8)=0,NA(),IF(Inputs!$C$17="Rebased to 100",$F2291/F$8*100,$F2291)))))</f>
        <v/>
      </c>
      <c r="M2291" s="54">
        <f>IF($B2291=0,NA(),IF($G2291="",NA(),IF(G$8="",NA(),IF(N(G$8)=0,NA(),IF(Inputs!$C$17="Rebased to 100",$G2291/G$8*100,$G2291)))))</f>
        <v/>
      </c>
      <c r="N2291" s="54">
        <f>IF($B2291=0,NA(),IF(Inputs!$C$18&lt;&gt;"Yes",NA(),IF(COUNT(I2291,J2291,K2291,L2291,M2291)=0,NA(),MIN(I2291,J2291,K2291,L2291,M2291))))</f>
        <v/>
      </c>
      <c r="O2291" s="54">
        <f>IF($B2291=0,NA(),IF(Inputs!$B$24&lt;&gt;"Yes",NA(),Inputs!$D$24*Inputs!$C$35))</f>
        <v/>
      </c>
      <c r="P2291" s="54">
        <f>IF($B2291=0,NA(),IF(Inputs!$B$25&lt;&gt;"Yes",NA(),Inputs!$D$25*Inputs!$C$35))</f>
        <v/>
      </c>
      <c r="Q2291" s="54">
        <f>IF($B2291=0,NA(),IF(Inputs!$B$26&lt;&gt;"Yes",NA(),Inputs!$D$26*Inputs!$C$35))</f>
        <v/>
      </c>
      <c r="R2291" s="54">
        <f>IF($B2291=0,NA(),IF(Inputs!$B$27&lt;&gt;"Yes",NA(),Inputs!$D$27*Inputs!$C$35))</f>
        <v/>
      </c>
      <c r="S2291" s="54">
        <f>IF($B2291=0,NA(),IF(Inputs!$B$28&lt;&gt;"Yes",NA(),Inputs!$D$28*Inputs!$C$35))</f>
        <v/>
      </c>
      <c r="T2291" s="54">
        <f>IF($B2291=0,NA(),IF(Inputs!$B$29&lt;&gt;"Yes",NA(),Inputs!$D$29*Inputs!$C$35))</f>
        <v/>
      </c>
      <c r="AD2291">
        <f>IF($B2291=0,0,IF(Inputs!$B$6="",0,COUNTIFS(Data!$A$10:$A$3209,"&gt;="&amp;$A2291,Data!$A$10:$A$3209,"&lt;"&amp;$A2291+1)))</f>
        <v/>
      </c>
      <c r="AE2291">
        <f>IF($B2291=0,0,IF(Inputs!$B$7="",0,COUNTIFS(Data!$E$10:$E$3209,"&gt;="&amp;$A2291,Data!$E$10:$E$3209,"&lt;"&amp;$A2291+1)))</f>
        <v/>
      </c>
      <c r="AF2291">
        <f>IF($B2291=0,0,IF(Inputs!$B$8="",0,COUNTIFS(Data!$I$10:$I$3209,"&gt;="&amp;$A2291,Data!$I$10:$I$3209,"&lt;"&amp;$A2291+1)))</f>
        <v/>
      </c>
      <c r="AG2291">
        <f>IF($B2291=0,0,IF(Inputs!$B$9="",0,COUNTIFS(Data!$M$10:$M$3209,"&gt;="&amp;$A2291,Data!$M$10:$M$3209,"&lt;"&amp;$A2291+1)))</f>
        <v/>
      </c>
      <c r="AH2291">
        <f>IF($B2291=0,0,IF(Inputs!$B$10="",0,COUNTIFS(Data!$Q$10:$Q$3209,"&gt;="&amp;$A2291,Data!$Q$10:$Q$3209,"&lt;"&amp;$A2291+1)))</f>
        <v/>
      </c>
    </row>
    <row r="2292">
      <c r="A2292" s="55">
        <f>MIN(Inputs!$C$15,$A2291+IF(WEEKDAY($A2291,2)=5,3,1))</f>
        <v/>
      </c>
      <c r="B2292">
        <f>IF($A2292&gt;$A2291,1,0)</f>
        <v/>
      </c>
      <c r="C2292" s="56">
        <f>IF($B2292=0,"",IF(Inputs!$B$6="","",IF($AD2292=0,C2291,SUMIFS(Data!$B$10:$B$3209,Data!$A$10:$A$3209,"&gt;="&amp;$A2292,Data!$A$10:$A$3209,"&lt;"&amp;$A2292+1)/$AD2292)))</f>
        <v/>
      </c>
      <c r="D2292" s="56">
        <f>IF($B2292=0,"",IF(Inputs!$B$7="","",IF($AE2292=0,D2291,SUMIFS(Data!$F$10:$F$3209,Data!$E$10:$E$3209,"&gt;="&amp;$A2292,Data!$E$10:$E$3209,"&lt;"&amp;$A2292+1)/$AE2292)))</f>
        <v/>
      </c>
      <c r="E2292" s="56">
        <f>IF($B2292=0,"",IF(Inputs!$B$8="","",IF($AF2292=0,E2291,SUMIFS(Data!$J$10:$J$3209,Data!$I$10:$I$3209,"&gt;="&amp;$A2292,Data!$I$10:$I$3209,"&lt;"&amp;$A2292+1)/$AF2292)))</f>
        <v/>
      </c>
      <c r="F2292" s="56">
        <f>IF($B2292=0,"",IF(Inputs!$B$9="","",IF($AG2292=0,F2291,SUMIFS(Data!$N$10:$N$3209,Data!$M$10:$M$3209,"&gt;="&amp;$A2292,Data!$M$10:$M$3209,"&lt;"&amp;$A2292+1)/$AG2292)))</f>
        <v/>
      </c>
      <c r="G2292" s="56">
        <f>IF($B2292=0,"",IF(Inputs!$B$10="","",IF($AH2292=0,G2291,SUMIFS(Data!$R$10:$R$3209,Data!$Q$10:$Q$3209,"&gt;="&amp;$A2292,Data!$Q$10:$Q$3209,"&lt;"&amp;$A2292+1)/$AH2292)))</f>
        <v/>
      </c>
      <c r="I2292" s="54">
        <f>IF($B2292=0,NA(),IF($C2292="",NA(),IF(C$8="",NA(),IF(N(C$8)=0,NA(),IF(Inputs!$C$17="Rebased to 100",$C2292/C$8*100,$C2292)))))</f>
        <v/>
      </c>
      <c r="J2292" s="54">
        <f>IF($B2292=0,NA(),IF($D2292="",NA(),IF(D$8="",NA(),IF(N(D$8)=0,NA(),IF(Inputs!$C$17="Rebased to 100",$D2292/D$8*100,$D2292)))))</f>
        <v/>
      </c>
      <c r="K2292" s="54">
        <f>IF($B2292=0,NA(),IF($E2292="",NA(),IF(E$8="",NA(),IF(N(E$8)=0,NA(),IF(Inputs!$C$17="Rebased to 100",$E2292/E$8*100,$E2292)))))</f>
        <v/>
      </c>
      <c r="L2292" s="54">
        <f>IF($B2292=0,NA(),IF($F2292="",NA(),IF(F$8="",NA(),IF(N(F$8)=0,NA(),IF(Inputs!$C$17="Rebased to 100",$F2292/F$8*100,$F2292)))))</f>
        <v/>
      </c>
      <c r="M2292" s="54">
        <f>IF($B2292=0,NA(),IF($G2292="",NA(),IF(G$8="",NA(),IF(N(G$8)=0,NA(),IF(Inputs!$C$17="Rebased to 100",$G2292/G$8*100,$G2292)))))</f>
        <v/>
      </c>
      <c r="N2292" s="54">
        <f>IF($B2292=0,NA(),IF(Inputs!$C$18&lt;&gt;"Yes",NA(),IF(COUNT(I2292,J2292,K2292,L2292,M2292)=0,NA(),MIN(I2292,J2292,K2292,L2292,M2292))))</f>
        <v/>
      </c>
      <c r="O2292" s="54">
        <f>IF($B2292=0,NA(),IF(Inputs!$B$24&lt;&gt;"Yes",NA(),Inputs!$D$24*Inputs!$C$35))</f>
        <v/>
      </c>
      <c r="P2292" s="54">
        <f>IF($B2292=0,NA(),IF(Inputs!$B$25&lt;&gt;"Yes",NA(),Inputs!$D$25*Inputs!$C$35))</f>
        <v/>
      </c>
      <c r="Q2292" s="54">
        <f>IF($B2292=0,NA(),IF(Inputs!$B$26&lt;&gt;"Yes",NA(),Inputs!$D$26*Inputs!$C$35))</f>
        <v/>
      </c>
      <c r="R2292" s="54">
        <f>IF($B2292=0,NA(),IF(Inputs!$B$27&lt;&gt;"Yes",NA(),Inputs!$D$27*Inputs!$C$35))</f>
        <v/>
      </c>
      <c r="S2292" s="54">
        <f>IF($B2292=0,NA(),IF(Inputs!$B$28&lt;&gt;"Yes",NA(),Inputs!$D$28*Inputs!$C$35))</f>
        <v/>
      </c>
      <c r="T2292" s="54">
        <f>IF($B2292=0,NA(),IF(Inputs!$B$29&lt;&gt;"Yes",NA(),Inputs!$D$29*Inputs!$C$35))</f>
        <v/>
      </c>
      <c r="AD2292">
        <f>IF($B2292=0,0,IF(Inputs!$B$6="",0,COUNTIFS(Data!$A$10:$A$3209,"&gt;="&amp;$A2292,Data!$A$10:$A$3209,"&lt;"&amp;$A2292+1)))</f>
        <v/>
      </c>
      <c r="AE2292">
        <f>IF($B2292=0,0,IF(Inputs!$B$7="",0,COUNTIFS(Data!$E$10:$E$3209,"&gt;="&amp;$A2292,Data!$E$10:$E$3209,"&lt;"&amp;$A2292+1)))</f>
        <v/>
      </c>
      <c r="AF2292">
        <f>IF($B2292=0,0,IF(Inputs!$B$8="",0,COUNTIFS(Data!$I$10:$I$3209,"&gt;="&amp;$A2292,Data!$I$10:$I$3209,"&lt;"&amp;$A2292+1)))</f>
        <v/>
      </c>
      <c r="AG2292">
        <f>IF($B2292=0,0,IF(Inputs!$B$9="",0,COUNTIFS(Data!$M$10:$M$3209,"&gt;="&amp;$A2292,Data!$M$10:$M$3209,"&lt;"&amp;$A2292+1)))</f>
        <v/>
      </c>
      <c r="AH2292">
        <f>IF($B2292=0,0,IF(Inputs!$B$10="",0,COUNTIFS(Data!$Q$10:$Q$3209,"&gt;="&amp;$A2292,Data!$Q$10:$Q$3209,"&lt;"&amp;$A2292+1)))</f>
        <v/>
      </c>
    </row>
    <row r="2293">
      <c r="A2293" s="55">
        <f>MIN(Inputs!$C$15,$A2292+IF(WEEKDAY($A2292,2)=5,3,1))</f>
        <v/>
      </c>
      <c r="B2293">
        <f>IF($A2293&gt;$A2292,1,0)</f>
        <v/>
      </c>
      <c r="C2293" s="56">
        <f>IF($B2293=0,"",IF(Inputs!$B$6="","",IF($AD2293=0,C2292,SUMIFS(Data!$B$10:$B$3209,Data!$A$10:$A$3209,"&gt;="&amp;$A2293,Data!$A$10:$A$3209,"&lt;"&amp;$A2293+1)/$AD2293)))</f>
        <v/>
      </c>
      <c r="D2293" s="56">
        <f>IF($B2293=0,"",IF(Inputs!$B$7="","",IF($AE2293=0,D2292,SUMIFS(Data!$F$10:$F$3209,Data!$E$10:$E$3209,"&gt;="&amp;$A2293,Data!$E$10:$E$3209,"&lt;"&amp;$A2293+1)/$AE2293)))</f>
        <v/>
      </c>
      <c r="E2293" s="56">
        <f>IF($B2293=0,"",IF(Inputs!$B$8="","",IF($AF2293=0,E2292,SUMIFS(Data!$J$10:$J$3209,Data!$I$10:$I$3209,"&gt;="&amp;$A2293,Data!$I$10:$I$3209,"&lt;"&amp;$A2293+1)/$AF2293)))</f>
        <v/>
      </c>
      <c r="F2293" s="56">
        <f>IF($B2293=0,"",IF(Inputs!$B$9="","",IF($AG2293=0,F2292,SUMIFS(Data!$N$10:$N$3209,Data!$M$10:$M$3209,"&gt;="&amp;$A2293,Data!$M$10:$M$3209,"&lt;"&amp;$A2293+1)/$AG2293)))</f>
        <v/>
      </c>
      <c r="G2293" s="56">
        <f>IF($B2293=0,"",IF(Inputs!$B$10="","",IF($AH2293=0,G2292,SUMIFS(Data!$R$10:$R$3209,Data!$Q$10:$Q$3209,"&gt;="&amp;$A2293,Data!$Q$10:$Q$3209,"&lt;"&amp;$A2293+1)/$AH2293)))</f>
        <v/>
      </c>
      <c r="I2293" s="54">
        <f>IF($B2293=0,NA(),IF($C2293="",NA(),IF(C$8="",NA(),IF(N(C$8)=0,NA(),IF(Inputs!$C$17="Rebased to 100",$C2293/C$8*100,$C2293)))))</f>
        <v/>
      </c>
      <c r="J2293" s="54">
        <f>IF($B2293=0,NA(),IF($D2293="",NA(),IF(D$8="",NA(),IF(N(D$8)=0,NA(),IF(Inputs!$C$17="Rebased to 100",$D2293/D$8*100,$D2293)))))</f>
        <v/>
      </c>
      <c r="K2293" s="54">
        <f>IF($B2293=0,NA(),IF($E2293="",NA(),IF(E$8="",NA(),IF(N(E$8)=0,NA(),IF(Inputs!$C$17="Rebased to 100",$E2293/E$8*100,$E2293)))))</f>
        <v/>
      </c>
      <c r="L2293" s="54">
        <f>IF($B2293=0,NA(),IF($F2293="",NA(),IF(F$8="",NA(),IF(N(F$8)=0,NA(),IF(Inputs!$C$17="Rebased to 100",$F2293/F$8*100,$F2293)))))</f>
        <v/>
      </c>
      <c r="M2293" s="54">
        <f>IF($B2293=0,NA(),IF($G2293="",NA(),IF(G$8="",NA(),IF(N(G$8)=0,NA(),IF(Inputs!$C$17="Rebased to 100",$G2293/G$8*100,$G2293)))))</f>
        <v/>
      </c>
      <c r="N2293" s="54">
        <f>IF($B2293=0,NA(),IF(Inputs!$C$18&lt;&gt;"Yes",NA(),IF(COUNT(I2293,J2293,K2293,L2293,M2293)=0,NA(),MIN(I2293,J2293,K2293,L2293,M2293))))</f>
        <v/>
      </c>
      <c r="O2293" s="54">
        <f>IF($B2293=0,NA(),IF(Inputs!$B$24&lt;&gt;"Yes",NA(),Inputs!$D$24*Inputs!$C$35))</f>
        <v/>
      </c>
      <c r="P2293" s="54">
        <f>IF($B2293=0,NA(),IF(Inputs!$B$25&lt;&gt;"Yes",NA(),Inputs!$D$25*Inputs!$C$35))</f>
        <v/>
      </c>
      <c r="Q2293" s="54">
        <f>IF($B2293=0,NA(),IF(Inputs!$B$26&lt;&gt;"Yes",NA(),Inputs!$D$26*Inputs!$C$35))</f>
        <v/>
      </c>
      <c r="R2293" s="54">
        <f>IF($B2293=0,NA(),IF(Inputs!$B$27&lt;&gt;"Yes",NA(),Inputs!$D$27*Inputs!$C$35))</f>
        <v/>
      </c>
      <c r="S2293" s="54">
        <f>IF($B2293=0,NA(),IF(Inputs!$B$28&lt;&gt;"Yes",NA(),Inputs!$D$28*Inputs!$C$35))</f>
        <v/>
      </c>
      <c r="T2293" s="54">
        <f>IF($B2293=0,NA(),IF(Inputs!$B$29&lt;&gt;"Yes",NA(),Inputs!$D$29*Inputs!$C$35))</f>
        <v/>
      </c>
      <c r="AD2293">
        <f>IF($B2293=0,0,IF(Inputs!$B$6="",0,COUNTIFS(Data!$A$10:$A$3209,"&gt;="&amp;$A2293,Data!$A$10:$A$3209,"&lt;"&amp;$A2293+1)))</f>
        <v/>
      </c>
      <c r="AE2293">
        <f>IF($B2293=0,0,IF(Inputs!$B$7="",0,COUNTIFS(Data!$E$10:$E$3209,"&gt;="&amp;$A2293,Data!$E$10:$E$3209,"&lt;"&amp;$A2293+1)))</f>
        <v/>
      </c>
      <c r="AF2293">
        <f>IF($B2293=0,0,IF(Inputs!$B$8="",0,COUNTIFS(Data!$I$10:$I$3209,"&gt;="&amp;$A2293,Data!$I$10:$I$3209,"&lt;"&amp;$A2293+1)))</f>
        <v/>
      </c>
      <c r="AG2293">
        <f>IF($B2293=0,0,IF(Inputs!$B$9="",0,COUNTIFS(Data!$M$10:$M$3209,"&gt;="&amp;$A2293,Data!$M$10:$M$3209,"&lt;"&amp;$A2293+1)))</f>
        <v/>
      </c>
      <c r="AH2293">
        <f>IF($B2293=0,0,IF(Inputs!$B$10="",0,COUNTIFS(Data!$Q$10:$Q$3209,"&gt;="&amp;$A2293,Data!$Q$10:$Q$3209,"&lt;"&amp;$A2293+1)))</f>
        <v/>
      </c>
    </row>
    <row r="2294">
      <c r="A2294" s="55">
        <f>MIN(Inputs!$C$15,$A2293+IF(WEEKDAY($A2293,2)=5,3,1))</f>
        <v/>
      </c>
      <c r="B2294">
        <f>IF($A2294&gt;$A2293,1,0)</f>
        <v/>
      </c>
      <c r="C2294" s="56">
        <f>IF($B2294=0,"",IF(Inputs!$B$6="","",IF($AD2294=0,C2293,SUMIFS(Data!$B$10:$B$3209,Data!$A$10:$A$3209,"&gt;="&amp;$A2294,Data!$A$10:$A$3209,"&lt;"&amp;$A2294+1)/$AD2294)))</f>
        <v/>
      </c>
      <c r="D2294" s="56">
        <f>IF($B2294=0,"",IF(Inputs!$B$7="","",IF($AE2294=0,D2293,SUMIFS(Data!$F$10:$F$3209,Data!$E$10:$E$3209,"&gt;="&amp;$A2294,Data!$E$10:$E$3209,"&lt;"&amp;$A2294+1)/$AE2294)))</f>
        <v/>
      </c>
      <c r="E2294" s="56">
        <f>IF($B2294=0,"",IF(Inputs!$B$8="","",IF($AF2294=0,E2293,SUMIFS(Data!$J$10:$J$3209,Data!$I$10:$I$3209,"&gt;="&amp;$A2294,Data!$I$10:$I$3209,"&lt;"&amp;$A2294+1)/$AF2294)))</f>
        <v/>
      </c>
      <c r="F2294" s="56">
        <f>IF($B2294=0,"",IF(Inputs!$B$9="","",IF($AG2294=0,F2293,SUMIFS(Data!$N$10:$N$3209,Data!$M$10:$M$3209,"&gt;="&amp;$A2294,Data!$M$10:$M$3209,"&lt;"&amp;$A2294+1)/$AG2294)))</f>
        <v/>
      </c>
      <c r="G2294" s="56">
        <f>IF($B2294=0,"",IF(Inputs!$B$10="","",IF($AH2294=0,G2293,SUMIFS(Data!$R$10:$R$3209,Data!$Q$10:$Q$3209,"&gt;="&amp;$A2294,Data!$Q$10:$Q$3209,"&lt;"&amp;$A2294+1)/$AH2294)))</f>
        <v/>
      </c>
      <c r="I2294" s="54">
        <f>IF($B2294=0,NA(),IF($C2294="",NA(),IF(C$8="",NA(),IF(N(C$8)=0,NA(),IF(Inputs!$C$17="Rebased to 100",$C2294/C$8*100,$C2294)))))</f>
        <v/>
      </c>
      <c r="J2294" s="54">
        <f>IF($B2294=0,NA(),IF($D2294="",NA(),IF(D$8="",NA(),IF(N(D$8)=0,NA(),IF(Inputs!$C$17="Rebased to 100",$D2294/D$8*100,$D2294)))))</f>
        <v/>
      </c>
      <c r="K2294" s="54">
        <f>IF($B2294=0,NA(),IF($E2294="",NA(),IF(E$8="",NA(),IF(N(E$8)=0,NA(),IF(Inputs!$C$17="Rebased to 100",$E2294/E$8*100,$E2294)))))</f>
        <v/>
      </c>
      <c r="L2294" s="54">
        <f>IF($B2294=0,NA(),IF($F2294="",NA(),IF(F$8="",NA(),IF(N(F$8)=0,NA(),IF(Inputs!$C$17="Rebased to 100",$F2294/F$8*100,$F2294)))))</f>
        <v/>
      </c>
      <c r="M2294" s="54">
        <f>IF($B2294=0,NA(),IF($G2294="",NA(),IF(G$8="",NA(),IF(N(G$8)=0,NA(),IF(Inputs!$C$17="Rebased to 100",$G2294/G$8*100,$G2294)))))</f>
        <v/>
      </c>
      <c r="N2294" s="54">
        <f>IF($B2294=0,NA(),IF(Inputs!$C$18&lt;&gt;"Yes",NA(),IF(COUNT(I2294,J2294,K2294,L2294,M2294)=0,NA(),MIN(I2294,J2294,K2294,L2294,M2294))))</f>
        <v/>
      </c>
      <c r="O2294" s="54">
        <f>IF($B2294=0,NA(),IF(Inputs!$B$24&lt;&gt;"Yes",NA(),Inputs!$D$24*Inputs!$C$35))</f>
        <v/>
      </c>
      <c r="P2294" s="54">
        <f>IF($B2294=0,NA(),IF(Inputs!$B$25&lt;&gt;"Yes",NA(),Inputs!$D$25*Inputs!$C$35))</f>
        <v/>
      </c>
      <c r="Q2294" s="54">
        <f>IF($B2294=0,NA(),IF(Inputs!$B$26&lt;&gt;"Yes",NA(),Inputs!$D$26*Inputs!$C$35))</f>
        <v/>
      </c>
      <c r="R2294" s="54">
        <f>IF($B2294=0,NA(),IF(Inputs!$B$27&lt;&gt;"Yes",NA(),Inputs!$D$27*Inputs!$C$35))</f>
        <v/>
      </c>
      <c r="S2294" s="54">
        <f>IF($B2294=0,NA(),IF(Inputs!$B$28&lt;&gt;"Yes",NA(),Inputs!$D$28*Inputs!$C$35))</f>
        <v/>
      </c>
      <c r="T2294" s="54">
        <f>IF($B2294=0,NA(),IF(Inputs!$B$29&lt;&gt;"Yes",NA(),Inputs!$D$29*Inputs!$C$35))</f>
        <v/>
      </c>
      <c r="AD2294">
        <f>IF($B2294=0,0,IF(Inputs!$B$6="",0,COUNTIFS(Data!$A$10:$A$3209,"&gt;="&amp;$A2294,Data!$A$10:$A$3209,"&lt;"&amp;$A2294+1)))</f>
        <v/>
      </c>
      <c r="AE2294">
        <f>IF($B2294=0,0,IF(Inputs!$B$7="",0,COUNTIFS(Data!$E$10:$E$3209,"&gt;="&amp;$A2294,Data!$E$10:$E$3209,"&lt;"&amp;$A2294+1)))</f>
        <v/>
      </c>
      <c r="AF2294">
        <f>IF($B2294=0,0,IF(Inputs!$B$8="",0,COUNTIFS(Data!$I$10:$I$3209,"&gt;="&amp;$A2294,Data!$I$10:$I$3209,"&lt;"&amp;$A2294+1)))</f>
        <v/>
      </c>
      <c r="AG2294">
        <f>IF($B2294=0,0,IF(Inputs!$B$9="",0,COUNTIFS(Data!$M$10:$M$3209,"&gt;="&amp;$A2294,Data!$M$10:$M$3209,"&lt;"&amp;$A2294+1)))</f>
        <v/>
      </c>
      <c r="AH2294">
        <f>IF($B2294=0,0,IF(Inputs!$B$10="",0,COUNTIFS(Data!$Q$10:$Q$3209,"&gt;="&amp;$A2294,Data!$Q$10:$Q$3209,"&lt;"&amp;$A2294+1)))</f>
        <v/>
      </c>
    </row>
    <row r="2295">
      <c r="A2295" s="55">
        <f>MIN(Inputs!$C$15,$A2294+IF(WEEKDAY($A2294,2)=5,3,1))</f>
        <v/>
      </c>
      <c r="B2295">
        <f>IF($A2295&gt;$A2294,1,0)</f>
        <v/>
      </c>
      <c r="C2295" s="56">
        <f>IF($B2295=0,"",IF(Inputs!$B$6="","",IF($AD2295=0,C2294,SUMIFS(Data!$B$10:$B$3209,Data!$A$10:$A$3209,"&gt;="&amp;$A2295,Data!$A$10:$A$3209,"&lt;"&amp;$A2295+1)/$AD2295)))</f>
        <v/>
      </c>
      <c r="D2295" s="56">
        <f>IF($B2295=0,"",IF(Inputs!$B$7="","",IF($AE2295=0,D2294,SUMIFS(Data!$F$10:$F$3209,Data!$E$10:$E$3209,"&gt;="&amp;$A2295,Data!$E$10:$E$3209,"&lt;"&amp;$A2295+1)/$AE2295)))</f>
        <v/>
      </c>
      <c r="E2295" s="56">
        <f>IF($B2295=0,"",IF(Inputs!$B$8="","",IF($AF2295=0,E2294,SUMIFS(Data!$J$10:$J$3209,Data!$I$10:$I$3209,"&gt;="&amp;$A2295,Data!$I$10:$I$3209,"&lt;"&amp;$A2295+1)/$AF2295)))</f>
        <v/>
      </c>
      <c r="F2295" s="56">
        <f>IF($B2295=0,"",IF(Inputs!$B$9="","",IF($AG2295=0,F2294,SUMIFS(Data!$N$10:$N$3209,Data!$M$10:$M$3209,"&gt;="&amp;$A2295,Data!$M$10:$M$3209,"&lt;"&amp;$A2295+1)/$AG2295)))</f>
        <v/>
      </c>
      <c r="G2295" s="56">
        <f>IF($B2295=0,"",IF(Inputs!$B$10="","",IF($AH2295=0,G2294,SUMIFS(Data!$R$10:$R$3209,Data!$Q$10:$Q$3209,"&gt;="&amp;$A2295,Data!$Q$10:$Q$3209,"&lt;"&amp;$A2295+1)/$AH2295)))</f>
        <v/>
      </c>
      <c r="I2295" s="54">
        <f>IF($B2295=0,NA(),IF($C2295="",NA(),IF(C$8="",NA(),IF(N(C$8)=0,NA(),IF(Inputs!$C$17="Rebased to 100",$C2295/C$8*100,$C2295)))))</f>
        <v/>
      </c>
      <c r="J2295" s="54">
        <f>IF($B2295=0,NA(),IF($D2295="",NA(),IF(D$8="",NA(),IF(N(D$8)=0,NA(),IF(Inputs!$C$17="Rebased to 100",$D2295/D$8*100,$D2295)))))</f>
        <v/>
      </c>
      <c r="K2295" s="54">
        <f>IF($B2295=0,NA(),IF($E2295="",NA(),IF(E$8="",NA(),IF(N(E$8)=0,NA(),IF(Inputs!$C$17="Rebased to 100",$E2295/E$8*100,$E2295)))))</f>
        <v/>
      </c>
      <c r="L2295" s="54">
        <f>IF($B2295=0,NA(),IF($F2295="",NA(),IF(F$8="",NA(),IF(N(F$8)=0,NA(),IF(Inputs!$C$17="Rebased to 100",$F2295/F$8*100,$F2295)))))</f>
        <v/>
      </c>
      <c r="M2295" s="54">
        <f>IF($B2295=0,NA(),IF($G2295="",NA(),IF(G$8="",NA(),IF(N(G$8)=0,NA(),IF(Inputs!$C$17="Rebased to 100",$G2295/G$8*100,$G2295)))))</f>
        <v/>
      </c>
      <c r="N2295" s="54">
        <f>IF($B2295=0,NA(),IF(Inputs!$C$18&lt;&gt;"Yes",NA(),IF(COUNT(I2295,J2295,K2295,L2295,M2295)=0,NA(),MIN(I2295,J2295,K2295,L2295,M2295))))</f>
        <v/>
      </c>
      <c r="O2295" s="54">
        <f>IF($B2295=0,NA(),IF(Inputs!$B$24&lt;&gt;"Yes",NA(),Inputs!$D$24*Inputs!$C$35))</f>
        <v/>
      </c>
      <c r="P2295" s="54">
        <f>IF($B2295=0,NA(),IF(Inputs!$B$25&lt;&gt;"Yes",NA(),Inputs!$D$25*Inputs!$C$35))</f>
        <v/>
      </c>
      <c r="Q2295" s="54">
        <f>IF($B2295=0,NA(),IF(Inputs!$B$26&lt;&gt;"Yes",NA(),Inputs!$D$26*Inputs!$C$35))</f>
        <v/>
      </c>
      <c r="R2295" s="54">
        <f>IF($B2295=0,NA(),IF(Inputs!$B$27&lt;&gt;"Yes",NA(),Inputs!$D$27*Inputs!$C$35))</f>
        <v/>
      </c>
      <c r="S2295" s="54">
        <f>IF($B2295=0,NA(),IF(Inputs!$B$28&lt;&gt;"Yes",NA(),Inputs!$D$28*Inputs!$C$35))</f>
        <v/>
      </c>
      <c r="T2295" s="54">
        <f>IF($B2295=0,NA(),IF(Inputs!$B$29&lt;&gt;"Yes",NA(),Inputs!$D$29*Inputs!$C$35))</f>
        <v/>
      </c>
      <c r="AD2295">
        <f>IF($B2295=0,0,IF(Inputs!$B$6="",0,COUNTIFS(Data!$A$10:$A$3209,"&gt;="&amp;$A2295,Data!$A$10:$A$3209,"&lt;"&amp;$A2295+1)))</f>
        <v/>
      </c>
      <c r="AE2295">
        <f>IF($B2295=0,0,IF(Inputs!$B$7="",0,COUNTIFS(Data!$E$10:$E$3209,"&gt;="&amp;$A2295,Data!$E$10:$E$3209,"&lt;"&amp;$A2295+1)))</f>
        <v/>
      </c>
      <c r="AF2295">
        <f>IF($B2295=0,0,IF(Inputs!$B$8="",0,COUNTIFS(Data!$I$10:$I$3209,"&gt;="&amp;$A2295,Data!$I$10:$I$3209,"&lt;"&amp;$A2295+1)))</f>
        <v/>
      </c>
      <c r="AG2295">
        <f>IF($B2295=0,0,IF(Inputs!$B$9="",0,COUNTIFS(Data!$M$10:$M$3209,"&gt;="&amp;$A2295,Data!$M$10:$M$3209,"&lt;"&amp;$A2295+1)))</f>
        <v/>
      </c>
      <c r="AH2295">
        <f>IF($B2295=0,0,IF(Inputs!$B$10="",0,COUNTIFS(Data!$Q$10:$Q$3209,"&gt;="&amp;$A2295,Data!$Q$10:$Q$3209,"&lt;"&amp;$A2295+1)))</f>
        <v/>
      </c>
    </row>
    <row r="2296">
      <c r="A2296" s="55">
        <f>MIN(Inputs!$C$15,$A2295+IF(WEEKDAY($A2295,2)=5,3,1))</f>
        <v/>
      </c>
      <c r="B2296">
        <f>IF($A2296&gt;$A2295,1,0)</f>
        <v/>
      </c>
      <c r="C2296" s="56">
        <f>IF($B2296=0,"",IF(Inputs!$B$6="","",IF($AD2296=0,C2295,SUMIFS(Data!$B$10:$B$3209,Data!$A$10:$A$3209,"&gt;="&amp;$A2296,Data!$A$10:$A$3209,"&lt;"&amp;$A2296+1)/$AD2296)))</f>
        <v/>
      </c>
      <c r="D2296" s="56">
        <f>IF($B2296=0,"",IF(Inputs!$B$7="","",IF($AE2296=0,D2295,SUMIFS(Data!$F$10:$F$3209,Data!$E$10:$E$3209,"&gt;="&amp;$A2296,Data!$E$10:$E$3209,"&lt;"&amp;$A2296+1)/$AE2296)))</f>
        <v/>
      </c>
      <c r="E2296" s="56">
        <f>IF($B2296=0,"",IF(Inputs!$B$8="","",IF($AF2296=0,E2295,SUMIFS(Data!$J$10:$J$3209,Data!$I$10:$I$3209,"&gt;="&amp;$A2296,Data!$I$10:$I$3209,"&lt;"&amp;$A2296+1)/$AF2296)))</f>
        <v/>
      </c>
      <c r="F2296" s="56">
        <f>IF($B2296=0,"",IF(Inputs!$B$9="","",IF($AG2296=0,F2295,SUMIFS(Data!$N$10:$N$3209,Data!$M$10:$M$3209,"&gt;="&amp;$A2296,Data!$M$10:$M$3209,"&lt;"&amp;$A2296+1)/$AG2296)))</f>
        <v/>
      </c>
      <c r="G2296" s="56">
        <f>IF($B2296=0,"",IF(Inputs!$B$10="","",IF($AH2296=0,G2295,SUMIFS(Data!$R$10:$R$3209,Data!$Q$10:$Q$3209,"&gt;="&amp;$A2296,Data!$Q$10:$Q$3209,"&lt;"&amp;$A2296+1)/$AH2296)))</f>
        <v/>
      </c>
      <c r="I2296" s="54">
        <f>IF($B2296=0,NA(),IF($C2296="",NA(),IF(C$8="",NA(),IF(N(C$8)=0,NA(),IF(Inputs!$C$17="Rebased to 100",$C2296/C$8*100,$C2296)))))</f>
        <v/>
      </c>
      <c r="J2296" s="54">
        <f>IF($B2296=0,NA(),IF($D2296="",NA(),IF(D$8="",NA(),IF(N(D$8)=0,NA(),IF(Inputs!$C$17="Rebased to 100",$D2296/D$8*100,$D2296)))))</f>
        <v/>
      </c>
      <c r="K2296" s="54">
        <f>IF($B2296=0,NA(),IF($E2296="",NA(),IF(E$8="",NA(),IF(N(E$8)=0,NA(),IF(Inputs!$C$17="Rebased to 100",$E2296/E$8*100,$E2296)))))</f>
        <v/>
      </c>
      <c r="L2296" s="54">
        <f>IF($B2296=0,NA(),IF($F2296="",NA(),IF(F$8="",NA(),IF(N(F$8)=0,NA(),IF(Inputs!$C$17="Rebased to 100",$F2296/F$8*100,$F2296)))))</f>
        <v/>
      </c>
      <c r="M2296" s="54">
        <f>IF($B2296=0,NA(),IF($G2296="",NA(),IF(G$8="",NA(),IF(N(G$8)=0,NA(),IF(Inputs!$C$17="Rebased to 100",$G2296/G$8*100,$G2296)))))</f>
        <v/>
      </c>
      <c r="N2296" s="54">
        <f>IF($B2296=0,NA(),IF(Inputs!$C$18&lt;&gt;"Yes",NA(),IF(COUNT(I2296,J2296,K2296,L2296,M2296)=0,NA(),MIN(I2296,J2296,K2296,L2296,M2296))))</f>
        <v/>
      </c>
      <c r="O2296" s="54">
        <f>IF($B2296=0,NA(),IF(Inputs!$B$24&lt;&gt;"Yes",NA(),Inputs!$D$24*Inputs!$C$35))</f>
        <v/>
      </c>
      <c r="P2296" s="54">
        <f>IF($B2296=0,NA(),IF(Inputs!$B$25&lt;&gt;"Yes",NA(),Inputs!$D$25*Inputs!$C$35))</f>
        <v/>
      </c>
      <c r="Q2296" s="54">
        <f>IF($B2296=0,NA(),IF(Inputs!$B$26&lt;&gt;"Yes",NA(),Inputs!$D$26*Inputs!$C$35))</f>
        <v/>
      </c>
      <c r="R2296" s="54">
        <f>IF($B2296=0,NA(),IF(Inputs!$B$27&lt;&gt;"Yes",NA(),Inputs!$D$27*Inputs!$C$35))</f>
        <v/>
      </c>
      <c r="S2296" s="54">
        <f>IF($B2296=0,NA(),IF(Inputs!$B$28&lt;&gt;"Yes",NA(),Inputs!$D$28*Inputs!$C$35))</f>
        <v/>
      </c>
      <c r="T2296" s="54">
        <f>IF($B2296=0,NA(),IF(Inputs!$B$29&lt;&gt;"Yes",NA(),Inputs!$D$29*Inputs!$C$35))</f>
        <v/>
      </c>
      <c r="AD2296">
        <f>IF($B2296=0,0,IF(Inputs!$B$6="",0,COUNTIFS(Data!$A$10:$A$3209,"&gt;="&amp;$A2296,Data!$A$10:$A$3209,"&lt;"&amp;$A2296+1)))</f>
        <v/>
      </c>
      <c r="AE2296">
        <f>IF($B2296=0,0,IF(Inputs!$B$7="",0,COUNTIFS(Data!$E$10:$E$3209,"&gt;="&amp;$A2296,Data!$E$10:$E$3209,"&lt;"&amp;$A2296+1)))</f>
        <v/>
      </c>
      <c r="AF2296">
        <f>IF($B2296=0,0,IF(Inputs!$B$8="",0,COUNTIFS(Data!$I$10:$I$3209,"&gt;="&amp;$A2296,Data!$I$10:$I$3209,"&lt;"&amp;$A2296+1)))</f>
        <v/>
      </c>
      <c r="AG2296">
        <f>IF($B2296=0,0,IF(Inputs!$B$9="",0,COUNTIFS(Data!$M$10:$M$3209,"&gt;="&amp;$A2296,Data!$M$10:$M$3209,"&lt;"&amp;$A2296+1)))</f>
        <v/>
      </c>
      <c r="AH2296">
        <f>IF($B2296=0,0,IF(Inputs!$B$10="",0,COUNTIFS(Data!$Q$10:$Q$3209,"&gt;="&amp;$A2296,Data!$Q$10:$Q$3209,"&lt;"&amp;$A2296+1)))</f>
        <v/>
      </c>
    </row>
    <row r="2297">
      <c r="A2297" s="55">
        <f>MIN(Inputs!$C$15,$A2296+IF(WEEKDAY($A2296,2)=5,3,1))</f>
        <v/>
      </c>
      <c r="B2297">
        <f>IF($A2297&gt;$A2296,1,0)</f>
        <v/>
      </c>
      <c r="C2297" s="56">
        <f>IF($B2297=0,"",IF(Inputs!$B$6="","",IF($AD2297=0,C2296,SUMIFS(Data!$B$10:$B$3209,Data!$A$10:$A$3209,"&gt;="&amp;$A2297,Data!$A$10:$A$3209,"&lt;"&amp;$A2297+1)/$AD2297)))</f>
        <v/>
      </c>
      <c r="D2297" s="56">
        <f>IF($B2297=0,"",IF(Inputs!$B$7="","",IF($AE2297=0,D2296,SUMIFS(Data!$F$10:$F$3209,Data!$E$10:$E$3209,"&gt;="&amp;$A2297,Data!$E$10:$E$3209,"&lt;"&amp;$A2297+1)/$AE2297)))</f>
        <v/>
      </c>
      <c r="E2297" s="56">
        <f>IF($B2297=0,"",IF(Inputs!$B$8="","",IF($AF2297=0,E2296,SUMIFS(Data!$J$10:$J$3209,Data!$I$10:$I$3209,"&gt;="&amp;$A2297,Data!$I$10:$I$3209,"&lt;"&amp;$A2297+1)/$AF2297)))</f>
        <v/>
      </c>
      <c r="F2297" s="56">
        <f>IF($B2297=0,"",IF(Inputs!$B$9="","",IF($AG2297=0,F2296,SUMIFS(Data!$N$10:$N$3209,Data!$M$10:$M$3209,"&gt;="&amp;$A2297,Data!$M$10:$M$3209,"&lt;"&amp;$A2297+1)/$AG2297)))</f>
        <v/>
      </c>
      <c r="G2297" s="56">
        <f>IF($B2297=0,"",IF(Inputs!$B$10="","",IF($AH2297=0,G2296,SUMIFS(Data!$R$10:$R$3209,Data!$Q$10:$Q$3209,"&gt;="&amp;$A2297,Data!$Q$10:$Q$3209,"&lt;"&amp;$A2297+1)/$AH2297)))</f>
        <v/>
      </c>
      <c r="I2297" s="54">
        <f>IF($B2297=0,NA(),IF($C2297="",NA(),IF(C$8="",NA(),IF(N(C$8)=0,NA(),IF(Inputs!$C$17="Rebased to 100",$C2297/C$8*100,$C2297)))))</f>
        <v/>
      </c>
      <c r="J2297" s="54">
        <f>IF($B2297=0,NA(),IF($D2297="",NA(),IF(D$8="",NA(),IF(N(D$8)=0,NA(),IF(Inputs!$C$17="Rebased to 100",$D2297/D$8*100,$D2297)))))</f>
        <v/>
      </c>
      <c r="K2297" s="54">
        <f>IF($B2297=0,NA(),IF($E2297="",NA(),IF(E$8="",NA(),IF(N(E$8)=0,NA(),IF(Inputs!$C$17="Rebased to 100",$E2297/E$8*100,$E2297)))))</f>
        <v/>
      </c>
      <c r="L2297" s="54">
        <f>IF($B2297=0,NA(),IF($F2297="",NA(),IF(F$8="",NA(),IF(N(F$8)=0,NA(),IF(Inputs!$C$17="Rebased to 100",$F2297/F$8*100,$F2297)))))</f>
        <v/>
      </c>
      <c r="M2297" s="54">
        <f>IF($B2297=0,NA(),IF($G2297="",NA(),IF(G$8="",NA(),IF(N(G$8)=0,NA(),IF(Inputs!$C$17="Rebased to 100",$G2297/G$8*100,$G2297)))))</f>
        <v/>
      </c>
      <c r="N2297" s="54">
        <f>IF($B2297=0,NA(),IF(Inputs!$C$18&lt;&gt;"Yes",NA(),IF(COUNT(I2297,J2297,K2297,L2297,M2297)=0,NA(),MIN(I2297,J2297,K2297,L2297,M2297))))</f>
        <v/>
      </c>
      <c r="O2297" s="54">
        <f>IF($B2297=0,NA(),IF(Inputs!$B$24&lt;&gt;"Yes",NA(),Inputs!$D$24*Inputs!$C$35))</f>
        <v/>
      </c>
      <c r="P2297" s="54">
        <f>IF($B2297=0,NA(),IF(Inputs!$B$25&lt;&gt;"Yes",NA(),Inputs!$D$25*Inputs!$C$35))</f>
        <v/>
      </c>
      <c r="Q2297" s="54">
        <f>IF($B2297=0,NA(),IF(Inputs!$B$26&lt;&gt;"Yes",NA(),Inputs!$D$26*Inputs!$C$35))</f>
        <v/>
      </c>
      <c r="R2297" s="54">
        <f>IF($B2297=0,NA(),IF(Inputs!$B$27&lt;&gt;"Yes",NA(),Inputs!$D$27*Inputs!$C$35))</f>
        <v/>
      </c>
      <c r="S2297" s="54">
        <f>IF($B2297=0,NA(),IF(Inputs!$B$28&lt;&gt;"Yes",NA(),Inputs!$D$28*Inputs!$C$35))</f>
        <v/>
      </c>
      <c r="T2297" s="54">
        <f>IF($B2297=0,NA(),IF(Inputs!$B$29&lt;&gt;"Yes",NA(),Inputs!$D$29*Inputs!$C$35))</f>
        <v/>
      </c>
      <c r="AD2297">
        <f>IF($B2297=0,0,IF(Inputs!$B$6="",0,COUNTIFS(Data!$A$10:$A$3209,"&gt;="&amp;$A2297,Data!$A$10:$A$3209,"&lt;"&amp;$A2297+1)))</f>
        <v/>
      </c>
      <c r="AE2297">
        <f>IF($B2297=0,0,IF(Inputs!$B$7="",0,COUNTIFS(Data!$E$10:$E$3209,"&gt;="&amp;$A2297,Data!$E$10:$E$3209,"&lt;"&amp;$A2297+1)))</f>
        <v/>
      </c>
      <c r="AF2297">
        <f>IF($B2297=0,0,IF(Inputs!$B$8="",0,COUNTIFS(Data!$I$10:$I$3209,"&gt;="&amp;$A2297,Data!$I$10:$I$3209,"&lt;"&amp;$A2297+1)))</f>
        <v/>
      </c>
      <c r="AG2297">
        <f>IF($B2297=0,0,IF(Inputs!$B$9="",0,COUNTIFS(Data!$M$10:$M$3209,"&gt;="&amp;$A2297,Data!$M$10:$M$3209,"&lt;"&amp;$A2297+1)))</f>
        <v/>
      </c>
      <c r="AH2297">
        <f>IF($B2297=0,0,IF(Inputs!$B$10="",0,COUNTIFS(Data!$Q$10:$Q$3209,"&gt;="&amp;$A2297,Data!$Q$10:$Q$3209,"&lt;"&amp;$A2297+1)))</f>
        <v/>
      </c>
    </row>
    <row r="2298">
      <c r="A2298" s="55">
        <f>MIN(Inputs!$C$15,$A2297+IF(WEEKDAY($A2297,2)=5,3,1))</f>
        <v/>
      </c>
      <c r="B2298">
        <f>IF($A2298&gt;$A2297,1,0)</f>
        <v/>
      </c>
      <c r="C2298" s="56">
        <f>IF($B2298=0,"",IF(Inputs!$B$6="","",IF($AD2298=0,C2297,SUMIFS(Data!$B$10:$B$3209,Data!$A$10:$A$3209,"&gt;="&amp;$A2298,Data!$A$10:$A$3209,"&lt;"&amp;$A2298+1)/$AD2298)))</f>
        <v/>
      </c>
      <c r="D2298" s="56">
        <f>IF($B2298=0,"",IF(Inputs!$B$7="","",IF($AE2298=0,D2297,SUMIFS(Data!$F$10:$F$3209,Data!$E$10:$E$3209,"&gt;="&amp;$A2298,Data!$E$10:$E$3209,"&lt;"&amp;$A2298+1)/$AE2298)))</f>
        <v/>
      </c>
      <c r="E2298" s="56">
        <f>IF($B2298=0,"",IF(Inputs!$B$8="","",IF($AF2298=0,E2297,SUMIFS(Data!$J$10:$J$3209,Data!$I$10:$I$3209,"&gt;="&amp;$A2298,Data!$I$10:$I$3209,"&lt;"&amp;$A2298+1)/$AF2298)))</f>
        <v/>
      </c>
      <c r="F2298" s="56">
        <f>IF($B2298=0,"",IF(Inputs!$B$9="","",IF($AG2298=0,F2297,SUMIFS(Data!$N$10:$N$3209,Data!$M$10:$M$3209,"&gt;="&amp;$A2298,Data!$M$10:$M$3209,"&lt;"&amp;$A2298+1)/$AG2298)))</f>
        <v/>
      </c>
      <c r="G2298" s="56">
        <f>IF($B2298=0,"",IF(Inputs!$B$10="","",IF($AH2298=0,G2297,SUMIFS(Data!$R$10:$R$3209,Data!$Q$10:$Q$3209,"&gt;="&amp;$A2298,Data!$Q$10:$Q$3209,"&lt;"&amp;$A2298+1)/$AH2298)))</f>
        <v/>
      </c>
      <c r="I2298" s="54">
        <f>IF($B2298=0,NA(),IF($C2298="",NA(),IF(C$8="",NA(),IF(N(C$8)=0,NA(),IF(Inputs!$C$17="Rebased to 100",$C2298/C$8*100,$C2298)))))</f>
        <v/>
      </c>
      <c r="J2298" s="54">
        <f>IF($B2298=0,NA(),IF($D2298="",NA(),IF(D$8="",NA(),IF(N(D$8)=0,NA(),IF(Inputs!$C$17="Rebased to 100",$D2298/D$8*100,$D2298)))))</f>
        <v/>
      </c>
      <c r="K2298" s="54">
        <f>IF($B2298=0,NA(),IF($E2298="",NA(),IF(E$8="",NA(),IF(N(E$8)=0,NA(),IF(Inputs!$C$17="Rebased to 100",$E2298/E$8*100,$E2298)))))</f>
        <v/>
      </c>
      <c r="L2298" s="54">
        <f>IF($B2298=0,NA(),IF($F2298="",NA(),IF(F$8="",NA(),IF(N(F$8)=0,NA(),IF(Inputs!$C$17="Rebased to 100",$F2298/F$8*100,$F2298)))))</f>
        <v/>
      </c>
      <c r="M2298" s="54">
        <f>IF($B2298=0,NA(),IF($G2298="",NA(),IF(G$8="",NA(),IF(N(G$8)=0,NA(),IF(Inputs!$C$17="Rebased to 100",$G2298/G$8*100,$G2298)))))</f>
        <v/>
      </c>
      <c r="N2298" s="54">
        <f>IF($B2298=0,NA(),IF(Inputs!$C$18&lt;&gt;"Yes",NA(),IF(COUNT(I2298,J2298,K2298,L2298,M2298)=0,NA(),MIN(I2298,J2298,K2298,L2298,M2298))))</f>
        <v/>
      </c>
      <c r="O2298" s="54">
        <f>IF($B2298=0,NA(),IF(Inputs!$B$24&lt;&gt;"Yes",NA(),Inputs!$D$24*Inputs!$C$35))</f>
        <v/>
      </c>
      <c r="P2298" s="54">
        <f>IF($B2298=0,NA(),IF(Inputs!$B$25&lt;&gt;"Yes",NA(),Inputs!$D$25*Inputs!$C$35))</f>
        <v/>
      </c>
      <c r="Q2298" s="54">
        <f>IF($B2298=0,NA(),IF(Inputs!$B$26&lt;&gt;"Yes",NA(),Inputs!$D$26*Inputs!$C$35))</f>
        <v/>
      </c>
      <c r="R2298" s="54">
        <f>IF($B2298=0,NA(),IF(Inputs!$B$27&lt;&gt;"Yes",NA(),Inputs!$D$27*Inputs!$C$35))</f>
        <v/>
      </c>
      <c r="S2298" s="54">
        <f>IF($B2298=0,NA(),IF(Inputs!$B$28&lt;&gt;"Yes",NA(),Inputs!$D$28*Inputs!$C$35))</f>
        <v/>
      </c>
      <c r="T2298" s="54">
        <f>IF($B2298=0,NA(),IF(Inputs!$B$29&lt;&gt;"Yes",NA(),Inputs!$D$29*Inputs!$C$35))</f>
        <v/>
      </c>
      <c r="AD2298">
        <f>IF($B2298=0,0,IF(Inputs!$B$6="",0,COUNTIFS(Data!$A$10:$A$3209,"&gt;="&amp;$A2298,Data!$A$10:$A$3209,"&lt;"&amp;$A2298+1)))</f>
        <v/>
      </c>
      <c r="AE2298">
        <f>IF($B2298=0,0,IF(Inputs!$B$7="",0,COUNTIFS(Data!$E$10:$E$3209,"&gt;="&amp;$A2298,Data!$E$10:$E$3209,"&lt;"&amp;$A2298+1)))</f>
        <v/>
      </c>
      <c r="AF2298">
        <f>IF($B2298=0,0,IF(Inputs!$B$8="",0,COUNTIFS(Data!$I$10:$I$3209,"&gt;="&amp;$A2298,Data!$I$10:$I$3209,"&lt;"&amp;$A2298+1)))</f>
        <v/>
      </c>
      <c r="AG2298">
        <f>IF($B2298=0,0,IF(Inputs!$B$9="",0,COUNTIFS(Data!$M$10:$M$3209,"&gt;="&amp;$A2298,Data!$M$10:$M$3209,"&lt;"&amp;$A2298+1)))</f>
        <v/>
      </c>
      <c r="AH2298">
        <f>IF($B2298=0,0,IF(Inputs!$B$10="",0,COUNTIFS(Data!$Q$10:$Q$3209,"&gt;="&amp;$A2298,Data!$Q$10:$Q$3209,"&lt;"&amp;$A2298+1)))</f>
        <v/>
      </c>
    </row>
    <row r="2299">
      <c r="A2299" s="55">
        <f>MIN(Inputs!$C$15,$A2298+IF(WEEKDAY($A2298,2)=5,3,1))</f>
        <v/>
      </c>
      <c r="B2299">
        <f>IF($A2299&gt;$A2298,1,0)</f>
        <v/>
      </c>
      <c r="C2299" s="56">
        <f>IF($B2299=0,"",IF(Inputs!$B$6="","",IF($AD2299=0,C2298,SUMIFS(Data!$B$10:$B$3209,Data!$A$10:$A$3209,"&gt;="&amp;$A2299,Data!$A$10:$A$3209,"&lt;"&amp;$A2299+1)/$AD2299)))</f>
        <v/>
      </c>
      <c r="D2299" s="56">
        <f>IF($B2299=0,"",IF(Inputs!$B$7="","",IF($AE2299=0,D2298,SUMIFS(Data!$F$10:$F$3209,Data!$E$10:$E$3209,"&gt;="&amp;$A2299,Data!$E$10:$E$3209,"&lt;"&amp;$A2299+1)/$AE2299)))</f>
        <v/>
      </c>
      <c r="E2299" s="56">
        <f>IF($B2299=0,"",IF(Inputs!$B$8="","",IF($AF2299=0,E2298,SUMIFS(Data!$J$10:$J$3209,Data!$I$10:$I$3209,"&gt;="&amp;$A2299,Data!$I$10:$I$3209,"&lt;"&amp;$A2299+1)/$AF2299)))</f>
        <v/>
      </c>
      <c r="F2299" s="56">
        <f>IF($B2299=0,"",IF(Inputs!$B$9="","",IF($AG2299=0,F2298,SUMIFS(Data!$N$10:$N$3209,Data!$M$10:$M$3209,"&gt;="&amp;$A2299,Data!$M$10:$M$3209,"&lt;"&amp;$A2299+1)/$AG2299)))</f>
        <v/>
      </c>
      <c r="G2299" s="56">
        <f>IF($B2299=0,"",IF(Inputs!$B$10="","",IF($AH2299=0,G2298,SUMIFS(Data!$R$10:$R$3209,Data!$Q$10:$Q$3209,"&gt;="&amp;$A2299,Data!$Q$10:$Q$3209,"&lt;"&amp;$A2299+1)/$AH2299)))</f>
        <v/>
      </c>
      <c r="I2299" s="54">
        <f>IF($B2299=0,NA(),IF($C2299="",NA(),IF(C$8="",NA(),IF(N(C$8)=0,NA(),IF(Inputs!$C$17="Rebased to 100",$C2299/C$8*100,$C2299)))))</f>
        <v/>
      </c>
      <c r="J2299" s="54">
        <f>IF($B2299=0,NA(),IF($D2299="",NA(),IF(D$8="",NA(),IF(N(D$8)=0,NA(),IF(Inputs!$C$17="Rebased to 100",$D2299/D$8*100,$D2299)))))</f>
        <v/>
      </c>
      <c r="K2299" s="54">
        <f>IF($B2299=0,NA(),IF($E2299="",NA(),IF(E$8="",NA(),IF(N(E$8)=0,NA(),IF(Inputs!$C$17="Rebased to 100",$E2299/E$8*100,$E2299)))))</f>
        <v/>
      </c>
      <c r="L2299" s="54">
        <f>IF($B2299=0,NA(),IF($F2299="",NA(),IF(F$8="",NA(),IF(N(F$8)=0,NA(),IF(Inputs!$C$17="Rebased to 100",$F2299/F$8*100,$F2299)))))</f>
        <v/>
      </c>
      <c r="M2299" s="54">
        <f>IF($B2299=0,NA(),IF($G2299="",NA(),IF(G$8="",NA(),IF(N(G$8)=0,NA(),IF(Inputs!$C$17="Rebased to 100",$G2299/G$8*100,$G2299)))))</f>
        <v/>
      </c>
      <c r="N2299" s="54">
        <f>IF($B2299=0,NA(),IF(Inputs!$C$18&lt;&gt;"Yes",NA(),IF(COUNT(I2299,J2299,K2299,L2299,M2299)=0,NA(),MIN(I2299,J2299,K2299,L2299,M2299))))</f>
        <v/>
      </c>
      <c r="O2299" s="54">
        <f>IF($B2299=0,NA(),IF(Inputs!$B$24&lt;&gt;"Yes",NA(),Inputs!$D$24*Inputs!$C$35))</f>
        <v/>
      </c>
      <c r="P2299" s="54">
        <f>IF($B2299=0,NA(),IF(Inputs!$B$25&lt;&gt;"Yes",NA(),Inputs!$D$25*Inputs!$C$35))</f>
        <v/>
      </c>
      <c r="Q2299" s="54">
        <f>IF($B2299=0,NA(),IF(Inputs!$B$26&lt;&gt;"Yes",NA(),Inputs!$D$26*Inputs!$C$35))</f>
        <v/>
      </c>
      <c r="R2299" s="54">
        <f>IF($B2299=0,NA(),IF(Inputs!$B$27&lt;&gt;"Yes",NA(),Inputs!$D$27*Inputs!$C$35))</f>
        <v/>
      </c>
      <c r="S2299" s="54">
        <f>IF($B2299=0,NA(),IF(Inputs!$B$28&lt;&gt;"Yes",NA(),Inputs!$D$28*Inputs!$C$35))</f>
        <v/>
      </c>
      <c r="T2299" s="54">
        <f>IF($B2299=0,NA(),IF(Inputs!$B$29&lt;&gt;"Yes",NA(),Inputs!$D$29*Inputs!$C$35))</f>
        <v/>
      </c>
      <c r="AD2299">
        <f>IF($B2299=0,0,IF(Inputs!$B$6="",0,COUNTIFS(Data!$A$10:$A$3209,"&gt;="&amp;$A2299,Data!$A$10:$A$3209,"&lt;"&amp;$A2299+1)))</f>
        <v/>
      </c>
      <c r="AE2299">
        <f>IF($B2299=0,0,IF(Inputs!$B$7="",0,COUNTIFS(Data!$E$10:$E$3209,"&gt;="&amp;$A2299,Data!$E$10:$E$3209,"&lt;"&amp;$A2299+1)))</f>
        <v/>
      </c>
      <c r="AF2299">
        <f>IF($B2299=0,0,IF(Inputs!$B$8="",0,COUNTIFS(Data!$I$10:$I$3209,"&gt;="&amp;$A2299,Data!$I$10:$I$3209,"&lt;"&amp;$A2299+1)))</f>
        <v/>
      </c>
      <c r="AG2299">
        <f>IF($B2299=0,0,IF(Inputs!$B$9="",0,COUNTIFS(Data!$M$10:$M$3209,"&gt;="&amp;$A2299,Data!$M$10:$M$3209,"&lt;"&amp;$A2299+1)))</f>
        <v/>
      </c>
      <c r="AH2299">
        <f>IF($B2299=0,0,IF(Inputs!$B$10="",0,COUNTIFS(Data!$Q$10:$Q$3209,"&gt;="&amp;$A2299,Data!$Q$10:$Q$3209,"&lt;"&amp;$A2299+1)))</f>
        <v/>
      </c>
    </row>
    <row r="2300">
      <c r="A2300" s="55">
        <f>MIN(Inputs!$C$15,$A2299+IF(WEEKDAY($A2299,2)=5,3,1))</f>
        <v/>
      </c>
      <c r="B2300">
        <f>IF($A2300&gt;$A2299,1,0)</f>
        <v/>
      </c>
      <c r="C2300" s="56">
        <f>IF($B2300=0,"",IF(Inputs!$B$6="","",IF($AD2300=0,C2299,SUMIFS(Data!$B$10:$B$3209,Data!$A$10:$A$3209,"&gt;="&amp;$A2300,Data!$A$10:$A$3209,"&lt;"&amp;$A2300+1)/$AD2300)))</f>
        <v/>
      </c>
      <c r="D2300" s="56">
        <f>IF($B2300=0,"",IF(Inputs!$B$7="","",IF($AE2300=0,D2299,SUMIFS(Data!$F$10:$F$3209,Data!$E$10:$E$3209,"&gt;="&amp;$A2300,Data!$E$10:$E$3209,"&lt;"&amp;$A2300+1)/$AE2300)))</f>
        <v/>
      </c>
      <c r="E2300" s="56">
        <f>IF($B2300=0,"",IF(Inputs!$B$8="","",IF($AF2300=0,E2299,SUMIFS(Data!$J$10:$J$3209,Data!$I$10:$I$3209,"&gt;="&amp;$A2300,Data!$I$10:$I$3209,"&lt;"&amp;$A2300+1)/$AF2300)))</f>
        <v/>
      </c>
      <c r="F2300" s="56">
        <f>IF($B2300=0,"",IF(Inputs!$B$9="","",IF($AG2300=0,F2299,SUMIFS(Data!$N$10:$N$3209,Data!$M$10:$M$3209,"&gt;="&amp;$A2300,Data!$M$10:$M$3209,"&lt;"&amp;$A2300+1)/$AG2300)))</f>
        <v/>
      </c>
      <c r="G2300" s="56">
        <f>IF($B2300=0,"",IF(Inputs!$B$10="","",IF($AH2300=0,G2299,SUMIFS(Data!$R$10:$R$3209,Data!$Q$10:$Q$3209,"&gt;="&amp;$A2300,Data!$Q$10:$Q$3209,"&lt;"&amp;$A2300+1)/$AH2300)))</f>
        <v/>
      </c>
      <c r="I2300" s="54">
        <f>IF($B2300=0,NA(),IF($C2300="",NA(),IF(C$8="",NA(),IF(N(C$8)=0,NA(),IF(Inputs!$C$17="Rebased to 100",$C2300/C$8*100,$C2300)))))</f>
        <v/>
      </c>
      <c r="J2300" s="54">
        <f>IF($B2300=0,NA(),IF($D2300="",NA(),IF(D$8="",NA(),IF(N(D$8)=0,NA(),IF(Inputs!$C$17="Rebased to 100",$D2300/D$8*100,$D2300)))))</f>
        <v/>
      </c>
      <c r="K2300" s="54">
        <f>IF($B2300=0,NA(),IF($E2300="",NA(),IF(E$8="",NA(),IF(N(E$8)=0,NA(),IF(Inputs!$C$17="Rebased to 100",$E2300/E$8*100,$E2300)))))</f>
        <v/>
      </c>
      <c r="L2300" s="54">
        <f>IF($B2300=0,NA(),IF($F2300="",NA(),IF(F$8="",NA(),IF(N(F$8)=0,NA(),IF(Inputs!$C$17="Rebased to 100",$F2300/F$8*100,$F2300)))))</f>
        <v/>
      </c>
      <c r="M2300" s="54">
        <f>IF($B2300=0,NA(),IF($G2300="",NA(),IF(G$8="",NA(),IF(N(G$8)=0,NA(),IF(Inputs!$C$17="Rebased to 100",$G2300/G$8*100,$G2300)))))</f>
        <v/>
      </c>
      <c r="N2300" s="54">
        <f>IF($B2300=0,NA(),IF(Inputs!$C$18&lt;&gt;"Yes",NA(),IF(COUNT(I2300,J2300,K2300,L2300,M2300)=0,NA(),MIN(I2300,J2300,K2300,L2300,M2300))))</f>
        <v/>
      </c>
      <c r="O2300" s="54">
        <f>IF($B2300=0,NA(),IF(Inputs!$B$24&lt;&gt;"Yes",NA(),Inputs!$D$24*Inputs!$C$35))</f>
        <v/>
      </c>
      <c r="P2300" s="54">
        <f>IF($B2300=0,NA(),IF(Inputs!$B$25&lt;&gt;"Yes",NA(),Inputs!$D$25*Inputs!$C$35))</f>
        <v/>
      </c>
      <c r="Q2300" s="54">
        <f>IF($B2300=0,NA(),IF(Inputs!$B$26&lt;&gt;"Yes",NA(),Inputs!$D$26*Inputs!$C$35))</f>
        <v/>
      </c>
      <c r="R2300" s="54">
        <f>IF($B2300=0,NA(),IF(Inputs!$B$27&lt;&gt;"Yes",NA(),Inputs!$D$27*Inputs!$C$35))</f>
        <v/>
      </c>
      <c r="S2300" s="54">
        <f>IF($B2300=0,NA(),IF(Inputs!$B$28&lt;&gt;"Yes",NA(),Inputs!$D$28*Inputs!$C$35))</f>
        <v/>
      </c>
      <c r="T2300" s="54">
        <f>IF($B2300=0,NA(),IF(Inputs!$B$29&lt;&gt;"Yes",NA(),Inputs!$D$29*Inputs!$C$35))</f>
        <v/>
      </c>
      <c r="AD2300">
        <f>IF($B2300=0,0,IF(Inputs!$B$6="",0,COUNTIFS(Data!$A$10:$A$3209,"&gt;="&amp;$A2300,Data!$A$10:$A$3209,"&lt;"&amp;$A2300+1)))</f>
        <v/>
      </c>
      <c r="AE2300">
        <f>IF($B2300=0,0,IF(Inputs!$B$7="",0,COUNTIFS(Data!$E$10:$E$3209,"&gt;="&amp;$A2300,Data!$E$10:$E$3209,"&lt;"&amp;$A2300+1)))</f>
        <v/>
      </c>
      <c r="AF2300">
        <f>IF($B2300=0,0,IF(Inputs!$B$8="",0,COUNTIFS(Data!$I$10:$I$3209,"&gt;="&amp;$A2300,Data!$I$10:$I$3209,"&lt;"&amp;$A2300+1)))</f>
        <v/>
      </c>
      <c r="AG2300">
        <f>IF($B2300=0,0,IF(Inputs!$B$9="",0,COUNTIFS(Data!$M$10:$M$3209,"&gt;="&amp;$A2300,Data!$M$10:$M$3209,"&lt;"&amp;$A2300+1)))</f>
        <v/>
      </c>
      <c r="AH2300">
        <f>IF($B2300=0,0,IF(Inputs!$B$10="",0,COUNTIFS(Data!$Q$10:$Q$3209,"&gt;="&amp;$A2300,Data!$Q$10:$Q$3209,"&lt;"&amp;$A2300+1)))</f>
        <v/>
      </c>
    </row>
    <row r="2301">
      <c r="A2301" s="55">
        <f>MIN(Inputs!$C$15,$A2300+IF(WEEKDAY($A2300,2)=5,3,1))</f>
        <v/>
      </c>
      <c r="B2301">
        <f>IF($A2301&gt;$A2300,1,0)</f>
        <v/>
      </c>
      <c r="C2301" s="56">
        <f>IF($B2301=0,"",IF(Inputs!$B$6="","",IF($AD2301=0,C2300,SUMIFS(Data!$B$10:$B$3209,Data!$A$10:$A$3209,"&gt;="&amp;$A2301,Data!$A$10:$A$3209,"&lt;"&amp;$A2301+1)/$AD2301)))</f>
        <v/>
      </c>
      <c r="D2301" s="56">
        <f>IF($B2301=0,"",IF(Inputs!$B$7="","",IF($AE2301=0,D2300,SUMIFS(Data!$F$10:$F$3209,Data!$E$10:$E$3209,"&gt;="&amp;$A2301,Data!$E$10:$E$3209,"&lt;"&amp;$A2301+1)/$AE2301)))</f>
        <v/>
      </c>
      <c r="E2301" s="56">
        <f>IF($B2301=0,"",IF(Inputs!$B$8="","",IF($AF2301=0,E2300,SUMIFS(Data!$J$10:$J$3209,Data!$I$10:$I$3209,"&gt;="&amp;$A2301,Data!$I$10:$I$3209,"&lt;"&amp;$A2301+1)/$AF2301)))</f>
        <v/>
      </c>
      <c r="F2301" s="56">
        <f>IF($B2301=0,"",IF(Inputs!$B$9="","",IF($AG2301=0,F2300,SUMIFS(Data!$N$10:$N$3209,Data!$M$10:$M$3209,"&gt;="&amp;$A2301,Data!$M$10:$M$3209,"&lt;"&amp;$A2301+1)/$AG2301)))</f>
        <v/>
      </c>
      <c r="G2301" s="56">
        <f>IF($B2301=0,"",IF(Inputs!$B$10="","",IF($AH2301=0,G2300,SUMIFS(Data!$R$10:$R$3209,Data!$Q$10:$Q$3209,"&gt;="&amp;$A2301,Data!$Q$10:$Q$3209,"&lt;"&amp;$A2301+1)/$AH2301)))</f>
        <v/>
      </c>
      <c r="I2301" s="54">
        <f>IF($B2301=0,NA(),IF($C2301="",NA(),IF(C$8="",NA(),IF(N(C$8)=0,NA(),IF(Inputs!$C$17="Rebased to 100",$C2301/C$8*100,$C2301)))))</f>
        <v/>
      </c>
      <c r="J2301" s="54">
        <f>IF($B2301=0,NA(),IF($D2301="",NA(),IF(D$8="",NA(),IF(N(D$8)=0,NA(),IF(Inputs!$C$17="Rebased to 100",$D2301/D$8*100,$D2301)))))</f>
        <v/>
      </c>
      <c r="K2301" s="54">
        <f>IF($B2301=0,NA(),IF($E2301="",NA(),IF(E$8="",NA(),IF(N(E$8)=0,NA(),IF(Inputs!$C$17="Rebased to 100",$E2301/E$8*100,$E2301)))))</f>
        <v/>
      </c>
      <c r="L2301" s="54">
        <f>IF($B2301=0,NA(),IF($F2301="",NA(),IF(F$8="",NA(),IF(N(F$8)=0,NA(),IF(Inputs!$C$17="Rebased to 100",$F2301/F$8*100,$F2301)))))</f>
        <v/>
      </c>
      <c r="M2301" s="54">
        <f>IF($B2301=0,NA(),IF($G2301="",NA(),IF(G$8="",NA(),IF(N(G$8)=0,NA(),IF(Inputs!$C$17="Rebased to 100",$G2301/G$8*100,$G2301)))))</f>
        <v/>
      </c>
      <c r="N2301" s="54">
        <f>IF($B2301=0,NA(),IF(Inputs!$C$18&lt;&gt;"Yes",NA(),IF(COUNT(I2301,J2301,K2301,L2301,M2301)=0,NA(),MIN(I2301,J2301,K2301,L2301,M2301))))</f>
        <v/>
      </c>
      <c r="O2301" s="54">
        <f>IF($B2301=0,NA(),IF(Inputs!$B$24&lt;&gt;"Yes",NA(),Inputs!$D$24*Inputs!$C$35))</f>
        <v/>
      </c>
      <c r="P2301" s="54">
        <f>IF($B2301=0,NA(),IF(Inputs!$B$25&lt;&gt;"Yes",NA(),Inputs!$D$25*Inputs!$C$35))</f>
        <v/>
      </c>
      <c r="Q2301" s="54">
        <f>IF($B2301=0,NA(),IF(Inputs!$B$26&lt;&gt;"Yes",NA(),Inputs!$D$26*Inputs!$C$35))</f>
        <v/>
      </c>
      <c r="R2301" s="54">
        <f>IF($B2301=0,NA(),IF(Inputs!$B$27&lt;&gt;"Yes",NA(),Inputs!$D$27*Inputs!$C$35))</f>
        <v/>
      </c>
      <c r="S2301" s="54">
        <f>IF($B2301=0,NA(),IF(Inputs!$B$28&lt;&gt;"Yes",NA(),Inputs!$D$28*Inputs!$C$35))</f>
        <v/>
      </c>
      <c r="T2301" s="54">
        <f>IF($B2301=0,NA(),IF(Inputs!$B$29&lt;&gt;"Yes",NA(),Inputs!$D$29*Inputs!$C$35))</f>
        <v/>
      </c>
      <c r="AD2301">
        <f>IF($B2301=0,0,IF(Inputs!$B$6="",0,COUNTIFS(Data!$A$10:$A$3209,"&gt;="&amp;$A2301,Data!$A$10:$A$3209,"&lt;"&amp;$A2301+1)))</f>
        <v/>
      </c>
      <c r="AE2301">
        <f>IF($B2301=0,0,IF(Inputs!$B$7="",0,COUNTIFS(Data!$E$10:$E$3209,"&gt;="&amp;$A2301,Data!$E$10:$E$3209,"&lt;"&amp;$A2301+1)))</f>
        <v/>
      </c>
      <c r="AF2301">
        <f>IF($B2301=0,0,IF(Inputs!$B$8="",0,COUNTIFS(Data!$I$10:$I$3209,"&gt;="&amp;$A2301,Data!$I$10:$I$3209,"&lt;"&amp;$A2301+1)))</f>
        <v/>
      </c>
      <c r="AG2301">
        <f>IF($B2301=0,0,IF(Inputs!$B$9="",0,COUNTIFS(Data!$M$10:$M$3209,"&gt;="&amp;$A2301,Data!$M$10:$M$3209,"&lt;"&amp;$A2301+1)))</f>
        <v/>
      </c>
      <c r="AH2301">
        <f>IF($B2301=0,0,IF(Inputs!$B$10="",0,COUNTIFS(Data!$Q$10:$Q$3209,"&gt;="&amp;$A2301,Data!$Q$10:$Q$3209,"&lt;"&amp;$A2301+1)))</f>
        <v/>
      </c>
    </row>
    <row r="2302">
      <c r="A2302" s="55">
        <f>MIN(Inputs!$C$15,$A2301+IF(WEEKDAY($A2301,2)=5,3,1))</f>
        <v/>
      </c>
      <c r="B2302">
        <f>IF($A2302&gt;$A2301,1,0)</f>
        <v/>
      </c>
      <c r="C2302" s="56">
        <f>IF($B2302=0,"",IF(Inputs!$B$6="","",IF($AD2302=0,C2301,SUMIFS(Data!$B$10:$B$3209,Data!$A$10:$A$3209,"&gt;="&amp;$A2302,Data!$A$10:$A$3209,"&lt;"&amp;$A2302+1)/$AD2302)))</f>
        <v/>
      </c>
      <c r="D2302" s="56">
        <f>IF($B2302=0,"",IF(Inputs!$B$7="","",IF($AE2302=0,D2301,SUMIFS(Data!$F$10:$F$3209,Data!$E$10:$E$3209,"&gt;="&amp;$A2302,Data!$E$10:$E$3209,"&lt;"&amp;$A2302+1)/$AE2302)))</f>
        <v/>
      </c>
      <c r="E2302" s="56">
        <f>IF($B2302=0,"",IF(Inputs!$B$8="","",IF($AF2302=0,E2301,SUMIFS(Data!$J$10:$J$3209,Data!$I$10:$I$3209,"&gt;="&amp;$A2302,Data!$I$10:$I$3209,"&lt;"&amp;$A2302+1)/$AF2302)))</f>
        <v/>
      </c>
      <c r="F2302" s="56">
        <f>IF($B2302=0,"",IF(Inputs!$B$9="","",IF($AG2302=0,F2301,SUMIFS(Data!$N$10:$N$3209,Data!$M$10:$M$3209,"&gt;="&amp;$A2302,Data!$M$10:$M$3209,"&lt;"&amp;$A2302+1)/$AG2302)))</f>
        <v/>
      </c>
      <c r="G2302" s="56">
        <f>IF($B2302=0,"",IF(Inputs!$B$10="","",IF($AH2302=0,G2301,SUMIFS(Data!$R$10:$R$3209,Data!$Q$10:$Q$3209,"&gt;="&amp;$A2302,Data!$Q$10:$Q$3209,"&lt;"&amp;$A2302+1)/$AH2302)))</f>
        <v/>
      </c>
      <c r="I2302" s="54">
        <f>IF($B2302=0,NA(),IF($C2302="",NA(),IF(C$8="",NA(),IF(N(C$8)=0,NA(),IF(Inputs!$C$17="Rebased to 100",$C2302/C$8*100,$C2302)))))</f>
        <v/>
      </c>
      <c r="J2302" s="54">
        <f>IF($B2302=0,NA(),IF($D2302="",NA(),IF(D$8="",NA(),IF(N(D$8)=0,NA(),IF(Inputs!$C$17="Rebased to 100",$D2302/D$8*100,$D2302)))))</f>
        <v/>
      </c>
      <c r="K2302" s="54">
        <f>IF($B2302=0,NA(),IF($E2302="",NA(),IF(E$8="",NA(),IF(N(E$8)=0,NA(),IF(Inputs!$C$17="Rebased to 100",$E2302/E$8*100,$E2302)))))</f>
        <v/>
      </c>
      <c r="L2302" s="54">
        <f>IF($B2302=0,NA(),IF($F2302="",NA(),IF(F$8="",NA(),IF(N(F$8)=0,NA(),IF(Inputs!$C$17="Rebased to 100",$F2302/F$8*100,$F2302)))))</f>
        <v/>
      </c>
      <c r="M2302" s="54">
        <f>IF($B2302=0,NA(),IF($G2302="",NA(),IF(G$8="",NA(),IF(N(G$8)=0,NA(),IF(Inputs!$C$17="Rebased to 100",$G2302/G$8*100,$G2302)))))</f>
        <v/>
      </c>
      <c r="N2302" s="54">
        <f>IF($B2302=0,NA(),IF(Inputs!$C$18&lt;&gt;"Yes",NA(),IF(COUNT(I2302,J2302,K2302,L2302,M2302)=0,NA(),MIN(I2302,J2302,K2302,L2302,M2302))))</f>
        <v/>
      </c>
      <c r="O2302" s="54">
        <f>IF($B2302=0,NA(),IF(Inputs!$B$24&lt;&gt;"Yes",NA(),Inputs!$D$24*Inputs!$C$35))</f>
        <v/>
      </c>
      <c r="P2302" s="54">
        <f>IF($B2302=0,NA(),IF(Inputs!$B$25&lt;&gt;"Yes",NA(),Inputs!$D$25*Inputs!$C$35))</f>
        <v/>
      </c>
      <c r="Q2302" s="54">
        <f>IF($B2302=0,NA(),IF(Inputs!$B$26&lt;&gt;"Yes",NA(),Inputs!$D$26*Inputs!$C$35))</f>
        <v/>
      </c>
      <c r="R2302" s="54">
        <f>IF($B2302=0,NA(),IF(Inputs!$B$27&lt;&gt;"Yes",NA(),Inputs!$D$27*Inputs!$C$35))</f>
        <v/>
      </c>
      <c r="S2302" s="54">
        <f>IF($B2302=0,NA(),IF(Inputs!$B$28&lt;&gt;"Yes",NA(),Inputs!$D$28*Inputs!$C$35))</f>
        <v/>
      </c>
      <c r="T2302" s="54">
        <f>IF($B2302=0,NA(),IF(Inputs!$B$29&lt;&gt;"Yes",NA(),Inputs!$D$29*Inputs!$C$35))</f>
        <v/>
      </c>
      <c r="AD2302">
        <f>IF($B2302=0,0,IF(Inputs!$B$6="",0,COUNTIFS(Data!$A$10:$A$3209,"&gt;="&amp;$A2302,Data!$A$10:$A$3209,"&lt;"&amp;$A2302+1)))</f>
        <v/>
      </c>
      <c r="AE2302">
        <f>IF($B2302=0,0,IF(Inputs!$B$7="",0,COUNTIFS(Data!$E$10:$E$3209,"&gt;="&amp;$A2302,Data!$E$10:$E$3209,"&lt;"&amp;$A2302+1)))</f>
        <v/>
      </c>
      <c r="AF2302">
        <f>IF($B2302=0,0,IF(Inputs!$B$8="",0,COUNTIFS(Data!$I$10:$I$3209,"&gt;="&amp;$A2302,Data!$I$10:$I$3209,"&lt;"&amp;$A2302+1)))</f>
        <v/>
      </c>
      <c r="AG2302">
        <f>IF($B2302=0,0,IF(Inputs!$B$9="",0,COUNTIFS(Data!$M$10:$M$3209,"&gt;="&amp;$A2302,Data!$M$10:$M$3209,"&lt;"&amp;$A2302+1)))</f>
        <v/>
      </c>
      <c r="AH2302">
        <f>IF($B2302=0,0,IF(Inputs!$B$10="",0,COUNTIFS(Data!$Q$10:$Q$3209,"&gt;="&amp;$A2302,Data!$Q$10:$Q$3209,"&lt;"&amp;$A2302+1)))</f>
        <v/>
      </c>
    </row>
    <row r="2303">
      <c r="A2303" s="55">
        <f>MIN(Inputs!$C$15,$A2302+IF(WEEKDAY($A2302,2)=5,3,1))</f>
        <v/>
      </c>
      <c r="B2303">
        <f>IF($A2303&gt;$A2302,1,0)</f>
        <v/>
      </c>
      <c r="C2303" s="56">
        <f>IF($B2303=0,"",IF(Inputs!$B$6="","",IF($AD2303=0,C2302,SUMIFS(Data!$B$10:$B$3209,Data!$A$10:$A$3209,"&gt;="&amp;$A2303,Data!$A$10:$A$3209,"&lt;"&amp;$A2303+1)/$AD2303)))</f>
        <v/>
      </c>
      <c r="D2303" s="56">
        <f>IF($B2303=0,"",IF(Inputs!$B$7="","",IF($AE2303=0,D2302,SUMIFS(Data!$F$10:$F$3209,Data!$E$10:$E$3209,"&gt;="&amp;$A2303,Data!$E$10:$E$3209,"&lt;"&amp;$A2303+1)/$AE2303)))</f>
        <v/>
      </c>
      <c r="E2303" s="56">
        <f>IF($B2303=0,"",IF(Inputs!$B$8="","",IF($AF2303=0,E2302,SUMIFS(Data!$J$10:$J$3209,Data!$I$10:$I$3209,"&gt;="&amp;$A2303,Data!$I$10:$I$3209,"&lt;"&amp;$A2303+1)/$AF2303)))</f>
        <v/>
      </c>
      <c r="F2303" s="56">
        <f>IF($B2303=0,"",IF(Inputs!$B$9="","",IF($AG2303=0,F2302,SUMIFS(Data!$N$10:$N$3209,Data!$M$10:$M$3209,"&gt;="&amp;$A2303,Data!$M$10:$M$3209,"&lt;"&amp;$A2303+1)/$AG2303)))</f>
        <v/>
      </c>
      <c r="G2303" s="56">
        <f>IF($B2303=0,"",IF(Inputs!$B$10="","",IF($AH2303=0,G2302,SUMIFS(Data!$R$10:$R$3209,Data!$Q$10:$Q$3209,"&gt;="&amp;$A2303,Data!$Q$10:$Q$3209,"&lt;"&amp;$A2303+1)/$AH2303)))</f>
        <v/>
      </c>
      <c r="I2303" s="54">
        <f>IF($B2303=0,NA(),IF($C2303="",NA(),IF(C$8="",NA(),IF(N(C$8)=0,NA(),IF(Inputs!$C$17="Rebased to 100",$C2303/C$8*100,$C2303)))))</f>
        <v/>
      </c>
      <c r="J2303" s="54">
        <f>IF($B2303=0,NA(),IF($D2303="",NA(),IF(D$8="",NA(),IF(N(D$8)=0,NA(),IF(Inputs!$C$17="Rebased to 100",$D2303/D$8*100,$D2303)))))</f>
        <v/>
      </c>
      <c r="K2303" s="54">
        <f>IF($B2303=0,NA(),IF($E2303="",NA(),IF(E$8="",NA(),IF(N(E$8)=0,NA(),IF(Inputs!$C$17="Rebased to 100",$E2303/E$8*100,$E2303)))))</f>
        <v/>
      </c>
      <c r="L2303" s="54">
        <f>IF($B2303=0,NA(),IF($F2303="",NA(),IF(F$8="",NA(),IF(N(F$8)=0,NA(),IF(Inputs!$C$17="Rebased to 100",$F2303/F$8*100,$F2303)))))</f>
        <v/>
      </c>
      <c r="M2303" s="54">
        <f>IF($B2303=0,NA(),IF($G2303="",NA(),IF(G$8="",NA(),IF(N(G$8)=0,NA(),IF(Inputs!$C$17="Rebased to 100",$G2303/G$8*100,$G2303)))))</f>
        <v/>
      </c>
      <c r="N2303" s="54">
        <f>IF($B2303=0,NA(),IF(Inputs!$C$18&lt;&gt;"Yes",NA(),IF(COUNT(I2303,J2303,K2303,L2303,M2303)=0,NA(),MIN(I2303,J2303,K2303,L2303,M2303))))</f>
        <v/>
      </c>
      <c r="O2303" s="54">
        <f>IF($B2303=0,NA(),IF(Inputs!$B$24&lt;&gt;"Yes",NA(),Inputs!$D$24*Inputs!$C$35))</f>
        <v/>
      </c>
      <c r="P2303" s="54">
        <f>IF($B2303=0,NA(),IF(Inputs!$B$25&lt;&gt;"Yes",NA(),Inputs!$D$25*Inputs!$C$35))</f>
        <v/>
      </c>
      <c r="Q2303" s="54">
        <f>IF($B2303=0,NA(),IF(Inputs!$B$26&lt;&gt;"Yes",NA(),Inputs!$D$26*Inputs!$C$35))</f>
        <v/>
      </c>
      <c r="R2303" s="54">
        <f>IF($B2303=0,NA(),IF(Inputs!$B$27&lt;&gt;"Yes",NA(),Inputs!$D$27*Inputs!$C$35))</f>
        <v/>
      </c>
      <c r="S2303" s="54">
        <f>IF($B2303=0,NA(),IF(Inputs!$B$28&lt;&gt;"Yes",NA(),Inputs!$D$28*Inputs!$C$35))</f>
        <v/>
      </c>
      <c r="T2303" s="54">
        <f>IF($B2303=0,NA(),IF(Inputs!$B$29&lt;&gt;"Yes",NA(),Inputs!$D$29*Inputs!$C$35))</f>
        <v/>
      </c>
      <c r="AD2303">
        <f>IF($B2303=0,0,IF(Inputs!$B$6="",0,COUNTIFS(Data!$A$10:$A$3209,"&gt;="&amp;$A2303,Data!$A$10:$A$3209,"&lt;"&amp;$A2303+1)))</f>
        <v/>
      </c>
      <c r="AE2303">
        <f>IF($B2303=0,0,IF(Inputs!$B$7="",0,COUNTIFS(Data!$E$10:$E$3209,"&gt;="&amp;$A2303,Data!$E$10:$E$3209,"&lt;"&amp;$A2303+1)))</f>
        <v/>
      </c>
      <c r="AF2303">
        <f>IF($B2303=0,0,IF(Inputs!$B$8="",0,COUNTIFS(Data!$I$10:$I$3209,"&gt;="&amp;$A2303,Data!$I$10:$I$3209,"&lt;"&amp;$A2303+1)))</f>
        <v/>
      </c>
      <c r="AG2303">
        <f>IF($B2303=0,0,IF(Inputs!$B$9="",0,COUNTIFS(Data!$M$10:$M$3209,"&gt;="&amp;$A2303,Data!$M$10:$M$3209,"&lt;"&amp;$A2303+1)))</f>
        <v/>
      </c>
      <c r="AH2303">
        <f>IF($B2303=0,0,IF(Inputs!$B$10="",0,COUNTIFS(Data!$Q$10:$Q$3209,"&gt;="&amp;$A2303,Data!$Q$10:$Q$3209,"&lt;"&amp;$A2303+1)))</f>
        <v/>
      </c>
    </row>
    <row r="2304">
      <c r="A2304" s="55">
        <f>MIN(Inputs!$C$15,$A2303+IF(WEEKDAY($A2303,2)=5,3,1))</f>
        <v/>
      </c>
      <c r="B2304">
        <f>IF($A2304&gt;$A2303,1,0)</f>
        <v/>
      </c>
      <c r="C2304" s="56">
        <f>IF($B2304=0,"",IF(Inputs!$B$6="","",IF($AD2304=0,C2303,SUMIFS(Data!$B$10:$B$3209,Data!$A$10:$A$3209,"&gt;="&amp;$A2304,Data!$A$10:$A$3209,"&lt;"&amp;$A2304+1)/$AD2304)))</f>
        <v/>
      </c>
      <c r="D2304" s="56">
        <f>IF($B2304=0,"",IF(Inputs!$B$7="","",IF($AE2304=0,D2303,SUMIFS(Data!$F$10:$F$3209,Data!$E$10:$E$3209,"&gt;="&amp;$A2304,Data!$E$10:$E$3209,"&lt;"&amp;$A2304+1)/$AE2304)))</f>
        <v/>
      </c>
      <c r="E2304" s="56">
        <f>IF($B2304=0,"",IF(Inputs!$B$8="","",IF($AF2304=0,E2303,SUMIFS(Data!$J$10:$J$3209,Data!$I$10:$I$3209,"&gt;="&amp;$A2304,Data!$I$10:$I$3209,"&lt;"&amp;$A2304+1)/$AF2304)))</f>
        <v/>
      </c>
      <c r="F2304" s="56">
        <f>IF($B2304=0,"",IF(Inputs!$B$9="","",IF($AG2304=0,F2303,SUMIFS(Data!$N$10:$N$3209,Data!$M$10:$M$3209,"&gt;="&amp;$A2304,Data!$M$10:$M$3209,"&lt;"&amp;$A2304+1)/$AG2304)))</f>
        <v/>
      </c>
      <c r="G2304" s="56">
        <f>IF($B2304=0,"",IF(Inputs!$B$10="","",IF($AH2304=0,G2303,SUMIFS(Data!$R$10:$R$3209,Data!$Q$10:$Q$3209,"&gt;="&amp;$A2304,Data!$Q$10:$Q$3209,"&lt;"&amp;$A2304+1)/$AH2304)))</f>
        <v/>
      </c>
      <c r="I2304" s="54">
        <f>IF($B2304=0,NA(),IF($C2304="",NA(),IF(C$8="",NA(),IF(N(C$8)=0,NA(),IF(Inputs!$C$17="Rebased to 100",$C2304/C$8*100,$C2304)))))</f>
        <v/>
      </c>
      <c r="J2304" s="54">
        <f>IF($B2304=0,NA(),IF($D2304="",NA(),IF(D$8="",NA(),IF(N(D$8)=0,NA(),IF(Inputs!$C$17="Rebased to 100",$D2304/D$8*100,$D2304)))))</f>
        <v/>
      </c>
      <c r="K2304" s="54">
        <f>IF($B2304=0,NA(),IF($E2304="",NA(),IF(E$8="",NA(),IF(N(E$8)=0,NA(),IF(Inputs!$C$17="Rebased to 100",$E2304/E$8*100,$E2304)))))</f>
        <v/>
      </c>
      <c r="L2304" s="54">
        <f>IF($B2304=0,NA(),IF($F2304="",NA(),IF(F$8="",NA(),IF(N(F$8)=0,NA(),IF(Inputs!$C$17="Rebased to 100",$F2304/F$8*100,$F2304)))))</f>
        <v/>
      </c>
      <c r="M2304" s="54">
        <f>IF($B2304=0,NA(),IF($G2304="",NA(),IF(G$8="",NA(),IF(N(G$8)=0,NA(),IF(Inputs!$C$17="Rebased to 100",$G2304/G$8*100,$G2304)))))</f>
        <v/>
      </c>
      <c r="N2304" s="54">
        <f>IF($B2304=0,NA(),IF(Inputs!$C$18&lt;&gt;"Yes",NA(),IF(COUNT(I2304,J2304,K2304,L2304,M2304)=0,NA(),MIN(I2304,J2304,K2304,L2304,M2304))))</f>
        <v/>
      </c>
      <c r="O2304" s="54">
        <f>IF($B2304=0,NA(),IF(Inputs!$B$24&lt;&gt;"Yes",NA(),Inputs!$D$24*Inputs!$C$35))</f>
        <v/>
      </c>
      <c r="P2304" s="54">
        <f>IF($B2304=0,NA(),IF(Inputs!$B$25&lt;&gt;"Yes",NA(),Inputs!$D$25*Inputs!$C$35))</f>
        <v/>
      </c>
      <c r="Q2304" s="54">
        <f>IF($B2304=0,NA(),IF(Inputs!$B$26&lt;&gt;"Yes",NA(),Inputs!$D$26*Inputs!$C$35))</f>
        <v/>
      </c>
      <c r="R2304" s="54">
        <f>IF($B2304=0,NA(),IF(Inputs!$B$27&lt;&gt;"Yes",NA(),Inputs!$D$27*Inputs!$C$35))</f>
        <v/>
      </c>
      <c r="S2304" s="54">
        <f>IF($B2304=0,NA(),IF(Inputs!$B$28&lt;&gt;"Yes",NA(),Inputs!$D$28*Inputs!$C$35))</f>
        <v/>
      </c>
      <c r="T2304" s="54">
        <f>IF($B2304=0,NA(),IF(Inputs!$B$29&lt;&gt;"Yes",NA(),Inputs!$D$29*Inputs!$C$35))</f>
        <v/>
      </c>
      <c r="AD2304">
        <f>IF($B2304=0,0,IF(Inputs!$B$6="",0,COUNTIFS(Data!$A$10:$A$3209,"&gt;="&amp;$A2304,Data!$A$10:$A$3209,"&lt;"&amp;$A2304+1)))</f>
        <v/>
      </c>
      <c r="AE2304">
        <f>IF($B2304=0,0,IF(Inputs!$B$7="",0,COUNTIFS(Data!$E$10:$E$3209,"&gt;="&amp;$A2304,Data!$E$10:$E$3209,"&lt;"&amp;$A2304+1)))</f>
        <v/>
      </c>
      <c r="AF2304">
        <f>IF($B2304=0,0,IF(Inputs!$B$8="",0,COUNTIFS(Data!$I$10:$I$3209,"&gt;="&amp;$A2304,Data!$I$10:$I$3209,"&lt;"&amp;$A2304+1)))</f>
        <v/>
      </c>
      <c r="AG2304">
        <f>IF($B2304=0,0,IF(Inputs!$B$9="",0,COUNTIFS(Data!$M$10:$M$3209,"&gt;="&amp;$A2304,Data!$M$10:$M$3209,"&lt;"&amp;$A2304+1)))</f>
        <v/>
      </c>
      <c r="AH2304">
        <f>IF($B2304=0,0,IF(Inputs!$B$10="",0,COUNTIFS(Data!$Q$10:$Q$3209,"&gt;="&amp;$A2304,Data!$Q$10:$Q$3209,"&lt;"&amp;$A2304+1)))</f>
        <v/>
      </c>
    </row>
    <row r="2305">
      <c r="A2305" s="55">
        <f>MIN(Inputs!$C$15,$A2304+IF(WEEKDAY($A2304,2)=5,3,1))</f>
        <v/>
      </c>
      <c r="B2305">
        <f>IF($A2305&gt;$A2304,1,0)</f>
        <v/>
      </c>
      <c r="C2305" s="56">
        <f>IF($B2305=0,"",IF(Inputs!$B$6="","",IF($AD2305=0,C2304,SUMIFS(Data!$B$10:$B$3209,Data!$A$10:$A$3209,"&gt;="&amp;$A2305,Data!$A$10:$A$3209,"&lt;"&amp;$A2305+1)/$AD2305)))</f>
        <v/>
      </c>
      <c r="D2305" s="56">
        <f>IF($B2305=0,"",IF(Inputs!$B$7="","",IF($AE2305=0,D2304,SUMIFS(Data!$F$10:$F$3209,Data!$E$10:$E$3209,"&gt;="&amp;$A2305,Data!$E$10:$E$3209,"&lt;"&amp;$A2305+1)/$AE2305)))</f>
        <v/>
      </c>
      <c r="E2305" s="56">
        <f>IF($B2305=0,"",IF(Inputs!$B$8="","",IF($AF2305=0,E2304,SUMIFS(Data!$J$10:$J$3209,Data!$I$10:$I$3209,"&gt;="&amp;$A2305,Data!$I$10:$I$3209,"&lt;"&amp;$A2305+1)/$AF2305)))</f>
        <v/>
      </c>
      <c r="F2305" s="56">
        <f>IF($B2305=0,"",IF(Inputs!$B$9="","",IF($AG2305=0,F2304,SUMIFS(Data!$N$10:$N$3209,Data!$M$10:$M$3209,"&gt;="&amp;$A2305,Data!$M$10:$M$3209,"&lt;"&amp;$A2305+1)/$AG2305)))</f>
        <v/>
      </c>
      <c r="G2305" s="56">
        <f>IF($B2305=0,"",IF(Inputs!$B$10="","",IF($AH2305=0,G2304,SUMIFS(Data!$R$10:$R$3209,Data!$Q$10:$Q$3209,"&gt;="&amp;$A2305,Data!$Q$10:$Q$3209,"&lt;"&amp;$A2305+1)/$AH2305)))</f>
        <v/>
      </c>
      <c r="I2305" s="54">
        <f>IF($B2305=0,NA(),IF($C2305="",NA(),IF(C$8="",NA(),IF(N(C$8)=0,NA(),IF(Inputs!$C$17="Rebased to 100",$C2305/C$8*100,$C2305)))))</f>
        <v/>
      </c>
      <c r="J2305" s="54">
        <f>IF($B2305=0,NA(),IF($D2305="",NA(),IF(D$8="",NA(),IF(N(D$8)=0,NA(),IF(Inputs!$C$17="Rebased to 100",$D2305/D$8*100,$D2305)))))</f>
        <v/>
      </c>
      <c r="K2305" s="54">
        <f>IF($B2305=0,NA(),IF($E2305="",NA(),IF(E$8="",NA(),IF(N(E$8)=0,NA(),IF(Inputs!$C$17="Rebased to 100",$E2305/E$8*100,$E2305)))))</f>
        <v/>
      </c>
      <c r="L2305" s="54">
        <f>IF($B2305=0,NA(),IF($F2305="",NA(),IF(F$8="",NA(),IF(N(F$8)=0,NA(),IF(Inputs!$C$17="Rebased to 100",$F2305/F$8*100,$F2305)))))</f>
        <v/>
      </c>
      <c r="M2305" s="54">
        <f>IF($B2305=0,NA(),IF($G2305="",NA(),IF(G$8="",NA(),IF(N(G$8)=0,NA(),IF(Inputs!$C$17="Rebased to 100",$G2305/G$8*100,$G2305)))))</f>
        <v/>
      </c>
      <c r="N2305" s="54">
        <f>IF($B2305=0,NA(),IF(Inputs!$C$18&lt;&gt;"Yes",NA(),IF(COUNT(I2305,J2305,K2305,L2305,M2305)=0,NA(),MIN(I2305,J2305,K2305,L2305,M2305))))</f>
        <v/>
      </c>
      <c r="O2305" s="54">
        <f>IF($B2305=0,NA(),IF(Inputs!$B$24&lt;&gt;"Yes",NA(),Inputs!$D$24*Inputs!$C$35))</f>
        <v/>
      </c>
      <c r="P2305" s="54">
        <f>IF($B2305=0,NA(),IF(Inputs!$B$25&lt;&gt;"Yes",NA(),Inputs!$D$25*Inputs!$C$35))</f>
        <v/>
      </c>
      <c r="Q2305" s="54">
        <f>IF($B2305=0,NA(),IF(Inputs!$B$26&lt;&gt;"Yes",NA(),Inputs!$D$26*Inputs!$C$35))</f>
        <v/>
      </c>
      <c r="R2305" s="54">
        <f>IF($B2305=0,NA(),IF(Inputs!$B$27&lt;&gt;"Yes",NA(),Inputs!$D$27*Inputs!$C$35))</f>
        <v/>
      </c>
      <c r="S2305" s="54">
        <f>IF($B2305=0,NA(),IF(Inputs!$B$28&lt;&gt;"Yes",NA(),Inputs!$D$28*Inputs!$C$35))</f>
        <v/>
      </c>
      <c r="T2305" s="54">
        <f>IF($B2305=0,NA(),IF(Inputs!$B$29&lt;&gt;"Yes",NA(),Inputs!$D$29*Inputs!$C$35))</f>
        <v/>
      </c>
      <c r="AD2305">
        <f>IF($B2305=0,0,IF(Inputs!$B$6="",0,COUNTIFS(Data!$A$10:$A$3209,"&gt;="&amp;$A2305,Data!$A$10:$A$3209,"&lt;"&amp;$A2305+1)))</f>
        <v/>
      </c>
      <c r="AE2305">
        <f>IF($B2305=0,0,IF(Inputs!$B$7="",0,COUNTIFS(Data!$E$10:$E$3209,"&gt;="&amp;$A2305,Data!$E$10:$E$3209,"&lt;"&amp;$A2305+1)))</f>
        <v/>
      </c>
      <c r="AF2305">
        <f>IF($B2305=0,0,IF(Inputs!$B$8="",0,COUNTIFS(Data!$I$10:$I$3209,"&gt;="&amp;$A2305,Data!$I$10:$I$3209,"&lt;"&amp;$A2305+1)))</f>
        <v/>
      </c>
      <c r="AG2305">
        <f>IF($B2305=0,0,IF(Inputs!$B$9="",0,COUNTIFS(Data!$M$10:$M$3209,"&gt;="&amp;$A2305,Data!$M$10:$M$3209,"&lt;"&amp;$A2305+1)))</f>
        <v/>
      </c>
      <c r="AH2305">
        <f>IF($B2305=0,0,IF(Inputs!$B$10="",0,COUNTIFS(Data!$Q$10:$Q$3209,"&gt;="&amp;$A2305,Data!$Q$10:$Q$3209,"&lt;"&amp;$A2305+1)))</f>
        <v/>
      </c>
    </row>
    <row r="2306">
      <c r="A2306" s="55">
        <f>MIN(Inputs!$C$15,$A2305+IF(WEEKDAY($A2305,2)=5,3,1))</f>
        <v/>
      </c>
      <c r="B2306">
        <f>IF($A2306&gt;$A2305,1,0)</f>
        <v/>
      </c>
      <c r="C2306" s="56">
        <f>IF($B2306=0,"",IF(Inputs!$B$6="","",IF($AD2306=0,C2305,SUMIFS(Data!$B$10:$B$3209,Data!$A$10:$A$3209,"&gt;="&amp;$A2306,Data!$A$10:$A$3209,"&lt;"&amp;$A2306+1)/$AD2306)))</f>
        <v/>
      </c>
      <c r="D2306" s="56">
        <f>IF($B2306=0,"",IF(Inputs!$B$7="","",IF($AE2306=0,D2305,SUMIFS(Data!$F$10:$F$3209,Data!$E$10:$E$3209,"&gt;="&amp;$A2306,Data!$E$10:$E$3209,"&lt;"&amp;$A2306+1)/$AE2306)))</f>
        <v/>
      </c>
      <c r="E2306" s="56">
        <f>IF($B2306=0,"",IF(Inputs!$B$8="","",IF($AF2306=0,E2305,SUMIFS(Data!$J$10:$J$3209,Data!$I$10:$I$3209,"&gt;="&amp;$A2306,Data!$I$10:$I$3209,"&lt;"&amp;$A2306+1)/$AF2306)))</f>
        <v/>
      </c>
      <c r="F2306" s="56">
        <f>IF($B2306=0,"",IF(Inputs!$B$9="","",IF($AG2306=0,F2305,SUMIFS(Data!$N$10:$N$3209,Data!$M$10:$M$3209,"&gt;="&amp;$A2306,Data!$M$10:$M$3209,"&lt;"&amp;$A2306+1)/$AG2306)))</f>
        <v/>
      </c>
      <c r="G2306" s="56">
        <f>IF($B2306=0,"",IF(Inputs!$B$10="","",IF($AH2306=0,G2305,SUMIFS(Data!$R$10:$R$3209,Data!$Q$10:$Q$3209,"&gt;="&amp;$A2306,Data!$Q$10:$Q$3209,"&lt;"&amp;$A2306+1)/$AH2306)))</f>
        <v/>
      </c>
      <c r="I2306" s="54">
        <f>IF($B2306=0,NA(),IF($C2306="",NA(),IF(C$8="",NA(),IF(N(C$8)=0,NA(),IF(Inputs!$C$17="Rebased to 100",$C2306/C$8*100,$C2306)))))</f>
        <v/>
      </c>
      <c r="J2306" s="54">
        <f>IF($B2306=0,NA(),IF($D2306="",NA(),IF(D$8="",NA(),IF(N(D$8)=0,NA(),IF(Inputs!$C$17="Rebased to 100",$D2306/D$8*100,$D2306)))))</f>
        <v/>
      </c>
      <c r="K2306" s="54">
        <f>IF($B2306=0,NA(),IF($E2306="",NA(),IF(E$8="",NA(),IF(N(E$8)=0,NA(),IF(Inputs!$C$17="Rebased to 100",$E2306/E$8*100,$E2306)))))</f>
        <v/>
      </c>
      <c r="L2306" s="54">
        <f>IF($B2306=0,NA(),IF($F2306="",NA(),IF(F$8="",NA(),IF(N(F$8)=0,NA(),IF(Inputs!$C$17="Rebased to 100",$F2306/F$8*100,$F2306)))))</f>
        <v/>
      </c>
      <c r="M2306" s="54">
        <f>IF($B2306=0,NA(),IF($G2306="",NA(),IF(G$8="",NA(),IF(N(G$8)=0,NA(),IF(Inputs!$C$17="Rebased to 100",$G2306/G$8*100,$G2306)))))</f>
        <v/>
      </c>
      <c r="N2306" s="54">
        <f>IF($B2306=0,NA(),IF(Inputs!$C$18&lt;&gt;"Yes",NA(),IF(COUNT(I2306,J2306,K2306,L2306,M2306)=0,NA(),MIN(I2306,J2306,K2306,L2306,M2306))))</f>
        <v/>
      </c>
      <c r="O2306" s="54">
        <f>IF($B2306=0,NA(),IF(Inputs!$B$24&lt;&gt;"Yes",NA(),Inputs!$D$24*Inputs!$C$35))</f>
        <v/>
      </c>
      <c r="P2306" s="54">
        <f>IF($B2306=0,NA(),IF(Inputs!$B$25&lt;&gt;"Yes",NA(),Inputs!$D$25*Inputs!$C$35))</f>
        <v/>
      </c>
      <c r="Q2306" s="54">
        <f>IF($B2306=0,NA(),IF(Inputs!$B$26&lt;&gt;"Yes",NA(),Inputs!$D$26*Inputs!$C$35))</f>
        <v/>
      </c>
      <c r="R2306" s="54">
        <f>IF($B2306=0,NA(),IF(Inputs!$B$27&lt;&gt;"Yes",NA(),Inputs!$D$27*Inputs!$C$35))</f>
        <v/>
      </c>
      <c r="S2306" s="54">
        <f>IF($B2306=0,NA(),IF(Inputs!$B$28&lt;&gt;"Yes",NA(),Inputs!$D$28*Inputs!$C$35))</f>
        <v/>
      </c>
      <c r="T2306" s="54">
        <f>IF($B2306=0,NA(),IF(Inputs!$B$29&lt;&gt;"Yes",NA(),Inputs!$D$29*Inputs!$C$35))</f>
        <v/>
      </c>
      <c r="AD2306">
        <f>IF($B2306=0,0,IF(Inputs!$B$6="",0,COUNTIFS(Data!$A$10:$A$3209,"&gt;="&amp;$A2306,Data!$A$10:$A$3209,"&lt;"&amp;$A2306+1)))</f>
        <v/>
      </c>
      <c r="AE2306">
        <f>IF($B2306=0,0,IF(Inputs!$B$7="",0,COUNTIFS(Data!$E$10:$E$3209,"&gt;="&amp;$A2306,Data!$E$10:$E$3209,"&lt;"&amp;$A2306+1)))</f>
        <v/>
      </c>
      <c r="AF2306">
        <f>IF($B2306=0,0,IF(Inputs!$B$8="",0,COUNTIFS(Data!$I$10:$I$3209,"&gt;="&amp;$A2306,Data!$I$10:$I$3209,"&lt;"&amp;$A2306+1)))</f>
        <v/>
      </c>
      <c r="AG2306">
        <f>IF($B2306=0,0,IF(Inputs!$B$9="",0,COUNTIFS(Data!$M$10:$M$3209,"&gt;="&amp;$A2306,Data!$M$10:$M$3209,"&lt;"&amp;$A2306+1)))</f>
        <v/>
      </c>
      <c r="AH2306">
        <f>IF($B2306=0,0,IF(Inputs!$B$10="",0,COUNTIFS(Data!$Q$10:$Q$3209,"&gt;="&amp;$A2306,Data!$Q$10:$Q$3209,"&lt;"&amp;$A2306+1)))</f>
        <v/>
      </c>
    </row>
    <row r="2307">
      <c r="A2307" s="55">
        <f>MIN(Inputs!$C$15,$A2306+IF(WEEKDAY($A2306,2)=5,3,1))</f>
        <v/>
      </c>
      <c r="B2307">
        <f>IF($A2307&gt;$A2306,1,0)</f>
        <v/>
      </c>
      <c r="C2307" s="56">
        <f>IF($B2307=0,"",IF(Inputs!$B$6="","",IF($AD2307=0,C2306,SUMIFS(Data!$B$10:$B$3209,Data!$A$10:$A$3209,"&gt;="&amp;$A2307,Data!$A$10:$A$3209,"&lt;"&amp;$A2307+1)/$AD2307)))</f>
        <v/>
      </c>
      <c r="D2307" s="56">
        <f>IF($B2307=0,"",IF(Inputs!$B$7="","",IF($AE2307=0,D2306,SUMIFS(Data!$F$10:$F$3209,Data!$E$10:$E$3209,"&gt;="&amp;$A2307,Data!$E$10:$E$3209,"&lt;"&amp;$A2307+1)/$AE2307)))</f>
        <v/>
      </c>
      <c r="E2307" s="56">
        <f>IF($B2307=0,"",IF(Inputs!$B$8="","",IF($AF2307=0,E2306,SUMIFS(Data!$J$10:$J$3209,Data!$I$10:$I$3209,"&gt;="&amp;$A2307,Data!$I$10:$I$3209,"&lt;"&amp;$A2307+1)/$AF2307)))</f>
        <v/>
      </c>
      <c r="F2307" s="56">
        <f>IF($B2307=0,"",IF(Inputs!$B$9="","",IF($AG2307=0,F2306,SUMIFS(Data!$N$10:$N$3209,Data!$M$10:$M$3209,"&gt;="&amp;$A2307,Data!$M$10:$M$3209,"&lt;"&amp;$A2307+1)/$AG2307)))</f>
        <v/>
      </c>
      <c r="G2307" s="56">
        <f>IF($B2307=0,"",IF(Inputs!$B$10="","",IF($AH2307=0,G2306,SUMIFS(Data!$R$10:$R$3209,Data!$Q$10:$Q$3209,"&gt;="&amp;$A2307,Data!$Q$10:$Q$3209,"&lt;"&amp;$A2307+1)/$AH2307)))</f>
        <v/>
      </c>
      <c r="I2307" s="54">
        <f>IF($B2307=0,NA(),IF($C2307="",NA(),IF(C$8="",NA(),IF(N(C$8)=0,NA(),IF(Inputs!$C$17="Rebased to 100",$C2307/C$8*100,$C2307)))))</f>
        <v/>
      </c>
      <c r="J2307" s="54">
        <f>IF($B2307=0,NA(),IF($D2307="",NA(),IF(D$8="",NA(),IF(N(D$8)=0,NA(),IF(Inputs!$C$17="Rebased to 100",$D2307/D$8*100,$D2307)))))</f>
        <v/>
      </c>
      <c r="K2307" s="54">
        <f>IF($B2307=0,NA(),IF($E2307="",NA(),IF(E$8="",NA(),IF(N(E$8)=0,NA(),IF(Inputs!$C$17="Rebased to 100",$E2307/E$8*100,$E2307)))))</f>
        <v/>
      </c>
      <c r="L2307" s="54">
        <f>IF($B2307=0,NA(),IF($F2307="",NA(),IF(F$8="",NA(),IF(N(F$8)=0,NA(),IF(Inputs!$C$17="Rebased to 100",$F2307/F$8*100,$F2307)))))</f>
        <v/>
      </c>
      <c r="M2307" s="54">
        <f>IF($B2307=0,NA(),IF($G2307="",NA(),IF(G$8="",NA(),IF(N(G$8)=0,NA(),IF(Inputs!$C$17="Rebased to 100",$G2307/G$8*100,$G2307)))))</f>
        <v/>
      </c>
      <c r="N2307" s="54">
        <f>IF($B2307=0,NA(),IF(Inputs!$C$18&lt;&gt;"Yes",NA(),IF(COUNT(I2307,J2307,K2307,L2307,M2307)=0,NA(),MIN(I2307,J2307,K2307,L2307,M2307))))</f>
        <v/>
      </c>
      <c r="O2307" s="54">
        <f>IF($B2307=0,NA(),IF(Inputs!$B$24&lt;&gt;"Yes",NA(),Inputs!$D$24*Inputs!$C$35))</f>
        <v/>
      </c>
      <c r="P2307" s="54">
        <f>IF($B2307=0,NA(),IF(Inputs!$B$25&lt;&gt;"Yes",NA(),Inputs!$D$25*Inputs!$C$35))</f>
        <v/>
      </c>
      <c r="Q2307" s="54">
        <f>IF($B2307=0,NA(),IF(Inputs!$B$26&lt;&gt;"Yes",NA(),Inputs!$D$26*Inputs!$C$35))</f>
        <v/>
      </c>
      <c r="R2307" s="54">
        <f>IF($B2307=0,NA(),IF(Inputs!$B$27&lt;&gt;"Yes",NA(),Inputs!$D$27*Inputs!$C$35))</f>
        <v/>
      </c>
      <c r="S2307" s="54">
        <f>IF($B2307=0,NA(),IF(Inputs!$B$28&lt;&gt;"Yes",NA(),Inputs!$D$28*Inputs!$C$35))</f>
        <v/>
      </c>
      <c r="T2307" s="54">
        <f>IF($B2307=0,NA(),IF(Inputs!$B$29&lt;&gt;"Yes",NA(),Inputs!$D$29*Inputs!$C$35))</f>
        <v/>
      </c>
      <c r="AD2307">
        <f>IF($B2307=0,0,IF(Inputs!$B$6="",0,COUNTIFS(Data!$A$10:$A$3209,"&gt;="&amp;$A2307,Data!$A$10:$A$3209,"&lt;"&amp;$A2307+1)))</f>
        <v/>
      </c>
      <c r="AE2307">
        <f>IF($B2307=0,0,IF(Inputs!$B$7="",0,COUNTIFS(Data!$E$10:$E$3209,"&gt;="&amp;$A2307,Data!$E$10:$E$3209,"&lt;"&amp;$A2307+1)))</f>
        <v/>
      </c>
      <c r="AF2307">
        <f>IF($B2307=0,0,IF(Inputs!$B$8="",0,COUNTIFS(Data!$I$10:$I$3209,"&gt;="&amp;$A2307,Data!$I$10:$I$3209,"&lt;"&amp;$A2307+1)))</f>
        <v/>
      </c>
      <c r="AG2307">
        <f>IF($B2307=0,0,IF(Inputs!$B$9="",0,COUNTIFS(Data!$M$10:$M$3209,"&gt;="&amp;$A2307,Data!$M$10:$M$3209,"&lt;"&amp;$A2307+1)))</f>
        <v/>
      </c>
      <c r="AH2307">
        <f>IF($B2307=0,0,IF(Inputs!$B$10="",0,COUNTIFS(Data!$Q$10:$Q$3209,"&gt;="&amp;$A2307,Data!$Q$10:$Q$3209,"&lt;"&amp;$A2307+1)))</f>
        <v/>
      </c>
    </row>
    <row r="2308">
      <c r="A2308" s="55">
        <f>MIN(Inputs!$C$15,$A2307+IF(WEEKDAY($A2307,2)=5,3,1))</f>
        <v/>
      </c>
      <c r="B2308">
        <f>IF($A2308&gt;$A2307,1,0)</f>
        <v/>
      </c>
      <c r="C2308" s="56">
        <f>IF($B2308=0,"",IF(Inputs!$B$6="","",IF($AD2308=0,C2307,SUMIFS(Data!$B$10:$B$3209,Data!$A$10:$A$3209,"&gt;="&amp;$A2308,Data!$A$10:$A$3209,"&lt;"&amp;$A2308+1)/$AD2308)))</f>
        <v/>
      </c>
      <c r="D2308" s="56">
        <f>IF($B2308=0,"",IF(Inputs!$B$7="","",IF($AE2308=0,D2307,SUMIFS(Data!$F$10:$F$3209,Data!$E$10:$E$3209,"&gt;="&amp;$A2308,Data!$E$10:$E$3209,"&lt;"&amp;$A2308+1)/$AE2308)))</f>
        <v/>
      </c>
      <c r="E2308" s="56">
        <f>IF($B2308=0,"",IF(Inputs!$B$8="","",IF($AF2308=0,E2307,SUMIFS(Data!$J$10:$J$3209,Data!$I$10:$I$3209,"&gt;="&amp;$A2308,Data!$I$10:$I$3209,"&lt;"&amp;$A2308+1)/$AF2308)))</f>
        <v/>
      </c>
      <c r="F2308" s="56">
        <f>IF($B2308=0,"",IF(Inputs!$B$9="","",IF($AG2308=0,F2307,SUMIFS(Data!$N$10:$N$3209,Data!$M$10:$M$3209,"&gt;="&amp;$A2308,Data!$M$10:$M$3209,"&lt;"&amp;$A2308+1)/$AG2308)))</f>
        <v/>
      </c>
      <c r="G2308" s="56">
        <f>IF($B2308=0,"",IF(Inputs!$B$10="","",IF($AH2308=0,G2307,SUMIFS(Data!$R$10:$R$3209,Data!$Q$10:$Q$3209,"&gt;="&amp;$A2308,Data!$Q$10:$Q$3209,"&lt;"&amp;$A2308+1)/$AH2308)))</f>
        <v/>
      </c>
      <c r="I2308" s="54">
        <f>IF($B2308=0,NA(),IF($C2308="",NA(),IF(C$8="",NA(),IF(N(C$8)=0,NA(),IF(Inputs!$C$17="Rebased to 100",$C2308/C$8*100,$C2308)))))</f>
        <v/>
      </c>
      <c r="J2308" s="54">
        <f>IF($B2308=0,NA(),IF($D2308="",NA(),IF(D$8="",NA(),IF(N(D$8)=0,NA(),IF(Inputs!$C$17="Rebased to 100",$D2308/D$8*100,$D2308)))))</f>
        <v/>
      </c>
      <c r="K2308" s="54">
        <f>IF($B2308=0,NA(),IF($E2308="",NA(),IF(E$8="",NA(),IF(N(E$8)=0,NA(),IF(Inputs!$C$17="Rebased to 100",$E2308/E$8*100,$E2308)))))</f>
        <v/>
      </c>
      <c r="L2308" s="54">
        <f>IF($B2308=0,NA(),IF($F2308="",NA(),IF(F$8="",NA(),IF(N(F$8)=0,NA(),IF(Inputs!$C$17="Rebased to 100",$F2308/F$8*100,$F2308)))))</f>
        <v/>
      </c>
      <c r="M2308" s="54">
        <f>IF($B2308=0,NA(),IF($G2308="",NA(),IF(G$8="",NA(),IF(N(G$8)=0,NA(),IF(Inputs!$C$17="Rebased to 100",$G2308/G$8*100,$G2308)))))</f>
        <v/>
      </c>
      <c r="N2308" s="54">
        <f>IF($B2308=0,NA(),IF(Inputs!$C$18&lt;&gt;"Yes",NA(),IF(COUNT(I2308,J2308,K2308,L2308,M2308)=0,NA(),MIN(I2308,J2308,K2308,L2308,M2308))))</f>
        <v/>
      </c>
      <c r="O2308" s="54">
        <f>IF($B2308=0,NA(),IF(Inputs!$B$24&lt;&gt;"Yes",NA(),Inputs!$D$24*Inputs!$C$35))</f>
        <v/>
      </c>
      <c r="P2308" s="54">
        <f>IF($B2308=0,NA(),IF(Inputs!$B$25&lt;&gt;"Yes",NA(),Inputs!$D$25*Inputs!$C$35))</f>
        <v/>
      </c>
      <c r="Q2308" s="54">
        <f>IF($B2308=0,NA(),IF(Inputs!$B$26&lt;&gt;"Yes",NA(),Inputs!$D$26*Inputs!$C$35))</f>
        <v/>
      </c>
      <c r="R2308" s="54">
        <f>IF($B2308=0,NA(),IF(Inputs!$B$27&lt;&gt;"Yes",NA(),Inputs!$D$27*Inputs!$C$35))</f>
        <v/>
      </c>
      <c r="S2308" s="54">
        <f>IF($B2308=0,NA(),IF(Inputs!$B$28&lt;&gt;"Yes",NA(),Inputs!$D$28*Inputs!$C$35))</f>
        <v/>
      </c>
      <c r="T2308" s="54">
        <f>IF($B2308=0,NA(),IF(Inputs!$B$29&lt;&gt;"Yes",NA(),Inputs!$D$29*Inputs!$C$35))</f>
        <v/>
      </c>
      <c r="AD2308">
        <f>IF($B2308=0,0,IF(Inputs!$B$6="",0,COUNTIFS(Data!$A$10:$A$3209,"&gt;="&amp;$A2308,Data!$A$10:$A$3209,"&lt;"&amp;$A2308+1)))</f>
        <v/>
      </c>
      <c r="AE2308">
        <f>IF($B2308=0,0,IF(Inputs!$B$7="",0,COUNTIFS(Data!$E$10:$E$3209,"&gt;="&amp;$A2308,Data!$E$10:$E$3209,"&lt;"&amp;$A2308+1)))</f>
        <v/>
      </c>
      <c r="AF2308">
        <f>IF($B2308=0,0,IF(Inputs!$B$8="",0,COUNTIFS(Data!$I$10:$I$3209,"&gt;="&amp;$A2308,Data!$I$10:$I$3209,"&lt;"&amp;$A2308+1)))</f>
        <v/>
      </c>
      <c r="AG2308">
        <f>IF($B2308=0,0,IF(Inputs!$B$9="",0,COUNTIFS(Data!$M$10:$M$3209,"&gt;="&amp;$A2308,Data!$M$10:$M$3209,"&lt;"&amp;$A2308+1)))</f>
        <v/>
      </c>
      <c r="AH2308">
        <f>IF($B2308=0,0,IF(Inputs!$B$10="",0,COUNTIFS(Data!$Q$10:$Q$3209,"&gt;="&amp;$A2308,Data!$Q$10:$Q$3209,"&lt;"&amp;$A2308+1)))</f>
        <v/>
      </c>
    </row>
    <row r="2309">
      <c r="A2309" s="55">
        <f>MIN(Inputs!$C$15,$A2308+IF(WEEKDAY($A2308,2)=5,3,1))</f>
        <v/>
      </c>
      <c r="B2309">
        <f>IF($A2309&gt;$A2308,1,0)</f>
        <v/>
      </c>
      <c r="C2309" s="56">
        <f>IF($B2309=0,"",IF(Inputs!$B$6="","",IF($AD2309=0,C2308,SUMIFS(Data!$B$10:$B$3209,Data!$A$10:$A$3209,"&gt;="&amp;$A2309,Data!$A$10:$A$3209,"&lt;"&amp;$A2309+1)/$AD2309)))</f>
        <v/>
      </c>
      <c r="D2309" s="56">
        <f>IF($B2309=0,"",IF(Inputs!$B$7="","",IF($AE2309=0,D2308,SUMIFS(Data!$F$10:$F$3209,Data!$E$10:$E$3209,"&gt;="&amp;$A2309,Data!$E$10:$E$3209,"&lt;"&amp;$A2309+1)/$AE2309)))</f>
        <v/>
      </c>
      <c r="E2309" s="56">
        <f>IF($B2309=0,"",IF(Inputs!$B$8="","",IF($AF2309=0,E2308,SUMIFS(Data!$J$10:$J$3209,Data!$I$10:$I$3209,"&gt;="&amp;$A2309,Data!$I$10:$I$3209,"&lt;"&amp;$A2309+1)/$AF2309)))</f>
        <v/>
      </c>
      <c r="F2309" s="56">
        <f>IF($B2309=0,"",IF(Inputs!$B$9="","",IF($AG2309=0,F2308,SUMIFS(Data!$N$10:$N$3209,Data!$M$10:$M$3209,"&gt;="&amp;$A2309,Data!$M$10:$M$3209,"&lt;"&amp;$A2309+1)/$AG2309)))</f>
        <v/>
      </c>
      <c r="G2309" s="56">
        <f>IF($B2309=0,"",IF(Inputs!$B$10="","",IF($AH2309=0,G2308,SUMIFS(Data!$R$10:$R$3209,Data!$Q$10:$Q$3209,"&gt;="&amp;$A2309,Data!$Q$10:$Q$3209,"&lt;"&amp;$A2309+1)/$AH2309)))</f>
        <v/>
      </c>
      <c r="I2309" s="54">
        <f>IF($B2309=0,NA(),IF($C2309="",NA(),IF(C$8="",NA(),IF(N(C$8)=0,NA(),IF(Inputs!$C$17="Rebased to 100",$C2309/C$8*100,$C2309)))))</f>
        <v/>
      </c>
      <c r="J2309" s="54">
        <f>IF($B2309=0,NA(),IF($D2309="",NA(),IF(D$8="",NA(),IF(N(D$8)=0,NA(),IF(Inputs!$C$17="Rebased to 100",$D2309/D$8*100,$D2309)))))</f>
        <v/>
      </c>
      <c r="K2309" s="54">
        <f>IF($B2309=0,NA(),IF($E2309="",NA(),IF(E$8="",NA(),IF(N(E$8)=0,NA(),IF(Inputs!$C$17="Rebased to 100",$E2309/E$8*100,$E2309)))))</f>
        <v/>
      </c>
      <c r="L2309" s="54">
        <f>IF($B2309=0,NA(),IF($F2309="",NA(),IF(F$8="",NA(),IF(N(F$8)=0,NA(),IF(Inputs!$C$17="Rebased to 100",$F2309/F$8*100,$F2309)))))</f>
        <v/>
      </c>
      <c r="M2309" s="54">
        <f>IF($B2309=0,NA(),IF($G2309="",NA(),IF(G$8="",NA(),IF(N(G$8)=0,NA(),IF(Inputs!$C$17="Rebased to 100",$G2309/G$8*100,$G2309)))))</f>
        <v/>
      </c>
      <c r="N2309" s="54">
        <f>IF($B2309=0,NA(),IF(Inputs!$C$18&lt;&gt;"Yes",NA(),IF(COUNT(I2309,J2309,K2309,L2309,M2309)=0,NA(),MIN(I2309,J2309,K2309,L2309,M2309))))</f>
        <v/>
      </c>
      <c r="O2309" s="54">
        <f>IF($B2309=0,NA(),IF(Inputs!$B$24&lt;&gt;"Yes",NA(),Inputs!$D$24*Inputs!$C$35))</f>
        <v/>
      </c>
      <c r="P2309" s="54">
        <f>IF($B2309=0,NA(),IF(Inputs!$B$25&lt;&gt;"Yes",NA(),Inputs!$D$25*Inputs!$C$35))</f>
        <v/>
      </c>
      <c r="Q2309" s="54">
        <f>IF($B2309=0,NA(),IF(Inputs!$B$26&lt;&gt;"Yes",NA(),Inputs!$D$26*Inputs!$C$35))</f>
        <v/>
      </c>
      <c r="R2309" s="54">
        <f>IF($B2309=0,NA(),IF(Inputs!$B$27&lt;&gt;"Yes",NA(),Inputs!$D$27*Inputs!$C$35))</f>
        <v/>
      </c>
      <c r="S2309" s="54">
        <f>IF($B2309=0,NA(),IF(Inputs!$B$28&lt;&gt;"Yes",NA(),Inputs!$D$28*Inputs!$C$35))</f>
        <v/>
      </c>
      <c r="T2309" s="54">
        <f>IF($B2309=0,NA(),IF(Inputs!$B$29&lt;&gt;"Yes",NA(),Inputs!$D$29*Inputs!$C$35))</f>
        <v/>
      </c>
      <c r="AD2309">
        <f>IF($B2309=0,0,IF(Inputs!$B$6="",0,COUNTIFS(Data!$A$10:$A$3209,"&gt;="&amp;$A2309,Data!$A$10:$A$3209,"&lt;"&amp;$A2309+1)))</f>
        <v/>
      </c>
      <c r="AE2309">
        <f>IF($B2309=0,0,IF(Inputs!$B$7="",0,COUNTIFS(Data!$E$10:$E$3209,"&gt;="&amp;$A2309,Data!$E$10:$E$3209,"&lt;"&amp;$A2309+1)))</f>
        <v/>
      </c>
      <c r="AF2309">
        <f>IF($B2309=0,0,IF(Inputs!$B$8="",0,COUNTIFS(Data!$I$10:$I$3209,"&gt;="&amp;$A2309,Data!$I$10:$I$3209,"&lt;"&amp;$A2309+1)))</f>
        <v/>
      </c>
      <c r="AG2309">
        <f>IF($B2309=0,0,IF(Inputs!$B$9="",0,COUNTIFS(Data!$M$10:$M$3209,"&gt;="&amp;$A2309,Data!$M$10:$M$3209,"&lt;"&amp;$A2309+1)))</f>
        <v/>
      </c>
      <c r="AH2309">
        <f>IF($B2309=0,0,IF(Inputs!$B$10="",0,COUNTIFS(Data!$Q$10:$Q$3209,"&gt;="&amp;$A2309,Data!$Q$10:$Q$3209,"&lt;"&amp;$A2309+1)))</f>
        <v/>
      </c>
    </row>
    <row r="2310">
      <c r="A2310" s="55">
        <f>MIN(Inputs!$C$15,$A2309+IF(WEEKDAY($A2309,2)=5,3,1))</f>
        <v/>
      </c>
      <c r="B2310">
        <f>IF($A2310&gt;$A2309,1,0)</f>
        <v/>
      </c>
      <c r="C2310" s="56">
        <f>IF($B2310=0,"",IF(Inputs!$B$6="","",IF($AD2310=0,C2309,SUMIFS(Data!$B$10:$B$3209,Data!$A$10:$A$3209,"&gt;="&amp;$A2310,Data!$A$10:$A$3209,"&lt;"&amp;$A2310+1)/$AD2310)))</f>
        <v/>
      </c>
      <c r="D2310" s="56">
        <f>IF($B2310=0,"",IF(Inputs!$B$7="","",IF($AE2310=0,D2309,SUMIFS(Data!$F$10:$F$3209,Data!$E$10:$E$3209,"&gt;="&amp;$A2310,Data!$E$10:$E$3209,"&lt;"&amp;$A2310+1)/$AE2310)))</f>
        <v/>
      </c>
      <c r="E2310" s="56">
        <f>IF($B2310=0,"",IF(Inputs!$B$8="","",IF($AF2310=0,E2309,SUMIFS(Data!$J$10:$J$3209,Data!$I$10:$I$3209,"&gt;="&amp;$A2310,Data!$I$10:$I$3209,"&lt;"&amp;$A2310+1)/$AF2310)))</f>
        <v/>
      </c>
      <c r="F2310" s="56">
        <f>IF($B2310=0,"",IF(Inputs!$B$9="","",IF($AG2310=0,F2309,SUMIFS(Data!$N$10:$N$3209,Data!$M$10:$M$3209,"&gt;="&amp;$A2310,Data!$M$10:$M$3209,"&lt;"&amp;$A2310+1)/$AG2310)))</f>
        <v/>
      </c>
      <c r="G2310" s="56">
        <f>IF($B2310=0,"",IF(Inputs!$B$10="","",IF($AH2310=0,G2309,SUMIFS(Data!$R$10:$R$3209,Data!$Q$10:$Q$3209,"&gt;="&amp;$A2310,Data!$Q$10:$Q$3209,"&lt;"&amp;$A2310+1)/$AH2310)))</f>
        <v/>
      </c>
      <c r="I2310" s="54">
        <f>IF($B2310=0,NA(),IF($C2310="",NA(),IF(C$8="",NA(),IF(N(C$8)=0,NA(),IF(Inputs!$C$17="Rebased to 100",$C2310/C$8*100,$C2310)))))</f>
        <v/>
      </c>
      <c r="J2310" s="54">
        <f>IF($B2310=0,NA(),IF($D2310="",NA(),IF(D$8="",NA(),IF(N(D$8)=0,NA(),IF(Inputs!$C$17="Rebased to 100",$D2310/D$8*100,$D2310)))))</f>
        <v/>
      </c>
      <c r="K2310" s="54">
        <f>IF($B2310=0,NA(),IF($E2310="",NA(),IF(E$8="",NA(),IF(N(E$8)=0,NA(),IF(Inputs!$C$17="Rebased to 100",$E2310/E$8*100,$E2310)))))</f>
        <v/>
      </c>
      <c r="L2310" s="54">
        <f>IF($B2310=0,NA(),IF($F2310="",NA(),IF(F$8="",NA(),IF(N(F$8)=0,NA(),IF(Inputs!$C$17="Rebased to 100",$F2310/F$8*100,$F2310)))))</f>
        <v/>
      </c>
      <c r="M2310" s="54">
        <f>IF($B2310=0,NA(),IF($G2310="",NA(),IF(G$8="",NA(),IF(N(G$8)=0,NA(),IF(Inputs!$C$17="Rebased to 100",$G2310/G$8*100,$G2310)))))</f>
        <v/>
      </c>
      <c r="N2310" s="54">
        <f>IF($B2310=0,NA(),IF(Inputs!$C$18&lt;&gt;"Yes",NA(),IF(COUNT(I2310,J2310,K2310,L2310,M2310)=0,NA(),MIN(I2310,J2310,K2310,L2310,M2310))))</f>
        <v/>
      </c>
      <c r="O2310" s="54">
        <f>IF($B2310=0,NA(),IF(Inputs!$B$24&lt;&gt;"Yes",NA(),Inputs!$D$24*Inputs!$C$35))</f>
        <v/>
      </c>
      <c r="P2310" s="54">
        <f>IF($B2310=0,NA(),IF(Inputs!$B$25&lt;&gt;"Yes",NA(),Inputs!$D$25*Inputs!$C$35))</f>
        <v/>
      </c>
      <c r="Q2310" s="54">
        <f>IF($B2310=0,NA(),IF(Inputs!$B$26&lt;&gt;"Yes",NA(),Inputs!$D$26*Inputs!$C$35))</f>
        <v/>
      </c>
      <c r="R2310" s="54">
        <f>IF($B2310=0,NA(),IF(Inputs!$B$27&lt;&gt;"Yes",NA(),Inputs!$D$27*Inputs!$C$35))</f>
        <v/>
      </c>
      <c r="S2310" s="54">
        <f>IF($B2310=0,NA(),IF(Inputs!$B$28&lt;&gt;"Yes",NA(),Inputs!$D$28*Inputs!$C$35))</f>
        <v/>
      </c>
      <c r="T2310" s="54">
        <f>IF($B2310=0,NA(),IF(Inputs!$B$29&lt;&gt;"Yes",NA(),Inputs!$D$29*Inputs!$C$35))</f>
        <v/>
      </c>
      <c r="AD2310">
        <f>IF($B2310=0,0,IF(Inputs!$B$6="",0,COUNTIFS(Data!$A$10:$A$3209,"&gt;="&amp;$A2310,Data!$A$10:$A$3209,"&lt;"&amp;$A2310+1)))</f>
        <v/>
      </c>
      <c r="AE2310">
        <f>IF($B2310=0,0,IF(Inputs!$B$7="",0,COUNTIFS(Data!$E$10:$E$3209,"&gt;="&amp;$A2310,Data!$E$10:$E$3209,"&lt;"&amp;$A2310+1)))</f>
        <v/>
      </c>
      <c r="AF2310">
        <f>IF($B2310=0,0,IF(Inputs!$B$8="",0,COUNTIFS(Data!$I$10:$I$3209,"&gt;="&amp;$A2310,Data!$I$10:$I$3209,"&lt;"&amp;$A2310+1)))</f>
        <v/>
      </c>
      <c r="AG2310">
        <f>IF($B2310=0,0,IF(Inputs!$B$9="",0,COUNTIFS(Data!$M$10:$M$3209,"&gt;="&amp;$A2310,Data!$M$10:$M$3209,"&lt;"&amp;$A2310+1)))</f>
        <v/>
      </c>
      <c r="AH2310">
        <f>IF($B2310=0,0,IF(Inputs!$B$10="",0,COUNTIFS(Data!$Q$10:$Q$3209,"&gt;="&amp;$A2310,Data!$Q$10:$Q$3209,"&lt;"&amp;$A2310+1)))</f>
        <v/>
      </c>
    </row>
    <row r="2311">
      <c r="A2311" s="55">
        <f>MIN(Inputs!$C$15,$A2310+IF(WEEKDAY($A2310,2)=5,3,1))</f>
        <v/>
      </c>
      <c r="B2311">
        <f>IF($A2311&gt;$A2310,1,0)</f>
        <v/>
      </c>
      <c r="C2311" s="56">
        <f>IF($B2311=0,"",IF(Inputs!$B$6="","",IF($AD2311=0,C2310,SUMIFS(Data!$B$10:$B$3209,Data!$A$10:$A$3209,"&gt;="&amp;$A2311,Data!$A$10:$A$3209,"&lt;"&amp;$A2311+1)/$AD2311)))</f>
        <v/>
      </c>
      <c r="D2311" s="56">
        <f>IF($B2311=0,"",IF(Inputs!$B$7="","",IF($AE2311=0,D2310,SUMIFS(Data!$F$10:$F$3209,Data!$E$10:$E$3209,"&gt;="&amp;$A2311,Data!$E$10:$E$3209,"&lt;"&amp;$A2311+1)/$AE2311)))</f>
        <v/>
      </c>
      <c r="E2311" s="56">
        <f>IF($B2311=0,"",IF(Inputs!$B$8="","",IF($AF2311=0,E2310,SUMIFS(Data!$J$10:$J$3209,Data!$I$10:$I$3209,"&gt;="&amp;$A2311,Data!$I$10:$I$3209,"&lt;"&amp;$A2311+1)/$AF2311)))</f>
        <v/>
      </c>
      <c r="F2311" s="56">
        <f>IF($B2311=0,"",IF(Inputs!$B$9="","",IF($AG2311=0,F2310,SUMIFS(Data!$N$10:$N$3209,Data!$M$10:$M$3209,"&gt;="&amp;$A2311,Data!$M$10:$M$3209,"&lt;"&amp;$A2311+1)/$AG2311)))</f>
        <v/>
      </c>
      <c r="G2311" s="56">
        <f>IF($B2311=0,"",IF(Inputs!$B$10="","",IF($AH2311=0,G2310,SUMIFS(Data!$R$10:$R$3209,Data!$Q$10:$Q$3209,"&gt;="&amp;$A2311,Data!$Q$10:$Q$3209,"&lt;"&amp;$A2311+1)/$AH2311)))</f>
        <v/>
      </c>
      <c r="I2311" s="54">
        <f>IF($B2311=0,NA(),IF($C2311="",NA(),IF(C$8="",NA(),IF(N(C$8)=0,NA(),IF(Inputs!$C$17="Rebased to 100",$C2311/C$8*100,$C2311)))))</f>
        <v/>
      </c>
      <c r="J2311" s="54">
        <f>IF($B2311=0,NA(),IF($D2311="",NA(),IF(D$8="",NA(),IF(N(D$8)=0,NA(),IF(Inputs!$C$17="Rebased to 100",$D2311/D$8*100,$D2311)))))</f>
        <v/>
      </c>
      <c r="K2311" s="54">
        <f>IF($B2311=0,NA(),IF($E2311="",NA(),IF(E$8="",NA(),IF(N(E$8)=0,NA(),IF(Inputs!$C$17="Rebased to 100",$E2311/E$8*100,$E2311)))))</f>
        <v/>
      </c>
      <c r="L2311" s="54">
        <f>IF($B2311=0,NA(),IF($F2311="",NA(),IF(F$8="",NA(),IF(N(F$8)=0,NA(),IF(Inputs!$C$17="Rebased to 100",$F2311/F$8*100,$F2311)))))</f>
        <v/>
      </c>
      <c r="M2311" s="54">
        <f>IF($B2311=0,NA(),IF($G2311="",NA(),IF(G$8="",NA(),IF(N(G$8)=0,NA(),IF(Inputs!$C$17="Rebased to 100",$G2311/G$8*100,$G2311)))))</f>
        <v/>
      </c>
      <c r="N2311" s="54">
        <f>IF($B2311=0,NA(),IF(Inputs!$C$18&lt;&gt;"Yes",NA(),IF(COUNT(I2311,J2311,K2311,L2311,M2311)=0,NA(),MIN(I2311,J2311,K2311,L2311,M2311))))</f>
        <v/>
      </c>
      <c r="O2311" s="54">
        <f>IF($B2311=0,NA(),IF(Inputs!$B$24&lt;&gt;"Yes",NA(),Inputs!$D$24*Inputs!$C$35))</f>
        <v/>
      </c>
      <c r="P2311" s="54">
        <f>IF($B2311=0,NA(),IF(Inputs!$B$25&lt;&gt;"Yes",NA(),Inputs!$D$25*Inputs!$C$35))</f>
        <v/>
      </c>
      <c r="Q2311" s="54">
        <f>IF($B2311=0,NA(),IF(Inputs!$B$26&lt;&gt;"Yes",NA(),Inputs!$D$26*Inputs!$C$35))</f>
        <v/>
      </c>
      <c r="R2311" s="54">
        <f>IF($B2311=0,NA(),IF(Inputs!$B$27&lt;&gt;"Yes",NA(),Inputs!$D$27*Inputs!$C$35))</f>
        <v/>
      </c>
      <c r="S2311" s="54">
        <f>IF($B2311=0,NA(),IF(Inputs!$B$28&lt;&gt;"Yes",NA(),Inputs!$D$28*Inputs!$C$35))</f>
        <v/>
      </c>
      <c r="T2311" s="54">
        <f>IF($B2311=0,NA(),IF(Inputs!$B$29&lt;&gt;"Yes",NA(),Inputs!$D$29*Inputs!$C$35))</f>
        <v/>
      </c>
      <c r="AD2311">
        <f>IF($B2311=0,0,IF(Inputs!$B$6="",0,COUNTIFS(Data!$A$10:$A$3209,"&gt;="&amp;$A2311,Data!$A$10:$A$3209,"&lt;"&amp;$A2311+1)))</f>
        <v/>
      </c>
      <c r="AE2311">
        <f>IF($B2311=0,0,IF(Inputs!$B$7="",0,COUNTIFS(Data!$E$10:$E$3209,"&gt;="&amp;$A2311,Data!$E$10:$E$3209,"&lt;"&amp;$A2311+1)))</f>
        <v/>
      </c>
      <c r="AF2311">
        <f>IF($B2311=0,0,IF(Inputs!$B$8="",0,COUNTIFS(Data!$I$10:$I$3209,"&gt;="&amp;$A2311,Data!$I$10:$I$3209,"&lt;"&amp;$A2311+1)))</f>
        <v/>
      </c>
      <c r="AG2311">
        <f>IF($B2311=0,0,IF(Inputs!$B$9="",0,COUNTIFS(Data!$M$10:$M$3209,"&gt;="&amp;$A2311,Data!$M$10:$M$3209,"&lt;"&amp;$A2311+1)))</f>
        <v/>
      </c>
      <c r="AH2311">
        <f>IF($B2311=0,0,IF(Inputs!$B$10="",0,COUNTIFS(Data!$Q$10:$Q$3209,"&gt;="&amp;$A2311,Data!$Q$10:$Q$3209,"&lt;"&amp;$A2311+1)))</f>
        <v/>
      </c>
    </row>
    <row r="2312">
      <c r="A2312" s="55">
        <f>MIN(Inputs!$C$15,$A2311+IF(WEEKDAY($A2311,2)=5,3,1))</f>
        <v/>
      </c>
      <c r="B2312">
        <f>IF($A2312&gt;$A2311,1,0)</f>
        <v/>
      </c>
      <c r="C2312" s="56">
        <f>IF($B2312=0,"",IF(Inputs!$B$6="","",IF($AD2312=0,C2311,SUMIFS(Data!$B$10:$B$3209,Data!$A$10:$A$3209,"&gt;="&amp;$A2312,Data!$A$10:$A$3209,"&lt;"&amp;$A2312+1)/$AD2312)))</f>
        <v/>
      </c>
      <c r="D2312" s="56">
        <f>IF($B2312=0,"",IF(Inputs!$B$7="","",IF($AE2312=0,D2311,SUMIFS(Data!$F$10:$F$3209,Data!$E$10:$E$3209,"&gt;="&amp;$A2312,Data!$E$10:$E$3209,"&lt;"&amp;$A2312+1)/$AE2312)))</f>
        <v/>
      </c>
      <c r="E2312" s="56">
        <f>IF($B2312=0,"",IF(Inputs!$B$8="","",IF($AF2312=0,E2311,SUMIFS(Data!$J$10:$J$3209,Data!$I$10:$I$3209,"&gt;="&amp;$A2312,Data!$I$10:$I$3209,"&lt;"&amp;$A2312+1)/$AF2312)))</f>
        <v/>
      </c>
      <c r="F2312" s="56">
        <f>IF($B2312=0,"",IF(Inputs!$B$9="","",IF($AG2312=0,F2311,SUMIFS(Data!$N$10:$N$3209,Data!$M$10:$M$3209,"&gt;="&amp;$A2312,Data!$M$10:$M$3209,"&lt;"&amp;$A2312+1)/$AG2312)))</f>
        <v/>
      </c>
      <c r="G2312" s="56">
        <f>IF($B2312=0,"",IF(Inputs!$B$10="","",IF($AH2312=0,G2311,SUMIFS(Data!$R$10:$R$3209,Data!$Q$10:$Q$3209,"&gt;="&amp;$A2312,Data!$Q$10:$Q$3209,"&lt;"&amp;$A2312+1)/$AH2312)))</f>
        <v/>
      </c>
      <c r="I2312" s="54">
        <f>IF($B2312=0,NA(),IF($C2312="",NA(),IF(C$8="",NA(),IF(N(C$8)=0,NA(),IF(Inputs!$C$17="Rebased to 100",$C2312/C$8*100,$C2312)))))</f>
        <v/>
      </c>
      <c r="J2312" s="54">
        <f>IF($B2312=0,NA(),IF($D2312="",NA(),IF(D$8="",NA(),IF(N(D$8)=0,NA(),IF(Inputs!$C$17="Rebased to 100",$D2312/D$8*100,$D2312)))))</f>
        <v/>
      </c>
      <c r="K2312" s="54">
        <f>IF($B2312=0,NA(),IF($E2312="",NA(),IF(E$8="",NA(),IF(N(E$8)=0,NA(),IF(Inputs!$C$17="Rebased to 100",$E2312/E$8*100,$E2312)))))</f>
        <v/>
      </c>
      <c r="L2312" s="54">
        <f>IF($B2312=0,NA(),IF($F2312="",NA(),IF(F$8="",NA(),IF(N(F$8)=0,NA(),IF(Inputs!$C$17="Rebased to 100",$F2312/F$8*100,$F2312)))))</f>
        <v/>
      </c>
      <c r="M2312" s="54">
        <f>IF($B2312=0,NA(),IF($G2312="",NA(),IF(G$8="",NA(),IF(N(G$8)=0,NA(),IF(Inputs!$C$17="Rebased to 100",$G2312/G$8*100,$G2312)))))</f>
        <v/>
      </c>
      <c r="N2312" s="54">
        <f>IF($B2312=0,NA(),IF(Inputs!$C$18&lt;&gt;"Yes",NA(),IF(COUNT(I2312,J2312,K2312,L2312,M2312)=0,NA(),MIN(I2312,J2312,K2312,L2312,M2312))))</f>
        <v/>
      </c>
      <c r="O2312" s="54">
        <f>IF($B2312=0,NA(),IF(Inputs!$B$24&lt;&gt;"Yes",NA(),Inputs!$D$24*Inputs!$C$35))</f>
        <v/>
      </c>
      <c r="P2312" s="54">
        <f>IF($B2312=0,NA(),IF(Inputs!$B$25&lt;&gt;"Yes",NA(),Inputs!$D$25*Inputs!$C$35))</f>
        <v/>
      </c>
      <c r="Q2312" s="54">
        <f>IF($B2312=0,NA(),IF(Inputs!$B$26&lt;&gt;"Yes",NA(),Inputs!$D$26*Inputs!$C$35))</f>
        <v/>
      </c>
      <c r="R2312" s="54">
        <f>IF($B2312=0,NA(),IF(Inputs!$B$27&lt;&gt;"Yes",NA(),Inputs!$D$27*Inputs!$C$35))</f>
        <v/>
      </c>
      <c r="S2312" s="54">
        <f>IF($B2312=0,NA(),IF(Inputs!$B$28&lt;&gt;"Yes",NA(),Inputs!$D$28*Inputs!$C$35))</f>
        <v/>
      </c>
      <c r="T2312" s="54">
        <f>IF($B2312=0,NA(),IF(Inputs!$B$29&lt;&gt;"Yes",NA(),Inputs!$D$29*Inputs!$C$35))</f>
        <v/>
      </c>
      <c r="AD2312">
        <f>IF($B2312=0,0,IF(Inputs!$B$6="",0,COUNTIFS(Data!$A$10:$A$3209,"&gt;="&amp;$A2312,Data!$A$10:$A$3209,"&lt;"&amp;$A2312+1)))</f>
        <v/>
      </c>
      <c r="AE2312">
        <f>IF($B2312=0,0,IF(Inputs!$B$7="",0,COUNTIFS(Data!$E$10:$E$3209,"&gt;="&amp;$A2312,Data!$E$10:$E$3209,"&lt;"&amp;$A2312+1)))</f>
        <v/>
      </c>
      <c r="AF2312">
        <f>IF($B2312=0,0,IF(Inputs!$B$8="",0,COUNTIFS(Data!$I$10:$I$3209,"&gt;="&amp;$A2312,Data!$I$10:$I$3209,"&lt;"&amp;$A2312+1)))</f>
        <v/>
      </c>
      <c r="AG2312">
        <f>IF($B2312=0,0,IF(Inputs!$B$9="",0,COUNTIFS(Data!$M$10:$M$3209,"&gt;="&amp;$A2312,Data!$M$10:$M$3209,"&lt;"&amp;$A2312+1)))</f>
        <v/>
      </c>
      <c r="AH2312">
        <f>IF($B2312=0,0,IF(Inputs!$B$10="",0,COUNTIFS(Data!$Q$10:$Q$3209,"&gt;="&amp;$A2312,Data!$Q$10:$Q$3209,"&lt;"&amp;$A2312+1)))</f>
        <v/>
      </c>
    </row>
    <row r="2313">
      <c r="A2313" s="55">
        <f>MIN(Inputs!$C$15,$A2312+IF(WEEKDAY($A2312,2)=5,3,1))</f>
        <v/>
      </c>
      <c r="B2313">
        <f>IF($A2313&gt;$A2312,1,0)</f>
        <v/>
      </c>
      <c r="C2313" s="56">
        <f>IF($B2313=0,"",IF(Inputs!$B$6="","",IF($AD2313=0,C2312,SUMIFS(Data!$B$10:$B$3209,Data!$A$10:$A$3209,"&gt;="&amp;$A2313,Data!$A$10:$A$3209,"&lt;"&amp;$A2313+1)/$AD2313)))</f>
        <v/>
      </c>
      <c r="D2313" s="56">
        <f>IF($B2313=0,"",IF(Inputs!$B$7="","",IF($AE2313=0,D2312,SUMIFS(Data!$F$10:$F$3209,Data!$E$10:$E$3209,"&gt;="&amp;$A2313,Data!$E$10:$E$3209,"&lt;"&amp;$A2313+1)/$AE2313)))</f>
        <v/>
      </c>
      <c r="E2313" s="56">
        <f>IF($B2313=0,"",IF(Inputs!$B$8="","",IF($AF2313=0,E2312,SUMIFS(Data!$J$10:$J$3209,Data!$I$10:$I$3209,"&gt;="&amp;$A2313,Data!$I$10:$I$3209,"&lt;"&amp;$A2313+1)/$AF2313)))</f>
        <v/>
      </c>
      <c r="F2313" s="56">
        <f>IF($B2313=0,"",IF(Inputs!$B$9="","",IF($AG2313=0,F2312,SUMIFS(Data!$N$10:$N$3209,Data!$M$10:$M$3209,"&gt;="&amp;$A2313,Data!$M$10:$M$3209,"&lt;"&amp;$A2313+1)/$AG2313)))</f>
        <v/>
      </c>
      <c r="G2313" s="56">
        <f>IF($B2313=0,"",IF(Inputs!$B$10="","",IF($AH2313=0,G2312,SUMIFS(Data!$R$10:$R$3209,Data!$Q$10:$Q$3209,"&gt;="&amp;$A2313,Data!$Q$10:$Q$3209,"&lt;"&amp;$A2313+1)/$AH2313)))</f>
        <v/>
      </c>
      <c r="I2313" s="54">
        <f>IF($B2313=0,NA(),IF($C2313="",NA(),IF(C$8="",NA(),IF(N(C$8)=0,NA(),IF(Inputs!$C$17="Rebased to 100",$C2313/C$8*100,$C2313)))))</f>
        <v/>
      </c>
      <c r="J2313" s="54">
        <f>IF($B2313=0,NA(),IF($D2313="",NA(),IF(D$8="",NA(),IF(N(D$8)=0,NA(),IF(Inputs!$C$17="Rebased to 100",$D2313/D$8*100,$D2313)))))</f>
        <v/>
      </c>
      <c r="K2313" s="54">
        <f>IF($B2313=0,NA(),IF($E2313="",NA(),IF(E$8="",NA(),IF(N(E$8)=0,NA(),IF(Inputs!$C$17="Rebased to 100",$E2313/E$8*100,$E2313)))))</f>
        <v/>
      </c>
      <c r="L2313" s="54">
        <f>IF($B2313=0,NA(),IF($F2313="",NA(),IF(F$8="",NA(),IF(N(F$8)=0,NA(),IF(Inputs!$C$17="Rebased to 100",$F2313/F$8*100,$F2313)))))</f>
        <v/>
      </c>
      <c r="M2313" s="54">
        <f>IF($B2313=0,NA(),IF($G2313="",NA(),IF(G$8="",NA(),IF(N(G$8)=0,NA(),IF(Inputs!$C$17="Rebased to 100",$G2313/G$8*100,$G2313)))))</f>
        <v/>
      </c>
      <c r="N2313" s="54">
        <f>IF($B2313=0,NA(),IF(Inputs!$C$18&lt;&gt;"Yes",NA(),IF(COUNT(I2313,J2313,K2313,L2313,M2313)=0,NA(),MIN(I2313,J2313,K2313,L2313,M2313))))</f>
        <v/>
      </c>
      <c r="O2313" s="54">
        <f>IF($B2313=0,NA(),IF(Inputs!$B$24&lt;&gt;"Yes",NA(),Inputs!$D$24*Inputs!$C$35))</f>
        <v/>
      </c>
      <c r="P2313" s="54">
        <f>IF($B2313=0,NA(),IF(Inputs!$B$25&lt;&gt;"Yes",NA(),Inputs!$D$25*Inputs!$C$35))</f>
        <v/>
      </c>
      <c r="Q2313" s="54">
        <f>IF($B2313=0,NA(),IF(Inputs!$B$26&lt;&gt;"Yes",NA(),Inputs!$D$26*Inputs!$C$35))</f>
        <v/>
      </c>
      <c r="R2313" s="54">
        <f>IF($B2313=0,NA(),IF(Inputs!$B$27&lt;&gt;"Yes",NA(),Inputs!$D$27*Inputs!$C$35))</f>
        <v/>
      </c>
      <c r="S2313" s="54">
        <f>IF($B2313=0,NA(),IF(Inputs!$B$28&lt;&gt;"Yes",NA(),Inputs!$D$28*Inputs!$C$35))</f>
        <v/>
      </c>
      <c r="T2313" s="54">
        <f>IF($B2313=0,NA(),IF(Inputs!$B$29&lt;&gt;"Yes",NA(),Inputs!$D$29*Inputs!$C$35))</f>
        <v/>
      </c>
      <c r="AD2313">
        <f>IF($B2313=0,0,IF(Inputs!$B$6="",0,COUNTIFS(Data!$A$10:$A$3209,"&gt;="&amp;$A2313,Data!$A$10:$A$3209,"&lt;"&amp;$A2313+1)))</f>
        <v/>
      </c>
      <c r="AE2313">
        <f>IF($B2313=0,0,IF(Inputs!$B$7="",0,COUNTIFS(Data!$E$10:$E$3209,"&gt;="&amp;$A2313,Data!$E$10:$E$3209,"&lt;"&amp;$A2313+1)))</f>
        <v/>
      </c>
      <c r="AF2313">
        <f>IF($B2313=0,0,IF(Inputs!$B$8="",0,COUNTIFS(Data!$I$10:$I$3209,"&gt;="&amp;$A2313,Data!$I$10:$I$3209,"&lt;"&amp;$A2313+1)))</f>
        <v/>
      </c>
      <c r="AG2313">
        <f>IF($B2313=0,0,IF(Inputs!$B$9="",0,COUNTIFS(Data!$M$10:$M$3209,"&gt;="&amp;$A2313,Data!$M$10:$M$3209,"&lt;"&amp;$A2313+1)))</f>
        <v/>
      </c>
      <c r="AH2313">
        <f>IF($B2313=0,0,IF(Inputs!$B$10="",0,COUNTIFS(Data!$Q$10:$Q$3209,"&gt;="&amp;$A2313,Data!$Q$10:$Q$3209,"&lt;"&amp;$A2313+1)))</f>
        <v/>
      </c>
    </row>
    <row r="2314">
      <c r="A2314" s="55">
        <f>MIN(Inputs!$C$15,$A2313+IF(WEEKDAY($A2313,2)=5,3,1))</f>
        <v/>
      </c>
      <c r="B2314">
        <f>IF($A2314&gt;$A2313,1,0)</f>
        <v/>
      </c>
      <c r="C2314" s="56">
        <f>IF($B2314=0,"",IF(Inputs!$B$6="","",IF($AD2314=0,C2313,SUMIFS(Data!$B$10:$B$3209,Data!$A$10:$A$3209,"&gt;="&amp;$A2314,Data!$A$10:$A$3209,"&lt;"&amp;$A2314+1)/$AD2314)))</f>
        <v/>
      </c>
      <c r="D2314" s="56">
        <f>IF($B2314=0,"",IF(Inputs!$B$7="","",IF($AE2314=0,D2313,SUMIFS(Data!$F$10:$F$3209,Data!$E$10:$E$3209,"&gt;="&amp;$A2314,Data!$E$10:$E$3209,"&lt;"&amp;$A2314+1)/$AE2314)))</f>
        <v/>
      </c>
      <c r="E2314" s="56">
        <f>IF($B2314=0,"",IF(Inputs!$B$8="","",IF($AF2314=0,E2313,SUMIFS(Data!$J$10:$J$3209,Data!$I$10:$I$3209,"&gt;="&amp;$A2314,Data!$I$10:$I$3209,"&lt;"&amp;$A2314+1)/$AF2314)))</f>
        <v/>
      </c>
      <c r="F2314" s="56">
        <f>IF($B2314=0,"",IF(Inputs!$B$9="","",IF($AG2314=0,F2313,SUMIFS(Data!$N$10:$N$3209,Data!$M$10:$M$3209,"&gt;="&amp;$A2314,Data!$M$10:$M$3209,"&lt;"&amp;$A2314+1)/$AG2314)))</f>
        <v/>
      </c>
      <c r="G2314" s="56">
        <f>IF($B2314=0,"",IF(Inputs!$B$10="","",IF($AH2314=0,G2313,SUMIFS(Data!$R$10:$R$3209,Data!$Q$10:$Q$3209,"&gt;="&amp;$A2314,Data!$Q$10:$Q$3209,"&lt;"&amp;$A2314+1)/$AH2314)))</f>
        <v/>
      </c>
      <c r="I2314" s="54">
        <f>IF($B2314=0,NA(),IF($C2314="",NA(),IF(C$8="",NA(),IF(N(C$8)=0,NA(),IF(Inputs!$C$17="Rebased to 100",$C2314/C$8*100,$C2314)))))</f>
        <v/>
      </c>
      <c r="J2314" s="54">
        <f>IF($B2314=0,NA(),IF($D2314="",NA(),IF(D$8="",NA(),IF(N(D$8)=0,NA(),IF(Inputs!$C$17="Rebased to 100",$D2314/D$8*100,$D2314)))))</f>
        <v/>
      </c>
      <c r="K2314" s="54">
        <f>IF($B2314=0,NA(),IF($E2314="",NA(),IF(E$8="",NA(),IF(N(E$8)=0,NA(),IF(Inputs!$C$17="Rebased to 100",$E2314/E$8*100,$E2314)))))</f>
        <v/>
      </c>
      <c r="L2314" s="54">
        <f>IF($B2314=0,NA(),IF($F2314="",NA(),IF(F$8="",NA(),IF(N(F$8)=0,NA(),IF(Inputs!$C$17="Rebased to 100",$F2314/F$8*100,$F2314)))))</f>
        <v/>
      </c>
      <c r="M2314" s="54">
        <f>IF($B2314=0,NA(),IF($G2314="",NA(),IF(G$8="",NA(),IF(N(G$8)=0,NA(),IF(Inputs!$C$17="Rebased to 100",$G2314/G$8*100,$G2314)))))</f>
        <v/>
      </c>
      <c r="N2314" s="54">
        <f>IF($B2314=0,NA(),IF(Inputs!$C$18&lt;&gt;"Yes",NA(),IF(COUNT(I2314,J2314,K2314,L2314,M2314)=0,NA(),MIN(I2314,J2314,K2314,L2314,M2314))))</f>
        <v/>
      </c>
      <c r="O2314" s="54">
        <f>IF($B2314=0,NA(),IF(Inputs!$B$24&lt;&gt;"Yes",NA(),Inputs!$D$24*Inputs!$C$35))</f>
        <v/>
      </c>
      <c r="P2314" s="54">
        <f>IF($B2314=0,NA(),IF(Inputs!$B$25&lt;&gt;"Yes",NA(),Inputs!$D$25*Inputs!$C$35))</f>
        <v/>
      </c>
      <c r="Q2314" s="54">
        <f>IF($B2314=0,NA(),IF(Inputs!$B$26&lt;&gt;"Yes",NA(),Inputs!$D$26*Inputs!$C$35))</f>
        <v/>
      </c>
      <c r="R2314" s="54">
        <f>IF($B2314=0,NA(),IF(Inputs!$B$27&lt;&gt;"Yes",NA(),Inputs!$D$27*Inputs!$C$35))</f>
        <v/>
      </c>
      <c r="S2314" s="54">
        <f>IF($B2314=0,NA(),IF(Inputs!$B$28&lt;&gt;"Yes",NA(),Inputs!$D$28*Inputs!$C$35))</f>
        <v/>
      </c>
      <c r="T2314" s="54">
        <f>IF($B2314=0,NA(),IF(Inputs!$B$29&lt;&gt;"Yes",NA(),Inputs!$D$29*Inputs!$C$35))</f>
        <v/>
      </c>
      <c r="AD2314">
        <f>IF($B2314=0,0,IF(Inputs!$B$6="",0,COUNTIFS(Data!$A$10:$A$3209,"&gt;="&amp;$A2314,Data!$A$10:$A$3209,"&lt;"&amp;$A2314+1)))</f>
        <v/>
      </c>
      <c r="AE2314">
        <f>IF($B2314=0,0,IF(Inputs!$B$7="",0,COUNTIFS(Data!$E$10:$E$3209,"&gt;="&amp;$A2314,Data!$E$10:$E$3209,"&lt;"&amp;$A2314+1)))</f>
        <v/>
      </c>
      <c r="AF2314">
        <f>IF($B2314=0,0,IF(Inputs!$B$8="",0,COUNTIFS(Data!$I$10:$I$3209,"&gt;="&amp;$A2314,Data!$I$10:$I$3209,"&lt;"&amp;$A2314+1)))</f>
        <v/>
      </c>
      <c r="AG2314">
        <f>IF($B2314=0,0,IF(Inputs!$B$9="",0,COUNTIFS(Data!$M$10:$M$3209,"&gt;="&amp;$A2314,Data!$M$10:$M$3209,"&lt;"&amp;$A2314+1)))</f>
        <v/>
      </c>
      <c r="AH2314">
        <f>IF($B2314=0,0,IF(Inputs!$B$10="",0,COUNTIFS(Data!$Q$10:$Q$3209,"&gt;="&amp;$A2314,Data!$Q$10:$Q$3209,"&lt;"&amp;$A2314+1)))</f>
        <v/>
      </c>
    </row>
    <row r="2315">
      <c r="A2315" s="55">
        <f>MIN(Inputs!$C$15,$A2314+IF(WEEKDAY($A2314,2)=5,3,1))</f>
        <v/>
      </c>
      <c r="B2315">
        <f>IF($A2315&gt;$A2314,1,0)</f>
        <v/>
      </c>
      <c r="C2315" s="56">
        <f>IF($B2315=0,"",IF(Inputs!$B$6="","",IF($AD2315=0,C2314,SUMIFS(Data!$B$10:$B$3209,Data!$A$10:$A$3209,"&gt;="&amp;$A2315,Data!$A$10:$A$3209,"&lt;"&amp;$A2315+1)/$AD2315)))</f>
        <v/>
      </c>
      <c r="D2315" s="56">
        <f>IF($B2315=0,"",IF(Inputs!$B$7="","",IF($AE2315=0,D2314,SUMIFS(Data!$F$10:$F$3209,Data!$E$10:$E$3209,"&gt;="&amp;$A2315,Data!$E$10:$E$3209,"&lt;"&amp;$A2315+1)/$AE2315)))</f>
        <v/>
      </c>
      <c r="E2315" s="56">
        <f>IF($B2315=0,"",IF(Inputs!$B$8="","",IF($AF2315=0,E2314,SUMIFS(Data!$J$10:$J$3209,Data!$I$10:$I$3209,"&gt;="&amp;$A2315,Data!$I$10:$I$3209,"&lt;"&amp;$A2315+1)/$AF2315)))</f>
        <v/>
      </c>
      <c r="F2315" s="56">
        <f>IF($B2315=0,"",IF(Inputs!$B$9="","",IF($AG2315=0,F2314,SUMIFS(Data!$N$10:$N$3209,Data!$M$10:$M$3209,"&gt;="&amp;$A2315,Data!$M$10:$M$3209,"&lt;"&amp;$A2315+1)/$AG2315)))</f>
        <v/>
      </c>
      <c r="G2315" s="56">
        <f>IF($B2315=0,"",IF(Inputs!$B$10="","",IF($AH2315=0,G2314,SUMIFS(Data!$R$10:$R$3209,Data!$Q$10:$Q$3209,"&gt;="&amp;$A2315,Data!$Q$10:$Q$3209,"&lt;"&amp;$A2315+1)/$AH2315)))</f>
        <v/>
      </c>
      <c r="I2315" s="54">
        <f>IF($B2315=0,NA(),IF($C2315="",NA(),IF(C$8="",NA(),IF(N(C$8)=0,NA(),IF(Inputs!$C$17="Rebased to 100",$C2315/C$8*100,$C2315)))))</f>
        <v/>
      </c>
      <c r="J2315" s="54">
        <f>IF($B2315=0,NA(),IF($D2315="",NA(),IF(D$8="",NA(),IF(N(D$8)=0,NA(),IF(Inputs!$C$17="Rebased to 100",$D2315/D$8*100,$D2315)))))</f>
        <v/>
      </c>
      <c r="K2315" s="54">
        <f>IF($B2315=0,NA(),IF($E2315="",NA(),IF(E$8="",NA(),IF(N(E$8)=0,NA(),IF(Inputs!$C$17="Rebased to 100",$E2315/E$8*100,$E2315)))))</f>
        <v/>
      </c>
      <c r="L2315" s="54">
        <f>IF($B2315=0,NA(),IF($F2315="",NA(),IF(F$8="",NA(),IF(N(F$8)=0,NA(),IF(Inputs!$C$17="Rebased to 100",$F2315/F$8*100,$F2315)))))</f>
        <v/>
      </c>
      <c r="M2315" s="54">
        <f>IF($B2315=0,NA(),IF($G2315="",NA(),IF(G$8="",NA(),IF(N(G$8)=0,NA(),IF(Inputs!$C$17="Rebased to 100",$G2315/G$8*100,$G2315)))))</f>
        <v/>
      </c>
      <c r="N2315" s="54">
        <f>IF($B2315=0,NA(),IF(Inputs!$C$18&lt;&gt;"Yes",NA(),IF(COUNT(I2315,J2315,K2315,L2315,M2315)=0,NA(),MIN(I2315,J2315,K2315,L2315,M2315))))</f>
        <v/>
      </c>
      <c r="O2315" s="54">
        <f>IF($B2315=0,NA(),IF(Inputs!$B$24&lt;&gt;"Yes",NA(),Inputs!$D$24*Inputs!$C$35))</f>
        <v/>
      </c>
      <c r="P2315" s="54">
        <f>IF($B2315=0,NA(),IF(Inputs!$B$25&lt;&gt;"Yes",NA(),Inputs!$D$25*Inputs!$C$35))</f>
        <v/>
      </c>
      <c r="Q2315" s="54">
        <f>IF($B2315=0,NA(),IF(Inputs!$B$26&lt;&gt;"Yes",NA(),Inputs!$D$26*Inputs!$C$35))</f>
        <v/>
      </c>
      <c r="R2315" s="54">
        <f>IF($B2315=0,NA(),IF(Inputs!$B$27&lt;&gt;"Yes",NA(),Inputs!$D$27*Inputs!$C$35))</f>
        <v/>
      </c>
      <c r="S2315" s="54">
        <f>IF($B2315=0,NA(),IF(Inputs!$B$28&lt;&gt;"Yes",NA(),Inputs!$D$28*Inputs!$C$35))</f>
        <v/>
      </c>
      <c r="T2315" s="54">
        <f>IF($B2315=0,NA(),IF(Inputs!$B$29&lt;&gt;"Yes",NA(),Inputs!$D$29*Inputs!$C$35))</f>
        <v/>
      </c>
      <c r="AD2315">
        <f>IF($B2315=0,0,IF(Inputs!$B$6="",0,COUNTIFS(Data!$A$10:$A$3209,"&gt;="&amp;$A2315,Data!$A$10:$A$3209,"&lt;"&amp;$A2315+1)))</f>
        <v/>
      </c>
      <c r="AE2315">
        <f>IF($B2315=0,0,IF(Inputs!$B$7="",0,COUNTIFS(Data!$E$10:$E$3209,"&gt;="&amp;$A2315,Data!$E$10:$E$3209,"&lt;"&amp;$A2315+1)))</f>
        <v/>
      </c>
      <c r="AF2315">
        <f>IF($B2315=0,0,IF(Inputs!$B$8="",0,COUNTIFS(Data!$I$10:$I$3209,"&gt;="&amp;$A2315,Data!$I$10:$I$3209,"&lt;"&amp;$A2315+1)))</f>
        <v/>
      </c>
      <c r="AG2315">
        <f>IF($B2315=0,0,IF(Inputs!$B$9="",0,COUNTIFS(Data!$M$10:$M$3209,"&gt;="&amp;$A2315,Data!$M$10:$M$3209,"&lt;"&amp;$A2315+1)))</f>
        <v/>
      </c>
      <c r="AH2315">
        <f>IF($B2315=0,0,IF(Inputs!$B$10="",0,COUNTIFS(Data!$Q$10:$Q$3209,"&gt;="&amp;$A2315,Data!$Q$10:$Q$3209,"&lt;"&amp;$A2315+1)))</f>
        <v/>
      </c>
    </row>
    <row r="2316">
      <c r="A2316" s="55">
        <f>MIN(Inputs!$C$15,$A2315+IF(WEEKDAY($A2315,2)=5,3,1))</f>
        <v/>
      </c>
      <c r="B2316">
        <f>IF($A2316&gt;$A2315,1,0)</f>
        <v/>
      </c>
      <c r="C2316" s="56">
        <f>IF($B2316=0,"",IF(Inputs!$B$6="","",IF($AD2316=0,C2315,SUMIFS(Data!$B$10:$B$3209,Data!$A$10:$A$3209,"&gt;="&amp;$A2316,Data!$A$10:$A$3209,"&lt;"&amp;$A2316+1)/$AD2316)))</f>
        <v/>
      </c>
      <c r="D2316" s="56">
        <f>IF($B2316=0,"",IF(Inputs!$B$7="","",IF($AE2316=0,D2315,SUMIFS(Data!$F$10:$F$3209,Data!$E$10:$E$3209,"&gt;="&amp;$A2316,Data!$E$10:$E$3209,"&lt;"&amp;$A2316+1)/$AE2316)))</f>
        <v/>
      </c>
      <c r="E2316" s="56">
        <f>IF($B2316=0,"",IF(Inputs!$B$8="","",IF($AF2316=0,E2315,SUMIFS(Data!$J$10:$J$3209,Data!$I$10:$I$3209,"&gt;="&amp;$A2316,Data!$I$10:$I$3209,"&lt;"&amp;$A2316+1)/$AF2316)))</f>
        <v/>
      </c>
      <c r="F2316" s="56">
        <f>IF($B2316=0,"",IF(Inputs!$B$9="","",IF($AG2316=0,F2315,SUMIFS(Data!$N$10:$N$3209,Data!$M$10:$M$3209,"&gt;="&amp;$A2316,Data!$M$10:$M$3209,"&lt;"&amp;$A2316+1)/$AG2316)))</f>
        <v/>
      </c>
      <c r="G2316" s="56">
        <f>IF($B2316=0,"",IF(Inputs!$B$10="","",IF($AH2316=0,G2315,SUMIFS(Data!$R$10:$R$3209,Data!$Q$10:$Q$3209,"&gt;="&amp;$A2316,Data!$Q$10:$Q$3209,"&lt;"&amp;$A2316+1)/$AH2316)))</f>
        <v/>
      </c>
      <c r="I2316" s="54">
        <f>IF($B2316=0,NA(),IF($C2316="",NA(),IF(C$8="",NA(),IF(N(C$8)=0,NA(),IF(Inputs!$C$17="Rebased to 100",$C2316/C$8*100,$C2316)))))</f>
        <v/>
      </c>
      <c r="J2316" s="54">
        <f>IF($B2316=0,NA(),IF($D2316="",NA(),IF(D$8="",NA(),IF(N(D$8)=0,NA(),IF(Inputs!$C$17="Rebased to 100",$D2316/D$8*100,$D2316)))))</f>
        <v/>
      </c>
      <c r="K2316" s="54">
        <f>IF($B2316=0,NA(),IF($E2316="",NA(),IF(E$8="",NA(),IF(N(E$8)=0,NA(),IF(Inputs!$C$17="Rebased to 100",$E2316/E$8*100,$E2316)))))</f>
        <v/>
      </c>
      <c r="L2316" s="54">
        <f>IF($B2316=0,NA(),IF($F2316="",NA(),IF(F$8="",NA(),IF(N(F$8)=0,NA(),IF(Inputs!$C$17="Rebased to 100",$F2316/F$8*100,$F2316)))))</f>
        <v/>
      </c>
      <c r="M2316" s="54">
        <f>IF($B2316=0,NA(),IF($G2316="",NA(),IF(G$8="",NA(),IF(N(G$8)=0,NA(),IF(Inputs!$C$17="Rebased to 100",$G2316/G$8*100,$G2316)))))</f>
        <v/>
      </c>
      <c r="N2316" s="54">
        <f>IF($B2316=0,NA(),IF(Inputs!$C$18&lt;&gt;"Yes",NA(),IF(COUNT(I2316,J2316,K2316,L2316,M2316)=0,NA(),MIN(I2316,J2316,K2316,L2316,M2316))))</f>
        <v/>
      </c>
      <c r="O2316" s="54">
        <f>IF($B2316=0,NA(),IF(Inputs!$B$24&lt;&gt;"Yes",NA(),Inputs!$D$24*Inputs!$C$35))</f>
        <v/>
      </c>
      <c r="P2316" s="54">
        <f>IF($B2316=0,NA(),IF(Inputs!$B$25&lt;&gt;"Yes",NA(),Inputs!$D$25*Inputs!$C$35))</f>
        <v/>
      </c>
      <c r="Q2316" s="54">
        <f>IF($B2316=0,NA(),IF(Inputs!$B$26&lt;&gt;"Yes",NA(),Inputs!$D$26*Inputs!$C$35))</f>
        <v/>
      </c>
      <c r="R2316" s="54">
        <f>IF($B2316=0,NA(),IF(Inputs!$B$27&lt;&gt;"Yes",NA(),Inputs!$D$27*Inputs!$C$35))</f>
        <v/>
      </c>
      <c r="S2316" s="54">
        <f>IF($B2316=0,NA(),IF(Inputs!$B$28&lt;&gt;"Yes",NA(),Inputs!$D$28*Inputs!$C$35))</f>
        <v/>
      </c>
      <c r="T2316" s="54">
        <f>IF($B2316=0,NA(),IF(Inputs!$B$29&lt;&gt;"Yes",NA(),Inputs!$D$29*Inputs!$C$35))</f>
        <v/>
      </c>
      <c r="AD2316">
        <f>IF($B2316=0,0,IF(Inputs!$B$6="",0,COUNTIFS(Data!$A$10:$A$3209,"&gt;="&amp;$A2316,Data!$A$10:$A$3209,"&lt;"&amp;$A2316+1)))</f>
        <v/>
      </c>
      <c r="AE2316">
        <f>IF($B2316=0,0,IF(Inputs!$B$7="",0,COUNTIFS(Data!$E$10:$E$3209,"&gt;="&amp;$A2316,Data!$E$10:$E$3209,"&lt;"&amp;$A2316+1)))</f>
        <v/>
      </c>
      <c r="AF2316">
        <f>IF($B2316=0,0,IF(Inputs!$B$8="",0,COUNTIFS(Data!$I$10:$I$3209,"&gt;="&amp;$A2316,Data!$I$10:$I$3209,"&lt;"&amp;$A2316+1)))</f>
        <v/>
      </c>
      <c r="AG2316">
        <f>IF($B2316=0,0,IF(Inputs!$B$9="",0,COUNTIFS(Data!$M$10:$M$3209,"&gt;="&amp;$A2316,Data!$M$10:$M$3209,"&lt;"&amp;$A2316+1)))</f>
        <v/>
      </c>
      <c r="AH2316">
        <f>IF($B2316=0,0,IF(Inputs!$B$10="",0,COUNTIFS(Data!$Q$10:$Q$3209,"&gt;="&amp;$A2316,Data!$Q$10:$Q$3209,"&lt;"&amp;$A2316+1)))</f>
        <v/>
      </c>
    </row>
    <row r="2317">
      <c r="A2317" s="55">
        <f>MIN(Inputs!$C$15,$A2316+IF(WEEKDAY($A2316,2)=5,3,1))</f>
        <v/>
      </c>
      <c r="B2317">
        <f>IF($A2317&gt;$A2316,1,0)</f>
        <v/>
      </c>
      <c r="C2317" s="56">
        <f>IF($B2317=0,"",IF(Inputs!$B$6="","",IF($AD2317=0,C2316,SUMIFS(Data!$B$10:$B$3209,Data!$A$10:$A$3209,"&gt;="&amp;$A2317,Data!$A$10:$A$3209,"&lt;"&amp;$A2317+1)/$AD2317)))</f>
        <v/>
      </c>
      <c r="D2317" s="56">
        <f>IF($B2317=0,"",IF(Inputs!$B$7="","",IF($AE2317=0,D2316,SUMIFS(Data!$F$10:$F$3209,Data!$E$10:$E$3209,"&gt;="&amp;$A2317,Data!$E$10:$E$3209,"&lt;"&amp;$A2317+1)/$AE2317)))</f>
        <v/>
      </c>
      <c r="E2317" s="56">
        <f>IF($B2317=0,"",IF(Inputs!$B$8="","",IF($AF2317=0,E2316,SUMIFS(Data!$J$10:$J$3209,Data!$I$10:$I$3209,"&gt;="&amp;$A2317,Data!$I$10:$I$3209,"&lt;"&amp;$A2317+1)/$AF2317)))</f>
        <v/>
      </c>
      <c r="F2317" s="56">
        <f>IF($B2317=0,"",IF(Inputs!$B$9="","",IF($AG2317=0,F2316,SUMIFS(Data!$N$10:$N$3209,Data!$M$10:$M$3209,"&gt;="&amp;$A2317,Data!$M$10:$M$3209,"&lt;"&amp;$A2317+1)/$AG2317)))</f>
        <v/>
      </c>
      <c r="G2317" s="56">
        <f>IF($B2317=0,"",IF(Inputs!$B$10="","",IF($AH2317=0,G2316,SUMIFS(Data!$R$10:$R$3209,Data!$Q$10:$Q$3209,"&gt;="&amp;$A2317,Data!$Q$10:$Q$3209,"&lt;"&amp;$A2317+1)/$AH2317)))</f>
        <v/>
      </c>
      <c r="I2317" s="54">
        <f>IF($B2317=0,NA(),IF($C2317="",NA(),IF(C$8="",NA(),IF(N(C$8)=0,NA(),IF(Inputs!$C$17="Rebased to 100",$C2317/C$8*100,$C2317)))))</f>
        <v/>
      </c>
      <c r="J2317" s="54">
        <f>IF($B2317=0,NA(),IF($D2317="",NA(),IF(D$8="",NA(),IF(N(D$8)=0,NA(),IF(Inputs!$C$17="Rebased to 100",$D2317/D$8*100,$D2317)))))</f>
        <v/>
      </c>
      <c r="K2317" s="54">
        <f>IF($B2317=0,NA(),IF($E2317="",NA(),IF(E$8="",NA(),IF(N(E$8)=0,NA(),IF(Inputs!$C$17="Rebased to 100",$E2317/E$8*100,$E2317)))))</f>
        <v/>
      </c>
      <c r="L2317" s="54">
        <f>IF($B2317=0,NA(),IF($F2317="",NA(),IF(F$8="",NA(),IF(N(F$8)=0,NA(),IF(Inputs!$C$17="Rebased to 100",$F2317/F$8*100,$F2317)))))</f>
        <v/>
      </c>
      <c r="M2317" s="54">
        <f>IF($B2317=0,NA(),IF($G2317="",NA(),IF(G$8="",NA(),IF(N(G$8)=0,NA(),IF(Inputs!$C$17="Rebased to 100",$G2317/G$8*100,$G2317)))))</f>
        <v/>
      </c>
      <c r="N2317" s="54">
        <f>IF($B2317=0,NA(),IF(Inputs!$C$18&lt;&gt;"Yes",NA(),IF(COUNT(I2317,J2317,K2317,L2317,M2317)=0,NA(),MIN(I2317,J2317,K2317,L2317,M2317))))</f>
        <v/>
      </c>
      <c r="O2317" s="54">
        <f>IF($B2317=0,NA(),IF(Inputs!$B$24&lt;&gt;"Yes",NA(),Inputs!$D$24*Inputs!$C$35))</f>
        <v/>
      </c>
      <c r="P2317" s="54">
        <f>IF($B2317=0,NA(),IF(Inputs!$B$25&lt;&gt;"Yes",NA(),Inputs!$D$25*Inputs!$C$35))</f>
        <v/>
      </c>
      <c r="Q2317" s="54">
        <f>IF($B2317=0,NA(),IF(Inputs!$B$26&lt;&gt;"Yes",NA(),Inputs!$D$26*Inputs!$C$35))</f>
        <v/>
      </c>
      <c r="R2317" s="54">
        <f>IF($B2317=0,NA(),IF(Inputs!$B$27&lt;&gt;"Yes",NA(),Inputs!$D$27*Inputs!$C$35))</f>
        <v/>
      </c>
      <c r="S2317" s="54">
        <f>IF($B2317=0,NA(),IF(Inputs!$B$28&lt;&gt;"Yes",NA(),Inputs!$D$28*Inputs!$C$35))</f>
        <v/>
      </c>
      <c r="T2317" s="54">
        <f>IF($B2317=0,NA(),IF(Inputs!$B$29&lt;&gt;"Yes",NA(),Inputs!$D$29*Inputs!$C$35))</f>
        <v/>
      </c>
      <c r="AD2317">
        <f>IF($B2317=0,0,IF(Inputs!$B$6="",0,COUNTIFS(Data!$A$10:$A$3209,"&gt;="&amp;$A2317,Data!$A$10:$A$3209,"&lt;"&amp;$A2317+1)))</f>
        <v/>
      </c>
      <c r="AE2317">
        <f>IF($B2317=0,0,IF(Inputs!$B$7="",0,COUNTIFS(Data!$E$10:$E$3209,"&gt;="&amp;$A2317,Data!$E$10:$E$3209,"&lt;"&amp;$A2317+1)))</f>
        <v/>
      </c>
      <c r="AF2317">
        <f>IF($B2317=0,0,IF(Inputs!$B$8="",0,COUNTIFS(Data!$I$10:$I$3209,"&gt;="&amp;$A2317,Data!$I$10:$I$3209,"&lt;"&amp;$A2317+1)))</f>
        <v/>
      </c>
      <c r="AG2317">
        <f>IF($B2317=0,0,IF(Inputs!$B$9="",0,COUNTIFS(Data!$M$10:$M$3209,"&gt;="&amp;$A2317,Data!$M$10:$M$3209,"&lt;"&amp;$A2317+1)))</f>
        <v/>
      </c>
      <c r="AH2317">
        <f>IF($B2317=0,0,IF(Inputs!$B$10="",0,COUNTIFS(Data!$Q$10:$Q$3209,"&gt;="&amp;$A2317,Data!$Q$10:$Q$3209,"&lt;"&amp;$A2317+1)))</f>
        <v/>
      </c>
    </row>
    <row r="2318">
      <c r="A2318" s="55">
        <f>MIN(Inputs!$C$15,$A2317+IF(WEEKDAY($A2317,2)=5,3,1))</f>
        <v/>
      </c>
      <c r="B2318">
        <f>IF($A2318&gt;$A2317,1,0)</f>
        <v/>
      </c>
      <c r="C2318" s="56">
        <f>IF($B2318=0,"",IF(Inputs!$B$6="","",IF($AD2318=0,C2317,SUMIFS(Data!$B$10:$B$3209,Data!$A$10:$A$3209,"&gt;="&amp;$A2318,Data!$A$10:$A$3209,"&lt;"&amp;$A2318+1)/$AD2318)))</f>
        <v/>
      </c>
      <c r="D2318" s="56">
        <f>IF($B2318=0,"",IF(Inputs!$B$7="","",IF($AE2318=0,D2317,SUMIFS(Data!$F$10:$F$3209,Data!$E$10:$E$3209,"&gt;="&amp;$A2318,Data!$E$10:$E$3209,"&lt;"&amp;$A2318+1)/$AE2318)))</f>
        <v/>
      </c>
      <c r="E2318" s="56">
        <f>IF($B2318=0,"",IF(Inputs!$B$8="","",IF($AF2318=0,E2317,SUMIFS(Data!$J$10:$J$3209,Data!$I$10:$I$3209,"&gt;="&amp;$A2318,Data!$I$10:$I$3209,"&lt;"&amp;$A2318+1)/$AF2318)))</f>
        <v/>
      </c>
      <c r="F2318" s="56">
        <f>IF($B2318=0,"",IF(Inputs!$B$9="","",IF($AG2318=0,F2317,SUMIFS(Data!$N$10:$N$3209,Data!$M$10:$M$3209,"&gt;="&amp;$A2318,Data!$M$10:$M$3209,"&lt;"&amp;$A2318+1)/$AG2318)))</f>
        <v/>
      </c>
      <c r="G2318" s="56">
        <f>IF($B2318=0,"",IF(Inputs!$B$10="","",IF($AH2318=0,G2317,SUMIFS(Data!$R$10:$R$3209,Data!$Q$10:$Q$3209,"&gt;="&amp;$A2318,Data!$Q$10:$Q$3209,"&lt;"&amp;$A2318+1)/$AH2318)))</f>
        <v/>
      </c>
      <c r="I2318" s="54">
        <f>IF($B2318=0,NA(),IF($C2318="",NA(),IF(C$8="",NA(),IF(N(C$8)=0,NA(),IF(Inputs!$C$17="Rebased to 100",$C2318/C$8*100,$C2318)))))</f>
        <v/>
      </c>
      <c r="J2318" s="54">
        <f>IF($B2318=0,NA(),IF($D2318="",NA(),IF(D$8="",NA(),IF(N(D$8)=0,NA(),IF(Inputs!$C$17="Rebased to 100",$D2318/D$8*100,$D2318)))))</f>
        <v/>
      </c>
      <c r="K2318" s="54">
        <f>IF($B2318=0,NA(),IF($E2318="",NA(),IF(E$8="",NA(),IF(N(E$8)=0,NA(),IF(Inputs!$C$17="Rebased to 100",$E2318/E$8*100,$E2318)))))</f>
        <v/>
      </c>
      <c r="L2318" s="54">
        <f>IF($B2318=0,NA(),IF($F2318="",NA(),IF(F$8="",NA(),IF(N(F$8)=0,NA(),IF(Inputs!$C$17="Rebased to 100",$F2318/F$8*100,$F2318)))))</f>
        <v/>
      </c>
      <c r="M2318" s="54">
        <f>IF($B2318=0,NA(),IF($G2318="",NA(),IF(G$8="",NA(),IF(N(G$8)=0,NA(),IF(Inputs!$C$17="Rebased to 100",$G2318/G$8*100,$G2318)))))</f>
        <v/>
      </c>
      <c r="N2318" s="54">
        <f>IF($B2318=0,NA(),IF(Inputs!$C$18&lt;&gt;"Yes",NA(),IF(COUNT(I2318,J2318,K2318,L2318,M2318)=0,NA(),MIN(I2318,J2318,K2318,L2318,M2318))))</f>
        <v/>
      </c>
      <c r="O2318" s="54">
        <f>IF($B2318=0,NA(),IF(Inputs!$B$24&lt;&gt;"Yes",NA(),Inputs!$D$24*Inputs!$C$35))</f>
        <v/>
      </c>
      <c r="P2318" s="54">
        <f>IF($B2318=0,NA(),IF(Inputs!$B$25&lt;&gt;"Yes",NA(),Inputs!$D$25*Inputs!$C$35))</f>
        <v/>
      </c>
      <c r="Q2318" s="54">
        <f>IF($B2318=0,NA(),IF(Inputs!$B$26&lt;&gt;"Yes",NA(),Inputs!$D$26*Inputs!$C$35))</f>
        <v/>
      </c>
      <c r="R2318" s="54">
        <f>IF($B2318=0,NA(),IF(Inputs!$B$27&lt;&gt;"Yes",NA(),Inputs!$D$27*Inputs!$C$35))</f>
        <v/>
      </c>
      <c r="S2318" s="54">
        <f>IF($B2318=0,NA(),IF(Inputs!$B$28&lt;&gt;"Yes",NA(),Inputs!$D$28*Inputs!$C$35))</f>
        <v/>
      </c>
      <c r="T2318" s="54">
        <f>IF($B2318=0,NA(),IF(Inputs!$B$29&lt;&gt;"Yes",NA(),Inputs!$D$29*Inputs!$C$35))</f>
        <v/>
      </c>
      <c r="AD2318">
        <f>IF($B2318=0,0,IF(Inputs!$B$6="",0,COUNTIFS(Data!$A$10:$A$3209,"&gt;="&amp;$A2318,Data!$A$10:$A$3209,"&lt;"&amp;$A2318+1)))</f>
        <v/>
      </c>
      <c r="AE2318">
        <f>IF($B2318=0,0,IF(Inputs!$B$7="",0,COUNTIFS(Data!$E$10:$E$3209,"&gt;="&amp;$A2318,Data!$E$10:$E$3209,"&lt;"&amp;$A2318+1)))</f>
        <v/>
      </c>
      <c r="AF2318">
        <f>IF($B2318=0,0,IF(Inputs!$B$8="",0,COUNTIFS(Data!$I$10:$I$3209,"&gt;="&amp;$A2318,Data!$I$10:$I$3209,"&lt;"&amp;$A2318+1)))</f>
        <v/>
      </c>
      <c r="AG2318">
        <f>IF($B2318=0,0,IF(Inputs!$B$9="",0,COUNTIFS(Data!$M$10:$M$3209,"&gt;="&amp;$A2318,Data!$M$10:$M$3209,"&lt;"&amp;$A2318+1)))</f>
        <v/>
      </c>
      <c r="AH2318">
        <f>IF($B2318=0,0,IF(Inputs!$B$10="",0,COUNTIFS(Data!$Q$10:$Q$3209,"&gt;="&amp;$A2318,Data!$Q$10:$Q$3209,"&lt;"&amp;$A2318+1)))</f>
        <v/>
      </c>
    </row>
    <row r="2319">
      <c r="A2319" s="55">
        <f>MIN(Inputs!$C$15,$A2318+IF(WEEKDAY($A2318,2)=5,3,1))</f>
        <v/>
      </c>
      <c r="B2319">
        <f>IF($A2319&gt;$A2318,1,0)</f>
        <v/>
      </c>
      <c r="C2319" s="56">
        <f>IF($B2319=0,"",IF(Inputs!$B$6="","",IF($AD2319=0,C2318,SUMIFS(Data!$B$10:$B$3209,Data!$A$10:$A$3209,"&gt;="&amp;$A2319,Data!$A$10:$A$3209,"&lt;"&amp;$A2319+1)/$AD2319)))</f>
        <v/>
      </c>
      <c r="D2319" s="56">
        <f>IF($B2319=0,"",IF(Inputs!$B$7="","",IF($AE2319=0,D2318,SUMIFS(Data!$F$10:$F$3209,Data!$E$10:$E$3209,"&gt;="&amp;$A2319,Data!$E$10:$E$3209,"&lt;"&amp;$A2319+1)/$AE2319)))</f>
        <v/>
      </c>
      <c r="E2319" s="56">
        <f>IF($B2319=0,"",IF(Inputs!$B$8="","",IF($AF2319=0,E2318,SUMIFS(Data!$J$10:$J$3209,Data!$I$10:$I$3209,"&gt;="&amp;$A2319,Data!$I$10:$I$3209,"&lt;"&amp;$A2319+1)/$AF2319)))</f>
        <v/>
      </c>
      <c r="F2319" s="56">
        <f>IF($B2319=0,"",IF(Inputs!$B$9="","",IF($AG2319=0,F2318,SUMIFS(Data!$N$10:$N$3209,Data!$M$10:$M$3209,"&gt;="&amp;$A2319,Data!$M$10:$M$3209,"&lt;"&amp;$A2319+1)/$AG2319)))</f>
        <v/>
      </c>
      <c r="G2319" s="56">
        <f>IF($B2319=0,"",IF(Inputs!$B$10="","",IF($AH2319=0,G2318,SUMIFS(Data!$R$10:$R$3209,Data!$Q$10:$Q$3209,"&gt;="&amp;$A2319,Data!$Q$10:$Q$3209,"&lt;"&amp;$A2319+1)/$AH2319)))</f>
        <v/>
      </c>
      <c r="I2319" s="54">
        <f>IF($B2319=0,NA(),IF($C2319="",NA(),IF(C$8="",NA(),IF(N(C$8)=0,NA(),IF(Inputs!$C$17="Rebased to 100",$C2319/C$8*100,$C2319)))))</f>
        <v/>
      </c>
      <c r="J2319" s="54">
        <f>IF($B2319=0,NA(),IF($D2319="",NA(),IF(D$8="",NA(),IF(N(D$8)=0,NA(),IF(Inputs!$C$17="Rebased to 100",$D2319/D$8*100,$D2319)))))</f>
        <v/>
      </c>
      <c r="K2319" s="54">
        <f>IF($B2319=0,NA(),IF($E2319="",NA(),IF(E$8="",NA(),IF(N(E$8)=0,NA(),IF(Inputs!$C$17="Rebased to 100",$E2319/E$8*100,$E2319)))))</f>
        <v/>
      </c>
      <c r="L2319" s="54">
        <f>IF($B2319=0,NA(),IF($F2319="",NA(),IF(F$8="",NA(),IF(N(F$8)=0,NA(),IF(Inputs!$C$17="Rebased to 100",$F2319/F$8*100,$F2319)))))</f>
        <v/>
      </c>
      <c r="M2319" s="54">
        <f>IF($B2319=0,NA(),IF($G2319="",NA(),IF(G$8="",NA(),IF(N(G$8)=0,NA(),IF(Inputs!$C$17="Rebased to 100",$G2319/G$8*100,$G2319)))))</f>
        <v/>
      </c>
      <c r="N2319" s="54">
        <f>IF($B2319=0,NA(),IF(Inputs!$C$18&lt;&gt;"Yes",NA(),IF(COUNT(I2319,J2319,K2319,L2319,M2319)=0,NA(),MIN(I2319,J2319,K2319,L2319,M2319))))</f>
        <v/>
      </c>
      <c r="O2319" s="54">
        <f>IF($B2319=0,NA(),IF(Inputs!$B$24&lt;&gt;"Yes",NA(),Inputs!$D$24*Inputs!$C$35))</f>
        <v/>
      </c>
      <c r="P2319" s="54">
        <f>IF($B2319=0,NA(),IF(Inputs!$B$25&lt;&gt;"Yes",NA(),Inputs!$D$25*Inputs!$C$35))</f>
        <v/>
      </c>
      <c r="Q2319" s="54">
        <f>IF($B2319=0,NA(),IF(Inputs!$B$26&lt;&gt;"Yes",NA(),Inputs!$D$26*Inputs!$C$35))</f>
        <v/>
      </c>
      <c r="R2319" s="54">
        <f>IF($B2319=0,NA(),IF(Inputs!$B$27&lt;&gt;"Yes",NA(),Inputs!$D$27*Inputs!$C$35))</f>
        <v/>
      </c>
      <c r="S2319" s="54">
        <f>IF($B2319=0,NA(),IF(Inputs!$B$28&lt;&gt;"Yes",NA(),Inputs!$D$28*Inputs!$C$35))</f>
        <v/>
      </c>
      <c r="T2319" s="54">
        <f>IF($B2319=0,NA(),IF(Inputs!$B$29&lt;&gt;"Yes",NA(),Inputs!$D$29*Inputs!$C$35))</f>
        <v/>
      </c>
      <c r="AD2319">
        <f>IF($B2319=0,0,IF(Inputs!$B$6="",0,COUNTIFS(Data!$A$10:$A$3209,"&gt;="&amp;$A2319,Data!$A$10:$A$3209,"&lt;"&amp;$A2319+1)))</f>
        <v/>
      </c>
      <c r="AE2319">
        <f>IF($B2319=0,0,IF(Inputs!$B$7="",0,COUNTIFS(Data!$E$10:$E$3209,"&gt;="&amp;$A2319,Data!$E$10:$E$3209,"&lt;"&amp;$A2319+1)))</f>
        <v/>
      </c>
      <c r="AF2319">
        <f>IF($B2319=0,0,IF(Inputs!$B$8="",0,COUNTIFS(Data!$I$10:$I$3209,"&gt;="&amp;$A2319,Data!$I$10:$I$3209,"&lt;"&amp;$A2319+1)))</f>
        <v/>
      </c>
      <c r="AG2319">
        <f>IF($B2319=0,0,IF(Inputs!$B$9="",0,COUNTIFS(Data!$M$10:$M$3209,"&gt;="&amp;$A2319,Data!$M$10:$M$3209,"&lt;"&amp;$A2319+1)))</f>
        <v/>
      </c>
      <c r="AH2319">
        <f>IF($B2319=0,0,IF(Inputs!$B$10="",0,COUNTIFS(Data!$Q$10:$Q$3209,"&gt;="&amp;$A2319,Data!$Q$10:$Q$3209,"&lt;"&amp;$A2319+1)))</f>
        <v/>
      </c>
    </row>
    <row r="2320">
      <c r="A2320" s="55">
        <f>MIN(Inputs!$C$15,$A2319+IF(WEEKDAY($A2319,2)=5,3,1))</f>
        <v/>
      </c>
      <c r="B2320">
        <f>IF($A2320&gt;$A2319,1,0)</f>
        <v/>
      </c>
      <c r="C2320" s="56">
        <f>IF($B2320=0,"",IF(Inputs!$B$6="","",IF($AD2320=0,C2319,SUMIFS(Data!$B$10:$B$3209,Data!$A$10:$A$3209,"&gt;="&amp;$A2320,Data!$A$10:$A$3209,"&lt;"&amp;$A2320+1)/$AD2320)))</f>
        <v/>
      </c>
      <c r="D2320" s="56">
        <f>IF($B2320=0,"",IF(Inputs!$B$7="","",IF($AE2320=0,D2319,SUMIFS(Data!$F$10:$F$3209,Data!$E$10:$E$3209,"&gt;="&amp;$A2320,Data!$E$10:$E$3209,"&lt;"&amp;$A2320+1)/$AE2320)))</f>
        <v/>
      </c>
      <c r="E2320" s="56">
        <f>IF($B2320=0,"",IF(Inputs!$B$8="","",IF($AF2320=0,E2319,SUMIFS(Data!$J$10:$J$3209,Data!$I$10:$I$3209,"&gt;="&amp;$A2320,Data!$I$10:$I$3209,"&lt;"&amp;$A2320+1)/$AF2320)))</f>
        <v/>
      </c>
      <c r="F2320" s="56">
        <f>IF($B2320=0,"",IF(Inputs!$B$9="","",IF($AG2320=0,F2319,SUMIFS(Data!$N$10:$N$3209,Data!$M$10:$M$3209,"&gt;="&amp;$A2320,Data!$M$10:$M$3209,"&lt;"&amp;$A2320+1)/$AG2320)))</f>
        <v/>
      </c>
      <c r="G2320" s="56">
        <f>IF($B2320=0,"",IF(Inputs!$B$10="","",IF($AH2320=0,G2319,SUMIFS(Data!$R$10:$R$3209,Data!$Q$10:$Q$3209,"&gt;="&amp;$A2320,Data!$Q$10:$Q$3209,"&lt;"&amp;$A2320+1)/$AH2320)))</f>
        <v/>
      </c>
      <c r="I2320" s="54">
        <f>IF($B2320=0,NA(),IF($C2320="",NA(),IF(C$8="",NA(),IF(N(C$8)=0,NA(),IF(Inputs!$C$17="Rebased to 100",$C2320/C$8*100,$C2320)))))</f>
        <v/>
      </c>
      <c r="J2320" s="54">
        <f>IF($B2320=0,NA(),IF($D2320="",NA(),IF(D$8="",NA(),IF(N(D$8)=0,NA(),IF(Inputs!$C$17="Rebased to 100",$D2320/D$8*100,$D2320)))))</f>
        <v/>
      </c>
      <c r="K2320" s="54">
        <f>IF($B2320=0,NA(),IF($E2320="",NA(),IF(E$8="",NA(),IF(N(E$8)=0,NA(),IF(Inputs!$C$17="Rebased to 100",$E2320/E$8*100,$E2320)))))</f>
        <v/>
      </c>
      <c r="L2320" s="54">
        <f>IF($B2320=0,NA(),IF($F2320="",NA(),IF(F$8="",NA(),IF(N(F$8)=0,NA(),IF(Inputs!$C$17="Rebased to 100",$F2320/F$8*100,$F2320)))))</f>
        <v/>
      </c>
      <c r="M2320" s="54">
        <f>IF($B2320=0,NA(),IF($G2320="",NA(),IF(G$8="",NA(),IF(N(G$8)=0,NA(),IF(Inputs!$C$17="Rebased to 100",$G2320/G$8*100,$G2320)))))</f>
        <v/>
      </c>
      <c r="N2320" s="54">
        <f>IF($B2320=0,NA(),IF(Inputs!$C$18&lt;&gt;"Yes",NA(),IF(COUNT(I2320,J2320,K2320,L2320,M2320)=0,NA(),MIN(I2320,J2320,K2320,L2320,M2320))))</f>
        <v/>
      </c>
      <c r="O2320" s="54">
        <f>IF($B2320=0,NA(),IF(Inputs!$B$24&lt;&gt;"Yes",NA(),Inputs!$D$24*Inputs!$C$35))</f>
        <v/>
      </c>
      <c r="P2320" s="54">
        <f>IF($B2320=0,NA(),IF(Inputs!$B$25&lt;&gt;"Yes",NA(),Inputs!$D$25*Inputs!$C$35))</f>
        <v/>
      </c>
      <c r="Q2320" s="54">
        <f>IF($B2320=0,NA(),IF(Inputs!$B$26&lt;&gt;"Yes",NA(),Inputs!$D$26*Inputs!$C$35))</f>
        <v/>
      </c>
      <c r="R2320" s="54">
        <f>IF($B2320=0,NA(),IF(Inputs!$B$27&lt;&gt;"Yes",NA(),Inputs!$D$27*Inputs!$C$35))</f>
        <v/>
      </c>
      <c r="S2320" s="54">
        <f>IF($B2320=0,NA(),IF(Inputs!$B$28&lt;&gt;"Yes",NA(),Inputs!$D$28*Inputs!$C$35))</f>
        <v/>
      </c>
      <c r="T2320" s="54">
        <f>IF($B2320=0,NA(),IF(Inputs!$B$29&lt;&gt;"Yes",NA(),Inputs!$D$29*Inputs!$C$35))</f>
        <v/>
      </c>
      <c r="AD2320">
        <f>IF($B2320=0,0,IF(Inputs!$B$6="",0,COUNTIFS(Data!$A$10:$A$3209,"&gt;="&amp;$A2320,Data!$A$10:$A$3209,"&lt;"&amp;$A2320+1)))</f>
        <v/>
      </c>
      <c r="AE2320">
        <f>IF($B2320=0,0,IF(Inputs!$B$7="",0,COUNTIFS(Data!$E$10:$E$3209,"&gt;="&amp;$A2320,Data!$E$10:$E$3209,"&lt;"&amp;$A2320+1)))</f>
        <v/>
      </c>
      <c r="AF2320">
        <f>IF($B2320=0,0,IF(Inputs!$B$8="",0,COUNTIFS(Data!$I$10:$I$3209,"&gt;="&amp;$A2320,Data!$I$10:$I$3209,"&lt;"&amp;$A2320+1)))</f>
        <v/>
      </c>
      <c r="AG2320">
        <f>IF($B2320=0,0,IF(Inputs!$B$9="",0,COUNTIFS(Data!$M$10:$M$3209,"&gt;="&amp;$A2320,Data!$M$10:$M$3209,"&lt;"&amp;$A2320+1)))</f>
        <v/>
      </c>
      <c r="AH2320">
        <f>IF($B2320=0,0,IF(Inputs!$B$10="",0,COUNTIFS(Data!$Q$10:$Q$3209,"&gt;="&amp;$A2320,Data!$Q$10:$Q$3209,"&lt;"&amp;$A2320+1)))</f>
        <v/>
      </c>
    </row>
    <row r="2321">
      <c r="A2321" s="55">
        <f>MIN(Inputs!$C$15,$A2320+IF(WEEKDAY($A2320,2)=5,3,1))</f>
        <v/>
      </c>
      <c r="B2321">
        <f>IF($A2321&gt;$A2320,1,0)</f>
        <v/>
      </c>
      <c r="C2321" s="56">
        <f>IF($B2321=0,"",IF(Inputs!$B$6="","",IF($AD2321=0,C2320,SUMIFS(Data!$B$10:$B$3209,Data!$A$10:$A$3209,"&gt;="&amp;$A2321,Data!$A$10:$A$3209,"&lt;"&amp;$A2321+1)/$AD2321)))</f>
        <v/>
      </c>
      <c r="D2321" s="56">
        <f>IF($B2321=0,"",IF(Inputs!$B$7="","",IF($AE2321=0,D2320,SUMIFS(Data!$F$10:$F$3209,Data!$E$10:$E$3209,"&gt;="&amp;$A2321,Data!$E$10:$E$3209,"&lt;"&amp;$A2321+1)/$AE2321)))</f>
        <v/>
      </c>
      <c r="E2321" s="56">
        <f>IF($B2321=0,"",IF(Inputs!$B$8="","",IF($AF2321=0,E2320,SUMIFS(Data!$J$10:$J$3209,Data!$I$10:$I$3209,"&gt;="&amp;$A2321,Data!$I$10:$I$3209,"&lt;"&amp;$A2321+1)/$AF2321)))</f>
        <v/>
      </c>
      <c r="F2321" s="56">
        <f>IF($B2321=0,"",IF(Inputs!$B$9="","",IF($AG2321=0,F2320,SUMIFS(Data!$N$10:$N$3209,Data!$M$10:$M$3209,"&gt;="&amp;$A2321,Data!$M$10:$M$3209,"&lt;"&amp;$A2321+1)/$AG2321)))</f>
        <v/>
      </c>
      <c r="G2321" s="56">
        <f>IF($B2321=0,"",IF(Inputs!$B$10="","",IF($AH2321=0,G2320,SUMIFS(Data!$R$10:$R$3209,Data!$Q$10:$Q$3209,"&gt;="&amp;$A2321,Data!$Q$10:$Q$3209,"&lt;"&amp;$A2321+1)/$AH2321)))</f>
        <v/>
      </c>
      <c r="I2321" s="54">
        <f>IF($B2321=0,NA(),IF($C2321="",NA(),IF(C$8="",NA(),IF(N(C$8)=0,NA(),IF(Inputs!$C$17="Rebased to 100",$C2321/C$8*100,$C2321)))))</f>
        <v/>
      </c>
      <c r="J2321" s="54">
        <f>IF($B2321=0,NA(),IF($D2321="",NA(),IF(D$8="",NA(),IF(N(D$8)=0,NA(),IF(Inputs!$C$17="Rebased to 100",$D2321/D$8*100,$D2321)))))</f>
        <v/>
      </c>
      <c r="K2321" s="54">
        <f>IF($B2321=0,NA(),IF($E2321="",NA(),IF(E$8="",NA(),IF(N(E$8)=0,NA(),IF(Inputs!$C$17="Rebased to 100",$E2321/E$8*100,$E2321)))))</f>
        <v/>
      </c>
      <c r="L2321" s="54">
        <f>IF($B2321=0,NA(),IF($F2321="",NA(),IF(F$8="",NA(),IF(N(F$8)=0,NA(),IF(Inputs!$C$17="Rebased to 100",$F2321/F$8*100,$F2321)))))</f>
        <v/>
      </c>
      <c r="M2321" s="54">
        <f>IF($B2321=0,NA(),IF($G2321="",NA(),IF(G$8="",NA(),IF(N(G$8)=0,NA(),IF(Inputs!$C$17="Rebased to 100",$G2321/G$8*100,$G2321)))))</f>
        <v/>
      </c>
      <c r="N2321" s="54">
        <f>IF($B2321=0,NA(),IF(Inputs!$C$18&lt;&gt;"Yes",NA(),IF(COUNT(I2321,J2321,K2321,L2321,M2321)=0,NA(),MIN(I2321,J2321,K2321,L2321,M2321))))</f>
        <v/>
      </c>
      <c r="O2321" s="54">
        <f>IF($B2321=0,NA(),IF(Inputs!$B$24&lt;&gt;"Yes",NA(),Inputs!$D$24*Inputs!$C$35))</f>
        <v/>
      </c>
      <c r="P2321" s="54">
        <f>IF($B2321=0,NA(),IF(Inputs!$B$25&lt;&gt;"Yes",NA(),Inputs!$D$25*Inputs!$C$35))</f>
        <v/>
      </c>
      <c r="Q2321" s="54">
        <f>IF($B2321=0,NA(),IF(Inputs!$B$26&lt;&gt;"Yes",NA(),Inputs!$D$26*Inputs!$C$35))</f>
        <v/>
      </c>
      <c r="R2321" s="54">
        <f>IF($B2321=0,NA(),IF(Inputs!$B$27&lt;&gt;"Yes",NA(),Inputs!$D$27*Inputs!$C$35))</f>
        <v/>
      </c>
      <c r="S2321" s="54">
        <f>IF($B2321=0,NA(),IF(Inputs!$B$28&lt;&gt;"Yes",NA(),Inputs!$D$28*Inputs!$C$35))</f>
        <v/>
      </c>
      <c r="T2321" s="54">
        <f>IF($B2321=0,NA(),IF(Inputs!$B$29&lt;&gt;"Yes",NA(),Inputs!$D$29*Inputs!$C$35))</f>
        <v/>
      </c>
      <c r="AD2321">
        <f>IF($B2321=0,0,IF(Inputs!$B$6="",0,COUNTIFS(Data!$A$10:$A$3209,"&gt;="&amp;$A2321,Data!$A$10:$A$3209,"&lt;"&amp;$A2321+1)))</f>
        <v/>
      </c>
      <c r="AE2321">
        <f>IF($B2321=0,0,IF(Inputs!$B$7="",0,COUNTIFS(Data!$E$10:$E$3209,"&gt;="&amp;$A2321,Data!$E$10:$E$3209,"&lt;"&amp;$A2321+1)))</f>
        <v/>
      </c>
      <c r="AF2321">
        <f>IF($B2321=0,0,IF(Inputs!$B$8="",0,COUNTIFS(Data!$I$10:$I$3209,"&gt;="&amp;$A2321,Data!$I$10:$I$3209,"&lt;"&amp;$A2321+1)))</f>
        <v/>
      </c>
      <c r="AG2321">
        <f>IF($B2321=0,0,IF(Inputs!$B$9="",0,COUNTIFS(Data!$M$10:$M$3209,"&gt;="&amp;$A2321,Data!$M$10:$M$3209,"&lt;"&amp;$A2321+1)))</f>
        <v/>
      </c>
      <c r="AH2321">
        <f>IF($B2321=0,0,IF(Inputs!$B$10="",0,COUNTIFS(Data!$Q$10:$Q$3209,"&gt;="&amp;$A2321,Data!$Q$10:$Q$3209,"&lt;"&amp;$A2321+1)))</f>
        <v/>
      </c>
    </row>
    <row r="2322">
      <c r="A2322" s="55">
        <f>MIN(Inputs!$C$15,$A2321+IF(WEEKDAY($A2321,2)=5,3,1))</f>
        <v/>
      </c>
      <c r="B2322">
        <f>IF($A2322&gt;$A2321,1,0)</f>
        <v/>
      </c>
      <c r="C2322" s="56">
        <f>IF($B2322=0,"",IF(Inputs!$B$6="","",IF($AD2322=0,C2321,SUMIFS(Data!$B$10:$B$3209,Data!$A$10:$A$3209,"&gt;="&amp;$A2322,Data!$A$10:$A$3209,"&lt;"&amp;$A2322+1)/$AD2322)))</f>
        <v/>
      </c>
      <c r="D2322" s="56">
        <f>IF($B2322=0,"",IF(Inputs!$B$7="","",IF($AE2322=0,D2321,SUMIFS(Data!$F$10:$F$3209,Data!$E$10:$E$3209,"&gt;="&amp;$A2322,Data!$E$10:$E$3209,"&lt;"&amp;$A2322+1)/$AE2322)))</f>
        <v/>
      </c>
      <c r="E2322" s="56">
        <f>IF($B2322=0,"",IF(Inputs!$B$8="","",IF($AF2322=0,E2321,SUMIFS(Data!$J$10:$J$3209,Data!$I$10:$I$3209,"&gt;="&amp;$A2322,Data!$I$10:$I$3209,"&lt;"&amp;$A2322+1)/$AF2322)))</f>
        <v/>
      </c>
      <c r="F2322" s="56">
        <f>IF($B2322=0,"",IF(Inputs!$B$9="","",IF($AG2322=0,F2321,SUMIFS(Data!$N$10:$N$3209,Data!$M$10:$M$3209,"&gt;="&amp;$A2322,Data!$M$10:$M$3209,"&lt;"&amp;$A2322+1)/$AG2322)))</f>
        <v/>
      </c>
      <c r="G2322" s="56">
        <f>IF($B2322=0,"",IF(Inputs!$B$10="","",IF($AH2322=0,G2321,SUMIFS(Data!$R$10:$R$3209,Data!$Q$10:$Q$3209,"&gt;="&amp;$A2322,Data!$Q$10:$Q$3209,"&lt;"&amp;$A2322+1)/$AH2322)))</f>
        <v/>
      </c>
      <c r="I2322" s="54">
        <f>IF($B2322=0,NA(),IF($C2322="",NA(),IF(C$8="",NA(),IF(N(C$8)=0,NA(),IF(Inputs!$C$17="Rebased to 100",$C2322/C$8*100,$C2322)))))</f>
        <v/>
      </c>
      <c r="J2322" s="54">
        <f>IF($B2322=0,NA(),IF($D2322="",NA(),IF(D$8="",NA(),IF(N(D$8)=0,NA(),IF(Inputs!$C$17="Rebased to 100",$D2322/D$8*100,$D2322)))))</f>
        <v/>
      </c>
      <c r="K2322" s="54">
        <f>IF($B2322=0,NA(),IF($E2322="",NA(),IF(E$8="",NA(),IF(N(E$8)=0,NA(),IF(Inputs!$C$17="Rebased to 100",$E2322/E$8*100,$E2322)))))</f>
        <v/>
      </c>
      <c r="L2322" s="54">
        <f>IF($B2322=0,NA(),IF($F2322="",NA(),IF(F$8="",NA(),IF(N(F$8)=0,NA(),IF(Inputs!$C$17="Rebased to 100",$F2322/F$8*100,$F2322)))))</f>
        <v/>
      </c>
      <c r="M2322" s="54">
        <f>IF($B2322=0,NA(),IF($G2322="",NA(),IF(G$8="",NA(),IF(N(G$8)=0,NA(),IF(Inputs!$C$17="Rebased to 100",$G2322/G$8*100,$G2322)))))</f>
        <v/>
      </c>
      <c r="N2322" s="54">
        <f>IF($B2322=0,NA(),IF(Inputs!$C$18&lt;&gt;"Yes",NA(),IF(COUNT(I2322,J2322,K2322,L2322,M2322)=0,NA(),MIN(I2322,J2322,K2322,L2322,M2322))))</f>
        <v/>
      </c>
      <c r="O2322" s="54">
        <f>IF($B2322=0,NA(),IF(Inputs!$B$24&lt;&gt;"Yes",NA(),Inputs!$D$24*Inputs!$C$35))</f>
        <v/>
      </c>
      <c r="P2322" s="54">
        <f>IF($B2322=0,NA(),IF(Inputs!$B$25&lt;&gt;"Yes",NA(),Inputs!$D$25*Inputs!$C$35))</f>
        <v/>
      </c>
      <c r="Q2322" s="54">
        <f>IF($B2322=0,NA(),IF(Inputs!$B$26&lt;&gt;"Yes",NA(),Inputs!$D$26*Inputs!$C$35))</f>
        <v/>
      </c>
      <c r="R2322" s="54">
        <f>IF($B2322=0,NA(),IF(Inputs!$B$27&lt;&gt;"Yes",NA(),Inputs!$D$27*Inputs!$C$35))</f>
        <v/>
      </c>
      <c r="S2322" s="54">
        <f>IF($B2322=0,NA(),IF(Inputs!$B$28&lt;&gt;"Yes",NA(),Inputs!$D$28*Inputs!$C$35))</f>
        <v/>
      </c>
      <c r="T2322" s="54">
        <f>IF($B2322=0,NA(),IF(Inputs!$B$29&lt;&gt;"Yes",NA(),Inputs!$D$29*Inputs!$C$35))</f>
        <v/>
      </c>
      <c r="AD2322">
        <f>IF($B2322=0,0,IF(Inputs!$B$6="",0,COUNTIFS(Data!$A$10:$A$3209,"&gt;="&amp;$A2322,Data!$A$10:$A$3209,"&lt;"&amp;$A2322+1)))</f>
        <v/>
      </c>
      <c r="AE2322">
        <f>IF($B2322=0,0,IF(Inputs!$B$7="",0,COUNTIFS(Data!$E$10:$E$3209,"&gt;="&amp;$A2322,Data!$E$10:$E$3209,"&lt;"&amp;$A2322+1)))</f>
        <v/>
      </c>
      <c r="AF2322">
        <f>IF($B2322=0,0,IF(Inputs!$B$8="",0,COUNTIFS(Data!$I$10:$I$3209,"&gt;="&amp;$A2322,Data!$I$10:$I$3209,"&lt;"&amp;$A2322+1)))</f>
        <v/>
      </c>
      <c r="AG2322">
        <f>IF($B2322=0,0,IF(Inputs!$B$9="",0,COUNTIFS(Data!$M$10:$M$3209,"&gt;="&amp;$A2322,Data!$M$10:$M$3209,"&lt;"&amp;$A2322+1)))</f>
        <v/>
      </c>
      <c r="AH2322">
        <f>IF($B2322=0,0,IF(Inputs!$B$10="",0,COUNTIFS(Data!$Q$10:$Q$3209,"&gt;="&amp;$A2322,Data!$Q$10:$Q$3209,"&lt;"&amp;$A2322+1)))</f>
        <v/>
      </c>
    </row>
    <row r="2323">
      <c r="A2323" s="55">
        <f>MIN(Inputs!$C$15,$A2322+IF(WEEKDAY($A2322,2)=5,3,1))</f>
        <v/>
      </c>
      <c r="B2323">
        <f>IF($A2323&gt;$A2322,1,0)</f>
        <v/>
      </c>
      <c r="C2323" s="56">
        <f>IF($B2323=0,"",IF(Inputs!$B$6="","",IF($AD2323=0,C2322,SUMIFS(Data!$B$10:$B$3209,Data!$A$10:$A$3209,"&gt;="&amp;$A2323,Data!$A$10:$A$3209,"&lt;"&amp;$A2323+1)/$AD2323)))</f>
        <v/>
      </c>
      <c r="D2323" s="56">
        <f>IF($B2323=0,"",IF(Inputs!$B$7="","",IF($AE2323=0,D2322,SUMIFS(Data!$F$10:$F$3209,Data!$E$10:$E$3209,"&gt;="&amp;$A2323,Data!$E$10:$E$3209,"&lt;"&amp;$A2323+1)/$AE2323)))</f>
        <v/>
      </c>
      <c r="E2323" s="56">
        <f>IF($B2323=0,"",IF(Inputs!$B$8="","",IF($AF2323=0,E2322,SUMIFS(Data!$J$10:$J$3209,Data!$I$10:$I$3209,"&gt;="&amp;$A2323,Data!$I$10:$I$3209,"&lt;"&amp;$A2323+1)/$AF2323)))</f>
        <v/>
      </c>
      <c r="F2323" s="56">
        <f>IF($B2323=0,"",IF(Inputs!$B$9="","",IF($AG2323=0,F2322,SUMIFS(Data!$N$10:$N$3209,Data!$M$10:$M$3209,"&gt;="&amp;$A2323,Data!$M$10:$M$3209,"&lt;"&amp;$A2323+1)/$AG2323)))</f>
        <v/>
      </c>
      <c r="G2323" s="56">
        <f>IF($B2323=0,"",IF(Inputs!$B$10="","",IF($AH2323=0,G2322,SUMIFS(Data!$R$10:$R$3209,Data!$Q$10:$Q$3209,"&gt;="&amp;$A2323,Data!$Q$10:$Q$3209,"&lt;"&amp;$A2323+1)/$AH2323)))</f>
        <v/>
      </c>
      <c r="I2323" s="54">
        <f>IF($B2323=0,NA(),IF($C2323="",NA(),IF(C$8="",NA(),IF(N(C$8)=0,NA(),IF(Inputs!$C$17="Rebased to 100",$C2323/C$8*100,$C2323)))))</f>
        <v/>
      </c>
      <c r="J2323" s="54">
        <f>IF($B2323=0,NA(),IF($D2323="",NA(),IF(D$8="",NA(),IF(N(D$8)=0,NA(),IF(Inputs!$C$17="Rebased to 100",$D2323/D$8*100,$D2323)))))</f>
        <v/>
      </c>
      <c r="K2323" s="54">
        <f>IF($B2323=0,NA(),IF($E2323="",NA(),IF(E$8="",NA(),IF(N(E$8)=0,NA(),IF(Inputs!$C$17="Rebased to 100",$E2323/E$8*100,$E2323)))))</f>
        <v/>
      </c>
      <c r="L2323" s="54">
        <f>IF($B2323=0,NA(),IF($F2323="",NA(),IF(F$8="",NA(),IF(N(F$8)=0,NA(),IF(Inputs!$C$17="Rebased to 100",$F2323/F$8*100,$F2323)))))</f>
        <v/>
      </c>
      <c r="M2323" s="54">
        <f>IF($B2323=0,NA(),IF($G2323="",NA(),IF(G$8="",NA(),IF(N(G$8)=0,NA(),IF(Inputs!$C$17="Rebased to 100",$G2323/G$8*100,$G2323)))))</f>
        <v/>
      </c>
      <c r="N2323" s="54">
        <f>IF($B2323=0,NA(),IF(Inputs!$C$18&lt;&gt;"Yes",NA(),IF(COUNT(I2323,J2323,K2323,L2323,M2323)=0,NA(),MIN(I2323,J2323,K2323,L2323,M2323))))</f>
        <v/>
      </c>
      <c r="O2323" s="54">
        <f>IF($B2323=0,NA(),IF(Inputs!$B$24&lt;&gt;"Yes",NA(),Inputs!$D$24*Inputs!$C$35))</f>
        <v/>
      </c>
      <c r="P2323" s="54">
        <f>IF($B2323=0,NA(),IF(Inputs!$B$25&lt;&gt;"Yes",NA(),Inputs!$D$25*Inputs!$C$35))</f>
        <v/>
      </c>
      <c r="Q2323" s="54">
        <f>IF($B2323=0,NA(),IF(Inputs!$B$26&lt;&gt;"Yes",NA(),Inputs!$D$26*Inputs!$C$35))</f>
        <v/>
      </c>
      <c r="R2323" s="54">
        <f>IF($B2323=0,NA(),IF(Inputs!$B$27&lt;&gt;"Yes",NA(),Inputs!$D$27*Inputs!$C$35))</f>
        <v/>
      </c>
      <c r="S2323" s="54">
        <f>IF($B2323=0,NA(),IF(Inputs!$B$28&lt;&gt;"Yes",NA(),Inputs!$D$28*Inputs!$C$35))</f>
        <v/>
      </c>
      <c r="T2323" s="54">
        <f>IF($B2323=0,NA(),IF(Inputs!$B$29&lt;&gt;"Yes",NA(),Inputs!$D$29*Inputs!$C$35))</f>
        <v/>
      </c>
      <c r="AD2323">
        <f>IF($B2323=0,0,IF(Inputs!$B$6="",0,COUNTIFS(Data!$A$10:$A$3209,"&gt;="&amp;$A2323,Data!$A$10:$A$3209,"&lt;"&amp;$A2323+1)))</f>
        <v/>
      </c>
      <c r="AE2323">
        <f>IF($B2323=0,0,IF(Inputs!$B$7="",0,COUNTIFS(Data!$E$10:$E$3209,"&gt;="&amp;$A2323,Data!$E$10:$E$3209,"&lt;"&amp;$A2323+1)))</f>
        <v/>
      </c>
      <c r="AF2323">
        <f>IF($B2323=0,0,IF(Inputs!$B$8="",0,COUNTIFS(Data!$I$10:$I$3209,"&gt;="&amp;$A2323,Data!$I$10:$I$3209,"&lt;"&amp;$A2323+1)))</f>
        <v/>
      </c>
      <c r="AG2323">
        <f>IF($B2323=0,0,IF(Inputs!$B$9="",0,COUNTIFS(Data!$M$10:$M$3209,"&gt;="&amp;$A2323,Data!$M$10:$M$3209,"&lt;"&amp;$A2323+1)))</f>
        <v/>
      </c>
      <c r="AH2323">
        <f>IF($B2323=0,0,IF(Inputs!$B$10="",0,COUNTIFS(Data!$Q$10:$Q$3209,"&gt;="&amp;$A2323,Data!$Q$10:$Q$3209,"&lt;"&amp;$A2323+1)))</f>
        <v/>
      </c>
    </row>
    <row r="2324">
      <c r="A2324" s="55">
        <f>MIN(Inputs!$C$15,$A2323+IF(WEEKDAY($A2323,2)=5,3,1))</f>
        <v/>
      </c>
      <c r="B2324">
        <f>IF($A2324&gt;$A2323,1,0)</f>
        <v/>
      </c>
      <c r="C2324" s="56">
        <f>IF($B2324=0,"",IF(Inputs!$B$6="","",IF($AD2324=0,C2323,SUMIFS(Data!$B$10:$B$3209,Data!$A$10:$A$3209,"&gt;="&amp;$A2324,Data!$A$10:$A$3209,"&lt;"&amp;$A2324+1)/$AD2324)))</f>
        <v/>
      </c>
      <c r="D2324" s="56">
        <f>IF($B2324=0,"",IF(Inputs!$B$7="","",IF($AE2324=0,D2323,SUMIFS(Data!$F$10:$F$3209,Data!$E$10:$E$3209,"&gt;="&amp;$A2324,Data!$E$10:$E$3209,"&lt;"&amp;$A2324+1)/$AE2324)))</f>
        <v/>
      </c>
      <c r="E2324" s="56">
        <f>IF($B2324=0,"",IF(Inputs!$B$8="","",IF($AF2324=0,E2323,SUMIFS(Data!$J$10:$J$3209,Data!$I$10:$I$3209,"&gt;="&amp;$A2324,Data!$I$10:$I$3209,"&lt;"&amp;$A2324+1)/$AF2324)))</f>
        <v/>
      </c>
      <c r="F2324" s="56">
        <f>IF($B2324=0,"",IF(Inputs!$B$9="","",IF($AG2324=0,F2323,SUMIFS(Data!$N$10:$N$3209,Data!$M$10:$M$3209,"&gt;="&amp;$A2324,Data!$M$10:$M$3209,"&lt;"&amp;$A2324+1)/$AG2324)))</f>
        <v/>
      </c>
      <c r="G2324" s="56">
        <f>IF($B2324=0,"",IF(Inputs!$B$10="","",IF($AH2324=0,G2323,SUMIFS(Data!$R$10:$R$3209,Data!$Q$10:$Q$3209,"&gt;="&amp;$A2324,Data!$Q$10:$Q$3209,"&lt;"&amp;$A2324+1)/$AH2324)))</f>
        <v/>
      </c>
      <c r="I2324" s="54">
        <f>IF($B2324=0,NA(),IF($C2324="",NA(),IF(C$8="",NA(),IF(N(C$8)=0,NA(),IF(Inputs!$C$17="Rebased to 100",$C2324/C$8*100,$C2324)))))</f>
        <v/>
      </c>
      <c r="J2324" s="54">
        <f>IF($B2324=0,NA(),IF($D2324="",NA(),IF(D$8="",NA(),IF(N(D$8)=0,NA(),IF(Inputs!$C$17="Rebased to 100",$D2324/D$8*100,$D2324)))))</f>
        <v/>
      </c>
      <c r="K2324" s="54">
        <f>IF($B2324=0,NA(),IF($E2324="",NA(),IF(E$8="",NA(),IF(N(E$8)=0,NA(),IF(Inputs!$C$17="Rebased to 100",$E2324/E$8*100,$E2324)))))</f>
        <v/>
      </c>
      <c r="L2324" s="54">
        <f>IF($B2324=0,NA(),IF($F2324="",NA(),IF(F$8="",NA(),IF(N(F$8)=0,NA(),IF(Inputs!$C$17="Rebased to 100",$F2324/F$8*100,$F2324)))))</f>
        <v/>
      </c>
      <c r="M2324" s="54">
        <f>IF($B2324=0,NA(),IF($G2324="",NA(),IF(G$8="",NA(),IF(N(G$8)=0,NA(),IF(Inputs!$C$17="Rebased to 100",$G2324/G$8*100,$G2324)))))</f>
        <v/>
      </c>
      <c r="N2324" s="54">
        <f>IF($B2324=0,NA(),IF(Inputs!$C$18&lt;&gt;"Yes",NA(),IF(COUNT(I2324,J2324,K2324,L2324,M2324)=0,NA(),MIN(I2324,J2324,K2324,L2324,M2324))))</f>
        <v/>
      </c>
      <c r="O2324" s="54">
        <f>IF($B2324=0,NA(),IF(Inputs!$B$24&lt;&gt;"Yes",NA(),Inputs!$D$24*Inputs!$C$35))</f>
        <v/>
      </c>
      <c r="P2324" s="54">
        <f>IF($B2324=0,NA(),IF(Inputs!$B$25&lt;&gt;"Yes",NA(),Inputs!$D$25*Inputs!$C$35))</f>
        <v/>
      </c>
      <c r="Q2324" s="54">
        <f>IF($B2324=0,NA(),IF(Inputs!$B$26&lt;&gt;"Yes",NA(),Inputs!$D$26*Inputs!$C$35))</f>
        <v/>
      </c>
      <c r="R2324" s="54">
        <f>IF($B2324=0,NA(),IF(Inputs!$B$27&lt;&gt;"Yes",NA(),Inputs!$D$27*Inputs!$C$35))</f>
        <v/>
      </c>
      <c r="S2324" s="54">
        <f>IF($B2324=0,NA(),IF(Inputs!$B$28&lt;&gt;"Yes",NA(),Inputs!$D$28*Inputs!$C$35))</f>
        <v/>
      </c>
      <c r="T2324" s="54">
        <f>IF($B2324=0,NA(),IF(Inputs!$B$29&lt;&gt;"Yes",NA(),Inputs!$D$29*Inputs!$C$35))</f>
        <v/>
      </c>
      <c r="AD2324">
        <f>IF($B2324=0,0,IF(Inputs!$B$6="",0,COUNTIFS(Data!$A$10:$A$3209,"&gt;="&amp;$A2324,Data!$A$10:$A$3209,"&lt;"&amp;$A2324+1)))</f>
        <v/>
      </c>
      <c r="AE2324">
        <f>IF($B2324=0,0,IF(Inputs!$B$7="",0,COUNTIFS(Data!$E$10:$E$3209,"&gt;="&amp;$A2324,Data!$E$10:$E$3209,"&lt;"&amp;$A2324+1)))</f>
        <v/>
      </c>
      <c r="AF2324">
        <f>IF($B2324=0,0,IF(Inputs!$B$8="",0,COUNTIFS(Data!$I$10:$I$3209,"&gt;="&amp;$A2324,Data!$I$10:$I$3209,"&lt;"&amp;$A2324+1)))</f>
        <v/>
      </c>
      <c r="AG2324">
        <f>IF($B2324=0,0,IF(Inputs!$B$9="",0,COUNTIFS(Data!$M$10:$M$3209,"&gt;="&amp;$A2324,Data!$M$10:$M$3209,"&lt;"&amp;$A2324+1)))</f>
        <v/>
      </c>
      <c r="AH2324">
        <f>IF($B2324=0,0,IF(Inputs!$B$10="",0,COUNTIFS(Data!$Q$10:$Q$3209,"&gt;="&amp;$A2324,Data!$Q$10:$Q$3209,"&lt;"&amp;$A2324+1)))</f>
        <v/>
      </c>
    </row>
    <row r="2325">
      <c r="A2325" s="55">
        <f>MIN(Inputs!$C$15,$A2324+IF(WEEKDAY($A2324,2)=5,3,1))</f>
        <v/>
      </c>
      <c r="B2325">
        <f>IF($A2325&gt;$A2324,1,0)</f>
        <v/>
      </c>
      <c r="C2325" s="56">
        <f>IF($B2325=0,"",IF(Inputs!$B$6="","",IF($AD2325=0,C2324,SUMIFS(Data!$B$10:$B$3209,Data!$A$10:$A$3209,"&gt;="&amp;$A2325,Data!$A$10:$A$3209,"&lt;"&amp;$A2325+1)/$AD2325)))</f>
        <v/>
      </c>
      <c r="D2325" s="56">
        <f>IF($B2325=0,"",IF(Inputs!$B$7="","",IF($AE2325=0,D2324,SUMIFS(Data!$F$10:$F$3209,Data!$E$10:$E$3209,"&gt;="&amp;$A2325,Data!$E$10:$E$3209,"&lt;"&amp;$A2325+1)/$AE2325)))</f>
        <v/>
      </c>
      <c r="E2325" s="56">
        <f>IF($B2325=0,"",IF(Inputs!$B$8="","",IF($AF2325=0,E2324,SUMIFS(Data!$J$10:$J$3209,Data!$I$10:$I$3209,"&gt;="&amp;$A2325,Data!$I$10:$I$3209,"&lt;"&amp;$A2325+1)/$AF2325)))</f>
        <v/>
      </c>
      <c r="F2325" s="56">
        <f>IF($B2325=0,"",IF(Inputs!$B$9="","",IF($AG2325=0,F2324,SUMIFS(Data!$N$10:$N$3209,Data!$M$10:$M$3209,"&gt;="&amp;$A2325,Data!$M$10:$M$3209,"&lt;"&amp;$A2325+1)/$AG2325)))</f>
        <v/>
      </c>
      <c r="G2325" s="56">
        <f>IF($B2325=0,"",IF(Inputs!$B$10="","",IF($AH2325=0,G2324,SUMIFS(Data!$R$10:$R$3209,Data!$Q$10:$Q$3209,"&gt;="&amp;$A2325,Data!$Q$10:$Q$3209,"&lt;"&amp;$A2325+1)/$AH2325)))</f>
        <v/>
      </c>
      <c r="I2325" s="54">
        <f>IF($B2325=0,NA(),IF($C2325="",NA(),IF(C$8="",NA(),IF(N(C$8)=0,NA(),IF(Inputs!$C$17="Rebased to 100",$C2325/C$8*100,$C2325)))))</f>
        <v/>
      </c>
      <c r="J2325" s="54">
        <f>IF($B2325=0,NA(),IF($D2325="",NA(),IF(D$8="",NA(),IF(N(D$8)=0,NA(),IF(Inputs!$C$17="Rebased to 100",$D2325/D$8*100,$D2325)))))</f>
        <v/>
      </c>
      <c r="K2325" s="54">
        <f>IF($B2325=0,NA(),IF($E2325="",NA(),IF(E$8="",NA(),IF(N(E$8)=0,NA(),IF(Inputs!$C$17="Rebased to 100",$E2325/E$8*100,$E2325)))))</f>
        <v/>
      </c>
      <c r="L2325" s="54">
        <f>IF($B2325=0,NA(),IF($F2325="",NA(),IF(F$8="",NA(),IF(N(F$8)=0,NA(),IF(Inputs!$C$17="Rebased to 100",$F2325/F$8*100,$F2325)))))</f>
        <v/>
      </c>
      <c r="M2325" s="54">
        <f>IF($B2325=0,NA(),IF($G2325="",NA(),IF(G$8="",NA(),IF(N(G$8)=0,NA(),IF(Inputs!$C$17="Rebased to 100",$G2325/G$8*100,$G2325)))))</f>
        <v/>
      </c>
      <c r="N2325" s="54">
        <f>IF($B2325=0,NA(),IF(Inputs!$C$18&lt;&gt;"Yes",NA(),IF(COUNT(I2325,J2325,K2325,L2325,M2325)=0,NA(),MIN(I2325,J2325,K2325,L2325,M2325))))</f>
        <v/>
      </c>
      <c r="O2325" s="54">
        <f>IF($B2325=0,NA(),IF(Inputs!$B$24&lt;&gt;"Yes",NA(),Inputs!$D$24*Inputs!$C$35))</f>
        <v/>
      </c>
      <c r="P2325" s="54">
        <f>IF($B2325=0,NA(),IF(Inputs!$B$25&lt;&gt;"Yes",NA(),Inputs!$D$25*Inputs!$C$35))</f>
        <v/>
      </c>
      <c r="Q2325" s="54">
        <f>IF($B2325=0,NA(),IF(Inputs!$B$26&lt;&gt;"Yes",NA(),Inputs!$D$26*Inputs!$C$35))</f>
        <v/>
      </c>
      <c r="R2325" s="54">
        <f>IF($B2325=0,NA(),IF(Inputs!$B$27&lt;&gt;"Yes",NA(),Inputs!$D$27*Inputs!$C$35))</f>
        <v/>
      </c>
      <c r="S2325" s="54">
        <f>IF($B2325=0,NA(),IF(Inputs!$B$28&lt;&gt;"Yes",NA(),Inputs!$D$28*Inputs!$C$35))</f>
        <v/>
      </c>
      <c r="T2325" s="54">
        <f>IF($B2325=0,NA(),IF(Inputs!$B$29&lt;&gt;"Yes",NA(),Inputs!$D$29*Inputs!$C$35))</f>
        <v/>
      </c>
      <c r="AD2325">
        <f>IF($B2325=0,0,IF(Inputs!$B$6="",0,COUNTIFS(Data!$A$10:$A$3209,"&gt;="&amp;$A2325,Data!$A$10:$A$3209,"&lt;"&amp;$A2325+1)))</f>
        <v/>
      </c>
      <c r="AE2325">
        <f>IF($B2325=0,0,IF(Inputs!$B$7="",0,COUNTIFS(Data!$E$10:$E$3209,"&gt;="&amp;$A2325,Data!$E$10:$E$3209,"&lt;"&amp;$A2325+1)))</f>
        <v/>
      </c>
      <c r="AF2325">
        <f>IF($B2325=0,0,IF(Inputs!$B$8="",0,COUNTIFS(Data!$I$10:$I$3209,"&gt;="&amp;$A2325,Data!$I$10:$I$3209,"&lt;"&amp;$A2325+1)))</f>
        <v/>
      </c>
      <c r="AG2325">
        <f>IF($B2325=0,0,IF(Inputs!$B$9="",0,COUNTIFS(Data!$M$10:$M$3209,"&gt;="&amp;$A2325,Data!$M$10:$M$3209,"&lt;"&amp;$A2325+1)))</f>
        <v/>
      </c>
      <c r="AH2325">
        <f>IF($B2325=0,0,IF(Inputs!$B$10="",0,COUNTIFS(Data!$Q$10:$Q$3209,"&gt;="&amp;$A2325,Data!$Q$10:$Q$3209,"&lt;"&amp;$A2325+1)))</f>
        <v/>
      </c>
    </row>
    <row r="2326">
      <c r="A2326" s="55">
        <f>MIN(Inputs!$C$15,$A2325+IF(WEEKDAY($A2325,2)=5,3,1))</f>
        <v/>
      </c>
      <c r="B2326">
        <f>IF($A2326&gt;$A2325,1,0)</f>
        <v/>
      </c>
      <c r="C2326" s="56">
        <f>IF($B2326=0,"",IF(Inputs!$B$6="","",IF($AD2326=0,C2325,SUMIFS(Data!$B$10:$B$3209,Data!$A$10:$A$3209,"&gt;="&amp;$A2326,Data!$A$10:$A$3209,"&lt;"&amp;$A2326+1)/$AD2326)))</f>
        <v/>
      </c>
      <c r="D2326" s="56">
        <f>IF($B2326=0,"",IF(Inputs!$B$7="","",IF($AE2326=0,D2325,SUMIFS(Data!$F$10:$F$3209,Data!$E$10:$E$3209,"&gt;="&amp;$A2326,Data!$E$10:$E$3209,"&lt;"&amp;$A2326+1)/$AE2326)))</f>
        <v/>
      </c>
      <c r="E2326" s="56">
        <f>IF($B2326=0,"",IF(Inputs!$B$8="","",IF($AF2326=0,E2325,SUMIFS(Data!$J$10:$J$3209,Data!$I$10:$I$3209,"&gt;="&amp;$A2326,Data!$I$10:$I$3209,"&lt;"&amp;$A2326+1)/$AF2326)))</f>
        <v/>
      </c>
      <c r="F2326" s="56">
        <f>IF($B2326=0,"",IF(Inputs!$B$9="","",IF($AG2326=0,F2325,SUMIFS(Data!$N$10:$N$3209,Data!$M$10:$M$3209,"&gt;="&amp;$A2326,Data!$M$10:$M$3209,"&lt;"&amp;$A2326+1)/$AG2326)))</f>
        <v/>
      </c>
      <c r="G2326" s="56">
        <f>IF($B2326=0,"",IF(Inputs!$B$10="","",IF($AH2326=0,G2325,SUMIFS(Data!$R$10:$R$3209,Data!$Q$10:$Q$3209,"&gt;="&amp;$A2326,Data!$Q$10:$Q$3209,"&lt;"&amp;$A2326+1)/$AH2326)))</f>
        <v/>
      </c>
      <c r="I2326" s="54">
        <f>IF($B2326=0,NA(),IF($C2326="",NA(),IF(C$8="",NA(),IF(N(C$8)=0,NA(),IF(Inputs!$C$17="Rebased to 100",$C2326/C$8*100,$C2326)))))</f>
        <v/>
      </c>
      <c r="J2326" s="54">
        <f>IF($B2326=0,NA(),IF($D2326="",NA(),IF(D$8="",NA(),IF(N(D$8)=0,NA(),IF(Inputs!$C$17="Rebased to 100",$D2326/D$8*100,$D2326)))))</f>
        <v/>
      </c>
      <c r="K2326" s="54">
        <f>IF($B2326=0,NA(),IF($E2326="",NA(),IF(E$8="",NA(),IF(N(E$8)=0,NA(),IF(Inputs!$C$17="Rebased to 100",$E2326/E$8*100,$E2326)))))</f>
        <v/>
      </c>
      <c r="L2326" s="54">
        <f>IF($B2326=0,NA(),IF($F2326="",NA(),IF(F$8="",NA(),IF(N(F$8)=0,NA(),IF(Inputs!$C$17="Rebased to 100",$F2326/F$8*100,$F2326)))))</f>
        <v/>
      </c>
      <c r="M2326" s="54">
        <f>IF($B2326=0,NA(),IF($G2326="",NA(),IF(G$8="",NA(),IF(N(G$8)=0,NA(),IF(Inputs!$C$17="Rebased to 100",$G2326/G$8*100,$G2326)))))</f>
        <v/>
      </c>
      <c r="N2326" s="54">
        <f>IF($B2326=0,NA(),IF(Inputs!$C$18&lt;&gt;"Yes",NA(),IF(COUNT(I2326,J2326,K2326,L2326,M2326)=0,NA(),MIN(I2326,J2326,K2326,L2326,M2326))))</f>
        <v/>
      </c>
      <c r="O2326" s="54">
        <f>IF($B2326=0,NA(),IF(Inputs!$B$24&lt;&gt;"Yes",NA(),Inputs!$D$24*Inputs!$C$35))</f>
        <v/>
      </c>
      <c r="P2326" s="54">
        <f>IF($B2326=0,NA(),IF(Inputs!$B$25&lt;&gt;"Yes",NA(),Inputs!$D$25*Inputs!$C$35))</f>
        <v/>
      </c>
      <c r="Q2326" s="54">
        <f>IF($B2326=0,NA(),IF(Inputs!$B$26&lt;&gt;"Yes",NA(),Inputs!$D$26*Inputs!$C$35))</f>
        <v/>
      </c>
      <c r="R2326" s="54">
        <f>IF($B2326=0,NA(),IF(Inputs!$B$27&lt;&gt;"Yes",NA(),Inputs!$D$27*Inputs!$C$35))</f>
        <v/>
      </c>
      <c r="S2326" s="54">
        <f>IF($B2326=0,NA(),IF(Inputs!$B$28&lt;&gt;"Yes",NA(),Inputs!$D$28*Inputs!$C$35))</f>
        <v/>
      </c>
      <c r="T2326" s="54">
        <f>IF($B2326=0,NA(),IF(Inputs!$B$29&lt;&gt;"Yes",NA(),Inputs!$D$29*Inputs!$C$35))</f>
        <v/>
      </c>
      <c r="AD2326">
        <f>IF($B2326=0,0,IF(Inputs!$B$6="",0,COUNTIFS(Data!$A$10:$A$3209,"&gt;="&amp;$A2326,Data!$A$10:$A$3209,"&lt;"&amp;$A2326+1)))</f>
        <v/>
      </c>
      <c r="AE2326">
        <f>IF($B2326=0,0,IF(Inputs!$B$7="",0,COUNTIFS(Data!$E$10:$E$3209,"&gt;="&amp;$A2326,Data!$E$10:$E$3209,"&lt;"&amp;$A2326+1)))</f>
        <v/>
      </c>
      <c r="AF2326">
        <f>IF($B2326=0,0,IF(Inputs!$B$8="",0,COUNTIFS(Data!$I$10:$I$3209,"&gt;="&amp;$A2326,Data!$I$10:$I$3209,"&lt;"&amp;$A2326+1)))</f>
        <v/>
      </c>
      <c r="AG2326">
        <f>IF($B2326=0,0,IF(Inputs!$B$9="",0,COUNTIFS(Data!$M$10:$M$3209,"&gt;="&amp;$A2326,Data!$M$10:$M$3209,"&lt;"&amp;$A2326+1)))</f>
        <v/>
      </c>
      <c r="AH2326">
        <f>IF($B2326=0,0,IF(Inputs!$B$10="",0,COUNTIFS(Data!$Q$10:$Q$3209,"&gt;="&amp;$A2326,Data!$Q$10:$Q$3209,"&lt;"&amp;$A2326+1)))</f>
        <v/>
      </c>
    </row>
    <row r="2327">
      <c r="A2327" s="55">
        <f>MIN(Inputs!$C$15,$A2326+IF(WEEKDAY($A2326,2)=5,3,1))</f>
        <v/>
      </c>
      <c r="B2327">
        <f>IF($A2327&gt;$A2326,1,0)</f>
        <v/>
      </c>
      <c r="C2327" s="56">
        <f>IF($B2327=0,"",IF(Inputs!$B$6="","",IF($AD2327=0,C2326,SUMIFS(Data!$B$10:$B$3209,Data!$A$10:$A$3209,"&gt;="&amp;$A2327,Data!$A$10:$A$3209,"&lt;"&amp;$A2327+1)/$AD2327)))</f>
        <v/>
      </c>
      <c r="D2327" s="56">
        <f>IF($B2327=0,"",IF(Inputs!$B$7="","",IF($AE2327=0,D2326,SUMIFS(Data!$F$10:$F$3209,Data!$E$10:$E$3209,"&gt;="&amp;$A2327,Data!$E$10:$E$3209,"&lt;"&amp;$A2327+1)/$AE2327)))</f>
        <v/>
      </c>
      <c r="E2327" s="56">
        <f>IF($B2327=0,"",IF(Inputs!$B$8="","",IF($AF2327=0,E2326,SUMIFS(Data!$J$10:$J$3209,Data!$I$10:$I$3209,"&gt;="&amp;$A2327,Data!$I$10:$I$3209,"&lt;"&amp;$A2327+1)/$AF2327)))</f>
        <v/>
      </c>
      <c r="F2327" s="56">
        <f>IF($B2327=0,"",IF(Inputs!$B$9="","",IF($AG2327=0,F2326,SUMIFS(Data!$N$10:$N$3209,Data!$M$10:$M$3209,"&gt;="&amp;$A2327,Data!$M$10:$M$3209,"&lt;"&amp;$A2327+1)/$AG2327)))</f>
        <v/>
      </c>
      <c r="G2327" s="56">
        <f>IF($B2327=0,"",IF(Inputs!$B$10="","",IF($AH2327=0,G2326,SUMIFS(Data!$R$10:$R$3209,Data!$Q$10:$Q$3209,"&gt;="&amp;$A2327,Data!$Q$10:$Q$3209,"&lt;"&amp;$A2327+1)/$AH2327)))</f>
        <v/>
      </c>
      <c r="I2327" s="54">
        <f>IF($B2327=0,NA(),IF($C2327="",NA(),IF(C$8="",NA(),IF(N(C$8)=0,NA(),IF(Inputs!$C$17="Rebased to 100",$C2327/C$8*100,$C2327)))))</f>
        <v/>
      </c>
      <c r="J2327" s="54">
        <f>IF($B2327=0,NA(),IF($D2327="",NA(),IF(D$8="",NA(),IF(N(D$8)=0,NA(),IF(Inputs!$C$17="Rebased to 100",$D2327/D$8*100,$D2327)))))</f>
        <v/>
      </c>
      <c r="K2327" s="54">
        <f>IF($B2327=0,NA(),IF($E2327="",NA(),IF(E$8="",NA(),IF(N(E$8)=0,NA(),IF(Inputs!$C$17="Rebased to 100",$E2327/E$8*100,$E2327)))))</f>
        <v/>
      </c>
      <c r="L2327" s="54">
        <f>IF($B2327=0,NA(),IF($F2327="",NA(),IF(F$8="",NA(),IF(N(F$8)=0,NA(),IF(Inputs!$C$17="Rebased to 100",$F2327/F$8*100,$F2327)))))</f>
        <v/>
      </c>
      <c r="M2327" s="54">
        <f>IF($B2327=0,NA(),IF($G2327="",NA(),IF(G$8="",NA(),IF(N(G$8)=0,NA(),IF(Inputs!$C$17="Rebased to 100",$G2327/G$8*100,$G2327)))))</f>
        <v/>
      </c>
      <c r="N2327" s="54">
        <f>IF($B2327=0,NA(),IF(Inputs!$C$18&lt;&gt;"Yes",NA(),IF(COUNT(I2327,J2327,K2327,L2327,M2327)=0,NA(),MIN(I2327,J2327,K2327,L2327,M2327))))</f>
        <v/>
      </c>
      <c r="O2327" s="54">
        <f>IF($B2327=0,NA(),IF(Inputs!$B$24&lt;&gt;"Yes",NA(),Inputs!$D$24*Inputs!$C$35))</f>
        <v/>
      </c>
      <c r="P2327" s="54">
        <f>IF($B2327=0,NA(),IF(Inputs!$B$25&lt;&gt;"Yes",NA(),Inputs!$D$25*Inputs!$C$35))</f>
        <v/>
      </c>
      <c r="Q2327" s="54">
        <f>IF($B2327=0,NA(),IF(Inputs!$B$26&lt;&gt;"Yes",NA(),Inputs!$D$26*Inputs!$C$35))</f>
        <v/>
      </c>
      <c r="R2327" s="54">
        <f>IF($B2327=0,NA(),IF(Inputs!$B$27&lt;&gt;"Yes",NA(),Inputs!$D$27*Inputs!$C$35))</f>
        <v/>
      </c>
      <c r="S2327" s="54">
        <f>IF($B2327=0,NA(),IF(Inputs!$B$28&lt;&gt;"Yes",NA(),Inputs!$D$28*Inputs!$C$35))</f>
        <v/>
      </c>
      <c r="T2327" s="54">
        <f>IF($B2327=0,NA(),IF(Inputs!$B$29&lt;&gt;"Yes",NA(),Inputs!$D$29*Inputs!$C$35))</f>
        <v/>
      </c>
      <c r="AD2327">
        <f>IF($B2327=0,0,IF(Inputs!$B$6="",0,COUNTIFS(Data!$A$10:$A$3209,"&gt;="&amp;$A2327,Data!$A$10:$A$3209,"&lt;"&amp;$A2327+1)))</f>
        <v/>
      </c>
      <c r="AE2327">
        <f>IF($B2327=0,0,IF(Inputs!$B$7="",0,COUNTIFS(Data!$E$10:$E$3209,"&gt;="&amp;$A2327,Data!$E$10:$E$3209,"&lt;"&amp;$A2327+1)))</f>
        <v/>
      </c>
      <c r="AF2327">
        <f>IF($B2327=0,0,IF(Inputs!$B$8="",0,COUNTIFS(Data!$I$10:$I$3209,"&gt;="&amp;$A2327,Data!$I$10:$I$3209,"&lt;"&amp;$A2327+1)))</f>
        <v/>
      </c>
      <c r="AG2327">
        <f>IF($B2327=0,0,IF(Inputs!$B$9="",0,COUNTIFS(Data!$M$10:$M$3209,"&gt;="&amp;$A2327,Data!$M$10:$M$3209,"&lt;"&amp;$A2327+1)))</f>
        <v/>
      </c>
      <c r="AH2327">
        <f>IF($B2327=0,0,IF(Inputs!$B$10="",0,COUNTIFS(Data!$Q$10:$Q$3209,"&gt;="&amp;$A2327,Data!$Q$10:$Q$3209,"&lt;"&amp;$A2327+1)))</f>
        <v/>
      </c>
    </row>
    <row r="2328">
      <c r="A2328" s="55">
        <f>MIN(Inputs!$C$15,$A2327+IF(WEEKDAY($A2327,2)=5,3,1))</f>
        <v/>
      </c>
      <c r="B2328">
        <f>IF($A2328&gt;$A2327,1,0)</f>
        <v/>
      </c>
      <c r="C2328" s="56">
        <f>IF($B2328=0,"",IF(Inputs!$B$6="","",IF($AD2328=0,C2327,SUMIFS(Data!$B$10:$B$3209,Data!$A$10:$A$3209,"&gt;="&amp;$A2328,Data!$A$10:$A$3209,"&lt;"&amp;$A2328+1)/$AD2328)))</f>
        <v/>
      </c>
      <c r="D2328" s="56">
        <f>IF($B2328=0,"",IF(Inputs!$B$7="","",IF($AE2328=0,D2327,SUMIFS(Data!$F$10:$F$3209,Data!$E$10:$E$3209,"&gt;="&amp;$A2328,Data!$E$10:$E$3209,"&lt;"&amp;$A2328+1)/$AE2328)))</f>
        <v/>
      </c>
      <c r="E2328" s="56">
        <f>IF($B2328=0,"",IF(Inputs!$B$8="","",IF($AF2328=0,E2327,SUMIFS(Data!$J$10:$J$3209,Data!$I$10:$I$3209,"&gt;="&amp;$A2328,Data!$I$10:$I$3209,"&lt;"&amp;$A2328+1)/$AF2328)))</f>
        <v/>
      </c>
      <c r="F2328" s="56">
        <f>IF($B2328=0,"",IF(Inputs!$B$9="","",IF($AG2328=0,F2327,SUMIFS(Data!$N$10:$N$3209,Data!$M$10:$M$3209,"&gt;="&amp;$A2328,Data!$M$10:$M$3209,"&lt;"&amp;$A2328+1)/$AG2328)))</f>
        <v/>
      </c>
      <c r="G2328" s="56">
        <f>IF($B2328=0,"",IF(Inputs!$B$10="","",IF($AH2328=0,G2327,SUMIFS(Data!$R$10:$R$3209,Data!$Q$10:$Q$3209,"&gt;="&amp;$A2328,Data!$Q$10:$Q$3209,"&lt;"&amp;$A2328+1)/$AH2328)))</f>
        <v/>
      </c>
      <c r="I2328" s="54">
        <f>IF($B2328=0,NA(),IF($C2328="",NA(),IF(C$8="",NA(),IF(N(C$8)=0,NA(),IF(Inputs!$C$17="Rebased to 100",$C2328/C$8*100,$C2328)))))</f>
        <v/>
      </c>
      <c r="J2328" s="54">
        <f>IF($B2328=0,NA(),IF($D2328="",NA(),IF(D$8="",NA(),IF(N(D$8)=0,NA(),IF(Inputs!$C$17="Rebased to 100",$D2328/D$8*100,$D2328)))))</f>
        <v/>
      </c>
      <c r="K2328" s="54">
        <f>IF($B2328=0,NA(),IF($E2328="",NA(),IF(E$8="",NA(),IF(N(E$8)=0,NA(),IF(Inputs!$C$17="Rebased to 100",$E2328/E$8*100,$E2328)))))</f>
        <v/>
      </c>
      <c r="L2328" s="54">
        <f>IF($B2328=0,NA(),IF($F2328="",NA(),IF(F$8="",NA(),IF(N(F$8)=0,NA(),IF(Inputs!$C$17="Rebased to 100",$F2328/F$8*100,$F2328)))))</f>
        <v/>
      </c>
      <c r="M2328" s="54">
        <f>IF($B2328=0,NA(),IF($G2328="",NA(),IF(G$8="",NA(),IF(N(G$8)=0,NA(),IF(Inputs!$C$17="Rebased to 100",$G2328/G$8*100,$G2328)))))</f>
        <v/>
      </c>
      <c r="N2328" s="54">
        <f>IF($B2328=0,NA(),IF(Inputs!$C$18&lt;&gt;"Yes",NA(),IF(COUNT(I2328,J2328,K2328,L2328,M2328)=0,NA(),MIN(I2328,J2328,K2328,L2328,M2328))))</f>
        <v/>
      </c>
      <c r="O2328" s="54">
        <f>IF($B2328=0,NA(),IF(Inputs!$B$24&lt;&gt;"Yes",NA(),Inputs!$D$24*Inputs!$C$35))</f>
        <v/>
      </c>
      <c r="P2328" s="54">
        <f>IF($B2328=0,NA(),IF(Inputs!$B$25&lt;&gt;"Yes",NA(),Inputs!$D$25*Inputs!$C$35))</f>
        <v/>
      </c>
      <c r="Q2328" s="54">
        <f>IF($B2328=0,NA(),IF(Inputs!$B$26&lt;&gt;"Yes",NA(),Inputs!$D$26*Inputs!$C$35))</f>
        <v/>
      </c>
      <c r="R2328" s="54">
        <f>IF($B2328=0,NA(),IF(Inputs!$B$27&lt;&gt;"Yes",NA(),Inputs!$D$27*Inputs!$C$35))</f>
        <v/>
      </c>
      <c r="S2328" s="54">
        <f>IF($B2328=0,NA(),IF(Inputs!$B$28&lt;&gt;"Yes",NA(),Inputs!$D$28*Inputs!$C$35))</f>
        <v/>
      </c>
      <c r="T2328" s="54">
        <f>IF($B2328=0,NA(),IF(Inputs!$B$29&lt;&gt;"Yes",NA(),Inputs!$D$29*Inputs!$C$35))</f>
        <v/>
      </c>
      <c r="AD2328">
        <f>IF($B2328=0,0,IF(Inputs!$B$6="",0,COUNTIFS(Data!$A$10:$A$3209,"&gt;="&amp;$A2328,Data!$A$10:$A$3209,"&lt;"&amp;$A2328+1)))</f>
        <v/>
      </c>
      <c r="AE2328">
        <f>IF($B2328=0,0,IF(Inputs!$B$7="",0,COUNTIFS(Data!$E$10:$E$3209,"&gt;="&amp;$A2328,Data!$E$10:$E$3209,"&lt;"&amp;$A2328+1)))</f>
        <v/>
      </c>
      <c r="AF2328">
        <f>IF($B2328=0,0,IF(Inputs!$B$8="",0,COUNTIFS(Data!$I$10:$I$3209,"&gt;="&amp;$A2328,Data!$I$10:$I$3209,"&lt;"&amp;$A2328+1)))</f>
        <v/>
      </c>
      <c r="AG2328">
        <f>IF($B2328=0,0,IF(Inputs!$B$9="",0,COUNTIFS(Data!$M$10:$M$3209,"&gt;="&amp;$A2328,Data!$M$10:$M$3209,"&lt;"&amp;$A2328+1)))</f>
        <v/>
      </c>
      <c r="AH2328">
        <f>IF($B2328=0,0,IF(Inputs!$B$10="",0,COUNTIFS(Data!$Q$10:$Q$3209,"&gt;="&amp;$A2328,Data!$Q$10:$Q$3209,"&lt;"&amp;$A2328+1)))</f>
        <v/>
      </c>
    </row>
    <row r="2329">
      <c r="A2329" s="55">
        <f>MIN(Inputs!$C$15,$A2328+IF(WEEKDAY($A2328,2)=5,3,1))</f>
        <v/>
      </c>
      <c r="B2329">
        <f>IF($A2329&gt;$A2328,1,0)</f>
        <v/>
      </c>
      <c r="C2329" s="56">
        <f>IF($B2329=0,"",IF(Inputs!$B$6="","",IF($AD2329=0,C2328,SUMIFS(Data!$B$10:$B$3209,Data!$A$10:$A$3209,"&gt;="&amp;$A2329,Data!$A$10:$A$3209,"&lt;"&amp;$A2329+1)/$AD2329)))</f>
        <v/>
      </c>
      <c r="D2329" s="56">
        <f>IF($B2329=0,"",IF(Inputs!$B$7="","",IF($AE2329=0,D2328,SUMIFS(Data!$F$10:$F$3209,Data!$E$10:$E$3209,"&gt;="&amp;$A2329,Data!$E$10:$E$3209,"&lt;"&amp;$A2329+1)/$AE2329)))</f>
        <v/>
      </c>
      <c r="E2329" s="56">
        <f>IF($B2329=0,"",IF(Inputs!$B$8="","",IF($AF2329=0,E2328,SUMIFS(Data!$J$10:$J$3209,Data!$I$10:$I$3209,"&gt;="&amp;$A2329,Data!$I$10:$I$3209,"&lt;"&amp;$A2329+1)/$AF2329)))</f>
        <v/>
      </c>
      <c r="F2329" s="56">
        <f>IF($B2329=0,"",IF(Inputs!$B$9="","",IF($AG2329=0,F2328,SUMIFS(Data!$N$10:$N$3209,Data!$M$10:$M$3209,"&gt;="&amp;$A2329,Data!$M$10:$M$3209,"&lt;"&amp;$A2329+1)/$AG2329)))</f>
        <v/>
      </c>
      <c r="G2329" s="56">
        <f>IF($B2329=0,"",IF(Inputs!$B$10="","",IF($AH2329=0,G2328,SUMIFS(Data!$R$10:$R$3209,Data!$Q$10:$Q$3209,"&gt;="&amp;$A2329,Data!$Q$10:$Q$3209,"&lt;"&amp;$A2329+1)/$AH2329)))</f>
        <v/>
      </c>
      <c r="I2329" s="54">
        <f>IF($B2329=0,NA(),IF($C2329="",NA(),IF(C$8="",NA(),IF(N(C$8)=0,NA(),IF(Inputs!$C$17="Rebased to 100",$C2329/C$8*100,$C2329)))))</f>
        <v/>
      </c>
      <c r="J2329" s="54">
        <f>IF($B2329=0,NA(),IF($D2329="",NA(),IF(D$8="",NA(),IF(N(D$8)=0,NA(),IF(Inputs!$C$17="Rebased to 100",$D2329/D$8*100,$D2329)))))</f>
        <v/>
      </c>
      <c r="K2329" s="54">
        <f>IF($B2329=0,NA(),IF($E2329="",NA(),IF(E$8="",NA(),IF(N(E$8)=0,NA(),IF(Inputs!$C$17="Rebased to 100",$E2329/E$8*100,$E2329)))))</f>
        <v/>
      </c>
      <c r="L2329" s="54">
        <f>IF($B2329=0,NA(),IF($F2329="",NA(),IF(F$8="",NA(),IF(N(F$8)=0,NA(),IF(Inputs!$C$17="Rebased to 100",$F2329/F$8*100,$F2329)))))</f>
        <v/>
      </c>
      <c r="M2329" s="54">
        <f>IF($B2329=0,NA(),IF($G2329="",NA(),IF(G$8="",NA(),IF(N(G$8)=0,NA(),IF(Inputs!$C$17="Rebased to 100",$G2329/G$8*100,$G2329)))))</f>
        <v/>
      </c>
      <c r="N2329" s="54">
        <f>IF($B2329=0,NA(),IF(Inputs!$C$18&lt;&gt;"Yes",NA(),IF(COUNT(I2329,J2329,K2329,L2329,M2329)=0,NA(),MIN(I2329,J2329,K2329,L2329,M2329))))</f>
        <v/>
      </c>
      <c r="O2329" s="54">
        <f>IF($B2329=0,NA(),IF(Inputs!$B$24&lt;&gt;"Yes",NA(),Inputs!$D$24*Inputs!$C$35))</f>
        <v/>
      </c>
      <c r="P2329" s="54">
        <f>IF($B2329=0,NA(),IF(Inputs!$B$25&lt;&gt;"Yes",NA(),Inputs!$D$25*Inputs!$C$35))</f>
        <v/>
      </c>
      <c r="Q2329" s="54">
        <f>IF($B2329=0,NA(),IF(Inputs!$B$26&lt;&gt;"Yes",NA(),Inputs!$D$26*Inputs!$C$35))</f>
        <v/>
      </c>
      <c r="R2329" s="54">
        <f>IF($B2329=0,NA(),IF(Inputs!$B$27&lt;&gt;"Yes",NA(),Inputs!$D$27*Inputs!$C$35))</f>
        <v/>
      </c>
      <c r="S2329" s="54">
        <f>IF($B2329=0,NA(),IF(Inputs!$B$28&lt;&gt;"Yes",NA(),Inputs!$D$28*Inputs!$C$35))</f>
        <v/>
      </c>
      <c r="T2329" s="54">
        <f>IF($B2329=0,NA(),IF(Inputs!$B$29&lt;&gt;"Yes",NA(),Inputs!$D$29*Inputs!$C$35))</f>
        <v/>
      </c>
      <c r="AD2329">
        <f>IF($B2329=0,0,IF(Inputs!$B$6="",0,COUNTIFS(Data!$A$10:$A$3209,"&gt;="&amp;$A2329,Data!$A$10:$A$3209,"&lt;"&amp;$A2329+1)))</f>
        <v/>
      </c>
      <c r="AE2329">
        <f>IF($B2329=0,0,IF(Inputs!$B$7="",0,COUNTIFS(Data!$E$10:$E$3209,"&gt;="&amp;$A2329,Data!$E$10:$E$3209,"&lt;"&amp;$A2329+1)))</f>
        <v/>
      </c>
      <c r="AF2329">
        <f>IF($B2329=0,0,IF(Inputs!$B$8="",0,COUNTIFS(Data!$I$10:$I$3209,"&gt;="&amp;$A2329,Data!$I$10:$I$3209,"&lt;"&amp;$A2329+1)))</f>
        <v/>
      </c>
      <c r="AG2329">
        <f>IF($B2329=0,0,IF(Inputs!$B$9="",0,COUNTIFS(Data!$M$10:$M$3209,"&gt;="&amp;$A2329,Data!$M$10:$M$3209,"&lt;"&amp;$A2329+1)))</f>
        <v/>
      </c>
      <c r="AH2329">
        <f>IF($B2329=0,0,IF(Inputs!$B$10="",0,COUNTIFS(Data!$Q$10:$Q$3209,"&gt;="&amp;$A2329,Data!$Q$10:$Q$3209,"&lt;"&amp;$A2329+1)))</f>
        <v/>
      </c>
    </row>
    <row r="2330">
      <c r="A2330" s="55">
        <f>MIN(Inputs!$C$15,$A2329+IF(WEEKDAY($A2329,2)=5,3,1))</f>
        <v/>
      </c>
      <c r="B2330">
        <f>IF($A2330&gt;$A2329,1,0)</f>
        <v/>
      </c>
      <c r="C2330" s="56">
        <f>IF($B2330=0,"",IF(Inputs!$B$6="","",IF($AD2330=0,C2329,SUMIFS(Data!$B$10:$B$3209,Data!$A$10:$A$3209,"&gt;="&amp;$A2330,Data!$A$10:$A$3209,"&lt;"&amp;$A2330+1)/$AD2330)))</f>
        <v/>
      </c>
      <c r="D2330" s="56">
        <f>IF($B2330=0,"",IF(Inputs!$B$7="","",IF($AE2330=0,D2329,SUMIFS(Data!$F$10:$F$3209,Data!$E$10:$E$3209,"&gt;="&amp;$A2330,Data!$E$10:$E$3209,"&lt;"&amp;$A2330+1)/$AE2330)))</f>
        <v/>
      </c>
      <c r="E2330" s="56">
        <f>IF($B2330=0,"",IF(Inputs!$B$8="","",IF($AF2330=0,E2329,SUMIFS(Data!$J$10:$J$3209,Data!$I$10:$I$3209,"&gt;="&amp;$A2330,Data!$I$10:$I$3209,"&lt;"&amp;$A2330+1)/$AF2330)))</f>
        <v/>
      </c>
      <c r="F2330" s="56">
        <f>IF($B2330=0,"",IF(Inputs!$B$9="","",IF($AG2330=0,F2329,SUMIFS(Data!$N$10:$N$3209,Data!$M$10:$M$3209,"&gt;="&amp;$A2330,Data!$M$10:$M$3209,"&lt;"&amp;$A2330+1)/$AG2330)))</f>
        <v/>
      </c>
      <c r="G2330" s="56">
        <f>IF($B2330=0,"",IF(Inputs!$B$10="","",IF($AH2330=0,G2329,SUMIFS(Data!$R$10:$R$3209,Data!$Q$10:$Q$3209,"&gt;="&amp;$A2330,Data!$Q$10:$Q$3209,"&lt;"&amp;$A2330+1)/$AH2330)))</f>
        <v/>
      </c>
      <c r="I2330" s="54">
        <f>IF($B2330=0,NA(),IF($C2330="",NA(),IF(C$8="",NA(),IF(N(C$8)=0,NA(),IF(Inputs!$C$17="Rebased to 100",$C2330/C$8*100,$C2330)))))</f>
        <v/>
      </c>
      <c r="J2330" s="54">
        <f>IF($B2330=0,NA(),IF($D2330="",NA(),IF(D$8="",NA(),IF(N(D$8)=0,NA(),IF(Inputs!$C$17="Rebased to 100",$D2330/D$8*100,$D2330)))))</f>
        <v/>
      </c>
      <c r="K2330" s="54">
        <f>IF($B2330=0,NA(),IF($E2330="",NA(),IF(E$8="",NA(),IF(N(E$8)=0,NA(),IF(Inputs!$C$17="Rebased to 100",$E2330/E$8*100,$E2330)))))</f>
        <v/>
      </c>
      <c r="L2330" s="54">
        <f>IF($B2330=0,NA(),IF($F2330="",NA(),IF(F$8="",NA(),IF(N(F$8)=0,NA(),IF(Inputs!$C$17="Rebased to 100",$F2330/F$8*100,$F2330)))))</f>
        <v/>
      </c>
      <c r="M2330" s="54">
        <f>IF($B2330=0,NA(),IF($G2330="",NA(),IF(G$8="",NA(),IF(N(G$8)=0,NA(),IF(Inputs!$C$17="Rebased to 100",$G2330/G$8*100,$G2330)))))</f>
        <v/>
      </c>
      <c r="N2330" s="54">
        <f>IF($B2330=0,NA(),IF(Inputs!$C$18&lt;&gt;"Yes",NA(),IF(COUNT(I2330,J2330,K2330,L2330,M2330)=0,NA(),MIN(I2330,J2330,K2330,L2330,M2330))))</f>
        <v/>
      </c>
      <c r="O2330" s="54">
        <f>IF($B2330=0,NA(),IF(Inputs!$B$24&lt;&gt;"Yes",NA(),Inputs!$D$24*Inputs!$C$35))</f>
        <v/>
      </c>
      <c r="P2330" s="54">
        <f>IF($B2330=0,NA(),IF(Inputs!$B$25&lt;&gt;"Yes",NA(),Inputs!$D$25*Inputs!$C$35))</f>
        <v/>
      </c>
      <c r="Q2330" s="54">
        <f>IF($B2330=0,NA(),IF(Inputs!$B$26&lt;&gt;"Yes",NA(),Inputs!$D$26*Inputs!$C$35))</f>
        <v/>
      </c>
      <c r="R2330" s="54">
        <f>IF($B2330=0,NA(),IF(Inputs!$B$27&lt;&gt;"Yes",NA(),Inputs!$D$27*Inputs!$C$35))</f>
        <v/>
      </c>
      <c r="S2330" s="54">
        <f>IF($B2330=0,NA(),IF(Inputs!$B$28&lt;&gt;"Yes",NA(),Inputs!$D$28*Inputs!$C$35))</f>
        <v/>
      </c>
      <c r="T2330" s="54">
        <f>IF($B2330=0,NA(),IF(Inputs!$B$29&lt;&gt;"Yes",NA(),Inputs!$D$29*Inputs!$C$35))</f>
        <v/>
      </c>
      <c r="AD2330">
        <f>IF($B2330=0,0,IF(Inputs!$B$6="",0,COUNTIFS(Data!$A$10:$A$3209,"&gt;="&amp;$A2330,Data!$A$10:$A$3209,"&lt;"&amp;$A2330+1)))</f>
        <v/>
      </c>
      <c r="AE2330">
        <f>IF($B2330=0,0,IF(Inputs!$B$7="",0,COUNTIFS(Data!$E$10:$E$3209,"&gt;="&amp;$A2330,Data!$E$10:$E$3209,"&lt;"&amp;$A2330+1)))</f>
        <v/>
      </c>
      <c r="AF2330">
        <f>IF($B2330=0,0,IF(Inputs!$B$8="",0,COUNTIFS(Data!$I$10:$I$3209,"&gt;="&amp;$A2330,Data!$I$10:$I$3209,"&lt;"&amp;$A2330+1)))</f>
        <v/>
      </c>
      <c r="AG2330">
        <f>IF($B2330=0,0,IF(Inputs!$B$9="",0,COUNTIFS(Data!$M$10:$M$3209,"&gt;="&amp;$A2330,Data!$M$10:$M$3209,"&lt;"&amp;$A2330+1)))</f>
        <v/>
      </c>
      <c r="AH2330">
        <f>IF($B2330=0,0,IF(Inputs!$B$10="",0,COUNTIFS(Data!$Q$10:$Q$3209,"&gt;="&amp;$A2330,Data!$Q$10:$Q$3209,"&lt;"&amp;$A2330+1)))</f>
        <v/>
      </c>
    </row>
    <row r="2331">
      <c r="A2331" s="55">
        <f>MIN(Inputs!$C$15,$A2330+IF(WEEKDAY($A2330,2)=5,3,1))</f>
        <v/>
      </c>
      <c r="B2331">
        <f>IF($A2331&gt;$A2330,1,0)</f>
        <v/>
      </c>
      <c r="C2331" s="56">
        <f>IF($B2331=0,"",IF(Inputs!$B$6="","",IF($AD2331=0,C2330,SUMIFS(Data!$B$10:$B$3209,Data!$A$10:$A$3209,"&gt;="&amp;$A2331,Data!$A$10:$A$3209,"&lt;"&amp;$A2331+1)/$AD2331)))</f>
        <v/>
      </c>
      <c r="D2331" s="56">
        <f>IF($B2331=0,"",IF(Inputs!$B$7="","",IF($AE2331=0,D2330,SUMIFS(Data!$F$10:$F$3209,Data!$E$10:$E$3209,"&gt;="&amp;$A2331,Data!$E$10:$E$3209,"&lt;"&amp;$A2331+1)/$AE2331)))</f>
        <v/>
      </c>
      <c r="E2331" s="56">
        <f>IF($B2331=0,"",IF(Inputs!$B$8="","",IF($AF2331=0,E2330,SUMIFS(Data!$J$10:$J$3209,Data!$I$10:$I$3209,"&gt;="&amp;$A2331,Data!$I$10:$I$3209,"&lt;"&amp;$A2331+1)/$AF2331)))</f>
        <v/>
      </c>
      <c r="F2331" s="56">
        <f>IF($B2331=0,"",IF(Inputs!$B$9="","",IF($AG2331=0,F2330,SUMIFS(Data!$N$10:$N$3209,Data!$M$10:$M$3209,"&gt;="&amp;$A2331,Data!$M$10:$M$3209,"&lt;"&amp;$A2331+1)/$AG2331)))</f>
        <v/>
      </c>
      <c r="G2331" s="56">
        <f>IF($B2331=0,"",IF(Inputs!$B$10="","",IF($AH2331=0,G2330,SUMIFS(Data!$R$10:$R$3209,Data!$Q$10:$Q$3209,"&gt;="&amp;$A2331,Data!$Q$10:$Q$3209,"&lt;"&amp;$A2331+1)/$AH2331)))</f>
        <v/>
      </c>
      <c r="I2331" s="54">
        <f>IF($B2331=0,NA(),IF($C2331="",NA(),IF(C$8="",NA(),IF(N(C$8)=0,NA(),IF(Inputs!$C$17="Rebased to 100",$C2331/C$8*100,$C2331)))))</f>
        <v/>
      </c>
      <c r="J2331" s="54">
        <f>IF($B2331=0,NA(),IF($D2331="",NA(),IF(D$8="",NA(),IF(N(D$8)=0,NA(),IF(Inputs!$C$17="Rebased to 100",$D2331/D$8*100,$D2331)))))</f>
        <v/>
      </c>
      <c r="K2331" s="54">
        <f>IF($B2331=0,NA(),IF($E2331="",NA(),IF(E$8="",NA(),IF(N(E$8)=0,NA(),IF(Inputs!$C$17="Rebased to 100",$E2331/E$8*100,$E2331)))))</f>
        <v/>
      </c>
      <c r="L2331" s="54">
        <f>IF($B2331=0,NA(),IF($F2331="",NA(),IF(F$8="",NA(),IF(N(F$8)=0,NA(),IF(Inputs!$C$17="Rebased to 100",$F2331/F$8*100,$F2331)))))</f>
        <v/>
      </c>
      <c r="M2331" s="54">
        <f>IF($B2331=0,NA(),IF($G2331="",NA(),IF(G$8="",NA(),IF(N(G$8)=0,NA(),IF(Inputs!$C$17="Rebased to 100",$G2331/G$8*100,$G2331)))))</f>
        <v/>
      </c>
      <c r="N2331" s="54">
        <f>IF($B2331=0,NA(),IF(Inputs!$C$18&lt;&gt;"Yes",NA(),IF(COUNT(I2331,J2331,K2331,L2331,M2331)=0,NA(),MIN(I2331,J2331,K2331,L2331,M2331))))</f>
        <v/>
      </c>
      <c r="O2331" s="54">
        <f>IF($B2331=0,NA(),IF(Inputs!$B$24&lt;&gt;"Yes",NA(),Inputs!$D$24*Inputs!$C$35))</f>
        <v/>
      </c>
      <c r="P2331" s="54">
        <f>IF($B2331=0,NA(),IF(Inputs!$B$25&lt;&gt;"Yes",NA(),Inputs!$D$25*Inputs!$C$35))</f>
        <v/>
      </c>
      <c r="Q2331" s="54">
        <f>IF($B2331=0,NA(),IF(Inputs!$B$26&lt;&gt;"Yes",NA(),Inputs!$D$26*Inputs!$C$35))</f>
        <v/>
      </c>
      <c r="R2331" s="54">
        <f>IF($B2331=0,NA(),IF(Inputs!$B$27&lt;&gt;"Yes",NA(),Inputs!$D$27*Inputs!$C$35))</f>
        <v/>
      </c>
      <c r="S2331" s="54">
        <f>IF($B2331=0,NA(),IF(Inputs!$B$28&lt;&gt;"Yes",NA(),Inputs!$D$28*Inputs!$C$35))</f>
        <v/>
      </c>
      <c r="T2331" s="54">
        <f>IF($B2331=0,NA(),IF(Inputs!$B$29&lt;&gt;"Yes",NA(),Inputs!$D$29*Inputs!$C$35))</f>
        <v/>
      </c>
      <c r="AD2331">
        <f>IF($B2331=0,0,IF(Inputs!$B$6="",0,COUNTIFS(Data!$A$10:$A$3209,"&gt;="&amp;$A2331,Data!$A$10:$A$3209,"&lt;"&amp;$A2331+1)))</f>
        <v/>
      </c>
      <c r="AE2331">
        <f>IF($B2331=0,0,IF(Inputs!$B$7="",0,COUNTIFS(Data!$E$10:$E$3209,"&gt;="&amp;$A2331,Data!$E$10:$E$3209,"&lt;"&amp;$A2331+1)))</f>
        <v/>
      </c>
      <c r="AF2331">
        <f>IF($B2331=0,0,IF(Inputs!$B$8="",0,COUNTIFS(Data!$I$10:$I$3209,"&gt;="&amp;$A2331,Data!$I$10:$I$3209,"&lt;"&amp;$A2331+1)))</f>
        <v/>
      </c>
      <c r="AG2331">
        <f>IF($B2331=0,0,IF(Inputs!$B$9="",0,COUNTIFS(Data!$M$10:$M$3209,"&gt;="&amp;$A2331,Data!$M$10:$M$3209,"&lt;"&amp;$A2331+1)))</f>
        <v/>
      </c>
      <c r="AH2331">
        <f>IF($B2331=0,0,IF(Inputs!$B$10="",0,COUNTIFS(Data!$Q$10:$Q$3209,"&gt;="&amp;$A2331,Data!$Q$10:$Q$3209,"&lt;"&amp;$A2331+1)))</f>
        <v/>
      </c>
    </row>
    <row r="2332">
      <c r="A2332" s="55">
        <f>MIN(Inputs!$C$15,$A2331+IF(WEEKDAY($A2331,2)=5,3,1))</f>
        <v/>
      </c>
      <c r="B2332">
        <f>IF($A2332&gt;$A2331,1,0)</f>
        <v/>
      </c>
      <c r="C2332" s="56">
        <f>IF($B2332=0,"",IF(Inputs!$B$6="","",IF($AD2332=0,C2331,SUMIFS(Data!$B$10:$B$3209,Data!$A$10:$A$3209,"&gt;="&amp;$A2332,Data!$A$10:$A$3209,"&lt;"&amp;$A2332+1)/$AD2332)))</f>
        <v/>
      </c>
      <c r="D2332" s="56">
        <f>IF($B2332=0,"",IF(Inputs!$B$7="","",IF($AE2332=0,D2331,SUMIFS(Data!$F$10:$F$3209,Data!$E$10:$E$3209,"&gt;="&amp;$A2332,Data!$E$10:$E$3209,"&lt;"&amp;$A2332+1)/$AE2332)))</f>
        <v/>
      </c>
      <c r="E2332" s="56">
        <f>IF($B2332=0,"",IF(Inputs!$B$8="","",IF($AF2332=0,E2331,SUMIFS(Data!$J$10:$J$3209,Data!$I$10:$I$3209,"&gt;="&amp;$A2332,Data!$I$10:$I$3209,"&lt;"&amp;$A2332+1)/$AF2332)))</f>
        <v/>
      </c>
      <c r="F2332" s="56">
        <f>IF($B2332=0,"",IF(Inputs!$B$9="","",IF($AG2332=0,F2331,SUMIFS(Data!$N$10:$N$3209,Data!$M$10:$M$3209,"&gt;="&amp;$A2332,Data!$M$10:$M$3209,"&lt;"&amp;$A2332+1)/$AG2332)))</f>
        <v/>
      </c>
      <c r="G2332" s="56">
        <f>IF($B2332=0,"",IF(Inputs!$B$10="","",IF($AH2332=0,G2331,SUMIFS(Data!$R$10:$R$3209,Data!$Q$10:$Q$3209,"&gt;="&amp;$A2332,Data!$Q$10:$Q$3209,"&lt;"&amp;$A2332+1)/$AH2332)))</f>
        <v/>
      </c>
      <c r="I2332" s="54">
        <f>IF($B2332=0,NA(),IF($C2332="",NA(),IF(C$8="",NA(),IF(N(C$8)=0,NA(),IF(Inputs!$C$17="Rebased to 100",$C2332/C$8*100,$C2332)))))</f>
        <v/>
      </c>
      <c r="J2332" s="54">
        <f>IF($B2332=0,NA(),IF($D2332="",NA(),IF(D$8="",NA(),IF(N(D$8)=0,NA(),IF(Inputs!$C$17="Rebased to 100",$D2332/D$8*100,$D2332)))))</f>
        <v/>
      </c>
      <c r="K2332" s="54">
        <f>IF($B2332=0,NA(),IF($E2332="",NA(),IF(E$8="",NA(),IF(N(E$8)=0,NA(),IF(Inputs!$C$17="Rebased to 100",$E2332/E$8*100,$E2332)))))</f>
        <v/>
      </c>
      <c r="L2332" s="54">
        <f>IF($B2332=0,NA(),IF($F2332="",NA(),IF(F$8="",NA(),IF(N(F$8)=0,NA(),IF(Inputs!$C$17="Rebased to 100",$F2332/F$8*100,$F2332)))))</f>
        <v/>
      </c>
      <c r="M2332" s="54">
        <f>IF($B2332=0,NA(),IF($G2332="",NA(),IF(G$8="",NA(),IF(N(G$8)=0,NA(),IF(Inputs!$C$17="Rebased to 100",$G2332/G$8*100,$G2332)))))</f>
        <v/>
      </c>
      <c r="N2332" s="54">
        <f>IF($B2332=0,NA(),IF(Inputs!$C$18&lt;&gt;"Yes",NA(),IF(COUNT(I2332,J2332,K2332,L2332,M2332)=0,NA(),MIN(I2332,J2332,K2332,L2332,M2332))))</f>
        <v/>
      </c>
      <c r="O2332" s="54">
        <f>IF($B2332=0,NA(),IF(Inputs!$B$24&lt;&gt;"Yes",NA(),Inputs!$D$24*Inputs!$C$35))</f>
        <v/>
      </c>
      <c r="P2332" s="54">
        <f>IF($B2332=0,NA(),IF(Inputs!$B$25&lt;&gt;"Yes",NA(),Inputs!$D$25*Inputs!$C$35))</f>
        <v/>
      </c>
      <c r="Q2332" s="54">
        <f>IF($B2332=0,NA(),IF(Inputs!$B$26&lt;&gt;"Yes",NA(),Inputs!$D$26*Inputs!$C$35))</f>
        <v/>
      </c>
      <c r="R2332" s="54">
        <f>IF($B2332=0,NA(),IF(Inputs!$B$27&lt;&gt;"Yes",NA(),Inputs!$D$27*Inputs!$C$35))</f>
        <v/>
      </c>
      <c r="S2332" s="54">
        <f>IF($B2332=0,NA(),IF(Inputs!$B$28&lt;&gt;"Yes",NA(),Inputs!$D$28*Inputs!$C$35))</f>
        <v/>
      </c>
      <c r="T2332" s="54">
        <f>IF($B2332=0,NA(),IF(Inputs!$B$29&lt;&gt;"Yes",NA(),Inputs!$D$29*Inputs!$C$35))</f>
        <v/>
      </c>
      <c r="AD2332">
        <f>IF($B2332=0,0,IF(Inputs!$B$6="",0,COUNTIFS(Data!$A$10:$A$3209,"&gt;="&amp;$A2332,Data!$A$10:$A$3209,"&lt;"&amp;$A2332+1)))</f>
        <v/>
      </c>
      <c r="AE2332">
        <f>IF($B2332=0,0,IF(Inputs!$B$7="",0,COUNTIFS(Data!$E$10:$E$3209,"&gt;="&amp;$A2332,Data!$E$10:$E$3209,"&lt;"&amp;$A2332+1)))</f>
        <v/>
      </c>
      <c r="AF2332">
        <f>IF($B2332=0,0,IF(Inputs!$B$8="",0,COUNTIFS(Data!$I$10:$I$3209,"&gt;="&amp;$A2332,Data!$I$10:$I$3209,"&lt;"&amp;$A2332+1)))</f>
        <v/>
      </c>
      <c r="AG2332">
        <f>IF($B2332=0,0,IF(Inputs!$B$9="",0,COUNTIFS(Data!$M$10:$M$3209,"&gt;="&amp;$A2332,Data!$M$10:$M$3209,"&lt;"&amp;$A2332+1)))</f>
        <v/>
      </c>
      <c r="AH2332">
        <f>IF($B2332=0,0,IF(Inputs!$B$10="",0,COUNTIFS(Data!$Q$10:$Q$3209,"&gt;="&amp;$A2332,Data!$Q$10:$Q$3209,"&lt;"&amp;$A2332+1)))</f>
        <v/>
      </c>
    </row>
    <row r="2333">
      <c r="A2333" s="55">
        <f>MIN(Inputs!$C$15,$A2332+IF(WEEKDAY($A2332,2)=5,3,1))</f>
        <v/>
      </c>
      <c r="B2333">
        <f>IF($A2333&gt;$A2332,1,0)</f>
        <v/>
      </c>
      <c r="C2333" s="56">
        <f>IF($B2333=0,"",IF(Inputs!$B$6="","",IF($AD2333=0,C2332,SUMIFS(Data!$B$10:$B$3209,Data!$A$10:$A$3209,"&gt;="&amp;$A2333,Data!$A$10:$A$3209,"&lt;"&amp;$A2333+1)/$AD2333)))</f>
        <v/>
      </c>
      <c r="D2333" s="56">
        <f>IF($B2333=0,"",IF(Inputs!$B$7="","",IF($AE2333=0,D2332,SUMIFS(Data!$F$10:$F$3209,Data!$E$10:$E$3209,"&gt;="&amp;$A2333,Data!$E$10:$E$3209,"&lt;"&amp;$A2333+1)/$AE2333)))</f>
        <v/>
      </c>
      <c r="E2333" s="56">
        <f>IF($B2333=0,"",IF(Inputs!$B$8="","",IF($AF2333=0,E2332,SUMIFS(Data!$J$10:$J$3209,Data!$I$10:$I$3209,"&gt;="&amp;$A2333,Data!$I$10:$I$3209,"&lt;"&amp;$A2333+1)/$AF2333)))</f>
        <v/>
      </c>
      <c r="F2333" s="56">
        <f>IF($B2333=0,"",IF(Inputs!$B$9="","",IF($AG2333=0,F2332,SUMIFS(Data!$N$10:$N$3209,Data!$M$10:$M$3209,"&gt;="&amp;$A2333,Data!$M$10:$M$3209,"&lt;"&amp;$A2333+1)/$AG2333)))</f>
        <v/>
      </c>
      <c r="G2333" s="56">
        <f>IF($B2333=0,"",IF(Inputs!$B$10="","",IF($AH2333=0,G2332,SUMIFS(Data!$R$10:$R$3209,Data!$Q$10:$Q$3209,"&gt;="&amp;$A2333,Data!$Q$10:$Q$3209,"&lt;"&amp;$A2333+1)/$AH2333)))</f>
        <v/>
      </c>
      <c r="I2333" s="54">
        <f>IF($B2333=0,NA(),IF($C2333="",NA(),IF(C$8="",NA(),IF(N(C$8)=0,NA(),IF(Inputs!$C$17="Rebased to 100",$C2333/C$8*100,$C2333)))))</f>
        <v/>
      </c>
      <c r="J2333" s="54">
        <f>IF($B2333=0,NA(),IF($D2333="",NA(),IF(D$8="",NA(),IF(N(D$8)=0,NA(),IF(Inputs!$C$17="Rebased to 100",$D2333/D$8*100,$D2333)))))</f>
        <v/>
      </c>
      <c r="K2333" s="54">
        <f>IF($B2333=0,NA(),IF($E2333="",NA(),IF(E$8="",NA(),IF(N(E$8)=0,NA(),IF(Inputs!$C$17="Rebased to 100",$E2333/E$8*100,$E2333)))))</f>
        <v/>
      </c>
      <c r="L2333" s="54">
        <f>IF($B2333=0,NA(),IF($F2333="",NA(),IF(F$8="",NA(),IF(N(F$8)=0,NA(),IF(Inputs!$C$17="Rebased to 100",$F2333/F$8*100,$F2333)))))</f>
        <v/>
      </c>
      <c r="M2333" s="54">
        <f>IF($B2333=0,NA(),IF($G2333="",NA(),IF(G$8="",NA(),IF(N(G$8)=0,NA(),IF(Inputs!$C$17="Rebased to 100",$G2333/G$8*100,$G2333)))))</f>
        <v/>
      </c>
      <c r="N2333" s="54">
        <f>IF($B2333=0,NA(),IF(Inputs!$C$18&lt;&gt;"Yes",NA(),IF(COUNT(I2333,J2333,K2333,L2333,M2333)=0,NA(),MIN(I2333,J2333,K2333,L2333,M2333))))</f>
        <v/>
      </c>
      <c r="O2333" s="54">
        <f>IF($B2333=0,NA(),IF(Inputs!$B$24&lt;&gt;"Yes",NA(),Inputs!$D$24*Inputs!$C$35))</f>
        <v/>
      </c>
      <c r="P2333" s="54">
        <f>IF($B2333=0,NA(),IF(Inputs!$B$25&lt;&gt;"Yes",NA(),Inputs!$D$25*Inputs!$C$35))</f>
        <v/>
      </c>
      <c r="Q2333" s="54">
        <f>IF($B2333=0,NA(),IF(Inputs!$B$26&lt;&gt;"Yes",NA(),Inputs!$D$26*Inputs!$C$35))</f>
        <v/>
      </c>
      <c r="R2333" s="54">
        <f>IF($B2333=0,NA(),IF(Inputs!$B$27&lt;&gt;"Yes",NA(),Inputs!$D$27*Inputs!$C$35))</f>
        <v/>
      </c>
      <c r="S2333" s="54">
        <f>IF($B2333=0,NA(),IF(Inputs!$B$28&lt;&gt;"Yes",NA(),Inputs!$D$28*Inputs!$C$35))</f>
        <v/>
      </c>
      <c r="T2333" s="54">
        <f>IF($B2333=0,NA(),IF(Inputs!$B$29&lt;&gt;"Yes",NA(),Inputs!$D$29*Inputs!$C$35))</f>
        <v/>
      </c>
      <c r="AD2333">
        <f>IF($B2333=0,0,IF(Inputs!$B$6="",0,COUNTIFS(Data!$A$10:$A$3209,"&gt;="&amp;$A2333,Data!$A$10:$A$3209,"&lt;"&amp;$A2333+1)))</f>
        <v/>
      </c>
      <c r="AE2333">
        <f>IF($B2333=0,0,IF(Inputs!$B$7="",0,COUNTIFS(Data!$E$10:$E$3209,"&gt;="&amp;$A2333,Data!$E$10:$E$3209,"&lt;"&amp;$A2333+1)))</f>
        <v/>
      </c>
      <c r="AF2333">
        <f>IF($B2333=0,0,IF(Inputs!$B$8="",0,COUNTIFS(Data!$I$10:$I$3209,"&gt;="&amp;$A2333,Data!$I$10:$I$3209,"&lt;"&amp;$A2333+1)))</f>
        <v/>
      </c>
      <c r="AG2333">
        <f>IF($B2333=0,0,IF(Inputs!$B$9="",0,COUNTIFS(Data!$M$10:$M$3209,"&gt;="&amp;$A2333,Data!$M$10:$M$3209,"&lt;"&amp;$A2333+1)))</f>
        <v/>
      </c>
      <c r="AH2333">
        <f>IF($B2333=0,0,IF(Inputs!$B$10="",0,COUNTIFS(Data!$Q$10:$Q$3209,"&gt;="&amp;$A2333,Data!$Q$10:$Q$3209,"&lt;"&amp;$A2333+1)))</f>
        <v/>
      </c>
    </row>
    <row r="2334">
      <c r="A2334" s="55">
        <f>MIN(Inputs!$C$15,$A2333+IF(WEEKDAY($A2333,2)=5,3,1))</f>
        <v/>
      </c>
      <c r="B2334">
        <f>IF($A2334&gt;$A2333,1,0)</f>
        <v/>
      </c>
      <c r="C2334" s="56">
        <f>IF($B2334=0,"",IF(Inputs!$B$6="","",IF($AD2334=0,C2333,SUMIFS(Data!$B$10:$B$3209,Data!$A$10:$A$3209,"&gt;="&amp;$A2334,Data!$A$10:$A$3209,"&lt;"&amp;$A2334+1)/$AD2334)))</f>
        <v/>
      </c>
      <c r="D2334" s="56">
        <f>IF($B2334=0,"",IF(Inputs!$B$7="","",IF($AE2334=0,D2333,SUMIFS(Data!$F$10:$F$3209,Data!$E$10:$E$3209,"&gt;="&amp;$A2334,Data!$E$10:$E$3209,"&lt;"&amp;$A2334+1)/$AE2334)))</f>
        <v/>
      </c>
      <c r="E2334" s="56">
        <f>IF($B2334=0,"",IF(Inputs!$B$8="","",IF($AF2334=0,E2333,SUMIFS(Data!$J$10:$J$3209,Data!$I$10:$I$3209,"&gt;="&amp;$A2334,Data!$I$10:$I$3209,"&lt;"&amp;$A2334+1)/$AF2334)))</f>
        <v/>
      </c>
      <c r="F2334" s="56">
        <f>IF($B2334=0,"",IF(Inputs!$B$9="","",IF($AG2334=0,F2333,SUMIFS(Data!$N$10:$N$3209,Data!$M$10:$M$3209,"&gt;="&amp;$A2334,Data!$M$10:$M$3209,"&lt;"&amp;$A2334+1)/$AG2334)))</f>
        <v/>
      </c>
      <c r="G2334" s="56">
        <f>IF($B2334=0,"",IF(Inputs!$B$10="","",IF($AH2334=0,G2333,SUMIFS(Data!$R$10:$R$3209,Data!$Q$10:$Q$3209,"&gt;="&amp;$A2334,Data!$Q$10:$Q$3209,"&lt;"&amp;$A2334+1)/$AH2334)))</f>
        <v/>
      </c>
      <c r="I2334" s="54">
        <f>IF($B2334=0,NA(),IF($C2334="",NA(),IF(C$8="",NA(),IF(N(C$8)=0,NA(),IF(Inputs!$C$17="Rebased to 100",$C2334/C$8*100,$C2334)))))</f>
        <v/>
      </c>
      <c r="J2334" s="54">
        <f>IF($B2334=0,NA(),IF($D2334="",NA(),IF(D$8="",NA(),IF(N(D$8)=0,NA(),IF(Inputs!$C$17="Rebased to 100",$D2334/D$8*100,$D2334)))))</f>
        <v/>
      </c>
      <c r="K2334" s="54">
        <f>IF($B2334=0,NA(),IF($E2334="",NA(),IF(E$8="",NA(),IF(N(E$8)=0,NA(),IF(Inputs!$C$17="Rebased to 100",$E2334/E$8*100,$E2334)))))</f>
        <v/>
      </c>
      <c r="L2334" s="54">
        <f>IF($B2334=0,NA(),IF($F2334="",NA(),IF(F$8="",NA(),IF(N(F$8)=0,NA(),IF(Inputs!$C$17="Rebased to 100",$F2334/F$8*100,$F2334)))))</f>
        <v/>
      </c>
      <c r="M2334" s="54">
        <f>IF($B2334=0,NA(),IF($G2334="",NA(),IF(G$8="",NA(),IF(N(G$8)=0,NA(),IF(Inputs!$C$17="Rebased to 100",$G2334/G$8*100,$G2334)))))</f>
        <v/>
      </c>
      <c r="N2334" s="54">
        <f>IF($B2334=0,NA(),IF(Inputs!$C$18&lt;&gt;"Yes",NA(),IF(COUNT(I2334,J2334,K2334,L2334,M2334)=0,NA(),MIN(I2334,J2334,K2334,L2334,M2334))))</f>
        <v/>
      </c>
      <c r="O2334" s="54">
        <f>IF($B2334=0,NA(),IF(Inputs!$B$24&lt;&gt;"Yes",NA(),Inputs!$D$24*Inputs!$C$35))</f>
        <v/>
      </c>
      <c r="P2334" s="54">
        <f>IF($B2334=0,NA(),IF(Inputs!$B$25&lt;&gt;"Yes",NA(),Inputs!$D$25*Inputs!$C$35))</f>
        <v/>
      </c>
      <c r="Q2334" s="54">
        <f>IF($B2334=0,NA(),IF(Inputs!$B$26&lt;&gt;"Yes",NA(),Inputs!$D$26*Inputs!$C$35))</f>
        <v/>
      </c>
      <c r="R2334" s="54">
        <f>IF($B2334=0,NA(),IF(Inputs!$B$27&lt;&gt;"Yes",NA(),Inputs!$D$27*Inputs!$C$35))</f>
        <v/>
      </c>
      <c r="S2334" s="54">
        <f>IF($B2334=0,NA(),IF(Inputs!$B$28&lt;&gt;"Yes",NA(),Inputs!$D$28*Inputs!$C$35))</f>
        <v/>
      </c>
      <c r="T2334" s="54">
        <f>IF($B2334=0,NA(),IF(Inputs!$B$29&lt;&gt;"Yes",NA(),Inputs!$D$29*Inputs!$C$35))</f>
        <v/>
      </c>
      <c r="AD2334">
        <f>IF($B2334=0,0,IF(Inputs!$B$6="",0,COUNTIFS(Data!$A$10:$A$3209,"&gt;="&amp;$A2334,Data!$A$10:$A$3209,"&lt;"&amp;$A2334+1)))</f>
        <v/>
      </c>
      <c r="AE2334">
        <f>IF($B2334=0,0,IF(Inputs!$B$7="",0,COUNTIFS(Data!$E$10:$E$3209,"&gt;="&amp;$A2334,Data!$E$10:$E$3209,"&lt;"&amp;$A2334+1)))</f>
        <v/>
      </c>
      <c r="AF2334">
        <f>IF($B2334=0,0,IF(Inputs!$B$8="",0,COUNTIFS(Data!$I$10:$I$3209,"&gt;="&amp;$A2334,Data!$I$10:$I$3209,"&lt;"&amp;$A2334+1)))</f>
        <v/>
      </c>
      <c r="AG2334">
        <f>IF($B2334=0,0,IF(Inputs!$B$9="",0,COUNTIFS(Data!$M$10:$M$3209,"&gt;="&amp;$A2334,Data!$M$10:$M$3209,"&lt;"&amp;$A2334+1)))</f>
        <v/>
      </c>
      <c r="AH2334">
        <f>IF($B2334=0,0,IF(Inputs!$B$10="",0,COUNTIFS(Data!$Q$10:$Q$3209,"&gt;="&amp;$A2334,Data!$Q$10:$Q$3209,"&lt;"&amp;$A2334+1)))</f>
        <v/>
      </c>
    </row>
    <row r="2335">
      <c r="A2335" s="55">
        <f>MIN(Inputs!$C$15,$A2334+IF(WEEKDAY($A2334,2)=5,3,1))</f>
        <v/>
      </c>
      <c r="B2335">
        <f>IF($A2335&gt;$A2334,1,0)</f>
        <v/>
      </c>
      <c r="C2335" s="56">
        <f>IF($B2335=0,"",IF(Inputs!$B$6="","",IF($AD2335=0,C2334,SUMIFS(Data!$B$10:$B$3209,Data!$A$10:$A$3209,"&gt;="&amp;$A2335,Data!$A$10:$A$3209,"&lt;"&amp;$A2335+1)/$AD2335)))</f>
        <v/>
      </c>
      <c r="D2335" s="56">
        <f>IF($B2335=0,"",IF(Inputs!$B$7="","",IF($AE2335=0,D2334,SUMIFS(Data!$F$10:$F$3209,Data!$E$10:$E$3209,"&gt;="&amp;$A2335,Data!$E$10:$E$3209,"&lt;"&amp;$A2335+1)/$AE2335)))</f>
        <v/>
      </c>
      <c r="E2335" s="56">
        <f>IF($B2335=0,"",IF(Inputs!$B$8="","",IF($AF2335=0,E2334,SUMIFS(Data!$J$10:$J$3209,Data!$I$10:$I$3209,"&gt;="&amp;$A2335,Data!$I$10:$I$3209,"&lt;"&amp;$A2335+1)/$AF2335)))</f>
        <v/>
      </c>
      <c r="F2335" s="56">
        <f>IF($B2335=0,"",IF(Inputs!$B$9="","",IF($AG2335=0,F2334,SUMIFS(Data!$N$10:$N$3209,Data!$M$10:$M$3209,"&gt;="&amp;$A2335,Data!$M$10:$M$3209,"&lt;"&amp;$A2335+1)/$AG2335)))</f>
        <v/>
      </c>
      <c r="G2335" s="56">
        <f>IF($B2335=0,"",IF(Inputs!$B$10="","",IF($AH2335=0,G2334,SUMIFS(Data!$R$10:$R$3209,Data!$Q$10:$Q$3209,"&gt;="&amp;$A2335,Data!$Q$10:$Q$3209,"&lt;"&amp;$A2335+1)/$AH2335)))</f>
        <v/>
      </c>
      <c r="I2335" s="54">
        <f>IF($B2335=0,NA(),IF($C2335="",NA(),IF(C$8="",NA(),IF(N(C$8)=0,NA(),IF(Inputs!$C$17="Rebased to 100",$C2335/C$8*100,$C2335)))))</f>
        <v/>
      </c>
      <c r="J2335" s="54">
        <f>IF($B2335=0,NA(),IF($D2335="",NA(),IF(D$8="",NA(),IF(N(D$8)=0,NA(),IF(Inputs!$C$17="Rebased to 100",$D2335/D$8*100,$D2335)))))</f>
        <v/>
      </c>
      <c r="K2335" s="54">
        <f>IF($B2335=0,NA(),IF($E2335="",NA(),IF(E$8="",NA(),IF(N(E$8)=0,NA(),IF(Inputs!$C$17="Rebased to 100",$E2335/E$8*100,$E2335)))))</f>
        <v/>
      </c>
      <c r="L2335" s="54">
        <f>IF($B2335=0,NA(),IF($F2335="",NA(),IF(F$8="",NA(),IF(N(F$8)=0,NA(),IF(Inputs!$C$17="Rebased to 100",$F2335/F$8*100,$F2335)))))</f>
        <v/>
      </c>
      <c r="M2335" s="54">
        <f>IF($B2335=0,NA(),IF($G2335="",NA(),IF(G$8="",NA(),IF(N(G$8)=0,NA(),IF(Inputs!$C$17="Rebased to 100",$G2335/G$8*100,$G2335)))))</f>
        <v/>
      </c>
      <c r="N2335" s="54">
        <f>IF($B2335=0,NA(),IF(Inputs!$C$18&lt;&gt;"Yes",NA(),IF(COUNT(I2335,J2335,K2335,L2335,M2335)=0,NA(),MIN(I2335,J2335,K2335,L2335,M2335))))</f>
        <v/>
      </c>
      <c r="O2335" s="54">
        <f>IF($B2335=0,NA(),IF(Inputs!$B$24&lt;&gt;"Yes",NA(),Inputs!$D$24*Inputs!$C$35))</f>
        <v/>
      </c>
      <c r="P2335" s="54">
        <f>IF($B2335=0,NA(),IF(Inputs!$B$25&lt;&gt;"Yes",NA(),Inputs!$D$25*Inputs!$C$35))</f>
        <v/>
      </c>
      <c r="Q2335" s="54">
        <f>IF($B2335=0,NA(),IF(Inputs!$B$26&lt;&gt;"Yes",NA(),Inputs!$D$26*Inputs!$C$35))</f>
        <v/>
      </c>
      <c r="R2335" s="54">
        <f>IF($B2335=0,NA(),IF(Inputs!$B$27&lt;&gt;"Yes",NA(),Inputs!$D$27*Inputs!$C$35))</f>
        <v/>
      </c>
      <c r="S2335" s="54">
        <f>IF($B2335=0,NA(),IF(Inputs!$B$28&lt;&gt;"Yes",NA(),Inputs!$D$28*Inputs!$C$35))</f>
        <v/>
      </c>
      <c r="T2335" s="54">
        <f>IF($B2335=0,NA(),IF(Inputs!$B$29&lt;&gt;"Yes",NA(),Inputs!$D$29*Inputs!$C$35))</f>
        <v/>
      </c>
      <c r="AD2335">
        <f>IF($B2335=0,0,IF(Inputs!$B$6="",0,COUNTIFS(Data!$A$10:$A$3209,"&gt;="&amp;$A2335,Data!$A$10:$A$3209,"&lt;"&amp;$A2335+1)))</f>
        <v/>
      </c>
      <c r="AE2335">
        <f>IF($B2335=0,0,IF(Inputs!$B$7="",0,COUNTIFS(Data!$E$10:$E$3209,"&gt;="&amp;$A2335,Data!$E$10:$E$3209,"&lt;"&amp;$A2335+1)))</f>
        <v/>
      </c>
      <c r="AF2335">
        <f>IF($B2335=0,0,IF(Inputs!$B$8="",0,COUNTIFS(Data!$I$10:$I$3209,"&gt;="&amp;$A2335,Data!$I$10:$I$3209,"&lt;"&amp;$A2335+1)))</f>
        <v/>
      </c>
      <c r="AG2335">
        <f>IF($B2335=0,0,IF(Inputs!$B$9="",0,COUNTIFS(Data!$M$10:$M$3209,"&gt;="&amp;$A2335,Data!$M$10:$M$3209,"&lt;"&amp;$A2335+1)))</f>
        <v/>
      </c>
      <c r="AH2335">
        <f>IF($B2335=0,0,IF(Inputs!$B$10="",0,COUNTIFS(Data!$Q$10:$Q$3209,"&gt;="&amp;$A2335,Data!$Q$10:$Q$3209,"&lt;"&amp;$A2335+1)))</f>
        <v/>
      </c>
    </row>
    <row r="2336">
      <c r="A2336" s="55">
        <f>MIN(Inputs!$C$15,$A2335+IF(WEEKDAY($A2335,2)=5,3,1))</f>
        <v/>
      </c>
      <c r="B2336">
        <f>IF($A2336&gt;$A2335,1,0)</f>
        <v/>
      </c>
      <c r="C2336" s="56">
        <f>IF($B2336=0,"",IF(Inputs!$B$6="","",IF($AD2336=0,C2335,SUMIFS(Data!$B$10:$B$3209,Data!$A$10:$A$3209,"&gt;="&amp;$A2336,Data!$A$10:$A$3209,"&lt;"&amp;$A2336+1)/$AD2336)))</f>
        <v/>
      </c>
      <c r="D2336" s="56">
        <f>IF($B2336=0,"",IF(Inputs!$B$7="","",IF($AE2336=0,D2335,SUMIFS(Data!$F$10:$F$3209,Data!$E$10:$E$3209,"&gt;="&amp;$A2336,Data!$E$10:$E$3209,"&lt;"&amp;$A2336+1)/$AE2336)))</f>
        <v/>
      </c>
      <c r="E2336" s="56">
        <f>IF($B2336=0,"",IF(Inputs!$B$8="","",IF($AF2336=0,E2335,SUMIFS(Data!$J$10:$J$3209,Data!$I$10:$I$3209,"&gt;="&amp;$A2336,Data!$I$10:$I$3209,"&lt;"&amp;$A2336+1)/$AF2336)))</f>
        <v/>
      </c>
      <c r="F2336" s="56">
        <f>IF($B2336=0,"",IF(Inputs!$B$9="","",IF($AG2336=0,F2335,SUMIFS(Data!$N$10:$N$3209,Data!$M$10:$M$3209,"&gt;="&amp;$A2336,Data!$M$10:$M$3209,"&lt;"&amp;$A2336+1)/$AG2336)))</f>
        <v/>
      </c>
      <c r="G2336" s="56">
        <f>IF($B2336=0,"",IF(Inputs!$B$10="","",IF($AH2336=0,G2335,SUMIFS(Data!$R$10:$R$3209,Data!$Q$10:$Q$3209,"&gt;="&amp;$A2336,Data!$Q$10:$Q$3209,"&lt;"&amp;$A2336+1)/$AH2336)))</f>
        <v/>
      </c>
      <c r="I2336" s="54">
        <f>IF($B2336=0,NA(),IF($C2336="",NA(),IF(C$8="",NA(),IF(N(C$8)=0,NA(),IF(Inputs!$C$17="Rebased to 100",$C2336/C$8*100,$C2336)))))</f>
        <v/>
      </c>
      <c r="J2336" s="54">
        <f>IF($B2336=0,NA(),IF($D2336="",NA(),IF(D$8="",NA(),IF(N(D$8)=0,NA(),IF(Inputs!$C$17="Rebased to 100",$D2336/D$8*100,$D2336)))))</f>
        <v/>
      </c>
      <c r="K2336" s="54">
        <f>IF($B2336=0,NA(),IF($E2336="",NA(),IF(E$8="",NA(),IF(N(E$8)=0,NA(),IF(Inputs!$C$17="Rebased to 100",$E2336/E$8*100,$E2336)))))</f>
        <v/>
      </c>
      <c r="L2336" s="54">
        <f>IF($B2336=0,NA(),IF($F2336="",NA(),IF(F$8="",NA(),IF(N(F$8)=0,NA(),IF(Inputs!$C$17="Rebased to 100",$F2336/F$8*100,$F2336)))))</f>
        <v/>
      </c>
      <c r="M2336" s="54">
        <f>IF($B2336=0,NA(),IF($G2336="",NA(),IF(G$8="",NA(),IF(N(G$8)=0,NA(),IF(Inputs!$C$17="Rebased to 100",$G2336/G$8*100,$G2336)))))</f>
        <v/>
      </c>
      <c r="N2336" s="54">
        <f>IF($B2336=0,NA(),IF(Inputs!$C$18&lt;&gt;"Yes",NA(),IF(COUNT(I2336,J2336,K2336,L2336,M2336)=0,NA(),MIN(I2336,J2336,K2336,L2336,M2336))))</f>
        <v/>
      </c>
      <c r="O2336" s="54">
        <f>IF($B2336=0,NA(),IF(Inputs!$B$24&lt;&gt;"Yes",NA(),Inputs!$D$24*Inputs!$C$35))</f>
        <v/>
      </c>
      <c r="P2336" s="54">
        <f>IF($B2336=0,NA(),IF(Inputs!$B$25&lt;&gt;"Yes",NA(),Inputs!$D$25*Inputs!$C$35))</f>
        <v/>
      </c>
      <c r="Q2336" s="54">
        <f>IF($B2336=0,NA(),IF(Inputs!$B$26&lt;&gt;"Yes",NA(),Inputs!$D$26*Inputs!$C$35))</f>
        <v/>
      </c>
      <c r="R2336" s="54">
        <f>IF($B2336=0,NA(),IF(Inputs!$B$27&lt;&gt;"Yes",NA(),Inputs!$D$27*Inputs!$C$35))</f>
        <v/>
      </c>
      <c r="S2336" s="54">
        <f>IF($B2336=0,NA(),IF(Inputs!$B$28&lt;&gt;"Yes",NA(),Inputs!$D$28*Inputs!$C$35))</f>
        <v/>
      </c>
      <c r="T2336" s="54">
        <f>IF($B2336=0,NA(),IF(Inputs!$B$29&lt;&gt;"Yes",NA(),Inputs!$D$29*Inputs!$C$35))</f>
        <v/>
      </c>
      <c r="AD2336">
        <f>IF($B2336=0,0,IF(Inputs!$B$6="",0,COUNTIFS(Data!$A$10:$A$3209,"&gt;="&amp;$A2336,Data!$A$10:$A$3209,"&lt;"&amp;$A2336+1)))</f>
        <v/>
      </c>
      <c r="AE2336">
        <f>IF($B2336=0,0,IF(Inputs!$B$7="",0,COUNTIFS(Data!$E$10:$E$3209,"&gt;="&amp;$A2336,Data!$E$10:$E$3209,"&lt;"&amp;$A2336+1)))</f>
        <v/>
      </c>
      <c r="AF2336">
        <f>IF($B2336=0,0,IF(Inputs!$B$8="",0,COUNTIFS(Data!$I$10:$I$3209,"&gt;="&amp;$A2336,Data!$I$10:$I$3209,"&lt;"&amp;$A2336+1)))</f>
        <v/>
      </c>
      <c r="AG2336">
        <f>IF($B2336=0,0,IF(Inputs!$B$9="",0,COUNTIFS(Data!$M$10:$M$3209,"&gt;="&amp;$A2336,Data!$M$10:$M$3209,"&lt;"&amp;$A2336+1)))</f>
        <v/>
      </c>
      <c r="AH2336">
        <f>IF($B2336=0,0,IF(Inputs!$B$10="",0,COUNTIFS(Data!$Q$10:$Q$3209,"&gt;="&amp;$A2336,Data!$Q$10:$Q$3209,"&lt;"&amp;$A2336+1)))</f>
        <v/>
      </c>
    </row>
    <row r="2337">
      <c r="A2337" s="55">
        <f>MIN(Inputs!$C$15,$A2336+IF(WEEKDAY($A2336,2)=5,3,1))</f>
        <v/>
      </c>
      <c r="B2337">
        <f>IF($A2337&gt;$A2336,1,0)</f>
        <v/>
      </c>
      <c r="C2337" s="56">
        <f>IF($B2337=0,"",IF(Inputs!$B$6="","",IF($AD2337=0,C2336,SUMIFS(Data!$B$10:$B$3209,Data!$A$10:$A$3209,"&gt;="&amp;$A2337,Data!$A$10:$A$3209,"&lt;"&amp;$A2337+1)/$AD2337)))</f>
        <v/>
      </c>
      <c r="D2337" s="56">
        <f>IF($B2337=0,"",IF(Inputs!$B$7="","",IF($AE2337=0,D2336,SUMIFS(Data!$F$10:$F$3209,Data!$E$10:$E$3209,"&gt;="&amp;$A2337,Data!$E$10:$E$3209,"&lt;"&amp;$A2337+1)/$AE2337)))</f>
        <v/>
      </c>
      <c r="E2337" s="56">
        <f>IF($B2337=0,"",IF(Inputs!$B$8="","",IF($AF2337=0,E2336,SUMIFS(Data!$J$10:$J$3209,Data!$I$10:$I$3209,"&gt;="&amp;$A2337,Data!$I$10:$I$3209,"&lt;"&amp;$A2337+1)/$AF2337)))</f>
        <v/>
      </c>
      <c r="F2337" s="56">
        <f>IF($B2337=0,"",IF(Inputs!$B$9="","",IF($AG2337=0,F2336,SUMIFS(Data!$N$10:$N$3209,Data!$M$10:$M$3209,"&gt;="&amp;$A2337,Data!$M$10:$M$3209,"&lt;"&amp;$A2337+1)/$AG2337)))</f>
        <v/>
      </c>
      <c r="G2337" s="56">
        <f>IF($B2337=0,"",IF(Inputs!$B$10="","",IF($AH2337=0,G2336,SUMIFS(Data!$R$10:$R$3209,Data!$Q$10:$Q$3209,"&gt;="&amp;$A2337,Data!$Q$10:$Q$3209,"&lt;"&amp;$A2337+1)/$AH2337)))</f>
        <v/>
      </c>
      <c r="I2337" s="54">
        <f>IF($B2337=0,NA(),IF($C2337="",NA(),IF(C$8="",NA(),IF(N(C$8)=0,NA(),IF(Inputs!$C$17="Rebased to 100",$C2337/C$8*100,$C2337)))))</f>
        <v/>
      </c>
      <c r="J2337" s="54">
        <f>IF($B2337=0,NA(),IF($D2337="",NA(),IF(D$8="",NA(),IF(N(D$8)=0,NA(),IF(Inputs!$C$17="Rebased to 100",$D2337/D$8*100,$D2337)))))</f>
        <v/>
      </c>
      <c r="K2337" s="54">
        <f>IF($B2337=0,NA(),IF($E2337="",NA(),IF(E$8="",NA(),IF(N(E$8)=0,NA(),IF(Inputs!$C$17="Rebased to 100",$E2337/E$8*100,$E2337)))))</f>
        <v/>
      </c>
      <c r="L2337" s="54">
        <f>IF($B2337=0,NA(),IF($F2337="",NA(),IF(F$8="",NA(),IF(N(F$8)=0,NA(),IF(Inputs!$C$17="Rebased to 100",$F2337/F$8*100,$F2337)))))</f>
        <v/>
      </c>
      <c r="M2337" s="54">
        <f>IF($B2337=0,NA(),IF($G2337="",NA(),IF(G$8="",NA(),IF(N(G$8)=0,NA(),IF(Inputs!$C$17="Rebased to 100",$G2337/G$8*100,$G2337)))))</f>
        <v/>
      </c>
      <c r="N2337" s="54">
        <f>IF($B2337=0,NA(),IF(Inputs!$C$18&lt;&gt;"Yes",NA(),IF(COUNT(I2337,J2337,K2337,L2337,M2337)=0,NA(),MIN(I2337,J2337,K2337,L2337,M2337))))</f>
        <v/>
      </c>
      <c r="O2337" s="54">
        <f>IF($B2337=0,NA(),IF(Inputs!$B$24&lt;&gt;"Yes",NA(),Inputs!$D$24*Inputs!$C$35))</f>
        <v/>
      </c>
      <c r="P2337" s="54">
        <f>IF($B2337=0,NA(),IF(Inputs!$B$25&lt;&gt;"Yes",NA(),Inputs!$D$25*Inputs!$C$35))</f>
        <v/>
      </c>
      <c r="Q2337" s="54">
        <f>IF($B2337=0,NA(),IF(Inputs!$B$26&lt;&gt;"Yes",NA(),Inputs!$D$26*Inputs!$C$35))</f>
        <v/>
      </c>
      <c r="R2337" s="54">
        <f>IF($B2337=0,NA(),IF(Inputs!$B$27&lt;&gt;"Yes",NA(),Inputs!$D$27*Inputs!$C$35))</f>
        <v/>
      </c>
      <c r="S2337" s="54">
        <f>IF($B2337=0,NA(),IF(Inputs!$B$28&lt;&gt;"Yes",NA(),Inputs!$D$28*Inputs!$C$35))</f>
        <v/>
      </c>
      <c r="T2337" s="54">
        <f>IF($B2337=0,NA(),IF(Inputs!$B$29&lt;&gt;"Yes",NA(),Inputs!$D$29*Inputs!$C$35))</f>
        <v/>
      </c>
      <c r="AD2337">
        <f>IF($B2337=0,0,IF(Inputs!$B$6="",0,COUNTIFS(Data!$A$10:$A$3209,"&gt;="&amp;$A2337,Data!$A$10:$A$3209,"&lt;"&amp;$A2337+1)))</f>
        <v/>
      </c>
      <c r="AE2337">
        <f>IF($B2337=0,0,IF(Inputs!$B$7="",0,COUNTIFS(Data!$E$10:$E$3209,"&gt;="&amp;$A2337,Data!$E$10:$E$3209,"&lt;"&amp;$A2337+1)))</f>
        <v/>
      </c>
      <c r="AF2337">
        <f>IF($B2337=0,0,IF(Inputs!$B$8="",0,COUNTIFS(Data!$I$10:$I$3209,"&gt;="&amp;$A2337,Data!$I$10:$I$3209,"&lt;"&amp;$A2337+1)))</f>
        <v/>
      </c>
      <c r="AG2337">
        <f>IF($B2337=0,0,IF(Inputs!$B$9="",0,COUNTIFS(Data!$M$10:$M$3209,"&gt;="&amp;$A2337,Data!$M$10:$M$3209,"&lt;"&amp;$A2337+1)))</f>
        <v/>
      </c>
      <c r="AH2337">
        <f>IF($B2337=0,0,IF(Inputs!$B$10="",0,COUNTIFS(Data!$Q$10:$Q$3209,"&gt;="&amp;$A2337,Data!$Q$10:$Q$3209,"&lt;"&amp;$A2337+1)))</f>
        <v/>
      </c>
    </row>
    <row r="2338">
      <c r="A2338" s="55">
        <f>MIN(Inputs!$C$15,$A2337+IF(WEEKDAY($A2337,2)=5,3,1))</f>
        <v/>
      </c>
      <c r="B2338">
        <f>IF($A2338&gt;$A2337,1,0)</f>
        <v/>
      </c>
      <c r="C2338" s="56">
        <f>IF($B2338=0,"",IF(Inputs!$B$6="","",IF($AD2338=0,C2337,SUMIFS(Data!$B$10:$B$3209,Data!$A$10:$A$3209,"&gt;="&amp;$A2338,Data!$A$10:$A$3209,"&lt;"&amp;$A2338+1)/$AD2338)))</f>
        <v/>
      </c>
      <c r="D2338" s="56">
        <f>IF($B2338=0,"",IF(Inputs!$B$7="","",IF($AE2338=0,D2337,SUMIFS(Data!$F$10:$F$3209,Data!$E$10:$E$3209,"&gt;="&amp;$A2338,Data!$E$10:$E$3209,"&lt;"&amp;$A2338+1)/$AE2338)))</f>
        <v/>
      </c>
      <c r="E2338" s="56">
        <f>IF($B2338=0,"",IF(Inputs!$B$8="","",IF($AF2338=0,E2337,SUMIFS(Data!$J$10:$J$3209,Data!$I$10:$I$3209,"&gt;="&amp;$A2338,Data!$I$10:$I$3209,"&lt;"&amp;$A2338+1)/$AF2338)))</f>
        <v/>
      </c>
      <c r="F2338" s="56">
        <f>IF($B2338=0,"",IF(Inputs!$B$9="","",IF($AG2338=0,F2337,SUMIFS(Data!$N$10:$N$3209,Data!$M$10:$M$3209,"&gt;="&amp;$A2338,Data!$M$10:$M$3209,"&lt;"&amp;$A2338+1)/$AG2338)))</f>
        <v/>
      </c>
      <c r="G2338" s="56">
        <f>IF($B2338=0,"",IF(Inputs!$B$10="","",IF($AH2338=0,G2337,SUMIFS(Data!$R$10:$R$3209,Data!$Q$10:$Q$3209,"&gt;="&amp;$A2338,Data!$Q$10:$Q$3209,"&lt;"&amp;$A2338+1)/$AH2338)))</f>
        <v/>
      </c>
      <c r="I2338" s="54">
        <f>IF($B2338=0,NA(),IF($C2338="",NA(),IF(C$8="",NA(),IF(N(C$8)=0,NA(),IF(Inputs!$C$17="Rebased to 100",$C2338/C$8*100,$C2338)))))</f>
        <v/>
      </c>
      <c r="J2338" s="54">
        <f>IF($B2338=0,NA(),IF($D2338="",NA(),IF(D$8="",NA(),IF(N(D$8)=0,NA(),IF(Inputs!$C$17="Rebased to 100",$D2338/D$8*100,$D2338)))))</f>
        <v/>
      </c>
      <c r="K2338" s="54">
        <f>IF($B2338=0,NA(),IF($E2338="",NA(),IF(E$8="",NA(),IF(N(E$8)=0,NA(),IF(Inputs!$C$17="Rebased to 100",$E2338/E$8*100,$E2338)))))</f>
        <v/>
      </c>
      <c r="L2338" s="54">
        <f>IF($B2338=0,NA(),IF($F2338="",NA(),IF(F$8="",NA(),IF(N(F$8)=0,NA(),IF(Inputs!$C$17="Rebased to 100",$F2338/F$8*100,$F2338)))))</f>
        <v/>
      </c>
      <c r="M2338" s="54">
        <f>IF($B2338=0,NA(),IF($G2338="",NA(),IF(G$8="",NA(),IF(N(G$8)=0,NA(),IF(Inputs!$C$17="Rebased to 100",$G2338/G$8*100,$G2338)))))</f>
        <v/>
      </c>
      <c r="N2338" s="54">
        <f>IF($B2338=0,NA(),IF(Inputs!$C$18&lt;&gt;"Yes",NA(),IF(COUNT(I2338,J2338,K2338,L2338,M2338)=0,NA(),MIN(I2338,J2338,K2338,L2338,M2338))))</f>
        <v/>
      </c>
      <c r="O2338" s="54">
        <f>IF($B2338=0,NA(),IF(Inputs!$B$24&lt;&gt;"Yes",NA(),Inputs!$D$24*Inputs!$C$35))</f>
        <v/>
      </c>
      <c r="P2338" s="54">
        <f>IF($B2338=0,NA(),IF(Inputs!$B$25&lt;&gt;"Yes",NA(),Inputs!$D$25*Inputs!$C$35))</f>
        <v/>
      </c>
      <c r="Q2338" s="54">
        <f>IF($B2338=0,NA(),IF(Inputs!$B$26&lt;&gt;"Yes",NA(),Inputs!$D$26*Inputs!$C$35))</f>
        <v/>
      </c>
      <c r="R2338" s="54">
        <f>IF($B2338=0,NA(),IF(Inputs!$B$27&lt;&gt;"Yes",NA(),Inputs!$D$27*Inputs!$C$35))</f>
        <v/>
      </c>
      <c r="S2338" s="54">
        <f>IF($B2338=0,NA(),IF(Inputs!$B$28&lt;&gt;"Yes",NA(),Inputs!$D$28*Inputs!$C$35))</f>
        <v/>
      </c>
      <c r="T2338" s="54">
        <f>IF($B2338=0,NA(),IF(Inputs!$B$29&lt;&gt;"Yes",NA(),Inputs!$D$29*Inputs!$C$35))</f>
        <v/>
      </c>
      <c r="AD2338">
        <f>IF($B2338=0,0,IF(Inputs!$B$6="",0,COUNTIFS(Data!$A$10:$A$3209,"&gt;="&amp;$A2338,Data!$A$10:$A$3209,"&lt;"&amp;$A2338+1)))</f>
        <v/>
      </c>
      <c r="AE2338">
        <f>IF($B2338=0,0,IF(Inputs!$B$7="",0,COUNTIFS(Data!$E$10:$E$3209,"&gt;="&amp;$A2338,Data!$E$10:$E$3209,"&lt;"&amp;$A2338+1)))</f>
        <v/>
      </c>
      <c r="AF2338">
        <f>IF($B2338=0,0,IF(Inputs!$B$8="",0,COUNTIFS(Data!$I$10:$I$3209,"&gt;="&amp;$A2338,Data!$I$10:$I$3209,"&lt;"&amp;$A2338+1)))</f>
        <v/>
      </c>
      <c r="AG2338">
        <f>IF($B2338=0,0,IF(Inputs!$B$9="",0,COUNTIFS(Data!$M$10:$M$3209,"&gt;="&amp;$A2338,Data!$M$10:$M$3209,"&lt;"&amp;$A2338+1)))</f>
        <v/>
      </c>
      <c r="AH2338">
        <f>IF($B2338=0,0,IF(Inputs!$B$10="",0,COUNTIFS(Data!$Q$10:$Q$3209,"&gt;="&amp;$A2338,Data!$Q$10:$Q$3209,"&lt;"&amp;$A2338+1)))</f>
        <v/>
      </c>
    </row>
    <row r="2339">
      <c r="A2339" s="55">
        <f>MIN(Inputs!$C$15,$A2338+IF(WEEKDAY($A2338,2)=5,3,1))</f>
        <v/>
      </c>
      <c r="B2339">
        <f>IF($A2339&gt;$A2338,1,0)</f>
        <v/>
      </c>
      <c r="C2339" s="56">
        <f>IF($B2339=0,"",IF(Inputs!$B$6="","",IF($AD2339=0,C2338,SUMIFS(Data!$B$10:$B$3209,Data!$A$10:$A$3209,"&gt;="&amp;$A2339,Data!$A$10:$A$3209,"&lt;"&amp;$A2339+1)/$AD2339)))</f>
        <v/>
      </c>
      <c r="D2339" s="56">
        <f>IF($B2339=0,"",IF(Inputs!$B$7="","",IF($AE2339=0,D2338,SUMIFS(Data!$F$10:$F$3209,Data!$E$10:$E$3209,"&gt;="&amp;$A2339,Data!$E$10:$E$3209,"&lt;"&amp;$A2339+1)/$AE2339)))</f>
        <v/>
      </c>
      <c r="E2339" s="56">
        <f>IF($B2339=0,"",IF(Inputs!$B$8="","",IF($AF2339=0,E2338,SUMIFS(Data!$J$10:$J$3209,Data!$I$10:$I$3209,"&gt;="&amp;$A2339,Data!$I$10:$I$3209,"&lt;"&amp;$A2339+1)/$AF2339)))</f>
        <v/>
      </c>
      <c r="F2339" s="56">
        <f>IF($B2339=0,"",IF(Inputs!$B$9="","",IF($AG2339=0,F2338,SUMIFS(Data!$N$10:$N$3209,Data!$M$10:$M$3209,"&gt;="&amp;$A2339,Data!$M$10:$M$3209,"&lt;"&amp;$A2339+1)/$AG2339)))</f>
        <v/>
      </c>
      <c r="G2339" s="56">
        <f>IF($B2339=0,"",IF(Inputs!$B$10="","",IF($AH2339=0,G2338,SUMIFS(Data!$R$10:$R$3209,Data!$Q$10:$Q$3209,"&gt;="&amp;$A2339,Data!$Q$10:$Q$3209,"&lt;"&amp;$A2339+1)/$AH2339)))</f>
        <v/>
      </c>
      <c r="I2339" s="54">
        <f>IF($B2339=0,NA(),IF($C2339="",NA(),IF(C$8="",NA(),IF(N(C$8)=0,NA(),IF(Inputs!$C$17="Rebased to 100",$C2339/C$8*100,$C2339)))))</f>
        <v/>
      </c>
      <c r="J2339" s="54">
        <f>IF($B2339=0,NA(),IF($D2339="",NA(),IF(D$8="",NA(),IF(N(D$8)=0,NA(),IF(Inputs!$C$17="Rebased to 100",$D2339/D$8*100,$D2339)))))</f>
        <v/>
      </c>
      <c r="K2339" s="54">
        <f>IF($B2339=0,NA(),IF($E2339="",NA(),IF(E$8="",NA(),IF(N(E$8)=0,NA(),IF(Inputs!$C$17="Rebased to 100",$E2339/E$8*100,$E2339)))))</f>
        <v/>
      </c>
      <c r="L2339" s="54">
        <f>IF($B2339=0,NA(),IF($F2339="",NA(),IF(F$8="",NA(),IF(N(F$8)=0,NA(),IF(Inputs!$C$17="Rebased to 100",$F2339/F$8*100,$F2339)))))</f>
        <v/>
      </c>
      <c r="M2339" s="54">
        <f>IF($B2339=0,NA(),IF($G2339="",NA(),IF(G$8="",NA(),IF(N(G$8)=0,NA(),IF(Inputs!$C$17="Rebased to 100",$G2339/G$8*100,$G2339)))))</f>
        <v/>
      </c>
      <c r="N2339" s="54">
        <f>IF($B2339=0,NA(),IF(Inputs!$C$18&lt;&gt;"Yes",NA(),IF(COUNT(I2339,J2339,K2339,L2339,M2339)=0,NA(),MIN(I2339,J2339,K2339,L2339,M2339))))</f>
        <v/>
      </c>
      <c r="O2339" s="54">
        <f>IF($B2339=0,NA(),IF(Inputs!$B$24&lt;&gt;"Yes",NA(),Inputs!$D$24*Inputs!$C$35))</f>
        <v/>
      </c>
      <c r="P2339" s="54">
        <f>IF($B2339=0,NA(),IF(Inputs!$B$25&lt;&gt;"Yes",NA(),Inputs!$D$25*Inputs!$C$35))</f>
        <v/>
      </c>
      <c r="Q2339" s="54">
        <f>IF($B2339=0,NA(),IF(Inputs!$B$26&lt;&gt;"Yes",NA(),Inputs!$D$26*Inputs!$C$35))</f>
        <v/>
      </c>
      <c r="R2339" s="54">
        <f>IF($B2339=0,NA(),IF(Inputs!$B$27&lt;&gt;"Yes",NA(),Inputs!$D$27*Inputs!$C$35))</f>
        <v/>
      </c>
      <c r="S2339" s="54">
        <f>IF($B2339=0,NA(),IF(Inputs!$B$28&lt;&gt;"Yes",NA(),Inputs!$D$28*Inputs!$C$35))</f>
        <v/>
      </c>
      <c r="T2339" s="54">
        <f>IF($B2339=0,NA(),IF(Inputs!$B$29&lt;&gt;"Yes",NA(),Inputs!$D$29*Inputs!$C$35))</f>
        <v/>
      </c>
      <c r="AD2339">
        <f>IF($B2339=0,0,IF(Inputs!$B$6="",0,COUNTIFS(Data!$A$10:$A$3209,"&gt;="&amp;$A2339,Data!$A$10:$A$3209,"&lt;"&amp;$A2339+1)))</f>
        <v/>
      </c>
      <c r="AE2339">
        <f>IF($B2339=0,0,IF(Inputs!$B$7="",0,COUNTIFS(Data!$E$10:$E$3209,"&gt;="&amp;$A2339,Data!$E$10:$E$3209,"&lt;"&amp;$A2339+1)))</f>
        <v/>
      </c>
      <c r="AF2339">
        <f>IF($B2339=0,0,IF(Inputs!$B$8="",0,COUNTIFS(Data!$I$10:$I$3209,"&gt;="&amp;$A2339,Data!$I$10:$I$3209,"&lt;"&amp;$A2339+1)))</f>
        <v/>
      </c>
      <c r="AG2339">
        <f>IF($B2339=0,0,IF(Inputs!$B$9="",0,COUNTIFS(Data!$M$10:$M$3209,"&gt;="&amp;$A2339,Data!$M$10:$M$3209,"&lt;"&amp;$A2339+1)))</f>
        <v/>
      </c>
      <c r="AH2339">
        <f>IF($B2339=0,0,IF(Inputs!$B$10="",0,COUNTIFS(Data!$Q$10:$Q$3209,"&gt;="&amp;$A2339,Data!$Q$10:$Q$3209,"&lt;"&amp;$A2339+1)))</f>
        <v/>
      </c>
    </row>
    <row r="2340">
      <c r="A2340" s="55">
        <f>MIN(Inputs!$C$15,$A2339+IF(WEEKDAY($A2339,2)=5,3,1))</f>
        <v/>
      </c>
      <c r="B2340">
        <f>IF($A2340&gt;$A2339,1,0)</f>
        <v/>
      </c>
      <c r="C2340" s="56">
        <f>IF($B2340=0,"",IF(Inputs!$B$6="","",IF($AD2340=0,C2339,SUMIFS(Data!$B$10:$B$3209,Data!$A$10:$A$3209,"&gt;="&amp;$A2340,Data!$A$10:$A$3209,"&lt;"&amp;$A2340+1)/$AD2340)))</f>
        <v/>
      </c>
      <c r="D2340" s="56">
        <f>IF($B2340=0,"",IF(Inputs!$B$7="","",IF($AE2340=0,D2339,SUMIFS(Data!$F$10:$F$3209,Data!$E$10:$E$3209,"&gt;="&amp;$A2340,Data!$E$10:$E$3209,"&lt;"&amp;$A2340+1)/$AE2340)))</f>
        <v/>
      </c>
      <c r="E2340" s="56">
        <f>IF($B2340=0,"",IF(Inputs!$B$8="","",IF($AF2340=0,E2339,SUMIFS(Data!$J$10:$J$3209,Data!$I$10:$I$3209,"&gt;="&amp;$A2340,Data!$I$10:$I$3209,"&lt;"&amp;$A2340+1)/$AF2340)))</f>
        <v/>
      </c>
      <c r="F2340" s="56">
        <f>IF($B2340=0,"",IF(Inputs!$B$9="","",IF($AG2340=0,F2339,SUMIFS(Data!$N$10:$N$3209,Data!$M$10:$M$3209,"&gt;="&amp;$A2340,Data!$M$10:$M$3209,"&lt;"&amp;$A2340+1)/$AG2340)))</f>
        <v/>
      </c>
      <c r="G2340" s="56">
        <f>IF($B2340=0,"",IF(Inputs!$B$10="","",IF($AH2340=0,G2339,SUMIFS(Data!$R$10:$R$3209,Data!$Q$10:$Q$3209,"&gt;="&amp;$A2340,Data!$Q$10:$Q$3209,"&lt;"&amp;$A2340+1)/$AH2340)))</f>
        <v/>
      </c>
      <c r="I2340" s="54">
        <f>IF($B2340=0,NA(),IF($C2340="",NA(),IF(C$8="",NA(),IF(N(C$8)=0,NA(),IF(Inputs!$C$17="Rebased to 100",$C2340/C$8*100,$C2340)))))</f>
        <v/>
      </c>
      <c r="J2340" s="54">
        <f>IF($B2340=0,NA(),IF($D2340="",NA(),IF(D$8="",NA(),IF(N(D$8)=0,NA(),IF(Inputs!$C$17="Rebased to 100",$D2340/D$8*100,$D2340)))))</f>
        <v/>
      </c>
      <c r="K2340" s="54">
        <f>IF($B2340=0,NA(),IF($E2340="",NA(),IF(E$8="",NA(),IF(N(E$8)=0,NA(),IF(Inputs!$C$17="Rebased to 100",$E2340/E$8*100,$E2340)))))</f>
        <v/>
      </c>
      <c r="L2340" s="54">
        <f>IF($B2340=0,NA(),IF($F2340="",NA(),IF(F$8="",NA(),IF(N(F$8)=0,NA(),IF(Inputs!$C$17="Rebased to 100",$F2340/F$8*100,$F2340)))))</f>
        <v/>
      </c>
      <c r="M2340" s="54">
        <f>IF($B2340=0,NA(),IF($G2340="",NA(),IF(G$8="",NA(),IF(N(G$8)=0,NA(),IF(Inputs!$C$17="Rebased to 100",$G2340/G$8*100,$G2340)))))</f>
        <v/>
      </c>
      <c r="N2340" s="54">
        <f>IF($B2340=0,NA(),IF(Inputs!$C$18&lt;&gt;"Yes",NA(),IF(COUNT(I2340,J2340,K2340,L2340,M2340)=0,NA(),MIN(I2340,J2340,K2340,L2340,M2340))))</f>
        <v/>
      </c>
      <c r="O2340" s="54">
        <f>IF($B2340=0,NA(),IF(Inputs!$B$24&lt;&gt;"Yes",NA(),Inputs!$D$24*Inputs!$C$35))</f>
        <v/>
      </c>
      <c r="P2340" s="54">
        <f>IF($B2340=0,NA(),IF(Inputs!$B$25&lt;&gt;"Yes",NA(),Inputs!$D$25*Inputs!$C$35))</f>
        <v/>
      </c>
      <c r="Q2340" s="54">
        <f>IF($B2340=0,NA(),IF(Inputs!$B$26&lt;&gt;"Yes",NA(),Inputs!$D$26*Inputs!$C$35))</f>
        <v/>
      </c>
      <c r="R2340" s="54">
        <f>IF($B2340=0,NA(),IF(Inputs!$B$27&lt;&gt;"Yes",NA(),Inputs!$D$27*Inputs!$C$35))</f>
        <v/>
      </c>
      <c r="S2340" s="54">
        <f>IF($B2340=0,NA(),IF(Inputs!$B$28&lt;&gt;"Yes",NA(),Inputs!$D$28*Inputs!$C$35))</f>
        <v/>
      </c>
      <c r="T2340" s="54">
        <f>IF($B2340=0,NA(),IF(Inputs!$B$29&lt;&gt;"Yes",NA(),Inputs!$D$29*Inputs!$C$35))</f>
        <v/>
      </c>
      <c r="AD2340">
        <f>IF($B2340=0,0,IF(Inputs!$B$6="",0,COUNTIFS(Data!$A$10:$A$3209,"&gt;="&amp;$A2340,Data!$A$10:$A$3209,"&lt;"&amp;$A2340+1)))</f>
        <v/>
      </c>
      <c r="AE2340">
        <f>IF($B2340=0,0,IF(Inputs!$B$7="",0,COUNTIFS(Data!$E$10:$E$3209,"&gt;="&amp;$A2340,Data!$E$10:$E$3209,"&lt;"&amp;$A2340+1)))</f>
        <v/>
      </c>
      <c r="AF2340">
        <f>IF($B2340=0,0,IF(Inputs!$B$8="",0,COUNTIFS(Data!$I$10:$I$3209,"&gt;="&amp;$A2340,Data!$I$10:$I$3209,"&lt;"&amp;$A2340+1)))</f>
        <v/>
      </c>
      <c r="AG2340">
        <f>IF($B2340=0,0,IF(Inputs!$B$9="",0,COUNTIFS(Data!$M$10:$M$3209,"&gt;="&amp;$A2340,Data!$M$10:$M$3209,"&lt;"&amp;$A2340+1)))</f>
        <v/>
      </c>
      <c r="AH2340">
        <f>IF($B2340=0,0,IF(Inputs!$B$10="",0,COUNTIFS(Data!$Q$10:$Q$3209,"&gt;="&amp;$A2340,Data!$Q$10:$Q$3209,"&lt;"&amp;$A2340+1)))</f>
        <v/>
      </c>
    </row>
    <row r="2341">
      <c r="A2341" s="55">
        <f>MIN(Inputs!$C$15,$A2340+IF(WEEKDAY($A2340,2)=5,3,1))</f>
        <v/>
      </c>
      <c r="B2341">
        <f>IF($A2341&gt;$A2340,1,0)</f>
        <v/>
      </c>
      <c r="C2341" s="56">
        <f>IF($B2341=0,"",IF(Inputs!$B$6="","",IF($AD2341=0,C2340,SUMIFS(Data!$B$10:$B$3209,Data!$A$10:$A$3209,"&gt;="&amp;$A2341,Data!$A$10:$A$3209,"&lt;"&amp;$A2341+1)/$AD2341)))</f>
        <v/>
      </c>
      <c r="D2341" s="56">
        <f>IF($B2341=0,"",IF(Inputs!$B$7="","",IF($AE2341=0,D2340,SUMIFS(Data!$F$10:$F$3209,Data!$E$10:$E$3209,"&gt;="&amp;$A2341,Data!$E$10:$E$3209,"&lt;"&amp;$A2341+1)/$AE2341)))</f>
        <v/>
      </c>
      <c r="E2341" s="56">
        <f>IF($B2341=0,"",IF(Inputs!$B$8="","",IF($AF2341=0,E2340,SUMIFS(Data!$J$10:$J$3209,Data!$I$10:$I$3209,"&gt;="&amp;$A2341,Data!$I$10:$I$3209,"&lt;"&amp;$A2341+1)/$AF2341)))</f>
        <v/>
      </c>
      <c r="F2341" s="56">
        <f>IF($B2341=0,"",IF(Inputs!$B$9="","",IF($AG2341=0,F2340,SUMIFS(Data!$N$10:$N$3209,Data!$M$10:$M$3209,"&gt;="&amp;$A2341,Data!$M$10:$M$3209,"&lt;"&amp;$A2341+1)/$AG2341)))</f>
        <v/>
      </c>
      <c r="G2341" s="56">
        <f>IF($B2341=0,"",IF(Inputs!$B$10="","",IF($AH2341=0,G2340,SUMIFS(Data!$R$10:$R$3209,Data!$Q$10:$Q$3209,"&gt;="&amp;$A2341,Data!$Q$10:$Q$3209,"&lt;"&amp;$A2341+1)/$AH2341)))</f>
        <v/>
      </c>
      <c r="I2341" s="54">
        <f>IF($B2341=0,NA(),IF($C2341="",NA(),IF(C$8="",NA(),IF(N(C$8)=0,NA(),IF(Inputs!$C$17="Rebased to 100",$C2341/C$8*100,$C2341)))))</f>
        <v/>
      </c>
      <c r="J2341" s="54">
        <f>IF($B2341=0,NA(),IF($D2341="",NA(),IF(D$8="",NA(),IF(N(D$8)=0,NA(),IF(Inputs!$C$17="Rebased to 100",$D2341/D$8*100,$D2341)))))</f>
        <v/>
      </c>
      <c r="K2341" s="54">
        <f>IF($B2341=0,NA(),IF($E2341="",NA(),IF(E$8="",NA(),IF(N(E$8)=0,NA(),IF(Inputs!$C$17="Rebased to 100",$E2341/E$8*100,$E2341)))))</f>
        <v/>
      </c>
      <c r="L2341" s="54">
        <f>IF($B2341=0,NA(),IF($F2341="",NA(),IF(F$8="",NA(),IF(N(F$8)=0,NA(),IF(Inputs!$C$17="Rebased to 100",$F2341/F$8*100,$F2341)))))</f>
        <v/>
      </c>
      <c r="M2341" s="54">
        <f>IF($B2341=0,NA(),IF($G2341="",NA(),IF(G$8="",NA(),IF(N(G$8)=0,NA(),IF(Inputs!$C$17="Rebased to 100",$G2341/G$8*100,$G2341)))))</f>
        <v/>
      </c>
      <c r="N2341" s="54">
        <f>IF($B2341=0,NA(),IF(Inputs!$C$18&lt;&gt;"Yes",NA(),IF(COUNT(I2341,J2341,K2341,L2341,M2341)=0,NA(),MIN(I2341,J2341,K2341,L2341,M2341))))</f>
        <v/>
      </c>
      <c r="O2341" s="54">
        <f>IF($B2341=0,NA(),IF(Inputs!$B$24&lt;&gt;"Yes",NA(),Inputs!$D$24*Inputs!$C$35))</f>
        <v/>
      </c>
      <c r="P2341" s="54">
        <f>IF($B2341=0,NA(),IF(Inputs!$B$25&lt;&gt;"Yes",NA(),Inputs!$D$25*Inputs!$C$35))</f>
        <v/>
      </c>
      <c r="Q2341" s="54">
        <f>IF($B2341=0,NA(),IF(Inputs!$B$26&lt;&gt;"Yes",NA(),Inputs!$D$26*Inputs!$C$35))</f>
        <v/>
      </c>
      <c r="R2341" s="54">
        <f>IF($B2341=0,NA(),IF(Inputs!$B$27&lt;&gt;"Yes",NA(),Inputs!$D$27*Inputs!$C$35))</f>
        <v/>
      </c>
      <c r="S2341" s="54">
        <f>IF($B2341=0,NA(),IF(Inputs!$B$28&lt;&gt;"Yes",NA(),Inputs!$D$28*Inputs!$C$35))</f>
        <v/>
      </c>
      <c r="T2341" s="54">
        <f>IF($B2341=0,NA(),IF(Inputs!$B$29&lt;&gt;"Yes",NA(),Inputs!$D$29*Inputs!$C$35))</f>
        <v/>
      </c>
      <c r="AD2341">
        <f>IF($B2341=0,0,IF(Inputs!$B$6="",0,COUNTIFS(Data!$A$10:$A$3209,"&gt;="&amp;$A2341,Data!$A$10:$A$3209,"&lt;"&amp;$A2341+1)))</f>
        <v/>
      </c>
      <c r="AE2341">
        <f>IF($B2341=0,0,IF(Inputs!$B$7="",0,COUNTIFS(Data!$E$10:$E$3209,"&gt;="&amp;$A2341,Data!$E$10:$E$3209,"&lt;"&amp;$A2341+1)))</f>
        <v/>
      </c>
      <c r="AF2341">
        <f>IF($B2341=0,0,IF(Inputs!$B$8="",0,COUNTIFS(Data!$I$10:$I$3209,"&gt;="&amp;$A2341,Data!$I$10:$I$3209,"&lt;"&amp;$A2341+1)))</f>
        <v/>
      </c>
      <c r="AG2341">
        <f>IF($B2341=0,0,IF(Inputs!$B$9="",0,COUNTIFS(Data!$M$10:$M$3209,"&gt;="&amp;$A2341,Data!$M$10:$M$3209,"&lt;"&amp;$A2341+1)))</f>
        <v/>
      </c>
      <c r="AH2341">
        <f>IF($B2341=0,0,IF(Inputs!$B$10="",0,COUNTIFS(Data!$Q$10:$Q$3209,"&gt;="&amp;$A2341,Data!$Q$10:$Q$3209,"&lt;"&amp;$A2341+1)))</f>
        <v/>
      </c>
    </row>
    <row r="2342">
      <c r="A2342" s="55">
        <f>MIN(Inputs!$C$15,$A2341+IF(WEEKDAY($A2341,2)=5,3,1))</f>
        <v/>
      </c>
      <c r="B2342">
        <f>IF($A2342&gt;$A2341,1,0)</f>
        <v/>
      </c>
      <c r="C2342" s="56">
        <f>IF($B2342=0,"",IF(Inputs!$B$6="","",IF($AD2342=0,C2341,SUMIFS(Data!$B$10:$B$3209,Data!$A$10:$A$3209,"&gt;="&amp;$A2342,Data!$A$10:$A$3209,"&lt;"&amp;$A2342+1)/$AD2342)))</f>
        <v/>
      </c>
      <c r="D2342" s="56">
        <f>IF($B2342=0,"",IF(Inputs!$B$7="","",IF($AE2342=0,D2341,SUMIFS(Data!$F$10:$F$3209,Data!$E$10:$E$3209,"&gt;="&amp;$A2342,Data!$E$10:$E$3209,"&lt;"&amp;$A2342+1)/$AE2342)))</f>
        <v/>
      </c>
      <c r="E2342" s="56">
        <f>IF($B2342=0,"",IF(Inputs!$B$8="","",IF($AF2342=0,E2341,SUMIFS(Data!$J$10:$J$3209,Data!$I$10:$I$3209,"&gt;="&amp;$A2342,Data!$I$10:$I$3209,"&lt;"&amp;$A2342+1)/$AF2342)))</f>
        <v/>
      </c>
      <c r="F2342" s="56">
        <f>IF($B2342=0,"",IF(Inputs!$B$9="","",IF($AG2342=0,F2341,SUMIFS(Data!$N$10:$N$3209,Data!$M$10:$M$3209,"&gt;="&amp;$A2342,Data!$M$10:$M$3209,"&lt;"&amp;$A2342+1)/$AG2342)))</f>
        <v/>
      </c>
      <c r="G2342" s="56">
        <f>IF($B2342=0,"",IF(Inputs!$B$10="","",IF($AH2342=0,G2341,SUMIFS(Data!$R$10:$R$3209,Data!$Q$10:$Q$3209,"&gt;="&amp;$A2342,Data!$Q$10:$Q$3209,"&lt;"&amp;$A2342+1)/$AH2342)))</f>
        <v/>
      </c>
      <c r="I2342" s="54">
        <f>IF($B2342=0,NA(),IF($C2342="",NA(),IF(C$8="",NA(),IF(N(C$8)=0,NA(),IF(Inputs!$C$17="Rebased to 100",$C2342/C$8*100,$C2342)))))</f>
        <v/>
      </c>
      <c r="J2342" s="54">
        <f>IF($B2342=0,NA(),IF($D2342="",NA(),IF(D$8="",NA(),IF(N(D$8)=0,NA(),IF(Inputs!$C$17="Rebased to 100",$D2342/D$8*100,$D2342)))))</f>
        <v/>
      </c>
      <c r="K2342" s="54">
        <f>IF($B2342=0,NA(),IF($E2342="",NA(),IF(E$8="",NA(),IF(N(E$8)=0,NA(),IF(Inputs!$C$17="Rebased to 100",$E2342/E$8*100,$E2342)))))</f>
        <v/>
      </c>
      <c r="L2342" s="54">
        <f>IF($B2342=0,NA(),IF($F2342="",NA(),IF(F$8="",NA(),IF(N(F$8)=0,NA(),IF(Inputs!$C$17="Rebased to 100",$F2342/F$8*100,$F2342)))))</f>
        <v/>
      </c>
      <c r="M2342" s="54">
        <f>IF($B2342=0,NA(),IF($G2342="",NA(),IF(G$8="",NA(),IF(N(G$8)=0,NA(),IF(Inputs!$C$17="Rebased to 100",$G2342/G$8*100,$G2342)))))</f>
        <v/>
      </c>
      <c r="N2342" s="54">
        <f>IF($B2342=0,NA(),IF(Inputs!$C$18&lt;&gt;"Yes",NA(),IF(COUNT(I2342,J2342,K2342,L2342,M2342)=0,NA(),MIN(I2342,J2342,K2342,L2342,M2342))))</f>
        <v/>
      </c>
      <c r="O2342" s="54">
        <f>IF($B2342=0,NA(),IF(Inputs!$B$24&lt;&gt;"Yes",NA(),Inputs!$D$24*Inputs!$C$35))</f>
        <v/>
      </c>
      <c r="P2342" s="54">
        <f>IF($B2342=0,NA(),IF(Inputs!$B$25&lt;&gt;"Yes",NA(),Inputs!$D$25*Inputs!$C$35))</f>
        <v/>
      </c>
      <c r="Q2342" s="54">
        <f>IF($B2342=0,NA(),IF(Inputs!$B$26&lt;&gt;"Yes",NA(),Inputs!$D$26*Inputs!$C$35))</f>
        <v/>
      </c>
      <c r="R2342" s="54">
        <f>IF($B2342=0,NA(),IF(Inputs!$B$27&lt;&gt;"Yes",NA(),Inputs!$D$27*Inputs!$C$35))</f>
        <v/>
      </c>
      <c r="S2342" s="54">
        <f>IF($B2342=0,NA(),IF(Inputs!$B$28&lt;&gt;"Yes",NA(),Inputs!$D$28*Inputs!$C$35))</f>
        <v/>
      </c>
      <c r="T2342" s="54">
        <f>IF($B2342=0,NA(),IF(Inputs!$B$29&lt;&gt;"Yes",NA(),Inputs!$D$29*Inputs!$C$35))</f>
        <v/>
      </c>
      <c r="AD2342">
        <f>IF($B2342=0,0,IF(Inputs!$B$6="",0,COUNTIFS(Data!$A$10:$A$3209,"&gt;="&amp;$A2342,Data!$A$10:$A$3209,"&lt;"&amp;$A2342+1)))</f>
        <v/>
      </c>
      <c r="AE2342">
        <f>IF($B2342=0,0,IF(Inputs!$B$7="",0,COUNTIFS(Data!$E$10:$E$3209,"&gt;="&amp;$A2342,Data!$E$10:$E$3209,"&lt;"&amp;$A2342+1)))</f>
        <v/>
      </c>
      <c r="AF2342">
        <f>IF($B2342=0,0,IF(Inputs!$B$8="",0,COUNTIFS(Data!$I$10:$I$3209,"&gt;="&amp;$A2342,Data!$I$10:$I$3209,"&lt;"&amp;$A2342+1)))</f>
        <v/>
      </c>
      <c r="AG2342">
        <f>IF($B2342=0,0,IF(Inputs!$B$9="",0,COUNTIFS(Data!$M$10:$M$3209,"&gt;="&amp;$A2342,Data!$M$10:$M$3209,"&lt;"&amp;$A2342+1)))</f>
        <v/>
      </c>
      <c r="AH2342">
        <f>IF($B2342=0,0,IF(Inputs!$B$10="",0,COUNTIFS(Data!$Q$10:$Q$3209,"&gt;="&amp;$A2342,Data!$Q$10:$Q$3209,"&lt;"&amp;$A2342+1)))</f>
        <v/>
      </c>
    </row>
    <row r="2343">
      <c r="A2343" s="55">
        <f>MIN(Inputs!$C$15,$A2342+IF(WEEKDAY($A2342,2)=5,3,1))</f>
        <v/>
      </c>
      <c r="B2343">
        <f>IF($A2343&gt;$A2342,1,0)</f>
        <v/>
      </c>
      <c r="C2343" s="56">
        <f>IF($B2343=0,"",IF(Inputs!$B$6="","",IF($AD2343=0,C2342,SUMIFS(Data!$B$10:$B$3209,Data!$A$10:$A$3209,"&gt;="&amp;$A2343,Data!$A$10:$A$3209,"&lt;"&amp;$A2343+1)/$AD2343)))</f>
        <v/>
      </c>
      <c r="D2343" s="56">
        <f>IF($B2343=0,"",IF(Inputs!$B$7="","",IF($AE2343=0,D2342,SUMIFS(Data!$F$10:$F$3209,Data!$E$10:$E$3209,"&gt;="&amp;$A2343,Data!$E$10:$E$3209,"&lt;"&amp;$A2343+1)/$AE2343)))</f>
        <v/>
      </c>
      <c r="E2343" s="56">
        <f>IF($B2343=0,"",IF(Inputs!$B$8="","",IF($AF2343=0,E2342,SUMIFS(Data!$J$10:$J$3209,Data!$I$10:$I$3209,"&gt;="&amp;$A2343,Data!$I$10:$I$3209,"&lt;"&amp;$A2343+1)/$AF2343)))</f>
        <v/>
      </c>
      <c r="F2343" s="56">
        <f>IF($B2343=0,"",IF(Inputs!$B$9="","",IF($AG2343=0,F2342,SUMIFS(Data!$N$10:$N$3209,Data!$M$10:$M$3209,"&gt;="&amp;$A2343,Data!$M$10:$M$3209,"&lt;"&amp;$A2343+1)/$AG2343)))</f>
        <v/>
      </c>
      <c r="G2343" s="56">
        <f>IF($B2343=0,"",IF(Inputs!$B$10="","",IF($AH2343=0,G2342,SUMIFS(Data!$R$10:$R$3209,Data!$Q$10:$Q$3209,"&gt;="&amp;$A2343,Data!$Q$10:$Q$3209,"&lt;"&amp;$A2343+1)/$AH2343)))</f>
        <v/>
      </c>
      <c r="I2343" s="54">
        <f>IF($B2343=0,NA(),IF($C2343="",NA(),IF(C$8="",NA(),IF(N(C$8)=0,NA(),IF(Inputs!$C$17="Rebased to 100",$C2343/C$8*100,$C2343)))))</f>
        <v/>
      </c>
      <c r="J2343" s="54">
        <f>IF($B2343=0,NA(),IF($D2343="",NA(),IF(D$8="",NA(),IF(N(D$8)=0,NA(),IF(Inputs!$C$17="Rebased to 100",$D2343/D$8*100,$D2343)))))</f>
        <v/>
      </c>
      <c r="K2343" s="54">
        <f>IF($B2343=0,NA(),IF($E2343="",NA(),IF(E$8="",NA(),IF(N(E$8)=0,NA(),IF(Inputs!$C$17="Rebased to 100",$E2343/E$8*100,$E2343)))))</f>
        <v/>
      </c>
      <c r="L2343" s="54">
        <f>IF($B2343=0,NA(),IF($F2343="",NA(),IF(F$8="",NA(),IF(N(F$8)=0,NA(),IF(Inputs!$C$17="Rebased to 100",$F2343/F$8*100,$F2343)))))</f>
        <v/>
      </c>
      <c r="M2343" s="54">
        <f>IF($B2343=0,NA(),IF($G2343="",NA(),IF(G$8="",NA(),IF(N(G$8)=0,NA(),IF(Inputs!$C$17="Rebased to 100",$G2343/G$8*100,$G2343)))))</f>
        <v/>
      </c>
      <c r="N2343" s="54">
        <f>IF($B2343=0,NA(),IF(Inputs!$C$18&lt;&gt;"Yes",NA(),IF(COUNT(I2343,J2343,K2343,L2343,M2343)=0,NA(),MIN(I2343,J2343,K2343,L2343,M2343))))</f>
        <v/>
      </c>
      <c r="O2343" s="54">
        <f>IF($B2343=0,NA(),IF(Inputs!$B$24&lt;&gt;"Yes",NA(),Inputs!$D$24*Inputs!$C$35))</f>
        <v/>
      </c>
      <c r="P2343" s="54">
        <f>IF($B2343=0,NA(),IF(Inputs!$B$25&lt;&gt;"Yes",NA(),Inputs!$D$25*Inputs!$C$35))</f>
        <v/>
      </c>
      <c r="Q2343" s="54">
        <f>IF($B2343=0,NA(),IF(Inputs!$B$26&lt;&gt;"Yes",NA(),Inputs!$D$26*Inputs!$C$35))</f>
        <v/>
      </c>
      <c r="R2343" s="54">
        <f>IF($B2343=0,NA(),IF(Inputs!$B$27&lt;&gt;"Yes",NA(),Inputs!$D$27*Inputs!$C$35))</f>
        <v/>
      </c>
      <c r="S2343" s="54">
        <f>IF($B2343=0,NA(),IF(Inputs!$B$28&lt;&gt;"Yes",NA(),Inputs!$D$28*Inputs!$C$35))</f>
        <v/>
      </c>
      <c r="T2343" s="54">
        <f>IF($B2343=0,NA(),IF(Inputs!$B$29&lt;&gt;"Yes",NA(),Inputs!$D$29*Inputs!$C$35))</f>
        <v/>
      </c>
      <c r="AD2343">
        <f>IF($B2343=0,0,IF(Inputs!$B$6="",0,COUNTIFS(Data!$A$10:$A$3209,"&gt;="&amp;$A2343,Data!$A$10:$A$3209,"&lt;"&amp;$A2343+1)))</f>
        <v/>
      </c>
      <c r="AE2343">
        <f>IF($B2343=0,0,IF(Inputs!$B$7="",0,COUNTIFS(Data!$E$10:$E$3209,"&gt;="&amp;$A2343,Data!$E$10:$E$3209,"&lt;"&amp;$A2343+1)))</f>
        <v/>
      </c>
      <c r="AF2343">
        <f>IF($B2343=0,0,IF(Inputs!$B$8="",0,COUNTIFS(Data!$I$10:$I$3209,"&gt;="&amp;$A2343,Data!$I$10:$I$3209,"&lt;"&amp;$A2343+1)))</f>
        <v/>
      </c>
      <c r="AG2343">
        <f>IF($B2343=0,0,IF(Inputs!$B$9="",0,COUNTIFS(Data!$M$10:$M$3209,"&gt;="&amp;$A2343,Data!$M$10:$M$3209,"&lt;"&amp;$A2343+1)))</f>
        <v/>
      </c>
      <c r="AH2343">
        <f>IF($B2343=0,0,IF(Inputs!$B$10="",0,COUNTIFS(Data!$Q$10:$Q$3209,"&gt;="&amp;$A2343,Data!$Q$10:$Q$3209,"&lt;"&amp;$A2343+1)))</f>
        <v/>
      </c>
    </row>
    <row r="2344">
      <c r="A2344" s="55">
        <f>MIN(Inputs!$C$15,$A2343+IF(WEEKDAY($A2343,2)=5,3,1))</f>
        <v/>
      </c>
      <c r="B2344">
        <f>IF($A2344&gt;$A2343,1,0)</f>
        <v/>
      </c>
      <c r="C2344" s="56">
        <f>IF($B2344=0,"",IF(Inputs!$B$6="","",IF($AD2344=0,C2343,SUMIFS(Data!$B$10:$B$3209,Data!$A$10:$A$3209,"&gt;="&amp;$A2344,Data!$A$10:$A$3209,"&lt;"&amp;$A2344+1)/$AD2344)))</f>
        <v/>
      </c>
      <c r="D2344" s="56">
        <f>IF($B2344=0,"",IF(Inputs!$B$7="","",IF($AE2344=0,D2343,SUMIFS(Data!$F$10:$F$3209,Data!$E$10:$E$3209,"&gt;="&amp;$A2344,Data!$E$10:$E$3209,"&lt;"&amp;$A2344+1)/$AE2344)))</f>
        <v/>
      </c>
      <c r="E2344" s="56">
        <f>IF($B2344=0,"",IF(Inputs!$B$8="","",IF($AF2344=0,E2343,SUMIFS(Data!$J$10:$J$3209,Data!$I$10:$I$3209,"&gt;="&amp;$A2344,Data!$I$10:$I$3209,"&lt;"&amp;$A2344+1)/$AF2344)))</f>
        <v/>
      </c>
      <c r="F2344" s="56">
        <f>IF($B2344=0,"",IF(Inputs!$B$9="","",IF($AG2344=0,F2343,SUMIFS(Data!$N$10:$N$3209,Data!$M$10:$M$3209,"&gt;="&amp;$A2344,Data!$M$10:$M$3209,"&lt;"&amp;$A2344+1)/$AG2344)))</f>
        <v/>
      </c>
      <c r="G2344" s="56">
        <f>IF($B2344=0,"",IF(Inputs!$B$10="","",IF($AH2344=0,G2343,SUMIFS(Data!$R$10:$R$3209,Data!$Q$10:$Q$3209,"&gt;="&amp;$A2344,Data!$Q$10:$Q$3209,"&lt;"&amp;$A2344+1)/$AH2344)))</f>
        <v/>
      </c>
      <c r="I2344" s="54">
        <f>IF($B2344=0,NA(),IF($C2344="",NA(),IF(C$8="",NA(),IF(N(C$8)=0,NA(),IF(Inputs!$C$17="Rebased to 100",$C2344/C$8*100,$C2344)))))</f>
        <v/>
      </c>
      <c r="J2344" s="54">
        <f>IF($B2344=0,NA(),IF($D2344="",NA(),IF(D$8="",NA(),IF(N(D$8)=0,NA(),IF(Inputs!$C$17="Rebased to 100",$D2344/D$8*100,$D2344)))))</f>
        <v/>
      </c>
      <c r="K2344" s="54">
        <f>IF($B2344=0,NA(),IF($E2344="",NA(),IF(E$8="",NA(),IF(N(E$8)=0,NA(),IF(Inputs!$C$17="Rebased to 100",$E2344/E$8*100,$E2344)))))</f>
        <v/>
      </c>
      <c r="L2344" s="54">
        <f>IF($B2344=0,NA(),IF($F2344="",NA(),IF(F$8="",NA(),IF(N(F$8)=0,NA(),IF(Inputs!$C$17="Rebased to 100",$F2344/F$8*100,$F2344)))))</f>
        <v/>
      </c>
      <c r="M2344" s="54">
        <f>IF($B2344=0,NA(),IF($G2344="",NA(),IF(G$8="",NA(),IF(N(G$8)=0,NA(),IF(Inputs!$C$17="Rebased to 100",$G2344/G$8*100,$G2344)))))</f>
        <v/>
      </c>
      <c r="N2344" s="54">
        <f>IF($B2344=0,NA(),IF(Inputs!$C$18&lt;&gt;"Yes",NA(),IF(COUNT(I2344,J2344,K2344,L2344,M2344)=0,NA(),MIN(I2344,J2344,K2344,L2344,M2344))))</f>
        <v/>
      </c>
      <c r="O2344" s="54">
        <f>IF($B2344=0,NA(),IF(Inputs!$B$24&lt;&gt;"Yes",NA(),Inputs!$D$24*Inputs!$C$35))</f>
        <v/>
      </c>
      <c r="P2344" s="54">
        <f>IF($B2344=0,NA(),IF(Inputs!$B$25&lt;&gt;"Yes",NA(),Inputs!$D$25*Inputs!$C$35))</f>
        <v/>
      </c>
      <c r="Q2344" s="54">
        <f>IF($B2344=0,NA(),IF(Inputs!$B$26&lt;&gt;"Yes",NA(),Inputs!$D$26*Inputs!$C$35))</f>
        <v/>
      </c>
      <c r="R2344" s="54">
        <f>IF($B2344=0,NA(),IF(Inputs!$B$27&lt;&gt;"Yes",NA(),Inputs!$D$27*Inputs!$C$35))</f>
        <v/>
      </c>
      <c r="S2344" s="54">
        <f>IF($B2344=0,NA(),IF(Inputs!$B$28&lt;&gt;"Yes",NA(),Inputs!$D$28*Inputs!$C$35))</f>
        <v/>
      </c>
      <c r="T2344" s="54">
        <f>IF($B2344=0,NA(),IF(Inputs!$B$29&lt;&gt;"Yes",NA(),Inputs!$D$29*Inputs!$C$35))</f>
        <v/>
      </c>
      <c r="AD2344">
        <f>IF($B2344=0,0,IF(Inputs!$B$6="",0,COUNTIFS(Data!$A$10:$A$3209,"&gt;="&amp;$A2344,Data!$A$10:$A$3209,"&lt;"&amp;$A2344+1)))</f>
        <v/>
      </c>
      <c r="AE2344">
        <f>IF($B2344=0,0,IF(Inputs!$B$7="",0,COUNTIFS(Data!$E$10:$E$3209,"&gt;="&amp;$A2344,Data!$E$10:$E$3209,"&lt;"&amp;$A2344+1)))</f>
        <v/>
      </c>
      <c r="AF2344">
        <f>IF($B2344=0,0,IF(Inputs!$B$8="",0,COUNTIFS(Data!$I$10:$I$3209,"&gt;="&amp;$A2344,Data!$I$10:$I$3209,"&lt;"&amp;$A2344+1)))</f>
        <v/>
      </c>
      <c r="AG2344">
        <f>IF($B2344=0,0,IF(Inputs!$B$9="",0,COUNTIFS(Data!$M$10:$M$3209,"&gt;="&amp;$A2344,Data!$M$10:$M$3209,"&lt;"&amp;$A2344+1)))</f>
        <v/>
      </c>
      <c r="AH2344">
        <f>IF($B2344=0,0,IF(Inputs!$B$10="",0,COUNTIFS(Data!$Q$10:$Q$3209,"&gt;="&amp;$A2344,Data!$Q$10:$Q$3209,"&lt;"&amp;$A2344+1)))</f>
        <v/>
      </c>
    </row>
    <row r="2345">
      <c r="A2345" s="55">
        <f>MIN(Inputs!$C$15,$A2344+IF(WEEKDAY($A2344,2)=5,3,1))</f>
        <v/>
      </c>
      <c r="B2345">
        <f>IF($A2345&gt;$A2344,1,0)</f>
        <v/>
      </c>
      <c r="C2345" s="56">
        <f>IF($B2345=0,"",IF(Inputs!$B$6="","",IF($AD2345=0,C2344,SUMIFS(Data!$B$10:$B$3209,Data!$A$10:$A$3209,"&gt;="&amp;$A2345,Data!$A$10:$A$3209,"&lt;"&amp;$A2345+1)/$AD2345)))</f>
        <v/>
      </c>
      <c r="D2345" s="56">
        <f>IF($B2345=0,"",IF(Inputs!$B$7="","",IF($AE2345=0,D2344,SUMIFS(Data!$F$10:$F$3209,Data!$E$10:$E$3209,"&gt;="&amp;$A2345,Data!$E$10:$E$3209,"&lt;"&amp;$A2345+1)/$AE2345)))</f>
        <v/>
      </c>
      <c r="E2345" s="56">
        <f>IF($B2345=0,"",IF(Inputs!$B$8="","",IF($AF2345=0,E2344,SUMIFS(Data!$J$10:$J$3209,Data!$I$10:$I$3209,"&gt;="&amp;$A2345,Data!$I$10:$I$3209,"&lt;"&amp;$A2345+1)/$AF2345)))</f>
        <v/>
      </c>
      <c r="F2345" s="56">
        <f>IF($B2345=0,"",IF(Inputs!$B$9="","",IF($AG2345=0,F2344,SUMIFS(Data!$N$10:$N$3209,Data!$M$10:$M$3209,"&gt;="&amp;$A2345,Data!$M$10:$M$3209,"&lt;"&amp;$A2345+1)/$AG2345)))</f>
        <v/>
      </c>
      <c r="G2345" s="56">
        <f>IF($B2345=0,"",IF(Inputs!$B$10="","",IF($AH2345=0,G2344,SUMIFS(Data!$R$10:$R$3209,Data!$Q$10:$Q$3209,"&gt;="&amp;$A2345,Data!$Q$10:$Q$3209,"&lt;"&amp;$A2345+1)/$AH2345)))</f>
        <v/>
      </c>
      <c r="I2345" s="54">
        <f>IF($B2345=0,NA(),IF($C2345="",NA(),IF(C$8="",NA(),IF(N(C$8)=0,NA(),IF(Inputs!$C$17="Rebased to 100",$C2345/C$8*100,$C2345)))))</f>
        <v/>
      </c>
      <c r="J2345" s="54">
        <f>IF($B2345=0,NA(),IF($D2345="",NA(),IF(D$8="",NA(),IF(N(D$8)=0,NA(),IF(Inputs!$C$17="Rebased to 100",$D2345/D$8*100,$D2345)))))</f>
        <v/>
      </c>
      <c r="K2345" s="54">
        <f>IF($B2345=0,NA(),IF($E2345="",NA(),IF(E$8="",NA(),IF(N(E$8)=0,NA(),IF(Inputs!$C$17="Rebased to 100",$E2345/E$8*100,$E2345)))))</f>
        <v/>
      </c>
      <c r="L2345" s="54">
        <f>IF($B2345=0,NA(),IF($F2345="",NA(),IF(F$8="",NA(),IF(N(F$8)=0,NA(),IF(Inputs!$C$17="Rebased to 100",$F2345/F$8*100,$F2345)))))</f>
        <v/>
      </c>
      <c r="M2345" s="54">
        <f>IF($B2345=0,NA(),IF($G2345="",NA(),IF(G$8="",NA(),IF(N(G$8)=0,NA(),IF(Inputs!$C$17="Rebased to 100",$G2345/G$8*100,$G2345)))))</f>
        <v/>
      </c>
      <c r="N2345" s="54">
        <f>IF($B2345=0,NA(),IF(Inputs!$C$18&lt;&gt;"Yes",NA(),IF(COUNT(I2345,J2345,K2345,L2345,M2345)=0,NA(),MIN(I2345,J2345,K2345,L2345,M2345))))</f>
        <v/>
      </c>
      <c r="O2345" s="54">
        <f>IF($B2345=0,NA(),IF(Inputs!$B$24&lt;&gt;"Yes",NA(),Inputs!$D$24*Inputs!$C$35))</f>
        <v/>
      </c>
      <c r="P2345" s="54">
        <f>IF($B2345=0,NA(),IF(Inputs!$B$25&lt;&gt;"Yes",NA(),Inputs!$D$25*Inputs!$C$35))</f>
        <v/>
      </c>
      <c r="Q2345" s="54">
        <f>IF($B2345=0,NA(),IF(Inputs!$B$26&lt;&gt;"Yes",NA(),Inputs!$D$26*Inputs!$C$35))</f>
        <v/>
      </c>
      <c r="R2345" s="54">
        <f>IF($B2345=0,NA(),IF(Inputs!$B$27&lt;&gt;"Yes",NA(),Inputs!$D$27*Inputs!$C$35))</f>
        <v/>
      </c>
      <c r="S2345" s="54">
        <f>IF($B2345=0,NA(),IF(Inputs!$B$28&lt;&gt;"Yes",NA(),Inputs!$D$28*Inputs!$C$35))</f>
        <v/>
      </c>
      <c r="T2345" s="54">
        <f>IF($B2345=0,NA(),IF(Inputs!$B$29&lt;&gt;"Yes",NA(),Inputs!$D$29*Inputs!$C$35))</f>
        <v/>
      </c>
      <c r="AD2345">
        <f>IF($B2345=0,0,IF(Inputs!$B$6="",0,COUNTIFS(Data!$A$10:$A$3209,"&gt;="&amp;$A2345,Data!$A$10:$A$3209,"&lt;"&amp;$A2345+1)))</f>
        <v/>
      </c>
      <c r="AE2345">
        <f>IF($B2345=0,0,IF(Inputs!$B$7="",0,COUNTIFS(Data!$E$10:$E$3209,"&gt;="&amp;$A2345,Data!$E$10:$E$3209,"&lt;"&amp;$A2345+1)))</f>
        <v/>
      </c>
      <c r="AF2345">
        <f>IF($B2345=0,0,IF(Inputs!$B$8="",0,COUNTIFS(Data!$I$10:$I$3209,"&gt;="&amp;$A2345,Data!$I$10:$I$3209,"&lt;"&amp;$A2345+1)))</f>
        <v/>
      </c>
      <c r="AG2345">
        <f>IF($B2345=0,0,IF(Inputs!$B$9="",0,COUNTIFS(Data!$M$10:$M$3209,"&gt;="&amp;$A2345,Data!$M$10:$M$3209,"&lt;"&amp;$A2345+1)))</f>
        <v/>
      </c>
      <c r="AH2345">
        <f>IF($B2345=0,0,IF(Inputs!$B$10="",0,COUNTIFS(Data!$Q$10:$Q$3209,"&gt;="&amp;$A2345,Data!$Q$10:$Q$3209,"&lt;"&amp;$A2345+1)))</f>
        <v/>
      </c>
    </row>
    <row r="2346">
      <c r="A2346" s="55">
        <f>MIN(Inputs!$C$15,$A2345+IF(WEEKDAY($A2345,2)=5,3,1))</f>
        <v/>
      </c>
      <c r="B2346">
        <f>IF($A2346&gt;$A2345,1,0)</f>
        <v/>
      </c>
      <c r="C2346" s="56">
        <f>IF($B2346=0,"",IF(Inputs!$B$6="","",IF($AD2346=0,C2345,SUMIFS(Data!$B$10:$B$3209,Data!$A$10:$A$3209,"&gt;="&amp;$A2346,Data!$A$10:$A$3209,"&lt;"&amp;$A2346+1)/$AD2346)))</f>
        <v/>
      </c>
      <c r="D2346" s="56">
        <f>IF($B2346=0,"",IF(Inputs!$B$7="","",IF($AE2346=0,D2345,SUMIFS(Data!$F$10:$F$3209,Data!$E$10:$E$3209,"&gt;="&amp;$A2346,Data!$E$10:$E$3209,"&lt;"&amp;$A2346+1)/$AE2346)))</f>
        <v/>
      </c>
      <c r="E2346" s="56">
        <f>IF($B2346=0,"",IF(Inputs!$B$8="","",IF($AF2346=0,E2345,SUMIFS(Data!$J$10:$J$3209,Data!$I$10:$I$3209,"&gt;="&amp;$A2346,Data!$I$10:$I$3209,"&lt;"&amp;$A2346+1)/$AF2346)))</f>
        <v/>
      </c>
      <c r="F2346" s="56">
        <f>IF($B2346=0,"",IF(Inputs!$B$9="","",IF($AG2346=0,F2345,SUMIFS(Data!$N$10:$N$3209,Data!$M$10:$M$3209,"&gt;="&amp;$A2346,Data!$M$10:$M$3209,"&lt;"&amp;$A2346+1)/$AG2346)))</f>
        <v/>
      </c>
      <c r="G2346" s="56">
        <f>IF($B2346=0,"",IF(Inputs!$B$10="","",IF($AH2346=0,G2345,SUMIFS(Data!$R$10:$R$3209,Data!$Q$10:$Q$3209,"&gt;="&amp;$A2346,Data!$Q$10:$Q$3209,"&lt;"&amp;$A2346+1)/$AH2346)))</f>
        <v/>
      </c>
      <c r="I2346" s="54">
        <f>IF($B2346=0,NA(),IF($C2346="",NA(),IF(C$8="",NA(),IF(N(C$8)=0,NA(),IF(Inputs!$C$17="Rebased to 100",$C2346/C$8*100,$C2346)))))</f>
        <v/>
      </c>
      <c r="J2346" s="54">
        <f>IF($B2346=0,NA(),IF($D2346="",NA(),IF(D$8="",NA(),IF(N(D$8)=0,NA(),IF(Inputs!$C$17="Rebased to 100",$D2346/D$8*100,$D2346)))))</f>
        <v/>
      </c>
      <c r="K2346" s="54">
        <f>IF($B2346=0,NA(),IF($E2346="",NA(),IF(E$8="",NA(),IF(N(E$8)=0,NA(),IF(Inputs!$C$17="Rebased to 100",$E2346/E$8*100,$E2346)))))</f>
        <v/>
      </c>
      <c r="L2346" s="54">
        <f>IF($B2346=0,NA(),IF($F2346="",NA(),IF(F$8="",NA(),IF(N(F$8)=0,NA(),IF(Inputs!$C$17="Rebased to 100",$F2346/F$8*100,$F2346)))))</f>
        <v/>
      </c>
      <c r="M2346" s="54">
        <f>IF($B2346=0,NA(),IF($G2346="",NA(),IF(G$8="",NA(),IF(N(G$8)=0,NA(),IF(Inputs!$C$17="Rebased to 100",$G2346/G$8*100,$G2346)))))</f>
        <v/>
      </c>
      <c r="N2346" s="54">
        <f>IF($B2346=0,NA(),IF(Inputs!$C$18&lt;&gt;"Yes",NA(),IF(COUNT(I2346,J2346,K2346,L2346,M2346)=0,NA(),MIN(I2346,J2346,K2346,L2346,M2346))))</f>
        <v/>
      </c>
      <c r="O2346" s="54">
        <f>IF($B2346=0,NA(),IF(Inputs!$B$24&lt;&gt;"Yes",NA(),Inputs!$D$24*Inputs!$C$35))</f>
        <v/>
      </c>
      <c r="P2346" s="54">
        <f>IF($B2346=0,NA(),IF(Inputs!$B$25&lt;&gt;"Yes",NA(),Inputs!$D$25*Inputs!$C$35))</f>
        <v/>
      </c>
      <c r="Q2346" s="54">
        <f>IF($B2346=0,NA(),IF(Inputs!$B$26&lt;&gt;"Yes",NA(),Inputs!$D$26*Inputs!$C$35))</f>
        <v/>
      </c>
      <c r="R2346" s="54">
        <f>IF($B2346=0,NA(),IF(Inputs!$B$27&lt;&gt;"Yes",NA(),Inputs!$D$27*Inputs!$C$35))</f>
        <v/>
      </c>
      <c r="S2346" s="54">
        <f>IF($B2346=0,NA(),IF(Inputs!$B$28&lt;&gt;"Yes",NA(),Inputs!$D$28*Inputs!$C$35))</f>
        <v/>
      </c>
      <c r="T2346" s="54">
        <f>IF($B2346=0,NA(),IF(Inputs!$B$29&lt;&gt;"Yes",NA(),Inputs!$D$29*Inputs!$C$35))</f>
        <v/>
      </c>
      <c r="AD2346">
        <f>IF($B2346=0,0,IF(Inputs!$B$6="",0,COUNTIFS(Data!$A$10:$A$3209,"&gt;="&amp;$A2346,Data!$A$10:$A$3209,"&lt;"&amp;$A2346+1)))</f>
        <v/>
      </c>
      <c r="AE2346">
        <f>IF($B2346=0,0,IF(Inputs!$B$7="",0,COUNTIFS(Data!$E$10:$E$3209,"&gt;="&amp;$A2346,Data!$E$10:$E$3209,"&lt;"&amp;$A2346+1)))</f>
        <v/>
      </c>
      <c r="AF2346">
        <f>IF($B2346=0,0,IF(Inputs!$B$8="",0,COUNTIFS(Data!$I$10:$I$3209,"&gt;="&amp;$A2346,Data!$I$10:$I$3209,"&lt;"&amp;$A2346+1)))</f>
        <v/>
      </c>
      <c r="AG2346">
        <f>IF($B2346=0,0,IF(Inputs!$B$9="",0,COUNTIFS(Data!$M$10:$M$3209,"&gt;="&amp;$A2346,Data!$M$10:$M$3209,"&lt;"&amp;$A2346+1)))</f>
        <v/>
      </c>
      <c r="AH2346">
        <f>IF($B2346=0,0,IF(Inputs!$B$10="",0,COUNTIFS(Data!$Q$10:$Q$3209,"&gt;="&amp;$A2346,Data!$Q$10:$Q$3209,"&lt;"&amp;$A2346+1)))</f>
        <v/>
      </c>
    </row>
    <row r="2347">
      <c r="A2347" s="55">
        <f>MIN(Inputs!$C$15,$A2346+IF(WEEKDAY($A2346,2)=5,3,1))</f>
        <v/>
      </c>
      <c r="B2347">
        <f>IF($A2347&gt;$A2346,1,0)</f>
        <v/>
      </c>
      <c r="C2347" s="56">
        <f>IF($B2347=0,"",IF(Inputs!$B$6="","",IF($AD2347=0,C2346,SUMIFS(Data!$B$10:$B$3209,Data!$A$10:$A$3209,"&gt;="&amp;$A2347,Data!$A$10:$A$3209,"&lt;"&amp;$A2347+1)/$AD2347)))</f>
        <v/>
      </c>
      <c r="D2347" s="56">
        <f>IF($B2347=0,"",IF(Inputs!$B$7="","",IF($AE2347=0,D2346,SUMIFS(Data!$F$10:$F$3209,Data!$E$10:$E$3209,"&gt;="&amp;$A2347,Data!$E$10:$E$3209,"&lt;"&amp;$A2347+1)/$AE2347)))</f>
        <v/>
      </c>
      <c r="E2347" s="56">
        <f>IF($B2347=0,"",IF(Inputs!$B$8="","",IF($AF2347=0,E2346,SUMIFS(Data!$J$10:$J$3209,Data!$I$10:$I$3209,"&gt;="&amp;$A2347,Data!$I$10:$I$3209,"&lt;"&amp;$A2347+1)/$AF2347)))</f>
        <v/>
      </c>
      <c r="F2347" s="56">
        <f>IF($B2347=0,"",IF(Inputs!$B$9="","",IF($AG2347=0,F2346,SUMIFS(Data!$N$10:$N$3209,Data!$M$10:$M$3209,"&gt;="&amp;$A2347,Data!$M$10:$M$3209,"&lt;"&amp;$A2347+1)/$AG2347)))</f>
        <v/>
      </c>
      <c r="G2347" s="56">
        <f>IF($B2347=0,"",IF(Inputs!$B$10="","",IF($AH2347=0,G2346,SUMIFS(Data!$R$10:$R$3209,Data!$Q$10:$Q$3209,"&gt;="&amp;$A2347,Data!$Q$10:$Q$3209,"&lt;"&amp;$A2347+1)/$AH2347)))</f>
        <v/>
      </c>
      <c r="I2347" s="54">
        <f>IF($B2347=0,NA(),IF($C2347="",NA(),IF(C$8="",NA(),IF(N(C$8)=0,NA(),IF(Inputs!$C$17="Rebased to 100",$C2347/C$8*100,$C2347)))))</f>
        <v/>
      </c>
      <c r="J2347" s="54">
        <f>IF($B2347=0,NA(),IF($D2347="",NA(),IF(D$8="",NA(),IF(N(D$8)=0,NA(),IF(Inputs!$C$17="Rebased to 100",$D2347/D$8*100,$D2347)))))</f>
        <v/>
      </c>
      <c r="K2347" s="54">
        <f>IF($B2347=0,NA(),IF($E2347="",NA(),IF(E$8="",NA(),IF(N(E$8)=0,NA(),IF(Inputs!$C$17="Rebased to 100",$E2347/E$8*100,$E2347)))))</f>
        <v/>
      </c>
      <c r="L2347" s="54">
        <f>IF($B2347=0,NA(),IF($F2347="",NA(),IF(F$8="",NA(),IF(N(F$8)=0,NA(),IF(Inputs!$C$17="Rebased to 100",$F2347/F$8*100,$F2347)))))</f>
        <v/>
      </c>
      <c r="M2347" s="54">
        <f>IF($B2347=0,NA(),IF($G2347="",NA(),IF(G$8="",NA(),IF(N(G$8)=0,NA(),IF(Inputs!$C$17="Rebased to 100",$G2347/G$8*100,$G2347)))))</f>
        <v/>
      </c>
      <c r="N2347" s="54">
        <f>IF($B2347=0,NA(),IF(Inputs!$C$18&lt;&gt;"Yes",NA(),IF(COUNT(I2347,J2347,K2347,L2347,M2347)=0,NA(),MIN(I2347,J2347,K2347,L2347,M2347))))</f>
        <v/>
      </c>
      <c r="O2347" s="54">
        <f>IF($B2347=0,NA(),IF(Inputs!$B$24&lt;&gt;"Yes",NA(),Inputs!$D$24*Inputs!$C$35))</f>
        <v/>
      </c>
      <c r="P2347" s="54">
        <f>IF($B2347=0,NA(),IF(Inputs!$B$25&lt;&gt;"Yes",NA(),Inputs!$D$25*Inputs!$C$35))</f>
        <v/>
      </c>
      <c r="Q2347" s="54">
        <f>IF($B2347=0,NA(),IF(Inputs!$B$26&lt;&gt;"Yes",NA(),Inputs!$D$26*Inputs!$C$35))</f>
        <v/>
      </c>
      <c r="R2347" s="54">
        <f>IF($B2347=0,NA(),IF(Inputs!$B$27&lt;&gt;"Yes",NA(),Inputs!$D$27*Inputs!$C$35))</f>
        <v/>
      </c>
      <c r="S2347" s="54">
        <f>IF($B2347=0,NA(),IF(Inputs!$B$28&lt;&gt;"Yes",NA(),Inputs!$D$28*Inputs!$C$35))</f>
        <v/>
      </c>
      <c r="T2347" s="54">
        <f>IF($B2347=0,NA(),IF(Inputs!$B$29&lt;&gt;"Yes",NA(),Inputs!$D$29*Inputs!$C$35))</f>
        <v/>
      </c>
      <c r="AD2347">
        <f>IF($B2347=0,0,IF(Inputs!$B$6="",0,COUNTIFS(Data!$A$10:$A$3209,"&gt;="&amp;$A2347,Data!$A$10:$A$3209,"&lt;"&amp;$A2347+1)))</f>
        <v/>
      </c>
      <c r="AE2347">
        <f>IF($B2347=0,0,IF(Inputs!$B$7="",0,COUNTIFS(Data!$E$10:$E$3209,"&gt;="&amp;$A2347,Data!$E$10:$E$3209,"&lt;"&amp;$A2347+1)))</f>
        <v/>
      </c>
      <c r="AF2347">
        <f>IF($B2347=0,0,IF(Inputs!$B$8="",0,COUNTIFS(Data!$I$10:$I$3209,"&gt;="&amp;$A2347,Data!$I$10:$I$3209,"&lt;"&amp;$A2347+1)))</f>
        <v/>
      </c>
      <c r="AG2347">
        <f>IF($B2347=0,0,IF(Inputs!$B$9="",0,COUNTIFS(Data!$M$10:$M$3209,"&gt;="&amp;$A2347,Data!$M$10:$M$3209,"&lt;"&amp;$A2347+1)))</f>
        <v/>
      </c>
      <c r="AH2347">
        <f>IF($B2347=0,0,IF(Inputs!$B$10="",0,COUNTIFS(Data!$Q$10:$Q$3209,"&gt;="&amp;$A2347,Data!$Q$10:$Q$3209,"&lt;"&amp;$A2347+1)))</f>
        <v/>
      </c>
    </row>
    <row r="2348">
      <c r="A2348" s="55">
        <f>MIN(Inputs!$C$15,$A2347+IF(WEEKDAY($A2347,2)=5,3,1))</f>
        <v/>
      </c>
      <c r="B2348">
        <f>IF($A2348&gt;$A2347,1,0)</f>
        <v/>
      </c>
      <c r="C2348" s="56">
        <f>IF($B2348=0,"",IF(Inputs!$B$6="","",IF($AD2348=0,C2347,SUMIFS(Data!$B$10:$B$3209,Data!$A$10:$A$3209,"&gt;="&amp;$A2348,Data!$A$10:$A$3209,"&lt;"&amp;$A2348+1)/$AD2348)))</f>
        <v/>
      </c>
      <c r="D2348" s="56">
        <f>IF($B2348=0,"",IF(Inputs!$B$7="","",IF($AE2348=0,D2347,SUMIFS(Data!$F$10:$F$3209,Data!$E$10:$E$3209,"&gt;="&amp;$A2348,Data!$E$10:$E$3209,"&lt;"&amp;$A2348+1)/$AE2348)))</f>
        <v/>
      </c>
      <c r="E2348" s="56">
        <f>IF($B2348=0,"",IF(Inputs!$B$8="","",IF($AF2348=0,E2347,SUMIFS(Data!$J$10:$J$3209,Data!$I$10:$I$3209,"&gt;="&amp;$A2348,Data!$I$10:$I$3209,"&lt;"&amp;$A2348+1)/$AF2348)))</f>
        <v/>
      </c>
      <c r="F2348" s="56">
        <f>IF($B2348=0,"",IF(Inputs!$B$9="","",IF($AG2348=0,F2347,SUMIFS(Data!$N$10:$N$3209,Data!$M$10:$M$3209,"&gt;="&amp;$A2348,Data!$M$10:$M$3209,"&lt;"&amp;$A2348+1)/$AG2348)))</f>
        <v/>
      </c>
      <c r="G2348" s="56">
        <f>IF($B2348=0,"",IF(Inputs!$B$10="","",IF($AH2348=0,G2347,SUMIFS(Data!$R$10:$R$3209,Data!$Q$10:$Q$3209,"&gt;="&amp;$A2348,Data!$Q$10:$Q$3209,"&lt;"&amp;$A2348+1)/$AH2348)))</f>
        <v/>
      </c>
      <c r="I2348" s="54">
        <f>IF($B2348=0,NA(),IF($C2348="",NA(),IF(C$8="",NA(),IF(N(C$8)=0,NA(),IF(Inputs!$C$17="Rebased to 100",$C2348/C$8*100,$C2348)))))</f>
        <v/>
      </c>
      <c r="J2348" s="54">
        <f>IF($B2348=0,NA(),IF($D2348="",NA(),IF(D$8="",NA(),IF(N(D$8)=0,NA(),IF(Inputs!$C$17="Rebased to 100",$D2348/D$8*100,$D2348)))))</f>
        <v/>
      </c>
      <c r="K2348" s="54">
        <f>IF($B2348=0,NA(),IF($E2348="",NA(),IF(E$8="",NA(),IF(N(E$8)=0,NA(),IF(Inputs!$C$17="Rebased to 100",$E2348/E$8*100,$E2348)))))</f>
        <v/>
      </c>
      <c r="L2348" s="54">
        <f>IF($B2348=0,NA(),IF($F2348="",NA(),IF(F$8="",NA(),IF(N(F$8)=0,NA(),IF(Inputs!$C$17="Rebased to 100",$F2348/F$8*100,$F2348)))))</f>
        <v/>
      </c>
      <c r="M2348" s="54">
        <f>IF($B2348=0,NA(),IF($G2348="",NA(),IF(G$8="",NA(),IF(N(G$8)=0,NA(),IF(Inputs!$C$17="Rebased to 100",$G2348/G$8*100,$G2348)))))</f>
        <v/>
      </c>
      <c r="N2348" s="54">
        <f>IF($B2348=0,NA(),IF(Inputs!$C$18&lt;&gt;"Yes",NA(),IF(COUNT(I2348,J2348,K2348,L2348,M2348)=0,NA(),MIN(I2348,J2348,K2348,L2348,M2348))))</f>
        <v/>
      </c>
      <c r="O2348" s="54">
        <f>IF($B2348=0,NA(),IF(Inputs!$B$24&lt;&gt;"Yes",NA(),Inputs!$D$24*Inputs!$C$35))</f>
        <v/>
      </c>
      <c r="P2348" s="54">
        <f>IF($B2348=0,NA(),IF(Inputs!$B$25&lt;&gt;"Yes",NA(),Inputs!$D$25*Inputs!$C$35))</f>
        <v/>
      </c>
      <c r="Q2348" s="54">
        <f>IF($B2348=0,NA(),IF(Inputs!$B$26&lt;&gt;"Yes",NA(),Inputs!$D$26*Inputs!$C$35))</f>
        <v/>
      </c>
      <c r="R2348" s="54">
        <f>IF($B2348=0,NA(),IF(Inputs!$B$27&lt;&gt;"Yes",NA(),Inputs!$D$27*Inputs!$C$35))</f>
        <v/>
      </c>
      <c r="S2348" s="54">
        <f>IF($B2348=0,NA(),IF(Inputs!$B$28&lt;&gt;"Yes",NA(),Inputs!$D$28*Inputs!$C$35))</f>
        <v/>
      </c>
      <c r="T2348" s="54">
        <f>IF($B2348=0,NA(),IF(Inputs!$B$29&lt;&gt;"Yes",NA(),Inputs!$D$29*Inputs!$C$35))</f>
        <v/>
      </c>
      <c r="AD2348">
        <f>IF($B2348=0,0,IF(Inputs!$B$6="",0,COUNTIFS(Data!$A$10:$A$3209,"&gt;="&amp;$A2348,Data!$A$10:$A$3209,"&lt;"&amp;$A2348+1)))</f>
        <v/>
      </c>
      <c r="AE2348">
        <f>IF($B2348=0,0,IF(Inputs!$B$7="",0,COUNTIFS(Data!$E$10:$E$3209,"&gt;="&amp;$A2348,Data!$E$10:$E$3209,"&lt;"&amp;$A2348+1)))</f>
        <v/>
      </c>
      <c r="AF2348">
        <f>IF($B2348=0,0,IF(Inputs!$B$8="",0,COUNTIFS(Data!$I$10:$I$3209,"&gt;="&amp;$A2348,Data!$I$10:$I$3209,"&lt;"&amp;$A2348+1)))</f>
        <v/>
      </c>
      <c r="AG2348">
        <f>IF($B2348=0,0,IF(Inputs!$B$9="",0,COUNTIFS(Data!$M$10:$M$3209,"&gt;="&amp;$A2348,Data!$M$10:$M$3209,"&lt;"&amp;$A2348+1)))</f>
        <v/>
      </c>
      <c r="AH2348">
        <f>IF($B2348=0,0,IF(Inputs!$B$10="",0,COUNTIFS(Data!$Q$10:$Q$3209,"&gt;="&amp;$A2348,Data!$Q$10:$Q$3209,"&lt;"&amp;$A2348+1)))</f>
        <v/>
      </c>
    </row>
    <row r="2349">
      <c r="A2349" s="55">
        <f>MIN(Inputs!$C$15,$A2348+IF(WEEKDAY($A2348,2)=5,3,1))</f>
        <v/>
      </c>
      <c r="B2349">
        <f>IF($A2349&gt;$A2348,1,0)</f>
        <v/>
      </c>
      <c r="C2349" s="56">
        <f>IF($B2349=0,"",IF(Inputs!$B$6="","",IF($AD2349=0,C2348,SUMIFS(Data!$B$10:$B$3209,Data!$A$10:$A$3209,"&gt;="&amp;$A2349,Data!$A$10:$A$3209,"&lt;"&amp;$A2349+1)/$AD2349)))</f>
        <v/>
      </c>
      <c r="D2349" s="56">
        <f>IF($B2349=0,"",IF(Inputs!$B$7="","",IF($AE2349=0,D2348,SUMIFS(Data!$F$10:$F$3209,Data!$E$10:$E$3209,"&gt;="&amp;$A2349,Data!$E$10:$E$3209,"&lt;"&amp;$A2349+1)/$AE2349)))</f>
        <v/>
      </c>
      <c r="E2349" s="56">
        <f>IF($B2349=0,"",IF(Inputs!$B$8="","",IF($AF2349=0,E2348,SUMIFS(Data!$J$10:$J$3209,Data!$I$10:$I$3209,"&gt;="&amp;$A2349,Data!$I$10:$I$3209,"&lt;"&amp;$A2349+1)/$AF2349)))</f>
        <v/>
      </c>
      <c r="F2349" s="56">
        <f>IF($B2349=0,"",IF(Inputs!$B$9="","",IF($AG2349=0,F2348,SUMIFS(Data!$N$10:$N$3209,Data!$M$10:$M$3209,"&gt;="&amp;$A2349,Data!$M$10:$M$3209,"&lt;"&amp;$A2349+1)/$AG2349)))</f>
        <v/>
      </c>
      <c r="G2349" s="56">
        <f>IF($B2349=0,"",IF(Inputs!$B$10="","",IF($AH2349=0,G2348,SUMIFS(Data!$R$10:$R$3209,Data!$Q$10:$Q$3209,"&gt;="&amp;$A2349,Data!$Q$10:$Q$3209,"&lt;"&amp;$A2349+1)/$AH2349)))</f>
        <v/>
      </c>
      <c r="I2349" s="54">
        <f>IF($B2349=0,NA(),IF($C2349="",NA(),IF(C$8="",NA(),IF(N(C$8)=0,NA(),IF(Inputs!$C$17="Rebased to 100",$C2349/C$8*100,$C2349)))))</f>
        <v/>
      </c>
      <c r="J2349" s="54">
        <f>IF($B2349=0,NA(),IF($D2349="",NA(),IF(D$8="",NA(),IF(N(D$8)=0,NA(),IF(Inputs!$C$17="Rebased to 100",$D2349/D$8*100,$D2349)))))</f>
        <v/>
      </c>
      <c r="K2349" s="54">
        <f>IF($B2349=0,NA(),IF($E2349="",NA(),IF(E$8="",NA(),IF(N(E$8)=0,NA(),IF(Inputs!$C$17="Rebased to 100",$E2349/E$8*100,$E2349)))))</f>
        <v/>
      </c>
      <c r="L2349" s="54">
        <f>IF($B2349=0,NA(),IF($F2349="",NA(),IF(F$8="",NA(),IF(N(F$8)=0,NA(),IF(Inputs!$C$17="Rebased to 100",$F2349/F$8*100,$F2349)))))</f>
        <v/>
      </c>
      <c r="M2349" s="54">
        <f>IF($B2349=0,NA(),IF($G2349="",NA(),IF(G$8="",NA(),IF(N(G$8)=0,NA(),IF(Inputs!$C$17="Rebased to 100",$G2349/G$8*100,$G2349)))))</f>
        <v/>
      </c>
      <c r="N2349" s="54">
        <f>IF($B2349=0,NA(),IF(Inputs!$C$18&lt;&gt;"Yes",NA(),IF(COUNT(I2349,J2349,K2349,L2349,M2349)=0,NA(),MIN(I2349,J2349,K2349,L2349,M2349))))</f>
        <v/>
      </c>
      <c r="O2349" s="54">
        <f>IF($B2349=0,NA(),IF(Inputs!$B$24&lt;&gt;"Yes",NA(),Inputs!$D$24*Inputs!$C$35))</f>
        <v/>
      </c>
      <c r="P2349" s="54">
        <f>IF($B2349=0,NA(),IF(Inputs!$B$25&lt;&gt;"Yes",NA(),Inputs!$D$25*Inputs!$C$35))</f>
        <v/>
      </c>
      <c r="Q2349" s="54">
        <f>IF($B2349=0,NA(),IF(Inputs!$B$26&lt;&gt;"Yes",NA(),Inputs!$D$26*Inputs!$C$35))</f>
        <v/>
      </c>
      <c r="R2349" s="54">
        <f>IF($B2349=0,NA(),IF(Inputs!$B$27&lt;&gt;"Yes",NA(),Inputs!$D$27*Inputs!$C$35))</f>
        <v/>
      </c>
      <c r="S2349" s="54">
        <f>IF($B2349=0,NA(),IF(Inputs!$B$28&lt;&gt;"Yes",NA(),Inputs!$D$28*Inputs!$C$35))</f>
        <v/>
      </c>
      <c r="T2349" s="54">
        <f>IF($B2349=0,NA(),IF(Inputs!$B$29&lt;&gt;"Yes",NA(),Inputs!$D$29*Inputs!$C$35))</f>
        <v/>
      </c>
      <c r="AD2349">
        <f>IF($B2349=0,0,IF(Inputs!$B$6="",0,COUNTIFS(Data!$A$10:$A$3209,"&gt;="&amp;$A2349,Data!$A$10:$A$3209,"&lt;"&amp;$A2349+1)))</f>
        <v/>
      </c>
      <c r="AE2349">
        <f>IF($B2349=0,0,IF(Inputs!$B$7="",0,COUNTIFS(Data!$E$10:$E$3209,"&gt;="&amp;$A2349,Data!$E$10:$E$3209,"&lt;"&amp;$A2349+1)))</f>
        <v/>
      </c>
      <c r="AF2349">
        <f>IF($B2349=0,0,IF(Inputs!$B$8="",0,COUNTIFS(Data!$I$10:$I$3209,"&gt;="&amp;$A2349,Data!$I$10:$I$3209,"&lt;"&amp;$A2349+1)))</f>
        <v/>
      </c>
      <c r="AG2349">
        <f>IF($B2349=0,0,IF(Inputs!$B$9="",0,COUNTIFS(Data!$M$10:$M$3209,"&gt;="&amp;$A2349,Data!$M$10:$M$3209,"&lt;"&amp;$A2349+1)))</f>
        <v/>
      </c>
      <c r="AH2349">
        <f>IF($B2349=0,0,IF(Inputs!$B$10="",0,COUNTIFS(Data!$Q$10:$Q$3209,"&gt;="&amp;$A2349,Data!$Q$10:$Q$3209,"&lt;"&amp;$A2349+1)))</f>
        <v/>
      </c>
    </row>
    <row r="2350">
      <c r="A2350" s="55">
        <f>MIN(Inputs!$C$15,$A2349+IF(WEEKDAY($A2349,2)=5,3,1))</f>
        <v/>
      </c>
      <c r="B2350">
        <f>IF($A2350&gt;$A2349,1,0)</f>
        <v/>
      </c>
      <c r="C2350" s="56">
        <f>IF($B2350=0,"",IF(Inputs!$B$6="","",IF($AD2350=0,C2349,SUMIFS(Data!$B$10:$B$3209,Data!$A$10:$A$3209,"&gt;="&amp;$A2350,Data!$A$10:$A$3209,"&lt;"&amp;$A2350+1)/$AD2350)))</f>
        <v/>
      </c>
      <c r="D2350" s="56">
        <f>IF($B2350=0,"",IF(Inputs!$B$7="","",IF($AE2350=0,D2349,SUMIFS(Data!$F$10:$F$3209,Data!$E$10:$E$3209,"&gt;="&amp;$A2350,Data!$E$10:$E$3209,"&lt;"&amp;$A2350+1)/$AE2350)))</f>
        <v/>
      </c>
      <c r="E2350" s="56">
        <f>IF($B2350=0,"",IF(Inputs!$B$8="","",IF($AF2350=0,E2349,SUMIFS(Data!$J$10:$J$3209,Data!$I$10:$I$3209,"&gt;="&amp;$A2350,Data!$I$10:$I$3209,"&lt;"&amp;$A2350+1)/$AF2350)))</f>
        <v/>
      </c>
      <c r="F2350" s="56">
        <f>IF($B2350=0,"",IF(Inputs!$B$9="","",IF($AG2350=0,F2349,SUMIFS(Data!$N$10:$N$3209,Data!$M$10:$M$3209,"&gt;="&amp;$A2350,Data!$M$10:$M$3209,"&lt;"&amp;$A2350+1)/$AG2350)))</f>
        <v/>
      </c>
      <c r="G2350" s="56">
        <f>IF($B2350=0,"",IF(Inputs!$B$10="","",IF($AH2350=0,G2349,SUMIFS(Data!$R$10:$R$3209,Data!$Q$10:$Q$3209,"&gt;="&amp;$A2350,Data!$Q$10:$Q$3209,"&lt;"&amp;$A2350+1)/$AH2350)))</f>
        <v/>
      </c>
      <c r="I2350" s="54">
        <f>IF($B2350=0,NA(),IF($C2350="",NA(),IF(C$8="",NA(),IF(N(C$8)=0,NA(),IF(Inputs!$C$17="Rebased to 100",$C2350/C$8*100,$C2350)))))</f>
        <v/>
      </c>
      <c r="J2350" s="54">
        <f>IF($B2350=0,NA(),IF($D2350="",NA(),IF(D$8="",NA(),IF(N(D$8)=0,NA(),IF(Inputs!$C$17="Rebased to 100",$D2350/D$8*100,$D2350)))))</f>
        <v/>
      </c>
      <c r="K2350" s="54">
        <f>IF($B2350=0,NA(),IF($E2350="",NA(),IF(E$8="",NA(),IF(N(E$8)=0,NA(),IF(Inputs!$C$17="Rebased to 100",$E2350/E$8*100,$E2350)))))</f>
        <v/>
      </c>
      <c r="L2350" s="54">
        <f>IF($B2350=0,NA(),IF($F2350="",NA(),IF(F$8="",NA(),IF(N(F$8)=0,NA(),IF(Inputs!$C$17="Rebased to 100",$F2350/F$8*100,$F2350)))))</f>
        <v/>
      </c>
      <c r="M2350" s="54">
        <f>IF($B2350=0,NA(),IF($G2350="",NA(),IF(G$8="",NA(),IF(N(G$8)=0,NA(),IF(Inputs!$C$17="Rebased to 100",$G2350/G$8*100,$G2350)))))</f>
        <v/>
      </c>
      <c r="N2350" s="54">
        <f>IF($B2350=0,NA(),IF(Inputs!$C$18&lt;&gt;"Yes",NA(),IF(COUNT(I2350,J2350,K2350,L2350,M2350)=0,NA(),MIN(I2350,J2350,K2350,L2350,M2350))))</f>
        <v/>
      </c>
      <c r="O2350" s="54">
        <f>IF($B2350=0,NA(),IF(Inputs!$B$24&lt;&gt;"Yes",NA(),Inputs!$D$24*Inputs!$C$35))</f>
        <v/>
      </c>
      <c r="P2350" s="54">
        <f>IF($B2350=0,NA(),IF(Inputs!$B$25&lt;&gt;"Yes",NA(),Inputs!$D$25*Inputs!$C$35))</f>
        <v/>
      </c>
      <c r="Q2350" s="54">
        <f>IF($B2350=0,NA(),IF(Inputs!$B$26&lt;&gt;"Yes",NA(),Inputs!$D$26*Inputs!$C$35))</f>
        <v/>
      </c>
      <c r="R2350" s="54">
        <f>IF($B2350=0,NA(),IF(Inputs!$B$27&lt;&gt;"Yes",NA(),Inputs!$D$27*Inputs!$C$35))</f>
        <v/>
      </c>
      <c r="S2350" s="54">
        <f>IF($B2350=0,NA(),IF(Inputs!$B$28&lt;&gt;"Yes",NA(),Inputs!$D$28*Inputs!$C$35))</f>
        <v/>
      </c>
      <c r="T2350" s="54">
        <f>IF($B2350=0,NA(),IF(Inputs!$B$29&lt;&gt;"Yes",NA(),Inputs!$D$29*Inputs!$C$35))</f>
        <v/>
      </c>
      <c r="AD2350">
        <f>IF($B2350=0,0,IF(Inputs!$B$6="",0,COUNTIFS(Data!$A$10:$A$3209,"&gt;="&amp;$A2350,Data!$A$10:$A$3209,"&lt;"&amp;$A2350+1)))</f>
        <v/>
      </c>
      <c r="AE2350">
        <f>IF($B2350=0,0,IF(Inputs!$B$7="",0,COUNTIFS(Data!$E$10:$E$3209,"&gt;="&amp;$A2350,Data!$E$10:$E$3209,"&lt;"&amp;$A2350+1)))</f>
        <v/>
      </c>
      <c r="AF2350">
        <f>IF($B2350=0,0,IF(Inputs!$B$8="",0,COUNTIFS(Data!$I$10:$I$3209,"&gt;="&amp;$A2350,Data!$I$10:$I$3209,"&lt;"&amp;$A2350+1)))</f>
        <v/>
      </c>
      <c r="AG2350">
        <f>IF($B2350=0,0,IF(Inputs!$B$9="",0,COUNTIFS(Data!$M$10:$M$3209,"&gt;="&amp;$A2350,Data!$M$10:$M$3209,"&lt;"&amp;$A2350+1)))</f>
        <v/>
      </c>
      <c r="AH2350">
        <f>IF($B2350=0,0,IF(Inputs!$B$10="",0,COUNTIFS(Data!$Q$10:$Q$3209,"&gt;="&amp;$A2350,Data!$Q$10:$Q$3209,"&lt;"&amp;$A2350+1)))</f>
        <v/>
      </c>
    </row>
    <row r="2351">
      <c r="A2351" s="55">
        <f>MIN(Inputs!$C$15,$A2350+IF(WEEKDAY($A2350,2)=5,3,1))</f>
        <v/>
      </c>
      <c r="B2351">
        <f>IF($A2351&gt;$A2350,1,0)</f>
        <v/>
      </c>
      <c r="C2351" s="56">
        <f>IF($B2351=0,"",IF(Inputs!$B$6="","",IF($AD2351=0,C2350,SUMIFS(Data!$B$10:$B$3209,Data!$A$10:$A$3209,"&gt;="&amp;$A2351,Data!$A$10:$A$3209,"&lt;"&amp;$A2351+1)/$AD2351)))</f>
        <v/>
      </c>
      <c r="D2351" s="56">
        <f>IF($B2351=0,"",IF(Inputs!$B$7="","",IF($AE2351=0,D2350,SUMIFS(Data!$F$10:$F$3209,Data!$E$10:$E$3209,"&gt;="&amp;$A2351,Data!$E$10:$E$3209,"&lt;"&amp;$A2351+1)/$AE2351)))</f>
        <v/>
      </c>
      <c r="E2351" s="56">
        <f>IF($B2351=0,"",IF(Inputs!$B$8="","",IF($AF2351=0,E2350,SUMIFS(Data!$J$10:$J$3209,Data!$I$10:$I$3209,"&gt;="&amp;$A2351,Data!$I$10:$I$3209,"&lt;"&amp;$A2351+1)/$AF2351)))</f>
        <v/>
      </c>
      <c r="F2351" s="56">
        <f>IF($B2351=0,"",IF(Inputs!$B$9="","",IF($AG2351=0,F2350,SUMIFS(Data!$N$10:$N$3209,Data!$M$10:$M$3209,"&gt;="&amp;$A2351,Data!$M$10:$M$3209,"&lt;"&amp;$A2351+1)/$AG2351)))</f>
        <v/>
      </c>
      <c r="G2351" s="56">
        <f>IF($B2351=0,"",IF(Inputs!$B$10="","",IF($AH2351=0,G2350,SUMIFS(Data!$R$10:$R$3209,Data!$Q$10:$Q$3209,"&gt;="&amp;$A2351,Data!$Q$10:$Q$3209,"&lt;"&amp;$A2351+1)/$AH2351)))</f>
        <v/>
      </c>
      <c r="I2351" s="54">
        <f>IF($B2351=0,NA(),IF($C2351="",NA(),IF(C$8="",NA(),IF(N(C$8)=0,NA(),IF(Inputs!$C$17="Rebased to 100",$C2351/C$8*100,$C2351)))))</f>
        <v/>
      </c>
      <c r="J2351" s="54">
        <f>IF($B2351=0,NA(),IF($D2351="",NA(),IF(D$8="",NA(),IF(N(D$8)=0,NA(),IF(Inputs!$C$17="Rebased to 100",$D2351/D$8*100,$D2351)))))</f>
        <v/>
      </c>
      <c r="K2351" s="54">
        <f>IF($B2351=0,NA(),IF($E2351="",NA(),IF(E$8="",NA(),IF(N(E$8)=0,NA(),IF(Inputs!$C$17="Rebased to 100",$E2351/E$8*100,$E2351)))))</f>
        <v/>
      </c>
      <c r="L2351" s="54">
        <f>IF($B2351=0,NA(),IF($F2351="",NA(),IF(F$8="",NA(),IF(N(F$8)=0,NA(),IF(Inputs!$C$17="Rebased to 100",$F2351/F$8*100,$F2351)))))</f>
        <v/>
      </c>
      <c r="M2351" s="54">
        <f>IF($B2351=0,NA(),IF($G2351="",NA(),IF(G$8="",NA(),IF(N(G$8)=0,NA(),IF(Inputs!$C$17="Rebased to 100",$G2351/G$8*100,$G2351)))))</f>
        <v/>
      </c>
      <c r="N2351" s="54">
        <f>IF($B2351=0,NA(),IF(Inputs!$C$18&lt;&gt;"Yes",NA(),IF(COUNT(I2351,J2351,K2351,L2351,M2351)=0,NA(),MIN(I2351,J2351,K2351,L2351,M2351))))</f>
        <v/>
      </c>
      <c r="O2351" s="54">
        <f>IF($B2351=0,NA(),IF(Inputs!$B$24&lt;&gt;"Yes",NA(),Inputs!$D$24*Inputs!$C$35))</f>
        <v/>
      </c>
      <c r="P2351" s="54">
        <f>IF($B2351=0,NA(),IF(Inputs!$B$25&lt;&gt;"Yes",NA(),Inputs!$D$25*Inputs!$C$35))</f>
        <v/>
      </c>
      <c r="Q2351" s="54">
        <f>IF($B2351=0,NA(),IF(Inputs!$B$26&lt;&gt;"Yes",NA(),Inputs!$D$26*Inputs!$C$35))</f>
        <v/>
      </c>
      <c r="R2351" s="54">
        <f>IF($B2351=0,NA(),IF(Inputs!$B$27&lt;&gt;"Yes",NA(),Inputs!$D$27*Inputs!$C$35))</f>
        <v/>
      </c>
      <c r="S2351" s="54">
        <f>IF($B2351=0,NA(),IF(Inputs!$B$28&lt;&gt;"Yes",NA(),Inputs!$D$28*Inputs!$C$35))</f>
        <v/>
      </c>
      <c r="T2351" s="54">
        <f>IF($B2351=0,NA(),IF(Inputs!$B$29&lt;&gt;"Yes",NA(),Inputs!$D$29*Inputs!$C$35))</f>
        <v/>
      </c>
      <c r="AD2351">
        <f>IF($B2351=0,0,IF(Inputs!$B$6="",0,COUNTIFS(Data!$A$10:$A$3209,"&gt;="&amp;$A2351,Data!$A$10:$A$3209,"&lt;"&amp;$A2351+1)))</f>
        <v/>
      </c>
      <c r="AE2351">
        <f>IF($B2351=0,0,IF(Inputs!$B$7="",0,COUNTIFS(Data!$E$10:$E$3209,"&gt;="&amp;$A2351,Data!$E$10:$E$3209,"&lt;"&amp;$A2351+1)))</f>
        <v/>
      </c>
      <c r="AF2351">
        <f>IF($B2351=0,0,IF(Inputs!$B$8="",0,COUNTIFS(Data!$I$10:$I$3209,"&gt;="&amp;$A2351,Data!$I$10:$I$3209,"&lt;"&amp;$A2351+1)))</f>
        <v/>
      </c>
      <c r="AG2351">
        <f>IF($B2351=0,0,IF(Inputs!$B$9="",0,COUNTIFS(Data!$M$10:$M$3209,"&gt;="&amp;$A2351,Data!$M$10:$M$3209,"&lt;"&amp;$A2351+1)))</f>
        <v/>
      </c>
      <c r="AH2351">
        <f>IF($B2351=0,0,IF(Inputs!$B$10="",0,COUNTIFS(Data!$Q$10:$Q$3209,"&gt;="&amp;$A2351,Data!$Q$10:$Q$3209,"&lt;"&amp;$A2351+1)))</f>
        <v/>
      </c>
    </row>
    <row r="2352">
      <c r="A2352" s="55">
        <f>MIN(Inputs!$C$15,$A2351+IF(WEEKDAY($A2351,2)=5,3,1))</f>
        <v/>
      </c>
      <c r="B2352">
        <f>IF($A2352&gt;$A2351,1,0)</f>
        <v/>
      </c>
      <c r="C2352" s="56">
        <f>IF($B2352=0,"",IF(Inputs!$B$6="","",IF($AD2352=0,C2351,SUMIFS(Data!$B$10:$B$3209,Data!$A$10:$A$3209,"&gt;="&amp;$A2352,Data!$A$10:$A$3209,"&lt;"&amp;$A2352+1)/$AD2352)))</f>
        <v/>
      </c>
      <c r="D2352" s="56">
        <f>IF($B2352=0,"",IF(Inputs!$B$7="","",IF($AE2352=0,D2351,SUMIFS(Data!$F$10:$F$3209,Data!$E$10:$E$3209,"&gt;="&amp;$A2352,Data!$E$10:$E$3209,"&lt;"&amp;$A2352+1)/$AE2352)))</f>
        <v/>
      </c>
      <c r="E2352" s="56">
        <f>IF($B2352=0,"",IF(Inputs!$B$8="","",IF($AF2352=0,E2351,SUMIFS(Data!$J$10:$J$3209,Data!$I$10:$I$3209,"&gt;="&amp;$A2352,Data!$I$10:$I$3209,"&lt;"&amp;$A2352+1)/$AF2352)))</f>
        <v/>
      </c>
      <c r="F2352" s="56">
        <f>IF($B2352=0,"",IF(Inputs!$B$9="","",IF($AG2352=0,F2351,SUMIFS(Data!$N$10:$N$3209,Data!$M$10:$M$3209,"&gt;="&amp;$A2352,Data!$M$10:$M$3209,"&lt;"&amp;$A2352+1)/$AG2352)))</f>
        <v/>
      </c>
      <c r="G2352" s="56">
        <f>IF($B2352=0,"",IF(Inputs!$B$10="","",IF($AH2352=0,G2351,SUMIFS(Data!$R$10:$R$3209,Data!$Q$10:$Q$3209,"&gt;="&amp;$A2352,Data!$Q$10:$Q$3209,"&lt;"&amp;$A2352+1)/$AH2352)))</f>
        <v/>
      </c>
      <c r="I2352" s="54">
        <f>IF($B2352=0,NA(),IF($C2352="",NA(),IF(C$8="",NA(),IF(N(C$8)=0,NA(),IF(Inputs!$C$17="Rebased to 100",$C2352/C$8*100,$C2352)))))</f>
        <v/>
      </c>
      <c r="J2352" s="54">
        <f>IF($B2352=0,NA(),IF($D2352="",NA(),IF(D$8="",NA(),IF(N(D$8)=0,NA(),IF(Inputs!$C$17="Rebased to 100",$D2352/D$8*100,$D2352)))))</f>
        <v/>
      </c>
      <c r="K2352" s="54">
        <f>IF($B2352=0,NA(),IF($E2352="",NA(),IF(E$8="",NA(),IF(N(E$8)=0,NA(),IF(Inputs!$C$17="Rebased to 100",$E2352/E$8*100,$E2352)))))</f>
        <v/>
      </c>
      <c r="L2352" s="54">
        <f>IF($B2352=0,NA(),IF($F2352="",NA(),IF(F$8="",NA(),IF(N(F$8)=0,NA(),IF(Inputs!$C$17="Rebased to 100",$F2352/F$8*100,$F2352)))))</f>
        <v/>
      </c>
      <c r="M2352" s="54">
        <f>IF($B2352=0,NA(),IF($G2352="",NA(),IF(G$8="",NA(),IF(N(G$8)=0,NA(),IF(Inputs!$C$17="Rebased to 100",$G2352/G$8*100,$G2352)))))</f>
        <v/>
      </c>
      <c r="N2352" s="54">
        <f>IF($B2352=0,NA(),IF(Inputs!$C$18&lt;&gt;"Yes",NA(),IF(COUNT(I2352,J2352,K2352,L2352,M2352)=0,NA(),MIN(I2352,J2352,K2352,L2352,M2352))))</f>
        <v/>
      </c>
      <c r="O2352" s="54">
        <f>IF($B2352=0,NA(),IF(Inputs!$B$24&lt;&gt;"Yes",NA(),Inputs!$D$24*Inputs!$C$35))</f>
        <v/>
      </c>
      <c r="P2352" s="54">
        <f>IF($B2352=0,NA(),IF(Inputs!$B$25&lt;&gt;"Yes",NA(),Inputs!$D$25*Inputs!$C$35))</f>
        <v/>
      </c>
      <c r="Q2352" s="54">
        <f>IF($B2352=0,NA(),IF(Inputs!$B$26&lt;&gt;"Yes",NA(),Inputs!$D$26*Inputs!$C$35))</f>
        <v/>
      </c>
      <c r="R2352" s="54">
        <f>IF($B2352=0,NA(),IF(Inputs!$B$27&lt;&gt;"Yes",NA(),Inputs!$D$27*Inputs!$C$35))</f>
        <v/>
      </c>
      <c r="S2352" s="54">
        <f>IF($B2352=0,NA(),IF(Inputs!$B$28&lt;&gt;"Yes",NA(),Inputs!$D$28*Inputs!$C$35))</f>
        <v/>
      </c>
      <c r="T2352" s="54">
        <f>IF($B2352=0,NA(),IF(Inputs!$B$29&lt;&gt;"Yes",NA(),Inputs!$D$29*Inputs!$C$35))</f>
        <v/>
      </c>
      <c r="AD2352">
        <f>IF($B2352=0,0,IF(Inputs!$B$6="",0,COUNTIFS(Data!$A$10:$A$3209,"&gt;="&amp;$A2352,Data!$A$10:$A$3209,"&lt;"&amp;$A2352+1)))</f>
        <v/>
      </c>
      <c r="AE2352">
        <f>IF($B2352=0,0,IF(Inputs!$B$7="",0,COUNTIFS(Data!$E$10:$E$3209,"&gt;="&amp;$A2352,Data!$E$10:$E$3209,"&lt;"&amp;$A2352+1)))</f>
        <v/>
      </c>
      <c r="AF2352">
        <f>IF($B2352=0,0,IF(Inputs!$B$8="",0,COUNTIFS(Data!$I$10:$I$3209,"&gt;="&amp;$A2352,Data!$I$10:$I$3209,"&lt;"&amp;$A2352+1)))</f>
        <v/>
      </c>
      <c r="AG2352">
        <f>IF($B2352=0,0,IF(Inputs!$B$9="",0,COUNTIFS(Data!$M$10:$M$3209,"&gt;="&amp;$A2352,Data!$M$10:$M$3209,"&lt;"&amp;$A2352+1)))</f>
        <v/>
      </c>
      <c r="AH2352">
        <f>IF($B2352=0,0,IF(Inputs!$B$10="",0,COUNTIFS(Data!$Q$10:$Q$3209,"&gt;="&amp;$A2352,Data!$Q$10:$Q$3209,"&lt;"&amp;$A2352+1)))</f>
        <v/>
      </c>
    </row>
    <row r="2353">
      <c r="A2353" s="55">
        <f>MIN(Inputs!$C$15,$A2352+IF(WEEKDAY($A2352,2)=5,3,1))</f>
        <v/>
      </c>
      <c r="B2353">
        <f>IF($A2353&gt;$A2352,1,0)</f>
        <v/>
      </c>
      <c r="C2353" s="56">
        <f>IF($B2353=0,"",IF(Inputs!$B$6="","",IF($AD2353=0,C2352,SUMIFS(Data!$B$10:$B$3209,Data!$A$10:$A$3209,"&gt;="&amp;$A2353,Data!$A$10:$A$3209,"&lt;"&amp;$A2353+1)/$AD2353)))</f>
        <v/>
      </c>
      <c r="D2353" s="56">
        <f>IF($B2353=0,"",IF(Inputs!$B$7="","",IF($AE2353=0,D2352,SUMIFS(Data!$F$10:$F$3209,Data!$E$10:$E$3209,"&gt;="&amp;$A2353,Data!$E$10:$E$3209,"&lt;"&amp;$A2353+1)/$AE2353)))</f>
        <v/>
      </c>
      <c r="E2353" s="56">
        <f>IF($B2353=0,"",IF(Inputs!$B$8="","",IF($AF2353=0,E2352,SUMIFS(Data!$J$10:$J$3209,Data!$I$10:$I$3209,"&gt;="&amp;$A2353,Data!$I$10:$I$3209,"&lt;"&amp;$A2353+1)/$AF2353)))</f>
        <v/>
      </c>
      <c r="F2353" s="56">
        <f>IF($B2353=0,"",IF(Inputs!$B$9="","",IF($AG2353=0,F2352,SUMIFS(Data!$N$10:$N$3209,Data!$M$10:$M$3209,"&gt;="&amp;$A2353,Data!$M$10:$M$3209,"&lt;"&amp;$A2353+1)/$AG2353)))</f>
        <v/>
      </c>
      <c r="G2353" s="56">
        <f>IF($B2353=0,"",IF(Inputs!$B$10="","",IF($AH2353=0,G2352,SUMIFS(Data!$R$10:$R$3209,Data!$Q$10:$Q$3209,"&gt;="&amp;$A2353,Data!$Q$10:$Q$3209,"&lt;"&amp;$A2353+1)/$AH2353)))</f>
        <v/>
      </c>
      <c r="I2353" s="54">
        <f>IF($B2353=0,NA(),IF($C2353="",NA(),IF(C$8="",NA(),IF(N(C$8)=0,NA(),IF(Inputs!$C$17="Rebased to 100",$C2353/C$8*100,$C2353)))))</f>
        <v/>
      </c>
      <c r="J2353" s="54">
        <f>IF($B2353=0,NA(),IF($D2353="",NA(),IF(D$8="",NA(),IF(N(D$8)=0,NA(),IF(Inputs!$C$17="Rebased to 100",$D2353/D$8*100,$D2353)))))</f>
        <v/>
      </c>
      <c r="K2353" s="54">
        <f>IF($B2353=0,NA(),IF($E2353="",NA(),IF(E$8="",NA(),IF(N(E$8)=0,NA(),IF(Inputs!$C$17="Rebased to 100",$E2353/E$8*100,$E2353)))))</f>
        <v/>
      </c>
      <c r="L2353" s="54">
        <f>IF($B2353=0,NA(),IF($F2353="",NA(),IF(F$8="",NA(),IF(N(F$8)=0,NA(),IF(Inputs!$C$17="Rebased to 100",$F2353/F$8*100,$F2353)))))</f>
        <v/>
      </c>
      <c r="M2353" s="54">
        <f>IF($B2353=0,NA(),IF($G2353="",NA(),IF(G$8="",NA(),IF(N(G$8)=0,NA(),IF(Inputs!$C$17="Rebased to 100",$G2353/G$8*100,$G2353)))))</f>
        <v/>
      </c>
      <c r="N2353" s="54">
        <f>IF($B2353=0,NA(),IF(Inputs!$C$18&lt;&gt;"Yes",NA(),IF(COUNT(I2353,J2353,K2353,L2353,M2353)=0,NA(),MIN(I2353,J2353,K2353,L2353,M2353))))</f>
        <v/>
      </c>
      <c r="O2353" s="54">
        <f>IF($B2353=0,NA(),IF(Inputs!$B$24&lt;&gt;"Yes",NA(),Inputs!$D$24*Inputs!$C$35))</f>
        <v/>
      </c>
      <c r="P2353" s="54">
        <f>IF($B2353=0,NA(),IF(Inputs!$B$25&lt;&gt;"Yes",NA(),Inputs!$D$25*Inputs!$C$35))</f>
        <v/>
      </c>
      <c r="Q2353" s="54">
        <f>IF($B2353=0,NA(),IF(Inputs!$B$26&lt;&gt;"Yes",NA(),Inputs!$D$26*Inputs!$C$35))</f>
        <v/>
      </c>
      <c r="R2353" s="54">
        <f>IF($B2353=0,NA(),IF(Inputs!$B$27&lt;&gt;"Yes",NA(),Inputs!$D$27*Inputs!$C$35))</f>
        <v/>
      </c>
      <c r="S2353" s="54">
        <f>IF($B2353=0,NA(),IF(Inputs!$B$28&lt;&gt;"Yes",NA(),Inputs!$D$28*Inputs!$C$35))</f>
        <v/>
      </c>
      <c r="T2353" s="54">
        <f>IF($B2353=0,NA(),IF(Inputs!$B$29&lt;&gt;"Yes",NA(),Inputs!$D$29*Inputs!$C$35))</f>
        <v/>
      </c>
      <c r="AD2353">
        <f>IF($B2353=0,0,IF(Inputs!$B$6="",0,COUNTIFS(Data!$A$10:$A$3209,"&gt;="&amp;$A2353,Data!$A$10:$A$3209,"&lt;"&amp;$A2353+1)))</f>
        <v/>
      </c>
      <c r="AE2353">
        <f>IF($B2353=0,0,IF(Inputs!$B$7="",0,COUNTIFS(Data!$E$10:$E$3209,"&gt;="&amp;$A2353,Data!$E$10:$E$3209,"&lt;"&amp;$A2353+1)))</f>
        <v/>
      </c>
      <c r="AF2353">
        <f>IF($B2353=0,0,IF(Inputs!$B$8="",0,COUNTIFS(Data!$I$10:$I$3209,"&gt;="&amp;$A2353,Data!$I$10:$I$3209,"&lt;"&amp;$A2353+1)))</f>
        <v/>
      </c>
      <c r="AG2353">
        <f>IF($B2353=0,0,IF(Inputs!$B$9="",0,COUNTIFS(Data!$M$10:$M$3209,"&gt;="&amp;$A2353,Data!$M$10:$M$3209,"&lt;"&amp;$A2353+1)))</f>
        <v/>
      </c>
      <c r="AH2353">
        <f>IF($B2353=0,0,IF(Inputs!$B$10="",0,COUNTIFS(Data!$Q$10:$Q$3209,"&gt;="&amp;$A2353,Data!$Q$10:$Q$3209,"&lt;"&amp;$A2353+1)))</f>
        <v/>
      </c>
    </row>
    <row r="2354">
      <c r="A2354" s="55">
        <f>MIN(Inputs!$C$15,$A2353+IF(WEEKDAY($A2353,2)=5,3,1))</f>
        <v/>
      </c>
      <c r="B2354">
        <f>IF($A2354&gt;$A2353,1,0)</f>
        <v/>
      </c>
      <c r="C2354" s="56">
        <f>IF($B2354=0,"",IF(Inputs!$B$6="","",IF($AD2354=0,C2353,SUMIFS(Data!$B$10:$B$3209,Data!$A$10:$A$3209,"&gt;="&amp;$A2354,Data!$A$10:$A$3209,"&lt;"&amp;$A2354+1)/$AD2354)))</f>
        <v/>
      </c>
      <c r="D2354" s="56">
        <f>IF($B2354=0,"",IF(Inputs!$B$7="","",IF($AE2354=0,D2353,SUMIFS(Data!$F$10:$F$3209,Data!$E$10:$E$3209,"&gt;="&amp;$A2354,Data!$E$10:$E$3209,"&lt;"&amp;$A2354+1)/$AE2354)))</f>
        <v/>
      </c>
      <c r="E2354" s="56">
        <f>IF($B2354=0,"",IF(Inputs!$B$8="","",IF($AF2354=0,E2353,SUMIFS(Data!$J$10:$J$3209,Data!$I$10:$I$3209,"&gt;="&amp;$A2354,Data!$I$10:$I$3209,"&lt;"&amp;$A2354+1)/$AF2354)))</f>
        <v/>
      </c>
      <c r="F2354" s="56">
        <f>IF($B2354=0,"",IF(Inputs!$B$9="","",IF($AG2354=0,F2353,SUMIFS(Data!$N$10:$N$3209,Data!$M$10:$M$3209,"&gt;="&amp;$A2354,Data!$M$10:$M$3209,"&lt;"&amp;$A2354+1)/$AG2354)))</f>
        <v/>
      </c>
      <c r="G2354" s="56">
        <f>IF($B2354=0,"",IF(Inputs!$B$10="","",IF($AH2354=0,G2353,SUMIFS(Data!$R$10:$R$3209,Data!$Q$10:$Q$3209,"&gt;="&amp;$A2354,Data!$Q$10:$Q$3209,"&lt;"&amp;$A2354+1)/$AH2354)))</f>
        <v/>
      </c>
      <c r="I2354" s="54">
        <f>IF($B2354=0,NA(),IF($C2354="",NA(),IF(C$8="",NA(),IF(N(C$8)=0,NA(),IF(Inputs!$C$17="Rebased to 100",$C2354/C$8*100,$C2354)))))</f>
        <v/>
      </c>
      <c r="J2354" s="54">
        <f>IF($B2354=0,NA(),IF($D2354="",NA(),IF(D$8="",NA(),IF(N(D$8)=0,NA(),IF(Inputs!$C$17="Rebased to 100",$D2354/D$8*100,$D2354)))))</f>
        <v/>
      </c>
      <c r="K2354" s="54">
        <f>IF($B2354=0,NA(),IF($E2354="",NA(),IF(E$8="",NA(),IF(N(E$8)=0,NA(),IF(Inputs!$C$17="Rebased to 100",$E2354/E$8*100,$E2354)))))</f>
        <v/>
      </c>
      <c r="L2354" s="54">
        <f>IF($B2354=0,NA(),IF($F2354="",NA(),IF(F$8="",NA(),IF(N(F$8)=0,NA(),IF(Inputs!$C$17="Rebased to 100",$F2354/F$8*100,$F2354)))))</f>
        <v/>
      </c>
      <c r="M2354" s="54">
        <f>IF($B2354=0,NA(),IF($G2354="",NA(),IF(G$8="",NA(),IF(N(G$8)=0,NA(),IF(Inputs!$C$17="Rebased to 100",$G2354/G$8*100,$G2354)))))</f>
        <v/>
      </c>
      <c r="N2354" s="54">
        <f>IF($B2354=0,NA(),IF(Inputs!$C$18&lt;&gt;"Yes",NA(),IF(COUNT(I2354,J2354,K2354,L2354,M2354)=0,NA(),MIN(I2354,J2354,K2354,L2354,M2354))))</f>
        <v/>
      </c>
      <c r="O2354" s="54">
        <f>IF($B2354=0,NA(),IF(Inputs!$B$24&lt;&gt;"Yes",NA(),Inputs!$D$24*Inputs!$C$35))</f>
        <v/>
      </c>
      <c r="P2354" s="54">
        <f>IF($B2354=0,NA(),IF(Inputs!$B$25&lt;&gt;"Yes",NA(),Inputs!$D$25*Inputs!$C$35))</f>
        <v/>
      </c>
      <c r="Q2354" s="54">
        <f>IF($B2354=0,NA(),IF(Inputs!$B$26&lt;&gt;"Yes",NA(),Inputs!$D$26*Inputs!$C$35))</f>
        <v/>
      </c>
      <c r="R2354" s="54">
        <f>IF($B2354=0,NA(),IF(Inputs!$B$27&lt;&gt;"Yes",NA(),Inputs!$D$27*Inputs!$C$35))</f>
        <v/>
      </c>
      <c r="S2354" s="54">
        <f>IF($B2354=0,NA(),IF(Inputs!$B$28&lt;&gt;"Yes",NA(),Inputs!$D$28*Inputs!$C$35))</f>
        <v/>
      </c>
      <c r="T2354" s="54">
        <f>IF($B2354=0,NA(),IF(Inputs!$B$29&lt;&gt;"Yes",NA(),Inputs!$D$29*Inputs!$C$35))</f>
        <v/>
      </c>
      <c r="AD2354">
        <f>IF($B2354=0,0,IF(Inputs!$B$6="",0,COUNTIFS(Data!$A$10:$A$3209,"&gt;="&amp;$A2354,Data!$A$10:$A$3209,"&lt;"&amp;$A2354+1)))</f>
        <v/>
      </c>
      <c r="AE2354">
        <f>IF($B2354=0,0,IF(Inputs!$B$7="",0,COUNTIFS(Data!$E$10:$E$3209,"&gt;="&amp;$A2354,Data!$E$10:$E$3209,"&lt;"&amp;$A2354+1)))</f>
        <v/>
      </c>
      <c r="AF2354">
        <f>IF($B2354=0,0,IF(Inputs!$B$8="",0,COUNTIFS(Data!$I$10:$I$3209,"&gt;="&amp;$A2354,Data!$I$10:$I$3209,"&lt;"&amp;$A2354+1)))</f>
        <v/>
      </c>
      <c r="AG2354">
        <f>IF($B2354=0,0,IF(Inputs!$B$9="",0,COUNTIFS(Data!$M$10:$M$3209,"&gt;="&amp;$A2354,Data!$M$10:$M$3209,"&lt;"&amp;$A2354+1)))</f>
        <v/>
      </c>
      <c r="AH2354">
        <f>IF($B2354=0,0,IF(Inputs!$B$10="",0,COUNTIFS(Data!$Q$10:$Q$3209,"&gt;="&amp;$A2354,Data!$Q$10:$Q$3209,"&lt;"&amp;$A2354+1)))</f>
        <v/>
      </c>
    </row>
    <row r="2355">
      <c r="A2355" s="55">
        <f>MIN(Inputs!$C$15,$A2354+IF(WEEKDAY($A2354,2)=5,3,1))</f>
        <v/>
      </c>
      <c r="B2355">
        <f>IF($A2355&gt;$A2354,1,0)</f>
        <v/>
      </c>
      <c r="C2355" s="56">
        <f>IF($B2355=0,"",IF(Inputs!$B$6="","",IF($AD2355=0,C2354,SUMIFS(Data!$B$10:$B$3209,Data!$A$10:$A$3209,"&gt;="&amp;$A2355,Data!$A$10:$A$3209,"&lt;"&amp;$A2355+1)/$AD2355)))</f>
        <v/>
      </c>
      <c r="D2355" s="56">
        <f>IF($B2355=0,"",IF(Inputs!$B$7="","",IF($AE2355=0,D2354,SUMIFS(Data!$F$10:$F$3209,Data!$E$10:$E$3209,"&gt;="&amp;$A2355,Data!$E$10:$E$3209,"&lt;"&amp;$A2355+1)/$AE2355)))</f>
        <v/>
      </c>
      <c r="E2355" s="56">
        <f>IF($B2355=0,"",IF(Inputs!$B$8="","",IF($AF2355=0,E2354,SUMIFS(Data!$J$10:$J$3209,Data!$I$10:$I$3209,"&gt;="&amp;$A2355,Data!$I$10:$I$3209,"&lt;"&amp;$A2355+1)/$AF2355)))</f>
        <v/>
      </c>
      <c r="F2355" s="56">
        <f>IF($B2355=0,"",IF(Inputs!$B$9="","",IF($AG2355=0,F2354,SUMIFS(Data!$N$10:$N$3209,Data!$M$10:$M$3209,"&gt;="&amp;$A2355,Data!$M$10:$M$3209,"&lt;"&amp;$A2355+1)/$AG2355)))</f>
        <v/>
      </c>
      <c r="G2355" s="56">
        <f>IF($B2355=0,"",IF(Inputs!$B$10="","",IF($AH2355=0,G2354,SUMIFS(Data!$R$10:$R$3209,Data!$Q$10:$Q$3209,"&gt;="&amp;$A2355,Data!$Q$10:$Q$3209,"&lt;"&amp;$A2355+1)/$AH2355)))</f>
        <v/>
      </c>
      <c r="I2355" s="54">
        <f>IF($B2355=0,NA(),IF($C2355="",NA(),IF(C$8="",NA(),IF(N(C$8)=0,NA(),IF(Inputs!$C$17="Rebased to 100",$C2355/C$8*100,$C2355)))))</f>
        <v/>
      </c>
      <c r="J2355" s="54">
        <f>IF($B2355=0,NA(),IF($D2355="",NA(),IF(D$8="",NA(),IF(N(D$8)=0,NA(),IF(Inputs!$C$17="Rebased to 100",$D2355/D$8*100,$D2355)))))</f>
        <v/>
      </c>
      <c r="K2355" s="54">
        <f>IF($B2355=0,NA(),IF($E2355="",NA(),IF(E$8="",NA(),IF(N(E$8)=0,NA(),IF(Inputs!$C$17="Rebased to 100",$E2355/E$8*100,$E2355)))))</f>
        <v/>
      </c>
      <c r="L2355" s="54">
        <f>IF($B2355=0,NA(),IF($F2355="",NA(),IF(F$8="",NA(),IF(N(F$8)=0,NA(),IF(Inputs!$C$17="Rebased to 100",$F2355/F$8*100,$F2355)))))</f>
        <v/>
      </c>
      <c r="M2355" s="54">
        <f>IF($B2355=0,NA(),IF($G2355="",NA(),IF(G$8="",NA(),IF(N(G$8)=0,NA(),IF(Inputs!$C$17="Rebased to 100",$G2355/G$8*100,$G2355)))))</f>
        <v/>
      </c>
      <c r="N2355" s="54">
        <f>IF($B2355=0,NA(),IF(Inputs!$C$18&lt;&gt;"Yes",NA(),IF(COUNT(I2355,J2355,K2355,L2355,M2355)=0,NA(),MIN(I2355,J2355,K2355,L2355,M2355))))</f>
        <v/>
      </c>
      <c r="O2355" s="54">
        <f>IF($B2355=0,NA(),IF(Inputs!$B$24&lt;&gt;"Yes",NA(),Inputs!$D$24*Inputs!$C$35))</f>
        <v/>
      </c>
      <c r="P2355" s="54">
        <f>IF($B2355=0,NA(),IF(Inputs!$B$25&lt;&gt;"Yes",NA(),Inputs!$D$25*Inputs!$C$35))</f>
        <v/>
      </c>
      <c r="Q2355" s="54">
        <f>IF($B2355=0,NA(),IF(Inputs!$B$26&lt;&gt;"Yes",NA(),Inputs!$D$26*Inputs!$C$35))</f>
        <v/>
      </c>
      <c r="R2355" s="54">
        <f>IF($B2355=0,NA(),IF(Inputs!$B$27&lt;&gt;"Yes",NA(),Inputs!$D$27*Inputs!$C$35))</f>
        <v/>
      </c>
      <c r="S2355" s="54">
        <f>IF($B2355=0,NA(),IF(Inputs!$B$28&lt;&gt;"Yes",NA(),Inputs!$D$28*Inputs!$C$35))</f>
        <v/>
      </c>
      <c r="T2355" s="54">
        <f>IF($B2355=0,NA(),IF(Inputs!$B$29&lt;&gt;"Yes",NA(),Inputs!$D$29*Inputs!$C$35))</f>
        <v/>
      </c>
      <c r="AD2355">
        <f>IF($B2355=0,0,IF(Inputs!$B$6="",0,COUNTIFS(Data!$A$10:$A$3209,"&gt;="&amp;$A2355,Data!$A$10:$A$3209,"&lt;"&amp;$A2355+1)))</f>
        <v/>
      </c>
      <c r="AE2355">
        <f>IF($B2355=0,0,IF(Inputs!$B$7="",0,COUNTIFS(Data!$E$10:$E$3209,"&gt;="&amp;$A2355,Data!$E$10:$E$3209,"&lt;"&amp;$A2355+1)))</f>
        <v/>
      </c>
      <c r="AF2355">
        <f>IF($B2355=0,0,IF(Inputs!$B$8="",0,COUNTIFS(Data!$I$10:$I$3209,"&gt;="&amp;$A2355,Data!$I$10:$I$3209,"&lt;"&amp;$A2355+1)))</f>
        <v/>
      </c>
      <c r="AG2355">
        <f>IF($B2355=0,0,IF(Inputs!$B$9="",0,COUNTIFS(Data!$M$10:$M$3209,"&gt;="&amp;$A2355,Data!$M$10:$M$3209,"&lt;"&amp;$A2355+1)))</f>
        <v/>
      </c>
      <c r="AH2355">
        <f>IF($B2355=0,0,IF(Inputs!$B$10="",0,COUNTIFS(Data!$Q$10:$Q$3209,"&gt;="&amp;$A2355,Data!$Q$10:$Q$3209,"&lt;"&amp;$A2355+1)))</f>
        <v/>
      </c>
    </row>
    <row r="2356">
      <c r="A2356" s="55">
        <f>MIN(Inputs!$C$15,$A2355+IF(WEEKDAY($A2355,2)=5,3,1))</f>
        <v/>
      </c>
      <c r="B2356">
        <f>IF($A2356&gt;$A2355,1,0)</f>
        <v/>
      </c>
      <c r="C2356" s="56">
        <f>IF($B2356=0,"",IF(Inputs!$B$6="","",IF($AD2356=0,C2355,SUMIFS(Data!$B$10:$B$3209,Data!$A$10:$A$3209,"&gt;="&amp;$A2356,Data!$A$10:$A$3209,"&lt;"&amp;$A2356+1)/$AD2356)))</f>
        <v/>
      </c>
      <c r="D2356" s="56">
        <f>IF($B2356=0,"",IF(Inputs!$B$7="","",IF($AE2356=0,D2355,SUMIFS(Data!$F$10:$F$3209,Data!$E$10:$E$3209,"&gt;="&amp;$A2356,Data!$E$10:$E$3209,"&lt;"&amp;$A2356+1)/$AE2356)))</f>
        <v/>
      </c>
      <c r="E2356" s="56">
        <f>IF($B2356=0,"",IF(Inputs!$B$8="","",IF($AF2356=0,E2355,SUMIFS(Data!$J$10:$J$3209,Data!$I$10:$I$3209,"&gt;="&amp;$A2356,Data!$I$10:$I$3209,"&lt;"&amp;$A2356+1)/$AF2356)))</f>
        <v/>
      </c>
      <c r="F2356" s="56">
        <f>IF($B2356=0,"",IF(Inputs!$B$9="","",IF($AG2356=0,F2355,SUMIFS(Data!$N$10:$N$3209,Data!$M$10:$M$3209,"&gt;="&amp;$A2356,Data!$M$10:$M$3209,"&lt;"&amp;$A2356+1)/$AG2356)))</f>
        <v/>
      </c>
      <c r="G2356" s="56">
        <f>IF($B2356=0,"",IF(Inputs!$B$10="","",IF($AH2356=0,G2355,SUMIFS(Data!$R$10:$R$3209,Data!$Q$10:$Q$3209,"&gt;="&amp;$A2356,Data!$Q$10:$Q$3209,"&lt;"&amp;$A2356+1)/$AH2356)))</f>
        <v/>
      </c>
      <c r="I2356" s="54">
        <f>IF($B2356=0,NA(),IF($C2356="",NA(),IF(C$8="",NA(),IF(N(C$8)=0,NA(),IF(Inputs!$C$17="Rebased to 100",$C2356/C$8*100,$C2356)))))</f>
        <v/>
      </c>
      <c r="J2356" s="54">
        <f>IF($B2356=0,NA(),IF($D2356="",NA(),IF(D$8="",NA(),IF(N(D$8)=0,NA(),IF(Inputs!$C$17="Rebased to 100",$D2356/D$8*100,$D2356)))))</f>
        <v/>
      </c>
      <c r="K2356" s="54">
        <f>IF($B2356=0,NA(),IF($E2356="",NA(),IF(E$8="",NA(),IF(N(E$8)=0,NA(),IF(Inputs!$C$17="Rebased to 100",$E2356/E$8*100,$E2356)))))</f>
        <v/>
      </c>
      <c r="L2356" s="54">
        <f>IF($B2356=0,NA(),IF($F2356="",NA(),IF(F$8="",NA(),IF(N(F$8)=0,NA(),IF(Inputs!$C$17="Rebased to 100",$F2356/F$8*100,$F2356)))))</f>
        <v/>
      </c>
      <c r="M2356" s="54">
        <f>IF($B2356=0,NA(),IF($G2356="",NA(),IF(G$8="",NA(),IF(N(G$8)=0,NA(),IF(Inputs!$C$17="Rebased to 100",$G2356/G$8*100,$G2356)))))</f>
        <v/>
      </c>
      <c r="N2356" s="54">
        <f>IF($B2356=0,NA(),IF(Inputs!$C$18&lt;&gt;"Yes",NA(),IF(COUNT(I2356,J2356,K2356,L2356,M2356)=0,NA(),MIN(I2356,J2356,K2356,L2356,M2356))))</f>
        <v/>
      </c>
      <c r="O2356" s="54">
        <f>IF($B2356=0,NA(),IF(Inputs!$B$24&lt;&gt;"Yes",NA(),Inputs!$D$24*Inputs!$C$35))</f>
        <v/>
      </c>
      <c r="P2356" s="54">
        <f>IF($B2356=0,NA(),IF(Inputs!$B$25&lt;&gt;"Yes",NA(),Inputs!$D$25*Inputs!$C$35))</f>
        <v/>
      </c>
      <c r="Q2356" s="54">
        <f>IF($B2356=0,NA(),IF(Inputs!$B$26&lt;&gt;"Yes",NA(),Inputs!$D$26*Inputs!$C$35))</f>
        <v/>
      </c>
      <c r="R2356" s="54">
        <f>IF($B2356=0,NA(),IF(Inputs!$B$27&lt;&gt;"Yes",NA(),Inputs!$D$27*Inputs!$C$35))</f>
        <v/>
      </c>
      <c r="S2356" s="54">
        <f>IF($B2356=0,NA(),IF(Inputs!$B$28&lt;&gt;"Yes",NA(),Inputs!$D$28*Inputs!$C$35))</f>
        <v/>
      </c>
      <c r="T2356" s="54">
        <f>IF($B2356=0,NA(),IF(Inputs!$B$29&lt;&gt;"Yes",NA(),Inputs!$D$29*Inputs!$C$35))</f>
        <v/>
      </c>
      <c r="AD2356">
        <f>IF($B2356=0,0,IF(Inputs!$B$6="",0,COUNTIFS(Data!$A$10:$A$3209,"&gt;="&amp;$A2356,Data!$A$10:$A$3209,"&lt;"&amp;$A2356+1)))</f>
        <v/>
      </c>
      <c r="AE2356">
        <f>IF($B2356=0,0,IF(Inputs!$B$7="",0,COUNTIFS(Data!$E$10:$E$3209,"&gt;="&amp;$A2356,Data!$E$10:$E$3209,"&lt;"&amp;$A2356+1)))</f>
        <v/>
      </c>
      <c r="AF2356">
        <f>IF($B2356=0,0,IF(Inputs!$B$8="",0,COUNTIFS(Data!$I$10:$I$3209,"&gt;="&amp;$A2356,Data!$I$10:$I$3209,"&lt;"&amp;$A2356+1)))</f>
        <v/>
      </c>
      <c r="AG2356">
        <f>IF($B2356=0,0,IF(Inputs!$B$9="",0,COUNTIFS(Data!$M$10:$M$3209,"&gt;="&amp;$A2356,Data!$M$10:$M$3209,"&lt;"&amp;$A2356+1)))</f>
        <v/>
      </c>
      <c r="AH2356">
        <f>IF($B2356=0,0,IF(Inputs!$B$10="",0,COUNTIFS(Data!$Q$10:$Q$3209,"&gt;="&amp;$A2356,Data!$Q$10:$Q$3209,"&lt;"&amp;$A2356+1)))</f>
        <v/>
      </c>
    </row>
    <row r="2357">
      <c r="A2357" s="55">
        <f>MIN(Inputs!$C$15,$A2356+IF(WEEKDAY($A2356,2)=5,3,1))</f>
        <v/>
      </c>
      <c r="B2357">
        <f>IF($A2357&gt;$A2356,1,0)</f>
        <v/>
      </c>
      <c r="C2357" s="56">
        <f>IF($B2357=0,"",IF(Inputs!$B$6="","",IF($AD2357=0,C2356,SUMIFS(Data!$B$10:$B$3209,Data!$A$10:$A$3209,"&gt;="&amp;$A2357,Data!$A$10:$A$3209,"&lt;"&amp;$A2357+1)/$AD2357)))</f>
        <v/>
      </c>
      <c r="D2357" s="56">
        <f>IF($B2357=0,"",IF(Inputs!$B$7="","",IF($AE2357=0,D2356,SUMIFS(Data!$F$10:$F$3209,Data!$E$10:$E$3209,"&gt;="&amp;$A2357,Data!$E$10:$E$3209,"&lt;"&amp;$A2357+1)/$AE2357)))</f>
        <v/>
      </c>
      <c r="E2357" s="56">
        <f>IF($B2357=0,"",IF(Inputs!$B$8="","",IF($AF2357=0,E2356,SUMIFS(Data!$J$10:$J$3209,Data!$I$10:$I$3209,"&gt;="&amp;$A2357,Data!$I$10:$I$3209,"&lt;"&amp;$A2357+1)/$AF2357)))</f>
        <v/>
      </c>
      <c r="F2357" s="56">
        <f>IF($B2357=0,"",IF(Inputs!$B$9="","",IF($AG2357=0,F2356,SUMIFS(Data!$N$10:$N$3209,Data!$M$10:$M$3209,"&gt;="&amp;$A2357,Data!$M$10:$M$3209,"&lt;"&amp;$A2357+1)/$AG2357)))</f>
        <v/>
      </c>
      <c r="G2357" s="56">
        <f>IF($B2357=0,"",IF(Inputs!$B$10="","",IF($AH2357=0,G2356,SUMIFS(Data!$R$10:$R$3209,Data!$Q$10:$Q$3209,"&gt;="&amp;$A2357,Data!$Q$10:$Q$3209,"&lt;"&amp;$A2357+1)/$AH2357)))</f>
        <v/>
      </c>
      <c r="I2357" s="54">
        <f>IF($B2357=0,NA(),IF($C2357="",NA(),IF(C$8="",NA(),IF(N(C$8)=0,NA(),IF(Inputs!$C$17="Rebased to 100",$C2357/C$8*100,$C2357)))))</f>
        <v/>
      </c>
      <c r="J2357" s="54">
        <f>IF($B2357=0,NA(),IF($D2357="",NA(),IF(D$8="",NA(),IF(N(D$8)=0,NA(),IF(Inputs!$C$17="Rebased to 100",$D2357/D$8*100,$D2357)))))</f>
        <v/>
      </c>
      <c r="K2357" s="54">
        <f>IF($B2357=0,NA(),IF($E2357="",NA(),IF(E$8="",NA(),IF(N(E$8)=0,NA(),IF(Inputs!$C$17="Rebased to 100",$E2357/E$8*100,$E2357)))))</f>
        <v/>
      </c>
      <c r="L2357" s="54">
        <f>IF($B2357=0,NA(),IF($F2357="",NA(),IF(F$8="",NA(),IF(N(F$8)=0,NA(),IF(Inputs!$C$17="Rebased to 100",$F2357/F$8*100,$F2357)))))</f>
        <v/>
      </c>
      <c r="M2357" s="54">
        <f>IF($B2357=0,NA(),IF($G2357="",NA(),IF(G$8="",NA(),IF(N(G$8)=0,NA(),IF(Inputs!$C$17="Rebased to 100",$G2357/G$8*100,$G2357)))))</f>
        <v/>
      </c>
      <c r="N2357" s="54">
        <f>IF($B2357=0,NA(),IF(Inputs!$C$18&lt;&gt;"Yes",NA(),IF(COUNT(I2357,J2357,K2357,L2357,M2357)=0,NA(),MIN(I2357,J2357,K2357,L2357,M2357))))</f>
        <v/>
      </c>
      <c r="O2357" s="54">
        <f>IF($B2357=0,NA(),IF(Inputs!$B$24&lt;&gt;"Yes",NA(),Inputs!$D$24*Inputs!$C$35))</f>
        <v/>
      </c>
      <c r="P2357" s="54">
        <f>IF($B2357=0,NA(),IF(Inputs!$B$25&lt;&gt;"Yes",NA(),Inputs!$D$25*Inputs!$C$35))</f>
        <v/>
      </c>
      <c r="Q2357" s="54">
        <f>IF($B2357=0,NA(),IF(Inputs!$B$26&lt;&gt;"Yes",NA(),Inputs!$D$26*Inputs!$C$35))</f>
        <v/>
      </c>
      <c r="R2357" s="54">
        <f>IF($B2357=0,NA(),IF(Inputs!$B$27&lt;&gt;"Yes",NA(),Inputs!$D$27*Inputs!$C$35))</f>
        <v/>
      </c>
      <c r="S2357" s="54">
        <f>IF($B2357=0,NA(),IF(Inputs!$B$28&lt;&gt;"Yes",NA(),Inputs!$D$28*Inputs!$C$35))</f>
        <v/>
      </c>
      <c r="T2357" s="54">
        <f>IF($B2357=0,NA(),IF(Inputs!$B$29&lt;&gt;"Yes",NA(),Inputs!$D$29*Inputs!$C$35))</f>
        <v/>
      </c>
      <c r="AD2357">
        <f>IF($B2357=0,0,IF(Inputs!$B$6="",0,COUNTIFS(Data!$A$10:$A$3209,"&gt;="&amp;$A2357,Data!$A$10:$A$3209,"&lt;"&amp;$A2357+1)))</f>
        <v/>
      </c>
      <c r="AE2357">
        <f>IF($B2357=0,0,IF(Inputs!$B$7="",0,COUNTIFS(Data!$E$10:$E$3209,"&gt;="&amp;$A2357,Data!$E$10:$E$3209,"&lt;"&amp;$A2357+1)))</f>
        <v/>
      </c>
      <c r="AF2357">
        <f>IF($B2357=0,0,IF(Inputs!$B$8="",0,COUNTIFS(Data!$I$10:$I$3209,"&gt;="&amp;$A2357,Data!$I$10:$I$3209,"&lt;"&amp;$A2357+1)))</f>
        <v/>
      </c>
      <c r="AG2357">
        <f>IF($B2357=0,0,IF(Inputs!$B$9="",0,COUNTIFS(Data!$M$10:$M$3209,"&gt;="&amp;$A2357,Data!$M$10:$M$3209,"&lt;"&amp;$A2357+1)))</f>
        <v/>
      </c>
      <c r="AH2357">
        <f>IF($B2357=0,0,IF(Inputs!$B$10="",0,COUNTIFS(Data!$Q$10:$Q$3209,"&gt;="&amp;$A2357,Data!$Q$10:$Q$3209,"&lt;"&amp;$A2357+1)))</f>
        <v/>
      </c>
    </row>
    <row r="2358">
      <c r="A2358" s="55">
        <f>MIN(Inputs!$C$15,$A2357+IF(WEEKDAY($A2357,2)=5,3,1))</f>
        <v/>
      </c>
      <c r="B2358">
        <f>IF($A2358&gt;$A2357,1,0)</f>
        <v/>
      </c>
      <c r="C2358" s="56">
        <f>IF($B2358=0,"",IF(Inputs!$B$6="","",IF($AD2358=0,C2357,SUMIFS(Data!$B$10:$B$3209,Data!$A$10:$A$3209,"&gt;="&amp;$A2358,Data!$A$10:$A$3209,"&lt;"&amp;$A2358+1)/$AD2358)))</f>
        <v/>
      </c>
      <c r="D2358" s="56">
        <f>IF($B2358=0,"",IF(Inputs!$B$7="","",IF($AE2358=0,D2357,SUMIFS(Data!$F$10:$F$3209,Data!$E$10:$E$3209,"&gt;="&amp;$A2358,Data!$E$10:$E$3209,"&lt;"&amp;$A2358+1)/$AE2358)))</f>
        <v/>
      </c>
      <c r="E2358" s="56">
        <f>IF($B2358=0,"",IF(Inputs!$B$8="","",IF($AF2358=0,E2357,SUMIFS(Data!$J$10:$J$3209,Data!$I$10:$I$3209,"&gt;="&amp;$A2358,Data!$I$10:$I$3209,"&lt;"&amp;$A2358+1)/$AF2358)))</f>
        <v/>
      </c>
      <c r="F2358" s="56">
        <f>IF($B2358=0,"",IF(Inputs!$B$9="","",IF($AG2358=0,F2357,SUMIFS(Data!$N$10:$N$3209,Data!$M$10:$M$3209,"&gt;="&amp;$A2358,Data!$M$10:$M$3209,"&lt;"&amp;$A2358+1)/$AG2358)))</f>
        <v/>
      </c>
      <c r="G2358" s="56">
        <f>IF($B2358=0,"",IF(Inputs!$B$10="","",IF($AH2358=0,G2357,SUMIFS(Data!$R$10:$R$3209,Data!$Q$10:$Q$3209,"&gt;="&amp;$A2358,Data!$Q$10:$Q$3209,"&lt;"&amp;$A2358+1)/$AH2358)))</f>
        <v/>
      </c>
      <c r="I2358" s="54">
        <f>IF($B2358=0,NA(),IF($C2358="",NA(),IF(C$8="",NA(),IF(N(C$8)=0,NA(),IF(Inputs!$C$17="Rebased to 100",$C2358/C$8*100,$C2358)))))</f>
        <v/>
      </c>
      <c r="J2358" s="54">
        <f>IF($B2358=0,NA(),IF($D2358="",NA(),IF(D$8="",NA(),IF(N(D$8)=0,NA(),IF(Inputs!$C$17="Rebased to 100",$D2358/D$8*100,$D2358)))))</f>
        <v/>
      </c>
      <c r="K2358" s="54">
        <f>IF($B2358=0,NA(),IF($E2358="",NA(),IF(E$8="",NA(),IF(N(E$8)=0,NA(),IF(Inputs!$C$17="Rebased to 100",$E2358/E$8*100,$E2358)))))</f>
        <v/>
      </c>
      <c r="L2358" s="54">
        <f>IF($B2358=0,NA(),IF($F2358="",NA(),IF(F$8="",NA(),IF(N(F$8)=0,NA(),IF(Inputs!$C$17="Rebased to 100",$F2358/F$8*100,$F2358)))))</f>
        <v/>
      </c>
      <c r="M2358" s="54">
        <f>IF($B2358=0,NA(),IF($G2358="",NA(),IF(G$8="",NA(),IF(N(G$8)=0,NA(),IF(Inputs!$C$17="Rebased to 100",$G2358/G$8*100,$G2358)))))</f>
        <v/>
      </c>
      <c r="N2358" s="54">
        <f>IF($B2358=0,NA(),IF(Inputs!$C$18&lt;&gt;"Yes",NA(),IF(COUNT(I2358,J2358,K2358,L2358,M2358)=0,NA(),MIN(I2358,J2358,K2358,L2358,M2358))))</f>
        <v/>
      </c>
      <c r="O2358" s="54">
        <f>IF($B2358=0,NA(),IF(Inputs!$B$24&lt;&gt;"Yes",NA(),Inputs!$D$24*Inputs!$C$35))</f>
        <v/>
      </c>
      <c r="P2358" s="54">
        <f>IF($B2358=0,NA(),IF(Inputs!$B$25&lt;&gt;"Yes",NA(),Inputs!$D$25*Inputs!$C$35))</f>
        <v/>
      </c>
      <c r="Q2358" s="54">
        <f>IF($B2358=0,NA(),IF(Inputs!$B$26&lt;&gt;"Yes",NA(),Inputs!$D$26*Inputs!$C$35))</f>
        <v/>
      </c>
      <c r="R2358" s="54">
        <f>IF($B2358=0,NA(),IF(Inputs!$B$27&lt;&gt;"Yes",NA(),Inputs!$D$27*Inputs!$C$35))</f>
        <v/>
      </c>
      <c r="S2358" s="54">
        <f>IF($B2358=0,NA(),IF(Inputs!$B$28&lt;&gt;"Yes",NA(),Inputs!$D$28*Inputs!$C$35))</f>
        <v/>
      </c>
      <c r="T2358" s="54">
        <f>IF($B2358=0,NA(),IF(Inputs!$B$29&lt;&gt;"Yes",NA(),Inputs!$D$29*Inputs!$C$35))</f>
        <v/>
      </c>
      <c r="AD2358">
        <f>IF($B2358=0,0,IF(Inputs!$B$6="",0,COUNTIFS(Data!$A$10:$A$3209,"&gt;="&amp;$A2358,Data!$A$10:$A$3209,"&lt;"&amp;$A2358+1)))</f>
        <v/>
      </c>
      <c r="AE2358">
        <f>IF($B2358=0,0,IF(Inputs!$B$7="",0,COUNTIFS(Data!$E$10:$E$3209,"&gt;="&amp;$A2358,Data!$E$10:$E$3209,"&lt;"&amp;$A2358+1)))</f>
        <v/>
      </c>
      <c r="AF2358">
        <f>IF($B2358=0,0,IF(Inputs!$B$8="",0,COUNTIFS(Data!$I$10:$I$3209,"&gt;="&amp;$A2358,Data!$I$10:$I$3209,"&lt;"&amp;$A2358+1)))</f>
        <v/>
      </c>
      <c r="AG2358">
        <f>IF($B2358=0,0,IF(Inputs!$B$9="",0,COUNTIFS(Data!$M$10:$M$3209,"&gt;="&amp;$A2358,Data!$M$10:$M$3209,"&lt;"&amp;$A2358+1)))</f>
        <v/>
      </c>
      <c r="AH2358">
        <f>IF($B2358=0,0,IF(Inputs!$B$10="",0,COUNTIFS(Data!$Q$10:$Q$3209,"&gt;="&amp;$A2358,Data!$Q$10:$Q$3209,"&lt;"&amp;$A2358+1)))</f>
        <v/>
      </c>
    </row>
    <row r="2359">
      <c r="A2359" s="55">
        <f>MIN(Inputs!$C$15,$A2358+IF(WEEKDAY($A2358,2)=5,3,1))</f>
        <v/>
      </c>
      <c r="B2359">
        <f>IF($A2359&gt;$A2358,1,0)</f>
        <v/>
      </c>
      <c r="C2359" s="56">
        <f>IF($B2359=0,"",IF(Inputs!$B$6="","",IF($AD2359=0,C2358,SUMIFS(Data!$B$10:$B$3209,Data!$A$10:$A$3209,"&gt;="&amp;$A2359,Data!$A$10:$A$3209,"&lt;"&amp;$A2359+1)/$AD2359)))</f>
        <v/>
      </c>
      <c r="D2359" s="56">
        <f>IF($B2359=0,"",IF(Inputs!$B$7="","",IF($AE2359=0,D2358,SUMIFS(Data!$F$10:$F$3209,Data!$E$10:$E$3209,"&gt;="&amp;$A2359,Data!$E$10:$E$3209,"&lt;"&amp;$A2359+1)/$AE2359)))</f>
        <v/>
      </c>
      <c r="E2359" s="56">
        <f>IF($B2359=0,"",IF(Inputs!$B$8="","",IF($AF2359=0,E2358,SUMIFS(Data!$J$10:$J$3209,Data!$I$10:$I$3209,"&gt;="&amp;$A2359,Data!$I$10:$I$3209,"&lt;"&amp;$A2359+1)/$AF2359)))</f>
        <v/>
      </c>
      <c r="F2359" s="56">
        <f>IF($B2359=0,"",IF(Inputs!$B$9="","",IF($AG2359=0,F2358,SUMIFS(Data!$N$10:$N$3209,Data!$M$10:$M$3209,"&gt;="&amp;$A2359,Data!$M$10:$M$3209,"&lt;"&amp;$A2359+1)/$AG2359)))</f>
        <v/>
      </c>
      <c r="G2359" s="56">
        <f>IF($B2359=0,"",IF(Inputs!$B$10="","",IF($AH2359=0,G2358,SUMIFS(Data!$R$10:$R$3209,Data!$Q$10:$Q$3209,"&gt;="&amp;$A2359,Data!$Q$10:$Q$3209,"&lt;"&amp;$A2359+1)/$AH2359)))</f>
        <v/>
      </c>
      <c r="I2359" s="54">
        <f>IF($B2359=0,NA(),IF($C2359="",NA(),IF(C$8="",NA(),IF(N(C$8)=0,NA(),IF(Inputs!$C$17="Rebased to 100",$C2359/C$8*100,$C2359)))))</f>
        <v/>
      </c>
      <c r="J2359" s="54">
        <f>IF($B2359=0,NA(),IF($D2359="",NA(),IF(D$8="",NA(),IF(N(D$8)=0,NA(),IF(Inputs!$C$17="Rebased to 100",$D2359/D$8*100,$D2359)))))</f>
        <v/>
      </c>
      <c r="K2359" s="54">
        <f>IF($B2359=0,NA(),IF($E2359="",NA(),IF(E$8="",NA(),IF(N(E$8)=0,NA(),IF(Inputs!$C$17="Rebased to 100",$E2359/E$8*100,$E2359)))))</f>
        <v/>
      </c>
      <c r="L2359" s="54">
        <f>IF($B2359=0,NA(),IF($F2359="",NA(),IF(F$8="",NA(),IF(N(F$8)=0,NA(),IF(Inputs!$C$17="Rebased to 100",$F2359/F$8*100,$F2359)))))</f>
        <v/>
      </c>
      <c r="M2359" s="54">
        <f>IF($B2359=0,NA(),IF($G2359="",NA(),IF(G$8="",NA(),IF(N(G$8)=0,NA(),IF(Inputs!$C$17="Rebased to 100",$G2359/G$8*100,$G2359)))))</f>
        <v/>
      </c>
      <c r="N2359" s="54">
        <f>IF($B2359=0,NA(),IF(Inputs!$C$18&lt;&gt;"Yes",NA(),IF(COUNT(I2359,J2359,K2359,L2359,M2359)=0,NA(),MIN(I2359,J2359,K2359,L2359,M2359))))</f>
        <v/>
      </c>
      <c r="O2359" s="54">
        <f>IF($B2359=0,NA(),IF(Inputs!$B$24&lt;&gt;"Yes",NA(),Inputs!$D$24*Inputs!$C$35))</f>
        <v/>
      </c>
      <c r="P2359" s="54">
        <f>IF($B2359=0,NA(),IF(Inputs!$B$25&lt;&gt;"Yes",NA(),Inputs!$D$25*Inputs!$C$35))</f>
        <v/>
      </c>
      <c r="Q2359" s="54">
        <f>IF($B2359=0,NA(),IF(Inputs!$B$26&lt;&gt;"Yes",NA(),Inputs!$D$26*Inputs!$C$35))</f>
        <v/>
      </c>
      <c r="R2359" s="54">
        <f>IF($B2359=0,NA(),IF(Inputs!$B$27&lt;&gt;"Yes",NA(),Inputs!$D$27*Inputs!$C$35))</f>
        <v/>
      </c>
      <c r="S2359" s="54">
        <f>IF($B2359=0,NA(),IF(Inputs!$B$28&lt;&gt;"Yes",NA(),Inputs!$D$28*Inputs!$C$35))</f>
        <v/>
      </c>
      <c r="T2359" s="54">
        <f>IF($B2359=0,NA(),IF(Inputs!$B$29&lt;&gt;"Yes",NA(),Inputs!$D$29*Inputs!$C$35))</f>
        <v/>
      </c>
      <c r="AD2359">
        <f>IF($B2359=0,0,IF(Inputs!$B$6="",0,COUNTIFS(Data!$A$10:$A$3209,"&gt;="&amp;$A2359,Data!$A$10:$A$3209,"&lt;"&amp;$A2359+1)))</f>
        <v/>
      </c>
      <c r="AE2359">
        <f>IF($B2359=0,0,IF(Inputs!$B$7="",0,COUNTIFS(Data!$E$10:$E$3209,"&gt;="&amp;$A2359,Data!$E$10:$E$3209,"&lt;"&amp;$A2359+1)))</f>
        <v/>
      </c>
      <c r="AF2359">
        <f>IF($B2359=0,0,IF(Inputs!$B$8="",0,COUNTIFS(Data!$I$10:$I$3209,"&gt;="&amp;$A2359,Data!$I$10:$I$3209,"&lt;"&amp;$A2359+1)))</f>
        <v/>
      </c>
      <c r="AG2359">
        <f>IF($B2359=0,0,IF(Inputs!$B$9="",0,COUNTIFS(Data!$M$10:$M$3209,"&gt;="&amp;$A2359,Data!$M$10:$M$3209,"&lt;"&amp;$A2359+1)))</f>
        <v/>
      </c>
      <c r="AH2359">
        <f>IF($B2359=0,0,IF(Inputs!$B$10="",0,COUNTIFS(Data!$Q$10:$Q$3209,"&gt;="&amp;$A2359,Data!$Q$10:$Q$3209,"&lt;"&amp;$A2359+1)))</f>
        <v/>
      </c>
    </row>
    <row r="2360">
      <c r="A2360" s="55">
        <f>MIN(Inputs!$C$15,$A2359+IF(WEEKDAY($A2359,2)=5,3,1))</f>
        <v/>
      </c>
      <c r="B2360">
        <f>IF($A2360&gt;$A2359,1,0)</f>
        <v/>
      </c>
      <c r="C2360" s="56">
        <f>IF($B2360=0,"",IF(Inputs!$B$6="","",IF($AD2360=0,C2359,SUMIFS(Data!$B$10:$B$3209,Data!$A$10:$A$3209,"&gt;="&amp;$A2360,Data!$A$10:$A$3209,"&lt;"&amp;$A2360+1)/$AD2360)))</f>
        <v/>
      </c>
      <c r="D2360" s="56">
        <f>IF($B2360=0,"",IF(Inputs!$B$7="","",IF($AE2360=0,D2359,SUMIFS(Data!$F$10:$F$3209,Data!$E$10:$E$3209,"&gt;="&amp;$A2360,Data!$E$10:$E$3209,"&lt;"&amp;$A2360+1)/$AE2360)))</f>
        <v/>
      </c>
      <c r="E2360" s="56">
        <f>IF($B2360=0,"",IF(Inputs!$B$8="","",IF($AF2360=0,E2359,SUMIFS(Data!$J$10:$J$3209,Data!$I$10:$I$3209,"&gt;="&amp;$A2360,Data!$I$10:$I$3209,"&lt;"&amp;$A2360+1)/$AF2360)))</f>
        <v/>
      </c>
      <c r="F2360" s="56">
        <f>IF($B2360=0,"",IF(Inputs!$B$9="","",IF($AG2360=0,F2359,SUMIFS(Data!$N$10:$N$3209,Data!$M$10:$M$3209,"&gt;="&amp;$A2360,Data!$M$10:$M$3209,"&lt;"&amp;$A2360+1)/$AG2360)))</f>
        <v/>
      </c>
      <c r="G2360" s="56">
        <f>IF($B2360=0,"",IF(Inputs!$B$10="","",IF($AH2360=0,G2359,SUMIFS(Data!$R$10:$R$3209,Data!$Q$10:$Q$3209,"&gt;="&amp;$A2360,Data!$Q$10:$Q$3209,"&lt;"&amp;$A2360+1)/$AH2360)))</f>
        <v/>
      </c>
      <c r="I2360" s="54">
        <f>IF($B2360=0,NA(),IF($C2360="",NA(),IF(C$8="",NA(),IF(N(C$8)=0,NA(),IF(Inputs!$C$17="Rebased to 100",$C2360/C$8*100,$C2360)))))</f>
        <v/>
      </c>
      <c r="J2360" s="54">
        <f>IF($B2360=0,NA(),IF($D2360="",NA(),IF(D$8="",NA(),IF(N(D$8)=0,NA(),IF(Inputs!$C$17="Rebased to 100",$D2360/D$8*100,$D2360)))))</f>
        <v/>
      </c>
      <c r="K2360" s="54">
        <f>IF($B2360=0,NA(),IF($E2360="",NA(),IF(E$8="",NA(),IF(N(E$8)=0,NA(),IF(Inputs!$C$17="Rebased to 100",$E2360/E$8*100,$E2360)))))</f>
        <v/>
      </c>
      <c r="L2360" s="54">
        <f>IF($B2360=0,NA(),IF($F2360="",NA(),IF(F$8="",NA(),IF(N(F$8)=0,NA(),IF(Inputs!$C$17="Rebased to 100",$F2360/F$8*100,$F2360)))))</f>
        <v/>
      </c>
      <c r="M2360" s="54">
        <f>IF($B2360=0,NA(),IF($G2360="",NA(),IF(G$8="",NA(),IF(N(G$8)=0,NA(),IF(Inputs!$C$17="Rebased to 100",$G2360/G$8*100,$G2360)))))</f>
        <v/>
      </c>
      <c r="N2360" s="54">
        <f>IF($B2360=0,NA(),IF(Inputs!$C$18&lt;&gt;"Yes",NA(),IF(COUNT(I2360,J2360,K2360,L2360,M2360)=0,NA(),MIN(I2360,J2360,K2360,L2360,M2360))))</f>
        <v/>
      </c>
      <c r="O2360" s="54">
        <f>IF($B2360=0,NA(),IF(Inputs!$B$24&lt;&gt;"Yes",NA(),Inputs!$D$24*Inputs!$C$35))</f>
        <v/>
      </c>
      <c r="P2360" s="54">
        <f>IF($B2360=0,NA(),IF(Inputs!$B$25&lt;&gt;"Yes",NA(),Inputs!$D$25*Inputs!$C$35))</f>
        <v/>
      </c>
      <c r="Q2360" s="54">
        <f>IF($B2360=0,NA(),IF(Inputs!$B$26&lt;&gt;"Yes",NA(),Inputs!$D$26*Inputs!$C$35))</f>
        <v/>
      </c>
      <c r="R2360" s="54">
        <f>IF($B2360=0,NA(),IF(Inputs!$B$27&lt;&gt;"Yes",NA(),Inputs!$D$27*Inputs!$C$35))</f>
        <v/>
      </c>
      <c r="S2360" s="54">
        <f>IF($B2360=0,NA(),IF(Inputs!$B$28&lt;&gt;"Yes",NA(),Inputs!$D$28*Inputs!$C$35))</f>
        <v/>
      </c>
      <c r="T2360" s="54">
        <f>IF($B2360=0,NA(),IF(Inputs!$B$29&lt;&gt;"Yes",NA(),Inputs!$D$29*Inputs!$C$35))</f>
        <v/>
      </c>
      <c r="AD2360">
        <f>IF($B2360=0,0,IF(Inputs!$B$6="",0,COUNTIFS(Data!$A$10:$A$3209,"&gt;="&amp;$A2360,Data!$A$10:$A$3209,"&lt;"&amp;$A2360+1)))</f>
        <v/>
      </c>
      <c r="AE2360">
        <f>IF($B2360=0,0,IF(Inputs!$B$7="",0,COUNTIFS(Data!$E$10:$E$3209,"&gt;="&amp;$A2360,Data!$E$10:$E$3209,"&lt;"&amp;$A2360+1)))</f>
        <v/>
      </c>
      <c r="AF2360">
        <f>IF($B2360=0,0,IF(Inputs!$B$8="",0,COUNTIFS(Data!$I$10:$I$3209,"&gt;="&amp;$A2360,Data!$I$10:$I$3209,"&lt;"&amp;$A2360+1)))</f>
        <v/>
      </c>
      <c r="AG2360">
        <f>IF($B2360=0,0,IF(Inputs!$B$9="",0,COUNTIFS(Data!$M$10:$M$3209,"&gt;="&amp;$A2360,Data!$M$10:$M$3209,"&lt;"&amp;$A2360+1)))</f>
        <v/>
      </c>
      <c r="AH2360">
        <f>IF($B2360=0,0,IF(Inputs!$B$10="",0,COUNTIFS(Data!$Q$10:$Q$3209,"&gt;="&amp;$A2360,Data!$Q$10:$Q$3209,"&lt;"&amp;$A2360+1)))</f>
        <v/>
      </c>
    </row>
    <row r="2361">
      <c r="A2361" s="55">
        <f>MIN(Inputs!$C$15,$A2360+IF(WEEKDAY($A2360,2)=5,3,1))</f>
        <v/>
      </c>
      <c r="B2361">
        <f>IF($A2361&gt;$A2360,1,0)</f>
        <v/>
      </c>
      <c r="C2361" s="56">
        <f>IF($B2361=0,"",IF(Inputs!$B$6="","",IF($AD2361=0,C2360,SUMIFS(Data!$B$10:$B$3209,Data!$A$10:$A$3209,"&gt;="&amp;$A2361,Data!$A$10:$A$3209,"&lt;"&amp;$A2361+1)/$AD2361)))</f>
        <v/>
      </c>
      <c r="D2361" s="56">
        <f>IF($B2361=0,"",IF(Inputs!$B$7="","",IF($AE2361=0,D2360,SUMIFS(Data!$F$10:$F$3209,Data!$E$10:$E$3209,"&gt;="&amp;$A2361,Data!$E$10:$E$3209,"&lt;"&amp;$A2361+1)/$AE2361)))</f>
        <v/>
      </c>
      <c r="E2361" s="56">
        <f>IF($B2361=0,"",IF(Inputs!$B$8="","",IF($AF2361=0,E2360,SUMIFS(Data!$J$10:$J$3209,Data!$I$10:$I$3209,"&gt;="&amp;$A2361,Data!$I$10:$I$3209,"&lt;"&amp;$A2361+1)/$AF2361)))</f>
        <v/>
      </c>
      <c r="F2361" s="56">
        <f>IF($B2361=0,"",IF(Inputs!$B$9="","",IF($AG2361=0,F2360,SUMIFS(Data!$N$10:$N$3209,Data!$M$10:$M$3209,"&gt;="&amp;$A2361,Data!$M$10:$M$3209,"&lt;"&amp;$A2361+1)/$AG2361)))</f>
        <v/>
      </c>
      <c r="G2361" s="56">
        <f>IF($B2361=0,"",IF(Inputs!$B$10="","",IF($AH2361=0,G2360,SUMIFS(Data!$R$10:$R$3209,Data!$Q$10:$Q$3209,"&gt;="&amp;$A2361,Data!$Q$10:$Q$3209,"&lt;"&amp;$A2361+1)/$AH2361)))</f>
        <v/>
      </c>
      <c r="I2361" s="54">
        <f>IF($B2361=0,NA(),IF($C2361="",NA(),IF(C$8="",NA(),IF(N(C$8)=0,NA(),IF(Inputs!$C$17="Rebased to 100",$C2361/C$8*100,$C2361)))))</f>
        <v/>
      </c>
      <c r="J2361" s="54">
        <f>IF($B2361=0,NA(),IF($D2361="",NA(),IF(D$8="",NA(),IF(N(D$8)=0,NA(),IF(Inputs!$C$17="Rebased to 100",$D2361/D$8*100,$D2361)))))</f>
        <v/>
      </c>
      <c r="K2361" s="54">
        <f>IF($B2361=0,NA(),IF($E2361="",NA(),IF(E$8="",NA(),IF(N(E$8)=0,NA(),IF(Inputs!$C$17="Rebased to 100",$E2361/E$8*100,$E2361)))))</f>
        <v/>
      </c>
      <c r="L2361" s="54">
        <f>IF($B2361=0,NA(),IF($F2361="",NA(),IF(F$8="",NA(),IF(N(F$8)=0,NA(),IF(Inputs!$C$17="Rebased to 100",$F2361/F$8*100,$F2361)))))</f>
        <v/>
      </c>
      <c r="M2361" s="54">
        <f>IF($B2361=0,NA(),IF($G2361="",NA(),IF(G$8="",NA(),IF(N(G$8)=0,NA(),IF(Inputs!$C$17="Rebased to 100",$G2361/G$8*100,$G2361)))))</f>
        <v/>
      </c>
      <c r="N2361" s="54">
        <f>IF($B2361=0,NA(),IF(Inputs!$C$18&lt;&gt;"Yes",NA(),IF(COUNT(I2361,J2361,K2361,L2361,M2361)=0,NA(),MIN(I2361,J2361,K2361,L2361,M2361))))</f>
        <v/>
      </c>
      <c r="O2361" s="54">
        <f>IF($B2361=0,NA(),IF(Inputs!$B$24&lt;&gt;"Yes",NA(),Inputs!$D$24*Inputs!$C$35))</f>
        <v/>
      </c>
      <c r="P2361" s="54">
        <f>IF($B2361=0,NA(),IF(Inputs!$B$25&lt;&gt;"Yes",NA(),Inputs!$D$25*Inputs!$C$35))</f>
        <v/>
      </c>
      <c r="Q2361" s="54">
        <f>IF($B2361=0,NA(),IF(Inputs!$B$26&lt;&gt;"Yes",NA(),Inputs!$D$26*Inputs!$C$35))</f>
        <v/>
      </c>
      <c r="R2361" s="54">
        <f>IF($B2361=0,NA(),IF(Inputs!$B$27&lt;&gt;"Yes",NA(),Inputs!$D$27*Inputs!$C$35))</f>
        <v/>
      </c>
      <c r="S2361" s="54">
        <f>IF($B2361=0,NA(),IF(Inputs!$B$28&lt;&gt;"Yes",NA(),Inputs!$D$28*Inputs!$C$35))</f>
        <v/>
      </c>
      <c r="T2361" s="54">
        <f>IF($B2361=0,NA(),IF(Inputs!$B$29&lt;&gt;"Yes",NA(),Inputs!$D$29*Inputs!$C$35))</f>
        <v/>
      </c>
      <c r="AD2361">
        <f>IF($B2361=0,0,IF(Inputs!$B$6="",0,COUNTIFS(Data!$A$10:$A$3209,"&gt;="&amp;$A2361,Data!$A$10:$A$3209,"&lt;"&amp;$A2361+1)))</f>
        <v/>
      </c>
      <c r="AE2361">
        <f>IF($B2361=0,0,IF(Inputs!$B$7="",0,COUNTIFS(Data!$E$10:$E$3209,"&gt;="&amp;$A2361,Data!$E$10:$E$3209,"&lt;"&amp;$A2361+1)))</f>
        <v/>
      </c>
      <c r="AF2361">
        <f>IF($B2361=0,0,IF(Inputs!$B$8="",0,COUNTIFS(Data!$I$10:$I$3209,"&gt;="&amp;$A2361,Data!$I$10:$I$3209,"&lt;"&amp;$A2361+1)))</f>
        <v/>
      </c>
      <c r="AG2361">
        <f>IF($B2361=0,0,IF(Inputs!$B$9="",0,COUNTIFS(Data!$M$10:$M$3209,"&gt;="&amp;$A2361,Data!$M$10:$M$3209,"&lt;"&amp;$A2361+1)))</f>
        <v/>
      </c>
      <c r="AH2361">
        <f>IF($B2361=0,0,IF(Inputs!$B$10="",0,COUNTIFS(Data!$Q$10:$Q$3209,"&gt;="&amp;$A2361,Data!$Q$10:$Q$3209,"&lt;"&amp;$A2361+1)))</f>
        <v/>
      </c>
    </row>
    <row r="2362">
      <c r="A2362" s="55">
        <f>MIN(Inputs!$C$15,$A2361+IF(WEEKDAY($A2361,2)=5,3,1))</f>
        <v/>
      </c>
      <c r="B2362">
        <f>IF($A2362&gt;$A2361,1,0)</f>
        <v/>
      </c>
      <c r="C2362" s="56">
        <f>IF($B2362=0,"",IF(Inputs!$B$6="","",IF($AD2362=0,C2361,SUMIFS(Data!$B$10:$B$3209,Data!$A$10:$A$3209,"&gt;="&amp;$A2362,Data!$A$10:$A$3209,"&lt;"&amp;$A2362+1)/$AD2362)))</f>
        <v/>
      </c>
      <c r="D2362" s="56">
        <f>IF($B2362=0,"",IF(Inputs!$B$7="","",IF($AE2362=0,D2361,SUMIFS(Data!$F$10:$F$3209,Data!$E$10:$E$3209,"&gt;="&amp;$A2362,Data!$E$10:$E$3209,"&lt;"&amp;$A2362+1)/$AE2362)))</f>
        <v/>
      </c>
      <c r="E2362" s="56">
        <f>IF($B2362=0,"",IF(Inputs!$B$8="","",IF($AF2362=0,E2361,SUMIFS(Data!$J$10:$J$3209,Data!$I$10:$I$3209,"&gt;="&amp;$A2362,Data!$I$10:$I$3209,"&lt;"&amp;$A2362+1)/$AF2362)))</f>
        <v/>
      </c>
      <c r="F2362" s="56">
        <f>IF($B2362=0,"",IF(Inputs!$B$9="","",IF($AG2362=0,F2361,SUMIFS(Data!$N$10:$N$3209,Data!$M$10:$M$3209,"&gt;="&amp;$A2362,Data!$M$10:$M$3209,"&lt;"&amp;$A2362+1)/$AG2362)))</f>
        <v/>
      </c>
      <c r="G2362" s="56">
        <f>IF($B2362=0,"",IF(Inputs!$B$10="","",IF($AH2362=0,G2361,SUMIFS(Data!$R$10:$R$3209,Data!$Q$10:$Q$3209,"&gt;="&amp;$A2362,Data!$Q$10:$Q$3209,"&lt;"&amp;$A2362+1)/$AH2362)))</f>
        <v/>
      </c>
      <c r="I2362" s="54">
        <f>IF($B2362=0,NA(),IF($C2362="",NA(),IF(C$8="",NA(),IF(N(C$8)=0,NA(),IF(Inputs!$C$17="Rebased to 100",$C2362/C$8*100,$C2362)))))</f>
        <v/>
      </c>
      <c r="J2362" s="54">
        <f>IF($B2362=0,NA(),IF($D2362="",NA(),IF(D$8="",NA(),IF(N(D$8)=0,NA(),IF(Inputs!$C$17="Rebased to 100",$D2362/D$8*100,$D2362)))))</f>
        <v/>
      </c>
      <c r="K2362" s="54">
        <f>IF($B2362=0,NA(),IF($E2362="",NA(),IF(E$8="",NA(),IF(N(E$8)=0,NA(),IF(Inputs!$C$17="Rebased to 100",$E2362/E$8*100,$E2362)))))</f>
        <v/>
      </c>
      <c r="L2362" s="54">
        <f>IF($B2362=0,NA(),IF($F2362="",NA(),IF(F$8="",NA(),IF(N(F$8)=0,NA(),IF(Inputs!$C$17="Rebased to 100",$F2362/F$8*100,$F2362)))))</f>
        <v/>
      </c>
      <c r="M2362" s="54">
        <f>IF($B2362=0,NA(),IF($G2362="",NA(),IF(G$8="",NA(),IF(N(G$8)=0,NA(),IF(Inputs!$C$17="Rebased to 100",$G2362/G$8*100,$G2362)))))</f>
        <v/>
      </c>
      <c r="N2362" s="54">
        <f>IF($B2362=0,NA(),IF(Inputs!$C$18&lt;&gt;"Yes",NA(),IF(COUNT(I2362,J2362,K2362,L2362,M2362)=0,NA(),MIN(I2362,J2362,K2362,L2362,M2362))))</f>
        <v/>
      </c>
      <c r="O2362" s="54">
        <f>IF($B2362=0,NA(),IF(Inputs!$B$24&lt;&gt;"Yes",NA(),Inputs!$D$24*Inputs!$C$35))</f>
        <v/>
      </c>
      <c r="P2362" s="54">
        <f>IF($B2362=0,NA(),IF(Inputs!$B$25&lt;&gt;"Yes",NA(),Inputs!$D$25*Inputs!$C$35))</f>
        <v/>
      </c>
      <c r="Q2362" s="54">
        <f>IF($B2362=0,NA(),IF(Inputs!$B$26&lt;&gt;"Yes",NA(),Inputs!$D$26*Inputs!$C$35))</f>
        <v/>
      </c>
      <c r="R2362" s="54">
        <f>IF($B2362=0,NA(),IF(Inputs!$B$27&lt;&gt;"Yes",NA(),Inputs!$D$27*Inputs!$C$35))</f>
        <v/>
      </c>
      <c r="S2362" s="54">
        <f>IF($B2362=0,NA(),IF(Inputs!$B$28&lt;&gt;"Yes",NA(),Inputs!$D$28*Inputs!$C$35))</f>
        <v/>
      </c>
      <c r="T2362" s="54">
        <f>IF($B2362=0,NA(),IF(Inputs!$B$29&lt;&gt;"Yes",NA(),Inputs!$D$29*Inputs!$C$35))</f>
        <v/>
      </c>
      <c r="AD2362">
        <f>IF($B2362=0,0,IF(Inputs!$B$6="",0,COUNTIFS(Data!$A$10:$A$3209,"&gt;="&amp;$A2362,Data!$A$10:$A$3209,"&lt;"&amp;$A2362+1)))</f>
        <v/>
      </c>
      <c r="AE2362">
        <f>IF($B2362=0,0,IF(Inputs!$B$7="",0,COUNTIFS(Data!$E$10:$E$3209,"&gt;="&amp;$A2362,Data!$E$10:$E$3209,"&lt;"&amp;$A2362+1)))</f>
        <v/>
      </c>
      <c r="AF2362">
        <f>IF($B2362=0,0,IF(Inputs!$B$8="",0,COUNTIFS(Data!$I$10:$I$3209,"&gt;="&amp;$A2362,Data!$I$10:$I$3209,"&lt;"&amp;$A2362+1)))</f>
        <v/>
      </c>
      <c r="AG2362">
        <f>IF($B2362=0,0,IF(Inputs!$B$9="",0,COUNTIFS(Data!$M$10:$M$3209,"&gt;="&amp;$A2362,Data!$M$10:$M$3209,"&lt;"&amp;$A2362+1)))</f>
        <v/>
      </c>
      <c r="AH2362">
        <f>IF($B2362=0,0,IF(Inputs!$B$10="",0,COUNTIFS(Data!$Q$10:$Q$3209,"&gt;="&amp;$A2362,Data!$Q$10:$Q$3209,"&lt;"&amp;$A2362+1)))</f>
        <v/>
      </c>
    </row>
    <row r="2363">
      <c r="A2363" s="55">
        <f>MIN(Inputs!$C$15,$A2362+IF(WEEKDAY($A2362,2)=5,3,1))</f>
        <v/>
      </c>
      <c r="B2363">
        <f>IF($A2363&gt;$A2362,1,0)</f>
        <v/>
      </c>
      <c r="C2363" s="56">
        <f>IF($B2363=0,"",IF(Inputs!$B$6="","",IF($AD2363=0,C2362,SUMIFS(Data!$B$10:$B$3209,Data!$A$10:$A$3209,"&gt;="&amp;$A2363,Data!$A$10:$A$3209,"&lt;"&amp;$A2363+1)/$AD2363)))</f>
        <v/>
      </c>
      <c r="D2363" s="56">
        <f>IF($B2363=0,"",IF(Inputs!$B$7="","",IF($AE2363=0,D2362,SUMIFS(Data!$F$10:$F$3209,Data!$E$10:$E$3209,"&gt;="&amp;$A2363,Data!$E$10:$E$3209,"&lt;"&amp;$A2363+1)/$AE2363)))</f>
        <v/>
      </c>
      <c r="E2363" s="56">
        <f>IF($B2363=0,"",IF(Inputs!$B$8="","",IF($AF2363=0,E2362,SUMIFS(Data!$J$10:$J$3209,Data!$I$10:$I$3209,"&gt;="&amp;$A2363,Data!$I$10:$I$3209,"&lt;"&amp;$A2363+1)/$AF2363)))</f>
        <v/>
      </c>
      <c r="F2363" s="56">
        <f>IF($B2363=0,"",IF(Inputs!$B$9="","",IF($AG2363=0,F2362,SUMIFS(Data!$N$10:$N$3209,Data!$M$10:$M$3209,"&gt;="&amp;$A2363,Data!$M$10:$M$3209,"&lt;"&amp;$A2363+1)/$AG2363)))</f>
        <v/>
      </c>
      <c r="G2363" s="56">
        <f>IF($B2363=0,"",IF(Inputs!$B$10="","",IF($AH2363=0,G2362,SUMIFS(Data!$R$10:$R$3209,Data!$Q$10:$Q$3209,"&gt;="&amp;$A2363,Data!$Q$10:$Q$3209,"&lt;"&amp;$A2363+1)/$AH2363)))</f>
        <v/>
      </c>
      <c r="I2363" s="54">
        <f>IF($B2363=0,NA(),IF($C2363="",NA(),IF(C$8="",NA(),IF(N(C$8)=0,NA(),IF(Inputs!$C$17="Rebased to 100",$C2363/C$8*100,$C2363)))))</f>
        <v/>
      </c>
      <c r="J2363" s="54">
        <f>IF($B2363=0,NA(),IF($D2363="",NA(),IF(D$8="",NA(),IF(N(D$8)=0,NA(),IF(Inputs!$C$17="Rebased to 100",$D2363/D$8*100,$D2363)))))</f>
        <v/>
      </c>
      <c r="K2363" s="54">
        <f>IF($B2363=0,NA(),IF($E2363="",NA(),IF(E$8="",NA(),IF(N(E$8)=0,NA(),IF(Inputs!$C$17="Rebased to 100",$E2363/E$8*100,$E2363)))))</f>
        <v/>
      </c>
      <c r="L2363" s="54">
        <f>IF($B2363=0,NA(),IF($F2363="",NA(),IF(F$8="",NA(),IF(N(F$8)=0,NA(),IF(Inputs!$C$17="Rebased to 100",$F2363/F$8*100,$F2363)))))</f>
        <v/>
      </c>
      <c r="M2363" s="54">
        <f>IF($B2363=0,NA(),IF($G2363="",NA(),IF(G$8="",NA(),IF(N(G$8)=0,NA(),IF(Inputs!$C$17="Rebased to 100",$G2363/G$8*100,$G2363)))))</f>
        <v/>
      </c>
      <c r="N2363" s="54">
        <f>IF($B2363=0,NA(),IF(Inputs!$C$18&lt;&gt;"Yes",NA(),IF(COUNT(I2363,J2363,K2363,L2363,M2363)=0,NA(),MIN(I2363,J2363,K2363,L2363,M2363))))</f>
        <v/>
      </c>
      <c r="O2363" s="54">
        <f>IF($B2363=0,NA(),IF(Inputs!$B$24&lt;&gt;"Yes",NA(),Inputs!$D$24*Inputs!$C$35))</f>
        <v/>
      </c>
      <c r="P2363" s="54">
        <f>IF($B2363=0,NA(),IF(Inputs!$B$25&lt;&gt;"Yes",NA(),Inputs!$D$25*Inputs!$C$35))</f>
        <v/>
      </c>
      <c r="Q2363" s="54">
        <f>IF($B2363=0,NA(),IF(Inputs!$B$26&lt;&gt;"Yes",NA(),Inputs!$D$26*Inputs!$C$35))</f>
        <v/>
      </c>
      <c r="R2363" s="54">
        <f>IF($B2363=0,NA(),IF(Inputs!$B$27&lt;&gt;"Yes",NA(),Inputs!$D$27*Inputs!$C$35))</f>
        <v/>
      </c>
      <c r="S2363" s="54">
        <f>IF($B2363=0,NA(),IF(Inputs!$B$28&lt;&gt;"Yes",NA(),Inputs!$D$28*Inputs!$C$35))</f>
        <v/>
      </c>
      <c r="T2363" s="54">
        <f>IF($B2363=0,NA(),IF(Inputs!$B$29&lt;&gt;"Yes",NA(),Inputs!$D$29*Inputs!$C$35))</f>
        <v/>
      </c>
      <c r="AD2363">
        <f>IF($B2363=0,0,IF(Inputs!$B$6="",0,COUNTIFS(Data!$A$10:$A$3209,"&gt;="&amp;$A2363,Data!$A$10:$A$3209,"&lt;"&amp;$A2363+1)))</f>
        <v/>
      </c>
      <c r="AE2363">
        <f>IF($B2363=0,0,IF(Inputs!$B$7="",0,COUNTIFS(Data!$E$10:$E$3209,"&gt;="&amp;$A2363,Data!$E$10:$E$3209,"&lt;"&amp;$A2363+1)))</f>
        <v/>
      </c>
      <c r="AF2363">
        <f>IF($B2363=0,0,IF(Inputs!$B$8="",0,COUNTIFS(Data!$I$10:$I$3209,"&gt;="&amp;$A2363,Data!$I$10:$I$3209,"&lt;"&amp;$A2363+1)))</f>
        <v/>
      </c>
      <c r="AG2363">
        <f>IF($B2363=0,0,IF(Inputs!$B$9="",0,COUNTIFS(Data!$M$10:$M$3209,"&gt;="&amp;$A2363,Data!$M$10:$M$3209,"&lt;"&amp;$A2363+1)))</f>
        <v/>
      </c>
      <c r="AH2363">
        <f>IF($B2363=0,0,IF(Inputs!$B$10="",0,COUNTIFS(Data!$Q$10:$Q$3209,"&gt;="&amp;$A2363,Data!$Q$10:$Q$3209,"&lt;"&amp;$A2363+1)))</f>
        <v/>
      </c>
    </row>
    <row r="2364">
      <c r="A2364" s="55">
        <f>MIN(Inputs!$C$15,$A2363+IF(WEEKDAY($A2363,2)=5,3,1))</f>
        <v/>
      </c>
      <c r="B2364">
        <f>IF($A2364&gt;$A2363,1,0)</f>
        <v/>
      </c>
      <c r="C2364" s="56">
        <f>IF($B2364=0,"",IF(Inputs!$B$6="","",IF($AD2364=0,C2363,SUMIFS(Data!$B$10:$B$3209,Data!$A$10:$A$3209,"&gt;="&amp;$A2364,Data!$A$10:$A$3209,"&lt;"&amp;$A2364+1)/$AD2364)))</f>
        <v/>
      </c>
      <c r="D2364" s="56">
        <f>IF($B2364=0,"",IF(Inputs!$B$7="","",IF($AE2364=0,D2363,SUMIFS(Data!$F$10:$F$3209,Data!$E$10:$E$3209,"&gt;="&amp;$A2364,Data!$E$10:$E$3209,"&lt;"&amp;$A2364+1)/$AE2364)))</f>
        <v/>
      </c>
      <c r="E2364" s="56">
        <f>IF($B2364=0,"",IF(Inputs!$B$8="","",IF($AF2364=0,E2363,SUMIFS(Data!$J$10:$J$3209,Data!$I$10:$I$3209,"&gt;="&amp;$A2364,Data!$I$10:$I$3209,"&lt;"&amp;$A2364+1)/$AF2364)))</f>
        <v/>
      </c>
      <c r="F2364" s="56">
        <f>IF($B2364=0,"",IF(Inputs!$B$9="","",IF($AG2364=0,F2363,SUMIFS(Data!$N$10:$N$3209,Data!$M$10:$M$3209,"&gt;="&amp;$A2364,Data!$M$10:$M$3209,"&lt;"&amp;$A2364+1)/$AG2364)))</f>
        <v/>
      </c>
      <c r="G2364" s="56">
        <f>IF($B2364=0,"",IF(Inputs!$B$10="","",IF($AH2364=0,G2363,SUMIFS(Data!$R$10:$R$3209,Data!$Q$10:$Q$3209,"&gt;="&amp;$A2364,Data!$Q$10:$Q$3209,"&lt;"&amp;$A2364+1)/$AH2364)))</f>
        <v/>
      </c>
      <c r="I2364" s="54">
        <f>IF($B2364=0,NA(),IF($C2364="",NA(),IF(C$8="",NA(),IF(N(C$8)=0,NA(),IF(Inputs!$C$17="Rebased to 100",$C2364/C$8*100,$C2364)))))</f>
        <v/>
      </c>
      <c r="J2364" s="54">
        <f>IF($B2364=0,NA(),IF($D2364="",NA(),IF(D$8="",NA(),IF(N(D$8)=0,NA(),IF(Inputs!$C$17="Rebased to 100",$D2364/D$8*100,$D2364)))))</f>
        <v/>
      </c>
      <c r="K2364" s="54">
        <f>IF($B2364=0,NA(),IF($E2364="",NA(),IF(E$8="",NA(),IF(N(E$8)=0,NA(),IF(Inputs!$C$17="Rebased to 100",$E2364/E$8*100,$E2364)))))</f>
        <v/>
      </c>
      <c r="L2364" s="54">
        <f>IF($B2364=0,NA(),IF($F2364="",NA(),IF(F$8="",NA(),IF(N(F$8)=0,NA(),IF(Inputs!$C$17="Rebased to 100",$F2364/F$8*100,$F2364)))))</f>
        <v/>
      </c>
      <c r="M2364" s="54">
        <f>IF($B2364=0,NA(),IF($G2364="",NA(),IF(G$8="",NA(),IF(N(G$8)=0,NA(),IF(Inputs!$C$17="Rebased to 100",$G2364/G$8*100,$G2364)))))</f>
        <v/>
      </c>
      <c r="N2364" s="54">
        <f>IF($B2364=0,NA(),IF(Inputs!$C$18&lt;&gt;"Yes",NA(),IF(COUNT(I2364,J2364,K2364,L2364,M2364)=0,NA(),MIN(I2364,J2364,K2364,L2364,M2364))))</f>
        <v/>
      </c>
      <c r="O2364" s="54">
        <f>IF($B2364=0,NA(),IF(Inputs!$B$24&lt;&gt;"Yes",NA(),Inputs!$D$24*Inputs!$C$35))</f>
        <v/>
      </c>
      <c r="P2364" s="54">
        <f>IF($B2364=0,NA(),IF(Inputs!$B$25&lt;&gt;"Yes",NA(),Inputs!$D$25*Inputs!$C$35))</f>
        <v/>
      </c>
      <c r="Q2364" s="54">
        <f>IF($B2364=0,NA(),IF(Inputs!$B$26&lt;&gt;"Yes",NA(),Inputs!$D$26*Inputs!$C$35))</f>
        <v/>
      </c>
      <c r="R2364" s="54">
        <f>IF($B2364=0,NA(),IF(Inputs!$B$27&lt;&gt;"Yes",NA(),Inputs!$D$27*Inputs!$C$35))</f>
        <v/>
      </c>
      <c r="S2364" s="54">
        <f>IF($B2364=0,NA(),IF(Inputs!$B$28&lt;&gt;"Yes",NA(),Inputs!$D$28*Inputs!$C$35))</f>
        <v/>
      </c>
      <c r="T2364" s="54">
        <f>IF($B2364=0,NA(),IF(Inputs!$B$29&lt;&gt;"Yes",NA(),Inputs!$D$29*Inputs!$C$35))</f>
        <v/>
      </c>
      <c r="AD2364">
        <f>IF($B2364=0,0,IF(Inputs!$B$6="",0,COUNTIFS(Data!$A$10:$A$3209,"&gt;="&amp;$A2364,Data!$A$10:$A$3209,"&lt;"&amp;$A2364+1)))</f>
        <v/>
      </c>
      <c r="AE2364">
        <f>IF($B2364=0,0,IF(Inputs!$B$7="",0,COUNTIFS(Data!$E$10:$E$3209,"&gt;="&amp;$A2364,Data!$E$10:$E$3209,"&lt;"&amp;$A2364+1)))</f>
        <v/>
      </c>
      <c r="AF2364">
        <f>IF($B2364=0,0,IF(Inputs!$B$8="",0,COUNTIFS(Data!$I$10:$I$3209,"&gt;="&amp;$A2364,Data!$I$10:$I$3209,"&lt;"&amp;$A2364+1)))</f>
        <v/>
      </c>
      <c r="AG2364">
        <f>IF($B2364=0,0,IF(Inputs!$B$9="",0,COUNTIFS(Data!$M$10:$M$3209,"&gt;="&amp;$A2364,Data!$M$10:$M$3209,"&lt;"&amp;$A2364+1)))</f>
        <v/>
      </c>
      <c r="AH2364">
        <f>IF($B2364=0,0,IF(Inputs!$B$10="",0,COUNTIFS(Data!$Q$10:$Q$3209,"&gt;="&amp;$A2364,Data!$Q$10:$Q$3209,"&lt;"&amp;$A2364+1)))</f>
        <v/>
      </c>
    </row>
    <row r="2365">
      <c r="A2365" s="55">
        <f>MIN(Inputs!$C$15,$A2364+IF(WEEKDAY($A2364,2)=5,3,1))</f>
        <v/>
      </c>
      <c r="B2365">
        <f>IF($A2365&gt;$A2364,1,0)</f>
        <v/>
      </c>
      <c r="C2365" s="56">
        <f>IF($B2365=0,"",IF(Inputs!$B$6="","",IF($AD2365=0,C2364,SUMIFS(Data!$B$10:$B$3209,Data!$A$10:$A$3209,"&gt;="&amp;$A2365,Data!$A$10:$A$3209,"&lt;"&amp;$A2365+1)/$AD2365)))</f>
        <v/>
      </c>
      <c r="D2365" s="56">
        <f>IF($B2365=0,"",IF(Inputs!$B$7="","",IF($AE2365=0,D2364,SUMIFS(Data!$F$10:$F$3209,Data!$E$10:$E$3209,"&gt;="&amp;$A2365,Data!$E$10:$E$3209,"&lt;"&amp;$A2365+1)/$AE2365)))</f>
        <v/>
      </c>
      <c r="E2365" s="56">
        <f>IF($B2365=0,"",IF(Inputs!$B$8="","",IF($AF2365=0,E2364,SUMIFS(Data!$J$10:$J$3209,Data!$I$10:$I$3209,"&gt;="&amp;$A2365,Data!$I$10:$I$3209,"&lt;"&amp;$A2365+1)/$AF2365)))</f>
        <v/>
      </c>
      <c r="F2365" s="56">
        <f>IF($B2365=0,"",IF(Inputs!$B$9="","",IF($AG2365=0,F2364,SUMIFS(Data!$N$10:$N$3209,Data!$M$10:$M$3209,"&gt;="&amp;$A2365,Data!$M$10:$M$3209,"&lt;"&amp;$A2365+1)/$AG2365)))</f>
        <v/>
      </c>
      <c r="G2365" s="56">
        <f>IF($B2365=0,"",IF(Inputs!$B$10="","",IF($AH2365=0,G2364,SUMIFS(Data!$R$10:$R$3209,Data!$Q$10:$Q$3209,"&gt;="&amp;$A2365,Data!$Q$10:$Q$3209,"&lt;"&amp;$A2365+1)/$AH2365)))</f>
        <v/>
      </c>
      <c r="I2365" s="54">
        <f>IF($B2365=0,NA(),IF($C2365="",NA(),IF(C$8="",NA(),IF(N(C$8)=0,NA(),IF(Inputs!$C$17="Rebased to 100",$C2365/C$8*100,$C2365)))))</f>
        <v/>
      </c>
      <c r="J2365" s="54">
        <f>IF($B2365=0,NA(),IF($D2365="",NA(),IF(D$8="",NA(),IF(N(D$8)=0,NA(),IF(Inputs!$C$17="Rebased to 100",$D2365/D$8*100,$D2365)))))</f>
        <v/>
      </c>
      <c r="K2365" s="54">
        <f>IF($B2365=0,NA(),IF($E2365="",NA(),IF(E$8="",NA(),IF(N(E$8)=0,NA(),IF(Inputs!$C$17="Rebased to 100",$E2365/E$8*100,$E2365)))))</f>
        <v/>
      </c>
      <c r="L2365" s="54">
        <f>IF($B2365=0,NA(),IF($F2365="",NA(),IF(F$8="",NA(),IF(N(F$8)=0,NA(),IF(Inputs!$C$17="Rebased to 100",$F2365/F$8*100,$F2365)))))</f>
        <v/>
      </c>
      <c r="M2365" s="54">
        <f>IF($B2365=0,NA(),IF($G2365="",NA(),IF(G$8="",NA(),IF(N(G$8)=0,NA(),IF(Inputs!$C$17="Rebased to 100",$G2365/G$8*100,$G2365)))))</f>
        <v/>
      </c>
      <c r="N2365" s="54">
        <f>IF($B2365=0,NA(),IF(Inputs!$C$18&lt;&gt;"Yes",NA(),IF(COUNT(I2365,J2365,K2365,L2365,M2365)=0,NA(),MIN(I2365,J2365,K2365,L2365,M2365))))</f>
        <v/>
      </c>
      <c r="O2365" s="54">
        <f>IF($B2365=0,NA(),IF(Inputs!$B$24&lt;&gt;"Yes",NA(),Inputs!$D$24*Inputs!$C$35))</f>
        <v/>
      </c>
      <c r="P2365" s="54">
        <f>IF($B2365=0,NA(),IF(Inputs!$B$25&lt;&gt;"Yes",NA(),Inputs!$D$25*Inputs!$C$35))</f>
        <v/>
      </c>
      <c r="Q2365" s="54">
        <f>IF($B2365=0,NA(),IF(Inputs!$B$26&lt;&gt;"Yes",NA(),Inputs!$D$26*Inputs!$C$35))</f>
        <v/>
      </c>
      <c r="R2365" s="54">
        <f>IF($B2365=0,NA(),IF(Inputs!$B$27&lt;&gt;"Yes",NA(),Inputs!$D$27*Inputs!$C$35))</f>
        <v/>
      </c>
      <c r="S2365" s="54">
        <f>IF($B2365=0,NA(),IF(Inputs!$B$28&lt;&gt;"Yes",NA(),Inputs!$D$28*Inputs!$C$35))</f>
        <v/>
      </c>
      <c r="T2365" s="54">
        <f>IF($B2365=0,NA(),IF(Inputs!$B$29&lt;&gt;"Yes",NA(),Inputs!$D$29*Inputs!$C$35))</f>
        <v/>
      </c>
      <c r="AD2365">
        <f>IF($B2365=0,0,IF(Inputs!$B$6="",0,COUNTIFS(Data!$A$10:$A$3209,"&gt;="&amp;$A2365,Data!$A$10:$A$3209,"&lt;"&amp;$A2365+1)))</f>
        <v/>
      </c>
      <c r="AE2365">
        <f>IF($B2365=0,0,IF(Inputs!$B$7="",0,COUNTIFS(Data!$E$10:$E$3209,"&gt;="&amp;$A2365,Data!$E$10:$E$3209,"&lt;"&amp;$A2365+1)))</f>
        <v/>
      </c>
      <c r="AF2365">
        <f>IF($B2365=0,0,IF(Inputs!$B$8="",0,COUNTIFS(Data!$I$10:$I$3209,"&gt;="&amp;$A2365,Data!$I$10:$I$3209,"&lt;"&amp;$A2365+1)))</f>
        <v/>
      </c>
      <c r="AG2365">
        <f>IF($B2365=0,0,IF(Inputs!$B$9="",0,COUNTIFS(Data!$M$10:$M$3209,"&gt;="&amp;$A2365,Data!$M$10:$M$3209,"&lt;"&amp;$A2365+1)))</f>
        <v/>
      </c>
      <c r="AH2365">
        <f>IF($B2365=0,0,IF(Inputs!$B$10="",0,COUNTIFS(Data!$Q$10:$Q$3209,"&gt;="&amp;$A2365,Data!$Q$10:$Q$3209,"&lt;"&amp;$A2365+1)))</f>
        <v/>
      </c>
    </row>
    <row r="2366">
      <c r="A2366" s="55">
        <f>MIN(Inputs!$C$15,$A2365+IF(WEEKDAY($A2365,2)=5,3,1))</f>
        <v/>
      </c>
      <c r="B2366">
        <f>IF($A2366&gt;$A2365,1,0)</f>
        <v/>
      </c>
      <c r="C2366" s="56">
        <f>IF($B2366=0,"",IF(Inputs!$B$6="","",IF($AD2366=0,C2365,SUMIFS(Data!$B$10:$B$3209,Data!$A$10:$A$3209,"&gt;="&amp;$A2366,Data!$A$10:$A$3209,"&lt;"&amp;$A2366+1)/$AD2366)))</f>
        <v/>
      </c>
      <c r="D2366" s="56">
        <f>IF($B2366=0,"",IF(Inputs!$B$7="","",IF($AE2366=0,D2365,SUMIFS(Data!$F$10:$F$3209,Data!$E$10:$E$3209,"&gt;="&amp;$A2366,Data!$E$10:$E$3209,"&lt;"&amp;$A2366+1)/$AE2366)))</f>
        <v/>
      </c>
      <c r="E2366" s="56">
        <f>IF($B2366=0,"",IF(Inputs!$B$8="","",IF($AF2366=0,E2365,SUMIFS(Data!$J$10:$J$3209,Data!$I$10:$I$3209,"&gt;="&amp;$A2366,Data!$I$10:$I$3209,"&lt;"&amp;$A2366+1)/$AF2366)))</f>
        <v/>
      </c>
      <c r="F2366" s="56">
        <f>IF($B2366=0,"",IF(Inputs!$B$9="","",IF($AG2366=0,F2365,SUMIFS(Data!$N$10:$N$3209,Data!$M$10:$M$3209,"&gt;="&amp;$A2366,Data!$M$10:$M$3209,"&lt;"&amp;$A2366+1)/$AG2366)))</f>
        <v/>
      </c>
      <c r="G2366" s="56">
        <f>IF($B2366=0,"",IF(Inputs!$B$10="","",IF($AH2366=0,G2365,SUMIFS(Data!$R$10:$R$3209,Data!$Q$10:$Q$3209,"&gt;="&amp;$A2366,Data!$Q$10:$Q$3209,"&lt;"&amp;$A2366+1)/$AH2366)))</f>
        <v/>
      </c>
      <c r="I2366" s="54">
        <f>IF($B2366=0,NA(),IF($C2366="",NA(),IF(C$8="",NA(),IF(N(C$8)=0,NA(),IF(Inputs!$C$17="Rebased to 100",$C2366/C$8*100,$C2366)))))</f>
        <v/>
      </c>
      <c r="J2366" s="54">
        <f>IF($B2366=0,NA(),IF($D2366="",NA(),IF(D$8="",NA(),IF(N(D$8)=0,NA(),IF(Inputs!$C$17="Rebased to 100",$D2366/D$8*100,$D2366)))))</f>
        <v/>
      </c>
      <c r="K2366" s="54">
        <f>IF($B2366=0,NA(),IF($E2366="",NA(),IF(E$8="",NA(),IF(N(E$8)=0,NA(),IF(Inputs!$C$17="Rebased to 100",$E2366/E$8*100,$E2366)))))</f>
        <v/>
      </c>
      <c r="L2366" s="54">
        <f>IF($B2366=0,NA(),IF($F2366="",NA(),IF(F$8="",NA(),IF(N(F$8)=0,NA(),IF(Inputs!$C$17="Rebased to 100",$F2366/F$8*100,$F2366)))))</f>
        <v/>
      </c>
      <c r="M2366" s="54">
        <f>IF($B2366=0,NA(),IF($G2366="",NA(),IF(G$8="",NA(),IF(N(G$8)=0,NA(),IF(Inputs!$C$17="Rebased to 100",$G2366/G$8*100,$G2366)))))</f>
        <v/>
      </c>
      <c r="N2366" s="54">
        <f>IF($B2366=0,NA(),IF(Inputs!$C$18&lt;&gt;"Yes",NA(),IF(COUNT(I2366,J2366,K2366,L2366,M2366)=0,NA(),MIN(I2366,J2366,K2366,L2366,M2366))))</f>
        <v/>
      </c>
      <c r="O2366" s="54">
        <f>IF($B2366=0,NA(),IF(Inputs!$B$24&lt;&gt;"Yes",NA(),Inputs!$D$24*Inputs!$C$35))</f>
        <v/>
      </c>
      <c r="P2366" s="54">
        <f>IF($B2366=0,NA(),IF(Inputs!$B$25&lt;&gt;"Yes",NA(),Inputs!$D$25*Inputs!$C$35))</f>
        <v/>
      </c>
      <c r="Q2366" s="54">
        <f>IF($B2366=0,NA(),IF(Inputs!$B$26&lt;&gt;"Yes",NA(),Inputs!$D$26*Inputs!$C$35))</f>
        <v/>
      </c>
      <c r="R2366" s="54">
        <f>IF($B2366=0,NA(),IF(Inputs!$B$27&lt;&gt;"Yes",NA(),Inputs!$D$27*Inputs!$C$35))</f>
        <v/>
      </c>
      <c r="S2366" s="54">
        <f>IF($B2366=0,NA(),IF(Inputs!$B$28&lt;&gt;"Yes",NA(),Inputs!$D$28*Inputs!$C$35))</f>
        <v/>
      </c>
      <c r="T2366" s="54">
        <f>IF($B2366=0,NA(),IF(Inputs!$B$29&lt;&gt;"Yes",NA(),Inputs!$D$29*Inputs!$C$35))</f>
        <v/>
      </c>
      <c r="AD2366">
        <f>IF($B2366=0,0,IF(Inputs!$B$6="",0,COUNTIFS(Data!$A$10:$A$3209,"&gt;="&amp;$A2366,Data!$A$10:$A$3209,"&lt;"&amp;$A2366+1)))</f>
        <v/>
      </c>
      <c r="AE2366">
        <f>IF($B2366=0,0,IF(Inputs!$B$7="",0,COUNTIFS(Data!$E$10:$E$3209,"&gt;="&amp;$A2366,Data!$E$10:$E$3209,"&lt;"&amp;$A2366+1)))</f>
        <v/>
      </c>
      <c r="AF2366">
        <f>IF($B2366=0,0,IF(Inputs!$B$8="",0,COUNTIFS(Data!$I$10:$I$3209,"&gt;="&amp;$A2366,Data!$I$10:$I$3209,"&lt;"&amp;$A2366+1)))</f>
        <v/>
      </c>
      <c r="AG2366">
        <f>IF($B2366=0,0,IF(Inputs!$B$9="",0,COUNTIFS(Data!$M$10:$M$3209,"&gt;="&amp;$A2366,Data!$M$10:$M$3209,"&lt;"&amp;$A2366+1)))</f>
        <v/>
      </c>
      <c r="AH2366">
        <f>IF($B2366=0,0,IF(Inputs!$B$10="",0,COUNTIFS(Data!$Q$10:$Q$3209,"&gt;="&amp;$A2366,Data!$Q$10:$Q$3209,"&lt;"&amp;$A2366+1)))</f>
        <v/>
      </c>
    </row>
    <row r="2367">
      <c r="A2367" s="55">
        <f>MIN(Inputs!$C$15,$A2366+IF(WEEKDAY($A2366,2)=5,3,1))</f>
        <v/>
      </c>
      <c r="B2367">
        <f>IF($A2367&gt;$A2366,1,0)</f>
        <v/>
      </c>
      <c r="C2367" s="56">
        <f>IF($B2367=0,"",IF(Inputs!$B$6="","",IF($AD2367=0,C2366,SUMIFS(Data!$B$10:$B$3209,Data!$A$10:$A$3209,"&gt;="&amp;$A2367,Data!$A$10:$A$3209,"&lt;"&amp;$A2367+1)/$AD2367)))</f>
        <v/>
      </c>
      <c r="D2367" s="56">
        <f>IF($B2367=0,"",IF(Inputs!$B$7="","",IF($AE2367=0,D2366,SUMIFS(Data!$F$10:$F$3209,Data!$E$10:$E$3209,"&gt;="&amp;$A2367,Data!$E$10:$E$3209,"&lt;"&amp;$A2367+1)/$AE2367)))</f>
        <v/>
      </c>
      <c r="E2367" s="56">
        <f>IF($B2367=0,"",IF(Inputs!$B$8="","",IF($AF2367=0,E2366,SUMIFS(Data!$J$10:$J$3209,Data!$I$10:$I$3209,"&gt;="&amp;$A2367,Data!$I$10:$I$3209,"&lt;"&amp;$A2367+1)/$AF2367)))</f>
        <v/>
      </c>
      <c r="F2367" s="56">
        <f>IF($B2367=0,"",IF(Inputs!$B$9="","",IF($AG2367=0,F2366,SUMIFS(Data!$N$10:$N$3209,Data!$M$10:$M$3209,"&gt;="&amp;$A2367,Data!$M$10:$M$3209,"&lt;"&amp;$A2367+1)/$AG2367)))</f>
        <v/>
      </c>
      <c r="G2367" s="56">
        <f>IF($B2367=0,"",IF(Inputs!$B$10="","",IF($AH2367=0,G2366,SUMIFS(Data!$R$10:$R$3209,Data!$Q$10:$Q$3209,"&gt;="&amp;$A2367,Data!$Q$10:$Q$3209,"&lt;"&amp;$A2367+1)/$AH2367)))</f>
        <v/>
      </c>
      <c r="I2367" s="54">
        <f>IF($B2367=0,NA(),IF($C2367="",NA(),IF(C$8="",NA(),IF(N(C$8)=0,NA(),IF(Inputs!$C$17="Rebased to 100",$C2367/C$8*100,$C2367)))))</f>
        <v/>
      </c>
      <c r="J2367" s="54">
        <f>IF($B2367=0,NA(),IF($D2367="",NA(),IF(D$8="",NA(),IF(N(D$8)=0,NA(),IF(Inputs!$C$17="Rebased to 100",$D2367/D$8*100,$D2367)))))</f>
        <v/>
      </c>
      <c r="K2367" s="54">
        <f>IF($B2367=0,NA(),IF($E2367="",NA(),IF(E$8="",NA(),IF(N(E$8)=0,NA(),IF(Inputs!$C$17="Rebased to 100",$E2367/E$8*100,$E2367)))))</f>
        <v/>
      </c>
      <c r="L2367" s="54">
        <f>IF($B2367=0,NA(),IF($F2367="",NA(),IF(F$8="",NA(),IF(N(F$8)=0,NA(),IF(Inputs!$C$17="Rebased to 100",$F2367/F$8*100,$F2367)))))</f>
        <v/>
      </c>
      <c r="M2367" s="54">
        <f>IF($B2367=0,NA(),IF($G2367="",NA(),IF(G$8="",NA(),IF(N(G$8)=0,NA(),IF(Inputs!$C$17="Rebased to 100",$G2367/G$8*100,$G2367)))))</f>
        <v/>
      </c>
      <c r="N2367" s="54">
        <f>IF($B2367=0,NA(),IF(Inputs!$C$18&lt;&gt;"Yes",NA(),IF(COUNT(I2367,J2367,K2367,L2367,M2367)=0,NA(),MIN(I2367,J2367,K2367,L2367,M2367))))</f>
        <v/>
      </c>
      <c r="O2367" s="54">
        <f>IF($B2367=0,NA(),IF(Inputs!$B$24&lt;&gt;"Yes",NA(),Inputs!$D$24*Inputs!$C$35))</f>
        <v/>
      </c>
      <c r="P2367" s="54">
        <f>IF($B2367=0,NA(),IF(Inputs!$B$25&lt;&gt;"Yes",NA(),Inputs!$D$25*Inputs!$C$35))</f>
        <v/>
      </c>
      <c r="Q2367" s="54">
        <f>IF($B2367=0,NA(),IF(Inputs!$B$26&lt;&gt;"Yes",NA(),Inputs!$D$26*Inputs!$C$35))</f>
        <v/>
      </c>
      <c r="R2367" s="54">
        <f>IF($B2367=0,NA(),IF(Inputs!$B$27&lt;&gt;"Yes",NA(),Inputs!$D$27*Inputs!$C$35))</f>
        <v/>
      </c>
      <c r="S2367" s="54">
        <f>IF($B2367=0,NA(),IF(Inputs!$B$28&lt;&gt;"Yes",NA(),Inputs!$D$28*Inputs!$C$35))</f>
        <v/>
      </c>
      <c r="T2367" s="54">
        <f>IF($B2367=0,NA(),IF(Inputs!$B$29&lt;&gt;"Yes",NA(),Inputs!$D$29*Inputs!$C$35))</f>
        <v/>
      </c>
      <c r="AD2367">
        <f>IF($B2367=0,0,IF(Inputs!$B$6="",0,COUNTIFS(Data!$A$10:$A$3209,"&gt;="&amp;$A2367,Data!$A$10:$A$3209,"&lt;"&amp;$A2367+1)))</f>
        <v/>
      </c>
      <c r="AE2367">
        <f>IF($B2367=0,0,IF(Inputs!$B$7="",0,COUNTIFS(Data!$E$10:$E$3209,"&gt;="&amp;$A2367,Data!$E$10:$E$3209,"&lt;"&amp;$A2367+1)))</f>
        <v/>
      </c>
      <c r="AF2367">
        <f>IF($B2367=0,0,IF(Inputs!$B$8="",0,COUNTIFS(Data!$I$10:$I$3209,"&gt;="&amp;$A2367,Data!$I$10:$I$3209,"&lt;"&amp;$A2367+1)))</f>
        <v/>
      </c>
      <c r="AG2367">
        <f>IF($B2367=0,0,IF(Inputs!$B$9="",0,COUNTIFS(Data!$M$10:$M$3209,"&gt;="&amp;$A2367,Data!$M$10:$M$3209,"&lt;"&amp;$A2367+1)))</f>
        <v/>
      </c>
      <c r="AH2367">
        <f>IF($B2367=0,0,IF(Inputs!$B$10="",0,COUNTIFS(Data!$Q$10:$Q$3209,"&gt;="&amp;$A2367,Data!$Q$10:$Q$3209,"&lt;"&amp;$A2367+1)))</f>
        <v/>
      </c>
    </row>
    <row r="2368">
      <c r="A2368" s="55">
        <f>MIN(Inputs!$C$15,$A2367+IF(WEEKDAY($A2367,2)=5,3,1))</f>
        <v/>
      </c>
      <c r="B2368">
        <f>IF($A2368&gt;$A2367,1,0)</f>
        <v/>
      </c>
      <c r="C2368" s="56">
        <f>IF($B2368=0,"",IF(Inputs!$B$6="","",IF($AD2368=0,C2367,SUMIFS(Data!$B$10:$B$3209,Data!$A$10:$A$3209,"&gt;="&amp;$A2368,Data!$A$10:$A$3209,"&lt;"&amp;$A2368+1)/$AD2368)))</f>
        <v/>
      </c>
      <c r="D2368" s="56">
        <f>IF($B2368=0,"",IF(Inputs!$B$7="","",IF($AE2368=0,D2367,SUMIFS(Data!$F$10:$F$3209,Data!$E$10:$E$3209,"&gt;="&amp;$A2368,Data!$E$10:$E$3209,"&lt;"&amp;$A2368+1)/$AE2368)))</f>
        <v/>
      </c>
      <c r="E2368" s="56">
        <f>IF($B2368=0,"",IF(Inputs!$B$8="","",IF($AF2368=0,E2367,SUMIFS(Data!$J$10:$J$3209,Data!$I$10:$I$3209,"&gt;="&amp;$A2368,Data!$I$10:$I$3209,"&lt;"&amp;$A2368+1)/$AF2368)))</f>
        <v/>
      </c>
      <c r="F2368" s="56">
        <f>IF($B2368=0,"",IF(Inputs!$B$9="","",IF($AG2368=0,F2367,SUMIFS(Data!$N$10:$N$3209,Data!$M$10:$M$3209,"&gt;="&amp;$A2368,Data!$M$10:$M$3209,"&lt;"&amp;$A2368+1)/$AG2368)))</f>
        <v/>
      </c>
      <c r="G2368" s="56">
        <f>IF($B2368=0,"",IF(Inputs!$B$10="","",IF($AH2368=0,G2367,SUMIFS(Data!$R$10:$R$3209,Data!$Q$10:$Q$3209,"&gt;="&amp;$A2368,Data!$Q$10:$Q$3209,"&lt;"&amp;$A2368+1)/$AH2368)))</f>
        <v/>
      </c>
      <c r="I2368" s="54">
        <f>IF($B2368=0,NA(),IF($C2368="",NA(),IF(C$8="",NA(),IF(N(C$8)=0,NA(),IF(Inputs!$C$17="Rebased to 100",$C2368/C$8*100,$C2368)))))</f>
        <v/>
      </c>
      <c r="J2368" s="54">
        <f>IF($B2368=0,NA(),IF($D2368="",NA(),IF(D$8="",NA(),IF(N(D$8)=0,NA(),IF(Inputs!$C$17="Rebased to 100",$D2368/D$8*100,$D2368)))))</f>
        <v/>
      </c>
      <c r="K2368" s="54">
        <f>IF($B2368=0,NA(),IF($E2368="",NA(),IF(E$8="",NA(),IF(N(E$8)=0,NA(),IF(Inputs!$C$17="Rebased to 100",$E2368/E$8*100,$E2368)))))</f>
        <v/>
      </c>
      <c r="L2368" s="54">
        <f>IF($B2368=0,NA(),IF($F2368="",NA(),IF(F$8="",NA(),IF(N(F$8)=0,NA(),IF(Inputs!$C$17="Rebased to 100",$F2368/F$8*100,$F2368)))))</f>
        <v/>
      </c>
      <c r="M2368" s="54">
        <f>IF($B2368=0,NA(),IF($G2368="",NA(),IF(G$8="",NA(),IF(N(G$8)=0,NA(),IF(Inputs!$C$17="Rebased to 100",$G2368/G$8*100,$G2368)))))</f>
        <v/>
      </c>
      <c r="N2368" s="54">
        <f>IF($B2368=0,NA(),IF(Inputs!$C$18&lt;&gt;"Yes",NA(),IF(COUNT(I2368,J2368,K2368,L2368,M2368)=0,NA(),MIN(I2368,J2368,K2368,L2368,M2368))))</f>
        <v/>
      </c>
      <c r="O2368" s="54">
        <f>IF($B2368=0,NA(),IF(Inputs!$B$24&lt;&gt;"Yes",NA(),Inputs!$D$24*Inputs!$C$35))</f>
        <v/>
      </c>
      <c r="P2368" s="54">
        <f>IF($B2368=0,NA(),IF(Inputs!$B$25&lt;&gt;"Yes",NA(),Inputs!$D$25*Inputs!$C$35))</f>
        <v/>
      </c>
      <c r="Q2368" s="54">
        <f>IF($B2368=0,NA(),IF(Inputs!$B$26&lt;&gt;"Yes",NA(),Inputs!$D$26*Inputs!$C$35))</f>
        <v/>
      </c>
      <c r="R2368" s="54">
        <f>IF($B2368=0,NA(),IF(Inputs!$B$27&lt;&gt;"Yes",NA(),Inputs!$D$27*Inputs!$C$35))</f>
        <v/>
      </c>
      <c r="S2368" s="54">
        <f>IF($B2368=0,NA(),IF(Inputs!$B$28&lt;&gt;"Yes",NA(),Inputs!$D$28*Inputs!$C$35))</f>
        <v/>
      </c>
      <c r="T2368" s="54">
        <f>IF($B2368=0,NA(),IF(Inputs!$B$29&lt;&gt;"Yes",NA(),Inputs!$D$29*Inputs!$C$35))</f>
        <v/>
      </c>
      <c r="AD2368">
        <f>IF($B2368=0,0,IF(Inputs!$B$6="",0,COUNTIFS(Data!$A$10:$A$3209,"&gt;="&amp;$A2368,Data!$A$10:$A$3209,"&lt;"&amp;$A2368+1)))</f>
        <v/>
      </c>
      <c r="AE2368">
        <f>IF($B2368=0,0,IF(Inputs!$B$7="",0,COUNTIFS(Data!$E$10:$E$3209,"&gt;="&amp;$A2368,Data!$E$10:$E$3209,"&lt;"&amp;$A2368+1)))</f>
        <v/>
      </c>
      <c r="AF2368">
        <f>IF($B2368=0,0,IF(Inputs!$B$8="",0,COUNTIFS(Data!$I$10:$I$3209,"&gt;="&amp;$A2368,Data!$I$10:$I$3209,"&lt;"&amp;$A2368+1)))</f>
        <v/>
      </c>
      <c r="AG2368">
        <f>IF($B2368=0,0,IF(Inputs!$B$9="",0,COUNTIFS(Data!$M$10:$M$3209,"&gt;="&amp;$A2368,Data!$M$10:$M$3209,"&lt;"&amp;$A2368+1)))</f>
        <v/>
      </c>
      <c r="AH2368">
        <f>IF($B2368=0,0,IF(Inputs!$B$10="",0,COUNTIFS(Data!$Q$10:$Q$3209,"&gt;="&amp;$A2368,Data!$Q$10:$Q$3209,"&lt;"&amp;$A2368+1)))</f>
        <v/>
      </c>
    </row>
    <row r="2369">
      <c r="A2369" s="55">
        <f>MIN(Inputs!$C$15,$A2368+IF(WEEKDAY($A2368,2)=5,3,1))</f>
        <v/>
      </c>
      <c r="B2369">
        <f>IF($A2369&gt;$A2368,1,0)</f>
        <v/>
      </c>
      <c r="C2369" s="56">
        <f>IF($B2369=0,"",IF(Inputs!$B$6="","",IF($AD2369=0,C2368,SUMIFS(Data!$B$10:$B$3209,Data!$A$10:$A$3209,"&gt;="&amp;$A2369,Data!$A$10:$A$3209,"&lt;"&amp;$A2369+1)/$AD2369)))</f>
        <v/>
      </c>
      <c r="D2369" s="56">
        <f>IF($B2369=0,"",IF(Inputs!$B$7="","",IF($AE2369=0,D2368,SUMIFS(Data!$F$10:$F$3209,Data!$E$10:$E$3209,"&gt;="&amp;$A2369,Data!$E$10:$E$3209,"&lt;"&amp;$A2369+1)/$AE2369)))</f>
        <v/>
      </c>
      <c r="E2369" s="56">
        <f>IF($B2369=0,"",IF(Inputs!$B$8="","",IF($AF2369=0,E2368,SUMIFS(Data!$J$10:$J$3209,Data!$I$10:$I$3209,"&gt;="&amp;$A2369,Data!$I$10:$I$3209,"&lt;"&amp;$A2369+1)/$AF2369)))</f>
        <v/>
      </c>
      <c r="F2369" s="56">
        <f>IF($B2369=0,"",IF(Inputs!$B$9="","",IF($AG2369=0,F2368,SUMIFS(Data!$N$10:$N$3209,Data!$M$10:$M$3209,"&gt;="&amp;$A2369,Data!$M$10:$M$3209,"&lt;"&amp;$A2369+1)/$AG2369)))</f>
        <v/>
      </c>
      <c r="G2369" s="56">
        <f>IF($B2369=0,"",IF(Inputs!$B$10="","",IF($AH2369=0,G2368,SUMIFS(Data!$R$10:$R$3209,Data!$Q$10:$Q$3209,"&gt;="&amp;$A2369,Data!$Q$10:$Q$3209,"&lt;"&amp;$A2369+1)/$AH2369)))</f>
        <v/>
      </c>
      <c r="I2369" s="54">
        <f>IF($B2369=0,NA(),IF($C2369="",NA(),IF(C$8="",NA(),IF(N(C$8)=0,NA(),IF(Inputs!$C$17="Rebased to 100",$C2369/C$8*100,$C2369)))))</f>
        <v/>
      </c>
      <c r="J2369" s="54">
        <f>IF($B2369=0,NA(),IF($D2369="",NA(),IF(D$8="",NA(),IF(N(D$8)=0,NA(),IF(Inputs!$C$17="Rebased to 100",$D2369/D$8*100,$D2369)))))</f>
        <v/>
      </c>
      <c r="K2369" s="54">
        <f>IF($B2369=0,NA(),IF($E2369="",NA(),IF(E$8="",NA(),IF(N(E$8)=0,NA(),IF(Inputs!$C$17="Rebased to 100",$E2369/E$8*100,$E2369)))))</f>
        <v/>
      </c>
      <c r="L2369" s="54">
        <f>IF($B2369=0,NA(),IF($F2369="",NA(),IF(F$8="",NA(),IF(N(F$8)=0,NA(),IF(Inputs!$C$17="Rebased to 100",$F2369/F$8*100,$F2369)))))</f>
        <v/>
      </c>
      <c r="M2369" s="54">
        <f>IF($B2369=0,NA(),IF($G2369="",NA(),IF(G$8="",NA(),IF(N(G$8)=0,NA(),IF(Inputs!$C$17="Rebased to 100",$G2369/G$8*100,$G2369)))))</f>
        <v/>
      </c>
      <c r="N2369" s="54">
        <f>IF($B2369=0,NA(),IF(Inputs!$C$18&lt;&gt;"Yes",NA(),IF(COUNT(I2369,J2369,K2369,L2369,M2369)=0,NA(),MIN(I2369,J2369,K2369,L2369,M2369))))</f>
        <v/>
      </c>
      <c r="O2369" s="54">
        <f>IF($B2369=0,NA(),IF(Inputs!$B$24&lt;&gt;"Yes",NA(),Inputs!$D$24*Inputs!$C$35))</f>
        <v/>
      </c>
      <c r="P2369" s="54">
        <f>IF($B2369=0,NA(),IF(Inputs!$B$25&lt;&gt;"Yes",NA(),Inputs!$D$25*Inputs!$C$35))</f>
        <v/>
      </c>
      <c r="Q2369" s="54">
        <f>IF($B2369=0,NA(),IF(Inputs!$B$26&lt;&gt;"Yes",NA(),Inputs!$D$26*Inputs!$C$35))</f>
        <v/>
      </c>
      <c r="R2369" s="54">
        <f>IF($B2369=0,NA(),IF(Inputs!$B$27&lt;&gt;"Yes",NA(),Inputs!$D$27*Inputs!$C$35))</f>
        <v/>
      </c>
      <c r="S2369" s="54">
        <f>IF($B2369=0,NA(),IF(Inputs!$B$28&lt;&gt;"Yes",NA(),Inputs!$D$28*Inputs!$C$35))</f>
        <v/>
      </c>
      <c r="T2369" s="54">
        <f>IF($B2369=0,NA(),IF(Inputs!$B$29&lt;&gt;"Yes",NA(),Inputs!$D$29*Inputs!$C$35))</f>
        <v/>
      </c>
      <c r="AD2369">
        <f>IF($B2369=0,0,IF(Inputs!$B$6="",0,COUNTIFS(Data!$A$10:$A$3209,"&gt;="&amp;$A2369,Data!$A$10:$A$3209,"&lt;"&amp;$A2369+1)))</f>
        <v/>
      </c>
      <c r="AE2369">
        <f>IF($B2369=0,0,IF(Inputs!$B$7="",0,COUNTIFS(Data!$E$10:$E$3209,"&gt;="&amp;$A2369,Data!$E$10:$E$3209,"&lt;"&amp;$A2369+1)))</f>
        <v/>
      </c>
      <c r="AF2369">
        <f>IF($B2369=0,0,IF(Inputs!$B$8="",0,COUNTIFS(Data!$I$10:$I$3209,"&gt;="&amp;$A2369,Data!$I$10:$I$3209,"&lt;"&amp;$A2369+1)))</f>
        <v/>
      </c>
      <c r="AG2369">
        <f>IF($B2369=0,0,IF(Inputs!$B$9="",0,COUNTIFS(Data!$M$10:$M$3209,"&gt;="&amp;$A2369,Data!$M$10:$M$3209,"&lt;"&amp;$A2369+1)))</f>
        <v/>
      </c>
      <c r="AH2369">
        <f>IF($B2369=0,0,IF(Inputs!$B$10="",0,COUNTIFS(Data!$Q$10:$Q$3209,"&gt;="&amp;$A2369,Data!$Q$10:$Q$3209,"&lt;"&amp;$A2369+1)))</f>
        <v/>
      </c>
    </row>
    <row r="2370">
      <c r="A2370" s="55">
        <f>MIN(Inputs!$C$15,$A2369+IF(WEEKDAY($A2369,2)=5,3,1))</f>
        <v/>
      </c>
      <c r="B2370">
        <f>IF($A2370&gt;$A2369,1,0)</f>
        <v/>
      </c>
      <c r="C2370" s="56">
        <f>IF($B2370=0,"",IF(Inputs!$B$6="","",IF($AD2370=0,C2369,SUMIFS(Data!$B$10:$B$3209,Data!$A$10:$A$3209,"&gt;="&amp;$A2370,Data!$A$10:$A$3209,"&lt;"&amp;$A2370+1)/$AD2370)))</f>
        <v/>
      </c>
      <c r="D2370" s="56">
        <f>IF($B2370=0,"",IF(Inputs!$B$7="","",IF($AE2370=0,D2369,SUMIFS(Data!$F$10:$F$3209,Data!$E$10:$E$3209,"&gt;="&amp;$A2370,Data!$E$10:$E$3209,"&lt;"&amp;$A2370+1)/$AE2370)))</f>
        <v/>
      </c>
      <c r="E2370" s="56">
        <f>IF($B2370=0,"",IF(Inputs!$B$8="","",IF($AF2370=0,E2369,SUMIFS(Data!$J$10:$J$3209,Data!$I$10:$I$3209,"&gt;="&amp;$A2370,Data!$I$10:$I$3209,"&lt;"&amp;$A2370+1)/$AF2370)))</f>
        <v/>
      </c>
      <c r="F2370" s="56">
        <f>IF($B2370=0,"",IF(Inputs!$B$9="","",IF($AG2370=0,F2369,SUMIFS(Data!$N$10:$N$3209,Data!$M$10:$M$3209,"&gt;="&amp;$A2370,Data!$M$10:$M$3209,"&lt;"&amp;$A2370+1)/$AG2370)))</f>
        <v/>
      </c>
      <c r="G2370" s="56">
        <f>IF($B2370=0,"",IF(Inputs!$B$10="","",IF($AH2370=0,G2369,SUMIFS(Data!$R$10:$R$3209,Data!$Q$10:$Q$3209,"&gt;="&amp;$A2370,Data!$Q$10:$Q$3209,"&lt;"&amp;$A2370+1)/$AH2370)))</f>
        <v/>
      </c>
      <c r="I2370" s="54">
        <f>IF($B2370=0,NA(),IF($C2370="",NA(),IF(C$8="",NA(),IF(N(C$8)=0,NA(),IF(Inputs!$C$17="Rebased to 100",$C2370/C$8*100,$C2370)))))</f>
        <v/>
      </c>
      <c r="J2370" s="54">
        <f>IF($B2370=0,NA(),IF($D2370="",NA(),IF(D$8="",NA(),IF(N(D$8)=0,NA(),IF(Inputs!$C$17="Rebased to 100",$D2370/D$8*100,$D2370)))))</f>
        <v/>
      </c>
      <c r="K2370" s="54">
        <f>IF($B2370=0,NA(),IF($E2370="",NA(),IF(E$8="",NA(),IF(N(E$8)=0,NA(),IF(Inputs!$C$17="Rebased to 100",$E2370/E$8*100,$E2370)))))</f>
        <v/>
      </c>
      <c r="L2370" s="54">
        <f>IF($B2370=0,NA(),IF($F2370="",NA(),IF(F$8="",NA(),IF(N(F$8)=0,NA(),IF(Inputs!$C$17="Rebased to 100",$F2370/F$8*100,$F2370)))))</f>
        <v/>
      </c>
      <c r="M2370" s="54">
        <f>IF($B2370=0,NA(),IF($G2370="",NA(),IF(G$8="",NA(),IF(N(G$8)=0,NA(),IF(Inputs!$C$17="Rebased to 100",$G2370/G$8*100,$G2370)))))</f>
        <v/>
      </c>
      <c r="N2370" s="54">
        <f>IF($B2370=0,NA(),IF(Inputs!$C$18&lt;&gt;"Yes",NA(),IF(COUNT(I2370,J2370,K2370,L2370,M2370)=0,NA(),MIN(I2370,J2370,K2370,L2370,M2370))))</f>
        <v/>
      </c>
      <c r="O2370" s="54">
        <f>IF($B2370=0,NA(),IF(Inputs!$B$24&lt;&gt;"Yes",NA(),Inputs!$D$24*Inputs!$C$35))</f>
        <v/>
      </c>
      <c r="P2370" s="54">
        <f>IF($B2370=0,NA(),IF(Inputs!$B$25&lt;&gt;"Yes",NA(),Inputs!$D$25*Inputs!$C$35))</f>
        <v/>
      </c>
      <c r="Q2370" s="54">
        <f>IF($B2370=0,NA(),IF(Inputs!$B$26&lt;&gt;"Yes",NA(),Inputs!$D$26*Inputs!$C$35))</f>
        <v/>
      </c>
      <c r="R2370" s="54">
        <f>IF($B2370=0,NA(),IF(Inputs!$B$27&lt;&gt;"Yes",NA(),Inputs!$D$27*Inputs!$C$35))</f>
        <v/>
      </c>
      <c r="S2370" s="54">
        <f>IF($B2370=0,NA(),IF(Inputs!$B$28&lt;&gt;"Yes",NA(),Inputs!$D$28*Inputs!$C$35))</f>
        <v/>
      </c>
      <c r="T2370" s="54">
        <f>IF($B2370=0,NA(),IF(Inputs!$B$29&lt;&gt;"Yes",NA(),Inputs!$D$29*Inputs!$C$35))</f>
        <v/>
      </c>
      <c r="AD2370">
        <f>IF($B2370=0,0,IF(Inputs!$B$6="",0,COUNTIFS(Data!$A$10:$A$3209,"&gt;="&amp;$A2370,Data!$A$10:$A$3209,"&lt;"&amp;$A2370+1)))</f>
        <v/>
      </c>
      <c r="AE2370">
        <f>IF($B2370=0,0,IF(Inputs!$B$7="",0,COUNTIFS(Data!$E$10:$E$3209,"&gt;="&amp;$A2370,Data!$E$10:$E$3209,"&lt;"&amp;$A2370+1)))</f>
        <v/>
      </c>
      <c r="AF2370">
        <f>IF($B2370=0,0,IF(Inputs!$B$8="",0,COUNTIFS(Data!$I$10:$I$3209,"&gt;="&amp;$A2370,Data!$I$10:$I$3209,"&lt;"&amp;$A2370+1)))</f>
        <v/>
      </c>
      <c r="AG2370">
        <f>IF($B2370=0,0,IF(Inputs!$B$9="",0,COUNTIFS(Data!$M$10:$M$3209,"&gt;="&amp;$A2370,Data!$M$10:$M$3209,"&lt;"&amp;$A2370+1)))</f>
        <v/>
      </c>
      <c r="AH2370">
        <f>IF($B2370=0,0,IF(Inputs!$B$10="",0,COUNTIFS(Data!$Q$10:$Q$3209,"&gt;="&amp;$A2370,Data!$Q$10:$Q$3209,"&lt;"&amp;$A2370+1)))</f>
        <v/>
      </c>
    </row>
    <row r="2371">
      <c r="A2371" s="55">
        <f>MIN(Inputs!$C$15,$A2370+IF(WEEKDAY($A2370,2)=5,3,1))</f>
        <v/>
      </c>
      <c r="B2371">
        <f>IF($A2371&gt;$A2370,1,0)</f>
        <v/>
      </c>
      <c r="C2371" s="56">
        <f>IF($B2371=0,"",IF(Inputs!$B$6="","",IF($AD2371=0,C2370,SUMIFS(Data!$B$10:$B$3209,Data!$A$10:$A$3209,"&gt;="&amp;$A2371,Data!$A$10:$A$3209,"&lt;"&amp;$A2371+1)/$AD2371)))</f>
        <v/>
      </c>
      <c r="D2371" s="56">
        <f>IF($B2371=0,"",IF(Inputs!$B$7="","",IF($AE2371=0,D2370,SUMIFS(Data!$F$10:$F$3209,Data!$E$10:$E$3209,"&gt;="&amp;$A2371,Data!$E$10:$E$3209,"&lt;"&amp;$A2371+1)/$AE2371)))</f>
        <v/>
      </c>
      <c r="E2371" s="56">
        <f>IF($B2371=0,"",IF(Inputs!$B$8="","",IF($AF2371=0,E2370,SUMIFS(Data!$J$10:$J$3209,Data!$I$10:$I$3209,"&gt;="&amp;$A2371,Data!$I$10:$I$3209,"&lt;"&amp;$A2371+1)/$AF2371)))</f>
        <v/>
      </c>
      <c r="F2371" s="56">
        <f>IF($B2371=0,"",IF(Inputs!$B$9="","",IF($AG2371=0,F2370,SUMIFS(Data!$N$10:$N$3209,Data!$M$10:$M$3209,"&gt;="&amp;$A2371,Data!$M$10:$M$3209,"&lt;"&amp;$A2371+1)/$AG2371)))</f>
        <v/>
      </c>
      <c r="G2371" s="56">
        <f>IF($B2371=0,"",IF(Inputs!$B$10="","",IF($AH2371=0,G2370,SUMIFS(Data!$R$10:$R$3209,Data!$Q$10:$Q$3209,"&gt;="&amp;$A2371,Data!$Q$10:$Q$3209,"&lt;"&amp;$A2371+1)/$AH2371)))</f>
        <v/>
      </c>
      <c r="I2371" s="54">
        <f>IF($B2371=0,NA(),IF($C2371="",NA(),IF(C$8="",NA(),IF(N(C$8)=0,NA(),IF(Inputs!$C$17="Rebased to 100",$C2371/C$8*100,$C2371)))))</f>
        <v/>
      </c>
      <c r="J2371" s="54">
        <f>IF($B2371=0,NA(),IF($D2371="",NA(),IF(D$8="",NA(),IF(N(D$8)=0,NA(),IF(Inputs!$C$17="Rebased to 100",$D2371/D$8*100,$D2371)))))</f>
        <v/>
      </c>
      <c r="K2371" s="54">
        <f>IF($B2371=0,NA(),IF($E2371="",NA(),IF(E$8="",NA(),IF(N(E$8)=0,NA(),IF(Inputs!$C$17="Rebased to 100",$E2371/E$8*100,$E2371)))))</f>
        <v/>
      </c>
      <c r="L2371" s="54">
        <f>IF($B2371=0,NA(),IF($F2371="",NA(),IF(F$8="",NA(),IF(N(F$8)=0,NA(),IF(Inputs!$C$17="Rebased to 100",$F2371/F$8*100,$F2371)))))</f>
        <v/>
      </c>
      <c r="M2371" s="54">
        <f>IF($B2371=0,NA(),IF($G2371="",NA(),IF(G$8="",NA(),IF(N(G$8)=0,NA(),IF(Inputs!$C$17="Rebased to 100",$G2371/G$8*100,$G2371)))))</f>
        <v/>
      </c>
      <c r="N2371" s="54">
        <f>IF($B2371=0,NA(),IF(Inputs!$C$18&lt;&gt;"Yes",NA(),IF(COUNT(I2371,J2371,K2371,L2371,M2371)=0,NA(),MIN(I2371,J2371,K2371,L2371,M2371))))</f>
        <v/>
      </c>
      <c r="O2371" s="54">
        <f>IF($B2371=0,NA(),IF(Inputs!$B$24&lt;&gt;"Yes",NA(),Inputs!$D$24*Inputs!$C$35))</f>
        <v/>
      </c>
      <c r="P2371" s="54">
        <f>IF($B2371=0,NA(),IF(Inputs!$B$25&lt;&gt;"Yes",NA(),Inputs!$D$25*Inputs!$C$35))</f>
        <v/>
      </c>
      <c r="Q2371" s="54">
        <f>IF($B2371=0,NA(),IF(Inputs!$B$26&lt;&gt;"Yes",NA(),Inputs!$D$26*Inputs!$C$35))</f>
        <v/>
      </c>
      <c r="R2371" s="54">
        <f>IF($B2371=0,NA(),IF(Inputs!$B$27&lt;&gt;"Yes",NA(),Inputs!$D$27*Inputs!$C$35))</f>
        <v/>
      </c>
      <c r="S2371" s="54">
        <f>IF($B2371=0,NA(),IF(Inputs!$B$28&lt;&gt;"Yes",NA(),Inputs!$D$28*Inputs!$C$35))</f>
        <v/>
      </c>
      <c r="T2371" s="54">
        <f>IF($B2371=0,NA(),IF(Inputs!$B$29&lt;&gt;"Yes",NA(),Inputs!$D$29*Inputs!$C$35))</f>
        <v/>
      </c>
      <c r="AD2371">
        <f>IF($B2371=0,0,IF(Inputs!$B$6="",0,COUNTIFS(Data!$A$10:$A$3209,"&gt;="&amp;$A2371,Data!$A$10:$A$3209,"&lt;"&amp;$A2371+1)))</f>
        <v/>
      </c>
      <c r="AE2371">
        <f>IF($B2371=0,0,IF(Inputs!$B$7="",0,COUNTIFS(Data!$E$10:$E$3209,"&gt;="&amp;$A2371,Data!$E$10:$E$3209,"&lt;"&amp;$A2371+1)))</f>
        <v/>
      </c>
      <c r="AF2371">
        <f>IF($B2371=0,0,IF(Inputs!$B$8="",0,COUNTIFS(Data!$I$10:$I$3209,"&gt;="&amp;$A2371,Data!$I$10:$I$3209,"&lt;"&amp;$A2371+1)))</f>
        <v/>
      </c>
      <c r="AG2371">
        <f>IF($B2371=0,0,IF(Inputs!$B$9="",0,COUNTIFS(Data!$M$10:$M$3209,"&gt;="&amp;$A2371,Data!$M$10:$M$3209,"&lt;"&amp;$A2371+1)))</f>
        <v/>
      </c>
      <c r="AH2371">
        <f>IF($B2371=0,0,IF(Inputs!$B$10="",0,COUNTIFS(Data!$Q$10:$Q$3209,"&gt;="&amp;$A2371,Data!$Q$10:$Q$3209,"&lt;"&amp;$A2371+1)))</f>
        <v/>
      </c>
    </row>
    <row r="2372">
      <c r="A2372" s="55">
        <f>MIN(Inputs!$C$15,$A2371+IF(WEEKDAY($A2371,2)=5,3,1))</f>
        <v/>
      </c>
      <c r="B2372">
        <f>IF($A2372&gt;$A2371,1,0)</f>
        <v/>
      </c>
      <c r="C2372" s="56">
        <f>IF($B2372=0,"",IF(Inputs!$B$6="","",IF($AD2372=0,C2371,SUMIFS(Data!$B$10:$B$3209,Data!$A$10:$A$3209,"&gt;="&amp;$A2372,Data!$A$10:$A$3209,"&lt;"&amp;$A2372+1)/$AD2372)))</f>
        <v/>
      </c>
      <c r="D2372" s="56">
        <f>IF($B2372=0,"",IF(Inputs!$B$7="","",IF($AE2372=0,D2371,SUMIFS(Data!$F$10:$F$3209,Data!$E$10:$E$3209,"&gt;="&amp;$A2372,Data!$E$10:$E$3209,"&lt;"&amp;$A2372+1)/$AE2372)))</f>
        <v/>
      </c>
      <c r="E2372" s="56">
        <f>IF($B2372=0,"",IF(Inputs!$B$8="","",IF($AF2372=0,E2371,SUMIFS(Data!$J$10:$J$3209,Data!$I$10:$I$3209,"&gt;="&amp;$A2372,Data!$I$10:$I$3209,"&lt;"&amp;$A2372+1)/$AF2372)))</f>
        <v/>
      </c>
      <c r="F2372" s="56">
        <f>IF($B2372=0,"",IF(Inputs!$B$9="","",IF($AG2372=0,F2371,SUMIFS(Data!$N$10:$N$3209,Data!$M$10:$M$3209,"&gt;="&amp;$A2372,Data!$M$10:$M$3209,"&lt;"&amp;$A2372+1)/$AG2372)))</f>
        <v/>
      </c>
      <c r="G2372" s="56">
        <f>IF($B2372=0,"",IF(Inputs!$B$10="","",IF($AH2372=0,G2371,SUMIFS(Data!$R$10:$R$3209,Data!$Q$10:$Q$3209,"&gt;="&amp;$A2372,Data!$Q$10:$Q$3209,"&lt;"&amp;$A2372+1)/$AH2372)))</f>
        <v/>
      </c>
      <c r="I2372" s="54">
        <f>IF($B2372=0,NA(),IF($C2372="",NA(),IF(C$8="",NA(),IF(N(C$8)=0,NA(),IF(Inputs!$C$17="Rebased to 100",$C2372/C$8*100,$C2372)))))</f>
        <v/>
      </c>
      <c r="J2372" s="54">
        <f>IF($B2372=0,NA(),IF($D2372="",NA(),IF(D$8="",NA(),IF(N(D$8)=0,NA(),IF(Inputs!$C$17="Rebased to 100",$D2372/D$8*100,$D2372)))))</f>
        <v/>
      </c>
      <c r="K2372" s="54">
        <f>IF($B2372=0,NA(),IF($E2372="",NA(),IF(E$8="",NA(),IF(N(E$8)=0,NA(),IF(Inputs!$C$17="Rebased to 100",$E2372/E$8*100,$E2372)))))</f>
        <v/>
      </c>
      <c r="L2372" s="54">
        <f>IF($B2372=0,NA(),IF($F2372="",NA(),IF(F$8="",NA(),IF(N(F$8)=0,NA(),IF(Inputs!$C$17="Rebased to 100",$F2372/F$8*100,$F2372)))))</f>
        <v/>
      </c>
      <c r="M2372" s="54">
        <f>IF($B2372=0,NA(),IF($G2372="",NA(),IF(G$8="",NA(),IF(N(G$8)=0,NA(),IF(Inputs!$C$17="Rebased to 100",$G2372/G$8*100,$G2372)))))</f>
        <v/>
      </c>
      <c r="N2372" s="54">
        <f>IF($B2372=0,NA(),IF(Inputs!$C$18&lt;&gt;"Yes",NA(),IF(COUNT(I2372,J2372,K2372,L2372,M2372)=0,NA(),MIN(I2372,J2372,K2372,L2372,M2372))))</f>
        <v/>
      </c>
      <c r="O2372" s="54">
        <f>IF($B2372=0,NA(),IF(Inputs!$B$24&lt;&gt;"Yes",NA(),Inputs!$D$24*Inputs!$C$35))</f>
        <v/>
      </c>
      <c r="P2372" s="54">
        <f>IF($B2372=0,NA(),IF(Inputs!$B$25&lt;&gt;"Yes",NA(),Inputs!$D$25*Inputs!$C$35))</f>
        <v/>
      </c>
      <c r="Q2372" s="54">
        <f>IF($B2372=0,NA(),IF(Inputs!$B$26&lt;&gt;"Yes",NA(),Inputs!$D$26*Inputs!$C$35))</f>
        <v/>
      </c>
      <c r="R2372" s="54">
        <f>IF($B2372=0,NA(),IF(Inputs!$B$27&lt;&gt;"Yes",NA(),Inputs!$D$27*Inputs!$C$35))</f>
        <v/>
      </c>
      <c r="S2372" s="54">
        <f>IF($B2372=0,NA(),IF(Inputs!$B$28&lt;&gt;"Yes",NA(),Inputs!$D$28*Inputs!$C$35))</f>
        <v/>
      </c>
      <c r="T2372" s="54">
        <f>IF($B2372=0,NA(),IF(Inputs!$B$29&lt;&gt;"Yes",NA(),Inputs!$D$29*Inputs!$C$35))</f>
        <v/>
      </c>
      <c r="AD2372">
        <f>IF($B2372=0,0,IF(Inputs!$B$6="",0,COUNTIFS(Data!$A$10:$A$3209,"&gt;="&amp;$A2372,Data!$A$10:$A$3209,"&lt;"&amp;$A2372+1)))</f>
        <v/>
      </c>
      <c r="AE2372">
        <f>IF($B2372=0,0,IF(Inputs!$B$7="",0,COUNTIFS(Data!$E$10:$E$3209,"&gt;="&amp;$A2372,Data!$E$10:$E$3209,"&lt;"&amp;$A2372+1)))</f>
        <v/>
      </c>
      <c r="AF2372">
        <f>IF($B2372=0,0,IF(Inputs!$B$8="",0,COUNTIFS(Data!$I$10:$I$3209,"&gt;="&amp;$A2372,Data!$I$10:$I$3209,"&lt;"&amp;$A2372+1)))</f>
        <v/>
      </c>
      <c r="AG2372">
        <f>IF($B2372=0,0,IF(Inputs!$B$9="",0,COUNTIFS(Data!$M$10:$M$3209,"&gt;="&amp;$A2372,Data!$M$10:$M$3209,"&lt;"&amp;$A2372+1)))</f>
        <v/>
      </c>
      <c r="AH2372">
        <f>IF($B2372=0,0,IF(Inputs!$B$10="",0,COUNTIFS(Data!$Q$10:$Q$3209,"&gt;="&amp;$A2372,Data!$Q$10:$Q$3209,"&lt;"&amp;$A2372+1)))</f>
        <v/>
      </c>
    </row>
    <row r="2373">
      <c r="A2373" s="55">
        <f>MIN(Inputs!$C$15,$A2372+IF(WEEKDAY($A2372,2)=5,3,1))</f>
        <v/>
      </c>
      <c r="B2373">
        <f>IF($A2373&gt;$A2372,1,0)</f>
        <v/>
      </c>
      <c r="C2373" s="56">
        <f>IF($B2373=0,"",IF(Inputs!$B$6="","",IF($AD2373=0,C2372,SUMIFS(Data!$B$10:$B$3209,Data!$A$10:$A$3209,"&gt;="&amp;$A2373,Data!$A$10:$A$3209,"&lt;"&amp;$A2373+1)/$AD2373)))</f>
        <v/>
      </c>
      <c r="D2373" s="56">
        <f>IF($B2373=0,"",IF(Inputs!$B$7="","",IF($AE2373=0,D2372,SUMIFS(Data!$F$10:$F$3209,Data!$E$10:$E$3209,"&gt;="&amp;$A2373,Data!$E$10:$E$3209,"&lt;"&amp;$A2373+1)/$AE2373)))</f>
        <v/>
      </c>
      <c r="E2373" s="56">
        <f>IF($B2373=0,"",IF(Inputs!$B$8="","",IF($AF2373=0,E2372,SUMIFS(Data!$J$10:$J$3209,Data!$I$10:$I$3209,"&gt;="&amp;$A2373,Data!$I$10:$I$3209,"&lt;"&amp;$A2373+1)/$AF2373)))</f>
        <v/>
      </c>
      <c r="F2373" s="56">
        <f>IF($B2373=0,"",IF(Inputs!$B$9="","",IF($AG2373=0,F2372,SUMIFS(Data!$N$10:$N$3209,Data!$M$10:$M$3209,"&gt;="&amp;$A2373,Data!$M$10:$M$3209,"&lt;"&amp;$A2373+1)/$AG2373)))</f>
        <v/>
      </c>
      <c r="G2373" s="56">
        <f>IF($B2373=0,"",IF(Inputs!$B$10="","",IF($AH2373=0,G2372,SUMIFS(Data!$R$10:$R$3209,Data!$Q$10:$Q$3209,"&gt;="&amp;$A2373,Data!$Q$10:$Q$3209,"&lt;"&amp;$A2373+1)/$AH2373)))</f>
        <v/>
      </c>
      <c r="I2373" s="54">
        <f>IF($B2373=0,NA(),IF($C2373="",NA(),IF(C$8="",NA(),IF(N(C$8)=0,NA(),IF(Inputs!$C$17="Rebased to 100",$C2373/C$8*100,$C2373)))))</f>
        <v/>
      </c>
      <c r="J2373" s="54">
        <f>IF($B2373=0,NA(),IF($D2373="",NA(),IF(D$8="",NA(),IF(N(D$8)=0,NA(),IF(Inputs!$C$17="Rebased to 100",$D2373/D$8*100,$D2373)))))</f>
        <v/>
      </c>
      <c r="K2373" s="54">
        <f>IF($B2373=0,NA(),IF($E2373="",NA(),IF(E$8="",NA(),IF(N(E$8)=0,NA(),IF(Inputs!$C$17="Rebased to 100",$E2373/E$8*100,$E2373)))))</f>
        <v/>
      </c>
      <c r="L2373" s="54">
        <f>IF($B2373=0,NA(),IF($F2373="",NA(),IF(F$8="",NA(),IF(N(F$8)=0,NA(),IF(Inputs!$C$17="Rebased to 100",$F2373/F$8*100,$F2373)))))</f>
        <v/>
      </c>
      <c r="M2373" s="54">
        <f>IF($B2373=0,NA(),IF($G2373="",NA(),IF(G$8="",NA(),IF(N(G$8)=0,NA(),IF(Inputs!$C$17="Rebased to 100",$G2373/G$8*100,$G2373)))))</f>
        <v/>
      </c>
      <c r="N2373" s="54">
        <f>IF($B2373=0,NA(),IF(Inputs!$C$18&lt;&gt;"Yes",NA(),IF(COUNT(I2373,J2373,K2373,L2373,M2373)=0,NA(),MIN(I2373,J2373,K2373,L2373,M2373))))</f>
        <v/>
      </c>
      <c r="O2373" s="54">
        <f>IF($B2373=0,NA(),IF(Inputs!$B$24&lt;&gt;"Yes",NA(),Inputs!$D$24*Inputs!$C$35))</f>
        <v/>
      </c>
      <c r="P2373" s="54">
        <f>IF($B2373=0,NA(),IF(Inputs!$B$25&lt;&gt;"Yes",NA(),Inputs!$D$25*Inputs!$C$35))</f>
        <v/>
      </c>
      <c r="Q2373" s="54">
        <f>IF($B2373=0,NA(),IF(Inputs!$B$26&lt;&gt;"Yes",NA(),Inputs!$D$26*Inputs!$C$35))</f>
        <v/>
      </c>
      <c r="R2373" s="54">
        <f>IF($B2373=0,NA(),IF(Inputs!$B$27&lt;&gt;"Yes",NA(),Inputs!$D$27*Inputs!$C$35))</f>
        <v/>
      </c>
      <c r="S2373" s="54">
        <f>IF($B2373=0,NA(),IF(Inputs!$B$28&lt;&gt;"Yes",NA(),Inputs!$D$28*Inputs!$C$35))</f>
        <v/>
      </c>
      <c r="T2373" s="54">
        <f>IF($B2373=0,NA(),IF(Inputs!$B$29&lt;&gt;"Yes",NA(),Inputs!$D$29*Inputs!$C$35))</f>
        <v/>
      </c>
      <c r="AD2373">
        <f>IF($B2373=0,0,IF(Inputs!$B$6="",0,COUNTIFS(Data!$A$10:$A$3209,"&gt;="&amp;$A2373,Data!$A$10:$A$3209,"&lt;"&amp;$A2373+1)))</f>
        <v/>
      </c>
      <c r="AE2373">
        <f>IF($B2373=0,0,IF(Inputs!$B$7="",0,COUNTIFS(Data!$E$10:$E$3209,"&gt;="&amp;$A2373,Data!$E$10:$E$3209,"&lt;"&amp;$A2373+1)))</f>
        <v/>
      </c>
      <c r="AF2373">
        <f>IF($B2373=0,0,IF(Inputs!$B$8="",0,COUNTIFS(Data!$I$10:$I$3209,"&gt;="&amp;$A2373,Data!$I$10:$I$3209,"&lt;"&amp;$A2373+1)))</f>
        <v/>
      </c>
      <c r="AG2373">
        <f>IF($B2373=0,0,IF(Inputs!$B$9="",0,COUNTIFS(Data!$M$10:$M$3209,"&gt;="&amp;$A2373,Data!$M$10:$M$3209,"&lt;"&amp;$A2373+1)))</f>
        <v/>
      </c>
      <c r="AH2373">
        <f>IF($B2373=0,0,IF(Inputs!$B$10="",0,COUNTIFS(Data!$Q$10:$Q$3209,"&gt;="&amp;$A2373,Data!$Q$10:$Q$3209,"&lt;"&amp;$A2373+1)))</f>
        <v/>
      </c>
    </row>
    <row r="2374">
      <c r="A2374" s="55">
        <f>MIN(Inputs!$C$15,$A2373+IF(WEEKDAY($A2373,2)=5,3,1))</f>
        <v/>
      </c>
      <c r="B2374">
        <f>IF($A2374&gt;$A2373,1,0)</f>
        <v/>
      </c>
      <c r="C2374" s="56">
        <f>IF($B2374=0,"",IF(Inputs!$B$6="","",IF($AD2374=0,C2373,SUMIFS(Data!$B$10:$B$3209,Data!$A$10:$A$3209,"&gt;="&amp;$A2374,Data!$A$10:$A$3209,"&lt;"&amp;$A2374+1)/$AD2374)))</f>
        <v/>
      </c>
      <c r="D2374" s="56">
        <f>IF($B2374=0,"",IF(Inputs!$B$7="","",IF($AE2374=0,D2373,SUMIFS(Data!$F$10:$F$3209,Data!$E$10:$E$3209,"&gt;="&amp;$A2374,Data!$E$10:$E$3209,"&lt;"&amp;$A2374+1)/$AE2374)))</f>
        <v/>
      </c>
      <c r="E2374" s="56">
        <f>IF($B2374=0,"",IF(Inputs!$B$8="","",IF($AF2374=0,E2373,SUMIFS(Data!$J$10:$J$3209,Data!$I$10:$I$3209,"&gt;="&amp;$A2374,Data!$I$10:$I$3209,"&lt;"&amp;$A2374+1)/$AF2374)))</f>
        <v/>
      </c>
      <c r="F2374" s="56">
        <f>IF($B2374=0,"",IF(Inputs!$B$9="","",IF($AG2374=0,F2373,SUMIFS(Data!$N$10:$N$3209,Data!$M$10:$M$3209,"&gt;="&amp;$A2374,Data!$M$10:$M$3209,"&lt;"&amp;$A2374+1)/$AG2374)))</f>
        <v/>
      </c>
      <c r="G2374" s="56">
        <f>IF($B2374=0,"",IF(Inputs!$B$10="","",IF($AH2374=0,G2373,SUMIFS(Data!$R$10:$R$3209,Data!$Q$10:$Q$3209,"&gt;="&amp;$A2374,Data!$Q$10:$Q$3209,"&lt;"&amp;$A2374+1)/$AH2374)))</f>
        <v/>
      </c>
      <c r="I2374" s="54">
        <f>IF($B2374=0,NA(),IF($C2374="",NA(),IF(C$8="",NA(),IF(N(C$8)=0,NA(),IF(Inputs!$C$17="Rebased to 100",$C2374/C$8*100,$C2374)))))</f>
        <v/>
      </c>
      <c r="J2374" s="54">
        <f>IF($B2374=0,NA(),IF($D2374="",NA(),IF(D$8="",NA(),IF(N(D$8)=0,NA(),IF(Inputs!$C$17="Rebased to 100",$D2374/D$8*100,$D2374)))))</f>
        <v/>
      </c>
      <c r="K2374" s="54">
        <f>IF($B2374=0,NA(),IF($E2374="",NA(),IF(E$8="",NA(),IF(N(E$8)=0,NA(),IF(Inputs!$C$17="Rebased to 100",$E2374/E$8*100,$E2374)))))</f>
        <v/>
      </c>
      <c r="L2374" s="54">
        <f>IF($B2374=0,NA(),IF($F2374="",NA(),IF(F$8="",NA(),IF(N(F$8)=0,NA(),IF(Inputs!$C$17="Rebased to 100",$F2374/F$8*100,$F2374)))))</f>
        <v/>
      </c>
      <c r="M2374" s="54">
        <f>IF($B2374=0,NA(),IF($G2374="",NA(),IF(G$8="",NA(),IF(N(G$8)=0,NA(),IF(Inputs!$C$17="Rebased to 100",$G2374/G$8*100,$G2374)))))</f>
        <v/>
      </c>
      <c r="N2374" s="54">
        <f>IF($B2374=0,NA(),IF(Inputs!$C$18&lt;&gt;"Yes",NA(),IF(COUNT(I2374,J2374,K2374,L2374,M2374)=0,NA(),MIN(I2374,J2374,K2374,L2374,M2374))))</f>
        <v/>
      </c>
      <c r="O2374" s="54">
        <f>IF($B2374=0,NA(),IF(Inputs!$B$24&lt;&gt;"Yes",NA(),Inputs!$D$24*Inputs!$C$35))</f>
        <v/>
      </c>
      <c r="P2374" s="54">
        <f>IF($B2374=0,NA(),IF(Inputs!$B$25&lt;&gt;"Yes",NA(),Inputs!$D$25*Inputs!$C$35))</f>
        <v/>
      </c>
      <c r="Q2374" s="54">
        <f>IF($B2374=0,NA(),IF(Inputs!$B$26&lt;&gt;"Yes",NA(),Inputs!$D$26*Inputs!$C$35))</f>
        <v/>
      </c>
      <c r="R2374" s="54">
        <f>IF($B2374=0,NA(),IF(Inputs!$B$27&lt;&gt;"Yes",NA(),Inputs!$D$27*Inputs!$C$35))</f>
        <v/>
      </c>
      <c r="S2374" s="54">
        <f>IF($B2374=0,NA(),IF(Inputs!$B$28&lt;&gt;"Yes",NA(),Inputs!$D$28*Inputs!$C$35))</f>
        <v/>
      </c>
      <c r="T2374" s="54">
        <f>IF($B2374=0,NA(),IF(Inputs!$B$29&lt;&gt;"Yes",NA(),Inputs!$D$29*Inputs!$C$35))</f>
        <v/>
      </c>
      <c r="AD2374">
        <f>IF($B2374=0,0,IF(Inputs!$B$6="",0,COUNTIFS(Data!$A$10:$A$3209,"&gt;="&amp;$A2374,Data!$A$10:$A$3209,"&lt;"&amp;$A2374+1)))</f>
        <v/>
      </c>
      <c r="AE2374">
        <f>IF($B2374=0,0,IF(Inputs!$B$7="",0,COUNTIFS(Data!$E$10:$E$3209,"&gt;="&amp;$A2374,Data!$E$10:$E$3209,"&lt;"&amp;$A2374+1)))</f>
        <v/>
      </c>
      <c r="AF2374">
        <f>IF($B2374=0,0,IF(Inputs!$B$8="",0,COUNTIFS(Data!$I$10:$I$3209,"&gt;="&amp;$A2374,Data!$I$10:$I$3209,"&lt;"&amp;$A2374+1)))</f>
        <v/>
      </c>
      <c r="AG2374">
        <f>IF($B2374=0,0,IF(Inputs!$B$9="",0,COUNTIFS(Data!$M$10:$M$3209,"&gt;="&amp;$A2374,Data!$M$10:$M$3209,"&lt;"&amp;$A2374+1)))</f>
        <v/>
      </c>
      <c r="AH2374">
        <f>IF($B2374=0,0,IF(Inputs!$B$10="",0,COUNTIFS(Data!$Q$10:$Q$3209,"&gt;="&amp;$A2374,Data!$Q$10:$Q$3209,"&lt;"&amp;$A2374+1)))</f>
        <v/>
      </c>
    </row>
    <row r="2375">
      <c r="A2375" s="55">
        <f>MIN(Inputs!$C$15,$A2374+IF(WEEKDAY($A2374,2)=5,3,1))</f>
        <v/>
      </c>
      <c r="B2375">
        <f>IF($A2375&gt;$A2374,1,0)</f>
        <v/>
      </c>
      <c r="C2375" s="56">
        <f>IF($B2375=0,"",IF(Inputs!$B$6="","",IF($AD2375=0,C2374,SUMIFS(Data!$B$10:$B$3209,Data!$A$10:$A$3209,"&gt;="&amp;$A2375,Data!$A$10:$A$3209,"&lt;"&amp;$A2375+1)/$AD2375)))</f>
        <v/>
      </c>
      <c r="D2375" s="56">
        <f>IF($B2375=0,"",IF(Inputs!$B$7="","",IF($AE2375=0,D2374,SUMIFS(Data!$F$10:$F$3209,Data!$E$10:$E$3209,"&gt;="&amp;$A2375,Data!$E$10:$E$3209,"&lt;"&amp;$A2375+1)/$AE2375)))</f>
        <v/>
      </c>
      <c r="E2375" s="56">
        <f>IF($B2375=0,"",IF(Inputs!$B$8="","",IF($AF2375=0,E2374,SUMIFS(Data!$J$10:$J$3209,Data!$I$10:$I$3209,"&gt;="&amp;$A2375,Data!$I$10:$I$3209,"&lt;"&amp;$A2375+1)/$AF2375)))</f>
        <v/>
      </c>
      <c r="F2375" s="56">
        <f>IF($B2375=0,"",IF(Inputs!$B$9="","",IF($AG2375=0,F2374,SUMIFS(Data!$N$10:$N$3209,Data!$M$10:$M$3209,"&gt;="&amp;$A2375,Data!$M$10:$M$3209,"&lt;"&amp;$A2375+1)/$AG2375)))</f>
        <v/>
      </c>
      <c r="G2375" s="56">
        <f>IF($B2375=0,"",IF(Inputs!$B$10="","",IF($AH2375=0,G2374,SUMIFS(Data!$R$10:$R$3209,Data!$Q$10:$Q$3209,"&gt;="&amp;$A2375,Data!$Q$10:$Q$3209,"&lt;"&amp;$A2375+1)/$AH2375)))</f>
        <v/>
      </c>
      <c r="I2375" s="54">
        <f>IF($B2375=0,NA(),IF($C2375="",NA(),IF(C$8="",NA(),IF(N(C$8)=0,NA(),IF(Inputs!$C$17="Rebased to 100",$C2375/C$8*100,$C2375)))))</f>
        <v/>
      </c>
      <c r="J2375" s="54">
        <f>IF($B2375=0,NA(),IF($D2375="",NA(),IF(D$8="",NA(),IF(N(D$8)=0,NA(),IF(Inputs!$C$17="Rebased to 100",$D2375/D$8*100,$D2375)))))</f>
        <v/>
      </c>
      <c r="K2375" s="54">
        <f>IF($B2375=0,NA(),IF($E2375="",NA(),IF(E$8="",NA(),IF(N(E$8)=0,NA(),IF(Inputs!$C$17="Rebased to 100",$E2375/E$8*100,$E2375)))))</f>
        <v/>
      </c>
      <c r="L2375" s="54">
        <f>IF($B2375=0,NA(),IF($F2375="",NA(),IF(F$8="",NA(),IF(N(F$8)=0,NA(),IF(Inputs!$C$17="Rebased to 100",$F2375/F$8*100,$F2375)))))</f>
        <v/>
      </c>
      <c r="M2375" s="54">
        <f>IF($B2375=0,NA(),IF($G2375="",NA(),IF(G$8="",NA(),IF(N(G$8)=0,NA(),IF(Inputs!$C$17="Rebased to 100",$G2375/G$8*100,$G2375)))))</f>
        <v/>
      </c>
      <c r="N2375" s="54">
        <f>IF($B2375=0,NA(),IF(Inputs!$C$18&lt;&gt;"Yes",NA(),IF(COUNT(I2375,J2375,K2375,L2375,M2375)=0,NA(),MIN(I2375,J2375,K2375,L2375,M2375))))</f>
        <v/>
      </c>
      <c r="O2375" s="54">
        <f>IF($B2375=0,NA(),IF(Inputs!$B$24&lt;&gt;"Yes",NA(),Inputs!$D$24*Inputs!$C$35))</f>
        <v/>
      </c>
      <c r="P2375" s="54">
        <f>IF($B2375=0,NA(),IF(Inputs!$B$25&lt;&gt;"Yes",NA(),Inputs!$D$25*Inputs!$C$35))</f>
        <v/>
      </c>
      <c r="Q2375" s="54">
        <f>IF($B2375=0,NA(),IF(Inputs!$B$26&lt;&gt;"Yes",NA(),Inputs!$D$26*Inputs!$C$35))</f>
        <v/>
      </c>
      <c r="R2375" s="54">
        <f>IF($B2375=0,NA(),IF(Inputs!$B$27&lt;&gt;"Yes",NA(),Inputs!$D$27*Inputs!$C$35))</f>
        <v/>
      </c>
      <c r="S2375" s="54">
        <f>IF($B2375=0,NA(),IF(Inputs!$B$28&lt;&gt;"Yes",NA(),Inputs!$D$28*Inputs!$C$35))</f>
        <v/>
      </c>
      <c r="T2375" s="54">
        <f>IF($B2375=0,NA(),IF(Inputs!$B$29&lt;&gt;"Yes",NA(),Inputs!$D$29*Inputs!$C$35))</f>
        <v/>
      </c>
      <c r="AD2375">
        <f>IF($B2375=0,0,IF(Inputs!$B$6="",0,COUNTIFS(Data!$A$10:$A$3209,"&gt;="&amp;$A2375,Data!$A$10:$A$3209,"&lt;"&amp;$A2375+1)))</f>
        <v/>
      </c>
      <c r="AE2375">
        <f>IF($B2375=0,0,IF(Inputs!$B$7="",0,COUNTIFS(Data!$E$10:$E$3209,"&gt;="&amp;$A2375,Data!$E$10:$E$3209,"&lt;"&amp;$A2375+1)))</f>
        <v/>
      </c>
      <c r="AF2375">
        <f>IF($B2375=0,0,IF(Inputs!$B$8="",0,COUNTIFS(Data!$I$10:$I$3209,"&gt;="&amp;$A2375,Data!$I$10:$I$3209,"&lt;"&amp;$A2375+1)))</f>
        <v/>
      </c>
      <c r="AG2375">
        <f>IF($B2375=0,0,IF(Inputs!$B$9="",0,COUNTIFS(Data!$M$10:$M$3209,"&gt;="&amp;$A2375,Data!$M$10:$M$3209,"&lt;"&amp;$A2375+1)))</f>
        <v/>
      </c>
      <c r="AH2375">
        <f>IF($B2375=0,0,IF(Inputs!$B$10="",0,COUNTIFS(Data!$Q$10:$Q$3209,"&gt;="&amp;$A2375,Data!$Q$10:$Q$3209,"&lt;"&amp;$A2375+1)))</f>
        <v/>
      </c>
    </row>
    <row r="2376">
      <c r="A2376" s="55">
        <f>MIN(Inputs!$C$15,$A2375+IF(WEEKDAY($A2375,2)=5,3,1))</f>
        <v/>
      </c>
      <c r="B2376">
        <f>IF($A2376&gt;$A2375,1,0)</f>
        <v/>
      </c>
      <c r="C2376" s="56">
        <f>IF($B2376=0,"",IF(Inputs!$B$6="","",IF($AD2376=0,C2375,SUMIFS(Data!$B$10:$B$3209,Data!$A$10:$A$3209,"&gt;="&amp;$A2376,Data!$A$10:$A$3209,"&lt;"&amp;$A2376+1)/$AD2376)))</f>
        <v/>
      </c>
      <c r="D2376" s="56">
        <f>IF($B2376=0,"",IF(Inputs!$B$7="","",IF($AE2376=0,D2375,SUMIFS(Data!$F$10:$F$3209,Data!$E$10:$E$3209,"&gt;="&amp;$A2376,Data!$E$10:$E$3209,"&lt;"&amp;$A2376+1)/$AE2376)))</f>
        <v/>
      </c>
      <c r="E2376" s="56">
        <f>IF($B2376=0,"",IF(Inputs!$B$8="","",IF($AF2376=0,E2375,SUMIFS(Data!$J$10:$J$3209,Data!$I$10:$I$3209,"&gt;="&amp;$A2376,Data!$I$10:$I$3209,"&lt;"&amp;$A2376+1)/$AF2376)))</f>
        <v/>
      </c>
      <c r="F2376" s="56">
        <f>IF($B2376=0,"",IF(Inputs!$B$9="","",IF($AG2376=0,F2375,SUMIFS(Data!$N$10:$N$3209,Data!$M$10:$M$3209,"&gt;="&amp;$A2376,Data!$M$10:$M$3209,"&lt;"&amp;$A2376+1)/$AG2376)))</f>
        <v/>
      </c>
      <c r="G2376" s="56">
        <f>IF($B2376=0,"",IF(Inputs!$B$10="","",IF($AH2376=0,G2375,SUMIFS(Data!$R$10:$R$3209,Data!$Q$10:$Q$3209,"&gt;="&amp;$A2376,Data!$Q$10:$Q$3209,"&lt;"&amp;$A2376+1)/$AH2376)))</f>
        <v/>
      </c>
      <c r="I2376" s="54">
        <f>IF($B2376=0,NA(),IF($C2376="",NA(),IF(C$8="",NA(),IF(N(C$8)=0,NA(),IF(Inputs!$C$17="Rebased to 100",$C2376/C$8*100,$C2376)))))</f>
        <v/>
      </c>
      <c r="J2376" s="54">
        <f>IF($B2376=0,NA(),IF($D2376="",NA(),IF(D$8="",NA(),IF(N(D$8)=0,NA(),IF(Inputs!$C$17="Rebased to 100",$D2376/D$8*100,$D2376)))))</f>
        <v/>
      </c>
      <c r="K2376" s="54">
        <f>IF($B2376=0,NA(),IF($E2376="",NA(),IF(E$8="",NA(),IF(N(E$8)=0,NA(),IF(Inputs!$C$17="Rebased to 100",$E2376/E$8*100,$E2376)))))</f>
        <v/>
      </c>
      <c r="L2376" s="54">
        <f>IF($B2376=0,NA(),IF($F2376="",NA(),IF(F$8="",NA(),IF(N(F$8)=0,NA(),IF(Inputs!$C$17="Rebased to 100",$F2376/F$8*100,$F2376)))))</f>
        <v/>
      </c>
      <c r="M2376" s="54">
        <f>IF($B2376=0,NA(),IF($G2376="",NA(),IF(G$8="",NA(),IF(N(G$8)=0,NA(),IF(Inputs!$C$17="Rebased to 100",$G2376/G$8*100,$G2376)))))</f>
        <v/>
      </c>
      <c r="N2376" s="54">
        <f>IF($B2376=0,NA(),IF(Inputs!$C$18&lt;&gt;"Yes",NA(),IF(COUNT(I2376,J2376,K2376,L2376,M2376)=0,NA(),MIN(I2376,J2376,K2376,L2376,M2376))))</f>
        <v/>
      </c>
      <c r="O2376" s="54">
        <f>IF($B2376=0,NA(),IF(Inputs!$B$24&lt;&gt;"Yes",NA(),Inputs!$D$24*Inputs!$C$35))</f>
        <v/>
      </c>
      <c r="P2376" s="54">
        <f>IF($B2376=0,NA(),IF(Inputs!$B$25&lt;&gt;"Yes",NA(),Inputs!$D$25*Inputs!$C$35))</f>
        <v/>
      </c>
      <c r="Q2376" s="54">
        <f>IF($B2376=0,NA(),IF(Inputs!$B$26&lt;&gt;"Yes",NA(),Inputs!$D$26*Inputs!$C$35))</f>
        <v/>
      </c>
      <c r="R2376" s="54">
        <f>IF($B2376=0,NA(),IF(Inputs!$B$27&lt;&gt;"Yes",NA(),Inputs!$D$27*Inputs!$C$35))</f>
        <v/>
      </c>
      <c r="S2376" s="54">
        <f>IF($B2376=0,NA(),IF(Inputs!$B$28&lt;&gt;"Yes",NA(),Inputs!$D$28*Inputs!$C$35))</f>
        <v/>
      </c>
      <c r="T2376" s="54">
        <f>IF($B2376=0,NA(),IF(Inputs!$B$29&lt;&gt;"Yes",NA(),Inputs!$D$29*Inputs!$C$35))</f>
        <v/>
      </c>
      <c r="AD2376">
        <f>IF($B2376=0,0,IF(Inputs!$B$6="",0,COUNTIFS(Data!$A$10:$A$3209,"&gt;="&amp;$A2376,Data!$A$10:$A$3209,"&lt;"&amp;$A2376+1)))</f>
        <v/>
      </c>
      <c r="AE2376">
        <f>IF($B2376=0,0,IF(Inputs!$B$7="",0,COUNTIFS(Data!$E$10:$E$3209,"&gt;="&amp;$A2376,Data!$E$10:$E$3209,"&lt;"&amp;$A2376+1)))</f>
        <v/>
      </c>
      <c r="AF2376">
        <f>IF($B2376=0,0,IF(Inputs!$B$8="",0,COUNTIFS(Data!$I$10:$I$3209,"&gt;="&amp;$A2376,Data!$I$10:$I$3209,"&lt;"&amp;$A2376+1)))</f>
        <v/>
      </c>
      <c r="AG2376">
        <f>IF($B2376=0,0,IF(Inputs!$B$9="",0,COUNTIFS(Data!$M$10:$M$3209,"&gt;="&amp;$A2376,Data!$M$10:$M$3209,"&lt;"&amp;$A2376+1)))</f>
        <v/>
      </c>
      <c r="AH2376">
        <f>IF($B2376=0,0,IF(Inputs!$B$10="",0,COUNTIFS(Data!$Q$10:$Q$3209,"&gt;="&amp;$A2376,Data!$Q$10:$Q$3209,"&lt;"&amp;$A2376+1)))</f>
        <v/>
      </c>
    </row>
    <row r="2377">
      <c r="A2377" s="55">
        <f>MIN(Inputs!$C$15,$A2376+IF(WEEKDAY($A2376,2)=5,3,1))</f>
        <v/>
      </c>
      <c r="B2377">
        <f>IF($A2377&gt;$A2376,1,0)</f>
        <v/>
      </c>
      <c r="C2377" s="56">
        <f>IF($B2377=0,"",IF(Inputs!$B$6="","",IF($AD2377=0,C2376,SUMIFS(Data!$B$10:$B$3209,Data!$A$10:$A$3209,"&gt;="&amp;$A2377,Data!$A$10:$A$3209,"&lt;"&amp;$A2377+1)/$AD2377)))</f>
        <v/>
      </c>
      <c r="D2377" s="56">
        <f>IF($B2377=0,"",IF(Inputs!$B$7="","",IF($AE2377=0,D2376,SUMIFS(Data!$F$10:$F$3209,Data!$E$10:$E$3209,"&gt;="&amp;$A2377,Data!$E$10:$E$3209,"&lt;"&amp;$A2377+1)/$AE2377)))</f>
        <v/>
      </c>
      <c r="E2377" s="56">
        <f>IF($B2377=0,"",IF(Inputs!$B$8="","",IF($AF2377=0,E2376,SUMIFS(Data!$J$10:$J$3209,Data!$I$10:$I$3209,"&gt;="&amp;$A2377,Data!$I$10:$I$3209,"&lt;"&amp;$A2377+1)/$AF2377)))</f>
        <v/>
      </c>
      <c r="F2377" s="56">
        <f>IF($B2377=0,"",IF(Inputs!$B$9="","",IF($AG2377=0,F2376,SUMIFS(Data!$N$10:$N$3209,Data!$M$10:$M$3209,"&gt;="&amp;$A2377,Data!$M$10:$M$3209,"&lt;"&amp;$A2377+1)/$AG2377)))</f>
        <v/>
      </c>
      <c r="G2377" s="56">
        <f>IF($B2377=0,"",IF(Inputs!$B$10="","",IF($AH2377=0,G2376,SUMIFS(Data!$R$10:$R$3209,Data!$Q$10:$Q$3209,"&gt;="&amp;$A2377,Data!$Q$10:$Q$3209,"&lt;"&amp;$A2377+1)/$AH2377)))</f>
        <v/>
      </c>
      <c r="I2377" s="54">
        <f>IF($B2377=0,NA(),IF($C2377="",NA(),IF(C$8="",NA(),IF(N(C$8)=0,NA(),IF(Inputs!$C$17="Rebased to 100",$C2377/C$8*100,$C2377)))))</f>
        <v/>
      </c>
      <c r="J2377" s="54">
        <f>IF($B2377=0,NA(),IF($D2377="",NA(),IF(D$8="",NA(),IF(N(D$8)=0,NA(),IF(Inputs!$C$17="Rebased to 100",$D2377/D$8*100,$D2377)))))</f>
        <v/>
      </c>
      <c r="K2377" s="54">
        <f>IF($B2377=0,NA(),IF($E2377="",NA(),IF(E$8="",NA(),IF(N(E$8)=0,NA(),IF(Inputs!$C$17="Rebased to 100",$E2377/E$8*100,$E2377)))))</f>
        <v/>
      </c>
      <c r="L2377" s="54">
        <f>IF($B2377=0,NA(),IF($F2377="",NA(),IF(F$8="",NA(),IF(N(F$8)=0,NA(),IF(Inputs!$C$17="Rebased to 100",$F2377/F$8*100,$F2377)))))</f>
        <v/>
      </c>
      <c r="M2377" s="54">
        <f>IF($B2377=0,NA(),IF($G2377="",NA(),IF(G$8="",NA(),IF(N(G$8)=0,NA(),IF(Inputs!$C$17="Rebased to 100",$G2377/G$8*100,$G2377)))))</f>
        <v/>
      </c>
      <c r="N2377" s="54">
        <f>IF($B2377=0,NA(),IF(Inputs!$C$18&lt;&gt;"Yes",NA(),IF(COUNT(I2377,J2377,K2377,L2377,M2377)=0,NA(),MIN(I2377,J2377,K2377,L2377,M2377))))</f>
        <v/>
      </c>
      <c r="O2377" s="54">
        <f>IF($B2377=0,NA(),IF(Inputs!$B$24&lt;&gt;"Yes",NA(),Inputs!$D$24*Inputs!$C$35))</f>
        <v/>
      </c>
      <c r="P2377" s="54">
        <f>IF($B2377=0,NA(),IF(Inputs!$B$25&lt;&gt;"Yes",NA(),Inputs!$D$25*Inputs!$C$35))</f>
        <v/>
      </c>
      <c r="Q2377" s="54">
        <f>IF($B2377=0,NA(),IF(Inputs!$B$26&lt;&gt;"Yes",NA(),Inputs!$D$26*Inputs!$C$35))</f>
        <v/>
      </c>
      <c r="R2377" s="54">
        <f>IF($B2377=0,NA(),IF(Inputs!$B$27&lt;&gt;"Yes",NA(),Inputs!$D$27*Inputs!$C$35))</f>
        <v/>
      </c>
      <c r="S2377" s="54">
        <f>IF($B2377=0,NA(),IF(Inputs!$B$28&lt;&gt;"Yes",NA(),Inputs!$D$28*Inputs!$C$35))</f>
        <v/>
      </c>
      <c r="T2377" s="54">
        <f>IF($B2377=0,NA(),IF(Inputs!$B$29&lt;&gt;"Yes",NA(),Inputs!$D$29*Inputs!$C$35))</f>
        <v/>
      </c>
      <c r="AD2377">
        <f>IF($B2377=0,0,IF(Inputs!$B$6="",0,COUNTIFS(Data!$A$10:$A$3209,"&gt;="&amp;$A2377,Data!$A$10:$A$3209,"&lt;"&amp;$A2377+1)))</f>
        <v/>
      </c>
      <c r="AE2377">
        <f>IF($B2377=0,0,IF(Inputs!$B$7="",0,COUNTIFS(Data!$E$10:$E$3209,"&gt;="&amp;$A2377,Data!$E$10:$E$3209,"&lt;"&amp;$A2377+1)))</f>
        <v/>
      </c>
      <c r="AF2377">
        <f>IF($B2377=0,0,IF(Inputs!$B$8="",0,COUNTIFS(Data!$I$10:$I$3209,"&gt;="&amp;$A2377,Data!$I$10:$I$3209,"&lt;"&amp;$A2377+1)))</f>
        <v/>
      </c>
      <c r="AG2377">
        <f>IF($B2377=0,0,IF(Inputs!$B$9="",0,COUNTIFS(Data!$M$10:$M$3209,"&gt;="&amp;$A2377,Data!$M$10:$M$3209,"&lt;"&amp;$A2377+1)))</f>
        <v/>
      </c>
      <c r="AH2377">
        <f>IF($B2377=0,0,IF(Inputs!$B$10="",0,COUNTIFS(Data!$Q$10:$Q$3209,"&gt;="&amp;$A2377,Data!$Q$10:$Q$3209,"&lt;"&amp;$A2377+1)))</f>
        <v/>
      </c>
    </row>
    <row r="2378">
      <c r="A2378" s="55">
        <f>MIN(Inputs!$C$15,$A2377+IF(WEEKDAY($A2377,2)=5,3,1))</f>
        <v/>
      </c>
      <c r="B2378">
        <f>IF($A2378&gt;$A2377,1,0)</f>
        <v/>
      </c>
      <c r="C2378" s="56">
        <f>IF($B2378=0,"",IF(Inputs!$B$6="","",IF($AD2378=0,C2377,SUMIFS(Data!$B$10:$B$3209,Data!$A$10:$A$3209,"&gt;="&amp;$A2378,Data!$A$10:$A$3209,"&lt;"&amp;$A2378+1)/$AD2378)))</f>
        <v/>
      </c>
      <c r="D2378" s="56">
        <f>IF($B2378=0,"",IF(Inputs!$B$7="","",IF($AE2378=0,D2377,SUMIFS(Data!$F$10:$F$3209,Data!$E$10:$E$3209,"&gt;="&amp;$A2378,Data!$E$10:$E$3209,"&lt;"&amp;$A2378+1)/$AE2378)))</f>
        <v/>
      </c>
      <c r="E2378" s="56">
        <f>IF($B2378=0,"",IF(Inputs!$B$8="","",IF($AF2378=0,E2377,SUMIFS(Data!$J$10:$J$3209,Data!$I$10:$I$3209,"&gt;="&amp;$A2378,Data!$I$10:$I$3209,"&lt;"&amp;$A2378+1)/$AF2378)))</f>
        <v/>
      </c>
      <c r="F2378" s="56">
        <f>IF($B2378=0,"",IF(Inputs!$B$9="","",IF($AG2378=0,F2377,SUMIFS(Data!$N$10:$N$3209,Data!$M$10:$M$3209,"&gt;="&amp;$A2378,Data!$M$10:$M$3209,"&lt;"&amp;$A2378+1)/$AG2378)))</f>
        <v/>
      </c>
      <c r="G2378" s="56">
        <f>IF($B2378=0,"",IF(Inputs!$B$10="","",IF($AH2378=0,G2377,SUMIFS(Data!$R$10:$R$3209,Data!$Q$10:$Q$3209,"&gt;="&amp;$A2378,Data!$Q$10:$Q$3209,"&lt;"&amp;$A2378+1)/$AH2378)))</f>
        <v/>
      </c>
      <c r="I2378" s="54">
        <f>IF($B2378=0,NA(),IF($C2378="",NA(),IF(C$8="",NA(),IF(N(C$8)=0,NA(),IF(Inputs!$C$17="Rebased to 100",$C2378/C$8*100,$C2378)))))</f>
        <v/>
      </c>
      <c r="J2378" s="54">
        <f>IF($B2378=0,NA(),IF($D2378="",NA(),IF(D$8="",NA(),IF(N(D$8)=0,NA(),IF(Inputs!$C$17="Rebased to 100",$D2378/D$8*100,$D2378)))))</f>
        <v/>
      </c>
      <c r="K2378" s="54">
        <f>IF($B2378=0,NA(),IF($E2378="",NA(),IF(E$8="",NA(),IF(N(E$8)=0,NA(),IF(Inputs!$C$17="Rebased to 100",$E2378/E$8*100,$E2378)))))</f>
        <v/>
      </c>
      <c r="L2378" s="54">
        <f>IF($B2378=0,NA(),IF($F2378="",NA(),IF(F$8="",NA(),IF(N(F$8)=0,NA(),IF(Inputs!$C$17="Rebased to 100",$F2378/F$8*100,$F2378)))))</f>
        <v/>
      </c>
      <c r="M2378" s="54">
        <f>IF($B2378=0,NA(),IF($G2378="",NA(),IF(G$8="",NA(),IF(N(G$8)=0,NA(),IF(Inputs!$C$17="Rebased to 100",$G2378/G$8*100,$G2378)))))</f>
        <v/>
      </c>
      <c r="N2378" s="54">
        <f>IF($B2378=0,NA(),IF(Inputs!$C$18&lt;&gt;"Yes",NA(),IF(COUNT(I2378,J2378,K2378,L2378,M2378)=0,NA(),MIN(I2378,J2378,K2378,L2378,M2378))))</f>
        <v/>
      </c>
      <c r="O2378" s="54">
        <f>IF($B2378=0,NA(),IF(Inputs!$B$24&lt;&gt;"Yes",NA(),Inputs!$D$24*Inputs!$C$35))</f>
        <v/>
      </c>
      <c r="P2378" s="54">
        <f>IF($B2378=0,NA(),IF(Inputs!$B$25&lt;&gt;"Yes",NA(),Inputs!$D$25*Inputs!$C$35))</f>
        <v/>
      </c>
      <c r="Q2378" s="54">
        <f>IF($B2378=0,NA(),IF(Inputs!$B$26&lt;&gt;"Yes",NA(),Inputs!$D$26*Inputs!$C$35))</f>
        <v/>
      </c>
      <c r="R2378" s="54">
        <f>IF($B2378=0,NA(),IF(Inputs!$B$27&lt;&gt;"Yes",NA(),Inputs!$D$27*Inputs!$C$35))</f>
        <v/>
      </c>
      <c r="S2378" s="54">
        <f>IF($B2378=0,NA(),IF(Inputs!$B$28&lt;&gt;"Yes",NA(),Inputs!$D$28*Inputs!$C$35))</f>
        <v/>
      </c>
      <c r="T2378" s="54">
        <f>IF($B2378=0,NA(),IF(Inputs!$B$29&lt;&gt;"Yes",NA(),Inputs!$D$29*Inputs!$C$35))</f>
        <v/>
      </c>
      <c r="AD2378">
        <f>IF($B2378=0,0,IF(Inputs!$B$6="",0,COUNTIFS(Data!$A$10:$A$3209,"&gt;="&amp;$A2378,Data!$A$10:$A$3209,"&lt;"&amp;$A2378+1)))</f>
        <v/>
      </c>
      <c r="AE2378">
        <f>IF($B2378=0,0,IF(Inputs!$B$7="",0,COUNTIFS(Data!$E$10:$E$3209,"&gt;="&amp;$A2378,Data!$E$10:$E$3209,"&lt;"&amp;$A2378+1)))</f>
        <v/>
      </c>
      <c r="AF2378">
        <f>IF($B2378=0,0,IF(Inputs!$B$8="",0,COUNTIFS(Data!$I$10:$I$3209,"&gt;="&amp;$A2378,Data!$I$10:$I$3209,"&lt;"&amp;$A2378+1)))</f>
        <v/>
      </c>
      <c r="AG2378">
        <f>IF($B2378=0,0,IF(Inputs!$B$9="",0,COUNTIFS(Data!$M$10:$M$3209,"&gt;="&amp;$A2378,Data!$M$10:$M$3209,"&lt;"&amp;$A2378+1)))</f>
        <v/>
      </c>
      <c r="AH2378">
        <f>IF($B2378=0,0,IF(Inputs!$B$10="",0,COUNTIFS(Data!$Q$10:$Q$3209,"&gt;="&amp;$A2378,Data!$Q$10:$Q$3209,"&lt;"&amp;$A2378+1)))</f>
        <v/>
      </c>
    </row>
    <row r="2379">
      <c r="A2379" s="55">
        <f>MIN(Inputs!$C$15,$A2378+IF(WEEKDAY($A2378,2)=5,3,1))</f>
        <v/>
      </c>
      <c r="B2379">
        <f>IF($A2379&gt;$A2378,1,0)</f>
        <v/>
      </c>
      <c r="C2379" s="56">
        <f>IF($B2379=0,"",IF(Inputs!$B$6="","",IF($AD2379=0,C2378,SUMIFS(Data!$B$10:$B$3209,Data!$A$10:$A$3209,"&gt;="&amp;$A2379,Data!$A$10:$A$3209,"&lt;"&amp;$A2379+1)/$AD2379)))</f>
        <v/>
      </c>
      <c r="D2379" s="56">
        <f>IF($B2379=0,"",IF(Inputs!$B$7="","",IF($AE2379=0,D2378,SUMIFS(Data!$F$10:$F$3209,Data!$E$10:$E$3209,"&gt;="&amp;$A2379,Data!$E$10:$E$3209,"&lt;"&amp;$A2379+1)/$AE2379)))</f>
        <v/>
      </c>
      <c r="E2379" s="56">
        <f>IF($B2379=0,"",IF(Inputs!$B$8="","",IF($AF2379=0,E2378,SUMIFS(Data!$J$10:$J$3209,Data!$I$10:$I$3209,"&gt;="&amp;$A2379,Data!$I$10:$I$3209,"&lt;"&amp;$A2379+1)/$AF2379)))</f>
        <v/>
      </c>
      <c r="F2379" s="56">
        <f>IF($B2379=0,"",IF(Inputs!$B$9="","",IF($AG2379=0,F2378,SUMIFS(Data!$N$10:$N$3209,Data!$M$10:$M$3209,"&gt;="&amp;$A2379,Data!$M$10:$M$3209,"&lt;"&amp;$A2379+1)/$AG2379)))</f>
        <v/>
      </c>
      <c r="G2379" s="56">
        <f>IF($B2379=0,"",IF(Inputs!$B$10="","",IF($AH2379=0,G2378,SUMIFS(Data!$R$10:$R$3209,Data!$Q$10:$Q$3209,"&gt;="&amp;$A2379,Data!$Q$10:$Q$3209,"&lt;"&amp;$A2379+1)/$AH2379)))</f>
        <v/>
      </c>
      <c r="I2379" s="54">
        <f>IF($B2379=0,NA(),IF($C2379="",NA(),IF(C$8="",NA(),IF(N(C$8)=0,NA(),IF(Inputs!$C$17="Rebased to 100",$C2379/C$8*100,$C2379)))))</f>
        <v/>
      </c>
      <c r="J2379" s="54">
        <f>IF($B2379=0,NA(),IF($D2379="",NA(),IF(D$8="",NA(),IF(N(D$8)=0,NA(),IF(Inputs!$C$17="Rebased to 100",$D2379/D$8*100,$D2379)))))</f>
        <v/>
      </c>
      <c r="K2379" s="54">
        <f>IF($B2379=0,NA(),IF($E2379="",NA(),IF(E$8="",NA(),IF(N(E$8)=0,NA(),IF(Inputs!$C$17="Rebased to 100",$E2379/E$8*100,$E2379)))))</f>
        <v/>
      </c>
      <c r="L2379" s="54">
        <f>IF($B2379=0,NA(),IF($F2379="",NA(),IF(F$8="",NA(),IF(N(F$8)=0,NA(),IF(Inputs!$C$17="Rebased to 100",$F2379/F$8*100,$F2379)))))</f>
        <v/>
      </c>
      <c r="M2379" s="54">
        <f>IF($B2379=0,NA(),IF($G2379="",NA(),IF(G$8="",NA(),IF(N(G$8)=0,NA(),IF(Inputs!$C$17="Rebased to 100",$G2379/G$8*100,$G2379)))))</f>
        <v/>
      </c>
      <c r="N2379" s="54">
        <f>IF($B2379=0,NA(),IF(Inputs!$C$18&lt;&gt;"Yes",NA(),IF(COUNT(I2379,J2379,K2379,L2379,M2379)=0,NA(),MIN(I2379,J2379,K2379,L2379,M2379))))</f>
        <v/>
      </c>
      <c r="O2379" s="54">
        <f>IF($B2379=0,NA(),IF(Inputs!$B$24&lt;&gt;"Yes",NA(),Inputs!$D$24*Inputs!$C$35))</f>
        <v/>
      </c>
      <c r="P2379" s="54">
        <f>IF($B2379=0,NA(),IF(Inputs!$B$25&lt;&gt;"Yes",NA(),Inputs!$D$25*Inputs!$C$35))</f>
        <v/>
      </c>
      <c r="Q2379" s="54">
        <f>IF($B2379=0,NA(),IF(Inputs!$B$26&lt;&gt;"Yes",NA(),Inputs!$D$26*Inputs!$C$35))</f>
        <v/>
      </c>
      <c r="R2379" s="54">
        <f>IF($B2379=0,NA(),IF(Inputs!$B$27&lt;&gt;"Yes",NA(),Inputs!$D$27*Inputs!$C$35))</f>
        <v/>
      </c>
      <c r="S2379" s="54">
        <f>IF($B2379=0,NA(),IF(Inputs!$B$28&lt;&gt;"Yes",NA(),Inputs!$D$28*Inputs!$C$35))</f>
        <v/>
      </c>
      <c r="T2379" s="54">
        <f>IF($B2379=0,NA(),IF(Inputs!$B$29&lt;&gt;"Yes",NA(),Inputs!$D$29*Inputs!$C$35))</f>
        <v/>
      </c>
      <c r="AD2379">
        <f>IF($B2379=0,0,IF(Inputs!$B$6="",0,COUNTIFS(Data!$A$10:$A$3209,"&gt;="&amp;$A2379,Data!$A$10:$A$3209,"&lt;"&amp;$A2379+1)))</f>
        <v/>
      </c>
      <c r="AE2379">
        <f>IF($B2379=0,0,IF(Inputs!$B$7="",0,COUNTIFS(Data!$E$10:$E$3209,"&gt;="&amp;$A2379,Data!$E$10:$E$3209,"&lt;"&amp;$A2379+1)))</f>
        <v/>
      </c>
      <c r="AF2379">
        <f>IF($B2379=0,0,IF(Inputs!$B$8="",0,COUNTIFS(Data!$I$10:$I$3209,"&gt;="&amp;$A2379,Data!$I$10:$I$3209,"&lt;"&amp;$A2379+1)))</f>
        <v/>
      </c>
      <c r="AG2379">
        <f>IF($B2379=0,0,IF(Inputs!$B$9="",0,COUNTIFS(Data!$M$10:$M$3209,"&gt;="&amp;$A2379,Data!$M$10:$M$3209,"&lt;"&amp;$A2379+1)))</f>
        <v/>
      </c>
      <c r="AH2379">
        <f>IF($B2379=0,0,IF(Inputs!$B$10="",0,COUNTIFS(Data!$Q$10:$Q$3209,"&gt;="&amp;$A2379,Data!$Q$10:$Q$3209,"&lt;"&amp;$A2379+1)))</f>
        <v/>
      </c>
    </row>
    <row r="2380">
      <c r="A2380" s="55">
        <f>MIN(Inputs!$C$15,$A2379+IF(WEEKDAY($A2379,2)=5,3,1))</f>
        <v/>
      </c>
      <c r="B2380">
        <f>IF($A2380&gt;$A2379,1,0)</f>
        <v/>
      </c>
      <c r="C2380" s="56">
        <f>IF($B2380=0,"",IF(Inputs!$B$6="","",IF($AD2380=0,C2379,SUMIFS(Data!$B$10:$B$3209,Data!$A$10:$A$3209,"&gt;="&amp;$A2380,Data!$A$10:$A$3209,"&lt;"&amp;$A2380+1)/$AD2380)))</f>
        <v/>
      </c>
      <c r="D2380" s="56">
        <f>IF($B2380=0,"",IF(Inputs!$B$7="","",IF($AE2380=0,D2379,SUMIFS(Data!$F$10:$F$3209,Data!$E$10:$E$3209,"&gt;="&amp;$A2380,Data!$E$10:$E$3209,"&lt;"&amp;$A2380+1)/$AE2380)))</f>
        <v/>
      </c>
      <c r="E2380" s="56">
        <f>IF($B2380=0,"",IF(Inputs!$B$8="","",IF($AF2380=0,E2379,SUMIFS(Data!$J$10:$J$3209,Data!$I$10:$I$3209,"&gt;="&amp;$A2380,Data!$I$10:$I$3209,"&lt;"&amp;$A2380+1)/$AF2380)))</f>
        <v/>
      </c>
      <c r="F2380" s="56">
        <f>IF($B2380=0,"",IF(Inputs!$B$9="","",IF($AG2380=0,F2379,SUMIFS(Data!$N$10:$N$3209,Data!$M$10:$M$3209,"&gt;="&amp;$A2380,Data!$M$10:$M$3209,"&lt;"&amp;$A2380+1)/$AG2380)))</f>
        <v/>
      </c>
      <c r="G2380" s="56">
        <f>IF($B2380=0,"",IF(Inputs!$B$10="","",IF($AH2380=0,G2379,SUMIFS(Data!$R$10:$R$3209,Data!$Q$10:$Q$3209,"&gt;="&amp;$A2380,Data!$Q$10:$Q$3209,"&lt;"&amp;$A2380+1)/$AH2380)))</f>
        <v/>
      </c>
      <c r="I2380" s="54">
        <f>IF($B2380=0,NA(),IF($C2380="",NA(),IF(C$8="",NA(),IF(N(C$8)=0,NA(),IF(Inputs!$C$17="Rebased to 100",$C2380/C$8*100,$C2380)))))</f>
        <v/>
      </c>
      <c r="J2380" s="54">
        <f>IF($B2380=0,NA(),IF($D2380="",NA(),IF(D$8="",NA(),IF(N(D$8)=0,NA(),IF(Inputs!$C$17="Rebased to 100",$D2380/D$8*100,$D2380)))))</f>
        <v/>
      </c>
      <c r="K2380" s="54">
        <f>IF($B2380=0,NA(),IF($E2380="",NA(),IF(E$8="",NA(),IF(N(E$8)=0,NA(),IF(Inputs!$C$17="Rebased to 100",$E2380/E$8*100,$E2380)))))</f>
        <v/>
      </c>
      <c r="L2380" s="54">
        <f>IF($B2380=0,NA(),IF($F2380="",NA(),IF(F$8="",NA(),IF(N(F$8)=0,NA(),IF(Inputs!$C$17="Rebased to 100",$F2380/F$8*100,$F2380)))))</f>
        <v/>
      </c>
      <c r="M2380" s="54">
        <f>IF($B2380=0,NA(),IF($G2380="",NA(),IF(G$8="",NA(),IF(N(G$8)=0,NA(),IF(Inputs!$C$17="Rebased to 100",$G2380/G$8*100,$G2380)))))</f>
        <v/>
      </c>
      <c r="N2380" s="54">
        <f>IF($B2380=0,NA(),IF(Inputs!$C$18&lt;&gt;"Yes",NA(),IF(COUNT(I2380,J2380,K2380,L2380,M2380)=0,NA(),MIN(I2380,J2380,K2380,L2380,M2380))))</f>
        <v/>
      </c>
      <c r="O2380" s="54">
        <f>IF($B2380=0,NA(),IF(Inputs!$B$24&lt;&gt;"Yes",NA(),Inputs!$D$24*Inputs!$C$35))</f>
        <v/>
      </c>
      <c r="P2380" s="54">
        <f>IF($B2380=0,NA(),IF(Inputs!$B$25&lt;&gt;"Yes",NA(),Inputs!$D$25*Inputs!$C$35))</f>
        <v/>
      </c>
      <c r="Q2380" s="54">
        <f>IF($B2380=0,NA(),IF(Inputs!$B$26&lt;&gt;"Yes",NA(),Inputs!$D$26*Inputs!$C$35))</f>
        <v/>
      </c>
      <c r="R2380" s="54">
        <f>IF($B2380=0,NA(),IF(Inputs!$B$27&lt;&gt;"Yes",NA(),Inputs!$D$27*Inputs!$C$35))</f>
        <v/>
      </c>
      <c r="S2380" s="54">
        <f>IF($B2380=0,NA(),IF(Inputs!$B$28&lt;&gt;"Yes",NA(),Inputs!$D$28*Inputs!$C$35))</f>
        <v/>
      </c>
      <c r="T2380" s="54">
        <f>IF($B2380=0,NA(),IF(Inputs!$B$29&lt;&gt;"Yes",NA(),Inputs!$D$29*Inputs!$C$35))</f>
        <v/>
      </c>
      <c r="AD2380">
        <f>IF($B2380=0,0,IF(Inputs!$B$6="",0,COUNTIFS(Data!$A$10:$A$3209,"&gt;="&amp;$A2380,Data!$A$10:$A$3209,"&lt;"&amp;$A2380+1)))</f>
        <v/>
      </c>
      <c r="AE2380">
        <f>IF($B2380=0,0,IF(Inputs!$B$7="",0,COUNTIFS(Data!$E$10:$E$3209,"&gt;="&amp;$A2380,Data!$E$10:$E$3209,"&lt;"&amp;$A2380+1)))</f>
        <v/>
      </c>
      <c r="AF2380">
        <f>IF($B2380=0,0,IF(Inputs!$B$8="",0,COUNTIFS(Data!$I$10:$I$3209,"&gt;="&amp;$A2380,Data!$I$10:$I$3209,"&lt;"&amp;$A2380+1)))</f>
        <v/>
      </c>
      <c r="AG2380">
        <f>IF($B2380=0,0,IF(Inputs!$B$9="",0,COUNTIFS(Data!$M$10:$M$3209,"&gt;="&amp;$A2380,Data!$M$10:$M$3209,"&lt;"&amp;$A2380+1)))</f>
        <v/>
      </c>
      <c r="AH2380">
        <f>IF($B2380=0,0,IF(Inputs!$B$10="",0,COUNTIFS(Data!$Q$10:$Q$3209,"&gt;="&amp;$A2380,Data!$Q$10:$Q$3209,"&lt;"&amp;$A2380+1)))</f>
        <v/>
      </c>
    </row>
    <row r="2381">
      <c r="A2381" s="55">
        <f>MIN(Inputs!$C$15,$A2380+IF(WEEKDAY($A2380,2)=5,3,1))</f>
        <v/>
      </c>
      <c r="B2381">
        <f>IF($A2381&gt;$A2380,1,0)</f>
        <v/>
      </c>
      <c r="C2381" s="56">
        <f>IF($B2381=0,"",IF(Inputs!$B$6="","",IF($AD2381=0,C2380,SUMIFS(Data!$B$10:$B$3209,Data!$A$10:$A$3209,"&gt;="&amp;$A2381,Data!$A$10:$A$3209,"&lt;"&amp;$A2381+1)/$AD2381)))</f>
        <v/>
      </c>
      <c r="D2381" s="56">
        <f>IF($B2381=0,"",IF(Inputs!$B$7="","",IF($AE2381=0,D2380,SUMIFS(Data!$F$10:$F$3209,Data!$E$10:$E$3209,"&gt;="&amp;$A2381,Data!$E$10:$E$3209,"&lt;"&amp;$A2381+1)/$AE2381)))</f>
        <v/>
      </c>
      <c r="E2381" s="56">
        <f>IF($B2381=0,"",IF(Inputs!$B$8="","",IF($AF2381=0,E2380,SUMIFS(Data!$J$10:$J$3209,Data!$I$10:$I$3209,"&gt;="&amp;$A2381,Data!$I$10:$I$3209,"&lt;"&amp;$A2381+1)/$AF2381)))</f>
        <v/>
      </c>
      <c r="F2381" s="56">
        <f>IF($B2381=0,"",IF(Inputs!$B$9="","",IF($AG2381=0,F2380,SUMIFS(Data!$N$10:$N$3209,Data!$M$10:$M$3209,"&gt;="&amp;$A2381,Data!$M$10:$M$3209,"&lt;"&amp;$A2381+1)/$AG2381)))</f>
        <v/>
      </c>
      <c r="G2381" s="56">
        <f>IF($B2381=0,"",IF(Inputs!$B$10="","",IF($AH2381=0,G2380,SUMIFS(Data!$R$10:$R$3209,Data!$Q$10:$Q$3209,"&gt;="&amp;$A2381,Data!$Q$10:$Q$3209,"&lt;"&amp;$A2381+1)/$AH2381)))</f>
        <v/>
      </c>
      <c r="I2381" s="54">
        <f>IF($B2381=0,NA(),IF($C2381="",NA(),IF(C$8="",NA(),IF(N(C$8)=0,NA(),IF(Inputs!$C$17="Rebased to 100",$C2381/C$8*100,$C2381)))))</f>
        <v/>
      </c>
      <c r="J2381" s="54">
        <f>IF($B2381=0,NA(),IF($D2381="",NA(),IF(D$8="",NA(),IF(N(D$8)=0,NA(),IF(Inputs!$C$17="Rebased to 100",$D2381/D$8*100,$D2381)))))</f>
        <v/>
      </c>
      <c r="K2381" s="54">
        <f>IF($B2381=0,NA(),IF($E2381="",NA(),IF(E$8="",NA(),IF(N(E$8)=0,NA(),IF(Inputs!$C$17="Rebased to 100",$E2381/E$8*100,$E2381)))))</f>
        <v/>
      </c>
      <c r="L2381" s="54">
        <f>IF($B2381=0,NA(),IF($F2381="",NA(),IF(F$8="",NA(),IF(N(F$8)=0,NA(),IF(Inputs!$C$17="Rebased to 100",$F2381/F$8*100,$F2381)))))</f>
        <v/>
      </c>
      <c r="M2381" s="54">
        <f>IF($B2381=0,NA(),IF($G2381="",NA(),IF(G$8="",NA(),IF(N(G$8)=0,NA(),IF(Inputs!$C$17="Rebased to 100",$G2381/G$8*100,$G2381)))))</f>
        <v/>
      </c>
      <c r="N2381" s="54">
        <f>IF($B2381=0,NA(),IF(Inputs!$C$18&lt;&gt;"Yes",NA(),IF(COUNT(I2381,J2381,K2381,L2381,M2381)=0,NA(),MIN(I2381,J2381,K2381,L2381,M2381))))</f>
        <v/>
      </c>
      <c r="O2381" s="54">
        <f>IF($B2381=0,NA(),IF(Inputs!$B$24&lt;&gt;"Yes",NA(),Inputs!$D$24*Inputs!$C$35))</f>
        <v/>
      </c>
      <c r="P2381" s="54">
        <f>IF($B2381=0,NA(),IF(Inputs!$B$25&lt;&gt;"Yes",NA(),Inputs!$D$25*Inputs!$C$35))</f>
        <v/>
      </c>
      <c r="Q2381" s="54">
        <f>IF($B2381=0,NA(),IF(Inputs!$B$26&lt;&gt;"Yes",NA(),Inputs!$D$26*Inputs!$C$35))</f>
        <v/>
      </c>
      <c r="R2381" s="54">
        <f>IF($B2381=0,NA(),IF(Inputs!$B$27&lt;&gt;"Yes",NA(),Inputs!$D$27*Inputs!$C$35))</f>
        <v/>
      </c>
      <c r="S2381" s="54">
        <f>IF($B2381=0,NA(),IF(Inputs!$B$28&lt;&gt;"Yes",NA(),Inputs!$D$28*Inputs!$C$35))</f>
        <v/>
      </c>
      <c r="T2381" s="54">
        <f>IF($B2381=0,NA(),IF(Inputs!$B$29&lt;&gt;"Yes",NA(),Inputs!$D$29*Inputs!$C$35))</f>
        <v/>
      </c>
      <c r="AD2381">
        <f>IF($B2381=0,0,IF(Inputs!$B$6="",0,COUNTIFS(Data!$A$10:$A$3209,"&gt;="&amp;$A2381,Data!$A$10:$A$3209,"&lt;"&amp;$A2381+1)))</f>
        <v/>
      </c>
      <c r="AE2381">
        <f>IF($B2381=0,0,IF(Inputs!$B$7="",0,COUNTIFS(Data!$E$10:$E$3209,"&gt;="&amp;$A2381,Data!$E$10:$E$3209,"&lt;"&amp;$A2381+1)))</f>
        <v/>
      </c>
      <c r="AF2381">
        <f>IF($B2381=0,0,IF(Inputs!$B$8="",0,COUNTIFS(Data!$I$10:$I$3209,"&gt;="&amp;$A2381,Data!$I$10:$I$3209,"&lt;"&amp;$A2381+1)))</f>
        <v/>
      </c>
      <c r="AG2381">
        <f>IF($B2381=0,0,IF(Inputs!$B$9="",0,COUNTIFS(Data!$M$10:$M$3209,"&gt;="&amp;$A2381,Data!$M$10:$M$3209,"&lt;"&amp;$A2381+1)))</f>
        <v/>
      </c>
      <c r="AH2381">
        <f>IF($B2381=0,0,IF(Inputs!$B$10="",0,COUNTIFS(Data!$Q$10:$Q$3209,"&gt;="&amp;$A2381,Data!$Q$10:$Q$3209,"&lt;"&amp;$A2381+1)))</f>
        <v/>
      </c>
    </row>
    <row r="2382">
      <c r="A2382" s="55">
        <f>MIN(Inputs!$C$15,$A2381+IF(WEEKDAY($A2381,2)=5,3,1))</f>
        <v/>
      </c>
      <c r="B2382">
        <f>IF($A2382&gt;$A2381,1,0)</f>
        <v/>
      </c>
      <c r="C2382" s="56">
        <f>IF($B2382=0,"",IF(Inputs!$B$6="","",IF($AD2382=0,C2381,SUMIFS(Data!$B$10:$B$3209,Data!$A$10:$A$3209,"&gt;="&amp;$A2382,Data!$A$10:$A$3209,"&lt;"&amp;$A2382+1)/$AD2382)))</f>
        <v/>
      </c>
      <c r="D2382" s="56">
        <f>IF($B2382=0,"",IF(Inputs!$B$7="","",IF($AE2382=0,D2381,SUMIFS(Data!$F$10:$F$3209,Data!$E$10:$E$3209,"&gt;="&amp;$A2382,Data!$E$10:$E$3209,"&lt;"&amp;$A2382+1)/$AE2382)))</f>
        <v/>
      </c>
      <c r="E2382" s="56">
        <f>IF($B2382=0,"",IF(Inputs!$B$8="","",IF($AF2382=0,E2381,SUMIFS(Data!$J$10:$J$3209,Data!$I$10:$I$3209,"&gt;="&amp;$A2382,Data!$I$10:$I$3209,"&lt;"&amp;$A2382+1)/$AF2382)))</f>
        <v/>
      </c>
      <c r="F2382" s="56">
        <f>IF($B2382=0,"",IF(Inputs!$B$9="","",IF($AG2382=0,F2381,SUMIFS(Data!$N$10:$N$3209,Data!$M$10:$M$3209,"&gt;="&amp;$A2382,Data!$M$10:$M$3209,"&lt;"&amp;$A2382+1)/$AG2382)))</f>
        <v/>
      </c>
      <c r="G2382" s="56">
        <f>IF($B2382=0,"",IF(Inputs!$B$10="","",IF($AH2382=0,G2381,SUMIFS(Data!$R$10:$R$3209,Data!$Q$10:$Q$3209,"&gt;="&amp;$A2382,Data!$Q$10:$Q$3209,"&lt;"&amp;$A2382+1)/$AH2382)))</f>
        <v/>
      </c>
      <c r="I2382" s="54">
        <f>IF($B2382=0,NA(),IF($C2382="",NA(),IF(C$8="",NA(),IF(N(C$8)=0,NA(),IF(Inputs!$C$17="Rebased to 100",$C2382/C$8*100,$C2382)))))</f>
        <v/>
      </c>
      <c r="J2382" s="54">
        <f>IF($B2382=0,NA(),IF($D2382="",NA(),IF(D$8="",NA(),IF(N(D$8)=0,NA(),IF(Inputs!$C$17="Rebased to 100",$D2382/D$8*100,$D2382)))))</f>
        <v/>
      </c>
      <c r="K2382" s="54">
        <f>IF($B2382=0,NA(),IF($E2382="",NA(),IF(E$8="",NA(),IF(N(E$8)=0,NA(),IF(Inputs!$C$17="Rebased to 100",$E2382/E$8*100,$E2382)))))</f>
        <v/>
      </c>
      <c r="L2382" s="54">
        <f>IF($B2382=0,NA(),IF($F2382="",NA(),IF(F$8="",NA(),IF(N(F$8)=0,NA(),IF(Inputs!$C$17="Rebased to 100",$F2382/F$8*100,$F2382)))))</f>
        <v/>
      </c>
      <c r="M2382" s="54">
        <f>IF($B2382=0,NA(),IF($G2382="",NA(),IF(G$8="",NA(),IF(N(G$8)=0,NA(),IF(Inputs!$C$17="Rebased to 100",$G2382/G$8*100,$G2382)))))</f>
        <v/>
      </c>
      <c r="N2382" s="54">
        <f>IF($B2382=0,NA(),IF(Inputs!$C$18&lt;&gt;"Yes",NA(),IF(COUNT(I2382,J2382,K2382,L2382,M2382)=0,NA(),MIN(I2382,J2382,K2382,L2382,M2382))))</f>
        <v/>
      </c>
      <c r="O2382" s="54">
        <f>IF($B2382=0,NA(),IF(Inputs!$B$24&lt;&gt;"Yes",NA(),Inputs!$D$24*Inputs!$C$35))</f>
        <v/>
      </c>
      <c r="P2382" s="54">
        <f>IF($B2382=0,NA(),IF(Inputs!$B$25&lt;&gt;"Yes",NA(),Inputs!$D$25*Inputs!$C$35))</f>
        <v/>
      </c>
      <c r="Q2382" s="54">
        <f>IF($B2382=0,NA(),IF(Inputs!$B$26&lt;&gt;"Yes",NA(),Inputs!$D$26*Inputs!$C$35))</f>
        <v/>
      </c>
      <c r="R2382" s="54">
        <f>IF($B2382=0,NA(),IF(Inputs!$B$27&lt;&gt;"Yes",NA(),Inputs!$D$27*Inputs!$C$35))</f>
        <v/>
      </c>
      <c r="S2382" s="54">
        <f>IF($B2382=0,NA(),IF(Inputs!$B$28&lt;&gt;"Yes",NA(),Inputs!$D$28*Inputs!$C$35))</f>
        <v/>
      </c>
      <c r="T2382" s="54">
        <f>IF($B2382=0,NA(),IF(Inputs!$B$29&lt;&gt;"Yes",NA(),Inputs!$D$29*Inputs!$C$35))</f>
        <v/>
      </c>
      <c r="AD2382">
        <f>IF($B2382=0,0,IF(Inputs!$B$6="",0,COUNTIFS(Data!$A$10:$A$3209,"&gt;="&amp;$A2382,Data!$A$10:$A$3209,"&lt;"&amp;$A2382+1)))</f>
        <v/>
      </c>
      <c r="AE2382">
        <f>IF($B2382=0,0,IF(Inputs!$B$7="",0,COUNTIFS(Data!$E$10:$E$3209,"&gt;="&amp;$A2382,Data!$E$10:$E$3209,"&lt;"&amp;$A2382+1)))</f>
        <v/>
      </c>
      <c r="AF2382">
        <f>IF($B2382=0,0,IF(Inputs!$B$8="",0,COUNTIFS(Data!$I$10:$I$3209,"&gt;="&amp;$A2382,Data!$I$10:$I$3209,"&lt;"&amp;$A2382+1)))</f>
        <v/>
      </c>
      <c r="AG2382">
        <f>IF($B2382=0,0,IF(Inputs!$B$9="",0,COUNTIFS(Data!$M$10:$M$3209,"&gt;="&amp;$A2382,Data!$M$10:$M$3209,"&lt;"&amp;$A2382+1)))</f>
        <v/>
      </c>
      <c r="AH2382">
        <f>IF($B2382=0,0,IF(Inputs!$B$10="",0,COUNTIFS(Data!$Q$10:$Q$3209,"&gt;="&amp;$A2382,Data!$Q$10:$Q$3209,"&lt;"&amp;$A2382+1)))</f>
        <v/>
      </c>
    </row>
    <row r="2383">
      <c r="A2383" s="55">
        <f>MIN(Inputs!$C$15,$A2382+IF(WEEKDAY($A2382,2)=5,3,1))</f>
        <v/>
      </c>
      <c r="B2383">
        <f>IF($A2383&gt;$A2382,1,0)</f>
        <v/>
      </c>
      <c r="C2383" s="56">
        <f>IF($B2383=0,"",IF(Inputs!$B$6="","",IF($AD2383=0,C2382,SUMIFS(Data!$B$10:$B$3209,Data!$A$10:$A$3209,"&gt;="&amp;$A2383,Data!$A$10:$A$3209,"&lt;"&amp;$A2383+1)/$AD2383)))</f>
        <v/>
      </c>
      <c r="D2383" s="56">
        <f>IF($B2383=0,"",IF(Inputs!$B$7="","",IF($AE2383=0,D2382,SUMIFS(Data!$F$10:$F$3209,Data!$E$10:$E$3209,"&gt;="&amp;$A2383,Data!$E$10:$E$3209,"&lt;"&amp;$A2383+1)/$AE2383)))</f>
        <v/>
      </c>
      <c r="E2383" s="56">
        <f>IF($B2383=0,"",IF(Inputs!$B$8="","",IF($AF2383=0,E2382,SUMIFS(Data!$J$10:$J$3209,Data!$I$10:$I$3209,"&gt;="&amp;$A2383,Data!$I$10:$I$3209,"&lt;"&amp;$A2383+1)/$AF2383)))</f>
        <v/>
      </c>
      <c r="F2383" s="56">
        <f>IF($B2383=0,"",IF(Inputs!$B$9="","",IF($AG2383=0,F2382,SUMIFS(Data!$N$10:$N$3209,Data!$M$10:$M$3209,"&gt;="&amp;$A2383,Data!$M$10:$M$3209,"&lt;"&amp;$A2383+1)/$AG2383)))</f>
        <v/>
      </c>
      <c r="G2383" s="56">
        <f>IF($B2383=0,"",IF(Inputs!$B$10="","",IF($AH2383=0,G2382,SUMIFS(Data!$R$10:$R$3209,Data!$Q$10:$Q$3209,"&gt;="&amp;$A2383,Data!$Q$10:$Q$3209,"&lt;"&amp;$A2383+1)/$AH2383)))</f>
        <v/>
      </c>
      <c r="I2383" s="54">
        <f>IF($B2383=0,NA(),IF($C2383="",NA(),IF(C$8="",NA(),IF(N(C$8)=0,NA(),IF(Inputs!$C$17="Rebased to 100",$C2383/C$8*100,$C2383)))))</f>
        <v/>
      </c>
      <c r="J2383" s="54">
        <f>IF($B2383=0,NA(),IF($D2383="",NA(),IF(D$8="",NA(),IF(N(D$8)=0,NA(),IF(Inputs!$C$17="Rebased to 100",$D2383/D$8*100,$D2383)))))</f>
        <v/>
      </c>
      <c r="K2383" s="54">
        <f>IF($B2383=0,NA(),IF($E2383="",NA(),IF(E$8="",NA(),IF(N(E$8)=0,NA(),IF(Inputs!$C$17="Rebased to 100",$E2383/E$8*100,$E2383)))))</f>
        <v/>
      </c>
      <c r="L2383" s="54">
        <f>IF($B2383=0,NA(),IF($F2383="",NA(),IF(F$8="",NA(),IF(N(F$8)=0,NA(),IF(Inputs!$C$17="Rebased to 100",$F2383/F$8*100,$F2383)))))</f>
        <v/>
      </c>
      <c r="M2383" s="54">
        <f>IF($B2383=0,NA(),IF($G2383="",NA(),IF(G$8="",NA(),IF(N(G$8)=0,NA(),IF(Inputs!$C$17="Rebased to 100",$G2383/G$8*100,$G2383)))))</f>
        <v/>
      </c>
      <c r="N2383" s="54">
        <f>IF($B2383=0,NA(),IF(Inputs!$C$18&lt;&gt;"Yes",NA(),IF(COUNT(I2383,J2383,K2383,L2383,M2383)=0,NA(),MIN(I2383,J2383,K2383,L2383,M2383))))</f>
        <v/>
      </c>
      <c r="O2383" s="54">
        <f>IF($B2383=0,NA(),IF(Inputs!$B$24&lt;&gt;"Yes",NA(),Inputs!$D$24*Inputs!$C$35))</f>
        <v/>
      </c>
      <c r="P2383" s="54">
        <f>IF($B2383=0,NA(),IF(Inputs!$B$25&lt;&gt;"Yes",NA(),Inputs!$D$25*Inputs!$C$35))</f>
        <v/>
      </c>
      <c r="Q2383" s="54">
        <f>IF($B2383=0,NA(),IF(Inputs!$B$26&lt;&gt;"Yes",NA(),Inputs!$D$26*Inputs!$C$35))</f>
        <v/>
      </c>
      <c r="R2383" s="54">
        <f>IF($B2383=0,NA(),IF(Inputs!$B$27&lt;&gt;"Yes",NA(),Inputs!$D$27*Inputs!$C$35))</f>
        <v/>
      </c>
      <c r="S2383" s="54">
        <f>IF($B2383=0,NA(),IF(Inputs!$B$28&lt;&gt;"Yes",NA(),Inputs!$D$28*Inputs!$C$35))</f>
        <v/>
      </c>
      <c r="T2383" s="54">
        <f>IF($B2383=0,NA(),IF(Inputs!$B$29&lt;&gt;"Yes",NA(),Inputs!$D$29*Inputs!$C$35))</f>
        <v/>
      </c>
      <c r="AD2383">
        <f>IF($B2383=0,0,IF(Inputs!$B$6="",0,COUNTIFS(Data!$A$10:$A$3209,"&gt;="&amp;$A2383,Data!$A$10:$A$3209,"&lt;"&amp;$A2383+1)))</f>
        <v/>
      </c>
      <c r="AE2383">
        <f>IF($B2383=0,0,IF(Inputs!$B$7="",0,COUNTIFS(Data!$E$10:$E$3209,"&gt;="&amp;$A2383,Data!$E$10:$E$3209,"&lt;"&amp;$A2383+1)))</f>
        <v/>
      </c>
      <c r="AF2383">
        <f>IF($B2383=0,0,IF(Inputs!$B$8="",0,COUNTIFS(Data!$I$10:$I$3209,"&gt;="&amp;$A2383,Data!$I$10:$I$3209,"&lt;"&amp;$A2383+1)))</f>
        <v/>
      </c>
      <c r="AG2383">
        <f>IF($B2383=0,0,IF(Inputs!$B$9="",0,COUNTIFS(Data!$M$10:$M$3209,"&gt;="&amp;$A2383,Data!$M$10:$M$3209,"&lt;"&amp;$A2383+1)))</f>
        <v/>
      </c>
      <c r="AH2383">
        <f>IF($B2383=0,0,IF(Inputs!$B$10="",0,COUNTIFS(Data!$Q$10:$Q$3209,"&gt;="&amp;$A2383,Data!$Q$10:$Q$3209,"&lt;"&amp;$A2383+1)))</f>
        <v/>
      </c>
    </row>
    <row r="2384">
      <c r="A2384" s="55">
        <f>MIN(Inputs!$C$15,$A2383+IF(WEEKDAY($A2383,2)=5,3,1))</f>
        <v/>
      </c>
      <c r="B2384">
        <f>IF($A2384&gt;$A2383,1,0)</f>
        <v/>
      </c>
      <c r="C2384" s="56">
        <f>IF($B2384=0,"",IF(Inputs!$B$6="","",IF($AD2384=0,C2383,SUMIFS(Data!$B$10:$B$3209,Data!$A$10:$A$3209,"&gt;="&amp;$A2384,Data!$A$10:$A$3209,"&lt;"&amp;$A2384+1)/$AD2384)))</f>
        <v/>
      </c>
      <c r="D2384" s="56">
        <f>IF($B2384=0,"",IF(Inputs!$B$7="","",IF($AE2384=0,D2383,SUMIFS(Data!$F$10:$F$3209,Data!$E$10:$E$3209,"&gt;="&amp;$A2384,Data!$E$10:$E$3209,"&lt;"&amp;$A2384+1)/$AE2384)))</f>
        <v/>
      </c>
      <c r="E2384" s="56">
        <f>IF($B2384=0,"",IF(Inputs!$B$8="","",IF($AF2384=0,E2383,SUMIFS(Data!$J$10:$J$3209,Data!$I$10:$I$3209,"&gt;="&amp;$A2384,Data!$I$10:$I$3209,"&lt;"&amp;$A2384+1)/$AF2384)))</f>
        <v/>
      </c>
      <c r="F2384" s="56">
        <f>IF($B2384=0,"",IF(Inputs!$B$9="","",IF($AG2384=0,F2383,SUMIFS(Data!$N$10:$N$3209,Data!$M$10:$M$3209,"&gt;="&amp;$A2384,Data!$M$10:$M$3209,"&lt;"&amp;$A2384+1)/$AG2384)))</f>
        <v/>
      </c>
      <c r="G2384" s="56">
        <f>IF($B2384=0,"",IF(Inputs!$B$10="","",IF($AH2384=0,G2383,SUMIFS(Data!$R$10:$R$3209,Data!$Q$10:$Q$3209,"&gt;="&amp;$A2384,Data!$Q$10:$Q$3209,"&lt;"&amp;$A2384+1)/$AH2384)))</f>
        <v/>
      </c>
      <c r="I2384" s="54">
        <f>IF($B2384=0,NA(),IF($C2384="",NA(),IF(C$8="",NA(),IF(N(C$8)=0,NA(),IF(Inputs!$C$17="Rebased to 100",$C2384/C$8*100,$C2384)))))</f>
        <v/>
      </c>
      <c r="J2384" s="54">
        <f>IF($B2384=0,NA(),IF($D2384="",NA(),IF(D$8="",NA(),IF(N(D$8)=0,NA(),IF(Inputs!$C$17="Rebased to 100",$D2384/D$8*100,$D2384)))))</f>
        <v/>
      </c>
      <c r="K2384" s="54">
        <f>IF($B2384=0,NA(),IF($E2384="",NA(),IF(E$8="",NA(),IF(N(E$8)=0,NA(),IF(Inputs!$C$17="Rebased to 100",$E2384/E$8*100,$E2384)))))</f>
        <v/>
      </c>
      <c r="L2384" s="54">
        <f>IF($B2384=0,NA(),IF($F2384="",NA(),IF(F$8="",NA(),IF(N(F$8)=0,NA(),IF(Inputs!$C$17="Rebased to 100",$F2384/F$8*100,$F2384)))))</f>
        <v/>
      </c>
      <c r="M2384" s="54">
        <f>IF($B2384=0,NA(),IF($G2384="",NA(),IF(G$8="",NA(),IF(N(G$8)=0,NA(),IF(Inputs!$C$17="Rebased to 100",$G2384/G$8*100,$G2384)))))</f>
        <v/>
      </c>
      <c r="N2384" s="54">
        <f>IF($B2384=0,NA(),IF(Inputs!$C$18&lt;&gt;"Yes",NA(),IF(COUNT(I2384,J2384,K2384,L2384,M2384)=0,NA(),MIN(I2384,J2384,K2384,L2384,M2384))))</f>
        <v/>
      </c>
      <c r="O2384" s="54">
        <f>IF($B2384=0,NA(),IF(Inputs!$B$24&lt;&gt;"Yes",NA(),Inputs!$D$24*Inputs!$C$35))</f>
        <v/>
      </c>
      <c r="P2384" s="54">
        <f>IF($B2384=0,NA(),IF(Inputs!$B$25&lt;&gt;"Yes",NA(),Inputs!$D$25*Inputs!$C$35))</f>
        <v/>
      </c>
      <c r="Q2384" s="54">
        <f>IF($B2384=0,NA(),IF(Inputs!$B$26&lt;&gt;"Yes",NA(),Inputs!$D$26*Inputs!$C$35))</f>
        <v/>
      </c>
      <c r="R2384" s="54">
        <f>IF($B2384=0,NA(),IF(Inputs!$B$27&lt;&gt;"Yes",NA(),Inputs!$D$27*Inputs!$C$35))</f>
        <v/>
      </c>
      <c r="S2384" s="54">
        <f>IF($B2384=0,NA(),IF(Inputs!$B$28&lt;&gt;"Yes",NA(),Inputs!$D$28*Inputs!$C$35))</f>
        <v/>
      </c>
      <c r="T2384" s="54">
        <f>IF($B2384=0,NA(),IF(Inputs!$B$29&lt;&gt;"Yes",NA(),Inputs!$D$29*Inputs!$C$35))</f>
        <v/>
      </c>
      <c r="AD2384">
        <f>IF($B2384=0,0,IF(Inputs!$B$6="",0,COUNTIFS(Data!$A$10:$A$3209,"&gt;="&amp;$A2384,Data!$A$10:$A$3209,"&lt;"&amp;$A2384+1)))</f>
        <v/>
      </c>
      <c r="AE2384">
        <f>IF($B2384=0,0,IF(Inputs!$B$7="",0,COUNTIFS(Data!$E$10:$E$3209,"&gt;="&amp;$A2384,Data!$E$10:$E$3209,"&lt;"&amp;$A2384+1)))</f>
        <v/>
      </c>
      <c r="AF2384">
        <f>IF($B2384=0,0,IF(Inputs!$B$8="",0,COUNTIFS(Data!$I$10:$I$3209,"&gt;="&amp;$A2384,Data!$I$10:$I$3209,"&lt;"&amp;$A2384+1)))</f>
        <v/>
      </c>
      <c r="AG2384">
        <f>IF($B2384=0,0,IF(Inputs!$B$9="",0,COUNTIFS(Data!$M$10:$M$3209,"&gt;="&amp;$A2384,Data!$M$10:$M$3209,"&lt;"&amp;$A2384+1)))</f>
        <v/>
      </c>
      <c r="AH2384">
        <f>IF($B2384=0,0,IF(Inputs!$B$10="",0,COUNTIFS(Data!$Q$10:$Q$3209,"&gt;="&amp;$A2384,Data!$Q$10:$Q$3209,"&lt;"&amp;$A2384+1)))</f>
        <v/>
      </c>
    </row>
    <row r="2385">
      <c r="A2385" s="55">
        <f>MIN(Inputs!$C$15,$A2384+IF(WEEKDAY($A2384,2)=5,3,1))</f>
        <v/>
      </c>
      <c r="B2385">
        <f>IF($A2385&gt;$A2384,1,0)</f>
        <v/>
      </c>
      <c r="C2385" s="56">
        <f>IF($B2385=0,"",IF(Inputs!$B$6="","",IF($AD2385=0,C2384,SUMIFS(Data!$B$10:$B$3209,Data!$A$10:$A$3209,"&gt;="&amp;$A2385,Data!$A$10:$A$3209,"&lt;"&amp;$A2385+1)/$AD2385)))</f>
        <v/>
      </c>
      <c r="D2385" s="56">
        <f>IF($B2385=0,"",IF(Inputs!$B$7="","",IF($AE2385=0,D2384,SUMIFS(Data!$F$10:$F$3209,Data!$E$10:$E$3209,"&gt;="&amp;$A2385,Data!$E$10:$E$3209,"&lt;"&amp;$A2385+1)/$AE2385)))</f>
        <v/>
      </c>
      <c r="E2385" s="56">
        <f>IF($B2385=0,"",IF(Inputs!$B$8="","",IF($AF2385=0,E2384,SUMIFS(Data!$J$10:$J$3209,Data!$I$10:$I$3209,"&gt;="&amp;$A2385,Data!$I$10:$I$3209,"&lt;"&amp;$A2385+1)/$AF2385)))</f>
        <v/>
      </c>
      <c r="F2385" s="56">
        <f>IF($B2385=0,"",IF(Inputs!$B$9="","",IF($AG2385=0,F2384,SUMIFS(Data!$N$10:$N$3209,Data!$M$10:$M$3209,"&gt;="&amp;$A2385,Data!$M$10:$M$3209,"&lt;"&amp;$A2385+1)/$AG2385)))</f>
        <v/>
      </c>
      <c r="G2385" s="56">
        <f>IF($B2385=0,"",IF(Inputs!$B$10="","",IF($AH2385=0,G2384,SUMIFS(Data!$R$10:$R$3209,Data!$Q$10:$Q$3209,"&gt;="&amp;$A2385,Data!$Q$10:$Q$3209,"&lt;"&amp;$A2385+1)/$AH2385)))</f>
        <v/>
      </c>
      <c r="I2385" s="54">
        <f>IF($B2385=0,NA(),IF($C2385="",NA(),IF(C$8="",NA(),IF(N(C$8)=0,NA(),IF(Inputs!$C$17="Rebased to 100",$C2385/C$8*100,$C2385)))))</f>
        <v/>
      </c>
      <c r="J2385" s="54">
        <f>IF($B2385=0,NA(),IF($D2385="",NA(),IF(D$8="",NA(),IF(N(D$8)=0,NA(),IF(Inputs!$C$17="Rebased to 100",$D2385/D$8*100,$D2385)))))</f>
        <v/>
      </c>
      <c r="K2385" s="54">
        <f>IF($B2385=0,NA(),IF($E2385="",NA(),IF(E$8="",NA(),IF(N(E$8)=0,NA(),IF(Inputs!$C$17="Rebased to 100",$E2385/E$8*100,$E2385)))))</f>
        <v/>
      </c>
      <c r="L2385" s="54">
        <f>IF($B2385=0,NA(),IF($F2385="",NA(),IF(F$8="",NA(),IF(N(F$8)=0,NA(),IF(Inputs!$C$17="Rebased to 100",$F2385/F$8*100,$F2385)))))</f>
        <v/>
      </c>
      <c r="M2385" s="54">
        <f>IF($B2385=0,NA(),IF($G2385="",NA(),IF(G$8="",NA(),IF(N(G$8)=0,NA(),IF(Inputs!$C$17="Rebased to 100",$G2385/G$8*100,$G2385)))))</f>
        <v/>
      </c>
      <c r="N2385" s="54">
        <f>IF($B2385=0,NA(),IF(Inputs!$C$18&lt;&gt;"Yes",NA(),IF(COUNT(I2385,J2385,K2385,L2385,M2385)=0,NA(),MIN(I2385,J2385,K2385,L2385,M2385))))</f>
        <v/>
      </c>
      <c r="O2385" s="54">
        <f>IF($B2385=0,NA(),IF(Inputs!$B$24&lt;&gt;"Yes",NA(),Inputs!$D$24*Inputs!$C$35))</f>
        <v/>
      </c>
      <c r="P2385" s="54">
        <f>IF($B2385=0,NA(),IF(Inputs!$B$25&lt;&gt;"Yes",NA(),Inputs!$D$25*Inputs!$C$35))</f>
        <v/>
      </c>
      <c r="Q2385" s="54">
        <f>IF($B2385=0,NA(),IF(Inputs!$B$26&lt;&gt;"Yes",NA(),Inputs!$D$26*Inputs!$C$35))</f>
        <v/>
      </c>
      <c r="R2385" s="54">
        <f>IF($B2385=0,NA(),IF(Inputs!$B$27&lt;&gt;"Yes",NA(),Inputs!$D$27*Inputs!$C$35))</f>
        <v/>
      </c>
      <c r="S2385" s="54">
        <f>IF($B2385=0,NA(),IF(Inputs!$B$28&lt;&gt;"Yes",NA(),Inputs!$D$28*Inputs!$C$35))</f>
        <v/>
      </c>
      <c r="T2385" s="54">
        <f>IF($B2385=0,NA(),IF(Inputs!$B$29&lt;&gt;"Yes",NA(),Inputs!$D$29*Inputs!$C$35))</f>
        <v/>
      </c>
      <c r="AD2385">
        <f>IF($B2385=0,0,IF(Inputs!$B$6="",0,COUNTIFS(Data!$A$10:$A$3209,"&gt;="&amp;$A2385,Data!$A$10:$A$3209,"&lt;"&amp;$A2385+1)))</f>
        <v/>
      </c>
      <c r="AE2385">
        <f>IF($B2385=0,0,IF(Inputs!$B$7="",0,COUNTIFS(Data!$E$10:$E$3209,"&gt;="&amp;$A2385,Data!$E$10:$E$3209,"&lt;"&amp;$A2385+1)))</f>
        <v/>
      </c>
      <c r="AF2385">
        <f>IF($B2385=0,0,IF(Inputs!$B$8="",0,COUNTIFS(Data!$I$10:$I$3209,"&gt;="&amp;$A2385,Data!$I$10:$I$3209,"&lt;"&amp;$A2385+1)))</f>
        <v/>
      </c>
      <c r="AG2385">
        <f>IF($B2385=0,0,IF(Inputs!$B$9="",0,COUNTIFS(Data!$M$10:$M$3209,"&gt;="&amp;$A2385,Data!$M$10:$M$3209,"&lt;"&amp;$A2385+1)))</f>
        <v/>
      </c>
      <c r="AH2385">
        <f>IF($B2385=0,0,IF(Inputs!$B$10="",0,COUNTIFS(Data!$Q$10:$Q$3209,"&gt;="&amp;$A2385,Data!$Q$10:$Q$3209,"&lt;"&amp;$A2385+1)))</f>
        <v/>
      </c>
    </row>
    <row r="2386">
      <c r="A2386" s="55">
        <f>MIN(Inputs!$C$15,$A2385+IF(WEEKDAY($A2385,2)=5,3,1))</f>
        <v/>
      </c>
      <c r="B2386">
        <f>IF($A2386&gt;$A2385,1,0)</f>
        <v/>
      </c>
      <c r="C2386" s="56">
        <f>IF($B2386=0,"",IF(Inputs!$B$6="","",IF($AD2386=0,C2385,SUMIFS(Data!$B$10:$B$3209,Data!$A$10:$A$3209,"&gt;="&amp;$A2386,Data!$A$10:$A$3209,"&lt;"&amp;$A2386+1)/$AD2386)))</f>
        <v/>
      </c>
      <c r="D2386" s="56">
        <f>IF($B2386=0,"",IF(Inputs!$B$7="","",IF($AE2386=0,D2385,SUMIFS(Data!$F$10:$F$3209,Data!$E$10:$E$3209,"&gt;="&amp;$A2386,Data!$E$10:$E$3209,"&lt;"&amp;$A2386+1)/$AE2386)))</f>
        <v/>
      </c>
      <c r="E2386" s="56">
        <f>IF($B2386=0,"",IF(Inputs!$B$8="","",IF($AF2386=0,E2385,SUMIFS(Data!$J$10:$J$3209,Data!$I$10:$I$3209,"&gt;="&amp;$A2386,Data!$I$10:$I$3209,"&lt;"&amp;$A2386+1)/$AF2386)))</f>
        <v/>
      </c>
      <c r="F2386" s="56">
        <f>IF($B2386=0,"",IF(Inputs!$B$9="","",IF($AG2386=0,F2385,SUMIFS(Data!$N$10:$N$3209,Data!$M$10:$M$3209,"&gt;="&amp;$A2386,Data!$M$10:$M$3209,"&lt;"&amp;$A2386+1)/$AG2386)))</f>
        <v/>
      </c>
      <c r="G2386" s="56">
        <f>IF($B2386=0,"",IF(Inputs!$B$10="","",IF($AH2386=0,G2385,SUMIFS(Data!$R$10:$R$3209,Data!$Q$10:$Q$3209,"&gt;="&amp;$A2386,Data!$Q$10:$Q$3209,"&lt;"&amp;$A2386+1)/$AH2386)))</f>
        <v/>
      </c>
      <c r="I2386" s="54">
        <f>IF($B2386=0,NA(),IF($C2386="",NA(),IF(C$8="",NA(),IF(N(C$8)=0,NA(),IF(Inputs!$C$17="Rebased to 100",$C2386/C$8*100,$C2386)))))</f>
        <v/>
      </c>
      <c r="J2386" s="54">
        <f>IF($B2386=0,NA(),IF($D2386="",NA(),IF(D$8="",NA(),IF(N(D$8)=0,NA(),IF(Inputs!$C$17="Rebased to 100",$D2386/D$8*100,$D2386)))))</f>
        <v/>
      </c>
      <c r="K2386" s="54">
        <f>IF($B2386=0,NA(),IF($E2386="",NA(),IF(E$8="",NA(),IF(N(E$8)=0,NA(),IF(Inputs!$C$17="Rebased to 100",$E2386/E$8*100,$E2386)))))</f>
        <v/>
      </c>
      <c r="L2386" s="54">
        <f>IF($B2386=0,NA(),IF($F2386="",NA(),IF(F$8="",NA(),IF(N(F$8)=0,NA(),IF(Inputs!$C$17="Rebased to 100",$F2386/F$8*100,$F2386)))))</f>
        <v/>
      </c>
      <c r="M2386" s="54">
        <f>IF($B2386=0,NA(),IF($G2386="",NA(),IF(G$8="",NA(),IF(N(G$8)=0,NA(),IF(Inputs!$C$17="Rebased to 100",$G2386/G$8*100,$G2386)))))</f>
        <v/>
      </c>
      <c r="N2386" s="54">
        <f>IF($B2386=0,NA(),IF(Inputs!$C$18&lt;&gt;"Yes",NA(),IF(COUNT(I2386,J2386,K2386,L2386,M2386)=0,NA(),MIN(I2386,J2386,K2386,L2386,M2386))))</f>
        <v/>
      </c>
      <c r="O2386" s="54">
        <f>IF($B2386=0,NA(),IF(Inputs!$B$24&lt;&gt;"Yes",NA(),Inputs!$D$24*Inputs!$C$35))</f>
        <v/>
      </c>
      <c r="P2386" s="54">
        <f>IF($B2386=0,NA(),IF(Inputs!$B$25&lt;&gt;"Yes",NA(),Inputs!$D$25*Inputs!$C$35))</f>
        <v/>
      </c>
      <c r="Q2386" s="54">
        <f>IF($B2386=0,NA(),IF(Inputs!$B$26&lt;&gt;"Yes",NA(),Inputs!$D$26*Inputs!$C$35))</f>
        <v/>
      </c>
      <c r="R2386" s="54">
        <f>IF($B2386=0,NA(),IF(Inputs!$B$27&lt;&gt;"Yes",NA(),Inputs!$D$27*Inputs!$C$35))</f>
        <v/>
      </c>
      <c r="S2386" s="54">
        <f>IF($B2386=0,NA(),IF(Inputs!$B$28&lt;&gt;"Yes",NA(),Inputs!$D$28*Inputs!$C$35))</f>
        <v/>
      </c>
      <c r="T2386" s="54">
        <f>IF($B2386=0,NA(),IF(Inputs!$B$29&lt;&gt;"Yes",NA(),Inputs!$D$29*Inputs!$C$35))</f>
        <v/>
      </c>
      <c r="AD2386">
        <f>IF($B2386=0,0,IF(Inputs!$B$6="",0,COUNTIFS(Data!$A$10:$A$3209,"&gt;="&amp;$A2386,Data!$A$10:$A$3209,"&lt;"&amp;$A2386+1)))</f>
        <v/>
      </c>
      <c r="AE2386">
        <f>IF($B2386=0,0,IF(Inputs!$B$7="",0,COUNTIFS(Data!$E$10:$E$3209,"&gt;="&amp;$A2386,Data!$E$10:$E$3209,"&lt;"&amp;$A2386+1)))</f>
        <v/>
      </c>
      <c r="AF2386">
        <f>IF($B2386=0,0,IF(Inputs!$B$8="",0,COUNTIFS(Data!$I$10:$I$3209,"&gt;="&amp;$A2386,Data!$I$10:$I$3209,"&lt;"&amp;$A2386+1)))</f>
        <v/>
      </c>
      <c r="AG2386">
        <f>IF($B2386=0,0,IF(Inputs!$B$9="",0,COUNTIFS(Data!$M$10:$M$3209,"&gt;="&amp;$A2386,Data!$M$10:$M$3209,"&lt;"&amp;$A2386+1)))</f>
        <v/>
      </c>
      <c r="AH2386">
        <f>IF($B2386=0,0,IF(Inputs!$B$10="",0,COUNTIFS(Data!$Q$10:$Q$3209,"&gt;="&amp;$A2386,Data!$Q$10:$Q$3209,"&lt;"&amp;$A2386+1)))</f>
        <v/>
      </c>
    </row>
    <row r="2387">
      <c r="A2387" s="55">
        <f>MIN(Inputs!$C$15,$A2386+IF(WEEKDAY($A2386,2)=5,3,1))</f>
        <v/>
      </c>
      <c r="B2387">
        <f>IF($A2387&gt;$A2386,1,0)</f>
        <v/>
      </c>
      <c r="C2387" s="56">
        <f>IF($B2387=0,"",IF(Inputs!$B$6="","",IF($AD2387=0,C2386,SUMIFS(Data!$B$10:$B$3209,Data!$A$10:$A$3209,"&gt;="&amp;$A2387,Data!$A$10:$A$3209,"&lt;"&amp;$A2387+1)/$AD2387)))</f>
        <v/>
      </c>
      <c r="D2387" s="56">
        <f>IF($B2387=0,"",IF(Inputs!$B$7="","",IF($AE2387=0,D2386,SUMIFS(Data!$F$10:$F$3209,Data!$E$10:$E$3209,"&gt;="&amp;$A2387,Data!$E$10:$E$3209,"&lt;"&amp;$A2387+1)/$AE2387)))</f>
        <v/>
      </c>
      <c r="E2387" s="56">
        <f>IF($B2387=0,"",IF(Inputs!$B$8="","",IF($AF2387=0,E2386,SUMIFS(Data!$J$10:$J$3209,Data!$I$10:$I$3209,"&gt;="&amp;$A2387,Data!$I$10:$I$3209,"&lt;"&amp;$A2387+1)/$AF2387)))</f>
        <v/>
      </c>
      <c r="F2387" s="56">
        <f>IF($B2387=0,"",IF(Inputs!$B$9="","",IF($AG2387=0,F2386,SUMIFS(Data!$N$10:$N$3209,Data!$M$10:$M$3209,"&gt;="&amp;$A2387,Data!$M$10:$M$3209,"&lt;"&amp;$A2387+1)/$AG2387)))</f>
        <v/>
      </c>
      <c r="G2387" s="56">
        <f>IF($B2387=0,"",IF(Inputs!$B$10="","",IF($AH2387=0,G2386,SUMIFS(Data!$R$10:$R$3209,Data!$Q$10:$Q$3209,"&gt;="&amp;$A2387,Data!$Q$10:$Q$3209,"&lt;"&amp;$A2387+1)/$AH2387)))</f>
        <v/>
      </c>
      <c r="I2387" s="54">
        <f>IF($B2387=0,NA(),IF($C2387="",NA(),IF(C$8="",NA(),IF(N(C$8)=0,NA(),IF(Inputs!$C$17="Rebased to 100",$C2387/C$8*100,$C2387)))))</f>
        <v/>
      </c>
      <c r="J2387" s="54">
        <f>IF($B2387=0,NA(),IF($D2387="",NA(),IF(D$8="",NA(),IF(N(D$8)=0,NA(),IF(Inputs!$C$17="Rebased to 100",$D2387/D$8*100,$D2387)))))</f>
        <v/>
      </c>
      <c r="K2387" s="54">
        <f>IF($B2387=0,NA(),IF($E2387="",NA(),IF(E$8="",NA(),IF(N(E$8)=0,NA(),IF(Inputs!$C$17="Rebased to 100",$E2387/E$8*100,$E2387)))))</f>
        <v/>
      </c>
      <c r="L2387" s="54">
        <f>IF($B2387=0,NA(),IF($F2387="",NA(),IF(F$8="",NA(),IF(N(F$8)=0,NA(),IF(Inputs!$C$17="Rebased to 100",$F2387/F$8*100,$F2387)))))</f>
        <v/>
      </c>
      <c r="M2387" s="54">
        <f>IF($B2387=0,NA(),IF($G2387="",NA(),IF(G$8="",NA(),IF(N(G$8)=0,NA(),IF(Inputs!$C$17="Rebased to 100",$G2387/G$8*100,$G2387)))))</f>
        <v/>
      </c>
      <c r="N2387" s="54">
        <f>IF($B2387=0,NA(),IF(Inputs!$C$18&lt;&gt;"Yes",NA(),IF(COUNT(I2387,J2387,K2387,L2387,M2387)=0,NA(),MIN(I2387,J2387,K2387,L2387,M2387))))</f>
        <v/>
      </c>
      <c r="O2387" s="54">
        <f>IF($B2387=0,NA(),IF(Inputs!$B$24&lt;&gt;"Yes",NA(),Inputs!$D$24*Inputs!$C$35))</f>
        <v/>
      </c>
      <c r="P2387" s="54">
        <f>IF($B2387=0,NA(),IF(Inputs!$B$25&lt;&gt;"Yes",NA(),Inputs!$D$25*Inputs!$C$35))</f>
        <v/>
      </c>
      <c r="Q2387" s="54">
        <f>IF($B2387=0,NA(),IF(Inputs!$B$26&lt;&gt;"Yes",NA(),Inputs!$D$26*Inputs!$C$35))</f>
        <v/>
      </c>
      <c r="R2387" s="54">
        <f>IF($B2387=0,NA(),IF(Inputs!$B$27&lt;&gt;"Yes",NA(),Inputs!$D$27*Inputs!$C$35))</f>
        <v/>
      </c>
      <c r="S2387" s="54">
        <f>IF($B2387=0,NA(),IF(Inputs!$B$28&lt;&gt;"Yes",NA(),Inputs!$D$28*Inputs!$C$35))</f>
        <v/>
      </c>
      <c r="T2387" s="54">
        <f>IF($B2387=0,NA(),IF(Inputs!$B$29&lt;&gt;"Yes",NA(),Inputs!$D$29*Inputs!$C$35))</f>
        <v/>
      </c>
      <c r="AD2387">
        <f>IF($B2387=0,0,IF(Inputs!$B$6="",0,COUNTIFS(Data!$A$10:$A$3209,"&gt;="&amp;$A2387,Data!$A$10:$A$3209,"&lt;"&amp;$A2387+1)))</f>
        <v/>
      </c>
      <c r="AE2387">
        <f>IF($B2387=0,0,IF(Inputs!$B$7="",0,COUNTIFS(Data!$E$10:$E$3209,"&gt;="&amp;$A2387,Data!$E$10:$E$3209,"&lt;"&amp;$A2387+1)))</f>
        <v/>
      </c>
      <c r="AF2387">
        <f>IF($B2387=0,0,IF(Inputs!$B$8="",0,COUNTIFS(Data!$I$10:$I$3209,"&gt;="&amp;$A2387,Data!$I$10:$I$3209,"&lt;"&amp;$A2387+1)))</f>
        <v/>
      </c>
      <c r="AG2387">
        <f>IF($B2387=0,0,IF(Inputs!$B$9="",0,COUNTIFS(Data!$M$10:$M$3209,"&gt;="&amp;$A2387,Data!$M$10:$M$3209,"&lt;"&amp;$A2387+1)))</f>
        <v/>
      </c>
      <c r="AH2387">
        <f>IF($B2387=0,0,IF(Inputs!$B$10="",0,COUNTIFS(Data!$Q$10:$Q$3209,"&gt;="&amp;$A2387,Data!$Q$10:$Q$3209,"&lt;"&amp;$A2387+1)))</f>
        <v/>
      </c>
    </row>
    <row r="2388">
      <c r="A2388" s="55">
        <f>MIN(Inputs!$C$15,$A2387+IF(WEEKDAY($A2387,2)=5,3,1))</f>
        <v/>
      </c>
      <c r="B2388">
        <f>IF($A2388&gt;$A2387,1,0)</f>
        <v/>
      </c>
      <c r="C2388" s="56">
        <f>IF($B2388=0,"",IF(Inputs!$B$6="","",IF($AD2388=0,C2387,SUMIFS(Data!$B$10:$B$3209,Data!$A$10:$A$3209,"&gt;="&amp;$A2388,Data!$A$10:$A$3209,"&lt;"&amp;$A2388+1)/$AD2388)))</f>
        <v/>
      </c>
      <c r="D2388" s="56">
        <f>IF($B2388=0,"",IF(Inputs!$B$7="","",IF($AE2388=0,D2387,SUMIFS(Data!$F$10:$F$3209,Data!$E$10:$E$3209,"&gt;="&amp;$A2388,Data!$E$10:$E$3209,"&lt;"&amp;$A2388+1)/$AE2388)))</f>
        <v/>
      </c>
      <c r="E2388" s="56">
        <f>IF($B2388=0,"",IF(Inputs!$B$8="","",IF($AF2388=0,E2387,SUMIFS(Data!$J$10:$J$3209,Data!$I$10:$I$3209,"&gt;="&amp;$A2388,Data!$I$10:$I$3209,"&lt;"&amp;$A2388+1)/$AF2388)))</f>
        <v/>
      </c>
      <c r="F2388" s="56">
        <f>IF($B2388=0,"",IF(Inputs!$B$9="","",IF($AG2388=0,F2387,SUMIFS(Data!$N$10:$N$3209,Data!$M$10:$M$3209,"&gt;="&amp;$A2388,Data!$M$10:$M$3209,"&lt;"&amp;$A2388+1)/$AG2388)))</f>
        <v/>
      </c>
      <c r="G2388" s="56">
        <f>IF($B2388=0,"",IF(Inputs!$B$10="","",IF($AH2388=0,G2387,SUMIFS(Data!$R$10:$R$3209,Data!$Q$10:$Q$3209,"&gt;="&amp;$A2388,Data!$Q$10:$Q$3209,"&lt;"&amp;$A2388+1)/$AH2388)))</f>
        <v/>
      </c>
      <c r="I2388" s="54">
        <f>IF($B2388=0,NA(),IF($C2388="",NA(),IF(C$8="",NA(),IF(N(C$8)=0,NA(),IF(Inputs!$C$17="Rebased to 100",$C2388/C$8*100,$C2388)))))</f>
        <v/>
      </c>
      <c r="J2388" s="54">
        <f>IF($B2388=0,NA(),IF($D2388="",NA(),IF(D$8="",NA(),IF(N(D$8)=0,NA(),IF(Inputs!$C$17="Rebased to 100",$D2388/D$8*100,$D2388)))))</f>
        <v/>
      </c>
      <c r="K2388" s="54">
        <f>IF($B2388=0,NA(),IF($E2388="",NA(),IF(E$8="",NA(),IF(N(E$8)=0,NA(),IF(Inputs!$C$17="Rebased to 100",$E2388/E$8*100,$E2388)))))</f>
        <v/>
      </c>
      <c r="L2388" s="54">
        <f>IF($B2388=0,NA(),IF($F2388="",NA(),IF(F$8="",NA(),IF(N(F$8)=0,NA(),IF(Inputs!$C$17="Rebased to 100",$F2388/F$8*100,$F2388)))))</f>
        <v/>
      </c>
      <c r="M2388" s="54">
        <f>IF($B2388=0,NA(),IF($G2388="",NA(),IF(G$8="",NA(),IF(N(G$8)=0,NA(),IF(Inputs!$C$17="Rebased to 100",$G2388/G$8*100,$G2388)))))</f>
        <v/>
      </c>
      <c r="N2388" s="54">
        <f>IF($B2388=0,NA(),IF(Inputs!$C$18&lt;&gt;"Yes",NA(),IF(COUNT(I2388,J2388,K2388,L2388,M2388)=0,NA(),MIN(I2388,J2388,K2388,L2388,M2388))))</f>
        <v/>
      </c>
      <c r="O2388" s="54">
        <f>IF($B2388=0,NA(),IF(Inputs!$B$24&lt;&gt;"Yes",NA(),Inputs!$D$24*Inputs!$C$35))</f>
        <v/>
      </c>
      <c r="P2388" s="54">
        <f>IF($B2388=0,NA(),IF(Inputs!$B$25&lt;&gt;"Yes",NA(),Inputs!$D$25*Inputs!$C$35))</f>
        <v/>
      </c>
      <c r="Q2388" s="54">
        <f>IF($B2388=0,NA(),IF(Inputs!$B$26&lt;&gt;"Yes",NA(),Inputs!$D$26*Inputs!$C$35))</f>
        <v/>
      </c>
      <c r="R2388" s="54">
        <f>IF($B2388=0,NA(),IF(Inputs!$B$27&lt;&gt;"Yes",NA(),Inputs!$D$27*Inputs!$C$35))</f>
        <v/>
      </c>
      <c r="S2388" s="54">
        <f>IF($B2388=0,NA(),IF(Inputs!$B$28&lt;&gt;"Yes",NA(),Inputs!$D$28*Inputs!$C$35))</f>
        <v/>
      </c>
      <c r="T2388" s="54">
        <f>IF($B2388=0,NA(),IF(Inputs!$B$29&lt;&gt;"Yes",NA(),Inputs!$D$29*Inputs!$C$35))</f>
        <v/>
      </c>
      <c r="AD2388">
        <f>IF($B2388=0,0,IF(Inputs!$B$6="",0,COUNTIFS(Data!$A$10:$A$3209,"&gt;="&amp;$A2388,Data!$A$10:$A$3209,"&lt;"&amp;$A2388+1)))</f>
        <v/>
      </c>
      <c r="AE2388">
        <f>IF($B2388=0,0,IF(Inputs!$B$7="",0,COUNTIFS(Data!$E$10:$E$3209,"&gt;="&amp;$A2388,Data!$E$10:$E$3209,"&lt;"&amp;$A2388+1)))</f>
        <v/>
      </c>
      <c r="AF2388">
        <f>IF($B2388=0,0,IF(Inputs!$B$8="",0,COUNTIFS(Data!$I$10:$I$3209,"&gt;="&amp;$A2388,Data!$I$10:$I$3209,"&lt;"&amp;$A2388+1)))</f>
        <v/>
      </c>
      <c r="AG2388">
        <f>IF($B2388=0,0,IF(Inputs!$B$9="",0,COUNTIFS(Data!$M$10:$M$3209,"&gt;="&amp;$A2388,Data!$M$10:$M$3209,"&lt;"&amp;$A2388+1)))</f>
        <v/>
      </c>
      <c r="AH2388">
        <f>IF($B2388=0,0,IF(Inputs!$B$10="",0,COUNTIFS(Data!$Q$10:$Q$3209,"&gt;="&amp;$A2388,Data!$Q$10:$Q$3209,"&lt;"&amp;$A2388+1)))</f>
        <v/>
      </c>
    </row>
    <row r="2389">
      <c r="A2389" s="55">
        <f>MIN(Inputs!$C$15,$A2388+IF(WEEKDAY($A2388,2)=5,3,1))</f>
        <v/>
      </c>
      <c r="B2389">
        <f>IF($A2389&gt;$A2388,1,0)</f>
        <v/>
      </c>
      <c r="C2389" s="56">
        <f>IF($B2389=0,"",IF(Inputs!$B$6="","",IF($AD2389=0,C2388,SUMIFS(Data!$B$10:$B$3209,Data!$A$10:$A$3209,"&gt;="&amp;$A2389,Data!$A$10:$A$3209,"&lt;"&amp;$A2389+1)/$AD2389)))</f>
        <v/>
      </c>
      <c r="D2389" s="56">
        <f>IF($B2389=0,"",IF(Inputs!$B$7="","",IF($AE2389=0,D2388,SUMIFS(Data!$F$10:$F$3209,Data!$E$10:$E$3209,"&gt;="&amp;$A2389,Data!$E$10:$E$3209,"&lt;"&amp;$A2389+1)/$AE2389)))</f>
        <v/>
      </c>
      <c r="E2389" s="56">
        <f>IF($B2389=0,"",IF(Inputs!$B$8="","",IF($AF2389=0,E2388,SUMIFS(Data!$J$10:$J$3209,Data!$I$10:$I$3209,"&gt;="&amp;$A2389,Data!$I$10:$I$3209,"&lt;"&amp;$A2389+1)/$AF2389)))</f>
        <v/>
      </c>
      <c r="F2389" s="56">
        <f>IF($B2389=0,"",IF(Inputs!$B$9="","",IF($AG2389=0,F2388,SUMIFS(Data!$N$10:$N$3209,Data!$M$10:$M$3209,"&gt;="&amp;$A2389,Data!$M$10:$M$3209,"&lt;"&amp;$A2389+1)/$AG2389)))</f>
        <v/>
      </c>
      <c r="G2389" s="56">
        <f>IF($B2389=0,"",IF(Inputs!$B$10="","",IF($AH2389=0,G2388,SUMIFS(Data!$R$10:$R$3209,Data!$Q$10:$Q$3209,"&gt;="&amp;$A2389,Data!$Q$10:$Q$3209,"&lt;"&amp;$A2389+1)/$AH2389)))</f>
        <v/>
      </c>
      <c r="I2389" s="54">
        <f>IF($B2389=0,NA(),IF($C2389="",NA(),IF(C$8="",NA(),IF(N(C$8)=0,NA(),IF(Inputs!$C$17="Rebased to 100",$C2389/C$8*100,$C2389)))))</f>
        <v/>
      </c>
      <c r="J2389" s="54">
        <f>IF($B2389=0,NA(),IF($D2389="",NA(),IF(D$8="",NA(),IF(N(D$8)=0,NA(),IF(Inputs!$C$17="Rebased to 100",$D2389/D$8*100,$D2389)))))</f>
        <v/>
      </c>
      <c r="K2389" s="54">
        <f>IF($B2389=0,NA(),IF($E2389="",NA(),IF(E$8="",NA(),IF(N(E$8)=0,NA(),IF(Inputs!$C$17="Rebased to 100",$E2389/E$8*100,$E2389)))))</f>
        <v/>
      </c>
      <c r="L2389" s="54">
        <f>IF($B2389=0,NA(),IF($F2389="",NA(),IF(F$8="",NA(),IF(N(F$8)=0,NA(),IF(Inputs!$C$17="Rebased to 100",$F2389/F$8*100,$F2389)))))</f>
        <v/>
      </c>
      <c r="M2389" s="54">
        <f>IF($B2389=0,NA(),IF($G2389="",NA(),IF(G$8="",NA(),IF(N(G$8)=0,NA(),IF(Inputs!$C$17="Rebased to 100",$G2389/G$8*100,$G2389)))))</f>
        <v/>
      </c>
      <c r="N2389" s="54">
        <f>IF($B2389=0,NA(),IF(Inputs!$C$18&lt;&gt;"Yes",NA(),IF(COUNT(I2389,J2389,K2389,L2389,M2389)=0,NA(),MIN(I2389,J2389,K2389,L2389,M2389))))</f>
        <v/>
      </c>
      <c r="O2389" s="54">
        <f>IF($B2389=0,NA(),IF(Inputs!$B$24&lt;&gt;"Yes",NA(),Inputs!$D$24*Inputs!$C$35))</f>
        <v/>
      </c>
      <c r="P2389" s="54">
        <f>IF($B2389=0,NA(),IF(Inputs!$B$25&lt;&gt;"Yes",NA(),Inputs!$D$25*Inputs!$C$35))</f>
        <v/>
      </c>
      <c r="Q2389" s="54">
        <f>IF($B2389=0,NA(),IF(Inputs!$B$26&lt;&gt;"Yes",NA(),Inputs!$D$26*Inputs!$C$35))</f>
        <v/>
      </c>
      <c r="R2389" s="54">
        <f>IF($B2389=0,NA(),IF(Inputs!$B$27&lt;&gt;"Yes",NA(),Inputs!$D$27*Inputs!$C$35))</f>
        <v/>
      </c>
      <c r="S2389" s="54">
        <f>IF($B2389=0,NA(),IF(Inputs!$B$28&lt;&gt;"Yes",NA(),Inputs!$D$28*Inputs!$C$35))</f>
        <v/>
      </c>
      <c r="T2389" s="54">
        <f>IF($B2389=0,NA(),IF(Inputs!$B$29&lt;&gt;"Yes",NA(),Inputs!$D$29*Inputs!$C$35))</f>
        <v/>
      </c>
      <c r="AD2389">
        <f>IF($B2389=0,0,IF(Inputs!$B$6="",0,COUNTIFS(Data!$A$10:$A$3209,"&gt;="&amp;$A2389,Data!$A$10:$A$3209,"&lt;"&amp;$A2389+1)))</f>
        <v/>
      </c>
      <c r="AE2389">
        <f>IF($B2389=0,0,IF(Inputs!$B$7="",0,COUNTIFS(Data!$E$10:$E$3209,"&gt;="&amp;$A2389,Data!$E$10:$E$3209,"&lt;"&amp;$A2389+1)))</f>
        <v/>
      </c>
      <c r="AF2389">
        <f>IF($B2389=0,0,IF(Inputs!$B$8="",0,COUNTIFS(Data!$I$10:$I$3209,"&gt;="&amp;$A2389,Data!$I$10:$I$3209,"&lt;"&amp;$A2389+1)))</f>
        <v/>
      </c>
      <c r="AG2389">
        <f>IF($B2389=0,0,IF(Inputs!$B$9="",0,COUNTIFS(Data!$M$10:$M$3209,"&gt;="&amp;$A2389,Data!$M$10:$M$3209,"&lt;"&amp;$A2389+1)))</f>
        <v/>
      </c>
      <c r="AH2389">
        <f>IF($B2389=0,0,IF(Inputs!$B$10="",0,COUNTIFS(Data!$Q$10:$Q$3209,"&gt;="&amp;$A2389,Data!$Q$10:$Q$3209,"&lt;"&amp;$A2389+1)))</f>
        <v/>
      </c>
    </row>
    <row r="2390">
      <c r="A2390" s="55">
        <f>MIN(Inputs!$C$15,$A2389+IF(WEEKDAY($A2389,2)=5,3,1))</f>
        <v/>
      </c>
      <c r="B2390">
        <f>IF($A2390&gt;$A2389,1,0)</f>
        <v/>
      </c>
      <c r="C2390" s="56">
        <f>IF($B2390=0,"",IF(Inputs!$B$6="","",IF($AD2390=0,C2389,SUMIFS(Data!$B$10:$B$3209,Data!$A$10:$A$3209,"&gt;="&amp;$A2390,Data!$A$10:$A$3209,"&lt;"&amp;$A2390+1)/$AD2390)))</f>
        <v/>
      </c>
      <c r="D2390" s="56">
        <f>IF($B2390=0,"",IF(Inputs!$B$7="","",IF($AE2390=0,D2389,SUMIFS(Data!$F$10:$F$3209,Data!$E$10:$E$3209,"&gt;="&amp;$A2390,Data!$E$10:$E$3209,"&lt;"&amp;$A2390+1)/$AE2390)))</f>
        <v/>
      </c>
      <c r="E2390" s="56">
        <f>IF($B2390=0,"",IF(Inputs!$B$8="","",IF($AF2390=0,E2389,SUMIFS(Data!$J$10:$J$3209,Data!$I$10:$I$3209,"&gt;="&amp;$A2390,Data!$I$10:$I$3209,"&lt;"&amp;$A2390+1)/$AF2390)))</f>
        <v/>
      </c>
      <c r="F2390" s="56">
        <f>IF($B2390=0,"",IF(Inputs!$B$9="","",IF($AG2390=0,F2389,SUMIFS(Data!$N$10:$N$3209,Data!$M$10:$M$3209,"&gt;="&amp;$A2390,Data!$M$10:$M$3209,"&lt;"&amp;$A2390+1)/$AG2390)))</f>
        <v/>
      </c>
      <c r="G2390" s="56">
        <f>IF($B2390=0,"",IF(Inputs!$B$10="","",IF($AH2390=0,G2389,SUMIFS(Data!$R$10:$R$3209,Data!$Q$10:$Q$3209,"&gt;="&amp;$A2390,Data!$Q$10:$Q$3209,"&lt;"&amp;$A2390+1)/$AH2390)))</f>
        <v/>
      </c>
      <c r="I2390" s="54">
        <f>IF($B2390=0,NA(),IF($C2390="",NA(),IF(C$8="",NA(),IF(N(C$8)=0,NA(),IF(Inputs!$C$17="Rebased to 100",$C2390/C$8*100,$C2390)))))</f>
        <v/>
      </c>
      <c r="J2390" s="54">
        <f>IF($B2390=0,NA(),IF($D2390="",NA(),IF(D$8="",NA(),IF(N(D$8)=0,NA(),IF(Inputs!$C$17="Rebased to 100",$D2390/D$8*100,$D2390)))))</f>
        <v/>
      </c>
      <c r="K2390" s="54">
        <f>IF($B2390=0,NA(),IF($E2390="",NA(),IF(E$8="",NA(),IF(N(E$8)=0,NA(),IF(Inputs!$C$17="Rebased to 100",$E2390/E$8*100,$E2390)))))</f>
        <v/>
      </c>
      <c r="L2390" s="54">
        <f>IF($B2390=0,NA(),IF($F2390="",NA(),IF(F$8="",NA(),IF(N(F$8)=0,NA(),IF(Inputs!$C$17="Rebased to 100",$F2390/F$8*100,$F2390)))))</f>
        <v/>
      </c>
      <c r="M2390" s="54">
        <f>IF($B2390=0,NA(),IF($G2390="",NA(),IF(G$8="",NA(),IF(N(G$8)=0,NA(),IF(Inputs!$C$17="Rebased to 100",$G2390/G$8*100,$G2390)))))</f>
        <v/>
      </c>
      <c r="N2390" s="54">
        <f>IF($B2390=0,NA(),IF(Inputs!$C$18&lt;&gt;"Yes",NA(),IF(COUNT(I2390,J2390,K2390,L2390,M2390)=0,NA(),MIN(I2390,J2390,K2390,L2390,M2390))))</f>
        <v/>
      </c>
      <c r="O2390" s="54">
        <f>IF($B2390=0,NA(),IF(Inputs!$B$24&lt;&gt;"Yes",NA(),Inputs!$D$24*Inputs!$C$35))</f>
        <v/>
      </c>
      <c r="P2390" s="54">
        <f>IF($B2390=0,NA(),IF(Inputs!$B$25&lt;&gt;"Yes",NA(),Inputs!$D$25*Inputs!$C$35))</f>
        <v/>
      </c>
      <c r="Q2390" s="54">
        <f>IF($B2390=0,NA(),IF(Inputs!$B$26&lt;&gt;"Yes",NA(),Inputs!$D$26*Inputs!$C$35))</f>
        <v/>
      </c>
      <c r="R2390" s="54">
        <f>IF($B2390=0,NA(),IF(Inputs!$B$27&lt;&gt;"Yes",NA(),Inputs!$D$27*Inputs!$C$35))</f>
        <v/>
      </c>
      <c r="S2390" s="54">
        <f>IF($B2390=0,NA(),IF(Inputs!$B$28&lt;&gt;"Yes",NA(),Inputs!$D$28*Inputs!$C$35))</f>
        <v/>
      </c>
      <c r="T2390" s="54">
        <f>IF($B2390=0,NA(),IF(Inputs!$B$29&lt;&gt;"Yes",NA(),Inputs!$D$29*Inputs!$C$35))</f>
        <v/>
      </c>
      <c r="AD2390">
        <f>IF($B2390=0,0,IF(Inputs!$B$6="",0,COUNTIFS(Data!$A$10:$A$3209,"&gt;="&amp;$A2390,Data!$A$10:$A$3209,"&lt;"&amp;$A2390+1)))</f>
        <v/>
      </c>
      <c r="AE2390">
        <f>IF($B2390=0,0,IF(Inputs!$B$7="",0,COUNTIFS(Data!$E$10:$E$3209,"&gt;="&amp;$A2390,Data!$E$10:$E$3209,"&lt;"&amp;$A2390+1)))</f>
        <v/>
      </c>
      <c r="AF2390">
        <f>IF($B2390=0,0,IF(Inputs!$B$8="",0,COUNTIFS(Data!$I$10:$I$3209,"&gt;="&amp;$A2390,Data!$I$10:$I$3209,"&lt;"&amp;$A2390+1)))</f>
        <v/>
      </c>
      <c r="AG2390">
        <f>IF($B2390=0,0,IF(Inputs!$B$9="",0,COUNTIFS(Data!$M$10:$M$3209,"&gt;="&amp;$A2390,Data!$M$10:$M$3209,"&lt;"&amp;$A2390+1)))</f>
        <v/>
      </c>
      <c r="AH2390">
        <f>IF($B2390=0,0,IF(Inputs!$B$10="",0,COUNTIFS(Data!$Q$10:$Q$3209,"&gt;="&amp;$A2390,Data!$Q$10:$Q$3209,"&lt;"&amp;$A2390+1)))</f>
        <v/>
      </c>
    </row>
    <row r="2391">
      <c r="A2391" s="55">
        <f>MIN(Inputs!$C$15,$A2390+IF(WEEKDAY($A2390,2)=5,3,1))</f>
        <v/>
      </c>
      <c r="B2391">
        <f>IF($A2391&gt;$A2390,1,0)</f>
        <v/>
      </c>
      <c r="C2391" s="56">
        <f>IF($B2391=0,"",IF(Inputs!$B$6="","",IF($AD2391=0,C2390,SUMIFS(Data!$B$10:$B$3209,Data!$A$10:$A$3209,"&gt;="&amp;$A2391,Data!$A$10:$A$3209,"&lt;"&amp;$A2391+1)/$AD2391)))</f>
        <v/>
      </c>
      <c r="D2391" s="56">
        <f>IF($B2391=0,"",IF(Inputs!$B$7="","",IF($AE2391=0,D2390,SUMIFS(Data!$F$10:$F$3209,Data!$E$10:$E$3209,"&gt;="&amp;$A2391,Data!$E$10:$E$3209,"&lt;"&amp;$A2391+1)/$AE2391)))</f>
        <v/>
      </c>
      <c r="E2391" s="56">
        <f>IF($B2391=0,"",IF(Inputs!$B$8="","",IF($AF2391=0,E2390,SUMIFS(Data!$J$10:$J$3209,Data!$I$10:$I$3209,"&gt;="&amp;$A2391,Data!$I$10:$I$3209,"&lt;"&amp;$A2391+1)/$AF2391)))</f>
        <v/>
      </c>
      <c r="F2391" s="56">
        <f>IF($B2391=0,"",IF(Inputs!$B$9="","",IF($AG2391=0,F2390,SUMIFS(Data!$N$10:$N$3209,Data!$M$10:$M$3209,"&gt;="&amp;$A2391,Data!$M$10:$M$3209,"&lt;"&amp;$A2391+1)/$AG2391)))</f>
        <v/>
      </c>
      <c r="G2391" s="56">
        <f>IF($B2391=0,"",IF(Inputs!$B$10="","",IF($AH2391=0,G2390,SUMIFS(Data!$R$10:$R$3209,Data!$Q$10:$Q$3209,"&gt;="&amp;$A2391,Data!$Q$10:$Q$3209,"&lt;"&amp;$A2391+1)/$AH2391)))</f>
        <v/>
      </c>
      <c r="I2391" s="54">
        <f>IF($B2391=0,NA(),IF($C2391="",NA(),IF(C$8="",NA(),IF(N(C$8)=0,NA(),IF(Inputs!$C$17="Rebased to 100",$C2391/C$8*100,$C2391)))))</f>
        <v/>
      </c>
      <c r="J2391" s="54">
        <f>IF($B2391=0,NA(),IF($D2391="",NA(),IF(D$8="",NA(),IF(N(D$8)=0,NA(),IF(Inputs!$C$17="Rebased to 100",$D2391/D$8*100,$D2391)))))</f>
        <v/>
      </c>
      <c r="K2391" s="54">
        <f>IF($B2391=0,NA(),IF($E2391="",NA(),IF(E$8="",NA(),IF(N(E$8)=0,NA(),IF(Inputs!$C$17="Rebased to 100",$E2391/E$8*100,$E2391)))))</f>
        <v/>
      </c>
      <c r="L2391" s="54">
        <f>IF($B2391=0,NA(),IF($F2391="",NA(),IF(F$8="",NA(),IF(N(F$8)=0,NA(),IF(Inputs!$C$17="Rebased to 100",$F2391/F$8*100,$F2391)))))</f>
        <v/>
      </c>
      <c r="M2391" s="54">
        <f>IF($B2391=0,NA(),IF($G2391="",NA(),IF(G$8="",NA(),IF(N(G$8)=0,NA(),IF(Inputs!$C$17="Rebased to 100",$G2391/G$8*100,$G2391)))))</f>
        <v/>
      </c>
      <c r="N2391" s="54">
        <f>IF($B2391=0,NA(),IF(Inputs!$C$18&lt;&gt;"Yes",NA(),IF(COUNT(I2391,J2391,K2391,L2391,M2391)=0,NA(),MIN(I2391,J2391,K2391,L2391,M2391))))</f>
        <v/>
      </c>
      <c r="O2391" s="54">
        <f>IF($B2391=0,NA(),IF(Inputs!$B$24&lt;&gt;"Yes",NA(),Inputs!$D$24*Inputs!$C$35))</f>
        <v/>
      </c>
      <c r="P2391" s="54">
        <f>IF($B2391=0,NA(),IF(Inputs!$B$25&lt;&gt;"Yes",NA(),Inputs!$D$25*Inputs!$C$35))</f>
        <v/>
      </c>
      <c r="Q2391" s="54">
        <f>IF($B2391=0,NA(),IF(Inputs!$B$26&lt;&gt;"Yes",NA(),Inputs!$D$26*Inputs!$C$35))</f>
        <v/>
      </c>
      <c r="R2391" s="54">
        <f>IF($B2391=0,NA(),IF(Inputs!$B$27&lt;&gt;"Yes",NA(),Inputs!$D$27*Inputs!$C$35))</f>
        <v/>
      </c>
      <c r="S2391" s="54">
        <f>IF($B2391=0,NA(),IF(Inputs!$B$28&lt;&gt;"Yes",NA(),Inputs!$D$28*Inputs!$C$35))</f>
        <v/>
      </c>
      <c r="T2391" s="54">
        <f>IF($B2391=0,NA(),IF(Inputs!$B$29&lt;&gt;"Yes",NA(),Inputs!$D$29*Inputs!$C$35))</f>
        <v/>
      </c>
      <c r="AD2391">
        <f>IF($B2391=0,0,IF(Inputs!$B$6="",0,COUNTIFS(Data!$A$10:$A$3209,"&gt;="&amp;$A2391,Data!$A$10:$A$3209,"&lt;"&amp;$A2391+1)))</f>
        <v/>
      </c>
      <c r="AE2391">
        <f>IF($B2391=0,0,IF(Inputs!$B$7="",0,COUNTIFS(Data!$E$10:$E$3209,"&gt;="&amp;$A2391,Data!$E$10:$E$3209,"&lt;"&amp;$A2391+1)))</f>
        <v/>
      </c>
      <c r="AF2391">
        <f>IF($B2391=0,0,IF(Inputs!$B$8="",0,COUNTIFS(Data!$I$10:$I$3209,"&gt;="&amp;$A2391,Data!$I$10:$I$3209,"&lt;"&amp;$A2391+1)))</f>
        <v/>
      </c>
      <c r="AG2391">
        <f>IF($B2391=0,0,IF(Inputs!$B$9="",0,COUNTIFS(Data!$M$10:$M$3209,"&gt;="&amp;$A2391,Data!$M$10:$M$3209,"&lt;"&amp;$A2391+1)))</f>
        <v/>
      </c>
      <c r="AH2391">
        <f>IF($B2391=0,0,IF(Inputs!$B$10="",0,COUNTIFS(Data!$Q$10:$Q$3209,"&gt;="&amp;$A2391,Data!$Q$10:$Q$3209,"&lt;"&amp;$A2391+1)))</f>
        <v/>
      </c>
    </row>
    <row r="2392">
      <c r="A2392" s="55">
        <f>MIN(Inputs!$C$15,$A2391+IF(WEEKDAY($A2391,2)=5,3,1))</f>
        <v/>
      </c>
      <c r="B2392">
        <f>IF($A2392&gt;$A2391,1,0)</f>
        <v/>
      </c>
      <c r="C2392" s="56">
        <f>IF($B2392=0,"",IF(Inputs!$B$6="","",IF($AD2392=0,C2391,SUMIFS(Data!$B$10:$B$3209,Data!$A$10:$A$3209,"&gt;="&amp;$A2392,Data!$A$10:$A$3209,"&lt;"&amp;$A2392+1)/$AD2392)))</f>
        <v/>
      </c>
      <c r="D2392" s="56">
        <f>IF($B2392=0,"",IF(Inputs!$B$7="","",IF($AE2392=0,D2391,SUMIFS(Data!$F$10:$F$3209,Data!$E$10:$E$3209,"&gt;="&amp;$A2392,Data!$E$10:$E$3209,"&lt;"&amp;$A2392+1)/$AE2392)))</f>
        <v/>
      </c>
      <c r="E2392" s="56">
        <f>IF($B2392=0,"",IF(Inputs!$B$8="","",IF($AF2392=0,E2391,SUMIFS(Data!$J$10:$J$3209,Data!$I$10:$I$3209,"&gt;="&amp;$A2392,Data!$I$10:$I$3209,"&lt;"&amp;$A2392+1)/$AF2392)))</f>
        <v/>
      </c>
      <c r="F2392" s="56">
        <f>IF($B2392=0,"",IF(Inputs!$B$9="","",IF($AG2392=0,F2391,SUMIFS(Data!$N$10:$N$3209,Data!$M$10:$M$3209,"&gt;="&amp;$A2392,Data!$M$10:$M$3209,"&lt;"&amp;$A2392+1)/$AG2392)))</f>
        <v/>
      </c>
      <c r="G2392" s="56">
        <f>IF($B2392=0,"",IF(Inputs!$B$10="","",IF($AH2392=0,G2391,SUMIFS(Data!$R$10:$R$3209,Data!$Q$10:$Q$3209,"&gt;="&amp;$A2392,Data!$Q$10:$Q$3209,"&lt;"&amp;$A2392+1)/$AH2392)))</f>
        <v/>
      </c>
      <c r="I2392" s="54">
        <f>IF($B2392=0,NA(),IF($C2392="",NA(),IF(C$8="",NA(),IF(N(C$8)=0,NA(),IF(Inputs!$C$17="Rebased to 100",$C2392/C$8*100,$C2392)))))</f>
        <v/>
      </c>
      <c r="J2392" s="54">
        <f>IF($B2392=0,NA(),IF($D2392="",NA(),IF(D$8="",NA(),IF(N(D$8)=0,NA(),IF(Inputs!$C$17="Rebased to 100",$D2392/D$8*100,$D2392)))))</f>
        <v/>
      </c>
      <c r="K2392" s="54">
        <f>IF($B2392=0,NA(),IF($E2392="",NA(),IF(E$8="",NA(),IF(N(E$8)=0,NA(),IF(Inputs!$C$17="Rebased to 100",$E2392/E$8*100,$E2392)))))</f>
        <v/>
      </c>
      <c r="L2392" s="54">
        <f>IF($B2392=0,NA(),IF($F2392="",NA(),IF(F$8="",NA(),IF(N(F$8)=0,NA(),IF(Inputs!$C$17="Rebased to 100",$F2392/F$8*100,$F2392)))))</f>
        <v/>
      </c>
      <c r="M2392" s="54">
        <f>IF($B2392=0,NA(),IF($G2392="",NA(),IF(G$8="",NA(),IF(N(G$8)=0,NA(),IF(Inputs!$C$17="Rebased to 100",$G2392/G$8*100,$G2392)))))</f>
        <v/>
      </c>
      <c r="N2392" s="54">
        <f>IF($B2392=0,NA(),IF(Inputs!$C$18&lt;&gt;"Yes",NA(),IF(COUNT(I2392,J2392,K2392,L2392,M2392)=0,NA(),MIN(I2392,J2392,K2392,L2392,M2392))))</f>
        <v/>
      </c>
      <c r="O2392" s="54">
        <f>IF($B2392=0,NA(),IF(Inputs!$B$24&lt;&gt;"Yes",NA(),Inputs!$D$24*Inputs!$C$35))</f>
        <v/>
      </c>
      <c r="P2392" s="54">
        <f>IF($B2392=0,NA(),IF(Inputs!$B$25&lt;&gt;"Yes",NA(),Inputs!$D$25*Inputs!$C$35))</f>
        <v/>
      </c>
      <c r="Q2392" s="54">
        <f>IF($B2392=0,NA(),IF(Inputs!$B$26&lt;&gt;"Yes",NA(),Inputs!$D$26*Inputs!$C$35))</f>
        <v/>
      </c>
      <c r="R2392" s="54">
        <f>IF($B2392=0,NA(),IF(Inputs!$B$27&lt;&gt;"Yes",NA(),Inputs!$D$27*Inputs!$C$35))</f>
        <v/>
      </c>
      <c r="S2392" s="54">
        <f>IF($B2392=0,NA(),IF(Inputs!$B$28&lt;&gt;"Yes",NA(),Inputs!$D$28*Inputs!$C$35))</f>
        <v/>
      </c>
      <c r="T2392" s="54">
        <f>IF($B2392=0,NA(),IF(Inputs!$B$29&lt;&gt;"Yes",NA(),Inputs!$D$29*Inputs!$C$35))</f>
        <v/>
      </c>
      <c r="AD2392">
        <f>IF($B2392=0,0,IF(Inputs!$B$6="",0,COUNTIFS(Data!$A$10:$A$3209,"&gt;="&amp;$A2392,Data!$A$10:$A$3209,"&lt;"&amp;$A2392+1)))</f>
        <v/>
      </c>
      <c r="AE2392">
        <f>IF($B2392=0,0,IF(Inputs!$B$7="",0,COUNTIFS(Data!$E$10:$E$3209,"&gt;="&amp;$A2392,Data!$E$10:$E$3209,"&lt;"&amp;$A2392+1)))</f>
        <v/>
      </c>
      <c r="AF2392">
        <f>IF($B2392=0,0,IF(Inputs!$B$8="",0,COUNTIFS(Data!$I$10:$I$3209,"&gt;="&amp;$A2392,Data!$I$10:$I$3209,"&lt;"&amp;$A2392+1)))</f>
        <v/>
      </c>
      <c r="AG2392">
        <f>IF($B2392=0,0,IF(Inputs!$B$9="",0,COUNTIFS(Data!$M$10:$M$3209,"&gt;="&amp;$A2392,Data!$M$10:$M$3209,"&lt;"&amp;$A2392+1)))</f>
        <v/>
      </c>
      <c r="AH2392">
        <f>IF($B2392=0,0,IF(Inputs!$B$10="",0,COUNTIFS(Data!$Q$10:$Q$3209,"&gt;="&amp;$A2392,Data!$Q$10:$Q$3209,"&lt;"&amp;$A2392+1)))</f>
        <v/>
      </c>
    </row>
    <row r="2393">
      <c r="A2393" s="55">
        <f>MIN(Inputs!$C$15,$A2392+IF(WEEKDAY($A2392,2)=5,3,1))</f>
        <v/>
      </c>
      <c r="B2393">
        <f>IF($A2393&gt;$A2392,1,0)</f>
        <v/>
      </c>
      <c r="C2393" s="56">
        <f>IF($B2393=0,"",IF(Inputs!$B$6="","",IF($AD2393=0,C2392,SUMIFS(Data!$B$10:$B$3209,Data!$A$10:$A$3209,"&gt;="&amp;$A2393,Data!$A$10:$A$3209,"&lt;"&amp;$A2393+1)/$AD2393)))</f>
        <v/>
      </c>
      <c r="D2393" s="56">
        <f>IF($B2393=0,"",IF(Inputs!$B$7="","",IF($AE2393=0,D2392,SUMIFS(Data!$F$10:$F$3209,Data!$E$10:$E$3209,"&gt;="&amp;$A2393,Data!$E$10:$E$3209,"&lt;"&amp;$A2393+1)/$AE2393)))</f>
        <v/>
      </c>
      <c r="E2393" s="56">
        <f>IF($B2393=0,"",IF(Inputs!$B$8="","",IF($AF2393=0,E2392,SUMIFS(Data!$J$10:$J$3209,Data!$I$10:$I$3209,"&gt;="&amp;$A2393,Data!$I$10:$I$3209,"&lt;"&amp;$A2393+1)/$AF2393)))</f>
        <v/>
      </c>
      <c r="F2393" s="56">
        <f>IF($B2393=0,"",IF(Inputs!$B$9="","",IF($AG2393=0,F2392,SUMIFS(Data!$N$10:$N$3209,Data!$M$10:$M$3209,"&gt;="&amp;$A2393,Data!$M$10:$M$3209,"&lt;"&amp;$A2393+1)/$AG2393)))</f>
        <v/>
      </c>
      <c r="G2393" s="56">
        <f>IF($B2393=0,"",IF(Inputs!$B$10="","",IF($AH2393=0,G2392,SUMIFS(Data!$R$10:$R$3209,Data!$Q$10:$Q$3209,"&gt;="&amp;$A2393,Data!$Q$10:$Q$3209,"&lt;"&amp;$A2393+1)/$AH2393)))</f>
        <v/>
      </c>
      <c r="I2393" s="54">
        <f>IF($B2393=0,NA(),IF($C2393="",NA(),IF(C$8="",NA(),IF(N(C$8)=0,NA(),IF(Inputs!$C$17="Rebased to 100",$C2393/C$8*100,$C2393)))))</f>
        <v/>
      </c>
      <c r="J2393" s="54">
        <f>IF($B2393=0,NA(),IF($D2393="",NA(),IF(D$8="",NA(),IF(N(D$8)=0,NA(),IF(Inputs!$C$17="Rebased to 100",$D2393/D$8*100,$D2393)))))</f>
        <v/>
      </c>
      <c r="K2393" s="54">
        <f>IF($B2393=0,NA(),IF($E2393="",NA(),IF(E$8="",NA(),IF(N(E$8)=0,NA(),IF(Inputs!$C$17="Rebased to 100",$E2393/E$8*100,$E2393)))))</f>
        <v/>
      </c>
      <c r="L2393" s="54">
        <f>IF($B2393=0,NA(),IF($F2393="",NA(),IF(F$8="",NA(),IF(N(F$8)=0,NA(),IF(Inputs!$C$17="Rebased to 100",$F2393/F$8*100,$F2393)))))</f>
        <v/>
      </c>
      <c r="M2393" s="54">
        <f>IF($B2393=0,NA(),IF($G2393="",NA(),IF(G$8="",NA(),IF(N(G$8)=0,NA(),IF(Inputs!$C$17="Rebased to 100",$G2393/G$8*100,$G2393)))))</f>
        <v/>
      </c>
      <c r="N2393" s="54">
        <f>IF($B2393=0,NA(),IF(Inputs!$C$18&lt;&gt;"Yes",NA(),IF(COUNT(I2393,J2393,K2393,L2393,M2393)=0,NA(),MIN(I2393,J2393,K2393,L2393,M2393))))</f>
        <v/>
      </c>
      <c r="O2393" s="54">
        <f>IF($B2393=0,NA(),IF(Inputs!$B$24&lt;&gt;"Yes",NA(),Inputs!$D$24*Inputs!$C$35))</f>
        <v/>
      </c>
      <c r="P2393" s="54">
        <f>IF($B2393=0,NA(),IF(Inputs!$B$25&lt;&gt;"Yes",NA(),Inputs!$D$25*Inputs!$C$35))</f>
        <v/>
      </c>
      <c r="Q2393" s="54">
        <f>IF($B2393=0,NA(),IF(Inputs!$B$26&lt;&gt;"Yes",NA(),Inputs!$D$26*Inputs!$C$35))</f>
        <v/>
      </c>
      <c r="R2393" s="54">
        <f>IF($B2393=0,NA(),IF(Inputs!$B$27&lt;&gt;"Yes",NA(),Inputs!$D$27*Inputs!$C$35))</f>
        <v/>
      </c>
      <c r="S2393" s="54">
        <f>IF($B2393=0,NA(),IF(Inputs!$B$28&lt;&gt;"Yes",NA(),Inputs!$D$28*Inputs!$C$35))</f>
        <v/>
      </c>
      <c r="T2393" s="54">
        <f>IF($B2393=0,NA(),IF(Inputs!$B$29&lt;&gt;"Yes",NA(),Inputs!$D$29*Inputs!$C$35))</f>
        <v/>
      </c>
      <c r="AD2393">
        <f>IF($B2393=0,0,IF(Inputs!$B$6="",0,COUNTIFS(Data!$A$10:$A$3209,"&gt;="&amp;$A2393,Data!$A$10:$A$3209,"&lt;"&amp;$A2393+1)))</f>
        <v/>
      </c>
      <c r="AE2393">
        <f>IF($B2393=0,0,IF(Inputs!$B$7="",0,COUNTIFS(Data!$E$10:$E$3209,"&gt;="&amp;$A2393,Data!$E$10:$E$3209,"&lt;"&amp;$A2393+1)))</f>
        <v/>
      </c>
      <c r="AF2393">
        <f>IF($B2393=0,0,IF(Inputs!$B$8="",0,COUNTIFS(Data!$I$10:$I$3209,"&gt;="&amp;$A2393,Data!$I$10:$I$3209,"&lt;"&amp;$A2393+1)))</f>
        <v/>
      </c>
      <c r="AG2393">
        <f>IF($B2393=0,0,IF(Inputs!$B$9="",0,COUNTIFS(Data!$M$10:$M$3209,"&gt;="&amp;$A2393,Data!$M$10:$M$3209,"&lt;"&amp;$A2393+1)))</f>
        <v/>
      </c>
      <c r="AH2393">
        <f>IF($B2393=0,0,IF(Inputs!$B$10="",0,COUNTIFS(Data!$Q$10:$Q$3209,"&gt;="&amp;$A2393,Data!$Q$10:$Q$3209,"&lt;"&amp;$A2393+1)))</f>
        <v/>
      </c>
    </row>
    <row r="2394">
      <c r="A2394" s="55">
        <f>MIN(Inputs!$C$15,$A2393+IF(WEEKDAY($A2393,2)=5,3,1))</f>
        <v/>
      </c>
      <c r="B2394">
        <f>IF($A2394&gt;$A2393,1,0)</f>
        <v/>
      </c>
      <c r="C2394" s="56">
        <f>IF($B2394=0,"",IF(Inputs!$B$6="","",IF($AD2394=0,C2393,SUMIFS(Data!$B$10:$B$3209,Data!$A$10:$A$3209,"&gt;="&amp;$A2394,Data!$A$10:$A$3209,"&lt;"&amp;$A2394+1)/$AD2394)))</f>
        <v/>
      </c>
      <c r="D2394" s="56">
        <f>IF($B2394=0,"",IF(Inputs!$B$7="","",IF($AE2394=0,D2393,SUMIFS(Data!$F$10:$F$3209,Data!$E$10:$E$3209,"&gt;="&amp;$A2394,Data!$E$10:$E$3209,"&lt;"&amp;$A2394+1)/$AE2394)))</f>
        <v/>
      </c>
      <c r="E2394" s="56">
        <f>IF($B2394=0,"",IF(Inputs!$B$8="","",IF($AF2394=0,E2393,SUMIFS(Data!$J$10:$J$3209,Data!$I$10:$I$3209,"&gt;="&amp;$A2394,Data!$I$10:$I$3209,"&lt;"&amp;$A2394+1)/$AF2394)))</f>
        <v/>
      </c>
      <c r="F2394" s="56">
        <f>IF($B2394=0,"",IF(Inputs!$B$9="","",IF($AG2394=0,F2393,SUMIFS(Data!$N$10:$N$3209,Data!$M$10:$M$3209,"&gt;="&amp;$A2394,Data!$M$10:$M$3209,"&lt;"&amp;$A2394+1)/$AG2394)))</f>
        <v/>
      </c>
      <c r="G2394" s="56">
        <f>IF($B2394=0,"",IF(Inputs!$B$10="","",IF($AH2394=0,G2393,SUMIFS(Data!$R$10:$R$3209,Data!$Q$10:$Q$3209,"&gt;="&amp;$A2394,Data!$Q$10:$Q$3209,"&lt;"&amp;$A2394+1)/$AH2394)))</f>
        <v/>
      </c>
      <c r="I2394" s="54">
        <f>IF($B2394=0,NA(),IF($C2394="",NA(),IF(C$8="",NA(),IF(N(C$8)=0,NA(),IF(Inputs!$C$17="Rebased to 100",$C2394/C$8*100,$C2394)))))</f>
        <v/>
      </c>
      <c r="J2394" s="54">
        <f>IF($B2394=0,NA(),IF($D2394="",NA(),IF(D$8="",NA(),IF(N(D$8)=0,NA(),IF(Inputs!$C$17="Rebased to 100",$D2394/D$8*100,$D2394)))))</f>
        <v/>
      </c>
      <c r="K2394" s="54">
        <f>IF($B2394=0,NA(),IF($E2394="",NA(),IF(E$8="",NA(),IF(N(E$8)=0,NA(),IF(Inputs!$C$17="Rebased to 100",$E2394/E$8*100,$E2394)))))</f>
        <v/>
      </c>
      <c r="L2394" s="54">
        <f>IF($B2394=0,NA(),IF($F2394="",NA(),IF(F$8="",NA(),IF(N(F$8)=0,NA(),IF(Inputs!$C$17="Rebased to 100",$F2394/F$8*100,$F2394)))))</f>
        <v/>
      </c>
      <c r="M2394" s="54">
        <f>IF($B2394=0,NA(),IF($G2394="",NA(),IF(G$8="",NA(),IF(N(G$8)=0,NA(),IF(Inputs!$C$17="Rebased to 100",$G2394/G$8*100,$G2394)))))</f>
        <v/>
      </c>
      <c r="N2394" s="54">
        <f>IF($B2394=0,NA(),IF(Inputs!$C$18&lt;&gt;"Yes",NA(),IF(COUNT(I2394,J2394,K2394,L2394,M2394)=0,NA(),MIN(I2394,J2394,K2394,L2394,M2394))))</f>
        <v/>
      </c>
      <c r="O2394" s="54">
        <f>IF($B2394=0,NA(),IF(Inputs!$B$24&lt;&gt;"Yes",NA(),Inputs!$D$24*Inputs!$C$35))</f>
        <v/>
      </c>
      <c r="P2394" s="54">
        <f>IF($B2394=0,NA(),IF(Inputs!$B$25&lt;&gt;"Yes",NA(),Inputs!$D$25*Inputs!$C$35))</f>
        <v/>
      </c>
      <c r="Q2394" s="54">
        <f>IF($B2394=0,NA(),IF(Inputs!$B$26&lt;&gt;"Yes",NA(),Inputs!$D$26*Inputs!$C$35))</f>
        <v/>
      </c>
      <c r="R2394" s="54">
        <f>IF($B2394=0,NA(),IF(Inputs!$B$27&lt;&gt;"Yes",NA(),Inputs!$D$27*Inputs!$C$35))</f>
        <v/>
      </c>
      <c r="S2394" s="54">
        <f>IF($B2394=0,NA(),IF(Inputs!$B$28&lt;&gt;"Yes",NA(),Inputs!$D$28*Inputs!$C$35))</f>
        <v/>
      </c>
      <c r="T2394" s="54">
        <f>IF($B2394=0,NA(),IF(Inputs!$B$29&lt;&gt;"Yes",NA(),Inputs!$D$29*Inputs!$C$35))</f>
        <v/>
      </c>
      <c r="AD2394">
        <f>IF($B2394=0,0,IF(Inputs!$B$6="",0,COUNTIFS(Data!$A$10:$A$3209,"&gt;="&amp;$A2394,Data!$A$10:$A$3209,"&lt;"&amp;$A2394+1)))</f>
        <v/>
      </c>
      <c r="AE2394">
        <f>IF($B2394=0,0,IF(Inputs!$B$7="",0,COUNTIFS(Data!$E$10:$E$3209,"&gt;="&amp;$A2394,Data!$E$10:$E$3209,"&lt;"&amp;$A2394+1)))</f>
        <v/>
      </c>
      <c r="AF2394">
        <f>IF($B2394=0,0,IF(Inputs!$B$8="",0,COUNTIFS(Data!$I$10:$I$3209,"&gt;="&amp;$A2394,Data!$I$10:$I$3209,"&lt;"&amp;$A2394+1)))</f>
        <v/>
      </c>
      <c r="AG2394">
        <f>IF($B2394=0,0,IF(Inputs!$B$9="",0,COUNTIFS(Data!$M$10:$M$3209,"&gt;="&amp;$A2394,Data!$M$10:$M$3209,"&lt;"&amp;$A2394+1)))</f>
        <v/>
      </c>
      <c r="AH2394">
        <f>IF($B2394=0,0,IF(Inputs!$B$10="",0,COUNTIFS(Data!$Q$10:$Q$3209,"&gt;="&amp;$A2394,Data!$Q$10:$Q$3209,"&lt;"&amp;$A2394+1)))</f>
        <v/>
      </c>
    </row>
    <row r="2395">
      <c r="A2395" s="55">
        <f>MIN(Inputs!$C$15,$A2394+IF(WEEKDAY($A2394,2)=5,3,1))</f>
        <v/>
      </c>
      <c r="B2395">
        <f>IF($A2395&gt;$A2394,1,0)</f>
        <v/>
      </c>
      <c r="C2395" s="56">
        <f>IF($B2395=0,"",IF(Inputs!$B$6="","",IF($AD2395=0,C2394,SUMIFS(Data!$B$10:$B$3209,Data!$A$10:$A$3209,"&gt;="&amp;$A2395,Data!$A$10:$A$3209,"&lt;"&amp;$A2395+1)/$AD2395)))</f>
        <v/>
      </c>
      <c r="D2395" s="56">
        <f>IF($B2395=0,"",IF(Inputs!$B$7="","",IF($AE2395=0,D2394,SUMIFS(Data!$F$10:$F$3209,Data!$E$10:$E$3209,"&gt;="&amp;$A2395,Data!$E$10:$E$3209,"&lt;"&amp;$A2395+1)/$AE2395)))</f>
        <v/>
      </c>
      <c r="E2395" s="56">
        <f>IF($B2395=0,"",IF(Inputs!$B$8="","",IF($AF2395=0,E2394,SUMIFS(Data!$J$10:$J$3209,Data!$I$10:$I$3209,"&gt;="&amp;$A2395,Data!$I$10:$I$3209,"&lt;"&amp;$A2395+1)/$AF2395)))</f>
        <v/>
      </c>
      <c r="F2395" s="56">
        <f>IF($B2395=0,"",IF(Inputs!$B$9="","",IF($AG2395=0,F2394,SUMIFS(Data!$N$10:$N$3209,Data!$M$10:$M$3209,"&gt;="&amp;$A2395,Data!$M$10:$M$3209,"&lt;"&amp;$A2395+1)/$AG2395)))</f>
        <v/>
      </c>
      <c r="G2395" s="56">
        <f>IF($B2395=0,"",IF(Inputs!$B$10="","",IF($AH2395=0,G2394,SUMIFS(Data!$R$10:$R$3209,Data!$Q$10:$Q$3209,"&gt;="&amp;$A2395,Data!$Q$10:$Q$3209,"&lt;"&amp;$A2395+1)/$AH2395)))</f>
        <v/>
      </c>
      <c r="I2395" s="54">
        <f>IF($B2395=0,NA(),IF($C2395="",NA(),IF(C$8="",NA(),IF(N(C$8)=0,NA(),IF(Inputs!$C$17="Rebased to 100",$C2395/C$8*100,$C2395)))))</f>
        <v/>
      </c>
      <c r="J2395" s="54">
        <f>IF($B2395=0,NA(),IF($D2395="",NA(),IF(D$8="",NA(),IF(N(D$8)=0,NA(),IF(Inputs!$C$17="Rebased to 100",$D2395/D$8*100,$D2395)))))</f>
        <v/>
      </c>
      <c r="K2395" s="54">
        <f>IF($B2395=0,NA(),IF($E2395="",NA(),IF(E$8="",NA(),IF(N(E$8)=0,NA(),IF(Inputs!$C$17="Rebased to 100",$E2395/E$8*100,$E2395)))))</f>
        <v/>
      </c>
      <c r="L2395" s="54">
        <f>IF($B2395=0,NA(),IF($F2395="",NA(),IF(F$8="",NA(),IF(N(F$8)=0,NA(),IF(Inputs!$C$17="Rebased to 100",$F2395/F$8*100,$F2395)))))</f>
        <v/>
      </c>
      <c r="M2395" s="54">
        <f>IF($B2395=0,NA(),IF($G2395="",NA(),IF(G$8="",NA(),IF(N(G$8)=0,NA(),IF(Inputs!$C$17="Rebased to 100",$G2395/G$8*100,$G2395)))))</f>
        <v/>
      </c>
      <c r="N2395" s="54">
        <f>IF($B2395=0,NA(),IF(Inputs!$C$18&lt;&gt;"Yes",NA(),IF(COUNT(I2395,J2395,K2395,L2395,M2395)=0,NA(),MIN(I2395,J2395,K2395,L2395,M2395))))</f>
        <v/>
      </c>
      <c r="O2395" s="54">
        <f>IF($B2395=0,NA(),IF(Inputs!$B$24&lt;&gt;"Yes",NA(),Inputs!$D$24*Inputs!$C$35))</f>
        <v/>
      </c>
      <c r="P2395" s="54">
        <f>IF($B2395=0,NA(),IF(Inputs!$B$25&lt;&gt;"Yes",NA(),Inputs!$D$25*Inputs!$C$35))</f>
        <v/>
      </c>
      <c r="Q2395" s="54">
        <f>IF($B2395=0,NA(),IF(Inputs!$B$26&lt;&gt;"Yes",NA(),Inputs!$D$26*Inputs!$C$35))</f>
        <v/>
      </c>
      <c r="R2395" s="54">
        <f>IF($B2395=0,NA(),IF(Inputs!$B$27&lt;&gt;"Yes",NA(),Inputs!$D$27*Inputs!$C$35))</f>
        <v/>
      </c>
      <c r="S2395" s="54">
        <f>IF($B2395=0,NA(),IF(Inputs!$B$28&lt;&gt;"Yes",NA(),Inputs!$D$28*Inputs!$C$35))</f>
        <v/>
      </c>
      <c r="T2395" s="54">
        <f>IF($B2395=0,NA(),IF(Inputs!$B$29&lt;&gt;"Yes",NA(),Inputs!$D$29*Inputs!$C$35))</f>
        <v/>
      </c>
      <c r="AD2395">
        <f>IF($B2395=0,0,IF(Inputs!$B$6="",0,COUNTIFS(Data!$A$10:$A$3209,"&gt;="&amp;$A2395,Data!$A$10:$A$3209,"&lt;"&amp;$A2395+1)))</f>
        <v/>
      </c>
      <c r="AE2395">
        <f>IF($B2395=0,0,IF(Inputs!$B$7="",0,COUNTIFS(Data!$E$10:$E$3209,"&gt;="&amp;$A2395,Data!$E$10:$E$3209,"&lt;"&amp;$A2395+1)))</f>
        <v/>
      </c>
      <c r="AF2395">
        <f>IF($B2395=0,0,IF(Inputs!$B$8="",0,COUNTIFS(Data!$I$10:$I$3209,"&gt;="&amp;$A2395,Data!$I$10:$I$3209,"&lt;"&amp;$A2395+1)))</f>
        <v/>
      </c>
      <c r="AG2395">
        <f>IF($B2395=0,0,IF(Inputs!$B$9="",0,COUNTIFS(Data!$M$10:$M$3209,"&gt;="&amp;$A2395,Data!$M$10:$M$3209,"&lt;"&amp;$A2395+1)))</f>
        <v/>
      </c>
      <c r="AH2395">
        <f>IF($B2395=0,0,IF(Inputs!$B$10="",0,COUNTIFS(Data!$Q$10:$Q$3209,"&gt;="&amp;$A2395,Data!$Q$10:$Q$3209,"&lt;"&amp;$A2395+1)))</f>
        <v/>
      </c>
    </row>
    <row r="2396">
      <c r="A2396" s="55">
        <f>MIN(Inputs!$C$15,$A2395+IF(WEEKDAY($A2395,2)=5,3,1))</f>
        <v/>
      </c>
      <c r="B2396">
        <f>IF($A2396&gt;$A2395,1,0)</f>
        <v/>
      </c>
      <c r="C2396" s="56">
        <f>IF($B2396=0,"",IF(Inputs!$B$6="","",IF($AD2396=0,C2395,SUMIFS(Data!$B$10:$B$3209,Data!$A$10:$A$3209,"&gt;="&amp;$A2396,Data!$A$10:$A$3209,"&lt;"&amp;$A2396+1)/$AD2396)))</f>
        <v/>
      </c>
      <c r="D2396" s="56">
        <f>IF($B2396=0,"",IF(Inputs!$B$7="","",IF($AE2396=0,D2395,SUMIFS(Data!$F$10:$F$3209,Data!$E$10:$E$3209,"&gt;="&amp;$A2396,Data!$E$10:$E$3209,"&lt;"&amp;$A2396+1)/$AE2396)))</f>
        <v/>
      </c>
      <c r="E2396" s="56">
        <f>IF($B2396=0,"",IF(Inputs!$B$8="","",IF($AF2396=0,E2395,SUMIFS(Data!$J$10:$J$3209,Data!$I$10:$I$3209,"&gt;="&amp;$A2396,Data!$I$10:$I$3209,"&lt;"&amp;$A2396+1)/$AF2396)))</f>
        <v/>
      </c>
      <c r="F2396" s="56">
        <f>IF($B2396=0,"",IF(Inputs!$B$9="","",IF($AG2396=0,F2395,SUMIFS(Data!$N$10:$N$3209,Data!$M$10:$M$3209,"&gt;="&amp;$A2396,Data!$M$10:$M$3209,"&lt;"&amp;$A2396+1)/$AG2396)))</f>
        <v/>
      </c>
      <c r="G2396" s="56">
        <f>IF($B2396=0,"",IF(Inputs!$B$10="","",IF($AH2396=0,G2395,SUMIFS(Data!$R$10:$R$3209,Data!$Q$10:$Q$3209,"&gt;="&amp;$A2396,Data!$Q$10:$Q$3209,"&lt;"&amp;$A2396+1)/$AH2396)))</f>
        <v/>
      </c>
      <c r="I2396" s="54">
        <f>IF($B2396=0,NA(),IF($C2396="",NA(),IF(C$8="",NA(),IF(N(C$8)=0,NA(),IF(Inputs!$C$17="Rebased to 100",$C2396/C$8*100,$C2396)))))</f>
        <v/>
      </c>
      <c r="J2396" s="54">
        <f>IF($B2396=0,NA(),IF($D2396="",NA(),IF(D$8="",NA(),IF(N(D$8)=0,NA(),IF(Inputs!$C$17="Rebased to 100",$D2396/D$8*100,$D2396)))))</f>
        <v/>
      </c>
      <c r="K2396" s="54">
        <f>IF($B2396=0,NA(),IF($E2396="",NA(),IF(E$8="",NA(),IF(N(E$8)=0,NA(),IF(Inputs!$C$17="Rebased to 100",$E2396/E$8*100,$E2396)))))</f>
        <v/>
      </c>
      <c r="L2396" s="54">
        <f>IF($B2396=0,NA(),IF($F2396="",NA(),IF(F$8="",NA(),IF(N(F$8)=0,NA(),IF(Inputs!$C$17="Rebased to 100",$F2396/F$8*100,$F2396)))))</f>
        <v/>
      </c>
      <c r="M2396" s="54">
        <f>IF($B2396=0,NA(),IF($G2396="",NA(),IF(G$8="",NA(),IF(N(G$8)=0,NA(),IF(Inputs!$C$17="Rebased to 100",$G2396/G$8*100,$G2396)))))</f>
        <v/>
      </c>
      <c r="N2396" s="54">
        <f>IF($B2396=0,NA(),IF(Inputs!$C$18&lt;&gt;"Yes",NA(),IF(COUNT(I2396,J2396,K2396,L2396,M2396)=0,NA(),MIN(I2396,J2396,K2396,L2396,M2396))))</f>
        <v/>
      </c>
      <c r="O2396" s="54">
        <f>IF($B2396=0,NA(),IF(Inputs!$B$24&lt;&gt;"Yes",NA(),Inputs!$D$24*Inputs!$C$35))</f>
        <v/>
      </c>
      <c r="P2396" s="54">
        <f>IF($B2396=0,NA(),IF(Inputs!$B$25&lt;&gt;"Yes",NA(),Inputs!$D$25*Inputs!$C$35))</f>
        <v/>
      </c>
      <c r="Q2396" s="54">
        <f>IF($B2396=0,NA(),IF(Inputs!$B$26&lt;&gt;"Yes",NA(),Inputs!$D$26*Inputs!$C$35))</f>
        <v/>
      </c>
      <c r="R2396" s="54">
        <f>IF($B2396=0,NA(),IF(Inputs!$B$27&lt;&gt;"Yes",NA(),Inputs!$D$27*Inputs!$C$35))</f>
        <v/>
      </c>
      <c r="S2396" s="54">
        <f>IF($B2396=0,NA(),IF(Inputs!$B$28&lt;&gt;"Yes",NA(),Inputs!$D$28*Inputs!$C$35))</f>
        <v/>
      </c>
      <c r="T2396" s="54">
        <f>IF($B2396=0,NA(),IF(Inputs!$B$29&lt;&gt;"Yes",NA(),Inputs!$D$29*Inputs!$C$35))</f>
        <v/>
      </c>
      <c r="AD2396">
        <f>IF($B2396=0,0,IF(Inputs!$B$6="",0,COUNTIFS(Data!$A$10:$A$3209,"&gt;="&amp;$A2396,Data!$A$10:$A$3209,"&lt;"&amp;$A2396+1)))</f>
        <v/>
      </c>
      <c r="AE2396">
        <f>IF($B2396=0,0,IF(Inputs!$B$7="",0,COUNTIFS(Data!$E$10:$E$3209,"&gt;="&amp;$A2396,Data!$E$10:$E$3209,"&lt;"&amp;$A2396+1)))</f>
        <v/>
      </c>
      <c r="AF2396">
        <f>IF($B2396=0,0,IF(Inputs!$B$8="",0,COUNTIFS(Data!$I$10:$I$3209,"&gt;="&amp;$A2396,Data!$I$10:$I$3209,"&lt;"&amp;$A2396+1)))</f>
        <v/>
      </c>
      <c r="AG2396">
        <f>IF($B2396=0,0,IF(Inputs!$B$9="",0,COUNTIFS(Data!$M$10:$M$3209,"&gt;="&amp;$A2396,Data!$M$10:$M$3209,"&lt;"&amp;$A2396+1)))</f>
        <v/>
      </c>
      <c r="AH2396">
        <f>IF($B2396=0,0,IF(Inputs!$B$10="",0,COUNTIFS(Data!$Q$10:$Q$3209,"&gt;="&amp;$A2396,Data!$Q$10:$Q$3209,"&lt;"&amp;$A2396+1)))</f>
        <v/>
      </c>
    </row>
    <row r="2397">
      <c r="A2397" s="55">
        <f>MIN(Inputs!$C$15,$A2396+IF(WEEKDAY($A2396,2)=5,3,1))</f>
        <v/>
      </c>
      <c r="B2397">
        <f>IF($A2397&gt;$A2396,1,0)</f>
        <v/>
      </c>
      <c r="C2397" s="56">
        <f>IF($B2397=0,"",IF(Inputs!$B$6="","",IF($AD2397=0,C2396,SUMIFS(Data!$B$10:$B$3209,Data!$A$10:$A$3209,"&gt;="&amp;$A2397,Data!$A$10:$A$3209,"&lt;"&amp;$A2397+1)/$AD2397)))</f>
        <v/>
      </c>
      <c r="D2397" s="56">
        <f>IF($B2397=0,"",IF(Inputs!$B$7="","",IF($AE2397=0,D2396,SUMIFS(Data!$F$10:$F$3209,Data!$E$10:$E$3209,"&gt;="&amp;$A2397,Data!$E$10:$E$3209,"&lt;"&amp;$A2397+1)/$AE2397)))</f>
        <v/>
      </c>
      <c r="E2397" s="56">
        <f>IF($B2397=0,"",IF(Inputs!$B$8="","",IF($AF2397=0,E2396,SUMIFS(Data!$J$10:$J$3209,Data!$I$10:$I$3209,"&gt;="&amp;$A2397,Data!$I$10:$I$3209,"&lt;"&amp;$A2397+1)/$AF2397)))</f>
        <v/>
      </c>
      <c r="F2397" s="56">
        <f>IF($B2397=0,"",IF(Inputs!$B$9="","",IF($AG2397=0,F2396,SUMIFS(Data!$N$10:$N$3209,Data!$M$10:$M$3209,"&gt;="&amp;$A2397,Data!$M$10:$M$3209,"&lt;"&amp;$A2397+1)/$AG2397)))</f>
        <v/>
      </c>
      <c r="G2397" s="56">
        <f>IF($B2397=0,"",IF(Inputs!$B$10="","",IF($AH2397=0,G2396,SUMIFS(Data!$R$10:$R$3209,Data!$Q$10:$Q$3209,"&gt;="&amp;$A2397,Data!$Q$10:$Q$3209,"&lt;"&amp;$A2397+1)/$AH2397)))</f>
        <v/>
      </c>
      <c r="I2397" s="54">
        <f>IF($B2397=0,NA(),IF($C2397="",NA(),IF(C$8="",NA(),IF(N(C$8)=0,NA(),IF(Inputs!$C$17="Rebased to 100",$C2397/C$8*100,$C2397)))))</f>
        <v/>
      </c>
      <c r="J2397" s="54">
        <f>IF($B2397=0,NA(),IF($D2397="",NA(),IF(D$8="",NA(),IF(N(D$8)=0,NA(),IF(Inputs!$C$17="Rebased to 100",$D2397/D$8*100,$D2397)))))</f>
        <v/>
      </c>
      <c r="K2397" s="54">
        <f>IF($B2397=0,NA(),IF($E2397="",NA(),IF(E$8="",NA(),IF(N(E$8)=0,NA(),IF(Inputs!$C$17="Rebased to 100",$E2397/E$8*100,$E2397)))))</f>
        <v/>
      </c>
      <c r="L2397" s="54">
        <f>IF($B2397=0,NA(),IF($F2397="",NA(),IF(F$8="",NA(),IF(N(F$8)=0,NA(),IF(Inputs!$C$17="Rebased to 100",$F2397/F$8*100,$F2397)))))</f>
        <v/>
      </c>
      <c r="M2397" s="54">
        <f>IF($B2397=0,NA(),IF($G2397="",NA(),IF(G$8="",NA(),IF(N(G$8)=0,NA(),IF(Inputs!$C$17="Rebased to 100",$G2397/G$8*100,$G2397)))))</f>
        <v/>
      </c>
      <c r="N2397" s="54">
        <f>IF($B2397=0,NA(),IF(Inputs!$C$18&lt;&gt;"Yes",NA(),IF(COUNT(I2397,J2397,K2397,L2397,M2397)=0,NA(),MIN(I2397,J2397,K2397,L2397,M2397))))</f>
        <v/>
      </c>
      <c r="O2397" s="54">
        <f>IF($B2397=0,NA(),IF(Inputs!$B$24&lt;&gt;"Yes",NA(),Inputs!$D$24*Inputs!$C$35))</f>
        <v/>
      </c>
      <c r="P2397" s="54">
        <f>IF($B2397=0,NA(),IF(Inputs!$B$25&lt;&gt;"Yes",NA(),Inputs!$D$25*Inputs!$C$35))</f>
        <v/>
      </c>
      <c r="Q2397" s="54">
        <f>IF($B2397=0,NA(),IF(Inputs!$B$26&lt;&gt;"Yes",NA(),Inputs!$D$26*Inputs!$C$35))</f>
        <v/>
      </c>
      <c r="R2397" s="54">
        <f>IF($B2397=0,NA(),IF(Inputs!$B$27&lt;&gt;"Yes",NA(),Inputs!$D$27*Inputs!$C$35))</f>
        <v/>
      </c>
      <c r="S2397" s="54">
        <f>IF($B2397=0,NA(),IF(Inputs!$B$28&lt;&gt;"Yes",NA(),Inputs!$D$28*Inputs!$C$35))</f>
        <v/>
      </c>
      <c r="T2397" s="54">
        <f>IF($B2397=0,NA(),IF(Inputs!$B$29&lt;&gt;"Yes",NA(),Inputs!$D$29*Inputs!$C$35))</f>
        <v/>
      </c>
      <c r="AD2397">
        <f>IF($B2397=0,0,IF(Inputs!$B$6="",0,COUNTIFS(Data!$A$10:$A$3209,"&gt;="&amp;$A2397,Data!$A$10:$A$3209,"&lt;"&amp;$A2397+1)))</f>
        <v/>
      </c>
      <c r="AE2397">
        <f>IF($B2397=0,0,IF(Inputs!$B$7="",0,COUNTIFS(Data!$E$10:$E$3209,"&gt;="&amp;$A2397,Data!$E$10:$E$3209,"&lt;"&amp;$A2397+1)))</f>
        <v/>
      </c>
      <c r="AF2397">
        <f>IF($B2397=0,0,IF(Inputs!$B$8="",0,COUNTIFS(Data!$I$10:$I$3209,"&gt;="&amp;$A2397,Data!$I$10:$I$3209,"&lt;"&amp;$A2397+1)))</f>
        <v/>
      </c>
      <c r="AG2397">
        <f>IF($B2397=0,0,IF(Inputs!$B$9="",0,COUNTIFS(Data!$M$10:$M$3209,"&gt;="&amp;$A2397,Data!$M$10:$M$3209,"&lt;"&amp;$A2397+1)))</f>
        <v/>
      </c>
      <c r="AH2397">
        <f>IF($B2397=0,0,IF(Inputs!$B$10="",0,COUNTIFS(Data!$Q$10:$Q$3209,"&gt;="&amp;$A2397,Data!$Q$10:$Q$3209,"&lt;"&amp;$A2397+1)))</f>
        <v/>
      </c>
    </row>
    <row r="2398">
      <c r="A2398" s="55">
        <f>MIN(Inputs!$C$15,$A2397+IF(WEEKDAY($A2397,2)=5,3,1))</f>
        <v/>
      </c>
      <c r="B2398">
        <f>IF($A2398&gt;$A2397,1,0)</f>
        <v/>
      </c>
      <c r="C2398" s="56">
        <f>IF($B2398=0,"",IF(Inputs!$B$6="","",IF($AD2398=0,C2397,SUMIFS(Data!$B$10:$B$3209,Data!$A$10:$A$3209,"&gt;="&amp;$A2398,Data!$A$10:$A$3209,"&lt;"&amp;$A2398+1)/$AD2398)))</f>
        <v/>
      </c>
      <c r="D2398" s="56">
        <f>IF($B2398=0,"",IF(Inputs!$B$7="","",IF($AE2398=0,D2397,SUMIFS(Data!$F$10:$F$3209,Data!$E$10:$E$3209,"&gt;="&amp;$A2398,Data!$E$10:$E$3209,"&lt;"&amp;$A2398+1)/$AE2398)))</f>
        <v/>
      </c>
      <c r="E2398" s="56">
        <f>IF($B2398=0,"",IF(Inputs!$B$8="","",IF($AF2398=0,E2397,SUMIFS(Data!$J$10:$J$3209,Data!$I$10:$I$3209,"&gt;="&amp;$A2398,Data!$I$10:$I$3209,"&lt;"&amp;$A2398+1)/$AF2398)))</f>
        <v/>
      </c>
      <c r="F2398" s="56">
        <f>IF($B2398=0,"",IF(Inputs!$B$9="","",IF($AG2398=0,F2397,SUMIFS(Data!$N$10:$N$3209,Data!$M$10:$M$3209,"&gt;="&amp;$A2398,Data!$M$10:$M$3209,"&lt;"&amp;$A2398+1)/$AG2398)))</f>
        <v/>
      </c>
      <c r="G2398" s="56">
        <f>IF($B2398=0,"",IF(Inputs!$B$10="","",IF($AH2398=0,G2397,SUMIFS(Data!$R$10:$R$3209,Data!$Q$10:$Q$3209,"&gt;="&amp;$A2398,Data!$Q$10:$Q$3209,"&lt;"&amp;$A2398+1)/$AH2398)))</f>
        <v/>
      </c>
      <c r="I2398" s="54">
        <f>IF($B2398=0,NA(),IF($C2398="",NA(),IF(C$8="",NA(),IF(N(C$8)=0,NA(),IF(Inputs!$C$17="Rebased to 100",$C2398/C$8*100,$C2398)))))</f>
        <v/>
      </c>
      <c r="J2398" s="54">
        <f>IF($B2398=0,NA(),IF($D2398="",NA(),IF(D$8="",NA(),IF(N(D$8)=0,NA(),IF(Inputs!$C$17="Rebased to 100",$D2398/D$8*100,$D2398)))))</f>
        <v/>
      </c>
      <c r="K2398" s="54">
        <f>IF($B2398=0,NA(),IF($E2398="",NA(),IF(E$8="",NA(),IF(N(E$8)=0,NA(),IF(Inputs!$C$17="Rebased to 100",$E2398/E$8*100,$E2398)))))</f>
        <v/>
      </c>
      <c r="L2398" s="54">
        <f>IF($B2398=0,NA(),IF($F2398="",NA(),IF(F$8="",NA(),IF(N(F$8)=0,NA(),IF(Inputs!$C$17="Rebased to 100",$F2398/F$8*100,$F2398)))))</f>
        <v/>
      </c>
      <c r="M2398" s="54">
        <f>IF($B2398=0,NA(),IF($G2398="",NA(),IF(G$8="",NA(),IF(N(G$8)=0,NA(),IF(Inputs!$C$17="Rebased to 100",$G2398/G$8*100,$G2398)))))</f>
        <v/>
      </c>
      <c r="N2398" s="54">
        <f>IF($B2398=0,NA(),IF(Inputs!$C$18&lt;&gt;"Yes",NA(),IF(COUNT(I2398,J2398,K2398,L2398,M2398)=0,NA(),MIN(I2398,J2398,K2398,L2398,M2398))))</f>
        <v/>
      </c>
      <c r="O2398" s="54">
        <f>IF($B2398=0,NA(),IF(Inputs!$B$24&lt;&gt;"Yes",NA(),Inputs!$D$24*Inputs!$C$35))</f>
        <v/>
      </c>
      <c r="P2398" s="54">
        <f>IF($B2398=0,NA(),IF(Inputs!$B$25&lt;&gt;"Yes",NA(),Inputs!$D$25*Inputs!$C$35))</f>
        <v/>
      </c>
      <c r="Q2398" s="54">
        <f>IF($B2398=0,NA(),IF(Inputs!$B$26&lt;&gt;"Yes",NA(),Inputs!$D$26*Inputs!$C$35))</f>
        <v/>
      </c>
      <c r="R2398" s="54">
        <f>IF($B2398=0,NA(),IF(Inputs!$B$27&lt;&gt;"Yes",NA(),Inputs!$D$27*Inputs!$C$35))</f>
        <v/>
      </c>
      <c r="S2398" s="54">
        <f>IF($B2398=0,NA(),IF(Inputs!$B$28&lt;&gt;"Yes",NA(),Inputs!$D$28*Inputs!$C$35))</f>
        <v/>
      </c>
      <c r="T2398" s="54">
        <f>IF($B2398=0,NA(),IF(Inputs!$B$29&lt;&gt;"Yes",NA(),Inputs!$D$29*Inputs!$C$35))</f>
        <v/>
      </c>
      <c r="AD2398">
        <f>IF($B2398=0,0,IF(Inputs!$B$6="",0,COUNTIFS(Data!$A$10:$A$3209,"&gt;="&amp;$A2398,Data!$A$10:$A$3209,"&lt;"&amp;$A2398+1)))</f>
        <v/>
      </c>
      <c r="AE2398">
        <f>IF($B2398=0,0,IF(Inputs!$B$7="",0,COUNTIFS(Data!$E$10:$E$3209,"&gt;="&amp;$A2398,Data!$E$10:$E$3209,"&lt;"&amp;$A2398+1)))</f>
        <v/>
      </c>
      <c r="AF2398">
        <f>IF($B2398=0,0,IF(Inputs!$B$8="",0,COUNTIFS(Data!$I$10:$I$3209,"&gt;="&amp;$A2398,Data!$I$10:$I$3209,"&lt;"&amp;$A2398+1)))</f>
        <v/>
      </c>
      <c r="AG2398">
        <f>IF($B2398=0,0,IF(Inputs!$B$9="",0,COUNTIFS(Data!$M$10:$M$3209,"&gt;="&amp;$A2398,Data!$M$10:$M$3209,"&lt;"&amp;$A2398+1)))</f>
        <v/>
      </c>
      <c r="AH2398">
        <f>IF($B2398=0,0,IF(Inputs!$B$10="",0,COUNTIFS(Data!$Q$10:$Q$3209,"&gt;="&amp;$A2398,Data!$Q$10:$Q$3209,"&lt;"&amp;$A2398+1)))</f>
        <v/>
      </c>
    </row>
    <row r="2399">
      <c r="A2399" s="55">
        <f>MIN(Inputs!$C$15,$A2398+IF(WEEKDAY($A2398,2)=5,3,1))</f>
        <v/>
      </c>
      <c r="B2399">
        <f>IF($A2399&gt;$A2398,1,0)</f>
        <v/>
      </c>
      <c r="C2399" s="56">
        <f>IF($B2399=0,"",IF(Inputs!$B$6="","",IF($AD2399=0,C2398,SUMIFS(Data!$B$10:$B$3209,Data!$A$10:$A$3209,"&gt;="&amp;$A2399,Data!$A$10:$A$3209,"&lt;"&amp;$A2399+1)/$AD2399)))</f>
        <v/>
      </c>
      <c r="D2399" s="56">
        <f>IF($B2399=0,"",IF(Inputs!$B$7="","",IF($AE2399=0,D2398,SUMIFS(Data!$F$10:$F$3209,Data!$E$10:$E$3209,"&gt;="&amp;$A2399,Data!$E$10:$E$3209,"&lt;"&amp;$A2399+1)/$AE2399)))</f>
        <v/>
      </c>
      <c r="E2399" s="56">
        <f>IF($B2399=0,"",IF(Inputs!$B$8="","",IF($AF2399=0,E2398,SUMIFS(Data!$J$10:$J$3209,Data!$I$10:$I$3209,"&gt;="&amp;$A2399,Data!$I$10:$I$3209,"&lt;"&amp;$A2399+1)/$AF2399)))</f>
        <v/>
      </c>
      <c r="F2399" s="56">
        <f>IF($B2399=0,"",IF(Inputs!$B$9="","",IF($AG2399=0,F2398,SUMIFS(Data!$N$10:$N$3209,Data!$M$10:$M$3209,"&gt;="&amp;$A2399,Data!$M$10:$M$3209,"&lt;"&amp;$A2399+1)/$AG2399)))</f>
        <v/>
      </c>
      <c r="G2399" s="56">
        <f>IF($B2399=0,"",IF(Inputs!$B$10="","",IF($AH2399=0,G2398,SUMIFS(Data!$R$10:$R$3209,Data!$Q$10:$Q$3209,"&gt;="&amp;$A2399,Data!$Q$10:$Q$3209,"&lt;"&amp;$A2399+1)/$AH2399)))</f>
        <v/>
      </c>
      <c r="I2399" s="54">
        <f>IF($B2399=0,NA(),IF($C2399="",NA(),IF(C$8="",NA(),IF(N(C$8)=0,NA(),IF(Inputs!$C$17="Rebased to 100",$C2399/C$8*100,$C2399)))))</f>
        <v/>
      </c>
      <c r="J2399" s="54">
        <f>IF($B2399=0,NA(),IF($D2399="",NA(),IF(D$8="",NA(),IF(N(D$8)=0,NA(),IF(Inputs!$C$17="Rebased to 100",$D2399/D$8*100,$D2399)))))</f>
        <v/>
      </c>
      <c r="K2399" s="54">
        <f>IF($B2399=0,NA(),IF($E2399="",NA(),IF(E$8="",NA(),IF(N(E$8)=0,NA(),IF(Inputs!$C$17="Rebased to 100",$E2399/E$8*100,$E2399)))))</f>
        <v/>
      </c>
      <c r="L2399" s="54">
        <f>IF($B2399=0,NA(),IF($F2399="",NA(),IF(F$8="",NA(),IF(N(F$8)=0,NA(),IF(Inputs!$C$17="Rebased to 100",$F2399/F$8*100,$F2399)))))</f>
        <v/>
      </c>
      <c r="M2399" s="54">
        <f>IF($B2399=0,NA(),IF($G2399="",NA(),IF(G$8="",NA(),IF(N(G$8)=0,NA(),IF(Inputs!$C$17="Rebased to 100",$G2399/G$8*100,$G2399)))))</f>
        <v/>
      </c>
      <c r="N2399" s="54">
        <f>IF($B2399=0,NA(),IF(Inputs!$C$18&lt;&gt;"Yes",NA(),IF(COUNT(I2399,J2399,K2399,L2399,M2399)=0,NA(),MIN(I2399,J2399,K2399,L2399,M2399))))</f>
        <v/>
      </c>
      <c r="O2399" s="54">
        <f>IF($B2399=0,NA(),IF(Inputs!$B$24&lt;&gt;"Yes",NA(),Inputs!$D$24*Inputs!$C$35))</f>
        <v/>
      </c>
      <c r="P2399" s="54">
        <f>IF($B2399=0,NA(),IF(Inputs!$B$25&lt;&gt;"Yes",NA(),Inputs!$D$25*Inputs!$C$35))</f>
        <v/>
      </c>
      <c r="Q2399" s="54">
        <f>IF($B2399=0,NA(),IF(Inputs!$B$26&lt;&gt;"Yes",NA(),Inputs!$D$26*Inputs!$C$35))</f>
        <v/>
      </c>
      <c r="R2399" s="54">
        <f>IF($B2399=0,NA(),IF(Inputs!$B$27&lt;&gt;"Yes",NA(),Inputs!$D$27*Inputs!$C$35))</f>
        <v/>
      </c>
      <c r="S2399" s="54">
        <f>IF($B2399=0,NA(),IF(Inputs!$B$28&lt;&gt;"Yes",NA(),Inputs!$D$28*Inputs!$C$35))</f>
        <v/>
      </c>
      <c r="T2399" s="54">
        <f>IF($B2399=0,NA(),IF(Inputs!$B$29&lt;&gt;"Yes",NA(),Inputs!$D$29*Inputs!$C$35))</f>
        <v/>
      </c>
      <c r="AD2399">
        <f>IF($B2399=0,0,IF(Inputs!$B$6="",0,COUNTIFS(Data!$A$10:$A$3209,"&gt;="&amp;$A2399,Data!$A$10:$A$3209,"&lt;"&amp;$A2399+1)))</f>
        <v/>
      </c>
      <c r="AE2399">
        <f>IF($B2399=0,0,IF(Inputs!$B$7="",0,COUNTIFS(Data!$E$10:$E$3209,"&gt;="&amp;$A2399,Data!$E$10:$E$3209,"&lt;"&amp;$A2399+1)))</f>
        <v/>
      </c>
      <c r="AF2399">
        <f>IF($B2399=0,0,IF(Inputs!$B$8="",0,COUNTIFS(Data!$I$10:$I$3209,"&gt;="&amp;$A2399,Data!$I$10:$I$3209,"&lt;"&amp;$A2399+1)))</f>
        <v/>
      </c>
      <c r="AG2399">
        <f>IF($B2399=0,0,IF(Inputs!$B$9="",0,COUNTIFS(Data!$M$10:$M$3209,"&gt;="&amp;$A2399,Data!$M$10:$M$3209,"&lt;"&amp;$A2399+1)))</f>
        <v/>
      </c>
      <c r="AH2399">
        <f>IF($B2399=0,0,IF(Inputs!$B$10="",0,COUNTIFS(Data!$Q$10:$Q$3209,"&gt;="&amp;$A2399,Data!$Q$10:$Q$3209,"&lt;"&amp;$A2399+1)))</f>
        <v/>
      </c>
    </row>
    <row r="2400">
      <c r="A2400" s="55">
        <f>MIN(Inputs!$C$15,$A2399+IF(WEEKDAY($A2399,2)=5,3,1))</f>
        <v/>
      </c>
      <c r="B2400">
        <f>IF($A2400&gt;$A2399,1,0)</f>
        <v/>
      </c>
      <c r="C2400" s="56">
        <f>IF($B2400=0,"",IF(Inputs!$B$6="","",IF($AD2400=0,C2399,SUMIFS(Data!$B$10:$B$3209,Data!$A$10:$A$3209,"&gt;="&amp;$A2400,Data!$A$10:$A$3209,"&lt;"&amp;$A2400+1)/$AD2400)))</f>
        <v/>
      </c>
      <c r="D2400" s="56">
        <f>IF($B2400=0,"",IF(Inputs!$B$7="","",IF($AE2400=0,D2399,SUMIFS(Data!$F$10:$F$3209,Data!$E$10:$E$3209,"&gt;="&amp;$A2400,Data!$E$10:$E$3209,"&lt;"&amp;$A2400+1)/$AE2400)))</f>
        <v/>
      </c>
      <c r="E2400" s="56">
        <f>IF($B2400=0,"",IF(Inputs!$B$8="","",IF($AF2400=0,E2399,SUMIFS(Data!$J$10:$J$3209,Data!$I$10:$I$3209,"&gt;="&amp;$A2400,Data!$I$10:$I$3209,"&lt;"&amp;$A2400+1)/$AF2400)))</f>
        <v/>
      </c>
      <c r="F2400" s="56">
        <f>IF($B2400=0,"",IF(Inputs!$B$9="","",IF($AG2400=0,F2399,SUMIFS(Data!$N$10:$N$3209,Data!$M$10:$M$3209,"&gt;="&amp;$A2400,Data!$M$10:$M$3209,"&lt;"&amp;$A2400+1)/$AG2400)))</f>
        <v/>
      </c>
      <c r="G2400" s="56">
        <f>IF($B2400=0,"",IF(Inputs!$B$10="","",IF($AH2400=0,G2399,SUMIFS(Data!$R$10:$R$3209,Data!$Q$10:$Q$3209,"&gt;="&amp;$A2400,Data!$Q$10:$Q$3209,"&lt;"&amp;$A2400+1)/$AH2400)))</f>
        <v/>
      </c>
      <c r="I2400" s="54">
        <f>IF($B2400=0,NA(),IF($C2400="",NA(),IF(C$8="",NA(),IF(N(C$8)=0,NA(),IF(Inputs!$C$17="Rebased to 100",$C2400/C$8*100,$C2400)))))</f>
        <v/>
      </c>
      <c r="J2400" s="54">
        <f>IF($B2400=0,NA(),IF($D2400="",NA(),IF(D$8="",NA(),IF(N(D$8)=0,NA(),IF(Inputs!$C$17="Rebased to 100",$D2400/D$8*100,$D2400)))))</f>
        <v/>
      </c>
      <c r="K2400" s="54">
        <f>IF($B2400=0,NA(),IF($E2400="",NA(),IF(E$8="",NA(),IF(N(E$8)=0,NA(),IF(Inputs!$C$17="Rebased to 100",$E2400/E$8*100,$E2400)))))</f>
        <v/>
      </c>
      <c r="L2400" s="54">
        <f>IF($B2400=0,NA(),IF($F2400="",NA(),IF(F$8="",NA(),IF(N(F$8)=0,NA(),IF(Inputs!$C$17="Rebased to 100",$F2400/F$8*100,$F2400)))))</f>
        <v/>
      </c>
      <c r="M2400" s="54">
        <f>IF($B2400=0,NA(),IF($G2400="",NA(),IF(G$8="",NA(),IF(N(G$8)=0,NA(),IF(Inputs!$C$17="Rebased to 100",$G2400/G$8*100,$G2400)))))</f>
        <v/>
      </c>
      <c r="N2400" s="54">
        <f>IF($B2400=0,NA(),IF(Inputs!$C$18&lt;&gt;"Yes",NA(),IF(COUNT(I2400,J2400,K2400,L2400,M2400)=0,NA(),MIN(I2400,J2400,K2400,L2400,M2400))))</f>
        <v/>
      </c>
      <c r="O2400" s="54">
        <f>IF($B2400=0,NA(),IF(Inputs!$B$24&lt;&gt;"Yes",NA(),Inputs!$D$24*Inputs!$C$35))</f>
        <v/>
      </c>
      <c r="P2400" s="54">
        <f>IF($B2400=0,NA(),IF(Inputs!$B$25&lt;&gt;"Yes",NA(),Inputs!$D$25*Inputs!$C$35))</f>
        <v/>
      </c>
      <c r="Q2400" s="54">
        <f>IF($B2400=0,NA(),IF(Inputs!$B$26&lt;&gt;"Yes",NA(),Inputs!$D$26*Inputs!$C$35))</f>
        <v/>
      </c>
      <c r="R2400" s="54">
        <f>IF($B2400=0,NA(),IF(Inputs!$B$27&lt;&gt;"Yes",NA(),Inputs!$D$27*Inputs!$C$35))</f>
        <v/>
      </c>
      <c r="S2400" s="54">
        <f>IF($B2400=0,NA(),IF(Inputs!$B$28&lt;&gt;"Yes",NA(),Inputs!$D$28*Inputs!$C$35))</f>
        <v/>
      </c>
      <c r="T2400" s="54">
        <f>IF($B2400=0,NA(),IF(Inputs!$B$29&lt;&gt;"Yes",NA(),Inputs!$D$29*Inputs!$C$35))</f>
        <v/>
      </c>
      <c r="AD2400">
        <f>IF($B2400=0,0,IF(Inputs!$B$6="",0,COUNTIFS(Data!$A$10:$A$3209,"&gt;="&amp;$A2400,Data!$A$10:$A$3209,"&lt;"&amp;$A2400+1)))</f>
        <v/>
      </c>
      <c r="AE2400">
        <f>IF($B2400=0,0,IF(Inputs!$B$7="",0,COUNTIFS(Data!$E$10:$E$3209,"&gt;="&amp;$A2400,Data!$E$10:$E$3209,"&lt;"&amp;$A2400+1)))</f>
        <v/>
      </c>
      <c r="AF2400">
        <f>IF($B2400=0,0,IF(Inputs!$B$8="",0,COUNTIFS(Data!$I$10:$I$3209,"&gt;="&amp;$A2400,Data!$I$10:$I$3209,"&lt;"&amp;$A2400+1)))</f>
        <v/>
      </c>
      <c r="AG2400">
        <f>IF($B2400=0,0,IF(Inputs!$B$9="",0,COUNTIFS(Data!$M$10:$M$3209,"&gt;="&amp;$A2400,Data!$M$10:$M$3209,"&lt;"&amp;$A2400+1)))</f>
        <v/>
      </c>
      <c r="AH2400">
        <f>IF($B2400=0,0,IF(Inputs!$B$10="",0,COUNTIFS(Data!$Q$10:$Q$3209,"&gt;="&amp;$A2400,Data!$Q$10:$Q$3209,"&lt;"&amp;$A2400+1)))</f>
        <v/>
      </c>
    </row>
    <row r="2401">
      <c r="A2401" s="55">
        <f>MIN(Inputs!$C$15,$A2400+IF(WEEKDAY($A2400,2)=5,3,1))</f>
        <v/>
      </c>
      <c r="B2401">
        <f>IF($A2401&gt;$A2400,1,0)</f>
        <v/>
      </c>
      <c r="C2401" s="56">
        <f>IF($B2401=0,"",IF(Inputs!$B$6="","",IF($AD2401=0,C2400,SUMIFS(Data!$B$10:$B$3209,Data!$A$10:$A$3209,"&gt;="&amp;$A2401,Data!$A$10:$A$3209,"&lt;"&amp;$A2401+1)/$AD2401)))</f>
        <v/>
      </c>
      <c r="D2401" s="56">
        <f>IF($B2401=0,"",IF(Inputs!$B$7="","",IF($AE2401=0,D2400,SUMIFS(Data!$F$10:$F$3209,Data!$E$10:$E$3209,"&gt;="&amp;$A2401,Data!$E$10:$E$3209,"&lt;"&amp;$A2401+1)/$AE2401)))</f>
        <v/>
      </c>
      <c r="E2401" s="56">
        <f>IF($B2401=0,"",IF(Inputs!$B$8="","",IF($AF2401=0,E2400,SUMIFS(Data!$J$10:$J$3209,Data!$I$10:$I$3209,"&gt;="&amp;$A2401,Data!$I$10:$I$3209,"&lt;"&amp;$A2401+1)/$AF2401)))</f>
        <v/>
      </c>
      <c r="F2401" s="56">
        <f>IF($B2401=0,"",IF(Inputs!$B$9="","",IF($AG2401=0,F2400,SUMIFS(Data!$N$10:$N$3209,Data!$M$10:$M$3209,"&gt;="&amp;$A2401,Data!$M$10:$M$3209,"&lt;"&amp;$A2401+1)/$AG2401)))</f>
        <v/>
      </c>
      <c r="G2401" s="56">
        <f>IF($B2401=0,"",IF(Inputs!$B$10="","",IF($AH2401=0,G2400,SUMIFS(Data!$R$10:$R$3209,Data!$Q$10:$Q$3209,"&gt;="&amp;$A2401,Data!$Q$10:$Q$3209,"&lt;"&amp;$A2401+1)/$AH2401)))</f>
        <v/>
      </c>
      <c r="I2401" s="54">
        <f>IF($B2401=0,NA(),IF($C2401="",NA(),IF(C$8="",NA(),IF(N(C$8)=0,NA(),IF(Inputs!$C$17="Rebased to 100",$C2401/C$8*100,$C2401)))))</f>
        <v/>
      </c>
      <c r="J2401" s="54">
        <f>IF($B2401=0,NA(),IF($D2401="",NA(),IF(D$8="",NA(),IF(N(D$8)=0,NA(),IF(Inputs!$C$17="Rebased to 100",$D2401/D$8*100,$D2401)))))</f>
        <v/>
      </c>
      <c r="K2401" s="54">
        <f>IF($B2401=0,NA(),IF($E2401="",NA(),IF(E$8="",NA(),IF(N(E$8)=0,NA(),IF(Inputs!$C$17="Rebased to 100",$E2401/E$8*100,$E2401)))))</f>
        <v/>
      </c>
      <c r="L2401" s="54">
        <f>IF($B2401=0,NA(),IF($F2401="",NA(),IF(F$8="",NA(),IF(N(F$8)=0,NA(),IF(Inputs!$C$17="Rebased to 100",$F2401/F$8*100,$F2401)))))</f>
        <v/>
      </c>
      <c r="M2401" s="54">
        <f>IF($B2401=0,NA(),IF($G2401="",NA(),IF(G$8="",NA(),IF(N(G$8)=0,NA(),IF(Inputs!$C$17="Rebased to 100",$G2401/G$8*100,$G2401)))))</f>
        <v/>
      </c>
      <c r="N2401" s="54">
        <f>IF($B2401=0,NA(),IF(Inputs!$C$18&lt;&gt;"Yes",NA(),IF(COUNT(I2401,J2401,K2401,L2401,M2401)=0,NA(),MIN(I2401,J2401,K2401,L2401,M2401))))</f>
        <v/>
      </c>
      <c r="O2401" s="54">
        <f>IF($B2401=0,NA(),IF(Inputs!$B$24&lt;&gt;"Yes",NA(),Inputs!$D$24*Inputs!$C$35))</f>
        <v/>
      </c>
      <c r="P2401" s="54">
        <f>IF($B2401=0,NA(),IF(Inputs!$B$25&lt;&gt;"Yes",NA(),Inputs!$D$25*Inputs!$C$35))</f>
        <v/>
      </c>
      <c r="Q2401" s="54">
        <f>IF($B2401=0,NA(),IF(Inputs!$B$26&lt;&gt;"Yes",NA(),Inputs!$D$26*Inputs!$C$35))</f>
        <v/>
      </c>
      <c r="R2401" s="54">
        <f>IF($B2401=0,NA(),IF(Inputs!$B$27&lt;&gt;"Yes",NA(),Inputs!$D$27*Inputs!$C$35))</f>
        <v/>
      </c>
      <c r="S2401" s="54">
        <f>IF($B2401=0,NA(),IF(Inputs!$B$28&lt;&gt;"Yes",NA(),Inputs!$D$28*Inputs!$C$35))</f>
        <v/>
      </c>
      <c r="T2401" s="54">
        <f>IF($B2401=0,NA(),IF(Inputs!$B$29&lt;&gt;"Yes",NA(),Inputs!$D$29*Inputs!$C$35))</f>
        <v/>
      </c>
      <c r="AD2401">
        <f>IF($B2401=0,0,IF(Inputs!$B$6="",0,COUNTIFS(Data!$A$10:$A$3209,"&gt;="&amp;$A2401,Data!$A$10:$A$3209,"&lt;"&amp;$A2401+1)))</f>
        <v/>
      </c>
      <c r="AE2401">
        <f>IF($B2401=0,0,IF(Inputs!$B$7="",0,COUNTIFS(Data!$E$10:$E$3209,"&gt;="&amp;$A2401,Data!$E$10:$E$3209,"&lt;"&amp;$A2401+1)))</f>
        <v/>
      </c>
      <c r="AF2401">
        <f>IF($B2401=0,0,IF(Inputs!$B$8="",0,COUNTIFS(Data!$I$10:$I$3209,"&gt;="&amp;$A2401,Data!$I$10:$I$3209,"&lt;"&amp;$A2401+1)))</f>
        <v/>
      </c>
      <c r="AG2401">
        <f>IF($B2401=0,0,IF(Inputs!$B$9="",0,COUNTIFS(Data!$M$10:$M$3209,"&gt;="&amp;$A2401,Data!$M$10:$M$3209,"&lt;"&amp;$A2401+1)))</f>
        <v/>
      </c>
      <c r="AH2401">
        <f>IF($B2401=0,0,IF(Inputs!$B$10="",0,COUNTIFS(Data!$Q$10:$Q$3209,"&gt;="&amp;$A2401,Data!$Q$10:$Q$3209,"&lt;"&amp;$A2401+1)))</f>
        <v/>
      </c>
    </row>
    <row r="2402">
      <c r="A2402" s="55">
        <f>MIN(Inputs!$C$15,$A2401+IF(WEEKDAY($A2401,2)=5,3,1))</f>
        <v/>
      </c>
      <c r="B2402">
        <f>IF($A2402&gt;$A2401,1,0)</f>
        <v/>
      </c>
      <c r="C2402" s="56">
        <f>IF($B2402=0,"",IF(Inputs!$B$6="","",IF($AD2402=0,C2401,SUMIFS(Data!$B$10:$B$3209,Data!$A$10:$A$3209,"&gt;="&amp;$A2402,Data!$A$10:$A$3209,"&lt;"&amp;$A2402+1)/$AD2402)))</f>
        <v/>
      </c>
      <c r="D2402" s="56">
        <f>IF($B2402=0,"",IF(Inputs!$B$7="","",IF($AE2402=0,D2401,SUMIFS(Data!$F$10:$F$3209,Data!$E$10:$E$3209,"&gt;="&amp;$A2402,Data!$E$10:$E$3209,"&lt;"&amp;$A2402+1)/$AE2402)))</f>
        <v/>
      </c>
      <c r="E2402" s="56">
        <f>IF($B2402=0,"",IF(Inputs!$B$8="","",IF($AF2402=0,E2401,SUMIFS(Data!$J$10:$J$3209,Data!$I$10:$I$3209,"&gt;="&amp;$A2402,Data!$I$10:$I$3209,"&lt;"&amp;$A2402+1)/$AF2402)))</f>
        <v/>
      </c>
      <c r="F2402" s="56">
        <f>IF($B2402=0,"",IF(Inputs!$B$9="","",IF($AG2402=0,F2401,SUMIFS(Data!$N$10:$N$3209,Data!$M$10:$M$3209,"&gt;="&amp;$A2402,Data!$M$10:$M$3209,"&lt;"&amp;$A2402+1)/$AG2402)))</f>
        <v/>
      </c>
      <c r="G2402" s="56">
        <f>IF($B2402=0,"",IF(Inputs!$B$10="","",IF($AH2402=0,G2401,SUMIFS(Data!$R$10:$R$3209,Data!$Q$10:$Q$3209,"&gt;="&amp;$A2402,Data!$Q$10:$Q$3209,"&lt;"&amp;$A2402+1)/$AH2402)))</f>
        <v/>
      </c>
      <c r="I2402" s="54">
        <f>IF($B2402=0,NA(),IF($C2402="",NA(),IF(C$8="",NA(),IF(N(C$8)=0,NA(),IF(Inputs!$C$17="Rebased to 100",$C2402/C$8*100,$C2402)))))</f>
        <v/>
      </c>
      <c r="J2402" s="54">
        <f>IF($B2402=0,NA(),IF($D2402="",NA(),IF(D$8="",NA(),IF(N(D$8)=0,NA(),IF(Inputs!$C$17="Rebased to 100",$D2402/D$8*100,$D2402)))))</f>
        <v/>
      </c>
      <c r="K2402" s="54">
        <f>IF($B2402=0,NA(),IF($E2402="",NA(),IF(E$8="",NA(),IF(N(E$8)=0,NA(),IF(Inputs!$C$17="Rebased to 100",$E2402/E$8*100,$E2402)))))</f>
        <v/>
      </c>
      <c r="L2402" s="54">
        <f>IF($B2402=0,NA(),IF($F2402="",NA(),IF(F$8="",NA(),IF(N(F$8)=0,NA(),IF(Inputs!$C$17="Rebased to 100",$F2402/F$8*100,$F2402)))))</f>
        <v/>
      </c>
      <c r="M2402" s="54">
        <f>IF($B2402=0,NA(),IF($G2402="",NA(),IF(G$8="",NA(),IF(N(G$8)=0,NA(),IF(Inputs!$C$17="Rebased to 100",$G2402/G$8*100,$G2402)))))</f>
        <v/>
      </c>
      <c r="N2402" s="54">
        <f>IF($B2402=0,NA(),IF(Inputs!$C$18&lt;&gt;"Yes",NA(),IF(COUNT(I2402,J2402,K2402,L2402,M2402)=0,NA(),MIN(I2402,J2402,K2402,L2402,M2402))))</f>
        <v/>
      </c>
      <c r="O2402" s="54">
        <f>IF($B2402=0,NA(),IF(Inputs!$B$24&lt;&gt;"Yes",NA(),Inputs!$D$24*Inputs!$C$35))</f>
        <v/>
      </c>
      <c r="P2402" s="54">
        <f>IF($B2402=0,NA(),IF(Inputs!$B$25&lt;&gt;"Yes",NA(),Inputs!$D$25*Inputs!$C$35))</f>
        <v/>
      </c>
      <c r="Q2402" s="54">
        <f>IF($B2402=0,NA(),IF(Inputs!$B$26&lt;&gt;"Yes",NA(),Inputs!$D$26*Inputs!$C$35))</f>
        <v/>
      </c>
      <c r="R2402" s="54">
        <f>IF($B2402=0,NA(),IF(Inputs!$B$27&lt;&gt;"Yes",NA(),Inputs!$D$27*Inputs!$C$35))</f>
        <v/>
      </c>
      <c r="S2402" s="54">
        <f>IF($B2402=0,NA(),IF(Inputs!$B$28&lt;&gt;"Yes",NA(),Inputs!$D$28*Inputs!$C$35))</f>
        <v/>
      </c>
      <c r="T2402" s="54">
        <f>IF($B2402=0,NA(),IF(Inputs!$B$29&lt;&gt;"Yes",NA(),Inputs!$D$29*Inputs!$C$35))</f>
        <v/>
      </c>
      <c r="AD2402">
        <f>IF($B2402=0,0,IF(Inputs!$B$6="",0,COUNTIFS(Data!$A$10:$A$3209,"&gt;="&amp;$A2402,Data!$A$10:$A$3209,"&lt;"&amp;$A2402+1)))</f>
        <v/>
      </c>
      <c r="AE2402">
        <f>IF($B2402=0,0,IF(Inputs!$B$7="",0,COUNTIFS(Data!$E$10:$E$3209,"&gt;="&amp;$A2402,Data!$E$10:$E$3209,"&lt;"&amp;$A2402+1)))</f>
        <v/>
      </c>
      <c r="AF2402">
        <f>IF($B2402=0,0,IF(Inputs!$B$8="",0,COUNTIFS(Data!$I$10:$I$3209,"&gt;="&amp;$A2402,Data!$I$10:$I$3209,"&lt;"&amp;$A2402+1)))</f>
        <v/>
      </c>
      <c r="AG2402">
        <f>IF($B2402=0,0,IF(Inputs!$B$9="",0,COUNTIFS(Data!$M$10:$M$3209,"&gt;="&amp;$A2402,Data!$M$10:$M$3209,"&lt;"&amp;$A2402+1)))</f>
        <v/>
      </c>
      <c r="AH2402">
        <f>IF($B2402=0,0,IF(Inputs!$B$10="",0,COUNTIFS(Data!$Q$10:$Q$3209,"&gt;="&amp;$A2402,Data!$Q$10:$Q$3209,"&lt;"&amp;$A2402+1)))</f>
        <v/>
      </c>
    </row>
    <row r="2403">
      <c r="A2403" s="55">
        <f>MIN(Inputs!$C$15,$A2402+IF(WEEKDAY($A2402,2)=5,3,1))</f>
        <v/>
      </c>
      <c r="B2403">
        <f>IF($A2403&gt;$A2402,1,0)</f>
        <v/>
      </c>
      <c r="C2403" s="56">
        <f>IF($B2403=0,"",IF(Inputs!$B$6="","",IF($AD2403=0,C2402,SUMIFS(Data!$B$10:$B$3209,Data!$A$10:$A$3209,"&gt;="&amp;$A2403,Data!$A$10:$A$3209,"&lt;"&amp;$A2403+1)/$AD2403)))</f>
        <v/>
      </c>
      <c r="D2403" s="56">
        <f>IF($B2403=0,"",IF(Inputs!$B$7="","",IF($AE2403=0,D2402,SUMIFS(Data!$F$10:$F$3209,Data!$E$10:$E$3209,"&gt;="&amp;$A2403,Data!$E$10:$E$3209,"&lt;"&amp;$A2403+1)/$AE2403)))</f>
        <v/>
      </c>
      <c r="E2403" s="56">
        <f>IF($B2403=0,"",IF(Inputs!$B$8="","",IF($AF2403=0,E2402,SUMIFS(Data!$J$10:$J$3209,Data!$I$10:$I$3209,"&gt;="&amp;$A2403,Data!$I$10:$I$3209,"&lt;"&amp;$A2403+1)/$AF2403)))</f>
        <v/>
      </c>
      <c r="F2403" s="56">
        <f>IF($B2403=0,"",IF(Inputs!$B$9="","",IF($AG2403=0,F2402,SUMIFS(Data!$N$10:$N$3209,Data!$M$10:$M$3209,"&gt;="&amp;$A2403,Data!$M$10:$M$3209,"&lt;"&amp;$A2403+1)/$AG2403)))</f>
        <v/>
      </c>
      <c r="G2403" s="56">
        <f>IF($B2403=0,"",IF(Inputs!$B$10="","",IF($AH2403=0,G2402,SUMIFS(Data!$R$10:$R$3209,Data!$Q$10:$Q$3209,"&gt;="&amp;$A2403,Data!$Q$10:$Q$3209,"&lt;"&amp;$A2403+1)/$AH2403)))</f>
        <v/>
      </c>
      <c r="I2403" s="54">
        <f>IF($B2403=0,NA(),IF($C2403="",NA(),IF(C$8="",NA(),IF(N(C$8)=0,NA(),IF(Inputs!$C$17="Rebased to 100",$C2403/C$8*100,$C2403)))))</f>
        <v/>
      </c>
      <c r="J2403" s="54">
        <f>IF($B2403=0,NA(),IF($D2403="",NA(),IF(D$8="",NA(),IF(N(D$8)=0,NA(),IF(Inputs!$C$17="Rebased to 100",$D2403/D$8*100,$D2403)))))</f>
        <v/>
      </c>
      <c r="K2403" s="54">
        <f>IF($B2403=0,NA(),IF($E2403="",NA(),IF(E$8="",NA(),IF(N(E$8)=0,NA(),IF(Inputs!$C$17="Rebased to 100",$E2403/E$8*100,$E2403)))))</f>
        <v/>
      </c>
      <c r="L2403" s="54">
        <f>IF($B2403=0,NA(),IF($F2403="",NA(),IF(F$8="",NA(),IF(N(F$8)=0,NA(),IF(Inputs!$C$17="Rebased to 100",$F2403/F$8*100,$F2403)))))</f>
        <v/>
      </c>
      <c r="M2403" s="54">
        <f>IF($B2403=0,NA(),IF($G2403="",NA(),IF(G$8="",NA(),IF(N(G$8)=0,NA(),IF(Inputs!$C$17="Rebased to 100",$G2403/G$8*100,$G2403)))))</f>
        <v/>
      </c>
      <c r="N2403" s="54">
        <f>IF($B2403=0,NA(),IF(Inputs!$C$18&lt;&gt;"Yes",NA(),IF(COUNT(I2403,J2403,K2403,L2403,M2403)=0,NA(),MIN(I2403,J2403,K2403,L2403,M2403))))</f>
        <v/>
      </c>
      <c r="O2403" s="54">
        <f>IF($B2403=0,NA(),IF(Inputs!$B$24&lt;&gt;"Yes",NA(),Inputs!$D$24*Inputs!$C$35))</f>
        <v/>
      </c>
      <c r="P2403" s="54">
        <f>IF($B2403=0,NA(),IF(Inputs!$B$25&lt;&gt;"Yes",NA(),Inputs!$D$25*Inputs!$C$35))</f>
        <v/>
      </c>
      <c r="Q2403" s="54">
        <f>IF($B2403=0,NA(),IF(Inputs!$B$26&lt;&gt;"Yes",NA(),Inputs!$D$26*Inputs!$C$35))</f>
        <v/>
      </c>
      <c r="R2403" s="54">
        <f>IF($B2403=0,NA(),IF(Inputs!$B$27&lt;&gt;"Yes",NA(),Inputs!$D$27*Inputs!$C$35))</f>
        <v/>
      </c>
      <c r="S2403" s="54">
        <f>IF($B2403=0,NA(),IF(Inputs!$B$28&lt;&gt;"Yes",NA(),Inputs!$D$28*Inputs!$C$35))</f>
        <v/>
      </c>
      <c r="T2403" s="54">
        <f>IF($B2403=0,NA(),IF(Inputs!$B$29&lt;&gt;"Yes",NA(),Inputs!$D$29*Inputs!$C$35))</f>
        <v/>
      </c>
      <c r="AD2403">
        <f>IF($B2403=0,0,IF(Inputs!$B$6="",0,COUNTIFS(Data!$A$10:$A$3209,"&gt;="&amp;$A2403,Data!$A$10:$A$3209,"&lt;"&amp;$A2403+1)))</f>
        <v/>
      </c>
      <c r="AE2403">
        <f>IF($B2403=0,0,IF(Inputs!$B$7="",0,COUNTIFS(Data!$E$10:$E$3209,"&gt;="&amp;$A2403,Data!$E$10:$E$3209,"&lt;"&amp;$A2403+1)))</f>
        <v/>
      </c>
      <c r="AF2403">
        <f>IF($B2403=0,0,IF(Inputs!$B$8="",0,COUNTIFS(Data!$I$10:$I$3209,"&gt;="&amp;$A2403,Data!$I$10:$I$3209,"&lt;"&amp;$A2403+1)))</f>
        <v/>
      </c>
      <c r="AG2403">
        <f>IF($B2403=0,0,IF(Inputs!$B$9="",0,COUNTIFS(Data!$M$10:$M$3209,"&gt;="&amp;$A2403,Data!$M$10:$M$3209,"&lt;"&amp;$A2403+1)))</f>
        <v/>
      </c>
      <c r="AH2403">
        <f>IF($B2403=0,0,IF(Inputs!$B$10="",0,COUNTIFS(Data!$Q$10:$Q$3209,"&gt;="&amp;$A2403,Data!$Q$10:$Q$3209,"&lt;"&amp;$A2403+1)))</f>
        <v/>
      </c>
    </row>
    <row r="2404">
      <c r="A2404" s="55">
        <f>MIN(Inputs!$C$15,$A2403+IF(WEEKDAY($A2403,2)=5,3,1))</f>
        <v/>
      </c>
      <c r="B2404">
        <f>IF($A2404&gt;$A2403,1,0)</f>
        <v/>
      </c>
      <c r="C2404" s="56">
        <f>IF($B2404=0,"",IF(Inputs!$B$6="","",IF($AD2404=0,C2403,SUMIFS(Data!$B$10:$B$3209,Data!$A$10:$A$3209,"&gt;="&amp;$A2404,Data!$A$10:$A$3209,"&lt;"&amp;$A2404+1)/$AD2404)))</f>
        <v/>
      </c>
      <c r="D2404" s="56">
        <f>IF($B2404=0,"",IF(Inputs!$B$7="","",IF($AE2404=0,D2403,SUMIFS(Data!$F$10:$F$3209,Data!$E$10:$E$3209,"&gt;="&amp;$A2404,Data!$E$10:$E$3209,"&lt;"&amp;$A2404+1)/$AE2404)))</f>
        <v/>
      </c>
      <c r="E2404" s="56">
        <f>IF($B2404=0,"",IF(Inputs!$B$8="","",IF($AF2404=0,E2403,SUMIFS(Data!$J$10:$J$3209,Data!$I$10:$I$3209,"&gt;="&amp;$A2404,Data!$I$10:$I$3209,"&lt;"&amp;$A2404+1)/$AF2404)))</f>
        <v/>
      </c>
      <c r="F2404" s="56">
        <f>IF($B2404=0,"",IF(Inputs!$B$9="","",IF($AG2404=0,F2403,SUMIFS(Data!$N$10:$N$3209,Data!$M$10:$M$3209,"&gt;="&amp;$A2404,Data!$M$10:$M$3209,"&lt;"&amp;$A2404+1)/$AG2404)))</f>
        <v/>
      </c>
      <c r="G2404" s="56">
        <f>IF($B2404=0,"",IF(Inputs!$B$10="","",IF($AH2404=0,G2403,SUMIFS(Data!$R$10:$R$3209,Data!$Q$10:$Q$3209,"&gt;="&amp;$A2404,Data!$Q$10:$Q$3209,"&lt;"&amp;$A2404+1)/$AH2404)))</f>
        <v/>
      </c>
      <c r="I2404" s="54">
        <f>IF($B2404=0,NA(),IF($C2404="",NA(),IF(C$8="",NA(),IF(N(C$8)=0,NA(),IF(Inputs!$C$17="Rebased to 100",$C2404/C$8*100,$C2404)))))</f>
        <v/>
      </c>
      <c r="J2404" s="54">
        <f>IF($B2404=0,NA(),IF($D2404="",NA(),IF(D$8="",NA(),IF(N(D$8)=0,NA(),IF(Inputs!$C$17="Rebased to 100",$D2404/D$8*100,$D2404)))))</f>
        <v/>
      </c>
      <c r="K2404" s="54">
        <f>IF($B2404=0,NA(),IF($E2404="",NA(),IF(E$8="",NA(),IF(N(E$8)=0,NA(),IF(Inputs!$C$17="Rebased to 100",$E2404/E$8*100,$E2404)))))</f>
        <v/>
      </c>
      <c r="L2404" s="54">
        <f>IF($B2404=0,NA(),IF($F2404="",NA(),IF(F$8="",NA(),IF(N(F$8)=0,NA(),IF(Inputs!$C$17="Rebased to 100",$F2404/F$8*100,$F2404)))))</f>
        <v/>
      </c>
      <c r="M2404" s="54">
        <f>IF($B2404=0,NA(),IF($G2404="",NA(),IF(G$8="",NA(),IF(N(G$8)=0,NA(),IF(Inputs!$C$17="Rebased to 100",$G2404/G$8*100,$G2404)))))</f>
        <v/>
      </c>
      <c r="N2404" s="54">
        <f>IF($B2404=0,NA(),IF(Inputs!$C$18&lt;&gt;"Yes",NA(),IF(COUNT(I2404,J2404,K2404,L2404,M2404)=0,NA(),MIN(I2404,J2404,K2404,L2404,M2404))))</f>
        <v/>
      </c>
      <c r="O2404" s="54">
        <f>IF($B2404=0,NA(),IF(Inputs!$B$24&lt;&gt;"Yes",NA(),Inputs!$D$24*Inputs!$C$35))</f>
        <v/>
      </c>
      <c r="P2404" s="54">
        <f>IF($B2404=0,NA(),IF(Inputs!$B$25&lt;&gt;"Yes",NA(),Inputs!$D$25*Inputs!$C$35))</f>
        <v/>
      </c>
      <c r="Q2404" s="54">
        <f>IF($B2404=0,NA(),IF(Inputs!$B$26&lt;&gt;"Yes",NA(),Inputs!$D$26*Inputs!$C$35))</f>
        <v/>
      </c>
      <c r="R2404" s="54">
        <f>IF($B2404=0,NA(),IF(Inputs!$B$27&lt;&gt;"Yes",NA(),Inputs!$D$27*Inputs!$C$35))</f>
        <v/>
      </c>
      <c r="S2404" s="54">
        <f>IF($B2404=0,NA(),IF(Inputs!$B$28&lt;&gt;"Yes",NA(),Inputs!$D$28*Inputs!$C$35))</f>
        <v/>
      </c>
      <c r="T2404" s="54">
        <f>IF($B2404=0,NA(),IF(Inputs!$B$29&lt;&gt;"Yes",NA(),Inputs!$D$29*Inputs!$C$35))</f>
        <v/>
      </c>
      <c r="AD2404">
        <f>IF($B2404=0,0,IF(Inputs!$B$6="",0,COUNTIFS(Data!$A$10:$A$3209,"&gt;="&amp;$A2404,Data!$A$10:$A$3209,"&lt;"&amp;$A2404+1)))</f>
        <v/>
      </c>
      <c r="AE2404">
        <f>IF($B2404=0,0,IF(Inputs!$B$7="",0,COUNTIFS(Data!$E$10:$E$3209,"&gt;="&amp;$A2404,Data!$E$10:$E$3209,"&lt;"&amp;$A2404+1)))</f>
        <v/>
      </c>
      <c r="AF2404">
        <f>IF($B2404=0,0,IF(Inputs!$B$8="",0,COUNTIFS(Data!$I$10:$I$3209,"&gt;="&amp;$A2404,Data!$I$10:$I$3209,"&lt;"&amp;$A2404+1)))</f>
        <v/>
      </c>
      <c r="AG2404">
        <f>IF($B2404=0,0,IF(Inputs!$B$9="",0,COUNTIFS(Data!$M$10:$M$3209,"&gt;="&amp;$A2404,Data!$M$10:$M$3209,"&lt;"&amp;$A2404+1)))</f>
        <v/>
      </c>
      <c r="AH2404">
        <f>IF($B2404=0,0,IF(Inputs!$B$10="",0,COUNTIFS(Data!$Q$10:$Q$3209,"&gt;="&amp;$A2404,Data!$Q$10:$Q$3209,"&lt;"&amp;$A2404+1)))</f>
        <v/>
      </c>
    </row>
    <row r="2405">
      <c r="A2405" s="55">
        <f>MIN(Inputs!$C$15,$A2404+IF(WEEKDAY($A2404,2)=5,3,1))</f>
        <v/>
      </c>
      <c r="B2405">
        <f>IF($A2405&gt;$A2404,1,0)</f>
        <v/>
      </c>
      <c r="C2405" s="56">
        <f>IF($B2405=0,"",IF(Inputs!$B$6="","",IF($AD2405=0,C2404,SUMIFS(Data!$B$10:$B$3209,Data!$A$10:$A$3209,"&gt;="&amp;$A2405,Data!$A$10:$A$3209,"&lt;"&amp;$A2405+1)/$AD2405)))</f>
        <v/>
      </c>
      <c r="D2405" s="56">
        <f>IF($B2405=0,"",IF(Inputs!$B$7="","",IF($AE2405=0,D2404,SUMIFS(Data!$F$10:$F$3209,Data!$E$10:$E$3209,"&gt;="&amp;$A2405,Data!$E$10:$E$3209,"&lt;"&amp;$A2405+1)/$AE2405)))</f>
        <v/>
      </c>
      <c r="E2405" s="56">
        <f>IF($B2405=0,"",IF(Inputs!$B$8="","",IF($AF2405=0,E2404,SUMIFS(Data!$J$10:$J$3209,Data!$I$10:$I$3209,"&gt;="&amp;$A2405,Data!$I$10:$I$3209,"&lt;"&amp;$A2405+1)/$AF2405)))</f>
        <v/>
      </c>
      <c r="F2405" s="56">
        <f>IF($B2405=0,"",IF(Inputs!$B$9="","",IF($AG2405=0,F2404,SUMIFS(Data!$N$10:$N$3209,Data!$M$10:$M$3209,"&gt;="&amp;$A2405,Data!$M$10:$M$3209,"&lt;"&amp;$A2405+1)/$AG2405)))</f>
        <v/>
      </c>
      <c r="G2405" s="56">
        <f>IF($B2405=0,"",IF(Inputs!$B$10="","",IF($AH2405=0,G2404,SUMIFS(Data!$R$10:$R$3209,Data!$Q$10:$Q$3209,"&gt;="&amp;$A2405,Data!$Q$10:$Q$3209,"&lt;"&amp;$A2405+1)/$AH2405)))</f>
        <v/>
      </c>
      <c r="I2405" s="54">
        <f>IF($B2405=0,NA(),IF($C2405="",NA(),IF(C$8="",NA(),IF(N(C$8)=0,NA(),IF(Inputs!$C$17="Rebased to 100",$C2405/C$8*100,$C2405)))))</f>
        <v/>
      </c>
      <c r="J2405" s="54">
        <f>IF($B2405=0,NA(),IF($D2405="",NA(),IF(D$8="",NA(),IF(N(D$8)=0,NA(),IF(Inputs!$C$17="Rebased to 100",$D2405/D$8*100,$D2405)))))</f>
        <v/>
      </c>
      <c r="K2405" s="54">
        <f>IF($B2405=0,NA(),IF($E2405="",NA(),IF(E$8="",NA(),IF(N(E$8)=0,NA(),IF(Inputs!$C$17="Rebased to 100",$E2405/E$8*100,$E2405)))))</f>
        <v/>
      </c>
      <c r="L2405" s="54">
        <f>IF($B2405=0,NA(),IF($F2405="",NA(),IF(F$8="",NA(),IF(N(F$8)=0,NA(),IF(Inputs!$C$17="Rebased to 100",$F2405/F$8*100,$F2405)))))</f>
        <v/>
      </c>
      <c r="M2405" s="54">
        <f>IF($B2405=0,NA(),IF($G2405="",NA(),IF(G$8="",NA(),IF(N(G$8)=0,NA(),IF(Inputs!$C$17="Rebased to 100",$G2405/G$8*100,$G2405)))))</f>
        <v/>
      </c>
      <c r="N2405" s="54">
        <f>IF($B2405=0,NA(),IF(Inputs!$C$18&lt;&gt;"Yes",NA(),IF(COUNT(I2405,J2405,K2405,L2405,M2405)=0,NA(),MIN(I2405,J2405,K2405,L2405,M2405))))</f>
        <v/>
      </c>
      <c r="O2405" s="54">
        <f>IF($B2405=0,NA(),IF(Inputs!$B$24&lt;&gt;"Yes",NA(),Inputs!$D$24*Inputs!$C$35))</f>
        <v/>
      </c>
      <c r="P2405" s="54">
        <f>IF($B2405=0,NA(),IF(Inputs!$B$25&lt;&gt;"Yes",NA(),Inputs!$D$25*Inputs!$C$35))</f>
        <v/>
      </c>
      <c r="Q2405" s="54">
        <f>IF($B2405=0,NA(),IF(Inputs!$B$26&lt;&gt;"Yes",NA(),Inputs!$D$26*Inputs!$C$35))</f>
        <v/>
      </c>
      <c r="R2405" s="54">
        <f>IF($B2405=0,NA(),IF(Inputs!$B$27&lt;&gt;"Yes",NA(),Inputs!$D$27*Inputs!$C$35))</f>
        <v/>
      </c>
      <c r="S2405" s="54">
        <f>IF($B2405=0,NA(),IF(Inputs!$B$28&lt;&gt;"Yes",NA(),Inputs!$D$28*Inputs!$C$35))</f>
        <v/>
      </c>
      <c r="T2405" s="54">
        <f>IF($B2405=0,NA(),IF(Inputs!$B$29&lt;&gt;"Yes",NA(),Inputs!$D$29*Inputs!$C$35))</f>
        <v/>
      </c>
      <c r="AD2405">
        <f>IF($B2405=0,0,IF(Inputs!$B$6="",0,COUNTIFS(Data!$A$10:$A$3209,"&gt;="&amp;$A2405,Data!$A$10:$A$3209,"&lt;"&amp;$A2405+1)))</f>
        <v/>
      </c>
      <c r="AE2405">
        <f>IF($B2405=0,0,IF(Inputs!$B$7="",0,COUNTIFS(Data!$E$10:$E$3209,"&gt;="&amp;$A2405,Data!$E$10:$E$3209,"&lt;"&amp;$A2405+1)))</f>
        <v/>
      </c>
      <c r="AF2405">
        <f>IF($B2405=0,0,IF(Inputs!$B$8="",0,COUNTIFS(Data!$I$10:$I$3209,"&gt;="&amp;$A2405,Data!$I$10:$I$3209,"&lt;"&amp;$A2405+1)))</f>
        <v/>
      </c>
      <c r="AG2405">
        <f>IF($B2405=0,0,IF(Inputs!$B$9="",0,COUNTIFS(Data!$M$10:$M$3209,"&gt;="&amp;$A2405,Data!$M$10:$M$3209,"&lt;"&amp;$A2405+1)))</f>
        <v/>
      </c>
      <c r="AH2405">
        <f>IF($B2405=0,0,IF(Inputs!$B$10="",0,COUNTIFS(Data!$Q$10:$Q$3209,"&gt;="&amp;$A2405,Data!$Q$10:$Q$3209,"&lt;"&amp;$A2405+1)))</f>
        <v/>
      </c>
    </row>
    <row r="2406">
      <c r="A2406" s="55">
        <f>MIN(Inputs!$C$15,$A2405+IF(WEEKDAY($A2405,2)=5,3,1))</f>
        <v/>
      </c>
      <c r="B2406">
        <f>IF($A2406&gt;$A2405,1,0)</f>
        <v/>
      </c>
      <c r="C2406" s="56">
        <f>IF($B2406=0,"",IF(Inputs!$B$6="","",IF($AD2406=0,C2405,SUMIFS(Data!$B$10:$B$3209,Data!$A$10:$A$3209,"&gt;="&amp;$A2406,Data!$A$10:$A$3209,"&lt;"&amp;$A2406+1)/$AD2406)))</f>
        <v/>
      </c>
      <c r="D2406" s="56">
        <f>IF($B2406=0,"",IF(Inputs!$B$7="","",IF($AE2406=0,D2405,SUMIFS(Data!$F$10:$F$3209,Data!$E$10:$E$3209,"&gt;="&amp;$A2406,Data!$E$10:$E$3209,"&lt;"&amp;$A2406+1)/$AE2406)))</f>
        <v/>
      </c>
      <c r="E2406" s="56">
        <f>IF($B2406=0,"",IF(Inputs!$B$8="","",IF($AF2406=0,E2405,SUMIFS(Data!$J$10:$J$3209,Data!$I$10:$I$3209,"&gt;="&amp;$A2406,Data!$I$10:$I$3209,"&lt;"&amp;$A2406+1)/$AF2406)))</f>
        <v/>
      </c>
      <c r="F2406" s="56">
        <f>IF($B2406=0,"",IF(Inputs!$B$9="","",IF($AG2406=0,F2405,SUMIFS(Data!$N$10:$N$3209,Data!$M$10:$M$3209,"&gt;="&amp;$A2406,Data!$M$10:$M$3209,"&lt;"&amp;$A2406+1)/$AG2406)))</f>
        <v/>
      </c>
      <c r="G2406" s="56">
        <f>IF($B2406=0,"",IF(Inputs!$B$10="","",IF($AH2406=0,G2405,SUMIFS(Data!$R$10:$R$3209,Data!$Q$10:$Q$3209,"&gt;="&amp;$A2406,Data!$Q$10:$Q$3209,"&lt;"&amp;$A2406+1)/$AH2406)))</f>
        <v/>
      </c>
      <c r="I2406" s="54">
        <f>IF($B2406=0,NA(),IF($C2406="",NA(),IF(C$8="",NA(),IF(N(C$8)=0,NA(),IF(Inputs!$C$17="Rebased to 100",$C2406/C$8*100,$C2406)))))</f>
        <v/>
      </c>
      <c r="J2406" s="54">
        <f>IF($B2406=0,NA(),IF($D2406="",NA(),IF(D$8="",NA(),IF(N(D$8)=0,NA(),IF(Inputs!$C$17="Rebased to 100",$D2406/D$8*100,$D2406)))))</f>
        <v/>
      </c>
      <c r="K2406" s="54">
        <f>IF($B2406=0,NA(),IF($E2406="",NA(),IF(E$8="",NA(),IF(N(E$8)=0,NA(),IF(Inputs!$C$17="Rebased to 100",$E2406/E$8*100,$E2406)))))</f>
        <v/>
      </c>
      <c r="L2406" s="54">
        <f>IF($B2406=0,NA(),IF($F2406="",NA(),IF(F$8="",NA(),IF(N(F$8)=0,NA(),IF(Inputs!$C$17="Rebased to 100",$F2406/F$8*100,$F2406)))))</f>
        <v/>
      </c>
      <c r="M2406" s="54">
        <f>IF($B2406=0,NA(),IF($G2406="",NA(),IF(G$8="",NA(),IF(N(G$8)=0,NA(),IF(Inputs!$C$17="Rebased to 100",$G2406/G$8*100,$G2406)))))</f>
        <v/>
      </c>
      <c r="N2406" s="54">
        <f>IF($B2406=0,NA(),IF(Inputs!$C$18&lt;&gt;"Yes",NA(),IF(COUNT(I2406,J2406,K2406,L2406,M2406)=0,NA(),MIN(I2406,J2406,K2406,L2406,M2406))))</f>
        <v/>
      </c>
      <c r="O2406" s="54">
        <f>IF($B2406=0,NA(),IF(Inputs!$B$24&lt;&gt;"Yes",NA(),Inputs!$D$24*Inputs!$C$35))</f>
        <v/>
      </c>
      <c r="P2406" s="54">
        <f>IF($B2406=0,NA(),IF(Inputs!$B$25&lt;&gt;"Yes",NA(),Inputs!$D$25*Inputs!$C$35))</f>
        <v/>
      </c>
      <c r="Q2406" s="54">
        <f>IF($B2406=0,NA(),IF(Inputs!$B$26&lt;&gt;"Yes",NA(),Inputs!$D$26*Inputs!$C$35))</f>
        <v/>
      </c>
      <c r="R2406" s="54">
        <f>IF($B2406=0,NA(),IF(Inputs!$B$27&lt;&gt;"Yes",NA(),Inputs!$D$27*Inputs!$C$35))</f>
        <v/>
      </c>
      <c r="S2406" s="54">
        <f>IF($B2406=0,NA(),IF(Inputs!$B$28&lt;&gt;"Yes",NA(),Inputs!$D$28*Inputs!$C$35))</f>
        <v/>
      </c>
      <c r="T2406" s="54">
        <f>IF($B2406=0,NA(),IF(Inputs!$B$29&lt;&gt;"Yes",NA(),Inputs!$D$29*Inputs!$C$35))</f>
        <v/>
      </c>
      <c r="AD2406">
        <f>IF($B2406=0,0,IF(Inputs!$B$6="",0,COUNTIFS(Data!$A$10:$A$3209,"&gt;="&amp;$A2406,Data!$A$10:$A$3209,"&lt;"&amp;$A2406+1)))</f>
        <v/>
      </c>
      <c r="AE2406">
        <f>IF($B2406=0,0,IF(Inputs!$B$7="",0,COUNTIFS(Data!$E$10:$E$3209,"&gt;="&amp;$A2406,Data!$E$10:$E$3209,"&lt;"&amp;$A2406+1)))</f>
        <v/>
      </c>
      <c r="AF2406">
        <f>IF($B2406=0,0,IF(Inputs!$B$8="",0,COUNTIFS(Data!$I$10:$I$3209,"&gt;="&amp;$A2406,Data!$I$10:$I$3209,"&lt;"&amp;$A2406+1)))</f>
        <v/>
      </c>
      <c r="AG2406">
        <f>IF($B2406=0,0,IF(Inputs!$B$9="",0,COUNTIFS(Data!$M$10:$M$3209,"&gt;="&amp;$A2406,Data!$M$10:$M$3209,"&lt;"&amp;$A2406+1)))</f>
        <v/>
      </c>
      <c r="AH2406">
        <f>IF($B2406=0,0,IF(Inputs!$B$10="",0,COUNTIFS(Data!$Q$10:$Q$3209,"&gt;="&amp;$A2406,Data!$Q$10:$Q$3209,"&lt;"&amp;$A2406+1)))</f>
        <v/>
      </c>
    </row>
    <row r="2407">
      <c r="A2407" s="55">
        <f>MIN(Inputs!$C$15,$A2406+IF(WEEKDAY($A2406,2)=5,3,1))</f>
        <v/>
      </c>
      <c r="B2407">
        <f>IF($A2407&gt;$A2406,1,0)</f>
        <v/>
      </c>
      <c r="C2407" s="56">
        <f>IF($B2407=0,"",IF(Inputs!$B$6="","",IF($AD2407=0,C2406,SUMIFS(Data!$B$10:$B$3209,Data!$A$10:$A$3209,"&gt;="&amp;$A2407,Data!$A$10:$A$3209,"&lt;"&amp;$A2407+1)/$AD2407)))</f>
        <v/>
      </c>
      <c r="D2407" s="56">
        <f>IF($B2407=0,"",IF(Inputs!$B$7="","",IF($AE2407=0,D2406,SUMIFS(Data!$F$10:$F$3209,Data!$E$10:$E$3209,"&gt;="&amp;$A2407,Data!$E$10:$E$3209,"&lt;"&amp;$A2407+1)/$AE2407)))</f>
        <v/>
      </c>
      <c r="E2407" s="56">
        <f>IF($B2407=0,"",IF(Inputs!$B$8="","",IF($AF2407=0,E2406,SUMIFS(Data!$J$10:$J$3209,Data!$I$10:$I$3209,"&gt;="&amp;$A2407,Data!$I$10:$I$3209,"&lt;"&amp;$A2407+1)/$AF2407)))</f>
        <v/>
      </c>
      <c r="F2407" s="56">
        <f>IF($B2407=0,"",IF(Inputs!$B$9="","",IF($AG2407=0,F2406,SUMIFS(Data!$N$10:$N$3209,Data!$M$10:$M$3209,"&gt;="&amp;$A2407,Data!$M$10:$M$3209,"&lt;"&amp;$A2407+1)/$AG2407)))</f>
        <v/>
      </c>
      <c r="G2407" s="56">
        <f>IF($B2407=0,"",IF(Inputs!$B$10="","",IF($AH2407=0,G2406,SUMIFS(Data!$R$10:$R$3209,Data!$Q$10:$Q$3209,"&gt;="&amp;$A2407,Data!$Q$10:$Q$3209,"&lt;"&amp;$A2407+1)/$AH2407)))</f>
        <v/>
      </c>
      <c r="I2407" s="54">
        <f>IF($B2407=0,NA(),IF($C2407="",NA(),IF(C$8="",NA(),IF(N(C$8)=0,NA(),IF(Inputs!$C$17="Rebased to 100",$C2407/C$8*100,$C2407)))))</f>
        <v/>
      </c>
      <c r="J2407" s="54">
        <f>IF($B2407=0,NA(),IF($D2407="",NA(),IF(D$8="",NA(),IF(N(D$8)=0,NA(),IF(Inputs!$C$17="Rebased to 100",$D2407/D$8*100,$D2407)))))</f>
        <v/>
      </c>
      <c r="K2407" s="54">
        <f>IF($B2407=0,NA(),IF($E2407="",NA(),IF(E$8="",NA(),IF(N(E$8)=0,NA(),IF(Inputs!$C$17="Rebased to 100",$E2407/E$8*100,$E2407)))))</f>
        <v/>
      </c>
      <c r="L2407" s="54">
        <f>IF($B2407=0,NA(),IF($F2407="",NA(),IF(F$8="",NA(),IF(N(F$8)=0,NA(),IF(Inputs!$C$17="Rebased to 100",$F2407/F$8*100,$F2407)))))</f>
        <v/>
      </c>
      <c r="M2407" s="54">
        <f>IF($B2407=0,NA(),IF($G2407="",NA(),IF(G$8="",NA(),IF(N(G$8)=0,NA(),IF(Inputs!$C$17="Rebased to 100",$G2407/G$8*100,$G2407)))))</f>
        <v/>
      </c>
      <c r="N2407" s="54">
        <f>IF($B2407=0,NA(),IF(Inputs!$C$18&lt;&gt;"Yes",NA(),IF(COUNT(I2407,J2407,K2407,L2407,M2407)=0,NA(),MIN(I2407,J2407,K2407,L2407,M2407))))</f>
        <v/>
      </c>
      <c r="O2407" s="54">
        <f>IF($B2407=0,NA(),IF(Inputs!$B$24&lt;&gt;"Yes",NA(),Inputs!$D$24*Inputs!$C$35))</f>
        <v/>
      </c>
      <c r="P2407" s="54">
        <f>IF($B2407=0,NA(),IF(Inputs!$B$25&lt;&gt;"Yes",NA(),Inputs!$D$25*Inputs!$C$35))</f>
        <v/>
      </c>
      <c r="Q2407" s="54">
        <f>IF($B2407=0,NA(),IF(Inputs!$B$26&lt;&gt;"Yes",NA(),Inputs!$D$26*Inputs!$C$35))</f>
        <v/>
      </c>
      <c r="R2407" s="54">
        <f>IF($B2407=0,NA(),IF(Inputs!$B$27&lt;&gt;"Yes",NA(),Inputs!$D$27*Inputs!$C$35))</f>
        <v/>
      </c>
      <c r="S2407" s="54">
        <f>IF($B2407=0,NA(),IF(Inputs!$B$28&lt;&gt;"Yes",NA(),Inputs!$D$28*Inputs!$C$35))</f>
        <v/>
      </c>
      <c r="T2407" s="54">
        <f>IF($B2407=0,NA(),IF(Inputs!$B$29&lt;&gt;"Yes",NA(),Inputs!$D$29*Inputs!$C$35))</f>
        <v/>
      </c>
      <c r="AD2407">
        <f>IF($B2407=0,0,IF(Inputs!$B$6="",0,COUNTIFS(Data!$A$10:$A$3209,"&gt;="&amp;$A2407,Data!$A$10:$A$3209,"&lt;"&amp;$A2407+1)))</f>
        <v/>
      </c>
      <c r="AE2407">
        <f>IF($B2407=0,0,IF(Inputs!$B$7="",0,COUNTIFS(Data!$E$10:$E$3209,"&gt;="&amp;$A2407,Data!$E$10:$E$3209,"&lt;"&amp;$A2407+1)))</f>
        <v/>
      </c>
      <c r="AF2407">
        <f>IF($B2407=0,0,IF(Inputs!$B$8="",0,COUNTIFS(Data!$I$10:$I$3209,"&gt;="&amp;$A2407,Data!$I$10:$I$3209,"&lt;"&amp;$A2407+1)))</f>
        <v/>
      </c>
      <c r="AG2407">
        <f>IF($B2407=0,0,IF(Inputs!$B$9="",0,COUNTIFS(Data!$M$10:$M$3209,"&gt;="&amp;$A2407,Data!$M$10:$M$3209,"&lt;"&amp;$A2407+1)))</f>
        <v/>
      </c>
      <c r="AH2407">
        <f>IF($B2407=0,0,IF(Inputs!$B$10="",0,COUNTIFS(Data!$Q$10:$Q$3209,"&gt;="&amp;$A2407,Data!$Q$10:$Q$3209,"&lt;"&amp;$A2407+1)))</f>
        <v/>
      </c>
    </row>
    <row r="2408">
      <c r="A2408" s="55">
        <f>MIN(Inputs!$C$15,$A2407+IF(WEEKDAY($A2407,2)=5,3,1))</f>
        <v/>
      </c>
      <c r="B2408">
        <f>IF($A2408&gt;$A2407,1,0)</f>
        <v/>
      </c>
      <c r="C2408" s="56">
        <f>IF($B2408=0,"",IF(Inputs!$B$6="","",IF($AD2408=0,C2407,SUMIFS(Data!$B$10:$B$3209,Data!$A$10:$A$3209,"&gt;="&amp;$A2408,Data!$A$10:$A$3209,"&lt;"&amp;$A2408+1)/$AD2408)))</f>
        <v/>
      </c>
      <c r="D2408" s="56">
        <f>IF($B2408=0,"",IF(Inputs!$B$7="","",IF($AE2408=0,D2407,SUMIFS(Data!$F$10:$F$3209,Data!$E$10:$E$3209,"&gt;="&amp;$A2408,Data!$E$10:$E$3209,"&lt;"&amp;$A2408+1)/$AE2408)))</f>
        <v/>
      </c>
      <c r="E2408" s="56">
        <f>IF($B2408=0,"",IF(Inputs!$B$8="","",IF($AF2408=0,E2407,SUMIFS(Data!$J$10:$J$3209,Data!$I$10:$I$3209,"&gt;="&amp;$A2408,Data!$I$10:$I$3209,"&lt;"&amp;$A2408+1)/$AF2408)))</f>
        <v/>
      </c>
      <c r="F2408" s="56">
        <f>IF($B2408=0,"",IF(Inputs!$B$9="","",IF($AG2408=0,F2407,SUMIFS(Data!$N$10:$N$3209,Data!$M$10:$M$3209,"&gt;="&amp;$A2408,Data!$M$10:$M$3209,"&lt;"&amp;$A2408+1)/$AG2408)))</f>
        <v/>
      </c>
      <c r="G2408" s="56">
        <f>IF($B2408=0,"",IF(Inputs!$B$10="","",IF($AH2408=0,G2407,SUMIFS(Data!$R$10:$R$3209,Data!$Q$10:$Q$3209,"&gt;="&amp;$A2408,Data!$Q$10:$Q$3209,"&lt;"&amp;$A2408+1)/$AH2408)))</f>
        <v/>
      </c>
      <c r="I2408" s="54">
        <f>IF($B2408=0,NA(),IF($C2408="",NA(),IF(C$8="",NA(),IF(N(C$8)=0,NA(),IF(Inputs!$C$17="Rebased to 100",$C2408/C$8*100,$C2408)))))</f>
        <v/>
      </c>
      <c r="J2408" s="54">
        <f>IF($B2408=0,NA(),IF($D2408="",NA(),IF(D$8="",NA(),IF(N(D$8)=0,NA(),IF(Inputs!$C$17="Rebased to 100",$D2408/D$8*100,$D2408)))))</f>
        <v/>
      </c>
      <c r="K2408" s="54">
        <f>IF($B2408=0,NA(),IF($E2408="",NA(),IF(E$8="",NA(),IF(N(E$8)=0,NA(),IF(Inputs!$C$17="Rebased to 100",$E2408/E$8*100,$E2408)))))</f>
        <v/>
      </c>
      <c r="L2408" s="54">
        <f>IF($B2408=0,NA(),IF($F2408="",NA(),IF(F$8="",NA(),IF(N(F$8)=0,NA(),IF(Inputs!$C$17="Rebased to 100",$F2408/F$8*100,$F2408)))))</f>
        <v/>
      </c>
      <c r="M2408" s="54">
        <f>IF($B2408=0,NA(),IF($G2408="",NA(),IF(G$8="",NA(),IF(N(G$8)=0,NA(),IF(Inputs!$C$17="Rebased to 100",$G2408/G$8*100,$G2408)))))</f>
        <v/>
      </c>
      <c r="N2408" s="54">
        <f>IF($B2408=0,NA(),IF(Inputs!$C$18&lt;&gt;"Yes",NA(),IF(COUNT(I2408,J2408,K2408,L2408,M2408)=0,NA(),MIN(I2408,J2408,K2408,L2408,M2408))))</f>
        <v/>
      </c>
      <c r="O2408" s="54">
        <f>IF($B2408=0,NA(),IF(Inputs!$B$24&lt;&gt;"Yes",NA(),Inputs!$D$24*Inputs!$C$35))</f>
        <v/>
      </c>
      <c r="P2408" s="54">
        <f>IF($B2408=0,NA(),IF(Inputs!$B$25&lt;&gt;"Yes",NA(),Inputs!$D$25*Inputs!$C$35))</f>
        <v/>
      </c>
      <c r="Q2408" s="54">
        <f>IF($B2408=0,NA(),IF(Inputs!$B$26&lt;&gt;"Yes",NA(),Inputs!$D$26*Inputs!$C$35))</f>
        <v/>
      </c>
      <c r="R2408" s="54">
        <f>IF($B2408=0,NA(),IF(Inputs!$B$27&lt;&gt;"Yes",NA(),Inputs!$D$27*Inputs!$C$35))</f>
        <v/>
      </c>
      <c r="S2408" s="54">
        <f>IF($B2408=0,NA(),IF(Inputs!$B$28&lt;&gt;"Yes",NA(),Inputs!$D$28*Inputs!$C$35))</f>
        <v/>
      </c>
      <c r="T2408" s="54">
        <f>IF($B2408=0,NA(),IF(Inputs!$B$29&lt;&gt;"Yes",NA(),Inputs!$D$29*Inputs!$C$35))</f>
        <v/>
      </c>
      <c r="AD2408">
        <f>IF($B2408=0,0,IF(Inputs!$B$6="",0,COUNTIFS(Data!$A$10:$A$3209,"&gt;="&amp;$A2408,Data!$A$10:$A$3209,"&lt;"&amp;$A2408+1)))</f>
        <v/>
      </c>
      <c r="AE2408">
        <f>IF($B2408=0,0,IF(Inputs!$B$7="",0,COUNTIFS(Data!$E$10:$E$3209,"&gt;="&amp;$A2408,Data!$E$10:$E$3209,"&lt;"&amp;$A2408+1)))</f>
        <v/>
      </c>
      <c r="AF2408">
        <f>IF($B2408=0,0,IF(Inputs!$B$8="",0,COUNTIFS(Data!$I$10:$I$3209,"&gt;="&amp;$A2408,Data!$I$10:$I$3209,"&lt;"&amp;$A2408+1)))</f>
        <v/>
      </c>
      <c r="AG2408">
        <f>IF($B2408=0,0,IF(Inputs!$B$9="",0,COUNTIFS(Data!$M$10:$M$3209,"&gt;="&amp;$A2408,Data!$M$10:$M$3209,"&lt;"&amp;$A2408+1)))</f>
        <v/>
      </c>
      <c r="AH2408">
        <f>IF($B2408=0,0,IF(Inputs!$B$10="",0,COUNTIFS(Data!$Q$10:$Q$3209,"&gt;="&amp;$A2408,Data!$Q$10:$Q$3209,"&lt;"&amp;$A2408+1)))</f>
        <v/>
      </c>
    </row>
    <row r="2409">
      <c r="A2409" s="55">
        <f>MIN(Inputs!$C$15,$A2408+IF(WEEKDAY($A2408,2)=5,3,1))</f>
        <v/>
      </c>
      <c r="B2409">
        <f>IF($A2409&gt;$A2408,1,0)</f>
        <v/>
      </c>
      <c r="C2409" s="56">
        <f>IF($B2409=0,"",IF(Inputs!$B$6="","",IF($AD2409=0,C2408,SUMIFS(Data!$B$10:$B$3209,Data!$A$10:$A$3209,"&gt;="&amp;$A2409,Data!$A$10:$A$3209,"&lt;"&amp;$A2409+1)/$AD2409)))</f>
        <v/>
      </c>
      <c r="D2409" s="56">
        <f>IF($B2409=0,"",IF(Inputs!$B$7="","",IF($AE2409=0,D2408,SUMIFS(Data!$F$10:$F$3209,Data!$E$10:$E$3209,"&gt;="&amp;$A2409,Data!$E$10:$E$3209,"&lt;"&amp;$A2409+1)/$AE2409)))</f>
        <v/>
      </c>
      <c r="E2409" s="56">
        <f>IF($B2409=0,"",IF(Inputs!$B$8="","",IF($AF2409=0,E2408,SUMIFS(Data!$J$10:$J$3209,Data!$I$10:$I$3209,"&gt;="&amp;$A2409,Data!$I$10:$I$3209,"&lt;"&amp;$A2409+1)/$AF2409)))</f>
        <v/>
      </c>
      <c r="F2409" s="56">
        <f>IF($B2409=0,"",IF(Inputs!$B$9="","",IF($AG2409=0,F2408,SUMIFS(Data!$N$10:$N$3209,Data!$M$10:$M$3209,"&gt;="&amp;$A2409,Data!$M$10:$M$3209,"&lt;"&amp;$A2409+1)/$AG2409)))</f>
        <v/>
      </c>
      <c r="G2409" s="56">
        <f>IF($B2409=0,"",IF(Inputs!$B$10="","",IF($AH2409=0,G2408,SUMIFS(Data!$R$10:$R$3209,Data!$Q$10:$Q$3209,"&gt;="&amp;$A2409,Data!$Q$10:$Q$3209,"&lt;"&amp;$A2409+1)/$AH2409)))</f>
        <v/>
      </c>
      <c r="I2409" s="54">
        <f>IF($B2409=0,NA(),IF($C2409="",NA(),IF(C$8="",NA(),IF(N(C$8)=0,NA(),IF(Inputs!$C$17="Rebased to 100",$C2409/C$8*100,$C2409)))))</f>
        <v/>
      </c>
      <c r="J2409" s="54">
        <f>IF($B2409=0,NA(),IF($D2409="",NA(),IF(D$8="",NA(),IF(N(D$8)=0,NA(),IF(Inputs!$C$17="Rebased to 100",$D2409/D$8*100,$D2409)))))</f>
        <v/>
      </c>
      <c r="K2409" s="54">
        <f>IF($B2409=0,NA(),IF($E2409="",NA(),IF(E$8="",NA(),IF(N(E$8)=0,NA(),IF(Inputs!$C$17="Rebased to 100",$E2409/E$8*100,$E2409)))))</f>
        <v/>
      </c>
      <c r="L2409" s="54">
        <f>IF($B2409=0,NA(),IF($F2409="",NA(),IF(F$8="",NA(),IF(N(F$8)=0,NA(),IF(Inputs!$C$17="Rebased to 100",$F2409/F$8*100,$F2409)))))</f>
        <v/>
      </c>
      <c r="M2409" s="54">
        <f>IF($B2409=0,NA(),IF($G2409="",NA(),IF(G$8="",NA(),IF(N(G$8)=0,NA(),IF(Inputs!$C$17="Rebased to 100",$G2409/G$8*100,$G2409)))))</f>
        <v/>
      </c>
      <c r="N2409" s="54">
        <f>IF($B2409=0,NA(),IF(Inputs!$C$18&lt;&gt;"Yes",NA(),IF(COUNT(I2409,J2409,K2409,L2409,M2409)=0,NA(),MIN(I2409,J2409,K2409,L2409,M2409))))</f>
        <v/>
      </c>
      <c r="O2409" s="54">
        <f>IF($B2409=0,NA(),IF(Inputs!$B$24&lt;&gt;"Yes",NA(),Inputs!$D$24*Inputs!$C$35))</f>
        <v/>
      </c>
      <c r="P2409" s="54">
        <f>IF($B2409=0,NA(),IF(Inputs!$B$25&lt;&gt;"Yes",NA(),Inputs!$D$25*Inputs!$C$35))</f>
        <v/>
      </c>
      <c r="Q2409" s="54">
        <f>IF($B2409=0,NA(),IF(Inputs!$B$26&lt;&gt;"Yes",NA(),Inputs!$D$26*Inputs!$C$35))</f>
        <v/>
      </c>
      <c r="R2409" s="54">
        <f>IF($B2409=0,NA(),IF(Inputs!$B$27&lt;&gt;"Yes",NA(),Inputs!$D$27*Inputs!$C$35))</f>
        <v/>
      </c>
      <c r="S2409" s="54">
        <f>IF($B2409=0,NA(),IF(Inputs!$B$28&lt;&gt;"Yes",NA(),Inputs!$D$28*Inputs!$C$35))</f>
        <v/>
      </c>
      <c r="T2409" s="54">
        <f>IF($B2409=0,NA(),IF(Inputs!$B$29&lt;&gt;"Yes",NA(),Inputs!$D$29*Inputs!$C$35))</f>
        <v/>
      </c>
      <c r="AD2409">
        <f>IF($B2409=0,0,IF(Inputs!$B$6="",0,COUNTIFS(Data!$A$10:$A$3209,"&gt;="&amp;$A2409,Data!$A$10:$A$3209,"&lt;"&amp;$A2409+1)))</f>
        <v/>
      </c>
      <c r="AE2409">
        <f>IF($B2409=0,0,IF(Inputs!$B$7="",0,COUNTIFS(Data!$E$10:$E$3209,"&gt;="&amp;$A2409,Data!$E$10:$E$3209,"&lt;"&amp;$A2409+1)))</f>
        <v/>
      </c>
      <c r="AF2409">
        <f>IF($B2409=0,0,IF(Inputs!$B$8="",0,COUNTIFS(Data!$I$10:$I$3209,"&gt;="&amp;$A2409,Data!$I$10:$I$3209,"&lt;"&amp;$A2409+1)))</f>
        <v/>
      </c>
      <c r="AG2409">
        <f>IF($B2409=0,0,IF(Inputs!$B$9="",0,COUNTIFS(Data!$M$10:$M$3209,"&gt;="&amp;$A2409,Data!$M$10:$M$3209,"&lt;"&amp;$A2409+1)))</f>
        <v/>
      </c>
      <c r="AH2409">
        <f>IF($B2409=0,0,IF(Inputs!$B$10="",0,COUNTIFS(Data!$Q$10:$Q$3209,"&gt;="&amp;$A2409,Data!$Q$10:$Q$3209,"&lt;"&amp;$A2409+1)))</f>
        <v/>
      </c>
    </row>
    <row r="2410">
      <c r="A2410" s="55">
        <f>MIN(Inputs!$C$15,$A2409+IF(WEEKDAY($A2409,2)=5,3,1))</f>
        <v/>
      </c>
      <c r="B2410">
        <f>IF($A2410&gt;$A2409,1,0)</f>
        <v/>
      </c>
      <c r="C2410" s="56">
        <f>IF($B2410=0,"",IF(Inputs!$B$6="","",IF($AD2410=0,C2409,SUMIFS(Data!$B$10:$B$3209,Data!$A$10:$A$3209,"&gt;="&amp;$A2410,Data!$A$10:$A$3209,"&lt;"&amp;$A2410+1)/$AD2410)))</f>
        <v/>
      </c>
      <c r="D2410" s="56">
        <f>IF($B2410=0,"",IF(Inputs!$B$7="","",IF($AE2410=0,D2409,SUMIFS(Data!$F$10:$F$3209,Data!$E$10:$E$3209,"&gt;="&amp;$A2410,Data!$E$10:$E$3209,"&lt;"&amp;$A2410+1)/$AE2410)))</f>
        <v/>
      </c>
      <c r="E2410" s="56">
        <f>IF($B2410=0,"",IF(Inputs!$B$8="","",IF($AF2410=0,E2409,SUMIFS(Data!$J$10:$J$3209,Data!$I$10:$I$3209,"&gt;="&amp;$A2410,Data!$I$10:$I$3209,"&lt;"&amp;$A2410+1)/$AF2410)))</f>
        <v/>
      </c>
      <c r="F2410" s="56">
        <f>IF($B2410=0,"",IF(Inputs!$B$9="","",IF($AG2410=0,F2409,SUMIFS(Data!$N$10:$N$3209,Data!$M$10:$M$3209,"&gt;="&amp;$A2410,Data!$M$10:$M$3209,"&lt;"&amp;$A2410+1)/$AG2410)))</f>
        <v/>
      </c>
      <c r="G2410" s="56">
        <f>IF($B2410=0,"",IF(Inputs!$B$10="","",IF($AH2410=0,G2409,SUMIFS(Data!$R$10:$R$3209,Data!$Q$10:$Q$3209,"&gt;="&amp;$A2410,Data!$Q$10:$Q$3209,"&lt;"&amp;$A2410+1)/$AH2410)))</f>
        <v/>
      </c>
      <c r="I2410" s="54">
        <f>IF($B2410=0,NA(),IF($C2410="",NA(),IF(C$8="",NA(),IF(N(C$8)=0,NA(),IF(Inputs!$C$17="Rebased to 100",$C2410/C$8*100,$C2410)))))</f>
        <v/>
      </c>
      <c r="J2410" s="54">
        <f>IF($B2410=0,NA(),IF($D2410="",NA(),IF(D$8="",NA(),IF(N(D$8)=0,NA(),IF(Inputs!$C$17="Rebased to 100",$D2410/D$8*100,$D2410)))))</f>
        <v/>
      </c>
      <c r="K2410" s="54">
        <f>IF($B2410=0,NA(),IF($E2410="",NA(),IF(E$8="",NA(),IF(N(E$8)=0,NA(),IF(Inputs!$C$17="Rebased to 100",$E2410/E$8*100,$E2410)))))</f>
        <v/>
      </c>
      <c r="L2410" s="54">
        <f>IF($B2410=0,NA(),IF($F2410="",NA(),IF(F$8="",NA(),IF(N(F$8)=0,NA(),IF(Inputs!$C$17="Rebased to 100",$F2410/F$8*100,$F2410)))))</f>
        <v/>
      </c>
      <c r="M2410" s="54">
        <f>IF($B2410=0,NA(),IF($G2410="",NA(),IF(G$8="",NA(),IF(N(G$8)=0,NA(),IF(Inputs!$C$17="Rebased to 100",$G2410/G$8*100,$G2410)))))</f>
        <v/>
      </c>
      <c r="N2410" s="54">
        <f>IF($B2410=0,NA(),IF(Inputs!$C$18&lt;&gt;"Yes",NA(),IF(COUNT(I2410,J2410,K2410,L2410,M2410)=0,NA(),MIN(I2410,J2410,K2410,L2410,M2410))))</f>
        <v/>
      </c>
      <c r="O2410" s="54">
        <f>IF($B2410=0,NA(),IF(Inputs!$B$24&lt;&gt;"Yes",NA(),Inputs!$D$24*Inputs!$C$35))</f>
        <v/>
      </c>
      <c r="P2410" s="54">
        <f>IF($B2410=0,NA(),IF(Inputs!$B$25&lt;&gt;"Yes",NA(),Inputs!$D$25*Inputs!$C$35))</f>
        <v/>
      </c>
      <c r="Q2410" s="54">
        <f>IF($B2410=0,NA(),IF(Inputs!$B$26&lt;&gt;"Yes",NA(),Inputs!$D$26*Inputs!$C$35))</f>
        <v/>
      </c>
      <c r="R2410" s="54">
        <f>IF($B2410=0,NA(),IF(Inputs!$B$27&lt;&gt;"Yes",NA(),Inputs!$D$27*Inputs!$C$35))</f>
        <v/>
      </c>
      <c r="S2410" s="54">
        <f>IF($B2410=0,NA(),IF(Inputs!$B$28&lt;&gt;"Yes",NA(),Inputs!$D$28*Inputs!$C$35))</f>
        <v/>
      </c>
      <c r="T2410" s="54">
        <f>IF($B2410=0,NA(),IF(Inputs!$B$29&lt;&gt;"Yes",NA(),Inputs!$D$29*Inputs!$C$35))</f>
        <v/>
      </c>
      <c r="AD2410">
        <f>IF($B2410=0,0,IF(Inputs!$B$6="",0,COUNTIFS(Data!$A$10:$A$3209,"&gt;="&amp;$A2410,Data!$A$10:$A$3209,"&lt;"&amp;$A2410+1)))</f>
        <v/>
      </c>
      <c r="AE2410">
        <f>IF($B2410=0,0,IF(Inputs!$B$7="",0,COUNTIFS(Data!$E$10:$E$3209,"&gt;="&amp;$A2410,Data!$E$10:$E$3209,"&lt;"&amp;$A2410+1)))</f>
        <v/>
      </c>
      <c r="AF2410">
        <f>IF($B2410=0,0,IF(Inputs!$B$8="",0,COUNTIFS(Data!$I$10:$I$3209,"&gt;="&amp;$A2410,Data!$I$10:$I$3209,"&lt;"&amp;$A2410+1)))</f>
        <v/>
      </c>
      <c r="AG2410">
        <f>IF($B2410=0,0,IF(Inputs!$B$9="",0,COUNTIFS(Data!$M$10:$M$3209,"&gt;="&amp;$A2410,Data!$M$10:$M$3209,"&lt;"&amp;$A2410+1)))</f>
        <v/>
      </c>
      <c r="AH2410">
        <f>IF($B2410=0,0,IF(Inputs!$B$10="",0,COUNTIFS(Data!$Q$10:$Q$3209,"&gt;="&amp;$A2410,Data!$Q$10:$Q$3209,"&lt;"&amp;$A2410+1)))</f>
        <v/>
      </c>
    </row>
    <row r="2411">
      <c r="A2411" s="55">
        <f>MIN(Inputs!$C$15,$A2410+IF(WEEKDAY($A2410,2)=5,3,1))</f>
        <v/>
      </c>
      <c r="B2411">
        <f>IF($A2411&gt;$A2410,1,0)</f>
        <v/>
      </c>
      <c r="C2411" s="56">
        <f>IF($B2411=0,"",IF(Inputs!$B$6="","",IF($AD2411=0,C2410,SUMIFS(Data!$B$10:$B$3209,Data!$A$10:$A$3209,"&gt;="&amp;$A2411,Data!$A$10:$A$3209,"&lt;"&amp;$A2411+1)/$AD2411)))</f>
        <v/>
      </c>
      <c r="D2411" s="56">
        <f>IF($B2411=0,"",IF(Inputs!$B$7="","",IF($AE2411=0,D2410,SUMIFS(Data!$F$10:$F$3209,Data!$E$10:$E$3209,"&gt;="&amp;$A2411,Data!$E$10:$E$3209,"&lt;"&amp;$A2411+1)/$AE2411)))</f>
        <v/>
      </c>
      <c r="E2411" s="56">
        <f>IF($B2411=0,"",IF(Inputs!$B$8="","",IF($AF2411=0,E2410,SUMIFS(Data!$J$10:$J$3209,Data!$I$10:$I$3209,"&gt;="&amp;$A2411,Data!$I$10:$I$3209,"&lt;"&amp;$A2411+1)/$AF2411)))</f>
        <v/>
      </c>
      <c r="F2411" s="56">
        <f>IF($B2411=0,"",IF(Inputs!$B$9="","",IF($AG2411=0,F2410,SUMIFS(Data!$N$10:$N$3209,Data!$M$10:$M$3209,"&gt;="&amp;$A2411,Data!$M$10:$M$3209,"&lt;"&amp;$A2411+1)/$AG2411)))</f>
        <v/>
      </c>
      <c r="G2411" s="56">
        <f>IF($B2411=0,"",IF(Inputs!$B$10="","",IF($AH2411=0,G2410,SUMIFS(Data!$R$10:$R$3209,Data!$Q$10:$Q$3209,"&gt;="&amp;$A2411,Data!$Q$10:$Q$3209,"&lt;"&amp;$A2411+1)/$AH2411)))</f>
        <v/>
      </c>
      <c r="I2411" s="54">
        <f>IF($B2411=0,NA(),IF($C2411="",NA(),IF(C$8="",NA(),IF(N(C$8)=0,NA(),IF(Inputs!$C$17="Rebased to 100",$C2411/C$8*100,$C2411)))))</f>
        <v/>
      </c>
      <c r="J2411" s="54">
        <f>IF($B2411=0,NA(),IF($D2411="",NA(),IF(D$8="",NA(),IF(N(D$8)=0,NA(),IF(Inputs!$C$17="Rebased to 100",$D2411/D$8*100,$D2411)))))</f>
        <v/>
      </c>
      <c r="K2411" s="54">
        <f>IF($B2411=0,NA(),IF($E2411="",NA(),IF(E$8="",NA(),IF(N(E$8)=0,NA(),IF(Inputs!$C$17="Rebased to 100",$E2411/E$8*100,$E2411)))))</f>
        <v/>
      </c>
      <c r="L2411" s="54">
        <f>IF($B2411=0,NA(),IF($F2411="",NA(),IF(F$8="",NA(),IF(N(F$8)=0,NA(),IF(Inputs!$C$17="Rebased to 100",$F2411/F$8*100,$F2411)))))</f>
        <v/>
      </c>
      <c r="M2411" s="54">
        <f>IF($B2411=0,NA(),IF($G2411="",NA(),IF(G$8="",NA(),IF(N(G$8)=0,NA(),IF(Inputs!$C$17="Rebased to 100",$G2411/G$8*100,$G2411)))))</f>
        <v/>
      </c>
      <c r="N2411" s="54">
        <f>IF($B2411=0,NA(),IF(Inputs!$C$18&lt;&gt;"Yes",NA(),IF(COUNT(I2411,J2411,K2411,L2411,M2411)=0,NA(),MIN(I2411,J2411,K2411,L2411,M2411))))</f>
        <v/>
      </c>
      <c r="O2411" s="54">
        <f>IF($B2411=0,NA(),IF(Inputs!$B$24&lt;&gt;"Yes",NA(),Inputs!$D$24*Inputs!$C$35))</f>
        <v/>
      </c>
      <c r="P2411" s="54">
        <f>IF($B2411=0,NA(),IF(Inputs!$B$25&lt;&gt;"Yes",NA(),Inputs!$D$25*Inputs!$C$35))</f>
        <v/>
      </c>
      <c r="Q2411" s="54">
        <f>IF($B2411=0,NA(),IF(Inputs!$B$26&lt;&gt;"Yes",NA(),Inputs!$D$26*Inputs!$C$35))</f>
        <v/>
      </c>
      <c r="R2411" s="54">
        <f>IF($B2411=0,NA(),IF(Inputs!$B$27&lt;&gt;"Yes",NA(),Inputs!$D$27*Inputs!$C$35))</f>
        <v/>
      </c>
      <c r="S2411" s="54">
        <f>IF($B2411=0,NA(),IF(Inputs!$B$28&lt;&gt;"Yes",NA(),Inputs!$D$28*Inputs!$C$35))</f>
        <v/>
      </c>
      <c r="T2411" s="54">
        <f>IF($B2411=0,NA(),IF(Inputs!$B$29&lt;&gt;"Yes",NA(),Inputs!$D$29*Inputs!$C$35))</f>
        <v/>
      </c>
      <c r="AD2411">
        <f>IF($B2411=0,0,IF(Inputs!$B$6="",0,COUNTIFS(Data!$A$10:$A$3209,"&gt;="&amp;$A2411,Data!$A$10:$A$3209,"&lt;"&amp;$A2411+1)))</f>
        <v/>
      </c>
      <c r="AE2411">
        <f>IF($B2411=0,0,IF(Inputs!$B$7="",0,COUNTIFS(Data!$E$10:$E$3209,"&gt;="&amp;$A2411,Data!$E$10:$E$3209,"&lt;"&amp;$A2411+1)))</f>
        <v/>
      </c>
      <c r="AF2411">
        <f>IF($B2411=0,0,IF(Inputs!$B$8="",0,COUNTIFS(Data!$I$10:$I$3209,"&gt;="&amp;$A2411,Data!$I$10:$I$3209,"&lt;"&amp;$A2411+1)))</f>
        <v/>
      </c>
      <c r="AG2411">
        <f>IF($B2411=0,0,IF(Inputs!$B$9="",0,COUNTIFS(Data!$M$10:$M$3209,"&gt;="&amp;$A2411,Data!$M$10:$M$3209,"&lt;"&amp;$A2411+1)))</f>
        <v/>
      </c>
      <c r="AH2411">
        <f>IF($B2411=0,0,IF(Inputs!$B$10="",0,COUNTIFS(Data!$Q$10:$Q$3209,"&gt;="&amp;$A2411,Data!$Q$10:$Q$3209,"&lt;"&amp;$A2411+1)))</f>
        <v/>
      </c>
    </row>
    <row r="2412">
      <c r="A2412" s="55">
        <f>MIN(Inputs!$C$15,$A2411+IF(WEEKDAY($A2411,2)=5,3,1))</f>
        <v/>
      </c>
      <c r="B2412">
        <f>IF($A2412&gt;$A2411,1,0)</f>
        <v/>
      </c>
      <c r="C2412" s="56">
        <f>IF($B2412=0,"",IF(Inputs!$B$6="","",IF($AD2412=0,C2411,SUMIFS(Data!$B$10:$B$3209,Data!$A$10:$A$3209,"&gt;="&amp;$A2412,Data!$A$10:$A$3209,"&lt;"&amp;$A2412+1)/$AD2412)))</f>
        <v/>
      </c>
      <c r="D2412" s="56">
        <f>IF($B2412=0,"",IF(Inputs!$B$7="","",IF($AE2412=0,D2411,SUMIFS(Data!$F$10:$F$3209,Data!$E$10:$E$3209,"&gt;="&amp;$A2412,Data!$E$10:$E$3209,"&lt;"&amp;$A2412+1)/$AE2412)))</f>
        <v/>
      </c>
      <c r="E2412" s="56">
        <f>IF($B2412=0,"",IF(Inputs!$B$8="","",IF($AF2412=0,E2411,SUMIFS(Data!$J$10:$J$3209,Data!$I$10:$I$3209,"&gt;="&amp;$A2412,Data!$I$10:$I$3209,"&lt;"&amp;$A2412+1)/$AF2412)))</f>
        <v/>
      </c>
      <c r="F2412" s="56">
        <f>IF($B2412=0,"",IF(Inputs!$B$9="","",IF($AG2412=0,F2411,SUMIFS(Data!$N$10:$N$3209,Data!$M$10:$M$3209,"&gt;="&amp;$A2412,Data!$M$10:$M$3209,"&lt;"&amp;$A2412+1)/$AG2412)))</f>
        <v/>
      </c>
      <c r="G2412" s="56">
        <f>IF($B2412=0,"",IF(Inputs!$B$10="","",IF($AH2412=0,G2411,SUMIFS(Data!$R$10:$R$3209,Data!$Q$10:$Q$3209,"&gt;="&amp;$A2412,Data!$Q$10:$Q$3209,"&lt;"&amp;$A2412+1)/$AH2412)))</f>
        <v/>
      </c>
      <c r="I2412" s="54">
        <f>IF($B2412=0,NA(),IF($C2412="",NA(),IF(C$8="",NA(),IF(N(C$8)=0,NA(),IF(Inputs!$C$17="Rebased to 100",$C2412/C$8*100,$C2412)))))</f>
        <v/>
      </c>
      <c r="J2412" s="54">
        <f>IF($B2412=0,NA(),IF($D2412="",NA(),IF(D$8="",NA(),IF(N(D$8)=0,NA(),IF(Inputs!$C$17="Rebased to 100",$D2412/D$8*100,$D2412)))))</f>
        <v/>
      </c>
      <c r="K2412" s="54">
        <f>IF($B2412=0,NA(),IF($E2412="",NA(),IF(E$8="",NA(),IF(N(E$8)=0,NA(),IF(Inputs!$C$17="Rebased to 100",$E2412/E$8*100,$E2412)))))</f>
        <v/>
      </c>
      <c r="L2412" s="54">
        <f>IF($B2412=0,NA(),IF($F2412="",NA(),IF(F$8="",NA(),IF(N(F$8)=0,NA(),IF(Inputs!$C$17="Rebased to 100",$F2412/F$8*100,$F2412)))))</f>
        <v/>
      </c>
      <c r="M2412" s="54">
        <f>IF($B2412=0,NA(),IF($G2412="",NA(),IF(G$8="",NA(),IF(N(G$8)=0,NA(),IF(Inputs!$C$17="Rebased to 100",$G2412/G$8*100,$G2412)))))</f>
        <v/>
      </c>
      <c r="N2412" s="54">
        <f>IF($B2412=0,NA(),IF(Inputs!$C$18&lt;&gt;"Yes",NA(),IF(COUNT(I2412,J2412,K2412,L2412,M2412)=0,NA(),MIN(I2412,J2412,K2412,L2412,M2412))))</f>
        <v/>
      </c>
      <c r="O2412" s="54">
        <f>IF($B2412=0,NA(),IF(Inputs!$B$24&lt;&gt;"Yes",NA(),Inputs!$D$24*Inputs!$C$35))</f>
        <v/>
      </c>
      <c r="P2412" s="54">
        <f>IF($B2412=0,NA(),IF(Inputs!$B$25&lt;&gt;"Yes",NA(),Inputs!$D$25*Inputs!$C$35))</f>
        <v/>
      </c>
      <c r="Q2412" s="54">
        <f>IF($B2412=0,NA(),IF(Inputs!$B$26&lt;&gt;"Yes",NA(),Inputs!$D$26*Inputs!$C$35))</f>
        <v/>
      </c>
      <c r="R2412" s="54">
        <f>IF($B2412=0,NA(),IF(Inputs!$B$27&lt;&gt;"Yes",NA(),Inputs!$D$27*Inputs!$C$35))</f>
        <v/>
      </c>
      <c r="S2412" s="54">
        <f>IF($B2412=0,NA(),IF(Inputs!$B$28&lt;&gt;"Yes",NA(),Inputs!$D$28*Inputs!$C$35))</f>
        <v/>
      </c>
      <c r="T2412" s="54">
        <f>IF($B2412=0,NA(),IF(Inputs!$B$29&lt;&gt;"Yes",NA(),Inputs!$D$29*Inputs!$C$35))</f>
        <v/>
      </c>
      <c r="AD2412">
        <f>IF($B2412=0,0,IF(Inputs!$B$6="",0,COUNTIFS(Data!$A$10:$A$3209,"&gt;="&amp;$A2412,Data!$A$10:$A$3209,"&lt;"&amp;$A2412+1)))</f>
        <v/>
      </c>
      <c r="AE2412">
        <f>IF($B2412=0,0,IF(Inputs!$B$7="",0,COUNTIFS(Data!$E$10:$E$3209,"&gt;="&amp;$A2412,Data!$E$10:$E$3209,"&lt;"&amp;$A2412+1)))</f>
        <v/>
      </c>
      <c r="AF2412">
        <f>IF($B2412=0,0,IF(Inputs!$B$8="",0,COUNTIFS(Data!$I$10:$I$3209,"&gt;="&amp;$A2412,Data!$I$10:$I$3209,"&lt;"&amp;$A2412+1)))</f>
        <v/>
      </c>
      <c r="AG2412">
        <f>IF($B2412=0,0,IF(Inputs!$B$9="",0,COUNTIFS(Data!$M$10:$M$3209,"&gt;="&amp;$A2412,Data!$M$10:$M$3209,"&lt;"&amp;$A2412+1)))</f>
        <v/>
      </c>
      <c r="AH2412">
        <f>IF($B2412=0,0,IF(Inputs!$B$10="",0,COUNTIFS(Data!$Q$10:$Q$3209,"&gt;="&amp;$A2412,Data!$Q$10:$Q$3209,"&lt;"&amp;$A2412+1)))</f>
        <v/>
      </c>
    </row>
    <row r="2413">
      <c r="A2413" s="55">
        <f>MIN(Inputs!$C$15,$A2412+IF(WEEKDAY($A2412,2)=5,3,1))</f>
        <v/>
      </c>
      <c r="B2413">
        <f>IF($A2413&gt;$A2412,1,0)</f>
        <v/>
      </c>
      <c r="C2413" s="56">
        <f>IF($B2413=0,"",IF(Inputs!$B$6="","",IF($AD2413=0,C2412,SUMIFS(Data!$B$10:$B$3209,Data!$A$10:$A$3209,"&gt;="&amp;$A2413,Data!$A$10:$A$3209,"&lt;"&amp;$A2413+1)/$AD2413)))</f>
        <v/>
      </c>
      <c r="D2413" s="56">
        <f>IF($B2413=0,"",IF(Inputs!$B$7="","",IF($AE2413=0,D2412,SUMIFS(Data!$F$10:$F$3209,Data!$E$10:$E$3209,"&gt;="&amp;$A2413,Data!$E$10:$E$3209,"&lt;"&amp;$A2413+1)/$AE2413)))</f>
        <v/>
      </c>
      <c r="E2413" s="56">
        <f>IF($B2413=0,"",IF(Inputs!$B$8="","",IF($AF2413=0,E2412,SUMIFS(Data!$J$10:$J$3209,Data!$I$10:$I$3209,"&gt;="&amp;$A2413,Data!$I$10:$I$3209,"&lt;"&amp;$A2413+1)/$AF2413)))</f>
        <v/>
      </c>
      <c r="F2413" s="56">
        <f>IF($B2413=0,"",IF(Inputs!$B$9="","",IF($AG2413=0,F2412,SUMIFS(Data!$N$10:$N$3209,Data!$M$10:$M$3209,"&gt;="&amp;$A2413,Data!$M$10:$M$3209,"&lt;"&amp;$A2413+1)/$AG2413)))</f>
        <v/>
      </c>
      <c r="G2413" s="56">
        <f>IF($B2413=0,"",IF(Inputs!$B$10="","",IF($AH2413=0,G2412,SUMIFS(Data!$R$10:$R$3209,Data!$Q$10:$Q$3209,"&gt;="&amp;$A2413,Data!$Q$10:$Q$3209,"&lt;"&amp;$A2413+1)/$AH2413)))</f>
        <v/>
      </c>
      <c r="I2413" s="54">
        <f>IF($B2413=0,NA(),IF($C2413="",NA(),IF(C$8="",NA(),IF(N(C$8)=0,NA(),IF(Inputs!$C$17="Rebased to 100",$C2413/C$8*100,$C2413)))))</f>
        <v/>
      </c>
      <c r="J2413" s="54">
        <f>IF($B2413=0,NA(),IF($D2413="",NA(),IF(D$8="",NA(),IF(N(D$8)=0,NA(),IF(Inputs!$C$17="Rebased to 100",$D2413/D$8*100,$D2413)))))</f>
        <v/>
      </c>
      <c r="K2413" s="54">
        <f>IF($B2413=0,NA(),IF($E2413="",NA(),IF(E$8="",NA(),IF(N(E$8)=0,NA(),IF(Inputs!$C$17="Rebased to 100",$E2413/E$8*100,$E2413)))))</f>
        <v/>
      </c>
      <c r="L2413" s="54">
        <f>IF($B2413=0,NA(),IF($F2413="",NA(),IF(F$8="",NA(),IF(N(F$8)=0,NA(),IF(Inputs!$C$17="Rebased to 100",$F2413/F$8*100,$F2413)))))</f>
        <v/>
      </c>
      <c r="M2413" s="54">
        <f>IF($B2413=0,NA(),IF($G2413="",NA(),IF(G$8="",NA(),IF(N(G$8)=0,NA(),IF(Inputs!$C$17="Rebased to 100",$G2413/G$8*100,$G2413)))))</f>
        <v/>
      </c>
      <c r="N2413" s="54">
        <f>IF($B2413=0,NA(),IF(Inputs!$C$18&lt;&gt;"Yes",NA(),IF(COUNT(I2413,J2413,K2413,L2413,M2413)=0,NA(),MIN(I2413,J2413,K2413,L2413,M2413))))</f>
        <v/>
      </c>
      <c r="O2413" s="54">
        <f>IF($B2413=0,NA(),IF(Inputs!$B$24&lt;&gt;"Yes",NA(),Inputs!$D$24*Inputs!$C$35))</f>
        <v/>
      </c>
      <c r="P2413" s="54">
        <f>IF($B2413=0,NA(),IF(Inputs!$B$25&lt;&gt;"Yes",NA(),Inputs!$D$25*Inputs!$C$35))</f>
        <v/>
      </c>
      <c r="Q2413" s="54">
        <f>IF($B2413=0,NA(),IF(Inputs!$B$26&lt;&gt;"Yes",NA(),Inputs!$D$26*Inputs!$C$35))</f>
        <v/>
      </c>
      <c r="R2413" s="54">
        <f>IF($B2413=0,NA(),IF(Inputs!$B$27&lt;&gt;"Yes",NA(),Inputs!$D$27*Inputs!$C$35))</f>
        <v/>
      </c>
      <c r="S2413" s="54">
        <f>IF($B2413=0,NA(),IF(Inputs!$B$28&lt;&gt;"Yes",NA(),Inputs!$D$28*Inputs!$C$35))</f>
        <v/>
      </c>
      <c r="T2413" s="54">
        <f>IF($B2413=0,NA(),IF(Inputs!$B$29&lt;&gt;"Yes",NA(),Inputs!$D$29*Inputs!$C$35))</f>
        <v/>
      </c>
      <c r="AD2413">
        <f>IF($B2413=0,0,IF(Inputs!$B$6="",0,COUNTIFS(Data!$A$10:$A$3209,"&gt;="&amp;$A2413,Data!$A$10:$A$3209,"&lt;"&amp;$A2413+1)))</f>
        <v/>
      </c>
      <c r="AE2413">
        <f>IF($B2413=0,0,IF(Inputs!$B$7="",0,COUNTIFS(Data!$E$10:$E$3209,"&gt;="&amp;$A2413,Data!$E$10:$E$3209,"&lt;"&amp;$A2413+1)))</f>
        <v/>
      </c>
      <c r="AF2413">
        <f>IF($B2413=0,0,IF(Inputs!$B$8="",0,COUNTIFS(Data!$I$10:$I$3209,"&gt;="&amp;$A2413,Data!$I$10:$I$3209,"&lt;"&amp;$A2413+1)))</f>
        <v/>
      </c>
      <c r="AG2413">
        <f>IF($B2413=0,0,IF(Inputs!$B$9="",0,COUNTIFS(Data!$M$10:$M$3209,"&gt;="&amp;$A2413,Data!$M$10:$M$3209,"&lt;"&amp;$A2413+1)))</f>
        <v/>
      </c>
      <c r="AH2413">
        <f>IF($B2413=0,0,IF(Inputs!$B$10="",0,COUNTIFS(Data!$Q$10:$Q$3209,"&gt;="&amp;$A2413,Data!$Q$10:$Q$3209,"&lt;"&amp;$A2413+1)))</f>
        <v/>
      </c>
    </row>
    <row r="2414">
      <c r="A2414" s="55">
        <f>MIN(Inputs!$C$15,$A2413+IF(WEEKDAY($A2413,2)=5,3,1))</f>
        <v/>
      </c>
      <c r="B2414">
        <f>IF($A2414&gt;$A2413,1,0)</f>
        <v/>
      </c>
      <c r="C2414" s="56">
        <f>IF($B2414=0,"",IF(Inputs!$B$6="","",IF($AD2414=0,C2413,SUMIFS(Data!$B$10:$B$3209,Data!$A$10:$A$3209,"&gt;="&amp;$A2414,Data!$A$10:$A$3209,"&lt;"&amp;$A2414+1)/$AD2414)))</f>
        <v/>
      </c>
      <c r="D2414" s="56">
        <f>IF($B2414=0,"",IF(Inputs!$B$7="","",IF($AE2414=0,D2413,SUMIFS(Data!$F$10:$F$3209,Data!$E$10:$E$3209,"&gt;="&amp;$A2414,Data!$E$10:$E$3209,"&lt;"&amp;$A2414+1)/$AE2414)))</f>
        <v/>
      </c>
      <c r="E2414" s="56">
        <f>IF($B2414=0,"",IF(Inputs!$B$8="","",IF($AF2414=0,E2413,SUMIFS(Data!$J$10:$J$3209,Data!$I$10:$I$3209,"&gt;="&amp;$A2414,Data!$I$10:$I$3209,"&lt;"&amp;$A2414+1)/$AF2414)))</f>
        <v/>
      </c>
      <c r="F2414" s="56">
        <f>IF($B2414=0,"",IF(Inputs!$B$9="","",IF($AG2414=0,F2413,SUMIFS(Data!$N$10:$N$3209,Data!$M$10:$M$3209,"&gt;="&amp;$A2414,Data!$M$10:$M$3209,"&lt;"&amp;$A2414+1)/$AG2414)))</f>
        <v/>
      </c>
      <c r="G2414" s="56">
        <f>IF($B2414=0,"",IF(Inputs!$B$10="","",IF($AH2414=0,G2413,SUMIFS(Data!$R$10:$R$3209,Data!$Q$10:$Q$3209,"&gt;="&amp;$A2414,Data!$Q$10:$Q$3209,"&lt;"&amp;$A2414+1)/$AH2414)))</f>
        <v/>
      </c>
      <c r="I2414" s="54">
        <f>IF($B2414=0,NA(),IF($C2414="",NA(),IF(C$8="",NA(),IF(N(C$8)=0,NA(),IF(Inputs!$C$17="Rebased to 100",$C2414/C$8*100,$C2414)))))</f>
        <v/>
      </c>
      <c r="J2414" s="54">
        <f>IF($B2414=0,NA(),IF($D2414="",NA(),IF(D$8="",NA(),IF(N(D$8)=0,NA(),IF(Inputs!$C$17="Rebased to 100",$D2414/D$8*100,$D2414)))))</f>
        <v/>
      </c>
      <c r="K2414" s="54">
        <f>IF($B2414=0,NA(),IF($E2414="",NA(),IF(E$8="",NA(),IF(N(E$8)=0,NA(),IF(Inputs!$C$17="Rebased to 100",$E2414/E$8*100,$E2414)))))</f>
        <v/>
      </c>
      <c r="L2414" s="54">
        <f>IF($B2414=0,NA(),IF($F2414="",NA(),IF(F$8="",NA(),IF(N(F$8)=0,NA(),IF(Inputs!$C$17="Rebased to 100",$F2414/F$8*100,$F2414)))))</f>
        <v/>
      </c>
      <c r="M2414" s="54">
        <f>IF($B2414=0,NA(),IF($G2414="",NA(),IF(G$8="",NA(),IF(N(G$8)=0,NA(),IF(Inputs!$C$17="Rebased to 100",$G2414/G$8*100,$G2414)))))</f>
        <v/>
      </c>
      <c r="N2414" s="54">
        <f>IF($B2414=0,NA(),IF(Inputs!$C$18&lt;&gt;"Yes",NA(),IF(COUNT(I2414,J2414,K2414,L2414,M2414)=0,NA(),MIN(I2414,J2414,K2414,L2414,M2414))))</f>
        <v/>
      </c>
      <c r="O2414" s="54">
        <f>IF($B2414=0,NA(),IF(Inputs!$B$24&lt;&gt;"Yes",NA(),Inputs!$D$24*Inputs!$C$35))</f>
        <v/>
      </c>
      <c r="P2414" s="54">
        <f>IF($B2414=0,NA(),IF(Inputs!$B$25&lt;&gt;"Yes",NA(),Inputs!$D$25*Inputs!$C$35))</f>
        <v/>
      </c>
      <c r="Q2414" s="54">
        <f>IF($B2414=0,NA(),IF(Inputs!$B$26&lt;&gt;"Yes",NA(),Inputs!$D$26*Inputs!$C$35))</f>
        <v/>
      </c>
      <c r="R2414" s="54">
        <f>IF($B2414=0,NA(),IF(Inputs!$B$27&lt;&gt;"Yes",NA(),Inputs!$D$27*Inputs!$C$35))</f>
        <v/>
      </c>
      <c r="S2414" s="54">
        <f>IF($B2414=0,NA(),IF(Inputs!$B$28&lt;&gt;"Yes",NA(),Inputs!$D$28*Inputs!$C$35))</f>
        <v/>
      </c>
      <c r="T2414" s="54">
        <f>IF($B2414=0,NA(),IF(Inputs!$B$29&lt;&gt;"Yes",NA(),Inputs!$D$29*Inputs!$C$35))</f>
        <v/>
      </c>
      <c r="AD2414">
        <f>IF($B2414=0,0,IF(Inputs!$B$6="",0,COUNTIFS(Data!$A$10:$A$3209,"&gt;="&amp;$A2414,Data!$A$10:$A$3209,"&lt;"&amp;$A2414+1)))</f>
        <v/>
      </c>
      <c r="AE2414">
        <f>IF($B2414=0,0,IF(Inputs!$B$7="",0,COUNTIFS(Data!$E$10:$E$3209,"&gt;="&amp;$A2414,Data!$E$10:$E$3209,"&lt;"&amp;$A2414+1)))</f>
        <v/>
      </c>
      <c r="AF2414">
        <f>IF($B2414=0,0,IF(Inputs!$B$8="",0,COUNTIFS(Data!$I$10:$I$3209,"&gt;="&amp;$A2414,Data!$I$10:$I$3209,"&lt;"&amp;$A2414+1)))</f>
        <v/>
      </c>
      <c r="AG2414">
        <f>IF($B2414=0,0,IF(Inputs!$B$9="",0,COUNTIFS(Data!$M$10:$M$3209,"&gt;="&amp;$A2414,Data!$M$10:$M$3209,"&lt;"&amp;$A2414+1)))</f>
        <v/>
      </c>
      <c r="AH2414">
        <f>IF($B2414=0,0,IF(Inputs!$B$10="",0,COUNTIFS(Data!$Q$10:$Q$3209,"&gt;="&amp;$A2414,Data!$Q$10:$Q$3209,"&lt;"&amp;$A2414+1)))</f>
        <v/>
      </c>
    </row>
    <row r="2415">
      <c r="A2415" s="55">
        <f>MIN(Inputs!$C$15,$A2414+IF(WEEKDAY($A2414,2)=5,3,1))</f>
        <v/>
      </c>
      <c r="B2415">
        <f>IF($A2415&gt;$A2414,1,0)</f>
        <v/>
      </c>
      <c r="C2415" s="56">
        <f>IF($B2415=0,"",IF(Inputs!$B$6="","",IF($AD2415=0,C2414,SUMIFS(Data!$B$10:$B$3209,Data!$A$10:$A$3209,"&gt;="&amp;$A2415,Data!$A$10:$A$3209,"&lt;"&amp;$A2415+1)/$AD2415)))</f>
        <v/>
      </c>
      <c r="D2415" s="56">
        <f>IF($B2415=0,"",IF(Inputs!$B$7="","",IF($AE2415=0,D2414,SUMIFS(Data!$F$10:$F$3209,Data!$E$10:$E$3209,"&gt;="&amp;$A2415,Data!$E$10:$E$3209,"&lt;"&amp;$A2415+1)/$AE2415)))</f>
        <v/>
      </c>
      <c r="E2415" s="56">
        <f>IF($B2415=0,"",IF(Inputs!$B$8="","",IF($AF2415=0,E2414,SUMIFS(Data!$J$10:$J$3209,Data!$I$10:$I$3209,"&gt;="&amp;$A2415,Data!$I$10:$I$3209,"&lt;"&amp;$A2415+1)/$AF2415)))</f>
        <v/>
      </c>
      <c r="F2415" s="56">
        <f>IF($B2415=0,"",IF(Inputs!$B$9="","",IF($AG2415=0,F2414,SUMIFS(Data!$N$10:$N$3209,Data!$M$10:$M$3209,"&gt;="&amp;$A2415,Data!$M$10:$M$3209,"&lt;"&amp;$A2415+1)/$AG2415)))</f>
        <v/>
      </c>
      <c r="G2415" s="56">
        <f>IF($B2415=0,"",IF(Inputs!$B$10="","",IF($AH2415=0,G2414,SUMIFS(Data!$R$10:$R$3209,Data!$Q$10:$Q$3209,"&gt;="&amp;$A2415,Data!$Q$10:$Q$3209,"&lt;"&amp;$A2415+1)/$AH2415)))</f>
        <v/>
      </c>
      <c r="I2415" s="54">
        <f>IF($B2415=0,NA(),IF($C2415="",NA(),IF(C$8="",NA(),IF(N(C$8)=0,NA(),IF(Inputs!$C$17="Rebased to 100",$C2415/C$8*100,$C2415)))))</f>
        <v/>
      </c>
      <c r="J2415" s="54">
        <f>IF($B2415=0,NA(),IF($D2415="",NA(),IF(D$8="",NA(),IF(N(D$8)=0,NA(),IF(Inputs!$C$17="Rebased to 100",$D2415/D$8*100,$D2415)))))</f>
        <v/>
      </c>
      <c r="K2415" s="54">
        <f>IF($B2415=0,NA(),IF($E2415="",NA(),IF(E$8="",NA(),IF(N(E$8)=0,NA(),IF(Inputs!$C$17="Rebased to 100",$E2415/E$8*100,$E2415)))))</f>
        <v/>
      </c>
      <c r="L2415" s="54">
        <f>IF($B2415=0,NA(),IF($F2415="",NA(),IF(F$8="",NA(),IF(N(F$8)=0,NA(),IF(Inputs!$C$17="Rebased to 100",$F2415/F$8*100,$F2415)))))</f>
        <v/>
      </c>
      <c r="M2415" s="54">
        <f>IF($B2415=0,NA(),IF($G2415="",NA(),IF(G$8="",NA(),IF(N(G$8)=0,NA(),IF(Inputs!$C$17="Rebased to 100",$G2415/G$8*100,$G2415)))))</f>
        <v/>
      </c>
      <c r="N2415" s="54">
        <f>IF($B2415=0,NA(),IF(Inputs!$C$18&lt;&gt;"Yes",NA(),IF(COUNT(I2415,J2415,K2415,L2415,M2415)=0,NA(),MIN(I2415,J2415,K2415,L2415,M2415))))</f>
        <v/>
      </c>
      <c r="O2415" s="54">
        <f>IF($B2415=0,NA(),IF(Inputs!$B$24&lt;&gt;"Yes",NA(),Inputs!$D$24*Inputs!$C$35))</f>
        <v/>
      </c>
      <c r="P2415" s="54">
        <f>IF($B2415=0,NA(),IF(Inputs!$B$25&lt;&gt;"Yes",NA(),Inputs!$D$25*Inputs!$C$35))</f>
        <v/>
      </c>
      <c r="Q2415" s="54">
        <f>IF($B2415=0,NA(),IF(Inputs!$B$26&lt;&gt;"Yes",NA(),Inputs!$D$26*Inputs!$C$35))</f>
        <v/>
      </c>
      <c r="R2415" s="54">
        <f>IF($B2415=0,NA(),IF(Inputs!$B$27&lt;&gt;"Yes",NA(),Inputs!$D$27*Inputs!$C$35))</f>
        <v/>
      </c>
      <c r="S2415" s="54">
        <f>IF($B2415=0,NA(),IF(Inputs!$B$28&lt;&gt;"Yes",NA(),Inputs!$D$28*Inputs!$C$35))</f>
        <v/>
      </c>
      <c r="T2415" s="54">
        <f>IF($B2415=0,NA(),IF(Inputs!$B$29&lt;&gt;"Yes",NA(),Inputs!$D$29*Inputs!$C$35))</f>
        <v/>
      </c>
      <c r="AD2415">
        <f>IF($B2415=0,0,IF(Inputs!$B$6="",0,COUNTIFS(Data!$A$10:$A$3209,"&gt;="&amp;$A2415,Data!$A$10:$A$3209,"&lt;"&amp;$A2415+1)))</f>
        <v/>
      </c>
      <c r="AE2415">
        <f>IF($B2415=0,0,IF(Inputs!$B$7="",0,COUNTIFS(Data!$E$10:$E$3209,"&gt;="&amp;$A2415,Data!$E$10:$E$3209,"&lt;"&amp;$A2415+1)))</f>
        <v/>
      </c>
      <c r="AF2415">
        <f>IF($B2415=0,0,IF(Inputs!$B$8="",0,COUNTIFS(Data!$I$10:$I$3209,"&gt;="&amp;$A2415,Data!$I$10:$I$3209,"&lt;"&amp;$A2415+1)))</f>
        <v/>
      </c>
      <c r="AG2415">
        <f>IF($B2415=0,0,IF(Inputs!$B$9="",0,COUNTIFS(Data!$M$10:$M$3209,"&gt;="&amp;$A2415,Data!$M$10:$M$3209,"&lt;"&amp;$A2415+1)))</f>
        <v/>
      </c>
      <c r="AH2415">
        <f>IF($B2415=0,0,IF(Inputs!$B$10="",0,COUNTIFS(Data!$Q$10:$Q$3209,"&gt;="&amp;$A2415,Data!$Q$10:$Q$3209,"&lt;"&amp;$A2415+1)))</f>
        <v/>
      </c>
    </row>
    <row r="2416">
      <c r="A2416" s="55">
        <f>MIN(Inputs!$C$15,$A2415+IF(WEEKDAY($A2415,2)=5,3,1))</f>
        <v/>
      </c>
      <c r="B2416">
        <f>IF($A2416&gt;$A2415,1,0)</f>
        <v/>
      </c>
      <c r="C2416" s="56">
        <f>IF($B2416=0,"",IF(Inputs!$B$6="","",IF($AD2416=0,C2415,SUMIFS(Data!$B$10:$B$3209,Data!$A$10:$A$3209,"&gt;="&amp;$A2416,Data!$A$10:$A$3209,"&lt;"&amp;$A2416+1)/$AD2416)))</f>
        <v/>
      </c>
      <c r="D2416" s="56">
        <f>IF($B2416=0,"",IF(Inputs!$B$7="","",IF($AE2416=0,D2415,SUMIFS(Data!$F$10:$F$3209,Data!$E$10:$E$3209,"&gt;="&amp;$A2416,Data!$E$10:$E$3209,"&lt;"&amp;$A2416+1)/$AE2416)))</f>
        <v/>
      </c>
      <c r="E2416" s="56">
        <f>IF($B2416=0,"",IF(Inputs!$B$8="","",IF($AF2416=0,E2415,SUMIFS(Data!$J$10:$J$3209,Data!$I$10:$I$3209,"&gt;="&amp;$A2416,Data!$I$10:$I$3209,"&lt;"&amp;$A2416+1)/$AF2416)))</f>
        <v/>
      </c>
      <c r="F2416" s="56">
        <f>IF($B2416=0,"",IF(Inputs!$B$9="","",IF($AG2416=0,F2415,SUMIFS(Data!$N$10:$N$3209,Data!$M$10:$M$3209,"&gt;="&amp;$A2416,Data!$M$10:$M$3209,"&lt;"&amp;$A2416+1)/$AG2416)))</f>
        <v/>
      </c>
      <c r="G2416" s="56">
        <f>IF($B2416=0,"",IF(Inputs!$B$10="","",IF($AH2416=0,G2415,SUMIFS(Data!$R$10:$R$3209,Data!$Q$10:$Q$3209,"&gt;="&amp;$A2416,Data!$Q$10:$Q$3209,"&lt;"&amp;$A2416+1)/$AH2416)))</f>
        <v/>
      </c>
      <c r="I2416" s="54">
        <f>IF($B2416=0,NA(),IF($C2416="",NA(),IF(C$8="",NA(),IF(N(C$8)=0,NA(),IF(Inputs!$C$17="Rebased to 100",$C2416/C$8*100,$C2416)))))</f>
        <v/>
      </c>
      <c r="J2416" s="54">
        <f>IF($B2416=0,NA(),IF($D2416="",NA(),IF(D$8="",NA(),IF(N(D$8)=0,NA(),IF(Inputs!$C$17="Rebased to 100",$D2416/D$8*100,$D2416)))))</f>
        <v/>
      </c>
      <c r="K2416" s="54">
        <f>IF($B2416=0,NA(),IF($E2416="",NA(),IF(E$8="",NA(),IF(N(E$8)=0,NA(),IF(Inputs!$C$17="Rebased to 100",$E2416/E$8*100,$E2416)))))</f>
        <v/>
      </c>
      <c r="L2416" s="54">
        <f>IF($B2416=0,NA(),IF($F2416="",NA(),IF(F$8="",NA(),IF(N(F$8)=0,NA(),IF(Inputs!$C$17="Rebased to 100",$F2416/F$8*100,$F2416)))))</f>
        <v/>
      </c>
      <c r="M2416" s="54">
        <f>IF($B2416=0,NA(),IF($G2416="",NA(),IF(G$8="",NA(),IF(N(G$8)=0,NA(),IF(Inputs!$C$17="Rebased to 100",$G2416/G$8*100,$G2416)))))</f>
        <v/>
      </c>
      <c r="N2416" s="54">
        <f>IF($B2416=0,NA(),IF(Inputs!$C$18&lt;&gt;"Yes",NA(),IF(COUNT(I2416,J2416,K2416,L2416,M2416)=0,NA(),MIN(I2416,J2416,K2416,L2416,M2416))))</f>
        <v/>
      </c>
      <c r="O2416" s="54">
        <f>IF($B2416=0,NA(),IF(Inputs!$B$24&lt;&gt;"Yes",NA(),Inputs!$D$24*Inputs!$C$35))</f>
        <v/>
      </c>
      <c r="P2416" s="54">
        <f>IF($B2416=0,NA(),IF(Inputs!$B$25&lt;&gt;"Yes",NA(),Inputs!$D$25*Inputs!$C$35))</f>
        <v/>
      </c>
      <c r="Q2416" s="54">
        <f>IF($B2416=0,NA(),IF(Inputs!$B$26&lt;&gt;"Yes",NA(),Inputs!$D$26*Inputs!$C$35))</f>
        <v/>
      </c>
      <c r="R2416" s="54">
        <f>IF($B2416=0,NA(),IF(Inputs!$B$27&lt;&gt;"Yes",NA(),Inputs!$D$27*Inputs!$C$35))</f>
        <v/>
      </c>
      <c r="S2416" s="54">
        <f>IF($B2416=0,NA(),IF(Inputs!$B$28&lt;&gt;"Yes",NA(),Inputs!$D$28*Inputs!$C$35))</f>
        <v/>
      </c>
      <c r="T2416" s="54">
        <f>IF($B2416=0,NA(),IF(Inputs!$B$29&lt;&gt;"Yes",NA(),Inputs!$D$29*Inputs!$C$35))</f>
        <v/>
      </c>
      <c r="AD2416">
        <f>IF($B2416=0,0,IF(Inputs!$B$6="",0,COUNTIFS(Data!$A$10:$A$3209,"&gt;="&amp;$A2416,Data!$A$10:$A$3209,"&lt;"&amp;$A2416+1)))</f>
        <v/>
      </c>
      <c r="AE2416">
        <f>IF($B2416=0,0,IF(Inputs!$B$7="",0,COUNTIFS(Data!$E$10:$E$3209,"&gt;="&amp;$A2416,Data!$E$10:$E$3209,"&lt;"&amp;$A2416+1)))</f>
        <v/>
      </c>
      <c r="AF2416">
        <f>IF($B2416=0,0,IF(Inputs!$B$8="",0,COUNTIFS(Data!$I$10:$I$3209,"&gt;="&amp;$A2416,Data!$I$10:$I$3209,"&lt;"&amp;$A2416+1)))</f>
        <v/>
      </c>
      <c r="AG2416">
        <f>IF($B2416=0,0,IF(Inputs!$B$9="",0,COUNTIFS(Data!$M$10:$M$3209,"&gt;="&amp;$A2416,Data!$M$10:$M$3209,"&lt;"&amp;$A2416+1)))</f>
        <v/>
      </c>
      <c r="AH2416">
        <f>IF($B2416=0,0,IF(Inputs!$B$10="",0,COUNTIFS(Data!$Q$10:$Q$3209,"&gt;="&amp;$A2416,Data!$Q$10:$Q$3209,"&lt;"&amp;$A2416+1)))</f>
        <v/>
      </c>
    </row>
    <row r="2417">
      <c r="A2417" s="55">
        <f>MIN(Inputs!$C$15,$A2416+IF(WEEKDAY($A2416,2)=5,3,1))</f>
        <v/>
      </c>
      <c r="B2417">
        <f>IF($A2417&gt;$A2416,1,0)</f>
        <v/>
      </c>
      <c r="C2417" s="56">
        <f>IF($B2417=0,"",IF(Inputs!$B$6="","",IF($AD2417=0,C2416,SUMIFS(Data!$B$10:$B$3209,Data!$A$10:$A$3209,"&gt;="&amp;$A2417,Data!$A$10:$A$3209,"&lt;"&amp;$A2417+1)/$AD2417)))</f>
        <v/>
      </c>
      <c r="D2417" s="56">
        <f>IF($B2417=0,"",IF(Inputs!$B$7="","",IF($AE2417=0,D2416,SUMIFS(Data!$F$10:$F$3209,Data!$E$10:$E$3209,"&gt;="&amp;$A2417,Data!$E$10:$E$3209,"&lt;"&amp;$A2417+1)/$AE2417)))</f>
        <v/>
      </c>
      <c r="E2417" s="56">
        <f>IF($B2417=0,"",IF(Inputs!$B$8="","",IF($AF2417=0,E2416,SUMIFS(Data!$J$10:$J$3209,Data!$I$10:$I$3209,"&gt;="&amp;$A2417,Data!$I$10:$I$3209,"&lt;"&amp;$A2417+1)/$AF2417)))</f>
        <v/>
      </c>
      <c r="F2417" s="56">
        <f>IF($B2417=0,"",IF(Inputs!$B$9="","",IF($AG2417=0,F2416,SUMIFS(Data!$N$10:$N$3209,Data!$M$10:$M$3209,"&gt;="&amp;$A2417,Data!$M$10:$M$3209,"&lt;"&amp;$A2417+1)/$AG2417)))</f>
        <v/>
      </c>
      <c r="G2417" s="56">
        <f>IF($B2417=0,"",IF(Inputs!$B$10="","",IF($AH2417=0,G2416,SUMIFS(Data!$R$10:$R$3209,Data!$Q$10:$Q$3209,"&gt;="&amp;$A2417,Data!$Q$10:$Q$3209,"&lt;"&amp;$A2417+1)/$AH2417)))</f>
        <v/>
      </c>
      <c r="I2417" s="54">
        <f>IF($B2417=0,NA(),IF($C2417="",NA(),IF(C$8="",NA(),IF(N(C$8)=0,NA(),IF(Inputs!$C$17="Rebased to 100",$C2417/C$8*100,$C2417)))))</f>
        <v/>
      </c>
      <c r="J2417" s="54">
        <f>IF($B2417=0,NA(),IF($D2417="",NA(),IF(D$8="",NA(),IF(N(D$8)=0,NA(),IF(Inputs!$C$17="Rebased to 100",$D2417/D$8*100,$D2417)))))</f>
        <v/>
      </c>
      <c r="K2417" s="54">
        <f>IF($B2417=0,NA(),IF($E2417="",NA(),IF(E$8="",NA(),IF(N(E$8)=0,NA(),IF(Inputs!$C$17="Rebased to 100",$E2417/E$8*100,$E2417)))))</f>
        <v/>
      </c>
      <c r="L2417" s="54">
        <f>IF($B2417=0,NA(),IF($F2417="",NA(),IF(F$8="",NA(),IF(N(F$8)=0,NA(),IF(Inputs!$C$17="Rebased to 100",$F2417/F$8*100,$F2417)))))</f>
        <v/>
      </c>
      <c r="M2417" s="54">
        <f>IF($B2417=0,NA(),IF($G2417="",NA(),IF(G$8="",NA(),IF(N(G$8)=0,NA(),IF(Inputs!$C$17="Rebased to 100",$G2417/G$8*100,$G2417)))))</f>
        <v/>
      </c>
      <c r="N2417" s="54">
        <f>IF($B2417=0,NA(),IF(Inputs!$C$18&lt;&gt;"Yes",NA(),IF(COUNT(I2417,J2417,K2417,L2417,M2417)=0,NA(),MIN(I2417,J2417,K2417,L2417,M2417))))</f>
        <v/>
      </c>
      <c r="O2417" s="54">
        <f>IF($B2417=0,NA(),IF(Inputs!$B$24&lt;&gt;"Yes",NA(),Inputs!$D$24*Inputs!$C$35))</f>
        <v/>
      </c>
      <c r="P2417" s="54">
        <f>IF($B2417=0,NA(),IF(Inputs!$B$25&lt;&gt;"Yes",NA(),Inputs!$D$25*Inputs!$C$35))</f>
        <v/>
      </c>
      <c r="Q2417" s="54">
        <f>IF($B2417=0,NA(),IF(Inputs!$B$26&lt;&gt;"Yes",NA(),Inputs!$D$26*Inputs!$C$35))</f>
        <v/>
      </c>
      <c r="R2417" s="54">
        <f>IF($B2417=0,NA(),IF(Inputs!$B$27&lt;&gt;"Yes",NA(),Inputs!$D$27*Inputs!$C$35))</f>
        <v/>
      </c>
      <c r="S2417" s="54">
        <f>IF($B2417=0,NA(),IF(Inputs!$B$28&lt;&gt;"Yes",NA(),Inputs!$D$28*Inputs!$C$35))</f>
        <v/>
      </c>
      <c r="T2417" s="54">
        <f>IF($B2417=0,NA(),IF(Inputs!$B$29&lt;&gt;"Yes",NA(),Inputs!$D$29*Inputs!$C$35))</f>
        <v/>
      </c>
      <c r="AD2417">
        <f>IF($B2417=0,0,IF(Inputs!$B$6="",0,COUNTIFS(Data!$A$10:$A$3209,"&gt;="&amp;$A2417,Data!$A$10:$A$3209,"&lt;"&amp;$A2417+1)))</f>
        <v/>
      </c>
      <c r="AE2417">
        <f>IF($B2417=0,0,IF(Inputs!$B$7="",0,COUNTIFS(Data!$E$10:$E$3209,"&gt;="&amp;$A2417,Data!$E$10:$E$3209,"&lt;"&amp;$A2417+1)))</f>
        <v/>
      </c>
      <c r="AF2417">
        <f>IF($B2417=0,0,IF(Inputs!$B$8="",0,COUNTIFS(Data!$I$10:$I$3209,"&gt;="&amp;$A2417,Data!$I$10:$I$3209,"&lt;"&amp;$A2417+1)))</f>
        <v/>
      </c>
      <c r="AG2417">
        <f>IF($B2417=0,0,IF(Inputs!$B$9="",0,COUNTIFS(Data!$M$10:$M$3209,"&gt;="&amp;$A2417,Data!$M$10:$M$3209,"&lt;"&amp;$A2417+1)))</f>
        <v/>
      </c>
      <c r="AH2417">
        <f>IF($B2417=0,0,IF(Inputs!$B$10="",0,COUNTIFS(Data!$Q$10:$Q$3209,"&gt;="&amp;$A2417,Data!$Q$10:$Q$3209,"&lt;"&amp;$A2417+1)))</f>
        <v/>
      </c>
    </row>
    <row r="2418">
      <c r="A2418" s="55">
        <f>MIN(Inputs!$C$15,$A2417+IF(WEEKDAY($A2417,2)=5,3,1))</f>
        <v/>
      </c>
      <c r="B2418">
        <f>IF($A2418&gt;$A2417,1,0)</f>
        <v/>
      </c>
      <c r="C2418" s="56">
        <f>IF($B2418=0,"",IF(Inputs!$B$6="","",IF($AD2418=0,C2417,SUMIFS(Data!$B$10:$B$3209,Data!$A$10:$A$3209,"&gt;="&amp;$A2418,Data!$A$10:$A$3209,"&lt;"&amp;$A2418+1)/$AD2418)))</f>
        <v/>
      </c>
      <c r="D2418" s="56">
        <f>IF($B2418=0,"",IF(Inputs!$B$7="","",IF($AE2418=0,D2417,SUMIFS(Data!$F$10:$F$3209,Data!$E$10:$E$3209,"&gt;="&amp;$A2418,Data!$E$10:$E$3209,"&lt;"&amp;$A2418+1)/$AE2418)))</f>
        <v/>
      </c>
      <c r="E2418" s="56">
        <f>IF($B2418=0,"",IF(Inputs!$B$8="","",IF($AF2418=0,E2417,SUMIFS(Data!$J$10:$J$3209,Data!$I$10:$I$3209,"&gt;="&amp;$A2418,Data!$I$10:$I$3209,"&lt;"&amp;$A2418+1)/$AF2418)))</f>
        <v/>
      </c>
      <c r="F2418" s="56">
        <f>IF($B2418=0,"",IF(Inputs!$B$9="","",IF($AG2418=0,F2417,SUMIFS(Data!$N$10:$N$3209,Data!$M$10:$M$3209,"&gt;="&amp;$A2418,Data!$M$10:$M$3209,"&lt;"&amp;$A2418+1)/$AG2418)))</f>
        <v/>
      </c>
      <c r="G2418" s="56">
        <f>IF($B2418=0,"",IF(Inputs!$B$10="","",IF($AH2418=0,G2417,SUMIFS(Data!$R$10:$R$3209,Data!$Q$10:$Q$3209,"&gt;="&amp;$A2418,Data!$Q$10:$Q$3209,"&lt;"&amp;$A2418+1)/$AH2418)))</f>
        <v/>
      </c>
      <c r="I2418" s="54">
        <f>IF($B2418=0,NA(),IF($C2418="",NA(),IF(C$8="",NA(),IF(N(C$8)=0,NA(),IF(Inputs!$C$17="Rebased to 100",$C2418/C$8*100,$C2418)))))</f>
        <v/>
      </c>
      <c r="J2418" s="54">
        <f>IF($B2418=0,NA(),IF($D2418="",NA(),IF(D$8="",NA(),IF(N(D$8)=0,NA(),IF(Inputs!$C$17="Rebased to 100",$D2418/D$8*100,$D2418)))))</f>
        <v/>
      </c>
      <c r="K2418" s="54">
        <f>IF($B2418=0,NA(),IF($E2418="",NA(),IF(E$8="",NA(),IF(N(E$8)=0,NA(),IF(Inputs!$C$17="Rebased to 100",$E2418/E$8*100,$E2418)))))</f>
        <v/>
      </c>
      <c r="L2418" s="54">
        <f>IF($B2418=0,NA(),IF($F2418="",NA(),IF(F$8="",NA(),IF(N(F$8)=0,NA(),IF(Inputs!$C$17="Rebased to 100",$F2418/F$8*100,$F2418)))))</f>
        <v/>
      </c>
      <c r="M2418" s="54">
        <f>IF($B2418=0,NA(),IF($G2418="",NA(),IF(G$8="",NA(),IF(N(G$8)=0,NA(),IF(Inputs!$C$17="Rebased to 100",$G2418/G$8*100,$G2418)))))</f>
        <v/>
      </c>
      <c r="N2418" s="54">
        <f>IF($B2418=0,NA(),IF(Inputs!$C$18&lt;&gt;"Yes",NA(),IF(COUNT(I2418,J2418,K2418,L2418,M2418)=0,NA(),MIN(I2418,J2418,K2418,L2418,M2418))))</f>
        <v/>
      </c>
      <c r="O2418" s="54">
        <f>IF($B2418=0,NA(),IF(Inputs!$B$24&lt;&gt;"Yes",NA(),Inputs!$D$24*Inputs!$C$35))</f>
        <v/>
      </c>
      <c r="P2418" s="54">
        <f>IF($B2418=0,NA(),IF(Inputs!$B$25&lt;&gt;"Yes",NA(),Inputs!$D$25*Inputs!$C$35))</f>
        <v/>
      </c>
      <c r="Q2418" s="54">
        <f>IF($B2418=0,NA(),IF(Inputs!$B$26&lt;&gt;"Yes",NA(),Inputs!$D$26*Inputs!$C$35))</f>
        <v/>
      </c>
      <c r="R2418" s="54">
        <f>IF($B2418=0,NA(),IF(Inputs!$B$27&lt;&gt;"Yes",NA(),Inputs!$D$27*Inputs!$C$35))</f>
        <v/>
      </c>
      <c r="S2418" s="54">
        <f>IF($B2418=0,NA(),IF(Inputs!$B$28&lt;&gt;"Yes",NA(),Inputs!$D$28*Inputs!$C$35))</f>
        <v/>
      </c>
      <c r="T2418" s="54">
        <f>IF($B2418=0,NA(),IF(Inputs!$B$29&lt;&gt;"Yes",NA(),Inputs!$D$29*Inputs!$C$35))</f>
        <v/>
      </c>
      <c r="AD2418">
        <f>IF($B2418=0,0,IF(Inputs!$B$6="",0,COUNTIFS(Data!$A$10:$A$3209,"&gt;="&amp;$A2418,Data!$A$10:$A$3209,"&lt;"&amp;$A2418+1)))</f>
        <v/>
      </c>
      <c r="AE2418">
        <f>IF($B2418=0,0,IF(Inputs!$B$7="",0,COUNTIFS(Data!$E$10:$E$3209,"&gt;="&amp;$A2418,Data!$E$10:$E$3209,"&lt;"&amp;$A2418+1)))</f>
        <v/>
      </c>
      <c r="AF2418">
        <f>IF($B2418=0,0,IF(Inputs!$B$8="",0,COUNTIFS(Data!$I$10:$I$3209,"&gt;="&amp;$A2418,Data!$I$10:$I$3209,"&lt;"&amp;$A2418+1)))</f>
        <v/>
      </c>
      <c r="AG2418">
        <f>IF($B2418=0,0,IF(Inputs!$B$9="",0,COUNTIFS(Data!$M$10:$M$3209,"&gt;="&amp;$A2418,Data!$M$10:$M$3209,"&lt;"&amp;$A2418+1)))</f>
        <v/>
      </c>
      <c r="AH2418">
        <f>IF($B2418=0,0,IF(Inputs!$B$10="",0,COUNTIFS(Data!$Q$10:$Q$3209,"&gt;="&amp;$A2418,Data!$Q$10:$Q$3209,"&lt;"&amp;$A2418+1)))</f>
        <v/>
      </c>
    </row>
    <row r="2419">
      <c r="A2419" s="55">
        <f>MIN(Inputs!$C$15,$A2418+IF(WEEKDAY($A2418,2)=5,3,1))</f>
        <v/>
      </c>
      <c r="B2419">
        <f>IF($A2419&gt;$A2418,1,0)</f>
        <v/>
      </c>
      <c r="C2419" s="56">
        <f>IF($B2419=0,"",IF(Inputs!$B$6="","",IF($AD2419=0,C2418,SUMIFS(Data!$B$10:$B$3209,Data!$A$10:$A$3209,"&gt;="&amp;$A2419,Data!$A$10:$A$3209,"&lt;"&amp;$A2419+1)/$AD2419)))</f>
        <v/>
      </c>
      <c r="D2419" s="56">
        <f>IF($B2419=0,"",IF(Inputs!$B$7="","",IF($AE2419=0,D2418,SUMIFS(Data!$F$10:$F$3209,Data!$E$10:$E$3209,"&gt;="&amp;$A2419,Data!$E$10:$E$3209,"&lt;"&amp;$A2419+1)/$AE2419)))</f>
        <v/>
      </c>
      <c r="E2419" s="56">
        <f>IF($B2419=0,"",IF(Inputs!$B$8="","",IF($AF2419=0,E2418,SUMIFS(Data!$J$10:$J$3209,Data!$I$10:$I$3209,"&gt;="&amp;$A2419,Data!$I$10:$I$3209,"&lt;"&amp;$A2419+1)/$AF2419)))</f>
        <v/>
      </c>
      <c r="F2419" s="56">
        <f>IF($B2419=0,"",IF(Inputs!$B$9="","",IF($AG2419=0,F2418,SUMIFS(Data!$N$10:$N$3209,Data!$M$10:$M$3209,"&gt;="&amp;$A2419,Data!$M$10:$M$3209,"&lt;"&amp;$A2419+1)/$AG2419)))</f>
        <v/>
      </c>
      <c r="G2419" s="56">
        <f>IF($B2419=0,"",IF(Inputs!$B$10="","",IF($AH2419=0,G2418,SUMIFS(Data!$R$10:$R$3209,Data!$Q$10:$Q$3209,"&gt;="&amp;$A2419,Data!$Q$10:$Q$3209,"&lt;"&amp;$A2419+1)/$AH2419)))</f>
        <v/>
      </c>
      <c r="I2419" s="54">
        <f>IF($B2419=0,NA(),IF($C2419="",NA(),IF(C$8="",NA(),IF(N(C$8)=0,NA(),IF(Inputs!$C$17="Rebased to 100",$C2419/C$8*100,$C2419)))))</f>
        <v/>
      </c>
      <c r="J2419" s="54">
        <f>IF($B2419=0,NA(),IF($D2419="",NA(),IF(D$8="",NA(),IF(N(D$8)=0,NA(),IF(Inputs!$C$17="Rebased to 100",$D2419/D$8*100,$D2419)))))</f>
        <v/>
      </c>
      <c r="K2419" s="54">
        <f>IF($B2419=0,NA(),IF($E2419="",NA(),IF(E$8="",NA(),IF(N(E$8)=0,NA(),IF(Inputs!$C$17="Rebased to 100",$E2419/E$8*100,$E2419)))))</f>
        <v/>
      </c>
      <c r="L2419" s="54">
        <f>IF($B2419=0,NA(),IF($F2419="",NA(),IF(F$8="",NA(),IF(N(F$8)=0,NA(),IF(Inputs!$C$17="Rebased to 100",$F2419/F$8*100,$F2419)))))</f>
        <v/>
      </c>
      <c r="M2419" s="54">
        <f>IF($B2419=0,NA(),IF($G2419="",NA(),IF(G$8="",NA(),IF(N(G$8)=0,NA(),IF(Inputs!$C$17="Rebased to 100",$G2419/G$8*100,$G2419)))))</f>
        <v/>
      </c>
      <c r="N2419" s="54">
        <f>IF($B2419=0,NA(),IF(Inputs!$C$18&lt;&gt;"Yes",NA(),IF(COUNT(I2419,J2419,K2419,L2419,M2419)=0,NA(),MIN(I2419,J2419,K2419,L2419,M2419))))</f>
        <v/>
      </c>
      <c r="O2419" s="54">
        <f>IF($B2419=0,NA(),IF(Inputs!$B$24&lt;&gt;"Yes",NA(),Inputs!$D$24*Inputs!$C$35))</f>
        <v/>
      </c>
      <c r="P2419" s="54">
        <f>IF($B2419=0,NA(),IF(Inputs!$B$25&lt;&gt;"Yes",NA(),Inputs!$D$25*Inputs!$C$35))</f>
        <v/>
      </c>
      <c r="Q2419" s="54">
        <f>IF($B2419=0,NA(),IF(Inputs!$B$26&lt;&gt;"Yes",NA(),Inputs!$D$26*Inputs!$C$35))</f>
        <v/>
      </c>
      <c r="R2419" s="54">
        <f>IF($B2419=0,NA(),IF(Inputs!$B$27&lt;&gt;"Yes",NA(),Inputs!$D$27*Inputs!$C$35))</f>
        <v/>
      </c>
      <c r="S2419" s="54">
        <f>IF($B2419=0,NA(),IF(Inputs!$B$28&lt;&gt;"Yes",NA(),Inputs!$D$28*Inputs!$C$35))</f>
        <v/>
      </c>
      <c r="T2419" s="54">
        <f>IF($B2419=0,NA(),IF(Inputs!$B$29&lt;&gt;"Yes",NA(),Inputs!$D$29*Inputs!$C$35))</f>
        <v/>
      </c>
      <c r="AD2419">
        <f>IF($B2419=0,0,IF(Inputs!$B$6="",0,COUNTIFS(Data!$A$10:$A$3209,"&gt;="&amp;$A2419,Data!$A$10:$A$3209,"&lt;"&amp;$A2419+1)))</f>
        <v/>
      </c>
      <c r="AE2419">
        <f>IF($B2419=0,0,IF(Inputs!$B$7="",0,COUNTIFS(Data!$E$10:$E$3209,"&gt;="&amp;$A2419,Data!$E$10:$E$3209,"&lt;"&amp;$A2419+1)))</f>
        <v/>
      </c>
      <c r="AF2419">
        <f>IF($B2419=0,0,IF(Inputs!$B$8="",0,COUNTIFS(Data!$I$10:$I$3209,"&gt;="&amp;$A2419,Data!$I$10:$I$3209,"&lt;"&amp;$A2419+1)))</f>
        <v/>
      </c>
      <c r="AG2419">
        <f>IF($B2419=0,0,IF(Inputs!$B$9="",0,COUNTIFS(Data!$M$10:$M$3209,"&gt;="&amp;$A2419,Data!$M$10:$M$3209,"&lt;"&amp;$A2419+1)))</f>
        <v/>
      </c>
      <c r="AH2419">
        <f>IF($B2419=0,0,IF(Inputs!$B$10="",0,COUNTIFS(Data!$Q$10:$Q$3209,"&gt;="&amp;$A2419,Data!$Q$10:$Q$3209,"&lt;"&amp;$A2419+1)))</f>
        <v/>
      </c>
    </row>
    <row r="2420">
      <c r="A2420" s="55">
        <f>MIN(Inputs!$C$15,$A2419+IF(WEEKDAY($A2419,2)=5,3,1))</f>
        <v/>
      </c>
      <c r="B2420">
        <f>IF($A2420&gt;$A2419,1,0)</f>
        <v/>
      </c>
      <c r="C2420" s="56">
        <f>IF($B2420=0,"",IF(Inputs!$B$6="","",IF($AD2420=0,C2419,SUMIFS(Data!$B$10:$B$3209,Data!$A$10:$A$3209,"&gt;="&amp;$A2420,Data!$A$10:$A$3209,"&lt;"&amp;$A2420+1)/$AD2420)))</f>
        <v/>
      </c>
      <c r="D2420" s="56">
        <f>IF($B2420=0,"",IF(Inputs!$B$7="","",IF($AE2420=0,D2419,SUMIFS(Data!$F$10:$F$3209,Data!$E$10:$E$3209,"&gt;="&amp;$A2420,Data!$E$10:$E$3209,"&lt;"&amp;$A2420+1)/$AE2420)))</f>
        <v/>
      </c>
      <c r="E2420" s="56">
        <f>IF($B2420=0,"",IF(Inputs!$B$8="","",IF($AF2420=0,E2419,SUMIFS(Data!$J$10:$J$3209,Data!$I$10:$I$3209,"&gt;="&amp;$A2420,Data!$I$10:$I$3209,"&lt;"&amp;$A2420+1)/$AF2420)))</f>
        <v/>
      </c>
      <c r="F2420" s="56">
        <f>IF($B2420=0,"",IF(Inputs!$B$9="","",IF($AG2420=0,F2419,SUMIFS(Data!$N$10:$N$3209,Data!$M$10:$M$3209,"&gt;="&amp;$A2420,Data!$M$10:$M$3209,"&lt;"&amp;$A2420+1)/$AG2420)))</f>
        <v/>
      </c>
      <c r="G2420" s="56">
        <f>IF($B2420=0,"",IF(Inputs!$B$10="","",IF($AH2420=0,G2419,SUMIFS(Data!$R$10:$R$3209,Data!$Q$10:$Q$3209,"&gt;="&amp;$A2420,Data!$Q$10:$Q$3209,"&lt;"&amp;$A2420+1)/$AH2420)))</f>
        <v/>
      </c>
      <c r="I2420" s="54">
        <f>IF($B2420=0,NA(),IF($C2420="",NA(),IF(C$8="",NA(),IF(N(C$8)=0,NA(),IF(Inputs!$C$17="Rebased to 100",$C2420/C$8*100,$C2420)))))</f>
        <v/>
      </c>
      <c r="J2420" s="54">
        <f>IF($B2420=0,NA(),IF($D2420="",NA(),IF(D$8="",NA(),IF(N(D$8)=0,NA(),IF(Inputs!$C$17="Rebased to 100",$D2420/D$8*100,$D2420)))))</f>
        <v/>
      </c>
      <c r="K2420" s="54">
        <f>IF($B2420=0,NA(),IF($E2420="",NA(),IF(E$8="",NA(),IF(N(E$8)=0,NA(),IF(Inputs!$C$17="Rebased to 100",$E2420/E$8*100,$E2420)))))</f>
        <v/>
      </c>
      <c r="L2420" s="54">
        <f>IF($B2420=0,NA(),IF($F2420="",NA(),IF(F$8="",NA(),IF(N(F$8)=0,NA(),IF(Inputs!$C$17="Rebased to 100",$F2420/F$8*100,$F2420)))))</f>
        <v/>
      </c>
      <c r="M2420" s="54">
        <f>IF($B2420=0,NA(),IF($G2420="",NA(),IF(G$8="",NA(),IF(N(G$8)=0,NA(),IF(Inputs!$C$17="Rebased to 100",$G2420/G$8*100,$G2420)))))</f>
        <v/>
      </c>
      <c r="N2420" s="54">
        <f>IF($B2420=0,NA(),IF(Inputs!$C$18&lt;&gt;"Yes",NA(),IF(COUNT(I2420,J2420,K2420,L2420,M2420)=0,NA(),MIN(I2420,J2420,K2420,L2420,M2420))))</f>
        <v/>
      </c>
      <c r="O2420" s="54">
        <f>IF($B2420=0,NA(),IF(Inputs!$B$24&lt;&gt;"Yes",NA(),Inputs!$D$24*Inputs!$C$35))</f>
        <v/>
      </c>
      <c r="P2420" s="54">
        <f>IF($B2420=0,NA(),IF(Inputs!$B$25&lt;&gt;"Yes",NA(),Inputs!$D$25*Inputs!$C$35))</f>
        <v/>
      </c>
      <c r="Q2420" s="54">
        <f>IF($B2420=0,NA(),IF(Inputs!$B$26&lt;&gt;"Yes",NA(),Inputs!$D$26*Inputs!$C$35))</f>
        <v/>
      </c>
      <c r="R2420" s="54">
        <f>IF($B2420=0,NA(),IF(Inputs!$B$27&lt;&gt;"Yes",NA(),Inputs!$D$27*Inputs!$C$35))</f>
        <v/>
      </c>
      <c r="S2420" s="54">
        <f>IF($B2420=0,NA(),IF(Inputs!$B$28&lt;&gt;"Yes",NA(),Inputs!$D$28*Inputs!$C$35))</f>
        <v/>
      </c>
      <c r="T2420" s="54">
        <f>IF($B2420=0,NA(),IF(Inputs!$B$29&lt;&gt;"Yes",NA(),Inputs!$D$29*Inputs!$C$35))</f>
        <v/>
      </c>
      <c r="AD2420">
        <f>IF($B2420=0,0,IF(Inputs!$B$6="",0,COUNTIFS(Data!$A$10:$A$3209,"&gt;="&amp;$A2420,Data!$A$10:$A$3209,"&lt;"&amp;$A2420+1)))</f>
        <v/>
      </c>
      <c r="AE2420">
        <f>IF($B2420=0,0,IF(Inputs!$B$7="",0,COUNTIFS(Data!$E$10:$E$3209,"&gt;="&amp;$A2420,Data!$E$10:$E$3209,"&lt;"&amp;$A2420+1)))</f>
        <v/>
      </c>
      <c r="AF2420">
        <f>IF($B2420=0,0,IF(Inputs!$B$8="",0,COUNTIFS(Data!$I$10:$I$3209,"&gt;="&amp;$A2420,Data!$I$10:$I$3209,"&lt;"&amp;$A2420+1)))</f>
        <v/>
      </c>
      <c r="AG2420">
        <f>IF($B2420=0,0,IF(Inputs!$B$9="",0,COUNTIFS(Data!$M$10:$M$3209,"&gt;="&amp;$A2420,Data!$M$10:$M$3209,"&lt;"&amp;$A2420+1)))</f>
        <v/>
      </c>
      <c r="AH2420">
        <f>IF($B2420=0,0,IF(Inputs!$B$10="",0,COUNTIFS(Data!$Q$10:$Q$3209,"&gt;="&amp;$A2420,Data!$Q$10:$Q$3209,"&lt;"&amp;$A2420+1)))</f>
        <v/>
      </c>
    </row>
    <row r="2421">
      <c r="A2421" s="55">
        <f>MIN(Inputs!$C$15,$A2420+IF(WEEKDAY($A2420,2)=5,3,1))</f>
        <v/>
      </c>
      <c r="B2421">
        <f>IF($A2421&gt;$A2420,1,0)</f>
        <v/>
      </c>
      <c r="C2421" s="56">
        <f>IF($B2421=0,"",IF(Inputs!$B$6="","",IF($AD2421=0,C2420,SUMIFS(Data!$B$10:$B$3209,Data!$A$10:$A$3209,"&gt;="&amp;$A2421,Data!$A$10:$A$3209,"&lt;"&amp;$A2421+1)/$AD2421)))</f>
        <v/>
      </c>
      <c r="D2421" s="56">
        <f>IF($B2421=0,"",IF(Inputs!$B$7="","",IF($AE2421=0,D2420,SUMIFS(Data!$F$10:$F$3209,Data!$E$10:$E$3209,"&gt;="&amp;$A2421,Data!$E$10:$E$3209,"&lt;"&amp;$A2421+1)/$AE2421)))</f>
        <v/>
      </c>
      <c r="E2421" s="56">
        <f>IF($B2421=0,"",IF(Inputs!$B$8="","",IF($AF2421=0,E2420,SUMIFS(Data!$J$10:$J$3209,Data!$I$10:$I$3209,"&gt;="&amp;$A2421,Data!$I$10:$I$3209,"&lt;"&amp;$A2421+1)/$AF2421)))</f>
        <v/>
      </c>
      <c r="F2421" s="56">
        <f>IF($B2421=0,"",IF(Inputs!$B$9="","",IF($AG2421=0,F2420,SUMIFS(Data!$N$10:$N$3209,Data!$M$10:$M$3209,"&gt;="&amp;$A2421,Data!$M$10:$M$3209,"&lt;"&amp;$A2421+1)/$AG2421)))</f>
        <v/>
      </c>
      <c r="G2421" s="56">
        <f>IF($B2421=0,"",IF(Inputs!$B$10="","",IF($AH2421=0,G2420,SUMIFS(Data!$R$10:$R$3209,Data!$Q$10:$Q$3209,"&gt;="&amp;$A2421,Data!$Q$10:$Q$3209,"&lt;"&amp;$A2421+1)/$AH2421)))</f>
        <v/>
      </c>
      <c r="I2421" s="54">
        <f>IF($B2421=0,NA(),IF($C2421="",NA(),IF(C$8="",NA(),IF(N(C$8)=0,NA(),IF(Inputs!$C$17="Rebased to 100",$C2421/C$8*100,$C2421)))))</f>
        <v/>
      </c>
      <c r="J2421" s="54">
        <f>IF($B2421=0,NA(),IF($D2421="",NA(),IF(D$8="",NA(),IF(N(D$8)=0,NA(),IF(Inputs!$C$17="Rebased to 100",$D2421/D$8*100,$D2421)))))</f>
        <v/>
      </c>
      <c r="K2421" s="54">
        <f>IF($B2421=0,NA(),IF($E2421="",NA(),IF(E$8="",NA(),IF(N(E$8)=0,NA(),IF(Inputs!$C$17="Rebased to 100",$E2421/E$8*100,$E2421)))))</f>
        <v/>
      </c>
      <c r="L2421" s="54">
        <f>IF($B2421=0,NA(),IF($F2421="",NA(),IF(F$8="",NA(),IF(N(F$8)=0,NA(),IF(Inputs!$C$17="Rebased to 100",$F2421/F$8*100,$F2421)))))</f>
        <v/>
      </c>
      <c r="M2421" s="54">
        <f>IF($B2421=0,NA(),IF($G2421="",NA(),IF(G$8="",NA(),IF(N(G$8)=0,NA(),IF(Inputs!$C$17="Rebased to 100",$G2421/G$8*100,$G2421)))))</f>
        <v/>
      </c>
      <c r="N2421" s="54">
        <f>IF($B2421=0,NA(),IF(Inputs!$C$18&lt;&gt;"Yes",NA(),IF(COUNT(I2421,J2421,K2421,L2421,M2421)=0,NA(),MIN(I2421,J2421,K2421,L2421,M2421))))</f>
        <v/>
      </c>
      <c r="O2421" s="54">
        <f>IF($B2421=0,NA(),IF(Inputs!$B$24&lt;&gt;"Yes",NA(),Inputs!$D$24*Inputs!$C$35))</f>
        <v/>
      </c>
      <c r="P2421" s="54">
        <f>IF($B2421=0,NA(),IF(Inputs!$B$25&lt;&gt;"Yes",NA(),Inputs!$D$25*Inputs!$C$35))</f>
        <v/>
      </c>
      <c r="Q2421" s="54">
        <f>IF($B2421=0,NA(),IF(Inputs!$B$26&lt;&gt;"Yes",NA(),Inputs!$D$26*Inputs!$C$35))</f>
        <v/>
      </c>
      <c r="R2421" s="54">
        <f>IF($B2421=0,NA(),IF(Inputs!$B$27&lt;&gt;"Yes",NA(),Inputs!$D$27*Inputs!$C$35))</f>
        <v/>
      </c>
      <c r="S2421" s="54">
        <f>IF($B2421=0,NA(),IF(Inputs!$B$28&lt;&gt;"Yes",NA(),Inputs!$D$28*Inputs!$C$35))</f>
        <v/>
      </c>
      <c r="T2421" s="54">
        <f>IF($B2421=0,NA(),IF(Inputs!$B$29&lt;&gt;"Yes",NA(),Inputs!$D$29*Inputs!$C$35))</f>
        <v/>
      </c>
      <c r="AD2421">
        <f>IF($B2421=0,0,IF(Inputs!$B$6="",0,COUNTIFS(Data!$A$10:$A$3209,"&gt;="&amp;$A2421,Data!$A$10:$A$3209,"&lt;"&amp;$A2421+1)))</f>
        <v/>
      </c>
      <c r="AE2421">
        <f>IF($B2421=0,0,IF(Inputs!$B$7="",0,COUNTIFS(Data!$E$10:$E$3209,"&gt;="&amp;$A2421,Data!$E$10:$E$3209,"&lt;"&amp;$A2421+1)))</f>
        <v/>
      </c>
      <c r="AF2421">
        <f>IF($B2421=0,0,IF(Inputs!$B$8="",0,COUNTIFS(Data!$I$10:$I$3209,"&gt;="&amp;$A2421,Data!$I$10:$I$3209,"&lt;"&amp;$A2421+1)))</f>
        <v/>
      </c>
      <c r="AG2421">
        <f>IF($B2421=0,0,IF(Inputs!$B$9="",0,COUNTIFS(Data!$M$10:$M$3209,"&gt;="&amp;$A2421,Data!$M$10:$M$3209,"&lt;"&amp;$A2421+1)))</f>
        <v/>
      </c>
      <c r="AH2421">
        <f>IF($B2421=0,0,IF(Inputs!$B$10="",0,COUNTIFS(Data!$Q$10:$Q$3209,"&gt;="&amp;$A2421,Data!$Q$10:$Q$3209,"&lt;"&amp;$A2421+1)))</f>
        <v/>
      </c>
    </row>
    <row r="2422">
      <c r="A2422" s="55">
        <f>MIN(Inputs!$C$15,$A2421+IF(WEEKDAY($A2421,2)=5,3,1))</f>
        <v/>
      </c>
      <c r="B2422">
        <f>IF($A2422&gt;$A2421,1,0)</f>
        <v/>
      </c>
      <c r="C2422" s="56">
        <f>IF($B2422=0,"",IF(Inputs!$B$6="","",IF($AD2422=0,C2421,SUMIFS(Data!$B$10:$B$3209,Data!$A$10:$A$3209,"&gt;="&amp;$A2422,Data!$A$10:$A$3209,"&lt;"&amp;$A2422+1)/$AD2422)))</f>
        <v/>
      </c>
      <c r="D2422" s="56">
        <f>IF($B2422=0,"",IF(Inputs!$B$7="","",IF($AE2422=0,D2421,SUMIFS(Data!$F$10:$F$3209,Data!$E$10:$E$3209,"&gt;="&amp;$A2422,Data!$E$10:$E$3209,"&lt;"&amp;$A2422+1)/$AE2422)))</f>
        <v/>
      </c>
      <c r="E2422" s="56">
        <f>IF($B2422=0,"",IF(Inputs!$B$8="","",IF($AF2422=0,E2421,SUMIFS(Data!$J$10:$J$3209,Data!$I$10:$I$3209,"&gt;="&amp;$A2422,Data!$I$10:$I$3209,"&lt;"&amp;$A2422+1)/$AF2422)))</f>
        <v/>
      </c>
      <c r="F2422" s="56">
        <f>IF($B2422=0,"",IF(Inputs!$B$9="","",IF($AG2422=0,F2421,SUMIFS(Data!$N$10:$N$3209,Data!$M$10:$M$3209,"&gt;="&amp;$A2422,Data!$M$10:$M$3209,"&lt;"&amp;$A2422+1)/$AG2422)))</f>
        <v/>
      </c>
      <c r="G2422" s="56">
        <f>IF($B2422=0,"",IF(Inputs!$B$10="","",IF($AH2422=0,G2421,SUMIFS(Data!$R$10:$R$3209,Data!$Q$10:$Q$3209,"&gt;="&amp;$A2422,Data!$Q$10:$Q$3209,"&lt;"&amp;$A2422+1)/$AH2422)))</f>
        <v/>
      </c>
      <c r="I2422" s="54">
        <f>IF($B2422=0,NA(),IF($C2422="",NA(),IF(C$8="",NA(),IF(N(C$8)=0,NA(),IF(Inputs!$C$17="Rebased to 100",$C2422/C$8*100,$C2422)))))</f>
        <v/>
      </c>
      <c r="J2422" s="54">
        <f>IF($B2422=0,NA(),IF($D2422="",NA(),IF(D$8="",NA(),IF(N(D$8)=0,NA(),IF(Inputs!$C$17="Rebased to 100",$D2422/D$8*100,$D2422)))))</f>
        <v/>
      </c>
      <c r="K2422" s="54">
        <f>IF($B2422=0,NA(),IF($E2422="",NA(),IF(E$8="",NA(),IF(N(E$8)=0,NA(),IF(Inputs!$C$17="Rebased to 100",$E2422/E$8*100,$E2422)))))</f>
        <v/>
      </c>
      <c r="L2422" s="54">
        <f>IF($B2422=0,NA(),IF($F2422="",NA(),IF(F$8="",NA(),IF(N(F$8)=0,NA(),IF(Inputs!$C$17="Rebased to 100",$F2422/F$8*100,$F2422)))))</f>
        <v/>
      </c>
      <c r="M2422" s="54">
        <f>IF($B2422=0,NA(),IF($G2422="",NA(),IF(G$8="",NA(),IF(N(G$8)=0,NA(),IF(Inputs!$C$17="Rebased to 100",$G2422/G$8*100,$G2422)))))</f>
        <v/>
      </c>
      <c r="N2422" s="54">
        <f>IF($B2422=0,NA(),IF(Inputs!$C$18&lt;&gt;"Yes",NA(),IF(COUNT(I2422,J2422,K2422,L2422,M2422)=0,NA(),MIN(I2422,J2422,K2422,L2422,M2422))))</f>
        <v/>
      </c>
      <c r="O2422" s="54">
        <f>IF($B2422=0,NA(),IF(Inputs!$B$24&lt;&gt;"Yes",NA(),Inputs!$D$24*Inputs!$C$35))</f>
        <v/>
      </c>
      <c r="P2422" s="54">
        <f>IF($B2422=0,NA(),IF(Inputs!$B$25&lt;&gt;"Yes",NA(),Inputs!$D$25*Inputs!$C$35))</f>
        <v/>
      </c>
      <c r="Q2422" s="54">
        <f>IF($B2422=0,NA(),IF(Inputs!$B$26&lt;&gt;"Yes",NA(),Inputs!$D$26*Inputs!$C$35))</f>
        <v/>
      </c>
      <c r="R2422" s="54">
        <f>IF($B2422=0,NA(),IF(Inputs!$B$27&lt;&gt;"Yes",NA(),Inputs!$D$27*Inputs!$C$35))</f>
        <v/>
      </c>
      <c r="S2422" s="54">
        <f>IF($B2422=0,NA(),IF(Inputs!$B$28&lt;&gt;"Yes",NA(),Inputs!$D$28*Inputs!$C$35))</f>
        <v/>
      </c>
      <c r="T2422" s="54">
        <f>IF($B2422=0,NA(),IF(Inputs!$B$29&lt;&gt;"Yes",NA(),Inputs!$D$29*Inputs!$C$35))</f>
        <v/>
      </c>
      <c r="AD2422">
        <f>IF($B2422=0,0,IF(Inputs!$B$6="",0,COUNTIFS(Data!$A$10:$A$3209,"&gt;="&amp;$A2422,Data!$A$10:$A$3209,"&lt;"&amp;$A2422+1)))</f>
        <v/>
      </c>
      <c r="AE2422">
        <f>IF($B2422=0,0,IF(Inputs!$B$7="",0,COUNTIFS(Data!$E$10:$E$3209,"&gt;="&amp;$A2422,Data!$E$10:$E$3209,"&lt;"&amp;$A2422+1)))</f>
        <v/>
      </c>
      <c r="AF2422">
        <f>IF($B2422=0,0,IF(Inputs!$B$8="",0,COUNTIFS(Data!$I$10:$I$3209,"&gt;="&amp;$A2422,Data!$I$10:$I$3209,"&lt;"&amp;$A2422+1)))</f>
        <v/>
      </c>
      <c r="AG2422">
        <f>IF($B2422=0,0,IF(Inputs!$B$9="",0,COUNTIFS(Data!$M$10:$M$3209,"&gt;="&amp;$A2422,Data!$M$10:$M$3209,"&lt;"&amp;$A2422+1)))</f>
        <v/>
      </c>
      <c r="AH2422">
        <f>IF($B2422=0,0,IF(Inputs!$B$10="",0,COUNTIFS(Data!$Q$10:$Q$3209,"&gt;="&amp;$A2422,Data!$Q$10:$Q$3209,"&lt;"&amp;$A2422+1)))</f>
        <v/>
      </c>
    </row>
    <row r="2423">
      <c r="A2423" s="55">
        <f>MIN(Inputs!$C$15,$A2422+IF(WEEKDAY($A2422,2)=5,3,1))</f>
        <v/>
      </c>
      <c r="B2423">
        <f>IF($A2423&gt;$A2422,1,0)</f>
        <v/>
      </c>
      <c r="C2423" s="56">
        <f>IF($B2423=0,"",IF(Inputs!$B$6="","",IF($AD2423=0,C2422,SUMIFS(Data!$B$10:$B$3209,Data!$A$10:$A$3209,"&gt;="&amp;$A2423,Data!$A$10:$A$3209,"&lt;"&amp;$A2423+1)/$AD2423)))</f>
        <v/>
      </c>
      <c r="D2423" s="56">
        <f>IF($B2423=0,"",IF(Inputs!$B$7="","",IF($AE2423=0,D2422,SUMIFS(Data!$F$10:$F$3209,Data!$E$10:$E$3209,"&gt;="&amp;$A2423,Data!$E$10:$E$3209,"&lt;"&amp;$A2423+1)/$AE2423)))</f>
        <v/>
      </c>
      <c r="E2423" s="56">
        <f>IF($B2423=0,"",IF(Inputs!$B$8="","",IF($AF2423=0,E2422,SUMIFS(Data!$J$10:$J$3209,Data!$I$10:$I$3209,"&gt;="&amp;$A2423,Data!$I$10:$I$3209,"&lt;"&amp;$A2423+1)/$AF2423)))</f>
        <v/>
      </c>
      <c r="F2423" s="56">
        <f>IF($B2423=0,"",IF(Inputs!$B$9="","",IF($AG2423=0,F2422,SUMIFS(Data!$N$10:$N$3209,Data!$M$10:$M$3209,"&gt;="&amp;$A2423,Data!$M$10:$M$3209,"&lt;"&amp;$A2423+1)/$AG2423)))</f>
        <v/>
      </c>
      <c r="G2423" s="56">
        <f>IF($B2423=0,"",IF(Inputs!$B$10="","",IF($AH2423=0,G2422,SUMIFS(Data!$R$10:$R$3209,Data!$Q$10:$Q$3209,"&gt;="&amp;$A2423,Data!$Q$10:$Q$3209,"&lt;"&amp;$A2423+1)/$AH2423)))</f>
        <v/>
      </c>
      <c r="I2423" s="54">
        <f>IF($B2423=0,NA(),IF($C2423="",NA(),IF(C$8="",NA(),IF(N(C$8)=0,NA(),IF(Inputs!$C$17="Rebased to 100",$C2423/C$8*100,$C2423)))))</f>
        <v/>
      </c>
      <c r="J2423" s="54">
        <f>IF($B2423=0,NA(),IF($D2423="",NA(),IF(D$8="",NA(),IF(N(D$8)=0,NA(),IF(Inputs!$C$17="Rebased to 100",$D2423/D$8*100,$D2423)))))</f>
        <v/>
      </c>
      <c r="K2423" s="54">
        <f>IF($B2423=0,NA(),IF($E2423="",NA(),IF(E$8="",NA(),IF(N(E$8)=0,NA(),IF(Inputs!$C$17="Rebased to 100",$E2423/E$8*100,$E2423)))))</f>
        <v/>
      </c>
      <c r="L2423" s="54">
        <f>IF($B2423=0,NA(),IF($F2423="",NA(),IF(F$8="",NA(),IF(N(F$8)=0,NA(),IF(Inputs!$C$17="Rebased to 100",$F2423/F$8*100,$F2423)))))</f>
        <v/>
      </c>
      <c r="M2423" s="54">
        <f>IF($B2423=0,NA(),IF($G2423="",NA(),IF(G$8="",NA(),IF(N(G$8)=0,NA(),IF(Inputs!$C$17="Rebased to 100",$G2423/G$8*100,$G2423)))))</f>
        <v/>
      </c>
      <c r="N2423" s="54">
        <f>IF($B2423=0,NA(),IF(Inputs!$C$18&lt;&gt;"Yes",NA(),IF(COUNT(I2423,J2423,K2423,L2423,M2423)=0,NA(),MIN(I2423,J2423,K2423,L2423,M2423))))</f>
        <v/>
      </c>
      <c r="O2423" s="54">
        <f>IF($B2423=0,NA(),IF(Inputs!$B$24&lt;&gt;"Yes",NA(),Inputs!$D$24*Inputs!$C$35))</f>
        <v/>
      </c>
      <c r="P2423" s="54">
        <f>IF($B2423=0,NA(),IF(Inputs!$B$25&lt;&gt;"Yes",NA(),Inputs!$D$25*Inputs!$C$35))</f>
        <v/>
      </c>
      <c r="Q2423" s="54">
        <f>IF($B2423=0,NA(),IF(Inputs!$B$26&lt;&gt;"Yes",NA(),Inputs!$D$26*Inputs!$C$35))</f>
        <v/>
      </c>
      <c r="R2423" s="54">
        <f>IF($B2423=0,NA(),IF(Inputs!$B$27&lt;&gt;"Yes",NA(),Inputs!$D$27*Inputs!$C$35))</f>
        <v/>
      </c>
      <c r="S2423" s="54">
        <f>IF($B2423=0,NA(),IF(Inputs!$B$28&lt;&gt;"Yes",NA(),Inputs!$D$28*Inputs!$C$35))</f>
        <v/>
      </c>
      <c r="T2423" s="54">
        <f>IF($B2423=0,NA(),IF(Inputs!$B$29&lt;&gt;"Yes",NA(),Inputs!$D$29*Inputs!$C$35))</f>
        <v/>
      </c>
      <c r="AD2423">
        <f>IF($B2423=0,0,IF(Inputs!$B$6="",0,COUNTIFS(Data!$A$10:$A$3209,"&gt;="&amp;$A2423,Data!$A$10:$A$3209,"&lt;"&amp;$A2423+1)))</f>
        <v/>
      </c>
      <c r="AE2423">
        <f>IF($B2423=0,0,IF(Inputs!$B$7="",0,COUNTIFS(Data!$E$10:$E$3209,"&gt;="&amp;$A2423,Data!$E$10:$E$3209,"&lt;"&amp;$A2423+1)))</f>
        <v/>
      </c>
      <c r="AF2423">
        <f>IF($B2423=0,0,IF(Inputs!$B$8="",0,COUNTIFS(Data!$I$10:$I$3209,"&gt;="&amp;$A2423,Data!$I$10:$I$3209,"&lt;"&amp;$A2423+1)))</f>
        <v/>
      </c>
      <c r="AG2423">
        <f>IF($B2423=0,0,IF(Inputs!$B$9="",0,COUNTIFS(Data!$M$10:$M$3209,"&gt;="&amp;$A2423,Data!$M$10:$M$3209,"&lt;"&amp;$A2423+1)))</f>
        <v/>
      </c>
      <c r="AH2423">
        <f>IF($B2423=0,0,IF(Inputs!$B$10="",0,COUNTIFS(Data!$Q$10:$Q$3209,"&gt;="&amp;$A2423,Data!$Q$10:$Q$3209,"&lt;"&amp;$A2423+1)))</f>
        <v/>
      </c>
    </row>
    <row r="2424">
      <c r="A2424" s="55">
        <f>MIN(Inputs!$C$15,$A2423+IF(WEEKDAY($A2423,2)=5,3,1))</f>
        <v/>
      </c>
      <c r="B2424">
        <f>IF($A2424&gt;$A2423,1,0)</f>
        <v/>
      </c>
      <c r="C2424" s="56">
        <f>IF($B2424=0,"",IF(Inputs!$B$6="","",IF($AD2424=0,C2423,SUMIFS(Data!$B$10:$B$3209,Data!$A$10:$A$3209,"&gt;="&amp;$A2424,Data!$A$10:$A$3209,"&lt;"&amp;$A2424+1)/$AD2424)))</f>
        <v/>
      </c>
      <c r="D2424" s="56">
        <f>IF($B2424=0,"",IF(Inputs!$B$7="","",IF($AE2424=0,D2423,SUMIFS(Data!$F$10:$F$3209,Data!$E$10:$E$3209,"&gt;="&amp;$A2424,Data!$E$10:$E$3209,"&lt;"&amp;$A2424+1)/$AE2424)))</f>
        <v/>
      </c>
      <c r="E2424" s="56">
        <f>IF($B2424=0,"",IF(Inputs!$B$8="","",IF($AF2424=0,E2423,SUMIFS(Data!$J$10:$J$3209,Data!$I$10:$I$3209,"&gt;="&amp;$A2424,Data!$I$10:$I$3209,"&lt;"&amp;$A2424+1)/$AF2424)))</f>
        <v/>
      </c>
      <c r="F2424" s="56">
        <f>IF($B2424=0,"",IF(Inputs!$B$9="","",IF($AG2424=0,F2423,SUMIFS(Data!$N$10:$N$3209,Data!$M$10:$M$3209,"&gt;="&amp;$A2424,Data!$M$10:$M$3209,"&lt;"&amp;$A2424+1)/$AG2424)))</f>
        <v/>
      </c>
      <c r="G2424" s="56">
        <f>IF($B2424=0,"",IF(Inputs!$B$10="","",IF($AH2424=0,G2423,SUMIFS(Data!$R$10:$R$3209,Data!$Q$10:$Q$3209,"&gt;="&amp;$A2424,Data!$Q$10:$Q$3209,"&lt;"&amp;$A2424+1)/$AH2424)))</f>
        <v/>
      </c>
      <c r="I2424" s="54">
        <f>IF($B2424=0,NA(),IF($C2424="",NA(),IF(C$8="",NA(),IF(N(C$8)=0,NA(),IF(Inputs!$C$17="Rebased to 100",$C2424/C$8*100,$C2424)))))</f>
        <v/>
      </c>
      <c r="J2424" s="54">
        <f>IF($B2424=0,NA(),IF($D2424="",NA(),IF(D$8="",NA(),IF(N(D$8)=0,NA(),IF(Inputs!$C$17="Rebased to 100",$D2424/D$8*100,$D2424)))))</f>
        <v/>
      </c>
      <c r="K2424" s="54">
        <f>IF($B2424=0,NA(),IF($E2424="",NA(),IF(E$8="",NA(),IF(N(E$8)=0,NA(),IF(Inputs!$C$17="Rebased to 100",$E2424/E$8*100,$E2424)))))</f>
        <v/>
      </c>
      <c r="L2424" s="54">
        <f>IF($B2424=0,NA(),IF($F2424="",NA(),IF(F$8="",NA(),IF(N(F$8)=0,NA(),IF(Inputs!$C$17="Rebased to 100",$F2424/F$8*100,$F2424)))))</f>
        <v/>
      </c>
      <c r="M2424" s="54">
        <f>IF($B2424=0,NA(),IF($G2424="",NA(),IF(G$8="",NA(),IF(N(G$8)=0,NA(),IF(Inputs!$C$17="Rebased to 100",$G2424/G$8*100,$G2424)))))</f>
        <v/>
      </c>
      <c r="N2424" s="54">
        <f>IF($B2424=0,NA(),IF(Inputs!$C$18&lt;&gt;"Yes",NA(),IF(COUNT(I2424,J2424,K2424,L2424,M2424)=0,NA(),MIN(I2424,J2424,K2424,L2424,M2424))))</f>
        <v/>
      </c>
      <c r="O2424" s="54">
        <f>IF($B2424=0,NA(),IF(Inputs!$B$24&lt;&gt;"Yes",NA(),Inputs!$D$24*Inputs!$C$35))</f>
        <v/>
      </c>
      <c r="P2424" s="54">
        <f>IF($B2424=0,NA(),IF(Inputs!$B$25&lt;&gt;"Yes",NA(),Inputs!$D$25*Inputs!$C$35))</f>
        <v/>
      </c>
      <c r="Q2424" s="54">
        <f>IF($B2424=0,NA(),IF(Inputs!$B$26&lt;&gt;"Yes",NA(),Inputs!$D$26*Inputs!$C$35))</f>
        <v/>
      </c>
      <c r="R2424" s="54">
        <f>IF($B2424=0,NA(),IF(Inputs!$B$27&lt;&gt;"Yes",NA(),Inputs!$D$27*Inputs!$C$35))</f>
        <v/>
      </c>
      <c r="S2424" s="54">
        <f>IF($B2424=0,NA(),IF(Inputs!$B$28&lt;&gt;"Yes",NA(),Inputs!$D$28*Inputs!$C$35))</f>
        <v/>
      </c>
      <c r="T2424" s="54">
        <f>IF($B2424=0,NA(),IF(Inputs!$B$29&lt;&gt;"Yes",NA(),Inputs!$D$29*Inputs!$C$35))</f>
        <v/>
      </c>
      <c r="AD2424">
        <f>IF($B2424=0,0,IF(Inputs!$B$6="",0,COUNTIFS(Data!$A$10:$A$3209,"&gt;="&amp;$A2424,Data!$A$10:$A$3209,"&lt;"&amp;$A2424+1)))</f>
        <v/>
      </c>
      <c r="AE2424">
        <f>IF($B2424=0,0,IF(Inputs!$B$7="",0,COUNTIFS(Data!$E$10:$E$3209,"&gt;="&amp;$A2424,Data!$E$10:$E$3209,"&lt;"&amp;$A2424+1)))</f>
        <v/>
      </c>
      <c r="AF2424">
        <f>IF($B2424=0,0,IF(Inputs!$B$8="",0,COUNTIFS(Data!$I$10:$I$3209,"&gt;="&amp;$A2424,Data!$I$10:$I$3209,"&lt;"&amp;$A2424+1)))</f>
        <v/>
      </c>
      <c r="AG2424">
        <f>IF($B2424=0,0,IF(Inputs!$B$9="",0,COUNTIFS(Data!$M$10:$M$3209,"&gt;="&amp;$A2424,Data!$M$10:$M$3209,"&lt;"&amp;$A2424+1)))</f>
        <v/>
      </c>
      <c r="AH2424">
        <f>IF($B2424=0,0,IF(Inputs!$B$10="",0,COUNTIFS(Data!$Q$10:$Q$3209,"&gt;="&amp;$A2424,Data!$Q$10:$Q$3209,"&lt;"&amp;$A2424+1)))</f>
        <v/>
      </c>
    </row>
    <row r="2425">
      <c r="A2425" s="55">
        <f>MIN(Inputs!$C$15,$A2424+IF(WEEKDAY($A2424,2)=5,3,1))</f>
        <v/>
      </c>
      <c r="B2425">
        <f>IF($A2425&gt;$A2424,1,0)</f>
        <v/>
      </c>
      <c r="C2425" s="56">
        <f>IF($B2425=0,"",IF(Inputs!$B$6="","",IF($AD2425=0,C2424,SUMIFS(Data!$B$10:$B$3209,Data!$A$10:$A$3209,"&gt;="&amp;$A2425,Data!$A$10:$A$3209,"&lt;"&amp;$A2425+1)/$AD2425)))</f>
        <v/>
      </c>
      <c r="D2425" s="56">
        <f>IF($B2425=0,"",IF(Inputs!$B$7="","",IF($AE2425=0,D2424,SUMIFS(Data!$F$10:$F$3209,Data!$E$10:$E$3209,"&gt;="&amp;$A2425,Data!$E$10:$E$3209,"&lt;"&amp;$A2425+1)/$AE2425)))</f>
        <v/>
      </c>
      <c r="E2425" s="56">
        <f>IF($B2425=0,"",IF(Inputs!$B$8="","",IF($AF2425=0,E2424,SUMIFS(Data!$J$10:$J$3209,Data!$I$10:$I$3209,"&gt;="&amp;$A2425,Data!$I$10:$I$3209,"&lt;"&amp;$A2425+1)/$AF2425)))</f>
        <v/>
      </c>
      <c r="F2425" s="56">
        <f>IF($B2425=0,"",IF(Inputs!$B$9="","",IF($AG2425=0,F2424,SUMIFS(Data!$N$10:$N$3209,Data!$M$10:$M$3209,"&gt;="&amp;$A2425,Data!$M$10:$M$3209,"&lt;"&amp;$A2425+1)/$AG2425)))</f>
        <v/>
      </c>
      <c r="G2425" s="56">
        <f>IF($B2425=0,"",IF(Inputs!$B$10="","",IF($AH2425=0,G2424,SUMIFS(Data!$R$10:$R$3209,Data!$Q$10:$Q$3209,"&gt;="&amp;$A2425,Data!$Q$10:$Q$3209,"&lt;"&amp;$A2425+1)/$AH2425)))</f>
        <v/>
      </c>
      <c r="I2425" s="54">
        <f>IF($B2425=0,NA(),IF($C2425="",NA(),IF(C$8="",NA(),IF(N(C$8)=0,NA(),IF(Inputs!$C$17="Rebased to 100",$C2425/C$8*100,$C2425)))))</f>
        <v/>
      </c>
      <c r="J2425" s="54">
        <f>IF($B2425=0,NA(),IF($D2425="",NA(),IF(D$8="",NA(),IF(N(D$8)=0,NA(),IF(Inputs!$C$17="Rebased to 100",$D2425/D$8*100,$D2425)))))</f>
        <v/>
      </c>
      <c r="K2425" s="54">
        <f>IF($B2425=0,NA(),IF($E2425="",NA(),IF(E$8="",NA(),IF(N(E$8)=0,NA(),IF(Inputs!$C$17="Rebased to 100",$E2425/E$8*100,$E2425)))))</f>
        <v/>
      </c>
      <c r="L2425" s="54">
        <f>IF($B2425=0,NA(),IF($F2425="",NA(),IF(F$8="",NA(),IF(N(F$8)=0,NA(),IF(Inputs!$C$17="Rebased to 100",$F2425/F$8*100,$F2425)))))</f>
        <v/>
      </c>
      <c r="M2425" s="54">
        <f>IF($B2425=0,NA(),IF($G2425="",NA(),IF(G$8="",NA(),IF(N(G$8)=0,NA(),IF(Inputs!$C$17="Rebased to 100",$G2425/G$8*100,$G2425)))))</f>
        <v/>
      </c>
      <c r="N2425" s="54">
        <f>IF($B2425=0,NA(),IF(Inputs!$C$18&lt;&gt;"Yes",NA(),IF(COUNT(I2425,J2425,K2425,L2425,M2425)=0,NA(),MIN(I2425,J2425,K2425,L2425,M2425))))</f>
        <v/>
      </c>
      <c r="O2425" s="54">
        <f>IF($B2425=0,NA(),IF(Inputs!$B$24&lt;&gt;"Yes",NA(),Inputs!$D$24*Inputs!$C$35))</f>
        <v/>
      </c>
      <c r="P2425" s="54">
        <f>IF($B2425=0,NA(),IF(Inputs!$B$25&lt;&gt;"Yes",NA(),Inputs!$D$25*Inputs!$C$35))</f>
        <v/>
      </c>
      <c r="Q2425" s="54">
        <f>IF($B2425=0,NA(),IF(Inputs!$B$26&lt;&gt;"Yes",NA(),Inputs!$D$26*Inputs!$C$35))</f>
        <v/>
      </c>
      <c r="R2425" s="54">
        <f>IF($B2425=0,NA(),IF(Inputs!$B$27&lt;&gt;"Yes",NA(),Inputs!$D$27*Inputs!$C$35))</f>
        <v/>
      </c>
      <c r="S2425" s="54">
        <f>IF($B2425=0,NA(),IF(Inputs!$B$28&lt;&gt;"Yes",NA(),Inputs!$D$28*Inputs!$C$35))</f>
        <v/>
      </c>
      <c r="T2425" s="54">
        <f>IF($B2425=0,NA(),IF(Inputs!$B$29&lt;&gt;"Yes",NA(),Inputs!$D$29*Inputs!$C$35))</f>
        <v/>
      </c>
      <c r="AD2425">
        <f>IF($B2425=0,0,IF(Inputs!$B$6="",0,COUNTIFS(Data!$A$10:$A$3209,"&gt;="&amp;$A2425,Data!$A$10:$A$3209,"&lt;"&amp;$A2425+1)))</f>
        <v/>
      </c>
      <c r="AE2425">
        <f>IF($B2425=0,0,IF(Inputs!$B$7="",0,COUNTIFS(Data!$E$10:$E$3209,"&gt;="&amp;$A2425,Data!$E$10:$E$3209,"&lt;"&amp;$A2425+1)))</f>
        <v/>
      </c>
      <c r="AF2425">
        <f>IF($B2425=0,0,IF(Inputs!$B$8="",0,COUNTIFS(Data!$I$10:$I$3209,"&gt;="&amp;$A2425,Data!$I$10:$I$3209,"&lt;"&amp;$A2425+1)))</f>
        <v/>
      </c>
      <c r="AG2425">
        <f>IF($B2425=0,0,IF(Inputs!$B$9="",0,COUNTIFS(Data!$M$10:$M$3209,"&gt;="&amp;$A2425,Data!$M$10:$M$3209,"&lt;"&amp;$A2425+1)))</f>
        <v/>
      </c>
      <c r="AH2425">
        <f>IF($B2425=0,0,IF(Inputs!$B$10="",0,COUNTIFS(Data!$Q$10:$Q$3209,"&gt;="&amp;$A2425,Data!$Q$10:$Q$3209,"&lt;"&amp;$A2425+1)))</f>
        <v/>
      </c>
    </row>
    <row r="2426">
      <c r="A2426" s="55">
        <f>MIN(Inputs!$C$15,$A2425+IF(WEEKDAY($A2425,2)=5,3,1))</f>
        <v/>
      </c>
      <c r="B2426">
        <f>IF($A2426&gt;$A2425,1,0)</f>
        <v/>
      </c>
      <c r="C2426" s="56">
        <f>IF($B2426=0,"",IF(Inputs!$B$6="","",IF($AD2426=0,C2425,SUMIFS(Data!$B$10:$B$3209,Data!$A$10:$A$3209,"&gt;="&amp;$A2426,Data!$A$10:$A$3209,"&lt;"&amp;$A2426+1)/$AD2426)))</f>
        <v/>
      </c>
      <c r="D2426" s="56">
        <f>IF($B2426=0,"",IF(Inputs!$B$7="","",IF($AE2426=0,D2425,SUMIFS(Data!$F$10:$F$3209,Data!$E$10:$E$3209,"&gt;="&amp;$A2426,Data!$E$10:$E$3209,"&lt;"&amp;$A2426+1)/$AE2426)))</f>
        <v/>
      </c>
      <c r="E2426" s="56">
        <f>IF($B2426=0,"",IF(Inputs!$B$8="","",IF($AF2426=0,E2425,SUMIFS(Data!$J$10:$J$3209,Data!$I$10:$I$3209,"&gt;="&amp;$A2426,Data!$I$10:$I$3209,"&lt;"&amp;$A2426+1)/$AF2426)))</f>
        <v/>
      </c>
      <c r="F2426" s="56">
        <f>IF($B2426=0,"",IF(Inputs!$B$9="","",IF($AG2426=0,F2425,SUMIFS(Data!$N$10:$N$3209,Data!$M$10:$M$3209,"&gt;="&amp;$A2426,Data!$M$10:$M$3209,"&lt;"&amp;$A2426+1)/$AG2426)))</f>
        <v/>
      </c>
      <c r="G2426" s="56">
        <f>IF($B2426=0,"",IF(Inputs!$B$10="","",IF($AH2426=0,G2425,SUMIFS(Data!$R$10:$R$3209,Data!$Q$10:$Q$3209,"&gt;="&amp;$A2426,Data!$Q$10:$Q$3209,"&lt;"&amp;$A2426+1)/$AH2426)))</f>
        <v/>
      </c>
      <c r="I2426" s="54">
        <f>IF($B2426=0,NA(),IF($C2426="",NA(),IF(C$8="",NA(),IF(N(C$8)=0,NA(),IF(Inputs!$C$17="Rebased to 100",$C2426/C$8*100,$C2426)))))</f>
        <v/>
      </c>
      <c r="J2426" s="54">
        <f>IF($B2426=0,NA(),IF($D2426="",NA(),IF(D$8="",NA(),IF(N(D$8)=0,NA(),IF(Inputs!$C$17="Rebased to 100",$D2426/D$8*100,$D2426)))))</f>
        <v/>
      </c>
      <c r="K2426" s="54">
        <f>IF($B2426=0,NA(),IF($E2426="",NA(),IF(E$8="",NA(),IF(N(E$8)=0,NA(),IF(Inputs!$C$17="Rebased to 100",$E2426/E$8*100,$E2426)))))</f>
        <v/>
      </c>
      <c r="L2426" s="54">
        <f>IF($B2426=0,NA(),IF($F2426="",NA(),IF(F$8="",NA(),IF(N(F$8)=0,NA(),IF(Inputs!$C$17="Rebased to 100",$F2426/F$8*100,$F2426)))))</f>
        <v/>
      </c>
      <c r="M2426" s="54">
        <f>IF($B2426=0,NA(),IF($G2426="",NA(),IF(G$8="",NA(),IF(N(G$8)=0,NA(),IF(Inputs!$C$17="Rebased to 100",$G2426/G$8*100,$G2426)))))</f>
        <v/>
      </c>
      <c r="N2426" s="54">
        <f>IF($B2426=0,NA(),IF(Inputs!$C$18&lt;&gt;"Yes",NA(),IF(COUNT(I2426,J2426,K2426,L2426,M2426)=0,NA(),MIN(I2426,J2426,K2426,L2426,M2426))))</f>
        <v/>
      </c>
      <c r="O2426" s="54">
        <f>IF($B2426=0,NA(),IF(Inputs!$B$24&lt;&gt;"Yes",NA(),Inputs!$D$24*Inputs!$C$35))</f>
        <v/>
      </c>
      <c r="P2426" s="54">
        <f>IF($B2426=0,NA(),IF(Inputs!$B$25&lt;&gt;"Yes",NA(),Inputs!$D$25*Inputs!$C$35))</f>
        <v/>
      </c>
      <c r="Q2426" s="54">
        <f>IF($B2426=0,NA(),IF(Inputs!$B$26&lt;&gt;"Yes",NA(),Inputs!$D$26*Inputs!$C$35))</f>
        <v/>
      </c>
      <c r="R2426" s="54">
        <f>IF($B2426=0,NA(),IF(Inputs!$B$27&lt;&gt;"Yes",NA(),Inputs!$D$27*Inputs!$C$35))</f>
        <v/>
      </c>
      <c r="S2426" s="54">
        <f>IF($B2426=0,NA(),IF(Inputs!$B$28&lt;&gt;"Yes",NA(),Inputs!$D$28*Inputs!$C$35))</f>
        <v/>
      </c>
      <c r="T2426" s="54">
        <f>IF($B2426=0,NA(),IF(Inputs!$B$29&lt;&gt;"Yes",NA(),Inputs!$D$29*Inputs!$C$35))</f>
        <v/>
      </c>
      <c r="AD2426">
        <f>IF($B2426=0,0,IF(Inputs!$B$6="",0,COUNTIFS(Data!$A$10:$A$3209,"&gt;="&amp;$A2426,Data!$A$10:$A$3209,"&lt;"&amp;$A2426+1)))</f>
        <v/>
      </c>
      <c r="AE2426">
        <f>IF($B2426=0,0,IF(Inputs!$B$7="",0,COUNTIFS(Data!$E$10:$E$3209,"&gt;="&amp;$A2426,Data!$E$10:$E$3209,"&lt;"&amp;$A2426+1)))</f>
        <v/>
      </c>
      <c r="AF2426">
        <f>IF($B2426=0,0,IF(Inputs!$B$8="",0,COUNTIFS(Data!$I$10:$I$3209,"&gt;="&amp;$A2426,Data!$I$10:$I$3209,"&lt;"&amp;$A2426+1)))</f>
        <v/>
      </c>
      <c r="AG2426">
        <f>IF($B2426=0,0,IF(Inputs!$B$9="",0,COUNTIFS(Data!$M$10:$M$3209,"&gt;="&amp;$A2426,Data!$M$10:$M$3209,"&lt;"&amp;$A2426+1)))</f>
        <v/>
      </c>
      <c r="AH2426">
        <f>IF($B2426=0,0,IF(Inputs!$B$10="",0,COUNTIFS(Data!$Q$10:$Q$3209,"&gt;="&amp;$A2426,Data!$Q$10:$Q$3209,"&lt;"&amp;$A2426+1)))</f>
        <v/>
      </c>
    </row>
    <row r="2427">
      <c r="A2427" s="55">
        <f>MIN(Inputs!$C$15,$A2426+IF(WEEKDAY($A2426,2)=5,3,1))</f>
        <v/>
      </c>
      <c r="B2427">
        <f>IF($A2427&gt;$A2426,1,0)</f>
        <v/>
      </c>
      <c r="C2427" s="56">
        <f>IF($B2427=0,"",IF(Inputs!$B$6="","",IF($AD2427=0,C2426,SUMIFS(Data!$B$10:$B$3209,Data!$A$10:$A$3209,"&gt;="&amp;$A2427,Data!$A$10:$A$3209,"&lt;"&amp;$A2427+1)/$AD2427)))</f>
        <v/>
      </c>
      <c r="D2427" s="56">
        <f>IF($B2427=0,"",IF(Inputs!$B$7="","",IF($AE2427=0,D2426,SUMIFS(Data!$F$10:$F$3209,Data!$E$10:$E$3209,"&gt;="&amp;$A2427,Data!$E$10:$E$3209,"&lt;"&amp;$A2427+1)/$AE2427)))</f>
        <v/>
      </c>
      <c r="E2427" s="56">
        <f>IF($B2427=0,"",IF(Inputs!$B$8="","",IF($AF2427=0,E2426,SUMIFS(Data!$J$10:$J$3209,Data!$I$10:$I$3209,"&gt;="&amp;$A2427,Data!$I$10:$I$3209,"&lt;"&amp;$A2427+1)/$AF2427)))</f>
        <v/>
      </c>
      <c r="F2427" s="56">
        <f>IF($B2427=0,"",IF(Inputs!$B$9="","",IF($AG2427=0,F2426,SUMIFS(Data!$N$10:$N$3209,Data!$M$10:$M$3209,"&gt;="&amp;$A2427,Data!$M$10:$M$3209,"&lt;"&amp;$A2427+1)/$AG2427)))</f>
        <v/>
      </c>
      <c r="G2427" s="56">
        <f>IF($B2427=0,"",IF(Inputs!$B$10="","",IF($AH2427=0,G2426,SUMIFS(Data!$R$10:$R$3209,Data!$Q$10:$Q$3209,"&gt;="&amp;$A2427,Data!$Q$10:$Q$3209,"&lt;"&amp;$A2427+1)/$AH2427)))</f>
        <v/>
      </c>
      <c r="I2427" s="54">
        <f>IF($B2427=0,NA(),IF($C2427="",NA(),IF(C$8="",NA(),IF(N(C$8)=0,NA(),IF(Inputs!$C$17="Rebased to 100",$C2427/C$8*100,$C2427)))))</f>
        <v/>
      </c>
      <c r="J2427" s="54">
        <f>IF($B2427=0,NA(),IF($D2427="",NA(),IF(D$8="",NA(),IF(N(D$8)=0,NA(),IF(Inputs!$C$17="Rebased to 100",$D2427/D$8*100,$D2427)))))</f>
        <v/>
      </c>
      <c r="K2427" s="54">
        <f>IF($B2427=0,NA(),IF($E2427="",NA(),IF(E$8="",NA(),IF(N(E$8)=0,NA(),IF(Inputs!$C$17="Rebased to 100",$E2427/E$8*100,$E2427)))))</f>
        <v/>
      </c>
      <c r="L2427" s="54">
        <f>IF($B2427=0,NA(),IF($F2427="",NA(),IF(F$8="",NA(),IF(N(F$8)=0,NA(),IF(Inputs!$C$17="Rebased to 100",$F2427/F$8*100,$F2427)))))</f>
        <v/>
      </c>
      <c r="M2427" s="54">
        <f>IF($B2427=0,NA(),IF($G2427="",NA(),IF(G$8="",NA(),IF(N(G$8)=0,NA(),IF(Inputs!$C$17="Rebased to 100",$G2427/G$8*100,$G2427)))))</f>
        <v/>
      </c>
      <c r="N2427" s="54">
        <f>IF($B2427=0,NA(),IF(Inputs!$C$18&lt;&gt;"Yes",NA(),IF(COUNT(I2427,J2427,K2427,L2427,M2427)=0,NA(),MIN(I2427,J2427,K2427,L2427,M2427))))</f>
        <v/>
      </c>
      <c r="O2427" s="54">
        <f>IF($B2427=0,NA(),IF(Inputs!$B$24&lt;&gt;"Yes",NA(),Inputs!$D$24*Inputs!$C$35))</f>
        <v/>
      </c>
      <c r="P2427" s="54">
        <f>IF($B2427=0,NA(),IF(Inputs!$B$25&lt;&gt;"Yes",NA(),Inputs!$D$25*Inputs!$C$35))</f>
        <v/>
      </c>
      <c r="Q2427" s="54">
        <f>IF($B2427=0,NA(),IF(Inputs!$B$26&lt;&gt;"Yes",NA(),Inputs!$D$26*Inputs!$C$35))</f>
        <v/>
      </c>
      <c r="R2427" s="54">
        <f>IF($B2427=0,NA(),IF(Inputs!$B$27&lt;&gt;"Yes",NA(),Inputs!$D$27*Inputs!$C$35))</f>
        <v/>
      </c>
      <c r="S2427" s="54">
        <f>IF($B2427=0,NA(),IF(Inputs!$B$28&lt;&gt;"Yes",NA(),Inputs!$D$28*Inputs!$C$35))</f>
        <v/>
      </c>
      <c r="T2427" s="54">
        <f>IF($B2427=0,NA(),IF(Inputs!$B$29&lt;&gt;"Yes",NA(),Inputs!$D$29*Inputs!$C$35))</f>
        <v/>
      </c>
      <c r="AD2427">
        <f>IF($B2427=0,0,IF(Inputs!$B$6="",0,COUNTIFS(Data!$A$10:$A$3209,"&gt;="&amp;$A2427,Data!$A$10:$A$3209,"&lt;"&amp;$A2427+1)))</f>
        <v/>
      </c>
      <c r="AE2427">
        <f>IF($B2427=0,0,IF(Inputs!$B$7="",0,COUNTIFS(Data!$E$10:$E$3209,"&gt;="&amp;$A2427,Data!$E$10:$E$3209,"&lt;"&amp;$A2427+1)))</f>
        <v/>
      </c>
      <c r="AF2427">
        <f>IF($B2427=0,0,IF(Inputs!$B$8="",0,COUNTIFS(Data!$I$10:$I$3209,"&gt;="&amp;$A2427,Data!$I$10:$I$3209,"&lt;"&amp;$A2427+1)))</f>
        <v/>
      </c>
      <c r="AG2427">
        <f>IF($B2427=0,0,IF(Inputs!$B$9="",0,COUNTIFS(Data!$M$10:$M$3209,"&gt;="&amp;$A2427,Data!$M$10:$M$3209,"&lt;"&amp;$A2427+1)))</f>
        <v/>
      </c>
      <c r="AH2427">
        <f>IF($B2427=0,0,IF(Inputs!$B$10="",0,COUNTIFS(Data!$Q$10:$Q$3209,"&gt;="&amp;$A2427,Data!$Q$10:$Q$3209,"&lt;"&amp;$A2427+1)))</f>
        <v/>
      </c>
    </row>
    <row r="2428">
      <c r="A2428" s="55">
        <f>MIN(Inputs!$C$15,$A2427+IF(WEEKDAY($A2427,2)=5,3,1))</f>
        <v/>
      </c>
      <c r="B2428">
        <f>IF($A2428&gt;$A2427,1,0)</f>
        <v/>
      </c>
      <c r="C2428" s="56">
        <f>IF($B2428=0,"",IF(Inputs!$B$6="","",IF($AD2428=0,C2427,SUMIFS(Data!$B$10:$B$3209,Data!$A$10:$A$3209,"&gt;="&amp;$A2428,Data!$A$10:$A$3209,"&lt;"&amp;$A2428+1)/$AD2428)))</f>
        <v/>
      </c>
      <c r="D2428" s="56">
        <f>IF($B2428=0,"",IF(Inputs!$B$7="","",IF($AE2428=0,D2427,SUMIFS(Data!$F$10:$F$3209,Data!$E$10:$E$3209,"&gt;="&amp;$A2428,Data!$E$10:$E$3209,"&lt;"&amp;$A2428+1)/$AE2428)))</f>
        <v/>
      </c>
      <c r="E2428" s="56">
        <f>IF($B2428=0,"",IF(Inputs!$B$8="","",IF($AF2428=0,E2427,SUMIFS(Data!$J$10:$J$3209,Data!$I$10:$I$3209,"&gt;="&amp;$A2428,Data!$I$10:$I$3209,"&lt;"&amp;$A2428+1)/$AF2428)))</f>
        <v/>
      </c>
      <c r="F2428" s="56">
        <f>IF($B2428=0,"",IF(Inputs!$B$9="","",IF($AG2428=0,F2427,SUMIFS(Data!$N$10:$N$3209,Data!$M$10:$M$3209,"&gt;="&amp;$A2428,Data!$M$10:$M$3209,"&lt;"&amp;$A2428+1)/$AG2428)))</f>
        <v/>
      </c>
      <c r="G2428" s="56">
        <f>IF($B2428=0,"",IF(Inputs!$B$10="","",IF($AH2428=0,G2427,SUMIFS(Data!$R$10:$R$3209,Data!$Q$10:$Q$3209,"&gt;="&amp;$A2428,Data!$Q$10:$Q$3209,"&lt;"&amp;$A2428+1)/$AH2428)))</f>
        <v/>
      </c>
      <c r="I2428" s="54">
        <f>IF($B2428=0,NA(),IF($C2428="",NA(),IF(C$8="",NA(),IF(N(C$8)=0,NA(),IF(Inputs!$C$17="Rebased to 100",$C2428/C$8*100,$C2428)))))</f>
        <v/>
      </c>
      <c r="J2428" s="54">
        <f>IF($B2428=0,NA(),IF($D2428="",NA(),IF(D$8="",NA(),IF(N(D$8)=0,NA(),IF(Inputs!$C$17="Rebased to 100",$D2428/D$8*100,$D2428)))))</f>
        <v/>
      </c>
      <c r="K2428" s="54">
        <f>IF($B2428=0,NA(),IF($E2428="",NA(),IF(E$8="",NA(),IF(N(E$8)=0,NA(),IF(Inputs!$C$17="Rebased to 100",$E2428/E$8*100,$E2428)))))</f>
        <v/>
      </c>
      <c r="L2428" s="54">
        <f>IF($B2428=0,NA(),IF($F2428="",NA(),IF(F$8="",NA(),IF(N(F$8)=0,NA(),IF(Inputs!$C$17="Rebased to 100",$F2428/F$8*100,$F2428)))))</f>
        <v/>
      </c>
      <c r="M2428" s="54">
        <f>IF($B2428=0,NA(),IF($G2428="",NA(),IF(G$8="",NA(),IF(N(G$8)=0,NA(),IF(Inputs!$C$17="Rebased to 100",$G2428/G$8*100,$G2428)))))</f>
        <v/>
      </c>
      <c r="N2428" s="54">
        <f>IF($B2428=0,NA(),IF(Inputs!$C$18&lt;&gt;"Yes",NA(),IF(COUNT(I2428,J2428,K2428,L2428,M2428)=0,NA(),MIN(I2428,J2428,K2428,L2428,M2428))))</f>
        <v/>
      </c>
      <c r="O2428" s="54">
        <f>IF($B2428=0,NA(),IF(Inputs!$B$24&lt;&gt;"Yes",NA(),Inputs!$D$24*Inputs!$C$35))</f>
        <v/>
      </c>
      <c r="P2428" s="54">
        <f>IF($B2428=0,NA(),IF(Inputs!$B$25&lt;&gt;"Yes",NA(),Inputs!$D$25*Inputs!$C$35))</f>
        <v/>
      </c>
      <c r="Q2428" s="54">
        <f>IF($B2428=0,NA(),IF(Inputs!$B$26&lt;&gt;"Yes",NA(),Inputs!$D$26*Inputs!$C$35))</f>
        <v/>
      </c>
      <c r="R2428" s="54">
        <f>IF($B2428=0,NA(),IF(Inputs!$B$27&lt;&gt;"Yes",NA(),Inputs!$D$27*Inputs!$C$35))</f>
        <v/>
      </c>
      <c r="S2428" s="54">
        <f>IF($B2428=0,NA(),IF(Inputs!$B$28&lt;&gt;"Yes",NA(),Inputs!$D$28*Inputs!$C$35))</f>
        <v/>
      </c>
      <c r="T2428" s="54">
        <f>IF($B2428=0,NA(),IF(Inputs!$B$29&lt;&gt;"Yes",NA(),Inputs!$D$29*Inputs!$C$35))</f>
        <v/>
      </c>
      <c r="AD2428">
        <f>IF($B2428=0,0,IF(Inputs!$B$6="",0,COUNTIFS(Data!$A$10:$A$3209,"&gt;="&amp;$A2428,Data!$A$10:$A$3209,"&lt;"&amp;$A2428+1)))</f>
        <v/>
      </c>
      <c r="AE2428">
        <f>IF($B2428=0,0,IF(Inputs!$B$7="",0,COUNTIFS(Data!$E$10:$E$3209,"&gt;="&amp;$A2428,Data!$E$10:$E$3209,"&lt;"&amp;$A2428+1)))</f>
        <v/>
      </c>
      <c r="AF2428">
        <f>IF($B2428=0,0,IF(Inputs!$B$8="",0,COUNTIFS(Data!$I$10:$I$3209,"&gt;="&amp;$A2428,Data!$I$10:$I$3209,"&lt;"&amp;$A2428+1)))</f>
        <v/>
      </c>
      <c r="AG2428">
        <f>IF($B2428=0,0,IF(Inputs!$B$9="",0,COUNTIFS(Data!$M$10:$M$3209,"&gt;="&amp;$A2428,Data!$M$10:$M$3209,"&lt;"&amp;$A2428+1)))</f>
        <v/>
      </c>
      <c r="AH2428">
        <f>IF($B2428=0,0,IF(Inputs!$B$10="",0,COUNTIFS(Data!$Q$10:$Q$3209,"&gt;="&amp;$A2428,Data!$Q$10:$Q$3209,"&lt;"&amp;$A2428+1)))</f>
        <v/>
      </c>
    </row>
    <row r="2429">
      <c r="A2429" s="55">
        <f>MIN(Inputs!$C$15,$A2428+IF(WEEKDAY($A2428,2)=5,3,1))</f>
        <v/>
      </c>
      <c r="B2429">
        <f>IF($A2429&gt;$A2428,1,0)</f>
        <v/>
      </c>
      <c r="C2429" s="56">
        <f>IF($B2429=0,"",IF(Inputs!$B$6="","",IF($AD2429=0,C2428,SUMIFS(Data!$B$10:$B$3209,Data!$A$10:$A$3209,"&gt;="&amp;$A2429,Data!$A$10:$A$3209,"&lt;"&amp;$A2429+1)/$AD2429)))</f>
        <v/>
      </c>
      <c r="D2429" s="56">
        <f>IF($B2429=0,"",IF(Inputs!$B$7="","",IF($AE2429=0,D2428,SUMIFS(Data!$F$10:$F$3209,Data!$E$10:$E$3209,"&gt;="&amp;$A2429,Data!$E$10:$E$3209,"&lt;"&amp;$A2429+1)/$AE2429)))</f>
        <v/>
      </c>
      <c r="E2429" s="56">
        <f>IF($B2429=0,"",IF(Inputs!$B$8="","",IF($AF2429=0,E2428,SUMIFS(Data!$J$10:$J$3209,Data!$I$10:$I$3209,"&gt;="&amp;$A2429,Data!$I$10:$I$3209,"&lt;"&amp;$A2429+1)/$AF2429)))</f>
        <v/>
      </c>
      <c r="F2429" s="56">
        <f>IF($B2429=0,"",IF(Inputs!$B$9="","",IF($AG2429=0,F2428,SUMIFS(Data!$N$10:$N$3209,Data!$M$10:$M$3209,"&gt;="&amp;$A2429,Data!$M$10:$M$3209,"&lt;"&amp;$A2429+1)/$AG2429)))</f>
        <v/>
      </c>
      <c r="G2429" s="56">
        <f>IF($B2429=0,"",IF(Inputs!$B$10="","",IF($AH2429=0,G2428,SUMIFS(Data!$R$10:$R$3209,Data!$Q$10:$Q$3209,"&gt;="&amp;$A2429,Data!$Q$10:$Q$3209,"&lt;"&amp;$A2429+1)/$AH2429)))</f>
        <v/>
      </c>
      <c r="I2429" s="54">
        <f>IF($B2429=0,NA(),IF($C2429="",NA(),IF(C$8="",NA(),IF(N(C$8)=0,NA(),IF(Inputs!$C$17="Rebased to 100",$C2429/C$8*100,$C2429)))))</f>
        <v/>
      </c>
      <c r="J2429" s="54">
        <f>IF($B2429=0,NA(),IF($D2429="",NA(),IF(D$8="",NA(),IF(N(D$8)=0,NA(),IF(Inputs!$C$17="Rebased to 100",$D2429/D$8*100,$D2429)))))</f>
        <v/>
      </c>
      <c r="K2429" s="54">
        <f>IF($B2429=0,NA(),IF($E2429="",NA(),IF(E$8="",NA(),IF(N(E$8)=0,NA(),IF(Inputs!$C$17="Rebased to 100",$E2429/E$8*100,$E2429)))))</f>
        <v/>
      </c>
      <c r="L2429" s="54">
        <f>IF($B2429=0,NA(),IF($F2429="",NA(),IF(F$8="",NA(),IF(N(F$8)=0,NA(),IF(Inputs!$C$17="Rebased to 100",$F2429/F$8*100,$F2429)))))</f>
        <v/>
      </c>
      <c r="M2429" s="54">
        <f>IF($B2429=0,NA(),IF($G2429="",NA(),IF(G$8="",NA(),IF(N(G$8)=0,NA(),IF(Inputs!$C$17="Rebased to 100",$G2429/G$8*100,$G2429)))))</f>
        <v/>
      </c>
      <c r="N2429" s="54">
        <f>IF($B2429=0,NA(),IF(Inputs!$C$18&lt;&gt;"Yes",NA(),IF(COUNT(I2429,J2429,K2429,L2429,M2429)=0,NA(),MIN(I2429,J2429,K2429,L2429,M2429))))</f>
        <v/>
      </c>
      <c r="O2429" s="54">
        <f>IF($B2429=0,NA(),IF(Inputs!$B$24&lt;&gt;"Yes",NA(),Inputs!$D$24*Inputs!$C$35))</f>
        <v/>
      </c>
      <c r="P2429" s="54">
        <f>IF($B2429=0,NA(),IF(Inputs!$B$25&lt;&gt;"Yes",NA(),Inputs!$D$25*Inputs!$C$35))</f>
        <v/>
      </c>
      <c r="Q2429" s="54">
        <f>IF($B2429=0,NA(),IF(Inputs!$B$26&lt;&gt;"Yes",NA(),Inputs!$D$26*Inputs!$C$35))</f>
        <v/>
      </c>
      <c r="R2429" s="54">
        <f>IF($B2429=0,NA(),IF(Inputs!$B$27&lt;&gt;"Yes",NA(),Inputs!$D$27*Inputs!$C$35))</f>
        <v/>
      </c>
      <c r="S2429" s="54">
        <f>IF($B2429=0,NA(),IF(Inputs!$B$28&lt;&gt;"Yes",NA(),Inputs!$D$28*Inputs!$C$35))</f>
        <v/>
      </c>
      <c r="T2429" s="54">
        <f>IF($B2429=0,NA(),IF(Inputs!$B$29&lt;&gt;"Yes",NA(),Inputs!$D$29*Inputs!$C$35))</f>
        <v/>
      </c>
      <c r="AD2429">
        <f>IF($B2429=0,0,IF(Inputs!$B$6="",0,COUNTIFS(Data!$A$10:$A$3209,"&gt;="&amp;$A2429,Data!$A$10:$A$3209,"&lt;"&amp;$A2429+1)))</f>
        <v/>
      </c>
      <c r="AE2429">
        <f>IF($B2429=0,0,IF(Inputs!$B$7="",0,COUNTIFS(Data!$E$10:$E$3209,"&gt;="&amp;$A2429,Data!$E$10:$E$3209,"&lt;"&amp;$A2429+1)))</f>
        <v/>
      </c>
      <c r="AF2429">
        <f>IF($B2429=0,0,IF(Inputs!$B$8="",0,COUNTIFS(Data!$I$10:$I$3209,"&gt;="&amp;$A2429,Data!$I$10:$I$3209,"&lt;"&amp;$A2429+1)))</f>
        <v/>
      </c>
      <c r="AG2429">
        <f>IF($B2429=0,0,IF(Inputs!$B$9="",0,COUNTIFS(Data!$M$10:$M$3209,"&gt;="&amp;$A2429,Data!$M$10:$M$3209,"&lt;"&amp;$A2429+1)))</f>
        <v/>
      </c>
      <c r="AH2429">
        <f>IF($B2429=0,0,IF(Inputs!$B$10="",0,COUNTIFS(Data!$Q$10:$Q$3209,"&gt;="&amp;$A2429,Data!$Q$10:$Q$3209,"&lt;"&amp;$A2429+1)))</f>
        <v/>
      </c>
    </row>
    <row r="2430">
      <c r="A2430" s="55">
        <f>MIN(Inputs!$C$15,$A2429+IF(WEEKDAY($A2429,2)=5,3,1))</f>
        <v/>
      </c>
      <c r="B2430">
        <f>IF($A2430&gt;$A2429,1,0)</f>
        <v/>
      </c>
      <c r="C2430" s="56">
        <f>IF($B2430=0,"",IF(Inputs!$B$6="","",IF($AD2430=0,C2429,SUMIFS(Data!$B$10:$B$3209,Data!$A$10:$A$3209,"&gt;="&amp;$A2430,Data!$A$10:$A$3209,"&lt;"&amp;$A2430+1)/$AD2430)))</f>
        <v/>
      </c>
      <c r="D2430" s="56">
        <f>IF($B2430=0,"",IF(Inputs!$B$7="","",IF($AE2430=0,D2429,SUMIFS(Data!$F$10:$F$3209,Data!$E$10:$E$3209,"&gt;="&amp;$A2430,Data!$E$10:$E$3209,"&lt;"&amp;$A2430+1)/$AE2430)))</f>
        <v/>
      </c>
      <c r="E2430" s="56">
        <f>IF($B2430=0,"",IF(Inputs!$B$8="","",IF($AF2430=0,E2429,SUMIFS(Data!$J$10:$J$3209,Data!$I$10:$I$3209,"&gt;="&amp;$A2430,Data!$I$10:$I$3209,"&lt;"&amp;$A2430+1)/$AF2430)))</f>
        <v/>
      </c>
      <c r="F2430" s="56">
        <f>IF($B2430=0,"",IF(Inputs!$B$9="","",IF($AG2430=0,F2429,SUMIFS(Data!$N$10:$N$3209,Data!$M$10:$M$3209,"&gt;="&amp;$A2430,Data!$M$10:$M$3209,"&lt;"&amp;$A2430+1)/$AG2430)))</f>
        <v/>
      </c>
      <c r="G2430" s="56">
        <f>IF($B2430=0,"",IF(Inputs!$B$10="","",IF($AH2430=0,G2429,SUMIFS(Data!$R$10:$R$3209,Data!$Q$10:$Q$3209,"&gt;="&amp;$A2430,Data!$Q$10:$Q$3209,"&lt;"&amp;$A2430+1)/$AH2430)))</f>
        <v/>
      </c>
      <c r="I2430" s="54">
        <f>IF($B2430=0,NA(),IF($C2430="",NA(),IF(C$8="",NA(),IF(N(C$8)=0,NA(),IF(Inputs!$C$17="Rebased to 100",$C2430/C$8*100,$C2430)))))</f>
        <v/>
      </c>
      <c r="J2430" s="54">
        <f>IF($B2430=0,NA(),IF($D2430="",NA(),IF(D$8="",NA(),IF(N(D$8)=0,NA(),IF(Inputs!$C$17="Rebased to 100",$D2430/D$8*100,$D2430)))))</f>
        <v/>
      </c>
      <c r="K2430" s="54">
        <f>IF($B2430=0,NA(),IF($E2430="",NA(),IF(E$8="",NA(),IF(N(E$8)=0,NA(),IF(Inputs!$C$17="Rebased to 100",$E2430/E$8*100,$E2430)))))</f>
        <v/>
      </c>
      <c r="L2430" s="54">
        <f>IF($B2430=0,NA(),IF($F2430="",NA(),IF(F$8="",NA(),IF(N(F$8)=0,NA(),IF(Inputs!$C$17="Rebased to 100",$F2430/F$8*100,$F2430)))))</f>
        <v/>
      </c>
      <c r="M2430" s="54">
        <f>IF($B2430=0,NA(),IF($G2430="",NA(),IF(G$8="",NA(),IF(N(G$8)=0,NA(),IF(Inputs!$C$17="Rebased to 100",$G2430/G$8*100,$G2430)))))</f>
        <v/>
      </c>
      <c r="N2430" s="54">
        <f>IF($B2430=0,NA(),IF(Inputs!$C$18&lt;&gt;"Yes",NA(),IF(COUNT(I2430,J2430,K2430,L2430,M2430)=0,NA(),MIN(I2430,J2430,K2430,L2430,M2430))))</f>
        <v/>
      </c>
      <c r="O2430" s="54">
        <f>IF($B2430=0,NA(),IF(Inputs!$B$24&lt;&gt;"Yes",NA(),Inputs!$D$24*Inputs!$C$35))</f>
        <v/>
      </c>
      <c r="P2430" s="54">
        <f>IF($B2430=0,NA(),IF(Inputs!$B$25&lt;&gt;"Yes",NA(),Inputs!$D$25*Inputs!$C$35))</f>
        <v/>
      </c>
      <c r="Q2430" s="54">
        <f>IF($B2430=0,NA(),IF(Inputs!$B$26&lt;&gt;"Yes",NA(),Inputs!$D$26*Inputs!$C$35))</f>
        <v/>
      </c>
      <c r="R2430" s="54">
        <f>IF($B2430=0,NA(),IF(Inputs!$B$27&lt;&gt;"Yes",NA(),Inputs!$D$27*Inputs!$C$35))</f>
        <v/>
      </c>
      <c r="S2430" s="54">
        <f>IF($B2430=0,NA(),IF(Inputs!$B$28&lt;&gt;"Yes",NA(),Inputs!$D$28*Inputs!$C$35))</f>
        <v/>
      </c>
      <c r="T2430" s="54">
        <f>IF($B2430=0,NA(),IF(Inputs!$B$29&lt;&gt;"Yes",NA(),Inputs!$D$29*Inputs!$C$35))</f>
        <v/>
      </c>
      <c r="AD2430">
        <f>IF($B2430=0,0,IF(Inputs!$B$6="",0,COUNTIFS(Data!$A$10:$A$3209,"&gt;="&amp;$A2430,Data!$A$10:$A$3209,"&lt;"&amp;$A2430+1)))</f>
        <v/>
      </c>
      <c r="AE2430">
        <f>IF($B2430=0,0,IF(Inputs!$B$7="",0,COUNTIFS(Data!$E$10:$E$3209,"&gt;="&amp;$A2430,Data!$E$10:$E$3209,"&lt;"&amp;$A2430+1)))</f>
        <v/>
      </c>
      <c r="AF2430">
        <f>IF($B2430=0,0,IF(Inputs!$B$8="",0,COUNTIFS(Data!$I$10:$I$3209,"&gt;="&amp;$A2430,Data!$I$10:$I$3209,"&lt;"&amp;$A2430+1)))</f>
        <v/>
      </c>
      <c r="AG2430">
        <f>IF($B2430=0,0,IF(Inputs!$B$9="",0,COUNTIFS(Data!$M$10:$M$3209,"&gt;="&amp;$A2430,Data!$M$10:$M$3209,"&lt;"&amp;$A2430+1)))</f>
        <v/>
      </c>
      <c r="AH2430">
        <f>IF($B2430=0,0,IF(Inputs!$B$10="",0,COUNTIFS(Data!$Q$10:$Q$3209,"&gt;="&amp;$A2430,Data!$Q$10:$Q$3209,"&lt;"&amp;$A2430+1)))</f>
        <v/>
      </c>
    </row>
    <row r="2431">
      <c r="A2431" s="55">
        <f>MIN(Inputs!$C$15,$A2430+IF(WEEKDAY($A2430,2)=5,3,1))</f>
        <v/>
      </c>
      <c r="B2431">
        <f>IF($A2431&gt;$A2430,1,0)</f>
        <v/>
      </c>
      <c r="C2431" s="56">
        <f>IF($B2431=0,"",IF(Inputs!$B$6="","",IF($AD2431=0,C2430,SUMIFS(Data!$B$10:$B$3209,Data!$A$10:$A$3209,"&gt;="&amp;$A2431,Data!$A$10:$A$3209,"&lt;"&amp;$A2431+1)/$AD2431)))</f>
        <v/>
      </c>
      <c r="D2431" s="56">
        <f>IF($B2431=0,"",IF(Inputs!$B$7="","",IF($AE2431=0,D2430,SUMIFS(Data!$F$10:$F$3209,Data!$E$10:$E$3209,"&gt;="&amp;$A2431,Data!$E$10:$E$3209,"&lt;"&amp;$A2431+1)/$AE2431)))</f>
        <v/>
      </c>
      <c r="E2431" s="56">
        <f>IF($B2431=0,"",IF(Inputs!$B$8="","",IF($AF2431=0,E2430,SUMIFS(Data!$J$10:$J$3209,Data!$I$10:$I$3209,"&gt;="&amp;$A2431,Data!$I$10:$I$3209,"&lt;"&amp;$A2431+1)/$AF2431)))</f>
        <v/>
      </c>
      <c r="F2431" s="56">
        <f>IF($B2431=0,"",IF(Inputs!$B$9="","",IF($AG2431=0,F2430,SUMIFS(Data!$N$10:$N$3209,Data!$M$10:$M$3209,"&gt;="&amp;$A2431,Data!$M$10:$M$3209,"&lt;"&amp;$A2431+1)/$AG2431)))</f>
        <v/>
      </c>
      <c r="G2431" s="56">
        <f>IF($B2431=0,"",IF(Inputs!$B$10="","",IF($AH2431=0,G2430,SUMIFS(Data!$R$10:$R$3209,Data!$Q$10:$Q$3209,"&gt;="&amp;$A2431,Data!$Q$10:$Q$3209,"&lt;"&amp;$A2431+1)/$AH2431)))</f>
        <v/>
      </c>
      <c r="I2431" s="54">
        <f>IF($B2431=0,NA(),IF($C2431="",NA(),IF(C$8="",NA(),IF(N(C$8)=0,NA(),IF(Inputs!$C$17="Rebased to 100",$C2431/C$8*100,$C2431)))))</f>
        <v/>
      </c>
      <c r="J2431" s="54">
        <f>IF($B2431=0,NA(),IF($D2431="",NA(),IF(D$8="",NA(),IF(N(D$8)=0,NA(),IF(Inputs!$C$17="Rebased to 100",$D2431/D$8*100,$D2431)))))</f>
        <v/>
      </c>
      <c r="K2431" s="54">
        <f>IF($B2431=0,NA(),IF($E2431="",NA(),IF(E$8="",NA(),IF(N(E$8)=0,NA(),IF(Inputs!$C$17="Rebased to 100",$E2431/E$8*100,$E2431)))))</f>
        <v/>
      </c>
      <c r="L2431" s="54">
        <f>IF($B2431=0,NA(),IF($F2431="",NA(),IF(F$8="",NA(),IF(N(F$8)=0,NA(),IF(Inputs!$C$17="Rebased to 100",$F2431/F$8*100,$F2431)))))</f>
        <v/>
      </c>
      <c r="M2431" s="54">
        <f>IF($B2431=0,NA(),IF($G2431="",NA(),IF(G$8="",NA(),IF(N(G$8)=0,NA(),IF(Inputs!$C$17="Rebased to 100",$G2431/G$8*100,$G2431)))))</f>
        <v/>
      </c>
      <c r="N2431" s="54">
        <f>IF($B2431=0,NA(),IF(Inputs!$C$18&lt;&gt;"Yes",NA(),IF(COUNT(I2431,J2431,K2431,L2431,M2431)=0,NA(),MIN(I2431,J2431,K2431,L2431,M2431))))</f>
        <v/>
      </c>
      <c r="O2431" s="54">
        <f>IF($B2431=0,NA(),IF(Inputs!$B$24&lt;&gt;"Yes",NA(),Inputs!$D$24*Inputs!$C$35))</f>
        <v/>
      </c>
      <c r="P2431" s="54">
        <f>IF($B2431=0,NA(),IF(Inputs!$B$25&lt;&gt;"Yes",NA(),Inputs!$D$25*Inputs!$C$35))</f>
        <v/>
      </c>
      <c r="Q2431" s="54">
        <f>IF($B2431=0,NA(),IF(Inputs!$B$26&lt;&gt;"Yes",NA(),Inputs!$D$26*Inputs!$C$35))</f>
        <v/>
      </c>
      <c r="R2431" s="54">
        <f>IF($B2431=0,NA(),IF(Inputs!$B$27&lt;&gt;"Yes",NA(),Inputs!$D$27*Inputs!$C$35))</f>
        <v/>
      </c>
      <c r="S2431" s="54">
        <f>IF($B2431=0,NA(),IF(Inputs!$B$28&lt;&gt;"Yes",NA(),Inputs!$D$28*Inputs!$C$35))</f>
        <v/>
      </c>
      <c r="T2431" s="54">
        <f>IF($B2431=0,NA(),IF(Inputs!$B$29&lt;&gt;"Yes",NA(),Inputs!$D$29*Inputs!$C$35))</f>
        <v/>
      </c>
      <c r="AD2431">
        <f>IF($B2431=0,0,IF(Inputs!$B$6="",0,COUNTIFS(Data!$A$10:$A$3209,"&gt;="&amp;$A2431,Data!$A$10:$A$3209,"&lt;"&amp;$A2431+1)))</f>
        <v/>
      </c>
      <c r="AE2431">
        <f>IF($B2431=0,0,IF(Inputs!$B$7="",0,COUNTIFS(Data!$E$10:$E$3209,"&gt;="&amp;$A2431,Data!$E$10:$E$3209,"&lt;"&amp;$A2431+1)))</f>
        <v/>
      </c>
      <c r="AF2431">
        <f>IF($B2431=0,0,IF(Inputs!$B$8="",0,COUNTIFS(Data!$I$10:$I$3209,"&gt;="&amp;$A2431,Data!$I$10:$I$3209,"&lt;"&amp;$A2431+1)))</f>
        <v/>
      </c>
      <c r="AG2431">
        <f>IF($B2431=0,0,IF(Inputs!$B$9="",0,COUNTIFS(Data!$M$10:$M$3209,"&gt;="&amp;$A2431,Data!$M$10:$M$3209,"&lt;"&amp;$A2431+1)))</f>
        <v/>
      </c>
      <c r="AH2431">
        <f>IF($B2431=0,0,IF(Inputs!$B$10="",0,COUNTIFS(Data!$Q$10:$Q$3209,"&gt;="&amp;$A2431,Data!$Q$10:$Q$3209,"&lt;"&amp;$A2431+1)))</f>
        <v/>
      </c>
    </row>
    <row r="2432">
      <c r="A2432" s="55">
        <f>MIN(Inputs!$C$15,$A2431+IF(WEEKDAY($A2431,2)=5,3,1))</f>
        <v/>
      </c>
      <c r="B2432">
        <f>IF($A2432&gt;$A2431,1,0)</f>
        <v/>
      </c>
      <c r="C2432" s="56">
        <f>IF($B2432=0,"",IF(Inputs!$B$6="","",IF($AD2432=0,C2431,SUMIFS(Data!$B$10:$B$3209,Data!$A$10:$A$3209,"&gt;="&amp;$A2432,Data!$A$10:$A$3209,"&lt;"&amp;$A2432+1)/$AD2432)))</f>
        <v/>
      </c>
      <c r="D2432" s="56">
        <f>IF($B2432=0,"",IF(Inputs!$B$7="","",IF($AE2432=0,D2431,SUMIFS(Data!$F$10:$F$3209,Data!$E$10:$E$3209,"&gt;="&amp;$A2432,Data!$E$10:$E$3209,"&lt;"&amp;$A2432+1)/$AE2432)))</f>
        <v/>
      </c>
      <c r="E2432" s="56">
        <f>IF($B2432=0,"",IF(Inputs!$B$8="","",IF($AF2432=0,E2431,SUMIFS(Data!$J$10:$J$3209,Data!$I$10:$I$3209,"&gt;="&amp;$A2432,Data!$I$10:$I$3209,"&lt;"&amp;$A2432+1)/$AF2432)))</f>
        <v/>
      </c>
      <c r="F2432" s="56">
        <f>IF($B2432=0,"",IF(Inputs!$B$9="","",IF($AG2432=0,F2431,SUMIFS(Data!$N$10:$N$3209,Data!$M$10:$M$3209,"&gt;="&amp;$A2432,Data!$M$10:$M$3209,"&lt;"&amp;$A2432+1)/$AG2432)))</f>
        <v/>
      </c>
      <c r="G2432" s="56">
        <f>IF($B2432=0,"",IF(Inputs!$B$10="","",IF($AH2432=0,G2431,SUMIFS(Data!$R$10:$R$3209,Data!$Q$10:$Q$3209,"&gt;="&amp;$A2432,Data!$Q$10:$Q$3209,"&lt;"&amp;$A2432+1)/$AH2432)))</f>
        <v/>
      </c>
      <c r="I2432" s="54">
        <f>IF($B2432=0,NA(),IF($C2432="",NA(),IF(C$8="",NA(),IF(N(C$8)=0,NA(),IF(Inputs!$C$17="Rebased to 100",$C2432/C$8*100,$C2432)))))</f>
        <v/>
      </c>
      <c r="J2432" s="54">
        <f>IF($B2432=0,NA(),IF($D2432="",NA(),IF(D$8="",NA(),IF(N(D$8)=0,NA(),IF(Inputs!$C$17="Rebased to 100",$D2432/D$8*100,$D2432)))))</f>
        <v/>
      </c>
      <c r="K2432" s="54">
        <f>IF($B2432=0,NA(),IF($E2432="",NA(),IF(E$8="",NA(),IF(N(E$8)=0,NA(),IF(Inputs!$C$17="Rebased to 100",$E2432/E$8*100,$E2432)))))</f>
        <v/>
      </c>
      <c r="L2432" s="54">
        <f>IF($B2432=0,NA(),IF($F2432="",NA(),IF(F$8="",NA(),IF(N(F$8)=0,NA(),IF(Inputs!$C$17="Rebased to 100",$F2432/F$8*100,$F2432)))))</f>
        <v/>
      </c>
      <c r="M2432" s="54">
        <f>IF($B2432=0,NA(),IF($G2432="",NA(),IF(G$8="",NA(),IF(N(G$8)=0,NA(),IF(Inputs!$C$17="Rebased to 100",$G2432/G$8*100,$G2432)))))</f>
        <v/>
      </c>
      <c r="N2432" s="54">
        <f>IF($B2432=0,NA(),IF(Inputs!$C$18&lt;&gt;"Yes",NA(),IF(COUNT(I2432,J2432,K2432,L2432,M2432)=0,NA(),MIN(I2432,J2432,K2432,L2432,M2432))))</f>
        <v/>
      </c>
      <c r="O2432" s="54">
        <f>IF($B2432=0,NA(),IF(Inputs!$B$24&lt;&gt;"Yes",NA(),Inputs!$D$24*Inputs!$C$35))</f>
        <v/>
      </c>
      <c r="P2432" s="54">
        <f>IF($B2432=0,NA(),IF(Inputs!$B$25&lt;&gt;"Yes",NA(),Inputs!$D$25*Inputs!$C$35))</f>
        <v/>
      </c>
      <c r="Q2432" s="54">
        <f>IF($B2432=0,NA(),IF(Inputs!$B$26&lt;&gt;"Yes",NA(),Inputs!$D$26*Inputs!$C$35))</f>
        <v/>
      </c>
      <c r="R2432" s="54">
        <f>IF($B2432=0,NA(),IF(Inputs!$B$27&lt;&gt;"Yes",NA(),Inputs!$D$27*Inputs!$C$35))</f>
        <v/>
      </c>
      <c r="S2432" s="54">
        <f>IF($B2432=0,NA(),IF(Inputs!$B$28&lt;&gt;"Yes",NA(),Inputs!$D$28*Inputs!$C$35))</f>
        <v/>
      </c>
      <c r="T2432" s="54">
        <f>IF($B2432=0,NA(),IF(Inputs!$B$29&lt;&gt;"Yes",NA(),Inputs!$D$29*Inputs!$C$35))</f>
        <v/>
      </c>
      <c r="AD2432">
        <f>IF($B2432=0,0,IF(Inputs!$B$6="",0,COUNTIFS(Data!$A$10:$A$3209,"&gt;="&amp;$A2432,Data!$A$10:$A$3209,"&lt;"&amp;$A2432+1)))</f>
        <v/>
      </c>
      <c r="AE2432">
        <f>IF($B2432=0,0,IF(Inputs!$B$7="",0,COUNTIFS(Data!$E$10:$E$3209,"&gt;="&amp;$A2432,Data!$E$10:$E$3209,"&lt;"&amp;$A2432+1)))</f>
        <v/>
      </c>
      <c r="AF2432">
        <f>IF($B2432=0,0,IF(Inputs!$B$8="",0,COUNTIFS(Data!$I$10:$I$3209,"&gt;="&amp;$A2432,Data!$I$10:$I$3209,"&lt;"&amp;$A2432+1)))</f>
        <v/>
      </c>
      <c r="AG2432">
        <f>IF($B2432=0,0,IF(Inputs!$B$9="",0,COUNTIFS(Data!$M$10:$M$3209,"&gt;="&amp;$A2432,Data!$M$10:$M$3209,"&lt;"&amp;$A2432+1)))</f>
        <v/>
      </c>
      <c r="AH2432">
        <f>IF($B2432=0,0,IF(Inputs!$B$10="",0,COUNTIFS(Data!$Q$10:$Q$3209,"&gt;="&amp;$A2432,Data!$Q$10:$Q$3209,"&lt;"&amp;$A2432+1)))</f>
        <v/>
      </c>
    </row>
    <row r="2433">
      <c r="A2433" s="55">
        <f>MIN(Inputs!$C$15,$A2432+IF(WEEKDAY($A2432,2)=5,3,1))</f>
        <v/>
      </c>
      <c r="B2433">
        <f>IF($A2433&gt;$A2432,1,0)</f>
        <v/>
      </c>
      <c r="C2433" s="56">
        <f>IF($B2433=0,"",IF(Inputs!$B$6="","",IF($AD2433=0,C2432,SUMIFS(Data!$B$10:$B$3209,Data!$A$10:$A$3209,"&gt;="&amp;$A2433,Data!$A$10:$A$3209,"&lt;"&amp;$A2433+1)/$AD2433)))</f>
        <v/>
      </c>
      <c r="D2433" s="56">
        <f>IF($B2433=0,"",IF(Inputs!$B$7="","",IF($AE2433=0,D2432,SUMIFS(Data!$F$10:$F$3209,Data!$E$10:$E$3209,"&gt;="&amp;$A2433,Data!$E$10:$E$3209,"&lt;"&amp;$A2433+1)/$AE2433)))</f>
        <v/>
      </c>
      <c r="E2433" s="56">
        <f>IF($B2433=0,"",IF(Inputs!$B$8="","",IF($AF2433=0,E2432,SUMIFS(Data!$J$10:$J$3209,Data!$I$10:$I$3209,"&gt;="&amp;$A2433,Data!$I$10:$I$3209,"&lt;"&amp;$A2433+1)/$AF2433)))</f>
        <v/>
      </c>
      <c r="F2433" s="56">
        <f>IF($B2433=0,"",IF(Inputs!$B$9="","",IF($AG2433=0,F2432,SUMIFS(Data!$N$10:$N$3209,Data!$M$10:$M$3209,"&gt;="&amp;$A2433,Data!$M$10:$M$3209,"&lt;"&amp;$A2433+1)/$AG2433)))</f>
        <v/>
      </c>
      <c r="G2433" s="56">
        <f>IF($B2433=0,"",IF(Inputs!$B$10="","",IF($AH2433=0,G2432,SUMIFS(Data!$R$10:$R$3209,Data!$Q$10:$Q$3209,"&gt;="&amp;$A2433,Data!$Q$10:$Q$3209,"&lt;"&amp;$A2433+1)/$AH2433)))</f>
        <v/>
      </c>
      <c r="I2433" s="54">
        <f>IF($B2433=0,NA(),IF($C2433="",NA(),IF(C$8="",NA(),IF(N(C$8)=0,NA(),IF(Inputs!$C$17="Rebased to 100",$C2433/C$8*100,$C2433)))))</f>
        <v/>
      </c>
      <c r="J2433" s="54">
        <f>IF($B2433=0,NA(),IF($D2433="",NA(),IF(D$8="",NA(),IF(N(D$8)=0,NA(),IF(Inputs!$C$17="Rebased to 100",$D2433/D$8*100,$D2433)))))</f>
        <v/>
      </c>
      <c r="K2433" s="54">
        <f>IF($B2433=0,NA(),IF($E2433="",NA(),IF(E$8="",NA(),IF(N(E$8)=0,NA(),IF(Inputs!$C$17="Rebased to 100",$E2433/E$8*100,$E2433)))))</f>
        <v/>
      </c>
      <c r="L2433" s="54">
        <f>IF($B2433=0,NA(),IF($F2433="",NA(),IF(F$8="",NA(),IF(N(F$8)=0,NA(),IF(Inputs!$C$17="Rebased to 100",$F2433/F$8*100,$F2433)))))</f>
        <v/>
      </c>
      <c r="M2433" s="54">
        <f>IF($B2433=0,NA(),IF($G2433="",NA(),IF(G$8="",NA(),IF(N(G$8)=0,NA(),IF(Inputs!$C$17="Rebased to 100",$G2433/G$8*100,$G2433)))))</f>
        <v/>
      </c>
      <c r="N2433" s="54">
        <f>IF($B2433=0,NA(),IF(Inputs!$C$18&lt;&gt;"Yes",NA(),IF(COUNT(I2433,J2433,K2433,L2433,M2433)=0,NA(),MIN(I2433,J2433,K2433,L2433,M2433))))</f>
        <v/>
      </c>
      <c r="O2433" s="54">
        <f>IF($B2433=0,NA(),IF(Inputs!$B$24&lt;&gt;"Yes",NA(),Inputs!$D$24*Inputs!$C$35))</f>
        <v/>
      </c>
      <c r="P2433" s="54">
        <f>IF($B2433=0,NA(),IF(Inputs!$B$25&lt;&gt;"Yes",NA(),Inputs!$D$25*Inputs!$C$35))</f>
        <v/>
      </c>
      <c r="Q2433" s="54">
        <f>IF($B2433=0,NA(),IF(Inputs!$B$26&lt;&gt;"Yes",NA(),Inputs!$D$26*Inputs!$C$35))</f>
        <v/>
      </c>
      <c r="R2433" s="54">
        <f>IF($B2433=0,NA(),IF(Inputs!$B$27&lt;&gt;"Yes",NA(),Inputs!$D$27*Inputs!$C$35))</f>
        <v/>
      </c>
      <c r="S2433" s="54">
        <f>IF($B2433=0,NA(),IF(Inputs!$B$28&lt;&gt;"Yes",NA(),Inputs!$D$28*Inputs!$C$35))</f>
        <v/>
      </c>
      <c r="T2433" s="54">
        <f>IF($B2433=0,NA(),IF(Inputs!$B$29&lt;&gt;"Yes",NA(),Inputs!$D$29*Inputs!$C$35))</f>
        <v/>
      </c>
      <c r="AD2433">
        <f>IF($B2433=0,0,IF(Inputs!$B$6="",0,COUNTIFS(Data!$A$10:$A$3209,"&gt;="&amp;$A2433,Data!$A$10:$A$3209,"&lt;"&amp;$A2433+1)))</f>
        <v/>
      </c>
      <c r="AE2433">
        <f>IF($B2433=0,0,IF(Inputs!$B$7="",0,COUNTIFS(Data!$E$10:$E$3209,"&gt;="&amp;$A2433,Data!$E$10:$E$3209,"&lt;"&amp;$A2433+1)))</f>
        <v/>
      </c>
      <c r="AF2433">
        <f>IF($B2433=0,0,IF(Inputs!$B$8="",0,COUNTIFS(Data!$I$10:$I$3209,"&gt;="&amp;$A2433,Data!$I$10:$I$3209,"&lt;"&amp;$A2433+1)))</f>
        <v/>
      </c>
      <c r="AG2433">
        <f>IF($B2433=0,0,IF(Inputs!$B$9="",0,COUNTIFS(Data!$M$10:$M$3209,"&gt;="&amp;$A2433,Data!$M$10:$M$3209,"&lt;"&amp;$A2433+1)))</f>
        <v/>
      </c>
      <c r="AH2433">
        <f>IF($B2433=0,0,IF(Inputs!$B$10="",0,COUNTIFS(Data!$Q$10:$Q$3209,"&gt;="&amp;$A2433,Data!$Q$10:$Q$3209,"&lt;"&amp;$A2433+1)))</f>
        <v/>
      </c>
    </row>
    <row r="2434">
      <c r="A2434" s="55">
        <f>MIN(Inputs!$C$15,$A2433+IF(WEEKDAY($A2433,2)=5,3,1))</f>
        <v/>
      </c>
      <c r="B2434">
        <f>IF($A2434&gt;$A2433,1,0)</f>
        <v/>
      </c>
      <c r="C2434" s="56">
        <f>IF($B2434=0,"",IF(Inputs!$B$6="","",IF($AD2434=0,C2433,SUMIFS(Data!$B$10:$B$3209,Data!$A$10:$A$3209,"&gt;="&amp;$A2434,Data!$A$10:$A$3209,"&lt;"&amp;$A2434+1)/$AD2434)))</f>
        <v/>
      </c>
      <c r="D2434" s="56">
        <f>IF($B2434=0,"",IF(Inputs!$B$7="","",IF($AE2434=0,D2433,SUMIFS(Data!$F$10:$F$3209,Data!$E$10:$E$3209,"&gt;="&amp;$A2434,Data!$E$10:$E$3209,"&lt;"&amp;$A2434+1)/$AE2434)))</f>
        <v/>
      </c>
      <c r="E2434" s="56">
        <f>IF($B2434=0,"",IF(Inputs!$B$8="","",IF($AF2434=0,E2433,SUMIFS(Data!$J$10:$J$3209,Data!$I$10:$I$3209,"&gt;="&amp;$A2434,Data!$I$10:$I$3209,"&lt;"&amp;$A2434+1)/$AF2434)))</f>
        <v/>
      </c>
      <c r="F2434" s="56">
        <f>IF($B2434=0,"",IF(Inputs!$B$9="","",IF($AG2434=0,F2433,SUMIFS(Data!$N$10:$N$3209,Data!$M$10:$M$3209,"&gt;="&amp;$A2434,Data!$M$10:$M$3209,"&lt;"&amp;$A2434+1)/$AG2434)))</f>
        <v/>
      </c>
      <c r="G2434" s="56">
        <f>IF($B2434=0,"",IF(Inputs!$B$10="","",IF($AH2434=0,G2433,SUMIFS(Data!$R$10:$R$3209,Data!$Q$10:$Q$3209,"&gt;="&amp;$A2434,Data!$Q$10:$Q$3209,"&lt;"&amp;$A2434+1)/$AH2434)))</f>
        <v/>
      </c>
      <c r="I2434" s="54">
        <f>IF($B2434=0,NA(),IF($C2434="",NA(),IF(C$8="",NA(),IF(N(C$8)=0,NA(),IF(Inputs!$C$17="Rebased to 100",$C2434/C$8*100,$C2434)))))</f>
        <v/>
      </c>
      <c r="J2434" s="54">
        <f>IF($B2434=0,NA(),IF($D2434="",NA(),IF(D$8="",NA(),IF(N(D$8)=0,NA(),IF(Inputs!$C$17="Rebased to 100",$D2434/D$8*100,$D2434)))))</f>
        <v/>
      </c>
      <c r="K2434" s="54">
        <f>IF($B2434=0,NA(),IF($E2434="",NA(),IF(E$8="",NA(),IF(N(E$8)=0,NA(),IF(Inputs!$C$17="Rebased to 100",$E2434/E$8*100,$E2434)))))</f>
        <v/>
      </c>
      <c r="L2434" s="54">
        <f>IF($B2434=0,NA(),IF($F2434="",NA(),IF(F$8="",NA(),IF(N(F$8)=0,NA(),IF(Inputs!$C$17="Rebased to 100",$F2434/F$8*100,$F2434)))))</f>
        <v/>
      </c>
      <c r="M2434" s="54">
        <f>IF($B2434=0,NA(),IF($G2434="",NA(),IF(G$8="",NA(),IF(N(G$8)=0,NA(),IF(Inputs!$C$17="Rebased to 100",$G2434/G$8*100,$G2434)))))</f>
        <v/>
      </c>
      <c r="N2434" s="54">
        <f>IF($B2434=0,NA(),IF(Inputs!$C$18&lt;&gt;"Yes",NA(),IF(COUNT(I2434,J2434,K2434,L2434,M2434)=0,NA(),MIN(I2434,J2434,K2434,L2434,M2434))))</f>
        <v/>
      </c>
      <c r="O2434" s="54">
        <f>IF($B2434=0,NA(),IF(Inputs!$B$24&lt;&gt;"Yes",NA(),Inputs!$D$24*Inputs!$C$35))</f>
        <v/>
      </c>
      <c r="P2434" s="54">
        <f>IF($B2434=0,NA(),IF(Inputs!$B$25&lt;&gt;"Yes",NA(),Inputs!$D$25*Inputs!$C$35))</f>
        <v/>
      </c>
      <c r="Q2434" s="54">
        <f>IF($B2434=0,NA(),IF(Inputs!$B$26&lt;&gt;"Yes",NA(),Inputs!$D$26*Inputs!$C$35))</f>
        <v/>
      </c>
      <c r="R2434" s="54">
        <f>IF($B2434=0,NA(),IF(Inputs!$B$27&lt;&gt;"Yes",NA(),Inputs!$D$27*Inputs!$C$35))</f>
        <v/>
      </c>
      <c r="S2434" s="54">
        <f>IF($B2434=0,NA(),IF(Inputs!$B$28&lt;&gt;"Yes",NA(),Inputs!$D$28*Inputs!$C$35))</f>
        <v/>
      </c>
      <c r="T2434" s="54">
        <f>IF($B2434=0,NA(),IF(Inputs!$B$29&lt;&gt;"Yes",NA(),Inputs!$D$29*Inputs!$C$35))</f>
        <v/>
      </c>
      <c r="AD2434">
        <f>IF($B2434=0,0,IF(Inputs!$B$6="",0,COUNTIFS(Data!$A$10:$A$3209,"&gt;="&amp;$A2434,Data!$A$10:$A$3209,"&lt;"&amp;$A2434+1)))</f>
        <v/>
      </c>
      <c r="AE2434">
        <f>IF($B2434=0,0,IF(Inputs!$B$7="",0,COUNTIFS(Data!$E$10:$E$3209,"&gt;="&amp;$A2434,Data!$E$10:$E$3209,"&lt;"&amp;$A2434+1)))</f>
        <v/>
      </c>
      <c r="AF2434">
        <f>IF($B2434=0,0,IF(Inputs!$B$8="",0,COUNTIFS(Data!$I$10:$I$3209,"&gt;="&amp;$A2434,Data!$I$10:$I$3209,"&lt;"&amp;$A2434+1)))</f>
        <v/>
      </c>
      <c r="AG2434">
        <f>IF($B2434=0,0,IF(Inputs!$B$9="",0,COUNTIFS(Data!$M$10:$M$3209,"&gt;="&amp;$A2434,Data!$M$10:$M$3209,"&lt;"&amp;$A2434+1)))</f>
        <v/>
      </c>
      <c r="AH2434">
        <f>IF($B2434=0,0,IF(Inputs!$B$10="",0,COUNTIFS(Data!$Q$10:$Q$3209,"&gt;="&amp;$A2434,Data!$Q$10:$Q$3209,"&lt;"&amp;$A2434+1)))</f>
        <v/>
      </c>
    </row>
    <row r="2435">
      <c r="A2435" s="55">
        <f>MIN(Inputs!$C$15,$A2434+IF(WEEKDAY($A2434,2)=5,3,1))</f>
        <v/>
      </c>
      <c r="B2435">
        <f>IF($A2435&gt;$A2434,1,0)</f>
        <v/>
      </c>
      <c r="C2435" s="56">
        <f>IF($B2435=0,"",IF(Inputs!$B$6="","",IF($AD2435=0,C2434,SUMIFS(Data!$B$10:$B$3209,Data!$A$10:$A$3209,"&gt;="&amp;$A2435,Data!$A$10:$A$3209,"&lt;"&amp;$A2435+1)/$AD2435)))</f>
        <v/>
      </c>
      <c r="D2435" s="56">
        <f>IF($B2435=0,"",IF(Inputs!$B$7="","",IF($AE2435=0,D2434,SUMIFS(Data!$F$10:$F$3209,Data!$E$10:$E$3209,"&gt;="&amp;$A2435,Data!$E$10:$E$3209,"&lt;"&amp;$A2435+1)/$AE2435)))</f>
        <v/>
      </c>
      <c r="E2435" s="56">
        <f>IF($B2435=0,"",IF(Inputs!$B$8="","",IF($AF2435=0,E2434,SUMIFS(Data!$J$10:$J$3209,Data!$I$10:$I$3209,"&gt;="&amp;$A2435,Data!$I$10:$I$3209,"&lt;"&amp;$A2435+1)/$AF2435)))</f>
        <v/>
      </c>
      <c r="F2435" s="56">
        <f>IF($B2435=0,"",IF(Inputs!$B$9="","",IF($AG2435=0,F2434,SUMIFS(Data!$N$10:$N$3209,Data!$M$10:$M$3209,"&gt;="&amp;$A2435,Data!$M$10:$M$3209,"&lt;"&amp;$A2435+1)/$AG2435)))</f>
        <v/>
      </c>
      <c r="G2435" s="56">
        <f>IF($B2435=0,"",IF(Inputs!$B$10="","",IF($AH2435=0,G2434,SUMIFS(Data!$R$10:$R$3209,Data!$Q$10:$Q$3209,"&gt;="&amp;$A2435,Data!$Q$10:$Q$3209,"&lt;"&amp;$A2435+1)/$AH2435)))</f>
        <v/>
      </c>
      <c r="I2435" s="54">
        <f>IF($B2435=0,NA(),IF($C2435="",NA(),IF(C$8="",NA(),IF(N(C$8)=0,NA(),IF(Inputs!$C$17="Rebased to 100",$C2435/C$8*100,$C2435)))))</f>
        <v/>
      </c>
      <c r="J2435" s="54">
        <f>IF($B2435=0,NA(),IF($D2435="",NA(),IF(D$8="",NA(),IF(N(D$8)=0,NA(),IF(Inputs!$C$17="Rebased to 100",$D2435/D$8*100,$D2435)))))</f>
        <v/>
      </c>
      <c r="K2435" s="54">
        <f>IF($B2435=0,NA(),IF($E2435="",NA(),IF(E$8="",NA(),IF(N(E$8)=0,NA(),IF(Inputs!$C$17="Rebased to 100",$E2435/E$8*100,$E2435)))))</f>
        <v/>
      </c>
      <c r="L2435" s="54">
        <f>IF($B2435=0,NA(),IF($F2435="",NA(),IF(F$8="",NA(),IF(N(F$8)=0,NA(),IF(Inputs!$C$17="Rebased to 100",$F2435/F$8*100,$F2435)))))</f>
        <v/>
      </c>
      <c r="M2435" s="54">
        <f>IF($B2435=0,NA(),IF($G2435="",NA(),IF(G$8="",NA(),IF(N(G$8)=0,NA(),IF(Inputs!$C$17="Rebased to 100",$G2435/G$8*100,$G2435)))))</f>
        <v/>
      </c>
      <c r="N2435" s="54">
        <f>IF($B2435=0,NA(),IF(Inputs!$C$18&lt;&gt;"Yes",NA(),IF(COUNT(I2435,J2435,K2435,L2435,M2435)=0,NA(),MIN(I2435,J2435,K2435,L2435,M2435))))</f>
        <v/>
      </c>
      <c r="O2435" s="54">
        <f>IF($B2435=0,NA(),IF(Inputs!$B$24&lt;&gt;"Yes",NA(),Inputs!$D$24*Inputs!$C$35))</f>
        <v/>
      </c>
      <c r="P2435" s="54">
        <f>IF($B2435=0,NA(),IF(Inputs!$B$25&lt;&gt;"Yes",NA(),Inputs!$D$25*Inputs!$C$35))</f>
        <v/>
      </c>
      <c r="Q2435" s="54">
        <f>IF($B2435=0,NA(),IF(Inputs!$B$26&lt;&gt;"Yes",NA(),Inputs!$D$26*Inputs!$C$35))</f>
        <v/>
      </c>
      <c r="R2435" s="54">
        <f>IF($B2435=0,NA(),IF(Inputs!$B$27&lt;&gt;"Yes",NA(),Inputs!$D$27*Inputs!$C$35))</f>
        <v/>
      </c>
      <c r="S2435" s="54">
        <f>IF($B2435=0,NA(),IF(Inputs!$B$28&lt;&gt;"Yes",NA(),Inputs!$D$28*Inputs!$C$35))</f>
        <v/>
      </c>
      <c r="T2435" s="54">
        <f>IF($B2435=0,NA(),IF(Inputs!$B$29&lt;&gt;"Yes",NA(),Inputs!$D$29*Inputs!$C$35))</f>
        <v/>
      </c>
      <c r="AD2435">
        <f>IF($B2435=0,0,IF(Inputs!$B$6="",0,COUNTIFS(Data!$A$10:$A$3209,"&gt;="&amp;$A2435,Data!$A$10:$A$3209,"&lt;"&amp;$A2435+1)))</f>
        <v/>
      </c>
      <c r="AE2435">
        <f>IF($B2435=0,0,IF(Inputs!$B$7="",0,COUNTIFS(Data!$E$10:$E$3209,"&gt;="&amp;$A2435,Data!$E$10:$E$3209,"&lt;"&amp;$A2435+1)))</f>
        <v/>
      </c>
      <c r="AF2435">
        <f>IF($B2435=0,0,IF(Inputs!$B$8="",0,COUNTIFS(Data!$I$10:$I$3209,"&gt;="&amp;$A2435,Data!$I$10:$I$3209,"&lt;"&amp;$A2435+1)))</f>
        <v/>
      </c>
      <c r="AG2435">
        <f>IF($B2435=0,0,IF(Inputs!$B$9="",0,COUNTIFS(Data!$M$10:$M$3209,"&gt;="&amp;$A2435,Data!$M$10:$M$3209,"&lt;"&amp;$A2435+1)))</f>
        <v/>
      </c>
      <c r="AH2435">
        <f>IF($B2435=0,0,IF(Inputs!$B$10="",0,COUNTIFS(Data!$Q$10:$Q$3209,"&gt;="&amp;$A2435,Data!$Q$10:$Q$3209,"&lt;"&amp;$A2435+1)))</f>
        <v/>
      </c>
    </row>
    <row r="2436">
      <c r="A2436" s="55">
        <f>MIN(Inputs!$C$15,$A2435+IF(WEEKDAY($A2435,2)=5,3,1))</f>
        <v/>
      </c>
      <c r="B2436">
        <f>IF($A2436&gt;$A2435,1,0)</f>
        <v/>
      </c>
      <c r="C2436" s="56">
        <f>IF($B2436=0,"",IF(Inputs!$B$6="","",IF($AD2436=0,C2435,SUMIFS(Data!$B$10:$B$3209,Data!$A$10:$A$3209,"&gt;="&amp;$A2436,Data!$A$10:$A$3209,"&lt;"&amp;$A2436+1)/$AD2436)))</f>
        <v/>
      </c>
      <c r="D2436" s="56">
        <f>IF($B2436=0,"",IF(Inputs!$B$7="","",IF($AE2436=0,D2435,SUMIFS(Data!$F$10:$F$3209,Data!$E$10:$E$3209,"&gt;="&amp;$A2436,Data!$E$10:$E$3209,"&lt;"&amp;$A2436+1)/$AE2436)))</f>
        <v/>
      </c>
      <c r="E2436" s="56">
        <f>IF($B2436=0,"",IF(Inputs!$B$8="","",IF($AF2436=0,E2435,SUMIFS(Data!$J$10:$J$3209,Data!$I$10:$I$3209,"&gt;="&amp;$A2436,Data!$I$10:$I$3209,"&lt;"&amp;$A2436+1)/$AF2436)))</f>
        <v/>
      </c>
      <c r="F2436" s="56">
        <f>IF($B2436=0,"",IF(Inputs!$B$9="","",IF($AG2436=0,F2435,SUMIFS(Data!$N$10:$N$3209,Data!$M$10:$M$3209,"&gt;="&amp;$A2436,Data!$M$10:$M$3209,"&lt;"&amp;$A2436+1)/$AG2436)))</f>
        <v/>
      </c>
      <c r="G2436" s="56">
        <f>IF($B2436=0,"",IF(Inputs!$B$10="","",IF($AH2436=0,G2435,SUMIFS(Data!$R$10:$R$3209,Data!$Q$10:$Q$3209,"&gt;="&amp;$A2436,Data!$Q$10:$Q$3209,"&lt;"&amp;$A2436+1)/$AH2436)))</f>
        <v/>
      </c>
      <c r="I2436" s="54">
        <f>IF($B2436=0,NA(),IF($C2436="",NA(),IF(C$8="",NA(),IF(N(C$8)=0,NA(),IF(Inputs!$C$17="Rebased to 100",$C2436/C$8*100,$C2436)))))</f>
        <v/>
      </c>
      <c r="J2436" s="54">
        <f>IF($B2436=0,NA(),IF($D2436="",NA(),IF(D$8="",NA(),IF(N(D$8)=0,NA(),IF(Inputs!$C$17="Rebased to 100",$D2436/D$8*100,$D2436)))))</f>
        <v/>
      </c>
      <c r="K2436" s="54">
        <f>IF($B2436=0,NA(),IF($E2436="",NA(),IF(E$8="",NA(),IF(N(E$8)=0,NA(),IF(Inputs!$C$17="Rebased to 100",$E2436/E$8*100,$E2436)))))</f>
        <v/>
      </c>
      <c r="L2436" s="54">
        <f>IF($B2436=0,NA(),IF($F2436="",NA(),IF(F$8="",NA(),IF(N(F$8)=0,NA(),IF(Inputs!$C$17="Rebased to 100",$F2436/F$8*100,$F2436)))))</f>
        <v/>
      </c>
      <c r="M2436" s="54">
        <f>IF($B2436=0,NA(),IF($G2436="",NA(),IF(G$8="",NA(),IF(N(G$8)=0,NA(),IF(Inputs!$C$17="Rebased to 100",$G2436/G$8*100,$G2436)))))</f>
        <v/>
      </c>
      <c r="N2436" s="54">
        <f>IF($B2436=0,NA(),IF(Inputs!$C$18&lt;&gt;"Yes",NA(),IF(COUNT(I2436,J2436,K2436,L2436,M2436)=0,NA(),MIN(I2436,J2436,K2436,L2436,M2436))))</f>
        <v/>
      </c>
      <c r="O2436" s="54">
        <f>IF($B2436=0,NA(),IF(Inputs!$B$24&lt;&gt;"Yes",NA(),Inputs!$D$24*Inputs!$C$35))</f>
        <v/>
      </c>
      <c r="P2436" s="54">
        <f>IF($B2436=0,NA(),IF(Inputs!$B$25&lt;&gt;"Yes",NA(),Inputs!$D$25*Inputs!$C$35))</f>
        <v/>
      </c>
      <c r="Q2436" s="54">
        <f>IF($B2436=0,NA(),IF(Inputs!$B$26&lt;&gt;"Yes",NA(),Inputs!$D$26*Inputs!$C$35))</f>
        <v/>
      </c>
      <c r="R2436" s="54">
        <f>IF($B2436=0,NA(),IF(Inputs!$B$27&lt;&gt;"Yes",NA(),Inputs!$D$27*Inputs!$C$35))</f>
        <v/>
      </c>
      <c r="S2436" s="54">
        <f>IF($B2436=0,NA(),IF(Inputs!$B$28&lt;&gt;"Yes",NA(),Inputs!$D$28*Inputs!$C$35))</f>
        <v/>
      </c>
      <c r="T2436" s="54">
        <f>IF($B2436=0,NA(),IF(Inputs!$B$29&lt;&gt;"Yes",NA(),Inputs!$D$29*Inputs!$C$35))</f>
        <v/>
      </c>
      <c r="AD2436">
        <f>IF($B2436=0,0,IF(Inputs!$B$6="",0,COUNTIFS(Data!$A$10:$A$3209,"&gt;="&amp;$A2436,Data!$A$10:$A$3209,"&lt;"&amp;$A2436+1)))</f>
        <v/>
      </c>
      <c r="AE2436">
        <f>IF($B2436=0,0,IF(Inputs!$B$7="",0,COUNTIFS(Data!$E$10:$E$3209,"&gt;="&amp;$A2436,Data!$E$10:$E$3209,"&lt;"&amp;$A2436+1)))</f>
        <v/>
      </c>
      <c r="AF2436">
        <f>IF($B2436=0,0,IF(Inputs!$B$8="",0,COUNTIFS(Data!$I$10:$I$3209,"&gt;="&amp;$A2436,Data!$I$10:$I$3209,"&lt;"&amp;$A2436+1)))</f>
        <v/>
      </c>
      <c r="AG2436">
        <f>IF($B2436=0,0,IF(Inputs!$B$9="",0,COUNTIFS(Data!$M$10:$M$3209,"&gt;="&amp;$A2436,Data!$M$10:$M$3209,"&lt;"&amp;$A2436+1)))</f>
        <v/>
      </c>
      <c r="AH2436">
        <f>IF($B2436=0,0,IF(Inputs!$B$10="",0,COUNTIFS(Data!$Q$10:$Q$3209,"&gt;="&amp;$A2436,Data!$Q$10:$Q$3209,"&lt;"&amp;$A2436+1)))</f>
        <v/>
      </c>
    </row>
    <row r="2437">
      <c r="A2437" s="55">
        <f>MIN(Inputs!$C$15,$A2436+IF(WEEKDAY($A2436,2)=5,3,1))</f>
        <v/>
      </c>
      <c r="B2437">
        <f>IF($A2437&gt;$A2436,1,0)</f>
        <v/>
      </c>
      <c r="C2437" s="56">
        <f>IF($B2437=0,"",IF(Inputs!$B$6="","",IF($AD2437=0,C2436,SUMIFS(Data!$B$10:$B$3209,Data!$A$10:$A$3209,"&gt;="&amp;$A2437,Data!$A$10:$A$3209,"&lt;"&amp;$A2437+1)/$AD2437)))</f>
        <v/>
      </c>
      <c r="D2437" s="56">
        <f>IF($B2437=0,"",IF(Inputs!$B$7="","",IF($AE2437=0,D2436,SUMIFS(Data!$F$10:$F$3209,Data!$E$10:$E$3209,"&gt;="&amp;$A2437,Data!$E$10:$E$3209,"&lt;"&amp;$A2437+1)/$AE2437)))</f>
        <v/>
      </c>
      <c r="E2437" s="56">
        <f>IF($B2437=0,"",IF(Inputs!$B$8="","",IF($AF2437=0,E2436,SUMIFS(Data!$J$10:$J$3209,Data!$I$10:$I$3209,"&gt;="&amp;$A2437,Data!$I$10:$I$3209,"&lt;"&amp;$A2437+1)/$AF2437)))</f>
        <v/>
      </c>
      <c r="F2437" s="56">
        <f>IF($B2437=0,"",IF(Inputs!$B$9="","",IF($AG2437=0,F2436,SUMIFS(Data!$N$10:$N$3209,Data!$M$10:$M$3209,"&gt;="&amp;$A2437,Data!$M$10:$M$3209,"&lt;"&amp;$A2437+1)/$AG2437)))</f>
        <v/>
      </c>
      <c r="G2437" s="56">
        <f>IF($B2437=0,"",IF(Inputs!$B$10="","",IF($AH2437=0,G2436,SUMIFS(Data!$R$10:$R$3209,Data!$Q$10:$Q$3209,"&gt;="&amp;$A2437,Data!$Q$10:$Q$3209,"&lt;"&amp;$A2437+1)/$AH2437)))</f>
        <v/>
      </c>
      <c r="I2437" s="54">
        <f>IF($B2437=0,NA(),IF($C2437="",NA(),IF(C$8="",NA(),IF(N(C$8)=0,NA(),IF(Inputs!$C$17="Rebased to 100",$C2437/C$8*100,$C2437)))))</f>
        <v/>
      </c>
      <c r="J2437" s="54">
        <f>IF($B2437=0,NA(),IF($D2437="",NA(),IF(D$8="",NA(),IF(N(D$8)=0,NA(),IF(Inputs!$C$17="Rebased to 100",$D2437/D$8*100,$D2437)))))</f>
        <v/>
      </c>
      <c r="K2437" s="54">
        <f>IF($B2437=0,NA(),IF($E2437="",NA(),IF(E$8="",NA(),IF(N(E$8)=0,NA(),IF(Inputs!$C$17="Rebased to 100",$E2437/E$8*100,$E2437)))))</f>
        <v/>
      </c>
      <c r="L2437" s="54">
        <f>IF($B2437=0,NA(),IF($F2437="",NA(),IF(F$8="",NA(),IF(N(F$8)=0,NA(),IF(Inputs!$C$17="Rebased to 100",$F2437/F$8*100,$F2437)))))</f>
        <v/>
      </c>
      <c r="M2437" s="54">
        <f>IF($B2437=0,NA(),IF($G2437="",NA(),IF(G$8="",NA(),IF(N(G$8)=0,NA(),IF(Inputs!$C$17="Rebased to 100",$G2437/G$8*100,$G2437)))))</f>
        <v/>
      </c>
      <c r="N2437" s="54">
        <f>IF($B2437=0,NA(),IF(Inputs!$C$18&lt;&gt;"Yes",NA(),IF(COUNT(I2437,J2437,K2437,L2437,M2437)=0,NA(),MIN(I2437,J2437,K2437,L2437,M2437))))</f>
        <v/>
      </c>
      <c r="O2437" s="54">
        <f>IF($B2437=0,NA(),IF(Inputs!$B$24&lt;&gt;"Yes",NA(),Inputs!$D$24*Inputs!$C$35))</f>
        <v/>
      </c>
      <c r="P2437" s="54">
        <f>IF($B2437=0,NA(),IF(Inputs!$B$25&lt;&gt;"Yes",NA(),Inputs!$D$25*Inputs!$C$35))</f>
        <v/>
      </c>
      <c r="Q2437" s="54">
        <f>IF($B2437=0,NA(),IF(Inputs!$B$26&lt;&gt;"Yes",NA(),Inputs!$D$26*Inputs!$C$35))</f>
        <v/>
      </c>
      <c r="R2437" s="54">
        <f>IF($B2437=0,NA(),IF(Inputs!$B$27&lt;&gt;"Yes",NA(),Inputs!$D$27*Inputs!$C$35))</f>
        <v/>
      </c>
      <c r="S2437" s="54">
        <f>IF($B2437=0,NA(),IF(Inputs!$B$28&lt;&gt;"Yes",NA(),Inputs!$D$28*Inputs!$C$35))</f>
        <v/>
      </c>
      <c r="T2437" s="54">
        <f>IF($B2437=0,NA(),IF(Inputs!$B$29&lt;&gt;"Yes",NA(),Inputs!$D$29*Inputs!$C$35))</f>
        <v/>
      </c>
      <c r="AD2437">
        <f>IF($B2437=0,0,IF(Inputs!$B$6="",0,COUNTIFS(Data!$A$10:$A$3209,"&gt;="&amp;$A2437,Data!$A$10:$A$3209,"&lt;"&amp;$A2437+1)))</f>
        <v/>
      </c>
      <c r="AE2437">
        <f>IF($B2437=0,0,IF(Inputs!$B$7="",0,COUNTIFS(Data!$E$10:$E$3209,"&gt;="&amp;$A2437,Data!$E$10:$E$3209,"&lt;"&amp;$A2437+1)))</f>
        <v/>
      </c>
      <c r="AF2437">
        <f>IF($B2437=0,0,IF(Inputs!$B$8="",0,COUNTIFS(Data!$I$10:$I$3209,"&gt;="&amp;$A2437,Data!$I$10:$I$3209,"&lt;"&amp;$A2437+1)))</f>
        <v/>
      </c>
      <c r="AG2437">
        <f>IF($B2437=0,0,IF(Inputs!$B$9="",0,COUNTIFS(Data!$M$10:$M$3209,"&gt;="&amp;$A2437,Data!$M$10:$M$3209,"&lt;"&amp;$A2437+1)))</f>
        <v/>
      </c>
      <c r="AH2437">
        <f>IF($B2437=0,0,IF(Inputs!$B$10="",0,COUNTIFS(Data!$Q$10:$Q$3209,"&gt;="&amp;$A2437,Data!$Q$10:$Q$3209,"&lt;"&amp;$A2437+1)))</f>
        <v/>
      </c>
    </row>
    <row r="2438">
      <c r="A2438" s="55">
        <f>MIN(Inputs!$C$15,$A2437+IF(WEEKDAY($A2437,2)=5,3,1))</f>
        <v/>
      </c>
      <c r="B2438">
        <f>IF($A2438&gt;$A2437,1,0)</f>
        <v/>
      </c>
      <c r="C2438" s="56">
        <f>IF($B2438=0,"",IF(Inputs!$B$6="","",IF($AD2438=0,C2437,SUMIFS(Data!$B$10:$B$3209,Data!$A$10:$A$3209,"&gt;="&amp;$A2438,Data!$A$10:$A$3209,"&lt;"&amp;$A2438+1)/$AD2438)))</f>
        <v/>
      </c>
      <c r="D2438" s="56">
        <f>IF($B2438=0,"",IF(Inputs!$B$7="","",IF($AE2438=0,D2437,SUMIFS(Data!$F$10:$F$3209,Data!$E$10:$E$3209,"&gt;="&amp;$A2438,Data!$E$10:$E$3209,"&lt;"&amp;$A2438+1)/$AE2438)))</f>
        <v/>
      </c>
      <c r="E2438" s="56">
        <f>IF($B2438=0,"",IF(Inputs!$B$8="","",IF($AF2438=0,E2437,SUMIFS(Data!$J$10:$J$3209,Data!$I$10:$I$3209,"&gt;="&amp;$A2438,Data!$I$10:$I$3209,"&lt;"&amp;$A2438+1)/$AF2438)))</f>
        <v/>
      </c>
      <c r="F2438" s="56">
        <f>IF($B2438=0,"",IF(Inputs!$B$9="","",IF($AG2438=0,F2437,SUMIFS(Data!$N$10:$N$3209,Data!$M$10:$M$3209,"&gt;="&amp;$A2438,Data!$M$10:$M$3209,"&lt;"&amp;$A2438+1)/$AG2438)))</f>
        <v/>
      </c>
      <c r="G2438" s="56">
        <f>IF($B2438=0,"",IF(Inputs!$B$10="","",IF($AH2438=0,G2437,SUMIFS(Data!$R$10:$R$3209,Data!$Q$10:$Q$3209,"&gt;="&amp;$A2438,Data!$Q$10:$Q$3209,"&lt;"&amp;$A2438+1)/$AH2438)))</f>
        <v/>
      </c>
      <c r="I2438" s="54">
        <f>IF($B2438=0,NA(),IF($C2438="",NA(),IF(C$8="",NA(),IF(N(C$8)=0,NA(),IF(Inputs!$C$17="Rebased to 100",$C2438/C$8*100,$C2438)))))</f>
        <v/>
      </c>
      <c r="J2438" s="54">
        <f>IF($B2438=0,NA(),IF($D2438="",NA(),IF(D$8="",NA(),IF(N(D$8)=0,NA(),IF(Inputs!$C$17="Rebased to 100",$D2438/D$8*100,$D2438)))))</f>
        <v/>
      </c>
      <c r="K2438" s="54">
        <f>IF($B2438=0,NA(),IF($E2438="",NA(),IF(E$8="",NA(),IF(N(E$8)=0,NA(),IF(Inputs!$C$17="Rebased to 100",$E2438/E$8*100,$E2438)))))</f>
        <v/>
      </c>
      <c r="L2438" s="54">
        <f>IF($B2438=0,NA(),IF($F2438="",NA(),IF(F$8="",NA(),IF(N(F$8)=0,NA(),IF(Inputs!$C$17="Rebased to 100",$F2438/F$8*100,$F2438)))))</f>
        <v/>
      </c>
      <c r="M2438" s="54">
        <f>IF($B2438=0,NA(),IF($G2438="",NA(),IF(G$8="",NA(),IF(N(G$8)=0,NA(),IF(Inputs!$C$17="Rebased to 100",$G2438/G$8*100,$G2438)))))</f>
        <v/>
      </c>
      <c r="N2438" s="54">
        <f>IF($B2438=0,NA(),IF(Inputs!$C$18&lt;&gt;"Yes",NA(),IF(COUNT(I2438,J2438,K2438,L2438,M2438)=0,NA(),MIN(I2438,J2438,K2438,L2438,M2438))))</f>
        <v/>
      </c>
      <c r="O2438" s="54">
        <f>IF($B2438=0,NA(),IF(Inputs!$B$24&lt;&gt;"Yes",NA(),Inputs!$D$24*Inputs!$C$35))</f>
        <v/>
      </c>
      <c r="P2438" s="54">
        <f>IF($B2438=0,NA(),IF(Inputs!$B$25&lt;&gt;"Yes",NA(),Inputs!$D$25*Inputs!$C$35))</f>
        <v/>
      </c>
      <c r="Q2438" s="54">
        <f>IF($B2438=0,NA(),IF(Inputs!$B$26&lt;&gt;"Yes",NA(),Inputs!$D$26*Inputs!$C$35))</f>
        <v/>
      </c>
      <c r="R2438" s="54">
        <f>IF($B2438=0,NA(),IF(Inputs!$B$27&lt;&gt;"Yes",NA(),Inputs!$D$27*Inputs!$C$35))</f>
        <v/>
      </c>
      <c r="S2438" s="54">
        <f>IF($B2438=0,NA(),IF(Inputs!$B$28&lt;&gt;"Yes",NA(),Inputs!$D$28*Inputs!$C$35))</f>
        <v/>
      </c>
      <c r="T2438" s="54">
        <f>IF($B2438=0,NA(),IF(Inputs!$B$29&lt;&gt;"Yes",NA(),Inputs!$D$29*Inputs!$C$35))</f>
        <v/>
      </c>
      <c r="AD2438">
        <f>IF($B2438=0,0,IF(Inputs!$B$6="",0,COUNTIFS(Data!$A$10:$A$3209,"&gt;="&amp;$A2438,Data!$A$10:$A$3209,"&lt;"&amp;$A2438+1)))</f>
        <v/>
      </c>
      <c r="AE2438">
        <f>IF($B2438=0,0,IF(Inputs!$B$7="",0,COUNTIFS(Data!$E$10:$E$3209,"&gt;="&amp;$A2438,Data!$E$10:$E$3209,"&lt;"&amp;$A2438+1)))</f>
        <v/>
      </c>
      <c r="AF2438">
        <f>IF($B2438=0,0,IF(Inputs!$B$8="",0,COUNTIFS(Data!$I$10:$I$3209,"&gt;="&amp;$A2438,Data!$I$10:$I$3209,"&lt;"&amp;$A2438+1)))</f>
        <v/>
      </c>
      <c r="AG2438">
        <f>IF($B2438=0,0,IF(Inputs!$B$9="",0,COUNTIFS(Data!$M$10:$M$3209,"&gt;="&amp;$A2438,Data!$M$10:$M$3209,"&lt;"&amp;$A2438+1)))</f>
        <v/>
      </c>
      <c r="AH2438">
        <f>IF($B2438=0,0,IF(Inputs!$B$10="",0,COUNTIFS(Data!$Q$10:$Q$3209,"&gt;="&amp;$A2438,Data!$Q$10:$Q$3209,"&lt;"&amp;$A2438+1)))</f>
        <v/>
      </c>
    </row>
    <row r="2439">
      <c r="A2439" s="55">
        <f>MIN(Inputs!$C$15,$A2438+IF(WEEKDAY($A2438,2)=5,3,1))</f>
        <v/>
      </c>
      <c r="B2439">
        <f>IF($A2439&gt;$A2438,1,0)</f>
        <v/>
      </c>
      <c r="C2439" s="56">
        <f>IF($B2439=0,"",IF(Inputs!$B$6="","",IF($AD2439=0,C2438,SUMIFS(Data!$B$10:$B$3209,Data!$A$10:$A$3209,"&gt;="&amp;$A2439,Data!$A$10:$A$3209,"&lt;"&amp;$A2439+1)/$AD2439)))</f>
        <v/>
      </c>
      <c r="D2439" s="56">
        <f>IF($B2439=0,"",IF(Inputs!$B$7="","",IF($AE2439=0,D2438,SUMIFS(Data!$F$10:$F$3209,Data!$E$10:$E$3209,"&gt;="&amp;$A2439,Data!$E$10:$E$3209,"&lt;"&amp;$A2439+1)/$AE2439)))</f>
        <v/>
      </c>
      <c r="E2439" s="56">
        <f>IF($B2439=0,"",IF(Inputs!$B$8="","",IF($AF2439=0,E2438,SUMIFS(Data!$J$10:$J$3209,Data!$I$10:$I$3209,"&gt;="&amp;$A2439,Data!$I$10:$I$3209,"&lt;"&amp;$A2439+1)/$AF2439)))</f>
        <v/>
      </c>
      <c r="F2439" s="56">
        <f>IF($B2439=0,"",IF(Inputs!$B$9="","",IF($AG2439=0,F2438,SUMIFS(Data!$N$10:$N$3209,Data!$M$10:$M$3209,"&gt;="&amp;$A2439,Data!$M$10:$M$3209,"&lt;"&amp;$A2439+1)/$AG2439)))</f>
        <v/>
      </c>
      <c r="G2439" s="56">
        <f>IF($B2439=0,"",IF(Inputs!$B$10="","",IF($AH2439=0,G2438,SUMIFS(Data!$R$10:$R$3209,Data!$Q$10:$Q$3209,"&gt;="&amp;$A2439,Data!$Q$10:$Q$3209,"&lt;"&amp;$A2439+1)/$AH2439)))</f>
        <v/>
      </c>
      <c r="I2439" s="54">
        <f>IF($B2439=0,NA(),IF($C2439="",NA(),IF(C$8="",NA(),IF(N(C$8)=0,NA(),IF(Inputs!$C$17="Rebased to 100",$C2439/C$8*100,$C2439)))))</f>
        <v/>
      </c>
      <c r="J2439" s="54">
        <f>IF($B2439=0,NA(),IF($D2439="",NA(),IF(D$8="",NA(),IF(N(D$8)=0,NA(),IF(Inputs!$C$17="Rebased to 100",$D2439/D$8*100,$D2439)))))</f>
        <v/>
      </c>
      <c r="K2439" s="54">
        <f>IF($B2439=0,NA(),IF($E2439="",NA(),IF(E$8="",NA(),IF(N(E$8)=0,NA(),IF(Inputs!$C$17="Rebased to 100",$E2439/E$8*100,$E2439)))))</f>
        <v/>
      </c>
      <c r="L2439" s="54">
        <f>IF($B2439=0,NA(),IF($F2439="",NA(),IF(F$8="",NA(),IF(N(F$8)=0,NA(),IF(Inputs!$C$17="Rebased to 100",$F2439/F$8*100,$F2439)))))</f>
        <v/>
      </c>
      <c r="M2439" s="54">
        <f>IF($B2439=0,NA(),IF($G2439="",NA(),IF(G$8="",NA(),IF(N(G$8)=0,NA(),IF(Inputs!$C$17="Rebased to 100",$G2439/G$8*100,$G2439)))))</f>
        <v/>
      </c>
      <c r="N2439" s="54">
        <f>IF($B2439=0,NA(),IF(Inputs!$C$18&lt;&gt;"Yes",NA(),IF(COUNT(I2439,J2439,K2439,L2439,M2439)=0,NA(),MIN(I2439,J2439,K2439,L2439,M2439))))</f>
        <v/>
      </c>
      <c r="O2439" s="54">
        <f>IF($B2439=0,NA(),IF(Inputs!$B$24&lt;&gt;"Yes",NA(),Inputs!$D$24*Inputs!$C$35))</f>
        <v/>
      </c>
      <c r="P2439" s="54">
        <f>IF($B2439=0,NA(),IF(Inputs!$B$25&lt;&gt;"Yes",NA(),Inputs!$D$25*Inputs!$C$35))</f>
        <v/>
      </c>
      <c r="Q2439" s="54">
        <f>IF($B2439=0,NA(),IF(Inputs!$B$26&lt;&gt;"Yes",NA(),Inputs!$D$26*Inputs!$C$35))</f>
        <v/>
      </c>
      <c r="R2439" s="54">
        <f>IF($B2439=0,NA(),IF(Inputs!$B$27&lt;&gt;"Yes",NA(),Inputs!$D$27*Inputs!$C$35))</f>
        <v/>
      </c>
      <c r="S2439" s="54">
        <f>IF($B2439=0,NA(),IF(Inputs!$B$28&lt;&gt;"Yes",NA(),Inputs!$D$28*Inputs!$C$35))</f>
        <v/>
      </c>
      <c r="T2439" s="54">
        <f>IF($B2439=0,NA(),IF(Inputs!$B$29&lt;&gt;"Yes",NA(),Inputs!$D$29*Inputs!$C$35))</f>
        <v/>
      </c>
      <c r="AD2439">
        <f>IF($B2439=0,0,IF(Inputs!$B$6="",0,COUNTIFS(Data!$A$10:$A$3209,"&gt;="&amp;$A2439,Data!$A$10:$A$3209,"&lt;"&amp;$A2439+1)))</f>
        <v/>
      </c>
      <c r="AE2439">
        <f>IF($B2439=0,0,IF(Inputs!$B$7="",0,COUNTIFS(Data!$E$10:$E$3209,"&gt;="&amp;$A2439,Data!$E$10:$E$3209,"&lt;"&amp;$A2439+1)))</f>
        <v/>
      </c>
      <c r="AF2439">
        <f>IF($B2439=0,0,IF(Inputs!$B$8="",0,COUNTIFS(Data!$I$10:$I$3209,"&gt;="&amp;$A2439,Data!$I$10:$I$3209,"&lt;"&amp;$A2439+1)))</f>
        <v/>
      </c>
      <c r="AG2439">
        <f>IF($B2439=0,0,IF(Inputs!$B$9="",0,COUNTIFS(Data!$M$10:$M$3209,"&gt;="&amp;$A2439,Data!$M$10:$M$3209,"&lt;"&amp;$A2439+1)))</f>
        <v/>
      </c>
      <c r="AH2439">
        <f>IF($B2439=0,0,IF(Inputs!$B$10="",0,COUNTIFS(Data!$Q$10:$Q$3209,"&gt;="&amp;$A2439,Data!$Q$10:$Q$3209,"&lt;"&amp;$A2439+1)))</f>
        <v/>
      </c>
    </row>
    <row r="2440">
      <c r="A2440" s="55">
        <f>MIN(Inputs!$C$15,$A2439+IF(WEEKDAY($A2439,2)=5,3,1))</f>
        <v/>
      </c>
      <c r="B2440">
        <f>IF($A2440&gt;$A2439,1,0)</f>
        <v/>
      </c>
      <c r="C2440" s="56">
        <f>IF($B2440=0,"",IF(Inputs!$B$6="","",IF($AD2440=0,C2439,SUMIFS(Data!$B$10:$B$3209,Data!$A$10:$A$3209,"&gt;="&amp;$A2440,Data!$A$10:$A$3209,"&lt;"&amp;$A2440+1)/$AD2440)))</f>
        <v/>
      </c>
      <c r="D2440" s="56">
        <f>IF($B2440=0,"",IF(Inputs!$B$7="","",IF($AE2440=0,D2439,SUMIFS(Data!$F$10:$F$3209,Data!$E$10:$E$3209,"&gt;="&amp;$A2440,Data!$E$10:$E$3209,"&lt;"&amp;$A2440+1)/$AE2440)))</f>
        <v/>
      </c>
      <c r="E2440" s="56">
        <f>IF($B2440=0,"",IF(Inputs!$B$8="","",IF($AF2440=0,E2439,SUMIFS(Data!$J$10:$J$3209,Data!$I$10:$I$3209,"&gt;="&amp;$A2440,Data!$I$10:$I$3209,"&lt;"&amp;$A2440+1)/$AF2440)))</f>
        <v/>
      </c>
      <c r="F2440" s="56">
        <f>IF($B2440=0,"",IF(Inputs!$B$9="","",IF($AG2440=0,F2439,SUMIFS(Data!$N$10:$N$3209,Data!$M$10:$M$3209,"&gt;="&amp;$A2440,Data!$M$10:$M$3209,"&lt;"&amp;$A2440+1)/$AG2440)))</f>
        <v/>
      </c>
      <c r="G2440" s="56">
        <f>IF($B2440=0,"",IF(Inputs!$B$10="","",IF($AH2440=0,G2439,SUMIFS(Data!$R$10:$R$3209,Data!$Q$10:$Q$3209,"&gt;="&amp;$A2440,Data!$Q$10:$Q$3209,"&lt;"&amp;$A2440+1)/$AH2440)))</f>
        <v/>
      </c>
      <c r="I2440" s="54">
        <f>IF($B2440=0,NA(),IF($C2440="",NA(),IF(C$8="",NA(),IF(N(C$8)=0,NA(),IF(Inputs!$C$17="Rebased to 100",$C2440/C$8*100,$C2440)))))</f>
        <v/>
      </c>
      <c r="J2440" s="54">
        <f>IF($B2440=0,NA(),IF($D2440="",NA(),IF(D$8="",NA(),IF(N(D$8)=0,NA(),IF(Inputs!$C$17="Rebased to 100",$D2440/D$8*100,$D2440)))))</f>
        <v/>
      </c>
      <c r="K2440" s="54">
        <f>IF($B2440=0,NA(),IF($E2440="",NA(),IF(E$8="",NA(),IF(N(E$8)=0,NA(),IF(Inputs!$C$17="Rebased to 100",$E2440/E$8*100,$E2440)))))</f>
        <v/>
      </c>
      <c r="L2440" s="54">
        <f>IF($B2440=0,NA(),IF($F2440="",NA(),IF(F$8="",NA(),IF(N(F$8)=0,NA(),IF(Inputs!$C$17="Rebased to 100",$F2440/F$8*100,$F2440)))))</f>
        <v/>
      </c>
      <c r="M2440" s="54">
        <f>IF($B2440=0,NA(),IF($G2440="",NA(),IF(G$8="",NA(),IF(N(G$8)=0,NA(),IF(Inputs!$C$17="Rebased to 100",$G2440/G$8*100,$G2440)))))</f>
        <v/>
      </c>
      <c r="N2440" s="54">
        <f>IF($B2440=0,NA(),IF(Inputs!$C$18&lt;&gt;"Yes",NA(),IF(COUNT(I2440,J2440,K2440,L2440,M2440)=0,NA(),MIN(I2440,J2440,K2440,L2440,M2440))))</f>
        <v/>
      </c>
      <c r="O2440" s="54">
        <f>IF($B2440=0,NA(),IF(Inputs!$B$24&lt;&gt;"Yes",NA(),Inputs!$D$24*Inputs!$C$35))</f>
        <v/>
      </c>
      <c r="P2440" s="54">
        <f>IF($B2440=0,NA(),IF(Inputs!$B$25&lt;&gt;"Yes",NA(),Inputs!$D$25*Inputs!$C$35))</f>
        <v/>
      </c>
      <c r="Q2440" s="54">
        <f>IF($B2440=0,NA(),IF(Inputs!$B$26&lt;&gt;"Yes",NA(),Inputs!$D$26*Inputs!$C$35))</f>
        <v/>
      </c>
      <c r="R2440" s="54">
        <f>IF($B2440=0,NA(),IF(Inputs!$B$27&lt;&gt;"Yes",NA(),Inputs!$D$27*Inputs!$C$35))</f>
        <v/>
      </c>
      <c r="S2440" s="54">
        <f>IF($B2440=0,NA(),IF(Inputs!$B$28&lt;&gt;"Yes",NA(),Inputs!$D$28*Inputs!$C$35))</f>
        <v/>
      </c>
      <c r="T2440" s="54">
        <f>IF($B2440=0,NA(),IF(Inputs!$B$29&lt;&gt;"Yes",NA(),Inputs!$D$29*Inputs!$C$35))</f>
        <v/>
      </c>
      <c r="AD2440">
        <f>IF($B2440=0,0,IF(Inputs!$B$6="",0,COUNTIFS(Data!$A$10:$A$3209,"&gt;="&amp;$A2440,Data!$A$10:$A$3209,"&lt;"&amp;$A2440+1)))</f>
        <v/>
      </c>
      <c r="AE2440">
        <f>IF($B2440=0,0,IF(Inputs!$B$7="",0,COUNTIFS(Data!$E$10:$E$3209,"&gt;="&amp;$A2440,Data!$E$10:$E$3209,"&lt;"&amp;$A2440+1)))</f>
        <v/>
      </c>
      <c r="AF2440">
        <f>IF($B2440=0,0,IF(Inputs!$B$8="",0,COUNTIFS(Data!$I$10:$I$3209,"&gt;="&amp;$A2440,Data!$I$10:$I$3209,"&lt;"&amp;$A2440+1)))</f>
        <v/>
      </c>
      <c r="AG2440">
        <f>IF($B2440=0,0,IF(Inputs!$B$9="",0,COUNTIFS(Data!$M$10:$M$3209,"&gt;="&amp;$A2440,Data!$M$10:$M$3209,"&lt;"&amp;$A2440+1)))</f>
        <v/>
      </c>
      <c r="AH2440">
        <f>IF($B2440=0,0,IF(Inputs!$B$10="",0,COUNTIFS(Data!$Q$10:$Q$3209,"&gt;="&amp;$A2440,Data!$Q$10:$Q$3209,"&lt;"&amp;$A2440+1)))</f>
        <v/>
      </c>
    </row>
    <row r="2441">
      <c r="A2441" s="55">
        <f>MIN(Inputs!$C$15,$A2440+IF(WEEKDAY($A2440,2)=5,3,1))</f>
        <v/>
      </c>
      <c r="B2441">
        <f>IF($A2441&gt;$A2440,1,0)</f>
        <v/>
      </c>
      <c r="C2441" s="56">
        <f>IF($B2441=0,"",IF(Inputs!$B$6="","",IF($AD2441=0,C2440,SUMIFS(Data!$B$10:$B$3209,Data!$A$10:$A$3209,"&gt;="&amp;$A2441,Data!$A$10:$A$3209,"&lt;"&amp;$A2441+1)/$AD2441)))</f>
        <v/>
      </c>
      <c r="D2441" s="56">
        <f>IF($B2441=0,"",IF(Inputs!$B$7="","",IF($AE2441=0,D2440,SUMIFS(Data!$F$10:$F$3209,Data!$E$10:$E$3209,"&gt;="&amp;$A2441,Data!$E$10:$E$3209,"&lt;"&amp;$A2441+1)/$AE2441)))</f>
        <v/>
      </c>
      <c r="E2441" s="56">
        <f>IF($B2441=0,"",IF(Inputs!$B$8="","",IF($AF2441=0,E2440,SUMIFS(Data!$J$10:$J$3209,Data!$I$10:$I$3209,"&gt;="&amp;$A2441,Data!$I$10:$I$3209,"&lt;"&amp;$A2441+1)/$AF2441)))</f>
        <v/>
      </c>
      <c r="F2441" s="56">
        <f>IF($B2441=0,"",IF(Inputs!$B$9="","",IF($AG2441=0,F2440,SUMIFS(Data!$N$10:$N$3209,Data!$M$10:$M$3209,"&gt;="&amp;$A2441,Data!$M$10:$M$3209,"&lt;"&amp;$A2441+1)/$AG2441)))</f>
        <v/>
      </c>
      <c r="G2441" s="56">
        <f>IF($B2441=0,"",IF(Inputs!$B$10="","",IF($AH2441=0,G2440,SUMIFS(Data!$R$10:$R$3209,Data!$Q$10:$Q$3209,"&gt;="&amp;$A2441,Data!$Q$10:$Q$3209,"&lt;"&amp;$A2441+1)/$AH2441)))</f>
        <v/>
      </c>
      <c r="I2441" s="54">
        <f>IF($B2441=0,NA(),IF($C2441="",NA(),IF(C$8="",NA(),IF(N(C$8)=0,NA(),IF(Inputs!$C$17="Rebased to 100",$C2441/C$8*100,$C2441)))))</f>
        <v/>
      </c>
      <c r="J2441" s="54">
        <f>IF($B2441=0,NA(),IF($D2441="",NA(),IF(D$8="",NA(),IF(N(D$8)=0,NA(),IF(Inputs!$C$17="Rebased to 100",$D2441/D$8*100,$D2441)))))</f>
        <v/>
      </c>
      <c r="K2441" s="54">
        <f>IF($B2441=0,NA(),IF($E2441="",NA(),IF(E$8="",NA(),IF(N(E$8)=0,NA(),IF(Inputs!$C$17="Rebased to 100",$E2441/E$8*100,$E2441)))))</f>
        <v/>
      </c>
      <c r="L2441" s="54">
        <f>IF($B2441=0,NA(),IF($F2441="",NA(),IF(F$8="",NA(),IF(N(F$8)=0,NA(),IF(Inputs!$C$17="Rebased to 100",$F2441/F$8*100,$F2441)))))</f>
        <v/>
      </c>
      <c r="M2441" s="54">
        <f>IF($B2441=0,NA(),IF($G2441="",NA(),IF(G$8="",NA(),IF(N(G$8)=0,NA(),IF(Inputs!$C$17="Rebased to 100",$G2441/G$8*100,$G2441)))))</f>
        <v/>
      </c>
      <c r="N2441" s="54">
        <f>IF($B2441=0,NA(),IF(Inputs!$C$18&lt;&gt;"Yes",NA(),IF(COUNT(I2441,J2441,K2441,L2441,M2441)=0,NA(),MIN(I2441,J2441,K2441,L2441,M2441))))</f>
        <v/>
      </c>
      <c r="O2441" s="54">
        <f>IF($B2441=0,NA(),IF(Inputs!$B$24&lt;&gt;"Yes",NA(),Inputs!$D$24*Inputs!$C$35))</f>
        <v/>
      </c>
      <c r="P2441" s="54">
        <f>IF($B2441=0,NA(),IF(Inputs!$B$25&lt;&gt;"Yes",NA(),Inputs!$D$25*Inputs!$C$35))</f>
        <v/>
      </c>
      <c r="Q2441" s="54">
        <f>IF($B2441=0,NA(),IF(Inputs!$B$26&lt;&gt;"Yes",NA(),Inputs!$D$26*Inputs!$C$35))</f>
        <v/>
      </c>
      <c r="R2441" s="54">
        <f>IF($B2441=0,NA(),IF(Inputs!$B$27&lt;&gt;"Yes",NA(),Inputs!$D$27*Inputs!$C$35))</f>
        <v/>
      </c>
      <c r="S2441" s="54">
        <f>IF($B2441=0,NA(),IF(Inputs!$B$28&lt;&gt;"Yes",NA(),Inputs!$D$28*Inputs!$C$35))</f>
        <v/>
      </c>
      <c r="T2441" s="54">
        <f>IF($B2441=0,NA(),IF(Inputs!$B$29&lt;&gt;"Yes",NA(),Inputs!$D$29*Inputs!$C$35))</f>
        <v/>
      </c>
      <c r="AD2441">
        <f>IF($B2441=0,0,IF(Inputs!$B$6="",0,COUNTIFS(Data!$A$10:$A$3209,"&gt;="&amp;$A2441,Data!$A$10:$A$3209,"&lt;"&amp;$A2441+1)))</f>
        <v/>
      </c>
      <c r="AE2441">
        <f>IF($B2441=0,0,IF(Inputs!$B$7="",0,COUNTIFS(Data!$E$10:$E$3209,"&gt;="&amp;$A2441,Data!$E$10:$E$3209,"&lt;"&amp;$A2441+1)))</f>
        <v/>
      </c>
      <c r="AF2441">
        <f>IF($B2441=0,0,IF(Inputs!$B$8="",0,COUNTIFS(Data!$I$10:$I$3209,"&gt;="&amp;$A2441,Data!$I$10:$I$3209,"&lt;"&amp;$A2441+1)))</f>
        <v/>
      </c>
      <c r="AG2441">
        <f>IF($B2441=0,0,IF(Inputs!$B$9="",0,COUNTIFS(Data!$M$10:$M$3209,"&gt;="&amp;$A2441,Data!$M$10:$M$3209,"&lt;"&amp;$A2441+1)))</f>
        <v/>
      </c>
      <c r="AH2441">
        <f>IF($B2441=0,0,IF(Inputs!$B$10="",0,COUNTIFS(Data!$Q$10:$Q$3209,"&gt;="&amp;$A2441,Data!$Q$10:$Q$3209,"&lt;"&amp;$A2441+1)))</f>
        <v/>
      </c>
    </row>
    <row r="2442">
      <c r="A2442" s="55">
        <f>MIN(Inputs!$C$15,$A2441+IF(WEEKDAY($A2441,2)=5,3,1))</f>
        <v/>
      </c>
      <c r="B2442">
        <f>IF($A2442&gt;$A2441,1,0)</f>
        <v/>
      </c>
      <c r="C2442" s="56">
        <f>IF($B2442=0,"",IF(Inputs!$B$6="","",IF($AD2442=0,C2441,SUMIFS(Data!$B$10:$B$3209,Data!$A$10:$A$3209,"&gt;="&amp;$A2442,Data!$A$10:$A$3209,"&lt;"&amp;$A2442+1)/$AD2442)))</f>
        <v/>
      </c>
      <c r="D2442" s="56">
        <f>IF($B2442=0,"",IF(Inputs!$B$7="","",IF($AE2442=0,D2441,SUMIFS(Data!$F$10:$F$3209,Data!$E$10:$E$3209,"&gt;="&amp;$A2442,Data!$E$10:$E$3209,"&lt;"&amp;$A2442+1)/$AE2442)))</f>
        <v/>
      </c>
      <c r="E2442" s="56">
        <f>IF($B2442=0,"",IF(Inputs!$B$8="","",IF($AF2442=0,E2441,SUMIFS(Data!$J$10:$J$3209,Data!$I$10:$I$3209,"&gt;="&amp;$A2442,Data!$I$10:$I$3209,"&lt;"&amp;$A2442+1)/$AF2442)))</f>
        <v/>
      </c>
      <c r="F2442" s="56">
        <f>IF($B2442=0,"",IF(Inputs!$B$9="","",IF($AG2442=0,F2441,SUMIFS(Data!$N$10:$N$3209,Data!$M$10:$M$3209,"&gt;="&amp;$A2442,Data!$M$10:$M$3209,"&lt;"&amp;$A2442+1)/$AG2442)))</f>
        <v/>
      </c>
      <c r="G2442" s="56">
        <f>IF($B2442=0,"",IF(Inputs!$B$10="","",IF($AH2442=0,G2441,SUMIFS(Data!$R$10:$R$3209,Data!$Q$10:$Q$3209,"&gt;="&amp;$A2442,Data!$Q$10:$Q$3209,"&lt;"&amp;$A2442+1)/$AH2442)))</f>
        <v/>
      </c>
      <c r="I2442" s="54">
        <f>IF($B2442=0,NA(),IF($C2442="",NA(),IF(C$8="",NA(),IF(N(C$8)=0,NA(),IF(Inputs!$C$17="Rebased to 100",$C2442/C$8*100,$C2442)))))</f>
        <v/>
      </c>
      <c r="J2442" s="54">
        <f>IF($B2442=0,NA(),IF($D2442="",NA(),IF(D$8="",NA(),IF(N(D$8)=0,NA(),IF(Inputs!$C$17="Rebased to 100",$D2442/D$8*100,$D2442)))))</f>
        <v/>
      </c>
      <c r="K2442" s="54">
        <f>IF($B2442=0,NA(),IF($E2442="",NA(),IF(E$8="",NA(),IF(N(E$8)=0,NA(),IF(Inputs!$C$17="Rebased to 100",$E2442/E$8*100,$E2442)))))</f>
        <v/>
      </c>
      <c r="L2442" s="54">
        <f>IF($B2442=0,NA(),IF($F2442="",NA(),IF(F$8="",NA(),IF(N(F$8)=0,NA(),IF(Inputs!$C$17="Rebased to 100",$F2442/F$8*100,$F2442)))))</f>
        <v/>
      </c>
      <c r="M2442" s="54">
        <f>IF($B2442=0,NA(),IF($G2442="",NA(),IF(G$8="",NA(),IF(N(G$8)=0,NA(),IF(Inputs!$C$17="Rebased to 100",$G2442/G$8*100,$G2442)))))</f>
        <v/>
      </c>
      <c r="N2442" s="54">
        <f>IF($B2442=0,NA(),IF(Inputs!$C$18&lt;&gt;"Yes",NA(),IF(COUNT(I2442,J2442,K2442,L2442,M2442)=0,NA(),MIN(I2442,J2442,K2442,L2442,M2442))))</f>
        <v/>
      </c>
      <c r="O2442" s="54">
        <f>IF($B2442=0,NA(),IF(Inputs!$B$24&lt;&gt;"Yes",NA(),Inputs!$D$24*Inputs!$C$35))</f>
        <v/>
      </c>
      <c r="P2442" s="54">
        <f>IF($B2442=0,NA(),IF(Inputs!$B$25&lt;&gt;"Yes",NA(),Inputs!$D$25*Inputs!$C$35))</f>
        <v/>
      </c>
      <c r="Q2442" s="54">
        <f>IF($B2442=0,NA(),IF(Inputs!$B$26&lt;&gt;"Yes",NA(),Inputs!$D$26*Inputs!$C$35))</f>
        <v/>
      </c>
      <c r="R2442" s="54">
        <f>IF($B2442=0,NA(),IF(Inputs!$B$27&lt;&gt;"Yes",NA(),Inputs!$D$27*Inputs!$C$35))</f>
        <v/>
      </c>
      <c r="S2442" s="54">
        <f>IF($B2442=0,NA(),IF(Inputs!$B$28&lt;&gt;"Yes",NA(),Inputs!$D$28*Inputs!$C$35))</f>
        <v/>
      </c>
      <c r="T2442" s="54">
        <f>IF($B2442=0,NA(),IF(Inputs!$B$29&lt;&gt;"Yes",NA(),Inputs!$D$29*Inputs!$C$35))</f>
        <v/>
      </c>
      <c r="AD2442">
        <f>IF($B2442=0,0,IF(Inputs!$B$6="",0,COUNTIFS(Data!$A$10:$A$3209,"&gt;="&amp;$A2442,Data!$A$10:$A$3209,"&lt;"&amp;$A2442+1)))</f>
        <v/>
      </c>
      <c r="AE2442">
        <f>IF($B2442=0,0,IF(Inputs!$B$7="",0,COUNTIFS(Data!$E$10:$E$3209,"&gt;="&amp;$A2442,Data!$E$10:$E$3209,"&lt;"&amp;$A2442+1)))</f>
        <v/>
      </c>
      <c r="AF2442">
        <f>IF($B2442=0,0,IF(Inputs!$B$8="",0,COUNTIFS(Data!$I$10:$I$3209,"&gt;="&amp;$A2442,Data!$I$10:$I$3209,"&lt;"&amp;$A2442+1)))</f>
        <v/>
      </c>
      <c r="AG2442">
        <f>IF($B2442=0,0,IF(Inputs!$B$9="",0,COUNTIFS(Data!$M$10:$M$3209,"&gt;="&amp;$A2442,Data!$M$10:$M$3209,"&lt;"&amp;$A2442+1)))</f>
        <v/>
      </c>
      <c r="AH2442">
        <f>IF($B2442=0,0,IF(Inputs!$B$10="",0,COUNTIFS(Data!$Q$10:$Q$3209,"&gt;="&amp;$A2442,Data!$Q$10:$Q$3209,"&lt;"&amp;$A2442+1)))</f>
        <v/>
      </c>
    </row>
    <row r="2443">
      <c r="A2443" s="55">
        <f>MIN(Inputs!$C$15,$A2442+IF(WEEKDAY($A2442,2)=5,3,1))</f>
        <v/>
      </c>
      <c r="B2443">
        <f>IF($A2443&gt;$A2442,1,0)</f>
        <v/>
      </c>
      <c r="C2443" s="56">
        <f>IF($B2443=0,"",IF(Inputs!$B$6="","",IF($AD2443=0,C2442,SUMIFS(Data!$B$10:$B$3209,Data!$A$10:$A$3209,"&gt;="&amp;$A2443,Data!$A$10:$A$3209,"&lt;"&amp;$A2443+1)/$AD2443)))</f>
        <v/>
      </c>
      <c r="D2443" s="56">
        <f>IF($B2443=0,"",IF(Inputs!$B$7="","",IF($AE2443=0,D2442,SUMIFS(Data!$F$10:$F$3209,Data!$E$10:$E$3209,"&gt;="&amp;$A2443,Data!$E$10:$E$3209,"&lt;"&amp;$A2443+1)/$AE2443)))</f>
        <v/>
      </c>
      <c r="E2443" s="56">
        <f>IF($B2443=0,"",IF(Inputs!$B$8="","",IF($AF2443=0,E2442,SUMIFS(Data!$J$10:$J$3209,Data!$I$10:$I$3209,"&gt;="&amp;$A2443,Data!$I$10:$I$3209,"&lt;"&amp;$A2443+1)/$AF2443)))</f>
        <v/>
      </c>
      <c r="F2443" s="56">
        <f>IF($B2443=0,"",IF(Inputs!$B$9="","",IF($AG2443=0,F2442,SUMIFS(Data!$N$10:$N$3209,Data!$M$10:$M$3209,"&gt;="&amp;$A2443,Data!$M$10:$M$3209,"&lt;"&amp;$A2443+1)/$AG2443)))</f>
        <v/>
      </c>
      <c r="G2443" s="56">
        <f>IF($B2443=0,"",IF(Inputs!$B$10="","",IF($AH2443=0,G2442,SUMIFS(Data!$R$10:$R$3209,Data!$Q$10:$Q$3209,"&gt;="&amp;$A2443,Data!$Q$10:$Q$3209,"&lt;"&amp;$A2443+1)/$AH2443)))</f>
        <v/>
      </c>
      <c r="I2443" s="54">
        <f>IF($B2443=0,NA(),IF($C2443="",NA(),IF(C$8="",NA(),IF(N(C$8)=0,NA(),IF(Inputs!$C$17="Rebased to 100",$C2443/C$8*100,$C2443)))))</f>
        <v/>
      </c>
      <c r="J2443" s="54">
        <f>IF($B2443=0,NA(),IF($D2443="",NA(),IF(D$8="",NA(),IF(N(D$8)=0,NA(),IF(Inputs!$C$17="Rebased to 100",$D2443/D$8*100,$D2443)))))</f>
        <v/>
      </c>
      <c r="K2443" s="54">
        <f>IF($B2443=0,NA(),IF($E2443="",NA(),IF(E$8="",NA(),IF(N(E$8)=0,NA(),IF(Inputs!$C$17="Rebased to 100",$E2443/E$8*100,$E2443)))))</f>
        <v/>
      </c>
      <c r="L2443" s="54">
        <f>IF($B2443=0,NA(),IF($F2443="",NA(),IF(F$8="",NA(),IF(N(F$8)=0,NA(),IF(Inputs!$C$17="Rebased to 100",$F2443/F$8*100,$F2443)))))</f>
        <v/>
      </c>
      <c r="M2443" s="54">
        <f>IF($B2443=0,NA(),IF($G2443="",NA(),IF(G$8="",NA(),IF(N(G$8)=0,NA(),IF(Inputs!$C$17="Rebased to 100",$G2443/G$8*100,$G2443)))))</f>
        <v/>
      </c>
      <c r="N2443" s="54">
        <f>IF($B2443=0,NA(),IF(Inputs!$C$18&lt;&gt;"Yes",NA(),IF(COUNT(I2443,J2443,K2443,L2443,M2443)=0,NA(),MIN(I2443,J2443,K2443,L2443,M2443))))</f>
        <v/>
      </c>
      <c r="O2443" s="54">
        <f>IF($B2443=0,NA(),IF(Inputs!$B$24&lt;&gt;"Yes",NA(),Inputs!$D$24*Inputs!$C$35))</f>
        <v/>
      </c>
      <c r="P2443" s="54">
        <f>IF($B2443=0,NA(),IF(Inputs!$B$25&lt;&gt;"Yes",NA(),Inputs!$D$25*Inputs!$C$35))</f>
        <v/>
      </c>
      <c r="Q2443" s="54">
        <f>IF($B2443=0,NA(),IF(Inputs!$B$26&lt;&gt;"Yes",NA(),Inputs!$D$26*Inputs!$C$35))</f>
        <v/>
      </c>
      <c r="R2443" s="54">
        <f>IF($B2443=0,NA(),IF(Inputs!$B$27&lt;&gt;"Yes",NA(),Inputs!$D$27*Inputs!$C$35))</f>
        <v/>
      </c>
      <c r="S2443" s="54">
        <f>IF($B2443=0,NA(),IF(Inputs!$B$28&lt;&gt;"Yes",NA(),Inputs!$D$28*Inputs!$C$35))</f>
        <v/>
      </c>
      <c r="T2443" s="54">
        <f>IF($B2443=0,NA(),IF(Inputs!$B$29&lt;&gt;"Yes",NA(),Inputs!$D$29*Inputs!$C$35))</f>
        <v/>
      </c>
      <c r="AD2443">
        <f>IF($B2443=0,0,IF(Inputs!$B$6="",0,COUNTIFS(Data!$A$10:$A$3209,"&gt;="&amp;$A2443,Data!$A$10:$A$3209,"&lt;"&amp;$A2443+1)))</f>
        <v/>
      </c>
      <c r="AE2443">
        <f>IF($B2443=0,0,IF(Inputs!$B$7="",0,COUNTIFS(Data!$E$10:$E$3209,"&gt;="&amp;$A2443,Data!$E$10:$E$3209,"&lt;"&amp;$A2443+1)))</f>
        <v/>
      </c>
      <c r="AF2443">
        <f>IF($B2443=0,0,IF(Inputs!$B$8="",0,COUNTIFS(Data!$I$10:$I$3209,"&gt;="&amp;$A2443,Data!$I$10:$I$3209,"&lt;"&amp;$A2443+1)))</f>
        <v/>
      </c>
      <c r="AG2443">
        <f>IF($B2443=0,0,IF(Inputs!$B$9="",0,COUNTIFS(Data!$M$10:$M$3209,"&gt;="&amp;$A2443,Data!$M$10:$M$3209,"&lt;"&amp;$A2443+1)))</f>
        <v/>
      </c>
      <c r="AH2443">
        <f>IF($B2443=0,0,IF(Inputs!$B$10="",0,COUNTIFS(Data!$Q$10:$Q$3209,"&gt;="&amp;$A2443,Data!$Q$10:$Q$3209,"&lt;"&amp;$A2443+1)))</f>
        <v/>
      </c>
    </row>
    <row r="2444">
      <c r="A2444" s="55">
        <f>MIN(Inputs!$C$15,$A2443+IF(WEEKDAY($A2443,2)=5,3,1))</f>
        <v/>
      </c>
      <c r="B2444">
        <f>IF($A2444&gt;$A2443,1,0)</f>
        <v/>
      </c>
      <c r="C2444" s="56">
        <f>IF($B2444=0,"",IF(Inputs!$B$6="","",IF($AD2444=0,C2443,SUMIFS(Data!$B$10:$B$3209,Data!$A$10:$A$3209,"&gt;="&amp;$A2444,Data!$A$10:$A$3209,"&lt;"&amp;$A2444+1)/$AD2444)))</f>
        <v/>
      </c>
      <c r="D2444" s="56">
        <f>IF($B2444=0,"",IF(Inputs!$B$7="","",IF($AE2444=0,D2443,SUMIFS(Data!$F$10:$F$3209,Data!$E$10:$E$3209,"&gt;="&amp;$A2444,Data!$E$10:$E$3209,"&lt;"&amp;$A2444+1)/$AE2444)))</f>
        <v/>
      </c>
      <c r="E2444" s="56">
        <f>IF($B2444=0,"",IF(Inputs!$B$8="","",IF($AF2444=0,E2443,SUMIFS(Data!$J$10:$J$3209,Data!$I$10:$I$3209,"&gt;="&amp;$A2444,Data!$I$10:$I$3209,"&lt;"&amp;$A2444+1)/$AF2444)))</f>
        <v/>
      </c>
      <c r="F2444" s="56">
        <f>IF($B2444=0,"",IF(Inputs!$B$9="","",IF($AG2444=0,F2443,SUMIFS(Data!$N$10:$N$3209,Data!$M$10:$M$3209,"&gt;="&amp;$A2444,Data!$M$10:$M$3209,"&lt;"&amp;$A2444+1)/$AG2444)))</f>
        <v/>
      </c>
      <c r="G2444" s="56">
        <f>IF($B2444=0,"",IF(Inputs!$B$10="","",IF($AH2444=0,G2443,SUMIFS(Data!$R$10:$R$3209,Data!$Q$10:$Q$3209,"&gt;="&amp;$A2444,Data!$Q$10:$Q$3209,"&lt;"&amp;$A2444+1)/$AH2444)))</f>
        <v/>
      </c>
      <c r="I2444" s="54">
        <f>IF($B2444=0,NA(),IF($C2444="",NA(),IF(C$8="",NA(),IF(N(C$8)=0,NA(),IF(Inputs!$C$17="Rebased to 100",$C2444/C$8*100,$C2444)))))</f>
        <v/>
      </c>
      <c r="J2444" s="54">
        <f>IF($B2444=0,NA(),IF($D2444="",NA(),IF(D$8="",NA(),IF(N(D$8)=0,NA(),IF(Inputs!$C$17="Rebased to 100",$D2444/D$8*100,$D2444)))))</f>
        <v/>
      </c>
      <c r="K2444" s="54">
        <f>IF($B2444=0,NA(),IF($E2444="",NA(),IF(E$8="",NA(),IF(N(E$8)=0,NA(),IF(Inputs!$C$17="Rebased to 100",$E2444/E$8*100,$E2444)))))</f>
        <v/>
      </c>
      <c r="L2444" s="54">
        <f>IF($B2444=0,NA(),IF($F2444="",NA(),IF(F$8="",NA(),IF(N(F$8)=0,NA(),IF(Inputs!$C$17="Rebased to 100",$F2444/F$8*100,$F2444)))))</f>
        <v/>
      </c>
      <c r="M2444" s="54">
        <f>IF($B2444=0,NA(),IF($G2444="",NA(),IF(G$8="",NA(),IF(N(G$8)=0,NA(),IF(Inputs!$C$17="Rebased to 100",$G2444/G$8*100,$G2444)))))</f>
        <v/>
      </c>
      <c r="N2444" s="54">
        <f>IF($B2444=0,NA(),IF(Inputs!$C$18&lt;&gt;"Yes",NA(),IF(COUNT(I2444,J2444,K2444,L2444,M2444)=0,NA(),MIN(I2444,J2444,K2444,L2444,M2444))))</f>
        <v/>
      </c>
      <c r="O2444" s="54">
        <f>IF($B2444=0,NA(),IF(Inputs!$B$24&lt;&gt;"Yes",NA(),Inputs!$D$24*Inputs!$C$35))</f>
        <v/>
      </c>
      <c r="P2444" s="54">
        <f>IF($B2444=0,NA(),IF(Inputs!$B$25&lt;&gt;"Yes",NA(),Inputs!$D$25*Inputs!$C$35))</f>
        <v/>
      </c>
      <c r="Q2444" s="54">
        <f>IF($B2444=0,NA(),IF(Inputs!$B$26&lt;&gt;"Yes",NA(),Inputs!$D$26*Inputs!$C$35))</f>
        <v/>
      </c>
      <c r="R2444" s="54">
        <f>IF($B2444=0,NA(),IF(Inputs!$B$27&lt;&gt;"Yes",NA(),Inputs!$D$27*Inputs!$C$35))</f>
        <v/>
      </c>
      <c r="S2444" s="54">
        <f>IF($B2444=0,NA(),IF(Inputs!$B$28&lt;&gt;"Yes",NA(),Inputs!$D$28*Inputs!$C$35))</f>
        <v/>
      </c>
      <c r="T2444" s="54">
        <f>IF($B2444=0,NA(),IF(Inputs!$B$29&lt;&gt;"Yes",NA(),Inputs!$D$29*Inputs!$C$35))</f>
        <v/>
      </c>
      <c r="AD2444">
        <f>IF($B2444=0,0,IF(Inputs!$B$6="",0,COUNTIFS(Data!$A$10:$A$3209,"&gt;="&amp;$A2444,Data!$A$10:$A$3209,"&lt;"&amp;$A2444+1)))</f>
        <v/>
      </c>
      <c r="AE2444">
        <f>IF($B2444=0,0,IF(Inputs!$B$7="",0,COUNTIFS(Data!$E$10:$E$3209,"&gt;="&amp;$A2444,Data!$E$10:$E$3209,"&lt;"&amp;$A2444+1)))</f>
        <v/>
      </c>
      <c r="AF2444">
        <f>IF($B2444=0,0,IF(Inputs!$B$8="",0,COUNTIFS(Data!$I$10:$I$3209,"&gt;="&amp;$A2444,Data!$I$10:$I$3209,"&lt;"&amp;$A2444+1)))</f>
        <v/>
      </c>
      <c r="AG2444">
        <f>IF($B2444=0,0,IF(Inputs!$B$9="",0,COUNTIFS(Data!$M$10:$M$3209,"&gt;="&amp;$A2444,Data!$M$10:$M$3209,"&lt;"&amp;$A2444+1)))</f>
        <v/>
      </c>
      <c r="AH2444">
        <f>IF($B2444=0,0,IF(Inputs!$B$10="",0,COUNTIFS(Data!$Q$10:$Q$3209,"&gt;="&amp;$A2444,Data!$Q$10:$Q$3209,"&lt;"&amp;$A2444+1)))</f>
        <v/>
      </c>
    </row>
    <row r="2445">
      <c r="A2445" s="55">
        <f>MIN(Inputs!$C$15,$A2444+IF(WEEKDAY($A2444,2)=5,3,1))</f>
        <v/>
      </c>
      <c r="B2445">
        <f>IF($A2445&gt;$A2444,1,0)</f>
        <v/>
      </c>
      <c r="C2445" s="56">
        <f>IF($B2445=0,"",IF(Inputs!$B$6="","",IF($AD2445=0,C2444,SUMIFS(Data!$B$10:$B$3209,Data!$A$10:$A$3209,"&gt;="&amp;$A2445,Data!$A$10:$A$3209,"&lt;"&amp;$A2445+1)/$AD2445)))</f>
        <v/>
      </c>
      <c r="D2445" s="56">
        <f>IF($B2445=0,"",IF(Inputs!$B$7="","",IF($AE2445=0,D2444,SUMIFS(Data!$F$10:$F$3209,Data!$E$10:$E$3209,"&gt;="&amp;$A2445,Data!$E$10:$E$3209,"&lt;"&amp;$A2445+1)/$AE2445)))</f>
        <v/>
      </c>
      <c r="E2445" s="56">
        <f>IF($B2445=0,"",IF(Inputs!$B$8="","",IF($AF2445=0,E2444,SUMIFS(Data!$J$10:$J$3209,Data!$I$10:$I$3209,"&gt;="&amp;$A2445,Data!$I$10:$I$3209,"&lt;"&amp;$A2445+1)/$AF2445)))</f>
        <v/>
      </c>
      <c r="F2445" s="56">
        <f>IF($B2445=0,"",IF(Inputs!$B$9="","",IF($AG2445=0,F2444,SUMIFS(Data!$N$10:$N$3209,Data!$M$10:$M$3209,"&gt;="&amp;$A2445,Data!$M$10:$M$3209,"&lt;"&amp;$A2445+1)/$AG2445)))</f>
        <v/>
      </c>
      <c r="G2445" s="56">
        <f>IF($B2445=0,"",IF(Inputs!$B$10="","",IF($AH2445=0,G2444,SUMIFS(Data!$R$10:$R$3209,Data!$Q$10:$Q$3209,"&gt;="&amp;$A2445,Data!$Q$10:$Q$3209,"&lt;"&amp;$A2445+1)/$AH2445)))</f>
        <v/>
      </c>
      <c r="I2445" s="54">
        <f>IF($B2445=0,NA(),IF($C2445="",NA(),IF(C$8="",NA(),IF(N(C$8)=0,NA(),IF(Inputs!$C$17="Rebased to 100",$C2445/C$8*100,$C2445)))))</f>
        <v/>
      </c>
      <c r="J2445" s="54">
        <f>IF($B2445=0,NA(),IF($D2445="",NA(),IF(D$8="",NA(),IF(N(D$8)=0,NA(),IF(Inputs!$C$17="Rebased to 100",$D2445/D$8*100,$D2445)))))</f>
        <v/>
      </c>
      <c r="K2445" s="54">
        <f>IF($B2445=0,NA(),IF($E2445="",NA(),IF(E$8="",NA(),IF(N(E$8)=0,NA(),IF(Inputs!$C$17="Rebased to 100",$E2445/E$8*100,$E2445)))))</f>
        <v/>
      </c>
      <c r="L2445" s="54">
        <f>IF($B2445=0,NA(),IF($F2445="",NA(),IF(F$8="",NA(),IF(N(F$8)=0,NA(),IF(Inputs!$C$17="Rebased to 100",$F2445/F$8*100,$F2445)))))</f>
        <v/>
      </c>
      <c r="M2445" s="54">
        <f>IF($B2445=0,NA(),IF($G2445="",NA(),IF(G$8="",NA(),IF(N(G$8)=0,NA(),IF(Inputs!$C$17="Rebased to 100",$G2445/G$8*100,$G2445)))))</f>
        <v/>
      </c>
      <c r="N2445" s="54">
        <f>IF($B2445=0,NA(),IF(Inputs!$C$18&lt;&gt;"Yes",NA(),IF(COUNT(I2445,J2445,K2445,L2445,M2445)=0,NA(),MIN(I2445,J2445,K2445,L2445,M2445))))</f>
        <v/>
      </c>
      <c r="O2445" s="54">
        <f>IF($B2445=0,NA(),IF(Inputs!$B$24&lt;&gt;"Yes",NA(),Inputs!$D$24*Inputs!$C$35))</f>
        <v/>
      </c>
      <c r="P2445" s="54">
        <f>IF($B2445=0,NA(),IF(Inputs!$B$25&lt;&gt;"Yes",NA(),Inputs!$D$25*Inputs!$C$35))</f>
        <v/>
      </c>
      <c r="Q2445" s="54">
        <f>IF($B2445=0,NA(),IF(Inputs!$B$26&lt;&gt;"Yes",NA(),Inputs!$D$26*Inputs!$C$35))</f>
        <v/>
      </c>
      <c r="R2445" s="54">
        <f>IF($B2445=0,NA(),IF(Inputs!$B$27&lt;&gt;"Yes",NA(),Inputs!$D$27*Inputs!$C$35))</f>
        <v/>
      </c>
      <c r="S2445" s="54">
        <f>IF($B2445=0,NA(),IF(Inputs!$B$28&lt;&gt;"Yes",NA(),Inputs!$D$28*Inputs!$C$35))</f>
        <v/>
      </c>
      <c r="T2445" s="54">
        <f>IF($B2445=0,NA(),IF(Inputs!$B$29&lt;&gt;"Yes",NA(),Inputs!$D$29*Inputs!$C$35))</f>
        <v/>
      </c>
      <c r="AD2445">
        <f>IF($B2445=0,0,IF(Inputs!$B$6="",0,COUNTIFS(Data!$A$10:$A$3209,"&gt;="&amp;$A2445,Data!$A$10:$A$3209,"&lt;"&amp;$A2445+1)))</f>
        <v/>
      </c>
      <c r="AE2445">
        <f>IF($B2445=0,0,IF(Inputs!$B$7="",0,COUNTIFS(Data!$E$10:$E$3209,"&gt;="&amp;$A2445,Data!$E$10:$E$3209,"&lt;"&amp;$A2445+1)))</f>
        <v/>
      </c>
      <c r="AF2445">
        <f>IF($B2445=0,0,IF(Inputs!$B$8="",0,COUNTIFS(Data!$I$10:$I$3209,"&gt;="&amp;$A2445,Data!$I$10:$I$3209,"&lt;"&amp;$A2445+1)))</f>
        <v/>
      </c>
      <c r="AG2445">
        <f>IF($B2445=0,0,IF(Inputs!$B$9="",0,COUNTIFS(Data!$M$10:$M$3209,"&gt;="&amp;$A2445,Data!$M$10:$M$3209,"&lt;"&amp;$A2445+1)))</f>
        <v/>
      </c>
      <c r="AH2445">
        <f>IF($B2445=0,0,IF(Inputs!$B$10="",0,COUNTIFS(Data!$Q$10:$Q$3209,"&gt;="&amp;$A2445,Data!$Q$10:$Q$3209,"&lt;"&amp;$A2445+1)))</f>
        <v/>
      </c>
    </row>
    <row r="2446">
      <c r="A2446" s="55">
        <f>MIN(Inputs!$C$15,$A2445+IF(WEEKDAY($A2445,2)=5,3,1))</f>
        <v/>
      </c>
      <c r="B2446">
        <f>IF($A2446&gt;$A2445,1,0)</f>
        <v/>
      </c>
      <c r="C2446" s="56">
        <f>IF($B2446=0,"",IF(Inputs!$B$6="","",IF($AD2446=0,C2445,SUMIFS(Data!$B$10:$B$3209,Data!$A$10:$A$3209,"&gt;="&amp;$A2446,Data!$A$10:$A$3209,"&lt;"&amp;$A2446+1)/$AD2446)))</f>
        <v/>
      </c>
      <c r="D2446" s="56">
        <f>IF($B2446=0,"",IF(Inputs!$B$7="","",IF($AE2446=0,D2445,SUMIFS(Data!$F$10:$F$3209,Data!$E$10:$E$3209,"&gt;="&amp;$A2446,Data!$E$10:$E$3209,"&lt;"&amp;$A2446+1)/$AE2446)))</f>
        <v/>
      </c>
      <c r="E2446" s="56">
        <f>IF($B2446=0,"",IF(Inputs!$B$8="","",IF($AF2446=0,E2445,SUMIFS(Data!$J$10:$J$3209,Data!$I$10:$I$3209,"&gt;="&amp;$A2446,Data!$I$10:$I$3209,"&lt;"&amp;$A2446+1)/$AF2446)))</f>
        <v/>
      </c>
      <c r="F2446" s="56">
        <f>IF($B2446=0,"",IF(Inputs!$B$9="","",IF($AG2446=0,F2445,SUMIFS(Data!$N$10:$N$3209,Data!$M$10:$M$3209,"&gt;="&amp;$A2446,Data!$M$10:$M$3209,"&lt;"&amp;$A2446+1)/$AG2446)))</f>
        <v/>
      </c>
      <c r="G2446" s="56">
        <f>IF($B2446=0,"",IF(Inputs!$B$10="","",IF($AH2446=0,G2445,SUMIFS(Data!$R$10:$R$3209,Data!$Q$10:$Q$3209,"&gt;="&amp;$A2446,Data!$Q$10:$Q$3209,"&lt;"&amp;$A2446+1)/$AH2446)))</f>
        <v/>
      </c>
      <c r="I2446" s="54">
        <f>IF($B2446=0,NA(),IF($C2446="",NA(),IF(C$8="",NA(),IF(N(C$8)=0,NA(),IF(Inputs!$C$17="Rebased to 100",$C2446/C$8*100,$C2446)))))</f>
        <v/>
      </c>
      <c r="J2446" s="54">
        <f>IF($B2446=0,NA(),IF($D2446="",NA(),IF(D$8="",NA(),IF(N(D$8)=0,NA(),IF(Inputs!$C$17="Rebased to 100",$D2446/D$8*100,$D2446)))))</f>
        <v/>
      </c>
      <c r="K2446" s="54">
        <f>IF($B2446=0,NA(),IF($E2446="",NA(),IF(E$8="",NA(),IF(N(E$8)=0,NA(),IF(Inputs!$C$17="Rebased to 100",$E2446/E$8*100,$E2446)))))</f>
        <v/>
      </c>
      <c r="L2446" s="54">
        <f>IF($B2446=0,NA(),IF($F2446="",NA(),IF(F$8="",NA(),IF(N(F$8)=0,NA(),IF(Inputs!$C$17="Rebased to 100",$F2446/F$8*100,$F2446)))))</f>
        <v/>
      </c>
      <c r="M2446" s="54">
        <f>IF($B2446=0,NA(),IF($G2446="",NA(),IF(G$8="",NA(),IF(N(G$8)=0,NA(),IF(Inputs!$C$17="Rebased to 100",$G2446/G$8*100,$G2446)))))</f>
        <v/>
      </c>
      <c r="N2446" s="54">
        <f>IF($B2446=0,NA(),IF(Inputs!$C$18&lt;&gt;"Yes",NA(),IF(COUNT(I2446,J2446,K2446,L2446,M2446)=0,NA(),MIN(I2446,J2446,K2446,L2446,M2446))))</f>
        <v/>
      </c>
      <c r="O2446" s="54">
        <f>IF($B2446=0,NA(),IF(Inputs!$B$24&lt;&gt;"Yes",NA(),Inputs!$D$24*Inputs!$C$35))</f>
        <v/>
      </c>
      <c r="P2446" s="54">
        <f>IF($B2446=0,NA(),IF(Inputs!$B$25&lt;&gt;"Yes",NA(),Inputs!$D$25*Inputs!$C$35))</f>
        <v/>
      </c>
      <c r="Q2446" s="54">
        <f>IF($B2446=0,NA(),IF(Inputs!$B$26&lt;&gt;"Yes",NA(),Inputs!$D$26*Inputs!$C$35))</f>
        <v/>
      </c>
      <c r="R2446" s="54">
        <f>IF($B2446=0,NA(),IF(Inputs!$B$27&lt;&gt;"Yes",NA(),Inputs!$D$27*Inputs!$C$35))</f>
        <v/>
      </c>
      <c r="S2446" s="54">
        <f>IF($B2446=0,NA(),IF(Inputs!$B$28&lt;&gt;"Yes",NA(),Inputs!$D$28*Inputs!$C$35))</f>
        <v/>
      </c>
      <c r="T2446" s="54">
        <f>IF($B2446=0,NA(),IF(Inputs!$B$29&lt;&gt;"Yes",NA(),Inputs!$D$29*Inputs!$C$35))</f>
        <v/>
      </c>
      <c r="AD2446">
        <f>IF($B2446=0,0,IF(Inputs!$B$6="",0,COUNTIFS(Data!$A$10:$A$3209,"&gt;="&amp;$A2446,Data!$A$10:$A$3209,"&lt;"&amp;$A2446+1)))</f>
        <v/>
      </c>
      <c r="AE2446">
        <f>IF($B2446=0,0,IF(Inputs!$B$7="",0,COUNTIFS(Data!$E$10:$E$3209,"&gt;="&amp;$A2446,Data!$E$10:$E$3209,"&lt;"&amp;$A2446+1)))</f>
        <v/>
      </c>
      <c r="AF2446">
        <f>IF($B2446=0,0,IF(Inputs!$B$8="",0,COUNTIFS(Data!$I$10:$I$3209,"&gt;="&amp;$A2446,Data!$I$10:$I$3209,"&lt;"&amp;$A2446+1)))</f>
        <v/>
      </c>
      <c r="AG2446">
        <f>IF($B2446=0,0,IF(Inputs!$B$9="",0,COUNTIFS(Data!$M$10:$M$3209,"&gt;="&amp;$A2446,Data!$M$10:$M$3209,"&lt;"&amp;$A2446+1)))</f>
        <v/>
      </c>
      <c r="AH2446">
        <f>IF($B2446=0,0,IF(Inputs!$B$10="",0,COUNTIFS(Data!$Q$10:$Q$3209,"&gt;="&amp;$A2446,Data!$Q$10:$Q$3209,"&lt;"&amp;$A2446+1)))</f>
        <v/>
      </c>
    </row>
    <row r="2447">
      <c r="A2447" s="55">
        <f>MIN(Inputs!$C$15,$A2446+IF(WEEKDAY($A2446,2)=5,3,1))</f>
        <v/>
      </c>
      <c r="B2447">
        <f>IF($A2447&gt;$A2446,1,0)</f>
        <v/>
      </c>
      <c r="C2447" s="56">
        <f>IF($B2447=0,"",IF(Inputs!$B$6="","",IF($AD2447=0,C2446,SUMIFS(Data!$B$10:$B$3209,Data!$A$10:$A$3209,"&gt;="&amp;$A2447,Data!$A$10:$A$3209,"&lt;"&amp;$A2447+1)/$AD2447)))</f>
        <v/>
      </c>
      <c r="D2447" s="56">
        <f>IF($B2447=0,"",IF(Inputs!$B$7="","",IF($AE2447=0,D2446,SUMIFS(Data!$F$10:$F$3209,Data!$E$10:$E$3209,"&gt;="&amp;$A2447,Data!$E$10:$E$3209,"&lt;"&amp;$A2447+1)/$AE2447)))</f>
        <v/>
      </c>
      <c r="E2447" s="56">
        <f>IF($B2447=0,"",IF(Inputs!$B$8="","",IF($AF2447=0,E2446,SUMIFS(Data!$J$10:$J$3209,Data!$I$10:$I$3209,"&gt;="&amp;$A2447,Data!$I$10:$I$3209,"&lt;"&amp;$A2447+1)/$AF2447)))</f>
        <v/>
      </c>
      <c r="F2447" s="56">
        <f>IF($B2447=0,"",IF(Inputs!$B$9="","",IF($AG2447=0,F2446,SUMIFS(Data!$N$10:$N$3209,Data!$M$10:$M$3209,"&gt;="&amp;$A2447,Data!$M$10:$M$3209,"&lt;"&amp;$A2447+1)/$AG2447)))</f>
        <v/>
      </c>
      <c r="G2447" s="56">
        <f>IF($B2447=0,"",IF(Inputs!$B$10="","",IF($AH2447=0,G2446,SUMIFS(Data!$R$10:$R$3209,Data!$Q$10:$Q$3209,"&gt;="&amp;$A2447,Data!$Q$10:$Q$3209,"&lt;"&amp;$A2447+1)/$AH2447)))</f>
        <v/>
      </c>
      <c r="I2447" s="54">
        <f>IF($B2447=0,NA(),IF($C2447="",NA(),IF(C$8="",NA(),IF(N(C$8)=0,NA(),IF(Inputs!$C$17="Rebased to 100",$C2447/C$8*100,$C2447)))))</f>
        <v/>
      </c>
      <c r="J2447" s="54">
        <f>IF($B2447=0,NA(),IF($D2447="",NA(),IF(D$8="",NA(),IF(N(D$8)=0,NA(),IF(Inputs!$C$17="Rebased to 100",$D2447/D$8*100,$D2447)))))</f>
        <v/>
      </c>
      <c r="K2447" s="54">
        <f>IF($B2447=0,NA(),IF($E2447="",NA(),IF(E$8="",NA(),IF(N(E$8)=0,NA(),IF(Inputs!$C$17="Rebased to 100",$E2447/E$8*100,$E2447)))))</f>
        <v/>
      </c>
      <c r="L2447" s="54">
        <f>IF($B2447=0,NA(),IF($F2447="",NA(),IF(F$8="",NA(),IF(N(F$8)=0,NA(),IF(Inputs!$C$17="Rebased to 100",$F2447/F$8*100,$F2447)))))</f>
        <v/>
      </c>
      <c r="M2447" s="54">
        <f>IF($B2447=0,NA(),IF($G2447="",NA(),IF(G$8="",NA(),IF(N(G$8)=0,NA(),IF(Inputs!$C$17="Rebased to 100",$G2447/G$8*100,$G2447)))))</f>
        <v/>
      </c>
      <c r="N2447" s="54">
        <f>IF($B2447=0,NA(),IF(Inputs!$C$18&lt;&gt;"Yes",NA(),IF(COUNT(I2447,J2447,K2447,L2447,M2447)=0,NA(),MIN(I2447,J2447,K2447,L2447,M2447))))</f>
        <v/>
      </c>
      <c r="O2447" s="54">
        <f>IF($B2447=0,NA(),IF(Inputs!$B$24&lt;&gt;"Yes",NA(),Inputs!$D$24*Inputs!$C$35))</f>
        <v/>
      </c>
      <c r="P2447" s="54">
        <f>IF($B2447=0,NA(),IF(Inputs!$B$25&lt;&gt;"Yes",NA(),Inputs!$D$25*Inputs!$C$35))</f>
        <v/>
      </c>
      <c r="Q2447" s="54">
        <f>IF($B2447=0,NA(),IF(Inputs!$B$26&lt;&gt;"Yes",NA(),Inputs!$D$26*Inputs!$C$35))</f>
        <v/>
      </c>
      <c r="R2447" s="54">
        <f>IF($B2447=0,NA(),IF(Inputs!$B$27&lt;&gt;"Yes",NA(),Inputs!$D$27*Inputs!$C$35))</f>
        <v/>
      </c>
      <c r="S2447" s="54">
        <f>IF($B2447=0,NA(),IF(Inputs!$B$28&lt;&gt;"Yes",NA(),Inputs!$D$28*Inputs!$C$35))</f>
        <v/>
      </c>
      <c r="T2447" s="54">
        <f>IF($B2447=0,NA(),IF(Inputs!$B$29&lt;&gt;"Yes",NA(),Inputs!$D$29*Inputs!$C$35))</f>
        <v/>
      </c>
      <c r="AD2447">
        <f>IF($B2447=0,0,IF(Inputs!$B$6="",0,COUNTIFS(Data!$A$10:$A$3209,"&gt;="&amp;$A2447,Data!$A$10:$A$3209,"&lt;"&amp;$A2447+1)))</f>
        <v/>
      </c>
      <c r="AE2447">
        <f>IF($B2447=0,0,IF(Inputs!$B$7="",0,COUNTIFS(Data!$E$10:$E$3209,"&gt;="&amp;$A2447,Data!$E$10:$E$3209,"&lt;"&amp;$A2447+1)))</f>
        <v/>
      </c>
      <c r="AF2447">
        <f>IF($B2447=0,0,IF(Inputs!$B$8="",0,COUNTIFS(Data!$I$10:$I$3209,"&gt;="&amp;$A2447,Data!$I$10:$I$3209,"&lt;"&amp;$A2447+1)))</f>
        <v/>
      </c>
      <c r="AG2447">
        <f>IF($B2447=0,0,IF(Inputs!$B$9="",0,COUNTIFS(Data!$M$10:$M$3209,"&gt;="&amp;$A2447,Data!$M$10:$M$3209,"&lt;"&amp;$A2447+1)))</f>
        <v/>
      </c>
      <c r="AH2447">
        <f>IF($B2447=0,0,IF(Inputs!$B$10="",0,COUNTIFS(Data!$Q$10:$Q$3209,"&gt;="&amp;$A2447,Data!$Q$10:$Q$3209,"&lt;"&amp;$A2447+1)))</f>
        <v/>
      </c>
    </row>
    <row r="2448">
      <c r="A2448" s="55">
        <f>MIN(Inputs!$C$15,$A2447+IF(WEEKDAY($A2447,2)=5,3,1))</f>
        <v/>
      </c>
      <c r="B2448">
        <f>IF($A2448&gt;$A2447,1,0)</f>
        <v/>
      </c>
      <c r="C2448" s="56">
        <f>IF($B2448=0,"",IF(Inputs!$B$6="","",IF($AD2448=0,C2447,SUMIFS(Data!$B$10:$B$3209,Data!$A$10:$A$3209,"&gt;="&amp;$A2448,Data!$A$10:$A$3209,"&lt;"&amp;$A2448+1)/$AD2448)))</f>
        <v/>
      </c>
      <c r="D2448" s="56">
        <f>IF($B2448=0,"",IF(Inputs!$B$7="","",IF($AE2448=0,D2447,SUMIFS(Data!$F$10:$F$3209,Data!$E$10:$E$3209,"&gt;="&amp;$A2448,Data!$E$10:$E$3209,"&lt;"&amp;$A2448+1)/$AE2448)))</f>
        <v/>
      </c>
      <c r="E2448" s="56">
        <f>IF($B2448=0,"",IF(Inputs!$B$8="","",IF($AF2448=0,E2447,SUMIFS(Data!$J$10:$J$3209,Data!$I$10:$I$3209,"&gt;="&amp;$A2448,Data!$I$10:$I$3209,"&lt;"&amp;$A2448+1)/$AF2448)))</f>
        <v/>
      </c>
      <c r="F2448" s="56">
        <f>IF($B2448=0,"",IF(Inputs!$B$9="","",IF($AG2448=0,F2447,SUMIFS(Data!$N$10:$N$3209,Data!$M$10:$M$3209,"&gt;="&amp;$A2448,Data!$M$10:$M$3209,"&lt;"&amp;$A2448+1)/$AG2448)))</f>
        <v/>
      </c>
      <c r="G2448" s="56">
        <f>IF($B2448=0,"",IF(Inputs!$B$10="","",IF($AH2448=0,G2447,SUMIFS(Data!$R$10:$R$3209,Data!$Q$10:$Q$3209,"&gt;="&amp;$A2448,Data!$Q$10:$Q$3209,"&lt;"&amp;$A2448+1)/$AH2448)))</f>
        <v/>
      </c>
      <c r="I2448" s="54">
        <f>IF($B2448=0,NA(),IF($C2448="",NA(),IF(C$8="",NA(),IF(N(C$8)=0,NA(),IF(Inputs!$C$17="Rebased to 100",$C2448/C$8*100,$C2448)))))</f>
        <v/>
      </c>
      <c r="J2448" s="54">
        <f>IF($B2448=0,NA(),IF($D2448="",NA(),IF(D$8="",NA(),IF(N(D$8)=0,NA(),IF(Inputs!$C$17="Rebased to 100",$D2448/D$8*100,$D2448)))))</f>
        <v/>
      </c>
      <c r="K2448" s="54">
        <f>IF($B2448=0,NA(),IF($E2448="",NA(),IF(E$8="",NA(),IF(N(E$8)=0,NA(),IF(Inputs!$C$17="Rebased to 100",$E2448/E$8*100,$E2448)))))</f>
        <v/>
      </c>
      <c r="L2448" s="54">
        <f>IF($B2448=0,NA(),IF($F2448="",NA(),IF(F$8="",NA(),IF(N(F$8)=0,NA(),IF(Inputs!$C$17="Rebased to 100",$F2448/F$8*100,$F2448)))))</f>
        <v/>
      </c>
      <c r="M2448" s="54">
        <f>IF($B2448=0,NA(),IF($G2448="",NA(),IF(G$8="",NA(),IF(N(G$8)=0,NA(),IF(Inputs!$C$17="Rebased to 100",$G2448/G$8*100,$G2448)))))</f>
        <v/>
      </c>
      <c r="N2448" s="54">
        <f>IF($B2448=0,NA(),IF(Inputs!$C$18&lt;&gt;"Yes",NA(),IF(COUNT(I2448,J2448,K2448,L2448,M2448)=0,NA(),MIN(I2448,J2448,K2448,L2448,M2448))))</f>
        <v/>
      </c>
      <c r="O2448" s="54">
        <f>IF($B2448=0,NA(),IF(Inputs!$B$24&lt;&gt;"Yes",NA(),Inputs!$D$24*Inputs!$C$35))</f>
        <v/>
      </c>
      <c r="P2448" s="54">
        <f>IF($B2448=0,NA(),IF(Inputs!$B$25&lt;&gt;"Yes",NA(),Inputs!$D$25*Inputs!$C$35))</f>
        <v/>
      </c>
      <c r="Q2448" s="54">
        <f>IF($B2448=0,NA(),IF(Inputs!$B$26&lt;&gt;"Yes",NA(),Inputs!$D$26*Inputs!$C$35))</f>
        <v/>
      </c>
      <c r="R2448" s="54">
        <f>IF($B2448=0,NA(),IF(Inputs!$B$27&lt;&gt;"Yes",NA(),Inputs!$D$27*Inputs!$C$35))</f>
        <v/>
      </c>
      <c r="S2448" s="54">
        <f>IF($B2448=0,NA(),IF(Inputs!$B$28&lt;&gt;"Yes",NA(),Inputs!$D$28*Inputs!$C$35))</f>
        <v/>
      </c>
      <c r="T2448" s="54">
        <f>IF($B2448=0,NA(),IF(Inputs!$B$29&lt;&gt;"Yes",NA(),Inputs!$D$29*Inputs!$C$35))</f>
        <v/>
      </c>
      <c r="AD2448">
        <f>IF($B2448=0,0,IF(Inputs!$B$6="",0,COUNTIFS(Data!$A$10:$A$3209,"&gt;="&amp;$A2448,Data!$A$10:$A$3209,"&lt;"&amp;$A2448+1)))</f>
        <v/>
      </c>
      <c r="AE2448">
        <f>IF($B2448=0,0,IF(Inputs!$B$7="",0,COUNTIFS(Data!$E$10:$E$3209,"&gt;="&amp;$A2448,Data!$E$10:$E$3209,"&lt;"&amp;$A2448+1)))</f>
        <v/>
      </c>
      <c r="AF2448">
        <f>IF($B2448=0,0,IF(Inputs!$B$8="",0,COUNTIFS(Data!$I$10:$I$3209,"&gt;="&amp;$A2448,Data!$I$10:$I$3209,"&lt;"&amp;$A2448+1)))</f>
        <v/>
      </c>
      <c r="AG2448">
        <f>IF($B2448=0,0,IF(Inputs!$B$9="",0,COUNTIFS(Data!$M$10:$M$3209,"&gt;="&amp;$A2448,Data!$M$10:$M$3209,"&lt;"&amp;$A2448+1)))</f>
        <v/>
      </c>
      <c r="AH2448">
        <f>IF($B2448=0,0,IF(Inputs!$B$10="",0,COUNTIFS(Data!$Q$10:$Q$3209,"&gt;="&amp;$A2448,Data!$Q$10:$Q$3209,"&lt;"&amp;$A2448+1)))</f>
        <v/>
      </c>
    </row>
    <row r="2449">
      <c r="A2449" s="55">
        <f>MIN(Inputs!$C$15,$A2448+IF(WEEKDAY($A2448,2)=5,3,1))</f>
        <v/>
      </c>
      <c r="B2449">
        <f>IF($A2449&gt;$A2448,1,0)</f>
        <v/>
      </c>
      <c r="C2449" s="56">
        <f>IF($B2449=0,"",IF(Inputs!$B$6="","",IF($AD2449=0,C2448,SUMIFS(Data!$B$10:$B$3209,Data!$A$10:$A$3209,"&gt;="&amp;$A2449,Data!$A$10:$A$3209,"&lt;"&amp;$A2449+1)/$AD2449)))</f>
        <v/>
      </c>
      <c r="D2449" s="56">
        <f>IF($B2449=0,"",IF(Inputs!$B$7="","",IF($AE2449=0,D2448,SUMIFS(Data!$F$10:$F$3209,Data!$E$10:$E$3209,"&gt;="&amp;$A2449,Data!$E$10:$E$3209,"&lt;"&amp;$A2449+1)/$AE2449)))</f>
        <v/>
      </c>
      <c r="E2449" s="56">
        <f>IF($B2449=0,"",IF(Inputs!$B$8="","",IF($AF2449=0,E2448,SUMIFS(Data!$J$10:$J$3209,Data!$I$10:$I$3209,"&gt;="&amp;$A2449,Data!$I$10:$I$3209,"&lt;"&amp;$A2449+1)/$AF2449)))</f>
        <v/>
      </c>
      <c r="F2449" s="56">
        <f>IF($B2449=0,"",IF(Inputs!$B$9="","",IF($AG2449=0,F2448,SUMIFS(Data!$N$10:$N$3209,Data!$M$10:$M$3209,"&gt;="&amp;$A2449,Data!$M$10:$M$3209,"&lt;"&amp;$A2449+1)/$AG2449)))</f>
        <v/>
      </c>
      <c r="G2449" s="56">
        <f>IF($B2449=0,"",IF(Inputs!$B$10="","",IF($AH2449=0,G2448,SUMIFS(Data!$R$10:$R$3209,Data!$Q$10:$Q$3209,"&gt;="&amp;$A2449,Data!$Q$10:$Q$3209,"&lt;"&amp;$A2449+1)/$AH2449)))</f>
        <v/>
      </c>
      <c r="I2449" s="54">
        <f>IF($B2449=0,NA(),IF($C2449="",NA(),IF(C$8="",NA(),IF(N(C$8)=0,NA(),IF(Inputs!$C$17="Rebased to 100",$C2449/C$8*100,$C2449)))))</f>
        <v/>
      </c>
      <c r="J2449" s="54">
        <f>IF($B2449=0,NA(),IF($D2449="",NA(),IF(D$8="",NA(),IF(N(D$8)=0,NA(),IF(Inputs!$C$17="Rebased to 100",$D2449/D$8*100,$D2449)))))</f>
        <v/>
      </c>
      <c r="K2449" s="54">
        <f>IF($B2449=0,NA(),IF($E2449="",NA(),IF(E$8="",NA(),IF(N(E$8)=0,NA(),IF(Inputs!$C$17="Rebased to 100",$E2449/E$8*100,$E2449)))))</f>
        <v/>
      </c>
      <c r="L2449" s="54">
        <f>IF($B2449=0,NA(),IF($F2449="",NA(),IF(F$8="",NA(),IF(N(F$8)=0,NA(),IF(Inputs!$C$17="Rebased to 100",$F2449/F$8*100,$F2449)))))</f>
        <v/>
      </c>
      <c r="M2449" s="54">
        <f>IF($B2449=0,NA(),IF($G2449="",NA(),IF(G$8="",NA(),IF(N(G$8)=0,NA(),IF(Inputs!$C$17="Rebased to 100",$G2449/G$8*100,$G2449)))))</f>
        <v/>
      </c>
      <c r="N2449" s="54">
        <f>IF($B2449=0,NA(),IF(Inputs!$C$18&lt;&gt;"Yes",NA(),IF(COUNT(I2449,J2449,K2449,L2449,M2449)=0,NA(),MIN(I2449,J2449,K2449,L2449,M2449))))</f>
        <v/>
      </c>
      <c r="O2449" s="54">
        <f>IF($B2449=0,NA(),IF(Inputs!$B$24&lt;&gt;"Yes",NA(),Inputs!$D$24*Inputs!$C$35))</f>
        <v/>
      </c>
      <c r="P2449" s="54">
        <f>IF($B2449=0,NA(),IF(Inputs!$B$25&lt;&gt;"Yes",NA(),Inputs!$D$25*Inputs!$C$35))</f>
        <v/>
      </c>
      <c r="Q2449" s="54">
        <f>IF($B2449=0,NA(),IF(Inputs!$B$26&lt;&gt;"Yes",NA(),Inputs!$D$26*Inputs!$C$35))</f>
        <v/>
      </c>
      <c r="R2449" s="54">
        <f>IF($B2449=0,NA(),IF(Inputs!$B$27&lt;&gt;"Yes",NA(),Inputs!$D$27*Inputs!$C$35))</f>
        <v/>
      </c>
      <c r="S2449" s="54">
        <f>IF($B2449=0,NA(),IF(Inputs!$B$28&lt;&gt;"Yes",NA(),Inputs!$D$28*Inputs!$C$35))</f>
        <v/>
      </c>
      <c r="T2449" s="54">
        <f>IF($B2449=0,NA(),IF(Inputs!$B$29&lt;&gt;"Yes",NA(),Inputs!$D$29*Inputs!$C$35))</f>
        <v/>
      </c>
      <c r="AD2449">
        <f>IF($B2449=0,0,IF(Inputs!$B$6="",0,COUNTIFS(Data!$A$10:$A$3209,"&gt;="&amp;$A2449,Data!$A$10:$A$3209,"&lt;"&amp;$A2449+1)))</f>
        <v/>
      </c>
      <c r="AE2449">
        <f>IF($B2449=0,0,IF(Inputs!$B$7="",0,COUNTIFS(Data!$E$10:$E$3209,"&gt;="&amp;$A2449,Data!$E$10:$E$3209,"&lt;"&amp;$A2449+1)))</f>
        <v/>
      </c>
      <c r="AF2449">
        <f>IF($B2449=0,0,IF(Inputs!$B$8="",0,COUNTIFS(Data!$I$10:$I$3209,"&gt;="&amp;$A2449,Data!$I$10:$I$3209,"&lt;"&amp;$A2449+1)))</f>
        <v/>
      </c>
      <c r="AG2449">
        <f>IF($B2449=0,0,IF(Inputs!$B$9="",0,COUNTIFS(Data!$M$10:$M$3209,"&gt;="&amp;$A2449,Data!$M$10:$M$3209,"&lt;"&amp;$A2449+1)))</f>
        <v/>
      </c>
      <c r="AH2449">
        <f>IF($B2449=0,0,IF(Inputs!$B$10="",0,COUNTIFS(Data!$Q$10:$Q$3209,"&gt;="&amp;$A2449,Data!$Q$10:$Q$3209,"&lt;"&amp;$A2449+1)))</f>
        <v/>
      </c>
    </row>
    <row r="2450">
      <c r="A2450" s="55">
        <f>MIN(Inputs!$C$15,$A2449+IF(WEEKDAY($A2449,2)=5,3,1))</f>
        <v/>
      </c>
      <c r="B2450">
        <f>IF($A2450&gt;$A2449,1,0)</f>
        <v/>
      </c>
      <c r="C2450" s="56">
        <f>IF($B2450=0,"",IF(Inputs!$B$6="","",IF($AD2450=0,C2449,SUMIFS(Data!$B$10:$B$3209,Data!$A$10:$A$3209,"&gt;="&amp;$A2450,Data!$A$10:$A$3209,"&lt;"&amp;$A2450+1)/$AD2450)))</f>
        <v/>
      </c>
      <c r="D2450" s="56">
        <f>IF($B2450=0,"",IF(Inputs!$B$7="","",IF($AE2450=0,D2449,SUMIFS(Data!$F$10:$F$3209,Data!$E$10:$E$3209,"&gt;="&amp;$A2450,Data!$E$10:$E$3209,"&lt;"&amp;$A2450+1)/$AE2450)))</f>
        <v/>
      </c>
      <c r="E2450" s="56">
        <f>IF($B2450=0,"",IF(Inputs!$B$8="","",IF($AF2450=0,E2449,SUMIFS(Data!$J$10:$J$3209,Data!$I$10:$I$3209,"&gt;="&amp;$A2450,Data!$I$10:$I$3209,"&lt;"&amp;$A2450+1)/$AF2450)))</f>
        <v/>
      </c>
      <c r="F2450" s="56">
        <f>IF($B2450=0,"",IF(Inputs!$B$9="","",IF($AG2450=0,F2449,SUMIFS(Data!$N$10:$N$3209,Data!$M$10:$M$3209,"&gt;="&amp;$A2450,Data!$M$10:$M$3209,"&lt;"&amp;$A2450+1)/$AG2450)))</f>
        <v/>
      </c>
      <c r="G2450" s="56">
        <f>IF($B2450=0,"",IF(Inputs!$B$10="","",IF($AH2450=0,G2449,SUMIFS(Data!$R$10:$R$3209,Data!$Q$10:$Q$3209,"&gt;="&amp;$A2450,Data!$Q$10:$Q$3209,"&lt;"&amp;$A2450+1)/$AH2450)))</f>
        <v/>
      </c>
      <c r="I2450" s="54">
        <f>IF($B2450=0,NA(),IF($C2450="",NA(),IF(C$8="",NA(),IF(N(C$8)=0,NA(),IF(Inputs!$C$17="Rebased to 100",$C2450/C$8*100,$C2450)))))</f>
        <v/>
      </c>
      <c r="J2450" s="54">
        <f>IF($B2450=0,NA(),IF($D2450="",NA(),IF(D$8="",NA(),IF(N(D$8)=0,NA(),IF(Inputs!$C$17="Rebased to 100",$D2450/D$8*100,$D2450)))))</f>
        <v/>
      </c>
      <c r="K2450" s="54">
        <f>IF($B2450=0,NA(),IF($E2450="",NA(),IF(E$8="",NA(),IF(N(E$8)=0,NA(),IF(Inputs!$C$17="Rebased to 100",$E2450/E$8*100,$E2450)))))</f>
        <v/>
      </c>
      <c r="L2450" s="54">
        <f>IF($B2450=0,NA(),IF($F2450="",NA(),IF(F$8="",NA(),IF(N(F$8)=0,NA(),IF(Inputs!$C$17="Rebased to 100",$F2450/F$8*100,$F2450)))))</f>
        <v/>
      </c>
      <c r="M2450" s="54">
        <f>IF($B2450=0,NA(),IF($G2450="",NA(),IF(G$8="",NA(),IF(N(G$8)=0,NA(),IF(Inputs!$C$17="Rebased to 100",$G2450/G$8*100,$G2450)))))</f>
        <v/>
      </c>
      <c r="N2450" s="54">
        <f>IF($B2450=0,NA(),IF(Inputs!$C$18&lt;&gt;"Yes",NA(),IF(COUNT(I2450,J2450,K2450,L2450,M2450)=0,NA(),MIN(I2450,J2450,K2450,L2450,M2450))))</f>
        <v/>
      </c>
      <c r="O2450" s="54">
        <f>IF($B2450=0,NA(),IF(Inputs!$B$24&lt;&gt;"Yes",NA(),Inputs!$D$24*Inputs!$C$35))</f>
        <v/>
      </c>
      <c r="P2450" s="54">
        <f>IF($B2450=0,NA(),IF(Inputs!$B$25&lt;&gt;"Yes",NA(),Inputs!$D$25*Inputs!$C$35))</f>
        <v/>
      </c>
      <c r="Q2450" s="54">
        <f>IF($B2450=0,NA(),IF(Inputs!$B$26&lt;&gt;"Yes",NA(),Inputs!$D$26*Inputs!$C$35))</f>
        <v/>
      </c>
      <c r="R2450" s="54">
        <f>IF($B2450=0,NA(),IF(Inputs!$B$27&lt;&gt;"Yes",NA(),Inputs!$D$27*Inputs!$C$35))</f>
        <v/>
      </c>
      <c r="S2450" s="54">
        <f>IF($B2450=0,NA(),IF(Inputs!$B$28&lt;&gt;"Yes",NA(),Inputs!$D$28*Inputs!$C$35))</f>
        <v/>
      </c>
      <c r="T2450" s="54">
        <f>IF($B2450=0,NA(),IF(Inputs!$B$29&lt;&gt;"Yes",NA(),Inputs!$D$29*Inputs!$C$35))</f>
        <v/>
      </c>
      <c r="AD2450">
        <f>IF($B2450=0,0,IF(Inputs!$B$6="",0,COUNTIFS(Data!$A$10:$A$3209,"&gt;="&amp;$A2450,Data!$A$10:$A$3209,"&lt;"&amp;$A2450+1)))</f>
        <v/>
      </c>
      <c r="AE2450">
        <f>IF($B2450=0,0,IF(Inputs!$B$7="",0,COUNTIFS(Data!$E$10:$E$3209,"&gt;="&amp;$A2450,Data!$E$10:$E$3209,"&lt;"&amp;$A2450+1)))</f>
        <v/>
      </c>
      <c r="AF2450">
        <f>IF($B2450=0,0,IF(Inputs!$B$8="",0,COUNTIFS(Data!$I$10:$I$3209,"&gt;="&amp;$A2450,Data!$I$10:$I$3209,"&lt;"&amp;$A2450+1)))</f>
        <v/>
      </c>
      <c r="AG2450">
        <f>IF($B2450=0,0,IF(Inputs!$B$9="",0,COUNTIFS(Data!$M$10:$M$3209,"&gt;="&amp;$A2450,Data!$M$10:$M$3209,"&lt;"&amp;$A2450+1)))</f>
        <v/>
      </c>
      <c r="AH2450">
        <f>IF($B2450=0,0,IF(Inputs!$B$10="",0,COUNTIFS(Data!$Q$10:$Q$3209,"&gt;="&amp;$A2450,Data!$Q$10:$Q$3209,"&lt;"&amp;$A2450+1)))</f>
        <v/>
      </c>
    </row>
    <row r="2451">
      <c r="A2451" s="55">
        <f>MIN(Inputs!$C$15,$A2450+IF(WEEKDAY($A2450,2)=5,3,1))</f>
        <v/>
      </c>
      <c r="B2451">
        <f>IF($A2451&gt;$A2450,1,0)</f>
        <v/>
      </c>
      <c r="C2451" s="56">
        <f>IF($B2451=0,"",IF(Inputs!$B$6="","",IF($AD2451=0,C2450,SUMIFS(Data!$B$10:$B$3209,Data!$A$10:$A$3209,"&gt;="&amp;$A2451,Data!$A$10:$A$3209,"&lt;"&amp;$A2451+1)/$AD2451)))</f>
        <v/>
      </c>
      <c r="D2451" s="56">
        <f>IF($B2451=0,"",IF(Inputs!$B$7="","",IF($AE2451=0,D2450,SUMIFS(Data!$F$10:$F$3209,Data!$E$10:$E$3209,"&gt;="&amp;$A2451,Data!$E$10:$E$3209,"&lt;"&amp;$A2451+1)/$AE2451)))</f>
        <v/>
      </c>
      <c r="E2451" s="56">
        <f>IF($B2451=0,"",IF(Inputs!$B$8="","",IF($AF2451=0,E2450,SUMIFS(Data!$J$10:$J$3209,Data!$I$10:$I$3209,"&gt;="&amp;$A2451,Data!$I$10:$I$3209,"&lt;"&amp;$A2451+1)/$AF2451)))</f>
        <v/>
      </c>
      <c r="F2451" s="56">
        <f>IF($B2451=0,"",IF(Inputs!$B$9="","",IF($AG2451=0,F2450,SUMIFS(Data!$N$10:$N$3209,Data!$M$10:$M$3209,"&gt;="&amp;$A2451,Data!$M$10:$M$3209,"&lt;"&amp;$A2451+1)/$AG2451)))</f>
        <v/>
      </c>
      <c r="G2451" s="56">
        <f>IF($B2451=0,"",IF(Inputs!$B$10="","",IF($AH2451=0,G2450,SUMIFS(Data!$R$10:$R$3209,Data!$Q$10:$Q$3209,"&gt;="&amp;$A2451,Data!$Q$10:$Q$3209,"&lt;"&amp;$A2451+1)/$AH2451)))</f>
        <v/>
      </c>
      <c r="I2451" s="54">
        <f>IF($B2451=0,NA(),IF($C2451="",NA(),IF(C$8="",NA(),IF(N(C$8)=0,NA(),IF(Inputs!$C$17="Rebased to 100",$C2451/C$8*100,$C2451)))))</f>
        <v/>
      </c>
      <c r="J2451" s="54">
        <f>IF($B2451=0,NA(),IF($D2451="",NA(),IF(D$8="",NA(),IF(N(D$8)=0,NA(),IF(Inputs!$C$17="Rebased to 100",$D2451/D$8*100,$D2451)))))</f>
        <v/>
      </c>
      <c r="K2451" s="54">
        <f>IF($B2451=0,NA(),IF($E2451="",NA(),IF(E$8="",NA(),IF(N(E$8)=0,NA(),IF(Inputs!$C$17="Rebased to 100",$E2451/E$8*100,$E2451)))))</f>
        <v/>
      </c>
      <c r="L2451" s="54">
        <f>IF($B2451=0,NA(),IF($F2451="",NA(),IF(F$8="",NA(),IF(N(F$8)=0,NA(),IF(Inputs!$C$17="Rebased to 100",$F2451/F$8*100,$F2451)))))</f>
        <v/>
      </c>
      <c r="M2451" s="54">
        <f>IF($B2451=0,NA(),IF($G2451="",NA(),IF(G$8="",NA(),IF(N(G$8)=0,NA(),IF(Inputs!$C$17="Rebased to 100",$G2451/G$8*100,$G2451)))))</f>
        <v/>
      </c>
      <c r="N2451" s="54">
        <f>IF($B2451=0,NA(),IF(Inputs!$C$18&lt;&gt;"Yes",NA(),IF(COUNT(I2451,J2451,K2451,L2451,M2451)=0,NA(),MIN(I2451,J2451,K2451,L2451,M2451))))</f>
        <v/>
      </c>
      <c r="O2451" s="54">
        <f>IF($B2451=0,NA(),IF(Inputs!$B$24&lt;&gt;"Yes",NA(),Inputs!$D$24*Inputs!$C$35))</f>
        <v/>
      </c>
      <c r="P2451" s="54">
        <f>IF($B2451=0,NA(),IF(Inputs!$B$25&lt;&gt;"Yes",NA(),Inputs!$D$25*Inputs!$C$35))</f>
        <v/>
      </c>
      <c r="Q2451" s="54">
        <f>IF($B2451=0,NA(),IF(Inputs!$B$26&lt;&gt;"Yes",NA(),Inputs!$D$26*Inputs!$C$35))</f>
        <v/>
      </c>
      <c r="R2451" s="54">
        <f>IF($B2451=0,NA(),IF(Inputs!$B$27&lt;&gt;"Yes",NA(),Inputs!$D$27*Inputs!$C$35))</f>
        <v/>
      </c>
      <c r="S2451" s="54">
        <f>IF($B2451=0,NA(),IF(Inputs!$B$28&lt;&gt;"Yes",NA(),Inputs!$D$28*Inputs!$C$35))</f>
        <v/>
      </c>
      <c r="T2451" s="54">
        <f>IF($B2451=0,NA(),IF(Inputs!$B$29&lt;&gt;"Yes",NA(),Inputs!$D$29*Inputs!$C$35))</f>
        <v/>
      </c>
      <c r="AD2451">
        <f>IF($B2451=0,0,IF(Inputs!$B$6="",0,COUNTIFS(Data!$A$10:$A$3209,"&gt;="&amp;$A2451,Data!$A$10:$A$3209,"&lt;"&amp;$A2451+1)))</f>
        <v/>
      </c>
      <c r="AE2451">
        <f>IF($B2451=0,0,IF(Inputs!$B$7="",0,COUNTIFS(Data!$E$10:$E$3209,"&gt;="&amp;$A2451,Data!$E$10:$E$3209,"&lt;"&amp;$A2451+1)))</f>
        <v/>
      </c>
      <c r="AF2451">
        <f>IF($B2451=0,0,IF(Inputs!$B$8="",0,COUNTIFS(Data!$I$10:$I$3209,"&gt;="&amp;$A2451,Data!$I$10:$I$3209,"&lt;"&amp;$A2451+1)))</f>
        <v/>
      </c>
      <c r="AG2451">
        <f>IF($B2451=0,0,IF(Inputs!$B$9="",0,COUNTIFS(Data!$M$10:$M$3209,"&gt;="&amp;$A2451,Data!$M$10:$M$3209,"&lt;"&amp;$A2451+1)))</f>
        <v/>
      </c>
      <c r="AH2451">
        <f>IF($B2451=0,0,IF(Inputs!$B$10="",0,COUNTIFS(Data!$Q$10:$Q$3209,"&gt;="&amp;$A2451,Data!$Q$10:$Q$3209,"&lt;"&amp;$A2451+1)))</f>
        <v/>
      </c>
    </row>
    <row r="2452">
      <c r="A2452" s="55">
        <f>MIN(Inputs!$C$15,$A2451+IF(WEEKDAY($A2451,2)=5,3,1))</f>
        <v/>
      </c>
      <c r="B2452">
        <f>IF($A2452&gt;$A2451,1,0)</f>
        <v/>
      </c>
      <c r="C2452" s="56">
        <f>IF($B2452=0,"",IF(Inputs!$B$6="","",IF($AD2452=0,C2451,SUMIFS(Data!$B$10:$B$3209,Data!$A$10:$A$3209,"&gt;="&amp;$A2452,Data!$A$10:$A$3209,"&lt;"&amp;$A2452+1)/$AD2452)))</f>
        <v/>
      </c>
      <c r="D2452" s="56">
        <f>IF($B2452=0,"",IF(Inputs!$B$7="","",IF($AE2452=0,D2451,SUMIFS(Data!$F$10:$F$3209,Data!$E$10:$E$3209,"&gt;="&amp;$A2452,Data!$E$10:$E$3209,"&lt;"&amp;$A2452+1)/$AE2452)))</f>
        <v/>
      </c>
      <c r="E2452" s="56">
        <f>IF($B2452=0,"",IF(Inputs!$B$8="","",IF($AF2452=0,E2451,SUMIFS(Data!$J$10:$J$3209,Data!$I$10:$I$3209,"&gt;="&amp;$A2452,Data!$I$10:$I$3209,"&lt;"&amp;$A2452+1)/$AF2452)))</f>
        <v/>
      </c>
      <c r="F2452" s="56">
        <f>IF($B2452=0,"",IF(Inputs!$B$9="","",IF($AG2452=0,F2451,SUMIFS(Data!$N$10:$N$3209,Data!$M$10:$M$3209,"&gt;="&amp;$A2452,Data!$M$10:$M$3209,"&lt;"&amp;$A2452+1)/$AG2452)))</f>
        <v/>
      </c>
      <c r="G2452" s="56">
        <f>IF($B2452=0,"",IF(Inputs!$B$10="","",IF($AH2452=0,G2451,SUMIFS(Data!$R$10:$R$3209,Data!$Q$10:$Q$3209,"&gt;="&amp;$A2452,Data!$Q$10:$Q$3209,"&lt;"&amp;$A2452+1)/$AH2452)))</f>
        <v/>
      </c>
      <c r="I2452" s="54">
        <f>IF($B2452=0,NA(),IF($C2452="",NA(),IF(C$8="",NA(),IF(N(C$8)=0,NA(),IF(Inputs!$C$17="Rebased to 100",$C2452/C$8*100,$C2452)))))</f>
        <v/>
      </c>
      <c r="J2452" s="54">
        <f>IF($B2452=0,NA(),IF($D2452="",NA(),IF(D$8="",NA(),IF(N(D$8)=0,NA(),IF(Inputs!$C$17="Rebased to 100",$D2452/D$8*100,$D2452)))))</f>
        <v/>
      </c>
      <c r="K2452" s="54">
        <f>IF($B2452=0,NA(),IF($E2452="",NA(),IF(E$8="",NA(),IF(N(E$8)=0,NA(),IF(Inputs!$C$17="Rebased to 100",$E2452/E$8*100,$E2452)))))</f>
        <v/>
      </c>
      <c r="L2452" s="54">
        <f>IF($B2452=0,NA(),IF($F2452="",NA(),IF(F$8="",NA(),IF(N(F$8)=0,NA(),IF(Inputs!$C$17="Rebased to 100",$F2452/F$8*100,$F2452)))))</f>
        <v/>
      </c>
      <c r="M2452" s="54">
        <f>IF($B2452=0,NA(),IF($G2452="",NA(),IF(G$8="",NA(),IF(N(G$8)=0,NA(),IF(Inputs!$C$17="Rebased to 100",$G2452/G$8*100,$G2452)))))</f>
        <v/>
      </c>
      <c r="N2452" s="54">
        <f>IF($B2452=0,NA(),IF(Inputs!$C$18&lt;&gt;"Yes",NA(),IF(COUNT(I2452,J2452,K2452,L2452,M2452)=0,NA(),MIN(I2452,J2452,K2452,L2452,M2452))))</f>
        <v/>
      </c>
      <c r="O2452" s="54">
        <f>IF($B2452=0,NA(),IF(Inputs!$B$24&lt;&gt;"Yes",NA(),Inputs!$D$24*Inputs!$C$35))</f>
        <v/>
      </c>
      <c r="P2452" s="54">
        <f>IF($B2452=0,NA(),IF(Inputs!$B$25&lt;&gt;"Yes",NA(),Inputs!$D$25*Inputs!$C$35))</f>
        <v/>
      </c>
      <c r="Q2452" s="54">
        <f>IF($B2452=0,NA(),IF(Inputs!$B$26&lt;&gt;"Yes",NA(),Inputs!$D$26*Inputs!$C$35))</f>
        <v/>
      </c>
      <c r="R2452" s="54">
        <f>IF($B2452=0,NA(),IF(Inputs!$B$27&lt;&gt;"Yes",NA(),Inputs!$D$27*Inputs!$C$35))</f>
        <v/>
      </c>
      <c r="S2452" s="54">
        <f>IF($B2452=0,NA(),IF(Inputs!$B$28&lt;&gt;"Yes",NA(),Inputs!$D$28*Inputs!$C$35))</f>
        <v/>
      </c>
      <c r="T2452" s="54">
        <f>IF($B2452=0,NA(),IF(Inputs!$B$29&lt;&gt;"Yes",NA(),Inputs!$D$29*Inputs!$C$35))</f>
        <v/>
      </c>
      <c r="AD2452">
        <f>IF($B2452=0,0,IF(Inputs!$B$6="",0,COUNTIFS(Data!$A$10:$A$3209,"&gt;="&amp;$A2452,Data!$A$10:$A$3209,"&lt;"&amp;$A2452+1)))</f>
        <v/>
      </c>
      <c r="AE2452">
        <f>IF($B2452=0,0,IF(Inputs!$B$7="",0,COUNTIFS(Data!$E$10:$E$3209,"&gt;="&amp;$A2452,Data!$E$10:$E$3209,"&lt;"&amp;$A2452+1)))</f>
        <v/>
      </c>
      <c r="AF2452">
        <f>IF($B2452=0,0,IF(Inputs!$B$8="",0,COUNTIFS(Data!$I$10:$I$3209,"&gt;="&amp;$A2452,Data!$I$10:$I$3209,"&lt;"&amp;$A2452+1)))</f>
        <v/>
      </c>
      <c r="AG2452">
        <f>IF($B2452=0,0,IF(Inputs!$B$9="",0,COUNTIFS(Data!$M$10:$M$3209,"&gt;="&amp;$A2452,Data!$M$10:$M$3209,"&lt;"&amp;$A2452+1)))</f>
        <v/>
      </c>
      <c r="AH2452">
        <f>IF($B2452=0,0,IF(Inputs!$B$10="",0,COUNTIFS(Data!$Q$10:$Q$3209,"&gt;="&amp;$A2452,Data!$Q$10:$Q$3209,"&lt;"&amp;$A2452+1)))</f>
        <v/>
      </c>
    </row>
    <row r="2453">
      <c r="A2453" s="55">
        <f>MIN(Inputs!$C$15,$A2452+IF(WEEKDAY($A2452,2)=5,3,1))</f>
        <v/>
      </c>
      <c r="B2453">
        <f>IF($A2453&gt;$A2452,1,0)</f>
        <v/>
      </c>
      <c r="C2453" s="56">
        <f>IF($B2453=0,"",IF(Inputs!$B$6="","",IF($AD2453=0,C2452,SUMIFS(Data!$B$10:$B$3209,Data!$A$10:$A$3209,"&gt;="&amp;$A2453,Data!$A$10:$A$3209,"&lt;"&amp;$A2453+1)/$AD2453)))</f>
        <v/>
      </c>
      <c r="D2453" s="56">
        <f>IF($B2453=0,"",IF(Inputs!$B$7="","",IF($AE2453=0,D2452,SUMIFS(Data!$F$10:$F$3209,Data!$E$10:$E$3209,"&gt;="&amp;$A2453,Data!$E$10:$E$3209,"&lt;"&amp;$A2453+1)/$AE2453)))</f>
        <v/>
      </c>
      <c r="E2453" s="56">
        <f>IF($B2453=0,"",IF(Inputs!$B$8="","",IF($AF2453=0,E2452,SUMIFS(Data!$J$10:$J$3209,Data!$I$10:$I$3209,"&gt;="&amp;$A2453,Data!$I$10:$I$3209,"&lt;"&amp;$A2453+1)/$AF2453)))</f>
        <v/>
      </c>
      <c r="F2453" s="56">
        <f>IF($B2453=0,"",IF(Inputs!$B$9="","",IF($AG2453=0,F2452,SUMIFS(Data!$N$10:$N$3209,Data!$M$10:$M$3209,"&gt;="&amp;$A2453,Data!$M$10:$M$3209,"&lt;"&amp;$A2453+1)/$AG2453)))</f>
        <v/>
      </c>
      <c r="G2453" s="56">
        <f>IF($B2453=0,"",IF(Inputs!$B$10="","",IF($AH2453=0,G2452,SUMIFS(Data!$R$10:$R$3209,Data!$Q$10:$Q$3209,"&gt;="&amp;$A2453,Data!$Q$10:$Q$3209,"&lt;"&amp;$A2453+1)/$AH2453)))</f>
        <v/>
      </c>
      <c r="I2453" s="54">
        <f>IF($B2453=0,NA(),IF($C2453="",NA(),IF(C$8="",NA(),IF(N(C$8)=0,NA(),IF(Inputs!$C$17="Rebased to 100",$C2453/C$8*100,$C2453)))))</f>
        <v/>
      </c>
      <c r="J2453" s="54">
        <f>IF($B2453=0,NA(),IF($D2453="",NA(),IF(D$8="",NA(),IF(N(D$8)=0,NA(),IF(Inputs!$C$17="Rebased to 100",$D2453/D$8*100,$D2453)))))</f>
        <v/>
      </c>
      <c r="K2453" s="54">
        <f>IF($B2453=0,NA(),IF($E2453="",NA(),IF(E$8="",NA(),IF(N(E$8)=0,NA(),IF(Inputs!$C$17="Rebased to 100",$E2453/E$8*100,$E2453)))))</f>
        <v/>
      </c>
      <c r="L2453" s="54">
        <f>IF($B2453=0,NA(),IF($F2453="",NA(),IF(F$8="",NA(),IF(N(F$8)=0,NA(),IF(Inputs!$C$17="Rebased to 100",$F2453/F$8*100,$F2453)))))</f>
        <v/>
      </c>
      <c r="M2453" s="54">
        <f>IF($B2453=0,NA(),IF($G2453="",NA(),IF(G$8="",NA(),IF(N(G$8)=0,NA(),IF(Inputs!$C$17="Rebased to 100",$G2453/G$8*100,$G2453)))))</f>
        <v/>
      </c>
      <c r="N2453" s="54">
        <f>IF($B2453=0,NA(),IF(Inputs!$C$18&lt;&gt;"Yes",NA(),IF(COUNT(I2453,J2453,K2453,L2453,M2453)=0,NA(),MIN(I2453,J2453,K2453,L2453,M2453))))</f>
        <v/>
      </c>
      <c r="O2453" s="54">
        <f>IF($B2453=0,NA(),IF(Inputs!$B$24&lt;&gt;"Yes",NA(),Inputs!$D$24*Inputs!$C$35))</f>
        <v/>
      </c>
      <c r="P2453" s="54">
        <f>IF($B2453=0,NA(),IF(Inputs!$B$25&lt;&gt;"Yes",NA(),Inputs!$D$25*Inputs!$C$35))</f>
        <v/>
      </c>
      <c r="Q2453" s="54">
        <f>IF($B2453=0,NA(),IF(Inputs!$B$26&lt;&gt;"Yes",NA(),Inputs!$D$26*Inputs!$C$35))</f>
        <v/>
      </c>
      <c r="R2453" s="54">
        <f>IF($B2453=0,NA(),IF(Inputs!$B$27&lt;&gt;"Yes",NA(),Inputs!$D$27*Inputs!$C$35))</f>
        <v/>
      </c>
      <c r="S2453" s="54">
        <f>IF($B2453=0,NA(),IF(Inputs!$B$28&lt;&gt;"Yes",NA(),Inputs!$D$28*Inputs!$C$35))</f>
        <v/>
      </c>
      <c r="T2453" s="54">
        <f>IF($B2453=0,NA(),IF(Inputs!$B$29&lt;&gt;"Yes",NA(),Inputs!$D$29*Inputs!$C$35))</f>
        <v/>
      </c>
      <c r="AD2453">
        <f>IF($B2453=0,0,IF(Inputs!$B$6="",0,COUNTIFS(Data!$A$10:$A$3209,"&gt;="&amp;$A2453,Data!$A$10:$A$3209,"&lt;"&amp;$A2453+1)))</f>
        <v/>
      </c>
      <c r="AE2453">
        <f>IF($B2453=0,0,IF(Inputs!$B$7="",0,COUNTIFS(Data!$E$10:$E$3209,"&gt;="&amp;$A2453,Data!$E$10:$E$3209,"&lt;"&amp;$A2453+1)))</f>
        <v/>
      </c>
      <c r="AF2453">
        <f>IF($B2453=0,0,IF(Inputs!$B$8="",0,COUNTIFS(Data!$I$10:$I$3209,"&gt;="&amp;$A2453,Data!$I$10:$I$3209,"&lt;"&amp;$A2453+1)))</f>
        <v/>
      </c>
      <c r="AG2453">
        <f>IF($B2453=0,0,IF(Inputs!$B$9="",0,COUNTIFS(Data!$M$10:$M$3209,"&gt;="&amp;$A2453,Data!$M$10:$M$3209,"&lt;"&amp;$A2453+1)))</f>
        <v/>
      </c>
      <c r="AH2453">
        <f>IF($B2453=0,0,IF(Inputs!$B$10="",0,COUNTIFS(Data!$Q$10:$Q$3209,"&gt;="&amp;$A2453,Data!$Q$10:$Q$3209,"&lt;"&amp;$A2453+1)))</f>
        <v/>
      </c>
    </row>
    <row r="2454">
      <c r="A2454" s="55">
        <f>MIN(Inputs!$C$15,$A2453+IF(WEEKDAY($A2453,2)=5,3,1))</f>
        <v/>
      </c>
      <c r="B2454">
        <f>IF($A2454&gt;$A2453,1,0)</f>
        <v/>
      </c>
      <c r="C2454" s="56">
        <f>IF($B2454=0,"",IF(Inputs!$B$6="","",IF($AD2454=0,C2453,SUMIFS(Data!$B$10:$B$3209,Data!$A$10:$A$3209,"&gt;="&amp;$A2454,Data!$A$10:$A$3209,"&lt;"&amp;$A2454+1)/$AD2454)))</f>
        <v/>
      </c>
      <c r="D2454" s="56">
        <f>IF($B2454=0,"",IF(Inputs!$B$7="","",IF($AE2454=0,D2453,SUMIFS(Data!$F$10:$F$3209,Data!$E$10:$E$3209,"&gt;="&amp;$A2454,Data!$E$10:$E$3209,"&lt;"&amp;$A2454+1)/$AE2454)))</f>
        <v/>
      </c>
      <c r="E2454" s="56">
        <f>IF($B2454=0,"",IF(Inputs!$B$8="","",IF($AF2454=0,E2453,SUMIFS(Data!$J$10:$J$3209,Data!$I$10:$I$3209,"&gt;="&amp;$A2454,Data!$I$10:$I$3209,"&lt;"&amp;$A2454+1)/$AF2454)))</f>
        <v/>
      </c>
      <c r="F2454" s="56">
        <f>IF($B2454=0,"",IF(Inputs!$B$9="","",IF($AG2454=0,F2453,SUMIFS(Data!$N$10:$N$3209,Data!$M$10:$M$3209,"&gt;="&amp;$A2454,Data!$M$10:$M$3209,"&lt;"&amp;$A2454+1)/$AG2454)))</f>
        <v/>
      </c>
      <c r="G2454" s="56">
        <f>IF($B2454=0,"",IF(Inputs!$B$10="","",IF($AH2454=0,G2453,SUMIFS(Data!$R$10:$R$3209,Data!$Q$10:$Q$3209,"&gt;="&amp;$A2454,Data!$Q$10:$Q$3209,"&lt;"&amp;$A2454+1)/$AH2454)))</f>
        <v/>
      </c>
      <c r="I2454" s="54">
        <f>IF($B2454=0,NA(),IF($C2454="",NA(),IF(C$8="",NA(),IF(N(C$8)=0,NA(),IF(Inputs!$C$17="Rebased to 100",$C2454/C$8*100,$C2454)))))</f>
        <v/>
      </c>
      <c r="J2454" s="54">
        <f>IF($B2454=0,NA(),IF($D2454="",NA(),IF(D$8="",NA(),IF(N(D$8)=0,NA(),IF(Inputs!$C$17="Rebased to 100",$D2454/D$8*100,$D2454)))))</f>
        <v/>
      </c>
      <c r="K2454" s="54">
        <f>IF($B2454=0,NA(),IF($E2454="",NA(),IF(E$8="",NA(),IF(N(E$8)=0,NA(),IF(Inputs!$C$17="Rebased to 100",$E2454/E$8*100,$E2454)))))</f>
        <v/>
      </c>
      <c r="L2454" s="54">
        <f>IF($B2454=0,NA(),IF($F2454="",NA(),IF(F$8="",NA(),IF(N(F$8)=0,NA(),IF(Inputs!$C$17="Rebased to 100",$F2454/F$8*100,$F2454)))))</f>
        <v/>
      </c>
      <c r="M2454" s="54">
        <f>IF($B2454=0,NA(),IF($G2454="",NA(),IF(G$8="",NA(),IF(N(G$8)=0,NA(),IF(Inputs!$C$17="Rebased to 100",$G2454/G$8*100,$G2454)))))</f>
        <v/>
      </c>
      <c r="N2454" s="54">
        <f>IF($B2454=0,NA(),IF(Inputs!$C$18&lt;&gt;"Yes",NA(),IF(COUNT(I2454,J2454,K2454,L2454,M2454)=0,NA(),MIN(I2454,J2454,K2454,L2454,M2454))))</f>
        <v/>
      </c>
      <c r="O2454" s="54">
        <f>IF($B2454=0,NA(),IF(Inputs!$B$24&lt;&gt;"Yes",NA(),Inputs!$D$24*Inputs!$C$35))</f>
        <v/>
      </c>
      <c r="P2454" s="54">
        <f>IF($B2454=0,NA(),IF(Inputs!$B$25&lt;&gt;"Yes",NA(),Inputs!$D$25*Inputs!$C$35))</f>
        <v/>
      </c>
      <c r="Q2454" s="54">
        <f>IF($B2454=0,NA(),IF(Inputs!$B$26&lt;&gt;"Yes",NA(),Inputs!$D$26*Inputs!$C$35))</f>
        <v/>
      </c>
      <c r="R2454" s="54">
        <f>IF($B2454=0,NA(),IF(Inputs!$B$27&lt;&gt;"Yes",NA(),Inputs!$D$27*Inputs!$C$35))</f>
        <v/>
      </c>
      <c r="S2454" s="54">
        <f>IF($B2454=0,NA(),IF(Inputs!$B$28&lt;&gt;"Yes",NA(),Inputs!$D$28*Inputs!$C$35))</f>
        <v/>
      </c>
      <c r="T2454" s="54">
        <f>IF($B2454=0,NA(),IF(Inputs!$B$29&lt;&gt;"Yes",NA(),Inputs!$D$29*Inputs!$C$35))</f>
        <v/>
      </c>
      <c r="AD2454">
        <f>IF($B2454=0,0,IF(Inputs!$B$6="",0,COUNTIFS(Data!$A$10:$A$3209,"&gt;="&amp;$A2454,Data!$A$10:$A$3209,"&lt;"&amp;$A2454+1)))</f>
        <v/>
      </c>
      <c r="AE2454">
        <f>IF($B2454=0,0,IF(Inputs!$B$7="",0,COUNTIFS(Data!$E$10:$E$3209,"&gt;="&amp;$A2454,Data!$E$10:$E$3209,"&lt;"&amp;$A2454+1)))</f>
        <v/>
      </c>
      <c r="AF2454">
        <f>IF($B2454=0,0,IF(Inputs!$B$8="",0,COUNTIFS(Data!$I$10:$I$3209,"&gt;="&amp;$A2454,Data!$I$10:$I$3209,"&lt;"&amp;$A2454+1)))</f>
        <v/>
      </c>
      <c r="AG2454">
        <f>IF($B2454=0,0,IF(Inputs!$B$9="",0,COUNTIFS(Data!$M$10:$M$3209,"&gt;="&amp;$A2454,Data!$M$10:$M$3209,"&lt;"&amp;$A2454+1)))</f>
        <v/>
      </c>
      <c r="AH2454">
        <f>IF($B2454=0,0,IF(Inputs!$B$10="",0,COUNTIFS(Data!$Q$10:$Q$3209,"&gt;="&amp;$A2454,Data!$Q$10:$Q$3209,"&lt;"&amp;$A2454+1)))</f>
        <v/>
      </c>
    </row>
    <row r="2455">
      <c r="A2455" s="55">
        <f>MIN(Inputs!$C$15,$A2454+IF(WEEKDAY($A2454,2)=5,3,1))</f>
        <v/>
      </c>
      <c r="B2455">
        <f>IF($A2455&gt;$A2454,1,0)</f>
        <v/>
      </c>
      <c r="C2455" s="56">
        <f>IF($B2455=0,"",IF(Inputs!$B$6="","",IF($AD2455=0,C2454,SUMIFS(Data!$B$10:$B$3209,Data!$A$10:$A$3209,"&gt;="&amp;$A2455,Data!$A$10:$A$3209,"&lt;"&amp;$A2455+1)/$AD2455)))</f>
        <v/>
      </c>
      <c r="D2455" s="56">
        <f>IF($B2455=0,"",IF(Inputs!$B$7="","",IF($AE2455=0,D2454,SUMIFS(Data!$F$10:$F$3209,Data!$E$10:$E$3209,"&gt;="&amp;$A2455,Data!$E$10:$E$3209,"&lt;"&amp;$A2455+1)/$AE2455)))</f>
        <v/>
      </c>
      <c r="E2455" s="56">
        <f>IF($B2455=0,"",IF(Inputs!$B$8="","",IF($AF2455=0,E2454,SUMIFS(Data!$J$10:$J$3209,Data!$I$10:$I$3209,"&gt;="&amp;$A2455,Data!$I$10:$I$3209,"&lt;"&amp;$A2455+1)/$AF2455)))</f>
        <v/>
      </c>
      <c r="F2455" s="56">
        <f>IF($B2455=0,"",IF(Inputs!$B$9="","",IF($AG2455=0,F2454,SUMIFS(Data!$N$10:$N$3209,Data!$M$10:$M$3209,"&gt;="&amp;$A2455,Data!$M$10:$M$3209,"&lt;"&amp;$A2455+1)/$AG2455)))</f>
        <v/>
      </c>
      <c r="G2455" s="56">
        <f>IF($B2455=0,"",IF(Inputs!$B$10="","",IF($AH2455=0,G2454,SUMIFS(Data!$R$10:$R$3209,Data!$Q$10:$Q$3209,"&gt;="&amp;$A2455,Data!$Q$10:$Q$3209,"&lt;"&amp;$A2455+1)/$AH2455)))</f>
        <v/>
      </c>
      <c r="I2455" s="54">
        <f>IF($B2455=0,NA(),IF($C2455="",NA(),IF(C$8="",NA(),IF(N(C$8)=0,NA(),IF(Inputs!$C$17="Rebased to 100",$C2455/C$8*100,$C2455)))))</f>
        <v/>
      </c>
      <c r="J2455" s="54">
        <f>IF($B2455=0,NA(),IF($D2455="",NA(),IF(D$8="",NA(),IF(N(D$8)=0,NA(),IF(Inputs!$C$17="Rebased to 100",$D2455/D$8*100,$D2455)))))</f>
        <v/>
      </c>
      <c r="K2455" s="54">
        <f>IF($B2455=0,NA(),IF($E2455="",NA(),IF(E$8="",NA(),IF(N(E$8)=0,NA(),IF(Inputs!$C$17="Rebased to 100",$E2455/E$8*100,$E2455)))))</f>
        <v/>
      </c>
      <c r="L2455" s="54">
        <f>IF($B2455=0,NA(),IF($F2455="",NA(),IF(F$8="",NA(),IF(N(F$8)=0,NA(),IF(Inputs!$C$17="Rebased to 100",$F2455/F$8*100,$F2455)))))</f>
        <v/>
      </c>
      <c r="M2455" s="54">
        <f>IF($B2455=0,NA(),IF($G2455="",NA(),IF(G$8="",NA(),IF(N(G$8)=0,NA(),IF(Inputs!$C$17="Rebased to 100",$G2455/G$8*100,$G2455)))))</f>
        <v/>
      </c>
      <c r="N2455" s="54">
        <f>IF($B2455=0,NA(),IF(Inputs!$C$18&lt;&gt;"Yes",NA(),IF(COUNT(I2455,J2455,K2455,L2455,M2455)=0,NA(),MIN(I2455,J2455,K2455,L2455,M2455))))</f>
        <v/>
      </c>
      <c r="O2455" s="54">
        <f>IF($B2455=0,NA(),IF(Inputs!$B$24&lt;&gt;"Yes",NA(),Inputs!$D$24*Inputs!$C$35))</f>
        <v/>
      </c>
      <c r="P2455" s="54">
        <f>IF($B2455=0,NA(),IF(Inputs!$B$25&lt;&gt;"Yes",NA(),Inputs!$D$25*Inputs!$C$35))</f>
        <v/>
      </c>
      <c r="Q2455" s="54">
        <f>IF($B2455=0,NA(),IF(Inputs!$B$26&lt;&gt;"Yes",NA(),Inputs!$D$26*Inputs!$C$35))</f>
        <v/>
      </c>
      <c r="R2455" s="54">
        <f>IF($B2455=0,NA(),IF(Inputs!$B$27&lt;&gt;"Yes",NA(),Inputs!$D$27*Inputs!$C$35))</f>
        <v/>
      </c>
      <c r="S2455" s="54">
        <f>IF($B2455=0,NA(),IF(Inputs!$B$28&lt;&gt;"Yes",NA(),Inputs!$D$28*Inputs!$C$35))</f>
        <v/>
      </c>
      <c r="T2455" s="54">
        <f>IF($B2455=0,NA(),IF(Inputs!$B$29&lt;&gt;"Yes",NA(),Inputs!$D$29*Inputs!$C$35))</f>
        <v/>
      </c>
      <c r="AD2455">
        <f>IF($B2455=0,0,IF(Inputs!$B$6="",0,COUNTIFS(Data!$A$10:$A$3209,"&gt;="&amp;$A2455,Data!$A$10:$A$3209,"&lt;"&amp;$A2455+1)))</f>
        <v/>
      </c>
      <c r="AE2455">
        <f>IF($B2455=0,0,IF(Inputs!$B$7="",0,COUNTIFS(Data!$E$10:$E$3209,"&gt;="&amp;$A2455,Data!$E$10:$E$3209,"&lt;"&amp;$A2455+1)))</f>
        <v/>
      </c>
      <c r="AF2455">
        <f>IF($B2455=0,0,IF(Inputs!$B$8="",0,COUNTIFS(Data!$I$10:$I$3209,"&gt;="&amp;$A2455,Data!$I$10:$I$3209,"&lt;"&amp;$A2455+1)))</f>
        <v/>
      </c>
      <c r="AG2455">
        <f>IF($B2455=0,0,IF(Inputs!$B$9="",0,COUNTIFS(Data!$M$10:$M$3209,"&gt;="&amp;$A2455,Data!$M$10:$M$3209,"&lt;"&amp;$A2455+1)))</f>
        <v/>
      </c>
      <c r="AH2455">
        <f>IF($B2455=0,0,IF(Inputs!$B$10="",0,COUNTIFS(Data!$Q$10:$Q$3209,"&gt;="&amp;$A2455,Data!$Q$10:$Q$3209,"&lt;"&amp;$A2455+1)))</f>
        <v/>
      </c>
    </row>
    <row r="2456">
      <c r="A2456" s="55">
        <f>MIN(Inputs!$C$15,$A2455+IF(WEEKDAY($A2455,2)=5,3,1))</f>
        <v/>
      </c>
      <c r="B2456">
        <f>IF($A2456&gt;$A2455,1,0)</f>
        <v/>
      </c>
      <c r="C2456" s="56">
        <f>IF($B2456=0,"",IF(Inputs!$B$6="","",IF($AD2456=0,C2455,SUMIFS(Data!$B$10:$B$3209,Data!$A$10:$A$3209,"&gt;="&amp;$A2456,Data!$A$10:$A$3209,"&lt;"&amp;$A2456+1)/$AD2456)))</f>
        <v/>
      </c>
      <c r="D2456" s="56">
        <f>IF($B2456=0,"",IF(Inputs!$B$7="","",IF($AE2456=0,D2455,SUMIFS(Data!$F$10:$F$3209,Data!$E$10:$E$3209,"&gt;="&amp;$A2456,Data!$E$10:$E$3209,"&lt;"&amp;$A2456+1)/$AE2456)))</f>
        <v/>
      </c>
      <c r="E2456" s="56">
        <f>IF($B2456=0,"",IF(Inputs!$B$8="","",IF($AF2456=0,E2455,SUMIFS(Data!$J$10:$J$3209,Data!$I$10:$I$3209,"&gt;="&amp;$A2456,Data!$I$10:$I$3209,"&lt;"&amp;$A2456+1)/$AF2456)))</f>
        <v/>
      </c>
      <c r="F2456" s="56">
        <f>IF($B2456=0,"",IF(Inputs!$B$9="","",IF($AG2456=0,F2455,SUMIFS(Data!$N$10:$N$3209,Data!$M$10:$M$3209,"&gt;="&amp;$A2456,Data!$M$10:$M$3209,"&lt;"&amp;$A2456+1)/$AG2456)))</f>
        <v/>
      </c>
      <c r="G2456" s="56">
        <f>IF($B2456=0,"",IF(Inputs!$B$10="","",IF($AH2456=0,G2455,SUMIFS(Data!$R$10:$R$3209,Data!$Q$10:$Q$3209,"&gt;="&amp;$A2456,Data!$Q$10:$Q$3209,"&lt;"&amp;$A2456+1)/$AH2456)))</f>
        <v/>
      </c>
      <c r="I2456" s="54">
        <f>IF($B2456=0,NA(),IF($C2456="",NA(),IF(C$8="",NA(),IF(N(C$8)=0,NA(),IF(Inputs!$C$17="Rebased to 100",$C2456/C$8*100,$C2456)))))</f>
        <v/>
      </c>
      <c r="J2456" s="54">
        <f>IF($B2456=0,NA(),IF($D2456="",NA(),IF(D$8="",NA(),IF(N(D$8)=0,NA(),IF(Inputs!$C$17="Rebased to 100",$D2456/D$8*100,$D2456)))))</f>
        <v/>
      </c>
      <c r="K2456" s="54">
        <f>IF($B2456=0,NA(),IF($E2456="",NA(),IF(E$8="",NA(),IF(N(E$8)=0,NA(),IF(Inputs!$C$17="Rebased to 100",$E2456/E$8*100,$E2456)))))</f>
        <v/>
      </c>
      <c r="L2456" s="54">
        <f>IF($B2456=0,NA(),IF($F2456="",NA(),IF(F$8="",NA(),IF(N(F$8)=0,NA(),IF(Inputs!$C$17="Rebased to 100",$F2456/F$8*100,$F2456)))))</f>
        <v/>
      </c>
      <c r="M2456" s="54">
        <f>IF($B2456=0,NA(),IF($G2456="",NA(),IF(G$8="",NA(),IF(N(G$8)=0,NA(),IF(Inputs!$C$17="Rebased to 100",$G2456/G$8*100,$G2456)))))</f>
        <v/>
      </c>
      <c r="N2456" s="54">
        <f>IF($B2456=0,NA(),IF(Inputs!$C$18&lt;&gt;"Yes",NA(),IF(COUNT(I2456,J2456,K2456,L2456,M2456)=0,NA(),MIN(I2456,J2456,K2456,L2456,M2456))))</f>
        <v/>
      </c>
      <c r="O2456" s="54">
        <f>IF($B2456=0,NA(),IF(Inputs!$B$24&lt;&gt;"Yes",NA(),Inputs!$D$24*Inputs!$C$35))</f>
        <v/>
      </c>
      <c r="P2456" s="54">
        <f>IF($B2456=0,NA(),IF(Inputs!$B$25&lt;&gt;"Yes",NA(),Inputs!$D$25*Inputs!$C$35))</f>
        <v/>
      </c>
      <c r="Q2456" s="54">
        <f>IF($B2456=0,NA(),IF(Inputs!$B$26&lt;&gt;"Yes",NA(),Inputs!$D$26*Inputs!$C$35))</f>
        <v/>
      </c>
      <c r="R2456" s="54">
        <f>IF($B2456=0,NA(),IF(Inputs!$B$27&lt;&gt;"Yes",NA(),Inputs!$D$27*Inputs!$C$35))</f>
        <v/>
      </c>
      <c r="S2456" s="54">
        <f>IF($B2456=0,NA(),IF(Inputs!$B$28&lt;&gt;"Yes",NA(),Inputs!$D$28*Inputs!$C$35))</f>
        <v/>
      </c>
      <c r="T2456" s="54">
        <f>IF($B2456=0,NA(),IF(Inputs!$B$29&lt;&gt;"Yes",NA(),Inputs!$D$29*Inputs!$C$35))</f>
        <v/>
      </c>
      <c r="AD2456">
        <f>IF($B2456=0,0,IF(Inputs!$B$6="",0,COUNTIFS(Data!$A$10:$A$3209,"&gt;="&amp;$A2456,Data!$A$10:$A$3209,"&lt;"&amp;$A2456+1)))</f>
        <v/>
      </c>
      <c r="AE2456">
        <f>IF($B2456=0,0,IF(Inputs!$B$7="",0,COUNTIFS(Data!$E$10:$E$3209,"&gt;="&amp;$A2456,Data!$E$10:$E$3209,"&lt;"&amp;$A2456+1)))</f>
        <v/>
      </c>
      <c r="AF2456">
        <f>IF($B2456=0,0,IF(Inputs!$B$8="",0,COUNTIFS(Data!$I$10:$I$3209,"&gt;="&amp;$A2456,Data!$I$10:$I$3209,"&lt;"&amp;$A2456+1)))</f>
        <v/>
      </c>
      <c r="AG2456">
        <f>IF($B2456=0,0,IF(Inputs!$B$9="",0,COUNTIFS(Data!$M$10:$M$3209,"&gt;="&amp;$A2456,Data!$M$10:$M$3209,"&lt;"&amp;$A2456+1)))</f>
        <v/>
      </c>
      <c r="AH2456">
        <f>IF($B2456=0,0,IF(Inputs!$B$10="",0,COUNTIFS(Data!$Q$10:$Q$3209,"&gt;="&amp;$A2456,Data!$Q$10:$Q$3209,"&lt;"&amp;$A2456+1)))</f>
        <v/>
      </c>
    </row>
    <row r="2457">
      <c r="A2457" s="55">
        <f>MIN(Inputs!$C$15,$A2456+IF(WEEKDAY($A2456,2)=5,3,1))</f>
        <v/>
      </c>
      <c r="B2457">
        <f>IF($A2457&gt;$A2456,1,0)</f>
        <v/>
      </c>
      <c r="C2457" s="56">
        <f>IF($B2457=0,"",IF(Inputs!$B$6="","",IF($AD2457=0,C2456,SUMIFS(Data!$B$10:$B$3209,Data!$A$10:$A$3209,"&gt;="&amp;$A2457,Data!$A$10:$A$3209,"&lt;"&amp;$A2457+1)/$AD2457)))</f>
        <v/>
      </c>
      <c r="D2457" s="56">
        <f>IF($B2457=0,"",IF(Inputs!$B$7="","",IF($AE2457=0,D2456,SUMIFS(Data!$F$10:$F$3209,Data!$E$10:$E$3209,"&gt;="&amp;$A2457,Data!$E$10:$E$3209,"&lt;"&amp;$A2457+1)/$AE2457)))</f>
        <v/>
      </c>
      <c r="E2457" s="56">
        <f>IF($B2457=0,"",IF(Inputs!$B$8="","",IF($AF2457=0,E2456,SUMIFS(Data!$J$10:$J$3209,Data!$I$10:$I$3209,"&gt;="&amp;$A2457,Data!$I$10:$I$3209,"&lt;"&amp;$A2457+1)/$AF2457)))</f>
        <v/>
      </c>
      <c r="F2457" s="56">
        <f>IF($B2457=0,"",IF(Inputs!$B$9="","",IF($AG2457=0,F2456,SUMIFS(Data!$N$10:$N$3209,Data!$M$10:$M$3209,"&gt;="&amp;$A2457,Data!$M$10:$M$3209,"&lt;"&amp;$A2457+1)/$AG2457)))</f>
        <v/>
      </c>
      <c r="G2457" s="56">
        <f>IF($B2457=0,"",IF(Inputs!$B$10="","",IF($AH2457=0,G2456,SUMIFS(Data!$R$10:$R$3209,Data!$Q$10:$Q$3209,"&gt;="&amp;$A2457,Data!$Q$10:$Q$3209,"&lt;"&amp;$A2457+1)/$AH2457)))</f>
        <v/>
      </c>
      <c r="I2457" s="54">
        <f>IF($B2457=0,NA(),IF($C2457="",NA(),IF(C$8="",NA(),IF(N(C$8)=0,NA(),IF(Inputs!$C$17="Rebased to 100",$C2457/C$8*100,$C2457)))))</f>
        <v/>
      </c>
      <c r="J2457" s="54">
        <f>IF($B2457=0,NA(),IF($D2457="",NA(),IF(D$8="",NA(),IF(N(D$8)=0,NA(),IF(Inputs!$C$17="Rebased to 100",$D2457/D$8*100,$D2457)))))</f>
        <v/>
      </c>
      <c r="K2457" s="54">
        <f>IF($B2457=0,NA(),IF($E2457="",NA(),IF(E$8="",NA(),IF(N(E$8)=0,NA(),IF(Inputs!$C$17="Rebased to 100",$E2457/E$8*100,$E2457)))))</f>
        <v/>
      </c>
      <c r="L2457" s="54">
        <f>IF($B2457=0,NA(),IF($F2457="",NA(),IF(F$8="",NA(),IF(N(F$8)=0,NA(),IF(Inputs!$C$17="Rebased to 100",$F2457/F$8*100,$F2457)))))</f>
        <v/>
      </c>
      <c r="M2457" s="54">
        <f>IF($B2457=0,NA(),IF($G2457="",NA(),IF(G$8="",NA(),IF(N(G$8)=0,NA(),IF(Inputs!$C$17="Rebased to 100",$G2457/G$8*100,$G2457)))))</f>
        <v/>
      </c>
      <c r="N2457" s="54">
        <f>IF($B2457=0,NA(),IF(Inputs!$C$18&lt;&gt;"Yes",NA(),IF(COUNT(I2457,J2457,K2457,L2457,M2457)=0,NA(),MIN(I2457,J2457,K2457,L2457,M2457))))</f>
        <v/>
      </c>
      <c r="O2457" s="54">
        <f>IF($B2457=0,NA(),IF(Inputs!$B$24&lt;&gt;"Yes",NA(),Inputs!$D$24*Inputs!$C$35))</f>
        <v/>
      </c>
      <c r="P2457" s="54">
        <f>IF($B2457=0,NA(),IF(Inputs!$B$25&lt;&gt;"Yes",NA(),Inputs!$D$25*Inputs!$C$35))</f>
        <v/>
      </c>
      <c r="Q2457" s="54">
        <f>IF($B2457=0,NA(),IF(Inputs!$B$26&lt;&gt;"Yes",NA(),Inputs!$D$26*Inputs!$C$35))</f>
        <v/>
      </c>
      <c r="R2457" s="54">
        <f>IF($B2457=0,NA(),IF(Inputs!$B$27&lt;&gt;"Yes",NA(),Inputs!$D$27*Inputs!$C$35))</f>
        <v/>
      </c>
      <c r="S2457" s="54">
        <f>IF($B2457=0,NA(),IF(Inputs!$B$28&lt;&gt;"Yes",NA(),Inputs!$D$28*Inputs!$C$35))</f>
        <v/>
      </c>
      <c r="T2457" s="54">
        <f>IF($B2457=0,NA(),IF(Inputs!$B$29&lt;&gt;"Yes",NA(),Inputs!$D$29*Inputs!$C$35))</f>
        <v/>
      </c>
      <c r="AD2457">
        <f>IF($B2457=0,0,IF(Inputs!$B$6="",0,COUNTIFS(Data!$A$10:$A$3209,"&gt;="&amp;$A2457,Data!$A$10:$A$3209,"&lt;"&amp;$A2457+1)))</f>
        <v/>
      </c>
      <c r="AE2457">
        <f>IF($B2457=0,0,IF(Inputs!$B$7="",0,COUNTIFS(Data!$E$10:$E$3209,"&gt;="&amp;$A2457,Data!$E$10:$E$3209,"&lt;"&amp;$A2457+1)))</f>
        <v/>
      </c>
      <c r="AF2457">
        <f>IF($B2457=0,0,IF(Inputs!$B$8="",0,COUNTIFS(Data!$I$10:$I$3209,"&gt;="&amp;$A2457,Data!$I$10:$I$3209,"&lt;"&amp;$A2457+1)))</f>
        <v/>
      </c>
      <c r="AG2457">
        <f>IF($B2457=0,0,IF(Inputs!$B$9="",0,COUNTIFS(Data!$M$10:$M$3209,"&gt;="&amp;$A2457,Data!$M$10:$M$3209,"&lt;"&amp;$A2457+1)))</f>
        <v/>
      </c>
      <c r="AH2457">
        <f>IF($B2457=0,0,IF(Inputs!$B$10="",0,COUNTIFS(Data!$Q$10:$Q$3209,"&gt;="&amp;$A2457,Data!$Q$10:$Q$3209,"&lt;"&amp;$A2457+1)))</f>
        <v/>
      </c>
    </row>
    <row r="2458">
      <c r="A2458" s="55">
        <f>MIN(Inputs!$C$15,$A2457+IF(WEEKDAY($A2457,2)=5,3,1))</f>
        <v/>
      </c>
      <c r="B2458">
        <f>IF($A2458&gt;$A2457,1,0)</f>
        <v/>
      </c>
      <c r="C2458" s="56">
        <f>IF($B2458=0,"",IF(Inputs!$B$6="","",IF($AD2458=0,C2457,SUMIFS(Data!$B$10:$B$3209,Data!$A$10:$A$3209,"&gt;="&amp;$A2458,Data!$A$10:$A$3209,"&lt;"&amp;$A2458+1)/$AD2458)))</f>
        <v/>
      </c>
      <c r="D2458" s="56">
        <f>IF($B2458=0,"",IF(Inputs!$B$7="","",IF($AE2458=0,D2457,SUMIFS(Data!$F$10:$F$3209,Data!$E$10:$E$3209,"&gt;="&amp;$A2458,Data!$E$10:$E$3209,"&lt;"&amp;$A2458+1)/$AE2458)))</f>
        <v/>
      </c>
      <c r="E2458" s="56">
        <f>IF($B2458=0,"",IF(Inputs!$B$8="","",IF($AF2458=0,E2457,SUMIFS(Data!$J$10:$J$3209,Data!$I$10:$I$3209,"&gt;="&amp;$A2458,Data!$I$10:$I$3209,"&lt;"&amp;$A2458+1)/$AF2458)))</f>
        <v/>
      </c>
      <c r="F2458" s="56">
        <f>IF($B2458=0,"",IF(Inputs!$B$9="","",IF($AG2458=0,F2457,SUMIFS(Data!$N$10:$N$3209,Data!$M$10:$M$3209,"&gt;="&amp;$A2458,Data!$M$10:$M$3209,"&lt;"&amp;$A2458+1)/$AG2458)))</f>
        <v/>
      </c>
      <c r="G2458" s="56">
        <f>IF($B2458=0,"",IF(Inputs!$B$10="","",IF($AH2458=0,G2457,SUMIFS(Data!$R$10:$R$3209,Data!$Q$10:$Q$3209,"&gt;="&amp;$A2458,Data!$Q$10:$Q$3209,"&lt;"&amp;$A2458+1)/$AH2458)))</f>
        <v/>
      </c>
      <c r="I2458" s="54">
        <f>IF($B2458=0,NA(),IF($C2458="",NA(),IF(C$8="",NA(),IF(N(C$8)=0,NA(),IF(Inputs!$C$17="Rebased to 100",$C2458/C$8*100,$C2458)))))</f>
        <v/>
      </c>
      <c r="J2458" s="54">
        <f>IF($B2458=0,NA(),IF($D2458="",NA(),IF(D$8="",NA(),IF(N(D$8)=0,NA(),IF(Inputs!$C$17="Rebased to 100",$D2458/D$8*100,$D2458)))))</f>
        <v/>
      </c>
      <c r="K2458" s="54">
        <f>IF($B2458=0,NA(),IF($E2458="",NA(),IF(E$8="",NA(),IF(N(E$8)=0,NA(),IF(Inputs!$C$17="Rebased to 100",$E2458/E$8*100,$E2458)))))</f>
        <v/>
      </c>
      <c r="L2458" s="54">
        <f>IF($B2458=0,NA(),IF($F2458="",NA(),IF(F$8="",NA(),IF(N(F$8)=0,NA(),IF(Inputs!$C$17="Rebased to 100",$F2458/F$8*100,$F2458)))))</f>
        <v/>
      </c>
      <c r="M2458" s="54">
        <f>IF($B2458=0,NA(),IF($G2458="",NA(),IF(G$8="",NA(),IF(N(G$8)=0,NA(),IF(Inputs!$C$17="Rebased to 100",$G2458/G$8*100,$G2458)))))</f>
        <v/>
      </c>
      <c r="N2458" s="54">
        <f>IF($B2458=0,NA(),IF(Inputs!$C$18&lt;&gt;"Yes",NA(),IF(COUNT(I2458,J2458,K2458,L2458,M2458)=0,NA(),MIN(I2458,J2458,K2458,L2458,M2458))))</f>
        <v/>
      </c>
      <c r="O2458" s="54">
        <f>IF($B2458=0,NA(),IF(Inputs!$B$24&lt;&gt;"Yes",NA(),Inputs!$D$24*Inputs!$C$35))</f>
        <v/>
      </c>
      <c r="P2458" s="54">
        <f>IF($B2458=0,NA(),IF(Inputs!$B$25&lt;&gt;"Yes",NA(),Inputs!$D$25*Inputs!$C$35))</f>
        <v/>
      </c>
      <c r="Q2458" s="54">
        <f>IF($B2458=0,NA(),IF(Inputs!$B$26&lt;&gt;"Yes",NA(),Inputs!$D$26*Inputs!$C$35))</f>
        <v/>
      </c>
      <c r="R2458" s="54">
        <f>IF($B2458=0,NA(),IF(Inputs!$B$27&lt;&gt;"Yes",NA(),Inputs!$D$27*Inputs!$C$35))</f>
        <v/>
      </c>
      <c r="S2458" s="54">
        <f>IF($B2458=0,NA(),IF(Inputs!$B$28&lt;&gt;"Yes",NA(),Inputs!$D$28*Inputs!$C$35))</f>
        <v/>
      </c>
      <c r="T2458" s="54">
        <f>IF($B2458=0,NA(),IF(Inputs!$B$29&lt;&gt;"Yes",NA(),Inputs!$D$29*Inputs!$C$35))</f>
        <v/>
      </c>
      <c r="AD2458">
        <f>IF($B2458=0,0,IF(Inputs!$B$6="",0,COUNTIFS(Data!$A$10:$A$3209,"&gt;="&amp;$A2458,Data!$A$10:$A$3209,"&lt;"&amp;$A2458+1)))</f>
        <v/>
      </c>
      <c r="AE2458">
        <f>IF($B2458=0,0,IF(Inputs!$B$7="",0,COUNTIFS(Data!$E$10:$E$3209,"&gt;="&amp;$A2458,Data!$E$10:$E$3209,"&lt;"&amp;$A2458+1)))</f>
        <v/>
      </c>
      <c r="AF2458">
        <f>IF($B2458=0,0,IF(Inputs!$B$8="",0,COUNTIFS(Data!$I$10:$I$3209,"&gt;="&amp;$A2458,Data!$I$10:$I$3209,"&lt;"&amp;$A2458+1)))</f>
        <v/>
      </c>
      <c r="AG2458">
        <f>IF($B2458=0,0,IF(Inputs!$B$9="",0,COUNTIFS(Data!$M$10:$M$3209,"&gt;="&amp;$A2458,Data!$M$10:$M$3209,"&lt;"&amp;$A2458+1)))</f>
        <v/>
      </c>
      <c r="AH2458">
        <f>IF($B2458=0,0,IF(Inputs!$B$10="",0,COUNTIFS(Data!$Q$10:$Q$3209,"&gt;="&amp;$A2458,Data!$Q$10:$Q$3209,"&lt;"&amp;$A2458+1)))</f>
        <v/>
      </c>
    </row>
    <row r="2459">
      <c r="A2459" s="55">
        <f>MIN(Inputs!$C$15,$A2458+IF(WEEKDAY($A2458,2)=5,3,1))</f>
        <v/>
      </c>
      <c r="B2459">
        <f>IF($A2459&gt;$A2458,1,0)</f>
        <v/>
      </c>
      <c r="C2459" s="56">
        <f>IF($B2459=0,"",IF(Inputs!$B$6="","",IF($AD2459=0,C2458,SUMIFS(Data!$B$10:$B$3209,Data!$A$10:$A$3209,"&gt;="&amp;$A2459,Data!$A$10:$A$3209,"&lt;"&amp;$A2459+1)/$AD2459)))</f>
        <v/>
      </c>
      <c r="D2459" s="56">
        <f>IF($B2459=0,"",IF(Inputs!$B$7="","",IF($AE2459=0,D2458,SUMIFS(Data!$F$10:$F$3209,Data!$E$10:$E$3209,"&gt;="&amp;$A2459,Data!$E$10:$E$3209,"&lt;"&amp;$A2459+1)/$AE2459)))</f>
        <v/>
      </c>
      <c r="E2459" s="56">
        <f>IF($B2459=0,"",IF(Inputs!$B$8="","",IF($AF2459=0,E2458,SUMIFS(Data!$J$10:$J$3209,Data!$I$10:$I$3209,"&gt;="&amp;$A2459,Data!$I$10:$I$3209,"&lt;"&amp;$A2459+1)/$AF2459)))</f>
        <v/>
      </c>
      <c r="F2459" s="56">
        <f>IF($B2459=0,"",IF(Inputs!$B$9="","",IF($AG2459=0,F2458,SUMIFS(Data!$N$10:$N$3209,Data!$M$10:$M$3209,"&gt;="&amp;$A2459,Data!$M$10:$M$3209,"&lt;"&amp;$A2459+1)/$AG2459)))</f>
        <v/>
      </c>
      <c r="G2459" s="56">
        <f>IF($B2459=0,"",IF(Inputs!$B$10="","",IF($AH2459=0,G2458,SUMIFS(Data!$R$10:$R$3209,Data!$Q$10:$Q$3209,"&gt;="&amp;$A2459,Data!$Q$10:$Q$3209,"&lt;"&amp;$A2459+1)/$AH2459)))</f>
        <v/>
      </c>
      <c r="I2459" s="54">
        <f>IF($B2459=0,NA(),IF($C2459="",NA(),IF(C$8="",NA(),IF(N(C$8)=0,NA(),IF(Inputs!$C$17="Rebased to 100",$C2459/C$8*100,$C2459)))))</f>
        <v/>
      </c>
      <c r="J2459" s="54">
        <f>IF($B2459=0,NA(),IF($D2459="",NA(),IF(D$8="",NA(),IF(N(D$8)=0,NA(),IF(Inputs!$C$17="Rebased to 100",$D2459/D$8*100,$D2459)))))</f>
        <v/>
      </c>
      <c r="K2459" s="54">
        <f>IF($B2459=0,NA(),IF($E2459="",NA(),IF(E$8="",NA(),IF(N(E$8)=0,NA(),IF(Inputs!$C$17="Rebased to 100",$E2459/E$8*100,$E2459)))))</f>
        <v/>
      </c>
      <c r="L2459" s="54">
        <f>IF($B2459=0,NA(),IF($F2459="",NA(),IF(F$8="",NA(),IF(N(F$8)=0,NA(),IF(Inputs!$C$17="Rebased to 100",$F2459/F$8*100,$F2459)))))</f>
        <v/>
      </c>
      <c r="M2459" s="54">
        <f>IF($B2459=0,NA(),IF($G2459="",NA(),IF(G$8="",NA(),IF(N(G$8)=0,NA(),IF(Inputs!$C$17="Rebased to 100",$G2459/G$8*100,$G2459)))))</f>
        <v/>
      </c>
      <c r="N2459" s="54">
        <f>IF($B2459=0,NA(),IF(Inputs!$C$18&lt;&gt;"Yes",NA(),IF(COUNT(I2459,J2459,K2459,L2459,M2459)=0,NA(),MIN(I2459,J2459,K2459,L2459,M2459))))</f>
        <v/>
      </c>
      <c r="O2459" s="54">
        <f>IF($B2459=0,NA(),IF(Inputs!$B$24&lt;&gt;"Yes",NA(),Inputs!$D$24*Inputs!$C$35))</f>
        <v/>
      </c>
      <c r="P2459" s="54">
        <f>IF($B2459=0,NA(),IF(Inputs!$B$25&lt;&gt;"Yes",NA(),Inputs!$D$25*Inputs!$C$35))</f>
        <v/>
      </c>
      <c r="Q2459" s="54">
        <f>IF($B2459=0,NA(),IF(Inputs!$B$26&lt;&gt;"Yes",NA(),Inputs!$D$26*Inputs!$C$35))</f>
        <v/>
      </c>
      <c r="R2459" s="54">
        <f>IF($B2459=0,NA(),IF(Inputs!$B$27&lt;&gt;"Yes",NA(),Inputs!$D$27*Inputs!$C$35))</f>
        <v/>
      </c>
      <c r="S2459" s="54">
        <f>IF($B2459=0,NA(),IF(Inputs!$B$28&lt;&gt;"Yes",NA(),Inputs!$D$28*Inputs!$C$35))</f>
        <v/>
      </c>
      <c r="T2459" s="54">
        <f>IF($B2459=0,NA(),IF(Inputs!$B$29&lt;&gt;"Yes",NA(),Inputs!$D$29*Inputs!$C$35))</f>
        <v/>
      </c>
      <c r="AD2459">
        <f>IF($B2459=0,0,IF(Inputs!$B$6="",0,COUNTIFS(Data!$A$10:$A$3209,"&gt;="&amp;$A2459,Data!$A$10:$A$3209,"&lt;"&amp;$A2459+1)))</f>
        <v/>
      </c>
      <c r="AE2459">
        <f>IF($B2459=0,0,IF(Inputs!$B$7="",0,COUNTIFS(Data!$E$10:$E$3209,"&gt;="&amp;$A2459,Data!$E$10:$E$3209,"&lt;"&amp;$A2459+1)))</f>
        <v/>
      </c>
      <c r="AF2459">
        <f>IF($B2459=0,0,IF(Inputs!$B$8="",0,COUNTIFS(Data!$I$10:$I$3209,"&gt;="&amp;$A2459,Data!$I$10:$I$3209,"&lt;"&amp;$A2459+1)))</f>
        <v/>
      </c>
      <c r="AG2459">
        <f>IF($B2459=0,0,IF(Inputs!$B$9="",0,COUNTIFS(Data!$M$10:$M$3209,"&gt;="&amp;$A2459,Data!$M$10:$M$3209,"&lt;"&amp;$A2459+1)))</f>
        <v/>
      </c>
      <c r="AH2459">
        <f>IF($B2459=0,0,IF(Inputs!$B$10="",0,COUNTIFS(Data!$Q$10:$Q$3209,"&gt;="&amp;$A2459,Data!$Q$10:$Q$3209,"&lt;"&amp;$A2459+1)))</f>
        <v/>
      </c>
    </row>
    <row r="2460">
      <c r="A2460" s="55">
        <f>MIN(Inputs!$C$15,$A2459+IF(WEEKDAY($A2459,2)=5,3,1))</f>
        <v/>
      </c>
      <c r="B2460">
        <f>IF($A2460&gt;$A2459,1,0)</f>
        <v/>
      </c>
      <c r="C2460" s="56">
        <f>IF($B2460=0,"",IF(Inputs!$B$6="","",IF($AD2460=0,C2459,SUMIFS(Data!$B$10:$B$3209,Data!$A$10:$A$3209,"&gt;="&amp;$A2460,Data!$A$10:$A$3209,"&lt;"&amp;$A2460+1)/$AD2460)))</f>
        <v/>
      </c>
      <c r="D2460" s="56">
        <f>IF($B2460=0,"",IF(Inputs!$B$7="","",IF($AE2460=0,D2459,SUMIFS(Data!$F$10:$F$3209,Data!$E$10:$E$3209,"&gt;="&amp;$A2460,Data!$E$10:$E$3209,"&lt;"&amp;$A2460+1)/$AE2460)))</f>
        <v/>
      </c>
      <c r="E2460" s="56">
        <f>IF($B2460=0,"",IF(Inputs!$B$8="","",IF($AF2460=0,E2459,SUMIFS(Data!$J$10:$J$3209,Data!$I$10:$I$3209,"&gt;="&amp;$A2460,Data!$I$10:$I$3209,"&lt;"&amp;$A2460+1)/$AF2460)))</f>
        <v/>
      </c>
      <c r="F2460" s="56">
        <f>IF($B2460=0,"",IF(Inputs!$B$9="","",IF($AG2460=0,F2459,SUMIFS(Data!$N$10:$N$3209,Data!$M$10:$M$3209,"&gt;="&amp;$A2460,Data!$M$10:$M$3209,"&lt;"&amp;$A2460+1)/$AG2460)))</f>
        <v/>
      </c>
      <c r="G2460" s="56">
        <f>IF($B2460=0,"",IF(Inputs!$B$10="","",IF($AH2460=0,G2459,SUMIFS(Data!$R$10:$R$3209,Data!$Q$10:$Q$3209,"&gt;="&amp;$A2460,Data!$Q$10:$Q$3209,"&lt;"&amp;$A2460+1)/$AH2460)))</f>
        <v/>
      </c>
      <c r="I2460" s="54">
        <f>IF($B2460=0,NA(),IF($C2460="",NA(),IF(C$8="",NA(),IF(N(C$8)=0,NA(),IF(Inputs!$C$17="Rebased to 100",$C2460/C$8*100,$C2460)))))</f>
        <v/>
      </c>
      <c r="J2460" s="54">
        <f>IF($B2460=0,NA(),IF($D2460="",NA(),IF(D$8="",NA(),IF(N(D$8)=0,NA(),IF(Inputs!$C$17="Rebased to 100",$D2460/D$8*100,$D2460)))))</f>
        <v/>
      </c>
      <c r="K2460" s="54">
        <f>IF($B2460=0,NA(),IF($E2460="",NA(),IF(E$8="",NA(),IF(N(E$8)=0,NA(),IF(Inputs!$C$17="Rebased to 100",$E2460/E$8*100,$E2460)))))</f>
        <v/>
      </c>
      <c r="L2460" s="54">
        <f>IF($B2460=0,NA(),IF($F2460="",NA(),IF(F$8="",NA(),IF(N(F$8)=0,NA(),IF(Inputs!$C$17="Rebased to 100",$F2460/F$8*100,$F2460)))))</f>
        <v/>
      </c>
      <c r="M2460" s="54">
        <f>IF($B2460=0,NA(),IF($G2460="",NA(),IF(G$8="",NA(),IF(N(G$8)=0,NA(),IF(Inputs!$C$17="Rebased to 100",$G2460/G$8*100,$G2460)))))</f>
        <v/>
      </c>
      <c r="N2460" s="54">
        <f>IF($B2460=0,NA(),IF(Inputs!$C$18&lt;&gt;"Yes",NA(),IF(COUNT(I2460,J2460,K2460,L2460,M2460)=0,NA(),MIN(I2460,J2460,K2460,L2460,M2460))))</f>
        <v/>
      </c>
      <c r="O2460" s="54">
        <f>IF($B2460=0,NA(),IF(Inputs!$B$24&lt;&gt;"Yes",NA(),Inputs!$D$24*Inputs!$C$35))</f>
        <v/>
      </c>
      <c r="P2460" s="54">
        <f>IF($B2460=0,NA(),IF(Inputs!$B$25&lt;&gt;"Yes",NA(),Inputs!$D$25*Inputs!$C$35))</f>
        <v/>
      </c>
      <c r="Q2460" s="54">
        <f>IF($B2460=0,NA(),IF(Inputs!$B$26&lt;&gt;"Yes",NA(),Inputs!$D$26*Inputs!$C$35))</f>
        <v/>
      </c>
      <c r="R2460" s="54">
        <f>IF($B2460=0,NA(),IF(Inputs!$B$27&lt;&gt;"Yes",NA(),Inputs!$D$27*Inputs!$C$35))</f>
        <v/>
      </c>
      <c r="S2460" s="54">
        <f>IF($B2460=0,NA(),IF(Inputs!$B$28&lt;&gt;"Yes",NA(),Inputs!$D$28*Inputs!$C$35))</f>
        <v/>
      </c>
      <c r="T2460" s="54">
        <f>IF($B2460=0,NA(),IF(Inputs!$B$29&lt;&gt;"Yes",NA(),Inputs!$D$29*Inputs!$C$35))</f>
        <v/>
      </c>
      <c r="AD2460">
        <f>IF($B2460=0,0,IF(Inputs!$B$6="",0,COUNTIFS(Data!$A$10:$A$3209,"&gt;="&amp;$A2460,Data!$A$10:$A$3209,"&lt;"&amp;$A2460+1)))</f>
        <v/>
      </c>
      <c r="AE2460">
        <f>IF($B2460=0,0,IF(Inputs!$B$7="",0,COUNTIFS(Data!$E$10:$E$3209,"&gt;="&amp;$A2460,Data!$E$10:$E$3209,"&lt;"&amp;$A2460+1)))</f>
        <v/>
      </c>
      <c r="AF2460">
        <f>IF($B2460=0,0,IF(Inputs!$B$8="",0,COUNTIFS(Data!$I$10:$I$3209,"&gt;="&amp;$A2460,Data!$I$10:$I$3209,"&lt;"&amp;$A2460+1)))</f>
        <v/>
      </c>
      <c r="AG2460">
        <f>IF($B2460=0,0,IF(Inputs!$B$9="",0,COUNTIFS(Data!$M$10:$M$3209,"&gt;="&amp;$A2460,Data!$M$10:$M$3209,"&lt;"&amp;$A2460+1)))</f>
        <v/>
      </c>
      <c r="AH2460">
        <f>IF($B2460=0,0,IF(Inputs!$B$10="",0,COUNTIFS(Data!$Q$10:$Q$3209,"&gt;="&amp;$A2460,Data!$Q$10:$Q$3209,"&lt;"&amp;$A2460+1)))</f>
        <v/>
      </c>
    </row>
    <row r="2461">
      <c r="A2461" s="55">
        <f>MIN(Inputs!$C$15,$A2460+IF(WEEKDAY($A2460,2)=5,3,1))</f>
        <v/>
      </c>
      <c r="B2461">
        <f>IF($A2461&gt;$A2460,1,0)</f>
        <v/>
      </c>
      <c r="C2461" s="56">
        <f>IF($B2461=0,"",IF(Inputs!$B$6="","",IF($AD2461=0,C2460,SUMIFS(Data!$B$10:$B$3209,Data!$A$10:$A$3209,"&gt;="&amp;$A2461,Data!$A$10:$A$3209,"&lt;"&amp;$A2461+1)/$AD2461)))</f>
        <v/>
      </c>
      <c r="D2461" s="56">
        <f>IF($B2461=0,"",IF(Inputs!$B$7="","",IF($AE2461=0,D2460,SUMIFS(Data!$F$10:$F$3209,Data!$E$10:$E$3209,"&gt;="&amp;$A2461,Data!$E$10:$E$3209,"&lt;"&amp;$A2461+1)/$AE2461)))</f>
        <v/>
      </c>
      <c r="E2461" s="56">
        <f>IF($B2461=0,"",IF(Inputs!$B$8="","",IF($AF2461=0,E2460,SUMIFS(Data!$J$10:$J$3209,Data!$I$10:$I$3209,"&gt;="&amp;$A2461,Data!$I$10:$I$3209,"&lt;"&amp;$A2461+1)/$AF2461)))</f>
        <v/>
      </c>
      <c r="F2461" s="56">
        <f>IF($B2461=0,"",IF(Inputs!$B$9="","",IF($AG2461=0,F2460,SUMIFS(Data!$N$10:$N$3209,Data!$M$10:$M$3209,"&gt;="&amp;$A2461,Data!$M$10:$M$3209,"&lt;"&amp;$A2461+1)/$AG2461)))</f>
        <v/>
      </c>
      <c r="G2461" s="56">
        <f>IF($B2461=0,"",IF(Inputs!$B$10="","",IF($AH2461=0,G2460,SUMIFS(Data!$R$10:$R$3209,Data!$Q$10:$Q$3209,"&gt;="&amp;$A2461,Data!$Q$10:$Q$3209,"&lt;"&amp;$A2461+1)/$AH2461)))</f>
        <v/>
      </c>
      <c r="I2461" s="54">
        <f>IF($B2461=0,NA(),IF($C2461="",NA(),IF(C$8="",NA(),IF(N(C$8)=0,NA(),IF(Inputs!$C$17="Rebased to 100",$C2461/C$8*100,$C2461)))))</f>
        <v/>
      </c>
      <c r="J2461" s="54">
        <f>IF($B2461=0,NA(),IF($D2461="",NA(),IF(D$8="",NA(),IF(N(D$8)=0,NA(),IF(Inputs!$C$17="Rebased to 100",$D2461/D$8*100,$D2461)))))</f>
        <v/>
      </c>
      <c r="K2461" s="54">
        <f>IF($B2461=0,NA(),IF($E2461="",NA(),IF(E$8="",NA(),IF(N(E$8)=0,NA(),IF(Inputs!$C$17="Rebased to 100",$E2461/E$8*100,$E2461)))))</f>
        <v/>
      </c>
      <c r="L2461" s="54">
        <f>IF($B2461=0,NA(),IF($F2461="",NA(),IF(F$8="",NA(),IF(N(F$8)=0,NA(),IF(Inputs!$C$17="Rebased to 100",$F2461/F$8*100,$F2461)))))</f>
        <v/>
      </c>
      <c r="M2461" s="54">
        <f>IF($B2461=0,NA(),IF($G2461="",NA(),IF(G$8="",NA(),IF(N(G$8)=0,NA(),IF(Inputs!$C$17="Rebased to 100",$G2461/G$8*100,$G2461)))))</f>
        <v/>
      </c>
      <c r="N2461" s="54">
        <f>IF($B2461=0,NA(),IF(Inputs!$C$18&lt;&gt;"Yes",NA(),IF(COUNT(I2461,J2461,K2461,L2461,M2461)=0,NA(),MIN(I2461,J2461,K2461,L2461,M2461))))</f>
        <v/>
      </c>
      <c r="O2461" s="54">
        <f>IF($B2461=0,NA(),IF(Inputs!$B$24&lt;&gt;"Yes",NA(),Inputs!$D$24*Inputs!$C$35))</f>
        <v/>
      </c>
      <c r="P2461" s="54">
        <f>IF($B2461=0,NA(),IF(Inputs!$B$25&lt;&gt;"Yes",NA(),Inputs!$D$25*Inputs!$C$35))</f>
        <v/>
      </c>
      <c r="Q2461" s="54">
        <f>IF($B2461=0,NA(),IF(Inputs!$B$26&lt;&gt;"Yes",NA(),Inputs!$D$26*Inputs!$C$35))</f>
        <v/>
      </c>
      <c r="R2461" s="54">
        <f>IF($B2461=0,NA(),IF(Inputs!$B$27&lt;&gt;"Yes",NA(),Inputs!$D$27*Inputs!$C$35))</f>
        <v/>
      </c>
      <c r="S2461" s="54">
        <f>IF($B2461=0,NA(),IF(Inputs!$B$28&lt;&gt;"Yes",NA(),Inputs!$D$28*Inputs!$C$35))</f>
        <v/>
      </c>
      <c r="T2461" s="54">
        <f>IF($B2461=0,NA(),IF(Inputs!$B$29&lt;&gt;"Yes",NA(),Inputs!$D$29*Inputs!$C$35))</f>
        <v/>
      </c>
      <c r="AD2461">
        <f>IF($B2461=0,0,IF(Inputs!$B$6="",0,COUNTIFS(Data!$A$10:$A$3209,"&gt;="&amp;$A2461,Data!$A$10:$A$3209,"&lt;"&amp;$A2461+1)))</f>
        <v/>
      </c>
      <c r="AE2461">
        <f>IF($B2461=0,0,IF(Inputs!$B$7="",0,COUNTIFS(Data!$E$10:$E$3209,"&gt;="&amp;$A2461,Data!$E$10:$E$3209,"&lt;"&amp;$A2461+1)))</f>
        <v/>
      </c>
      <c r="AF2461">
        <f>IF($B2461=0,0,IF(Inputs!$B$8="",0,COUNTIFS(Data!$I$10:$I$3209,"&gt;="&amp;$A2461,Data!$I$10:$I$3209,"&lt;"&amp;$A2461+1)))</f>
        <v/>
      </c>
      <c r="AG2461">
        <f>IF($B2461=0,0,IF(Inputs!$B$9="",0,COUNTIFS(Data!$M$10:$M$3209,"&gt;="&amp;$A2461,Data!$M$10:$M$3209,"&lt;"&amp;$A2461+1)))</f>
        <v/>
      </c>
      <c r="AH2461">
        <f>IF($B2461=0,0,IF(Inputs!$B$10="",0,COUNTIFS(Data!$Q$10:$Q$3209,"&gt;="&amp;$A2461,Data!$Q$10:$Q$3209,"&lt;"&amp;$A2461+1)))</f>
        <v/>
      </c>
    </row>
    <row r="2462">
      <c r="A2462" s="55">
        <f>MIN(Inputs!$C$15,$A2461+IF(WEEKDAY($A2461,2)=5,3,1))</f>
        <v/>
      </c>
      <c r="B2462">
        <f>IF($A2462&gt;$A2461,1,0)</f>
        <v/>
      </c>
      <c r="C2462" s="56">
        <f>IF($B2462=0,"",IF(Inputs!$B$6="","",IF($AD2462=0,C2461,SUMIFS(Data!$B$10:$B$3209,Data!$A$10:$A$3209,"&gt;="&amp;$A2462,Data!$A$10:$A$3209,"&lt;"&amp;$A2462+1)/$AD2462)))</f>
        <v/>
      </c>
      <c r="D2462" s="56">
        <f>IF($B2462=0,"",IF(Inputs!$B$7="","",IF($AE2462=0,D2461,SUMIFS(Data!$F$10:$F$3209,Data!$E$10:$E$3209,"&gt;="&amp;$A2462,Data!$E$10:$E$3209,"&lt;"&amp;$A2462+1)/$AE2462)))</f>
        <v/>
      </c>
      <c r="E2462" s="56">
        <f>IF($B2462=0,"",IF(Inputs!$B$8="","",IF($AF2462=0,E2461,SUMIFS(Data!$J$10:$J$3209,Data!$I$10:$I$3209,"&gt;="&amp;$A2462,Data!$I$10:$I$3209,"&lt;"&amp;$A2462+1)/$AF2462)))</f>
        <v/>
      </c>
      <c r="F2462" s="56">
        <f>IF($B2462=0,"",IF(Inputs!$B$9="","",IF($AG2462=0,F2461,SUMIFS(Data!$N$10:$N$3209,Data!$M$10:$M$3209,"&gt;="&amp;$A2462,Data!$M$10:$M$3209,"&lt;"&amp;$A2462+1)/$AG2462)))</f>
        <v/>
      </c>
      <c r="G2462" s="56">
        <f>IF($B2462=0,"",IF(Inputs!$B$10="","",IF($AH2462=0,G2461,SUMIFS(Data!$R$10:$R$3209,Data!$Q$10:$Q$3209,"&gt;="&amp;$A2462,Data!$Q$10:$Q$3209,"&lt;"&amp;$A2462+1)/$AH2462)))</f>
        <v/>
      </c>
      <c r="I2462" s="54">
        <f>IF($B2462=0,NA(),IF($C2462="",NA(),IF(C$8="",NA(),IF(N(C$8)=0,NA(),IF(Inputs!$C$17="Rebased to 100",$C2462/C$8*100,$C2462)))))</f>
        <v/>
      </c>
      <c r="J2462" s="54">
        <f>IF($B2462=0,NA(),IF($D2462="",NA(),IF(D$8="",NA(),IF(N(D$8)=0,NA(),IF(Inputs!$C$17="Rebased to 100",$D2462/D$8*100,$D2462)))))</f>
        <v/>
      </c>
      <c r="K2462" s="54">
        <f>IF($B2462=0,NA(),IF($E2462="",NA(),IF(E$8="",NA(),IF(N(E$8)=0,NA(),IF(Inputs!$C$17="Rebased to 100",$E2462/E$8*100,$E2462)))))</f>
        <v/>
      </c>
      <c r="L2462" s="54">
        <f>IF($B2462=0,NA(),IF($F2462="",NA(),IF(F$8="",NA(),IF(N(F$8)=0,NA(),IF(Inputs!$C$17="Rebased to 100",$F2462/F$8*100,$F2462)))))</f>
        <v/>
      </c>
      <c r="M2462" s="54">
        <f>IF($B2462=0,NA(),IF($G2462="",NA(),IF(G$8="",NA(),IF(N(G$8)=0,NA(),IF(Inputs!$C$17="Rebased to 100",$G2462/G$8*100,$G2462)))))</f>
        <v/>
      </c>
      <c r="N2462" s="54">
        <f>IF($B2462=0,NA(),IF(Inputs!$C$18&lt;&gt;"Yes",NA(),IF(COUNT(I2462,J2462,K2462,L2462,M2462)=0,NA(),MIN(I2462,J2462,K2462,L2462,M2462))))</f>
        <v/>
      </c>
      <c r="O2462" s="54">
        <f>IF($B2462=0,NA(),IF(Inputs!$B$24&lt;&gt;"Yes",NA(),Inputs!$D$24*Inputs!$C$35))</f>
        <v/>
      </c>
      <c r="P2462" s="54">
        <f>IF($B2462=0,NA(),IF(Inputs!$B$25&lt;&gt;"Yes",NA(),Inputs!$D$25*Inputs!$C$35))</f>
        <v/>
      </c>
      <c r="Q2462" s="54">
        <f>IF($B2462=0,NA(),IF(Inputs!$B$26&lt;&gt;"Yes",NA(),Inputs!$D$26*Inputs!$C$35))</f>
        <v/>
      </c>
      <c r="R2462" s="54">
        <f>IF($B2462=0,NA(),IF(Inputs!$B$27&lt;&gt;"Yes",NA(),Inputs!$D$27*Inputs!$C$35))</f>
        <v/>
      </c>
      <c r="S2462" s="54">
        <f>IF($B2462=0,NA(),IF(Inputs!$B$28&lt;&gt;"Yes",NA(),Inputs!$D$28*Inputs!$C$35))</f>
        <v/>
      </c>
      <c r="T2462" s="54">
        <f>IF($B2462=0,NA(),IF(Inputs!$B$29&lt;&gt;"Yes",NA(),Inputs!$D$29*Inputs!$C$35))</f>
        <v/>
      </c>
      <c r="AD2462">
        <f>IF($B2462=0,0,IF(Inputs!$B$6="",0,COUNTIFS(Data!$A$10:$A$3209,"&gt;="&amp;$A2462,Data!$A$10:$A$3209,"&lt;"&amp;$A2462+1)))</f>
        <v/>
      </c>
      <c r="AE2462">
        <f>IF($B2462=0,0,IF(Inputs!$B$7="",0,COUNTIFS(Data!$E$10:$E$3209,"&gt;="&amp;$A2462,Data!$E$10:$E$3209,"&lt;"&amp;$A2462+1)))</f>
        <v/>
      </c>
      <c r="AF2462">
        <f>IF($B2462=0,0,IF(Inputs!$B$8="",0,COUNTIFS(Data!$I$10:$I$3209,"&gt;="&amp;$A2462,Data!$I$10:$I$3209,"&lt;"&amp;$A2462+1)))</f>
        <v/>
      </c>
      <c r="AG2462">
        <f>IF($B2462=0,0,IF(Inputs!$B$9="",0,COUNTIFS(Data!$M$10:$M$3209,"&gt;="&amp;$A2462,Data!$M$10:$M$3209,"&lt;"&amp;$A2462+1)))</f>
        <v/>
      </c>
      <c r="AH2462">
        <f>IF($B2462=0,0,IF(Inputs!$B$10="",0,COUNTIFS(Data!$Q$10:$Q$3209,"&gt;="&amp;$A2462,Data!$Q$10:$Q$3209,"&lt;"&amp;$A2462+1)))</f>
        <v/>
      </c>
    </row>
    <row r="2463">
      <c r="A2463" s="55">
        <f>MIN(Inputs!$C$15,$A2462+IF(WEEKDAY($A2462,2)=5,3,1))</f>
        <v/>
      </c>
      <c r="B2463">
        <f>IF($A2463&gt;$A2462,1,0)</f>
        <v/>
      </c>
      <c r="C2463" s="56">
        <f>IF($B2463=0,"",IF(Inputs!$B$6="","",IF($AD2463=0,C2462,SUMIFS(Data!$B$10:$B$3209,Data!$A$10:$A$3209,"&gt;="&amp;$A2463,Data!$A$10:$A$3209,"&lt;"&amp;$A2463+1)/$AD2463)))</f>
        <v/>
      </c>
      <c r="D2463" s="56">
        <f>IF($B2463=0,"",IF(Inputs!$B$7="","",IF($AE2463=0,D2462,SUMIFS(Data!$F$10:$F$3209,Data!$E$10:$E$3209,"&gt;="&amp;$A2463,Data!$E$10:$E$3209,"&lt;"&amp;$A2463+1)/$AE2463)))</f>
        <v/>
      </c>
      <c r="E2463" s="56">
        <f>IF($B2463=0,"",IF(Inputs!$B$8="","",IF($AF2463=0,E2462,SUMIFS(Data!$J$10:$J$3209,Data!$I$10:$I$3209,"&gt;="&amp;$A2463,Data!$I$10:$I$3209,"&lt;"&amp;$A2463+1)/$AF2463)))</f>
        <v/>
      </c>
      <c r="F2463" s="56">
        <f>IF($B2463=0,"",IF(Inputs!$B$9="","",IF($AG2463=0,F2462,SUMIFS(Data!$N$10:$N$3209,Data!$M$10:$M$3209,"&gt;="&amp;$A2463,Data!$M$10:$M$3209,"&lt;"&amp;$A2463+1)/$AG2463)))</f>
        <v/>
      </c>
      <c r="G2463" s="56">
        <f>IF($B2463=0,"",IF(Inputs!$B$10="","",IF($AH2463=0,G2462,SUMIFS(Data!$R$10:$R$3209,Data!$Q$10:$Q$3209,"&gt;="&amp;$A2463,Data!$Q$10:$Q$3209,"&lt;"&amp;$A2463+1)/$AH2463)))</f>
        <v/>
      </c>
      <c r="I2463" s="54">
        <f>IF($B2463=0,NA(),IF($C2463="",NA(),IF(C$8="",NA(),IF(N(C$8)=0,NA(),IF(Inputs!$C$17="Rebased to 100",$C2463/C$8*100,$C2463)))))</f>
        <v/>
      </c>
      <c r="J2463" s="54">
        <f>IF($B2463=0,NA(),IF($D2463="",NA(),IF(D$8="",NA(),IF(N(D$8)=0,NA(),IF(Inputs!$C$17="Rebased to 100",$D2463/D$8*100,$D2463)))))</f>
        <v/>
      </c>
      <c r="K2463" s="54">
        <f>IF($B2463=0,NA(),IF($E2463="",NA(),IF(E$8="",NA(),IF(N(E$8)=0,NA(),IF(Inputs!$C$17="Rebased to 100",$E2463/E$8*100,$E2463)))))</f>
        <v/>
      </c>
      <c r="L2463" s="54">
        <f>IF($B2463=0,NA(),IF($F2463="",NA(),IF(F$8="",NA(),IF(N(F$8)=0,NA(),IF(Inputs!$C$17="Rebased to 100",$F2463/F$8*100,$F2463)))))</f>
        <v/>
      </c>
      <c r="M2463" s="54">
        <f>IF($B2463=0,NA(),IF($G2463="",NA(),IF(G$8="",NA(),IF(N(G$8)=0,NA(),IF(Inputs!$C$17="Rebased to 100",$G2463/G$8*100,$G2463)))))</f>
        <v/>
      </c>
      <c r="N2463" s="54">
        <f>IF($B2463=0,NA(),IF(Inputs!$C$18&lt;&gt;"Yes",NA(),IF(COUNT(I2463,J2463,K2463,L2463,M2463)=0,NA(),MIN(I2463,J2463,K2463,L2463,M2463))))</f>
        <v/>
      </c>
      <c r="O2463" s="54">
        <f>IF($B2463=0,NA(),IF(Inputs!$B$24&lt;&gt;"Yes",NA(),Inputs!$D$24*Inputs!$C$35))</f>
        <v/>
      </c>
      <c r="P2463" s="54">
        <f>IF($B2463=0,NA(),IF(Inputs!$B$25&lt;&gt;"Yes",NA(),Inputs!$D$25*Inputs!$C$35))</f>
        <v/>
      </c>
      <c r="Q2463" s="54">
        <f>IF($B2463=0,NA(),IF(Inputs!$B$26&lt;&gt;"Yes",NA(),Inputs!$D$26*Inputs!$C$35))</f>
        <v/>
      </c>
      <c r="R2463" s="54">
        <f>IF($B2463=0,NA(),IF(Inputs!$B$27&lt;&gt;"Yes",NA(),Inputs!$D$27*Inputs!$C$35))</f>
        <v/>
      </c>
      <c r="S2463" s="54">
        <f>IF($B2463=0,NA(),IF(Inputs!$B$28&lt;&gt;"Yes",NA(),Inputs!$D$28*Inputs!$C$35))</f>
        <v/>
      </c>
      <c r="T2463" s="54">
        <f>IF($B2463=0,NA(),IF(Inputs!$B$29&lt;&gt;"Yes",NA(),Inputs!$D$29*Inputs!$C$35))</f>
        <v/>
      </c>
      <c r="AD2463">
        <f>IF($B2463=0,0,IF(Inputs!$B$6="",0,COUNTIFS(Data!$A$10:$A$3209,"&gt;="&amp;$A2463,Data!$A$10:$A$3209,"&lt;"&amp;$A2463+1)))</f>
        <v/>
      </c>
      <c r="AE2463">
        <f>IF($B2463=0,0,IF(Inputs!$B$7="",0,COUNTIFS(Data!$E$10:$E$3209,"&gt;="&amp;$A2463,Data!$E$10:$E$3209,"&lt;"&amp;$A2463+1)))</f>
        <v/>
      </c>
      <c r="AF2463">
        <f>IF($B2463=0,0,IF(Inputs!$B$8="",0,COUNTIFS(Data!$I$10:$I$3209,"&gt;="&amp;$A2463,Data!$I$10:$I$3209,"&lt;"&amp;$A2463+1)))</f>
        <v/>
      </c>
      <c r="AG2463">
        <f>IF($B2463=0,0,IF(Inputs!$B$9="",0,COUNTIFS(Data!$M$10:$M$3209,"&gt;="&amp;$A2463,Data!$M$10:$M$3209,"&lt;"&amp;$A2463+1)))</f>
        <v/>
      </c>
      <c r="AH2463">
        <f>IF($B2463=0,0,IF(Inputs!$B$10="",0,COUNTIFS(Data!$Q$10:$Q$3209,"&gt;="&amp;$A2463,Data!$Q$10:$Q$3209,"&lt;"&amp;$A2463+1)))</f>
        <v/>
      </c>
    </row>
    <row r="2464">
      <c r="A2464" s="55">
        <f>MIN(Inputs!$C$15,$A2463+IF(WEEKDAY($A2463,2)=5,3,1))</f>
        <v/>
      </c>
      <c r="B2464">
        <f>IF($A2464&gt;$A2463,1,0)</f>
        <v/>
      </c>
      <c r="C2464" s="56">
        <f>IF($B2464=0,"",IF(Inputs!$B$6="","",IF($AD2464=0,C2463,SUMIFS(Data!$B$10:$B$3209,Data!$A$10:$A$3209,"&gt;="&amp;$A2464,Data!$A$10:$A$3209,"&lt;"&amp;$A2464+1)/$AD2464)))</f>
        <v/>
      </c>
      <c r="D2464" s="56">
        <f>IF($B2464=0,"",IF(Inputs!$B$7="","",IF($AE2464=0,D2463,SUMIFS(Data!$F$10:$F$3209,Data!$E$10:$E$3209,"&gt;="&amp;$A2464,Data!$E$10:$E$3209,"&lt;"&amp;$A2464+1)/$AE2464)))</f>
        <v/>
      </c>
      <c r="E2464" s="56">
        <f>IF($B2464=0,"",IF(Inputs!$B$8="","",IF($AF2464=0,E2463,SUMIFS(Data!$J$10:$J$3209,Data!$I$10:$I$3209,"&gt;="&amp;$A2464,Data!$I$10:$I$3209,"&lt;"&amp;$A2464+1)/$AF2464)))</f>
        <v/>
      </c>
      <c r="F2464" s="56">
        <f>IF($B2464=0,"",IF(Inputs!$B$9="","",IF($AG2464=0,F2463,SUMIFS(Data!$N$10:$N$3209,Data!$M$10:$M$3209,"&gt;="&amp;$A2464,Data!$M$10:$M$3209,"&lt;"&amp;$A2464+1)/$AG2464)))</f>
        <v/>
      </c>
      <c r="G2464" s="56">
        <f>IF($B2464=0,"",IF(Inputs!$B$10="","",IF($AH2464=0,G2463,SUMIFS(Data!$R$10:$R$3209,Data!$Q$10:$Q$3209,"&gt;="&amp;$A2464,Data!$Q$10:$Q$3209,"&lt;"&amp;$A2464+1)/$AH2464)))</f>
        <v/>
      </c>
      <c r="I2464" s="54">
        <f>IF($B2464=0,NA(),IF($C2464="",NA(),IF(C$8="",NA(),IF(N(C$8)=0,NA(),IF(Inputs!$C$17="Rebased to 100",$C2464/C$8*100,$C2464)))))</f>
        <v/>
      </c>
      <c r="J2464" s="54">
        <f>IF($B2464=0,NA(),IF($D2464="",NA(),IF(D$8="",NA(),IF(N(D$8)=0,NA(),IF(Inputs!$C$17="Rebased to 100",$D2464/D$8*100,$D2464)))))</f>
        <v/>
      </c>
      <c r="K2464" s="54">
        <f>IF($B2464=0,NA(),IF($E2464="",NA(),IF(E$8="",NA(),IF(N(E$8)=0,NA(),IF(Inputs!$C$17="Rebased to 100",$E2464/E$8*100,$E2464)))))</f>
        <v/>
      </c>
      <c r="L2464" s="54">
        <f>IF($B2464=0,NA(),IF($F2464="",NA(),IF(F$8="",NA(),IF(N(F$8)=0,NA(),IF(Inputs!$C$17="Rebased to 100",$F2464/F$8*100,$F2464)))))</f>
        <v/>
      </c>
      <c r="M2464" s="54">
        <f>IF($B2464=0,NA(),IF($G2464="",NA(),IF(G$8="",NA(),IF(N(G$8)=0,NA(),IF(Inputs!$C$17="Rebased to 100",$G2464/G$8*100,$G2464)))))</f>
        <v/>
      </c>
      <c r="N2464" s="54">
        <f>IF($B2464=0,NA(),IF(Inputs!$C$18&lt;&gt;"Yes",NA(),IF(COUNT(I2464,J2464,K2464,L2464,M2464)=0,NA(),MIN(I2464,J2464,K2464,L2464,M2464))))</f>
        <v/>
      </c>
      <c r="O2464" s="54">
        <f>IF($B2464=0,NA(),IF(Inputs!$B$24&lt;&gt;"Yes",NA(),Inputs!$D$24*Inputs!$C$35))</f>
        <v/>
      </c>
      <c r="P2464" s="54">
        <f>IF($B2464=0,NA(),IF(Inputs!$B$25&lt;&gt;"Yes",NA(),Inputs!$D$25*Inputs!$C$35))</f>
        <v/>
      </c>
      <c r="Q2464" s="54">
        <f>IF($B2464=0,NA(),IF(Inputs!$B$26&lt;&gt;"Yes",NA(),Inputs!$D$26*Inputs!$C$35))</f>
        <v/>
      </c>
      <c r="R2464" s="54">
        <f>IF($B2464=0,NA(),IF(Inputs!$B$27&lt;&gt;"Yes",NA(),Inputs!$D$27*Inputs!$C$35))</f>
        <v/>
      </c>
      <c r="S2464" s="54">
        <f>IF($B2464=0,NA(),IF(Inputs!$B$28&lt;&gt;"Yes",NA(),Inputs!$D$28*Inputs!$C$35))</f>
        <v/>
      </c>
      <c r="T2464" s="54">
        <f>IF($B2464=0,NA(),IF(Inputs!$B$29&lt;&gt;"Yes",NA(),Inputs!$D$29*Inputs!$C$35))</f>
        <v/>
      </c>
      <c r="AD2464">
        <f>IF($B2464=0,0,IF(Inputs!$B$6="",0,COUNTIFS(Data!$A$10:$A$3209,"&gt;="&amp;$A2464,Data!$A$10:$A$3209,"&lt;"&amp;$A2464+1)))</f>
        <v/>
      </c>
      <c r="AE2464">
        <f>IF($B2464=0,0,IF(Inputs!$B$7="",0,COUNTIFS(Data!$E$10:$E$3209,"&gt;="&amp;$A2464,Data!$E$10:$E$3209,"&lt;"&amp;$A2464+1)))</f>
        <v/>
      </c>
      <c r="AF2464">
        <f>IF($B2464=0,0,IF(Inputs!$B$8="",0,COUNTIFS(Data!$I$10:$I$3209,"&gt;="&amp;$A2464,Data!$I$10:$I$3209,"&lt;"&amp;$A2464+1)))</f>
        <v/>
      </c>
      <c r="AG2464">
        <f>IF($B2464=0,0,IF(Inputs!$B$9="",0,COUNTIFS(Data!$M$10:$M$3209,"&gt;="&amp;$A2464,Data!$M$10:$M$3209,"&lt;"&amp;$A2464+1)))</f>
        <v/>
      </c>
      <c r="AH2464">
        <f>IF($B2464=0,0,IF(Inputs!$B$10="",0,COUNTIFS(Data!$Q$10:$Q$3209,"&gt;="&amp;$A2464,Data!$Q$10:$Q$3209,"&lt;"&amp;$A2464+1)))</f>
        <v/>
      </c>
    </row>
    <row r="2465">
      <c r="A2465" s="55">
        <f>MIN(Inputs!$C$15,$A2464+IF(WEEKDAY($A2464,2)=5,3,1))</f>
        <v/>
      </c>
      <c r="B2465">
        <f>IF($A2465&gt;$A2464,1,0)</f>
        <v/>
      </c>
      <c r="C2465" s="56">
        <f>IF($B2465=0,"",IF(Inputs!$B$6="","",IF($AD2465=0,C2464,SUMIFS(Data!$B$10:$B$3209,Data!$A$10:$A$3209,"&gt;="&amp;$A2465,Data!$A$10:$A$3209,"&lt;"&amp;$A2465+1)/$AD2465)))</f>
        <v/>
      </c>
      <c r="D2465" s="56">
        <f>IF($B2465=0,"",IF(Inputs!$B$7="","",IF($AE2465=0,D2464,SUMIFS(Data!$F$10:$F$3209,Data!$E$10:$E$3209,"&gt;="&amp;$A2465,Data!$E$10:$E$3209,"&lt;"&amp;$A2465+1)/$AE2465)))</f>
        <v/>
      </c>
      <c r="E2465" s="56">
        <f>IF($B2465=0,"",IF(Inputs!$B$8="","",IF($AF2465=0,E2464,SUMIFS(Data!$J$10:$J$3209,Data!$I$10:$I$3209,"&gt;="&amp;$A2465,Data!$I$10:$I$3209,"&lt;"&amp;$A2465+1)/$AF2465)))</f>
        <v/>
      </c>
      <c r="F2465" s="56">
        <f>IF($B2465=0,"",IF(Inputs!$B$9="","",IF($AG2465=0,F2464,SUMIFS(Data!$N$10:$N$3209,Data!$M$10:$M$3209,"&gt;="&amp;$A2465,Data!$M$10:$M$3209,"&lt;"&amp;$A2465+1)/$AG2465)))</f>
        <v/>
      </c>
      <c r="G2465" s="56">
        <f>IF($B2465=0,"",IF(Inputs!$B$10="","",IF($AH2465=0,G2464,SUMIFS(Data!$R$10:$R$3209,Data!$Q$10:$Q$3209,"&gt;="&amp;$A2465,Data!$Q$10:$Q$3209,"&lt;"&amp;$A2465+1)/$AH2465)))</f>
        <v/>
      </c>
      <c r="I2465" s="54">
        <f>IF($B2465=0,NA(),IF($C2465="",NA(),IF(C$8="",NA(),IF(N(C$8)=0,NA(),IF(Inputs!$C$17="Rebased to 100",$C2465/C$8*100,$C2465)))))</f>
        <v/>
      </c>
      <c r="J2465" s="54">
        <f>IF($B2465=0,NA(),IF($D2465="",NA(),IF(D$8="",NA(),IF(N(D$8)=0,NA(),IF(Inputs!$C$17="Rebased to 100",$D2465/D$8*100,$D2465)))))</f>
        <v/>
      </c>
      <c r="K2465" s="54">
        <f>IF($B2465=0,NA(),IF($E2465="",NA(),IF(E$8="",NA(),IF(N(E$8)=0,NA(),IF(Inputs!$C$17="Rebased to 100",$E2465/E$8*100,$E2465)))))</f>
        <v/>
      </c>
      <c r="L2465" s="54">
        <f>IF($B2465=0,NA(),IF($F2465="",NA(),IF(F$8="",NA(),IF(N(F$8)=0,NA(),IF(Inputs!$C$17="Rebased to 100",$F2465/F$8*100,$F2465)))))</f>
        <v/>
      </c>
      <c r="M2465" s="54">
        <f>IF($B2465=0,NA(),IF($G2465="",NA(),IF(G$8="",NA(),IF(N(G$8)=0,NA(),IF(Inputs!$C$17="Rebased to 100",$G2465/G$8*100,$G2465)))))</f>
        <v/>
      </c>
      <c r="N2465" s="54">
        <f>IF($B2465=0,NA(),IF(Inputs!$C$18&lt;&gt;"Yes",NA(),IF(COUNT(I2465,J2465,K2465,L2465,M2465)=0,NA(),MIN(I2465,J2465,K2465,L2465,M2465))))</f>
        <v/>
      </c>
      <c r="O2465" s="54">
        <f>IF($B2465=0,NA(),IF(Inputs!$B$24&lt;&gt;"Yes",NA(),Inputs!$D$24*Inputs!$C$35))</f>
        <v/>
      </c>
      <c r="P2465" s="54">
        <f>IF($B2465=0,NA(),IF(Inputs!$B$25&lt;&gt;"Yes",NA(),Inputs!$D$25*Inputs!$C$35))</f>
        <v/>
      </c>
      <c r="Q2465" s="54">
        <f>IF($B2465=0,NA(),IF(Inputs!$B$26&lt;&gt;"Yes",NA(),Inputs!$D$26*Inputs!$C$35))</f>
        <v/>
      </c>
      <c r="R2465" s="54">
        <f>IF($B2465=0,NA(),IF(Inputs!$B$27&lt;&gt;"Yes",NA(),Inputs!$D$27*Inputs!$C$35))</f>
        <v/>
      </c>
      <c r="S2465" s="54">
        <f>IF($B2465=0,NA(),IF(Inputs!$B$28&lt;&gt;"Yes",NA(),Inputs!$D$28*Inputs!$C$35))</f>
        <v/>
      </c>
      <c r="T2465" s="54">
        <f>IF($B2465=0,NA(),IF(Inputs!$B$29&lt;&gt;"Yes",NA(),Inputs!$D$29*Inputs!$C$35))</f>
        <v/>
      </c>
      <c r="AD2465">
        <f>IF($B2465=0,0,IF(Inputs!$B$6="",0,COUNTIFS(Data!$A$10:$A$3209,"&gt;="&amp;$A2465,Data!$A$10:$A$3209,"&lt;"&amp;$A2465+1)))</f>
        <v/>
      </c>
      <c r="AE2465">
        <f>IF($B2465=0,0,IF(Inputs!$B$7="",0,COUNTIFS(Data!$E$10:$E$3209,"&gt;="&amp;$A2465,Data!$E$10:$E$3209,"&lt;"&amp;$A2465+1)))</f>
        <v/>
      </c>
      <c r="AF2465">
        <f>IF($B2465=0,0,IF(Inputs!$B$8="",0,COUNTIFS(Data!$I$10:$I$3209,"&gt;="&amp;$A2465,Data!$I$10:$I$3209,"&lt;"&amp;$A2465+1)))</f>
        <v/>
      </c>
      <c r="AG2465">
        <f>IF($B2465=0,0,IF(Inputs!$B$9="",0,COUNTIFS(Data!$M$10:$M$3209,"&gt;="&amp;$A2465,Data!$M$10:$M$3209,"&lt;"&amp;$A2465+1)))</f>
        <v/>
      </c>
      <c r="AH2465">
        <f>IF($B2465=0,0,IF(Inputs!$B$10="",0,COUNTIFS(Data!$Q$10:$Q$3209,"&gt;="&amp;$A2465,Data!$Q$10:$Q$3209,"&lt;"&amp;$A2465+1)))</f>
        <v/>
      </c>
    </row>
    <row r="2466">
      <c r="A2466" s="55">
        <f>MIN(Inputs!$C$15,$A2465+IF(WEEKDAY($A2465,2)=5,3,1))</f>
        <v/>
      </c>
      <c r="B2466">
        <f>IF($A2466&gt;$A2465,1,0)</f>
        <v/>
      </c>
      <c r="C2466" s="56">
        <f>IF($B2466=0,"",IF(Inputs!$B$6="","",IF($AD2466=0,C2465,SUMIFS(Data!$B$10:$B$3209,Data!$A$10:$A$3209,"&gt;="&amp;$A2466,Data!$A$10:$A$3209,"&lt;"&amp;$A2466+1)/$AD2466)))</f>
        <v/>
      </c>
      <c r="D2466" s="56">
        <f>IF($B2466=0,"",IF(Inputs!$B$7="","",IF($AE2466=0,D2465,SUMIFS(Data!$F$10:$F$3209,Data!$E$10:$E$3209,"&gt;="&amp;$A2466,Data!$E$10:$E$3209,"&lt;"&amp;$A2466+1)/$AE2466)))</f>
        <v/>
      </c>
      <c r="E2466" s="56">
        <f>IF($B2466=0,"",IF(Inputs!$B$8="","",IF($AF2466=0,E2465,SUMIFS(Data!$J$10:$J$3209,Data!$I$10:$I$3209,"&gt;="&amp;$A2466,Data!$I$10:$I$3209,"&lt;"&amp;$A2466+1)/$AF2466)))</f>
        <v/>
      </c>
      <c r="F2466" s="56">
        <f>IF($B2466=0,"",IF(Inputs!$B$9="","",IF($AG2466=0,F2465,SUMIFS(Data!$N$10:$N$3209,Data!$M$10:$M$3209,"&gt;="&amp;$A2466,Data!$M$10:$M$3209,"&lt;"&amp;$A2466+1)/$AG2466)))</f>
        <v/>
      </c>
      <c r="G2466" s="56">
        <f>IF($B2466=0,"",IF(Inputs!$B$10="","",IF($AH2466=0,G2465,SUMIFS(Data!$R$10:$R$3209,Data!$Q$10:$Q$3209,"&gt;="&amp;$A2466,Data!$Q$10:$Q$3209,"&lt;"&amp;$A2466+1)/$AH2466)))</f>
        <v/>
      </c>
      <c r="I2466" s="54">
        <f>IF($B2466=0,NA(),IF($C2466="",NA(),IF(C$8="",NA(),IF(N(C$8)=0,NA(),IF(Inputs!$C$17="Rebased to 100",$C2466/C$8*100,$C2466)))))</f>
        <v/>
      </c>
      <c r="J2466" s="54">
        <f>IF($B2466=0,NA(),IF($D2466="",NA(),IF(D$8="",NA(),IF(N(D$8)=0,NA(),IF(Inputs!$C$17="Rebased to 100",$D2466/D$8*100,$D2466)))))</f>
        <v/>
      </c>
      <c r="K2466" s="54">
        <f>IF($B2466=0,NA(),IF($E2466="",NA(),IF(E$8="",NA(),IF(N(E$8)=0,NA(),IF(Inputs!$C$17="Rebased to 100",$E2466/E$8*100,$E2466)))))</f>
        <v/>
      </c>
      <c r="L2466" s="54">
        <f>IF($B2466=0,NA(),IF($F2466="",NA(),IF(F$8="",NA(),IF(N(F$8)=0,NA(),IF(Inputs!$C$17="Rebased to 100",$F2466/F$8*100,$F2466)))))</f>
        <v/>
      </c>
      <c r="M2466" s="54">
        <f>IF($B2466=0,NA(),IF($G2466="",NA(),IF(G$8="",NA(),IF(N(G$8)=0,NA(),IF(Inputs!$C$17="Rebased to 100",$G2466/G$8*100,$G2466)))))</f>
        <v/>
      </c>
      <c r="N2466" s="54">
        <f>IF($B2466=0,NA(),IF(Inputs!$C$18&lt;&gt;"Yes",NA(),IF(COUNT(I2466,J2466,K2466,L2466,M2466)=0,NA(),MIN(I2466,J2466,K2466,L2466,M2466))))</f>
        <v/>
      </c>
      <c r="O2466" s="54">
        <f>IF($B2466=0,NA(),IF(Inputs!$B$24&lt;&gt;"Yes",NA(),Inputs!$D$24*Inputs!$C$35))</f>
        <v/>
      </c>
      <c r="P2466" s="54">
        <f>IF($B2466=0,NA(),IF(Inputs!$B$25&lt;&gt;"Yes",NA(),Inputs!$D$25*Inputs!$C$35))</f>
        <v/>
      </c>
      <c r="Q2466" s="54">
        <f>IF($B2466=0,NA(),IF(Inputs!$B$26&lt;&gt;"Yes",NA(),Inputs!$D$26*Inputs!$C$35))</f>
        <v/>
      </c>
      <c r="R2466" s="54">
        <f>IF($B2466=0,NA(),IF(Inputs!$B$27&lt;&gt;"Yes",NA(),Inputs!$D$27*Inputs!$C$35))</f>
        <v/>
      </c>
      <c r="S2466" s="54">
        <f>IF($B2466=0,NA(),IF(Inputs!$B$28&lt;&gt;"Yes",NA(),Inputs!$D$28*Inputs!$C$35))</f>
        <v/>
      </c>
      <c r="T2466" s="54">
        <f>IF($B2466=0,NA(),IF(Inputs!$B$29&lt;&gt;"Yes",NA(),Inputs!$D$29*Inputs!$C$35))</f>
        <v/>
      </c>
      <c r="AD2466">
        <f>IF($B2466=0,0,IF(Inputs!$B$6="",0,COUNTIFS(Data!$A$10:$A$3209,"&gt;="&amp;$A2466,Data!$A$10:$A$3209,"&lt;"&amp;$A2466+1)))</f>
        <v/>
      </c>
      <c r="AE2466">
        <f>IF($B2466=0,0,IF(Inputs!$B$7="",0,COUNTIFS(Data!$E$10:$E$3209,"&gt;="&amp;$A2466,Data!$E$10:$E$3209,"&lt;"&amp;$A2466+1)))</f>
        <v/>
      </c>
      <c r="AF2466">
        <f>IF($B2466=0,0,IF(Inputs!$B$8="",0,COUNTIFS(Data!$I$10:$I$3209,"&gt;="&amp;$A2466,Data!$I$10:$I$3209,"&lt;"&amp;$A2466+1)))</f>
        <v/>
      </c>
      <c r="AG2466">
        <f>IF($B2466=0,0,IF(Inputs!$B$9="",0,COUNTIFS(Data!$M$10:$M$3209,"&gt;="&amp;$A2466,Data!$M$10:$M$3209,"&lt;"&amp;$A2466+1)))</f>
        <v/>
      </c>
      <c r="AH2466">
        <f>IF($B2466=0,0,IF(Inputs!$B$10="",0,COUNTIFS(Data!$Q$10:$Q$3209,"&gt;="&amp;$A2466,Data!$Q$10:$Q$3209,"&lt;"&amp;$A2466+1)))</f>
        <v/>
      </c>
    </row>
    <row r="2467">
      <c r="A2467" s="55">
        <f>MIN(Inputs!$C$15,$A2466+IF(WEEKDAY($A2466,2)=5,3,1))</f>
        <v/>
      </c>
      <c r="B2467">
        <f>IF($A2467&gt;$A2466,1,0)</f>
        <v/>
      </c>
      <c r="C2467" s="56">
        <f>IF($B2467=0,"",IF(Inputs!$B$6="","",IF($AD2467=0,C2466,SUMIFS(Data!$B$10:$B$3209,Data!$A$10:$A$3209,"&gt;="&amp;$A2467,Data!$A$10:$A$3209,"&lt;"&amp;$A2467+1)/$AD2467)))</f>
        <v/>
      </c>
      <c r="D2467" s="56">
        <f>IF($B2467=0,"",IF(Inputs!$B$7="","",IF($AE2467=0,D2466,SUMIFS(Data!$F$10:$F$3209,Data!$E$10:$E$3209,"&gt;="&amp;$A2467,Data!$E$10:$E$3209,"&lt;"&amp;$A2467+1)/$AE2467)))</f>
        <v/>
      </c>
      <c r="E2467" s="56">
        <f>IF($B2467=0,"",IF(Inputs!$B$8="","",IF($AF2467=0,E2466,SUMIFS(Data!$J$10:$J$3209,Data!$I$10:$I$3209,"&gt;="&amp;$A2467,Data!$I$10:$I$3209,"&lt;"&amp;$A2467+1)/$AF2467)))</f>
        <v/>
      </c>
      <c r="F2467" s="56">
        <f>IF($B2467=0,"",IF(Inputs!$B$9="","",IF($AG2467=0,F2466,SUMIFS(Data!$N$10:$N$3209,Data!$M$10:$M$3209,"&gt;="&amp;$A2467,Data!$M$10:$M$3209,"&lt;"&amp;$A2467+1)/$AG2467)))</f>
        <v/>
      </c>
      <c r="G2467" s="56">
        <f>IF($B2467=0,"",IF(Inputs!$B$10="","",IF($AH2467=0,G2466,SUMIFS(Data!$R$10:$R$3209,Data!$Q$10:$Q$3209,"&gt;="&amp;$A2467,Data!$Q$10:$Q$3209,"&lt;"&amp;$A2467+1)/$AH2467)))</f>
        <v/>
      </c>
      <c r="I2467" s="54">
        <f>IF($B2467=0,NA(),IF($C2467="",NA(),IF(C$8="",NA(),IF(N(C$8)=0,NA(),IF(Inputs!$C$17="Rebased to 100",$C2467/C$8*100,$C2467)))))</f>
        <v/>
      </c>
      <c r="J2467" s="54">
        <f>IF($B2467=0,NA(),IF($D2467="",NA(),IF(D$8="",NA(),IF(N(D$8)=0,NA(),IF(Inputs!$C$17="Rebased to 100",$D2467/D$8*100,$D2467)))))</f>
        <v/>
      </c>
      <c r="K2467" s="54">
        <f>IF($B2467=0,NA(),IF($E2467="",NA(),IF(E$8="",NA(),IF(N(E$8)=0,NA(),IF(Inputs!$C$17="Rebased to 100",$E2467/E$8*100,$E2467)))))</f>
        <v/>
      </c>
      <c r="L2467" s="54">
        <f>IF($B2467=0,NA(),IF($F2467="",NA(),IF(F$8="",NA(),IF(N(F$8)=0,NA(),IF(Inputs!$C$17="Rebased to 100",$F2467/F$8*100,$F2467)))))</f>
        <v/>
      </c>
      <c r="M2467" s="54">
        <f>IF($B2467=0,NA(),IF($G2467="",NA(),IF(G$8="",NA(),IF(N(G$8)=0,NA(),IF(Inputs!$C$17="Rebased to 100",$G2467/G$8*100,$G2467)))))</f>
        <v/>
      </c>
      <c r="N2467" s="54">
        <f>IF($B2467=0,NA(),IF(Inputs!$C$18&lt;&gt;"Yes",NA(),IF(COUNT(I2467,J2467,K2467,L2467,M2467)=0,NA(),MIN(I2467,J2467,K2467,L2467,M2467))))</f>
        <v/>
      </c>
      <c r="O2467" s="54">
        <f>IF($B2467=0,NA(),IF(Inputs!$B$24&lt;&gt;"Yes",NA(),Inputs!$D$24*Inputs!$C$35))</f>
        <v/>
      </c>
      <c r="P2467" s="54">
        <f>IF($B2467=0,NA(),IF(Inputs!$B$25&lt;&gt;"Yes",NA(),Inputs!$D$25*Inputs!$C$35))</f>
        <v/>
      </c>
      <c r="Q2467" s="54">
        <f>IF($B2467=0,NA(),IF(Inputs!$B$26&lt;&gt;"Yes",NA(),Inputs!$D$26*Inputs!$C$35))</f>
        <v/>
      </c>
      <c r="R2467" s="54">
        <f>IF($B2467=0,NA(),IF(Inputs!$B$27&lt;&gt;"Yes",NA(),Inputs!$D$27*Inputs!$C$35))</f>
        <v/>
      </c>
      <c r="S2467" s="54">
        <f>IF($B2467=0,NA(),IF(Inputs!$B$28&lt;&gt;"Yes",NA(),Inputs!$D$28*Inputs!$C$35))</f>
        <v/>
      </c>
      <c r="T2467" s="54">
        <f>IF($B2467=0,NA(),IF(Inputs!$B$29&lt;&gt;"Yes",NA(),Inputs!$D$29*Inputs!$C$35))</f>
        <v/>
      </c>
      <c r="AD2467">
        <f>IF($B2467=0,0,IF(Inputs!$B$6="",0,COUNTIFS(Data!$A$10:$A$3209,"&gt;="&amp;$A2467,Data!$A$10:$A$3209,"&lt;"&amp;$A2467+1)))</f>
        <v/>
      </c>
      <c r="AE2467">
        <f>IF($B2467=0,0,IF(Inputs!$B$7="",0,COUNTIFS(Data!$E$10:$E$3209,"&gt;="&amp;$A2467,Data!$E$10:$E$3209,"&lt;"&amp;$A2467+1)))</f>
        <v/>
      </c>
      <c r="AF2467">
        <f>IF($B2467=0,0,IF(Inputs!$B$8="",0,COUNTIFS(Data!$I$10:$I$3209,"&gt;="&amp;$A2467,Data!$I$10:$I$3209,"&lt;"&amp;$A2467+1)))</f>
        <v/>
      </c>
      <c r="AG2467">
        <f>IF($B2467=0,0,IF(Inputs!$B$9="",0,COUNTIFS(Data!$M$10:$M$3209,"&gt;="&amp;$A2467,Data!$M$10:$M$3209,"&lt;"&amp;$A2467+1)))</f>
        <v/>
      </c>
      <c r="AH2467">
        <f>IF($B2467=0,0,IF(Inputs!$B$10="",0,COUNTIFS(Data!$Q$10:$Q$3209,"&gt;="&amp;$A2467,Data!$Q$10:$Q$3209,"&lt;"&amp;$A2467+1)))</f>
        <v/>
      </c>
    </row>
    <row r="2468">
      <c r="A2468" s="55">
        <f>MIN(Inputs!$C$15,$A2467+IF(WEEKDAY($A2467,2)=5,3,1))</f>
        <v/>
      </c>
      <c r="B2468">
        <f>IF($A2468&gt;$A2467,1,0)</f>
        <v/>
      </c>
      <c r="C2468" s="56">
        <f>IF($B2468=0,"",IF(Inputs!$B$6="","",IF($AD2468=0,C2467,SUMIFS(Data!$B$10:$B$3209,Data!$A$10:$A$3209,"&gt;="&amp;$A2468,Data!$A$10:$A$3209,"&lt;"&amp;$A2468+1)/$AD2468)))</f>
        <v/>
      </c>
      <c r="D2468" s="56">
        <f>IF($B2468=0,"",IF(Inputs!$B$7="","",IF($AE2468=0,D2467,SUMIFS(Data!$F$10:$F$3209,Data!$E$10:$E$3209,"&gt;="&amp;$A2468,Data!$E$10:$E$3209,"&lt;"&amp;$A2468+1)/$AE2468)))</f>
        <v/>
      </c>
      <c r="E2468" s="56">
        <f>IF($B2468=0,"",IF(Inputs!$B$8="","",IF($AF2468=0,E2467,SUMIFS(Data!$J$10:$J$3209,Data!$I$10:$I$3209,"&gt;="&amp;$A2468,Data!$I$10:$I$3209,"&lt;"&amp;$A2468+1)/$AF2468)))</f>
        <v/>
      </c>
      <c r="F2468" s="56">
        <f>IF($B2468=0,"",IF(Inputs!$B$9="","",IF($AG2468=0,F2467,SUMIFS(Data!$N$10:$N$3209,Data!$M$10:$M$3209,"&gt;="&amp;$A2468,Data!$M$10:$M$3209,"&lt;"&amp;$A2468+1)/$AG2468)))</f>
        <v/>
      </c>
      <c r="G2468" s="56">
        <f>IF($B2468=0,"",IF(Inputs!$B$10="","",IF($AH2468=0,G2467,SUMIFS(Data!$R$10:$R$3209,Data!$Q$10:$Q$3209,"&gt;="&amp;$A2468,Data!$Q$10:$Q$3209,"&lt;"&amp;$A2468+1)/$AH2468)))</f>
        <v/>
      </c>
      <c r="I2468" s="54">
        <f>IF($B2468=0,NA(),IF($C2468="",NA(),IF(C$8="",NA(),IF(N(C$8)=0,NA(),IF(Inputs!$C$17="Rebased to 100",$C2468/C$8*100,$C2468)))))</f>
        <v/>
      </c>
      <c r="J2468" s="54">
        <f>IF($B2468=0,NA(),IF($D2468="",NA(),IF(D$8="",NA(),IF(N(D$8)=0,NA(),IF(Inputs!$C$17="Rebased to 100",$D2468/D$8*100,$D2468)))))</f>
        <v/>
      </c>
      <c r="K2468" s="54">
        <f>IF($B2468=0,NA(),IF($E2468="",NA(),IF(E$8="",NA(),IF(N(E$8)=0,NA(),IF(Inputs!$C$17="Rebased to 100",$E2468/E$8*100,$E2468)))))</f>
        <v/>
      </c>
      <c r="L2468" s="54">
        <f>IF($B2468=0,NA(),IF($F2468="",NA(),IF(F$8="",NA(),IF(N(F$8)=0,NA(),IF(Inputs!$C$17="Rebased to 100",$F2468/F$8*100,$F2468)))))</f>
        <v/>
      </c>
      <c r="M2468" s="54">
        <f>IF($B2468=0,NA(),IF($G2468="",NA(),IF(G$8="",NA(),IF(N(G$8)=0,NA(),IF(Inputs!$C$17="Rebased to 100",$G2468/G$8*100,$G2468)))))</f>
        <v/>
      </c>
      <c r="N2468" s="54">
        <f>IF($B2468=0,NA(),IF(Inputs!$C$18&lt;&gt;"Yes",NA(),IF(COUNT(I2468,J2468,K2468,L2468,M2468)=0,NA(),MIN(I2468,J2468,K2468,L2468,M2468))))</f>
        <v/>
      </c>
      <c r="O2468" s="54">
        <f>IF($B2468=0,NA(),IF(Inputs!$B$24&lt;&gt;"Yes",NA(),Inputs!$D$24*Inputs!$C$35))</f>
        <v/>
      </c>
      <c r="P2468" s="54">
        <f>IF($B2468=0,NA(),IF(Inputs!$B$25&lt;&gt;"Yes",NA(),Inputs!$D$25*Inputs!$C$35))</f>
        <v/>
      </c>
      <c r="Q2468" s="54">
        <f>IF($B2468=0,NA(),IF(Inputs!$B$26&lt;&gt;"Yes",NA(),Inputs!$D$26*Inputs!$C$35))</f>
        <v/>
      </c>
      <c r="R2468" s="54">
        <f>IF($B2468=0,NA(),IF(Inputs!$B$27&lt;&gt;"Yes",NA(),Inputs!$D$27*Inputs!$C$35))</f>
        <v/>
      </c>
      <c r="S2468" s="54">
        <f>IF($B2468=0,NA(),IF(Inputs!$B$28&lt;&gt;"Yes",NA(),Inputs!$D$28*Inputs!$C$35))</f>
        <v/>
      </c>
      <c r="T2468" s="54">
        <f>IF($B2468=0,NA(),IF(Inputs!$B$29&lt;&gt;"Yes",NA(),Inputs!$D$29*Inputs!$C$35))</f>
        <v/>
      </c>
      <c r="AD2468">
        <f>IF($B2468=0,0,IF(Inputs!$B$6="",0,COUNTIFS(Data!$A$10:$A$3209,"&gt;="&amp;$A2468,Data!$A$10:$A$3209,"&lt;"&amp;$A2468+1)))</f>
        <v/>
      </c>
      <c r="AE2468">
        <f>IF($B2468=0,0,IF(Inputs!$B$7="",0,COUNTIFS(Data!$E$10:$E$3209,"&gt;="&amp;$A2468,Data!$E$10:$E$3209,"&lt;"&amp;$A2468+1)))</f>
        <v/>
      </c>
      <c r="AF2468">
        <f>IF($B2468=0,0,IF(Inputs!$B$8="",0,COUNTIFS(Data!$I$10:$I$3209,"&gt;="&amp;$A2468,Data!$I$10:$I$3209,"&lt;"&amp;$A2468+1)))</f>
        <v/>
      </c>
      <c r="AG2468">
        <f>IF($B2468=0,0,IF(Inputs!$B$9="",0,COUNTIFS(Data!$M$10:$M$3209,"&gt;="&amp;$A2468,Data!$M$10:$M$3209,"&lt;"&amp;$A2468+1)))</f>
        <v/>
      </c>
      <c r="AH2468">
        <f>IF($B2468=0,0,IF(Inputs!$B$10="",0,COUNTIFS(Data!$Q$10:$Q$3209,"&gt;="&amp;$A2468,Data!$Q$10:$Q$3209,"&lt;"&amp;$A2468+1)))</f>
        <v/>
      </c>
    </row>
    <row r="2469">
      <c r="A2469" s="55">
        <f>MIN(Inputs!$C$15,$A2468+IF(WEEKDAY($A2468,2)=5,3,1))</f>
        <v/>
      </c>
      <c r="B2469">
        <f>IF($A2469&gt;$A2468,1,0)</f>
        <v/>
      </c>
      <c r="C2469" s="56">
        <f>IF($B2469=0,"",IF(Inputs!$B$6="","",IF($AD2469=0,C2468,SUMIFS(Data!$B$10:$B$3209,Data!$A$10:$A$3209,"&gt;="&amp;$A2469,Data!$A$10:$A$3209,"&lt;"&amp;$A2469+1)/$AD2469)))</f>
        <v/>
      </c>
      <c r="D2469" s="56">
        <f>IF($B2469=0,"",IF(Inputs!$B$7="","",IF($AE2469=0,D2468,SUMIFS(Data!$F$10:$F$3209,Data!$E$10:$E$3209,"&gt;="&amp;$A2469,Data!$E$10:$E$3209,"&lt;"&amp;$A2469+1)/$AE2469)))</f>
        <v/>
      </c>
      <c r="E2469" s="56">
        <f>IF($B2469=0,"",IF(Inputs!$B$8="","",IF($AF2469=0,E2468,SUMIFS(Data!$J$10:$J$3209,Data!$I$10:$I$3209,"&gt;="&amp;$A2469,Data!$I$10:$I$3209,"&lt;"&amp;$A2469+1)/$AF2469)))</f>
        <v/>
      </c>
      <c r="F2469" s="56">
        <f>IF($B2469=0,"",IF(Inputs!$B$9="","",IF($AG2469=0,F2468,SUMIFS(Data!$N$10:$N$3209,Data!$M$10:$M$3209,"&gt;="&amp;$A2469,Data!$M$10:$M$3209,"&lt;"&amp;$A2469+1)/$AG2469)))</f>
        <v/>
      </c>
      <c r="G2469" s="56">
        <f>IF($B2469=0,"",IF(Inputs!$B$10="","",IF($AH2469=0,G2468,SUMIFS(Data!$R$10:$R$3209,Data!$Q$10:$Q$3209,"&gt;="&amp;$A2469,Data!$Q$10:$Q$3209,"&lt;"&amp;$A2469+1)/$AH2469)))</f>
        <v/>
      </c>
      <c r="I2469" s="54">
        <f>IF($B2469=0,NA(),IF($C2469="",NA(),IF(C$8="",NA(),IF(N(C$8)=0,NA(),IF(Inputs!$C$17="Rebased to 100",$C2469/C$8*100,$C2469)))))</f>
        <v/>
      </c>
      <c r="J2469" s="54">
        <f>IF($B2469=0,NA(),IF($D2469="",NA(),IF(D$8="",NA(),IF(N(D$8)=0,NA(),IF(Inputs!$C$17="Rebased to 100",$D2469/D$8*100,$D2469)))))</f>
        <v/>
      </c>
      <c r="K2469" s="54">
        <f>IF($B2469=0,NA(),IF($E2469="",NA(),IF(E$8="",NA(),IF(N(E$8)=0,NA(),IF(Inputs!$C$17="Rebased to 100",$E2469/E$8*100,$E2469)))))</f>
        <v/>
      </c>
      <c r="L2469" s="54">
        <f>IF($B2469=0,NA(),IF($F2469="",NA(),IF(F$8="",NA(),IF(N(F$8)=0,NA(),IF(Inputs!$C$17="Rebased to 100",$F2469/F$8*100,$F2469)))))</f>
        <v/>
      </c>
      <c r="M2469" s="54">
        <f>IF($B2469=0,NA(),IF($G2469="",NA(),IF(G$8="",NA(),IF(N(G$8)=0,NA(),IF(Inputs!$C$17="Rebased to 100",$G2469/G$8*100,$G2469)))))</f>
        <v/>
      </c>
      <c r="N2469" s="54">
        <f>IF($B2469=0,NA(),IF(Inputs!$C$18&lt;&gt;"Yes",NA(),IF(COUNT(I2469,J2469,K2469,L2469,M2469)=0,NA(),MIN(I2469,J2469,K2469,L2469,M2469))))</f>
        <v/>
      </c>
      <c r="O2469" s="54">
        <f>IF($B2469=0,NA(),IF(Inputs!$B$24&lt;&gt;"Yes",NA(),Inputs!$D$24*Inputs!$C$35))</f>
        <v/>
      </c>
      <c r="P2469" s="54">
        <f>IF($B2469=0,NA(),IF(Inputs!$B$25&lt;&gt;"Yes",NA(),Inputs!$D$25*Inputs!$C$35))</f>
        <v/>
      </c>
      <c r="Q2469" s="54">
        <f>IF($B2469=0,NA(),IF(Inputs!$B$26&lt;&gt;"Yes",NA(),Inputs!$D$26*Inputs!$C$35))</f>
        <v/>
      </c>
      <c r="R2469" s="54">
        <f>IF($B2469=0,NA(),IF(Inputs!$B$27&lt;&gt;"Yes",NA(),Inputs!$D$27*Inputs!$C$35))</f>
        <v/>
      </c>
      <c r="S2469" s="54">
        <f>IF($B2469=0,NA(),IF(Inputs!$B$28&lt;&gt;"Yes",NA(),Inputs!$D$28*Inputs!$C$35))</f>
        <v/>
      </c>
      <c r="T2469" s="54">
        <f>IF($B2469=0,NA(),IF(Inputs!$B$29&lt;&gt;"Yes",NA(),Inputs!$D$29*Inputs!$C$35))</f>
        <v/>
      </c>
      <c r="AD2469">
        <f>IF($B2469=0,0,IF(Inputs!$B$6="",0,COUNTIFS(Data!$A$10:$A$3209,"&gt;="&amp;$A2469,Data!$A$10:$A$3209,"&lt;"&amp;$A2469+1)))</f>
        <v/>
      </c>
      <c r="AE2469">
        <f>IF($B2469=0,0,IF(Inputs!$B$7="",0,COUNTIFS(Data!$E$10:$E$3209,"&gt;="&amp;$A2469,Data!$E$10:$E$3209,"&lt;"&amp;$A2469+1)))</f>
        <v/>
      </c>
      <c r="AF2469">
        <f>IF($B2469=0,0,IF(Inputs!$B$8="",0,COUNTIFS(Data!$I$10:$I$3209,"&gt;="&amp;$A2469,Data!$I$10:$I$3209,"&lt;"&amp;$A2469+1)))</f>
        <v/>
      </c>
      <c r="AG2469">
        <f>IF($B2469=0,0,IF(Inputs!$B$9="",0,COUNTIFS(Data!$M$10:$M$3209,"&gt;="&amp;$A2469,Data!$M$10:$M$3209,"&lt;"&amp;$A2469+1)))</f>
        <v/>
      </c>
      <c r="AH2469">
        <f>IF($B2469=0,0,IF(Inputs!$B$10="",0,COUNTIFS(Data!$Q$10:$Q$3209,"&gt;="&amp;$A2469,Data!$Q$10:$Q$3209,"&lt;"&amp;$A2469+1)))</f>
        <v/>
      </c>
    </row>
    <row r="2470">
      <c r="A2470" s="55">
        <f>MIN(Inputs!$C$15,$A2469+IF(WEEKDAY($A2469,2)=5,3,1))</f>
        <v/>
      </c>
      <c r="B2470">
        <f>IF($A2470&gt;$A2469,1,0)</f>
        <v/>
      </c>
      <c r="C2470" s="56">
        <f>IF($B2470=0,"",IF(Inputs!$B$6="","",IF($AD2470=0,C2469,SUMIFS(Data!$B$10:$B$3209,Data!$A$10:$A$3209,"&gt;="&amp;$A2470,Data!$A$10:$A$3209,"&lt;"&amp;$A2470+1)/$AD2470)))</f>
        <v/>
      </c>
      <c r="D2470" s="56">
        <f>IF($B2470=0,"",IF(Inputs!$B$7="","",IF($AE2470=0,D2469,SUMIFS(Data!$F$10:$F$3209,Data!$E$10:$E$3209,"&gt;="&amp;$A2470,Data!$E$10:$E$3209,"&lt;"&amp;$A2470+1)/$AE2470)))</f>
        <v/>
      </c>
      <c r="E2470" s="56">
        <f>IF($B2470=0,"",IF(Inputs!$B$8="","",IF($AF2470=0,E2469,SUMIFS(Data!$J$10:$J$3209,Data!$I$10:$I$3209,"&gt;="&amp;$A2470,Data!$I$10:$I$3209,"&lt;"&amp;$A2470+1)/$AF2470)))</f>
        <v/>
      </c>
      <c r="F2470" s="56">
        <f>IF($B2470=0,"",IF(Inputs!$B$9="","",IF($AG2470=0,F2469,SUMIFS(Data!$N$10:$N$3209,Data!$M$10:$M$3209,"&gt;="&amp;$A2470,Data!$M$10:$M$3209,"&lt;"&amp;$A2470+1)/$AG2470)))</f>
        <v/>
      </c>
      <c r="G2470" s="56">
        <f>IF($B2470=0,"",IF(Inputs!$B$10="","",IF($AH2470=0,G2469,SUMIFS(Data!$R$10:$R$3209,Data!$Q$10:$Q$3209,"&gt;="&amp;$A2470,Data!$Q$10:$Q$3209,"&lt;"&amp;$A2470+1)/$AH2470)))</f>
        <v/>
      </c>
      <c r="I2470" s="54">
        <f>IF($B2470=0,NA(),IF($C2470="",NA(),IF(C$8="",NA(),IF(N(C$8)=0,NA(),IF(Inputs!$C$17="Rebased to 100",$C2470/C$8*100,$C2470)))))</f>
        <v/>
      </c>
      <c r="J2470" s="54">
        <f>IF($B2470=0,NA(),IF($D2470="",NA(),IF(D$8="",NA(),IF(N(D$8)=0,NA(),IF(Inputs!$C$17="Rebased to 100",$D2470/D$8*100,$D2470)))))</f>
        <v/>
      </c>
      <c r="K2470" s="54">
        <f>IF($B2470=0,NA(),IF($E2470="",NA(),IF(E$8="",NA(),IF(N(E$8)=0,NA(),IF(Inputs!$C$17="Rebased to 100",$E2470/E$8*100,$E2470)))))</f>
        <v/>
      </c>
      <c r="L2470" s="54">
        <f>IF($B2470=0,NA(),IF($F2470="",NA(),IF(F$8="",NA(),IF(N(F$8)=0,NA(),IF(Inputs!$C$17="Rebased to 100",$F2470/F$8*100,$F2470)))))</f>
        <v/>
      </c>
      <c r="M2470" s="54">
        <f>IF($B2470=0,NA(),IF($G2470="",NA(),IF(G$8="",NA(),IF(N(G$8)=0,NA(),IF(Inputs!$C$17="Rebased to 100",$G2470/G$8*100,$G2470)))))</f>
        <v/>
      </c>
      <c r="N2470" s="54">
        <f>IF($B2470=0,NA(),IF(Inputs!$C$18&lt;&gt;"Yes",NA(),IF(COUNT(I2470,J2470,K2470,L2470,M2470)=0,NA(),MIN(I2470,J2470,K2470,L2470,M2470))))</f>
        <v/>
      </c>
      <c r="O2470" s="54">
        <f>IF($B2470=0,NA(),IF(Inputs!$B$24&lt;&gt;"Yes",NA(),Inputs!$D$24*Inputs!$C$35))</f>
        <v/>
      </c>
      <c r="P2470" s="54">
        <f>IF($B2470=0,NA(),IF(Inputs!$B$25&lt;&gt;"Yes",NA(),Inputs!$D$25*Inputs!$C$35))</f>
        <v/>
      </c>
      <c r="Q2470" s="54">
        <f>IF($B2470=0,NA(),IF(Inputs!$B$26&lt;&gt;"Yes",NA(),Inputs!$D$26*Inputs!$C$35))</f>
        <v/>
      </c>
      <c r="R2470" s="54">
        <f>IF($B2470=0,NA(),IF(Inputs!$B$27&lt;&gt;"Yes",NA(),Inputs!$D$27*Inputs!$C$35))</f>
        <v/>
      </c>
      <c r="S2470" s="54">
        <f>IF($B2470=0,NA(),IF(Inputs!$B$28&lt;&gt;"Yes",NA(),Inputs!$D$28*Inputs!$C$35))</f>
        <v/>
      </c>
      <c r="T2470" s="54">
        <f>IF($B2470=0,NA(),IF(Inputs!$B$29&lt;&gt;"Yes",NA(),Inputs!$D$29*Inputs!$C$35))</f>
        <v/>
      </c>
      <c r="AD2470">
        <f>IF($B2470=0,0,IF(Inputs!$B$6="",0,COUNTIFS(Data!$A$10:$A$3209,"&gt;="&amp;$A2470,Data!$A$10:$A$3209,"&lt;"&amp;$A2470+1)))</f>
        <v/>
      </c>
      <c r="AE2470">
        <f>IF($B2470=0,0,IF(Inputs!$B$7="",0,COUNTIFS(Data!$E$10:$E$3209,"&gt;="&amp;$A2470,Data!$E$10:$E$3209,"&lt;"&amp;$A2470+1)))</f>
        <v/>
      </c>
      <c r="AF2470">
        <f>IF($B2470=0,0,IF(Inputs!$B$8="",0,COUNTIFS(Data!$I$10:$I$3209,"&gt;="&amp;$A2470,Data!$I$10:$I$3209,"&lt;"&amp;$A2470+1)))</f>
        <v/>
      </c>
      <c r="AG2470">
        <f>IF($B2470=0,0,IF(Inputs!$B$9="",0,COUNTIFS(Data!$M$10:$M$3209,"&gt;="&amp;$A2470,Data!$M$10:$M$3209,"&lt;"&amp;$A2470+1)))</f>
        <v/>
      </c>
      <c r="AH2470">
        <f>IF($B2470=0,0,IF(Inputs!$B$10="",0,COUNTIFS(Data!$Q$10:$Q$3209,"&gt;="&amp;$A2470,Data!$Q$10:$Q$3209,"&lt;"&amp;$A2470+1)))</f>
        <v/>
      </c>
    </row>
    <row r="2471">
      <c r="A2471" s="55">
        <f>MIN(Inputs!$C$15,$A2470+IF(WEEKDAY($A2470,2)=5,3,1))</f>
        <v/>
      </c>
      <c r="B2471">
        <f>IF($A2471&gt;$A2470,1,0)</f>
        <v/>
      </c>
      <c r="C2471" s="56">
        <f>IF($B2471=0,"",IF(Inputs!$B$6="","",IF($AD2471=0,C2470,SUMIFS(Data!$B$10:$B$3209,Data!$A$10:$A$3209,"&gt;="&amp;$A2471,Data!$A$10:$A$3209,"&lt;"&amp;$A2471+1)/$AD2471)))</f>
        <v/>
      </c>
      <c r="D2471" s="56">
        <f>IF($B2471=0,"",IF(Inputs!$B$7="","",IF($AE2471=0,D2470,SUMIFS(Data!$F$10:$F$3209,Data!$E$10:$E$3209,"&gt;="&amp;$A2471,Data!$E$10:$E$3209,"&lt;"&amp;$A2471+1)/$AE2471)))</f>
        <v/>
      </c>
      <c r="E2471" s="56">
        <f>IF($B2471=0,"",IF(Inputs!$B$8="","",IF($AF2471=0,E2470,SUMIFS(Data!$J$10:$J$3209,Data!$I$10:$I$3209,"&gt;="&amp;$A2471,Data!$I$10:$I$3209,"&lt;"&amp;$A2471+1)/$AF2471)))</f>
        <v/>
      </c>
      <c r="F2471" s="56">
        <f>IF($B2471=0,"",IF(Inputs!$B$9="","",IF($AG2471=0,F2470,SUMIFS(Data!$N$10:$N$3209,Data!$M$10:$M$3209,"&gt;="&amp;$A2471,Data!$M$10:$M$3209,"&lt;"&amp;$A2471+1)/$AG2471)))</f>
        <v/>
      </c>
      <c r="G2471" s="56">
        <f>IF($B2471=0,"",IF(Inputs!$B$10="","",IF($AH2471=0,G2470,SUMIFS(Data!$R$10:$R$3209,Data!$Q$10:$Q$3209,"&gt;="&amp;$A2471,Data!$Q$10:$Q$3209,"&lt;"&amp;$A2471+1)/$AH2471)))</f>
        <v/>
      </c>
      <c r="I2471" s="54">
        <f>IF($B2471=0,NA(),IF($C2471="",NA(),IF(C$8="",NA(),IF(N(C$8)=0,NA(),IF(Inputs!$C$17="Rebased to 100",$C2471/C$8*100,$C2471)))))</f>
        <v/>
      </c>
      <c r="J2471" s="54">
        <f>IF($B2471=0,NA(),IF($D2471="",NA(),IF(D$8="",NA(),IF(N(D$8)=0,NA(),IF(Inputs!$C$17="Rebased to 100",$D2471/D$8*100,$D2471)))))</f>
        <v/>
      </c>
      <c r="K2471" s="54">
        <f>IF($B2471=0,NA(),IF($E2471="",NA(),IF(E$8="",NA(),IF(N(E$8)=0,NA(),IF(Inputs!$C$17="Rebased to 100",$E2471/E$8*100,$E2471)))))</f>
        <v/>
      </c>
      <c r="L2471" s="54">
        <f>IF($B2471=0,NA(),IF($F2471="",NA(),IF(F$8="",NA(),IF(N(F$8)=0,NA(),IF(Inputs!$C$17="Rebased to 100",$F2471/F$8*100,$F2471)))))</f>
        <v/>
      </c>
      <c r="M2471" s="54">
        <f>IF($B2471=0,NA(),IF($G2471="",NA(),IF(G$8="",NA(),IF(N(G$8)=0,NA(),IF(Inputs!$C$17="Rebased to 100",$G2471/G$8*100,$G2471)))))</f>
        <v/>
      </c>
      <c r="N2471" s="54">
        <f>IF($B2471=0,NA(),IF(Inputs!$C$18&lt;&gt;"Yes",NA(),IF(COUNT(I2471,J2471,K2471,L2471,M2471)=0,NA(),MIN(I2471,J2471,K2471,L2471,M2471))))</f>
        <v/>
      </c>
      <c r="O2471" s="54">
        <f>IF($B2471=0,NA(),IF(Inputs!$B$24&lt;&gt;"Yes",NA(),Inputs!$D$24*Inputs!$C$35))</f>
        <v/>
      </c>
      <c r="P2471" s="54">
        <f>IF($B2471=0,NA(),IF(Inputs!$B$25&lt;&gt;"Yes",NA(),Inputs!$D$25*Inputs!$C$35))</f>
        <v/>
      </c>
      <c r="Q2471" s="54">
        <f>IF($B2471=0,NA(),IF(Inputs!$B$26&lt;&gt;"Yes",NA(),Inputs!$D$26*Inputs!$C$35))</f>
        <v/>
      </c>
      <c r="R2471" s="54">
        <f>IF($B2471=0,NA(),IF(Inputs!$B$27&lt;&gt;"Yes",NA(),Inputs!$D$27*Inputs!$C$35))</f>
        <v/>
      </c>
      <c r="S2471" s="54">
        <f>IF($B2471=0,NA(),IF(Inputs!$B$28&lt;&gt;"Yes",NA(),Inputs!$D$28*Inputs!$C$35))</f>
        <v/>
      </c>
      <c r="T2471" s="54">
        <f>IF($B2471=0,NA(),IF(Inputs!$B$29&lt;&gt;"Yes",NA(),Inputs!$D$29*Inputs!$C$35))</f>
        <v/>
      </c>
      <c r="AD2471">
        <f>IF($B2471=0,0,IF(Inputs!$B$6="",0,COUNTIFS(Data!$A$10:$A$3209,"&gt;="&amp;$A2471,Data!$A$10:$A$3209,"&lt;"&amp;$A2471+1)))</f>
        <v/>
      </c>
      <c r="AE2471">
        <f>IF($B2471=0,0,IF(Inputs!$B$7="",0,COUNTIFS(Data!$E$10:$E$3209,"&gt;="&amp;$A2471,Data!$E$10:$E$3209,"&lt;"&amp;$A2471+1)))</f>
        <v/>
      </c>
      <c r="AF2471">
        <f>IF($B2471=0,0,IF(Inputs!$B$8="",0,COUNTIFS(Data!$I$10:$I$3209,"&gt;="&amp;$A2471,Data!$I$10:$I$3209,"&lt;"&amp;$A2471+1)))</f>
        <v/>
      </c>
      <c r="AG2471">
        <f>IF($B2471=0,0,IF(Inputs!$B$9="",0,COUNTIFS(Data!$M$10:$M$3209,"&gt;="&amp;$A2471,Data!$M$10:$M$3209,"&lt;"&amp;$A2471+1)))</f>
        <v/>
      </c>
      <c r="AH2471">
        <f>IF($B2471=0,0,IF(Inputs!$B$10="",0,COUNTIFS(Data!$Q$10:$Q$3209,"&gt;="&amp;$A2471,Data!$Q$10:$Q$3209,"&lt;"&amp;$A2471+1)))</f>
        <v/>
      </c>
    </row>
    <row r="2472">
      <c r="A2472" s="55">
        <f>MIN(Inputs!$C$15,$A2471+IF(WEEKDAY($A2471,2)=5,3,1))</f>
        <v/>
      </c>
      <c r="B2472">
        <f>IF($A2472&gt;$A2471,1,0)</f>
        <v/>
      </c>
      <c r="C2472" s="56">
        <f>IF($B2472=0,"",IF(Inputs!$B$6="","",IF($AD2472=0,C2471,SUMIFS(Data!$B$10:$B$3209,Data!$A$10:$A$3209,"&gt;="&amp;$A2472,Data!$A$10:$A$3209,"&lt;"&amp;$A2472+1)/$AD2472)))</f>
        <v/>
      </c>
      <c r="D2472" s="56">
        <f>IF($B2472=0,"",IF(Inputs!$B$7="","",IF($AE2472=0,D2471,SUMIFS(Data!$F$10:$F$3209,Data!$E$10:$E$3209,"&gt;="&amp;$A2472,Data!$E$10:$E$3209,"&lt;"&amp;$A2472+1)/$AE2472)))</f>
        <v/>
      </c>
      <c r="E2472" s="56">
        <f>IF($B2472=0,"",IF(Inputs!$B$8="","",IF($AF2472=0,E2471,SUMIFS(Data!$J$10:$J$3209,Data!$I$10:$I$3209,"&gt;="&amp;$A2472,Data!$I$10:$I$3209,"&lt;"&amp;$A2472+1)/$AF2472)))</f>
        <v/>
      </c>
      <c r="F2472" s="56">
        <f>IF($B2472=0,"",IF(Inputs!$B$9="","",IF($AG2472=0,F2471,SUMIFS(Data!$N$10:$N$3209,Data!$M$10:$M$3209,"&gt;="&amp;$A2472,Data!$M$10:$M$3209,"&lt;"&amp;$A2472+1)/$AG2472)))</f>
        <v/>
      </c>
      <c r="G2472" s="56">
        <f>IF($B2472=0,"",IF(Inputs!$B$10="","",IF($AH2472=0,G2471,SUMIFS(Data!$R$10:$R$3209,Data!$Q$10:$Q$3209,"&gt;="&amp;$A2472,Data!$Q$10:$Q$3209,"&lt;"&amp;$A2472+1)/$AH2472)))</f>
        <v/>
      </c>
      <c r="I2472" s="54">
        <f>IF($B2472=0,NA(),IF($C2472="",NA(),IF(C$8="",NA(),IF(N(C$8)=0,NA(),IF(Inputs!$C$17="Rebased to 100",$C2472/C$8*100,$C2472)))))</f>
        <v/>
      </c>
      <c r="J2472" s="54">
        <f>IF($B2472=0,NA(),IF($D2472="",NA(),IF(D$8="",NA(),IF(N(D$8)=0,NA(),IF(Inputs!$C$17="Rebased to 100",$D2472/D$8*100,$D2472)))))</f>
        <v/>
      </c>
      <c r="K2472" s="54">
        <f>IF($B2472=0,NA(),IF($E2472="",NA(),IF(E$8="",NA(),IF(N(E$8)=0,NA(),IF(Inputs!$C$17="Rebased to 100",$E2472/E$8*100,$E2472)))))</f>
        <v/>
      </c>
      <c r="L2472" s="54">
        <f>IF($B2472=0,NA(),IF($F2472="",NA(),IF(F$8="",NA(),IF(N(F$8)=0,NA(),IF(Inputs!$C$17="Rebased to 100",$F2472/F$8*100,$F2472)))))</f>
        <v/>
      </c>
      <c r="M2472" s="54">
        <f>IF($B2472=0,NA(),IF($G2472="",NA(),IF(G$8="",NA(),IF(N(G$8)=0,NA(),IF(Inputs!$C$17="Rebased to 100",$G2472/G$8*100,$G2472)))))</f>
        <v/>
      </c>
      <c r="N2472" s="54">
        <f>IF($B2472=0,NA(),IF(Inputs!$C$18&lt;&gt;"Yes",NA(),IF(COUNT(I2472,J2472,K2472,L2472,M2472)=0,NA(),MIN(I2472,J2472,K2472,L2472,M2472))))</f>
        <v/>
      </c>
      <c r="O2472" s="54">
        <f>IF($B2472=0,NA(),IF(Inputs!$B$24&lt;&gt;"Yes",NA(),Inputs!$D$24*Inputs!$C$35))</f>
        <v/>
      </c>
      <c r="P2472" s="54">
        <f>IF($B2472=0,NA(),IF(Inputs!$B$25&lt;&gt;"Yes",NA(),Inputs!$D$25*Inputs!$C$35))</f>
        <v/>
      </c>
      <c r="Q2472" s="54">
        <f>IF($B2472=0,NA(),IF(Inputs!$B$26&lt;&gt;"Yes",NA(),Inputs!$D$26*Inputs!$C$35))</f>
        <v/>
      </c>
      <c r="R2472" s="54">
        <f>IF($B2472=0,NA(),IF(Inputs!$B$27&lt;&gt;"Yes",NA(),Inputs!$D$27*Inputs!$C$35))</f>
        <v/>
      </c>
      <c r="S2472" s="54">
        <f>IF($B2472=0,NA(),IF(Inputs!$B$28&lt;&gt;"Yes",NA(),Inputs!$D$28*Inputs!$C$35))</f>
        <v/>
      </c>
      <c r="T2472" s="54">
        <f>IF($B2472=0,NA(),IF(Inputs!$B$29&lt;&gt;"Yes",NA(),Inputs!$D$29*Inputs!$C$35))</f>
        <v/>
      </c>
      <c r="AD2472">
        <f>IF($B2472=0,0,IF(Inputs!$B$6="",0,COUNTIFS(Data!$A$10:$A$3209,"&gt;="&amp;$A2472,Data!$A$10:$A$3209,"&lt;"&amp;$A2472+1)))</f>
        <v/>
      </c>
      <c r="AE2472">
        <f>IF($B2472=0,0,IF(Inputs!$B$7="",0,COUNTIFS(Data!$E$10:$E$3209,"&gt;="&amp;$A2472,Data!$E$10:$E$3209,"&lt;"&amp;$A2472+1)))</f>
        <v/>
      </c>
      <c r="AF2472">
        <f>IF($B2472=0,0,IF(Inputs!$B$8="",0,COUNTIFS(Data!$I$10:$I$3209,"&gt;="&amp;$A2472,Data!$I$10:$I$3209,"&lt;"&amp;$A2472+1)))</f>
        <v/>
      </c>
      <c r="AG2472">
        <f>IF($B2472=0,0,IF(Inputs!$B$9="",0,COUNTIFS(Data!$M$10:$M$3209,"&gt;="&amp;$A2472,Data!$M$10:$M$3209,"&lt;"&amp;$A2472+1)))</f>
        <v/>
      </c>
      <c r="AH2472">
        <f>IF($B2472=0,0,IF(Inputs!$B$10="",0,COUNTIFS(Data!$Q$10:$Q$3209,"&gt;="&amp;$A2472,Data!$Q$10:$Q$3209,"&lt;"&amp;$A2472+1)))</f>
        <v/>
      </c>
    </row>
    <row r="2473">
      <c r="A2473" s="55">
        <f>MIN(Inputs!$C$15,$A2472+IF(WEEKDAY($A2472,2)=5,3,1))</f>
        <v/>
      </c>
      <c r="B2473">
        <f>IF($A2473&gt;$A2472,1,0)</f>
        <v/>
      </c>
      <c r="C2473" s="56">
        <f>IF($B2473=0,"",IF(Inputs!$B$6="","",IF($AD2473=0,C2472,SUMIFS(Data!$B$10:$B$3209,Data!$A$10:$A$3209,"&gt;="&amp;$A2473,Data!$A$10:$A$3209,"&lt;"&amp;$A2473+1)/$AD2473)))</f>
        <v/>
      </c>
      <c r="D2473" s="56">
        <f>IF($B2473=0,"",IF(Inputs!$B$7="","",IF($AE2473=0,D2472,SUMIFS(Data!$F$10:$F$3209,Data!$E$10:$E$3209,"&gt;="&amp;$A2473,Data!$E$10:$E$3209,"&lt;"&amp;$A2473+1)/$AE2473)))</f>
        <v/>
      </c>
      <c r="E2473" s="56">
        <f>IF($B2473=0,"",IF(Inputs!$B$8="","",IF($AF2473=0,E2472,SUMIFS(Data!$J$10:$J$3209,Data!$I$10:$I$3209,"&gt;="&amp;$A2473,Data!$I$10:$I$3209,"&lt;"&amp;$A2473+1)/$AF2473)))</f>
        <v/>
      </c>
      <c r="F2473" s="56">
        <f>IF($B2473=0,"",IF(Inputs!$B$9="","",IF($AG2473=0,F2472,SUMIFS(Data!$N$10:$N$3209,Data!$M$10:$M$3209,"&gt;="&amp;$A2473,Data!$M$10:$M$3209,"&lt;"&amp;$A2473+1)/$AG2473)))</f>
        <v/>
      </c>
      <c r="G2473" s="56">
        <f>IF($B2473=0,"",IF(Inputs!$B$10="","",IF($AH2473=0,G2472,SUMIFS(Data!$R$10:$R$3209,Data!$Q$10:$Q$3209,"&gt;="&amp;$A2473,Data!$Q$10:$Q$3209,"&lt;"&amp;$A2473+1)/$AH2473)))</f>
        <v/>
      </c>
      <c r="I2473" s="54">
        <f>IF($B2473=0,NA(),IF($C2473="",NA(),IF(C$8="",NA(),IF(N(C$8)=0,NA(),IF(Inputs!$C$17="Rebased to 100",$C2473/C$8*100,$C2473)))))</f>
        <v/>
      </c>
      <c r="J2473" s="54">
        <f>IF($B2473=0,NA(),IF($D2473="",NA(),IF(D$8="",NA(),IF(N(D$8)=0,NA(),IF(Inputs!$C$17="Rebased to 100",$D2473/D$8*100,$D2473)))))</f>
        <v/>
      </c>
      <c r="K2473" s="54">
        <f>IF($B2473=0,NA(),IF($E2473="",NA(),IF(E$8="",NA(),IF(N(E$8)=0,NA(),IF(Inputs!$C$17="Rebased to 100",$E2473/E$8*100,$E2473)))))</f>
        <v/>
      </c>
      <c r="L2473" s="54">
        <f>IF($B2473=0,NA(),IF($F2473="",NA(),IF(F$8="",NA(),IF(N(F$8)=0,NA(),IF(Inputs!$C$17="Rebased to 100",$F2473/F$8*100,$F2473)))))</f>
        <v/>
      </c>
      <c r="M2473" s="54">
        <f>IF($B2473=0,NA(),IF($G2473="",NA(),IF(G$8="",NA(),IF(N(G$8)=0,NA(),IF(Inputs!$C$17="Rebased to 100",$G2473/G$8*100,$G2473)))))</f>
        <v/>
      </c>
      <c r="N2473" s="54">
        <f>IF($B2473=0,NA(),IF(Inputs!$C$18&lt;&gt;"Yes",NA(),IF(COUNT(I2473,J2473,K2473,L2473,M2473)=0,NA(),MIN(I2473,J2473,K2473,L2473,M2473))))</f>
        <v/>
      </c>
      <c r="O2473" s="54">
        <f>IF($B2473=0,NA(),IF(Inputs!$B$24&lt;&gt;"Yes",NA(),Inputs!$D$24*Inputs!$C$35))</f>
        <v/>
      </c>
      <c r="P2473" s="54">
        <f>IF($B2473=0,NA(),IF(Inputs!$B$25&lt;&gt;"Yes",NA(),Inputs!$D$25*Inputs!$C$35))</f>
        <v/>
      </c>
      <c r="Q2473" s="54">
        <f>IF($B2473=0,NA(),IF(Inputs!$B$26&lt;&gt;"Yes",NA(),Inputs!$D$26*Inputs!$C$35))</f>
        <v/>
      </c>
      <c r="R2473" s="54">
        <f>IF($B2473=0,NA(),IF(Inputs!$B$27&lt;&gt;"Yes",NA(),Inputs!$D$27*Inputs!$C$35))</f>
        <v/>
      </c>
      <c r="S2473" s="54">
        <f>IF($B2473=0,NA(),IF(Inputs!$B$28&lt;&gt;"Yes",NA(),Inputs!$D$28*Inputs!$C$35))</f>
        <v/>
      </c>
      <c r="T2473" s="54">
        <f>IF($B2473=0,NA(),IF(Inputs!$B$29&lt;&gt;"Yes",NA(),Inputs!$D$29*Inputs!$C$35))</f>
        <v/>
      </c>
      <c r="AD2473">
        <f>IF($B2473=0,0,IF(Inputs!$B$6="",0,COUNTIFS(Data!$A$10:$A$3209,"&gt;="&amp;$A2473,Data!$A$10:$A$3209,"&lt;"&amp;$A2473+1)))</f>
        <v/>
      </c>
      <c r="AE2473">
        <f>IF($B2473=0,0,IF(Inputs!$B$7="",0,COUNTIFS(Data!$E$10:$E$3209,"&gt;="&amp;$A2473,Data!$E$10:$E$3209,"&lt;"&amp;$A2473+1)))</f>
        <v/>
      </c>
      <c r="AF2473">
        <f>IF($B2473=0,0,IF(Inputs!$B$8="",0,COUNTIFS(Data!$I$10:$I$3209,"&gt;="&amp;$A2473,Data!$I$10:$I$3209,"&lt;"&amp;$A2473+1)))</f>
        <v/>
      </c>
      <c r="AG2473">
        <f>IF($B2473=0,0,IF(Inputs!$B$9="",0,COUNTIFS(Data!$M$10:$M$3209,"&gt;="&amp;$A2473,Data!$M$10:$M$3209,"&lt;"&amp;$A2473+1)))</f>
        <v/>
      </c>
      <c r="AH2473">
        <f>IF($B2473=0,0,IF(Inputs!$B$10="",0,COUNTIFS(Data!$Q$10:$Q$3209,"&gt;="&amp;$A2473,Data!$Q$10:$Q$3209,"&lt;"&amp;$A2473+1)))</f>
        <v/>
      </c>
    </row>
    <row r="2474">
      <c r="A2474" s="55">
        <f>MIN(Inputs!$C$15,$A2473+IF(WEEKDAY($A2473,2)=5,3,1))</f>
        <v/>
      </c>
      <c r="B2474">
        <f>IF($A2474&gt;$A2473,1,0)</f>
        <v/>
      </c>
      <c r="C2474" s="56">
        <f>IF($B2474=0,"",IF(Inputs!$B$6="","",IF($AD2474=0,C2473,SUMIFS(Data!$B$10:$B$3209,Data!$A$10:$A$3209,"&gt;="&amp;$A2474,Data!$A$10:$A$3209,"&lt;"&amp;$A2474+1)/$AD2474)))</f>
        <v/>
      </c>
      <c r="D2474" s="56">
        <f>IF($B2474=0,"",IF(Inputs!$B$7="","",IF($AE2474=0,D2473,SUMIFS(Data!$F$10:$F$3209,Data!$E$10:$E$3209,"&gt;="&amp;$A2474,Data!$E$10:$E$3209,"&lt;"&amp;$A2474+1)/$AE2474)))</f>
        <v/>
      </c>
      <c r="E2474" s="56">
        <f>IF($B2474=0,"",IF(Inputs!$B$8="","",IF($AF2474=0,E2473,SUMIFS(Data!$J$10:$J$3209,Data!$I$10:$I$3209,"&gt;="&amp;$A2474,Data!$I$10:$I$3209,"&lt;"&amp;$A2474+1)/$AF2474)))</f>
        <v/>
      </c>
      <c r="F2474" s="56">
        <f>IF($B2474=0,"",IF(Inputs!$B$9="","",IF($AG2474=0,F2473,SUMIFS(Data!$N$10:$N$3209,Data!$M$10:$M$3209,"&gt;="&amp;$A2474,Data!$M$10:$M$3209,"&lt;"&amp;$A2474+1)/$AG2474)))</f>
        <v/>
      </c>
      <c r="G2474" s="56">
        <f>IF($B2474=0,"",IF(Inputs!$B$10="","",IF($AH2474=0,G2473,SUMIFS(Data!$R$10:$R$3209,Data!$Q$10:$Q$3209,"&gt;="&amp;$A2474,Data!$Q$10:$Q$3209,"&lt;"&amp;$A2474+1)/$AH2474)))</f>
        <v/>
      </c>
      <c r="I2474" s="54">
        <f>IF($B2474=0,NA(),IF($C2474="",NA(),IF(C$8="",NA(),IF(N(C$8)=0,NA(),IF(Inputs!$C$17="Rebased to 100",$C2474/C$8*100,$C2474)))))</f>
        <v/>
      </c>
      <c r="J2474" s="54">
        <f>IF($B2474=0,NA(),IF($D2474="",NA(),IF(D$8="",NA(),IF(N(D$8)=0,NA(),IF(Inputs!$C$17="Rebased to 100",$D2474/D$8*100,$D2474)))))</f>
        <v/>
      </c>
      <c r="K2474" s="54">
        <f>IF($B2474=0,NA(),IF($E2474="",NA(),IF(E$8="",NA(),IF(N(E$8)=0,NA(),IF(Inputs!$C$17="Rebased to 100",$E2474/E$8*100,$E2474)))))</f>
        <v/>
      </c>
      <c r="L2474" s="54">
        <f>IF($B2474=0,NA(),IF($F2474="",NA(),IF(F$8="",NA(),IF(N(F$8)=0,NA(),IF(Inputs!$C$17="Rebased to 100",$F2474/F$8*100,$F2474)))))</f>
        <v/>
      </c>
      <c r="M2474" s="54">
        <f>IF($B2474=0,NA(),IF($G2474="",NA(),IF(G$8="",NA(),IF(N(G$8)=0,NA(),IF(Inputs!$C$17="Rebased to 100",$G2474/G$8*100,$G2474)))))</f>
        <v/>
      </c>
      <c r="N2474" s="54">
        <f>IF($B2474=0,NA(),IF(Inputs!$C$18&lt;&gt;"Yes",NA(),IF(COUNT(I2474,J2474,K2474,L2474,M2474)=0,NA(),MIN(I2474,J2474,K2474,L2474,M2474))))</f>
        <v/>
      </c>
      <c r="O2474" s="54">
        <f>IF($B2474=0,NA(),IF(Inputs!$B$24&lt;&gt;"Yes",NA(),Inputs!$D$24*Inputs!$C$35))</f>
        <v/>
      </c>
      <c r="P2474" s="54">
        <f>IF($B2474=0,NA(),IF(Inputs!$B$25&lt;&gt;"Yes",NA(),Inputs!$D$25*Inputs!$C$35))</f>
        <v/>
      </c>
      <c r="Q2474" s="54">
        <f>IF($B2474=0,NA(),IF(Inputs!$B$26&lt;&gt;"Yes",NA(),Inputs!$D$26*Inputs!$C$35))</f>
        <v/>
      </c>
      <c r="R2474" s="54">
        <f>IF($B2474=0,NA(),IF(Inputs!$B$27&lt;&gt;"Yes",NA(),Inputs!$D$27*Inputs!$C$35))</f>
        <v/>
      </c>
      <c r="S2474" s="54">
        <f>IF($B2474=0,NA(),IF(Inputs!$B$28&lt;&gt;"Yes",NA(),Inputs!$D$28*Inputs!$C$35))</f>
        <v/>
      </c>
      <c r="T2474" s="54">
        <f>IF($B2474=0,NA(),IF(Inputs!$B$29&lt;&gt;"Yes",NA(),Inputs!$D$29*Inputs!$C$35))</f>
        <v/>
      </c>
      <c r="AD2474">
        <f>IF($B2474=0,0,IF(Inputs!$B$6="",0,COUNTIFS(Data!$A$10:$A$3209,"&gt;="&amp;$A2474,Data!$A$10:$A$3209,"&lt;"&amp;$A2474+1)))</f>
        <v/>
      </c>
      <c r="AE2474">
        <f>IF($B2474=0,0,IF(Inputs!$B$7="",0,COUNTIFS(Data!$E$10:$E$3209,"&gt;="&amp;$A2474,Data!$E$10:$E$3209,"&lt;"&amp;$A2474+1)))</f>
        <v/>
      </c>
      <c r="AF2474">
        <f>IF($B2474=0,0,IF(Inputs!$B$8="",0,COUNTIFS(Data!$I$10:$I$3209,"&gt;="&amp;$A2474,Data!$I$10:$I$3209,"&lt;"&amp;$A2474+1)))</f>
        <v/>
      </c>
      <c r="AG2474">
        <f>IF($B2474=0,0,IF(Inputs!$B$9="",0,COUNTIFS(Data!$M$10:$M$3209,"&gt;="&amp;$A2474,Data!$M$10:$M$3209,"&lt;"&amp;$A2474+1)))</f>
        <v/>
      </c>
      <c r="AH2474">
        <f>IF($B2474=0,0,IF(Inputs!$B$10="",0,COUNTIFS(Data!$Q$10:$Q$3209,"&gt;="&amp;$A2474,Data!$Q$10:$Q$3209,"&lt;"&amp;$A2474+1)))</f>
        <v/>
      </c>
    </row>
    <row r="2475">
      <c r="A2475" s="55">
        <f>MIN(Inputs!$C$15,$A2474+IF(WEEKDAY($A2474,2)=5,3,1))</f>
        <v/>
      </c>
      <c r="B2475">
        <f>IF($A2475&gt;$A2474,1,0)</f>
        <v/>
      </c>
      <c r="C2475" s="56">
        <f>IF($B2475=0,"",IF(Inputs!$B$6="","",IF($AD2475=0,C2474,SUMIFS(Data!$B$10:$B$3209,Data!$A$10:$A$3209,"&gt;="&amp;$A2475,Data!$A$10:$A$3209,"&lt;"&amp;$A2475+1)/$AD2475)))</f>
        <v/>
      </c>
      <c r="D2475" s="56">
        <f>IF($B2475=0,"",IF(Inputs!$B$7="","",IF($AE2475=0,D2474,SUMIFS(Data!$F$10:$F$3209,Data!$E$10:$E$3209,"&gt;="&amp;$A2475,Data!$E$10:$E$3209,"&lt;"&amp;$A2475+1)/$AE2475)))</f>
        <v/>
      </c>
      <c r="E2475" s="56">
        <f>IF($B2475=0,"",IF(Inputs!$B$8="","",IF($AF2475=0,E2474,SUMIFS(Data!$J$10:$J$3209,Data!$I$10:$I$3209,"&gt;="&amp;$A2475,Data!$I$10:$I$3209,"&lt;"&amp;$A2475+1)/$AF2475)))</f>
        <v/>
      </c>
      <c r="F2475" s="56">
        <f>IF($B2475=0,"",IF(Inputs!$B$9="","",IF($AG2475=0,F2474,SUMIFS(Data!$N$10:$N$3209,Data!$M$10:$M$3209,"&gt;="&amp;$A2475,Data!$M$10:$M$3209,"&lt;"&amp;$A2475+1)/$AG2475)))</f>
        <v/>
      </c>
      <c r="G2475" s="56">
        <f>IF($B2475=0,"",IF(Inputs!$B$10="","",IF($AH2475=0,G2474,SUMIFS(Data!$R$10:$R$3209,Data!$Q$10:$Q$3209,"&gt;="&amp;$A2475,Data!$Q$10:$Q$3209,"&lt;"&amp;$A2475+1)/$AH2475)))</f>
        <v/>
      </c>
      <c r="I2475" s="54">
        <f>IF($B2475=0,NA(),IF($C2475="",NA(),IF(C$8="",NA(),IF(N(C$8)=0,NA(),IF(Inputs!$C$17="Rebased to 100",$C2475/C$8*100,$C2475)))))</f>
        <v/>
      </c>
      <c r="J2475" s="54">
        <f>IF($B2475=0,NA(),IF($D2475="",NA(),IF(D$8="",NA(),IF(N(D$8)=0,NA(),IF(Inputs!$C$17="Rebased to 100",$D2475/D$8*100,$D2475)))))</f>
        <v/>
      </c>
      <c r="K2475" s="54">
        <f>IF($B2475=0,NA(),IF($E2475="",NA(),IF(E$8="",NA(),IF(N(E$8)=0,NA(),IF(Inputs!$C$17="Rebased to 100",$E2475/E$8*100,$E2475)))))</f>
        <v/>
      </c>
      <c r="L2475" s="54">
        <f>IF($B2475=0,NA(),IF($F2475="",NA(),IF(F$8="",NA(),IF(N(F$8)=0,NA(),IF(Inputs!$C$17="Rebased to 100",$F2475/F$8*100,$F2475)))))</f>
        <v/>
      </c>
      <c r="M2475" s="54">
        <f>IF($B2475=0,NA(),IF($G2475="",NA(),IF(G$8="",NA(),IF(N(G$8)=0,NA(),IF(Inputs!$C$17="Rebased to 100",$G2475/G$8*100,$G2475)))))</f>
        <v/>
      </c>
      <c r="N2475" s="54">
        <f>IF($B2475=0,NA(),IF(Inputs!$C$18&lt;&gt;"Yes",NA(),IF(COUNT(I2475,J2475,K2475,L2475,M2475)=0,NA(),MIN(I2475,J2475,K2475,L2475,M2475))))</f>
        <v/>
      </c>
      <c r="O2475" s="54">
        <f>IF($B2475=0,NA(),IF(Inputs!$B$24&lt;&gt;"Yes",NA(),Inputs!$D$24*Inputs!$C$35))</f>
        <v/>
      </c>
      <c r="P2475" s="54">
        <f>IF($B2475=0,NA(),IF(Inputs!$B$25&lt;&gt;"Yes",NA(),Inputs!$D$25*Inputs!$C$35))</f>
        <v/>
      </c>
      <c r="Q2475" s="54">
        <f>IF($B2475=0,NA(),IF(Inputs!$B$26&lt;&gt;"Yes",NA(),Inputs!$D$26*Inputs!$C$35))</f>
        <v/>
      </c>
      <c r="R2475" s="54">
        <f>IF($B2475=0,NA(),IF(Inputs!$B$27&lt;&gt;"Yes",NA(),Inputs!$D$27*Inputs!$C$35))</f>
        <v/>
      </c>
      <c r="S2475" s="54">
        <f>IF($B2475=0,NA(),IF(Inputs!$B$28&lt;&gt;"Yes",NA(),Inputs!$D$28*Inputs!$C$35))</f>
        <v/>
      </c>
      <c r="T2475" s="54">
        <f>IF($B2475=0,NA(),IF(Inputs!$B$29&lt;&gt;"Yes",NA(),Inputs!$D$29*Inputs!$C$35))</f>
        <v/>
      </c>
      <c r="AD2475">
        <f>IF($B2475=0,0,IF(Inputs!$B$6="",0,COUNTIFS(Data!$A$10:$A$3209,"&gt;="&amp;$A2475,Data!$A$10:$A$3209,"&lt;"&amp;$A2475+1)))</f>
        <v/>
      </c>
      <c r="AE2475">
        <f>IF($B2475=0,0,IF(Inputs!$B$7="",0,COUNTIFS(Data!$E$10:$E$3209,"&gt;="&amp;$A2475,Data!$E$10:$E$3209,"&lt;"&amp;$A2475+1)))</f>
        <v/>
      </c>
      <c r="AF2475">
        <f>IF($B2475=0,0,IF(Inputs!$B$8="",0,COUNTIFS(Data!$I$10:$I$3209,"&gt;="&amp;$A2475,Data!$I$10:$I$3209,"&lt;"&amp;$A2475+1)))</f>
        <v/>
      </c>
      <c r="AG2475">
        <f>IF($B2475=0,0,IF(Inputs!$B$9="",0,COUNTIFS(Data!$M$10:$M$3209,"&gt;="&amp;$A2475,Data!$M$10:$M$3209,"&lt;"&amp;$A2475+1)))</f>
        <v/>
      </c>
      <c r="AH2475">
        <f>IF($B2475=0,0,IF(Inputs!$B$10="",0,COUNTIFS(Data!$Q$10:$Q$3209,"&gt;="&amp;$A2475,Data!$Q$10:$Q$3209,"&lt;"&amp;$A2475+1)))</f>
        <v/>
      </c>
    </row>
    <row r="2476">
      <c r="A2476" s="55">
        <f>MIN(Inputs!$C$15,$A2475+IF(WEEKDAY($A2475,2)=5,3,1))</f>
        <v/>
      </c>
      <c r="B2476">
        <f>IF($A2476&gt;$A2475,1,0)</f>
        <v/>
      </c>
      <c r="C2476" s="56">
        <f>IF($B2476=0,"",IF(Inputs!$B$6="","",IF($AD2476=0,C2475,SUMIFS(Data!$B$10:$B$3209,Data!$A$10:$A$3209,"&gt;="&amp;$A2476,Data!$A$10:$A$3209,"&lt;"&amp;$A2476+1)/$AD2476)))</f>
        <v/>
      </c>
      <c r="D2476" s="56">
        <f>IF($B2476=0,"",IF(Inputs!$B$7="","",IF($AE2476=0,D2475,SUMIFS(Data!$F$10:$F$3209,Data!$E$10:$E$3209,"&gt;="&amp;$A2476,Data!$E$10:$E$3209,"&lt;"&amp;$A2476+1)/$AE2476)))</f>
        <v/>
      </c>
      <c r="E2476" s="56">
        <f>IF($B2476=0,"",IF(Inputs!$B$8="","",IF($AF2476=0,E2475,SUMIFS(Data!$J$10:$J$3209,Data!$I$10:$I$3209,"&gt;="&amp;$A2476,Data!$I$10:$I$3209,"&lt;"&amp;$A2476+1)/$AF2476)))</f>
        <v/>
      </c>
      <c r="F2476" s="56">
        <f>IF($B2476=0,"",IF(Inputs!$B$9="","",IF($AG2476=0,F2475,SUMIFS(Data!$N$10:$N$3209,Data!$M$10:$M$3209,"&gt;="&amp;$A2476,Data!$M$10:$M$3209,"&lt;"&amp;$A2476+1)/$AG2476)))</f>
        <v/>
      </c>
      <c r="G2476" s="56">
        <f>IF($B2476=0,"",IF(Inputs!$B$10="","",IF($AH2476=0,G2475,SUMIFS(Data!$R$10:$R$3209,Data!$Q$10:$Q$3209,"&gt;="&amp;$A2476,Data!$Q$10:$Q$3209,"&lt;"&amp;$A2476+1)/$AH2476)))</f>
        <v/>
      </c>
      <c r="I2476" s="54">
        <f>IF($B2476=0,NA(),IF($C2476="",NA(),IF(C$8="",NA(),IF(N(C$8)=0,NA(),IF(Inputs!$C$17="Rebased to 100",$C2476/C$8*100,$C2476)))))</f>
        <v/>
      </c>
      <c r="J2476" s="54">
        <f>IF($B2476=0,NA(),IF($D2476="",NA(),IF(D$8="",NA(),IF(N(D$8)=0,NA(),IF(Inputs!$C$17="Rebased to 100",$D2476/D$8*100,$D2476)))))</f>
        <v/>
      </c>
      <c r="K2476" s="54">
        <f>IF($B2476=0,NA(),IF($E2476="",NA(),IF(E$8="",NA(),IF(N(E$8)=0,NA(),IF(Inputs!$C$17="Rebased to 100",$E2476/E$8*100,$E2476)))))</f>
        <v/>
      </c>
      <c r="L2476" s="54">
        <f>IF($B2476=0,NA(),IF($F2476="",NA(),IF(F$8="",NA(),IF(N(F$8)=0,NA(),IF(Inputs!$C$17="Rebased to 100",$F2476/F$8*100,$F2476)))))</f>
        <v/>
      </c>
      <c r="M2476" s="54">
        <f>IF($B2476=0,NA(),IF($G2476="",NA(),IF(G$8="",NA(),IF(N(G$8)=0,NA(),IF(Inputs!$C$17="Rebased to 100",$G2476/G$8*100,$G2476)))))</f>
        <v/>
      </c>
      <c r="N2476" s="54">
        <f>IF($B2476=0,NA(),IF(Inputs!$C$18&lt;&gt;"Yes",NA(),IF(COUNT(I2476,J2476,K2476,L2476,M2476)=0,NA(),MIN(I2476,J2476,K2476,L2476,M2476))))</f>
        <v/>
      </c>
      <c r="O2476" s="54">
        <f>IF($B2476=0,NA(),IF(Inputs!$B$24&lt;&gt;"Yes",NA(),Inputs!$D$24*Inputs!$C$35))</f>
        <v/>
      </c>
      <c r="P2476" s="54">
        <f>IF($B2476=0,NA(),IF(Inputs!$B$25&lt;&gt;"Yes",NA(),Inputs!$D$25*Inputs!$C$35))</f>
        <v/>
      </c>
      <c r="Q2476" s="54">
        <f>IF($B2476=0,NA(),IF(Inputs!$B$26&lt;&gt;"Yes",NA(),Inputs!$D$26*Inputs!$C$35))</f>
        <v/>
      </c>
      <c r="R2476" s="54">
        <f>IF($B2476=0,NA(),IF(Inputs!$B$27&lt;&gt;"Yes",NA(),Inputs!$D$27*Inputs!$C$35))</f>
        <v/>
      </c>
      <c r="S2476" s="54">
        <f>IF($B2476=0,NA(),IF(Inputs!$B$28&lt;&gt;"Yes",NA(),Inputs!$D$28*Inputs!$C$35))</f>
        <v/>
      </c>
      <c r="T2476" s="54">
        <f>IF($B2476=0,NA(),IF(Inputs!$B$29&lt;&gt;"Yes",NA(),Inputs!$D$29*Inputs!$C$35))</f>
        <v/>
      </c>
      <c r="AD2476">
        <f>IF($B2476=0,0,IF(Inputs!$B$6="",0,COUNTIFS(Data!$A$10:$A$3209,"&gt;="&amp;$A2476,Data!$A$10:$A$3209,"&lt;"&amp;$A2476+1)))</f>
        <v/>
      </c>
      <c r="AE2476">
        <f>IF($B2476=0,0,IF(Inputs!$B$7="",0,COUNTIFS(Data!$E$10:$E$3209,"&gt;="&amp;$A2476,Data!$E$10:$E$3209,"&lt;"&amp;$A2476+1)))</f>
        <v/>
      </c>
      <c r="AF2476">
        <f>IF($B2476=0,0,IF(Inputs!$B$8="",0,COUNTIFS(Data!$I$10:$I$3209,"&gt;="&amp;$A2476,Data!$I$10:$I$3209,"&lt;"&amp;$A2476+1)))</f>
        <v/>
      </c>
      <c r="AG2476">
        <f>IF($B2476=0,0,IF(Inputs!$B$9="",0,COUNTIFS(Data!$M$10:$M$3209,"&gt;="&amp;$A2476,Data!$M$10:$M$3209,"&lt;"&amp;$A2476+1)))</f>
        <v/>
      </c>
      <c r="AH2476">
        <f>IF($B2476=0,0,IF(Inputs!$B$10="",0,COUNTIFS(Data!$Q$10:$Q$3209,"&gt;="&amp;$A2476,Data!$Q$10:$Q$3209,"&lt;"&amp;$A2476+1)))</f>
        <v/>
      </c>
    </row>
    <row r="2477">
      <c r="A2477" s="55">
        <f>MIN(Inputs!$C$15,$A2476+IF(WEEKDAY($A2476,2)=5,3,1))</f>
        <v/>
      </c>
      <c r="B2477">
        <f>IF($A2477&gt;$A2476,1,0)</f>
        <v/>
      </c>
      <c r="C2477" s="56">
        <f>IF($B2477=0,"",IF(Inputs!$B$6="","",IF($AD2477=0,C2476,SUMIFS(Data!$B$10:$B$3209,Data!$A$10:$A$3209,"&gt;="&amp;$A2477,Data!$A$10:$A$3209,"&lt;"&amp;$A2477+1)/$AD2477)))</f>
        <v/>
      </c>
      <c r="D2477" s="56">
        <f>IF($B2477=0,"",IF(Inputs!$B$7="","",IF($AE2477=0,D2476,SUMIFS(Data!$F$10:$F$3209,Data!$E$10:$E$3209,"&gt;="&amp;$A2477,Data!$E$10:$E$3209,"&lt;"&amp;$A2477+1)/$AE2477)))</f>
        <v/>
      </c>
      <c r="E2477" s="56">
        <f>IF($B2477=0,"",IF(Inputs!$B$8="","",IF($AF2477=0,E2476,SUMIFS(Data!$J$10:$J$3209,Data!$I$10:$I$3209,"&gt;="&amp;$A2477,Data!$I$10:$I$3209,"&lt;"&amp;$A2477+1)/$AF2477)))</f>
        <v/>
      </c>
      <c r="F2477" s="56">
        <f>IF($B2477=0,"",IF(Inputs!$B$9="","",IF($AG2477=0,F2476,SUMIFS(Data!$N$10:$N$3209,Data!$M$10:$M$3209,"&gt;="&amp;$A2477,Data!$M$10:$M$3209,"&lt;"&amp;$A2477+1)/$AG2477)))</f>
        <v/>
      </c>
      <c r="G2477" s="56">
        <f>IF($B2477=0,"",IF(Inputs!$B$10="","",IF($AH2477=0,G2476,SUMIFS(Data!$R$10:$R$3209,Data!$Q$10:$Q$3209,"&gt;="&amp;$A2477,Data!$Q$10:$Q$3209,"&lt;"&amp;$A2477+1)/$AH2477)))</f>
        <v/>
      </c>
      <c r="I2477" s="54">
        <f>IF($B2477=0,NA(),IF($C2477="",NA(),IF(C$8="",NA(),IF(N(C$8)=0,NA(),IF(Inputs!$C$17="Rebased to 100",$C2477/C$8*100,$C2477)))))</f>
        <v/>
      </c>
      <c r="J2477" s="54">
        <f>IF($B2477=0,NA(),IF($D2477="",NA(),IF(D$8="",NA(),IF(N(D$8)=0,NA(),IF(Inputs!$C$17="Rebased to 100",$D2477/D$8*100,$D2477)))))</f>
        <v/>
      </c>
      <c r="K2477" s="54">
        <f>IF($B2477=0,NA(),IF($E2477="",NA(),IF(E$8="",NA(),IF(N(E$8)=0,NA(),IF(Inputs!$C$17="Rebased to 100",$E2477/E$8*100,$E2477)))))</f>
        <v/>
      </c>
      <c r="L2477" s="54">
        <f>IF($B2477=0,NA(),IF($F2477="",NA(),IF(F$8="",NA(),IF(N(F$8)=0,NA(),IF(Inputs!$C$17="Rebased to 100",$F2477/F$8*100,$F2477)))))</f>
        <v/>
      </c>
      <c r="M2477" s="54">
        <f>IF($B2477=0,NA(),IF($G2477="",NA(),IF(G$8="",NA(),IF(N(G$8)=0,NA(),IF(Inputs!$C$17="Rebased to 100",$G2477/G$8*100,$G2477)))))</f>
        <v/>
      </c>
      <c r="N2477" s="54">
        <f>IF($B2477=0,NA(),IF(Inputs!$C$18&lt;&gt;"Yes",NA(),IF(COUNT(I2477,J2477,K2477,L2477,M2477)=0,NA(),MIN(I2477,J2477,K2477,L2477,M2477))))</f>
        <v/>
      </c>
      <c r="O2477" s="54">
        <f>IF($B2477=0,NA(),IF(Inputs!$B$24&lt;&gt;"Yes",NA(),Inputs!$D$24*Inputs!$C$35))</f>
        <v/>
      </c>
      <c r="P2477" s="54">
        <f>IF($B2477=0,NA(),IF(Inputs!$B$25&lt;&gt;"Yes",NA(),Inputs!$D$25*Inputs!$C$35))</f>
        <v/>
      </c>
      <c r="Q2477" s="54">
        <f>IF($B2477=0,NA(),IF(Inputs!$B$26&lt;&gt;"Yes",NA(),Inputs!$D$26*Inputs!$C$35))</f>
        <v/>
      </c>
      <c r="R2477" s="54">
        <f>IF($B2477=0,NA(),IF(Inputs!$B$27&lt;&gt;"Yes",NA(),Inputs!$D$27*Inputs!$C$35))</f>
        <v/>
      </c>
      <c r="S2477" s="54">
        <f>IF($B2477=0,NA(),IF(Inputs!$B$28&lt;&gt;"Yes",NA(),Inputs!$D$28*Inputs!$C$35))</f>
        <v/>
      </c>
      <c r="T2477" s="54">
        <f>IF($B2477=0,NA(),IF(Inputs!$B$29&lt;&gt;"Yes",NA(),Inputs!$D$29*Inputs!$C$35))</f>
        <v/>
      </c>
      <c r="AD2477">
        <f>IF($B2477=0,0,IF(Inputs!$B$6="",0,COUNTIFS(Data!$A$10:$A$3209,"&gt;="&amp;$A2477,Data!$A$10:$A$3209,"&lt;"&amp;$A2477+1)))</f>
        <v/>
      </c>
      <c r="AE2477">
        <f>IF($B2477=0,0,IF(Inputs!$B$7="",0,COUNTIFS(Data!$E$10:$E$3209,"&gt;="&amp;$A2477,Data!$E$10:$E$3209,"&lt;"&amp;$A2477+1)))</f>
        <v/>
      </c>
      <c r="AF2477">
        <f>IF($B2477=0,0,IF(Inputs!$B$8="",0,COUNTIFS(Data!$I$10:$I$3209,"&gt;="&amp;$A2477,Data!$I$10:$I$3209,"&lt;"&amp;$A2477+1)))</f>
        <v/>
      </c>
      <c r="AG2477">
        <f>IF($B2477=0,0,IF(Inputs!$B$9="",0,COUNTIFS(Data!$M$10:$M$3209,"&gt;="&amp;$A2477,Data!$M$10:$M$3209,"&lt;"&amp;$A2477+1)))</f>
        <v/>
      </c>
      <c r="AH2477">
        <f>IF($B2477=0,0,IF(Inputs!$B$10="",0,COUNTIFS(Data!$Q$10:$Q$3209,"&gt;="&amp;$A2477,Data!$Q$10:$Q$3209,"&lt;"&amp;$A2477+1)))</f>
        <v/>
      </c>
    </row>
    <row r="2478">
      <c r="A2478" s="55">
        <f>MIN(Inputs!$C$15,$A2477+IF(WEEKDAY($A2477,2)=5,3,1))</f>
        <v/>
      </c>
      <c r="B2478">
        <f>IF($A2478&gt;$A2477,1,0)</f>
        <v/>
      </c>
      <c r="C2478" s="56">
        <f>IF($B2478=0,"",IF(Inputs!$B$6="","",IF($AD2478=0,C2477,SUMIFS(Data!$B$10:$B$3209,Data!$A$10:$A$3209,"&gt;="&amp;$A2478,Data!$A$10:$A$3209,"&lt;"&amp;$A2478+1)/$AD2478)))</f>
        <v/>
      </c>
      <c r="D2478" s="56">
        <f>IF($B2478=0,"",IF(Inputs!$B$7="","",IF($AE2478=0,D2477,SUMIFS(Data!$F$10:$F$3209,Data!$E$10:$E$3209,"&gt;="&amp;$A2478,Data!$E$10:$E$3209,"&lt;"&amp;$A2478+1)/$AE2478)))</f>
        <v/>
      </c>
      <c r="E2478" s="56">
        <f>IF($B2478=0,"",IF(Inputs!$B$8="","",IF($AF2478=0,E2477,SUMIFS(Data!$J$10:$J$3209,Data!$I$10:$I$3209,"&gt;="&amp;$A2478,Data!$I$10:$I$3209,"&lt;"&amp;$A2478+1)/$AF2478)))</f>
        <v/>
      </c>
      <c r="F2478" s="56">
        <f>IF($B2478=0,"",IF(Inputs!$B$9="","",IF($AG2478=0,F2477,SUMIFS(Data!$N$10:$N$3209,Data!$M$10:$M$3209,"&gt;="&amp;$A2478,Data!$M$10:$M$3209,"&lt;"&amp;$A2478+1)/$AG2478)))</f>
        <v/>
      </c>
      <c r="G2478" s="56">
        <f>IF($B2478=0,"",IF(Inputs!$B$10="","",IF($AH2478=0,G2477,SUMIFS(Data!$R$10:$R$3209,Data!$Q$10:$Q$3209,"&gt;="&amp;$A2478,Data!$Q$10:$Q$3209,"&lt;"&amp;$A2478+1)/$AH2478)))</f>
        <v/>
      </c>
      <c r="I2478" s="54">
        <f>IF($B2478=0,NA(),IF($C2478="",NA(),IF(C$8="",NA(),IF(N(C$8)=0,NA(),IF(Inputs!$C$17="Rebased to 100",$C2478/C$8*100,$C2478)))))</f>
        <v/>
      </c>
      <c r="J2478" s="54">
        <f>IF($B2478=0,NA(),IF($D2478="",NA(),IF(D$8="",NA(),IF(N(D$8)=0,NA(),IF(Inputs!$C$17="Rebased to 100",$D2478/D$8*100,$D2478)))))</f>
        <v/>
      </c>
      <c r="K2478" s="54">
        <f>IF($B2478=0,NA(),IF($E2478="",NA(),IF(E$8="",NA(),IF(N(E$8)=0,NA(),IF(Inputs!$C$17="Rebased to 100",$E2478/E$8*100,$E2478)))))</f>
        <v/>
      </c>
      <c r="L2478" s="54">
        <f>IF($B2478=0,NA(),IF($F2478="",NA(),IF(F$8="",NA(),IF(N(F$8)=0,NA(),IF(Inputs!$C$17="Rebased to 100",$F2478/F$8*100,$F2478)))))</f>
        <v/>
      </c>
      <c r="M2478" s="54">
        <f>IF($B2478=0,NA(),IF($G2478="",NA(),IF(G$8="",NA(),IF(N(G$8)=0,NA(),IF(Inputs!$C$17="Rebased to 100",$G2478/G$8*100,$G2478)))))</f>
        <v/>
      </c>
      <c r="N2478" s="54">
        <f>IF($B2478=0,NA(),IF(Inputs!$C$18&lt;&gt;"Yes",NA(),IF(COUNT(I2478,J2478,K2478,L2478,M2478)=0,NA(),MIN(I2478,J2478,K2478,L2478,M2478))))</f>
        <v/>
      </c>
      <c r="O2478" s="54">
        <f>IF($B2478=0,NA(),IF(Inputs!$B$24&lt;&gt;"Yes",NA(),Inputs!$D$24*Inputs!$C$35))</f>
        <v/>
      </c>
      <c r="P2478" s="54">
        <f>IF($B2478=0,NA(),IF(Inputs!$B$25&lt;&gt;"Yes",NA(),Inputs!$D$25*Inputs!$C$35))</f>
        <v/>
      </c>
      <c r="Q2478" s="54">
        <f>IF($B2478=0,NA(),IF(Inputs!$B$26&lt;&gt;"Yes",NA(),Inputs!$D$26*Inputs!$C$35))</f>
        <v/>
      </c>
      <c r="R2478" s="54">
        <f>IF($B2478=0,NA(),IF(Inputs!$B$27&lt;&gt;"Yes",NA(),Inputs!$D$27*Inputs!$C$35))</f>
        <v/>
      </c>
      <c r="S2478" s="54">
        <f>IF($B2478=0,NA(),IF(Inputs!$B$28&lt;&gt;"Yes",NA(),Inputs!$D$28*Inputs!$C$35))</f>
        <v/>
      </c>
      <c r="T2478" s="54">
        <f>IF($B2478=0,NA(),IF(Inputs!$B$29&lt;&gt;"Yes",NA(),Inputs!$D$29*Inputs!$C$35))</f>
        <v/>
      </c>
      <c r="AD2478">
        <f>IF($B2478=0,0,IF(Inputs!$B$6="",0,COUNTIFS(Data!$A$10:$A$3209,"&gt;="&amp;$A2478,Data!$A$10:$A$3209,"&lt;"&amp;$A2478+1)))</f>
        <v/>
      </c>
      <c r="AE2478">
        <f>IF($B2478=0,0,IF(Inputs!$B$7="",0,COUNTIFS(Data!$E$10:$E$3209,"&gt;="&amp;$A2478,Data!$E$10:$E$3209,"&lt;"&amp;$A2478+1)))</f>
        <v/>
      </c>
      <c r="AF2478">
        <f>IF($B2478=0,0,IF(Inputs!$B$8="",0,COUNTIFS(Data!$I$10:$I$3209,"&gt;="&amp;$A2478,Data!$I$10:$I$3209,"&lt;"&amp;$A2478+1)))</f>
        <v/>
      </c>
      <c r="AG2478">
        <f>IF($B2478=0,0,IF(Inputs!$B$9="",0,COUNTIFS(Data!$M$10:$M$3209,"&gt;="&amp;$A2478,Data!$M$10:$M$3209,"&lt;"&amp;$A2478+1)))</f>
        <v/>
      </c>
      <c r="AH2478">
        <f>IF($B2478=0,0,IF(Inputs!$B$10="",0,COUNTIFS(Data!$Q$10:$Q$3209,"&gt;="&amp;$A2478,Data!$Q$10:$Q$3209,"&lt;"&amp;$A2478+1)))</f>
        <v/>
      </c>
    </row>
    <row r="2479">
      <c r="A2479" s="55">
        <f>MIN(Inputs!$C$15,$A2478+IF(WEEKDAY($A2478,2)=5,3,1))</f>
        <v/>
      </c>
      <c r="B2479">
        <f>IF($A2479&gt;$A2478,1,0)</f>
        <v/>
      </c>
      <c r="C2479" s="56">
        <f>IF($B2479=0,"",IF(Inputs!$B$6="","",IF($AD2479=0,C2478,SUMIFS(Data!$B$10:$B$3209,Data!$A$10:$A$3209,"&gt;="&amp;$A2479,Data!$A$10:$A$3209,"&lt;"&amp;$A2479+1)/$AD2479)))</f>
        <v/>
      </c>
      <c r="D2479" s="56">
        <f>IF($B2479=0,"",IF(Inputs!$B$7="","",IF($AE2479=0,D2478,SUMIFS(Data!$F$10:$F$3209,Data!$E$10:$E$3209,"&gt;="&amp;$A2479,Data!$E$10:$E$3209,"&lt;"&amp;$A2479+1)/$AE2479)))</f>
        <v/>
      </c>
      <c r="E2479" s="56">
        <f>IF($B2479=0,"",IF(Inputs!$B$8="","",IF($AF2479=0,E2478,SUMIFS(Data!$J$10:$J$3209,Data!$I$10:$I$3209,"&gt;="&amp;$A2479,Data!$I$10:$I$3209,"&lt;"&amp;$A2479+1)/$AF2479)))</f>
        <v/>
      </c>
      <c r="F2479" s="56">
        <f>IF($B2479=0,"",IF(Inputs!$B$9="","",IF($AG2479=0,F2478,SUMIFS(Data!$N$10:$N$3209,Data!$M$10:$M$3209,"&gt;="&amp;$A2479,Data!$M$10:$M$3209,"&lt;"&amp;$A2479+1)/$AG2479)))</f>
        <v/>
      </c>
      <c r="G2479" s="56">
        <f>IF($B2479=0,"",IF(Inputs!$B$10="","",IF($AH2479=0,G2478,SUMIFS(Data!$R$10:$R$3209,Data!$Q$10:$Q$3209,"&gt;="&amp;$A2479,Data!$Q$10:$Q$3209,"&lt;"&amp;$A2479+1)/$AH2479)))</f>
        <v/>
      </c>
      <c r="I2479" s="54">
        <f>IF($B2479=0,NA(),IF($C2479="",NA(),IF(C$8="",NA(),IF(N(C$8)=0,NA(),IF(Inputs!$C$17="Rebased to 100",$C2479/C$8*100,$C2479)))))</f>
        <v/>
      </c>
      <c r="J2479" s="54">
        <f>IF($B2479=0,NA(),IF($D2479="",NA(),IF(D$8="",NA(),IF(N(D$8)=0,NA(),IF(Inputs!$C$17="Rebased to 100",$D2479/D$8*100,$D2479)))))</f>
        <v/>
      </c>
      <c r="K2479" s="54">
        <f>IF($B2479=0,NA(),IF($E2479="",NA(),IF(E$8="",NA(),IF(N(E$8)=0,NA(),IF(Inputs!$C$17="Rebased to 100",$E2479/E$8*100,$E2479)))))</f>
        <v/>
      </c>
      <c r="L2479" s="54">
        <f>IF($B2479=0,NA(),IF($F2479="",NA(),IF(F$8="",NA(),IF(N(F$8)=0,NA(),IF(Inputs!$C$17="Rebased to 100",$F2479/F$8*100,$F2479)))))</f>
        <v/>
      </c>
      <c r="M2479" s="54">
        <f>IF($B2479=0,NA(),IF($G2479="",NA(),IF(G$8="",NA(),IF(N(G$8)=0,NA(),IF(Inputs!$C$17="Rebased to 100",$G2479/G$8*100,$G2479)))))</f>
        <v/>
      </c>
      <c r="N2479" s="54">
        <f>IF($B2479=0,NA(),IF(Inputs!$C$18&lt;&gt;"Yes",NA(),IF(COUNT(I2479,J2479,K2479,L2479,M2479)=0,NA(),MIN(I2479,J2479,K2479,L2479,M2479))))</f>
        <v/>
      </c>
      <c r="O2479" s="54">
        <f>IF($B2479=0,NA(),IF(Inputs!$B$24&lt;&gt;"Yes",NA(),Inputs!$D$24*Inputs!$C$35))</f>
        <v/>
      </c>
      <c r="P2479" s="54">
        <f>IF($B2479=0,NA(),IF(Inputs!$B$25&lt;&gt;"Yes",NA(),Inputs!$D$25*Inputs!$C$35))</f>
        <v/>
      </c>
      <c r="Q2479" s="54">
        <f>IF($B2479=0,NA(),IF(Inputs!$B$26&lt;&gt;"Yes",NA(),Inputs!$D$26*Inputs!$C$35))</f>
        <v/>
      </c>
      <c r="R2479" s="54">
        <f>IF($B2479=0,NA(),IF(Inputs!$B$27&lt;&gt;"Yes",NA(),Inputs!$D$27*Inputs!$C$35))</f>
        <v/>
      </c>
      <c r="S2479" s="54">
        <f>IF($B2479=0,NA(),IF(Inputs!$B$28&lt;&gt;"Yes",NA(),Inputs!$D$28*Inputs!$C$35))</f>
        <v/>
      </c>
      <c r="T2479" s="54">
        <f>IF($B2479=0,NA(),IF(Inputs!$B$29&lt;&gt;"Yes",NA(),Inputs!$D$29*Inputs!$C$35))</f>
        <v/>
      </c>
      <c r="AD2479">
        <f>IF($B2479=0,0,IF(Inputs!$B$6="",0,COUNTIFS(Data!$A$10:$A$3209,"&gt;="&amp;$A2479,Data!$A$10:$A$3209,"&lt;"&amp;$A2479+1)))</f>
        <v/>
      </c>
      <c r="AE2479">
        <f>IF($B2479=0,0,IF(Inputs!$B$7="",0,COUNTIFS(Data!$E$10:$E$3209,"&gt;="&amp;$A2479,Data!$E$10:$E$3209,"&lt;"&amp;$A2479+1)))</f>
        <v/>
      </c>
      <c r="AF2479">
        <f>IF($B2479=0,0,IF(Inputs!$B$8="",0,COUNTIFS(Data!$I$10:$I$3209,"&gt;="&amp;$A2479,Data!$I$10:$I$3209,"&lt;"&amp;$A2479+1)))</f>
        <v/>
      </c>
      <c r="AG2479">
        <f>IF($B2479=0,0,IF(Inputs!$B$9="",0,COUNTIFS(Data!$M$10:$M$3209,"&gt;="&amp;$A2479,Data!$M$10:$M$3209,"&lt;"&amp;$A2479+1)))</f>
        <v/>
      </c>
      <c r="AH2479">
        <f>IF($B2479=0,0,IF(Inputs!$B$10="",0,COUNTIFS(Data!$Q$10:$Q$3209,"&gt;="&amp;$A2479,Data!$Q$10:$Q$3209,"&lt;"&amp;$A2479+1)))</f>
        <v/>
      </c>
    </row>
    <row r="2480">
      <c r="A2480" s="55">
        <f>MIN(Inputs!$C$15,$A2479+IF(WEEKDAY($A2479,2)=5,3,1))</f>
        <v/>
      </c>
      <c r="B2480">
        <f>IF($A2480&gt;$A2479,1,0)</f>
        <v/>
      </c>
      <c r="C2480" s="56">
        <f>IF($B2480=0,"",IF(Inputs!$B$6="","",IF($AD2480=0,C2479,SUMIFS(Data!$B$10:$B$3209,Data!$A$10:$A$3209,"&gt;="&amp;$A2480,Data!$A$10:$A$3209,"&lt;"&amp;$A2480+1)/$AD2480)))</f>
        <v/>
      </c>
      <c r="D2480" s="56">
        <f>IF($B2480=0,"",IF(Inputs!$B$7="","",IF($AE2480=0,D2479,SUMIFS(Data!$F$10:$F$3209,Data!$E$10:$E$3209,"&gt;="&amp;$A2480,Data!$E$10:$E$3209,"&lt;"&amp;$A2480+1)/$AE2480)))</f>
        <v/>
      </c>
      <c r="E2480" s="56">
        <f>IF($B2480=0,"",IF(Inputs!$B$8="","",IF($AF2480=0,E2479,SUMIFS(Data!$J$10:$J$3209,Data!$I$10:$I$3209,"&gt;="&amp;$A2480,Data!$I$10:$I$3209,"&lt;"&amp;$A2480+1)/$AF2480)))</f>
        <v/>
      </c>
      <c r="F2480" s="56">
        <f>IF($B2480=0,"",IF(Inputs!$B$9="","",IF($AG2480=0,F2479,SUMIFS(Data!$N$10:$N$3209,Data!$M$10:$M$3209,"&gt;="&amp;$A2480,Data!$M$10:$M$3209,"&lt;"&amp;$A2480+1)/$AG2480)))</f>
        <v/>
      </c>
      <c r="G2480" s="56">
        <f>IF($B2480=0,"",IF(Inputs!$B$10="","",IF($AH2480=0,G2479,SUMIFS(Data!$R$10:$R$3209,Data!$Q$10:$Q$3209,"&gt;="&amp;$A2480,Data!$Q$10:$Q$3209,"&lt;"&amp;$A2480+1)/$AH2480)))</f>
        <v/>
      </c>
      <c r="I2480" s="54">
        <f>IF($B2480=0,NA(),IF($C2480="",NA(),IF(C$8="",NA(),IF(N(C$8)=0,NA(),IF(Inputs!$C$17="Rebased to 100",$C2480/C$8*100,$C2480)))))</f>
        <v/>
      </c>
      <c r="J2480" s="54">
        <f>IF($B2480=0,NA(),IF($D2480="",NA(),IF(D$8="",NA(),IF(N(D$8)=0,NA(),IF(Inputs!$C$17="Rebased to 100",$D2480/D$8*100,$D2480)))))</f>
        <v/>
      </c>
      <c r="K2480" s="54">
        <f>IF($B2480=0,NA(),IF($E2480="",NA(),IF(E$8="",NA(),IF(N(E$8)=0,NA(),IF(Inputs!$C$17="Rebased to 100",$E2480/E$8*100,$E2480)))))</f>
        <v/>
      </c>
      <c r="L2480" s="54">
        <f>IF($B2480=0,NA(),IF($F2480="",NA(),IF(F$8="",NA(),IF(N(F$8)=0,NA(),IF(Inputs!$C$17="Rebased to 100",$F2480/F$8*100,$F2480)))))</f>
        <v/>
      </c>
      <c r="M2480" s="54">
        <f>IF($B2480=0,NA(),IF($G2480="",NA(),IF(G$8="",NA(),IF(N(G$8)=0,NA(),IF(Inputs!$C$17="Rebased to 100",$G2480/G$8*100,$G2480)))))</f>
        <v/>
      </c>
      <c r="N2480" s="54">
        <f>IF($B2480=0,NA(),IF(Inputs!$C$18&lt;&gt;"Yes",NA(),IF(COUNT(I2480,J2480,K2480,L2480,M2480)=0,NA(),MIN(I2480,J2480,K2480,L2480,M2480))))</f>
        <v/>
      </c>
      <c r="O2480" s="54">
        <f>IF($B2480=0,NA(),IF(Inputs!$B$24&lt;&gt;"Yes",NA(),Inputs!$D$24*Inputs!$C$35))</f>
        <v/>
      </c>
      <c r="P2480" s="54">
        <f>IF($B2480=0,NA(),IF(Inputs!$B$25&lt;&gt;"Yes",NA(),Inputs!$D$25*Inputs!$C$35))</f>
        <v/>
      </c>
      <c r="Q2480" s="54">
        <f>IF($B2480=0,NA(),IF(Inputs!$B$26&lt;&gt;"Yes",NA(),Inputs!$D$26*Inputs!$C$35))</f>
        <v/>
      </c>
      <c r="R2480" s="54">
        <f>IF($B2480=0,NA(),IF(Inputs!$B$27&lt;&gt;"Yes",NA(),Inputs!$D$27*Inputs!$C$35))</f>
        <v/>
      </c>
      <c r="S2480" s="54">
        <f>IF($B2480=0,NA(),IF(Inputs!$B$28&lt;&gt;"Yes",NA(),Inputs!$D$28*Inputs!$C$35))</f>
        <v/>
      </c>
      <c r="T2480" s="54">
        <f>IF($B2480=0,NA(),IF(Inputs!$B$29&lt;&gt;"Yes",NA(),Inputs!$D$29*Inputs!$C$35))</f>
        <v/>
      </c>
      <c r="AD2480">
        <f>IF($B2480=0,0,IF(Inputs!$B$6="",0,COUNTIFS(Data!$A$10:$A$3209,"&gt;="&amp;$A2480,Data!$A$10:$A$3209,"&lt;"&amp;$A2480+1)))</f>
        <v/>
      </c>
      <c r="AE2480">
        <f>IF($B2480=0,0,IF(Inputs!$B$7="",0,COUNTIFS(Data!$E$10:$E$3209,"&gt;="&amp;$A2480,Data!$E$10:$E$3209,"&lt;"&amp;$A2480+1)))</f>
        <v/>
      </c>
      <c r="AF2480">
        <f>IF($B2480=0,0,IF(Inputs!$B$8="",0,COUNTIFS(Data!$I$10:$I$3209,"&gt;="&amp;$A2480,Data!$I$10:$I$3209,"&lt;"&amp;$A2480+1)))</f>
        <v/>
      </c>
      <c r="AG2480">
        <f>IF($B2480=0,0,IF(Inputs!$B$9="",0,COUNTIFS(Data!$M$10:$M$3209,"&gt;="&amp;$A2480,Data!$M$10:$M$3209,"&lt;"&amp;$A2480+1)))</f>
        <v/>
      </c>
      <c r="AH2480">
        <f>IF($B2480=0,0,IF(Inputs!$B$10="",0,COUNTIFS(Data!$Q$10:$Q$3209,"&gt;="&amp;$A2480,Data!$Q$10:$Q$3209,"&lt;"&amp;$A2480+1)))</f>
        <v/>
      </c>
    </row>
    <row r="2481">
      <c r="A2481" s="55">
        <f>MIN(Inputs!$C$15,$A2480+IF(WEEKDAY($A2480,2)=5,3,1))</f>
        <v/>
      </c>
      <c r="B2481">
        <f>IF($A2481&gt;$A2480,1,0)</f>
        <v/>
      </c>
      <c r="C2481" s="56">
        <f>IF($B2481=0,"",IF(Inputs!$B$6="","",IF($AD2481=0,C2480,SUMIFS(Data!$B$10:$B$3209,Data!$A$10:$A$3209,"&gt;="&amp;$A2481,Data!$A$10:$A$3209,"&lt;"&amp;$A2481+1)/$AD2481)))</f>
        <v/>
      </c>
      <c r="D2481" s="56">
        <f>IF($B2481=0,"",IF(Inputs!$B$7="","",IF($AE2481=0,D2480,SUMIFS(Data!$F$10:$F$3209,Data!$E$10:$E$3209,"&gt;="&amp;$A2481,Data!$E$10:$E$3209,"&lt;"&amp;$A2481+1)/$AE2481)))</f>
        <v/>
      </c>
      <c r="E2481" s="56">
        <f>IF($B2481=0,"",IF(Inputs!$B$8="","",IF($AF2481=0,E2480,SUMIFS(Data!$J$10:$J$3209,Data!$I$10:$I$3209,"&gt;="&amp;$A2481,Data!$I$10:$I$3209,"&lt;"&amp;$A2481+1)/$AF2481)))</f>
        <v/>
      </c>
      <c r="F2481" s="56">
        <f>IF($B2481=0,"",IF(Inputs!$B$9="","",IF($AG2481=0,F2480,SUMIFS(Data!$N$10:$N$3209,Data!$M$10:$M$3209,"&gt;="&amp;$A2481,Data!$M$10:$M$3209,"&lt;"&amp;$A2481+1)/$AG2481)))</f>
        <v/>
      </c>
      <c r="G2481" s="56">
        <f>IF($B2481=0,"",IF(Inputs!$B$10="","",IF($AH2481=0,G2480,SUMIFS(Data!$R$10:$R$3209,Data!$Q$10:$Q$3209,"&gt;="&amp;$A2481,Data!$Q$10:$Q$3209,"&lt;"&amp;$A2481+1)/$AH2481)))</f>
        <v/>
      </c>
      <c r="I2481" s="54">
        <f>IF($B2481=0,NA(),IF($C2481="",NA(),IF(C$8="",NA(),IF(N(C$8)=0,NA(),IF(Inputs!$C$17="Rebased to 100",$C2481/C$8*100,$C2481)))))</f>
        <v/>
      </c>
      <c r="J2481" s="54">
        <f>IF($B2481=0,NA(),IF($D2481="",NA(),IF(D$8="",NA(),IF(N(D$8)=0,NA(),IF(Inputs!$C$17="Rebased to 100",$D2481/D$8*100,$D2481)))))</f>
        <v/>
      </c>
      <c r="K2481" s="54">
        <f>IF($B2481=0,NA(),IF($E2481="",NA(),IF(E$8="",NA(),IF(N(E$8)=0,NA(),IF(Inputs!$C$17="Rebased to 100",$E2481/E$8*100,$E2481)))))</f>
        <v/>
      </c>
      <c r="L2481" s="54">
        <f>IF($B2481=0,NA(),IF($F2481="",NA(),IF(F$8="",NA(),IF(N(F$8)=0,NA(),IF(Inputs!$C$17="Rebased to 100",$F2481/F$8*100,$F2481)))))</f>
        <v/>
      </c>
      <c r="M2481" s="54">
        <f>IF($B2481=0,NA(),IF($G2481="",NA(),IF(G$8="",NA(),IF(N(G$8)=0,NA(),IF(Inputs!$C$17="Rebased to 100",$G2481/G$8*100,$G2481)))))</f>
        <v/>
      </c>
      <c r="N2481" s="54">
        <f>IF($B2481=0,NA(),IF(Inputs!$C$18&lt;&gt;"Yes",NA(),IF(COUNT(I2481,J2481,K2481,L2481,M2481)=0,NA(),MIN(I2481,J2481,K2481,L2481,M2481))))</f>
        <v/>
      </c>
      <c r="O2481" s="54">
        <f>IF($B2481=0,NA(),IF(Inputs!$B$24&lt;&gt;"Yes",NA(),Inputs!$D$24*Inputs!$C$35))</f>
        <v/>
      </c>
      <c r="P2481" s="54">
        <f>IF($B2481=0,NA(),IF(Inputs!$B$25&lt;&gt;"Yes",NA(),Inputs!$D$25*Inputs!$C$35))</f>
        <v/>
      </c>
      <c r="Q2481" s="54">
        <f>IF($B2481=0,NA(),IF(Inputs!$B$26&lt;&gt;"Yes",NA(),Inputs!$D$26*Inputs!$C$35))</f>
        <v/>
      </c>
      <c r="R2481" s="54">
        <f>IF($B2481=0,NA(),IF(Inputs!$B$27&lt;&gt;"Yes",NA(),Inputs!$D$27*Inputs!$C$35))</f>
        <v/>
      </c>
      <c r="S2481" s="54">
        <f>IF($B2481=0,NA(),IF(Inputs!$B$28&lt;&gt;"Yes",NA(),Inputs!$D$28*Inputs!$C$35))</f>
        <v/>
      </c>
      <c r="T2481" s="54">
        <f>IF($B2481=0,NA(),IF(Inputs!$B$29&lt;&gt;"Yes",NA(),Inputs!$D$29*Inputs!$C$35))</f>
        <v/>
      </c>
      <c r="AD2481">
        <f>IF($B2481=0,0,IF(Inputs!$B$6="",0,COUNTIFS(Data!$A$10:$A$3209,"&gt;="&amp;$A2481,Data!$A$10:$A$3209,"&lt;"&amp;$A2481+1)))</f>
        <v/>
      </c>
      <c r="AE2481">
        <f>IF($B2481=0,0,IF(Inputs!$B$7="",0,COUNTIFS(Data!$E$10:$E$3209,"&gt;="&amp;$A2481,Data!$E$10:$E$3209,"&lt;"&amp;$A2481+1)))</f>
        <v/>
      </c>
      <c r="AF2481">
        <f>IF($B2481=0,0,IF(Inputs!$B$8="",0,COUNTIFS(Data!$I$10:$I$3209,"&gt;="&amp;$A2481,Data!$I$10:$I$3209,"&lt;"&amp;$A2481+1)))</f>
        <v/>
      </c>
      <c r="AG2481">
        <f>IF($B2481=0,0,IF(Inputs!$B$9="",0,COUNTIFS(Data!$M$10:$M$3209,"&gt;="&amp;$A2481,Data!$M$10:$M$3209,"&lt;"&amp;$A2481+1)))</f>
        <v/>
      </c>
      <c r="AH2481">
        <f>IF($B2481=0,0,IF(Inputs!$B$10="",0,COUNTIFS(Data!$Q$10:$Q$3209,"&gt;="&amp;$A2481,Data!$Q$10:$Q$3209,"&lt;"&amp;$A2481+1)))</f>
        <v/>
      </c>
    </row>
    <row r="2482">
      <c r="A2482" s="55">
        <f>MIN(Inputs!$C$15,$A2481+IF(WEEKDAY($A2481,2)=5,3,1))</f>
        <v/>
      </c>
      <c r="B2482">
        <f>IF($A2482&gt;$A2481,1,0)</f>
        <v/>
      </c>
      <c r="C2482" s="56">
        <f>IF($B2482=0,"",IF(Inputs!$B$6="","",IF($AD2482=0,C2481,SUMIFS(Data!$B$10:$B$3209,Data!$A$10:$A$3209,"&gt;="&amp;$A2482,Data!$A$10:$A$3209,"&lt;"&amp;$A2482+1)/$AD2482)))</f>
        <v/>
      </c>
      <c r="D2482" s="56">
        <f>IF($B2482=0,"",IF(Inputs!$B$7="","",IF($AE2482=0,D2481,SUMIFS(Data!$F$10:$F$3209,Data!$E$10:$E$3209,"&gt;="&amp;$A2482,Data!$E$10:$E$3209,"&lt;"&amp;$A2482+1)/$AE2482)))</f>
        <v/>
      </c>
      <c r="E2482" s="56">
        <f>IF($B2482=0,"",IF(Inputs!$B$8="","",IF($AF2482=0,E2481,SUMIFS(Data!$J$10:$J$3209,Data!$I$10:$I$3209,"&gt;="&amp;$A2482,Data!$I$10:$I$3209,"&lt;"&amp;$A2482+1)/$AF2482)))</f>
        <v/>
      </c>
      <c r="F2482" s="56">
        <f>IF($B2482=0,"",IF(Inputs!$B$9="","",IF($AG2482=0,F2481,SUMIFS(Data!$N$10:$N$3209,Data!$M$10:$M$3209,"&gt;="&amp;$A2482,Data!$M$10:$M$3209,"&lt;"&amp;$A2482+1)/$AG2482)))</f>
        <v/>
      </c>
      <c r="G2482" s="56">
        <f>IF($B2482=0,"",IF(Inputs!$B$10="","",IF($AH2482=0,G2481,SUMIFS(Data!$R$10:$R$3209,Data!$Q$10:$Q$3209,"&gt;="&amp;$A2482,Data!$Q$10:$Q$3209,"&lt;"&amp;$A2482+1)/$AH2482)))</f>
        <v/>
      </c>
      <c r="I2482" s="54">
        <f>IF($B2482=0,NA(),IF($C2482="",NA(),IF(C$8="",NA(),IF(N(C$8)=0,NA(),IF(Inputs!$C$17="Rebased to 100",$C2482/C$8*100,$C2482)))))</f>
        <v/>
      </c>
      <c r="J2482" s="54">
        <f>IF($B2482=0,NA(),IF($D2482="",NA(),IF(D$8="",NA(),IF(N(D$8)=0,NA(),IF(Inputs!$C$17="Rebased to 100",$D2482/D$8*100,$D2482)))))</f>
        <v/>
      </c>
      <c r="K2482" s="54">
        <f>IF($B2482=0,NA(),IF($E2482="",NA(),IF(E$8="",NA(),IF(N(E$8)=0,NA(),IF(Inputs!$C$17="Rebased to 100",$E2482/E$8*100,$E2482)))))</f>
        <v/>
      </c>
      <c r="L2482" s="54">
        <f>IF($B2482=0,NA(),IF($F2482="",NA(),IF(F$8="",NA(),IF(N(F$8)=0,NA(),IF(Inputs!$C$17="Rebased to 100",$F2482/F$8*100,$F2482)))))</f>
        <v/>
      </c>
      <c r="M2482" s="54">
        <f>IF($B2482=0,NA(),IF($G2482="",NA(),IF(G$8="",NA(),IF(N(G$8)=0,NA(),IF(Inputs!$C$17="Rebased to 100",$G2482/G$8*100,$G2482)))))</f>
        <v/>
      </c>
      <c r="N2482" s="54">
        <f>IF($B2482=0,NA(),IF(Inputs!$C$18&lt;&gt;"Yes",NA(),IF(COUNT(I2482,J2482,K2482,L2482,M2482)=0,NA(),MIN(I2482,J2482,K2482,L2482,M2482))))</f>
        <v/>
      </c>
      <c r="O2482" s="54">
        <f>IF($B2482=0,NA(),IF(Inputs!$B$24&lt;&gt;"Yes",NA(),Inputs!$D$24*Inputs!$C$35))</f>
        <v/>
      </c>
      <c r="P2482" s="54">
        <f>IF($B2482=0,NA(),IF(Inputs!$B$25&lt;&gt;"Yes",NA(),Inputs!$D$25*Inputs!$C$35))</f>
        <v/>
      </c>
      <c r="Q2482" s="54">
        <f>IF($B2482=0,NA(),IF(Inputs!$B$26&lt;&gt;"Yes",NA(),Inputs!$D$26*Inputs!$C$35))</f>
        <v/>
      </c>
      <c r="R2482" s="54">
        <f>IF($B2482=0,NA(),IF(Inputs!$B$27&lt;&gt;"Yes",NA(),Inputs!$D$27*Inputs!$C$35))</f>
        <v/>
      </c>
      <c r="S2482" s="54">
        <f>IF($B2482=0,NA(),IF(Inputs!$B$28&lt;&gt;"Yes",NA(),Inputs!$D$28*Inputs!$C$35))</f>
        <v/>
      </c>
      <c r="T2482" s="54">
        <f>IF($B2482=0,NA(),IF(Inputs!$B$29&lt;&gt;"Yes",NA(),Inputs!$D$29*Inputs!$C$35))</f>
        <v/>
      </c>
      <c r="AD2482">
        <f>IF($B2482=0,0,IF(Inputs!$B$6="",0,COUNTIFS(Data!$A$10:$A$3209,"&gt;="&amp;$A2482,Data!$A$10:$A$3209,"&lt;"&amp;$A2482+1)))</f>
        <v/>
      </c>
      <c r="AE2482">
        <f>IF($B2482=0,0,IF(Inputs!$B$7="",0,COUNTIFS(Data!$E$10:$E$3209,"&gt;="&amp;$A2482,Data!$E$10:$E$3209,"&lt;"&amp;$A2482+1)))</f>
        <v/>
      </c>
      <c r="AF2482">
        <f>IF($B2482=0,0,IF(Inputs!$B$8="",0,COUNTIFS(Data!$I$10:$I$3209,"&gt;="&amp;$A2482,Data!$I$10:$I$3209,"&lt;"&amp;$A2482+1)))</f>
        <v/>
      </c>
      <c r="AG2482">
        <f>IF($B2482=0,0,IF(Inputs!$B$9="",0,COUNTIFS(Data!$M$10:$M$3209,"&gt;="&amp;$A2482,Data!$M$10:$M$3209,"&lt;"&amp;$A2482+1)))</f>
        <v/>
      </c>
      <c r="AH2482">
        <f>IF($B2482=0,0,IF(Inputs!$B$10="",0,COUNTIFS(Data!$Q$10:$Q$3209,"&gt;="&amp;$A2482,Data!$Q$10:$Q$3209,"&lt;"&amp;$A2482+1)))</f>
        <v/>
      </c>
    </row>
    <row r="2483">
      <c r="A2483" s="55">
        <f>MIN(Inputs!$C$15,$A2482+IF(WEEKDAY($A2482,2)=5,3,1))</f>
        <v/>
      </c>
      <c r="B2483">
        <f>IF($A2483&gt;$A2482,1,0)</f>
        <v/>
      </c>
      <c r="C2483" s="56">
        <f>IF($B2483=0,"",IF(Inputs!$B$6="","",IF($AD2483=0,C2482,SUMIFS(Data!$B$10:$B$3209,Data!$A$10:$A$3209,"&gt;="&amp;$A2483,Data!$A$10:$A$3209,"&lt;"&amp;$A2483+1)/$AD2483)))</f>
        <v/>
      </c>
      <c r="D2483" s="56">
        <f>IF($B2483=0,"",IF(Inputs!$B$7="","",IF($AE2483=0,D2482,SUMIFS(Data!$F$10:$F$3209,Data!$E$10:$E$3209,"&gt;="&amp;$A2483,Data!$E$10:$E$3209,"&lt;"&amp;$A2483+1)/$AE2483)))</f>
        <v/>
      </c>
      <c r="E2483" s="56">
        <f>IF($B2483=0,"",IF(Inputs!$B$8="","",IF($AF2483=0,E2482,SUMIFS(Data!$J$10:$J$3209,Data!$I$10:$I$3209,"&gt;="&amp;$A2483,Data!$I$10:$I$3209,"&lt;"&amp;$A2483+1)/$AF2483)))</f>
        <v/>
      </c>
      <c r="F2483" s="56">
        <f>IF($B2483=0,"",IF(Inputs!$B$9="","",IF($AG2483=0,F2482,SUMIFS(Data!$N$10:$N$3209,Data!$M$10:$M$3209,"&gt;="&amp;$A2483,Data!$M$10:$M$3209,"&lt;"&amp;$A2483+1)/$AG2483)))</f>
        <v/>
      </c>
      <c r="G2483" s="56">
        <f>IF($B2483=0,"",IF(Inputs!$B$10="","",IF($AH2483=0,G2482,SUMIFS(Data!$R$10:$R$3209,Data!$Q$10:$Q$3209,"&gt;="&amp;$A2483,Data!$Q$10:$Q$3209,"&lt;"&amp;$A2483+1)/$AH2483)))</f>
        <v/>
      </c>
      <c r="I2483" s="54">
        <f>IF($B2483=0,NA(),IF($C2483="",NA(),IF(C$8="",NA(),IF(N(C$8)=0,NA(),IF(Inputs!$C$17="Rebased to 100",$C2483/C$8*100,$C2483)))))</f>
        <v/>
      </c>
      <c r="J2483" s="54">
        <f>IF($B2483=0,NA(),IF($D2483="",NA(),IF(D$8="",NA(),IF(N(D$8)=0,NA(),IF(Inputs!$C$17="Rebased to 100",$D2483/D$8*100,$D2483)))))</f>
        <v/>
      </c>
      <c r="K2483" s="54">
        <f>IF($B2483=0,NA(),IF($E2483="",NA(),IF(E$8="",NA(),IF(N(E$8)=0,NA(),IF(Inputs!$C$17="Rebased to 100",$E2483/E$8*100,$E2483)))))</f>
        <v/>
      </c>
      <c r="L2483" s="54">
        <f>IF($B2483=0,NA(),IF($F2483="",NA(),IF(F$8="",NA(),IF(N(F$8)=0,NA(),IF(Inputs!$C$17="Rebased to 100",$F2483/F$8*100,$F2483)))))</f>
        <v/>
      </c>
      <c r="M2483" s="54">
        <f>IF($B2483=0,NA(),IF($G2483="",NA(),IF(G$8="",NA(),IF(N(G$8)=0,NA(),IF(Inputs!$C$17="Rebased to 100",$G2483/G$8*100,$G2483)))))</f>
        <v/>
      </c>
      <c r="N2483" s="54">
        <f>IF($B2483=0,NA(),IF(Inputs!$C$18&lt;&gt;"Yes",NA(),IF(COUNT(I2483,J2483,K2483,L2483,M2483)=0,NA(),MIN(I2483,J2483,K2483,L2483,M2483))))</f>
        <v/>
      </c>
      <c r="O2483" s="54">
        <f>IF($B2483=0,NA(),IF(Inputs!$B$24&lt;&gt;"Yes",NA(),Inputs!$D$24*Inputs!$C$35))</f>
        <v/>
      </c>
      <c r="P2483" s="54">
        <f>IF($B2483=0,NA(),IF(Inputs!$B$25&lt;&gt;"Yes",NA(),Inputs!$D$25*Inputs!$C$35))</f>
        <v/>
      </c>
      <c r="Q2483" s="54">
        <f>IF($B2483=0,NA(),IF(Inputs!$B$26&lt;&gt;"Yes",NA(),Inputs!$D$26*Inputs!$C$35))</f>
        <v/>
      </c>
      <c r="R2483" s="54">
        <f>IF($B2483=0,NA(),IF(Inputs!$B$27&lt;&gt;"Yes",NA(),Inputs!$D$27*Inputs!$C$35))</f>
        <v/>
      </c>
      <c r="S2483" s="54">
        <f>IF($B2483=0,NA(),IF(Inputs!$B$28&lt;&gt;"Yes",NA(),Inputs!$D$28*Inputs!$C$35))</f>
        <v/>
      </c>
      <c r="T2483" s="54">
        <f>IF($B2483=0,NA(),IF(Inputs!$B$29&lt;&gt;"Yes",NA(),Inputs!$D$29*Inputs!$C$35))</f>
        <v/>
      </c>
      <c r="AD2483">
        <f>IF($B2483=0,0,IF(Inputs!$B$6="",0,COUNTIFS(Data!$A$10:$A$3209,"&gt;="&amp;$A2483,Data!$A$10:$A$3209,"&lt;"&amp;$A2483+1)))</f>
        <v/>
      </c>
      <c r="AE2483">
        <f>IF($B2483=0,0,IF(Inputs!$B$7="",0,COUNTIFS(Data!$E$10:$E$3209,"&gt;="&amp;$A2483,Data!$E$10:$E$3209,"&lt;"&amp;$A2483+1)))</f>
        <v/>
      </c>
      <c r="AF2483">
        <f>IF($B2483=0,0,IF(Inputs!$B$8="",0,COUNTIFS(Data!$I$10:$I$3209,"&gt;="&amp;$A2483,Data!$I$10:$I$3209,"&lt;"&amp;$A2483+1)))</f>
        <v/>
      </c>
      <c r="AG2483">
        <f>IF($B2483=0,0,IF(Inputs!$B$9="",0,COUNTIFS(Data!$M$10:$M$3209,"&gt;="&amp;$A2483,Data!$M$10:$M$3209,"&lt;"&amp;$A2483+1)))</f>
        <v/>
      </c>
      <c r="AH2483">
        <f>IF($B2483=0,0,IF(Inputs!$B$10="",0,COUNTIFS(Data!$Q$10:$Q$3209,"&gt;="&amp;$A2483,Data!$Q$10:$Q$3209,"&lt;"&amp;$A2483+1)))</f>
        <v/>
      </c>
    </row>
    <row r="2484">
      <c r="A2484" s="55">
        <f>MIN(Inputs!$C$15,$A2483+IF(WEEKDAY($A2483,2)=5,3,1))</f>
        <v/>
      </c>
      <c r="B2484">
        <f>IF($A2484&gt;$A2483,1,0)</f>
        <v/>
      </c>
      <c r="C2484" s="56">
        <f>IF($B2484=0,"",IF(Inputs!$B$6="","",IF($AD2484=0,C2483,SUMIFS(Data!$B$10:$B$3209,Data!$A$10:$A$3209,"&gt;="&amp;$A2484,Data!$A$10:$A$3209,"&lt;"&amp;$A2484+1)/$AD2484)))</f>
        <v/>
      </c>
      <c r="D2484" s="56">
        <f>IF($B2484=0,"",IF(Inputs!$B$7="","",IF($AE2484=0,D2483,SUMIFS(Data!$F$10:$F$3209,Data!$E$10:$E$3209,"&gt;="&amp;$A2484,Data!$E$10:$E$3209,"&lt;"&amp;$A2484+1)/$AE2484)))</f>
        <v/>
      </c>
      <c r="E2484" s="56">
        <f>IF($B2484=0,"",IF(Inputs!$B$8="","",IF($AF2484=0,E2483,SUMIFS(Data!$J$10:$J$3209,Data!$I$10:$I$3209,"&gt;="&amp;$A2484,Data!$I$10:$I$3209,"&lt;"&amp;$A2484+1)/$AF2484)))</f>
        <v/>
      </c>
      <c r="F2484" s="56">
        <f>IF($B2484=0,"",IF(Inputs!$B$9="","",IF($AG2484=0,F2483,SUMIFS(Data!$N$10:$N$3209,Data!$M$10:$M$3209,"&gt;="&amp;$A2484,Data!$M$10:$M$3209,"&lt;"&amp;$A2484+1)/$AG2484)))</f>
        <v/>
      </c>
      <c r="G2484" s="56">
        <f>IF($B2484=0,"",IF(Inputs!$B$10="","",IF($AH2484=0,G2483,SUMIFS(Data!$R$10:$R$3209,Data!$Q$10:$Q$3209,"&gt;="&amp;$A2484,Data!$Q$10:$Q$3209,"&lt;"&amp;$A2484+1)/$AH2484)))</f>
        <v/>
      </c>
      <c r="I2484" s="54">
        <f>IF($B2484=0,NA(),IF($C2484="",NA(),IF(C$8="",NA(),IF(N(C$8)=0,NA(),IF(Inputs!$C$17="Rebased to 100",$C2484/C$8*100,$C2484)))))</f>
        <v/>
      </c>
      <c r="J2484" s="54">
        <f>IF($B2484=0,NA(),IF($D2484="",NA(),IF(D$8="",NA(),IF(N(D$8)=0,NA(),IF(Inputs!$C$17="Rebased to 100",$D2484/D$8*100,$D2484)))))</f>
        <v/>
      </c>
      <c r="K2484" s="54">
        <f>IF($B2484=0,NA(),IF($E2484="",NA(),IF(E$8="",NA(),IF(N(E$8)=0,NA(),IF(Inputs!$C$17="Rebased to 100",$E2484/E$8*100,$E2484)))))</f>
        <v/>
      </c>
      <c r="L2484" s="54">
        <f>IF($B2484=0,NA(),IF($F2484="",NA(),IF(F$8="",NA(),IF(N(F$8)=0,NA(),IF(Inputs!$C$17="Rebased to 100",$F2484/F$8*100,$F2484)))))</f>
        <v/>
      </c>
      <c r="M2484" s="54">
        <f>IF($B2484=0,NA(),IF($G2484="",NA(),IF(G$8="",NA(),IF(N(G$8)=0,NA(),IF(Inputs!$C$17="Rebased to 100",$G2484/G$8*100,$G2484)))))</f>
        <v/>
      </c>
      <c r="N2484" s="54">
        <f>IF($B2484=0,NA(),IF(Inputs!$C$18&lt;&gt;"Yes",NA(),IF(COUNT(I2484,J2484,K2484,L2484,M2484)=0,NA(),MIN(I2484,J2484,K2484,L2484,M2484))))</f>
        <v/>
      </c>
      <c r="O2484" s="54">
        <f>IF($B2484=0,NA(),IF(Inputs!$B$24&lt;&gt;"Yes",NA(),Inputs!$D$24*Inputs!$C$35))</f>
        <v/>
      </c>
      <c r="P2484" s="54">
        <f>IF($B2484=0,NA(),IF(Inputs!$B$25&lt;&gt;"Yes",NA(),Inputs!$D$25*Inputs!$C$35))</f>
        <v/>
      </c>
      <c r="Q2484" s="54">
        <f>IF($B2484=0,NA(),IF(Inputs!$B$26&lt;&gt;"Yes",NA(),Inputs!$D$26*Inputs!$C$35))</f>
        <v/>
      </c>
      <c r="R2484" s="54">
        <f>IF($B2484=0,NA(),IF(Inputs!$B$27&lt;&gt;"Yes",NA(),Inputs!$D$27*Inputs!$C$35))</f>
        <v/>
      </c>
      <c r="S2484" s="54">
        <f>IF($B2484=0,NA(),IF(Inputs!$B$28&lt;&gt;"Yes",NA(),Inputs!$D$28*Inputs!$C$35))</f>
        <v/>
      </c>
      <c r="T2484" s="54">
        <f>IF($B2484=0,NA(),IF(Inputs!$B$29&lt;&gt;"Yes",NA(),Inputs!$D$29*Inputs!$C$35))</f>
        <v/>
      </c>
      <c r="AD2484">
        <f>IF($B2484=0,0,IF(Inputs!$B$6="",0,COUNTIFS(Data!$A$10:$A$3209,"&gt;="&amp;$A2484,Data!$A$10:$A$3209,"&lt;"&amp;$A2484+1)))</f>
        <v/>
      </c>
      <c r="AE2484">
        <f>IF($B2484=0,0,IF(Inputs!$B$7="",0,COUNTIFS(Data!$E$10:$E$3209,"&gt;="&amp;$A2484,Data!$E$10:$E$3209,"&lt;"&amp;$A2484+1)))</f>
        <v/>
      </c>
      <c r="AF2484">
        <f>IF($B2484=0,0,IF(Inputs!$B$8="",0,COUNTIFS(Data!$I$10:$I$3209,"&gt;="&amp;$A2484,Data!$I$10:$I$3209,"&lt;"&amp;$A2484+1)))</f>
        <v/>
      </c>
      <c r="AG2484">
        <f>IF($B2484=0,0,IF(Inputs!$B$9="",0,COUNTIFS(Data!$M$10:$M$3209,"&gt;="&amp;$A2484,Data!$M$10:$M$3209,"&lt;"&amp;$A2484+1)))</f>
        <v/>
      </c>
      <c r="AH2484">
        <f>IF($B2484=0,0,IF(Inputs!$B$10="",0,COUNTIFS(Data!$Q$10:$Q$3209,"&gt;="&amp;$A2484,Data!$Q$10:$Q$3209,"&lt;"&amp;$A2484+1)))</f>
        <v/>
      </c>
    </row>
    <row r="2485">
      <c r="A2485" s="55">
        <f>MIN(Inputs!$C$15,$A2484+IF(WEEKDAY($A2484,2)=5,3,1))</f>
        <v/>
      </c>
      <c r="B2485">
        <f>IF($A2485&gt;$A2484,1,0)</f>
        <v/>
      </c>
      <c r="C2485" s="56">
        <f>IF($B2485=0,"",IF(Inputs!$B$6="","",IF($AD2485=0,C2484,SUMIFS(Data!$B$10:$B$3209,Data!$A$10:$A$3209,"&gt;="&amp;$A2485,Data!$A$10:$A$3209,"&lt;"&amp;$A2485+1)/$AD2485)))</f>
        <v/>
      </c>
      <c r="D2485" s="56">
        <f>IF($B2485=0,"",IF(Inputs!$B$7="","",IF($AE2485=0,D2484,SUMIFS(Data!$F$10:$F$3209,Data!$E$10:$E$3209,"&gt;="&amp;$A2485,Data!$E$10:$E$3209,"&lt;"&amp;$A2485+1)/$AE2485)))</f>
        <v/>
      </c>
      <c r="E2485" s="56">
        <f>IF($B2485=0,"",IF(Inputs!$B$8="","",IF($AF2485=0,E2484,SUMIFS(Data!$J$10:$J$3209,Data!$I$10:$I$3209,"&gt;="&amp;$A2485,Data!$I$10:$I$3209,"&lt;"&amp;$A2485+1)/$AF2485)))</f>
        <v/>
      </c>
      <c r="F2485" s="56">
        <f>IF($B2485=0,"",IF(Inputs!$B$9="","",IF($AG2485=0,F2484,SUMIFS(Data!$N$10:$N$3209,Data!$M$10:$M$3209,"&gt;="&amp;$A2485,Data!$M$10:$M$3209,"&lt;"&amp;$A2485+1)/$AG2485)))</f>
        <v/>
      </c>
      <c r="G2485" s="56">
        <f>IF($B2485=0,"",IF(Inputs!$B$10="","",IF($AH2485=0,G2484,SUMIFS(Data!$R$10:$R$3209,Data!$Q$10:$Q$3209,"&gt;="&amp;$A2485,Data!$Q$10:$Q$3209,"&lt;"&amp;$A2485+1)/$AH2485)))</f>
        <v/>
      </c>
      <c r="I2485" s="54">
        <f>IF($B2485=0,NA(),IF($C2485="",NA(),IF(C$8="",NA(),IF(N(C$8)=0,NA(),IF(Inputs!$C$17="Rebased to 100",$C2485/C$8*100,$C2485)))))</f>
        <v/>
      </c>
      <c r="J2485" s="54">
        <f>IF($B2485=0,NA(),IF($D2485="",NA(),IF(D$8="",NA(),IF(N(D$8)=0,NA(),IF(Inputs!$C$17="Rebased to 100",$D2485/D$8*100,$D2485)))))</f>
        <v/>
      </c>
      <c r="K2485" s="54">
        <f>IF($B2485=0,NA(),IF($E2485="",NA(),IF(E$8="",NA(),IF(N(E$8)=0,NA(),IF(Inputs!$C$17="Rebased to 100",$E2485/E$8*100,$E2485)))))</f>
        <v/>
      </c>
      <c r="L2485" s="54">
        <f>IF($B2485=0,NA(),IF($F2485="",NA(),IF(F$8="",NA(),IF(N(F$8)=0,NA(),IF(Inputs!$C$17="Rebased to 100",$F2485/F$8*100,$F2485)))))</f>
        <v/>
      </c>
      <c r="M2485" s="54">
        <f>IF($B2485=0,NA(),IF($G2485="",NA(),IF(G$8="",NA(),IF(N(G$8)=0,NA(),IF(Inputs!$C$17="Rebased to 100",$G2485/G$8*100,$G2485)))))</f>
        <v/>
      </c>
      <c r="N2485" s="54">
        <f>IF($B2485=0,NA(),IF(Inputs!$C$18&lt;&gt;"Yes",NA(),IF(COUNT(I2485,J2485,K2485,L2485,M2485)=0,NA(),MIN(I2485,J2485,K2485,L2485,M2485))))</f>
        <v/>
      </c>
      <c r="O2485" s="54">
        <f>IF($B2485=0,NA(),IF(Inputs!$B$24&lt;&gt;"Yes",NA(),Inputs!$D$24*Inputs!$C$35))</f>
        <v/>
      </c>
      <c r="P2485" s="54">
        <f>IF($B2485=0,NA(),IF(Inputs!$B$25&lt;&gt;"Yes",NA(),Inputs!$D$25*Inputs!$C$35))</f>
        <v/>
      </c>
      <c r="Q2485" s="54">
        <f>IF($B2485=0,NA(),IF(Inputs!$B$26&lt;&gt;"Yes",NA(),Inputs!$D$26*Inputs!$C$35))</f>
        <v/>
      </c>
      <c r="R2485" s="54">
        <f>IF($B2485=0,NA(),IF(Inputs!$B$27&lt;&gt;"Yes",NA(),Inputs!$D$27*Inputs!$C$35))</f>
        <v/>
      </c>
      <c r="S2485" s="54">
        <f>IF($B2485=0,NA(),IF(Inputs!$B$28&lt;&gt;"Yes",NA(),Inputs!$D$28*Inputs!$C$35))</f>
        <v/>
      </c>
      <c r="T2485" s="54">
        <f>IF($B2485=0,NA(),IF(Inputs!$B$29&lt;&gt;"Yes",NA(),Inputs!$D$29*Inputs!$C$35))</f>
        <v/>
      </c>
      <c r="AD2485">
        <f>IF($B2485=0,0,IF(Inputs!$B$6="",0,COUNTIFS(Data!$A$10:$A$3209,"&gt;="&amp;$A2485,Data!$A$10:$A$3209,"&lt;"&amp;$A2485+1)))</f>
        <v/>
      </c>
      <c r="AE2485">
        <f>IF($B2485=0,0,IF(Inputs!$B$7="",0,COUNTIFS(Data!$E$10:$E$3209,"&gt;="&amp;$A2485,Data!$E$10:$E$3209,"&lt;"&amp;$A2485+1)))</f>
        <v/>
      </c>
      <c r="AF2485">
        <f>IF($B2485=0,0,IF(Inputs!$B$8="",0,COUNTIFS(Data!$I$10:$I$3209,"&gt;="&amp;$A2485,Data!$I$10:$I$3209,"&lt;"&amp;$A2485+1)))</f>
        <v/>
      </c>
      <c r="AG2485">
        <f>IF($B2485=0,0,IF(Inputs!$B$9="",0,COUNTIFS(Data!$M$10:$M$3209,"&gt;="&amp;$A2485,Data!$M$10:$M$3209,"&lt;"&amp;$A2485+1)))</f>
        <v/>
      </c>
      <c r="AH2485">
        <f>IF($B2485=0,0,IF(Inputs!$B$10="",0,COUNTIFS(Data!$Q$10:$Q$3209,"&gt;="&amp;$A2485,Data!$Q$10:$Q$3209,"&lt;"&amp;$A2485+1)))</f>
        <v/>
      </c>
    </row>
    <row r="2486">
      <c r="A2486" s="55">
        <f>MIN(Inputs!$C$15,$A2485+IF(WEEKDAY($A2485,2)=5,3,1))</f>
        <v/>
      </c>
      <c r="B2486">
        <f>IF($A2486&gt;$A2485,1,0)</f>
        <v/>
      </c>
      <c r="C2486" s="56">
        <f>IF($B2486=0,"",IF(Inputs!$B$6="","",IF($AD2486=0,C2485,SUMIFS(Data!$B$10:$B$3209,Data!$A$10:$A$3209,"&gt;="&amp;$A2486,Data!$A$10:$A$3209,"&lt;"&amp;$A2486+1)/$AD2486)))</f>
        <v/>
      </c>
      <c r="D2486" s="56">
        <f>IF($B2486=0,"",IF(Inputs!$B$7="","",IF($AE2486=0,D2485,SUMIFS(Data!$F$10:$F$3209,Data!$E$10:$E$3209,"&gt;="&amp;$A2486,Data!$E$10:$E$3209,"&lt;"&amp;$A2486+1)/$AE2486)))</f>
        <v/>
      </c>
      <c r="E2486" s="56">
        <f>IF($B2486=0,"",IF(Inputs!$B$8="","",IF($AF2486=0,E2485,SUMIFS(Data!$J$10:$J$3209,Data!$I$10:$I$3209,"&gt;="&amp;$A2486,Data!$I$10:$I$3209,"&lt;"&amp;$A2486+1)/$AF2486)))</f>
        <v/>
      </c>
      <c r="F2486" s="56">
        <f>IF($B2486=0,"",IF(Inputs!$B$9="","",IF($AG2486=0,F2485,SUMIFS(Data!$N$10:$N$3209,Data!$M$10:$M$3209,"&gt;="&amp;$A2486,Data!$M$10:$M$3209,"&lt;"&amp;$A2486+1)/$AG2486)))</f>
        <v/>
      </c>
      <c r="G2486" s="56">
        <f>IF($B2486=0,"",IF(Inputs!$B$10="","",IF($AH2486=0,G2485,SUMIFS(Data!$R$10:$R$3209,Data!$Q$10:$Q$3209,"&gt;="&amp;$A2486,Data!$Q$10:$Q$3209,"&lt;"&amp;$A2486+1)/$AH2486)))</f>
        <v/>
      </c>
      <c r="I2486" s="54">
        <f>IF($B2486=0,NA(),IF($C2486="",NA(),IF(C$8="",NA(),IF(N(C$8)=0,NA(),IF(Inputs!$C$17="Rebased to 100",$C2486/C$8*100,$C2486)))))</f>
        <v/>
      </c>
      <c r="J2486" s="54">
        <f>IF($B2486=0,NA(),IF($D2486="",NA(),IF(D$8="",NA(),IF(N(D$8)=0,NA(),IF(Inputs!$C$17="Rebased to 100",$D2486/D$8*100,$D2486)))))</f>
        <v/>
      </c>
      <c r="K2486" s="54">
        <f>IF($B2486=0,NA(),IF($E2486="",NA(),IF(E$8="",NA(),IF(N(E$8)=0,NA(),IF(Inputs!$C$17="Rebased to 100",$E2486/E$8*100,$E2486)))))</f>
        <v/>
      </c>
      <c r="L2486" s="54">
        <f>IF($B2486=0,NA(),IF($F2486="",NA(),IF(F$8="",NA(),IF(N(F$8)=0,NA(),IF(Inputs!$C$17="Rebased to 100",$F2486/F$8*100,$F2486)))))</f>
        <v/>
      </c>
      <c r="M2486" s="54">
        <f>IF($B2486=0,NA(),IF($G2486="",NA(),IF(G$8="",NA(),IF(N(G$8)=0,NA(),IF(Inputs!$C$17="Rebased to 100",$G2486/G$8*100,$G2486)))))</f>
        <v/>
      </c>
      <c r="N2486" s="54">
        <f>IF($B2486=0,NA(),IF(Inputs!$C$18&lt;&gt;"Yes",NA(),IF(COUNT(I2486,J2486,K2486,L2486,M2486)=0,NA(),MIN(I2486,J2486,K2486,L2486,M2486))))</f>
        <v/>
      </c>
      <c r="O2486" s="54">
        <f>IF($B2486=0,NA(),IF(Inputs!$B$24&lt;&gt;"Yes",NA(),Inputs!$D$24*Inputs!$C$35))</f>
        <v/>
      </c>
      <c r="P2486" s="54">
        <f>IF($B2486=0,NA(),IF(Inputs!$B$25&lt;&gt;"Yes",NA(),Inputs!$D$25*Inputs!$C$35))</f>
        <v/>
      </c>
      <c r="Q2486" s="54">
        <f>IF($B2486=0,NA(),IF(Inputs!$B$26&lt;&gt;"Yes",NA(),Inputs!$D$26*Inputs!$C$35))</f>
        <v/>
      </c>
      <c r="R2486" s="54">
        <f>IF($B2486=0,NA(),IF(Inputs!$B$27&lt;&gt;"Yes",NA(),Inputs!$D$27*Inputs!$C$35))</f>
        <v/>
      </c>
      <c r="S2486" s="54">
        <f>IF($B2486=0,NA(),IF(Inputs!$B$28&lt;&gt;"Yes",NA(),Inputs!$D$28*Inputs!$C$35))</f>
        <v/>
      </c>
      <c r="T2486" s="54">
        <f>IF($B2486=0,NA(),IF(Inputs!$B$29&lt;&gt;"Yes",NA(),Inputs!$D$29*Inputs!$C$35))</f>
        <v/>
      </c>
      <c r="AD2486">
        <f>IF($B2486=0,0,IF(Inputs!$B$6="",0,COUNTIFS(Data!$A$10:$A$3209,"&gt;="&amp;$A2486,Data!$A$10:$A$3209,"&lt;"&amp;$A2486+1)))</f>
        <v/>
      </c>
      <c r="AE2486">
        <f>IF($B2486=0,0,IF(Inputs!$B$7="",0,COUNTIFS(Data!$E$10:$E$3209,"&gt;="&amp;$A2486,Data!$E$10:$E$3209,"&lt;"&amp;$A2486+1)))</f>
        <v/>
      </c>
      <c r="AF2486">
        <f>IF($B2486=0,0,IF(Inputs!$B$8="",0,COUNTIFS(Data!$I$10:$I$3209,"&gt;="&amp;$A2486,Data!$I$10:$I$3209,"&lt;"&amp;$A2486+1)))</f>
        <v/>
      </c>
      <c r="AG2486">
        <f>IF($B2486=0,0,IF(Inputs!$B$9="",0,COUNTIFS(Data!$M$10:$M$3209,"&gt;="&amp;$A2486,Data!$M$10:$M$3209,"&lt;"&amp;$A2486+1)))</f>
        <v/>
      </c>
      <c r="AH2486">
        <f>IF($B2486=0,0,IF(Inputs!$B$10="",0,COUNTIFS(Data!$Q$10:$Q$3209,"&gt;="&amp;$A2486,Data!$Q$10:$Q$3209,"&lt;"&amp;$A2486+1)))</f>
        <v/>
      </c>
    </row>
    <row r="2487">
      <c r="A2487" s="55">
        <f>MIN(Inputs!$C$15,$A2486+IF(WEEKDAY($A2486,2)=5,3,1))</f>
        <v/>
      </c>
      <c r="B2487">
        <f>IF($A2487&gt;$A2486,1,0)</f>
        <v/>
      </c>
      <c r="C2487" s="56">
        <f>IF($B2487=0,"",IF(Inputs!$B$6="","",IF($AD2487=0,C2486,SUMIFS(Data!$B$10:$B$3209,Data!$A$10:$A$3209,"&gt;="&amp;$A2487,Data!$A$10:$A$3209,"&lt;"&amp;$A2487+1)/$AD2487)))</f>
        <v/>
      </c>
      <c r="D2487" s="56">
        <f>IF($B2487=0,"",IF(Inputs!$B$7="","",IF($AE2487=0,D2486,SUMIFS(Data!$F$10:$F$3209,Data!$E$10:$E$3209,"&gt;="&amp;$A2487,Data!$E$10:$E$3209,"&lt;"&amp;$A2487+1)/$AE2487)))</f>
        <v/>
      </c>
      <c r="E2487" s="56">
        <f>IF($B2487=0,"",IF(Inputs!$B$8="","",IF($AF2487=0,E2486,SUMIFS(Data!$J$10:$J$3209,Data!$I$10:$I$3209,"&gt;="&amp;$A2487,Data!$I$10:$I$3209,"&lt;"&amp;$A2487+1)/$AF2487)))</f>
        <v/>
      </c>
      <c r="F2487" s="56">
        <f>IF($B2487=0,"",IF(Inputs!$B$9="","",IF($AG2487=0,F2486,SUMIFS(Data!$N$10:$N$3209,Data!$M$10:$M$3209,"&gt;="&amp;$A2487,Data!$M$10:$M$3209,"&lt;"&amp;$A2487+1)/$AG2487)))</f>
        <v/>
      </c>
      <c r="G2487" s="56">
        <f>IF($B2487=0,"",IF(Inputs!$B$10="","",IF($AH2487=0,G2486,SUMIFS(Data!$R$10:$R$3209,Data!$Q$10:$Q$3209,"&gt;="&amp;$A2487,Data!$Q$10:$Q$3209,"&lt;"&amp;$A2487+1)/$AH2487)))</f>
        <v/>
      </c>
      <c r="I2487" s="54">
        <f>IF($B2487=0,NA(),IF($C2487="",NA(),IF(C$8="",NA(),IF(N(C$8)=0,NA(),IF(Inputs!$C$17="Rebased to 100",$C2487/C$8*100,$C2487)))))</f>
        <v/>
      </c>
      <c r="J2487" s="54">
        <f>IF($B2487=0,NA(),IF($D2487="",NA(),IF(D$8="",NA(),IF(N(D$8)=0,NA(),IF(Inputs!$C$17="Rebased to 100",$D2487/D$8*100,$D2487)))))</f>
        <v/>
      </c>
      <c r="K2487" s="54">
        <f>IF($B2487=0,NA(),IF($E2487="",NA(),IF(E$8="",NA(),IF(N(E$8)=0,NA(),IF(Inputs!$C$17="Rebased to 100",$E2487/E$8*100,$E2487)))))</f>
        <v/>
      </c>
      <c r="L2487" s="54">
        <f>IF($B2487=0,NA(),IF($F2487="",NA(),IF(F$8="",NA(),IF(N(F$8)=0,NA(),IF(Inputs!$C$17="Rebased to 100",$F2487/F$8*100,$F2487)))))</f>
        <v/>
      </c>
      <c r="M2487" s="54">
        <f>IF($B2487=0,NA(),IF($G2487="",NA(),IF(G$8="",NA(),IF(N(G$8)=0,NA(),IF(Inputs!$C$17="Rebased to 100",$G2487/G$8*100,$G2487)))))</f>
        <v/>
      </c>
      <c r="N2487" s="54">
        <f>IF($B2487=0,NA(),IF(Inputs!$C$18&lt;&gt;"Yes",NA(),IF(COUNT(I2487,J2487,K2487,L2487,M2487)=0,NA(),MIN(I2487,J2487,K2487,L2487,M2487))))</f>
        <v/>
      </c>
      <c r="O2487" s="54">
        <f>IF($B2487=0,NA(),IF(Inputs!$B$24&lt;&gt;"Yes",NA(),Inputs!$D$24*Inputs!$C$35))</f>
        <v/>
      </c>
      <c r="P2487" s="54">
        <f>IF($B2487=0,NA(),IF(Inputs!$B$25&lt;&gt;"Yes",NA(),Inputs!$D$25*Inputs!$C$35))</f>
        <v/>
      </c>
      <c r="Q2487" s="54">
        <f>IF($B2487=0,NA(),IF(Inputs!$B$26&lt;&gt;"Yes",NA(),Inputs!$D$26*Inputs!$C$35))</f>
        <v/>
      </c>
      <c r="R2487" s="54">
        <f>IF($B2487=0,NA(),IF(Inputs!$B$27&lt;&gt;"Yes",NA(),Inputs!$D$27*Inputs!$C$35))</f>
        <v/>
      </c>
      <c r="S2487" s="54">
        <f>IF($B2487=0,NA(),IF(Inputs!$B$28&lt;&gt;"Yes",NA(),Inputs!$D$28*Inputs!$C$35))</f>
        <v/>
      </c>
      <c r="T2487" s="54">
        <f>IF($B2487=0,NA(),IF(Inputs!$B$29&lt;&gt;"Yes",NA(),Inputs!$D$29*Inputs!$C$35))</f>
        <v/>
      </c>
      <c r="AD2487">
        <f>IF($B2487=0,0,IF(Inputs!$B$6="",0,COUNTIFS(Data!$A$10:$A$3209,"&gt;="&amp;$A2487,Data!$A$10:$A$3209,"&lt;"&amp;$A2487+1)))</f>
        <v/>
      </c>
      <c r="AE2487">
        <f>IF($B2487=0,0,IF(Inputs!$B$7="",0,COUNTIFS(Data!$E$10:$E$3209,"&gt;="&amp;$A2487,Data!$E$10:$E$3209,"&lt;"&amp;$A2487+1)))</f>
        <v/>
      </c>
      <c r="AF2487">
        <f>IF($B2487=0,0,IF(Inputs!$B$8="",0,COUNTIFS(Data!$I$10:$I$3209,"&gt;="&amp;$A2487,Data!$I$10:$I$3209,"&lt;"&amp;$A2487+1)))</f>
        <v/>
      </c>
      <c r="AG2487">
        <f>IF($B2487=0,0,IF(Inputs!$B$9="",0,COUNTIFS(Data!$M$10:$M$3209,"&gt;="&amp;$A2487,Data!$M$10:$M$3209,"&lt;"&amp;$A2487+1)))</f>
        <v/>
      </c>
      <c r="AH2487">
        <f>IF($B2487=0,0,IF(Inputs!$B$10="",0,COUNTIFS(Data!$Q$10:$Q$3209,"&gt;="&amp;$A2487,Data!$Q$10:$Q$3209,"&lt;"&amp;$A2487+1)))</f>
        <v/>
      </c>
    </row>
    <row r="2488">
      <c r="A2488" s="55">
        <f>MIN(Inputs!$C$15,$A2487+IF(WEEKDAY($A2487,2)=5,3,1))</f>
        <v/>
      </c>
      <c r="B2488">
        <f>IF($A2488&gt;$A2487,1,0)</f>
        <v/>
      </c>
      <c r="C2488" s="56">
        <f>IF($B2488=0,"",IF(Inputs!$B$6="","",IF($AD2488=0,C2487,SUMIFS(Data!$B$10:$B$3209,Data!$A$10:$A$3209,"&gt;="&amp;$A2488,Data!$A$10:$A$3209,"&lt;"&amp;$A2488+1)/$AD2488)))</f>
        <v/>
      </c>
      <c r="D2488" s="56">
        <f>IF($B2488=0,"",IF(Inputs!$B$7="","",IF($AE2488=0,D2487,SUMIFS(Data!$F$10:$F$3209,Data!$E$10:$E$3209,"&gt;="&amp;$A2488,Data!$E$10:$E$3209,"&lt;"&amp;$A2488+1)/$AE2488)))</f>
        <v/>
      </c>
      <c r="E2488" s="56">
        <f>IF($B2488=0,"",IF(Inputs!$B$8="","",IF($AF2488=0,E2487,SUMIFS(Data!$J$10:$J$3209,Data!$I$10:$I$3209,"&gt;="&amp;$A2488,Data!$I$10:$I$3209,"&lt;"&amp;$A2488+1)/$AF2488)))</f>
        <v/>
      </c>
      <c r="F2488" s="56">
        <f>IF($B2488=0,"",IF(Inputs!$B$9="","",IF($AG2488=0,F2487,SUMIFS(Data!$N$10:$N$3209,Data!$M$10:$M$3209,"&gt;="&amp;$A2488,Data!$M$10:$M$3209,"&lt;"&amp;$A2488+1)/$AG2488)))</f>
        <v/>
      </c>
      <c r="G2488" s="56">
        <f>IF($B2488=0,"",IF(Inputs!$B$10="","",IF($AH2488=0,G2487,SUMIFS(Data!$R$10:$R$3209,Data!$Q$10:$Q$3209,"&gt;="&amp;$A2488,Data!$Q$10:$Q$3209,"&lt;"&amp;$A2488+1)/$AH2488)))</f>
        <v/>
      </c>
      <c r="I2488" s="54">
        <f>IF($B2488=0,NA(),IF($C2488="",NA(),IF(C$8="",NA(),IF(N(C$8)=0,NA(),IF(Inputs!$C$17="Rebased to 100",$C2488/C$8*100,$C2488)))))</f>
        <v/>
      </c>
      <c r="J2488" s="54">
        <f>IF($B2488=0,NA(),IF($D2488="",NA(),IF(D$8="",NA(),IF(N(D$8)=0,NA(),IF(Inputs!$C$17="Rebased to 100",$D2488/D$8*100,$D2488)))))</f>
        <v/>
      </c>
      <c r="K2488" s="54">
        <f>IF($B2488=0,NA(),IF($E2488="",NA(),IF(E$8="",NA(),IF(N(E$8)=0,NA(),IF(Inputs!$C$17="Rebased to 100",$E2488/E$8*100,$E2488)))))</f>
        <v/>
      </c>
      <c r="L2488" s="54">
        <f>IF($B2488=0,NA(),IF($F2488="",NA(),IF(F$8="",NA(),IF(N(F$8)=0,NA(),IF(Inputs!$C$17="Rebased to 100",$F2488/F$8*100,$F2488)))))</f>
        <v/>
      </c>
      <c r="M2488" s="54">
        <f>IF($B2488=0,NA(),IF($G2488="",NA(),IF(G$8="",NA(),IF(N(G$8)=0,NA(),IF(Inputs!$C$17="Rebased to 100",$G2488/G$8*100,$G2488)))))</f>
        <v/>
      </c>
      <c r="N2488" s="54">
        <f>IF($B2488=0,NA(),IF(Inputs!$C$18&lt;&gt;"Yes",NA(),IF(COUNT(I2488,J2488,K2488,L2488,M2488)=0,NA(),MIN(I2488,J2488,K2488,L2488,M2488))))</f>
        <v/>
      </c>
      <c r="O2488" s="54">
        <f>IF($B2488=0,NA(),IF(Inputs!$B$24&lt;&gt;"Yes",NA(),Inputs!$D$24*Inputs!$C$35))</f>
        <v/>
      </c>
      <c r="P2488" s="54">
        <f>IF($B2488=0,NA(),IF(Inputs!$B$25&lt;&gt;"Yes",NA(),Inputs!$D$25*Inputs!$C$35))</f>
        <v/>
      </c>
      <c r="Q2488" s="54">
        <f>IF($B2488=0,NA(),IF(Inputs!$B$26&lt;&gt;"Yes",NA(),Inputs!$D$26*Inputs!$C$35))</f>
        <v/>
      </c>
      <c r="R2488" s="54">
        <f>IF($B2488=0,NA(),IF(Inputs!$B$27&lt;&gt;"Yes",NA(),Inputs!$D$27*Inputs!$C$35))</f>
        <v/>
      </c>
      <c r="S2488" s="54">
        <f>IF($B2488=0,NA(),IF(Inputs!$B$28&lt;&gt;"Yes",NA(),Inputs!$D$28*Inputs!$C$35))</f>
        <v/>
      </c>
      <c r="T2488" s="54">
        <f>IF($B2488=0,NA(),IF(Inputs!$B$29&lt;&gt;"Yes",NA(),Inputs!$D$29*Inputs!$C$35))</f>
        <v/>
      </c>
      <c r="AD2488">
        <f>IF($B2488=0,0,IF(Inputs!$B$6="",0,COUNTIFS(Data!$A$10:$A$3209,"&gt;="&amp;$A2488,Data!$A$10:$A$3209,"&lt;"&amp;$A2488+1)))</f>
        <v/>
      </c>
      <c r="AE2488">
        <f>IF($B2488=0,0,IF(Inputs!$B$7="",0,COUNTIFS(Data!$E$10:$E$3209,"&gt;="&amp;$A2488,Data!$E$10:$E$3209,"&lt;"&amp;$A2488+1)))</f>
        <v/>
      </c>
      <c r="AF2488">
        <f>IF($B2488=0,0,IF(Inputs!$B$8="",0,COUNTIFS(Data!$I$10:$I$3209,"&gt;="&amp;$A2488,Data!$I$10:$I$3209,"&lt;"&amp;$A2488+1)))</f>
        <v/>
      </c>
      <c r="AG2488">
        <f>IF($B2488=0,0,IF(Inputs!$B$9="",0,COUNTIFS(Data!$M$10:$M$3209,"&gt;="&amp;$A2488,Data!$M$10:$M$3209,"&lt;"&amp;$A2488+1)))</f>
        <v/>
      </c>
      <c r="AH2488">
        <f>IF($B2488=0,0,IF(Inputs!$B$10="",0,COUNTIFS(Data!$Q$10:$Q$3209,"&gt;="&amp;$A2488,Data!$Q$10:$Q$3209,"&lt;"&amp;$A2488+1)))</f>
        <v/>
      </c>
    </row>
    <row r="2489">
      <c r="A2489" s="55">
        <f>MIN(Inputs!$C$15,$A2488+IF(WEEKDAY($A2488,2)=5,3,1))</f>
        <v/>
      </c>
      <c r="B2489">
        <f>IF($A2489&gt;$A2488,1,0)</f>
        <v/>
      </c>
      <c r="C2489" s="56">
        <f>IF($B2489=0,"",IF(Inputs!$B$6="","",IF($AD2489=0,C2488,SUMIFS(Data!$B$10:$B$3209,Data!$A$10:$A$3209,"&gt;="&amp;$A2489,Data!$A$10:$A$3209,"&lt;"&amp;$A2489+1)/$AD2489)))</f>
        <v/>
      </c>
      <c r="D2489" s="56">
        <f>IF($B2489=0,"",IF(Inputs!$B$7="","",IF($AE2489=0,D2488,SUMIFS(Data!$F$10:$F$3209,Data!$E$10:$E$3209,"&gt;="&amp;$A2489,Data!$E$10:$E$3209,"&lt;"&amp;$A2489+1)/$AE2489)))</f>
        <v/>
      </c>
      <c r="E2489" s="56">
        <f>IF($B2489=0,"",IF(Inputs!$B$8="","",IF($AF2489=0,E2488,SUMIFS(Data!$J$10:$J$3209,Data!$I$10:$I$3209,"&gt;="&amp;$A2489,Data!$I$10:$I$3209,"&lt;"&amp;$A2489+1)/$AF2489)))</f>
        <v/>
      </c>
      <c r="F2489" s="56">
        <f>IF($B2489=0,"",IF(Inputs!$B$9="","",IF($AG2489=0,F2488,SUMIFS(Data!$N$10:$N$3209,Data!$M$10:$M$3209,"&gt;="&amp;$A2489,Data!$M$10:$M$3209,"&lt;"&amp;$A2489+1)/$AG2489)))</f>
        <v/>
      </c>
      <c r="G2489" s="56">
        <f>IF($B2489=0,"",IF(Inputs!$B$10="","",IF($AH2489=0,G2488,SUMIFS(Data!$R$10:$R$3209,Data!$Q$10:$Q$3209,"&gt;="&amp;$A2489,Data!$Q$10:$Q$3209,"&lt;"&amp;$A2489+1)/$AH2489)))</f>
        <v/>
      </c>
      <c r="I2489" s="54">
        <f>IF($B2489=0,NA(),IF($C2489="",NA(),IF(C$8="",NA(),IF(N(C$8)=0,NA(),IF(Inputs!$C$17="Rebased to 100",$C2489/C$8*100,$C2489)))))</f>
        <v/>
      </c>
      <c r="J2489" s="54">
        <f>IF($B2489=0,NA(),IF($D2489="",NA(),IF(D$8="",NA(),IF(N(D$8)=0,NA(),IF(Inputs!$C$17="Rebased to 100",$D2489/D$8*100,$D2489)))))</f>
        <v/>
      </c>
      <c r="K2489" s="54">
        <f>IF($B2489=0,NA(),IF($E2489="",NA(),IF(E$8="",NA(),IF(N(E$8)=0,NA(),IF(Inputs!$C$17="Rebased to 100",$E2489/E$8*100,$E2489)))))</f>
        <v/>
      </c>
      <c r="L2489" s="54">
        <f>IF($B2489=0,NA(),IF($F2489="",NA(),IF(F$8="",NA(),IF(N(F$8)=0,NA(),IF(Inputs!$C$17="Rebased to 100",$F2489/F$8*100,$F2489)))))</f>
        <v/>
      </c>
      <c r="M2489" s="54">
        <f>IF($B2489=0,NA(),IF($G2489="",NA(),IF(G$8="",NA(),IF(N(G$8)=0,NA(),IF(Inputs!$C$17="Rebased to 100",$G2489/G$8*100,$G2489)))))</f>
        <v/>
      </c>
      <c r="N2489" s="54">
        <f>IF($B2489=0,NA(),IF(Inputs!$C$18&lt;&gt;"Yes",NA(),IF(COUNT(I2489,J2489,K2489,L2489,M2489)=0,NA(),MIN(I2489,J2489,K2489,L2489,M2489))))</f>
        <v/>
      </c>
      <c r="O2489" s="54">
        <f>IF($B2489=0,NA(),IF(Inputs!$B$24&lt;&gt;"Yes",NA(),Inputs!$D$24*Inputs!$C$35))</f>
        <v/>
      </c>
      <c r="P2489" s="54">
        <f>IF($B2489=0,NA(),IF(Inputs!$B$25&lt;&gt;"Yes",NA(),Inputs!$D$25*Inputs!$C$35))</f>
        <v/>
      </c>
      <c r="Q2489" s="54">
        <f>IF($B2489=0,NA(),IF(Inputs!$B$26&lt;&gt;"Yes",NA(),Inputs!$D$26*Inputs!$C$35))</f>
        <v/>
      </c>
      <c r="R2489" s="54">
        <f>IF($B2489=0,NA(),IF(Inputs!$B$27&lt;&gt;"Yes",NA(),Inputs!$D$27*Inputs!$C$35))</f>
        <v/>
      </c>
      <c r="S2489" s="54">
        <f>IF($B2489=0,NA(),IF(Inputs!$B$28&lt;&gt;"Yes",NA(),Inputs!$D$28*Inputs!$C$35))</f>
        <v/>
      </c>
      <c r="T2489" s="54">
        <f>IF($B2489=0,NA(),IF(Inputs!$B$29&lt;&gt;"Yes",NA(),Inputs!$D$29*Inputs!$C$35))</f>
        <v/>
      </c>
      <c r="AD2489">
        <f>IF($B2489=0,0,IF(Inputs!$B$6="",0,COUNTIFS(Data!$A$10:$A$3209,"&gt;="&amp;$A2489,Data!$A$10:$A$3209,"&lt;"&amp;$A2489+1)))</f>
        <v/>
      </c>
      <c r="AE2489">
        <f>IF($B2489=0,0,IF(Inputs!$B$7="",0,COUNTIFS(Data!$E$10:$E$3209,"&gt;="&amp;$A2489,Data!$E$10:$E$3209,"&lt;"&amp;$A2489+1)))</f>
        <v/>
      </c>
      <c r="AF2489">
        <f>IF($B2489=0,0,IF(Inputs!$B$8="",0,COUNTIFS(Data!$I$10:$I$3209,"&gt;="&amp;$A2489,Data!$I$10:$I$3209,"&lt;"&amp;$A2489+1)))</f>
        <v/>
      </c>
      <c r="AG2489">
        <f>IF($B2489=0,0,IF(Inputs!$B$9="",0,COUNTIFS(Data!$M$10:$M$3209,"&gt;="&amp;$A2489,Data!$M$10:$M$3209,"&lt;"&amp;$A2489+1)))</f>
        <v/>
      </c>
      <c r="AH2489">
        <f>IF($B2489=0,0,IF(Inputs!$B$10="",0,COUNTIFS(Data!$Q$10:$Q$3209,"&gt;="&amp;$A2489,Data!$Q$10:$Q$3209,"&lt;"&amp;$A2489+1)))</f>
        <v/>
      </c>
    </row>
    <row r="2490">
      <c r="A2490" s="55">
        <f>MIN(Inputs!$C$15,$A2489+IF(WEEKDAY($A2489,2)=5,3,1))</f>
        <v/>
      </c>
      <c r="B2490">
        <f>IF($A2490&gt;$A2489,1,0)</f>
        <v/>
      </c>
      <c r="C2490" s="56">
        <f>IF($B2490=0,"",IF(Inputs!$B$6="","",IF($AD2490=0,C2489,SUMIFS(Data!$B$10:$B$3209,Data!$A$10:$A$3209,"&gt;="&amp;$A2490,Data!$A$10:$A$3209,"&lt;"&amp;$A2490+1)/$AD2490)))</f>
        <v/>
      </c>
      <c r="D2490" s="56">
        <f>IF($B2490=0,"",IF(Inputs!$B$7="","",IF($AE2490=0,D2489,SUMIFS(Data!$F$10:$F$3209,Data!$E$10:$E$3209,"&gt;="&amp;$A2490,Data!$E$10:$E$3209,"&lt;"&amp;$A2490+1)/$AE2490)))</f>
        <v/>
      </c>
      <c r="E2490" s="56">
        <f>IF($B2490=0,"",IF(Inputs!$B$8="","",IF($AF2490=0,E2489,SUMIFS(Data!$J$10:$J$3209,Data!$I$10:$I$3209,"&gt;="&amp;$A2490,Data!$I$10:$I$3209,"&lt;"&amp;$A2490+1)/$AF2490)))</f>
        <v/>
      </c>
      <c r="F2490" s="56">
        <f>IF($B2490=0,"",IF(Inputs!$B$9="","",IF($AG2490=0,F2489,SUMIFS(Data!$N$10:$N$3209,Data!$M$10:$M$3209,"&gt;="&amp;$A2490,Data!$M$10:$M$3209,"&lt;"&amp;$A2490+1)/$AG2490)))</f>
        <v/>
      </c>
      <c r="G2490" s="56">
        <f>IF($B2490=0,"",IF(Inputs!$B$10="","",IF($AH2490=0,G2489,SUMIFS(Data!$R$10:$R$3209,Data!$Q$10:$Q$3209,"&gt;="&amp;$A2490,Data!$Q$10:$Q$3209,"&lt;"&amp;$A2490+1)/$AH2490)))</f>
        <v/>
      </c>
      <c r="I2490" s="54">
        <f>IF($B2490=0,NA(),IF($C2490="",NA(),IF(C$8="",NA(),IF(N(C$8)=0,NA(),IF(Inputs!$C$17="Rebased to 100",$C2490/C$8*100,$C2490)))))</f>
        <v/>
      </c>
      <c r="J2490" s="54">
        <f>IF($B2490=0,NA(),IF($D2490="",NA(),IF(D$8="",NA(),IF(N(D$8)=0,NA(),IF(Inputs!$C$17="Rebased to 100",$D2490/D$8*100,$D2490)))))</f>
        <v/>
      </c>
      <c r="K2490" s="54">
        <f>IF($B2490=0,NA(),IF($E2490="",NA(),IF(E$8="",NA(),IF(N(E$8)=0,NA(),IF(Inputs!$C$17="Rebased to 100",$E2490/E$8*100,$E2490)))))</f>
        <v/>
      </c>
      <c r="L2490" s="54">
        <f>IF($B2490=0,NA(),IF($F2490="",NA(),IF(F$8="",NA(),IF(N(F$8)=0,NA(),IF(Inputs!$C$17="Rebased to 100",$F2490/F$8*100,$F2490)))))</f>
        <v/>
      </c>
      <c r="M2490" s="54">
        <f>IF($B2490=0,NA(),IF($G2490="",NA(),IF(G$8="",NA(),IF(N(G$8)=0,NA(),IF(Inputs!$C$17="Rebased to 100",$G2490/G$8*100,$G2490)))))</f>
        <v/>
      </c>
      <c r="N2490" s="54">
        <f>IF($B2490=0,NA(),IF(Inputs!$C$18&lt;&gt;"Yes",NA(),IF(COUNT(I2490,J2490,K2490,L2490,M2490)=0,NA(),MIN(I2490,J2490,K2490,L2490,M2490))))</f>
        <v/>
      </c>
      <c r="O2490" s="54">
        <f>IF($B2490=0,NA(),IF(Inputs!$B$24&lt;&gt;"Yes",NA(),Inputs!$D$24*Inputs!$C$35))</f>
        <v/>
      </c>
      <c r="P2490" s="54">
        <f>IF($B2490=0,NA(),IF(Inputs!$B$25&lt;&gt;"Yes",NA(),Inputs!$D$25*Inputs!$C$35))</f>
        <v/>
      </c>
      <c r="Q2490" s="54">
        <f>IF($B2490=0,NA(),IF(Inputs!$B$26&lt;&gt;"Yes",NA(),Inputs!$D$26*Inputs!$C$35))</f>
        <v/>
      </c>
      <c r="R2490" s="54">
        <f>IF($B2490=0,NA(),IF(Inputs!$B$27&lt;&gt;"Yes",NA(),Inputs!$D$27*Inputs!$C$35))</f>
        <v/>
      </c>
      <c r="S2490" s="54">
        <f>IF($B2490=0,NA(),IF(Inputs!$B$28&lt;&gt;"Yes",NA(),Inputs!$D$28*Inputs!$C$35))</f>
        <v/>
      </c>
      <c r="T2490" s="54">
        <f>IF($B2490=0,NA(),IF(Inputs!$B$29&lt;&gt;"Yes",NA(),Inputs!$D$29*Inputs!$C$35))</f>
        <v/>
      </c>
      <c r="AD2490">
        <f>IF($B2490=0,0,IF(Inputs!$B$6="",0,COUNTIFS(Data!$A$10:$A$3209,"&gt;="&amp;$A2490,Data!$A$10:$A$3209,"&lt;"&amp;$A2490+1)))</f>
        <v/>
      </c>
      <c r="AE2490">
        <f>IF($B2490=0,0,IF(Inputs!$B$7="",0,COUNTIFS(Data!$E$10:$E$3209,"&gt;="&amp;$A2490,Data!$E$10:$E$3209,"&lt;"&amp;$A2490+1)))</f>
        <v/>
      </c>
      <c r="AF2490">
        <f>IF($B2490=0,0,IF(Inputs!$B$8="",0,COUNTIFS(Data!$I$10:$I$3209,"&gt;="&amp;$A2490,Data!$I$10:$I$3209,"&lt;"&amp;$A2490+1)))</f>
        <v/>
      </c>
      <c r="AG2490">
        <f>IF($B2490=0,0,IF(Inputs!$B$9="",0,COUNTIFS(Data!$M$10:$M$3209,"&gt;="&amp;$A2490,Data!$M$10:$M$3209,"&lt;"&amp;$A2490+1)))</f>
        <v/>
      </c>
      <c r="AH2490">
        <f>IF($B2490=0,0,IF(Inputs!$B$10="",0,COUNTIFS(Data!$Q$10:$Q$3209,"&gt;="&amp;$A2490,Data!$Q$10:$Q$3209,"&lt;"&amp;$A2490+1)))</f>
        <v/>
      </c>
    </row>
    <row r="2491">
      <c r="A2491" s="55">
        <f>MIN(Inputs!$C$15,$A2490+IF(WEEKDAY($A2490,2)=5,3,1))</f>
        <v/>
      </c>
      <c r="B2491">
        <f>IF($A2491&gt;$A2490,1,0)</f>
        <v/>
      </c>
      <c r="C2491" s="56">
        <f>IF($B2491=0,"",IF(Inputs!$B$6="","",IF($AD2491=0,C2490,SUMIFS(Data!$B$10:$B$3209,Data!$A$10:$A$3209,"&gt;="&amp;$A2491,Data!$A$10:$A$3209,"&lt;"&amp;$A2491+1)/$AD2491)))</f>
        <v/>
      </c>
      <c r="D2491" s="56">
        <f>IF($B2491=0,"",IF(Inputs!$B$7="","",IF($AE2491=0,D2490,SUMIFS(Data!$F$10:$F$3209,Data!$E$10:$E$3209,"&gt;="&amp;$A2491,Data!$E$10:$E$3209,"&lt;"&amp;$A2491+1)/$AE2491)))</f>
        <v/>
      </c>
      <c r="E2491" s="56">
        <f>IF($B2491=0,"",IF(Inputs!$B$8="","",IF($AF2491=0,E2490,SUMIFS(Data!$J$10:$J$3209,Data!$I$10:$I$3209,"&gt;="&amp;$A2491,Data!$I$10:$I$3209,"&lt;"&amp;$A2491+1)/$AF2491)))</f>
        <v/>
      </c>
      <c r="F2491" s="56">
        <f>IF($B2491=0,"",IF(Inputs!$B$9="","",IF($AG2491=0,F2490,SUMIFS(Data!$N$10:$N$3209,Data!$M$10:$M$3209,"&gt;="&amp;$A2491,Data!$M$10:$M$3209,"&lt;"&amp;$A2491+1)/$AG2491)))</f>
        <v/>
      </c>
      <c r="G2491" s="56">
        <f>IF($B2491=0,"",IF(Inputs!$B$10="","",IF($AH2491=0,G2490,SUMIFS(Data!$R$10:$R$3209,Data!$Q$10:$Q$3209,"&gt;="&amp;$A2491,Data!$Q$10:$Q$3209,"&lt;"&amp;$A2491+1)/$AH2491)))</f>
        <v/>
      </c>
      <c r="I2491" s="54">
        <f>IF($B2491=0,NA(),IF($C2491="",NA(),IF(C$8="",NA(),IF(N(C$8)=0,NA(),IF(Inputs!$C$17="Rebased to 100",$C2491/C$8*100,$C2491)))))</f>
        <v/>
      </c>
      <c r="J2491" s="54">
        <f>IF($B2491=0,NA(),IF($D2491="",NA(),IF(D$8="",NA(),IF(N(D$8)=0,NA(),IF(Inputs!$C$17="Rebased to 100",$D2491/D$8*100,$D2491)))))</f>
        <v/>
      </c>
      <c r="K2491" s="54">
        <f>IF($B2491=0,NA(),IF($E2491="",NA(),IF(E$8="",NA(),IF(N(E$8)=0,NA(),IF(Inputs!$C$17="Rebased to 100",$E2491/E$8*100,$E2491)))))</f>
        <v/>
      </c>
      <c r="L2491" s="54">
        <f>IF($B2491=0,NA(),IF($F2491="",NA(),IF(F$8="",NA(),IF(N(F$8)=0,NA(),IF(Inputs!$C$17="Rebased to 100",$F2491/F$8*100,$F2491)))))</f>
        <v/>
      </c>
      <c r="M2491" s="54">
        <f>IF($B2491=0,NA(),IF($G2491="",NA(),IF(G$8="",NA(),IF(N(G$8)=0,NA(),IF(Inputs!$C$17="Rebased to 100",$G2491/G$8*100,$G2491)))))</f>
        <v/>
      </c>
      <c r="N2491" s="54">
        <f>IF($B2491=0,NA(),IF(Inputs!$C$18&lt;&gt;"Yes",NA(),IF(COUNT(I2491,J2491,K2491,L2491,M2491)=0,NA(),MIN(I2491,J2491,K2491,L2491,M2491))))</f>
        <v/>
      </c>
      <c r="O2491" s="54">
        <f>IF($B2491=0,NA(),IF(Inputs!$B$24&lt;&gt;"Yes",NA(),Inputs!$D$24*Inputs!$C$35))</f>
        <v/>
      </c>
      <c r="P2491" s="54">
        <f>IF($B2491=0,NA(),IF(Inputs!$B$25&lt;&gt;"Yes",NA(),Inputs!$D$25*Inputs!$C$35))</f>
        <v/>
      </c>
      <c r="Q2491" s="54">
        <f>IF($B2491=0,NA(),IF(Inputs!$B$26&lt;&gt;"Yes",NA(),Inputs!$D$26*Inputs!$C$35))</f>
        <v/>
      </c>
      <c r="R2491" s="54">
        <f>IF($B2491=0,NA(),IF(Inputs!$B$27&lt;&gt;"Yes",NA(),Inputs!$D$27*Inputs!$C$35))</f>
        <v/>
      </c>
      <c r="S2491" s="54">
        <f>IF($B2491=0,NA(),IF(Inputs!$B$28&lt;&gt;"Yes",NA(),Inputs!$D$28*Inputs!$C$35))</f>
        <v/>
      </c>
      <c r="T2491" s="54">
        <f>IF($B2491=0,NA(),IF(Inputs!$B$29&lt;&gt;"Yes",NA(),Inputs!$D$29*Inputs!$C$35))</f>
        <v/>
      </c>
      <c r="AD2491">
        <f>IF($B2491=0,0,IF(Inputs!$B$6="",0,COUNTIFS(Data!$A$10:$A$3209,"&gt;="&amp;$A2491,Data!$A$10:$A$3209,"&lt;"&amp;$A2491+1)))</f>
        <v/>
      </c>
      <c r="AE2491">
        <f>IF($B2491=0,0,IF(Inputs!$B$7="",0,COUNTIFS(Data!$E$10:$E$3209,"&gt;="&amp;$A2491,Data!$E$10:$E$3209,"&lt;"&amp;$A2491+1)))</f>
        <v/>
      </c>
      <c r="AF2491">
        <f>IF($B2491=0,0,IF(Inputs!$B$8="",0,COUNTIFS(Data!$I$10:$I$3209,"&gt;="&amp;$A2491,Data!$I$10:$I$3209,"&lt;"&amp;$A2491+1)))</f>
        <v/>
      </c>
      <c r="AG2491">
        <f>IF($B2491=0,0,IF(Inputs!$B$9="",0,COUNTIFS(Data!$M$10:$M$3209,"&gt;="&amp;$A2491,Data!$M$10:$M$3209,"&lt;"&amp;$A2491+1)))</f>
        <v/>
      </c>
      <c r="AH2491">
        <f>IF($B2491=0,0,IF(Inputs!$B$10="",0,COUNTIFS(Data!$Q$10:$Q$3209,"&gt;="&amp;$A2491,Data!$Q$10:$Q$3209,"&lt;"&amp;$A2491+1)))</f>
        <v/>
      </c>
    </row>
    <row r="2492">
      <c r="A2492" s="55">
        <f>MIN(Inputs!$C$15,$A2491+IF(WEEKDAY($A2491,2)=5,3,1))</f>
        <v/>
      </c>
      <c r="B2492">
        <f>IF($A2492&gt;$A2491,1,0)</f>
        <v/>
      </c>
      <c r="C2492" s="56">
        <f>IF($B2492=0,"",IF(Inputs!$B$6="","",IF($AD2492=0,C2491,SUMIFS(Data!$B$10:$B$3209,Data!$A$10:$A$3209,"&gt;="&amp;$A2492,Data!$A$10:$A$3209,"&lt;"&amp;$A2492+1)/$AD2492)))</f>
        <v/>
      </c>
      <c r="D2492" s="56">
        <f>IF($B2492=0,"",IF(Inputs!$B$7="","",IF($AE2492=0,D2491,SUMIFS(Data!$F$10:$F$3209,Data!$E$10:$E$3209,"&gt;="&amp;$A2492,Data!$E$10:$E$3209,"&lt;"&amp;$A2492+1)/$AE2492)))</f>
        <v/>
      </c>
      <c r="E2492" s="56">
        <f>IF($B2492=0,"",IF(Inputs!$B$8="","",IF($AF2492=0,E2491,SUMIFS(Data!$J$10:$J$3209,Data!$I$10:$I$3209,"&gt;="&amp;$A2492,Data!$I$10:$I$3209,"&lt;"&amp;$A2492+1)/$AF2492)))</f>
        <v/>
      </c>
      <c r="F2492" s="56">
        <f>IF($B2492=0,"",IF(Inputs!$B$9="","",IF($AG2492=0,F2491,SUMIFS(Data!$N$10:$N$3209,Data!$M$10:$M$3209,"&gt;="&amp;$A2492,Data!$M$10:$M$3209,"&lt;"&amp;$A2492+1)/$AG2492)))</f>
        <v/>
      </c>
      <c r="G2492" s="56">
        <f>IF($B2492=0,"",IF(Inputs!$B$10="","",IF($AH2492=0,G2491,SUMIFS(Data!$R$10:$R$3209,Data!$Q$10:$Q$3209,"&gt;="&amp;$A2492,Data!$Q$10:$Q$3209,"&lt;"&amp;$A2492+1)/$AH2492)))</f>
        <v/>
      </c>
      <c r="I2492" s="54">
        <f>IF($B2492=0,NA(),IF($C2492="",NA(),IF(C$8="",NA(),IF(N(C$8)=0,NA(),IF(Inputs!$C$17="Rebased to 100",$C2492/C$8*100,$C2492)))))</f>
        <v/>
      </c>
      <c r="J2492" s="54">
        <f>IF($B2492=0,NA(),IF($D2492="",NA(),IF(D$8="",NA(),IF(N(D$8)=0,NA(),IF(Inputs!$C$17="Rebased to 100",$D2492/D$8*100,$D2492)))))</f>
        <v/>
      </c>
      <c r="K2492" s="54">
        <f>IF($B2492=0,NA(),IF($E2492="",NA(),IF(E$8="",NA(),IF(N(E$8)=0,NA(),IF(Inputs!$C$17="Rebased to 100",$E2492/E$8*100,$E2492)))))</f>
        <v/>
      </c>
      <c r="L2492" s="54">
        <f>IF($B2492=0,NA(),IF($F2492="",NA(),IF(F$8="",NA(),IF(N(F$8)=0,NA(),IF(Inputs!$C$17="Rebased to 100",$F2492/F$8*100,$F2492)))))</f>
        <v/>
      </c>
      <c r="M2492" s="54">
        <f>IF($B2492=0,NA(),IF($G2492="",NA(),IF(G$8="",NA(),IF(N(G$8)=0,NA(),IF(Inputs!$C$17="Rebased to 100",$G2492/G$8*100,$G2492)))))</f>
        <v/>
      </c>
      <c r="N2492" s="54">
        <f>IF($B2492=0,NA(),IF(Inputs!$C$18&lt;&gt;"Yes",NA(),IF(COUNT(I2492,J2492,K2492,L2492,M2492)=0,NA(),MIN(I2492,J2492,K2492,L2492,M2492))))</f>
        <v/>
      </c>
      <c r="O2492" s="54">
        <f>IF($B2492=0,NA(),IF(Inputs!$B$24&lt;&gt;"Yes",NA(),Inputs!$D$24*Inputs!$C$35))</f>
        <v/>
      </c>
      <c r="P2492" s="54">
        <f>IF($B2492=0,NA(),IF(Inputs!$B$25&lt;&gt;"Yes",NA(),Inputs!$D$25*Inputs!$C$35))</f>
        <v/>
      </c>
      <c r="Q2492" s="54">
        <f>IF($B2492=0,NA(),IF(Inputs!$B$26&lt;&gt;"Yes",NA(),Inputs!$D$26*Inputs!$C$35))</f>
        <v/>
      </c>
      <c r="R2492" s="54">
        <f>IF($B2492=0,NA(),IF(Inputs!$B$27&lt;&gt;"Yes",NA(),Inputs!$D$27*Inputs!$C$35))</f>
        <v/>
      </c>
      <c r="S2492" s="54">
        <f>IF($B2492=0,NA(),IF(Inputs!$B$28&lt;&gt;"Yes",NA(),Inputs!$D$28*Inputs!$C$35))</f>
        <v/>
      </c>
      <c r="T2492" s="54">
        <f>IF($B2492=0,NA(),IF(Inputs!$B$29&lt;&gt;"Yes",NA(),Inputs!$D$29*Inputs!$C$35))</f>
        <v/>
      </c>
      <c r="AD2492">
        <f>IF($B2492=0,0,IF(Inputs!$B$6="",0,COUNTIFS(Data!$A$10:$A$3209,"&gt;="&amp;$A2492,Data!$A$10:$A$3209,"&lt;"&amp;$A2492+1)))</f>
        <v/>
      </c>
      <c r="AE2492">
        <f>IF($B2492=0,0,IF(Inputs!$B$7="",0,COUNTIFS(Data!$E$10:$E$3209,"&gt;="&amp;$A2492,Data!$E$10:$E$3209,"&lt;"&amp;$A2492+1)))</f>
        <v/>
      </c>
      <c r="AF2492">
        <f>IF($B2492=0,0,IF(Inputs!$B$8="",0,COUNTIFS(Data!$I$10:$I$3209,"&gt;="&amp;$A2492,Data!$I$10:$I$3209,"&lt;"&amp;$A2492+1)))</f>
        <v/>
      </c>
      <c r="AG2492">
        <f>IF($B2492=0,0,IF(Inputs!$B$9="",0,COUNTIFS(Data!$M$10:$M$3209,"&gt;="&amp;$A2492,Data!$M$10:$M$3209,"&lt;"&amp;$A2492+1)))</f>
        <v/>
      </c>
      <c r="AH2492">
        <f>IF($B2492=0,0,IF(Inputs!$B$10="",0,COUNTIFS(Data!$Q$10:$Q$3209,"&gt;="&amp;$A2492,Data!$Q$10:$Q$3209,"&lt;"&amp;$A2492+1)))</f>
        <v/>
      </c>
    </row>
    <row r="2493">
      <c r="A2493" s="55">
        <f>MIN(Inputs!$C$15,$A2492+IF(WEEKDAY($A2492,2)=5,3,1))</f>
        <v/>
      </c>
      <c r="B2493">
        <f>IF($A2493&gt;$A2492,1,0)</f>
        <v/>
      </c>
      <c r="C2493" s="56">
        <f>IF($B2493=0,"",IF(Inputs!$B$6="","",IF($AD2493=0,C2492,SUMIFS(Data!$B$10:$B$3209,Data!$A$10:$A$3209,"&gt;="&amp;$A2493,Data!$A$10:$A$3209,"&lt;"&amp;$A2493+1)/$AD2493)))</f>
        <v/>
      </c>
      <c r="D2493" s="56">
        <f>IF($B2493=0,"",IF(Inputs!$B$7="","",IF($AE2493=0,D2492,SUMIFS(Data!$F$10:$F$3209,Data!$E$10:$E$3209,"&gt;="&amp;$A2493,Data!$E$10:$E$3209,"&lt;"&amp;$A2493+1)/$AE2493)))</f>
        <v/>
      </c>
      <c r="E2493" s="56">
        <f>IF($B2493=0,"",IF(Inputs!$B$8="","",IF($AF2493=0,E2492,SUMIFS(Data!$J$10:$J$3209,Data!$I$10:$I$3209,"&gt;="&amp;$A2493,Data!$I$10:$I$3209,"&lt;"&amp;$A2493+1)/$AF2493)))</f>
        <v/>
      </c>
      <c r="F2493" s="56">
        <f>IF($B2493=0,"",IF(Inputs!$B$9="","",IF($AG2493=0,F2492,SUMIFS(Data!$N$10:$N$3209,Data!$M$10:$M$3209,"&gt;="&amp;$A2493,Data!$M$10:$M$3209,"&lt;"&amp;$A2493+1)/$AG2493)))</f>
        <v/>
      </c>
      <c r="G2493" s="56">
        <f>IF($B2493=0,"",IF(Inputs!$B$10="","",IF($AH2493=0,G2492,SUMIFS(Data!$R$10:$R$3209,Data!$Q$10:$Q$3209,"&gt;="&amp;$A2493,Data!$Q$10:$Q$3209,"&lt;"&amp;$A2493+1)/$AH2493)))</f>
        <v/>
      </c>
      <c r="I2493" s="54">
        <f>IF($B2493=0,NA(),IF($C2493="",NA(),IF(C$8="",NA(),IF(N(C$8)=0,NA(),IF(Inputs!$C$17="Rebased to 100",$C2493/C$8*100,$C2493)))))</f>
        <v/>
      </c>
      <c r="J2493" s="54">
        <f>IF($B2493=0,NA(),IF($D2493="",NA(),IF(D$8="",NA(),IF(N(D$8)=0,NA(),IF(Inputs!$C$17="Rebased to 100",$D2493/D$8*100,$D2493)))))</f>
        <v/>
      </c>
      <c r="K2493" s="54">
        <f>IF($B2493=0,NA(),IF($E2493="",NA(),IF(E$8="",NA(),IF(N(E$8)=0,NA(),IF(Inputs!$C$17="Rebased to 100",$E2493/E$8*100,$E2493)))))</f>
        <v/>
      </c>
      <c r="L2493" s="54">
        <f>IF($B2493=0,NA(),IF($F2493="",NA(),IF(F$8="",NA(),IF(N(F$8)=0,NA(),IF(Inputs!$C$17="Rebased to 100",$F2493/F$8*100,$F2493)))))</f>
        <v/>
      </c>
      <c r="M2493" s="54">
        <f>IF($B2493=0,NA(),IF($G2493="",NA(),IF(G$8="",NA(),IF(N(G$8)=0,NA(),IF(Inputs!$C$17="Rebased to 100",$G2493/G$8*100,$G2493)))))</f>
        <v/>
      </c>
      <c r="N2493" s="54">
        <f>IF($B2493=0,NA(),IF(Inputs!$C$18&lt;&gt;"Yes",NA(),IF(COUNT(I2493,J2493,K2493,L2493,M2493)=0,NA(),MIN(I2493,J2493,K2493,L2493,M2493))))</f>
        <v/>
      </c>
      <c r="O2493" s="54">
        <f>IF($B2493=0,NA(),IF(Inputs!$B$24&lt;&gt;"Yes",NA(),Inputs!$D$24*Inputs!$C$35))</f>
        <v/>
      </c>
      <c r="P2493" s="54">
        <f>IF($B2493=0,NA(),IF(Inputs!$B$25&lt;&gt;"Yes",NA(),Inputs!$D$25*Inputs!$C$35))</f>
        <v/>
      </c>
      <c r="Q2493" s="54">
        <f>IF($B2493=0,NA(),IF(Inputs!$B$26&lt;&gt;"Yes",NA(),Inputs!$D$26*Inputs!$C$35))</f>
        <v/>
      </c>
      <c r="R2493" s="54">
        <f>IF($B2493=0,NA(),IF(Inputs!$B$27&lt;&gt;"Yes",NA(),Inputs!$D$27*Inputs!$C$35))</f>
        <v/>
      </c>
      <c r="S2493" s="54">
        <f>IF($B2493=0,NA(),IF(Inputs!$B$28&lt;&gt;"Yes",NA(),Inputs!$D$28*Inputs!$C$35))</f>
        <v/>
      </c>
      <c r="T2493" s="54">
        <f>IF($B2493=0,NA(),IF(Inputs!$B$29&lt;&gt;"Yes",NA(),Inputs!$D$29*Inputs!$C$35))</f>
        <v/>
      </c>
      <c r="AD2493">
        <f>IF($B2493=0,0,IF(Inputs!$B$6="",0,COUNTIFS(Data!$A$10:$A$3209,"&gt;="&amp;$A2493,Data!$A$10:$A$3209,"&lt;"&amp;$A2493+1)))</f>
        <v/>
      </c>
      <c r="AE2493">
        <f>IF($B2493=0,0,IF(Inputs!$B$7="",0,COUNTIFS(Data!$E$10:$E$3209,"&gt;="&amp;$A2493,Data!$E$10:$E$3209,"&lt;"&amp;$A2493+1)))</f>
        <v/>
      </c>
      <c r="AF2493">
        <f>IF($B2493=0,0,IF(Inputs!$B$8="",0,COUNTIFS(Data!$I$10:$I$3209,"&gt;="&amp;$A2493,Data!$I$10:$I$3209,"&lt;"&amp;$A2493+1)))</f>
        <v/>
      </c>
      <c r="AG2493">
        <f>IF($B2493=0,0,IF(Inputs!$B$9="",0,COUNTIFS(Data!$M$10:$M$3209,"&gt;="&amp;$A2493,Data!$M$10:$M$3209,"&lt;"&amp;$A2493+1)))</f>
        <v/>
      </c>
      <c r="AH2493">
        <f>IF($B2493=0,0,IF(Inputs!$B$10="",0,COUNTIFS(Data!$Q$10:$Q$3209,"&gt;="&amp;$A2493,Data!$Q$10:$Q$3209,"&lt;"&amp;$A2493+1)))</f>
        <v/>
      </c>
    </row>
    <row r="2494">
      <c r="A2494" s="55">
        <f>MIN(Inputs!$C$15,$A2493+IF(WEEKDAY($A2493,2)=5,3,1))</f>
        <v/>
      </c>
      <c r="B2494">
        <f>IF($A2494&gt;$A2493,1,0)</f>
        <v/>
      </c>
      <c r="C2494" s="56">
        <f>IF($B2494=0,"",IF(Inputs!$B$6="","",IF($AD2494=0,C2493,SUMIFS(Data!$B$10:$B$3209,Data!$A$10:$A$3209,"&gt;="&amp;$A2494,Data!$A$10:$A$3209,"&lt;"&amp;$A2494+1)/$AD2494)))</f>
        <v/>
      </c>
      <c r="D2494" s="56">
        <f>IF($B2494=0,"",IF(Inputs!$B$7="","",IF($AE2494=0,D2493,SUMIFS(Data!$F$10:$F$3209,Data!$E$10:$E$3209,"&gt;="&amp;$A2494,Data!$E$10:$E$3209,"&lt;"&amp;$A2494+1)/$AE2494)))</f>
        <v/>
      </c>
      <c r="E2494" s="56">
        <f>IF($B2494=0,"",IF(Inputs!$B$8="","",IF($AF2494=0,E2493,SUMIFS(Data!$J$10:$J$3209,Data!$I$10:$I$3209,"&gt;="&amp;$A2494,Data!$I$10:$I$3209,"&lt;"&amp;$A2494+1)/$AF2494)))</f>
        <v/>
      </c>
      <c r="F2494" s="56">
        <f>IF($B2494=0,"",IF(Inputs!$B$9="","",IF($AG2494=0,F2493,SUMIFS(Data!$N$10:$N$3209,Data!$M$10:$M$3209,"&gt;="&amp;$A2494,Data!$M$10:$M$3209,"&lt;"&amp;$A2494+1)/$AG2494)))</f>
        <v/>
      </c>
      <c r="G2494" s="56">
        <f>IF($B2494=0,"",IF(Inputs!$B$10="","",IF($AH2494=0,G2493,SUMIFS(Data!$R$10:$R$3209,Data!$Q$10:$Q$3209,"&gt;="&amp;$A2494,Data!$Q$10:$Q$3209,"&lt;"&amp;$A2494+1)/$AH2494)))</f>
        <v/>
      </c>
      <c r="I2494" s="54">
        <f>IF($B2494=0,NA(),IF($C2494="",NA(),IF(C$8="",NA(),IF(N(C$8)=0,NA(),IF(Inputs!$C$17="Rebased to 100",$C2494/C$8*100,$C2494)))))</f>
        <v/>
      </c>
      <c r="J2494" s="54">
        <f>IF($B2494=0,NA(),IF($D2494="",NA(),IF(D$8="",NA(),IF(N(D$8)=0,NA(),IF(Inputs!$C$17="Rebased to 100",$D2494/D$8*100,$D2494)))))</f>
        <v/>
      </c>
      <c r="K2494" s="54">
        <f>IF($B2494=0,NA(),IF($E2494="",NA(),IF(E$8="",NA(),IF(N(E$8)=0,NA(),IF(Inputs!$C$17="Rebased to 100",$E2494/E$8*100,$E2494)))))</f>
        <v/>
      </c>
      <c r="L2494" s="54">
        <f>IF($B2494=0,NA(),IF($F2494="",NA(),IF(F$8="",NA(),IF(N(F$8)=0,NA(),IF(Inputs!$C$17="Rebased to 100",$F2494/F$8*100,$F2494)))))</f>
        <v/>
      </c>
      <c r="M2494" s="54">
        <f>IF($B2494=0,NA(),IF($G2494="",NA(),IF(G$8="",NA(),IF(N(G$8)=0,NA(),IF(Inputs!$C$17="Rebased to 100",$G2494/G$8*100,$G2494)))))</f>
        <v/>
      </c>
      <c r="N2494" s="54">
        <f>IF($B2494=0,NA(),IF(Inputs!$C$18&lt;&gt;"Yes",NA(),IF(COUNT(I2494,J2494,K2494,L2494,M2494)=0,NA(),MIN(I2494,J2494,K2494,L2494,M2494))))</f>
        <v/>
      </c>
      <c r="O2494" s="54">
        <f>IF($B2494=0,NA(),IF(Inputs!$B$24&lt;&gt;"Yes",NA(),Inputs!$D$24*Inputs!$C$35))</f>
        <v/>
      </c>
      <c r="P2494" s="54">
        <f>IF($B2494=0,NA(),IF(Inputs!$B$25&lt;&gt;"Yes",NA(),Inputs!$D$25*Inputs!$C$35))</f>
        <v/>
      </c>
      <c r="Q2494" s="54">
        <f>IF($B2494=0,NA(),IF(Inputs!$B$26&lt;&gt;"Yes",NA(),Inputs!$D$26*Inputs!$C$35))</f>
        <v/>
      </c>
      <c r="R2494" s="54">
        <f>IF($B2494=0,NA(),IF(Inputs!$B$27&lt;&gt;"Yes",NA(),Inputs!$D$27*Inputs!$C$35))</f>
        <v/>
      </c>
      <c r="S2494" s="54">
        <f>IF($B2494=0,NA(),IF(Inputs!$B$28&lt;&gt;"Yes",NA(),Inputs!$D$28*Inputs!$C$35))</f>
        <v/>
      </c>
      <c r="T2494" s="54">
        <f>IF($B2494=0,NA(),IF(Inputs!$B$29&lt;&gt;"Yes",NA(),Inputs!$D$29*Inputs!$C$35))</f>
        <v/>
      </c>
      <c r="AD2494">
        <f>IF($B2494=0,0,IF(Inputs!$B$6="",0,COUNTIFS(Data!$A$10:$A$3209,"&gt;="&amp;$A2494,Data!$A$10:$A$3209,"&lt;"&amp;$A2494+1)))</f>
        <v/>
      </c>
      <c r="AE2494">
        <f>IF($B2494=0,0,IF(Inputs!$B$7="",0,COUNTIFS(Data!$E$10:$E$3209,"&gt;="&amp;$A2494,Data!$E$10:$E$3209,"&lt;"&amp;$A2494+1)))</f>
        <v/>
      </c>
      <c r="AF2494">
        <f>IF($B2494=0,0,IF(Inputs!$B$8="",0,COUNTIFS(Data!$I$10:$I$3209,"&gt;="&amp;$A2494,Data!$I$10:$I$3209,"&lt;"&amp;$A2494+1)))</f>
        <v/>
      </c>
      <c r="AG2494">
        <f>IF($B2494=0,0,IF(Inputs!$B$9="",0,COUNTIFS(Data!$M$10:$M$3209,"&gt;="&amp;$A2494,Data!$M$10:$M$3209,"&lt;"&amp;$A2494+1)))</f>
        <v/>
      </c>
      <c r="AH2494">
        <f>IF($B2494=0,0,IF(Inputs!$B$10="",0,COUNTIFS(Data!$Q$10:$Q$3209,"&gt;="&amp;$A2494,Data!$Q$10:$Q$3209,"&lt;"&amp;$A2494+1)))</f>
        <v/>
      </c>
    </row>
    <row r="2495">
      <c r="A2495" s="55">
        <f>MIN(Inputs!$C$15,$A2494+IF(WEEKDAY($A2494,2)=5,3,1))</f>
        <v/>
      </c>
      <c r="B2495">
        <f>IF($A2495&gt;$A2494,1,0)</f>
        <v/>
      </c>
      <c r="C2495" s="56">
        <f>IF($B2495=0,"",IF(Inputs!$B$6="","",IF($AD2495=0,C2494,SUMIFS(Data!$B$10:$B$3209,Data!$A$10:$A$3209,"&gt;="&amp;$A2495,Data!$A$10:$A$3209,"&lt;"&amp;$A2495+1)/$AD2495)))</f>
        <v/>
      </c>
      <c r="D2495" s="56">
        <f>IF($B2495=0,"",IF(Inputs!$B$7="","",IF($AE2495=0,D2494,SUMIFS(Data!$F$10:$F$3209,Data!$E$10:$E$3209,"&gt;="&amp;$A2495,Data!$E$10:$E$3209,"&lt;"&amp;$A2495+1)/$AE2495)))</f>
        <v/>
      </c>
      <c r="E2495" s="56">
        <f>IF($B2495=0,"",IF(Inputs!$B$8="","",IF($AF2495=0,E2494,SUMIFS(Data!$J$10:$J$3209,Data!$I$10:$I$3209,"&gt;="&amp;$A2495,Data!$I$10:$I$3209,"&lt;"&amp;$A2495+1)/$AF2495)))</f>
        <v/>
      </c>
      <c r="F2495" s="56">
        <f>IF($B2495=0,"",IF(Inputs!$B$9="","",IF($AG2495=0,F2494,SUMIFS(Data!$N$10:$N$3209,Data!$M$10:$M$3209,"&gt;="&amp;$A2495,Data!$M$10:$M$3209,"&lt;"&amp;$A2495+1)/$AG2495)))</f>
        <v/>
      </c>
      <c r="G2495" s="56">
        <f>IF($B2495=0,"",IF(Inputs!$B$10="","",IF($AH2495=0,G2494,SUMIFS(Data!$R$10:$R$3209,Data!$Q$10:$Q$3209,"&gt;="&amp;$A2495,Data!$Q$10:$Q$3209,"&lt;"&amp;$A2495+1)/$AH2495)))</f>
        <v/>
      </c>
      <c r="I2495" s="54">
        <f>IF($B2495=0,NA(),IF($C2495="",NA(),IF(C$8="",NA(),IF(N(C$8)=0,NA(),IF(Inputs!$C$17="Rebased to 100",$C2495/C$8*100,$C2495)))))</f>
        <v/>
      </c>
      <c r="J2495" s="54">
        <f>IF($B2495=0,NA(),IF($D2495="",NA(),IF(D$8="",NA(),IF(N(D$8)=0,NA(),IF(Inputs!$C$17="Rebased to 100",$D2495/D$8*100,$D2495)))))</f>
        <v/>
      </c>
      <c r="K2495" s="54">
        <f>IF($B2495=0,NA(),IF($E2495="",NA(),IF(E$8="",NA(),IF(N(E$8)=0,NA(),IF(Inputs!$C$17="Rebased to 100",$E2495/E$8*100,$E2495)))))</f>
        <v/>
      </c>
      <c r="L2495" s="54">
        <f>IF($B2495=0,NA(),IF($F2495="",NA(),IF(F$8="",NA(),IF(N(F$8)=0,NA(),IF(Inputs!$C$17="Rebased to 100",$F2495/F$8*100,$F2495)))))</f>
        <v/>
      </c>
      <c r="M2495" s="54">
        <f>IF($B2495=0,NA(),IF($G2495="",NA(),IF(G$8="",NA(),IF(N(G$8)=0,NA(),IF(Inputs!$C$17="Rebased to 100",$G2495/G$8*100,$G2495)))))</f>
        <v/>
      </c>
      <c r="N2495" s="54">
        <f>IF($B2495=0,NA(),IF(Inputs!$C$18&lt;&gt;"Yes",NA(),IF(COUNT(I2495,J2495,K2495,L2495,M2495)=0,NA(),MIN(I2495,J2495,K2495,L2495,M2495))))</f>
        <v/>
      </c>
      <c r="O2495" s="54">
        <f>IF($B2495=0,NA(),IF(Inputs!$B$24&lt;&gt;"Yes",NA(),Inputs!$D$24*Inputs!$C$35))</f>
        <v/>
      </c>
      <c r="P2495" s="54">
        <f>IF($B2495=0,NA(),IF(Inputs!$B$25&lt;&gt;"Yes",NA(),Inputs!$D$25*Inputs!$C$35))</f>
        <v/>
      </c>
      <c r="Q2495" s="54">
        <f>IF($B2495=0,NA(),IF(Inputs!$B$26&lt;&gt;"Yes",NA(),Inputs!$D$26*Inputs!$C$35))</f>
        <v/>
      </c>
      <c r="R2495" s="54">
        <f>IF($B2495=0,NA(),IF(Inputs!$B$27&lt;&gt;"Yes",NA(),Inputs!$D$27*Inputs!$C$35))</f>
        <v/>
      </c>
      <c r="S2495" s="54">
        <f>IF($B2495=0,NA(),IF(Inputs!$B$28&lt;&gt;"Yes",NA(),Inputs!$D$28*Inputs!$C$35))</f>
        <v/>
      </c>
      <c r="T2495" s="54">
        <f>IF($B2495=0,NA(),IF(Inputs!$B$29&lt;&gt;"Yes",NA(),Inputs!$D$29*Inputs!$C$35))</f>
        <v/>
      </c>
      <c r="AD2495">
        <f>IF($B2495=0,0,IF(Inputs!$B$6="",0,COUNTIFS(Data!$A$10:$A$3209,"&gt;="&amp;$A2495,Data!$A$10:$A$3209,"&lt;"&amp;$A2495+1)))</f>
        <v/>
      </c>
      <c r="AE2495">
        <f>IF($B2495=0,0,IF(Inputs!$B$7="",0,COUNTIFS(Data!$E$10:$E$3209,"&gt;="&amp;$A2495,Data!$E$10:$E$3209,"&lt;"&amp;$A2495+1)))</f>
        <v/>
      </c>
      <c r="AF2495">
        <f>IF($B2495=0,0,IF(Inputs!$B$8="",0,COUNTIFS(Data!$I$10:$I$3209,"&gt;="&amp;$A2495,Data!$I$10:$I$3209,"&lt;"&amp;$A2495+1)))</f>
        <v/>
      </c>
      <c r="AG2495">
        <f>IF($B2495=0,0,IF(Inputs!$B$9="",0,COUNTIFS(Data!$M$10:$M$3209,"&gt;="&amp;$A2495,Data!$M$10:$M$3209,"&lt;"&amp;$A2495+1)))</f>
        <v/>
      </c>
      <c r="AH2495">
        <f>IF($B2495=0,0,IF(Inputs!$B$10="",0,COUNTIFS(Data!$Q$10:$Q$3209,"&gt;="&amp;$A2495,Data!$Q$10:$Q$3209,"&lt;"&amp;$A2495+1)))</f>
        <v/>
      </c>
    </row>
    <row r="2496">
      <c r="A2496" s="55">
        <f>MIN(Inputs!$C$15,$A2495+IF(WEEKDAY($A2495,2)=5,3,1))</f>
        <v/>
      </c>
      <c r="B2496">
        <f>IF($A2496&gt;$A2495,1,0)</f>
        <v/>
      </c>
      <c r="C2496" s="56">
        <f>IF($B2496=0,"",IF(Inputs!$B$6="","",IF($AD2496=0,C2495,SUMIFS(Data!$B$10:$B$3209,Data!$A$10:$A$3209,"&gt;="&amp;$A2496,Data!$A$10:$A$3209,"&lt;"&amp;$A2496+1)/$AD2496)))</f>
        <v/>
      </c>
      <c r="D2496" s="56">
        <f>IF($B2496=0,"",IF(Inputs!$B$7="","",IF($AE2496=0,D2495,SUMIFS(Data!$F$10:$F$3209,Data!$E$10:$E$3209,"&gt;="&amp;$A2496,Data!$E$10:$E$3209,"&lt;"&amp;$A2496+1)/$AE2496)))</f>
        <v/>
      </c>
      <c r="E2496" s="56">
        <f>IF($B2496=0,"",IF(Inputs!$B$8="","",IF($AF2496=0,E2495,SUMIFS(Data!$J$10:$J$3209,Data!$I$10:$I$3209,"&gt;="&amp;$A2496,Data!$I$10:$I$3209,"&lt;"&amp;$A2496+1)/$AF2496)))</f>
        <v/>
      </c>
      <c r="F2496" s="56">
        <f>IF($B2496=0,"",IF(Inputs!$B$9="","",IF($AG2496=0,F2495,SUMIFS(Data!$N$10:$N$3209,Data!$M$10:$M$3209,"&gt;="&amp;$A2496,Data!$M$10:$M$3209,"&lt;"&amp;$A2496+1)/$AG2496)))</f>
        <v/>
      </c>
      <c r="G2496" s="56">
        <f>IF($B2496=0,"",IF(Inputs!$B$10="","",IF($AH2496=0,G2495,SUMIFS(Data!$R$10:$R$3209,Data!$Q$10:$Q$3209,"&gt;="&amp;$A2496,Data!$Q$10:$Q$3209,"&lt;"&amp;$A2496+1)/$AH2496)))</f>
        <v/>
      </c>
      <c r="I2496" s="54">
        <f>IF($B2496=0,NA(),IF($C2496="",NA(),IF(C$8="",NA(),IF(N(C$8)=0,NA(),IF(Inputs!$C$17="Rebased to 100",$C2496/C$8*100,$C2496)))))</f>
        <v/>
      </c>
      <c r="J2496" s="54">
        <f>IF($B2496=0,NA(),IF($D2496="",NA(),IF(D$8="",NA(),IF(N(D$8)=0,NA(),IF(Inputs!$C$17="Rebased to 100",$D2496/D$8*100,$D2496)))))</f>
        <v/>
      </c>
      <c r="K2496" s="54">
        <f>IF($B2496=0,NA(),IF($E2496="",NA(),IF(E$8="",NA(),IF(N(E$8)=0,NA(),IF(Inputs!$C$17="Rebased to 100",$E2496/E$8*100,$E2496)))))</f>
        <v/>
      </c>
      <c r="L2496" s="54">
        <f>IF($B2496=0,NA(),IF($F2496="",NA(),IF(F$8="",NA(),IF(N(F$8)=0,NA(),IF(Inputs!$C$17="Rebased to 100",$F2496/F$8*100,$F2496)))))</f>
        <v/>
      </c>
      <c r="M2496" s="54">
        <f>IF($B2496=0,NA(),IF($G2496="",NA(),IF(G$8="",NA(),IF(N(G$8)=0,NA(),IF(Inputs!$C$17="Rebased to 100",$G2496/G$8*100,$G2496)))))</f>
        <v/>
      </c>
      <c r="N2496" s="54">
        <f>IF($B2496=0,NA(),IF(Inputs!$C$18&lt;&gt;"Yes",NA(),IF(COUNT(I2496,J2496,K2496,L2496,M2496)=0,NA(),MIN(I2496,J2496,K2496,L2496,M2496))))</f>
        <v/>
      </c>
      <c r="O2496" s="54">
        <f>IF($B2496=0,NA(),IF(Inputs!$B$24&lt;&gt;"Yes",NA(),Inputs!$D$24*Inputs!$C$35))</f>
        <v/>
      </c>
      <c r="P2496" s="54">
        <f>IF($B2496=0,NA(),IF(Inputs!$B$25&lt;&gt;"Yes",NA(),Inputs!$D$25*Inputs!$C$35))</f>
        <v/>
      </c>
      <c r="Q2496" s="54">
        <f>IF($B2496=0,NA(),IF(Inputs!$B$26&lt;&gt;"Yes",NA(),Inputs!$D$26*Inputs!$C$35))</f>
        <v/>
      </c>
      <c r="R2496" s="54">
        <f>IF($B2496=0,NA(),IF(Inputs!$B$27&lt;&gt;"Yes",NA(),Inputs!$D$27*Inputs!$C$35))</f>
        <v/>
      </c>
      <c r="S2496" s="54">
        <f>IF($B2496=0,NA(),IF(Inputs!$B$28&lt;&gt;"Yes",NA(),Inputs!$D$28*Inputs!$C$35))</f>
        <v/>
      </c>
      <c r="T2496" s="54">
        <f>IF($B2496=0,NA(),IF(Inputs!$B$29&lt;&gt;"Yes",NA(),Inputs!$D$29*Inputs!$C$35))</f>
        <v/>
      </c>
      <c r="AD2496">
        <f>IF($B2496=0,0,IF(Inputs!$B$6="",0,COUNTIFS(Data!$A$10:$A$3209,"&gt;="&amp;$A2496,Data!$A$10:$A$3209,"&lt;"&amp;$A2496+1)))</f>
        <v/>
      </c>
      <c r="AE2496">
        <f>IF($B2496=0,0,IF(Inputs!$B$7="",0,COUNTIFS(Data!$E$10:$E$3209,"&gt;="&amp;$A2496,Data!$E$10:$E$3209,"&lt;"&amp;$A2496+1)))</f>
        <v/>
      </c>
      <c r="AF2496">
        <f>IF($B2496=0,0,IF(Inputs!$B$8="",0,COUNTIFS(Data!$I$10:$I$3209,"&gt;="&amp;$A2496,Data!$I$10:$I$3209,"&lt;"&amp;$A2496+1)))</f>
        <v/>
      </c>
      <c r="AG2496">
        <f>IF($B2496=0,0,IF(Inputs!$B$9="",0,COUNTIFS(Data!$M$10:$M$3209,"&gt;="&amp;$A2496,Data!$M$10:$M$3209,"&lt;"&amp;$A2496+1)))</f>
        <v/>
      </c>
      <c r="AH2496">
        <f>IF($B2496=0,0,IF(Inputs!$B$10="",0,COUNTIFS(Data!$Q$10:$Q$3209,"&gt;="&amp;$A2496,Data!$Q$10:$Q$3209,"&lt;"&amp;$A2496+1)))</f>
        <v/>
      </c>
    </row>
    <row r="2497">
      <c r="A2497" s="55">
        <f>MIN(Inputs!$C$15,$A2496+IF(WEEKDAY($A2496,2)=5,3,1))</f>
        <v/>
      </c>
      <c r="B2497">
        <f>IF($A2497&gt;$A2496,1,0)</f>
        <v/>
      </c>
      <c r="C2497" s="56">
        <f>IF($B2497=0,"",IF(Inputs!$B$6="","",IF($AD2497=0,C2496,SUMIFS(Data!$B$10:$B$3209,Data!$A$10:$A$3209,"&gt;="&amp;$A2497,Data!$A$10:$A$3209,"&lt;"&amp;$A2497+1)/$AD2497)))</f>
        <v/>
      </c>
      <c r="D2497" s="56">
        <f>IF($B2497=0,"",IF(Inputs!$B$7="","",IF($AE2497=0,D2496,SUMIFS(Data!$F$10:$F$3209,Data!$E$10:$E$3209,"&gt;="&amp;$A2497,Data!$E$10:$E$3209,"&lt;"&amp;$A2497+1)/$AE2497)))</f>
        <v/>
      </c>
      <c r="E2497" s="56">
        <f>IF($B2497=0,"",IF(Inputs!$B$8="","",IF($AF2497=0,E2496,SUMIFS(Data!$J$10:$J$3209,Data!$I$10:$I$3209,"&gt;="&amp;$A2497,Data!$I$10:$I$3209,"&lt;"&amp;$A2497+1)/$AF2497)))</f>
        <v/>
      </c>
      <c r="F2497" s="56">
        <f>IF($B2497=0,"",IF(Inputs!$B$9="","",IF($AG2497=0,F2496,SUMIFS(Data!$N$10:$N$3209,Data!$M$10:$M$3209,"&gt;="&amp;$A2497,Data!$M$10:$M$3209,"&lt;"&amp;$A2497+1)/$AG2497)))</f>
        <v/>
      </c>
      <c r="G2497" s="56">
        <f>IF($B2497=0,"",IF(Inputs!$B$10="","",IF($AH2497=0,G2496,SUMIFS(Data!$R$10:$R$3209,Data!$Q$10:$Q$3209,"&gt;="&amp;$A2497,Data!$Q$10:$Q$3209,"&lt;"&amp;$A2497+1)/$AH2497)))</f>
        <v/>
      </c>
      <c r="I2497" s="54">
        <f>IF($B2497=0,NA(),IF($C2497="",NA(),IF(C$8="",NA(),IF(N(C$8)=0,NA(),IF(Inputs!$C$17="Rebased to 100",$C2497/C$8*100,$C2497)))))</f>
        <v/>
      </c>
      <c r="J2497" s="54">
        <f>IF($B2497=0,NA(),IF($D2497="",NA(),IF(D$8="",NA(),IF(N(D$8)=0,NA(),IF(Inputs!$C$17="Rebased to 100",$D2497/D$8*100,$D2497)))))</f>
        <v/>
      </c>
      <c r="K2497" s="54">
        <f>IF($B2497=0,NA(),IF($E2497="",NA(),IF(E$8="",NA(),IF(N(E$8)=0,NA(),IF(Inputs!$C$17="Rebased to 100",$E2497/E$8*100,$E2497)))))</f>
        <v/>
      </c>
      <c r="L2497" s="54">
        <f>IF($B2497=0,NA(),IF($F2497="",NA(),IF(F$8="",NA(),IF(N(F$8)=0,NA(),IF(Inputs!$C$17="Rebased to 100",$F2497/F$8*100,$F2497)))))</f>
        <v/>
      </c>
      <c r="M2497" s="54">
        <f>IF($B2497=0,NA(),IF($G2497="",NA(),IF(G$8="",NA(),IF(N(G$8)=0,NA(),IF(Inputs!$C$17="Rebased to 100",$G2497/G$8*100,$G2497)))))</f>
        <v/>
      </c>
      <c r="N2497" s="54">
        <f>IF($B2497=0,NA(),IF(Inputs!$C$18&lt;&gt;"Yes",NA(),IF(COUNT(I2497,J2497,K2497,L2497,M2497)=0,NA(),MIN(I2497,J2497,K2497,L2497,M2497))))</f>
        <v/>
      </c>
      <c r="O2497" s="54">
        <f>IF($B2497=0,NA(),IF(Inputs!$B$24&lt;&gt;"Yes",NA(),Inputs!$D$24*Inputs!$C$35))</f>
        <v/>
      </c>
      <c r="P2497" s="54">
        <f>IF($B2497=0,NA(),IF(Inputs!$B$25&lt;&gt;"Yes",NA(),Inputs!$D$25*Inputs!$C$35))</f>
        <v/>
      </c>
      <c r="Q2497" s="54">
        <f>IF($B2497=0,NA(),IF(Inputs!$B$26&lt;&gt;"Yes",NA(),Inputs!$D$26*Inputs!$C$35))</f>
        <v/>
      </c>
      <c r="R2497" s="54">
        <f>IF($B2497=0,NA(),IF(Inputs!$B$27&lt;&gt;"Yes",NA(),Inputs!$D$27*Inputs!$C$35))</f>
        <v/>
      </c>
      <c r="S2497" s="54">
        <f>IF($B2497=0,NA(),IF(Inputs!$B$28&lt;&gt;"Yes",NA(),Inputs!$D$28*Inputs!$C$35))</f>
        <v/>
      </c>
      <c r="T2497" s="54">
        <f>IF($B2497=0,NA(),IF(Inputs!$B$29&lt;&gt;"Yes",NA(),Inputs!$D$29*Inputs!$C$35))</f>
        <v/>
      </c>
      <c r="AD2497">
        <f>IF($B2497=0,0,IF(Inputs!$B$6="",0,COUNTIFS(Data!$A$10:$A$3209,"&gt;="&amp;$A2497,Data!$A$10:$A$3209,"&lt;"&amp;$A2497+1)))</f>
        <v/>
      </c>
      <c r="AE2497">
        <f>IF($B2497=0,0,IF(Inputs!$B$7="",0,COUNTIFS(Data!$E$10:$E$3209,"&gt;="&amp;$A2497,Data!$E$10:$E$3209,"&lt;"&amp;$A2497+1)))</f>
        <v/>
      </c>
      <c r="AF2497">
        <f>IF($B2497=0,0,IF(Inputs!$B$8="",0,COUNTIFS(Data!$I$10:$I$3209,"&gt;="&amp;$A2497,Data!$I$10:$I$3209,"&lt;"&amp;$A2497+1)))</f>
        <v/>
      </c>
      <c r="AG2497">
        <f>IF($B2497=0,0,IF(Inputs!$B$9="",0,COUNTIFS(Data!$M$10:$M$3209,"&gt;="&amp;$A2497,Data!$M$10:$M$3209,"&lt;"&amp;$A2497+1)))</f>
        <v/>
      </c>
      <c r="AH2497">
        <f>IF($B2497=0,0,IF(Inputs!$B$10="",0,COUNTIFS(Data!$Q$10:$Q$3209,"&gt;="&amp;$A2497,Data!$Q$10:$Q$3209,"&lt;"&amp;$A2497+1)))</f>
        <v/>
      </c>
    </row>
    <row r="2498">
      <c r="A2498" s="55">
        <f>MIN(Inputs!$C$15,$A2497+IF(WEEKDAY($A2497,2)=5,3,1))</f>
        <v/>
      </c>
      <c r="B2498">
        <f>IF($A2498&gt;$A2497,1,0)</f>
        <v/>
      </c>
      <c r="C2498" s="56">
        <f>IF($B2498=0,"",IF(Inputs!$B$6="","",IF($AD2498=0,C2497,SUMIFS(Data!$B$10:$B$3209,Data!$A$10:$A$3209,"&gt;="&amp;$A2498,Data!$A$10:$A$3209,"&lt;"&amp;$A2498+1)/$AD2498)))</f>
        <v/>
      </c>
      <c r="D2498" s="56">
        <f>IF($B2498=0,"",IF(Inputs!$B$7="","",IF($AE2498=0,D2497,SUMIFS(Data!$F$10:$F$3209,Data!$E$10:$E$3209,"&gt;="&amp;$A2498,Data!$E$10:$E$3209,"&lt;"&amp;$A2498+1)/$AE2498)))</f>
        <v/>
      </c>
      <c r="E2498" s="56">
        <f>IF($B2498=0,"",IF(Inputs!$B$8="","",IF($AF2498=0,E2497,SUMIFS(Data!$J$10:$J$3209,Data!$I$10:$I$3209,"&gt;="&amp;$A2498,Data!$I$10:$I$3209,"&lt;"&amp;$A2498+1)/$AF2498)))</f>
        <v/>
      </c>
      <c r="F2498" s="56">
        <f>IF($B2498=0,"",IF(Inputs!$B$9="","",IF($AG2498=0,F2497,SUMIFS(Data!$N$10:$N$3209,Data!$M$10:$M$3209,"&gt;="&amp;$A2498,Data!$M$10:$M$3209,"&lt;"&amp;$A2498+1)/$AG2498)))</f>
        <v/>
      </c>
      <c r="G2498" s="56">
        <f>IF($B2498=0,"",IF(Inputs!$B$10="","",IF($AH2498=0,G2497,SUMIFS(Data!$R$10:$R$3209,Data!$Q$10:$Q$3209,"&gt;="&amp;$A2498,Data!$Q$10:$Q$3209,"&lt;"&amp;$A2498+1)/$AH2498)))</f>
        <v/>
      </c>
      <c r="I2498" s="54">
        <f>IF($B2498=0,NA(),IF($C2498="",NA(),IF(C$8="",NA(),IF(N(C$8)=0,NA(),IF(Inputs!$C$17="Rebased to 100",$C2498/C$8*100,$C2498)))))</f>
        <v/>
      </c>
      <c r="J2498" s="54">
        <f>IF($B2498=0,NA(),IF($D2498="",NA(),IF(D$8="",NA(),IF(N(D$8)=0,NA(),IF(Inputs!$C$17="Rebased to 100",$D2498/D$8*100,$D2498)))))</f>
        <v/>
      </c>
      <c r="K2498" s="54">
        <f>IF($B2498=0,NA(),IF($E2498="",NA(),IF(E$8="",NA(),IF(N(E$8)=0,NA(),IF(Inputs!$C$17="Rebased to 100",$E2498/E$8*100,$E2498)))))</f>
        <v/>
      </c>
      <c r="L2498" s="54">
        <f>IF($B2498=0,NA(),IF($F2498="",NA(),IF(F$8="",NA(),IF(N(F$8)=0,NA(),IF(Inputs!$C$17="Rebased to 100",$F2498/F$8*100,$F2498)))))</f>
        <v/>
      </c>
      <c r="M2498" s="54">
        <f>IF($B2498=0,NA(),IF($G2498="",NA(),IF(G$8="",NA(),IF(N(G$8)=0,NA(),IF(Inputs!$C$17="Rebased to 100",$G2498/G$8*100,$G2498)))))</f>
        <v/>
      </c>
      <c r="N2498" s="54">
        <f>IF($B2498=0,NA(),IF(Inputs!$C$18&lt;&gt;"Yes",NA(),IF(COUNT(I2498,J2498,K2498,L2498,M2498)=0,NA(),MIN(I2498,J2498,K2498,L2498,M2498))))</f>
        <v/>
      </c>
      <c r="O2498" s="54">
        <f>IF($B2498=0,NA(),IF(Inputs!$B$24&lt;&gt;"Yes",NA(),Inputs!$D$24*Inputs!$C$35))</f>
        <v/>
      </c>
      <c r="P2498" s="54">
        <f>IF($B2498=0,NA(),IF(Inputs!$B$25&lt;&gt;"Yes",NA(),Inputs!$D$25*Inputs!$C$35))</f>
        <v/>
      </c>
      <c r="Q2498" s="54">
        <f>IF($B2498=0,NA(),IF(Inputs!$B$26&lt;&gt;"Yes",NA(),Inputs!$D$26*Inputs!$C$35))</f>
        <v/>
      </c>
      <c r="R2498" s="54">
        <f>IF($B2498=0,NA(),IF(Inputs!$B$27&lt;&gt;"Yes",NA(),Inputs!$D$27*Inputs!$C$35))</f>
        <v/>
      </c>
      <c r="S2498" s="54">
        <f>IF($B2498=0,NA(),IF(Inputs!$B$28&lt;&gt;"Yes",NA(),Inputs!$D$28*Inputs!$C$35))</f>
        <v/>
      </c>
      <c r="T2498" s="54">
        <f>IF($B2498=0,NA(),IF(Inputs!$B$29&lt;&gt;"Yes",NA(),Inputs!$D$29*Inputs!$C$35))</f>
        <v/>
      </c>
      <c r="AD2498">
        <f>IF($B2498=0,0,IF(Inputs!$B$6="",0,COUNTIFS(Data!$A$10:$A$3209,"&gt;="&amp;$A2498,Data!$A$10:$A$3209,"&lt;"&amp;$A2498+1)))</f>
        <v/>
      </c>
      <c r="AE2498">
        <f>IF($B2498=0,0,IF(Inputs!$B$7="",0,COUNTIFS(Data!$E$10:$E$3209,"&gt;="&amp;$A2498,Data!$E$10:$E$3209,"&lt;"&amp;$A2498+1)))</f>
        <v/>
      </c>
      <c r="AF2498">
        <f>IF($B2498=0,0,IF(Inputs!$B$8="",0,COUNTIFS(Data!$I$10:$I$3209,"&gt;="&amp;$A2498,Data!$I$10:$I$3209,"&lt;"&amp;$A2498+1)))</f>
        <v/>
      </c>
      <c r="AG2498">
        <f>IF($B2498=0,0,IF(Inputs!$B$9="",0,COUNTIFS(Data!$M$10:$M$3209,"&gt;="&amp;$A2498,Data!$M$10:$M$3209,"&lt;"&amp;$A2498+1)))</f>
        <v/>
      </c>
      <c r="AH2498">
        <f>IF($B2498=0,0,IF(Inputs!$B$10="",0,COUNTIFS(Data!$Q$10:$Q$3209,"&gt;="&amp;$A2498,Data!$Q$10:$Q$3209,"&lt;"&amp;$A2498+1)))</f>
        <v/>
      </c>
    </row>
    <row r="2499">
      <c r="A2499" s="55">
        <f>MIN(Inputs!$C$15,$A2498+IF(WEEKDAY($A2498,2)=5,3,1))</f>
        <v/>
      </c>
      <c r="B2499">
        <f>IF($A2499&gt;$A2498,1,0)</f>
        <v/>
      </c>
      <c r="C2499" s="56">
        <f>IF($B2499=0,"",IF(Inputs!$B$6="","",IF($AD2499=0,C2498,SUMIFS(Data!$B$10:$B$3209,Data!$A$10:$A$3209,"&gt;="&amp;$A2499,Data!$A$10:$A$3209,"&lt;"&amp;$A2499+1)/$AD2499)))</f>
        <v/>
      </c>
      <c r="D2499" s="56">
        <f>IF($B2499=0,"",IF(Inputs!$B$7="","",IF($AE2499=0,D2498,SUMIFS(Data!$F$10:$F$3209,Data!$E$10:$E$3209,"&gt;="&amp;$A2499,Data!$E$10:$E$3209,"&lt;"&amp;$A2499+1)/$AE2499)))</f>
        <v/>
      </c>
      <c r="E2499" s="56">
        <f>IF($B2499=0,"",IF(Inputs!$B$8="","",IF($AF2499=0,E2498,SUMIFS(Data!$J$10:$J$3209,Data!$I$10:$I$3209,"&gt;="&amp;$A2499,Data!$I$10:$I$3209,"&lt;"&amp;$A2499+1)/$AF2499)))</f>
        <v/>
      </c>
      <c r="F2499" s="56">
        <f>IF($B2499=0,"",IF(Inputs!$B$9="","",IF($AG2499=0,F2498,SUMIFS(Data!$N$10:$N$3209,Data!$M$10:$M$3209,"&gt;="&amp;$A2499,Data!$M$10:$M$3209,"&lt;"&amp;$A2499+1)/$AG2499)))</f>
        <v/>
      </c>
      <c r="G2499" s="56">
        <f>IF($B2499=0,"",IF(Inputs!$B$10="","",IF($AH2499=0,G2498,SUMIFS(Data!$R$10:$R$3209,Data!$Q$10:$Q$3209,"&gt;="&amp;$A2499,Data!$Q$10:$Q$3209,"&lt;"&amp;$A2499+1)/$AH2499)))</f>
        <v/>
      </c>
      <c r="I2499" s="54">
        <f>IF($B2499=0,NA(),IF($C2499="",NA(),IF(C$8="",NA(),IF(N(C$8)=0,NA(),IF(Inputs!$C$17="Rebased to 100",$C2499/C$8*100,$C2499)))))</f>
        <v/>
      </c>
      <c r="J2499" s="54">
        <f>IF($B2499=0,NA(),IF($D2499="",NA(),IF(D$8="",NA(),IF(N(D$8)=0,NA(),IF(Inputs!$C$17="Rebased to 100",$D2499/D$8*100,$D2499)))))</f>
        <v/>
      </c>
      <c r="K2499" s="54">
        <f>IF($B2499=0,NA(),IF($E2499="",NA(),IF(E$8="",NA(),IF(N(E$8)=0,NA(),IF(Inputs!$C$17="Rebased to 100",$E2499/E$8*100,$E2499)))))</f>
        <v/>
      </c>
      <c r="L2499" s="54">
        <f>IF($B2499=0,NA(),IF($F2499="",NA(),IF(F$8="",NA(),IF(N(F$8)=0,NA(),IF(Inputs!$C$17="Rebased to 100",$F2499/F$8*100,$F2499)))))</f>
        <v/>
      </c>
      <c r="M2499" s="54">
        <f>IF($B2499=0,NA(),IF($G2499="",NA(),IF(G$8="",NA(),IF(N(G$8)=0,NA(),IF(Inputs!$C$17="Rebased to 100",$G2499/G$8*100,$G2499)))))</f>
        <v/>
      </c>
      <c r="N2499" s="54">
        <f>IF($B2499=0,NA(),IF(Inputs!$C$18&lt;&gt;"Yes",NA(),IF(COUNT(I2499,J2499,K2499,L2499,M2499)=0,NA(),MIN(I2499,J2499,K2499,L2499,M2499))))</f>
        <v/>
      </c>
      <c r="O2499" s="54">
        <f>IF($B2499=0,NA(),IF(Inputs!$B$24&lt;&gt;"Yes",NA(),Inputs!$D$24*Inputs!$C$35))</f>
        <v/>
      </c>
      <c r="P2499" s="54">
        <f>IF($B2499=0,NA(),IF(Inputs!$B$25&lt;&gt;"Yes",NA(),Inputs!$D$25*Inputs!$C$35))</f>
        <v/>
      </c>
      <c r="Q2499" s="54">
        <f>IF($B2499=0,NA(),IF(Inputs!$B$26&lt;&gt;"Yes",NA(),Inputs!$D$26*Inputs!$C$35))</f>
        <v/>
      </c>
      <c r="R2499" s="54">
        <f>IF($B2499=0,NA(),IF(Inputs!$B$27&lt;&gt;"Yes",NA(),Inputs!$D$27*Inputs!$C$35))</f>
        <v/>
      </c>
      <c r="S2499" s="54">
        <f>IF($B2499=0,NA(),IF(Inputs!$B$28&lt;&gt;"Yes",NA(),Inputs!$D$28*Inputs!$C$35))</f>
        <v/>
      </c>
      <c r="T2499" s="54">
        <f>IF($B2499=0,NA(),IF(Inputs!$B$29&lt;&gt;"Yes",NA(),Inputs!$D$29*Inputs!$C$35))</f>
        <v/>
      </c>
      <c r="AD2499">
        <f>IF($B2499=0,0,IF(Inputs!$B$6="",0,COUNTIFS(Data!$A$10:$A$3209,"&gt;="&amp;$A2499,Data!$A$10:$A$3209,"&lt;"&amp;$A2499+1)))</f>
        <v/>
      </c>
      <c r="AE2499">
        <f>IF($B2499=0,0,IF(Inputs!$B$7="",0,COUNTIFS(Data!$E$10:$E$3209,"&gt;="&amp;$A2499,Data!$E$10:$E$3209,"&lt;"&amp;$A2499+1)))</f>
        <v/>
      </c>
      <c r="AF2499">
        <f>IF($B2499=0,0,IF(Inputs!$B$8="",0,COUNTIFS(Data!$I$10:$I$3209,"&gt;="&amp;$A2499,Data!$I$10:$I$3209,"&lt;"&amp;$A2499+1)))</f>
        <v/>
      </c>
      <c r="AG2499">
        <f>IF($B2499=0,0,IF(Inputs!$B$9="",0,COUNTIFS(Data!$M$10:$M$3209,"&gt;="&amp;$A2499,Data!$M$10:$M$3209,"&lt;"&amp;$A2499+1)))</f>
        <v/>
      </c>
      <c r="AH2499">
        <f>IF($B2499=0,0,IF(Inputs!$B$10="",0,COUNTIFS(Data!$Q$10:$Q$3209,"&gt;="&amp;$A2499,Data!$Q$10:$Q$3209,"&lt;"&amp;$A2499+1)))</f>
        <v/>
      </c>
    </row>
    <row r="2500">
      <c r="A2500" s="55">
        <f>MIN(Inputs!$C$15,$A2499+IF(WEEKDAY($A2499,2)=5,3,1))</f>
        <v/>
      </c>
      <c r="B2500">
        <f>IF($A2500&gt;$A2499,1,0)</f>
        <v/>
      </c>
      <c r="C2500" s="56">
        <f>IF($B2500=0,"",IF(Inputs!$B$6="","",IF($AD2500=0,C2499,SUMIFS(Data!$B$10:$B$3209,Data!$A$10:$A$3209,"&gt;="&amp;$A2500,Data!$A$10:$A$3209,"&lt;"&amp;$A2500+1)/$AD2500)))</f>
        <v/>
      </c>
      <c r="D2500" s="56">
        <f>IF($B2500=0,"",IF(Inputs!$B$7="","",IF($AE2500=0,D2499,SUMIFS(Data!$F$10:$F$3209,Data!$E$10:$E$3209,"&gt;="&amp;$A2500,Data!$E$10:$E$3209,"&lt;"&amp;$A2500+1)/$AE2500)))</f>
        <v/>
      </c>
      <c r="E2500" s="56">
        <f>IF($B2500=0,"",IF(Inputs!$B$8="","",IF($AF2500=0,E2499,SUMIFS(Data!$J$10:$J$3209,Data!$I$10:$I$3209,"&gt;="&amp;$A2500,Data!$I$10:$I$3209,"&lt;"&amp;$A2500+1)/$AF2500)))</f>
        <v/>
      </c>
      <c r="F2500" s="56">
        <f>IF($B2500=0,"",IF(Inputs!$B$9="","",IF($AG2500=0,F2499,SUMIFS(Data!$N$10:$N$3209,Data!$M$10:$M$3209,"&gt;="&amp;$A2500,Data!$M$10:$M$3209,"&lt;"&amp;$A2500+1)/$AG2500)))</f>
        <v/>
      </c>
      <c r="G2500" s="56">
        <f>IF($B2500=0,"",IF(Inputs!$B$10="","",IF($AH2500=0,G2499,SUMIFS(Data!$R$10:$R$3209,Data!$Q$10:$Q$3209,"&gt;="&amp;$A2500,Data!$Q$10:$Q$3209,"&lt;"&amp;$A2500+1)/$AH2500)))</f>
        <v/>
      </c>
      <c r="I2500" s="54">
        <f>IF($B2500=0,NA(),IF($C2500="",NA(),IF(C$8="",NA(),IF(N(C$8)=0,NA(),IF(Inputs!$C$17="Rebased to 100",$C2500/C$8*100,$C2500)))))</f>
        <v/>
      </c>
      <c r="J2500" s="54">
        <f>IF($B2500=0,NA(),IF($D2500="",NA(),IF(D$8="",NA(),IF(N(D$8)=0,NA(),IF(Inputs!$C$17="Rebased to 100",$D2500/D$8*100,$D2500)))))</f>
        <v/>
      </c>
      <c r="K2500" s="54">
        <f>IF($B2500=0,NA(),IF($E2500="",NA(),IF(E$8="",NA(),IF(N(E$8)=0,NA(),IF(Inputs!$C$17="Rebased to 100",$E2500/E$8*100,$E2500)))))</f>
        <v/>
      </c>
      <c r="L2500" s="54">
        <f>IF($B2500=0,NA(),IF($F2500="",NA(),IF(F$8="",NA(),IF(N(F$8)=0,NA(),IF(Inputs!$C$17="Rebased to 100",$F2500/F$8*100,$F2500)))))</f>
        <v/>
      </c>
      <c r="M2500" s="54">
        <f>IF($B2500=0,NA(),IF($G2500="",NA(),IF(G$8="",NA(),IF(N(G$8)=0,NA(),IF(Inputs!$C$17="Rebased to 100",$G2500/G$8*100,$G2500)))))</f>
        <v/>
      </c>
      <c r="N2500" s="54">
        <f>IF($B2500=0,NA(),IF(Inputs!$C$18&lt;&gt;"Yes",NA(),IF(COUNT(I2500,J2500,K2500,L2500,M2500)=0,NA(),MIN(I2500,J2500,K2500,L2500,M2500))))</f>
        <v/>
      </c>
      <c r="O2500" s="54">
        <f>IF($B2500=0,NA(),IF(Inputs!$B$24&lt;&gt;"Yes",NA(),Inputs!$D$24*Inputs!$C$35))</f>
        <v/>
      </c>
      <c r="P2500" s="54">
        <f>IF($B2500=0,NA(),IF(Inputs!$B$25&lt;&gt;"Yes",NA(),Inputs!$D$25*Inputs!$C$35))</f>
        <v/>
      </c>
      <c r="Q2500" s="54">
        <f>IF($B2500=0,NA(),IF(Inputs!$B$26&lt;&gt;"Yes",NA(),Inputs!$D$26*Inputs!$C$35))</f>
        <v/>
      </c>
      <c r="R2500" s="54">
        <f>IF($B2500=0,NA(),IF(Inputs!$B$27&lt;&gt;"Yes",NA(),Inputs!$D$27*Inputs!$C$35))</f>
        <v/>
      </c>
      <c r="S2500" s="54">
        <f>IF($B2500=0,NA(),IF(Inputs!$B$28&lt;&gt;"Yes",NA(),Inputs!$D$28*Inputs!$C$35))</f>
        <v/>
      </c>
      <c r="T2500" s="54">
        <f>IF($B2500=0,NA(),IF(Inputs!$B$29&lt;&gt;"Yes",NA(),Inputs!$D$29*Inputs!$C$35))</f>
        <v/>
      </c>
      <c r="AD2500">
        <f>IF($B2500=0,0,IF(Inputs!$B$6="",0,COUNTIFS(Data!$A$10:$A$3209,"&gt;="&amp;$A2500,Data!$A$10:$A$3209,"&lt;"&amp;$A2500+1)))</f>
        <v/>
      </c>
      <c r="AE2500">
        <f>IF($B2500=0,0,IF(Inputs!$B$7="",0,COUNTIFS(Data!$E$10:$E$3209,"&gt;="&amp;$A2500,Data!$E$10:$E$3209,"&lt;"&amp;$A2500+1)))</f>
        <v/>
      </c>
      <c r="AF2500">
        <f>IF($B2500=0,0,IF(Inputs!$B$8="",0,COUNTIFS(Data!$I$10:$I$3209,"&gt;="&amp;$A2500,Data!$I$10:$I$3209,"&lt;"&amp;$A2500+1)))</f>
        <v/>
      </c>
      <c r="AG2500">
        <f>IF($B2500=0,0,IF(Inputs!$B$9="",0,COUNTIFS(Data!$M$10:$M$3209,"&gt;="&amp;$A2500,Data!$M$10:$M$3209,"&lt;"&amp;$A2500+1)))</f>
        <v/>
      </c>
      <c r="AH2500">
        <f>IF($B2500=0,0,IF(Inputs!$B$10="",0,COUNTIFS(Data!$Q$10:$Q$3209,"&gt;="&amp;$A2500,Data!$Q$10:$Q$3209,"&lt;"&amp;$A2500+1)))</f>
        <v/>
      </c>
    </row>
    <row r="2501">
      <c r="A2501" s="55">
        <f>MIN(Inputs!$C$15,$A2500+IF(WEEKDAY($A2500,2)=5,3,1))</f>
        <v/>
      </c>
      <c r="B2501">
        <f>IF($A2501&gt;$A2500,1,0)</f>
        <v/>
      </c>
      <c r="C2501" s="56">
        <f>IF($B2501=0,"",IF(Inputs!$B$6="","",IF($AD2501=0,C2500,SUMIFS(Data!$B$10:$B$3209,Data!$A$10:$A$3209,"&gt;="&amp;$A2501,Data!$A$10:$A$3209,"&lt;"&amp;$A2501+1)/$AD2501)))</f>
        <v/>
      </c>
      <c r="D2501" s="56">
        <f>IF($B2501=0,"",IF(Inputs!$B$7="","",IF($AE2501=0,D2500,SUMIFS(Data!$F$10:$F$3209,Data!$E$10:$E$3209,"&gt;="&amp;$A2501,Data!$E$10:$E$3209,"&lt;"&amp;$A2501+1)/$AE2501)))</f>
        <v/>
      </c>
      <c r="E2501" s="56">
        <f>IF($B2501=0,"",IF(Inputs!$B$8="","",IF($AF2501=0,E2500,SUMIFS(Data!$J$10:$J$3209,Data!$I$10:$I$3209,"&gt;="&amp;$A2501,Data!$I$10:$I$3209,"&lt;"&amp;$A2501+1)/$AF2501)))</f>
        <v/>
      </c>
      <c r="F2501" s="56">
        <f>IF($B2501=0,"",IF(Inputs!$B$9="","",IF($AG2501=0,F2500,SUMIFS(Data!$N$10:$N$3209,Data!$M$10:$M$3209,"&gt;="&amp;$A2501,Data!$M$10:$M$3209,"&lt;"&amp;$A2501+1)/$AG2501)))</f>
        <v/>
      </c>
      <c r="G2501" s="56">
        <f>IF($B2501=0,"",IF(Inputs!$B$10="","",IF($AH2501=0,G2500,SUMIFS(Data!$R$10:$R$3209,Data!$Q$10:$Q$3209,"&gt;="&amp;$A2501,Data!$Q$10:$Q$3209,"&lt;"&amp;$A2501+1)/$AH2501)))</f>
        <v/>
      </c>
      <c r="I2501" s="54">
        <f>IF($B2501=0,NA(),IF($C2501="",NA(),IF(C$8="",NA(),IF(N(C$8)=0,NA(),IF(Inputs!$C$17="Rebased to 100",$C2501/C$8*100,$C2501)))))</f>
        <v/>
      </c>
      <c r="J2501" s="54">
        <f>IF($B2501=0,NA(),IF($D2501="",NA(),IF(D$8="",NA(),IF(N(D$8)=0,NA(),IF(Inputs!$C$17="Rebased to 100",$D2501/D$8*100,$D2501)))))</f>
        <v/>
      </c>
      <c r="K2501" s="54">
        <f>IF($B2501=0,NA(),IF($E2501="",NA(),IF(E$8="",NA(),IF(N(E$8)=0,NA(),IF(Inputs!$C$17="Rebased to 100",$E2501/E$8*100,$E2501)))))</f>
        <v/>
      </c>
      <c r="L2501" s="54">
        <f>IF($B2501=0,NA(),IF($F2501="",NA(),IF(F$8="",NA(),IF(N(F$8)=0,NA(),IF(Inputs!$C$17="Rebased to 100",$F2501/F$8*100,$F2501)))))</f>
        <v/>
      </c>
      <c r="M2501" s="54">
        <f>IF($B2501=0,NA(),IF($G2501="",NA(),IF(G$8="",NA(),IF(N(G$8)=0,NA(),IF(Inputs!$C$17="Rebased to 100",$G2501/G$8*100,$G2501)))))</f>
        <v/>
      </c>
      <c r="N2501" s="54">
        <f>IF($B2501=0,NA(),IF(Inputs!$C$18&lt;&gt;"Yes",NA(),IF(COUNT(I2501,J2501,K2501,L2501,M2501)=0,NA(),MIN(I2501,J2501,K2501,L2501,M2501))))</f>
        <v/>
      </c>
      <c r="O2501" s="54">
        <f>IF($B2501=0,NA(),IF(Inputs!$B$24&lt;&gt;"Yes",NA(),Inputs!$D$24*Inputs!$C$35))</f>
        <v/>
      </c>
      <c r="P2501" s="54">
        <f>IF($B2501=0,NA(),IF(Inputs!$B$25&lt;&gt;"Yes",NA(),Inputs!$D$25*Inputs!$C$35))</f>
        <v/>
      </c>
      <c r="Q2501" s="54">
        <f>IF($B2501=0,NA(),IF(Inputs!$B$26&lt;&gt;"Yes",NA(),Inputs!$D$26*Inputs!$C$35))</f>
        <v/>
      </c>
      <c r="R2501" s="54">
        <f>IF($B2501=0,NA(),IF(Inputs!$B$27&lt;&gt;"Yes",NA(),Inputs!$D$27*Inputs!$C$35))</f>
        <v/>
      </c>
      <c r="S2501" s="54">
        <f>IF($B2501=0,NA(),IF(Inputs!$B$28&lt;&gt;"Yes",NA(),Inputs!$D$28*Inputs!$C$35))</f>
        <v/>
      </c>
      <c r="T2501" s="54">
        <f>IF($B2501=0,NA(),IF(Inputs!$B$29&lt;&gt;"Yes",NA(),Inputs!$D$29*Inputs!$C$35))</f>
        <v/>
      </c>
      <c r="AD2501">
        <f>IF($B2501=0,0,IF(Inputs!$B$6="",0,COUNTIFS(Data!$A$10:$A$3209,"&gt;="&amp;$A2501,Data!$A$10:$A$3209,"&lt;"&amp;$A2501+1)))</f>
        <v/>
      </c>
      <c r="AE2501">
        <f>IF($B2501=0,0,IF(Inputs!$B$7="",0,COUNTIFS(Data!$E$10:$E$3209,"&gt;="&amp;$A2501,Data!$E$10:$E$3209,"&lt;"&amp;$A2501+1)))</f>
        <v/>
      </c>
      <c r="AF2501">
        <f>IF($B2501=0,0,IF(Inputs!$B$8="",0,COUNTIFS(Data!$I$10:$I$3209,"&gt;="&amp;$A2501,Data!$I$10:$I$3209,"&lt;"&amp;$A2501+1)))</f>
        <v/>
      </c>
      <c r="AG2501">
        <f>IF($B2501=0,0,IF(Inputs!$B$9="",0,COUNTIFS(Data!$M$10:$M$3209,"&gt;="&amp;$A2501,Data!$M$10:$M$3209,"&lt;"&amp;$A2501+1)))</f>
        <v/>
      </c>
      <c r="AH2501">
        <f>IF($B2501=0,0,IF(Inputs!$B$10="",0,COUNTIFS(Data!$Q$10:$Q$3209,"&gt;="&amp;$A2501,Data!$Q$10:$Q$3209,"&lt;"&amp;$A2501+1)))</f>
        <v/>
      </c>
    </row>
    <row r="2502">
      <c r="A2502" s="55">
        <f>MIN(Inputs!$C$15,$A2501+IF(WEEKDAY($A2501,2)=5,3,1))</f>
        <v/>
      </c>
      <c r="B2502">
        <f>IF($A2502&gt;$A2501,1,0)</f>
        <v/>
      </c>
      <c r="C2502" s="56">
        <f>IF($B2502=0,"",IF(Inputs!$B$6="","",IF($AD2502=0,C2501,SUMIFS(Data!$B$10:$B$3209,Data!$A$10:$A$3209,"&gt;="&amp;$A2502,Data!$A$10:$A$3209,"&lt;"&amp;$A2502+1)/$AD2502)))</f>
        <v/>
      </c>
      <c r="D2502" s="56">
        <f>IF($B2502=0,"",IF(Inputs!$B$7="","",IF($AE2502=0,D2501,SUMIFS(Data!$F$10:$F$3209,Data!$E$10:$E$3209,"&gt;="&amp;$A2502,Data!$E$10:$E$3209,"&lt;"&amp;$A2502+1)/$AE2502)))</f>
        <v/>
      </c>
      <c r="E2502" s="56">
        <f>IF($B2502=0,"",IF(Inputs!$B$8="","",IF($AF2502=0,E2501,SUMIFS(Data!$J$10:$J$3209,Data!$I$10:$I$3209,"&gt;="&amp;$A2502,Data!$I$10:$I$3209,"&lt;"&amp;$A2502+1)/$AF2502)))</f>
        <v/>
      </c>
      <c r="F2502" s="56">
        <f>IF($B2502=0,"",IF(Inputs!$B$9="","",IF($AG2502=0,F2501,SUMIFS(Data!$N$10:$N$3209,Data!$M$10:$M$3209,"&gt;="&amp;$A2502,Data!$M$10:$M$3209,"&lt;"&amp;$A2502+1)/$AG2502)))</f>
        <v/>
      </c>
      <c r="G2502" s="56">
        <f>IF($B2502=0,"",IF(Inputs!$B$10="","",IF($AH2502=0,G2501,SUMIFS(Data!$R$10:$R$3209,Data!$Q$10:$Q$3209,"&gt;="&amp;$A2502,Data!$Q$10:$Q$3209,"&lt;"&amp;$A2502+1)/$AH2502)))</f>
        <v/>
      </c>
      <c r="I2502" s="54">
        <f>IF($B2502=0,NA(),IF($C2502="",NA(),IF(C$8="",NA(),IF(N(C$8)=0,NA(),IF(Inputs!$C$17="Rebased to 100",$C2502/C$8*100,$C2502)))))</f>
        <v/>
      </c>
      <c r="J2502" s="54">
        <f>IF($B2502=0,NA(),IF($D2502="",NA(),IF(D$8="",NA(),IF(N(D$8)=0,NA(),IF(Inputs!$C$17="Rebased to 100",$D2502/D$8*100,$D2502)))))</f>
        <v/>
      </c>
      <c r="K2502" s="54">
        <f>IF($B2502=0,NA(),IF($E2502="",NA(),IF(E$8="",NA(),IF(N(E$8)=0,NA(),IF(Inputs!$C$17="Rebased to 100",$E2502/E$8*100,$E2502)))))</f>
        <v/>
      </c>
      <c r="L2502" s="54">
        <f>IF($B2502=0,NA(),IF($F2502="",NA(),IF(F$8="",NA(),IF(N(F$8)=0,NA(),IF(Inputs!$C$17="Rebased to 100",$F2502/F$8*100,$F2502)))))</f>
        <v/>
      </c>
      <c r="M2502" s="54">
        <f>IF($B2502=0,NA(),IF($G2502="",NA(),IF(G$8="",NA(),IF(N(G$8)=0,NA(),IF(Inputs!$C$17="Rebased to 100",$G2502/G$8*100,$G2502)))))</f>
        <v/>
      </c>
      <c r="N2502" s="54">
        <f>IF($B2502=0,NA(),IF(Inputs!$C$18&lt;&gt;"Yes",NA(),IF(COUNT(I2502,J2502,K2502,L2502,M2502)=0,NA(),MIN(I2502,J2502,K2502,L2502,M2502))))</f>
        <v/>
      </c>
      <c r="O2502" s="54">
        <f>IF($B2502=0,NA(),IF(Inputs!$B$24&lt;&gt;"Yes",NA(),Inputs!$D$24*Inputs!$C$35))</f>
        <v/>
      </c>
      <c r="P2502" s="54">
        <f>IF($B2502=0,NA(),IF(Inputs!$B$25&lt;&gt;"Yes",NA(),Inputs!$D$25*Inputs!$C$35))</f>
        <v/>
      </c>
      <c r="Q2502" s="54">
        <f>IF($B2502=0,NA(),IF(Inputs!$B$26&lt;&gt;"Yes",NA(),Inputs!$D$26*Inputs!$C$35))</f>
        <v/>
      </c>
      <c r="R2502" s="54">
        <f>IF($B2502=0,NA(),IF(Inputs!$B$27&lt;&gt;"Yes",NA(),Inputs!$D$27*Inputs!$C$35))</f>
        <v/>
      </c>
      <c r="S2502" s="54">
        <f>IF($B2502=0,NA(),IF(Inputs!$B$28&lt;&gt;"Yes",NA(),Inputs!$D$28*Inputs!$C$35))</f>
        <v/>
      </c>
      <c r="T2502" s="54">
        <f>IF($B2502=0,NA(),IF(Inputs!$B$29&lt;&gt;"Yes",NA(),Inputs!$D$29*Inputs!$C$35))</f>
        <v/>
      </c>
      <c r="AD2502">
        <f>IF($B2502=0,0,IF(Inputs!$B$6="",0,COUNTIFS(Data!$A$10:$A$3209,"&gt;="&amp;$A2502,Data!$A$10:$A$3209,"&lt;"&amp;$A2502+1)))</f>
        <v/>
      </c>
      <c r="AE2502">
        <f>IF($B2502=0,0,IF(Inputs!$B$7="",0,COUNTIFS(Data!$E$10:$E$3209,"&gt;="&amp;$A2502,Data!$E$10:$E$3209,"&lt;"&amp;$A2502+1)))</f>
        <v/>
      </c>
      <c r="AF2502">
        <f>IF($B2502=0,0,IF(Inputs!$B$8="",0,COUNTIFS(Data!$I$10:$I$3209,"&gt;="&amp;$A2502,Data!$I$10:$I$3209,"&lt;"&amp;$A2502+1)))</f>
        <v/>
      </c>
      <c r="AG2502">
        <f>IF($B2502=0,0,IF(Inputs!$B$9="",0,COUNTIFS(Data!$M$10:$M$3209,"&gt;="&amp;$A2502,Data!$M$10:$M$3209,"&lt;"&amp;$A2502+1)))</f>
        <v/>
      </c>
      <c r="AH2502">
        <f>IF($B2502=0,0,IF(Inputs!$B$10="",0,COUNTIFS(Data!$Q$10:$Q$3209,"&gt;="&amp;$A2502,Data!$Q$10:$Q$3209,"&lt;"&amp;$A2502+1)))</f>
        <v/>
      </c>
    </row>
    <row r="2503">
      <c r="A2503" s="55">
        <f>MIN(Inputs!$C$15,$A2502+IF(WEEKDAY($A2502,2)=5,3,1))</f>
        <v/>
      </c>
      <c r="B2503">
        <f>IF($A2503&gt;$A2502,1,0)</f>
        <v/>
      </c>
      <c r="C2503" s="56">
        <f>IF($B2503=0,"",IF(Inputs!$B$6="","",IF($AD2503=0,C2502,SUMIFS(Data!$B$10:$B$3209,Data!$A$10:$A$3209,"&gt;="&amp;$A2503,Data!$A$10:$A$3209,"&lt;"&amp;$A2503+1)/$AD2503)))</f>
        <v/>
      </c>
      <c r="D2503" s="56">
        <f>IF($B2503=0,"",IF(Inputs!$B$7="","",IF($AE2503=0,D2502,SUMIFS(Data!$F$10:$F$3209,Data!$E$10:$E$3209,"&gt;="&amp;$A2503,Data!$E$10:$E$3209,"&lt;"&amp;$A2503+1)/$AE2503)))</f>
        <v/>
      </c>
      <c r="E2503" s="56">
        <f>IF($B2503=0,"",IF(Inputs!$B$8="","",IF($AF2503=0,E2502,SUMIFS(Data!$J$10:$J$3209,Data!$I$10:$I$3209,"&gt;="&amp;$A2503,Data!$I$10:$I$3209,"&lt;"&amp;$A2503+1)/$AF2503)))</f>
        <v/>
      </c>
      <c r="F2503" s="56">
        <f>IF($B2503=0,"",IF(Inputs!$B$9="","",IF($AG2503=0,F2502,SUMIFS(Data!$N$10:$N$3209,Data!$M$10:$M$3209,"&gt;="&amp;$A2503,Data!$M$10:$M$3209,"&lt;"&amp;$A2503+1)/$AG2503)))</f>
        <v/>
      </c>
      <c r="G2503" s="56">
        <f>IF($B2503=0,"",IF(Inputs!$B$10="","",IF($AH2503=0,G2502,SUMIFS(Data!$R$10:$R$3209,Data!$Q$10:$Q$3209,"&gt;="&amp;$A2503,Data!$Q$10:$Q$3209,"&lt;"&amp;$A2503+1)/$AH2503)))</f>
        <v/>
      </c>
      <c r="I2503" s="54">
        <f>IF($B2503=0,NA(),IF($C2503="",NA(),IF(C$8="",NA(),IF(N(C$8)=0,NA(),IF(Inputs!$C$17="Rebased to 100",$C2503/C$8*100,$C2503)))))</f>
        <v/>
      </c>
      <c r="J2503" s="54">
        <f>IF($B2503=0,NA(),IF($D2503="",NA(),IF(D$8="",NA(),IF(N(D$8)=0,NA(),IF(Inputs!$C$17="Rebased to 100",$D2503/D$8*100,$D2503)))))</f>
        <v/>
      </c>
      <c r="K2503" s="54">
        <f>IF($B2503=0,NA(),IF($E2503="",NA(),IF(E$8="",NA(),IF(N(E$8)=0,NA(),IF(Inputs!$C$17="Rebased to 100",$E2503/E$8*100,$E2503)))))</f>
        <v/>
      </c>
      <c r="L2503" s="54">
        <f>IF($B2503=0,NA(),IF($F2503="",NA(),IF(F$8="",NA(),IF(N(F$8)=0,NA(),IF(Inputs!$C$17="Rebased to 100",$F2503/F$8*100,$F2503)))))</f>
        <v/>
      </c>
      <c r="M2503" s="54">
        <f>IF($B2503=0,NA(),IF($G2503="",NA(),IF(G$8="",NA(),IF(N(G$8)=0,NA(),IF(Inputs!$C$17="Rebased to 100",$G2503/G$8*100,$G2503)))))</f>
        <v/>
      </c>
      <c r="N2503" s="54">
        <f>IF($B2503=0,NA(),IF(Inputs!$C$18&lt;&gt;"Yes",NA(),IF(COUNT(I2503,J2503,K2503,L2503,M2503)=0,NA(),MIN(I2503,J2503,K2503,L2503,M2503))))</f>
        <v/>
      </c>
      <c r="O2503" s="54">
        <f>IF($B2503=0,NA(),IF(Inputs!$B$24&lt;&gt;"Yes",NA(),Inputs!$D$24*Inputs!$C$35))</f>
        <v/>
      </c>
      <c r="P2503" s="54">
        <f>IF($B2503=0,NA(),IF(Inputs!$B$25&lt;&gt;"Yes",NA(),Inputs!$D$25*Inputs!$C$35))</f>
        <v/>
      </c>
      <c r="Q2503" s="54">
        <f>IF($B2503=0,NA(),IF(Inputs!$B$26&lt;&gt;"Yes",NA(),Inputs!$D$26*Inputs!$C$35))</f>
        <v/>
      </c>
      <c r="R2503" s="54">
        <f>IF($B2503=0,NA(),IF(Inputs!$B$27&lt;&gt;"Yes",NA(),Inputs!$D$27*Inputs!$C$35))</f>
        <v/>
      </c>
      <c r="S2503" s="54">
        <f>IF($B2503=0,NA(),IF(Inputs!$B$28&lt;&gt;"Yes",NA(),Inputs!$D$28*Inputs!$C$35))</f>
        <v/>
      </c>
      <c r="T2503" s="54">
        <f>IF($B2503=0,NA(),IF(Inputs!$B$29&lt;&gt;"Yes",NA(),Inputs!$D$29*Inputs!$C$35))</f>
        <v/>
      </c>
      <c r="AD2503">
        <f>IF($B2503=0,0,IF(Inputs!$B$6="",0,COUNTIFS(Data!$A$10:$A$3209,"&gt;="&amp;$A2503,Data!$A$10:$A$3209,"&lt;"&amp;$A2503+1)))</f>
        <v/>
      </c>
      <c r="AE2503">
        <f>IF($B2503=0,0,IF(Inputs!$B$7="",0,COUNTIFS(Data!$E$10:$E$3209,"&gt;="&amp;$A2503,Data!$E$10:$E$3209,"&lt;"&amp;$A2503+1)))</f>
        <v/>
      </c>
      <c r="AF2503">
        <f>IF($B2503=0,0,IF(Inputs!$B$8="",0,COUNTIFS(Data!$I$10:$I$3209,"&gt;="&amp;$A2503,Data!$I$10:$I$3209,"&lt;"&amp;$A2503+1)))</f>
        <v/>
      </c>
      <c r="AG2503">
        <f>IF($B2503=0,0,IF(Inputs!$B$9="",0,COUNTIFS(Data!$M$10:$M$3209,"&gt;="&amp;$A2503,Data!$M$10:$M$3209,"&lt;"&amp;$A2503+1)))</f>
        <v/>
      </c>
      <c r="AH2503">
        <f>IF($B2503=0,0,IF(Inputs!$B$10="",0,COUNTIFS(Data!$Q$10:$Q$3209,"&gt;="&amp;$A2503,Data!$Q$10:$Q$3209,"&lt;"&amp;$A2503+1)))</f>
        <v/>
      </c>
    </row>
    <row r="2504">
      <c r="A2504" s="55">
        <f>MIN(Inputs!$C$15,$A2503+IF(WEEKDAY($A2503,2)=5,3,1))</f>
        <v/>
      </c>
      <c r="B2504">
        <f>IF($A2504&gt;$A2503,1,0)</f>
        <v/>
      </c>
      <c r="C2504" s="56">
        <f>IF($B2504=0,"",IF(Inputs!$B$6="","",IF($AD2504=0,C2503,SUMIFS(Data!$B$10:$B$3209,Data!$A$10:$A$3209,"&gt;="&amp;$A2504,Data!$A$10:$A$3209,"&lt;"&amp;$A2504+1)/$AD2504)))</f>
        <v/>
      </c>
      <c r="D2504" s="56">
        <f>IF($B2504=0,"",IF(Inputs!$B$7="","",IF($AE2504=0,D2503,SUMIFS(Data!$F$10:$F$3209,Data!$E$10:$E$3209,"&gt;="&amp;$A2504,Data!$E$10:$E$3209,"&lt;"&amp;$A2504+1)/$AE2504)))</f>
        <v/>
      </c>
      <c r="E2504" s="56">
        <f>IF($B2504=0,"",IF(Inputs!$B$8="","",IF($AF2504=0,E2503,SUMIFS(Data!$J$10:$J$3209,Data!$I$10:$I$3209,"&gt;="&amp;$A2504,Data!$I$10:$I$3209,"&lt;"&amp;$A2504+1)/$AF2504)))</f>
        <v/>
      </c>
      <c r="F2504" s="56">
        <f>IF($B2504=0,"",IF(Inputs!$B$9="","",IF($AG2504=0,F2503,SUMIFS(Data!$N$10:$N$3209,Data!$M$10:$M$3209,"&gt;="&amp;$A2504,Data!$M$10:$M$3209,"&lt;"&amp;$A2504+1)/$AG2504)))</f>
        <v/>
      </c>
      <c r="G2504" s="56">
        <f>IF($B2504=0,"",IF(Inputs!$B$10="","",IF($AH2504=0,G2503,SUMIFS(Data!$R$10:$R$3209,Data!$Q$10:$Q$3209,"&gt;="&amp;$A2504,Data!$Q$10:$Q$3209,"&lt;"&amp;$A2504+1)/$AH2504)))</f>
        <v/>
      </c>
      <c r="I2504" s="54">
        <f>IF($B2504=0,NA(),IF($C2504="",NA(),IF(C$8="",NA(),IF(N(C$8)=0,NA(),IF(Inputs!$C$17="Rebased to 100",$C2504/C$8*100,$C2504)))))</f>
        <v/>
      </c>
      <c r="J2504" s="54">
        <f>IF($B2504=0,NA(),IF($D2504="",NA(),IF(D$8="",NA(),IF(N(D$8)=0,NA(),IF(Inputs!$C$17="Rebased to 100",$D2504/D$8*100,$D2504)))))</f>
        <v/>
      </c>
      <c r="K2504" s="54">
        <f>IF($B2504=0,NA(),IF($E2504="",NA(),IF(E$8="",NA(),IF(N(E$8)=0,NA(),IF(Inputs!$C$17="Rebased to 100",$E2504/E$8*100,$E2504)))))</f>
        <v/>
      </c>
      <c r="L2504" s="54">
        <f>IF($B2504=0,NA(),IF($F2504="",NA(),IF(F$8="",NA(),IF(N(F$8)=0,NA(),IF(Inputs!$C$17="Rebased to 100",$F2504/F$8*100,$F2504)))))</f>
        <v/>
      </c>
      <c r="M2504" s="54">
        <f>IF($B2504=0,NA(),IF($G2504="",NA(),IF(G$8="",NA(),IF(N(G$8)=0,NA(),IF(Inputs!$C$17="Rebased to 100",$G2504/G$8*100,$G2504)))))</f>
        <v/>
      </c>
      <c r="N2504" s="54">
        <f>IF($B2504=0,NA(),IF(Inputs!$C$18&lt;&gt;"Yes",NA(),IF(COUNT(I2504,J2504,K2504,L2504,M2504)=0,NA(),MIN(I2504,J2504,K2504,L2504,M2504))))</f>
        <v/>
      </c>
      <c r="O2504" s="54">
        <f>IF($B2504=0,NA(),IF(Inputs!$B$24&lt;&gt;"Yes",NA(),Inputs!$D$24*Inputs!$C$35))</f>
        <v/>
      </c>
      <c r="P2504" s="54">
        <f>IF($B2504=0,NA(),IF(Inputs!$B$25&lt;&gt;"Yes",NA(),Inputs!$D$25*Inputs!$C$35))</f>
        <v/>
      </c>
      <c r="Q2504" s="54">
        <f>IF($B2504=0,NA(),IF(Inputs!$B$26&lt;&gt;"Yes",NA(),Inputs!$D$26*Inputs!$C$35))</f>
        <v/>
      </c>
      <c r="R2504" s="54">
        <f>IF($B2504=0,NA(),IF(Inputs!$B$27&lt;&gt;"Yes",NA(),Inputs!$D$27*Inputs!$C$35))</f>
        <v/>
      </c>
      <c r="S2504" s="54">
        <f>IF($B2504=0,NA(),IF(Inputs!$B$28&lt;&gt;"Yes",NA(),Inputs!$D$28*Inputs!$C$35))</f>
        <v/>
      </c>
      <c r="T2504" s="54">
        <f>IF($B2504=0,NA(),IF(Inputs!$B$29&lt;&gt;"Yes",NA(),Inputs!$D$29*Inputs!$C$35))</f>
        <v/>
      </c>
      <c r="AD2504">
        <f>IF($B2504=0,0,IF(Inputs!$B$6="",0,COUNTIFS(Data!$A$10:$A$3209,"&gt;="&amp;$A2504,Data!$A$10:$A$3209,"&lt;"&amp;$A2504+1)))</f>
        <v/>
      </c>
      <c r="AE2504">
        <f>IF($B2504=0,0,IF(Inputs!$B$7="",0,COUNTIFS(Data!$E$10:$E$3209,"&gt;="&amp;$A2504,Data!$E$10:$E$3209,"&lt;"&amp;$A2504+1)))</f>
        <v/>
      </c>
      <c r="AF2504">
        <f>IF($B2504=0,0,IF(Inputs!$B$8="",0,COUNTIFS(Data!$I$10:$I$3209,"&gt;="&amp;$A2504,Data!$I$10:$I$3209,"&lt;"&amp;$A2504+1)))</f>
        <v/>
      </c>
      <c r="AG2504">
        <f>IF($B2504=0,0,IF(Inputs!$B$9="",0,COUNTIFS(Data!$M$10:$M$3209,"&gt;="&amp;$A2504,Data!$M$10:$M$3209,"&lt;"&amp;$A2504+1)))</f>
        <v/>
      </c>
      <c r="AH2504">
        <f>IF($B2504=0,0,IF(Inputs!$B$10="",0,COUNTIFS(Data!$Q$10:$Q$3209,"&gt;="&amp;$A2504,Data!$Q$10:$Q$3209,"&lt;"&amp;$A2504+1)))</f>
        <v/>
      </c>
    </row>
    <row r="2505">
      <c r="A2505" s="55">
        <f>MIN(Inputs!$C$15,$A2504+IF(WEEKDAY($A2504,2)=5,3,1))</f>
        <v/>
      </c>
      <c r="B2505">
        <f>IF($A2505&gt;$A2504,1,0)</f>
        <v/>
      </c>
      <c r="C2505" s="56">
        <f>IF($B2505=0,"",IF(Inputs!$B$6="","",IF($AD2505=0,C2504,SUMIFS(Data!$B$10:$B$3209,Data!$A$10:$A$3209,"&gt;="&amp;$A2505,Data!$A$10:$A$3209,"&lt;"&amp;$A2505+1)/$AD2505)))</f>
        <v/>
      </c>
      <c r="D2505" s="56">
        <f>IF($B2505=0,"",IF(Inputs!$B$7="","",IF($AE2505=0,D2504,SUMIFS(Data!$F$10:$F$3209,Data!$E$10:$E$3209,"&gt;="&amp;$A2505,Data!$E$10:$E$3209,"&lt;"&amp;$A2505+1)/$AE2505)))</f>
        <v/>
      </c>
      <c r="E2505" s="56">
        <f>IF($B2505=0,"",IF(Inputs!$B$8="","",IF($AF2505=0,E2504,SUMIFS(Data!$J$10:$J$3209,Data!$I$10:$I$3209,"&gt;="&amp;$A2505,Data!$I$10:$I$3209,"&lt;"&amp;$A2505+1)/$AF2505)))</f>
        <v/>
      </c>
      <c r="F2505" s="56">
        <f>IF($B2505=0,"",IF(Inputs!$B$9="","",IF($AG2505=0,F2504,SUMIFS(Data!$N$10:$N$3209,Data!$M$10:$M$3209,"&gt;="&amp;$A2505,Data!$M$10:$M$3209,"&lt;"&amp;$A2505+1)/$AG2505)))</f>
        <v/>
      </c>
      <c r="G2505" s="56">
        <f>IF($B2505=0,"",IF(Inputs!$B$10="","",IF($AH2505=0,G2504,SUMIFS(Data!$R$10:$R$3209,Data!$Q$10:$Q$3209,"&gt;="&amp;$A2505,Data!$Q$10:$Q$3209,"&lt;"&amp;$A2505+1)/$AH2505)))</f>
        <v/>
      </c>
      <c r="I2505" s="54">
        <f>IF($B2505=0,NA(),IF($C2505="",NA(),IF(C$8="",NA(),IF(N(C$8)=0,NA(),IF(Inputs!$C$17="Rebased to 100",$C2505/C$8*100,$C2505)))))</f>
        <v/>
      </c>
      <c r="J2505" s="54">
        <f>IF($B2505=0,NA(),IF($D2505="",NA(),IF(D$8="",NA(),IF(N(D$8)=0,NA(),IF(Inputs!$C$17="Rebased to 100",$D2505/D$8*100,$D2505)))))</f>
        <v/>
      </c>
      <c r="K2505" s="54">
        <f>IF($B2505=0,NA(),IF($E2505="",NA(),IF(E$8="",NA(),IF(N(E$8)=0,NA(),IF(Inputs!$C$17="Rebased to 100",$E2505/E$8*100,$E2505)))))</f>
        <v/>
      </c>
      <c r="L2505" s="54">
        <f>IF($B2505=0,NA(),IF($F2505="",NA(),IF(F$8="",NA(),IF(N(F$8)=0,NA(),IF(Inputs!$C$17="Rebased to 100",$F2505/F$8*100,$F2505)))))</f>
        <v/>
      </c>
      <c r="M2505" s="54">
        <f>IF($B2505=0,NA(),IF($G2505="",NA(),IF(G$8="",NA(),IF(N(G$8)=0,NA(),IF(Inputs!$C$17="Rebased to 100",$G2505/G$8*100,$G2505)))))</f>
        <v/>
      </c>
      <c r="N2505" s="54">
        <f>IF($B2505=0,NA(),IF(Inputs!$C$18&lt;&gt;"Yes",NA(),IF(COUNT(I2505,J2505,K2505,L2505,M2505)=0,NA(),MIN(I2505,J2505,K2505,L2505,M2505))))</f>
        <v/>
      </c>
      <c r="O2505" s="54">
        <f>IF($B2505=0,NA(),IF(Inputs!$B$24&lt;&gt;"Yes",NA(),Inputs!$D$24*Inputs!$C$35))</f>
        <v/>
      </c>
      <c r="P2505" s="54">
        <f>IF($B2505=0,NA(),IF(Inputs!$B$25&lt;&gt;"Yes",NA(),Inputs!$D$25*Inputs!$C$35))</f>
        <v/>
      </c>
      <c r="Q2505" s="54">
        <f>IF($B2505=0,NA(),IF(Inputs!$B$26&lt;&gt;"Yes",NA(),Inputs!$D$26*Inputs!$C$35))</f>
        <v/>
      </c>
      <c r="R2505" s="54">
        <f>IF($B2505=0,NA(),IF(Inputs!$B$27&lt;&gt;"Yes",NA(),Inputs!$D$27*Inputs!$C$35))</f>
        <v/>
      </c>
      <c r="S2505" s="54">
        <f>IF($B2505=0,NA(),IF(Inputs!$B$28&lt;&gt;"Yes",NA(),Inputs!$D$28*Inputs!$C$35))</f>
        <v/>
      </c>
      <c r="T2505" s="54">
        <f>IF($B2505=0,NA(),IF(Inputs!$B$29&lt;&gt;"Yes",NA(),Inputs!$D$29*Inputs!$C$35))</f>
        <v/>
      </c>
      <c r="AD2505">
        <f>IF($B2505=0,0,IF(Inputs!$B$6="",0,COUNTIFS(Data!$A$10:$A$3209,"&gt;="&amp;$A2505,Data!$A$10:$A$3209,"&lt;"&amp;$A2505+1)))</f>
        <v/>
      </c>
      <c r="AE2505">
        <f>IF($B2505=0,0,IF(Inputs!$B$7="",0,COUNTIFS(Data!$E$10:$E$3209,"&gt;="&amp;$A2505,Data!$E$10:$E$3209,"&lt;"&amp;$A2505+1)))</f>
        <v/>
      </c>
      <c r="AF2505">
        <f>IF($B2505=0,0,IF(Inputs!$B$8="",0,COUNTIFS(Data!$I$10:$I$3209,"&gt;="&amp;$A2505,Data!$I$10:$I$3209,"&lt;"&amp;$A2505+1)))</f>
        <v/>
      </c>
      <c r="AG2505">
        <f>IF($B2505=0,0,IF(Inputs!$B$9="",0,COUNTIFS(Data!$M$10:$M$3209,"&gt;="&amp;$A2505,Data!$M$10:$M$3209,"&lt;"&amp;$A2505+1)))</f>
        <v/>
      </c>
      <c r="AH2505">
        <f>IF($B2505=0,0,IF(Inputs!$B$10="",0,COUNTIFS(Data!$Q$10:$Q$3209,"&gt;="&amp;$A2505,Data!$Q$10:$Q$3209,"&lt;"&amp;$A2505+1)))</f>
        <v/>
      </c>
    </row>
    <row r="2506">
      <c r="A2506" s="55">
        <f>MIN(Inputs!$C$15,$A2505+IF(WEEKDAY($A2505,2)=5,3,1))</f>
        <v/>
      </c>
      <c r="B2506">
        <f>IF($A2506&gt;$A2505,1,0)</f>
        <v/>
      </c>
      <c r="C2506" s="56">
        <f>IF($B2506=0,"",IF(Inputs!$B$6="","",IF($AD2506=0,C2505,SUMIFS(Data!$B$10:$B$3209,Data!$A$10:$A$3209,"&gt;="&amp;$A2506,Data!$A$10:$A$3209,"&lt;"&amp;$A2506+1)/$AD2506)))</f>
        <v/>
      </c>
      <c r="D2506" s="56">
        <f>IF($B2506=0,"",IF(Inputs!$B$7="","",IF($AE2506=0,D2505,SUMIFS(Data!$F$10:$F$3209,Data!$E$10:$E$3209,"&gt;="&amp;$A2506,Data!$E$10:$E$3209,"&lt;"&amp;$A2506+1)/$AE2506)))</f>
        <v/>
      </c>
      <c r="E2506" s="56">
        <f>IF($B2506=0,"",IF(Inputs!$B$8="","",IF($AF2506=0,E2505,SUMIFS(Data!$J$10:$J$3209,Data!$I$10:$I$3209,"&gt;="&amp;$A2506,Data!$I$10:$I$3209,"&lt;"&amp;$A2506+1)/$AF2506)))</f>
        <v/>
      </c>
      <c r="F2506" s="56">
        <f>IF($B2506=0,"",IF(Inputs!$B$9="","",IF($AG2506=0,F2505,SUMIFS(Data!$N$10:$N$3209,Data!$M$10:$M$3209,"&gt;="&amp;$A2506,Data!$M$10:$M$3209,"&lt;"&amp;$A2506+1)/$AG2506)))</f>
        <v/>
      </c>
      <c r="G2506" s="56">
        <f>IF($B2506=0,"",IF(Inputs!$B$10="","",IF($AH2506=0,G2505,SUMIFS(Data!$R$10:$R$3209,Data!$Q$10:$Q$3209,"&gt;="&amp;$A2506,Data!$Q$10:$Q$3209,"&lt;"&amp;$A2506+1)/$AH2506)))</f>
        <v/>
      </c>
      <c r="I2506" s="54">
        <f>IF($B2506=0,NA(),IF($C2506="",NA(),IF(C$8="",NA(),IF(N(C$8)=0,NA(),IF(Inputs!$C$17="Rebased to 100",$C2506/C$8*100,$C2506)))))</f>
        <v/>
      </c>
      <c r="J2506" s="54">
        <f>IF($B2506=0,NA(),IF($D2506="",NA(),IF(D$8="",NA(),IF(N(D$8)=0,NA(),IF(Inputs!$C$17="Rebased to 100",$D2506/D$8*100,$D2506)))))</f>
        <v/>
      </c>
      <c r="K2506" s="54">
        <f>IF($B2506=0,NA(),IF($E2506="",NA(),IF(E$8="",NA(),IF(N(E$8)=0,NA(),IF(Inputs!$C$17="Rebased to 100",$E2506/E$8*100,$E2506)))))</f>
        <v/>
      </c>
      <c r="L2506" s="54">
        <f>IF($B2506=0,NA(),IF($F2506="",NA(),IF(F$8="",NA(),IF(N(F$8)=0,NA(),IF(Inputs!$C$17="Rebased to 100",$F2506/F$8*100,$F2506)))))</f>
        <v/>
      </c>
      <c r="M2506" s="54">
        <f>IF($B2506=0,NA(),IF($G2506="",NA(),IF(G$8="",NA(),IF(N(G$8)=0,NA(),IF(Inputs!$C$17="Rebased to 100",$G2506/G$8*100,$G2506)))))</f>
        <v/>
      </c>
      <c r="N2506" s="54">
        <f>IF($B2506=0,NA(),IF(Inputs!$C$18&lt;&gt;"Yes",NA(),IF(COUNT(I2506,J2506,K2506,L2506,M2506)=0,NA(),MIN(I2506,J2506,K2506,L2506,M2506))))</f>
        <v/>
      </c>
      <c r="O2506" s="54">
        <f>IF($B2506=0,NA(),IF(Inputs!$B$24&lt;&gt;"Yes",NA(),Inputs!$D$24*Inputs!$C$35))</f>
        <v/>
      </c>
      <c r="P2506" s="54">
        <f>IF($B2506=0,NA(),IF(Inputs!$B$25&lt;&gt;"Yes",NA(),Inputs!$D$25*Inputs!$C$35))</f>
        <v/>
      </c>
      <c r="Q2506" s="54">
        <f>IF($B2506=0,NA(),IF(Inputs!$B$26&lt;&gt;"Yes",NA(),Inputs!$D$26*Inputs!$C$35))</f>
        <v/>
      </c>
      <c r="R2506" s="54">
        <f>IF($B2506=0,NA(),IF(Inputs!$B$27&lt;&gt;"Yes",NA(),Inputs!$D$27*Inputs!$C$35))</f>
        <v/>
      </c>
      <c r="S2506" s="54">
        <f>IF($B2506=0,NA(),IF(Inputs!$B$28&lt;&gt;"Yes",NA(),Inputs!$D$28*Inputs!$C$35))</f>
        <v/>
      </c>
      <c r="T2506" s="54">
        <f>IF($B2506=0,NA(),IF(Inputs!$B$29&lt;&gt;"Yes",NA(),Inputs!$D$29*Inputs!$C$35))</f>
        <v/>
      </c>
      <c r="AD2506">
        <f>IF($B2506=0,0,IF(Inputs!$B$6="",0,COUNTIFS(Data!$A$10:$A$3209,"&gt;="&amp;$A2506,Data!$A$10:$A$3209,"&lt;"&amp;$A2506+1)))</f>
        <v/>
      </c>
      <c r="AE2506">
        <f>IF($B2506=0,0,IF(Inputs!$B$7="",0,COUNTIFS(Data!$E$10:$E$3209,"&gt;="&amp;$A2506,Data!$E$10:$E$3209,"&lt;"&amp;$A2506+1)))</f>
        <v/>
      </c>
      <c r="AF2506">
        <f>IF($B2506=0,0,IF(Inputs!$B$8="",0,COUNTIFS(Data!$I$10:$I$3209,"&gt;="&amp;$A2506,Data!$I$10:$I$3209,"&lt;"&amp;$A2506+1)))</f>
        <v/>
      </c>
      <c r="AG2506">
        <f>IF($B2506=0,0,IF(Inputs!$B$9="",0,COUNTIFS(Data!$M$10:$M$3209,"&gt;="&amp;$A2506,Data!$M$10:$M$3209,"&lt;"&amp;$A2506+1)))</f>
        <v/>
      </c>
      <c r="AH2506">
        <f>IF($B2506=0,0,IF(Inputs!$B$10="",0,COUNTIFS(Data!$Q$10:$Q$3209,"&gt;="&amp;$A2506,Data!$Q$10:$Q$3209,"&lt;"&amp;$A2506+1)))</f>
        <v/>
      </c>
    </row>
    <row r="2507">
      <c r="A2507" s="55">
        <f>MIN(Inputs!$C$15,$A2506+IF(WEEKDAY($A2506,2)=5,3,1))</f>
        <v/>
      </c>
      <c r="B2507">
        <f>IF($A2507&gt;$A2506,1,0)</f>
        <v/>
      </c>
      <c r="C2507" s="56">
        <f>IF($B2507=0,"",IF(Inputs!$B$6="","",IF($AD2507=0,C2506,SUMIFS(Data!$B$10:$B$3209,Data!$A$10:$A$3209,"&gt;="&amp;$A2507,Data!$A$10:$A$3209,"&lt;"&amp;$A2507+1)/$AD2507)))</f>
        <v/>
      </c>
      <c r="D2507" s="56">
        <f>IF($B2507=0,"",IF(Inputs!$B$7="","",IF($AE2507=0,D2506,SUMIFS(Data!$F$10:$F$3209,Data!$E$10:$E$3209,"&gt;="&amp;$A2507,Data!$E$10:$E$3209,"&lt;"&amp;$A2507+1)/$AE2507)))</f>
        <v/>
      </c>
      <c r="E2507" s="56">
        <f>IF($B2507=0,"",IF(Inputs!$B$8="","",IF($AF2507=0,E2506,SUMIFS(Data!$J$10:$J$3209,Data!$I$10:$I$3209,"&gt;="&amp;$A2507,Data!$I$10:$I$3209,"&lt;"&amp;$A2507+1)/$AF2507)))</f>
        <v/>
      </c>
      <c r="F2507" s="56">
        <f>IF($B2507=0,"",IF(Inputs!$B$9="","",IF($AG2507=0,F2506,SUMIFS(Data!$N$10:$N$3209,Data!$M$10:$M$3209,"&gt;="&amp;$A2507,Data!$M$10:$M$3209,"&lt;"&amp;$A2507+1)/$AG2507)))</f>
        <v/>
      </c>
      <c r="G2507" s="56">
        <f>IF($B2507=0,"",IF(Inputs!$B$10="","",IF($AH2507=0,G2506,SUMIFS(Data!$R$10:$R$3209,Data!$Q$10:$Q$3209,"&gt;="&amp;$A2507,Data!$Q$10:$Q$3209,"&lt;"&amp;$A2507+1)/$AH2507)))</f>
        <v/>
      </c>
      <c r="I2507" s="54">
        <f>IF($B2507=0,NA(),IF($C2507="",NA(),IF(C$8="",NA(),IF(N(C$8)=0,NA(),IF(Inputs!$C$17="Rebased to 100",$C2507/C$8*100,$C2507)))))</f>
        <v/>
      </c>
      <c r="J2507" s="54">
        <f>IF($B2507=0,NA(),IF($D2507="",NA(),IF(D$8="",NA(),IF(N(D$8)=0,NA(),IF(Inputs!$C$17="Rebased to 100",$D2507/D$8*100,$D2507)))))</f>
        <v/>
      </c>
      <c r="K2507" s="54">
        <f>IF($B2507=0,NA(),IF($E2507="",NA(),IF(E$8="",NA(),IF(N(E$8)=0,NA(),IF(Inputs!$C$17="Rebased to 100",$E2507/E$8*100,$E2507)))))</f>
        <v/>
      </c>
      <c r="L2507" s="54">
        <f>IF($B2507=0,NA(),IF($F2507="",NA(),IF(F$8="",NA(),IF(N(F$8)=0,NA(),IF(Inputs!$C$17="Rebased to 100",$F2507/F$8*100,$F2507)))))</f>
        <v/>
      </c>
      <c r="M2507" s="54">
        <f>IF($B2507=0,NA(),IF($G2507="",NA(),IF(G$8="",NA(),IF(N(G$8)=0,NA(),IF(Inputs!$C$17="Rebased to 100",$G2507/G$8*100,$G2507)))))</f>
        <v/>
      </c>
      <c r="N2507" s="54">
        <f>IF($B2507=0,NA(),IF(Inputs!$C$18&lt;&gt;"Yes",NA(),IF(COUNT(I2507,J2507,K2507,L2507,M2507)=0,NA(),MIN(I2507,J2507,K2507,L2507,M2507))))</f>
        <v/>
      </c>
      <c r="O2507" s="54">
        <f>IF($B2507=0,NA(),IF(Inputs!$B$24&lt;&gt;"Yes",NA(),Inputs!$D$24*Inputs!$C$35))</f>
        <v/>
      </c>
      <c r="P2507" s="54">
        <f>IF($B2507=0,NA(),IF(Inputs!$B$25&lt;&gt;"Yes",NA(),Inputs!$D$25*Inputs!$C$35))</f>
        <v/>
      </c>
      <c r="Q2507" s="54">
        <f>IF($B2507=0,NA(),IF(Inputs!$B$26&lt;&gt;"Yes",NA(),Inputs!$D$26*Inputs!$C$35))</f>
        <v/>
      </c>
      <c r="R2507" s="54">
        <f>IF($B2507=0,NA(),IF(Inputs!$B$27&lt;&gt;"Yes",NA(),Inputs!$D$27*Inputs!$C$35))</f>
        <v/>
      </c>
      <c r="S2507" s="54">
        <f>IF($B2507=0,NA(),IF(Inputs!$B$28&lt;&gt;"Yes",NA(),Inputs!$D$28*Inputs!$C$35))</f>
        <v/>
      </c>
      <c r="T2507" s="54">
        <f>IF($B2507=0,NA(),IF(Inputs!$B$29&lt;&gt;"Yes",NA(),Inputs!$D$29*Inputs!$C$35))</f>
        <v/>
      </c>
      <c r="AD2507">
        <f>IF($B2507=0,0,IF(Inputs!$B$6="",0,COUNTIFS(Data!$A$10:$A$3209,"&gt;="&amp;$A2507,Data!$A$10:$A$3209,"&lt;"&amp;$A2507+1)))</f>
        <v/>
      </c>
      <c r="AE2507">
        <f>IF($B2507=0,0,IF(Inputs!$B$7="",0,COUNTIFS(Data!$E$10:$E$3209,"&gt;="&amp;$A2507,Data!$E$10:$E$3209,"&lt;"&amp;$A2507+1)))</f>
        <v/>
      </c>
      <c r="AF2507">
        <f>IF($B2507=0,0,IF(Inputs!$B$8="",0,COUNTIFS(Data!$I$10:$I$3209,"&gt;="&amp;$A2507,Data!$I$10:$I$3209,"&lt;"&amp;$A2507+1)))</f>
        <v/>
      </c>
      <c r="AG2507">
        <f>IF($B2507=0,0,IF(Inputs!$B$9="",0,COUNTIFS(Data!$M$10:$M$3209,"&gt;="&amp;$A2507,Data!$M$10:$M$3209,"&lt;"&amp;$A2507+1)))</f>
        <v/>
      </c>
      <c r="AH2507">
        <f>IF($B2507=0,0,IF(Inputs!$B$10="",0,COUNTIFS(Data!$Q$10:$Q$3209,"&gt;="&amp;$A2507,Data!$Q$10:$Q$3209,"&lt;"&amp;$A2507+1)))</f>
        <v/>
      </c>
    </row>
    <row r="2508">
      <c r="A2508" s="55">
        <f>MIN(Inputs!$C$15,$A2507+IF(WEEKDAY($A2507,2)=5,3,1))</f>
        <v/>
      </c>
      <c r="B2508">
        <f>IF($A2508&gt;$A2507,1,0)</f>
        <v/>
      </c>
      <c r="C2508" s="56">
        <f>IF($B2508=0,"",IF(Inputs!$B$6="","",IF($AD2508=0,C2507,SUMIFS(Data!$B$10:$B$3209,Data!$A$10:$A$3209,"&gt;="&amp;$A2508,Data!$A$10:$A$3209,"&lt;"&amp;$A2508+1)/$AD2508)))</f>
        <v/>
      </c>
      <c r="D2508" s="56">
        <f>IF($B2508=0,"",IF(Inputs!$B$7="","",IF($AE2508=0,D2507,SUMIFS(Data!$F$10:$F$3209,Data!$E$10:$E$3209,"&gt;="&amp;$A2508,Data!$E$10:$E$3209,"&lt;"&amp;$A2508+1)/$AE2508)))</f>
        <v/>
      </c>
      <c r="E2508" s="56">
        <f>IF($B2508=0,"",IF(Inputs!$B$8="","",IF($AF2508=0,E2507,SUMIFS(Data!$J$10:$J$3209,Data!$I$10:$I$3209,"&gt;="&amp;$A2508,Data!$I$10:$I$3209,"&lt;"&amp;$A2508+1)/$AF2508)))</f>
        <v/>
      </c>
      <c r="F2508" s="56">
        <f>IF($B2508=0,"",IF(Inputs!$B$9="","",IF($AG2508=0,F2507,SUMIFS(Data!$N$10:$N$3209,Data!$M$10:$M$3209,"&gt;="&amp;$A2508,Data!$M$10:$M$3209,"&lt;"&amp;$A2508+1)/$AG2508)))</f>
        <v/>
      </c>
      <c r="G2508" s="56">
        <f>IF($B2508=0,"",IF(Inputs!$B$10="","",IF($AH2508=0,G2507,SUMIFS(Data!$R$10:$R$3209,Data!$Q$10:$Q$3209,"&gt;="&amp;$A2508,Data!$Q$10:$Q$3209,"&lt;"&amp;$A2508+1)/$AH2508)))</f>
        <v/>
      </c>
      <c r="I2508" s="54">
        <f>IF($B2508=0,NA(),IF($C2508="",NA(),IF(C$8="",NA(),IF(N(C$8)=0,NA(),IF(Inputs!$C$17="Rebased to 100",$C2508/C$8*100,$C2508)))))</f>
        <v/>
      </c>
      <c r="J2508" s="54">
        <f>IF($B2508=0,NA(),IF($D2508="",NA(),IF(D$8="",NA(),IF(N(D$8)=0,NA(),IF(Inputs!$C$17="Rebased to 100",$D2508/D$8*100,$D2508)))))</f>
        <v/>
      </c>
      <c r="K2508" s="54">
        <f>IF($B2508=0,NA(),IF($E2508="",NA(),IF(E$8="",NA(),IF(N(E$8)=0,NA(),IF(Inputs!$C$17="Rebased to 100",$E2508/E$8*100,$E2508)))))</f>
        <v/>
      </c>
      <c r="L2508" s="54">
        <f>IF($B2508=0,NA(),IF($F2508="",NA(),IF(F$8="",NA(),IF(N(F$8)=0,NA(),IF(Inputs!$C$17="Rebased to 100",$F2508/F$8*100,$F2508)))))</f>
        <v/>
      </c>
      <c r="M2508" s="54">
        <f>IF($B2508=0,NA(),IF($G2508="",NA(),IF(G$8="",NA(),IF(N(G$8)=0,NA(),IF(Inputs!$C$17="Rebased to 100",$G2508/G$8*100,$G2508)))))</f>
        <v/>
      </c>
      <c r="N2508" s="54">
        <f>IF($B2508=0,NA(),IF(Inputs!$C$18&lt;&gt;"Yes",NA(),IF(COUNT(I2508,J2508,K2508,L2508,M2508)=0,NA(),MIN(I2508,J2508,K2508,L2508,M2508))))</f>
        <v/>
      </c>
      <c r="O2508" s="54">
        <f>IF($B2508=0,NA(),IF(Inputs!$B$24&lt;&gt;"Yes",NA(),Inputs!$D$24*Inputs!$C$35))</f>
        <v/>
      </c>
      <c r="P2508" s="54">
        <f>IF($B2508=0,NA(),IF(Inputs!$B$25&lt;&gt;"Yes",NA(),Inputs!$D$25*Inputs!$C$35))</f>
        <v/>
      </c>
      <c r="Q2508" s="54">
        <f>IF($B2508=0,NA(),IF(Inputs!$B$26&lt;&gt;"Yes",NA(),Inputs!$D$26*Inputs!$C$35))</f>
        <v/>
      </c>
      <c r="R2508" s="54">
        <f>IF($B2508=0,NA(),IF(Inputs!$B$27&lt;&gt;"Yes",NA(),Inputs!$D$27*Inputs!$C$35))</f>
        <v/>
      </c>
      <c r="S2508" s="54">
        <f>IF($B2508=0,NA(),IF(Inputs!$B$28&lt;&gt;"Yes",NA(),Inputs!$D$28*Inputs!$C$35))</f>
        <v/>
      </c>
      <c r="T2508" s="54">
        <f>IF($B2508=0,NA(),IF(Inputs!$B$29&lt;&gt;"Yes",NA(),Inputs!$D$29*Inputs!$C$35))</f>
        <v/>
      </c>
      <c r="AD2508">
        <f>IF($B2508=0,0,IF(Inputs!$B$6="",0,COUNTIFS(Data!$A$10:$A$3209,"&gt;="&amp;$A2508,Data!$A$10:$A$3209,"&lt;"&amp;$A2508+1)))</f>
        <v/>
      </c>
      <c r="AE2508">
        <f>IF($B2508=0,0,IF(Inputs!$B$7="",0,COUNTIFS(Data!$E$10:$E$3209,"&gt;="&amp;$A2508,Data!$E$10:$E$3209,"&lt;"&amp;$A2508+1)))</f>
        <v/>
      </c>
      <c r="AF2508">
        <f>IF($B2508=0,0,IF(Inputs!$B$8="",0,COUNTIFS(Data!$I$10:$I$3209,"&gt;="&amp;$A2508,Data!$I$10:$I$3209,"&lt;"&amp;$A2508+1)))</f>
        <v/>
      </c>
      <c r="AG2508">
        <f>IF($B2508=0,0,IF(Inputs!$B$9="",0,COUNTIFS(Data!$M$10:$M$3209,"&gt;="&amp;$A2508,Data!$M$10:$M$3209,"&lt;"&amp;$A2508+1)))</f>
        <v/>
      </c>
      <c r="AH2508">
        <f>IF($B2508=0,0,IF(Inputs!$B$10="",0,COUNTIFS(Data!$Q$10:$Q$3209,"&gt;="&amp;$A2508,Data!$Q$10:$Q$3209,"&lt;"&amp;$A2508+1)))</f>
        <v/>
      </c>
    </row>
    <row r="2509">
      <c r="A2509" s="55">
        <f>MIN(Inputs!$C$15,$A2508+IF(WEEKDAY($A2508,2)=5,3,1))</f>
        <v/>
      </c>
      <c r="B2509">
        <f>IF($A2509&gt;$A2508,1,0)</f>
        <v/>
      </c>
      <c r="C2509" s="56">
        <f>IF($B2509=0,"",IF(Inputs!$B$6="","",IF($AD2509=0,C2508,SUMIFS(Data!$B$10:$B$3209,Data!$A$10:$A$3209,"&gt;="&amp;$A2509,Data!$A$10:$A$3209,"&lt;"&amp;$A2509+1)/$AD2509)))</f>
        <v/>
      </c>
      <c r="D2509" s="56">
        <f>IF($B2509=0,"",IF(Inputs!$B$7="","",IF($AE2509=0,D2508,SUMIFS(Data!$F$10:$F$3209,Data!$E$10:$E$3209,"&gt;="&amp;$A2509,Data!$E$10:$E$3209,"&lt;"&amp;$A2509+1)/$AE2509)))</f>
        <v/>
      </c>
      <c r="E2509" s="56">
        <f>IF($B2509=0,"",IF(Inputs!$B$8="","",IF($AF2509=0,E2508,SUMIFS(Data!$J$10:$J$3209,Data!$I$10:$I$3209,"&gt;="&amp;$A2509,Data!$I$10:$I$3209,"&lt;"&amp;$A2509+1)/$AF2509)))</f>
        <v/>
      </c>
      <c r="F2509" s="56">
        <f>IF($B2509=0,"",IF(Inputs!$B$9="","",IF($AG2509=0,F2508,SUMIFS(Data!$N$10:$N$3209,Data!$M$10:$M$3209,"&gt;="&amp;$A2509,Data!$M$10:$M$3209,"&lt;"&amp;$A2509+1)/$AG2509)))</f>
        <v/>
      </c>
      <c r="G2509" s="56">
        <f>IF($B2509=0,"",IF(Inputs!$B$10="","",IF($AH2509=0,G2508,SUMIFS(Data!$R$10:$R$3209,Data!$Q$10:$Q$3209,"&gt;="&amp;$A2509,Data!$Q$10:$Q$3209,"&lt;"&amp;$A2509+1)/$AH2509)))</f>
        <v/>
      </c>
      <c r="I2509" s="54">
        <f>IF($B2509=0,NA(),IF($C2509="",NA(),IF(C$8="",NA(),IF(N(C$8)=0,NA(),IF(Inputs!$C$17="Rebased to 100",$C2509/C$8*100,$C2509)))))</f>
        <v/>
      </c>
      <c r="J2509" s="54">
        <f>IF($B2509=0,NA(),IF($D2509="",NA(),IF(D$8="",NA(),IF(N(D$8)=0,NA(),IF(Inputs!$C$17="Rebased to 100",$D2509/D$8*100,$D2509)))))</f>
        <v/>
      </c>
      <c r="K2509" s="54">
        <f>IF($B2509=0,NA(),IF($E2509="",NA(),IF(E$8="",NA(),IF(N(E$8)=0,NA(),IF(Inputs!$C$17="Rebased to 100",$E2509/E$8*100,$E2509)))))</f>
        <v/>
      </c>
      <c r="L2509" s="54">
        <f>IF($B2509=0,NA(),IF($F2509="",NA(),IF(F$8="",NA(),IF(N(F$8)=0,NA(),IF(Inputs!$C$17="Rebased to 100",$F2509/F$8*100,$F2509)))))</f>
        <v/>
      </c>
      <c r="M2509" s="54">
        <f>IF($B2509=0,NA(),IF($G2509="",NA(),IF(G$8="",NA(),IF(N(G$8)=0,NA(),IF(Inputs!$C$17="Rebased to 100",$G2509/G$8*100,$G2509)))))</f>
        <v/>
      </c>
      <c r="N2509" s="54">
        <f>IF($B2509=0,NA(),IF(Inputs!$C$18&lt;&gt;"Yes",NA(),IF(COUNT(I2509,J2509,K2509,L2509,M2509)=0,NA(),MIN(I2509,J2509,K2509,L2509,M2509))))</f>
        <v/>
      </c>
      <c r="O2509" s="54">
        <f>IF($B2509=0,NA(),IF(Inputs!$B$24&lt;&gt;"Yes",NA(),Inputs!$D$24*Inputs!$C$35))</f>
        <v/>
      </c>
      <c r="P2509" s="54">
        <f>IF($B2509=0,NA(),IF(Inputs!$B$25&lt;&gt;"Yes",NA(),Inputs!$D$25*Inputs!$C$35))</f>
        <v/>
      </c>
      <c r="Q2509" s="54">
        <f>IF($B2509=0,NA(),IF(Inputs!$B$26&lt;&gt;"Yes",NA(),Inputs!$D$26*Inputs!$C$35))</f>
        <v/>
      </c>
      <c r="R2509" s="54">
        <f>IF($B2509=0,NA(),IF(Inputs!$B$27&lt;&gt;"Yes",NA(),Inputs!$D$27*Inputs!$C$35))</f>
        <v/>
      </c>
      <c r="S2509" s="54">
        <f>IF($B2509=0,NA(),IF(Inputs!$B$28&lt;&gt;"Yes",NA(),Inputs!$D$28*Inputs!$C$35))</f>
        <v/>
      </c>
      <c r="T2509" s="54">
        <f>IF($B2509=0,NA(),IF(Inputs!$B$29&lt;&gt;"Yes",NA(),Inputs!$D$29*Inputs!$C$35))</f>
        <v/>
      </c>
      <c r="AD2509">
        <f>IF($B2509=0,0,IF(Inputs!$B$6="",0,COUNTIFS(Data!$A$10:$A$3209,"&gt;="&amp;$A2509,Data!$A$10:$A$3209,"&lt;"&amp;$A2509+1)))</f>
        <v/>
      </c>
      <c r="AE2509">
        <f>IF($B2509=0,0,IF(Inputs!$B$7="",0,COUNTIFS(Data!$E$10:$E$3209,"&gt;="&amp;$A2509,Data!$E$10:$E$3209,"&lt;"&amp;$A2509+1)))</f>
        <v/>
      </c>
      <c r="AF2509">
        <f>IF($B2509=0,0,IF(Inputs!$B$8="",0,COUNTIFS(Data!$I$10:$I$3209,"&gt;="&amp;$A2509,Data!$I$10:$I$3209,"&lt;"&amp;$A2509+1)))</f>
        <v/>
      </c>
      <c r="AG2509">
        <f>IF($B2509=0,0,IF(Inputs!$B$9="",0,COUNTIFS(Data!$M$10:$M$3209,"&gt;="&amp;$A2509,Data!$M$10:$M$3209,"&lt;"&amp;$A2509+1)))</f>
        <v/>
      </c>
      <c r="AH2509">
        <f>IF($B2509=0,0,IF(Inputs!$B$10="",0,COUNTIFS(Data!$Q$10:$Q$3209,"&gt;="&amp;$A2509,Data!$Q$10:$Q$3209,"&lt;"&amp;$A2509+1)))</f>
        <v/>
      </c>
    </row>
    <row r="2510">
      <c r="A2510" s="55">
        <f>MIN(Inputs!$C$15,$A2509+IF(WEEKDAY($A2509,2)=5,3,1))</f>
        <v/>
      </c>
      <c r="B2510">
        <f>IF($A2510&gt;$A2509,1,0)</f>
        <v/>
      </c>
      <c r="C2510" s="56">
        <f>IF($B2510=0,"",IF(Inputs!$B$6="","",IF($AD2510=0,C2509,SUMIFS(Data!$B$10:$B$3209,Data!$A$10:$A$3209,"&gt;="&amp;$A2510,Data!$A$10:$A$3209,"&lt;"&amp;$A2510+1)/$AD2510)))</f>
        <v/>
      </c>
      <c r="D2510" s="56">
        <f>IF($B2510=0,"",IF(Inputs!$B$7="","",IF($AE2510=0,D2509,SUMIFS(Data!$F$10:$F$3209,Data!$E$10:$E$3209,"&gt;="&amp;$A2510,Data!$E$10:$E$3209,"&lt;"&amp;$A2510+1)/$AE2510)))</f>
        <v/>
      </c>
      <c r="E2510" s="56">
        <f>IF($B2510=0,"",IF(Inputs!$B$8="","",IF($AF2510=0,E2509,SUMIFS(Data!$J$10:$J$3209,Data!$I$10:$I$3209,"&gt;="&amp;$A2510,Data!$I$10:$I$3209,"&lt;"&amp;$A2510+1)/$AF2510)))</f>
        <v/>
      </c>
      <c r="F2510" s="56">
        <f>IF($B2510=0,"",IF(Inputs!$B$9="","",IF($AG2510=0,F2509,SUMIFS(Data!$N$10:$N$3209,Data!$M$10:$M$3209,"&gt;="&amp;$A2510,Data!$M$10:$M$3209,"&lt;"&amp;$A2510+1)/$AG2510)))</f>
        <v/>
      </c>
      <c r="G2510" s="56">
        <f>IF($B2510=0,"",IF(Inputs!$B$10="","",IF($AH2510=0,G2509,SUMIFS(Data!$R$10:$R$3209,Data!$Q$10:$Q$3209,"&gt;="&amp;$A2510,Data!$Q$10:$Q$3209,"&lt;"&amp;$A2510+1)/$AH2510)))</f>
        <v/>
      </c>
      <c r="I2510" s="54">
        <f>IF($B2510=0,NA(),IF($C2510="",NA(),IF(C$8="",NA(),IF(N(C$8)=0,NA(),IF(Inputs!$C$17="Rebased to 100",$C2510/C$8*100,$C2510)))))</f>
        <v/>
      </c>
      <c r="J2510" s="54">
        <f>IF($B2510=0,NA(),IF($D2510="",NA(),IF(D$8="",NA(),IF(N(D$8)=0,NA(),IF(Inputs!$C$17="Rebased to 100",$D2510/D$8*100,$D2510)))))</f>
        <v/>
      </c>
      <c r="K2510" s="54">
        <f>IF($B2510=0,NA(),IF($E2510="",NA(),IF(E$8="",NA(),IF(N(E$8)=0,NA(),IF(Inputs!$C$17="Rebased to 100",$E2510/E$8*100,$E2510)))))</f>
        <v/>
      </c>
      <c r="L2510" s="54">
        <f>IF($B2510=0,NA(),IF($F2510="",NA(),IF(F$8="",NA(),IF(N(F$8)=0,NA(),IF(Inputs!$C$17="Rebased to 100",$F2510/F$8*100,$F2510)))))</f>
        <v/>
      </c>
      <c r="M2510" s="54">
        <f>IF($B2510=0,NA(),IF($G2510="",NA(),IF(G$8="",NA(),IF(N(G$8)=0,NA(),IF(Inputs!$C$17="Rebased to 100",$G2510/G$8*100,$G2510)))))</f>
        <v/>
      </c>
      <c r="N2510" s="54">
        <f>IF($B2510=0,NA(),IF(Inputs!$C$18&lt;&gt;"Yes",NA(),IF(COUNT(I2510,J2510,K2510,L2510,M2510)=0,NA(),MIN(I2510,J2510,K2510,L2510,M2510))))</f>
        <v/>
      </c>
      <c r="O2510" s="54">
        <f>IF($B2510=0,NA(),IF(Inputs!$B$24&lt;&gt;"Yes",NA(),Inputs!$D$24*Inputs!$C$35))</f>
        <v/>
      </c>
      <c r="P2510" s="54">
        <f>IF($B2510=0,NA(),IF(Inputs!$B$25&lt;&gt;"Yes",NA(),Inputs!$D$25*Inputs!$C$35))</f>
        <v/>
      </c>
      <c r="Q2510" s="54">
        <f>IF($B2510=0,NA(),IF(Inputs!$B$26&lt;&gt;"Yes",NA(),Inputs!$D$26*Inputs!$C$35))</f>
        <v/>
      </c>
      <c r="R2510" s="54">
        <f>IF($B2510=0,NA(),IF(Inputs!$B$27&lt;&gt;"Yes",NA(),Inputs!$D$27*Inputs!$C$35))</f>
        <v/>
      </c>
      <c r="S2510" s="54">
        <f>IF($B2510=0,NA(),IF(Inputs!$B$28&lt;&gt;"Yes",NA(),Inputs!$D$28*Inputs!$C$35))</f>
        <v/>
      </c>
      <c r="T2510" s="54">
        <f>IF($B2510=0,NA(),IF(Inputs!$B$29&lt;&gt;"Yes",NA(),Inputs!$D$29*Inputs!$C$35))</f>
        <v/>
      </c>
      <c r="AD2510">
        <f>IF($B2510=0,0,IF(Inputs!$B$6="",0,COUNTIFS(Data!$A$10:$A$3209,"&gt;="&amp;$A2510,Data!$A$10:$A$3209,"&lt;"&amp;$A2510+1)))</f>
        <v/>
      </c>
      <c r="AE2510">
        <f>IF($B2510=0,0,IF(Inputs!$B$7="",0,COUNTIFS(Data!$E$10:$E$3209,"&gt;="&amp;$A2510,Data!$E$10:$E$3209,"&lt;"&amp;$A2510+1)))</f>
        <v/>
      </c>
      <c r="AF2510">
        <f>IF($B2510=0,0,IF(Inputs!$B$8="",0,COUNTIFS(Data!$I$10:$I$3209,"&gt;="&amp;$A2510,Data!$I$10:$I$3209,"&lt;"&amp;$A2510+1)))</f>
        <v/>
      </c>
      <c r="AG2510">
        <f>IF($B2510=0,0,IF(Inputs!$B$9="",0,COUNTIFS(Data!$M$10:$M$3209,"&gt;="&amp;$A2510,Data!$M$10:$M$3209,"&lt;"&amp;$A2510+1)))</f>
        <v/>
      </c>
      <c r="AH2510">
        <f>IF($B2510=0,0,IF(Inputs!$B$10="",0,COUNTIFS(Data!$Q$10:$Q$3209,"&gt;="&amp;$A2510,Data!$Q$10:$Q$3209,"&lt;"&amp;$A2510+1)))</f>
        <v/>
      </c>
    </row>
    <row r="2511">
      <c r="A2511" s="55">
        <f>MIN(Inputs!$C$15,$A2510+IF(WEEKDAY($A2510,2)=5,3,1))</f>
        <v/>
      </c>
      <c r="B2511">
        <f>IF($A2511&gt;$A2510,1,0)</f>
        <v/>
      </c>
      <c r="C2511" s="56">
        <f>IF($B2511=0,"",IF(Inputs!$B$6="","",IF($AD2511=0,C2510,SUMIFS(Data!$B$10:$B$3209,Data!$A$10:$A$3209,"&gt;="&amp;$A2511,Data!$A$10:$A$3209,"&lt;"&amp;$A2511+1)/$AD2511)))</f>
        <v/>
      </c>
      <c r="D2511" s="56">
        <f>IF($B2511=0,"",IF(Inputs!$B$7="","",IF($AE2511=0,D2510,SUMIFS(Data!$F$10:$F$3209,Data!$E$10:$E$3209,"&gt;="&amp;$A2511,Data!$E$10:$E$3209,"&lt;"&amp;$A2511+1)/$AE2511)))</f>
        <v/>
      </c>
      <c r="E2511" s="56">
        <f>IF($B2511=0,"",IF(Inputs!$B$8="","",IF($AF2511=0,E2510,SUMIFS(Data!$J$10:$J$3209,Data!$I$10:$I$3209,"&gt;="&amp;$A2511,Data!$I$10:$I$3209,"&lt;"&amp;$A2511+1)/$AF2511)))</f>
        <v/>
      </c>
      <c r="F2511" s="56">
        <f>IF($B2511=0,"",IF(Inputs!$B$9="","",IF($AG2511=0,F2510,SUMIFS(Data!$N$10:$N$3209,Data!$M$10:$M$3209,"&gt;="&amp;$A2511,Data!$M$10:$M$3209,"&lt;"&amp;$A2511+1)/$AG2511)))</f>
        <v/>
      </c>
      <c r="G2511" s="56">
        <f>IF($B2511=0,"",IF(Inputs!$B$10="","",IF($AH2511=0,G2510,SUMIFS(Data!$R$10:$R$3209,Data!$Q$10:$Q$3209,"&gt;="&amp;$A2511,Data!$Q$10:$Q$3209,"&lt;"&amp;$A2511+1)/$AH2511)))</f>
        <v/>
      </c>
      <c r="I2511" s="54">
        <f>IF($B2511=0,NA(),IF($C2511="",NA(),IF(C$8="",NA(),IF(N(C$8)=0,NA(),IF(Inputs!$C$17="Rebased to 100",$C2511/C$8*100,$C2511)))))</f>
        <v/>
      </c>
      <c r="J2511" s="54">
        <f>IF($B2511=0,NA(),IF($D2511="",NA(),IF(D$8="",NA(),IF(N(D$8)=0,NA(),IF(Inputs!$C$17="Rebased to 100",$D2511/D$8*100,$D2511)))))</f>
        <v/>
      </c>
      <c r="K2511" s="54">
        <f>IF($B2511=0,NA(),IF($E2511="",NA(),IF(E$8="",NA(),IF(N(E$8)=0,NA(),IF(Inputs!$C$17="Rebased to 100",$E2511/E$8*100,$E2511)))))</f>
        <v/>
      </c>
      <c r="L2511" s="54">
        <f>IF($B2511=0,NA(),IF($F2511="",NA(),IF(F$8="",NA(),IF(N(F$8)=0,NA(),IF(Inputs!$C$17="Rebased to 100",$F2511/F$8*100,$F2511)))))</f>
        <v/>
      </c>
      <c r="M2511" s="54">
        <f>IF($B2511=0,NA(),IF($G2511="",NA(),IF(G$8="",NA(),IF(N(G$8)=0,NA(),IF(Inputs!$C$17="Rebased to 100",$G2511/G$8*100,$G2511)))))</f>
        <v/>
      </c>
      <c r="N2511" s="54">
        <f>IF($B2511=0,NA(),IF(Inputs!$C$18&lt;&gt;"Yes",NA(),IF(COUNT(I2511,J2511,K2511,L2511,M2511)=0,NA(),MIN(I2511,J2511,K2511,L2511,M2511))))</f>
        <v/>
      </c>
      <c r="O2511" s="54">
        <f>IF($B2511=0,NA(),IF(Inputs!$B$24&lt;&gt;"Yes",NA(),Inputs!$D$24*Inputs!$C$35))</f>
        <v/>
      </c>
      <c r="P2511" s="54">
        <f>IF($B2511=0,NA(),IF(Inputs!$B$25&lt;&gt;"Yes",NA(),Inputs!$D$25*Inputs!$C$35))</f>
        <v/>
      </c>
      <c r="Q2511" s="54">
        <f>IF($B2511=0,NA(),IF(Inputs!$B$26&lt;&gt;"Yes",NA(),Inputs!$D$26*Inputs!$C$35))</f>
        <v/>
      </c>
      <c r="R2511" s="54">
        <f>IF($B2511=0,NA(),IF(Inputs!$B$27&lt;&gt;"Yes",NA(),Inputs!$D$27*Inputs!$C$35))</f>
        <v/>
      </c>
      <c r="S2511" s="54">
        <f>IF($B2511=0,NA(),IF(Inputs!$B$28&lt;&gt;"Yes",NA(),Inputs!$D$28*Inputs!$C$35))</f>
        <v/>
      </c>
      <c r="T2511" s="54">
        <f>IF($B2511=0,NA(),IF(Inputs!$B$29&lt;&gt;"Yes",NA(),Inputs!$D$29*Inputs!$C$35))</f>
        <v/>
      </c>
      <c r="AD2511">
        <f>IF($B2511=0,0,IF(Inputs!$B$6="",0,COUNTIFS(Data!$A$10:$A$3209,"&gt;="&amp;$A2511,Data!$A$10:$A$3209,"&lt;"&amp;$A2511+1)))</f>
        <v/>
      </c>
      <c r="AE2511">
        <f>IF($B2511=0,0,IF(Inputs!$B$7="",0,COUNTIFS(Data!$E$10:$E$3209,"&gt;="&amp;$A2511,Data!$E$10:$E$3209,"&lt;"&amp;$A2511+1)))</f>
        <v/>
      </c>
      <c r="AF2511">
        <f>IF($B2511=0,0,IF(Inputs!$B$8="",0,COUNTIFS(Data!$I$10:$I$3209,"&gt;="&amp;$A2511,Data!$I$10:$I$3209,"&lt;"&amp;$A2511+1)))</f>
        <v/>
      </c>
      <c r="AG2511">
        <f>IF($B2511=0,0,IF(Inputs!$B$9="",0,COUNTIFS(Data!$M$10:$M$3209,"&gt;="&amp;$A2511,Data!$M$10:$M$3209,"&lt;"&amp;$A2511+1)))</f>
        <v/>
      </c>
      <c r="AH2511">
        <f>IF($B2511=0,0,IF(Inputs!$B$10="",0,COUNTIFS(Data!$Q$10:$Q$3209,"&gt;="&amp;$A2511,Data!$Q$10:$Q$3209,"&lt;"&amp;$A2511+1)))</f>
        <v/>
      </c>
    </row>
    <row r="2512">
      <c r="A2512" s="55">
        <f>MIN(Inputs!$C$15,$A2511+IF(WEEKDAY($A2511,2)=5,3,1))</f>
        <v/>
      </c>
      <c r="B2512">
        <f>IF($A2512&gt;$A2511,1,0)</f>
        <v/>
      </c>
      <c r="C2512" s="56">
        <f>IF($B2512=0,"",IF(Inputs!$B$6="","",IF($AD2512=0,C2511,SUMIFS(Data!$B$10:$B$3209,Data!$A$10:$A$3209,"&gt;="&amp;$A2512,Data!$A$10:$A$3209,"&lt;"&amp;$A2512+1)/$AD2512)))</f>
        <v/>
      </c>
      <c r="D2512" s="56">
        <f>IF($B2512=0,"",IF(Inputs!$B$7="","",IF($AE2512=0,D2511,SUMIFS(Data!$F$10:$F$3209,Data!$E$10:$E$3209,"&gt;="&amp;$A2512,Data!$E$10:$E$3209,"&lt;"&amp;$A2512+1)/$AE2512)))</f>
        <v/>
      </c>
      <c r="E2512" s="56">
        <f>IF($B2512=0,"",IF(Inputs!$B$8="","",IF($AF2512=0,E2511,SUMIFS(Data!$J$10:$J$3209,Data!$I$10:$I$3209,"&gt;="&amp;$A2512,Data!$I$10:$I$3209,"&lt;"&amp;$A2512+1)/$AF2512)))</f>
        <v/>
      </c>
      <c r="F2512" s="56">
        <f>IF($B2512=0,"",IF(Inputs!$B$9="","",IF($AG2512=0,F2511,SUMIFS(Data!$N$10:$N$3209,Data!$M$10:$M$3209,"&gt;="&amp;$A2512,Data!$M$10:$M$3209,"&lt;"&amp;$A2512+1)/$AG2512)))</f>
        <v/>
      </c>
      <c r="G2512" s="56">
        <f>IF($B2512=0,"",IF(Inputs!$B$10="","",IF($AH2512=0,G2511,SUMIFS(Data!$R$10:$R$3209,Data!$Q$10:$Q$3209,"&gt;="&amp;$A2512,Data!$Q$10:$Q$3209,"&lt;"&amp;$A2512+1)/$AH2512)))</f>
        <v/>
      </c>
      <c r="I2512" s="54">
        <f>IF($B2512=0,NA(),IF($C2512="",NA(),IF(C$8="",NA(),IF(N(C$8)=0,NA(),IF(Inputs!$C$17="Rebased to 100",$C2512/C$8*100,$C2512)))))</f>
        <v/>
      </c>
      <c r="J2512" s="54">
        <f>IF($B2512=0,NA(),IF($D2512="",NA(),IF(D$8="",NA(),IF(N(D$8)=0,NA(),IF(Inputs!$C$17="Rebased to 100",$D2512/D$8*100,$D2512)))))</f>
        <v/>
      </c>
      <c r="K2512" s="54">
        <f>IF($B2512=0,NA(),IF($E2512="",NA(),IF(E$8="",NA(),IF(N(E$8)=0,NA(),IF(Inputs!$C$17="Rebased to 100",$E2512/E$8*100,$E2512)))))</f>
        <v/>
      </c>
      <c r="L2512" s="54">
        <f>IF($B2512=0,NA(),IF($F2512="",NA(),IF(F$8="",NA(),IF(N(F$8)=0,NA(),IF(Inputs!$C$17="Rebased to 100",$F2512/F$8*100,$F2512)))))</f>
        <v/>
      </c>
      <c r="M2512" s="54">
        <f>IF($B2512=0,NA(),IF($G2512="",NA(),IF(G$8="",NA(),IF(N(G$8)=0,NA(),IF(Inputs!$C$17="Rebased to 100",$G2512/G$8*100,$G2512)))))</f>
        <v/>
      </c>
      <c r="N2512" s="54">
        <f>IF($B2512=0,NA(),IF(Inputs!$C$18&lt;&gt;"Yes",NA(),IF(COUNT(I2512,J2512,K2512,L2512,M2512)=0,NA(),MIN(I2512,J2512,K2512,L2512,M2512))))</f>
        <v/>
      </c>
      <c r="O2512" s="54">
        <f>IF($B2512=0,NA(),IF(Inputs!$B$24&lt;&gt;"Yes",NA(),Inputs!$D$24*Inputs!$C$35))</f>
        <v/>
      </c>
      <c r="P2512" s="54">
        <f>IF($B2512=0,NA(),IF(Inputs!$B$25&lt;&gt;"Yes",NA(),Inputs!$D$25*Inputs!$C$35))</f>
        <v/>
      </c>
      <c r="Q2512" s="54">
        <f>IF($B2512=0,NA(),IF(Inputs!$B$26&lt;&gt;"Yes",NA(),Inputs!$D$26*Inputs!$C$35))</f>
        <v/>
      </c>
      <c r="R2512" s="54">
        <f>IF($B2512=0,NA(),IF(Inputs!$B$27&lt;&gt;"Yes",NA(),Inputs!$D$27*Inputs!$C$35))</f>
        <v/>
      </c>
      <c r="S2512" s="54">
        <f>IF($B2512=0,NA(),IF(Inputs!$B$28&lt;&gt;"Yes",NA(),Inputs!$D$28*Inputs!$C$35))</f>
        <v/>
      </c>
      <c r="T2512" s="54">
        <f>IF($B2512=0,NA(),IF(Inputs!$B$29&lt;&gt;"Yes",NA(),Inputs!$D$29*Inputs!$C$35))</f>
        <v/>
      </c>
      <c r="AD2512">
        <f>IF($B2512=0,0,IF(Inputs!$B$6="",0,COUNTIFS(Data!$A$10:$A$3209,"&gt;="&amp;$A2512,Data!$A$10:$A$3209,"&lt;"&amp;$A2512+1)))</f>
        <v/>
      </c>
      <c r="AE2512">
        <f>IF($B2512=0,0,IF(Inputs!$B$7="",0,COUNTIFS(Data!$E$10:$E$3209,"&gt;="&amp;$A2512,Data!$E$10:$E$3209,"&lt;"&amp;$A2512+1)))</f>
        <v/>
      </c>
      <c r="AF2512">
        <f>IF($B2512=0,0,IF(Inputs!$B$8="",0,COUNTIFS(Data!$I$10:$I$3209,"&gt;="&amp;$A2512,Data!$I$10:$I$3209,"&lt;"&amp;$A2512+1)))</f>
        <v/>
      </c>
      <c r="AG2512">
        <f>IF($B2512=0,0,IF(Inputs!$B$9="",0,COUNTIFS(Data!$M$10:$M$3209,"&gt;="&amp;$A2512,Data!$M$10:$M$3209,"&lt;"&amp;$A2512+1)))</f>
        <v/>
      </c>
      <c r="AH2512">
        <f>IF($B2512=0,0,IF(Inputs!$B$10="",0,COUNTIFS(Data!$Q$10:$Q$3209,"&gt;="&amp;$A2512,Data!$Q$10:$Q$3209,"&lt;"&amp;$A2512+1)))</f>
        <v/>
      </c>
    </row>
    <row r="2513">
      <c r="A2513" s="55">
        <f>MIN(Inputs!$C$15,$A2512+IF(WEEKDAY($A2512,2)=5,3,1))</f>
        <v/>
      </c>
      <c r="B2513">
        <f>IF($A2513&gt;$A2512,1,0)</f>
        <v/>
      </c>
      <c r="C2513" s="56">
        <f>IF($B2513=0,"",IF(Inputs!$B$6="","",IF($AD2513=0,C2512,SUMIFS(Data!$B$10:$B$3209,Data!$A$10:$A$3209,"&gt;="&amp;$A2513,Data!$A$10:$A$3209,"&lt;"&amp;$A2513+1)/$AD2513)))</f>
        <v/>
      </c>
      <c r="D2513" s="56">
        <f>IF($B2513=0,"",IF(Inputs!$B$7="","",IF($AE2513=0,D2512,SUMIFS(Data!$F$10:$F$3209,Data!$E$10:$E$3209,"&gt;="&amp;$A2513,Data!$E$10:$E$3209,"&lt;"&amp;$A2513+1)/$AE2513)))</f>
        <v/>
      </c>
      <c r="E2513" s="56">
        <f>IF($B2513=0,"",IF(Inputs!$B$8="","",IF($AF2513=0,E2512,SUMIFS(Data!$J$10:$J$3209,Data!$I$10:$I$3209,"&gt;="&amp;$A2513,Data!$I$10:$I$3209,"&lt;"&amp;$A2513+1)/$AF2513)))</f>
        <v/>
      </c>
      <c r="F2513" s="56">
        <f>IF($B2513=0,"",IF(Inputs!$B$9="","",IF($AG2513=0,F2512,SUMIFS(Data!$N$10:$N$3209,Data!$M$10:$M$3209,"&gt;="&amp;$A2513,Data!$M$10:$M$3209,"&lt;"&amp;$A2513+1)/$AG2513)))</f>
        <v/>
      </c>
      <c r="G2513" s="56">
        <f>IF($B2513=0,"",IF(Inputs!$B$10="","",IF($AH2513=0,G2512,SUMIFS(Data!$R$10:$R$3209,Data!$Q$10:$Q$3209,"&gt;="&amp;$A2513,Data!$Q$10:$Q$3209,"&lt;"&amp;$A2513+1)/$AH2513)))</f>
        <v/>
      </c>
      <c r="I2513" s="54">
        <f>IF($B2513=0,NA(),IF($C2513="",NA(),IF(C$8="",NA(),IF(N(C$8)=0,NA(),IF(Inputs!$C$17="Rebased to 100",$C2513/C$8*100,$C2513)))))</f>
        <v/>
      </c>
      <c r="J2513" s="54">
        <f>IF($B2513=0,NA(),IF($D2513="",NA(),IF(D$8="",NA(),IF(N(D$8)=0,NA(),IF(Inputs!$C$17="Rebased to 100",$D2513/D$8*100,$D2513)))))</f>
        <v/>
      </c>
      <c r="K2513" s="54">
        <f>IF($B2513=0,NA(),IF($E2513="",NA(),IF(E$8="",NA(),IF(N(E$8)=0,NA(),IF(Inputs!$C$17="Rebased to 100",$E2513/E$8*100,$E2513)))))</f>
        <v/>
      </c>
      <c r="L2513" s="54">
        <f>IF($B2513=0,NA(),IF($F2513="",NA(),IF(F$8="",NA(),IF(N(F$8)=0,NA(),IF(Inputs!$C$17="Rebased to 100",$F2513/F$8*100,$F2513)))))</f>
        <v/>
      </c>
      <c r="M2513" s="54">
        <f>IF($B2513=0,NA(),IF($G2513="",NA(),IF(G$8="",NA(),IF(N(G$8)=0,NA(),IF(Inputs!$C$17="Rebased to 100",$G2513/G$8*100,$G2513)))))</f>
        <v/>
      </c>
      <c r="N2513" s="54">
        <f>IF($B2513=0,NA(),IF(Inputs!$C$18&lt;&gt;"Yes",NA(),IF(COUNT(I2513,J2513,K2513,L2513,M2513)=0,NA(),MIN(I2513,J2513,K2513,L2513,M2513))))</f>
        <v/>
      </c>
      <c r="O2513" s="54">
        <f>IF($B2513=0,NA(),IF(Inputs!$B$24&lt;&gt;"Yes",NA(),Inputs!$D$24*Inputs!$C$35))</f>
        <v/>
      </c>
      <c r="P2513" s="54">
        <f>IF($B2513=0,NA(),IF(Inputs!$B$25&lt;&gt;"Yes",NA(),Inputs!$D$25*Inputs!$C$35))</f>
        <v/>
      </c>
      <c r="Q2513" s="54">
        <f>IF($B2513=0,NA(),IF(Inputs!$B$26&lt;&gt;"Yes",NA(),Inputs!$D$26*Inputs!$C$35))</f>
        <v/>
      </c>
      <c r="R2513" s="54">
        <f>IF($B2513=0,NA(),IF(Inputs!$B$27&lt;&gt;"Yes",NA(),Inputs!$D$27*Inputs!$C$35))</f>
        <v/>
      </c>
      <c r="S2513" s="54">
        <f>IF($B2513=0,NA(),IF(Inputs!$B$28&lt;&gt;"Yes",NA(),Inputs!$D$28*Inputs!$C$35))</f>
        <v/>
      </c>
      <c r="T2513" s="54">
        <f>IF($B2513=0,NA(),IF(Inputs!$B$29&lt;&gt;"Yes",NA(),Inputs!$D$29*Inputs!$C$35))</f>
        <v/>
      </c>
      <c r="AD2513">
        <f>IF($B2513=0,0,IF(Inputs!$B$6="",0,COUNTIFS(Data!$A$10:$A$3209,"&gt;="&amp;$A2513,Data!$A$10:$A$3209,"&lt;"&amp;$A2513+1)))</f>
        <v/>
      </c>
      <c r="AE2513">
        <f>IF($B2513=0,0,IF(Inputs!$B$7="",0,COUNTIFS(Data!$E$10:$E$3209,"&gt;="&amp;$A2513,Data!$E$10:$E$3209,"&lt;"&amp;$A2513+1)))</f>
        <v/>
      </c>
      <c r="AF2513">
        <f>IF($B2513=0,0,IF(Inputs!$B$8="",0,COUNTIFS(Data!$I$10:$I$3209,"&gt;="&amp;$A2513,Data!$I$10:$I$3209,"&lt;"&amp;$A2513+1)))</f>
        <v/>
      </c>
      <c r="AG2513">
        <f>IF($B2513=0,0,IF(Inputs!$B$9="",0,COUNTIFS(Data!$M$10:$M$3209,"&gt;="&amp;$A2513,Data!$M$10:$M$3209,"&lt;"&amp;$A2513+1)))</f>
        <v/>
      </c>
      <c r="AH2513">
        <f>IF($B2513=0,0,IF(Inputs!$B$10="",0,COUNTIFS(Data!$Q$10:$Q$3209,"&gt;="&amp;$A2513,Data!$Q$10:$Q$3209,"&lt;"&amp;$A2513+1)))</f>
        <v/>
      </c>
    </row>
    <row r="2514">
      <c r="A2514" s="55">
        <f>MIN(Inputs!$C$15,$A2513+IF(WEEKDAY($A2513,2)=5,3,1))</f>
        <v/>
      </c>
      <c r="B2514">
        <f>IF($A2514&gt;$A2513,1,0)</f>
        <v/>
      </c>
      <c r="C2514" s="56">
        <f>IF($B2514=0,"",IF(Inputs!$B$6="","",IF($AD2514=0,C2513,SUMIFS(Data!$B$10:$B$3209,Data!$A$10:$A$3209,"&gt;="&amp;$A2514,Data!$A$10:$A$3209,"&lt;"&amp;$A2514+1)/$AD2514)))</f>
        <v/>
      </c>
      <c r="D2514" s="56">
        <f>IF($B2514=0,"",IF(Inputs!$B$7="","",IF($AE2514=0,D2513,SUMIFS(Data!$F$10:$F$3209,Data!$E$10:$E$3209,"&gt;="&amp;$A2514,Data!$E$10:$E$3209,"&lt;"&amp;$A2514+1)/$AE2514)))</f>
        <v/>
      </c>
      <c r="E2514" s="56">
        <f>IF($B2514=0,"",IF(Inputs!$B$8="","",IF($AF2514=0,E2513,SUMIFS(Data!$J$10:$J$3209,Data!$I$10:$I$3209,"&gt;="&amp;$A2514,Data!$I$10:$I$3209,"&lt;"&amp;$A2514+1)/$AF2514)))</f>
        <v/>
      </c>
      <c r="F2514" s="56">
        <f>IF($B2514=0,"",IF(Inputs!$B$9="","",IF($AG2514=0,F2513,SUMIFS(Data!$N$10:$N$3209,Data!$M$10:$M$3209,"&gt;="&amp;$A2514,Data!$M$10:$M$3209,"&lt;"&amp;$A2514+1)/$AG2514)))</f>
        <v/>
      </c>
      <c r="G2514" s="56">
        <f>IF($B2514=0,"",IF(Inputs!$B$10="","",IF($AH2514=0,G2513,SUMIFS(Data!$R$10:$R$3209,Data!$Q$10:$Q$3209,"&gt;="&amp;$A2514,Data!$Q$10:$Q$3209,"&lt;"&amp;$A2514+1)/$AH2514)))</f>
        <v/>
      </c>
      <c r="I2514" s="54">
        <f>IF($B2514=0,NA(),IF($C2514="",NA(),IF(C$8="",NA(),IF(N(C$8)=0,NA(),IF(Inputs!$C$17="Rebased to 100",$C2514/C$8*100,$C2514)))))</f>
        <v/>
      </c>
      <c r="J2514" s="54">
        <f>IF($B2514=0,NA(),IF($D2514="",NA(),IF(D$8="",NA(),IF(N(D$8)=0,NA(),IF(Inputs!$C$17="Rebased to 100",$D2514/D$8*100,$D2514)))))</f>
        <v/>
      </c>
      <c r="K2514" s="54">
        <f>IF($B2514=0,NA(),IF($E2514="",NA(),IF(E$8="",NA(),IF(N(E$8)=0,NA(),IF(Inputs!$C$17="Rebased to 100",$E2514/E$8*100,$E2514)))))</f>
        <v/>
      </c>
      <c r="L2514" s="54">
        <f>IF($B2514=0,NA(),IF($F2514="",NA(),IF(F$8="",NA(),IF(N(F$8)=0,NA(),IF(Inputs!$C$17="Rebased to 100",$F2514/F$8*100,$F2514)))))</f>
        <v/>
      </c>
      <c r="M2514" s="54">
        <f>IF($B2514=0,NA(),IF($G2514="",NA(),IF(G$8="",NA(),IF(N(G$8)=0,NA(),IF(Inputs!$C$17="Rebased to 100",$G2514/G$8*100,$G2514)))))</f>
        <v/>
      </c>
      <c r="N2514" s="54">
        <f>IF($B2514=0,NA(),IF(Inputs!$C$18&lt;&gt;"Yes",NA(),IF(COUNT(I2514,J2514,K2514,L2514,M2514)=0,NA(),MIN(I2514,J2514,K2514,L2514,M2514))))</f>
        <v/>
      </c>
      <c r="O2514" s="54">
        <f>IF($B2514=0,NA(),IF(Inputs!$B$24&lt;&gt;"Yes",NA(),Inputs!$D$24*Inputs!$C$35))</f>
        <v/>
      </c>
      <c r="P2514" s="54">
        <f>IF($B2514=0,NA(),IF(Inputs!$B$25&lt;&gt;"Yes",NA(),Inputs!$D$25*Inputs!$C$35))</f>
        <v/>
      </c>
      <c r="Q2514" s="54">
        <f>IF($B2514=0,NA(),IF(Inputs!$B$26&lt;&gt;"Yes",NA(),Inputs!$D$26*Inputs!$C$35))</f>
        <v/>
      </c>
      <c r="R2514" s="54">
        <f>IF($B2514=0,NA(),IF(Inputs!$B$27&lt;&gt;"Yes",NA(),Inputs!$D$27*Inputs!$C$35))</f>
        <v/>
      </c>
      <c r="S2514" s="54">
        <f>IF($B2514=0,NA(),IF(Inputs!$B$28&lt;&gt;"Yes",NA(),Inputs!$D$28*Inputs!$C$35))</f>
        <v/>
      </c>
      <c r="T2514" s="54">
        <f>IF($B2514=0,NA(),IF(Inputs!$B$29&lt;&gt;"Yes",NA(),Inputs!$D$29*Inputs!$C$35))</f>
        <v/>
      </c>
      <c r="AD2514">
        <f>IF($B2514=0,0,IF(Inputs!$B$6="",0,COUNTIFS(Data!$A$10:$A$3209,"&gt;="&amp;$A2514,Data!$A$10:$A$3209,"&lt;"&amp;$A2514+1)))</f>
        <v/>
      </c>
      <c r="AE2514">
        <f>IF($B2514=0,0,IF(Inputs!$B$7="",0,COUNTIFS(Data!$E$10:$E$3209,"&gt;="&amp;$A2514,Data!$E$10:$E$3209,"&lt;"&amp;$A2514+1)))</f>
        <v/>
      </c>
      <c r="AF2514">
        <f>IF($B2514=0,0,IF(Inputs!$B$8="",0,COUNTIFS(Data!$I$10:$I$3209,"&gt;="&amp;$A2514,Data!$I$10:$I$3209,"&lt;"&amp;$A2514+1)))</f>
        <v/>
      </c>
      <c r="AG2514">
        <f>IF($B2514=0,0,IF(Inputs!$B$9="",0,COUNTIFS(Data!$M$10:$M$3209,"&gt;="&amp;$A2514,Data!$M$10:$M$3209,"&lt;"&amp;$A2514+1)))</f>
        <v/>
      </c>
      <c r="AH2514">
        <f>IF($B2514=0,0,IF(Inputs!$B$10="",0,COUNTIFS(Data!$Q$10:$Q$3209,"&gt;="&amp;$A2514,Data!$Q$10:$Q$3209,"&lt;"&amp;$A2514+1)))</f>
        <v/>
      </c>
    </row>
    <row r="2515">
      <c r="A2515" s="55">
        <f>MIN(Inputs!$C$15,$A2514+IF(WEEKDAY($A2514,2)=5,3,1))</f>
        <v/>
      </c>
      <c r="B2515">
        <f>IF($A2515&gt;$A2514,1,0)</f>
        <v/>
      </c>
      <c r="C2515" s="56">
        <f>IF($B2515=0,"",IF(Inputs!$B$6="","",IF($AD2515=0,C2514,SUMIFS(Data!$B$10:$B$3209,Data!$A$10:$A$3209,"&gt;="&amp;$A2515,Data!$A$10:$A$3209,"&lt;"&amp;$A2515+1)/$AD2515)))</f>
        <v/>
      </c>
      <c r="D2515" s="56">
        <f>IF($B2515=0,"",IF(Inputs!$B$7="","",IF($AE2515=0,D2514,SUMIFS(Data!$F$10:$F$3209,Data!$E$10:$E$3209,"&gt;="&amp;$A2515,Data!$E$10:$E$3209,"&lt;"&amp;$A2515+1)/$AE2515)))</f>
        <v/>
      </c>
      <c r="E2515" s="56">
        <f>IF($B2515=0,"",IF(Inputs!$B$8="","",IF($AF2515=0,E2514,SUMIFS(Data!$J$10:$J$3209,Data!$I$10:$I$3209,"&gt;="&amp;$A2515,Data!$I$10:$I$3209,"&lt;"&amp;$A2515+1)/$AF2515)))</f>
        <v/>
      </c>
      <c r="F2515" s="56">
        <f>IF($B2515=0,"",IF(Inputs!$B$9="","",IF($AG2515=0,F2514,SUMIFS(Data!$N$10:$N$3209,Data!$M$10:$M$3209,"&gt;="&amp;$A2515,Data!$M$10:$M$3209,"&lt;"&amp;$A2515+1)/$AG2515)))</f>
        <v/>
      </c>
      <c r="G2515" s="56">
        <f>IF($B2515=0,"",IF(Inputs!$B$10="","",IF($AH2515=0,G2514,SUMIFS(Data!$R$10:$R$3209,Data!$Q$10:$Q$3209,"&gt;="&amp;$A2515,Data!$Q$10:$Q$3209,"&lt;"&amp;$A2515+1)/$AH2515)))</f>
        <v/>
      </c>
      <c r="I2515" s="54">
        <f>IF($B2515=0,NA(),IF($C2515="",NA(),IF(C$8="",NA(),IF(N(C$8)=0,NA(),IF(Inputs!$C$17="Rebased to 100",$C2515/C$8*100,$C2515)))))</f>
        <v/>
      </c>
      <c r="J2515" s="54">
        <f>IF($B2515=0,NA(),IF($D2515="",NA(),IF(D$8="",NA(),IF(N(D$8)=0,NA(),IF(Inputs!$C$17="Rebased to 100",$D2515/D$8*100,$D2515)))))</f>
        <v/>
      </c>
      <c r="K2515" s="54">
        <f>IF($B2515=0,NA(),IF($E2515="",NA(),IF(E$8="",NA(),IF(N(E$8)=0,NA(),IF(Inputs!$C$17="Rebased to 100",$E2515/E$8*100,$E2515)))))</f>
        <v/>
      </c>
      <c r="L2515" s="54">
        <f>IF($B2515=0,NA(),IF($F2515="",NA(),IF(F$8="",NA(),IF(N(F$8)=0,NA(),IF(Inputs!$C$17="Rebased to 100",$F2515/F$8*100,$F2515)))))</f>
        <v/>
      </c>
      <c r="M2515" s="54">
        <f>IF($B2515=0,NA(),IF($G2515="",NA(),IF(G$8="",NA(),IF(N(G$8)=0,NA(),IF(Inputs!$C$17="Rebased to 100",$G2515/G$8*100,$G2515)))))</f>
        <v/>
      </c>
      <c r="N2515" s="54">
        <f>IF($B2515=0,NA(),IF(Inputs!$C$18&lt;&gt;"Yes",NA(),IF(COUNT(I2515,J2515,K2515,L2515,M2515)=0,NA(),MIN(I2515,J2515,K2515,L2515,M2515))))</f>
        <v/>
      </c>
      <c r="O2515" s="54">
        <f>IF($B2515=0,NA(),IF(Inputs!$B$24&lt;&gt;"Yes",NA(),Inputs!$D$24*Inputs!$C$35))</f>
        <v/>
      </c>
      <c r="P2515" s="54">
        <f>IF($B2515=0,NA(),IF(Inputs!$B$25&lt;&gt;"Yes",NA(),Inputs!$D$25*Inputs!$C$35))</f>
        <v/>
      </c>
      <c r="Q2515" s="54">
        <f>IF($B2515=0,NA(),IF(Inputs!$B$26&lt;&gt;"Yes",NA(),Inputs!$D$26*Inputs!$C$35))</f>
        <v/>
      </c>
      <c r="R2515" s="54">
        <f>IF($B2515=0,NA(),IF(Inputs!$B$27&lt;&gt;"Yes",NA(),Inputs!$D$27*Inputs!$C$35))</f>
        <v/>
      </c>
      <c r="S2515" s="54">
        <f>IF($B2515=0,NA(),IF(Inputs!$B$28&lt;&gt;"Yes",NA(),Inputs!$D$28*Inputs!$C$35))</f>
        <v/>
      </c>
      <c r="T2515" s="54">
        <f>IF($B2515=0,NA(),IF(Inputs!$B$29&lt;&gt;"Yes",NA(),Inputs!$D$29*Inputs!$C$35))</f>
        <v/>
      </c>
      <c r="AD2515">
        <f>IF($B2515=0,0,IF(Inputs!$B$6="",0,COUNTIFS(Data!$A$10:$A$3209,"&gt;="&amp;$A2515,Data!$A$10:$A$3209,"&lt;"&amp;$A2515+1)))</f>
        <v/>
      </c>
      <c r="AE2515">
        <f>IF($B2515=0,0,IF(Inputs!$B$7="",0,COUNTIFS(Data!$E$10:$E$3209,"&gt;="&amp;$A2515,Data!$E$10:$E$3209,"&lt;"&amp;$A2515+1)))</f>
        <v/>
      </c>
      <c r="AF2515">
        <f>IF($B2515=0,0,IF(Inputs!$B$8="",0,COUNTIFS(Data!$I$10:$I$3209,"&gt;="&amp;$A2515,Data!$I$10:$I$3209,"&lt;"&amp;$A2515+1)))</f>
        <v/>
      </c>
      <c r="AG2515">
        <f>IF($B2515=0,0,IF(Inputs!$B$9="",0,COUNTIFS(Data!$M$10:$M$3209,"&gt;="&amp;$A2515,Data!$M$10:$M$3209,"&lt;"&amp;$A2515+1)))</f>
        <v/>
      </c>
      <c r="AH2515">
        <f>IF($B2515=0,0,IF(Inputs!$B$10="",0,COUNTIFS(Data!$Q$10:$Q$3209,"&gt;="&amp;$A2515,Data!$Q$10:$Q$3209,"&lt;"&amp;$A2515+1)))</f>
        <v/>
      </c>
    </row>
    <row r="2516">
      <c r="A2516" s="55">
        <f>MIN(Inputs!$C$15,$A2515+IF(WEEKDAY($A2515,2)=5,3,1))</f>
        <v/>
      </c>
      <c r="B2516">
        <f>IF($A2516&gt;$A2515,1,0)</f>
        <v/>
      </c>
      <c r="C2516" s="56">
        <f>IF($B2516=0,"",IF(Inputs!$B$6="","",IF($AD2516=0,C2515,SUMIFS(Data!$B$10:$B$3209,Data!$A$10:$A$3209,"&gt;="&amp;$A2516,Data!$A$10:$A$3209,"&lt;"&amp;$A2516+1)/$AD2516)))</f>
        <v/>
      </c>
      <c r="D2516" s="56">
        <f>IF($B2516=0,"",IF(Inputs!$B$7="","",IF($AE2516=0,D2515,SUMIFS(Data!$F$10:$F$3209,Data!$E$10:$E$3209,"&gt;="&amp;$A2516,Data!$E$10:$E$3209,"&lt;"&amp;$A2516+1)/$AE2516)))</f>
        <v/>
      </c>
      <c r="E2516" s="56">
        <f>IF($B2516=0,"",IF(Inputs!$B$8="","",IF($AF2516=0,E2515,SUMIFS(Data!$J$10:$J$3209,Data!$I$10:$I$3209,"&gt;="&amp;$A2516,Data!$I$10:$I$3209,"&lt;"&amp;$A2516+1)/$AF2516)))</f>
        <v/>
      </c>
      <c r="F2516" s="56">
        <f>IF($B2516=0,"",IF(Inputs!$B$9="","",IF($AG2516=0,F2515,SUMIFS(Data!$N$10:$N$3209,Data!$M$10:$M$3209,"&gt;="&amp;$A2516,Data!$M$10:$M$3209,"&lt;"&amp;$A2516+1)/$AG2516)))</f>
        <v/>
      </c>
      <c r="G2516" s="56">
        <f>IF($B2516=0,"",IF(Inputs!$B$10="","",IF($AH2516=0,G2515,SUMIFS(Data!$R$10:$R$3209,Data!$Q$10:$Q$3209,"&gt;="&amp;$A2516,Data!$Q$10:$Q$3209,"&lt;"&amp;$A2516+1)/$AH2516)))</f>
        <v/>
      </c>
      <c r="I2516" s="54">
        <f>IF($B2516=0,NA(),IF($C2516="",NA(),IF(C$8="",NA(),IF(N(C$8)=0,NA(),IF(Inputs!$C$17="Rebased to 100",$C2516/C$8*100,$C2516)))))</f>
        <v/>
      </c>
      <c r="J2516" s="54">
        <f>IF($B2516=0,NA(),IF($D2516="",NA(),IF(D$8="",NA(),IF(N(D$8)=0,NA(),IF(Inputs!$C$17="Rebased to 100",$D2516/D$8*100,$D2516)))))</f>
        <v/>
      </c>
      <c r="K2516" s="54">
        <f>IF($B2516=0,NA(),IF($E2516="",NA(),IF(E$8="",NA(),IF(N(E$8)=0,NA(),IF(Inputs!$C$17="Rebased to 100",$E2516/E$8*100,$E2516)))))</f>
        <v/>
      </c>
      <c r="L2516" s="54">
        <f>IF($B2516=0,NA(),IF($F2516="",NA(),IF(F$8="",NA(),IF(N(F$8)=0,NA(),IF(Inputs!$C$17="Rebased to 100",$F2516/F$8*100,$F2516)))))</f>
        <v/>
      </c>
      <c r="M2516" s="54">
        <f>IF($B2516=0,NA(),IF($G2516="",NA(),IF(G$8="",NA(),IF(N(G$8)=0,NA(),IF(Inputs!$C$17="Rebased to 100",$G2516/G$8*100,$G2516)))))</f>
        <v/>
      </c>
      <c r="N2516" s="54">
        <f>IF($B2516=0,NA(),IF(Inputs!$C$18&lt;&gt;"Yes",NA(),IF(COUNT(I2516,J2516,K2516,L2516,M2516)=0,NA(),MIN(I2516,J2516,K2516,L2516,M2516))))</f>
        <v/>
      </c>
      <c r="O2516" s="54">
        <f>IF($B2516=0,NA(),IF(Inputs!$B$24&lt;&gt;"Yes",NA(),Inputs!$D$24*Inputs!$C$35))</f>
        <v/>
      </c>
      <c r="P2516" s="54">
        <f>IF($B2516=0,NA(),IF(Inputs!$B$25&lt;&gt;"Yes",NA(),Inputs!$D$25*Inputs!$C$35))</f>
        <v/>
      </c>
      <c r="Q2516" s="54">
        <f>IF($B2516=0,NA(),IF(Inputs!$B$26&lt;&gt;"Yes",NA(),Inputs!$D$26*Inputs!$C$35))</f>
        <v/>
      </c>
      <c r="R2516" s="54">
        <f>IF($B2516=0,NA(),IF(Inputs!$B$27&lt;&gt;"Yes",NA(),Inputs!$D$27*Inputs!$C$35))</f>
        <v/>
      </c>
      <c r="S2516" s="54">
        <f>IF($B2516=0,NA(),IF(Inputs!$B$28&lt;&gt;"Yes",NA(),Inputs!$D$28*Inputs!$C$35))</f>
        <v/>
      </c>
      <c r="T2516" s="54">
        <f>IF($B2516=0,NA(),IF(Inputs!$B$29&lt;&gt;"Yes",NA(),Inputs!$D$29*Inputs!$C$35))</f>
        <v/>
      </c>
      <c r="AD2516">
        <f>IF($B2516=0,0,IF(Inputs!$B$6="",0,COUNTIFS(Data!$A$10:$A$3209,"&gt;="&amp;$A2516,Data!$A$10:$A$3209,"&lt;"&amp;$A2516+1)))</f>
        <v/>
      </c>
      <c r="AE2516">
        <f>IF($B2516=0,0,IF(Inputs!$B$7="",0,COUNTIFS(Data!$E$10:$E$3209,"&gt;="&amp;$A2516,Data!$E$10:$E$3209,"&lt;"&amp;$A2516+1)))</f>
        <v/>
      </c>
      <c r="AF2516">
        <f>IF($B2516=0,0,IF(Inputs!$B$8="",0,COUNTIFS(Data!$I$10:$I$3209,"&gt;="&amp;$A2516,Data!$I$10:$I$3209,"&lt;"&amp;$A2516+1)))</f>
        <v/>
      </c>
      <c r="AG2516">
        <f>IF($B2516=0,0,IF(Inputs!$B$9="",0,COUNTIFS(Data!$M$10:$M$3209,"&gt;="&amp;$A2516,Data!$M$10:$M$3209,"&lt;"&amp;$A2516+1)))</f>
        <v/>
      </c>
      <c r="AH2516">
        <f>IF($B2516=0,0,IF(Inputs!$B$10="",0,COUNTIFS(Data!$Q$10:$Q$3209,"&gt;="&amp;$A2516,Data!$Q$10:$Q$3209,"&lt;"&amp;$A2516+1)))</f>
        <v/>
      </c>
    </row>
    <row r="2517">
      <c r="A2517" s="55">
        <f>MIN(Inputs!$C$15,$A2516+IF(WEEKDAY($A2516,2)=5,3,1))</f>
        <v/>
      </c>
      <c r="B2517">
        <f>IF($A2517&gt;$A2516,1,0)</f>
        <v/>
      </c>
      <c r="C2517" s="56">
        <f>IF($B2517=0,"",IF(Inputs!$B$6="","",IF($AD2517=0,C2516,SUMIFS(Data!$B$10:$B$3209,Data!$A$10:$A$3209,"&gt;="&amp;$A2517,Data!$A$10:$A$3209,"&lt;"&amp;$A2517+1)/$AD2517)))</f>
        <v/>
      </c>
      <c r="D2517" s="56">
        <f>IF($B2517=0,"",IF(Inputs!$B$7="","",IF($AE2517=0,D2516,SUMIFS(Data!$F$10:$F$3209,Data!$E$10:$E$3209,"&gt;="&amp;$A2517,Data!$E$10:$E$3209,"&lt;"&amp;$A2517+1)/$AE2517)))</f>
        <v/>
      </c>
      <c r="E2517" s="56">
        <f>IF($B2517=0,"",IF(Inputs!$B$8="","",IF($AF2517=0,E2516,SUMIFS(Data!$J$10:$J$3209,Data!$I$10:$I$3209,"&gt;="&amp;$A2517,Data!$I$10:$I$3209,"&lt;"&amp;$A2517+1)/$AF2517)))</f>
        <v/>
      </c>
      <c r="F2517" s="56">
        <f>IF($B2517=0,"",IF(Inputs!$B$9="","",IF($AG2517=0,F2516,SUMIFS(Data!$N$10:$N$3209,Data!$M$10:$M$3209,"&gt;="&amp;$A2517,Data!$M$10:$M$3209,"&lt;"&amp;$A2517+1)/$AG2517)))</f>
        <v/>
      </c>
      <c r="G2517" s="56">
        <f>IF($B2517=0,"",IF(Inputs!$B$10="","",IF($AH2517=0,G2516,SUMIFS(Data!$R$10:$R$3209,Data!$Q$10:$Q$3209,"&gt;="&amp;$A2517,Data!$Q$10:$Q$3209,"&lt;"&amp;$A2517+1)/$AH2517)))</f>
        <v/>
      </c>
      <c r="I2517" s="54">
        <f>IF($B2517=0,NA(),IF($C2517="",NA(),IF(C$8="",NA(),IF(N(C$8)=0,NA(),IF(Inputs!$C$17="Rebased to 100",$C2517/C$8*100,$C2517)))))</f>
        <v/>
      </c>
      <c r="J2517" s="54">
        <f>IF($B2517=0,NA(),IF($D2517="",NA(),IF(D$8="",NA(),IF(N(D$8)=0,NA(),IF(Inputs!$C$17="Rebased to 100",$D2517/D$8*100,$D2517)))))</f>
        <v/>
      </c>
      <c r="K2517" s="54">
        <f>IF($B2517=0,NA(),IF($E2517="",NA(),IF(E$8="",NA(),IF(N(E$8)=0,NA(),IF(Inputs!$C$17="Rebased to 100",$E2517/E$8*100,$E2517)))))</f>
        <v/>
      </c>
      <c r="L2517" s="54">
        <f>IF($B2517=0,NA(),IF($F2517="",NA(),IF(F$8="",NA(),IF(N(F$8)=0,NA(),IF(Inputs!$C$17="Rebased to 100",$F2517/F$8*100,$F2517)))))</f>
        <v/>
      </c>
      <c r="M2517" s="54">
        <f>IF($B2517=0,NA(),IF($G2517="",NA(),IF(G$8="",NA(),IF(N(G$8)=0,NA(),IF(Inputs!$C$17="Rebased to 100",$G2517/G$8*100,$G2517)))))</f>
        <v/>
      </c>
      <c r="N2517" s="54">
        <f>IF($B2517=0,NA(),IF(Inputs!$C$18&lt;&gt;"Yes",NA(),IF(COUNT(I2517,J2517,K2517,L2517,M2517)=0,NA(),MIN(I2517,J2517,K2517,L2517,M2517))))</f>
        <v/>
      </c>
      <c r="O2517" s="54">
        <f>IF($B2517=0,NA(),IF(Inputs!$B$24&lt;&gt;"Yes",NA(),Inputs!$D$24*Inputs!$C$35))</f>
        <v/>
      </c>
      <c r="P2517" s="54">
        <f>IF($B2517=0,NA(),IF(Inputs!$B$25&lt;&gt;"Yes",NA(),Inputs!$D$25*Inputs!$C$35))</f>
        <v/>
      </c>
      <c r="Q2517" s="54">
        <f>IF($B2517=0,NA(),IF(Inputs!$B$26&lt;&gt;"Yes",NA(),Inputs!$D$26*Inputs!$C$35))</f>
        <v/>
      </c>
      <c r="R2517" s="54">
        <f>IF($B2517=0,NA(),IF(Inputs!$B$27&lt;&gt;"Yes",NA(),Inputs!$D$27*Inputs!$C$35))</f>
        <v/>
      </c>
      <c r="S2517" s="54">
        <f>IF($B2517=0,NA(),IF(Inputs!$B$28&lt;&gt;"Yes",NA(),Inputs!$D$28*Inputs!$C$35))</f>
        <v/>
      </c>
      <c r="T2517" s="54">
        <f>IF($B2517=0,NA(),IF(Inputs!$B$29&lt;&gt;"Yes",NA(),Inputs!$D$29*Inputs!$C$35))</f>
        <v/>
      </c>
      <c r="AD2517">
        <f>IF($B2517=0,0,IF(Inputs!$B$6="",0,COUNTIFS(Data!$A$10:$A$3209,"&gt;="&amp;$A2517,Data!$A$10:$A$3209,"&lt;"&amp;$A2517+1)))</f>
        <v/>
      </c>
      <c r="AE2517">
        <f>IF($B2517=0,0,IF(Inputs!$B$7="",0,COUNTIFS(Data!$E$10:$E$3209,"&gt;="&amp;$A2517,Data!$E$10:$E$3209,"&lt;"&amp;$A2517+1)))</f>
        <v/>
      </c>
      <c r="AF2517">
        <f>IF($B2517=0,0,IF(Inputs!$B$8="",0,COUNTIFS(Data!$I$10:$I$3209,"&gt;="&amp;$A2517,Data!$I$10:$I$3209,"&lt;"&amp;$A2517+1)))</f>
        <v/>
      </c>
      <c r="AG2517">
        <f>IF($B2517=0,0,IF(Inputs!$B$9="",0,COUNTIFS(Data!$M$10:$M$3209,"&gt;="&amp;$A2517,Data!$M$10:$M$3209,"&lt;"&amp;$A2517+1)))</f>
        <v/>
      </c>
      <c r="AH2517">
        <f>IF($B2517=0,0,IF(Inputs!$B$10="",0,COUNTIFS(Data!$Q$10:$Q$3209,"&gt;="&amp;$A2517,Data!$Q$10:$Q$3209,"&lt;"&amp;$A2517+1)))</f>
        <v/>
      </c>
    </row>
    <row r="2518">
      <c r="A2518" s="55">
        <f>MIN(Inputs!$C$15,$A2517+IF(WEEKDAY($A2517,2)=5,3,1))</f>
        <v/>
      </c>
      <c r="B2518">
        <f>IF($A2518&gt;$A2517,1,0)</f>
        <v/>
      </c>
      <c r="C2518" s="56">
        <f>IF($B2518=0,"",IF(Inputs!$B$6="","",IF($AD2518=0,C2517,SUMIFS(Data!$B$10:$B$3209,Data!$A$10:$A$3209,"&gt;="&amp;$A2518,Data!$A$10:$A$3209,"&lt;"&amp;$A2518+1)/$AD2518)))</f>
        <v/>
      </c>
      <c r="D2518" s="56">
        <f>IF($B2518=0,"",IF(Inputs!$B$7="","",IF($AE2518=0,D2517,SUMIFS(Data!$F$10:$F$3209,Data!$E$10:$E$3209,"&gt;="&amp;$A2518,Data!$E$10:$E$3209,"&lt;"&amp;$A2518+1)/$AE2518)))</f>
        <v/>
      </c>
      <c r="E2518" s="56">
        <f>IF($B2518=0,"",IF(Inputs!$B$8="","",IF($AF2518=0,E2517,SUMIFS(Data!$J$10:$J$3209,Data!$I$10:$I$3209,"&gt;="&amp;$A2518,Data!$I$10:$I$3209,"&lt;"&amp;$A2518+1)/$AF2518)))</f>
        <v/>
      </c>
      <c r="F2518" s="56">
        <f>IF($B2518=0,"",IF(Inputs!$B$9="","",IF($AG2518=0,F2517,SUMIFS(Data!$N$10:$N$3209,Data!$M$10:$M$3209,"&gt;="&amp;$A2518,Data!$M$10:$M$3209,"&lt;"&amp;$A2518+1)/$AG2518)))</f>
        <v/>
      </c>
      <c r="G2518" s="56">
        <f>IF($B2518=0,"",IF(Inputs!$B$10="","",IF($AH2518=0,G2517,SUMIFS(Data!$R$10:$R$3209,Data!$Q$10:$Q$3209,"&gt;="&amp;$A2518,Data!$Q$10:$Q$3209,"&lt;"&amp;$A2518+1)/$AH2518)))</f>
        <v/>
      </c>
      <c r="I2518" s="54">
        <f>IF($B2518=0,NA(),IF($C2518="",NA(),IF(C$8="",NA(),IF(N(C$8)=0,NA(),IF(Inputs!$C$17="Rebased to 100",$C2518/C$8*100,$C2518)))))</f>
        <v/>
      </c>
      <c r="J2518" s="54">
        <f>IF($B2518=0,NA(),IF($D2518="",NA(),IF(D$8="",NA(),IF(N(D$8)=0,NA(),IF(Inputs!$C$17="Rebased to 100",$D2518/D$8*100,$D2518)))))</f>
        <v/>
      </c>
      <c r="K2518" s="54">
        <f>IF($B2518=0,NA(),IF($E2518="",NA(),IF(E$8="",NA(),IF(N(E$8)=0,NA(),IF(Inputs!$C$17="Rebased to 100",$E2518/E$8*100,$E2518)))))</f>
        <v/>
      </c>
      <c r="L2518" s="54">
        <f>IF($B2518=0,NA(),IF($F2518="",NA(),IF(F$8="",NA(),IF(N(F$8)=0,NA(),IF(Inputs!$C$17="Rebased to 100",$F2518/F$8*100,$F2518)))))</f>
        <v/>
      </c>
      <c r="M2518" s="54">
        <f>IF($B2518=0,NA(),IF($G2518="",NA(),IF(G$8="",NA(),IF(N(G$8)=0,NA(),IF(Inputs!$C$17="Rebased to 100",$G2518/G$8*100,$G2518)))))</f>
        <v/>
      </c>
      <c r="N2518" s="54">
        <f>IF($B2518=0,NA(),IF(Inputs!$C$18&lt;&gt;"Yes",NA(),IF(COUNT(I2518,J2518,K2518,L2518,M2518)=0,NA(),MIN(I2518,J2518,K2518,L2518,M2518))))</f>
        <v/>
      </c>
      <c r="O2518" s="54">
        <f>IF($B2518=0,NA(),IF(Inputs!$B$24&lt;&gt;"Yes",NA(),Inputs!$D$24*Inputs!$C$35))</f>
        <v/>
      </c>
      <c r="P2518" s="54">
        <f>IF($B2518=0,NA(),IF(Inputs!$B$25&lt;&gt;"Yes",NA(),Inputs!$D$25*Inputs!$C$35))</f>
        <v/>
      </c>
      <c r="Q2518" s="54">
        <f>IF($B2518=0,NA(),IF(Inputs!$B$26&lt;&gt;"Yes",NA(),Inputs!$D$26*Inputs!$C$35))</f>
        <v/>
      </c>
      <c r="R2518" s="54">
        <f>IF($B2518=0,NA(),IF(Inputs!$B$27&lt;&gt;"Yes",NA(),Inputs!$D$27*Inputs!$C$35))</f>
        <v/>
      </c>
      <c r="S2518" s="54">
        <f>IF($B2518=0,NA(),IF(Inputs!$B$28&lt;&gt;"Yes",NA(),Inputs!$D$28*Inputs!$C$35))</f>
        <v/>
      </c>
      <c r="T2518" s="54">
        <f>IF($B2518=0,NA(),IF(Inputs!$B$29&lt;&gt;"Yes",NA(),Inputs!$D$29*Inputs!$C$35))</f>
        <v/>
      </c>
      <c r="AD2518">
        <f>IF($B2518=0,0,IF(Inputs!$B$6="",0,COUNTIFS(Data!$A$10:$A$3209,"&gt;="&amp;$A2518,Data!$A$10:$A$3209,"&lt;"&amp;$A2518+1)))</f>
        <v/>
      </c>
      <c r="AE2518">
        <f>IF($B2518=0,0,IF(Inputs!$B$7="",0,COUNTIFS(Data!$E$10:$E$3209,"&gt;="&amp;$A2518,Data!$E$10:$E$3209,"&lt;"&amp;$A2518+1)))</f>
        <v/>
      </c>
      <c r="AF2518">
        <f>IF($B2518=0,0,IF(Inputs!$B$8="",0,COUNTIFS(Data!$I$10:$I$3209,"&gt;="&amp;$A2518,Data!$I$10:$I$3209,"&lt;"&amp;$A2518+1)))</f>
        <v/>
      </c>
      <c r="AG2518">
        <f>IF($B2518=0,0,IF(Inputs!$B$9="",0,COUNTIFS(Data!$M$10:$M$3209,"&gt;="&amp;$A2518,Data!$M$10:$M$3209,"&lt;"&amp;$A2518+1)))</f>
        <v/>
      </c>
      <c r="AH2518">
        <f>IF($B2518=0,0,IF(Inputs!$B$10="",0,COUNTIFS(Data!$Q$10:$Q$3209,"&gt;="&amp;$A2518,Data!$Q$10:$Q$3209,"&lt;"&amp;$A2518+1)))</f>
        <v/>
      </c>
    </row>
    <row r="2519">
      <c r="A2519" s="55">
        <f>MIN(Inputs!$C$15,$A2518+IF(WEEKDAY($A2518,2)=5,3,1))</f>
        <v/>
      </c>
      <c r="B2519">
        <f>IF($A2519&gt;$A2518,1,0)</f>
        <v/>
      </c>
      <c r="C2519" s="56">
        <f>IF($B2519=0,"",IF(Inputs!$B$6="","",IF($AD2519=0,C2518,SUMIFS(Data!$B$10:$B$3209,Data!$A$10:$A$3209,"&gt;="&amp;$A2519,Data!$A$10:$A$3209,"&lt;"&amp;$A2519+1)/$AD2519)))</f>
        <v/>
      </c>
      <c r="D2519" s="56">
        <f>IF($B2519=0,"",IF(Inputs!$B$7="","",IF($AE2519=0,D2518,SUMIFS(Data!$F$10:$F$3209,Data!$E$10:$E$3209,"&gt;="&amp;$A2519,Data!$E$10:$E$3209,"&lt;"&amp;$A2519+1)/$AE2519)))</f>
        <v/>
      </c>
      <c r="E2519" s="56">
        <f>IF($B2519=0,"",IF(Inputs!$B$8="","",IF($AF2519=0,E2518,SUMIFS(Data!$J$10:$J$3209,Data!$I$10:$I$3209,"&gt;="&amp;$A2519,Data!$I$10:$I$3209,"&lt;"&amp;$A2519+1)/$AF2519)))</f>
        <v/>
      </c>
      <c r="F2519" s="56">
        <f>IF($B2519=0,"",IF(Inputs!$B$9="","",IF($AG2519=0,F2518,SUMIFS(Data!$N$10:$N$3209,Data!$M$10:$M$3209,"&gt;="&amp;$A2519,Data!$M$10:$M$3209,"&lt;"&amp;$A2519+1)/$AG2519)))</f>
        <v/>
      </c>
      <c r="G2519" s="56">
        <f>IF($B2519=0,"",IF(Inputs!$B$10="","",IF($AH2519=0,G2518,SUMIFS(Data!$R$10:$R$3209,Data!$Q$10:$Q$3209,"&gt;="&amp;$A2519,Data!$Q$10:$Q$3209,"&lt;"&amp;$A2519+1)/$AH2519)))</f>
        <v/>
      </c>
      <c r="I2519" s="54">
        <f>IF($B2519=0,NA(),IF($C2519="",NA(),IF(C$8="",NA(),IF(N(C$8)=0,NA(),IF(Inputs!$C$17="Rebased to 100",$C2519/C$8*100,$C2519)))))</f>
        <v/>
      </c>
      <c r="J2519" s="54">
        <f>IF($B2519=0,NA(),IF($D2519="",NA(),IF(D$8="",NA(),IF(N(D$8)=0,NA(),IF(Inputs!$C$17="Rebased to 100",$D2519/D$8*100,$D2519)))))</f>
        <v/>
      </c>
      <c r="K2519" s="54">
        <f>IF($B2519=0,NA(),IF($E2519="",NA(),IF(E$8="",NA(),IF(N(E$8)=0,NA(),IF(Inputs!$C$17="Rebased to 100",$E2519/E$8*100,$E2519)))))</f>
        <v/>
      </c>
      <c r="L2519" s="54">
        <f>IF($B2519=0,NA(),IF($F2519="",NA(),IF(F$8="",NA(),IF(N(F$8)=0,NA(),IF(Inputs!$C$17="Rebased to 100",$F2519/F$8*100,$F2519)))))</f>
        <v/>
      </c>
      <c r="M2519" s="54">
        <f>IF($B2519=0,NA(),IF($G2519="",NA(),IF(G$8="",NA(),IF(N(G$8)=0,NA(),IF(Inputs!$C$17="Rebased to 100",$G2519/G$8*100,$G2519)))))</f>
        <v/>
      </c>
      <c r="N2519" s="54">
        <f>IF($B2519=0,NA(),IF(Inputs!$C$18&lt;&gt;"Yes",NA(),IF(COUNT(I2519,J2519,K2519,L2519,M2519)=0,NA(),MIN(I2519,J2519,K2519,L2519,M2519))))</f>
        <v/>
      </c>
      <c r="O2519" s="54">
        <f>IF($B2519=0,NA(),IF(Inputs!$B$24&lt;&gt;"Yes",NA(),Inputs!$D$24*Inputs!$C$35))</f>
        <v/>
      </c>
      <c r="P2519" s="54">
        <f>IF($B2519=0,NA(),IF(Inputs!$B$25&lt;&gt;"Yes",NA(),Inputs!$D$25*Inputs!$C$35))</f>
        <v/>
      </c>
      <c r="Q2519" s="54">
        <f>IF($B2519=0,NA(),IF(Inputs!$B$26&lt;&gt;"Yes",NA(),Inputs!$D$26*Inputs!$C$35))</f>
        <v/>
      </c>
      <c r="R2519" s="54">
        <f>IF($B2519=0,NA(),IF(Inputs!$B$27&lt;&gt;"Yes",NA(),Inputs!$D$27*Inputs!$C$35))</f>
        <v/>
      </c>
      <c r="S2519" s="54">
        <f>IF($B2519=0,NA(),IF(Inputs!$B$28&lt;&gt;"Yes",NA(),Inputs!$D$28*Inputs!$C$35))</f>
        <v/>
      </c>
      <c r="T2519" s="54">
        <f>IF($B2519=0,NA(),IF(Inputs!$B$29&lt;&gt;"Yes",NA(),Inputs!$D$29*Inputs!$C$35))</f>
        <v/>
      </c>
      <c r="AD2519">
        <f>IF($B2519=0,0,IF(Inputs!$B$6="",0,COUNTIFS(Data!$A$10:$A$3209,"&gt;="&amp;$A2519,Data!$A$10:$A$3209,"&lt;"&amp;$A2519+1)))</f>
        <v/>
      </c>
      <c r="AE2519">
        <f>IF($B2519=0,0,IF(Inputs!$B$7="",0,COUNTIFS(Data!$E$10:$E$3209,"&gt;="&amp;$A2519,Data!$E$10:$E$3209,"&lt;"&amp;$A2519+1)))</f>
        <v/>
      </c>
      <c r="AF2519">
        <f>IF($B2519=0,0,IF(Inputs!$B$8="",0,COUNTIFS(Data!$I$10:$I$3209,"&gt;="&amp;$A2519,Data!$I$10:$I$3209,"&lt;"&amp;$A2519+1)))</f>
        <v/>
      </c>
      <c r="AG2519">
        <f>IF($B2519=0,0,IF(Inputs!$B$9="",0,COUNTIFS(Data!$M$10:$M$3209,"&gt;="&amp;$A2519,Data!$M$10:$M$3209,"&lt;"&amp;$A2519+1)))</f>
        <v/>
      </c>
      <c r="AH2519">
        <f>IF($B2519=0,0,IF(Inputs!$B$10="",0,COUNTIFS(Data!$Q$10:$Q$3209,"&gt;="&amp;$A2519,Data!$Q$10:$Q$3209,"&lt;"&amp;$A2519+1)))</f>
        <v/>
      </c>
    </row>
    <row r="2520">
      <c r="A2520" s="55">
        <f>MIN(Inputs!$C$15,$A2519+IF(WEEKDAY($A2519,2)=5,3,1))</f>
        <v/>
      </c>
      <c r="B2520">
        <f>IF($A2520&gt;$A2519,1,0)</f>
        <v/>
      </c>
      <c r="C2520" s="56">
        <f>IF($B2520=0,"",IF(Inputs!$B$6="","",IF($AD2520=0,C2519,SUMIFS(Data!$B$10:$B$3209,Data!$A$10:$A$3209,"&gt;="&amp;$A2520,Data!$A$10:$A$3209,"&lt;"&amp;$A2520+1)/$AD2520)))</f>
        <v/>
      </c>
      <c r="D2520" s="56">
        <f>IF($B2520=0,"",IF(Inputs!$B$7="","",IF($AE2520=0,D2519,SUMIFS(Data!$F$10:$F$3209,Data!$E$10:$E$3209,"&gt;="&amp;$A2520,Data!$E$10:$E$3209,"&lt;"&amp;$A2520+1)/$AE2520)))</f>
        <v/>
      </c>
      <c r="E2520" s="56">
        <f>IF($B2520=0,"",IF(Inputs!$B$8="","",IF($AF2520=0,E2519,SUMIFS(Data!$J$10:$J$3209,Data!$I$10:$I$3209,"&gt;="&amp;$A2520,Data!$I$10:$I$3209,"&lt;"&amp;$A2520+1)/$AF2520)))</f>
        <v/>
      </c>
      <c r="F2520" s="56">
        <f>IF($B2520=0,"",IF(Inputs!$B$9="","",IF($AG2520=0,F2519,SUMIFS(Data!$N$10:$N$3209,Data!$M$10:$M$3209,"&gt;="&amp;$A2520,Data!$M$10:$M$3209,"&lt;"&amp;$A2520+1)/$AG2520)))</f>
        <v/>
      </c>
      <c r="G2520" s="56">
        <f>IF($B2520=0,"",IF(Inputs!$B$10="","",IF($AH2520=0,G2519,SUMIFS(Data!$R$10:$R$3209,Data!$Q$10:$Q$3209,"&gt;="&amp;$A2520,Data!$Q$10:$Q$3209,"&lt;"&amp;$A2520+1)/$AH2520)))</f>
        <v/>
      </c>
      <c r="I2520" s="54">
        <f>IF($B2520=0,NA(),IF($C2520="",NA(),IF(C$8="",NA(),IF(N(C$8)=0,NA(),IF(Inputs!$C$17="Rebased to 100",$C2520/C$8*100,$C2520)))))</f>
        <v/>
      </c>
      <c r="J2520" s="54">
        <f>IF($B2520=0,NA(),IF($D2520="",NA(),IF(D$8="",NA(),IF(N(D$8)=0,NA(),IF(Inputs!$C$17="Rebased to 100",$D2520/D$8*100,$D2520)))))</f>
        <v/>
      </c>
      <c r="K2520" s="54">
        <f>IF($B2520=0,NA(),IF($E2520="",NA(),IF(E$8="",NA(),IF(N(E$8)=0,NA(),IF(Inputs!$C$17="Rebased to 100",$E2520/E$8*100,$E2520)))))</f>
        <v/>
      </c>
      <c r="L2520" s="54">
        <f>IF($B2520=0,NA(),IF($F2520="",NA(),IF(F$8="",NA(),IF(N(F$8)=0,NA(),IF(Inputs!$C$17="Rebased to 100",$F2520/F$8*100,$F2520)))))</f>
        <v/>
      </c>
      <c r="M2520" s="54">
        <f>IF($B2520=0,NA(),IF($G2520="",NA(),IF(G$8="",NA(),IF(N(G$8)=0,NA(),IF(Inputs!$C$17="Rebased to 100",$G2520/G$8*100,$G2520)))))</f>
        <v/>
      </c>
      <c r="N2520" s="54">
        <f>IF($B2520=0,NA(),IF(Inputs!$C$18&lt;&gt;"Yes",NA(),IF(COUNT(I2520,J2520,K2520,L2520,M2520)=0,NA(),MIN(I2520,J2520,K2520,L2520,M2520))))</f>
        <v/>
      </c>
      <c r="O2520" s="54">
        <f>IF($B2520=0,NA(),IF(Inputs!$B$24&lt;&gt;"Yes",NA(),Inputs!$D$24*Inputs!$C$35))</f>
        <v/>
      </c>
      <c r="P2520" s="54">
        <f>IF($B2520=0,NA(),IF(Inputs!$B$25&lt;&gt;"Yes",NA(),Inputs!$D$25*Inputs!$C$35))</f>
        <v/>
      </c>
      <c r="Q2520" s="54">
        <f>IF($B2520=0,NA(),IF(Inputs!$B$26&lt;&gt;"Yes",NA(),Inputs!$D$26*Inputs!$C$35))</f>
        <v/>
      </c>
      <c r="R2520" s="54">
        <f>IF($B2520=0,NA(),IF(Inputs!$B$27&lt;&gt;"Yes",NA(),Inputs!$D$27*Inputs!$C$35))</f>
        <v/>
      </c>
      <c r="S2520" s="54">
        <f>IF($B2520=0,NA(),IF(Inputs!$B$28&lt;&gt;"Yes",NA(),Inputs!$D$28*Inputs!$C$35))</f>
        <v/>
      </c>
      <c r="T2520" s="54">
        <f>IF($B2520=0,NA(),IF(Inputs!$B$29&lt;&gt;"Yes",NA(),Inputs!$D$29*Inputs!$C$35))</f>
        <v/>
      </c>
      <c r="AD2520">
        <f>IF($B2520=0,0,IF(Inputs!$B$6="",0,COUNTIFS(Data!$A$10:$A$3209,"&gt;="&amp;$A2520,Data!$A$10:$A$3209,"&lt;"&amp;$A2520+1)))</f>
        <v/>
      </c>
      <c r="AE2520">
        <f>IF($B2520=0,0,IF(Inputs!$B$7="",0,COUNTIFS(Data!$E$10:$E$3209,"&gt;="&amp;$A2520,Data!$E$10:$E$3209,"&lt;"&amp;$A2520+1)))</f>
        <v/>
      </c>
      <c r="AF2520">
        <f>IF($B2520=0,0,IF(Inputs!$B$8="",0,COUNTIFS(Data!$I$10:$I$3209,"&gt;="&amp;$A2520,Data!$I$10:$I$3209,"&lt;"&amp;$A2520+1)))</f>
        <v/>
      </c>
      <c r="AG2520">
        <f>IF($B2520=0,0,IF(Inputs!$B$9="",0,COUNTIFS(Data!$M$10:$M$3209,"&gt;="&amp;$A2520,Data!$M$10:$M$3209,"&lt;"&amp;$A2520+1)))</f>
        <v/>
      </c>
      <c r="AH2520">
        <f>IF($B2520=0,0,IF(Inputs!$B$10="",0,COUNTIFS(Data!$Q$10:$Q$3209,"&gt;="&amp;$A2520,Data!$Q$10:$Q$3209,"&lt;"&amp;$A2520+1)))</f>
        <v/>
      </c>
    </row>
    <row r="2521">
      <c r="A2521" s="55">
        <f>MIN(Inputs!$C$15,$A2520+IF(WEEKDAY($A2520,2)=5,3,1))</f>
        <v/>
      </c>
      <c r="B2521">
        <f>IF($A2521&gt;$A2520,1,0)</f>
        <v/>
      </c>
      <c r="C2521" s="56">
        <f>IF($B2521=0,"",IF(Inputs!$B$6="","",IF($AD2521=0,C2520,SUMIFS(Data!$B$10:$B$3209,Data!$A$10:$A$3209,"&gt;="&amp;$A2521,Data!$A$10:$A$3209,"&lt;"&amp;$A2521+1)/$AD2521)))</f>
        <v/>
      </c>
      <c r="D2521" s="56">
        <f>IF($B2521=0,"",IF(Inputs!$B$7="","",IF($AE2521=0,D2520,SUMIFS(Data!$F$10:$F$3209,Data!$E$10:$E$3209,"&gt;="&amp;$A2521,Data!$E$10:$E$3209,"&lt;"&amp;$A2521+1)/$AE2521)))</f>
        <v/>
      </c>
      <c r="E2521" s="56">
        <f>IF($B2521=0,"",IF(Inputs!$B$8="","",IF($AF2521=0,E2520,SUMIFS(Data!$J$10:$J$3209,Data!$I$10:$I$3209,"&gt;="&amp;$A2521,Data!$I$10:$I$3209,"&lt;"&amp;$A2521+1)/$AF2521)))</f>
        <v/>
      </c>
      <c r="F2521" s="56">
        <f>IF($B2521=0,"",IF(Inputs!$B$9="","",IF($AG2521=0,F2520,SUMIFS(Data!$N$10:$N$3209,Data!$M$10:$M$3209,"&gt;="&amp;$A2521,Data!$M$10:$M$3209,"&lt;"&amp;$A2521+1)/$AG2521)))</f>
        <v/>
      </c>
      <c r="G2521" s="56">
        <f>IF($B2521=0,"",IF(Inputs!$B$10="","",IF($AH2521=0,G2520,SUMIFS(Data!$R$10:$R$3209,Data!$Q$10:$Q$3209,"&gt;="&amp;$A2521,Data!$Q$10:$Q$3209,"&lt;"&amp;$A2521+1)/$AH2521)))</f>
        <v/>
      </c>
      <c r="I2521" s="54">
        <f>IF($B2521=0,NA(),IF($C2521="",NA(),IF(C$8="",NA(),IF(N(C$8)=0,NA(),IF(Inputs!$C$17="Rebased to 100",$C2521/C$8*100,$C2521)))))</f>
        <v/>
      </c>
      <c r="J2521" s="54">
        <f>IF($B2521=0,NA(),IF($D2521="",NA(),IF(D$8="",NA(),IF(N(D$8)=0,NA(),IF(Inputs!$C$17="Rebased to 100",$D2521/D$8*100,$D2521)))))</f>
        <v/>
      </c>
      <c r="K2521" s="54">
        <f>IF($B2521=0,NA(),IF($E2521="",NA(),IF(E$8="",NA(),IF(N(E$8)=0,NA(),IF(Inputs!$C$17="Rebased to 100",$E2521/E$8*100,$E2521)))))</f>
        <v/>
      </c>
      <c r="L2521" s="54">
        <f>IF($B2521=0,NA(),IF($F2521="",NA(),IF(F$8="",NA(),IF(N(F$8)=0,NA(),IF(Inputs!$C$17="Rebased to 100",$F2521/F$8*100,$F2521)))))</f>
        <v/>
      </c>
      <c r="M2521" s="54">
        <f>IF($B2521=0,NA(),IF($G2521="",NA(),IF(G$8="",NA(),IF(N(G$8)=0,NA(),IF(Inputs!$C$17="Rebased to 100",$G2521/G$8*100,$G2521)))))</f>
        <v/>
      </c>
      <c r="N2521" s="54">
        <f>IF($B2521=0,NA(),IF(Inputs!$C$18&lt;&gt;"Yes",NA(),IF(COUNT(I2521,J2521,K2521,L2521,M2521)=0,NA(),MIN(I2521,J2521,K2521,L2521,M2521))))</f>
        <v/>
      </c>
      <c r="O2521" s="54">
        <f>IF($B2521=0,NA(),IF(Inputs!$B$24&lt;&gt;"Yes",NA(),Inputs!$D$24*Inputs!$C$35))</f>
        <v/>
      </c>
      <c r="P2521" s="54">
        <f>IF($B2521=0,NA(),IF(Inputs!$B$25&lt;&gt;"Yes",NA(),Inputs!$D$25*Inputs!$C$35))</f>
        <v/>
      </c>
      <c r="Q2521" s="54">
        <f>IF($B2521=0,NA(),IF(Inputs!$B$26&lt;&gt;"Yes",NA(),Inputs!$D$26*Inputs!$C$35))</f>
        <v/>
      </c>
      <c r="R2521" s="54">
        <f>IF($B2521=0,NA(),IF(Inputs!$B$27&lt;&gt;"Yes",NA(),Inputs!$D$27*Inputs!$C$35))</f>
        <v/>
      </c>
      <c r="S2521" s="54">
        <f>IF($B2521=0,NA(),IF(Inputs!$B$28&lt;&gt;"Yes",NA(),Inputs!$D$28*Inputs!$C$35))</f>
        <v/>
      </c>
      <c r="T2521" s="54">
        <f>IF($B2521=0,NA(),IF(Inputs!$B$29&lt;&gt;"Yes",NA(),Inputs!$D$29*Inputs!$C$35))</f>
        <v/>
      </c>
      <c r="AD2521">
        <f>IF($B2521=0,0,IF(Inputs!$B$6="",0,COUNTIFS(Data!$A$10:$A$3209,"&gt;="&amp;$A2521,Data!$A$10:$A$3209,"&lt;"&amp;$A2521+1)))</f>
        <v/>
      </c>
      <c r="AE2521">
        <f>IF($B2521=0,0,IF(Inputs!$B$7="",0,COUNTIFS(Data!$E$10:$E$3209,"&gt;="&amp;$A2521,Data!$E$10:$E$3209,"&lt;"&amp;$A2521+1)))</f>
        <v/>
      </c>
      <c r="AF2521">
        <f>IF($B2521=0,0,IF(Inputs!$B$8="",0,COUNTIFS(Data!$I$10:$I$3209,"&gt;="&amp;$A2521,Data!$I$10:$I$3209,"&lt;"&amp;$A2521+1)))</f>
        <v/>
      </c>
      <c r="AG2521">
        <f>IF($B2521=0,0,IF(Inputs!$B$9="",0,COUNTIFS(Data!$M$10:$M$3209,"&gt;="&amp;$A2521,Data!$M$10:$M$3209,"&lt;"&amp;$A2521+1)))</f>
        <v/>
      </c>
      <c r="AH2521">
        <f>IF($B2521=0,0,IF(Inputs!$B$10="",0,COUNTIFS(Data!$Q$10:$Q$3209,"&gt;="&amp;$A2521,Data!$Q$10:$Q$3209,"&lt;"&amp;$A2521+1)))</f>
        <v/>
      </c>
    </row>
    <row r="2522">
      <c r="A2522" s="55">
        <f>MIN(Inputs!$C$15,$A2521+IF(WEEKDAY($A2521,2)=5,3,1))</f>
        <v/>
      </c>
      <c r="B2522">
        <f>IF($A2522&gt;$A2521,1,0)</f>
        <v/>
      </c>
      <c r="C2522" s="56">
        <f>IF($B2522=0,"",IF(Inputs!$B$6="","",IF($AD2522=0,C2521,SUMIFS(Data!$B$10:$B$3209,Data!$A$10:$A$3209,"&gt;="&amp;$A2522,Data!$A$10:$A$3209,"&lt;"&amp;$A2522+1)/$AD2522)))</f>
        <v/>
      </c>
      <c r="D2522" s="56">
        <f>IF($B2522=0,"",IF(Inputs!$B$7="","",IF($AE2522=0,D2521,SUMIFS(Data!$F$10:$F$3209,Data!$E$10:$E$3209,"&gt;="&amp;$A2522,Data!$E$10:$E$3209,"&lt;"&amp;$A2522+1)/$AE2522)))</f>
        <v/>
      </c>
      <c r="E2522" s="56">
        <f>IF($B2522=0,"",IF(Inputs!$B$8="","",IF($AF2522=0,E2521,SUMIFS(Data!$J$10:$J$3209,Data!$I$10:$I$3209,"&gt;="&amp;$A2522,Data!$I$10:$I$3209,"&lt;"&amp;$A2522+1)/$AF2522)))</f>
        <v/>
      </c>
      <c r="F2522" s="56">
        <f>IF($B2522=0,"",IF(Inputs!$B$9="","",IF($AG2522=0,F2521,SUMIFS(Data!$N$10:$N$3209,Data!$M$10:$M$3209,"&gt;="&amp;$A2522,Data!$M$10:$M$3209,"&lt;"&amp;$A2522+1)/$AG2522)))</f>
        <v/>
      </c>
      <c r="G2522" s="56">
        <f>IF($B2522=0,"",IF(Inputs!$B$10="","",IF($AH2522=0,G2521,SUMIFS(Data!$R$10:$R$3209,Data!$Q$10:$Q$3209,"&gt;="&amp;$A2522,Data!$Q$10:$Q$3209,"&lt;"&amp;$A2522+1)/$AH2522)))</f>
        <v/>
      </c>
      <c r="I2522" s="54">
        <f>IF($B2522=0,NA(),IF($C2522="",NA(),IF(C$8="",NA(),IF(N(C$8)=0,NA(),IF(Inputs!$C$17="Rebased to 100",$C2522/C$8*100,$C2522)))))</f>
        <v/>
      </c>
      <c r="J2522" s="54">
        <f>IF($B2522=0,NA(),IF($D2522="",NA(),IF(D$8="",NA(),IF(N(D$8)=0,NA(),IF(Inputs!$C$17="Rebased to 100",$D2522/D$8*100,$D2522)))))</f>
        <v/>
      </c>
      <c r="K2522" s="54">
        <f>IF($B2522=0,NA(),IF($E2522="",NA(),IF(E$8="",NA(),IF(N(E$8)=0,NA(),IF(Inputs!$C$17="Rebased to 100",$E2522/E$8*100,$E2522)))))</f>
        <v/>
      </c>
      <c r="L2522" s="54">
        <f>IF($B2522=0,NA(),IF($F2522="",NA(),IF(F$8="",NA(),IF(N(F$8)=0,NA(),IF(Inputs!$C$17="Rebased to 100",$F2522/F$8*100,$F2522)))))</f>
        <v/>
      </c>
      <c r="M2522" s="54">
        <f>IF($B2522=0,NA(),IF($G2522="",NA(),IF(G$8="",NA(),IF(N(G$8)=0,NA(),IF(Inputs!$C$17="Rebased to 100",$G2522/G$8*100,$G2522)))))</f>
        <v/>
      </c>
      <c r="N2522" s="54">
        <f>IF($B2522=0,NA(),IF(Inputs!$C$18&lt;&gt;"Yes",NA(),IF(COUNT(I2522,J2522,K2522,L2522,M2522)=0,NA(),MIN(I2522,J2522,K2522,L2522,M2522))))</f>
        <v/>
      </c>
      <c r="O2522" s="54">
        <f>IF($B2522=0,NA(),IF(Inputs!$B$24&lt;&gt;"Yes",NA(),Inputs!$D$24*Inputs!$C$35))</f>
        <v/>
      </c>
      <c r="P2522" s="54">
        <f>IF($B2522=0,NA(),IF(Inputs!$B$25&lt;&gt;"Yes",NA(),Inputs!$D$25*Inputs!$C$35))</f>
        <v/>
      </c>
      <c r="Q2522" s="54">
        <f>IF($B2522=0,NA(),IF(Inputs!$B$26&lt;&gt;"Yes",NA(),Inputs!$D$26*Inputs!$C$35))</f>
        <v/>
      </c>
      <c r="R2522" s="54">
        <f>IF($B2522=0,NA(),IF(Inputs!$B$27&lt;&gt;"Yes",NA(),Inputs!$D$27*Inputs!$C$35))</f>
        <v/>
      </c>
      <c r="S2522" s="54">
        <f>IF($B2522=0,NA(),IF(Inputs!$B$28&lt;&gt;"Yes",NA(),Inputs!$D$28*Inputs!$C$35))</f>
        <v/>
      </c>
      <c r="T2522" s="54">
        <f>IF($B2522=0,NA(),IF(Inputs!$B$29&lt;&gt;"Yes",NA(),Inputs!$D$29*Inputs!$C$35))</f>
        <v/>
      </c>
      <c r="AD2522">
        <f>IF($B2522=0,0,IF(Inputs!$B$6="",0,COUNTIFS(Data!$A$10:$A$3209,"&gt;="&amp;$A2522,Data!$A$10:$A$3209,"&lt;"&amp;$A2522+1)))</f>
        <v/>
      </c>
      <c r="AE2522">
        <f>IF($B2522=0,0,IF(Inputs!$B$7="",0,COUNTIFS(Data!$E$10:$E$3209,"&gt;="&amp;$A2522,Data!$E$10:$E$3209,"&lt;"&amp;$A2522+1)))</f>
        <v/>
      </c>
      <c r="AF2522">
        <f>IF($B2522=0,0,IF(Inputs!$B$8="",0,COUNTIFS(Data!$I$10:$I$3209,"&gt;="&amp;$A2522,Data!$I$10:$I$3209,"&lt;"&amp;$A2522+1)))</f>
        <v/>
      </c>
      <c r="AG2522">
        <f>IF($B2522=0,0,IF(Inputs!$B$9="",0,COUNTIFS(Data!$M$10:$M$3209,"&gt;="&amp;$A2522,Data!$M$10:$M$3209,"&lt;"&amp;$A2522+1)))</f>
        <v/>
      </c>
      <c r="AH2522">
        <f>IF($B2522=0,0,IF(Inputs!$B$10="",0,COUNTIFS(Data!$Q$10:$Q$3209,"&gt;="&amp;$A2522,Data!$Q$10:$Q$3209,"&lt;"&amp;$A2522+1)))</f>
        <v/>
      </c>
    </row>
    <row r="2523">
      <c r="A2523" s="55">
        <f>MIN(Inputs!$C$15,$A2522+IF(WEEKDAY($A2522,2)=5,3,1))</f>
        <v/>
      </c>
      <c r="B2523">
        <f>IF($A2523&gt;$A2522,1,0)</f>
        <v/>
      </c>
      <c r="C2523" s="56">
        <f>IF($B2523=0,"",IF(Inputs!$B$6="","",IF($AD2523=0,C2522,SUMIFS(Data!$B$10:$B$3209,Data!$A$10:$A$3209,"&gt;="&amp;$A2523,Data!$A$10:$A$3209,"&lt;"&amp;$A2523+1)/$AD2523)))</f>
        <v/>
      </c>
      <c r="D2523" s="56">
        <f>IF($B2523=0,"",IF(Inputs!$B$7="","",IF($AE2523=0,D2522,SUMIFS(Data!$F$10:$F$3209,Data!$E$10:$E$3209,"&gt;="&amp;$A2523,Data!$E$10:$E$3209,"&lt;"&amp;$A2523+1)/$AE2523)))</f>
        <v/>
      </c>
      <c r="E2523" s="56">
        <f>IF($B2523=0,"",IF(Inputs!$B$8="","",IF($AF2523=0,E2522,SUMIFS(Data!$J$10:$J$3209,Data!$I$10:$I$3209,"&gt;="&amp;$A2523,Data!$I$10:$I$3209,"&lt;"&amp;$A2523+1)/$AF2523)))</f>
        <v/>
      </c>
      <c r="F2523" s="56">
        <f>IF($B2523=0,"",IF(Inputs!$B$9="","",IF($AG2523=0,F2522,SUMIFS(Data!$N$10:$N$3209,Data!$M$10:$M$3209,"&gt;="&amp;$A2523,Data!$M$10:$M$3209,"&lt;"&amp;$A2523+1)/$AG2523)))</f>
        <v/>
      </c>
      <c r="G2523" s="56">
        <f>IF($B2523=0,"",IF(Inputs!$B$10="","",IF($AH2523=0,G2522,SUMIFS(Data!$R$10:$R$3209,Data!$Q$10:$Q$3209,"&gt;="&amp;$A2523,Data!$Q$10:$Q$3209,"&lt;"&amp;$A2523+1)/$AH2523)))</f>
        <v/>
      </c>
      <c r="I2523" s="54">
        <f>IF($B2523=0,NA(),IF($C2523="",NA(),IF(C$8="",NA(),IF(N(C$8)=0,NA(),IF(Inputs!$C$17="Rebased to 100",$C2523/C$8*100,$C2523)))))</f>
        <v/>
      </c>
      <c r="J2523" s="54">
        <f>IF($B2523=0,NA(),IF($D2523="",NA(),IF(D$8="",NA(),IF(N(D$8)=0,NA(),IF(Inputs!$C$17="Rebased to 100",$D2523/D$8*100,$D2523)))))</f>
        <v/>
      </c>
      <c r="K2523" s="54">
        <f>IF($B2523=0,NA(),IF($E2523="",NA(),IF(E$8="",NA(),IF(N(E$8)=0,NA(),IF(Inputs!$C$17="Rebased to 100",$E2523/E$8*100,$E2523)))))</f>
        <v/>
      </c>
      <c r="L2523" s="54">
        <f>IF($B2523=0,NA(),IF($F2523="",NA(),IF(F$8="",NA(),IF(N(F$8)=0,NA(),IF(Inputs!$C$17="Rebased to 100",$F2523/F$8*100,$F2523)))))</f>
        <v/>
      </c>
      <c r="M2523" s="54">
        <f>IF($B2523=0,NA(),IF($G2523="",NA(),IF(G$8="",NA(),IF(N(G$8)=0,NA(),IF(Inputs!$C$17="Rebased to 100",$G2523/G$8*100,$G2523)))))</f>
        <v/>
      </c>
      <c r="N2523" s="54">
        <f>IF($B2523=0,NA(),IF(Inputs!$C$18&lt;&gt;"Yes",NA(),IF(COUNT(I2523,J2523,K2523,L2523,M2523)=0,NA(),MIN(I2523,J2523,K2523,L2523,M2523))))</f>
        <v/>
      </c>
      <c r="O2523" s="54">
        <f>IF($B2523=0,NA(),IF(Inputs!$B$24&lt;&gt;"Yes",NA(),Inputs!$D$24*Inputs!$C$35))</f>
        <v/>
      </c>
      <c r="P2523" s="54">
        <f>IF($B2523=0,NA(),IF(Inputs!$B$25&lt;&gt;"Yes",NA(),Inputs!$D$25*Inputs!$C$35))</f>
        <v/>
      </c>
      <c r="Q2523" s="54">
        <f>IF($B2523=0,NA(),IF(Inputs!$B$26&lt;&gt;"Yes",NA(),Inputs!$D$26*Inputs!$C$35))</f>
        <v/>
      </c>
      <c r="R2523" s="54">
        <f>IF($B2523=0,NA(),IF(Inputs!$B$27&lt;&gt;"Yes",NA(),Inputs!$D$27*Inputs!$C$35))</f>
        <v/>
      </c>
      <c r="S2523" s="54">
        <f>IF($B2523=0,NA(),IF(Inputs!$B$28&lt;&gt;"Yes",NA(),Inputs!$D$28*Inputs!$C$35))</f>
        <v/>
      </c>
      <c r="T2523" s="54">
        <f>IF($B2523=0,NA(),IF(Inputs!$B$29&lt;&gt;"Yes",NA(),Inputs!$D$29*Inputs!$C$35))</f>
        <v/>
      </c>
      <c r="AD2523">
        <f>IF($B2523=0,0,IF(Inputs!$B$6="",0,COUNTIFS(Data!$A$10:$A$3209,"&gt;="&amp;$A2523,Data!$A$10:$A$3209,"&lt;"&amp;$A2523+1)))</f>
        <v/>
      </c>
      <c r="AE2523">
        <f>IF($B2523=0,0,IF(Inputs!$B$7="",0,COUNTIFS(Data!$E$10:$E$3209,"&gt;="&amp;$A2523,Data!$E$10:$E$3209,"&lt;"&amp;$A2523+1)))</f>
        <v/>
      </c>
      <c r="AF2523">
        <f>IF($B2523=0,0,IF(Inputs!$B$8="",0,COUNTIFS(Data!$I$10:$I$3209,"&gt;="&amp;$A2523,Data!$I$10:$I$3209,"&lt;"&amp;$A2523+1)))</f>
        <v/>
      </c>
      <c r="AG2523">
        <f>IF($B2523=0,0,IF(Inputs!$B$9="",0,COUNTIFS(Data!$M$10:$M$3209,"&gt;="&amp;$A2523,Data!$M$10:$M$3209,"&lt;"&amp;$A2523+1)))</f>
        <v/>
      </c>
      <c r="AH2523">
        <f>IF($B2523=0,0,IF(Inputs!$B$10="",0,COUNTIFS(Data!$Q$10:$Q$3209,"&gt;="&amp;$A2523,Data!$Q$10:$Q$3209,"&lt;"&amp;$A2523+1)))</f>
        <v/>
      </c>
    </row>
    <row r="2524">
      <c r="A2524" s="55">
        <f>MIN(Inputs!$C$15,$A2523+IF(WEEKDAY($A2523,2)=5,3,1))</f>
        <v/>
      </c>
      <c r="B2524">
        <f>IF($A2524&gt;$A2523,1,0)</f>
        <v/>
      </c>
      <c r="C2524" s="56">
        <f>IF($B2524=0,"",IF(Inputs!$B$6="","",IF($AD2524=0,C2523,SUMIFS(Data!$B$10:$B$3209,Data!$A$10:$A$3209,"&gt;="&amp;$A2524,Data!$A$10:$A$3209,"&lt;"&amp;$A2524+1)/$AD2524)))</f>
        <v/>
      </c>
      <c r="D2524" s="56">
        <f>IF($B2524=0,"",IF(Inputs!$B$7="","",IF($AE2524=0,D2523,SUMIFS(Data!$F$10:$F$3209,Data!$E$10:$E$3209,"&gt;="&amp;$A2524,Data!$E$10:$E$3209,"&lt;"&amp;$A2524+1)/$AE2524)))</f>
        <v/>
      </c>
      <c r="E2524" s="56">
        <f>IF($B2524=0,"",IF(Inputs!$B$8="","",IF($AF2524=0,E2523,SUMIFS(Data!$J$10:$J$3209,Data!$I$10:$I$3209,"&gt;="&amp;$A2524,Data!$I$10:$I$3209,"&lt;"&amp;$A2524+1)/$AF2524)))</f>
        <v/>
      </c>
      <c r="F2524" s="56">
        <f>IF($B2524=0,"",IF(Inputs!$B$9="","",IF($AG2524=0,F2523,SUMIFS(Data!$N$10:$N$3209,Data!$M$10:$M$3209,"&gt;="&amp;$A2524,Data!$M$10:$M$3209,"&lt;"&amp;$A2524+1)/$AG2524)))</f>
        <v/>
      </c>
      <c r="G2524" s="56">
        <f>IF($B2524=0,"",IF(Inputs!$B$10="","",IF($AH2524=0,G2523,SUMIFS(Data!$R$10:$R$3209,Data!$Q$10:$Q$3209,"&gt;="&amp;$A2524,Data!$Q$10:$Q$3209,"&lt;"&amp;$A2524+1)/$AH2524)))</f>
        <v/>
      </c>
      <c r="I2524" s="54">
        <f>IF($B2524=0,NA(),IF($C2524="",NA(),IF(C$8="",NA(),IF(N(C$8)=0,NA(),IF(Inputs!$C$17="Rebased to 100",$C2524/C$8*100,$C2524)))))</f>
        <v/>
      </c>
      <c r="J2524" s="54">
        <f>IF($B2524=0,NA(),IF($D2524="",NA(),IF(D$8="",NA(),IF(N(D$8)=0,NA(),IF(Inputs!$C$17="Rebased to 100",$D2524/D$8*100,$D2524)))))</f>
        <v/>
      </c>
      <c r="K2524" s="54">
        <f>IF($B2524=0,NA(),IF($E2524="",NA(),IF(E$8="",NA(),IF(N(E$8)=0,NA(),IF(Inputs!$C$17="Rebased to 100",$E2524/E$8*100,$E2524)))))</f>
        <v/>
      </c>
      <c r="L2524" s="54">
        <f>IF($B2524=0,NA(),IF($F2524="",NA(),IF(F$8="",NA(),IF(N(F$8)=0,NA(),IF(Inputs!$C$17="Rebased to 100",$F2524/F$8*100,$F2524)))))</f>
        <v/>
      </c>
      <c r="M2524" s="54">
        <f>IF($B2524=0,NA(),IF($G2524="",NA(),IF(G$8="",NA(),IF(N(G$8)=0,NA(),IF(Inputs!$C$17="Rebased to 100",$G2524/G$8*100,$G2524)))))</f>
        <v/>
      </c>
      <c r="N2524" s="54">
        <f>IF($B2524=0,NA(),IF(Inputs!$C$18&lt;&gt;"Yes",NA(),IF(COUNT(I2524,J2524,K2524,L2524,M2524)=0,NA(),MIN(I2524,J2524,K2524,L2524,M2524))))</f>
        <v/>
      </c>
      <c r="O2524" s="54">
        <f>IF($B2524=0,NA(),IF(Inputs!$B$24&lt;&gt;"Yes",NA(),Inputs!$D$24*Inputs!$C$35))</f>
        <v/>
      </c>
      <c r="P2524" s="54">
        <f>IF($B2524=0,NA(),IF(Inputs!$B$25&lt;&gt;"Yes",NA(),Inputs!$D$25*Inputs!$C$35))</f>
        <v/>
      </c>
      <c r="Q2524" s="54">
        <f>IF($B2524=0,NA(),IF(Inputs!$B$26&lt;&gt;"Yes",NA(),Inputs!$D$26*Inputs!$C$35))</f>
        <v/>
      </c>
      <c r="R2524" s="54">
        <f>IF($B2524=0,NA(),IF(Inputs!$B$27&lt;&gt;"Yes",NA(),Inputs!$D$27*Inputs!$C$35))</f>
        <v/>
      </c>
      <c r="S2524" s="54">
        <f>IF($B2524=0,NA(),IF(Inputs!$B$28&lt;&gt;"Yes",NA(),Inputs!$D$28*Inputs!$C$35))</f>
        <v/>
      </c>
      <c r="T2524" s="54">
        <f>IF($B2524=0,NA(),IF(Inputs!$B$29&lt;&gt;"Yes",NA(),Inputs!$D$29*Inputs!$C$35))</f>
        <v/>
      </c>
      <c r="AD2524">
        <f>IF($B2524=0,0,IF(Inputs!$B$6="",0,COUNTIFS(Data!$A$10:$A$3209,"&gt;="&amp;$A2524,Data!$A$10:$A$3209,"&lt;"&amp;$A2524+1)))</f>
        <v/>
      </c>
      <c r="AE2524">
        <f>IF($B2524=0,0,IF(Inputs!$B$7="",0,COUNTIFS(Data!$E$10:$E$3209,"&gt;="&amp;$A2524,Data!$E$10:$E$3209,"&lt;"&amp;$A2524+1)))</f>
        <v/>
      </c>
      <c r="AF2524">
        <f>IF($B2524=0,0,IF(Inputs!$B$8="",0,COUNTIFS(Data!$I$10:$I$3209,"&gt;="&amp;$A2524,Data!$I$10:$I$3209,"&lt;"&amp;$A2524+1)))</f>
        <v/>
      </c>
      <c r="AG2524">
        <f>IF($B2524=0,0,IF(Inputs!$B$9="",0,COUNTIFS(Data!$M$10:$M$3209,"&gt;="&amp;$A2524,Data!$M$10:$M$3209,"&lt;"&amp;$A2524+1)))</f>
        <v/>
      </c>
      <c r="AH2524">
        <f>IF($B2524=0,0,IF(Inputs!$B$10="",0,COUNTIFS(Data!$Q$10:$Q$3209,"&gt;="&amp;$A2524,Data!$Q$10:$Q$3209,"&lt;"&amp;$A2524+1)))</f>
        <v/>
      </c>
    </row>
    <row r="2525">
      <c r="A2525" s="55">
        <f>MIN(Inputs!$C$15,$A2524+IF(WEEKDAY($A2524,2)=5,3,1))</f>
        <v/>
      </c>
      <c r="B2525">
        <f>IF($A2525&gt;$A2524,1,0)</f>
        <v/>
      </c>
      <c r="C2525" s="56">
        <f>IF($B2525=0,"",IF(Inputs!$B$6="","",IF($AD2525=0,C2524,SUMIFS(Data!$B$10:$B$3209,Data!$A$10:$A$3209,"&gt;="&amp;$A2525,Data!$A$10:$A$3209,"&lt;"&amp;$A2525+1)/$AD2525)))</f>
        <v/>
      </c>
      <c r="D2525" s="56">
        <f>IF($B2525=0,"",IF(Inputs!$B$7="","",IF($AE2525=0,D2524,SUMIFS(Data!$F$10:$F$3209,Data!$E$10:$E$3209,"&gt;="&amp;$A2525,Data!$E$10:$E$3209,"&lt;"&amp;$A2525+1)/$AE2525)))</f>
        <v/>
      </c>
      <c r="E2525" s="56">
        <f>IF($B2525=0,"",IF(Inputs!$B$8="","",IF($AF2525=0,E2524,SUMIFS(Data!$J$10:$J$3209,Data!$I$10:$I$3209,"&gt;="&amp;$A2525,Data!$I$10:$I$3209,"&lt;"&amp;$A2525+1)/$AF2525)))</f>
        <v/>
      </c>
      <c r="F2525" s="56">
        <f>IF($B2525=0,"",IF(Inputs!$B$9="","",IF($AG2525=0,F2524,SUMIFS(Data!$N$10:$N$3209,Data!$M$10:$M$3209,"&gt;="&amp;$A2525,Data!$M$10:$M$3209,"&lt;"&amp;$A2525+1)/$AG2525)))</f>
        <v/>
      </c>
      <c r="G2525" s="56">
        <f>IF($B2525=0,"",IF(Inputs!$B$10="","",IF($AH2525=0,G2524,SUMIFS(Data!$R$10:$R$3209,Data!$Q$10:$Q$3209,"&gt;="&amp;$A2525,Data!$Q$10:$Q$3209,"&lt;"&amp;$A2525+1)/$AH2525)))</f>
        <v/>
      </c>
      <c r="I2525" s="54">
        <f>IF($B2525=0,NA(),IF($C2525="",NA(),IF(C$8="",NA(),IF(N(C$8)=0,NA(),IF(Inputs!$C$17="Rebased to 100",$C2525/C$8*100,$C2525)))))</f>
        <v/>
      </c>
      <c r="J2525" s="54">
        <f>IF($B2525=0,NA(),IF($D2525="",NA(),IF(D$8="",NA(),IF(N(D$8)=0,NA(),IF(Inputs!$C$17="Rebased to 100",$D2525/D$8*100,$D2525)))))</f>
        <v/>
      </c>
      <c r="K2525" s="54">
        <f>IF($B2525=0,NA(),IF($E2525="",NA(),IF(E$8="",NA(),IF(N(E$8)=0,NA(),IF(Inputs!$C$17="Rebased to 100",$E2525/E$8*100,$E2525)))))</f>
        <v/>
      </c>
      <c r="L2525" s="54">
        <f>IF($B2525=0,NA(),IF($F2525="",NA(),IF(F$8="",NA(),IF(N(F$8)=0,NA(),IF(Inputs!$C$17="Rebased to 100",$F2525/F$8*100,$F2525)))))</f>
        <v/>
      </c>
      <c r="M2525" s="54">
        <f>IF($B2525=0,NA(),IF($G2525="",NA(),IF(G$8="",NA(),IF(N(G$8)=0,NA(),IF(Inputs!$C$17="Rebased to 100",$G2525/G$8*100,$G2525)))))</f>
        <v/>
      </c>
      <c r="N2525" s="54">
        <f>IF($B2525=0,NA(),IF(Inputs!$C$18&lt;&gt;"Yes",NA(),IF(COUNT(I2525,J2525,K2525,L2525,M2525)=0,NA(),MIN(I2525,J2525,K2525,L2525,M2525))))</f>
        <v/>
      </c>
      <c r="O2525" s="54">
        <f>IF($B2525=0,NA(),IF(Inputs!$B$24&lt;&gt;"Yes",NA(),Inputs!$D$24*Inputs!$C$35))</f>
        <v/>
      </c>
      <c r="P2525" s="54">
        <f>IF($B2525=0,NA(),IF(Inputs!$B$25&lt;&gt;"Yes",NA(),Inputs!$D$25*Inputs!$C$35))</f>
        <v/>
      </c>
      <c r="Q2525" s="54">
        <f>IF($B2525=0,NA(),IF(Inputs!$B$26&lt;&gt;"Yes",NA(),Inputs!$D$26*Inputs!$C$35))</f>
        <v/>
      </c>
      <c r="R2525" s="54">
        <f>IF($B2525=0,NA(),IF(Inputs!$B$27&lt;&gt;"Yes",NA(),Inputs!$D$27*Inputs!$C$35))</f>
        <v/>
      </c>
      <c r="S2525" s="54">
        <f>IF($B2525=0,NA(),IF(Inputs!$B$28&lt;&gt;"Yes",NA(),Inputs!$D$28*Inputs!$C$35))</f>
        <v/>
      </c>
      <c r="T2525" s="54">
        <f>IF($B2525=0,NA(),IF(Inputs!$B$29&lt;&gt;"Yes",NA(),Inputs!$D$29*Inputs!$C$35))</f>
        <v/>
      </c>
      <c r="AD2525">
        <f>IF($B2525=0,0,IF(Inputs!$B$6="",0,COUNTIFS(Data!$A$10:$A$3209,"&gt;="&amp;$A2525,Data!$A$10:$A$3209,"&lt;"&amp;$A2525+1)))</f>
        <v/>
      </c>
      <c r="AE2525">
        <f>IF($B2525=0,0,IF(Inputs!$B$7="",0,COUNTIFS(Data!$E$10:$E$3209,"&gt;="&amp;$A2525,Data!$E$10:$E$3209,"&lt;"&amp;$A2525+1)))</f>
        <v/>
      </c>
      <c r="AF2525">
        <f>IF($B2525=0,0,IF(Inputs!$B$8="",0,COUNTIFS(Data!$I$10:$I$3209,"&gt;="&amp;$A2525,Data!$I$10:$I$3209,"&lt;"&amp;$A2525+1)))</f>
        <v/>
      </c>
      <c r="AG2525">
        <f>IF($B2525=0,0,IF(Inputs!$B$9="",0,COUNTIFS(Data!$M$10:$M$3209,"&gt;="&amp;$A2525,Data!$M$10:$M$3209,"&lt;"&amp;$A2525+1)))</f>
        <v/>
      </c>
      <c r="AH2525">
        <f>IF($B2525=0,0,IF(Inputs!$B$10="",0,COUNTIFS(Data!$Q$10:$Q$3209,"&gt;="&amp;$A2525,Data!$Q$10:$Q$3209,"&lt;"&amp;$A2525+1)))</f>
        <v/>
      </c>
    </row>
    <row r="2526">
      <c r="A2526" s="55">
        <f>MIN(Inputs!$C$15,$A2525+IF(WEEKDAY($A2525,2)=5,3,1))</f>
        <v/>
      </c>
      <c r="B2526">
        <f>IF($A2526&gt;$A2525,1,0)</f>
        <v/>
      </c>
      <c r="C2526" s="56">
        <f>IF($B2526=0,"",IF(Inputs!$B$6="","",IF($AD2526=0,C2525,SUMIFS(Data!$B$10:$B$3209,Data!$A$10:$A$3209,"&gt;="&amp;$A2526,Data!$A$10:$A$3209,"&lt;"&amp;$A2526+1)/$AD2526)))</f>
        <v/>
      </c>
      <c r="D2526" s="56">
        <f>IF($B2526=0,"",IF(Inputs!$B$7="","",IF($AE2526=0,D2525,SUMIFS(Data!$F$10:$F$3209,Data!$E$10:$E$3209,"&gt;="&amp;$A2526,Data!$E$10:$E$3209,"&lt;"&amp;$A2526+1)/$AE2526)))</f>
        <v/>
      </c>
      <c r="E2526" s="56">
        <f>IF($B2526=0,"",IF(Inputs!$B$8="","",IF($AF2526=0,E2525,SUMIFS(Data!$J$10:$J$3209,Data!$I$10:$I$3209,"&gt;="&amp;$A2526,Data!$I$10:$I$3209,"&lt;"&amp;$A2526+1)/$AF2526)))</f>
        <v/>
      </c>
      <c r="F2526" s="56">
        <f>IF($B2526=0,"",IF(Inputs!$B$9="","",IF($AG2526=0,F2525,SUMIFS(Data!$N$10:$N$3209,Data!$M$10:$M$3209,"&gt;="&amp;$A2526,Data!$M$10:$M$3209,"&lt;"&amp;$A2526+1)/$AG2526)))</f>
        <v/>
      </c>
      <c r="G2526" s="56">
        <f>IF($B2526=0,"",IF(Inputs!$B$10="","",IF($AH2526=0,G2525,SUMIFS(Data!$R$10:$R$3209,Data!$Q$10:$Q$3209,"&gt;="&amp;$A2526,Data!$Q$10:$Q$3209,"&lt;"&amp;$A2526+1)/$AH2526)))</f>
        <v/>
      </c>
      <c r="I2526" s="54">
        <f>IF($B2526=0,NA(),IF($C2526="",NA(),IF(C$8="",NA(),IF(N(C$8)=0,NA(),IF(Inputs!$C$17="Rebased to 100",$C2526/C$8*100,$C2526)))))</f>
        <v/>
      </c>
      <c r="J2526" s="54">
        <f>IF($B2526=0,NA(),IF($D2526="",NA(),IF(D$8="",NA(),IF(N(D$8)=0,NA(),IF(Inputs!$C$17="Rebased to 100",$D2526/D$8*100,$D2526)))))</f>
        <v/>
      </c>
      <c r="K2526" s="54">
        <f>IF($B2526=0,NA(),IF($E2526="",NA(),IF(E$8="",NA(),IF(N(E$8)=0,NA(),IF(Inputs!$C$17="Rebased to 100",$E2526/E$8*100,$E2526)))))</f>
        <v/>
      </c>
      <c r="L2526" s="54">
        <f>IF($B2526=0,NA(),IF($F2526="",NA(),IF(F$8="",NA(),IF(N(F$8)=0,NA(),IF(Inputs!$C$17="Rebased to 100",$F2526/F$8*100,$F2526)))))</f>
        <v/>
      </c>
      <c r="M2526" s="54">
        <f>IF($B2526=0,NA(),IF($G2526="",NA(),IF(G$8="",NA(),IF(N(G$8)=0,NA(),IF(Inputs!$C$17="Rebased to 100",$G2526/G$8*100,$G2526)))))</f>
        <v/>
      </c>
      <c r="N2526" s="54">
        <f>IF($B2526=0,NA(),IF(Inputs!$C$18&lt;&gt;"Yes",NA(),IF(COUNT(I2526,J2526,K2526,L2526,M2526)=0,NA(),MIN(I2526,J2526,K2526,L2526,M2526))))</f>
        <v/>
      </c>
      <c r="O2526" s="54">
        <f>IF($B2526=0,NA(),IF(Inputs!$B$24&lt;&gt;"Yes",NA(),Inputs!$D$24*Inputs!$C$35))</f>
        <v/>
      </c>
      <c r="P2526" s="54">
        <f>IF($B2526=0,NA(),IF(Inputs!$B$25&lt;&gt;"Yes",NA(),Inputs!$D$25*Inputs!$C$35))</f>
        <v/>
      </c>
      <c r="Q2526" s="54">
        <f>IF($B2526=0,NA(),IF(Inputs!$B$26&lt;&gt;"Yes",NA(),Inputs!$D$26*Inputs!$C$35))</f>
        <v/>
      </c>
      <c r="R2526" s="54">
        <f>IF($B2526=0,NA(),IF(Inputs!$B$27&lt;&gt;"Yes",NA(),Inputs!$D$27*Inputs!$C$35))</f>
        <v/>
      </c>
      <c r="S2526" s="54">
        <f>IF($B2526=0,NA(),IF(Inputs!$B$28&lt;&gt;"Yes",NA(),Inputs!$D$28*Inputs!$C$35))</f>
        <v/>
      </c>
      <c r="T2526" s="54">
        <f>IF($B2526=0,NA(),IF(Inputs!$B$29&lt;&gt;"Yes",NA(),Inputs!$D$29*Inputs!$C$35))</f>
        <v/>
      </c>
      <c r="AD2526">
        <f>IF($B2526=0,0,IF(Inputs!$B$6="",0,COUNTIFS(Data!$A$10:$A$3209,"&gt;="&amp;$A2526,Data!$A$10:$A$3209,"&lt;"&amp;$A2526+1)))</f>
        <v/>
      </c>
      <c r="AE2526">
        <f>IF($B2526=0,0,IF(Inputs!$B$7="",0,COUNTIFS(Data!$E$10:$E$3209,"&gt;="&amp;$A2526,Data!$E$10:$E$3209,"&lt;"&amp;$A2526+1)))</f>
        <v/>
      </c>
      <c r="AF2526">
        <f>IF($B2526=0,0,IF(Inputs!$B$8="",0,COUNTIFS(Data!$I$10:$I$3209,"&gt;="&amp;$A2526,Data!$I$10:$I$3209,"&lt;"&amp;$A2526+1)))</f>
        <v/>
      </c>
      <c r="AG2526">
        <f>IF($B2526=0,0,IF(Inputs!$B$9="",0,COUNTIFS(Data!$M$10:$M$3209,"&gt;="&amp;$A2526,Data!$M$10:$M$3209,"&lt;"&amp;$A2526+1)))</f>
        <v/>
      </c>
      <c r="AH2526">
        <f>IF($B2526=0,0,IF(Inputs!$B$10="",0,COUNTIFS(Data!$Q$10:$Q$3209,"&gt;="&amp;$A2526,Data!$Q$10:$Q$3209,"&lt;"&amp;$A2526+1)))</f>
        <v/>
      </c>
    </row>
    <row r="2527">
      <c r="A2527" s="55">
        <f>MIN(Inputs!$C$15,$A2526+IF(WEEKDAY($A2526,2)=5,3,1))</f>
        <v/>
      </c>
      <c r="B2527">
        <f>IF($A2527&gt;$A2526,1,0)</f>
        <v/>
      </c>
      <c r="C2527" s="56">
        <f>IF($B2527=0,"",IF(Inputs!$B$6="","",IF($AD2527=0,C2526,SUMIFS(Data!$B$10:$B$3209,Data!$A$10:$A$3209,"&gt;="&amp;$A2527,Data!$A$10:$A$3209,"&lt;"&amp;$A2527+1)/$AD2527)))</f>
        <v/>
      </c>
      <c r="D2527" s="56">
        <f>IF($B2527=0,"",IF(Inputs!$B$7="","",IF($AE2527=0,D2526,SUMIFS(Data!$F$10:$F$3209,Data!$E$10:$E$3209,"&gt;="&amp;$A2527,Data!$E$10:$E$3209,"&lt;"&amp;$A2527+1)/$AE2527)))</f>
        <v/>
      </c>
      <c r="E2527" s="56">
        <f>IF($B2527=0,"",IF(Inputs!$B$8="","",IF($AF2527=0,E2526,SUMIFS(Data!$J$10:$J$3209,Data!$I$10:$I$3209,"&gt;="&amp;$A2527,Data!$I$10:$I$3209,"&lt;"&amp;$A2527+1)/$AF2527)))</f>
        <v/>
      </c>
      <c r="F2527" s="56">
        <f>IF($B2527=0,"",IF(Inputs!$B$9="","",IF($AG2527=0,F2526,SUMIFS(Data!$N$10:$N$3209,Data!$M$10:$M$3209,"&gt;="&amp;$A2527,Data!$M$10:$M$3209,"&lt;"&amp;$A2527+1)/$AG2527)))</f>
        <v/>
      </c>
      <c r="G2527" s="56">
        <f>IF($B2527=0,"",IF(Inputs!$B$10="","",IF($AH2527=0,G2526,SUMIFS(Data!$R$10:$R$3209,Data!$Q$10:$Q$3209,"&gt;="&amp;$A2527,Data!$Q$10:$Q$3209,"&lt;"&amp;$A2527+1)/$AH2527)))</f>
        <v/>
      </c>
      <c r="I2527" s="54">
        <f>IF($B2527=0,NA(),IF($C2527="",NA(),IF(C$8="",NA(),IF(N(C$8)=0,NA(),IF(Inputs!$C$17="Rebased to 100",$C2527/C$8*100,$C2527)))))</f>
        <v/>
      </c>
      <c r="J2527" s="54">
        <f>IF($B2527=0,NA(),IF($D2527="",NA(),IF(D$8="",NA(),IF(N(D$8)=0,NA(),IF(Inputs!$C$17="Rebased to 100",$D2527/D$8*100,$D2527)))))</f>
        <v/>
      </c>
      <c r="K2527" s="54">
        <f>IF($B2527=0,NA(),IF($E2527="",NA(),IF(E$8="",NA(),IF(N(E$8)=0,NA(),IF(Inputs!$C$17="Rebased to 100",$E2527/E$8*100,$E2527)))))</f>
        <v/>
      </c>
      <c r="L2527" s="54">
        <f>IF($B2527=0,NA(),IF($F2527="",NA(),IF(F$8="",NA(),IF(N(F$8)=0,NA(),IF(Inputs!$C$17="Rebased to 100",$F2527/F$8*100,$F2527)))))</f>
        <v/>
      </c>
      <c r="M2527" s="54">
        <f>IF($B2527=0,NA(),IF($G2527="",NA(),IF(G$8="",NA(),IF(N(G$8)=0,NA(),IF(Inputs!$C$17="Rebased to 100",$G2527/G$8*100,$G2527)))))</f>
        <v/>
      </c>
      <c r="N2527" s="54">
        <f>IF($B2527=0,NA(),IF(Inputs!$C$18&lt;&gt;"Yes",NA(),IF(COUNT(I2527,J2527,K2527,L2527,M2527)=0,NA(),MIN(I2527,J2527,K2527,L2527,M2527))))</f>
        <v/>
      </c>
      <c r="O2527" s="54">
        <f>IF($B2527=0,NA(),IF(Inputs!$B$24&lt;&gt;"Yes",NA(),Inputs!$D$24*Inputs!$C$35))</f>
        <v/>
      </c>
      <c r="P2527" s="54">
        <f>IF($B2527=0,NA(),IF(Inputs!$B$25&lt;&gt;"Yes",NA(),Inputs!$D$25*Inputs!$C$35))</f>
        <v/>
      </c>
      <c r="Q2527" s="54">
        <f>IF($B2527=0,NA(),IF(Inputs!$B$26&lt;&gt;"Yes",NA(),Inputs!$D$26*Inputs!$C$35))</f>
        <v/>
      </c>
      <c r="R2527" s="54">
        <f>IF($B2527=0,NA(),IF(Inputs!$B$27&lt;&gt;"Yes",NA(),Inputs!$D$27*Inputs!$C$35))</f>
        <v/>
      </c>
      <c r="S2527" s="54">
        <f>IF($B2527=0,NA(),IF(Inputs!$B$28&lt;&gt;"Yes",NA(),Inputs!$D$28*Inputs!$C$35))</f>
        <v/>
      </c>
      <c r="T2527" s="54">
        <f>IF($B2527=0,NA(),IF(Inputs!$B$29&lt;&gt;"Yes",NA(),Inputs!$D$29*Inputs!$C$35))</f>
        <v/>
      </c>
      <c r="AD2527">
        <f>IF($B2527=0,0,IF(Inputs!$B$6="",0,COUNTIFS(Data!$A$10:$A$3209,"&gt;="&amp;$A2527,Data!$A$10:$A$3209,"&lt;"&amp;$A2527+1)))</f>
        <v/>
      </c>
      <c r="AE2527">
        <f>IF($B2527=0,0,IF(Inputs!$B$7="",0,COUNTIFS(Data!$E$10:$E$3209,"&gt;="&amp;$A2527,Data!$E$10:$E$3209,"&lt;"&amp;$A2527+1)))</f>
        <v/>
      </c>
      <c r="AF2527">
        <f>IF($B2527=0,0,IF(Inputs!$B$8="",0,COUNTIFS(Data!$I$10:$I$3209,"&gt;="&amp;$A2527,Data!$I$10:$I$3209,"&lt;"&amp;$A2527+1)))</f>
        <v/>
      </c>
      <c r="AG2527">
        <f>IF($B2527=0,0,IF(Inputs!$B$9="",0,COUNTIFS(Data!$M$10:$M$3209,"&gt;="&amp;$A2527,Data!$M$10:$M$3209,"&lt;"&amp;$A2527+1)))</f>
        <v/>
      </c>
      <c r="AH2527">
        <f>IF($B2527=0,0,IF(Inputs!$B$10="",0,COUNTIFS(Data!$Q$10:$Q$3209,"&gt;="&amp;$A2527,Data!$Q$10:$Q$3209,"&lt;"&amp;$A2527+1)))</f>
        <v/>
      </c>
    </row>
    <row r="2528">
      <c r="A2528" s="55">
        <f>MIN(Inputs!$C$15,$A2527+IF(WEEKDAY($A2527,2)=5,3,1))</f>
        <v/>
      </c>
      <c r="B2528">
        <f>IF($A2528&gt;$A2527,1,0)</f>
        <v/>
      </c>
      <c r="C2528" s="56">
        <f>IF($B2528=0,"",IF(Inputs!$B$6="","",IF($AD2528=0,C2527,SUMIFS(Data!$B$10:$B$3209,Data!$A$10:$A$3209,"&gt;="&amp;$A2528,Data!$A$10:$A$3209,"&lt;"&amp;$A2528+1)/$AD2528)))</f>
        <v/>
      </c>
      <c r="D2528" s="56">
        <f>IF($B2528=0,"",IF(Inputs!$B$7="","",IF($AE2528=0,D2527,SUMIFS(Data!$F$10:$F$3209,Data!$E$10:$E$3209,"&gt;="&amp;$A2528,Data!$E$10:$E$3209,"&lt;"&amp;$A2528+1)/$AE2528)))</f>
        <v/>
      </c>
      <c r="E2528" s="56">
        <f>IF($B2528=0,"",IF(Inputs!$B$8="","",IF($AF2528=0,E2527,SUMIFS(Data!$J$10:$J$3209,Data!$I$10:$I$3209,"&gt;="&amp;$A2528,Data!$I$10:$I$3209,"&lt;"&amp;$A2528+1)/$AF2528)))</f>
        <v/>
      </c>
      <c r="F2528" s="56">
        <f>IF($B2528=0,"",IF(Inputs!$B$9="","",IF($AG2528=0,F2527,SUMIFS(Data!$N$10:$N$3209,Data!$M$10:$M$3209,"&gt;="&amp;$A2528,Data!$M$10:$M$3209,"&lt;"&amp;$A2528+1)/$AG2528)))</f>
        <v/>
      </c>
      <c r="G2528" s="56">
        <f>IF($B2528=0,"",IF(Inputs!$B$10="","",IF($AH2528=0,G2527,SUMIFS(Data!$R$10:$R$3209,Data!$Q$10:$Q$3209,"&gt;="&amp;$A2528,Data!$Q$10:$Q$3209,"&lt;"&amp;$A2528+1)/$AH2528)))</f>
        <v/>
      </c>
      <c r="I2528" s="54">
        <f>IF($B2528=0,NA(),IF($C2528="",NA(),IF(C$8="",NA(),IF(N(C$8)=0,NA(),IF(Inputs!$C$17="Rebased to 100",$C2528/C$8*100,$C2528)))))</f>
        <v/>
      </c>
      <c r="J2528" s="54">
        <f>IF($B2528=0,NA(),IF($D2528="",NA(),IF(D$8="",NA(),IF(N(D$8)=0,NA(),IF(Inputs!$C$17="Rebased to 100",$D2528/D$8*100,$D2528)))))</f>
        <v/>
      </c>
      <c r="K2528" s="54">
        <f>IF($B2528=0,NA(),IF($E2528="",NA(),IF(E$8="",NA(),IF(N(E$8)=0,NA(),IF(Inputs!$C$17="Rebased to 100",$E2528/E$8*100,$E2528)))))</f>
        <v/>
      </c>
      <c r="L2528" s="54">
        <f>IF($B2528=0,NA(),IF($F2528="",NA(),IF(F$8="",NA(),IF(N(F$8)=0,NA(),IF(Inputs!$C$17="Rebased to 100",$F2528/F$8*100,$F2528)))))</f>
        <v/>
      </c>
      <c r="M2528" s="54">
        <f>IF($B2528=0,NA(),IF($G2528="",NA(),IF(G$8="",NA(),IF(N(G$8)=0,NA(),IF(Inputs!$C$17="Rebased to 100",$G2528/G$8*100,$G2528)))))</f>
        <v/>
      </c>
      <c r="N2528" s="54">
        <f>IF($B2528=0,NA(),IF(Inputs!$C$18&lt;&gt;"Yes",NA(),IF(COUNT(I2528,J2528,K2528,L2528,M2528)=0,NA(),MIN(I2528,J2528,K2528,L2528,M2528))))</f>
        <v/>
      </c>
      <c r="O2528" s="54">
        <f>IF($B2528=0,NA(),IF(Inputs!$B$24&lt;&gt;"Yes",NA(),Inputs!$D$24*Inputs!$C$35))</f>
        <v/>
      </c>
      <c r="P2528" s="54">
        <f>IF($B2528=0,NA(),IF(Inputs!$B$25&lt;&gt;"Yes",NA(),Inputs!$D$25*Inputs!$C$35))</f>
        <v/>
      </c>
      <c r="Q2528" s="54">
        <f>IF($B2528=0,NA(),IF(Inputs!$B$26&lt;&gt;"Yes",NA(),Inputs!$D$26*Inputs!$C$35))</f>
        <v/>
      </c>
      <c r="R2528" s="54">
        <f>IF($B2528=0,NA(),IF(Inputs!$B$27&lt;&gt;"Yes",NA(),Inputs!$D$27*Inputs!$C$35))</f>
        <v/>
      </c>
      <c r="S2528" s="54">
        <f>IF($B2528=0,NA(),IF(Inputs!$B$28&lt;&gt;"Yes",NA(),Inputs!$D$28*Inputs!$C$35))</f>
        <v/>
      </c>
      <c r="T2528" s="54">
        <f>IF($B2528=0,NA(),IF(Inputs!$B$29&lt;&gt;"Yes",NA(),Inputs!$D$29*Inputs!$C$35))</f>
        <v/>
      </c>
      <c r="AD2528">
        <f>IF($B2528=0,0,IF(Inputs!$B$6="",0,COUNTIFS(Data!$A$10:$A$3209,"&gt;="&amp;$A2528,Data!$A$10:$A$3209,"&lt;"&amp;$A2528+1)))</f>
        <v/>
      </c>
      <c r="AE2528">
        <f>IF($B2528=0,0,IF(Inputs!$B$7="",0,COUNTIFS(Data!$E$10:$E$3209,"&gt;="&amp;$A2528,Data!$E$10:$E$3209,"&lt;"&amp;$A2528+1)))</f>
        <v/>
      </c>
      <c r="AF2528">
        <f>IF($B2528=0,0,IF(Inputs!$B$8="",0,COUNTIFS(Data!$I$10:$I$3209,"&gt;="&amp;$A2528,Data!$I$10:$I$3209,"&lt;"&amp;$A2528+1)))</f>
        <v/>
      </c>
      <c r="AG2528">
        <f>IF($B2528=0,0,IF(Inputs!$B$9="",0,COUNTIFS(Data!$M$10:$M$3209,"&gt;="&amp;$A2528,Data!$M$10:$M$3209,"&lt;"&amp;$A2528+1)))</f>
        <v/>
      </c>
      <c r="AH2528">
        <f>IF($B2528=0,0,IF(Inputs!$B$10="",0,COUNTIFS(Data!$Q$10:$Q$3209,"&gt;="&amp;$A2528,Data!$Q$10:$Q$3209,"&lt;"&amp;$A2528+1)))</f>
        <v/>
      </c>
    </row>
    <row r="2529">
      <c r="A2529" s="55">
        <f>MIN(Inputs!$C$15,$A2528+IF(WEEKDAY($A2528,2)=5,3,1))</f>
        <v/>
      </c>
      <c r="B2529">
        <f>IF($A2529&gt;$A2528,1,0)</f>
        <v/>
      </c>
      <c r="C2529" s="56">
        <f>IF($B2529=0,"",IF(Inputs!$B$6="","",IF($AD2529=0,C2528,SUMIFS(Data!$B$10:$B$3209,Data!$A$10:$A$3209,"&gt;="&amp;$A2529,Data!$A$10:$A$3209,"&lt;"&amp;$A2529+1)/$AD2529)))</f>
        <v/>
      </c>
      <c r="D2529" s="56">
        <f>IF($B2529=0,"",IF(Inputs!$B$7="","",IF($AE2529=0,D2528,SUMIFS(Data!$F$10:$F$3209,Data!$E$10:$E$3209,"&gt;="&amp;$A2529,Data!$E$10:$E$3209,"&lt;"&amp;$A2529+1)/$AE2529)))</f>
        <v/>
      </c>
      <c r="E2529" s="56">
        <f>IF($B2529=0,"",IF(Inputs!$B$8="","",IF($AF2529=0,E2528,SUMIFS(Data!$J$10:$J$3209,Data!$I$10:$I$3209,"&gt;="&amp;$A2529,Data!$I$10:$I$3209,"&lt;"&amp;$A2529+1)/$AF2529)))</f>
        <v/>
      </c>
      <c r="F2529" s="56">
        <f>IF($B2529=0,"",IF(Inputs!$B$9="","",IF($AG2529=0,F2528,SUMIFS(Data!$N$10:$N$3209,Data!$M$10:$M$3209,"&gt;="&amp;$A2529,Data!$M$10:$M$3209,"&lt;"&amp;$A2529+1)/$AG2529)))</f>
        <v/>
      </c>
      <c r="G2529" s="56">
        <f>IF($B2529=0,"",IF(Inputs!$B$10="","",IF($AH2529=0,G2528,SUMIFS(Data!$R$10:$R$3209,Data!$Q$10:$Q$3209,"&gt;="&amp;$A2529,Data!$Q$10:$Q$3209,"&lt;"&amp;$A2529+1)/$AH2529)))</f>
        <v/>
      </c>
      <c r="I2529" s="54">
        <f>IF($B2529=0,NA(),IF($C2529="",NA(),IF(C$8="",NA(),IF(N(C$8)=0,NA(),IF(Inputs!$C$17="Rebased to 100",$C2529/C$8*100,$C2529)))))</f>
        <v/>
      </c>
      <c r="J2529" s="54">
        <f>IF($B2529=0,NA(),IF($D2529="",NA(),IF(D$8="",NA(),IF(N(D$8)=0,NA(),IF(Inputs!$C$17="Rebased to 100",$D2529/D$8*100,$D2529)))))</f>
        <v/>
      </c>
      <c r="K2529" s="54">
        <f>IF($B2529=0,NA(),IF($E2529="",NA(),IF(E$8="",NA(),IF(N(E$8)=0,NA(),IF(Inputs!$C$17="Rebased to 100",$E2529/E$8*100,$E2529)))))</f>
        <v/>
      </c>
      <c r="L2529" s="54">
        <f>IF($B2529=0,NA(),IF($F2529="",NA(),IF(F$8="",NA(),IF(N(F$8)=0,NA(),IF(Inputs!$C$17="Rebased to 100",$F2529/F$8*100,$F2529)))))</f>
        <v/>
      </c>
      <c r="M2529" s="54">
        <f>IF($B2529=0,NA(),IF($G2529="",NA(),IF(G$8="",NA(),IF(N(G$8)=0,NA(),IF(Inputs!$C$17="Rebased to 100",$G2529/G$8*100,$G2529)))))</f>
        <v/>
      </c>
      <c r="N2529" s="54">
        <f>IF($B2529=0,NA(),IF(Inputs!$C$18&lt;&gt;"Yes",NA(),IF(COUNT(I2529,J2529,K2529,L2529,M2529)=0,NA(),MIN(I2529,J2529,K2529,L2529,M2529))))</f>
        <v/>
      </c>
      <c r="O2529" s="54">
        <f>IF($B2529=0,NA(),IF(Inputs!$B$24&lt;&gt;"Yes",NA(),Inputs!$D$24*Inputs!$C$35))</f>
        <v/>
      </c>
      <c r="P2529" s="54">
        <f>IF($B2529=0,NA(),IF(Inputs!$B$25&lt;&gt;"Yes",NA(),Inputs!$D$25*Inputs!$C$35))</f>
        <v/>
      </c>
      <c r="Q2529" s="54">
        <f>IF($B2529=0,NA(),IF(Inputs!$B$26&lt;&gt;"Yes",NA(),Inputs!$D$26*Inputs!$C$35))</f>
        <v/>
      </c>
      <c r="R2529" s="54">
        <f>IF($B2529=0,NA(),IF(Inputs!$B$27&lt;&gt;"Yes",NA(),Inputs!$D$27*Inputs!$C$35))</f>
        <v/>
      </c>
      <c r="S2529" s="54">
        <f>IF($B2529=0,NA(),IF(Inputs!$B$28&lt;&gt;"Yes",NA(),Inputs!$D$28*Inputs!$C$35))</f>
        <v/>
      </c>
      <c r="T2529" s="54">
        <f>IF($B2529=0,NA(),IF(Inputs!$B$29&lt;&gt;"Yes",NA(),Inputs!$D$29*Inputs!$C$35))</f>
        <v/>
      </c>
      <c r="AD2529">
        <f>IF($B2529=0,0,IF(Inputs!$B$6="",0,COUNTIFS(Data!$A$10:$A$3209,"&gt;="&amp;$A2529,Data!$A$10:$A$3209,"&lt;"&amp;$A2529+1)))</f>
        <v/>
      </c>
      <c r="AE2529">
        <f>IF($B2529=0,0,IF(Inputs!$B$7="",0,COUNTIFS(Data!$E$10:$E$3209,"&gt;="&amp;$A2529,Data!$E$10:$E$3209,"&lt;"&amp;$A2529+1)))</f>
        <v/>
      </c>
      <c r="AF2529">
        <f>IF($B2529=0,0,IF(Inputs!$B$8="",0,COUNTIFS(Data!$I$10:$I$3209,"&gt;="&amp;$A2529,Data!$I$10:$I$3209,"&lt;"&amp;$A2529+1)))</f>
        <v/>
      </c>
      <c r="AG2529">
        <f>IF($B2529=0,0,IF(Inputs!$B$9="",0,COUNTIFS(Data!$M$10:$M$3209,"&gt;="&amp;$A2529,Data!$M$10:$M$3209,"&lt;"&amp;$A2529+1)))</f>
        <v/>
      </c>
      <c r="AH2529">
        <f>IF($B2529=0,0,IF(Inputs!$B$10="",0,COUNTIFS(Data!$Q$10:$Q$3209,"&gt;="&amp;$A2529,Data!$Q$10:$Q$3209,"&lt;"&amp;$A2529+1)))</f>
        <v/>
      </c>
    </row>
    <row r="2530">
      <c r="A2530" s="55">
        <f>MIN(Inputs!$C$15,$A2529+IF(WEEKDAY($A2529,2)=5,3,1))</f>
        <v/>
      </c>
      <c r="B2530">
        <f>IF($A2530&gt;$A2529,1,0)</f>
        <v/>
      </c>
      <c r="C2530" s="56">
        <f>IF($B2530=0,"",IF(Inputs!$B$6="","",IF($AD2530=0,C2529,SUMIFS(Data!$B$10:$B$3209,Data!$A$10:$A$3209,"&gt;="&amp;$A2530,Data!$A$10:$A$3209,"&lt;"&amp;$A2530+1)/$AD2530)))</f>
        <v/>
      </c>
      <c r="D2530" s="56">
        <f>IF($B2530=0,"",IF(Inputs!$B$7="","",IF($AE2530=0,D2529,SUMIFS(Data!$F$10:$F$3209,Data!$E$10:$E$3209,"&gt;="&amp;$A2530,Data!$E$10:$E$3209,"&lt;"&amp;$A2530+1)/$AE2530)))</f>
        <v/>
      </c>
      <c r="E2530" s="56">
        <f>IF($B2530=0,"",IF(Inputs!$B$8="","",IF($AF2530=0,E2529,SUMIFS(Data!$J$10:$J$3209,Data!$I$10:$I$3209,"&gt;="&amp;$A2530,Data!$I$10:$I$3209,"&lt;"&amp;$A2530+1)/$AF2530)))</f>
        <v/>
      </c>
      <c r="F2530" s="56">
        <f>IF($B2530=0,"",IF(Inputs!$B$9="","",IF($AG2530=0,F2529,SUMIFS(Data!$N$10:$N$3209,Data!$M$10:$M$3209,"&gt;="&amp;$A2530,Data!$M$10:$M$3209,"&lt;"&amp;$A2530+1)/$AG2530)))</f>
        <v/>
      </c>
      <c r="G2530" s="56">
        <f>IF($B2530=0,"",IF(Inputs!$B$10="","",IF($AH2530=0,G2529,SUMIFS(Data!$R$10:$R$3209,Data!$Q$10:$Q$3209,"&gt;="&amp;$A2530,Data!$Q$10:$Q$3209,"&lt;"&amp;$A2530+1)/$AH2530)))</f>
        <v/>
      </c>
      <c r="I2530" s="54">
        <f>IF($B2530=0,NA(),IF($C2530="",NA(),IF(C$8="",NA(),IF(N(C$8)=0,NA(),IF(Inputs!$C$17="Rebased to 100",$C2530/C$8*100,$C2530)))))</f>
        <v/>
      </c>
      <c r="J2530" s="54">
        <f>IF($B2530=0,NA(),IF($D2530="",NA(),IF(D$8="",NA(),IF(N(D$8)=0,NA(),IF(Inputs!$C$17="Rebased to 100",$D2530/D$8*100,$D2530)))))</f>
        <v/>
      </c>
      <c r="K2530" s="54">
        <f>IF($B2530=0,NA(),IF($E2530="",NA(),IF(E$8="",NA(),IF(N(E$8)=0,NA(),IF(Inputs!$C$17="Rebased to 100",$E2530/E$8*100,$E2530)))))</f>
        <v/>
      </c>
      <c r="L2530" s="54">
        <f>IF($B2530=0,NA(),IF($F2530="",NA(),IF(F$8="",NA(),IF(N(F$8)=0,NA(),IF(Inputs!$C$17="Rebased to 100",$F2530/F$8*100,$F2530)))))</f>
        <v/>
      </c>
      <c r="M2530" s="54">
        <f>IF($B2530=0,NA(),IF($G2530="",NA(),IF(G$8="",NA(),IF(N(G$8)=0,NA(),IF(Inputs!$C$17="Rebased to 100",$G2530/G$8*100,$G2530)))))</f>
        <v/>
      </c>
      <c r="N2530" s="54">
        <f>IF($B2530=0,NA(),IF(Inputs!$C$18&lt;&gt;"Yes",NA(),IF(COUNT(I2530,J2530,K2530,L2530,M2530)=0,NA(),MIN(I2530,J2530,K2530,L2530,M2530))))</f>
        <v/>
      </c>
      <c r="O2530" s="54">
        <f>IF($B2530=0,NA(),IF(Inputs!$B$24&lt;&gt;"Yes",NA(),Inputs!$D$24*Inputs!$C$35))</f>
        <v/>
      </c>
      <c r="P2530" s="54">
        <f>IF($B2530=0,NA(),IF(Inputs!$B$25&lt;&gt;"Yes",NA(),Inputs!$D$25*Inputs!$C$35))</f>
        <v/>
      </c>
      <c r="Q2530" s="54">
        <f>IF($B2530=0,NA(),IF(Inputs!$B$26&lt;&gt;"Yes",NA(),Inputs!$D$26*Inputs!$C$35))</f>
        <v/>
      </c>
      <c r="R2530" s="54">
        <f>IF($B2530=0,NA(),IF(Inputs!$B$27&lt;&gt;"Yes",NA(),Inputs!$D$27*Inputs!$C$35))</f>
        <v/>
      </c>
      <c r="S2530" s="54">
        <f>IF($B2530=0,NA(),IF(Inputs!$B$28&lt;&gt;"Yes",NA(),Inputs!$D$28*Inputs!$C$35))</f>
        <v/>
      </c>
      <c r="T2530" s="54">
        <f>IF($B2530=0,NA(),IF(Inputs!$B$29&lt;&gt;"Yes",NA(),Inputs!$D$29*Inputs!$C$35))</f>
        <v/>
      </c>
      <c r="AD2530">
        <f>IF($B2530=0,0,IF(Inputs!$B$6="",0,COUNTIFS(Data!$A$10:$A$3209,"&gt;="&amp;$A2530,Data!$A$10:$A$3209,"&lt;"&amp;$A2530+1)))</f>
        <v/>
      </c>
      <c r="AE2530">
        <f>IF($B2530=0,0,IF(Inputs!$B$7="",0,COUNTIFS(Data!$E$10:$E$3209,"&gt;="&amp;$A2530,Data!$E$10:$E$3209,"&lt;"&amp;$A2530+1)))</f>
        <v/>
      </c>
      <c r="AF2530">
        <f>IF($B2530=0,0,IF(Inputs!$B$8="",0,COUNTIFS(Data!$I$10:$I$3209,"&gt;="&amp;$A2530,Data!$I$10:$I$3209,"&lt;"&amp;$A2530+1)))</f>
        <v/>
      </c>
      <c r="AG2530">
        <f>IF($B2530=0,0,IF(Inputs!$B$9="",0,COUNTIFS(Data!$M$10:$M$3209,"&gt;="&amp;$A2530,Data!$M$10:$M$3209,"&lt;"&amp;$A2530+1)))</f>
        <v/>
      </c>
      <c r="AH2530">
        <f>IF($B2530=0,0,IF(Inputs!$B$10="",0,COUNTIFS(Data!$Q$10:$Q$3209,"&gt;="&amp;$A2530,Data!$Q$10:$Q$3209,"&lt;"&amp;$A2530+1)))</f>
        <v/>
      </c>
    </row>
    <row r="2531">
      <c r="A2531" s="55">
        <f>MIN(Inputs!$C$15,$A2530+IF(WEEKDAY($A2530,2)=5,3,1))</f>
        <v/>
      </c>
      <c r="B2531">
        <f>IF($A2531&gt;$A2530,1,0)</f>
        <v/>
      </c>
      <c r="C2531" s="56">
        <f>IF($B2531=0,"",IF(Inputs!$B$6="","",IF($AD2531=0,C2530,SUMIFS(Data!$B$10:$B$3209,Data!$A$10:$A$3209,"&gt;="&amp;$A2531,Data!$A$10:$A$3209,"&lt;"&amp;$A2531+1)/$AD2531)))</f>
        <v/>
      </c>
      <c r="D2531" s="56">
        <f>IF($B2531=0,"",IF(Inputs!$B$7="","",IF($AE2531=0,D2530,SUMIFS(Data!$F$10:$F$3209,Data!$E$10:$E$3209,"&gt;="&amp;$A2531,Data!$E$10:$E$3209,"&lt;"&amp;$A2531+1)/$AE2531)))</f>
        <v/>
      </c>
      <c r="E2531" s="56">
        <f>IF($B2531=0,"",IF(Inputs!$B$8="","",IF($AF2531=0,E2530,SUMIFS(Data!$J$10:$J$3209,Data!$I$10:$I$3209,"&gt;="&amp;$A2531,Data!$I$10:$I$3209,"&lt;"&amp;$A2531+1)/$AF2531)))</f>
        <v/>
      </c>
      <c r="F2531" s="56">
        <f>IF($B2531=0,"",IF(Inputs!$B$9="","",IF($AG2531=0,F2530,SUMIFS(Data!$N$10:$N$3209,Data!$M$10:$M$3209,"&gt;="&amp;$A2531,Data!$M$10:$M$3209,"&lt;"&amp;$A2531+1)/$AG2531)))</f>
        <v/>
      </c>
      <c r="G2531" s="56">
        <f>IF($B2531=0,"",IF(Inputs!$B$10="","",IF($AH2531=0,G2530,SUMIFS(Data!$R$10:$R$3209,Data!$Q$10:$Q$3209,"&gt;="&amp;$A2531,Data!$Q$10:$Q$3209,"&lt;"&amp;$A2531+1)/$AH2531)))</f>
        <v/>
      </c>
      <c r="I2531" s="54">
        <f>IF($B2531=0,NA(),IF($C2531="",NA(),IF(C$8="",NA(),IF(N(C$8)=0,NA(),IF(Inputs!$C$17="Rebased to 100",$C2531/C$8*100,$C2531)))))</f>
        <v/>
      </c>
      <c r="J2531" s="54">
        <f>IF($B2531=0,NA(),IF($D2531="",NA(),IF(D$8="",NA(),IF(N(D$8)=0,NA(),IF(Inputs!$C$17="Rebased to 100",$D2531/D$8*100,$D2531)))))</f>
        <v/>
      </c>
      <c r="K2531" s="54">
        <f>IF($B2531=0,NA(),IF($E2531="",NA(),IF(E$8="",NA(),IF(N(E$8)=0,NA(),IF(Inputs!$C$17="Rebased to 100",$E2531/E$8*100,$E2531)))))</f>
        <v/>
      </c>
      <c r="L2531" s="54">
        <f>IF($B2531=0,NA(),IF($F2531="",NA(),IF(F$8="",NA(),IF(N(F$8)=0,NA(),IF(Inputs!$C$17="Rebased to 100",$F2531/F$8*100,$F2531)))))</f>
        <v/>
      </c>
      <c r="M2531" s="54">
        <f>IF($B2531=0,NA(),IF($G2531="",NA(),IF(G$8="",NA(),IF(N(G$8)=0,NA(),IF(Inputs!$C$17="Rebased to 100",$G2531/G$8*100,$G2531)))))</f>
        <v/>
      </c>
      <c r="N2531" s="54">
        <f>IF($B2531=0,NA(),IF(Inputs!$C$18&lt;&gt;"Yes",NA(),IF(COUNT(I2531,J2531,K2531,L2531,M2531)=0,NA(),MIN(I2531,J2531,K2531,L2531,M2531))))</f>
        <v/>
      </c>
      <c r="O2531" s="54">
        <f>IF($B2531=0,NA(),IF(Inputs!$B$24&lt;&gt;"Yes",NA(),Inputs!$D$24*Inputs!$C$35))</f>
        <v/>
      </c>
      <c r="P2531" s="54">
        <f>IF($B2531=0,NA(),IF(Inputs!$B$25&lt;&gt;"Yes",NA(),Inputs!$D$25*Inputs!$C$35))</f>
        <v/>
      </c>
      <c r="Q2531" s="54">
        <f>IF($B2531=0,NA(),IF(Inputs!$B$26&lt;&gt;"Yes",NA(),Inputs!$D$26*Inputs!$C$35))</f>
        <v/>
      </c>
      <c r="R2531" s="54">
        <f>IF($B2531=0,NA(),IF(Inputs!$B$27&lt;&gt;"Yes",NA(),Inputs!$D$27*Inputs!$C$35))</f>
        <v/>
      </c>
      <c r="S2531" s="54">
        <f>IF($B2531=0,NA(),IF(Inputs!$B$28&lt;&gt;"Yes",NA(),Inputs!$D$28*Inputs!$C$35))</f>
        <v/>
      </c>
      <c r="T2531" s="54">
        <f>IF($B2531=0,NA(),IF(Inputs!$B$29&lt;&gt;"Yes",NA(),Inputs!$D$29*Inputs!$C$35))</f>
        <v/>
      </c>
      <c r="AD2531">
        <f>IF($B2531=0,0,IF(Inputs!$B$6="",0,COUNTIFS(Data!$A$10:$A$3209,"&gt;="&amp;$A2531,Data!$A$10:$A$3209,"&lt;"&amp;$A2531+1)))</f>
        <v/>
      </c>
      <c r="AE2531">
        <f>IF($B2531=0,0,IF(Inputs!$B$7="",0,COUNTIFS(Data!$E$10:$E$3209,"&gt;="&amp;$A2531,Data!$E$10:$E$3209,"&lt;"&amp;$A2531+1)))</f>
        <v/>
      </c>
      <c r="AF2531">
        <f>IF($B2531=0,0,IF(Inputs!$B$8="",0,COUNTIFS(Data!$I$10:$I$3209,"&gt;="&amp;$A2531,Data!$I$10:$I$3209,"&lt;"&amp;$A2531+1)))</f>
        <v/>
      </c>
      <c r="AG2531">
        <f>IF($B2531=0,0,IF(Inputs!$B$9="",0,COUNTIFS(Data!$M$10:$M$3209,"&gt;="&amp;$A2531,Data!$M$10:$M$3209,"&lt;"&amp;$A2531+1)))</f>
        <v/>
      </c>
      <c r="AH2531">
        <f>IF($B2531=0,0,IF(Inputs!$B$10="",0,COUNTIFS(Data!$Q$10:$Q$3209,"&gt;="&amp;$A2531,Data!$Q$10:$Q$3209,"&lt;"&amp;$A2531+1)))</f>
        <v/>
      </c>
    </row>
    <row r="2532">
      <c r="A2532" s="55">
        <f>MIN(Inputs!$C$15,$A2531+IF(WEEKDAY($A2531,2)=5,3,1))</f>
        <v/>
      </c>
      <c r="B2532">
        <f>IF($A2532&gt;$A2531,1,0)</f>
        <v/>
      </c>
      <c r="C2532" s="56">
        <f>IF($B2532=0,"",IF(Inputs!$B$6="","",IF($AD2532=0,C2531,SUMIFS(Data!$B$10:$B$3209,Data!$A$10:$A$3209,"&gt;="&amp;$A2532,Data!$A$10:$A$3209,"&lt;"&amp;$A2532+1)/$AD2532)))</f>
        <v/>
      </c>
      <c r="D2532" s="56">
        <f>IF($B2532=0,"",IF(Inputs!$B$7="","",IF($AE2532=0,D2531,SUMIFS(Data!$F$10:$F$3209,Data!$E$10:$E$3209,"&gt;="&amp;$A2532,Data!$E$10:$E$3209,"&lt;"&amp;$A2532+1)/$AE2532)))</f>
        <v/>
      </c>
      <c r="E2532" s="56">
        <f>IF($B2532=0,"",IF(Inputs!$B$8="","",IF($AF2532=0,E2531,SUMIFS(Data!$J$10:$J$3209,Data!$I$10:$I$3209,"&gt;="&amp;$A2532,Data!$I$10:$I$3209,"&lt;"&amp;$A2532+1)/$AF2532)))</f>
        <v/>
      </c>
      <c r="F2532" s="56">
        <f>IF($B2532=0,"",IF(Inputs!$B$9="","",IF($AG2532=0,F2531,SUMIFS(Data!$N$10:$N$3209,Data!$M$10:$M$3209,"&gt;="&amp;$A2532,Data!$M$10:$M$3209,"&lt;"&amp;$A2532+1)/$AG2532)))</f>
        <v/>
      </c>
      <c r="G2532" s="56">
        <f>IF($B2532=0,"",IF(Inputs!$B$10="","",IF($AH2532=0,G2531,SUMIFS(Data!$R$10:$R$3209,Data!$Q$10:$Q$3209,"&gt;="&amp;$A2532,Data!$Q$10:$Q$3209,"&lt;"&amp;$A2532+1)/$AH2532)))</f>
        <v/>
      </c>
      <c r="I2532" s="54">
        <f>IF($B2532=0,NA(),IF($C2532="",NA(),IF(C$8="",NA(),IF(N(C$8)=0,NA(),IF(Inputs!$C$17="Rebased to 100",$C2532/C$8*100,$C2532)))))</f>
        <v/>
      </c>
      <c r="J2532" s="54">
        <f>IF($B2532=0,NA(),IF($D2532="",NA(),IF(D$8="",NA(),IF(N(D$8)=0,NA(),IF(Inputs!$C$17="Rebased to 100",$D2532/D$8*100,$D2532)))))</f>
        <v/>
      </c>
      <c r="K2532" s="54">
        <f>IF($B2532=0,NA(),IF($E2532="",NA(),IF(E$8="",NA(),IF(N(E$8)=0,NA(),IF(Inputs!$C$17="Rebased to 100",$E2532/E$8*100,$E2532)))))</f>
        <v/>
      </c>
      <c r="L2532" s="54">
        <f>IF($B2532=0,NA(),IF($F2532="",NA(),IF(F$8="",NA(),IF(N(F$8)=0,NA(),IF(Inputs!$C$17="Rebased to 100",$F2532/F$8*100,$F2532)))))</f>
        <v/>
      </c>
      <c r="M2532" s="54">
        <f>IF($B2532=0,NA(),IF($G2532="",NA(),IF(G$8="",NA(),IF(N(G$8)=0,NA(),IF(Inputs!$C$17="Rebased to 100",$G2532/G$8*100,$G2532)))))</f>
        <v/>
      </c>
      <c r="N2532" s="54">
        <f>IF($B2532=0,NA(),IF(Inputs!$C$18&lt;&gt;"Yes",NA(),IF(COUNT(I2532,J2532,K2532,L2532,M2532)=0,NA(),MIN(I2532,J2532,K2532,L2532,M2532))))</f>
        <v/>
      </c>
      <c r="O2532" s="54">
        <f>IF($B2532=0,NA(),IF(Inputs!$B$24&lt;&gt;"Yes",NA(),Inputs!$D$24*Inputs!$C$35))</f>
        <v/>
      </c>
      <c r="P2532" s="54">
        <f>IF($B2532=0,NA(),IF(Inputs!$B$25&lt;&gt;"Yes",NA(),Inputs!$D$25*Inputs!$C$35))</f>
        <v/>
      </c>
      <c r="Q2532" s="54">
        <f>IF($B2532=0,NA(),IF(Inputs!$B$26&lt;&gt;"Yes",NA(),Inputs!$D$26*Inputs!$C$35))</f>
        <v/>
      </c>
      <c r="R2532" s="54">
        <f>IF($B2532=0,NA(),IF(Inputs!$B$27&lt;&gt;"Yes",NA(),Inputs!$D$27*Inputs!$C$35))</f>
        <v/>
      </c>
      <c r="S2532" s="54">
        <f>IF($B2532=0,NA(),IF(Inputs!$B$28&lt;&gt;"Yes",NA(),Inputs!$D$28*Inputs!$C$35))</f>
        <v/>
      </c>
      <c r="T2532" s="54">
        <f>IF($B2532=0,NA(),IF(Inputs!$B$29&lt;&gt;"Yes",NA(),Inputs!$D$29*Inputs!$C$35))</f>
        <v/>
      </c>
      <c r="AD2532">
        <f>IF($B2532=0,0,IF(Inputs!$B$6="",0,COUNTIFS(Data!$A$10:$A$3209,"&gt;="&amp;$A2532,Data!$A$10:$A$3209,"&lt;"&amp;$A2532+1)))</f>
        <v/>
      </c>
      <c r="AE2532">
        <f>IF($B2532=0,0,IF(Inputs!$B$7="",0,COUNTIFS(Data!$E$10:$E$3209,"&gt;="&amp;$A2532,Data!$E$10:$E$3209,"&lt;"&amp;$A2532+1)))</f>
        <v/>
      </c>
      <c r="AF2532">
        <f>IF($B2532=0,0,IF(Inputs!$B$8="",0,COUNTIFS(Data!$I$10:$I$3209,"&gt;="&amp;$A2532,Data!$I$10:$I$3209,"&lt;"&amp;$A2532+1)))</f>
        <v/>
      </c>
      <c r="AG2532">
        <f>IF($B2532=0,0,IF(Inputs!$B$9="",0,COUNTIFS(Data!$M$10:$M$3209,"&gt;="&amp;$A2532,Data!$M$10:$M$3209,"&lt;"&amp;$A2532+1)))</f>
        <v/>
      </c>
      <c r="AH2532">
        <f>IF($B2532=0,0,IF(Inputs!$B$10="",0,COUNTIFS(Data!$Q$10:$Q$3209,"&gt;="&amp;$A2532,Data!$Q$10:$Q$3209,"&lt;"&amp;$A2532+1)))</f>
        <v/>
      </c>
    </row>
    <row r="2533">
      <c r="A2533" s="55">
        <f>MIN(Inputs!$C$15,$A2532+IF(WEEKDAY($A2532,2)=5,3,1))</f>
        <v/>
      </c>
      <c r="B2533">
        <f>IF($A2533&gt;$A2532,1,0)</f>
        <v/>
      </c>
      <c r="C2533" s="56">
        <f>IF($B2533=0,"",IF(Inputs!$B$6="","",IF($AD2533=0,C2532,SUMIFS(Data!$B$10:$B$3209,Data!$A$10:$A$3209,"&gt;="&amp;$A2533,Data!$A$10:$A$3209,"&lt;"&amp;$A2533+1)/$AD2533)))</f>
        <v/>
      </c>
      <c r="D2533" s="56">
        <f>IF($B2533=0,"",IF(Inputs!$B$7="","",IF($AE2533=0,D2532,SUMIFS(Data!$F$10:$F$3209,Data!$E$10:$E$3209,"&gt;="&amp;$A2533,Data!$E$10:$E$3209,"&lt;"&amp;$A2533+1)/$AE2533)))</f>
        <v/>
      </c>
      <c r="E2533" s="56">
        <f>IF($B2533=0,"",IF(Inputs!$B$8="","",IF($AF2533=0,E2532,SUMIFS(Data!$J$10:$J$3209,Data!$I$10:$I$3209,"&gt;="&amp;$A2533,Data!$I$10:$I$3209,"&lt;"&amp;$A2533+1)/$AF2533)))</f>
        <v/>
      </c>
      <c r="F2533" s="56">
        <f>IF($B2533=0,"",IF(Inputs!$B$9="","",IF($AG2533=0,F2532,SUMIFS(Data!$N$10:$N$3209,Data!$M$10:$M$3209,"&gt;="&amp;$A2533,Data!$M$10:$M$3209,"&lt;"&amp;$A2533+1)/$AG2533)))</f>
        <v/>
      </c>
      <c r="G2533" s="56">
        <f>IF($B2533=0,"",IF(Inputs!$B$10="","",IF($AH2533=0,G2532,SUMIFS(Data!$R$10:$R$3209,Data!$Q$10:$Q$3209,"&gt;="&amp;$A2533,Data!$Q$10:$Q$3209,"&lt;"&amp;$A2533+1)/$AH2533)))</f>
        <v/>
      </c>
      <c r="I2533" s="54">
        <f>IF($B2533=0,NA(),IF($C2533="",NA(),IF(C$8="",NA(),IF(N(C$8)=0,NA(),IF(Inputs!$C$17="Rebased to 100",$C2533/C$8*100,$C2533)))))</f>
        <v/>
      </c>
      <c r="J2533" s="54">
        <f>IF($B2533=0,NA(),IF($D2533="",NA(),IF(D$8="",NA(),IF(N(D$8)=0,NA(),IF(Inputs!$C$17="Rebased to 100",$D2533/D$8*100,$D2533)))))</f>
        <v/>
      </c>
      <c r="K2533" s="54">
        <f>IF($B2533=0,NA(),IF($E2533="",NA(),IF(E$8="",NA(),IF(N(E$8)=0,NA(),IF(Inputs!$C$17="Rebased to 100",$E2533/E$8*100,$E2533)))))</f>
        <v/>
      </c>
      <c r="L2533" s="54">
        <f>IF($B2533=0,NA(),IF($F2533="",NA(),IF(F$8="",NA(),IF(N(F$8)=0,NA(),IF(Inputs!$C$17="Rebased to 100",$F2533/F$8*100,$F2533)))))</f>
        <v/>
      </c>
      <c r="M2533" s="54">
        <f>IF($B2533=0,NA(),IF($G2533="",NA(),IF(G$8="",NA(),IF(N(G$8)=0,NA(),IF(Inputs!$C$17="Rebased to 100",$G2533/G$8*100,$G2533)))))</f>
        <v/>
      </c>
      <c r="N2533" s="54">
        <f>IF($B2533=0,NA(),IF(Inputs!$C$18&lt;&gt;"Yes",NA(),IF(COUNT(I2533,J2533,K2533,L2533,M2533)=0,NA(),MIN(I2533,J2533,K2533,L2533,M2533))))</f>
        <v/>
      </c>
      <c r="O2533" s="54">
        <f>IF($B2533=0,NA(),IF(Inputs!$B$24&lt;&gt;"Yes",NA(),Inputs!$D$24*Inputs!$C$35))</f>
        <v/>
      </c>
      <c r="P2533" s="54">
        <f>IF($B2533=0,NA(),IF(Inputs!$B$25&lt;&gt;"Yes",NA(),Inputs!$D$25*Inputs!$C$35))</f>
        <v/>
      </c>
      <c r="Q2533" s="54">
        <f>IF($B2533=0,NA(),IF(Inputs!$B$26&lt;&gt;"Yes",NA(),Inputs!$D$26*Inputs!$C$35))</f>
        <v/>
      </c>
      <c r="R2533" s="54">
        <f>IF($B2533=0,NA(),IF(Inputs!$B$27&lt;&gt;"Yes",NA(),Inputs!$D$27*Inputs!$C$35))</f>
        <v/>
      </c>
      <c r="S2533" s="54">
        <f>IF($B2533=0,NA(),IF(Inputs!$B$28&lt;&gt;"Yes",NA(),Inputs!$D$28*Inputs!$C$35))</f>
        <v/>
      </c>
      <c r="T2533" s="54">
        <f>IF($B2533=0,NA(),IF(Inputs!$B$29&lt;&gt;"Yes",NA(),Inputs!$D$29*Inputs!$C$35))</f>
        <v/>
      </c>
      <c r="AD2533">
        <f>IF($B2533=0,0,IF(Inputs!$B$6="",0,COUNTIFS(Data!$A$10:$A$3209,"&gt;="&amp;$A2533,Data!$A$10:$A$3209,"&lt;"&amp;$A2533+1)))</f>
        <v/>
      </c>
      <c r="AE2533">
        <f>IF($B2533=0,0,IF(Inputs!$B$7="",0,COUNTIFS(Data!$E$10:$E$3209,"&gt;="&amp;$A2533,Data!$E$10:$E$3209,"&lt;"&amp;$A2533+1)))</f>
        <v/>
      </c>
      <c r="AF2533">
        <f>IF($B2533=0,0,IF(Inputs!$B$8="",0,COUNTIFS(Data!$I$10:$I$3209,"&gt;="&amp;$A2533,Data!$I$10:$I$3209,"&lt;"&amp;$A2533+1)))</f>
        <v/>
      </c>
      <c r="AG2533">
        <f>IF($B2533=0,0,IF(Inputs!$B$9="",0,COUNTIFS(Data!$M$10:$M$3209,"&gt;="&amp;$A2533,Data!$M$10:$M$3209,"&lt;"&amp;$A2533+1)))</f>
        <v/>
      </c>
      <c r="AH2533">
        <f>IF($B2533=0,0,IF(Inputs!$B$10="",0,COUNTIFS(Data!$Q$10:$Q$3209,"&gt;="&amp;$A2533,Data!$Q$10:$Q$3209,"&lt;"&amp;$A2533+1)))</f>
        <v/>
      </c>
    </row>
    <row r="2534">
      <c r="A2534" s="55">
        <f>MIN(Inputs!$C$15,$A2533+IF(WEEKDAY($A2533,2)=5,3,1))</f>
        <v/>
      </c>
      <c r="B2534">
        <f>IF($A2534&gt;$A2533,1,0)</f>
        <v/>
      </c>
      <c r="C2534" s="56">
        <f>IF($B2534=0,"",IF(Inputs!$B$6="","",IF($AD2534=0,C2533,SUMIFS(Data!$B$10:$B$3209,Data!$A$10:$A$3209,"&gt;="&amp;$A2534,Data!$A$10:$A$3209,"&lt;"&amp;$A2534+1)/$AD2534)))</f>
        <v/>
      </c>
      <c r="D2534" s="56">
        <f>IF($B2534=0,"",IF(Inputs!$B$7="","",IF($AE2534=0,D2533,SUMIFS(Data!$F$10:$F$3209,Data!$E$10:$E$3209,"&gt;="&amp;$A2534,Data!$E$10:$E$3209,"&lt;"&amp;$A2534+1)/$AE2534)))</f>
        <v/>
      </c>
      <c r="E2534" s="56">
        <f>IF($B2534=0,"",IF(Inputs!$B$8="","",IF($AF2534=0,E2533,SUMIFS(Data!$J$10:$J$3209,Data!$I$10:$I$3209,"&gt;="&amp;$A2534,Data!$I$10:$I$3209,"&lt;"&amp;$A2534+1)/$AF2534)))</f>
        <v/>
      </c>
      <c r="F2534" s="56">
        <f>IF($B2534=0,"",IF(Inputs!$B$9="","",IF($AG2534=0,F2533,SUMIFS(Data!$N$10:$N$3209,Data!$M$10:$M$3209,"&gt;="&amp;$A2534,Data!$M$10:$M$3209,"&lt;"&amp;$A2534+1)/$AG2534)))</f>
        <v/>
      </c>
      <c r="G2534" s="56">
        <f>IF($B2534=0,"",IF(Inputs!$B$10="","",IF($AH2534=0,G2533,SUMIFS(Data!$R$10:$R$3209,Data!$Q$10:$Q$3209,"&gt;="&amp;$A2534,Data!$Q$10:$Q$3209,"&lt;"&amp;$A2534+1)/$AH2534)))</f>
        <v/>
      </c>
      <c r="I2534" s="54">
        <f>IF($B2534=0,NA(),IF($C2534="",NA(),IF(C$8="",NA(),IF(N(C$8)=0,NA(),IF(Inputs!$C$17="Rebased to 100",$C2534/C$8*100,$C2534)))))</f>
        <v/>
      </c>
      <c r="J2534" s="54">
        <f>IF($B2534=0,NA(),IF($D2534="",NA(),IF(D$8="",NA(),IF(N(D$8)=0,NA(),IF(Inputs!$C$17="Rebased to 100",$D2534/D$8*100,$D2534)))))</f>
        <v/>
      </c>
      <c r="K2534" s="54">
        <f>IF($B2534=0,NA(),IF($E2534="",NA(),IF(E$8="",NA(),IF(N(E$8)=0,NA(),IF(Inputs!$C$17="Rebased to 100",$E2534/E$8*100,$E2534)))))</f>
        <v/>
      </c>
      <c r="L2534" s="54">
        <f>IF($B2534=0,NA(),IF($F2534="",NA(),IF(F$8="",NA(),IF(N(F$8)=0,NA(),IF(Inputs!$C$17="Rebased to 100",$F2534/F$8*100,$F2534)))))</f>
        <v/>
      </c>
      <c r="M2534" s="54">
        <f>IF($B2534=0,NA(),IF($G2534="",NA(),IF(G$8="",NA(),IF(N(G$8)=0,NA(),IF(Inputs!$C$17="Rebased to 100",$G2534/G$8*100,$G2534)))))</f>
        <v/>
      </c>
      <c r="N2534" s="54">
        <f>IF($B2534=0,NA(),IF(Inputs!$C$18&lt;&gt;"Yes",NA(),IF(COUNT(I2534,J2534,K2534,L2534,M2534)=0,NA(),MIN(I2534,J2534,K2534,L2534,M2534))))</f>
        <v/>
      </c>
      <c r="O2534" s="54">
        <f>IF($B2534=0,NA(),IF(Inputs!$B$24&lt;&gt;"Yes",NA(),Inputs!$D$24*Inputs!$C$35))</f>
        <v/>
      </c>
      <c r="P2534" s="54">
        <f>IF($B2534=0,NA(),IF(Inputs!$B$25&lt;&gt;"Yes",NA(),Inputs!$D$25*Inputs!$C$35))</f>
        <v/>
      </c>
      <c r="Q2534" s="54">
        <f>IF($B2534=0,NA(),IF(Inputs!$B$26&lt;&gt;"Yes",NA(),Inputs!$D$26*Inputs!$C$35))</f>
        <v/>
      </c>
      <c r="R2534" s="54">
        <f>IF($B2534=0,NA(),IF(Inputs!$B$27&lt;&gt;"Yes",NA(),Inputs!$D$27*Inputs!$C$35))</f>
        <v/>
      </c>
      <c r="S2534" s="54">
        <f>IF($B2534=0,NA(),IF(Inputs!$B$28&lt;&gt;"Yes",NA(),Inputs!$D$28*Inputs!$C$35))</f>
        <v/>
      </c>
      <c r="T2534" s="54">
        <f>IF($B2534=0,NA(),IF(Inputs!$B$29&lt;&gt;"Yes",NA(),Inputs!$D$29*Inputs!$C$35))</f>
        <v/>
      </c>
      <c r="AD2534">
        <f>IF($B2534=0,0,IF(Inputs!$B$6="",0,COUNTIFS(Data!$A$10:$A$3209,"&gt;="&amp;$A2534,Data!$A$10:$A$3209,"&lt;"&amp;$A2534+1)))</f>
        <v/>
      </c>
      <c r="AE2534">
        <f>IF($B2534=0,0,IF(Inputs!$B$7="",0,COUNTIFS(Data!$E$10:$E$3209,"&gt;="&amp;$A2534,Data!$E$10:$E$3209,"&lt;"&amp;$A2534+1)))</f>
        <v/>
      </c>
      <c r="AF2534">
        <f>IF($B2534=0,0,IF(Inputs!$B$8="",0,COUNTIFS(Data!$I$10:$I$3209,"&gt;="&amp;$A2534,Data!$I$10:$I$3209,"&lt;"&amp;$A2534+1)))</f>
        <v/>
      </c>
      <c r="AG2534">
        <f>IF($B2534=0,0,IF(Inputs!$B$9="",0,COUNTIFS(Data!$M$10:$M$3209,"&gt;="&amp;$A2534,Data!$M$10:$M$3209,"&lt;"&amp;$A2534+1)))</f>
        <v/>
      </c>
      <c r="AH2534">
        <f>IF($B2534=0,0,IF(Inputs!$B$10="",0,COUNTIFS(Data!$Q$10:$Q$3209,"&gt;="&amp;$A2534,Data!$Q$10:$Q$3209,"&lt;"&amp;$A2534+1)))</f>
        <v/>
      </c>
    </row>
    <row r="2535">
      <c r="A2535" s="55">
        <f>MIN(Inputs!$C$15,$A2534+IF(WEEKDAY($A2534,2)=5,3,1))</f>
        <v/>
      </c>
      <c r="B2535">
        <f>IF($A2535&gt;$A2534,1,0)</f>
        <v/>
      </c>
      <c r="C2535" s="56">
        <f>IF($B2535=0,"",IF(Inputs!$B$6="","",IF($AD2535=0,C2534,SUMIFS(Data!$B$10:$B$3209,Data!$A$10:$A$3209,"&gt;="&amp;$A2535,Data!$A$10:$A$3209,"&lt;"&amp;$A2535+1)/$AD2535)))</f>
        <v/>
      </c>
      <c r="D2535" s="56">
        <f>IF($B2535=0,"",IF(Inputs!$B$7="","",IF($AE2535=0,D2534,SUMIFS(Data!$F$10:$F$3209,Data!$E$10:$E$3209,"&gt;="&amp;$A2535,Data!$E$10:$E$3209,"&lt;"&amp;$A2535+1)/$AE2535)))</f>
        <v/>
      </c>
      <c r="E2535" s="56">
        <f>IF($B2535=0,"",IF(Inputs!$B$8="","",IF($AF2535=0,E2534,SUMIFS(Data!$J$10:$J$3209,Data!$I$10:$I$3209,"&gt;="&amp;$A2535,Data!$I$10:$I$3209,"&lt;"&amp;$A2535+1)/$AF2535)))</f>
        <v/>
      </c>
      <c r="F2535" s="56">
        <f>IF($B2535=0,"",IF(Inputs!$B$9="","",IF($AG2535=0,F2534,SUMIFS(Data!$N$10:$N$3209,Data!$M$10:$M$3209,"&gt;="&amp;$A2535,Data!$M$10:$M$3209,"&lt;"&amp;$A2535+1)/$AG2535)))</f>
        <v/>
      </c>
      <c r="G2535" s="56">
        <f>IF($B2535=0,"",IF(Inputs!$B$10="","",IF($AH2535=0,G2534,SUMIFS(Data!$R$10:$R$3209,Data!$Q$10:$Q$3209,"&gt;="&amp;$A2535,Data!$Q$10:$Q$3209,"&lt;"&amp;$A2535+1)/$AH2535)))</f>
        <v/>
      </c>
      <c r="I2535" s="54">
        <f>IF($B2535=0,NA(),IF($C2535="",NA(),IF(C$8="",NA(),IF(N(C$8)=0,NA(),IF(Inputs!$C$17="Rebased to 100",$C2535/C$8*100,$C2535)))))</f>
        <v/>
      </c>
      <c r="J2535" s="54">
        <f>IF($B2535=0,NA(),IF($D2535="",NA(),IF(D$8="",NA(),IF(N(D$8)=0,NA(),IF(Inputs!$C$17="Rebased to 100",$D2535/D$8*100,$D2535)))))</f>
        <v/>
      </c>
      <c r="K2535" s="54">
        <f>IF($B2535=0,NA(),IF($E2535="",NA(),IF(E$8="",NA(),IF(N(E$8)=0,NA(),IF(Inputs!$C$17="Rebased to 100",$E2535/E$8*100,$E2535)))))</f>
        <v/>
      </c>
      <c r="L2535" s="54">
        <f>IF($B2535=0,NA(),IF($F2535="",NA(),IF(F$8="",NA(),IF(N(F$8)=0,NA(),IF(Inputs!$C$17="Rebased to 100",$F2535/F$8*100,$F2535)))))</f>
        <v/>
      </c>
      <c r="M2535" s="54">
        <f>IF($B2535=0,NA(),IF($G2535="",NA(),IF(G$8="",NA(),IF(N(G$8)=0,NA(),IF(Inputs!$C$17="Rebased to 100",$G2535/G$8*100,$G2535)))))</f>
        <v/>
      </c>
      <c r="N2535" s="54">
        <f>IF($B2535=0,NA(),IF(Inputs!$C$18&lt;&gt;"Yes",NA(),IF(COUNT(I2535,J2535,K2535,L2535,M2535)=0,NA(),MIN(I2535,J2535,K2535,L2535,M2535))))</f>
        <v/>
      </c>
      <c r="O2535" s="54">
        <f>IF($B2535=0,NA(),IF(Inputs!$B$24&lt;&gt;"Yes",NA(),Inputs!$D$24*Inputs!$C$35))</f>
        <v/>
      </c>
      <c r="P2535" s="54">
        <f>IF($B2535=0,NA(),IF(Inputs!$B$25&lt;&gt;"Yes",NA(),Inputs!$D$25*Inputs!$C$35))</f>
        <v/>
      </c>
      <c r="Q2535" s="54">
        <f>IF($B2535=0,NA(),IF(Inputs!$B$26&lt;&gt;"Yes",NA(),Inputs!$D$26*Inputs!$C$35))</f>
        <v/>
      </c>
      <c r="R2535" s="54">
        <f>IF($B2535=0,NA(),IF(Inputs!$B$27&lt;&gt;"Yes",NA(),Inputs!$D$27*Inputs!$C$35))</f>
        <v/>
      </c>
      <c r="S2535" s="54">
        <f>IF($B2535=0,NA(),IF(Inputs!$B$28&lt;&gt;"Yes",NA(),Inputs!$D$28*Inputs!$C$35))</f>
        <v/>
      </c>
      <c r="T2535" s="54">
        <f>IF($B2535=0,NA(),IF(Inputs!$B$29&lt;&gt;"Yes",NA(),Inputs!$D$29*Inputs!$C$35))</f>
        <v/>
      </c>
      <c r="AD2535">
        <f>IF($B2535=0,0,IF(Inputs!$B$6="",0,COUNTIFS(Data!$A$10:$A$3209,"&gt;="&amp;$A2535,Data!$A$10:$A$3209,"&lt;"&amp;$A2535+1)))</f>
        <v/>
      </c>
      <c r="AE2535">
        <f>IF($B2535=0,0,IF(Inputs!$B$7="",0,COUNTIFS(Data!$E$10:$E$3209,"&gt;="&amp;$A2535,Data!$E$10:$E$3209,"&lt;"&amp;$A2535+1)))</f>
        <v/>
      </c>
      <c r="AF2535">
        <f>IF($B2535=0,0,IF(Inputs!$B$8="",0,COUNTIFS(Data!$I$10:$I$3209,"&gt;="&amp;$A2535,Data!$I$10:$I$3209,"&lt;"&amp;$A2535+1)))</f>
        <v/>
      </c>
      <c r="AG2535">
        <f>IF($B2535=0,0,IF(Inputs!$B$9="",0,COUNTIFS(Data!$M$10:$M$3209,"&gt;="&amp;$A2535,Data!$M$10:$M$3209,"&lt;"&amp;$A2535+1)))</f>
        <v/>
      </c>
      <c r="AH2535">
        <f>IF($B2535=0,0,IF(Inputs!$B$10="",0,COUNTIFS(Data!$Q$10:$Q$3209,"&gt;="&amp;$A2535,Data!$Q$10:$Q$3209,"&lt;"&amp;$A2535+1)))</f>
        <v/>
      </c>
    </row>
    <row r="2536">
      <c r="A2536" s="55">
        <f>MIN(Inputs!$C$15,$A2535+IF(WEEKDAY($A2535,2)=5,3,1))</f>
        <v/>
      </c>
      <c r="B2536">
        <f>IF($A2536&gt;$A2535,1,0)</f>
        <v/>
      </c>
      <c r="C2536" s="56">
        <f>IF($B2536=0,"",IF(Inputs!$B$6="","",IF($AD2536=0,C2535,SUMIFS(Data!$B$10:$B$3209,Data!$A$10:$A$3209,"&gt;="&amp;$A2536,Data!$A$10:$A$3209,"&lt;"&amp;$A2536+1)/$AD2536)))</f>
        <v/>
      </c>
      <c r="D2536" s="56">
        <f>IF($B2536=0,"",IF(Inputs!$B$7="","",IF($AE2536=0,D2535,SUMIFS(Data!$F$10:$F$3209,Data!$E$10:$E$3209,"&gt;="&amp;$A2536,Data!$E$10:$E$3209,"&lt;"&amp;$A2536+1)/$AE2536)))</f>
        <v/>
      </c>
      <c r="E2536" s="56">
        <f>IF($B2536=0,"",IF(Inputs!$B$8="","",IF($AF2536=0,E2535,SUMIFS(Data!$J$10:$J$3209,Data!$I$10:$I$3209,"&gt;="&amp;$A2536,Data!$I$10:$I$3209,"&lt;"&amp;$A2536+1)/$AF2536)))</f>
        <v/>
      </c>
      <c r="F2536" s="56">
        <f>IF($B2536=0,"",IF(Inputs!$B$9="","",IF($AG2536=0,F2535,SUMIFS(Data!$N$10:$N$3209,Data!$M$10:$M$3209,"&gt;="&amp;$A2536,Data!$M$10:$M$3209,"&lt;"&amp;$A2536+1)/$AG2536)))</f>
        <v/>
      </c>
      <c r="G2536" s="56">
        <f>IF($B2536=0,"",IF(Inputs!$B$10="","",IF($AH2536=0,G2535,SUMIFS(Data!$R$10:$R$3209,Data!$Q$10:$Q$3209,"&gt;="&amp;$A2536,Data!$Q$10:$Q$3209,"&lt;"&amp;$A2536+1)/$AH2536)))</f>
        <v/>
      </c>
      <c r="I2536" s="54">
        <f>IF($B2536=0,NA(),IF($C2536="",NA(),IF(C$8="",NA(),IF(N(C$8)=0,NA(),IF(Inputs!$C$17="Rebased to 100",$C2536/C$8*100,$C2536)))))</f>
        <v/>
      </c>
      <c r="J2536" s="54">
        <f>IF($B2536=0,NA(),IF($D2536="",NA(),IF(D$8="",NA(),IF(N(D$8)=0,NA(),IF(Inputs!$C$17="Rebased to 100",$D2536/D$8*100,$D2536)))))</f>
        <v/>
      </c>
      <c r="K2536" s="54">
        <f>IF($B2536=0,NA(),IF($E2536="",NA(),IF(E$8="",NA(),IF(N(E$8)=0,NA(),IF(Inputs!$C$17="Rebased to 100",$E2536/E$8*100,$E2536)))))</f>
        <v/>
      </c>
      <c r="L2536" s="54">
        <f>IF($B2536=0,NA(),IF($F2536="",NA(),IF(F$8="",NA(),IF(N(F$8)=0,NA(),IF(Inputs!$C$17="Rebased to 100",$F2536/F$8*100,$F2536)))))</f>
        <v/>
      </c>
      <c r="M2536" s="54">
        <f>IF($B2536=0,NA(),IF($G2536="",NA(),IF(G$8="",NA(),IF(N(G$8)=0,NA(),IF(Inputs!$C$17="Rebased to 100",$G2536/G$8*100,$G2536)))))</f>
        <v/>
      </c>
      <c r="N2536" s="54">
        <f>IF($B2536=0,NA(),IF(Inputs!$C$18&lt;&gt;"Yes",NA(),IF(COUNT(I2536,J2536,K2536,L2536,M2536)=0,NA(),MIN(I2536,J2536,K2536,L2536,M2536))))</f>
        <v/>
      </c>
      <c r="O2536" s="54">
        <f>IF($B2536=0,NA(),IF(Inputs!$B$24&lt;&gt;"Yes",NA(),Inputs!$D$24*Inputs!$C$35))</f>
        <v/>
      </c>
      <c r="P2536" s="54">
        <f>IF($B2536=0,NA(),IF(Inputs!$B$25&lt;&gt;"Yes",NA(),Inputs!$D$25*Inputs!$C$35))</f>
        <v/>
      </c>
      <c r="Q2536" s="54">
        <f>IF($B2536=0,NA(),IF(Inputs!$B$26&lt;&gt;"Yes",NA(),Inputs!$D$26*Inputs!$C$35))</f>
        <v/>
      </c>
      <c r="R2536" s="54">
        <f>IF($B2536=0,NA(),IF(Inputs!$B$27&lt;&gt;"Yes",NA(),Inputs!$D$27*Inputs!$C$35))</f>
        <v/>
      </c>
      <c r="S2536" s="54">
        <f>IF($B2536=0,NA(),IF(Inputs!$B$28&lt;&gt;"Yes",NA(),Inputs!$D$28*Inputs!$C$35))</f>
        <v/>
      </c>
      <c r="T2536" s="54">
        <f>IF($B2536=0,NA(),IF(Inputs!$B$29&lt;&gt;"Yes",NA(),Inputs!$D$29*Inputs!$C$35))</f>
        <v/>
      </c>
      <c r="AD2536">
        <f>IF($B2536=0,0,IF(Inputs!$B$6="",0,COUNTIFS(Data!$A$10:$A$3209,"&gt;="&amp;$A2536,Data!$A$10:$A$3209,"&lt;"&amp;$A2536+1)))</f>
        <v/>
      </c>
      <c r="AE2536">
        <f>IF($B2536=0,0,IF(Inputs!$B$7="",0,COUNTIFS(Data!$E$10:$E$3209,"&gt;="&amp;$A2536,Data!$E$10:$E$3209,"&lt;"&amp;$A2536+1)))</f>
        <v/>
      </c>
      <c r="AF2536">
        <f>IF($B2536=0,0,IF(Inputs!$B$8="",0,COUNTIFS(Data!$I$10:$I$3209,"&gt;="&amp;$A2536,Data!$I$10:$I$3209,"&lt;"&amp;$A2536+1)))</f>
        <v/>
      </c>
      <c r="AG2536">
        <f>IF($B2536=0,0,IF(Inputs!$B$9="",0,COUNTIFS(Data!$M$10:$M$3209,"&gt;="&amp;$A2536,Data!$M$10:$M$3209,"&lt;"&amp;$A2536+1)))</f>
        <v/>
      </c>
      <c r="AH2536">
        <f>IF($B2536=0,0,IF(Inputs!$B$10="",0,COUNTIFS(Data!$Q$10:$Q$3209,"&gt;="&amp;$A2536,Data!$Q$10:$Q$3209,"&lt;"&amp;$A2536+1)))</f>
        <v/>
      </c>
    </row>
    <row r="2537">
      <c r="A2537" s="55">
        <f>MIN(Inputs!$C$15,$A2536+IF(WEEKDAY($A2536,2)=5,3,1))</f>
        <v/>
      </c>
      <c r="B2537">
        <f>IF($A2537&gt;$A2536,1,0)</f>
        <v/>
      </c>
      <c r="C2537" s="56">
        <f>IF($B2537=0,"",IF(Inputs!$B$6="","",IF($AD2537=0,C2536,SUMIFS(Data!$B$10:$B$3209,Data!$A$10:$A$3209,"&gt;="&amp;$A2537,Data!$A$10:$A$3209,"&lt;"&amp;$A2537+1)/$AD2537)))</f>
        <v/>
      </c>
      <c r="D2537" s="56">
        <f>IF($B2537=0,"",IF(Inputs!$B$7="","",IF($AE2537=0,D2536,SUMIFS(Data!$F$10:$F$3209,Data!$E$10:$E$3209,"&gt;="&amp;$A2537,Data!$E$10:$E$3209,"&lt;"&amp;$A2537+1)/$AE2537)))</f>
        <v/>
      </c>
      <c r="E2537" s="56">
        <f>IF($B2537=0,"",IF(Inputs!$B$8="","",IF($AF2537=0,E2536,SUMIFS(Data!$J$10:$J$3209,Data!$I$10:$I$3209,"&gt;="&amp;$A2537,Data!$I$10:$I$3209,"&lt;"&amp;$A2537+1)/$AF2537)))</f>
        <v/>
      </c>
      <c r="F2537" s="56">
        <f>IF($B2537=0,"",IF(Inputs!$B$9="","",IF($AG2537=0,F2536,SUMIFS(Data!$N$10:$N$3209,Data!$M$10:$M$3209,"&gt;="&amp;$A2537,Data!$M$10:$M$3209,"&lt;"&amp;$A2537+1)/$AG2537)))</f>
        <v/>
      </c>
      <c r="G2537" s="56">
        <f>IF($B2537=0,"",IF(Inputs!$B$10="","",IF($AH2537=0,G2536,SUMIFS(Data!$R$10:$R$3209,Data!$Q$10:$Q$3209,"&gt;="&amp;$A2537,Data!$Q$10:$Q$3209,"&lt;"&amp;$A2537+1)/$AH2537)))</f>
        <v/>
      </c>
      <c r="I2537" s="54">
        <f>IF($B2537=0,NA(),IF($C2537="",NA(),IF(C$8="",NA(),IF(N(C$8)=0,NA(),IF(Inputs!$C$17="Rebased to 100",$C2537/C$8*100,$C2537)))))</f>
        <v/>
      </c>
      <c r="J2537" s="54">
        <f>IF($B2537=0,NA(),IF($D2537="",NA(),IF(D$8="",NA(),IF(N(D$8)=0,NA(),IF(Inputs!$C$17="Rebased to 100",$D2537/D$8*100,$D2537)))))</f>
        <v/>
      </c>
      <c r="K2537" s="54">
        <f>IF($B2537=0,NA(),IF($E2537="",NA(),IF(E$8="",NA(),IF(N(E$8)=0,NA(),IF(Inputs!$C$17="Rebased to 100",$E2537/E$8*100,$E2537)))))</f>
        <v/>
      </c>
      <c r="L2537" s="54">
        <f>IF($B2537=0,NA(),IF($F2537="",NA(),IF(F$8="",NA(),IF(N(F$8)=0,NA(),IF(Inputs!$C$17="Rebased to 100",$F2537/F$8*100,$F2537)))))</f>
        <v/>
      </c>
      <c r="M2537" s="54">
        <f>IF($B2537=0,NA(),IF($G2537="",NA(),IF(G$8="",NA(),IF(N(G$8)=0,NA(),IF(Inputs!$C$17="Rebased to 100",$G2537/G$8*100,$G2537)))))</f>
        <v/>
      </c>
      <c r="N2537" s="54">
        <f>IF($B2537=0,NA(),IF(Inputs!$C$18&lt;&gt;"Yes",NA(),IF(COUNT(I2537,J2537,K2537,L2537,M2537)=0,NA(),MIN(I2537,J2537,K2537,L2537,M2537))))</f>
        <v/>
      </c>
      <c r="O2537" s="54">
        <f>IF($B2537=0,NA(),IF(Inputs!$B$24&lt;&gt;"Yes",NA(),Inputs!$D$24*Inputs!$C$35))</f>
        <v/>
      </c>
      <c r="P2537" s="54">
        <f>IF($B2537=0,NA(),IF(Inputs!$B$25&lt;&gt;"Yes",NA(),Inputs!$D$25*Inputs!$C$35))</f>
        <v/>
      </c>
      <c r="Q2537" s="54">
        <f>IF($B2537=0,NA(),IF(Inputs!$B$26&lt;&gt;"Yes",NA(),Inputs!$D$26*Inputs!$C$35))</f>
        <v/>
      </c>
      <c r="R2537" s="54">
        <f>IF($B2537=0,NA(),IF(Inputs!$B$27&lt;&gt;"Yes",NA(),Inputs!$D$27*Inputs!$C$35))</f>
        <v/>
      </c>
      <c r="S2537" s="54">
        <f>IF($B2537=0,NA(),IF(Inputs!$B$28&lt;&gt;"Yes",NA(),Inputs!$D$28*Inputs!$C$35))</f>
        <v/>
      </c>
      <c r="T2537" s="54">
        <f>IF($B2537=0,NA(),IF(Inputs!$B$29&lt;&gt;"Yes",NA(),Inputs!$D$29*Inputs!$C$35))</f>
        <v/>
      </c>
      <c r="AD2537">
        <f>IF($B2537=0,0,IF(Inputs!$B$6="",0,COUNTIFS(Data!$A$10:$A$3209,"&gt;="&amp;$A2537,Data!$A$10:$A$3209,"&lt;"&amp;$A2537+1)))</f>
        <v/>
      </c>
      <c r="AE2537">
        <f>IF($B2537=0,0,IF(Inputs!$B$7="",0,COUNTIFS(Data!$E$10:$E$3209,"&gt;="&amp;$A2537,Data!$E$10:$E$3209,"&lt;"&amp;$A2537+1)))</f>
        <v/>
      </c>
      <c r="AF2537">
        <f>IF($B2537=0,0,IF(Inputs!$B$8="",0,COUNTIFS(Data!$I$10:$I$3209,"&gt;="&amp;$A2537,Data!$I$10:$I$3209,"&lt;"&amp;$A2537+1)))</f>
        <v/>
      </c>
      <c r="AG2537">
        <f>IF($B2537=0,0,IF(Inputs!$B$9="",0,COUNTIFS(Data!$M$10:$M$3209,"&gt;="&amp;$A2537,Data!$M$10:$M$3209,"&lt;"&amp;$A2537+1)))</f>
        <v/>
      </c>
      <c r="AH2537">
        <f>IF($B2537=0,0,IF(Inputs!$B$10="",0,COUNTIFS(Data!$Q$10:$Q$3209,"&gt;="&amp;$A2537,Data!$Q$10:$Q$3209,"&lt;"&amp;$A2537+1)))</f>
        <v/>
      </c>
    </row>
    <row r="2538">
      <c r="A2538" s="55">
        <f>MIN(Inputs!$C$15,$A2537+IF(WEEKDAY($A2537,2)=5,3,1))</f>
        <v/>
      </c>
      <c r="B2538">
        <f>IF($A2538&gt;$A2537,1,0)</f>
        <v/>
      </c>
      <c r="C2538" s="56">
        <f>IF($B2538=0,"",IF(Inputs!$B$6="","",IF($AD2538=0,C2537,SUMIFS(Data!$B$10:$B$3209,Data!$A$10:$A$3209,"&gt;="&amp;$A2538,Data!$A$10:$A$3209,"&lt;"&amp;$A2538+1)/$AD2538)))</f>
        <v/>
      </c>
      <c r="D2538" s="56">
        <f>IF($B2538=0,"",IF(Inputs!$B$7="","",IF($AE2538=0,D2537,SUMIFS(Data!$F$10:$F$3209,Data!$E$10:$E$3209,"&gt;="&amp;$A2538,Data!$E$10:$E$3209,"&lt;"&amp;$A2538+1)/$AE2538)))</f>
        <v/>
      </c>
      <c r="E2538" s="56">
        <f>IF($B2538=0,"",IF(Inputs!$B$8="","",IF($AF2538=0,E2537,SUMIFS(Data!$J$10:$J$3209,Data!$I$10:$I$3209,"&gt;="&amp;$A2538,Data!$I$10:$I$3209,"&lt;"&amp;$A2538+1)/$AF2538)))</f>
        <v/>
      </c>
      <c r="F2538" s="56">
        <f>IF($B2538=0,"",IF(Inputs!$B$9="","",IF($AG2538=0,F2537,SUMIFS(Data!$N$10:$N$3209,Data!$M$10:$M$3209,"&gt;="&amp;$A2538,Data!$M$10:$M$3209,"&lt;"&amp;$A2538+1)/$AG2538)))</f>
        <v/>
      </c>
      <c r="G2538" s="56">
        <f>IF($B2538=0,"",IF(Inputs!$B$10="","",IF($AH2538=0,G2537,SUMIFS(Data!$R$10:$R$3209,Data!$Q$10:$Q$3209,"&gt;="&amp;$A2538,Data!$Q$10:$Q$3209,"&lt;"&amp;$A2538+1)/$AH2538)))</f>
        <v/>
      </c>
      <c r="I2538" s="54">
        <f>IF($B2538=0,NA(),IF($C2538="",NA(),IF(C$8="",NA(),IF(N(C$8)=0,NA(),IF(Inputs!$C$17="Rebased to 100",$C2538/C$8*100,$C2538)))))</f>
        <v/>
      </c>
      <c r="J2538" s="54">
        <f>IF($B2538=0,NA(),IF($D2538="",NA(),IF(D$8="",NA(),IF(N(D$8)=0,NA(),IF(Inputs!$C$17="Rebased to 100",$D2538/D$8*100,$D2538)))))</f>
        <v/>
      </c>
      <c r="K2538" s="54">
        <f>IF($B2538=0,NA(),IF($E2538="",NA(),IF(E$8="",NA(),IF(N(E$8)=0,NA(),IF(Inputs!$C$17="Rebased to 100",$E2538/E$8*100,$E2538)))))</f>
        <v/>
      </c>
      <c r="L2538" s="54">
        <f>IF($B2538=0,NA(),IF($F2538="",NA(),IF(F$8="",NA(),IF(N(F$8)=0,NA(),IF(Inputs!$C$17="Rebased to 100",$F2538/F$8*100,$F2538)))))</f>
        <v/>
      </c>
      <c r="M2538" s="54">
        <f>IF($B2538=0,NA(),IF($G2538="",NA(),IF(G$8="",NA(),IF(N(G$8)=0,NA(),IF(Inputs!$C$17="Rebased to 100",$G2538/G$8*100,$G2538)))))</f>
        <v/>
      </c>
      <c r="N2538" s="54">
        <f>IF($B2538=0,NA(),IF(Inputs!$C$18&lt;&gt;"Yes",NA(),IF(COUNT(I2538,J2538,K2538,L2538,M2538)=0,NA(),MIN(I2538,J2538,K2538,L2538,M2538))))</f>
        <v/>
      </c>
      <c r="O2538" s="54">
        <f>IF($B2538=0,NA(),IF(Inputs!$B$24&lt;&gt;"Yes",NA(),Inputs!$D$24*Inputs!$C$35))</f>
        <v/>
      </c>
      <c r="P2538" s="54">
        <f>IF($B2538=0,NA(),IF(Inputs!$B$25&lt;&gt;"Yes",NA(),Inputs!$D$25*Inputs!$C$35))</f>
        <v/>
      </c>
      <c r="Q2538" s="54">
        <f>IF($B2538=0,NA(),IF(Inputs!$B$26&lt;&gt;"Yes",NA(),Inputs!$D$26*Inputs!$C$35))</f>
        <v/>
      </c>
      <c r="R2538" s="54">
        <f>IF($B2538=0,NA(),IF(Inputs!$B$27&lt;&gt;"Yes",NA(),Inputs!$D$27*Inputs!$C$35))</f>
        <v/>
      </c>
      <c r="S2538" s="54">
        <f>IF($B2538=0,NA(),IF(Inputs!$B$28&lt;&gt;"Yes",NA(),Inputs!$D$28*Inputs!$C$35))</f>
        <v/>
      </c>
      <c r="T2538" s="54">
        <f>IF($B2538=0,NA(),IF(Inputs!$B$29&lt;&gt;"Yes",NA(),Inputs!$D$29*Inputs!$C$35))</f>
        <v/>
      </c>
      <c r="AD2538">
        <f>IF($B2538=0,0,IF(Inputs!$B$6="",0,COUNTIFS(Data!$A$10:$A$3209,"&gt;="&amp;$A2538,Data!$A$10:$A$3209,"&lt;"&amp;$A2538+1)))</f>
        <v/>
      </c>
      <c r="AE2538">
        <f>IF($B2538=0,0,IF(Inputs!$B$7="",0,COUNTIFS(Data!$E$10:$E$3209,"&gt;="&amp;$A2538,Data!$E$10:$E$3209,"&lt;"&amp;$A2538+1)))</f>
        <v/>
      </c>
      <c r="AF2538">
        <f>IF($B2538=0,0,IF(Inputs!$B$8="",0,COUNTIFS(Data!$I$10:$I$3209,"&gt;="&amp;$A2538,Data!$I$10:$I$3209,"&lt;"&amp;$A2538+1)))</f>
        <v/>
      </c>
      <c r="AG2538">
        <f>IF($B2538=0,0,IF(Inputs!$B$9="",0,COUNTIFS(Data!$M$10:$M$3209,"&gt;="&amp;$A2538,Data!$M$10:$M$3209,"&lt;"&amp;$A2538+1)))</f>
        <v/>
      </c>
      <c r="AH2538">
        <f>IF($B2538=0,0,IF(Inputs!$B$10="",0,COUNTIFS(Data!$Q$10:$Q$3209,"&gt;="&amp;$A2538,Data!$Q$10:$Q$3209,"&lt;"&amp;$A2538+1)))</f>
        <v/>
      </c>
    </row>
    <row r="2539">
      <c r="A2539" s="55">
        <f>MIN(Inputs!$C$15,$A2538+IF(WEEKDAY($A2538,2)=5,3,1))</f>
        <v/>
      </c>
      <c r="B2539">
        <f>IF($A2539&gt;$A2538,1,0)</f>
        <v/>
      </c>
      <c r="C2539" s="56">
        <f>IF($B2539=0,"",IF(Inputs!$B$6="","",IF($AD2539=0,C2538,SUMIFS(Data!$B$10:$B$3209,Data!$A$10:$A$3209,"&gt;="&amp;$A2539,Data!$A$10:$A$3209,"&lt;"&amp;$A2539+1)/$AD2539)))</f>
        <v/>
      </c>
      <c r="D2539" s="56">
        <f>IF($B2539=0,"",IF(Inputs!$B$7="","",IF($AE2539=0,D2538,SUMIFS(Data!$F$10:$F$3209,Data!$E$10:$E$3209,"&gt;="&amp;$A2539,Data!$E$10:$E$3209,"&lt;"&amp;$A2539+1)/$AE2539)))</f>
        <v/>
      </c>
      <c r="E2539" s="56">
        <f>IF($B2539=0,"",IF(Inputs!$B$8="","",IF($AF2539=0,E2538,SUMIFS(Data!$J$10:$J$3209,Data!$I$10:$I$3209,"&gt;="&amp;$A2539,Data!$I$10:$I$3209,"&lt;"&amp;$A2539+1)/$AF2539)))</f>
        <v/>
      </c>
      <c r="F2539" s="56">
        <f>IF($B2539=0,"",IF(Inputs!$B$9="","",IF($AG2539=0,F2538,SUMIFS(Data!$N$10:$N$3209,Data!$M$10:$M$3209,"&gt;="&amp;$A2539,Data!$M$10:$M$3209,"&lt;"&amp;$A2539+1)/$AG2539)))</f>
        <v/>
      </c>
      <c r="G2539" s="56">
        <f>IF($B2539=0,"",IF(Inputs!$B$10="","",IF($AH2539=0,G2538,SUMIFS(Data!$R$10:$R$3209,Data!$Q$10:$Q$3209,"&gt;="&amp;$A2539,Data!$Q$10:$Q$3209,"&lt;"&amp;$A2539+1)/$AH2539)))</f>
        <v/>
      </c>
      <c r="I2539" s="54">
        <f>IF($B2539=0,NA(),IF($C2539="",NA(),IF(C$8="",NA(),IF(N(C$8)=0,NA(),IF(Inputs!$C$17="Rebased to 100",$C2539/C$8*100,$C2539)))))</f>
        <v/>
      </c>
      <c r="J2539" s="54">
        <f>IF($B2539=0,NA(),IF($D2539="",NA(),IF(D$8="",NA(),IF(N(D$8)=0,NA(),IF(Inputs!$C$17="Rebased to 100",$D2539/D$8*100,$D2539)))))</f>
        <v/>
      </c>
      <c r="K2539" s="54">
        <f>IF($B2539=0,NA(),IF($E2539="",NA(),IF(E$8="",NA(),IF(N(E$8)=0,NA(),IF(Inputs!$C$17="Rebased to 100",$E2539/E$8*100,$E2539)))))</f>
        <v/>
      </c>
      <c r="L2539" s="54">
        <f>IF($B2539=0,NA(),IF($F2539="",NA(),IF(F$8="",NA(),IF(N(F$8)=0,NA(),IF(Inputs!$C$17="Rebased to 100",$F2539/F$8*100,$F2539)))))</f>
        <v/>
      </c>
      <c r="M2539" s="54">
        <f>IF($B2539=0,NA(),IF($G2539="",NA(),IF(G$8="",NA(),IF(N(G$8)=0,NA(),IF(Inputs!$C$17="Rebased to 100",$G2539/G$8*100,$G2539)))))</f>
        <v/>
      </c>
      <c r="N2539" s="54">
        <f>IF($B2539=0,NA(),IF(Inputs!$C$18&lt;&gt;"Yes",NA(),IF(COUNT(I2539,J2539,K2539,L2539,M2539)=0,NA(),MIN(I2539,J2539,K2539,L2539,M2539))))</f>
        <v/>
      </c>
      <c r="O2539" s="54">
        <f>IF($B2539=0,NA(),IF(Inputs!$B$24&lt;&gt;"Yes",NA(),Inputs!$D$24*Inputs!$C$35))</f>
        <v/>
      </c>
      <c r="P2539" s="54">
        <f>IF($B2539=0,NA(),IF(Inputs!$B$25&lt;&gt;"Yes",NA(),Inputs!$D$25*Inputs!$C$35))</f>
        <v/>
      </c>
      <c r="Q2539" s="54">
        <f>IF($B2539=0,NA(),IF(Inputs!$B$26&lt;&gt;"Yes",NA(),Inputs!$D$26*Inputs!$C$35))</f>
        <v/>
      </c>
      <c r="R2539" s="54">
        <f>IF($B2539=0,NA(),IF(Inputs!$B$27&lt;&gt;"Yes",NA(),Inputs!$D$27*Inputs!$C$35))</f>
        <v/>
      </c>
      <c r="S2539" s="54">
        <f>IF($B2539=0,NA(),IF(Inputs!$B$28&lt;&gt;"Yes",NA(),Inputs!$D$28*Inputs!$C$35))</f>
        <v/>
      </c>
      <c r="T2539" s="54">
        <f>IF($B2539=0,NA(),IF(Inputs!$B$29&lt;&gt;"Yes",NA(),Inputs!$D$29*Inputs!$C$35))</f>
        <v/>
      </c>
      <c r="AD2539">
        <f>IF($B2539=0,0,IF(Inputs!$B$6="",0,COUNTIFS(Data!$A$10:$A$3209,"&gt;="&amp;$A2539,Data!$A$10:$A$3209,"&lt;"&amp;$A2539+1)))</f>
        <v/>
      </c>
      <c r="AE2539">
        <f>IF($B2539=0,0,IF(Inputs!$B$7="",0,COUNTIFS(Data!$E$10:$E$3209,"&gt;="&amp;$A2539,Data!$E$10:$E$3209,"&lt;"&amp;$A2539+1)))</f>
        <v/>
      </c>
      <c r="AF2539">
        <f>IF($B2539=0,0,IF(Inputs!$B$8="",0,COUNTIFS(Data!$I$10:$I$3209,"&gt;="&amp;$A2539,Data!$I$10:$I$3209,"&lt;"&amp;$A2539+1)))</f>
        <v/>
      </c>
      <c r="AG2539">
        <f>IF($B2539=0,0,IF(Inputs!$B$9="",0,COUNTIFS(Data!$M$10:$M$3209,"&gt;="&amp;$A2539,Data!$M$10:$M$3209,"&lt;"&amp;$A2539+1)))</f>
        <v/>
      </c>
      <c r="AH2539">
        <f>IF($B2539=0,0,IF(Inputs!$B$10="",0,COUNTIFS(Data!$Q$10:$Q$3209,"&gt;="&amp;$A2539,Data!$Q$10:$Q$3209,"&lt;"&amp;$A2539+1)))</f>
        <v/>
      </c>
    </row>
    <row r="2540">
      <c r="A2540" s="55">
        <f>MIN(Inputs!$C$15,$A2539+IF(WEEKDAY($A2539,2)=5,3,1))</f>
        <v/>
      </c>
      <c r="B2540">
        <f>IF($A2540&gt;$A2539,1,0)</f>
        <v/>
      </c>
      <c r="C2540" s="56">
        <f>IF($B2540=0,"",IF(Inputs!$B$6="","",IF($AD2540=0,C2539,SUMIFS(Data!$B$10:$B$3209,Data!$A$10:$A$3209,"&gt;="&amp;$A2540,Data!$A$10:$A$3209,"&lt;"&amp;$A2540+1)/$AD2540)))</f>
        <v/>
      </c>
      <c r="D2540" s="56">
        <f>IF($B2540=0,"",IF(Inputs!$B$7="","",IF($AE2540=0,D2539,SUMIFS(Data!$F$10:$F$3209,Data!$E$10:$E$3209,"&gt;="&amp;$A2540,Data!$E$10:$E$3209,"&lt;"&amp;$A2540+1)/$AE2540)))</f>
        <v/>
      </c>
      <c r="E2540" s="56">
        <f>IF($B2540=0,"",IF(Inputs!$B$8="","",IF($AF2540=0,E2539,SUMIFS(Data!$J$10:$J$3209,Data!$I$10:$I$3209,"&gt;="&amp;$A2540,Data!$I$10:$I$3209,"&lt;"&amp;$A2540+1)/$AF2540)))</f>
        <v/>
      </c>
      <c r="F2540" s="56">
        <f>IF($B2540=0,"",IF(Inputs!$B$9="","",IF($AG2540=0,F2539,SUMIFS(Data!$N$10:$N$3209,Data!$M$10:$M$3209,"&gt;="&amp;$A2540,Data!$M$10:$M$3209,"&lt;"&amp;$A2540+1)/$AG2540)))</f>
        <v/>
      </c>
      <c r="G2540" s="56">
        <f>IF($B2540=0,"",IF(Inputs!$B$10="","",IF($AH2540=0,G2539,SUMIFS(Data!$R$10:$R$3209,Data!$Q$10:$Q$3209,"&gt;="&amp;$A2540,Data!$Q$10:$Q$3209,"&lt;"&amp;$A2540+1)/$AH2540)))</f>
        <v/>
      </c>
      <c r="I2540" s="54">
        <f>IF($B2540=0,NA(),IF($C2540="",NA(),IF(C$8="",NA(),IF(N(C$8)=0,NA(),IF(Inputs!$C$17="Rebased to 100",$C2540/C$8*100,$C2540)))))</f>
        <v/>
      </c>
      <c r="J2540" s="54">
        <f>IF($B2540=0,NA(),IF($D2540="",NA(),IF(D$8="",NA(),IF(N(D$8)=0,NA(),IF(Inputs!$C$17="Rebased to 100",$D2540/D$8*100,$D2540)))))</f>
        <v/>
      </c>
      <c r="K2540" s="54">
        <f>IF($B2540=0,NA(),IF($E2540="",NA(),IF(E$8="",NA(),IF(N(E$8)=0,NA(),IF(Inputs!$C$17="Rebased to 100",$E2540/E$8*100,$E2540)))))</f>
        <v/>
      </c>
      <c r="L2540" s="54">
        <f>IF($B2540=0,NA(),IF($F2540="",NA(),IF(F$8="",NA(),IF(N(F$8)=0,NA(),IF(Inputs!$C$17="Rebased to 100",$F2540/F$8*100,$F2540)))))</f>
        <v/>
      </c>
      <c r="M2540" s="54">
        <f>IF($B2540=0,NA(),IF($G2540="",NA(),IF(G$8="",NA(),IF(N(G$8)=0,NA(),IF(Inputs!$C$17="Rebased to 100",$G2540/G$8*100,$G2540)))))</f>
        <v/>
      </c>
      <c r="N2540" s="54">
        <f>IF($B2540=0,NA(),IF(Inputs!$C$18&lt;&gt;"Yes",NA(),IF(COUNT(I2540,J2540,K2540,L2540,M2540)=0,NA(),MIN(I2540,J2540,K2540,L2540,M2540))))</f>
        <v/>
      </c>
      <c r="O2540" s="54">
        <f>IF($B2540=0,NA(),IF(Inputs!$B$24&lt;&gt;"Yes",NA(),Inputs!$D$24*Inputs!$C$35))</f>
        <v/>
      </c>
      <c r="P2540" s="54">
        <f>IF($B2540=0,NA(),IF(Inputs!$B$25&lt;&gt;"Yes",NA(),Inputs!$D$25*Inputs!$C$35))</f>
        <v/>
      </c>
      <c r="Q2540" s="54">
        <f>IF($B2540=0,NA(),IF(Inputs!$B$26&lt;&gt;"Yes",NA(),Inputs!$D$26*Inputs!$C$35))</f>
        <v/>
      </c>
      <c r="R2540" s="54">
        <f>IF($B2540=0,NA(),IF(Inputs!$B$27&lt;&gt;"Yes",NA(),Inputs!$D$27*Inputs!$C$35))</f>
        <v/>
      </c>
      <c r="S2540" s="54">
        <f>IF($B2540=0,NA(),IF(Inputs!$B$28&lt;&gt;"Yes",NA(),Inputs!$D$28*Inputs!$C$35))</f>
        <v/>
      </c>
      <c r="T2540" s="54">
        <f>IF($B2540=0,NA(),IF(Inputs!$B$29&lt;&gt;"Yes",NA(),Inputs!$D$29*Inputs!$C$35))</f>
        <v/>
      </c>
      <c r="AD2540">
        <f>IF($B2540=0,0,IF(Inputs!$B$6="",0,COUNTIFS(Data!$A$10:$A$3209,"&gt;="&amp;$A2540,Data!$A$10:$A$3209,"&lt;"&amp;$A2540+1)))</f>
        <v/>
      </c>
      <c r="AE2540">
        <f>IF($B2540=0,0,IF(Inputs!$B$7="",0,COUNTIFS(Data!$E$10:$E$3209,"&gt;="&amp;$A2540,Data!$E$10:$E$3209,"&lt;"&amp;$A2540+1)))</f>
        <v/>
      </c>
      <c r="AF2540">
        <f>IF($B2540=0,0,IF(Inputs!$B$8="",0,COUNTIFS(Data!$I$10:$I$3209,"&gt;="&amp;$A2540,Data!$I$10:$I$3209,"&lt;"&amp;$A2540+1)))</f>
        <v/>
      </c>
      <c r="AG2540">
        <f>IF($B2540=0,0,IF(Inputs!$B$9="",0,COUNTIFS(Data!$M$10:$M$3209,"&gt;="&amp;$A2540,Data!$M$10:$M$3209,"&lt;"&amp;$A2540+1)))</f>
        <v/>
      </c>
      <c r="AH2540">
        <f>IF($B2540=0,0,IF(Inputs!$B$10="",0,COUNTIFS(Data!$Q$10:$Q$3209,"&gt;="&amp;$A2540,Data!$Q$10:$Q$3209,"&lt;"&amp;$A2540+1)))</f>
        <v/>
      </c>
    </row>
    <row r="2541">
      <c r="A2541" s="55">
        <f>MIN(Inputs!$C$15,$A2540+IF(WEEKDAY($A2540,2)=5,3,1))</f>
        <v/>
      </c>
      <c r="B2541">
        <f>IF($A2541&gt;$A2540,1,0)</f>
        <v/>
      </c>
      <c r="C2541" s="56">
        <f>IF($B2541=0,"",IF(Inputs!$B$6="","",IF($AD2541=0,C2540,SUMIFS(Data!$B$10:$B$3209,Data!$A$10:$A$3209,"&gt;="&amp;$A2541,Data!$A$10:$A$3209,"&lt;"&amp;$A2541+1)/$AD2541)))</f>
        <v/>
      </c>
      <c r="D2541" s="56">
        <f>IF($B2541=0,"",IF(Inputs!$B$7="","",IF($AE2541=0,D2540,SUMIFS(Data!$F$10:$F$3209,Data!$E$10:$E$3209,"&gt;="&amp;$A2541,Data!$E$10:$E$3209,"&lt;"&amp;$A2541+1)/$AE2541)))</f>
        <v/>
      </c>
      <c r="E2541" s="56">
        <f>IF($B2541=0,"",IF(Inputs!$B$8="","",IF($AF2541=0,E2540,SUMIFS(Data!$J$10:$J$3209,Data!$I$10:$I$3209,"&gt;="&amp;$A2541,Data!$I$10:$I$3209,"&lt;"&amp;$A2541+1)/$AF2541)))</f>
        <v/>
      </c>
      <c r="F2541" s="56">
        <f>IF($B2541=0,"",IF(Inputs!$B$9="","",IF($AG2541=0,F2540,SUMIFS(Data!$N$10:$N$3209,Data!$M$10:$M$3209,"&gt;="&amp;$A2541,Data!$M$10:$M$3209,"&lt;"&amp;$A2541+1)/$AG2541)))</f>
        <v/>
      </c>
      <c r="G2541" s="56">
        <f>IF($B2541=0,"",IF(Inputs!$B$10="","",IF($AH2541=0,G2540,SUMIFS(Data!$R$10:$R$3209,Data!$Q$10:$Q$3209,"&gt;="&amp;$A2541,Data!$Q$10:$Q$3209,"&lt;"&amp;$A2541+1)/$AH2541)))</f>
        <v/>
      </c>
      <c r="I2541" s="54">
        <f>IF($B2541=0,NA(),IF($C2541="",NA(),IF(C$8="",NA(),IF(N(C$8)=0,NA(),IF(Inputs!$C$17="Rebased to 100",$C2541/C$8*100,$C2541)))))</f>
        <v/>
      </c>
      <c r="J2541" s="54">
        <f>IF($B2541=0,NA(),IF($D2541="",NA(),IF(D$8="",NA(),IF(N(D$8)=0,NA(),IF(Inputs!$C$17="Rebased to 100",$D2541/D$8*100,$D2541)))))</f>
        <v/>
      </c>
      <c r="K2541" s="54">
        <f>IF($B2541=0,NA(),IF($E2541="",NA(),IF(E$8="",NA(),IF(N(E$8)=0,NA(),IF(Inputs!$C$17="Rebased to 100",$E2541/E$8*100,$E2541)))))</f>
        <v/>
      </c>
      <c r="L2541" s="54">
        <f>IF($B2541=0,NA(),IF($F2541="",NA(),IF(F$8="",NA(),IF(N(F$8)=0,NA(),IF(Inputs!$C$17="Rebased to 100",$F2541/F$8*100,$F2541)))))</f>
        <v/>
      </c>
      <c r="M2541" s="54">
        <f>IF($B2541=0,NA(),IF($G2541="",NA(),IF(G$8="",NA(),IF(N(G$8)=0,NA(),IF(Inputs!$C$17="Rebased to 100",$G2541/G$8*100,$G2541)))))</f>
        <v/>
      </c>
      <c r="N2541" s="54">
        <f>IF($B2541=0,NA(),IF(Inputs!$C$18&lt;&gt;"Yes",NA(),IF(COUNT(I2541,J2541,K2541,L2541,M2541)=0,NA(),MIN(I2541,J2541,K2541,L2541,M2541))))</f>
        <v/>
      </c>
      <c r="O2541" s="54">
        <f>IF($B2541=0,NA(),IF(Inputs!$B$24&lt;&gt;"Yes",NA(),Inputs!$D$24*Inputs!$C$35))</f>
        <v/>
      </c>
      <c r="P2541" s="54">
        <f>IF($B2541=0,NA(),IF(Inputs!$B$25&lt;&gt;"Yes",NA(),Inputs!$D$25*Inputs!$C$35))</f>
        <v/>
      </c>
      <c r="Q2541" s="54">
        <f>IF($B2541=0,NA(),IF(Inputs!$B$26&lt;&gt;"Yes",NA(),Inputs!$D$26*Inputs!$C$35))</f>
        <v/>
      </c>
      <c r="R2541" s="54">
        <f>IF($B2541=0,NA(),IF(Inputs!$B$27&lt;&gt;"Yes",NA(),Inputs!$D$27*Inputs!$C$35))</f>
        <v/>
      </c>
      <c r="S2541" s="54">
        <f>IF($B2541=0,NA(),IF(Inputs!$B$28&lt;&gt;"Yes",NA(),Inputs!$D$28*Inputs!$C$35))</f>
        <v/>
      </c>
      <c r="T2541" s="54">
        <f>IF($B2541=0,NA(),IF(Inputs!$B$29&lt;&gt;"Yes",NA(),Inputs!$D$29*Inputs!$C$35))</f>
        <v/>
      </c>
      <c r="AD2541">
        <f>IF($B2541=0,0,IF(Inputs!$B$6="",0,COUNTIFS(Data!$A$10:$A$3209,"&gt;="&amp;$A2541,Data!$A$10:$A$3209,"&lt;"&amp;$A2541+1)))</f>
        <v/>
      </c>
      <c r="AE2541">
        <f>IF($B2541=0,0,IF(Inputs!$B$7="",0,COUNTIFS(Data!$E$10:$E$3209,"&gt;="&amp;$A2541,Data!$E$10:$E$3209,"&lt;"&amp;$A2541+1)))</f>
        <v/>
      </c>
      <c r="AF2541">
        <f>IF($B2541=0,0,IF(Inputs!$B$8="",0,COUNTIFS(Data!$I$10:$I$3209,"&gt;="&amp;$A2541,Data!$I$10:$I$3209,"&lt;"&amp;$A2541+1)))</f>
        <v/>
      </c>
      <c r="AG2541">
        <f>IF($B2541=0,0,IF(Inputs!$B$9="",0,COUNTIFS(Data!$M$10:$M$3209,"&gt;="&amp;$A2541,Data!$M$10:$M$3209,"&lt;"&amp;$A2541+1)))</f>
        <v/>
      </c>
      <c r="AH2541">
        <f>IF($B2541=0,0,IF(Inputs!$B$10="",0,COUNTIFS(Data!$Q$10:$Q$3209,"&gt;="&amp;$A2541,Data!$Q$10:$Q$3209,"&lt;"&amp;$A2541+1)))</f>
        <v/>
      </c>
    </row>
    <row r="2542">
      <c r="A2542" s="55">
        <f>MIN(Inputs!$C$15,$A2541+IF(WEEKDAY($A2541,2)=5,3,1))</f>
        <v/>
      </c>
      <c r="B2542">
        <f>IF($A2542&gt;$A2541,1,0)</f>
        <v/>
      </c>
      <c r="C2542" s="56">
        <f>IF($B2542=0,"",IF(Inputs!$B$6="","",IF($AD2542=0,C2541,SUMIFS(Data!$B$10:$B$3209,Data!$A$10:$A$3209,"&gt;="&amp;$A2542,Data!$A$10:$A$3209,"&lt;"&amp;$A2542+1)/$AD2542)))</f>
        <v/>
      </c>
      <c r="D2542" s="56">
        <f>IF($B2542=0,"",IF(Inputs!$B$7="","",IF($AE2542=0,D2541,SUMIFS(Data!$F$10:$F$3209,Data!$E$10:$E$3209,"&gt;="&amp;$A2542,Data!$E$10:$E$3209,"&lt;"&amp;$A2542+1)/$AE2542)))</f>
        <v/>
      </c>
      <c r="E2542" s="56">
        <f>IF($B2542=0,"",IF(Inputs!$B$8="","",IF($AF2542=0,E2541,SUMIFS(Data!$J$10:$J$3209,Data!$I$10:$I$3209,"&gt;="&amp;$A2542,Data!$I$10:$I$3209,"&lt;"&amp;$A2542+1)/$AF2542)))</f>
        <v/>
      </c>
      <c r="F2542" s="56">
        <f>IF($B2542=0,"",IF(Inputs!$B$9="","",IF($AG2542=0,F2541,SUMIFS(Data!$N$10:$N$3209,Data!$M$10:$M$3209,"&gt;="&amp;$A2542,Data!$M$10:$M$3209,"&lt;"&amp;$A2542+1)/$AG2542)))</f>
        <v/>
      </c>
      <c r="G2542" s="56">
        <f>IF($B2542=0,"",IF(Inputs!$B$10="","",IF($AH2542=0,G2541,SUMIFS(Data!$R$10:$R$3209,Data!$Q$10:$Q$3209,"&gt;="&amp;$A2542,Data!$Q$10:$Q$3209,"&lt;"&amp;$A2542+1)/$AH2542)))</f>
        <v/>
      </c>
      <c r="I2542" s="54">
        <f>IF($B2542=0,NA(),IF($C2542="",NA(),IF(C$8="",NA(),IF(N(C$8)=0,NA(),IF(Inputs!$C$17="Rebased to 100",$C2542/C$8*100,$C2542)))))</f>
        <v/>
      </c>
      <c r="J2542" s="54">
        <f>IF($B2542=0,NA(),IF($D2542="",NA(),IF(D$8="",NA(),IF(N(D$8)=0,NA(),IF(Inputs!$C$17="Rebased to 100",$D2542/D$8*100,$D2542)))))</f>
        <v/>
      </c>
      <c r="K2542" s="54">
        <f>IF($B2542=0,NA(),IF($E2542="",NA(),IF(E$8="",NA(),IF(N(E$8)=0,NA(),IF(Inputs!$C$17="Rebased to 100",$E2542/E$8*100,$E2542)))))</f>
        <v/>
      </c>
      <c r="L2542" s="54">
        <f>IF($B2542=0,NA(),IF($F2542="",NA(),IF(F$8="",NA(),IF(N(F$8)=0,NA(),IF(Inputs!$C$17="Rebased to 100",$F2542/F$8*100,$F2542)))))</f>
        <v/>
      </c>
      <c r="M2542" s="54">
        <f>IF($B2542=0,NA(),IF($G2542="",NA(),IF(G$8="",NA(),IF(N(G$8)=0,NA(),IF(Inputs!$C$17="Rebased to 100",$G2542/G$8*100,$G2542)))))</f>
        <v/>
      </c>
      <c r="N2542" s="54">
        <f>IF($B2542=0,NA(),IF(Inputs!$C$18&lt;&gt;"Yes",NA(),IF(COUNT(I2542,J2542,K2542,L2542,M2542)=0,NA(),MIN(I2542,J2542,K2542,L2542,M2542))))</f>
        <v/>
      </c>
      <c r="O2542" s="54">
        <f>IF($B2542=0,NA(),IF(Inputs!$B$24&lt;&gt;"Yes",NA(),Inputs!$D$24*Inputs!$C$35))</f>
        <v/>
      </c>
      <c r="P2542" s="54">
        <f>IF($B2542=0,NA(),IF(Inputs!$B$25&lt;&gt;"Yes",NA(),Inputs!$D$25*Inputs!$C$35))</f>
        <v/>
      </c>
      <c r="Q2542" s="54">
        <f>IF($B2542=0,NA(),IF(Inputs!$B$26&lt;&gt;"Yes",NA(),Inputs!$D$26*Inputs!$C$35))</f>
        <v/>
      </c>
      <c r="R2542" s="54">
        <f>IF($B2542=0,NA(),IF(Inputs!$B$27&lt;&gt;"Yes",NA(),Inputs!$D$27*Inputs!$C$35))</f>
        <v/>
      </c>
      <c r="S2542" s="54">
        <f>IF($B2542=0,NA(),IF(Inputs!$B$28&lt;&gt;"Yes",NA(),Inputs!$D$28*Inputs!$C$35))</f>
        <v/>
      </c>
      <c r="T2542" s="54">
        <f>IF($B2542=0,NA(),IF(Inputs!$B$29&lt;&gt;"Yes",NA(),Inputs!$D$29*Inputs!$C$35))</f>
        <v/>
      </c>
      <c r="AD2542">
        <f>IF($B2542=0,0,IF(Inputs!$B$6="",0,COUNTIFS(Data!$A$10:$A$3209,"&gt;="&amp;$A2542,Data!$A$10:$A$3209,"&lt;"&amp;$A2542+1)))</f>
        <v/>
      </c>
      <c r="AE2542">
        <f>IF($B2542=0,0,IF(Inputs!$B$7="",0,COUNTIFS(Data!$E$10:$E$3209,"&gt;="&amp;$A2542,Data!$E$10:$E$3209,"&lt;"&amp;$A2542+1)))</f>
        <v/>
      </c>
      <c r="AF2542">
        <f>IF($B2542=0,0,IF(Inputs!$B$8="",0,COUNTIFS(Data!$I$10:$I$3209,"&gt;="&amp;$A2542,Data!$I$10:$I$3209,"&lt;"&amp;$A2542+1)))</f>
        <v/>
      </c>
      <c r="AG2542">
        <f>IF($B2542=0,0,IF(Inputs!$B$9="",0,COUNTIFS(Data!$M$10:$M$3209,"&gt;="&amp;$A2542,Data!$M$10:$M$3209,"&lt;"&amp;$A2542+1)))</f>
        <v/>
      </c>
      <c r="AH2542">
        <f>IF($B2542=0,0,IF(Inputs!$B$10="",0,COUNTIFS(Data!$Q$10:$Q$3209,"&gt;="&amp;$A2542,Data!$Q$10:$Q$3209,"&lt;"&amp;$A2542+1)))</f>
        <v/>
      </c>
    </row>
    <row r="2543">
      <c r="A2543" s="55">
        <f>MIN(Inputs!$C$15,$A2542+IF(WEEKDAY($A2542,2)=5,3,1))</f>
        <v/>
      </c>
      <c r="B2543">
        <f>IF($A2543&gt;$A2542,1,0)</f>
        <v/>
      </c>
      <c r="C2543" s="56">
        <f>IF($B2543=0,"",IF(Inputs!$B$6="","",IF($AD2543=0,C2542,SUMIFS(Data!$B$10:$B$3209,Data!$A$10:$A$3209,"&gt;="&amp;$A2543,Data!$A$10:$A$3209,"&lt;"&amp;$A2543+1)/$AD2543)))</f>
        <v/>
      </c>
      <c r="D2543" s="56">
        <f>IF($B2543=0,"",IF(Inputs!$B$7="","",IF($AE2543=0,D2542,SUMIFS(Data!$F$10:$F$3209,Data!$E$10:$E$3209,"&gt;="&amp;$A2543,Data!$E$10:$E$3209,"&lt;"&amp;$A2543+1)/$AE2543)))</f>
        <v/>
      </c>
      <c r="E2543" s="56">
        <f>IF($B2543=0,"",IF(Inputs!$B$8="","",IF($AF2543=0,E2542,SUMIFS(Data!$J$10:$J$3209,Data!$I$10:$I$3209,"&gt;="&amp;$A2543,Data!$I$10:$I$3209,"&lt;"&amp;$A2543+1)/$AF2543)))</f>
        <v/>
      </c>
      <c r="F2543" s="56">
        <f>IF($B2543=0,"",IF(Inputs!$B$9="","",IF($AG2543=0,F2542,SUMIFS(Data!$N$10:$N$3209,Data!$M$10:$M$3209,"&gt;="&amp;$A2543,Data!$M$10:$M$3209,"&lt;"&amp;$A2543+1)/$AG2543)))</f>
        <v/>
      </c>
      <c r="G2543" s="56">
        <f>IF($B2543=0,"",IF(Inputs!$B$10="","",IF($AH2543=0,G2542,SUMIFS(Data!$R$10:$R$3209,Data!$Q$10:$Q$3209,"&gt;="&amp;$A2543,Data!$Q$10:$Q$3209,"&lt;"&amp;$A2543+1)/$AH2543)))</f>
        <v/>
      </c>
      <c r="I2543" s="54">
        <f>IF($B2543=0,NA(),IF($C2543="",NA(),IF(C$8="",NA(),IF(N(C$8)=0,NA(),IF(Inputs!$C$17="Rebased to 100",$C2543/C$8*100,$C2543)))))</f>
        <v/>
      </c>
      <c r="J2543" s="54">
        <f>IF($B2543=0,NA(),IF($D2543="",NA(),IF(D$8="",NA(),IF(N(D$8)=0,NA(),IF(Inputs!$C$17="Rebased to 100",$D2543/D$8*100,$D2543)))))</f>
        <v/>
      </c>
      <c r="K2543" s="54">
        <f>IF($B2543=0,NA(),IF($E2543="",NA(),IF(E$8="",NA(),IF(N(E$8)=0,NA(),IF(Inputs!$C$17="Rebased to 100",$E2543/E$8*100,$E2543)))))</f>
        <v/>
      </c>
      <c r="L2543" s="54">
        <f>IF($B2543=0,NA(),IF($F2543="",NA(),IF(F$8="",NA(),IF(N(F$8)=0,NA(),IF(Inputs!$C$17="Rebased to 100",$F2543/F$8*100,$F2543)))))</f>
        <v/>
      </c>
      <c r="M2543" s="54">
        <f>IF($B2543=0,NA(),IF($G2543="",NA(),IF(G$8="",NA(),IF(N(G$8)=0,NA(),IF(Inputs!$C$17="Rebased to 100",$G2543/G$8*100,$G2543)))))</f>
        <v/>
      </c>
      <c r="N2543" s="54">
        <f>IF($B2543=0,NA(),IF(Inputs!$C$18&lt;&gt;"Yes",NA(),IF(COUNT(I2543,J2543,K2543,L2543,M2543)=0,NA(),MIN(I2543,J2543,K2543,L2543,M2543))))</f>
        <v/>
      </c>
      <c r="O2543" s="54">
        <f>IF($B2543=0,NA(),IF(Inputs!$B$24&lt;&gt;"Yes",NA(),Inputs!$D$24*Inputs!$C$35))</f>
        <v/>
      </c>
      <c r="P2543" s="54">
        <f>IF($B2543=0,NA(),IF(Inputs!$B$25&lt;&gt;"Yes",NA(),Inputs!$D$25*Inputs!$C$35))</f>
        <v/>
      </c>
      <c r="Q2543" s="54">
        <f>IF($B2543=0,NA(),IF(Inputs!$B$26&lt;&gt;"Yes",NA(),Inputs!$D$26*Inputs!$C$35))</f>
        <v/>
      </c>
      <c r="R2543" s="54">
        <f>IF($B2543=0,NA(),IF(Inputs!$B$27&lt;&gt;"Yes",NA(),Inputs!$D$27*Inputs!$C$35))</f>
        <v/>
      </c>
      <c r="S2543" s="54">
        <f>IF($B2543=0,NA(),IF(Inputs!$B$28&lt;&gt;"Yes",NA(),Inputs!$D$28*Inputs!$C$35))</f>
        <v/>
      </c>
      <c r="T2543" s="54">
        <f>IF($B2543=0,NA(),IF(Inputs!$B$29&lt;&gt;"Yes",NA(),Inputs!$D$29*Inputs!$C$35))</f>
        <v/>
      </c>
      <c r="AD2543">
        <f>IF($B2543=0,0,IF(Inputs!$B$6="",0,COUNTIFS(Data!$A$10:$A$3209,"&gt;="&amp;$A2543,Data!$A$10:$A$3209,"&lt;"&amp;$A2543+1)))</f>
        <v/>
      </c>
      <c r="AE2543">
        <f>IF($B2543=0,0,IF(Inputs!$B$7="",0,COUNTIFS(Data!$E$10:$E$3209,"&gt;="&amp;$A2543,Data!$E$10:$E$3209,"&lt;"&amp;$A2543+1)))</f>
        <v/>
      </c>
      <c r="AF2543">
        <f>IF($B2543=0,0,IF(Inputs!$B$8="",0,COUNTIFS(Data!$I$10:$I$3209,"&gt;="&amp;$A2543,Data!$I$10:$I$3209,"&lt;"&amp;$A2543+1)))</f>
        <v/>
      </c>
      <c r="AG2543">
        <f>IF($B2543=0,0,IF(Inputs!$B$9="",0,COUNTIFS(Data!$M$10:$M$3209,"&gt;="&amp;$A2543,Data!$M$10:$M$3209,"&lt;"&amp;$A2543+1)))</f>
        <v/>
      </c>
      <c r="AH2543">
        <f>IF($B2543=0,0,IF(Inputs!$B$10="",0,COUNTIFS(Data!$Q$10:$Q$3209,"&gt;="&amp;$A2543,Data!$Q$10:$Q$3209,"&lt;"&amp;$A2543+1)))</f>
        <v/>
      </c>
    </row>
    <row r="2544">
      <c r="A2544" s="55">
        <f>MIN(Inputs!$C$15,$A2543+IF(WEEKDAY($A2543,2)=5,3,1))</f>
        <v/>
      </c>
      <c r="B2544">
        <f>IF($A2544&gt;$A2543,1,0)</f>
        <v/>
      </c>
      <c r="C2544" s="56">
        <f>IF($B2544=0,"",IF(Inputs!$B$6="","",IF($AD2544=0,C2543,SUMIFS(Data!$B$10:$B$3209,Data!$A$10:$A$3209,"&gt;="&amp;$A2544,Data!$A$10:$A$3209,"&lt;"&amp;$A2544+1)/$AD2544)))</f>
        <v/>
      </c>
      <c r="D2544" s="56">
        <f>IF($B2544=0,"",IF(Inputs!$B$7="","",IF($AE2544=0,D2543,SUMIFS(Data!$F$10:$F$3209,Data!$E$10:$E$3209,"&gt;="&amp;$A2544,Data!$E$10:$E$3209,"&lt;"&amp;$A2544+1)/$AE2544)))</f>
        <v/>
      </c>
      <c r="E2544" s="56">
        <f>IF($B2544=0,"",IF(Inputs!$B$8="","",IF($AF2544=0,E2543,SUMIFS(Data!$J$10:$J$3209,Data!$I$10:$I$3209,"&gt;="&amp;$A2544,Data!$I$10:$I$3209,"&lt;"&amp;$A2544+1)/$AF2544)))</f>
        <v/>
      </c>
      <c r="F2544" s="56">
        <f>IF($B2544=0,"",IF(Inputs!$B$9="","",IF($AG2544=0,F2543,SUMIFS(Data!$N$10:$N$3209,Data!$M$10:$M$3209,"&gt;="&amp;$A2544,Data!$M$10:$M$3209,"&lt;"&amp;$A2544+1)/$AG2544)))</f>
        <v/>
      </c>
      <c r="G2544" s="56">
        <f>IF($B2544=0,"",IF(Inputs!$B$10="","",IF($AH2544=0,G2543,SUMIFS(Data!$R$10:$R$3209,Data!$Q$10:$Q$3209,"&gt;="&amp;$A2544,Data!$Q$10:$Q$3209,"&lt;"&amp;$A2544+1)/$AH2544)))</f>
        <v/>
      </c>
      <c r="I2544" s="54">
        <f>IF($B2544=0,NA(),IF($C2544="",NA(),IF(C$8="",NA(),IF(N(C$8)=0,NA(),IF(Inputs!$C$17="Rebased to 100",$C2544/C$8*100,$C2544)))))</f>
        <v/>
      </c>
      <c r="J2544" s="54">
        <f>IF($B2544=0,NA(),IF($D2544="",NA(),IF(D$8="",NA(),IF(N(D$8)=0,NA(),IF(Inputs!$C$17="Rebased to 100",$D2544/D$8*100,$D2544)))))</f>
        <v/>
      </c>
      <c r="K2544" s="54">
        <f>IF($B2544=0,NA(),IF($E2544="",NA(),IF(E$8="",NA(),IF(N(E$8)=0,NA(),IF(Inputs!$C$17="Rebased to 100",$E2544/E$8*100,$E2544)))))</f>
        <v/>
      </c>
      <c r="L2544" s="54">
        <f>IF($B2544=0,NA(),IF($F2544="",NA(),IF(F$8="",NA(),IF(N(F$8)=0,NA(),IF(Inputs!$C$17="Rebased to 100",$F2544/F$8*100,$F2544)))))</f>
        <v/>
      </c>
      <c r="M2544" s="54">
        <f>IF($B2544=0,NA(),IF($G2544="",NA(),IF(G$8="",NA(),IF(N(G$8)=0,NA(),IF(Inputs!$C$17="Rebased to 100",$G2544/G$8*100,$G2544)))))</f>
        <v/>
      </c>
      <c r="N2544" s="54">
        <f>IF($B2544=0,NA(),IF(Inputs!$C$18&lt;&gt;"Yes",NA(),IF(COUNT(I2544,J2544,K2544,L2544,M2544)=0,NA(),MIN(I2544,J2544,K2544,L2544,M2544))))</f>
        <v/>
      </c>
      <c r="O2544" s="54">
        <f>IF($B2544=0,NA(),IF(Inputs!$B$24&lt;&gt;"Yes",NA(),Inputs!$D$24*Inputs!$C$35))</f>
        <v/>
      </c>
      <c r="P2544" s="54">
        <f>IF($B2544=0,NA(),IF(Inputs!$B$25&lt;&gt;"Yes",NA(),Inputs!$D$25*Inputs!$C$35))</f>
        <v/>
      </c>
      <c r="Q2544" s="54">
        <f>IF($B2544=0,NA(),IF(Inputs!$B$26&lt;&gt;"Yes",NA(),Inputs!$D$26*Inputs!$C$35))</f>
        <v/>
      </c>
      <c r="R2544" s="54">
        <f>IF($B2544=0,NA(),IF(Inputs!$B$27&lt;&gt;"Yes",NA(),Inputs!$D$27*Inputs!$C$35))</f>
        <v/>
      </c>
      <c r="S2544" s="54">
        <f>IF($B2544=0,NA(),IF(Inputs!$B$28&lt;&gt;"Yes",NA(),Inputs!$D$28*Inputs!$C$35))</f>
        <v/>
      </c>
      <c r="T2544" s="54">
        <f>IF($B2544=0,NA(),IF(Inputs!$B$29&lt;&gt;"Yes",NA(),Inputs!$D$29*Inputs!$C$35))</f>
        <v/>
      </c>
      <c r="AD2544">
        <f>IF($B2544=0,0,IF(Inputs!$B$6="",0,COUNTIFS(Data!$A$10:$A$3209,"&gt;="&amp;$A2544,Data!$A$10:$A$3209,"&lt;"&amp;$A2544+1)))</f>
        <v/>
      </c>
      <c r="AE2544">
        <f>IF($B2544=0,0,IF(Inputs!$B$7="",0,COUNTIFS(Data!$E$10:$E$3209,"&gt;="&amp;$A2544,Data!$E$10:$E$3209,"&lt;"&amp;$A2544+1)))</f>
        <v/>
      </c>
      <c r="AF2544">
        <f>IF($B2544=0,0,IF(Inputs!$B$8="",0,COUNTIFS(Data!$I$10:$I$3209,"&gt;="&amp;$A2544,Data!$I$10:$I$3209,"&lt;"&amp;$A2544+1)))</f>
        <v/>
      </c>
      <c r="AG2544">
        <f>IF($B2544=0,0,IF(Inputs!$B$9="",0,COUNTIFS(Data!$M$10:$M$3209,"&gt;="&amp;$A2544,Data!$M$10:$M$3209,"&lt;"&amp;$A2544+1)))</f>
        <v/>
      </c>
      <c r="AH2544">
        <f>IF($B2544=0,0,IF(Inputs!$B$10="",0,COUNTIFS(Data!$Q$10:$Q$3209,"&gt;="&amp;$A2544,Data!$Q$10:$Q$3209,"&lt;"&amp;$A2544+1)))</f>
        <v/>
      </c>
    </row>
    <row r="2545">
      <c r="A2545" s="55">
        <f>MIN(Inputs!$C$15,$A2544+IF(WEEKDAY($A2544,2)=5,3,1))</f>
        <v/>
      </c>
      <c r="B2545">
        <f>IF($A2545&gt;$A2544,1,0)</f>
        <v/>
      </c>
      <c r="C2545" s="56">
        <f>IF($B2545=0,"",IF(Inputs!$B$6="","",IF($AD2545=0,C2544,SUMIFS(Data!$B$10:$B$3209,Data!$A$10:$A$3209,"&gt;="&amp;$A2545,Data!$A$10:$A$3209,"&lt;"&amp;$A2545+1)/$AD2545)))</f>
        <v/>
      </c>
      <c r="D2545" s="56">
        <f>IF($B2545=0,"",IF(Inputs!$B$7="","",IF($AE2545=0,D2544,SUMIFS(Data!$F$10:$F$3209,Data!$E$10:$E$3209,"&gt;="&amp;$A2545,Data!$E$10:$E$3209,"&lt;"&amp;$A2545+1)/$AE2545)))</f>
        <v/>
      </c>
      <c r="E2545" s="56">
        <f>IF($B2545=0,"",IF(Inputs!$B$8="","",IF($AF2545=0,E2544,SUMIFS(Data!$J$10:$J$3209,Data!$I$10:$I$3209,"&gt;="&amp;$A2545,Data!$I$10:$I$3209,"&lt;"&amp;$A2545+1)/$AF2545)))</f>
        <v/>
      </c>
      <c r="F2545" s="56">
        <f>IF($B2545=0,"",IF(Inputs!$B$9="","",IF($AG2545=0,F2544,SUMIFS(Data!$N$10:$N$3209,Data!$M$10:$M$3209,"&gt;="&amp;$A2545,Data!$M$10:$M$3209,"&lt;"&amp;$A2545+1)/$AG2545)))</f>
        <v/>
      </c>
      <c r="G2545" s="56">
        <f>IF($B2545=0,"",IF(Inputs!$B$10="","",IF($AH2545=0,G2544,SUMIFS(Data!$R$10:$R$3209,Data!$Q$10:$Q$3209,"&gt;="&amp;$A2545,Data!$Q$10:$Q$3209,"&lt;"&amp;$A2545+1)/$AH2545)))</f>
        <v/>
      </c>
      <c r="I2545" s="54">
        <f>IF($B2545=0,NA(),IF($C2545="",NA(),IF(C$8="",NA(),IF(N(C$8)=0,NA(),IF(Inputs!$C$17="Rebased to 100",$C2545/C$8*100,$C2545)))))</f>
        <v/>
      </c>
      <c r="J2545" s="54">
        <f>IF($B2545=0,NA(),IF($D2545="",NA(),IF(D$8="",NA(),IF(N(D$8)=0,NA(),IF(Inputs!$C$17="Rebased to 100",$D2545/D$8*100,$D2545)))))</f>
        <v/>
      </c>
      <c r="K2545" s="54">
        <f>IF($B2545=0,NA(),IF($E2545="",NA(),IF(E$8="",NA(),IF(N(E$8)=0,NA(),IF(Inputs!$C$17="Rebased to 100",$E2545/E$8*100,$E2545)))))</f>
        <v/>
      </c>
      <c r="L2545" s="54">
        <f>IF($B2545=0,NA(),IF($F2545="",NA(),IF(F$8="",NA(),IF(N(F$8)=0,NA(),IF(Inputs!$C$17="Rebased to 100",$F2545/F$8*100,$F2545)))))</f>
        <v/>
      </c>
      <c r="M2545" s="54">
        <f>IF($B2545=0,NA(),IF($G2545="",NA(),IF(G$8="",NA(),IF(N(G$8)=0,NA(),IF(Inputs!$C$17="Rebased to 100",$G2545/G$8*100,$G2545)))))</f>
        <v/>
      </c>
      <c r="N2545" s="54">
        <f>IF($B2545=0,NA(),IF(Inputs!$C$18&lt;&gt;"Yes",NA(),IF(COUNT(I2545,J2545,K2545,L2545,M2545)=0,NA(),MIN(I2545,J2545,K2545,L2545,M2545))))</f>
        <v/>
      </c>
      <c r="O2545" s="54">
        <f>IF($B2545=0,NA(),IF(Inputs!$B$24&lt;&gt;"Yes",NA(),Inputs!$D$24*Inputs!$C$35))</f>
        <v/>
      </c>
      <c r="P2545" s="54">
        <f>IF($B2545=0,NA(),IF(Inputs!$B$25&lt;&gt;"Yes",NA(),Inputs!$D$25*Inputs!$C$35))</f>
        <v/>
      </c>
      <c r="Q2545" s="54">
        <f>IF($B2545=0,NA(),IF(Inputs!$B$26&lt;&gt;"Yes",NA(),Inputs!$D$26*Inputs!$C$35))</f>
        <v/>
      </c>
      <c r="R2545" s="54">
        <f>IF($B2545=0,NA(),IF(Inputs!$B$27&lt;&gt;"Yes",NA(),Inputs!$D$27*Inputs!$C$35))</f>
        <v/>
      </c>
      <c r="S2545" s="54">
        <f>IF($B2545=0,NA(),IF(Inputs!$B$28&lt;&gt;"Yes",NA(),Inputs!$D$28*Inputs!$C$35))</f>
        <v/>
      </c>
      <c r="T2545" s="54">
        <f>IF($B2545=0,NA(),IF(Inputs!$B$29&lt;&gt;"Yes",NA(),Inputs!$D$29*Inputs!$C$35))</f>
        <v/>
      </c>
      <c r="AD2545">
        <f>IF($B2545=0,0,IF(Inputs!$B$6="",0,COUNTIFS(Data!$A$10:$A$3209,"&gt;="&amp;$A2545,Data!$A$10:$A$3209,"&lt;"&amp;$A2545+1)))</f>
        <v/>
      </c>
      <c r="AE2545">
        <f>IF($B2545=0,0,IF(Inputs!$B$7="",0,COUNTIFS(Data!$E$10:$E$3209,"&gt;="&amp;$A2545,Data!$E$10:$E$3209,"&lt;"&amp;$A2545+1)))</f>
        <v/>
      </c>
      <c r="AF2545">
        <f>IF($B2545=0,0,IF(Inputs!$B$8="",0,COUNTIFS(Data!$I$10:$I$3209,"&gt;="&amp;$A2545,Data!$I$10:$I$3209,"&lt;"&amp;$A2545+1)))</f>
        <v/>
      </c>
      <c r="AG2545">
        <f>IF($B2545=0,0,IF(Inputs!$B$9="",0,COUNTIFS(Data!$M$10:$M$3209,"&gt;="&amp;$A2545,Data!$M$10:$M$3209,"&lt;"&amp;$A2545+1)))</f>
        <v/>
      </c>
      <c r="AH2545">
        <f>IF($B2545=0,0,IF(Inputs!$B$10="",0,COUNTIFS(Data!$Q$10:$Q$3209,"&gt;="&amp;$A2545,Data!$Q$10:$Q$3209,"&lt;"&amp;$A2545+1)))</f>
        <v/>
      </c>
    </row>
    <row r="2546">
      <c r="A2546" s="55">
        <f>MIN(Inputs!$C$15,$A2545+IF(WEEKDAY($A2545,2)=5,3,1))</f>
        <v/>
      </c>
      <c r="B2546">
        <f>IF($A2546&gt;$A2545,1,0)</f>
        <v/>
      </c>
      <c r="C2546" s="56">
        <f>IF($B2546=0,"",IF(Inputs!$B$6="","",IF($AD2546=0,C2545,SUMIFS(Data!$B$10:$B$3209,Data!$A$10:$A$3209,"&gt;="&amp;$A2546,Data!$A$10:$A$3209,"&lt;"&amp;$A2546+1)/$AD2546)))</f>
        <v/>
      </c>
      <c r="D2546" s="56">
        <f>IF($B2546=0,"",IF(Inputs!$B$7="","",IF($AE2546=0,D2545,SUMIFS(Data!$F$10:$F$3209,Data!$E$10:$E$3209,"&gt;="&amp;$A2546,Data!$E$10:$E$3209,"&lt;"&amp;$A2546+1)/$AE2546)))</f>
        <v/>
      </c>
      <c r="E2546" s="56">
        <f>IF($B2546=0,"",IF(Inputs!$B$8="","",IF($AF2546=0,E2545,SUMIFS(Data!$J$10:$J$3209,Data!$I$10:$I$3209,"&gt;="&amp;$A2546,Data!$I$10:$I$3209,"&lt;"&amp;$A2546+1)/$AF2546)))</f>
        <v/>
      </c>
      <c r="F2546" s="56">
        <f>IF($B2546=0,"",IF(Inputs!$B$9="","",IF($AG2546=0,F2545,SUMIFS(Data!$N$10:$N$3209,Data!$M$10:$M$3209,"&gt;="&amp;$A2546,Data!$M$10:$M$3209,"&lt;"&amp;$A2546+1)/$AG2546)))</f>
        <v/>
      </c>
      <c r="G2546" s="56">
        <f>IF($B2546=0,"",IF(Inputs!$B$10="","",IF($AH2546=0,G2545,SUMIFS(Data!$R$10:$R$3209,Data!$Q$10:$Q$3209,"&gt;="&amp;$A2546,Data!$Q$10:$Q$3209,"&lt;"&amp;$A2546+1)/$AH2546)))</f>
        <v/>
      </c>
      <c r="I2546" s="54">
        <f>IF($B2546=0,NA(),IF($C2546="",NA(),IF(C$8="",NA(),IF(N(C$8)=0,NA(),IF(Inputs!$C$17="Rebased to 100",$C2546/C$8*100,$C2546)))))</f>
        <v/>
      </c>
      <c r="J2546" s="54">
        <f>IF($B2546=0,NA(),IF($D2546="",NA(),IF(D$8="",NA(),IF(N(D$8)=0,NA(),IF(Inputs!$C$17="Rebased to 100",$D2546/D$8*100,$D2546)))))</f>
        <v/>
      </c>
      <c r="K2546" s="54">
        <f>IF($B2546=0,NA(),IF($E2546="",NA(),IF(E$8="",NA(),IF(N(E$8)=0,NA(),IF(Inputs!$C$17="Rebased to 100",$E2546/E$8*100,$E2546)))))</f>
        <v/>
      </c>
      <c r="L2546" s="54">
        <f>IF($B2546=0,NA(),IF($F2546="",NA(),IF(F$8="",NA(),IF(N(F$8)=0,NA(),IF(Inputs!$C$17="Rebased to 100",$F2546/F$8*100,$F2546)))))</f>
        <v/>
      </c>
      <c r="M2546" s="54">
        <f>IF($B2546=0,NA(),IF($G2546="",NA(),IF(G$8="",NA(),IF(N(G$8)=0,NA(),IF(Inputs!$C$17="Rebased to 100",$G2546/G$8*100,$G2546)))))</f>
        <v/>
      </c>
      <c r="N2546" s="54">
        <f>IF($B2546=0,NA(),IF(Inputs!$C$18&lt;&gt;"Yes",NA(),IF(COUNT(I2546,J2546,K2546,L2546,M2546)=0,NA(),MIN(I2546,J2546,K2546,L2546,M2546))))</f>
        <v/>
      </c>
      <c r="O2546" s="54">
        <f>IF($B2546=0,NA(),IF(Inputs!$B$24&lt;&gt;"Yes",NA(),Inputs!$D$24*Inputs!$C$35))</f>
        <v/>
      </c>
      <c r="P2546" s="54">
        <f>IF($B2546=0,NA(),IF(Inputs!$B$25&lt;&gt;"Yes",NA(),Inputs!$D$25*Inputs!$C$35))</f>
        <v/>
      </c>
      <c r="Q2546" s="54">
        <f>IF($B2546=0,NA(),IF(Inputs!$B$26&lt;&gt;"Yes",NA(),Inputs!$D$26*Inputs!$C$35))</f>
        <v/>
      </c>
      <c r="R2546" s="54">
        <f>IF($B2546=0,NA(),IF(Inputs!$B$27&lt;&gt;"Yes",NA(),Inputs!$D$27*Inputs!$C$35))</f>
        <v/>
      </c>
      <c r="S2546" s="54">
        <f>IF($B2546=0,NA(),IF(Inputs!$B$28&lt;&gt;"Yes",NA(),Inputs!$D$28*Inputs!$C$35))</f>
        <v/>
      </c>
      <c r="T2546" s="54">
        <f>IF($B2546=0,NA(),IF(Inputs!$B$29&lt;&gt;"Yes",NA(),Inputs!$D$29*Inputs!$C$35))</f>
        <v/>
      </c>
      <c r="AD2546">
        <f>IF($B2546=0,0,IF(Inputs!$B$6="",0,COUNTIFS(Data!$A$10:$A$3209,"&gt;="&amp;$A2546,Data!$A$10:$A$3209,"&lt;"&amp;$A2546+1)))</f>
        <v/>
      </c>
      <c r="AE2546">
        <f>IF($B2546=0,0,IF(Inputs!$B$7="",0,COUNTIFS(Data!$E$10:$E$3209,"&gt;="&amp;$A2546,Data!$E$10:$E$3209,"&lt;"&amp;$A2546+1)))</f>
        <v/>
      </c>
      <c r="AF2546">
        <f>IF($B2546=0,0,IF(Inputs!$B$8="",0,COUNTIFS(Data!$I$10:$I$3209,"&gt;="&amp;$A2546,Data!$I$10:$I$3209,"&lt;"&amp;$A2546+1)))</f>
        <v/>
      </c>
      <c r="AG2546">
        <f>IF($B2546=0,0,IF(Inputs!$B$9="",0,COUNTIFS(Data!$M$10:$M$3209,"&gt;="&amp;$A2546,Data!$M$10:$M$3209,"&lt;"&amp;$A2546+1)))</f>
        <v/>
      </c>
      <c r="AH2546">
        <f>IF($B2546=0,0,IF(Inputs!$B$10="",0,COUNTIFS(Data!$Q$10:$Q$3209,"&gt;="&amp;$A2546,Data!$Q$10:$Q$3209,"&lt;"&amp;$A2546+1)))</f>
        <v/>
      </c>
    </row>
    <row r="2547">
      <c r="A2547" s="55">
        <f>MIN(Inputs!$C$15,$A2546+IF(WEEKDAY($A2546,2)=5,3,1))</f>
        <v/>
      </c>
      <c r="B2547">
        <f>IF($A2547&gt;$A2546,1,0)</f>
        <v/>
      </c>
      <c r="C2547" s="56">
        <f>IF($B2547=0,"",IF(Inputs!$B$6="","",IF($AD2547=0,C2546,SUMIFS(Data!$B$10:$B$3209,Data!$A$10:$A$3209,"&gt;="&amp;$A2547,Data!$A$10:$A$3209,"&lt;"&amp;$A2547+1)/$AD2547)))</f>
        <v/>
      </c>
      <c r="D2547" s="56">
        <f>IF($B2547=0,"",IF(Inputs!$B$7="","",IF($AE2547=0,D2546,SUMIFS(Data!$F$10:$F$3209,Data!$E$10:$E$3209,"&gt;="&amp;$A2547,Data!$E$10:$E$3209,"&lt;"&amp;$A2547+1)/$AE2547)))</f>
        <v/>
      </c>
      <c r="E2547" s="56">
        <f>IF($B2547=0,"",IF(Inputs!$B$8="","",IF($AF2547=0,E2546,SUMIFS(Data!$J$10:$J$3209,Data!$I$10:$I$3209,"&gt;="&amp;$A2547,Data!$I$10:$I$3209,"&lt;"&amp;$A2547+1)/$AF2547)))</f>
        <v/>
      </c>
      <c r="F2547" s="56">
        <f>IF($B2547=0,"",IF(Inputs!$B$9="","",IF($AG2547=0,F2546,SUMIFS(Data!$N$10:$N$3209,Data!$M$10:$M$3209,"&gt;="&amp;$A2547,Data!$M$10:$M$3209,"&lt;"&amp;$A2547+1)/$AG2547)))</f>
        <v/>
      </c>
      <c r="G2547" s="56">
        <f>IF($B2547=0,"",IF(Inputs!$B$10="","",IF($AH2547=0,G2546,SUMIFS(Data!$R$10:$R$3209,Data!$Q$10:$Q$3209,"&gt;="&amp;$A2547,Data!$Q$10:$Q$3209,"&lt;"&amp;$A2547+1)/$AH2547)))</f>
        <v/>
      </c>
      <c r="I2547" s="54">
        <f>IF($B2547=0,NA(),IF($C2547="",NA(),IF(C$8="",NA(),IF(N(C$8)=0,NA(),IF(Inputs!$C$17="Rebased to 100",$C2547/C$8*100,$C2547)))))</f>
        <v/>
      </c>
      <c r="J2547" s="54">
        <f>IF($B2547=0,NA(),IF($D2547="",NA(),IF(D$8="",NA(),IF(N(D$8)=0,NA(),IF(Inputs!$C$17="Rebased to 100",$D2547/D$8*100,$D2547)))))</f>
        <v/>
      </c>
      <c r="K2547" s="54">
        <f>IF($B2547=0,NA(),IF($E2547="",NA(),IF(E$8="",NA(),IF(N(E$8)=0,NA(),IF(Inputs!$C$17="Rebased to 100",$E2547/E$8*100,$E2547)))))</f>
        <v/>
      </c>
      <c r="L2547" s="54">
        <f>IF($B2547=0,NA(),IF($F2547="",NA(),IF(F$8="",NA(),IF(N(F$8)=0,NA(),IF(Inputs!$C$17="Rebased to 100",$F2547/F$8*100,$F2547)))))</f>
        <v/>
      </c>
      <c r="M2547" s="54">
        <f>IF($B2547=0,NA(),IF($G2547="",NA(),IF(G$8="",NA(),IF(N(G$8)=0,NA(),IF(Inputs!$C$17="Rebased to 100",$G2547/G$8*100,$G2547)))))</f>
        <v/>
      </c>
      <c r="N2547" s="54">
        <f>IF($B2547=0,NA(),IF(Inputs!$C$18&lt;&gt;"Yes",NA(),IF(COUNT(I2547,J2547,K2547,L2547,M2547)=0,NA(),MIN(I2547,J2547,K2547,L2547,M2547))))</f>
        <v/>
      </c>
      <c r="O2547" s="54">
        <f>IF($B2547=0,NA(),IF(Inputs!$B$24&lt;&gt;"Yes",NA(),Inputs!$D$24*Inputs!$C$35))</f>
        <v/>
      </c>
      <c r="P2547" s="54">
        <f>IF($B2547=0,NA(),IF(Inputs!$B$25&lt;&gt;"Yes",NA(),Inputs!$D$25*Inputs!$C$35))</f>
        <v/>
      </c>
      <c r="Q2547" s="54">
        <f>IF($B2547=0,NA(),IF(Inputs!$B$26&lt;&gt;"Yes",NA(),Inputs!$D$26*Inputs!$C$35))</f>
        <v/>
      </c>
      <c r="R2547" s="54">
        <f>IF($B2547=0,NA(),IF(Inputs!$B$27&lt;&gt;"Yes",NA(),Inputs!$D$27*Inputs!$C$35))</f>
        <v/>
      </c>
      <c r="S2547" s="54">
        <f>IF($B2547=0,NA(),IF(Inputs!$B$28&lt;&gt;"Yes",NA(),Inputs!$D$28*Inputs!$C$35))</f>
        <v/>
      </c>
      <c r="T2547" s="54">
        <f>IF($B2547=0,NA(),IF(Inputs!$B$29&lt;&gt;"Yes",NA(),Inputs!$D$29*Inputs!$C$35))</f>
        <v/>
      </c>
      <c r="AD2547">
        <f>IF($B2547=0,0,IF(Inputs!$B$6="",0,COUNTIFS(Data!$A$10:$A$3209,"&gt;="&amp;$A2547,Data!$A$10:$A$3209,"&lt;"&amp;$A2547+1)))</f>
        <v/>
      </c>
      <c r="AE2547">
        <f>IF($B2547=0,0,IF(Inputs!$B$7="",0,COUNTIFS(Data!$E$10:$E$3209,"&gt;="&amp;$A2547,Data!$E$10:$E$3209,"&lt;"&amp;$A2547+1)))</f>
        <v/>
      </c>
      <c r="AF2547">
        <f>IF($B2547=0,0,IF(Inputs!$B$8="",0,COUNTIFS(Data!$I$10:$I$3209,"&gt;="&amp;$A2547,Data!$I$10:$I$3209,"&lt;"&amp;$A2547+1)))</f>
        <v/>
      </c>
      <c r="AG2547">
        <f>IF($B2547=0,0,IF(Inputs!$B$9="",0,COUNTIFS(Data!$M$10:$M$3209,"&gt;="&amp;$A2547,Data!$M$10:$M$3209,"&lt;"&amp;$A2547+1)))</f>
        <v/>
      </c>
      <c r="AH2547">
        <f>IF($B2547=0,0,IF(Inputs!$B$10="",0,COUNTIFS(Data!$Q$10:$Q$3209,"&gt;="&amp;$A2547,Data!$Q$10:$Q$3209,"&lt;"&amp;$A2547+1)))</f>
        <v/>
      </c>
    </row>
    <row r="2548">
      <c r="A2548" s="55">
        <f>MIN(Inputs!$C$15,$A2547+IF(WEEKDAY($A2547,2)=5,3,1))</f>
        <v/>
      </c>
      <c r="B2548">
        <f>IF($A2548&gt;$A2547,1,0)</f>
        <v/>
      </c>
      <c r="C2548" s="56">
        <f>IF($B2548=0,"",IF(Inputs!$B$6="","",IF($AD2548=0,C2547,SUMIFS(Data!$B$10:$B$3209,Data!$A$10:$A$3209,"&gt;="&amp;$A2548,Data!$A$10:$A$3209,"&lt;"&amp;$A2548+1)/$AD2548)))</f>
        <v/>
      </c>
      <c r="D2548" s="56">
        <f>IF($B2548=0,"",IF(Inputs!$B$7="","",IF($AE2548=0,D2547,SUMIFS(Data!$F$10:$F$3209,Data!$E$10:$E$3209,"&gt;="&amp;$A2548,Data!$E$10:$E$3209,"&lt;"&amp;$A2548+1)/$AE2548)))</f>
        <v/>
      </c>
      <c r="E2548" s="56">
        <f>IF($B2548=0,"",IF(Inputs!$B$8="","",IF($AF2548=0,E2547,SUMIFS(Data!$J$10:$J$3209,Data!$I$10:$I$3209,"&gt;="&amp;$A2548,Data!$I$10:$I$3209,"&lt;"&amp;$A2548+1)/$AF2548)))</f>
        <v/>
      </c>
      <c r="F2548" s="56">
        <f>IF($B2548=0,"",IF(Inputs!$B$9="","",IF($AG2548=0,F2547,SUMIFS(Data!$N$10:$N$3209,Data!$M$10:$M$3209,"&gt;="&amp;$A2548,Data!$M$10:$M$3209,"&lt;"&amp;$A2548+1)/$AG2548)))</f>
        <v/>
      </c>
      <c r="G2548" s="56">
        <f>IF($B2548=0,"",IF(Inputs!$B$10="","",IF($AH2548=0,G2547,SUMIFS(Data!$R$10:$R$3209,Data!$Q$10:$Q$3209,"&gt;="&amp;$A2548,Data!$Q$10:$Q$3209,"&lt;"&amp;$A2548+1)/$AH2548)))</f>
        <v/>
      </c>
      <c r="I2548" s="54">
        <f>IF($B2548=0,NA(),IF($C2548="",NA(),IF(C$8="",NA(),IF(N(C$8)=0,NA(),IF(Inputs!$C$17="Rebased to 100",$C2548/C$8*100,$C2548)))))</f>
        <v/>
      </c>
      <c r="J2548" s="54">
        <f>IF($B2548=0,NA(),IF($D2548="",NA(),IF(D$8="",NA(),IF(N(D$8)=0,NA(),IF(Inputs!$C$17="Rebased to 100",$D2548/D$8*100,$D2548)))))</f>
        <v/>
      </c>
      <c r="K2548" s="54">
        <f>IF($B2548=0,NA(),IF($E2548="",NA(),IF(E$8="",NA(),IF(N(E$8)=0,NA(),IF(Inputs!$C$17="Rebased to 100",$E2548/E$8*100,$E2548)))))</f>
        <v/>
      </c>
      <c r="L2548" s="54">
        <f>IF($B2548=0,NA(),IF($F2548="",NA(),IF(F$8="",NA(),IF(N(F$8)=0,NA(),IF(Inputs!$C$17="Rebased to 100",$F2548/F$8*100,$F2548)))))</f>
        <v/>
      </c>
      <c r="M2548" s="54">
        <f>IF($B2548=0,NA(),IF($G2548="",NA(),IF(G$8="",NA(),IF(N(G$8)=0,NA(),IF(Inputs!$C$17="Rebased to 100",$G2548/G$8*100,$G2548)))))</f>
        <v/>
      </c>
      <c r="N2548" s="54">
        <f>IF($B2548=0,NA(),IF(Inputs!$C$18&lt;&gt;"Yes",NA(),IF(COUNT(I2548,J2548,K2548,L2548,M2548)=0,NA(),MIN(I2548,J2548,K2548,L2548,M2548))))</f>
        <v/>
      </c>
      <c r="O2548" s="54">
        <f>IF($B2548=0,NA(),IF(Inputs!$B$24&lt;&gt;"Yes",NA(),Inputs!$D$24*Inputs!$C$35))</f>
        <v/>
      </c>
      <c r="P2548" s="54">
        <f>IF($B2548=0,NA(),IF(Inputs!$B$25&lt;&gt;"Yes",NA(),Inputs!$D$25*Inputs!$C$35))</f>
        <v/>
      </c>
      <c r="Q2548" s="54">
        <f>IF($B2548=0,NA(),IF(Inputs!$B$26&lt;&gt;"Yes",NA(),Inputs!$D$26*Inputs!$C$35))</f>
        <v/>
      </c>
      <c r="R2548" s="54">
        <f>IF($B2548=0,NA(),IF(Inputs!$B$27&lt;&gt;"Yes",NA(),Inputs!$D$27*Inputs!$C$35))</f>
        <v/>
      </c>
      <c r="S2548" s="54">
        <f>IF($B2548=0,NA(),IF(Inputs!$B$28&lt;&gt;"Yes",NA(),Inputs!$D$28*Inputs!$C$35))</f>
        <v/>
      </c>
      <c r="T2548" s="54">
        <f>IF($B2548=0,NA(),IF(Inputs!$B$29&lt;&gt;"Yes",NA(),Inputs!$D$29*Inputs!$C$35))</f>
        <v/>
      </c>
      <c r="AD2548">
        <f>IF($B2548=0,0,IF(Inputs!$B$6="",0,COUNTIFS(Data!$A$10:$A$3209,"&gt;="&amp;$A2548,Data!$A$10:$A$3209,"&lt;"&amp;$A2548+1)))</f>
        <v/>
      </c>
      <c r="AE2548">
        <f>IF($B2548=0,0,IF(Inputs!$B$7="",0,COUNTIFS(Data!$E$10:$E$3209,"&gt;="&amp;$A2548,Data!$E$10:$E$3209,"&lt;"&amp;$A2548+1)))</f>
        <v/>
      </c>
      <c r="AF2548">
        <f>IF($B2548=0,0,IF(Inputs!$B$8="",0,COUNTIFS(Data!$I$10:$I$3209,"&gt;="&amp;$A2548,Data!$I$10:$I$3209,"&lt;"&amp;$A2548+1)))</f>
        <v/>
      </c>
      <c r="AG2548">
        <f>IF($B2548=0,0,IF(Inputs!$B$9="",0,COUNTIFS(Data!$M$10:$M$3209,"&gt;="&amp;$A2548,Data!$M$10:$M$3209,"&lt;"&amp;$A2548+1)))</f>
        <v/>
      </c>
      <c r="AH2548">
        <f>IF($B2548=0,0,IF(Inputs!$B$10="",0,COUNTIFS(Data!$Q$10:$Q$3209,"&gt;="&amp;$A2548,Data!$Q$10:$Q$3209,"&lt;"&amp;$A2548+1)))</f>
        <v/>
      </c>
    </row>
    <row r="2549">
      <c r="A2549" s="55">
        <f>MIN(Inputs!$C$15,$A2548+IF(WEEKDAY($A2548,2)=5,3,1))</f>
        <v/>
      </c>
      <c r="B2549">
        <f>IF($A2549&gt;$A2548,1,0)</f>
        <v/>
      </c>
      <c r="C2549" s="56">
        <f>IF($B2549=0,"",IF(Inputs!$B$6="","",IF($AD2549=0,C2548,SUMIFS(Data!$B$10:$B$3209,Data!$A$10:$A$3209,"&gt;="&amp;$A2549,Data!$A$10:$A$3209,"&lt;"&amp;$A2549+1)/$AD2549)))</f>
        <v/>
      </c>
      <c r="D2549" s="56">
        <f>IF($B2549=0,"",IF(Inputs!$B$7="","",IF($AE2549=0,D2548,SUMIFS(Data!$F$10:$F$3209,Data!$E$10:$E$3209,"&gt;="&amp;$A2549,Data!$E$10:$E$3209,"&lt;"&amp;$A2549+1)/$AE2549)))</f>
        <v/>
      </c>
      <c r="E2549" s="56">
        <f>IF($B2549=0,"",IF(Inputs!$B$8="","",IF($AF2549=0,E2548,SUMIFS(Data!$J$10:$J$3209,Data!$I$10:$I$3209,"&gt;="&amp;$A2549,Data!$I$10:$I$3209,"&lt;"&amp;$A2549+1)/$AF2549)))</f>
        <v/>
      </c>
      <c r="F2549" s="56">
        <f>IF($B2549=0,"",IF(Inputs!$B$9="","",IF($AG2549=0,F2548,SUMIFS(Data!$N$10:$N$3209,Data!$M$10:$M$3209,"&gt;="&amp;$A2549,Data!$M$10:$M$3209,"&lt;"&amp;$A2549+1)/$AG2549)))</f>
        <v/>
      </c>
      <c r="G2549" s="56">
        <f>IF($B2549=0,"",IF(Inputs!$B$10="","",IF($AH2549=0,G2548,SUMIFS(Data!$R$10:$R$3209,Data!$Q$10:$Q$3209,"&gt;="&amp;$A2549,Data!$Q$10:$Q$3209,"&lt;"&amp;$A2549+1)/$AH2549)))</f>
        <v/>
      </c>
      <c r="I2549" s="54">
        <f>IF($B2549=0,NA(),IF($C2549="",NA(),IF(C$8="",NA(),IF(N(C$8)=0,NA(),IF(Inputs!$C$17="Rebased to 100",$C2549/C$8*100,$C2549)))))</f>
        <v/>
      </c>
      <c r="J2549" s="54">
        <f>IF($B2549=0,NA(),IF($D2549="",NA(),IF(D$8="",NA(),IF(N(D$8)=0,NA(),IF(Inputs!$C$17="Rebased to 100",$D2549/D$8*100,$D2549)))))</f>
        <v/>
      </c>
      <c r="K2549" s="54">
        <f>IF($B2549=0,NA(),IF($E2549="",NA(),IF(E$8="",NA(),IF(N(E$8)=0,NA(),IF(Inputs!$C$17="Rebased to 100",$E2549/E$8*100,$E2549)))))</f>
        <v/>
      </c>
      <c r="L2549" s="54">
        <f>IF($B2549=0,NA(),IF($F2549="",NA(),IF(F$8="",NA(),IF(N(F$8)=0,NA(),IF(Inputs!$C$17="Rebased to 100",$F2549/F$8*100,$F2549)))))</f>
        <v/>
      </c>
      <c r="M2549" s="54">
        <f>IF($B2549=0,NA(),IF($G2549="",NA(),IF(G$8="",NA(),IF(N(G$8)=0,NA(),IF(Inputs!$C$17="Rebased to 100",$G2549/G$8*100,$G2549)))))</f>
        <v/>
      </c>
      <c r="N2549" s="54">
        <f>IF($B2549=0,NA(),IF(Inputs!$C$18&lt;&gt;"Yes",NA(),IF(COUNT(I2549,J2549,K2549,L2549,M2549)=0,NA(),MIN(I2549,J2549,K2549,L2549,M2549))))</f>
        <v/>
      </c>
      <c r="O2549" s="54">
        <f>IF($B2549=0,NA(),IF(Inputs!$B$24&lt;&gt;"Yes",NA(),Inputs!$D$24*Inputs!$C$35))</f>
        <v/>
      </c>
      <c r="P2549" s="54">
        <f>IF($B2549=0,NA(),IF(Inputs!$B$25&lt;&gt;"Yes",NA(),Inputs!$D$25*Inputs!$C$35))</f>
        <v/>
      </c>
      <c r="Q2549" s="54">
        <f>IF($B2549=0,NA(),IF(Inputs!$B$26&lt;&gt;"Yes",NA(),Inputs!$D$26*Inputs!$C$35))</f>
        <v/>
      </c>
      <c r="R2549" s="54">
        <f>IF($B2549=0,NA(),IF(Inputs!$B$27&lt;&gt;"Yes",NA(),Inputs!$D$27*Inputs!$C$35))</f>
        <v/>
      </c>
      <c r="S2549" s="54">
        <f>IF($B2549=0,NA(),IF(Inputs!$B$28&lt;&gt;"Yes",NA(),Inputs!$D$28*Inputs!$C$35))</f>
        <v/>
      </c>
      <c r="T2549" s="54">
        <f>IF($B2549=0,NA(),IF(Inputs!$B$29&lt;&gt;"Yes",NA(),Inputs!$D$29*Inputs!$C$35))</f>
        <v/>
      </c>
      <c r="AD2549">
        <f>IF($B2549=0,0,IF(Inputs!$B$6="",0,COUNTIFS(Data!$A$10:$A$3209,"&gt;="&amp;$A2549,Data!$A$10:$A$3209,"&lt;"&amp;$A2549+1)))</f>
        <v/>
      </c>
      <c r="AE2549">
        <f>IF($B2549=0,0,IF(Inputs!$B$7="",0,COUNTIFS(Data!$E$10:$E$3209,"&gt;="&amp;$A2549,Data!$E$10:$E$3209,"&lt;"&amp;$A2549+1)))</f>
        <v/>
      </c>
      <c r="AF2549">
        <f>IF($B2549=0,0,IF(Inputs!$B$8="",0,COUNTIFS(Data!$I$10:$I$3209,"&gt;="&amp;$A2549,Data!$I$10:$I$3209,"&lt;"&amp;$A2549+1)))</f>
        <v/>
      </c>
      <c r="AG2549">
        <f>IF($B2549=0,0,IF(Inputs!$B$9="",0,COUNTIFS(Data!$M$10:$M$3209,"&gt;="&amp;$A2549,Data!$M$10:$M$3209,"&lt;"&amp;$A2549+1)))</f>
        <v/>
      </c>
      <c r="AH2549">
        <f>IF($B2549=0,0,IF(Inputs!$B$10="",0,COUNTIFS(Data!$Q$10:$Q$3209,"&gt;="&amp;$A2549,Data!$Q$10:$Q$3209,"&lt;"&amp;$A2549+1)))</f>
        <v/>
      </c>
    </row>
    <row r="2550">
      <c r="A2550" s="55">
        <f>MIN(Inputs!$C$15,$A2549+IF(WEEKDAY($A2549,2)=5,3,1))</f>
        <v/>
      </c>
      <c r="B2550">
        <f>IF($A2550&gt;$A2549,1,0)</f>
        <v/>
      </c>
      <c r="C2550" s="56">
        <f>IF($B2550=0,"",IF(Inputs!$B$6="","",IF($AD2550=0,C2549,SUMIFS(Data!$B$10:$B$3209,Data!$A$10:$A$3209,"&gt;="&amp;$A2550,Data!$A$10:$A$3209,"&lt;"&amp;$A2550+1)/$AD2550)))</f>
        <v/>
      </c>
      <c r="D2550" s="56">
        <f>IF($B2550=0,"",IF(Inputs!$B$7="","",IF($AE2550=0,D2549,SUMIFS(Data!$F$10:$F$3209,Data!$E$10:$E$3209,"&gt;="&amp;$A2550,Data!$E$10:$E$3209,"&lt;"&amp;$A2550+1)/$AE2550)))</f>
        <v/>
      </c>
      <c r="E2550" s="56">
        <f>IF($B2550=0,"",IF(Inputs!$B$8="","",IF($AF2550=0,E2549,SUMIFS(Data!$J$10:$J$3209,Data!$I$10:$I$3209,"&gt;="&amp;$A2550,Data!$I$10:$I$3209,"&lt;"&amp;$A2550+1)/$AF2550)))</f>
        <v/>
      </c>
      <c r="F2550" s="56">
        <f>IF($B2550=0,"",IF(Inputs!$B$9="","",IF($AG2550=0,F2549,SUMIFS(Data!$N$10:$N$3209,Data!$M$10:$M$3209,"&gt;="&amp;$A2550,Data!$M$10:$M$3209,"&lt;"&amp;$A2550+1)/$AG2550)))</f>
        <v/>
      </c>
      <c r="G2550" s="56">
        <f>IF($B2550=0,"",IF(Inputs!$B$10="","",IF($AH2550=0,G2549,SUMIFS(Data!$R$10:$R$3209,Data!$Q$10:$Q$3209,"&gt;="&amp;$A2550,Data!$Q$10:$Q$3209,"&lt;"&amp;$A2550+1)/$AH2550)))</f>
        <v/>
      </c>
      <c r="I2550" s="54">
        <f>IF($B2550=0,NA(),IF($C2550="",NA(),IF(C$8="",NA(),IF(N(C$8)=0,NA(),IF(Inputs!$C$17="Rebased to 100",$C2550/C$8*100,$C2550)))))</f>
        <v/>
      </c>
      <c r="J2550" s="54">
        <f>IF($B2550=0,NA(),IF($D2550="",NA(),IF(D$8="",NA(),IF(N(D$8)=0,NA(),IF(Inputs!$C$17="Rebased to 100",$D2550/D$8*100,$D2550)))))</f>
        <v/>
      </c>
      <c r="K2550" s="54">
        <f>IF($B2550=0,NA(),IF($E2550="",NA(),IF(E$8="",NA(),IF(N(E$8)=0,NA(),IF(Inputs!$C$17="Rebased to 100",$E2550/E$8*100,$E2550)))))</f>
        <v/>
      </c>
      <c r="L2550" s="54">
        <f>IF($B2550=0,NA(),IF($F2550="",NA(),IF(F$8="",NA(),IF(N(F$8)=0,NA(),IF(Inputs!$C$17="Rebased to 100",$F2550/F$8*100,$F2550)))))</f>
        <v/>
      </c>
      <c r="M2550" s="54">
        <f>IF($B2550=0,NA(),IF($G2550="",NA(),IF(G$8="",NA(),IF(N(G$8)=0,NA(),IF(Inputs!$C$17="Rebased to 100",$G2550/G$8*100,$G2550)))))</f>
        <v/>
      </c>
      <c r="N2550" s="54">
        <f>IF($B2550=0,NA(),IF(Inputs!$C$18&lt;&gt;"Yes",NA(),IF(COUNT(I2550,J2550,K2550,L2550,M2550)=0,NA(),MIN(I2550,J2550,K2550,L2550,M2550))))</f>
        <v/>
      </c>
      <c r="O2550" s="54">
        <f>IF($B2550=0,NA(),IF(Inputs!$B$24&lt;&gt;"Yes",NA(),Inputs!$D$24*Inputs!$C$35))</f>
        <v/>
      </c>
      <c r="P2550" s="54">
        <f>IF($B2550=0,NA(),IF(Inputs!$B$25&lt;&gt;"Yes",NA(),Inputs!$D$25*Inputs!$C$35))</f>
        <v/>
      </c>
      <c r="Q2550" s="54">
        <f>IF($B2550=0,NA(),IF(Inputs!$B$26&lt;&gt;"Yes",NA(),Inputs!$D$26*Inputs!$C$35))</f>
        <v/>
      </c>
      <c r="R2550" s="54">
        <f>IF($B2550=0,NA(),IF(Inputs!$B$27&lt;&gt;"Yes",NA(),Inputs!$D$27*Inputs!$C$35))</f>
        <v/>
      </c>
      <c r="S2550" s="54">
        <f>IF($B2550=0,NA(),IF(Inputs!$B$28&lt;&gt;"Yes",NA(),Inputs!$D$28*Inputs!$C$35))</f>
        <v/>
      </c>
      <c r="T2550" s="54">
        <f>IF($B2550=0,NA(),IF(Inputs!$B$29&lt;&gt;"Yes",NA(),Inputs!$D$29*Inputs!$C$35))</f>
        <v/>
      </c>
      <c r="AD2550">
        <f>IF($B2550=0,0,IF(Inputs!$B$6="",0,COUNTIFS(Data!$A$10:$A$3209,"&gt;="&amp;$A2550,Data!$A$10:$A$3209,"&lt;"&amp;$A2550+1)))</f>
        <v/>
      </c>
      <c r="AE2550">
        <f>IF($B2550=0,0,IF(Inputs!$B$7="",0,COUNTIFS(Data!$E$10:$E$3209,"&gt;="&amp;$A2550,Data!$E$10:$E$3209,"&lt;"&amp;$A2550+1)))</f>
        <v/>
      </c>
      <c r="AF2550">
        <f>IF($B2550=0,0,IF(Inputs!$B$8="",0,COUNTIFS(Data!$I$10:$I$3209,"&gt;="&amp;$A2550,Data!$I$10:$I$3209,"&lt;"&amp;$A2550+1)))</f>
        <v/>
      </c>
      <c r="AG2550">
        <f>IF($B2550=0,0,IF(Inputs!$B$9="",0,COUNTIFS(Data!$M$10:$M$3209,"&gt;="&amp;$A2550,Data!$M$10:$M$3209,"&lt;"&amp;$A2550+1)))</f>
        <v/>
      </c>
      <c r="AH2550">
        <f>IF($B2550=0,0,IF(Inputs!$B$10="",0,COUNTIFS(Data!$Q$10:$Q$3209,"&gt;="&amp;$A2550,Data!$Q$10:$Q$3209,"&lt;"&amp;$A2550+1)))</f>
        <v/>
      </c>
    </row>
    <row r="2551">
      <c r="A2551" s="55">
        <f>MIN(Inputs!$C$15,$A2550+IF(WEEKDAY($A2550,2)=5,3,1))</f>
        <v/>
      </c>
      <c r="B2551">
        <f>IF($A2551&gt;$A2550,1,0)</f>
        <v/>
      </c>
      <c r="C2551" s="56">
        <f>IF($B2551=0,"",IF(Inputs!$B$6="","",IF($AD2551=0,C2550,SUMIFS(Data!$B$10:$B$3209,Data!$A$10:$A$3209,"&gt;="&amp;$A2551,Data!$A$10:$A$3209,"&lt;"&amp;$A2551+1)/$AD2551)))</f>
        <v/>
      </c>
      <c r="D2551" s="56">
        <f>IF($B2551=0,"",IF(Inputs!$B$7="","",IF($AE2551=0,D2550,SUMIFS(Data!$F$10:$F$3209,Data!$E$10:$E$3209,"&gt;="&amp;$A2551,Data!$E$10:$E$3209,"&lt;"&amp;$A2551+1)/$AE2551)))</f>
        <v/>
      </c>
      <c r="E2551" s="56">
        <f>IF($B2551=0,"",IF(Inputs!$B$8="","",IF($AF2551=0,E2550,SUMIFS(Data!$J$10:$J$3209,Data!$I$10:$I$3209,"&gt;="&amp;$A2551,Data!$I$10:$I$3209,"&lt;"&amp;$A2551+1)/$AF2551)))</f>
        <v/>
      </c>
      <c r="F2551" s="56">
        <f>IF($B2551=0,"",IF(Inputs!$B$9="","",IF($AG2551=0,F2550,SUMIFS(Data!$N$10:$N$3209,Data!$M$10:$M$3209,"&gt;="&amp;$A2551,Data!$M$10:$M$3209,"&lt;"&amp;$A2551+1)/$AG2551)))</f>
        <v/>
      </c>
      <c r="G2551" s="56">
        <f>IF($B2551=0,"",IF(Inputs!$B$10="","",IF($AH2551=0,G2550,SUMIFS(Data!$R$10:$R$3209,Data!$Q$10:$Q$3209,"&gt;="&amp;$A2551,Data!$Q$10:$Q$3209,"&lt;"&amp;$A2551+1)/$AH2551)))</f>
        <v/>
      </c>
      <c r="I2551" s="54">
        <f>IF($B2551=0,NA(),IF($C2551="",NA(),IF(C$8="",NA(),IF(N(C$8)=0,NA(),IF(Inputs!$C$17="Rebased to 100",$C2551/C$8*100,$C2551)))))</f>
        <v/>
      </c>
      <c r="J2551" s="54">
        <f>IF($B2551=0,NA(),IF($D2551="",NA(),IF(D$8="",NA(),IF(N(D$8)=0,NA(),IF(Inputs!$C$17="Rebased to 100",$D2551/D$8*100,$D2551)))))</f>
        <v/>
      </c>
      <c r="K2551" s="54">
        <f>IF($B2551=0,NA(),IF($E2551="",NA(),IF(E$8="",NA(),IF(N(E$8)=0,NA(),IF(Inputs!$C$17="Rebased to 100",$E2551/E$8*100,$E2551)))))</f>
        <v/>
      </c>
      <c r="L2551" s="54">
        <f>IF($B2551=0,NA(),IF($F2551="",NA(),IF(F$8="",NA(),IF(N(F$8)=0,NA(),IF(Inputs!$C$17="Rebased to 100",$F2551/F$8*100,$F2551)))))</f>
        <v/>
      </c>
      <c r="M2551" s="54">
        <f>IF($B2551=0,NA(),IF($G2551="",NA(),IF(G$8="",NA(),IF(N(G$8)=0,NA(),IF(Inputs!$C$17="Rebased to 100",$G2551/G$8*100,$G2551)))))</f>
        <v/>
      </c>
      <c r="N2551" s="54">
        <f>IF($B2551=0,NA(),IF(Inputs!$C$18&lt;&gt;"Yes",NA(),IF(COUNT(I2551,J2551,K2551,L2551,M2551)=0,NA(),MIN(I2551,J2551,K2551,L2551,M2551))))</f>
        <v/>
      </c>
      <c r="O2551" s="54">
        <f>IF($B2551=0,NA(),IF(Inputs!$B$24&lt;&gt;"Yes",NA(),Inputs!$D$24*Inputs!$C$35))</f>
        <v/>
      </c>
      <c r="P2551" s="54">
        <f>IF($B2551=0,NA(),IF(Inputs!$B$25&lt;&gt;"Yes",NA(),Inputs!$D$25*Inputs!$C$35))</f>
        <v/>
      </c>
      <c r="Q2551" s="54">
        <f>IF($B2551=0,NA(),IF(Inputs!$B$26&lt;&gt;"Yes",NA(),Inputs!$D$26*Inputs!$C$35))</f>
        <v/>
      </c>
      <c r="R2551" s="54">
        <f>IF($B2551=0,NA(),IF(Inputs!$B$27&lt;&gt;"Yes",NA(),Inputs!$D$27*Inputs!$C$35))</f>
        <v/>
      </c>
      <c r="S2551" s="54">
        <f>IF($B2551=0,NA(),IF(Inputs!$B$28&lt;&gt;"Yes",NA(),Inputs!$D$28*Inputs!$C$35))</f>
        <v/>
      </c>
      <c r="T2551" s="54">
        <f>IF($B2551=0,NA(),IF(Inputs!$B$29&lt;&gt;"Yes",NA(),Inputs!$D$29*Inputs!$C$35))</f>
        <v/>
      </c>
      <c r="AD2551">
        <f>IF($B2551=0,0,IF(Inputs!$B$6="",0,COUNTIFS(Data!$A$10:$A$3209,"&gt;="&amp;$A2551,Data!$A$10:$A$3209,"&lt;"&amp;$A2551+1)))</f>
        <v/>
      </c>
      <c r="AE2551">
        <f>IF($B2551=0,0,IF(Inputs!$B$7="",0,COUNTIFS(Data!$E$10:$E$3209,"&gt;="&amp;$A2551,Data!$E$10:$E$3209,"&lt;"&amp;$A2551+1)))</f>
        <v/>
      </c>
      <c r="AF2551">
        <f>IF($B2551=0,0,IF(Inputs!$B$8="",0,COUNTIFS(Data!$I$10:$I$3209,"&gt;="&amp;$A2551,Data!$I$10:$I$3209,"&lt;"&amp;$A2551+1)))</f>
        <v/>
      </c>
      <c r="AG2551">
        <f>IF($B2551=0,0,IF(Inputs!$B$9="",0,COUNTIFS(Data!$M$10:$M$3209,"&gt;="&amp;$A2551,Data!$M$10:$M$3209,"&lt;"&amp;$A2551+1)))</f>
        <v/>
      </c>
      <c r="AH2551">
        <f>IF($B2551=0,0,IF(Inputs!$B$10="",0,COUNTIFS(Data!$Q$10:$Q$3209,"&gt;="&amp;$A2551,Data!$Q$10:$Q$3209,"&lt;"&amp;$A2551+1)))</f>
        <v/>
      </c>
    </row>
    <row r="2552">
      <c r="A2552" s="55">
        <f>MIN(Inputs!$C$15,$A2551+IF(WEEKDAY($A2551,2)=5,3,1))</f>
        <v/>
      </c>
      <c r="B2552">
        <f>IF($A2552&gt;$A2551,1,0)</f>
        <v/>
      </c>
      <c r="C2552" s="56">
        <f>IF($B2552=0,"",IF(Inputs!$B$6="","",IF($AD2552=0,C2551,SUMIFS(Data!$B$10:$B$3209,Data!$A$10:$A$3209,"&gt;="&amp;$A2552,Data!$A$10:$A$3209,"&lt;"&amp;$A2552+1)/$AD2552)))</f>
        <v/>
      </c>
      <c r="D2552" s="56">
        <f>IF($B2552=0,"",IF(Inputs!$B$7="","",IF($AE2552=0,D2551,SUMIFS(Data!$F$10:$F$3209,Data!$E$10:$E$3209,"&gt;="&amp;$A2552,Data!$E$10:$E$3209,"&lt;"&amp;$A2552+1)/$AE2552)))</f>
        <v/>
      </c>
      <c r="E2552" s="56">
        <f>IF($B2552=0,"",IF(Inputs!$B$8="","",IF($AF2552=0,E2551,SUMIFS(Data!$J$10:$J$3209,Data!$I$10:$I$3209,"&gt;="&amp;$A2552,Data!$I$10:$I$3209,"&lt;"&amp;$A2552+1)/$AF2552)))</f>
        <v/>
      </c>
      <c r="F2552" s="56">
        <f>IF($B2552=0,"",IF(Inputs!$B$9="","",IF($AG2552=0,F2551,SUMIFS(Data!$N$10:$N$3209,Data!$M$10:$M$3209,"&gt;="&amp;$A2552,Data!$M$10:$M$3209,"&lt;"&amp;$A2552+1)/$AG2552)))</f>
        <v/>
      </c>
      <c r="G2552" s="56">
        <f>IF($B2552=0,"",IF(Inputs!$B$10="","",IF($AH2552=0,G2551,SUMIFS(Data!$R$10:$R$3209,Data!$Q$10:$Q$3209,"&gt;="&amp;$A2552,Data!$Q$10:$Q$3209,"&lt;"&amp;$A2552+1)/$AH2552)))</f>
        <v/>
      </c>
      <c r="I2552" s="54">
        <f>IF($B2552=0,NA(),IF($C2552="",NA(),IF(C$8="",NA(),IF(N(C$8)=0,NA(),IF(Inputs!$C$17="Rebased to 100",$C2552/C$8*100,$C2552)))))</f>
        <v/>
      </c>
      <c r="J2552" s="54">
        <f>IF($B2552=0,NA(),IF($D2552="",NA(),IF(D$8="",NA(),IF(N(D$8)=0,NA(),IF(Inputs!$C$17="Rebased to 100",$D2552/D$8*100,$D2552)))))</f>
        <v/>
      </c>
      <c r="K2552" s="54">
        <f>IF($B2552=0,NA(),IF($E2552="",NA(),IF(E$8="",NA(),IF(N(E$8)=0,NA(),IF(Inputs!$C$17="Rebased to 100",$E2552/E$8*100,$E2552)))))</f>
        <v/>
      </c>
      <c r="L2552" s="54">
        <f>IF($B2552=0,NA(),IF($F2552="",NA(),IF(F$8="",NA(),IF(N(F$8)=0,NA(),IF(Inputs!$C$17="Rebased to 100",$F2552/F$8*100,$F2552)))))</f>
        <v/>
      </c>
      <c r="M2552" s="54">
        <f>IF($B2552=0,NA(),IF($G2552="",NA(),IF(G$8="",NA(),IF(N(G$8)=0,NA(),IF(Inputs!$C$17="Rebased to 100",$G2552/G$8*100,$G2552)))))</f>
        <v/>
      </c>
      <c r="N2552" s="54">
        <f>IF($B2552=0,NA(),IF(Inputs!$C$18&lt;&gt;"Yes",NA(),IF(COUNT(I2552,J2552,K2552,L2552,M2552)=0,NA(),MIN(I2552,J2552,K2552,L2552,M2552))))</f>
        <v/>
      </c>
      <c r="O2552" s="54">
        <f>IF($B2552=0,NA(),IF(Inputs!$B$24&lt;&gt;"Yes",NA(),Inputs!$D$24*Inputs!$C$35))</f>
        <v/>
      </c>
      <c r="P2552" s="54">
        <f>IF($B2552=0,NA(),IF(Inputs!$B$25&lt;&gt;"Yes",NA(),Inputs!$D$25*Inputs!$C$35))</f>
        <v/>
      </c>
      <c r="Q2552" s="54">
        <f>IF($B2552=0,NA(),IF(Inputs!$B$26&lt;&gt;"Yes",NA(),Inputs!$D$26*Inputs!$C$35))</f>
        <v/>
      </c>
      <c r="R2552" s="54">
        <f>IF($B2552=0,NA(),IF(Inputs!$B$27&lt;&gt;"Yes",NA(),Inputs!$D$27*Inputs!$C$35))</f>
        <v/>
      </c>
      <c r="S2552" s="54">
        <f>IF($B2552=0,NA(),IF(Inputs!$B$28&lt;&gt;"Yes",NA(),Inputs!$D$28*Inputs!$C$35))</f>
        <v/>
      </c>
      <c r="T2552" s="54">
        <f>IF($B2552=0,NA(),IF(Inputs!$B$29&lt;&gt;"Yes",NA(),Inputs!$D$29*Inputs!$C$35))</f>
        <v/>
      </c>
      <c r="AD2552">
        <f>IF($B2552=0,0,IF(Inputs!$B$6="",0,COUNTIFS(Data!$A$10:$A$3209,"&gt;="&amp;$A2552,Data!$A$10:$A$3209,"&lt;"&amp;$A2552+1)))</f>
        <v/>
      </c>
      <c r="AE2552">
        <f>IF($B2552=0,0,IF(Inputs!$B$7="",0,COUNTIFS(Data!$E$10:$E$3209,"&gt;="&amp;$A2552,Data!$E$10:$E$3209,"&lt;"&amp;$A2552+1)))</f>
        <v/>
      </c>
      <c r="AF2552">
        <f>IF($B2552=0,0,IF(Inputs!$B$8="",0,COUNTIFS(Data!$I$10:$I$3209,"&gt;="&amp;$A2552,Data!$I$10:$I$3209,"&lt;"&amp;$A2552+1)))</f>
        <v/>
      </c>
      <c r="AG2552">
        <f>IF($B2552=0,0,IF(Inputs!$B$9="",0,COUNTIFS(Data!$M$10:$M$3209,"&gt;="&amp;$A2552,Data!$M$10:$M$3209,"&lt;"&amp;$A2552+1)))</f>
        <v/>
      </c>
      <c r="AH2552">
        <f>IF($B2552=0,0,IF(Inputs!$B$10="",0,COUNTIFS(Data!$Q$10:$Q$3209,"&gt;="&amp;$A2552,Data!$Q$10:$Q$3209,"&lt;"&amp;$A2552+1)))</f>
        <v/>
      </c>
    </row>
    <row r="2553">
      <c r="A2553" s="55">
        <f>MIN(Inputs!$C$15,$A2552+IF(WEEKDAY($A2552,2)=5,3,1))</f>
        <v/>
      </c>
      <c r="B2553">
        <f>IF($A2553&gt;$A2552,1,0)</f>
        <v/>
      </c>
      <c r="C2553" s="56">
        <f>IF($B2553=0,"",IF(Inputs!$B$6="","",IF($AD2553=0,C2552,SUMIFS(Data!$B$10:$B$3209,Data!$A$10:$A$3209,"&gt;="&amp;$A2553,Data!$A$10:$A$3209,"&lt;"&amp;$A2553+1)/$AD2553)))</f>
        <v/>
      </c>
      <c r="D2553" s="56">
        <f>IF($B2553=0,"",IF(Inputs!$B$7="","",IF($AE2553=0,D2552,SUMIFS(Data!$F$10:$F$3209,Data!$E$10:$E$3209,"&gt;="&amp;$A2553,Data!$E$10:$E$3209,"&lt;"&amp;$A2553+1)/$AE2553)))</f>
        <v/>
      </c>
      <c r="E2553" s="56">
        <f>IF($B2553=0,"",IF(Inputs!$B$8="","",IF($AF2553=0,E2552,SUMIFS(Data!$J$10:$J$3209,Data!$I$10:$I$3209,"&gt;="&amp;$A2553,Data!$I$10:$I$3209,"&lt;"&amp;$A2553+1)/$AF2553)))</f>
        <v/>
      </c>
      <c r="F2553" s="56">
        <f>IF($B2553=0,"",IF(Inputs!$B$9="","",IF($AG2553=0,F2552,SUMIFS(Data!$N$10:$N$3209,Data!$M$10:$M$3209,"&gt;="&amp;$A2553,Data!$M$10:$M$3209,"&lt;"&amp;$A2553+1)/$AG2553)))</f>
        <v/>
      </c>
      <c r="G2553" s="56">
        <f>IF($B2553=0,"",IF(Inputs!$B$10="","",IF($AH2553=0,G2552,SUMIFS(Data!$R$10:$R$3209,Data!$Q$10:$Q$3209,"&gt;="&amp;$A2553,Data!$Q$10:$Q$3209,"&lt;"&amp;$A2553+1)/$AH2553)))</f>
        <v/>
      </c>
      <c r="I2553" s="54">
        <f>IF($B2553=0,NA(),IF($C2553="",NA(),IF(C$8="",NA(),IF(N(C$8)=0,NA(),IF(Inputs!$C$17="Rebased to 100",$C2553/C$8*100,$C2553)))))</f>
        <v/>
      </c>
      <c r="J2553" s="54">
        <f>IF($B2553=0,NA(),IF($D2553="",NA(),IF(D$8="",NA(),IF(N(D$8)=0,NA(),IF(Inputs!$C$17="Rebased to 100",$D2553/D$8*100,$D2553)))))</f>
        <v/>
      </c>
      <c r="K2553" s="54">
        <f>IF($B2553=0,NA(),IF($E2553="",NA(),IF(E$8="",NA(),IF(N(E$8)=0,NA(),IF(Inputs!$C$17="Rebased to 100",$E2553/E$8*100,$E2553)))))</f>
        <v/>
      </c>
      <c r="L2553" s="54">
        <f>IF($B2553=0,NA(),IF($F2553="",NA(),IF(F$8="",NA(),IF(N(F$8)=0,NA(),IF(Inputs!$C$17="Rebased to 100",$F2553/F$8*100,$F2553)))))</f>
        <v/>
      </c>
      <c r="M2553" s="54">
        <f>IF($B2553=0,NA(),IF($G2553="",NA(),IF(G$8="",NA(),IF(N(G$8)=0,NA(),IF(Inputs!$C$17="Rebased to 100",$G2553/G$8*100,$G2553)))))</f>
        <v/>
      </c>
      <c r="N2553" s="54">
        <f>IF($B2553=0,NA(),IF(Inputs!$C$18&lt;&gt;"Yes",NA(),IF(COUNT(I2553,J2553,K2553,L2553,M2553)=0,NA(),MIN(I2553,J2553,K2553,L2553,M2553))))</f>
        <v/>
      </c>
      <c r="O2553" s="54">
        <f>IF($B2553=0,NA(),IF(Inputs!$B$24&lt;&gt;"Yes",NA(),Inputs!$D$24*Inputs!$C$35))</f>
        <v/>
      </c>
      <c r="P2553" s="54">
        <f>IF($B2553=0,NA(),IF(Inputs!$B$25&lt;&gt;"Yes",NA(),Inputs!$D$25*Inputs!$C$35))</f>
        <v/>
      </c>
      <c r="Q2553" s="54">
        <f>IF($B2553=0,NA(),IF(Inputs!$B$26&lt;&gt;"Yes",NA(),Inputs!$D$26*Inputs!$C$35))</f>
        <v/>
      </c>
      <c r="R2553" s="54">
        <f>IF($B2553=0,NA(),IF(Inputs!$B$27&lt;&gt;"Yes",NA(),Inputs!$D$27*Inputs!$C$35))</f>
        <v/>
      </c>
      <c r="S2553" s="54">
        <f>IF($B2553=0,NA(),IF(Inputs!$B$28&lt;&gt;"Yes",NA(),Inputs!$D$28*Inputs!$C$35))</f>
        <v/>
      </c>
      <c r="T2553" s="54">
        <f>IF($B2553=0,NA(),IF(Inputs!$B$29&lt;&gt;"Yes",NA(),Inputs!$D$29*Inputs!$C$35))</f>
        <v/>
      </c>
      <c r="AD2553">
        <f>IF($B2553=0,0,IF(Inputs!$B$6="",0,COUNTIFS(Data!$A$10:$A$3209,"&gt;="&amp;$A2553,Data!$A$10:$A$3209,"&lt;"&amp;$A2553+1)))</f>
        <v/>
      </c>
      <c r="AE2553">
        <f>IF($B2553=0,0,IF(Inputs!$B$7="",0,COUNTIFS(Data!$E$10:$E$3209,"&gt;="&amp;$A2553,Data!$E$10:$E$3209,"&lt;"&amp;$A2553+1)))</f>
        <v/>
      </c>
      <c r="AF2553">
        <f>IF($B2553=0,0,IF(Inputs!$B$8="",0,COUNTIFS(Data!$I$10:$I$3209,"&gt;="&amp;$A2553,Data!$I$10:$I$3209,"&lt;"&amp;$A2553+1)))</f>
        <v/>
      </c>
      <c r="AG2553">
        <f>IF($B2553=0,0,IF(Inputs!$B$9="",0,COUNTIFS(Data!$M$10:$M$3209,"&gt;="&amp;$A2553,Data!$M$10:$M$3209,"&lt;"&amp;$A2553+1)))</f>
        <v/>
      </c>
      <c r="AH2553">
        <f>IF($B2553=0,0,IF(Inputs!$B$10="",0,COUNTIFS(Data!$Q$10:$Q$3209,"&gt;="&amp;$A2553,Data!$Q$10:$Q$3209,"&lt;"&amp;$A2553+1)))</f>
        <v/>
      </c>
    </row>
    <row r="2554">
      <c r="A2554" s="55">
        <f>MIN(Inputs!$C$15,$A2553+IF(WEEKDAY($A2553,2)=5,3,1))</f>
        <v/>
      </c>
      <c r="B2554">
        <f>IF($A2554&gt;$A2553,1,0)</f>
        <v/>
      </c>
      <c r="C2554" s="56">
        <f>IF($B2554=0,"",IF(Inputs!$B$6="","",IF($AD2554=0,C2553,SUMIFS(Data!$B$10:$B$3209,Data!$A$10:$A$3209,"&gt;="&amp;$A2554,Data!$A$10:$A$3209,"&lt;"&amp;$A2554+1)/$AD2554)))</f>
        <v/>
      </c>
      <c r="D2554" s="56">
        <f>IF($B2554=0,"",IF(Inputs!$B$7="","",IF($AE2554=0,D2553,SUMIFS(Data!$F$10:$F$3209,Data!$E$10:$E$3209,"&gt;="&amp;$A2554,Data!$E$10:$E$3209,"&lt;"&amp;$A2554+1)/$AE2554)))</f>
        <v/>
      </c>
      <c r="E2554" s="56">
        <f>IF($B2554=0,"",IF(Inputs!$B$8="","",IF($AF2554=0,E2553,SUMIFS(Data!$J$10:$J$3209,Data!$I$10:$I$3209,"&gt;="&amp;$A2554,Data!$I$10:$I$3209,"&lt;"&amp;$A2554+1)/$AF2554)))</f>
        <v/>
      </c>
      <c r="F2554" s="56">
        <f>IF($B2554=0,"",IF(Inputs!$B$9="","",IF($AG2554=0,F2553,SUMIFS(Data!$N$10:$N$3209,Data!$M$10:$M$3209,"&gt;="&amp;$A2554,Data!$M$10:$M$3209,"&lt;"&amp;$A2554+1)/$AG2554)))</f>
        <v/>
      </c>
      <c r="G2554" s="56">
        <f>IF($B2554=0,"",IF(Inputs!$B$10="","",IF($AH2554=0,G2553,SUMIFS(Data!$R$10:$R$3209,Data!$Q$10:$Q$3209,"&gt;="&amp;$A2554,Data!$Q$10:$Q$3209,"&lt;"&amp;$A2554+1)/$AH2554)))</f>
        <v/>
      </c>
      <c r="I2554" s="54">
        <f>IF($B2554=0,NA(),IF($C2554="",NA(),IF(C$8="",NA(),IF(N(C$8)=0,NA(),IF(Inputs!$C$17="Rebased to 100",$C2554/C$8*100,$C2554)))))</f>
        <v/>
      </c>
      <c r="J2554" s="54">
        <f>IF($B2554=0,NA(),IF($D2554="",NA(),IF(D$8="",NA(),IF(N(D$8)=0,NA(),IF(Inputs!$C$17="Rebased to 100",$D2554/D$8*100,$D2554)))))</f>
        <v/>
      </c>
      <c r="K2554" s="54">
        <f>IF($B2554=0,NA(),IF($E2554="",NA(),IF(E$8="",NA(),IF(N(E$8)=0,NA(),IF(Inputs!$C$17="Rebased to 100",$E2554/E$8*100,$E2554)))))</f>
        <v/>
      </c>
      <c r="L2554" s="54">
        <f>IF($B2554=0,NA(),IF($F2554="",NA(),IF(F$8="",NA(),IF(N(F$8)=0,NA(),IF(Inputs!$C$17="Rebased to 100",$F2554/F$8*100,$F2554)))))</f>
        <v/>
      </c>
      <c r="M2554" s="54">
        <f>IF($B2554=0,NA(),IF($G2554="",NA(),IF(G$8="",NA(),IF(N(G$8)=0,NA(),IF(Inputs!$C$17="Rebased to 100",$G2554/G$8*100,$G2554)))))</f>
        <v/>
      </c>
      <c r="N2554" s="54">
        <f>IF($B2554=0,NA(),IF(Inputs!$C$18&lt;&gt;"Yes",NA(),IF(COUNT(I2554,J2554,K2554,L2554,M2554)=0,NA(),MIN(I2554,J2554,K2554,L2554,M2554))))</f>
        <v/>
      </c>
      <c r="O2554" s="54">
        <f>IF($B2554=0,NA(),IF(Inputs!$B$24&lt;&gt;"Yes",NA(),Inputs!$D$24*Inputs!$C$35))</f>
        <v/>
      </c>
      <c r="P2554" s="54">
        <f>IF($B2554=0,NA(),IF(Inputs!$B$25&lt;&gt;"Yes",NA(),Inputs!$D$25*Inputs!$C$35))</f>
        <v/>
      </c>
      <c r="Q2554" s="54">
        <f>IF($B2554=0,NA(),IF(Inputs!$B$26&lt;&gt;"Yes",NA(),Inputs!$D$26*Inputs!$C$35))</f>
        <v/>
      </c>
      <c r="R2554" s="54">
        <f>IF($B2554=0,NA(),IF(Inputs!$B$27&lt;&gt;"Yes",NA(),Inputs!$D$27*Inputs!$C$35))</f>
        <v/>
      </c>
      <c r="S2554" s="54">
        <f>IF($B2554=0,NA(),IF(Inputs!$B$28&lt;&gt;"Yes",NA(),Inputs!$D$28*Inputs!$C$35))</f>
        <v/>
      </c>
      <c r="T2554" s="54">
        <f>IF($B2554=0,NA(),IF(Inputs!$B$29&lt;&gt;"Yes",NA(),Inputs!$D$29*Inputs!$C$35))</f>
        <v/>
      </c>
      <c r="AD2554">
        <f>IF($B2554=0,0,IF(Inputs!$B$6="",0,COUNTIFS(Data!$A$10:$A$3209,"&gt;="&amp;$A2554,Data!$A$10:$A$3209,"&lt;"&amp;$A2554+1)))</f>
        <v/>
      </c>
      <c r="AE2554">
        <f>IF($B2554=0,0,IF(Inputs!$B$7="",0,COUNTIFS(Data!$E$10:$E$3209,"&gt;="&amp;$A2554,Data!$E$10:$E$3209,"&lt;"&amp;$A2554+1)))</f>
        <v/>
      </c>
      <c r="AF2554">
        <f>IF($B2554=0,0,IF(Inputs!$B$8="",0,COUNTIFS(Data!$I$10:$I$3209,"&gt;="&amp;$A2554,Data!$I$10:$I$3209,"&lt;"&amp;$A2554+1)))</f>
        <v/>
      </c>
      <c r="AG2554">
        <f>IF($B2554=0,0,IF(Inputs!$B$9="",0,COUNTIFS(Data!$M$10:$M$3209,"&gt;="&amp;$A2554,Data!$M$10:$M$3209,"&lt;"&amp;$A2554+1)))</f>
        <v/>
      </c>
      <c r="AH2554">
        <f>IF($B2554=0,0,IF(Inputs!$B$10="",0,COUNTIFS(Data!$Q$10:$Q$3209,"&gt;="&amp;$A2554,Data!$Q$10:$Q$3209,"&lt;"&amp;$A2554+1)))</f>
        <v/>
      </c>
    </row>
    <row r="2555">
      <c r="A2555" s="55">
        <f>MIN(Inputs!$C$15,$A2554+IF(WEEKDAY($A2554,2)=5,3,1))</f>
        <v/>
      </c>
      <c r="B2555">
        <f>IF($A2555&gt;$A2554,1,0)</f>
        <v/>
      </c>
      <c r="C2555" s="56">
        <f>IF($B2555=0,"",IF(Inputs!$B$6="","",IF($AD2555=0,C2554,SUMIFS(Data!$B$10:$B$3209,Data!$A$10:$A$3209,"&gt;="&amp;$A2555,Data!$A$10:$A$3209,"&lt;"&amp;$A2555+1)/$AD2555)))</f>
        <v/>
      </c>
      <c r="D2555" s="56">
        <f>IF($B2555=0,"",IF(Inputs!$B$7="","",IF($AE2555=0,D2554,SUMIFS(Data!$F$10:$F$3209,Data!$E$10:$E$3209,"&gt;="&amp;$A2555,Data!$E$10:$E$3209,"&lt;"&amp;$A2555+1)/$AE2555)))</f>
        <v/>
      </c>
      <c r="E2555" s="56">
        <f>IF($B2555=0,"",IF(Inputs!$B$8="","",IF($AF2555=0,E2554,SUMIFS(Data!$J$10:$J$3209,Data!$I$10:$I$3209,"&gt;="&amp;$A2555,Data!$I$10:$I$3209,"&lt;"&amp;$A2555+1)/$AF2555)))</f>
        <v/>
      </c>
      <c r="F2555" s="56">
        <f>IF($B2555=0,"",IF(Inputs!$B$9="","",IF($AG2555=0,F2554,SUMIFS(Data!$N$10:$N$3209,Data!$M$10:$M$3209,"&gt;="&amp;$A2555,Data!$M$10:$M$3209,"&lt;"&amp;$A2555+1)/$AG2555)))</f>
        <v/>
      </c>
      <c r="G2555" s="56">
        <f>IF($B2555=0,"",IF(Inputs!$B$10="","",IF($AH2555=0,G2554,SUMIFS(Data!$R$10:$R$3209,Data!$Q$10:$Q$3209,"&gt;="&amp;$A2555,Data!$Q$10:$Q$3209,"&lt;"&amp;$A2555+1)/$AH2555)))</f>
        <v/>
      </c>
      <c r="I2555" s="54">
        <f>IF($B2555=0,NA(),IF($C2555="",NA(),IF(C$8="",NA(),IF(N(C$8)=0,NA(),IF(Inputs!$C$17="Rebased to 100",$C2555/C$8*100,$C2555)))))</f>
        <v/>
      </c>
      <c r="J2555" s="54">
        <f>IF($B2555=0,NA(),IF($D2555="",NA(),IF(D$8="",NA(),IF(N(D$8)=0,NA(),IF(Inputs!$C$17="Rebased to 100",$D2555/D$8*100,$D2555)))))</f>
        <v/>
      </c>
      <c r="K2555" s="54">
        <f>IF($B2555=0,NA(),IF($E2555="",NA(),IF(E$8="",NA(),IF(N(E$8)=0,NA(),IF(Inputs!$C$17="Rebased to 100",$E2555/E$8*100,$E2555)))))</f>
        <v/>
      </c>
      <c r="L2555" s="54">
        <f>IF($B2555=0,NA(),IF($F2555="",NA(),IF(F$8="",NA(),IF(N(F$8)=0,NA(),IF(Inputs!$C$17="Rebased to 100",$F2555/F$8*100,$F2555)))))</f>
        <v/>
      </c>
      <c r="M2555" s="54">
        <f>IF($B2555=0,NA(),IF($G2555="",NA(),IF(G$8="",NA(),IF(N(G$8)=0,NA(),IF(Inputs!$C$17="Rebased to 100",$G2555/G$8*100,$G2555)))))</f>
        <v/>
      </c>
      <c r="N2555" s="54">
        <f>IF($B2555=0,NA(),IF(Inputs!$C$18&lt;&gt;"Yes",NA(),IF(COUNT(I2555,J2555,K2555,L2555,M2555)=0,NA(),MIN(I2555,J2555,K2555,L2555,M2555))))</f>
        <v/>
      </c>
      <c r="O2555" s="54">
        <f>IF($B2555=0,NA(),IF(Inputs!$B$24&lt;&gt;"Yes",NA(),Inputs!$D$24*Inputs!$C$35))</f>
        <v/>
      </c>
      <c r="P2555" s="54">
        <f>IF($B2555=0,NA(),IF(Inputs!$B$25&lt;&gt;"Yes",NA(),Inputs!$D$25*Inputs!$C$35))</f>
        <v/>
      </c>
      <c r="Q2555" s="54">
        <f>IF($B2555=0,NA(),IF(Inputs!$B$26&lt;&gt;"Yes",NA(),Inputs!$D$26*Inputs!$C$35))</f>
        <v/>
      </c>
      <c r="R2555" s="54">
        <f>IF($B2555=0,NA(),IF(Inputs!$B$27&lt;&gt;"Yes",NA(),Inputs!$D$27*Inputs!$C$35))</f>
        <v/>
      </c>
      <c r="S2555" s="54">
        <f>IF($B2555=0,NA(),IF(Inputs!$B$28&lt;&gt;"Yes",NA(),Inputs!$D$28*Inputs!$C$35))</f>
        <v/>
      </c>
      <c r="T2555" s="54">
        <f>IF($B2555=0,NA(),IF(Inputs!$B$29&lt;&gt;"Yes",NA(),Inputs!$D$29*Inputs!$C$35))</f>
        <v/>
      </c>
      <c r="AD2555">
        <f>IF($B2555=0,0,IF(Inputs!$B$6="",0,COUNTIFS(Data!$A$10:$A$3209,"&gt;="&amp;$A2555,Data!$A$10:$A$3209,"&lt;"&amp;$A2555+1)))</f>
        <v/>
      </c>
      <c r="AE2555">
        <f>IF($B2555=0,0,IF(Inputs!$B$7="",0,COUNTIFS(Data!$E$10:$E$3209,"&gt;="&amp;$A2555,Data!$E$10:$E$3209,"&lt;"&amp;$A2555+1)))</f>
        <v/>
      </c>
      <c r="AF2555">
        <f>IF($B2555=0,0,IF(Inputs!$B$8="",0,COUNTIFS(Data!$I$10:$I$3209,"&gt;="&amp;$A2555,Data!$I$10:$I$3209,"&lt;"&amp;$A2555+1)))</f>
        <v/>
      </c>
      <c r="AG2555">
        <f>IF($B2555=0,0,IF(Inputs!$B$9="",0,COUNTIFS(Data!$M$10:$M$3209,"&gt;="&amp;$A2555,Data!$M$10:$M$3209,"&lt;"&amp;$A2555+1)))</f>
        <v/>
      </c>
      <c r="AH2555">
        <f>IF($B2555=0,0,IF(Inputs!$B$10="",0,COUNTIFS(Data!$Q$10:$Q$3209,"&gt;="&amp;$A2555,Data!$Q$10:$Q$3209,"&lt;"&amp;$A2555+1)))</f>
        <v/>
      </c>
    </row>
    <row r="2556">
      <c r="A2556" s="55">
        <f>MIN(Inputs!$C$15,$A2555+IF(WEEKDAY($A2555,2)=5,3,1))</f>
        <v/>
      </c>
      <c r="B2556">
        <f>IF($A2556&gt;$A2555,1,0)</f>
        <v/>
      </c>
      <c r="C2556" s="56">
        <f>IF($B2556=0,"",IF(Inputs!$B$6="","",IF($AD2556=0,C2555,SUMIFS(Data!$B$10:$B$3209,Data!$A$10:$A$3209,"&gt;="&amp;$A2556,Data!$A$10:$A$3209,"&lt;"&amp;$A2556+1)/$AD2556)))</f>
        <v/>
      </c>
      <c r="D2556" s="56">
        <f>IF($B2556=0,"",IF(Inputs!$B$7="","",IF($AE2556=0,D2555,SUMIFS(Data!$F$10:$F$3209,Data!$E$10:$E$3209,"&gt;="&amp;$A2556,Data!$E$10:$E$3209,"&lt;"&amp;$A2556+1)/$AE2556)))</f>
        <v/>
      </c>
      <c r="E2556" s="56">
        <f>IF($B2556=0,"",IF(Inputs!$B$8="","",IF($AF2556=0,E2555,SUMIFS(Data!$J$10:$J$3209,Data!$I$10:$I$3209,"&gt;="&amp;$A2556,Data!$I$10:$I$3209,"&lt;"&amp;$A2556+1)/$AF2556)))</f>
        <v/>
      </c>
      <c r="F2556" s="56">
        <f>IF($B2556=0,"",IF(Inputs!$B$9="","",IF($AG2556=0,F2555,SUMIFS(Data!$N$10:$N$3209,Data!$M$10:$M$3209,"&gt;="&amp;$A2556,Data!$M$10:$M$3209,"&lt;"&amp;$A2556+1)/$AG2556)))</f>
        <v/>
      </c>
      <c r="G2556" s="56">
        <f>IF($B2556=0,"",IF(Inputs!$B$10="","",IF($AH2556=0,G2555,SUMIFS(Data!$R$10:$R$3209,Data!$Q$10:$Q$3209,"&gt;="&amp;$A2556,Data!$Q$10:$Q$3209,"&lt;"&amp;$A2556+1)/$AH2556)))</f>
        <v/>
      </c>
      <c r="I2556" s="54">
        <f>IF($B2556=0,NA(),IF($C2556="",NA(),IF(C$8="",NA(),IF(N(C$8)=0,NA(),IF(Inputs!$C$17="Rebased to 100",$C2556/C$8*100,$C2556)))))</f>
        <v/>
      </c>
      <c r="J2556" s="54">
        <f>IF($B2556=0,NA(),IF($D2556="",NA(),IF(D$8="",NA(),IF(N(D$8)=0,NA(),IF(Inputs!$C$17="Rebased to 100",$D2556/D$8*100,$D2556)))))</f>
        <v/>
      </c>
      <c r="K2556" s="54">
        <f>IF($B2556=0,NA(),IF($E2556="",NA(),IF(E$8="",NA(),IF(N(E$8)=0,NA(),IF(Inputs!$C$17="Rebased to 100",$E2556/E$8*100,$E2556)))))</f>
        <v/>
      </c>
      <c r="L2556" s="54">
        <f>IF($B2556=0,NA(),IF($F2556="",NA(),IF(F$8="",NA(),IF(N(F$8)=0,NA(),IF(Inputs!$C$17="Rebased to 100",$F2556/F$8*100,$F2556)))))</f>
        <v/>
      </c>
      <c r="M2556" s="54">
        <f>IF($B2556=0,NA(),IF($G2556="",NA(),IF(G$8="",NA(),IF(N(G$8)=0,NA(),IF(Inputs!$C$17="Rebased to 100",$G2556/G$8*100,$G2556)))))</f>
        <v/>
      </c>
      <c r="N2556" s="54">
        <f>IF($B2556=0,NA(),IF(Inputs!$C$18&lt;&gt;"Yes",NA(),IF(COUNT(I2556,J2556,K2556,L2556,M2556)=0,NA(),MIN(I2556,J2556,K2556,L2556,M2556))))</f>
        <v/>
      </c>
      <c r="O2556" s="54">
        <f>IF($B2556=0,NA(),IF(Inputs!$B$24&lt;&gt;"Yes",NA(),Inputs!$D$24*Inputs!$C$35))</f>
        <v/>
      </c>
      <c r="P2556" s="54">
        <f>IF($B2556=0,NA(),IF(Inputs!$B$25&lt;&gt;"Yes",NA(),Inputs!$D$25*Inputs!$C$35))</f>
        <v/>
      </c>
      <c r="Q2556" s="54">
        <f>IF($B2556=0,NA(),IF(Inputs!$B$26&lt;&gt;"Yes",NA(),Inputs!$D$26*Inputs!$C$35))</f>
        <v/>
      </c>
      <c r="R2556" s="54">
        <f>IF($B2556=0,NA(),IF(Inputs!$B$27&lt;&gt;"Yes",NA(),Inputs!$D$27*Inputs!$C$35))</f>
        <v/>
      </c>
      <c r="S2556" s="54">
        <f>IF($B2556=0,NA(),IF(Inputs!$B$28&lt;&gt;"Yes",NA(),Inputs!$D$28*Inputs!$C$35))</f>
        <v/>
      </c>
      <c r="T2556" s="54">
        <f>IF($B2556=0,NA(),IF(Inputs!$B$29&lt;&gt;"Yes",NA(),Inputs!$D$29*Inputs!$C$35))</f>
        <v/>
      </c>
      <c r="AD2556">
        <f>IF($B2556=0,0,IF(Inputs!$B$6="",0,COUNTIFS(Data!$A$10:$A$3209,"&gt;="&amp;$A2556,Data!$A$10:$A$3209,"&lt;"&amp;$A2556+1)))</f>
        <v/>
      </c>
      <c r="AE2556">
        <f>IF($B2556=0,0,IF(Inputs!$B$7="",0,COUNTIFS(Data!$E$10:$E$3209,"&gt;="&amp;$A2556,Data!$E$10:$E$3209,"&lt;"&amp;$A2556+1)))</f>
        <v/>
      </c>
      <c r="AF2556">
        <f>IF($B2556=0,0,IF(Inputs!$B$8="",0,COUNTIFS(Data!$I$10:$I$3209,"&gt;="&amp;$A2556,Data!$I$10:$I$3209,"&lt;"&amp;$A2556+1)))</f>
        <v/>
      </c>
      <c r="AG2556">
        <f>IF($B2556=0,0,IF(Inputs!$B$9="",0,COUNTIFS(Data!$M$10:$M$3209,"&gt;="&amp;$A2556,Data!$M$10:$M$3209,"&lt;"&amp;$A2556+1)))</f>
        <v/>
      </c>
      <c r="AH2556">
        <f>IF($B2556=0,0,IF(Inputs!$B$10="",0,COUNTIFS(Data!$Q$10:$Q$3209,"&gt;="&amp;$A2556,Data!$Q$10:$Q$3209,"&lt;"&amp;$A2556+1)))</f>
        <v/>
      </c>
    </row>
    <row r="2557">
      <c r="A2557" s="55">
        <f>MIN(Inputs!$C$15,$A2556+IF(WEEKDAY($A2556,2)=5,3,1))</f>
        <v/>
      </c>
      <c r="B2557">
        <f>IF($A2557&gt;$A2556,1,0)</f>
        <v/>
      </c>
      <c r="C2557" s="56">
        <f>IF($B2557=0,"",IF(Inputs!$B$6="","",IF($AD2557=0,C2556,SUMIFS(Data!$B$10:$B$3209,Data!$A$10:$A$3209,"&gt;="&amp;$A2557,Data!$A$10:$A$3209,"&lt;"&amp;$A2557+1)/$AD2557)))</f>
        <v/>
      </c>
      <c r="D2557" s="56">
        <f>IF($B2557=0,"",IF(Inputs!$B$7="","",IF($AE2557=0,D2556,SUMIFS(Data!$F$10:$F$3209,Data!$E$10:$E$3209,"&gt;="&amp;$A2557,Data!$E$10:$E$3209,"&lt;"&amp;$A2557+1)/$AE2557)))</f>
        <v/>
      </c>
      <c r="E2557" s="56">
        <f>IF($B2557=0,"",IF(Inputs!$B$8="","",IF($AF2557=0,E2556,SUMIFS(Data!$J$10:$J$3209,Data!$I$10:$I$3209,"&gt;="&amp;$A2557,Data!$I$10:$I$3209,"&lt;"&amp;$A2557+1)/$AF2557)))</f>
        <v/>
      </c>
      <c r="F2557" s="56">
        <f>IF($B2557=0,"",IF(Inputs!$B$9="","",IF($AG2557=0,F2556,SUMIFS(Data!$N$10:$N$3209,Data!$M$10:$M$3209,"&gt;="&amp;$A2557,Data!$M$10:$M$3209,"&lt;"&amp;$A2557+1)/$AG2557)))</f>
        <v/>
      </c>
      <c r="G2557" s="56">
        <f>IF($B2557=0,"",IF(Inputs!$B$10="","",IF($AH2557=0,G2556,SUMIFS(Data!$R$10:$R$3209,Data!$Q$10:$Q$3209,"&gt;="&amp;$A2557,Data!$Q$10:$Q$3209,"&lt;"&amp;$A2557+1)/$AH2557)))</f>
        <v/>
      </c>
      <c r="I2557" s="54">
        <f>IF($B2557=0,NA(),IF($C2557="",NA(),IF(C$8="",NA(),IF(N(C$8)=0,NA(),IF(Inputs!$C$17="Rebased to 100",$C2557/C$8*100,$C2557)))))</f>
        <v/>
      </c>
      <c r="J2557" s="54">
        <f>IF($B2557=0,NA(),IF($D2557="",NA(),IF(D$8="",NA(),IF(N(D$8)=0,NA(),IF(Inputs!$C$17="Rebased to 100",$D2557/D$8*100,$D2557)))))</f>
        <v/>
      </c>
      <c r="K2557" s="54">
        <f>IF($B2557=0,NA(),IF($E2557="",NA(),IF(E$8="",NA(),IF(N(E$8)=0,NA(),IF(Inputs!$C$17="Rebased to 100",$E2557/E$8*100,$E2557)))))</f>
        <v/>
      </c>
      <c r="L2557" s="54">
        <f>IF($B2557=0,NA(),IF($F2557="",NA(),IF(F$8="",NA(),IF(N(F$8)=0,NA(),IF(Inputs!$C$17="Rebased to 100",$F2557/F$8*100,$F2557)))))</f>
        <v/>
      </c>
      <c r="M2557" s="54">
        <f>IF($B2557=0,NA(),IF($G2557="",NA(),IF(G$8="",NA(),IF(N(G$8)=0,NA(),IF(Inputs!$C$17="Rebased to 100",$G2557/G$8*100,$G2557)))))</f>
        <v/>
      </c>
      <c r="N2557" s="54">
        <f>IF($B2557=0,NA(),IF(Inputs!$C$18&lt;&gt;"Yes",NA(),IF(COUNT(I2557,J2557,K2557,L2557,M2557)=0,NA(),MIN(I2557,J2557,K2557,L2557,M2557))))</f>
        <v/>
      </c>
      <c r="O2557" s="54">
        <f>IF($B2557=0,NA(),IF(Inputs!$B$24&lt;&gt;"Yes",NA(),Inputs!$D$24*Inputs!$C$35))</f>
        <v/>
      </c>
      <c r="P2557" s="54">
        <f>IF($B2557=0,NA(),IF(Inputs!$B$25&lt;&gt;"Yes",NA(),Inputs!$D$25*Inputs!$C$35))</f>
        <v/>
      </c>
      <c r="Q2557" s="54">
        <f>IF($B2557=0,NA(),IF(Inputs!$B$26&lt;&gt;"Yes",NA(),Inputs!$D$26*Inputs!$C$35))</f>
        <v/>
      </c>
      <c r="R2557" s="54">
        <f>IF($B2557=0,NA(),IF(Inputs!$B$27&lt;&gt;"Yes",NA(),Inputs!$D$27*Inputs!$C$35))</f>
        <v/>
      </c>
      <c r="S2557" s="54">
        <f>IF($B2557=0,NA(),IF(Inputs!$B$28&lt;&gt;"Yes",NA(),Inputs!$D$28*Inputs!$C$35))</f>
        <v/>
      </c>
      <c r="T2557" s="54">
        <f>IF($B2557=0,NA(),IF(Inputs!$B$29&lt;&gt;"Yes",NA(),Inputs!$D$29*Inputs!$C$35))</f>
        <v/>
      </c>
      <c r="AD2557">
        <f>IF($B2557=0,0,IF(Inputs!$B$6="",0,COUNTIFS(Data!$A$10:$A$3209,"&gt;="&amp;$A2557,Data!$A$10:$A$3209,"&lt;"&amp;$A2557+1)))</f>
        <v/>
      </c>
      <c r="AE2557">
        <f>IF($B2557=0,0,IF(Inputs!$B$7="",0,COUNTIFS(Data!$E$10:$E$3209,"&gt;="&amp;$A2557,Data!$E$10:$E$3209,"&lt;"&amp;$A2557+1)))</f>
        <v/>
      </c>
      <c r="AF2557">
        <f>IF($B2557=0,0,IF(Inputs!$B$8="",0,COUNTIFS(Data!$I$10:$I$3209,"&gt;="&amp;$A2557,Data!$I$10:$I$3209,"&lt;"&amp;$A2557+1)))</f>
        <v/>
      </c>
      <c r="AG2557">
        <f>IF($B2557=0,0,IF(Inputs!$B$9="",0,COUNTIFS(Data!$M$10:$M$3209,"&gt;="&amp;$A2557,Data!$M$10:$M$3209,"&lt;"&amp;$A2557+1)))</f>
        <v/>
      </c>
      <c r="AH2557">
        <f>IF($B2557=0,0,IF(Inputs!$B$10="",0,COUNTIFS(Data!$Q$10:$Q$3209,"&gt;="&amp;$A2557,Data!$Q$10:$Q$3209,"&lt;"&amp;$A2557+1)))</f>
        <v/>
      </c>
    </row>
    <row r="2558">
      <c r="A2558" s="55">
        <f>MIN(Inputs!$C$15,$A2557+IF(WEEKDAY($A2557,2)=5,3,1))</f>
        <v/>
      </c>
      <c r="B2558">
        <f>IF($A2558&gt;$A2557,1,0)</f>
        <v/>
      </c>
      <c r="C2558" s="56">
        <f>IF($B2558=0,"",IF(Inputs!$B$6="","",IF($AD2558=0,C2557,SUMIFS(Data!$B$10:$B$3209,Data!$A$10:$A$3209,"&gt;="&amp;$A2558,Data!$A$10:$A$3209,"&lt;"&amp;$A2558+1)/$AD2558)))</f>
        <v/>
      </c>
      <c r="D2558" s="56">
        <f>IF($B2558=0,"",IF(Inputs!$B$7="","",IF($AE2558=0,D2557,SUMIFS(Data!$F$10:$F$3209,Data!$E$10:$E$3209,"&gt;="&amp;$A2558,Data!$E$10:$E$3209,"&lt;"&amp;$A2558+1)/$AE2558)))</f>
        <v/>
      </c>
      <c r="E2558" s="56">
        <f>IF($B2558=0,"",IF(Inputs!$B$8="","",IF($AF2558=0,E2557,SUMIFS(Data!$J$10:$J$3209,Data!$I$10:$I$3209,"&gt;="&amp;$A2558,Data!$I$10:$I$3209,"&lt;"&amp;$A2558+1)/$AF2558)))</f>
        <v/>
      </c>
      <c r="F2558" s="56">
        <f>IF($B2558=0,"",IF(Inputs!$B$9="","",IF($AG2558=0,F2557,SUMIFS(Data!$N$10:$N$3209,Data!$M$10:$M$3209,"&gt;="&amp;$A2558,Data!$M$10:$M$3209,"&lt;"&amp;$A2558+1)/$AG2558)))</f>
        <v/>
      </c>
      <c r="G2558" s="56">
        <f>IF($B2558=0,"",IF(Inputs!$B$10="","",IF($AH2558=0,G2557,SUMIFS(Data!$R$10:$R$3209,Data!$Q$10:$Q$3209,"&gt;="&amp;$A2558,Data!$Q$10:$Q$3209,"&lt;"&amp;$A2558+1)/$AH2558)))</f>
        <v/>
      </c>
      <c r="I2558" s="54">
        <f>IF($B2558=0,NA(),IF($C2558="",NA(),IF(C$8="",NA(),IF(N(C$8)=0,NA(),IF(Inputs!$C$17="Rebased to 100",$C2558/C$8*100,$C2558)))))</f>
        <v/>
      </c>
      <c r="J2558" s="54">
        <f>IF($B2558=0,NA(),IF($D2558="",NA(),IF(D$8="",NA(),IF(N(D$8)=0,NA(),IF(Inputs!$C$17="Rebased to 100",$D2558/D$8*100,$D2558)))))</f>
        <v/>
      </c>
      <c r="K2558" s="54">
        <f>IF($B2558=0,NA(),IF($E2558="",NA(),IF(E$8="",NA(),IF(N(E$8)=0,NA(),IF(Inputs!$C$17="Rebased to 100",$E2558/E$8*100,$E2558)))))</f>
        <v/>
      </c>
      <c r="L2558" s="54">
        <f>IF($B2558=0,NA(),IF($F2558="",NA(),IF(F$8="",NA(),IF(N(F$8)=0,NA(),IF(Inputs!$C$17="Rebased to 100",$F2558/F$8*100,$F2558)))))</f>
        <v/>
      </c>
      <c r="M2558" s="54">
        <f>IF($B2558=0,NA(),IF($G2558="",NA(),IF(G$8="",NA(),IF(N(G$8)=0,NA(),IF(Inputs!$C$17="Rebased to 100",$G2558/G$8*100,$G2558)))))</f>
        <v/>
      </c>
      <c r="N2558" s="54">
        <f>IF($B2558=0,NA(),IF(Inputs!$C$18&lt;&gt;"Yes",NA(),IF(COUNT(I2558,J2558,K2558,L2558,M2558)=0,NA(),MIN(I2558,J2558,K2558,L2558,M2558))))</f>
        <v/>
      </c>
      <c r="O2558" s="54">
        <f>IF($B2558=0,NA(),IF(Inputs!$B$24&lt;&gt;"Yes",NA(),Inputs!$D$24*Inputs!$C$35))</f>
        <v/>
      </c>
      <c r="P2558" s="54">
        <f>IF($B2558=0,NA(),IF(Inputs!$B$25&lt;&gt;"Yes",NA(),Inputs!$D$25*Inputs!$C$35))</f>
        <v/>
      </c>
      <c r="Q2558" s="54">
        <f>IF($B2558=0,NA(),IF(Inputs!$B$26&lt;&gt;"Yes",NA(),Inputs!$D$26*Inputs!$C$35))</f>
        <v/>
      </c>
      <c r="R2558" s="54">
        <f>IF($B2558=0,NA(),IF(Inputs!$B$27&lt;&gt;"Yes",NA(),Inputs!$D$27*Inputs!$C$35))</f>
        <v/>
      </c>
      <c r="S2558" s="54">
        <f>IF($B2558=0,NA(),IF(Inputs!$B$28&lt;&gt;"Yes",NA(),Inputs!$D$28*Inputs!$C$35))</f>
        <v/>
      </c>
      <c r="T2558" s="54">
        <f>IF($B2558=0,NA(),IF(Inputs!$B$29&lt;&gt;"Yes",NA(),Inputs!$D$29*Inputs!$C$35))</f>
        <v/>
      </c>
      <c r="AD2558">
        <f>IF($B2558=0,0,IF(Inputs!$B$6="",0,COUNTIFS(Data!$A$10:$A$3209,"&gt;="&amp;$A2558,Data!$A$10:$A$3209,"&lt;"&amp;$A2558+1)))</f>
        <v/>
      </c>
      <c r="AE2558">
        <f>IF($B2558=0,0,IF(Inputs!$B$7="",0,COUNTIFS(Data!$E$10:$E$3209,"&gt;="&amp;$A2558,Data!$E$10:$E$3209,"&lt;"&amp;$A2558+1)))</f>
        <v/>
      </c>
      <c r="AF2558">
        <f>IF($B2558=0,0,IF(Inputs!$B$8="",0,COUNTIFS(Data!$I$10:$I$3209,"&gt;="&amp;$A2558,Data!$I$10:$I$3209,"&lt;"&amp;$A2558+1)))</f>
        <v/>
      </c>
      <c r="AG2558">
        <f>IF($B2558=0,0,IF(Inputs!$B$9="",0,COUNTIFS(Data!$M$10:$M$3209,"&gt;="&amp;$A2558,Data!$M$10:$M$3209,"&lt;"&amp;$A2558+1)))</f>
        <v/>
      </c>
      <c r="AH2558">
        <f>IF($B2558=0,0,IF(Inputs!$B$10="",0,COUNTIFS(Data!$Q$10:$Q$3209,"&gt;="&amp;$A2558,Data!$Q$10:$Q$3209,"&lt;"&amp;$A2558+1)))</f>
        <v/>
      </c>
    </row>
    <row r="2559">
      <c r="A2559" s="55">
        <f>MIN(Inputs!$C$15,$A2558+IF(WEEKDAY($A2558,2)=5,3,1))</f>
        <v/>
      </c>
      <c r="B2559">
        <f>IF($A2559&gt;$A2558,1,0)</f>
        <v/>
      </c>
      <c r="C2559" s="56">
        <f>IF($B2559=0,"",IF(Inputs!$B$6="","",IF($AD2559=0,C2558,SUMIFS(Data!$B$10:$B$3209,Data!$A$10:$A$3209,"&gt;="&amp;$A2559,Data!$A$10:$A$3209,"&lt;"&amp;$A2559+1)/$AD2559)))</f>
        <v/>
      </c>
      <c r="D2559" s="56">
        <f>IF($B2559=0,"",IF(Inputs!$B$7="","",IF($AE2559=0,D2558,SUMIFS(Data!$F$10:$F$3209,Data!$E$10:$E$3209,"&gt;="&amp;$A2559,Data!$E$10:$E$3209,"&lt;"&amp;$A2559+1)/$AE2559)))</f>
        <v/>
      </c>
      <c r="E2559" s="56">
        <f>IF($B2559=0,"",IF(Inputs!$B$8="","",IF($AF2559=0,E2558,SUMIFS(Data!$J$10:$J$3209,Data!$I$10:$I$3209,"&gt;="&amp;$A2559,Data!$I$10:$I$3209,"&lt;"&amp;$A2559+1)/$AF2559)))</f>
        <v/>
      </c>
      <c r="F2559" s="56">
        <f>IF($B2559=0,"",IF(Inputs!$B$9="","",IF($AG2559=0,F2558,SUMIFS(Data!$N$10:$N$3209,Data!$M$10:$M$3209,"&gt;="&amp;$A2559,Data!$M$10:$M$3209,"&lt;"&amp;$A2559+1)/$AG2559)))</f>
        <v/>
      </c>
      <c r="G2559" s="56">
        <f>IF($B2559=0,"",IF(Inputs!$B$10="","",IF($AH2559=0,G2558,SUMIFS(Data!$R$10:$R$3209,Data!$Q$10:$Q$3209,"&gt;="&amp;$A2559,Data!$Q$10:$Q$3209,"&lt;"&amp;$A2559+1)/$AH2559)))</f>
        <v/>
      </c>
      <c r="I2559" s="54">
        <f>IF($B2559=0,NA(),IF($C2559="",NA(),IF(C$8="",NA(),IF(N(C$8)=0,NA(),IF(Inputs!$C$17="Rebased to 100",$C2559/C$8*100,$C2559)))))</f>
        <v/>
      </c>
      <c r="J2559" s="54">
        <f>IF($B2559=0,NA(),IF($D2559="",NA(),IF(D$8="",NA(),IF(N(D$8)=0,NA(),IF(Inputs!$C$17="Rebased to 100",$D2559/D$8*100,$D2559)))))</f>
        <v/>
      </c>
      <c r="K2559" s="54">
        <f>IF($B2559=0,NA(),IF($E2559="",NA(),IF(E$8="",NA(),IF(N(E$8)=0,NA(),IF(Inputs!$C$17="Rebased to 100",$E2559/E$8*100,$E2559)))))</f>
        <v/>
      </c>
      <c r="L2559" s="54">
        <f>IF($B2559=0,NA(),IF($F2559="",NA(),IF(F$8="",NA(),IF(N(F$8)=0,NA(),IF(Inputs!$C$17="Rebased to 100",$F2559/F$8*100,$F2559)))))</f>
        <v/>
      </c>
      <c r="M2559" s="54">
        <f>IF($B2559=0,NA(),IF($G2559="",NA(),IF(G$8="",NA(),IF(N(G$8)=0,NA(),IF(Inputs!$C$17="Rebased to 100",$G2559/G$8*100,$G2559)))))</f>
        <v/>
      </c>
      <c r="N2559" s="54">
        <f>IF($B2559=0,NA(),IF(Inputs!$C$18&lt;&gt;"Yes",NA(),IF(COUNT(I2559,J2559,K2559,L2559,M2559)=0,NA(),MIN(I2559,J2559,K2559,L2559,M2559))))</f>
        <v/>
      </c>
      <c r="O2559" s="54">
        <f>IF($B2559=0,NA(),IF(Inputs!$B$24&lt;&gt;"Yes",NA(),Inputs!$D$24*Inputs!$C$35))</f>
        <v/>
      </c>
      <c r="P2559" s="54">
        <f>IF($B2559=0,NA(),IF(Inputs!$B$25&lt;&gt;"Yes",NA(),Inputs!$D$25*Inputs!$C$35))</f>
        <v/>
      </c>
      <c r="Q2559" s="54">
        <f>IF($B2559=0,NA(),IF(Inputs!$B$26&lt;&gt;"Yes",NA(),Inputs!$D$26*Inputs!$C$35))</f>
        <v/>
      </c>
      <c r="R2559" s="54">
        <f>IF($B2559=0,NA(),IF(Inputs!$B$27&lt;&gt;"Yes",NA(),Inputs!$D$27*Inputs!$C$35))</f>
        <v/>
      </c>
      <c r="S2559" s="54">
        <f>IF($B2559=0,NA(),IF(Inputs!$B$28&lt;&gt;"Yes",NA(),Inputs!$D$28*Inputs!$C$35))</f>
        <v/>
      </c>
      <c r="T2559" s="54">
        <f>IF($B2559=0,NA(),IF(Inputs!$B$29&lt;&gt;"Yes",NA(),Inputs!$D$29*Inputs!$C$35))</f>
        <v/>
      </c>
      <c r="AD2559">
        <f>IF($B2559=0,0,IF(Inputs!$B$6="",0,COUNTIFS(Data!$A$10:$A$3209,"&gt;="&amp;$A2559,Data!$A$10:$A$3209,"&lt;"&amp;$A2559+1)))</f>
        <v/>
      </c>
      <c r="AE2559">
        <f>IF($B2559=0,0,IF(Inputs!$B$7="",0,COUNTIFS(Data!$E$10:$E$3209,"&gt;="&amp;$A2559,Data!$E$10:$E$3209,"&lt;"&amp;$A2559+1)))</f>
        <v/>
      </c>
      <c r="AF2559">
        <f>IF($B2559=0,0,IF(Inputs!$B$8="",0,COUNTIFS(Data!$I$10:$I$3209,"&gt;="&amp;$A2559,Data!$I$10:$I$3209,"&lt;"&amp;$A2559+1)))</f>
        <v/>
      </c>
      <c r="AG2559">
        <f>IF($B2559=0,0,IF(Inputs!$B$9="",0,COUNTIFS(Data!$M$10:$M$3209,"&gt;="&amp;$A2559,Data!$M$10:$M$3209,"&lt;"&amp;$A2559+1)))</f>
        <v/>
      </c>
      <c r="AH2559">
        <f>IF($B2559=0,0,IF(Inputs!$B$10="",0,COUNTIFS(Data!$Q$10:$Q$3209,"&gt;="&amp;$A2559,Data!$Q$10:$Q$3209,"&lt;"&amp;$A2559+1)))</f>
        <v/>
      </c>
    </row>
    <row r="2560">
      <c r="A2560" s="55">
        <f>MIN(Inputs!$C$15,$A2559+IF(WEEKDAY($A2559,2)=5,3,1))</f>
        <v/>
      </c>
      <c r="B2560">
        <f>IF($A2560&gt;$A2559,1,0)</f>
        <v/>
      </c>
      <c r="C2560" s="56">
        <f>IF($B2560=0,"",IF(Inputs!$B$6="","",IF($AD2560=0,C2559,SUMIFS(Data!$B$10:$B$3209,Data!$A$10:$A$3209,"&gt;="&amp;$A2560,Data!$A$10:$A$3209,"&lt;"&amp;$A2560+1)/$AD2560)))</f>
        <v/>
      </c>
      <c r="D2560" s="56">
        <f>IF($B2560=0,"",IF(Inputs!$B$7="","",IF($AE2560=0,D2559,SUMIFS(Data!$F$10:$F$3209,Data!$E$10:$E$3209,"&gt;="&amp;$A2560,Data!$E$10:$E$3209,"&lt;"&amp;$A2560+1)/$AE2560)))</f>
        <v/>
      </c>
      <c r="E2560" s="56">
        <f>IF($B2560=0,"",IF(Inputs!$B$8="","",IF($AF2560=0,E2559,SUMIFS(Data!$J$10:$J$3209,Data!$I$10:$I$3209,"&gt;="&amp;$A2560,Data!$I$10:$I$3209,"&lt;"&amp;$A2560+1)/$AF2560)))</f>
        <v/>
      </c>
      <c r="F2560" s="56">
        <f>IF($B2560=0,"",IF(Inputs!$B$9="","",IF($AG2560=0,F2559,SUMIFS(Data!$N$10:$N$3209,Data!$M$10:$M$3209,"&gt;="&amp;$A2560,Data!$M$10:$M$3209,"&lt;"&amp;$A2560+1)/$AG2560)))</f>
        <v/>
      </c>
      <c r="G2560" s="56">
        <f>IF($B2560=0,"",IF(Inputs!$B$10="","",IF($AH2560=0,G2559,SUMIFS(Data!$R$10:$R$3209,Data!$Q$10:$Q$3209,"&gt;="&amp;$A2560,Data!$Q$10:$Q$3209,"&lt;"&amp;$A2560+1)/$AH2560)))</f>
        <v/>
      </c>
      <c r="I2560" s="54">
        <f>IF($B2560=0,NA(),IF($C2560="",NA(),IF(C$8="",NA(),IF(N(C$8)=0,NA(),IF(Inputs!$C$17="Rebased to 100",$C2560/C$8*100,$C2560)))))</f>
        <v/>
      </c>
      <c r="J2560" s="54">
        <f>IF($B2560=0,NA(),IF($D2560="",NA(),IF(D$8="",NA(),IF(N(D$8)=0,NA(),IF(Inputs!$C$17="Rebased to 100",$D2560/D$8*100,$D2560)))))</f>
        <v/>
      </c>
      <c r="K2560" s="54">
        <f>IF($B2560=0,NA(),IF($E2560="",NA(),IF(E$8="",NA(),IF(N(E$8)=0,NA(),IF(Inputs!$C$17="Rebased to 100",$E2560/E$8*100,$E2560)))))</f>
        <v/>
      </c>
      <c r="L2560" s="54">
        <f>IF($B2560=0,NA(),IF($F2560="",NA(),IF(F$8="",NA(),IF(N(F$8)=0,NA(),IF(Inputs!$C$17="Rebased to 100",$F2560/F$8*100,$F2560)))))</f>
        <v/>
      </c>
      <c r="M2560" s="54">
        <f>IF($B2560=0,NA(),IF($G2560="",NA(),IF(G$8="",NA(),IF(N(G$8)=0,NA(),IF(Inputs!$C$17="Rebased to 100",$G2560/G$8*100,$G2560)))))</f>
        <v/>
      </c>
      <c r="N2560" s="54">
        <f>IF($B2560=0,NA(),IF(Inputs!$C$18&lt;&gt;"Yes",NA(),IF(COUNT(I2560,J2560,K2560,L2560,M2560)=0,NA(),MIN(I2560,J2560,K2560,L2560,M2560))))</f>
        <v/>
      </c>
      <c r="O2560" s="54">
        <f>IF($B2560=0,NA(),IF(Inputs!$B$24&lt;&gt;"Yes",NA(),Inputs!$D$24*Inputs!$C$35))</f>
        <v/>
      </c>
      <c r="P2560" s="54">
        <f>IF($B2560=0,NA(),IF(Inputs!$B$25&lt;&gt;"Yes",NA(),Inputs!$D$25*Inputs!$C$35))</f>
        <v/>
      </c>
      <c r="Q2560" s="54">
        <f>IF($B2560=0,NA(),IF(Inputs!$B$26&lt;&gt;"Yes",NA(),Inputs!$D$26*Inputs!$C$35))</f>
        <v/>
      </c>
      <c r="R2560" s="54">
        <f>IF($B2560=0,NA(),IF(Inputs!$B$27&lt;&gt;"Yes",NA(),Inputs!$D$27*Inputs!$C$35))</f>
        <v/>
      </c>
      <c r="S2560" s="54">
        <f>IF($B2560=0,NA(),IF(Inputs!$B$28&lt;&gt;"Yes",NA(),Inputs!$D$28*Inputs!$C$35))</f>
        <v/>
      </c>
      <c r="T2560" s="54">
        <f>IF($B2560=0,NA(),IF(Inputs!$B$29&lt;&gt;"Yes",NA(),Inputs!$D$29*Inputs!$C$35))</f>
        <v/>
      </c>
      <c r="AD2560">
        <f>IF($B2560=0,0,IF(Inputs!$B$6="",0,COUNTIFS(Data!$A$10:$A$3209,"&gt;="&amp;$A2560,Data!$A$10:$A$3209,"&lt;"&amp;$A2560+1)))</f>
        <v/>
      </c>
      <c r="AE2560">
        <f>IF($B2560=0,0,IF(Inputs!$B$7="",0,COUNTIFS(Data!$E$10:$E$3209,"&gt;="&amp;$A2560,Data!$E$10:$E$3209,"&lt;"&amp;$A2560+1)))</f>
        <v/>
      </c>
      <c r="AF2560">
        <f>IF($B2560=0,0,IF(Inputs!$B$8="",0,COUNTIFS(Data!$I$10:$I$3209,"&gt;="&amp;$A2560,Data!$I$10:$I$3209,"&lt;"&amp;$A2560+1)))</f>
        <v/>
      </c>
      <c r="AG2560">
        <f>IF($B2560=0,0,IF(Inputs!$B$9="",0,COUNTIFS(Data!$M$10:$M$3209,"&gt;="&amp;$A2560,Data!$M$10:$M$3209,"&lt;"&amp;$A2560+1)))</f>
        <v/>
      </c>
      <c r="AH2560">
        <f>IF($B2560=0,0,IF(Inputs!$B$10="",0,COUNTIFS(Data!$Q$10:$Q$3209,"&gt;="&amp;$A2560,Data!$Q$10:$Q$3209,"&lt;"&amp;$A2560+1)))</f>
        <v/>
      </c>
    </row>
    <row r="2561">
      <c r="A2561" s="55">
        <f>MIN(Inputs!$C$15,$A2560+IF(WEEKDAY($A2560,2)=5,3,1))</f>
        <v/>
      </c>
      <c r="B2561">
        <f>IF($A2561&gt;$A2560,1,0)</f>
        <v/>
      </c>
      <c r="C2561" s="56">
        <f>IF($B2561=0,"",IF(Inputs!$B$6="","",IF($AD2561=0,C2560,SUMIFS(Data!$B$10:$B$3209,Data!$A$10:$A$3209,"&gt;="&amp;$A2561,Data!$A$10:$A$3209,"&lt;"&amp;$A2561+1)/$AD2561)))</f>
        <v/>
      </c>
      <c r="D2561" s="56">
        <f>IF($B2561=0,"",IF(Inputs!$B$7="","",IF($AE2561=0,D2560,SUMIFS(Data!$F$10:$F$3209,Data!$E$10:$E$3209,"&gt;="&amp;$A2561,Data!$E$10:$E$3209,"&lt;"&amp;$A2561+1)/$AE2561)))</f>
        <v/>
      </c>
      <c r="E2561" s="56">
        <f>IF($B2561=0,"",IF(Inputs!$B$8="","",IF($AF2561=0,E2560,SUMIFS(Data!$J$10:$J$3209,Data!$I$10:$I$3209,"&gt;="&amp;$A2561,Data!$I$10:$I$3209,"&lt;"&amp;$A2561+1)/$AF2561)))</f>
        <v/>
      </c>
      <c r="F2561" s="56">
        <f>IF($B2561=0,"",IF(Inputs!$B$9="","",IF($AG2561=0,F2560,SUMIFS(Data!$N$10:$N$3209,Data!$M$10:$M$3209,"&gt;="&amp;$A2561,Data!$M$10:$M$3209,"&lt;"&amp;$A2561+1)/$AG2561)))</f>
        <v/>
      </c>
      <c r="G2561" s="56">
        <f>IF($B2561=0,"",IF(Inputs!$B$10="","",IF($AH2561=0,G2560,SUMIFS(Data!$R$10:$R$3209,Data!$Q$10:$Q$3209,"&gt;="&amp;$A2561,Data!$Q$10:$Q$3209,"&lt;"&amp;$A2561+1)/$AH2561)))</f>
        <v/>
      </c>
      <c r="I2561" s="54">
        <f>IF($B2561=0,NA(),IF($C2561="",NA(),IF(C$8="",NA(),IF(N(C$8)=0,NA(),IF(Inputs!$C$17="Rebased to 100",$C2561/C$8*100,$C2561)))))</f>
        <v/>
      </c>
      <c r="J2561" s="54">
        <f>IF($B2561=0,NA(),IF($D2561="",NA(),IF(D$8="",NA(),IF(N(D$8)=0,NA(),IF(Inputs!$C$17="Rebased to 100",$D2561/D$8*100,$D2561)))))</f>
        <v/>
      </c>
      <c r="K2561" s="54">
        <f>IF($B2561=0,NA(),IF($E2561="",NA(),IF(E$8="",NA(),IF(N(E$8)=0,NA(),IF(Inputs!$C$17="Rebased to 100",$E2561/E$8*100,$E2561)))))</f>
        <v/>
      </c>
      <c r="L2561" s="54">
        <f>IF($B2561=0,NA(),IF($F2561="",NA(),IF(F$8="",NA(),IF(N(F$8)=0,NA(),IF(Inputs!$C$17="Rebased to 100",$F2561/F$8*100,$F2561)))))</f>
        <v/>
      </c>
      <c r="M2561" s="54">
        <f>IF($B2561=0,NA(),IF($G2561="",NA(),IF(G$8="",NA(),IF(N(G$8)=0,NA(),IF(Inputs!$C$17="Rebased to 100",$G2561/G$8*100,$G2561)))))</f>
        <v/>
      </c>
      <c r="N2561" s="54">
        <f>IF($B2561=0,NA(),IF(Inputs!$C$18&lt;&gt;"Yes",NA(),IF(COUNT(I2561,J2561,K2561,L2561,M2561)=0,NA(),MIN(I2561,J2561,K2561,L2561,M2561))))</f>
        <v/>
      </c>
      <c r="O2561" s="54">
        <f>IF($B2561=0,NA(),IF(Inputs!$B$24&lt;&gt;"Yes",NA(),Inputs!$D$24*Inputs!$C$35))</f>
        <v/>
      </c>
      <c r="P2561" s="54">
        <f>IF($B2561=0,NA(),IF(Inputs!$B$25&lt;&gt;"Yes",NA(),Inputs!$D$25*Inputs!$C$35))</f>
        <v/>
      </c>
      <c r="Q2561" s="54">
        <f>IF($B2561=0,NA(),IF(Inputs!$B$26&lt;&gt;"Yes",NA(),Inputs!$D$26*Inputs!$C$35))</f>
        <v/>
      </c>
      <c r="R2561" s="54">
        <f>IF($B2561=0,NA(),IF(Inputs!$B$27&lt;&gt;"Yes",NA(),Inputs!$D$27*Inputs!$C$35))</f>
        <v/>
      </c>
      <c r="S2561" s="54">
        <f>IF($B2561=0,NA(),IF(Inputs!$B$28&lt;&gt;"Yes",NA(),Inputs!$D$28*Inputs!$C$35))</f>
        <v/>
      </c>
      <c r="T2561" s="54">
        <f>IF($B2561=0,NA(),IF(Inputs!$B$29&lt;&gt;"Yes",NA(),Inputs!$D$29*Inputs!$C$35))</f>
        <v/>
      </c>
      <c r="AD2561">
        <f>IF($B2561=0,0,IF(Inputs!$B$6="",0,COUNTIFS(Data!$A$10:$A$3209,"&gt;="&amp;$A2561,Data!$A$10:$A$3209,"&lt;"&amp;$A2561+1)))</f>
        <v/>
      </c>
      <c r="AE2561">
        <f>IF($B2561=0,0,IF(Inputs!$B$7="",0,COUNTIFS(Data!$E$10:$E$3209,"&gt;="&amp;$A2561,Data!$E$10:$E$3209,"&lt;"&amp;$A2561+1)))</f>
        <v/>
      </c>
      <c r="AF2561">
        <f>IF($B2561=0,0,IF(Inputs!$B$8="",0,COUNTIFS(Data!$I$10:$I$3209,"&gt;="&amp;$A2561,Data!$I$10:$I$3209,"&lt;"&amp;$A2561+1)))</f>
        <v/>
      </c>
      <c r="AG2561">
        <f>IF($B2561=0,0,IF(Inputs!$B$9="",0,COUNTIFS(Data!$M$10:$M$3209,"&gt;="&amp;$A2561,Data!$M$10:$M$3209,"&lt;"&amp;$A2561+1)))</f>
        <v/>
      </c>
      <c r="AH2561">
        <f>IF($B2561=0,0,IF(Inputs!$B$10="",0,COUNTIFS(Data!$Q$10:$Q$3209,"&gt;="&amp;$A2561,Data!$Q$10:$Q$3209,"&lt;"&amp;$A2561+1)))</f>
        <v/>
      </c>
    </row>
    <row r="2562">
      <c r="A2562" s="55">
        <f>MIN(Inputs!$C$15,$A2561+IF(WEEKDAY($A2561,2)=5,3,1))</f>
        <v/>
      </c>
      <c r="B2562">
        <f>IF($A2562&gt;$A2561,1,0)</f>
        <v/>
      </c>
      <c r="C2562" s="56">
        <f>IF($B2562=0,"",IF(Inputs!$B$6="","",IF($AD2562=0,C2561,SUMIFS(Data!$B$10:$B$3209,Data!$A$10:$A$3209,"&gt;="&amp;$A2562,Data!$A$10:$A$3209,"&lt;"&amp;$A2562+1)/$AD2562)))</f>
        <v/>
      </c>
      <c r="D2562" s="56">
        <f>IF($B2562=0,"",IF(Inputs!$B$7="","",IF($AE2562=0,D2561,SUMIFS(Data!$F$10:$F$3209,Data!$E$10:$E$3209,"&gt;="&amp;$A2562,Data!$E$10:$E$3209,"&lt;"&amp;$A2562+1)/$AE2562)))</f>
        <v/>
      </c>
      <c r="E2562" s="56">
        <f>IF($B2562=0,"",IF(Inputs!$B$8="","",IF($AF2562=0,E2561,SUMIFS(Data!$J$10:$J$3209,Data!$I$10:$I$3209,"&gt;="&amp;$A2562,Data!$I$10:$I$3209,"&lt;"&amp;$A2562+1)/$AF2562)))</f>
        <v/>
      </c>
      <c r="F2562" s="56">
        <f>IF($B2562=0,"",IF(Inputs!$B$9="","",IF($AG2562=0,F2561,SUMIFS(Data!$N$10:$N$3209,Data!$M$10:$M$3209,"&gt;="&amp;$A2562,Data!$M$10:$M$3209,"&lt;"&amp;$A2562+1)/$AG2562)))</f>
        <v/>
      </c>
      <c r="G2562" s="56">
        <f>IF($B2562=0,"",IF(Inputs!$B$10="","",IF($AH2562=0,G2561,SUMIFS(Data!$R$10:$R$3209,Data!$Q$10:$Q$3209,"&gt;="&amp;$A2562,Data!$Q$10:$Q$3209,"&lt;"&amp;$A2562+1)/$AH2562)))</f>
        <v/>
      </c>
      <c r="I2562" s="54">
        <f>IF($B2562=0,NA(),IF($C2562="",NA(),IF(C$8="",NA(),IF(N(C$8)=0,NA(),IF(Inputs!$C$17="Rebased to 100",$C2562/C$8*100,$C2562)))))</f>
        <v/>
      </c>
      <c r="J2562" s="54">
        <f>IF($B2562=0,NA(),IF($D2562="",NA(),IF(D$8="",NA(),IF(N(D$8)=0,NA(),IF(Inputs!$C$17="Rebased to 100",$D2562/D$8*100,$D2562)))))</f>
        <v/>
      </c>
      <c r="K2562" s="54">
        <f>IF($B2562=0,NA(),IF($E2562="",NA(),IF(E$8="",NA(),IF(N(E$8)=0,NA(),IF(Inputs!$C$17="Rebased to 100",$E2562/E$8*100,$E2562)))))</f>
        <v/>
      </c>
      <c r="L2562" s="54">
        <f>IF($B2562=0,NA(),IF($F2562="",NA(),IF(F$8="",NA(),IF(N(F$8)=0,NA(),IF(Inputs!$C$17="Rebased to 100",$F2562/F$8*100,$F2562)))))</f>
        <v/>
      </c>
      <c r="M2562" s="54">
        <f>IF($B2562=0,NA(),IF($G2562="",NA(),IF(G$8="",NA(),IF(N(G$8)=0,NA(),IF(Inputs!$C$17="Rebased to 100",$G2562/G$8*100,$G2562)))))</f>
        <v/>
      </c>
      <c r="N2562" s="54">
        <f>IF($B2562=0,NA(),IF(Inputs!$C$18&lt;&gt;"Yes",NA(),IF(COUNT(I2562,J2562,K2562,L2562,M2562)=0,NA(),MIN(I2562,J2562,K2562,L2562,M2562))))</f>
        <v/>
      </c>
      <c r="O2562" s="54">
        <f>IF($B2562=0,NA(),IF(Inputs!$B$24&lt;&gt;"Yes",NA(),Inputs!$D$24*Inputs!$C$35))</f>
        <v/>
      </c>
      <c r="P2562" s="54">
        <f>IF($B2562=0,NA(),IF(Inputs!$B$25&lt;&gt;"Yes",NA(),Inputs!$D$25*Inputs!$C$35))</f>
        <v/>
      </c>
      <c r="Q2562" s="54">
        <f>IF($B2562=0,NA(),IF(Inputs!$B$26&lt;&gt;"Yes",NA(),Inputs!$D$26*Inputs!$C$35))</f>
        <v/>
      </c>
      <c r="R2562" s="54">
        <f>IF($B2562=0,NA(),IF(Inputs!$B$27&lt;&gt;"Yes",NA(),Inputs!$D$27*Inputs!$C$35))</f>
        <v/>
      </c>
      <c r="S2562" s="54">
        <f>IF($B2562=0,NA(),IF(Inputs!$B$28&lt;&gt;"Yes",NA(),Inputs!$D$28*Inputs!$C$35))</f>
        <v/>
      </c>
      <c r="T2562" s="54">
        <f>IF($B2562=0,NA(),IF(Inputs!$B$29&lt;&gt;"Yes",NA(),Inputs!$D$29*Inputs!$C$35))</f>
        <v/>
      </c>
      <c r="AD2562">
        <f>IF($B2562=0,0,IF(Inputs!$B$6="",0,COUNTIFS(Data!$A$10:$A$3209,"&gt;="&amp;$A2562,Data!$A$10:$A$3209,"&lt;"&amp;$A2562+1)))</f>
        <v/>
      </c>
      <c r="AE2562">
        <f>IF($B2562=0,0,IF(Inputs!$B$7="",0,COUNTIFS(Data!$E$10:$E$3209,"&gt;="&amp;$A2562,Data!$E$10:$E$3209,"&lt;"&amp;$A2562+1)))</f>
        <v/>
      </c>
      <c r="AF2562">
        <f>IF($B2562=0,0,IF(Inputs!$B$8="",0,COUNTIFS(Data!$I$10:$I$3209,"&gt;="&amp;$A2562,Data!$I$10:$I$3209,"&lt;"&amp;$A2562+1)))</f>
        <v/>
      </c>
      <c r="AG2562">
        <f>IF($B2562=0,0,IF(Inputs!$B$9="",0,COUNTIFS(Data!$M$10:$M$3209,"&gt;="&amp;$A2562,Data!$M$10:$M$3209,"&lt;"&amp;$A2562+1)))</f>
        <v/>
      </c>
      <c r="AH2562">
        <f>IF($B2562=0,0,IF(Inputs!$B$10="",0,COUNTIFS(Data!$Q$10:$Q$3209,"&gt;="&amp;$A2562,Data!$Q$10:$Q$3209,"&lt;"&amp;$A2562+1)))</f>
        <v/>
      </c>
    </row>
    <row r="2563">
      <c r="A2563" s="55">
        <f>MIN(Inputs!$C$15,$A2562+IF(WEEKDAY($A2562,2)=5,3,1))</f>
        <v/>
      </c>
      <c r="B2563">
        <f>IF($A2563&gt;$A2562,1,0)</f>
        <v/>
      </c>
      <c r="C2563" s="56">
        <f>IF($B2563=0,"",IF(Inputs!$B$6="","",IF($AD2563=0,C2562,SUMIFS(Data!$B$10:$B$3209,Data!$A$10:$A$3209,"&gt;="&amp;$A2563,Data!$A$10:$A$3209,"&lt;"&amp;$A2563+1)/$AD2563)))</f>
        <v/>
      </c>
      <c r="D2563" s="56">
        <f>IF($B2563=0,"",IF(Inputs!$B$7="","",IF($AE2563=0,D2562,SUMIFS(Data!$F$10:$F$3209,Data!$E$10:$E$3209,"&gt;="&amp;$A2563,Data!$E$10:$E$3209,"&lt;"&amp;$A2563+1)/$AE2563)))</f>
        <v/>
      </c>
      <c r="E2563" s="56">
        <f>IF($B2563=0,"",IF(Inputs!$B$8="","",IF($AF2563=0,E2562,SUMIFS(Data!$J$10:$J$3209,Data!$I$10:$I$3209,"&gt;="&amp;$A2563,Data!$I$10:$I$3209,"&lt;"&amp;$A2563+1)/$AF2563)))</f>
        <v/>
      </c>
      <c r="F2563" s="56">
        <f>IF($B2563=0,"",IF(Inputs!$B$9="","",IF($AG2563=0,F2562,SUMIFS(Data!$N$10:$N$3209,Data!$M$10:$M$3209,"&gt;="&amp;$A2563,Data!$M$10:$M$3209,"&lt;"&amp;$A2563+1)/$AG2563)))</f>
        <v/>
      </c>
      <c r="G2563" s="56">
        <f>IF($B2563=0,"",IF(Inputs!$B$10="","",IF($AH2563=0,G2562,SUMIFS(Data!$R$10:$R$3209,Data!$Q$10:$Q$3209,"&gt;="&amp;$A2563,Data!$Q$10:$Q$3209,"&lt;"&amp;$A2563+1)/$AH2563)))</f>
        <v/>
      </c>
      <c r="I2563" s="54">
        <f>IF($B2563=0,NA(),IF($C2563="",NA(),IF(C$8="",NA(),IF(N(C$8)=0,NA(),IF(Inputs!$C$17="Rebased to 100",$C2563/C$8*100,$C2563)))))</f>
        <v/>
      </c>
      <c r="J2563" s="54">
        <f>IF($B2563=0,NA(),IF($D2563="",NA(),IF(D$8="",NA(),IF(N(D$8)=0,NA(),IF(Inputs!$C$17="Rebased to 100",$D2563/D$8*100,$D2563)))))</f>
        <v/>
      </c>
      <c r="K2563" s="54">
        <f>IF($B2563=0,NA(),IF($E2563="",NA(),IF(E$8="",NA(),IF(N(E$8)=0,NA(),IF(Inputs!$C$17="Rebased to 100",$E2563/E$8*100,$E2563)))))</f>
        <v/>
      </c>
      <c r="L2563" s="54">
        <f>IF($B2563=0,NA(),IF($F2563="",NA(),IF(F$8="",NA(),IF(N(F$8)=0,NA(),IF(Inputs!$C$17="Rebased to 100",$F2563/F$8*100,$F2563)))))</f>
        <v/>
      </c>
      <c r="M2563" s="54">
        <f>IF($B2563=0,NA(),IF($G2563="",NA(),IF(G$8="",NA(),IF(N(G$8)=0,NA(),IF(Inputs!$C$17="Rebased to 100",$G2563/G$8*100,$G2563)))))</f>
        <v/>
      </c>
      <c r="N2563" s="54">
        <f>IF($B2563=0,NA(),IF(Inputs!$C$18&lt;&gt;"Yes",NA(),IF(COUNT(I2563,J2563,K2563,L2563,M2563)=0,NA(),MIN(I2563,J2563,K2563,L2563,M2563))))</f>
        <v/>
      </c>
      <c r="O2563" s="54">
        <f>IF($B2563=0,NA(),IF(Inputs!$B$24&lt;&gt;"Yes",NA(),Inputs!$D$24*Inputs!$C$35))</f>
        <v/>
      </c>
      <c r="P2563" s="54">
        <f>IF($B2563=0,NA(),IF(Inputs!$B$25&lt;&gt;"Yes",NA(),Inputs!$D$25*Inputs!$C$35))</f>
        <v/>
      </c>
      <c r="Q2563" s="54">
        <f>IF($B2563=0,NA(),IF(Inputs!$B$26&lt;&gt;"Yes",NA(),Inputs!$D$26*Inputs!$C$35))</f>
        <v/>
      </c>
      <c r="R2563" s="54">
        <f>IF($B2563=0,NA(),IF(Inputs!$B$27&lt;&gt;"Yes",NA(),Inputs!$D$27*Inputs!$C$35))</f>
        <v/>
      </c>
      <c r="S2563" s="54">
        <f>IF($B2563=0,NA(),IF(Inputs!$B$28&lt;&gt;"Yes",NA(),Inputs!$D$28*Inputs!$C$35))</f>
        <v/>
      </c>
      <c r="T2563" s="54">
        <f>IF($B2563=0,NA(),IF(Inputs!$B$29&lt;&gt;"Yes",NA(),Inputs!$D$29*Inputs!$C$35))</f>
        <v/>
      </c>
      <c r="AD2563">
        <f>IF($B2563=0,0,IF(Inputs!$B$6="",0,COUNTIFS(Data!$A$10:$A$3209,"&gt;="&amp;$A2563,Data!$A$10:$A$3209,"&lt;"&amp;$A2563+1)))</f>
        <v/>
      </c>
      <c r="AE2563">
        <f>IF($B2563=0,0,IF(Inputs!$B$7="",0,COUNTIFS(Data!$E$10:$E$3209,"&gt;="&amp;$A2563,Data!$E$10:$E$3209,"&lt;"&amp;$A2563+1)))</f>
        <v/>
      </c>
      <c r="AF2563">
        <f>IF($B2563=0,0,IF(Inputs!$B$8="",0,COUNTIFS(Data!$I$10:$I$3209,"&gt;="&amp;$A2563,Data!$I$10:$I$3209,"&lt;"&amp;$A2563+1)))</f>
        <v/>
      </c>
      <c r="AG2563">
        <f>IF($B2563=0,0,IF(Inputs!$B$9="",0,COUNTIFS(Data!$M$10:$M$3209,"&gt;="&amp;$A2563,Data!$M$10:$M$3209,"&lt;"&amp;$A2563+1)))</f>
        <v/>
      </c>
      <c r="AH2563">
        <f>IF($B2563=0,0,IF(Inputs!$B$10="",0,COUNTIFS(Data!$Q$10:$Q$3209,"&gt;="&amp;$A2563,Data!$Q$10:$Q$3209,"&lt;"&amp;$A2563+1)))</f>
        <v/>
      </c>
    </row>
    <row r="2564">
      <c r="A2564" s="55">
        <f>MIN(Inputs!$C$15,$A2563+IF(WEEKDAY($A2563,2)=5,3,1))</f>
        <v/>
      </c>
      <c r="B2564">
        <f>IF($A2564&gt;$A2563,1,0)</f>
        <v/>
      </c>
      <c r="C2564" s="56">
        <f>IF($B2564=0,"",IF(Inputs!$B$6="","",IF($AD2564=0,C2563,SUMIFS(Data!$B$10:$B$3209,Data!$A$10:$A$3209,"&gt;="&amp;$A2564,Data!$A$10:$A$3209,"&lt;"&amp;$A2564+1)/$AD2564)))</f>
        <v/>
      </c>
      <c r="D2564" s="56">
        <f>IF($B2564=0,"",IF(Inputs!$B$7="","",IF($AE2564=0,D2563,SUMIFS(Data!$F$10:$F$3209,Data!$E$10:$E$3209,"&gt;="&amp;$A2564,Data!$E$10:$E$3209,"&lt;"&amp;$A2564+1)/$AE2564)))</f>
        <v/>
      </c>
      <c r="E2564" s="56">
        <f>IF($B2564=0,"",IF(Inputs!$B$8="","",IF($AF2564=0,E2563,SUMIFS(Data!$J$10:$J$3209,Data!$I$10:$I$3209,"&gt;="&amp;$A2564,Data!$I$10:$I$3209,"&lt;"&amp;$A2564+1)/$AF2564)))</f>
        <v/>
      </c>
      <c r="F2564" s="56">
        <f>IF($B2564=0,"",IF(Inputs!$B$9="","",IF($AG2564=0,F2563,SUMIFS(Data!$N$10:$N$3209,Data!$M$10:$M$3209,"&gt;="&amp;$A2564,Data!$M$10:$M$3209,"&lt;"&amp;$A2564+1)/$AG2564)))</f>
        <v/>
      </c>
      <c r="G2564" s="56">
        <f>IF($B2564=0,"",IF(Inputs!$B$10="","",IF($AH2564=0,G2563,SUMIFS(Data!$R$10:$R$3209,Data!$Q$10:$Q$3209,"&gt;="&amp;$A2564,Data!$Q$10:$Q$3209,"&lt;"&amp;$A2564+1)/$AH2564)))</f>
        <v/>
      </c>
      <c r="I2564" s="54">
        <f>IF($B2564=0,NA(),IF($C2564="",NA(),IF(C$8="",NA(),IF(N(C$8)=0,NA(),IF(Inputs!$C$17="Rebased to 100",$C2564/C$8*100,$C2564)))))</f>
        <v/>
      </c>
      <c r="J2564" s="54">
        <f>IF($B2564=0,NA(),IF($D2564="",NA(),IF(D$8="",NA(),IF(N(D$8)=0,NA(),IF(Inputs!$C$17="Rebased to 100",$D2564/D$8*100,$D2564)))))</f>
        <v/>
      </c>
      <c r="K2564" s="54">
        <f>IF($B2564=0,NA(),IF($E2564="",NA(),IF(E$8="",NA(),IF(N(E$8)=0,NA(),IF(Inputs!$C$17="Rebased to 100",$E2564/E$8*100,$E2564)))))</f>
        <v/>
      </c>
      <c r="L2564" s="54">
        <f>IF($B2564=0,NA(),IF($F2564="",NA(),IF(F$8="",NA(),IF(N(F$8)=0,NA(),IF(Inputs!$C$17="Rebased to 100",$F2564/F$8*100,$F2564)))))</f>
        <v/>
      </c>
      <c r="M2564" s="54">
        <f>IF($B2564=0,NA(),IF($G2564="",NA(),IF(G$8="",NA(),IF(N(G$8)=0,NA(),IF(Inputs!$C$17="Rebased to 100",$G2564/G$8*100,$G2564)))))</f>
        <v/>
      </c>
      <c r="N2564" s="54">
        <f>IF($B2564=0,NA(),IF(Inputs!$C$18&lt;&gt;"Yes",NA(),IF(COUNT(I2564,J2564,K2564,L2564,M2564)=0,NA(),MIN(I2564,J2564,K2564,L2564,M2564))))</f>
        <v/>
      </c>
      <c r="O2564" s="54">
        <f>IF($B2564=0,NA(),IF(Inputs!$B$24&lt;&gt;"Yes",NA(),Inputs!$D$24*Inputs!$C$35))</f>
        <v/>
      </c>
      <c r="P2564" s="54">
        <f>IF($B2564=0,NA(),IF(Inputs!$B$25&lt;&gt;"Yes",NA(),Inputs!$D$25*Inputs!$C$35))</f>
        <v/>
      </c>
      <c r="Q2564" s="54">
        <f>IF($B2564=0,NA(),IF(Inputs!$B$26&lt;&gt;"Yes",NA(),Inputs!$D$26*Inputs!$C$35))</f>
        <v/>
      </c>
      <c r="R2564" s="54">
        <f>IF($B2564=0,NA(),IF(Inputs!$B$27&lt;&gt;"Yes",NA(),Inputs!$D$27*Inputs!$C$35))</f>
        <v/>
      </c>
      <c r="S2564" s="54">
        <f>IF($B2564=0,NA(),IF(Inputs!$B$28&lt;&gt;"Yes",NA(),Inputs!$D$28*Inputs!$C$35))</f>
        <v/>
      </c>
      <c r="T2564" s="54">
        <f>IF($B2564=0,NA(),IF(Inputs!$B$29&lt;&gt;"Yes",NA(),Inputs!$D$29*Inputs!$C$35))</f>
        <v/>
      </c>
      <c r="AD2564">
        <f>IF($B2564=0,0,IF(Inputs!$B$6="",0,COUNTIFS(Data!$A$10:$A$3209,"&gt;="&amp;$A2564,Data!$A$10:$A$3209,"&lt;"&amp;$A2564+1)))</f>
        <v/>
      </c>
      <c r="AE2564">
        <f>IF($B2564=0,0,IF(Inputs!$B$7="",0,COUNTIFS(Data!$E$10:$E$3209,"&gt;="&amp;$A2564,Data!$E$10:$E$3209,"&lt;"&amp;$A2564+1)))</f>
        <v/>
      </c>
      <c r="AF2564">
        <f>IF($B2564=0,0,IF(Inputs!$B$8="",0,COUNTIFS(Data!$I$10:$I$3209,"&gt;="&amp;$A2564,Data!$I$10:$I$3209,"&lt;"&amp;$A2564+1)))</f>
        <v/>
      </c>
      <c r="AG2564">
        <f>IF($B2564=0,0,IF(Inputs!$B$9="",0,COUNTIFS(Data!$M$10:$M$3209,"&gt;="&amp;$A2564,Data!$M$10:$M$3209,"&lt;"&amp;$A2564+1)))</f>
        <v/>
      </c>
      <c r="AH2564">
        <f>IF($B2564=0,0,IF(Inputs!$B$10="",0,COUNTIFS(Data!$Q$10:$Q$3209,"&gt;="&amp;$A2564,Data!$Q$10:$Q$3209,"&lt;"&amp;$A2564+1)))</f>
        <v/>
      </c>
    </row>
    <row r="2565">
      <c r="A2565" s="55">
        <f>MIN(Inputs!$C$15,$A2564+IF(WEEKDAY($A2564,2)=5,3,1))</f>
        <v/>
      </c>
      <c r="B2565">
        <f>IF($A2565&gt;$A2564,1,0)</f>
        <v/>
      </c>
      <c r="C2565" s="56">
        <f>IF($B2565=0,"",IF(Inputs!$B$6="","",IF($AD2565=0,C2564,SUMIFS(Data!$B$10:$B$3209,Data!$A$10:$A$3209,"&gt;="&amp;$A2565,Data!$A$10:$A$3209,"&lt;"&amp;$A2565+1)/$AD2565)))</f>
        <v/>
      </c>
      <c r="D2565" s="56">
        <f>IF($B2565=0,"",IF(Inputs!$B$7="","",IF($AE2565=0,D2564,SUMIFS(Data!$F$10:$F$3209,Data!$E$10:$E$3209,"&gt;="&amp;$A2565,Data!$E$10:$E$3209,"&lt;"&amp;$A2565+1)/$AE2565)))</f>
        <v/>
      </c>
      <c r="E2565" s="56">
        <f>IF($B2565=0,"",IF(Inputs!$B$8="","",IF($AF2565=0,E2564,SUMIFS(Data!$J$10:$J$3209,Data!$I$10:$I$3209,"&gt;="&amp;$A2565,Data!$I$10:$I$3209,"&lt;"&amp;$A2565+1)/$AF2565)))</f>
        <v/>
      </c>
      <c r="F2565" s="56">
        <f>IF($B2565=0,"",IF(Inputs!$B$9="","",IF($AG2565=0,F2564,SUMIFS(Data!$N$10:$N$3209,Data!$M$10:$M$3209,"&gt;="&amp;$A2565,Data!$M$10:$M$3209,"&lt;"&amp;$A2565+1)/$AG2565)))</f>
        <v/>
      </c>
      <c r="G2565" s="56">
        <f>IF($B2565=0,"",IF(Inputs!$B$10="","",IF($AH2565=0,G2564,SUMIFS(Data!$R$10:$R$3209,Data!$Q$10:$Q$3209,"&gt;="&amp;$A2565,Data!$Q$10:$Q$3209,"&lt;"&amp;$A2565+1)/$AH2565)))</f>
        <v/>
      </c>
      <c r="I2565" s="54">
        <f>IF($B2565=0,NA(),IF($C2565="",NA(),IF(C$8="",NA(),IF(N(C$8)=0,NA(),IF(Inputs!$C$17="Rebased to 100",$C2565/C$8*100,$C2565)))))</f>
        <v/>
      </c>
      <c r="J2565" s="54">
        <f>IF($B2565=0,NA(),IF($D2565="",NA(),IF(D$8="",NA(),IF(N(D$8)=0,NA(),IF(Inputs!$C$17="Rebased to 100",$D2565/D$8*100,$D2565)))))</f>
        <v/>
      </c>
      <c r="K2565" s="54">
        <f>IF($B2565=0,NA(),IF($E2565="",NA(),IF(E$8="",NA(),IF(N(E$8)=0,NA(),IF(Inputs!$C$17="Rebased to 100",$E2565/E$8*100,$E2565)))))</f>
        <v/>
      </c>
      <c r="L2565" s="54">
        <f>IF($B2565=0,NA(),IF($F2565="",NA(),IF(F$8="",NA(),IF(N(F$8)=0,NA(),IF(Inputs!$C$17="Rebased to 100",$F2565/F$8*100,$F2565)))))</f>
        <v/>
      </c>
      <c r="M2565" s="54">
        <f>IF($B2565=0,NA(),IF($G2565="",NA(),IF(G$8="",NA(),IF(N(G$8)=0,NA(),IF(Inputs!$C$17="Rebased to 100",$G2565/G$8*100,$G2565)))))</f>
        <v/>
      </c>
      <c r="N2565" s="54">
        <f>IF($B2565=0,NA(),IF(Inputs!$C$18&lt;&gt;"Yes",NA(),IF(COUNT(I2565,J2565,K2565,L2565,M2565)=0,NA(),MIN(I2565,J2565,K2565,L2565,M2565))))</f>
        <v/>
      </c>
      <c r="O2565" s="54">
        <f>IF($B2565=0,NA(),IF(Inputs!$B$24&lt;&gt;"Yes",NA(),Inputs!$D$24*Inputs!$C$35))</f>
        <v/>
      </c>
      <c r="P2565" s="54">
        <f>IF($B2565=0,NA(),IF(Inputs!$B$25&lt;&gt;"Yes",NA(),Inputs!$D$25*Inputs!$C$35))</f>
        <v/>
      </c>
      <c r="Q2565" s="54">
        <f>IF($B2565=0,NA(),IF(Inputs!$B$26&lt;&gt;"Yes",NA(),Inputs!$D$26*Inputs!$C$35))</f>
        <v/>
      </c>
      <c r="R2565" s="54">
        <f>IF($B2565=0,NA(),IF(Inputs!$B$27&lt;&gt;"Yes",NA(),Inputs!$D$27*Inputs!$C$35))</f>
        <v/>
      </c>
      <c r="S2565" s="54">
        <f>IF($B2565=0,NA(),IF(Inputs!$B$28&lt;&gt;"Yes",NA(),Inputs!$D$28*Inputs!$C$35))</f>
        <v/>
      </c>
      <c r="T2565" s="54">
        <f>IF($B2565=0,NA(),IF(Inputs!$B$29&lt;&gt;"Yes",NA(),Inputs!$D$29*Inputs!$C$35))</f>
        <v/>
      </c>
      <c r="AD2565">
        <f>IF($B2565=0,0,IF(Inputs!$B$6="",0,COUNTIFS(Data!$A$10:$A$3209,"&gt;="&amp;$A2565,Data!$A$10:$A$3209,"&lt;"&amp;$A2565+1)))</f>
        <v/>
      </c>
      <c r="AE2565">
        <f>IF($B2565=0,0,IF(Inputs!$B$7="",0,COUNTIFS(Data!$E$10:$E$3209,"&gt;="&amp;$A2565,Data!$E$10:$E$3209,"&lt;"&amp;$A2565+1)))</f>
        <v/>
      </c>
      <c r="AF2565">
        <f>IF($B2565=0,0,IF(Inputs!$B$8="",0,COUNTIFS(Data!$I$10:$I$3209,"&gt;="&amp;$A2565,Data!$I$10:$I$3209,"&lt;"&amp;$A2565+1)))</f>
        <v/>
      </c>
      <c r="AG2565">
        <f>IF($B2565=0,0,IF(Inputs!$B$9="",0,COUNTIFS(Data!$M$10:$M$3209,"&gt;="&amp;$A2565,Data!$M$10:$M$3209,"&lt;"&amp;$A2565+1)))</f>
        <v/>
      </c>
      <c r="AH2565">
        <f>IF($B2565=0,0,IF(Inputs!$B$10="",0,COUNTIFS(Data!$Q$10:$Q$3209,"&gt;="&amp;$A2565,Data!$Q$10:$Q$3209,"&lt;"&amp;$A2565+1)))</f>
        <v/>
      </c>
    </row>
    <row r="2566">
      <c r="A2566" s="55">
        <f>MIN(Inputs!$C$15,$A2565+IF(WEEKDAY($A2565,2)=5,3,1))</f>
        <v/>
      </c>
      <c r="B2566">
        <f>IF($A2566&gt;$A2565,1,0)</f>
        <v/>
      </c>
      <c r="C2566" s="56">
        <f>IF($B2566=0,"",IF(Inputs!$B$6="","",IF($AD2566=0,C2565,SUMIFS(Data!$B$10:$B$3209,Data!$A$10:$A$3209,"&gt;="&amp;$A2566,Data!$A$10:$A$3209,"&lt;"&amp;$A2566+1)/$AD2566)))</f>
        <v/>
      </c>
      <c r="D2566" s="56">
        <f>IF($B2566=0,"",IF(Inputs!$B$7="","",IF($AE2566=0,D2565,SUMIFS(Data!$F$10:$F$3209,Data!$E$10:$E$3209,"&gt;="&amp;$A2566,Data!$E$10:$E$3209,"&lt;"&amp;$A2566+1)/$AE2566)))</f>
        <v/>
      </c>
      <c r="E2566" s="56">
        <f>IF($B2566=0,"",IF(Inputs!$B$8="","",IF($AF2566=0,E2565,SUMIFS(Data!$J$10:$J$3209,Data!$I$10:$I$3209,"&gt;="&amp;$A2566,Data!$I$10:$I$3209,"&lt;"&amp;$A2566+1)/$AF2566)))</f>
        <v/>
      </c>
      <c r="F2566" s="56">
        <f>IF($B2566=0,"",IF(Inputs!$B$9="","",IF($AG2566=0,F2565,SUMIFS(Data!$N$10:$N$3209,Data!$M$10:$M$3209,"&gt;="&amp;$A2566,Data!$M$10:$M$3209,"&lt;"&amp;$A2566+1)/$AG2566)))</f>
        <v/>
      </c>
      <c r="G2566" s="56">
        <f>IF($B2566=0,"",IF(Inputs!$B$10="","",IF($AH2566=0,G2565,SUMIFS(Data!$R$10:$R$3209,Data!$Q$10:$Q$3209,"&gt;="&amp;$A2566,Data!$Q$10:$Q$3209,"&lt;"&amp;$A2566+1)/$AH2566)))</f>
        <v/>
      </c>
      <c r="I2566" s="54">
        <f>IF($B2566=0,NA(),IF($C2566="",NA(),IF(C$8="",NA(),IF(N(C$8)=0,NA(),IF(Inputs!$C$17="Rebased to 100",$C2566/C$8*100,$C2566)))))</f>
        <v/>
      </c>
      <c r="J2566" s="54">
        <f>IF($B2566=0,NA(),IF($D2566="",NA(),IF(D$8="",NA(),IF(N(D$8)=0,NA(),IF(Inputs!$C$17="Rebased to 100",$D2566/D$8*100,$D2566)))))</f>
        <v/>
      </c>
      <c r="K2566" s="54">
        <f>IF($B2566=0,NA(),IF($E2566="",NA(),IF(E$8="",NA(),IF(N(E$8)=0,NA(),IF(Inputs!$C$17="Rebased to 100",$E2566/E$8*100,$E2566)))))</f>
        <v/>
      </c>
      <c r="L2566" s="54">
        <f>IF($B2566=0,NA(),IF($F2566="",NA(),IF(F$8="",NA(),IF(N(F$8)=0,NA(),IF(Inputs!$C$17="Rebased to 100",$F2566/F$8*100,$F2566)))))</f>
        <v/>
      </c>
      <c r="M2566" s="54">
        <f>IF($B2566=0,NA(),IF($G2566="",NA(),IF(G$8="",NA(),IF(N(G$8)=0,NA(),IF(Inputs!$C$17="Rebased to 100",$G2566/G$8*100,$G2566)))))</f>
        <v/>
      </c>
      <c r="N2566" s="54">
        <f>IF($B2566=0,NA(),IF(Inputs!$C$18&lt;&gt;"Yes",NA(),IF(COUNT(I2566,J2566,K2566,L2566,M2566)=0,NA(),MIN(I2566,J2566,K2566,L2566,M2566))))</f>
        <v/>
      </c>
      <c r="O2566" s="54">
        <f>IF($B2566=0,NA(),IF(Inputs!$B$24&lt;&gt;"Yes",NA(),Inputs!$D$24*Inputs!$C$35))</f>
        <v/>
      </c>
      <c r="P2566" s="54">
        <f>IF($B2566=0,NA(),IF(Inputs!$B$25&lt;&gt;"Yes",NA(),Inputs!$D$25*Inputs!$C$35))</f>
        <v/>
      </c>
      <c r="Q2566" s="54">
        <f>IF($B2566=0,NA(),IF(Inputs!$B$26&lt;&gt;"Yes",NA(),Inputs!$D$26*Inputs!$C$35))</f>
        <v/>
      </c>
      <c r="R2566" s="54">
        <f>IF($B2566=0,NA(),IF(Inputs!$B$27&lt;&gt;"Yes",NA(),Inputs!$D$27*Inputs!$C$35))</f>
        <v/>
      </c>
      <c r="S2566" s="54">
        <f>IF($B2566=0,NA(),IF(Inputs!$B$28&lt;&gt;"Yes",NA(),Inputs!$D$28*Inputs!$C$35))</f>
        <v/>
      </c>
      <c r="T2566" s="54">
        <f>IF($B2566=0,NA(),IF(Inputs!$B$29&lt;&gt;"Yes",NA(),Inputs!$D$29*Inputs!$C$35))</f>
        <v/>
      </c>
      <c r="AD2566">
        <f>IF($B2566=0,0,IF(Inputs!$B$6="",0,COUNTIFS(Data!$A$10:$A$3209,"&gt;="&amp;$A2566,Data!$A$10:$A$3209,"&lt;"&amp;$A2566+1)))</f>
        <v/>
      </c>
      <c r="AE2566">
        <f>IF($B2566=0,0,IF(Inputs!$B$7="",0,COUNTIFS(Data!$E$10:$E$3209,"&gt;="&amp;$A2566,Data!$E$10:$E$3209,"&lt;"&amp;$A2566+1)))</f>
        <v/>
      </c>
      <c r="AF2566">
        <f>IF($B2566=0,0,IF(Inputs!$B$8="",0,COUNTIFS(Data!$I$10:$I$3209,"&gt;="&amp;$A2566,Data!$I$10:$I$3209,"&lt;"&amp;$A2566+1)))</f>
        <v/>
      </c>
      <c r="AG2566">
        <f>IF($B2566=0,0,IF(Inputs!$B$9="",0,COUNTIFS(Data!$M$10:$M$3209,"&gt;="&amp;$A2566,Data!$M$10:$M$3209,"&lt;"&amp;$A2566+1)))</f>
        <v/>
      </c>
      <c r="AH2566">
        <f>IF($B2566=0,0,IF(Inputs!$B$10="",0,COUNTIFS(Data!$Q$10:$Q$3209,"&gt;="&amp;$A2566,Data!$Q$10:$Q$3209,"&lt;"&amp;$A2566+1)))</f>
        <v/>
      </c>
    </row>
    <row r="2567">
      <c r="A2567" s="55">
        <f>MIN(Inputs!$C$15,$A2566+IF(WEEKDAY($A2566,2)=5,3,1))</f>
        <v/>
      </c>
      <c r="B2567">
        <f>IF($A2567&gt;$A2566,1,0)</f>
        <v/>
      </c>
      <c r="C2567" s="56">
        <f>IF($B2567=0,"",IF(Inputs!$B$6="","",IF($AD2567=0,C2566,SUMIFS(Data!$B$10:$B$3209,Data!$A$10:$A$3209,"&gt;="&amp;$A2567,Data!$A$10:$A$3209,"&lt;"&amp;$A2567+1)/$AD2567)))</f>
        <v/>
      </c>
      <c r="D2567" s="56">
        <f>IF($B2567=0,"",IF(Inputs!$B$7="","",IF($AE2567=0,D2566,SUMIFS(Data!$F$10:$F$3209,Data!$E$10:$E$3209,"&gt;="&amp;$A2567,Data!$E$10:$E$3209,"&lt;"&amp;$A2567+1)/$AE2567)))</f>
        <v/>
      </c>
      <c r="E2567" s="56">
        <f>IF($B2567=0,"",IF(Inputs!$B$8="","",IF($AF2567=0,E2566,SUMIFS(Data!$J$10:$J$3209,Data!$I$10:$I$3209,"&gt;="&amp;$A2567,Data!$I$10:$I$3209,"&lt;"&amp;$A2567+1)/$AF2567)))</f>
        <v/>
      </c>
      <c r="F2567" s="56">
        <f>IF($B2567=0,"",IF(Inputs!$B$9="","",IF($AG2567=0,F2566,SUMIFS(Data!$N$10:$N$3209,Data!$M$10:$M$3209,"&gt;="&amp;$A2567,Data!$M$10:$M$3209,"&lt;"&amp;$A2567+1)/$AG2567)))</f>
        <v/>
      </c>
      <c r="G2567" s="56">
        <f>IF($B2567=0,"",IF(Inputs!$B$10="","",IF($AH2567=0,G2566,SUMIFS(Data!$R$10:$R$3209,Data!$Q$10:$Q$3209,"&gt;="&amp;$A2567,Data!$Q$10:$Q$3209,"&lt;"&amp;$A2567+1)/$AH2567)))</f>
        <v/>
      </c>
      <c r="I2567" s="54">
        <f>IF($B2567=0,NA(),IF($C2567="",NA(),IF(C$8="",NA(),IF(N(C$8)=0,NA(),IF(Inputs!$C$17="Rebased to 100",$C2567/C$8*100,$C2567)))))</f>
        <v/>
      </c>
      <c r="J2567" s="54">
        <f>IF($B2567=0,NA(),IF($D2567="",NA(),IF(D$8="",NA(),IF(N(D$8)=0,NA(),IF(Inputs!$C$17="Rebased to 100",$D2567/D$8*100,$D2567)))))</f>
        <v/>
      </c>
      <c r="K2567" s="54">
        <f>IF($B2567=0,NA(),IF($E2567="",NA(),IF(E$8="",NA(),IF(N(E$8)=0,NA(),IF(Inputs!$C$17="Rebased to 100",$E2567/E$8*100,$E2567)))))</f>
        <v/>
      </c>
      <c r="L2567" s="54">
        <f>IF($B2567=0,NA(),IF($F2567="",NA(),IF(F$8="",NA(),IF(N(F$8)=0,NA(),IF(Inputs!$C$17="Rebased to 100",$F2567/F$8*100,$F2567)))))</f>
        <v/>
      </c>
      <c r="M2567" s="54">
        <f>IF($B2567=0,NA(),IF($G2567="",NA(),IF(G$8="",NA(),IF(N(G$8)=0,NA(),IF(Inputs!$C$17="Rebased to 100",$G2567/G$8*100,$G2567)))))</f>
        <v/>
      </c>
      <c r="N2567" s="54">
        <f>IF($B2567=0,NA(),IF(Inputs!$C$18&lt;&gt;"Yes",NA(),IF(COUNT(I2567,J2567,K2567,L2567,M2567)=0,NA(),MIN(I2567,J2567,K2567,L2567,M2567))))</f>
        <v/>
      </c>
      <c r="O2567" s="54">
        <f>IF($B2567=0,NA(),IF(Inputs!$B$24&lt;&gt;"Yes",NA(),Inputs!$D$24*Inputs!$C$35))</f>
        <v/>
      </c>
      <c r="P2567" s="54">
        <f>IF($B2567=0,NA(),IF(Inputs!$B$25&lt;&gt;"Yes",NA(),Inputs!$D$25*Inputs!$C$35))</f>
        <v/>
      </c>
      <c r="Q2567" s="54">
        <f>IF($B2567=0,NA(),IF(Inputs!$B$26&lt;&gt;"Yes",NA(),Inputs!$D$26*Inputs!$C$35))</f>
        <v/>
      </c>
      <c r="R2567" s="54">
        <f>IF($B2567=0,NA(),IF(Inputs!$B$27&lt;&gt;"Yes",NA(),Inputs!$D$27*Inputs!$C$35))</f>
        <v/>
      </c>
      <c r="S2567" s="54">
        <f>IF($B2567=0,NA(),IF(Inputs!$B$28&lt;&gt;"Yes",NA(),Inputs!$D$28*Inputs!$C$35))</f>
        <v/>
      </c>
      <c r="T2567" s="54">
        <f>IF($B2567=0,NA(),IF(Inputs!$B$29&lt;&gt;"Yes",NA(),Inputs!$D$29*Inputs!$C$35))</f>
        <v/>
      </c>
      <c r="AD2567">
        <f>IF($B2567=0,0,IF(Inputs!$B$6="",0,COUNTIFS(Data!$A$10:$A$3209,"&gt;="&amp;$A2567,Data!$A$10:$A$3209,"&lt;"&amp;$A2567+1)))</f>
        <v/>
      </c>
      <c r="AE2567">
        <f>IF($B2567=0,0,IF(Inputs!$B$7="",0,COUNTIFS(Data!$E$10:$E$3209,"&gt;="&amp;$A2567,Data!$E$10:$E$3209,"&lt;"&amp;$A2567+1)))</f>
        <v/>
      </c>
      <c r="AF2567">
        <f>IF($B2567=0,0,IF(Inputs!$B$8="",0,COUNTIFS(Data!$I$10:$I$3209,"&gt;="&amp;$A2567,Data!$I$10:$I$3209,"&lt;"&amp;$A2567+1)))</f>
        <v/>
      </c>
      <c r="AG2567">
        <f>IF($B2567=0,0,IF(Inputs!$B$9="",0,COUNTIFS(Data!$M$10:$M$3209,"&gt;="&amp;$A2567,Data!$M$10:$M$3209,"&lt;"&amp;$A2567+1)))</f>
        <v/>
      </c>
      <c r="AH2567">
        <f>IF($B2567=0,0,IF(Inputs!$B$10="",0,COUNTIFS(Data!$Q$10:$Q$3209,"&gt;="&amp;$A2567,Data!$Q$10:$Q$3209,"&lt;"&amp;$A2567+1)))</f>
        <v/>
      </c>
    </row>
    <row r="2568">
      <c r="A2568" s="55">
        <f>MIN(Inputs!$C$15,$A2567+IF(WEEKDAY($A2567,2)=5,3,1))</f>
        <v/>
      </c>
      <c r="B2568">
        <f>IF($A2568&gt;$A2567,1,0)</f>
        <v/>
      </c>
      <c r="C2568" s="56">
        <f>IF($B2568=0,"",IF(Inputs!$B$6="","",IF($AD2568=0,C2567,SUMIFS(Data!$B$10:$B$3209,Data!$A$10:$A$3209,"&gt;="&amp;$A2568,Data!$A$10:$A$3209,"&lt;"&amp;$A2568+1)/$AD2568)))</f>
        <v/>
      </c>
      <c r="D2568" s="56">
        <f>IF($B2568=0,"",IF(Inputs!$B$7="","",IF($AE2568=0,D2567,SUMIFS(Data!$F$10:$F$3209,Data!$E$10:$E$3209,"&gt;="&amp;$A2568,Data!$E$10:$E$3209,"&lt;"&amp;$A2568+1)/$AE2568)))</f>
        <v/>
      </c>
      <c r="E2568" s="56">
        <f>IF($B2568=0,"",IF(Inputs!$B$8="","",IF($AF2568=0,E2567,SUMIFS(Data!$J$10:$J$3209,Data!$I$10:$I$3209,"&gt;="&amp;$A2568,Data!$I$10:$I$3209,"&lt;"&amp;$A2568+1)/$AF2568)))</f>
        <v/>
      </c>
      <c r="F2568" s="56">
        <f>IF($B2568=0,"",IF(Inputs!$B$9="","",IF($AG2568=0,F2567,SUMIFS(Data!$N$10:$N$3209,Data!$M$10:$M$3209,"&gt;="&amp;$A2568,Data!$M$10:$M$3209,"&lt;"&amp;$A2568+1)/$AG2568)))</f>
        <v/>
      </c>
      <c r="G2568" s="56">
        <f>IF($B2568=0,"",IF(Inputs!$B$10="","",IF($AH2568=0,G2567,SUMIFS(Data!$R$10:$R$3209,Data!$Q$10:$Q$3209,"&gt;="&amp;$A2568,Data!$Q$10:$Q$3209,"&lt;"&amp;$A2568+1)/$AH2568)))</f>
        <v/>
      </c>
      <c r="I2568" s="54">
        <f>IF($B2568=0,NA(),IF($C2568="",NA(),IF(C$8="",NA(),IF(N(C$8)=0,NA(),IF(Inputs!$C$17="Rebased to 100",$C2568/C$8*100,$C2568)))))</f>
        <v/>
      </c>
      <c r="J2568" s="54">
        <f>IF($B2568=0,NA(),IF($D2568="",NA(),IF(D$8="",NA(),IF(N(D$8)=0,NA(),IF(Inputs!$C$17="Rebased to 100",$D2568/D$8*100,$D2568)))))</f>
        <v/>
      </c>
      <c r="K2568" s="54">
        <f>IF($B2568=0,NA(),IF($E2568="",NA(),IF(E$8="",NA(),IF(N(E$8)=0,NA(),IF(Inputs!$C$17="Rebased to 100",$E2568/E$8*100,$E2568)))))</f>
        <v/>
      </c>
      <c r="L2568" s="54">
        <f>IF($B2568=0,NA(),IF($F2568="",NA(),IF(F$8="",NA(),IF(N(F$8)=0,NA(),IF(Inputs!$C$17="Rebased to 100",$F2568/F$8*100,$F2568)))))</f>
        <v/>
      </c>
      <c r="M2568" s="54">
        <f>IF($B2568=0,NA(),IF($G2568="",NA(),IF(G$8="",NA(),IF(N(G$8)=0,NA(),IF(Inputs!$C$17="Rebased to 100",$G2568/G$8*100,$G2568)))))</f>
        <v/>
      </c>
      <c r="N2568" s="54">
        <f>IF($B2568=0,NA(),IF(Inputs!$C$18&lt;&gt;"Yes",NA(),IF(COUNT(I2568,J2568,K2568,L2568,M2568)=0,NA(),MIN(I2568,J2568,K2568,L2568,M2568))))</f>
        <v/>
      </c>
      <c r="O2568" s="54">
        <f>IF($B2568=0,NA(),IF(Inputs!$B$24&lt;&gt;"Yes",NA(),Inputs!$D$24*Inputs!$C$35))</f>
        <v/>
      </c>
      <c r="P2568" s="54">
        <f>IF($B2568=0,NA(),IF(Inputs!$B$25&lt;&gt;"Yes",NA(),Inputs!$D$25*Inputs!$C$35))</f>
        <v/>
      </c>
      <c r="Q2568" s="54">
        <f>IF($B2568=0,NA(),IF(Inputs!$B$26&lt;&gt;"Yes",NA(),Inputs!$D$26*Inputs!$C$35))</f>
        <v/>
      </c>
      <c r="R2568" s="54">
        <f>IF($B2568=0,NA(),IF(Inputs!$B$27&lt;&gt;"Yes",NA(),Inputs!$D$27*Inputs!$C$35))</f>
        <v/>
      </c>
      <c r="S2568" s="54">
        <f>IF($B2568=0,NA(),IF(Inputs!$B$28&lt;&gt;"Yes",NA(),Inputs!$D$28*Inputs!$C$35))</f>
        <v/>
      </c>
      <c r="T2568" s="54">
        <f>IF($B2568=0,NA(),IF(Inputs!$B$29&lt;&gt;"Yes",NA(),Inputs!$D$29*Inputs!$C$35))</f>
        <v/>
      </c>
      <c r="AD2568">
        <f>IF($B2568=0,0,IF(Inputs!$B$6="",0,COUNTIFS(Data!$A$10:$A$3209,"&gt;="&amp;$A2568,Data!$A$10:$A$3209,"&lt;"&amp;$A2568+1)))</f>
        <v/>
      </c>
      <c r="AE2568">
        <f>IF($B2568=0,0,IF(Inputs!$B$7="",0,COUNTIFS(Data!$E$10:$E$3209,"&gt;="&amp;$A2568,Data!$E$10:$E$3209,"&lt;"&amp;$A2568+1)))</f>
        <v/>
      </c>
      <c r="AF2568">
        <f>IF($B2568=0,0,IF(Inputs!$B$8="",0,COUNTIFS(Data!$I$10:$I$3209,"&gt;="&amp;$A2568,Data!$I$10:$I$3209,"&lt;"&amp;$A2568+1)))</f>
        <v/>
      </c>
      <c r="AG2568">
        <f>IF($B2568=0,0,IF(Inputs!$B$9="",0,COUNTIFS(Data!$M$10:$M$3209,"&gt;="&amp;$A2568,Data!$M$10:$M$3209,"&lt;"&amp;$A2568+1)))</f>
        <v/>
      </c>
      <c r="AH2568">
        <f>IF($B2568=0,0,IF(Inputs!$B$10="",0,COUNTIFS(Data!$Q$10:$Q$3209,"&gt;="&amp;$A2568,Data!$Q$10:$Q$3209,"&lt;"&amp;$A2568+1)))</f>
        <v/>
      </c>
    </row>
    <row r="2569">
      <c r="A2569" s="55">
        <f>MIN(Inputs!$C$15,$A2568+IF(WEEKDAY($A2568,2)=5,3,1))</f>
        <v/>
      </c>
      <c r="B2569">
        <f>IF($A2569&gt;$A2568,1,0)</f>
        <v/>
      </c>
      <c r="C2569" s="56">
        <f>IF($B2569=0,"",IF(Inputs!$B$6="","",IF($AD2569=0,C2568,SUMIFS(Data!$B$10:$B$3209,Data!$A$10:$A$3209,"&gt;="&amp;$A2569,Data!$A$10:$A$3209,"&lt;"&amp;$A2569+1)/$AD2569)))</f>
        <v/>
      </c>
      <c r="D2569" s="56">
        <f>IF($B2569=0,"",IF(Inputs!$B$7="","",IF($AE2569=0,D2568,SUMIFS(Data!$F$10:$F$3209,Data!$E$10:$E$3209,"&gt;="&amp;$A2569,Data!$E$10:$E$3209,"&lt;"&amp;$A2569+1)/$AE2569)))</f>
        <v/>
      </c>
      <c r="E2569" s="56">
        <f>IF($B2569=0,"",IF(Inputs!$B$8="","",IF($AF2569=0,E2568,SUMIFS(Data!$J$10:$J$3209,Data!$I$10:$I$3209,"&gt;="&amp;$A2569,Data!$I$10:$I$3209,"&lt;"&amp;$A2569+1)/$AF2569)))</f>
        <v/>
      </c>
      <c r="F2569" s="56">
        <f>IF($B2569=0,"",IF(Inputs!$B$9="","",IF($AG2569=0,F2568,SUMIFS(Data!$N$10:$N$3209,Data!$M$10:$M$3209,"&gt;="&amp;$A2569,Data!$M$10:$M$3209,"&lt;"&amp;$A2569+1)/$AG2569)))</f>
        <v/>
      </c>
      <c r="G2569" s="56">
        <f>IF($B2569=0,"",IF(Inputs!$B$10="","",IF($AH2569=0,G2568,SUMIFS(Data!$R$10:$R$3209,Data!$Q$10:$Q$3209,"&gt;="&amp;$A2569,Data!$Q$10:$Q$3209,"&lt;"&amp;$A2569+1)/$AH2569)))</f>
        <v/>
      </c>
      <c r="I2569" s="54">
        <f>IF($B2569=0,NA(),IF($C2569="",NA(),IF(C$8="",NA(),IF(N(C$8)=0,NA(),IF(Inputs!$C$17="Rebased to 100",$C2569/C$8*100,$C2569)))))</f>
        <v/>
      </c>
      <c r="J2569" s="54">
        <f>IF($B2569=0,NA(),IF($D2569="",NA(),IF(D$8="",NA(),IF(N(D$8)=0,NA(),IF(Inputs!$C$17="Rebased to 100",$D2569/D$8*100,$D2569)))))</f>
        <v/>
      </c>
      <c r="K2569" s="54">
        <f>IF($B2569=0,NA(),IF($E2569="",NA(),IF(E$8="",NA(),IF(N(E$8)=0,NA(),IF(Inputs!$C$17="Rebased to 100",$E2569/E$8*100,$E2569)))))</f>
        <v/>
      </c>
      <c r="L2569" s="54">
        <f>IF($B2569=0,NA(),IF($F2569="",NA(),IF(F$8="",NA(),IF(N(F$8)=0,NA(),IF(Inputs!$C$17="Rebased to 100",$F2569/F$8*100,$F2569)))))</f>
        <v/>
      </c>
      <c r="M2569" s="54">
        <f>IF($B2569=0,NA(),IF($G2569="",NA(),IF(G$8="",NA(),IF(N(G$8)=0,NA(),IF(Inputs!$C$17="Rebased to 100",$G2569/G$8*100,$G2569)))))</f>
        <v/>
      </c>
      <c r="N2569" s="54">
        <f>IF($B2569=0,NA(),IF(Inputs!$C$18&lt;&gt;"Yes",NA(),IF(COUNT(I2569,J2569,K2569,L2569,M2569)=0,NA(),MIN(I2569,J2569,K2569,L2569,M2569))))</f>
        <v/>
      </c>
      <c r="O2569" s="54">
        <f>IF($B2569=0,NA(),IF(Inputs!$B$24&lt;&gt;"Yes",NA(),Inputs!$D$24*Inputs!$C$35))</f>
        <v/>
      </c>
      <c r="P2569" s="54">
        <f>IF($B2569=0,NA(),IF(Inputs!$B$25&lt;&gt;"Yes",NA(),Inputs!$D$25*Inputs!$C$35))</f>
        <v/>
      </c>
      <c r="Q2569" s="54">
        <f>IF($B2569=0,NA(),IF(Inputs!$B$26&lt;&gt;"Yes",NA(),Inputs!$D$26*Inputs!$C$35))</f>
        <v/>
      </c>
      <c r="R2569" s="54">
        <f>IF($B2569=0,NA(),IF(Inputs!$B$27&lt;&gt;"Yes",NA(),Inputs!$D$27*Inputs!$C$35))</f>
        <v/>
      </c>
      <c r="S2569" s="54">
        <f>IF($B2569=0,NA(),IF(Inputs!$B$28&lt;&gt;"Yes",NA(),Inputs!$D$28*Inputs!$C$35))</f>
        <v/>
      </c>
      <c r="T2569" s="54">
        <f>IF($B2569=0,NA(),IF(Inputs!$B$29&lt;&gt;"Yes",NA(),Inputs!$D$29*Inputs!$C$35))</f>
        <v/>
      </c>
      <c r="AD2569">
        <f>IF($B2569=0,0,IF(Inputs!$B$6="",0,COUNTIFS(Data!$A$10:$A$3209,"&gt;="&amp;$A2569,Data!$A$10:$A$3209,"&lt;"&amp;$A2569+1)))</f>
        <v/>
      </c>
      <c r="AE2569">
        <f>IF($B2569=0,0,IF(Inputs!$B$7="",0,COUNTIFS(Data!$E$10:$E$3209,"&gt;="&amp;$A2569,Data!$E$10:$E$3209,"&lt;"&amp;$A2569+1)))</f>
        <v/>
      </c>
      <c r="AF2569">
        <f>IF($B2569=0,0,IF(Inputs!$B$8="",0,COUNTIFS(Data!$I$10:$I$3209,"&gt;="&amp;$A2569,Data!$I$10:$I$3209,"&lt;"&amp;$A2569+1)))</f>
        <v/>
      </c>
      <c r="AG2569">
        <f>IF($B2569=0,0,IF(Inputs!$B$9="",0,COUNTIFS(Data!$M$10:$M$3209,"&gt;="&amp;$A2569,Data!$M$10:$M$3209,"&lt;"&amp;$A2569+1)))</f>
        <v/>
      </c>
      <c r="AH2569">
        <f>IF($B2569=0,0,IF(Inputs!$B$10="",0,COUNTIFS(Data!$Q$10:$Q$3209,"&gt;="&amp;$A2569,Data!$Q$10:$Q$3209,"&lt;"&amp;$A2569+1)))</f>
        <v/>
      </c>
    </row>
    <row r="2570">
      <c r="A2570" s="55">
        <f>MIN(Inputs!$C$15,$A2569+IF(WEEKDAY($A2569,2)=5,3,1))</f>
        <v/>
      </c>
      <c r="B2570">
        <f>IF($A2570&gt;$A2569,1,0)</f>
        <v/>
      </c>
      <c r="C2570" s="56">
        <f>IF($B2570=0,"",IF(Inputs!$B$6="","",IF($AD2570=0,C2569,SUMIFS(Data!$B$10:$B$3209,Data!$A$10:$A$3209,"&gt;="&amp;$A2570,Data!$A$10:$A$3209,"&lt;"&amp;$A2570+1)/$AD2570)))</f>
        <v/>
      </c>
      <c r="D2570" s="56">
        <f>IF($B2570=0,"",IF(Inputs!$B$7="","",IF($AE2570=0,D2569,SUMIFS(Data!$F$10:$F$3209,Data!$E$10:$E$3209,"&gt;="&amp;$A2570,Data!$E$10:$E$3209,"&lt;"&amp;$A2570+1)/$AE2570)))</f>
        <v/>
      </c>
      <c r="E2570" s="56">
        <f>IF($B2570=0,"",IF(Inputs!$B$8="","",IF($AF2570=0,E2569,SUMIFS(Data!$J$10:$J$3209,Data!$I$10:$I$3209,"&gt;="&amp;$A2570,Data!$I$10:$I$3209,"&lt;"&amp;$A2570+1)/$AF2570)))</f>
        <v/>
      </c>
      <c r="F2570" s="56">
        <f>IF($B2570=0,"",IF(Inputs!$B$9="","",IF($AG2570=0,F2569,SUMIFS(Data!$N$10:$N$3209,Data!$M$10:$M$3209,"&gt;="&amp;$A2570,Data!$M$10:$M$3209,"&lt;"&amp;$A2570+1)/$AG2570)))</f>
        <v/>
      </c>
      <c r="G2570" s="56">
        <f>IF($B2570=0,"",IF(Inputs!$B$10="","",IF($AH2570=0,G2569,SUMIFS(Data!$R$10:$R$3209,Data!$Q$10:$Q$3209,"&gt;="&amp;$A2570,Data!$Q$10:$Q$3209,"&lt;"&amp;$A2570+1)/$AH2570)))</f>
        <v/>
      </c>
      <c r="I2570" s="54">
        <f>IF($B2570=0,NA(),IF($C2570="",NA(),IF(C$8="",NA(),IF(N(C$8)=0,NA(),IF(Inputs!$C$17="Rebased to 100",$C2570/C$8*100,$C2570)))))</f>
        <v/>
      </c>
      <c r="J2570" s="54">
        <f>IF($B2570=0,NA(),IF($D2570="",NA(),IF(D$8="",NA(),IF(N(D$8)=0,NA(),IF(Inputs!$C$17="Rebased to 100",$D2570/D$8*100,$D2570)))))</f>
        <v/>
      </c>
      <c r="K2570" s="54">
        <f>IF($B2570=0,NA(),IF($E2570="",NA(),IF(E$8="",NA(),IF(N(E$8)=0,NA(),IF(Inputs!$C$17="Rebased to 100",$E2570/E$8*100,$E2570)))))</f>
        <v/>
      </c>
      <c r="L2570" s="54">
        <f>IF($B2570=0,NA(),IF($F2570="",NA(),IF(F$8="",NA(),IF(N(F$8)=0,NA(),IF(Inputs!$C$17="Rebased to 100",$F2570/F$8*100,$F2570)))))</f>
        <v/>
      </c>
      <c r="M2570" s="54">
        <f>IF($B2570=0,NA(),IF($G2570="",NA(),IF(G$8="",NA(),IF(N(G$8)=0,NA(),IF(Inputs!$C$17="Rebased to 100",$G2570/G$8*100,$G2570)))))</f>
        <v/>
      </c>
      <c r="N2570" s="54">
        <f>IF($B2570=0,NA(),IF(Inputs!$C$18&lt;&gt;"Yes",NA(),IF(COUNT(I2570,J2570,K2570,L2570,M2570)=0,NA(),MIN(I2570,J2570,K2570,L2570,M2570))))</f>
        <v/>
      </c>
      <c r="O2570" s="54">
        <f>IF($B2570=0,NA(),IF(Inputs!$B$24&lt;&gt;"Yes",NA(),Inputs!$D$24*Inputs!$C$35))</f>
        <v/>
      </c>
      <c r="P2570" s="54">
        <f>IF($B2570=0,NA(),IF(Inputs!$B$25&lt;&gt;"Yes",NA(),Inputs!$D$25*Inputs!$C$35))</f>
        <v/>
      </c>
      <c r="Q2570" s="54">
        <f>IF($B2570=0,NA(),IF(Inputs!$B$26&lt;&gt;"Yes",NA(),Inputs!$D$26*Inputs!$C$35))</f>
        <v/>
      </c>
      <c r="R2570" s="54">
        <f>IF($B2570=0,NA(),IF(Inputs!$B$27&lt;&gt;"Yes",NA(),Inputs!$D$27*Inputs!$C$35))</f>
        <v/>
      </c>
      <c r="S2570" s="54">
        <f>IF($B2570=0,NA(),IF(Inputs!$B$28&lt;&gt;"Yes",NA(),Inputs!$D$28*Inputs!$C$35))</f>
        <v/>
      </c>
      <c r="T2570" s="54">
        <f>IF($B2570=0,NA(),IF(Inputs!$B$29&lt;&gt;"Yes",NA(),Inputs!$D$29*Inputs!$C$35))</f>
        <v/>
      </c>
      <c r="AD2570">
        <f>IF($B2570=0,0,IF(Inputs!$B$6="",0,COUNTIFS(Data!$A$10:$A$3209,"&gt;="&amp;$A2570,Data!$A$10:$A$3209,"&lt;"&amp;$A2570+1)))</f>
        <v/>
      </c>
      <c r="AE2570">
        <f>IF($B2570=0,0,IF(Inputs!$B$7="",0,COUNTIFS(Data!$E$10:$E$3209,"&gt;="&amp;$A2570,Data!$E$10:$E$3209,"&lt;"&amp;$A2570+1)))</f>
        <v/>
      </c>
      <c r="AF2570">
        <f>IF($B2570=0,0,IF(Inputs!$B$8="",0,COUNTIFS(Data!$I$10:$I$3209,"&gt;="&amp;$A2570,Data!$I$10:$I$3209,"&lt;"&amp;$A2570+1)))</f>
        <v/>
      </c>
      <c r="AG2570">
        <f>IF($B2570=0,0,IF(Inputs!$B$9="",0,COUNTIFS(Data!$M$10:$M$3209,"&gt;="&amp;$A2570,Data!$M$10:$M$3209,"&lt;"&amp;$A2570+1)))</f>
        <v/>
      </c>
      <c r="AH2570">
        <f>IF($B2570=0,0,IF(Inputs!$B$10="",0,COUNTIFS(Data!$Q$10:$Q$3209,"&gt;="&amp;$A2570,Data!$Q$10:$Q$3209,"&lt;"&amp;$A2570+1)))</f>
        <v/>
      </c>
    </row>
    <row r="2571">
      <c r="A2571" s="55">
        <f>MIN(Inputs!$C$15,$A2570+IF(WEEKDAY($A2570,2)=5,3,1))</f>
        <v/>
      </c>
      <c r="B2571">
        <f>IF($A2571&gt;$A2570,1,0)</f>
        <v/>
      </c>
      <c r="C2571" s="56">
        <f>IF($B2571=0,"",IF(Inputs!$B$6="","",IF($AD2571=0,C2570,SUMIFS(Data!$B$10:$B$3209,Data!$A$10:$A$3209,"&gt;="&amp;$A2571,Data!$A$10:$A$3209,"&lt;"&amp;$A2571+1)/$AD2571)))</f>
        <v/>
      </c>
      <c r="D2571" s="56">
        <f>IF($B2571=0,"",IF(Inputs!$B$7="","",IF($AE2571=0,D2570,SUMIFS(Data!$F$10:$F$3209,Data!$E$10:$E$3209,"&gt;="&amp;$A2571,Data!$E$10:$E$3209,"&lt;"&amp;$A2571+1)/$AE2571)))</f>
        <v/>
      </c>
      <c r="E2571" s="56">
        <f>IF($B2571=0,"",IF(Inputs!$B$8="","",IF($AF2571=0,E2570,SUMIFS(Data!$J$10:$J$3209,Data!$I$10:$I$3209,"&gt;="&amp;$A2571,Data!$I$10:$I$3209,"&lt;"&amp;$A2571+1)/$AF2571)))</f>
        <v/>
      </c>
      <c r="F2571" s="56">
        <f>IF($B2571=0,"",IF(Inputs!$B$9="","",IF($AG2571=0,F2570,SUMIFS(Data!$N$10:$N$3209,Data!$M$10:$M$3209,"&gt;="&amp;$A2571,Data!$M$10:$M$3209,"&lt;"&amp;$A2571+1)/$AG2571)))</f>
        <v/>
      </c>
      <c r="G2571" s="56">
        <f>IF($B2571=0,"",IF(Inputs!$B$10="","",IF($AH2571=0,G2570,SUMIFS(Data!$R$10:$R$3209,Data!$Q$10:$Q$3209,"&gt;="&amp;$A2571,Data!$Q$10:$Q$3209,"&lt;"&amp;$A2571+1)/$AH2571)))</f>
        <v/>
      </c>
      <c r="I2571" s="54">
        <f>IF($B2571=0,NA(),IF($C2571="",NA(),IF(C$8="",NA(),IF(N(C$8)=0,NA(),IF(Inputs!$C$17="Rebased to 100",$C2571/C$8*100,$C2571)))))</f>
        <v/>
      </c>
      <c r="J2571" s="54">
        <f>IF($B2571=0,NA(),IF($D2571="",NA(),IF(D$8="",NA(),IF(N(D$8)=0,NA(),IF(Inputs!$C$17="Rebased to 100",$D2571/D$8*100,$D2571)))))</f>
        <v/>
      </c>
      <c r="K2571" s="54">
        <f>IF($B2571=0,NA(),IF($E2571="",NA(),IF(E$8="",NA(),IF(N(E$8)=0,NA(),IF(Inputs!$C$17="Rebased to 100",$E2571/E$8*100,$E2571)))))</f>
        <v/>
      </c>
      <c r="L2571" s="54">
        <f>IF($B2571=0,NA(),IF($F2571="",NA(),IF(F$8="",NA(),IF(N(F$8)=0,NA(),IF(Inputs!$C$17="Rebased to 100",$F2571/F$8*100,$F2571)))))</f>
        <v/>
      </c>
      <c r="M2571" s="54">
        <f>IF($B2571=0,NA(),IF($G2571="",NA(),IF(G$8="",NA(),IF(N(G$8)=0,NA(),IF(Inputs!$C$17="Rebased to 100",$G2571/G$8*100,$G2571)))))</f>
        <v/>
      </c>
      <c r="N2571" s="54">
        <f>IF($B2571=0,NA(),IF(Inputs!$C$18&lt;&gt;"Yes",NA(),IF(COUNT(I2571,J2571,K2571,L2571,M2571)=0,NA(),MIN(I2571,J2571,K2571,L2571,M2571))))</f>
        <v/>
      </c>
      <c r="O2571" s="54">
        <f>IF($B2571=0,NA(),IF(Inputs!$B$24&lt;&gt;"Yes",NA(),Inputs!$D$24*Inputs!$C$35))</f>
        <v/>
      </c>
      <c r="P2571" s="54">
        <f>IF($B2571=0,NA(),IF(Inputs!$B$25&lt;&gt;"Yes",NA(),Inputs!$D$25*Inputs!$C$35))</f>
        <v/>
      </c>
      <c r="Q2571" s="54">
        <f>IF($B2571=0,NA(),IF(Inputs!$B$26&lt;&gt;"Yes",NA(),Inputs!$D$26*Inputs!$C$35))</f>
        <v/>
      </c>
      <c r="R2571" s="54">
        <f>IF($B2571=0,NA(),IF(Inputs!$B$27&lt;&gt;"Yes",NA(),Inputs!$D$27*Inputs!$C$35))</f>
        <v/>
      </c>
      <c r="S2571" s="54">
        <f>IF($B2571=0,NA(),IF(Inputs!$B$28&lt;&gt;"Yes",NA(),Inputs!$D$28*Inputs!$C$35))</f>
        <v/>
      </c>
      <c r="T2571" s="54">
        <f>IF($B2571=0,NA(),IF(Inputs!$B$29&lt;&gt;"Yes",NA(),Inputs!$D$29*Inputs!$C$35))</f>
        <v/>
      </c>
      <c r="AD2571">
        <f>IF($B2571=0,0,IF(Inputs!$B$6="",0,COUNTIFS(Data!$A$10:$A$3209,"&gt;="&amp;$A2571,Data!$A$10:$A$3209,"&lt;"&amp;$A2571+1)))</f>
        <v/>
      </c>
      <c r="AE2571">
        <f>IF($B2571=0,0,IF(Inputs!$B$7="",0,COUNTIFS(Data!$E$10:$E$3209,"&gt;="&amp;$A2571,Data!$E$10:$E$3209,"&lt;"&amp;$A2571+1)))</f>
        <v/>
      </c>
      <c r="AF2571">
        <f>IF($B2571=0,0,IF(Inputs!$B$8="",0,COUNTIFS(Data!$I$10:$I$3209,"&gt;="&amp;$A2571,Data!$I$10:$I$3209,"&lt;"&amp;$A2571+1)))</f>
        <v/>
      </c>
      <c r="AG2571">
        <f>IF($B2571=0,0,IF(Inputs!$B$9="",0,COUNTIFS(Data!$M$10:$M$3209,"&gt;="&amp;$A2571,Data!$M$10:$M$3209,"&lt;"&amp;$A2571+1)))</f>
        <v/>
      </c>
      <c r="AH2571">
        <f>IF($B2571=0,0,IF(Inputs!$B$10="",0,COUNTIFS(Data!$Q$10:$Q$3209,"&gt;="&amp;$A2571,Data!$Q$10:$Q$3209,"&lt;"&amp;$A2571+1)))</f>
        <v/>
      </c>
    </row>
    <row r="2572">
      <c r="A2572" s="55">
        <f>MIN(Inputs!$C$15,$A2571+IF(WEEKDAY($A2571,2)=5,3,1))</f>
        <v/>
      </c>
      <c r="B2572">
        <f>IF($A2572&gt;$A2571,1,0)</f>
        <v/>
      </c>
      <c r="C2572" s="56">
        <f>IF($B2572=0,"",IF(Inputs!$B$6="","",IF($AD2572=0,C2571,SUMIFS(Data!$B$10:$B$3209,Data!$A$10:$A$3209,"&gt;="&amp;$A2572,Data!$A$10:$A$3209,"&lt;"&amp;$A2572+1)/$AD2572)))</f>
        <v/>
      </c>
      <c r="D2572" s="56">
        <f>IF($B2572=0,"",IF(Inputs!$B$7="","",IF($AE2572=0,D2571,SUMIFS(Data!$F$10:$F$3209,Data!$E$10:$E$3209,"&gt;="&amp;$A2572,Data!$E$10:$E$3209,"&lt;"&amp;$A2572+1)/$AE2572)))</f>
        <v/>
      </c>
      <c r="E2572" s="56">
        <f>IF($B2572=0,"",IF(Inputs!$B$8="","",IF($AF2572=0,E2571,SUMIFS(Data!$J$10:$J$3209,Data!$I$10:$I$3209,"&gt;="&amp;$A2572,Data!$I$10:$I$3209,"&lt;"&amp;$A2572+1)/$AF2572)))</f>
        <v/>
      </c>
      <c r="F2572" s="56">
        <f>IF($B2572=0,"",IF(Inputs!$B$9="","",IF($AG2572=0,F2571,SUMIFS(Data!$N$10:$N$3209,Data!$M$10:$M$3209,"&gt;="&amp;$A2572,Data!$M$10:$M$3209,"&lt;"&amp;$A2572+1)/$AG2572)))</f>
        <v/>
      </c>
      <c r="G2572" s="56">
        <f>IF($B2572=0,"",IF(Inputs!$B$10="","",IF($AH2572=0,G2571,SUMIFS(Data!$R$10:$R$3209,Data!$Q$10:$Q$3209,"&gt;="&amp;$A2572,Data!$Q$10:$Q$3209,"&lt;"&amp;$A2572+1)/$AH2572)))</f>
        <v/>
      </c>
      <c r="I2572" s="54">
        <f>IF($B2572=0,NA(),IF($C2572="",NA(),IF(C$8="",NA(),IF(N(C$8)=0,NA(),IF(Inputs!$C$17="Rebased to 100",$C2572/C$8*100,$C2572)))))</f>
        <v/>
      </c>
      <c r="J2572" s="54">
        <f>IF($B2572=0,NA(),IF($D2572="",NA(),IF(D$8="",NA(),IF(N(D$8)=0,NA(),IF(Inputs!$C$17="Rebased to 100",$D2572/D$8*100,$D2572)))))</f>
        <v/>
      </c>
      <c r="K2572" s="54">
        <f>IF($B2572=0,NA(),IF($E2572="",NA(),IF(E$8="",NA(),IF(N(E$8)=0,NA(),IF(Inputs!$C$17="Rebased to 100",$E2572/E$8*100,$E2572)))))</f>
        <v/>
      </c>
      <c r="L2572" s="54">
        <f>IF($B2572=0,NA(),IF($F2572="",NA(),IF(F$8="",NA(),IF(N(F$8)=0,NA(),IF(Inputs!$C$17="Rebased to 100",$F2572/F$8*100,$F2572)))))</f>
        <v/>
      </c>
      <c r="M2572" s="54">
        <f>IF($B2572=0,NA(),IF($G2572="",NA(),IF(G$8="",NA(),IF(N(G$8)=0,NA(),IF(Inputs!$C$17="Rebased to 100",$G2572/G$8*100,$G2572)))))</f>
        <v/>
      </c>
      <c r="N2572" s="54">
        <f>IF($B2572=0,NA(),IF(Inputs!$C$18&lt;&gt;"Yes",NA(),IF(COUNT(I2572,J2572,K2572,L2572,M2572)=0,NA(),MIN(I2572,J2572,K2572,L2572,M2572))))</f>
        <v/>
      </c>
      <c r="O2572" s="54">
        <f>IF($B2572=0,NA(),IF(Inputs!$B$24&lt;&gt;"Yes",NA(),Inputs!$D$24*Inputs!$C$35))</f>
        <v/>
      </c>
      <c r="P2572" s="54">
        <f>IF($B2572=0,NA(),IF(Inputs!$B$25&lt;&gt;"Yes",NA(),Inputs!$D$25*Inputs!$C$35))</f>
        <v/>
      </c>
      <c r="Q2572" s="54">
        <f>IF($B2572=0,NA(),IF(Inputs!$B$26&lt;&gt;"Yes",NA(),Inputs!$D$26*Inputs!$C$35))</f>
        <v/>
      </c>
      <c r="R2572" s="54">
        <f>IF($B2572=0,NA(),IF(Inputs!$B$27&lt;&gt;"Yes",NA(),Inputs!$D$27*Inputs!$C$35))</f>
        <v/>
      </c>
      <c r="S2572" s="54">
        <f>IF($B2572=0,NA(),IF(Inputs!$B$28&lt;&gt;"Yes",NA(),Inputs!$D$28*Inputs!$C$35))</f>
        <v/>
      </c>
      <c r="T2572" s="54">
        <f>IF($B2572=0,NA(),IF(Inputs!$B$29&lt;&gt;"Yes",NA(),Inputs!$D$29*Inputs!$C$35))</f>
        <v/>
      </c>
      <c r="AD2572">
        <f>IF($B2572=0,0,IF(Inputs!$B$6="",0,COUNTIFS(Data!$A$10:$A$3209,"&gt;="&amp;$A2572,Data!$A$10:$A$3209,"&lt;"&amp;$A2572+1)))</f>
        <v/>
      </c>
      <c r="AE2572">
        <f>IF($B2572=0,0,IF(Inputs!$B$7="",0,COUNTIFS(Data!$E$10:$E$3209,"&gt;="&amp;$A2572,Data!$E$10:$E$3209,"&lt;"&amp;$A2572+1)))</f>
        <v/>
      </c>
      <c r="AF2572">
        <f>IF($B2572=0,0,IF(Inputs!$B$8="",0,COUNTIFS(Data!$I$10:$I$3209,"&gt;="&amp;$A2572,Data!$I$10:$I$3209,"&lt;"&amp;$A2572+1)))</f>
        <v/>
      </c>
      <c r="AG2572">
        <f>IF($B2572=0,0,IF(Inputs!$B$9="",0,COUNTIFS(Data!$M$10:$M$3209,"&gt;="&amp;$A2572,Data!$M$10:$M$3209,"&lt;"&amp;$A2572+1)))</f>
        <v/>
      </c>
      <c r="AH2572">
        <f>IF($B2572=0,0,IF(Inputs!$B$10="",0,COUNTIFS(Data!$Q$10:$Q$3209,"&gt;="&amp;$A2572,Data!$Q$10:$Q$3209,"&lt;"&amp;$A2572+1)))</f>
        <v/>
      </c>
    </row>
    <row r="2573">
      <c r="A2573" s="55">
        <f>MIN(Inputs!$C$15,$A2572+IF(WEEKDAY($A2572,2)=5,3,1))</f>
        <v/>
      </c>
      <c r="B2573">
        <f>IF($A2573&gt;$A2572,1,0)</f>
        <v/>
      </c>
      <c r="C2573" s="56">
        <f>IF($B2573=0,"",IF(Inputs!$B$6="","",IF($AD2573=0,C2572,SUMIFS(Data!$B$10:$B$3209,Data!$A$10:$A$3209,"&gt;="&amp;$A2573,Data!$A$10:$A$3209,"&lt;"&amp;$A2573+1)/$AD2573)))</f>
        <v/>
      </c>
      <c r="D2573" s="56">
        <f>IF($B2573=0,"",IF(Inputs!$B$7="","",IF($AE2573=0,D2572,SUMIFS(Data!$F$10:$F$3209,Data!$E$10:$E$3209,"&gt;="&amp;$A2573,Data!$E$10:$E$3209,"&lt;"&amp;$A2573+1)/$AE2573)))</f>
        <v/>
      </c>
      <c r="E2573" s="56">
        <f>IF($B2573=0,"",IF(Inputs!$B$8="","",IF($AF2573=0,E2572,SUMIFS(Data!$J$10:$J$3209,Data!$I$10:$I$3209,"&gt;="&amp;$A2573,Data!$I$10:$I$3209,"&lt;"&amp;$A2573+1)/$AF2573)))</f>
        <v/>
      </c>
      <c r="F2573" s="56">
        <f>IF($B2573=0,"",IF(Inputs!$B$9="","",IF($AG2573=0,F2572,SUMIFS(Data!$N$10:$N$3209,Data!$M$10:$M$3209,"&gt;="&amp;$A2573,Data!$M$10:$M$3209,"&lt;"&amp;$A2573+1)/$AG2573)))</f>
        <v/>
      </c>
      <c r="G2573" s="56">
        <f>IF($B2573=0,"",IF(Inputs!$B$10="","",IF($AH2573=0,G2572,SUMIFS(Data!$R$10:$R$3209,Data!$Q$10:$Q$3209,"&gt;="&amp;$A2573,Data!$Q$10:$Q$3209,"&lt;"&amp;$A2573+1)/$AH2573)))</f>
        <v/>
      </c>
      <c r="I2573" s="54">
        <f>IF($B2573=0,NA(),IF($C2573="",NA(),IF(C$8="",NA(),IF(N(C$8)=0,NA(),IF(Inputs!$C$17="Rebased to 100",$C2573/C$8*100,$C2573)))))</f>
        <v/>
      </c>
      <c r="J2573" s="54">
        <f>IF($B2573=0,NA(),IF($D2573="",NA(),IF(D$8="",NA(),IF(N(D$8)=0,NA(),IF(Inputs!$C$17="Rebased to 100",$D2573/D$8*100,$D2573)))))</f>
        <v/>
      </c>
      <c r="K2573" s="54">
        <f>IF($B2573=0,NA(),IF($E2573="",NA(),IF(E$8="",NA(),IF(N(E$8)=0,NA(),IF(Inputs!$C$17="Rebased to 100",$E2573/E$8*100,$E2573)))))</f>
        <v/>
      </c>
      <c r="L2573" s="54">
        <f>IF($B2573=0,NA(),IF($F2573="",NA(),IF(F$8="",NA(),IF(N(F$8)=0,NA(),IF(Inputs!$C$17="Rebased to 100",$F2573/F$8*100,$F2573)))))</f>
        <v/>
      </c>
      <c r="M2573" s="54">
        <f>IF($B2573=0,NA(),IF($G2573="",NA(),IF(G$8="",NA(),IF(N(G$8)=0,NA(),IF(Inputs!$C$17="Rebased to 100",$G2573/G$8*100,$G2573)))))</f>
        <v/>
      </c>
      <c r="N2573" s="54">
        <f>IF($B2573=0,NA(),IF(Inputs!$C$18&lt;&gt;"Yes",NA(),IF(COUNT(I2573,J2573,K2573,L2573,M2573)=0,NA(),MIN(I2573,J2573,K2573,L2573,M2573))))</f>
        <v/>
      </c>
      <c r="O2573" s="54">
        <f>IF($B2573=0,NA(),IF(Inputs!$B$24&lt;&gt;"Yes",NA(),Inputs!$D$24*Inputs!$C$35))</f>
        <v/>
      </c>
      <c r="P2573" s="54">
        <f>IF($B2573=0,NA(),IF(Inputs!$B$25&lt;&gt;"Yes",NA(),Inputs!$D$25*Inputs!$C$35))</f>
        <v/>
      </c>
      <c r="Q2573" s="54">
        <f>IF($B2573=0,NA(),IF(Inputs!$B$26&lt;&gt;"Yes",NA(),Inputs!$D$26*Inputs!$C$35))</f>
        <v/>
      </c>
      <c r="R2573" s="54">
        <f>IF($B2573=0,NA(),IF(Inputs!$B$27&lt;&gt;"Yes",NA(),Inputs!$D$27*Inputs!$C$35))</f>
        <v/>
      </c>
      <c r="S2573" s="54">
        <f>IF($B2573=0,NA(),IF(Inputs!$B$28&lt;&gt;"Yes",NA(),Inputs!$D$28*Inputs!$C$35))</f>
        <v/>
      </c>
      <c r="T2573" s="54">
        <f>IF($B2573=0,NA(),IF(Inputs!$B$29&lt;&gt;"Yes",NA(),Inputs!$D$29*Inputs!$C$35))</f>
        <v/>
      </c>
      <c r="AD2573">
        <f>IF($B2573=0,0,IF(Inputs!$B$6="",0,COUNTIFS(Data!$A$10:$A$3209,"&gt;="&amp;$A2573,Data!$A$10:$A$3209,"&lt;"&amp;$A2573+1)))</f>
        <v/>
      </c>
      <c r="AE2573">
        <f>IF($B2573=0,0,IF(Inputs!$B$7="",0,COUNTIFS(Data!$E$10:$E$3209,"&gt;="&amp;$A2573,Data!$E$10:$E$3209,"&lt;"&amp;$A2573+1)))</f>
        <v/>
      </c>
      <c r="AF2573">
        <f>IF($B2573=0,0,IF(Inputs!$B$8="",0,COUNTIFS(Data!$I$10:$I$3209,"&gt;="&amp;$A2573,Data!$I$10:$I$3209,"&lt;"&amp;$A2573+1)))</f>
        <v/>
      </c>
      <c r="AG2573">
        <f>IF($B2573=0,0,IF(Inputs!$B$9="",0,COUNTIFS(Data!$M$10:$M$3209,"&gt;="&amp;$A2573,Data!$M$10:$M$3209,"&lt;"&amp;$A2573+1)))</f>
        <v/>
      </c>
      <c r="AH2573">
        <f>IF($B2573=0,0,IF(Inputs!$B$10="",0,COUNTIFS(Data!$Q$10:$Q$3209,"&gt;="&amp;$A2573,Data!$Q$10:$Q$3209,"&lt;"&amp;$A2573+1)))</f>
        <v/>
      </c>
    </row>
    <row r="2574">
      <c r="A2574" s="55">
        <f>MIN(Inputs!$C$15,$A2573+IF(WEEKDAY($A2573,2)=5,3,1))</f>
        <v/>
      </c>
      <c r="B2574">
        <f>IF($A2574&gt;$A2573,1,0)</f>
        <v/>
      </c>
      <c r="C2574" s="56">
        <f>IF($B2574=0,"",IF(Inputs!$B$6="","",IF($AD2574=0,C2573,SUMIFS(Data!$B$10:$B$3209,Data!$A$10:$A$3209,"&gt;="&amp;$A2574,Data!$A$10:$A$3209,"&lt;"&amp;$A2574+1)/$AD2574)))</f>
        <v/>
      </c>
      <c r="D2574" s="56">
        <f>IF($B2574=0,"",IF(Inputs!$B$7="","",IF($AE2574=0,D2573,SUMIFS(Data!$F$10:$F$3209,Data!$E$10:$E$3209,"&gt;="&amp;$A2574,Data!$E$10:$E$3209,"&lt;"&amp;$A2574+1)/$AE2574)))</f>
        <v/>
      </c>
      <c r="E2574" s="56">
        <f>IF($B2574=0,"",IF(Inputs!$B$8="","",IF($AF2574=0,E2573,SUMIFS(Data!$J$10:$J$3209,Data!$I$10:$I$3209,"&gt;="&amp;$A2574,Data!$I$10:$I$3209,"&lt;"&amp;$A2574+1)/$AF2574)))</f>
        <v/>
      </c>
      <c r="F2574" s="56">
        <f>IF($B2574=0,"",IF(Inputs!$B$9="","",IF($AG2574=0,F2573,SUMIFS(Data!$N$10:$N$3209,Data!$M$10:$M$3209,"&gt;="&amp;$A2574,Data!$M$10:$M$3209,"&lt;"&amp;$A2574+1)/$AG2574)))</f>
        <v/>
      </c>
      <c r="G2574" s="56">
        <f>IF($B2574=0,"",IF(Inputs!$B$10="","",IF($AH2574=0,G2573,SUMIFS(Data!$R$10:$R$3209,Data!$Q$10:$Q$3209,"&gt;="&amp;$A2574,Data!$Q$10:$Q$3209,"&lt;"&amp;$A2574+1)/$AH2574)))</f>
        <v/>
      </c>
      <c r="I2574" s="54">
        <f>IF($B2574=0,NA(),IF($C2574="",NA(),IF(C$8="",NA(),IF(N(C$8)=0,NA(),IF(Inputs!$C$17="Rebased to 100",$C2574/C$8*100,$C2574)))))</f>
        <v/>
      </c>
      <c r="J2574" s="54">
        <f>IF($B2574=0,NA(),IF($D2574="",NA(),IF(D$8="",NA(),IF(N(D$8)=0,NA(),IF(Inputs!$C$17="Rebased to 100",$D2574/D$8*100,$D2574)))))</f>
        <v/>
      </c>
      <c r="K2574" s="54">
        <f>IF($B2574=0,NA(),IF($E2574="",NA(),IF(E$8="",NA(),IF(N(E$8)=0,NA(),IF(Inputs!$C$17="Rebased to 100",$E2574/E$8*100,$E2574)))))</f>
        <v/>
      </c>
      <c r="L2574" s="54">
        <f>IF($B2574=0,NA(),IF($F2574="",NA(),IF(F$8="",NA(),IF(N(F$8)=0,NA(),IF(Inputs!$C$17="Rebased to 100",$F2574/F$8*100,$F2574)))))</f>
        <v/>
      </c>
      <c r="M2574" s="54">
        <f>IF($B2574=0,NA(),IF($G2574="",NA(),IF(G$8="",NA(),IF(N(G$8)=0,NA(),IF(Inputs!$C$17="Rebased to 100",$G2574/G$8*100,$G2574)))))</f>
        <v/>
      </c>
      <c r="N2574" s="54">
        <f>IF($B2574=0,NA(),IF(Inputs!$C$18&lt;&gt;"Yes",NA(),IF(COUNT(I2574,J2574,K2574,L2574,M2574)=0,NA(),MIN(I2574,J2574,K2574,L2574,M2574))))</f>
        <v/>
      </c>
      <c r="O2574" s="54">
        <f>IF($B2574=0,NA(),IF(Inputs!$B$24&lt;&gt;"Yes",NA(),Inputs!$D$24*Inputs!$C$35))</f>
        <v/>
      </c>
      <c r="P2574" s="54">
        <f>IF($B2574=0,NA(),IF(Inputs!$B$25&lt;&gt;"Yes",NA(),Inputs!$D$25*Inputs!$C$35))</f>
        <v/>
      </c>
      <c r="Q2574" s="54">
        <f>IF($B2574=0,NA(),IF(Inputs!$B$26&lt;&gt;"Yes",NA(),Inputs!$D$26*Inputs!$C$35))</f>
        <v/>
      </c>
      <c r="R2574" s="54">
        <f>IF($B2574=0,NA(),IF(Inputs!$B$27&lt;&gt;"Yes",NA(),Inputs!$D$27*Inputs!$C$35))</f>
        <v/>
      </c>
      <c r="S2574" s="54">
        <f>IF($B2574=0,NA(),IF(Inputs!$B$28&lt;&gt;"Yes",NA(),Inputs!$D$28*Inputs!$C$35))</f>
        <v/>
      </c>
      <c r="T2574" s="54">
        <f>IF($B2574=0,NA(),IF(Inputs!$B$29&lt;&gt;"Yes",NA(),Inputs!$D$29*Inputs!$C$35))</f>
        <v/>
      </c>
      <c r="AD2574">
        <f>IF($B2574=0,0,IF(Inputs!$B$6="",0,COUNTIFS(Data!$A$10:$A$3209,"&gt;="&amp;$A2574,Data!$A$10:$A$3209,"&lt;"&amp;$A2574+1)))</f>
        <v/>
      </c>
      <c r="AE2574">
        <f>IF($B2574=0,0,IF(Inputs!$B$7="",0,COUNTIFS(Data!$E$10:$E$3209,"&gt;="&amp;$A2574,Data!$E$10:$E$3209,"&lt;"&amp;$A2574+1)))</f>
        <v/>
      </c>
      <c r="AF2574">
        <f>IF($B2574=0,0,IF(Inputs!$B$8="",0,COUNTIFS(Data!$I$10:$I$3209,"&gt;="&amp;$A2574,Data!$I$10:$I$3209,"&lt;"&amp;$A2574+1)))</f>
        <v/>
      </c>
      <c r="AG2574">
        <f>IF($B2574=0,0,IF(Inputs!$B$9="",0,COUNTIFS(Data!$M$10:$M$3209,"&gt;="&amp;$A2574,Data!$M$10:$M$3209,"&lt;"&amp;$A2574+1)))</f>
        <v/>
      </c>
      <c r="AH2574">
        <f>IF($B2574=0,0,IF(Inputs!$B$10="",0,COUNTIFS(Data!$Q$10:$Q$3209,"&gt;="&amp;$A2574,Data!$Q$10:$Q$3209,"&lt;"&amp;$A2574+1)))</f>
        <v/>
      </c>
    </row>
    <row r="2575">
      <c r="A2575" s="55">
        <f>MIN(Inputs!$C$15,$A2574+IF(WEEKDAY($A2574,2)=5,3,1))</f>
        <v/>
      </c>
      <c r="B2575">
        <f>IF($A2575&gt;$A2574,1,0)</f>
        <v/>
      </c>
      <c r="C2575" s="56">
        <f>IF($B2575=0,"",IF(Inputs!$B$6="","",IF($AD2575=0,C2574,SUMIFS(Data!$B$10:$B$3209,Data!$A$10:$A$3209,"&gt;="&amp;$A2575,Data!$A$10:$A$3209,"&lt;"&amp;$A2575+1)/$AD2575)))</f>
        <v/>
      </c>
      <c r="D2575" s="56">
        <f>IF($B2575=0,"",IF(Inputs!$B$7="","",IF($AE2575=0,D2574,SUMIFS(Data!$F$10:$F$3209,Data!$E$10:$E$3209,"&gt;="&amp;$A2575,Data!$E$10:$E$3209,"&lt;"&amp;$A2575+1)/$AE2575)))</f>
        <v/>
      </c>
      <c r="E2575" s="56">
        <f>IF($B2575=0,"",IF(Inputs!$B$8="","",IF($AF2575=0,E2574,SUMIFS(Data!$J$10:$J$3209,Data!$I$10:$I$3209,"&gt;="&amp;$A2575,Data!$I$10:$I$3209,"&lt;"&amp;$A2575+1)/$AF2575)))</f>
        <v/>
      </c>
      <c r="F2575" s="56">
        <f>IF($B2575=0,"",IF(Inputs!$B$9="","",IF($AG2575=0,F2574,SUMIFS(Data!$N$10:$N$3209,Data!$M$10:$M$3209,"&gt;="&amp;$A2575,Data!$M$10:$M$3209,"&lt;"&amp;$A2575+1)/$AG2575)))</f>
        <v/>
      </c>
      <c r="G2575" s="56">
        <f>IF($B2575=0,"",IF(Inputs!$B$10="","",IF($AH2575=0,G2574,SUMIFS(Data!$R$10:$R$3209,Data!$Q$10:$Q$3209,"&gt;="&amp;$A2575,Data!$Q$10:$Q$3209,"&lt;"&amp;$A2575+1)/$AH2575)))</f>
        <v/>
      </c>
      <c r="I2575" s="54">
        <f>IF($B2575=0,NA(),IF($C2575="",NA(),IF(C$8="",NA(),IF(N(C$8)=0,NA(),IF(Inputs!$C$17="Rebased to 100",$C2575/C$8*100,$C2575)))))</f>
        <v/>
      </c>
      <c r="J2575" s="54">
        <f>IF($B2575=0,NA(),IF($D2575="",NA(),IF(D$8="",NA(),IF(N(D$8)=0,NA(),IF(Inputs!$C$17="Rebased to 100",$D2575/D$8*100,$D2575)))))</f>
        <v/>
      </c>
      <c r="K2575" s="54">
        <f>IF($B2575=0,NA(),IF($E2575="",NA(),IF(E$8="",NA(),IF(N(E$8)=0,NA(),IF(Inputs!$C$17="Rebased to 100",$E2575/E$8*100,$E2575)))))</f>
        <v/>
      </c>
      <c r="L2575" s="54">
        <f>IF($B2575=0,NA(),IF($F2575="",NA(),IF(F$8="",NA(),IF(N(F$8)=0,NA(),IF(Inputs!$C$17="Rebased to 100",$F2575/F$8*100,$F2575)))))</f>
        <v/>
      </c>
      <c r="M2575" s="54">
        <f>IF($B2575=0,NA(),IF($G2575="",NA(),IF(G$8="",NA(),IF(N(G$8)=0,NA(),IF(Inputs!$C$17="Rebased to 100",$G2575/G$8*100,$G2575)))))</f>
        <v/>
      </c>
      <c r="N2575" s="54">
        <f>IF($B2575=0,NA(),IF(Inputs!$C$18&lt;&gt;"Yes",NA(),IF(COUNT(I2575,J2575,K2575,L2575,M2575)=0,NA(),MIN(I2575,J2575,K2575,L2575,M2575))))</f>
        <v/>
      </c>
      <c r="O2575" s="54">
        <f>IF($B2575=0,NA(),IF(Inputs!$B$24&lt;&gt;"Yes",NA(),Inputs!$D$24*Inputs!$C$35))</f>
        <v/>
      </c>
      <c r="P2575" s="54">
        <f>IF($B2575=0,NA(),IF(Inputs!$B$25&lt;&gt;"Yes",NA(),Inputs!$D$25*Inputs!$C$35))</f>
        <v/>
      </c>
      <c r="Q2575" s="54">
        <f>IF($B2575=0,NA(),IF(Inputs!$B$26&lt;&gt;"Yes",NA(),Inputs!$D$26*Inputs!$C$35))</f>
        <v/>
      </c>
      <c r="R2575" s="54">
        <f>IF($B2575=0,NA(),IF(Inputs!$B$27&lt;&gt;"Yes",NA(),Inputs!$D$27*Inputs!$C$35))</f>
        <v/>
      </c>
      <c r="S2575" s="54">
        <f>IF($B2575=0,NA(),IF(Inputs!$B$28&lt;&gt;"Yes",NA(),Inputs!$D$28*Inputs!$C$35))</f>
        <v/>
      </c>
      <c r="T2575" s="54">
        <f>IF($B2575=0,NA(),IF(Inputs!$B$29&lt;&gt;"Yes",NA(),Inputs!$D$29*Inputs!$C$35))</f>
        <v/>
      </c>
      <c r="AD2575">
        <f>IF($B2575=0,0,IF(Inputs!$B$6="",0,COUNTIFS(Data!$A$10:$A$3209,"&gt;="&amp;$A2575,Data!$A$10:$A$3209,"&lt;"&amp;$A2575+1)))</f>
        <v/>
      </c>
      <c r="AE2575">
        <f>IF($B2575=0,0,IF(Inputs!$B$7="",0,COUNTIFS(Data!$E$10:$E$3209,"&gt;="&amp;$A2575,Data!$E$10:$E$3209,"&lt;"&amp;$A2575+1)))</f>
        <v/>
      </c>
      <c r="AF2575">
        <f>IF($B2575=0,0,IF(Inputs!$B$8="",0,COUNTIFS(Data!$I$10:$I$3209,"&gt;="&amp;$A2575,Data!$I$10:$I$3209,"&lt;"&amp;$A2575+1)))</f>
        <v/>
      </c>
      <c r="AG2575">
        <f>IF($B2575=0,0,IF(Inputs!$B$9="",0,COUNTIFS(Data!$M$10:$M$3209,"&gt;="&amp;$A2575,Data!$M$10:$M$3209,"&lt;"&amp;$A2575+1)))</f>
        <v/>
      </c>
      <c r="AH2575">
        <f>IF($B2575=0,0,IF(Inputs!$B$10="",0,COUNTIFS(Data!$Q$10:$Q$3209,"&gt;="&amp;$A2575,Data!$Q$10:$Q$3209,"&lt;"&amp;$A2575+1)))</f>
        <v/>
      </c>
    </row>
    <row r="2576">
      <c r="A2576" s="55">
        <f>MIN(Inputs!$C$15,$A2575+IF(WEEKDAY($A2575,2)=5,3,1))</f>
        <v/>
      </c>
      <c r="B2576">
        <f>IF($A2576&gt;$A2575,1,0)</f>
        <v/>
      </c>
      <c r="C2576" s="56">
        <f>IF($B2576=0,"",IF(Inputs!$B$6="","",IF($AD2576=0,C2575,SUMIFS(Data!$B$10:$B$3209,Data!$A$10:$A$3209,"&gt;="&amp;$A2576,Data!$A$10:$A$3209,"&lt;"&amp;$A2576+1)/$AD2576)))</f>
        <v/>
      </c>
      <c r="D2576" s="56">
        <f>IF($B2576=0,"",IF(Inputs!$B$7="","",IF($AE2576=0,D2575,SUMIFS(Data!$F$10:$F$3209,Data!$E$10:$E$3209,"&gt;="&amp;$A2576,Data!$E$10:$E$3209,"&lt;"&amp;$A2576+1)/$AE2576)))</f>
        <v/>
      </c>
      <c r="E2576" s="56">
        <f>IF($B2576=0,"",IF(Inputs!$B$8="","",IF($AF2576=0,E2575,SUMIFS(Data!$J$10:$J$3209,Data!$I$10:$I$3209,"&gt;="&amp;$A2576,Data!$I$10:$I$3209,"&lt;"&amp;$A2576+1)/$AF2576)))</f>
        <v/>
      </c>
      <c r="F2576" s="56">
        <f>IF($B2576=0,"",IF(Inputs!$B$9="","",IF($AG2576=0,F2575,SUMIFS(Data!$N$10:$N$3209,Data!$M$10:$M$3209,"&gt;="&amp;$A2576,Data!$M$10:$M$3209,"&lt;"&amp;$A2576+1)/$AG2576)))</f>
        <v/>
      </c>
      <c r="G2576" s="56">
        <f>IF($B2576=0,"",IF(Inputs!$B$10="","",IF($AH2576=0,G2575,SUMIFS(Data!$R$10:$R$3209,Data!$Q$10:$Q$3209,"&gt;="&amp;$A2576,Data!$Q$10:$Q$3209,"&lt;"&amp;$A2576+1)/$AH2576)))</f>
        <v/>
      </c>
      <c r="I2576" s="54">
        <f>IF($B2576=0,NA(),IF($C2576="",NA(),IF(C$8="",NA(),IF(N(C$8)=0,NA(),IF(Inputs!$C$17="Rebased to 100",$C2576/C$8*100,$C2576)))))</f>
        <v/>
      </c>
      <c r="J2576" s="54">
        <f>IF($B2576=0,NA(),IF($D2576="",NA(),IF(D$8="",NA(),IF(N(D$8)=0,NA(),IF(Inputs!$C$17="Rebased to 100",$D2576/D$8*100,$D2576)))))</f>
        <v/>
      </c>
      <c r="K2576" s="54">
        <f>IF($B2576=0,NA(),IF($E2576="",NA(),IF(E$8="",NA(),IF(N(E$8)=0,NA(),IF(Inputs!$C$17="Rebased to 100",$E2576/E$8*100,$E2576)))))</f>
        <v/>
      </c>
      <c r="L2576" s="54">
        <f>IF($B2576=0,NA(),IF($F2576="",NA(),IF(F$8="",NA(),IF(N(F$8)=0,NA(),IF(Inputs!$C$17="Rebased to 100",$F2576/F$8*100,$F2576)))))</f>
        <v/>
      </c>
      <c r="M2576" s="54">
        <f>IF($B2576=0,NA(),IF($G2576="",NA(),IF(G$8="",NA(),IF(N(G$8)=0,NA(),IF(Inputs!$C$17="Rebased to 100",$G2576/G$8*100,$G2576)))))</f>
        <v/>
      </c>
      <c r="N2576" s="54">
        <f>IF($B2576=0,NA(),IF(Inputs!$C$18&lt;&gt;"Yes",NA(),IF(COUNT(I2576,J2576,K2576,L2576,M2576)=0,NA(),MIN(I2576,J2576,K2576,L2576,M2576))))</f>
        <v/>
      </c>
      <c r="O2576" s="54">
        <f>IF($B2576=0,NA(),IF(Inputs!$B$24&lt;&gt;"Yes",NA(),Inputs!$D$24*Inputs!$C$35))</f>
        <v/>
      </c>
      <c r="P2576" s="54">
        <f>IF($B2576=0,NA(),IF(Inputs!$B$25&lt;&gt;"Yes",NA(),Inputs!$D$25*Inputs!$C$35))</f>
        <v/>
      </c>
      <c r="Q2576" s="54">
        <f>IF($B2576=0,NA(),IF(Inputs!$B$26&lt;&gt;"Yes",NA(),Inputs!$D$26*Inputs!$C$35))</f>
        <v/>
      </c>
      <c r="R2576" s="54">
        <f>IF($B2576=0,NA(),IF(Inputs!$B$27&lt;&gt;"Yes",NA(),Inputs!$D$27*Inputs!$C$35))</f>
        <v/>
      </c>
      <c r="S2576" s="54">
        <f>IF($B2576=0,NA(),IF(Inputs!$B$28&lt;&gt;"Yes",NA(),Inputs!$D$28*Inputs!$C$35))</f>
        <v/>
      </c>
      <c r="T2576" s="54">
        <f>IF($B2576=0,NA(),IF(Inputs!$B$29&lt;&gt;"Yes",NA(),Inputs!$D$29*Inputs!$C$35))</f>
        <v/>
      </c>
      <c r="AD2576">
        <f>IF($B2576=0,0,IF(Inputs!$B$6="",0,COUNTIFS(Data!$A$10:$A$3209,"&gt;="&amp;$A2576,Data!$A$10:$A$3209,"&lt;"&amp;$A2576+1)))</f>
        <v/>
      </c>
      <c r="AE2576">
        <f>IF($B2576=0,0,IF(Inputs!$B$7="",0,COUNTIFS(Data!$E$10:$E$3209,"&gt;="&amp;$A2576,Data!$E$10:$E$3209,"&lt;"&amp;$A2576+1)))</f>
        <v/>
      </c>
      <c r="AF2576">
        <f>IF($B2576=0,0,IF(Inputs!$B$8="",0,COUNTIFS(Data!$I$10:$I$3209,"&gt;="&amp;$A2576,Data!$I$10:$I$3209,"&lt;"&amp;$A2576+1)))</f>
        <v/>
      </c>
      <c r="AG2576">
        <f>IF($B2576=0,0,IF(Inputs!$B$9="",0,COUNTIFS(Data!$M$10:$M$3209,"&gt;="&amp;$A2576,Data!$M$10:$M$3209,"&lt;"&amp;$A2576+1)))</f>
        <v/>
      </c>
      <c r="AH2576">
        <f>IF($B2576=0,0,IF(Inputs!$B$10="",0,COUNTIFS(Data!$Q$10:$Q$3209,"&gt;="&amp;$A2576,Data!$Q$10:$Q$3209,"&lt;"&amp;$A2576+1)))</f>
        <v/>
      </c>
    </row>
    <row r="2577">
      <c r="A2577" s="55">
        <f>MIN(Inputs!$C$15,$A2576+IF(WEEKDAY($A2576,2)=5,3,1))</f>
        <v/>
      </c>
      <c r="B2577">
        <f>IF($A2577&gt;$A2576,1,0)</f>
        <v/>
      </c>
      <c r="C2577" s="56">
        <f>IF($B2577=0,"",IF(Inputs!$B$6="","",IF($AD2577=0,C2576,SUMIFS(Data!$B$10:$B$3209,Data!$A$10:$A$3209,"&gt;="&amp;$A2577,Data!$A$10:$A$3209,"&lt;"&amp;$A2577+1)/$AD2577)))</f>
        <v/>
      </c>
      <c r="D2577" s="56">
        <f>IF($B2577=0,"",IF(Inputs!$B$7="","",IF($AE2577=0,D2576,SUMIFS(Data!$F$10:$F$3209,Data!$E$10:$E$3209,"&gt;="&amp;$A2577,Data!$E$10:$E$3209,"&lt;"&amp;$A2577+1)/$AE2577)))</f>
        <v/>
      </c>
      <c r="E2577" s="56">
        <f>IF($B2577=0,"",IF(Inputs!$B$8="","",IF($AF2577=0,E2576,SUMIFS(Data!$J$10:$J$3209,Data!$I$10:$I$3209,"&gt;="&amp;$A2577,Data!$I$10:$I$3209,"&lt;"&amp;$A2577+1)/$AF2577)))</f>
        <v/>
      </c>
      <c r="F2577" s="56">
        <f>IF($B2577=0,"",IF(Inputs!$B$9="","",IF($AG2577=0,F2576,SUMIFS(Data!$N$10:$N$3209,Data!$M$10:$M$3209,"&gt;="&amp;$A2577,Data!$M$10:$M$3209,"&lt;"&amp;$A2577+1)/$AG2577)))</f>
        <v/>
      </c>
      <c r="G2577" s="56">
        <f>IF($B2577=0,"",IF(Inputs!$B$10="","",IF($AH2577=0,G2576,SUMIFS(Data!$R$10:$R$3209,Data!$Q$10:$Q$3209,"&gt;="&amp;$A2577,Data!$Q$10:$Q$3209,"&lt;"&amp;$A2577+1)/$AH2577)))</f>
        <v/>
      </c>
      <c r="I2577" s="54">
        <f>IF($B2577=0,NA(),IF($C2577="",NA(),IF(C$8="",NA(),IF(N(C$8)=0,NA(),IF(Inputs!$C$17="Rebased to 100",$C2577/C$8*100,$C2577)))))</f>
        <v/>
      </c>
      <c r="J2577" s="54">
        <f>IF($B2577=0,NA(),IF($D2577="",NA(),IF(D$8="",NA(),IF(N(D$8)=0,NA(),IF(Inputs!$C$17="Rebased to 100",$D2577/D$8*100,$D2577)))))</f>
        <v/>
      </c>
      <c r="K2577" s="54">
        <f>IF($B2577=0,NA(),IF($E2577="",NA(),IF(E$8="",NA(),IF(N(E$8)=0,NA(),IF(Inputs!$C$17="Rebased to 100",$E2577/E$8*100,$E2577)))))</f>
        <v/>
      </c>
      <c r="L2577" s="54">
        <f>IF($B2577=0,NA(),IF($F2577="",NA(),IF(F$8="",NA(),IF(N(F$8)=0,NA(),IF(Inputs!$C$17="Rebased to 100",$F2577/F$8*100,$F2577)))))</f>
        <v/>
      </c>
      <c r="M2577" s="54">
        <f>IF($B2577=0,NA(),IF($G2577="",NA(),IF(G$8="",NA(),IF(N(G$8)=0,NA(),IF(Inputs!$C$17="Rebased to 100",$G2577/G$8*100,$G2577)))))</f>
        <v/>
      </c>
      <c r="N2577" s="54">
        <f>IF($B2577=0,NA(),IF(Inputs!$C$18&lt;&gt;"Yes",NA(),IF(COUNT(I2577,J2577,K2577,L2577,M2577)=0,NA(),MIN(I2577,J2577,K2577,L2577,M2577))))</f>
        <v/>
      </c>
      <c r="O2577" s="54">
        <f>IF($B2577=0,NA(),IF(Inputs!$B$24&lt;&gt;"Yes",NA(),Inputs!$D$24*Inputs!$C$35))</f>
        <v/>
      </c>
      <c r="P2577" s="54">
        <f>IF($B2577=0,NA(),IF(Inputs!$B$25&lt;&gt;"Yes",NA(),Inputs!$D$25*Inputs!$C$35))</f>
        <v/>
      </c>
      <c r="Q2577" s="54">
        <f>IF($B2577=0,NA(),IF(Inputs!$B$26&lt;&gt;"Yes",NA(),Inputs!$D$26*Inputs!$C$35))</f>
        <v/>
      </c>
      <c r="R2577" s="54">
        <f>IF($B2577=0,NA(),IF(Inputs!$B$27&lt;&gt;"Yes",NA(),Inputs!$D$27*Inputs!$C$35))</f>
        <v/>
      </c>
      <c r="S2577" s="54">
        <f>IF($B2577=0,NA(),IF(Inputs!$B$28&lt;&gt;"Yes",NA(),Inputs!$D$28*Inputs!$C$35))</f>
        <v/>
      </c>
      <c r="T2577" s="54">
        <f>IF($B2577=0,NA(),IF(Inputs!$B$29&lt;&gt;"Yes",NA(),Inputs!$D$29*Inputs!$C$35))</f>
        <v/>
      </c>
      <c r="AD2577">
        <f>IF($B2577=0,0,IF(Inputs!$B$6="",0,COUNTIFS(Data!$A$10:$A$3209,"&gt;="&amp;$A2577,Data!$A$10:$A$3209,"&lt;"&amp;$A2577+1)))</f>
        <v/>
      </c>
      <c r="AE2577">
        <f>IF($B2577=0,0,IF(Inputs!$B$7="",0,COUNTIFS(Data!$E$10:$E$3209,"&gt;="&amp;$A2577,Data!$E$10:$E$3209,"&lt;"&amp;$A2577+1)))</f>
        <v/>
      </c>
      <c r="AF2577">
        <f>IF($B2577=0,0,IF(Inputs!$B$8="",0,COUNTIFS(Data!$I$10:$I$3209,"&gt;="&amp;$A2577,Data!$I$10:$I$3209,"&lt;"&amp;$A2577+1)))</f>
        <v/>
      </c>
      <c r="AG2577">
        <f>IF($B2577=0,0,IF(Inputs!$B$9="",0,COUNTIFS(Data!$M$10:$M$3209,"&gt;="&amp;$A2577,Data!$M$10:$M$3209,"&lt;"&amp;$A2577+1)))</f>
        <v/>
      </c>
      <c r="AH2577">
        <f>IF($B2577=0,0,IF(Inputs!$B$10="",0,COUNTIFS(Data!$Q$10:$Q$3209,"&gt;="&amp;$A2577,Data!$Q$10:$Q$3209,"&lt;"&amp;$A2577+1)))</f>
        <v/>
      </c>
    </row>
    <row r="2578">
      <c r="A2578" s="55">
        <f>MIN(Inputs!$C$15,$A2577+IF(WEEKDAY($A2577,2)=5,3,1))</f>
        <v/>
      </c>
      <c r="B2578">
        <f>IF($A2578&gt;$A2577,1,0)</f>
        <v/>
      </c>
      <c r="C2578" s="56">
        <f>IF($B2578=0,"",IF(Inputs!$B$6="","",IF($AD2578=0,C2577,SUMIFS(Data!$B$10:$B$3209,Data!$A$10:$A$3209,"&gt;="&amp;$A2578,Data!$A$10:$A$3209,"&lt;"&amp;$A2578+1)/$AD2578)))</f>
        <v/>
      </c>
      <c r="D2578" s="56">
        <f>IF($B2578=0,"",IF(Inputs!$B$7="","",IF($AE2578=0,D2577,SUMIFS(Data!$F$10:$F$3209,Data!$E$10:$E$3209,"&gt;="&amp;$A2578,Data!$E$10:$E$3209,"&lt;"&amp;$A2578+1)/$AE2578)))</f>
        <v/>
      </c>
      <c r="E2578" s="56">
        <f>IF($B2578=0,"",IF(Inputs!$B$8="","",IF($AF2578=0,E2577,SUMIFS(Data!$J$10:$J$3209,Data!$I$10:$I$3209,"&gt;="&amp;$A2578,Data!$I$10:$I$3209,"&lt;"&amp;$A2578+1)/$AF2578)))</f>
        <v/>
      </c>
      <c r="F2578" s="56">
        <f>IF($B2578=0,"",IF(Inputs!$B$9="","",IF($AG2578=0,F2577,SUMIFS(Data!$N$10:$N$3209,Data!$M$10:$M$3209,"&gt;="&amp;$A2578,Data!$M$10:$M$3209,"&lt;"&amp;$A2578+1)/$AG2578)))</f>
        <v/>
      </c>
      <c r="G2578" s="56">
        <f>IF($B2578=0,"",IF(Inputs!$B$10="","",IF($AH2578=0,G2577,SUMIFS(Data!$R$10:$R$3209,Data!$Q$10:$Q$3209,"&gt;="&amp;$A2578,Data!$Q$10:$Q$3209,"&lt;"&amp;$A2578+1)/$AH2578)))</f>
        <v/>
      </c>
      <c r="I2578" s="54">
        <f>IF($B2578=0,NA(),IF($C2578="",NA(),IF(C$8="",NA(),IF(N(C$8)=0,NA(),IF(Inputs!$C$17="Rebased to 100",$C2578/C$8*100,$C2578)))))</f>
        <v/>
      </c>
      <c r="J2578" s="54">
        <f>IF($B2578=0,NA(),IF($D2578="",NA(),IF(D$8="",NA(),IF(N(D$8)=0,NA(),IF(Inputs!$C$17="Rebased to 100",$D2578/D$8*100,$D2578)))))</f>
        <v/>
      </c>
      <c r="K2578" s="54">
        <f>IF($B2578=0,NA(),IF($E2578="",NA(),IF(E$8="",NA(),IF(N(E$8)=0,NA(),IF(Inputs!$C$17="Rebased to 100",$E2578/E$8*100,$E2578)))))</f>
        <v/>
      </c>
      <c r="L2578" s="54">
        <f>IF($B2578=0,NA(),IF($F2578="",NA(),IF(F$8="",NA(),IF(N(F$8)=0,NA(),IF(Inputs!$C$17="Rebased to 100",$F2578/F$8*100,$F2578)))))</f>
        <v/>
      </c>
      <c r="M2578" s="54">
        <f>IF($B2578=0,NA(),IF($G2578="",NA(),IF(G$8="",NA(),IF(N(G$8)=0,NA(),IF(Inputs!$C$17="Rebased to 100",$G2578/G$8*100,$G2578)))))</f>
        <v/>
      </c>
      <c r="N2578" s="54">
        <f>IF($B2578=0,NA(),IF(Inputs!$C$18&lt;&gt;"Yes",NA(),IF(COUNT(I2578,J2578,K2578,L2578,M2578)=0,NA(),MIN(I2578,J2578,K2578,L2578,M2578))))</f>
        <v/>
      </c>
      <c r="O2578" s="54">
        <f>IF($B2578=0,NA(),IF(Inputs!$B$24&lt;&gt;"Yes",NA(),Inputs!$D$24*Inputs!$C$35))</f>
        <v/>
      </c>
      <c r="P2578" s="54">
        <f>IF($B2578=0,NA(),IF(Inputs!$B$25&lt;&gt;"Yes",NA(),Inputs!$D$25*Inputs!$C$35))</f>
        <v/>
      </c>
      <c r="Q2578" s="54">
        <f>IF($B2578=0,NA(),IF(Inputs!$B$26&lt;&gt;"Yes",NA(),Inputs!$D$26*Inputs!$C$35))</f>
        <v/>
      </c>
      <c r="R2578" s="54">
        <f>IF($B2578=0,NA(),IF(Inputs!$B$27&lt;&gt;"Yes",NA(),Inputs!$D$27*Inputs!$C$35))</f>
        <v/>
      </c>
      <c r="S2578" s="54">
        <f>IF($B2578=0,NA(),IF(Inputs!$B$28&lt;&gt;"Yes",NA(),Inputs!$D$28*Inputs!$C$35))</f>
        <v/>
      </c>
      <c r="T2578" s="54">
        <f>IF($B2578=0,NA(),IF(Inputs!$B$29&lt;&gt;"Yes",NA(),Inputs!$D$29*Inputs!$C$35))</f>
        <v/>
      </c>
      <c r="AD2578">
        <f>IF($B2578=0,0,IF(Inputs!$B$6="",0,COUNTIFS(Data!$A$10:$A$3209,"&gt;="&amp;$A2578,Data!$A$10:$A$3209,"&lt;"&amp;$A2578+1)))</f>
        <v/>
      </c>
      <c r="AE2578">
        <f>IF($B2578=0,0,IF(Inputs!$B$7="",0,COUNTIFS(Data!$E$10:$E$3209,"&gt;="&amp;$A2578,Data!$E$10:$E$3209,"&lt;"&amp;$A2578+1)))</f>
        <v/>
      </c>
      <c r="AF2578">
        <f>IF($B2578=0,0,IF(Inputs!$B$8="",0,COUNTIFS(Data!$I$10:$I$3209,"&gt;="&amp;$A2578,Data!$I$10:$I$3209,"&lt;"&amp;$A2578+1)))</f>
        <v/>
      </c>
      <c r="AG2578">
        <f>IF($B2578=0,0,IF(Inputs!$B$9="",0,COUNTIFS(Data!$M$10:$M$3209,"&gt;="&amp;$A2578,Data!$M$10:$M$3209,"&lt;"&amp;$A2578+1)))</f>
        <v/>
      </c>
      <c r="AH2578">
        <f>IF($B2578=0,0,IF(Inputs!$B$10="",0,COUNTIFS(Data!$Q$10:$Q$3209,"&gt;="&amp;$A2578,Data!$Q$10:$Q$3209,"&lt;"&amp;$A2578+1)))</f>
        <v/>
      </c>
    </row>
    <row r="2579">
      <c r="A2579" s="55">
        <f>MIN(Inputs!$C$15,$A2578+IF(WEEKDAY($A2578,2)=5,3,1))</f>
        <v/>
      </c>
      <c r="B2579">
        <f>IF($A2579&gt;$A2578,1,0)</f>
        <v/>
      </c>
      <c r="C2579" s="56">
        <f>IF($B2579=0,"",IF(Inputs!$B$6="","",IF($AD2579=0,C2578,SUMIFS(Data!$B$10:$B$3209,Data!$A$10:$A$3209,"&gt;="&amp;$A2579,Data!$A$10:$A$3209,"&lt;"&amp;$A2579+1)/$AD2579)))</f>
        <v/>
      </c>
      <c r="D2579" s="56">
        <f>IF($B2579=0,"",IF(Inputs!$B$7="","",IF($AE2579=0,D2578,SUMIFS(Data!$F$10:$F$3209,Data!$E$10:$E$3209,"&gt;="&amp;$A2579,Data!$E$10:$E$3209,"&lt;"&amp;$A2579+1)/$AE2579)))</f>
        <v/>
      </c>
      <c r="E2579" s="56">
        <f>IF($B2579=0,"",IF(Inputs!$B$8="","",IF($AF2579=0,E2578,SUMIFS(Data!$J$10:$J$3209,Data!$I$10:$I$3209,"&gt;="&amp;$A2579,Data!$I$10:$I$3209,"&lt;"&amp;$A2579+1)/$AF2579)))</f>
        <v/>
      </c>
      <c r="F2579" s="56">
        <f>IF($B2579=0,"",IF(Inputs!$B$9="","",IF($AG2579=0,F2578,SUMIFS(Data!$N$10:$N$3209,Data!$M$10:$M$3209,"&gt;="&amp;$A2579,Data!$M$10:$M$3209,"&lt;"&amp;$A2579+1)/$AG2579)))</f>
        <v/>
      </c>
      <c r="G2579" s="56">
        <f>IF($B2579=0,"",IF(Inputs!$B$10="","",IF($AH2579=0,G2578,SUMIFS(Data!$R$10:$R$3209,Data!$Q$10:$Q$3209,"&gt;="&amp;$A2579,Data!$Q$10:$Q$3209,"&lt;"&amp;$A2579+1)/$AH2579)))</f>
        <v/>
      </c>
      <c r="I2579" s="54">
        <f>IF($B2579=0,NA(),IF($C2579="",NA(),IF(C$8="",NA(),IF(N(C$8)=0,NA(),IF(Inputs!$C$17="Rebased to 100",$C2579/C$8*100,$C2579)))))</f>
        <v/>
      </c>
      <c r="J2579" s="54">
        <f>IF($B2579=0,NA(),IF($D2579="",NA(),IF(D$8="",NA(),IF(N(D$8)=0,NA(),IF(Inputs!$C$17="Rebased to 100",$D2579/D$8*100,$D2579)))))</f>
        <v/>
      </c>
      <c r="K2579" s="54">
        <f>IF($B2579=0,NA(),IF($E2579="",NA(),IF(E$8="",NA(),IF(N(E$8)=0,NA(),IF(Inputs!$C$17="Rebased to 100",$E2579/E$8*100,$E2579)))))</f>
        <v/>
      </c>
      <c r="L2579" s="54">
        <f>IF($B2579=0,NA(),IF($F2579="",NA(),IF(F$8="",NA(),IF(N(F$8)=0,NA(),IF(Inputs!$C$17="Rebased to 100",$F2579/F$8*100,$F2579)))))</f>
        <v/>
      </c>
      <c r="M2579" s="54">
        <f>IF($B2579=0,NA(),IF($G2579="",NA(),IF(G$8="",NA(),IF(N(G$8)=0,NA(),IF(Inputs!$C$17="Rebased to 100",$G2579/G$8*100,$G2579)))))</f>
        <v/>
      </c>
      <c r="N2579" s="54">
        <f>IF($B2579=0,NA(),IF(Inputs!$C$18&lt;&gt;"Yes",NA(),IF(COUNT(I2579,J2579,K2579,L2579,M2579)=0,NA(),MIN(I2579,J2579,K2579,L2579,M2579))))</f>
        <v/>
      </c>
      <c r="O2579" s="54">
        <f>IF($B2579=0,NA(),IF(Inputs!$B$24&lt;&gt;"Yes",NA(),Inputs!$D$24*Inputs!$C$35))</f>
        <v/>
      </c>
      <c r="P2579" s="54">
        <f>IF($B2579=0,NA(),IF(Inputs!$B$25&lt;&gt;"Yes",NA(),Inputs!$D$25*Inputs!$C$35))</f>
        <v/>
      </c>
      <c r="Q2579" s="54">
        <f>IF($B2579=0,NA(),IF(Inputs!$B$26&lt;&gt;"Yes",NA(),Inputs!$D$26*Inputs!$C$35))</f>
        <v/>
      </c>
      <c r="R2579" s="54">
        <f>IF($B2579=0,NA(),IF(Inputs!$B$27&lt;&gt;"Yes",NA(),Inputs!$D$27*Inputs!$C$35))</f>
        <v/>
      </c>
      <c r="S2579" s="54">
        <f>IF($B2579=0,NA(),IF(Inputs!$B$28&lt;&gt;"Yes",NA(),Inputs!$D$28*Inputs!$C$35))</f>
        <v/>
      </c>
      <c r="T2579" s="54">
        <f>IF($B2579=0,NA(),IF(Inputs!$B$29&lt;&gt;"Yes",NA(),Inputs!$D$29*Inputs!$C$35))</f>
        <v/>
      </c>
      <c r="AD2579">
        <f>IF($B2579=0,0,IF(Inputs!$B$6="",0,COUNTIFS(Data!$A$10:$A$3209,"&gt;="&amp;$A2579,Data!$A$10:$A$3209,"&lt;"&amp;$A2579+1)))</f>
        <v/>
      </c>
      <c r="AE2579">
        <f>IF($B2579=0,0,IF(Inputs!$B$7="",0,COUNTIFS(Data!$E$10:$E$3209,"&gt;="&amp;$A2579,Data!$E$10:$E$3209,"&lt;"&amp;$A2579+1)))</f>
        <v/>
      </c>
      <c r="AF2579">
        <f>IF($B2579=0,0,IF(Inputs!$B$8="",0,COUNTIFS(Data!$I$10:$I$3209,"&gt;="&amp;$A2579,Data!$I$10:$I$3209,"&lt;"&amp;$A2579+1)))</f>
        <v/>
      </c>
      <c r="AG2579">
        <f>IF($B2579=0,0,IF(Inputs!$B$9="",0,COUNTIFS(Data!$M$10:$M$3209,"&gt;="&amp;$A2579,Data!$M$10:$M$3209,"&lt;"&amp;$A2579+1)))</f>
        <v/>
      </c>
      <c r="AH2579">
        <f>IF($B2579=0,0,IF(Inputs!$B$10="",0,COUNTIFS(Data!$Q$10:$Q$3209,"&gt;="&amp;$A2579,Data!$Q$10:$Q$3209,"&lt;"&amp;$A2579+1)))</f>
        <v/>
      </c>
    </row>
    <row r="2580">
      <c r="A2580" s="55">
        <f>MIN(Inputs!$C$15,$A2579+IF(WEEKDAY($A2579,2)=5,3,1))</f>
        <v/>
      </c>
      <c r="B2580">
        <f>IF($A2580&gt;$A2579,1,0)</f>
        <v/>
      </c>
      <c r="C2580" s="56">
        <f>IF($B2580=0,"",IF(Inputs!$B$6="","",IF($AD2580=0,C2579,SUMIFS(Data!$B$10:$B$3209,Data!$A$10:$A$3209,"&gt;="&amp;$A2580,Data!$A$10:$A$3209,"&lt;"&amp;$A2580+1)/$AD2580)))</f>
        <v/>
      </c>
      <c r="D2580" s="56">
        <f>IF($B2580=0,"",IF(Inputs!$B$7="","",IF($AE2580=0,D2579,SUMIFS(Data!$F$10:$F$3209,Data!$E$10:$E$3209,"&gt;="&amp;$A2580,Data!$E$10:$E$3209,"&lt;"&amp;$A2580+1)/$AE2580)))</f>
        <v/>
      </c>
      <c r="E2580" s="56">
        <f>IF($B2580=0,"",IF(Inputs!$B$8="","",IF($AF2580=0,E2579,SUMIFS(Data!$J$10:$J$3209,Data!$I$10:$I$3209,"&gt;="&amp;$A2580,Data!$I$10:$I$3209,"&lt;"&amp;$A2580+1)/$AF2580)))</f>
        <v/>
      </c>
      <c r="F2580" s="56">
        <f>IF($B2580=0,"",IF(Inputs!$B$9="","",IF($AG2580=0,F2579,SUMIFS(Data!$N$10:$N$3209,Data!$M$10:$M$3209,"&gt;="&amp;$A2580,Data!$M$10:$M$3209,"&lt;"&amp;$A2580+1)/$AG2580)))</f>
        <v/>
      </c>
      <c r="G2580" s="56">
        <f>IF($B2580=0,"",IF(Inputs!$B$10="","",IF($AH2580=0,G2579,SUMIFS(Data!$R$10:$R$3209,Data!$Q$10:$Q$3209,"&gt;="&amp;$A2580,Data!$Q$10:$Q$3209,"&lt;"&amp;$A2580+1)/$AH2580)))</f>
        <v/>
      </c>
      <c r="I2580" s="54">
        <f>IF($B2580=0,NA(),IF($C2580="",NA(),IF(C$8="",NA(),IF(N(C$8)=0,NA(),IF(Inputs!$C$17="Rebased to 100",$C2580/C$8*100,$C2580)))))</f>
        <v/>
      </c>
      <c r="J2580" s="54">
        <f>IF($B2580=0,NA(),IF($D2580="",NA(),IF(D$8="",NA(),IF(N(D$8)=0,NA(),IF(Inputs!$C$17="Rebased to 100",$D2580/D$8*100,$D2580)))))</f>
        <v/>
      </c>
      <c r="K2580" s="54">
        <f>IF($B2580=0,NA(),IF($E2580="",NA(),IF(E$8="",NA(),IF(N(E$8)=0,NA(),IF(Inputs!$C$17="Rebased to 100",$E2580/E$8*100,$E2580)))))</f>
        <v/>
      </c>
      <c r="L2580" s="54">
        <f>IF($B2580=0,NA(),IF($F2580="",NA(),IF(F$8="",NA(),IF(N(F$8)=0,NA(),IF(Inputs!$C$17="Rebased to 100",$F2580/F$8*100,$F2580)))))</f>
        <v/>
      </c>
      <c r="M2580" s="54">
        <f>IF($B2580=0,NA(),IF($G2580="",NA(),IF(G$8="",NA(),IF(N(G$8)=0,NA(),IF(Inputs!$C$17="Rebased to 100",$G2580/G$8*100,$G2580)))))</f>
        <v/>
      </c>
      <c r="N2580" s="54">
        <f>IF($B2580=0,NA(),IF(Inputs!$C$18&lt;&gt;"Yes",NA(),IF(COUNT(I2580,J2580,K2580,L2580,M2580)=0,NA(),MIN(I2580,J2580,K2580,L2580,M2580))))</f>
        <v/>
      </c>
      <c r="O2580" s="54">
        <f>IF($B2580=0,NA(),IF(Inputs!$B$24&lt;&gt;"Yes",NA(),Inputs!$D$24*Inputs!$C$35))</f>
        <v/>
      </c>
      <c r="P2580" s="54">
        <f>IF($B2580=0,NA(),IF(Inputs!$B$25&lt;&gt;"Yes",NA(),Inputs!$D$25*Inputs!$C$35))</f>
        <v/>
      </c>
      <c r="Q2580" s="54">
        <f>IF($B2580=0,NA(),IF(Inputs!$B$26&lt;&gt;"Yes",NA(),Inputs!$D$26*Inputs!$C$35))</f>
        <v/>
      </c>
      <c r="R2580" s="54">
        <f>IF($B2580=0,NA(),IF(Inputs!$B$27&lt;&gt;"Yes",NA(),Inputs!$D$27*Inputs!$C$35))</f>
        <v/>
      </c>
      <c r="S2580" s="54">
        <f>IF($B2580=0,NA(),IF(Inputs!$B$28&lt;&gt;"Yes",NA(),Inputs!$D$28*Inputs!$C$35))</f>
        <v/>
      </c>
      <c r="T2580" s="54">
        <f>IF($B2580=0,NA(),IF(Inputs!$B$29&lt;&gt;"Yes",NA(),Inputs!$D$29*Inputs!$C$35))</f>
        <v/>
      </c>
      <c r="AD2580">
        <f>IF($B2580=0,0,IF(Inputs!$B$6="",0,COUNTIFS(Data!$A$10:$A$3209,"&gt;="&amp;$A2580,Data!$A$10:$A$3209,"&lt;"&amp;$A2580+1)))</f>
        <v/>
      </c>
      <c r="AE2580">
        <f>IF($B2580=0,0,IF(Inputs!$B$7="",0,COUNTIFS(Data!$E$10:$E$3209,"&gt;="&amp;$A2580,Data!$E$10:$E$3209,"&lt;"&amp;$A2580+1)))</f>
        <v/>
      </c>
      <c r="AF2580">
        <f>IF($B2580=0,0,IF(Inputs!$B$8="",0,COUNTIFS(Data!$I$10:$I$3209,"&gt;="&amp;$A2580,Data!$I$10:$I$3209,"&lt;"&amp;$A2580+1)))</f>
        <v/>
      </c>
      <c r="AG2580">
        <f>IF($B2580=0,0,IF(Inputs!$B$9="",0,COUNTIFS(Data!$M$10:$M$3209,"&gt;="&amp;$A2580,Data!$M$10:$M$3209,"&lt;"&amp;$A2580+1)))</f>
        <v/>
      </c>
      <c r="AH2580">
        <f>IF($B2580=0,0,IF(Inputs!$B$10="",0,COUNTIFS(Data!$Q$10:$Q$3209,"&gt;="&amp;$A2580,Data!$Q$10:$Q$3209,"&lt;"&amp;$A2580+1)))</f>
        <v/>
      </c>
    </row>
    <row r="2581">
      <c r="A2581" s="55">
        <f>MIN(Inputs!$C$15,$A2580+IF(WEEKDAY($A2580,2)=5,3,1))</f>
        <v/>
      </c>
      <c r="B2581">
        <f>IF($A2581&gt;$A2580,1,0)</f>
        <v/>
      </c>
      <c r="C2581" s="56">
        <f>IF($B2581=0,"",IF(Inputs!$B$6="","",IF($AD2581=0,C2580,SUMIFS(Data!$B$10:$B$3209,Data!$A$10:$A$3209,"&gt;="&amp;$A2581,Data!$A$10:$A$3209,"&lt;"&amp;$A2581+1)/$AD2581)))</f>
        <v/>
      </c>
      <c r="D2581" s="56">
        <f>IF($B2581=0,"",IF(Inputs!$B$7="","",IF($AE2581=0,D2580,SUMIFS(Data!$F$10:$F$3209,Data!$E$10:$E$3209,"&gt;="&amp;$A2581,Data!$E$10:$E$3209,"&lt;"&amp;$A2581+1)/$AE2581)))</f>
        <v/>
      </c>
      <c r="E2581" s="56">
        <f>IF($B2581=0,"",IF(Inputs!$B$8="","",IF($AF2581=0,E2580,SUMIFS(Data!$J$10:$J$3209,Data!$I$10:$I$3209,"&gt;="&amp;$A2581,Data!$I$10:$I$3209,"&lt;"&amp;$A2581+1)/$AF2581)))</f>
        <v/>
      </c>
      <c r="F2581" s="56">
        <f>IF($B2581=0,"",IF(Inputs!$B$9="","",IF($AG2581=0,F2580,SUMIFS(Data!$N$10:$N$3209,Data!$M$10:$M$3209,"&gt;="&amp;$A2581,Data!$M$10:$M$3209,"&lt;"&amp;$A2581+1)/$AG2581)))</f>
        <v/>
      </c>
      <c r="G2581" s="56">
        <f>IF($B2581=0,"",IF(Inputs!$B$10="","",IF($AH2581=0,G2580,SUMIFS(Data!$R$10:$R$3209,Data!$Q$10:$Q$3209,"&gt;="&amp;$A2581,Data!$Q$10:$Q$3209,"&lt;"&amp;$A2581+1)/$AH2581)))</f>
        <v/>
      </c>
      <c r="I2581" s="54">
        <f>IF($B2581=0,NA(),IF($C2581="",NA(),IF(C$8="",NA(),IF(N(C$8)=0,NA(),IF(Inputs!$C$17="Rebased to 100",$C2581/C$8*100,$C2581)))))</f>
        <v/>
      </c>
      <c r="J2581" s="54">
        <f>IF($B2581=0,NA(),IF($D2581="",NA(),IF(D$8="",NA(),IF(N(D$8)=0,NA(),IF(Inputs!$C$17="Rebased to 100",$D2581/D$8*100,$D2581)))))</f>
        <v/>
      </c>
      <c r="K2581" s="54">
        <f>IF($B2581=0,NA(),IF($E2581="",NA(),IF(E$8="",NA(),IF(N(E$8)=0,NA(),IF(Inputs!$C$17="Rebased to 100",$E2581/E$8*100,$E2581)))))</f>
        <v/>
      </c>
      <c r="L2581" s="54">
        <f>IF($B2581=0,NA(),IF($F2581="",NA(),IF(F$8="",NA(),IF(N(F$8)=0,NA(),IF(Inputs!$C$17="Rebased to 100",$F2581/F$8*100,$F2581)))))</f>
        <v/>
      </c>
      <c r="M2581" s="54">
        <f>IF($B2581=0,NA(),IF($G2581="",NA(),IF(G$8="",NA(),IF(N(G$8)=0,NA(),IF(Inputs!$C$17="Rebased to 100",$G2581/G$8*100,$G2581)))))</f>
        <v/>
      </c>
      <c r="N2581" s="54">
        <f>IF($B2581=0,NA(),IF(Inputs!$C$18&lt;&gt;"Yes",NA(),IF(COUNT(I2581,J2581,K2581,L2581,M2581)=0,NA(),MIN(I2581,J2581,K2581,L2581,M2581))))</f>
        <v/>
      </c>
      <c r="O2581" s="54">
        <f>IF($B2581=0,NA(),IF(Inputs!$B$24&lt;&gt;"Yes",NA(),Inputs!$D$24*Inputs!$C$35))</f>
        <v/>
      </c>
      <c r="P2581" s="54">
        <f>IF($B2581=0,NA(),IF(Inputs!$B$25&lt;&gt;"Yes",NA(),Inputs!$D$25*Inputs!$C$35))</f>
        <v/>
      </c>
      <c r="Q2581" s="54">
        <f>IF($B2581=0,NA(),IF(Inputs!$B$26&lt;&gt;"Yes",NA(),Inputs!$D$26*Inputs!$C$35))</f>
        <v/>
      </c>
      <c r="R2581" s="54">
        <f>IF($B2581=0,NA(),IF(Inputs!$B$27&lt;&gt;"Yes",NA(),Inputs!$D$27*Inputs!$C$35))</f>
        <v/>
      </c>
      <c r="S2581" s="54">
        <f>IF($B2581=0,NA(),IF(Inputs!$B$28&lt;&gt;"Yes",NA(),Inputs!$D$28*Inputs!$C$35))</f>
        <v/>
      </c>
      <c r="T2581" s="54">
        <f>IF($B2581=0,NA(),IF(Inputs!$B$29&lt;&gt;"Yes",NA(),Inputs!$D$29*Inputs!$C$35))</f>
        <v/>
      </c>
      <c r="AD2581">
        <f>IF($B2581=0,0,IF(Inputs!$B$6="",0,COUNTIFS(Data!$A$10:$A$3209,"&gt;="&amp;$A2581,Data!$A$10:$A$3209,"&lt;"&amp;$A2581+1)))</f>
        <v/>
      </c>
      <c r="AE2581">
        <f>IF($B2581=0,0,IF(Inputs!$B$7="",0,COUNTIFS(Data!$E$10:$E$3209,"&gt;="&amp;$A2581,Data!$E$10:$E$3209,"&lt;"&amp;$A2581+1)))</f>
        <v/>
      </c>
      <c r="AF2581">
        <f>IF($B2581=0,0,IF(Inputs!$B$8="",0,COUNTIFS(Data!$I$10:$I$3209,"&gt;="&amp;$A2581,Data!$I$10:$I$3209,"&lt;"&amp;$A2581+1)))</f>
        <v/>
      </c>
      <c r="AG2581">
        <f>IF($B2581=0,0,IF(Inputs!$B$9="",0,COUNTIFS(Data!$M$10:$M$3209,"&gt;="&amp;$A2581,Data!$M$10:$M$3209,"&lt;"&amp;$A2581+1)))</f>
        <v/>
      </c>
      <c r="AH2581">
        <f>IF($B2581=0,0,IF(Inputs!$B$10="",0,COUNTIFS(Data!$Q$10:$Q$3209,"&gt;="&amp;$A2581,Data!$Q$10:$Q$3209,"&lt;"&amp;$A2581+1)))</f>
        <v/>
      </c>
    </row>
    <row r="2582">
      <c r="A2582" s="55">
        <f>MIN(Inputs!$C$15,$A2581+IF(WEEKDAY($A2581,2)=5,3,1))</f>
        <v/>
      </c>
      <c r="B2582">
        <f>IF($A2582&gt;$A2581,1,0)</f>
        <v/>
      </c>
      <c r="C2582" s="56">
        <f>IF($B2582=0,"",IF(Inputs!$B$6="","",IF($AD2582=0,C2581,SUMIFS(Data!$B$10:$B$3209,Data!$A$10:$A$3209,"&gt;="&amp;$A2582,Data!$A$10:$A$3209,"&lt;"&amp;$A2582+1)/$AD2582)))</f>
        <v/>
      </c>
      <c r="D2582" s="56">
        <f>IF($B2582=0,"",IF(Inputs!$B$7="","",IF($AE2582=0,D2581,SUMIFS(Data!$F$10:$F$3209,Data!$E$10:$E$3209,"&gt;="&amp;$A2582,Data!$E$10:$E$3209,"&lt;"&amp;$A2582+1)/$AE2582)))</f>
        <v/>
      </c>
      <c r="E2582" s="56">
        <f>IF($B2582=0,"",IF(Inputs!$B$8="","",IF($AF2582=0,E2581,SUMIFS(Data!$J$10:$J$3209,Data!$I$10:$I$3209,"&gt;="&amp;$A2582,Data!$I$10:$I$3209,"&lt;"&amp;$A2582+1)/$AF2582)))</f>
        <v/>
      </c>
      <c r="F2582" s="56">
        <f>IF($B2582=0,"",IF(Inputs!$B$9="","",IF($AG2582=0,F2581,SUMIFS(Data!$N$10:$N$3209,Data!$M$10:$M$3209,"&gt;="&amp;$A2582,Data!$M$10:$M$3209,"&lt;"&amp;$A2582+1)/$AG2582)))</f>
        <v/>
      </c>
      <c r="G2582" s="56">
        <f>IF($B2582=0,"",IF(Inputs!$B$10="","",IF($AH2582=0,G2581,SUMIFS(Data!$R$10:$R$3209,Data!$Q$10:$Q$3209,"&gt;="&amp;$A2582,Data!$Q$10:$Q$3209,"&lt;"&amp;$A2582+1)/$AH2582)))</f>
        <v/>
      </c>
      <c r="I2582" s="54">
        <f>IF($B2582=0,NA(),IF($C2582="",NA(),IF(C$8="",NA(),IF(N(C$8)=0,NA(),IF(Inputs!$C$17="Rebased to 100",$C2582/C$8*100,$C2582)))))</f>
        <v/>
      </c>
      <c r="J2582" s="54">
        <f>IF($B2582=0,NA(),IF($D2582="",NA(),IF(D$8="",NA(),IF(N(D$8)=0,NA(),IF(Inputs!$C$17="Rebased to 100",$D2582/D$8*100,$D2582)))))</f>
        <v/>
      </c>
      <c r="K2582" s="54">
        <f>IF($B2582=0,NA(),IF($E2582="",NA(),IF(E$8="",NA(),IF(N(E$8)=0,NA(),IF(Inputs!$C$17="Rebased to 100",$E2582/E$8*100,$E2582)))))</f>
        <v/>
      </c>
      <c r="L2582" s="54">
        <f>IF($B2582=0,NA(),IF($F2582="",NA(),IF(F$8="",NA(),IF(N(F$8)=0,NA(),IF(Inputs!$C$17="Rebased to 100",$F2582/F$8*100,$F2582)))))</f>
        <v/>
      </c>
      <c r="M2582" s="54">
        <f>IF($B2582=0,NA(),IF($G2582="",NA(),IF(G$8="",NA(),IF(N(G$8)=0,NA(),IF(Inputs!$C$17="Rebased to 100",$G2582/G$8*100,$G2582)))))</f>
        <v/>
      </c>
      <c r="N2582" s="54">
        <f>IF($B2582=0,NA(),IF(Inputs!$C$18&lt;&gt;"Yes",NA(),IF(COUNT(I2582,J2582,K2582,L2582,M2582)=0,NA(),MIN(I2582,J2582,K2582,L2582,M2582))))</f>
        <v/>
      </c>
      <c r="O2582" s="54">
        <f>IF($B2582=0,NA(),IF(Inputs!$B$24&lt;&gt;"Yes",NA(),Inputs!$D$24*Inputs!$C$35))</f>
        <v/>
      </c>
      <c r="P2582" s="54">
        <f>IF($B2582=0,NA(),IF(Inputs!$B$25&lt;&gt;"Yes",NA(),Inputs!$D$25*Inputs!$C$35))</f>
        <v/>
      </c>
      <c r="Q2582" s="54">
        <f>IF($B2582=0,NA(),IF(Inputs!$B$26&lt;&gt;"Yes",NA(),Inputs!$D$26*Inputs!$C$35))</f>
        <v/>
      </c>
      <c r="R2582" s="54">
        <f>IF($B2582=0,NA(),IF(Inputs!$B$27&lt;&gt;"Yes",NA(),Inputs!$D$27*Inputs!$C$35))</f>
        <v/>
      </c>
      <c r="S2582" s="54">
        <f>IF($B2582=0,NA(),IF(Inputs!$B$28&lt;&gt;"Yes",NA(),Inputs!$D$28*Inputs!$C$35))</f>
        <v/>
      </c>
      <c r="T2582" s="54">
        <f>IF($B2582=0,NA(),IF(Inputs!$B$29&lt;&gt;"Yes",NA(),Inputs!$D$29*Inputs!$C$35))</f>
        <v/>
      </c>
      <c r="AD2582">
        <f>IF($B2582=0,0,IF(Inputs!$B$6="",0,COUNTIFS(Data!$A$10:$A$3209,"&gt;="&amp;$A2582,Data!$A$10:$A$3209,"&lt;"&amp;$A2582+1)))</f>
        <v/>
      </c>
      <c r="AE2582">
        <f>IF($B2582=0,0,IF(Inputs!$B$7="",0,COUNTIFS(Data!$E$10:$E$3209,"&gt;="&amp;$A2582,Data!$E$10:$E$3209,"&lt;"&amp;$A2582+1)))</f>
        <v/>
      </c>
      <c r="AF2582">
        <f>IF($B2582=0,0,IF(Inputs!$B$8="",0,COUNTIFS(Data!$I$10:$I$3209,"&gt;="&amp;$A2582,Data!$I$10:$I$3209,"&lt;"&amp;$A2582+1)))</f>
        <v/>
      </c>
      <c r="AG2582">
        <f>IF($B2582=0,0,IF(Inputs!$B$9="",0,COUNTIFS(Data!$M$10:$M$3209,"&gt;="&amp;$A2582,Data!$M$10:$M$3209,"&lt;"&amp;$A2582+1)))</f>
        <v/>
      </c>
      <c r="AH2582">
        <f>IF($B2582=0,0,IF(Inputs!$B$10="",0,COUNTIFS(Data!$Q$10:$Q$3209,"&gt;="&amp;$A2582,Data!$Q$10:$Q$3209,"&lt;"&amp;$A2582+1)))</f>
        <v/>
      </c>
    </row>
    <row r="2583">
      <c r="A2583" s="55">
        <f>MIN(Inputs!$C$15,$A2582+IF(WEEKDAY($A2582,2)=5,3,1))</f>
        <v/>
      </c>
      <c r="B2583">
        <f>IF($A2583&gt;$A2582,1,0)</f>
        <v/>
      </c>
      <c r="C2583" s="56">
        <f>IF($B2583=0,"",IF(Inputs!$B$6="","",IF($AD2583=0,C2582,SUMIFS(Data!$B$10:$B$3209,Data!$A$10:$A$3209,"&gt;="&amp;$A2583,Data!$A$10:$A$3209,"&lt;"&amp;$A2583+1)/$AD2583)))</f>
        <v/>
      </c>
      <c r="D2583" s="56">
        <f>IF($B2583=0,"",IF(Inputs!$B$7="","",IF($AE2583=0,D2582,SUMIFS(Data!$F$10:$F$3209,Data!$E$10:$E$3209,"&gt;="&amp;$A2583,Data!$E$10:$E$3209,"&lt;"&amp;$A2583+1)/$AE2583)))</f>
        <v/>
      </c>
      <c r="E2583" s="56">
        <f>IF($B2583=0,"",IF(Inputs!$B$8="","",IF($AF2583=0,E2582,SUMIFS(Data!$J$10:$J$3209,Data!$I$10:$I$3209,"&gt;="&amp;$A2583,Data!$I$10:$I$3209,"&lt;"&amp;$A2583+1)/$AF2583)))</f>
        <v/>
      </c>
      <c r="F2583" s="56">
        <f>IF($B2583=0,"",IF(Inputs!$B$9="","",IF($AG2583=0,F2582,SUMIFS(Data!$N$10:$N$3209,Data!$M$10:$M$3209,"&gt;="&amp;$A2583,Data!$M$10:$M$3209,"&lt;"&amp;$A2583+1)/$AG2583)))</f>
        <v/>
      </c>
      <c r="G2583" s="56">
        <f>IF($B2583=0,"",IF(Inputs!$B$10="","",IF($AH2583=0,G2582,SUMIFS(Data!$R$10:$R$3209,Data!$Q$10:$Q$3209,"&gt;="&amp;$A2583,Data!$Q$10:$Q$3209,"&lt;"&amp;$A2583+1)/$AH2583)))</f>
        <v/>
      </c>
      <c r="I2583" s="54">
        <f>IF($B2583=0,NA(),IF($C2583="",NA(),IF(C$8="",NA(),IF(N(C$8)=0,NA(),IF(Inputs!$C$17="Rebased to 100",$C2583/C$8*100,$C2583)))))</f>
        <v/>
      </c>
      <c r="J2583" s="54">
        <f>IF($B2583=0,NA(),IF($D2583="",NA(),IF(D$8="",NA(),IF(N(D$8)=0,NA(),IF(Inputs!$C$17="Rebased to 100",$D2583/D$8*100,$D2583)))))</f>
        <v/>
      </c>
      <c r="K2583" s="54">
        <f>IF($B2583=0,NA(),IF($E2583="",NA(),IF(E$8="",NA(),IF(N(E$8)=0,NA(),IF(Inputs!$C$17="Rebased to 100",$E2583/E$8*100,$E2583)))))</f>
        <v/>
      </c>
      <c r="L2583" s="54">
        <f>IF($B2583=0,NA(),IF($F2583="",NA(),IF(F$8="",NA(),IF(N(F$8)=0,NA(),IF(Inputs!$C$17="Rebased to 100",$F2583/F$8*100,$F2583)))))</f>
        <v/>
      </c>
      <c r="M2583" s="54">
        <f>IF($B2583=0,NA(),IF($G2583="",NA(),IF(G$8="",NA(),IF(N(G$8)=0,NA(),IF(Inputs!$C$17="Rebased to 100",$G2583/G$8*100,$G2583)))))</f>
        <v/>
      </c>
      <c r="N2583" s="54">
        <f>IF($B2583=0,NA(),IF(Inputs!$C$18&lt;&gt;"Yes",NA(),IF(COUNT(I2583,J2583,K2583,L2583,M2583)=0,NA(),MIN(I2583,J2583,K2583,L2583,M2583))))</f>
        <v/>
      </c>
      <c r="O2583" s="54">
        <f>IF($B2583=0,NA(),IF(Inputs!$B$24&lt;&gt;"Yes",NA(),Inputs!$D$24*Inputs!$C$35))</f>
        <v/>
      </c>
      <c r="P2583" s="54">
        <f>IF($B2583=0,NA(),IF(Inputs!$B$25&lt;&gt;"Yes",NA(),Inputs!$D$25*Inputs!$C$35))</f>
        <v/>
      </c>
      <c r="Q2583" s="54">
        <f>IF($B2583=0,NA(),IF(Inputs!$B$26&lt;&gt;"Yes",NA(),Inputs!$D$26*Inputs!$C$35))</f>
        <v/>
      </c>
      <c r="R2583" s="54">
        <f>IF($B2583=0,NA(),IF(Inputs!$B$27&lt;&gt;"Yes",NA(),Inputs!$D$27*Inputs!$C$35))</f>
        <v/>
      </c>
      <c r="S2583" s="54">
        <f>IF($B2583=0,NA(),IF(Inputs!$B$28&lt;&gt;"Yes",NA(),Inputs!$D$28*Inputs!$C$35))</f>
        <v/>
      </c>
      <c r="T2583" s="54">
        <f>IF($B2583=0,NA(),IF(Inputs!$B$29&lt;&gt;"Yes",NA(),Inputs!$D$29*Inputs!$C$35))</f>
        <v/>
      </c>
      <c r="AD2583">
        <f>IF($B2583=0,0,IF(Inputs!$B$6="",0,COUNTIFS(Data!$A$10:$A$3209,"&gt;="&amp;$A2583,Data!$A$10:$A$3209,"&lt;"&amp;$A2583+1)))</f>
        <v/>
      </c>
      <c r="AE2583">
        <f>IF($B2583=0,0,IF(Inputs!$B$7="",0,COUNTIFS(Data!$E$10:$E$3209,"&gt;="&amp;$A2583,Data!$E$10:$E$3209,"&lt;"&amp;$A2583+1)))</f>
        <v/>
      </c>
      <c r="AF2583">
        <f>IF($B2583=0,0,IF(Inputs!$B$8="",0,COUNTIFS(Data!$I$10:$I$3209,"&gt;="&amp;$A2583,Data!$I$10:$I$3209,"&lt;"&amp;$A2583+1)))</f>
        <v/>
      </c>
      <c r="AG2583">
        <f>IF($B2583=0,0,IF(Inputs!$B$9="",0,COUNTIFS(Data!$M$10:$M$3209,"&gt;="&amp;$A2583,Data!$M$10:$M$3209,"&lt;"&amp;$A2583+1)))</f>
        <v/>
      </c>
      <c r="AH2583">
        <f>IF($B2583=0,0,IF(Inputs!$B$10="",0,COUNTIFS(Data!$Q$10:$Q$3209,"&gt;="&amp;$A2583,Data!$Q$10:$Q$3209,"&lt;"&amp;$A2583+1)))</f>
        <v/>
      </c>
    </row>
    <row r="2584">
      <c r="A2584" s="55">
        <f>MIN(Inputs!$C$15,$A2583+IF(WEEKDAY($A2583,2)=5,3,1))</f>
        <v/>
      </c>
      <c r="B2584">
        <f>IF($A2584&gt;$A2583,1,0)</f>
        <v/>
      </c>
      <c r="C2584" s="56">
        <f>IF($B2584=0,"",IF(Inputs!$B$6="","",IF($AD2584=0,C2583,SUMIFS(Data!$B$10:$B$3209,Data!$A$10:$A$3209,"&gt;="&amp;$A2584,Data!$A$10:$A$3209,"&lt;"&amp;$A2584+1)/$AD2584)))</f>
        <v/>
      </c>
      <c r="D2584" s="56">
        <f>IF($B2584=0,"",IF(Inputs!$B$7="","",IF($AE2584=0,D2583,SUMIFS(Data!$F$10:$F$3209,Data!$E$10:$E$3209,"&gt;="&amp;$A2584,Data!$E$10:$E$3209,"&lt;"&amp;$A2584+1)/$AE2584)))</f>
        <v/>
      </c>
      <c r="E2584" s="56">
        <f>IF($B2584=0,"",IF(Inputs!$B$8="","",IF($AF2584=0,E2583,SUMIFS(Data!$J$10:$J$3209,Data!$I$10:$I$3209,"&gt;="&amp;$A2584,Data!$I$10:$I$3209,"&lt;"&amp;$A2584+1)/$AF2584)))</f>
        <v/>
      </c>
      <c r="F2584" s="56">
        <f>IF($B2584=0,"",IF(Inputs!$B$9="","",IF($AG2584=0,F2583,SUMIFS(Data!$N$10:$N$3209,Data!$M$10:$M$3209,"&gt;="&amp;$A2584,Data!$M$10:$M$3209,"&lt;"&amp;$A2584+1)/$AG2584)))</f>
        <v/>
      </c>
      <c r="G2584" s="56">
        <f>IF($B2584=0,"",IF(Inputs!$B$10="","",IF($AH2584=0,G2583,SUMIFS(Data!$R$10:$R$3209,Data!$Q$10:$Q$3209,"&gt;="&amp;$A2584,Data!$Q$10:$Q$3209,"&lt;"&amp;$A2584+1)/$AH2584)))</f>
        <v/>
      </c>
      <c r="I2584" s="54">
        <f>IF($B2584=0,NA(),IF($C2584="",NA(),IF(C$8="",NA(),IF(N(C$8)=0,NA(),IF(Inputs!$C$17="Rebased to 100",$C2584/C$8*100,$C2584)))))</f>
        <v/>
      </c>
      <c r="J2584" s="54">
        <f>IF($B2584=0,NA(),IF($D2584="",NA(),IF(D$8="",NA(),IF(N(D$8)=0,NA(),IF(Inputs!$C$17="Rebased to 100",$D2584/D$8*100,$D2584)))))</f>
        <v/>
      </c>
      <c r="K2584" s="54">
        <f>IF($B2584=0,NA(),IF($E2584="",NA(),IF(E$8="",NA(),IF(N(E$8)=0,NA(),IF(Inputs!$C$17="Rebased to 100",$E2584/E$8*100,$E2584)))))</f>
        <v/>
      </c>
      <c r="L2584" s="54">
        <f>IF($B2584=0,NA(),IF($F2584="",NA(),IF(F$8="",NA(),IF(N(F$8)=0,NA(),IF(Inputs!$C$17="Rebased to 100",$F2584/F$8*100,$F2584)))))</f>
        <v/>
      </c>
      <c r="M2584" s="54">
        <f>IF($B2584=0,NA(),IF($G2584="",NA(),IF(G$8="",NA(),IF(N(G$8)=0,NA(),IF(Inputs!$C$17="Rebased to 100",$G2584/G$8*100,$G2584)))))</f>
        <v/>
      </c>
      <c r="N2584" s="54">
        <f>IF($B2584=0,NA(),IF(Inputs!$C$18&lt;&gt;"Yes",NA(),IF(COUNT(I2584,J2584,K2584,L2584,M2584)=0,NA(),MIN(I2584,J2584,K2584,L2584,M2584))))</f>
        <v/>
      </c>
      <c r="O2584" s="54">
        <f>IF($B2584=0,NA(),IF(Inputs!$B$24&lt;&gt;"Yes",NA(),Inputs!$D$24*Inputs!$C$35))</f>
        <v/>
      </c>
      <c r="P2584" s="54">
        <f>IF($B2584=0,NA(),IF(Inputs!$B$25&lt;&gt;"Yes",NA(),Inputs!$D$25*Inputs!$C$35))</f>
        <v/>
      </c>
      <c r="Q2584" s="54">
        <f>IF($B2584=0,NA(),IF(Inputs!$B$26&lt;&gt;"Yes",NA(),Inputs!$D$26*Inputs!$C$35))</f>
        <v/>
      </c>
      <c r="R2584" s="54">
        <f>IF($B2584=0,NA(),IF(Inputs!$B$27&lt;&gt;"Yes",NA(),Inputs!$D$27*Inputs!$C$35))</f>
        <v/>
      </c>
      <c r="S2584" s="54">
        <f>IF($B2584=0,NA(),IF(Inputs!$B$28&lt;&gt;"Yes",NA(),Inputs!$D$28*Inputs!$C$35))</f>
        <v/>
      </c>
      <c r="T2584" s="54">
        <f>IF($B2584=0,NA(),IF(Inputs!$B$29&lt;&gt;"Yes",NA(),Inputs!$D$29*Inputs!$C$35))</f>
        <v/>
      </c>
      <c r="AD2584">
        <f>IF($B2584=0,0,IF(Inputs!$B$6="",0,COUNTIFS(Data!$A$10:$A$3209,"&gt;="&amp;$A2584,Data!$A$10:$A$3209,"&lt;"&amp;$A2584+1)))</f>
        <v/>
      </c>
      <c r="AE2584">
        <f>IF($B2584=0,0,IF(Inputs!$B$7="",0,COUNTIFS(Data!$E$10:$E$3209,"&gt;="&amp;$A2584,Data!$E$10:$E$3209,"&lt;"&amp;$A2584+1)))</f>
        <v/>
      </c>
      <c r="AF2584">
        <f>IF($B2584=0,0,IF(Inputs!$B$8="",0,COUNTIFS(Data!$I$10:$I$3209,"&gt;="&amp;$A2584,Data!$I$10:$I$3209,"&lt;"&amp;$A2584+1)))</f>
        <v/>
      </c>
      <c r="AG2584">
        <f>IF($B2584=0,0,IF(Inputs!$B$9="",0,COUNTIFS(Data!$M$10:$M$3209,"&gt;="&amp;$A2584,Data!$M$10:$M$3209,"&lt;"&amp;$A2584+1)))</f>
        <v/>
      </c>
      <c r="AH2584">
        <f>IF($B2584=0,0,IF(Inputs!$B$10="",0,COUNTIFS(Data!$Q$10:$Q$3209,"&gt;="&amp;$A2584,Data!$Q$10:$Q$3209,"&lt;"&amp;$A2584+1)))</f>
        <v/>
      </c>
    </row>
    <row r="2585">
      <c r="A2585" s="55">
        <f>MIN(Inputs!$C$15,$A2584+IF(WEEKDAY($A2584,2)=5,3,1))</f>
        <v/>
      </c>
      <c r="B2585">
        <f>IF($A2585&gt;$A2584,1,0)</f>
        <v/>
      </c>
      <c r="C2585" s="56">
        <f>IF($B2585=0,"",IF(Inputs!$B$6="","",IF($AD2585=0,C2584,SUMIFS(Data!$B$10:$B$3209,Data!$A$10:$A$3209,"&gt;="&amp;$A2585,Data!$A$10:$A$3209,"&lt;"&amp;$A2585+1)/$AD2585)))</f>
        <v/>
      </c>
      <c r="D2585" s="56">
        <f>IF($B2585=0,"",IF(Inputs!$B$7="","",IF($AE2585=0,D2584,SUMIFS(Data!$F$10:$F$3209,Data!$E$10:$E$3209,"&gt;="&amp;$A2585,Data!$E$10:$E$3209,"&lt;"&amp;$A2585+1)/$AE2585)))</f>
        <v/>
      </c>
      <c r="E2585" s="56">
        <f>IF($B2585=0,"",IF(Inputs!$B$8="","",IF($AF2585=0,E2584,SUMIFS(Data!$J$10:$J$3209,Data!$I$10:$I$3209,"&gt;="&amp;$A2585,Data!$I$10:$I$3209,"&lt;"&amp;$A2585+1)/$AF2585)))</f>
        <v/>
      </c>
      <c r="F2585" s="56">
        <f>IF($B2585=0,"",IF(Inputs!$B$9="","",IF($AG2585=0,F2584,SUMIFS(Data!$N$10:$N$3209,Data!$M$10:$M$3209,"&gt;="&amp;$A2585,Data!$M$10:$M$3209,"&lt;"&amp;$A2585+1)/$AG2585)))</f>
        <v/>
      </c>
      <c r="G2585" s="56">
        <f>IF($B2585=0,"",IF(Inputs!$B$10="","",IF($AH2585=0,G2584,SUMIFS(Data!$R$10:$R$3209,Data!$Q$10:$Q$3209,"&gt;="&amp;$A2585,Data!$Q$10:$Q$3209,"&lt;"&amp;$A2585+1)/$AH2585)))</f>
        <v/>
      </c>
      <c r="I2585" s="54">
        <f>IF($B2585=0,NA(),IF($C2585="",NA(),IF(C$8="",NA(),IF(N(C$8)=0,NA(),IF(Inputs!$C$17="Rebased to 100",$C2585/C$8*100,$C2585)))))</f>
        <v/>
      </c>
      <c r="J2585" s="54">
        <f>IF($B2585=0,NA(),IF($D2585="",NA(),IF(D$8="",NA(),IF(N(D$8)=0,NA(),IF(Inputs!$C$17="Rebased to 100",$D2585/D$8*100,$D2585)))))</f>
        <v/>
      </c>
      <c r="K2585" s="54">
        <f>IF($B2585=0,NA(),IF($E2585="",NA(),IF(E$8="",NA(),IF(N(E$8)=0,NA(),IF(Inputs!$C$17="Rebased to 100",$E2585/E$8*100,$E2585)))))</f>
        <v/>
      </c>
      <c r="L2585" s="54">
        <f>IF($B2585=0,NA(),IF($F2585="",NA(),IF(F$8="",NA(),IF(N(F$8)=0,NA(),IF(Inputs!$C$17="Rebased to 100",$F2585/F$8*100,$F2585)))))</f>
        <v/>
      </c>
      <c r="M2585" s="54">
        <f>IF($B2585=0,NA(),IF($G2585="",NA(),IF(G$8="",NA(),IF(N(G$8)=0,NA(),IF(Inputs!$C$17="Rebased to 100",$G2585/G$8*100,$G2585)))))</f>
        <v/>
      </c>
      <c r="N2585" s="54">
        <f>IF($B2585=0,NA(),IF(Inputs!$C$18&lt;&gt;"Yes",NA(),IF(COUNT(I2585,J2585,K2585,L2585,M2585)=0,NA(),MIN(I2585,J2585,K2585,L2585,M2585))))</f>
        <v/>
      </c>
      <c r="O2585" s="54">
        <f>IF($B2585=0,NA(),IF(Inputs!$B$24&lt;&gt;"Yes",NA(),Inputs!$D$24*Inputs!$C$35))</f>
        <v/>
      </c>
      <c r="P2585" s="54">
        <f>IF($B2585=0,NA(),IF(Inputs!$B$25&lt;&gt;"Yes",NA(),Inputs!$D$25*Inputs!$C$35))</f>
        <v/>
      </c>
      <c r="Q2585" s="54">
        <f>IF($B2585=0,NA(),IF(Inputs!$B$26&lt;&gt;"Yes",NA(),Inputs!$D$26*Inputs!$C$35))</f>
        <v/>
      </c>
      <c r="R2585" s="54">
        <f>IF($B2585=0,NA(),IF(Inputs!$B$27&lt;&gt;"Yes",NA(),Inputs!$D$27*Inputs!$C$35))</f>
        <v/>
      </c>
      <c r="S2585" s="54">
        <f>IF($B2585=0,NA(),IF(Inputs!$B$28&lt;&gt;"Yes",NA(),Inputs!$D$28*Inputs!$C$35))</f>
        <v/>
      </c>
      <c r="T2585" s="54">
        <f>IF($B2585=0,NA(),IF(Inputs!$B$29&lt;&gt;"Yes",NA(),Inputs!$D$29*Inputs!$C$35))</f>
        <v/>
      </c>
      <c r="AD2585">
        <f>IF($B2585=0,0,IF(Inputs!$B$6="",0,COUNTIFS(Data!$A$10:$A$3209,"&gt;="&amp;$A2585,Data!$A$10:$A$3209,"&lt;"&amp;$A2585+1)))</f>
        <v/>
      </c>
      <c r="AE2585">
        <f>IF($B2585=0,0,IF(Inputs!$B$7="",0,COUNTIFS(Data!$E$10:$E$3209,"&gt;="&amp;$A2585,Data!$E$10:$E$3209,"&lt;"&amp;$A2585+1)))</f>
        <v/>
      </c>
      <c r="AF2585">
        <f>IF($B2585=0,0,IF(Inputs!$B$8="",0,COUNTIFS(Data!$I$10:$I$3209,"&gt;="&amp;$A2585,Data!$I$10:$I$3209,"&lt;"&amp;$A2585+1)))</f>
        <v/>
      </c>
      <c r="AG2585">
        <f>IF($B2585=0,0,IF(Inputs!$B$9="",0,COUNTIFS(Data!$M$10:$M$3209,"&gt;="&amp;$A2585,Data!$M$10:$M$3209,"&lt;"&amp;$A2585+1)))</f>
        <v/>
      </c>
      <c r="AH2585">
        <f>IF($B2585=0,0,IF(Inputs!$B$10="",0,COUNTIFS(Data!$Q$10:$Q$3209,"&gt;="&amp;$A2585,Data!$Q$10:$Q$3209,"&lt;"&amp;$A2585+1)))</f>
        <v/>
      </c>
    </row>
    <row r="2586">
      <c r="A2586" s="55">
        <f>MIN(Inputs!$C$15,$A2585+IF(WEEKDAY($A2585,2)=5,3,1))</f>
        <v/>
      </c>
      <c r="B2586">
        <f>IF($A2586&gt;$A2585,1,0)</f>
        <v/>
      </c>
      <c r="C2586" s="56">
        <f>IF($B2586=0,"",IF(Inputs!$B$6="","",IF($AD2586=0,C2585,SUMIFS(Data!$B$10:$B$3209,Data!$A$10:$A$3209,"&gt;="&amp;$A2586,Data!$A$10:$A$3209,"&lt;"&amp;$A2586+1)/$AD2586)))</f>
        <v/>
      </c>
      <c r="D2586" s="56">
        <f>IF($B2586=0,"",IF(Inputs!$B$7="","",IF($AE2586=0,D2585,SUMIFS(Data!$F$10:$F$3209,Data!$E$10:$E$3209,"&gt;="&amp;$A2586,Data!$E$10:$E$3209,"&lt;"&amp;$A2586+1)/$AE2586)))</f>
        <v/>
      </c>
      <c r="E2586" s="56">
        <f>IF($B2586=0,"",IF(Inputs!$B$8="","",IF($AF2586=0,E2585,SUMIFS(Data!$J$10:$J$3209,Data!$I$10:$I$3209,"&gt;="&amp;$A2586,Data!$I$10:$I$3209,"&lt;"&amp;$A2586+1)/$AF2586)))</f>
        <v/>
      </c>
      <c r="F2586" s="56">
        <f>IF($B2586=0,"",IF(Inputs!$B$9="","",IF($AG2586=0,F2585,SUMIFS(Data!$N$10:$N$3209,Data!$M$10:$M$3209,"&gt;="&amp;$A2586,Data!$M$10:$M$3209,"&lt;"&amp;$A2586+1)/$AG2586)))</f>
        <v/>
      </c>
      <c r="G2586" s="56">
        <f>IF($B2586=0,"",IF(Inputs!$B$10="","",IF($AH2586=0,G2585,SUMIFS(Data!$R$10:$R$3209,Data!$Q$10:$Q$3209,"&gt;="&amp;$A2586,Data!$Q$10:$Q$3209,"&lt;"&amp;$A2586+1)/$AH2586)))</f>
        <v/>
      </c>
      <c r="I2586" s="54">
        <f>IF($B2586=0,NA(),IF($C2586="",NA(),IF(C$8="",NA(),IF(N(C$8)=0,NA(),IF(Inputs!$C$17="Rebased to 100",$C2586/C$8*100,$C2586)))))</f>
        <v/>
      </c>
      <c r="J2586" s="54">
        <f>IF($B2586=0,NA(),IF($D2586="",NA(),IF(D$8="",NA(),IF(N(D$8)=0,NA(),IF(Inputs!$C$17="Rebased to 100",$D2586/D$8*100,$D2586)))))</f>
        <v/>
      </c>
      <c r="K2586" s="54">
        <f>IF($B2586=0,NA(),IF($E2586="",NA(),IF(E$8="",NA(),IF(N(E$8)=0,NA(),IF(Inputs!$C$17="Rebased to 100",$E2586/E$8*100,$E2586)))))</f>
        <v/>
      </c>
      <c r="L2586" s="54">
        <f>IF($B2586=0,NA(),IF($F2586="",NA(),IF(F$8="",NA(),IF(N(F$8)=0,NA(),IF(Inputs!$C$17="Rebased to 100",$F2586/F$8*100,$F2586)))))</f>
        <v/>
      </c>
      <c r="M2586" s="54">
        <f>IF($B2586=0,NA(),IF($G2586="",NA(),IF(G$8="",NA(),IF(N(G$8)=0,NA(),IF(Inputs!$C$17="Rebased to 100",$G2586/G$8*100,$G2586)))))</f>
        <v/>
      </c>
      <c r="N2586" s="54">
        <f>IF($B2586=0,NA(),IF(Inputs!$C$18&lt;&gt;"Yes",NA(),IF(COUNT(I2586,J2586,K2586,L2586,M2586)=0,NA(),MIN(I2586,J2586,K2586,L2586,M2586))))</f>
        <v/>
      </c>
      <c r="O2586" s="54">
        <f>IF($B2586=0,NA(),IF(Inputs!$B$24&lt;&gt;"Yes",NA(),Inputs!$D$24*Inputs!$C$35))</f>
        <v/>
      </c>
      <c r="P2586" s="54">
        <f>IF($B2586=0,NA(),IF(Inputs!$B$25&lt;&gt;"Yes",NA(),Inputs!$D$25*Inputs!$C$35))</f>
        <v/>
      </c>
      <c r="Q2586" s="54">
        <f>IF($B2586=0,NA(),IF(Inputs!$B$26&lt;&gt;"Yes",NA(),Inputs!$D$26*Inputs!$C$35))</f>
        <v/>
      </c>
      <c r="R2586" s="54">
        <f>IF($B2586=0,NA(),IF(Inputs!$B$27&lt;&gt;"Yes",NA(),Inputs!$D$27*Inputs!$C$35))</f>
        <v/>
      </c>
      <c r="S2586" s="54">
        <f>IF($B2586=0,NA(),IF(Inputs!$B$28&lt;&gt;"Yes",NA(),Inputs!$D$28*Inputs!$C$35))</f>
        <v/>
      </c>
      <c r="T2586" s="54">
        <f>IF($B2586=0,NA(),IF(Inputs!$B$29&lt;&gt;"Yes",NA(),Inputs!$D$29*Inputs!$C$35))</f>
        <v/>
      </c>
      <c r="AD2586">
        <f>IF($B2586=0,0,IF(Inputs!$B$6="",0,COUNTIFS(Data!$A$10:$A$3209,"&gt;="&amp;$A2586,Data!$A$10:$A$3209,"&lt;"&amp;$A2586+1)))</f>
        <v/>
      </c>
      <c r="AE2586">
        <f>IF($B2586=0,0,IF(Inputs!$B$7="",0,COUNTIFS(Data!$E$10:$E$3209,"&gt;="&amp;$A2586,Data!$E$10:$E$3209,"&lt;"&amp;$A2586+1)))</f>
        <v/>
      </c>
      <c r="AF2586">
        <f>IF($B2586=0,0,IF(Inputs!$B$8="",0,COUNTIFS(Data!$I$10:$I$3209,"&gt;="&amp;$A2586,Data!$I$10:$I$3209,"&lt;"&amp;$A2586+1)))</f>
        <v/>
      </c>
      <c r="AG2586">
        <f>IF($B2586=0,0,IF(Inputs!$B$9="",0,COUNTIFS(Data!$M$10:$M$3209,"&gt;="&amp;$A2586,Data!$M$10:$M$3209,"&lt;"&amp;$A2586+1)))</f>
        <v/>
      </c>
      <c r="AH2586">
        <f>IF($B2586=0,0,IF(Inputs!$B$10="",0,COUNTIFS(Data!$Q$10:$Q$3209,"&gt;="&amp;$A2586,Data!$Q$10:$Q$3209,"&lt;"&amp;$A2586+1)))</f>
        <v/>
      </c>
    </row>
    <row r="2587">
      <c r="A2587" s="55">
        <f>MIN(Inputs!$C$15,$A2586+IF(WEEKDAY($A2586,2)=5,3,1))</f>
        <v/>
      </c>
      <c r="B2587">
        <f>IF($A2587&gt;$A2586,1,0)</f>
        <v/>
      </c>
      <c r="C2587" s="56">
        <f>IF($B2587=0,"",IF(Inputs!$B$6="","",IF($AD2587=0,C2586,SUMIFS(Data!$B$10:$B$3209,Data!$A$10:$A$3209,"&gt;="&amp;$A2587,Data!$A$10:$A$3209,"&lt;"&amp;$A2587+1)/$AD2587)))</f>
        <v/>
      </c>
      <c r="D2587" s="56">
        <f>IF($B2587=0,"",IF(Inputs!$B$7="","",IF($AE2587=0,D2586,SUMIFS(Data!$F$10:$F$3209,Data!$E$10:$E$3209,"&gt;="&amp;$A2587,Data!$E$10:$E$3209,"&lt;"&amp;$A2587+1)/$AE2587)))</f>
        <v/>
      </c>
      <c r="E2587" s="56">
        <f>IF($B2587=0,"",IF(Inputs!$B$8="","",IF($AF2587=0,E2586,SUMIFS(Data!$J$10:$J$3209,Data!$I$10:$I$3209,"&gt;="&amp;$A2587,Data!$I$10:$I$3209,"&lt;"&amp;$A2587+1)/$AF2587)))</f>
        <v/>
      </c>
      <c r="F2587" s="56">
        <f>IF($B2587=0,"",IF(Inputs!$B$9="","",IF($AG2587=0,F2586,SUMIFS(Data!$N$10:$N$3209,Data!$M$10:$M$3209,"&gt;="&amp;$A2587,Data!$M$10:$M$3209,"&lt;"&amp;$A2587+1)/$AG2587)))</f>
        <v/>
      </c>
      <c r="G2587" s="56">
        <f>IF($B2587=0,"",IF(Inputs!$B$10="","",IF($AH2587=0,G2586,SUMIFS(Data!$R$10:$R$3209,Data!$Q$10:$Q$3209,"&gt;="&amp;$A2587,Data!$Q$10:$Q$3209,"&lt;"&amp;$A2587+1)/$AH2587)))</f>
        <v/>
      </c>
      <c r="I2587" s="54">
        <f>IF($B2587=0,NA(),IF($C2587="",NA(),IF(C$8="",NA(),IF(N(C$8)=0,NA(),IF(Inputs!$C$17="Rebased to 100",$C2587/C$8*100,$C2587)))))</f>
        <v/>
      </c>
      <c r="J2587" s="54">
        <f>IF($B2587=0,NA(),IF($D2587="",NA(),IF(D$8="",NA(),IF(N(D$8)=0,NA(),IF(Inputs!$C$17="Rebased to 100",$D2587/D$8*100,$D2587)))))</f>
        <v/>
      </c>
      <c r="K2587" s="54">
        <f>IF($B2587=0,NA(),IF($E2587="",NA(),IF(E$8="",NA(),IF(N(E$8)=0,NA(),IF(Inputs!$C$17="Rebased to 100",$E2587/E$8*100,$E2587)))))</f>
        <v/>
      </c>
      <c r="L2587" s="54">
        <f>IF($B2587=0,NA(),IF($F2587="",NA(),IF(F$8="",NA(),IF(N(F$8)=0,NA(),IF(Inputs!$C$17="Rebased to 100",$F2587/F$8*100,$F2587)))))</f>
        <v/>
      </c>
      <c r="M2587" s="54">
        <f>IF($B2587=0,NA(),IF($G2587="",NA(),IF(G$8="",NA(),IF(N(G$8)=0,NA(),IF(Inputs!$C$17="Rebased to 100",$G2587/G$8*100,$G2587)))))</f>
        <v/>
      </c>
      <c r="N2587" s="54">
        <f>IF($B2587=0,NA(),IF(Inputs!$C$18&lt;&gt;"Yes",NA(),IF(COUNT(I2587,J2587,K2587,L2587,M2587)=0,NA(),MIN(I2587,J2587,K2587,L2587,M2587))))</f>
        <v/>
      </c>
      <c r="O2587" s="54">
        <f>IF($B2587=0,NA(),IF(Inputs!$B$24&lt;&gt;"Yes",NA(),Inputs!$D$24*Inputs!$C$35))</f>
        <v/>
      </c>
      <c r="P2587" s="54">
        <f>IF($B2587=0,NA(),IF(Inputs!$B$25&lt;&gt;"Yes",NA(),Inputs!$D$25*Inputs!$C$35))</f>
        <v/>
      </c>
      <c r="Q2587" s="54">
        <f>IF($B2587=0,NA(),IF(Inputs!$B$26&lt;&gt;"Yes",NA(),Inputs!$D$26*Inputs!$C$35))</f>
        <v/>
      </c>
      <c r="R2587" s="54">
        <f>IF($B2587=0,NA(),IF(Inputs!$B$27&lt;&gt;"Yes",NA(),Inputs!$D$27*Inputs!$C$35))</f>
        <v/>
      </c>
      <c r="S2587" s="54">
        <f>IF($B2587=0,NA(),IF(Inputs!$B$28&lt;&gt;"Yes",NA(),Inputs!$D$28*Inputs!$C$35))</f>
        <v/>
      </c>
      <c r="T2587" s="54">
        <f>IF($B2587=0,NA(),IF(Inputs!$B$29&lt;&gt;"Yes",NA(),Inputs!$D$29*Inputs!$C$35))</f>
        <v/>
      </c>
      <c r="AD2587">
        <f>IF($B2587=0,0,IF(Inputs!$B$6="",0,COUNTIFS(Data!$A$10:$A$3209,"&gt;="&amp;$A2587,Data!$A$10:$A$3209,"&lt;"&amp;$A2587+1)))</f>
        <v/>
      </c>
      <c r="AE2587">
        <f>IF($B2587=0,0,IF(Inputs!$B$7="",0,COUNTIFS(Data!$E$10:$E$3209,"&gt;="&amp;$A2587,Data!$E$10:$E$3209,"&lt;"&amp;$A2587+1)))</f>
        <v/>
      </c>
      <c r="AF2587">
        <f>IF($B2587=0,0,IF(Inputs!$B$8="",0,COUNTIFS(Data!$I$10:$I$3209,"&gt;="&amp;$A2587,Data!$I$10:$I$3209,"&lt;"&amp;$A2587+1)))</f>
        <v/>
      </c>
      <c r="AG2587">
        <f>IF($B2587=0,0,IF(Inputs!$B$9="",0,COUNTIFS(Data!$M$10:$M$3209,"&gt;="&amp;$A2587,Data!$M$10:$M$3209,"&lt;"&amp;$A2587+1)))</f>
        <v/>
      </c>
      <c r="AH2587">
        <f>IF($B2587=0,0,IF(Inputs!$B$10="",0,COUNTIFS(Data!$Q$10:$Q$3209,"&gt;="&amp;$A2587,Data!$Q$10:$Q$3209,"&lt;"&amp;$A2587+1)))</f>
        <v/>
      </c>
    </row>
    <row r="2588">
      <c r="A2588" s="55">
        <f>MIN(Inputs!$C$15,$A2587+IF(WEEKDAY($A2587,2)=5,3,1))</f>
        <v/>
      </c>
      <c r="B2588">
        <f>IF($A2588&gt;$A2587,1,0)</f>
        <v/>
      </c>
      <c r="C2588" s="56">
        <f>IF($B2588=0,"",IF(Inputs!$B$6="","",IF($AD2588=0,C2587,SUMIFS(Data!$B$10:$B$3209,Data!$A$10:$A$3209,"&gt;="&amp;$A2588,Data!$A$10:$A$3209,"&lt;"&amp;$A2588+1)/$AD2588)))</f>
        <v/>
      </c>
      <c r="D2588" s="56">
        <f>IF($B2588=0,"",IF(Inputs!$B$7="","",IF($AE2588=0,D2587,SUMIFS(Data!$F$10:$F$3209,Data!$E$10:$E$3209,"&gt;="&amp;$A2588,Data!$E$10:$E$3209,"&lt;"&amp;$A2588+1)/$AE2588)))</f>
        <v/>
      </c>
      <c r="E2588" s="56">
        <f>IF($B2588=0,"",IF(Inputs!$B$8="","",IF($AF2588=0,E2587,SUMIFS(Data!$J$10:$J$3209,Data!$I$10:$I$3209,"&gt;="&amp;$A2588,Data!$I$10:$I$3209,"&lt;"&amp;$A2588+1)/$AF2588)))</f>
        <v/>
      </c>
      <c r="F2588" s="56">
        <f>IF($B2588=0,"",IF(Inputs!$B$9="","",IF($AG2588=0,F2587,SUMIFS(Data!$N$10:$N$3209,Data!$M$10:$M$3209,"&gt;="&amp;$A2588,Data!$M$10:$M$3209,"&lt;"&amp;$A2588+1)/$AG2588)))</f>
        <v/>
      </c>
      <c r="G2588" s="56">
        <f>IF($B2588=0,"",IF(Inputs!$B$10="","",IF($AH2588=0,G2587,SUMIFS(Data!$R$10:$R$3209,Data!$Q$10:$Q$3209,"&gt;="&amp;$A2588,Data!$Q$10:$Q$3209,"&lt;"&amp;$A2588+1)/$AH2588)))</f>
        <v/>
      </c>
      <c r="I2588" s="54">
        <f>IF($B2588=0,NA(),IF($C2588="",NA(),IF(C$8="",NA(),IF(N(C$8)=0,NA(),IF(Inputs!$C$17="Rebased to 100",$C2588/C$8*100,$C2588)))))</f>
        <v/>
      </c>
      <c r="J2588" s="54">
        <f>IF($B2588=0,NA(),IF($D2588="",NA(),IF(D$8="",NA(),IF(N(D$8)=0,NA(),IF(Inputs!$C$17="Rebased to 100",$D2588/D$8*100,$D2588)))))</f>
        <v/>
      </c>
      <c r="K2588" s="54">
        <f>IF($B2588=0,NA(),IF($E2588="",NA(),IF(E$8="",NA(),IF(N(E$8)=0,NA(),IF(Inputs!$C$17="Rebased to 100",$E2588/E$8*100,$E2588)))))</f>
        <v/>
      </c>
      <c r="L2588" s="54">
        <f>IF($B2588=0,NA(),IF($F2588="",NA(),IF(F$8="",NA(),IF(N(F$8)=0,NA(),IF(Inputs!$C$17="Rebased to 100",$F2588/F$8*100,$F2588)))))</f>
        <v/>
      </c>
      <c r="M2588" s="54">
        <f>IF($B2588=0,NA(),IF($G2588="",NA(),IF(G$8="",NA(),IF(N(G$8)=0,NA(),IF(Inputs!$C$17="Rebased to 100",$G2588/G$8*100,$G2588)))))</f>
        <v/>
      </c>
      <c r="N2588" s="54">
        <f>IF($B2588=0,NA(),IF(Inputs!$C$18&lt;&gt;"Yes",NA(),IF(COUNT(I2588,J2588,K2588,L2588,M2588)=0,NA(),MIN(I2588,J2588,K2588,L2588,M2588))))</f>
        <v/>
      </c>
      <c r="O2588" s="54">
        <f>IF($B2588=0,NA(),IF(Inputs!$B$24&lt;&gt;"Yes",NA(),Inputs!$D$24*Inputs!$C$35))</f>
        <v/>
      </c>
      <c r="P2588" s="54">
        <f>IF($B2588=0,NA(),IF(Inputs!$B$25&lt;&gt;"Yes",NA(),Inputs!$D$25*Inputs!$C$35))</f>
        <v/>
      </c>
      <c r="Q2588" s="54">
        <f>IF($B2588=0,NA(),IF(Inputs!$B$26&lt;&gt;"Yes",NA(),Inputs!$D$26*Inputs!$C$35))</f>
        <v/>
      </c>
      <c r="R2588" s="54">
        <f>IF($B2588=0,NA(),IF(Inputs!$B$27&lt;&gt;"Yes",NA(),Inputs!$D$27*Inputs!$C$35))</f>
        <v/>
      </c>
      <c r="S2588" s="54">
        <f>IF($B2588=0,NA(),IF(Inputs!$B$28&lt;&gt;"Yes",NA(),Inputs!$D$28*Inputs!$C$35))</f>
        <v/>
      </c>
      <c r="T2588" s="54">
        <f>IF($B2588=0,NA(),IF(Inputs!$B$29&lt;&gt;"Yes",NA(),Inputs!$D$29*Inputs!$C$35))</f>
        <v/>
      </c>
      <c r="AD2588">
        <f>IF($B2588=0,0,IF(Inputs!$B$6="",0,COUNTIFS(Data!$A$10:$A$3209,"&gt;="&amp;$A2588,Data!$A$10:$A$3209,"&lt;"&amp;$A2588+1)))</f>
        <v/>
      </c>
      <c r="AE2588">
        <f>IF($B2588=0,0,IF(Inputs!$B$7="",0,COUNTIFS(Data!$E$10:$E$3209,"&gt;="&amp;$A2588,Data!$E$10:$E$3209,"&lt;"&amp;$A2588+1)))</f>
        <v/>
      </c>
      <c r="AF2588">
        <f>IF($B2588=0,0,IF(Inputs!$B$8="",0,COUNTIFS(Data!$I$10:$I$3209,"&gt;="&amp;$A2588,Data!$I$10:$I$3209,"&lt;"&amp;$A2588+1)))</f>
        <v/>
      </c>
      <c r="AG2588">
        <f>IF($B2588=0,0,IF(Inputs!$B$9="",0,COUNTIFS(Data!$M$10:$M$3209,"&gt;="&amp;$A2588,Data!$M$10:$M$3209,"&lt;"&amp;$A2588+1)))</f>
        <v/>
      </c>
      <c r="AH2588">
        <f>IF($B2588=0,0,IF(Inputs!$B$10="",0,COUNTIFS(Data!$Q$10:$Q$3209,"&gt;="&amp;$A2588,Data!$Q$10:$Q$3209,"&lt;"&amp;$A2588+1)))</f>
        <v/>
      </c>
    </row>
    <row r="2589">
      <c r="A2589" s="55">
        <f>MIN(Inputs!$C$15,$A2588+IF(WEEKDAY($A2588,2)=5,3,1))</f>
        <v/>
      </c>
      <c r="B2589">
        <f>IF($A2589&gt;$A2588,1,0)</f>
        <v/>
      </c>
      <c r="C2589" s="56">
        <f>IF($B2589=0,"",IF(Inputs!$B$6="","",IF($AD2589=0,C2588,SUMIFS(Data!$B$10:$B$3209,Data!$A$10:$A$3209,"&gt;="&amp;$A2589,Data!$A$10:$A$3209,"&lt;"&amp;$A2589+1)/$AD2589)))</f>
        <v/>
      </c>
      <c r="D2589" s="56">
        <f>IF($B2589=0,"",IF(Inputs!$B$7="","",IF($AE2589=0,D2588,SUMIFS(Data!$F$10:$F$3209,Data!$E$10:$E$3209,"&gt;="&amp;$A2589,Data!$E$10:$E$3209,"&lt;"&amp;$A2589+1)/$AE2589)))</f>
        <v/>
      </c>
      <c r="E2589" s="56">
        <f>IF($B2589=0,"",IF(Inputs!$B$8="","",IF($AF2589=0,E2588,SUMIFS(Data!$J$10:$J$3209,Data!$I$10:$I$3209,"&gt;="&amp;$A2589,Data!$I$10:$I$3209,"&lt;"&amp;$A2589+1)/$AF2589)))</f>
        <v/>
      </c>
      <c r="F2589" s="56">
        <f>IF($B2589=0,"",IF(Inputs!$B$9="","",IF($AG2589=0,F2588,SUMIFS(Data!$N$10:$N$3209,Data!$M$10:$M$3209,"&gt;="&amp;$A2589,Data!$M$10:$M$3209,"&lt;"&amp;$A2589+1)/$AG2589)))</f>
        <v/>
      </c>
      <c r="G2589" s="56">
        <f>IF($B2589=0,"",IF(Inputs!$B$10="","",IF($AH2589=0,G2588,SUMIFS(Data!$R$10:$R$3209,Data!$Q$10:$Q$3209,"&gt;="&amp;$A2589,Data!$Q$10:$Q$3209,"&lt;"&amp;$A2589+1)/$AH2589)))</f>
        <v/>
      </c>
      <c r="I2589" s="54">
        <f>IF($B2589=0,NA(),IF($C2589="",NA(),IF(C$8="",NA(),IF(N(C$8)=0,NA(),IF(Inputs!$C$17="Rebased to 100",$C2589/C$8*100,$C2589)))))</f>
        <v/>
      </c>
      <c r="J2589" s="54">
        <f>IF($B2589=0,NA(),IF($D2589="",NA(),IF(D$8="",NA(),IF(N(D$8)=0,NA(),IF(Inputs!$C$17="Rebased to 100",$D2589/D$8*100,$D2589)))))</f>
        <v/>
      </c>
      <c r="K2589" s="54">
        <f>IF($B2589=0,NA(),IF($E2589="",NA(),IF(E$8="",NA(),IF(N(E$8)=0,NA(),IF(Inputs!$C$17="Rebased to 100",$E2589/E$8*100,$E2589)))))</f>
        <v/>
      </c>
      <c r="L2589" s="54">
        <f>IF($B2589=0,NA(),IF($F2589="",NA(),IF(F$8="",NA(),IF(N(F$8)=0,NA(),IF(Inputs!$C$17="Rebased to 100",$F2589/F$8*100,$F2589)))))</f>
        <v/>
      </c>
      <c r="M2589" s="54">
        <f>IF($B2589=0,NA(),IF($G2589="",NA(),IF(G$8="",NA(),IF(N(G$8)=0,NA(),IF(Inputs!$C$17="Rebased to 100",$G2589/G$8*100,$G2589)))))</f>
        <v/>
      </c>
      <c r="N2589" s="54">
        <f>IF($B2589=0,NA(),IF(Inputs!$C$18&lt;&gt;"Yes",NA(),IF(COUNT(I2589,J2589,K2589,L2589,M2589)=0,NA(),MIN(I2589,J2589,K2589,L2589,M2589))))</f>
        <v/>
      </c>
      <c r="O2589" s="54">
        <f>IF($B2589=0,NA(),IF(Inputs!$B$24&lt;&gt;"Yes",NA(),Inputs!$D$24*Inputs!$C$35))</f>
        <v/>
      </c>
      <c r="P2589" s="54">
        <f>IF($B2589=0,NA(),IF(Inputs!$B$25&lt;&gt;"Yes",NA(),Inputs!$D$25*Inputs!$C$35))</f>
        <v/>
      </c>
      <c r="Q2589" s="54">
        <f>IF($B2589=0,NA(),IF(Inputs!$B$26&lt;&gt;"Yes",NA(),Inputs!$D$26*Inputs!$C$35))</f>
        <v/>
      </c>
      <c r="R2589" s="54">
        <f>IF($B2589=0,NA(),IF(Inputs!$B$27&lt;&gt;"Yes",NA(),Inputs!$D$27*Inputs!$C$35))</f>
        <v/>
      </c>
      <c r="S2589" s="54">
        <f>IF($B2589=0,NA(),IF(Inputs!$B$28&lt;&gt;"Yes",NA(),Inputs!$D$28*Inputs!$C$35))</f>
        <v/>
      </c>
      <c r="T2589" s="54">
        <f>IF($B2589=0,NA(),IF(Inputs!$B$29&lt;&gt;"Yes",NA(),Inputs!$D$29*Inputs!$C$35))</f>
        <v/>
      </c>
      <c r="AD2589">
        <f>IF($B2589=0,0,IF(Inputs!$B$6="",0,COUNTIFS(Data!$A$10:$A$3209,"&gt;="&amp;$A2589,Data!$A$10:$A$3209,"&lt;"&amp;$A2589+1)))</f>
        <v/>
      </c>
      <c r="AE2589">
        <f>IF($B2589=0,0,IF(Inputs!$B$7="",0,COUNTIFS(Data!$E$10:$E$3209,"&gt;="&amp;$A2589,Data!$E$10:$E$3209,"&lt;"&amp;$A2589+1)))</f>
        <v/>
      </c>
      <c r="AF2589">
        <f>IF($B2589=0,0,IF(Inputs!$B$8="",0,COUNTIFS(Data!$I$10:$I$3209,"&gt;="&amp;$A2589,Data!$I$10:$I$3209,"&lt;"&amp;$A2589+1)))</f>
        <v/>
      </c>
      <c r="AG2589">
        <f>IF($B2589=0,0,IF(Inputs!$B$9="",0,COUNTIFS(Data!$M$10:$M$3209,"&gt;="&amp;$A2589,Data!$M$10:$M$3209,"&lt;"&amp;$A2589+1)))</f>
        <v/>
      </c>
      <c r="AH2589">
        <f>IF($B2589=0,0,IF(Inputs!$B$10="",0,COUNTIFS(Data!$Q$10:$Q$3209,"&gt;="&amp;$A2589,Data!$Q$10:$Q$3209,"&lt;"&amp;$A2589+1)))</f>
        <v/>
      </c>
    </row>
    <row r="2590">
      <c r="A2590" s="55">
        <f>MIN(Inputs!$C$15,$A2589+IF(WEEKDAY($A2589,2)=5,3,1))</f>
        <v/>
      </c>
      <c r="B2590">
        <f>IF($A2590&gt;$A2589,1,0)</f>
        <v/>
      </c>
      <c r="C2590" s="56">
        <f>IF($B2590=0,"",IF(Inputs!$B$6="","",IF($AD2590=0,C2589,SUMIFS(Data!$B$10:$B$3209,Data!$A$10:$A$3209,"&gt;="&amp;$A2590,Data!$A$10:$A$3209,"&lt;"&amp;$A2590+1)/$AD2590)))</f>
        <v/>
      </c>
      <c r="D2590" s="56">
        <f>IF($B2590=0,"",IF(Inputs!$B$7="","",IF($AE2590=0,D2589,SUMIFS(Data!$F$10:$F$3209,Data!$E$10:$E$3209,"&gt;="&amp;$A2590,Data!$E$10:$E$3209,"&lt;"&amp;$A2590+1)/$AE2590)))</f>
        <v/>
      </c>
      <c r="E2590" s="56">
        <f>IF($B2590=0,"",IF(Inputs!$B$8="","",IF($AF2590=0,E2589,SUMIFS(Data!$J$10:$J$3209,Data!$I$10:$I$3209,"&gt;="&amp;$A2590,Data!$I$10:$I$3209,"&lt;"&amp;$A2590+1)/$AF2590)))</f>
        <v/>
      </c>
      <c r="F2590" s="56">
        <f>IF($B2590=0,"",IF(Inputs!$B$9="","",IF($AG2590=0,F2589,SUMIFS(Data!$N$10:$N$3209,Data!$M$10:$M$3209,"&gt;="&amp;$A2590,Data!$M$10:$M$3209,"&lt;"&amp;$A2590+1)/$AG2590)))</f>
        <v/>
      </c>
      <c r="G2590" s="56">
        <f>IF($B2590=0,"",IF(Inputs!$B$10="","",IF($AH2590=0,G2589,SUMIFS(Data!$R$10:$R$3209,Data!$Q$10:$Q$3209,"&gt;="&amp;$A2590,Data!$Q$10:$Q$3209,"&lt;"&amp;$A2590+1)/$AH2590)))</f>
        <v/>
      </c>
      <c r="I2590" s="54">
        <f>IF($B2590=0,NA(),IF($C2590="",NA(),IF(C$8="",NA(),IF(N(C$8)=0,NA(),IF(Inputs!$C$17="Rebased to 100",$C2590/C$8*100,$C2590)))))</f>
        <v/>
      </c>
      <c r="J2590" s="54">
        <f>IF($B2590=0,NA(),IF($D2590="",NA(),IF(D$8="",NA(),IF(N(D$8)=0,NA(),IF(Inputs!$C$17="Rebased to 100",$D2590/D$8*100,$D2590)))))</f>
        <v/>
      </c>
      <c r="K2590" s="54">
        <f>IF($B2590=0,NA(),IF($E2590="",NA(),IF(E$8="",NA(),IF(N(E$8)=0,NA(),IF(Inputs!$C$17="Rebased to 100",$E2590/E$8*100,$E2590)))))</f>
        <v/>
      </c>
      <c r="L2590" s="54">
        <f>IF($B2590=0,NA(),IF($F2590="",NA(),IF(F$8="",NA(),IF(N(F$8)=0,NA(),IF(Inputs!$C$17="Rebased to 100",$F2590/F$8*100,$F2590)))))</f>
        <v/>
      </c>
      <c r="M2590" s="54">
        <f>IF($B2590=0,NA(),IF($G2590="",NA(),IF(G$8="",NA(),IF(N(G$8)=0,NA(),IF(Inputs!$C$17="Rebased to 100",$G2590/G$8*100,$G2590)))))</f>
        <v/>
      </c>
      <c r="N2590" s="54">
        <f>IF($B2590=0,NA(),IF(Inputs!$C$18&lt;&gt;"Yes",NA(),IF(COUNT(I2590,J2590,K2590,L2590,M2590)=0,NA(),MIN(I2590,J2590,K2590,L2590,M2590))))</f>
        <v/>
      </c>
      <c r="O2590" s="54">
        <f>IF($B2590=0,NA(),IF(Inputs!$B$24&lt;&gt;"Yes",NA(),Inputs!$D$24*Inputs!$C$35))</f>
        <v/>
      </c>
      <c r="P2590" s="54">
        <f>IF($B2590=0,NA(),IF(Inputs!$B$25&lt;&gt;"Yes",NA(),Inputs!$D$25*Inputs!$C$35))</f>
        <v/>
      </c>
      <c r="Q2590" s="54">
        <f>IF($B2590=0,NA(),IF(Inputs!$B$26&lt;&gt;"Yes",NA(),Inputs!$D$26*Inputs!$C$35))</f>
        <v/>
      </c>
      <c r="R2590" s="54">
        <f>IF($B2590=0,NA(),IF(Inputs!$B$27&lt;&gt;"Yes",NA(),Inputs!$D$27*Inputs!$C$35))</f>
        <v/>
      </c>
      <c r="S2590" s="54">
        <f>IF($B2590=0,NA(),IF(Inputs!$B$28&lt;&gt;"Yes",NA(),Inputs!$D$28*Inputs!$C$35))</f>
        <v/>
      </c>
      <c r="T2590" s="54">
        <f>IF($B2590=0,NA(),IF(Inputs!$B$29&lt;&gt;"Yes",NA(),Inputs!$D$29*Inputs!$C$35))</f>
        <v/>
      </c>
      <c r="AD2590">
        <f>IF($B2590=0,0,IF(Inputs!$B$6="",0,COUNTIFS(Data!$A$10:$A$3209,"&gt;="&amp;$A2590,Data!$A$10:$A$3209,"&lt;"&amp;$A2590+1)))</f>
        <v/>
      </c>
      <c r="AE2590">
        <f>IF($B2590=0,0,IF(Inputs!$B$7="",0,COUNTIFS(Data!$E$10:$E$3209,"&gt;="&amp;$A2590,Data!$E$10:$E$3209,"&lt;"&amp;$A2590+1)))</f>
        <v/>
      </c>
      <c r="AF2590">
        <f>IF($B2590=0,0,IF(Inputs!$B$8="",0,COUNTIFS(Data!$I$10:$I$3209,"&gt;="&amp;$A2590,Data!$I$10:$I$3209,"&lt;"&amp;$A2590+1)))</f>
        <v/>
      </c>
      <c r="AG2590">
        <f>IF($B2590=0,0,IF(Inputs!$B$9="",0,COUNTIFS(Data!$M$10:$M$3209,"&gt;="&amp;$A2590,Data!$M$10:$M$3209,"&lt;"&amp;$A2590+1)))</f>
        <v/>
      </c>
      <c r="AH2590">
        <f>IF($B2590=0,0,IF(Inputs!$B$10="",0,COUNTIFS(Data!$Q$10:$Q$3209,"&gt;="&amp;$A2590,Data!$Q$10:$Q$3209,"&lt;"&amp;$A2590+1)))</f>
        <v/>
      </c>
    </row>
    <row r="2591">
      <c r="A2591" s="55">
        <f>MIN(Inputs!$C$15,$A2590+IF(WEEKDAY($A2590,2)=5,3,1))</f>
        <v/>
      </c>
      <c r="B2591">
        <f>IF($A2591&gt;$A2590,1,0)</f>
        <v/>
      </c>
      <c r="C2591" s="56">
        <f>IF($B2591=0,"",IF(Inputs!$B$6="","",IF($AD2591=0,C2590,SUMIFS(Data!$B$10:$B$3209,Data!$A$10:$A$3209,"&gt;="&amp;$A2591,Data!$A$10:$A$3209,"&lt;"&amp;$A2591+1)/$AD2591)))</f>
        <v/>
      </c>
      <c r="D2591" s="56">
        <f>IF($B2591=0,"",IF(Inputs!$B$7="","",IF($AE2591=0,D2590,SUMIFS(Data!$F$10:$F$3209,Data!$E$10:$E$3209,"&gt;="&amp;$A2591,Data!$E$10:$E$3209,"&lt;"&amp;$A2591+1)/$AE2591)))</f>
        <v/>
      </c>
      <c r="E2591" s="56">
        <f>IF($B2591=0,"",IF(Inputs!$B$8="","",IF($AF2591=0,E2590,SUMIFS(Data!$J$10:$J$3209,Data!$I$10:$I$3209,"&gt;="&amp;$A2591,Data!$I$10:$I$3209,"&lt;"&amp;$A2591+1)/$AF2591)))</f>
        <v/>
      </c>
      <c r="F2591" s="56">
        <f>IF($B2591=0,"",IF(Inputs!$B$9="","",IF($AG2591=0,F2590,SUMIFS(Data!$N$10:$N$3209,Data!$M$10:$M$3209,"&gt;="&amp;$A2591,Data!$M$10:$M$3209,"&lt;"&amp;$A2591+1)/$AG2591)))</f>
        <v/>
      </c>
      <c r="G2591" s="56">
        <f>IF($B2591=0,"",IF(Inputs!$B$10="","",IF($AH2591=0,G2590,SUMIFS(Data!$R$10:$R$3209,Data!$Q$10:$Q$3209,"&gt;="&amp;$A2591,Data!$Q$10:$Q$3209,"&lt;"&amp;$A2591+1)/$AH2591)))</f>
        <v/>
      </c>
      <c r="I2591" s="54">
        <f>IF($B2591=0,NA(),IF($C2591="",NA(),IF(C$8="",NA(),IF(N(C$8)=0,NA(),IF(Inputs!$C$17="Rebased to 100",$C2591/C$8*100,$C2591)))))</f>
        <v/>
      </c>
      <c r="J2591" s="54">
        <f>IF($B2591=0,NA(),IF($D2591="",NA(),IF(D$8="",NA(),IF(N(D$8)=0,NA(),IF(Inputs!$C$17="Rebased to 100",$D2591/D$8*100,$D2591)))))</f>
        <v/>
      </c>
      <c r="K2591" s="54">
        <f>IF($B2591=0,NA(),IF($E2591="",NA(),IF(E$8="",NA(),IF(N(E$8)=0,NA(),IF(Inputs!$C$17="Rebased to 100",$E2591/E$8*100,$E2591)))))</f>
        <v/>
      </c>
      <c r="L2591" s="54">
        <f>IF($B2591=0,NA(),IF($F2591="",NA(),IF(F$8="",NA(),IF(N(F$8)=0,NA(),IF(Inputs!$C$17="Rebased to 100",$F2591/F$8*100,$F2591)))))</f>
        <v/>
      </c>
      <c r="M2591" s="54">
        <f>IF($B2591=0,NA(),IF($G2591="",NA(),IF(G$8="",NA(),IF(N(G$8)=0,NA(),IF(Inputs!$C$17="Rebased to 100",$G2591/G$8*100,$G2591)))))</f>
        <v/>
      </c>
      <c r="N2591" s="54">
        <f>IF($B2591=0,NA(),IF(Inputs!$C$18&lt;&gt;"Yes",NA(),IF(COUNT(I2591,J2591,K2591,L2591,M2591)=0,NA(),MIN(I2591,J2591,K2591,L2591,M2591))))</f>
        <v/>
      </c>
      <c r="O2591" s="54">
        <f>IF($B2591=0,NA(),IF(Inputs!$B$24&lt;&gt;"Yes",NA(),Inputs!$D$24*Inputs!$C$35))</f>
        <v/>
      </c>
      <c r="P2591" s="54">
        <f>IF($B2591=0,NA(),IF(Inputs!$B$25&lt;&gt;"Yes",NA(),Inputs!$D$25*Inputs!$C$35))</f>
        <v/>
      </c>
      <c r="Q2591" s="54">
        <f>IF($B2591=0,NA(),IF(Inputs!$B$26&lt;&gt;"Yes",NA(),Inputs!$D$26*Inputs!$C$35))</f>
        <v/>
      </c>
      <c r="R2591" s="54">
        <f>IF($B2591=0,NA(),IF(Inputs!$B$27&lt;&gt;"Yes",NA(),Inputs!$D$27*Inputs!$C$35))</f>
        <v/>
      </c>
      <c r="S2591" s="54">
        <f>IF($B2591=0,NA(),IF(Inputs!$B$28&lt;&gt;"Yes",NA(),Inputs!$D$28*Inputs!$C$35))</f>
        <v/>
      </c>
      <c r="T2591" s="54">
        <f>IF($B2591=0,NA(),IF(Inputs!$B$29&lt;&gt;"Yes",NA(),Inputs!$D$29*Inputs!$C$35))</f>
        <v/>
      </c>
      <c r="AD2591">
        <f>IF($B2591=0,0,IF(Inputs!$B$6="",0,COUNTIFS(Data!$A$10:$A$3209,"&gt;="&amp;$A2591,Data!$A$10:$A$3209,"&lt;"&amp;$A2591+1)))</f>
        <v/>
      </c>
      <c r="AE2591">
        <f>IF($B2591=0,0,IF(Inputs!$B$7="",0,COUNTIFS(Data!$E$10:$E$3209,"&gt;="&amp;$A2591,Data!$E$10:$E$3209,"&lt;"&amp;$A2591+1)))</f>
        <v/>
      </c>
      <c r="AF2591">
        <f>IF($B2591=0,0,IF(Inputs!$B$8="",0,COUNTIFS(Data!$I$10:$I$3209,"&gt;="&amp;$A2591,Data!$I$10:$I$3209,"&lt;"&amp;$A2591+1)))</f>
        <v/>
      </c>
      <c r="AG2591">
        <f>IF($B2591=0,0,IF(Inputs!$B$9="",0,COUNTIFS(Data!$M$10:$M$3209,"&gt;="&amp;$A2591,Data!$M$10:$M$3209,"&lt;"&amp;$A2591+1)))</f>
        <v/>
      </c>
      <c r="AH2591">
        <f>IF($B2591=0,0,IF(Inputs!$B$10="",0,COUNTIFS(Data!$Q$10:$Q$3209,"&gt;="&amp;$A2591,Data!$Q$10:$Q$3209,"&lt;"&amp;$A2591+1)))</f>
        <v/>
      </c>
    </row>
    <row r="2592">
      <c r="A2592" s="55">
        <f>MIN(Inputs!$C$15,$A2591+IF(WEEKDAY($A2591,2)=5,3,1))</f>
        <v/>
      </c>
      <c r="B2592">
        <f>IF($A2592&gt;$A2591,1,0)</f>
        <v/>
      </c>
      <c r="C2592" s="56">
        <f>IF($B2592=0,"",IF(Inputs!$B$6="","",IF($AD2592=0,C2591,SUMIFS(Data!$B$10:$B$3209,Data!$A$10:$A$3209,"&gt;="&amp;$A2592,Data!$A$10:$A$3209,"&lt;"&amp;$A2592+1)/$AD2592)))</f>
        <v/>
      </c>
      <c r="D2592" s="56">
        <f>IF($B2592=0,"",IF(Inputs!$B$7="","",IF($AE2592=0,D2591,SUMIFS(Data!$F$10:$F$3209,Data!$E$10:$E$3209,"&gt;="&amp;$A2592,Data!$E$10:$E$3209,"&lt;"&amp;$A2592+1)/$AE2592)))</f>
        <v/>
      </c>
      <c r="E2592" s="56">
        <f>IF($B2592=0,"",IF(Inputs!$B$8="","",IF($AF2592=0,E2591,SUMIFS(Data!$J$10:$J$3209,Data!$I$10:$I$3209,"&gt;="&amp;$A2592,Data!$I$10:$I$3209,"&lt;"&amp;$A2592+1)/$AF2592)))</f>
        <v/>
      </c>
      <c r="F2592" s="56">
        <f>IF($B2592=0,"",IF(Inputs!$B$9="","",IF($AG2592=0,F2591,SUMIFS(Data!$N$10:$N$3209,Data!$M$10:$M$3209,"&gt;="&amp;$A2592,Data!$M$10:$M$3209,"&lt;"&amp;$A2592+1)/$AG2592)))</f>
        <v/>
      </c>
      <c r="G2592" s="56">
        <f>IF($B2592=0,"",IF(Inputs!$B$10="","",IF($AH2592=0,G2591,SUMIFS(Data!$R$10:$R$3209,Data!$Q$10:$Q$3209,"&gt;="&amp;$A2592,Data!$Q$10:$Q$3209,"&lt;"&amp;$A2592+1)/$AH2592)))</f>
        <v/>
      </c>
      <c r="I2592" s="54">
        <f>IF($B2592=0,NA(),IF($C2592="",NA(),IF(C$8="",NA(),IF(N(C$8)=0,NA(),IF(Inputs!$C$17="Rebased to 100",$C2592/C$8*100,$C2592)))))</f>
        <v/>
      </c>
      <c r="J2592" s="54">
        <f>IF($B2592=0,NA(),IF($D2592="",NA(),IF(D$8="",NA(),IF(N(D$8)=0,NA(),IF(Inputs!$C$17="Rebased to 100",$D2592/D$8*100,$D2592)))))</f>
        <v/>
      </c>
      <c r="K2592" s="54">
        <f>IF($B2592=0,NA(),IF($E2592="",NA(),IF(E$8="",NA(),IF(N(E$8)=0,NA(),IF(Inputs!$C$17="Rebased to 100",$E2592/E$8*100,$E2592)))))</f>
        <v/>
      </c>
      <c r="L2592" s="54">
        <f>IF($B2592=0,NA(),IF($F2592="",NA(),IF(F$8="",NA(),IF(N(F$8)=0,NA(),IF(Inputs!$C$17="Rebased to 100",$F2592/F$8*100,$F2592)))))</f>
        <v/>
      </c>
      <c r="M2592" s="54">
        <f>IF($B2592=0,NA(),IF($G2592="",NA(),IF(G$8="",NA(),IF(N(G$8)=0,NA(),IF(Inputs!$C$17="Rebased to 100",$G2592/G$8*100,$G2592)))))</f>
        <v/>
      </c>
      <c r="N2592" s="54">
        <f>IF($B2592=0,NA(),IF(Inputs!$C$18&lt;&gt;"Yes",NA(),IF(COUNT(I2592,J2592,K2592,L2592,M2592)=0,NA(),MIN(I2592,J2592,K2592,L2592,M2592))))</f>
        <v/>
      </c>
      <c r="O2592" s="54">
        <f>IF($B2592=0,NA(),IF(Inputs!$B$24&lt;&gt;"Yes",NA(),Inputs!$D$24*Inputs!$C$35))</f>
        <v/>
      </c>
      <c r="P2592" s="54">
        <f>IF($B2592=0,NA(),IF(Inputs!$B$25&lt;&gt;"Yes",NA(),Inputs!$D$25*Inputs!$C$35))</f>
        <v/>
      </c>
      <c r="Q2592" s="54">
        <f>IF($B2592=0,NA(),IF(Inputs!$B$26&lt;&gt;"Yes",NA(),Inputs!$D$26*Inputs!$C$35))</f>
        <v/>
      </c>
      <c r="R2592" s="54">
        <f>IF($B2592=0,NA(),IF(Inputs!$B$27&lt;&gt;"Yes",NA(),Inputs!$D$27*Inputs!$C$35))</f>
        <v/>
      </c>
      <c r="S2592" s="54">
        <f>IF($B2592=0,NA(),IF(Inputs!$B$28&lt;&gt;"Yes",NA(),Inputs!$D$28*Inputs!$C$35))</f>
        <v/>
      </c>
      <c r="T2592" s="54">
        <f>IF($B2592=0,NA(),IF(Inputs!$B$29&lt;&gt;"Yes",NA(),Inputs!$D$29*Inputs!$C$35))</f>
        <v/>
      </c>
      <c r="AD2592">
        <f>IF($B2592=0,0,IF(Inputs!$B$6="",0,COUNTIFS(Data!$A$10:$A$3209,"&gt;="&amp;$A2592,Data!$A$10:$A$3209,"&lt;"&amp;$A2592+1)))</f>
        <v/>
      </c>
      <c r="AE2592">
        <f>IF($B2592=0,0,IF(Inputs!$B$7="",0,COUNTIFS(Data!$E$10:$E$3209,"&gt;="&amp;$A2592,Data!$E$10:$E$3209,"&lt;"&amp;$A2592+1)))</f>
        <v/>
      </c>
      <c r="AF2592">
        <f>IF($B2592=0,0,IF(Inputs!$B$8="",0,COUNTIFS(Data!$I$10:$I$3209,"&gt;="&amp;$A2592,Data!$I$10:$I$3209,"&lt;"&amp;$A2592+1)))</f>
        <v/>
      </c>
      <c r="AG2592">
        <f>IF($B2592=0,0,IF(Inputs!$B$9="",0,COUNTIFS(Data!$M$10:$M$3209,"&gt;="&amp;$A2592,Data!$M$10:$M$3209,"&lt;"&amp;$A2592+1)))</f>
        <v/>
      </c>
      <c r="AH2592">
        <f>IF($B2592=0,0,IF(Inputs!$B$10="",0,COUNTIFS(Data!$Q$10:$Q$3209,"&gt;="&amp;$A2592,Data!$Q$10:$Q$3209,"&lt;"&amp;$A2592+1)))</f>
        <v/>
      </c>
    </row>
    <row r="2593">
      <c r="A2593" s="55">
        <f>MIN(Inputs!$C$15,$A2592+IF(WEEKDAY($A2592,2)=5,3,1))</f>
        <v/>
      </c>
      <c r="B2593">
        <f>IF($A2593&gt;$A2592,1,0)</f>
        <v/>
      </c>
      <c r="C2593" s="56">
        <f>IF($B2593=0,"",IF(Inputs!$B$6="","",IF($AD2593=0,C2592,SUMIFS(Data!$B$10:$B$3209,Data!$A$10:$A$3209,"&gt;="&amp;$A2593,Data!$A$10:$A$3209,"&lt;"&amp;$A2593+1)/$AD2593)))</f>
        <v/>
      </c>
      <c r="D2593" s="56">
        <f>IF($B2593=0,"",IF(Inputs!$B$7="","",IF($AE2593=0,D2592,SUMIFS(Data!$F$10:$F$3209,Data!$E$10:$E$3209,"&gt;="&amp;$A2593,Data!$E$10:$E$3209,"&lt;"&amp;$A2593+1)/$AE2593)))</f>
        <v/>
      </c>
      <c r="E2593" s="56">
        <f>IF($B2593=0,"",IF(Inputs!$B$8="","",IF($AF2593=0,E2592,SUMIFS(Data!$J$10:$J$3209,Data!$I$10:$I$3209,"&gt;="&amp;$A2593,Data!$I$10:$I$3209,"&lt;"&amp;$A2593+1)/$AF2593)))</f>
        <v/>
      </c>
      <c r="F2593" s="56">
        <f>IF($B2593=0,"",IF(Inputs!$B$9="","",IF($AG2593=0,F2592,SUMIFS(Data!$N$10:$N$3209,Data!$M$10:$M$3209,"&gt;="&amp;$A2593,Data!$M$10:$M$3209,"&lt;"&amp;$A2593+1)/$AG2593)))</f>
        <v/>
      </c>
      <c r="G2593" s="56">
        <f>IF($B2593=0,"",IF(Inputs!$B$10="","",IF($AH2593=0,G2592,SUMIFS(Data!$R$10:$R$3209,Data!$Q$10:$Q$3209,"&gt;="&amp;$A2593,Data!$Q$10:$Q$3209,"&lt;"&amp;$A2593+1)/$AH2593)))</f>
        <v/>
      </c>
      <c r="I2593" s="54">
        <f>IF($B2593=0,NA(),IF($C2593="",NA(),IF(C$8="",NA(),IF(N(C$8)=0,NA(),IF(Inputs!$C$17="Rebased to 100",$C2593/C$8*100,$C2593)))))</f>
        <v/>
      </c>
      <c r="J2593" s="54">
        <f>IF($B2593=0,NA(),IF($D2593="",NA(),IF(D$8="",NA(),IF(N(D$8)=0,NA(),IF(Inputs!$C$17="Rebased to 100",$D2593/D$8*100,$D2593)))))</f>
        <v/>
      </c>
      <c r="K2593" s="54">
        <f>IF($B2593=0,NA(),IF($E2593="",NA(),IF(E$8="",NA(),IF(N(E$8)=0,NA(),IF(Inputs!$C$17="Rebased to 100",$E2593/E$8*100,$E2593)))))</f>
        <v/>
      </c>
      <c r="L2593" s="54">
        <f>IF($B2593=0,NA(),IF($F2593="",NA(),IF(F$8="",NA(),IF(N(F$8)=0,NA(),IF(Inputs!$C$17="Rebased to 100",$F2593/F$8*100,$F2593)))))</f>
        <v/>
      </c>
      <c r="M2593" s="54">
        <f>IF($B2593=0,NA(),IF($G2593="",NA(),IF(G$8="",NA(),IF(N(G$8)=0,NA(),IF(Inputs!$C$17="Rebased to 100",$G2593/G$8*100,$G2593)))))</f>
        <v/>
      </c>
      <c r="N2593" s="54">
        <f>IF($B2593=0,NA(),IF(Inputs!$C$18&lt;&gt;"Yes",NA(),IF(COUNT(I2593,J2593,K2593,L2593,M2593)=0,NA(),MIN(I2593,J2593,K2593,L2593,M2593))))</f>
        <v/>
      </c>
      <c r="O2593" s="54">
        <f>IF($B2593=0,NA(),IF(Inputs!$B$24&lt;&gt;"Yes",NA(),Inputs!$D$24*Inputs!$C$35))</f>
        <v/>
      </c>
      <c r="P2593" s="54">
        <f>IF($B2593=0,NA(),IF(Inputs!$B$25&lt;&gt;"Yes",NA(),Inputs!$D$25*Inputs!$C$35))</f>
        <v/>
      </c>
      <c r="Q2593" s="54">
        <f>IF($B2593=0,NA(),IF(Inputs!$B$26&lt;&gt;"Yes",NA(),Inputs!$D$26*Inputs!$C$35))</f>
        <v/>
      </c>
      <c r="R2593" s="54">
        <f>IF($B2593=0,NA(),IF(Inputs!$B$27&lt;&gt;"Yes",NA(),Inputs!$D$27*Inputs!$C$35))</f>
        <v/>
      </c>
      <c r="S2593" s="54">
        <f>IF($B2593=0,NA(),IF(Inputs!$B$28&lt;&gt;"Yes",NA(),Inputs!$D$28*Inputs!$C$35))</f>
        <v/>
      </c>
      <c r="T2593" s="54">
        <f>IF($B2593=0,NA(),IF(Inputs!$B$29&lt;&gt;"Yes",NA(),Inputs!$D$29*Inputs!$C$35))</f>
        <v/>
      </c>
      <c r="AD2593">
        <f>IF($B2593=0,0,IF(Inputs!$B$6="",0,COUNTIFS(Data!$A$10:$A$3209,"&gt;="&amp;$A2593,Data!$A$10:$A$3209,"&lt;"&amp;$A2593+1)))</f>
        <v/>
      </c>
      <c r="AE2593">
        <f>IF($B2593=0,0,IF(Inputs!$B$7="",0,COUNTIFS(Data!$E$10:$E$3209,"&gt;="&amp;$A2593,Data!$E$10:$E$3209,"&lt;"&amp;$A2593+1)))</f>
        <v/>
      </c>
      <c r="AF2593">
        <f>IF($B2593=0,0,IF(Inputs!$B$8="",0,COUNTIFS(Data!$I$10:$I$3209,"&gt;="&amp;$A2593,Data!$I$10:$I$3209,"&lt;"&amp;$A2593+1)))</f>
        <v/>
      </c>
      <c r="AG2593">
        <f>IF($B2593=0,0,IF(Inputs!$B$9="",0,COUNTIFS(Data!$M$10:$M$3209,"&gt;="&amp;$A2593,Data!$M$10:$M$3209,"&lt;"&amp;$A2593+1)))</f>
        <v/>
      </c>
      <c r="AH2593">
        <f>IF($B2593=0,0,IF(Inputs!$B$10="",0,COUNTIFS(Data!$Q$10:$Q$3209,"&gt;="&amp;$A2593,Data!$Q$10:$Q$3209,"&lt;"&amp;$A2593+1)))</f>
        <v/>
      </c>
    </row>
    <row r="2594">
      <c r="A2594" s="55">
        <f>MIN(Inputs!$C$15,$A2593+IF(WEEKDAY($A2593,2)=5,3,1))</f>
        <v/>
      </c>
      <c r="B2594">
        <f>IF($A2594&gt;$A2593,1,0)</f>
        <v/>
      </c>
      <c r="C2594" s="56">
        <f>IF($B2594=0,"",IF(Inputs!$B$6="","",IF($AD2594=0,C2593,SUMIFS(Data!$B$10:$B$3209,Data!$A$10:$A$3209,"&gt;="&amp;$A2594,Data!$A$10:$A$3209,"&lt;"&amp;$A2594+1)/$AD2594)))</f>
        <v/>
      </c>
      <c r="D2594" s="56">
        <f>IF($B2594=0,"",IF(Inputs!$B$7="","",IF($AE2594=0,D2593,SUMIFS(Data!$F$10:$F$3209,Data!$E$10:$E$3209,"&gt;="&amp;$A2594,Data!$E$10:$E$3209,"&lt;"&amp;$A2594+1)/$AE2594)))</f>
        <v/>
      </c>
      <c r="E2594" s="56">
        <f>IF($B2594=0,"",IF(Inputs!$B$8="","",IF($AF2594=0,E2593,SUMIFS(Data!$J$10:$J$3209,Data!$I$10:$I$3209,"&gt;="&amp;$A2594,Data!$I$10:$I$3209,"&lt;"&amp;$A2594+1)/$AF2594)))</f>
        <v/>
      </c>
      <c r="F2594" s="56">
        <f>IF($B2594=0,"",IF(Inputs!$B$9="","",IF($AG2594=0,F2593,SUMIFS(Data!$N$10:$N$3209,Data!$M$10:$M$3209,"&gt;="&amp;$A2594,Data!$M$10:$M$3209,"&lt;"&amp;$A2594+1)/$AG2594)))</f>
        <v/>
      </c>
      <c r="G2594" s="56">
        <f>IF($B2594=0,"",IF(Inputs!$B$10="","",IF($AH2594=0,G2593,SUMIFS(Data!$R$10:$R$3209,Data!$Q$10:$Q$3209,"&gt;="&amp;$A2594,Data!$Q$10:$Q$3209,"&lt;"&amp;$A2594+1)/$AH2594)))</f>
        <v/>
      </c>
      <c r="I2594" s="54">
        <f>IF($B2594=0,NA(),IF($C2594="",NA(),IF(C$8="",NA(),IF(N(C$8)=0,NA(),IF(Inputs!$C$17="Rebased to 100",$C2594/C$8*100,$C2594)))))</f>
        <v/>
      </c>
      <c r="J2594" s="54">
        <f>IF($B2594=0,NA(),IF($D2594="",NA(),IF(D$8="",NA(),IF(N(D$8)=0,NA(),IF(Inputs!$C$17="Rebased to 100",$D2594/D$8*100,$D2594)))))</f>
        <v/>
      </c>
      <c r="K2594" s="54">
        <f>IF($B2594=0,NA(),IF($E2594="",NA(),IF(E$8="",NA(),IF(N(E$8)=0,NA(),IF(Inputs!$C$17="Rebased to 100",$E2594/E$8*100,$E2594)))))</f>
        <v/>
      </c>
      <c r="L2594" s="54">
        <f>IF($B2594=0,NA(),IF($F2594="",NA(),IF(F$8="",NA(),IF(N(F$8)=0,NA(),IF(Inputs!$C$17="Rebased to 100",$F2594/F$8*100,$F2594)))))</f>
        <v/>
      </c>
      <c r="M2594" s="54">
        <f>IF($B2594=0,NA(),IF($G2594="",NA(),IF(G$8="",NA(),IF(N(G$8)=0,NA(),IF(Inputs!$C$17="Rebased to 100",$G2594/G$8*100,$G2594)))))</f>
        <v/>
      </c>
      <c r="N2594" s="54">
        <f>IF($B2594=0,NA(),IF(Inputs!$C$18&lt;&gt;"Yes",NA(),IF(COUNT(I2594,J2594,K2594,L2594,M2594)=0,NA(),MIN(I2594,J2594,K2594,L2594,M2594))))</f>
        <v/>
      </c>
      <c r="O2594" s="54">
        <f>IF($B2594=0,NA(),IF(Inputs!$B$24&lt;&gt;"Yes",NA(),Inputs!$D$24*Inputs!$C$35))</f>
        <v/>
      </c>
      <c r="P2594" s="54">
        <f>IF($B2594=0,NA(),IF(Inputs!$B$25&lt;&gt;"Yes",NA(),Inputs!$D$25*Inputs!$C$35))</f>
        <v/>
      </c>
      <c r="Q2594" s="54">
        <f>IF($B2594=0,NA(),IF(Inputs!$B$26&lt;&gt;"Yes",NA(),Inputs!$D$26*Inputs!$C$35))</f>
        <v/>
      </c>
      <c r="R2594" s="54">
        <f>IF($B2594=0,NA(),IF(Inputs!$B$27&lt;&gt;"Yes",NA(),Inputs!$D$27*Inputs!$C$35))</f>
        <v/>
      </c>
      <c r="S2594" s="54">
        <f>IF($B2594=0,NA(),IF(Inputs!$B$28&lt;&gt;"Yes",NA(),Inputs!$D$28*Inputs!$C$35))</f>
        <v/>
      </c>
      <c r="T2594" s="54">
        <f>IF($B2594=0,NA(),IF(Inputs!$B$29&lt;&gt;"Yes",NA(),Inputs!$D$29*Inputs!$C$35))</f>
        <v/>
      </c>
      <c r="AD2594">
        <f>IF($B2594=0,0,IF(Inputs!$B$6="",0,COUNTIFS(Data!$A$10:$A$3209,"&gt;="&amp;$A2594,Data!$A$10:$A$3209,"&lt;"&amp;$A2594+1)))</f>
        <v/>
      </c>
      <c r="AE2594">
        <f>IF($B2594=0,0,IF(Inputs!$B$7="",0,COUNTIFS(Data!$E$10:$E$3209,"&gt;="&amp;$A2594,Data!$E$10:$E$3209,"&lt;"&amp;$A2594+1)))</f>
        <v/>
      </c>
      <c r="AF2594">
        <f>IF($B2594=0,0,IF(Inputs!$B$8="",0,COUNTIFS(Data!$I$10:$I$3209,"&gt;="&amp;$A2594,Data!$I$10:$I$3209,"&lt;"&amp;$A2594+1)))</f>
        <v/>
      </c>
      <c r="AG2594">
        <f>IF($B2594=0,0,IF(Inputs!$B$9="",0,COUNTIFS(Data!$M$10:$M$3209,"&gt;="&amp;$A2594,Data!$M$10:$M$3209,"&lt;"&amp;$A2594+1)))</f>
        <v/>
      </c>
      <c r="AH2594">
        <f>IF($B2594=0,0,IF(Inputs!$B$10="",0,COUNTIFS(Data!$Q$10:$Q$3209,"&gt;="&amp;$A2594,Data!$Q$10:$Q$3209,"&lt;"&amp;$A2594+1)))</f>
        <v/>
      </c>
    </row>
    <row r="2595">
      <c r="A2595" s="55">
        <f>MIN(Inputs!$C$15,$A2594+IF(WEEKDAY($A2594,2)=5,3,1))</f>
        <v/>
      </c>
      <c r="B2595">
        <f>IF($A2595&gt;$A2594,1,0)</f>
        <v/>
      </c>
      <c r="C2595" s="56">
        <f>IF($B2595=0,"",IF(Inputs!$B$6="","",IF($AD2595=0,C2594,SUMIFS(Data!$B$10:$B$3209,Data!$A$10:$A$3209,"&gt;="&amp;$A2595,Data!$A$10:$A$3209,"&lt;"&amp;$A2595+1)/$AD2595)))</f>
        <v/>
      </c>
      <c r="D2595" s="56">
        <f>IF($B2595=0,"",IF(Inputs!$B$7="","",IF($AE2595=0,D2594,SUMIFS(Data!$F$10:$F$3209,Data!$E$10:$E$3209,"&gt;="&amp;$A2595,Data!$E$10:$E$3209,"&lt;"&amp;$A2595+1)/$AE2595)))</f>
        <v/>
      </c>
      <c r="E2595" s="56">
        <f>IF($B2595=0,"",IF(Inputs!$B$8="","",IF($AF2595=0,E2594,SUMIFS(Data!$J$10:$J$3209,Data!$I$10:$I$3209,"&gt;="&amp;$A2595,Data!$I$10:$I$3209,"&lt;"&amp;$A2595+1)/$AF2595)))</f>
        <v/>
      </c>
      <c r="F2595" s="56">
        <f>IF($B2595=0,"",IF(Inputs!$B$9="","",IF($AG2595=0,F2594,SUMIFS(Data!$N$10:$N$3209,Data!$M$10:$M$3209,"&gt;="&amp;$A2595,Data!$M$10:$M$3209,"&lt;"&amp;$A2595+1)/$AG2595)))</f>
        <v/>
      </c>
      <c r="G2595" s="56">
        <f>IF($B2595=0,"",IF(Inputs!$B$10="","",IF($AH2595=0,G2594,SUMIFS(Data!$R$10:$R$3209,Data!$Q$10:$Q$3209,"&gt;="&amp;$A2595,Data!$Q$10:$Q$3209,"&lt;"&amp;$A2595+1)/$AH2595)))</f>
        <v/>
      </c>
      <c r="I2595" s="54">
        <f>IF($B2595=0,NA(),IF($C2595="",NA(),IF(C$8="",NA(),IF(N(C$8)=0,NA(),IF(Inputs!$C$17="Rebased to 100",$C2595/C$8*100,$C2595)))))</f>
        <v/>
      </c>
      <c r="J2595" s="54">
        <f>IF($B2595=0,NA(),IF($D2595="",NA(),IF(D$8="",NA(),IF(N(D$8)=0,NA(),IF(Inputs!$C$17="Rebased to 100",$D2595/D$8*100,$D2595)))))</f>
        <v/>
      </c>
      <c r="K2595" s="54">
        <f>IF($B2595=0,NA(),IF($E2595="",NA(),IF(E$8="",NA(),IF(N(E$8)=0,NA(),IF(Inputs!$C$17="Rebased to 100",$E2595/E$8*100,$E2595)))))</f>
        <v/>
      </c>
      <c r="L2595" s="54">
        <f>IF($B2595=0,NA(),IF($F2595="",NA(),IF(F$8="",NA(),IF(N(F$8)=0,NA(),IF(Inputs!$C$17="Rebased to 100",$F2595/F$8*100,$F2595)))))</f>
        <v/>
      </c>
      <c r="M2595" s="54">
        <f>IF($B2595=0,NA(),IF($G2595="",NA(),IF(G$8="",NA(),IF(N(G$8)=0,NA(),IF(Inputs!$C$17="Rebased to 100",$G2595/G$8*100,$G2595)))))</f>
        <v/>
      </c>
      <c r="N2595" s="54">
        <f>IF($B2595=0,NA(),IF(Inputs!$C$18&lt;&gt;"Yes",NA(),IF(COUNT(I2595,J2595,K2595,L2595,M2595)=0,NA(),MIN(I2595,J2595,K2595,L2595,M2595))))</f>
        <v/>
      </c>
      <c r="O2595" s="54">
        <f>IF($B2595=0,NA(),IF(Inputs!$B$24&lt;&gt;"Yes",NA(),Inputs!$D$24*Inputs!$C$35))</f>
        <v/>
      </c>
      <c r="P2595" s="54">
        <f>IF($B2595=0,NA(),IF(Inputs!$B$25&lt;&gt;"Yes",NA(),Inputs!$D$25*Inputs!$C$35))</f>
        <v/>
      </c>
      <c r="Q2595" s="54">
        <f>IF($B2595=0,NA(),IF(Inputs!$B$26&lt;&gt;"Yes",NA(),Inputs!$D$26*Inputs!$C$35))</f>
        <v/>
      </c>
      <c r="R2595" s="54">
        <f>IF($B2595=0,NA(),IF(Inputs!$B$27&lt;&gt;"Yes",NA(),Inputs!$D$27*Inputs!$C$35))</f>
        <v/>
      </c>
      <c r="S2595" s="54">
        <f>IF($B2595=0,NA(),IF(Inputs!$B$28&lt;&gt;"Yes",NA(),Inputs!$D$28*Inputs!$C$35))</f>
        <v/>
      </c>
      <c r="T2595" s="54">
        <f>IF($B2595=0,NA(),IF(Inputs!$B$29&lt;&gt;"Yes",NA(),Inputs!$D$29*Inputs!$C$35))</f>
        <v/>
      </c>
      <c r="AD2595">
        <f>IF($B2595=0,0,IF(Inputs!$B$6="",0,COUNTIFS(Data!$A$10:$A$3209,"&gt;="&amp;$A2595,Data!$A$10:$A$3209,"&lt;"&amp;$A2595+1)))</f>
        <v/>
      </c>
      <c r="AE2595">
        <f>IF($B2595=0,0,IF(Inputs!$B$7="",0,COUNTIFS(Data!$E$10:$E$3209,"&gt;="&amp;$A2595,Data!$E$10:$E$3209,"&lt;"&amp;$A2595+1)))</f>
        <v/>
      </c>
      <c r="AF2595">
        <f>IF($B2595=0,0,IF(Inputs!$B$8="",0,COUNTIFS(Data!$I$10:$I$3209,"&gt;="&amp;$A2595,Data!$I$10:$I$3209,"&lt;"&amp;$A2595+1)))</f>
        <v/>
      </c>
      <c r="AG2595">
        <f>IF($B2595=0,0,IF(Inputs!$B$9="",0,COUNTIFS(Data!$M$10:$M$3209,"&gt;="&amp;$A2595,Data!$M$10:$M$3209,"&lt;"&amp;$A2595+1)))</f>
        <v/>
      </c>
      <c r="AH2595">
        <f>IF($B2595=0,0,IF(Inputs!$B$10="",0,COUNTIFS(Data!$Q$10:$Q$3209,"&gt;="&amp;$A2595,Data!$Q$10:$Q$3209,"&lt;"&amp;$A2595+1)))</f>
        <v/>
      </c>
    </row>
    <row r="2596">
      <c r="A2596" s="55">
        <f>MIN(Inputs!$C$15,$A2595+IF(WEEKDAY($A2595,2)=5,3,1))</f>
        <v/>
      </c>
      <c r="B2596">
        <f>IF($A2596&gt;$A2595,1,0)</f>
        <v/>
      </c>
      <c r="C2596" s="56">
        <f>IF($B2596=0,"",IF(Inputs!$B$6="","",IF($AD2596=0,C2595,SUMIFS(Data!$B$10:$B$3209,Data!$A$10:$A$3209,"&gt;="&amp;$A2596,Data!$A$10:$A$3209,"&lt;"&amp;$A2596+1)/$AD2596)))</f>
        <v/>
      </c>
      <c r="D2596" s="56">
        <f>IF($B2596=0,"",IF(Inputs!$B$7="","",IF($AE2596=0,D2595,SUMIFS(Data!$F$10:$F$3209,Data!$E$10:$E$3209,"&gt;="&amp;$A2596,Data!$E$10:$E$3209,"&lt;"&amp;$A2596+1)/$AE2596)))</f>
        <v/>
      </c>
      <c r="E2596" s="56">
        <f>IF($B2596=0,"",IF(Inputs!$B$8="","",IF($AF2596=0,E2595,SUMIFS(Data!$J$10:$J$3209,Data!$I$10:$I$3209,"&gt;="&amp;$A2596,Data!$I$10:$I$3209,"&lt;"&amp;$A2596+1)/$AF2596)))</f>
        <v/>
      </c>
      <c r="F2596" s="56">
        <f>IF($B2596=0,"",IF(Inputs!$B$9="","",IF($AG2596=0,F2595,SUMIFS(Data!$N$10:$N$3209,Data!$M$10:$M$3209,"&gt;="&amp;$A2596,Data!$M$10:$M$3209,"&lt;"&amp;$A2596+1)/$AG2596)))</f>
        <v/>
      </c>
      <c r="G2596" s="56">
        <f>IF($B2596=0,"",IF(Inputs!$B$10="","",IF($AH2596=0,G2595,SUMIFS(Data!$R$10:$R$3209,Data!$Q$10:$Q$3209,"&gt;="&amp;$A2596,Data!$Q$10:$Q$3209,"&lt;"&amp;$A2596+1)/$AH2596)))</f>
        <v/>
      </c>
      <c r="I2596" s="54">
        <f>IF($B2596=0,NA(),IF($C2596="",NA(),IF(C$8="",NA(),IF(N(C$8)=0,NA(),IF(Inputs!$C$17="Rebased to 100",$C2596/C$8*100,$C2596)))))</f>
        <v/>
      </c>
      <c r="J2596" s="54">
        <f>IF($B2596=0,NA(),IF($D2596="",NA(),IF(D$8="",NA(),IF(N(D$8)=0,NA(),IF(Inputs!$C$17="Rebased to 100",$D2596/D$8*100,$D2596)))))</f>
        <v/>
      </c>
      <c r="K2596" s="54">
        <f>IF($B2596=0,NA(),IF($E2596="",NA(),IF(E$8="",NA(),IF(N(E$8)=0,NA(),IF(Inputs!$C$17="Rebased to 100",$E2596/E$8*100,$E2596)))))</f>
        <v/>
      </c>
      <c r="L2596" s="54">
        <f>IF($B2596=0,NA(),IF($F2596="",NA(),IF(F$8="",NA(),IF(N(F$8)=0,NA(),IF(Inputs!$C$17="Rebased to 100",$F2596/F$8*100,$F2596)))))</f>
        <v/>
      </c>
      <c r="M2596" s="54">
        <f>IF($B2596=0,NA(),IF($G2596="",NA(),IF(G$8="",NA(),IF(N(G$8)=0,NA(),IF(Inputs!$C$17="Rebased to 100",$G2596/G$8*100,$G2596)))))</f>
        <v/>
      </c>
      <c r="N2596" s="54">
        <f>IF($B2596=0,NA(),IF(Inputs!$C$18&lt;&gt;"Yes",NA(),IF(COUNT(I2596,J2596,K2596,L2596,M2596)=0,NA(),MIN(I2596,J2596,K2596,L2596,M2596))))</f>
        <v/>
      </c>
      <c r="O2596" s="54">
        <f>IF($B2596=0,NA(),IF(Inputs!$B$24&lt;&gt;"Yes",NA(),Inputs!$D$24*Inputs!$C$35))</f>
        <v/>
      </c>
      <c r="P2596" s="54">
        <f>IF($B2596=0,NA(),IF(Inputs!$B$25&lt;&gt;"Yes",NA(),Inputs!$D$25*Inputs!$C$35))</f>
        <v/>
      </c>
      <c r="Q2596" s="54">
        <f>IF($B2596=0,NA(),IF(Inputs!$B$26&lt;&gt;"Yes",NA(),Inputs!$D$26*Inputs!$C$35))</f>
        <v/>
      </c>
      <c r="R2596" s="54">
        <f>IF($B2596=0,NA(),IF(Inputs!$B$27&lt;&gt;"Yes",NA(),Inputs!$D$27*Inputs!$C$35))</f>
        <v/>
      </c>
      <c r="S2596" s="54">
        <f>IF($B2596=0,NA(),IF(Inputs!$B$28&lt;&gt;"Yes",NA(),Inputs!$D$28*Inputs!$C$35))</f>
        <v/>
      </c>
      <c r="T2596" s="54">
        <f>IF($B2596=0,NA(),IF(Inputs!$B$29&lt;&gt;"Yes",NA(),Inputs!$D$29*Inputs!$C$35))</f>
        <v/>
      </c>
      <c r="AD2596">
        <f>IF($B2596=0,0,IF(Inputs!$B$6="",0,COUNTIFS(Data!$A$10:$A$3209,"&gt;="&amp;$A2596,Data!$A$10:$A$3209,"&lt;"&amp;$A2596+1)))</f>
        <v/>
      </c>
      <c r="AE2596">
        <f>IF($B2596=0,0,IF(Inputs!$B$7="",0,COUNTIFS(Data!$E$10:$E$3209,"&gt;="&amp;$A2596,Data!$E$10:$E$3209,"&lt;"&amp;$A2596+1)))</f>
        <v/>
      </c>
      <c r="AF2596">
        <f>IF($B2596=0,0,IF(Inputs!$B$8="",0,COUNTIFS(Data!$I$10:$I$3209,"&gt;="&amp;$A2596,Data!$I$10:$I$3209,"&lt;"&amp;$A2596+1)))</f>
        <v/>
      </c>
      <c r="AG2596">
        <f>IF($B2596=0,0,IF(Inputs!$B$9="",0,COUNTIFS(Data!$M$10:$M$3209,"&gt;="&amp;$A2596,Data!$M$10:$M$3209,"&lt;"&amp;$A2596+1)))</f>
        <v/>
      </c>
      <c r="AH2596">
        <f>IF($B2596=0,0,IF(Inputs!$B$10="",0,COUNTIFS(Data!$Q$10:$Q$3209,"&gt;="&amp;$A2596,Data!$Q$10:$Q$3209,"&lt;"&amp;$A2596+1)))</f>
        <v/>
      </c>
    </row>
    <row r="2597">
      <c r="A2597" s="55">
        <f>MIN(Inputs!$C$15,$A2596+IF(WEEKDAY($A2596,2)=5,3,1))</f>
        <v/>
      </c>
      <c r="B2597">
        <f>IF($A2597&gt;$A2596,1,0)</f>
        <v/>
      </c>
      <c r="C2597" s="56">
        <f>IF($B2597=0,"",IF(Inputs!$B$6="","",IF($AD2597=0,C2596,SUMIFS(Data!$B$10:$B$3209,Data!$A$10:$A$3209,"&gt;="&amp;$A2597,Data!$A$10:$A$3209,"&lt;"&amp;$A2597+1)/$AD2597)))</f>
        <v/>
      </c>
      <c r="D2597" s="56">
        <f>IF($B2597=0,"",IF(Inputs!$B$7="","",IF($AE2597=0,D2596,SUMIFS(Data!$F$10:$F$3209,Data!$E$10:$E$3209,"&gt;="&amp;$A2597,Data!$E$10:$E$3209,"&lt;"&amp;$A2597+1)/$AE2597)))</f>
        <v/>
      </c>
      <c r="E2597" s="56">
        <f>IF($B2597=0,"",IF(Inputs!$B$8="","",IF($AF2597=0,E2596,SUMIFS(Data!$J$10:$J$3209,Data!$I$10:$I$3209,"&gt;="&amp;$A2597,Data!$I$10:$I$3209,"&lt;"&amp;$A2597+1)/$AF2597)))</f>
        <v/>
      </c>
      <c r="F2597" s="56">
        <f>IF($B2597=0,"",IF(Inputs!$B$9="","",IF($AG2597=0,F2596,SUMIFS(Data!$N$10:$N$3209,Data!$M$10:$M$3209,"&gt;="&amp;$A2597,Data!$M$10:$M$3209,"&lt;"&amp;$A2597+1)/$AG2597)))</f>
        <v/>
      </c>
      <c r="G2597" s="56">
        <f>IF($B2597=0,"",IF(Inputs!$B$10="","",IF($AH2597=0,G2596,SUMIFS(Data!$R$10:$R$3209,Data!$Q$10:$Q$3209,"&gt;="&amp;$A2597,Data!$Q$10:$Q$3209,"&lt;"&amp;$A2597+1)/$AH2597)))</f>
        <v/>
      </c>
      <c r="I2597" s="54">
        <f>IF($B2597=0,NA(),IF($C2597="",NA(),IF(C$8="",NA(),IF(N(C$8)=0,NA(),IF(Inputs!$C$17="Rebased to 100",$C2597/C$8*100,$C2597)))))</f>
        <v/>
      </c>
      <c r="J2597" s="54">
        <f>IF($B2597=0,NA(),IF($D2597="",NA(),IF(D$8="",NA(),IF(N(D$8)=0,NA(),IF(Inputs!$C$17="Rebased to 100",$D2597/D$8*100,$D2597)))))</f>
        <v/>
      </c>
      <c r="K2597" s="54">
        <f>IF($B2597=0,NA(),IF($E2597="",NA(),IF(E$8="",NA(),IF(N(E$8)=0,NA(),IF(Inputs!$C$17="Rebased to 100",$E2597/E$8*100,$E2597)))))</f>
        <v/>
      </c>
      <c r="L2597" s="54">
        <f>IF($B2597=0,NA(),IF($F2597="",NA(),IF(F$8="",NA(),IF(N(F$8)=0,NA(),IF(Inputs!$C$17="Rebased to 100",$F2597/F$8*100,$F2597)))))</f>
        <v/>
      </c>
      <c r="M2597" s="54">
        <f>IF($B2597=0,NA(),IF($G2597="",NA(),IF(G$8="",NA(),IF(N(G$8)=0,NA(),IF(Inputs!$C$17="Rebased to 100",$G2597/G$8*100,$G2597)))))</f>
        <v/>
      </c>
      <c r="N2597" s="54">
        <f>IF($B2597=0,NA(),IF(Inputs!$C$18&lt;&gt;"Yes",NA(),IF(COUNT(I2597,J2597,K2597,L2597,M2597)=0,NA(),MIN(I2597,J2597,K2597,L2597,M2597))))</f>
        <v/>
      </c>
      <c r="O2597" s="54">
        <f>IF($B2597=0,NA(),IF(Inputs!$B$24&lt;&gt;"Yes",NA(),Inputs!$D$24*Inputs!$C$35))</f>
        <v/>
      </c>
      <c r="P2597" s="54">
        <f>IF($B2597=0,NA(),IF(Inputs!$B$25&lt;&gt;"Yes",NA(),Inputs!$D$25*Inputs!$C$35))</f>
        <v/>
      </c>
      <c r="Q2597" s="54">
        <f>IF($B2597=0,NA(),IF(Inputs!$B$26&lt;&gt;"Yes",NA(),Inputs!$D$26*Inputs!$C$35))</f>
        <v/>
      </c>
      <c r="R2597" s="54">
        <f>IF($B2597=0,NA(),IF(Inputs!$B$27&lt;&gt;"Yes",NA(),Inputs!$D$27*Inputs!$C$35))</f>
        <v/>
      </c>
      <c r="S2597" s="54">
        <f>IF($B2597=0,NA(),IF(Inputs!$B$28&lt;&gt;"Yes",NA(),Inputs!$D$28*Inputs!$C$35))</f>
        <v/>
      </c>
      <c r="T2597" s="54">
        <f>IF($B2597=0,NA(),IF(Inputs!$B$29&lt;&gt;"Yes",NA(),Inputs!$D$29*Inputs!$C$35))</f>
        <v/>
      </c>
      <c r="AD2597">
        <f>IF($B2597=0,0,IF(Inputs!$B$6="",0,COUNTIFS(Data!$A$10:$A$3209,"&gt;="&amp;$A2597,Data!$A$10:$A$3209,"&lt;"&amp;$A2597+1)))</f>
        <v/>
      </c>
      <c r="AE2597">
        <f>IF($B2597=0,0,IF(Inputs!$B$7="",0,COUNTIFS(Data!$E$10:$E$3209,"&gt;="&amp;$A2597,Data!$E$10:$E$3209,"&lt;"&amp;$A2597+1)))</f>
        <v/>
      </c>
      <c r="AF2597">
        <f>IF($B2597=0,0,IF(Inputs!$B$8="",0,COUNTIFS(Data!$I$10:$I$3209,"&gt;="&amp;$A2597,Data!$I$10:$I$3209,"&lt;"&amp;$A2597+1)))</f>
        <v/>
      </c>
      <c r="AG2597">
        <f>IF($B2597=0,0,IF(Inputs!$B$9="",0,COUNTIFS(Data!$M$10:$M$3209,"&gt;="&amp;$A2597,Data!$M$10:$M$3209,"&lt;"&amp;$A2597+1)))</f>
        <v/>
      </c>
      <c r="AH2597">
        <f>IF($B2597=0,0,IF(Inputs!$B$10="",0,COUNTIFS(Data!$Q$10:$Q$3209,"&gt;="&amp;$A2597,Data!$Q$10:$Q$3209,"&lt;"&amp;$A2597+1)))</f>
        <v/>
      </c>
    </row>
    <row r="2598">
      <c r="A2598" s="55">
        <f>MIN(Inputs!$C$15,$A2597+IF(WEEKDAY($A2597,2)=5,3,1))</f>
        <v/>
      </c>
      <c r="B2598">
        <f>IF($A2598&gt;$A2597,1,0)</f>
        <v/>
      </c>
      <c r="C2598" s="56">
        <f>IF($B2598=0,"",IF(Inputs!$B$6="","",IF($AD2598=0,C2597,SUMIFS(Data!$B$10:$B$3209,Data!$A$10:$A$3209,"&gt;="&amp;$A2598,Data!$A$10:$A$3209,"&lt;"&amp;$A2598+1)/$AD2598)))</f>
        <v/>
      </c>
      <c r="D2598" s="56">
        <f>IF($B2598=0,"",IF(Inputs!$B$7="","",IF($AE2598=0,D2597,SUMIFS(Data!$F$10:$F$3209,Data!$E$10:$E$3209,"&gt;="&amp;$A2598,Data!$E$10:$E$3209,"&lt;"&amp;$A2598+1)/$AE2598)))</f>
        <v/>
      </c>
      <c r="E2598" s="56">
        <f>IF($B2598=0,"",IF(Inputs!$B$8="","",IF($AF2598=0,E2597,SUMIFS(Data!$J$10:$J$3209,Data!$I$10:$I$3209,"&gt;="&amp;$A2598,Data!$I$10:$I$3209,"&lt;"&amp;$A2598+1)/$AF2598)))</f>
        <v/>
      </c>
      <c r="F2598" s="56">
        <f>IF($B2598=0,"",IF(Inputs!$B$9="","",IF($AG2598=0,F2597,SUMIFS(Data!$N$10:$N$3209,Data!$M$10:$M$3209,"&gt;="&amp;$A2598,Data!$M$10:$M$3209,"&lt;"&amp;$A2598+1)/$AG2598)))</f>
        <v/>
      </c>
      <c r="G2598" s="56">
        <f>IF($B2598=0,"",IF(Inputs!$B$10="","",IF($AH2598=0,G2597,SUMIFS(Data!$R$10:$R$3209,Data!$Q$10:$Q$3209,"&gt;="&amp;$A2598,Data!$Q$10:$Q$3209,"&lt;"&amp;$A2598+1)/$AH2598)))</f>
        <v/>
      </c>
      <c r="I2598" s="54">
        <f>IF($B2598=0,NA(),IF($C2598="",NA(),IF(C$8="",NA(),IF(N(C$8)=0,NA(),IF(Inputs!$C$17="Rebased to 100",$C2598/C$8*100,$C2598)))))</f>
        <v/>
      </c>
      <c r="J2598" s="54">
        <f>IF($B2598=0,NA(),IF($D2598="",NA(),IF(D$8="",NA(),IF(N(D$8)=0,NA(),IF(Inputs!$C$17="Rebased to 100",$D2598/D$8*100,$D2598)))))</f>
        <v/>
      </c>
      <c r="K2598" s="54">
        <f>IF($B2598=0,NA(),IF($E2598="",NA(),IF(E$8="",NA(),IF(N(E$8)=0,NA(),IF(Inputs!$C$17="Rebased to 100",$E2598/E$8*100,$E2598)))))</f>
        <v/>
      </c>
      <c r="L2598" s="54">
        <f>IF($B2598=0,NA(),IF($F2598="",NA(),IF(F$8="",NA(),IF(N(F$8)=0,NA(),IF(Inputs!$C$17="Rebased to 100",$F2598/F$8*100,$F2598)))))</f>
        <v/>
      </c>
      <c r="M2598" s="54">
        <f>IF($B2598=0,NA(),IF($G2598="",NA(),IF(G$8="",NA(),IF(N(G$8)=0,NA(),IF(Inputs!$C$17="Rebased to 100",$G2598/G$8*100,$G2598)))))</f>
        <v/>
      </c>
      <c r="N2598" s="54">
        <f>IF($B2598=0,NA(),IF(Inputs!$C$18&lt;&gt;"Yes",NA(),IF(COUNT(I2598,J2598,K2598,L2598,M2598)=0,NA(),MIN(I2598,J2598,K2598,L2598,M2598))))</f>
        <v/>
      </c>
      <c r="O2598" s="54">
        <f>IF($B2598=0,NA(),IF(Inputs!$B$24&lt;&gt;"Yes",NA(),Inputs!$D$24*Inputs!$C$35))</f>
        <v/>
      </c>
      <c r="P2598" s="54">
        <f>IF($B2598=0,NA(),IF(Inputs!$B$25&lt;&gt;"Yes",NA(),Inputs!$D$25*Inputs!$C$35))</f>
        <v/>
      </c>
      <c r="Q2598" s="54">
        <f>IF($B2598=0,NA(),IF(Inputs!$B$26&lt;&gt;"Yes",NA(),Inputs!$D$26*Inputs!$C$35))</f>
        <v/>
      </c>
      <c r="R2598" s="54">
        <f>IF($B2598=0,NA(),IF(Inputs!$B$27&lt;&gt;"Yes",NA(),Inputs!$D$27*Inputs!$C$35))</f>
        <v/>
      </c>
      <c r="S2598" s="54">
        <f>IF($B2598=0,NA(),IF(Inputs!$B$28&lt;&gt;"Yes",NA(),Inputs!$D$28*Inputs!$C$35))</f>
        <v/>
      </c>
      <c r="T2598" s="54">
        <f>IF($B2598=0,NA(),IF(Inputs!$B$29&lt;&gt;"Yes",NA(),Inputs!$D$29*Inputs!$C$35))</f>
        <v/>
      </c>
      <c r="AD2598">
        <f>IF($B2598=0,0,IF(Inputs!$B$6="",0,COUNTIFS(Data!$A$10:$A$3209,"&gt;="&amp;$A2598,Data!$A$10:$A$3209,"&lt;"&amp;$A2598+1)))</f>
        <v/>
      </c>
      <c r="AE2598">
        <f>IF($B2598=0,0,IF(Inputs!$B$7="",0,COUNTIFS(Data!$E$10:$E$3209,"&gt;="&amp;$A2598,Data!$E$10:$E$3209,"&lt;"&amp;$A2598+1)))</f>
        <v/>
      </c>
      <c r="AF2598">
        <f>IF($B2598=0,0,IF(Inputs!$B$8="",0,COUNTIFS(Data!$I$10:$I$3209,"&gt;="&amp;$A2598,Data!$I$10:$I$3209,"&lt;"&amp;$A2598+1)))</f>
        <v/>
      </c>
      <c r="AG2598">
        <f>IF($B2598=0,0,IF(Inputs!$B$9="",0,COUNTIFS(Data!$M$10:$M$3209,"&gt;="&amp;$A2598,Data!$M$10:$M$3209,"&lt;"&amp;$A2598+1)))</f>
        <v/>
      </c>
      <c r="AH2598">
        <f>IF($B2598=0,0,IF(Inputs!$B$10="",0,COUNTIFS(Data!$Q$10:$Q$3209,"&gt;="&amp;$A2598,Data!$Q$10:$Q$3209,"&lt;"&amp;$A2598+1)))</f>
        <v/>
      </c>
    </row>
    <row r="2599">
      <c r="A2599" s="55">
        <f>MIN(Inputs!$C$15,$A2598+IF(WEEKDAY($A2598,2)=5,3,1))</f>
        <v/>
      </c>
      <c r="B2599">
        <f>IF($A2599&gt;$A2598,1,0)</f>
        <v/>
      </c>
      <c r="C2599" s="56">
        <f>IF($B2599=0,"",IF(Inputs!$B$6="","",IF($AD2599=0,C2598,SUMIFS(Data!$B$10:$B$3209,Data!$A$10:$A$3209,"&gt;="&amp;$A2599,Data!$A$10:$A$3209,"&lt;"&amp;$A2599+1)/$AD2599)))</f>
        <v/>
      </c>
      <c r="D2599" s="56">
        <f>IF($B2599=0,"",IF(Inputs!$B$7="","",IF($AE2599=0,D2598,SUMIFS(Data!$F$10:$F$3209,Data!$E$10:$E$3209,"&gt;="&amp;$A2599,Data!$E$10:$E$3209,"&lt;"&amp;$A2599+1)/$AE2599)))</f>
        <v/>
      </c>
      <c r="E2599" s="56">
        <f>IF($B2599=0,"",IF(Inputs!$B$8="","",IF($AF2599=0,E2598,SUMIFS(Data!$J$10:$J$3209,Data!$I$10:$I$3209,"&gt;="&amp;$A2599,Data!$I$10:$I$3209,"&lt;"&amp;$A2599+1)/$AF2599)))</f>
        <v/>
      </c>
      <c r="F2599" s="56">
        <f>IF($B2599=0,"",IF(Inputs!$B$9="","",IF($AG2599=0,F2598,SUMIFS(Data!$N$10:$N$3209,Data!$M$10:$M$3209,"&gt;="&amp;$A2599,Data!$M$10:$M$3209,"&lt;"&amp;$A2599+1)/$AG2599)))</f>
        <v/>
      </c>
      <c r="G2599" s="56">
        <f>IF($B2599=0,"",IF(Inputs!$B$10="","",IF($AH2599=0,G2598,SUMIFS(Data!$R$10:$R$3209,Data!$Q$10:$Q$3209,"&gt;="&amp;$A2599,Data!$Q$10:$Q$3209,"&lt;"&amp;$A2599+1)/$AH2599)))</f>
        <v/>
      </c>
      <c r="I2599" s="54">
        <f>IF($B2599=0,NA(),IF($C2599="",NA(),IF(C$8="",NA(),IF(N(C$8)=0,NA(),IF(Inputs!$C$17="Rebased to 100",$C2599/C$8*100,$C2599)))))</f>
        <v/>
      </c>
      <c r="J2599" s="54">
        <f>IF($B2599=0,NA(),IF($D2599="",NA(),IF(D$8="",NA(),IF(N(D$8)=0,NA(),IF(Inputs!$C$17="Rebased to 100",$D2599/D$8*100,$D2599)))))</f>
        <v/>
      </c>
      <c r="K2599" s="54">
        <f>IF($B2599=0,NA(),IF($E2599="",NA(),IF(E$8="",NA(),IF(N(E$8)=0,NA(),IF(Inputs!$C$17="Rebased to 100",$E2599/E$8*100,$E2599)))))</f>
        <v/>
      </c>
      <c r="L2599" s="54">
        <f>IF($B2599=0,NA(),IF($F2599="",NA(),IF(F$8="",NA(),IF(N(F$8)=0,NA(),IF(Inputs!$C$17="Rebased to 100",$F2599/F$8*100,$F2599)))))</f>
        <v/>
      </c>
      <c r="M2599" s="54">
        <f>IF($B2599=0,NA(),IF($G2599="",NA(),IF(G$8="",NA(),IF(N(G$8)=0,NA(),IF(Inputs!$C$17="Rebased to 100",$G2599/G$8*100,$G2599)))))</f>
        <v/>
      </c>
      <c r="N2599" s="54">
        <f>IF($B2599=0,NA(),IF(Inputs!$C$18&lt;&gt;"Yes",NA(),IF(COUNT(I2599,J2599,K2599,L2599,M2599)=0,NA(),MIN(I2599,J2599,K2599,L2599,M2599))))</f>
        <v/>
      </c>
      <c r="O2599" s="54">
        <f>IF($B2599=0,NA(),IF(Inputs!$B$24&lt;&gt;"Yes",NA(),Inputs!$D$24*Inputs!$C$35))</f>
        <v/>
      </c>
      <c r="P2599" s="54">
        <f>IF($B2599=0,NA(),IF(Inputs!$B$25&lt;&gt;"Yes",NA(),Inputs!$D$25*Inputs!$C$35))</f>
        <v/>
      </c>
      <c r="Q2599" s="54">
        <f>IF($B2599=0,NA(),IF(Inputs!$B$26&lt;&gt;"Yes",NA(),Inputs!$D$26*Inputs!$C$35))</f>
        <v/>
      </c>
      <c r="R2599" s="54">
        <f>IF($B2599=0,NA(),IF(Inputs!$B$27&lt;&gt;"Yes",NA(),Inputs!$D$27*Inputs!$C$35))</f>
        <v/>
      </c>
      <c r="S2599" s="54">
        <f>IF($B2599=0,NA(),IF(Inputs!$B$28&lt;&gt;"Yes",NA(),Inputs!$D$28*Inputs!$C$35))</f>
        <v/>
      </c>
      <c r="T2599" s="54">
        <f>IF($B2599=0,NA(),IF(Inputs!$B$29&lt;&gt;"Yes",NA(),Inputs!$D$29*Inputs!$C$35))</f>
        <v/>
      </c>
      <c r="AD2599">
        <f>IF($B2599=0,0,IF(Inputs!$B$6="",0,COUNTIFS(Data!$A$10:$A$3209,"&gt;="&amp;$A2599,Data!$A$10:$A$3209,"&lt;"&amp;$A2599+1)))</f>
        <v/>
      </c>
      <c r="AE2599">
        <f>IF($B2599=0,0,IF(Inputs!$B$7="",0,COUNTIFS(Data!$E$10:$E$3209,"&gt;="&amp;$A2599,Data!$E$10:$E$3209,"&lt;"&amp;$A2599+1)))</f>
        <v/>
      </c>
      <c r="AF2599">
        <f>IF($B2599=0,0,IF(Inputs!$B$8="",0,COUNTIFS(Data!$I$10:$I$3209,"&gt;="&amp;$A2599,Data!$I$10:$I$3209,"&lt;"&amp;$A2599+1)))</f>
        <v/>
      </c>
      <c r="AG2599">
        <f>IF($B2599=0,0,IF(Inputs!$B$9="",0,COUNTIFS(Data!$M$10:$M$3209,"&gt;="&amp;$A2599,Data!$M$10:$M$3209,"&lt;"&amp;$A2599+1)))</f>
        <v/>
      </c>
      <c r="AH2599">
        <f>IF($B2599=0,0,IF(Inputs!$B$10="",0,COUNTIFS(Data!$Q$10:$Q$3209,"&gt;="&amp;$A2599,Data!$Q$10:$Q$3209,"&lt;"&amp;$A2599+1)))</f>
        <v/>
      </c>
    </row>
    <row r="2600">
      <c r="A2600" s="55">
        <f>MIN(Inputs!$C$15,$A2599+IF(WEEKDAY($A2599,2)=5,3,1))</f>
        <v/>
      </c>
      <c r="B2600">
        <f>IF($A2600&gt;$A2599,1,0)</f>
        <v/>
      </c>
      <c r="C2600" s="56">
        <f>IF($B2600=0,"",IF(Inputs!$B$6="","",IF($AD2600=0,C2599,SUMIFS(Data!$B$10:$B$3209,Data!$A$10:$A$3209,"&gt;="&amp;$A2600,Data!$A$10:$A$3209,"&lt;"&amp;$A2600+1)/$AD2600)))</f>
        <v/>
      </c>
      <c r="D2600" s="56">
        <f>IF($B2600=0,"",IF(Inputs!$B$7="","",IF($AE2600=0,D2599,SUMIFS(Data!$F$10:$F$3209,Data!$E$10:$E$3209,"&gt;="&amp;$A2600,Data!$E$10:$E$3209,"&lt;"&amp;$A2600+1)/$AE2600)))</f>
        <v/>
      </c>
      <c r="E2600" s="56">
        <f>IF($B2600=0,"",IF(Inputs!$B$8="","",IF($AF2600=0,E2599,SUMIFS(Data!$J$10:$J$3209,Data!$I$10:$I$3209,"&gt;="&amp;$A2600,Data!$I$10:$I$3209,"&lt;"&amp;$A2600+1)/$AF2600)))</f>
        <v/>
      </c>
      <c r="F2600" s="56">
        <f>IF($B2600=0,"",IF(Inputs!$B$9="","",IF($AG2600=0,F2599,SUMIFS(Data!$N$10:$N$3209,Data!$M$10:$M$3209,"&gt;="&amp;$A2600,Data!$M$10:$M$3209,"&lt;"&amp;$A2600+1)/$AG2600)))</f>
        <v/>
      </c>
      <c r="G2600" s="56">
        <f>IF($B2600=0,"",IF(Inputs!$B$10="","",IF($AH2600=0,G2599,SUMIFS(Data!$R$10:$R$3209,Data!$Q$10:$Q$3209,"&gt;="&amp;$A2600,Data!$Q$10:$Q$3209,"&lt;"&amp;$A2600+1)/$AH2600)))</f>
        <v/>
      </c>
      <c r="I2600" s="54">
        <f>IF($B2600=0,NA(),IF($C2600="",NA(),IF(C$8="",NA(),IF(N(C$8)=0,NA(),IF(Inputs!$C$17="Rebased to 100",$C2600/C$8*100,$C2600)))))</f>
        <v/>
      </c>
      <c r="J2600" s="54">
        <f>IF($B2600=0,NA(),IF($D2600="",NA(),IF(D$8="",NA(),IF(N(D$8)=0,NA(),IF(Inputs!$C$17="Rebased to 100",$D2600/D$8*100,$D2600)))))</f>
        <v/>
      </c>
      <c r="K2600" s="54">
        <f>IF($B2600=0,NA(),IF($E2600="",NA(),IF(E$8="",NA(),IF(N(E$8)=0,NA(),IF(Inputs!$C$17="Rebased to 100",$E2600/E$8*100,$E2600)))))</f>
        <v/>
      </c>
      <c r="L2600" s="54">
        <f>IF($B2600=0,NA(),IF($F2600="",NA(),IF(F$8="",NA(),IF(N(F$8)=0,NA(),IF(Inputs!$C$17="Rebased to 100",$F2600/F$8*100,$F2600)))))</f>
        <v/>
      </c>
      <c r="M2600" s="54">
        <f>IF($B2600=0,NA(),IF($G2600="",NA(),IF(G$8="",NA(),IF(N(G$8)=0,NA(),IF(Inputs!$C$17="Rebased to 100",$G2600/G$8*100,$G2600)))))</f>
        <v/>
      </c>
      <c r="N2600" s="54">
        <f>IF($B2600=0,NA(),IF(Inputs!$C$18&lt;&gt;"Yes",NA(),IF(COUNT(I2600,J2600,K2600,L2600,M2600)=0,NA(),MIN(I2600,J2600,K2600,L2600,M2600))))</f>
        <v/>
      </c>
      <c r="O2600" s="54">
        <f>IF($B2600=0,NA(),IF(Inputs!$B$24&lt;&gt;"Yes",NA(),Inputs!$D$24*Inputs!$C$35))</f>
        <v/>
      </c>
      <c r="P2600" s="54">
        <f>IF($B2600=0,NA(),IF(Inputs!$B$25&lt;&gt;"Yes",NA(),Inputs!$D$25*Inputs!$C$35))</f>
        <v/>
      </c>
      <c r="Q2600" s="54">
        <f>IF($B2600=0,NA(),IF(Inputs!$B$26&lt;&gt;"Yes",NA(),Inputs!$D$26*Inputs!$C$35))</f>
        <v/>
      </c>
      <c r="R2600" s="54">
        <f>IF($B2600=0,NA(),IF(Inputs!$B$27&lt;&gt;"Yes",NA(),Inputs!$D$27*Inputs!$C$35))</f>
        <v/>
      </c>
      <c r="S2600" s="54">
        <f>IF($B2600=0,NA(),IF(Inputs!$B$28&lt;&gt;"Yes",NA(),Inputs!$D$28*Inputs!$C$35))</f>
        <v/>
      </c>
      <c r="T2600" s="54">
        <f>IF($B2600=0,NA(),IF(Inputs!$B$29&lt;&gt;"Yes",NA(),Inputs!$D$29*Inputs!$C$35))</f>
        <v/>
      </c>
      <c r="AD2600">
        <f>IF($B2600=0,0,IF(Inputs!$B$6="",0,COUNTIFS(Data!$A$10:$A$3209,"&gt;="&amp;$A2600,Data!$A$10:$A$3209,"&lt;"&amp;$A2600+1)))</f>
        <v/>
      </c>
      <c r="AE2600">
        <f>IF($B2600=0,0,IF(Inputs!$B$7="",0,COUNTIFS(Data!$E$10:$E$3209,"&gt;="&amp;$A2600,Data!$E$10:$E$3209,"&lt;"&amp;$A2600+1)))</f>
        <v/>
      </c>
      <c r="AF2600">
        <f>IF($B2600=0,0,IF(Inputs!$B$8="",0,COUNTIFS(Data!$I$10:$I$3209,"&gt;="&amp;$A2600,Data!$I$10:$I$3209,"&lt;"&amp;$A2600+1)))</f>
        <v/>
      </c>
      <c r="AG2600">
        <f>IF($B2600=0,0,IF(Inputs!$B$9="",0,COUNTIFS(Data!$M$10:$M$3209,"&gt;="&amp;$A2600,Data!$M$10:$M$3209,"&lt;"&amp;$A2600+1)))</f>
        <v/>
      </c>
      <c r="AH2600">
        <f>IF($B2600=0,0,IF(Inputs!$B$10="",0,COUNTIFS(Data!$Q$10:$Q$3209,"&gt;="&amp;$A2600,Data!$Q$10:$Q$3209,"&lt;"&amp;$A2600+1)))</f>
        <v/>
      </c>
    </row>
    <row r="2601">
      <c r="A2601" s="55">
        <f>MIN(Inputs!$C$15,$A2600+IF(WEEKDAY($A2600,2)=5,3,1))</f>
        <v/>
      </c>
      <c r="B2601">
        <f>IF($A2601&gt;$A2600,1,0)</f>
        <v/>
      </c>
      <c r="C2601" s="56">
        <f>IF($B2601=0,"",IF(Inputs!$B$6="","",IF($AD2601=0,C2600,SUMIFS(Data!$B$10:$B$3209,Data!$A$10:$A$3209,"&gt;="&amp;$A2601,Data!$A$10:$A$3209,"&lt;"&amp;$A2601+1)/$AD2601)))</f>
        <v/>
      </c>
      <c r="D2601" s="56">
        <f>IF($B2601=0,"",IF(Inputs!$B$7="","",IF($AE2601=0,D2600,SUMIFS(Data!$F$10:$F$3209,Data!$E$10:$E$3209,"&gt;="&amp;$A2601,Data!$E$10:$E$3209,"&lt;"&amp;$A2601+1)/$AE2601)))</f>
        <v/>
      </c>
      <c r="E2601" s="56">
        <f>IF($B2601=0,"",IF(Inputs!$B$8="","",IF($AF2601=0,E2600,SUMIFS(Data!$J$10:$J$3209,Data!$I$10:$I$3209,"&gt;="&amp;$A2601,Data!$I$10:$I$3209,"&lt;"&amp;$A2601+1)/$AF2601)))</f>
        <v/>
      </c>
      <c r="F2601" s="56">
        <f>IF($B2601=0,"",IF(Inputs!$B$9="","",IF($AG2601=0,F2600,SUMIFS(Data!$N$10:$N$3209,Data!$M$10:$M$3209,"&gt;="&amp;$A2601,Data!$M$10:$M$3209,"&lt;"&amp;$A2601+1)/$AG2601)))</f>
        <v/>
      </c>
      <c r="G2601" s="56">
        <f>IF($B2601=0,"",IF(Inputs!$B$10="","",IF($AH2601=0,G2600,SUMIFS(Data!$R$10:$R$3209,Data!$Q$10:$Q$3209,"&gt;="&amp;$A2601,Data!$Q$10:$Q$3209,"&lt;"&amp;$A2601+1)/$AH2601)))</f>
        <v/>
      </c>
      <c r="I2601" s="54">
        <f>IF($B2601=0,NA(),IF($C2601="",NA(),IF(C$8="",NA(),IF(N(C$8)=0,NA(),IF(Inputs!$C$17="Rebased to 100",$C2601/C$8*100,$C2601)))))</f>
        <v/>
      </c>
      <c r="J2601" s="54">
        <f>IF($B2601=0,NA(),IF($D2601="",NA(),IF(D$8="",NA(),IF(N(D$8)=0,NA(),IF(Inputs!$C$17="Rebased to 100",$D2601/D$8*100,$D2601)))))</f>
        <v/>
      </c>
      <c r="K2601" s="54">
        <f>IF($B2601=0,NA(),IF($E2601="",NA(),IF(E$8="",NA(),IF(N(E$8)=0,NA(),IF(Inputs!$C$17="Rebased to 100",$E2601/E$8*100,$E2601)))))</f>
        <v/>
      </c>
      <c r="L2601" s="54">
        <f>IF($B2601=0,NA(),IF($F2601="",NA(),IF(F$8="",NA(),IF(N(F$8)=0,NA(),IF(Inputs!$C$17="Rebased to 100",$F2601/F$8*100,$F2601)))))</f>
        <v/>
      </c>
      <c r="M2601" s="54">
        <f>IF($B2601=0,NA(),IF($G2601="",NA(),IF(G$8="",NA(),IF(N(G$8)=0,NA(),IF(Inputs!$C$17="Rebased to 100",$G2601/G$8*100,$G2601)))))</f>
        <v/>
      </c>
      <c r="N2601" s="54">
        <f>IF($B2601=0,NA(),IF(Inputs!$C$18&lt;&gt;"Yes",NA(),IF(COUNT(I2601,J2601,K2601,L2601,M2601)=0,NA(),MIN(I2601,J2601,K2601,L2601,M2601))))</f>
        <v/>
      </c>
      <c r="O2601" s="54">
        <f>IF($B2601=0,NA(),IF(Inputs!$B$24&lt;&gt;"Yes",NA(),Inputs!$D$24*Inputs!$C$35))</f>
        <v/>
      </c>
      <c r="P2601" s="54">
        <f>IF($B2601=0,NA(),IF(Inputs!$B$25&lt;&gt;"Yes",NA(),Inputs!$D$25*Inputs!$C$35))</f>
        <v/>
      </c>
      <c r="Q2601" s="54">
        <f>IF($B2601=0,NA(),IF(Inputs!$B$26&lt;&gt;"Yes",NA(),Inputs!$D$26*Inputs!$C$35))</f>
        <v/>
      </c>
      <c r="R2601" s="54">
        <f>IF($B2601=0,NA(),IF(Inputs!$B$27&lt;&gt;"Yes",NA(),Inputs!$D$27*Inputs!$C$35))</f>
        <v/>
      </c>
      <c r="S2601" s="54">
        <f>IF($B2601=0,NA(),IF(Inputs!$B$28&lt;&gt;"Yes",NA(),Inputs!$D$28*Inputs!$C$35))</f>
        <v/>
      </c>
      <c r="T2601" s="54">
        <f>IF($B2601=0,NA(),IF(Inputs!$B$29&lt;&gt;"Yes",NA(),Inputs!$D$29*Inputs!$C$35))</f>
        <v/>
      </c>
      <c r="AD2601">
        <f>IF($B2601=0,0,IF(Inputs!$B$6="",0,COUNTIFS(Data!$A$10:$A$3209,"&gt;="&amp;$A2601,Data!$A$10:$A$3209,"&lt;"&amp;$A2601+1)))</f>
        <v/>
      </c>
      <c r="AE2601">
        <f>IF($B2601=0,0,IF(Inputs!$B$7="",0,COUNTIFS(Data!$E$10:$E$3209,"&gt;="&amp;$A2601,Data!$E$10:$E$3209,"&lt;"&amp;$A2601+1)))</f>
        <v/>
      </c>
      <c r="AF2601">
        <f>IF($B2601=0,0,IF(Inputs!$B$8="",0,COUNTIFS(Data!$I$10:$I$3209,"&gt;="&amp;$A2601,Data!$I$10:$I$3209,"&lt;"&amp;$A2601+1)))</f>
        <v/>
      </c>
      <c r="AG2601">
        <f>IF($B2601=0,0,IF(Inputs!$B$9="",0,COUNTIFS(Data!$M$10:$M$3209,"&gt;="&amp;$A2601,Data!$M$10:$M$3209,"&lt;"&amp;$A2601+1)))</f>
        <v/>
      </c>
      <c r="AH2601">
        <f>IF($B2601=0,0,IF(Inputs!$B$10="",0,COUNTIFS(Data!$Q$10:$Q$3209,"&gt;="&amp;$A2601,Data!$Q$10:$Q$3209,"&lt;"&amp;$A2601+1)))</f>
        <v/>
      </c>
    </row>
    <row r="2602">
      <c r="A2602" s="55">
        <f>MIN(Inputs!$C$15,$A2601+IF(WEEKDAY($A2601,2)=5,3,1))</f>
        <v/>
      </c>
      <c r="B2602">
        <f>IF($A2602&gt;$A2601,1,0)</f>
        <v/>
      </c>
      <c r="C2602" s="56">
        <f>IF($B2602=0,"",IF(Inputs!$B$6="","",IF($AD2602=0,C2601,SUMIFS(Data!$B$10:$B$3209,Data!$A$10:$A$3209,"&gt;="&amp;$A2602,Data!$A$10:$A$3209,"&lt;"&amp;$A2602+1)/$AD2602)))</f>
        <v/>
      </c>
      <c r="D2602" s="56">
        <f>IF($B2602=0,"",IF(Inputs!$B$7="","",IF($AE2602=0,D2601,SUMIFS(Data!$F$10:$F$3209,Data!$E$10:$E$3209,"&gt;="&amp;$A2602,Data!$E$10:$E$3209,"&lt;"&amp;$A2602+1)/$AE2602)))</f>
        <v/>
      </c>
      <c r="E2602" s="56">
        <f>IF($B2602=0,"",IF(Inputs!$B$8="","",IF($AF2602=0,E2601,SUMIFS(Data!$J$10:$J$3209,Data!$I$10:$I$3209,"&gt;="&amp;$A2602,Data!$I$10:$I$3209,"&lt;"&amp;$A2602+1)/$AF2602)))</f>
        <v/>
      </c>
      <c r="F2602" s="56">
        <f>IF($B2602=0,"",IF(Inputs!$B$9="","",IF($AG2602=0,F2601,SUMIFS(Data!$N$10:$N$3209,Data!$M$10:$M$3209,"&gt;="&amp;$A2602,Data!$M$10:$M$3209,"&lt;"&amp;$A2602+1)/$AG2602)))</f>
        <v/>
      </c>
      <c r="G2602" s="56">
        <f>IF($B2602=0,"",IF(Inputs!$B$10="","",IF($AH2602=0,G2601,SUMIFS(Data!$R$10:$R$3209,Data!$Q$10:$Q$3209,"&gt;="&amp;$A2602,Data!$Q$10:$Q$3209,"&lt;"&amp;$A2602+1)/$AH2602)))</f>
        <v/>
      </c>
      <c r="I2602" s="54">
        <f>IF($B2602=0,NA(),IF($C2602="",NA(),IF(C$8="",NA(),IF(N(C$8)=0,NA(),IF(Inputs!$C$17="Rebased to 100",$C2602/C$8*100,$C2602)))))</f>
        <v/>
      </c>
      <c r="J2602" s="54">
        <f>IF($B2602=0,NA(),IF($D2602="",NA(),IF(D$8="",NA(),IF(N(D$8)=0,NA(),IF(Inputs!$C$17="Rebased to 100",$D2602/D$8*100,$D2602)))))</f>
        <v/>
      </c>
      <c r="K2602" s="54">
        <f>IF($B2602=0,NA(),IF($E2602="",NA(),IF(E$8="",NA(),IF(N(E$8)=0,NA(),IF(Inputs!$C$17="Rebased to 100",$E2602/E$8*100,$E2602)))))</f>
        <v/>
      </c>
      <c r="L2602" s="54">
        <f>IF($B2602=0,NA(),IF($F2602="",NA(),IF(F$8="",NA(),IF(N(F$8)=0,NA(),IF(Inputs!$C$17="Rebased to 100",$F2602/F$8*100,$F2602)))))</f>
        <v/>
      </c>
      <c r="M2602" s="54">
        <f>IF($B2602=0,NA(),IF($G2602="",NA(),IF(G$8="",NA(),IF(N(G$8)=0,NA(),IF(Inputs!$C$17="Rebased to 100",$G2602/G$8*100,$G2602)))))</f>
        <v/>
      </c>
      <c r="N2602" s="54">
        <f>IF($B2602=0,NA(),IF(Inputs!$C$18&lt;&gt;"Yes",NA(),IF(COUNT(I2602,J2602,K2602,L2602,M2602)=0,NA(),MIN(I2602,J2602,K2602,L2602,M2602))))</f>
        <v/>
      </c>
      <c r="O2602" s="54">
        <f>IF($B2602=0,NA(),IF(Inputs!$B$24&lt;&gt;"Yes",NA(),Inputs!$D$24*Inputs!$C$35))</f>
        <v/>
      </c>
      <c r="P2602" s="54">
        <f>IF($B2602=0,NA(),IF(Inputs!$B$25&lt;&gt;"Yes",NA(),Inputs!$D$25*Inputs!$C$35))</f>
        <v/>
      </c>
      <c r="Q2602" s="54">
        <f>IF($B2602=0,NA(),IF(Inputs!$B$26&lt;&gt;"Yes",NA(),Inputs!$D$26*Inputs!$C$35))</f>
        <v/>
      </c>
      <c r="R2602" s="54">
        <f>IF($B2602=0,NA(),IF(Inputs!$B$27&lt;&gt;"Yes",NA(),Inputs!$D$27*Inputs!$C$35))</f>
        <v/>
      </c>
      <c r="S2602" s="54">
        <f>IF($B2602=0,NA(),IF(Inputs!$B$28&lt;&gt;"Yes",NA(),Inputs!$D$28*Inputs!$C$35))</f>
        <v/>
      </c>
      <c r="T2602" s="54">
        <f>IF($B2602=0,NA(),IF(Inputs!$B$29&lt;&gt;"Yes",NA(),Inputs!$D$29*Inputs!$C$35))</f>
        <v/>
      </c>
      <c r="AD2602">
        <f>IF($B2602=0,0,IF(Inputs!$B$6="",0,COUNTIFS(Data!$A$10:$A$3209,"&gt;="&amp;$A2602,Data!$A$10:$A$3209,"&lt;"&amp;$A2602+1)))</f>
        <v/>
      </c>
      <c r="AE2602">
        <f>IF($B2602=0,0,IF(Inputs!$B$7="",0,COUNTIFS(Data!$E$10:$E$3209,"&gt;="&amp;$A2602,Data!$E$10:$E$3209,"&lt;"&amp;$A2602+1)))</f>
        <v/>
      </c>
      <c r="AF2602">
        <f>IF($B2602=0,0,IF(Inputs!$B$8="",0,COUNTIFS(Data!$I$10:$I$3209,"&gt;="&amp;$A2602,Data!$I$10:$I$3209,"&lt;"&amp;$A2602+1)))</f>
        <v/>
      </c>
      <c r="AG2602">
        <f>IF($B2602=0,0,IF(Inputs!$B$9="",0,COUNTIFS(Data!$M$10:$M$3209,"&gt;="&amp;$A2602,Data!$M$10:$M$3209,"&lt;"&amp;$A2602+1)))</f>
        <v/>
      </c>
      <c r="AH2602">
        <f>IF($B2602=0,0,IF(Inputs!$B$10="",0,COUNTIFS(Data!$Q$10:$Q$3209,"&gt;="&amp;$A2602,Data!$Q$10:$Q$3209,"&lt;"&amp;$A2602+1)))</f>
        <v/>
      </c>
    </row>
    <row r="2603">
      <c r="A2603" s="55">
        <f>MIN(Inputs!$C$15,$A2602+IF(WEEKDAY($A2602,2)=5,3,1))</f>
        <v/>
      </c>
      <c r="B2603">
        <f>IF($A2603&gt;$A2602,1,0)</f>
        <v/>
      </c>
      <c r="C2603" s="56">
        <f>IF($B2603=0,"",IF(Inputs!$B$6="","",IF($AD2603=0,C2602,SUMIFS(Data!$B$10:$B$3209,Data!$A$10:$A$3209,"&gt;="&amp;$A2603,Data!$A$10:$A$3209,"&lt;"&amp;$A2603+1)/$AD2603)))</f>
        <v/>
      </c>
      <c r="D2603" s="56">
        <f>IF($B2603=0,"",IF(Inputs!$B$7="","",IF($AE2603=0,D2602,SUMIFS(Data!$F$10:$F$3209,Data!$E$10:$E$3209,"&gt;="&amp;$A2603,Data!$E$10:$E$3209,"&lt;"&amp;$A2603+1)/$AE2603)))</f>
        <v/>
      </c>
      <c r="E2603" s="56">
        <f>IF($B2603=0,"",IF(Inputs!$B$8="","",IF($AF2603=0,E2602,SUMIFS(Data!$J$10:$J$3209,Data!$I$10:$I$3209,"&gt;="&amp;$A2603,Data!$I$10:$I$3209,"&lt;"&amp;$A2603+1)/$AF2603)))</f>
        <v/>
      </c>
      <c r="F2603" s="56">
        <f>IF($B2603=0,"",IF(Inputs!$B$9="","",IF($AG2603=0,F2602,SUMIFS(Data!$N$10:$N$3209,Data!$M$10:$M$3209,"&gt;="&amp;$A2603,Data!$M$10:$M$3209,"&lt;"&amp;$A2603+1)/$AG2603)))</f>
        <v/>
      </c>
      <c r="G2603" s="56">
        <f>IF($B2603=0,"",IF(Inputs!$B$10="","",IF($AH2603=0,G2602,SUMIFS(Data!$R$10:$R$3209,Data!$Q$10:$Q$3209,"&gt;="&amp;$A2603,Data!$Q$10:$Q$3209,"&lt;"&amp;$A2603+1)/$AH2603)))</f>
        <v/>
      </c>
      <c r="I2603" s="54">
        <f>IF($B2603=0,NA(),IF($C2603="",NA(),IF(C$8="",NA(),IF(N(C$8)=0,NA(),IF(Inputs!$C$17="Rebased to 100",$C2603/C$8*100,$C2603)))))</f>
        <v/>
      </c>
      <c r="J2603" s="54">
        <f>IF($B2603=0,NA(),IF($D2603="",NA(),IF(D$8="",NA(),IF(N(D$8)=0,NA(),IF(Inputs!$C$17="Rebased to 100",$D2603/D$8*100,$D2603)))))</f>
        <v/>
      </c>
      <c r="K2603" s="54">
        <f>IF($B2603=0,NA(),IF($E2603="",NA(),IF(E$8="",NA(),IF(N(E$8)=0,NA(),IF(Inputs!$C$17="Rebased to 100",$E2603/E$8*100,$E2603)))))</f>
        <v/>
      </c>
      <c r="L2603" s="54">
        <f>IF($B2603=0,NA(),IF($F2603="",NA(),IF(F$8="",NA(),IF(N(F$8)=0,NA(),IF(Inputs!$C$17="Rebased to 100",$F2603/F$8*100,$F2603)))))</f>
        <v/>
      </c>
      <c r="M2603" s="54">
        <f>IF($B2603=0,NA(),IF($G2603="",NA(),IF(G$8="",NA(),IF(N(G$8)=0,NA(),IF(Inputs!$C$17="Rebased to 100",$G2603/G$8*100,$G2603)))))</f>
        <v/>
      </c>
      <c r="N2603" s="54">
        <f>IF($B2603=0,NA(),IF(Inputs!$C$18&lt;&gt;"Yes",NA(),IF(COUNT(I2603,J2603,K2603,L2603,M2603)=0,NA(),MIN(I2603,J2603,K2603,L2603,M2603))))</f>
        <v/>
      </c>
      <c r="O2603" s="54">
        <f>IF($B2603=0,NA(),IF(Inputs!$B$24&lt;&gt;"Yes",NA(),Inputs!$D$24*Inputs!$C$35))</f>
        <v/>
      </c>
      <c r="P2603" s="54">
        <f>IF($B2603=0,NA(),IF(Inputs!$B$25&lt;&gt;"Yes",NA(),Inputs!$D$25*Inputs!$C$35))</f>
        <v/>
      </c>
      <c r="Q2603" s="54">
        <f>IF($B2603=0,NA(),IF(Inputs!$B$26&lt;&gt;"Yes",NA(),Inputs!$D$26*Inputs!$C$35))</f>
        <v/>
      </c>
      <c r="R2603" s="54">
        <f>IF($B2603=0,NA(),IF(Inputs!$B$27&lt;&gt;"Yes",NA(),Inputs!$D$27*Inputs!$C$35))</f>
        <v/>
      </c>
      <c r="S2603" s="54">
        <f>IF($B2603=0,NA(),IF(Inputs!$B$28&lt;&gt;"Yes",NA(),Inputs!$D$28*Inputs!$C$35))</f>
        <v/>
      </c>
      <c r="T2603" s="54">
        <f>IF($B2603=0,NA(),IF(Inputs!$B$29&lt;&gt;"Yes",NA(),Inputs!$D$29*Inputs!$C$35))</f>
        <v/>
      </c>
      <c r="AD2603">
        <f>IF($B2603=0,0,IF(Inputs!$B$6="",0,COUNTIFS(Data!$A$10:$A$3209,"&gt;="&amp;$A2603,Data!$A$10:$A$3209,"&lt;"&amp;$A2603+1)))</f>
        <v/>
      </c>
      <c r="AE2603">
        <f>IF($B2603=0,0,IF(Inputs!$B$7="",0,COUNTIFS(Data!$E$10:$E$3209,"&gt;="&amp;$A2603,Data!$E$10:$E$3209,"&lt;"&amp;$A2603+1)))</f>
        <v/>
      </c>
      <c r="AF2603">
        <f>IF($B2603=0,0,IF(Inputs!$B$8="",0,COUNTIFS(Data!$I$10:$I$3209,"&gt;="&amp;$A2603,Data!$I$10:$I$3209,"&lt;"&amp;$A2603+1)))</f>
        <v/>
      </c>
      <c r="AG2603">
        <f>IF($B2603=0,0,IF(Inputs!$B$9="",0,COUNTIFS(Data!$M$10:$M$3209,"&gt;="&amp;$A2603,Data!$M$10:$M$3209,"&lt;"&amp;$A2603+1)))</f>
        <v/>
      </c>
      <c r="AH2603">
        <f>IF($B2603=0,0,IF(Inputs!$B$10="",0,COUNTIFS(Data!$Q$10:$Q$3209,"&gt;="&amp;$A2603,Data!$Q$10:$Q$3209,"&lt;"&amp;$A2603+1)))</f>
        <v/>
      </c>
    </row>
    <row r="2604">
      <c r="A2604" s="55">
        <f>MIN(Inputs!$C$15,$A2603+IF(WEEKDAY($A2603,2)=5,3,1))</f>
        <v/>
      </c>
      <c r="B2604">
        <f>IF($A2604&gt;$A2603,1,0)</f>
        <v/>
      </c>
      <c r="C2604" s="56">
        <f>IF($B2604=0,"",IF(Inputs!$B$6="","",IF($AD2604=0,C2603,SUMIFS(Data!$B$10:$B$3209,Data!$A$10:$A$3209,"&gt;="&amp;$A2604,Data!$A$10:$A$3209,"&lt;"&amp;$A2604+1)/$AD2604)))</f>
        <v/>
      </c>
      <c r="D2604" s="56">
        <f>IF($B2604=0,"",IF(Inputs!$B$7="","",IF($AE2604=0,D2603,SUMIFS(Data!$F$10:$F$3209,Data!$E$10:$E$3209,"&gt;="&amp;$A2604,Data!$E$10:$E$3209,"&lt;"&amp;$A2604+1)/$AE2604)))</f>
        <v/>
      </c>
      <c r="E2604" s="56">
        <f>IF($B2604=0,"",IF(Inputs!$B$8="","",IF($AF2604=0,E2603,SUMIFS(Data!$J$10:$J$3209,Data!$I$10:$I$3209,"&gt;="&amp;$A2604,Data!$I$10:$I$3209,"&lt;"&amp;$A2604+1)/$AF2604)))</f>
        <v/>
      </c>
      <c r="F2604" s="56">
        <f>IF($B2604=0,"",IF(Inputs!$B$9="","",IF($AG2604=0,F2603,SUMIFS(Data!$N$10:$N$3209,Data!$M$10:$M$3209,"&gt;="&amp;$A2604,Data!$M$10:$M$3209,"&lt;"&amp;$A2604+1)/$AG2604)))</f>
        <v/>
      </c>
      <c r="G2604" s="56">
        <f>IF($B2604=0,"",IF(Inputs!$B$10="","",IF($AH2604=0,G2603,SUMIFS(Data!$R$10:$R$3209,Data!$Q$10:$Q$3209,"&gt;="&amp;$A2604,Data!$Q$10:$Q$3209,"&lt;"&amp;$A2604+1)/$AH2604)))</f>
        <v/>
      </c>
      <c r="I2604" s="54">
        <f>IF($B2604=0,NA(),IF($C2604="",NA(),IF(C$8="",NA(),IF(N(C$8)=0,NA(),IF(Inputs!$C$17="Rebased to 100",$C2604/C$8*100,$C2604)))))</f>
        <v/>
      </c>
      <c r="J2604" s="54">
        <f>IF($B2604=0,NA(),IF($D2604="",NA(),IF(D$8="",NA(),IF(N(D$8)=0,NA(),IF(Inputs!$C$17="Rebased to 100",$D2604/D$8*100,$D2604)))))</f>
        <v/>
      </c>
      <c r="K2604" s="54">
        <f>IF($B2604=0,NA(),IF($E2604="",NA(),IF(E$8="",NA(),IF(N(E$8)=0,NA(),IF(Inputs!$C$17="Rebased to 100",$E2604/E$8*100,$E2604)))))</f>
        <v/>
      </c>
      <c r="L2604" s="54">
        <f>IF($B2604=0,NA(),IF($F2604="",NA(),IF(F$8="",NA(),IF(N(F$8)=0,NA(),IF(Inputs!$C$17="Rebased to 100",$F2604/F$8*100,$F2604)))))</f>
        <v/>
      </c>
      <c r="M2604" s="54">
        <f>IF($B2604=0,NA(),IF($G2604="",NA(),IF(G$8="",NA(),IF(N(G$8)=0,NA(),IF(Inputs!$C$17="Rebased to 100",$G2604/G$8*100,$G2604)))))</f>
        <v/>
      </c>
      <c r="N2604" s="54">
        <f>IF($B2604=0,NA(),IF(Inputs!$C$18&lt;&gt;"Yes",NA(),IF(COUNT(I2604,J2604,K2604,L2604,M2604)=0,NA(),MIN(I2604,J2604,K2604,L2604,M2604))))</f>
        <v/>
      </c>
      <c r="O2604" s="54">
        <f>IF($B2604=0,NA(),IF(Inputs!$B$24&lt;&gt;"Yes",NA(),Inputs!$D$24*Inputs!$C$35))</f>
        <v/>
      </c>
      <c r="P2604" s="54">
        <f>IF($B2604=0,NA(),IF(Inputs!$B$25&lt;&gt;"Yes",NA(),Inputs!$D$25*Inputs!$C$35))</f>
        <v/>
      </c>
      <c r="Q2604" s="54">
        <f>IF($B2604=0,NA(),IF(Inputs!$B$26&lt;&gt;"Yes",NA(),Inputs!$D$26*Inputs!$C$35))</f>
        <v/>
      </c>
      <c r="R2604" s="54">
        <f>IF($B2604=0,NA(),IF(Inputs!$B$27&lt;&gt;"Yes",NA(),Inputs!$D$27*Inputs!$C$35))</f>
        <v/>
      </c>
      <c r="S2604" s="54">
        <f>IF($B2604=0,NA(),IF(Inputs!$B$28&lt;&gt;"Yes",NA(),Inputs!$D$28*Inputs!$C$35))</f>
        <v/>
      </c>
      <c r="T2604" s="54">
        <f>IF($B2604=0,NA(),IF(Inputs!$B$29&lt;&gt;"Yes",NA(),Inputs!$D$29*Inputs!$C$35))</f>
        <v/>
      </c>
      <c r="AD2604">
        <f>IF($B2604=0,0,IF(Inputs!$B$6="",0,COUNTIFS(Data!$A$10:$A$3209,"&gt;="&amp;$A2604,Data!$A$10:$A$3209,"&lt;"&amp;$A2604+1)))</f>
        <v/>
      </c>
      <c r="AE2604">
        <f>IF($B2604=0,0,IF(Inputs!$B$7="",0,COUNTIFS(Data!$E$10:$E$3209,"&gt;="&amp;$A2604,Data!$E$10:$E$3209,"&lt;"&amp;$A2604+1)))</f>
        <v/>
      </c>
      <c r="AF2604">
        <f>IF($B2604=0,0,IF(Inputs!$B$8="",0,COUNTIFS(Data!$I$10:$I$3209,"&gt;="&amp;$A2604,Data!$I$10:$I$3209,"&lt;"&amp;$A2604+1)))</f>
        <v/>
      </c>
      <c r="AG2604">
        <f>IF($B2604=0,0,IF(Inputs!$B$9="",0,COUNTIFS(Data!$M$10:$M$3209,"&gt;="&amp;$A2604,Data!$M$10:$M$3209,"&lt;"&amp;$A2604+1)))</f>
        <v/>
      </c>
      <c r="AH2604">
        <f>IF($B2604=0,0,IF(Inputs!$B$10="",0,COUNTIFS(Data!$Q$10:$Q$3209,"&gt;="&amp;$A2604,Data!$Q$10:$Q$3209,"&lt;"&amp;$A2604+1)))</f>
        <v/>
      </c>
    </row>
    <row r="2605">
      <c r="A2605" s="55">
        <f>MIN(Inputs!$C$15,$A2604+IF(WEEKDAY($A2604,2)=5,3,1))</f>
        <v/>
      </c>
      <c r="B2605">
        <f>IF($A2605&gt;$A2604,1,0)</f>
        <v/>
      </c>
      <c r="C2605" s="56">
        <f>IF($B2605=0,"",IF(Inputs!$B$6="","",IF($AD2605=0,C2604,SUMIFS(Data!$B$10:$B$3209,Data!$A$10:$A$3209,"&gt;="&amp;$A2605,Data!$A$10:$A$3209,"&lt;"&amp;$A2605+1)/$AD2605)))</f>
        <v/>
      </c>
      <c r="D2605" s="56">
        <f>IF($B2605=0,"",IF(Inputs!$B$7="","",IF($AE2605=0,D2604,SUMIFS(Data!$F$10:$F$3209,Data!$E$10:$E$3209,"&gt;="&amp;$A2605,Data!$E$10:$E$3209,"&lt;"&amp;$A2605+1)/$AE2605)))</f>
        <v/>
      </c>
      <c r="E2605" s="56">
        <f>IF($B2605=0,"",IF(Inputs!$B$8="","",IF($AF2605=0,E2604,SUMIFS(Data!$J$10:$J$3209,Data!$I$10:$I$3209,"&gt;="&amp;$A2605,Data!$I$10:$I$3209,"&lt;"&amp;$A2605+1)/$AF2605)))</f>
        <v/>
      </c>
      <c r="F2605" s="56">
        <f>IF($B2605=0,"",IF(Inputs!$B$9="","",IF($AG2605=0,F2604,SUMIFS(Data!$N$10:$N$3209,Data!$M$10:$M$3209,"&gt;="&amp;$A2605,Data!$M$10:$M$3209,"&lt;"&amp;$A2605+1)/$AG2605)))</f>
        <v/>
      </c>
      <c r="G2605" s="56">
        <f>IF($B2605=0,"",IF(Inputs!$B$10="","",IF($AH2605=0,G2604,SUMIFS(Data!$R$10:$R$3209,Data!$Q$10:$Q$3209,"&gt;="&amp;$A2605,Data!$Q$10:$Q$3209,"&lt;"&amp;$A2605+1)/$AH2605)))</f>
        <v/>
      </c>
      <c r="I2605" s="54">
        <f>IF($B2605=0,NA(),IF($C2605="",NA(),IF(C$8="",NA(),IF(N(C$8)=0,NA(),IF(Inputs!$C$17="Rebased to 100",$C2605/C$8*100,$C2605)))))</f>
        <v/>
      </c>
      <c r="J2605" s="54">
        <f>IF($B2605=0,NA(),IF($D2605="",NA(),IF(D$8="",NA(),IF(N(D$8)=0,NA(),IF(Inputs!$C$17="Rebased to 100",$D2605/D$8*100,$D2605)))))</f>
        <v/>
      </c>
      <c r="K2605" s="54">
        <f>IF($B2605=0,NA(),IF($E2605="",NA(),IF(E$8="",NA(),IF(N(E$8)=0,NA(),IF(Inputs!$C$17="Rebased to 100",$E2605/E$8*100,$E2605)))))</f>
        <v/>
      </c>
      <c r="L2605" s="54">
        <f>IF($B2605=0,NA(),IF($F2605="",NA(),IF(F$8="",NA(),IF(N(F$8)=0,NA(),IF(Inputs!$C$17="Rebased to 100",$F2605/F$8*100,$F2605)))))</f>
        <v/>
      </c>
      <c r="M2605" s="54">
        <f>IF($B2605=0,NA(),IF($G2605="",NA(),IF(G$8="",NA(),IF(N(G$8)=0,NA(),IF(Inputs!$C$17="Rebased to 100",$G2605/G$8*100,$G2605)))))</f>
        <v/>
      </c>
      <c r="N2605" s="54">
        <f>IF($B2605=0,NA(),IF(Inputs!$C$18&lt;&gt;"Yes",NA(),IF(COUNT(I2605,J2605,K2605,L2605,M2605)=0,NA(),MIN(I2605,J2605,K2605,L2605,M2605))))</f>
        <v/>
      </c>
      <c r="O2605" s="54">
        <f>IF($B2605=0,NA(),IF(Inputs!$B$24&lt;&gt;"Yes",NA(),Inputs!$D$24*Inputs!$C$35))</f>
        <v/>
      </c>
      <c r="P2605" s="54">
        <f>IF($B2605=0,NA(),IF(Inputs!$B$25&lt;&gt;"Yes",NA(),Inputs!$D$25*Inputs!$C$35))</f>
        <v/>
      </c>
      <c r="Q2605" s="54">
        <f>IF($B2605=0,NA(),IF(Inputs!$B$26&lt;&gt;"Yes",NA(),Inputs!$D$26*Inputs!$C$35))</f>
        <v/>
      </c>
      <c r="R2605" s="54">
        <f>IF($B2605=0,NA(),IF(Inputs!$B$27&lt;&gt;"Yes",NA(),Inputs!$D$27*Inputs!$C$35))</f>
        <v/>
      </c>
      <c r="S2605" s="54">
        <f>IF($B2605=0,NA(),IF(Inputs!$B$28&lt;&gt;"Yes",NA(),Inputs!$D$28*Inputs!$C$35))</f>
        <v/>
      </c>
      <c r="T2605" s="54">
        <f>IF($B2605=0,NA(),IF(Inputs!$B$29&lt;&gt;"Yes",NA(),Inputs!$D$29*Inputs!$C$35))</f>
        <v/>
      </c>
      <c r="AD2605">
        <f>IF($B2605=0,0,IF(Inputs!$B$6="",0,COUNTIFS(Data!$A$10:$A$3209,"&gt;="&amp;$A2605,Data!$A$10:$A$3209,"&lt;"&amp;$A2605+1)))</f>
        <v/>
      </c>
      <c r="AE2605">
        <f>IF($B2605=0,0,IF(Inputs!$B$7="",0,COUNTIFS(Data!$E$10:$E$3209,"&gt;="&amp;$A2605,Data!$E$10:$E$3209,"&lt;"&amp;$A2605+1)))</f>
        <v/>
      </c>
      <c r="AF2605">
        <f>IF($B2605=0,0,IF(Inputs!$B$8="",0,COUNTIFS(Data!$I$10:$I$3209,"&gt;="&amp;$A2605,Data!$I$10:$I$3209,"&lt;"&amp;$A2605+1)))</f>
        <v/>
      </c>
      <c r="AG2605">
        <f>IF($B2605=0,0,IF(Inputs!$B$9="",0,COUNTIFS(Data!$M$10:$M$3209,"&gt;="&amp;$A2605,Data!$M$10:$M$3209,"&lt;"&amp;$A2605+1)))</f>
        <v/>
      </c>
      <c r="AH2605">
        <f>IF($B2605=0,0,IF(Inputs!$B$10="",0,COUNTIFS(Data!$Q$10:$Q$3209,"&gt;="&amp;$A2605,Data!$Q$10:$Q$3209,"&lt;"&amp;$A2605+1)))</f>
        <v/>
      </c>
    </row>
    <row r="2606">
      <c r="A2606" s="55">
        <f>MIN(Inputs!$C$15,$A2605+IF(WEEKDAY($A2605,2)=5,3,1))</f>
        <v/>
      </c>
      <c r="B2606">
        <f>IF($A2606&gt;$A2605,1,0)</f>
        <v/>
      </c>
      <c r="C2606" s="56">
        <f>IF($B2606=0,"",IF(Inputs!$B$6="","",IF($AD2606=0,C2605,SUMIFS(Data!$B$10:$B$3209,Data!$A$10:$A$3209,"&gt;="&amp;$A2606,Data!$A$10:$A$3209,"&lt;"&amp;$A2606+1)/$AD2606)))</f>
        <v/>
      </c>
      <c r="D2606" s="56">
        <f>IF($B2606=0,"",IF(Inputs!$B$7="","",IF($AE2606=0,D2605,SUMIFS(Data!$F$10:$F$3209,Data!$E$10:$E$3209,"&gt;="&amp;$A2606,Data!$E$10:$E$3209,"&lt;"&amp;$A2606+1)/$AE2606)))</f>
        <v/>
      </c>
      <c r="E2606" s="56">
        <f>IF($B2606=0,"",IF(Inputs!$B$8="","",IF($AF2606=0,E2605,SUMIFS(Data!$J$10:$J$3209,Data!$I$10:$I$3209,"&gt;="&amp;$A2606,Data!$I$10:$I$3209,"&lt;"&amp;$A2606+1)/$AF2606)))</f>
        <v/>
      </c>
      <c r="F2606" s="56">
        <f>IF($B2606=0,"",IF(Inputs!$B$9="","",IF($AG2606=0,F2605,SUMIFS(Data!$N$10:$N$3209,Data!$M$10:$M$3209,"&gt;="&amp;$A2606,Data!$M$10:$M$3209,"&lt;"&amp;$A2606+1)/$AG2606)))</f>
        <v/>
      </c>
      <c r="G2606" s="56">
        <f>IF($B2606=0,"",IF(Inputs!$B$10="","",IF($AH2606=0,G2605,SUMIFS(Data!$R$10:$R$3209,Data!$Q$10:$Q$3209,"&gt;="&amp;$A2606,Data!$Q$10:$Q$3209,"&lt;"&amp;$A2606+1)/$AH2606)))</f>
        <v/>
      </c>
      <c r="I2606" s="54">
        <f>IF($B2606=0,NA(),IF($C2606="",NA(),IF(C$8="",NA(),IF(N(C$8)=0,NA(),IF(Inputs!$C$17="Rebased to 100",$C2606/C$8*100,$C2606)))))</f>
        <v/>
      </c>
      <c r="J2606" s="54">
        <f>IF($B2606=0,NA(),IF($D2606="",NA(),IF(D$8="",NA(),IF(N(D$8)=0,NA(),IF(Inputs!$C$17="Rebased to 100",$D2606/D$8*100,$D2606)))))</f>
        <v/>
      </c>
      <c r="K2606" s="54">
        <f>IF($B2606=0,NA(),IF($E2606="",NA(),IF(E$8="",NA(),IF(N(E$8)=0,NA(),IF(Inputs!$C$17="Rebased to 100",$E2606/E$8*100,$E2606)))))</f>
        <v/>
      </c>
      <c r="L2606" s="54">
        <f>IF($B2606=0,NA(),IF($F2606="",NA(),IF(F$8="",NA(),IF(N(F$8)=0,NA(),IF(Inputs!$C$17="Rebased to 100",$F2606/F$8*100,$F2606)))))</f>
        <v/>
      </c>
      <c r="M2606" s="54">
        <f>IF($B2606=0,NA(),IF($G2606="",NA(),IF(G$8="",NA(),IF(N(G$8)=0,NA(),IF(Inputs!$C$17="Rebased to 100",$G2606/G$8*100,$G2606)))))</f>
        <v/>
      </c>
      <c r="N2606" s="54">
        <f>IF($B2606=0,NA(),IF(Inputs!$C$18&lt;&gt;"Yes",NA(),IF(COUNT(I2606,J2606,K2606,L2606,M2606)=0,NA(),MIN(I2606,J2606,K2606,L2606,M2606))))</f>
        <v/>
      </c>
      <c r="O2606" s="54">
        <f>IF($B2606=0,NA(),IF(Inputs!$B$24&lt;&gt;"Yes",NA(),Inputs!$D$24*Inputs!$C$35))</f>
        <v/>
      </c>
      <c r="P2606" s="54">
        <f>IF($B2606=0,NA(),IF(Inputs!$B$25&lt;&gt;"Yes",NA(),Inputs!$D$25*Inputs!$C$35))</f>
        <v/>
      </c>
      <c r="Q2606" s="54">
        <f>IF($B2606=0,NA(),IF(Inputs!$B$26&lt;&gt;"Yes",NA(),Inputs!$D$26*Inputs!$C$35))</f>
        <v/>
      </c>
      <c r="R2606" s="54">
        <f>IF($B2606=0,NA(),IF(Inputs!$B$27&lt;&gt;"Yes",NA(),Inputs!$D$27*Inputs!$C$35))</f>
        <v/>
      </c>
      <c r="S2606" s="54">
        <f>IF($B2606=0,NA(),IF(Inputs!$B$28&lt;&gt;"Yes",NA(),Inputs!$D$28*Inputs!$C$35))</f>
        <v/>
      </c>
      <c r="T2606" s="54">
        <f>IF($B2606=0,NA(),IF(Inputs!$B$29&lt;&gt;"Yes",NA(),Inputs!$D$29*Inputs!$C$35))</f>
        <v/>
      </c>
      <c r="AD2606">
        <f>IF($B2606=0,0,IF(Inputs!$B$6="",0,COUNTIFS(Data!$A$10:$A$3209,"&gt;="&amp;$A2606,Data!$A$10:$A$3209,"&lt;"&amp;$A2606+1)))</f>
        <v/>
      </c>
      <c r="AE2606">
        <f>IF($B2606=0,0,IF(Inputs!$B$7="",0,COUNTIFS(Data!$E$10:$E$3209,"&gt;="&amp;$A2606,Data!$E$10:$E$3209,"&lt;"&amp;$A2606+1)))</f>
        <v/>
      </c>
      <c r="AF2606">
        <f>IF($B2606=0,0,IF(Inputs!$B$8="",0,COUNTIFS(Data!$I$10:$I$3209,"&gt;="&amp;$A2606,Data!$I$10:$I$3209,"&lt;"&amp;$A2606+1)))</f>
        <v/>
      </c>
      <c r="AG2606">
        <f>IF($B2606=0,0,IF(Inputs!$B$9="",0,COUNTIFS(Data!$M$10:$M$3209,"&gt;="&amp;$A2606,Data!$M$10:$M$3209,"&lt;"&amp;$A2606+1)))</f>
        <v/>
      </c>
      <c r="AH2606">
        <f>IF($B2606=0,0,IF(Inputs!$B$10="",0,COUNTIFS(Data!$Q$10:$Q$3209,"&gt;="&amp;$A2606,Data!$Q$10:$Q$3209,"&lt;"&amp;$A2606+1)))</f>
        <v/>
      </c>
    </row>
    <row r="2607">
      <c r="A2607" s="55">
        <f>MIN(Inputs!$C$15,$A2606+IF(WEEKDAY($A2606,2)=5,3,1))</f>
        <v/>
      </c>
      <c r="B2607">
        <f>IF($A2607&gt;$A2606,1,0)</f>
        <v/>
      </c>
      <c r="C2607" s="56">
        <f>IF($B2607=0,"",IF(Inputs!$B$6="","",IF($AD2607=0,C2606,SUMIFS(Data!$B$10:$B$3209,Data!$A$10:$A$3209,"&gt;="&amp;$A2607,Data!$A$10:$A$3209,"&lt;"&amp;$A2607+1)/$AD2607)))</f>
        <v/>
      </c>
      <c r="D2607" s="56">
        <f>IF($B2607=0,"",IF(Inputs!$B$7="","",IF($AE2607=0,D2606,SUMIFS(Data!$F$10:$F$3209,Data!$E$10:$E$3209,"&gt;="&amp;$A2607,Data!$E$10:$E$3209,"&lt;"&amp;$A2607+1)/$AE2607)))</f>
        <v/>
      </c>
      <c r="E2607" s="56">
        <f>IF($B2607=0,"",IF(Inputs!$B$8="","",IF($AF2607=0,E2606,SUMIFS(Data!$J$10:$J$3209,Data!$I$10:$I$3209,"&gt;="&amp;$A2607,Data!$I$10:$I$3209,"&lt;"&amp;$A2607+1)/$AF2607)))</f>
        <v/>
      </c>
      <c r="F2607" s="56">
        <f>IF($B2607=0,"",IF(Inputs!$B$9="","",IF($AG2607=0,F2606,SUMIFS(Data!$N$10:$N$3209,Data!$M$10:$M$3209,"&gt;="&amp;$A2607,Data!$M$10:$M$3209,"&lt;"&amp;$A2607+1)/$AG2607)))</f>
        <v/>
      </c>
      <c r="G2607" s="56">
        <f>IF($B2607=0,"",IF(Inputs!$B$10="","",IF($AH2607=0,G2606,SUMIFS(Data!$R$10:$R$3209,Data!$Q$10:$Q$3209,"&gt;="&amp;$A2607,Data!$Q$10:$Q$3209,"&lt;"&amp;$A2607+1)/$AH2607)))</f>
        <v/>
      </c>
      <c r="I2607" s="54">
        <f>IF($B2607=0,NA(),IF($C2607="",NA(),IF(C$8="",NA(),IF(N(C$8)=0,NA(),IF(Inputs!$C$17="Rebased to 100",$C2607/C$8*100,$C2607)))))</f>
        <v/>
      </c>
      <c r="J2607" s="54">
        <f>IF($B2607=0,NA(),IF($D2607="",NA(),IF(D$8="",NA(),IF(N(D$8)=0,NA(),IF(Inputs!$C$17="Rebased to 100",$D2607/D$8*100,$D2607)))))</f>
        <v/>
      </c>
      <c r="K2607" s="54">
        <f>IF($B2607=0,NA(),IF($E2607="",NA(),IF(E$8="",NA(),IF(N(E$8)=0,NA(),IF(Inputs!$C$17="Rebased to 100",$E2607/E$8*100,$E2607)))))</f>
        <v/>
      </c>
      <c r="L2607" s="54">
        <f>IF($B2607=0,NA(),IF($F2607="",NA(),IF(F$8="",NA(),IF(N(F$8)=0,NA(),IF(Inputs!$C$17="Rebased to 100",$F2607/F$8*100,$F2607)))))</f>
        <v/>
      </c>
      <c r="M2607" s="54">
        <f>IF($B2607=0,NA(),IF($G2607="",NA(),IF(G$8="",NA(),IF(N(G$8)=0,NA(),IF(Inputs!$C$17="Rebased to 100",$G2607/G$8*100,$G2607)))))</f>
        <v/>
      </c>
      <c r="N2607" s="54">
        <f>IF($B2607=0,NA(),IF(Inputs!$C$18&lt;&gt;"Yes",NA(),IF(COUNT(I2607,J2607,K2607,L2607,M2607)=0,NA(),MIN(I2607,J2607,K2607,L2607,M2607))))</f>
        <v/>
      </c>
      <c r="O2607" s="54">
        <f>IF($B2607=0,NA(),IF(Inputs!$B$24&lt;&gt;"Yes",NA(),Inputs!$D$24*Inputs!$C$35))</f>
        <v/>
      </c>
      <c r="P2607" s="54">
        <f>IF($B2607=0,NA(),IF(Inputs!$B$25&lt;&gt;"Yes",NA(),Inputs!$D$25*Inputs!$C$35))</f>
        <v/>
      </c>
      <c r="Q2607" s="54">
        <f>IF($B2607=0,NA(),IF(Inputs!$B$26&lt;&gt;"Yes",NA(),Inputs!$D$26*Inputs!$C$35))</f>
        <v/>
      </c>
      <c r="R2607" s="54">
        <f>IF($B2607=0,NA(),IF(Inputs!$B$27&lt;&gt;"Yes",NA(),Inputs!$D$27*Inputs!$C$35))</f>
        <v/>
      </c>
      <c r="S2607" s="54">
        <f>IF($B2607=0,NA(),IF(Inputs!$B$28&lt;&gt;"Yes",NA(),Inputs!$D$28*Inputs!$C$35))</f>
        <v/>
      </c>
      <c r="T2607" s="54">
        <f>IF($B2607=0,NA(),IF(Inputs!$B$29&lt;&gt;"Yes",NA(),Inputs!$D$29*Inputs!$C$35))</f>
        <v/>
      </c>
      <c r="AD2607">
        <f>IF($B2607=0,0,IF(Inputs!$B$6="",0,COUNTIFS(Data!$A$10:$A$3209,"&gt;="&amp;$A2607,Data!$A$10:$A$3209,"&lt;"&amp;$A2607+1)))</f>
        <v/>
      </c>
      <c r="AE2607">
        <f>IF($B2607=0,0,IF(Inputs!$B$7="",0,COUNTIFS(Data!$E$10:$E$3209,"&gt;="&amp;$A2607,Data!$E$10:$E$3209,"&lt;"&amp;$A2607+1)))</f>
        <v/>
      </c>
      <c r="AF2607">
        <f>IF($B2607=0,0,IF(Inputs!$B$8="",0,COUNTIFS(Data!$I$10:$I$3209,"&gt;="&amp;$A2607,Data!$I$10:$I$3209,"&lt;"&amp;$A2607+1)))</f>
        <v/>
      </c>
      <c r="AG2607">
        <f>IF($B2607=0,0,IF(Inputs!$B$9="",0,COUNTIFS(Data!$M$10:$M$3209,"&gt;="&amp;$A2607,Data!$M$10:$M$3209,"&lt;"&amp;$A2607+1)))</f>
        <v/>
      </c>
      <c r="AH2607">
        <f>IF($B2607=0,0,IF(Inputs!$B$10="",0,COUNTIFS(Data!$Q$10:$Q$3209,"&gt;="&amp;$A2607,Data!$Q$10:$Q$3209,"&lt;"&amp;$A2607+1)))</f>
        <v/>
      </c>
    </row>
    <row r="2608">
      <c r="A2608" s="55">
        <f>MIN(Inputs!$C$15,$A2607+IF(WEEKDAY($A2607,2)=5,3,1))</f>
        <v/>
      </c>
      <c r="B2608">
        <f>IF($A2608&gt;$A2607,1,0)</f>
        <v/>
      </c>
      <c r="C2608" s="56">
        <f>IF($B2608=0,"",IF(Inputs!$B$6="","",IF($AD2608=0,C2607,SUMIFS(Data!$B$10:$B$3209,Data!$A$10:$A$3209,"&gt;="&amp;$A2608,Data!$A$10:$A$3209,"&lt;"&amp;$A2608+1)/$AD2608)))</f>
        <v/>
      </c>
      <c r="D2608" s="56">
        <f>IF($B2608=0,"",IF(Inputs!$B$7="","",IF($AE2608=0,D2607,SUMIFS(Data!$F$10:$F$3209,Data!$E$10:$E$3209,"&gt;="&amp;$A2608,Data!$E$10:$E$3209,"&lt;"&amp;$A2608+1)/$AE2608)))</f>
        <v/>
      </c>
      <c r="E2608" s="56">
        <f>IF($B2608=0,"",IF(Inputs!$B$8="","",IF($AF2608=0,E2607,SUMIFS(Data!$J$10:$J$3209,Data!$I$10:$I$3209,"&gt;="&amp;$A2608,Data!$I$10:$I$3209,"&lt;"&amp;$A2608+1)/$AF2608)))</f>
        <v/>
      </c>
      <c r="F2608" s="56">
        <f>IF($B2608=0,"",IF(Inputs!$B$9="","",IF($AG2608=0,F2607,SUMIFS(Data!$N$10:$N$3209,Data!$M$10:$M$3209,"&gt;="&amp;$A2608,Data!$M$10:$M$3209,"&lt;"&amp;$A2608+1)/$AG2608)))</f>
        <v/>
      </c>
      <c r="G2608" s="56">
        <f>IF($B2608=0,"",IF(Inputs!$B$10="","",IF($AH2608=0,G2607,SUMIFS(Data!$R$10:$R$3209,Data!$Q$10:$Q$3209,"&gt;="&amp;$A2608,Data!$Q$10:$Q$3209,"&lt;"&amp;$A2608+1)/$AH2608)))</f>
        <v/>
      </c>
      <c r="I2608" s="54">
        <f>IF($B2608=0,NA(),IF($C2608="",NA(),IF(C$8="",NA(),IF(N(C$8)=0,NA(),IF(Inputs!$C$17="Rebased to 100",$C2608/C$8*100,$C2608)))))</f>
        <v/>
      </c>
      <c r="J2608" s="54">
        <f>IF($B2608=0,NA(),IF($D2608="",NA(),IF(D$8="",NA(),IF(N(D$8)=0,NA(),IF(Inputs!$C$17="Rebased to 100",$D2608/D$8*100,$D2608)))))</f>
        <v/>
      </c>
      <c r="K2608" s="54">
        <f>IF($B2608=0,NA(),IF($E2608="",NA(),IF(E$8="",NA(),IF(N(E$8)=0,NA(),IF(Inputs!$C$17="Rebased to 100",$E2608/E$8*100,$E2608)))))</f>
        <v/>
      </c>
      <c r="L2608" s="54">
        <f>IF($B2608=0,NA(),IF($F2608="",NA(),IF(F$8="",NA(),IF(N(F$8)=0,NA(),IF(Inputs!$C$17="Rebased to 100",$F2608/F$8*100,$F2608)))))</f>
        <v/>
      </c>
      <c r="M2608" s="54">
        <f>IF($B2608=0,NA(),IF($G2608="",NA(),IF(G$8="",NA(),IF(N(G$8)=0,NA(),IF(Inputs!$C$17="Rebased to 100",$G2608/G$8*100,$G2608)))))</f>
        <v/>
      </c>
      <c r="N2608" s="54">
        <f>IF($B2608=0,NA(),IF(Inputs!$C$18&lt;&gt;"Yes",NA(),IF(COUNT(I2608,J2608,K2608,L2608,M2608)=0,NA(),MIN(I2608,J2608,K2608,L2608,M2608))))</f>
        <v/>
      </c>
      <c r="O2608" s="54">
        <f>IF($B2608=0,NA(),IF(Inputs!$B$24&lt;&gt;"Yes",NA(),Inputs!$D$24*Inputs!$C$35))</f>
        <v/>
      </c>
      <c r="P2608" s="54">
        <f>IF($B2608=0,NA(),IF(Inputs!$B$25&lt;&gt;"Yes",NA(),Inputs!$D$25*Inputs!$C$35))</f>
        <v/>
      </c>
      <c r="Q2608" s="54">
        <f>IF($B2608=0,NA(),IF(Inputs!$B$26&lt;&gt;"Yes",NA(),Inputs!$D$26*Inputs!$C$35))</f>
        <v/>
      </c>
      <c r="R2608" s="54">
        <f>IF($B2608=0,NA(),IF(Inputs!$B$27&lt;&gt;"Yes",NA(),Inputs!$D$27*Inputs!$C$35))</f>
        <v/>
      </c>
      <c r="S2608" s="54">
        <f>IF($B2608=0,NA(),IF(Inputs!$B$28&lt;&gt;"Yes",NA(),Inputs!$D$28*Inputs!$C$35))</f>
        <v/>
      </c>
      <c r="T2608" s="54">
        <f>IF($B2608=0,NA(),IF(Inputs!$B$29&lt;&gt;"Yes",NA(),Inputs!$D$29*Inputs!$C$35))</f>
        <v/>
      </c>
      <c r="AD2608">
        <f>IF($B2608=0,0,IF(Inputs!$B$6="",0,COUNTIFS(Data!$A$10:$A$3209,"&gt;="&amp;$A2608,Data!$A$10:$A$3209,"&lt;"&amp;$A2608+1)))</f>
        <v/>
      </c>
      <c r="AE2608">
        <f>IF($B2608=0,0,IF(Inputs!$B$7="",0,COUNTIFS(Data!$E$10:$E$3209,"&gt;="&amp;$A2608,Data!$E$10:$E$3209,"&lt;"&amp;$A2608+1)))</f>
        <v/>
      </c>
      <c r="AF2608">
        <f>IF($B2608=0,0,IF(Inputs!$B$8="",0,COUNTIFS(Data!$I$10:$I$3209,"&gt;="&amp;$A2608,Data!$I$10:$I$3209,"&lt;"&amp;$A2608+1)))</f>
        <v/>
      </c>
      <c r="AG2608">
        <f>IF($B2608=0,0,IF(Inputs!$B$9="",0,COUNTIFS(Data!$M$10:$M$3209,"&gt;="&amp;$A2608,Data!$M$10:$M$3209,"&lt;"&amp;$A2608+1)))</f>
        <v/>
      </c>
      <c r="AH2608">
        <f>IF($B2608=0,0,IF(Inputs!$B$10="",0,COUNTIFS(Data!$Q$10:$Q$3209,"&gt;="&amp;$A2608,Data!$Q$10:$Q$3209,"&lt;"&amp;$A2608+1)))</f>
        <v/>
      </c>
    </row>
    <row r="2609">
      <c r="A2609" s="55">
        <f>MIN(Inputs!$C$15,$A2608+IF(WEEKDAY($A2608,2)=5,3,1))</f>
        <v/>
      </c>
      <c r="B2609">
        <f>IF($A2609&gt;$A2608,1,0)</f>
        <v/>
      </c>
      <c r="C2609" s="56">
        <f>IF($B2609=0,"",IF(Inputs!$B$6="","",IF($AD2609=0,C2608,SUMIFS(Data!$B$10:$B$3209,Data!$A$10:$A$3209,"&gt;="&amp;$A2609,Data!$A$10:$A$3209,"&lt;"&amp;$A2609+1)/$AD2609)))</f>
        <v/>
      </c>
      <c r="D2609" s="56">
        <f>IF($B2609=0,"",IF(Inputs!$B$7="","",IF($AE2609=0,D2608,SUMIFS(Data!$F$10:$F$3209,Data!$E$10:$E$3209,"&gt;="&amp;$A2609,Data!$E$10:$E$3209,"&lt;"&amp;$A2609+1)/$AE2609)))</f>
        <v/>
      </c>
      <c r="E2609" s="56">
        <f>IF($B2609=0,"",IF(Inputs!$B$8="","",IF($AF2609=0,E2608,SUMIFS(Data!$J$10:$J$3209,Data!$I$10:$I$3209,"&gt;="&amp;$A2609,Data!$I$10:$I$3209,"&lt;"&amp;$A2609+1)/$AF2609)))</f>
        <v/>
      </c>
      <c r="F2609" s="56">
        <f>IF($B2609=0,"",IF(Inputs!$B$9="","",IF($AG2609=0,F2608,SUMIFS(Data!$N$10:$N$3209,Data!$M$10:$M$3209,"&gt;="&amp;$A2609,Data!$M$10:$M$3209,"&lt;"&amp;$A2609+1)/$AG2609)))</f>
        <v/>
      </c>
      <c r="G2609" s="56">
        <f>IF($B2609=0,"",IF(Inputs!$B$10="","",IF($AH2609=0,G2608,SUMIFS(Data!$R$10:$R$3209,Data!$Q$10:$Q$3209,"&gt;="&amp;$A2609,Data!$Q$10:$Q$3209,"&lt;"&amp;$A2609+1)/$AH2609)))</f>
        <v/>
      </c>
      <c r="I2609" s="54">
        <f>IF($B2609=0,NA(),IF($C2609="",NA(),IF(C$8="",NA(),IF(N(C$8)=0,NA(),IF(Inputs!$C$17="Rebased to 100",$C2609/C$8*100,$C2609)))))</f>
        <v/>
      </c>
      <c r="J2609" s="54">
        <f>IF($B2609=0,NA(),IF($D2609="",NA(),IF(D$8="",NA(),IF(N(D$8)=0,NA(),IF(Inputs!$C$17="Rebased to 100",$D2609/D$8*100,$D2609)))))</f>
        <v/>
      </c>
      <c r="K2609" s="54">
        <f>IF($B2609=0,NA(),IF($E2609="",NA(),IF(E$8="",NA(),IF(N(E$8)=0,NA(),IF(Inputs!$C$17="Rebased to 100",$E2609/E$8*100,$E2609)))))</f>
        <v/>
      </c>
      <c r="L2609" s="54">
        <f>IF($B2609=0,NA(),IF($F2609="",NA(),IF(F$8="",NA(),IF(N(F$8)=0,NA(),IF(Inputs!$C$17="Rebased to 100",$F2609/F$8*100,$F2609)))))</f>
        <v/>
      </c>
      <c r="M2609" s="54">
        <f>IF($B2609=0,NA(),IF($G2609="",NA(),IF(G$8="",NA(),IF(N(G$8)=0,NA(),IF(Inputs!$C$17="Rebased to 100",$G2609/G$8*100,$G2609)))))</f>
        <v/>
      </c>
      <c r="N2609" s="54">
        <f>IF($B2609=0,NA(),IF(Inputs!$C$18&lt;&gt;"Yes",NA(),IF(COUNT(I2609,J2609,K2609,L2609,M2609)=0,NA(),MIN(I2609,J2609,K2609,L2609,M2609))))</f>
        <v/>
      </c>
      <c r="O2609" s="54">
        <f>IF($B2609=0,NA(),IF(Inputs!$B$24&lt;&gt;"Yes",NA(),Inputs!$D$24*Inputs!$C$35))</f>
        <v/>
      </c>
      <c r="P2609" s="54">
        <f>IF($B2609=0,NA(),IF(Inputs!$B$25&lt;&gt;"Yes",NA(),Inputs!$D$25*Inputs!$C$35))</f>
        <v/>
      </c>
      <c r="Q2609" s="54">
        <f>IF($B2609=0,NA(),IF(Inputs!$B$26&lt;&gt;"Yes",NA(),Inputs!$D$26*Inputs!$C$35))</f>
        <v/>
      </c>
      <c r="R2609" s="54">
        <f>IF($B2609=0,NA(),IF(Inputs!$B$27&lt;&gt;"Yes",NA(),Inputs!$D$27*Inputs!$C$35))</f>
        <v/>
      </c>
      <c r="S2609" s="54">
        <f>IF($B2609=0,NA(),IF(Inputs!$B$28&lt;&gt;"Yes",NA(),Inputs!$D$28*Inputs!$C$35))</f>
        <v/>
      </c>
      <c r="T2609" s="54">
        <f>IF($B2609=0,NA(),IF(Inputs!$B$29&lt;&gt;"Yes",NA(),Inputs!$D$29*Inputs!$C$35))</f>
        <v/>
      </c>
      <c r="AD2609">
        <f>IF($B2609=0,0,IF(Inputs!$B$6="",0,COUNTIFS(Data!$A$10:$A$3209,"&gt;="&amp;$A2609,Data!$A$10:$A$3209,"&lt;"&amp;$A2609+1)))</f>
        <v/>
      </c>
      <c r="AE2609">
        <f>IF($B2609=0,0,IF(Inputs!$B$7="",0,COUNTIFS(Data!$E$10:$E$3209,"&gt;="&amp;$A2609,Data!$E$10:$E$3209,"&lt;"&amp;$A2609+1)))</f>
        <v/>
      </c>
      <c r="AF2609">
        <f>IF($B2609=0,0,IF(Inputs!$B$8="",0,COUNTIFS(Data!$I$10:$I$3209,"&gt;="&amp;$A2609,Data!$I$10:$I$3209,"&lt;"&amp;$A2609+1)))</f>
        <v/>
      </c>
      <c r="AG2609">
        <f>IF($B2609=0,0,IF(Inputs!$B$9="",0,COUNTIFS(Data!$M$10:$M$3209,"&gt;="&amp;$A2609,Data!$M$10:$M$3209,"&lt;"&amp;$A2609+1)))</f>
        <v/>
      </c>
      <c r="AH2609">
        <f>IF($B2609=0,0,IF(Inputs!$B$10="",0,COUNTIFS(Data!$Q$10:$Q$3209,"&gt;="&amp;$A2609,Data!$Q$10:$Q$3209,"&lt;"&amp;$A2609+1)))</f>
        <v/>
      </c>
    </row>
    <row r="2610">
      <c r="A2610" s="55">
        <f>MIN(Inputs!$C$15,$A2609+IF(WEEKDAY($A2609,2)=5,3,1))</f>
        <v/>
      </c>
      <c r="B2610">
        <f>IF($A2610&gt;$A2609,1,0)</f>
        <v/>
      </c>
      <c r="C2610" s="56">
        <f>IF($B2610=0,"",IF(Inputs!$B$6="","",IF($AD2610=0,C2609,SUMIFS(Data!$B$10:$B$3209,Data!$A$10:$A$3209,"&gt;="&amp;$A2610,Data!$A$10:$A$3209,"&lt;"&amp;$A2610+1)/$AD2610)))</f>
        <v/>
      </c>
      <c r="D2610" s="56">
        <f>IF($B2610=0,"",IF(Inputs!$B$7="","",IF($AE2610=0,D2609,SUMIFS(Data!$F$10:$F$3209,Data!$E$10:$E$3209,"&gt;="&amp;$A2610,Data!$E$10:$E$3209,"&lt;"&amp;$A2610+1)/$AE2610)))</f>
        <v/>
      </c>
      <c r="E2610" s="56">
        <f>IF($B2610=0,"",IF(Inputs!$B$8="","",IF($AF2610=0,E2609,SUMIFS(Data!$J$10:$J$3209,Data!$I$10:$I$3209,"&gt;="&amp;$A2610,Data!$I$10:$I$3209,"&lt;"&amp;$A2610+1)/$AF2610)))</f>
        <v/>
      </c>
      <c r="F2610" s="56">
        <f>IF($B2610=0,"",IF(Inputs!$B$9="","",IF($AG2610=0,F2609,SUMIFS(Data!$N$10:$N$3209,Data!$M$10:$M$3209,"&gt;="&amp;$A2610,Data!$M$10:$M$3209,"&lt;"&amp;$A2610+1)/$AG2610)))</f>
        <v/>
      </c>
      <c r="G2610" s="56">
        <f>IF($B2610=0,"",IF(Inputs!$B$10="","",IF($AH2610=0,G2609,SUMIFS(Data!$R$10:$R$3209,Data!$Q$10:$Q$3209,"&gt;="&amp;$A2610,Data!$Q$10:$Q$3209,"&lt;"&amp;$A2610+1)/$AH2610)))</f>
        <v/>
      </c>
      <c r="I2610" s="54">
        <f>IF($B2610=0,NA(),IF($C2610="",NA(),IF(C$8="",NA(),IF(N(C$8)=0,NA(),IF(Inputs!$C$17="Rebased to 100",$C2610/C$8*100,$C2610)))))</f>
        <v/>
      </c>
      <c r="J2610" s="54">
        <f>IF($B2610=0,NA(),IF($D2610="",NA(),IF(D$8="",NA(),IF(N(D$8)=0,NA(),IF(Inputs!$C$17="Rebased to 100",$D2610/D$8*100,$D2610)))))</f>
        <v/>
      </c>
      <c r="K2610" s="54">
        <f>IF($B2610=0,NA(),IF($E2610="",NA(),IF(E$8="",NA(),IF(N(E$8)=0,NA(),IF(Inputs!$C$17="Rebased to 100",$E2610/E$8*100,$E2610)))))</f>
        <v/>
      </c>
      <c r="L2610" s="54">
        <f>IF($B2610=0,NA(),IF($F2610="",NA(),IF(F$8="",NA(),IF(N(F$8)=0,NA(),IF(Inputs!$C$17="Rebased to 100",$F2610/F$8*100,$F2610)))))</f>
        <v/>
      </c>
      <c r="M2610" s="54">
        <f>IF($B2610=0,NA(),IF($G2610="",NA(),IF(G$8="",NA(),IF(N(G$8)=0,NA(),IF(Inputs!$C$17="Rebased to 100",$G2610/G$8*100,$G2610)))))</f>
        <v/>
      </c>
      <c r="N2610" s="54">
        <f>IF($B2610=0,NA(),IF(Inputs!$C$18&lt;&gt;"Yes",NA(),IF(COUNT(I2610,J2610,K2610,L2610,M2610)=0,NA(),MIN(I2610,J2610,K2610,L2610,M2610))))</f>
        <v/>
      </c>
      <c r="O2610" s="54">
        <f>IF($B2610=0,NA(),IF(Inputs!$B$24&lt;&gt;"Yes",NA(),Inputs!$D$24*Inputs!$C$35))</f>
        <v/>
      </c>
      <c r="P2610" s="54">
        <f>IF($B2610=0,NA(),IF(Inputs!$B$25&lt;&gt;"Yes",NA(),Inputs!$D$25*Inputs!$C$35))</f>
        <v/>
      </c>
      <c r="Q2610" s="54">
        <f>IF($B2610=0,NA(),IF(Inputs!$B$26&lt;&gt;"Yes",NA(),Inputs!$D$26*Inputs!$C$35))</f>
        <v/>
      </c>
      <c r="R2610" s="54">
        <f>IF($B2610=0,NA(),IF(Inputs!$B$27&lt;&gt;"Yes",NA(),Inputs!$D$27*Inputs!$C$35))</f>
        <v/>
      </c>
      <c r="S2610" s="54">
        <f>IF($B2610=0,NA(),IF(Inputs!$B$28&lt;&gt;"Yes",NA(),Inputs!$D$28*Inputs!$C$35))</f>
        <v/>
      </c>
      <c r="T2610" s="54">
        <f>IF($B2610=0,NA(),IF(Inputs!$B$29&lt;&gt;"Yes",NA(),Inputs!$D$29*Inputs!$C$35))</f>
        <v/>
      </c>
      <c r="AD2610">
        <f>IF($B2610=0,0,IF(Inputs!$B$6="",0,COUNTIFS(Data!$A$10:$A$3209,"&gt;="&amp;$A2610,Data!$A$10:$A$3209,"&lt;"&amp;$A2610+1)))</f>
        <v/>
      </c>
      <c r="AE2610">
        <f>IF($B2610=0,0,IF(Inputs!$B$7="",0,COUNTIFS(Data!$E$10:$E$3209,"&gt;="&amp;$A2610,Data!$E$10:$E$3209,"&lt;"&amp;$A2610+1)))</f>
        <v/>
      </c>
      <c r="AF2610">
        <f>IF($B2610=0,0,IF(Inputs!$B$8="",0,COUNTIFS(Data!$I$10:$I$3209,"&gt;="&amp;$A2610,Data!$I$10:$I$3209,"&lt;"&amp;$A2610+1)))</f>
        <v/>
      </c>
      <c r="AG2610">
        <f>IF($B2610=0,0,IF(Inputs!$B$9="",0,COUNTIFS(Data!$M$10:$M$3209,"&gt;="&amp;$A2610,Data!$M$10:$M$3209,"&lt;"&amp;$A2610+1)))</f>
        <v/>
      </c>
      <c r="AH2610">
        <f>IF($B2610=0,0,IF(Inputs!$B$10="",0,COUNTIFS(Data!$Q$10:$Q$3209,"&gt;="&amp;$A2610,Data!$Q$10:$Q$3209,"&lt;"&amp;$A2610+1)))</f>
        <v/>
      </c>
    </row>
  </sheetData>
  <mergeCells count="2">
    <mergeCell ref="A2:V2"/>
    <mergeCell ref="A1:V1"/>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B2:R37"/>
  <sheetViews>
    <sheetView showGridLines="0" zoomScale="100" workbookViewId="0">
      <selection activeCell="A1" sqref="A1"/>
    </sheetView>
  </sheetViews>
  <sheetFormatPr baseColWidth="8" defaultRowHeight="15"/>
  <cols>
    <col width="2"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2" ht="26" customHeight="1">
      <c r="B2" s="57" t="inlineStr">
        <is>
          <t>BNP PARIBAS  ·  GLOBAL MARKETS</t>
        </is>
      </c>
    </row>
    <row r="3">
      <c r="B3" s="58" t="inlineStr">
        <is>
          <t>[ insert the official logo here:  Insert &gt; Pictures ]</t>
        </is>
      </c>
    </row>
    <row r="36" ht="22" customHeight="1">
      <c r="B36" s="59">
        <f>Inputs!$C$34</f>
        <v/>
      </c>
    </row>
    <row r="37" ht="26" customHeight="1">
      <c r="B37" s="60" t="inlineStr">
        <is>
          <t>This document is a marketing communication produced by BNP Paribas. It is for information purposes only and does not constitute investment advice, an offer or a solicitation. Simulated or historical levels do not predict future returns. Capital is at risk.</t>
        </is>
      </c>
    </row>
  </sheetData>
  <mergeCells count="4">
    <mergeCell ref="B2:R2"/>
    <mergeCell ref="B36:R36"/>
    <mergeCell ref="B37:R37"/>
    <mergeCell ref="B3:R3"/>
  </mergeCells>
  <pageMargins left="0.75" right="0.75" top="1" bottom="1" header="0.5" footer="0.5"/>
  <pageSetup orientation="landscape"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27"/>
  <sheetViews>
    <sheetView showGridLines="0" zoomScale="100" workbookViewId="0">
      <selection activeCell="A1" sqref="A1"/>
    </sheetView>
  </sheetViews>
  <sheetFormatPr baseColWidth="8" defaultRowHeight="15"/>
  <cols>
    <col width="3" customWidth="1" min="1" max="1"/>
    <col width="30" customWidth="1" min="2" max="2"/>
    <col width="10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ht="30" customHeight="1">
      <c r="A1" s="1" t="inlineStr">
        <is>
          <t>REUTERS / LSEG FORMULAS  —  REFERENCE</t>
        </is>
      </c>
    </row>
    <row r="2" ht="16" customHeight="1">
      <c r="A2" s="2" t="inlineStr">
        <is>
          <t>Copy/paste an alternative into row 10 of a Data block if you need a different field or frequency.</t>
        </is>
      </c>
    </row>
    <row r="4" ht="18" customHeight="1">
      <c r="A4" s="3" t="inlineStr">
        <is>
          <t xml:space="preserve">   WHAT THE FILE USES</t>
        </is>
      </c>
    </row>
    <row r="5" ht="16" customHeight="1">
      <c r="B5" s="5" t="inlineStr">
        <is>
          <t>Daily close (default)</t>
        </is>
      </c>
      <c r="C5" s="61" t="inlineStr">
        <is>
          <t>=@TR(RIC,"TR.PriceClose.date;TR.PriceClose","SDate=&lt;start&gt; EDate=&lt;end&gt; Frq=D CH=Fd RH=IN Null=Skip")</t>
        </is>
      </c>
    </row>
    <row r="6" ht="16" customHeight="1">
      <c r="B6" s="62" t="inlineStr"/>
      <c r="C6" s="63" t="inlineStr">
        <is>
          <t>Already in Data!row 10 of every block, with the dates pointing at Inputs!C14 / C15.</t>
        </is>
      </c>
    </row>
    <row r="8" ht="18" customHeight="1">
      <c r="A8" s="3" t="inlineStr">
        <is>
          <t xml:space="preserve">   ALTERNATIVES</t>
        </is>
      </c>
    </row>
    <row r="9" ht="16" customHeight="1">
      <c r="B9" s="5" t="inlineStr">
        <is>
          <t>Legacy Eikon (RHistory)</t>
        </is>
      </c>
      <c r="C9" s="61" t="inlineStr">
        <is>
          <t>=RHistory(RIC,"TRDPRC_1.CLOSE","START:&lt;start&gt; END:&lt;end&gt; INTERVAL:1D",,"TSREPEAT:NO CH:Fd")</t>
        </is>
      </c>
    </row>
    <row r="10" ht="16" customHeight="1">
      <c r="B10" s="5" t="inlineStr">
        <is>
          <t>Total return (with dividends)</t>
        </is>
      </c>
      <c r="C10" s="6" t="inlineStr">
        <is>
          <t>Replace  TR.PriceClose  by  TR.TotalReturn  — better for a fair comparison of several equity underlyings.</t>
        </is>
      </c>
    </row>
    <row r="11" ht="16" customHeight="1">
      <c r="B11" s="5" t="inlineStr">
        <is>
          <t>Weekly / monthly</t>
        </is>
      </c>
      <c r="C11" s="6" t="inlineStr">
        <is>
          <t>Replace  Frq=D  by  Frq=W  or  Frq=M.</t>
        </is>
      </c>
    </row>
    <row r="12" ht="16" customHeight="1">
      <c r="B12" s="5" t="inlineStr">
        <is>
          <t>Currency conversion</t>
        </is>
      </c>
      <c r="C12" s="6" t="inlineStr">
        <is>
          <t>Add  Curn=EUR  in the parameter string, e.g. "... Frq=D Curn=EUR CH=Fd RH=IN".</t>
        </is>
      </c>
    </row>
    <row r="13" ht="16" customHeight="1">
      <c r="B13" s="5" t="inlineStr">
        <is>
          <t>Adjusted close</t>
        </is>
      </c>
      <c r="C13" s="6" t="inlineStr">
        <is>
          <t>Use  TR.PriceCloseAdjusted  if you need capital-event adjusted history.</t>
        </is>
      </c>
    </row>
    <row r="14" ht="16" customHeight="1">
      <c r="B14" s="5" t="inlineStr">
        <is>
          <t>Intraday / last</t>
        </is>
      </c>
      <c r="C14" s="6" t="inlineStr">
        <is>
          <t>=@TR(RIC,"CF_LAST") or =RtGet("IDN",RIC,"CF_LAST") for a live quote (not used for the chart).</t>
        </is>
      </c>
    </row>
    <row r="16" ht="18" customHeight="1">
      <c r="A16" s="3" t="inlineStr">
        <is>
          <t xml:space="preserve">   COMMON RIC EXAMPLES</t>
        </is>
      </c>
    </row>
    <row r="17" ht="30" customHeight="1">
      <c r="B17" s="5" t="inlineStr">
        <is>
          <t>Indices</t>
        </is>
      </c>
      <c r="C17" s="6" t="inlineStr">
        <is>
          <t>.STOXX50E  EURO STOXX 50   ·   .SPX  S&amp;P 500   ·   .FCHI  CAC 40   ·   .GDAXI  DAX   ·   .N225  Nikkei 225   ·   .HSI  Hang Seng   ·   .SX5E is not a RIC — use .STOXX50E</t>
        </is>
      </c>
    </row>
    <row r="18" ht="16" customHeight="1">
      <c r="B18" s="5" t="inlineStr">
        <is>
          <t>Single stocks</t>
        </is>
      </c>
      <c r="C18" s="6" t="inlineStr">
        <is>
          <t>BNPP.PA  ·  MC.PA  ·  SAN.PA  ·  AAPL.O  ·  MSFT.O  ·  SIEGn.DE  ·  NESN.S</t>
        </is>
      </c>
    </row>
    <row r="19" ht="16" customHeight="1">
      <c r="B19" s="5" t="inlineStr">
        <is>
          <t>Funds / ETF</t>
        </is>
      </c>
      <c r="C19" s="6" t="inlineStr">
        <is>
          <t>Use the exchange-listed RIC, e.g. CSPX.L, or the LIPPER RIC for a mutual fund.</t>
        </is>
      </c>
    </row>
    <row r="21" ht="18" customHeight="1">
      <c r="A21" s="3" t="inlineStr">
        <is>
          <t xml:space="preserve">   TROUBLESHOOTING</t>
        </is>
      </c>
    </row>
    <row r="22" ht="30" customHeight="1">
      <c r="B22" s="5" t="inlineStr">
        <is>
          <t>NAME error in a block</t>
        </is>
      </c>
      <c r="C22" s="6" t="inlineStr">
        <is>
          <t>The LSEG/Refinitiv add-in is not loaded. File &gt; Options &gt; Add-ins &gt; COM Add-ins &gt; tick the LSEG/Eikon/Refinitiv add-in, restart Excel, sign in, then Refresh All.</t>
        </is>
      </c>
    </row>
    <row r="23" ht="30" customHeight="1">
      <c r="B23" s="5" t="inlineStr">
        <is>
          <t>Empty block</t>
        </is>
      </c>
      <c r="C23" s="6" t="inlineStr">
        <is>
          <t>Bad RIC, no entitlement for that instrument, or the period is before the first listing. Check Points loaded / First date on the Inputs sheet.</t>
        </is>
      </c>
    </row>
    <row r="24" ht="16" customHeight="1">
      <c r="B24" s="5" t="inlineStr">
        <is>
          <t>#RTIC / #WAIT</t>
        </is>
      </c>
      <c r="C24" s="6" t="inlineStr">
        <is>
          <t>The request is still running or the RIC is unknown. Wait, then Refresh All again.</t>
        </is>
      </c>
    </row>
    <row r="25" ht="30" customHeight="1">
      <c r="B25" s="5" t="inlineStr">
        <is>
          <t>Dates look shifted</t>
        </is>
      </c>
      <c r="C25" s="6" t="inlineStr">
        <is>
          <t>Your add-in returned an extra column. The block must be: column 1 = date, column 2 = price. Delete the extra column inside the block, or use the RHistory version above.</t>
        </is>
      </c>
    </row>
    <row r="26" ht="30" customHeight="1">
      <c r="B26" s="5" t="inlineStr">
        <is>
          <t>No add-in at all</t>
        </is>
      </c>
      <c r="C26" s="6" t="inlineStr">
        <is>
          <t>Paste your own history straight into the block (column 1 = date, column 2 = close), starting at row 10. Everything else keeps working.</t>
        </is>
      </c>
    </row>
    <row r="27" ht="16" customHeight="1">
      <c r="B27" s="5" t="inlineStr">
        <is>
          <t>Slow file</t>
        </is>
      </c>
      <c r="C27" s="6" t="inlineStr">
        <is>
          <t>Shorten the period on Inputs, or turn off unused underlyings by clearing their RIC.</t>
        </is>
      </c>
    </row>
  </sheetData>
  <mergeCells count="6">
    <mergeCell ref="A1:D1"/>
    <mergeCell ref="A8:C8"/>
    <mergeCell ref="A21:C21"/>
    <mergeCell ref="A2:D2"/>
    <mergeCell ref="A4:C4"/>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2026-09-03T18:52:19Z</dcterms:created>
  <dcterms:modified xmlns:dcterms="http://purl.org/dc/terms/" xmlns:xsi="http://www.w3.org/2001/XMLSchema-instance" xsi:type="dcterms:W3CDTF">2026-09-03T18:52:20Z</dcterms:modified>
</cp:coreProperties>
</file>